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1.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3.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6.xml.rels" ContentType="application/vnd.openxmlformats-package.relationships+xml"/>
  <Override PartName="/xl/drawings/_rels/drawing5.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Insights" sheetId="2" state="visible" r:id="rId4"/>
    <sheet name="Sales_Data" sheetId="3" state="visible" r:id="rId5"/>
    <sheet name="Roster" sheetId="4" state="visible" r:id="rId6"/>
    <sheet name="Lists" sheetId="5" state="visible" r:id="rId7"/>
    <sheet name="Daily_Account" sheetId="6" state="visible" r:id="rId8"/>
    <sheet name="Daily_Leader" sheetId="7" state="visible" r:id="rId9"/>
    <sheet name="Daily_Agent" sheetId="8" state="visible" r:id="rId10"/>
    <sheet name="Agent_Summary" sheetId="9" state="visible" r:id="rId11"/>
    <sheet name="Agent_Trend" sheetId="10" state="visible" r:id="rId12"/>
    <sheet name="Leader_Trend" sheetId="11" state="visible" r:id="rId13"/>
    <sheet name="Guide" sheetId="12" state="visible" r:id="rId14"/>
  </sheets>
  <definedNames>
    <definedName function="false" hidden="true" localSheetId="8" name="_xlnm._FilterDatabase" vbProcedure="false">Agent_Summary!$A$4:$W$254</definedName>
    <definedName function="false" hidden="true" localSheetId="3" name="_xlnm._FilterDatabase" vbProcedure="false">Roster!$A$1:$K$251</definedName>
    <definedName function="false" hidden="true" localSheetId="2" name="_xlnm._FilterDatabase" vbProcedure="false">Sales_Data!$A$1:$AF$3520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<sst xmlns="http://schemas.openxmlformats.org/spreadsheetml/2006/main" count="47146" uniqueCount="6988">
  <si>
    <t xml:space="preserve">Cairo Repair TSX – Sales Performance Dashboard</t>
  </si>
  <si>
    <t xml:space="preserve">Source: Sales Tracker (Microsoft Forms) 22 Jul 2026 – 08 Oct 2026 + TSX Roster. Days are business days (shift 15:00 → 07:00 next morning). Change the yellow cells; every table, rank and chart recalculates.</t>
  </si>
  <si>
    <t xml:space="preserve">CONTROL PANEL</t>
  </si>
  <si>
    <t xml:space="preserve">Total Units</t>
  </si>
  <si>
    <t xml:space="preserve">XM Lines</t>
  </si>
  <si>
    <t xml:space="preserve">GSR Units</t>
  </si>
  <si>
    <t xml:space="preserve">Submissions</t>
  </si>
  <si>
    <t xml:space="preserve">Active Sellers</t>
  </si>
  <si>
    <t xml:space="preserve">From Date</t>
  </si>
  <si>
    <t xml:space="preserve">To Date</t>
  </si>
  <si>
    <t xml:space="preserve">Ops Manager</t>
  </si>
  <si>
    <t xml:space="preserve">All</t>
  </si>
  <si>
    <t xml:space="preserve">vs prior period</t>
  </si>
  <si>
    <t xml:space="preserve">Team Leader</t>
  </si>
  <si>
    <t xml:space="preserve">Exclude Duplicates?</t>
  </si>
  <si>
    <t xml:space="preserve">Yes</t>
  </si>
  <si>
    <t xml:space="preserve">Units / Active Seller</t>
  </si>
  <si>
    <t xml:space="preserve">Participation % (of HC in scope)</t>
  </si>
  <si>
    <t xml:space="preserve">XMC Attach %</t>
  </si>
  <si>
    <t xml:space="preserve">E-SIM Activation %</t>
  </si>
  <si>
    <t xml:space="preserve">Avg Units / Day</t>
  </si>
  <si>
    <t xml:space="preserve">Days in Period</t>
  </si>
  <si>
    <t xml:space="preserve">Prior Period (same length)</t>
  </si>
  <si>
    <t xml:space="preserve">Prior From</t>
  </si>
  <si>
    <t xml:space="preserve">Prior To</t>
  </si>
  <si>
    <t xml:space="preserve">TL criterion</t>
  </si>
  <si>
    <t xml:space="preserve">OM criterion</t>
  </si>
  <si>
    <t xml:space="preserve">ACCOUNT LEVEL – LAST 8 DAYS DAY-OVER-DAY (whole account, ending at To Date)</t>
  </si>
  <si>
    <t xml:space="preserve">Date</t>
  </si>
  <si>
    <t xml:space="preserve">Weekday</t>
  </si>
  <si>
    <t xml:space="preserve">DoD Δ</t>
  </si>
  <si>
    <t xml:space="preserve">DoD %</t>
  </si>
  <si>
    <t xml:space="preserve">7-Day Avg</t>
  </si>
  <si>
    <t xml:space="preserve">WoW %</t>
  </si>
  <si>
    <t xml:space="preserve">Units / Seller</t>
  </si>
  <si>
    <t xml:space="preserve">E-SIM Act. %</t>
  </si>
  <si>
    <t xml:space="preserve">LEADER SCORECARD – selected period (Ops Manager filter applies; Team Leader filter ignored here so leaders stay comparable)</t>
  </si>
  <si>
    <t xml:space="preserve">Rank</t>
  </si>
  <si>
    <t xml:space="preserve">HC</t>
  </si>
  <si>
    <t xml:space="preserve">Units / HC</t>
  </si>
  <si>
    <t xml:space="preserve">Participation %</t>
  </si>
  <si>
    <t xml:space="preserve">Prior Period Units</t>
  </si>
  <si>
    <t xml:space="preserve">Δ vs Prior</t>
  </si>
  <si>
    <t xml:space="preserve">Δ %</t>
  </si>
  <si>
    <t xml:space="preserve">Ahmed Aboelgoud</t>
  </si>
  <si>
    <t xml:space="preserve">Ramadan Gamal / Mohamed Radwan</t>
  </si>
  <si>
    <t xml:space="preserve">Anas Sami</t>
  </si>
  <si>
    <t xml:space="preserve">Bishoy Mourad</t>
  </si>
  <si>
    <t xml:space="preserve">Essam Medhat</t>
  </si>
  <si>
    <t xml:space="preserve">Ramadan Gamal</t>
  </si>
  <si>
    <t xml:space="preserve">Islam Farouk</t>
  </si>
  <si>
    <t xml:space="preserve">Mina Milad</t>
  </si>
  <si>
    <t xml:space="preserve">Mohamed Ashour</t>
  </si>
  <si>
    <t xml:space="preserve">Mohamed Kelany</t>
  </si>
  <si>
    <t xml:space="preserve">Mostafa Mokhtar</t>
  </si>
  <si>
    <t xml:space="preserve">Omar Mansour</t>
  </si>
  <si>
    <t xml:space="preserve">Omar Osama</t>
  </si>
  <si>
    <t xml:space="preserve">Rahma Samir</t>
  </si>
  <si>
    <t xml:space="preserve">Salma Ahmed</t>
  </si>
  <si>
    <t xml:space="preserve">Shereen Kamal</t>
  </si>
  <si>
    <t xml:space="preserve">Taher Yehia</t>
  </si>
  <si>
    <t xml:space="preserve">Mohamed Radwan</t>
  </si>
  <si>
    <t xml:space="preserve">ACCOUNT TOTAL (roster teams)</t>
  </si>
  <si>
    <t xml:space="preserve">Not in Roster (unmatched HRIDs)</t>
  </si>
  <si>
    <t xml:space="preserve">-</t>
  </si>
  <si>
    <t xml:space="preserve">LEADER DAY-OVER-DAY – Total Units per leader for the last 7 days ending at To Date (Ops Manager filter applies)</t>
  </si>
  <si>
    <t xml:space="preserve">Rank (7d)</t>
  </si>
  <si>
    <t xml:space="preserve">DoD Δ (last day)</t>
  </si>
  <si>
    <t xml:space="preserve">7-Day Total</t>
  </si>
  <si>
    <t xml:space="preserve">Avg / Day</t>
  </si>
  <si>
    <t xml:space="preserve">vs Previous 7 Days</t>
  </si>
  <si>
    <t xml:space="preserve">OPS MANAGER VIEW – selected period</t>
  </si>
  <si>
    <t xml:space="preserve">Teams</t>
  </si>
  <si>
    <t xml:space="preserve">TOP 10 AGENTS – selected period &amp; scope</t>
  </si>
  <si>
    <t xml:space="preserve">BOTTOM 10 PRODUCTION AGENTS – selected period &amp; scope (coaching list)</t>
  </si>
  <si>
    <t xml:space="preserve">#</t>
  </si>
  <si>
    <t xml:space="preserve">Agent</t>
  </si>
  <si>
    <t xml:space="preserve">Units</t>
  </si>
  <si>
    <t xml:space="preserve">XM</t>
  </si>
  <si>
    <t xml:space="preserve">GSR</t>
  </si>
  <si>
    <t xml:space="preserve">Active Days</t>
  </si>
  <si>
    <t xml:space="preserve">Last Sale</t>
  </si>
  <si>
    <t xml:space="preserve">Days Since</t>
  </si>
  <si>
    <t xml:space="preserve">CHARTS – account trend (all days), leader comparison (selected period), daily mix</t>
  </si>
  <si>
    <t xml:space="preserve">Insights &amp; Recommendations</t>
  </si>
  <si>
    <t xml:space="preserve">Static insights computed from the full tracker history (as of 08 Oct 2026); the live block at the top follows the Dashboard selection.</t>
  </si>
  <si>
    <t xml:space="preserve">LIVE – follows the Dashboard selection (dates / Ops Manager / Team Leader)</t>
  </si>
  <si>
    <t xml:space="preserve">●</t>
  </si>
  <si>
    <t xml:space="preserve">1. ACCOUNT TREND (day-over-day)</t>
  </si>
  <si>
    <t xml:space="preserve">•</t>
  </si>
  <si>
    <t xml:space="preserve">Volume has stepped up every month: average units per day went Jul 35.9 → Aug 32.1 → Sep 61.2 → Oct 77.1. The tracker started on 22 Jul, so July is a partial month.</t>
  </si>
  <si>
    <t xml:space="preserve">Last 7 days (02 Oct–08 Oct): 565 units vs 455 the 7 days before (+24%). Peak day so far: Wed 07 Oct with 125 units; 08 Oct closed at 123.</t>
  </si>
  <si>
    <t xml:space="preserve">Weekday pattern (avg units per day): strongest Monday (55), weakest Sunday (41). Use the Daily_Account WoW % column to compare like-for-like weekdays instead of raw DoD on weekends.</t>
  </si>
  <si>
    <t xml:space="preserve">Dates in this file are business days: the shift runs 15:00 Cairo to 07:00 the next morning (US hours), so a sale logged at 02:00 on 5 Oct counts toward the 4 Oct business day. Day-over-day figures therefore compare full shifts, not calendar days.</t>
  </si>
  <si>
    <t xml:space="preserve">2. PRODUCT MIX &amp; QUALITY OF SALE</t>
  </si>
  <si>
    <t xml:space="preserve">GSRs are 72% of all units (2,735) vs XM Lines 28% (1,072). GSR type mix: Speed Upgrade 1,472, X-PRO 740, Adding LOB (Internet-TV) 312, XMC 106, Mobile Plus Plan 98. Speed Upgrade alone is 54% of GSR type counts.</t>
  </si>
  <si>
    <t xml:space="preserve">XMC attach on XM Line sales is only 14.3% overall (100 of 699 answered) and 15.5% in the last 30 days – the single biggest upsell gap. E-SIM activation on e-SIM sales is 78.8% overall and 75.9% in the last 30 days.</t>
  </si>
  <si>
    <t xml:space="preserve">Device attach: iPhone 407, Samsung 81, Apple Watch 54, BYOD 37, Motorola 13, iPad 10, Samsung Watch 9. 'Free Line for 1 Year' is the dominant promotion (427 entries).</t>
  </si>
  <si>
    <t xml:space="preserve">3. LEADER LEVEL (last 30 days, units per head so team sizes are comparable)</t>
  </si>
  <si>
    <t xml:space="preserve">Top 3 leaders by units per head: Salma Ahmed 18.9 (HC 17, participation 88%), Shereen Kamal 16.6 (HC 16, participation 94%), Mohamed Ashour 13.9 (HC 15, participation 87%).</t>
  </si>
  <si>
    <t xml:space="preserve">Bottom 3 leaders by units per head: Mostafa Mokhtar 0.6 (HC 19, participation 26%), Omar Osama 0.2 (HC 22, participation 14%), Taher Yehia 0.0 (HC 19, participation 0%). Note: teams with Training-phase agents will naturally sit lower – check the Phase column in Agent_Summary before comparing.</t>
  </si>
  <si>
    <t xml:space="preserve">Biggest 30-day movers vs the prior 30 days – up: Ahmed Aboelgoud +228, Salma Ahmed +157, Mohamed Ashour +156. Down: Rahma Samir -50, Mina Milad -45.</t>
  </si>
  <si>
    <t xml:space="preserve">Ops Managers (units per head, last 30 days): Bishoy Mourad 9.5 (HC 104), Ramadan Gamal 7.0 (HC 120), Mohamed Radwan 1.1 (HC 26).</t>
  </si>
  <si>
    <t xml:space="preserve">Tenure effect (units per head, last 30 days): 60-120: 11.8, 120+: 6.3, 30-60: 6.3. Newer agents (30-60 days) are the largest group on the roster – ramp coaching has the biggest leverage.</t>
  </si>
  <si>
    <t xml:space="preserve">4. AGENT LEVEL</t>
  </si>
  <si>
    <t xml:space="preserve">Output is well spread: the top 10 agents produced 19% of all units in the last 30 days. #1 is Samuel Wadie Morgan Tawfik (Salma Ahmed) with 50 units – 3% of the roster total alone.</t>
  </si>
  <si>
    <t xml:space="preserve">11 of 133 Production-phase agents logged zero units in the last 30 days (Rahma Samir: 4, Mina Milad: 2, Mohamed Ashour: 2, Salma Ahmed: 2, Shereen Kamal: 1 …). These are the first names to pull into the Bottom-10 coaching list on the Dashboard.</t>
  </si>
  <si>
    <t xml:space="preserve">Training-phase agents (117 on roster) already contributed 186 units in the last 30 days – track them separately so early wins are recognised and tracker discipline is built from day one.</t>
  </si>
  <si>
    <t xml:space="preserve">5. DATA QUALITY (fix these to make the numbers trustworthy)</t>
  </si>
  <si>
    <t xml:space="preserve">419 entries (12%) carry an HRID that is not on the roster (89 distinct values, 488 units). Most are 9-digit IDs that look valid (likely attrited or transferred agents) – e.g. HRID 100071916 alone has 79 entries. Add these agents to the roster (or a 'Leavers' tab) to attribute them to leaders.</t>
  </si>
  <si>
    <t xml:space="preserve">207 entries are exact duplicates (same HRID + account + order number + type) and are excluded by default (toggle on the Dashboard). 507 entries have an unusable order number (e.g. '1', '0', '.', 'N/A', pasted work-order text). Make the Order Number field numeric-only in the Form.</t>
  </si>
  <si>
    <t xml:space="preserve">The 'Count of GSR' field only exists since 24 Aug; before that GSR units are inferred from the number of GSR types ticked. 8-digit / 10-digit HRID typos were auto-corrected where a unique roster match existed; make HRID a validated 9-digit field in the Form.</t>
  </si>
  <si>
    <t xml:space="preserve">6. RECOMMENDED ACTIONS FOR THE 3 NEWLY-PROMOTED LEADERS</t>
  </si>
  <si>
    <t xml:space="preserve">Daily (10 min): open Leader_Trend and Daily_Agent with your team selected, read the DoD Δ row and the Rank-in-Team row; message every agent with 0 units by mid-shift and recognise the top mover publicly.</t>
  </si>
  <si>
    <t xml:space="preserve">Weekly: use the Dashboard with From/To set to the week and Team Leader set to your name – review Participation %, Units / Active Seller and the Bottom-10 list; pair each bottom-10 agent with a top-10 agent for a side-by-side on XMC attach and e-SIM activation.</t>
  </si>
  <si>
    <t xml:space="preserve">Pitch focus: XMC attach is below 15% – build a one-line XMC offer into every XM Line close; e-SIM activation misses should be followed up the same shift, since an unactivated e-SIM is a sale at risk.</t>
  </si>
  <si>
    <t xml:space="preserve">Hygiene: every agent submits the form before closing the interaction, HRID copied from the roster, order number from the system – one wrong HRID removes the sale from your scorecard.</t>
  </si>
  <si>
    <t xml:space="preserve">ID</t>
  </si>
  <si>
    <t xml:space="preserve">Completion Time</t>
  </si>
  <si>
    <t xml:space="preserve">Business Date</t>
  </si>
  <si>
    <t xml:space="preserve">HRID (Raw)</t>
  </si>
  <si>
    <t xml:space="preserve">HRID (Mapped)</t>
  </si>
  <si>
    <t xml:space="preserve">Agent Name</t>
  </si>
  <si>
    <t xml:space="preserve">Phase</t>
  </si>
  <si>
    <t xml:space="preserve">Tenure Bucket</t>
  </si>
  <si>
    <t xml:space="preserve">Entry Type</t>
  </si>
  <si>
    <t xml:space="preserve">Speed Upgrade</t>
  </si>
  <si>
    <t xml:space="preserve">X-PRO</t>
  </si>
  <si>
    <t xml:space="preserve">Adding LOB</t>
  </si>
  <si>
    <t xml:space="preserve">Mobile Plus Plan</t>
  </si>
  <si>
    <t xml:space="preserve">XMC (GSR)</t>
  </si>
  <si>
    <t xml:space="preserve">Added XMC?</t>
  </si>
  <si>
    <t xml:space="preserve">SIM Type</t>
  </si>
  <si>
    <t xml:space="preserve">E-SIM Activated?</t>
  </si>
  <si>
    <t xml:space="preserve">Device Sold</t>
  </si>
  <si>
    <t xml:space="preserve">Promotion</t>
  </si>
  <si>
    <t xml:space="preserve">Account Number</t>
  </si>
  <si>
    <t xml:space="preserve">Order Number</t>
  </si>
  <si>
    <t xml:space="preserve">Order Valid</t>
  </si>
  <si>
    <t xml:space="preserve">Duplicate Flag</t>
  </si>
  <si>
    <t xml:space="preserve">In Roster</t>
  </si>
  <si>
    <t xml:space="preserve">Include</t>
  </si>
  <si>
    <t xml:space="preserve">Agent-Day First</t>
  </si>
  <si>
    <t xml:space="preserve">Wed</t>
  </si>
  <si>
    <t xml:space="preserve">100071936</t>
  </si>
  <si>
    <t xml:space="preserve">Omar Sayed Mohammed Abdelhamid</t>
  </si>
  <si>
    <t xml:space="preserve">Production</t>
  </si>
  <si>
    <t xml:space="preserve">60-120</t>
  </si>
  <si>
    <t xml:space="preserve">GSRs</t>
  </si>
  <si>
    <t xml:space="preserve">8499053500233291</t>
  </si>
  <si>
    <t xml:space="preserve">i don't know</t>
  </si>
  <si>
    <t xml:space="preserve">100049049</t>
  </si>
  <si>
    <t xml:space="preserve">UNMAPPED:100049049</t>
  </si>
  <si>
    <t xml:space="preserve">Not in Roster</t>
  </si>
  <si>
    <t xml:space="preserve">8773100771535297</t>
  </si>
  <si>
    <t xml:space="preserve">3726419292339260853</t>
  </si>
  <si>
    <t xml:space="preserve">100071351</t>
  </si>
  <si>
    <t xml:space="preserve">Sama Abdelqawy</t>
  </si>
  <si>
    <t xml:space="preserve">8535101720179558</t>
  </si>
  <si>
    <t xml:space="preserve">1002501601592036</t>
  </si>
  <si>
    <t xml:space="preserve">100071364</t>
  </si>
  <si>
    <t xml:space="preserve">Omar Elmeniawy</t>
  </si>
  <si>
    <t xml:space="preserve">8155400397121334</t>
  </si>
  <si>
    <t xml:space="preserve">1002149798172020</t>
  </si>
  <si>
    <t xml:space="preserve">100071354</t>
  </si>
  <si>
    <t xml:space="preserve">Ehab Elsawah</t>
  </si>
  <si>
    <t xml:space="preserve">8299420260228963</t>
  </si>
  <si>
    <t xml:space="preserve">1002130695102096</t>
  </si>
  <si>
    <t xml:space="preserve">100071359</t>
  </si>
  <si>
    <t xml:space="preserve">UNMAPPED:100071359</t>
  </si>
  <si>
    <t xml:space="preserve">8771100820009387</t>
  </si>
  <si>
    <t xml:space="preserve">3721673292348439607</t>
  </si>
  <si>
    <t xml:space="preserve">3721678292345414436</t>
  </si>
  <si>
    <t xml:space="preserve">100066493</t>
  </si>
  <si>
    <t xml:space="preserve">Muhammad Gamal Metwally Muhammad Alsharkawy</t>
  </si>
  <si>
    <t xml:space="preserve">120+</t>
  </si>
  <si>
    <t xml:space="preserve">8396500034348767</t>
  </si>
  <si>
    <t xml:space="preserve">1001306933502104</t>
  </si>
  <si>
    <t xml:space="preserve">8499100227085924</t>
  </si>
  <si>
    <t xml:space="preserve">3726422292352394090</t>
  </si>
  <si>
    <t xml:space="preserve">100055944</t>
  </si>
  <si>
    <t xml:space="preserve">Mohamed Ahmed</t>
  </si>
  <si>
    <t xml:space="preserve">8155100120019561</t>
  </si>
  <si>
    <t xml:space="preserve">187153</t>
  </si>
  <si>
    <t xml:space="preserve">8778101011898144</t>
  </si>
  <si>
    <t xml:space="preserve">GETTING STARTED KIT 1001433148142045 ORDERED Created: July 2</t>
  </si>
  <si>
    <t xml:space="preserve">100070314</t>
  </si>
  <si>
    <t xml:space="preserve">UNMAPPED:100070314</t>
  </si>
  <si>
    <t xml:space="preserve">8773402000017562</t>
  </si>
  <si>
    <t xml:space="preserve">1001955552352066</t>
  </si>
  <si>
    <t xml:space="preserve">100071935</t>
  </si>
  <si>
    <t xml:space="preserve">UNMAPPED:100071935</t>
  </si>
  <si>
    <t xml:space="preserve">8499100028880648</t>
  </si>
  <si>
    <t xml:space="preserve">3726433292358304481</t>
  </si>
  <si>
    <t xml:space="preserve">8778106111345128</t>
  </si>
  <si>
    <t xml:space="preserve">1001433154832042</t>
  </si>
  <si>
    <t xml:space="preserve">100070316</t>
  </si>
  <si>
    <t xml:space="preserve">Omar Abdelqader Aly</t>
  </si>
  <si>
    <t xml:space="preserve">8535100411420842</t>
  </si>
  <si>
    <t xml:space="preserve">529952137</t>
  </si>
  <si>
    <t xml:space="preserve">8535101160376888</t>
  </si>
  <si>
    <t xml:space="preserve">GETTING STARTED KIT 1002501770792037 ORDERED Created: July 2</t>
  </si>
  <si>
    <t xml:space="preserve">Thu</t>
  </si>
  <si>
    <t xml:space="preserve">100071352</t>
  </si>
  <si>
    <t xml:space="preserve">Mohamed Hafez</t>
  </si>
  <si>
    <t xml:space="preserve">8497202261113760</t>
  </si>
  <si>
    <t xml:space="preserve">1002311072062075</t>
  </si>
  <si>
    <t xml:space="preserve">100070307</t>
  </si>
  <si>
    <t xml:space="preserve">Mohamed Abdulghany Mohamed Elshafey</t>
  </si>
  <si>
    <t xml:space="preserve">30-60</t>
  </si>
  <si>
    <t xml:space="preserve">8155300171136237</t>
  </si>
  <si>
    <t xml:space="preserve">3721620292410551688</t>
  </si>
  <si>
    <t xml:space="preserve">100066502</t>
  </si>
  <si>
    <t xml:space="preserve">Ahmad Abdelftah Hanafy Etman</t>
  </si>
  <si>
    <t xml:space="preserve">8778105044308468</t>
  </si>
  <si>
    <t xml:space="preserve">1001433266832047</t>
  </si>
  <si>
    <t xml:space="preserve">8771100130377763</t>
  </si>
  <si>
    <t xml:space="preserve">GETTING STARTED KIT 1002295843782055 ORDERED Created: July 2</t>
  </si>
  <si>
    <t xml:space="preserve">100071356</t>
  </si>
  <si>
    <t xml:space="preserve">Khaled Hassanen</t>
  </si>
  <si>
    <t xml:space="preserve">8155500341155484</t>
  </si>
  <si>
    <t xml:space="preserve">1002149404702020</t>
  </si>
  <si>
    <t xml:space="preserve">8771300322663943</t>
  </si>
  <si>
    <t xml:space="preserve">GETTING STARTED KIT 1002295854422054 ORDERED Created: July 2</t>
  </si>
  <si>
    <t xml:space="preserve">100070302</t>
  </si>
  <si>
    <t xml:space="preserve">UNMAPPED:100070302</t>
  </si>
  <si>
    <t xml:space="preserve">8529112710238815</t>
  </si>
  <si>
    <t xml:space="preserve">3729674292426473918</t>
  </si>
  <si>
    <t xml:space="preserve">100064781</t>
  </si>
  <si>
    <t xml:space="preserve">UNMAPPED:100064781</t>
  </si>
  <si>
    <t xml:space="preserve">8220204160249491</t>
  </si>
  <si>
    <t xml:space="preserve">1002311124522076</t>
  </si>
  <si>
    <t xml:space="preserve">358790736465281</t>
  </si>
  <si>
    <t xml:space="preserve">3731212292427263016</t>
  </si>
  <si>
    <t xml:space="preserve">100064783</t>
  </si>
  <si>
    <t xml:space="preserve">Gehad Khalaf Mohamed Ghanem</t>
  </si>
  <si>
    <t xml:space="preserve">8529100761902561</t>
  </si>
  <si>
    <t xml:space="preserve">0</t>
  </si>
  <si>
    <t xml:space="preserve">8155400511811281</t>
  </si>
  <si>
    <t xml:space="preserve">100071916</t>
  </si>
  <si>
    <t xml:space="preserve">UNMAPPED:100071916</t>
  </si>
  <si>
    <t xml:space="preserve">8993210051639778</t>
  </si>
  <si>
    <t xml:space="preserve">1001871719942014</t>
  </si>
  <si>
    <t xml:space="preserve">8155400540508106</t>
  </si>
  <si>
    <t xml:space="preserve">3729687292430560470</t>
  </si>
  <si>
    <t xml:space="preserve">8155100514872195</t>
  </si>
  <si>
    <t xml:space="preserve">1002150281752021</t>
  </si>
  <si>
    <t xml:space="preserve">8498380090547405</t>
  </si>
  <si>
    <t xml:space="preserve">GETTING STARTED KIT 1001073637022082 ORDERED Created: July 2</t>
  </si>
  <si>
    <t xml:space="preserve">8497800843487311</t>
  </si>
  <si>
    <t xml:space="preserve">1002311234292073</t>
  </si>
  <si>
    <t xml:space="preserve">8499050750121598</t>
  </si>
  <si>
    <t xml:space="preserve">3731229292432530243</t>
  </si>
  <si>
    <t xml:space="preserve">8993110340100048</t>
  </si>
  <si>
    <t xml:space="preserve">1001871736592016</t>
  </si>
  <si>
    <t xml:space="preserve">100070317</t>
  </si>
  <si>
    <t xml:space="preserve">Abdullah Ehab Ahmed Abdelsalam Elkady</t>
  </si>
  <si>
    <t xml:space="preserve">8778105043842103</t>
  </si>
  <si>
    <t xml:space="preserve">1001433330412040</t>
  </si>
  <si>
    <t xml:space="preserve">8777703343220730</t>
  </si>
  <si>
    <t xml:space="preserve">3726428292429707519</t>
  </si>
  <si>
    <t xml:space="preserve">8771300053050377</t>
  </si>
  <si>
    <t xml:space="preserve">3731219292439605408</t>
  </si>
  <si>
    <t xml:space="preserve">8777701470516128</t>
  </si>
  <si>
    <t xml:space="preserve">ETTING STARTED KIT 1001871761012013 ORDERED Created: July 23</t>
  </si>
  <si>
    <t xml:space="preserve">100071317</t>
  </si>
  <si>
    <t xml:space="preserve">UNMAPPED:100071317</t>
  </si>
  <si>
    <t xml:space="preserve">8499052460649124</t>
  </si>
  <si>
    <t xml:space="preserve">1002131140962092</t>
  </si>
  <si>
    <t xml:space="preserve">8771101130001643</t>
  </si>
  <si>
    <t xml:space="preserve">1002295937072058</t>
  </si>
  <si>
    <t xml:space="preserve">8155600270286712</t>
  </si>
  <si>
    <t xml:space="preserve">1002150457072022</t>
  </si>
  <si>
    <t xml:space="preserve">100071925</t>
  </si>
  <si>
    <t xml:space="preserve">Ali Hussien Ahmed Hameed</t>
  </si>
  <si>
    <t xml:space="preserve">8773102160235653</t>
  </si>
  <si>
    <t xml:space="preserve">3729654292449225219</t>
  </si>
  <si>
    <t xml:space="preserve">8535100200090509</t>
  </si>
  <si>
    <t xml:space="preserve">1002502255752033</t>
  </si>
  <si>
    <t xml:space="preserve">8220160191324630</t>
  </si>
  <si>
    <t xml:space="preserve">3721656292453627331</t>
  </si>
  <si>
    <t xml:space="preserve">8993212990324355</t>
  </si>
  <si>
    <t xml:space="preserve">1001871836042011</t>
  </si>
  <si>
    <t xml:space="preserve">8155300400357018</t>
  </si>
  <si>
    <t xml:space="preserve">1002150535912025</t>
  </si>
  <si>
    <t xml:space="preserve">8155200521695272</t>
  </si>
  <si>
    <t xml:space="preserve">8396522011245121</t>
  </si>
  <si>
    <t xml:space="preserve">00</t>
  </si>
  <si>
    <t xml:space="preserve">Fri</t>
  </si>
  <si>
    <t xml:space="preserve">8993211860127492</t>
  </si>
  <si>
    <t xml:space="preserve">1001872037722013</t>
  </si>
  <si>
    <t xml:space="preserve">8495741234587776</t>
  </si>
  <si>
    <t xml:space="preserve">1002502512082034</t>
  </si>
  <si>
    <t xml:space="preserve">8529101330107252</t>
  </si>
  <si>
    <t xml:space="preserve">1001363731662119</t>
  </si>
  <si>
    <t xml:space="preserve">100071919</t>
  </si>
  <si>
    <t xml:space="preserve">UNMAPPED:100071919</t>
  </si>
  <si>
    <t xml:space="preserve">8535101720202772</t>
  </si>
  <si>
    <t xml:space="preserve">529979988</t>
  </si>
  <si>
    <t xml:space="preserve">8220204140898128</t>
  </si>
  <si>
    <t xml:space="preserve">10023116543222079</t>
  </si>
  <si>
    <t xml:space="preserve">8535101000352925</t>
  </si>
  <si>
    <t xml:space="preserve">1002502529162035</t>
  </si>
  <si>
    <t xml:space="preserve">100071979</t>
  </si>
  <si>
    <t xml:space="preserve">UNMAPPED:100071979</t>
  </si>
  <si>
    <t xml:space="preserve">8778103130931954</t>
  </si>
  <si>
    <t xml:space="preserve">1001433522652049</t>
  </si>
  <si>
    <t xml:space="preserve">100065731</t>
  </si>
  <si>
    <t xml:space="preserve">UNMAPPED:100065731</t>
  </si>
  <si>
    <t xml:space="preserve">8299420640746791</t>
  </si>
  <si>
    <t xml:space="preserve">3726466292514303426</t>
  </si>
  <si>
    <t xml:space="preserve">8396200131859309</t>
  </si>
  <si>
    <t xml:space="preserve">100071611</t>
  </si>
  <si>
    <t xml:space="preserve">Shahd Hanfi</t>
  </si>
  <si>
    <t xml:space="preserve">8498340053987709</t>
  </si>
  <si>
    <t xml:space="preserve">1001073825582087</t>
  </si>
  <si>
    <t xml:space="preserve">8495741226744104</t>
  </si>
  <si>
    <t xml:space="preserve">1002502554332032</t>
  </si>
  <si>
    <t xml:space="preserve">8220100010852544</t>
  </si>
  <si>
    <t xml:space="preserve">3721606292519283942</t>
  </si>
  <si>
    <t xml:space="preserve">100071616</t>
  </si>
  <si>
    <t xml:space="preserve">UNMAPPED:100071616</t>
  </si>
  <si>
    <t xml:space="preserve">8396410790087841</t>
  </si>
  <si>
    <t xml:space="preserve">1001307443592106</t>
  </si>
  <si>
    <t xml:space="preserve">8396120031360051</t>
  </si>
  <si>
    <t xml:space="preserve">1001307451182105</t>
  </si>
  <si>
    <t xml:space="preserve">8495443023019067</t>
  </si>
  <si>
    <t xml:space="preserve">3731202292523282368</t>
  </si>
  <si>
    <t xml:space="preserve">8778102281095304</t>
  </si>
  <si>
    <t xml:space="preserve">1001433546822040</t>
  </si>
  <si>
    <t xml:space="preserve">8773600100298269</t>
  </si>
  <si>
    <t xml:space="preserve">GETTING STARTED KIT 1001956116922063 ORDERED Created: July 2</t>
  </si>
  <si>
    <t xml:space="preserve">8529102202027727</t>
  </si>
  <si>
    <t xml:space="preserve">8497900170336014</t>
  </si>
  <si>
    <t xml:space="preserve">8396410442203317</t>
  </si>
  <si>
    <t xml:space="preserve">3721636292526778484</t>
  </si>
  <si>
    <t xml:space="preserve">8777703198744628</t>
  </si>
  <si>
    <t xml:space="preserve">.</t>
  </si>
  <si>
    <t xml:space="preserve">3721668292527011268</t>
  </si>
  <si>
    <t xml:space="preserve">8777703150010109</t>
  </si>
  <si>
    <t xml:space="preserve">8155500090552246</t>
  </si>
  <si>
    <t xml:space="preserve">GETTING STARTED KIT 1002150830492020 ORDERED Created: July 2</t>
  </si>
  <si>
    <t xml:space="preserve">8529100070077774</t>
  </si>
  <si>
    <t xml:space="preserve">GETTING STARTED KIT 1001363799812119 ORDERED Created: July 2</t>
  </si>
  <si>
    <t xml:space="preserve">8396410731373755</t>
  </si>
  <si>
    <t xml:space="preserve">1001307491072100</t>
  </si>
  <si>
    <t xml:space="preserve">8220111107630305</t>
  </si>
  <si>
    <t xml:space="preserve">1002311769152072</t>
  </si>
  <si>
    <t xml:space="preserve">8771203130885494</t>
  </si>
  <si>
    <t xml:space="preserve">GETTING STARTED KIT 1002296262922057 ORDERED Created: July 2</t>
  </si>
  <si>
    <t xml:space="preserve">8495440750308010</t>
  </si>
  <si>
    <t xml:space="preserve">1002502642382031</t>
  </si>
  <si>
    <t xml:space="preserve">8777702081546801</t>
  </si>
  <si>
    <t xml:space="preserve">3726488292541581235</t>
  </si>
  <si>
    <t xml:space="preserve">8220100010816713</t>
  </si>
  <si>
    <t xml:space="preserve">3731263292541968572</t>
  </si>
  <si>
    <t xml:space="preserve">8535101701141650</t>
  </si>
  <si>
    <t xml:space="preserve">GETTING STARTED KIT 1002502660262032 ORDERED Created: July 2</t>
  </si>
  <si>
    <t xml:space="preserve">Sat</t>
  </si>
  <si>
    <t xml:space="preserve">8299700044739272</t>
  </si>
  <si>
    <t xml:space="preserve">1002131888732095</t>
  </si>
  <si>
    <t xml:space="preserve">8220177051357997</t>
  </si>
  <si>
    <t xml:space="preserve">1002312014412071</t>
  </si>
  <si>
    <t xml:space="preserve">8299420641215457</t>
  </si>
  <si>
    <t xml:space="preserve">1002131945442092</t>
  </si>
  <si>
    <t xml:space="preserve">8777702104199158</t>
  </si>
  <si>
    <t xml:space="preserve">3721658292600833790</t>
  </si>
  <si>
    <t xml:space="preserve">8773201450241650</t>
  </si>
  <si>
    <t xml:space="preserve">3729624292603170579</t>
  </si>
  <si>
    <t xml:space="preserve">8495741900388335</t>
  </si>
  <si>
    <t xml:space="preserve">3729693292601824308</t>
  </si>
  <si>
    <t xml:space="preserve">100071931</t>
  </si>
  <si>
    <t xml:space="preserve">Yousra Ali Elsayed Hussien</t>
  </si>
  <si>
    <t xml:space="preserve">8773100011396716</t>
  </si>
  <si>
    <t xml:space="preserve">37264142925999350612</t>
  </si>
  <si>
    <t xml:space="preserve">8535101890413894</t>
  </si>
  <si>
    <t xml:space="preserve">3729641292603337456</t>
  </si>
  <si>
    <t xml:space="preserve">abdelrhman ashraf mohamed abdelghany</t>
  </si>
  <si>
    <t xml:space="preserve">UNMAPPED:abdelrhman ashraf mohamed abdelghany</t>
  </si>
  <si>
    <t xml:space="preserve">8777701821894984</t>
  </si>
  <si>
    <t xml:space="preserve">1001872357762011</t>
  </si>
  <si>
    <t xml:space="preserve">8220111020655462</t>
  </si>
  <si>
    <t xml:space="preserve">3729604292609517879</t>
  </si>
  <si>
    <t xml:space="preserve">8220220750536360</t>
  </si>
  <si>
    <t xml:space="preserve">3731245292614572195</t>
  </si>
  <si>
    <t xml:space="preserve">8498350120380291</t>
  </si>
  <si>
    <t xml:space="preserve">3729645292615815054</t>
  </si>
  <si>
    <t xml:space="preserve">8396500042631543</t>
  </si>
  <si>
    <t xml:space="preserve">1001307673502106</t>
  </si>
  <si>
    <t xml:space="preserve">8529100090401376</t>
  </si>
  <si>
    <t xml:space="preserve">1001363988152111</t>
  </si>
  <si>
    <t xml:space="preserve">8495741202438473</t>
  </si>
  <si>
    <t xml:space="preserve">3721640292630993327</t>
  </si>
  <si>
    <t xml:space="preserve">Sun</t>
  </si>
  <si>
    <t xml:space="preserve">8497404760702024</t>
  </si>
  <si>
    <t xml:space="preserve">1002312228902073</t>
  </si>
  <si>
    <t xml:space="preserve">8773102380170409</t>
  </si>
  <si>
    <t xml:space="preserve">1001956424892065</t>
  </si>
  <si>
    <t xml:space="preserve">8498390053184591</t>
  </si>
  <si>
    <t xml:space="preserve">1001074037872084</t>
  </si>
  <si>
    <t xml:space="preserve">8396120023394878</t>
  </si>
  <si>
    <t xml:space="preserve">3726491292682437707</t>
  </si>
  <si>
    <t xml:space="preserve">8497800860293790</t>
  </si>
  <si>
    <t xml:space="preserve">1002312279422070</t>
  </si>
  <si>
    <t xml:space="preserve">8497606440309018</t>
  </si>
  <si>
    <t xml:space="preserve">1002312279722073</t>
  </si>
  <si>
    <t xml:space="preserve">8535114670146915</t>
  </si>
  <si>
    <t xml:space="preserve">1002503122412033</t>
  </si>
  <si>
    <t xml:space="preserve">8771300124120688</t>
  </si>
  <si>
    <t xml:space="preserve">3731227292696629162</t>
  </si>
  <si>
    <t xml:space="preserve">8498350177254423</t>
  </si>
  <si>
    <t xml:space="preserve">1001074059212086</t>
  </si>
  <si>
    <t xml:space="preserve">8771401290563733</t>
  </si>
  <si>
    <t xml:space="preserve">1002296628422057</t>
  </si>
  <si>
    <t xml:space="preserve">100070945</t>
  </si>
  <si>
    <t xml:space="preserve">Mohamed Alhussein Maher Hassan</t>
  </si>
  <si>
    <t xml:space="preserve">8512100190188278</t>
  </si>
  <si>
    <t xml:space="preserve">1002130370112097</t>
  </si>
  <si>
    <t xml:space="preserve">8778101120819544</t>
  </si>
  <si>
    <t xml:space="preserve">1001433800182040</t>
  </si>
  <si>
    <t xml:space="preserve">1000794038</t>
  </si>
  <si>
    <t xml:space="preserve">8778101015670614</t>
  </si>
  <si>
    <t xml:space="preserve">8155100516050444</t>
  </si>
  <si>
    <t xml:space="preserve">1002151309862024</t>
  </si>
  <si>
    <t xml:space="preserve">8535101080109690</t>
  </si>
  <si>
    <t xml:space="preserve">8771300010298499</t>
  </si>
  <si>
    <t xml:space="preserve">GETTING STARTED KIT 1002296646372052 ORDERED Created: July 2</t>
  </si>
  <si>
    <t xml:space="preserve">8772106221221819</t>
  </si>
  <si>
    <t xml:space="preserve">530006857</t>
  </si>
  <si>
    <t xml:space="preserve">Mon</t>
  </si>
  <si>
    <t xml:space="preserve">8993110370006677</t>
  </si>
  <si>
    <t xml:space="preserve">1001872662672012</t>
  </si>
  <si>
    <t xml:space="preserve">100070305</t>
  </si>
  <si>
    <t xml:space="preserve">UNMAPPED:100070305</t>
  </si>
  <si>
    <t xml:space="preserve">8495741203117795</t>
  </si>
  <si>
    <t xml:space="preserve">530009970</t>
  </si>
  <si>
    <t xml:space="preserve">8495752410566195</t>
  </si>
  <si>
    <t xml:space="preserve">3721640292766713979</t>
  </si>
  <si>
    <t xml:space="preserve">8155100140040324</t>
  </si>
  <si>
    <t xml:space="preserve">100049619</t>
  </si>
  <si>
    <t xml:space="preserve">Bassant Mohamed</t>
  </si>
  <si>
    <t xml:space="preserve">8396400230461698</t>
  </si>
  <si>
    <t xml:space="preserve">1001307917992105</t>
  </si>
  <si>
    <t xml:space="preserve">8777703320160420</t>
  </si>
  <si>
    <t xml:space="preserve">1001872731982012</t>
  </si>
  <si>
    <t xml:space="preserve">8773102531093898</t>
  </si>
  <si>
    <t xml:space="preserve">3729690292773933537</t>
  </si>
  <si>
    <t xml:space="preserve">8993206130063360</t>
  </si>
  <si>
    <t xml:space="preserve">1001872744562017</t>
  </si>
  <si>
    <t xml:space="preserve">8777703312621066</t>
  </si>
  <si>
    <t xml:space="preserve">1001872750042011</t>
  </si>
  <si>
    <t xml:space="preserve">8155100302035682</t>
  </si>
  <si>
    <t xml:space="preserve">1002151458772024</t>
  </si>
  <si>
    <t xml:space="preserve">8497202580092042</t>
  </si>
  <si>
    <t xml:space="preserve">GETTING STARTED KIT 1002312519302074 ORDERED Created: July 2</t>
  </si>
  <si>
    <t xml:space="preserve">8771201230185229</t>
  </si>
  <si>
    <t xml:space="preserve">1002296825772056</t>
  </si>
  <si>
    <t xml:space="preserve">8396900020125072</t>
  </si>
  <si>
    <t xml:space="preserve">1001307956592105</t>
  </si>
  <si>
    <t xml:space="preserve">8495600032080436</t>
  </si>
  <si>
    <t xml:space="preserve">1002503405322032</t>
  </si>
  <si>
    <t xml:space="preserve">8773102730161884</t>
  </si>
  <si>
    <t xml:space="preserve">8155600411275798</t>
  </si>
  <si>
    <t xml:space="preserve">1002150504382028</t>
  </si>
  <si>
    <t xml:space="preserve">#3726477292784211278</t>
  </si>
  <si>
    <t xml:space="preserve">8773103160754792</t>
  </si>
  <si>
    <t xml:space="preserve">3721642292786686991</t>
  </si>
  <si>
    <t xml:space="preserve">8499200072239418</t>
  </si>
  <si>
    <t xml:space="preserve">1002132660462091</t>
  </si>
  <si>
    <t xml:space="preserve">GETTING STARTED KIT 1001956668192065 ORDERED Created: July 2</t>
  </si>
  <si>
    <t xml:space="preserve">8396522012551493</t>
  </si>
  <si>
    <t xml:space="preserve">1001307983652104</t>
  </si>
  <si>
    <t xml:space="preserve">8529202170060682</t>
  </si>
  <si>
    <t xml:space="preserve">3731278292792403230</t>
  </si>
  <si>
    <t xml:space="preserve">8771203460001944</t>
  </si>
  <si>
    <t xml:space="preserve">1002296881842058</t>
  </si>
  <si>
    <t xml:space="preserve">8773400160280939</t>
  </si>
  <si>
    <t xml:space="preserve">1001956691302061</t>
  </si>
  <si>
    <t xml:space="preserve">8772105080788314</t>
  </si>
  <si>
    <t xml:space="preserve">1001433929922045</t>
  </si>
  <si>
    <t xml:space="preserve">8497404483899974</t>
  </si>
  <si>
    <t xml:space="preserve">3721686292799721572</t>
  </si>
  <si>
    <t xml:space="preserve">8529101560345747</t>
  </si>
  <si>
    <t xml:space="preserve">GETTING STARTED KIT 1001364338152116 ORDERED Created: July 2</t>
  </si>
  <si>
    <t xml:space="preserve">8529100790086220</t>
  </si>
  <si>
    <t xml:space="preserve">1</t>
  </si>
  <si>
    <t xml:space="preserve">8155300241326057</t>
  </si>
  <si>
    <t xml:space="preserve">GETTING STARTED KIT 1002151559852022 ORDERED Created: July 2</t>
  </si>
  <si>
    <t xml:space="preserve">8155400191403516</t>
  </si>
  <si>
    <t xml:space="preserve">1002151560032028</t>
  </si>
  <si>
    <t xml:space="preserve">8299600074651431</t>
  </si>
  <si>
    <t xml:space="preserve">1002132726922096</t>
  </si>
  <si>
    <t xml:space="preserve">q</t>
  </si>
  <si>
    <t xml:space="preserve">8773103521159525</t>
  </si>
  <si>
    <t xml:space="preserve">3731255292800975400</t>
  </si>
  <si>
    <t xml:space="preserve">8155400420300046</t>
  </si>
  <si>
    <t xml:space="preserve">GETTING STARTED KIT 1002151564842026 ORDERED Created: July 2</t>
  </si>
  <si>
    <t xml:space="preserve">8155400551890377</t>
  </si>
  <si>
    <t xml:space="preserve">1002151403812024</t>
  </si>
  <si>
    <t xml:space="preserve">8772105141141032</t>
  </si>
  <si>
    <t xml:space="preserve">GETTING STARTED KIT 1001433942962044 ORDERED Created: July 2</t>
  </si>
  <si>
    <t xml:space="preserve">Tue</t>
  </si>
  <si>
    <t xml:space="preserve">8495600800717243</t>
  </si>
  <si>
    <t xml:space="preserve">1002503589472033</t>
  </si>
  <si>
    <t xml:space="preserve">8495753922388557</t>
  </si>
  <si>
    <t xml:space="preserve">1002503606642030</t>
  </si>
  <si>
    <t xml:space="preserve">8773110180540960</t>
  </si>
  <si>
    <t xml:space="preserve">1001956746822063</t>
  </si>
  <si>
    <t xml:space="preserve">8155400390105979</t>
  </si>
  <si>
    <t xml:space="preserve">1002151658142028</t>
  </si>
  <si>
    <t xml:space="preserve">8155400271988352</t>
  </si>
  <si>
    <t xml:space="preserve">1002151659532029</t>
  </si>
  <si>
    <t xml:space="preserve">1034344790</t>
  </si>
  <si>
    <t xml:space="preserve">3726483292852113810</t>
  </si>
  <si>
    <t xml:space="preserve">8155300260924592</t>
  </si>
  <si>
    <t xml:space="preserve">1002151674822025</t>
  </si>
  <si>
    <t xml:space="preserve">8771300043704893</t>
  </si>
  <si>
    <t xml:space="preserve">1002297046622054</t>
  </si>
  <si>
    <t xml:space="preserve">100073753</t>
  </si>
  <si>
    <t xml:space="preserve">Abdelrahman Araby Farag Abdelwahed</t>
  </si>
  <si>
    <t xml:space="preserve">8773105170330026</t>
  </si>
  <si>
    <t xml:space="preserve">100073757</t>
  </si>
  <si>
    <t xml:space="preserve">UNMAPPED:100073757</t>
  </si>
  <si>
    <t xml:space="preserve">8529201650005142</t>
  </si>
  <si>
    <t xml:space="preserve">8771101230627941</t>
  </si>
  <si>
    <t xml:space="preserve">8498360100018019</t>
  </si>
  <si>
    <t xml:space="preserve">1001074263252084</t>
  </si>
  <si>
    <t xml:space="preserve">8771300114460664</t>
  </si>
  <si>
    <t xml:space="preserve">3721631292860397949</t>
  </si>
  <si>
    <t xml:space="preserve">8155600700979803</t>
  </si>
  <si>
    <t xml:space="preserve">8535115140181952</t>
  </si>
  <si>
    <t xml:space="preserve">1002503689912037</t>
  </si>
  <si>
    <t xml:space="preserve">8771100350307904</t>
  </si>
  <si>
    <t xml:space="preserve">8495600082177413</t>
  </si>
  <si>
    <t xml:space="preserve">1002503705332038</t>
  </si>
  <si>
    <t xml:space="preserve">8220204142633564</t>
  </si>
  <si>
    <t xml:space="preserve">1002312798372079</t>
  </si>
  <si>
    <t xml:space="preserve">8155200360783692</t>
  </si>
  <si>
    <t xml:space="preserve">1002151730302020</t>
  </si>
  <si>
    <t xml:space="preserve">8495741401802826</t>
  </si>
  <si>
    <t xml:space="preserve">8535100240159165</t>
  </si>
  <si>
    <t xml:space="preserve">1002503734202038</t>
  </si>
  <si>
    <t xml:space="preserve">8771100310080526</t>
  </si>
  <si>
    <t xml:space="preserve">GETTING STARTED KIT 1002297087912059 ORDERED Created: July 2</t>
  </si>
  <si>
    <t xml:space="preserve">3731203292864219503</t>
  </si>
  <si>
    <t xml:space="preserve">8771101310751553</t>
  </si>
  <si>
    <t xml:space="preserve">2</t>
  </si>
  <si>
    <t xml:space="preserve">8499051470191390</t>
  </si>
  <si>
    <t xml:space="preserve">1002133069792096</t>
  </si>
  <si>
    <t xml:space="preserve">8396511742606347</t>
  </si>
  <si>
    <t xml:space="preserve">1001308169892100</t>
  </si>
  <si>
    <t xml:space="preserve">8993115860025731</t>
  </si>
  <si>
    <t xml:space="preserve">1001873056732016</t>
  </si>
  <si>
    <t xml:space="preserve">8773200810274369</t>
  </si>
  <si>
    <t xml:space="preserve">GETTING STARTED KIT 1001956884252065 ORDERED Created: July 2</t>
  </si>
  <si>
    <t xml:space="preserve">8778102001137865</t>
  </si>
  <si>
    <t xml:space="preserve">1001434079202048</t>
  </si>
  <si>
    <t xml:space="preserve">8993211890001857</t>
  </si>
  <si>
    <t xml:space="preserve">1001873083162013</t>
  </si>
  <si>
    <t xml:space="preserve">8155400570500320</t>
  </si>
  <si>
    <t xml:space="preserve">3731253292886262970</t>
  </si>
  <si>
    <t xml:space="preserve">8155600371965073</t>
  </si>
  <si>
    <t xml:space="preserve">1002151913382021</t>
  </si>
  <si>
    <t xml:space="preserve">8497505880263240</t>
  </si>
  <si>
    <t xml:space="preserve">3721614292889952573</t>
  </si>
  <si>
    <t xml:space="preserve">8499102200093123</t>
  </si>
  <si>
    <t xml:space="preserve">GETTING STARTED KIT 1002133178732090 ORDERED Created: July 2</t>
  </si>
  <si>
    <t xml:space="preserve">8396522012516819</t>
  </si>
  <si>
    <t xml:space="preserve">3729675292895791527</t>
  </si>
  <si>
    <t xml:space="preserve">100070354</t>
  </si>
  <si>
    <t xml:space="preserve">UNMAPPED:100070354</t>
  </si>
  <si>
    <t xml:space="preserve">8220199101683636</t>
  </si>
  <si>
    <t xml:space="preserve">1002313120512077</t>
  </si>
  <si>
    <t xml:space="preserve">100071686</t>
  </si>
  <si>
    <t xml:space="preserve">Amr Saad</t>
  </si>
  <si>
    <t xml:space="preserve">8299600200484590</t>
  </si>
  <si>
    <t xml:space="preserve">530045222</t>
  </si>
  <si>
    <t xml:space="preserve">8499053340763119</t>
  </si>
  <si>
    <t xml:space="preserve">1002133401842096</t>
  </si>
  <si>
    <t xml:space="preserve">8771101100721030</t>
  </si>
  <si>
    <t xml:space="preserve">1002297292132055</t>
  </si>
  <si>
    <t xml:space="preserve">8497950580647591</t>
  </si>
  <si>
    <t xml:space="preserve">3729630292938035194</t>
  </si>
  <si>
    <t xml:space="preserve">8396500040231833</t>
  </si>
  <si>
    <t xml:space="preserve">1001308310772102</t>
  </si>
  <si>
    <t xml:space="preserve">8529102160186093</t>
  </si>
  <si>
    <t xml:space="preserve">100070308</t>
  </si>
  <si>
    <t xml:space="preserve">Samir Abdelaziz Farid Ali Salem</t>
  </si>
  <si>
    <t xml:space="preserve">8993111460056069</t>
  </si>
  <si>
    <t xml:space="preserve">1001873296812016</t>
  </si>
  <si>
    <t xml:space="preserve">8499102450062679</t>
  </si>
  <si>
    <t xml:space="preserve">1002133510692093</t>
  </si>
  <si>
    <t xml:space="preserve">100071346</t>
  </si>
  <si>
    <t xml:space="preserve">UNMAPPED:100071346</t>
  </si>
  <si>
    <t xml:space="preserve">8299300070378622</t>
  </si>
  <si>
    <t xml:space="preserve">1002133509722091</t>
  </si>
  <si>
    <t xml:space="preserve">8778101024075177</t>
  </si>
  <si>
    <t xml:space="preserve">CHANGE OF SERVICE 1001434213582040 SCHEDULED WAITLIST - Dele</t>
  </si>
  <si>
    <t xml:space="preserve">8495741442319863</t>
  </si>
  <si>
    <t xml:space="preserve">1002504178422033</t>
  </si>
  <si>
    <t xml:space="preserve">8396522031394438</t>
  </si>
  <si>
    <t xml:space="preserve">1001308352572105</t>
  </si>
  <si>
    <t xml:space="preserve">8495600080750880</t>
  </si>
  <si>
    <t xml:space="preserve">3726401292951046882</t>
  </si>
  <si>
    <t xml:space="preserve">8499101680040935</t>
  </si>
  <si>
    <t xml:space="preserve">1002133537042090</t>
  </si>
  <si>
    <t xml:space="preserve">1002133559742098</t>
  </si>
  <si>
    <t xml:space="preserve">8299410090011507</t>
  </si>
  <si>
    <t xml:space="preserve">GETTING STARTED KIT 1002133576552090 ORDERED Created: July 2</t>
  </si>
  <si>
    <t xml:space="preserve">8396500730007477</t>
  </si>
  <si>
    <t xml:space="preserve">GETTING STARTED KIT 1001308383352105 ORDERED Created: July 2</t>
  </si>
  <si>
    <t xml:space="preserve">8535300010911106</t>
  </si>
  <si>
    <t xml:space="preserve">1002504234342035</t>
  </si>
  <si>
    <t xml:space="preserve">8396513090026003</t>
  </si>
  <si>
    <t xml:space="preserve">GETTING STARTED KIT 1001308386012102 ORDERED Created: July 2</t>
  </si>
  <si>
    <t xml:space="preserve">8993114970016961</t>
  </si>
  <si>
    <t xml:space="preserve">1001873380102019</t>
  </si>
  <si>
    <t xml:space="preserve">8396500042612733</t>
  </si>
  <si>
    <t xml:space="preserve">OPEN WORK ORDERS (1) TROUBLE CALL #1001308396762100 Schedule</t>
  </si>
  <si>
    <t xml:space="preserve">8771402100145851</t>
  </si>
  <si>
    <t xml:space="preserve">1002297442272058</t>
  </si>
  <si>
    <t xml:space="preserve">8771402060765243</t>
  </si>
  <si>
    <t xml:space="preserve">1002297448752053</t>
  </si>
  <si>
    <t xml:space="preserve">8777702133560966</t>
  </si>
  <si>
    <t xml:space="preserve">GETTING STARTED KIT 1001873389062016 ORDERED Created: July 2</t>
  </si>
  <si>
    <t xml:space="preserve">8778103031979664</t>
  </si>
  <si>
    <t xml:space="preserve">1001434270322041</t>
  </si>
  <si>
    <t xml:space="preserve">8498390052686026</t>
  </si>
  <si>
    <t xml:space="preserve">1001074942712086</t>
  </si>
  <si>
    <t xml:space="preserve">8299420720004350</t>
  </si>
  <si>
    <t xml:space="preserve">1002133656502098</t>
  </si>
  <si>
    <t xml:space="preserve">8529113660919974</t>
  </si>
  <si>
    <t xml:space="preserve">1001364756722119</t>
  </si>
  <si>
    <t xml:space="preserve">8499102500067975</t>
  </si>
  <si>
    <t xml:space="preserve">8155300171475197</t>
  </si>
  <si>
    <t xml:space="preserve">3729692292970523152</t>
  </si>
  <si>
    <t xml:space="preserve">8993206200016827</t>
  </si>
  <si>
    <t xml:space="preserve">1001873393742017</t>
  </si>
  <si>
    <t xml:space="preserve">8778107016074995</t>
  </si>
  <si>
    <t xml:space="preserve">GETTING STARTED KIT 1001434273392041 ORDERED Created: July 2</t>
  </si>
  <si>
    <t xml:space="preserve">8396100441971630</t>
  </si>
  <si>
    <t xml:space="preserve">3726490292974980699</t>
  </si>
  <si>
    <t xml:space="preserve">8499053542152228</t>
  </si>
  <si>
    <t xml:space="preserve">1002133670722094</t>
  </si>
  <si>
    <t xml:space="preserve">8495753812306206</t>
  </si>
  <si>
    <t xml:space="preserve">1002504301452030</t>
  </si>
  <si>
    <t xml:space="preserve">8993110180310152</t>
  </si>
  <si>
    <t xml:space="preserve">1001873537222017</t>
  </si>
  <si>
    <t xml:space="preserve">8535100960104078</t>
  </si>
  <si>
    <t xml:space="preserve">530066014</t>
  </si>
  <si>
    <t xml:space="preserve">100046118</t>
  </si>
  <si>
    <t xml:space="preserve">Assem Morsy</t>
  </si>
  <si>
    <t xml:space="preserve">8777702130926947</t>
  </si>
  <si>
    <t xml:space="preserve">1001873560662014</t>
  </si>
  <si>
    <t xml:space="preserve">8771103200010835</t>
  </si>
  <si>
    <t xml:space="preserve">1002297598542056</t>
  </si>
  <si>
    <t xml:space="preserve">8495741220559003</t>
  </si>
  <si>
    <t xml:space="preserve">1002504540232037</t>
  </si>
  <si>
    <t xml:space="preserve">8772105290829098</t>
  </si>
  <si>
    <t xml:space="preserve">1HY75</t>
  </si>
  <si>
    <t xml:space="preserve">8993111621482758</t>
  </si>
  <si>
    <t xml:space="preserve">1001873607212013</t>
  </si>
  <si>
    <t xml:space="preserve">8155400040481085</t>
  </si>
  <si>
    <t xml:space="preserve">1002152665412024</t>
  </si>
  <si>
    <t xml:space="preserve">8771400921141687</t>
  </si>
  <si>
    <t xml:space="preserve">3726470293035076045</t>
  </si>
  <si>
    <t xml:space="preserve">8777703197492898</t>
  </si>
  <si>
    <t xml:space="preserve">1001873631692016</t>
  </si>
  <si>
    <t xml:space="preserve">8529101400023637</t>
  </si>
  <si>
    <t xml:space="preserve">GETTING STARTED KIT 1001364930052110 ORDERED Created: July 3</t>
  </si>
  <si>
    <t xml:space="preserve">8773105010396328</t>
  </si>
  <si>
    <t xml:space="preserve">1001957395952060</t>
  </si>
  <si>
    <t xml:space="preserve">8396120030944319</t>
  </si>
  <si>
    <t xml:space="preserve">1001308604842108</t>
  </si>
  <si>
    <t xml:space="preserve">8220133035777925</t>
  </si>
  <si>
    <t xml:space="preserve">1002313693172077</t>
  </si>
  <si>
    <t xml:space="preserve">8155100091078828</t>
  </si>
  <si>
    <t xml:space="preserve">1002152724782029</t>
  </si>
  <si>
    <t xml:space="preserve">8773102851092009</t>
  </si>
  <si>
    <t xml:space="preserve">1001957406282069</t>
  </si>
  <si>
    <t xml:space="preserve">8777702133561147</t>
  </si>
  <si>
    <t xml:space="preserve">1002134045732099</t>
  </si>
  <si>
    <t xml:space="preserve">10071931</t>
  </si>
  <si>
    <t xml:space="preserve">8155500342061095</t>
  </si>
  <si>
    <t xml:space="preserve">1002152736132023</t>
  </si>
  <si>
    <t xml:space="preserve">8495752502051825</t>
  </si>
  <si>
    <t xml:space="preserve">GETTING STARTED KIT 1002504674752032 ORDERED Created: July 3</t>
  </si>
  <si>
    <t xml:space="preserve">3731280293047705864</t>
  </si>
  <si>
    <t xml:space="preserve">8495600082297377</t>
  </si>
  <si>
    <t xml:space="preserve">8993115700982786</t>
  </si>
  <si>
    <t xml:space="preserve">1001873684152017</t>
  </si>
  <si>
    <t xml:space="preserve">8993111622027404</t>
  </si>
  <si>
    <t xml:space="preserve">1001873685962018</t>
  </si>
  <si>
    <t xml:space="preserve">8499053251864161</t>
  </si>
  <si>
    <t xml:space="preserve">1002134093862095</t>
  </si>
  <si>
    <t xml:space="preserve">8498360100769306</t>
  </si>
  <si>
    <t xml:space="preserve">1001075790022080</t>
  </si>
  <si>
    <t xml:space="preserve">8535100271782190</t>
  </si>
  <si>
    <t xml:space="preserve">1002504708842031</t>
  </si>
  <si>
    <t xml:space="preserve">8220177093153735</t>
  </si>
  <si>
    <t xml:space="preserve">3726427293055368360</t>
  </si>
  <si>
    <t xml:space="preserve">8498370180230707</t>
  </si>
  <si>
    <t xml:space="preserve">1001075802942085</t>
  </si>
  <si>
    <t xml:space="preserve">8495600710913510</t>
  </si>
  <si>
    <t xml:space="preserve">1002504723722036</t>
  </si>
  <si>
    <t xml:space="preserve">3729671293059738677</t>
  </si>
  <si>
    <t xml:space="preserve">3729658293061526270 / 3726479293061179485</t>
  </si>
  <si>
    <t xml:space="preserve">8299400451584226</t>
  </si>
  <si>
    <t xml:space="preserve">1002134303062098</t>
  </si>
  <si>
    <t xml:space="preserve">8535114562291910</t>
  </si>
  <si>
    <t xml:space="preserve">1002504864722035</t>
  </si>
  <si>
    <t xml:space="preserve">8396800010180857</t>
  </si>
  <si>
    <t xml:space="preserve">1001308743692109</t>
  </si>
  <si>
    <t xml:space="preserve">100070297</t>
  </si>
  <si>
    <t xml:space="preserve">UNMAPPED:100070297</t>
  </si>
  <si>
    <t xml:space="preserve">8771201740096874</t>
  </si>
  <si>
    <t xml:space="preserve">8777702121762632</t>
  </si>
  <si>
    <t xml:space="preserve">1001873842962018</t>
  </si>
  <si>
    <t xml:space="preserve">8529200850230567</t>
  </si>
  <si>
    <t xml:space="preserve">1001365094282112</t>
  </si>
  <si>
    <t xml:space="preserve">1002152979002024</t>
  </si>
  <si>
    <t xml:space="preserve">UNMAPPED:1002152979002024</t>
  </si>
  <si>
    <t xml:space="preserve">8155300480229699</t>
  </si>
  <si>
    <t xml:space="preserve">8497404485526864</t>
  </si>
  <si>
    <t xml:space="preserve">3721618293108246603</t>
  </si>
  <si>
    <t xml:space="preserve">1002313918572077</t>
  </si>
  <si>
    <t xml:space="preserve">3726404293110010504</t>
  </si>
  <si>
    <t xml:space="preserve">8155600840011087</t>
  </si>
  <si>
    <t xml:space="preserve">1002152983702023</t>
  </si>
  <si>
    <t xml:space="preserve">8771300114520608</t>
  </si>
  <si>
    <t xml:space="preserve">3731245293111513949</t>
  </si>
  <si>
    <t xml:space="preserve">8220122030377559</t>
  </si>
  <si>
    <t xml:space="preserve">1002313954622075</t>
  </si>
  <si>
    <t xml:space="preserve">8993204640049706</t>
  </si>
  <si>
    <t xml:space="preserve">1001873895802012</t>
  </si>
  <si>
    <t xml:space="preserve">8535100450138719</t>
  </si>
  <si>
    <t xml:space="preserve">1002504957792036</t>
  </si>
  <si>
    <t xml:space="preserve">100064778</t>
  </si>
  <si>
    <t xml:space="preserve">Adham Tarek Kamal Elsherif</t>
  </si>
  <si>
    <t xml:space="preserve">8155200070631231</t>
  </si>
  <si>
    <t xml:space="preserve">1002153015832028</t>
  </si>
  <si>
    <t xml:space="preserve">8220204162389501</t>
  </si>
  <si>
    <t xml:space="preserve">3721671293120855562</t>
  </si>
  <si>
    <t xml:space="preserve">8529200580031350</t>
  </si>
  <si>
    <t xml:space="preserve">1001365156272118</t>
  </si>
  <si>
    <t xml:space="preserve">8495741441700980</t>
  </si>
  <si>
    <t xml:space="preserve">1002504987602031</t>
  </si>
  <si>
    <t xml:space="preserve">8535114200435515</t>
  </si>
  <si>
    <t xml:space="preserve">1002504678622033</t>
  </si>
  <si>
    <t xml:space="preserve">8220116030167739</t>
  </si>
  <si>
    <t xml:space="preserve">1002314018742073</t>
  </si>
  <si>
    <t xml:space="preserve">1000</t>
  </si>
  <si>
    <t xml:space="preserve">UNMAPPED:1000</t>
  </si>
  <si>
    <t xml:space="preserve">8535100231036778</t>
  </si>
  <si>
    <t xml:space="preserve">1002505069722035</t>
  </si>
  <si>
    <t xml:space="preserve">8771402250171038</t>
  </si>
  <si>
    <t xml:space="preserve">1002298016442051</t>
  </si>
  <si>
    <t xml:space="preserve">8777703152356666</t>
  </si>
  <si>
    <t xml:space="preserve">1001873984422011</t>
  </si>
  <si>
    <t xml:space="preserve">8220220901422452</t>
  </si>
  <si>
    <t xml:space="preserve">GETTING STARTED KIT 1002314068852079 ORDERED Created: July 3</t>
  </si>
  <si>
    <t xml:space="preserve">8396400010844618</t>
  </si>
  <si>
    <t xml:space="preserve">1001308858682101</t>
  </si>
  <si>
    <t xml:space="preserve">8499050910170857</t>
  </si>
  <si>
    <t xml:space="preserve">GETTING STARTED KIT 1002134563902090 ORDERED Created: July 3</t>
  </si>
  <si>
    <t xml:space="preserve">8495840013722107</t>
  </si>
  <si>
    <t xml:space="preserve">3726497293143752426</t>
  </si>
  <si>
    <t xml:space="preserve">8396500470185533</t>
  </si>
  <si>
    <t xml:space="preserve">1001308863622100</t>
  </si>
  <si>
    <t xml:space="preserve">8396410810078838</t>
  </si>
  <si>
    <t xml:space="preserve">8499102460148500</t>
  </si>
  <si>
    <t xml:space="preserve">8773402010076954</t>
  </si>
  <si>
    <t xml:space="preserve">1001957774972069</t>
  </si>
  <si>
    <t xml:space="preserve">8773110250602666</t>
  </si>
  <si>
    <t xml:space="preserve">443500293197366838</t>
  </si>
  <si>
    <t xml:space="preserve">8771300513535074</t>
  </si>
  <si>
    <t xml:space="preserve">1002298172492056</t>
  </si>
  <si>
    <t xml:space="preserve">8993115140122472</t>
  </si>
  <si>
    <t xml:space="preserve">1001874127292014</t>
  </si>
  <si>
    <t xml:space="preserve">8495741930014612</t>
  </si>
  <si>
    <t xml:space="preserve">1002505265382030</t>
  </si>
  <si>
    <t xml:space="preserve">8778105061151304</t>
  </si>
  <si>
    <t xml:space="preserve">530102436</t>
  </si>
  <si>
    <t xml:space="preserve">8773110900161097</t>
  </si>
  <si>
    <t xml:space="preserve">3721689293202025880</t>
  </si>
  <si>
    <t xml:space="preserve">8777703322940845</t>
  </si>
  <si>
    <t xml:space="preserve">8499102220016211</t>
  </si>
  <si>
    <t xml:space="preserve">530104321</t>
  </si>
  <si>
    <t xml:space="preserve">8495752421289803</t>
  </si>
  <si>
    <t xml:space="preserve">3726426293209384691</t>
  </si>
  <si>
    <t xml:space="preserve">100071921</t>
  </si>
  <si>
    <t xml:space="preserve">UNMAPPED:100071921</t>
  </si>
  <si>
    <t xml:space="preserve">8155600031233003</t>
  </si>
  <si>
    <t xml:space="preserve">3721677293209792944</t>
  </si>
  <si>
    <t xml:space="preserve">8299610220443658</t>
  </si>
  <si>
    <t xml:space="preserve">1002134852622094</t>
  </si>
  <si>
    <t xml:space="preserve">8535100420160363</t>
  </si>
  <si>
    <t xml:space="preserve">1002505321162038</t>
  </si>
  <si>
    <t xml:space="preserve">8299600301246096</t>
  </si>
  <si>
    <t xml:space="preserve">1002134903042094</t>
  </si>
  <si>
    <t xml:space="preserve">8773103132042425</t>
  </si>
  <si>
    <t xml:space="preserve">1001957849032063</t>
  </si>
  <si>
    <t xml:space="preserve">8773103300096708</t>
  </si>
  <si>
    <t xml:space="preserve">3726434293221662712</t>
  </si>
  <si>
    <t xml:space="preserve">8778107015023761</t>
  </si>
  <si>
    <t xml:space="preserve">1001434712212040</t>
  </si>
  <si>
    <t xml:space="preserve">8773403811723703</t>
  </si>
  <si>
    <t xml:space="preserve">1001957853552063</t>
  </si>
  <si>
    <t xml:space="preserve">8529100040180930</t>
  </si>
  <si>
    <t xml:space="preserve">3721618293276222777</t>
  </si>
  <si>
    <t xml:space="preserve">8771200321693158</t>
  </si>
  <si>
    <t xml:space="preserve">1002298396952059</t>
  </si>
  <si>
    <t xml:space="preserve">8499052110028588</t>
  </si>
  <si>
    <t xml:space="preserve">1002135141412098</t>
  </si>
  <si>
    <t xml:space="preserve">8497202400012980</t>
  </si>
  <si>
    <t xml:space="preserve">GETTING STARTED KIT 1002314452572077 ORDERED Created: August</t>
  </si>
  <si>
    <t xml:space="preserve">8771300322551841</t>
  </si>
  <si>
    <t xml:space="preserve">530114101</t>
  </si>
  <si>
    <t xml:space="preserve">8495840050295603</t>
  </si>
  <si>
    <t xml:space="preserve">3726489293292025365</t>
  </si>
  <si>
    <t xml:space="preserve">8771300213787132</t>
  </si>
  <si>
    <t xml:space="preserve">3729631293293777865</t>
  </si>
  <si>
    <t xml:space="preserve">8155200517092138</t>
  </si>
  <si>
    <t xml:space="preserve">3726416293296388155</t>
  </si>
  <si>
    <t xml:space="preserve">8299420601319448</t>
  </si>
  <si>
    <t xml:space="preserve">1002135208562090</t>
  </si>
  <si>
    <t xml:space="preserve">8495741401975861</t>
  </si>
  <si>
    <t xml:space="preserve">GETTING STARTED KIT 1002505584372035 ORDERED Created: August</t>
  </si>
  <si>
    <t xml:space="preserve">8155200280766769</t>
  </si>
  <si>
    <t xml:space="preserve">1002153596702020</t>
  </si>
  <si>
    <t xml:space="preserve">8498390023504589</t>
  </si>
  <si>
    <t xml:space="preserve">1001076125812088</t>
  </si>
  <si>
    <t xml:space="preserve">8495752543814645</t>
  </si>
  <si>
    <t xml:space="preserve">1002505610142030</t>
  </si>
  <si>
    <t xml:space="preserve">8497900042165419</t>
  </si>
  <si>
    <t xml:space="preserve">3726470293306018571</t>
  </si>
  <si>
    <t xml:space="preserve">8771201240922173</t>
  </si>
  <si>
    <t xml:space="preserve">1002298479192052</t>
  </si>
  <si>
    <t xml:space="preserve">8155600570293913</t>
  </si>
  <si>
    <t xml:space="preserve">GETTING STARTED KIT 1002153629162028 ORDERED Created: August</t>
  </si>
  <si>
    <t xml:space="preserve">3721635293317019364</t>
  </si>
  <si>
    <t xml:space="preserve">8220160191732303</t>
  </si>
  <si>
    <t xml:space="preserve">3729605293317625096</t>
  </si>
  <si>
    <t xml:space="preserve">8773402030069088</t>
  </si>
  <si>
    <t xml:space="preserve">3726442293364727315</t>
  </si>
  <si>
    <t xml:space="preserve">8299400290064281</t>
  </si>
  <si>
    <t xml:space="preserve">1002135510922099</t>
  </si>
  <si>
    <t xml:space="preserve">8299400472506539</t>
  </si>
  <si>
    <t xml:space="preserve">1002135516202090</t>
  </si>
  <si>
    <t xml:space="preserve">8771100970602924</t>
  </si>
  <si>
    <t xml:space="preserve">8773102290872342</t>
  </si>
  <si>
    <t xml:space="preserve">3726453293366429228</t>
  </si>
  <si>
    <t xml:space="preserve">8535114852078878</t>
  </si>
  <si>
    <t xml:space="preserve">1002505791912037</t>
  </si>
  <si>
    <t xml:space="preserve">Amr Ashraf Ali Saad</t>
  </si>
  <si>
    <t xml:space="preserve">UNMAPPED:Amr Ashraf Ali Saad</t>
  </si>
  <si>
    <t xml:space="preserve">8220111104809084</t>
  </si>
  <si>
    <t xml:space="preserve">1002314667352075</t>
  </si>
  <si>
    <t xml:space="preserve">8155300342833886</t>
  </si>
  <si>
    <t xml:space="preserve">8499100110241352</t>
  </si>
  <si>
    <t xml:space="preserve">1002135574602090</t>
  </si>
  <si>
    <t xml:space="preserve">8778105043817295</t>
  </si>
  <si>
    <t xml:space="preserve">1001434883472043</t>
  </si>
  <si>
    <t xml:space="preserve">3721652293374740571</t>
  </si>
  <si>
    <t xml:space="preserve">3731271293371980099</t>
  </si>
  <si>
    <t xml:space="preserve">100075055</t>
  </si>
  <si>
    <t xml:space="preserve">Ahmed Mohamed</t>
  </si>
  <si>
    <t xml:space="preserve">8535114851465803</t>
  </si>
  <si>
    <t xml:space="preserve">3729692293372765452</t>
  </si>
  <si>
    <t xml:space="preserve">8773103180463952</t>
  </si>
  <si>
    <t xml:space="preserve">1001958194932063</t>
  </si>
  <si>
    <t xml:space="preserve">8396500042009526</t>
  </si>
  <si>
    <t xml:space="preserve">3729626293378583101</t>
  </si>
  <si>
    <t xml:space="preserve">8299420601059085</t>
  </si>
  <si>
    <t xml:space="preserve">8529200868252827</t>
  </si>
  <si>
    <t xml:space="preserve">1001365745922116</t>
  </si>
  <si>
    <t xml:space="preserve">8529201761146306</t>
  </si>
  <si>
    <t xml:space="preserve">1001365749422113</t>
  </si>
  <si>
    <t xml:space="preserve">8155100523170573</t>
  </si>
  <si>
    <t xml:space="preserve">1002153792762026</t>
  </si>
  <si>
    <t xml:space="preserve">8498380073448530</t>
  </si>
  <si>
    <t xml:space="preserve">1001076226672084</t>
  </si>
  <si>
    <t xml:space="preserve">8778102114830190</t>
  </si>
  <si>
    <t xml:space="preserve">1001434920282041</t>
  </si>
  <si>
    <t xml:space="preserve">100075057</t>
  </si>
  <si>
    <t xml:space="preserve">Mahmoud Mohamed</t>
  </si>
  <si>
    <t xml:space="preserve">8396900070143694</t>
  </si>
  <si>
    <t xml:space="preserve">111111111111</t>
  </si>
  <si>
    <t xml:space="preserve">8299600581024924</t>
  </si>
  <si>
    <t xml:space="preserve">10021356852220930001</t>
  </si>
  <si>
    <t xml:space="preserve">8778102280000354</t>
  </si>
  <si>
    <t xml:space="preserve">1001434932262049</t>
  </si>
  <si>
    <t xml:space="preserve">100075067</t>
  </si>
  <si>
    <t xml:space="preserve">Ahmed Saeed</t>
  </si>
  <si>
    <t xml:space="preserve">8495600011382142</t>
  </si>
  <si>
    <t xml:space="preserve">8299610420529017</t>
  </si>
  <si>
    <t xml:space="preserve">1002135696512094</t>
  </si>
  <si>
    <t xml:space="preserve">8220122110314886</t>
  </si>
  <si>
    <t xml:space="preserve">ETTING STARTED KIT 1002314769722076 ORDERED Created: August </t>
  </si>
  <si>
    <t xml:space="preserve">8299420321400510</t>
  </si>
  <si>
    <t xml:space="preserve">8529201080060774</t>
  </si>
  <si>
    <t xml:space="preserve">1001365787672116</t>
  </si>
  <si>
    <t xml:space="preserve">8396511560899008</t>
  </si>
  <si>
    <t xml:space="preserve">1001309378482105</t>
  </si>
  <si>
    <t xml:space="preserve">8771201550566842</t>
  </si>
  <si>
    <t xml:space="preserve">GETTING STARTED KIT 1002298739422059 ORDERED Created: August</t>
  </si>
  <si>
    <t xml:space="preserve">8771100380696706</t>
  </si>
  <si>
    <t xml:space="preserve">1002298742892058</t>
  </si>
  <si>
    <t xml:space="preserve">8299600300709946</t>
  </si>
  <si>
    <t xml:space="preserve">3721699293395109508</t>
  </si>
  <si>
    <t xml:space="preserve">100067085</t>
  </si>
  <si>
    <t xml:space="preserve">John Raouf Asaad Haana</t>
  </si>
  <si>
    <t xml:space="preserve">8771400330500341</t>
  </si>
  <si>
    <t xml:space="preserve">1034556707</t>
  </si>
  <si>
    <t xml:space="preserve">8497303267022532</t>
  </si>
  <si>
    <t xml:space="preserve">GETTING STARTED KIT 1002314804062074 ORDERED Created: August</t>
  </si>
  <si>
    <t xml:space="preserve">8495752501964457</t>
  </si>
  <si>
    <t xml:space="preserve">1002505961922030</t>
  </si>
  <si>
    <t xml:space="preserve">8155600830847169</t>
  </si>
  <si>
    <t xml:space="preserve">3726492293413755981</t>
  </si>
  <si>
    <t xml:space="preserve">8773103040035263</t>
  </si>
  <si>
    <t xml:space="preserve">1001958376932063</t>
  </si>
  <si>
    <t xml:space="preserve">8773103760544759</t>
  </si>
  <si>
    <t xml:space="preserve">1001958383402068</t>
  </si>
  <si>
    <t xml:space="preserve">8220111108085350</t>
  </si>
  <si>
    <t xml:space="preserve">1002314923042072</t>
  </si>
  <si>
    <t xml:space="preserve">8396200020360534</t>
  </si>
  <si>
    <t xml:space="preserve">1001309498172107</t>
  </si>
  <si>
    <t xml:space="preserve">8497900041887716</t>
  </si>
  <si>
    <t xml:space="preserve">8993204620412254</t>
  </si>
  <si>
    <t xml:space="preserve">3729658293456480087</t>
  </si>
  <si>
    <t xml:space="preserve">8299600480882901</t>
  </si>
  <si>
    <t xml:space="preserve">3726483293459949330</t>
  </si>
  <si>
    <t xml:space="preserve">8155600750406673</t>
  </si>
  <si>
    <t xml:space="preserve">1002153994862020</t>
  </si>
  <si>
    <t xml:space="preserve">8773101902728322</t>
  </si>
  <si>
    <t xml:space="preserve">1001958438592061</t>
  </si>
  <si>
    <t xml:space="preserve">8771401400001087</t>
  </si>
  <si>
    <t xml:space="preserve">3731265293468727200</t>
  </si>
  <si>
    <t xml:space="preserve">100070304</t>
  </si>
  <si>
    <t xml:space="preserve">Ahmed Abdelrahman Salem Mohamed Sakr</t>
  </si>
  <si>
    <t xml:space="preserve">8499050180021327</t>
  </si>
  <si>
    <t xml:space="preserve">3731270293472066649</t>
  </si>
  <si>
    <t xml:space="preserve">8495741401083237</t>
  </si>
  <si>
    <t xml:space="preserve">1002506200782037</t>
  </si>
  <si>
    <t xml:space="preserve">8512100090092943</t>
  </si>
  <si>
    <t xml:space="preserve">1001435099882040</t>
  </si>
  <si>
    <t xml:space="preserve">1001435103792045</t>
  </si>
  <si>
    <t xml:space="preserve">8771200791950039</t>
  </si>
  <si>
    <t xml:space="preserve">1002298977522057</t>
  </si>
  <si>
    <t xml:space="preserve">8499052020374593</t>
  </si>
  <si>
    <t xml:space="preserve">8220111090531361</t>
  </si>
  <si>
    <t xml:space="preserve">11213169420315110</t>
  </si>
  <si>
    <t xml:space="preserve">8499101490123368</t>
  </si>
  <si>
    <t xml:space="preserve">8155300150948057</t>
  </si>
  <si>
    <t xml:space="preserve">GETTING STARTED KIT 1002154070052023 ORDERED Created: August</t>
  </si>
  <si>
    <t xml:space="preserve">8497900032676391</t>
  </si>
  <si>
    <t xml:space="preserve">1002315038162077</t>
  </si>
  <si>
    <t xml:space="preserve">8771400360373981</t>
  </si>
  <si>
    <t xml:space="preserve">3729678293481900101</t>
  </si>
  <si>
    <t xml:space="preserve">8497950251860333</t>
  </si>
  <si>
    <t xml:space="preserve">8529201600536493</t>
  </si>
  <si>
    <t xml:space="preserve">1001366013362118</t>
  </si>
  <si>
    <t xml:space="preserve">8498300120254160</t>
  </si>
  <si>
    <t xml:space="preserve">1001045139662086</t>
  </si>
  <si>
    <t xml:space="preserve">8498390023507244</t>
  </si>
  <si>
    <t xml:space="preserve">1001076369852089</t>
  </si>
  <si>
    <t xml:space="preserve">100075058</t>
  </si>
  <si>
    <t xml:space="preserve">Kevin Abdelmalek</t>
  </si>
  <si>
    <t xml:space="preserve">8773404060133222</t>
  </si>
  <si>
    <t xml:space="preserve">1001958499732069</t>
  </si>
  <si>
    <t xml:space="preserve">8396111150050912</t>
  </si>
  <si>
    <t xml:space="preserve">3726408293489757674</t>
  </si>
  <si>
    <t xml:space="preserve">8155100510093119</t>
  </si>
  <si>
    <t xml:space="preserve">1002154112362026</t>
  </si>
  <si>
    <t xml:space="preserve">8220100021707273</t>
  </si>
  <si>
    <t xml:space="preserve">1002315080202078</t>
  </si>
  <si>
    <t xml:space="preserve">8773400234519585</t>
  </si>
  <si>
    <t xml:space="preserve">8498350177360592</t>
  </si>
  <si>
    <t xml:space="preserve">3729621293495750359</t>
  </si>
  <si>
    <t xml:space="preserve">100074082</t>
  </si>
  <si>
    <t xml:space="preserve">UNMAPPED:100074082</t>
  </si>
  <si>
    <t xml:space="preserve">8155400110290622</t>
  </si>
  <si>
    <t xml:space="preserve">1002154134082024</t>
  </si>
  <si>
    <t xml:space="preserve">8299400481751035</t>
  </si>
  <si>
    <t xml:space="preserve">1002136345812091</t>
  </si>
  <si>
    <t xml:space="preserve">8773202410120190</t>
  </si>
  <si>
    <t xml:space="preserve">3731286293533086185</t>
  </si>
  <si>
    <t xml:space="preserve">8299400311107390</t>
  </si>
  <si>
    <t xml:space="preserve">3729643293534700026</t>
  </si>
  <si>
    <t xml:space="preserve">8529101120669693</t>
  </si>
  <si>
    <t xml:space="preserve">1001366125492118</t>
  </si>
  <si>
    <t xml:space="preserve">8993110500015150</t>
  </si>
  <si>
    <t xml:space="preserve">1001875183512013</t>
  </si>
  <si>
    <t xml:space="preserve">10070308</t>
  </si>
  <si>
    <t xml:space="preserve">8495752622270313</t>
  </si>
  <si>
    <t xml:space="preserve">1002506466232032</t>
  </si>
  <si>
    <t xml:space="preserve">8499200071419656</t>
  </si>
  <si>
    <t xml:space="preserve">1002136420352096</t>
  </si>
  <si>
    <t xml:space="preserve">100075066</t>
  </si>
  <si>
    <t xml:space="preserve">Mahmoud Abdelaziz</t>
  </si>
  <si>
    <t xml:space="preserve">8396522031571613</t>
  </si>
  <si>
    <t xml:space="preserve">1001309715222107</t>
  </si>
  <si>
    <t xml:space="preserve">8299400121475342</t>
  </si>
  <si>
    <t xml:space="preserve">3729618293549797742</t>
  </si>
  <si>
    <t xml:space="preserve">100075068</t>
  </si>
  <si>
    <t xml:space="preserve">Seif Abdellah</t>
  </si>
  <si>
    <t xml:space="preserve">8993116130294339</t>
  </si>
  <si>
    <t xml:space="preserve">8155500521307780</t>
  </si>
  <si>
    <t xml:space="preserve">1002154275862028</t>
  </si>
  <si>
    <t xml:space="preserve">8535100601773695</t>
  </si>
  <si>
    <t xml:space="preserve">3721672293561691210</t>
  </si>
  <si>
    <t xml:space="preserve">8495600011421940</t>
  </si>
  <si>
    <t xml:space="preserve">1002506605302035</t>
  </si>
  <si>
    <t xml:space="preserve">8499100250089884</t>
  </si>
  <si>
    <t xml:space="preserve">GETTING STARTED KIT 1002136577012097 ORDERED Created: August</t>
  </si>
  <si>
    <t xml:space="preserve">8535115061139112</t>
  </si>
  <si>
    <t xml:space="preserve">1002506615262039</t>
  </si>
  <si>
    <t xml:space="preserve">8495753921257555</t>
  </si>
  <si>
    <t xml:space="preserve">1002506628852032</t>
  </si>
  <si>
    <t xml:space="preserve">8220199130752618</t>
  </si>
  <si>
    <t xml:space="preserve">1002315458022074</t>
  </si>
  <si>
    <t xml:space="preserve">8771201670005234</t>
  </si>
  <si>
    <t xml:space="preserve">1002299268132051</t>
  </si>
  <si>
    <t xml:space="preserve">3729606293564394293</t>
  </si>
  <si>
    <t xml:space="preserve">8299610370416918</t>
  </si>
  <si>
    <t xml:space="preserve">1002136694642099</t>
  </si>
  <si>
    <t xml:space="preserve">8535100190433156</t>
  </si>
  <si>
    <t xml:space="preserve">nnn</t>
  </si>
  <si>
    <t xml:space="preserve">8155300570022475</t>
  </si>
  <si>
    <t xml:space="preserve">1002154422942020</t>
  </si>
  <si>
    <t xml:space="preserve">8396120030067897</t>
  </si>
  <si>
    <t xml:space="preserve">GETTING STARTED KIT 1001309816052106 ORDERED Created: August</t>
  </si>
  <si>
    <t xml:space="preserve">8155500020308016</t>
  </si>
  <si>
    <t xml:space="preserve">1002154510212021</t>
  </si>
  <si>
    <t xml:space="preserve">8155600371844633</t>
  </si>
  <si>
    <t xml:space="preserve">1002154534272027</t>
  </si>
  <si>
    <t xml:space="preserve">8771200980512814</t>
  </si>
  <si>
    <t xml:space="preserve">1002299438182051</t>
  </si>
  <si>
    <t xml:space="preserve">8299600142205228</t>
  </si>
  <si>
    <t xml:space="preserve">1002137002662092</t>
  </si>
  <si>
    <t xml:space="preserve">8220210590027118</t>
  </si>
  <si>
    <t xml:space="preserve">1002315751462076</t>
  </si>
  <si>
    <t xml:space="preserve">8993206991699013</t>
  </si>
  <si>
    <t xml:space="preserve">530178252</t>
  </si>
  <si>
    <t xml:space="preserve">8773404120310448</t>
  </si>
  <si>
    <t xml:space="preserve">1001958977212063</t>
  </si>
  <si>
    <t xml:space="preserve">8155200230171243</t>
  </si>
  <si>
    <t xml:space="preserve">1002154797562023</t>
  </si>
  <si>
    <t xml:space="preserve">8535101684731899</t>
  </si>
  <si>
    <t xml:space="preserve">1002507113002034</t>
  </si>
  <si>
    <t xml:space="preserve">8299700041001510</t>
  </si>
  <si>
    <t xml:space="preserve">1002137113392092</t>
  </si>
  <si>
    <t xml:space="preserve">8773105140683223</t>
  </si>
  <si>
    <t xml:space="preserve">1001959003152067</t>
  </si>
  <si>
    <t xml:space="preserve">8993208840026125</t>
  </si>
  <si>
    <t xml:space="preserve">na</t>
  </si>
  <si>
    <t xml:space="preserve">8529300030091721</t>
  </si>
  <si>
    <t xml:space="preserve">8993211350057720</t>
  </si>
  <si>
    <t xml:space="preserve">1001875746912015</t>
  </si>
  <si>
    <t xml:space="preserve">8499050830372666</t>
  </si>
  <si>
    <t xml:space="preserve">3729620293639899812</t>
  </si>
  <si>
    <t xml:space="preserve">8773110210081175</t>
  </si>
  <si>
    <t xml:space="preserve">3731222293646730406</t>
  </si>
  <si>
    <t xml:space="preserve">8299400470037586</t>
  </si>
  <si>
    <t xml:space="preserve">1002137184122097</t>
  </si>
  <si>
    <t xml:space="preserve">8499053280102815</t>
  </si>
  <si>
    <t xml:space="preserve">1002137231692092</t>
  </si>
  <si>
    <t xml:space="preserve">8155300341445021</t>
  </si>
  <si>
    <t xml:space="preserve">1002154965232029</t>
  </si>
  <si>
    <t xml:space="preserve">8495600080843727</t>
  </si>
  <si>
    <t xml:space="preserve">3726455293653744119</t>
  </si>
  <si>
    <t xml:space="preserve">8396300180654187</t>
  </si>
  <si>
    <t xml:space="preserve">3731218293655247001</t>
  </si>
  <si>
    <t xml:space="preserve">8535100810104849</t>
  </si>
  <si>
    <t xml:space="preserve">1002506429682034</t>
  </si>
  <si>
    <t xml:space="preserve">8771300223352471</t>
  </si>
  <si>
    <t xml:space="preserve">1002299605632052</t>
  </si>
  <si>
    <t xml:space="preserve">8535114852114707</t>
  </si>
  <si>
    <t xml:space="preserve">11</t>
  </si>
  <si>
    <t xml:space="preserve">8771201150369084</t>
  </si>
  <si>
    <t xml:space="preserve">1002299615962051</t>
  </si>
  <si>
    <t xml:space="preserve">8497101003557013</t>
  </si>
  <si>
    <t xml:space="preserve">8535115060269332</t>
  </si>
  <si>
    <t xml:space="preserve">GETTING STARTED KIT 1002507372872036 ORDERED Created: August</t>
  </si>
  <si>
    <t xml:space="preserve">8220188931377675</t>
  </si>
  <si>
    <t xml:space="preserve">1002316098892074</t>
  </si>
  <si>
    <t xml:space="preserve">8497202701750536</t>
  </si>
  <si>
    <t xml:space="preserve">1002316103922072</t>
  </si>
  <si>
    <t xml:space="preserve">8778106112202468</t>
  </si>
  <si>
    <t xml:space="preserve">pending activaion</t>
  </si>
  <si>
    <t xml:space="preserve">8535114840010918</t>
  </si>
  <si>
    <t xml:space="preserve">8535101180111190</t>
  </si>
  <si>
    <t xml:space="preserve">1002507583312038</t>
  </si>
  <si>
    <t xml:space="preserve">8529101320773402</t>
  </si>
  <si>
    <t xml:space="preserve">1001366603212111</t>
  </si>
  <si>
    <t xml:space="preserve">8535100230230042</t>
  </si>
  <si>
    <t xml:space="preserve">1002507600342034</t>
  </si>
  <si>
    <t xml:space="preserve">8771404201952870</t>
  </si>
  <si>
    <t xml:space="preserve">530192148</t>
  </si>
  <si>
    <t xml:space="preserve">8777703331218902</t>
  </si>
  <si>
    <t xml:space="preserve">1001876018492017</t>
  </si>
  <si>
    <t xml:space="preserve">8772105905817256</t>
  </si>
  <si>
    <t xml:space="preserve">3721608293709662886</t>
  </si>
  <si>
    <t xml:space="preserve">8773102250566710</t>
  </si>
  <si>
    <t xml:space="preserve">1001959229792068</t>
  </si>
  <si>
    <t xml:space="preserve">8771201031082583</t>
  </si>
  <si>
    <t xml:space="preserve">1002299761032055</t>
  </si>
  <si>
    <t xml:space="preserve">8529112790018541</t>
  </si>
  <si>
    <t xml:space="preserve">1001366625822111</t>
  </si>
  <si>
    <t xml:space="preserve">8299600900062191</t>
  </si>
  <si>
    <t xml:space="preserve">1002137601262096</t>
  </si>
  <si>
    <t xml:space="preserve">10075055</t>
  </si>
  <si>
    <t xml:space="preserve">8299400400706417</t>
  </si>
  <si>
    <t xml:space="preserve">1002137240122099</t>
  </si>
  <si>
    <t xml:space="preserve">8777703312616587</t>
  </si>
  <si>
    <t xml:space="preserve">3731275293719917751</t>
  </si>
  <si>
    <t xml:space="preserve">8497202241191548</t>
  </si>
  <si>
    <t xml:space="preserve">1002316391872070</t>
  </si>
  <si>
    <t xml:space="preserve">8529201330042507</t>
  </si>
  <si>
    <t xml:space="preserve">3721637293723582694</t>
  </si>
  <si>
    <t xml:space="preserve">8396600010286005</t>
  </si>
  <si>
    <t xml:space="preserve">212</t>
  </si>
  <si>
    <t xml:space="preserve">8299200190989839</t>
  </si>
  <si>
    <t xml:space="preserve">3721619293725357996</t>
  </si>
  <si>
    <t xml:space="preserve">8299610410468333</t>
  </si>
  <si>
    <t xml:space="preserve">1002137690022096</t>
  </si>
  <si>
    <t xml:space="preserve">8499102160446303</t>
  </si>
  <si>
    <t xml:space="preserve">3731204293724717715</t>
  </si>
  <si>
    <t xml:space="preserve">8773102760253981</t>
  </si>
  <si>
    <t xml:space="preserve">1001959311202067</t>
  </si>
  <si>
    <t xml:space="preserve">8497950901400977</t>
  </si>
  <si>
    <t xml:space="preserve">3729644293729640536</t>
  </si>
  <si>
    <t xml:space="preserve">8155400572125662</t>
  </si>
  <si>
    <t xml:space="preserve">1002155432762027</t>
  </si>
  <si>
    <t xml:space="preserve">Sameh Tawfeeq Abouelezz</t>
  </si>
  <si>
    <t xml:space="preserve">UNMAPPED:Sameh Tawfeeq Abouelezz</t>
  </si>
  <si>
    <t xml:space="preserve">8396200580219757</t>
  </si>
  <si>
    <t xml:space="preserve">8498360100983717</t>
  </si>
  <si>
    <t xml:space="preserve">1001076862412084</t>
  </si>
  <si>
    <t xml:space="preserve">8529102022689409</t>
  </si>
  <si>
    <t xml:space="preserve">3726480293733360163</t>
  </si>
  <si>
    <t xml:space="preserve">8495443022511684</t>
  </si>
  <si>
    <t xml:space="preserve">1002507777402033</t>
  </si>
  <si>
    <t xml:space="preserve">8396522023097965</t>
  </si>
  <si>
    <t xml:space="preserve">8155100092536410</t>
  </si>
  <si>
    <t xml:space="preserve">1002155460222027</t>
  </si>
  <si>
    <t xml:space="preserve">8396120080034128</t>
  </si>
  <si>
    <t xml:space="preserve">123</t>
  </si>
  <si>
    <t xml:space="preserve">8499100214006651</t>
  </si>
  <si>
    <t xml:space="preserve">1002137817792092</t>
  </si>
  <si>
    <t xml:space="preserve">8155500150402795</t>
  </si>
  <si>
    <t xml:space="preserve">3721668293727881824</t>
  </si>
  <si>
    <t xml:space="preserve">8499053141798546</t>
  </si>
  <si>
    <t xml:space="preserve">3729674293746532323</t>
  </si>
  <si>
    <t xml:space="preserve">100074076</t>
  </si>
  <si>
    <t xml:space="preserve">Gasser Osama Esmail Youssef</t>
  </si>
  <si>
    <t xml:space="preserve">8777702033641106</t>
  </si>
  <si>
    <t xml:space="preserve">3729605293745982461</t>
  </si>
  <si>
    <t xml:space="preserve">8993207900174593</t>
  </si>
  <si>
    <t xml:space="preserve">1001876214552010</t>
  </si>
  <si>
    <t xml:space="preserve">8993115880509524</t>
  </si>
  <si>
    <t xml:space="preserve">3726461293748076664</t>
  </si>
  <si>
    <t xml:space="preserve">8396511720231175</t>
  </si>
  <si>
    <t xml:space="preserve">GETTING STARTED KIT 1001310365792100 ORDERED Created: August</t>
  </si>
  <si>
    <t xml:space="preserve">3726443293752189843</t>
  </si>
  <si>
    <t xml:space="preserve">8155600810103963</t>
  </si>
  <si>
    <t xml:space="preserve">1002155568272023</t>
  </si>
  <si>
    <t xml:space="preserve">8499051640722017</t>
  </si>
  <si>
    <t xml:space="preserve">1002137862182090</t>
  </si>
  <si>
    <t xml:space="preserve">8771300033057278</t>
  </si>
  <si>
    <t xml:space="preserve">1002299910712052</t>
  </si>
  <si>
    <t xml:space="preserve">100071939</t>
  </si>
  <si>
    <t xml:space="preserve">Mostafa Mohye Eldin Fouad Younis</t>
  </si>
  <si>
    <t xml:space="preserve">8499053710048208</t>
  </si>
  <si>
    <t xml:space="preserve">10005221211786146344</t>
  </si>
  <si>
    <t xml:space="preserve">8498340090611528</t>
  </si>
  <si>
    <t xml:space="preserve">1001076945332085</t>
  </si>
  <si>
    <t xml:space="preserve">8499100227094934</t>
  </si>
  <si>
    <t xml:space="preserve">3726428293760388615</t>
  </si>
  <si>
    <t xml:space="preserve">8299700044561742</t>
  </si>
  <si>
    <t xml:space="preserve">1002508072432030</t>
  </si>
  <si>
    <t xml:space="preserve">8535100601453413</t>
  </si>
  <si>
    <t xml:space="preserve">3721694293791559251</t>
  </si>
  <si>
    <t xml:space="preserve">8396900100048715</t>
  </si>
  <si>
    <t xml:space="preserve">1001310476292107</t>
  </si>
  <si>
    <t xml:space="preserve">8499052080191820</t>
  </si>
  <si>
    <t xml:space="preserve">1002138093492092</t>
  </si>
  <si>
    <t xml:space="preserve">8535100370044971</t>
  </si>
  <si>
    <t xml:space="preserve">3726448293795668273</t>
  </si>
  <si>
    <t xml:space="preserve">8396400220505470</t>
  </si>
  <si>
    <t xml:space="preserve">1001310484542105</t>
  </si>
  <si>
    <t xml:space="preserve">8777705210014898</t>
  </si>
  <si>
    <t xml:space="preserve">1001876424902013</t>
  </si>
  <si>
    <t xml:space="preserve">1002316810252078</t>
  </si>
  <si>
    <t xml:space="preserve">8497202471177563</t>
  </si>
  <si>
    <t xml:space="preserve">8396600160021277</t>
  </si>
  <si>
    <t xml:space="preserve">530207939</t>
  </si>
  <si>
    <t xml:space="preserve">8777702000062393</t>
  </si>
  <si>
    <t xml:space="preserve">1001876460112014</t>
  </si>
  <si>
    <t xml:space="preserve">8993112711524905</t>
  </si>
  <si>
    <t xml:space="preserve">3729677293810276808</t>
  </si>
  <si>
    <t xml:space="preserve">8777702070256438</t>
  </si>
  <si>
    <t xml:space="preserve">1001876492522016</t>
  </si>
  <si>
    <t xml:space="preserve">8771402012269518</t>
  </si>
  <si>
    <t xml:space="preserve">3726417293813610453</t>
  </si>
  <si>
    <t xml:space="preserve">8993110610132986</t>
  </si>
  <si>
    <t xml:space="preserve">3726404293816019528</t>
  </si>
  <si>
    <t xml:space="preserve">8777703196034147</t>
  </si>
  <si>
    <t xml:space="preserve">3721682293816049729</t>
  </si>
  <si>
    <t xml:space="preserve">8773201610794077</t>
  </si>
  <si>
    <t xml:space="preserve">1001959631522061</t>
  </si>
  <si>
    <t xml:space="preserve">8773102560052971</t>
  </si>
  <si>
    <t xml:space="preserve">1001959640102061</t>
  </si>
  <si>
    <t xml:space="preserve">8495741204711919</t>
  </si>
  <si>
    <t xml:space="preserve">1002508288422031</t>
  </si>
  <si>
    <t xml:space="preserve">8499051890714987</t>
  </si>
  <si>
    <t xml:space="preserve">3721655293824911106</t>
  </si>
  <si>
    <t xml:space="preserve">3729627293823152263</t>
  </si>
  <si>
    <t xml:space="preserve">8529113050695135</t>
  </si>
  <si>
    <t xml:space="preserve">1001366920822113</t>
  </si>
  <si>
    <t xml:space="preserve">8299610452232357</t>
  </si>
  <si>
    <t xml:space="preserve">1002138345742096</t>
  </si>
  <si>
    <t xml:space="preserve">3726416293836745438</t>
  </si>
  <si>
    <t xml:space="preserve">100070933</t>
  </si>
  <si>
    <t xml:space="preserve">UNMAPPED:100070933</t>
  </si>
  <si>
    <t xml:space="preserve">8155600470490668</t>
  </si>
  <si>
    <t xml:space="preserve">1002156098222025</t>
  </si>
  <si>
    <t xml:space="preserve">1001876164072019</t>
  </si>
  <si>
    <t xml:space="preserve">10018761640720190001</t>
  </si>
  <si>
    <t xml:space="preserve">8777702031912749</t>
  </si>
  <si>
    <t xml:space="preserve">8778101023399255</t>
  </si>
  <si>
    <t xml:space="preserve">1001436207922041</t>
  </si>
  <si>
    <t xml:space="preserve">8771400010606368</t>
  </si>
  <si>
    <t xml:space="preserve">1002300272842055</t>
  </si>
  <si>
    <t xml:space="preserve">8299600144213261</t>
  </si>
  <si>
    <t xml:space="preserve">1002138589622095</t>
  </si>
  <si>
    <t xml:space="preserve">8396516020060794</t>
  </si>
  <si>
    <t xml:space="preserve">1001310745102103</t>
  </si>
  <si>
    <t xml:space="preserve">8529101620295718</t>
  </si>
  <si>
    <t xml:space="preserve">1001367057012114</t>
  </si>
  <si>
    <t xml:space="preserve">8396522032704056</t>
  </si>
  <si>
    <t xml:space="preserve">1001310757372107</t>
  </si>
  <si>
    <t xml:space="preserve">8155400502229246</t>
  </si>
  <si>
    <t xml:space="preserve">1002156369462029</t>
  </si>
  <si>
    <t xml:space="preserve">8529200868654873</t>
  </si>
  <si>
    <t xml:space="preserve">3721648293896170393</t>
  </si>
  <si>
    <t xml:space="preserve">8778102010990981</t>
  </si>
  <si>
    <t xml:space="preserve">1001436326842047</t>
  </si>
  <si>
    <t xml:space="preserve">1034728131</t>
  </si>
  <si>
    <t xml:space="preserve">3726441293908781387</t>
  </si>
  <si>
    <t xml:space="preserve">8299420080013165</t>
  </si>
  <si>
    <t xml:space="preserve">1002138721592099</t>
  </si>
  <si>
    <t xml:space="preserve">8220144210852664</t>
  </si>
  <si>
    <t xml:space="preserve">3721668293909214380</t>
  </si>
  <si>
    <t xml:space="preserve">100072768</t>
  </si>
  <si>
    <t xml:space="preserve">Mahmoud Abdelaziz Mahmoud Mahmoud</t>
  </si>
  <si>
    <t xml:space="preserve">8777702081700812</t>
  </si>
  <si>
    <t xml:space="preserve">1001876801342015</t>
  </si>
  <si>
    <t xml:space="preserve">8155200526398658</t>
  </si>
  <si>
    <t xml:space="preserve">1002156431732029</t>
  </si>
  <si>
    <t xml:space="preserve">8771100620363125</t>
  </si>
  <si>
    <t xml:space="preserve">1002300357752054</t>
  </si>
  <si>
    <t xml:space="preserve">8771300322827662</t>
  </si>
  <si>
    <t xml:space="preserve">1002300372592055</t>
  </si>
  <si>
    <t xml:space="preserve">8771200420012854</t>
  </si>
  <si>
    <t xml:space="preserve">3729619293917026576</t>
  </si>
  <si>
    <t xml:space="preserve">8529101820213396</t>
  </si>
  <si>
    <t xml:space="preserve">1001367101112118</t>
  </si>
  <si>
    <t xml:space="preserve">8155200515996819</t>
  </si>
  <si>
    <t xml:space="preserve">1002156465772024</t>
  </si>
  <si>
    <t xml:space="preserve">8529200040588957</t>
  </si>
  <si>
    <t xml:space="preserve">3726489293924808927</t>
  </si>
  <si>
    <t xml:space="preserve">8155200440928887</t>
  </si>
  <si>
    <t xml:space="preserve">1002156488352028</t>
  </si>
  <si>
    <t xml:space="preserve">1002156490152028</t>
  </si>
  <si>
    <t xml:space="preserve">8495741204709079</t>
  </si>
  <si>
    <t xml:space="preserve">3726471293966407024</t>
  </si>
  <si>
    <t xml:space="preserve">8771200321638484</t>
  </si>
  <si>
    <t xml:space="preserve">100062001</t>
  </si>
  <si>
    <t xml:space="preserve">UNMAPPED:100062001</t>
  </si>
  <si>
    <t xml:space="preserve">8535100550843861</t>
  </si>
  <si>
    <t xml:space="preserve">3731231293975207598</t>
  </si>
  <si>
    <t xml:space="preserve">8495752544105522</t>
  </si>
  <si>
    <t xml:space="preserve">3721607293978225020</t>
  </si>
  <si>
    <t xml:space="preserve">8155600452382826</t>
  </si>
  <si>
    <t xml:space="preserve">1002156712252028</t>
  </si>
  <si>
    <t xml:space="preserve">8529101740018107</t>
  </si>
  <si>
    <t xml:space="preserve">1001367254372113</t>
  </si>
  <si>
    <t xml:space="preserve">100074764</t>
  </si>
  <si>
    <t xml:space="preserve">UNMAPPED:100074764</t>
  </si>
  <si>
    <t xml:space="preserve">8771401200026888</t>
  </si>
  <si>
    <t xml:space="preserve">8778104130905543</t>
  </si>
  <si>
    <t xml:space="preserve">1001436500152049</t>
  </si>
  <si>
    <t xml:space="preserve">8396500040705562</t>
  </si>
  <si>
    <t xml:space="preserve">1001310967352105</t>
  </si>
  <si>
    <t xml:space="preserve">8778104130891370</t>
  </si>
  <si>
    <t xml:space="preserve">1001436504472047</t>
  </si>
  <si>
    <t xml:space="preserve">8773500050137303</t>
  </si>
  <si>
    <t xml:space="preserve">1001960147822060</t>
  </si>
  <si>
    <t xml:space="preserve">8773102710891484</t>
  </si>
  <si>
    <t xml:space="preserve">1001960152402063</t>
  </si>
  <si>
    <t xml:space="preserve">8155600401243228</t>
  </si>
  <si>
    <t xml:space="preserve">OPEN WORK ORDERS (1) Getting Started Kit #530234427 Opened o</t>
  </si>
  <si>
    <t xml:space="preserve">8498310021970418</t>
  </si>
  <si>
    <t xml:space="preserve">#3721619293991470548</t>
  </si>
  <si>
    <t xml:space="preserve">8777702103737487</t>
  </si>
  <si>
    <t xml:space="preserve">1001877153172018</t>
  </si>
  <si>
    <t xml:space="preserve">8495743010368488</t>
  </si>
  <si>
    <t xml:space="preserve">3726409293999824855</t>
  </si>
  <si>
    <t xml:space="preserve">8155600831126852</t>
  </si>
  <si>
    <t xml:space="preserve">1002156846002026</t>
  </si>
  <si>
    <t xml:space="preserve">8529202450537177</t>
  </si>
  <si>
    <t xml:space="preserve">1002509216442034</t>
  </si>
  <si>
    <t xml:space="preserve">100074620</t>
  </si>
  <si>
    <t xml:space="preserve">Momin Mohsen Ramadan Mohammad</t>
  </si>
  <si>
    <t xml:space="preserve">8778105030206171</t>
  </si>
  <si>
    <t xml:space="preserve">3721681294008495016</t>
  </si>
  <si>
    <t xml:space="preserve">8155100517513697</t>
  </si>
  <si>
    <t xml:space="preserve">1002156922022021</t>
  </si>
  <si>
    <t xml:space="preserve">8771300412710398</t>
  </si>
  <si>
    <t xml:space="preserve">#3731269293995737133</t>
  </si>
  <si>
    <t xml:space="preserve">8529100090095905</t>
  </si>
  <si>
    <t xml:space="preserve">530238568</t>
  </si>
  <si>
    <t xml:space="preserve">8498300011594724</t>
  </si>
  <si>
    <t xml:space="preserve">1001077465512080</t>
  </si>
  <si>
    <t xml:space="preserve">100049624</t>
  </si>
  <si>
    <t xml:space="preserve">Mohamed Hassan</t>
  </si>
  <si>
    <t xml:space="preserve">8771400680211705</t>
  </si>
  <si>
    <t xml:space="preserve">1002300629232059</t>
  </si>
  <si>
    <t xml:space="preserve">8497101863092671</t>
  </si>
  <si>
    <t xml:space="preserve">8299700052103809</t>
  </si>
  <si>
    <t xml:space="preserve">1002139537072094</t>
  </si>
  <si>
    <t xml:space="preserve">8993207840279783</t>
  </si>
  <si>
    <t xml:space="preserve">3731286294059958355</t>
  </si>
  <si>
    <t xml:space="preserve">100070308q</t>
  </si>
  <si>
    <t xml:space="preserve">8495753104938617</t>
  </si>
  <si>
    <t xml:space="preserve">1002509456612031</t>
  </si>
  <si>
    <t xml:space="preserve">8777701800015684</t>
  </si>
  <si>
    <t xml:space="preserve">1001877377352016</t>
  </si>
  <si>
    <t xml:space="preserve">8299200060428769</t>
  </si>
  <si>
    <t xml:space="preserve">1002139676452099</t>
  </si>
  <si>
    <t xml:space="preserve">8155400631448410</t>
  </si>
  <si>
    <t xml:space="preserve">1002157255502027</t>
  </si>
  <si>
    <t xml:space="preserve">100075894</t>
  </si>
  <si>
    <t xml:space="preserve">Khaled Nouh</t>
  </si>
  <si>
    <t xml:space="preserve">8529200620316977</t>
  </si>
  <si>
    <t xml:space="preserve">1001367508882115</t>
  </si>
  <si>
    <t xml:space="preserve">8299610240247089</t>
  </si>
  <si>
    <t xml:space="preserve">3729686294084367456</t>
  </si>
  <si>
    <t xml:space="preserve">100074622</t>
  </si>
  <si>
    <t xml:space="preserve">UNMAPPED:100074622</t>
  </si>
  <si>
    <t xml:space="preserve">8498350120369229</t>
  </si>
  <si>
    <t xml:space="preserve">3726403294085322438</t>
  </si>
  <si>
    <t xml:space="preserve">8299400463252549</t>
  </si>
  <si>
    <t xml:space="preserve">1002139819592090</t>
  </si>
  <si>
    <t xml:space="preserve">8220160220188659</t>
  </si>
  <si>
    <t xml:space="preserve">3726469294087018732</t>
  </si>
  <si>
    <t xml:space="preserve">8529200280221715</t>
  </si>
  <si>
    <t xml:space="preserve">3726461294091919665</t>
  </si>
  <si>
    <t xml:space="preserve">8299300140501484</t>
  </si>
  <si>
    <t xml:space="preserve">1002140108132093</t>
  </si>
  <si>
    <t xml:space="preserve">8498370130533598</t>
  </si>
  <si>
    <t xml:space="preserve">1001077894222087</t>
  </si>
  <si>
    <t xml:space="preserve">8529101461243546</t>
  </si>
  <si>
    <t xml:space="preserve">3731289294143050245</t>
  </si>
  <si>
    <t xml:space="preserve">8773110270008282</t>
  </si>
  <si>
    <t xml:space="preserve">1001960871032068</t>
  </si>
  <si>
    <t xml:space="preserve">8777703312628772</t>
  </si>
  <si>
    <t xml:space="preserve">5555555555</t>
  </si>
  <si>
    <t xml:space="preserve">8771401150223048</t>
  </si>
  <si>
    <t xml:space="preserve">1002301182242055</t>
  </si>
  <si>
    <t xml:space="preserve">8778104032194154</t>
  </si>
  <si>
    <t xml:space="preserve">1001436908322046</t>
  </si>
  <si>
    <t xml:space="preserve">8529201760820232</t>
  </si>
  <si>
    <t xml:space="preserve">1001367746582113</t>
  </si>
  <si>
    <t xml:space="preserve">8220220901119785</t>
  </si>
  <si>
    <t xml:space="preserve">1002318736082076</t>
  </si>
  <si>
    <t xml:space="preserve">8499050630121727</t>
  </si>
  <si>
    <t xml:space="preserve">1002140370112096</t>
  </si>
  <si>
    <t xml:space="preserve">8498310300575755</t>
  </si>
  <si>
    <t xml:space="preserve">1001077946752081</t>
  </si>
  <si>
    <t xml:space="preserve">100059950</t>
  </si>
  <si>
    <t xml:space="preserve">Hussien Awad</t>
  </si>
  <si>
    <t xml:space="preserve">8771100840710915</t>
  </si>
  <si>
    <t xml:space="preserve">1002301229822059</t>
  </si>
  <si>
    <t xml:space="preserve">8529102031546467</t>
  </si>
  <si>
    <t xml:space="preserve">1001367783522113</t>
  </si>
  <si>
    <t xml:space="preserve">8497505870080257</t>
  </si>
  <si>
    <t xml:space="preserve">1002318779212077</t>
  </si>
  <si>
    <t xml:space="preserve">8495440680434613</t>
  </si>
  <si>
    <t xml:space="preserve">8155100031086386</t>
  </si>
  <si>
    <t xml:space="preserve">3729640294179896390</t>
  </si>
  <si>
    <t xml:space="preserve">8535100500023317</t>
  </si>
  <si>
    <t xml:space="preserve">8771201450725852</t>
  </si>
  <si>
    <t xml:space="preserve">#3731215294217999300</t>
  </si>
  <si>
    <t xml:space="preserve">8220188942857962</t>
  </si>
  <si>
    <t xml:space="preserve">1002318944492075</t>
  </si>
  <si>
    <t xml:space="preserve">8299400023718401</t>
  </si>
  <si>
    <t xml:space="preserve">1002140657992095</t>
  </si>
  <si>
    <t xml:space="preserve">8771300224015358</t>
  </si>
  <si>
    <t xml:space="preserve">3731244294224869345</t>
  </si>
  <si>
    <t xml:space="preserve">8529114160431528</t>
  </si>
  <si>
    <t xml:space="preserve">8499053252013693</t>
  </si>
  <si>
    <t xml:space="preserve">1002140712852094</t>
  </si>
  <si>
    <t xml:space="preserve">8529200861951227</t>
  </si>
  <si>
    <t xml:space="preserve">1001367933382111</t>
  </si>
  <si>
    <t xml:space="preserve">8299610244229935</t>
  </si>
  <si>
    <t xml:space="preserve">1002140735722092</t>
  </si>
  <si>
    <t xml:space="preserve">8155400110585526</t>
  </si>
  <si>
    <t xml:space="preserve">1002157899622025</t>
  </si>
  <si>
    <t xml:space="preserve">8299400023990125</t>
  </si>
  <si>
    <t xml:space="preserve">1002140751132093</t>
  </si>
  <si>
    <t xml:space="preserve">8498350063837091</t>
  </si>
  <si>
    <t xml:space="preserve">8529202160202351</t>
  </si>
  <si>
    <t xml:space="preserve">1001367951462118</t>
  </si>
  <si>
    <t xml:space="preserve">8499052020165074</t>
  </si>
  <si>
    <t xml:space="preserve">1002140771782091</t>
  </si>
  <si>
    <t xml:space="preserve">8529101180010697</t>
  </si>
  <si>
    <t xml:space="preserve">1001367955972112</t>
  </si>
  <si>
    <t xml:space="preserve">8529201150027257</t>
  </si>
  <si>
    <t xml:space="preserve">530278797</t>
  </si>
  <si>
    <t xml:space="preserve">8771300322521315</t>
  </si>
  <si>
    <t xml:space="preserve">3729622294247229266</t>
  </si>
  <si>
    <t xml:space="preserve">8771404201703109</t>
  </si>
  <si>
    <t xml:space="preserve">1002301474292057</t>
  </si>
  <si>
    <t xml:space="preserve">3721614294247592512</t>
  </si>
  <si>
    <t xml:space="preserve">8771200810181301</t>
  </si>
  <si>
    <t xml:space="preserve">8299400450891564</t>
  </si>
  <si>
    <t xml:space="preserve">1002140837552090</t>
  </si>
  <si>
    <t xml:space="preserve">8299310030445908</t>
  </si>
  <si>
    <t xml:space="preserve">3731241294251249948</t>
  </si>
  <si>
    <t xml:space="preserve">8529101330600587</t>
  </si>
  <si>
    <t xml:space="preserve">3726498294265150739</t>
  </si>
  <si>
    <t xml:space="preserve">8771203130011398</t>
  </si>
  <si>
    <t xml:space="preserve">#3721669294265458235</t>
  </si>
  <si>
    <t xml:space="preserve">8495600082378391</t>
  </si>
  <si>
    <t xml:space="preserve">3721639294266810217</t>
  </si>
  <si>
    <t xml:space="preserve">8771200420526028</t>
  </si>
  <si>
    <t xml:space="preserve">1002301656772058</t>
  </si>
  <si>
    <t xml:space="preserve">8529102023413288</t>
  </si>
  <si>
    <t xml:space="preserve">8155600190611114</t>
  </si>
  <si>
    <t xml:space="preserve">1002158170372025</t>
  </si>
  <si>
    <t xml:space="preserve">8777702102253122</t>
  </si>
  <si>
    <t xml:space="preserve">1001878288212018</t>
  </si>
  <si>
    <t xml:space="preserve">100066503</t>
  </si>
  <si>
    <t xml:space="preserve">Hisham Ahmed Saad Abd Elnaby</t>
  </si>
  <si>
    <t xml:space="preserve">8220199010480777</t>
  </si>
  <si>
    <t xml:space="preserve">3721608294335635090</t>
  </si>
  <si>
    <t xml:space="preserve">8993110610907619</t>
  </si>
  <si>
    <t xml:space="preserve">3721626294348729673</t>
  </si>
  <si>
    <t xml:space="preserve">8155100527901825</t>
  </si>
  <si>
    <t xml:space="preserve">3721617294358418137</t>
  </si>
  <si>
    <t xml:space="preserve">8495600011520626</t>
  </si>
  <si>
    <t xml:space="preserve">3729609294399021533</t>
  </si>
  <si>
    <t xml:space="preserve">8499051790040145</t>
  </si>
  <si>
    <t xml:space="preserve">1002141492382096</t>
  </si>
  <si>
    <t xml:space="preserve">100072763</t>
  </si>
  <si>
    <t xml:space="preserve">UNMAPPED:100072763</t>
  </si>
  <si>
    <t xml:space="preserve">8535114851991857</t>
  </si>
  <si>
    <t xml:space="preserve">3726491294401968002</t>
  </si>
  <si>
    <t xml:space="preserve">8299610380576271</t>
  </si>
  <si>
    <t xml:space="preserve">1002141511532093</t>
  </si>
  <si>
    <t xml:space="preserve">8993206991613253</t>
  </si>
  <si>
    <t xml:space="preserve">8497303267035401</t>
  </si>
  <si>
    <t xml:space="preserve">3721661294407266415</t>
  </si>
  <si>
    <t xml:space="preserve">8771402011956396</t>
  </si>
  <si>
    <t xml:space="preserve">1002301922812050</t>
  </si>
  <si>
    <t xml:space="preserve">8771101310770892</t>
  </si>
  <si>
    <t xml:space="preserve">1002301934312057</t>
  </si>
  <si>
    <t xml:space="preserve">8495741401639848</t>
  </si>
  <si>
    <t xml:space="preserve">1002510899872034</t>
  </si>
  <si>
    <t xml:space="preserve">8771300523479776</t>
  </si>
  <si>
    <t xml:space="preserve">3721677294415565183</t>
  </si>
  <si>
    <t xml:space="preserve">8771403080671965</t>
  </si>
  <si>
    <t xml:space="preserve">1002301955822059</t>
  </si>
  <si>
    <t xml:space="preserve">8778103080761666</t>
  </si>
  <si>
    <t xml:space="preserve">3729610294424536386</t>
  </si>
  <si>
    <t xml:space="preserve">8498350176113190</t>
  </si>
  <si>
    <t xml:space="preserve">1001078348962088</t>
  </si>
  <si>
    <t xml:space="preserve">8529101840156963</t>
  </si>
  <si>
    <t xml:space="preserve">8771300033332291</t>
  </si>
  <si>
    <t xml:space="preserve">3721605294428800855</t>
  </si>
  <si>
    <t xml:space="preserve">8299400023448660</t>
  </si>
  <si>
    <t xml:space="preserve">1002141643192097</t>
  </si>
  <si>
    <t xml:space="preserve">8773103171285299</t>
  </si>
  <si>
    <t xml:space="preserve">1001961783912066</t>
  </si>
  <si>
    <t xml:space="preserve">8495440090773386</t>
  </si>
  <si>
    <t xml:space="preserve">3729655294432979806</t>
  </si>
  <si>
    <t xml:space="preserve">8773102902796699</t>
  </si>
  <si>
    <t xml:space="preserve">1001961789992062</t>
  </si>
  <si>
    <t xml:space="preserve">8777702103838673</t>
  </si>
  <si>
    <t xml:space="preserve">3729690294430656561</t>
  </si>
  <si>
    <t xml:space="preserve">8777702053474230</t>
  </si>
  <si>
    <t xml:space="preserve">3731276294439480295</t>
  </si>
  <si>
    <t xml:space="preserve">1001878574632010</t>
  </si>
  <si>
    <t xml:space="preserve">8220160130029001</t>
  </si>
  <si>
    <t xml:space="preserve">3726473294447502569</t>
  </si>
  <si>
    <t xml:space="preserve">8529101330733461</t>
  </si>
  <si>
    <t xml:space="preserve">8771400410431482</t>
  </si>
  <si>
    <t xml:space="preserve">1002302096902057</t>
  </si>
  <si>
    <t xml:space="preserve">8495741230465910</t>
  </si>
  <si>
    <t xml:space="preserve">8220188942615386</t>
  </si>
  <si>
    <t xml:space="preserve">1002319710672072</t>
  </si>
  <si>
    <t xml:space="preserve">8220204162379718</t>
  </si>
  <si>
    <t xml:space="preserve">3729608294490520452</t>
  </si>
  <si>
    <t xml:space="preserve">8771401130713480</t>
  </si>
  <si>
    <t xml:space="preserve">3721674294423935711</t>
  </si>
  <si>
    <t xml:space="preserve">8498370010692001</t>
  </si>
  <si>
    <t xml:space="preserve">3726437294496374957</t>
  </si>
  <si>
    <t xml:space="preserve">8155200450006475</t>
  </si>
  <si>
    <t xml:space="preserve">3729624294497729000</t>
  </si>
  <si>
    <t xml:space="preserve">8495741225877483</t>
  </si>
  <si>
    <t xml:space="preserve">8529100021426393</t>
  </si>
  <si>
    <t xml:space="preserve">1001368542522113</t>
  </si>
  <si>
    <t xml:space="preserve">8497606660435410</t>
  </si>
  <si>
    <t xml:space="preserve">1002319764572079</t>
  </si>
  <si>
    <t xml:space="preserve">8535100431284111</t>
  </si>
  <si>
    <t xml:space="preserve">1002511140572035</t>
  </si>
  <si>
    <t xml:space="preserve">8220100020560111</t>
  </si>
  <si>
    <t xml:space="preserve">3726499294510105119</t>
  </si>
  <si>
    <t xml:space="preserve">3726496294510516661</t>
  </si>
  <si>
    <t xml:space="preserve">8773102780237006</t>
  </si>
  <si>
    <t xml:space="preserve">1001961927972067</t>
  </si>
  <si>
    <t xml:space="preserve">8299400312869634</t>
  </si>
  <si>
    <t xml:space="preserve">8529101560313075</t>
  </si>
  <si>
    <t xml:space="preserve">1001368560662114</t>
  </si>
  <si>
    <t xml:space="preserve">8155400030776254</t>
  </si>
  <si>
    <t xml:space="preserve">530330616</t>
  </si>
  <si>
    <t xml:space="preserve">8535100361522548</t>
  </si>
  <si>
    <t xml:space="preserve">3721628294519448312</t>
  </si>
  <si>
    <t xml:space="preserve">8773201750002257</t>
  </si>
  <si>
    <t xml:space="preserve">3726496294520539031</t>
  </si>
  <si>
    <t xml:space="preserve">8499050970004285</t>
  </si>
  <si>
    <t xml:space="preserve">1002141932512096</t>
  </si>
  <si>
    <t xml:space="preserve">8497202442009671</t>
  </si>
  <si>
    <t xml:space="preserve">1002319800002073</t>
  </si>
  <si>
    <t xml:space="preserve">8499052030353546</t>
  </si>
  <si>
    <t xml:space="preserve">1002141942952092</t>
  </si>
  <si>
    <t xml:space="preserve">100049532</t>
  </si>
  <si>
    <t xml:space="preserve">Faris Hamada Reda Mohamed</t>
  </si>
  <si>
    <t xml:space="preserve">8499053401373188</t>
  </si>
  <si>
    <t xml:space="preserve">1002141945582094</t>
  </si>
  <si>
    <t xml:space="preserve">8535100411570828</t>
  </si>
  <si>
    <t xml:space="preserve">3731205294532055097</t>
  </si>
  <si>
    <t xml:space="preserve">8529113080131176</t>
  </si>
  <si>
    <t xml:space="preserve">1001368655702114</t>
  </si>
  <si>
    <t xml:space="preserve">8993210440301361</t>
  </si>
  <si>
    <t xml:space="preserve">1001878925312015</t>
  </si>
  <si>
    <t xml:space="preserve">8155300210649950</t>
  </si>
  <si>
    <t xml:space="preserve">3731201294582438469</t>
  </si>
  <si>
    <t xml:space="preserve">100076806</t>
  </si>
  <si>
    <t xml:space="preserve">Mohammed Marzouq Ismail</t>
  </si>
  <si>
    <t xml:space="preserve">8299400292137655</t>
  </si>
  <si>
    <t xml:space="preserve">1002142528212091</t>
  </si>
  <si>
    <t xml:space="preserve">8495600400859932</t>
  </si>
  <si>
    <t xml:space="preserve">1002511376962033</t>
  </si>
  <si>
    <t xml:space="preserve">8771401050237635</t>
  </si>
  <si>
    <t xml:space="preserve">3729627294590185670</t>
  </si>
  <si>
    <t xml:space="preserve">8529300210497714</t>
  </si>
  <si>
    <t xml:space="preserve">1001368730052113</t>
  </si>
  <si>
    <t xml:space="preserve">8771201800611455</t>
  </si>
  <si>
    <t xml:space="preserve">10023023474402051</t>
  </si>
  <si>
    <t xml:space="preserve">8499051100030372</t>
  </si>
  <si>
    <t xml:space="preserve">8529101983263410</t>
  </si>
  <si>
    <t xml:space="preserve">1001368720442118</t>
  </si>
  <si>
    <t xml:space="preserve">8155200270088927</t>
  </si>
  <si>
    <t xml:space="preserve">1002158839562024</t>
  </si>
  <si>
    <t xml:space="preserve">8772105180095727</t>
  </si>
  <si>
    <t xml:space="preserve">1001437500882049</t>
  </si>
  <si>
    <t xml:space="preserve">353981108233135 imei number adding 2 gsr</t>
  </si>
  <si>
    <t xml:space="preserve">100076815</t>
  </si>
  <si>
    <t xml:space="preserve">Fares Ahmed Mohamed Ahmed Abo Elmaaty</t>
  </si>
  <si>
    <t xml:space="preserve">8155200160413318</t>
  </si>
  <si>
    <t xml:space="preserve">1002158826052021</t>
  </si>
  <si>
    <t xml:space="preserve">8535100590718263</t>
  </si>
  <si>
    <t xml:space="preserve">a</t>
  </si>
  <si>
    <t xml:space="preserve">8535114500658618</t>
  </si>
  <si>
    <t xml:space="preserve">1002511470612039</t>
  </si>
  <si>
    <t xml:space="preserve">8535114851813432</t>
  </si>
  <si>
    <t xml:space="preserve">3729661294603390373</t>
  </si>
  <si>
    <t xml:space="preserve">8499052770049189</t>
  </si>
  <si>
    <t xml:space="preserve">1002142657562092</t>
  </si>
  <si>
    <t xml:space="preserve">8535101160450949</t>
  </si>
  <si>
    <t xml:space="preserve">d</t>
  </si>
  <si>
    <t xml:space="preserve">8396100540030668</t>
  </si>
  <si>
    <t xml:space="preserve">8771401700015480</t>
  </si>
  <si>
    <t xml:space="preserve">358614725948356 IMEI number added mobile plus</t>
  </si>
  <si>
    <t xml:space="preserve">8396120170005285</t>
  </si>
  <si>
    <t xml:space="preserve">1001312509992109</t>
  </si>
  <si>
    <t xml:space="preserve">100072759</t>
  </si>
  <si>
    <t xml:space="preserve">Abdelrhman Yasser Kamel Nail</t>
  </si>
  <si>
    <t xml:space="preserve">8495741401922582</t>
  </si>
  <si>
    <t xml:space="preserve">3721602294656865455</t>
  </si>
  <si>
    <t xml:space="preserve">8497101862815270</t>
  </si>
  <si>
    <t xml:space="preserve">1002320297132076</t>
  </si>
  <si>
    <t xml:space="preserve">8993208950299025</t>
  </si>
  <si>
    <t xml:space="preserve">1001879185602012</t>
  </si>
  <si>
    <t xml:space="preserve">8495600800120968</t>
  </si>
  <si>
    <t xml:space="preserve">3726483294671517602</t>
  </si>
  <si>
    <t xml:space="preserve">1002511817802038</t>
  </si>
  <si>
    <t xml:space="preserve">8535101150026683</t>
  </si>
  <si>
    <t xml:space="preserve">3729658294676530069</t>
  </si>
  <si>
    <t xml:space="preserve">8220177092240905</t>
  </si>
  <si>
    <t xml:space="preserve">3729622294680026559</t>
  </si>
  <si>
    <t xml:space="preserve">8529201700149973</t>
  </si>
  <si>
    <t xml:space="preserve">1001368994402111</t>
  </si>
  <si>
    <t xml:space="preserve">8220160191745560</t>
  </si>
  <si>
    <t xml:space="preserve">8220100021363655</t>
  </si>
  <si>
    <t xml:space="preserve">8772106008649661</t>
  </si>
  <si>
    <t xml:space="preserve">8220116031875777</t>
  </si>
  <si>
    <t xml:space="preserve">1002320410232076</t>
  </si>
  <si>
    <t xml:space="preserve">8299420630876822</t>
  </si>
  <si>
    <t xml:space="preserve">3729638294697489611</t>
  </si>
  <si>
    <t xml:space="preserve">8155600673706449</t>
  </si>
  <si>
    <t xml:space="preserve">1002159144262029</t>
  </si>
  <si>
    <t xml:space="preserve">100053635</t>
  </si>
  <si>
    <t xml:space="preserve">Hesham Mohamed Abdelaziz Mohamed</t>
  </si>
  <si>
    <t xml:space="preserve">8396100660824031</t>
  </si>
  <si>
    <t xml:space="preserve">3726417294736621985</t>
  </si>
  <si>
    <t xml:space="preserve">8495741235079039</t>
  </si>
  <si>
    <t xml:space="preserve">8499051700126760</t>
  </si>
  <si>
    <t xml:space="preserve">3729611294741358912</t>
  </si>
  <si>
    <t xml:space="preserve">8773100750287555</t>
  </si>
  <si>
    <t xml:space="preserve">8499050130366194</t>
  </si>
  <si>
    <t xml:space="preserve">1002143288542099</t>
  </si>
  <si>
    <t xml:space="preserve">8499050990068823</t>
  </si>
  <si>
    <t xml:space="preserve">1002143291742090</t>
  </si>
  <si>
    <t xml:space="preserve">8778104201342766</t>
  </si>
  <si>
    <t xml:space="preserve">3729651294749389640</t>
  </si>
  <si>
    <t xml:space="preserve">8499051250032491</t>
  </si>
  <si>
    <t xml:space="preserve">1002143306002092</t>
  </si>
  <si>
    <t xml:space="preserve">8299400441282675</t>
  </si>
  <si>
    <t xml:space="preserve">3729629294751181715</t>
  </si>
  <si>
    <t xml:space="preserve">8773403710730916</t>
  </si>
  <si>
    <t xml:space="preserve">3731282294751904642</t>
  </si>
  <si>
    <t xml:space="preserve">8535101080118840</t>
  </si>
  <si>
    <t xml:space="preserve">1002512099932030</t>
  </si>
  <si>
    <t xml:space="preserve">8535114500891292</t>
  </si>
  <si>
    <t xml:space="preserve">1002512124292038</t>
  </si>
  <si>
    <t xml:space="preserve">8771300322747688</t>
  </si>
  <si>
    <t xml:space="preserve">1002302943942058</t>
  </si>
  <si>
    <t xml:space="preserve">8495743101224988</t>
  </si>
  <si>
    <t xml:space="preserve">1001962587682061</t>
  </si>
  <si>
    <t xml:space="preserve">8529101890117550</t>
  </si>
  <si>
    <t xml:space="preserve">1001369176382113</t>
  </si>
  <si>
    <t xml:space="preserve">8299610450263206</t>
  </si>
  <si>
    <t xml:space="preserve">3729615294769633170</t>
  </si>
  <si>
    <t xml:space="preserve">8771201400036392</t>
  </si>
  <si>
    <t xml:space="preserve">000</t>
  </si>
  <si>
    <t xml:space="preserve">8529102023116840</t>
  </si>
  <si>
    <t xml:space="preserve">3726411294778569342</t>
  </si>
  <si>
    <t xml:space="preserve">100062651</t>
  </si>
  <si>
    <t xml:space="preserve">Germen Shohdy</t>
  </si>
  <si>
    <t xml:space="preserve">8771402020898837</t>
  </si>
  <si>
    <t xml:space="preserve">1002303008852059</t>
  </si>
  <si>
    <t xml:space="preserve">8299400312870798</t>
  </si>
  <si>
    <t xml:space="preserve">1002143470292099</t>
  </si>
  <si>
    <t xml:space="preserve">8396500130017894</t>
  </si>
  <si>
    <t xml:space="preserve">8220160140373530</t>
  </si>
  <si>
    <t xml:space="preserve">3729678294836592394</t>
  </si>
  <si>
    <t xml:space="preserve">8497950260604805</t>
  </si>
  <si>
    <t xml:space="preserve">#3721613294837074797</t>
  </si>
  <si>
    <t xml:space="preserve">8772106130362514</t>
  </si>
  <si>
    <t xml:space="preserve">3731227294837465049</t>
  </si>
  <si>
    <t xml:space="preserve">8220111090492689</t>
  </si>
  <si>
    <t xml:space="preserve">1002320808742074</t>
  </si>
  <si>
    <t xml:space="preserve">8396511250118388</t>
  </si>
  <si>
    <t xml:space="preserve">3729615294845291956</t>
  </si>
  <si>
    <t xml:space="preserve">8155300242153989</t>
  </si>
  <si>
    <t xml:space="preserve">1002159463022020</t>
  </si>
  <si>
    <t xml:space="preserve">8499100226590213</t>
  </si>
  <si>
    <t xml:space="preserve">1002143793532098</t>
  </si>
  <si>
    <t xml:space="preserve">8299420601594008</t>
  </si>
  <si>
    <t xml:space="preserve">Nano-SIM</t>
  </si>
  <si>
    <t xml:space="preserve">8771200603034725</t>
  </si>
  <si>
    <t xml:space="preserve">3721666294857236622</t>
  </si>
  <si>
    <t xml:space="preserve">8155100522009491</t>
  </si>
  <si>
    <t xml:space="preserve">3721670294859927211</t>
  </si>
  <si>
    <t xml:space="preserve">8773105130352391</t>
  </si>
  <si>
    <t xml:space="preserve">1001962854922067</t>
  </si>
  <si>
    <t xml:space="preserve">8495444560156817</t>
  </si>
  <si>
    <t xml:space="preserve">1002512516702032</t>
  </si>
  <si>
    <t xml:space="preserve">8773102811104084</t>
  </si>
  <si>
    <t xml:space="preserve">1001962871842066</t>
  </si>
  <si>
    <t xml:space="preserve">8396300190702463</t>
  </si>
  <si>
    <t xml:space="preserve">3726420294874192524</t>
  </si>
  <si>
    <t xml:space="preserve">8497202450018267</t>
  </si>
  <si>
    <t xml:space="preserve">1002320916412073</t>
  </si>
  <si>
    <t xml:space="preserve">8299610264449694</t>
  </si>
  <si>
    <t xml:space="preserve">8495741610146924</t>
  </si>
  <si>
    <t xml:space="preserve">1002512644152035</t>
  </si>
  <si>
    <t xml:space="preserve">8771203033022906</t>
  </si>
  <si>
    <t xml:space="preserve">1002303374502056</t>
  </si>
  <si>
    <t xml:space="preserve">8396511742147011</t>
  </si>
  <si>
    <t xml:space="preserve">3731251294917945399</t>
  </si>
  <si>
    <t xml:space="preserve">8499053240424960</t>
  </si>
  <si>
    <t xml:space="preserve">1002144122312095</t>
  </si>
  <si>
    <t xml:space="preserve">8495600203947389</t>
  </si>
  <si>
    <t xml:space="preserve">3721621294927327364</t>
  </si>
  <si>
    <t xml:space="preserve">8535100211533687</t>
  </si>
  <si>
    <t xml:space="preserve">1002512704752039</t>
  </si>
  <si>
    <t xml:space="preserve">8778103110610065</t>
  </si>
  <si>
    <t xml:space="preserve">3721616294932220102</t>
  </si>
  <si>
    <t xml:space="preserve">8773301330068933</t>
  </si>
  <si>
    <t xml:space="preserve">1001963024882066</t>
  </si>
  <si>
    <t xml:space="preserve">8220100010013808</t>
  </si>
  <si>
    <t xml:space="preserve">1002321074322070</t>
  </si>
  <si>
    <t xml:space="preserve">8498350176574995</t>
  </si>
  <si>
    <t xml:space="preserve">1001078956632080</t>
  </si>
  <si>
    <t xml:space="preserve">100074640</t>
  </si>
  <si>
    <t xml:space="preserve">UNMAPPED:100074640</t>
  </si>
  <si>
    <t xml:space="preserve">8495446290225978</t>
  </si>
  <si>
    <t xml:space="preserve">1002512835502030</t>
  </si>
  <si>
    <t xml:space="preserve">8155400331799815</t>
  </si>
  <si>
    <t xml:space="preserve">1002159826912024</t>
  </si>
  <si>
    <t xml:space="preserve">8498340031209606</t>
  </si>
  <si>
    <t xml:space="preserve">1001079015822084</t>
  </si>
  <si>
    <t xml:space="preserve">8498340120717683</t>
  </si>
  <si>
    <t xml:space="preserve">1001079016352081</t>
  </si>
  <si>
    <t xml:space="preserve">8220204160067505</t>
  </si>
  <si>
    <t xml:space="preserve">1002321260482076</t>
  </si>
  <si>
    <t xml:space="preserve">8499050740272709</t>
  </si>
  <si>
    <t xml:space="preserve">1002144553472095</t>
  </si>
  <si>
    <t xml:space="preserve">8773400235735230</t>
  </si>
  <si>
    <t xml:space="preserve">1001963210352064</t>
  </si>
  <si>
    <t xml:space="preserve">8771100780875678</t>
  </si>
  <si>
    <t xml:space="preserve">3729679295008987972</t>
  </si>
  <si>
    <t xml:space="preserve">8499052850390446</t>
  </si>
  <si>
    <t xml:space="preserve">3721633295010208457</t>
  </si>
  <si>
    <t xml:space="preserve">8778104250990564</t>
  </si>
  <si>
    <t xml:space="preserve">1001437882152045</t>
  </si>
  <si>
    <t xml:space="preserve">100074079</t>
  </si>
  <si>
    <t xml:space="preserve">Salsabeel Saeed Mohamed Elgamel Saad</t>
  </si>
  <si>
    <t xml:space="preserve">8777701843070449</t>
  </si>
  <si>
    <t xml:space="preserve">1001880127452011</t>
  </si>
  <si>
    <t xml:space="preserve">3729631295016082804</t>
  </si>
  <si>
    <t xml:space="preserve">8535115140069421</t>
  </si>
  <si>
    <t xml:space="preserve">1002513039712037</t>
  </si>
  <si>
    <t xml:space="preserve">8529102600333487</t>
  </si>
  <si>
    <t xml:space="preserve">3726446295023015086</t>
  </si>
  <si>
    <t xml:space="preserve">8771401870710993</t>
  </si>
  <si>
    <t xml:space="preserve">3731272295025906025</t>
  </si>
  <si>
    <t xml:space="preserve">8396516000466482</t>
  </si>
  <si>
    <t xml:space="preserve">1001313288012101</t>
  </si>
  <si>
    <t xml:space="preserve">8396200170195896</t>
  </si>
  <si>
    <t xml:space="preserve">1001313300622101</t>
  </si>
  <si>
    <t xml:space="preserve">8396800060037171</t>
  </si>
  <si>
    <t xml:space="preserve">1001313303762102</t>
  </si>
  <si>
    <t xml:space="preserve">100074089</t>
  </si>
  <si>
    <t xml:space="preserve">Yassin Mohamed Fawzy Mostafa</t>
  </si>
  <si>
    <t xml:space="preserve">1035069242</t>
  </si>
  <si>
    <t xml:space="preserve">3729659295035532698</t>
  </si>
  <si>
    <t xml:space="preserve">8771300312640547</t>
  </si>
  <si>
    <t xml:space="preserve">3721634295035805041</t>
  </si>
  <si>
    <t xml:space="preserve">8778104032205539</t>
  </si>
  <si>
    <t xml:space="preserve">1001438104222046</t>
  </si>
  <si>
    <t xml:space="preserve">8499101680935902</t>
  </si>
  <si>
    <t xml:space="preserve">3729656295036021241</t>
  </si>
  <si>
    <t xml:space="preserve">8773404010946459</t>
  </si>
  <si>
    <t xml:space="preserve">1001963271192060</t>
  </si>
  <si>
    <t xml:space="preserve">8773202560010209</t>
  </si>
  <si>
    <t xml:space="preserve">1001963298282068</t>
  </si>
  <si>
    <t xml:space="preserve">8771403140090487</t>
  </si>
  <si>
    <t xml:space="preserve">1002303842922050</t>
  </si>
  <si>
    <t xml:space="preserve">8498350174337403</t>
  </si>
  <si>
    <t xml:space="preserve">1001079103252087</t>
  </si>
  <si>
    <t xml:space="preserve">8771400370356943</t>
  </si>
  <si>
    <t xml:space="preserve">1002303853262057</t>
  </si>
  <si>
    <t xml:space="preserve">8499101130391672</t>
  </si>
  <si>
    <t xml:space="preserve">3731242295045482466</t>
  </si>
  <si>
    <t xml:space="preserve">8220206941573610</t>
  </si>
  <si>
    <t xml:space="preserve">3729662295049626162</t>
  </si>
  <si>
    <t xml:space="preserve">8220199100147724</t>
  </si>
  <si>
    <t xml:space="preserve">8778104041854673</t>
  </si>
  <si>
    <t xml:space="preserve">3726498295035477318</t>
  </si>
  <si>
    <t xml:space="preserve">8497404100371670</t>
  </si>
  <si>
    <t xml:space="preserve">3729636295039080723</t>
  </si>
  <si>
    <t xml:space="preserve">8773101980554715</t>
  </si>
  <si>
    <t xml:space="preserve">1001963314452067</t>
  </si>
  <si>
    <t xml:space="preserve">8529113050494182</t>
  </si>
  <si>
    <t xml:space="preserve">1001369866312115</t>
  </si>
  <si>
    <t xml:space="preserve">8771400901939647</t>
  </si>
  <si>
    <t xml:space="preserve">3729670295085164365</t>
  </si>
  <si>
    <t xml:space="preserve">8993204050434588</t>
  </si>
  <si>
    <t xml:space="preserve">3726497295083357774</t>
  </si>
  <si>
    <t xml:space="preserve">8771200010332829</t>
  </si>
  <si>
    <t xml:space="preserve">1002303939982058</t>
  </si>
  <si>
    <t xml:space="preserve">8773102810448870</t>
  </si>
  <si>
    <t xml:space="preserve">1001963381892062</t>
  </si>
  <si>
    <t xml:space="preserve">3729633295092661056</t>
  </si>
  <si>
    <t xml:space="preserve">8495741401974005</t>
  </si>
  <si>
    <t xml:space="preserve">1002513212602039</t>
  </si>
  <si>
    <t xml:space="preserve">8396410451781328</t>
  </si>
  <si>
    <t xml:space="preserve">1001313397322102</t>
  </si>
  <si>
    <t xml:space="preserve">3726441295098120246</t>
  </si>
  <si>
    <t xml:space="preserve">8773102273224644</t>
  </si>
  <si>
    <t xml:space="preserve">1001963387712066</t>
  </si>
  <si>
    <t xml:space="preserve">8155600674082170</t>
  </si>
  <si>
    <t xml:space="preserve">1002160098102021</t>
  </si>
  <si>
    <t xml:space="preserve">8299420631801241</t>
  </si>
  <si>
    <t xml:space="preserve">1002144921402097</t>
  </si>
  <si>
    <t xml:space="preserve">8529100790096328</t>
  </si>
  <si>
    <t xml:space="preserve">3721647295106123228</t>
  </si>
  <si>
    <t xml:space="preserve">8299420640078781</t>
  </si>
  <si>
    <t xml:space="preserve">1002144921912095</t>
  </si>
  <si>
    <t xml:space="preserve">8777703198793054</t>
  </si>
  <si>
    <t xml:space="preserve">1001880344822012</t>
  </si>
  <si>
    <t xml:space="preserve">8495741401815802</t>
  </si>
  <si>
    <t xml:space="preserve">8773102730520576</t>
  </si>
  <si>
    <t xml:space="preserve">1001963423862065</t>
  </si>
  <si>
    <t xml:space="preserve">3721649295110366968</t>
  </si>
  <si>
    <t xml:space="preserve">8299400472813562</t>
  </si>
  <si>
    <t xml:space="preserve">1002144955432093</t>
  </si>
  <si>
    <t xml:space="preserve">8396521680334059</t>
  </si>
  <si>
    <t xml:space="preserve">GETTING STARTED KIT 1001313431342108 ORDERED Created: August</t>
  </si>
  <si>
    <t xml:space="preserve">8495741212449346</t>
  </si>
  <si>
    <t xml:space="preserve">3726496295118305182</t>
  </si>
  <si>
    <t xml:space="preserve">8529102481619384</t>
  </si>
  <si>
    <t xml:space="preserve">1001369919902110</t>
  </si>
  <si>
    <t xml:space="preserve">8155100183106024</t>
  </si>
  <si>
    <t xml:space="preserve">1002160145662027</t>
  </si>
  <si>
    <t xml:space="preserve">8220122015706368</t>
  </si>
  <si>
    <t xml:space="preserve">8773102260002847</t>
  </si>
  <si>
    <t xml:space="preserve">8495753922515399</t>
  </si>
  <si>
    <t xml:space="preserve">3721642295121473637</t>
  </si>
  <si>
    <t xml:space="preserve">8155600673701283</t>
  </si>
  <si>
    <t xml:space="preserve">100074615</t>
  </si>
  <si>
    <t xml:space="preserve">Hussien Ahmed Ahmed Eladawy</t>
  </si>
  <si>
    <t xml:space="preserve">8396400220051087</t>
  </si>
  <si>
    <t xml:space="preserve">3729679295125638299</t>
  </si>
  <si>
    <t xml:space="preserve">8497404241142311</t>
  </si>
  <si>
    <t xml:space="preserve">1002321543922070</t>
  </si>
  <si>
    <t xml:space="preserve">8529101910117051</t>
  </si>
  <si>
    <t xml:space="preserve">1001369942012119</t>
  </si>
  <si>
    <t xml:space="preserve">8529201700022345</t>
  </si>
  <si>
    <t xml:space="preserve">1001369943222113</t>
  </si>
  <si>
    <t xml:space="preserve">8396300013479083</t>
  </si>
  <si>
    <t xml:space="preserve">8155500510973741</t>
  </si>
  <si>
    <t xml:space="preserve">1002160180982025</t>
  </si>
  <si>
    <t xml:space="preserve">8529114490027129</t>
  </si>
  <si>
    <t xml:space="preserve">GETTING STARTED KIT 1001369946132111 ORDERED Created: August</t>
  </si>
  <si>
    <t xml:space="preserve">10074089</t>
  </si>
  <si>
    <t xml:space="preserve">8299400462568606</t>
  </si>
  <si>
    <t xml:space="preserve">1002145025032094</t>
  </si>
  <si>
    <t xml:space="preserve">8771300312524915</t>
  </si>
  <si>
    <t xml:space="preserve">3731261295133084172</t>
  </si>
  <si>
    <t xml:space="preserve">8155600811295412</t>
  </si>
  <si>
    <t xml:space="preserve">3721643295132651839</t>
  </si>
  <si>
    <t xml:space="preserve">8498310192119308</t>
  </si>
  <si>
    <t xml:space="preserve">1001079192872084</t>
  </si>
  <si>
    <t xml:space="preserve">8529112770775110</t>
  </si>
  <si>
    <t xml:space="preserve">1001369948052119</t>
  </si>
  <si>
    <t xml:space="preserve">8155600830802040</t>
  </si>
  <si>
    <t xml:space="preserve">2 GSR</t>
  </si>
  <si>
    <t xml:space="preserve">8993208080348080</t>
  </si>
  <si>
    <t xml:space="preserve">3731275295121745282</t>
  </si>
  <si>
    <t xml:space="preserve">1GSR</t>
  </si>
  <si>
    <t xml:space="preserve">8771203032647794</t>
  </si>
  <si>
    <t xml:space="preserve">1gsr</t>
  </si>
  <si>
    <t xml:space="preserve">8498310070654657</t>
  </si>
  <si>
    <t xml:space="preserve">1001079198712086</t>
  </si>
  <si>
    <t xml:space="preserve">8529102081050972</t>
  </si>
  <si>
    <t xml:space="preserve">1001370036272114</t>
  </si>
  <si>
    <t xml:space="preserve">3731295295173047764</t>
  </si>
  <si>
    <t xml:space="preserve">8396521661952879</t>
  </si>
  <si>
    <t xml:space="preserve">1001313574552109</t>
  </si>
  <si>
    <t xml:space="preserve">8773103253302327</t>
  </si>
  <si>
    <t xml:space="preserve">1001963608642068</t>
  </si>
  <si>
    <t xml:space="preserve">3721693295184151633</t>
  </si>
  <si>
    <t xml:space="preserve">8299600064642374</t>
  </si>
  <si>
    <t xml:space="preserve">1002145344672091</t>
  </si>
  <si>
    <t xml:space="preserve">8396200210759750</t>
  </si>
  <si>
    <t xml:space="preserve">1001313594432100</t>
  </si>
  <si>
    <t xml:space="preserve">8777702000047659</t>
  </si>
  <si>
    <t xml:space="preserve">1001880553072010</t>
  </si>
  <si>
    <t xml:space="preserve">8773103761866359</t>
  </si>
  <si>
    <t xml:space="preserve">1001963630002067</t>
  </si>
  <si>
    <t xml:space="preserve">8993110620013226</t>
  </si>
  <si>
    <t xml:space="preserve">1001880566162014</t>
  </si>
  <si>
    <t xml:space="preserve">8396300090573097</t>
  </si>
  <si>
    <t xml:space="preserve">1001313597612104</t>
  </si>
  <si>
    <t xml:space="preserve">8773102060002864</t>
  </si>
  <si>
    <t xml:space="preserve">1001963636332062</t>
  </si>
  <si>
    <t xml:space="preserve">8993212130151064</t>
  </si>
  <si>
    <t xml:space="preserve">1001880576322012</t>
  </si>
  <si>
    <t xml:space="preserve">8535101810618671</t>
  </si>
  <si>
    <t xml:space="preserve">1002513542582034</t>
  </si>
  <si>
    <t xml:space="preserve">8299610254285835</t>
  </si>
  <si>
    <t xml:space="preserve">1002145402522097</t>
  </si>
  <si>
    <t xml:space="preserve">8396521700041999</t>
  </si>
  <si>
    <t xml:space="preserve">8499053401586177</t>
  </si>
  <si>
    <t xml:space="preserve">1002145414762095</t>
  </si>
  <si>
    <t xml:space="preserve">100071391</t>
  </si>
  <si>
    <t xml:space="preserve">UNMAPPED:100071391</t>
  </si>
  <si>
    <t xml:space="preserve">8535114251733305</t>
  </si>
  <si>
    <t xml:space="preserve">3729663295196739966</t>
  </si>
  <si>
    <t xml:space="preserve">8299600080652084</t>
  </si>
  <si>
    <t xml:space="preserve">8535101790085180</t>
  </si>
  <si>
    <t xml:space="preserve">1002513563602034</t>
  </si>
  <si>
    <t xml:space="preserve">8777703330395792</t>
  </si>
  <si>
    <t xml:space="preserve">1001880601632013</t>
  </si>
  <si>
    <t xml:space="preserve">8771103450409307</t>
  </si>
  <si>
    <t xml:space="preserve">1002304245202058</t>
  </si>
  <si>
    <t xml:space="preserve">8497202261092956</t>
  </si>
  <si>
    <t xml:space="preserve">1002321771902075</t>
  </si>
  <si>
    <t xml:space="preserve">8993207900005599</t>
  </si>
  <si>
    <t xml:space="preserve">37264762951991022731  37264762951991022732</t>
  </si>
  <si>
    <t xml:space="preserve">8529112700290610</t>
  </si>
  <si>
    <t xml:space="preserve">8771203300960739</t>
  </si>
  <si>
    <t xml:space="preserve">4710840781864830464</t>
  </si>
  <si>
    <t xml:space="preserve">8535100570144316</t>
  </si>
  <si>
    <t xml:space="preserve">3721670295203728966</t>
  </si>
  <si>
    <t xml:space="preserve">8771402011668488</t>
  </si>
  <si>
    <t xml:space="preserve">1002304289492052</t>
  </si>
  <si>
    <t xml:space="preserve">8771401870057056</t>
  </si>
  <si>
    <t xml:space="preserve">1002304301582054</t>
  </si>
  <si>
    <t xml:space="preserve">8155600673505940</t>
  </si>
  <si>
    <t xml:space="preserve">1002160451712028</t>
  </si>
  <si>
    <t xml:space="preserve">8155400395172925</t>
  </si>
  <si>
    <t xml:space="preserve">---</t>
  </si>
  <si>
    <t xml:space="preserve">8155500320725331</t>
  </si>
  <si>
    <t xml:space="preserve">3721660295220111480</t>
  </si>
  <si>
    <t xml:space="preserve">8773103520775719</t>
  </si>
  <si>
    <t xml:space="preserve">3721663295221749234</t>
  </si>
  <si>
    <t xml:space="preserve">N</t>
  </si>
  <si>
    <t xml:space="preserve">8777702032898251</t>
  </si>
  <si>
    <t xml:space="preserve">1001880687572018</t>
  </si>
  <si>
    <t xml:space="preserve">8773201450038684</t>
  </si>
  <si>
    <t xml:space="preserve">1001963814202061</t>
  </si>
  <si>
    <t xml:space="preserve">8497101020749163</t>
  </si>
  <si>
    <t xml:space="preserve">1002321953752074</t>
  </si>
  <si>
    <t xml:space="preserve">8498380072925140</t>
  </si>
  <si>
    <t xml:space="preserve">1001079389022089</t>
  </si>
  <si>
    <t xml:space="preserve">8778103100801476</t>
  </si>
  <si>
    <t xml:space="preserve">1001438422872043</t>
  </si>
  <si>
    <t xml:space="preserve">8497950041291328</t>
  </si>
  <si>
    <t xml:space="preserve">3726464295276579087</t>
  </si>
  <si>
    <t xml:space="preserve">8529101000011941</t>
  </si>
  <si>
    <t xml:space="preserve">1001370299662118</t>
  </si>
  <si>
    <t xml:space="preserve">8498320060076266</t>
  </si>
  <si>
    <t xml:space="preserve">1001079406092081</t>
  </si>
  <si>
    <t xml:space="preserve">8535101090155873</t>
  </si>
  <si>
    <t xml:space="preserve">443500295284312524</t>
  </si>
  <si>
    <t xml:space="preserve">8993207410093762</t>
  </si>
  <si>
    <t xml:space="preserve">1001880850042013</t>
  </si>
  <si>
    <t xml:space="preserve">8155200440044651</t>
  </si>
  <si>
    <t xml:space="preserve">1002160619962028</t>
  </si>
  <si>
    <t xml:space="preserve">8220111010267401</t>
  </si>
  <si>
    <t xml:space="preserve">8771201880160886</t>
  </si>
  <si>
    <t xml:space="preserve">1002304519412052</t>
  </si>
  <si>
    <t xml:space="preserve">8773100690010190</t>
  </si>
  <si>
    <t xml:space="preserve">1001963909652063</t>
  </si>
  <si>
    <t xml:space="preserve">8155600670073785</t>
  </si>
  <si>
    <t xml:space="preserve">1002160628602029</t>
  </si>
  <si>
    <t xml:space="preserve">8495741221348521</t>
  </si>
  <si>
    <t xml:space="preserve">1002513902712031</t>
  </si>
  <si>
    <t xml:space="preserve">8495741213434693</t>
  </si>
  <si>
    <t xml:space="preserve">1002513916442039</t>
  </si>
  <si>
    <t xml:space="preserve">8220220750503824</t>
  </si>
  <si>
    <t xml:space="preserve">8155500150461973</t>
  </si>
  <si>
    <t xml:space="preserve">1002160656272026</t>
  </si>
  <si>
    <t xml:space="preserve">8497101401500201</t>
  </si>
  <si>
    <t xml:space="preserve">3726447295296224836</t>
  </si>
  <si>
    <t xml:space="preserve">8772105760470415</t>
  </si>
  <si>
    <t xml:space="preserve">1001438468182042</t>
  </si>
  <si>
    <t xml:space="preserve">8771100691085573</t>
  </si>
  <si>
    <t xml:space="preserve">1002304524602051</t>
  </si>
  <si>
    <t xml:space="preserve">8495753922362909</t>
  </si>
  <si>
    <t xml:space="preserve">----</t>
  </si>
  <si>
    <t xml:space="preserve">1002322066862073</t>
  </si>
  <si>
    <t xml:space="preserve">8499102370022670</t>
  </si>
  <si>
    <t xml:space="preserve">1002145941802091</t>
  </si>
  <si>
    <t xml:space="preserve">8396900190453502</t>
  </si>
  <si>
    <t xml:space="preserve">1001313848772103</t>
  </si>
  <si>
    <t xml:space="preserve">8155600690458370</t>
  </si>
  <si>
    <t xml:space="preserve">1002160701452029</t>
  </si>
  <si>
    <t xml:space="preserve">8499051890198983</t>
  </si>
  <si>
    <t xml:space="preserve">1002146143582093</t>
  </si>
  <si>
    <t xml:space="preserve">8773201640741601</t>
  </si>
  <si>
    <t xml:space="preserve">3721622295352879927</t>
  </si>
  <si>
    <t xml:space="preserve">8777703197132775</t>
  </si>
  <si>
    <t xml:space="preserve">1001881018572016</t>
  </si>
  <si>
    <t xml:space="preserve">8771203130287329</t>
  </si>
  <si>
    <t xml:space="preserve">1002304677762058</t>
  </si>
  <si>
    <t xml:space="preserve">8499050900155629</t>
  </si>
  <si>
    <t xml:space="preserve">1002146195702094</t>
  </si>
  <si>
    <t xml:space="preserve">8498320054002542</t>
  </si>
  <si>
    <t xml:space="preserve">1001079509662087</t>
  </si>
  <si>
    <t xml:space="preserve">8498320054183342</t>
  </si>
  <si>
    <t xml:space="preserve">1001079510392088</t>
  </si>
  <si>
    <t xml:space="preserve">8396100660349435</t>
  </si>
  <si>
    <t xml:space="preserve">1001313956712107</t>
  </si>
  <si>
    <t xml:space="preserve">8495753802419308</t>
  </si>
  <si>
    <t xml:space="preserve">1002514156442036</t>
  </si>
  <si>
    <t xml:space="preserve">1000074089</t>
  </si>
  <si>
    <t xml:space="preserve">8773600020368846</t>
  </si>
  <si>
    <t xml:space="preserve">1001964078452061</t>
  </si>
  <si>
    <t xml:space="preserve">8299400050749899</t>
  </si>
  <si>
    <t xml:space="preserve">1002146256902096</t>
  </si>
  <si>
    <t xml:space="preserve">8396511712952382</t>
  </si>
  <si>
    <t xml:space="preserve">1001313984712103</t>
  </si>
  <si>
    <t xml:space="preserve">8499100221754772</t>
  </si>
  <si>
    <t xml:space="preserve">1002146271802099</t>
  </si>
  <si>
    <t xml:space="preserve">8529102180215344</t>
  </si>
  <si>
    <t xml:space="preserve">1001370535452118</t>
  </si>
  <si>
    <t xml:space="preserve">8773201280583347</t>
  </si>
  <si>
    <t xml:space="preserve">1001964098782067</t>
  </si>
  <si>
    <t xml:space="preserve">8155600270302436</t>
  </si>
  <si>
    <t xml:space="preserve">1002160862272026</t>
  </si>
  <si>
    <t xml:space="preserve">8495600760270795</t>
  </si>
  <si>
    <t xml:space="preserve">3729608295374657794</t>
  </si>
  <si>
    <t xml:space="preserve">8299600810562439</t>
  </si>
  <si>
    <t xml:space="preserve">3729657295380689387</t>
  </si>
  <si>
    <t xml:space="preserve">8535114490511108</t>
  </si>
  <si>
    <t xml:space="preserve">3729617295382771013</t>
  </si>
  <si>
    <t xml:space="preserve">8155600371863799</t>
  </si>
  <si>
    <t xml:space="preserve">1002160913812028</t>
  </si>
  <si>
    <t xml:space="preserve">8771300014832103</t>
  </si>
  <si>
    <t xml:space="preserve">1002304807262052</t>
  </si>
  <si>
    <t xml:space="preserve">1002160915122020</t>
  </si>
  <si>
    <t xml:space="preserve">8778103142461818</t>
  </si>
  <si>
    <t xml:space="preserve">1001438605522043</t>
  </si>
  <si>
    <t xml:space="preserve">8772105907907311</t>
  </si>
  <si>
    <t xml:space="preserve">8771201180200903</t>
  </si>
  <si>
    <t xml:space="preserve">1002304821432053</t>
  </si>
  <si>
    <t xml:space="preserve">8155500320595478</t>
  </si>
  <si>
    <t xml:space="preserve">1002160941842021</t>
  </si>
  <si>
    <t xml:space="preserve">8499053141604561</t>
  </si>
  <si>
    <t xml:space="preserve">1002146522402095</t>
  </si>
  <si>
    <t xml:space="preserve">3731216295429529801</t>
  </si>
  <si>
    <t xml:space="preserve">8529100120107910</t>
  </si>
  <si>
    <t xml:space="preserve">1001370659842110</t>
  </si>
  <si>
    <t xml:space="preserve">8495741226669343</t>
  </si>
  <si>
    <t xml:space="preserve">1002514447722030</t>
  </si>
  <si>
    <t xml:space="preserve">8396200680007243</t>
  </si>
  <si>
    <t xml:space="preserve">1001314145852101</t>
  </si>
  <si>
    <t xml:space="preserve">8535115140074454</t>
  </si>
  <si>
    <t xml:space="preserve">3726461295447646865</t>
  </si>
  <si>
    <t xml:space="preserve">8771200660444072</t>
  </si>
  <si>
    <t xml:space="preserve">1002304964142055</t>
  </si>
  <si>
    <t xml:space="preserve">8772105907334250</t>
  </si>
  <si>
    <t xml:space="preserve">8535101684314506</t>
  </si>
  <si>
    <t xml:space="preserve">1002514496972031</t>
  </si>
  <si>
    <t xml:space="preserve">8499052930019304</t>
  </si>
  <si>
    <t xml:space="preserve">3729654295458186167</t>
  </si>
  <si>
    <t xml:space="preserve">8220155700428203</t>
  </si>
  <si>
    <t xml:space="preserve">1002322535122075</t>
  </si>
  <si>
    <t xml:space="preserve">8299400311890284</t>
  </si>
  <si>
    <t xml:space="preserve">1002146685462092</t>
  </si>
  <si>
    <t xml:space="preserve">100075074</t>
  </si>
  <si>
    <t xml:space="preserve">Radwa Ahmed</t>
  </si>
  <si>
    <t xml:space="preserve">8299610451251119</t>
  </si>
  <si>
    <t xml:space="preserve">8529100030426533</t>
  </si>
  <si>
    <t xml:space="preserve">1001370748072117</t>
  </si>
  <si>
    <t xml:space="preserve">8396522031443169</t>
  </si>
  <si>
    <t xml:space="preserve">No</t>
  </si>
  <si>
    <t xml:space="preserve">E-sim</t>
  </si>
  <si>
    <t xml:space="preserve">iPhone</t>
  </si>
  <si>
    <t xml:space="preserve">Free Line for 1 Year</t>
  </si>
  <si>
    <t xml:space="preserve">8396800100118692</t>
  </si>
  <si>
    <t xml:space="preserve">3731226295459644396</t>
  </si>
  <si>
    <t xml:space="preserve">8529201210011630</t>
  </si>
  <si>
    <t xml:space="preserve">3729623295467985968</t>
  </si>
  <si>
    <t xml:space="preserve">New Line with no promotions</t>
  </si>
  <si>
    <t xml:space="preserve">8777701741289166</t>
  </si>
  <si>
    <t xml:space="preserve">8497202301098500</t>
  </si>
  <si>
    <t xml:space="preserve">202301098500</t>
  </si>
  <si>
    <t xml:space="preserve">Physical SIM</t>
  </si>
  <si>
    <t xml:space="preserve">iPad</t>
  </si>
  <si>
    <t xml:space="preserve">11111111111</t>
  </si>
  <si>
    <t xml:space="preserve">100062650</t>
  </si>
  <si>
    <t xml:space="preserve">Mohamed Ashraf Hassan Al-Elemy</t>
  </si>
  <si>
    <t xml:space="preserve">8499100226604006</t>
  </si>
  <si>
    <t xml:space="preserve">357240430108036</t>
  </si>
  <si>
    <t xml:space="preserve">8155400530270048</t>
  </si>
  <si>
    <t xml:space="preserve">N\A</t>
  </si>
  <si>
    <t xml:space="preserve">100077674</t>
  </si>
  <si>
    <t xml:space="preserve">Seif Eldin Maged Saeed Mattar</t>
  </si>
  <si>
    <t xml:space="preserve">8220160191681120</t>
  </si>
  <si>
    <t xml:space="preserve">1002322579042072</t>
  </si>
  <si>
    <t xml:space="preserve">100077683</t>
  </si>
  <si>
    <t xml:space="preserve">Mahmoud Hamdi Mansour Haridi</t>
  </si>
  <si>
    <t xml:space="preserve">8495741235139007</t>
  </si>
  <si>
    <t xml:space="preserve">530490045</t>
  </si>
  <si>
    <t xml:space="preserve">8499100570126622</t>
  </si>
  <si>
    <t xml:space="preserve">3729650295478435953</t>
  </si>
  <si>
    <t xml:space="preserve">8771203301186268</t>
  </si>
  <si>
    <t xml:space="preserve">1002305077372059</t>
  </si>
  <si>
    <t xml:space="preserve">8299200420484999</t>
  </si>
  <si>
    <t xml:space="preserve">1002146780462096</t>
  </si>
  <si>
    <t xml:space="preserve">8529112663011508</t>
  </si>
  <si>
    <t xml:space="preserve">1001370784842118</t>
  </si>
  <si>
    <t xml:space="preserve">8499102730227753</t>
  </si>
  <si>
    <t xml:space="preserve">1002146911502091</t>
  </si>
  <si>
    <t xml:space="preserve">8773500840019639</t>
  </si>
  <si>
    <t xml:space="preserve">1001964436272060</t>
  </si>
  <si>
    <t xml:space="preserve">100071349</t>
  </si>
  <si>
    <t xml:space="preserve">Abdelrahman Eid</t>
  </si>
  <si>
    <t xml:space="preserve">8299400442263831</t>
  </si>
  <si>
    <t xml:space="preserve">3726490295525060604</t>
  </si>
  <si>
    <t xml:space="preserve">100072749</t>
  </si>
  <si>
    <t xml:space="preserve">Ezz Eldin Ahmed  Abdelghany El Kordy</t>
  </si>
  <si>
    <t xml:space="preserve">BYOD</t>
  </si>
  <si>
    <t xml:space="preserve">8499100101393717</t>
  </si>
  <si>
    <t xml:space="preserve">111111</t>
  </si>
  <si>
    <t xml:space="preserve">8396120070126462</t>
  </si>
  <si>
    <t xml:space="preserve">1001314328142106</t>
  </si>
  <si>
    <t xml:space="preserve">8535100601427482</t>
  </si>
  <si>
    <t xml:space="preserve">3721629295534300268</t>
  </si>
  <si>
    <t xml:space="preserve">100072748</t>
  </si>
  <si>
    <t xml:space="preserve">UNMAPPED:100072748</t>
  </si>
  <si>
    <t xml:space="preserve">8499100530995462</t>
  </si>
  <si>
    <t xml:space="preserve">3726422295530194800</t>
  </si>
  <si>
    <t xml:space="preserve">8777701380556610</t>
  </si>
  <si>
    <t xml:space="preserve">8299310020254211</t>
  </si>
  <si>
    <t xml:space="preserve">1002147040632098</t>
  </si>
  <si>
    <t xml:space="preserve">8772105370745172</t>
  </si>
  <si>
    <t xml:space="preserve">1001438825752040</t>
  </si>
  <si>
    <t xml:space="preserve">100072764</t>
  </si>
  <si>
    <t xml:space="preserve">Sameh Tawfeeq Abuelezz Tawfeeq</t>
  </si>
  <si>
    <t xml:space="preserve">8773100741409797</t>
  </si>
  <si>
    <t xml:space="preserve">1001964465532061</t>
  </si>
  <si>
    <t xml:space="preserve">8535100740678417</t>
  </si>
  <si>
    <t xml:space="preserve">3726484295545146018</t>
  </si>
  <si>
    <t xml:space="preserve">Samsung</t>
  </si>
  <si>
    <t xml:space="preserve">8771400010691949</t>
  </si>
  <si>
    <t xml:space="preserve">3726479295547784229</t>
  </si>
  <si>
    <t xml:space="preserve">8396514070498154</t>
  </si>
  <si>
    <t xml:space="preserve">1001314376262103</t>
  </si>
  <si>
    <t xml:space="preserve">8299610140961870</t>
  </si>
  <si>
    <t xml:space="preserve">3726474295550494992</t>
  </si>
  <si>
    <t xml:space="preserve">8499050640029936</t>
  </si>
  <si>
    <t xml:space="preserve">3729650295548665766</t>
  </si>
  <si>
    <t xml:space="preserve">100077675</t>
  </si>
  <si>
    <t xml:space="preserve">Mina Ehab Nassif Kamel</t>
  </si>
  <si>
    <t xml:space="preserve">8495744030560104</t>
  </si>
  <si>
    <t xml:space="preserve">3729608295553908321</t>
  </si>
  <si>
    <t xml:space="preserve">8777701842530039</t>
  </si>
  <si>
    <t xml:space="preserve">1001881610922015</t>
  </si>
  <si>
    <t xml:space="preserve">8220220901374935</t>
  </si>
  <si>
    <t xml:space="preserve">3721609295556452887</t>
  </si>
  <si>
    <t xml:space="preserve">8771300213918919</t>
  </si>
  <si>
    <t xml:space="preserve">7130021391891</t>
  </si>
  <si>
    <t xml:space="preserve">100075071</t>
  </si>
  <si>
    <t xml:space="preserve">Omar Mahmoud</t>
  </si>
  <si>
    <t xml:space="preserve">8299610060407128</t>
  </si>
  <si>
    <t xml:space="preserve">8499051530240237</t>
  </si>
  <si>
    <t xml:space="preserve">3721639295562332600</t>
  </si>
  <si>
    <t xml:space="preserve">8299600143680742</t>
  </si>
  <si>
    <t xml:space="preserve">3726461295557507123</t>
  </si>
  <si>
    <t xml:space="preserve">aladdin mohamed</t>
  </si>
  <si>
    <t xml:space="preserve">1002514934162039</t>
  </si>
  <si>
    <t xml:space="preserve">8396200120655908</t>
  </si>
  <si>
    <t xml:space="preserve">1001314487192108</t>
  </si>
  <si>
    <t xml:space="preserve">8155200260170180</t>
  </si>
  <si>
    <t xml:space="preserve">100073752</t>
  </si>
  <si>
    <t xml:space="preserve">Moutasem Ahmed Mohamed Saied</t>
  </si>
  <si>
    <t xml:space="preserve">8771400330566854</t>
  </si>
  <si>
    <t xml:space="preserve">3729602295609194779</t>
  </si>
  <si>
    <t xml:space="preserve">8299400434273822</t>
  </si>
  <si>
    <t xml:space="preserve">1002147357342091</t>
  </si>
  <si>
    <t xml:space="preserve">8777703330048060</t>
  </si>
  <si>
    <t xml:space="preserve">1001881748552015</t>
  </si>
  <si>
    <t xml:space="preserve">Apple Watch</t>
  </si>
  <si>
    <t xml:space="preserve">Smart Watch Discount</t>
  </si>
  <si>
    <t xml:space="preserve">3729682295617085959</t>
  </si>
  <si>
    <t xml:space="preserve">8498350175976670</t>
  </si>
  <si>
    <t xml:space="preserve">1001079868442089</t>
  </si>
  <si>
    <t xml:space="preserve">8396300180590423</t>
  </si>
  <si>
    <t xml:space="preserve">8497101863317615</t>
  </si>
  <si>
    <t xml:space="preserve">3729659295621145348</t>
  </si>
  <si>
    <t xml:space="preserve">8773403810355333</t>
  </si>
  <si>
    <t xml:space="preserve">1001964743122065</t>
  </si>
  <si>
    <t xml:space="preserve">8993208780004454</t>
  </si>
  <si>
    <t xml:space="preserve">1001881730802014</t>
  </si>
  <si>
    <t xml:space="preserve">8299600143651537</t>
  </si>
  <si>
    <t xml:space="preserve">1002147413972097</t>
  </si>
  <si>
    <t xml:space="preserve">8777701300362065</t>
  </si>
  <si>
    <t xml:space="preserve">1001881785142019</t>
  </si>
  <si>
    <t xml:space="preserve">No Device</t>
  </si>
  <si>
    <t xml:space="preserve">Port In</t>
  </si>
  <si>
    <t xml:space="preserve">37296022956238960251</t>
  </si>
  <si>
    <t xml:space="preserve">100074619</t>
  </si>
  <si>
    <t xml:space="preserve">Abdallah Mohamed Abdallah Mahmoud Hammam</t>
  </si>
  <si>
    <t xml:space="preserve">8772105400150708</t>
  </si>
  <si>
    <t xml:space="preserve">1001438931352040</t>
  </si>
  <si>
    <t xml:space="preserve">8499053270752801</t>
  </si>
  <si>
    <t xml:space="preserve">3729699295624840872</t>
  </si>
  <si>
    <t xml:space="preserve">8535100300068249</t>
  </si>
  <si>
    <t xml:space="preserve">3726489295625361515</t>
  </si>
  <si>
    <t xml:space="preserve">37296082956255563601</t>
  </si>
  <si>
    <t xml:space="preserve">8155600510844064</t>
  </si>
  <si>
    <t xml:space="preserve">GETTING STARTED KIT 1002161549042022 ORDERED Created: August</t>
  </si>
  <si>
    <t xml:space="preserve">8498340340886110</t>
  </si>
  <si>
    <t xml:space="preserve">1001079880562088</t>
  </si>
  <si>
    <t xml:space="preserve">8772105530087341</t>
  </si>
  <si>
    <t xml:space="preserve">3726465295627799206</t>
  </si>
  <si>
    <t xml:space="preserve">8771300513306963</t>
  </si>
  <si>
    <t xml:space="preserve">1002305523052057</t>
  </si>
  <si>
    <t xml:space="preserve">8155600450450666</t>
  </si>
  <si>
    <t xml:space="preserve">8495753802551548</t>
  </si>
  <si>
    <t xml:space="preserve">3721612295630691265</t>
  </si>
  <si>
    <t xml:space="preserve">8499053270771736</t>
  </si>
  <si>
    <t xml:space="preserve">3721666295629169362</t>
  </si>
  <si>
    <t xml:space="preserve">8499100081780891</t>
  </si>
  <si>
    <t xml:space="preserve">3729674295631866900</t>
  </si>
  <si>
    <t xml:space="preserve">8993114570332404</t>
  </si>
  <si>
    <t xml:space="preserve">3729640295629394087</t>
  </si>
  <si>
    <t xml:space="preserve">3721601295631830230</t>
  </si>
  <si>
    <t xml:space="preserve">8535114592174250</t>
  </si>
  <si>
    <t xml:space="preserve">3726414295631565713</t>
  </si>
  <si>
    <t xml:space="preserve">8155400551777087</t>
  </si>
  <si>
    <t xml:space="preserve">1002161582272023</t>
  </si>
  <si>
    <t xml:space="preserve">8155300300071461</t>
  </si>
  <si>
    <t xml:space="preserve">8299600780402277</t>
  </si>
  <si>
    <t xml:space="preserve">1002147479462090</t>
  </si>
  <si>
    <t xml:space="preserve">8495741226953085</t>
  </si>
  <si>
    <t xml:space="preserve">3721692295638389573</t>
  </si>
  <si>
    <t xml:space="preserve">8535114370391100</t>
  </si>
  <si>
    <t xml:space="preserve">1002515210542034</t>
  </si>
  <si>
    <t xml:space="preserve">8529300030088198</t>
  </si>
  <si>
    <t xml:space="preserve">1001371153402112</t>
  </si>
  <si>
    <t xml:space="preserve">8220188932683790</t>
  </si>
  <si>
    <t xml:space="preserve">3726437295640925496</t>
  </si>
  <si>
    <t xml:space="preserve">8499052050055708</t>
  </si>
  <si>
    <t xml:space="preserve">1002147508712093</t>
  </si>
  <si>
    <t xml:space="preserve">8299420621759284</t>
  </si>
  <si>
    <t xml:space="preserve">100074612</t>
  </si>
  <si>
    <t xml:space="preserve">Youssef Sherif Gamal Attya</t>
  </si>
  <si>
    <t xml:space="preserve">8771400901697716</t>
  </si>
  <si>
    <t xml:space="preserve">3729630295645204631</t>
  </si>
  <si>
    <t xml:space="preserve">8777702103869231</t>
  </si>
  <si>
    <t xml:space="preserve">1001881852852011</t>
  </si>
  <si>
    <t xml:space="preserve">Samsung Watch</t>
  </si>
  <si>
    <t xml:space="preserve">8155400170982506</t>
  </si>
  <si>
    <t xml:space="preserve">s</t>
  </si>
  <si>
    <t xml:space="preserve">8497505540369098</t>
  </si>
  <si>
    <t xml:space="preserve">8993113460280541</t>
  </si>
  <si>
    <t xml:space="preserve">3721639295380823884</t>
  </si>
  <si>
    <t xml:space="preserve">8771300044174310</t>
  </si>
  <si>
    <t xml:space="preserve">8299400434036518</t>
  </si>
  <si>
    <t xml:space="preserve">100214146022095</t>
  </si>
  <si>
    <t xml:space="preserve">8771200610440147</t>
  </si>
  <si>
    <t xml:space="preserve">1002305713062056</t>
  </si>
  <si>
    <t xml:space="preserve">8155600441120832</t>
  </si>
  <si>
    <t xml:space="preserve">3721679295571606693</t>
  </si>
  <si>
    <t xml:space="preserve">8495753861735289</t>
  </si>
  <si>
    <t xml:space="preserve">8771300420152252</t>
  </si>
  <si>
    <t xml:space="preserve">8497202470476941</t>
  </si>
  <si>
    <t xml:space="preserve">8495840013731140</t>
  </si>
  <si>
    <t xml:space="preserve">3729680295553980576</t>
  </si>
  <si>
    <t xml:space="preserve">8535100190007240</t>
  </si>
  <si>
    <t xml:space="preserve">Other</t>
  </si>
  <si>
    <t xml:space="preserve">8220116031880884</t>
  </si>
  <si>
    <t xml:space="preserve">8499052820848549</t>
  </si>
  <si>
    <t xml:space="preserve">1002147730642092</t>
  </si>
  <si>
    <t xml:space="preserve">8495753104074348</t>
  </si>
  <si>
    <t xml:space="preserve">3726440295712050043</t>
  </si>
  <si>
    <t xml:space="preserve">8495753831200000</t>
  </si>
  <si>
    <t xml:space="preserve">1002515434482033</t>
  </si>
  <si>
    <t xml:space="preserve">8535114080071323</t>
  </si>
  <si>
    <t xml:space="preserve">8778102253377409</t>
  </si>
  <si>
    <t xml:space="preserve">3729624295709296643</t>
  </si>
  <si>
    <t xml:space="preserve">sama mohamed</t>
  </si>
  <si>
    <t xml:space="preserve">1001079998362028</t>
  </si>
  <si>
    <t xml:space="preserve">8155300470211756</t>
  </si>
  <si>
    <t xml:space="preserve">3729613295638254504</t>
  </si>
  <si>
    <t xml:space="preserve">100072769</t>
  </si>
  <si>
    <t xml:space="preserve">UNMAPPED:100072769</t>
  </si>
  <si>
    <t xml:space="preserve">8771201240815062</t>
  </si>
  <si>
    <t xml:space="preserve">1002305747632056</t>
  </si>
  <si>
    <t xml:space="preserve">8220199130656520</t>
  </si>
  <si>
    <t xml:space="preserve">1002323259512079</t>
  </si>
  <si>
    <t xml:space="preserve">8771401140687609</t>
  </si>
  <si>
    <t xml:space="preserve">3729639295719688414</t>
  </si>
  <si>
    <t xml:space="preserve">8993211290699490</t>
  </si>
  <si>
    <t xml:space="preserve">1001882046642011</t>
  </si>
  <si>
    <t xml:space="preserve">8220204151933368</t>
  </si>
  <si>
    <t xml:space="preserve">3726476295723025545</t>
  </si>
  <si>
    <t xml:space="preserve">8772105081425775</t>
  </si>
  <si>
    <t xml:space="preserve">1001439084252045</t>
  </si>
  <si>
    <t xml:space="preserve">8529102201266441</t>
  </si>
  <si>
    <t xml:space="preserve">1001371318942119</t>
  </si>
  <si>
    <t xml:space="preserve">8499100690411318</t>
  </si>
  <si>
    <t xml:space="preserve">1035273650</t>
  </si>
  <si>
    <t xml:space="preserve">8529200864812004</t>
  </si>
  <si>
    <t xml:space="preserve">1001371324082116</t>
  </si>
  <si>
    <t xml:space="preserve">8155600420365549</t>
  </si>
  <si>
    <t xml:space="preserve">1002161821302029</t>
  </si>
  <si>
    <t xml:space="preserve">8529201760843663</t>
  </si>
  <si>
    <t xml:space="preserve">1001371325382119</t>
  </si>
  <si>
    <t xml:space="preserve">8499100690411318  -</t>
  </si>
  <si>
    <t xml:space="preserve">8396120022783451</t>
  </si>
  <si>
    <t xml:space="preserve">1001314705782102</t>
  </si>
  <si>
    <t xml:space="preserve">8535100980332345</t>
  </si>
  <si>
    <t xml:space="preserve">1002515494862033</t>
  </si>
  <si>
    <t xml:space="preserve">8499100530210805</t>
  </si>
  <si>
    <t xml:space="preserve">1002147817792091</t>
  </si>
  <si>
    <t xml:space="preserve">8396900131573368</t>
  </si>
  <si>
    <t xml:space="preserve">8529201050213775</t>
  </si>
  <si>
    <t xml:space="preserve">1001371334372119</t>
  </si>
  <si>
    <t xml:space="preserve">8396100770097700</t>
  </si>
  <si>
    <t xml:space="preserve">1001314772292100</t>
  </si>
  <si>
    <t xml:space="preserve">8773103132002817</t>
  </si>
  <si>
    <t xml:space="preserve">1001965082472060</t>
  </si>
  <si>
    <t xml:space="preserve">8771200630642946</t>
  </si>
  <si>
    <t xml:space="preserve">1002305899692056</t>
  </si>
  <si>
    <t xml:space="preserve">8777703351384238</t>
  </si>
  <si>
    <t xml:space="preserve">1001882253282014</t>
  </si>
  <si>
    <t xml:space="preserve">8220155760349208</t>
  </si>
  <si>
    <t xml:space="preserve">3721689295792321175</t>
  </si>
  <si>
    <t xml:space="preserve">8499051120318583</t>
  </si>
  <si>
    <t xml:space="preserve">3721688295788044576</t>
  </si>
  <si>
    <t xml:space="preserve">8535101810592934</t>
  </si>
  <si>
    <t xml:space="preserve">1002515693722038</t>
  </si>
  <si>
    <t xml:space="preserve">8495600870450923</t>
  </si>
  <si>
    <t xml:space="preserve">10070316</t>
  </si>
  <si>
    <t xml:space="preserve">8495753922319974</t>
  </si>
  <si>
    <t xml:space="preserve">3729668295794506118</t>
  </si>
  <si>
    <t xml:space="preserve">8529100771353763</t>
  </si>
  <si>
    <t xml:space="preserve">1001371450342110</t>
  </si>
  <si>
    <t xml:space="preserve">8498380052919188</t>
  </si>
  <si>
    <t xml:space="preserve">8495741204516110</t>
  </si>
  <si>
    <t xml:space="preserve">1002515712732034</t>
  </si>
  <si>
    <t xml:space="preserve">8773102530297227</t>
  </si>
  <si>
    <t xml:space="preserve">8529112700330085</t>
  </si>
  <si>
    <t xml:space="preserve">1001371464012113</t>
  </si>
  <si>
    <t xml:space="preserve">100074628</t>
  </si>
  <si>
    <t xml:space="preserve">Belal Ashraf Ahmed Badran</t>
  </si>
  <si>
    <t xml:space="preserve">8772106810681332</t>
  </si>
  <si>
    <t xml:space="preserve">1001439220202045</t>
  </si>
  <si>
    <t xml:space="preserve">8535101690101434</t>
  </si>
  <si>
    <t xml:space="preserve">3726452295799709218</t>
  </si>
  <si>
    <t xml:space="preserve">8773201670182882</t>
  </si>
  <si>
    <t xml:space="preserve">1001965178092061</t>
  </si>
  <si>
    <t xml:space="preserve">8771403080679174</t>
  </si>
  <si>
    <t xml:space="preserve">1002305967402057</t>
  </si>
  <si>
    <t xml:space="preserve">8535100601011104</t>
  </si>
  <si>
    <t xml:space="preserve">1002515744842033</t>
  </si>
  <si>
    <t xml:space="preserve">100068350</t>
  </si>
  <si>
    <t xml:space="preserve">Esraa Mostafa Ali Mostafa Zhran</t>
  </si>
  <si>
    <t xml:space="preserve">8772105907959122</t>
  </si>
  <si>
    <t xml:space="preserve">1001439230942044</t>
  </si>
  <si>
    <t xml:space="preserve">8497404641857104</t>
  </si>
  <si>
    <t xml:space="preserve">1002323487582076</t>
  </si>
  <si>
    <t xml:space="preserve">8495600201773175</t>
  </si>
  <si>
    <t xml:space="preserve">1002515748842039</t>
  </si>
  <si>
    <t xml:space="preserve">8773100802255121</t>
  </si>
  <si>
    <t xml:space="preserve">3726433295803685545</t>
  </si>
  <si>
    <t xml:space="preserve">8495600460241278</t>
  </si>
  <si>
    <t xml:space="preserve">1002515752342033</t>
  </si>
  <si>
    <t xml:space="preserve">8772105850057411</t>
  </si>
  <si>
    <t xml:space="preserve">1001439236882046</t>
  </si>
  <si>
    <t xml:space="preserve">8777701160137763</t>
  </si>
  <si>
    <t xml:space="preserve">1001882312692013</t>
  </si>
  <si>
    <t xml:space="preserve">8773405071009194</t>
  </si>
  <si>
    <t xml:space="preserve">1001965215572067</t>
  </si>
  <si>
    <t xml:space="preserve">1001965174162066</t>
  </si>
  <si>
    <t xml:space="preserve">8220111104011947</t>
  </si>
  <si>
    <t xml:space="preserve">1002323508842079</t>
  </si>
  <si>
    <t xml:space="preserve">8773102950595522</t>
  </si>
  <si>
    <t xml:space="preserve">1001965223832065</t>
  </si>
  <si>
    <t xml:space="preserve">8773103301882635</t>
  </si>
  <si>
    <t xml:space="preserve">1001965236162062</t>
  </si>
  <si>
    <t xml:space="preserve">100077677</t>
  </si>
  <si>
    <t xml:space="preserve">Nabil Mohamed Nabil Ibrahim</t>
  </si>
  <si>
    <t xml:space="preserve">8778107016359230</t>
  </si>
  <si>
    <t xml:space="preserve">1001439251892045</t>
  </si>
  <si>
    <t xml:space="preserve">8497101101021615</t>
  </si>
  <si>
    <t xml:space="preserve">3729632295811486079</t>
  </si>
  <si>
    <t xml:space="preserve">8497101100920783</t>
  </si>
  <si>
    <t xml:space="preserve">3729681295811355234</t>
  </si>
  <si>
    <t xml:space="preserve">8299610381416105</t>
  </si>
  <si>
    <t xml:space="preserve">1002148188592094</t>
  </si>
  <si>
    <t xml:space="preserve">8498370010681442</t>
  </si>
  <si>
    <t xml:space="preserve">1001080140272088</t>
  </si>
  <si>
    <t xml:space="preserve">8299600140399775</t>
  </si>
  <si>
    <t xml:space="preserve">1002148212862091</t>
  </si>
  <si>
    <t xml:space="preserve">8499100217839348</t>
  </si>
  <si>
    <t xml:space="preserve">1002148214152095</t>
  </si>
  <si>
    <t xml:space="preserve">8499050430183166</t>
  </si>
  <si>
    <t xml:space="preserve">1002148220762093</t>
  </si>
  <si>
    <t xml:space="preserve">8299610460500316</t>
  </si>
  <si>
    <t xml:space="preserve">1002148224742091</t>
  </si>
  <si>
    <t xml:space="preserve">100074638</t>
  </si>
  <si>
    <t xml:space="preserve">Mohamed Abdelhamed Mohamed Abdelwahed Al Soda</t>
  </si>
  <si>
    <t xml:space="preserve">8220204142647515</t>
  </si>
  <si>
    <t xml:space="preserve">8155300330312885</t>
  </si>
  <si>
    <t xml:space="preserve">100077679</t>
  </si>
  <si>
    <t xml:space="preserve">Abdelrahman Hassan Abdelhalim Moftah</t>
  </si>
  <si>
    <t xml:space="preserve">8220133031739911</t>
  </si>
  <si>
    <t xml:space="preserve">3721651295818905011</t>
  </si>
  <si>
    <t xml:space="preserve">8299200200530946</t>
  </si>
  <si>
    <t xml:space="preserve">1002148121702099</t>
  </si>
  <si>
    <t xml:space="preserve">100074627</t>
  </si>
  <si>
    <t xml:space="preserve">Hussein Essam Elsayed Eldesoky Hussien</t>
  </si>
  <si>
    <t xml:space="preserve">8771300020903583</t>
  </si>
  <si>
    <t xml:space="preserve">...</t>
  </si>
  <si>
    <t xml:space="preserve">Trade In</t>
  </si>
  <si>
    <t xml:space="preserve">8535100180497617</t>
  </si>
  <si>
    <t xml:space="preserve">3726475295815033543</t>
  </si>
  <si>
    <t xml:space="preserve">8155200300142850</t>
  </si>
  <si>
    <t xml:space="preserve">3729631295821029730</t>
  </si>
  <si>
    <t xml:space="preserve">8771101351613092</t>
  </si>
  <si>
    <t xml:space="preserve">1002306051342050</t>
  </si>
  <si>
    <t xml:space="preserve">8220188953368990</t>
  </si>
  <si>
    <t xml:space="preserve">1002323563812074</t>
  </si>
  <si>
    <t xml:space="preserve">8777703333472663</t>
  </si>
  <si>
    <t xml:space="preserve">1001882366092011</t>
  </si>
  <si>
    <t xml:space="preserve">3721623295818625600</t>
  </si>
  <si>
    <t xml:space="preserve">8529100080030771</t>
  </si>
  <si>
    <t xml:space="preserve">8498330400643634</t>
  </si>
  <si>
    <t xml:space="preserve">8535115140343008</t>
  </si>
  <si>
    <t xml:space="preserve">1002515834942032</t>
  </si>
  <si>
    <t xml:space="preserve">1001080166052083</t>
  </si>
  <si>
    <t xml:space="preserve">8396522033306869</t>
  </si>
  <si>
    <t xml:space="preserve">1001314897252104</t>
  </si>
  <si>
    <t xml:space="preserve">3729651295829143653</t>
  </si>
  <si>
    <t xml:space="preserve">8773400240388066</t>
  </si>
  <si>
    <t xml:space="preserve">3729605295828756998</t>
  </si>
  <si>
    <t xml:space="preserve">8777702090257838</t>
  </si>
  <si>
    <t xml:space="preserve">3726479295824113633</t>
  </si>
  <si>
    <t xml:space="preserve">8220144011308676</t>
  </si>
  <si>
    <t xml:space="preserve">1002323576792073</t>
  </si>
  <si>
    <t xml:space="preserve">8220111106959176</t>
  </si>
  <si>
    <t xml:space="preserve">UNMAPPED:8220111106959176</t>
  </si>
  <si>
    <t xml:space="preserve">8499050530690250</t>
  </si>
  <si>
    <t xml:space="preserve">1002148392352095</t>
  </si>
  <si>
    <t xml:space="preserve">8773102830003945</t>
  </si>
  <si>
    <t xml:space="preserve">1001965360822069</t>
  </si>
  <si>
    <t xml:space="preserve">8529100130061545</t>
  </si>
  <si>
    <t xml:space="preserve">1001371627062112</t>
  </si>
  <si>
    <t xml:space="preserve">8499053400966487</t>
  </si>
  <si>
    <t xml:space="preserve">3731227295866062405</t>
  </si>
  <si>
    <t xml:space="preserve">8220111106663992</t>
  </si>
  <si>
    <t xml:space="preserve">1002323677762074</t>
  </si>
  <si>
    <t xml:space="preserve">8299400473084460</t>
  </si>
  <si>
    <t xml:space="preserve">3729627295866613297</t>
  </si>
  <si>
    <t xml:space="preserve">8773100731858128</t>
  </si>
  <si>
    <t xml:space="preserve">8499100028930260</t>
  </si>
  <si>
    <t xml:space="preserve">3731230295870291838</t>
  </si>
  <si>
    <t xml:space="preserve">8155700040227861</t>
  </si>
  <si>
    <t xml:space="preserve">3726490295874484198</t>
  </si>
  <si>
    <t xml:space="preserve">8773100100646484</t>
  </si>
  <si>
    <t xml:space="preserve">1001965430742065</t>
  </si>
  <si>
    <t xml:space="preserve">8529101250093821</t>
  </si>
  <si>
    <t xml:space="preserve">1001371678792112</t>
  </si>
  <si>
    <t xml:space="preserve">8773100170109132</t>
  </si>
  <si>
    <t xml:space="preserve">1236543828981</t>
  </si>
  <si>
    <t xml:space="preserve">8772105771155203</t>
  </si>
  <si>
    <t xml:space="preserve">8499052050104423</t>
  </si>
  <si>
    <t xml:space="preserve">3729636295880783988</t>
  </si>
  <si>
    <t xml:space="preserve">1002148477212099</t>
  </si>
  <si>
    <t xml:space="preserve">8220204142654099</t>
  </si>
  <si>
    <t xml:space="preserve">8495753812312667</t>
  </si>
  <si>
    <t xml:space="preserve">3726427295886005343</t>
  </si>
  <si>
    <t xml:space="preserve">8220144010935198</t>
  </si>
  <si>
    <t xml:space="preserve">3729628295888228626</t>
  </si>
  <si>
    <t xml:space="preserve">3726411295887429272</t>
  </si>
  <si>
    <t xml:space="preserve">8299420651887351</t>
  </si>
  <si>
    <t xml:space="preserve">1002148547302094</t>
  </si>
  <si>
    <t xml:space="preserve">8771100340459401</t>
  </si>
  <si>
    <t xml:space="preserve">1002306267512058</t>
  </si>
  <si>
    <t xml:space="preserve">100066501</t>
  </si>
  <si>
    <t xml:space="preserve">Mark Alaa Maher Haleem</t>
  </si>
  <si>
    <t xml:space="preserve">8773103940066715</t>
  </si>
  <si>
    <t xml:space="preserve">3721671295891438734</t>
  </si>
  <si>
    <t xml:space="preserve">8771402520002104</t>
  </si>
  <si>
    <t xml:space="preserve">8499102730237331</t>
  </si>
  <si>
    <t xml:space="preserve">1002148560502091</t>
  </si>
  <si>
    <t xml:space="preserve">1002140838402097</t>
  </si>
  <si>
    <t xml:space="preserve">8529100080519963  // mobile account number  //1000596975</t>
  </si>
  <si>
    <t xml:space="preserve">8529100080519963</t>
  </si>
  <si>
    <t xml:space="preserve">Mark Alaa</t>
  </si>
  <si>
    <t xml:space="preserve">1002323775882071</t>
  </si>
  <si>
    <t xml:space="preserve">100066378</t>
  </si>
  <si>
    <t xml:space="preserve">Marawan Hatem Helmy Mahmoud</t>
  </si>
  <si>
    <t xml:space="preserve">8299400190819891</t>
  </si>
  <si>
    <t xml:space="preserve">88888888888</t>
  </si>
  <si>
    <t xml:space="preserve">8299200480005643</t>
  </si>
  <si>
    <t xml:space="preserve">0000000</t>
  </si>
  <si>
    <t xml:space="preserve">8220204151884298</t>
  </si>
  <si>
    <t xml:space="preserve">0000000000</t>
  </si>
  <si>
    <t xml:space="preserve">8498380420282061</t>
  </si>
  <si>
    <t xml:space="preserve">1002306298112050</t>
  </si>
  <si>
    <t xml:space="preserve">8495741226954380</t>
  </si>
  <si>
    <t xml:space="preserve">4719848158950542080</t>
  </si>
  <si>
    <t xml:space="preserve">8299420130342630</t>
  </si>
  <si>
    <t xml:space="preserve">8499050100303110</t>
  </si>
  <si>
    <t xml:space="preserve">1002148599332098</t>
  </si>
  <si>
    <t xml:space="preserve">8771300323007918</t>
  </si>
  <si>
    <t xml:space="preserve">1002306304172056</t>
  </si>
  <si>
    <t xml:space="preserve">8773101902690910</t>
  </si>
  <si>
    <t xml:space="preserve">1001965520802068</t>
  </si>
  <si>
    <t xml:space="preserve">8396500040117222</t>
  </si>
  <si>
    <t xml:space="preserve">1001315070882104</t>
  </si>
  <si>
    <t xml:space="preserve">8771300322712658</t>
  </si>
  <si>
    <t xml:space="preserve">1205860578784</t>
  </si>
  <si>
    <t xml:space="preserve">8529200869500802</t>
  </si>
  <si>
    <t xml:space="preserve">3721695295900195941</t>
  </si>
  <si>
    <t xml:space="preserve">8495600204920278</t>
  </si>
  <si>
    <t xml:space="preserve">3726414295907363470</t>
  </si>
  <si>
    <t xml:space="preserve">8155500310227173</t>
  </si>
  <si>
    <t xml:space="preserve">1002162318042029</t>
  </si>
  <si>
    <t xml:space="preserve">8396510950250749</t>
  </si>
  <si>
    <t xml:space="preserve">8155300302088406</t>
  </si>
  <si>
    <t xml:space="preserve">3731220295912193965</t>
  </si>
  <si>
    <t xml:space="preserve">8155400502125626</t>
  </si>
  <si>
    <t xml:space="preserve">1002162332212020</t>
  </si>
  <si>
    <t xml:space="preserve">8773102263893648</t>
  </si>
  <si>
    <t xml:space="preserve">1206981336946</t>
  </si>
  <si>
    <t xml:space="preserve">8773110200353394</t>
  </si>
  <si>
    <t xml:space="preserve">3729660295916889136</t>
  </si>
  <si>
    <t xml:space="preserve">8499050020135576</t>
  </si>
  <si>
    <t xml:space="preserve">1002148665412097</t>
  </si>
  <si>
    <t xml:space="preserve">8155600851234446</t>
  </si>
  <si>
    <t xml:space="preserve">3731274295919342023</t>
  </si>
  <si>
    <t xml:space="preserve">8535100231439311</t>
  </si>
  <si>
    <t xml:space="preserve">1002516281272030</t>
  </si>
  <si>
    <t xml:space="preserve">8499052960232694</t>
  </si>
  <si>
    <t xml:space="preserve">#3729623295957867621</t>
  </si>
  <si>
    <t xml:space="preserve">8771100560072454</t>
  </si>
  <si>
    <t xml:space="preserve">3731295295963505675</t>
  </si>
  <si>
    <t xml:space="preserve">8771400902048406</t>
  </si>
  <si>
    <t xml:space="preserve">1205884754122</t>
  </si>
  <si>
    <t xml:space="preserve">8529202441058739</t>
  </si>
  <si>
    <t xml:space="preserve">1001371871532117</t>
  </si>
  <si>
    <t xml:space="preserve">8777703212807096</t>
  </si>
  <si>
    <t xml:space="preserve">1001882786882017</t>
  </si>
  <si>
    <t xml:space="preserve">100075899</t>
  </si>
  <si>
    <t xml:space="preserve">Hamza Saadawy</t>
  </si>
  <si>
    <t xml:space="preserve">8773110180328051</t>
  </si>
  <si>
    <t xml:space="preserve">000000</t>
  </si>
  <si>
    <t xml:space="preserve">8396300013539233</t>
  </si>
  <si>
    <t xml:space="preserve">1001315199412106</t>
  </si>
  <si>
    <t xml:space="preserve">8495741900365952</t>
  </si>
  <si>
    <t xml:space="preserve">3726454295967983315</t>
  </si>
  <si>
    <t xml:space="preserve">8495741235473984</t>
  </si>
  <si>
    <t xml:space="preserve">3729623295961680282</t>
  </si>
  <si>
    <t xml:space="preserve">100075901</t>
  </si>
  <si>
    <t xml:space="preserve">Abdelrahman Mohamed</t>
  </si>
  <si>
    <t xml:space="preserve">8499100121408412</t>
  </si>
  <si>
    <t xml:space="preserve">1002148865392099</t>
  </si>
  <si>
    <t xml:space="preserve">8220122015548067</t>
  </si>
  <si>
    <t xml:space="preserve">1002324000002071</t>
  </si>
  <si>
    <t xml:space="preserve">8772105511771855</t>
  </si>
  <si>
    <t xml:space="preserve">3726454295971399629</t>
  </si>
  <si>
    <t xml:space="preserve">8498310234168404</t>
  </si>
  <si>
    <t xml:space="preserve">1001080352582083</t>
  </si>
  <si>
    <t xml:space="preserve">8529201500192785</t>
  </si>
  <si>
    <t xml:space="preserve">1001371899882114</t>
  </si>
  <si>
    <t xml:space="preserve">8155200528247077</t>
  </si>
  <si>
    <t xml:space="preserve">1002162462282025</t>
  </si>
  <si>
    <t xml:space="preserve">8529201650369134</t>
  </si>
  <si>
    <t xml:space="preserve">3721623295972907864</t>
  </si>
  <si>
    <t xml:space="preserve">8497900032576526</t>
  </si>
  <si>
    <t xml:space="preserve">1002324014642078</t>
  </si>
  <si>
    <t xml:space="preserve">8529101470498255</t>
  </si>
  <si>
    <t xml:space="preserve">1001371911672113</t>
  </si>
  <si>
    <t xml:space="preserve">8299600080163611</t>
  </si>
  <si>
    <t xml:space="preserve">1002148962842095</t>
  </si>
  <si>
    <t xml:space="preserve">8497404621724183</t>
  </si>
  <si>
    <t xml:space="preserve">1237628331750</t>
  </si>
  <si>
    <t xml:space="preserve">8771403080878545</t>
  </si>
  <si>
    <t xml:space="preserve">1002306542662058</t>
  </si>
  <si>
    <t xml:space="preserve">8773103510065600</t>
  </si>
  <si>
    <t xml:space="preserve">1001965783132062</t>
  </si>
  <si>
    <t xml:space="preserve">8993205370007871</t>
  </si>
  <si>
    <t xml:space="preserve">8993114820048693</t>
  </si>
  <si>
    <t xml:space="preserve">3729635295982387650</t>
  </si>
  <si>
    <t xml:space="preserve">8771300422948129</t>
  </si>
  <si>
    <t xml:space="preserve">1002306558802051</t>
  </si>
  <si>
    <t xml:space="preserve">8220133038234346</t>
  </si>
  <si>
    <t xml:space="preserve">1002324055352074</t>
  </si>
  <si>
    <t xml:space="preserve">10001916</t>
  </si>
  <si>
    <t xml:space="preserve">UNMAPPED:10001916</t>
  </si>
  <si>
    <t xml:space="preserve">8155400271451963</t>
  </si>
  <si>
    <t xml:space="preserve">1002162530492028</t>
  </si>
  <si>
    <t xml:space="preserve">8396500040372298</t>
  </si>
  <si>
    <t xml:space="preserve">1210451285120</t>
  </si>
  <si>
    <t xml:space="preserve">8498340340702242</t>
  </si>
  <si>
    <t xml:space="preserve">00000000000</t>
  </si>
  <si>
    <t xml:space="preserve">100077685</t>
  </si>
  <si>
    <t xml:space="preserve">Abdelrahman Hassan Elsayed Katarya</t>
  </si>
  <si>
    <t xml:space="preserve">8155500520124442</t>
  </si>
  <si>
    <t xml:space="preserve">3721674295989325442</t>
  </si>
  <si>
    <t xml:space="preserve">8396522010455382</t>
  </si>
  <si>
    <t xml:space="preserve">1210492261585</t>
  </si>
  <si>
    <t xml:space="preserve">8535114070845462</t>
  </si>
  <si>
    <t xml:space="preserve">1002516457512037</t>
  </si>
  <si>
    <t xml:space="preserve">8396410500114547</t>
  </si>
  <si>
    <t xml:space="preserve">3726491295990718372</t>
  </si>
  <si>
    <t xml:space="preserve">8498390050161642</t>
  </si>
  <si>
    <t xml:space="preserve">3726492295990137455</t>
  </si>
  <si>
    <t xml:space="preserve">8495840010522690</t>
  </si>
  <si>
    <t xml:space="preserve">1002516462612038</t>
  </si>
  <si>
    <t xml:space="preserve">8155100180113619</t>
  </si>
  <si>
    <t xml:space="preserve">1002162548412026</t>
  </si>
  <si>
    <t xml:space="preserve">1000075074</t>
  </si>
  <si>
    <t xml:space="preserve">8155400110023361</t>
  </si>
  <si>
    <t xml:space="preserve">8498320016147278</t>
  </si>
  <si>
    <t xml:space="preserve">1001080399882082</t>
  </si>
  <si>
    <t xml:space="preserve">8993207150281148</t>
  </si>
  <si>
    <t xml:space="preserve">1001882895452017</t>
  </si>
  <si>
    <t xml:space="preserve">8155100092941230</t>
  </si>
  <si>
    <t xml:space="preserve">8155300343275301</t>
  </si>
  <si>
    <t xml:space="preserve">1002162569252020</t>
  </si>
  <si>
    <t xml:space="preserve">8773100760479606</t>
  </si>
  <si>
    <t xml:space="preserve">1001965826542061</t>
  </si>
  <si>
    <t xml:space="preserve">8499100580020369</t>
  </si>
  <si>
    <t xml:space="preserve">3729686296002038003</t>
  </si>
  <si>
    <t xml:space="preserve">8155100060403395</t>
  </si>
  <si>
    <t xml:space="preserve">1002162579452024</t>
  </si>
  <si>
    <t xml:space="preserve">8529200869425059</t>
  </si>
  <si>
    <t xml:space="preserve">3726450296042200039</t>
  </si>
  <si>
    <t xml:space="preserve">8396522030409328</t>
  </si>
  <si>
    <t xml:space="preserve">3726442296044188121</t>
  </si>
  <si>
    <t xml:space="preserve">3731232296040178800</t>
  </si>
  <si>
    <t xml:space="preserve">8299610330154120</t>
  </si>
  <si>
    <t xml:space="preserve">100075898</t>
  </si>
  <si>
    <t xml:space="preserve">Farida Abdelqawi</t>
  </si>
  <si>
    <t xml:space="preserve">8299600600430466</t>
  </si>
  <si>
    <t xml:space="preserve">3731293296044628299</t>
  </si>
  <si>
    <t xml:space="preserve">8773102273223018</t>
  </si>
  <si>
    <t xml:space="preserve">8499200010181581</t>
  </si>
  <si>
    <t xml:space="preserve">8396522022779720</t>
  </si>
  <si>
    <t xml:space="preserve">3731248296049909068</t>
  </si>
  <si>
    <t xml:space="preserve">8299400471244884</t>
  </si>
  <si>
    <t xml:space="preserve">1002149302072096</t>
  </si>
  <si>
    <t xml:space="preserve">8535100380234018</t>
  </si>
  <si>
    <t xml:space="preserve">1002516696412031</t>
  </si>
  <si>
    <t xml:space="preserve">8299400023100006</t>
  </si>
  <si>
    <t xml:space="preserve">1002149301662095</t>
  </si>
  <si>
    <t xml:space="preserve">8495444040157906</t>
  </si>
  <si>
    <t xml:space="preserve">3729644296049429283</t>
  </si>
  <si>
    <t xml:space="preserve">8778105060871241</t>
  </si>
  <si>
    <t xml:space="preserve">100077695</t>
  </si>
  <si>
    <t xml:space="preserve">Noha Ahmed Mohamed Abdullatif</t>
  </si>
  <si>
    <t xml:space="preserve">8771400911576777</t>
  </si>
  <si>
    <t xml:space="preserve">1002306774682055</t>
  </si>
  <si>
    <t xml:space="preserve">8771101000328852</t>
  </si>
  <si>
    <t xml:space="preserve">1002306786412053</t>
  </si>
  <si>
    <t xml:space="preserve">8499051180090551</t>
  </si>
  <si>
    <t xml:space="preserve">3729602296053821894</t>
  </si>
  <si>
    <t xml:space="preserve">4300729</t>
  </si>
  <si>
    <t xml:space="preserve">Youssef Yasser Gawdat Youssef</t>
  </si>
  <si>
    <t xml:space="preserve">8777701411133256</t>
  </si>
  <si>
    <t xml:space="preserve">3726460296054936166</t>
  </si>
  <si>
    <t xml:space="preserve">8497900012695577</t>
  </si>
  <si>
    <t xml:space="preserve">3721684296055494388</t>
  </si>
  <si>
    <t xml:space="preserve">Youssef Ashkar</t>
  </si>
  <si>
    <t xml:space="preserve">3726461296056735984</t>
  </si>
  <si>
    <t xml:space="preserve">100075898`</t>
  </si>
  <si>
    <t xml:space="preserve">8220177093242967</t>
  </si>
  <si>
    <t xml:space="preserve">1002324260832076</t>
  </si>
  <si>
    <t xml:space="preserve">8299400471402714</t>
  </si>
  <si>
    <t xml:space="preserve">1002149336112090</t>
  </si>
  <si>
    <t xml:space="preserve">8499050120429770</t>
  </si>
  <si>
    <t xml:space="preserve">3721636296060200217</t>
  </si>
  <si>
    <t xml:space="preserve">8773102912030378</t>
  </si>
  <si>
    <t xml:space="preserve">8299400470777231</t>
  </si>
  <si>
    <t xml:space="preserve">1002149343182094</t>
  </si>
  <si>
    <t xml:space="preserve">8529100760729783</t>
  </si>
  <si>
    <t xml:space="preserve">1001372117732115</t>
  </si>
  <si>
    <t xml:space="preserve">8535114251631137</t>
  </si>
  <si>
    <t xml:space="preserve">3721657296063252721</t>
  </si>
  <si>
    <t xml:space="preserve">8495753100225571</t>
  </si>
  <si>
    <t xml:space="preserve">1002516646882036</t>
  </si>
  <si>
    <t xml:space="preserve">8220116030605431</t>
  </si>
  <si>
    <t xml:space="preserve">1002324292892072</t>
  </si>
  <si>
    <t xml:space="preserve">8396521690199971</t>
  </si>
  <si>
    <t xml:space="preserve">1001315414012103</t>
  </si>
  <si>
    <t xml:space="preserve">8773402000011722</t>
  </si>
  <si>
    <t xml:space="preserve">8499100101496122</t>
  </si>
  <si>
    <t xml:space="preserve">3729665296066576277</t>
  </si>
  <si>
    <t xml:space="preserve">8498310221308443</t>
  </si>
  <si>
    <t xml:space="preserve">3726452296066770172</t>
  </si>
  <si>
    <t xml:space="preserve">8499053040031668</t>
  </si>
  <si>
    <t xml:space="preserve">3731207296067266719</t>
  </si>
  <si>
    <t xml:space="preserve">8529101983229379</t>
  </si>
  <si>
    <t xml:space="preserve">3729644295805573654</t>
  </si>
  <si>
    <t xml:space="preserve">8777701551243097</t>
  </si>
  <si>
    <t xml:space="preserve">3721601296067378325</t>
  </si>
  <si>
    <t xml:space="preserve">8777702032254133</t>
  </si>
  <si>
    <t xml:space="preserve">1001883102962012</t>
  </si>
  <si>
    <t xml:space="preserve">8155400511915389</t>
  </si>
  <si>
    <t xml:space="preserve">3731279296070079692</t>
  </si>
  <si>
    <t xml:space="preserve">8155400560699900</t>
  </si>
  <si>
    <t xml:space="preserve">1002162763792029</t>
  </si>
  <si>
    <t xml:space="preserve">8778101024261454</t>
  </si>
  <si>
    <t xml:space="preserve">1001439650232041</t>
  </si>
  <si>
    <t xml:space="preserve">8495741200841504</t>
  </si>
  <si>
    <t xml:space="preserve">3726430296067454064</t>
  </si>
  <si>
    <t xml:space="preserve">8299400291897465</t>
  </si>
  <si>
    <t xml:space="preserve">1002149445692099</t>
  </si>
  <si>
    <t xml:space="preserve">8220144210323344</t>
  </si>
  <si>
    <t xml:space="preserve">1002324332402072</t>
  </si>
  <si>
    <t xml:space="preserve">8499100530966943</t>
  </si>
  <si>
    <t xml:space="preserve">1002149450002093</t>
  </si>
  <si>
    <t xml:space="preserve">8535100440836703</t>
  </si>
  <si>
    <t xml:space="preserve">1002516811502039</t>
  </si>
  <si>
    <t xml:space="preserve">8155500380308457</t>
  </si>
  <si>
    <t xml:space="preserve">1002162791442027</t>
  </si>
  <si>
    <t xml:space="preserve">8777703322710875</t>
  </si>
  <si>
    <t xml:space="preserve">1001883145102014</t>
  </si>
  <si>
    <t xml:space="preserve">8993211470014593</t>
  </si>
  <si>
    <t xml:space="preserve">1001883147962019</t>
  </si>
  <si>
    <t xml:space="preserve">8993113170029485</t>
  </si>
  <si>
    <t xml:space="preserve">3731209296081805360</t>
  </si>
  <si>
    <t xml:space="preserve">8771200620382180</t>
  </si>
  <si>
    <t xml:space="preserve">1002306888162051</t>
  </si>
  <si>
    <t xml:space="preserve">8535114370453991</t>
  </si>
  <si>
    <t xml:space="preserve">1002516830592037</t>
  </si>
  <si>
    <t xml:space="preserve">1001883152262016</t>
  </si>
  <si>
    <t xml:space="preserve">8497202470509667</t>
  </si>
  <si>
    <t xml:space="preserve">1002324355462078</t>
  </si>
  <si>
    <t xml:space="preserve">8396514080384147</t>
  </si>
  <si>
    <t xml:space="preserve">1001315454322107</t>
  </si>
  <si>
    <t xml:space="preserve">8155500400168386</t>
  </si>
  <si>
    <t xml:space="preserve">1002162813912023</t>
  </si>
  <si>
    <t xml:space="preserve">8495444681668476</t>
  </si>
  <si>
    <t xml:space="preserve">100076216</t>
  </si>
  <si>
    <t xml:space="preserve">Amr Abdallah</t>
  </si>
  <si>
    <t xml:space="preserve">8499051830038588</t>
  </si>
  <si>
    <t xml:space="preserve">1002149653072091</t>
  </si>
  <si>
    <t xml:space="preserve">8498350063043815</t>
  </si>
  <si>
    <t xml:space="preserve">3721609295976658566</t>
  </si>
  <si>
    <t xml:space="preserve">8773102263694558</t>
  </si>
  <si>
    <t xml:space="preserve">8529102023433856</t>
  </si>
  <si>
    <t xml:space="preserve">8220188932694961</t>
  </si>
  <si>
    <t xml:space="preserve">3726440296128914197</t>
  </si>
  <si>
    <t xml:space="preserve">8777702113293356</t>
  </si>
  <si>
    <t xml:space="preserve">3729602296132536905</t>
  </si>
  <si>
    <t xml:space="preserve">8778101021735872</t>
  </si>
  <si>
    <t xml:space="preserve">8299600861545036</t>
  </si>
  <si>
    <t xml:space="preserve">8155400120621279</t>
  </si>
  <si>
    <t xml:space="preserve">1002162930032028</t>
  </si>
  <si>
    <t xml:space="preserve">8773500880002073</t>
  </si>
  <si>
    <t xml:space="preserve">1001966219872065</t>
  </si>
  <si>
    <t xml:space="preserve">2.Ahmad Abdelftah Hanafi Hassan</t>
  </si>
  <si>
    <t xml:space="preserve">1001966229432066</t>
  </si>
  <si>
    <t xml:space="preserve">8299600141687129</t>
  </si>
  <si>
    <t xml:space="preserve">8771103470704687</t>
  </si>
  <si>
    <t xml:space="preserve">8299420641420081</t>
  </si>
  <si>
    <t xml:space="preserve">3721691296143095017</t>
  </si>
  <si>
    <t xml:space="preserve">8535100190598636</t>
  </si>
  <si>
    <t xml:space="preserve">3729692296143318700</t>
  </si>
  <si>
    <t xml:space="preserve">8535114071158261</t>
  </si>
  <si>
    <t xml:space="preserve">1002517070582035</t>
  </si>
  <si>
    <t xml:space="preserve">8771401130512627</t>
  </si>
  <si>
    <t xml:space="preserve">8773400240612697</t>
  </si>
  <si>
    <t xml:space="preserve">1001966245502066</t>
  </si>
  <si>
    <t xml:space="preserve">8771400911593137</t>
  </si>
  <si>
    <t xml:space="preserve">1002307175462055</t>
  </si>
  <si>
    <t xml:space="preserve">8155600840013042</t>
  </si>
  <si>
    <t xml:space="preserve">8299420190007982</t>
  </si>
  <si>
    <t xml:space="preserve">3721671296149290328</t>
  </si>
  <si>
    <t xml:space="preserve">8772105530434501</t>
  </si>
  <si>
    <t xml:space="preserve">1001439781792046</t>
  </si>
  <si>
    <t xml:space="preserve">8220116010542844</t>
  </si>
  <si>
    <t xml:space="preserve">1002324558972071</t>
  </si>
  <si>
    <t xml:space="preserve">8155400631421722</t>
  </si>
  <si>
    <t xml:space="preserve">1002162982292025</t>
  </si>
  <si>
    <t xml:space="preserve">8771200602871648</t>
  </si>
  <si>
    <t xml:space="preserve">1002307194332057</t>
  </si>
  <si>
    <t xml:space="preserve">8497202470071908</t>
  </si>
  <si>
    <t xml:space="preserve">1002324561982075</t>
  </si>
  <si>
    <t xml:space="preserve">8498340053818268</t>
  </si>
  <si>
    <t xml:space="preserve">1001080616852082</t>
  </si>
  <si>
    <t xml:space="preserve">8299400473063605</t>
  </si>
  <si>
    <t xml:space="preserve">1002149813802098</t>
  </si>
  <si>
    <t xml:space="preserve">8155600674523017</t>
  </si>
  <si>
    <t xml:space="preserve">can't open the account to get it and marwan know this</t>
  </si>
  <si>
    <t xml:space="preserve">8396300190592146</t>
  </si>
  <si>
    <t xml:space="preserve">8396511710266322</t>
  </si>
  <si>
    <t xml:space="preserve">1001315608642103</t>
  </si>
  <si>
    <t xml:space="preserve">100075897</t>
  </si>
  <si>
    <t xml:space="preserve">Ebrahim Abdelrahim</t>
  </si>
  <si>
    <t xml:space="preserve">8993213080311062</t>
  </si>
  <si>
    <t xml:space="preserve">3726470296151769574</t>
  </si>
  <si>
    <t xml:space="preserve">8772106400106823</t>
  </si>
  <si>
    <t xml:space="preserve">3726410296154685512</t>
  </si>
  <si>
    <t xml:space="preserve">8778101015775074</t>
  </si>
  <si>
    <t xml:space="preserve">1001439798572043</t>
  </si>
  <si>
    <t xml:space="preserve">8220210501042206</t>
  </si>
  <si>
    <t xml:space="preserve">1002324589442078</t>
  </si>
  <si>
    <t xml:space="preserve">8299400482661001</t>
  </si>
  <si>
    <t xml:space="preserve">1002149854902096</t>
  </si>
  <si>
    <t xml:space="preserve">8993112060032112</t>
  </si>
  <si>
    <t xml:space="preserve">1001883427872011</t>
  </si>
  <si>
    <t xml:space="preserve">8777703343208743</t>
  </si>
  <si>
    <t xml:space="preserve">8773110990010485</t>
  </si>
  <si>
    <t xml:space="preserve">3721605296159862527</t>
  </si>
  <si>
    <t xml:space="preserve">8497900020050369</t>
  </si>
  <si>
    <t xml:space="preserve">3731281296160778207</t>
  </si>
  <si>
    <t xml:space="preserve">8771300413587316</t>
  </si>
  <si>
    <t xml:space="preserve">3721638296164221207</t>
  </si>
  <si>
    <t xml:space="preserve">8993114441080067</t>
  </si>
  <si>
    <t xml:space="preserve">3731279296157343643</t>
  </si>
  <si>
    <t xml:space="preserve">8535100370046422</t>
  </si>
  <si>
    <t xml:space="preserve">3726411296165543325</t>
  </si>
  <si>
    <t xml:space="preserve">8155500350952839</t>
  </si>
  <si>
    <t xml:space="preserve">3726475296165998924</t>
  </si>
  <si>
    <t xml:space="preserve">8773600010282601</t>
  </si>
  <si>
    <t xml:space="preserve">1001966318002069</t>
  </si>
  <si>
    <t xml:space="preserve">8535101160615400</t>
  </si>
  <si>
    <t xml:space="preserve">3731268296168688586</t>
  </si>
  <si>
    <t xml:space="preserve">8778104203737112</t>
  </si>
  <si>
    <t xml:space="preserve">1001439824362047</t>
  </si>
  <si>
    <t xml:space="preserve">8220122014972292</t>
  </si>
  <si>
    <t xml:space="preserve">1002324630152072</t>
  </si>
  <si>
    <t xml:space="preserve">8155400181412097</t>
  </si>
  <si>
    <t xml:space="preserve">1202995204972</t>
  </si>
  <si>
    <t xml:space="preserve">8499053340150010</t>
  </si>
  <si>
    <t xml:space="preserve">1002150097822091</t>
  </si>
  <si>
    <t xml:space="preserve">8299600781273651</t>
  </si>
  <si>
    <t xml:space="preserve">3726480296223640904</t>
  </si>
  <si>
    <t xml:space="preserve">8777702133592126</t>
  </si>
  <si>
    <t xml:space="preserve">3731274296224641191</t>
  </si>
  <si>
    <t xml:space="preserve">8771300054054709</t>
  </si>
  <si>
    <t xml:space="preserve">3721633296224736588</t>
  </si>
  <si>
    <t xml:space="preserve">8497950360850779</t>
  </si>
  <si>
    <t xml:space="preserve">1002324755872074</t>
  </si>
  <si>
    <t xml:space="preserve">3721614296226476450</t>
  </si>
  <si>
    <t xml:space="preserve">8155300440607208</t>
  </si>
  <si>
    <t xml:space="preserve">1002163011592021</t>
  </si>
  <si>
    <t xml:space="preserve">8529113200029342</t>
  </si>
  <si>
    <t xml:space="preserve">8499052820327528</t>
  </si>
  <si>
    <t xml:space="preserve">8771401240658781</t>
  </si>
  <si>
    <t xml:space="preserve">100073191</t>
  </si>
  <si>
    <t xml:space="preserve">UNMAPPED:100073191</t>
  </si>
  <si>
    <t xml:space="preserve">8529101360788971</t>
  </si>
  <si>
    <t xml:space="preserve">3721699296229289129</t>
  </si>
  <si>
    <t xml:space="preserve">8529101360600689</t>
  </si>
  <si>
    <t xml:space="preserve">1001372546762113</t>
  </si>
  <si>
    <t xml:space="preserve">8299610253986631</t>
  </si>
  <si>
    <t xml:space="preserve">00000000</t>
  </si>
  <si>
    <t xml:space="preserve">8778102242193073</t>
  </si>
  <si>
    <t xml:space="preserve">3721639296232321642</t>
  </si>
  <si>
    <t xml:space="preserve">8396500400013979</t>
  </si>
  <si>
    <t xml:space="preserve">8777701380445657</t>
  </si>
  <si>
    <t xml:space="preserve">8396200180445703</t>
  </si>
  <si>
    <t xml:space="preserve">8299610262760175</t>
  </si>
  <si>
    <t xml:space="preserve">1002150063062094</t>
  </si>
  <si>
    <t xml:space="preserve">100075889</t>
  </si>
  <si>
    <t xml:space="preserve">8777703212807047</t>
  </si>
  <si>
    <t xml:space="preserve">352415374629321</t>
  </si>
  <si>
    <t xml:space="preserve">100079131</t>
  </si>
  <si>
    <t xml:space="preserve">UNMAPPED:100079131</t>
  </si>
  <si>
    <t xml:space="preserve">8155400480476447</t>
  </si>
  <si>
    <t xml:space="preserve">1002162446922027</t>
  </si>
  <si>
    <t xml:space="preserve">8772105940117621</t>
  </si>
  <si>
    <t xml:space="preserve">3721608296238398588</t>
  </si>
  <si>
    <t xml:space="preserve">8777702053490145</t>
  </si>
  <si>
    <t xml:space="preserve">8155600742556403</t>
  </si>
  <si>
    <t xml:space="preserve">1002163208662025</t>
  </si>
  <si>
    <t xml:space="preserve">8220160220241102</t>
  </si>
  <si>
    <t xml:space="preserve">1002163212342028</t>
  </si>
  <si>
    <t xml:space="preserve">1002324808602072</t>
  </si>
  <si>
    <t xml:space="preserve">8299310040205540</t>
  </si>
  <si>
    <t xml:space="preserve">1002150198942095</t>
  </si>
  <si>
    <t xml:space="preserve">8535114780079402</t>
  </si>
  <si>
    <t xml:space="preserve">1002517428212038</t>
  </si>
  <si>
    <t xml:space="preserve">8299400210245135</t>
  </si>
  <si>
    <t xml:space="preserve">1002150199862094</t>
  </si>
  <si>
    <t xml:space="preserve">8778101120927198</t>
  </si>
  <si>
    <t xml:space="preserve">1001439933092048</t>
  </si>
  <si>
    <t xml:space="preserve">8778101016635038</t>
  </si>
  <si>
    <t xml:space="preserve">3731205296244413181</t>
  </si>
  <si>
    <t xml:space="preserve">8155300171102882</t>
  </si>
  <si>
    <t xml:space="preserve">8497404460203000</t>
  </si>
  <si>
    <t xml:space="preserve">1002324825072077</t>
  </si>
  <si>
    <t xml:space="preserve">8499053541796579</t>
  </si>
  <si>
    <t xml:space="preserve">1002150230632092</t>
  </si>
  <si>
    <t xml:space="preserve">8155500400385782</t>
  </si>
  <si>
    <t xml:space="preserve">3726486296249039427</t>
  </si>
  <si>
    <t xml:space="preserve">8396521660962911</t>
  </si>
  <si>
    <t xml:space="preserve">1001315799792105</t>
  </si>
  <si>
    <t xml:space="preserve">8771400940783063</t>
  </si>
  <si>
    <t xml:space="preserve">1002307452812055</t>
  </si>
  <si>
    <t xml:space="preserve">8499100028975737</t>
  </si>
  <si>
    <t xml:space="preserve">3721667296253214818</t>
  </si>
  <si>
    <t xml:space="preserve">8773200812713133</t>
  </si>
  <si>
    <t xml:space="preserve">1001966504372060</t>
  </si>
  <si>
    <t xml:space="preserve">8155200091559270</t>
  </si>
  <si>
    <t xml:space="preserve">3726446296253768116</t>
  </si>
  <si>
    <t xml:space="preserve">8771203033240391</t>
  </si>
  <si>
    <t xml:space="preserve">3726479296255017703</t>
  </si>
  <si>
    <t xml:space="preserve">8778104180951637</t>
  </si>
  <si>
    <t xml:space="preserve">1001439952232046</t>
  </si>
  <si>
    <t xml:space="preserve">8495742520689557</t>
  </si>
  <si>
    <t xml:space="preserve">8777702053806605</t>
  </si>
  <si>
    <t xml:space="preserve">3721602296263558913</t>
  </si>
  <si>
    <t xml:space="preserve">8993113800269774</t>
  </si>
  <si>
    <t xml:space="preserve">1001883702162013</t>
  </si>
  <si>
    <t xml:space="preserve">1001883702862018</t>
  </si>
  <si>
    <t xml:space="preserve">8396511120031324</t>
  </si>
  <si>
    <t xml:space="preserve">8499052030324158</t>
  </si>
  <si>
    <t xml:space="preserve">1002150436342090</t>
  </si>
  <si>
    <t xml:space="preserve">8773500430238540</t>
  </si>
  <si>
    <t xml:space="preserve">1206906368974</t>
  </si>
  <si>
    <t xml:space="preserve">8499101410254301</t>
  </si>
  <si>
    <t xml:space="preserve">1209571523733</t>
  </si>
  <si>
    <t xml:space="preserve">8771400510190582</t>
  </si>
  <si>
    <t xml:space="preserve">1002307586242054</t>
  </si>
  <si>
    <t xml:space="preserve">8495753821700704</t>
  </si>
  <si>
    <t xml:space="preserve">3731285296307315647</t>
  </si>
  <si>
    <t xml:space="preserve">8993210070526568</t>
  </si>
  <si>
    <t xml:space="preserve">1201853809575</t>
  </si>
  <si>
    <t xml:space="preserve">100075903</t>
  </si>
  <si>
    <t xml:space="preserve">Mohamed Abo</t>
  </si>
  <si>
    <t xml:space="preserve">8773102940151956</t>
  </si>
  <si>
    <t xml:space="preserve">3721603296308045723</t>
  </si>
  <si>
    <t xml:space="preserve">8777701330550937</t>
  </si>
  <si>
    <t xml:space="preserve">3721646296311550936</t>
  </si>
  <si>
    <t xml:space="preserve">8220199011510770</t>
  </si>
  <si>
    <t xml:space="preserve">8299420610991989</t>
  </si>
  <si>
    <t xml:space="preserve">1002150484952097</t>
  </si>
  <si>
    <t xml:space="preserve">8220144030817400</t>
  </si>
  <si>
    <t xml:space="preserve">1002324989072079</t>
  </si>
  <si>
    <t xml:space="preserve">8396200270138572</t>
  </si>
  <si>
    <t xml:space="preserve">3731221296315983039</t>
  </si>
  <si>
    <t xml:space="preserve">8497700763591524</t>
  </si>
  <si>
    <t xml:space="preserve">1237618671819</t>
  </si>
  <si>
    <t xml:space="preserve">8155400370513614</t>
  </si>
  <si>
    <t xml:space="preserve">1002163388412027</t>
  </si>
  <si>
    <t xml:space="preserve">8777702122138501</t>
  </si>
  <si>
    <t xml:space="preserve">1001883869762019</t>
  </si>
  <si>
    <t xml:space="preserve">8155100240056956</t>
  </si>
  <si>
    <t xml:space="preserve">3721607296321931580</t>
  </si>
  <si>
    <t xml:space="preserve">8299700072352964</t>
  </si>
  <si>
    <t xml:space="preserve">3731226296322240168</t>
  </si>
  <si>
    <t xml:space="preserve">8993212910511594</t>
  </si>
  <si>
    <t xml:space="preserve">1001883872692013</t>
  </si>
  <si>
    <t xml:space="preserve">8497101722502514</t>
  </si>
  <si>
    <t xml:space="preserve">1237757447021</t>
  </si>
  <si>
    <t xml:space="preserve">8778105011841863</t>
  </si>
  <si>
    <t xml:space="preserve">3731249296326502752</t>
  </si>
  <si>
    <t xml:space="preserve">3726495296326729035</t>
  </si>
  <si>
    <t xml:space="preserve">8396101030044961</t>
  </si>
  <si>
    <t xml:space="preserve">1001315926002105</t>
  </si>
  <si>
    <t xml:space="preserve">8771401020520417</t>
  </si>
  <si>
    <t xml:space="preserve">100075887</t>
  </si>
  <si>
    <t xml:space="preserve">Abdelrahaman Hussien Ibrahim</t>
  </si>
  <si>
    <t xml:space="preserve">8499100218353430</t>
  </si>
  <si>
    <t xml:space="preserve">1002148895632092</t>
  </si>
  <si>
    <t xml:space="preserve">8396522023026832</t>
  </si>
  <si>
    <t xml:space="preserve">3729630295737421566</t>
  </si>
  <si>
    <t xml:space="preserve">8535101160117365</t>
  </si>
  <si>
    <t xml:space="preserve">1002517690012033</t>
  </si>
  <si>
    <t xml:space="preserve">8535115061159961</t>
  </si>
  <si>
    <t xml:space="preserve">1002517694062034</t>
  </si>
  <si>
    <t xml:space="preserve">8396800210005201</t>
  </si>
  <si>
    <t xml:space="preserve">1210463623334</t>
  </si>
  <si>
    <t xml:space="preserve">8498320030933596</t>
  </si>
  <si>
    <t xml:space="preserve">3726416296333683160</t>
  </si>
  <si>
    <t xml:space="preserve">8498310183571467</t>
  </si>
  <si>
    <t xml:space="preserve">1001080841432080</t>
  </si>
  <si>
    <t xml:space="preserve">100070319</t>
  </si>
  <si>
    <t xml:space="preserve">Samuel Wadie Morgan Tawfik</t>
  </si>
  <si>
    <t xml:space="preserve">8299610330933382</t>
  </si>
  <si>
    <t xml:space="preserve">3731238296338708738</t>
  </si>
  <si>
    <t xml:space="preserve">8155600711090848</t>
  </si>
  <si>
    <t xml:space="preserve">3731258296343249071</t>
  </si>
  <si>
    <t xml:space="preserve">8495752502093041</t>
  </si>
  <si>
    <t xml:space="preserve">8220188953276409</t>
  </si>
  <si>
    <t xml:space="preserve">3726477296342407628</t>
  </si>
  <si>
    <t xml:space="preserve">8771100780855936</t>
  </si>
  <si>
    <t xml:space="preserve">8498350176462761</t>
  </si>
  <si>
    <t xml:space="preserve">1001080852022085</t>
  </si>
  <si>
    <t xml:space="preserve">8499053220703094</t>
  </si>
  <si>
    <t xml:space="preserve">1002150708742092</t>
  </si>
  <si>
    <t xml:space="preserve">8396400250313423</t>
  </si>
  <si>
    <t xml:space="preserve">3726427296391744142</t>
  </si>
  <si>
    <t xml:space="preserve">849710602911108</t>
  </si>
  <si>
    <t xml:space="preserve">8299610451350986</t>
  </si>
  <si>
    <t xml:space="preserve">8993207590383611</t>
  </si>
  <si>
    <t xml:space="preserve">8155100510777703</t>
  </si>
  <si>
    <t xml:space="preserve">8535100640073917</t>
  </si>
  <si>
    <t xml:space="preserve">3731263296395333241</t>
  </si>
  <si>
    <t xml:space="preserve">8529101580078906</t>
  </si>
  <si>
    <t xml:space="preserve">1001372839142114</t>
  </si>
  <si>
    <t xml:space="preserve">8396410610056760</t>
  </si>
  <si>
    <t xml:space="preserve">1001316011652101</t>
  </si>
  <si>
    <t xml:space="preserve">8535100601484012</t>
  </si>
  <si>
    <t xml:space="preserve">1002517849642037</t>
  </si>
  <si>
    <t xml:space="preserve">8495741214288387</t>
  </si>
  <si>
    <t xml:space="preserve">8155500390059256</t>
  </si>
  <si>
    <t xml:space="preserve">1002163533292027</t>
  </si>
  <si>
    <t xml:space="preserve">8773102030088431</t>
  </si>
  <si>
    <t xml:space="preserve">3726414296401678474</t>
  </si>
  <si>
    <t xml:space="preserve">8396511240113515</t>
  </si>
  <si>
    <t xml:space="preserve">1001316021812109</t>
  </si>
  <si>
    <t xml:space="preserve">1001966800782061</t>
  </si>
  <si>
    <t xml:space="preserve">8495741401768977</t>
  </si>
  <si>
    <t xml:space="preserve">3721693296404205299</t>
  </si>
  <si>
    <t xml:space="preserve">8993110840407406</t>
  </si>
  <si>
    <t xml:space="preserve">1001884059742019</t>
  </si>
  <si>
    <t xml:space="preserve">8777702103372459</t>
  </si>
  <si>
    <t xml:space="preserve">3726484296404800102</t>
  </si>
  <si>
    <t xml:space="preserve">8155600770245176</t>
  </si>
  <si>
    <t xml:space="preserve">1002163539412025</t>
  </si>
  <si>
    <t xml:space="preserve">8155200120186319</t>
  </si>
  <si>
    <t xml:space="preserve">3721607296395671227</t>
  </si>
  <si>
    <t xml:space="preserve">8529113660910171</t>
  </si>
  <si>
    <t xml:space="preserve">8220220870015410</t>
  </si>
  <si>
    <t xml:space="preserve">8771402020967384</t>
  </si>
  <si>
    <t xml:space="preserve">8155600800988522</t>
  </si>
  <si>
    <t xml:space="preserve">3731202296406805766</t>
  </si>
  <si>
    <t xml:space="preserve">8155600441309757</t>
  </si>
  <si>
    <t xml:space="preserve">1002163546662026</t>
  </si>
  <si>
    <t xml:space="preserve">8771201870141854</t>
  </si>
  <si>
    <t xml:space="preserve">3721654296409277475</t>
  </si>
  <si>
    <t xml:space="preserve">8529113680068018</t>
  </si>
  <si>
    <t xml:space="preserve">123456</t>
  </si>
  <si>
    <t xml:space="preserve">8529100080524963</t>
  </si>
  <si>
    <t xml:space="preserve">3721656296410909041</t>
  </si>
  <si>
    <t xml:space="preserve">100067084</t>
  </si>
  <si>
    <t xml:space="preserve">Walaa Reda Abd El Galel Atta</t>
  </si>
  <si>
    <t xml:space="preserve">8220206901012013</t>
  </si>
  <si>
    <t xml:space="preserve">1002325162332073</t>
  </si>
  <si>
    <t xml:space="preserve">100075060</t>
  </si>
  <si>
    <t xml:space="preserve">Momen Elsherbiny</t>
  </si>
  <si>
    <t xml:space="preserve">8499053130197692</t>
  </si>
  <si>
    <t xml:space="preserve">3721629296411254213</t>
  </si>
  <si>
    <t xml:space="preserve">8220111061714491</t>
  </si>
  <si>
    <t xml:space="preserve">12345</t>
  </si>
  <si>
    <t xml:space="preserve">8773405070532394</t>
  </si>
  <si>
    <t xml:space="preserve">100075892</t>
  </si>
  <si>
    <t xml:space="preserve">UNMAPPED:100075892</t>
  </si>
  <si>
    <t xml:space="preserve">8495600250219161</t>
  </si>
  <si>
    <t xml:space="preserve">1002517847082038</t>
  </si>
  <si>
    <t xml:space="preserve">8155300310592191</t>
  </si>
  <si>
    <t xml:space="preserve">1002163375652023</t>
  </si>
  <si>
    <t xml:space="preserve">8220122016080458</t>
  </si>
  <si>
    <t xml:space="preserve">1002325009942076</t>
  </si>
  <si>
    <t xml:space="preserve">8993114440797893</t>
  </si>
  <si>
    <t xml:space="preserve">1001884087062018</t>
  </si>
  <si>
    <t xml:space="preserve">8155600570333008</t>
  </si>
  <si>
    <t xml:space="preserve">3721634296329471703</t>
  </si>
  <si>
    <t xml:space="preserve">8497303300322493</t>
  </si>
  <si>
    <t xml:space="preserve">3721698296408844916</t>
  </si>
  <si>
    <t xml:space="preserve">8535114852055272</t>
  </si>
  <si>
    <t xml:space="preserve">3721694296415704735</t>
  </si>
  <si>
    <t xml:space="preserve">8396120020086733</t>
  </si>
  <si>
    <t xml:space="preserve">1001316040942101</t>
  </si>
  <si>
    <t xml:space="preserve">8299420632100981</t>
  </si>
  <si>
    <t xml:space="preserve">3721678296416061628</t>
  </si>
  <si>
    <t xml:space="preserve">8512100011640184</t>
  </si>
  <si>
    <t xml:space="preserve">1001440157852042</t>
  </si>
  <si>
    <t xml:space="preserve">8499101460202077</t>
  </si>
  <si>
    <t xml:space="preserve">1002150481492097</t>
  </si>
  <si>
    <t xml:space="preserve">8220206901438614</t>
  </si>
  <si>
    <t xml:space="preserve">1002325183802070</t>
  </si>
  <si>
    <t xml:space="preserve">8497700750718841</t>
  </si>
  <si>
    <t xml:space="preserve">8771201810183057</t>
  </si>
  <si>
    <t xml:space="preserve">8396500420030417</t>
  </si>
  <si>
    <t xml:space="preserve">3721669296424734644</t>
  </si>
  <si>
    <t xml:space="preserve">8396100451666310</t>
  </si>
  <si>
    <t xml:space="preserve">3721677296430512253</t>
  </si>
  <si>
    <t xml:space="preserve">100077989</t>
  </si>
  <si>
    <t xml:space="preserve">Abdelrhman Mohammed Hassanien Mohammed</t>
  </si>
  <si>
    <t xml:space="preserve">8773404110943166</t>
  </si>
  <si>
    <t xml:space="preserve">1001966836812064</t>
  </si>
  <si>
    <t xml:space="preserve">8396120030524442</t>
  </si>
  <si>
    <t xml:space="preserve">1001316056162107</t>
  </si>
  <si>
    <t xml:space="preserve">8495741203770551</t>
  </si>
  <si>
    <t xml:space="preserve">1002518083542032</t>
  </si>
  <si>
    <t xml:space="preserve">8396522010318234</t>
  </si>
  <si>
    <t xml:space="preserve">3729620296468771661</t>
  </si>
  <si>
    <t xml:space="preserve">8299420590016229</t>
  </si>
  <si>
    <t xml:space="preserve">3731272296472484660</t>
  </si>
  <si>
    <t xml:space="preserve">10071349</t>
  </si>
  <si>
    <t xml:space="preserve">8495600082357593</t>
  </si>
  <si>
    <t xml:space="preserve">0000</t>
  </si>
  <si>
    <t xml:space="preserve">8773102263400667</t>
  </si>
  <si>
    <t xml:space="preserve">1001966970602065</t>
  </si>
  <si>
    <t xml:space="preserve">8771401400386165</t>
  </si>
  <si>
    <t xml:space="preserve">1002307948992057</t>
  </si>
  <si>
    <t xml:space="preserve">8773404111460525</t>
  </si>
  <si>
    <t xml:space="preserve">3721611296476469036</t>
  </si>
  <si>
    <t xml:space="preserve">8495741234373946</t>
  </si>
  <si>
    <t xml:space="preserve">3726418296476630637</t>
  </si>
  <si>
    <t xml:space="preserve">8299400482293490</t>
  </si>
  <si>
    <t xml:space="preserve">1002151042012093</t>
  </si>
  <si>
    <t xml:space="preserve">8529102111415542</t>
  </si>
  <si>
    <t xml:space="preserve">3726468296479218142</t>
  </si>
  <si>
    <t xml:space="preserve">8396511742614986</t>
  </si>
  <si>
    <t xml:space="preserve">3729639296480112104</t>
  </si>
  <si>
    <t xml:space="preserve">8529101430099862</t>
  </si>
  <si>
    <t xml:space="preserve">1001373018422111</t>
  </si>
  <si>
    <t xml:space="preserve">8220188930041314</t>
  </si>
  <si>
    <t xml:space="preserve">3721669296479715990</t>
  </si>
  <si>
    <t xml:space="preserve">8499101910081196</t>
  </si>
  <si>
    <t xml:space="preserve">1002151088952095</t>
  </si>
  <si>
    <t xml:space="preserve">999999</t>
  </si>
  <si>
    <t xml:space="preserve">UNMAPPED:999999</t>
  </si>
  <si>
    <t xml:space="preserve">3.21.362.6584.</t>
  </si>
  <si>
    <t xml:space="preserve">8993211610384526</t>
  </si>
  <si>
    <t xml:space="preserve">1001884283752016</t>
  </si>
  <si>
    <t xml:space="preserve">8497950901260793</t>
  </si>
  <si>
    <t xml:space="preserve">1002325354312073</t>
  </si>
  <si>
    <t xml:space="preserve">8993115360008070</t>
  </si>
  <si>
    <t xml:space="preserve">8771300322371018</t>
  </si>
  <si>
    <t xml:space="preserve">1002307987132052</t>
  </si>
  <si>
    <t xml:space="preserve">8396200190057787</t>
  </si>
  <si>
    <t xml:space="preserve">1001316180732106</t>
  </si>
  <si>
    <t xml:space="preserve">8396900080081694</t>
  </si>
  <si>
    <t xml:space="preserve">8529102340412856</t>
  </si>
  <si>
    <t xml:space="preserve">121107611448</t>
  </si>
  <si>
    <t xml:space="preserve">8993207540230946</t>
  </si>
  <si>
    <t xml:space="preserve">1001884301642017</t>
  </si>
  <si>
    <t xml:space="preserve">8773102690014131</t>
  </si>
  <si>
    <t xml:space="preserve">1001967020892060</t>
  </si>
  <si>
    <t xml:space="preserve">8535101683788411</t>
  </si>
  <si>
    <t xml:space="preserve">123456789</t>
  </si>
  <si>
    <t xml:space="preserve">8771400510209986</t>
  </si>
  <si>
    <t xml:space="preserve">3731250296487546835</t>
  </si>
  <si>
    <t xml:space="preserve">8993114530050229</t>
  </si>
  <si>
    <t xml:space="preserve">1001884321432019</t>
  </si>
  <si>
    <t xml:space="preserve">8535100211482554</t>
  </si>
  <si>
    <t xml:space="preserve">1002518203662033</t>
  </si>
  <si>
    <t xml:space="preserve">8155400181580794</t>
  </si>
  <si>
    <t xml:space="preserve">8777701340065025</t>
  </si>
  <si>
    <t xml:space="preserve">1001884330072012</t>
  </si>
  <si>
    <t xml:space="preserve">8993208820032523</t>
  </si>
  <si>
    <t xml:space="preserve">1201037693515</t>
  </si>
  <si>
    <t xml:space="preserve">45646464</t>
  </si>
  <si>
    <t xml:space="preserve">UNMAPPED:45646464</t>
  </si>
  <si>
    <t xml:space="preserve">54344864654</t>
  </si>
  <si>
    <t xml:space="preserve">87877+7454</t>
  </si>
  <si>
    <t xml:space="preserve">UNMAPPED:87877+7454</t>
  </si>
  <si>
    <t xml:space="preserve">9845612</t>
  </si>
  <si>
    <t xml:space="preserve">025012</t>
  </si>
  <si>
    <t xml:space="preserve">8535114070728205</t>
  </si>
  <si>
    <t xml:space="preserve">1002518217482030</t>
  </si>
  <si>
    <t xml:space="preserve">8396510870087197</t>
  </si>
  <si>
    <t xml:space="preserve">1001316216162104</t>
  </si>
  <si>
    <t xml:space="preserve">8499100217170462</t>
  </si>
  <si>
    <t xml:space="preserve">3729693296496111548</t>
  </si>
  <si>
    <t xml:space="preserve">8396200111554078</t>
  </si>
  <si>
    <t xml:space="preserve">1001316220872102</t>
  </si>
  <si>
    <t xml:space="preserve">4300479</t>
  </si>
  <si>
    <t xml:space="preserve">UNMAPPED:4300479</t>
  </si>
  <si>
    <t xml:space="preserve">8529102560181231</t>
  </si>
  <si>
    <t xml:space="preserve">8771400680210335</t>
  </si>
  <si>
    <t xml:space="preserve">3726425296498628243</t>
  </si>
  <si>
    <t xml:space="preserve">100075064</t>
  </si>
  <si>
    <t xml:space="preserve">Khaled Ismail</t>
  </si>
  <si>
    <t xml:space="preserve">8771401130009152</t>
  </si>
  <si>
    <t xml:space="preserve">3729655296498236404</t>
  </si>
  <si>
    <t xml:space="preserve">8220144020468990</t>
  </si>
  <si>
    <t xml:space="preserve">1002325431072070</t>
  </si>
  <si>
    <t xml:space="preserve">8993110911923117</t>
  </si>
  <si>
    <t xml:space="preserve">1001884359962010</t>
  </si>
  <si>
    <t xml:space="preserve">8771401400372686</t>
  </si>
  <si>
    <t xml:space="preserve">1002308055402054</t>
  </si>
  <si>
    <t xml:space="preserve">8495741401985936</t>
  </si>
  <si>
    <t xml:space="preserve">8155300020457933</t>
  </si>
  <si>
    <t xml:space="preserve">1002163819782022</t>
  </si>
  <si>
    <t xml:space="preserve">8499052350206241</t>
  </si>
  <si>
    <t xml:space="preserve">3731261296502648436</t>
  </si>
  <si>
    <t xml:space="preserve">8529101810545757</t>
  </si>
  <si>
    <t xml:space="preserve">3721626296503275572</t>
  </si>
  <si>
    <t xml:space="preserve">8535114160141962</t>
  </si>
  <si>
    <t xml:space="preserve">8529102070700629</t>
  </si>
  <si>
    <t xml:space="preserve">1001373102752118</t>
  </si>
  <si>
    <t xml:space="preserve">8771300054052026</t>
  </si>
  <si>
    <t xml:space="preserve">1002308070442051</t>
  </si>
  <si>
    <t xml:space="preserve">8396511730890358</t>
  </si>
  <si>
    <t xml:space="preserve">1240605733287</t>
  </si>
  <si>
    <t xml:space="preserve">8529300210521513</t>
  </si>
  <si>
    <t xml:space="preserve">3721610296499705450</t>
  </si>
  <si>
    <t xml:space="preserve">1001373078452115</t>
  </si>
  <si>
    <t xml:space="preserve">8777702053292467</t>
  </si>
  <si>
    <t xml:space="preserve">3729671296507273943</t>
  </si>
  <si>
    <t xml:space="preserve">8773100711419511</t>
  </si>
  <si>
    <t xml:space="preserve">1001967098032060</t>
  </si>
  <si>
    <t xml:space="preserve">8155300342120664</t>
  </si>
  <si>
    <t xml:space="preserve">1002163847862028</t>
  </si>
  <si>
    <t xml:space="preserve">100070942</t>
  </si>
  <si>
    <t xml:space="preserve">Mohamed Ehab Ahmed Abdelrahman</t>
  </si>
  <si>
    <t xml:space="preserve">8155200526817913</t>
  </si>
  <si>
    <t xml:space="preserve">1002163841122023</t>
  </si>
  <si>
    <t xml:space="preserve">8499053543998876</t>
  </si>
  <si>
    <t xml:space="preserve">1002151268012090</t>
  </si>
  <si>
    <t xml:space="preserve">8771201430134225</t>
  </si>
  <si>
    <t xml:space="preserve">3729613296509230379</t>
  </si>
  <si>
    <t xml:space="preserve">3729683296510172975</t>
  </si>
  <si>
    <t xml:space="preserve">1001884384172015</t>
  </si>
  <si>
    <t xml:space="preserve">8498340092292699</t>
  </si>
  <si>
    <t xml:space="preserve">1001081059832086</t>
  </si>
  <si>
    <t xml:space="preserve">8299420631718759</t>
  </si>
  <si>
    <t xml:space="preserve">1209629417029</t>
  </si>
  <si>
    <t xml:space="preserve">8155100152244632</t>
  </si>
  <si>
    <t xml:space="preserve">3729667296517846539</t>
  </si>
  <si>
    <t xml:space="preserve">100077978</t>
  </si>
  <si>
    <t xml:space="preserve">Mohamed Nady Abdelmordy Elakhwas</t>
  </si>
  <si>
    <t xml:space="preserve">8155400512073873</t>
  </si>
  <si>
    <t xml:space="preserve">1002163881252029</t>
  </si>
  <si>
    <t xml:space="preserve">8773400236014189</t>
  </si>
  <si>
    <t xml:space="preserve">3731219296518500097</t>
  </si>
  <si>
    <t xml:space="preserve">8778107016270924</t>
  </si>
  <si>
    <t xml:space="preserve">1001440321892049</t>
  </si>
  <si>
    <t xml:space="preserve">8771201680699349</t>
  </si>
  <si>
    <t xml:space="preserve">3729644296520157276</t>
  </si>
  <si>
    <t xml:space="preserve">8535114090238573</t>
  </si>
  <si>
    <t xml:space="preserve">UNMAPPED:8535114090238573</t>
  </si>
  <si>
    <t xml:space="preserve">3729623296521713599</t>
  </si>
  <si>
    <t xml:space="preserve">8993113160112044</t>
  </si>
  <si>
    <t xml:space="preserve">1001884516742016</t>
  </si>
  <si>
    <t xml:space="preserve">8499053600126916</t>
  </si>
  <si>
    <t xml:space="preserve">3726499296561284283</t>
  </si>
  <si>
    <t xml:space="preserve">Motorola</t>
  </si>
  <si>
    <t xml:space="preserve">8495741203822238</t>
  </si>
  <si>
    <t xml:space="preserve">3726472296505068149</t>
  </si>
  <si>
    <t xml:space="preserve">3726407296504307959</t>
  </si>
  <si>
    <t xml:space="preserve">3721675296503515809</t>
  </si>
  <si>
    <t xml:space="preserve">8495741441607243</t>
  </si>
  <si>
    <t xml:space="preserve">8535101140887996</t>
  </si>
  <si>
    <t xml:space="preserve">8777701843075547</t>
  </si>
  <si>
    <t xml:space="preserve">8773402030119628</t>
  </si>
  <si>
    <t xml:space="preserve">3729677296572609664</t>
  </si>
  <si>
    <t xml:space="preserve">8535114851297982</t>
  </si>
  <si>
    <t xml:space="preserve">1002518519442039</t>
  </si>
  <si>
    <t xml:space="preserve">100075061</t>
  </si>
  <si>
    <t xml:space="preserve">Nageh Khater</t>
  </si>
  <si>
    <t xml:space="preserve">8535100500785725</t>
  </si>
  <si>
    <t xml:space="preserve">1002518520632032</t>
  </si>
  <si>
    <t xml:space="preserve">8773400221335623</t>
  </si>
  <si>
    <t xml:space="preserve">3726468296573716536</t>
  </si>
  <si>
    <t xml:space="preserve">8512100170190666</t>
  </si>
  <si>
    <t xml:space="preserve">3731255296574851904</t>
  </si>
  <si>
    <t xml:space="preserve">8498390052642292</t>
  </si>
  <si>
    <t xml:space="preserve">3729648296576746461</t>
  </si>
  <si>
    <t xml:space="preserve">8396120190032657</t>
  </si>
  <si>
    <t xml:space="preserve">1001316382462106</t>
  </si>
  <si>
    <t xml:space="preserve">8773103131996126</t>
  </si>
  <si>
    <t xml:space="preserve">1001967291012067</t>
  </si>
  <si>
    <t xml:space="preserve">8777703350914902</t>
  </si>
  <si>
    <t xml:space="preserve">1001884606722019</t>
  </si>
  <si>
    <t xml:space="preserve">8396511530014365</t>
  </si>
  <si>
    <t xml:space="preserve">3726446296582369299</t>
  </si>
  <si>
    <t xml:space="preserve">8535100500637629</t>
  </si>
  <si>
    <t xml:space="preserve">1203742574147</t>
  </si>
  <si>
    <t xml:space="preserve">8773110960447634</t>
  </si>
  <si>
    <t xml:space="preserve">8497202471469796</t>
  </si>
  <si>
    <t xml:space="preserve">1002325700062075</t>
  </si>
  <si>
    <t xml:space="preserve">8535114370721082</t>
  </si>
  <si>
    <t xml:space="preserve">8499100111077029</t>
  </si>
  <si>
    <t xml:space="preserve">8396120031312961</t>
  </si>
  <si>
    <t xml:space="preserve">8495444760254040</t>
  </si>
  <si>
    <t xml:space="preserve">1002518589522033</t>
  </si>
  <si>
    <t xml:space="preserve">8495741203357581</t>
  </si>
  <si>
    <t xml:space="preserve">1002518604792033</t>
  </si>
  <si>
    <t xml:space="preserve">8993208830031994</t>
  </si>
  <si>
    <t xml:space="preserve">#3729617296591511738</t>
  </si>
  <si>
    <t xml:space="preserve">8771100860363975</t>
  </si>
  <si>
    <t xml:space="preserve">1002308331222052</t>
  </si>
  <si>
    <t xml:space="preserve">8498320130632270</t>
  </si>
  <si>
    <t xml:space="preserve">1001081177642086</t>
  </si>
  <si>
    <t xml:space="preserve">8778103072005197</t>
  </si>
  <si>
    <t xml:space="preserve">1002308350502053</t>
  </si>
  <si>
    <t xml:space="preserve">8155300343253290</t>
  </si>
  <si>
    <t xml:space="preserve">3726486296605636466</t>
  </si>
  <si>
    <t xml:space="preserve">8778104140905103</t>
  </si>
  <si>
    <t xml:space="preserve">3726459296606927090</t>
  </si>
  <si>
    <t xml:space="preserve">8529200660253577</t>
  </si>
  <si>
    <t xml:space="preserve">1001373415052115</t>
  </si>
  <si>
    <t xml:space="preserve">8773110182038914</t>
  </si>
  <si>
    <t xml:space="preserve">1001967530622064</t>
  </si>
  <si>
    <t xml:space="preserve">100075883</t>
  </si>
  <si>
    <t xml:space="preserve">Salma Mustafa</t>
  </si>
  <si>
    <t xml:space="preserve">8777702133544499</t>
  </si>
  <si>
    <t xml:space="preserve">#3726416296641610790</t>
  </si>
  <si>
    <t xml:space="preserve">8535100560109832</t>
  </si>
  <si>
    <t xml:space="preserve">1002518796142039</t>
  </si>
  <si>
    <t xml:space="preserve">8299400101122625</t>
  </si>
  <si>
    <t xml:space="preserve">1002151941122092</t>
  </si>
  <si>
    <t xml:space="preserve">100072724</t>
  </si>
  <si>
    <t xml:space="preserve">UNMAPPED:100072724</t>
  </si>
  <si>
    <t xml:space="preserve">8772105420131076</t>
  </si>
  <si>
    <t xml:space="preserve">8771300014459659</t>
  </si>
  <si>
    <t xml:space="preserve">1002308490622050 // 443500296655670528</t>
  </si>
  <si>
    <t xml:space="preserve">8155600452457677</t>
  </si>
  <si>
    <t xml:space="preserve">#3729611296658935651</t>
  </si>
  <si>
    <t xml:space="preserve">8777701591221673</t>
  </si>
  <si>
    <t xml:space="preserve">8529114250058397</t>
  </si>
  <si>
    <t xml:space="preserve">8993212830399484</t>
  </si>
  <si>
    <t xml:space="preserve">1001884899462018</t>
  </si>
  <si>
    <t xml:space="preserve">8396111120463195</t>
  </si>
  <si>
    <t xml:space="preserve">1240853323674</t>
  </si>
  <si>
    <t xml:space="preserve">8299400450984096</t>
  </si>
  <si>
    <t xml:space="preserve">3731208296659448633</t>
  </si>
  <si>
    <t xml:space="preserve">3721629296661052332</t>
  </si>
  <si>
    <t xml:space="preserve">3729665296662486573</t>
  </si>
  <si>
    <t xml:space="preserve">3729616296663119842</t>
  </si>
  <si>
    <t xml:space="preserve">10066502</t>
  </si>
  <si>
    <t xml:space="preserve">8535114850844933</t>
  </si>
  <si>
    <t xml:space="preserve">1002518862202030</t>
  </si>
  <si>
    <t xml:space="preserve">8499052080298989</t>
  </si>
  <si>
    <t xml:space="preserve">1209930628785</t>
  </si>
  <si>
    <t xml:space="preserve">8299700050820933</t>
  </si>
  <si>
    <t xml:space="preserve">CAN'T REMEMBER IT</t>
  </si>
  <si>
    <t xml:space="preserve">8535100590431594</t>
  </si>
  <si>
    <t xml:space="preserve">1002518877692035</t>
  </si>
  <si>
    <t xml:space="preserve">8773102272623382</t>
  </si>
  <si>
    <t xml:space="preserve">1001967610062066</t>
  </si>
  <si>
    <t xml:space="preserve">8497606005195661</t>
  </si>
  <si>
    <t xml:space="preserve">1002325993012076</t>
  </si>
  <si>
    <t xml:space="preserve">8155600810449168</t>
  </si>
  <si>
    <t xml:space="preserve">1002164333912020</t>
  </si>
  <si>
    <t xml:space="preserve">8993212590272046</t>
  </si>
  <si>
    <t xml:space="preserve">3729687296669543556</t>
  </si>
  <si>
    <t xml:space="preserve">8498340071009007</t>
  </si>
  <si>
    <t xml:space="preserve">1001081280202083</t>
  </si>
  <si>
    <t xml:space="preserve">8299600861425841</t>
  </si>
  <si>
    <t xml:space="preserve">1002152044122096</t>
  </si>
  <si>
    <t xml:space="preserve">10072764</t>
  </si>
  <si>
    <t xml:space="preserve">8993211840133156</t>
  </si>
  <si>
    <t xml:space="preserve">8155100526452721</t>
  </si>
  <si>
    <t xml:space="preserve">3721692296672322230</t>
  </si>
  <si>
    <t xml:space="preserve">8220155020610217</t>
  </si>
  <si>
    <t xml:space="preserve">1002326014072073</t>
  </si>
  <si>
    <t xml:space="preserve">8529101320832364</t>
  </si>
  <si>
    <t xml:space="preserve">1001373530072113</t>
  </si>
  <si>
    <t xml:space="preserve">8771100310668353</t>
  </si>
  <si>
    <t xml:space="preserve">8499053520562307</t>
  </si>
  <si>
    <t xml:space="preserve">3721627296679168051</t>
  </si>
  <si>
    <t xml:space="preserve">8299420350170604</t>
  </si>
  <si>
    <t xml:space="preserve">000000000000</t>
  </si>
  <si>
    <t xml:space="preserve">8299200231307363</t>
  </si>
  <si>
    <t xml:space="preserve">1002152109732094</t>
  </si>
  <si>
    <t xml:space="preserve">8497606670003513</t>
  </si>
  <si>
    <t xml:space="preserve">3729603296674750157</t>
  </si>
  <si>
    <t xml:space="preserve">8535114252145848</t>
  </si>
  <si>
    <t xml:space="preserve">3729655296684126103</t>
  </si>
  <si>
    <t xml:space="preserve">8771300030185759</t>
  </si>
  <si>
    <t xml:space="preserve">3721689296683723123</t>
  </si>
  <si>
    <t xml:space="preserve">1002308584502051</t>
  </si>
  <si>
    <t xml:space="preserve">8155200260013752</t>
  </si>
  <si>
    <t xml:space="preserve">829600064917958</t>
  </si>
  <si>
    <t xml:space="preserve">1002152126142095</t>
  </si>
  <si>
    <t xml:space="preserve">8499052020053734</t>
  </si>
  <si>
    <t xml:space="preserve">3729676296690992882</t>
  </si>
  <si>
    <t xml:space="preserve">8771403011171192</t>
  </si>
  <si>
    <t xml:space="preserve">1002308607352054</t>
  </si>
  <si>
    <t xml:space="preserve">8299420610098918</t>
  </si>
  <si>
    <t xml:space="preserve">1002152138242099</t>
  </si>
  <si>
    <t xml:space="preserve">3731288296696017074</t>
  </si>
  <si>
    <t xml:space="preserve">8529101330297061</t>
  </si>
  <si>
    <t xml:space="preserve">1001373458862115</t>
  </si>
  <si>
    <t xml:space="preserve">8773102482977370</t>
  </si>
  <si>
    <t xml:space="preserve">3721680296729732500</t>
  </si>
  <si>
    <t xml:space="preserve">8529200900455263</t>
  </si>
  <si>
    <t xml:space="preserve">37296012967254635562</t>
  </si>
  <si>
    <t xml:space="preserve">8993112270025450</t>
  </si>
  <si>
    <t xml:space="preserve">1201731776723</t>
  </si>
  <si>
    <t xml:space="preserve">8529101320766760</t>
  </si>
  <si>
    <t xml:space="preserve">1001373644232116</t>
  </si>
  <si>
    <t xml:space="preserve">8495741220928919</t>
  </si>
  <si>
    <t xml:space="preserve">1002519111262031</t>
  </si>
  <si>
    <t xml:space="preserve">8777703343246222</t>
  </si>
  <si>
    <t xml:space="preserve">1001885132212011</t>
  </si>
  <si>
    <t xml:space="preserve">8993116620000196</t>
  </si>
  <si>
    <t xml:space="preserve">8396410451777094</t>
  </si>
  <si>
    <t xml:space="preserve">8773102720174087</t>
  </si>
  <si>
    <t xml:space="preserve">8499053150345569</t>
  </si>
  <si>
    <t xml:space="preserve">8396900140161189</t>
  </si>
  <si>
    <t xml:space="preserve">1210488394218</t>
  </si>
  <si>
    <t xml:space="preserve">100075895</t>
  </si>
  <si>
    <t xml:space="preserve">Shehab Attia</t>
  </si>
  <si>
    <t xml:space="preserve">8529102011066981</t>
  </si>
  <si>
    <t xml:space="preserve">1001373673612113</t>
  </si>
  <si>
    <t xml:space="preserve">8778102116079622</t>
  </si>
  <si>
    <t xml:space="preserve">8535100940038495</t>
  </si>
  <si>
    <t xml:space="preserve">1233504728268</t>
  </si>
  <si>
    <t xml:space="preserve">8771103450178696</t>
  </si>
  <si>
    <t xml:space="preserve">8993207540458620</t>
  </si>
  <si>
    <t xml:space="preserve">8773600110100521</t>
  </si>
  <si>
    <t xml:space="preserve">0000000000000000</t>
  </si>
  <si>
    <t xml:space="preserve">8396522030791436</t>
  </si>
  <si>
    <t xml:space="preserve">8529200864138897</t>
  </si>
  <si>
    <t xml:space="preserve">1001373686632116</t>
  </si>
  <si>
    <t xml:space="preserve">8155600440909714</t>
  </si>
  <si>
    <t xml:space="preserve">1002164543042022</t>
  </si>
  <si>
    <t xml:space="preserve">8498380300306352</t>
  </si>
  <si>
    <t xml:space="preserve">1001081389722080</t>
  </si>
  <si>
    <t xml:space="preserve">3726439296750961239</t>
  </si>
  <si>
    <t xml:space="preserve">8155500341457559</t>
  </si>
  <si>
    <t xml:space="preserve">1002164555842020</t>
  </si>
  <si>
    <t xml:space="preserve">100049621</t>
  </si>
  <si>
    <t xml:space="preserve">UNMAPPED:100049621</t>
  </si>
  <si>
    <t xml:space="preserve">8993112750376969</t>
  </si>
  <si>
    <t xml:space="preserve">8495752430355959</t>
  </si>
  <si>
    <t xml:space="preserve">8773102150239186</t>
  </si>
  <si>
    <t xml:space="preserve">1001967840082066</t>
  </si>
  <si>
    <t xml:space="preserve">8535101681472646</t>
  </si>
  <si>
    <t xml:space="preserve">100076802</t>
  </si>
  <si>
    <t xml:space="preserve">Eyad Magdy Eid Mohamed</t>
  </si>
  <si>
    <t xml:space="preserve">877140183251021</t>
  </si>
  <si>
    <t xml:space="preserve">1022363719</t>
  </si>
  <si>
    <t xml:space="preserve">1001967841492066</t>
  </si>
  <si>
    <t xml:space="preserve">8396910321145919</t>
  </si>
  <si>
    <t xml:space="preserve">1001316778342102</t>
  </si>
  <si>
    <t xml:space="preserve">8773103720021724</t>
  </si>
  <si>
    <t xml:space="preserve">3726454296741079229</t>
  </si>
  <si>
    <t xml:space="preserve">8773201803276650</t>
  </si>
  <si>
    <t xml:space="preserve">1001967857322066</t>
  </si>
  <si>
    <t xml:space="preserve">8993204330036625</t>
  </si>
  <si>
    <t xml:space="preserve">1001885194212016</t>
  </si>
  <si>
    <t xml:space="preserve">8529201090164038</t>
  </si>
  <si>
    <t xml:space="preserve">1001373724072119</t>
  </si>
  <si>
    <t xml:space="preserve">1035570309</t>
  </si>
  <si>
    <t xml:space="preserve">3729694296759423999</t>
  </si>
  <si>
    <t xml:space="preserve">8771100840772618</t>
  </si>
  <si>
    <t xml:space="preserve">3729615296761212257</t>
  </si>
  <si>
    <t xml:space="preserve">8396900040827145</t>
  </si>
  <si>
    <t xml:space="preserve">1001316790372103</t>
  </si>
  <si>
    <t xml:space="preserve">8529100830994656</t>
  </si>
  <si>
    <t xml:space="preserve">not able to find it ..</t>
  </si>
  <si>
    <t xml:space="preserve">8220160220187438</t>
  </si>
  <si>
    <t xml:space="preserve">3726426296762782329</t>
  </si>
  <si>
    <t xml:space="preserve">8155600370241815</t>
  </si>
  <si>
    <t xml:space="preserve">3731218296762121115</t>
  </si>
  <si>
    <t xml:space="preserve">100077686</t>
  </si>
  <si>
    <t xml:space="preserve">Ziad Tarek Abdullah Mohamed</t>
  </si>
  <si>
    <t xml:space="preserve">8771402020718761</t>
  </si>
  <si>
    <t xml:space="preserve">3729617296762406610</t>
  </si>
  <si>
    <t xml:space="preserve">8529100780424688</t>
  </si>
  <si>
    <t xml:space="preserve">1001373743552117</t>
  </si>
  <si>
    <t xml:space="preserve">8220199050216479</t>
  </si>
  <si>
    <t xml:space="preserve">1001053890</t>
  </si>
  <si>
    <t xml:space="preserve">8155600750378500</t>
  </si>
  <si>
    <t xml:space="preserve">1002164628572026</t>
  </si>
  <si>
    <t xml:space="preserve">8529102022358955</t>
  </si>
  <si>
    <t xml:space="preserve">8396522022870255</t>
  </si>
  <si>
    <t xml:space="preserve">1001316808092107</t>
  </si>
  <si>
    <t xml:space="preserve">8396522010311114</t>
  </si>
  <si>
    <t xml:space="preserve">3726485296773345644</t>
  </si>
  <si>
    <t xml:space="preserve">8512200070010996</t>
  </si>
  <si>
    <t xml:space="preserve">3726473296773170295</t>
  </si>
  <si>
    <t xml:space="preserve">8777702110088726</t>
  </si>
  <si>
    <t xml:space="preserve">did not find it</t>
  </si>
  <si>
    <t xml:space="preserve">8529102031639783</t>
  </si>
  <si>
    <t xml:space="preserve">3731221296776127499</t>
  </si>
  <si>
    <t xml:space="preserve">100075065</t>
  </si>
  <si>
    <t xml:space="preserve">Ahmed Saieed</t>
  </si>
  <si>
    <t xml:space="preserve">8771201080031713</t>
  </si>
  <si>
    <t xml:space="preserve">3731286296776216029</t>
  </si>
  <si>
    <t xml:space="preserve">8529200040126931</t>
  </si>
  <si>
    <t xml:space="preserve">8299610400089883</t>
  </si>
  <si>
    <t xml:space="preserve">1002152544682094</t>
  </si>
  <si>
    <t xml:space="preserve">8773103220903470</t>
  </si>
  <si>
    <t xml:space="preserve">1001967976132065</t>
  </si>
  <si>
    <t xml:space="preserve">8773102272334170</t>
  </si>
  <si>
    <t xml:space="preserve">1001967976542065</t>
  </si>
  <si>
    <t xml:space="preserve">8495752790237508</t>
  </si>
  <si>
    <t xml:space="preserve">3731276296815008172</t>
  </si>
  <si>
    <t xml:space="preserve">8299400330960001</t>
  </si>
  <si>
    <t xml:space="preserve">8773102701327027</t>
  </si>
  <si>
    <t xml:space="preserve">1001967984012069</t>
  </si>
  <si>
    <t xml:space="preserve">8529114280636204</t>
  </si>
  <si>
    <t xml:space="preserve">1211820504670</t>
  </si>
  <si>
    <t xml:space="preserve">8499101040005008</t>
  </si>
  <si>
    <t xml:space="preserve">8529200865720230</t>
  </si>
  <si>
    <t xml:space="preserve">1001373846352118</t>
  </si>
  <si>
    <t xml:space="preserve">8499051491132944</t>
  </si>
  <si>
    <t xml:space="preserve">8299700050078896</t>
  </si>
  <si>
    <t xml:space="preserve">3726423296825002683</t>
  </si>
  <si>
    <t xml:space="preserve">8771203140201401</t>
  </si>
  <si>
    <t xml:space="preserve">1002308935182058</t>
  </si>
  <si>
    <t xml:space="preserve">8155100151830977</t>
  </si>
  <si>
    <t xml:space="preserve">1002164724992029</t>
  </si>
  <si>
    <t xml:space="preserve">8535114780588667</t>
  </si>
  <si>
    <t xml:space="preserve">8773100110289093</t>
  </si>
  <si>
    <t xml:space="preserve">1001968009602066</t>
  </si>
  <si>
    <t xml:space="preserve">8993116900003597</t>
  </si>
  <si>
    <t xml:space="preserve">3731260296828612016</t>
  </si>
  <si>
    <t xml:space="preserve">8155100351812577</t>
  </si>
  <si>
    <t xml:space="preserve">Mohamed Ehab Ahmed</t>
  </si>
  <si>
    <t xml:space="preserve">JOB001</t>
  </si>
  <si>
    <t xml:space="preserve">8155400550056863</t>
  </si>
  <si>
    <t xml:space="preserve">8773102670409715</t>
  </si>
  <si>
    <t xml:space="preserve">-----</t>
  </si>
  <si>
    <t xml:space="preserve">8499050891419679</t>
  </si>
  <si>
    <t xml:space="preserve">3721665296830095033</t>
  </si>
  <si>
    <t xml:space="preserve">1002152754042096</t>
  </si>
  <si>
    <t xml:space="preserve">8777701350202666</t>
  </si>
  <si>
    <t xml:space="preserve">8155400391093646</t>
  </si>
  <si>
    <t xml:space="preserve">3726411296831495704</t>
  </si>
  <si>
    <t xml:space="preserve">100072795</t>
  </si>
  <si>
    <t xml:space="preserve">UNMAPPED:100072795</t>
  </si>
  <si>
    <t xml:space="preserve">8773500450343105</t>
  </si>
  <si>
    <t xml:space="preserve">1001968020042060</t>
  </si>
  <si>
    <t xml:space="preserve">8498350177024636</t>
  </si>
  <si>
    <t xml:space="preserve">1001081491592082</t>
  </si>
  <si>
    <t xml:space="preserve">8535114070112103</t>
  </si>
  <si>
    <t xml:space="preserve">1203080148660</t>
  </si>
  <si>
    <t xml:space="preserve">8777702032061017</t>
  </si>
  <si>
    <t xml:space="preserve">1001885266982017</t>
  </si>
  <si>
    <t xml:space="preserve">8396521710363706</t>
  </si>
  <si>
    <t xml:space="preserve">8499052720044165</t>
  </si>
  <si>
    <t xml:space="preserve">1002152761372098</t>
  </si>
  <si>
    <t xml:space="preserve">8771300310850809</t>
  </si>
  <si>
    <t xml:space="preserve">4711967099623168768</t>
  </si>
  <si>
    <t xml:space="preserve">8529102510578692</t>
  </si>
  <si>
    <t xml:space="preserve">8771300312635026</t>
  </si>
  <si>
    <t xml:space="preserve">3731260296836055626</t>
  </si>
  <si>
    <t xml:space="preserve">8535114990074136</t>
  </si>
  <si>
    <t xml:space="preserve">3731210296836750165</t>
  </si>
  <si>
    <t xml:space="preserve">8220188950275727</t>
  </si>
  <si>
    <t xml:space="preserve">1002326482032070</t>
  </si>
  <si>
    <t xml:space="preserve">8777703220008042</t>
  </si>
  <si>
    <t xml:space="preserve">1001885408342013</t>
  </si>
  <si>
    <t xml:space="preserve">8535114490098791</t>
  </si>
  <si>
    <t xml:space="preserve">8771100830588206</t>
  </si>
  <si>
    <t xml:space="preserve">3721653296837702778</t>
  </si>
  <si>
    <t xml:space="preserve">8535114592177238</t>
  </si>
  <si>
    <t xml:space="preserve">3726487296838373339</t>
  </si>
  <si>
    <t xml:space="preserve">8772105020375933</t>
  </si>
  <si>
    <t xml:space="preserve">1001440834922044</t>
  </si>
  <si>
    <t xml:space="preserve">8529101810700089</t>
  </si>
  <si>
    <t xml:space="preserve">3729698296839092181</t>
  </si>
  <si>
    <t xml:space="preserve">8535101830191790</t>
  </si>
  <si>
    <t xml:space="preserve">3731269296839661769</t>
  </si>
  <si>
    <t xml:space="preserve">8499050180254233</t>
  </si>
  <si>
    <t xml:space="preserve">1002152791142099</t>
  </si>
  <si>
    <t xml:space="preserve">8529200031127427</t>
  </si>
  <si>
    <t xml:space="preserve">3726471296838718936</t>
  </si>
  <si>
    <t xml:space="preserve">8771100701267468</t>
  </si>
  <si>
    <t xml:space="preserve">3731223296839777051</t>
  </si>
  <si>
    <t xml:space="preserve">8220122010399060</t>
  </si>
  <si>
    <t xml:space="preserve">1002326491642075</t>
  </si>
  <si>
    <t xml:space="preserve">8772105550394197</t>
  </si>
  <si>
    <t xml:space="preserve">8993210051173380</t>
  </si>
  <si>
    <t xml:space="preserve">1001885438182017</t>
  </si>
  <si>
    <t xml:space="preserve">8535100400065111</t>
  </si>
  <si>
    <t xml:space="preserve">3729690296840859989</t>
  </si>
  <si>
    <t xml:space="preserve">8497100220695200</t>
  </si>
  <si>
    <t xml:space="preserve">1002326501392075</t>
  </si>
  <si>
    <t xml:space="preserve">8535101590027960</t>
  </si>
  <si>
    <t xml:space="preserve">1002519485702034</t>
  </si>
  <si>
    <t xml:space="preserve">8299420603350359</t>
  </si>
  <si>
    <t xml:space="preserve">1002152808252097</t>
  </si>
  <si>
    <t xml:space="preserve">8155600330122485</t>
  </si>
  <si>
    <t xml:space="preserve">1002164785162025</t>
  </si>
  <si>
    <t xml:space="preserve">8499052850110208</t>
  </si>
  <si>
    <t xml:space="preserve">1002152817282093</t>
  </si>
  <si>
    <t xml:space="preserve">8497606401910481</t>
  </si>
  <si>
    <t xml:space="preserve">8155100517310169</t>
  </si>
  <si>
    <t xml:space="preserve">1002164799572029</t>
  </si>
  <si>
    <t xml:space="preserve">8497950901084359</t>
  </si>
  <si>
    <t xml:space="preserve">1002326521942073</t>
  </si>
  <si>
    <t xml:space="preserve">8499051080286440</t>
  </si>
  <si>
    <t xml:space="preserve">8155200516488451</t>
  </si>
  <si>
    <t xml:space="preserve">1002164808342026</t>
  </si>
  <si>
    <t xml:space="preserve">1000071936</t>
  </si>
  <si>
    <t xml:space="preserve">8497101004650312</t>
  </si>
  <si>
    <t xml:space="preserve">1002326529372075</t>
  </si>
  <si>
    <t xml:space="preserve">8495840010348286</t>
  </si>
  <si>
    <t xml:space="preserve">3726463296850458613</t>
  </si>
  <si>
    <t xml:space="preserve">8220111102902378</t>
  </si>
  <si>
    <t xml:space="preserve">1002326535082072</t>
  </si>
  <si>
    <t xml:space="preserve">8495440016078795</t>
  </si>
  <si>
    <t xml:space="preserve">8772105550512335</t>
  </si>
  <si>
    <t xml:space="preserve">3729663296852534405</t>
  </si>
  <si>
    <t xml:space="preserve">8499053640911913</t>
  </si>
  <si>
    <t xml:space="preserve">1002152859702099</t>
  </si>
  <si>
    <t xml:space="preserve">8497505760596495</t>
  </si>
  <si>
    <t xml:space="preserve">3729654296855562026</t>
  </si>
  <si>
    <t xml:space="preserve">8396800240034924</t>
  </si>
  <si>
    <t xml:space="preserve">1001316959192102</t>
  </si>
  <si>
    <t xml:space="preserve">8155600500044238</t>
  </si>
  <si>
    <t xml:space="preserve">3731282296853700394</t>
  </si>
  <si>
    <t xml:space="preserve">8993112420757622</t>
  </si>
  <si>
    <t xml:space="preserve">1001885480692012</t>
  </si>
  <si>
    <t xml:space="preserve">8495444560155207</t>
  </si>
  <si>
    <t xml:space="preserve">3729684296857875419</t>
  </si>
  <si>
    <t xml:space="preserve">100076799</t>
  </si>
  <si>
    <t xml:space="preserve">Mostafa Magdy Ismail</t>
  </si>
  <si>
    <t xml:space="preserve">8772105540951585</t>
  </si>
  <si>
    <t xml:space="preserve">1001440867082047</t>
  </si>
  <si>
    <t xml:space="preserve">8771401720222967</t>
  </si>
  <si>
    <t xml:space="preserve">1002309034192055</t>
  </si>
  <si>
    <t xml:space="preserve">8155200090572605</t>
  </si>
  <si>
    <t xml:space="preserve">3731220296863049243</t>
  </si>
  <si>
    <t xml:space="preserve">3726487296861162537</t>
  </si>
  <si>
    <t xml:space="preserve">3729669296857493882</t>
  </si>
  <si>
    <t xml:space="preserve">8495744010383055</t>
  </si>
  <si>
    <t xml:space="preserve">3729616296867045212</t>
  </si>
  <si>
    <t xml:space="preserve">8299400440984156</t>
  </si>
  <si>
    <t xml:space="preserve">1002153012962091</t>
  </si>
  <si>
    <t xml:space="preserve">8773212210256516</t>
  </si>
  <si>
    <t xml:space="preserve">1001968153492066</t>
  </si>
  <si>
    <t xml:space="preserve">8396200120097226</t>
  </si>
  <si>
    <t xml:space="preserve">8773103720861897</t>
  </si>
  <si>
    <t xml:space="preserve">8529200869487687</t>
  </si>
  <si>
    <t xml:space="preserve">100076800</t>
  </si>
  <si>
    <t xml:space="preserve">Abdallah Abdellaziz Abdallah Abdellaziz</t>
  </si>
  <si>
    <t xml:space="preserve">8396900011411754</t>
  </si>
  <si>
    <t xml:space="preserve">1001317040912102</t>
  </si>
  <si>
    <t xml:space="preserve">8773500380155819</t>
  </si>
  <si>
    <t xml:space="preserve">1001968162652064</t>
  </si>
  <si>
    <t xml:space="preserve">8299600064585268</t>
  </si>
  <si>
    <t xml:space="preserve">1002153039832095</t>
  </si>
  <si>
    <t xml:space="preserve">8535100180595154</t>
  </si>
  <si>
    <t xml:space="preserve">1002519659452036</t>
  </si>
  <si>
    <t xml:space="preserve">8220206970524252</t>
  </si>
  <si>
    <t xml:space="preserve">3726487296911259869</t>
  </si>
  <si>
    <t xml:space="preserve">8993115740189608</t>
  </si>
  <si>
    <t xml:space="preserve">3731242296910655922</t>
  </si>
  <si>
    <t xml:space="preserve">8155400553618438</t>
  </si>
  <si>
    <t xml:space="preserve">1002164932162027</t>
  </si>
  <si>
    <t xml:space="preserve">3726428296911395714</t>
  </si>
  <si>
    <t xml:space="preserve">8299600940501414</t>
  </si>
  <si>
    <t xml:space="preserve">8299600064918600</t>
  </si>
  <si>
    <t xml:space="preserve">8772105771200207</t>
  </si>
  <si>
    <t xml:space="preserve">8772106210074401</t>
  </si>
  <si>
    <t xml:space="preserve">1001440934252045</t>
  </si>
  <si>
    <t xml:space="preserve">8495741226644437</t>
  </si>
  <si>
    <t xml:space="preserve">3729696296923855567</t>
  </si>
  <si>
    <t xml:space="preserve">8497101004273057</t>
  </si>
  <si>
    <t xml:space="preserve">8155600640418862</t>
  </si>
  <si>
    <t xml:space="preserve">1002164965202021</t>
  </si>
  <si>
    <t xml:space="preserve">8771400380114076</t>
  </si>
  <si>
    <t xml:space="preserve">3721631296925341603</t>
  </si>
  <si>
    <t xml:space="preserve">8155600700947594</t>
  </si>
  <si>
    <t xml:space="preserve">1002164966122020</t>
  </si>
  <si>
    <t xml:space="preserve">8220188952613388</t>
  </si>
  <si>
    <t xml:space="preserve">1002326706382079</t>
  </si>
  <si>
    <t xml:space="preserve">8993211220223494</t>
  </si>
  <si>
    <t xml:space="preserve">1001885640512019</t>
  </si>
  <si>
    <t xml:space="preserve">8529102080619280</t>
  </si>
  <si>
    <t xml:space="preserve">3721639296927965735</t>
  </si>
  <si>
    <t xml:space="preserve">1000716</t>
  </si>
  <si>
    <t xml:space="preserve">UNMAPPED:1000716</t>
  </si>
  <si>
    <t xml:space="preserve">8499051760122279</t>
  </si>
  <si>
    <t xml:space="preserve">8396400230439967</t>
  </si>
  <si>
    <t xml:space="preserve">8499051000026553</t>
  </si>
  <si>
    <t xml:space="preserve">3729673296930018109</t>
  </si>
  <si>
    <t xml:space="preserve">8497303281510389</t>
  </si>
  <si>
    <t xml:space="preserve">8499051630044869</t>
  </si>
  <si>
    <t xml:space="preserve">3726420296927985085</t>
  </si>
  <si>
    <t xml:space="preserve">8495600071615704</t>
  </si>
  <si>
    <t xml:space="preserve">1002519743372034</t>
  </si>
  <si>
    <t xml:space="preserve">8777702120785816</t>
  </si>
  <si>
    <t xml:space="preserve">8220111100485699</t>
  </si>
  <si>
    <t xml:space="preserve">1002326726002079</t>
  </si>
  <si>
    <t xml:space="preserve">8495440060952168</t>
  </si>
  <si>
    <t xml:space="preserve">1002518864162034</t>
  </si>
  <si>
    <t xml:space="preserve">8535100240117197</t>
  </si>
  <si>
    <t xml:space="preserve">1002519756062035</t>
  </si>
  <si>
    <t xml:space="preserve">8529100150164898</t>
  </si>
  <si>
    <t xml:space="preserve">1001374064752112</t>
  </si>
  <si>
    <t xml:space="preserve">8529114220284610</t>
  </si>
  <si>
    <t xml:space="preserve">1001374064732114</t>
  </si>
  <si>
    <t xml:space="preserve">8299400452054864</t>
  </si>
  <si>
    <t xml:space="preserve">8529102600427859</t>
  </si>
  <si>
    <t xml:space="preserve">1001374065192110</t>
  </si>
  <si>
    <t xml:space="preserve">8772105770767487</t>
  </si>
  <si>
    <t xml:space="preserve">1001440957562049</t>
  </si>
  <si>
    <t xml:space="preserve">8155100517697409</t>
  </si>
  <si>
    <t xml:space="preserve">8993116750026904</t>
  </si>
  <si>
    <t xml:space="preserve">3726473296941306544</t>
  </si>
  <si>
    <t xml:space="preserve">8529101310180865</t>
  </si>
  <si>
    <t xml:space="preserve">8495741223514849</t>
  </si>
  <si>
    <t xml:space="preserve">1002519769422036</t>
  </si>
  <si>
    <t xml:space="preserve">8495440014184942</t>
  </si>
  <si>
    <t xml:space="preserve">3729682296943472582</t>
  </si>
  <si>
    <t xml:space="preserve">8495752660384992</t>
  </si>
  <si>
    <t xml:space="preserve">1002519780582032</t>
  </si>
  <si>
    <t xml:space="preserve">8529101330248429</t>
  </si>
  <si>
    <t xml:space="preserve">1001374078962111</t>
  </si>
  <si>
    <t xml:space="preserve">8497404860980439</t>
  </si>
  <si>
    <t xml:space="preserve">8155600510659249</t>
  </si>
  <si>
    <t xml:space="preserve">8773102273239972</t>
  </si>
  <si>
    <t xml:space="preserve">1001968364282066</t>
  </si>
  <si>
    <t xml:space="preserve">8396200210863321</t>
  </si>
  <si>
    <t xml:space="preserve">3729632296990297746</t>
  </si>
  <si>
    <t xml:space="preserve">8773403920105081</t>
  </si>
  <si>
    <t xml:space="preserve">1206719523617</t>
  </si>
  <si>
    <t xml:space="preserve">8220116031888457</t>
  </si>
  <si>
    <t xml:space="preserve">8498350171975023</t>
  </si>
  <si>
    <t xml:space="preserve">1208015200361</t>
  </si>
  <si>
    <t xml:space="preserve">8529101701059835</t>
  </si>
  <si>
    <t xml:space="preserve">#3721617296998253716</t>
  </si>
  <si>
    <t xml:space="preserve">8299600142871227</t>
  </si>
  <si>
    <t xml:space="preserve">1002153428322096</t>
  </si>
  <si>
    <t xml:space="preserve">100075885</t>
  </si>
  <si>
    <t xml:space="preserve">UNMAPPED:100075885</t>
  </si>
  <si>
    <t xml:space="preserve">8499101140109544</t>
  </si>
  <si>
    <t xml:space="preserve">1002153446582093</t>
  </si>
  <si>
    <t xml:space="preserve">8396510830311497</t>
  </si>
  <si>
    <t xml:space="preserve">124083682703</t>
  </si>
  <si>
    <t xml:space="preserve">8771300014838506</t>
  </si>
  <si>
    <t xml:space="preserve">8529102023155012</t>
  </si>
  <si>
    <t xml:space="preserve">1001374203442112</t>
  </si>
  <si>
    <t xml:space="preserve">8299300120443160</t>
  </si>
  <si>
    <t xml:space="preserve">3729665297005023343</t>
  </si>
  <si>
    <t xml:space="preserve">8497900190518849</t>
  </si>
  <si>
    <t xml:space="preserve">1002326893352075</t>
  </si>
  <si>
    <t xml:space="preserve">8155500341287931</t>
  </si>
  <si>
    <t xml:space="preserve">8495752670010785</t>
  </si>
  <si>
    <t xml:space="preserve">3729633296912823502</t>
  </si>
  <si>
    <t xml:space="preserve">100078344</t>
  </si>
  <si>
    <t xml:space="preserve">Mohamed Tarek Ali Mahmoud</t>
  </si>
  <si>
    <t xml:space="preserve">Training</t>
  </si>
  <si>
    <t xml:space="preserve">8535101160518638</t>
  </si>
  <si>
    <t xml:space="preserve">4300763</t>
  </si>
  <si>
    <t xml:space="preserve">Marwan Amir Mohamed Esmail</t>
  </si>
  <si>
    <t xml:space="preserve">8220144200153057</t>
  </si>
  <si>
    <t xml:space="preserve">3729663296999913382</t>
  </si>
  <si>
    <t xml:space="preserve">100078338</t>
  </si>
  <si>
    <t xml:space="preserve">Ahmed Ali Mohamed Ali</t>
  </si>
  <si>
    <t xml:space="preserve">8777701341820352</t>
  </si>
  <si>
    <t xml:space="preserve">Mohamed Rashwan</t>
  </si>
  <si>
    <t xml:space="preserve">UNMAPPED:Mohamed Rashwan</t>
  </si>
  <si>
    <t xml:space="preserve">8529102200204823</t>
  </si>
  <si>
    <t xml:space="preserve">8497202261001395</t>
  </si>
  <si>
    <t xml:space="preserve">1002326909142072</t>
  </si>
  <si>
    <t xml:space="preserve">8777703212333986</t>
  </si>
  <si>
    <t xml:space="preserve">1001885861912013</t>
  </si>
  <si>
    <t xml:space="preserve">8993110911882479</t>
  </si>
  <si>
    <t xml:space="preserve">8299600940010549</t>
  </si>
  <si>
    <t xml:space="preserve">1209186055287</t>
  </si>
  <si>
    <t xml:space="preserve">8499102930011023</t>
  </si>
  <si>
    <t xml:space="preserve">3731280297011248527</t>
  </si>
  <si>
    <t xml:space="preserve">8498390130208439</t>
  </si>
  <si>
    <t xml:space="preserve">8396522033349448</t>
  </si>
  <si>
    <t xml:space="preserve">1001317223742102</t>
  </si>
  <si>
    <t xml:space="preserve">8772105640093403</t>
  </si>
  <si>
    <t xml:space="preserve">8396511731482528</t>
  </si>
  <si>
    <t xml:space="preserve">1001317225622104</t>
  </si>
  <si>
    <t xml:space="preserve">10066503</t>
  </si>
  <si>
    <t xml:space="preserve">8993204650134703</t>
  </si>
  <si>
    <t xml:space="preserve">3729658297012602965</t>
  </si>
  <si>
    <t xml:space="preserve">8396120023536569</t>
  </si>
  <si>
    <t xml:space="preserve">1001317226572100</t>
  </si>
  <si>
    <t xml:space="preserve">8299400450312090</t>
  </si>
  <si>
    <t xml:space="preserve">1002153517412097</t>
  </si>
  <si>
    <t xml:space="preserve">8535114670315965</t>
  </si>
  <si>
    <t xml:space="preserve">1002520001602039</t>
  </si>
  <si>
    <t xml:space="preserve">8220133036629760</t>
  </si>
  <si>
    <t xml:space="preserve">1002326933272077</t>
  </si>
  <si>
    <t xml:space="preserve">8155400581505573</t>
  </si>
  <si>
    <t xml:space="preserve">3731237297017565954</t>
  </si>
  <si>
    <t xml:space="preserve">8771100710027606</t>
  </si>
  <si>
    <t xml:space="preserve">8495443022820234</t>
  </si>
  <si>
    <t xml:space="preserve">1002520025582035</t>
  </si>
  <si>
    <t xml:space="preserve">8777701160277213</t>
  </si>
  <si>
    <t xml:space="preserve">3726422297019564602</t>
  </si>
  <si>
    <t xml:space="preserve">8396500530023500</t>
  </si>
  <si>
    <t xml:space="preserve">1001317244562109</t>
  </si>
  <si>
    <t xml:space="preserve">1001317243782104</t>
  </si>
  <si>
    <t xml:space="preserve">100078346</t>
  </si>
  <si>
    <t xml:space="preserve">Kareem Mohamed Abosrea Gharib</t>
  </si>
  <si>
    <t xml:space="preserve">8778105042651950</t>
  </si>
  <si>
    <t xml:space="preserve">8771201421245378</t>
  </si>
  <si>
    <t xml:space="preserve">8499102860001770</t>
  </si>
  <si>
    <t xml:space="preserve">1002153588012099</t>
  </si>
  <si>
    <t xml:space="preserve">8993110620613579</t>
  </si>
  <si>
    <t xml:space="preserve">1001885923042015</t>
  </si>
  <si>
    <t xml:space="preserve">8778104203666493</t>
  </si>
  <si>
    <t xml:space="preserve">1001441071762044</t>
  </si>
  <si>
    <t xml:space="preserve">100077676</t>
  </si>
  <si>
    <t xml:space="preserve">Yusuf Mohammed Fathy Abdellatif Hassan Shahawey</t>
  </si>
  <si>
    <t xml:space="preserve">8220206900923632</t>
  </si>
  <si>
    <t xml:space="preserve">1002326987792079</t>
  </si>
  <si>
    <t xml:space="preserve">8497800820201453</t>
  </si>
  <si>
    <t xml:space="preserve">1002326998882075</t>
  </si>
  <si>
    <t xml:space="preserve">8396522012730543</t>
  </si>
  <si>
    <t xml:space="preserve">3729611297030198704</t>
  </si>
  <si>
    <t xml:space="preserve">8498350190698168</t>
  </si>
  <si>
    <t xml:space="preserve">1001081755222087</t>
  </si>
  <si>
    <t xml:space="preserve">8771401290019751</t>
  </si>
  <si>
    <t xml:space="preserve">3726435297010826259</t>
  </si>
  <si>
    <t xml:space="preserve">8299420310895860</t>
  </si>
  <si>
    <t xml:space="preserve">1002153628772090</t>
  </si>
  <si>
    <t xml:space="preserve">8529100080287710</t>
  </si>
  <si>
    <t xml:space="preserve">8777702104302091</t>
  </si>
  <si>
    <t xml:space="preserve">1001885959002016</t>
  </si>
  <si>
    <t xml:space="preserve">8777702030383330</t>
  </si>
  <si>
    <t xml:space="preserve">1101007428613</t>
  </si>
  <si>
    <t xml:space="preserve">8495753811826774</t>
  </si>
  <si>
    <t xml:space="preserve">1002520180242037</t>
  </si>
  <si>
    <t xml:space="preserve">8773404111495190</t>
  </si>
  <si>
    <t xml:space="preserve">1001968585332062</t>
  </si>
  <si>
    <t xml:space="preserve">100078339</t>
  </si>
  <si>
    <t xml:space="preserve">Marcus Gamil Hanna Tadros</t>
  </si>
  <si>
    <t xml:space="preserve">8773402140297330</t>
  </si>
  <si>
    <t xml:space="preserve">100078336</t>
  </si>
  <si>
    <t xml:space="preserve">Mohammed Mahrous Ahmed Ammar</t>
  </si>
  <si>
    <t xml:space="preserve">8535101540077040</t>
  </si>
  <si>
    <t xml:space="preserve">8396522012730618</t>
  </si>
  <si>
    <t xml:space="preserve">3731206297080538621</t>
  </si>
  <si>
    <t xml:space="preserve">8155400550891400</t>
  </si>
  <si>
    <t xml:space="preserve">1002165387522029</t>
  </si>
  <si>
    <t xml:space="preserve">8155400270005968</t>
  </si>
  <si>
    <t xml:space="preserve">1002165388982024</t>
  </si>
  <si>
    <t xml:space="preserve">8155200231543630</t>
  </si>
  <si>
    <t xml:space="preserve">3731269297086992758</t>
  </si>
  <si>
    <t xml:space="preserve">8155400410577736</t>
  </si>
  <si>
    <t xml:space="preserve">1002165389532026</t>
  </si>
  <si>
    <t xml:space="preserve">8299600070597109</t>
  </si>
  <si>
    <t xml:space="preserve">1002153866632097</t>
  </si>
  <si>
    <t xml:space="preserve">8777703195901593</t>
  </si>
  <si>
    <t xml:space="preserve">8529202441163612</t>
  </si>
  <si>
    <t xml:space="preserve">3726407297091738674</t>
  </si>
  <si>
    <t xml:space="preserve">8771401240140830</t>
  </si>
  <si>
    <t xml:space="preserve">1002309596492059</t>
  </si>
  <si>
    <t xml:space="preserve">8778104032340153</t>
  </si>
  <si>
    <t xml:space="preserve">3726443297093617764</t>
  </si>
  <si>
    <t xml:space="preserve">1001441166082043</t>
  </si>
  <si>
    <t xml:space="preserve">8535101880023281</t>
  </si>
  <si>
    <t xml:space="preserve">1002520280062038</t>
  </si>
  <si>
    <t xml:space="preserve">8299400291887557</t>
  </si>
  <si>
    <t xml:space="preserve">1002153896552091</t>
  </si>
  <si>
    <t xml:space="preserve">8771101311069161</t>
  </si>
  <si>
    <t xml:space="preserve">1002309607022051</t>
  </si>
  <si>
    <t xml:space="preserve">3726427297097214136</t>
  </si>
  <si>
    <t xml:space="preserve">100075900</t>
  </si>
  <si>
    <t xml:space="preserve">UNMAPPED:100075900</t>
  </si>
  <si>
    <t xml:space="preserve">8529112730164090</t>
  </si>
  <si>
    <t xml:space="preserve">8535101180103510</t>
  </si>
  <si>
    <t xml:space="preserve">1002520306052039</t>
  </si>
  <si>
    <t xml:space="preserve">8499050430006334</t>
  </si>
  <si>
    <t xml:space="preserve">1002153931992096</t>
  </si>
  <si>
    <t xml:space="preserve">8529112671036414</t>
  </si>
  <si>
    <t xml:space="preserve">3729687297101657589</t>
  </si>
  <si>
    <t xml:space="preserve">8773404134473265</t>
  </si>
  <si>
    <t xml:space="preserve">3729621297104587827</t>
  </si>
  <si>
    <t xml:space="preserve">8771300053929208</t>
  </si>
  <si>
    <t xml:space="preserve">8396600012774156</t>
  </si>
  <si>
    <t xml:space="preserve">1001317423532105</t>
  </si>
  <si>
    <t xml:space="preserve">8497505310492872</t>
  </si>
  <si>
    <t xml:space="preserve">3731231297112331862</t>
  </si>
  <si>
    <t xml:space="preserve">8771201450713411</t>
  </si>
  <si>
    <t xml:space="preserve">3721612297112517812</t>
  </si>
  <si>
    <t xml:space="preserve">8772105907168823</t>
  </si>
  <si>
    <t xml:space="preserve">1001441210942044</t>
  </si>
  <si>
    <t xml:space="preserve">8498340162908521</t>
  </si>
  <si>
    <t xml:space="preserve">8771402610001248</t>
  </si>
  <si>
    <t xml:space="preserve">1002309765352050</t>
  </si>
  <si>
    <t xml:space="preserve">8993111840320292</t>
  </si>
  <si>
    <t xml:space="preserve">#3721667297166306370</t>
  </si>
  <si>
    <t xml:space="preserve">8529101982032907</t>
  </si>
  <si>
    <t xml:space="preserve">1001374586622116</t>
  </si>
  <si>
    <t xml:space="preserve">8529201600297641</t>
  </si>
  <si>
    <t xml:space="preserve">8495600760687105</t>
  </si>
  <si>
    <t xml:space="preserve">1002520541212034</t>
  </si>
  <si>
    <t xml:space="preserve">3731239297173918969</t>
  </si>
  <si>
    <t xml:space="preserve">8499051210252122</t>
  </si>
  <si>
    <t xml:space="preserve">10070304</t>
  </si>
  <si>
    <t xml:space="preserve">8535101160783935</t>
  </si>
  <si>
    <t xml:space="preserve">37296542971717725852</t>
  </si>
  <si>
    <t xml:space="preserve">37296542971717725851</t>
  </si>
  <si>
    <t xml:space="preserve">8155400580816898</t>
  </si>
  <si>
    <t xml:space="preserve">530787701</t>
  </si>
  <si>
    <t xml:space="preserve">8773500540013544</t>
  </si>
  <si>
    <t xml:space="preserve">3729605297175089690</t>
  </si>
  <si>
    <t xml:space="preserve">8529201070255715</t>
  </si>
  <si>
    <t xml:space="preserve">1001374598832117</t>
  </si>
  <si>
    <t xml:space="preserve">8771400921065084</t>
  </si>
  <si>
    <t xml:space="preserve">1002309812762053</t>
  </si>
  <si>
    <t xml:space="preserve">8499051850044607</t>
  </si>
  <si>
    <t xml:space="preserve">8497900051336182</t>
  </si>
  <si>
    <t xml:space="preserve">Q</t>
  </si>
  <si>
    <t xml:space="preserve">100074639</t>
  </si>
  <si>
    <t xml:space="preserve">Kareem Moustafa Kamal Mohammed Alatfy</t>
  </si>
  <si>
    <t xml:space="preserve">8155500200255888</t>
  </si>
  <si>
    <t xml:space="preserve">1002165624742026</t>
  </si>
  <si>
    <t xml:space="preserve">UNMAPPED:8529201600297641</t>
  </si>
  <si>
    <t xml:space="preserve">100076814</t>
  </si>
  <si>
    <t xml:space="preserve">Badr Osama Ibrahim</t>
  </si>
  <si>
    <t xml:space="preserve">8396522020122519</t>
  </si>
  <si>
    <t xml:space="preserve">1001317544362101</t>
  </si>
  <si>
    <t xml:space="preserve">8396510830039213</t>
  </si>
  <si>
    <t xml:space="preserve">1001317544882108</t>
  </si>
  <si>
    <t xml:space="preserve">8155100516806472</t>
  </si>
  <si>
    <t xml:space="preserve">3726436297174538872</t>
  </si>
  <si>
    <t xml:space="preserve">8499100217377406</t>
  </si>
  <si>
    <t xml:space="preserve">8773400230577587</t>
  </si>
  <si>
    <t xml:space="preserve">1001968879052061</t>
  </si>
  <si>
    <t xml:space="preserve">8498390050036711</t>
  </si>
  <si>
    <t xml:space="preserve">GETTING STARTED KIT 1001081974582089 ORDERED Created: Septem</t>
  </si>
  <si>
    <t xml:space="preserve">8155600411190088</t>
  </si>
  <si>
    <t xml:space="preserve">1002165651542026</t>
  </si>
  <si>
    <t xml:space="preserve">8529102023353138</t>
  </si>
  <si>
    <t xml:space="preserve">1001374631932114</t>
  </si>
  <si>
    <t xml:space="preserve">8773402010053607</t>
  </si>
  <si>
    <t xml:space="preserve">1001968895922065</t>
  </si>
  <si>
    <t xml:space="preserve">8535101530094179</t>
  </si>
  <si>
    <t xml:space="preserve">1002520624682038</t>
  </si>
  <si>
    <t xml:space="preserve">8396511741690615</t>
  </si>
  <si>
    <t xml:space="preserve">3731297297193089948</t>
  </si>
  <si>
    <t xml:space="preserve">8535114540813892</t>
  </si>
  <si>
    <t xml:space="preserve">3721657297192908811</t>
  </si>
  <si>
    <t xml:space="preserve">8299420340127458</t>
  </si>
  <si>
    <t xml:space="preserve">8499100490047874</t>
  </si>
  <si>
    <t xml:space="preserve">3726492297197155526</t>
  </si>
  <si>
    <t xml:space="preserve">8497606422105822</t>
  </si>
  <si>
    <t xml:space="preserve">1002327481482076</t>
  </si>
  <si>
    <t xml:space="preserve">8299700060012190</t>
  </si>
  <si>
    <t xml:space="preserve">8220204141777719</t>
  </si>
  <si>
    <t xml:space="preserve">1002327489202070</t>
  </si>
  <si>
    <t xml:space="preserve">8155400360841702</t>
  </si>
  <si>
    <t xml:space="preserve">1002165716472029</t>
  </si>
  <si>
    <t xml:space="preserve">1000741936</t>
  </si>
  <si>
    <t xml:space="preserve">UNMAPPED:1000741936</t>
  </si>
  <si>
    <t xml:space="preserve">8495840012040006</t>
  </si>
  <si>
    <t xml:space="preserve">3721618297203577071</t>
  </si>
  <si>
    <t xml:space="preserve">8777702031637817</t>
  </si>
  <si>
    <t xml:space="preserve">\\\\\\\\\\</t>
  </si>
  <si>
    <t xml:space="preserve">8396521730078482</t>
  </si>
  <si>
    <t xml:space="preserve">3729649297203193631</t>
  </si>
  <si>
    <t xml:space="preserve">8771300112465731</t>
  </si>
  <si>
    <t xml:space="preserve">3729652297210477649</t>
  </si>
  <si>
    <t xml:space="preserve">8497101003440350</t>
  </si>
  <si>
    <t xml:space="preserve">UNMAPPED:8497101003440350</t>
  </si>
  <si>
    <t xml:space="preserve">1002327520642078</t>
  </si>
  <si>
    <t xml:space="preserve">8993207560317995</t>
  </si>
  <si>
    <t xml:space="preserve">1001886457642014</t>
  </si>
  <si>
    <t xml:space="preserve">8771201280386388</t>
  </si>
  <si>
    <t xml:space="preserve">1002309994732056</t>
  </si>
  <si>
    <t xml:space="preserve">8535100411268753</t>
  </si>
  <si>
    <t xml:space="preserve">3729629297251742550</t>
  </si>
  <si>
    <t xml:space="preserve">100076813</t>
  </si>
  <si>
    <t xml:space="preserve">Tawfik Nabil Tawfik</t>
  </si>
  <si>
    <t xml:space="preserve">8529200869517228</t>
  </si>
  <si>
    <t xml:space="preserve">3731209297251713041</t>
  </si>
  <si>
    <t xml:space="preserve">8499100690255665</t>
  </si>
  <si>
    <t xml:space="preserve">3726464297255225848</t>
  </si>
  <si>
    <t xml:space="preserve">8778104032296652</t>
  </si>
  <si>
    <t xml:space="preserve">8535100620031935</t>
  </si>
  <si>
    <t xml:space="preserve">1002520838312034</t>
  </si>
  <si>
    <t xml:space="preserve">8535100442124918</t>
  </si>
  <si>
    <t xml:space="preserve">8512100190272296</t>
  </si>
  <si>
    <t xml:space="preserve">8993208160092988</t>
  </si>
  <si>
    <t xml:space="preserve">8529100780303262</t>
  </si>
  <si>
    <t xml:space="preserve">1001374808492116</t>
  </si>
  <si>
    <t xml:space="preserve">8499100090580555</t>
  </si>
  <si>
    <t xml:space="preserve">3726452297264347025</t>
  </si>
  <si>
    <t xml:space="preserve">8299420341270471</t>
  </si>
  <si>
    <t xml:space="preserve">8529200650253934</t>
  </si>
  <si>
    <t xml:space="preserve">3726439297268255521</t>
  </si>
  <si>
    <t xml:space="preserve">8993210280610392</t>
  </si>
  <si>
    <t xml:space="preserve">8499102200073828</t>
  </si>
  <si>
    <t xml:space="preserve">1002154732692091</t>
  </si>
  <si>
    <t xml:space="preserve">8771103452796453</t>
  </si>
  <si>
    <t xml:space="preserve">8396111150058931</t>
  </si>
  <si>
    <t xml:space="preserve">3729630289829241456</t>
  </si>
  <si>
    <t xml:space="preserve">8155100513060511</t>
  </si>
  <si>
    <t xml:space="preserve">8497950911178365</t>
  </si>
  <si>
    <t xml:space="preserve">3729647297280264472</t>
  </si>
  <si>
    <t xml:space="preserve">8498300030254508</t>
  </si>
  <si>
    <t xml:space="preserve">1001082119412083</t>
  </si>
  <si>
    <t xml:space="preserve">8495743010560365</t>
  </si>
  <si>
    <t xml:space="preserve">372963729728280818</t>
  </si>
  <si>
    <t xml:space="preserve">8993204470031915</t>
  </si>
  <si>
    <t xml:space="preserve">1001886681032016</t>
  </si>
  <si>
    <t xml:space="preserve">8777701821827885</t>
  </si>
  <si>
    <t xml:space="preserve">8777701380033008</t>
  </si>
  <si>
    <t xml:space="preserve">3726489297291135091</t>
  </si>
  <si>
    <t xml:space="preserve">8499100028978590</t>
  </si>
  <si>
    <t xml:space="preserve">1002154836652090</t>
  </si>
  <si>
    <t xml:space="preserve">100075069</t>
  </si>
  <si>
    <t xml:space="preserve">Habiba Saeed</t>
  </si>
  <si>
    <t xml:space="preserve">8773101902879943</t>
  </si>
  <si>
    <t xml:space="preserve">1001969234642067</t>
  </si>
  <si>
    <t xml:space="preserve">8772105571632138</t>
  </si>
  <si>
    <t xml:space="preserve">3731239297298121187</t>
  </si>
  <si>
    <t xml:space="preserve">8535114841768951</t>
  </si>
  <si>
    <t xml:space="preserve">1002521106872030</t>
  </si>
  <si>
    <t xml:space="preserve">8299420610789615</t>
  </si>
  <si>
    <t xml:space="preserve">1002155042592095</t>
  </si>
  <si>
    <t xml:space="preserve">8497101621158582</t>
  </si>
  <si>
    <t xml:space="preserve">1002327916142071</t>
  </si>
  <si>
    <t xml:space="preserve">8773103253387047</t>
  </si>
  <si>
    <t xml:space="preserve">1001969352732062</t>
  </si>
  <si>
    <t xml:space="preserve">8993206800163672</t>
  </si>
  <si>
    <t xml:space="preserve">1001886850532010</t>
  </si>
  <si>
    <t xml:space="preserve">8771402080263906</t>
  </si>
  <si>
    <t xml:space="preserve">1002310296562050</t>
  </si>
  <si>
    <t xml:space="preserve">1035757211</t>
  </si>
  <si>
    <t xml:space="preserve">8773103211733365</t>
  </si>
  <si>
    <t xml:space="preserve">3721635297352494473</t>
  </si>
  <si>
    <t xml:space="preserve">8396900060167679</t>
  </si>
  <si>
    <t xml:space="preserve">1000750</t>
  </si>
  <si>
    <t xml:space="preserve">UNMAPPED:1000750</t>
  </si>
  <si>
    <t xml:space="preserve">8771400130190749</t>
  </si>
  <si>
    <t xml:space="preserve">1002310314452052</t>
  </si>
  <si>
    <t xml:space="preserve">8499053270775836</t>
  </si>
  <si>
    <t xml:space="preserve">100215510752090</t>
  </si>
  <si>
    <t xml:space="preserve">8498320060564238</t>
  </si>
  <si>
    <t xml:space="preserve">3721683297352265078</t>
  </si>
  <si>
    <t xml:space="preserve">8155600281496433</t>
  </si>
  <si>
    <t xml:space="preserve">3729614297354974657</t>
  </si>
  <si>
    <t xml:space="preserve">8396410630328017</t>
  </si>
  <si>
    <t xml:space="preserve">1240851631466</t>
  </si>
  <si>
    <t xml:space="preserve">8499052460035423</t>
  </si>
  <si>
    <t xml:space="preserve">1002155119542098</t>
  </si>
  <si>
    <t xml:space="preserve">8155400340522612</t>
  </si>
  <si>
    <t xml:space="preserve">3729615297357986137</t>
  </si>
  <si>
    <t xml:space="preserve">8396510930012698</t>
  </si>
  <si>
    <t xml:space="preserve">3729669297365109241</t>
  </si>
  <si>
    <t xml:space="preserve">8396511480111153</t>
  </si>
  <si>
    <t xml:space="preserve">8220220901379074</t>
  </si>
  <si>
    <t xml:space="preserve">1002328005212072</t>
  </si>
  <si>
    <t xml:space="preserve">8535100411712057</t>
  </si>
  <si>
    <t xml:space="preserve">3726439297370180869</t>
  </si>
  <si>
    <t xml:space="preserve">8498390052298665</t>
  </si>
  <si>
    <t xml:space="preserve">1001082250432080</t>
  </si>
  <si>
    <t xml:space="preserve">8499100022865132</t>
  </si>
  <si>
    <t xml:space="preserve">1002155205062092</t>
  </si>
  <si>
    <t xml:space="preserve">100075906</t>
  </si>
  <si>
    <t xml:space="preserve">Abdelrahman Abdelrehim</t>
  </si>
  <si>
    <t xml:space="preserve">8495752501682950</t>
  </si>
  <si>
    <t xml:space="preserve">3726488297370774686</t>
  </si>
  <si>
    <t xml:space="preserve">8495444840014679</t>
  </si>
  <si>
    <t xml:space="preserve">3731286297374501303</t>
  </si>
  <si>
    <t xml:space="preserve">8778102253385162</t>
  </si>
  <si>
    <t xml:space="preserve">1001441604622046</t>
  </si>
  <si>
    <t xml:space="preserve">45646456</t>
  </si>
  <si>
    <t xml:space="preserve">8495753922429112</t>
  </si>
  <si>
    <t xml:space="preserve">8220188953380219</t>
  </si>
  <si>
    <t xml:space="preserve">3729674297374869535</t>
  </si>
  <si>
    <t xml:space="preserve">8535114300191026</t>
  </si>
  <si>
    <t xml:space="preserve">1002521298722035</t>
  </si>
  <si>
    <t xml:space="preserve">8499051010421638</t>
  </si>
  <si>
    <t xml:space="preserve">1002155223712090</t>
  </si>
  <si>
    <t xml:space="preserve">8771100840714636</t>
  </si>
  <si>
    <t xml:space="preserve">3731298297382869089</t>
  </si>
  <si>
    <t xml:space="preserve">8773102933658140</t>
  </si>
  <si>
    <t xml:space="preserve">3729628297384387617</t>
  </si>
  <si>
    <t xml:space="preserve">8777701590055940</t>
  </si>
  <si>
    <t xml:space="preserve">3729671297382775779</t>
  </si>
  <si>
    <t xml:space="preserve">8535100590639519</t>
  </si>
  <si>
    <t xml:space="preserve">1002521311942032</t>
  </si>
  <si>
    <t xml:space="preserve">8773101902767650</t>
  </si>
  <si>
    <t xml:space="preserve">1001969517302066</t>
  </si>
  <si>
    <t xml:space="preserve">8499050180029437</t>
  </si>
  <si>
    <t xml:space="preserve">3729639297422323194</t>
  </si>
  <si>
    <t xml:space="preserve">8993213030038989</t>
  </si>
  <si>
    <t xml:space="preserve">1001887096812018</t>
  </si>
  <si>
    <t xml:space="preserve">8155300240313387</t>
  </si>
  <si>
    <t xml:space="preserve">1202516840221</t>
  </si>
  <si>
    <t xml:space="preserve">8529102031441743</t>
  </si>
  <si>
    <t xml:space="preserve">1001375198352117</t>
  </si>
  <si>
    <t xml:space="preserve">8529114000456057</t>
  </si>
  <si>
    <t xml:space="preserve">3731208297430805314</t>
  </si>
  <si>
    <t xml:space="preserve">8777701730535926</t>
  </si>
  <si>
    <t xml:space="preserve">1001887115972017</t>
  </si>
  <si>
    <t xml:space="preserve">8529102031580128</t>
  </si>
  <si>
    <t xml:space="preserve">1001375203892115</t>
  </si>
  <si>
    <t xml:space="preserve">8220186801261540</t>
  </si>
  <si>
    <t xml:space="preserve">3731268297434018748</t>
  </si>
  <si>
    <t xml:space="preserve">8771404013106145</t>
  </si>
  <si>
    <t xml:space="preserve">3726427297433590645</t>
  </si>
  <si>
    <t xml:space="preserve">8155600743208939</t>
  </si>
  <si>
    <t xml:space="preserve">1232605882388</t>
  </si>
  <si>
    <t xml:space="preserve">8396410730996127</t>
  </si>
  <si>
    <t xml:space="preserve">1001318070882108</t>
  </si>
  <si>
    <t xml:space="preserve">8396910322836284</t>
  </si>
  <si>
    <t xml:space="preserve">8535115120771566</t>
  </si>
  <si>
    <t xml:space="preserve">8771400410437281</t>
  </si>
  <si>
    <t xml:space="preserve">1205647503410</t>
  </si>
  <si>
    <t xml:space="preserve">8771103210137867</t>
  </si>
  <si>
    <t xml:space="preserve">3731244297436106716</t>
  </si>
  <si>
    <t xml:space="preserve">3726476297438980893</t>
  </si>
  <si>
    <t xml:space="preserve">8529113260007139</t>
  </si>
  <si>
    <t xml:space="preserve">1001375219292110</t>
  </si>
  <si>
    <t xml:space="preserve">8772105540758667</t>
  </si>
  <si>
    <t xml:space="preserve">1204636543826</t>
  </si>
  <si>
    <t xml:space="preserve">8529102610052739</t>
  </si>
  <si>
    <t xml:space="preserve">8299200061547062</t>
  </si>
  <si>
    <t xml:space="preserve">1002155468942097</t>
  </si>
  <si>
    <t xml:space="preserve">8498350174320458</t>
  </si>
  <si>
    <t xml:space="preserve">1001082332792089</t>
  </si>
  <si>
    <t xml:space="preserve">100077698</t>
  </si>
  <si>
    <t xml:space="preserve">Mohamed Ali El Fouly Ahmed</t>
  </si>
  <si>
    <t xml:space="preserve">8773100670021704</t>
  </si>
  <si>
    <t xml:space="preserve">1001969566442060</t>
  </si>
  <si>
    <t xml:space="preserve">8299700071675290</t>
  </si>
  <si>
    <t xml:space="preserve">1002155475102099</t>
  </si>
  <si>
    <t xml:space="preserve">8495600090864630</t>
  </si>
  <si>
    <t xml:space="preserve">1002521496012031</t>
  </si>
  <si>
    <t xml:space="preserve">8495446120294038</t>
  </si>
  <si>
    <t xml:space="preserve">1002521497092032</t>
  </si>
  <si>
    <t xml:space="preserve">8529201030112006</t>
  </si>
  <si>
    <t xml:space="preserve">1001375231612113</t>
  </si>
  <si>
    <t xml:space="preserve">8529200030859947</t>
  </si>
  <si>
    <t xml:space="preserve">1001375234672114</t>
  </si>
  <si>
    <t xml:space="preserve">8220204162029362</t>
  </si>
  <si>
    <t xml:space="preserve">1002328200072073</t>
  </si>
  <si>
    <t xml:space="preserve">8155500320885069</t>
  </si>
  <si>
    <t xml:space="preserve">1002166349422027</t>
  </si>
  <si>
    <t xml:space="preserve">8155300110021649</t>
  </si>
  <si>
    <t xml:space="preserve">3731290297448188611</t>
  </si>
  <si>
    <t xml:space="preserve">8220188931890107</t>
  </si>
  <si>
    <t xml:space="preserve">1002328211182077</t>
  </si>
  <si>
    <t xml:space="preserve">8771401200220259</t>
  </si>
  <si>
    <t xml:space="preserve">1205617315886</t>
  </si>
  <si>
    <t xml:space="preserve">1002155475182091</t>
  </si>
  <si>
    <t xml:space="preserve">194253402220</t>
  </si>
  <si>
    <t xml:space="preserve">8497606440279963</t>
  </si>
  <si>
    <t xml:space="preserve">3731201297450364260</t>
  </si>
  <si>
    <t xml:space="preserve">8495444660871075</t>
  </si>
  <si>
    <t xml:space="preserve">3731224297451503791</t>
  </si>
  <si>
    <t xml:space="preserve">8993208780201043</t>
  </si>
  <si>
    <t xml:space="preserve">1001887148282012</t>
  </si>
  <si>
    <t xml:space="preserve">8529112663080222</t>
  </si>
  <si>
    <t xml:space="preserve">1001375251732114</t>
  </si>
  <si>
    <t xml:space="preserve">8495741226203804</t>
  </si>
  <si>
    <t xml:space="preserve">1002521540182038</t>
  </si>
  <si>
    <t xml:space="preserve">8497101000324524</t>
  </si>
  <si>
    <t xml:space="preserve">1002328230562077</t>
  </si>
  <si>
    <t xml:space="preserve">8771201080728847</t>
  </si>
  <si>
    <t xml:space="preserve">xmc</t>
  </si>
  <si>
    <t xml:space="preserve">8771201241196199</t>
  </si>
  <si>
    <t xml:space="preserve">1002310581742052</t>
  </si>
  <si>
    <t xml:space="preserve">8993204910024645</t>
  </si>
  <si>
    <t xml:space="preserve">8773102263926448</t>
  </si>
  <si>
    <t xml:space="preserve">3729617297453215627</t>
  </si>
  <si>
    <t xml:space="preserve">8299400451938422</t>
  </si>
  <si>
    <t xml:space="preserve">1002155546072099</t>
  </si>
  <si>
    <t xml:space="preserve">8771401740167077</t>
  </si>
  <si>
    <t xml:space="preserve">1002310587692053</t>
  </si>
  <si>
    <t xml:space="preserve">8499101460725978</t>
  </si>
  <si>
    <t xml:space="preserve">1002155549222097</t>
  </si>
  <si>
    <t xml:space="preserve">8777702033078192</t>
  </si>
  <si>
    <t xml:space="preserve">1001887199192011</t>
  </si>
  <si>
    <t xml:space="preserve">8396700030404404</t>
  </si>
  <si>
    <t xml:space="preserve">1001318121112109</t>
  </si>
  <si>
    <t xml:space="preserve">8497505600131495</t>
  </si>
  <si>
    <t xml:space="preserve">1002328252932075</t>
  </si>
  <si>
    <t xml:space="preserve">8497202490064248</t>
  </si>
  <si>
    <t xml:space="preserve">1002328256712077</t>
  </si>
  <si>
    <t xml:space="preserve">8498340211988185</t>
  </si>
  <si>
    <t xml:space="preserve">1001082376262080</t>
  </si>
  <si>
    <t xml:space="preserve">8498350101386986</t>
  </si>
  <si>
    <t xml:space="preserve">..</t>
  </si>
  <si>
    <t xml:space="preserve">8499053400196903</t>
  </si>
  <si>
    <t xml:space="preserve">1002155563572096</t>
  </si>
  <si>
    <t xml:space="preserve">8299200190993302</t>
  </si>
  <si>
    <t xml:space="preserve">1002155683592099</t>
  </si>
  <si>
    <t xml:space="preserve">8773110182078670</t>
  </si>
  <si>
    <t xml:space="preserve">1001969678382063</t>
  </si>
  <si>
    <t xml:space="preserve">8777705100102886</t>
  </si>
  <si>
    <t xml:space="preserve">1001887294612012</t>
  </si>
  <si>
    <t xml:space="preserve">8495753832222425</t>
  </si>
  <si>
    <t xml:space="preserve">3731238297508378742</t>
  </si>
  <si>
    <t xml:space="preserve">8535101370674387</t>
  </si>
  <si>
    <t xml:space="preserve">1002521670442038</t>
  </si>
  <si>
    <t xml:space="preserve">8771200792122935</t>
  </si>
  <si>
    <t xml:space="preserve">3726461297513637858</t>
  </si>
  <si>
    <t xml:space="preserve">8771201100122963</t>
  </si>
  <si>
    <t xml:space="preserve">1002310711782051</t>
  </si>
  <si>
    <t xml:space="preserve">8777703322969174</t>
  </si>
  <si>
    <t xml:space="preserve">8771200790013300</t>
  </si>
  <si>
    <t xml:space="preserve">3721632297518205768</t>
  </si>
  <si>
    <t xml:space="preserve">1002310718002057</t>
  </si>
  <si>
    <t xml:space="preserve">8396300170315971</t>
  </si>
  <si>
    <t xml:space="preserve">1240560418825</t>
  </si>
  <si>
    <t xml:space="preserve">8499052040081079</t>
  </si>
  <si>
    <t xml:space="preserve">1002155735462093</t>
  </si>
  <si>
    <t xml:space="preserve">8777703212616505</t>
  </si>
  <si>
    <t xml:space="preserve">1001887319632011</t>
  </si>
  <si>
    <t xml:space="preserve">8993211070388132</t>
  </si>
  <si>
    <t xml:space="preserve">1001887326982011</t>
  </si>
  <si>
    <t xml:space="preserve">8495600626197695</t>
  </si>
  <si>
    <t xml:space="preserve">3729699297523555735</t>
  </si>
  <si>
    <t xml:space="preserve">8499100450046064</t>
  </si>
  <si>
    <t xml:space="preserve">1002155752402097</t>
  </si>
  <si>
    <t xml:space="preserve">3721605297525157007</t>
  </si>
  <si>
    <t xml:space="preserve">8778102116102119</t>
  </si>
  <si>
    <t xml:space="preserve">1001441785252043</t>
  </si>
  <si>
    <t xml:space="preserve">1001441790922044</t>
  </si>
  <si>
    <t xml:space="preserve">8498340163000708</t>
  </si>
  <si>
    <t xml:space="preserve">3726431297529591630</t>
  </si>
  <si>
    <t xml:space="preserve">3726497297529336209</t>
  </si>
  <si>
    <t xml:space="preserve">8495743120134820</t>
  </si>
  <si>
    <t xml:space="preserve">3729668297522944340</t>
  </si>
  <si>
    <t xml:space="preserve">8777702052399610</t>
  </si>
  <si>
    <t xml:space="preserve">3731221297528533790</t>
  </si>
  <si>
    <t xml:space="preserve">8299420600127800</t>
  </si>
  <si>
    <t xml:space="preserve">3721646297533809409</t>
  </si>
  <si>
    <t xml:space="preserve">8498330052658013</t>
  </si>
  <si>
    <t xml:space="preserve">1001082444222082</t>
  </si>
  <si>
    <t xml:space="preserve">8495741234019184</t>
  </si>
  <si>
    <t xml:space="preserve">1203840445034</t>
  </si>
  <si>
    <t xml:space="preserve">8299610371632752</t>
  </si>
  <si>
    <t xml:space="preserve">1002155807942097</t>
  </si>
  <si>
    <t xml:space="preserve">8771201570382402</t>
  </si>
  <si>
    <t xml:space="preserve">3731220297539867595</t>
  </si>
  <si>
    <t xml:space="preserve">1205838674335</t>
  </si>
  <si>
    <t xml:space="preserve">8299610452242968</t>
  </si>
  <si>
    <t xml:space="preserve">3726408297538680040</t>
  </si>
  <si>
    <t xml:space="preserve">8777703312361846</t>
  </si>
  <si>
    <t xml:space="preserve">1001887383672018</t>
  </si>
  <si>
    <t xml:space="preserve">8529101981956940</t>
  </si>
  <si>
    <t xml:space="preserve">1001375412342118</t>
  </si>
  <si>
    <t xml:space="preserve">8773102700268826</t>
  </si>
  <si>
    <t xml:space="preserve">1206019078510</t>
  </si>
  <si>
    <t xml:space="preserve">8777703342499608</t>
  </si>
  <si>
    <t xml:space="preserve">1001887392472012</t>
  </si>
  <si>
    <t xml:space="preserve">8155100360008860</t>
  </si>
  <si>
    <t xml:space="preserve">1002166597102024</t>
  </si>
  <si>
    <t xml:space="preserve">8155400396218628</t>
  </si>
  <si>
    <t xml:space="preserve">1002166597282024</t>
  </si>
  <si>
    <t xml:space="preserve">8396410761025416</t>
  </si>
  <si>
    <t xml:space="preserve">3726465297552699166</t>
  </si>
  <si>
    <t xml:space="preserve">8773301240005801</t>
  </si>
  <si>
    <t xml:space="preserve">3726470297550155089</t>
  </si>
  <si>
    <t xml:space="preserve">8220116031876577</t>
  </si>
  <si>
    <t xml:space="preserve">3726459297556040087</t>
  </si>
  <si>
    <t xml:space="preserve">8495753921780150</t>
  </si>
  <si>
    <t xml:space="preserve">1002521789812030</t>
  </si>
  <si>
    <t xml:space="preserve">8155600402189495</t>
  </si>
  <si>
    <t xml:space="preserve">1002166579572020</t>
  </si>
  <si>
    <t xml:space="preserve">8495440850447411</t>
  </si>
  <si>
    <t xml:space="preserve">3731232297558777513</t>
  </si>
  <si>
    <t xml:space="preserve">8396600120628187</t>
  </si>
  <si>
    <t xml:space="preserve">1001318254302105</t>
  </si>
  <si>
    <t xml:space="preserve">8993110500027114</t>
  </si>
  <si>
    <t xml:space="preserve">100077971</t>
  </si>
  <si>
    <t xml:space="preserve">Roba Yahia Abselsattar Abdelhameed</t>
  </si>
  <si>
    <t xml:space="preserve">8299420380112188</t>
  </si>
  <si>
    <t xml:space="preserve">1002155986972097</t>
  </si>
  <si>
    <t xml:space="preserve">8993111070009334</t>
  </si>
  <si>
    <t xml:space="preserve">1001887482612014</t>
  </si>
  <si>
    <t xml:space="preserve">8771100980019549</t>
  </si>
  <si>
    <t xml:space="preserve">1002310866312050</t>
  </si>
  <si>
    <t xml:space="preserve">100077986</t>
  </si>
  <si>
    <t xml:space="preserve">Esraa Ahmed Metwally Hanafey Aboied</t>
  </si>
  <si>
    <t xml:space="preserve">8993111240009503</t>
  </si>
  <si>
    <t xml:space="preserve">1001887482722011</t>
  </si>
  <si>
    <t xml:space="preserve">100077973</t>
  </si>
  <si>
    <t xml:space="preserve">Omar Abdelnasser Fathy Mohamed Hassan</t>
  </si>
  <si>
    <t xml:space="preserve">8993210031788794</t>
  </si>
  <si>
    <t xml:space="preserve">1001887482842017</t>
  </si>
  <si>
    <t xml:space="preserve">100077988</t>
  </si>
  <si>
    <t xml:space="preserve">Laila Zeyad Wageh Hassan</t>
  </si>
  <si>
    <t xml:space="preserve">8220133035495254</t>
  </si>
  <si>
    <t xml:space="preserve">1002328524422079</t>
  </si>
  <si>
    <t xml:space="preserve">8773110180003266</t>
  </si>
  <si>
    <t xml:space="preserve">1001969874412060</t>
  </si>
  <si>
    <t xml:space="preserve">8499102160476235</t>
  </si>
  <si>
    <t xml:space="preserve">8529200867503907</t>
  </si>
  <si>
    <t xml:space="preserve">1001375493682119</t>
  </si>
  <si>
    <t xml:space="preserve">8993115040011957</t>
  </si>
  <si>
    <t xml:space="preserve">3721694297596989662</t>
  </si>
  <si>
    <t xml:space="preserve">8497101862900320</t>
  </si>
  <si>
    <t xml:space="preserve">1002328531442078</t>
  </si>
  <si>
    <t xml:space="preserve">8773110430003454</t>
  </si>
  <si>
    <t xml:space="preserve">1001969883632062</t>
  </si>
  <si>
    <t xml:space="preserve">8529101680140101</t>
  </si>
  <si>
    <t xml:space="preserve">100077981</t>
  </si>
  <si>
    <t xml:space="preserve">Amgad Mahmoud  Taha Nasr</t>
  </si>
  <si>
    <t xml:space="preserve">8497900021907021</t>
  </si>
  <si>
    <t xml:space="preserve">1002328533972072</t>
  </si>
  <si>
    <t xml:space="preserve">8495741401608447</t>
  </si>
  <si>
    <t xml:space="preserve">530859505</t>
  </si>
  <si>
    <t xml:space="preserve">8497101863197710</t>
  </si>
  <si>
    <t xml:space="preserve">1002328539612078</t>
  </si>
  <si>
    <t xml:space="preserve">8773110900020517</t>
  </si>
  <si>
    <t xml:space="preserve">1001969899222064</t>
  </si>
  <si>
    <t xml:space="preserve">8773100801261492</t>
  </si>
  <si>
    <t xml:space="preserve">100071913</t>
  </si>
  <si>
    <t xml:space="preserve">UNMAPPED:100071913</t>
  </si>
  <si>
    <t xml:space="preserve">8535115040126552</t>
  </si>
  <si>
    <t xml:space="preserve">3721689297603564369</t>
  </si>
  <si>
    <t xml:space="preserve">8529113680142144</t>
  </si>
  <si>
    <t xml:space="preserve">1001375511142112</t>
  </si>
  <si>
    <t xml:space="preserve">8155400120477292</t>
  </si>
  <si>
    <t xml:space="preserve">8495753105911795</t>
  </si>
  <si>
    <t xml:space="preserve">1002521901932039</t>
  </si>
  <si>
    <t xml:space="preserve">8773101970085803</t>
  </si>
  <si>
    <t xml:space="preserve">1001969904652065</t>
  </si>
  <si>
    <t xml:space="preserve">100077982</t>
  </si>
  <si>
    <t xml:space="preserve">Marwan Abdelrahman Abdelrahman Ahmed Zahran</t>
  </si>
  <si>
    <t xml:space="preserve">8535114860387535</t>
  </si>
  <si>
    <t xml:space="preserve">1002521914492039</t>
  </si>
  <si>
    <t xml:space="preserve">8299420340471823</t>
  </si>
  <si>
    <t xml:space="preserve">1002156058192093</t>
  </si>
  <si>
    <t xml:space="preserve">8773400260479670</t>
  </si>
  <si>
    <t xml:space="preserve">530862013</t>
  </si>
  <si>
    <t xml:space="preserve">8495444840050061</t>
  </si>
  <si>
    <t xml:space="preserve">3721688297607131614</t>
  </si>
  <si>
    <t xml:space="preserve">8993211470217402</t>
  </si>
  <si>
    <t xml:space="preserve">1001887536012013</t>
  </si>
  <si>
    <t xml:space="preserve">8993210023016956</t>
  </si>
  <si>
    <t xml:space="preserve">1001887538162014</t>
  </si>
  <si>
    <t xml:space="preserve">8529101910092551</t>
  </si>
  <si>
    <t xml:space="preserve">1001375524842112</t>
  </si>
  <si>
    <t xml:space="preserve">8773100160050494</t>
  </si>
  <si>
    <t xml:space="preserve">1001969925392063</t>
  </si>
  <si>
    <t xml:space="preserve">8299610264347658</t>
  </si>
  <si>
    <t xml:space="preserve">1002156095172090</t>
  </si>
  <si>
    <t xml:space="preserve">8773402180165074</t>
  </si>
  <si>
    <t xml:space="preserve">1001969928742066</t>
  </si>
  <si>
    <t xml:space="preserve">8773103100263011</t>
  </si>
  <si>
    <t xml:space="preserve">530863725</t>
  </si>
  <si>
    <t xml:space="preserve">100077974</t>
  </si>
  <si>
    <t xml:space="preserve">Ashraf Maysara Youssef Mohamed</t>
  </si>
  <si>
    <t xml:space="preserve">8773105140340527</t>
  </si>
  <si>
    <t xml:space="preserve">1001969927002066</t>
  </si>
  <si>
    <t xml:space="preserve">8778103141055959</t>
  </si>
  <si>
    <t xml:space="preserve">3726444297612420576</t>
  </si>
  <si>
    <t xml:space="preserve">100077990</t>
  </si>
  <si>
    <t xml:space="preserve">Ahmed Abdallah Bedir Ibrahim</t>
  </si>
  <si>
    <t xml:space="preserve">8771200603043452</t>
  </si>
  <si>
    <t xml:space="preserve">1002310930532055</t>
  </si>
  <si>
    <t xml:space="preserve">8495743101336642</t>
  </si>
  <si>
    <t xml:space="preserve">1002521961832038</t>
  </si>
  <si>
    <t xml:space="preserve">1000768</t>
  </si>
  <si>
    <t xml:space="preserve">UNMAPPED:1000768</t>
  </si>
  <si>
    <t xml:space="preserve">8771100250023981</t>
  </si>
  <si>
    <t xml:space="preserve">1002245832492059</t>
  </si>
  <si>
    <t xml:space="preserve">8771401160006417</t>
  </si>
  <si>
    <t xml:space="preserve">8396900010019392</t>
  </si>
  <si>
    <t xml:space="preserve">8777702081735701</t>
  </si>
  <si>
    <t xml:space="preserve">1001887569032011</t>
  </si>
  <si>
    <t xml:space="preserve">8499051790056026</t>
  </si>
  <si>
    <t xml:space="preserve">1209608453714</t>
  </si>
  <si>
    <t xml:space="preserve">1002310946372058</t>
  </si>
  <si>
    <t xml:space="preserve">8529101983275935</t>
  </si>
  <si>
    <t xml:space="preserve">3729651297617186520</t>
  </si>
  <si>
    <t xml:space="preserve">100077979</t>
  </si>
  <si>
    <t xml:space="preserve">Ahmed Mohamed Esmael Ezzeldin Zein Eldin</t>
  </si>
  <si>
    <t xml:space="preserve">8499101920007348</t>
  </si>
  <si>
    <t xml:space="preserve">1002156132082096</t>
  </si>
  <si>
    <t xml:space="preserve">8497900032738555</t>
  </si>
  <si>
    <t xml:space="preserve">1002328610782071</t>
  </si>
  <si>
    <t xml:space="preserve">8529101460753057</t>
  </si>
  <si>
    <t xml:space="preserve">8535100601769057</t>
  </si>
  <si>
    <t xml:space="preserve">8155300450232467</t>
  </si>
  <si>
    <t xml:space="preserve">1002166739772023</t>
  </si>
  <si>
    <t xml:space="preserve">8529201800057357</t>
  </si>
  <si>
    <t xml:space="preserve">1001375562152119</t>
  </si>
  <si>
    <t xml:space="preserve">8497202450056663</t>
  </si>
  <si>
    <t xml:space="preserve">3731221297621792921</t>
  </si>
  <si>
    <t xml:space="preserve">8535100500983429</t>
  </si>
  <si>
    <t xml:space="preserve">1002522002242039</t>
  </si>
  <si>
    <t xml:space="preserve">8499100650057903</t>
  </si>
  <si>
    <t xml:space="preserve">1002156155262096</t>
  </si>
  <si>
    <t xml:space="preserve">8993113770173816</t>
  </si>
  <si>
    <t xml:space="preserve">1001887591002016</t>
  </si>
  <si>
    <t xml:space="preserve">8771101330522976</t>
  </si>
  <si>
    <t xml:space="preserve">1002310967822056</t>
  </si>
  <si>
    <t xml:space="preserve">8529100980409430</t>
  </si>
  <si>
    <t xml:space="preserve">1001375570302110</t>
  </si>
  <si>
    <t xml:space="preserve">8771402020906408</t>
  </si>
  <si>
    <t xml:space="preserve">1002310962562053</t>
  </si>
  <si>
    <t xml:space="preserve">8771400911597492</t>
  </si>
  <si>
    <t xml:space="preserve">3721620297624068676</t>
  </si>
  <si>
    <t xml:space="preserve">8773201281144362</t>
  </si>
  <si>
    <t xml:space="preserve">3721652297624873593</t>
  </si>
  <si>
    <t xml:space="preserve">10055944</t>
  </si>
  <si>
    <t xml:space="preserve">8499100531075488</t>
  </si>
  <si>
    <t xml:space="preserve">8771402050104353</t>
  </si>
  <si>
    <t xml:space="preserve">1002310992892058</t>
  </si>
  <si>
    <t xml:space="preserve">8529201500196182</t>
  </si>
  <si>
    <t xml:space="preserve">3729693297630071423</t>
  </si>
  <si>
    <t xml:space="preserve">3721660297629712262</t>
  </si>
  <si>
    <t xml:space="preserve">8535100960150808</t>
  </si>
  <si>
    <t xml:space="preserve">1002522054302038</t>
  </si>
  <si>
    <t xml:space="preserve">8155400310234669</t>
  </si>
  <si>
    <t xml:space="preserve">8777701591527905</t>
  </si>
  <si>
    <t xml:space="preserve">100071608</t>
  </si>
  <si>
    <t xml:space="preserve">Shrouq Mahmoud</t>
  </si>
  <si>
    <t xml:space="preserve">8155300020687133</t>
  </si>
  <si>
    <t xml:space="preserve">3721629297636743607</t>
  </si>
  <si>
    <t xml:space="preserve">8777702070207555</t>
  </si>
  <si>
    <t xml:space="preserve">3729654297625662715</t>
  </si>
  <si>
    <t xml:space="preserve">8499101700577197</t>
  </si>
  <si>
    <t xml:space="preserve">1002156226772099</t>
  </si>
  <si>
    <t xml:space="preserve">8771402012316376</t>
  </si>
  <si>
    <t xml:space="preserve">1002311018312055</t>
  </si>
  <si>
    <t xml:space="preserve">8535101900609424</t>
  </si>
  <si>
    <t xml:space="preserve">3726434297677762160</t>
  </si>
  <si>
    <t xml:space="preserve">100078062</t>
  </si>
  <si>
    <t xml:space="preserve">Bassel Ashraf Omar Ragheb Metwaly</t>
  </si>
  <si>
    <t xml:space="preserve">8993111110080915</t>
  </si>
  <si>
    <t xml:space="preserve">1001887732222010</t>
  </si>
  <si>
    <t xml:space="preserve">100077980</t>
  </si>
  <si>
    <t xml:space="preserve">Jana Mohamed Wadea Abdoh Elalawi</t>
  </si>
  <si>
    <t xml:space="preserve">8299400290603922</t>
  </si>
  <si>
    <t xml:space="preserve">1002156369492091</t>
  </si>
  <si>
    <t xml:space="preserve">8299610140790311</t>
  </si>
  <si>
    <t xml:space="preserve">100077975</t>
  </si>
  <si>
    <t xml:space="preserve">Mohamed Medhat Mahmoud El Gendi</t>
  </si>
  <si>
    <t xml:space="preserve">8220176750095262</t>
  </si>
  <si>
    <t xml:space="preserve">3731229297681776798</t>
  </si>
  <si>
    <t xml:space="preserve">8773201100630864</t>
  </si>
  <si>
    <t xml:space="preserve">1001970100412064</t>
  </si>
  <si>
    <t xml:space="preserve">8499102010097108</t>
  </si>
  <si>
    <t xml:space="preserve">8396100451298809</t>
  </si>
  <si>
    <t xml:space="preserve">3729693297685056054</t>
  </si>
  <si>
    <t xml:space="preserve">8529201500058846</t>
  </si>
  <si>
    <t xml:space="preserve">1001375697672114</t>
  </si>
  <si>
    <t xml:space="preserve">8771200670575410</t>
  </si>
  <si>
    <t xml:space="preserve">999</t>
  </si>
  <si>
    <t xml:space="preserve">UNMAPPED:999</t>
  </si>
  <si>
    <t xml:space="preserve">8771100870750740</t>
  </si>
  <si>
    <t xml:space="preserve">1002311118342051</t>
  </si>
  <si>
    <t xml:space="preserve">8993112730379539</t>
  </si>
  <si>
    <t xml:space="preserve">1001887745702016</t>
  </si>
  <si>
    <t xml:space="preserve">8498390023509448</t>
  </si>
  <si>
    <t xml:space="preserve">3729693297688825459</t>
  </si>
  <si>
    <t xml:space="preserve">100066363</t>
  </si>
  <si>
    <t xml:space="preserve">UNMAPPED:100066363</t>
  </si>
  <si>
    <t xml:space="preserve">8773103180542417</t>
  </si>
  <si>
    <t xml:space="preserve">8771401080016116</t>
  </si>
  <si>
    <t xml:space="preserve">1002311136042055</t>
  </si>
  <si>
    <t xml:space="preserve">8499050200167084</t>
  </si>
  <si>
    <t xml:space="preserve">1002156429132091</t>
  </si>
  <si>
    <t xml:space="preserve">8535100440729049</t>
  </si>
  <si>
    <t xml:space="preserve">1002522280182030</t>
  </si>
  <si>
    <t xml:space="preserve">100077987</t>
  </si>
  <si>
    <t xml:space="preserve">Omar Khaled Nasreldin Ahmad Saad</t>
  </si>
  <si>
    <t xml:space="preserve">8772106221302924</t>
  </si>
  <si>
    <t xml:space="preserve">1001442007492045</t>
  </si>
  <si>
    <t xml:space="preserve">8155600370086731</t>
  </si>
  <si>
    <t xml:space="preserve">1002166926922027</t>
  </si>
  <si>
    <t xml:space="preserve">8220204150241995</t>
  </si>
  <si>
    <t xml:space="preserve">8499050930195710</t>
  </si>
  <si>
    <t xml:space="preserve">1002156439182094</t>
  </si>
  <si>
    <t xml:space="preserve">8396410530532122</t>
  </si>
  <si>
    <t xml:space="preserve">8155600743009600</t>
  </si>
  <si>
    <t xml:space="preserve">8529102310192421</t>
  </si>
  <si>
    <t xml:space="preserve">1001375726002119</t>
  </si>
  <si>
    <t xml:space="preserve">8396500042550974</t>
  </si>
  <si>
    <t xml:space="preserve">8155600090214936</t>
  </si>
  <si>
    <t xml:space="preserve">1002166939742024</t>
  </si>
  <si>
    <t xml:space="preserve">8155400350060750</t>
  </si>
  <si>
    <t xml:space="preserve">3729695297696780919</t>
  </si>
  <si>
    <t xml:space="preserve">8155600340558231</t>
  </si>
  <si>
    <t xml:space="preserve">1002166941992021</t>
  </si>
  <si>
    <t xml:space="preserve">8155400331642205</t>
  </si>
  <si>
    <t xml:space="preserve">8535114780557233</t>
  </si>
  <si>
    <t xml:space="preserve">3729693297698381893</t>
  </si>
  <si>
    <t xml:space="preserve">8499053430038950</t>
  </si>
  <si>
    <t xml:space="preserve">3721680297697876708</t>
  </si>
  <si>
    <t xml:space="preserve">1209001980412</t>
  </si>
  <si>
    <t xml:space="preserve">UNMAPPED:1209001980412</t>
  </si>
  <si>
    <t xml:space="preserve">8535114540143894</t>
  </si>
  <si>
    <t xml:space="preserve">1002522313092032</t>
  </si>
  <si>
    <t xml:space="preserve">8497800840386706</t>
  </si>
  <si>
    <t xml:space="preserve">1002328840802079</t>
  </si>
  <si>
    <t xml:space="preserve">8497100220555016</t>
  </si>
  <si>
    <t xml:space="preserve">3721659297697261560</t>
  </si>
  <si>
    <t xml:space="preserve">8396511712741579</t>
  </si>
  <si>
    <t xml:space="preserve">1001318523932104</t>
  </si>
  <si>
    <t xml:space="preserve">8396510850238133</t>
  </si>
  <si>
    <t xml:space="preserve">3721688297700320160</t>
  </si>
  <si>
    <t xml:space="preserve">8499053240539023</t>
  </si>
  <si>
    <t xml:space="preserve">3729674297698207840</t>
  </si>
  <si>
    <t xml:space="preserve">8993204160119988</t>
  </si>
  <si>
    <t xml:space="preserve">1001887798952013</t>
  </si>
  <si>
    <t xml:space="preserve">100075086</t>
  </si>
  <si>
    <t xml:space="preserve">UNMAPPED:100075086</t>
  </si>
  <si>
    <t xml:space="preserve">8771201140530597</t>
  </si>
  <si>
    <t xml:space="preserve">8498310120151068</t>
  </si>
  <si>
    <t xml:space="preserve">1001082661162086</t>
  </si>
  <si>
    <t xml:space="preserve">8396120030594627</t>
  </si>
  <si>
    <t xml:space="preserve">1001294453412104</t>
  </si>
  <si>
    <t xml:space="preserve">8777702010464829</t>
  </si>
  <si>
    <t xml:space="preserve">1001887829412011</t>
  </si>
  <si>
    <t xml:space="preserve">8535100590683947</t>
  </si>
  <si>
    <t xml:space="preserve">3729659297707247097</t>
  </si>
  <si>
    <t xml:space="preserve">8773100690438508</t>
  </si>
  <si>
    <t xml:space="preserve">1206883296057</t>
  </si>
  <si>
    <t xml:space="preserve">8396300190374230</t>
  </si>
  <si>
    <t xml:space="preserve">1001318560682109</t>
  </si>
  <si>
    <t xml:space="preserve">8529102480674182</t>
  </si>
  <si>
    <t xml:space="preserve">3721650297713563775</t>
  </si>
  <si>
    <t xml:space="preserve">8498310091050760</t>
  </si>
  <si>
    <t xml:space="preserve">1001082689372089</t>
  </si>
  <si>
    <t xml:space="preserve">8529101680214179</t>
  </si>
  <si>
    <t xml:space="preserve">1001375789972117</t>
  </si>
  <si>
    <t xml:space="preserve">8299420622215401</t>
  </si>
  <si>
    <t xml:space="preserve">1002156582042095</t>
  </si>
  <si>
    <t xml:space="preserve">8499100910032571</t>
  </si>
  <si>
    <t xml:space="preserve">8993110980029077</t>
  </si>
  <si>
    <t xml:space="preserve">00000</t>
  </si>
  <si>
    <t xml:space="preserve">8773301230002388</t>
  </si>
  <si>
    <t xml:space="preserve">37216212977166637131 // 3721696297720733650 // 3721621297716</t>
  </si>
  <si>
    <t xml:space="preserve">37216212977166637132</t>
  </si>
  <si>
    <t xml:space="preserve">8497404461168244</t>
  </si>
  <si>
    <t xml:space="preserve">8993208790520994</t>
  </si>
  <si>
    <t xml:space="preserve">3721635297727103991</t>
  </si>
  <si>
    <t xml:space="preserve">8495753100886927</t>
  </si>
  <si>
    <t xml:space="preserve">1002522507022035</t>
  </si>
  <si>
    <t xml:space="preserve">8499053260017769</t>
  </si>
  <si>
    <t xml:space="preserve">1002156745402095</t>
  </si>
  <si>
    <t xml:space="preserve">8499102360161389</t>
  </si>
  <si>
    <t xml:space="preserve">1002156747732093</t>
  </si>
  <si>
    <t xml:space="preserve">8495752430043563</t>
  </si>
  <si>
    <t xml:space="preserve">8495753832117401</t>
  </si>
  <si>
    <t xml:space="preserve">1002522513282037</t>
  </si>
  <si>
    <t xml:space="preserve">8773600110097677</t>
  </si>
  <si>
    <t xml:space="preserve">3721641297769829493</t>
  </si>
  <si>
    <t xml:space="preserve">8771103410313086</t>
  </si>
  <si>
    <t xml:space="preserve">1002311336532053</t>
  </si>
  <si>
    <t xml:space="preserve">100077976</t>
  </si>
  <si>
    <t xml:space="preserve">Ahmed Alaaeldin Mohamed Mohamed</t>
  </si>
  <si>
    <t xml:space="preserve">8220220700915276</t>
  </si>
  <si>
    <t xml:space="preserve">1002329036302072</t>
  </si>
  <si>
    <t xml:space="preserve">8778104030570421</t>
  </si>
  <si>
    <t xml:space="preserve">1001442121272042</t>
  </si>
  <si>
    <t xml:space="preserve">8499101070013005</t>
  </si>
  <si>
    <t xml:space="preserve">1002156778432092</t>
  </si>
  <si>
    <t xml:space="preserve">8777702110501793</t>
  </si>
  <si>
    <t xml:space="preserve">1001887988512015</t>
  </si>
  <si>
    <t xml:space="preserve">8499052390328609</t>
  </si>
  <si>
    <t xml:space="preserve">3731280297774169131</t>
  </si>
  <si>
    <t xml:space="preserve">8773500500002263</t>
  </si>
  <si>
    <t xml:space="preserve">3721686297775376682</t>
  </si>
  <si>
    <t xml:space="preserve">8529200868074668</t>
  </si>
  <si>
    <t xml:space="preserve">3731297297775306663</t>
  </si>
  <si>
    <t xml:space="preserve">8497202261200757</t>
  </si>
  <si>
    <t xml:space="preserve">1002329056762072</t>
  </si>
  <si>
    <t xml:space="preserve">100077972</t>
  </si>
  <si>
    <t xml:space="preserve">Zaineldin Ahmed Soliman Abdelaziz</t>
  </si>
  <si>
    <t xml:space="preserve">8396514070570879</t>
  </si>
  <si>
    <t xml:space="preserve">1001309189812102</t>
  </si>
  <si>
    <t xml:space="preserve">8299420622076076</t>
  </si>
  <si>
    <t xml:space="preserve">1002156811002092</t>
  </si>
  <si>
    <t xml:space="preserve">100077985</t>
  </si>
  <si>
    <t xml:space="preserve">Joudan Hazem Mahmoud Ibrahim Hassan</t>
  </si>
  <si>
    <t xml:space="preserve">8772105540304850</t>
  </si>
  <si>
    <t xml:space="preserve">8993115740090699</t>
  </si>
  <si>
    <t xml:space="preserve">8499100028987476</t>
  </si>
  <si>
    <t xml:space="preserve">3726416297780604665</t>
  </si>
  <si>
    <t xml:space="preserve">8220122010559127</t>
  </si>
  <si>
    <t xml:space="preserve">1002329071482078</t>
  </si>
  <si>
    <t xml:space="preserve">8220122015957771</t>
  </si>
  <si>
    <t xml:space="preserve">3729609297780835225</t>
  </si>
  <si>
    <t xml:space="preserve">8773404134435512</t>
  </si>
  <si>
    <t xml:space="preserve">1002156829592092</t>
  </si>
  <si>
    <t xml:space="preserve">100065384</t>
  </si>
  <si>
    <t xml:space="preserve">Ammar Yasser Ibrahim Elsayed Ibrhahim (Rehire)</t>
  </si>
  <si>
    <t xml:space="preserve">8495741212301547</t>
  </si>
  <si>
    <t xml:space="preserve">1002522591472039</t>
  </si>
  <si>
    <t xml:space="preserve">8495840013149129</t>
  </si>
  <si>
    <t xml:space="preserve">1002522599992038</t>
  </si>
  <si>
    <t xml:space="preserve">8498300013169376</t>
  </si>
  <si>
    <t xml:space="preserve">1001082759042083</t>
  </si>
  <si>
    <t xml:space="preserve">3721675297784859528</t>
  </si>
  <si>
    <t xml:space="preserve">8499052380964231</t>
  </si>
  <si>
    <t xml:space="preserve">8396521661547802</t>
  </si>
  <si>
    <t xml:space="preserve">8772106008501680</t>
  </si>
  <si>
    <t xml:space="preserve">8299600831401559</t>
  </si>
  <si>
    <t xml:space="preserve">1002156860392097</t>
  </si>
  <si>
    <t xml:space="preserve">8155100152010587</t>
  </si>
  <si>
    <t xml:space="preserve">3731253297787668639</t>
  </si>
  <si>
    <t xml:space="preserve">8499050350029050</t>
  </si>
  <si>
    <t xml:space="preserve">8396500200053514</t>
  </si>
  <si>
    <t xml:space="preserve">1001318691952108</t>
  </si>
  <si>
    <t xml:space="preserve">8499051120469063</t>
  </si>
  <si>
    <t xml:space="preserve">3729685297789502889</t>
  </si>
  <si>
    <t xml:space="preserve">8155600820402470</t>
  </si>
  <si>
    <t xml:space="preserve">1002167193382028</t>
  </si>
  <si>
    <t xml:space="preserve">8299600600570071</t>
  </si>
  <si>
    <t xml:space="preserve">1002156876072097</t>
  </si>
  <si>
    <t xml:space="preserve">8529200867006646</t>
  </si>
  <si>
    <t xml:space="preserve">8495753800280934</t>
  </si>
  <si>
    <t xml:space="preserve">1002522628462037</t>
  </si>
  <si>
    <t xml:space="preserve">8220133010668081</t>
  </si>
  <si>
    <t xml:space="preserve">8299610330906065</t>
  </si>
  <si>
    <t xml:space="preserve">3721687297791459097</t>
  </si>
  <si>
    <t xml:space="preserve">3729697297792852014</t>
  </si>
  <si>
    <t xml:space="preserve">8773102912381987</t>
  </si>
  <si>
    <t xml:space="preserve">1001970391382067</t>
  </si>
  <si>
    <t xml:space="preserve">8535114251607244</t>
  </si>
  <si>
    <t xml:space="preserve">1002522658782031</t>
  </si>
  <si>
    <t xml:space="preserve">8772105380240495</t>
  </si>
  <si>
    <t xml:space="preserve">8529100830070036</t>
  </si>
  <si>
    <t xml:space="preserve">4720969384956816384</t>
  </si>
  <si>
    <t xml:space="preserve">8495443011366207</t>
  </si>
  <si>
    <t xml:space="preserve">8773103101277358</t>
  </si>
  <si>
    <t xml:space="preserve">3729619297804458913</t>
  </si>
  <si>
    <t xml:space="preserve">8499052020181741</t>
  </si>
  <si>
    <t xml:space="preserve">3729689297807674183</t>
  </si>
  <si>
    <t xml:space="preserve">8529100950430671</t>
  </si>
  <si>
    <t xml:space="preserve">1001375971112118</t>
  </si>
  <si>
    <t xml:space="preserve">8993206990785508</t>
  </si>
  <si>
    <t xml:space="preserve">8497303267048529</t>
  </si>
  <si>
    <t xml:space="preserve">3729698297808969209</t>
  </si>
  <si>
    <t xml:space="preserve">3729614297806863505</t>
  </si>
  <si>
    <t xml:space="preserve">8155500310729046</t>
  </si>
  <si>
    <t xml:space="preserve">3721675297815416723</t>
  </si>
  <si>
    <t xml:space="preserve">8497202490064345</t>
  </si>
  <si>
    <t xml:space="preserve">1002329319892070</t>
  </si>
  <si>
    <t xml:space="preserve">8529102070086805</t>
  </si>
  <si>
    <t xml:space="preserve">1001376062262119</t>
  </si>
  <si>
    <t xml:space="preserve">8495741226966574</t>
  </si>
  <si>
    <t xml:space="preserve">\\\\\\\\\\\\\\\\\\\\\\\\\\</t>
  </si>
  <si>
    <t xml:space="preserve">8771201510390911</t>
  </si>
  <si>
    <t xml:space="preserve">1002311561122059</t>
  </si>
  <si>
    <t xml:space="preserve">8499100027559813</t>
  </si>
  <si>
    <t xml:space="preserve">1002157559462092</t>
  </si>
  <si>
    <t xml:space="preserve">8499100226276367</t>
  </si>
  <si>
    <t xml:space="preserve">1002157574862094</t>
  </si>
  <si>
    <t xml:space="preserve">8529112662236288</t>
  </si>
  <si>
    <t xml:space="preserve">8771201550535623</t>
  </si>
  <si>
    <t xml:space="preserve">8529200280227654</t>
  </si>
  <si>
    <t xml:space="preserve">3729618297856283791</t>
  </si>
  <si>
    <t xml:space="preserve">3729664297856333280</t>
  </si>
  <si>
    <t xml:space="preserve">8771300323009450</t>
  </si>
  <si>
    <t xml:space="preserve">8299700052213954</t>
  </si>
  <si>
    <t xml:space="preserve">n\a</t>
  </si>
  <si>
    <t xml:space="preserve">\\\\\\\\\\\\\\\\</t>
  </si>
  <si>
    <t xml:space="preserve">8220210641537628</t>
  </si>
  <si>
    <t xml:space="preserve">1002329325742079</t>
  </si>
  <si>
    <t xml:space="preserve">8396513080318188</t>
  </si>
  <si>
    <t xml:space="preserve">3721633297859977184</t>
  </si>
  <si>
    <t xml:space="preserve">1000780662</t>
  </si>
  <si>
    <t xml:space="preserve">UNMAPPED:1000780662</t>
  </si>
  <si>
    <t xml:space="preserve">8299600781134572</t>
  </si>
  <si>
    <t xml:space="preserve">3721662297854840678</t>
  </si>
  <si>
    <t xml:space="preserve">8777702053458506</t>
  </si>
  <si>
    <t xml:space="preserve">1001888394632017</t>
  </si>
  <si>
    <t xml:space="preserve">8993210160100951</t>
  </si>
  <si>
    <t xml:space="preserve">1001888395892016</t>
  </si>
  <si>
    <t xml:space="preserve">8535100990397379</t>
  </si>
  <si>
    <t xml:space="preserve">3729654297862476876</t>
  </si>
  <si>
    <t xml:space="preserve">8497900012234781</t>
  </si>
  <si>
    <t xml:space="preserve">3731284297863012212</t>
  </si>
  <si>
    <t xml:space="preserve">8155600700551297</t>
  </si>
  <si>
    <t xml:space="preserve">3729696297862520396</t>
  </si>
  <si>
    <t xml:space="preserve">100075904</t>
  </si>
  <si>
    <t xml:space="preserve">Anas Abdulrahman</t>
  </si>
  <si>
    <t xml:space="preserve">8773102850867203</t>
  </si>
  <si>
    <t xml:space="preserve">027038152</t>
  </si>
  <si>
    <t xml:space="preserve">8771200890854033</t>
  </si>
  <si>
    <t xml:space="preserve">1002311576172057</t>
  </si>
  <si>
    <t xml:space="preserve">8220199131124924</t>
  </si>
  <si>
    <t xml:space="preserve">8529113660751799</t>
  </si>
  <si>
    <t xml:space="preserve">8773201640790582</t>
  </si>
  <si>
    <t xml:space="preserve">1001970919922063</t>
  </si>
  <si>
    <t xml:space="preserve">8155400110593223</t>
  </si>
  <si>
    <t xml:space="preserve">8771100310104482</t>
  </si>
  <si>
    <t xml:space="preserve">1002311597172052</t>
  </si>
  <si>
    <t xml:space="preserve">3721677297867876623</t>
  </si>
  <si>
    <t xml:space="preserve">8773100560441566</t>
  </si>
  <si>
    <t xml:space="preserve">1001971024032061</t>
  </si>
  <si>
    <t xml:space="preserve">100049048</t>
  </si>
  <si>
    <t xml:space="preserve">Ahmed Ezzat Hanafy Ali</t>
  </si>
  <si>
    <t xml:space="preserve">8499052460675970</t>
  </si>
  <si>
    <t xml:space="preserve">3731281297868855710</t>
  </si>
  <si>
    <t xml:space="preserve">8777701550683921</t>
  </si>
  <si>
    <t xml:space="preserve">195949770272</t>
  </si>
  <si>
    <t xml:space="preserve">89148000013680754557</t>
  </si>
  <si>
    <t xml:space="preserve">8535101140873038</t>
  </si>
  <si>
    <t xml:space="preserve">8529102600325665</t>
  </si>
  <si>
    <t xml:space="preserve">1001376106692115</t>
  </si>
  <si>
    <t xml:space="preserve">8773103760234427</t>
  </si>
  <si>
    <t xml:space="preserve">3729613297872208947</t>
  </si>
  <si>
    <t xml:space="preserve">8771300224046882</t>
  </si>
  <si>
    <t xml:space="preserve">3729650297871594475</t>
  </si>
  <si>
    <t xml:space="preserve">8499200071475039</t>
  </si>
  <si>
    <t xml:space="preserve">8299610381467330</t>
  </si>
  <si>
    <t xml:space="preserve">100076811</t>
  </si>
  <si>
    <t xml:space="preserve">Abanoub Reda Towadros Rofael</t>
  </si>
  <si>
    <t xml:space="preserve">abanoub reda</t>
  </si>
  <si>
    <t xml:space="preserve">8777703340161135</t>
  </si>
  <si>
    <t xml:space="preserve">3721609297876258371</t>
  </si>
  <si>
    <t xml:space="preserve">8535101220177359</t>
  </si>
  <si>
    <t xml:space="preserve">3721691297878261679</t>
  </si>
  <si>
    <t xml:space="preserve">8777701741093204</t>
  </si>
  <si>
    <t xml:space="preserve">1001888563822019</t>
  </si>
  <si>
    <t xml:space="preserve">8498340162446019</t>
  </si>
  <si>
    <t xml:space="preserve">3729603297878542748</t>
  </si>
  <si>
    <t xml:space="preserve">8773400140386095</t>
  </si>
  <si>
    <t xml:space="preserve">1001971137912068</t>
  </si>
  <si>
    <t xml:space="preserve">8529101992482910</t>
  </si>
  <si>
    <t xml:space="preserve">3731237297852387666</t>
  </si>
  <si>
    <t xml:space="preserve">1002158083462095</t>
  </si>
  <si>
    <t xml:space="preserve">3731203297877107562</t>
  </si>
  <si>
    <t xml:space="preserve">8772106008043717</t>
  </si>
  <si>
    <t xml:space="preserve">3729645297881915111</t>
  </si>
  <si>
    <t xml:space="preserve">8778102115328442</t>
  </si>
  <si>
    <t xml:space="preserve">3731249297880008707</t>
  </si>
  <si>
    <t xml:space="preserve">8495743010594083</t>
  </si>
  <si>
    <t xml:space="preserve">3729646297884369896</t>
  </si>
  <si>
    <t xml:space="preserve">8396410630339279</t>
  </si>
  <si>
    <t xml:space="preserve">3729676297886576428</t>
  </si>
  <si>
    <t xml:space="preserve">8771100850755610</t>
  </si>
  <si>
    <t xml:space="preserve">8396500043165285</t>
  </si>
  <si>
    <t xml:space="preserve">1001318903472101</t>
  </si>
  <si>
    <t xml:space="preserve">8773402140770716</t>
  </si>
  <si>
    <t xml:space="preserve">1001971170092067</t>
  </si>
  <si>
    <t xml:space="preserve">8299420661197429</t>
  </si>
  <si>
    <t xml:space="preserve">1002158140932098</t>
  </si>
  <si>
    <t xml:space="preserve">8529102130324071</t>
  </si>
  <si>
    <t xml:space="preserve">1001376155642110</t>
  </si>
  <si>
    <t xml:space="preserve">8498330083240880</t>
  </si>
  <si>
    <t xml:space="preserve">3721636297890360674</t>
  </si>
  <si>
    <t xml:space="preserve">8155400580695847</t>
  </si>
  <si>
    <t xml:space="preserve">3729640297893022510</t>
  </si>
  <si>
    <t xml:space="preserve">8529100890120770</t>
  </si>
  <si>
    <t xml:space="preserve">1001376158682113</t>
  </si>
  <si>
    <t xml:space="preserve">8771401040731705</t>
  </si>
  <si>
    <t xml:space="preserve">0000000000000</t>
  </si>
  <si>
    <t xml:space="preserve">8155500400339482</t>
  </si>
  <si>
    <t xml:space="preserve">1002167592652021</t>
  </si>
  <si>
    <t xml:space="preserve">8773500030216342</t>
  </si>
  <si>
    <t xml:space="preserve">10075058</t>
  </si>
  <si>
    <t xml:space="preserve">8777703343138866</t>
  </si>
  <si>
    <t xml:space="preserve">n</t>
  </si>
  <si>
    <t xml:space="preserve">8771400350182632</t>
  </si>
  <si>
    <t xml:space="preserve">1002311685242056</t>
  </si>
  <si>
    <t xml:space="preserve">8773102920119445</t>
  </si>
  <si>
    <t xml:space="preserve">3731278297896121662</t>
  </si>
  <si>
    <t xml:space="preserve">8299600050384007</t>
  </si>
  <si>
    <t xml:space="preserve">1002158171622097</t>
  </si>
  <si>
    <t xml:space="preserve">8499101820506407</t>
  </si>
  <si>
    <t xml:space="preserve">100076816</t>
  </si>
  <si>
    <t xml:space="preserve">UNMAPPED:100076816</t>
  </si>
  <si>
    <t xml:space="preserve">1035929055</t>
  </si>
  <si>
    <t xml:space="preserve">3721657297938195727</t>
  </si>
  <si>
    <t xml:space="preserve">8396500240662639</t>
  </si>
  <si>
    <t xml:space="preserve">n/a</t>
  </si>
  <si>
    <t xml:space="preserve">8529100831214211</t>
  </si>
  <si>
    <t xml:space="preserve">8495743101198505</t>
  </si>
  <si>
    <t xml:space="preserve">801529</t>
  </si>
  <si>
    <t xml:space="preserve">8773102933494579</t>
  </si>
  <si>
    <t xml:space="preserve">1001971259942067</t>
  </si>
  <si>
    <t xml:space="preserve">8535100100040018</t>
  </si>
  <si>
    <t xml:space="preserve">3731244297938425193</t>
  </si>
  <si>
    <t xml:space="preserve">8220188932536881</t>
  </si>
  <si>
    <t xml:space="preserve">1002329587102079</t>
  </si>
  <si>
    <t xml:space="preserve">8299400471314885</t>
  </si>
  <si>
    <t xml:space="preserve">3729631297942203309</t>
  </si>
  <si>
    <t xml:space="preserve">8529112750205196</t>
  </si>
  <si>
    <t xml:space="preserve">1001376271532112</t>
  </si>
  <si>
    <t xml:space="preserve">3731272297944490794</t>
  </si>
  <si>
    <t xml:space="preserve">8499051640074377</t>
  </si>
  <si>
    <t xml:space="preserve">1002158380492092</t>
  </si>
  <si>
    <t xml:space="preserve">8529102600028079</t>
  </si>
  <si>
    <t xml:space="preserve">3731260297946672526</t>
  </si>
  <si>
    <t xml:space="preserve">8535114010077424</t>
  </si>
  <si>
    <t xml:space="preserve">3731223297944496603</t>
  </si>
  <si>
    <t xml:space="preserve">8773102950015695</t>
  </si>
  <si>
    <t xml:space="preserve">1001971292122065</t>
  </si>
  <si>
    <t xml:space="preserve">8396910330350211</t>
  </si>
  <si>
    <t xml:space="preserve">122</t>
  </si>
  <si>
    <t xml:space="preserve">8498380053187744</t>
  </si>
  <si>
    <t xml:space="preserve">1001083040702089</t>
  </si>
  <si>
    <t xml:space="preserve">10076819</t>
  </si>
  <si>
    <t xml:space="preserve">UNMAPPED:10076819</t>
  </si>
  <si>
    <t xml:space="preserve">8495752511395775</t>
  </si>
  <si>
    <t xml:space="preserve">8499200072402990</t>
  </si>
  <si>
    <t xml:space="preserve">1002158416402099</t>
  </si>
  <si>
    <t xml:space="preserve">8495742520694102</t>
  </si>
  <si>
    <t xml:space="preserve">3729636297950953607</t>
  </si>
  <si>
    <t xml:space="preserve">8777702104313403</t>
  </si>
  <si>
    <t xml:space="preserve">3731246297949545633</t>
  </si>
  <si>
    <t xml:space="preserve">8495741234666760</t>
  </si>
  <si>
    <t xml:space="preserve">8535101660019541</t>
  </si>
  <si>
    <t xml:space="preserve">3721631297879646401</t>
  </si>
  <si>
    <t xml:space="preserve">8299610050623650</t>
  </si>
  <si>
    <t xml:space="preserve">1002158443052099</t>
  </si>
  <si>
    <t xml:space="preserve">8773103210757688</t>
  </si>
  <si>
    <t xml:space="preserve">8499052910166521</t>
  </si>
  <si>
    <t xml:space="preserve">1002158450502093</t>
  </si>
  <si>
    <t xml:space="preserve">8773600100254437</t>
  </si>
  <si>
    <t xml:space="preserve">1434</t>
  </si>
  <si>
    <t xml:space="preserve">3729633297959482284</t>
  </si>
  <si>
    <t xml:space="preserve">8773110930105569</t>
  </si>
  <si>
    <t xml:space="preserve">11111</t>
  </si>
  <si>
    <t xml:space="preserve">8773102260869153</t>
  </si>
  <si>
    <t xml:space="preserve">8299400442274663</t>
  </si>
  <si>
    <t xml:space="preserve">1002158457602094</t>
  </si>
  <si>
    <t xml:space="preserve">8993208050187120</t>
  </si>
  <si>
    <t xml:space="preserve">1001888747382013</t>
  </si>
  <si>
    <t xml:space="preserve">8499052530451313</t>
  </si>
  <si>
    <t xml:space="preserve">1002158482312099</t>
  </si>
  <si>
    <t xml:space="preserve">8529100950052954</t>
  </si>
  <si>
    <t xml:space="preserve">37216562979652722462</t>
  </si>
  <si>
    <t xml:space="preserve">8499100227122362</t>
  </si>
  <si>
    <t xml:space="preserve">1002158492102092</t>
  </si>
  <si>
    <t xml:space="preserve">8772106810595631</t>
  </si>
  <si>
    <t xml:space="preserve">1001442478672042</t>
  </si>
  <si>
    <t xml:space="preserve">8778102241941613</t>
  </si>
  <si>
    <t xml:space="preserve">1001442479612047</t>
  </si>
  <si>
    <t xml:space="preserve">8495600011336213</t>
  </si>
  <si>
    <t xml:space="preserve">8497303240092214</t>
  </si>
  <si>
    <t xml:space="preserve">1002329679382076</t>
  </si>
  <si>
    <t xml:space="preserve">3731269297969081329</t>
  </si>
  <si>
    <t xml:space="preserve">8529201910013852</t>
  </si>
  <si>
    <t xml:space="preserve">3726497297971824545</t>
  </si>
  <si>
    <t xml:space="preserve">8499050210260176</t>
  </si>
  <si>
    <t xml:space="preserve">3729672297968393779</t>
  </si>
  <si>
    <t xml:space="preserve">8499100101092418</t>
  </si>
  <si>
    <t xml:space="preserve">8529101983150187</t>
  </si>
  <si>
    <t xml:space="preserve">3729651297974451309</t>
  </si>
  <si>
    <t xml:space="preserve">100078166</t>
  </si>
  <si>
    <t xml:space="preserve">Mazen Tahseen Mohammed Tawfiq Mohammed Elwan</t>
  </si>
  <si>
    <t xml:space="preserve">8155300210545877</t>
  </si>
  <si>
    <t xml:space="preserve">--</t>
  </si>
  <si>
    <t xml:space="preserve">8499053461085367</t>
  </si>
  <si>
    <t xml:space="preserve">3729626297975585192</t>
  </si>
  <si>
    <t xml:space="preserve">8498380210735187</t>
  </si>
  <si>
    <t xml:space="preserve">3726466297976701530</t>
  </si>
  <si>
    <t xml:space="preserve">8771201520359872</t>
  </si>
  <si>
    <t xml:space="preserve">1002311920192058</t>
  </si>
  <si>
    <t xml:space="preserve">8155600674180420</t>
  </si>
  <si>
    <t xml:space="preserve">1002167820542028</t>
  </si>
  <si>
    <t xml:space="preserve">8299700070402969</t>
  </si>
  <si>
    <t xml:space="preserve">1002158565842095</t>
  </si>
  <si>
    <t xml:space="preserve">100078952</t>
  </si>
  <si>
    <t xml:space="preserve">Engy Ashraf Mohamed Fouad</t>
  </si>
  <si>
    <t xml:space="preserve">8155100510157138</t>
  </si>
  <si>
    <t xml:space="preserve">100078957</t>
  </si>
  <si>
    <t xml:space="preserve">Mustafa Mohamed Eid Mohamed</t>
  </si>
  <si>
    <t xml:space="preserve">8498330400465426</t>
  </si>
  <si>
    <t xml:space="preserve">8299610370449778</t>
  </si>
  <si>
    <t xml:space="preserve">100077687</t>
  </si>
  <si>
    <t xml:space="preserve">Omar Abdelrahman Khairy Mohammed</t>
  </si>
  <si>
    <t xml:space="preserve">8498380073525220</t>
  </si>
  <si>
    <t xml:space="preserve">3726439297989331716        3721682297987260092</t>
  </si>
  <si>
    <t xml:space="preserve">8535100900057519</t>
  </si>
  <si>
    <t xml:space="preserve">3729638297981432740 / 3721631297982360968</t>
  </si>
  <si>
    <t xml:space="preserve">8771400911595512</t>
  </si>
  <si>
    <t xml:space="preserve">can not get it</t>
  </si>
  <si>
    <t xml:space="preserve">8220100022010578</t>
  </si>
  <si>
    <t xml:space="preserve">1002328792172075</t>
  </si>
  <si>
    <t xml:space="preserve">8529101080032247</t>
  </si>
  <si>
    <t xml:space="preserve">1001376450722112</t>
  </si>
  <si>
    <t xml:space="preserve">8535100190548011</t>
  </si>
  <si>
    <t xml:space="preserve">1002523471152030</t>
  </si>
  <si>
    <t xml:space="preserve">8396300180585027</t>
  </si>
  <si>
    <t xml:space="preserve">111122222222222222222222</t>
  </si>
  <si>
    <t xml:space="preserve">8499052050200221</t>
  </si>
  <si>
    <t xml:space="preserve">1002158471382095</t>
  </si>
  <si>
    <t xml:space="preserve">1035805710</t>
  </si>
  <si>
    <t xml:space="preserve">3729683298028866354</t>
  </si>
  <si>
    <t xml:space="preserve">8771203033245010</t>
  </si>
  <si>
    <t xml:space="preserve">1002312043862056</t>
  </si>
  <si>
    <t xml:space="preserve">8396522033355080</t>
  </si>
  <si>
    <t xml:space="preserve">1001442565292043</t>
  </si>
  <si>
    <t xml:space="preserve">8773402180275451</t>
  </si>
  <si>
    <t xml:space="preserve">3731249298032466668</t>
  </si>
  <si>
    <t xml:space="preserve">8993115880124589</t>
  </si>
  <si>
    <t xml:space="preserve">1001888990652013</t>
  </si>
  <si>
    <t xml:space="preserve">8396500470011093</t>
  </si>
  <si>
    <t xml:space="preserve">8495441020211208</t>
  </si>
  <si>
    <t xml:space="preserve">*</t>
  </si>
  <si>
    <t xml:space="preserve">8529100790066511</t>
  </si>
  <si>
    <t xml:space="preserve">3731207298037294823</t>
  </si>
  <si>
    <t xml:space="preserve">8220204151930042</t>
  </si>
  <si>
    <t xml:space="preserve">8773103721362127</t>
  </si>
  <si>
    <t xml:space="preserve">1001971498722064</t>
  </si>
  <si>
    <t xml:space="preserve">8220144011516922</t>
  </si>
  <si>
    <t xml:space="preserve">1002329881322076</t>
  </si>
  <si>
    <t xml:space="preserve">8778104163524146</t>
  </si>
  <si>
    <t xml:space="preserve">1001442585212047</t>
  </si>
  <si>
    <t xml:space="preserve">8499100081801572</t>
  </si>
  <si>
    <t xml:space="preserve">1002158814582096</t>
  </si>
  <si>
    <t xml:space="preserve">8299400022264969</t>
  </si>
  <si>
    <t xml:space="preserve">1002158816682092</t>
  </si>
  <si>
    <t xml:space="preserve">8495741212567162</t>
  </si>
  <si>
    <t xml:space="preserve">3729654298045460400</t>
  </si>
  <si>
    <t xml:space="preserve">8299400190127311</t>
  </si>
  <si>
    <t xml:space="preserve">8155600281434616</t>
  </si>
  <si>
    <t xml:space="preserve">1002167971732022</t>
  </si>
  <si>
    <t xml:space="preserve">8773104001132339</t>
  </si>
  <si>
    <t xml:space="preserve">1001971519572068</t>
  </si>
  <si>
    <t xml:space="preserve">8777702330000659</t>
  </si>
  <si>
    <t xml:space="preserve">3731274298050408998</t>
  </si>
  <si>
    <t xml:space="preserve">8220186801154521</t>
  </si>
  <si>
    <t xml:space="preserve">1002329898002075</t>
  </si>
  <si>
    <t xml:space="preserve">8497202241571145</t>
  </si>
  <si>
    <t xml:space="preserve">/</t>
  </si>
  <si>
    <t xml:space="preserve">8773202550005805</t>
  </si>
  <si>
    <t xml:space="preserve">8220177090673743</t>
  </si>
  <si>
    <t xml:space="preserve">3726471298048117355</t>
  </si>
  <si>
    <t xml:space="preserve">8993111840336447</t>
  </si>
  <si>
    <t xml:space="preserve">1001889043232019</t>
  </si>
  <si>
    <t xml:space="preserve">8498350176457480</t>
  </si>
  <si>
    <t xml:space="preserve">3726415298050657612 &amp; 3729608297957210213</t>
  </si>
  <si>
    <t xml:space="preserve">8771300032637302</t>
  </si>
  <si>
    <t xml:space="preserve">3721638298052360010</t>
  </si>
  <si>
    <t xml:space="preserve">8993208930012142</t>
  </si>
  <si>
    <t xml:space="preserve">1001889049042016</t>
  </si>
  <si>
    <t xml:space="preserve">8396500240542179</t>
  </si>
  <si>
    <t xml:space="preserve">445</t>
  </si>
  <si>
    <t xml:space="preserve">8778101016564493</t>
  </si>
  <si>
    <t xml:space="preserve">3726437298054627269</t>
  </si>
  <si>
    <t xml:space="preserve">8771100880012651</t>
  </si>
  <si>
    <t xml:space="preserve">1002312113582055</t>
  </si>
  <si>
    <t xml:space="preserve">8535100500264531</t>
  </si>
  <si>
    <t xml:space="preserve">3726413298051802417</t>
  </si>
  <si>
    <t xml:space="preserve">8771401270120116</t>
  </si>
  <si>
    <t xml:space="preserve">8498300014378299</t>
  </si>
  <si>
    <t xml:space="preserve">3726454298057419246</t>
  </si>
  <si>
    <t xml:space="preserve">8529114230158820</t>
  </si>
  <si>
    <t xml:space="preserve">1001376522192112</t>
  </si>
  <si>
    <t xml:space="preserve">8529200862190643</t>
  </si>
  <si>
    <t xml:space="preserve">3726411298057603406</t>
  </si>
  <si>
    <t xml:space="preserve">8495440211656130</t>
  </si>
  <si>
    <t xml:space="preserve">8771101050012612</t>
  </si>
  <si>
    <t xml:space="preserve">1002312126332050</t>
  </si>
  <si>
    <t xml:space="preserve">8498300160726499</t>
  </si>
  <si>
    <t xml:space="preserve">8299400340333918</t>
  </si>
  <si>
    <t xml:space="preserve">3731248298063057734</t>
  </si>
  <si>
    <t xml:space="preserve">3721617298063887265</t>
  </si>
  <si>
    <t xml:space="preserve">8771201490253014</t>
  </si>
  <si>
    <t xml:space="preserve">37296452980603950361</t>
  </si>
  <si>
    <t xml:space="preserve">8495600250517895</t>
  </si>
  <si>
    <t xml:space="preserve">1002523604242039</t>
  </si>
  <si>
    <t xml:space="preserve">8771200980498972</t>
  </si>
  <si>
    <t xml:space="preserve">3721638298065892720</t>
  </si>
  <si>
    <t xml:space="preserve">8497202700024883</t>
  </si>
  <si>
    <t xml:space="preserve">1002329943102078</t>
  </si>
  <si>
    <t xml:space="preserve">8771100881375131</t>
  </si>
  <si>
    <t xml:space="preserve">1235531292077</t>
  </si>
  <si>
    <t xml:space="preserve">10007465</t>
  </si>
  <si>
    <t xml:space="preserve">UNMAPPED:10007465</t>
  </si>
  <si>
    <t xml:space="preserve">8396200132183923</t>
  </si>
  <si>
    <t xml:space="preserve">1001319245992103</t>
  </si>
  <si>
    <t xml:space="preserve">8773102690088192</t>
  </si>
  <si>
    <t xml:space="preserve">3731278298071901074</t>
  </si>
  <si>
    <t xml:space="preserve">8396400250281315</t>
  </si>
  <si>
    <t xml:space="preserve">1001319248532104</t>
  </si>
  <si>
    <t xml:space="preserve">10007685</t>
  </si>
  <si>
    <t xml:space="preserve">UNMAPPED:10007685</t>
  </si>
  <si>
    <t xml:space="preserve">8299400460903078</t>
  </si>
  <si>
    <t xml:space="preserve">1002159007932098</t>
  </si>
  <si>
    <t xml:space="preserve">8495751010846908</t>
  </si>
  <si>
    <t xml:space="preserve">1002523551982033</t>
  </si>
  <si>
    <t xml:space="preserve">1002523704002036</t>
  </si>
  <si>
    <t xml:space="preserve">8220116012771946</t>
  </si>
  <si>
    <t xml:space="preserve">1002330033322071</t>
  </si>
  <si>
    <t xml:space="preserve">8771200440590756</t>
  </si>
  <si>
    <t xml:space="preserve">111111111</t>
  </si>
  <si>
    <t xml:space="preserve">3731241298116776525</t>
  </si>
  <si>
    <t xml:space="preserve">8535100361672970</t>
  </si>
  <si>
    <t xml:space="preserve">1002523713782032</t>
  </si>
  <si>
    <t xml:space="preserve">8535100790023407</t>
  </si>
  <si>
    <t xml:space="preserve">1002523711652039</t>
  </si>
  <si>
    <t xml:space="preserve">8773400221780729</t>
  </si>
  <si>
    <t xml:space="preserve">nn</t>
  </si>
  <si>
    <t xml:space="preserve">8771402080274689</t>
  </si>
  <si>
    <t xml:space="preserve">3731253298121612481</t>
  </si>
  <si>
    <t xml:space="preserve">8772105100158969</t>
  </si>
  <si>
    <t xml:space="preserve">1001442667502042</t>
  </si>
  <si>
    <t xml:space="preserve">8499052030046538</t>
  </si>
  <si>
    <t xml:space="preserve">1002159057542094</t>
  </si>
  <si>
    <t xml:space="preserve">8155400560074617</t>
  </si>
  <si>
    <t xml:space="preserve">1002168115522022</t>
  </si>
  <si>
    <t xml:space="preserve">3731249298051739720</t>
  </si>
  <si>
    <t xml:space="preserve">8220122014950066</t>
  </si>
  <si>
    <t xml:space="preserve">3731223298127597165</t>
  </si>
  <si>
    <t xml:space="preserve">8499051561391578</t>
  </si>
  <si>
    <t xml:space="preserve">1002159075802090</t>
  </si>
  <si>
    <t xml:space="preserve">8529102070047211</t>
  </si>
  <si>
    <t xml:space="preserve">8299400433800898</t>
  </si>
  <si>
    <t xml:space="preserve">111123213123213</t>
  </si>
  <si>
    <t xml:space="preserve">8993210750045590</t>
  </si>
  <si>
    <t xml:space="preserve">3721640298131201917</t>
  </si>
  <si>
    <t xml:space="preserve">3726493298132519008</t>
  </si>
  <si>
    <t xml:space="preserve">8299200231269233</t>
  </si>
  <si>
    <t xml:space="preserve">8773400236068532</t>
  </si>
  <si>
    <t xml:space="preserve">3721676298132803908</t>
  </si>
  <si>
    <t xml:space="preserve">8773400150583284</t>
  </si>
  <si>
    <t xml:space="preserve">11123213213213123213</t>
  </si>
  <si>
    <t xml:space="preserve">8499053030044432</t>
  </si>
  <si>
    <t xml:space="preserve">3721639298129992519</t>
  </si>
  <si>
    <t xml:space="preserve">3729615298134881275</t>
  </si>
  <si>
    <t xml:space="preserve">8535114562122446</t>
  </si>
  <si>
    <t xml:space="preserve">1002523766752031</t>
  </si>
  <si>
    <t xml:space="preserve">8773201630235499</t>
  </si>
  <si>
    <t xml:space="preserve">1001971668582066</t>
  </si>
  <si>
    <t xml:space="preserve">8396512053349196</t>
  </si>
  <si>
    <t xml:space="preserve">3721615298134459736</t>
  </si>
  <si>
    <t xml:space="preserve">8495753106130346</t>
  </si>
  <si>
    <t xml:space="preserve">3726438298137527463</t>
  </si>
  <si>
    <t xml:space="preserve">8499100281222330</t>
  </si>
  <si>
    <t xml:space="preserve">8778103071629161</t>
  </si>
  <si>
    <t xml:space="preserve">1204026840436</t>
  </si>
  <si>
    <t xml:space="preserve">8155400331027092</t>
  </si>
  <si>
    <t xml:space="preserve">3726479298141327478</t>
  </si>
  <si>
    <t xml:space="preserve">8299700045110689</t>
  </si>
  <si>
    <t xml:space="preserve">1002159127462091</t>
  </si>
  <si>
    <t xml:space="preserve">8535114500489642</t>
  </si>
  <si>
    <t xml:space="preserve">8778101014300189</t>
  </si>
  <si>
    <t xml:space="preserve">1001442696602045</t>
  </si>
  <si>
    <t xml:space="preserve">8497404720113064</t>
  </si>
  <si>
    <t xml:space="preserve">1002330096062077</t>
  </si>
  <si>
    <t xml:space="preserve">8495600081882047</t>
  </si>
  <si>
    <t xml:space="preserve">1002523787702031</t>
  </si>
  <si>
    <t xml:space="preserve">8498390018310919</t>
  </si>
  <si>
    <t xml:space="preserve">1001083294662088</t>
  </si>
  <si>
    <t xml:space="preserve">8155200528483854</t>
  </si>
  <si>
    <t xml:space="preserve">1002168188772025</t>
  </si>
  <si>
    <t xml:space="preserve">8155400181583913</t>
  </si>
  <si>
    <t xml:space="preserve">3726403298148964572</t>
  </si>
  <si>
    <t xml:space="preserve">8155100525847061</t>
  </si>
  <si>
    <t xml:space="preserve">1002168195722021</t>
  </si>
  <si>
    <t xml:space="preserve">100077689</t>
  </si>
  <si>
    <t xml:space="preserve">Muhammad Maher Abdelmoaty Ahmed</t>
  </si>
  <si>
    <t xml:space="preserve">8771100780842868</t>
  </si>
  <si>
    <t xml:space="preserve">3721609298156632892</t>
  </si>
  <si>
    <t xml:space="preserve">8499050900421542</t>
  </si>
  <si>
    <t xml:space="preserve">8155600401425940</t>
  </si>
  <si>
    <t xml:space="preserve">3721607298159223033</t>
  </si>
  <si>
    <t xml:space="preserve">8773102421419427</t>
  </si>
  <si>
    <t xml:space="preserve">1001971681892062</t>
  </si>
  <si>
    <t xml:space="preserve">8495600060148899</t>
  </si>
  <si>
    <t xml:space="preserve">1002523895902036</t>
  </si>
  <si>
    <t xml:space="preserve">8529200570031998</t>
  </si>
  <si>
    <t xml:space="preserve">3726431298197645979</t>
  </si>
  <si>
    <t xml:space="preserve">8993111680038202</t>
  </si>
  <si>
    <t xml:space="preserve">1001889346492013</t>
  </si>
  <si>
    <t xml:space="preserve">8495752601155725</t>
  </si>
  <si>
    <t xml:space="preserve">1002523901842036</t>
  </si>
  <si>
    <t xml:space="preserve">8771201600786598</t>
  </si>
  <si>
    <t xml:space="preserve">1002312391452054</t>
  </si>
  <si>
    <t xml:space="preserve">8299200230332685</t>
  </si>
  <si>
    <t xml:space="preserve">1002159316992098</t>
  </si>
  <si>
    <t xml:space="preserve">8495752542919346</t>
  </si>
  <si>
    <t xml:space="preserve">1002523907022039</t>
  </si>
  <si>
    <t xml:space="preserve">8529100011157917</t>
  </si>
  <si>
    <t xml:space="preserve">1001376745652116</t>
  </si>
  <si>
    <t xml:space="preserve">8495741200357246</t>
  </si>
  <si>
    <t xml:space="preserve">8499102390147515</t>
  </si>
  <si>
    <t xml:space="preserve">1002159335072096</t>
  </si>
  <si>
    <t xml:space="preserve">8499050570008280</t>
  </si>
  <si>
    <t xml:space="preserve">1002159340182096</t>
  </si>
  <si>
    <t xml:space="preserve">8771401060001534</t>
  </si>
  <si>
    <t xml:space="preserve">1002312406782057</t>
  </si>
  <si>
    <t xml:space="preserve">8772105760040838</t>
  </si>
  <si>
    <t xml:space="preserve">1001442754112044</t>
  </si>
  <si>
    <t xml:space="preserve">8299600160658183</t>
  </si>
  <si>
    <t xml:space="preserve">3729671298204971191</t>
  </si>
  <si>
    <t xml:space="preserve">8535114260036252</t>
  </si>
  <si>
    <t xml:space="preserve">1002523938772032</t>
  </si>
  <si>
    <t xml:space="preserve">3729659298203001640</t>
  </si>
  <si>
    <t xml:space="preserve">UNMAPPED:3729659298203001640</t>
  </si>
  <si>
    <t xml:space="preserve">8773103141716407</t>
  </si>
  <si>
    <t xml:space="preserve">3731223298207724519</t>
  </si>
  <si>
    <t xml:space="preserve">1001971803672061</t>
  </si>
  <si>
    <t xml:space="preserve">8771201830043687</t>
  </si>
  <si>
    <t xml:space="preserve">8993210260266066</t>
  </si>
  <si>
    <t xml:space="preserve">1001889382332016</t>
  </si>
  <si>
    <t xml:space="preserve">1000719331</t>
  </si>
  <si>
    <t xml:space="preserve">UNMAPPED:1000719331</t>
  </si>
  <si>
    <t xml:space="preserve">8777701030156787</t>
  </si>
  <si>
    <t xml:space="preserve">1001889386922010</t>
  </si>
  <si>
    <t xml:space="preserve">8220160110965224</t>
  </si>
  <si>
    <t xml:space="preserve">1002330240382074</t>
  </si>
  <si>
    <t xml:space="preserve">8155600510011532</t>
  </si>
  <si>
    <t xml:space="preserve">1002168293752029</t>
  </si>
  <si>
    <t xml:space="preserve">8777703195920304</t>
  </si>
  <si>
    <t xml:space="preserve">1001889393892016</t>
  </si>
  <si>
    <t xml:space="preserve">8299400430705850</t>
  </si>
  <si>
    <t xml:space="preserve">8777702113347376</t>
  </si>
  <si>
    <t xml:space="preserve">3729680298208535904</t>
  </si>
  <si>
    <t xml:space="preserve">8499100225313591</t>
  </si>
  <si>
    <t xml:space="preserve">1002159397362096</t>
  </si>
  <si>
    <t xml:space="preserve">8771300312595279</t>
  </si>
  <si>
    <t xml:space="preserve">1002312442902057</t>
  </si>
  <si>
    <t xml:space="preserve">8771200980018069</t>
  </si>
  <si>
    <t xml:space="preserve">1002312444562057</t>
  </si>
  <si>
    <t xml:space="preserve">1002312443872051</t>
  </si>
  <si>
    <t xml:space="preserve">8771200010497184</t>
  </si>
  <si>
    <t xml:space="preserve">8771401810873703</t>
  </si>
  <si>
    <t xml:space="preserve">8773100150080451</t>
  </si>
  <si>
    <t xml:space="preserve">1001971849062061</t>
  </si>
  <si>
    <t xml:space="preserve">8498340040058671</t>
  </si>
  <si>
    <t xml:space="preserve">10007942</t>
  </si>
  <si>
    <t xml:space="preserve">UNMAPPED:10007942</t>
  </si>
  <si>
    <t xml:space="preserve">8495600031785795</t>
  </si>
  <si>
    <t xml:space="preserve">8773110180967346</t>
  </si>
  <si>
    <t xml:space="preserve">1001971860572063</t>
  </si>
  <si>
    <t xml:space="preserve">8771400330507379</t>
  </si>
  <si>
    <t xml:space="preserve">1002312466082059</t>
  </si>
  <si>
    <t xml:space="preserve">8155400331758738</t>
  </si>
  <si>
    <t xml:space="preserve">1002168327142023</t>
  </si>
  <si>
    <t xml:space="preserve">8220220700657571</t>
  </si>
  <si>
    <t xml:space="preserve">1002330278912073</t>
  </si>
  <si>
    <t xml:space="preserve">8299400311192434</t>
  </si>
  <si>
    <t xml:space="preserve">100215945223093</t>
  </si>
  <si>
    <t xml:space="preserve">100079226</t>
  </si>
  <si>
    <t xml:space="preserve">Youssef Mohamed Elsayed Metwally</t>
  </si>
  <si>
    <t xml:space="preserve">8773102901101776</t>
  </si>
  <si>
    <t xml:space="preserve">1001971871122064</t>
  </si>
  <si>
    <t xml:space="preserve">8529100762063744</t>
  </si>
  <si>
    <t xml:space="preserve">3731221298225883935</t>
  </si>
  <si>
    <t xml:space="preserve">8773100670011606</t>
  </si>
  <si>
    <t xml:space="preserve">1001971879452067</t>
  </si>
  <si>
    <t xml:space="preserve">8497606400049059</t>
  </si>
  <si>
    <t xml:space="preserve">10070319</t>
  </si>
  <si>
    <t xml:space="preserve">8155200380263758</t>
  </si>
  <si>
    <t xml:space="preserve">3729609298226291799</t>
  </si>
  <si>
    <t xml:space="preserve">8529113960005631</t>
  </si>
  <si>
    <t xml:space="preserve">1001376826772114</t>
  </si>
  <si>
    <t xml:space="preserve">8771103451928693</t>
  </si>
  <si>
    <t xml:space="preserve">1002312495262052</t>
  </si>
  <si>
    <t xml:space="preserve">100077693</t>
  </si>
  <si>
    <t xml:space="preserve">Asser Mohamed Mohamed Said Ahmed Ahmed</t>
  </si>
  <si>
    <t xml:space="preserve">8771103453451264</t>
  </si>
  <si>
    <t xml:space="preserve">1002312496012050</t>
  </si>
  <si>
    <t xml:space="preserve">8773402001105622</t>
  </si>
  <si>
    <t xml:space="preserve">1001971899772064</t>
  </si>
  <si>
    <t xml:space="preserve">8396511712613968</t>
  </si>
  <si>
    <t xml:space="preserve">1001319507042100</t>
  </si>
  <si>
    <t xml:space="preserve">8299400190158191</t>
  </si>
  <si>
    <t xml:space="preserve">1002159496682097</t>
  </si>
  <si>
    <t xml:space="preserve">8529101470686396</t>
  </si>
  <si>
    <t xml:space="preserve">3729621298232938400</t>
  </si>
  <si>
    <t xml:space="preserve">8499052820790824</t>
  </si>
  <si>
    <t xml:space="preserve">1002159517122099</t>
  </si>
  <si>
    <t xml:space="preserve">8396120020135522</t>
  </si>
  <si>
    <t xml:space="preserve">8396522033356906</t>
  </si>
  <si>
    <t xml:space="preserve">3731233298233881023</t>
  </si>
  <si>
    <t xml:space="preserve">1000713931</t>
  </si>
  <si>
    <t xml:space="preserve">UNMAPPED:1000713931</t>
  </si>
  <si>
    <t xml:space="preserve">8495753171459430</t>
  </si>
  <si>
    <t xml:space="preserve">1002524067692033</t>
  </si>
  <si>
    <t xml:space="preserve">8529200863922929</t>
  </si>
  <si>
    <t xml:space="preserve">1001376844962119</t>
  </si>
  <si>
    <t xml:space="preserve">8396522021460991</t>
  </si>
  <si>
    <t xml:space="preserve">3731287298240393474</t>
  </si>
  <si>
    <t xml:space="preserve">8778102253066390</t>
  </si>
  <si>
    <t xml:space="preserve">1001442823932042</t>
  </si>
  <si>
    <t xml:space="preserve">8220116012139003</t>
  </si>
  <si>
    <t xml:space="preserve">1002330350582075</t>
  </si>
  <si>
    <t xml:space="preserve">8155500320817328</t>
  </si>
  <si>
    <t xml:space="preserve">1002168415622027</t>
  </si>
  <si>
    <t xml:space="preserve">8498350060860039</t>
  </si>
  <si>
    <t xml:space="preserve">1001083422442080</t>
  </si>
  <si>
    <t xml:space="preserve">8220144200117599</t>
  </si>
  <si>
    <t xml:space="preserve">1002330356592078</t>
  </si>
  <si>
    <t xml:space="preserve">100079240</t>
  </si>
  <si>
    <t xml:space="preserve">Amr Sherif Reda Hassan</t>
  </si>
  <si>
    <t xml:space="preserve">8155100091186993</t>
  </si>
  <si>
    <t xml:space="preserve">1002168427572020</t>
  </si>
  <si>
    <t xml:space="preserve">8155400591398266</t>
  </si>
  <si>
    <t xml:space="preserve">b</t>
  </si>
  <si>
    <t xml:space="preserve">8771300221704871</t>
  </si>
  <si>
    <t xml:space="preserve">1002312639942056</t>
  </si>
  <si>
    <t xml:space="preserve">8495600622466433</t>
  </si>
  <si>
    <t xml:space="preserve">1002524208932033</t>
  </si>
  <si>
    <t xml:space="preserve">3729653298284919463</t>
  </si>
  <si>
    <t xml:space="preserve">8529200868832004</t>
  </si>
  <si>
    <t xml:space="preserve">100137695011211</t>
  </si>
  <si>
    <t xml:space="preserve">8535114852105572</t>
  </si>
  <si>
    <t xml:space="preserve">8535114561216306</t>
  </si>
  <si>
    <t xml:space="preserve">3729600235253852964</t>
  </si>
  <si>
    <t xml:space="preserve">8772106005919794</t>
  </si>
  <si>
    <t xml:space="preserve">1001442893752049</t>
  </si>
  <si>
    <t xml:space="preserve">8529100100357899</t>
  </si>
  <si>
    <t xml:space="preserve">1001376961192110</t>
  </si>
  <si>
    <t xml:space="preserve">8993113940202792</t>
  </si>
  <si>
    <t xml:space="preserve">1001889615102012</t>
  </si>
  <si>
    <t xml:space="preserve">8773105140510657</t>
  </si>
  <si>
    <t xml:space="preserve">1001972035222063</t>
  </si>
  <si>
    <t xml:space="preserve">8773202400504503</t>
  </si>
  <si>
    <t xml:space="preserve">1001972035472065</t>
  </si>
  <si>
    <t xml:space="preserve">8299400023948545</t>
  </si>
  <si>
    <t xml:space="preserve">1002159734262090</t>
  </si>
  <si>
    <t xml:space="preserve">8396410870012503</t>
  </si>
  <si>
    <t xml:space="preserve">8778102111413602</t>
  </si>
  <si>
    <t xml:space="preserve">1001442902602045</t>
  </si>
  <si>
    <t xml:space="preserve">8773102580135897</t>
  </si>
  <si>
    <t xml:space="preserve">1001972053652068</t>
  </si>
  <si>
    <t xml:space="preserve">8499052340183096</t>
  </si>
  <si>
    <t xml:space="preserve">3729678298297230384</t>
  </si>
  <si>
    <t xml:space="preserve">8771103470641608</t>
  </si>
  <si>
    <t xml:space="preserve">1002312676152056</t>
  </si>
  <si>
    <t xml:space="preserve">1002159766852099</t>
  </si>
  <si>
    <t xml:space="preserve">8771402041115336</t>
  </si>
  <si>
    <t xml:space="preserve">1002312676972057</t>
  </si>
  <si>
    <t xml:space="preserve">8220116030174538</t>
  </si>
  <si>
    <t xml:space="preserve">1002330497302073</t>
  </si>
  <si>
    <t xml:space="preserve">8993114700008767</t>
  </si>
  <si>
    <t xml:space="preserve">1001889640842012</t>
  </si>
  <si>
    <t xml:space="preserve">8777702133464300</t>
  </si>
  <si>
    <t xml:space="preserve">1001889642732013</t>
  </si>
  <si>
    <t xml:space="preserve">8497800843149333</t>
  </si>
  <si>
    <t xml:space="preserve">3731270298299251659</t>
  </si>
  <si>
    <t xml:space="preserve">8777703322974307</t>
  </si>
  <si>
    <t xml:space="preserve">1001889643922019</t>
  </si>
  <si>
    <t xml:space="preserve">1000777971</t>
  </si>
  <si>
    <t xml:space="preserve">UNMAPPED:1000777971</t>
  </si>
  <si>
    <t xml:space="preserve">8498300170514315</t>
  </si>
  <si>
    <t xml:space="preserve">1001083489942089</t>
  </si>
  <si>
    <t xml:space="preserve">CR277493879</t>
  </si>
  <si>
    <t xml:space="preserve">1002312687012059</t>
  </si>
  <si>
    <t xml:space="preserve">8499050600202713</t>
  </si>
  <si>
    <t xml:space="preserve">1002159785312091</t>
  </si>
  <si>
    <t xml:space="preserve">8773100680306863</t>
  </si>
  <si>
    <t xml:space="preserve">3726468298235959547</t>
  </si>
  <si>
    <t xml:space="preserve">8155600674772531</t>
  </si>
  <si>
    <t xml:space="preserve">1002168541452026</t>
  </si>
  <si>
    <t xml:space="preserve">8220204140006698</t>
  </si>
  <si>
    <t xml:space="preserve">1002330527712076</t>
  </si>
  <si>
    <t xml:space="preserve">8155100516920687</t>
  </si>
  <si>
    <t xml:space="preserve">1002168564792027</t>
  </si>
  <si>
    <t xml:space="preserve">8299610371695361</t>
  </si>
  <si>
    <t xml:space="preserve">1002140179972096</t>
  </si>
  <si>
    <t xml:space="preserve">8497950900490326</t>
  </si>
  <si>
    <t xml:space="preserve">198957107863</t>
  </si>
  <si>
    <t xml:space="preserve">8497101881228943</t>
  </si>
  <si>
    <t xml:space="preserve">1002330540862072</t>
  </si>
  <si>
    <t xml:space="preserve">8773101970358341</t>
  </si>
  <si>
    <t xml:space="preserve">1001972095552060</t>
  </si>
  <si>
    <t xml:space="preserve">8220220960243039</t>
  </si>
  <si>
    <t xml:space="preserve">8220204142124390</t>
  </si>
  <si>
    <t xml:space="preserve">1002330554122074</t>
  </si>
  <si>
    <t xml:space="preserve">8777702120079061</t>
  </si>
  <si>
    <t xml:space="preserve">1001889695342017</t>
  </si>
  <si>
    <t xml:space="preserve">1002159854022092</t>
  </si>
  <si>
    <t xml:space="preserve">8993111340268926</t>
  </si>
  <si>
    <t xml:space="preserve">3729667298313005314</t>
  </si>
  <si>
    <t xml:space="preserve">8772106120059955</t>
  </si>
  <si>
    <t xml:space="preserve">1001442936432047</t>
  </si>
  <si>
    <t xml:space="preserve">8778107015382241</t>
  </si>
  <si>
    <t xml:space="preserve">1001442937612043</t>
  </si>
  <si>
    <t xml:space="preserve">8155500140693255</t>
  </si>
  <si>
    <t xml:space="preserve">3731297298311477351</t>
  </si>
  <si>
    <t xml:space="preserve">100078330</t>
  </si>
  <si>
    <t xml:space="preserve">Youssef Osama Mohamed Abdelmneam</t>
  </si>
  <si>
    <t xml:space="preserve">8499052490498930</t>
  </si>
  <si>
    <t xml:space="preserve">3726402298311782638</t>
  </si>
  <si>
    <t xml:space="preserve">8773110210105297</t>
  </si>
  <si>
    <t xml:space="preserve">3726461298315316648</t>
  </si>
  <si>
    <t xml:space="preserve">8993115030037350</t>
  </si>
  <si>
    <t xml:space="preserve">Missed it</t>
  </si>
  <si>
    <t xml:space="preserve">8529200830285905</t>
  </si>
  <si>
    <t xml:space="preserve">3721678298316636468</t>
  </si>
  <si>
    <t xml:space="preserve">8993204050428333</t>
  </si>
  <si>
    <t xml:space="preserve">1001889717822012</t>
  </si>
  <si>
    <t xml:space="preserve">8299700051264008</t>
  </si>
  <si>
    <t xml:space="preserve">3731266298317308655</t>
  </si>
  <si>
    <t xml:space="preserve">100078347</t>
  </si>
  <si>
    <t xml:space="preserve">Ahmad Salah Mohammed Abdelhafiez Kahala</t>
  </si>
  <si>
    <t xml:space="preserve">8495753922441398</t>
  </si>
  <si>
    <t xml:space="preserve">1002524344672030</t>
  </si>
  <si>
    <t xml:space="preserve">8396900010323893</t>
  </si>
  <si>
    <t xml:space="preserve">100078329</t>
  </si>
  <si>
    <t xml:space="preserve">Ahmed Islam Hamed Elbanna</t>
  </si>
  <si>
    <t xml:space="preserve">8299600062881701</t>
  </si>
  <si>
    <t xml:space="preserve">1002159900562091</t>
  </si>
  <si>
    <t xml:space="preserve">100078343</t>
  </si>
  <si>
    <t xml:space="preserve">Abdelwahab Ibrahim Mohamed Fahmy Elshafaay</t>
  </si>
  <si>
    <t xml:space="preserve">8778104040467006</t>
  </si>
  <si>
    <t xml:space="preserve">1001442902702043</t>
  </si>
  <si>
    <t xml:space="preserve">8772105410520288</t>
  </si>
  <si>
    <t xml:space="preserve">100078341</t>
  </si>
  <si>
    <t xml:space="preserve">Youssef Sayed Ahmed Mahmoud Awadeen</t>
  </si>
  <si>
    <t xml:space="preserve">8396200120856613</t>
  </si>
  <si>
    <t xml:space="preserve">37312472983036454881</t>
  </si>
  <si>
    <t xml:space="preserve">373124729830364548821</t>
  </si>
  <si>
    <t xml:space="preserve">8155600451485273</t>
  </si>
  <si>
    <t xml:space="preserve">1002168386972021</t>
  </si>
  <si>
    <t xml:space="preserve">8299700044198529</t>
  </si>
  <si>
    <t xml:space="preserve">3721697298321213187</t>
  </si>
  <si>
    <t xml:space="preserve">8396522022585408</t>
  </si>
  <si>
    <t xml:space="preserve">1001319707042108</t>
  </si>
  <si>
    <t xml:space="preserve">8299700072270067</t>
  </si>
  <si>
    <t xml:space="preserve">3729638298324982830</t>
  </si>
  <si>
    <t xml:space="preserve">8535114591284324</t>
  </si>
  <si>
    <t xml:space="preserve">1002524399992036</t>
  </si>
  <si>
    <t xml:space="preserve">100078326</t>
  </si>
  <si>
    <t xml:space="preserve">Omar Ahmed Salah Eldin Mohamed Kamel</t>
  </si>
  <si>
    <t xml:space="preserve">8396120031134720</t>
  </si>
  <si>
    <t xml:space="preserve">1001319705362102</t>
  </si>
  <si>
    <t xml:space="preserve">8497404621232328</t>
  </si>
  <si>
    <t xml:space="preserve">3726473298327192568</t>
  </si>
  <si>
    <t xml:space="preserve">8497202490037954</t>
  </si>
  <si>
    <t xml:space="preserve">1002330609042079</t>
  </si>
  <si>
    <t xml:space="preserve">8498320018006191</t>
  </si>
  <si>
    <t xml:space="preserve">1001083550612082</t>
  </si>
  <si>
    <t xml:space="preserve">8155500330534293</t>
  </si>
  <si>
    <t xml:space="preserve">1002168666302022</t>
  </si>
  <si>
    <t xml:space="preserve">8497404485560053</t>
  </si>
  <si>
    <t xml:space="preserve">3731233298331486212</t>
  </si>
  <si>
    <t xml:space="preserve">8155600840570751</t>
  </si>
  <si>
    <t xml:space="preserve">1002168675982020</t>
  </si>
  <si>
    <t xml:space="preserve">8777703198833843</t>
  </si>
  <si>
    <t xml:space="preserve">1001889851832017</t>
  </si>
  <si>
    <t xml:space="preserve">8535100740051086</t>
  </si>
  <si>
    <t xml:space="preserve">1002524524722035</t>
  </si>
  <si>
    <t xml:space="preserve">8529201480182046</t>
  </si>
  <si>
    <t xml:space="preserve">1001377150982113</t>
  </si>
  <si>
    <t xml:space="preserve">8773402001527916</t>
  </si>
  <si>
    <t xml:space="preserve">1001972250222061</t>
  </si>
  <si>
    <t xml:space="preserve">8535100740429100</t>
  </si>
  <si>
    <t xml:space="preserve">100233072349207</t>
  </si>
  <si>
    <t xml:space="preserve">8299310040181188</t>
  </si>
  <si>
    <t xml:space="preserve">1002160112482094</t>
  </si>
  <si>
    <t xml:space="preserve">8495741401251412</t>
  </si>
  <si>
    <t xml:space="preserve">1002524532682031</t>
  </si>
  <si>
    <t xml:space="preserve">8495741213973773</t>
  </si>
  <si>
    <t xml:space="preserve">1002524536482032</t>
  </si>
  <si>
    <t xml:space="preserve">8396800200228508</t>
  </si>
  <si>
    <t xml:space="preserve">1001319795402107</t>
  </si>
  <si>
    <t xml:space="preserve">8220122013348882</t>
  </si>
  <si>
    <t xml:space="preserve">1002330733522079</t>
  </si>
  <si>
    <t xml:space="preserve">8771201220068104</t>
  </si>
  <si>
    <t xml:space="preserve">1002312901532056</t>
  </si>
  <si>
    <t xml:space="preserve">8498350066498594</t>
  </si>
  <si>
    <t xml:space="preserve">1001083598892084</t>
  </si>
  <si>
    <t xml:space="preserve">8771201240924914</t>
  </si>
  <si>
    <t xml:space="preserve">1002312909442050</t>
  </si>
  <si>
    <t xml:space="preserve">8396200080047179</t>
  </si>
  <si>
    <t xml:space="preserve">1001319807072104</t>
  </si>
  <si>
    <t xml:space="preserve">8535100361330454</t>
  </si>
  <si>
    <t xml:space="preserve">1002524569202034</t>
  </si>
  <si>
    <t xml:space="preserve">8771101200711477</t>
  </si>
  <si>
    <t xml:space="preserve">1002312923292051</t>
  </si>
  <si>
    <t xml:space="preserve">10077675</t>
  </si>
  <si>
    <t xml:space="preserve">8993205160018310</t>
  </si>
  <si>
    <t xml:space="preserve">3726444298383059993</t>
  </si>
  <si>
    <t xml:space="preserve">8773400130462955</t>
  </si>
  <si>
    <t xml:space="preserve">1001972289722065</t>
  </si>
  <si>
    <t xml:space="preserve">8771400910585423</t>
  </si>
  <si>
    <t xml:space="preserve">1002312928792055</t>
  </si>
  <si>
    <t xml:space="preserve">8497950920522306</t>
  </si>
  <si>
    <t xml:space="preserve">1002330758942079</t>
  </si>
  <si>
    <t xml:space="preserve">8773110960014152</t>
  </si>
  <si>
    <t xml:space="preserve">000000000</t>
  </si>
  <si>
    <t xml:space="preserve">8497505880241485</t>
  </si>
  <si>
    <t xml:space="preserve">1002330759292078</t>
  </si>
  <si>
    <t xml:space="preserve">8299420611047161</t>
  </si>
  <si>
    <t xml:space="preserve">3726495298385187508</t>
  </si>
  <si>
    <t xml:space="preserve">100078334</t>
  </si>
  <si>
    <t xml:space="preserve">Ahmed Sabry Mohamed Attia</t>
  </si>
  <si>
    <t xml:space="preserve">8299610264131573</t>
  </si>
  <si>
    <t xml:space="preserve">1002160189642091</t>
  </si>
  <si>
    <t xml:space="preserve">8396500750016044</t>
  </si>
  <si>
    <t xml:space="preserve">1001319820442102</t>
  </si>
  <si>
    <t xml:space="preserve">8529201000157254</t>
  </si>
  <si>
    <t xml:space="preserve">1001377194652110</t>
  </si>
  <si>
    <t xml:space="preserve">8778104042142888</t>
  </si>
  <si>
    <t xml:space="preserve">3729622298387159581</t>
  </si>
  <si>
    <t xml:space="preserve">8535100720198030</t>
  </si>
  <si>
    <t xml:space="preserve">3729655298386665702</t>
  </si>
  <si>
    <t xml:space="preserve">8396200010057058</t>
  </si>
  <si>
    <t xml:space="preserve">1001319828462102</t>
  </si>
  <si>
    <t xml:space="preserve">8155300261442321</t>
  </si>
  <si>
    <t xml:space="preserve">1002168803712026</t>
  </si>
  <si>
    <t xml:space="preserve">8299200061091699</t>
  </si>
  <si>
    <t xml:space="preserve">1002160230432096</t>
  </si>
  <si>
    <t xml:space="preserve">3721678298392135054</t>
  </si>
  <si>
    <t xml:space="preserve">8299410360669799</t>
  </si>
  <si>
    <t xml:space="preserve">1002160235932093</t>
  </si>
  <si>
    <t xml:space="preserve">8396600120467917</t>
  </si>
  <si>
    <t xml:space="preserve">3729655298393582445</t>
  </si>
  <si>
    <t xml:space="preserve">8529100771407144</t>
  </si>
  <si>
    <t xml:space="preserve">1001377215482115</t>
  </si>
  <si>
    <t xml:space="preserve">10075068</t>
  </si>
  <si>
    <t xml:space="preserve">8498390090018950</t>
  </si>
  <si>
    <t xml:space="preserve">1001083625652089</t>
  </si>
  <si>
    <t xml:space="preserve">8773301210278248</t>
  </si>
  <si>
    <t xml:space="preserve">1001972327472061</t>
  </si>
  <si>
    <t xml:space="preserve">8396120021287744</t>
  </si>
  <si>
    <t xml:space="preserve">1001319847322105</t>
  </si>
  <si>
    <t xml:space="preserve">8498350177205417</t>
  </si>
  <si>
    <t xml:space="preserve">1001083632322080</t>
  </si>
  <si>
    <t xml:space="preserve">8220122015928558</t>
  </si>
  <si>
    <t xml:space="preserve">3729667298397745044</t>
  </si>
  <si>
    <t xml:space="preserve">8535114562490603</t>
  </si>
  <si>
    <t xml:space="preserve">1002524652042032</t>
  </si>
  <si>
    <t xml:space="preserve">8772106140944459</t>
  </si>
  <si>
    <t xml:space="preserve">1001443061632047</t>
  </si>
  <si>
    <t xml:space="preserve">8535114250546054</t>
  </si>
  <si>
    <t xml:space="preserve">1002524654362032</t>
  </si>
  <si>
    <t xml:space="preserve">8777703311913167</t>
  </si>
  <si>
    <t xml:space="preserve">1001889965262010</t>
  </si>
  <si>
    <t xml:space="preserve">8778101016335324</t>
  </si>
  <si>
    <t xml:space="preserve">1001443067352046</t>
  </si>
  <si>
    <t xml:space="preserve">8529202710075547</t>
  </si>
  <si>
    <t xml:space="preserve">8535101070027191</t>
  </si>
  <si>
    <t xml:space="preserve">3726404298403728242</t>
  </si>
  <si>
    <t xml:space="preserve">8495741226967598</t>
  </si>
  <si>
    <t xml:space="preserve">3729675298404128532</t>
  </si>
  <si>
    <t xml:space="preserve">8993211290701049</t>
  </si>
  <si>
    <t xml:space="preserve">3726467298405143199</t>
  </si>
  <si>
    <t xml:space="preserve">8773102350721264</t>
  </si>
  <si>
    <t xml:space="preserve">3729653298402142868</t>
  </si>
  <si>
    <t xml:space="preserve">8777702300003915</t>
  </si>
  <si>
    <t xml:space="preserve">3729615298310069355</t>
  </si>
  <si>
    <t xml:space="preserve">8771200400001232</t>
  </si>
  <si>
    <t xml:space="preserve">3721638298406019252</t>
  </si>
  <si>
    <t xml:space="preserve">8155500510079069</t>
  </si>
  <si>
    <t xml:space="preserve">1002168871332020</t>
  </si>
  <si>
    <t xml:space="preserve">8495752543588868</t>
  </si>
  <si>
    <t xml:space="preserve">1002524386852037</t>
  </si>
  <si>
    <t xml:space="preserve">8772105640081267</t>
  </si>
  <si>
    <t xml:space="preserve">1001443084932044</t>
  </si>
  <si>
    <t xml:space="preserve">8529201800050865</t>
  </si>
  <si>
    <t xml:space="preserve">1001377260132112</t>
  </si>
  <si>
    <t xml:space="preserve">8529101840079900</t>
  </si>
  <si>
    <t xml:space="preserve">1001377264522110</t>
  </si>
  <si>
    <t xml:space="preserve">8155200522857814</t>
  </si>
  <si>
    <t xml:space="preserve">1002168893112020</t>
  </si>
  <si>
    <t xml:space="preserve">8155300440512275</t>
  </si>
  <si>
    <t xml:space="preserve">3721645298416773839</t>
  </si>
  <si>
    <t xml:space="preserve">8993204280286162</t>
  </si>
  <si>
    <t xml:space="preserve">1001890036462019</t>
  </si>
  <si>
    <t xml:space="preserve">8155200510554159</t>
  </si>
  <si>
    <t xml:space="preserve">1002168904652022</t>
  </si>
  <si>
    <t xml:space="preserve">8396511562619909</t>
  </si>
  <si>
    <t xml:space="preserve">3729682298421863600</t>
  </si>
  <si>
    <t xml:space="preserve">1000074627</t>
  </si>
  <si>
    <t xml:space="preserve">8772105530354352</t>
  </si>
  <si>
    <t xml:space="preserve">1001443097092042</t>
  </si>
  <si>
    <t xml:space="preserve">8529102200582251</t>
  </si>
  <si>
    <t xml:space="preserve">1001377272482117</t>
  </si>
  <si>
    <t xml:space="preserve">8773102160098424</t>
  </si>
  <si>
    <t xml:space="preserve">8993111280025013</t>
  </si>
  <si>
    <t xml:space="preserve">1001890151622017</t>
  </si>
  <si>
    <t xml:space="preserve">8773400150029031</t>
  </si>
  <si>
    <t xml:space="preserve">1001972499352067</t>
  </si>
  <si>
    <t xml:space="preserve">1001972497572062</t>
  </si>
  <si>
    <t xml:space="preserve">8155600830676907</t>
  </si>
  <si>
    <t xml:space="preserve">1002169015542029</t>
  </si>
  <si>
    <t xml:space="preserve">8499101070010258</t>
  </si>
  <si>
    <t xml:space="preserve">1002160593762097</t>
  </si>
  <si>
    <t xml:space="preserve">8535100080296640</t>
  </si>
  <si>
    <t xml:space="preserve">1002524868382044</t>
  </si>
  <si>
    <t xml:space="preserve">8396200220092549</t>
  </si>
  <si>
    <t xml:space="preserve">555555555</t>
  </si>
  <si>
    <t xml:space="preserve">8529200867754187</t>
  </si>
  <si>
    <t xml:space="preserve">3729699298466624268</t>
  </si>
  <si>
    <t xml:space="preserve">8778104202741461</t>
  </si>
  <si>
    <t xml:space="preserve">1001443155972044</t>
  </si>
  <si>
    <t xml:space="preserve">8771401160143368</t>
  </si>
  <si>
    <t xml:space="preserve">1002313167482051</t>
  </si>
  <si>
    <t xml:space="preserve">8773301320001464</t>
  </si>
  <si>
    <t xml:space="preserve">8773404011002229</t>
  </si>
  <si>
    <t xml:space="preserve">3731281298462363043</t>
  </si>
  <si>
    <t xml:space="preserve">8299600190091801</t>
  </si>
  <si>
    <t xml:space="preserve">3726449298470146231</t>
  </si>
  <si>
    <t xml:space="preserve">8396410720568068</t>
  </si>
  <si>
    <t xml:space="preserve">3721614298471251062</t>
  </si>
  <si>
    <t xml:space="preserve">8497900041429980</t>
  </si>
  <si>
    <t xml:space="preserve">3731246298469631214</t>
  </si>
  <si>
    <t xml:space="preserve">8495752500940870</t>
  </si>
  <si>
    <t xml:space="preserve">3731238298475444671</t>
  </si>
  <si>
    <t xml:space="preserve">8495752520253601</t>
  </si>
  <si>
    <t xml:space="preserve">8777702123248465</t>
  </si>
  <si>
    <t xml:space="preserve">8299600142896265</t>
  </si>
  <si>
    <t xml:space="preserve">1002160681592091</t>
  </si>
  <si>
    <t xml:space="preserve">8299420602982555</t>
  </si>
  <si>
    <t xml:space="preserve">1002160684312096</t>
  </si>
  <si>
    <t xml:space="preserve">8155500380018650</t>
  </si>
  <si>
    <t xml:space="preserve">1002169063952021</t>
  </si>
  <si>
    <t xml:space="preserve">8529200023578272</t>
  </si>
  <si>
    <t xml:space="preserve">1001377424552114</t>
  </si>
  <si>
    <t xml:space="preserve">8777702132769212</t>
  </si>
  <si>
    <t xml:space="preserve">1001890241172015</t>
  </si>
  <si>
    <t xml:space="preserve">8497606422008406</t>
  </si>
  <si>
    <t xml:space="preserve">1002331066522074</t>
  </si>
  <si>
    <t xml:space="preserve">8771402040823559</t>
  </si>
  <si>
    <t xml:space="preserve">1002313223942056</t>
  </si>
  <si>
    <t xml:space="preserve">8396511750600893</t>
  </si>
  <si>
    <t xml:space="preserve">8155300120365903</t>
  </si>
  <si>
    <t xml:space="preserve">1002169087112024</t>
  </si>
  <si>
    <t xml:space="preserve">8771400960519850</t>
  </si>
  <si>
    <t xml:space="preserve">1002313238582053</t>
  </si>
  <si>
    <t xml:space="preserve">8778101130676207</t>
  </si>
  <si>
    <t xml:space="preserve">1001443205012049</t>
  </si>
  <si>
    <t xml:space="preserve">8220116011639326</t>
  </si>
  <si>
    <t xml:space="preserve">1002331104122077</t>
  </si>
  <si>
    <t xml:space="preserve">8778102290845079</t>
  </si>
  <si>
    <t xml:space="preserve">1001443190842046</t>
  </si>
  <si>
    <t xml:space="preserve">3726403298493655338</t>
  </si>
  <si>
    <t xml:space="preserve">8495752520383390</t>
  </si>
  <si>
    <t xml:space="preserve">3729613298494061195</t>
  </si>
  <si>
    <t xml:space="preserve">100077672</t>
  </si>
  <si>
    <t xml:space="preserve">Marwan Ahmed Abd El-Mohsen Abd El Latif</t>
  </si>
  <si>
    <t xml:space="preserve">8771401590943130</t>
  </si>
  <si>
    <t xml:space="preserve">8499200010666672</t>
  </si>
  <si>
    <t xml:space="preserve">1002160783002098</t>
  </si>
  <si>
    <t xml:space="preserve">8993210440458443</t>
  </si>
  <si>
    <t xml:space="preserve">3726488298497620011</t>
  </si>
  <si>
    <t xml:space="preserve">8777703343057140</t>
  </si>
  <si>
    <t xml:space="preserve">3721657298495600700</t>
  </si>
  <si>
    <t xml:space="preserve">8495840020610709</t>
  </si>
  <si>
    <t xml:space="preserve">3721699298500743267</t>
  </si>
  <si>
    <t xml:space="preserve">8771100010181152</t>
  </si>
  <si>
    <t xml:space="preserve">1002313254212056</t>
  </si>
  <si>
    <t xml:space="preserve">8495741234078941</t>
  </si>
  <si>
    <t xml:space="preserve">1002525026682031</t>
  </si>
  <si>
    <t xml:space="preserve">8772105970496986</t>
  </si>
  <si>
    <t xml:space="preserve">1001443225732048</t>
  </si>
  <si>
    <t xml:space="preserve">8529100770940982</t>
  </si>
  <si>
    <t xml:space="preserve">1001377471622117</t>
  </si>
  <si>
    <t xml:space="preserve">100077673</t>
  </si>
  <si>
    <t xml:space="preserve">Jana Mohamed Ahmed Badawi Elsayed</t>
  </si>
  <si>
    <t xml:space="preserve">8771103450257227</t>
  </si>
  <si>
    <t xml:space="preserve">3731222298505552782</t>
  </si>
  <si>
    <t xml:space="preserve">8155600800608351</t>
  </si>
  <si>
    <t xml:space="preserve">1002169165572024</t>
  </si>
  <si>
    <t xml:space="preserve">8529102481247129</t>
  </si>
  <si>
    <t xml:space="preserve">1001377552792110</t>
  </si>
  <si>
    <t xml:space="preserve">8299700052215579</t>
  </si>
  <si>
    <t xml:space="preserve">1002160954182091</t>
  </si>
  <si>
    <t xml:space="preserve">8495600762333609</t>
  </si>
  <si>
    <t xml:space="preserve">1002525134492034</t>
  </si>
  <si>
    <t xml:space="preserve">8535101160078351</t>
  </si>
  <si>
    <t xml:space="preserve">3729614298544249269</t>
  </si>
  <si>
    <t xml:space="preserve">8771401290551266</t>
  </si>
  <si>
    <t xml:space="preserve">8396511490672475</t>
  </si>
  <si>
    <t xml:space="preserve">upgraded to plus</t>
  </si>
  <si>
    <t xml:space="preserve">8777705190034528</t>
  </si>
  <si>
    <t xml:space="preserve">1001890432382019</t>
  </si>
  <si>
    <t xml:space="preserve">8497101004410394</t>
  </si>
  <si>
    <t xml:space="preserve">1002331248442076</t>
  </si>
  <si>
    <t xml:space="preserve">8497202462144226</t>
  </si>
  <si>
    <t xml:space="preserve">4693953141316964352</t>
  </si>
  <si>
    <t xml:space="preserve">4720411789187212288</t>
  </si>
  <si>
    <t xml:space="preserve">100079972</t>
  </si>
  <si>
    <t xml:space="preserve">Adham Magdy Mohamed Mohamed Ali</t>
  </si>
  <si>
    <t xml:space="preserve">8535114841576784</t>
  </si>
  <si>
    <t xml:space="preserve">1002525174732034</t>
  </si>
  <si>
    <t xml:space="preserve">8499100216867142</t>
  </si>
  <si>
    <t xml:space="preserve">1002161016332096</t>
  </si>
  <si>
    <t xml:space="preserve">8499100531075785</t>
  </si>
  <si>
    <t xml:space="preserve">3721680298555551573</t>
  </si>
  <si>
    <t xml:space="preserve">8497950040681628</t>
  </si>
  <si>
    <t xml:space="preserve">1002331264202073</t>
  </si>
  <si>
    <t xml:space="preserve">8497101621528156</t>
  </si>
  <si>
    <t xml:space="preserve">3731258298556571671</t>
  </si>
  <si>
    <t xml:space="preserve">3721683298556117137</t>
  </si>
  <si>
    <t xml:space="preserve">8499050560155224</t>
  </si>
  <si>
    <t xml:space="preserve">3729625298554081948</t>
  </si>
  <si>
    <t xml:space="preserve">8771401200192847</t>
  </si>
  <si>
    <t xml:space="preserve">1002313411942058</t>
  </si>
  <si>
    <t xml:space="preserve">8772105020446189</t>
  </si>
  <si>
    <t xml:space="preserve">72105020446</t>
  </si>
  <si>
    <t xml:space="preserve">8771200180549756</t>
  </si>
  <si>
    <t xml:space="preserve">1002313417532051</t>
  </si>
  <si>
    <t xml:space="preserve">8535100361719789</t>
  </si>
  <si>
    <t xml:space="preserve">1002525198232037</t>
  </si>
  <si>
    <t xml:space="preserve">8529101950094962</t>
  </si>
  <si>
    <t xml:space="preserve">1001377601882110</t>
  </si>
  <si>
    <t xml:space="preserve">8495752621800920</t>
  </si>
  <si>
    <t xml:space="preserve">1002525202922037</t>
  </si>
  <si>
    <t xml:space="preserve">8771100780913156</t>
  </si>
  <si>
    <t xml:space="preserve">1002313442242056</t>
  </si>
  <si>
    <t xml:space="preserve">8299400024154580</t>
  </si>
  <si>
    <t xml:space="preserve">3726424298563751755</t>
  </si>
  <si>
    <t xml:space="preserve">8220122150863628</t>
  </si>
  <si>
    <t xml:space="preserve">1002331305332079</t>
  </si>
  <si>
    <t xml:space="preserve">8771100840704702</t>
  </si>
  <si>
    <t xml:space="preserve">1002313458982058</t>
  </si>
  <si>
    <t xml:space="preserve">1000765815</t>
  </si>
  <si>
    <t xml:space="preserve">UNMAPPED:1000765815</t>
  </si>
  <si>
    <t xml:space="preserve">8771400510028287</t>
  </si>
  <si>
    <t xml:space="preserve">3726452298566149774</t>
  </si>
  <si>
    <t xml:space="preserve">8993209130357931</t>
  </si>
  <si>
    <t xml:space="preserve">1001890513932013</t>
  </si>
  <si>
    <t xml:space="preserve">8771401240008862</t>
  </si>
  <si>
    <t xml:space="preserve">1002313459122050</t>
  </si>
  <si>
    <t xml:space="preserve">8771100721158911</t>
  </si>
  <si>
    <t xml:space="preserve">1002313470722052</t>
  </si>
  <si>
    <t xml:space="preserve">8497101621528776</t>
  </si>
  <si>
    <t xml:space="preserve">3726436298572635300</t>
  </si>
  <si>
    <t xml:space="preserve">8529201760155373</t>
  </si>
  <si>
    <t xml:space="preserve">1001377643742116</t>
  </si>
  <si>
    <t xml:space="preserve">8529101520150351</t>
  </si>
  <si>
    <t xml:space="preserve">3721695298572978288</t>
  </si>
  <si>
    <t xml:space="preserve">8220188953322872</t>
  </si>
  <si>
    <t xml:space="preserve">1002331335162074</t>
  </si>
  <si>
    <t xml:space="preserve">8535101040531819</t>
  </si>
  <si>
    <t xml:space="preserve">8771300312229069</t>
  </si>
  <si>
    <t xml:space="preserve">3726402298568927054</t>
  </si>
  <si>
    <t xml:space="preserve">8495600074868516</t>
  </si>
  <si>
    <t xml:space="preserve">1002525291422030</t>
  </si>
  <si>
    <t xml:space="preserve">8155500510970937</t>
  </si>
  <si>
    <t xml:space="preserve">1002169351022024</t>
  </si>
  <si>
    <t xml:space="preserve">8771100310776438</t>
  </si>
  <si>
    <t xml:space="preserve">1002313491612050</t>
  </si>
  <si>
    <t xml:space="preserve">8155500510929297</t>
  </si>
  <si>
    <t xml:space="preserve">1030359738</t>
  </si>
  <si>
    <t xml:space="preserve">8299420321274576</t>
  </si>
  <si>
    <t xml:space="preserve">645154854645</t>
  </si>
  <si>
    <t xml:space="preserve">8155400171377557</t>
  </si>
  <si>
    <t xml:space="preserve">1002169354562026</t>
  </si>
  <si>
    <t xml:space="preserve">8497900032224366</t>
  </si>
  <si>
    <t xml:space="preserve">3731242298579859067</t>
  </si>
  <si>
    <t xml:space="preserve">8529102041007328</t>
  </si>
  <si>
    <t xml:space="preserve">3726401298581310495</t>
  </si>
  <si>
    <t xml:space="preserve">8396511060081339</t>
  </si>
  <si>
    <t xml:space="preserve">3729650298581070260</t>
  </si>
  <si>
    <t xml:space="preserve">8497100280650913</t>
  </si>
  <si>
    <t xml:space="preserve">1002331356152079</t>
  </si>
  <si>
    <t xml:space="preserve">8497100280650913     1003931047</t>
  </si>
  <si>
    <t xml:space="preserve">3726484298580707777</t>
  </si>
  <si>
    <t xml:space="preserve">8155600690479145</t>
  </si>
  <si>
    <t xml:space="preserve">3726494298591670705</t>
  </si>
  <si>
    <t xml:space="preserve">8498320054153030</t>
  </si>
  <si>
    <t xml:space="preserve">3721650298586378652</t>
  </si>
  <si>
    <t xml:space="preserve">8498360101040657</t>
  </si>
  <si>
    <t xml:space="preserve">1001083936102089</t>
  </si>
  <si>
    <t xml:space="preserve">8771201730265810</t>
  </si>
  <si>
    <t xml:space="preserve">1002313612052053</t>
  </si>
  <si>
    <t xml:space="preserve">8773110310133165</t>
  </si>
  <si>
    <t xml:space="preserve">3726426298627145462</t>
  </si>
  <si>
    <t xml:space="preserve">8773101902881238</t>
  </si>
  <si>
    <t xml:space="preserve">1001972896582068</t>
  </si>
  <si>
    <t xml:space="preserve">8773100782453209</t>
  </si>
  <si>
    <t xml:space="preserve">8773102350266468</t>
  </si>
  <si>
    <t xml:space="preserve">1001972900312064</t>
  </si>
  <si>
    <t xml:space="preserve">8993112711533336</t>
  </si>
  <si>
    <t xml:space="preserve">1001890658752010</t>
  </si>
  <si>
    <t xml:space="preserve">8773110980219476</t>
  </si>
  <si>
    <t xml:space="preserve">3729680298634287310</t>
  </si>
  <si>
    <t xml:space="preserve">8299601080012337</t>
  </si>
  <si>
    <t xml:space="preserve">1002161369632092</t>
  </si>
  <si>
    <t xml:space="preserve">8155100093218752</t>
  </si>
  <si>
    <t xml:space="preserve">3729622298638297479</t>
  </si>
  <si>
    <t xml:space="preserve">8773100770316814</t>
  </si>
  <si>
    <t xml:space="preserve">1001972925062066</t>
  </si>
  <si>
    <t xml:space="preserve">8529113760014775</t>
  </si>
  <si>
    <t xml:space="preserve">1001377787372118</t>
  </si>
  <si>
    <t xml:space="preserve">8529101560155476</t>
  </si>
  <si>
    <t xml:space="preserve">3726439298645828794</t>
  </si>
  <si>
    <t xml:space="preserve">8499200072564229</t>
  </si>
  <si>
    <t xml:space="preserve">1002081945602098</t>
  </si>
  <si>
    <t xml:space="preserve">8396510830056233</t>
  </si>
  <si>
    <t xml:space="preserve">1001320360752108</t>
  </si>
  <si>
    <t xml:space="preserve">8396900080160043</t>
  </si>
  <si>
    <t xml:space="preserve">1001320362572108</t>
  </si>
  <si>
    <t xml:space="preserve">8220188932243876</t>
  </si>
  <si>
    <t xml:space="preserve">1002331519332071</t>
  </si>
  <si>
    <t xml:space="preserve">8777703212175700</t>
  </si>
  <si>
    <t xml:space="preserve">1001890709392014</t>
  </si>
  <si>
    <t xml:space="preserve">8155200020004620</t>
  </si>
  <si>
    <t xml:space="preserve">1002169509242029</t>
  </si>
  <si>
    <t xml:space="preserve">8499051600215861</t>
  </si>
  <si>
    <t xml:space="preserve">3731215298649220347</t>
  </si>
  <si>
    <t xml:space="preserve">3731211298649171115</t>
  </si>
  <si>
    <t xml:space="preserve">8777702020291121</t>
  </si>
  <si>
    <t xml:space="preserve">1201607121947</t>
  </si>
  <si>
    <t xml:space="preserve">8299610243957544</t>
  </si>
  <si>
    <t xml:space="preserve">1002161437002096</t>
  </si>
  <si>
    <t xml:space="preserve">8299600140725326</t>
  </si>
  <si>
    <t xml:space="preserve">3729654298647188805</t>
  </si>
  <si>
    <t xml:space="preserve">8771100940000555</t>
  </si>
  <si>
    <t xml:space="preserve">1002313672282053</t>
  </si>
  <si>
    <t xml:space="preserve">8495440015847679</t>
  </si>
  <si>
    <t xml:space="preserve">3729650298650902798</t>
  </si>
  <si>
    <t xml:space="preserve">8155400271782557</t>
  </si>
  <si>
    <t xml:space="preserve">3726499298651833541</t>
  </si>
  <si>
    <t xml:space="preserve">8498310091205091</t>
  </si>
  <si>
    <t xml:space="preserve">3721641298653337729</t>
  </si>
  <si>
    <t xml:space="preserve">8299420651956693</t>
  </si>
  <si>
    <t xml:space="preserve">3726410298653723968</t>
  </si>
  <si>
    <t xml:space="preserve">8777703152060300</t>
  </si>
  <si>
    <t xml:space="preserve">1231565271053</t>
  </si>
  <si>
    <t xml:space="preserve">8498310110317729</t>
  </si>
  <si>
    <t xml:space="preserve">1001083996102086</t>
  </si>
  <si>
    <t xml:space="preserve">3726410298655535829</t>
  </si>
  <si>
    <t xml:space="preserve">3721672298654963606</t>
  </si>
  <si>
    <t xml:space="preserve">3721693298654619677</t>
  </si>
  <si>
    <t xml:space="preserve">8499051120314202</t>
  </si>
  <si>
    <t xml:space="preserve">1002161459322091</t>
  </si>
  <si>
    <t xml:space="preserve">3726410298655535829 / 3721672298654963606 / 3721693298654619</t>
  </si>
  <si>
    <t xml:space="preserve">8495840012954685</t>
  </si>
  <si>
    <t xml:space="preserve">8396120130063523</t>
  </si>
  <si>
    <t xml:space="preserve">1001320384282108</t>
  </si>
  <si>
    <t xml:space="preserve">8220204142459366</t>
  </si>
  <si>
    <t xml:space="preserve">1002331555612071</t>
  </si>
  <si>
    <t xml:space="preserve">8993114670013698</t>
  </si>
  <si>
    <t xml:space="preserve">1001890746792010</t>
  </si>
  <si>
    <t xml:space="preserve">1002169556022027</t>
  </si>
  <si>
    <t xml:space="preserve">8155500010567910</t>
  </si>
  <si>
    <t xml:space="preserve">8777703212814332</t>
  </si>
  <si>
    <t xml:space="preserve">3729664298660491324</t>
  </si>
  <si>
    <t xml:space="preserve">8771201770550345</t>
  </si>
  <si>
    <t xml:space="preserve">3729619298646601116</t>
  </si>
  <si>
    <t xml:space="preserve">8498310211044511</t>
  </si>
  <si>
    <t xml:space="preserve">1001084011282085</t>
  </si>
  <si>
    <t xml:space="preserve">8155100515437477</t>
  </si>
  <si>
    <t xml:space="preserve">3729653298663189798</t>
  </si>
  <si>
    <t xml:space="preserve">8495741212555894</t>
  </si>
  <si>
    <t xml:space="preserve">1002525560752034</t>
  </si>
  <si>
    <t xml:space="preserve">10005068</t>
  </si>
  <si>
    <t xml:space="preserve">UNMAPPED:10005068</t>
  </si>
  <si>
    <t xml:space="preserve">3731259298668508881</t>
  </si>
  <si>
    <t xml:space="preserve">1002169580402021</t>
  </si>
  <si>
    <t xml:space="preserve">8529201030035694</t>
  </si>
  <si>
    <t xml:space="preserve">1001377840752116</t>
  </si>
  <si>
    <t xml:space="preserve">8498320010462095</t>
  </si>
  <si>
    <t xml:space="preserve">1001084019072082</t>
  </si>
  <si>
    <t xml:space="preserve">8299610420080680</t>
  </si>
  <si>
    <t xml:space="preserve">8777702113293505</t>
  </si>
  <si>
    <t xml:space="preserve">1001890774432018</t>
  </si>
  <si>
    <t xml:space="preserve">14 GSRS, chose 10GSRS Cuz i didn't find my option you should</t>
  </si>
  <si>
    <t xml:space="preserve">8529101700739981</t>
  </si>
  <si>
    <t xml:space="preserve">8778102250198485</t>
  </si>
  <si>
    <t xml:space="preserve">8777702113330695</t>
  </si>
  <si>
    <t xml:space="preserve">3721615298671267076</t>
  </si>
  <si>
    <t xml:space="preserve">8771103430101636</t>
  </si>
  <si>
    <t xml:space="preserve">1002313731932052</t>
  </si>
  <si>
    <t xml:space="preserve">8772105680019169</t>
  </si>
  <si>
    <t xml:space="preserve">1001443459272042</t>
  </si>
  <si>
    <t xml:space="preserve">8299200060314019</t>
  </si>
  <si>
    <t xml:space="preserve">1002161534382094</t>
  </si>
  <si>
    <t xml:space="preserve">8778103061174970</t>
  </si>
  <si>
    <t xml:space="preserve">1001443464022044</t>
  </si>
  <si>
    <t xml:space="preserve">8155400181566488</t>
  </si>
  <si>
    <t xml:space="preserve">531040483</t>
  </si>
  <si>
    <t xml:space="preserve">8220210501018909</t>
  </si>
  <si>
    <t xml:space="preserve">1002331694442075</t>
  </si>
  <si>
    <t xml:space="preserve">8773201610698005</t>
  </si>
  <si>
    <t xml:space="preserve">1001973058222063</t>
  </si>
  <si>
    <t xml:space="preserve">8497606540011571</t>
  </si>
  <si>
    <t xml:space="preserve">1002331700202075</t>
  </si>
  <si>
    <t xml:space="preserve">8497303267079938</t>
  </si>
  <si>
    <t xml:space="preserve">1002331709132075</t>
  </si>
  <si>
    <t xml:space="preserve">8396120060015584</t>
  </si>
  <si>
    <t xml:space="preserve">3726489298731861737</t>
  </si>
  <si>
    <t xml:space="preserve">8495751010842568</t>
  </si>
  <si>
    <t xml:space="preserve">1002525721482034</t>
  </si>
  <si>
    <t xml:space="preserve">8396410451019919</t>
  </si>
  <si>
    <t xml:space="preserve">8529200900324071</t>
  </si>
  <si>
    <t xml:space="preserve">3731257298734783561</t>
  </si>
  <si>
    <t xml:space="preserve">8396200030090295</t>
  </si>
  <si>
    <t xml:space="preserve">4739552134656678144</t>
  </si>
  <si>
    <t xml:space="preserve">8155100523832388</t>
  </si>
  <si>
    <t xml:space="preserve">3731296298739692086</t>
  </si>
  <si>
    <t xml:space="preserve">8771201430456735</t>
  </si>
  <si>
    <t xml:space="preserve">1002313874612057</t>
  </si>
  <si>
    <t xml:space="preserve">8220133038038309</t>
  </si>
  <si>
    <t xml:space="preserve">1002331743662079</t>
  </si>
  <si>
    <t xml:space="preserve">8499050620122149</t>
  </si>
  <si>
    <t xml:space="preserve">1002161754442099</t>
  </si>
  <si>
    <t xml:space="preserve">1002161758992099</t>
  </si>
  <si>
    <t xml:space="preserve">8773110260000349</t>
  </si>
  <si>
    <t xml:space="preserve">1001933081372061</t>
  </si>
  <si>
    <t xml:space="preserve">8771100560010348</t>
  </si>
  <si>
    <t xml:space="preserve">1205003593674</t>
  </si>
  <si>
    <t xml:space="preserve">8778107016555340</t>
  </si>
  <si>
    <t xml:space="preserve">3729612298741332582</t>
  </si>
  <si>
    <t xml:space="preserve">8155400110434618</t>
  </si>
  <si>
    <t xml:space="preserve">1002169746122026</t>
  </si>
  <si>
    <t xml:space="preserve">8771201490510256</t>
  </si>
  <si>
    <t xml:space="preserve">8155300130885809</t>
  </si>
  <si>
    <t xml:space="preserve">1002169748692026</t>
  </si>
  <si>
    <t xml:space="preserve">8498320054081868</t>
  </si>
  <si>
    <t xml:space="preserve">1001084095342086</t>
  </si>
  <si>
    <t xml:space="preserve">8495741910108293</t>
  </si>
  <si>
    <t xml:space="preserve">3721620298749524114</t>
  </si>
  <si>
    <t xml:space="preserve">8396500041933171</t>
  </si>
  <si>
    <t xml:space="preserve">8777702033628491</t>
  </si>
  <si>
    <t xml:space="preserve">3731217298748186612</t>
  </si>
  <si>
    <t xml:space="preserve">8773201581368307</t>
  </si>
  <si>
    <t xml:space="preserve">4722663639078983936</t>
  </si>
  <si>
    <t xml:space="preserve">8155500150216906</t>
  </si>
  <si>
    <t xml:space="preserve">3729611298750207524</t>
  </si>
  <si>
    <t xml:space="preserve">8396900170013169</t>
  </si>
  <si>
    <t xml:space="preserve">3729646298747168770</t>
  </si>
  <si>
    <t xml:space="preserve">8773500090187771</t>
  </si>
  <si>
    <t xml:space="preserve">1001973130532067</t>
  </si>
  <si>
    <t xml:space="preserve">8993212360365681</t>
  </si>
  <si>
    <t xml:space="preserve">1001890950542010</t>
  </si>
  <si>
    <t xml:space="preserve">8535100601887917</t>
  </si>
  <si>
    <t xml:space="preserve">3729610298756016862</t>
  </si>
  <si>
    <t xml:space="preserve">1036171638</t>
  </si>
  <si>
    <t xml:space="preserve">3726428298750520261</t>
  </si>
  <si>
    <t xml:space="preserve">8155100131276309</t>
  </si>
  <si>
    <t xml:space="preserve">3729623298759519279</t>
  </si>
  <si>
    <t xml:space="preserve">8220204161792168          8495744041085232</t>
  </si>
  <si>
    <t xml:space="preserve">8495600074784093</t>
  </si>
  <si>
    <t xml:space="preserve">3729606298578278705</t>
  </si>
  <si>
    <t xml:space="preserve">3726435298573964563</t>
  </si>
  <si>
    <t xml:space="preserve">8529100140005722</t>
  </si>
  <si>
    <t xml:space="preserve">3731295298760933177</t>
  </si>
  <si>
    <t xml:space="preserve">8772105390501480</t>
  </si>
  <si>
    <t xml:space="preserve">3729609298502001778</t>
  </si>
  <si>
    <t xml:space="preserve">8499053270431968</t>
  </si>
  <si>
    <t xml:space="preserve">1002161816432096</t>
  </si>
  <si>
    <t xml:space="preserve">8155100152250530</t>
  </si>
  <si>
    <t xml:space="preserve">1002169784572025</t>
  </si>
  <si>
    <t xml:space="preserve">1002169785242024</t>
  </si>
  <si>
    <t xml:space="preserve">8495753811906170</t>
  </si>
  <si>
    <t xml:space="preserve">1002525787802034</t>
  </si>
  <si>
    <t xml:space="preserve">8771300023073970</t>
  </si>
  <si>
    <t xml:space="preserve">1002313922352052</t>
  </si>
  <si>
    <t xml:space="preserve">8396200820000223</t>
  </si>
  <si>
    <t xml:space="preserve">1001320543272107</t>
  </si>
  <si>
    <t xml:space="preserve">8529202540108922</t>
  </si>
  <si>
    <t xml:space="preserve">1001378071002114</t>
  </si>
  <si>
    <t xml:space="preserve">8396120023354427</t>
  </si>
  <si>
    <t xml:space="preserve">1001320603372102</t>
  </si>
  <si>
    <t xml:space="preserve">8155600510816112</t>
  </si>
  <si>
    <t xml:space="preserve">1002169871742028</t>
  </si>
  <si>
    <t xml:space="preserve">8299420602295019</t>
  </si>
  <si>
    <t xml:space="preserve">1002161960042097</t>
  </si>
  <si>
    <t xml:space="preserve">8529113660904539</t>
  </si>
  <si>
    <t xml:space="preserve">1001378084892113</t>
  </si>
  <si>
    <t xml:space="preserve">8495741226553372</t>
  </si>
  <si>
    <t xml:space="preserve">1002525917192033</t>
  </si>
  <si>
    <t xml:space="preserve">8299410050204761</t>
  </si>
  <si>
    <t xml:space="preserve">1002162009732094</t>
  </si>
  <si>
    <t xml:space="preserve">8993113480264335</t>
  </si>
  <si>
    <t xml:space="preserve">1001891082122010</t>
  </si>
  <si>
    <t xml:space="preserve">8499102350209248</t>
  </si>
  <si>
    <t xml:space="preserve">3731215298815669027</t>
  </si>
  <si>
    <t xml:space="preserve">8396410610249225</t>
  </si>
  <si>
    <t xml:space="preserve">1001320634312101</t>
  </si>
  <si>
    <t xml:space="preserve">177980</t>
  </si>
  <si>
    <t xml:space="preserve">UNMAPPED:177980</t>
  </si>
  <si>
    <t xml:space="preserve">8299410011194390</t>
  </si>
  <si>
    <t xml:space="preserve">00000000000000</t>
  </si>
  <si>
    <t xml:space="preserve">8535100180468378</t>
  </si>
  <si>
    <t xml:space="preserve">1002525954582039</t>
  </si>
  <si>
    <t xml:space="preserve">8535114540606361</t>
  </si>
  <si>
    <t xml:space="preserve">3729653298819418784</t>
  </si>
  <si>
    <t xml:space="preserve">3731282298818863018</t>
  </si>
  <si>
    <t xml:space="preserve">8529101701045955</t>
  </si>
  <si>
    <t xml:space="preserve">1001378136402155</t>
  </si>
  <si>
    <t xml:space="preserve">8498340083813644</t>
  </si>
  <si>
    <t xml:space="preserve">1001084170372081</t>
  </si>
  <si>
    <t xml:space="preserve">8299400280380846</t>
  </si>
  <si>
    <t xml:space="preserve">1002162057512091</t>
  </si>
  <si>
    <t xml:space="preserve">8396910360218551</t>
  </si>
  <si>
    <t xml:space="preserve">1001320633952105</t>
  </si>
  <si>
    <t xml:space="preserve">8396900013126087</t>
  </si>
  <si>
    <t xml:space="preserve">8993114441945905</t>
  </si>
  <si>
    <t xml:space="preserve">1001891113782014</t>
  </si>
  <si>
    <t xml:space="preserve">8498310211115816</t>
  </si>
  <si>
    <t xml:space="preserve">1001084172352081</t>
  </si>
  <si>
    <t xml:space="preserve">8495753922083281</t>
  </si>
  <si>
    <t xml:space="preserve">1002525997852035</t>
  </si>
  <si>
    <t xml:space="preserve">8499053220922181</t>
  </si>
  <si>
    <t xml:space="preserve">1002162084652092</t>
  </si>
  <si>
    <t xml:space="preserve">8771300124586235</t>
  </si>
  <si>
    <t xml:space="preserve">3731282298826067335</t>
  </si>
  <si>
    <t xml:space="preserve">8396510820412800</t>
  </si>
  <si>
    <t xml:space="preserve">3726409298659816316 \\ 3721667298659281035</t>
  </si>
  <si>
    <t xml:space="preserve">8396410460119551</t>
  </si>
  <si>
    <t xml:space="preserve">1001320664032108</t>
  </si>
  <si>
    <t xml:space="preserve">100078961</t>
  </si>
  <si>
    <t xml:space="preserve">Amal Tarek Zakaria Ahmed</t>
  </si>
  <si>
    <t xml:space="preserve">8535100411112662</t>
  </si>
  <si>
    <t xml:space="preserve">3721639298827085285</t>
  </si>
  <si>
    <t xml:space="preserve">8396500034706048</t>
  </si>
  <si>
    <t xml:space="preserve">1001320667842107</t>
  </si>
  <si>
    <t xml:space="preserve">8299600580617868</t>
  </si>
  <si>
    <t xml:space="preserve">1002162103482091</t>
  </si>
  <si>
    <t xml:space="preserve">8299600144254588</t>
  </si>
  <si>
    <t xml:space="preserve">1002162103932095</t>
  </si>
  <si>
    <t xml:space="preserve">8396510990255928</t>
  </si>
  <si>
    <t xml:space="preserve">1001320671442199</t>
  </si>
  <si>
    <t xml:space="preserve">Ahmed Ali Mohamed</t>
  </si>
  <si>
    <t xml:space="preserve">1002331363762076</t>
  </si>
  <si>
    <t xml:space="preserve">8220188950233114</t>
  </si>
  <si>
    <t xml:space="preserve">1002331983702072</t>
  </si>
  <si>
    <t xml:space="preserve">8535100550791623</t>
  </si>
  <si>
    <t xml:space="preserve">1002526041792037</t>
  </si>
  <si>
    <t xml:space="preserve">8155600400018787</t>
  </si>
  <si>
    <t xml:space="preserve">1002167035932022</t>
  </si>
  <si>
    <t xml:space="preserve">8771200090002201</t>
  </si>
  <si>
    <t xml:space="preserve">1002314109072059</t>
  </si>
  <si>
    <t xml:space="preserve">100078951</t>
  </si>
  <si>
    <t xml:space="preserve">Ahmed Yehia Motawea Hewy</t>
  </si>
  <si>
    <t xml:space="preserve">8771200602844199</t>
  </si>
  <si>
    <t xml:space="preserve">3721696298835749724</t>
  </si>
  <si>
    <t xml:space="preserve">1000078951</t>
  </si>
  <si>
    <t xml:space="preserve">1002314104732053</t>
  </si>
  <si>
    <t xml:space="preserve">8299400472880405</t>
  </si>
  <si>
    <t xml:space="preserve">1002162157012091</t>
  </si>
  <si>
    <t xml:space="preserve">8155400271567339</t>
  </si>
  <si>
    <t xml:space="preserve">1002169977742021</t>
  </si>
  <si>
    <t xml:space="preserve">8529200250147908</t>
  </si>
  <si>
    <t xml:space="preserve">1001378186222110</t>
  </si>
  <si>
    <t xml:space="preserve">8777702104365957</t>
  </si>
  <si>
    <t xml:space="preserve">3729674298839488478</t>
  </si>
  <si>
    <t xml:space="preserve">8777702102176273</t>
  </si>
  <si>
    <t xml:space="preserve">3731269298836356291</t>
  </si>
  <si>
    <t xml:space="preserve">8497950572607207</t>
  </si>
  <si>
    <t xml:space="preserve">8155600531170523</t>
  </si>
  <si>
    <t xml:space="preserve">8498350113152566</t>
  </si>
  <si>
    <t xml:space="preserve">3721634298842386539</t>
  </si>
  <si>
    <t xml:space="preserve">8497303321762461</t>
  </si>
  <si>
    <t xml:space="preserve">1002332027472078</t>
  </si>
  <si>
    <t xml:space="preserve">8777702103507260</t>
  </si>
  <si>
    <t xml:space="preserve">1001891192862018</t>
  </si>
  <si>
    <t xml:space="preserve">100078955</t>
  </si>
  <si>
    <t xml:space="preserve">Mahmoud Ragab Abouelezz Marawan</t>
  </si>
  <si>
    <t xml:space="preserve">8497202881344282</t>
  </si>
  <si>
    <t xml:space="preserve">1002332027352072</t>
  </si>
  <si>
    <t xml:space="preserve">8498340084445933</t>
  </si>
  <si>
    <t xml:space="preserve">3729618298851196702</t>
  </si>
  <si>
    <t xml:space="preserve">8499053401226626</t>
  </si>
  <si>
    <t xml:space="preserve">1002162194612093</t>
  </si>
  <si>
    <t xml:space="preserve">1000789</t>
  </si>
  <si>
    <t xml:space="preserve">UNMAPPED:1000789</t>
  </si>
  <si>
    <t xml:space="preserve">8220133038181141</t>
  </si>
  <si>
    <t xml:space="preserve">3729662298843799976</t>
  </si>
  <si>
    <t xml:space="preserve">8529100780661610</t>
  </si>
  <si>
    <t xml:space="preserve">8777702032874252</t>
  </si>
  <si>
    <t xml:space="preserve">non</t>
  </si>
  <si>
    <t xml:space="preserve">100078944</t>
  </si>
  <si>
    <t xml:space="preserve">Hamza Sayed Mohammed Elsaghier</t>
  </si>
  <si>
    <t xml:space="preserve">8777705260136476</t>
  </si>
  <si>
    <t xml:space="preserve">3721628298849391783</t>
  </si>
  <si>
    <t xml:space="preserve">10078944</t>
  </si>
  <si>
    <t xml:space="preserve">8155400161234396</t>
  </si>
  <si>
    <t xml:space="preserve">3731232298844975974</t>
  </si>
  <si>
    <t xml:space="preserve">8498320052785320</t>
  </si>
  <si>
    <t xml:space="preserve">3731208298854862588</t>
  </si>
  <si>
    <t xml:space="preserve">8299610050390789</t>
  </si>
  <si>
    <t xml:space="preserve">1002162354922092</t>
  </si>
  <si>
    <t xml:space="preserve">3729654298884816606</t>
  </si>
  <si>
    <t xml:space="preserve">8771400920070663</t>
  </si>
  <si>
    <t xml:space="preserve">1002314228382058</t>
  </si>
  <si>
    <t xml:space="preserve">8155200528522289</t>
  </si>
  <si>
    <t xml:space="preserve">3729665298890136898</t>
  </si>
  <si>
    <t xml:space="preserve">8499102160095134</t>
  </si>
  <si>
    <t xml:space="preserve">1002162378382091</t>
  </si>
  <si>
    <t xml:space="preserve">8773102140019698</t>
  </si>
  <si>
    <t xml:space="preserve">1001973428962067</t>
  </si>
  <si>
    <t xml:space="preserve">8499050300443146</t>
  </si>
  <si>
    <t xml:space="preserve">3729658298890996004</t>
  </si>
  <si>
    <t xml:space="preserve">8155300330292517</t>
  </si>
  <si>
    <t xml:space="preserve">1002170117422029</t>
  </si>
  <si>
    <t xml:space="preserve">8396500041824800</t>
  </si>
  <si>
    <t xml:space="preserve">1001320799402101</t>
  </si>
  <si>
    <t xml:space="preserve">8777703196134814</t>
  </si>
  <si>
    <t xml:space="preserve">3729686298905758687</t>
  </si>
  <si>
    <t xml:space="preserve">8220210642469714</t>
  </si>
  <si>
    <t xml:space="preserve">3721619298908046700</t>
  </si>
  <si>
    <t xml:space="preserve">8777702130090603</t>
  </si>
  <si>
    <t xml:space="preserve">1001891347542010</t>
  </si>
  <si>
    <t xml:space="preserve">8773404134477571</t>
  </si>
  <si>
    <t xml:space="preserve">3731274298907885386</t>
  </si>
  <si>
    <t xml:space="preserve">8529201650346078</t>
  </si>
  <si>
    <t xml:space="preserve">1001378323852163</t>
  </si>
  <si>
    <t xml:space="preserve">8155600674834534</t>
  </si>
  <si>
    <t xml:space="preserve">1002170154032030</t>
  </si>
  <si>
    <t xml:space="preserve">8498340340046160</t>
  </si>
  <si>
    <t xml:space="preserve">1001084286412086</t>
  </si>
  <si>
    <t xml:space="preserve">8529114390228645</t>
  </si>
  <si>
    <t xml:space="preserve">3729640298913503413</t>
  </si>
  <si>
    <t xml:space="preserve">100078171</t>
  </si>
  <si>
    <t xml:space="preserve">Hazem Osama  Abdelghany Ahmed</t>
  </si>
  <si>
    <t xml:space="preserve">8299400331173620</t>
  </si>
  <si>
    <t xml:space="preserve">3731221298913896673</t>
  </si>
  <si>
    <t xml:space="preserve">8771201180006524</t>
  </si>
  <si>
    <t xml:space="preserve">3729605298913247219</t>
  </si>
  <si>
    <t xml:space="preserve">8495753832209711</t>
  </si>
  <si>
    <t xml:space="preserve">3726404298902957134</t>
  </si>
  <si>
    <t xml:space="preserve">100080064</t>
  </si>
  <si>
    <t xml:space="preserve">UNMAPPED:100080064</t>
  </si>
  <si>
    <t xml:space="preserve">8773103301647152</t>
  </si>
  <si>
    <t xml:space="preserve">1001973481192065</t>
  </si>
  <si>
    <t xml:space="preserve">8220133037354020</t>
  </si>
  <si>
    <t xml:space="preserve">1002526312322034</t>
  </si>
  <si>
    <t xml:space="preserve">1001443753192045</t>
  </si>
  <si>
    <t xml:space="preserve">8529102590008453</t>
  </si>
  <si>
    <t xml:space="preserve">1002170178882020</t>
  </si>
  <si>
    <t xml:space="preserve">8529200869258690</t>
  </si>
  <si>
    <t xml:space="preserve">3726432298918887910</t>
  </si>
  <si>
    <t xml:space="preserve">8499051941068441</t>
  </si>
  <si>
    <t xml:space="preserve">1002162514362098</t>
  </si>
  <si>
    <t xml:space="preserve">100078207</t>
  </si>
  <si>
    <t xml:space="preserve">Yosr Ali Abo Elmagd</t>
  </si>
  <si>
    <t xml:space="preserve">8155400331941284</t>
  </si>
  <si>
    <t xml:space="preserve">1002170192752027</t>
  </si>
  <si>
    <t xml:space="preserve">100078945</t>
  </si>
  <si>
    <t xml:space="preserve">Bishoy Mamdoh Fouad Maximus</t>
  </si>
  <si>
    <t xml:space="preserve">8535100431105365</t>
  </si>
  <si>
    <t xml:space="preserve">1002526334522034</t>
  </si>
  <si>
    <t xml:space="preserve">8535114201279110</t>
  </si>
  <si>
    <t xml:space="preserve">3729652298921376266</t>
  </si>
  <si>
    <t xml:space="preserve">100078172</t>
  </si>
  <si>
    <t xml:space="preserve">Nagham Hesham Yassin El Sayed</t>
  </si>
  <si>
    <t xml:space="preserve">8499051210080390</t>
  </si>
  <si>
    <t xml:space="preserve">4713656482913661440</t>
  </si>
  <si>
    <t xml:space="preserve">8773102120193901</t>
  </si>
  <si>
    <t xml:space="preserve">3721648298922591996</t>
  </si>
  <si>
    <t xml:space="preserve">1001973527312065</t>
  </si>
  <si>
    <t xml:space="preserve">8499100025402701</t>
  </si>
  <si>
    <t xml:space="preserve">3731226298923719276</t>
  </si>
  <si>
    <t xml:space="preserve">8777701821057780</t>
  </si>
  <si>
    <t xml:space="preserve">3726411298923932441</t>
  </si>
  <si>
    <t xml:space="preserve">8497303244801123</t>
  </si>
  <si>
    <t xml:space="preserve">1002332226872078</t>
  </si>
  <si>
    <t xml:space="preserve">100078615</t>
  </si>
  <si>
    <t xml:space="preserve">Amr Hassan Abdellatif Hassanin</t>
  </si>
  <si>
    <t xml:space="preserve">8497101603012674</t>
  </si>
  <si>
    <t xml:space="preserve">3731293298924334967</t>
  </si>
  <si>
    <t xml:space="preserve">8299700045080445</t>
  </si>
  <si>
    <t xml:space="preserve">\\\\\\\\\\\\\\</t>
  </si>
  <si>
    <t xml:space="preserve">8495743020397568</t>
  </si>
  <si>
    <t xml:space="preserve">3729638298925438721</t>
  </si>
  <si>
    <t xml:space="preserve">8155200430037012</t>
  </si>
  <si>
    <t xml:space="preserve">1002170220292020</t>
  </si>
  <si>
    <t xml:space="preserve">8993116230045573</t>
  </si>
  <si>
    <t xml:space="preserve">1001891420292012</t>
  </si>
  <si>
    <t xml:space="preserve">8535100090713467</t>
  </si>
  <si>
    <t xml:space="preserve">1002526365452036</t>
  </si>
  <si>
    <t xml:space="preserve">8771203291599165</t>
  </si>
  <si>
    <t xml:space="preserve">3731233298913059011</t>
  </si>
  <si>
    <t xml:space="preserve">8535100790298447</t>
  </si>
  <si>
    <t xml:space="preserve">3726456298929387173</t>
  </si>
  <si>
    <t xml:space="preserve">8155100524142381</t>
  </si>
  <si>
    <t xml:space="preserve">3729609298930043955</t>
  </si>
  <si>
    <t xml:space="preserve">8778105044952893</t>
  </si>
  <si>
    <t xml:space="preserve">8771201170138774</t>
  </si>
  <si>
    <t xml:space="preserve">3726484298928919331</t>
  </si>
  <si>
    <t xml:space="preserve">8498310021947044</t>
  </si>
  <si>
    <t xml:space="preserve">4721537786019451392</t>
  </si>
  <si>
    <t xml:space="preserve">8535100431221071</t>
  </si>
  <si>
    <t xml:space="preserve">1002526308332030</t>
  </si>
  <si>
    <t xml:space="preserve">8535115120747756</t>
  </si>
  <si>
    <t xml:space="preserve">3721655298822216846</t>
  </si>
  <si>
    <t xml:space="preserve">8396100860064685</t>
  </si>
  <si>
    <t xml:space="preserve">3726468298926971449</t>
  </si>
  <si>
    <t xml:space="preserve">8499052210114072</t>
  </si>
  <si>
    <t xml:space="preserve">1002162584512093</t>
  </si>
  <si>
    <t xml:space="preserve">8535114840768112</t>
  </si>
  <si>
    <t xml:space="preserve">1002526459642032</t>
  </si>
  <si>
    <t xml:space="preserve">8495752542321741</t>
  </si>
  <si>
    <t xml:space="preserve">1002526468772033</t>
  </si>
  <si>
    <t xml:space="preserve">8299400023714178</t>
  </si>
  <si>
    <t xml:space="preserve">1002162743942090</t>
  </si>
  <si>
    <t xml:space="preserve">8396522022729121</t>
  </si>
  <si>
    <t xml:space="preserve">1001320937952108</t>
  </si>
  <si>
    <t xml:space="preserve">8220202200500782</t>
  </si>
  <si>
    <t xml:space="preserve">3729638298980089455</t>
  </si>
  <si>
    <t xml:space="preserve">8155300242276848</t>
  </si>
  <si>
    <t xml:space="preserve">8773102210119394</t>
  </si>
  <si>
    <t xml:space="preserve">123456789456123</t>
  </si>
  <si>
    <t xml:space="preserve">8499051140376983</t>
  </si>
  <si>
    <t xml:space="preserve">3721617298984574578</t>
  </si>
  <si>
    <t xml:space="preserve">8499052380522997</t>
  </si>
  <si>
    <t xml:space="preserve">3721627298981968418</t>
  </si>
  <si>
    <t xml:space="preserve">4722663699724115968</t>
  </si>
  <si>
    <t xml:space="preserve">8498310192028806</t>
  </si>
  <si>
    <t xml:space="preserve">1001084369582086</t>
  </si>
  <si>
    <t xml:space="preserve">8993205080011213</t>
  </si>
  <si>
    <t xml:space="preserve">1001891552702010</t>
  </si>
  <si>
    <t xml:space="preserve">8772106810694830</t>
  </si>
  <si>
    <t xml:space="preserve">3731296298985511424</t>
  </si>
  <si>
    <t xml:space="preserve">3729614298986427613</t>
  </si>
  <si>
    <t xml:space="preserve">8993115780046924</t>
  </si>
  <si>
    <t xml:space="preserve">1001891553962019</t>
  </si>
  <si>
    <t xml:space="preserve">8497800842608933</t>
  </si>
  <si>
    <t xml:space="preserve">100233235998274</t>
  </si>
  <si>
    <t xml:space="preserve">8778102253215742</t>
  </si>
  <si>
    <t xml:space="preserve">1001443845802056</t>
  </si>
  <si>
    <t xml:space="preserve">8773600020248097</t>
  </si>
  <si>
    <t xml:space="preserve">1001973660582060</t>
  </si>
  <si>
    <t xml:space="preserve">8396600120585395</t>
  </si>
  <si>
    <t xml:space="preserve">1001320962202106</t>
  </si>
  <si>
    <t xml:space="preserve">10080071</t>
  </si>
  <si>
    <t xml:space="preserve">UNMAPPED:10080071</t>
  </si>
  <si>
    <t xml:space="preserve">8993115780043228</t>
  </si>
  <si>
    <t xml:space="preserve">1001891566882014</t>
  </si>
  <si>
    <t xml:space="preserve">8495600075185563</t>
  </si>
  <si>
    <t xml:space="preserve">1002526531202034</t>
  </si>
  <si>
    <t xml:space="preserve">8771300122935921</t>
  </si>
  <si>
    <t xml:space="preserve">1002314492992053</t>
  </si>
  <si>
    <t xml:space="preserve">8497303240107319</t>
  </si>
  <si>
    <t xml:space="preserve">1002332375232074</t>
  </si>
  <si>
    <t xml:space="preserve">8771103470219546</t>
  </si>
  <si>
    <t xml:space="preserve">1002314497502055</t>
  </si>
  <si>
    <t xml:space="preserve">8529102023447344</t>
  </si>
  <si>
    <t xml:space="preserve">10075069</t>
  </si>
  <si>
    <t xml:space="preserve">8529102070443360</t>
  </si>
  <si>
    <t xml:space="preserve">8497900012832485</t>
  </si>
  <si>
    <t xml:space="preserve">1002332381862070</t>
  </si>
  <si>
    <t xml:space="preserve">8220122150880846</t>
  </si>
  <si>
    <t xml:space="preserve">1002332383702076</t>
  </si>
  <si>
    <t xml:space="preserve">8535100590581059</t>
  </si>
  <si>
    <t xml:space="preserve">1002526548052034</t>
  </si>
  <si>
    <t xml:space="preserve">8529101330258105</t>
  </si>
  <si>
    <t xml:space="preserve">1001378497302114</t>
  </si>
  <si>
    <t xml:space="preserve">8499052910151580</t>
  </si>
  <si>
    <t xml:space="preserve">1002162833182094</t>
  </si>
  <si>
    <t xml:space="preserve">8499102160500653</t>
  </si>
  <si>
    <t xml:space="preserve">1002162815062090</t>
  </si>
  <si>
    <t xml:space="preserve">8497101420488065</t>
  </si>
  <si>
    <t xml:space="preserve">1002332391922070</t>
  </si>
  <si>
    <t xml:space="preserve">8299420621587412</t>
  </si>
  <si>
    <t xml:space="preserve">4720974852893347840</t>
  </si>
  <si>
    <t xml:space="preserve">8396100560043112</t>
  </si>
  <si>
    <t xml:space="preserve">10078344</t>
  </si>
  <si>
    <t xml:space="preserve">8771400901981078</t>
  </si>
  <si>
    <t xml:space="preserve">8499050420548782</t>
  </si>
  <si>
    <t xml:space="preserve">1002162830932095</t>
  </si>
  <si>
    <t xml:space="preserve">8155200517078913</t>
  </si>
  <si>
    <t xml:space="preserve">1002170378802026</t>
  </si>
  <si>
    <t xml:space="preserve">8529113982044527</t>
  </si>
  <si>
    <t xml:space="preserve">1001378507882113</t>
  </si>
  <si>
    <t xml:space="preserve">8499100227129003</t>
  </si>
  <si>
    <t xml:space="preserve">100078164</t>
  </si>
  <si>
    <t xml:space="preserve">Hager Fathi Mohamed El Babli</t>
  </si>
  <si>
    <t xml:space="preserve">8499102160199811</t>
  </si>
  <si>
    <t xml:space="preserve">8499051640761122</t>
  </si>
  <si>
    <t xml:space="preserve">1002162852242092</t>
  </si>
  <si>
    <t xml:space="preserve">8771300023267283</t>
  </si>
  <si>
    <t xml:space="preserve">1002314522072058</t>
  </si>
  <si>
    <t xml:space="preserve">8155600743222385</t>
  </si>
  <si>
    <t xml:space="preserve">1002170384202021</t>
  </si>
  <si>
    <t xml:space="preserve">8993111670254744</t>
  </si>
  <si>
    <t xml:space="preserve">1001891597452019</t>
  </si>
  <si>
    <t xml:space="preserve">8529101981957385</t>
  </si>
  <si>
    <t xml:space="preserve">1001378512452118</t>
  </si>
  <si>
    <t xml:space="preserve">8220144011465955</t>
  </si>
  <si>
    <t xml:space="preserve">100078930</t>
  </si>
  <si>
    <t xml:space="preserve">Shahd Yasser Mohamed Mohamed</t>
  </si>
  <si>
    <t xml:space="preserve">8155100270035623</t>
  </si>
  <si>
    <t xml:space="preserve">3731257299000506543</t>
  </si>
  <si>
    <t xml:space="preserve">100078925</t>
  </si>
  <si>
    <t xml:space="preserve">Veronica Wafik William Israel</t>
  </si>
  <si>
    <t xml:space="preserve">8495600082231699</t>
  </si>
  <si>
    <t xml:space="preserve">3729683298985055170</t>
  </si>
  <si>
    <t xml:space="preserve">8772105908038397</t>
  </si>
  <si>
    <t xml:space="preserve">1001443868972042</t>
  </si>
  <si>
    <t xml:space="preserve">1000965891</t>
  </si>
  <si>
    <t xml:space="preserve">1002314528902050</t>
  </si>
  <si>
    <t xml:space="preserve">8495840020021691</t>
  </si>
  <si>
    <t xml:space="preserve">4722100754078814720</t>
  </si>
  <si>
    <t xml:space="preserve">8155300011325818</t>
  </si>
  <si>
    <t xml:space="preserve">10008262</t>
  </si>
  <si>
    <t xml:space="preserve">UNMAPPED:10008262</t>
  </si>
  <si>
    <t xml:space="preserve">8771300523073777</t>
  </si>
  <si>
    <t xml:space="preserve">1002314490442051</t>
  </si>
  <si>
    <t xml:space="preserve">100050828</t>
  </si>
  <si>
    <t xml:space="preserve">UNMAPPED:100050828</t>
  </si>
  <si>
    <t xml:space="preserve">8396300013773147</t>
  </si>
  <si>
    <t xml:space="preserve">1001320990342106</t>
  </si>
  <si>
    <t xml:space="preserve">8535100070604843</t>
  </si>
  <si>
    <t xml:space="preserve">8499100025600619</t>
  </si>
  <si>
    <t xml:space="preserve">100080260</t>
  </si>
  <si>
    <t xml:space="preserve">UNMAPPED:100080260</t>
  </si>
  <si>
    <t xml:space="preserve">8155200527659942</t>
  </si>
  <si>
    <t xml:space="preserve">1002170348632024</t>
  </si>
  <si>
    <t xml:space="preserve">8773103940144116</t>
  </si>
  <si>
    <t xml:space="preserve">1001973715062068</t>
  </si>
  <si>
    <t xml:space="preserve">8535101370643408</t>
  </si>
  <si>
    <t xml:space="preserve">1002526589482033</t>
  </si>
  <si>
    <t xml:space="preserve">8220220720151241</t>
  </si>
  <si>
    <t xml:space="preserve">1002332420752076</t>
  </si>
  <si>
    <t xml:space="preserve">100075056</t>
  </si>
  <si>
    <t xml:space="preserve">Omar Tawfik</t>
  </si>
  <si>
    <t xml:space="preserve">8535114090171840</t>
  </si>
  <si>
    <t xml:space="preserve">1002526592062038</t>
  </si>
  <si>
    <t xml:space="preserve">8155400631291927</t>
  </si>
  <si>
    <t xml:space="preserve">359426265331060</t>
  </si>
  <si>
    <t xml:space="preserve">8495600762335778</t>
  </si>
  <si>
    <t xml:space="preserve">3729661299004586239</t>
  </si>
  <si>
    <t xml:space="preserve">1002526570972034</t>
  </si>
  <si>
    <t xml:space="preserve">100080255</t>
  </si>
  <si>
    <t xml:space="preserve">UNMAPPED:100080255</t>
  </si>
  <si>
    <t xml:space="preserve">8771300312250958</t>
  </si>
  <si>
    <t xml:space="preserve">1002314538512055</t>
  </si>
  <si>
    <t xml:space="preserve">8499052280879224</t>
  </si>
  <si>
    <t xml:space="preserve">3729658299004119533</t>
  </si>
  <si>
    <t xml:space="preserve">8155100513869168</t>
  </si>
  <si>
    <t xml:space="preserve">1002170410212028</t>
  </si>
  <si>
    <t xml:space="preserve">8155500370018165</t>
  </si>
  <si>
    <t xml:space="preserve">3729681299005511377</t>
  </si>
  <si>
    <t xml:space="preserve">8529101230148307</t>
  </si>
  <si>
    <t xml:space="preserve">1001378552812114</t>
  </si>
  <si>
    <t xml:space="preserve">8495840011021536</t>
  </si>
  <si>
    <t xml:space="preserve">8495600830444073</t>
  </si>
  <si>
    <t xml:space="preserve">1002526641352034</t>
  </si>
  <si>
    <t xml:space="preserve">8497404621201778</t>
  </si>
  <si>
    <t xml:space="preserve">3729601299010991801</t>
  </si>
  <si>
    <t xml:space="preserve">8220202800114745</t>
  </si>
  <si>
    <t xml:space="preserve">1002332461592076</t>
  </si>
  <si>
    <t xml:space="preserve">8773102930172392</t>
  </si>
  <si>
    <t xml:space="preserve">1001973741102060</t>
  </si>
  <si>
    <t xml:space="preserve">8495600762215335</t>
  </si>
  <si>
    <t xml:space="preserve">1002526651312035</t>
  </si>
  <si>
    <t xml:space="preserve">8535106050024142</t>
  </si>
  <si>
    <t xml:space="preserve">1002526652402033</t>
  </si>
  <si>
    <t xml:space="preserve">100077681</t>
  </si>
  <si>
    <t xml:space="preserve">Omar Shreif Mohammed Nabil Shafik</t>
  </si>
  <si>
    <t xml:space="preserve">8777705110774492</t>
  </si>
  <si>
    <t xml:space="preserve">1001891649722013</t>
  </si>
  <si>
    <t xml:space="preserve">8499050100134333</t>
  </si>
  <si>
    <t xml:space="preserve">1002162933822094</t>
  </si>
  <si>
    <t xml:space="preserve">8497950931341696</t>
  </si>
  <si>
    <t xml:space="preserve">1002332464132078</t>
  </si>
  <si>
    <t xml:space="preserve">4740678105594324736</t>
  </si>
  <si>
    <t xml:space="preserve">8773102170980348</t>
  </si>
  <si>
    <t xml:space="preserve">1001973747982069</t>
  </si>
  <si>
    <t xml:space="preserve">3731288299014713630</t>
  </si>
  <si>
    <t xml:space="preserve">8497950572691953</t>
  </si>
  <si>
    <t xml:space="preserve">1002332474542076</t>
  </si>
  <si>
    <t xml:space="preserve">8535101220183233</t>
  </si>
  <si>
    <t xml:space="preserve">3729641299013073725</t>
  </si>
  <si>
    <t xml:space="preserve">8396522033247485</t>
  </si>
  <si>
    <t xml:space="preserve">1001321041382109</t>
  </si>
  <si>
    <t xml:space="preserve">8771400901664450</t>
  </si>
  <si>
    <t xml:space="preserve">3729692299016382052</t>
  </si>
  <si>
    <t xml:space="preserve">8777702081709318</t>
  </si>
  <si>
    <t xml:space="preserve">1001891658522015</t>
  </si>
  <si>
    <t xml:space="preserve">8529100890452983</t>
  </si>
  <si>
    <t xml:space="preserve">3731205299019039141</t>
  </si>
  <si>
    <t xml:space="preserve">8498320013555804 | 1036256279</t>
  </si>
  <si>
    <t xml:space="preserve">3729677299018480207</t>
  </si>
  <si>
    <t xml:space="preserve">100078956</t>
  </si>
  <si>
    <t xml:space="preserve">Aya Osama Ahmed Mohamed</t>
  </si>
  <si>
    <t xml:space="preserve">8498340340905738</t>
  </si>
  <si>
    <t xml:space="preserve">3729648299018561906</t>
  </si>
  <si>
    <t xml:space="preserve">1001083988042084</t>
  </si>
  <si>
    <t xml:space="preserve">8535100282126833</t>
  </si>
  <si>
    <t xml:space="preserve">3729678299019773595</t>
  </si>
  <si>
    <t xml:space="preserve">10078341</t>
  </si>
  <si>
    <t xml:space="preserve">8396800080165549</t>
  </si>
  <si>
    <t xml:space="preserve">1009950919</t>
  </si>
  <si>
    <t xml:space="preserve">8499100280276162</t>
  </si>
  <si>
    <t xml:space="preserve">3729611299017537764</t>
  </si>
  <si>
    <t xml:space="preserve">3731279299021379305</t>
  </si>
  <si>
    <t xml:space="preserve">8777703195808400</t>
  </si>
  <si>
    <t xml:space="preserve">1001891666132013</t>
  </si>
  <si>
    <t xml:space="preserve">3731244298929699097</t>
  </si>
  <si>
    <t xml:space="preserve">8535100211437582</t>
  </si>
  <si>
    <t xml:space="preserve">3731248299022117581</t>
  </si>
  <si>
    <t xml:space="preserve">8773100130038074</t>
  </si>
  <si>
    <t xml:space="preserve">1001973749432063</t>
  </si>
  <si>
    <t xml:space="preserve">8498310021276741</t>
  </si>
  <si>
    <t xml:space="preserve">3721610299026777966/3721615299023819545</t>
  </si>
  <si>
    <t xml:space="preserve">8155300261136279</t>
  </si>
  <si>
    <t xml:space="preserve">1002170475522022</t>
  </si>
  <si>
    <t xml:space="preserve">8498370080032799</t>
  </si>
  <si>
    <t xml:space="preserve">1001084447432080</t>
  </si>
  <si>
    <t xml:space="preserve">8771300311808491</t>
  </si>
  <si>
    <t xml:space="preserve">3729639299022832880</t>
  </si>
  <si>
    <t xml:space="preserve">3729604299031537321</t>
  </si>
  <si>
    <t xml:space="preserve">8773201660059561</t>
  </si>
  <si>
    <t xml:space="preserve">8220122016189192</t>
  </si>
  <si>
    <t xml:space="preserve">1002332573812073</t>
  </si>
  <si>
    <t xml:space="preserve">8299400280379608</t>
  </si>
  <si>
    <t xml:space="preserve">3731219299062608858</t>
  </si>
  <si>
    <t xml:space="preserve">8499052390324491</t>
  </si>
  <si>
    <t xml:space="preserve">8535114841384072</t>
  </si>
  <si>
    <t xml:space="preserve">1002526770682037</t>
  </si>
  <si>
    <t xml:space="preserve">100080268</t>
  </si>
  <si>
    <t xml:space="preserve">UNMAPPED:100080268</t>
  </si>
  <si>
    <t xml:space="preserve">8495753921919105</t>
  </si>
  <si>
    <t xml:space="preserve">1002526776282030</t>
  </si>
  <si>
    <t xml:space="preserve">8535100180045853</t>
  </si>
  <si>
    <t xml:space="preserve">1002526778642033</t>
  </si>
  <si>
    <t xml:space="preserve">8773501460001832</t>
  </si>
  <si>
    <t xml:space="preserve">1001973832582063</t>
  </si>
  <si>
    <t xml:space="preserve">8773102590673986</t>
  </si>
  <si>
    <t xml:space="preserve">3721619299066079868</t>
  </si>
  <si>
    <t xml:space="preserve">8299400190823646</t>
  </si>
  <si>
    <t xml:space="preserve">1002163117022097</t>
  </si>
  <si>
    <t xml:space="preserve">8993210420237742</t>
  </si>
  <si>
    <t xml:space="preserve">8499100028962222</t>
  </si>
  <si>
    <t xml:space="preserve">100080071</t>
  </si>
  <si>
    <t xml:space="preserve">UNMAPPED:100080071</t>
  </si>
  <si>
    <t xml:space="preserve">8299600072721749</t>
  </si>
  <si>
    <t xml:space="preserve">1002163119202093</t>
  </si>
  <si>
    <t xml:space="preserve">8299200061087234</t>
  </si>
  <si>
    <t xml:space="preserve">1002163124422090</t>
  </si>
  <si>
    <t xml:space="preserve">8299600480284983</t>
  </si>
  <si>
    <t xml:space="preserve">1002163131352090</t>
  </si>
  <si>
    <t xml:space="preserve">8993115810347209</t>
  </si>
  <si>
    <t xml:space="preserve">1001891773272018</t>
  </si>
  <si>
    <t xml:space="preserve">8773103040143851</t>
  </si>
  <si>
    <t xml:space="preserve">1001973846942063</t>
  </si>
  <si>
    <t xml:space="preserve">100078922</t>
  </si>
  <si>
    <t xml:space="preserve">Mohamed Ali Mohamed Elghareb (Grad)</t>
  </si>
  <si>
    <t xml:space="preserve">8499051520016662</t>
  </si>
  <si>
    <t xml:space="preserve">3721613299072804228</t>
  </si>
  <si>
    <t xml:space="preserve">8220220900263634</t>
  </si>
  <si>
    <t xml:space="preserve">8993207560692439</t>
  </si>
  <si>
    <t xml:space="preserve">1001891782832017</t>
  </si>
  <si>
    <t xml:space="preserve">8529101780078144</t>
  </si>
  <si>
    <t xml:space="preserve">3731203299072647831</t>
  </si>
  <si>
    <t xml:space="preserve">8529102040795097</t>
  </si>
  <si>
    <t xml:space="preserve">3729623299074075371</t>
  </si>
  <si>
    <t xml:space="preserve">1002332607342071</t>
  </si>
  <si>
    <t xml:space="preserve">8155600401463503</t>
  </si>
  <si>
    <t xml:space="preserve">1002170564352026</t>
  </si>
  <si>
    <t xml:space="preserve">8495741400972117</t>
  </si>
  <si>
    <t xml:space="preserve">1002526821932035</t>
  </si>
  <si>
    <t xml:space="preserve">8495752622280395</t>
  </si>
  <si>
    <t xml:space="preserve">3731239299075881611</t>
  </si>
  <si>
    <t xml:space="preserve">8396500240609515</t>
  </si>
  <si>
    <t xml:space="preserve">1001321143012109</t>
  </si>
  <si>
    <t xml:space="preserve">8220111107763957</t>
  </si>
  <si>
    <t xml:space="preserve">8529102510598625</t>
  </si>
  <si>
    <t xml:space="preserve">1001378684032110</t>
  </si>
  <si>
    <t xml:space="preserve">8777702053554841</t>
  </si>
  <si>
    <t xml:space="preserve">8499052400077956</t>
  </si>
  <si>
    <t xml:space="preserve">545225652692</t>
  </si>
  <si>
    <t xml:space="preserve">8529201530245272</t>
  </si>
  <si>
    <t xml:space="preserve">1001378687262110</t>
  </si>
  <si>
    <t xml:space="preserve">8772105590066128</t>
  </si>
  <si>
    <t xml:space="preserve">1001443969712040</t>
  </si>
  <si>
    <t xml:space="preserve">1001443970792049</t>
  </si>
  <si>
    <t xml:space="preserve">8773202420220717</t>
  </si>
  <si>
    <t xml:space="preserve">455453232</t>
  </si>
  <si>
    <t xml:space="preserve">100078333</t>
  </si>
  <si>
    <t xml:space="preserve">Jana Mostafa Abdelwahab Mostafa Soliman</t>
  </si>
  <si>
    <t xml:space="preserve">546323526413564</t>
  </si>
  <si>
    <t xml:space="preserve">8299700044852315</t>
  </si>
  <si>
    <t xml:space="preserve">1002163192132092</t>
  </si>
  <si>
    <t xml:space="preserve">8299200061488176</t>
  </si>
  <si>
    <t xml:space="preserve">452153654</t>
  </si>
  <si>
    <t xml:space="preserve">100080262</t>
  </si>
  <si>
    <t xml:space="preserve">UNMAPPED:100080262</t>
  </si>
  <si>
    <t xml:space="preserve">8773400235125150</t>
  </si>
  <si>
    <t xml:space="preserve">1001973868532065</t>
  </si>
  <si>
    <t xml:space="preserve">8771100871024624</t>
  </si>
  <si>
    <t xml:space="preserve">1002314754772052</t>
  </si>
  <si>
    <t xml:space="preserve">8993112711465235</t>
  </si>
  <si>
    <t xml:space="preserve">1002126457012094</t>
  </si>
  <si>
    <t xml:space="preserve">100078935</t>
  </si>
  <si>
    <t xml:space="preserve">Kerolos Ashraf Fahmy Khalil</t>
  </si>
  <si>
    <t xml:space="preserve">8773100560024859</t>
  </si>
  <si>
    <t xml:space="preserve">100197372623064</t>
  </si>
  <si>
    <t xml:space="preserve">8773105200013238</t>
  </si>
  <si>
    <t xml:space="preserve">8771103420100424</t>
  </si>
  <si>
    <t xml:space="preserve">1002314758102058</t>
  </si>
  <si>
    <t xml:space="preserve">100078342</t>
  </si>
  <si>
    <t xml:space="preserve">Omar Abdelgawad Ahmed Abdelglel</t>
  </si>
  <si>
    <t xml:space="preserve">8495741204740629</t>
  </si>
  <si>
    <t xml:space="preserve">465562663263</t>
  </si>
  <si>
    <t xml:space="preserve">8497700750663211</t>
  </si>
  <si>
    <t xml:space="preserve">1002332637302079</t>
  </si>
  <si>
    <t xml:space="preserve">8396100970044072</t>
  </si>
  <si>
    <t xml:space="preserve">1001321160462104</t>
  </si>
  <si>
    <t xml:space="preserve">8155500342036360</t>
  </si>
  <si>
    <t xml:space="preserve">8155500342078529</t>
  </si>
  <si>
    <t xml:space="preserve">1002170592552027</t>
  </si>
  <si>
    <t xml:space="preserve">100080066</t>
  </si>
  <si>
    <t xml:space="preserve">UNMAPPED:100080066</t>
  </si>
  <si>
    <t xml:space="preserve">8495444640250457</t>
  </si>
  <si>
    <t xml:space="preserve">1002526863622031</t>
  </si>
  <si>
    <t xml:space="preserve">8993113440567462</t>
  </si>
  <si>
    <t xml:space="preserve">1001891820302015</t>
  </si>
  <si>
    <t xml:space="preserve">8495443023022517</t>
  </si>
  <si>
    <t xml:space="preserve">3721680299084581372</t>
  </si>
  <si>
    <t xml:space="preserve">8396511742290712</t>
  </si>
  <si>
    <t xml:space="preserve">UNMAPPED:8396511742290712</t>
  </si>
  <si>
    <t xml:space="preserve">1001321161152100</t>
  </si>
  <si>
    <t xml:space="preserve">8396500720116437</t>
  </si>
  <si>
    <t xml:space="preserve">8497202400883729</t>
  </si>
  <si>
    <t xml:space="preserve">4738426324209862400         4738989274160979456</t>
  </si>
  <si>
    <t xml:space="preserve">8529112780400535</t>
  </si>
  <si>
    <t xml:space="preserve">100078921</t>
  </si>
  <si>
    <t xml:space="preserve">Yasmine Hany Mohamed Khattab</t>
  </si>
  <si>
    <t xml:space="preserve">8771400330018419</t>
  </si>
  <si>
    <t xml:space="preserve">8777702053801143</t>
  </si>
  <si>
    <t xml:space="preserve">454624525411</t>
  </si>
  <si>
    <t xml:space="preserve">8773402010334791</t>
  </si>
  <si>
    <t xml:space="preserve">8499102350200411</t>
  </si>
  <si>
    <t xml:space="preserve">1002163244062099</t>
  </si>
  <si>
    <t xml:space="preserve">8529101320835169</t>
  </si>
  <si>
    <t xml:space="preserve">8155600841190989</t>
  </si>
  <si>
    <t xml:space="preserve">1002170620742020</t>
  </si>
  <si>
    <t xml:space="preserve">8529101340069567</t>
  </si>
  <si>
    <t xml:space="preserve">1001378722802110</t>
  </si>
  <si>
    <t xml:space="preserve">3721637299085627467</t>
  </si>
  <si>
    <t xml:space="preserve">8498350177076917</t>
  </si>
  <si>
    <t xml:space="preserve">4719848977122337536</t>
  </si>
  <si>
    <t xml:space="preserve">8499102420085008</t>
  </si>
  <si>
    <t xml:space="preserve">3729680299093143673</t>
  </si>
  <si>
    <t xml:space="preserve">8773102740243458</t>
  </si>
  <si>
    <t xml:space="preserve">1001973928502066</t>
  </si>
  <si>
    <t xml:space="preserve">8155300130120108</t>
  </si>
  <si>
    <t xml:space="preserve">1002170631522023</t>
  </si>
  <si>
    <t xml:space="preserve">8993111110061022</t>
  </si>
  <si>
    <t xml:space="preserve">8155300301798443</t>
  </si>
  <si>
    <t xml:space="preserve">1002170633072027</t>
  </si>
  <si>
    <t xml:space="preserve">8529200868981987</t>
  </si>
  <si>
    <t xml:space="preserve">1001378729682119</t>
  </si>
  <si>
    <t xml:space="preserve">8529102070714695</t>
  </si>
  <si>
    <t xml:space="preserve">1001378732702110</t>
  </si>
  <si>
    <t xml:space="preserve">100080258</t>
  </si>
  <si>
    <t xml:space="preserve">UNMAPPED:100080258</t>
  </si>
  <si>
    <t xml:space="preserve">8773400270383037</t>
  </si>
  <si>
    <t xml:space="preserve">3731217299094775206</t>
  </si>
  <si>
    <t xml:space="preserve">8993111250082671</t>
  </si>
  <si>
    <t xml:space="preserve">1001891874362014</t>
  </si>
  <si>
    <t xml:space="preserve">8777701330701233</t>
  </si>
  <si>
    <t xml:space="preserve">0000000000000000000</t>
  </si>
  <si>
    <t xml:space="preserve">000000000000000000</t>
  </si>
  <si>
    <t xml:space="preserve">8495600403840855</t>
  </si>
  <si>
    <t xml:space="preserve">1001891875972019</t>
  </si>
  <si>
    <t xml:space="preserve">8155600742373213</t>
  </si>
  <si>
    <t xml:space="preserve">3731236299091163484</t>
  </si>
  <si>
    <t xml:space="preserve">4711967569304323584</t>
  </si>
  <si>
    <t xml:space="preserve">100078950</t>
  </si>
  <si>
    <t xml:space="preserve">Hesham Adel Ahmed Attia</t>
  </si>
  <si>
    <t xml:space="preserve">8299600790282982</t>
  </si>
  <si>
    <t xml:space="preserve">1002163327292092</t>
  </si>
  <si>
    <t xml:space="preserve">10007560</t>
  </si>
  <si>
    <t xml:space="preserve">UNMAPPED:10007560</t>
  </si>
  <si>
    <t xml:space="preserve">8155500530697387</t>
  </si>
  <si>
    <t xml:space="preserve">8778101016497892</t>
  </si>
  <si>
    <t xml:space="preserve">1001444011762041</t>
  </si>
  <si>
    <t xml:space="preserve">8773402203049990</t>
  </si>
  <si>
    <t xml:space="preserve">1001973959812061</t>
  </si>
  <si>
    <t xml:space="preserve">100042650</t>
  </si>
  <si>
    <t xml:space="preserve">Anas Ahmed Ibrahim Abdelaziz Elhelw (Rehire )</t>
  </si>
  <si>
    <t xml:space="preserve">8299600581080645</t>
  </si>
  <si>
    <t xml:space="preserve">3729693299098999006</t>
  </si>
  <si>
    <t xml:space="preserve">8778101016130600</t>
  </si>
  <si>
    <t xml:space="preserve">5252</t>
  </si>
  <si>
    <t xml:space="preserve">8299420321460829</t>
  </si>
  <si>
    <t xml:space="preserve">1002163341472092</t>
  </si>
  <si>
    <t xml:space="preserve">8155300140248204</t>
  </si>
  <si>
    <t xml:space="preserve">1002170658452021</t>
  </si>
  <si>
    <t xml:space="preserve">8535101160127091</t>
  </si>
  <si>
    <t xml:space="preserve">1002526935192039</t>
  </si>
  <si>
    <t xml:space="preserve">8777701710528735</t>
  </si>
  <si>
    <t xml:space="preserve">3721692299100148703</t>
  </si>
  <si>
    <t xml:space="preserve">100078348</t>
  </si>
  <si>
    <t xml:space="preserve">Mohamed Ayman Abdelghaffar Abdelhafiez</t>
  </si>
  <si>
    <t xml:space="preserve">8155200510673256</t>
  </si>
  <si>
    <t xml:space="preserve">3726493299099316035</t>
  </si>
  <si>
    <t xml:space="preserve">8396500240269047</t>
  </si>
  <si>
    <t xml:space="preserve">1001321206362102</t>
  </si>
  <si>
    <t xml:space="preserve">8495600404679518</t>
  </si>
  <si>
    <t xml:space="preserve">Gen Upgrade</t>
  </si>
  <si>
    <t xml:space="preserve">8497900061343368</t>
  </si>
  <si>
    <t xml:space="preserve">1002332708612075</t>
  </si>
  <si>
    <t xml:space="preserve">8299400100776892</t>
  </si>
  <si>
    <t xml:space="preserve">3729665299102555308</t>
  </si>
  <si>
    <t xml:space="preserve">Ziad Tarek Abdullah</t>
  </si>
  <si>
    <t xml:space="preserve">UNMAPPED:Ziad Tarek Abdullah</t>
  </si>
  <si>
    <t xml:space="preserve">8495753811996908</t>
  </si>
  <si>
    <t xml:space="preserve">8499100223788885</t>
  </si>
  <si>
    <t xml:space="preserve">1002163348242092</t>
  </si>
  <si>
    <t xml:space="preserve">4300478</t>
  </si>
  <si>
    <t xml:space="preserve">UNMAPPED:4300478</t>
  </si>
  <si>
    <t xml:space="preserve">8993114090008690</t>
  </si>
  <si>
    <t xml:space="preserve">1001891889472014</t>
  </si>
  <si>
    <t xml:space="preserve">HRID</t>
  </si>
  <si>
    <t xml:space="preserve">Agent Label</t>
  </si>
  <si>
    <t xml:space="preserve">Wave</t>
  </si>
  <si>
    <t xml:space="preserve">LOB Start Date</t>
  </si>
  <si>
    <t xml:space="preserve">Tenure Days</t>
  </si>
  <si>
    <t xml:space="preserve">Team Key</t>
  </si>
  <si>
    <t xml:space="preserve">Abdelrhman Mohammed Hassanien Mohammed (100077989)</t>
  </si>
  <si>
    <t xml:space="preserve">Wave 32</t>
  </si>
  <si>
    <t xml:space="preserve">Ahmed Abdallah Bedir Ibrahim (100077990)</t>
  </si>
  <si>
    <t xml:space="preserve">100050827</t>
  </si>
  <si>
    <t xml:space="preserve">Ahmed Ahmed Amed Abdelazim</t>
  </si>
  <si>
    <t xml:space="preserve">Ahmed Ahmed Amed Abdelazim (100050827)</t>
  </si>
  <si>
    <t xml:space="preserve">Ahmed Alaaeldin Mohamed Mohamed (100077976)</t>
  </si>
  <si>
    <t xml:space="preserve">100077977</t>
  </si>
  <si>
    <t xml:space="preserve">Ahmed Gamal Naguib Abdelazim</t>
  </si>
  <si>
    <t xml:space="preserve">Ahmed Gamal Naguib Abdelazim (100077977)</t>
  </si>
  <si>
    <t xml:space="preserve">Ahmed Mohamed Esmael Ezzeldin Zein Eldin (100077979)</t>
  </si>
  <si>
    <t xml:space="preserve">Amgad Mahmoud  Taha Nasr (100077981)</t>
  </si>
  <si>
    <t xml:space="preserve">Ammar Yasser Ibrahim Elsayed Ibrhahim (Rehire) (100065384)</t>
  </si>
  <si>
    <t xml:space="preserve">Ashraf Maysara Youssef Mohamed (100077974)</t>
  </si>
  <si>
    <t xml:space="preserve">100067073</t>
  </si>
  <si>
    <t xml:space="preserve">Ayman Saad Abdelkhalek Gabry</t>
  </si>
  <si>
    <t xml:space="preserve">Ayman Saad Abdelkhalek Gabry (100067073)</t>
  </si>
  <si>
    <t xml:space="preserve">Bassel Ashraf Omar Ragheb Metwaly (100078062)</t>
  </si>
  <si>
    <t xml:space="preserve">Esraa Ahmed Metwally Hanafey Aboied (100077986)</t>
  </si>
  <si>
    <t xml:space="preserve">Jana Mohamed Wadea Abdoh Elalawi (100077980)</t>
  </si>
  <si>
    <t xml:space="preserve">Joudan Hazem Mahmoud Ibrahim Hassan (100077985)</t>
  </si>
  <si>
    <t xml:space="preserve">100077983</t>
  </si>
  <si>
    <t xml:space="preserve">Judy Kareem Ahmed Ali</t>
  </si>
  <si>
    <t xml:space="preserve">Judy Kareem Ahmed Ali (100077983)</t>
  </si>
  <si>
    <t xml:space="preserve">Laila Zeyad Wageh Hassan (100077988)</t>
  </si>
  <si>
    <t xml:space="preserve">Marwan Abdelrahman Abdelrahman Ahmed Zahran (100077982)</t>
  </si>
  <si>
    <t xml:space="preserve">Mohamed Medhat Mahmoud El Gendi (100077975)</t>
  </si>
  <si>
    <t xml:space="preserve">Mohamed Nady Abdelmordy Elakhwas (100077978)</t>
  </si>
  <si>
    <t xml:space="preserve">Omar Abdelnasser Fathy Mohamed Hassan (100077973)</t>
  </si>
  <si>
    <t xml:space="preserve">Omar Khaled Nasreldin Ahmad Saad (100077987)</t>
  </si>
  <si>
    <t xml:space="preserve">Roba Yahia Abselsattar Abdelhameed (100077971)</t>
  </si>
  <si>
    <t xml:space="preserve">Zaineldin Ahmed Soliman Abdelaziz (100077972)</t>
  </si>
  <si>
    <t xml:space="preserve">Ahmed Mohamed (100075055)</t>
  </si>
  <si>
    <t xml:space="preserve">Wave 28</t>
  </si>
  <si>
    <t xml:space="preserve">Ahmed Saeed (100075067)</t>
  </si>
  <si>
    <t xml:space="preserve">Ahmed Saieed (100075065)</t>
  </si>
  <si>
    <t xml:space="preserve">Habiba Saeed (100075069)</t>
  </si>
  <si>
    <t xml:space="preserve">Kevin Abdelmalek (100075058)</t>
  </si>
  <si>
    <t xml:space="preserve">Khaled Ismail (100075064)</t>
  </si>
  <si>
    <t xml:space="preserve">Mahmoud Abdelaziz (100075066)</t>
  </si>
  <si>
    <t xml:space="preserve">Mahmoud Mohamed (100075057)</t>
  </si>
  <si>
    <t xml:space="preserve">Momen Elsherbiny (100075060)</t>
  </si>
  <si>
    <t xml:space="preserve">Muhammad Maher Abdelmoaty Ahmed (100077689)</t>
  </si>
  <si>
    <t xml:space="preserve">Wave 31</t>
  </si>
  <si>
    <t xml:space="preserve">Nageh Khater (100075061)</t>
  </si>
  <si>
    <t xml:space="preserve">Omar Mahmoud (100075071)</t>
  </si>
  <si>
    <t xml:space="preserve">Omar Tawfik (100075056)</t>
  </si>
  <si>
    <t xml:space="preserve">Radwa Ahmed (100075074)</t>
  </si>
  <si>
    <t xml:space="preserve">Seif Abdellah (100075068)</t>
  </si>
  <si>
    <t xml:space="preserve">Ziad Tarek Abdullah Mohamed (100077686)</t>
  </si>
  <si>
    <t xml:space="preserve">Abdelrahaman Hussien Ibrahim (100075887)</t>
  </si>
  <si>
    <t xml:space="preserve">Wave 29</t>
  </si>
  <si>
    <t xml:space="preserve">Abdelrahman Abdelrehim (100075906)</t>
  </si>
  <si>
    <t xml:space="preserve">Abdelrahman Mohamed (100075901)</t>
  </si>
  <si>
    <t xml:space="preserve">Anas Abdulrahman (100075904)</t>
  </si>
  <si>
    <t xml:space="preserve">Ebrahim Abdelrahim (100075897)</t>
  </si>
  <si>
    <t xml:space="preserve">Farida Abdelqawi (100075898)</t>
  </si>
  <si>
    <t xml:space="preserve">Hamza Saadawy (100075899)</t>
  </si>
  <si>
    <t xml:space="preserve">Khaled Nouh (100075894)</t>
  </si>
  <si>
    <t xml:space="preserve">Mohamed Abdulghany Mohamed Elshafey (100070307)</t>
  </si>
  <si>
    <t xml:space="preserve">Wave 20</t>
  </si>
  <si>
    <t xml:space="preserve">Mohamed Abo (100075903)</t>
  </si>
  <si>
    <t xml:space="preserve">Mohamed Ahmed (100075889)</t>
  </si>
  <si>
    <t xml:space="preserve">Salma Mustafa (100075883)</t>
  </si>
  <si>
    <t xml:space="preserve">Shehab Attia (100075895)</t>
  </si>
  <si>
    <t xml:space="preserve">100078209</t>
  </si>
  <si>
    <t xml:space="preserve">Abdulrahman Ahmed Bassem Mohamed Ayman Tawfiq Al-Qadi</t>
  </si>
  <si>
    <t xml:space="preserve">Abdulrahman Ahmed Bassem Mohamed Ayman Tawfiq Al-Qadi (100078209)</t>
  </si>
  <si>
    <t xml:space="preserve">Wave 33</t>
  </si>
  <si>
    <t xml:space="preserve">100078169</t>
  </si>
  <si>
    <t xml:space="preserve">Ahmed Mohamed Hamed Ahmed Aboshady</t>
  </si>
  <si>
    <t xml:space="preserve">Ahmed Mohamed Hamed Ahmed Aboshady (100078169)</t>
  </si>
  <si>
    <t xml:space="preserve">100078940</t>
  </si>
  <si>
    <t xml:space="preserve">Ahmed Mostafa El-Gammal Elsayed Mostafa El-Gammal</t>
  </si>
  <si>
    <t xml:space="preserve">Ahmed Mostafa El-Gammal Elsayed Mostafa El-Gammal (100078940)</t>
  </si>
  <si>
    <t xml:space="preserve">Wave Temp 2</t>
  </si>
  <si>
    <t xml:space="preserve">Hager Fathi Mohamed El Babli (100078164)</t>
  </si>
  <si>
    <t xml:space="preserve">Hazem Osama  Abdelghany Ahmed (100078171)</t>
  </si>
  <si>
    <t xml:space="preserve">100078168</t>
  </si>
  <si>
    <t xml:space="preserve">Hazem Salah El Din Ahmed Mohamed</t>
  </si>
  <si>
    <t xml:space="preserve">Hazem Salah El Din Ahmed Mohamed (100078168)</t>
  </si>
  <si>
    <t xml:space="preserve">Kerolos Ashraf Fahmy Khalil (100078935)</t>
  </si>
  <si>
    <t xml:space="preserve">100078165</t>
  </si>
  <si>
    <t xml:space="preserve">Mahmoud Yahya Mohamed Hussien</t>
  </si>
  <si>
    <t xml:space="preserve">Mahmoud Yahya Mohamed Hussien (100078165)</t>
  </si>
  <si>
    <t xml:space="preserve">Mazen Tahseen Mohammed Tawfiq Mohammed Elwan (100078166)</t>
  </si>
  <si>
    <t xml:space="preserve">Mohamed Ayman Abdelghaffar Abdelhafiez (100078348)</t>
  </si>
  <si>
    <t xml:space="preserve">Nagham Hesham Yassin El Sayed (100078172)</t>
  </si>
  <si>
    <t xml:space="preserve">4300748</t>
  </si>
  <si>
    <t xml:space="preserve">Omar Adel Mahmoud Ali (Rehire)</t>
  </si>
  <si>
    <t xml:space="preserve">Omar Adel Mahmoud Ali (Rehire) (4300748)</t>
  </si>
  <si>
    <t xml:space="preserve">100078934</t>
  </si>
  <si>
    <t xml:space="preserve">Omar Ehab Abdulazim Hamed Elbanna</t>
  </si>
  <si>
    <t xml:space="preserve">Omar Ehab Abdulazim Hamed Elbanna (100078934)</t>
  </si>
  <si>
    <t xml:space="preserve">100078985</t>
  </si>
  <si>
    <t xml:space="preserve">Salem Mamdouh Salem Mahmoud</t>
  </si>
  <si>
    <t xml:space="preserve">Salem Mamdouh Salem Mahmoud (100078985)</t>
  </si>
  <si>
    <t xml:space="preserve">Yosr Ali Abo Elmagd (100078207)</t>
  </si>
  <si>
    <t xml:space="preserve">Abdallah Abdellaziz Abdallah Abdellaziz (100076800)</t>
  </si>
  <si>
    <t xml:space="preserve">Wave 30</t>
  </si>
  <si>
    <t xml:space="preserve">Abdelrahman Eid (100071349)</t>
  </si>
  <si>
    <t xml:space="preserve">Wave 22</t>
  </si>
  <si>
    <t xml:space="preserve">Ahmed Ezzat Hanafy Ali (100049048)</t>
  </si>
  <si>
    <t xml:space="preserve">Wave 7</t>
  </si>
  <si>
    <t xml:space="preserve">Amr Saad (100071686)</t>
  </si>
  <si>
    <t xml:space="preserve">Bassant Mohamed (100049619)</t>
  </si>
  <si>
    <t xml:space="preserve">Wave 8</t>
  </si>
  <si>
    <t xml:space="preserve">Ehab Elsawah (100071354)</t>
  </si>
  <si>
    <t xml:space="preserve">Hesham Mohamed Abdelaziz Mohamed (100053635)</t>
  </si>
  <si>
    <t xml:space="preserve">Wave 9</t>
  </si>
  <si>
    <t xml:space="preserve">Khaled Hassanen (100071356)</t>
  </si>
  <si>
    <t xml:space="preserve">Marawan Hatem Helmy Mahmoud (100066378)</t>
  </si>
  <si>
    <t xml:space="preserve">Wave 27</t>
  </si>
  <si>
    <t xml:space="preserve">Mohamed Hafez (100071352)</t>
  </si>
  <si>
    <t xml:space="preserve">Momin Mohsen Ramadan Mohammad (100074620)</t>
  </si>
  <si>
    <t xml:space="preserve">Mostafa Magdy Ismail (100076799)</t>
  </si>
  <si>
    <t xml:space="preserve">Omar Elmeniawy (100071364)</t>
  </si>
  <si>
    <t xml:space="preserve">Sama Abdelqawy (100071351)</t>
  </si>
  <si>
    <t xml:space="preserve">Shahd Hanfi (100071611)</t>
  </si>
  <si>
    <t xml:space="preserve">Shrouq Mahmoud (100071608)</t>
  </si>
  <si>
    <t xml:space="preserve">Tawfik Nabil Tawfik (100076813)</t>
  </si>
  <si>
    <t xml:space="preserve">Abdelrahman Araby Farag Abdelwahed (100073753)</t>
  </si>
  <si>
    <t xml:space="preserve">Wave 25</t>
  </si>
  <si>
    <t xml:space="preserve">Abdelrhman Yasser Kamel Nail (100072759)</t>
  </si>
  <si>
    <t xml:space="preserve">Ezz Eldin Ahmed  Abdelghany El Kordy (100072749)</t>
  </si>
  <si>
    <t xml:space="preserve">Wave 24</t>
  </si>
  <si>
    <t xml:space="preserve">Fares Ahmed Mohamed Ahmed Abo Elmaaty (100076815)</t>
  </si>
  <si>
    <t xml:space="preserve">Faris Hamada Reda Mohamed (100049532)</t>
  </si>
  <si>
    <t xml:space="preserve">Mahmoud Abdelaziz Mahmoud Mahmoud (100072768)</t>
  </si>
  <si>
    <t xml:space="preserve">Marwan Ahmed Abd El-Mohsen Abd El Latif (100077672)</t>
  </si>
  <si>
    <t xml:space="preserve">Mohammed Marzouq Ismail (100076806)</t>
  </si>
  <si>
    <t xml:space="preserve">Moutasem Ahmed Mohamed Saied (100073752)</t>
  </si>
  <si>
    <t xml:space="preserve">Nabil Mohamed Nabil Ibrahim (100077677)</t>
  </si>
  <si>
    <t xml:space="preserve">Noha Ahmed Mohamed Abdullatif (100077695)</t>
  </si>
  <si>
    <t xml:space="preserve">Omar Abdelrahman Khairy Mohammed (100077687)</t>
  </si>
  <si>
    <t xml:space="preserve">100073760</t>
  </si>
  <si>
    <t xml:space="preserve">Ramy Mohamed Ahmed Ahmed Sharaf</t>
  </si>
  <si>
    <t xml:space="preserve">Ramy Mohamed Ahmed Ahmed Sharaf (100073760)</t>
  </si>
  <si>
    <t xml:space="preserve">Sameh Tawfeeq Abuelezz Tawfeeq (100072764)</t>
  </si>
  <si>
    <t xml:space="preserve">Seif Eldin Maged Saeed Mattar (100077674)</t>
  </si>
  <si>
    <t xml:space="preserve">100078962</t>
  </si>
  <si>
    <t xml:space="preserve">Ahmed Mohamed Abdelhalim Abdelhamid</t>
  </si>
  <si>
    <t xml:space="preserve">Ahmed Mohamed Abdelhalim Abdelhamid (100078962)</t>
  </si>
  <si>
    <t xml:space="preserve">Wave 34</t>
  </si>
  <si>
    <t xml:space="preserve">Ahmed Yehia Motawea Hewy (100078951)</t>
  </si>
  <si>
    <t xml:space="preserve">Amal Tarek Zakaria Ahmed (100078961)</t>
  </si>
  <si>
    <t xml:space="preserve">Aya Osama Ahmed Mohamed (100078956)</t>
  </si>
  <si>
    <t xml:space="preserve">Bishoy Mamdoh Fouad Maximus (100078945)</t>
  </si>
  <si>
    <t xml:space="preserve">Engy Ashraf Mohamed Fouad (100078952)</t>
  </si>
  <si>
    <t xml:space="preserve">100078948</t>
  </si>
  <si>
    <t xml:space="preserve">Ezzeldin Islam Mostafa Ahmed</t>
  </si>
  <si>
    <t xml:space="preserve">Ezzeldin Islam Mostafa Ahmed (100078948)</t>
  </si>
  <si>
    <t xml:space="preserve">100078949</t>
  </si>
  <si>
    <t xml:space="preserve">Giovanni Mekhail Shonoda Smaan</t>
  </si>
  <si>
    <t xml:space="preserve">Giovanni Mekhail Shonoda Smaan (100078949)</t>
  </si>
  <si>
    <t xml:space="preserve">Hamza Sayed Mohammed Elsaghier (100078944)</t>
  </si>
  <si>
    <t xml:space="preserve">Hesham Adel Ahmed Attia (100078950)</t>
  </si>
  <si>
    <t xml:space="preserve">100078960</t>
  </si>
  <si>
    <t xml:space="preserve">Karim Hussein Mohamed Mostafa</t>
  </si>
  <si>
    <t xml:space="preserve">Karim Hussein Mohamed Mostafa (100078960)</t>
  </si>
  <si>
    <t xml:space="preserve">Mahmoud Ragab Abouelezz Marawan (100078955)</t>
  </si>
  <si>
    <t xml:space="preserve">100078947</t>
  </si>
  <si>
    <t xml:space="preserve">Mohamed Ashraf Mohamed Ashraf</t>
  </si>
  <si>
    <t xml:space="preserve">Mohamed Ashraf Mohamed Ashraf (100078947)</t>
  </si>
  <si>
    <t xml:space="preserve">100078965</t>
  </si>
  <si>
    <t xml:space="preserve">Mostafa Bakry Mostafa Bakry Omar</t>
  </si>
  <si>
    <t xml:space="preserve">Mostafa Bakry Mostafa Bakry Omar (100078965)</t>
  </si>
  <si>
    <t xml:space="preserve">Mustafa Mohamed Eid Mohamed (100078957)</t>
  </si>
  <si>
    <t xml:space="preserve">100078954</t>
  </si>
  <si>
    <t xml:space="preserve">Nermeen Mahmoud Mohamed Hassan</t>
  </si>
  <si>
    <t xml:space="preserve">Nermeen Mahmoud Mohamed Hassan (100078954)</t>
  </si>
  <si>
    <t xml:space="preserve">100078953</t>
  </si>
  <si>
    <t xml:space="preserve">Omar Magdy Ali Sanad</t>
  </si>
  <si>
    <t xml:space="preserve">Omar Magdy Ali Sanad (100078953)</t>
  </si>
  <si>
    <t xml:space="preserve">100078959</t>
  </si>
  <si>
    <t xml:space="preserve">Youssef Ayman Mohamed Abdeltawab</t>
  </si>
  <si>
    <t xml:space="preserve">Youssef Ayman Mohamed Abdeltawab (100078959)</t>
  </si>
  <si>
    <t xml:space="preserve">100078932</t>
  </si>
  <si>
    <t xml:space="preserve">Ahmed Esmaat Mohammed Mostafa</t>
  </si>
  <si>
    <t xml:space="preserve">Ahmed Esmaat Mohammed Mostafa (100078932)</t>
  </si>
  <si>
    <t xml:space="preserve">100078937</t>
  </si>
  <si>
    <t xml:space="preserve">Ahmed Mostafa Ahmed Beshir</t>
  </si>
  <si>
    <t xml:space="preserve">Ahmed Mostafa Ahmed Beshir (100078937)</t>
  </si>
  <si>
    <t xml:space="preserve">100078927</t>
  </si>
  <si>
    <t xml:space="preserve">Ahmed Waseem Abdelazim Abdelfattah</t>
  </si>
  <si>
    <t xml:space="preserve">Ahmed Waseem Abdelazim Abdelfattah (100078927)</t>
  </si>
  <si>
    <t xml:space="preserve">Anas Ahmed Ibrahim Abdelaziz Elhelw (Rehire ) (100042650)</t>
  </si>
  <si>
    <t xml:space="preserve">100078918</t>
  </si>
  <si>
    <t xml:space="preserve">Badawy Khaled Farghaly Attyatallah</t>
  </si>
  <si>
    <t xml:space="preserve">Badawy Khaled Farghaly Attyatallah (100078918)</t>
  </si>
  <si>
    <t xml:space="preserve">100078923</t>
  </si>
  <si>
    <t xml:space="preserve">Fareeda Ashraf Helal Kamel Helal</t>
  </si>
  <si>
    <t xml:space="preserve">Fareeda Ashraf Helal Kamel Helal (100078923)</t>
  </si>
  <si>
    <t xml:space="preserve">100078924</t>
  </si>
  <si>
    <t xml:space="preserve">Mahmoud Mohamed Abdelfattah Mahmoud  (Grad)</t>
  </si>
  <si>
    <t xml:space="preserve">Mahmoud Mohamed Abdelfattah Mahmoud  (Grad) (100078924)</t>
  </si>
  <si>
    <t xml:space="preserve">100078926</t>
  </si>
  <si>
    <t xml:space="preserve">Mark Nagy Lewis Habib</t>
  </si>
  <si>
    <t xml:space="preserve">Mark Nagy Lewis Habib (100078926)</t>
  </si>
  <si>
    <t xml:space="preserve">100078933</t>
  </si>
  <si>
    <t xml:space="preserve">Mina Ramez Soliman Ghobrial  (Gap Year)</t>
  </si>
  <si>
    <t xml:space="preserve">Mina Ramez Soliman Ghobrial  (Gap Year) (100078933)</t>
  </si>
  <si>
    <t xml:space="preserve">Mohamed Ali Mohamed Elghareb (Grad) (100078922)</t>
  </si>
  <si>
    <t xml:space="preserve">100078920</t>
  </si>
  <si>
    <t xml:space="preserve">Mohamed Hamdy Aly Elsayed El Shikh</t>
  </si>
  <si>
    <t xml:space="preserve">Mohamed Hamdy Aly Elsayed El Shikh (100078920)</t>
  </si>
  <si>
    <t xml:space="preserve">100078931</t>
  </si>
  <si>
    <t xml:space="preserve">Mohammed Mohsen Samara Mohammed</t>
  </si>
  <si>
    <t xml:space="preserve">Mohammed Mohsen Samara Mohammed (100078931)</t>
  </si>
  <si>
    <t xml:space="preserve">100078928</t>
  </si>
  <si>
    <t xml:space="preserve">Mustafa Tarek Mohamed Faisal (Gap Year)</t>
  </si>
  <si>
    <t xml:space="preserve">Mustafa Tarek Mohamed Faisal (Gap Year) (100078928)</t>
  </si>
  <si>
    <t xml:space="preserve">100078938</t>
  </si>
  <si>
    <t xml:space="preserve">Mustafa Yasser Youssef Eissa</t>
  </si>
  <si>
    <t xml:space="preserve">Mustafa Yasser Youssef Eissa (100078938)</t>
  </si>
  <si>
    <t xml:space="preserve">100078919</t>
  </si>
  <si>
    <t xml:space="preserve">Omar Mohamed Mostafa Abouhabaga</t>
  </si>
  <si>
    <t xml:space="preserve">Omar Mohamed Mostafa Abouhabaga (100078919)</t>
  </si>
  <si>
    <t xml:space="preserve">Shahd Yasser Mohamed Mohamed (100078930)</t>
  </si>
  <si>
    <t xml:space="preserve">Veronica Wafik William Israel (100078925)</t>
  </si>
  <si>
    <t xml:space="preserve">Yasmine Hany Mohamed Khattab (100078921)</t>
  </si>
  <si>
    <t xml:space="preserve">100078939</t>
  </si>
  <si>
    <t xml:space="preserve">Ziad Abdelhamid Mohamed Abdelhamid Eltantawy</t>
  </si>
  <si>
    <t xml:space="preserve">Ziad Abdelhamid Mohamed Abdelhamid Eltantawy (100078939)</t>
  </si>
  <si>
    <t xml:space="preserve">Abdelwahab Ibrahim Mohamed Fahmy Elshafaay (100078343)</t>
  </si>
  <si>
    <t xml:space="preserve">Wave Temp 1</t>
  </si>
  <si>
    <t xml:space="preserve">Ahmad Salah Mohammed Abdelhafiez Kahala (100078347)</t>
  </si>
  <si>
    <t xml:space="preserve">Ahmed Ali Mohamed Ali (100078338)</t>
  </si>
  <si>
    <t xml:space="preserve">Ahmed Islam Hamed Elbanna (100078329)</t>
  </si>
  <si>
    <t xml:space="preserve">Ahmed Sabry Mohamed Attia (100078334)</t>
  </si>
  <si>
    <t xml:space="preserve">Amr Abdallah (100076216)</t>
  </si>
  <si>
    <t xml:space="preserve">Amr Hassan Abdellatif Hassanin (100078615)</t>
  </si>
  <si>
    <t xml:space="preserve">Jana Mostafa Abdelwahab Mostafa Soliman (100078333)</t>
  </si>
  <si>
    <t xml:space="preserve">Kareem Mohamed Abosrea Gharib (100078346)</t>
  </si>
  <si>
    <t xml:space="preserve">Marcus Gamil Hanna Tadros (100078339)</t>
  </si>
  <si>
    <t xml:space="preserve">100078340</t>
  </si>
  <si>
    <t xml:space="preserve">Mariam Ibrahim Abdeldaym Saif Elden</t>
  </si>
  <si>
    <t xml:space="preserve">Mariam Ibrahim Abdeldaym Saif Elden (100078340)</t>
  </si>
  <si>
    <t xml:space="preserve">100078325</t>
  </si>
  <si>
    <t xml:space="preserve">Mohamed Kamal Ahmed Rashwan</t>
  </si>
  <si>
    <t xml:space="preserve">Mohamed Kamal Ahmed Rashwan (100078325)</t>
  </si>
  <si>
    <t xml:space="preserve">Mohamed Tarek Ali Mahmoud (100078344)</t>
  </si>
  <si>
    <t xml:space="preserve">Mohammed Mahrous Ahmed Ammar (100078336)</t>
  </si>
  <si>
    <t xml:space="preserve">Omar Abdelgawad Ahmed Abdelglel (100078342)</t>
  </si>
  <si>
    <t xml:space="preserve">Omar Ahmed Salah Eldin Mohamed Kamel (100078326)</t>
  </si>
  <si>
    <t xml:space="preserve">Youssef Osama Mohamed Abdelmneam (100078330)</t>
  </si>
  <si>
    <t xml:space="preserve">Youssef Sayed Ahmed Mahmoud Awadeen (100078341)</t>
  </si>
  <si>
    <t xml:space="preserve">100079228</t>
  </si>
  <si>
    <t xml:space="preserve">Abdelrahman Mohamed Ibrahim Desoky</t>
  </si>
  <si>
    <t xml:space="preserve">Abdelrahman Mohamed Ibrahim Desoky (100079228)</t>
  </si>
  <si>
    <t xml:space="preserve">Wave Temp 3</t>
  </si>
  <si>
    <t xml:space="preserve">100079223</t>
  </si>
  <si>
    <t xml:space="preserve">Abdelrahman Mostafa Anwar Abo Al Hassan</t>
  </si>
  <si>
    <t xml:space="preserve">Abdelrahman Mostafa Anwar Abo Al Hassan (100079223)</t>
  </si>
  <si>
    <t xml:space="preserve">100079225</t>
  </si>
  <si>
    <t xml:space="preserve">Adam Yasser Mohamed Rashad Attia</t>
  </si>
  <si>
    <t xml:space="preserve">Adam Yasser Mohamed Rashad Attia (100079225)</t>
  </si>
  <si>
    <t xml:space="preserve">100079239</t>
  </si>
  <si>
    <t xml:space="preserve">Adham Gamal Ahmed Aly Ahmed</t>
  </si>
  <si>
    <t xml:space="preserve">Adham Gamal Ahmed Aly Ahmed (100079239)</t>
  </si>
  <si>
    <t xml:space="preserve">Adham Magdy Mohamed Mohamed Ali (100079972)</t>
  </si>
  <si>
    <t xml:space="preserve">Amr Sherif Reda Hassan (100079240)</t>
  </si>
  <si>
    <t xml:space="preserve">100079229</t>
  </si>
  <si>
    <t xml:space="preserve">Habiba Mamdouh Salem Mahmoud</t>
  </si>
  <si>
    <t xml:space="preserve">Habiba Mamdouh Salem Mahmoud (100079229)</t>
  </si>
  <si>
    <t xml:space="preserve">100079241</t>
  </si>
  <si>
    <t xml:space="preserve">Marwa Issa Youssef Mahmoud</t>
  </si>
  <si>
    <t xml:space="preserve">Marwa Issa Youssef Mahmoud (100079241)</t>
  </si>
  <si>
    <t xml:space="preserve">100079234</t>
  </si>
  <si>
    <t xml:space="preserve">Marwan Abdullah Sayed Abdullah</t>
  </si>
  <si>
    <t xml:space="preserve">Marwan Abdullah Sayed Abdullah (100079234)</t>
  </si>
  <si>
    <t xml:space="preserve">100079232</t>
  </si>
  <si>
    <t xml:space="preserve">Moaaz Gouda Abdelmaksoud Mohammed</t>
  </si>
  <si>
    <t xml:space="preserve">Moaaz Gouda Abdelmaksoud Mohammed (100079232)</t>
  </si>
  <si>
    <t xml:space="preserve">100079231</t>
  </si>
  <si>
    <t xml:space="preserve">Mohamed Ahmed Abdelziz Ahmed</t>
  </si>
  <si>
    <t xml:space="preserve">Mohamed Ahmed Abdelziz Ahmed (100079231)</t>
  </si>
  <si>
    <t xml:space="preserve">100079224</t>
  </si>
  <si>
    <t xml:space="preserve">Mohamed Essam Mohamed Abd Elhamid</t>
  </si>
  <si>
    <t xml:space="preserve">Mohamed Essam Mohamed Abd Elhamid (100079224)</t>
  </si>
  <si>
    <t xml:space="preserve">100079243</t>
  </si>
  <si>
    <t xml:space="preserve">Mohamed Fathi Ahmed Hussien</t>
  </si>
  <si>
    <t xml:space="preserve">Mohamed Fathi Ahmed Hussien (100079243)</t>
  </si>
  <si>
    <t xml:space="preserve">100079230</t>
  </si>
  <si>
    <t xml:space="preserve">Mohamed Hussein Mohamed Hassan Sobh</t>
  </si>
  <si>
    <t xml:space="preserve">Mohamed Hussein Mohamed Hassan Sobh (100079230)</t>
  </si>
  <si>
    <t xml:space="preserve">100079221</t>
  </si>
  <si>
    <t xml:space="preserve">Mohamed Nabil Ahmed Fawzy Hassanien</t>
  </si>
  <si>
    <t xml:space="preserve">Mohamed Nabil Ahmed Fawzy Hassanien (100079221)</t>
  </si>
  <si>
    <t xml:space="preserve">100079237</t>
  </si>
  <si>
    <t xml:space="preserve">Monzer Ahmed Mohsen Mahmoud</t>
  </si>
  <si>
    <t xml:space="preserve">Monzer Ahmed Mohsen Mahmoud (100079237)</t>
  </si>
  <si>
    <t xml:space="preserve">100079233</t>
  </si>
  <si>
    <t xml:space="preserve">Motaz Mohamed Saeed Gebaly</t>
  </si>
  <si>
    <t xml:space="preserve">Motaz Mohamed Saeed Gebaly (100079233)</t>
  </si>
  <si>
    <t xml:space="preserve">100079242</t>
  </si>
  <si>
    <t xml:space="preserve">Mustafa Ali Abdelrehem Fouad</t>
  </si>
  <si>
    <t xml:space="preserve">Mustafa Ali Abdelrehem Fouad (100079242)</t>
  </si>
  <si>
    <t xml:space="preserve">100079245</t>
  </si>
  <si>
    <t xml:space="preserve">Omar Ahmed Mohamed Mahmoud</t>
  </si>
  <si>
    <t xml:space="preserve">Omar Ahmed Mohamed Mahmoud (100079245)</t>
  </si>
  <si>
    <t xml:space="preserve">100079238</t>
  </si>
  <si>
    <t xml:space="preserve">Sliem Yasser Salim Ayad Muslim</t>
  </si>
  <si>
    <t xml:space="preserve">Sliem Yasser Salim Ayad Muslim (100079238)</t>
  </si>
  <si>
    <t xml:space="preserve">100079227</t>
  </si>
  <si>
    <t xml:space="preserve">Youssef Ahmed Youssef Mahmoud</t>
  </si>
  <si>
    <t xml:space="preserve">Youssef Ahmed Youssef Mahmoud (100079227)</t>
  </si>
  <si>
    <t xml:space="preserve">Youssef Mohamed Elsayed Metwally (100079226)</t>
  </si>
  <si>
    <t xml:space="preserve">Abdelrahman Hassan Abdelhalim Moftah (100077679)</t>
  </si>
  <si>
    <t xml:space="preserve">Abdullah Ehab Ahmed Abdelsalam Elkady (100070317)</t>
  </si>
  <si>
    <t xml:space="preserve">Adham Tarek Kamal Elsherif (100064778)</t>
  </si>
  <si>
    <t xml:space="preserve">Wave 15</t>
  </si>
  <si>
    <t xml:space="preserve">100059949</t>
  </si>
  <si>
    <t xml:space="preserve">Ahd Mahmoud</t>
  </si>
  <si>
    <t xml:space="preserve">Ahd Mahmoud (100059949)</t>
  </si>
  <si>
    <t xml:space="preserve">Wave 12</t>
  </si>
  <si>
    <t xml:space="preserve">Ahmed Abdelrahman Salem Mohamed Sakr (100070304)</t>
  </si>
  <si>
    <t xml:space="preserve">100053648</t>
  </si>
  <si>
    <t xml:space="preserve">Aliaa Adel Mahmoud Fahmy Behiry</t>
  </si>
  <si>
    <t xml:space="preserve">Aliaa Adel Mahmoud Fahmy Behiry (100053648)</t>
  </si>
  <si>
    <t xml:space="preserve">Asser Mohamed Mohamed Said Ahmed Ahmed (100077693)</t>
  </si>
  <si>
    <t xml:space="preserve">Esraa Mostafa Ali Mostafa Zhran (100068350)</t>
  </si>
  <si>
    <t xml:space="preserve">Wave 19</t>
  </si>
  <si>
    <t xml:space="preserve">Germen Shohdy (100062651)</t>
  </si>
  <si>
    <t xml:space="preserve">Wave 14</t>
  </si>
  <si>
    <t xml:space="preserve">Jana Mohamed Ahmed Badawi Elsayed (100077673)</t>
  </si>
  <si>
    <t xml:space="preserve">Mahmoud Hamdi Mansour Haridi (100077683)</t>
  </si>
  <si>
    <t xml:space="preserve">Mina Ehab Nassif Kamel (100077675)</t>
  </si>
  <si>
    <t xml:space="preserve">Mohamed Alhussein Maher Hassan (100070945)</t>
  </si>
  <si>
    <t xml:space="preserve">Wave 21</t>
  </si>
  <si>
    <t xml:space="preserve">Mohamed Ali El Fouly Ahmed (100077698)</t>
  </si>
  <si>
    <t xml:space="preserve">Mohamed Hassan (100049624)</t>
  </si>
  <si>
    <t xml:space="preserve">Omar Abdelqader Aly (100070316)</t>
  </si>
  <si>
    <t xml:space="preserve">Omar Shreif Mohammed Nabil Shafik (100077681)</t>
  </si>
  <si>
    <t xml:space="preserve">100059946</t>
  </si>
  <si>
    <t xml:space="preserve">Safwat Mohamed</t>
  </si>
  <si>
    <t xml:space="preserve">Safwat Mohamed (100059946)</t>
  </si>
  <si>
    <t xml:space="preserve">Samir Abdelaziz Farid Ali Salem (100070308)</t>
  </si>
  <si>
    <t xml:space="preserve">Yassin Mohamed Fawzy Mostafa (100074089)</t>
  </si>
  <si>
    <t xml:space="preserve">Wave 26</t>
  </si>
  <si>
    <t xml:space="preserve">Youssef Yasser Gawdat Youssef (4300729)</t>
  </si>
  <si>
    <t xml:space="preserve">Wave 17</t>
  </si>
  <si>
    <t xml:space="preserve">Yusuf Mohammed Fathy Abdellatif Hassan Shahawey (100077676)</t>
  </si>
  <si>
    <t xml:space="preserve">Abanoub Reda Towadros Rofael (100076811)</t>
  </si>
  <si>
    <t xml:space="preserve">Ahmad Abdelftah Hanafy Etman (100066502)</t>
  </si>
  <si>
    <t xml:space="preserve">Belal Ashraf Ahmed Badran (100074628)</t>
  </si>
  <si>
    <t xml:space="preserve">Eyad Magdy Eid Mohamed (100076802)</t>
  </si>
  <si>
    <t xml:space="preserve">Gehad Khalaf Mohamed Ghanem (100064783)</t>
  </si>
  <si>
    <t xml:space="preserve">Hisham Ahmed Saad Abd Elnaby (100066503)</t>
  </si>
  <si>
    <t xml:space="preserve">Hussien Awad (100059950)</t>
  </si>
  <si>
    <t xml:space="preserve">Marwan Amir Mohamed Esmail (4300763)</t>
  </si>
  <si>
    <t xml:space="preserve">Mohamed Ahmed (100055944)</t>
  </si>
  <si>
    <t xml:space="preserve">Wave 10</t>
  </si>
  <si>
    <t xml:space="preserve">Mohamed Ashraf Hassan Al-Elemy (100062650)</t>
  </si>
  <si>
    <t xml:space="preserve">Mohamed Ehab Ahmed Abdelrahman (100070942)</t>
  </si>
  <si>
    <t xml:space="preserve">Muhammad Gamal Metwally Muhammad Alsharkawy (100066493)</t>
  </si>
  <si>
    <t xml:space="preserve">100061993</t>
  </si>
  <si>
    <t xml:space="preserve">Omar Wael Abdallah</t>
  </si>
  <si>
    <t xml:space="preserve">Omar Wael Abdallah (100061993)</t>
  </si>
  <si>
    <t xml:space="preserve">Wave 13</t>
  </si>
  <si>
    <t xml:space="preserve">Salsabeel Saeed Mohamed Elgamel Saad (100074079)</t>
  </si>
  <si>
    <t xml:space="preserve">Samuel Wadie Morgan Tawfik (100070319)</t>
  </si>
  <si>
    <t xml:space="preserve">Walaa Reda Abd El Galel Atta (100067084)</t>
  </si>
  <si>
    <t xml:space="preserve">Wave 18</t>
  </si>
  <si>
    <t xml:space="preserve">Youssef Sherif Gamal Attya (100074612)</t>
  </si>
  <si>
    <t xml:space="preserve">Abdallah Mohamed Abdallah Mahmoud Hammam (100074619)</t>
  </si>
  <si>
    <t xml:space="preserve">Abdelrahman Hassan Elsayed Katarya (100077685)</t>
  </si>
  <si>
    <t xml:space="preserve">Ali Hussien Ahmed Hameed (100071925)</t>
  </si>
  <si>
    <t xml:space="preserve">Wave 23</t>
  </si>
  <si>
    <t xml:space="preserve">Assem Morsy (100046118)</t>
  </si>
  <si>
    <t xml:space="preserve">Wave 6</t>
  </si>
  <si>
    <t xml:space="preserve">Badr Osama Ibrahim (100076814)</t>
  </si>
  <si>
    <t xml:space="preserve">Gasser Osama Esmail Youssef (100074076)</t>
  </si>
  <si>
    <t xml:space="preserve">Hussein Essam Elsayed Eldesoky Hussien (100074627)</t>
  </si>
  <si>
    <t xml:space="preserve">Hussien Ahmed Ahmed Eladawy (100074615)</t>
  </si>
  <si>
    <t xml:space="preserve">John Raouf Asaad Haana (100067085)</t>
  </si>
  <si>
    <t xml:space="preserve">Kareem Moustafa Kamal Mohammed Alatfy (100074639)</t>
  </si>
  <si>
    <t xml:space="preserve">Mark Alaa Maher Haleem (100066501)</t>
  </si>
  <si>
    <t xml:space="preserve">Mohamed Abdelhamed Mohamed Abdelwahed Al Soda (100074638)</t>
  </si>
  <si>
    <t xml:space="preserve">100076817</t>
  </si>
  <si>
    <t xml:space="preserve">Mohamed Saleh Hussein Mohamed (Hazem)</t>
  </si>
  <si>
    <t xml:space="preserve">Mohamed Saleh Hussein Mohamed (Hazem) (100076817)</t>
  </si>
  <si>
    <t xml:space="preserve">Mostafa Mohye Eldin Fouad Younis (100071939)</t>
  </si>
  <si>
    <t xml:space="preserve">Omar Sayed Mohammed Abdelhamid (100071936)</t>
  </si>
  <si>
    <t xml:space="preserve">Yousra Ali Elsayed Hussien (100071931)</t>
  </si>
  <si>
    <t xml:space="preserve">100079346</t>
  </si>
  <si>
    <t xml:space="preserve">Abdelrhman Galal Qurani Galal</t>
  </si>
  <si>
    <t xml:space="preserve">Abdelrhman Galal Qurani Galal (100079346)</t>
  </si>
  <si>
    <t xml:space="preserve">Wave 35</t>
  </si>
  <si>
    <t xml:space="preserve">100079262</t>
  </si>
  <si>
    <t xml:space="preserve">Abdelrhman Wael Saied Zidan</t>
  </si>
  <si>
    <t xml:space="preserve">Abdelrhman Wael Saied Zidan (100079262)</t>
  </si>
  <si>
    <t xml:space="preserve">100063446</t>
  </si>
  <si>
    <t xml:space="preserve">Abdullah Mohamed Mahmoud Abdelazez</t>
  </si>
  <si>
    <t xml:space="preserve">Abdullah Mohamed Mahmoud Abdelazez (100063446)</t>
  </si>
  <si>
    <t xml:space="preserve">100079255</t>
  </si>
  <si>
    <t xml:space="preserve">Amir Hany Shaker Mahmoud</t>
  </si>
  <si>
    <t xml:space="preserve">Amir Hany Shaker Mahmoud (100079255)</t>
  </si>
  <si>
    <t xml:space="preserve">100079258</t>
  </si>
  <si>
    <t xml:space="preserve">Eslam Ali Hussein Mohamed</t>
  </si>
  <si>
    <t xml:space="preserve">Eslam Ali Hussein Mohamed (100079258)</t>
  </si>
  <si>
    <t xml:space="preserve">100079261</t>
  </si>
  <si>
    <t xml:space="preserve">Esraa Abdelmonem Mohammed Ahmed</t>
  </si>
  <si>
    <t xml:space="preserve">Esraa Abdelmonem Mohammed Ahmed (100079261)</t>
  </si>
  <si>
    <t xml:space="preserve">100079246</t>
  </si>
  <si>
    <t xml:space="preserve">Ghofran Hussein Sayed Hussein</t>
  </si>
  <si>
    <t xml:space="preserve">Ghofran Hussein Sayed Hussein (100079246)</t>
  </si>
  <si>
    <t xml:space="preserve">100079264</t>
  </si>
  <si>
    <t xml:space="preserve">Hamza Mahmoud Ahmed Shehata</t>
  </si>
  <si>
    <t xml:space="preserve">Hamza Mahmoud Ahmed Shehata (100079264)</t>
  </si>
  <si>
    <t xml:space="preserve">100079251</t>
  </si>
  <si>
    <t xml:space="preserve">Ibrahim Mohamed Mousa Musallam</t>
  </si>
  <si>
    <t xml:space="preserve">Ibrahim Mohamed Mousa Musallam (100079251)</t>
  </si>
  <si>
    <t xml:space="preserve">100079260</t>
  </si>
  <si>
    <t xml:space="preserve">Iman Ayman Mohamed Alsorourey</t>
  </si>
  <si>
    <t xml:space="preserve">Iman Ayman Mohamed Alsorourey (100079260)</t>
  </si>
  <si>
    <t xml:space="preserve">100079249</t>
  </si>
  <si>
    <t xml:space="preserve">Ismail Ahmed Rifaat Moawad Fayed</t>
  </si>
  <si>
    <t xml:space="preserve">Ismail Ahmed Rifaat Moawad Fayed (100079249)</t>
  </si>
  <si>
    <t xml:space="preserve">100079252</t>
  </si>
  <si>
    <t xml:space="preserve">Maha Ossama Ibrahim Elsayed</t>
  </si>
  <si>
    <t xml:space="preserve">Maha Ossama Ibrahim Elsayed (100079252)</t>
  </si>
  <si>
    <t xml:space="preserve">100079256</t>
  </si>
  <si>
    <t xml:space="preserve">Mariam Alaa Eldin Abdelhamid Mohamed</t>
  </si>
  <si>
    <t xml:space="preserve">Mariam Alaa Eldin Abdelhamid Mohamed (100079256)</t>
  </si>
  <si>
    <t xml:space="preserve">100079250</t>
  </si>
  <si>
    <t xml:space="preserve">Mohamed Esmail Abd Rabo Ibrahim Youssef</t>
  </si>
  <si>
    <t xml:space="preserve">Mohamed Esmail Abd Rabo Ibrahim Youssef (100079250)</t>
  </si>
  <si>
    <t xml:space="preserve">100079244</t>
  </si>
  <si>
    <t xml:space="preserve">Mohamed Hafez Abd Elaziz Baseet</t>
  </si>
  <si>
    <t xml:space="preserve">Mohamed Hafez Abd Elaziz Baseet (100079244)</t>
  </si>
  <si>
    <t xml:space="preserve">100080361</t>
  </si>
  <si>
    <t xml:space="preserve">Mohanad Mohamed Khaled Noman Abdulamid Mohamed</t>
  </si>
  <si>
    <t xml:space="preserve">Mohanad Mohamed Khaled Noman Abdulamid Mohamed (100080361)</t>
  </si>
  <si>
    <t xml:space="preserve">100079253</t>
  </si>
  <si>
    <t xml:space="preserve">Mostafa Maher El Said Afifi</t>
  </si>
  <si>
    <t xml:space="preserve">Mostafa Maher El Said Afifi (100079253)</t>
  </si>
  <si>
    <t xml:space="preserve">100079248</t>
  </si>
  <si>
    <t xml:space="preserve">Shoaib Hussein Mohamed Mostafa</t>
  </si>
  <si>
    <t xml:space="preserve">Shoaib Hussein Mohamed Mostafa (100079248)</t>
  </si>
  <si>
    <t xml:space="preserve">100078221</t>
  </si>
  <si>
    <t xml:space="preserve">Yehia Amr Hussein Ibrahim</t>
  </si>
  <si>
    <t xml:space="preserve">Yehia Amr Hussein Ibrahim (100078221)</t>
  </si>
  <si>
    <t xml:space="preserve">Team Leaders</t>
  </si>
  <si>
    <t xml:space="preserve">Ops Managers</t>
  </si>
  <si>
    <t xml:space="preserve">Metrics</t>
  </si>
  <si>
    <t xml:space="preserve">Agents</t>
  </si>
  <si>
    <t xml:space="preserve">Yes/No</t>
  </si>
  <si>
    <t xml:space="preserve">Account Level – Day-over-Day (Cairo Repair TSX)</t>
  </si>
  <si>
    <t xml:space="preserve">Whole-account view, every business day (15:00 → 07:00 next day) in the tracker. Duplicate handling follows the Dashboard toggle. 7-Day Avg and WoW % are trailing calculations.</t>
  </si>
  <si>
    <t xml:space="preserve">DoD Δ Units</t>
  </si>
  <si>
    <t xml:space="preserve">XMC Yes</t>
  </si>
  <si>
    <t xml:space="preserve">XMC Asked</t>
  </si>
  <si>
    <t xml:space="preserve">E-SIM Activated</t>
  </si>
  <si>
    <t xml:space="preserve">E-SIM Asked</t>
  </si>
  <si>
    <t xml:space="preserve">Mobile Plus</t>
  </si>
  <si>
    <t xml:space="preserve">Devices Sold</t>
  </si>
  <si>
    <t xml:space="preserve">Not-in-Roster Entries</t>
  </si>
  <si>
    <t xml:space="preserve">Duplicates Flagged</t>
  </si>
  <si>
    <t xml:space="preserve">TOTAL</t>
  </si>
  <si>
    <t xml:space="preserve">Leader Level – Day-over-Day</t>
  </si>
  <si>
    <t xml:space="preserve">Pick a metric in B3. Summary rows use the Dashboard date range; the daily matrix shows every day. Right-hand block = day-over-day change.</t>
  </si>
  <si>
    <t xml:space="preserve">Metric ▶</t>
  </si>
  <si>
    <t xml:space="preserve">Account Total</t>
  </si>
  <si>
    <t xml:space="preserve">Headcount</t>
  </si>
  <si>
    <t xml:space="preserve">Period Total</t>
  </si>
  <si>
    <t xml:space="preserve">Last Day (To Date)</t>
  </si>
  <si>
    <t xml:space="preserve">Prior Day</t>
  </si>
  <si>
    <t xml:space="preserve">Rank (Period)</t>
  </si>
  <si>
    <t xml:space="preserve">Agent Level – Team Day-over-Day</t>
  </si>
  <si>
    <t xml:space="preserve">Pick a Team Leader in B3 and a metric in B4. Agents of that team load automatically. Summary rows use the Dashboard date range. Right-hand block = day-over-day change.</t>
  </si>
  <si>
    <t xml:space="preserve">Team Leader ▶</t>
  </si>
  <si>
    <t xml:space="preserve">Team Total</t>
  </si>
  <si>
    <t xml:space="preserve">Rank in Team</t>
  </si>
  <si>
    <t xml:space="preserve">Active Days (Period)</t>
  </si>
  <si>
    <t xml:space="preserve">Agent Summary – all roster agents (selected period &amp; scope from Dashboard)</t>
  </si>
  <si>
    <t xml:space="preserve">Data through ▶</t>
  </si>
  <si>
    <t xml:space="preserve">Period ▶</t>
  </si>
  <si>
    <t xml:space="preserve">Use the filter arrows to sort / filter. In Scope = 1 when the agent matches the Dashboard Ops Manager / Team Leader selection.</t>
  </si>
  <si>
    <t xml:space="preserve">Units / Active Day</t>
  </si>
  <si>
    <t xml:space="preserve">Last Sale Date</t>
  </si>
  <si>
    <t xml:space="preserve">Days Since Last Sale</t>
  </si>
  <si>
    <t xml:space="preserve">Rank (Scope)</t>
  </si>
  <si>
    <t xml:space="preserve">Rank (Team)</t>
  </si>
  <si>
    <t xml:space="preserve">In Scope</t>
  </si>
  <si>
    <t xml:space="preserve">ScoreHigh</t>
  </si>
  <si>
    <t xml:space="preserve">ScoreLow</t>
  </si>
  <si>
    <t xml:space="preserve">LastSaleSerial</t>
  </si>
  <si>
    <t xml:space="preserve">Single Agent – Daily Trend vs Team</t>
  </si>
  <si>
    <t xml:space="preserve">Pick an agent in B3 (type to search in the dropdown). Team Avg / Agent = team units that day ÷ team headcount.</t>
  </si>
  <si>
    <t xml:space="preserve">Agent ▶</t>
  </si>
  <si>
    <t xml:space="preserve">Period Units (Dashboard range)</t>
  </si>
  <si>
    <t xml:space="preserve">Rank in Team (Period)</t>
  </si>
  <si>
    <t xml:space="preserve">All-time Units</t>
  </si>
  <si>
    <t xml:space="preserve">Cumulative Units</t>
  </si>
  <si>
    <t xml:space="preserve">Team Avg / Agent</t>
  </si>
  <si>
    <t xml:space="preserve">vs Team Avg</t>
  </si>
  <si>
    <t xml:space="preserve">Single Leader – Day-over-Day Trend</t>
  </si>
  <si>
    <t xml:space="preserve">Pick a Team Leader in B3. Every day in the tracker with DoD change, 7-day average, week-over-week, participation and share of the account.</t>
  </si>
  <si>
    <t xml:space="preserve">Production / Training</t>
  </si>
  <si>
    <t xml:space="preserve">Best Day (units)</t>
  </si>
  <si>
    <t xml:space="preserve">Account Units</t>
  </si>
  <si>
    <t xml:space="preserve">Share of Account</t>
  </si>
  <si>
    <t xml:space="preserve">How to use this workbook</t>
  </si>
  <si>
    <t xml:space="preserve">Dashboard</t>
  </si>
  <si>
    <t xml:space="preserve">Control panel in C5:C9 (yellow). From/To dates drive every period figure; Ops Manager / Team Leader narrow the KPI tiles, Agent Summary, Top/Bottom lists and Live Insights. 'Exclude Duplicates' removes repeated submissions of the same order.</t>
  </si>
  <si>
    <t xml:space="preserve">Daily_Account</t>
  </si>
  <si>
    <t xml:space="preserve">Whole-account day-over-day for every day in the tracker: units, DoD Δ and %, trailing 7-day average, week-over-week (same weekday), active sellers, XMC attach, e-SIM activation, GSR type split, devices and data-quality counts.</t>
  </si>
  <si>
    <t xml:space="preserve">Daily_Leader</t>
  </si>
  <si>
    <t xml:space="preserve">Metric dropdown (B3). Summary rows 6-12 use the Dashboard date range; the matrix below shows each day for every Team Leader, with a day-over-day change block on the right.</t>
  </si>
  <si>
    <t xml:space="preserve">Daily_Agent</t>
  </si>
  <si>
    <t xml:space="preserve">Team Leader dropdown (B3) + metric (B4). Agents of the chosen team populate automatically with period totals, last-day vs prior-day, rank in team, active days, then a daily matrix and a DoD block.</t>
  </si>
  <si>
    <t xml:space="preserve">Leader_Trend</t>
  </si>
  <si>
    <t xml:space="preserve">One Team Leader (B3): every day with submissions / XM / GSR / units, DoD Δ and %, 7-day average, week-over-week, active sellers, participation %, units per head and share of the account, with two charts. The Dashboard also has a 'Leader Day-over-Day' matrix for the last 7 days.</t>
  </si>
  <si>
    <t xml:space="preserve">Agent_Trend</t>
  </si>
  <si>
    <t xml:space="preserve">One agent (B3): daily submissions / XM / GSR / units, DoD, 7-day average, cumulative and a comparison against the team's average per agent, with a chart.</t>
  </si>
  <si>
    <t xml:space="preserve">Agent_Summary</t>
  </si>
  <si>
    <t xml:space="preserve">All roster agents for the Dashboard period &amp; scope. Filter/sort with the header arrows. 'Rank (Scope)' ranks inside the current filter; 'Rank (Team)' ranks inside the agent's team. Red shading = no sale for more than 7 days.</t>
  </si>
  <si>
    <t xml:space="preserve">Insights</t>
  </si>
  <si>
    <t xml:space="preserve">Top block is live (formulas). Numbered sections are the analyst commentary computed from the full history at build time.</t>
  </si>
  <si>
    <t xml:space="preserve">Sales_Data</t>
  </si>
  <si>
    <t xml:space="preserve">Cleaned tracker: one row per form submission with mapped HRID, leader, ops manager, derived units and flags. 'Include' is the only formula column (duplicate toggle). Add new rows here to extend the data – keep the same columns and extend the formula ranges if you exceed row 3520.</t>
  </si>
  <si>
    <t xml:space="preserve">Roster / Lists</t>
  </si>
  <si>
    <t xml:space="preserve">Roster drives agent ↔ leader mapping and the dropdown lists. Team Key is a helper for the Daily_Agent sheet.</t>
  </si>
  <si>
    <t xml:space="preserve">Definitions</t>
  </si>
  <si>
    <t xml:space="preserve">XM Lines sold + GSR units. XM Lines = 'No. of XM Lines' (1 if blank). GSR units = 'Count of GSR' when present, otherwise the number of GSR types ticked (field only exists since 24 Aug 2026).</t>
  </si>
  <si>
    <t xml:space="preserve">Number of form entries (after the duplicate toggle).</t>
  </si>
  <si>
    <t xml:space="preserve">Active Sellers / Participation</t>
  </si>
  <si>
    <t xml:space="preserve">Roster agents with at least one unit in the period; participation = active ÷ headcount in scope. Agents not on the roster are shown separately as 'Not in Roster'.</t>
  </si>
  <si>
    <t xml:space="preserve">'Did you add XMC?' = Yes ÷ (Yes + No). E-SIM Activation % = 'Did you Activate the E-SIM?' Yes ÷ (Yes + No).</t>
  </si>
  <si>
    <t xml:space="preserve">The shift day, not the calendar day. The team works US hours from Cairo: a business day starts at 15:00 and ends at 07:00 the next morning, so any form submitted before 12:00 noon is assigned to the previous day (e.g. 4 Oct = 4 Oct 15:00 to 5 Oct 07:00). The original timestamp is kept in 'Completion Time'.</t>
  </si>
  <si>
    <t xml:space="preserve">Prior period</t>
  </si>
  <si>
    <t xml:space="preserve">The same number of days immediately before the From Date (shown in C11).</t>
  </si>
  <si>
    <t xml:space="preserve">Duplicate</t>
  </si>
  <si>
    <t xml:space="preserve">Same mapped HRID + account number + order number + entry type, where the order number is a 6-20 digit number. The first occurrence is kept.</t>
  </si>
  <si>
    <t xml:space="preserve">HRID mapping</t>
  </si>
  <si>
    <t xml:space="preserve">Digits only; 8-digit IDs starting with 100 and 10-digit IDs starting with 1000 are repaired when a unique roster match exists. Everything else is 'Not in Roster'.</t>
  </si>
  <si>
    <t xml:space="preserve">Fonts &amp; layout</t>
  </si>
  <si>
    <t xml:space="preserve">Calibri throughout, all cells centred, yellow = input cells, navy headers, green/red = day-over-day up/down.</t>
  </si>
</sst>
</file>

<file path=xl/styles.xml><?xml version="1.0" encoding="utf-8"?>
<styleSheet xmlns="http://schemas.openxmlformats.org/spreadsheetml/2006/main">
  <numFmts count="15">
    <numFmt numFmtId="164" formatCode="General"/>
    <numFmt numFmtId="165" formatCode="dd\-mmm\-yy"/>
    <numFmt numFmtId="166" formatCode="#,##0"/>
    <numFmt numFmtId="167" formatCode="\+#,##0;\-#,##0;0"/>
    <numFmt numFmtId="168" formatCode="0"/>
    <numFmt numFmtId="169" formatCode="0.00"/>
    <numFmt numFmtId="170" formatCode="0.0%"/>
    <numFmt numFmtId="171" formatCode="0.0"/>
    <numFmt numFmtId="172" formatCode="\+0.00;\-0.00;0.00"/>
    <numFmt numFmtId="173" formatCode="\+0.0%;\-0.0%;0.0%"/>
    <numFmt numFmtId="174" formatCode="\+0.0;\-0.0;0.0"/>
    <numFmt numFmtId="175" formatCode="ddd\ dd\-mmm"/>
    <numFmt numFmtId="176" formatCode="0%"/>
    <numFmt numFmtId="177" formatCode="dd\-mmm\-yy\ hh:mm"/>
    <numFmt numFmtId="178" formatCode="0.000000"/>
  </numFmts>
  <fonts count="26">
    <font>
      <sz val="11"/>
      <color theme="1"/>
      <name val="Calibri"/>
      <family val="2"/>
      <charset val="1"/>
    </font>
    <font>
      <sz val="10"/>
      <name val="Arial"/>
      <family val="0"/>
    </font>
    <font>
      <sz val="10"/>
      <name val="Arial"/>
      <family val="0"/>
    </font>
    <font>
      <sz val="10"/>
      <name val="Arial"/>
      <family val="0"/>
    </font>
    <font>
      <b val="true"/>
      <sz val="18"/>
      <color rgb="FF1F3864"/>
      <name val="Calibri"/>
      <family val="0"/>
      <charset val="1"/>
    </font>
    <font>
      <i val="true"/>
      <sz val="10"/>
      <color rgb="FF595959"/>
      <name val="Calibri"/>
      <family val="0"/>
      <charset val="1"/>
    </font>
    <font>
      <sz val="11"/>
      <color theme="1"/>
      <name val="Calibri"/>
      <family val="0"/>
      <charset val="1"/>
    </font>
    <font>
      <b val="true"/>
      <sz val="12"/>
      <color rgb="FFFFFFFF"/>
      <name val="Calibri"/>
      <family val="0"/>
      <charset val="1"/>
    </font>
    <font>
      <b val="true"/>
      <sz val="10"/>
      <color rgb="FFFFFFFF"/>
      <name val="Calibri"/>
      <family val="0"/>
      <charset val="1"/>
    </font>
    <font>
      <b val="true"/>
      <sz val="11"/>
      <color rgb="FF000000"/>
      <name val="Calibri"/>
      <family val="0"/>
      <charset val="1"/>
    </font>
    <font>
      <b val="true"/>
      <sz val="11"/>
      <color rgb="FF0000FF"/>
      <name val="Calibri"/>
      <family val="0"/>
      <charset val="1"/>
    </font>
    <font>
      <b val="true"/>
      <sz val="20"/>
      <color rgb="FF1F3864"/>
      <name val="Calibri"/>
      <family val="0"/>
      <charset val="1"/>
    </font>
    <font>
      <i val="true"/>
      <sz val="8"/>
      <color rgb="FF7F7F7F"/>
      <name val="Calibri"/>
      <family val="0"/>
      <charset val="1"/>
    </font>
    <font>
      <b val="true"/>
      <sz val="10"/>
      <color rgb="FF000000"/>
      <name val="Calibri"/>
      <family val="0"/>
      <charset val="1"/>
    </font>
    <font>
      <sz val="9"/>
      <color rgb="FF7F7F7F"/>
      <name val="Calibri"/>
      <family val="0"/>
      <charset val="1"/>
    </font>
    <font>
      <b val="true"/>
      <sz val="10"/>
      <color rgb="FF1F3864"/>
      <name val="Calibri"/>
      <family val="0"/>
      <charset val="1"/>
    </font>
    <font>
      <sz val="10"/>
      <color rgb="FF000000"/>
      <name val="Calibri"/>
      <family val="0"/>
      <charset val="1"/>
    </font>
    <font>
      <sz val="11"/>
      <color rgb="FF000000"/>
      <name val="Calibri"/>
      <family val="0"/>
      <charset val="1"/>
    </font>
    <font>
      <b val="true"/>
      <sz val="10"/>
      <color rgb="FF7F7F7F"/>
      <name val="Calibri"/>
      <family val="0"/>
      <charset val="1"/>
    </font>
    <font>
      <b val="true"/>
      <sz val="18"/>
      <color rgb="FF000000"/>
      <name val="Calibri"/>
      <family val="2"/>
    </font>
    <font>
      <sz val="10"/>
      <color rgb="FF000000"/>
      <name val="Calibri"/>
      <family val="2"/>
    </font>
    <font>
      <b val="true"/>
      <sz val="10"/>
      <color rgb="FF000000"/>
      <name val="Calibri"/>
      <family val="2"/>
    </font>
    <font>
      <b val="true"/>
      <sz val="10"/>
      <color rgb="FF2E75B6"/>
      <name val="Calibri"/>
      <family val="0"/>
      <charset val="1"/>
    </font>
    <font>
      <b val="true"/>
      <sz val="11"/>
      <color rgb="FF1F3864"/>
      <name val="Calibri"/>
      <family val="0"/>
      <charset val="1"/>
    </font>
    <font>
      <b val="true"/>
      <sz val="11"/>
      <color rgb="FFFFFFFF"/>
      <name val="Calibri"/>
      <family val="0"/>
      <charset val="1"/>
    </font>
    <font>
      <i val="true"/>
      <sz val="9"/>
      <color rgb="FF595959"/>
      <name val="Calibri"/>
      <family val="0"/>
      <charset val="1"/>
    </font>
  </fonts>
  <fills count="7">
    <fill>
      <patternFill patternType="none"/>
    </fill>
    <fill>
      <patternFill patternType="gray125"/>
    </fill>
    <fill>
      <patternFill patternType="solid">
        <fgColor rgb="FF2E75B6"/>
        <bgColor rgb="FF4A7EBB"/>
      </patternFill>
    </fill>
    <fill>
      <patternFill patternType="solid">
        <fgColor rgb="FF1F3864"/>
        <bgColor rgb="FF333333"/>
      </patternFill>
    </fill>
    <fill>
      <patternFill patternType="solid">
        <fgColor rgb="FFD9E1F2"/>
        <bgColor rgb="FFD9D9D9"/>
      </patternFill>
    </fill>
    <fill>
      <patternFill patternType="solid">
        <fgColor rgb="FFFFF2CC"/>
        <bgColor rgb="FFF2F2F2"/>
      </patternFill>
    </fill>
    <fill>
      <patternFill patternType="solid">
        <fgColor rgb="FFF2F2F2"/>
        <bgColor rgb="FFF9F9F9"/>
      </patternFill>
    </fill>
  </fills>
  <borders count="3">
    <border diagonalUp="false" diagonalDown="false">
      <left/>
      <right/>
      <top/>
      <bottom/>
      <diagonal/>
    </border>
    <border diagonalUp="false" diagonalDown="false">
      <left style="thin">
        <color rgb="FFBFBFBF"/>
      </left>
      <right/>
      <top style="thin">
        <color rgb="FFBFBFBF"/>
      </top>
      <bottom style="thin">
        <color rgb="FFBFBFBF"/>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center" vertical="center" textRotation="0" wrapText="false" indent="0" shrinkToFit="false"/>
      <protection locked="true" hidden="false"/>
    </xf>
    <xf numFmtId="164" fontId="6" fillId="0" borderId="0" xfId="0" applyFont="true" applyBorder="false" applyAlignment="true" applyProtection="false">
      <alignment horizontal="center" vertical="center" textRotation="0" wrapText="false" indent="0" shrinkToFit="false"/>
      <protection locked="true" hidden="false"/>
    </xf>
    <xf numFmtId="164" fontId="7" fillId="2" borderId="1" xfId="0" applyFont="true" applyBorder="true" applyAlignment="true" applyProtection="false">
      <alignment horizontal="center" vertical="center" textRotation="0" wrapText="false" indent="0" shrinkToFit="false"/>
      <protection locked="true" hidden="false"/>
    </xf>
    <xf numFmtId="164" fontId="8" fillId="3" borderId="2" xfId="0" applyFont="true" applyBorder="true" applyAlignment="true" applyProtection="false">
      <alignment horizontal="center" vertical="center" textRotation="0" wrapText="false" indent="0" shrinkToFit="false"/>
      <protection locked="true" hidden="false"/>
    </xf>
    <xf numFmtId="164" fontId="9" fillId="4" borderId="1" xfId="0" applyFont="true" applyBorder="true" applyAlignment="true" applyProtection="false">
      <alignment horizontal="center" vertical="center" textRotation="0" wrapText="false" indent="0" shrinkToFit="false"/>
      <protection locked="true" hidden="false"/>
    </xf>
    <xf numFmtId="165" fontId="10" fillId="5" borderId="2" xfId="0" applyFont="true" applyBorder="true" applyAlignment="true" applyProtection="false">
      <alignment horizontal="center" vertical="center" textRotation="0" wrapText="false" indent="0" shrinkToFit="false"/>
      <protection locked="true" hidden="false"/>
    </xf>
    <xf numFmtId="166" fontId="11" fillId="6" borderId="2" xfId="0" applyFont="true" applyBorder="true" applyAlignment="true" applyProtection="false">
      <alignment horizontal="center" vertical="center" textRotation="0" wrapText="false" indent="0" shrinkToFit="false"/>
      <protection locked="true" hidden="false"/>
    </xf>
    <xf numFmtId="167" fontId="9" fillId="6" borderId="2" xfId="0" applyFont="true" applyBorder="true" applyAlignment="true" applyProtection="false">
      <alignment horizontal="center" vertical="center" textRotation="0" wrapText="false" indent="0" shrinkToFit="false"/>
      <protection locked="true" hidden="false"/>
    </xf>
    <xf numFmtId="164" fontId="10" fillId="5" borderId="2" xfId="0" applyFont="true" applyBorder="true" applyAlignment="true" applyProtection="false">
      <alignment horizontal="center" vertical="center" textRotation="0" wrapText="false" indent="0" shrinkToFit="false"/>
      <protection locked="true" hidden="false"/>
    </xf>
    <xf numFmtId="164" fontId="12" fillId="6" borderId="2" xfId="0" applyFont="true" applyBorder="true" applyAlignment="true" applyProtection="false">
      <alignment horizontal="center" vertical="center" textRotation="0" wrapText="false" indent="0" shrinkToFit="false"/>
      <protection locked="true" hidden="false"/>
    </xf>
    <xf numFmtId="164" fontId="13" fillId="6" borderId="1" xfId="0" applyFont="true" applyBorder="true" applyAlignment="true" applyProtection="false">
      <alignment horizontal="center" vertical="center" textRotation="0" wrapText="false" indent="0" shrinkToFit="false"/>
      <protection locked="true" hidden="false"/>
    </xf>
    <xf numFmtId="168" fontId="13" fillId="6" borderId="2" xfId="0" applyFont="true" applyBorder="true" applyAlignment="true" applyProtection="false">
      <alignment horizontal="center" vertical="center" textRotation="0" wrapText="false" indent="0" shrinkToFit="false"/>
      <protection locked="true" hidden="false"/>
    </xf>
    <xf numFmtId="169" fontId="11" fillId="6" borderId="2" xfId="0" applyFont="true" applyBorder="true" applyAlignment="true" applyProtection="false">
      <alignment horizontal="center" vertical="center" textRotation="0" wrapText="false" indent="0" shrinkToFit="false"/>
      <protection locked="true" hidden="false"/>
    </xf>
    <xf numFmtId="170" fontId="11" fillId="6" borderId="2" xfId="0" applyFont="true" applyBorder="true" applyAlignment="true" applyProtection="false">
      <alignment horizontal="center" vertical="center" textRotation="0" wrapText="false" indent="0" shrinkToFit="false"/>
      <protection locked="true" hidden="false"/>
    </xf>
    <xf numFmtId="171" fontId="11" fillId="6" borderId="2" xfId="0" applyFont="true" applyBorder="true" applyAlignment="true" applyProtection="false">
      <alignment horizontal="center" vertical="center" textRotation="0" wrapText="false" indent="0" shrinkToFit="false"/>
      <protection locked="true" hidden="false"/>
    </xf>
    <xf numFmtId="164" fontId="13" fillId="6" borderId="2" xfId="0" applyFont="true" applyBorder="true" applyAlignment="true" applyProtection="false">
      <alignment horizontal="center" vertical="center" textRotation="0" wrapText="false" indent="0" shrinkToFit="false"/>
      <protection locked="true" hidden="false"/>
    </xf>
    <xf numFmtId="172" fontId="9" fillId="6" borderId="2" xfId="0" applyFont="true" applyBorder="true" applyAlignment="true" applyProtection="false">
      <alignment horizontal="center" vertical="center" textRotation="0" wrapText="false" indent="0" shrinkToFit="false"/>
      <protection locked="true" hidden="false"/>
    </xf>
    <xf numFmtId="173" fontId="9" fillId="6" borderId="2" xfId="0" applyFont="true" applyBorder="true" applyAlignment="true" applyProtection="false">
      <alignment horizontal="center" vertical="center" textRotation="0" wrapText="false" indent="0" shrinkToFit="false"/>
      <protection locked="true" hidden="false"/>
    </xf>
    <xf numFmtId="174" fontId="9" fillId="6" borderId="2" xfId="0" applyFont="true" applyBorder="true" applyAlignment="true" applyProtection="false">
      <alignment horizontal="center" vertical="center" textRotation="0" wrapText="false" indent="0" shrinkToFit="false"/>
      <protection locked="true" hidden="false"/>
    </xf>
    <xf numFmtId="164" fontId="14" fillId="6" borderId="1" xfId="0" applyFont="true" applyBorder="true" applyAlignment="true" applyProtection="false">
      <alignment horizontal="center" vertical="center" textRotation="0" wrapText="false" indent="0" shrinkToFit="false"/>
      <protection locked="true" hidden="false"/>
    </xf>
    <xf numFmtId="165" fontId="14" fillId="6" borderId="2" xfId="0" applyFont="true" applyBorder="true" applyAlignment="true" applyProtection="false">
      <alignment horizontal="center" vertical="center" textRotation="0" wrapText="false" indent="0" shrinkToFit="false"/>
      <protection locked="true" hidden="false"/>
    </xf>
    <xf numFmtId="164" fontId="14" fillId="6" borderId="2" xfId="0" applyFont="true" applyBorder="true" applyAlignment="true" applyProtection="false">
      <alignment horizontal="center" vertical="center" textRotation="0" wrapText="false" indent="0" shrinkToFit="false"/>
      <protection locked="true" hidden="false"/>
    </xf>
    <xf numFmtId="164" fontId="15" fillId="4" borderId="2" xfId="0" applyFont="true" applyBorder="true" applyAlignment="true" applyProtection="false">
      <alignment horizontal="center" vertical="center" textRotation="0" wrapText="true" indent="0" shrinkToFit="false"/>
      <protection locked="true" hidden="false"/>
    </xf>
    <xf numFmtId="165" fontId="13" fillId="0" borderId="2" xfId="0" applyFont="true" applyBorder="true" applyAlignment="true" applyProtection="false">
      <alignment horizontal="center" vertical="center" textRotation="0" wrapText="false" indent="0" shrinkToFit="false"/>
      <protection locked="true" hidden="false"/>
    </xf>
    <xf numFmtId="166" fontId="16" fillId="0" borderId="2" xfId="0" applyFont="true" applyBorder="true" applyAlignment="true" applyProtection="false">
      <alignment horizontal="center" vertical="center" textRotation="0" wrapText="false" indent="0" shrinkToFit="false"/>
      <protection locked="true" hidden="false"/>
    </xf>
    <xf numFmtId="166" fontId="13" fillId="0" borderId="2" xfId="0" applyFont="true" applyBorder="true" applyAlignment="true" applyProtection="false">
      <alignment horizontal="center" vertical="center" textRotation="0" wrapText="false" indent="0" shrinkToFit="false"/>
      <protection locked="true" hidden="false"/>
    </xf>
    <xf numFmtId="167" fontId="16" fillId="0" borderId="2" xfId="0" applyFont="true" applyBorder="true" applyAlignment="true" applyProtection="false">
      <alignment horizontal="center" vertical="center" textRotation="0" wrapText="false" indent="0" shrinkToFit="false"/>
      <protection locked="true" hidden="false"/>
    </xf>
    <xf numFmtId="173" fontId="16" fillId="0" borderId="2" xfId="0" applyFont="true" applyBorder="true" applyAlignment="true" applyProtection="false">
      <alignment horizontal="center" vertical="center" textRotation="0" wrapText="false" indent="0" shrinkToFit="false"/>
      <protection locked="true" hidden="false"/>
    </xf>
    <xf numFmtId="171" fontId="16" fillId="0" borderId="2" xfId="0" applyFont="true" applyBorder="true" applyAlignment="true" applyProtection="false">
      <alignment horizontal="center" vertical="center" textRotation="0" wrapText="false" indent="0" shrinkToFit="false"/>
      <protection locked="true" hidden="false"/>
    </xf>
    <xf numFmtId="169" fontId="16" fillId="0" borderId="2" xfId="0" applyFont="true" applyBorder="true" applyAlignment="true" applyProtection="false">
      <alignment horizontal="center" vertical="center" textRotation="0" wrapText="false" indent="0" shrinkToFit="false"/>
      <protection locked="true" hidden="false"/>
    </xf>
    <xf numFmtId="170" fontId="16" fillId="0" borderId="2" xfId="0" applyFont="true" applyBorder="true" applyAlignment="true" applyProtection="false">
      <alignment horizontal="center" vertical="center" textRotation="0" wrapText="false" indent="0" shrinkToFit="false"/>
      <protection locked="true" hidden="false"/>
    </xf>
    <xf numFmtId="168" fontId="13" fillId="0" borderId="2" xfId="0" applyFont="true" applyBorder="true" applyAlignment="true" applyProtection="false">
      <alignment horizontal="center" vertical="center" textRotation="0" wrapText="false" indent="0" shrinkToFit="false"/>
      <protection locked="true" hidden="false"/>
    </xf>
    <xf numFmtId="164" fontId="17" fillId="3" borderId="2" xfId="0" applyFont="true" applyBorder="true" applyAlignment="true" applyProtection="false">
      <alignment horizontal="center" vertical="center" textRotation="0" wrapText="false" indent="0" shrinkToFit="false"/>
      <protection locked="true" hidden="false"/>
    </xf>
    <xf numFmtId="166" fontId="13" fillId="4" borderId="2" xfId="0" applyFont="true" applyBorder="true" applyAlignment="true" applyProtection="false">
      <alignment horizontal="center" vertical="center" textRotation="0" wrapText="false" indent="0" shrinkToFit="false"/>
      <protection locked="true" hidden="false"/>
    </xf>
    <xf numFmtId="169" fontId="13" fillId="4" borderId="2" xfId="0" applyFont="true" applyBorder="true" applyAlignment="true" applyProtection="false">
      <alignment horizontal="center" vertical="center" textRotation="0" wrapText="false" indent="0" shrinkToFit="false"/>
      <protection locked="true" hidden="false"/>
    </xf>
    <xf numFmtId="170" fontId="13" fillId="4" borderId="2" xfId="0" applyFont="true" applyBorder="true" applyAlignment="true" applyProtection="false">
      <alignment horizontal="center" vertical="center" textRotation="0" wrapText="false" indent="0" shrinkToFit="false"/>
      <protection locked="true" hidden="false"/>
    </xf>
    <xf numFmtId="167" fontId="13" fillId="4" borderId="2" xfId="0" applyFont="true" applyBorder="true" applyAlignment="true" applyProtection="false">
      <alignment horizontal="center" vertical="center" textRotation="0" wrapText="false" indent="0" shrinkToFit="false"/>
      <protection locked="true" hidden="false"/>
    </xf>
    <xf numFmtId="173" fontId="13" fillId="4" borderId="2" xfId="0" applyFont="true" applyBorder="true" applyAlignment="true" applyProtection="false">
      <alignment horizontal="center" vertical="center" textRotation="0" wrapText="false" indent="0" shrinkToFit="false"/>
      <protection locked="true" hidden="false"/>
    </xf>
    <xf numFmtId="164" fontId="17" fillId="6" borderId="2" xfId="0" applyFont="true" applyBorder="true" applyAlignment="true" applyProtection="false">
      <alignment horizontal="center" vertical="center" textRotation="0" wrapText="false" indent="0" shrinkToFit="false"/>
      <protection locked="true" hidden="false"/>
    </xf>
    <xf numFmtId="164" fontId="18" fillId="6" borderId="1" xfId="0" applyFont="true" applyBorder="true" applyAlignment="true" applyProtection="false">
      <alignment horizontal="center" vertical="center" textRotation="0" wrapText="false" indent="0" shrinkToFit="false"/>
      <protection locked="true" hidden="false"/>
    </xf>
    <xf numFmtId="164" fontId="16" fillId="6" borderId="2" xfId="0" applyFont="true" applyBorder="true" applyAlignment="true" applyProtection="false">
      <alignment horizontal="center" vertical="center" textRotation="0" wrapText="false" indent="0" shrinkToFit="false"/>
      <protection locked="true" hidden="false"/>
    </xf>
    <xf numFmtId="166" fontId="16" fillId="6" borderId="2" xfId="0" applyFont="true" applyBorder="true" applyAlignment="true" applyProtection="false">
      <alignment horizontal="center" vertical="center" textRotation="0" wrapText="false" indent="0" shrinkToFit="false"/>
      <protection locked="true" hidden="false"/>
    </xf>
    <xf numFmtId="166" fontId="13" fillId="6" borderId="2" xfId="0" applyFont="true" applyBorder="true" applyAlignment="true" applyProtection="false">
      <alignment horizontal="center" vertical="center" textRotation="0" wrapText="false" indent="0" shrinkToFit="false"/>
      <protection locked="true" hidden="false"/>
    </xf>
    <xf numFmtId="167" fontId="16" fillId="6" borderId="2" xfId="0" applyFont="true" applyBorder="true" applyAlignment="true" applyProtection="false">
      <alignment horizontal="center" vertical="center" textRotation="0" wrapText="false" indent="0" shrinkToFit="false"/>
      <protection locked="true" hidden="false"/>
    </xf>
    <xf numFmtId="164" fontId="15" fillId="4" borderId="2" xfId="0" applyFont="true" applyBorder="true" applyAlignment="true" applyProtection="false">
      <alignment horizontal="center" vertical="center" textRotation="0" wrapText="false" indent="0" shrinkToFit="false"/>
      <protection locked="true" hidden="false"/>
    </xf>
    <xf numFmtId="175" fontId="15" fillId="4" borderId="2" xfId="0" applyFont="true" applyBorder="true" applyAlignment="true" applyProtection="false">
      <alignment horizontal="center" vertical="center" textRotation="0" wrapText="false" indent="0" shrinkToFit="false"/>
      <protection locked="true" hidden="false"/>
    </xf>
    <xf numFmtId="164" fontId="13" fillId="0" borderId="2" xfId="0" applyFont="true" applyBorder="true" applyAlignment="true" applyProtection="false">
      <alignment horizontal="center" vertical="center" textRotation="0" wrapText="false" indent="0" shrinkToFit="false"/>
      <protection locked="true" hidden="false"/>
    </xf>
    <xf numFmtId="167" fontId="13" fillId="0" borderId="2" xfId="0" applyFont="true" applyBorder="true" applyAlignment="true" applyProtection="false">
      <alignment horizontal="center" vertical="center" textRotation="0" wrapText="false" indent="0" shrinkToFit="false"/>
      <protection locked="true" hidden="false"/>
    </xf>
    <xf numFmtId="171" fontId="13" fillId="4" borderId="2" xfId="0" applyFont="true" applyBorder="true" applyAlignment="true" applyProtection="false">
      <alignment horizontal="center" vertical="center" textRotation="0" wrapText="false" indent="0" shrinkToFit="false"/>
      <protection locked="true" hidden="false"/>
    </xf>
    <xf numFmtId="164" fontId="16" fillId="4" borderId="2" xfId="0" applyFont="true" applyBorder="true" applyAlignment="true" applyProtection="false">
      <alignment horizontal="center" vertical="center" textRotation="0" wrapText="false" indent="0" shrinkToFit="false"/>
      <protection locked="true" hidden="false"/>
    </xf>
    <xf numFmtId="168" fontId="16" fillId="0" borderId="2" xfId="0" applyFont="true" applyBorder="true" applyAlignment="true" applyProtection="false">
      <alignment horizontal="center" vertical="center" textRotation="0" wrapText="false" indent="0" shrinkToFit="false"/>
      <protection locked="true" hidden="false"/>
    </xf>
    <xf numFmtId="164" fontId="16" fillId="0" borderId="2" xfId="0" applyFont="true" applyBorder="true" applyAlignment="true" applyProtection="false">
      <alignment horizontal="center" vertical="center" textRotation="0" wrapText="false" indent="0" shrinkToFit="false"/>
      <protection locked="true" hidden="false"/>
    </xf>
    <xf numFmtId="165" fontId="16" fillId="0" borderId="2" xfId="0" applyFont="true" applyBorder="true" applyAlignment="true" applyProtection="false">
      <alignment horizontal="center" vertical="center" textRotation="0" wrapText="false" indent="0" shrinkToFit="false"/>
      <protection locked="true" hidden="false"/>
    </xf>
    <xf numFmtId="164" fontId="17" fillId="2" borderId="0" xfId="0" applyFont="true" applyBorder="false" applyAlignment="true" applyProtection="false">
      <alignment horizontal="center" vertical="center" textRotation="0" wrapText="false" indent="0" shrinkToFit="false"/>
      <protection locked="true" hidden="false"/>
    </xf>
    <xf numFmtId="164" fontId="7" fillId="2" borderId="2" xfId="0" applyFont="true" applyBorder="true" applyAlignment="true" applyProtection="false">
      <alignment horizontal="center" vertical="center" textRotation="0" wrapText="false" indent="0" shrinkToFit="false"/>
      <protection locked="true" hidden="false"/>
    </xf>
    <xf numFmtId="164" fontId="22" fillId="0" borderId="0" xfId="0" applyFont="true" applyBorder="false" applyAlignment="true" applyProtection="false">
      <alignment horizontal="center" vertical="center" textRotation="0" wrapText="false" indent="0" shrinkToFit="false"/>
      <protection locked="true" hidden="false"/>
    </xf>
    <xf numFmtId="164" fontId="23" fillId="6" borderId="2" xfId="0" applyFont="true" applyBorder="true" applyAlignment="true" applyProtection="false">
      <alignment horizontal="center" vertical="center" textRotation="0" wrapText="true" indent="0" shrinkToFit="false"/>
      <protection locked="true" hidden="false"/>
    </xf>
    <xf numFmtId="164" fontId="15" fillId="0" borderId="0" xfId="0" applyFont="true" applyBorder="false" applyAlignment="true" applyProtection="false">
      <alignment horizontal="center" vertical="center" textRotation="0" wrapText="false" indent="0" shrinkToFit="false"/>
      <protection locked="true" hidden="false"/>
    </xf>
    <xf numFmtId="164" fontId="17" fillId="0" borderId="0" xfId="0" applyFont="true" applyBorder="false" applyAlignment="true" applyProtection="false">
      <alignment horizontal="center" vertical="center" textRotation="0" wrapText="true" indent="0" shrinkToFit="false"/>
      <protection locked="true" hidden="false"/>
    </xf>
    <xf numFmtId="164" fontId="24" fillId="3" borderId="2" xfId="0" applyFont="true" applyBorder="true" applyAlignment="true" applyProtection="false">
      <alignment horizontal="center" vertical="center" textRotation="0" wrapText="true" indent="0" shrinkToFit="false"/>
      <protection locked="true" hidden="false"/>
    </xf>
    <xf numFmtId="164" fontId="16" fillId="0" borderId="0" xfId="0" applyFont="true" applyBorder="false" applyAlignment="true" applyProtection="false">
      <alignment horizontal="center" vertical="center" textRotation="0" wrapText="false" indent="0" shrinkToFit="false"/>
      <protection locked="true" hidden="false"/>
    </xf>
    <xf numFmtId="177" fontId="16" fillId="0" borderId="0" xfId="0" applyFont="true" applyBorder="false" applyAlignment="true" applyProtection="false">
      <alignment horizontal="center" vertical="center" textRotation="0" wrapText="false" indent="0" shrinkToFit="false"/>
      <protection locked="true" hidden="false"/>
    </xf>
    <xf numFmtId="165" fontId="16" fillId="0" borderId="0" xfId="0" applyFont="true" applyBorder="false" applyAlignment="true" applyProtection="false">
      <alignment horizontal="center" vertical="center" textRotation="0" wrapText="false" indent="0" shrinkToFit="false"/>
      <protection locked="true" hidden="false"/>
    </xf>
    <xf numFmtId="164" fontId="16" fillId="3" borderId="2" xfId="0" applyFont="true" applyBorder="true" applyAlignment="true" applyProtection="false">
      <alignment horizontal="center" vertical="center" textRotation="0" wrapText="false" indent="0" shrinkToFit="false"/>
      <protection locked="true" hidden="false"/>
    </xf>
    <xf numFmtId="164" fontId="9" fillId="4" borderId="2" xfId="0" applyFont="true" applyBorder="true" applyAlignment="true" applyProtection="false">
      <alignment horizontal="center" vertical="center" textRotation="0" wrapText="false" indent="0" shrinkToFit="false"/>
      <protection locked="true" hidden="false"/>
    </xf>
    <xf numFmtId="164" fontId="8" fillId="3" borderId="2" xfId="0" applyFont="true" applyBorder="true" applyAlignment="true" applyProtection="false">
      <alignment horizontal="center" vertical="center" textRotation="0" wrapText="true" indent="0" shrinkToFit="false"/>
      <protection locked="true" hidden="false"/>
    </xf>
    <xf numFmtId="164" fontId="13" fillId="4" borderId="2" xfId="0" applyFont="true" applyBorder="true" applyAlignment="true" applyProtection="false">
      <alignment horizontal="center" vertical="center" textRotation="0" wrapText="false" indent="0" shrinkToFit="false"/>
      <protection locked="true" hidden="false"/>
    </xf>
    <xf numFmtId="164" fontId="17" fillId="0" borderId="0" xfId="0" applyFont="true" applyBorder="false" applyAlignment="true" applyProtection="false">
      <alignment horizontal="center" vertical="center" textRotation="0" wrapText="false" indent="0" shrinkToFit="false"/>
      <protection locked="true" hidden="false"/>
    </xf>
    <xf numFmtId="164" fontId="8" fillId="2" borderId="2" xfId="0" applyFont="true" applyBorder="true" applyAlignment="true" applyProtection="false">
      <alignment horizontal="center" vertical="center" textRotation="0" wrapText="false" indent="0" shrinkToFit="false"/>
      <protection locked="true" hidden="false"/>
    </xf>
    <xf numFmtId="164" fontId="8" fillId="2" borderId="2" xfId="0" applyFont="true" applyBorder="true" applyAlignment="true" applyProtection="false">
      <alignment horizontal="center" vertical="center" textRotation="0" wrapText="true" indent="0" shrinkToFit="false"/>
      <protection locked="true" hidden="false"/>
    </xf>
    <xf numFmtId="175" fontId="13" fillId="0" borderId="2" xfId="0" applyFont="true" applyBorder="true" applyAlignment="true" applyProtection="false">
      <alignment horizontal="center" vertical="center" textRotation="0" wrapText="false" indent="0" shrinkToFit="false"/>
      <protection locked="true" hidden="false"/>
    </xf>
    <xf numFmtId="164" fontId="25" fillId="0" borderId="0" xfId="0" applyFont="true" applyBorder="false" applyAlignment="true" applyProtection="false">
      <alignment horizontal="center" vertical="center" textRotation="0" wrapText="false" indent="0" shrinkToFit="false"/>
      <protection locked="true" hidden="false"/>
    </xf>
    <xf numFmtId="178" fontId="16" fillId="0" borderId="2" xfId="0" applyFont="true" applyBorder="true" applyAlignment="true" applyProtection="false">
      <alignment horizontal="center" vertical="center" textRotation="0" wrapText="false" indent="0" shrinkToFit="false"/>
      <protection locked="true" hidden="false"/>
    </xf>
    <xf numFmtId="164" fontId="10" fillId="5" borderId="1" xfId="0" applyFont="true" applyBorder="true" applyAlignment="true" applyProtection="false">
      <alignment horizontal="center" vertical="center" textRotation="0" wrapText="false" indent="0" shrinkToFit="false"/>
      <protection locked="true" hidden="false"/>
    </xf>
    <xf numFmtId="166" fontId="13" fillId="0" borderId="1" xfId="0" applyFont="true" applyBorder="true" applyAlignment="true" applyProtection="false">
      <alignment horizontal="center" vertical="center" textRotation="0" wrapText="false" indent="0" shrinkToFit="false"/>
      <protection locked="true" hidden="false"/>
    </xf>
    <xf numFmtId="165" fontId="13" fillId="0" borderId="1" xfId="0" applyFont="true" applyBorder="true" applyAlignment="true" applyProtection="false">
      <alignment horizontal="center" vertical="center" textRotation="0" wrapText="false" indent="0" shrinkToFit="false"/>
      <protection locked="true" hidden="false"/>
    </xf>
    <xf numFmtId="172" fontId="16" fillId="0" borderId="2" xfId="0" applyFont="true" applyBorder="true" applyAlignment="true" applyProtection="false">
      <alignment horizontal="center" vertical="center" textRotation="0" wrapText="false" indent="0" shrinkToFit="false"/>
      <protection locked="true" hidden="false"/>
    </xf>
    <xf numFmtId="164" fontId="13" fillId="0" borderId="1" xfId="0" applyFont="true" applyBorder="true" applyAlignment="true" applyProtection="false">
      <alignment horizontal="center" vertical="center" textRotation="0" wrapText="false" indent="0" shrinkToFit="false"/>
      <protection locked="true" hidden="false"/>
    </xf>
    <xf numFmtId="168" fontId="13" fillId="0" borderId="1" xfId="0" applyFont="true" applyBorder="true" applyAlignment="true" applyProtection="false">
      <alignment horizontal="center" vertical="center" textRotation="0" wrapText="false" indent="0" shrinkToFit="false"/>
      <protection locked="true" hidden="false"/>
    </xf>
    <xf numFmtId="176" fontId="16" fillId="0" borderId="2" xfId="0" applyFont="true" applyBorder="true" applyAlignment="true" applyProtection="false">
      <alignment horizontal="center" vertical="center" textRotation="0" wrapText="false" indent="0" shrinkToFit="false"/>
      <protection locked="true" hidden="false"/>
    </xf>
    <xf numFmtId="164" fontId="17" fillId="4" borderId="2" xfId="0" applyFont="true" applyBorder="true" applyAlignment="true" applyProtection="false">
      <alignment horizontal="center" vertical="center" textRotation="0" wrapText="false" indent="0" shrinkToFit="false"/>
      <protection locked="true" hidden="false"/>
    </xf>
    <xf numFmtId="176" fontId="13" fillId="4" borderId="2" xfId="0" applyFont="true" applyBorder="true" applyAlignment="true" applyProtection="false">
      <alignment horizontal="center" vertical="center" textRotation="0" wrapText="false" indent="0" shrinkToFit="false"/>
      <protection locked="true" hidden="false"/>
    </xf>
    <xf numFmtId="164" fontId="16" fillId="0" borderId="2" xfId="0" applyFont="true" applyBorder="true" applyAlignment="true" applyProtection="false">
      <alignment horizontal="center" vertical="center" textRotation="0" wrapText="true" indent="0" shrinkToFit="false"/>
      <protection locked="true" hidden="false"/>
    </xf>
    <xf numFmtId="164" fontId="17" fillId="2" borderId="2"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ont>
        <name val="Calibri"/>
        <charset val="1"/>
        <family val="0"/>
        <b val="1"/>
        <color rgb="FF1E8449"/>
      </font>
    </dxf>
    <dxf>
      <font>
        <name val="Calibri"/>
        <charset val="1"/>
        <family val="0"/>
        <b val="1"/>
        <color rgb="FFC0392B"/>
      </font>
    </dxf>
    <dxf>
      <fill>
        <patternFill>
          <bgColor rgb="FFF8CBAD"/>
        </patternFill>
      </fill>
    </dxf>
    <dxf>
      <fill>
        <patternFill patternType="solid">
          <fgColor rgb="FF1F3864"/>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ont>
        <name val="Calibri"/>
        <charset val="1"/>
        <family val="0"/>
        <color rgb="FF1E8449"/>
      </font>
    </dxf>
    <dxf>
      <font>
        <name val="Calibri"/>
        <charset val="1"/>
        <family val="0"/>
        <color rgb="FFC0392B"/>
      </font>
    </dxf>
    <dxf>
      <fill>
        <patternFill patternType="solid">
          <fgColor rgb="FF1E8449"/>
          <bgColor rgb="FF000000"/>
        </patternFill>
      </fill>
    </dxf>
    <dxf>
      <fill>
        <patternFill patternType="solid">
          <fgColor rgb="FFC0392B"/>
          <bgColor rgb="FF000000"/>
        </patternFill>
      </fill>
    </dxf>
    <dxf>
      <fill>
        <patternFill patternType="solid">
          <fgColor rgb="FFF8CBA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548235"/>
      <rgbColor rgb="FF800080"/>
      <rgbColor rgb="FF4F81BD"/>
      <rgbColor rgb="FFBFBFBF"/>
      <rgbColor rgb="FF7F7F7F"/>
      <rgbColor rgb="FF9999FF"/>
      <rgbColor rgb="FFBE4B48"/>
      <rgbColor rgb="FFFFF2CC"/>
      <rgbColor rgb="FFF2F2F2"/>
      <rgbColor rgb="FF660066"/>
      <rgbColor rgb="FFFF8080"/>
      <rgbColor rgb="FF4A7EBB"/>
      <rgbColor rgb="FFD9D9D9"/>
      <rgbColor rgb="FF000080"/>
      <rgbColor rgb="FFFF00FF"/>
      <rgbColor rgb="FFFFFF00"/>
      <rgbColor rgb="FF00FFFF"/>
      <rgbColor rgb="FF800080"/>
      <rgbColor rgb="FF800000"/>
      <rgbColor rgb="FF008080"/>
      <rgbColor rgb="FF0000FF"/>
      <rgbColor rgb="FF00CCFF"/>
      <rgbColor rgb="FFD9E1F2"/>
      <rgbColor rgb="FFF9F9F9"/>
      <rgbColor rgb="FFFFFF99"/>
      <rgbColor rgb="FF99CCFF"/>
      <rgbColor rgb="FFFF99CC"/>
      <rgbColor rgb="FFCC99FF"/>
      <rgbColor rgb="FFF8CBAD"/>
      <rgbColor rgb="FF2E75B6"/>
      <rgbColor rgb="FF33CCCC"/>
      <rgbColor rgb="FF99CC00"/>
      <rgbColor rgb="FFFFCC00"/>
      <rgbColor rgb="FFFF9900"/>
      <rgbColor rgb="FFFF6600"/>
      <rgbColor rgb="FF595959"/>
      <rgbColor rgb="FF878787"/>
      <rgbColor rgb="FF1F3864"/>
      <rgbColor rgb="FF1E8449"/>
      <rgbColor rgb="FF003300"/>
      <rgbColor rgb="FF333300"/>
      <rgbColor rgb="FFC0392B"/>
      <rgbColor rgb="FFC0504D"/>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Account – daily Total Units with 7-day average</a:t>
            </a:r>
          </a:p>
        </c:rich>
      </c:tx>
      <c:overlay val="0"/>
      <c:spPr>
        <a:noFill/>
        <a:ln w="0">
          <a:noFill/>
        </a:ln>
      </c:spPr>
    </c:title>
    <c:autoTitleDeleted val="0"/>
    <c:plotArea>
      <c:lineChart>
        <c:grouping val="standard"/>
        <c:varyColors val="0"/>
        <c:ser>
          <c:idx val="0"/>
          <c:order val="0"/>
          <c:tx>
            <c:strRef>
              <c:f>Daily_Account!F3</c:f>
              <c:strCache>
                <c:ptCount val="1"/>
                <c:pt idx="0">
                  <c:v>Total Units</c:v>
                </c:pt>
              </c:strCache>
            </c:strRef>
          </c:tx>
          <c:spPr>
            <a:solidFill>
              <a:srgbClr val="4a7ebb"/>
            </a:solidFill>
            <a:ln w="4752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Daily_Account!$A$4:$A$82</c:f>
              <c:strCache>
                <c:ptCount val="79"/>
                <c:pt idx="0">
                  <c:v>22-Jul-26</c:v>
                </c:pt>
                <c:pt idx="1">
                  <c:v>23-Jul-26</c:v>
                </c:pt>
                <c:pt idx="2">
                  <c:v>24-Jul-26</c:v>
                </c:pt>
                <c:pt idx="3">
                  <c:v>25-Jul-26</c:v>
                </c:pt>
                <c:pt idx="4">
                  <c:v>26-Jul-26</c:v>
                </c:pt>
                <c:pt idx="5">
                  <c:v>27-Jul-26</c:v>
                </c:pt>
                <c:pt idx="6">
                  <c:v>28-Jul-26</c:v>
                </c:pt>
                <c:pt idx="7">
                  <c:v>29-Jul-26</c:v>
                </c:pt>
                <c:pt idx="8">
                  <c:v>30-Jul-26</c:v>
                </c:pt>
                <c:pt idx="9">
                  <c:v>31-Jul-26</c:v>
                </c:pt>
                <c:pt idx="10">
                  <c:v>01-Aug-26</c:v>
                </c:pt>
                <c:pt idx="11">
                  <c:v>02-Aug-26</c:v>
                </c:pt>
                <c:pt idx="12">
                  <c:v>03-Aug-26</c:v>
                </c:pt>
                <c:pt idx="13">
                  <c:v>04-Aug-26</c:v>
                </c:pt>
                <c:pt idx="14">
                  <c:v>05-Aug-26</c:v>
                </c:pt>
                <c:pt idx="15">
                  <c:v>06-Aug-26</c:v>
                </c:pt>
                <c:pt idx="16">
                  <c:v>07-Aug-26</c:v>
                </c:pt>
                <c:pt idx="17">
                  <c:v>08-Aug-26</c:v>
                </c:pt>
                <c:pt idx="18">
                  <c:v>09-Aug-26</c:v>
                </c:pt>
                <c:pt idx="19">
                  <c:v>10-Aug-26</c:v>
                </c:pt>
                <c:pt idx="20">
                  <c:v>11-Aug-26</c:v>
                </c:pt>
                <c:pt idx="21">
                  <c:v>12-Aug-26</c:v>
                </c:pt>
                <c:pt idx="22">
                  <c:v>13-Aug-26</c:v>
                </c:pt>
                <c:pt idx="23">
                  <c:v>14-Aug-26</c:v>
                </c:pt>
                <c:pt idx="24">
                  <c:v>15-Aug-26</c:v>
                </c:pt>
                <c:pt idx="25">
                  <c:v>16-Aug-26</c:v>
                </c:pt>
                <c:pt idx="26">
                  <c:v>17-Aug-26</c:v>
                </c:pt>
                <c:pt idx="27">
                  <c:v>18-Aug-26</c:v>
                </c:pt>
                <c:pt idx="28">
                  <c:v>19-Aug-26</c:v>
                </c:pt>
                <c:pt idx="29">
                  <c:v>20-Aug-26</c:v>
                </c:pt>
                <c:pt idx="30">
                  <c:v>21-Aug-26</c:v>
                </c:pt>
                <c:pt idx="31">
                  <c:v>22-Aug-26</c:v>
                </c:pt>
                <c:pt idx="32">
                  <c:v>23-Aug-26</c:v>
                </c:pt>
                <c:pt idx="33">
                  <c:v>24-Aug-26</c:v>
                </c:pt>
                <c:pt idx="34">
                  <c:v>25-Aug-26</c:v>
                </c:pt>
                <c:pt idx="35">
                  <c:v>26-Aug-26</c:v>
                </c:pt>
                <c:pt idx="36">
                  <c:v>27-Aug-26</c:v>
                </c:pt>
                <c:pt idx="37">
                  <c:v>28-Aug-26</c:v>
                </c:pt>
                <c:pt idx="38">
                  <c:v>29-Aug-26</c:v>
                </c:pt>
                <c:pt idx="39">
                  <c:v>30-Aug-26</c:v>
                </c:pt>
                <c:pt idx="40">
                  <c:v>31-Aug-26</c:v>
                </c:pt>
                <c:pt idx="41">
                  <c:v>01-Sep-26</c:v>
                </c:pt>
                <c:pt idx="42">
                  <c:v>02-Sep-26</c:v>
                </c:pt>
                <c:pt idx="43">
                  <c:v>03-Sep-26</c:v>
                </c:pt>
                <c:pt idx="44">
                  <c:v>04-Sep-26</c:v>
                </c:pt>
                <c:pt idx="45">
                  <c:v>05-Sep-26</c:v>
                </c:pt>
                <c:pt idx="46">
                  <c:v>06-Sep-26</c:v>
                </c:pt>
                <c:pt idx="47">
                  <c:v>07-Sep-26</c:v>
                </c:pt>
                <c:pt idx="48">
                  <c:v>08-Sep-26</c:v>
                </c:pt>
                <c:pt idx="49">
                  <c:v>09-Sep-26</c:v>
                </c:pt>
                <c:pt idx="50">
                  <c:v>10-Sep-26</c:v>
                </c:pt>
                <c:pt idx="51">
                  <c:v>11-Sep-26</c:v>
                </c:pt>
                <c:pt idx="52">
                  <c:v>12-Sep-26</c:v>
                </c:pt>
                <c:pt idx="53">
                  <c:v>13-Sep-26</c:v>
                </c:pt>
                <c:pt idx="54">
                  <c:v>14-Sep-26</c:v>
                </c:pt>
                <c:pt idx="55">
                  <c:v>15-Sep-26</c:v>
                </c:pt>
                <c:pt idx="56">
                  <c:v>16-Sep-26</c:v>
                </c:pt>
                <c:pt idx="57">
                  <c:v>17-Sep-26</c:v>
                </c:pt>
                <c:pt idx="58">
                  <c:v>18-Sep-26</c:v>
                </c:pt>
                <c:pt idx="59">
                  <c:v>19-Sep-26</c:v>
                </c:pt>
                <c:pt idx="60">
                  <c:v>20-Sep-26</c:v>
                </c:pt>
                <c:pt idx="61">
                  <c:v>21-Sep-26</c:v>
                </c:pt>
                <c:pt idx="62">
                  <c:v>22-Sep-26</c:v>
                </c:pt>
                <c:pt idx="63">
                  <c:v>23-Sep-26</c:v>
                </c:pt>
                <c:pt idx="64">
                  <c:v>24-Sep-26</c:v>
                </c:pt>
                <c:pt idx="65">
                  <c:v>25-Sep-26</c:v>
                </c:pt>
                <c:pt idx="66">
                  <c:v>26-Sep-26</c:v>
                </c:pt>
                <c:pt idx="67">
                  <c:v>27-Sep-26</c:v>
                </c:pt>
                <c:pt idx="68">
                  <c:v>28-Sep-26</c:v>
                </c:pt>
                <c:pt idx="69">
                  <c:v>29-Sep-26</c:v>
                </c:pt>
                <c:pt idx="70">
                  <c:v>30-Sep-26</c:v>
                </c:pt>
                <c:pt idx="71">
                  <c:v>01-Oct-26</c:v>
                </c:pt>
                <c:pt idx="72">
                  <c:v>02-Oct-26</c:v>
                </c:pt>
                <c:pt idx="73">
                  <c:v>03-Oct-26</c:v>
                </c:pt>
                <c:pt idx="74">
                  <c:v>04-Oct-26</c:v>
                </c:pt>
                <c:pt idx="75">
                  <c:v>05-Oct-26</c:v>
                </c:pt>
                <c:pt idx="76">
                  <c:v>06-Oct-26</c:v>
                </c:pt>
                <c:pt idx="77">
                  <c:v>07-Oct-26</c:v>
                </c:pt>
                <c:pt idx="78">
                  <c:v>08-Oct-26</c:v>
                </c:pt>
              </c:strCache>
            </c:strRef>
          </c:cat>
          <c:val>
            <c:numRef>
              <c:f>Daily_Account!$F$4:$F$82</c:f>
              <c:numCache>
                <c:formatCode>#,##0</c:formatCode>
                <c:ptCount val="79"/>
                <c:pt idx="0">
                  <c:v>20</c:v>
                </c:pt>
                <c:pt idx="1">
                  <c:v>37</c:v>
                </c:pt>
                <c:pt idx="2">
                  <c:v>43</c:v>
                </c:pt>
                <c:pt idx="3">
                  <c:v>17</c:v>
                </c:pt>
                <c:pt idx="4">
                  <c:v>22</c:v>
                </c:pt>
                <c:pt idx="5">
                  <c:v>48</c:v>
                </c:pt>
                <c:pt idx="6">
                  <c:v>46</c:v>
                </c:pt>
                <c:pt idx="7">
                  <c:v>48</c:v>
                </c:pt>
                <c:pt idx="8">
                  <c:v>38</c:v>
                </c:pt>
                <c:pt idx="9">
                  <c:v>40</c:v>
                </c:pt>
                <c:pt idx="10">
                  <c:v>25</c:v>
                </c:pt>
                <c:pt idx="11">
                  <c:v>33</c:v>
                </c:pt>
                <c:pt idx="12">
                  <c:v>46</c:v>
                </c:pt>
                <c:pt idx="13">
                  <c:v>38</c:v>
                </c:pt>
                <c:pt idx="14">
                  <c:v>30</c:v>
                </c:pt>
                <c:pt idx="15">
                  <c:v>35</c:v>
                </c:pt>
                <c:pt idx="16">
                  <c:v>54</c:v>
                </c:pt>
                <c:pt idx="17">
                  <c:v>29</c:v>
                </c:pt>
                <c:pt idx="18">
                  <c:v>22</c:v>
                </c:pt>
                <c:pt idx="19">
                  <c:v>29</c:v>
                </c:pt>
                <c:pt idx="20">
                  <c:v>16</c:v>
                </c:pt>
                <c:pt idx="21">
                  <c:v>20</c:v>
                </c:pt>
                <c:pt idx="22">
                  <c:v>27</c:v>
                </c:pt>
                <c:pt idx="23">
                  <c:v>7</c:v>
                </c:pt>
                <c:pt idx="24">
                  <c:v>29</c:v>
                </c:pt>
                <c:pt idx="25">
                  <c:v>28</c:v>
                </c:pt>
                <c:pt idx="26">
                  <c:v>24</c:v>
                </c:pt>
                <c:pt idx="27">
                  <c:v>19</c:v>
                </c:pt>
                <c:pt idx="28">
                  <c:v>26</c:v>
                </c:pt>
                <c:pt idx="29">
                  <c:v>17</c:v>
                </c:pt>
                <c:pt idx="30">
                  <c:v>18</c:v>
                </c:pt>
                <c:pt idx="31">
                  <c:v>35</c:v>
                </c:pt>
                <c:pt idx="32">
                  <c:v>63</c:v>
                </c:pt>
                <c:pt idx="33">
                  <c:v>39</c:v>
                </c:pt>
                <c:pt idx="34">
                  <c:v>30</c:v>
                </c:pt>
                <c:pt idx="35">
                  <c:v>28</c:v>
                </c:pt>
                <c:pt idx="36">
                  <c:v>37</c:v>
                </c:pt>
                <c:pt idx="37">
                  <c:v>25</c:v>
                </c:pt>
                <c:pt idx="38">
                  <c:v>62</c:v>
                </c:pt>
                <c:pt idx="39">
                  <c:v>38</c:v>
                </c:pt>
                <c:pt idx="40">
                  <c:v>66</c:v>
                </c:pt>
                <c:pt idx="41">
                  <c:v>62</c:v>
                </c:pt>
                <c:pt idx="42">
                  <c:v>50</c:v>
                </c:pt>
                <c:pt idx="43">
                  <c:v>66</c:v>
                </c:pt>
                <c:pt idx="44">
                  <c:v>59</c:v>
                </c:pt>
                <c:pt idx="45">
                  <c:v>56</c:v>
                </c:pt>
                <c:pt idx="46">
                  <c:v>40</c:v>
                </c:pt>
                <c:pt idx="47">
                  <c:v>60</c:v>
                </c:pt>
                <c:pt idx="48">
                  <c:v>103</c:v>
                </c:pt>
                <c:pt idx="49">
                  <c:v>40</c:v>
                </c:pt>
                <c:pt idx="50">
                  <c:v>55</c:v>
                </c:pt>
                <c:pt idx="51">
                  <c:v>70</c:v>
                </c:pt>
                <c:pt idx="52">
                  <c:v>85</c:v>
                </c:pt>
                <c:pt idx="53">
                  <c:v>57</c:v>
                </c:pt>
                <c:pt idx="54">
                  <c:v>62</c:v>
                </c:pt>
                <c:pt idx="55">
                  <c:v>32</c:v>
                </c:pt>
                <c:pt idx="56">
                  <c:v>50</c:v>
                </c:pt>
                <c:pt idx="57">
                  <c:v>28</c:v>
                </c:pt>
                <c:pt idx="58">
                  <c:v>39</c:v>
                </c:pt>
                <c:pt idx="59">
                  <c:v>60</c:v>
                </c:pt>
                <c:pt idx="60">
                  <c:v>49</c:v>
                </c:pt>
                <c:pt idx="61">
                  <c:v>85</c:v>
                </c:pt>
                <c:pt idx="62">
                  <c:v>77</c:v>
                </c:pt>
                <c:pt idx="63">
                  <c:v>65</c:v>
                </c:pt>
                <c:pt idx="64">
                  <c:v>83</c:v>
                </c:pt>
                <c:pt idx="65">
                  <c:v>69</c:v>
                </c:pt>
                <c:pt idx="66">
                  <c:v>61</c:v>
                </c:pt>
                <c:pt idx="67">
                  <c:v>51</c:v>
                </c:pt>
                <c:pt idx="68">
                  <c:v>72</c:v>
                </c:pt>
                <c:pt idx="69">
                  <c:v>79</c:v>
                </c:pt>
                <c:pt idx="70">
                  <c:v>71</c:v>
                </c:pt>
                <c:pt idx="71">
                  <c:v>52</c:v>
                </c:pt>
                <c:pt idx="72">
                  <c:v>59</c:v>
                </c:pt>
                <c:pt idx="73">
                  <c:v>87</c:v>
                </c:pt>
                <c:pt idx="74">
                  <c:v>49</c:v>
                </c:pt>
                <c:pt idx="75">
                  <c:v>69</c:v>
                </c:pt>
                <c:pt idx="76">
                  <c:v>53</c:v>
                </c:pt>
                <c:pt idx="77">
                  <c:v>125</c:v>
                </c:pt>
                <c:pt idx="78">
                  <c:v>123</c:v>
                </c:pt>
              </c:numCache>
            </c:numRef>
          </c:val>
          <c:smooth val="1"/>
        </c:ser>
        <c:ser>
          <c:idx val="1"/>
          <c:order val="1"/>
          <c:tx>
            <c:strRef>
              <c:f>Daily_Account!I3</c:f>
              <c:strCache>
                <c:ptCount val="1"/>
                <c:pt idx="0">
                  <c:v>7-Day Avg</c:v>
                </c:pt>
              </c:strCache>
            </c:strRef>
          </c:tx>
          <c:spPr>
            <a:solidFill>
              <a:srgbClr val="be4b48"/>
            </a:solidFill>
            <a:ln w="4752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Daily_Account!$A$4:$A$82</c:f>
              <c:strCache>
                <c:ptCount val="79"/>
                <c:pt idx="0">
                  <c:v>22-Jul-26</c:v>
                </c:pt>
                <c:pt idx="1">
                  <c:v>23-Jul-26</c:v>
                </c:pt>
                <c:pt idx="2">
                  <c:v>24-Jul-26</c:v>
                </c:pt>
                <c:pt idx="3">
                  <c:v>25-Jul-26</c:v>
                </c:pt>
                <c:pt idx="4">
                  <c:v>26-Jul-26</c:v>
                </c:pt>
                <c:pt idx="5">
                  <c:v>27-Jul-26</c:v>
                </c:pt>
                <c:pt idx="6">
                  <c:v>28-Jul-26</c:v>
                </c:pt>
                <c:pt idx="7">
                  <c:v>29-Jul-26</c:v>
                </c:pt>
                <c:pt idx="8">
                  <c:v>30-Jul-26</c:v>
                </c:pt>
                <c:pt idx="9">
                  <c:v>31-Jul-26</c:v>
                </c:pt>
                <c:pt idx="10">
                  <c:v>01-Aug-26</c:v>
                </c:pt>
                <c:pt idx="11">
                  <c:v>02-Aug-26</c:v>
                </c:pt>
                <c:pt idx="12">
                  <c:v>03-Aug-26</c:v>
                </c:pt>
                <c:pt idx="13">
                  <c:v>04-Aug-26</c:v>
                </c:pt>
                <c:pt idx="14">
                  <c:v>05-Aug-26</c:v>
                </c:pt>
                <c:pt idx="15">
                  <c:v>06-Aug-26</c:v>
                </c:pt>
                <c:pt idx="16">
                  <c:v>07-Aug-26</c:v>
                </c:pt>
                <c:pt idx="17">
                  <c:v>08-Aug-26</c:v>
                </c:pt>
                <c:pt idx="18">
                  <c:v>09-Aug-26</c:v>
                </c:pt>
                <c:pt idx="19">
                  <c:v>10-Aug-26</c:v>
                </c:pt>
                <c:pt idx="20">
                  <c:v>11-Aug-26</c:v>
                </c:pt>
                <c:pt idx="21">
                  <c:v>12-Aug-26</c:v>
                </c:pt>
                <c:pt idx="22">
                  <c:v>13-Aug-26</c:v>
                </c:pt>
                <c:pt idx="23">
                  <c:v>14-Aug-26</c:v>
                </c:pt>
                <c:pt idx="24">
                  <c:v>15-Aug-26</c:v>
                </c:pt>
                <c:pt idx="25">
                  <c:v>16-Aug-26</c:v>
                </c:pt>
                <c:pt idx="26">
                  <c:v>17-Aug-26</c:v>
                </c:pt>
                <c:pt idx="27">
                  <c:v>18-Aug-26</c:v>
                </c:pt>
                <c:pt idx="28">
                  <c:v>19-Aug-26</c:v>
                </c:pt>
                <c:pt idx="29">
                  <c:v>20-Aug-26</c:v>
                </c:pt>
                <c:pt idx="30">
                  <c:v>21-Aug-26</c:v>
                </c:pt>
                <c:pt idx="31">
                  <c:v>22-Aug-26</c:v>
                </c:pt>
                <c:pt idx="32">
                  <c:v>23-Aug-26</c:v>
                </c:pt>
                <c:pt idx="33">
                  <c:v>24-Aug-26</c:v>
                </c:pt>
                <c:pt idx="34">
                  <c:v>25-Aug-26</c:v>
                </c:pt>
                <c:pt idx="35">
                  <c:v>26-Aug-26</c:v>
                </c:pt>
                <c:pt idx="36">
                  <c:v>27-Aug-26</c:v>
                </c:pt>
                <c:pt idx="37">
                  <c:v>28-Aug-26</c:v>
                </c:pt>
                <c:pt idx="38">
                  <c:v>29-Aug-26</c:v>
                </c:pt>
                <c:pt idx="39">
                  <c:v>30-Aug-26</c:v>
                </c:pt>
                <c:pt idx="40">
                  <c:v>31-Aug-26</c:v>
                </c:pt>
                <c:pt idx="41">
                  <c:v>01-Sep-26</c:v>
                </c:pt>
                <c:pt idx="42">
                  <c:v>02-Sep-26</c:v>
                </c:pt>
                <c:pt idx="43">
                  <c:v>03-Sep-26</c:v>
                </c:pt>
                <c:pt idx="44">
                  <c:v>04-Sep-26</c:v>
                </c:pt>
                <c:pt idx="45">
                  <c:v>05-Sep-26</c:v>
                </c:pt>
                <c:pt idx="46">
                  <c:v>06-Sep-26</c:v>
                </c:pt>
                <c:pt idx="47">
                  <c:v>07-Sep-26</c:v>
                </c:pt>
                <c:pt idx="48">
                  <c:v>08-Sep-26</c:v>
                </c:pt>
                <c:pt idx="49">
                  <c:v>09-Sep-26</c:v>
                </c:pt>
                <c:pt idx="50">
                  <c:v>10-Sep-26</c:v>
                </c:pt>
                <c:pt idx="51">
                  <c:v>11-Sep-26</c:v>
                </c:pt>
                <c:pt idx="52">
                  <c:v>12-Sep-26</c:v>
                </c:pt>
                <c:pt idx="53">
                  <c:v>13-Sep-26</c:v>
                </c:pt>
                <c:pt idx="54">
                  <c:v>14-Sep-26</c:v>
                </c:pt>
                <c:pt idx="55">
                  <c:v>15-Sep-26</c:v>
                </c:pt>
                <c:pt idx="56">
                  <c:v>16-Sep-26</c:v>
                </c:pt>
                <c:pt idx="57">
                  <c:v>17-Sep-26</c:v>
                </c:pt>
                <c:pt idx="58">
                  <c:v>18-Sep-26</c:v>
                </c:pt>
                <c:pt idx="59">
                  <c:v>19-Sep-26</c:v>
                </c:pt>
                <c:pt idx="60">
                  <c:v>20-Sep-26</c:v>
                </c:pt>
                <c:pt idx="61">
                  <c:v>21-Sep-26</c:v>
                </c:pt>
                <c:pt idx="62">
                  <c:v>22-Sep-26</c:v>
                </c:pt>
                <c:pt idx="63">
                  <c:v>23-Sep-26</c:v>
                </c:pt>
                <c:pt idx="64">
                  <c:v>24-Sep-26</c:v>
                </c:pt>
                <c:pt idx="65">
                  <c:v>25-Sep-26</c:v>
                </c:pt>
                <c:pt idx="66">
                  <c:v>26-Sep-26</c:v>
                </c:pt>
                <c:pt idx="67">
                  <c:v>27-Sep-26</c:v>
                </c:pt>
                <c:pt idx="68">
                  <c:v>28-Sep-26</c:v>
                </c:pt>
                <c:pt idx="69">
                  <c:v>29-Sep-26</c:v>
                </c:pt>
                <c:pt idx="70">
                  <c:v>30-Sep-26</c:v>
                </c:pt>
                <c:pt idx="71">
                  <c:v>01-Oct-26</c:v>
                </c:pt>
                <c:pt idx="72">
                  <c:v>02-Oct-26</c:v>
                </c:pt>
                <c:pt idx="73">
                  <c:v>03-Oct-26</c:v>
                </c:pt>
                <c:pt idx="74">
                  <c:v>04-Oct-26</c:v>
                </c:pt>
                <c:pt idx="75">
                  <c:v>05-Oct-26</c:v>
                </c:pt>
                <c:pt idx="76">
                  <c:v>06-Oct-26</c:v>
                </c:pt>
                <c:pt idx="77">
                  <c:v>07-Oct-26</c:v>
                </c:pt>
                <c:pt idx="78">
                  <c:v>08-Oct-26</c:v>
                </c:pt>
              </c:strCache>
            </c:strRef>
          </c:cat>
          <c:val>
            <c:numRef>
              <c:f>Daily_Account!$I$4:$I$82</c:f>
              <c:numCache>
                <c:formatCode>0.0</c:formatCode>
                <c:ptCount val="79"/>
                <c:pt idx="0">
                  <c:v>20</c:v>
                </c:pt>
                <c:pt idx="1">
                  <c:v>28.5</c:v>
                </c:pt>
                <c:pt idx="2">
                  <c:v>33.3333333333333</c:v>
                </c:pt>
                <c:pt idx="3">
                  <c:v>29.25</c:v>
                </c:pt>
                <c:pt idx="4">
                  <c:v>27.8</c:v>
                </c:pt>
                <c:pt idx="5">
                  <c:v>31.1666666666667</c:v>
                </c:pt>
                <c:pt idx="6">
                  <c:v>33.2857142857143</c:v>
                </c:pt>
                <c:pt idx="7">
                  <c:v>37.2857142857143</c:v>
                </c:pt>
                <c:pt idx="8">
                  <c:v>37.4285714285714</c:v>
                </c:pt>
                <c:pt idx="9">
                  <c:v>37</c:v>
                </c:pt>
                <c:pt idx="10">
                  <c:v>38.1428571428571</c:v>
                </c:pt>
                <c:pt idx="11">
                  <c:v>39.7142857142857</c:v>
                </c:pt>
                <c:pt idx="12">
                  <c:v>39.4285714285714</c:v>
                </c:pt>
                <c:pt idx="13">
                  <c:v>38.2857142857143</c:v>
                </c:pt>
                <c:pt idx="14">
                  <c:v>35.7142857142857</c:v>
                </c:pt>
                <c:pt idx="15">
                  <c:v>35.2857142857143</c:v>
                </c:pt>
                <c:pt idx="16">
                  <c:v>37.2857142857143</c:v>
                </c:pt>
                <c:pt idx="17">
                  <c:v>37.8571428571429</c:v>
                </c:pt>
                <c:pt idx="18">
                  <c:v>36.2857142857143</c:v>
                </c:pt>
                <c:pt idx="19">
                  <c:v>33.8571428571429</c:v>
                </c:pt>
                <c:pt idx="20">
                  <c:v>30.7142857142857</c:v>
                </c:pt>
                <c:pt idx="21">
                  <c:v>29.2857142857143</c:v>
                </c:pt>
                <c:pt idx="22">
                  <c:v>28.1428571428571</c:v>
                </c:pt>
                <c:pt idx="23">
                  <c:v>21.4285714285714</c:v>
                </c:pt>
                <c:pt idx="24">
                  <c:v>21.4285714285714</c:v>
                </c:pt>
                <c:pt idx="25">
                  <c:v>22.2857142857143</c:v>
                </c:pt>
                <c:pt idx="26">
                  <c:v>21.5714285714286</c:v>
                </c:pt>
                <c:pt idx="27">
                  <c:v>22</c:v>
                </c:pt>
                <c:pt idx="28">
                  <c:v>22.8571428571429</c:v>
                </c:pt>
                <c:pt idx="29">
                  <c:v>21.4285714285714</c:v>
                </c:pt>
                <c:pt idx="30">
                  <c:v>23</c:v>
                </c:pt>
                <c:pt idx="31">
                  <c:v>23.8571428571429</c:v>
                </c:pt>
                <c:pt idx="32">
                  <c:v>28.8571428571429</c:v>
                </c:pt>
                <c:pt idx="33">
                  <c:v>31</c:v>
                </c:pt>
                <c:pt idx="34">
                  <c:v>32.5714285714286</c:v>
                </c:pt>
                <c:pt idx="35">
                  <c:v>32.8571428571429</c:v>
                </c:pt>
                <c:pt idx="36">
                  <c:v>35.7142857142857</c:v>
                </c:pt>
                <c:pt idx="37">
                  <c:v>36.7142857142857</c:v>
                </c:pt>
                <c:pt idx="38">
                  <c:v>40.5714285714286</c:v>
                </c:pt>
                <c:pt idx="39">
                  <c:v>37</c:v>
                </c:pt>
                <c:pt idx="40">
                  <c:v>40.8571428571429</c:v>
                </c:pt>
                <c:pt idx="41">
                  <c:v>45.4285714285714</c:v>
                </c:pt>
                <c:pt idx="42">
                  <c:v>48.5714285714286</c:v>
                </c:pt>
                <c:pt idx="43">
                  <c:v>52.7142857142857</c:v>
                </c:pt>
                <c:pt idx="44">
                  <c:v>57.5714285714286</c:v>
                </c:pt>
                <c:pt idx="45">
                  <c:v>56.7142857142857</c:v>
                </c:pt>
                <c:pt idx="46">
                  <c:v>57</c:v>
                </c:pt>
                <c:pt idx="47">
                  <c:v>56.1428571428571</c:v>
                </c:pt>
                <c:pt idx="48">
                  <c:v>62</c:v>
                </c:pt>
                <c:pt idx="49">
                  <c:v>60.5714285714286</c:v>
                </c:pt>
                <c:pt idx="50">
                  <c:v>59</c:v>
                </c:pt>
                <c:pt idx="51">
                  <c:v>60.5714285714286</c:v>
                </c:pt>
                <c:pt idx="52">
                  <c:v>64.7142857142857</c:v>
                </c:pt>
                <c:pt idx="53">
                  <c:v>67.1428571428571</c:v>
                </c:pt>
                <c:pt idx="54">
                  <c:v>67.4285714285714</c:v>
                </c:pt>
                <c:pt idx="55">
                  <c:v>57.2857142857143</c:v>
                </c:pt>
                <c:pt idx="56">
                  <c:v>58.7142857142857</c:v>
                </c:pt>
                <c:pt idx="57">
                  <c:v>54.8571428571429</c:v>
                </c:pt>
                <c:pt idx="58">
                  <c:v>50.4285714285714</c:v>
                </c:pt>
                <c:pt idx="59">
                  <c:v>46.8571428571429</c:v>
                </c:pt>
                <c:pt idx="60">
                  <c:v>45.7142857142857</c:v>
                </c:pt>
                <c:pt idx="61">
                  <c:v>49</c:v>
                </c:pt>
                <c:pt idx="62">
                  <c:v>55.4285714285714</c:v>
                </c:pt>
                <c:pt idx="63">
                  <c:v>57.5714285714286</c:v>
                </c:pt>
                <c:pt idx="64">
                  <c:v>65.4285714285714</c:v>
                </c:pt>
                <c:pt idx="65">
                  <c:v>69.7142857142857</c:v>
                </c:pt>
                <c:pt idx="66">
                  <c:v>69.8571428571429</c:v>
                </c:pt>
                <c:pt idx="67">
                  <c:v>70.1428571428571</c:v>
                </c:pt>
                <c:pt idx="68">
                  <c:v>68.2857142857143</c:v>
                </c:pt>
                <c:pt idx="69">
                  <c:v>68.5714285714286</c:v>
                </c:pt>
                <c:pt idx="70">
                  <c:v>69.4285714285714</c:v>
                </c:pt>
                <c:pt idx="71">
                  <c:v>65</c:v>
                </c:pt>
                <c:pt idx="72">
                  <c:v>63.5714285714286</c:v>
                </c:pt>
                <c:pt idx="73">
                  <c:v>67.2857142857143</c:v>
                </c:pt>
                <c:pt idx="74">
                  <c:v>67</c:v>
                </c:pt>
                <c:pt idx="75">
                  <c:v>66.5714285714286</c:v>
                </c:pt>
                <c:pt idx="76">
                  <c:v>62.8571428571429</c:v>
                </c:pt>
                <c:pt idx="77">
                  <c:v>70.5714285714286</c:v>
                </c:pt>
                <c:pt idx="78">
                  <c:v>80.7142857142857</c:v>
                </c:pt>
              </c:numCache>
            </c:numRef>
          </c:val>
          <c:smooth val="1"/>
        </c:ser>
        <c:hiLowLines>
          <c:spPr>
            <a:ln w="0">
              <a:noFill/>
            </a:ln>
          </c:spPr>
        </c:hiLowLines>
        <c:marker val="0"/>
        <c:axId val="15628294"/>
        <c:axId val="72876246"/>
      </c:lineChart>
      <c:catAx>
        <c:axId val="15628294"/>
        <c:scaling>
          <c:orientation val="minMax"/>
        </c:scaling>
        <c:delete val="0"/>
        <c:axPos val="b"/>
        <c:numFmt formatCode="dd\-mmm"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2876246"/>
        <c:crosses val="autoZero"/>
        <c:auto val="1"/>
        <c:lblAlgn val="ctr"/>
        <c:lblOffset val="100"/>
        <c:noMultiLvlLbl val="0"/>
      </c:catAx>
      <c:valAx>
        <c:axId val="72876246"/>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Units</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5628294"/>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Leaders – Total Units (selected period)</a:t>
            </a:r>
          </a:p>
        </c:rich>
      </c:tx>
      <c:overlay val="0"/>
      <c:spPr>
        <a:noFill/>
        <a:ln w="0">
          <a:noFill/>
        </a:ln>
      </c:spPr>
    </c:title>
    <c:autoTitleDeleted val="0"/>
    <c:plotArea>
      <c:barChart>
        <c:barDir val="bar"/>
        <c:grouping val="clustered"/>
        <c:varyColors val="0"/>
        <c:ser>
          <c:idx val="0"/>
          <c:order val="0"/>
          <c:tx>
            <c:strRef>
              <c:f>Dashboard!H29</c:f>
              <c:strCache>
                <c:ptCount val="1"/>
                <c:pt idx="0">
                  <c:v>Total Units</c:v>
                </c:pt>
              </c:strCache>
            </c:strRef>
          </c:tx>
          <c:spPr>
            <a:solidFill>
              <a:srgbClr val="4f81bd"/>
            </a:solidFill>
            <a:ln w="9360">
              <a:solidFill>
                <a:srgbClr val="f9f9f9"/>
              </a:solidFill>
              <a:round/>
            </a:ln>
          </c:spPr>
          <c:invertIfNegative val="0"/>
          <c:dLbls>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Dashboard!$B$30:$B$43</c:f>
              <c:strCache>
                <c:ptCount val="14"/>
                <c:pt idx="0">
                  <c:v>Ahmed Aboelgoud</c:v>
                </c:pt>
                <c:pt idx="1">
                  <c:v>Anas Sami</c:v>
                </c:pt>
                <c:pt idx="2">
                  <c:v>Essam Medhat</c:v>
                </c:pt>
                <c:pt idx="3">
                  <c:v>Islam Farouk</c:v>
                </c:pt>
                <c:pt idx="4">
                  <c:v>Mina Milad</c:v>
                </c:pt>
                <c:pt idx="5">
                  <c:v>Mohamed Ashour</c:v>
                </c:pt>
                <c:pt idx="6">
                  <c:v>Mohamed Kelany</c:v>
                </c:pt>
                <c:pt idx="7">
                  <c:v>Mostafa Mokhtar</c:v>
                </c:pt>
                <c:pt idx="8">
                  <c:v>Omar Mansour</c:v>
                </c:pt>
                <c:pt idx="9">
                  <c:v>Omar Osama</c:v>
                </c:pt>
                <c:pt idx="10">
                  <c:v>Rahma Samir</c:v>
                </c:pt>
                <c:pt idx="11">
                  <c:v>Salma Ahmed</c:v>
                </c:pt>
                <c:pt idx="12">
                  <c:v>Shereen Kamal</c:v>
                </c:pt>
                <c:pt idx="13">
                  <c:v>Taher Yehia</c:v>
                </c:pt>
              </c:strCache>
            </c:strRef>
          </c:cat>
          <c:val>
            <c:numRef>
              <c:f>Dashboard!$H$30:$H$43</c:f>
              <c:numCache>
                <c:formatCode>#,##0</c:formatCode>
                <c:ptCount val="14"/>
                <c:pt idx="0">
                  <c:v>75</c:v>
                </c:pt>
                <c:pt idx="1">
                  <c:v>42</c:v>
                </c:pt>
                <c:pt idx="2">
                  <c:v>25</c:v>
                </c:pt>
                <c:pt idx="3">
                  <c:v>16</c:v>
                </c:pt>
                <c:pt idx="4">
                  <c:v>25</c:v>
                </c:pt>
                <c:pt idx="5">
                  <c:v>47</c:v>
                </c:pt>
                <c:pt idx="6">
                  <c:v>18</c:v>
                </c:pt>
                <c:pt idx="7">
                  <c:v>11</c:v>
                </c:pt>
                <c:pt idx="8">
                  <c:v>76</c:v>
                </c:pt>
                <c:pt idx="9">
                  <c:v>1</c:v>
                </c:pt>
                <c:pt idx="10">
                  <c:v>54</c:v>
                </c:pt>
                <c:pt idx="11">
                  <c:v>85</c:v>
                </c:pt>
                <c:pt idx="12">
                  <c:v>59</c:v>
                </c:pt>
                <c:pt idx="13">
                  <c:v>0</c:v>
                </c:pt>
              </c:numCache>
            </c:numRef>
          </c:val>
        </c:ser>
        <c:gapWidth val="40"/>
        <c:overlap val="0"/>
        <c:axId val="21628731"/>
        <c:axId val="64350497"/>
      </c:barChart>
      <c:catAx>
        <c:axId val="2162873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4350497"/>
        <c:crosses val="autoZero"/>
        <c:auto val="1"/>
        <c:lblAlgn val="ctr"/>
        <c:lblOffset val="100"/>
        <c:noMultiLvlLbl val="0"/>
      </c:catAx>
      <c:valAx>
        <c:axId val="64350497"/>
        <c:scaling>
          <c:orientation val="minMax"/>
        </c:scaling>
        <c:delete val="0"/>
        <c:axPos val="l"/>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1628731"/>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Account – daily XM Lines vs GSR Units</a:t>
            </a:r>
          </a:p>
        </c:rich>
      </c:tx>
      <c:overlay val="0"/>
      <c:spPr>
        <a:noFill/>
        <a:ln w="0">
          <a:noFill/>
        </a:ln>
      </c:spPr>
    </c:title>
    <c:autoTitleDeleted val="0"/>
    <c:plotArea>
      <c:barChart>
        <c:barDir val="col"/>
        <c:grouping val="stacked"/>
        <c:varyColors val="0"/>
        <c:ser>
          <c:idx val="0"/>
          <c:order val="0"/>
          <c:tx>
            <c:strRef>
              <c:f>Daily_Account!D3</c:f>
              <c:strCache>
                <c:ptCount val="1"/>
                <c:pt idx="0">
                  <c:v>XM Lines</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Daily_Account!$A$4:$A$82</c:f>
              <c:strCache>
                <c:ptCount val="79"/>
                <c:pt idx="0">
                  <c:v>22-Jul-26</c:v>
                </c:pt>
                <c:pt idx="1">
                  <c:v>23-Jul-26</c:v>
                </c:pt>
                <c:pt idx="2">
                  <c:v>24-Jul-26</c:v>
                </c:pt>
                <c:pt idx="3">
                  <c:v>25-Jul-26</c:v>
                </c:pt>
                <c:pt idx="4">
                  <c:v>26-Jul-26</c:v>
                </c:pt>
                <c:pt idx="5">
                  <c:v>27-Jul-26</c:v>
                </c:pt>
                <c:pt idx="6">
                  <c:v>28-Jul-26</c:v>
                </c:pt>
                <c:pt idx="7">
                  <c:v>29-Jul-26</c:v>
                </c:pt>
                <c:pt idx="8">
                  <c:v>30-Jul-26</c:v>
                </c:pt>
                <c:pt idx="9">
                  <c:v>31-Jul-26</c:v>
                </c:pt>
                <c:pt idx="10">
                  <c:v>01-Aug-26</c:v>
                </c:pt>
                <c:pt idx="11">
                  <c:v>02-Aug-26</c:v>
                </c:pt>
                <c:pt idx="12">
                  <c:v>03-Aug-26</c:v>
                </c:pt>
                <c:pt idx="13">
                  <c:v>04-Aug-26</c:v>
                </c:pt>
                <c:pt idx="14">
                  <c:v>05-Aug-26</c:v>
                </c:pt>
                <c:pt idx="15">
                  <c:v>06-Aug-26</c:v>
                </c:pt>
                <c:pt idx="16">
                  <c:v>07-Aug-26</c:v>
                </c:pt>
                <c:pt idx="17">
                  <c:v>08-Aug-26</c:v>
                </c:pt>
                <c:pt idx="18">
                  <c:v>09-Aug-26</c:v>
                </c:pt>
                <c:pt idx="19">
                  <c:v>10-Aug-26</c:v>
                </c:pt>
                <c:pt idx="20">
                  <c:v>11-Aug-26</c:v>
                </c:pt>
                <c:pt idx="21">
                  <c:v>12-Aug-26</c:v>
                </c:pt>
                <c:pt idx="22">
                  <c:v>13-Aug-26</c:v>
                </c:pt>
                <c:pt idx="23">
                  <c:v>14-Aug-26</c:v>
                </c:pt>
                <c:pt idx="24">
                  <c:v>15-Aug-26</c:v>
                </c:pt>
                <c:pt idx="25">
                  <c:v>16-Aug-26</c:v>
                </c:pt>
                <c:pt idx="26">
                  <c:v>17-Aug-26</c:v>
                </c:pt>
                <c:pt idx="27">
                  <c:v>18-Aug-26</c:v>
                </c:pt>
                <c:pt idx="28">
                  <c:v>19-Aug-26</c:v>
                </c:pt>
                <c:pt idx="29">
                  <c:v>20-Aug-26</c:v>
                </c:pt>
                <c:pt idx="30">
                  <c:v>21-Aug-26</c:v>
                </c:pt>
                <c:pt idx="31">
                  <c:v>22-Aug-26</c:v>
                </c:pt>
                <c:pt idx="32">
                  <c:v>23-Aug-26</c:v>
                </c:pt>
                <c:pt idx="33">
                  <c:v>24-Aug-26</c:v>
                </c:pt>
                <c:pt idx="34">
                  <c:v>25-Aug-26</c:v>
                </c:pt>
                <c:pt idx="35">
                  <c:v>26-Aug-26</c:v>
                </c:pt>
                <c:pt idx="36">
                  <c:v>27-Aug-26</c:v>
                </c:pt>
                <c:pt idx="37">
                  <c:v>28-Aug-26</c:v>
                </c:pt>
                <c:pt idx="38">
                  <c:v>29-Aug-26</c:v>
                </c:pt>
                <c:pt idx="39">
                  <c:v>30-Aug-26</c:v>
                </c:pt>
                <c:pt idx="40">
                  <c:v>31-Aug-26</c:v>
                </c:pt>
                <c:pt idx="41">
                  <c:v>01-Sep-26</c:v>
                </c:pt>
                <c:pt idx="42">
                  <c:v>02-Sep-26</c:v>
                </c:pt>
                <c:pt idx="43">
                  <c:v>03-Sep-26</c:v>
                </c:pt>
                <c:pt idx="44">
                  <c:v>04-Sep-26</c:v>
                </c:pt>
                <c:pt idx="45">
                  <c:v>05-Sep-26</c:v>
                </c:pt>
                <c:pt idx="46">
                  <c:v>06-Sep-26</c:v>
                </c:pt>
                <c:pt idx="47">
                  <c:v>07-Sep-26</c:v>
                </c:pt>
                <c:pt idx="48">
                  <c:v>08-Sep-26</c:v>
                </c:pt>
                <c:pt idx="49">
                  <c:v>09-Sep-26</c:v>
                </c:pt>
                <c:pt idx="50">
                  <c:v>10-Sep-26</c:v>
                </c:pt>
                <c:pt idx="51">
                  <c:v>11-Sep-26</c:v>
                </c:pt>
                <c:pt idx="52">
                  <c:v>12-Sep-26</c:v>
                </c:pt>
                <c:pt idx="53">
                  <c:v>13-Sep-26</c:v>
                </c:pt>
                <c:pt idx="54">
                  <c:v>14-Sep-26</c:v>
                </c:pt>
                <c:pt idx="55">
                  <c:v>15-Sep-26</c:v>
                </c:pt>
                <c:pt idx="56">
                  <c:v>16-Sep-26</c:v>
                </c:pt>
                <c:pt idx="57">
                  <c:v>17-Sep-26</c:v>
                </c:pt>
                <c:pt idx="58">
                  <c:v>18-Sep-26</c:v>
                </c:pt>
                <c:pt idx="59">
                  <c:v>19-Sep-26</c:v>
                </c:pt>
                <c:pt idx="60">
                  <c:v>20-Sep-26</c:v>
                </c:pt>
                <c:pt idx="61">
                  <c:v>21-Sep-26</c:v>
                </c:pt>
                <c:pt idx="62">
                  <c:v>22-Sep-26</c:v>
                </c:pt>
                <c:pt idx="63">
                  <c:v>23-Sep-26</c:v>
                </c:pt>
                <c:pt idx="64">
                  <c:v>24-Sep-26</c:v>
                </c:pt>
                <c:pt idx="65">
                  <c:v>25-Sep-26</c:v>
                </c:pt>
                <c:pt idx="66">
                  <c:v>26-Sep-26</c:v>
                </c:pt>
                <c:pt idx="67">
                  <c:v>27-Sep-26</c:v>
                </c:pt>
                <c:pt idx="68">
                  <c:v>28-Sep-26</c:v>
                </c:pt>
                <c:pt idx="69">
                  <c:v>29-Sep-26</c:v>
                </c:pt>
                <c:pt idx="70">
                  <c:v>30-Sep-26</c:v>
                </c:pt>
                <c:pt idx="71">
                  <c:v>01-Oct-26</c:v>
                </c:pt>
                <c:pt idx="72">
                  <c:v>02-Oct-26</c:v>
                </c:pt>
                <c:pt idx="73">
                  <c:v>03-Oct-26</c:v>
                </c:pt>
                <c:pt idx="74">
                  <c:v>04-Oct-26</c:v>
                </c:pt>
                <c:pt idx="75">
                  <c:v>05-Oct-26</c:v>
                </c:pt>
                <c:pt idx="76">
                  <c:v>06-Oct-26</c:v>
                </c:pt>
                <c:pt idx="77">
                  <c:v>07-Oct-26</c:v>
                </c:pt>
                <c:pt idx="78">
                  <c:v>08-Oct-26</c:v>
                </c:pt>
              </c:strCache>
            </c:strRef>
          </c:cat>
          <c:val>
            <c:numRef>
              <c:f>Daily_Account!$D$4:$D$82</c:f>
              <c:numCache>
                <c:formatCode>#,##0</c:formatCode>
                <c:ptCount val="79"/>
                <c:pt idx="0">
                  <c:v>6</c:v>
                </c:pt>
                <c:pt idx="1">
                  <c:v>12</c:v>
                </c:pt>
                <c:pt idx="2">
                  <c:v>8</c:v>
                </c:pt>
                <c:pt idx="3">
                  <c:v>10</c:v>
                </c:pt>
                <c:pt idx="4">
                  <c:v>3</c:v>
                </c:pt>
                <c:pt idx="5">
                  <c:v>7</c:v>
                </c:pt>
                <c:pt idx="6">
                  <c:v>6</c:v>
                </c:pt>
                <c:pt idx="7">
                  <c:v>4</c:v>
                </c:pt>
                <c:pt idx="8">
                  <c:v>7</c:v>
                </c:pt>
                <c:pt idx="9">
                  <c:v>5</c:v>
                </c:pt>
                <c:pt idx="10">
                  <c:v>4</c:v>
                </c:pt>
                <c:pt idx="11">
                  <c:v>10</c:v>
                </c:pt>
                <c:pt idx="12">
                  <c:v>11</c:v>
                </c:pt>
                <c:pt idx="13">
                  <c:v>8</c:v>
                </c:pt>
                <c:pt idx="14">
                  <c:v>6</c:v>
                </c:pt>
                <c:pt idx="15">
                  <c:v>5</c:v>
                </c:pt>
                <c:pt idx="16">
                  <c:v>16</c:v>
                </c:pt>
                <c:pt idx="17">
                  <c:v>9</c:v>
                </c:pt>
                <c:pt idx="18">
                  <c:v>5</c:v>
                </c:pt>
                <c:pt idx="19">
                  <c:v>8</c:v>
                </c:pt>
                <c:pt idx="20">
                  <c:v>6</c:v>
                </c:pt>
                <c:pt idx="21">
                  <c:v>3</c:v>
                </c:pt>
                <c:pt idx="22">
                  <c:v>8</c:v>
                </c:pt>
                <c:pt idx="23">
                  <c:v>3</c:v>
                </c:pt>
                <c:pt idx="24">
                  <c:v>12</c:v>
                </c:pt>
                <c:pt idx="25">
                  <c:v>8</c:v>
                </c:pt>
                <c:pt idx="26">
                  <c:v>3</c:v>
                </c:pt>
                <c:pt idx="27">
                  <c:v>8</c:v>
                </c:pt>
                <c:pt idx="28">
                  <c:v>9</c:v>
                </c:pt>
                <c:pt idx="29">
                  <c:v>10</c:v>
                </c:pt>
                <c:pt idx="30">
                  <c:v>2</c:v>
                </c:pt>
                <c:pt idx="31">
                  <c:v>12</c:v>
                </c:pt>
                <c:pt idx="32">
                  <c:v>13</c:v>
                </c:pt>
                <c:pt idx="33">
                  <c:v>9</c:v>
                </c:pt>
                <c:pt idx="34">
                  <c:v>3</c:v>
                </c:pt>
                <c:pt idx="35">
                  <c:v>5</c:v>
                </c:pt>
                <c:pt idx="36">
                  <c:v>10</c:v>
                </c:pt>
                <c:pt idx="37">
                  <c:v>16</c:v>
                </c:pt>
                <c:pt idx="38">
                  <c:v>28</c:v>
                </c:pt>
                <c:pt idx="39">
                  <c:v>11</c:v>
                </c:pt>
                <c:pt idx="40">
                  <c:v>15</c:v>
                </c:pt>
                <c:pt idx="41">
                  <c:v>28</c:v>
                </c:pt>
                <c:pt idx="42">
                  <c:v>13</c:v>
                </c:pt>
                <c:pt idx="43">
                  <c:v>21</c:v>
                </c:pt>
                <c:pt idx="44">
                  <c:v>20</c:v>
                </c:pt>
                <c:pt idx="45">
                  <c:v>15</c:v>
                </c:pt>
                <c:pt idx="46">
                  <c:v>14</c:v>
                </c:pt>
                <c:pt idx="47">
                  <c:v>23</c:v>
                </c:pt>
                <c:pt idx="48">
                  <c:v>51</c:v>
                </c:pt>
                <c:pt idx="49">
                  <c:v>14</c:v>
                </c:pt>
                <c:pt idx="50">
                  <c:v>14</c:v>
                </c:pt>
                <c:pt idx="51">
                  <c:v>17</c:v>
                </c:pt>
                <c:pt idx="52">
                  <c:v>28</c:v>
                </c:pt>
                <c:pt idx="53">
                  <c:v>12</c:v>
                </c:pt>
                <c:pt idx="54">
                  <c:v>11</c:v>
                </c:pt>
                <c:pt idx="55">
                  <c:v>10</c:v>
                </c:pt>
                <c:pt idx="56">
                  <c:v>14</c:v>
                </c:pt>
                <c:pt idx="57">
                  <c:v>9</c:v>
                </c:pt>
                <c:pt idx="58">
                  <c:v>14</c:v>
                </c:pt>
                <c:pt idx="59">
                  <c:v>13</c:v>
                </c:pt>
                <c:pt idx="60">
                  <c:v>16</c:v>
                </c:pt>
                <c:pt idx="61">
                  <c:v>13</c:v>
                </c:pt>
                <c:pt idx="62">
                  <c:v>26</c:v>
                </c:pt>
                <c:pt idx="63">
                  <c:v>20</c:v>
                </c:pt>
                <c:pt idx="64">
                  <c:v>37</c:v>
                </c:pt>
                <c:pt idx="65">
                  <c:v>29</c:v>
                </c:pt>
                <c:pt idx="66">
                  <c:v>19</c:v>
                </c:pt>
                <c:pt idx="67">
                  <c:v>16</c:v>
                </c:pt>
                <c:pt idx="68">
                  <c:v>12</c:v>
                </c:pt>
                <c:pt idx="69">
                  <c:v>20</c:v>
                </c:pt>
                <c:pt idx="70">
                  <c:v>16</c:v>
                </c:pt>
                <c:pt idx="71">
                  <c:v>14</c:v>
                </c:pt>
                <c:pt idx="72">
                  <c:v>14</c:v>
                </c:pt>
                <c:pt idx="73">
                  <c:v>31</c:v>
                </c:pt>
                <c:pt idx="74">
                  <c:v>15</c:v>
                </c:pt>
                <c:pt idx="75">
                  <c:v>18</c:v>
                </c:pt>
                <c:pt idx="76">
                  <c:v>19</c:v>
                </c:pt>
                <c:pt idx="77">
                  <c:v>28</c:v>
                </c:pt>
                <c:pt idx="78">
                  <c:v>24</c:v>
                </c:pt>
              </c:numCache>
            </c:numRef>
          </c:val>
        </c:ser>
        <c:ser>
          <c:idx val="1"/>
          <c:order val="1"/>
          <c:tx>
            <c:strRef>
              <c:f>Daily_Account!E3</c:f>
              <c:strCache>
                <c:ptCount val="1"/>
                <c:pt idx="0">
                  <c:v>GSR Units</c:v>
                </c:pt>
              </c:strCache>
            </c:strRef>
          </c:tx>
          <c:spPr>
            <a:solidFill>
              <a:srgbClr val="c0504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Daily_Account!$A$4:$A$82</c:f>
              <c:strCache>
                <c:ptCount val="79"/>
                <c:pt idx="0">
                  <c:v>22-Jul-26</c:v>
                </c:pt>
                <c:pt idx="1">
                  <c:v>23-Jul-26</c:v>
                </c:pt>
                <c:pt idx="2">
                  <c:v>24-Jul-26</c:v>
                </c:pt>
                <c:pt idx="3">
                  <c:v>25-Jul-26</c:v>
                </c:pt>
                <c:pt idx="4">
                  <c:v>26-Jul-26</c:v>
                </c:pt>
                <c:pt idx="5">
                  <c:v>27-Jul-26</c:v>
                </c:pt>
                <c:pt idx="6">
                  <c:v>28-Jul-26</c:v>
                </c:pt>
                <c:pt idx="7">
                  <c:v>29-Jul-26</c:v>
                </c:pt>
                <c:pt idx="8">
                  <c:v>30-Jul-26</c:v>
                </c:pt>
                <c:pt idx="9">
                  <c:v>31-Jul-26</c:v>
                </c:pt>
                <c:pt idx="10">
                  <c:v>01-Aug-26</c:v>
                </c:pt>
                <c:pt idx="11">
                  <c:v>02-Aug-26</c:v>
                </c:pt>
                <c:pt idx="12">
                  <c:v>03-Aug-26</c:v>
                </c:pt>
                <c:pt idx="13">
                  <c:v>04-Aug-26</c:v>
                </c:pt>
                <c:pt idx="14">
                  <c:v>05-Aug-26</c:v>
                </c:pt>
                <c:pt idx="15">
                  <c:v>06-Aug-26</c:v>
                </c:pt>
                <c:pt idx="16">
                  <c:v>07-Aug-26</c:v>
                </c:pt>
                <c:pt idx="17">
                  <c:v>08-Aug-26</c:v>
                </c:pt>
                <c:pt idx="18">
                  <c:v>09-Aug-26</c:v>
                </c:pt>
                <c:pt idx="19">
                  <c:v>10-Aug-26</c:v>
                </c:pt>
                <c:pt idx="20">
                  <c:v>11-Aug-26</c:v>
                </c:pt>
                <c:pt idx="21">
                  <c:v>12-Aug-26</c:v>
                </c:pt>
                <c:pt idx="22">
                  <c:v>13-Aug-26</c:v>
                </c:pt>
                <c:pt idx="23">
                  <c:v>14-Aug-26</c:v>
                </c:pt>
                <c:pt idx="24">
                  <c:v>15-Aug-26</c:v>
                </c:pt>
                <c:pt idx="25">
                  <c:v>16-Aug-26</c:v>
                </c:pt>
                <c:pt idx="26">
                  <c:v>17-Aug-26</c:v>
                </c:pt>
                <c:pt idx="27">
                  <c:v>18-Aug-26</c:v>
                </c:pt>
                <c:pt idx="28">
                  <c:v>19-Aug-26</c:v>
                </c:pt>
                <c:pt idx="29">
                  <c:v>20-Aug-26</c:v>
                </c:pt>
                <c:pt idx="30">
                  <c:v>21-Aug-26</c:v>
                </c:pt>
                <c:pt idx="31">
                  <c:v>22-Aug-26</c:v>
                </c:pt>
                <c:pt idx="32">
                  <c:v>23-Aug-26</c:v>
                </c:pt>
                <c:pt idx="33">
                  <c:v>24-Aug-26</c:v>
                </c:pt>
                <c:pt idx="34">
                  <c:v>25-Aug-26</c:v>
                </c:pt>
                <c:pt idx="35">
                  <c:v>26-Aug-26</c:v>
                </c:pt>
                <c:pt idx="36">
                  <c:v>27-Aug-26</c:v>
                </c:pt>
                <c:pt idx="37">
                  <c:v>28-Aug-26</c:v>
                </c:pt>
                <c:pt idx="38">
                  <c:v>29-Aug-26</c:v>
                </c:pt>
                <c:pt idx="39">
                  <c:v>30-Aug-26</c:v>
                </c:pt>
                <c:pt idx="40">
                  <c:v>31-Aug-26</c:v>
                </c:pt>
                <c:pt idx="41">
                  <c:v>01-Sep-26</c:v>
                </c:pt>
                <c:pt idx="42">
                  <c:v>02-Sep-26</c:v>
                </c:pt>
                <c:pt idx="43">
                  <c:v>03-Sep-26</c:v>
                </c:pt>
                <c:pt idx="44">
                  <c:v>04-Sep-26</c:v>
                </c:pt>
                <c:pt idx="45">
                  <c:v>05-Sep-26</c:v>
                </c:pt>
                <c:pt idx="46">
                  <c:v>06-Sep-26</c:v>
                </c:pt>
                <c:pt idx="47">
                  <c:v>07-Sep-26</c:v>
                </c:pt>
                <c:pt idx="48">
                  <c:v>08-Sep-26</c:v>
                </c:pt>
                <c:pt idx="49">
                  <c:v>09-Sep-26</c:v>
                </c:pt>
                <c:pt idx="50">
                  <c:v>10-Sep-26</c:v>
                </c:pt>
                <c:pt idx="51">
                  <c:v>11-Sep-26</c:v>
                </c:pt>
                <c:pt idx="52">
                  <c:v>12-Sep-26</c:v>
                </c:pt>
                <c:pt idx="53">
                  <c:v>13-Sep-26</c:v>
                </c:pt>
                <c:pt idx="54">
                  <c:v>14-Sep-26</c:v>
                </c:pt>
                <c:pt idx="55">
                  <c:v>15-Sep-26</c:v>
                </c:pt>
                <c:pt idx="56">
                  <c:v>16-Sep-26</c:v>
                </c:pt>
                <c:pt idx="57">
                  <c:v>17-Sep-26</c:v>
                </c:pt>
                <c:pt idx="58">
                  <c:v>18-Sep-26</c:v>
                </c:pt>
                <c:pt idx="59">
                  <c:v>19-Sep-26</c:v>
                </c:pt>
                <c:pt idx="60">
                  <c:v>20-Sep-26</c:v>
                </c:pt>
                <c:pt idx="61">
                  <c:v>21-Sep-26</c:v>
                </c:pt>
                <c:pt idx="62">
                  <c:v>22-Sep-26</c:v>
                </c:pt>
                <c:pt idx="63">
                  <c:v>23-Sep-26</c:v>
                </c:pt>
                <c:pt idx="64">
                  <c:v>24-Sep-26</c:v>
                </c:pt>
                <c:pt idx="65">
                  <c:v>25-Sep-26</c:v>
                </c:pt>
                <c:pt idx="66">
                  <c:v>26-Sep-26</c:v>
                </c:pt>
                <c:pt idx="67">
                  <c:v>27-Sep-26</c:v>
                </c:pt>
                <c:pt idx="68">
                  <c:v>28-Sep-26</c:v>
                </c:pt>
                <c:pt idx="69">
                  <c:v>29-Sep-26</c:v>
                </c:pt>
                <c:pt idx="70">
                  <c:v>30-Sep-26</c:v>
                </c:pt>
                <c:pt idx="71">
                  <c:v>01-Oct-26</c:v>
                </c:pt>
                <c:pt idx="72">
                  <c:v>02-Oct-26</c:v>
                </c:pt>
                <c:pt idx="73">
                  <c:v>03-Oct-26</c:v>
                </c:pt>
                <c:pt idx="74">
                  <c:v>04-Oct-26</c:v>
                </c:pt>
                <c:pt idx="75">
                  <c:v>05-Oct-26</c:v>
                </c:pt>
                <c:pt idx="76">
                  <c:v>06-Oct-26</c:v>
                </c:pt>
                <c:pt idx="77">
                  <c:v>07-Oct-26</c:v>
                </c:pt>
                <c:pt idx="78">
                  <c:v>08-Oct-26</c:v>
                </c:pt>
              </c:strCache>
            </c:strRef>
          </c:cat>
          <c:val>
            <c:numRef>
              <c:f>Daily_Account!$E$4:$E$82</c:f>
              <c:numCache>
                <c:formatCode>#,##0</c:formatCode>
                <c:ptCount val="79"/>
                <c:pt idx="0">
                  <c:v>14</c:v>
                </c:pt>
                <c:pt idx="1">
                  <c:v>25</c:v>
                </c:pt>
                <c:pt idx="2">
                  <c:v>35</c:v>
                </c:pt>
                <c:pt idx="3">
                  <c:v>7</c:v>
                </c:pt>
                <c:pt idx="4">
                  <c:v>19</c:v>
                </c:pt>
                <c:pt idx="5">
                  <c:v>41</c:v>
                </c:pt>
                <c:pt idx="6">
                  <c:v>40</c:v>
                </c:pt>
                <c:pt idx="7">
                  <c:v>44</c:v>
                </c:pt>
                <c:pt idx="8">
                  <c:v>31</c:v>
                </c:pt>
                <c:pt idx="9">
                  <c:v>35</c:v>
                </c:pt>
                <c:pt idx="10">
                  <c:v>21</c:v>
                </c:pt>
                <c:pt idx="11">
                  <c:v>23</c:v>
                </c:pt>
                <c:pt idx="12">
                  <c:v>35</c:v>
                </c:pt>
                <c:pt idx="13">
                  <c:v>30</c:v>
                </c:pt>
                <c:pt idx="14">
                  <c:v>24</c:v>
                </c:pt>
                <c:pt idx="15">
                  <c:v>30</c:v>
                </c:pt>
                <c:pt idx="16">
                  <c:v>38</c:v>
                </c:pt>
                <c:pt idx="17">
                  <c:v>20</c:v>
                </c:pt>
                <c:pt idx="18">
                  <c:v>17</c:v>
                </c:pt>
                <c:pt idx="19">
                  <c:v>21</c:v>
                </c:pt>
                <c:pt idx="20">
                  <c:v>10</c:v>
                </c:pt>
                <c:pt idx="21">
                  <c:v>17</c:v>
                </c:pt>
                <c:pt idx="22">
                  <c:v>19</c:v>
                </c:pt>
                <c:pt idx="23">
                  <c:v>4</c:v>
                </c:pt>
                <c:pt idx="24">
                  <c:v>17</c:v>
                </c:pt>
                <c:pt idx="25">
                  <c:v>20</c:v>
                </c:pt>
                <c:pt idx="26">
                  <c:v>21</c:v>
                </c:pt>
                <c:pt idx="27">
                  <c:v>11</c:v>
                </c:pt>
                <c:pt idx="28">
                  <c:v>17</c:v>
                </c:pt>
                <c:pt idx="29">
                  <c:v>7</c:v>
                </c:pt>
                <c:pt idx="30">
                  <c:v>16</c:v>
                </c:pt>
                <c:pt idx="31">
                  <c:v>23</c:v>
                </c:pt>
                <c:pt idx="32">
                  <c:v>50</c:v>
                </c:pt>
                <c:pt idx="33">
                  <c:v>30</c:v>
                </c:pt>
                <c:pt idx="34">
                  <c:v>27</c:v>
                </c:pt>
                <c:pt idx="35">
                  <c:v>23</c:v>
                </c:pt>
                <c:pt idx="36">
                  <c:v>27</c:v>
                </c:pt>
                <c:pt idx="37">
                  <c:v>9</c:v>
                </c:pt>
                <c:pt idx="38">
                  <c:v>34</c:v>
                </c:pt>
                <c:pt idx="39">
                  <c:v>27</c:v>
                </c:pt>
                <c:pt idx="40">
                  <c:v>51</c:v>
                </c:pt>
                <c:pt idx="41">
                  <c:v>34</c:v>
                </c:pt>
                <c:pt idx="42">
                  <c:v>37</c:v>
                </c:pt>
                <c:pt idx="43">
                  <c:v>45</c:v>
                </c:pt>
                <c:pt idx="44">
                  <c:v>39</c:v>
                </c:pt>
                <c:pt idx="45">
                  <c:v>41</c:v>
                </c:pt>
                <c:pt idx="46">
                  <c:v>26</c:v>
                </c:pt>
                <c:pt idx="47">
                  <c:v>37</c:v>
                </c:pt>
                <c:pt idx="48">
                  <c:v>52</c:v>
                </c:pt>
                <c:pt idx="49">
                  <c:v>26</c:v>
                </c:pt>
                <c:pt idx="50">
                  <c:v>41</c:v>
                </c:pt>
                <c:pt idx="51">
                  <c:v>53</c:v>
                </c:pt>
                <c:pt idx="52">
                  <c:v>57</c:v>
                </c:pt>
                <c:pt idx="53">
                  <c:v>45</c:v>
                </c:pt>
                <c:pt idx="54">
                  <c:v>51</c:v>
                </c:pt>
                <c:pt idx="55">
                  <c:v>22</c:v>
                </c:pt>
                <c:pt idx="56">
                  <c:v>36</c:v>
                </c:pt>
                <c:pt idx="57">
                  <c:v>19</c:v>
                </c:pt>
                <c:pt idx="58">
                  <c:v>25</c:v>
                </c:pt>
                <c:pt idx="59">
                  <c:v>47</c:v>
                </c:pt>
                <c:pt idx="60">
                  <c:v>33</c:v>
                </c:pt>
                <c:pt idx="61">
                  <c:v>72</c:v>
                </c:pt>
                <c:pt idx="62">
                  <c:v>51</c:v>
                </c:pt>
                <c:pt idx="63">
                  <c:v>45</c:v>
                </c:pt>
                <c:pt idx="64">
                  <c:v>46</c:v>
                </c:pt>
                <c:pt idx="65">
                  <c:v>40</c:v>
                </c:pt>
                <c:pt idx="66">
                  <c:v>42</c:v>
                </c:pt>
                <c:pt idx="67">
                  <c:v>35</c:v>
                </c:pt>
                <c:pt idx="68">
                  <c:v>60</c:v>
                </c:pt>
                <c:pt idx="69">
                  <c:v>59</c:v>
                </c:pt>
                <c:pt idx="70">
                  <c:v>55</c:v>
                </c:pt>
                <c:pt idx="71">
                  <c:v>38</c:v>
                </c:pt>
                <c:pt idx="72">
                  <c:v>45</c:v>
                </c:pt>
                <c:pt idx="73">
                  <c:v>56</c:v>
                </c:pt>
                <c:pt idx="74">
                  <c:v>34</c:v>
                </c:pt>
                <c:pt idx="75">
                  <c:v>51</c:v>
                </c:pt>
                <c:pt idx="76">
                  <c:v>34</c:v>
                </c:pt>
                <c:pt idx="77">
                  <c:v>97</c:v>
                </c:pt>
                <c:pt idx="78">
                  <c:v>99</c:v>
                </c:pt>
              </c:numCache>
            </c:numRef>
          </c:val>
        </c:ser>
        <c:gapWidth val="30"/>
        <c:overlap val="100"/>
        <c:axId val="47471191"/>
        <c:axId val="30749103"/>
      </c:barChart>
      <c:catAx>
        <c:axId val="47471191"/>
        <c:scaling>
          <c:orientation val="minMax"/>
        </c:scaling>
        <c:delete val="0"/>
        <c:axPos val="b"/>
        <c:numFmt formatCode="dd\-mmm"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0749103"/>
        <c:crosses val="autoZero"/>
        <c:auto val="1"/>
        <c:lblAlgn val="ctr"/>
        <c:lblOffset val="100"/>
        <c:noMultiLvlLbl val="0"/>
      </c:catAx>
      <c:valAx>
        <c:axId val="30749103"/>
        <c:scaling>
          <c:orientation val="minMax"/>
        </c:scaling>
        <c:delete val="0"/>
        <c:axPos val="l"/>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7471191"/>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Account – XMC attach % and E-SIM activation % (fields live since 24 Aug)</a:t>
            </a:r>
          </a:p>
        </c:rich>
      </c:tx>
      <c:overlay val="0"/>
      <c:spPr>
        <a:noFill/>
        <a:ln w="0">
          <a:noFill/>
        </a:ln>
      </c:spPr>
    </c:title>
    <c:autoTitleDeleted val="0"/>
    <c:plotArea>
      <c:lineChart>
        <c:grouping val="standard"/>
        <c:varyColors val="0"/>
        <c:ser>
          <c:idx val="0"/>
          <c:order val="0"/>
          <c:tx>
            <c:strRef>
              <c:f>Daily_Account!O3</c:f>
              <c:strCache>
                <c:ptCount val="1"/>
                <c:pt idx="0">
                  <c:v>XMC Attach %</c:v>
                </c:pt>
              </c:strCache>
            </c:strRef>
          </c:tx>
          <c:spPr>
            <a:solidFill>
              <a:srgbClr val="4a7ebb"/>
            </a:solidFill>
            <a:ln w="4752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Daily_Account!$A$4:$A$82</c:f>
              <c:strCache>
                <c:ptCount val="79"/>
                <c:pt idx="0">
                  <c:v>22-Jul-26</c:v>
                </c:pt>
                <c:pt idx="1">
                  <c:v>23-Jul-26</c:v>
                </c:pt>
                <c:pt idx="2">
                  <c:v>24-Jul-26</c:v>
                </c:pt>
                <c:pt idx="3">
                  <c:v>25-Jul-26</c:v>
                </c:pt>
                <c:pt idx="4">
                  <c:v>26-Jul-26</c:v>
                </c:pt>
                <c:pt idx="5">
                  <c:v>27-Jul-26</c:v>
                </c:pt>
                <c:pt idx="6">
                  <c:v>28-Jul-26</c:v>
                </c:pt>
                <c:pt idx="7">
                  <c:v>29-Jul-26</c:v>
                </c:pt>
                <c:pt idx="8">
                  <c:v>30-Jul-26</c:v>
                </c:pt>
                <c:pt idx="9">
                  <c:v>31-Jul-26</c:v>
                </c:pt>
                <c:pt idx="10">
                  <c:v>01-Aug-26</c:v>
                </c:pt>
                <c:pt idx="11">
                  <c:v>02-Aug-26</c:v>
                </c:pt>
                <c:pt idx="12">
                  <c:v>03-Aug-26</c:v>
                </c:pt>
                <c:pt idx="13">
                  <c:v>04-Aug-26</c:v>
                </c:pt>
                <c:pt idx="14">
                  <c:v>05-Aug-26</c:v>
                </c:pt>
                <c:pt idx="15">
                  <c:v>06-Aug-26</c:v>
                </c:pt>
                <c:pt idx="16">
                  <c:v>07-Aug-26</c:v>
                </c:pt>
                <c:pt idx="17">
                  <c:v>08-Aug-26</c:v>
                </c:pt>
                <c:pt idx="18">
                  <c:v>09-Aug-26</c:v>
                </c:pt>
                <c:pt idx="19">
                  <c:v>10-Aug-26</c:v>
                </c:pt>
                <c:pt idx="20">
                  <c:v>11-Aug-26</c:v>
                </c:pt>
                <c:pt idx="21">
                  <c:v>12-Aug-26</c:v>
                </c:pt>
                <c:pt idx="22">
                  <c:v>13-Aug-26</c:v>
                </c:pt>
                <c:pt idx="23">
                  <c:v>14-Aug-26</c:v>
                </c:pt>
                <c:pt idx="24">
                  <c:v>15-Aug-26</c:v>
                </c:pt>
                <c:pt idx="25">
                  <c:v>16-Aug-26</c:v>
                </c:pt>
                <c:pt idx="26">
                  <c:v>17-Aug-26</c:v>
                </c:pt>
                <c:pt idx="27">
                  <c:v>18-Aug-26</c:v>
                </c:pt>
                <c:pt idx="28">
                  <c:v>19-Aug-26</c:v>
                </c:pt>
                <c:pt idx="29">
                  <c:v>20-Aug-26</c:v>
                </c:pt>
                <c:pt idx="30">
                  <c:v>21-Aug-26</c:v>
                </c:pt>
                <c:pt idx="31">
                  <c:v>22-Aug-26</c:v>
                </c:pt>
                <c:pt idx="32">
                  <c:v>23-Aug-26</c:v>
                </c:pt>
                <c:pt idx="33">
                  <c:v>24-Aug-26</c:v>
                </c:pt>
                <c:pt idx="34">
                  <c:v>25-Aug-26</c:v>
                </c:pt>
                <c:pt idx="35">
                  <c:v>26-Aug-26</c:v>
                </c:pt>
                <c:pt idx="36">
                  <c:v>27-Aug-26</c:v>
                </c:pt>
                <c:pt idx="37">
                  <c:v>28-Aug-26</c:v>
                </c:pt>
                <c:pt idx="38">
                  <c:v>29-Aug-26</c:v>
                </c:pt>
                <c:pt idx="39">
                  <c:v>30-Aug-26</c:v>
                </c:pt>
                <c:pt idx="40">
                  <c:v>31-Aug-26</c:v>
                </c:pt>
                <c:pt idx="41">
                  <c:v>01-Sep-26</c:v>
                </c:pt>
                <c:pt idx="42">
                  <c:v>02-Sep-26</c:v>
                </c:pt>
                <c:pt idx="43">
                  <c:v>03-Sep-26</c:v>
                </c:pt>
                <c:pt idx="44">
                  <c:v>04-Sep-26</c:v>
                </c:pt>
                <c:pt idx="45">
                  <c:v>05-Sep-26</c:v>
                </c:pt>
                <c:pt idx="46">
                  <c:v>06-Sep-26</c:v>
                </c:pt>
                <c:pt idx="47">
                  <c:v>07-Sep-26</c:v>
                </c:pt>
                <c:pt idx="48">
                  <c:v>08-Sep-26</c:v>
                </c:pt>
                <c:pt idx="49">
                  <c:v>09-Sep-26</c:v>
                </c:pt>
                <c:pt idx="50">
                  <c:v>10-Sep-26</c:v>
                </c:pt>
                <c:pt idx="51">
                  <c:v>11-Sep-26</c:v>
                </c:pt>
                <c:pt idx="52">
                  <c:v>12-Sep-26</c:v>
                </c:pt>
                <c:pt idx="53">
                  <c:v>13-Sep-26</c:v>
                </c:pt>
                <c:pt idx="54">
                  <c:v>14-Sep-26</c:v>
                </c:pt>
                <c:pt idx="55">
                  <c:v>15-Sep-26</c:v>
                </c:pt>
                <c:pt idx="56">
                  <c:v>16-Sep-26</c:v>
                </c:pt>
                <c:pt idx="57">
                  <c:v>17-Sep-26</c:v>
                </c:pt>
                <c:pt idx="58">
                  <c:v>18-Sep-26</c:v>
                </c:pt>
                <c:pt idx="59">
                  <c:v>19-Sep-26</c:v>
                </c:pt>
                <c:pt idx="60">
                  <c:v>20-Sep-26</c:v>
                </c:pt>
                <c:pt idx="61">
                  <c:v>21-Sep-26</c:v>
                </c:pt>
                <c:pt idx="62">
                  <c:v>22-Sep-26</c:v>
                </c:pt>
                <c:pt idx="63">
                  <c:v>23-Sep-26</c:v>
                </c:pt>
                <c:pt idx="64">
                  <c:v>24-Sep-26</c:v>
                </c:pt>
                <c:pt idx="65">
                  <c:v>25-Sep-26</c:v>
                </c:pt>
                <c:pt idx="66">
                  <c:v>26-Sep-26</c:v>
                </c:pt>
                <c:pt idx="67">
                  <c:v>27-Sep-26</c:v>
                </c:pt>
                <c:pt idx="68">
                  <c:v>28-Sep-26</c:v>
                </c:pt>
                <c:pt idx="69">
                  <c:v>29-Sep-26</c:v>
                </c:pt>
                <c:pt idx="70">
                  <c:v>30-Sep-26</c:v>
                </c:pt>
                <c:pt idx="71">
                  <c:v>01-Oct-26</c:v>
                </c:pt>
                <c:pt idx="72">
                  <c:v>02-Oct-26</c:v>
                </c:pt>
                <c:pt idx="73">
                  <c:v>03-Oct-26</c:v>
                </c:pt>
                <c:pt idx="74">
                  <c:v>04-Oct-26</c:v>
                </c:pt>
                <c:pt idx="75">
                  <c:v>05-Oct-26</c:v>
                </c:pt>
                <c:pt idx="76">
                  <c:v>06-Oct-26</c:v>
                </c:pt>
                <c:pt idx="77">
                  <c:v>07-Oct-26</c:v>
                </c:pt>
                <c:pt idx="78">
                  <c:v>08-Oct-26</c:v>
                </c:pt>
              </c:strCache>
            </c:strRef>
          </c:cat>
          <c:val>
            <c:numRef>
              <c:f>Daily_Account!$O$4:$O$82</c:f>
              <c:numCache>
                <c:formatCode>0.0%</c:formatCode>
                <c:ptCount val="79"/>
                <c:pt idx="36">
                  <c:v>0.4</c:v>
                </c:pt>
                <c:pt idx="37">
                  <c:v>0.0666666666666667</c:v>
                </c:pt>
                <c:pt idx="38">
                  <c:v>0.263157894736842</c:v>
                </c:pt>
                <c:pt idx="39">
                  <c:v>0.181818181818182</c:v>
                </c:pt>
                <c:pt idx="40">
                  <c:v>0.2</c:v>
                </c:pt>
                <c:pt idx="41">
                  <c:v>0</c:v>
                </c:pt>
                <c:pt idx="42">
                  <c:v>0.0909090909090909</c:v>
                </c:pt>
                <c:pt idx="43">
                  <c:v>0.105263157894737</c:v>
                </c:pt>
                <c:pt idx="44">
                  <c:v>0.0588235294117647</c:v>
                </c:pt>
                <c:pt idx="45">
                  <c:v>0</c:v>
                </c:pt>
                <c:pt idx="46">
                  <c:v>0</c:v>
                </c:pt>
                <c:pt idx="47">
                  <c:v>0.0434782608695652</c:v>
                </c:pt>
                <c:pt idx="48">
                  <c:v>0.25</c:v>
                </c:pt>
                <c:pt idx="49">
                  <c:v>0.0833333333333333</c:v>
                </c:pt>
                <c:pt idx="50">
                  <c:v>0.0714285714285714</c:v>
                </c:pt>
                <c:pt idx="51">
                  <c:v>0.0625</c:v>
                </c:pt>
                <c:pt idx="52">
                  <c:v>0.25</c:v>
                </c:pt>
                <c:pt idx="53">
                  <c:v>0</c:v>
                </c:pt>
                <c:pt idx="54">
                  <c:v>0.0909090909090909</c:v>
                </c:pt>
                <c:pt idx="55">
                  <c:v>0.1</c:v>
                </c:pt>
                <c:pt idx="56">
                  <c:v>0.142857142857143</c:v>
                </c:pt>
                <c:pt idx="57">
                  <c:v>0.111111111111111</c:v>
                </c:pt>
                <c:pt idx="58">
                  <c:v>0.0714285714285714</c:v>
                </c:pt>
                <c:pt idx="59">
                  <c:v>0.272727272727273</c:v>
                </c:pt>
                <c:pt idx="60">
                  <c:v>0</c:v>
                </c:pt>
                <c:pt idx="61">
                  <c:v>0.0833333333333333</c:v>
                </c:pt>
                <c:pt idx="62">
                  <c:v>0.133333333333333</c:v>
                </c:pt>
                <c:pt idx="63">
                  <c:v>0.2</c:v>
                </c:pt>
                <c:pt idx="64">
                  <c:v>0.133333333333333</c:v>
                </c:pt>
                <c:pt idx="65">
                  <c:v>0.208333333333333</c:v>
                </c:pt>
                <c:pt idx="66">
                  <c:v>0.176470588235294</c:v>
                </c:pt>
                <c:pt idx="67">
                  <c:v>0</c:v>
                </c:pt>
                <c:pt idx="68">
                  <c:v>0</c:v>
                </c:pt>
                <c:pt idx="69">
                  <c:v>0.157894736842105</c:v>
                </c:pt>
                <c:pt idx="70">
                  <c:v>0.266666666666667</c:v>
                </c:pt>
                <c:pt idx="71">
                  <c:v>0.153846153846154</c:v>
                </c:pt>
                <c:pt idx="72">
                  <c:v>0.0714285714285714</c:v>
                </c:pt>
                <c:pt idx="73">
                  <c:v>0.333333333333333</c:v>
                </c:pt>
                <c:pt idx="74">
                  <c:v>0.0714285714285714</c:v>
                </c:pt>
                <c:pt idx="75">
                  <c:v>0.4</c:v>
                </c:pt>
                <c:pt idx="76">
                  <c:v>0.105263157894737</c:v>
                </c:pt>
                <c:pt idx="77">
                  <c:v>0.269230769230769</c:v>
                </c:pt>
                <c:pt idx="78">
                  <c:v>0.217391304347826</c:v>
                </c:pt>
              </c:numCache>
            </c:numRef>
          </c:val>
          <c:smooth val="1"/>
        </c:ser>
        <c:ser>
          <c:idx val="1"/>
          <c:order val="1"/>
          <c:tx>
            <c:strRef>
              <c:f>Daily_Account!R3</c:f>
              <c:strCache>
                <c:ptCount val="1"/>
                <c:pt idx="0">
                  <c:v>E-SIM Act. %</c:v>
                </c:pt>
              </c:strCache>
            </c:strRef>
          </c:tx>
          <c:spPr>
            <a:solidFill>
              <a:srgbClr val="be4b48"/>
            </a:solidFill>
            <a:ln w="4752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Daily_Account!$A$4:$A$82</c:f>
              <c:strCache>
                <c:ptCount val="79"/>
                <c:pt idx="0">
                  <c:v>22-Jul-26</c:v>
                </c:pt>
                <c:pt idx="1">
                  <c:v>23-Jul-26</c:v>
                </c:pt>
                <c:pt idx="2">
                  <c:v>24-Jul-26</c:v>
                </c:pt>
                <c:pt idx="3">
                  <c:v>25-Jul-26</c:v>
                </c:pt>
                <c:pt idx="4">
                  <c:v>26-Jul-26</c:v>
                </c:pt>
                <c:pt idx="5">
                  <c:v>27-Jul-26</c:v>
                </c:pt>
                <c:pt idx="6">
                  <c:v>28-Jul-26</c:v>
                </c:pt>
                <c:pt idx="7">
                  <c:v>29-Jul-26</c:v>
                </c:pt>
                <c:pt idx="8">
                  <c:v>30-Jul-26</c:v>
                </c:pt>
                <c:pt idx="9">
                  <c:v>31-Jul-26</c:v>
                </c:pt>
                <c:pt idx="10">
                  <c:v>01-Aug-26</c:v>
                </c:pt>
                <c:pt idx="11">
                  <c:v>02-Aug-26</c:v>
                </c:pt>
                <c:pt idx="12">
                  <c:v>03-Aug-26</c:v>
                </c:pt>
                <c:pt idx="13">
                  <c:v>04-Aug-26</c:v>
                </c:pt>
                <c:pt idx="14">
                  <c:v>05-Aug-26</c:v>
                </c:pt>
                <c:pt idx="15">
                  <c:v>06-Aug-26</c:v>
                </c:pt>
                <c:pt idx="16">
                  <c:v>07-Aug-26</c:v>
                </c:pt>
                <c:pt idx="17">
                  <c:v>08-Aug-26</c:v>
                </c:pt>
                <c:pt idx="18">
                  <c:v>09-Aug-26</c:v>
                </c:pt>
                <c:pt idx="19">
                  <c:v>10-Aug-26</c:v>
                </c:pt>
                <c:pt idx="20">
                  <c:v>11-Aug-26</c:v>
                </c:pt>
                <c:pt idx="21">
                  <c:v>12-Aug-26</c:v>
                </c:pt>
                <c:pt idx="22">
                  <c:v>13-Aug-26</c:v>
                </c:pt>
                <c:pt idx="23">
                  <c:v>14-Aug-26</c:v>
                </c:pt>
                <c:pt idx="24">
                  <c:v>15-Aug-26</c:v>
                </c:pt>
                <c:pt idx="25">
                  <c:v>16-Aug-26</c:v>
                </c:pt>
                <c:pt idx="26">
                  <c:v>17-Aug-26</c:v>
                </c:pt>
                <c:pt idx="27">
                  <c:v>18-Aug-26</c:v>
                </c:pt>
                <c:pt idx="28">
                  <c:v>19-Aug-26</c:v>
                </c:pt>
                <c:pt idx="29">
                  <c:v>20-Aug-26</c:v>
                </c:pt>
                <c:pt idx="30">
                  <c:v>21-Aug-26</c:v>
                </c:pt>
                <c:pt idx="31">
                  <c:v>22-Aug-26</c:v>
                </c:pt>
                <c:pt idx="32">
                  <c:v>23-Aug-26</c:v>
                </c:pt>
                <c:pt idx="33">
                  <c:v>24-Aug-26</c:v>
                </c:pt>
                <c:pt idx="34">
                  <c:v>25-Aug-26</c:v>
                </c:pt>
                <c:pt idx="35">
                  <c:v>26-Aug-26</c:v>
                </c:pt>
                <c:pt idx="36">
                  <c:v>27-Aug-26</c:v>
                </c:pt>
                <c:pt idx="37">
                  <c:v>28-Aug-26</c:v>
                </c:pt>
                <c:pt idx="38">
                  <c:v>29-Aug-26</c:v>
                </c:pt>
                <c:pt idx="39">
                  <c:v>30-Aug-26</c:v>
                </c:pt>
                <c:pt idx="40">
                  <c:v>31-Aug-26</c:v>
                </c:pt>
                <c:pt idx="41">
                  <c:v>01-Sep-26</c:v>
                </c:pt>
                <c:pt idx="42">
                  <c:v>02-Sep-26</c:v>
                </c:pt>
                <c:pt idx="43">
                  <c:v>03-Sep-26</c:v>
                </c:pt>
                <c:pt idx="44">
                  <c:v>04-Sep-26</c:v>
                </c:pt>
                <c:pt idx="45">
                  <c:v>05-Sep-26</c:v>
                </c:pt>
                <c:pt idx="46">
                  <c:v>06-Sep-26</c:v>
                </c:pt>
                <c:pt idx="47">
                  <c:v>07-Sep-26</c:v>
                </c:pt>
                <c:pt idx="48">
                  <c:v>08-Sep-26</c:v>
                </c:pt>
                <c:pt idx="49">
                  <c:v>09-Sep-26</c:v>
                </c:pt>
                <c:pt idx="50">
                  <c:v>10-Sep-26</c:v>
                </c:pt>
                <c:pt idx="51">
                  <c:v>11-Sep-26</c:v>
                </c:pt>
                <c:pt idx="52">
                  <c:v>12-Sep-26</c:v>
                </c:pt>
                <c:pt idx="53">
                  <c:v>13-Sep-26</c:v>
                </c:pt>
                <c:pt idx="54">
                  <c:v>14-Sep-26</c:v>
                </c:pt>
                <c:pt idx="55">
                  <c:v>15-Sep-26</c:v>
                </c:pt>
                <c:pt idx="56">
                  <c:v>16-Sep-26</c:v>
                </c:pt>
                <c:pt idx="57">
                  <c:v>17-Sep-26</c:v>
                </c:pt>
                <c:pt idx="58">
                  <c:v>18-Sep-26</c:v>
                </c:pt>
                <c:pt idx="59">
                  <c:v>19-Sep-26</c:v>
                </c:pt>
                <c:pt idx="60">
                  <c:v>20-Sep-26</c:v>
                </c:pt>
                <c:pt idx="61">
                  <c:v>21-Sep-26</c:v>
                </c:pt>
                <c:pt idx="62">
                  <c:v>22-Sep-26</c:v>
                </c:pt>
                <c:pt idx="63">
                  <c:v>23-Sep-26</c:v>
                </c:pt>
                <c:pt idx="64">
                  <c:v>24-Sep-26</c:v>
                </c:pt>
                <c:pt idx="65">
                  <c:v>25-Sep-26</c:v>
                </c:pt>
                <c:pt idx="66">
                  <c:v>26-Sep-26</c:v>
                </c:pt>
                <c:pt idx="67">
                  <c:v>27-Sep-26</c:v>
                </c:pt>
                <c:pt idx="68">
                  <c:v>28-Sep-26</c:v>
                </c:pt>
                <c:pt idx="69">
                  <c:v>29-Sep-26</c:v>
                </c:pt>
                <c:pt idx="70">
                  <c:v>30-Sep-26</c:v>
                </c:pt>
                <c:pt idx="71">
                  <c:v>01-Oct-26</c:v>
                </c:pt>
                <c:pt idx="72">
                  <c:v>02-Oct-26</c:v>
                </c:pt>
                <c:pt idx="73">
                  <c:v>03-Oct-26</c:v>
                </c:pt>
                <c:pt idx="74">
                  <c:v>04-Oct-26</c:v>
                </c:pt>
                <c:pt idx="75">
                  <c:v>05-Oct-26</c:v>
                </c:pt>
                <c:pt idx="76">
                  <c:v>06-Oct-26</c:v>
                </c:pt>
                <c:pt idx="77">
                  <c:v>07-Oct-26</c:v>
                </c:pt>
                <c:pt idx="78">
                  <c:v>08-Oct-26</c:v>
                </c:pt>
              </c:strCache>
            </c:strRef>
          </c:cat>
          <c:val>
            <c:numRef>
              <c:f>Daily_Account!$R$4:$R$82</c:f>
              <c:numCache>
                <c:formatCode>0.0%</c:formatCode>
                <c:ptCount val="79"/>
                <c:pt idx="36">
                  <c:v>0.75</c:v>
                </c:pt>
                <c:pt idx="37">
                  <c:v>1</c:v>
                </c:pt>
                <c:pt idx="38">
                  <c:v>0.842105263157895</c:v>
                </c:pt>
                <c:pt idx="39">
                  <c:v>0.909090909090909</c:v>
                </c:pt>
                <c:pt idx="40">
                  <c:v>0.928571428571429</c:v>
                </c:pt>
                <c:pt idx="41">
                  <c:v>0.80952380952381</c:v>
                </c:pt>
                <c:pt idx="42">
                  <c:v>0.5</c:v>
                </c:pt>
                <c:pt idx="43">
                  <c:v>0.8125</c:v>
                </c:pt>
                <c:pt idx="44">
                  <c:v>0.785714285714286</c:v>
                </c:pt>
                <c:pt idx="45">
                  <c:v>0.833333333333333</c:v>
                </c:pt>
                <c:pt idx="46">
                  <c:v>0.928571428571429</c:v>
                </c:pt>
                <c:pt idx="47">
                  <c:v>0.91304347826087</c:v>
                </c:pt>
                <c:pt idx="48">
                  <c:v>0.909090909090909</c:v>
                </c:pt>
                <c:pt idx="49">
                  <c:v>0.888888888888889</c:v>
                </c:pt>
                <c:pt idx="50">
                  <c:v>0.785714285714286</c:v>
                </c:pt>
                <c:pt idx="51">
                  <c:v>0.8</c:v>
                </c:pt>
                <c:pt idx="52">
                  <c:v>0.88</c:v>
                </c:pt>
                <c:pt idx="53">
                  <c:v>1</c:v>
                </c:pt>
                <c:pt idx="54">
                  <c:v>0.818181818181818</c:v>
                </c:pt>
                <c:pt idx="55">
                  <c:v>0.777777777777778</c:v>
                </c:pt>
                <c:pt idx="56">
                  <c:v>0.846153846153846</c:v>
                </c:pt>
                <c:pt idx="57">
                  <c:v>0.875</c:v>
                </c:pt>
                <c:pt idx="58">
                  <c:v>0.857142857142857</c:v>
                </c:pt>
                <c:pt idx="59">
                  <c:v>0.7</c:v>
                </c:pt>
                <c:pt idx="60">
                  <c:v>0.769230769230769</c:v>
                </c:pt>
                <c:pt idx="61">
                  <c:v>0.818181818181818</c:v>
                </c:pt>
                <c:pt idx="62">
                  <c:v>0.785714285714286</c:v>
                </c:pt>
                <c:pt idx="63">
                  <c:v>0.578947368421053</c:v>
                </c:pt>
                <c:pt idx="64">
                  <c:v>0.76</c:v>
                </c:pt>
                <c:pt idx="65">
                  <c:v>0.833333333333333</c:v>
                </c:pt>
                <c:pt idx="66">
                  <c:v>0.5625</c:v>
                </c:pt>
                <c:pt idx="67">
                  <c:v>0.857142857142857</c:v>
                </c:pt>
                <c:pt idx="68">
                  <c:v>0.9</c:v>
                </c:pt>
                <c:pt idx="69">
                  <c:v>0.8125</c:v>
                </c:pt>
                <c:pt idx="70">
                  <c:v>0.846153846153846</c:v>
                </c:pt>
                <c:pt idx="71">
                  <c:v>0.5</c:v>
                </c:pt>
                <c:pt idx="72">
                  <c:v>1</c:v>
                </c:pt>
                <c:pt idx="73">
                  <c:v>0.85</c:v>
                </c:pt>
                <c:pt idx="74">
                  <c:v>0.833333333333333</c:v>
                </c:pt>
                <c:pt idx="75">
                  <c:v>0.733333333333333</c:v>
                </c:pt>
                <c:pt idx="76">
                  <c:v>0.5</c:v>
                </c:pt>
                <c:pt idx="77">
                  <c:v>0.576923076923077</c:v>
                </c:pt>
                <c:pt idx="78">
                  <c:v>0.454545454545455</c:v>
                </c:pt>
              </c:numCache>
            </c:numRef>
          </c:val>
          <c:smooth val="1"/>
        </c:ser>
        <c:hiLowLines>
          <c:spPr>
            <a:ln w="0">
              <a:noFill/>
            </a:ln>
          </c:spPr>
        </c:hiLowLines>
        <c:marker val="0"/>
        <c:axId val="7546722"/>
        <c:axId val="98494427"/>
      </c:lineChart>
      <c:catAx>
        <c:axId val="7546722"/>
        <c:scaling>
          <c:orientation val="minMax"/>
        </c:scaling>
        <c:delete val="0"/>
        <c:axPos val="b"/>
        <c:numFmt formatCode="dd\-mmm"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8494427"/>
        <c:crosses val="autoZero"/>
        <c:auto val="1"/>
        <c:lblAlgn val="ctr"/>
        <c:lblOffset val="100"/>
        <c:noMultiLvlLbl val="0"/>
      </c:catAx>
      <c:valAx>
        <c:axId val="98494427"/>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546722"/>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zero"/>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Agent daily units vs team average per agent</a:t>
            </a:r>
          </a:p>
        </c:rich>
      </c:tx>
      <c:overlay val="0"/>
      <c:spPr>
        <a:noFill/>
        <a:ln w="0">
          <a:noFill/>
        </a:ln>
      </c:spPr>
    </c:title>
    <c:autoTitleDeleted val="0"/>
    <c:plotArea>
      <c:lineChart>
        <c:grouping val="standard"/>
        <c:varyColors val="0"/>
        <c:ser>
          <c:idx val="0"/>
          <c:order val="0"/>
          <c:tx>
            <c:strRef>
              <c:f>Agent_Trend!E13</c:f>
              <c:strCache>
                <c:ptCount val="1"/>
                <c:pt idx="0">
                  <c:v>Total Units</c:v>
                </c:pt>
              </c:strCache>
            </c:strRef>
          </c:tx>
          <c:spPr>
            <a:solidFill>
              <a:srgbClr val="4a7ebb"/>
            </a:solidFill>
            <a:ln w="4752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Agent_Trend!$A$14:$A$92</c:f>
              <c:strCache>
                <c:ptCount val="79"/>
                <c:pt idx="0">
                  <c:v>Wed 22-Jul</c:v>
                </c:pt>
                <c:pt idx="1">
                  <c:v>Thu 23-Jul</c:v>
                </c:pt>
                <c:pt idx="2">
                  <c:v>Fri 24-Jul</c:v>
                </c:pt>
                <c:pt idx="3">
                  <c:v>Sat 25-Jul</c:v>
                </c:pt>
                <c:pt idx="4">
                  <c:v>Sun 26-Jul</c:v>
                </c:pt>
                <c:pt idx="5">
                  <c:v>Mon 27-Jul</c:v>
                </c:pt>
                <c:pt idx="6">
                  <c:v>Tue 28-Jul</c:v>
                </c:pt>
                <c:pt idx="7">
                  <c:v>Wed 29-Jul</c:v>
                </c:pt>
                <c:pt idx="8">
                  <c:v>Thu 30-Jul</c:v>
                </c:pt>
                <c:pt idx="9">
                  <c:v>Fri 31-Jul</c:v>
                </c:pt>
                <c:pt idx="10">
                  <c:v>Sat 01-Aug</c:v>
                </c:pt>
                <c:pt idx="11">
                  <c:v>Sun 02-Aug</c:v>
                </c:pt>
                <c:pt idx="12">
                  <c:v>Mon 03-Aug</c:v>
                </c:pt>
                <c:pt idx="13">
                  <c:v>Tue 04-Aug</c:v>
                </c:pt>
                <c:pt idx="14">
                  <c:v>Wed 05-Aug</c:v>
                </c:pt>
                <c:pt idx="15">
                  <c:v>Thu 06-Aug</c:v>
                </c:pt>
                <c:pt idx="16">
                  <c:v>Fri 07-Aug</c:v>
                </c:pt>
                <c:pt idx="17">
                  <c:v>Sat 08-Aug</c:v>
                </c:pt>
                <c:pt idx="18">
                  <c:v>Sun 09-Aug</c:v>
                </c:pt>
                <c:pt idx="19">
                  <c:v>Mon 10-Aug</c:v>
                </c:pt>
                <c:pt idx="20">
                  <c:v>Tue 11-Aug</c:v>
                </c:pt>
                <c:pt idx="21">
                  <c:v>Wed 12-Aug</c:v>
                </c:pt>
                <c:pt idx="22">
                  <c:v>Thu 13-Aug</c:v>
                </c:pt>
                <c:pt idx="23">
                  <c:v>Fri 14-Aug</c:v>
                </c:pt>
                <c:pt idx="24">
                  <c:v>Sat 15-Aug</c:v>
                </c:pt>
                <c:pt idx="25">
                  <c:v>Sun 16-Aug</c:v>
                </c:pt>
                <c:pt idx="26">
                  <c:v>Mon 17-Aug</c:v>
                </c:pt>
                <c:pt idx="27">
                  <c:v>Tue 18-Aug</c:v>
                </c:pt>
                <c:pt idx="28">
                  <c:v>Wed 19-Aug</c:v>
                </c:pt>
                <c:pt idx="29">
                  <c:v>Thu 20-Aug</c:v>
                </c:pt>
                <c:pt idx="30">
                  <c:v>Fri 21-Aug</c:v>
                </c:pt>
                <c:pt idx="31">
                  <c:v>Sat 22-Aug</c:v>
                </c:pt>
                <c:pt idx="32">
                  <c:v>Sun 23-Aug</c:v>
                </c:pt>
                <c:pt idx="33">
                  <c:v>Mon 24-Aug</c:v>
                </c:pt>
                <c:pt idx="34">
                  <c:v>Tue 25-Aug</c:v>
                </c:pt>
                <c:pt idx="35">
                  <c:v>Wed 26-Aug</c:v>
                </c:pt>
                <c:pt idx="36">
                  <c:v>Thu 27-Aug</c:v>
                </c:pt>
                <c:pt idx="37">
                  <c:v>Fri 28-Aug</c:v>
                </c:pt>
                <c:pt idx="38">
                  <c:v>Sat 29-Aug</c:v>
                </c:pt>
                <c:pt idx="39">
                  <c:v>Sun 30-Aug</c:v>
                </c:pt>
                <c:pt idx="40">
                  <c:v>Mon 31-Aug</c:v>
                </c:pt>
                <c:pt idx="41">
                  <c:v>Tue 01-Sep</c:v>
                </c:pt>
                <c:pt idx="42">
                  <c:v>Wed 02-Sep</c:v>
                </c:pt>
                <c:pt idx="43">
                  <c:v>Thu 03-Sep</c:v>
                </c:pt>
                <c:pt idx="44">
                  <c:v>Fri 04-Sep</c:v>
                </c:pt>
                <c:pt idx="45">
                  <c:v>Sat 05-Sep</c:v>
                </c:pt>
                <c:pt idx="46">
                  <c:v>Sun 06-Sep</c:v>
                </c:pt>
                <c:pt idx="47">
                  <c:v>Mon 07-Sep</c:v>
                </c:pt>
                <c:pt idx="48">
                  <c:v>Tue 08-Sep</c:v>
                </c:pt>
                <c:pt idx="49">
                  <c:v>Wed 09-Sep</c:v>
                </c:pt>
                <c:pt idx="50">
                  <c:v>Thu 10-Sep</c:v>
                </c:pt>
                <c:pt idx="51">
                  <c:v>Fri 11-Sep</c:v>
                </c:pt>
                <c:pt idx="52">
                  <c:v>Sat 12-Sep</c:v>
                </c:pt>
                <c:pt idx="53">
                  <c:v>Sun 13-Sep</c:v>
                </c:pt>
                <c:pt idx="54">
                  <c:v>Mon 14-Sep</c:v>
                </c:pt>
                <c:pt idx="55">
                  <c:v>Tue 15-Sep</c:v>
                </c:pt>
                <c:pt idx="56">
                  <c:v>Wed 16-Sep</c:v>
                </c:pt>
                <c:pt idx="57">
                  <c:v>Thu 17-Sep</c:v>
                </c:pt>
                <c:pt idx="58">
                  <c:v>Fri 18-Sep</c:v>
                </c:pt>
                <c:pt idx="59">
                  <c:v>Sat 19-Sep</c:v>
                </c:pt>
                <c:pt idx="60">
                  <c:v>Sun 20-Sep</c:v>
                </c:pt>
                <c:pt idx="61">
                  <c:v>Mon 21-Sep</c:v>
                </c:pt>
                <c:pt idx="62">
                  <c:v>Tue 22-Sep</c:v>
                </c:pt>
                <c:pt idx="63">
                  <c:v>Wed 23-Sep</c:v>
                </c:pt>
                <c:pt idx="64">
                  <c:v>Thu 24-Sep</c:v>
                </c:pt>
                <c:pt idx="65">
                  <c:v>Fri 25-Sep</c:v>
                </c:pt>
                <c:pt idx="66">
                  <c:v>Sat 26-Sep</c:v>
                </c:pt>
                <c:pt idx="67">
                  <c:v>Sun 27-Sep</c:v>
                </c:pt>
                <c:pt idx="68">
                  <c:v>Mon 28-Sep</c:v>
                </c:pt>
                <c:pt idx="69">
                  <c:v>Tue 29-Sep</c:v>
                </c:pt>
                <c:pt idx="70">
                  <c:v>Wed 30-Sep</c:v>
                </c:pt>
                <c:pt idx="71">
                  <c:v>Thu 01-Oct</c:v>
                </c:pt>
                <c:pt idx="72">
                  <c:v>Fri 02-Oct</c:v>
                </c:pt>
                <c:pt idx="73">
                  <c:v>Sat 03-Oct</c:v>
                </c:pt>
                <c:pt idx="74">
                  <c:v>Sun 04-Oct</c:v>
                </c:pt>
                <c:pt idx="75">
                  <c:v>Mon 05-Oct</c:v>
                </c:pt>
                <c:pt idx="76">
                  <c:v>Tue 06-Oct</c:v>
                </c:pt>
                <c:pt idx="77">
                  <c:v>Wed 07-Oct</c:v>
                </c:pt>
                <c:pt idx="78">
                  <c:v>Thu 08-Oct</c:v>
                </c:pt>
              </c:strCache>
            </c:strRef>
          </c:cat>
          <c:val>
            <c:numRef>
              <c:f>Agent_Trend!$E$14:$E$92</c:f>
              <c:numCache>
                <c:formatCode>#,##0</c:formatCode>
                <c:ptCount val="79"/>
                <c:pt idx="0">
                  <c:v>7</c:v>
                </c:pt>
                <c:pt idx="1">
                  <c:v>9</c:v>
                </c:pt>
                <c:pt idx="2">
                  <c:v>15</c:v>
                </c:pt>
                <c:pt idx="3">
                  <c:v>0</c:v>
                </c:pt>
                <c:pt idx="4">
                  <c:v>5</c:v>
                </c:pt>
                <c:pt idx="5">
                  <c:v>18</c:v>
                </c:pt>
                <c:pt idx="6">
                  <c:v>10</c:v>
                </c:pt>
                <c:pt idx="7">
                  <c:v>18</c:v>
                </c:pt>
                <c:pt idx="8">
                  <c:v>9</c:v>
                </c:pt>
                <c:pt idx="9">
                  <c:v>8</c:v>
                </c:pt>
                <c:pt idx="10">
                  <c:v>0</c:v>
                </c:pt>
                <c:pt idx="11">
                  <c:v>20</c:v>
                </c:pt>
                <c:pt idx="12">
                  <c:v>9</c:v>
                </c:pt>
                <c:pt idx="13">
                  <c:v>4</c:v>
                </c:pt>
                <c:pt idx="14">
                  <c:v>3</c:v>
                </c:pt>
                <c:pt idx="15">
                  <c:v>8</c:v>
                </c:pt>
                <c:pt idx="16">
                  <c:v>5</c:v>
                </c:pt>
                <c:pt idx="17">
                  <c:v>0</c:v>
                </c:pt>
                <c:pt idx="18">
                  <c:v>1</c:v>
                </c:pt>
                <c:pt idx="19">
                  <c:v>2</c:v>
                </c:pt>
                <c:pt idx="20">
                  <c:v>0</c:v>
                </c:pt>
                <c:pt idx="21">
                  <c:v>0</c:v>
                </c:pt>
                <c:pt idx="22">
                  <c:v>0</c:v>
                </c:pt>
                <c:pt idx="23">
                  <c:v>0</c:v>
                </c:pt>
                <c:pt idx="24">
                  <c:v>0</c:v>
                </c:pt>
                <c:pt idx="25">
                  <c:v>0</c:v>
                </c:pt>
                <c:pt idx="26">
                  <c:v>0</c:v>
                </c:pt>
                <c:pt idx="27">
                  <c:v>0</c:v>
                </c:pt>
                <c:pt idx="28">
                  <c:v>0</c:v>
                </c:pt>
                <c:pt idx="29">
                  <c:v>0</c:v>
                </c:pt>
                <c:pt idx="30">
                  <c:v>0</c:v>
                </c:pt>
                <c:pt idx="31">
                  <c:v>4</c:v>
                </c:pt>
                <c:pt idx="32">
                  <c:v>15</c:v>
                </c:pt>
                <c:pt idx="33">
                  <c:v>0</c:v>
                </c:pt>
                <c:pt idx="34">
                  <c:v>0</c:v>
                </c:pt>
                <c:pt idx="35">
                  <c:v>0</c:v>
                </c:pt>
                <c:pt idx="36">
                  <c:v>0</c:v>
                </c:pt>
                <c:pt idx="37">
                  <c:v>1</c:v>
                </c:pt>
                <c:pt idx="38">
                  <c:v>8</c:v>
                </c:pt>
                <c:pt idx="39">
                  <c:v>0</c:v>
                </c:pt>
                <c:pt idx="40">
                  <c:v>7</c:v>
                </c:pt>
                <c:pt idx="41">
                  <c:v>1</c:v>
                </c:pt>
                <c:pt idx="42">
                  <c:v>0</c:v>
                </c:pt>
                <c:pt idx="43">
                  <c:v>4</c:v>
                </c:pt>
                <c:pt idx="44">
                  <c:v>4</c:v>
                </c:pt>
                <c:pt idx="45">
                  <c:v>8</c:v>
                </c:pt>
                <c:pt idx="46">
                  <c:v>0</c:v>
                </c:pt>
                <c:pt idx="47">
                  <c:v>0</c:v>
                </c:pt>
                <c:pt idx="48">
                  <c:v>1</c:v>
                </c:pt>
                <c:pt idx="49">
                  <c:v>6</c:v>
                </c:pt>
                <c:pt idx="50">
                  <c:v>4</c:v>
                </c:pt>
                <c:pt idx="51">
                  <c:v>0</c:v>
                </c:pt>
                <c:pt idx="52">
                  <c:v>3</c:v>
                </c:pt>
                <c:pt idx="53">
                  <c:v>3</c:v>
                </c:pt>
                <c:pt idx="54">
                  <c:v>0</c:v>
                </c:pt>
                <c:pt idx="55">
                  <c:v>0</c:v>
                </c:pt>
                <c:pt idx="56">
                  <c:v>4</c:v>
                </c:pt>
                <c:pt idx="57">
                  <c:v>0</c:v>
                </c:pt>
                <c:pt idx="58">
                  <c:v>0</c:v>
                </c:pt>
                <c:pt idx="59">
                  <c:v>0</c:v>
                </c:pt>
                <c:pt idx="60">
                  <c:v>0</c:v>
                </c:pt>
                <c:pt idx="61">
                  <c:v>0</c:v>
                </c:pt>
                <c:pt idx="62">
                  <c:v>0</c:v>
                </c:pt>
                <c:pt idx="63">
                  <c:v>0</c:v>
                </c:pt>
                <c:pt idx="64">
                  <c:v>0</c:v>
                </c:pt>
                <c:pt idx="65">
                  <c:v>0</c:v>
                </c:pt>
                <c:pt idx="66">
                  <c:v>2</c:v>
                </c:pt>
                <c:pt idx="67">
                  <c:v>0</c:v>
                </c:pt>
                <c:pt idx="68">
                  <c:v>0</c:v>
                </c:pt>
                <c:pt idx="69">
                  <c:v>0</c:v>
                </c:pt>
                <c:pt idx="70">
                  <c:v>2</c:v>
                </c:pt>
                <c:pt idx="71">
                  <c:v>4</c:v>
                </c:pt>
                <c:pt idx="72">
                  <c:v>1</c:v>
                </c:pt>
                <c:pt idx="73">
                  <c:v>2</c:v>
                </c:pt>
                <c:pt idx="74">
                  <c:v>0</c:v>
                </c:pt>
                <c:pt idx="75">
                  <c:v>0</c:v>
                </c:pt>
                <c:pt idx="76">
                  <c:v>0</c:v>
                </c:pt>
                <c:pt idx="77">
                  <c:v>1</c:v>
                </c:pt>
                <c:pt idx="78">
                  <c:v>3</c:v>
                </c:pt>
              </c:numCache>
            </c:numRef>
          </c:val>
          <c:smooth val="1"/>
        </c:ser>
        <c:ser>
          <c:idx val="1"/>
          <c:order val="1"/>
          <c:tx>
            <c:strRef>
              <c:f>Agent_Trend!I13</c:f>
              <c:strCache>
                <c:ptCount val="1"/>
                <c:pt idx="0">
                  <c:v>Team Avg / Agent</c:v>
                </c:pt>
              </c:strCache>
            </c:strRef>
          </c:tx>
          <c:spPr>
            <a:solidFill>
              <a:srgbClr val="be4b48"/>
            </a:solidFill>
            <a:ln w="4752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Agent_Trend!$A$14:$A$92</c:f>
              <c:strCache>
                <c:ptCount val="79"/>
                <c:pt idx="0">
                  <c:v>Wed 22-Jul</c:v>
                </c:pt>
                <c:pt idx="1">
                  <c:v>Thu 23-Jul</c:v>
                </c:pt>
                <c:pt idx="2">
                  <c:v>Fri 24-Jul</c:v>
                </c:pt>
                <c:pt idx="3">
                  <c:v>Sat 25-Jul</c:v>
                </c:pt>
                <c:pt idx="4">
                  <c:v>Sun 26-Jul</c:v>
                </c:pt>
                <c:pt idx="5">
                  <c:v>Mon 27-Jul</c:v>
                </c:pt>
                <c:pt idx="6">
                  <c:v>Tue 28-Jul</c:v>
                </c:pt>
                <c:pt idx="7">
                  <c:v>Wed 29-Jul</c:v>
                </c:pt>
                <c:pt idx="8">
                  <c:v>Thu 30-Jul</c:v>
                </c:pt>
                <c:pt idx="9">
                  <c:v>Fri 31-Jul</c:v>
                </c:pt>
                <c:pt idx="10">
                  <c:v>Sat 01-Aug</c:v>
                </c:pt>
                <c:pt idx="11">
                  <c:v>Sun 02-Aug</c:v>
                </c:pt>
                <c:pt idx="12">
                  <c:v>Mon 03-Aug</c:v>
                </c:pt>
                <c:pt idx="13">
                  <c:v>Tue 04-Aug</c:v>
                </c:pt>
                <c:pt idx="14">
                  <c:v>Wed 05-Aug</c:v>
                </c:pt>
                <c:pt idx="15">
                  <c:v>Thu 06-Aug</c:v>
                </c:pt>
                <c:pt idx="16">
                  <c:v>Fri 07-Aug</c:v>
                </c:pt>
                <c:pt idx="17">
                  <c:v>Sat 08-Aug</c:v>
                </c:pt>
                <c:pt idx="18">
                  <c:v>Sun 09-Aug</c:v>
                </c:pt>
                <c:pt idx="19">
                  <c:v>Mon 10-Aug</c:v>
                </c:pt>
                <c:pt idx="20">
                  <c:v>Tue 11-Aug</c:v>
                </c:pt>
                <c:pt idx="21">
                  <c:v>Wed 12-Aug</c:v>
                </c:pt>
                <c:pt idx="22">
                  <c:v>Thu 13-Aug</c:v>
                </c:pt>
                <c:pt idx="23">
                  <c:v>Fri 14-Aug</c:v>
                </c:pt>
                <c:pt idx="24">
                  <c:v>Sat 15-Aug</c:v>
                </c:pt>
                <c:pt idx="25">
                  <c:v>Sun 16-Aug</c:v>
                </c:pt>
                <c:pt idx="26">
                  <c:v>Mon 17-Aug</c:v>
                </c:pt>
                <c:pt idx="27">
                  <c:v>Tue 18-Aug</c:v>
                </c:pt>
                <c:pt idx="28">
                  <c:v>Wed 19-Aug</c:v>
                </c:pt>
                <c:pt idx="29">
                  <c:v>Thu 20-Aug</c:v>
                </c:pt>
                <c:pt idx="30">
                  <c:v>Fri 21-Aug</c:v>
                </c:pt>
                <c:pt idx="31">
                  <c:v>Sat 22-Aug</c:v>
                </c:pt>
                <c:pt idx="32">
                  <c:v>Sun 23-Aug</c:v>
                </c:pt>
                <c:pt idx="33">
                  <c:v>Mon 24-Aug</c:v>
                </c:pt>
                <c:pt idx="34">
                  <c:v>Tue 25-Aug</c:v>
                </c:pt>
                <c:pt idx="35">
                  <c:v>Wed 26-Aug</c:v>
                </c:pt>
                <c:pt idx="36">
                  <c:v>Thu 27-Aug</c:v>
                </c:pt>
                <c:pt idx="37">
                  <c:v>Fri 28-Aug</c:v>
                </c:pt>
                <c:pt idx="38">
                  <c:v>Sat 29-Aug</c:v>
                </c:pt>
                <c:pt idx="39">
                  <c:v>Sun 30-Aug</c:v>
                </c:pt>
                <c:pt idx="40">
                  <c:v>Mon 31-Aug</c:v>
                </c:pt>
                <c:pt idx="41">
                  <c:v>Tue 01-Sep</c:v>
                </c:pt>
                <c:pt idx="42">
                  <c:v>Wed 02-Sep</c:v>
                </c:pt>
                <c:pt idx="43">
                  <c:v>Thu 03-Sep</c:v>
                </c:pt>
                <c:pt idx="44">
                  <c:v>Fri 04-Sep</c:v>
                </c:pt>
                <c:pt idx="45">
                  <c:v>Sat 05-Sep</c:v>
                </c:pt>
                <c:pt idx="46">
                  <c:v>Sun 06-Sep</c:v>
                </c:pt>
                <c:pt idx="47">
                  <c:v>Mon 07-Sep</c:v>
                </c:pt>
                <c:pt idx="48">
                  <c:v>Tue 08-Sep</c:v>
                </c:pt>
                <c:pt idx="49">
                  <c:v>Wed 09-Sep</c:v>
                </c:pt>
                <c:pt idx="50">
                  <c:v>Thu 10-Sep</c:v>
                </c:pt>
                <c:pt idx="51">
                  <c:v>Fri 11-Sep</c:v>
                </c:pt>
                <c:pt idx="52">
                  <c:v>Sat 12-Sep</c:v>
                </c:pt>
                <c:pt idx="53">
                  <c:v>Sun 13-Sep</c:v>
                </c:pt>
                <c:pt idx="54">
                  <c:v>Mon 14-Sep</c:v>
                </c:pt>
                <c:pt idx="55">
                  <c:v>Tue 15-Sep</c:v>
                </c:pt>
                <c:pt idx="56">
                  <c:v>Wed 16-Sep</c:v>
                </c:pt>
                <c:pt idx="57">
                  <c:v>Thu 17-Sep</c:v>
                </c:pt>
                <c:pt idx="58">
                  <c:v>Fri 18-Sep</c:v>
                </c:pt>
                <c:pt idx="59">
                  <c:v>Sat 19-Sep</c:v>
                </c:pt>
                <c:pt idx="60">
                  <c:v>Sun 20-Sep</c:v>
                </c:pt>
                <c:pt idx="61">
                  <c:v>Mon 21-Sep</c:v>
                </c:pt>
                <c:pt idx="62">
                  <c:v>Tue 22-Sep</c:v>
                </c:pt>
                <c:pt idx="63">
                  <c:v>Wed 23-Sep</c:v>
                </c:pt>
                <c:pt idx="64">
                  <c:v>Thu 24-Sep</c:v>
                </c:pt>
                <c:pt idx="65">
                  <c:v>Fri 25-Sep</c:v>
                </c:pt>
                <c:pt idx="66">
                  <c:v>Sat 26-Sep</c:v>
                </c:pt>
                <c:pt idx="67">
                  <c:v>Sun 27-Sep</c:v>
                </c:pt>
                <c:pt idx="68">
                  <c:v>Mon 28-Sep</c:v>
                </c:pt>
                <c:pt idx="69">
                  <c:v>Tue 29-Sep</c:v>
                </c:pt>
                <c:pt idx="70">
                  <c:v>Wed 30-Sep</c:v>
                </c:pt>
                <c:pt idx="71">
                  <c:v>Thu 01-Oct</c:v>
                </c:pt>
                <c:pt idx="72">
                  <c:v>Fri 02-Oct</c:v>
                </c:pt>
                <c:pt idx="73">
                  <c:v>Sat 03-Oct</c:v>
                </c:pt>
                <c:pt idx="74">
                  <c:v>Sun 04-Oct</c:v>
                </c:pt>
                <c:pt idx="75">
                  <c:v>Mon 05-Oct</c:v>
                </c:pt>
                <c:pt idx="76">
                  <c:v>Tue 06-Oct</c:v>
                </c:pt>
                <c:pt idx="77">
                  <c:v>Wed 07-Oct</c:v>
                </c:pt>
                <c:pt idx="78">
                  <c:v>Thu 08-Oct</c:v>
                </c:pt>
              </c:strCache>
            </c:strRef>
          </c:cat>
          <c:val>
            <c:numRef>
              <c:f>Agent_Trend!$I$14:$I$92</c:f>
              <c:numCache>
                <c:formatCode>0.00</c:formatCode>
                <c:ptCount val="79"/>
                <c:pt idx="0">
                  <c:v>0.4375</c:v>
                </c:pt>
                <c:pt idx="1">
                  <c:v>0.625</c:v>
                </c:pt>
                <c:pt idx="2">
                  <c:v>1.0625</c:v>
                </c:pt>
                <c:pt idx="3">
                  <c:v>0.125</c:v>
                </c:pt>
                <c:pt idx="4">
                  <c:v>0.375</c:v>
                </c:pt>
                <c:pt idx="5">
                  <c:v>1.25</c:v>
                </c:pt>
                <c:pt idx="6">
                  <c:v>0.6875</c:v>
                </c:pt>
                <c:pt idx="7">
                  <c:v>1.375</c:v>
                </c:pt>
                <c:pt idx="8">
                  <c:v>1</c:v>
                </c:pt>
                <c:pt idx="9">
                  <c:v>0.5625</c:v>
                </c:pt>
                <c:pt idx="10">
                  <c:v>0.1875</c:v>
                </c:pt>
                <c:pt idx="11">
                  <c:v>1.375</c:v>
                </c:pt>
                <c:pt idx="12">
                  <c:v>0.6875</c:v>
                </c:pt>
                <c:pt idx="13">
                  <c:v>0.25</c:v>
                </c:pt>
                <c:pt idx="14">
                  <c:v>0.25</c:v>
                </c:pt>
                <c:pt idx="15">
                  <c:v>0.5</c:v>
                </c:pt>
                <c:pt idx="16">
                  <c:v>0.5625</c:v>
                </c:pt>
                <c:pt idx="17">
                  <c:v>0</c:v>
                </c:pt>
                <c:pt idx="18">
                  <c:v>0.0625</c:v>
                </c:pt>
                <c:pt idx="19">
                  <c:v>0.3125</c:v>
                </c:pt>
                <c:pt idx="20">
                  <c:v>0</c:v>
                </c:pt>
                <c:pt idx="21">
                  <c:v>0</c:v>
                </c:pt>
                <c:pt idx="22">
                  <c:v>0.1875</c:v>
                </c:pt>
                <c:pt idx="23">
                  <c:v>0.0625</c:v>
                </c:pt>
                <c:pt idx="24">
                  <c:v>0.0625</c:v>
                </c:pt>
                <c:pt idx="25">
                  <c:v>0.125</c:v>
                </c:pt>
                <c:pt idx="26">
                  <c:v>0.1875</c:v>
                </c:pt>
                <c:pt idx="27">
                  <c:v>0.375</c:v>
                </c:pt>
                <c:pt idx="28">
                  <c:v>0</c:v>
                </c:pt>
                <c:pt idx="29">
                  <c:v>0.0625</c:v>
                </c:pt>
                <c:pt idx="30">
                  <c:v>0.1875</c:v>
                </c:pt>
                <c:pt idx="31">
                  <c:v>0.4375</c:v>
                </c:pt>
                <c:pt idx="32">
                  <c:v>1.125</c:v>
                </c:pt>
                <c:pt idx="33">
                  <c:v>0.5625</c:v>
                </c:pt>
                <c:pt idx="34">
                  <c:v>0.5</c:v>
                </c:pt>
                <c:pt idx="35">
                  <c:v>0.25</c:v>
                </c:pt>
                <c:pt idx="36">
                  <c:v>0.125</c:v>
                </c:pt>
                <c:pt idx="37">
                  <c:v>0.25</c:v>
                </c:pt>
                <c:pt idx="38">
                  <c:v>0.9375</c:v>
                </c:pt>
                <c:pt idx="39">
                  <c:v>0.3125</c:v>
                </c:pt>
                <c:pt idx="40">
                  <c:v>1.4375</c:v>
                </c:pt>
                <c:pt idx="41">
                  <c:v>0.8125</c:v>
                </c:pt>
                <c:pt idx="42">
                  <c:v>0.6875</c:v>
                </c:pt>
                <c:pt idx="43">
                  <c:v>0.875</c:v>
                </c:pt>
                <c:pt idx="44">
                  <c:v>0.5625</c:v>
                </c:pt>
                <c:pt idx="45">
                  <c:v>1.25</c:v>
                </c:pt>
                <c:pt idx="46">
                  <c:v>0.5</c:v>
                </c:pt>
                <c:pt idx="47">
                  <c:v>0.8125</c:v>
                </c:pt>
                <c:pt idx="48">
                  <c:v>0.8125</c:v>
                </c:pt>
                <c:pt idx="49">
                  <c:v>0.5625</c:v>
                </c:pt>
                <c:pt idx="50">
                  <c:v>0.375</c:v>
                </c:pt>
                <c:pt idx="51">
                  <c:v>0.25</c:v>
                </c:pt>
                <c:pt idx="52">
                  <c:v>1.0625</c:v>
                </c:pt>
                <c:pt idx="53">
                  <c:v>0.625</c:v>
                </c:pt>
                <c:pt idx="54">
                  <c:v>0.6875</c:v>
                </c:pt>
                <c:pt idx="55">
                  <c:v>0.3125</c:v>
                </c:pt>
                <c:pt idx="56">
                  <c:v>1.25</c:v>
                </c:pt>
                <c:pt idx="57">
                  <c:v>0.25</c:v>
                </c:pt>
                <c:pt idx="58">
                  <c:v>0.1875</c:v>
                </c:pt>
                <c:pt idx="59">
                  <c:v>1.0625</c:v>
                </c:pt>
                <c:pt idx="60">
                  <c:v>0.5</c:v>
                </c:pt>
                <c:pt idx="61">
                  <c:v>0.125</c:v>
                </c:pt>
                <c:pt idx="62">
                  <c:v>0.25</c:v>
                </c:pt>
                <c:pt idx="63">
                  <c:v>0.0625</c:v>
                </c:pt>
                <c:pt idx="64">
                  <c:v>0.625</c:v>
                </c:pt>
                <c:pt idx="65">
                  <c:v>0.5</c:v>
                </c:pt>
                <c:pt idx="66">
                  <c:v>0.875</c:v>
                </c:pt>
                <c:pt idx="67">
                  <c:v>0.4375</c:v>
                </c:pt>
                <c:pt idx="68">
                  <c:v>0.3125</c:v>
                </c:pt>
                <c:pt idx="69">
                  <c:v>1</c:v>
                </c:pt>
                <c:pt idx="70">
                  <c:v>1.1875</c:v>
                </c:pt>
                <c:pt idx="71">
                  <c:v>0.4375</c:v>
                </c:pt>
                <c:pt idx="72">
                  <c:v>0.375</c:v>
                </c:pt>
                <c:pt idx="73">
                  <c:v>0.8125</c:v>
                </c:pt>
                <c:pt idx="74">
                  <c:v>0.625</c:v>
                </c:pt>
                <c:pt idx="75">
                  <c:v>0.5625</c:v>
                </c:pt>
                <c:pt idx="76">
                  <c:v>0.4375</c:v>
                </c:pt>
                <c:pt idx="77">
                  <c:v>0.625</c:v>
                </c:pt>
                <c:pt idx="78">
                  <c:v>0.25</c:v>
                </c:pt>
              </c:numCache>
            </c:numRef>
          </c:val>
          <c:smooth val="1"/>
        </c:ser>
        <c:hiLowLines>
          <c:spPr>
            <a:ln w="0">
              <a:noFill/>
            </a:ln>
          </c:spPr>
        </c:hiLowLines>
        <c:marker val="0"/>
        <c:axId val="48742866"/>
        <c:axId val="40389883"/>
      </c:lineChart>
      <c:catAx>
        <c:axId val="48742866"/>
        <c:scaling>
          <c:orientation val="minMax"/>
        </c:scaling>
        <c:delete val="0"/>
        <c:axPos val="b"/>
        <c:numFmt formatCode="dd\-mmm"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0389883"/>
        <c:crosses val="autoZero"/>
        <c:auto val="1"/>
        <c:lblAlgn val="ctr"/>
        <c:lblOffset val="100"/>
        <c:noMultiLvlLbl val="0"/>
      </c:catAx>
      <c:valAx>
        <c:axId val="40389883"/>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Units</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8742866"/>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Leader – daily Total Units with 7-day average</a:t>
            </a:r>
          </a:p>
        </c:rich>
      </c:tx>
      <c:overlay val="0"/>
      <c:spPr>
        <a:noFill/>
        <a:ln w="0">
          <a:noFill/>
        </a:ln>
      </c:spPr>
    </c:title>
    <c:autoTitleDeleted val="0"/>
    <c:plotArea>
      <c:lineChart>
        <c:grouping val="standard"/>
        <c:varyColors val="0"/>
        <c:ser>
          <c:idx val="0"/>
          <c:order val="0"/>
          <c:tx>
            <c:strRef>
              <c:f>Leader_Trend!E12</c:f>
              <c:strCache>
                <c:ptCount val="1"/>
                <c:pt idx="0">
                  <c:v>Total Units</c:v>
                </c:pt>
              </c:strCache>
            </c:strRef>
          </c:tx>
          <c:spPr>
            <a:solidFill>
              <a:srgbClr val="4a7ebb"/>
            </a:solidFill>
            <a:ln w="4752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Leader_Trend!$A$13:$A$91</c:f>
              <c:strCache>
                <c:ptCount val="79"/>
                <c:pt idx="0">
                  <c:v>Wed 22-Jul</c:v>
                </c:pt>
                <c:pt idx="1">
                  <c:v>Thu 23-Jul</c:v>
                </c:pt>
                <c:pt idx="2">
                  <c:v>Fri 24-Jul</c:v>
                </c:pt>
                <c:pt idx="3">
                  <c:v>Sat 25-Jul</c:v>
                </c:pt>
                <c:pt idx="4">
                  <c:v>Sun 26-Jul</c:v>
                </c:pt>
                <c:pt idx="5">
                  <c:v>Mon 27-Jul</c:v>
                </c:pt>
                <c:pt idx="6">
                  <c:v>Tue 28-Jul</c:v>
                </c:pt>
                <c:pt idx="7">
                  <c:v>Wed 29-Jul</c:v>
                </c:pt>
                <c:pt idx="8">
                  <c:v>Thu 30-Jul</c:v>
                </c:pt>
                <c:pt idx="9">
                  <c:v>Fri 31-Jul</c:v>
                </c:pt>
                <c:pt idx="10">
                  <c:v>Sat 01-Aug</c:v>
                </c:pt>
                <c:pt idx="11">
                  <c:v>Sun 02-Aug</c:v>
                </c:pt>
                <c:pt idx="12">
                  <c:v>Mon 03-Aug</c:v>
                </c:pt>
                <c:pt idx="13">
                  <c:v>Tue 04-Aug</c:v>
                </c:pt>
                <c:pt idx="14">
                  <c:v>Wed 05-Aug</c:v>
                </c:pt>
                <c:pt idx="15">
                  <c:v>Thu 06-Aug</c:v>
                </c:pt>
                <c:pt idx="16">
                  <c:v>Fri 07-Aug</c:v>
                </c:pt>
                <c:pt idx="17">
                  <c:v>Sat 08-Aug</c:v>
                </c:pt>
                <c:pt idx="18">
                  <c:v>Sun 09-Aug</c:v>
                </c:pt>
                <c:pt idx="19">
                  <c:v>Mon 10-Aug</c:v>
                </c:pt>
                <c:pt idx="20">
                  <c:v>Tue 11-Aug</c:v>
                </c:pt>
                <c:pt idx="21">
                  <c:v>Wed 12-Aug</c:v>
                </c:pt>
                <c:pt idx="22">
                  <c:v>Thu 13-Aug</c:v>
                </c:pt>
                <c:pt idx="23">
                  <c:v>Fri 14-Aug</c:v>
                </c:pt>
                <c:pt idx="24">
                  <c:v>Sat 15-Aug</c:v>
                </c:pt>
                <c:pt idx="25">
                  <c:v>Sun 16-Aug</c:v>
                </c:pt>
                <c:pt idx="26">
                  <c:v>Mon 17-Aug</c:v>
                </c:pt>
                <c:pt idx="27">
                  <c:v>Tue 18-Aug</c:v>
                </c:pt>
                <c:pt idx="28">
                  <c:v>Wed 19-Aug</c:v>
                </c:pt>
                <c:pt idx="29">
                  <c:v>Thu 20-Aug</c:v>
                </c:pt>
                <c:pt idx="30">
                  <c:v>Fri 21-Aug</c:v>
                </c:pt>
                <c:pt idx="31">
                  <c:v>Sat 22-Aug</c:v>
                </c:pt>
                <c:pt idx="32">
                  <c:v>Sun 23-Aug</c:v>
                </c:pt>
                <c:pt idx="33">
                  <c:v>Mon 24-Aug</c:v>
                </c:pt>
                <c:pt idx="34">
                  <c:v>Tue 25-Aug</c:v>
                </c:pt>
                <c:pt idx="35">
                  <c:v>Wed 26-Aug</c:v>
                </c:pt>
                <c:pt idx="36">
                  <c:v>Thu 27-Aug</c:v>
                </c:pt>
                <c:pt idx="37">
                  <c:v>Fri 28-Aug</c:v>
                </c:pt>
                <c:pt idx="38">
                  <c:v>Sat 29-Aug</c:v>
                </c:pt>
                <c:pt idx="39">
                  <c:v>Sun 30-Aug</c:v>
                </c:pt>
                <c:pt idx="40">
                  <c:v>Mon 31-Aug</c:v>
                </c:pt>
                <c:pt idx="41">
                  <c:v>Tue 01-Sep</c:v>
                </c:pt>
                <c:pt idx="42">
                  <c:v>Wed 02-Sep</c:v>
                </c:pt>
                <c:pt idx="43">
                  <c:v>Thu 03-Sep</c:v>
                </c:pt>
                <c:pt idx="44">
                  <c:v>Fri 04-Sep</c:v>
                </c:pt>
                <c:pt idx="45">
                  <c:v>Sat 05-Sep</c:v>
                </c:pt>
                <c:pt idx="46">
                  <c:v>Sun 06-Sep</c:v>
                </c:pt>
                <c:pt idx="47">
                  <c:v>Mon 07-Sep</c:v>
                </c:pt>
                <c:pt idx="48">
                  <c:v>Tue 08-Sep</c:v>
                </c:pt>
                <c:pt idx="49">
                  <c:v>Wed 09-Sep</c:v>
                </c:pt>
                <c:pt idx="50">
                  <c:v>Thu 10-Sep</c:v>
                </c:pt>
                <c:pt idx="51">
                  <c:v>Fri 11-Sep</c:v>
                </c:pt>
                <c:pt idx="52">
                  <c:v>Sat 12-Sep</c:v>
                </c:pt>
                <c:pt idx="53">
                  <c:v>Sun 13-Sep</c:v>
                </c:pt>
                <c:pt idx="54">
                  <c:v>Mon 14-Sep</c:v>
                </c:pt>
                <c:pt idx="55">
                  <c:v>Tue 15-Sep</c:v>
                </c:pt>
                <c:pt idx="56">
                  <c:v>Wed 16-Sep</c:v>
                </c:pt>
                <c:pt idx="57">
                  <c:v>Thu 17-Sep</c:v>
                </c:pt>
                <c:pt idx="58">
                  <c:v>Fri 18-Sep</c:v>
                </c:pt>
                <c:pt idx="59">
                  <c:v>Sat 19-Sep</c:v>
                </c:pt>
                <c:pt idx="60">
                  <c:v>Sun 20-Sep</c:v>
                </c:pt>
                <c:pt idx="61">
                  <c:v>Mon 21-Sep</c:v>
                </c:pt>
                <c:pt idx="62">
                  <c:v>Tue 22-Sep</c:v>
                </c:pt>
                <c:pt idx="63">
                  <c:v>Wed 23-Sep</c:v>
                </c:pt>
                <c:pt idx="64">
                  <c:v>Thu 24-Sep</c:v>
                </c:pt>
                <c:pt idx="65">
                  <c:v>Fri 25-Sep</c:v>
                </c:pt>
                <c:pt idx="66">
                  <c:v>Sat 26-Sep</c:v>
                </c:pt>
                <c:pt idx="67">
                  <c:v>Sun 27-Sep</c:v>
                </c:pt>
                <c:pt idx="68">
                  <c:v>Mon 28-Sep</c:v>
                </c:pt>
                <c:pt idx="69">
                  <c:v>Tue 29-Sep</c:v>
                </c:pt>
                <c:pt idx="70">
                  <c:v>Wed 30-Sep</c:v>
                </c:pt>
                <c:pt idx="71">
                  <c:v>Thu 01-Oct</c:v>
                </c:pt>
                <c:pt idx="72">
                  <c:v>Fri 02-Oct</c:v>
                </c:pt>
                <c:pt idx="73">
                  <c:v>Sat 03-Oct</c:v>
                </c:pt>
                <c:pt idx="74">
                  <c:v>Sun 04-Oct</c:v>
                </c:pt>
                <c:pt idx="75">
                  <c:v>Mon 05-Oct</c:v>
                </c:pt>
                <c:pt idx="76">
                  <c:v>Tue 06-Oct</c:v>
                </c:pt>
                <c:pt idx="77">
                  <c:v>Wed 07-Oct</c:v>
                </c:pt>
                <c:pt idx="78">
                  <c:v>Thu 08-Oct</c:v>
                </c:pt>
              </c:strCache>
            </c:strRef>
          </c:cat>
          <c:val>
            <c:numRef>
              <c:f>Leader_Trend!$E$13:$E$91</c:f>
              <c:numCache>
                <c:formatCode>#,##0</c:formatCode>
                <c:ptCount val="7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7</c:v>
                </c:pt>
                <c:pt idx="45">
                  <c:v>0</c:v>
                </c:pt>
                <c:pt idx="46">
                  <c:v>0</c:v>
                </c:pt>
                <c:pt idx="47">
                  <c:v>0</c:v>
                </c:pt>
                <c:pt idx="48">
                  <c:v>0</c:v>
                </c:pt>
                <c:pt idx="49">
                  <c:v>0</c:v>
                </c:pt>
                <c:pt idx="50">
                  <c:v>0</c:v>
                </c:pt>
                <c:pt idx="51">
                  <c:v>0</c:v>
                </c:pt>
                <c:pt idx="52">
                  <c:v>6</c:v>
                </c:pt>
                <c:pt idx="53">
                  <c:v>1</c:v>
                </c:pt>
                <c:pt idx="54">
                  <c:v>8</c:v>
                </c:pt>
                <c:pt idx="55">
                  <c:v>2</c:v>
                </c:pt>
                <c:pt idx="56">
                  <c:v>0</c:v>
                </c:pt>
                <c:pt idx="57">
                  <c:v>1</c:v>
                </c:pt>
                <c:pt idx="58">
                  <c:v>2</c:v>
                </c:pt>
                <c:pt idx="59">
                  <c:v>1</c:v>
                </c:pt>
                <c:pt idx="60">
                  <c:v>1</c:v>
                </c:pt>
                <c:pt idx="61">
                  <c:v>5</c:v>
                </c:pt>
                <c:pt idx="62">
                  <c:v>2</c:v>
                </c:pt>
                <c:pt idx="63">
                  <c:v>0</c:v>
                </c:pt>
                <c:pt idx="64">
                  <c:v>0</c:v>
                </c:pt>
                <c:pt idx="65">
                  <c:v>0</c:v>
                </c:pt>
                <c:pt idx="66">
                  <c:v>3</c:v>
                </c:pt>
                <c:pt idx="67">
                  <c:v>0</c:v>
                </c:pt>
                <c:pt idx="68">
                  <c:v>0</c:v>
                </c:pt>
                <c:pt idx="69">
                  <c:v>17</c:v>
                </c:pt>
                <c:pt idx="70">
                  <c:v>8</c:v>
                </c:pt>
                <c:pt idx="71">
                  <c:v>0</c:v>
                </c:pt>
                <c:pt idx="72">
                  <c:v>9</c:v>
                </c:pt>
                <c:pt idx="73">
                  <c:v>0</c:v>
                </c:pt>
                <c:pt idx="74">
                  <c:v>5</c:v>
                </c:pt>
                <c:pt idx="75">
                  <c:v>7</c:v>
                </c:pt>
                <c:pt idx="76">
                  <c:v>7</c:v>
                </c:pt>
                <c:pt idx="77">
                  <c:v>23</c:v>
                </c:pt>
                <c:pt idx="78">
                  <c:v>25</c:v>
                </c:pt>
              </c:numCache>
            </c:numRef>
          </c:val>
          <c:smooth val="1"/>
        </c:ser>
        <c:ser>
          <c:idx val="1"/>
          <c:order val="1"/>
          <c:tx>
            <c:strRef>
              <c:f>Leader_Trend!H12</c:f>
              <c:strCache>
                <c:ptCount val="1"/>
                <c:pt idx="0">
                  <c:v>7-Day Avg</c:v>
                </c:pt>
              </c:strCache>
            </c:strRef>
          </c:tx>
          <c:spPr>
            <a:solidFill>
              <a:srgbClr val="be4b48"/>
            </a:solidFill>
            <a:ln w="4752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Leader_Trend!$A$13:$A$91</c:f>
              <c:strCache>
                <c:ptCount val="79"/>
                <c:pt idx="0">
                  <c:v>Wed 22-Jul</c:v>
                </c:pt>
                <c:pt idx="1">
                  <c:v>Thu 23-Jul</c:v>
                </c:pt>
                <c:pt idx="2">
                  <c:v>Fri 24-Jul</c:v>
                </c:pt>
                <c:pt idx="3">
                  <c:v>Sat 25-Jul</c:v>
                </c:pt>
                <c:pt idx="4">
                  <c:v>Sun 26-Jul</c:v>
                </c:pt>
                <c:pt idx="5">
                  <c:v>Mon 27-Jul</c:v>
                </c:pt>
                <c:pt idx="6">
                  <c:v>Tue 28-Jul</c:v>
                </c:pt>
                <c:pt idx="7">
                  <c:v>Wed 29-Jul</c:v>
                </c:pt>
                <c:pt idx="8">
                  <c:v>Thu 30-Jul</c:v>
                </c:pt>
                <c:pt idx="9">
                  <c:v>Fri 31-Jul</c:v>
                </c:pt>
                <c:pt idx="10">
                  <c:v>Sat 01-Aug</c:v>
                </c:pt>
                <c:pt idx="11">
                  <c:v>Sun 02-Aug</c:v>
                </c:pt>
                <c:pt idx="12">
                  <c:v>Mon 03-Aug</c:v>
                </c:pt>
                <c:pt idx="13">
                  <c:v>Tue 04-Aug</c:v>
                </c:pt>
                <c:pt idx="14">
                  <c:v>Wed 05-Aug</c:v>
                </c:pt>
                <c:pt idx="15">
                  <c:v>Thu 06-Aug</c:v>
                </c:pt>
                <c:pt idx="16">
                  <c:v>Fri 07-Aug</c:v>
                </c:pt>
                <c:pt idx="17">
                  <c:v>Sat 08-Aug</c:v>
                </c:pt>
                <c:pt idx="18">
                  <c:v>Sun 09-Aug</c:v>
                </c:pt>
                <c:pt idx="19">
                  <c:v>Mon 10-Aug</c:v>
                </c:pt>
                <c:pt idx="20">
                  <c:v>Tue 11-Aug</c:v>
                </c:pt>
                <c:pt idx="21">
                  <c:v>Wed 12-Aug</c:v>
                </c:pt>
                <c:pt idx="22">
                  <c:v>Thu 13-Aug</c:v>
                </c:pt>
                <c:pt idx="23">
                  <c:v>Fri 14-Aug</c:v>
                </c:pt>
                <c:pt idx="24">
                  <c:v>Sat 15-Aug</c:v>
                </c:pt>
                <c:pt idx="25">
                  <c:v>Sun 16-Aug</c:v>
                </c:pt>
                <c:pt idx="26">
                  <c:v>Mon 17-Aug</c:v>
                </c:pt>
                <c:pt idx="27">
                  <c:v>Tue 18-Aug</c:v>
                </c:pt>
                <c:pt idx="28">
                  <c:v>Wed 19-Aug</c:v>
                </c:pt>
                <c:pt idx="29">
                  <c:v>Thu 20-Aug</c:v>
                </c:pt>
                <c:pt idx="30">
                  <c:v>Fri 21-Aug</c:v>
                </c:pt>
                <c:pt idx="31">
                  <c:v>Sat 22-Aug</c:v>
                </c:pt>
                <c:pt idx="32">
                  <c:v>Sun 23-Aug</c:v>
                </c:pt>
                <c:pt idx="33">
                  <c:v>Mon 24-Aug</c:v>
                </c:pt>
                <c:pt idx="34">
                  <c:v>Tue 25-Aug</c:v>
                </c:pt>
                <c:pt idx="35">
                  <c:v>Wed 26-Aug</c:v>
                </c:pt>
                <c:pt idx="36">
                  <c:v>Thu 27-Aug</c:v>
                </c:pt>
                <c:pt idx="37">
                  <c:v>Fri 28-Aug</c:v>
                </c:pt>
                <c:pt idx="38">
                  <c:v>Sat 29-Aug</c:v>
                </c:pt>
                <c:pt idx="39">
                  <c:v>Sun 30-Aug</c:v>
                </c:pt>
                <c:pt idx="40">
                  <c:v>Mon 31-Aug</c:v>
                </c:pt>
                <c:pt idx="41">
                  <c:v>Tue 01-Sep</c:v>
                </c:pt>
                <c:pt idx="42">
                  <c:v>Wed 02-Sep</c:v>
                </c:pt>
                <c:pt idx="43">
                  <c:v>Thu 03-Sep</c:v>
                </c:pt>
                <c:pt idx="44">
                  <c:v>Fri 04-Sep</c:v>
                </c:pt>
                <c:pt idx="45">
                  <c:v>Sat 05-Sep</c:v>
                </c:pt>
                <c:pt idx="46">
                  <c:v>Sun 06-Sep</c:v>
                </c:pt>
                <c:pt idx="47">
                  <c:v>Mon 07-Sep</c:v>
                </c:pt>
                <c:pt idx="48">
                  <c:v>Tue 08-Sep</c:v>
                </c:pt>
                <c:pt idx="49">
                  <c:v>Wed 09-Sep</c:v>
                </c:pt>
                <c:pt idx="50">
                  <c:v>Thu 10-Sep</c:v>
                </c:pt>
                <c:pt idx="51">
                  <c:v>Fri 11-Sep</c:v>
                </c:pt>
                <c:pt idx="52">
                  <c:v>Sat 12-Sep</c:v>
                </c:pt>
                <c:pt idx="53">
                  <c:v>Sun 13-Sep</c:v>
                </c:pt>
                <c:pt idx="54">
                  <c:v>Mon 14-Sep</c:v>
                </c:pt>
                <c:pt idx="55">
                  <c:v>Tue 15-Sep</c:v>
                </c:pt>
                <c:pt idx="56">
                  <c:v>Wed 16-Sep</c:v>
                </c:pt>
                <c:pt idx="57">
                  <c:v>Thu 17-Sep</c:v>
                </c:pt>
                <c:pt idx="58">
                  <c:v>Fri 18-Sep</c:v>
                </c:pt>
                <c:pt idx="59">
                  <c:v>Sat 19-Sep</c:v>
                </c:pt>
                <c:pt idx="60">
                  <c:v>Sun 20-Sep</c:v>
                </c:pt>
                <c:pt idx="61">
                  <c:v>Mon 21-Sep</c:v>
                </c:pt>
                <c:pt idx="62">
                  <c:v>Tue 22-Sep</c:v>
                </c:pt>
                <c:pt idx="63">
                  <c:v>Wed 23-Sep</c:v>
                </c:pt>
                <c:pt idx="64">
                  <c:v>Thu 24-Sep</c:v>
                </c:pt>
                <c:pt idx="65">
                  <c:v>Fri 25-Sep</c:v>
                </c:pt>
                <c:pt idx="66">
                  <c:v>Sat 26-Sep</c:v>
                </c:pt>
                <c:pt idx="67">
                  <c:v>Sun 27-Sep</c:v>
                </c:pt>
                <c:pt idx="68">
                  <c:v>Mon 28-Sep</c:v>
                </c:pt>
                <c:pt idx="69">
                  <c:v>Tue 29-Sep</c:v>
                </c:pt>
                <c:pt idx="70">
                  <c:v>Wed 30-Sep</c:v>
                </c:pt>
                <c:pt idx="71">
                  <c:v>Thu 01-Oct</c:v>
                </c:pt>
                <c:pt idx="72">
                  <c:v>Fri 02-Oct</c:v>
                </c:pt>
                <c:pt idx="73">
                  <c:v>Sat 03-Oct</c:v>
                </c:pt>
                <c:pt idx="74">
                  <c:v>Sun 04-Oct</c:v>
                </c:pt>
                <c:pt idx="75">
                  <c:v>Mon 05-Oct</c:v>
                </c:pt>
                <c:pt idx="76">
                  <c:v>Tue 06-Oct</c:v>
                </c:pt>
                <c:pt idx="77">
                  <c:v>Wed 07-Oct</c:v>
                </c:pt>
                <c:pt idx="78">
                  <c:v>Thu 08-Oct</c:v>
                </c:pt>
              </c:strCache>
            </c:strRef>
          </c:cat>
          <c:val>
            <c:numRef>
              <c:f>Leader_Trend!$H$13:$H$91</c:f>
              <c:numCache>
                <c:formatCode>0.0</c:formatCode>
                <c:ptCount val="7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1</c:v>
                </c:pt>
                <c:pt idx="45">
                  <c:v>1</c:v>
                </c:pt>
                <c:pt idx="46">
                  <c:v>1</c:v>
                </c:pt>
                <c:pt idx="47">
                  <c:v>1</c:v>
                </c:pt>
                <c:pt idx="48">
                  <c:v>1</c:v>
                </c:pt>
                <c:pt idx="49">
                  <c:v>1</c:v>
                </c:pt>
                <c:pt idx="50">
                  <c:v>1</c:v>
                </c:pt>
                <c:pt idx="51">
                  <c:v>0</c:v>
                </c:pt>
                <c:pt idx="52">
                  <c:v>0.857142857142857</c:v>
                </c:pt>
                <c:pt idx="53">
                  <c:v>1</c:v>
                </c:pt>
                <c:pt idx="54">
                  <c:v>2.14285714285714</c:v>
                </c:pt>
                <c:pt idx="55">
                  <c:v>2.42857142857143</c:v>
                </c:pt>
                <c:pt idx="56">
                  <c:v>2.42857142857143</c:v>
                </c:pt>
                <c:pt idx="57">
                  <c:v>2.57142857142857</c:v>
                </c:pt>
                <c:pt idx="58">
                  <c:v>2.85714285714286</c:v>
                </c:pt>
                <c:pt idx="59">
                  <c:v>2.14285714285714</c:v>
                </c:pt>
                <c:pt idx="60">
                  <c:v>2.14285714285714</c:v>
                </c:pt>
                <c:pt idx="61">
                  <c:v>1.71428571428571</c:v>
                </c:pt>
                <c:pt idx="62">
                  <c:v>1.71428571428571</c:v>
                </c:pt>
                <c:pt idx="63">
                  <c:v>1.71428571428571</c:v>
                </c:pt>
                <c:pt idx="64">
                  <c:v>1.57142857142857</c:v>
                </c:pt>
                <c:pt idx="65">
                  <c:v>1.28571428571429</c:v>
                </c:pt>
                <c:pt idx="66">
                  <c:v>1.57142857142857</c:v>
                </c:pt>
                <c:pt idx="67">
                  <c:v>1.42857142857143</c:v>
                </c:pt>
                <c:pt idx="68">
                  <c:v>0.714285714285714</c:v>
                </c:pt>
                <c:pt idx="69">
                  <c:v>2.85714285714286</c:v>
                </c:pt>
                <c:pt idx="70">
                  <c:v>4</c:v>
                </c:pt>
                <c:pt idx="71">
                  <c:v>4</c:v>
                </c:pt>
                <c:pt idx="72">
                  <c:v>5.28571428571429</c:v>
                </c:pt>
                <c:pt idx="73">
                  <c:v>4.85714285714286</c:v>
                </c:pt>
                <c:pt idx="74">
                  <c:v>5.57142857142857</c:v>
                </c:pt>
                <c:pt idx="75">
                  <c:v>6.57142857142857</c:v>
                </c:pt>
                <c:pt idx="76">
                  <c:v>5.14285714285714</c:v>
                </c:pt>
                <c:pt idx="77">
                  <c:v>7.28571428571429</c:v>
                </c:pt>
                <c:pt idx="78">
                  <c:v>10.8571428571429</c:v>
                </c:pt>
              </c:numCache>
            </c:numRef>
          </c:val>
          <c:smooth val="1"/>
        </c:ser>
        <c:hiLowLines>
          <c:spPr>
            <a:ln w="0">
              <a:noFill/>
            </a:ln>
          </c:spPr>
        </c:hiLowLines>
        <c:marker val="0"/>
        <c:axId val="3151444"/>
        <c:axId val="20000146"/>
      </c:lineChart>
      <c:catAx>
        <c:axId val="3151444"/>
        <c:scaling>
          <c:orientation val="minMax"/>
        </c:scaling>
        <c:delete val="0"/>
        <c:axPos val="b"/>
        <c:numFmt formatCode="dd\-mmm"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0000146"/>
        <c:crosses val="autoZero"/>
        <c:auto val="1"/>
        <c:lblAlgn val="ctr"/>
        <c:lblOffset val="100"/>
        <c:noMultiLvlLbl val="0"/>
      </c:catAx>
      <c:valAx>
        <c:axId val="20000146"/>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Units</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151444"/>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Leader – daily Participation % (active sellers ÷ headcount)</a:t>
            </a:r>
          </a:p>
        </c:rich>
      </c:tx>
      <c:overlay val="0"/>
      <c:spPr>
        <a:noFill/>
        <a:ln w="0">
          <a:noFill/>
        </a:ln>
      </c:spPr>
    </c:title>
    <c:autoTitleDeleted val="0"/>
    <c:plotArea>
      <c:lineChart>
        <c:grouping val="standard"/>
        <c:varyColors val="0"/>
        <c:ser>
          <c:idx val="0"/>
          <c:order val="0"/>
          <c:tx>
            <c:strRef>
              <c:f>Leader_Trend!K12</c:f>
              <c:strCache>
                <c:ptCount val="1"/>
                <c:pt idx="0">
                  <c:v>Participation %</c:v>
                </c:pt>
              </c:strCache>
            </c:strRef>
          </c:tx>
          <c:spPr>
            <a:solidFill>
              <a:srgbClr val="4a7ebb"/>
            </a:solidFill>
            <a:ln w="4752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Leader_Trend!$A$13:$A$91</c:f>
              <c:strCache>
                <c:ptCount val="79"/>
                <c:pt idx="0">
                  <c:v>Wed 22-Jul</c:v>
                </c:pt>
                <c:pt idx="1">
                  <c:v>Thu 23-Jul</c:v>
                </c:pt>
                <c:pt idx="2">
                  <c:v>Fri 24-Jul</c:v>
                </c:pt>
                <c:pt idx="3">
                  <c:v>Sat 25-Jul</c:v>
                </c:pt>
                <c:pt idx="4">
                  <c:v>Sun 26-Jul</c:v>
                </c:pt>
                <c:pt idx="5">
                  <c:v>Mon 27-Jul</c:v>
                </c:pt>
                <c:pt idx="6">
                  <c:v>Tue 28-Jul</c:v>
                </c:pt>
                <c:pt idx="7">
                  <c:v>Wed 29-Jul</c:v>
                </c:pt>
                <c:pt idx="8">
                  <c:v>Thu 30-Jul</c:v>
                </c:pt>
                <c:pt idx="9">
                  <c:v>Fri 31-Jul</c:v>
                </c:pt>
                <c:pt idx="10">
                  <c:v>Sat 01-Aug</c:v>
                </c:pt>
                <c:pt idx="11">
                  <c:v>Sun 02-Aug</c:v>
                </c:pt>
                <c:pt idx="12">
                  <c:v>Mon 03-Aug</c:v>
                </c:pt>
                <c:pt idx="13">
                  <c:v>Tue 04-Aug</c:v>
                </c:pt>
                <c:pt idx="14">
                  <c:v>Wed 05-Aug</c:v>
                </c:pt>
                <c:pt idx="15">
                  <c:v>Thu 06-Aug</c:v>
                </c:pt>
                <c:pt idx="16">
                  <c:v>Fri 07-Aug</c:v>
                </c:pt>
                <c:pt idx="17">
                  <c:v>Sat 08-Aug</c:v>
                </c:pt>
                <c:pt idx="18">
                  <c:v>Sun 09-Aug</c:v>
                </c:pt>
                <c:pt idx="19">
                  <c:v>Mon 10-Aug</c:v>
                </c:pt>
                <c:pt idx="20">
                  <c:v>Tue 11-Aug</c:v>
                </c:pt>
                <c:pt idx="21">
                  <c:v>Wed 12-Aug</c:v>
                </c:pt>
                <c:pt idx="22">
                  <c:v>Thu 13-Aug</c:v>
                </c:pt>
                <c:pt idx="23">
                  <c:v>Fri 14-Aug</c:v>
                </c:pt>
                <c:pt idx="24">
                  <c:v>Sat 15-Aug</c:v>
                </c:pt>
                <c:pt idx="25">
                  <c:v>Sun 16-Aug</c:v>
                </c:pt>
                <c:pt idx="26">
                  <c:v>Mon 17-Aug</c:v>
                </c:pt>
                <c:pt idx="27">
                  <c:v>Tue 18-Aug</c:v>
                </c:pt>
                <c:pt idx="28">
                  <c:v>Wed 19-Aug</c:v>
                </c:pt>
                <c:pt idx="29">
                  <c:v>Thu 20-Aug</c:v>
                </c:pt>
                <c:pt idx="30">
                  <c:v>Fri 21-Aug</c:v>
                </c:pt>
                <c:pt idx="31">
                  <c:v>Sat 22-Aug</c:v>
                </c:pt>
                <c:pt idx="32">
                  <c:v>Sun 23-Aug</c:v>
                </c:pt>
                <c:pt idx="33">
                  <c:v>Mon 24-Aug</c:v>
                </c:pt>
                <c:pt idx="34">
                  <c:v>Tue 25-Aug</c:v>
                </c:pt>
                <c:pt idx="35">
                  <c:v>Wed 26-Aug</c:v>
                </c:pt>
                <c:pt idx="36">
                  <c:v>Thu 27-Aug</c:v>
                </c:pt>
                <c:pt idx="37">
                  <c:v>Fri 28-Aug</c:v>
                </c:pt>
                <c:pt idx="38">
                  <c:v>Sat 29-Aug</c:v>
                </c:pt>
                <c:pt idx="39">
                  <c:v>Sun 30-Aug</c:v>
                </c:pt>
                <c:pt idx="40">
                  <c:v>Mon 31-Aug</c:v>
                </c:pt>
                <c:pt idx="41">
                  <c:v>Tue 01-Sep</c:v>
                </c:pt>
                <c:pt idx="42">
                  <c:v>Wed 02-Sep</c:v>
                </c:pt>
                <c:pt idx="43">
                  <c:v>Thu 03-Sep</c:v>
                </c:pt>
                <c:pt idx="44">
                  <c:v>Fri 04-Sep</c:v>
                </c:pt>
                <c:pt idx="45">
                  <c:v>Sat 05-Sep</c:v>
                </c:pt>
                <c:pt idx="46">
                  <c:v>Sun 06-Sep</c:v>
                </c:pt>
                <c:pt idx="47">
                  <c:v>Mon 07-Sep</c:v>
                </c:pt>
                <c:pt idx="48">
                  <c:v>Tue 08-Sep</c:v>
                </c:pt>
                <c:pt idx="49">
                  <c:v>Wed 09-Sep</c:v>
                </c:pt>
                <c:pt idx="50">
                  <c:v>Thu 10-Sep</c:v>
                </c:pt>
                <c:pt idx="51">
                  <c:v>Fri 11-Sep</c:v>
                </c:pt>
                <c:pt idx="52">
                  <c:v>Sat 12-Sep</c:v>
                </c:pt>
                <c:pt idx="53">
                  <c:v>Sun 13-Sep</c:v>
                </c:pt>
                <c:pt idx="54">
                  <c:v>Mon 14-Sep</c:v>
                </c:pt>
                <c:pt idx="55">
                  <c:v>Tue 15-Sep</c:v>
                </c:pt>
                <c:pt idx="56">
                  <c:v>Wed 16-Sep</c:v>
                </c:pt>
                <c:pt idx="57">
                  <c:v>Thu 17-Sep</c:v>
                </c:pt>
                <c:pt idx="58">
                  <c:v>Fri 18-Sep</c:v>
                </c:pt>
                <c:pt idx="59">
                  <c:v>Sat 19-Sep</c:v>
                </c:pt>
                <c:pt idx="60">
                  <c:v>Sun 20-Sep</c:v>
                </c:pt>
                <c:pt idx="61">
                  <c:v>Mon 21-Sep</c:v>
                </c:pt>
                <c:pt idx="62">
                  <c:v>Tue 22-Sep</c:v>
                </c:pt>
                <c:pt idx="63">
                  <c:v>Wed 23-Sep</c:v>
                </c:pt>
                <c:pt idx="64">
                  <c:v>Thu 24-Sep</c:v>
                </c:pt>
                <c:pt idx="65">
                  <c:v>Fri 25-Sep</c:v>
                </c:pt>
                <c:pt idx="66">
                  <c:v>Sat 26-Sep</c:v>
                </c:pt>
                <c:pt idx="67">
                  <c:v>Sun 27-Sep</c:v>
                </c:pt>
                <c:pt idx="68">
                  <c:v>Mon 28-Sep</c:v>
                </c:pt>
                <c:pt idx="69">
                  <c:v>Tue 29-Sep</c:v>
                </c:pt>
                <c:pt idx="70">
                  <c:v>Wed 30-Sep</c:v>
                </c:pt>
                <c:pt idx="71">
                  <c:v>Thu 01-Oct</c:v>
                </c:pt>
                <c:pt idx="72">
                  <c:v>Fri 02-Oct</c:v>
                </c:pt>
                <c:pt idx="73">
                  <c:v>Sat 03-Oct</c:v>
                </c:pt>
                <c:pt idx="74">
                  <c:v>Sun 04-Oct</c:v>
                </c:pt>
                <c:pt idx="75">
                  <c:v>Mon 05-Oct</c:v>
                </c:pt>
                <c:pt idx="76">
                  <c:v>Tue 06-Oct</c:v>
                </c:pt>
                <c:pt idx="77">
                  <c:v>Wed 07-Oct</c:v>
                </c:pt>
                <c:pt idx="78">
                  <c:v>Thu 08-Oct</c:v>
                </c:pt>
              </c:strCache>
            </c:strRef>
          </c:cat>
          <c:val>
            <c:numRef>
              <c:f>Leader_Trend!$K$13:$K$91</c:f>
              <c:numCache>
                <c:formatCode>0%</c:formatCode>
                <c:ptCount val="7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0.0555555555555556</c:v>
                </c:pt>
                <c:pt idx="45">
                  <c:v>0</c:v>
                </c:pt>
                <c:pt idx="46">
                  <c:v>0</c:v>
                </c:pt>
                <c:pt idx="47">
                  <c:v>0</c:v>
                </c:pt>
                <c:pt idx="48">
                  <c:v>0</c:v>
                </c:pt>
                <c:pt idx="49">
                  <c:v>0</c:v>
                </c:pt>
                <c:pt idx="50">
                  <c:v>0</c:v>
                </c:pt>
                <c:pt idx="51">
                  <c:v>0</c:v>
                </c:pt>
                <c:pt idx="52">
                  <c:v>0.0555555555555556</c:v>
                </c:pt>
                <c:pt idx="53">
                  <c:v>0.0555555555555556</c:v>
                </c:pt>
                <c:pt idx="54">
                  <c:v>0.222222222222222</c:v>
                </c:pt>
                <c:pt idx="55">
                  <c:v>0.111111111111111</c:v>
                </c:pt>
                <c:pt idx="56">
                  <c:v>0</c:v>
                </c:pt>
                <c:pt idx="57">
                  <c:v>0.0555555555555556</c:v>
                </c:pt>
                <c:pt idx="58">
                  <c:v>0.0555555555555556</c:v>
                </c:pt>
                <c:pt idx="59">
                  <c:v>0.0555555555555556</c:v>
                </c:pt>
                <c:pt idx="60">
                  <c:v>0.0555555555555556</c:v>
                </c:pt>
                <c:pt idx="61">
                  <c:v>0.0555555555555556</c:v>
                </c:pt>
                <c:pt idx="62">
                  <c:v>0.0555555555555556</c:v>
                </c:pt>
                <c:pt idx="63">
                  <c:v>0</c:v>
                </c:pt>
                <c:pt idx="64">
                  <c:v>0</c:v>
                </c:pt>
                <c:pt idx="65">
                  <c:v>0</c:v>
                </c:pt>
                <c:pt idx="66">
                  <c:v>0.0555555555555556</c:v>
                </c:pt>
                <c:pt idx="67">
                  <c:v>0</c:v>
                </c:pt>
                <c:pt idx="68">
                  <c:v>0</c:v>
                </c:pt>
                <c:pt idx="69">
                  <c:v>0.388888888888889</c:v>
                </c:pt>
                <c:pt idx="70">
                  <c:v>0.222222222222222</c:v>
                </c:pt>
                <c:pt idx="71">
                  <c:v>0</c:v>
                </c:pt>
                <c:pt idx="72">
                  <c:v>0.333333333333333</c:v>
                </c:pt>
                <c:pt idx="73">
                  <c:v>0</c:v>
                </c:pt>
                <c:pt idx="74">
                  <c:v>0.111111111111111</c:v>
                </c:pt>
                <c:pt idx="75">
                  <c:v>0.222222222222222</c:v>
                </c:pt>
                <c:pt idx="76">
                  <c:v>0.333333333333333</c:v>
                </c:pt>
                <c:pt idx="77">
                  <c:v>0.555555555555556</c:v>
                </c:pt>
                <c:pt idx="78">
                  <c:v>0.666666666666667</c:v>
                </c:pt>
              </c:numCache>
            </c:numRef>
          </c:val>
          <c:smooth val="1"/>
        </c:ser>
        <c:hiLowLines>
          <c:spPr>
            <a:ln w="0">
              <a:noFill/>
            </a:ln>
          </c:spPr>
        </c:hiLowLines>
        <c:marker val="0"/>
        <c:axId val="64215141"/>
        <c:axId val="70495913"/>
      </c:lineChart>
      <c:catAx>
        <c:axId val="64215141"/>
        <c:scaling>
          <c:orientation val="minMax"/>
        </c:scaling>
        <c:delete val="0"/>
        <c:axPos val="b"/>
        <c:numFmt formatCode="dd\-mmm"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0495913"/>
        <c:crosses val="autoZero"/>
        <c:auto val="1"/>
        <c:lblAlgn val="ctr"/>
        <c:lblOffset val="100"/>
        <c:noMultiLvlLbl val="0"/>
      </c:catAx>
      <c:valAx>
        <c:axId val="70495913"/>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4215141"/>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
</Relationships>
</file>

<file path=xl/drawings/_rels/drawing5.xml.rels><?xml version="1.0" encoding="UTF-8"?>
<Relationships xmlns="http://schemas.openxmlformats.org/package/2006/relationships"><Relationship Id="rId1" Type="http://schemas.openxmlformats.org/officeDocument/2006/relationships/chart" Target="../charts/chart5.xml"/>
</Relationships>
</file>

<file path=xl/drawings/_rels/drawing6.xml.rels><?xml version="1.0" encoding="UTF-8"?>
<Relationships xmlns="http://schemas.openxmlformats.org/package/2006/relationships"><Relationship Id="rId1" Type="http://schemas.openxmlformats.org/officeDocument/2006/relationships/chart" Target="../charts/chart6.xml"/><Relationship Id="rId2" Type="http://schemas.openxmlformats.org/officeDocument/2006/relationships/chart" Target="../charts/chart7.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84</xdr:row>
      <xdr:rowOff>0</xdr:rowOff>
    </xdr:from>
    <xdr:to>
      <xdr:col>6</xdr:col>
      <xdr:colOff>448200</xdr:colOff>
      <xdr:row>101</xdr:row>
      <xdr:rowOff>1080</xdr:rowOff>
    </xdr:to>
    <xdr:graphicFrame>
      <xdr:nvGraphicFramePr>
        <xdr:cNvPr id="0" name="Chart 1"/>
        <xdr:cNvGraphicFramePr/>
      </xdr:nvGraphicFramePr>
      <xdr:xfrm>
        <a:off x="0" y="17735400"/>
        <a:ext cx="791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0</xdr:colOff>
      <xdr:row>84</xdr:row>
      <xdr:rowOff>0</xdr:rowOff>
    </xdr:from>
    <xdr:to>
      <xdr:col>12</xdr:col>
      <xdr:colOff>191160</xdr:colOff>
      <xdr:row>101</xdr:row>
      <xdr:rowOff>1080</xdr:rowOff>
    </xdr:to>
    <xdr:graphicFrame>
      <xdr:nvGraphicFramePr>
        <xdr:cNvPr id="1" name="Chart 2"/>
        <xdr:cNvGraphicFramePr/>
      </xdr:nvGraphicFramePr>
      <xdr:xfrm>
        <a:off x="9092520" y="17735400"/>
        <a:ext cx="5759640" cy="323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103</xdr:row>
      <xdr:rowOff>0</xdr:rowOff>
    </xdr:from>
    <xdr:to>
      <xdr:col>6</xdr:col>
      <xdr:colOff>448200</xdr:colOff>
      <xdr:row>120</xdr:row>
      <xdr:rowOff>1440</xdr:rowOff>
    </xdr:to>
    <xdr:graphicFrame>
      <xdr:nvGraphicFramePr>
        <xdr:cNvPr id="2" name="Chart 3"/>
        <xdr:cNvGraphicFramePr/>
      </xdr:nvGraphicFramePr>
      <xdr:xfrm>
        <a:off x="0" y="21355200"/>
        <a:ext cx="7919640" cy="323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0</xdr:colOff>
      <xdr:row>103</xdr:row>
      <xdr:rowOff>0</xdr:rowOff>
    </xdr:from>
    <xdr:to>
      <xdr:col>12</xdr:col>
      <xdr:colOff>191160</xdr:colOff>
      <xdr:row>120</xdr:row>
      <xdr:rowOff>1440</xdr:rowOff>
    </xdr:to>
    <xdr:graphicFrame>
      <xdr:nvGraphicFramePr>
        <xdr:cNvPr id="3" name="Chart 4"/>
        <xdr:cNvGraphicFramePr/>
      </xdr:nvGraphicFramePr>
      <xdr:xfrm>
        <a:off x="9092520" y="21355200"/>
        <a:ext cx="5759640" cy="323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11</xdr:col>
      <xdr:colOff>0</xdr:colOff>
      <xdr:row>3</xdr:row>
      <xdr:rowOff>0</xdr:rowOff>
    </xdr:from>
    <xdr:to>
      <xdr:col>23</xdr:col>
      <xdr:colOff>581760</xdr:colOff>
      <xdr:row>19</xdr:row>
      <xdr:rowOff>1080</xdr:rowOff>
    </xdr:to>
    <xdr:graphicFrame>
      <xdr:nvGraphicFramePr>
        <xdr:cNvPr id="4" name="Chart 1"/>
        <xdr:cNvGraphicFramePr/>
      </xdr:nvGraphicFramePr>
      <xdr:xfrm>
        <a:off x="9422280" y="762120"/>
        <a:ext cx="791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15</xdr:col>
      <xdr:colOff>0</xdr:colOff>
      <xdr:row>2</xdr:row>
      <xdr:rowOff>0</xdr:rowOff>
    </xdr:from>
    <xdr:to>
      <xdr:col>26</xdr:col>
      <xdr:colOff>473040</xdr:colOff>
      <xdr:row>16</xdr:row>
      <xdr:rowOff>22320</xdr:rowOff>
    </xdr:to>
    <xdr:graphicFrame>
      <xdr:nvGraphicFramePr>
        <xdr:cNvPr id="5" name="Chart 1"/>
        <xdr:cNvGraphicFramePr/>
      </xdr:nvGraphicFramePr>
      <xdr:xfrm>
        <a:off x="12170880" y="571680"/>
        <a:ext cx="71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0</xdr:colOff>
      <xdr:row>19</xdr:row>
      <xdr:rowOff>0</xdr:rowOff>
    </xdr:from>
    <xdr:to>
      <xdr:col>26</xdr:col>
      <xdr:colOff>473040</xdr:colOff>
      <xdr:row>34</xdr:row>
      <xdr:rowOff>22320</xdr:rowOff>
    </xdr:to>
    <xdr:graphicFrame>
      <xdr:nvGraphicFramePr>
        <xdr:cNvPr id="6" name="Chart 2"/>
        <xdr:cNvGraphicFramePr/>
      </xdr:nvGraphicFramePr>
      <xdr:xfrm>
        <a:off x="12170880" y="4000680"/>
        <a:ext cx="7199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9.xml.rels><?xml version="1.0" encoding="UTF-8"?>
<Relationships xmlns="http://schemas.openxmlformats.org/package/2006/relationships"><Relationship Id="rId1" Type="http://schemas.openxmlformats.org/officeDocument/2006/relationships/drawing" Target="../drawings/drawing4.xml"/>
</Relationships>
</file>

<file path=xl/worksheets/_rels/sheet10.xml.rels><?xml version="1.0" encoding="UTF-8"?>
<Relationships xmlns="http://schemas.openxmlformats.org/package/2006/relationships"><Relationship Id="rId1" Type="http://schemas.openxmlformats.org/officeDocument/2006/relationships/drawing" Target="../drawings/drawing5.xml"/>
</Relationships>
</file>

<file path=xl/worksheets/_rels/sheet11.xml.rels><?xml version="1.0" encoding="UTF-8"?>
<Relationships xmlns="http://schemas.openxmlformats.org/package/2006/relationships"><Relationship Id="rId1"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N8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36"/>
    <col collapsed="false" customWidth="true" hidden="false" outlineLevel="0" max="3" min="3" style="0" width="26"/>
    <col collapsed="false" customWidth="true" hidden="false" outlineLevel="0" max="4" min="4" style="0" width="10"/>
    <col collapsed="false" customWidth="true" hidden="false" outlineLevel="0" max="5" min="5" style="0" width="12"/>
    <col collapsed="false" customWidth="true" hidden="false" outlineLevel="0" max="7" min="6" style="0" width="11"/>
    <col collapsed="false" customWidth="true" hidden="false" outlineLevel="0" max="8" min="8" style="0" width="12"/>
    <col collapsed="false" customWidth="true" hidden="false" outlineLevel="0" max="9" min="9" style="0" width="36"/>
    <col collapsed="false" customWidth="true" hidden="false" outlineLevel="0" max="10" min="10" style="0" width="17"/>
    <col collapsed="false" customWidth="true" hidden="false" outlineLevel="0" max="12" min="11" style="0" width="13"/>
    <col collapsed="false" customWidth="true" hidden="false" outlineLevel="0" max="14" min="13" style="0" width="12"/>
  </cols>
  <sheetData>
    <row r="1" customFormat="false" ht="30" hidden="false" customHeight="true" outlineLevel="0" collapsed="false">
      <c r="A1" s="1" t="s">
        <v>0</v>
      </c>
      <c r="B1" s="1"/>
      <c r="C1" s="1"/>
      <c r="D1" s="1"/>
      <c r="E1" s="1"/>
      <c r="F1" s="1"/>
      <c r="G1" s="1"/>
      <c r="H1" s="1"/>
      <c r="I1" s="1"/>
      <c r="J1" s="1"/>
      <c r="K1" s="1"/>
      <c r="L1" s="1"/>
      <c r="M1" s="1"/>
      <c r="N1" s="1"/>
    </row>
    <row r="2" customFormat="false" ht="15" hidden="false" customHeight="false" outlineLevel="0" collapsed="false">
      <c r="A2" s="2" t="s">
        <v>1</v>
      </c>
      <c r="B2" s="2"/>
      <c r="C2" s="2"/>
      <c r="D2" s="2"/>
      <c r="E2" s="2"/>
      <c r="F2" s="2"/>
      <c r="G2" s="2"/>
      <c r="H2" s="2"/>
      <c r="I2" s="2"/>
      <c r="J2" s="2"/>
      <c r="K2" s="2"/>
      <c r="L2" s="2"/>
      <c r="M2" s="2"/>
      <c r="N2" s="2"/>
    </row>
    <row r="3" customFormat="false" ht="15" hidden="false" customHeight="false" outlineLevel="0" collapsed="false">
      <c r="A3" s="3"/>
      <c r="B3" s="3"/>
      <c r="C3" s="3"/>
      <c r="D3" s="3"/>
      <c r="E3" s="3"/>
      <c r="F3" s="3"/>
      <c r="G3" s="3"/>
      <c r="H3" s="3"/>
      <c r="I3" s="3"/>
      <c r="J3" s="3"/>
      <c r="K3" s="3"/>
      <c r="L3" s="3"/>
      <c r="M3" s="3"/>
      <c r="N3" s="3"/>
    </row>
    <row r="4" customFormat="false" ht="19.5" hidden="false" customHeight="true" outlineLevel="0" collapsed="false">
      <c r="A4" s="4" t="s">
        <v>2</v>
      </c>
      <c r="B4" s="4"/>
      <c r="C4" s="4"/>
      <c r="D4" s="3"/>
      <c r="E4" s="5" t="s">
        <v>3</v>
      </c>
      <c r="F4" s="5"/>
      <c r="G4" s="5" t="s">
        <v>4</v>
      </c>
      <c r="H4" s="5"/>
      <c r="I4" s="5" t="s">
        <v>5</v>
      </c>
      <c r="J4" s="5"/>
      <c r="K4" s="5" t="s">
        <v>6</v>
      </c>
      <c r="L4" s="5"/>
      <c r="M4" s="5" t="s">
        <v>7</v>
      </c>
      <c r="N4" s="5"/>
    </row>
    <row r="5" customFormat="false" ht="30" hidden="false" customHeight="true" outlineLevel="0" collapsed="false">
      <c r="A5" s="6" t="s">
        <v>8</v>
      </c>
      <c r="B5" s="6"/>
      <c r="C5" s="7" t="n">
        <v>46297</v>
      </c>
      <c r="D5" s="3"/>
      <c r="E5" s="8" t="n">
        <f aca="false">SUMIFS(Sales_Data!$O$2:$O$3520,Sales_Data!$C$2:$C$3520,"&gt;="&amp;Dashboard!$C$5,Sales_Data!$C$2:$C$3520,"&lt;="&amp;Dashboard!$C$6,Sales_Data!$H$2:$H$3520,Dashboard!$C$14,Sales_Data!$I$2:$I$3520,Dashboard!$C$15,Sales_Data!$AE$2:$AE$3520,1)</f>
        <v>565</v>
      </c>
      <c r="F5" s="8"/>
      <c r="G5" s="8" t="n">
        <f aca="false">SUMIFS(Sales_Data!$M$2:$M$3520,Sales_Data!$C$2:$C$3520,"&gt;="&amp;Dashboard!$C$5,Sales_Data!$C$2:$C$3520,"&lt;="&amp;Dashboard!$C$6,Sales_Data!$H$2:$H$3520,Dashboard!$C$14,Sales_Data!$I$2:$I$3520,Dashboard!$C$15,Sales_Data!$AE$2:$AE$3520,1)</f>
        <v>149</v>
      </c>
      <c r="H5" s="8"/>
      <c r="I5" s="8" t="n">
        <f aca="false">SUMIFS(Sales_Data!$N$2:$N$3520,Sales_Data!$C$2:$C$3520,"&gt;="&amp;Dashboard!$C$5,Sales_Data!$C$2:$C$3520,"&lt;="&amp;Dashboard!$C$6,Sales_Data!$H$2:$H$3520,Dashboard!$C$14,Sales_Data!$I$2:$I$3520,Dashboard!$C$15,Sales_Data!$AE$2:$AE$3520,1)</f>
        <v>416</v>
      </c>
      <c r="J5" s="8"/>
      <c r="K5" s="8" t="n">
        <f aca="false">SUMIFS(Sales_Data!$AE$2:$AE$3520,Sales_Data!$C$2:$C$3520,"&gt;="&amp;Dashboard!$C$5,Sales_Data!$C$2:$C$3520,"&lt;="&amp;Dashboard!$C$6,Sales_Data!$H$2:$H$3520,Dashboard!$C$14,Sales_Data!$I$2:$I$3520,Dashboard!$C$15,Sales_Data!$AE$2:$AE$3520,1)</f>
        <v>478</v>
      </c>
      <c r="L5" s="8"/>
      <c r="M5" s="8" t="n">
        <f aca="false">COUNTIFS(Agent_Summary!$T$5:$T$254,1,Agent_Summary!$K$5:$K$254,"&gt;0")</f>
        <v>138</v>
      </c>
      <c r="N5" s="8"/>
    </row>
    <row r="6" customFormat="false" ht="15" hidden="false" customHeight="false" outlineLevel="0" collapsed="false">
      <c r="A6" s="6" t="s">
        <v>9</v>
      </c>
      <c r="B6" s="6"/>
      <c r="C6" s="7" t="n">
        <v>46303</v>
      </c>
      <c r="D6" s="3"/>
      <c r="E6" s="9" t="n">
        <f aca="false">E5-(SUMIFS(Sales_Data!$O$2:$O$3520,Sales_Data!$C$2:$C$3520,"&gt;="&amp;Dashboard!$C$12,Sales_Data!$C$2:$C$3520,"&lt;="&amp;Dashboard!$C$13,Sales_Data!$H$2:$H$3520,Dashboard!$C$14,Sales_Data!$I$2:$I$3520,Dashboard!$C$15,Sales_Data!$AE$2:$AE$3520,1))</f>
        <v>110</v>
      </c>
      <c r="F6" s="9"/>
      <c r="G6" s="9" t="n">
        <f aca="false">G5-(SUMIFS(Sales_Data!$M$2:$M$3520,Sales_Data!$C$2:$C$3520,"&gt;="&amp;Dashboard!$C$12,Sales_Data!$C$2:$C$3520,"&lt;="&amp;Dashboard!$C$13,Sales_Data!$H$2:$H$3520,Dashboard!$C$14,Sales_Data!$I$2:$I$3520,Dashboard!$C$15,Sales_Data!$AE$2:$AE$3520,1))</f>
        <v>23</v>
      </c>
      <c r="H6" s="9"/>
      <c r="I6" s="9" t="n">
        <f aca="false">I5-(SUMIFS(Sales_Data!$N$2:$N$3520,Sales_Data!$C$2:$C$3520,"&gt;="&amp;Dashboard!$C$12,Sales_Data!$C$2:$C$3520,"&lt;="&amp;Dashboard!$C$13,Sales_Data!$H$2:$H$3520,Dashboard!$C$14,Sales_Data!$I$2:$I$3520,Dashboard!$C$15,Sales_Data!$AE$2:$AE$3520,1))</f>
        <v>87</v>
      </c>
      <c r="J6" s="9"/>
      <c r="K6" s="9" t="n">
        <f aca="false">K5-(SUMIFS(Sales_Data!$AE$2:$AE$3520,Sales_Data!$C$2:$C$3520,"&gt;="&amp;Dashboard!$C$12,Sales_Data!$C$2:$C$3520,"&lt;="&amp;Dashboard!$C$13,Sales_Data!$H$2:$H$3520,Dashboard!$C$14,Sales_Data!$I$2:$I$3520,Dashboard!$C$15,Sales_Data!$AE$2:$AE$3520,1))</f>
        <v>70</v>
      </c>
      <c r="L6" s="9"/>
      <c r="M6" s="9" t="n">
        <f aca="false">M5-(COUNTIFS(Agent_Summary!$T$5:$T$254,1,Agent_Summary!$N$5:$N$254,"&gt;0"))</f>
        <v>31</v>
      </c>
      <c r="N6" s="9"/>
    </row>
    <row r="7" customFormat="false" ht="15" hidden="false" customHeight="false" outlineLevel="0" collapsed="false">
      <c r="A7" s="6" t="s">
        <v>10</v>
      </c>
      <c r="B7" s="6"/>
      <c r="C7" s="10" t="s">
        <v>11</v>
      </c>
      <c r="D7" s="3"/>
      <c r="E7" s="11" t="s">
        <v>12</v>
      </c>
      <c r="F7" s="11"/>
      <c r="G7" s="11" t="s">
        <v>12</v>
      </c>
      <c r="H7" s="11"/>
      <c r="I7" s="11" t="s">
        <v>12</v>
      </c>
      <c r="J7" s="11"/>
      <c r="K7" s="11" t="s">
        <v>12</v>
      </c>
      <c r="L7" s="11"/>
      <c r="M7" s="11" t="s">
        <v>12</v>
      </c>
      <c r="N7" s="11"/>
    </row>
    <row r="8" customFormat="false" ht="15" hidden="false" customHeight="false" outlineLevel="0" collapsed="false">
      <c r="A8" s="6" t="s">
        <v>13</v>
      </c>
      <c r="B8" s="6"/>
      <c r="C8" s="10" t="s">
        <v>11</v>
      </c>
      <c r="D8" s="3"/>
      <c r="E8" s="3"/>
      <c r="F8" s="3"/>
      <c r="G8" s="3"/>
      <c r="H8" s="3"/>
      <c r="I8" s="3"/>
      <c r="J8" s="3"/>
      <c r="K8" s="3"/>
      <c r="L8" s="3"/>
      <c r="M8" s="3"/>
      <c r="N8" s="3"/>
    </row>
    <row r="9" customFormat="false" ht="15" hidden="false" customHeight="false" outlineLevel="0" collapsed="false">
      <c r="A9" s="6" t="s">
        <v>14</v>
      </c>
      <c r="B9" s="6"/>
      <c r="C9" s="10" t="s">
        <v>15</v>
      </c>
      <c r="D9" s="3"/>
      <c r="E9" s="5" t="s">
        <v>16</v>
      </c>
      <c r="F9" s="5"/>
      <c r="G9" s="5" t="s">
        <v>17</v>
      </c>
      <c r="H9" s="5"/>
      <c r="I9" s="5" t="s">
        <v>18</v>
      </c>
      <c r="J9" s="5"/>
      <c r="K9" s="5" t="s">
        <v>19</v>
      </c>
      <c r="L9" s="5"/>
      <c r="M9" s="5" t="s">
        <v>20</v>
      </c>
      <c r="N9" s="5"/>
    </row>
    <row r="10" customFormat="false" ht="30" hidden="false" customHeight="true" outlineLevel="0" collapsed="false">
      <c r="A10" s="12" t="s">
        <v>21</v>
      </c>
      <c r="B10" s="12"/>
      <c r="C10" s="13" t="n">
        <f aca="false">C6-C5+1</f>
        <v>7</v>
      </c>
      <c r="D10" s="3"/>
      <c r="E10" s="14" t="n">
        <f aca="false">IFERROR(SUMIFS(Sales_Data!$O$2:$O$3520,Sales_Data!$C$2:$C$3520,"&gt;="&amp;Dashboard!$C$5,Sales_Data!$C$2:$C$3520,"&lt;="&amp;Dashboard!$C$6,Sales_Data!$H$2:$H$3520,Dashboard!$C$14,Sales_Data!$I$2:$I$3520,Dashboard!$C$15,Sales_Data!$AE$2:$AE$3520,1)/COUNTIFS(Agent_Summary!$T$5:$T$254,1,Agent_Summary!$K$5:$K$254,"&gt;0"),0)</f>
        <v>4.09420289855073</v>
      </c>
      <c r="F10" s="14"/>
      <c r="G10" s="15" t="n">
        <f aca="false">IFERROR(COUNTIFS(Agent_Summary!$T$5:$T$254,1,Agent_Summary!$K$5:$K$254,"&gt;0")/COUNTIF(Agent_Summary!$T$5:$T$254,1),0)</f>
        <v>0.552</v>
      </c>
      <c r="H10" s="15"/>
      <c r="I10" s="15" t="n">
        <f aca="false">IFERROR(COUNTIFS(Sales_Data!$C$2:$C$3520,"&gt;="&amp;Dashboard!$C$5,Sales_Data!$C$2:$C$3520,"&lt;="&amp;Dashboard!$C$6,Sales_Data!$H$2:$H$3520,Dashboard!$C$14,Sales_Data!$I$2:$I$3520,Dashboard!$C$15,Sales_Data!$AE$2:$AE$3520,1,Sales_Data!$U$2:$U$3520,"Yes")/(COUNTIFS(Sales_Data!$C$2:$C$3520,"&gt;="&amp;Dashboard!$C$5,Sales_Data!$C$2:$C$3520,"&lt;="&amp;Dashboard!$C$6,Sales_Data!$H$2:$H$3520,Dashboard!$C$14,Sales_Data!$I$2:$I$3520,Dashboard!$C$15,Sales_Data!$AE$2:$AE$3520,1,Sales_Data!$U$2:$U$3520,"Yes")+COUNTIFS(Sales_Data!$C$2:$C$3520,"&gt;="&amp;Dashboard!$C$5,Sales_Data!$C$2:$C$3520,"&lt;="&amp;Dashboard!$C$6,Sales_Data!$H$2:$H$3520,Dashboard!$C$14,Sales_Data!$I$2:$I$3520,Dashboard!$C$15,Sales_Data!$AE$2:$AE$3520,1,Sales_Data!$U$2:$U$3520,"No")),0)</f>
        <v>0.21969696969697</v>
      </c>
      <c r="J10" s="15"/>
      <c r="K10" s="15" t="n">
        <f aca="false">IFERROR(COUNTIFS(Sales_Data!$C$2:$C$3520,"&gt;="&amp;Dashboard!$C$5,Sales_Data!$C$2:$C$3520,"&lt;="&amp;Dashboard!$C$6,Sales_Data!$H$2:$H$3520,Dashboard!$C$14,Sales_Data!$I$2:$I$3520,Dashboard!$C$15,Sales_Data!$AE$2:$AE$3520,1,Sales_Data!$W$2:$W$3520,"Yes")/(COUNTIFS(Sales_Data!$C$2:$C$3520,"&gt;="&amp;Dashboard!$C$5,Sales_Data!$C$2:$C$3520,"&lt;="&amp;Dashboard!$C$6,Sales_Data!$H$2:$H$3520,Dashboard!$C$14,Sales_Data!$I$2:$I$3520,Dashboard!$C$15,Sales_Data!$AE$2:$AE$3520,1,Sales_Data!$W$2:$W$3520,"Yes")+COUNTIFS(Sales_Data!$C$2:$C$3520,"&gt;="&amp;Dashboard!$C$5,Sales_Data!$C$2:$C$3520,"&lt;="&amp;Dashboard!$C$6,Sales_Data!$H$2:$H$3520,Dashboard!$C$14,Sales_Data!$I$2:$I$3520,Dashboard!$C$15,Sales_Data!$AE$2:$AE$3520,1,Sales_Data!$W$2:$W$3520,"No")),0)</f>
        <v>0.68</v>
      </c>
      <c r="L10" s="15"/>
      <c r="M10" s="16" t="n">
        <f aca="false">IFERROR(SUMIFS(Sales_Data!$O$2:$O$3520,Sales_Data!$C$2:$C$3520,"&gt;="&amp;Dashboard!$C$5,Sales_Data!$C$2:$C$3520,"&lt;="&amp;Dashboard!$C$6,Sales_Data!$H$2:$H$3520,Dashboard!$C$14,Sales_Data!$I$2:$I$3520,Dashboard!$C$15,Sales_Data!$AE$2:$AE$3520,1)/Dashboard!$C$10,0)</f>
        <v>80.7142857142857</v>
      </c>
      <c r="N10" s="16"/>
    </row>
    <row r="11" customFormat="false" ht="15" hidden="false" customHeight="false" outlineLevel="0" collapsed="false">
      <c r="A11" s="12" t="s">
        <v>22</v>
      </c>
      <c r="B11" s="12"/>
      <c r="C11" s="17" t="str">
        <f aca="false">TEXT(C12,"dd-mmm")&amp;" → "&amp;TEXT(C13,"dd-mmm")</f>
        <v>25-Sep → 01-Oct</v>
      </c>
      <c r="D11" s="3"/>
      <c r="E11" s="18" t="n">
        <f aca="false">E10-(IFERROR(SUMIFS(Sales_Data!$O$2:$O$3520,Sales_Data!$C$2:$C$3520,"&gt;="&amp;Dashboard!$C$12,Sales_Data!$C$2:$C$3520,"&lt;="&amp;Dashboard!$C$13,Sales_Data!$H$2:$H$3520,Dashboard!$C$14,Sales_Data!$I$2:$I$3520,Dashboard!$C$15,Sales_Data!$AE$2:$AE$3520,1)/COUNTIFS(Agent_Summary!$T$5:$T$254,1,Agent_Summary!$N$5:$N$254,"&gt;0"),0))</f>
        <v>-0.158133550047406</v>
      </c>
      <c r="F11" s="18"/>
      <c r="G11" s="19" t="n">
        <f aca="false">G10-(IFERROR(COUNTIFS(Agent_Summary!$T$5:$T$254,1,Agent_Summary!$N$5:$N$254,"&gt;0")/COUNTIF(Agent_Summary!$T$5:$T$254,1),0))</f>
        <v>0.124</v>
      </c>
      <c r="H11" s="19"/>
      <c r="I11" s="19" t="n">
        <f aca="false">I10-(IFERROR(COUNTIFS(Sales_Data!$C$2:$C$3520,"&gt;="&amp;Dashboard!$C$12,Sales_Data!$C$2:$C$3520,"&lt;="&amp;Dashboard!$C$13,Sales_Data!$H$2:$H$3520,Dashboard!$C$14,Sales_Data!$I$2:$I$3520,Dashboard!$C$15,Sales_Data!$AE$2:$AE$3520,1,Sales_Data!$U$2:$U$3520,"Yes")/(COUNTIFS(Sales_Data!$C$2:$C$3520,"&gt;="&amp;Dashboard!$C$12,Sales_Data!$C$2:$C$3520,"&lt;="&amp;Dashboard!$C$13,Sales_Data!$H$2:$H$3520,Dashboard!$C$14,Sales_Data!$I$2:$I$3520,Dashboard!$C$15,Sales_Data!$AE$2:$AE$3520,1,Sales_Data!$U$2:$U$3520,"Yes")+COUNTIFS(Sales_Data!$C$2:$C$3520,"&gt;="&amp;Dashboard!$C$12,Sales_Data!$C$2:$C$3520,"&lt;="&amp;Dashboard!$C$13,Sales_Data!$H$2:$H$3520,Dashboard!$C$14,Sales_Data!$I$2:$I$3520,Dashboard!$C$15,Sales_Data!$AE$2:$AE$3520,1,Sales_Data!$U$2:$U$3520,"No")),0))</f>
        <v>0.071870882740448</v>
      </c>
      <c r="J11" s="19"/>
      <c r="K11" s="19" t="n">
        <f aca="false">K10-(IFERROR(COUNTIFS(Sales_Data!$C$2:$C$3520,"&gt;="&amp;Dashboard!$C$12,Sales_Data!$C$2:$C$3520,"&lt;="&amp;Dashboard!$C$13,Sales_Data!$H$2:$H$3520,Dashboard!$C$14,Sales_Data!$I$2:$I$3520,Dashboard!$C$15,Sales_Data!$AE$2:$AE$3520,1,Sales_Data!$W$2:$W$3520,"Yes")/(COUNTIFS(Sales_Data!$C$2:$C$3520,"&gt;="&amp;Dashboard!$C$12,Sales_Data!$C$2:$C$3520,"&lt;="&amp;Dashboard!$C$13,Sales_Data!$H$2:$H$3520,Dashboard!$C$14,Sales_Data!$I$2:$I$3520,Dashboard!$C$15,Sales_Data!$AE$2:$AE$3520,1,Sales_Data!$W$2:$W$3520,"Yes")+COUNTIFS(Sales_Data!$C$2:$C$3520,"&gt;="&amp;Dashboard!$C$12,Sales_Data!$C$2:$C$3520,"&lt;="&amp;Dashboard!$C$13,Sales_Data!$H$2:$H$3520,Dashboard!$C$14,Sales_Data!$I$2:$I$3520,Dashboard!$C$15,Sales_Data!$AE$2:$AE$3520,1,Sales_Data!$W$2:$W$3520,"No")),0))</f>
        <v>-0.0869902912621359</v>
      </c>
      <c r="L11" s="19"/>
      <c r="M11" s="20" t="n">
        <f aca="false">M10-(IFERROR(SUMIFS(Sales_Data!$O$2:$O$3520,Sales_Data!$C$2:$C$3520,"&gt;="&amp;Dashboard!$C$12,Sales_Data!$C$2:$C$3520,"&lt;="&amp;Dashboard!$C$13,Sales_Data!$H$2:$H$3520,Dashboard!$C$14,Sales_Data!$I$2:$I$3520,Dashboard!$C$15,Sales_Data!$AE$2:$AE$3520,1)/Dashboard!$C$10,0))</f>
        <v>15.7142857142857</v>
      </c>
      <c r="N11" s="20"/>
    </row>
    <row r="12" customFormat="false" ht="15" hidden="false" customHeight="false" outlineLevel="0" collapsed="false">
      <c r="A12" s="21" t="s">
        <v>23</v>
      </c>
      <c r="B12" s="21"/>
      <c r="C12" s="22" t="n">
        <f aca="false">C5-C10</f>
        <v>46290</v>
      </c>
      <c r="D12" s="3"/>
      <c r="E12" s="11" t="s">
        <v>12</v>
      </c>
      <c r="F12" s="11"/>
      <c r="G12" s="11" t="s">
        <v>12</v>
      </c>
      <c r="H12" s="11"/>
      <c r="I12" s="11" t="s">
        <v>12</v>
      </c>
      <c r="J12" s="11"/>
      <c r="K12" s="11" t="s">
        <v>12</v>
      </c>
      <c r="L12" s="11"/>
      <c r="M12" s="11" t="s">
        <v>12</v>
      </c>
      <c r="N12" s="11"/>
    </row>
    <row r="13" customFormat="false" ht="15" hidden="false" customHeight="false" outlineLevel="0" collapsed="false">
      <c r="A13" s="21" t="s">
        <v>24</v>
      </c>
      <c r="B13" s="21"/>
      <c r="C13" s="22" t="n">
        <f aca="false">C5-1</f>
        <v>46296</v>
      </c>
      <c r="D13" s="3"/>
      <c r="E13" s="3"/>
      <c r="F13" s="3"/>
      <c r="G13" s="3"/>
      <c r="H13" s="3"/>
      <c r="I13" s="3"/>
      <c r="J13" s="3"/>
      <c r="K13" s="3"/>
      <c r="L13" s="3"/>
      <c r="M13" s="3"/>
      <c r="N13" s="3"/>
    </row>
    <row r="14" customFormat="false" ht="15" hidden="false" customHeight="false" outlineLevel="0" collapsed="false">
      <c r="A14" s="21" t="s">
        <v>25</v>
      </c>
      <c r="B14" s="21"/>
      <c r="C14" s="23" t="str">
        <f aca="false">IF(C8="All","*",C8)</f>
        <v>*</v>
      </c>
      <c r="D14" s="3"/>
      <c r="E14" s="3"/>
      <c r="F14" s="3"/>
      <c r="G14" s="3"/>
      <c r="H14" s="3"/>
      <c r="I14" s="3"/>
      <c r="J14" s="3"/>
      <c r="K14" s="3"/>
      <c r="L14" s="3"/>
      <c r="M14" s="3"/>
      <c r="N14" s="3"/>
    </row>
    <row r="15" customFormat="false" ht="15" hidden="false" customHeight="false" outlineLevel="0" collapsed="false">
      <c r="A15" s="21" t="s">
        <v>26</v>
      </c>
      <c r="B15" s="21"/>
      <c r="C15" s="23" t="str">
        <f aca="false">IF(C7="All","*",C7)</f>
        <v>*</v>
      </c>
      <c r="D15" s="3"/>
      <c r="E15" s="3"/>
      <c r="F15" s="3"/>
      <c r="G15" s="3"/>
      <c r="H15" s="3"/>
      <c r="I15" s="3"/>
      <c r="J15" s="3"/>
      <c r="K15" s="3"/>
      <c r="L15" s="3"/>
      <c r="M15" s="3"/>
      <c r="N15" s="3"/>
    </row>
    <row r="16" customFormat="false" ht="15" hidden="false" customHeight="false" outlineLevel="0" collapsed="false">
      <c r="A16" s="3"/>
      <c r="B16" s="3"/>
      <c r="C16" s="3"/>
      <c r="D16" s="3"/>
      <c r="E16" s="3"/>
      <c r="F16" s="3"/>
      <c r="G16" s="3"/>
      <c r="H16" s="3"/>
      <c r="I16" s="3"/>
      <c r="J16" s="3"/>
      <c r="K16" s="3"/>
      <c r="L16" s="3"/>
      <c r="M16" s="3"/>
      <c r="N16" s="3"/>
    </row>
    <row r="17" customFormat="false" ht="19.5" hidden="false" customHeight="true" outlineLevel="0" collapsed="false">
      <c r="A17" s="4" t="s">
        <v>27</v>
      </c>
      <c r="B17" s="4"/>
      <c r="C17" s="4"/>
      <c r="D17" s="4"/>
      <c r="E17" s="4"/>
      <c r="F17" s="4"/>
      <c r="G17" s="4"/>
      <c r="H17" s="4"/>
      <c r="I17" s="4"/>
      <c r="J17" s="4"/>
      <c r="K17" s="4"/>
      <c r="L17" s="4"/>
      <c r="M17" s="4"/>
      <c r="N17" s="4"/>
    </row>
    <row r="18" customFormat="false" ht="30" hidden="false" customHeight="true" outlineLevel="0" collapsed="false">
      <c r="A18" s="24" t="s">
        <v>28</v>
      </c>
      <c r="B18" s="24" t="s">
        <v>29</v>
      </c>
      <c r="C18" s="24" t="s">
        <v>6</v>
      </c>
      <c r="D18" s="24" t="s">
        <v>4</v>
      </c>
      <c r="E18" s="24" t="s">
        <v>5</v>
      </c>
      <c r="F18" s="24" t="s">
        <v>3</v>
      </c>
      <c r="G18" s="24" t="s">
        <v>30</v>
      </c>
      <c r="H18" s="24" t="s">
        <v>31</v>
      </c>
      <c r="I18" s="24" t="s">
        <v>32</v>
      </c>
      <c r="J18" s="24" t="s">
        <v>33</v>
      </c>
      <c r="K18" s="24" t="s">
        <v>7</v>
      </c>
      <c r="L18" s="24" t="s">
        <v>34</v>
      </c>
      <c r="M18" s="24" t="s">
        <v>18</v>
      </c>
      <c r="N18" s="24" t="s">
        <v>35</v>
      </c>
    </row>
    <row r="19" customFormat="false" ht="15" hidden="false" customHeight="false" outlineLevel="0" collapsed="false">
      <c r="A19" s="25" t="n">
        <f aca="false">$C$6-7</f>
        <v>46296</v>
      </c>
      <c r="B19" s="26" t="str">
        <f aca="false">IFERROR(INDEX(Daily_Account!$B$4:$B$82,MATCH($A19,Daily_Account!$A$4:$A$82,0)),"-")</f>
        <v>Thu</v>
      </c>
      <c r="C19" s="26" t="n">
        <f aca="false">IFERROR(INDEX(Daily_Account!$C$4:$C$82,MATCH($A19,Daily_Account!$A$4:$A$82,0)),"-")</f>
        <v>47</v>
      </c>
      <c r="D19" s="26" t="n">
        <f aca="false">IFERROR(INDEX(Daily_Account!$D$4:$D$82,MATCH($A19,Daily_Account!$A$4:$A$82,0)),"-")</f>
        <v>14</v>
      </c>
      <c r="E19" s="26" t="n">
        <f aca="false">IFERROR(INDEX(Daily_Account!$E$4:$E$82,MATCH($A19,Daily_Account!$A$4:$A$82,0)),"-")</f>
        <v>38</v>
      </c>
      <c r="F19" s="27" t="n">
        <f aca="false">IFERROR(INDEX(Daily_Account!$F$4:$F$82,MATCH($A19,Daily_Account!$A$4:$A$82,0)),"-")</f>
        <v>52</v>
      </c>
      <c r="G19" s="28" t="n">
        <f aca="false">IFERROR(INDEX(Daily_Account!$G$4:$G$82,MATCH($A19,Daily_Account!$A$4:$A$82,0)),"-")</f>
        <v>-19</v>
      </c>
      <c r="H19" s="29" t="n">
        <f aca="false">IFERROR(INDEX(Daily_Account!$H$4:$H$82,MATCH($A19,Daily_Account!$A$4:$A$82,0)),"-")</f>
        <v>-0.267605633802817</v>
      </c>
      <c r="I19" s="30" t="n">
        <f aca="false">IFERROR(INDEX(Daily_Account!$I$4:$I$82,MATCH($A19,Daily_Account!$A$4:$A$82,0)),"-")</f>
        <v>65</v>
      </c>
      <c r="J19" s="29" t="n">
        <f aca="false">IFERROR(INDEX(Daily_Account!$J$4:$J$82,MATCH($A19,Daily_Account!$A$4:$A$82,0)),"-")</f>
        <v>-0.373493975903614</v>
      </c>
      <c r="K19" s="26" t="n">
        <f aca="false">IFERROR(INDEX(Daily_Account!$K$4:$K$82,MATCH($A19,Daily_Account!$A$4:$A$82,0)),"-")</f>
        <v>28</v>
      </c>
      <c r="L19" s="31" t="n">
        <f aca="false">IFERROR(INDEX(Daily_Account!$L$4:$L$82,MATCH($A19,Daily_Account!$A$4:$A$82,0)),"-")</f>
        <v>1.85714285714286</v>
      </c>
      <c r="M19" s="32" t="n">
        <f aca="false">IFERROR(INDEX(Daily_Account!$O$4:$O$82,MATCH($A19,Daily_Account!$A$4:$A$82,0)),"-")</f>
        <v>0.153846153846154</v>
      </c>
      <c r="N19" s="32" t="n">
        <f aca="false">IFERROR(INDEX(Daily_Account!$R$4:$R$82,MATCH($A19,Daily_Account!$A$4:$A$82,0)),"-")</f>
        <v>0.5</v>
      </c>
    </row>
    <row r="20" customFormat="false" ht="15" hidden="false" customHeight="false" outlineLevel="0" collapsed="false">
      <c r="A20" s="25" t="n">
        <f aca="false">$C$6-6</f>
        <v>46297</v>
      </c>
      <c r="B20" s="26" t="str">
        <f aca="false">IFERROR(INDEX(Daily_Account!$B$4:$B$82,MATCH($A20,Daily_Account!$A$4:$A$82,0)),"-")</f>
        <v>Fri</v>
      </c>
      <c r="C20" s="26" t="n">
        <f aca="false">IFERROR(INDEX(Daily_Account!$C$4:$C$82,MATCH($A20,Daily_Account!$A$4:$A$82,0)),"-")</f>
        <v>52</v>
      </c>
      <c r="D20" s="26" t="n">
        <f aca="false">IFERROR(INDEX(Daily_Account!$D$4:$D$82,MATCH($A20,Daily_Account!$A$4:$A$82,0)),"-")</f>
        <v>14</v>
      </c>
      <c r="E20" s="26" t="n">
        <f aca="false">IFERROR(INDEX(Daily_Account!$E$4:$E$82,MATCH($A20,Daily_Account!$A$4:$A$82,0)),"-")</f>
        <v>45</v>
      </c>
      <c r="F20" s="27" t="n">
        <f aca="false">IFERROR(INDEX(Daily_Account!$F$4:$F$82,MATCH($A20,Daily_Account!$A$4:$A$82,0)),"-")</f>
        <v>59</v>
      </c>
      <c r="G20" s="28" t="n">
        <f aca="false">IFERROR(INDEX(Daily_Account!$G$4:$G$82,MATCH($A20,Daily_Account!$A$4:$A$82,0)),"-")</f>
        <v>7</v>
      </c>
      <c r="H20" s="29" t="n">
        <f aca="false">IFERROR(INDEX(Daily_Account!$H$4:$H$82,MATCH($A20,Daily_Account!$A$4:$A$82,0)),"-")</f>
        <v>0.134615384615385</v>
      </c>
      <c r="I20" s="30" t="n">
        <f aca="false">IFERROR(INDEX(Daily_Account!$I$4:$I$82,MATCH($A20,Daily_Account!$A$4:$A$82,0)),"-")</f>
        <v>63.5714285714286</v>
      </c>
      <c r="J20" s="29" t="n">
        <f aca="false">IFERROR(INDEX(Daily_Account!$J$4:$J$82,MATCH($A20,Daily_Account!$A$4:$A$82,0)),"-")</f>
        <v>-0.144927536231884</v>
      </c>
      <c r="K20" s="26" t="n">
        <f aca="false">IFERROR(INDEX(Daily_Account!$K$4:$K$82,MATCH($A20,Daily_Account!$A$4:$A$82,0)),"-")</f>
        <v>40</v>
      </c>
      <c r="L20" s="31" t="n">
        <f aca="false">IFERROR(INDEX(Daily_Account!$L$4:$L$82,MATCH($A20,Daily_Account!$A$4:$A$82,0)),"-")</f>
        <v>1.475</v>
      </c>
      <c r="M20" s="32" t="n">
        <f aca="false">IFERROR(INDEX(Daily_Account!$O$4:$O$82,MATCH($A20,Daily_Account!$A$4:$A$82,0)),"-")</f>
        <v>0.0714285714285714</v>
      </c>
      <c r="N20" s="32" t="n">
        <f aca="false">IFERROR(INDEX(Daily_Account!$R$4:$R$82,MATCH($A20,Daily_Account!$A$4:$A$82,0)),"-")</f>
        <v>1</v>
      </c>
    </row>
    <row r="21" customFormat="false" ht="15" hidden="false" customHeight="false" outlineLevel="0" collapsed="false">
      <c r="A21" s="25" t="n">
        <f aca="false">$C$6-5</f>
        <v>46298</v>
      </c>
      <c r="B21" s="26" t="str">
        <f aca="false">IFERROR(INDEX(Daily_Account!$B$4:$B$82,MATCH($A21,Daily_Account!$A$4:$A$82,0)),"-")</f>
        <v>Sat</v>
      </c>
      <c r="C21" s="26" t="n">
        <f aca="false">IFERROR(INDEX(Daily_Account!$C$4:$C$82,MATCH($A21,Daily_Account!$A$4:$A$82,0)),"-")</f>
        <v>61</v>
      </c>
      <c r="D21" s="26" t="n">
        <f aca="false">IFERROR(INDEX(Daily_Account!$D$4:$D$82,MATCH($A21,Daily_Account!$A$4:$A$82,0)),"-")</f>
        <v>31</v>
      </c>
      <c r="E21" s="26" t="n">
        <f aca="false">IFERROR(INDEX(Daily_Account!$E$4:$E$82,MATCH($A21,Daily_Account!$A$4:$A$82,0)),"-")</f>
        <v>56</v>
      </c>
      <c r="F21" s="27" t="n">
        <f aca="false">IFERROR(INDEX(Daily_Account!$F$4:$F$82,MATCH($A21,Daily_Account!$A$4:$A$82,0)),"-")</f>
        <v>87</v>
      </c>
      <c r="G21" s="28" t="n">
        <f aca="false">IFERROR(INDEX(Daily_Account!$G$4:$G$82,MATCH($A21,Daily_Account!$A$4:$A$82,0)),"-")</f>
        <v>28</v>
      </c>
      <c r="H21" s="29" t="n">
        <f aca="false">IFERROR(INDEX(Daily_Account!$H$4:$H$82,MATCH($A21,Daily_Account!$A$4:$A$82,0)),"-")</f>
        <v>0.474576271186441</v>
      </c>
      <c r="I21" s="30" t="n">
        <f aca="false">IFERROR(INDEX(Daily_Account!$I$4:$I$82,MATCH($A21,Daily_Account!$A$4:$A$82,0)),"-")</f>
        <v>67.2857142857143</v>
      </c>
      <c r="J21" s="29" t="n">
        <f aca="false">IFERROR(INDEX(Daily_Account!$J$4:$J$82,MATCH($A21,Daily_Account!$A$4:$A$82,0)),"-")</f>
        <v>0.426229508196721</v>
      </c>
      <c r="K21" s="26" t="n">
        <f aca="false">IFERROR(INDEX(Daily_Account!$K$4:$K$82,MATCH($A21,Daily_Account!$A$4:$A$82,0)),"-")</f>
        <v>33</v>
      </c>
      <c r="L21" s="31" t="n">
        <f aca="false">IFERROR(INDEX(Daily_Account!$L$4:$L$82,MATCH($A21,Daily_Account!$A$4:$A$82,0)),"-")</f>
        <v>2.63636363636364</v>
      </c>
      <c r="M21" s="32" t="n">
        <f aca="false">IFERROR(INDEX(Daily_Account!$O$4:$O$82,MATCH($A21,Daily_Account!$A$4:$A$82,0)),"-")</f>
        <v>0.333333333333333</v>
      </c>
      <c r="N21" s="32" t="n">
        <f aca="false">IFERROR(INDEX(Daily_Account!$R$4:$R$82,MATCH($A21,Daily_Account!$A$4:$A$82,0)),"-")</f>
        <v>0.85</v>
      </c>
    </row>
    <row r="22" customFormat="false" ht="15" hidden="false" customHeight="false" outlineLevel="0" collapsed="false">
      <c r="A22" s="25" t="n">
        <f aca="false">$C$6-4</f>
        <v>46299</v>
      </c>
      <c r="B22" s="26" t="str">
        <f aca="false">IFERROR(INDEX(Daily_Account!$B$4:$B$82,MATCH($A22,Daily_Account!$A$4:$A$82,0)),"-")</f>
        <v>Sun</v>
      </c>
      <c r="C22" s="26" t="n">
        <f aca="false">IFERROR(INDEX(Daily_Account!$C$4:$C$82,MATCH($A22,Daily_Account!$A$4:$A$82,0)),"-")</f>
        <v>43</v>
      </c>
      <c r="D22" s="26" t="n">
        <f aca="false">IFERROR(INDEX(Daily_Account!$D$4:$D$82,MATCH($A22,Daily_Account!$A$4:$A$82,0)),"-")</f>
        <v>15</v>
      </c>
      <c r="E22" s="26" t="n">
        <f aca="false">IFERROR(INDEX(Daily_Account!$E$4:$E$82,MATCH($A22,Daily_Account!$A$4:$A$82,0)),"-")</f>
        <v>34</v>
      </c>
      <c r="F22" s="27" t="n">
        <f aca="false">IFERROR(INDEX(Daily_Account!$F$4:$F$82,MATCH($A22,Daily_Account!$A$4:$A$82,0)),"-")</f>
        <v>49</v>
      </c>
      <c r="G22" s="28" t="n">
        <f aca="false">IFERROR(INDEX(Daily_Account!$G$4:$G$82,MATCH($A22,Daily_Account!$A$4:$A$82,0)),"-")</f>
        <v>-38</v>
      </c>
      <c r="H22" s="29" t="n">
        <f aca="false">IFERROR(INDEX(Daily_Account!$H$4:$H$82,MATCH($A22,Daily_Account!$A$4:$A$82,0)),"-")</f>
        <v>-0.436781609195402</v>
      </c>
      <c r="I22" s="30" t="n">
        <f aca="false">IFERROR(INDEX(Daily_Account!$I$4:$I$82,MATCH($A22,Daily_Account!$A$4:$A$82,0)),"-")</f>
        <v>67</v>
      </c>
      <c r="J22" s="29" t="n">
        <f aca="false">IFERROR(INDEX(Daily_Account!$J$4:$J$82,MATCH($A22,Daily_Account!$A$4:$A$82,0)),"-")</f>
        <v>-0.0392156862745098</v>
      </c>
      <c r="K22" s="26" t="n">
        <f aca="false">IFERROR(INDEX(Daily_Account!$K$4:$K$82,MATCH($A22,Daily_Account!$A$4:$A$82,0)),"-")</f>
        <v>23</v>
      </c>
      <c r="L22" s="31" t="n">
        <f aca="false">IFERROR(INDEX(Daily_Account!$L$4:$L$82,MATCH($A22,Daily_Account!$A$4:$A$82,0)),"-")</f>
        <v>2.1304347826087</v>
      </c>
      <c r="M22" s="32" t="n">
        <f aca="false">IFERROR(INDEX(Daily_Account!$O$4:$O$82,MATCH($A22,Daily_Account!$A$4:$A$82,0)),"-")</f>
        <v>0.0714285714285714</v>
      </c>
      <c r="N22" s="32" t="n">
        <f aca="false">IFERROR(INDEX(Daily_Account!$R$4:$R$82,MATCH($A22,Daily_Account!$A$4:$A$82,0)),"-")</f>
        <v>0.833333333333333</v>
      </c>
    </row>
    <row r="23" customFormat="false" ht="15" hidden="false" customHeight="false" outlineLevel="0" collapsed="false">
      <c r="A23" s="25" t="n">
        <f aca="false">$C$6-3</f>
        <v>46300</v>
      </c>
      <c r="B23" s="26" t="str">
        <f aca="false">IFERROR(INDEX(Daily_Account!$B$4:$B$82,MATCH($A23,Daily_Account!$A$4:$A$82,0)),"-")</f>
        <v>Mon</v>
      </c>
      <c r="C23" s="26" t="n">
        <f aca="false">IFERROR(INDEX(Daily_Account!$C$4:$C$82,MATCH($A23,Daily_Account!$A$4:$A$82,0)),"-")</f>
        <v>58</v>
      </c>
      <c r="D23" s="26" t="n">
        <f aca="false">IFERROR(INDEX(Daily_Account!$D$4:$D$82,MATCH($A23,Daily_Account!$A$4:$A$82,0)),"-")</f>
        <v>18</v>
      </c>
      <c r="E23" s="26" t="n">
        <f aca="false">IFERROR(INDEX(Daily_Account!$E$4:$E$82,MATCH($A23,Daily_Account!$A$4:$A$82,0)),"-")</f>
        <v>51</v>
      </c>
      <c r="F23" s="27" t="n">
        <f aca="false">IFERROR(INDEX(Daily_Account!$F$4:$F$82,MATCH($A23,Daily_Account!$A$4:$A$82,0)),"-")</f>
        <v>69</v>
      </c>
      <c r="G23" s="28" t="n">
        <f aca="false">IFERROR(INDEX(Daily_Account!$G$4:$G$82,MATCH($A23,Daily_Account!$A$4:$A$82,0)),"-")</f>
        <v>20</v>
      </c>
      <c r="H23" s="29" t="n">
        <f aca="false">IFERROR(INDEX(Daily_Account!$H$4:$H$82,MATCH($A23,Daily_Account!$A$4:$A$82,0)),"-")</f>
        <v>0.408163265306122</v>
      </c>
      <c r="I23" s="30" t="n">
        <f aca="false">IFERROR(INDEX(Daily_Account!$I$4:$I$82,MATCH($A23,Daily_Account!$A$4:$A$82,0)),"-")</f>
        <v>66.5714285714286</v>
      </c>
      <c r="J23" s="29" t="n">
        <f aca="false">IFERROR(INDEX(Daily_Account!$J$4:$J$82,MATCH($A23,Daily_Account!$A$4:$A$82,0)),"-")</f>
        <v>-0.0416666666666667</v>
      </c>
      <c r="K23" s="26" t="n">
        <f aca="false">IFERROR(INDEX(Daily_Account!$K$4:$K$82,MATCH($A23,Daily_Account!$A$4:$A$82,0)),"-")</f>
        <v>40</v>
      </c>
      <c r="L23" s="31" t="n">
        <f aca="false">IFERROR(INDEX(Daily_Account!$L$4:$L$82,MATCH($A23,Daily_Account!$A$4:$A$82,0)),"-")</f>
        <v>1.725</v>
      </c>
      <c r="M23" s="32" t="n">
        <f aca="false">IFERROR(INDEX(Daily_Account!$O$4:$O$82,MATCH($A23,Daily_Account!$A$4:$A$82,0)),"-")</f>
        <v>0.4</v>
      </c>
      <c r="N23" s="32" t="n">
        <f aca="false">IFERROR(INDEX(Daily_Account!$R$4:$R$82,MATCH($A23,Daily_Account!$A$4:$A$82,0)),"-")</f>
        <v>0.733333333333333</v>
      </c>
    </row>
    <row r="24" customFormat="false" ht="15" hidden="false" customHeight="false" outlineLevel="0" collapsed="false">
      <c r="A24" s="25" t="n">
        <f aca="false">$C$6-2</f>
        <v>46301</v>
      </c>
      <c r="B24" s="26" t="str">
        <f aca="false">IFERROR(INDEX(Daily_Account!$B$4:$B$82,MATCH($A24,Daily_Account!$A$4:$A$82,0)),"-")</f>
        <v>Tue</v>
      </c>
      <c r="C24" s="26" t="n">
        <f aca="false">IFERROR(INDEX(Daily_Account!$C$4:$C$82,MATCH($A24,Daily_Account!$A$4:$A$82,0)),"-")</f>
        <v>51</v>
      </c>
      <c r="D24" s="26" t="n">
        <f aca="false">IFERROR(INDEX(Daily_Account!$D$4:$D$82,MATCH($A24,Daily_Account!$A$4:$A$82,0)),"-")</f>
        <v>19</v>
      </c>
      <c r="E24" s="26" t="n">
        <f aca="false">IFERROR(INDEX(Daily_Account!$E$4:$E$82,MATCH($A24,Daily_Account!$A$4:$A$82,0)),"-")</f>
        <v>34</v>
      </c>
      <c r="F24" s="27" t="n">
        <f aca="false">IFERROR(INDEX(Daily_Account!$F$4:$F$82,MATCH($A24,Daily_Account!$A$4:$A$82,0)),"-")</f>
        <v>53</v>
      </c>
      <c r="G24" s="28" t="n">
        <f aca="false">IFERROR(INDEX(Daily_Account!$G$4:$G$82,MATCH($A24,Daily_Account!$A$4:$A$82,0)),"-")</f>
        <v>-16</v>
      </c>
      <c r="H24" s="29" t="n">
        <f aca="false">IFERROR(INDEX(Daily_Account!$H$4:$H$82,MATCH($A24,Daily_Account!$A$4:$A$82,0)),"-")</f>
        <v>-0.231884057971015</v>
      </c>
      <c r="I24" s="30" t="n">
        <f aca="false">IFERROR(INDEX(Daily_Account!$I$4:$I$82,MATCH($A24,Daily_Account!$A$4:$A$82,0)),"-")</f>
        <v>62.8571428571429</v>
      </c>
      <c r="J24" s="29" t="n">
        <f aca="false">IFERROR(INDEX(Daily_Account!$J$4:$J$82,MATCH($A24,Daily_Account!$A$4:$A$82,0)),"-")</f>
        <v>-0.329113924050633</v>
      </c>
      <c r="K24" s="26" t="n">
        <f aca="false">IFERROR(INDEX(Daily_Account!$K$4:$K$82,MATCH($A24,Daily_Account!$A$4:$A$82,0)),"-")</f>
        <v>38</v>
      </c>
      <c r="L24" s="31" t="n">
        <f aca="false">IFERROR(INDEX(Daily_Account!$L$4:$L$82,MATCH($A24,Daily_Account!$A$4:$A$82,0)),"-")</f>
        <v>1.39473684210526</v>
      </c>
      <c r="M24" s="32" t="n">
        <f aca="false">IFERROR(INDEX(Daily_Account!$O$4:$O$82,MATCH($A24,Daily_Account!$A$4:$A$82,0)),"-")</f>
        <v>0.105263157894737</v>
      </c>
      <c r="N24" s="32" t="n">
        <f aca="false">IFERROR(INDEX(Daily_Account!$R$4:$R$82,MATCH($A24,Daily_Account!$A$4:$A$82,0)),"-")</f>
        <v>0.5</v>
      </c>
    </row>
    <row r="25" customFormat="false" ht="15" hidden="false" customHeight="false" outlineLevel="0" collapsed="false">
      <c r="A25" s="25" t="n">
        <f aca="false">$C$6-1</f>
        <v>46302</v>
      </c>
      <c r="B25" s="26" t="str">
        <f aca="false">IFERROR(INDEX(Daily_Account!$B$4:$B$82,MATCH($A25,Daily_Account!$A$4:$A$82,0)),"-")</f>
        <v>Wed</v>
      </c>
      <c r="C25" s="26" t="n">
        <f aca="false">IFERROR(INDEX(Daily_Account!$C$4:$C$82,MATCH($A25,Daily_Account!$A$4:$A$82,0)),"-")</f>
        <v>108</v>
      </c>
      <c r="D25" s="26" t="n">
        <f aca="false">IFERROR(INDEX(Daily_Account!$D$4:$D$82,MATCH($A25,Daily_Account!$A$4:$A$82,0)),"-")</f>
        <v>28</v>
      </c>
      <c r="E25" s="26" t="n">
        <f aca="false">IFERROR(INDEX(Daily_Account!$E$4:$E$82,MATCH($A25,Daily_Account!$A$4:$A$82,0)),"-")</f>
        <v>97</v>
      </c>
      <c r="F25" s="27" t="n">
        <f aca="false">IFERROR(INDEX(Daily_Account!$F$4:$F$82,MATCH($A25,Daily_Account!$A$4:$A$82,0)),"-")</f>
        <v>125</v>
      </c>
      <c r="G25" s="28" t="n">
        <f aca="false">IFERROR(INDEX(Daily_Account!$G$4:$G$82,MATCH($A25,Daily_Account!$A$4:$A$82,0)),"-")</f>
        <v>72</v>
      </c>
      <c r="H25" s="29" t="n">
        <f aca="false">IFERROR(INDEX(Daily_Account!$H$4:$H$82,MATCH($A25,Daily_Account!$A$4:$A$82,0)),"-")</f>
        <v>1.35849056603774</v>
      </c>
      <c r="I25" s="30" t="n">
        <f aca="false">IFERROR(INDEX(Daily_Account!$I$4:$I$82,MATCH($A25,Daily_Account!$A$4:$A$82,0)),"-")</f>
        <v>70.5714285714286</v>
      </c>
      <c r="J25" s="29" t="n">
        <f aca="false">IFERROR(INDEX(Daily_Account!$J$4:$J$82,MATCH($A25,Daily_Account!$A$4:$A$82,0)),"-")</f>
        <v>0.76056338028169</v>
      </c>
      <c r="K25" s="26" t="n">
        <f aca="false">IFERROR(INDEX(Daily_Account!$K$4:$K$82,MATCH($A25,Daily_Account!$A$4:$A$82,0)),"-")</f>
        <v>69</v>
      </c>
      <c r="L25" s="31" t="n">
        <f aca="false">IFERROR(INDEX(Daily_Account!$L$4:$L$82,MATCH($A25,Daily_Account!$A$4:$A$82,0)),"-")</f>
        <v>1.81159420289855</v>
      </c>
      <c r="M25" s="32" t="n">
        <f aca="false">IFERROR(INDEX(Daily_Account!$O$4:$O$82,MATCH($A25,Daily_Account!$A$4:$A$82,0)),"-")</f>
        <v>0.269230769230769</v>
      </c>
      <c r="N25" s="32" t="n">
        <f aca="false">IFERROR(INDEX(Daily_Account!$R$4:$R$82,MATCH($A25,Daily_Account!$A$4:$A$82,0)),"-")</f>
        <v>0.576923076923077</v>
      </c>
    </row>
    <row r="26" customFormat="false" ht="15" hidden="false" customHeight="false" outlineLevel="0" collapsed="false">
      <c r="A26" s="25" t="n">
        <f aca="false">$C$6-0</f>
        <v>46303</v>
      </c>
      <c r="B26" s="26" t="str">
        <f aca="false">IFERROR(INDEX(Daily_Account!$B$4:$B$82,MATCH($A26,Daily_Account!$A$4:$A$82,0)),"-")</f>
        <v>Thu</v>
      </c>
      <c r="C26" s="26" t="n">
        <f aca="false">IFERROR(INDEX(Daily_Account!$C$4:$C$82,MATCH($A26,Daily_Account!$A$4:$A$82,0)),"-")</f>
        <v>105</v>
      </c>
      <c r="D26" s="26" t="n">
        <f aca="false">IFERROR(INDEX(Daily_Account!$D$4:$D$82,MATCH($A26,Daily_Account!$A$4:$A$82,0)),"-")</f>
        <v>24</v>
      </c>
      <c r="E26" s="26" t="n">
        <f aca="false">IFERROR(INDEX(Daily_Account!$E$4:$E$82,MATCH($A26,Daily_Account!$A$4:$A$82,0)),"-")</f>
        <v>99</v>
      </c>
      <c r="F26" s="27" t="n">
        <f aca="false">IFERROR(INDEX(Daily_Account!$F$4:$F$82,MATCH($A26,Daily_Account!$A$4:$A$82,0)),"-")</f>
        <v>123</v>
      </c>
      <c r="G26" s="28" t="n">
        <f aca="false">IFERROR(INDEX(Daily_Account!$G$4:$G$82,MATCH($A26,Daily_Account!$A$4:$A$82,0)),"-")</f>
        <v>-2</v>
      </c>
      <c r="H26" s="29" t="n">
        <f aca="false">IFERROR(INDEX(Daily_Account!$H$4:$H$82,MATCH($A26,Daily_Account!$A$4:$A$82,0)),"-")</f>
        <v>-0.016</v>
      </c>
      <c r="I26" s="30" t="n">
        <f aca="false">IFERROR(INDEX(Daily_Account!$I$4:$I$82,MATCH($A26,Daily_Account!$A$4:$A$82,0)),"-")</f>
        <v>80.7142857142857</v>
      </c>
      <c r="J26" s="29" t="n">
        <f aca="false">IFERROR(INDEX(Daily_Account!$J$4:$J$82,MATCH($A26,Daily_Account!$A$4:$A$82,0)),"-")</f>
        <v>1.36538461538462</v>
      </c>
      <c r="K26" s="26" t="n">
        <f aca="false">IFERROR(INDEX(Daily_Account!$K$4:$K$82,MATCH($A26,Daily_Account!$A$4:$A$82,0)),"-")</f>
        <v>68</v>
      </c>
      <c r="L26" s="31" t="n">
        <f aca="false">IFERROR(INDEX(Daily_Account!$L$4:$L$82,MATCH($A26,Daily_Account!$A$4:$A$82,0)),"-")</f>
        <v>1.80882352941176</v>
      </c>
      <c r="M26" s="32" t="n">
        <f aca="false">IFERROR(INDEX(Daily_Account!$O$4:$O$82,MATCH($A26,Daily_Account!$A$4:$A$82,0)),"-")</f>
        <v>0.217391304347826</v>
      </c>
      <c r="N26" s="32" t="n">
        <f aca="false">IFERROR(INDEX(Daily_Account!$R$4:$R$82,MATCH($A26,Daily_Account!$A$4:$A$82,0)),"-")</f>
        <v>0.454545454545455</v>
      </c>
    </row>
    <row r="27" customFormat="false" ht="15" hidden="false" customHeight="false" outlineLevel="0" collapsed="false">
      <c r="A27" s="3"/>
      <c r="B27" s="3"/>
      <c r="C27" s="3"/>
      <c r="D27" s="3"/>
      <c r="E27" s="3"/>
      <c r="F27" s="3"/>
      <c r="G27" s="3"/>
      <c r="H27" s="3"/>
      <c r="I27" s="3"/>
      <c r="J27" s="3"/>
      <c r="K27" s="3"/>
      <c r="L27" s="3"/>
      <c r="M27" s="3"/>
      <c r="N27" s="3"/>
    </row>
    <row r="28" customFormat="false" ht="19.5" hidden="false" customHeight="true" outlineLevel="0" collapsed="false">
      <c r="A28" s="4" t="s">
        <v>36</v>
      </c>
      <c r="B28" s="4"/>
      <c r="C28" s="4"/>
      <c r="D28" s="4"/>
      <c r="E28" s="4"/>
      <c r="F28" s="4"/>
      <c r="G28" s="4"/>
      <c r="H28" s="4"/>
      <c r="I28" s="4"/>
      <c r="J28" s="4"/>
      <c r="K28" s="4"/>
      <c r="L28" s="4"/>
      <c r="M28" s="4"/>
      <c r="N28" s="4"/>
    </row>
    <row r="29" customFormat="false" ht="30" hidden="false" customHeight="true" outlineLevel="0" collapsed="false">
      <c r="A29" s="24" t="s">
        <v>37</v>
      </c>
      <c r="B29" s="24" t="s">
        <v>13</v>
      </c>
      <c r="C29" s="24" t="s">
        <v>10</v>
      </c>
      <c r="D29" s="24" t="s">
        <v>38</v>
      </c>
      <c r="E29" s="24" t="s">
        <v>6</v>
      </c>
      <c r="F29" s="24" t="s">
        <v>4</v>
      </c>
      <c r="G29" s="24" t="s">
        <v>5</v>
      </c>
      <c r="H29" s="24" t="s">
        <v>3</v>
      </c>
      <c r="I29" s="24" t="s">
        <v>39</v>
      </c>
      <c r="J29" s="24" t="s">
        <v>7</v>
      </c>
      <c r="K29" s="24" t="s">
        <v>40</v>
      </c>
      <c r="L29" s="24" t="s">
        <v>41</v>
      </c>
      <c r="M29" s="24" t="s">
        <v>42</v>
      </c>
      <c r="N29" s="24" t="s">
        <v>43</v>
      </c>
    </row>
    <row r="30" customFormat="false" ht="15" hidden="false" customHeight="false" outlineLevel="0" collapsed="false">
      <c r="A30" s="33" t="n">
        <f aca="false">IF(H30=0,"-",RANK(H30,$H$30:$H$43))</f>
        <v>3</v>
      </c>
      <c r="B30" s="27" t="s">
        <v>44</v>
      </c>
      <c r="C30" s="26" t="s">
        <v>45</v>
      </c>
      <c r="D30" s="26" t="n">
        <f aca="false">COUNTIF(Roster!$D$2:$D$251,$B30)</f>
        <v>23</v>
      </c>
      <c r="E30" s="26" t="n">
        <f aca="false">SUMIFS(Sales_Data!$AE$2:$AE$3520,Sales_Data!$C$2:$C$3520,"&gt;="&amp;$C$5,Sales_Data!$C$2:$C$3520,"&lt;="&amp;$C$6,Sales_Data!$H$2:$H$3520,$B30,Sales_Data!$I$2:$I$3520,$C$15)</f>
        <v>67</v>
      </c>
      <c r="F30" s="26" t="n">
        <f aca="false">SUMIFS(Sales_Data!$M$2:$M$3520,Sales_Data!$C$2:$C$3520,"&gt;="&amp;$C$5,Sales_Data!$C$2:$C$3520,"&lt;="&amp;$C$6,Sales_Data!$H$2:$H$3520,$B30,Sales_Data!$I$2:$I$3520,$C$15,Sales_Data!$AE$2:$AE$3520,1)</f>
        <v>17</v>
      </c>
      <c r="G30" s="26" t="n">
        <f aca="false">SUMIFS(Sales_Data!$N$2:$N$3520,Sales_Data!$C$2:$C$3520,"&gt;="&amp;$C$5,Sales_Data!$C$2:$C$3520,"&lt;="&amp;$C$6,Sales_Data!$H$2:$H$3520,$B30,Sales_Data!$I$2:$I$3520,$C$15,Sales_Data!$AE$2:$AE$3520,1)</f>
        <v>58</v>
      </c>
      <c r="H30" s="27" t="n">
        <f aca="false">F30+G30</f>
        <v>75</v>
      </c>
      <c r="I30" s="31" t="n">
        <f aca="false">IFERROR(H30/D30,0)</f>
        <v>3.26086956521739</v>
      </c>
      <c r="J30" s="26" t="n">
        <f aca="false">COUNTIFS(Agent_Summary!$C$5:$C$254,$B30,Agent_Summary!$D$5:$D$254,$C$15,Agent_Summary!$K$5:$K$254,"&gt;0")</f>
        <v>18</v>
      </c>
      <c r="K30" s="32" t="n">
        <f aca="false">IFERROR(J30/D30,0)</f>
        <v>0.782608695652174</v>
      </c>
      <c r="L30" s="26" t="n">
        <f aca="false">SUMIFS(Sales_Data!$O$2:$O$3520,Sales_Data!$C$2:$C$3520,"&gt;="&amp;$C$12,Sales_Data!$C$2:$C$3520,"&lt;="&amp;$C$13,Sales_Data!$H$2:$H$3520,$B30,Sales_Data!$I$2:$I$3520,$C$15,Sales_Data!$AE$2:$AE$3520,1)</f>
        <v>78</v>
      </c>
      <c r="M30" s="28" t="n">
        <f aca="false">H30-L30</f>
        <v>-3</v>
      </c>
      <c r="N30" s="29" t="n">
        <f aca="false">IF(L30=0,"-",(H30-L30)/L30)</f>
        <v>-0.0384615384615385</v>
      </c>
    </row>
    <row r="31" customFormat="false" ht="15" hidden="false" customHeight="false" outlineLevel="0" collapsed="false">
      <c r="A31" s="33" t="n">
        <f aca="false">IF(H31=0,"-",RANK(H31,$H$30:$H$43))</f>
        <v>7</v>
      </c>
      <c r="B31" s="27" t="s">
        <v>46</v>
      </c>
      <c r="C31" s="26" t="s">
        <v>47</v>
      </c>
      <c r="D31" s="26" t="n">
        <f aca="false">COUNTIF(Roster!$D$2:$D$251,$B31)</f>
        <v>16</v>
      </c>
      <c r="E31" s="26" t="n">
        <f aca="false">SUMIFS(Sales_Data!$AE$2:$AE$3520,Sales_Data!$C$2:$C$3520,"&gt;="&amp;$C$5,Sales_Data!$C$2:$C$3520,"&lt;="&amp;$C$6,Sales_Data!$H$2:$H$3520,$B31,Sales_Data!$I$2:$I$3520,$C$15)</f>
        <v>31</v>
      </c>
      <c r="F31" s="26" t="n">
        <f aca="false">SUMIFS(Sales_Data!$M$2:$M$3520,Sales_Data!$C$2:$C$3520,"&gt;="&amp;$C$5,Sales_Data!$C$2:$C$3520,"&lt;="&amp;$C$6,Sales_Data!$H$2:$H$3520,$B31,Sales_Data!$I$2:$I$3520,$C$15,Sales_Data!$AE$2:$AE$3520,1)</f>
        <v>8</v>
      </c>
      <c r="G31" s="26" t="n">
        <f aca="false">SUMIFS(Sales_Data!$N$2:$N$3520,Sales_Data!$C$2:$C$3520,"&gt;="&amp;$C$5,Sales_Data!$C$2:$C$3520,"&lt;="&amp;$C$6,Sales_Data!$H$2:$H$3520,$B31,Sales_Data!$I$2:$I$3520,$C$15,Sales_Data!$AE$2:$AE$3520,1)</f>
        <v>34</v>
      </c>
      <c r="H31" s="27" t="n">
        <f aca="false">F31+G31</f>
        <v>42</v>
      </c>
      <c r="I31" s="31" t="n">
        <f aca="false">IFERROR(H31/D31,0)</f>
        <v>2.625</v>
      </c>
      <c r="J31" s="26" t="n">
        <f aca="false">COUNTIFS(Agent_Summary!$C$5:$C$254,$B31,Agent_Summary!$D$5:$D$254,$C$15,Agent_Summary!$K$5:$K$254,"&gt;0")</f>
        <v>13</v>
      </c>
      <c r="K31" s="32" t="n">
        <f aca="false">IFERROR(J31/D31,0)</f>
        <v>0.8125</v>
      </c>
      <c r="L31" s="26" t="n">
        <f aca="false">SUMIFS(Sales_Data!$O$2:$O$3520,Sales_Data!$C$2:$C$3520,"&gt;="&amp;$C$12,Sales_Data!$C$2:$C$3520,"&lt;="&amp;$C$13,Sales_Data!$H$2:$H$3520,$B31,Sales_Data!$I$2:$I$3520,$C$15,Sales_Data!$AE$2:$AE$3520,1)</f>
        <v>36</v>
      </c>
      <c r="M31" s="28" t="n">
        <f aca="false">H31-L31</f>
        <v>6</v>
      </c>
      <c r="N31" s="29" t="n">
        <f aca="false">IF(L31=0,"-",(H31-L31)/L31)</f>
        <v>0.166666666666667</v>
      </c>
    </row>
    <row r="32" customFormat="false" ht="15" hidden="false" customHeight="false" outlineLevel="0" collapsed="false">
      <c r="A32" s="33" t="n">
        <f aca="false">IF(H32=0,"-",RANK(H32,$H$30:$H$43))</f>
        <v>8</v>
      </c>
      <c r="B32" s="27" t="s">
        <v>48</v>
      </c>
      <c r="C32" s="26" t="s">
        <v>49</v>
      </c>
      <c r="D32" s="26" t="n">
        <f aca="false">COUNTIF(Roster!$D$2:$D$251,$B32)</f>
        <v>13</v>
      </c>
      <c r="E32" s="26" t="n">
        <f aca="false">SUMIFS(Sales_Data!$AE$2:$AE$3520,Sales_Data!$C$2:$C$3520,"&gt;="&amp;$C$5,Sales_Data!$C$2:$C$3520,"&lt;="&amp;$C$6,Sales_Data!$H$2:$H$3520,$B32,Sales_Data!$I$2:$I$3520,$C$15)</f>
        <v>25</v>
      </c>
      <c r="F32" s="26" t="n">
        <f aca="false">SUMIFS(Sales_Data!$M$2:$M$3520,Sales_Data!$C$2:$C$3520,"&gt;="&amp;$C$5,Sales_Data!$C$2:$C$3520,"&lt;="&amp;$C$6,Sales_Data!$H$2:$H$3520,$B32,Sales_Data!$I$2:$I$3520,$C$15,Sales_Data!$AE$2:$AE$3520,1)</f>
        <v>10</v>
      </c>
      <c r="G32" s="26" t="n">
        <f aca="false">SUMIFS(Sales_Data!$N$2:$N$3520,Sales_Data!$C$2:$C$3520,"&gt;="&amp;$C$5,Sales_Data!$C$2:$C$3520,"&lt;="&amp;$C$6,Sales_Data!$H$2:$H$3520,$B32,Sales_Data!$I$2:$I$3520,$C$15,Sales_Data!$AE$2:$AE$3520,1)</f>
        <v>15</v>
      </c>
      <c r="H32" s="27" t="n">
        <f aca="false">F32+G32</f>
        <v>25</v>
      </c>
      <c r="I32" s="31" t="n">
        <f aca="false">IFERROR(H32/D32,0)</f>
        <v>1.92307692307692</v>
      </c>
      <c r="J32" s="26" t="n">
        <f aca="false">COUNTIFS(Agent_Summary!$C$5:$C$254,$B32,Agent_Summary!$D$5:$D$254,$C$15,Agent_Summary!$K$5:$K$254,"&gt;0")</f>
        <v>11</v>
      </c>
      <c r="K32" s="32" t="n">
        <f aca="false">IFERROR(J32/D32,0)</f>
        <v>0.846153846153846</v>
      </c>
      <c r="L32" s="26" t="n">
        <f aca="false">SUMIFS(Sales_Data!$O$2:$O$3520,Sales_Data!$C$2:$C$3520,"&gt;="&amp;$C$12,Sales_Data!$C$2:$C$3520,"&lt;="&amp;$C$13,Sales_Data!$H$2:$H$3520,$B32,Sales_Data!$I$2:$I$3520,$C$15,Sales_Data!$AE$2:$AE$3520,1)</f>
        <v>23</v>
      </c>
      <c r="M32" s="28" t="n">
        <f aca="false">H32-L32</f>
        <v>2</v>
      </c>
      <c r="N32" s="29" t="n">
        <f aca="false">IF(L32=0,"-",(H32-L32)/L32)</f>
        <v>0.0869565217391304</v>
      </c>
    </row>
    <row r="33" customFormat="false" ht="15" hidden="false" customHeight="false" outlineLevel="0" collapsed="false">
      <c r="A33" s="33" t="n">
        <f aca="false">IF(H33=0,"-",RANK(H33,$H$30:$H$43))</f>
        <v>11</v>
      </c>
      <c r="B33" s="27" t="s">
        <v>50</v>
      </c>
      <c r="C33" s="26" t="s">
        <v>49</v>
      </c>
      <c r="D33" s="26" t="n">
        <f aca="false">COUNTIF(Roster!$D$2:$D$251,$B33)</f>
        <v>15</v>
      </c>
      <c r="E33" s="26" t="n">
        <f aca="false">SUMIFS(Sales_Data!$AE$2:$AE$3520,Sales_Data!$C$2:$C$3520,"&gt;="&amp;$C$5,Sales_Data!$C$2:$C$3520,"&lt;="&amp;$C$6,Sales_Data!$H$2:$H$3520,$B33,Sales_Data!$I$2:$I$3520,$C$15)</f>
        <v>14</v>
      </c>
      <c r="F33" s="26" t="n">
        <f aca="false">SUMIFS(Sales_Data!$M$2:$M$3520,Sales_Data!$C$2:$C$3520,"&gt;="&amp;$C$5,Sales_Data!$C$2:$C$3520,"&lt;="&amp;$C$6,Sales_Data!$H$2:$H$3520,$B33,Sales_Data!$I$2:$I$3520,$C$15,Sales_Data!$AE$2:$AE$3520,1)</f>
        <v>6</v>
      </c>
      <c r="G33" s="26" t="n">
        <f aca="false">SUMIFS(Sales_Data!$N$2:$N$3520,Sales_Data!$C$2:$C$3520,"&gt;="&amp;$C$5,Sales_Data!$C$2:$C$3520,"&lt;="&amp;$C$6,Sales_Data!$H$2:$H$3520,$B33,Sales_Data!$I$2:$I$3520,$C$15,Sales_Data!$AE$2:$AE$3520,1)</f>
        <v>10</v>
      </c>
      <c r="H33" s="27" t="n">
        <f aca="false">F33+G33</f>
        <v>16</v>
      </c>
      <c r="I33" s="31" t="n">
        <f aca="false">IFERROR(H33/D33,0)</f>
        <v>1.06666666666667</v>
      </c>
      <c r="J33" s="26" t="n">
        <f aca="false">COUNTIFS(Agent_Summary!$C$5:$C$254,$B33,Agent_Summary!$D$5:$D$254,$C$15,Agent_Summary!$K$5:$K$254,"&gt;0")</f>
        <v>6</v>
      </c>
      <c r="K33" s="32" t="n">
        <f aca="false">IFERROR(J33/D33,0)</f>
        <v>0.4</v>
      </c>
      <c r="L33" s="26" t="n">
        <f aca="false">SUMIFS(Sales_Data!$O$2:$O$3520,Sales_Data!$C$2:$C$3520,"&gt;="&amp;$C$12,Sales_Data!$C$2:$C$3520,"&lt;="&amp;$C$13,Sales_Data!$H$2:$H$3520,$B33,Sales_Data!$I$2:$I$3520,$C$15,Sales_Data!$AE$2:$AE$3520,1)</f>
        <v>3</v>
      </c>
      <c r="M33" s="28" t="n">
        <f aca="false">H33-L33</f>
        <v>13</v>
      </c>
      <c r="N33" s="29" t="n">
        <f aca="false">IF(L33=0,"-",(H33-L33)/L33)</f>
        <v>4.33333333333333</v>
      </c>
    </row>
    <row r="34" customFormat="false" ht="15" hidden="false" customHeight="false" outlineLevel="0" collapsed="false">
      <c r="A34" s="33" t="n">
        <f aca="false">IF(H34=0,"-",RANK(H34,$H$30:$H$43))</f>
        <v>8</v>
      </c>
      <c r="B34" s="27" t="s">
        <v>51</v>
      </c>
      <c r="C34" s="26" t="s">
        <v>47</v>
      </c>
      <c r="D34" s="26" t="n">
        <f aca="false">COUNTIF(Roster!$D$2:$D$251,$B34)</f>
        <v>17</v>
      </c>
      <c r="E34" s="26" t="n">
        <f aca="false">SUMIFS(Sales_Data!$AE$2:$AE$3520,Sales_Data!$C$2:$C$3520,"&gt;="&amp;$C$5,Sales_Data!$C$2:$C$3520,"&lt;="&amp;$C$6,Sales_Data!$H$2:$H$3520,$B34,Sales_Data!$I$2:$I$3520,$C$15)</f>
        <v>24</v>
      </c>
      <c r="F34" s="26" t="n">
        <f aca="false">SUMIFS(Sales_Data!$M$2:$M$3520,Sales_Data!$C$2:$C$3520,"&gt;="&amp;$C$5,Sales_Data!$C$2:$C$3520,"&lt;="&amp;$C$6,Sales_Data!$H$2:$H$3520,$B34,Sales_Data!$I$2:$I$3520,$C$15,Sales_Data!$AE$2:$AE$3520,1)</f>
        <v>6</v>
      </c>
      <c r="G34" s="26" t="n">
        <f aca="false">SUMIFS(Sales_Data!$N$2:$N$3520,Sales_Data!$C$2:$C$3520,"&gt;="&amp;$C$5,Sales_Data!$C$2:$C$3520,"&lt;="&amp;$C$6,Sales_Data!$H$2:$H$3520,$B34,Sales_Data!$I$2:$I$3520,$C$15,Sales_Data!$AE$2:$AE$3520,1)</f>
        <v>19</v>
      </c>
      <c r="H34" s="27" t="n">
        <f aca="false">F34+G34</f>
        <v>25</v>
      </c>
      <c r="I34" s="31" t="n">
        <f aca="false">IFERROR(H34/D34,0)</f>
        <v>1.47058823529412</v>
      </c>
      <c r="J34" s="26" t="n">
        <f aca="false">COUNTIFS(Agent_Summary!$C$5:$C$254,$B34,Agent_Summary!$D$5:$D$254,$C$15,Agent_Summary!$K$5:$K$254,"&gt;0")</f>
        <v>12</v>
      </c>
      <c r="K34" s="32" t="n">
        <f aca="false">IFERROR(J34/D34,0)</f>
        <v>0.705882352941177</v>
      </c>
      <c r="L34" s="26" t="n">
        <f aca="false">SUMIFS(Sales_Data!$O$2:$O$3520,Sales_Data!$C$2:$C$3520,"&gt;="&amp;$C$12,Sales_Data!$C$2:$C$3520,"&lt;="&amp;$C$13,Sales_Data!$H$2:$H$3520,$B34,Sales_Data!$I$2:$I$3520,$C$15,Sales_Data!$AE$2:$AE$3520,1)</f>
        <v>29</v>
      </c>
      <c r="M34" s="28" t="n">
        <f aca="false">H34-L34</f>
        <v>-4</v>
      </c>
      <c r="N34" s="29" t="n">
        <f aca="false">IF(L34=0,"-",(H34-L34)/L34)</f>
        <v>-0.137931034482759</v>
      </c>
    </row>
    <row r="35" customFormat="false" ht="15" hidden="false" customHeight="false" outlineLevel="0" collapsed="false">
      <c r="A35" s="33" t="n">
        <f aca="false">IF(H35=0,"-",RANK(H35,$H$30:$H$43))</f>
        <v>6</v>
      </c>
      <c r="B35" s="27" t="s">
        <v>52</v>
      </c>
      <c r="C35" s="26" t="s">
        <v>47</v>
      </c>
      <c r="D35" s="26" t="n">
        <f aca="false">COUNTIF(Roster!$D$2:$D$251,$B35)</f>
        <v>15</v>
      </c>
      <c r="E35" s="26" t="n">
        <f aca="false">SUMIFS(Sales_Data!$AE$2:$AE$3520,Sales_Data!$C$2:$C$3520,"&gt;="&amp;$C$5,Sales_Data!$C$2:$C$3520,"&lt;="&amp;$C$6,Sales_Data!$H$2:$H$3520,$B35,Sales_Data!$I$2:$I$3520,$C$15)</f>
        <v>41</v>
      </c>
      <c r="F35" s="26" t="n">
        <f aca="false">SUMIFS(Sales_Data!$M$2:$M$3520,Sales_Data!$C$2:$C$3520,"&gt;="&amp;$C$5,Sales_Data!$C$2:$C$3520,"&lt;="&amp;$C$6,Sales_Data!$H$2:$H$3520,$B35,Sales_Data!$I$2:$I$3520,$C$15,Sales_Data!$AE$2:$AE$3520,1)</f>
        <v>15</v>
      </c>
      <c r="G35" s="26" t="n">
        <f aca="false">SUMIFS(Sales_Data!$N$2:$N$3520,Sales_Data!$C$2:$C$3520,"&gt;="&amp;$C$5,Sales_Data!$C$2:$C$3520,"&lt;="&amp;$C$6,Sales_Data!$H$2:$H$3520,$B35,Sales_Data!$I$2:$I$3520,$C$15,Sales_Data!$AE$2:$AE$3520,1)</f>
        <v>32</v>
      </c>
      <c r="H35" s="27" t="n">
        <f aca="false">F35+G35</f>
        <v>47</v>
      </c>
      <c r="I35" s="31" t="n">
        <f aca="false">IFERROR(H35/D35,0)</f>
        <v>3.13333333333333</v>
      </c>
      <c r="J35" s="26" t="n">
        <f aca="false">COUNTIFS(Agent_Summary!$C$5:$C$254,$B35,Agent_Summary!$D$5:$D$254,$C$15,Agent_Summary!$K$5:$K$254,"&gt;0")</f>
        <v>10</v>
      </c>
      <c r="K35" s="32" t="n">
        <f aca="false">IFERROR(J35/D35,0)</f>
        <v>0.666666666666667</v>
      </c>
      <c r="L35" s="26" t="n">
        <f aca="false">SUMIFS(Sales_Data!$O$2:$O$3520,Sales_Data!$C$2:$C$3520,"&gt;="&amp;$C$12,Sales_Data!$C$2:$C$3520,"&lt;="&amp;$C$13,Sales_Data!$H$2:$H$3520,$B35,Sales_Data!$I$2:$I$3520,$C$15,Sales_Data!$AE$2:$AE$3520,1)</f>
        <v>46</v>
      </c>
      <c r="M35" s="28" t="n">
        <f aca="false">H35-L35</f>
        <v>1</v>
      </c>
      <c r="N35" s="29" t="n">
        <f aca="false">IF(L35=0,"-",(H35-L35)/L35)</f>
        <v>0.0217391304347826</v>
      </c>
    </row>
    <row r="36" customFormat="false" ht="15" hidden="false" customHeight="false" outlineLevel="0" collapsed="false">
      <c r="A36" s="33" t="n">
        <f aca="false">IF(H36=0,"-",RANK(H36,$H$30:$H$43))</f>
        <v>10</v>
      </c>
      <c r="B36" s="27" t="s">
        <v>53</v>
      </c>
      <c r="C36" s="26" t="s">
        <v>47</v>
      </c>
      <c r="D36" s="26" t="n">
        <f aca="false">COUNTIF(Roster!$D$2:$D$251,$B36)</f>
        <v>18</v>
      </c>
      <c r="E36" s="26" t="n">
        <f aca="false">SUMIFS(Sales_Data!$AE$2:$AE$3520,Sales_Data!$C$2:$C$3520,"&gt;="&amp;$C$5,Sales_Data!$C$2:$C$3520,"&lt;="&amp;$C$6,Sales_Data!$H$2:$H$3520,$B36,Sales_Data!$I$2:$I$3520,$C$15)</f>
        <v>17</v>
      </c>
      <c r="F36" s="26" t="n">
        <f aca="false">SUMIFS(Sales_Data!$M$2:$M$3520,Sales_Data!$C$2:$C$3520,"&gt;="&amp;$C$5,Sales_Data!$C$2:$C$3520,"&lt;="&amp;$C$6,Sales_Data!$H$2:$H$3520,$B36,Sales_Data!$I$2:$I$3520,$C$15,Sales_Data!$AE$2:$AE$3520,1)</f>
        <v>7</v>
      </c>
      <c r="G36" s="26" t="n">
        <f aca="false">SUMIFS(Sales_Data!$N$2:$N$3520,Sales_Data!$C$2:$C$3520,"&gt;="&amp;$C$5,Sales_Data!$C$2:$C$3520,"&lt;="&amp;$C$6,Sales_Data!$H$2:$H$3520,$B36,Sales_Data!$I$2:$I$3520,$C$15,Sales_Data!$AE$2:$AE$3520,1)</f>
        <v>11</v>
      </c>
      <c r="H36" s="27" t="n">
        <f aca="false">F36+G36</f>
        <v>18</v>
      </c>
      <c r="I36" s="31" t="n">
        <f aca="false">IFERROR(H36/D36,0)</f>
        <v>1</v>
      </c>
      <c r="J36" s="26" t="n">
        <f aca="false">COUNTIFS(Agent_Summary!$C$5:$C$254,$B36,Agent_Summary!$D$5:$D$254,$C$15,Agent_Summary!$K$5:$K$254,"&gt;0")</f>
        <v>8</v>
      </c>
      <c r="K36" s="32" t="n">
        <f aca="false">IFERROR(J36/D36,0)</f>
        <v>0.444444444444444</v>
      </c>
      <c r="L36" s="26" t="n">
        <f aca="false">SUMIFS(Sales_Data!$O$2:$O$3520,Sales_Data!$C$2:$C$3520,"&gt;="&amp;$C$12,Sales_Data!$C$2:$C$3520,"&lt;="&amp;$C$13,Sales_Data!$H$2:$H$3520,$B36,Sales_Data!$I$2:$I$3520,$C$15,Sales_Data!$AE$2:$AE$3520,1)</f>
        <v>4</v>
      </c>
      <c r="M36" s="28" t="n">
        <f aca="false">H36-L36</f>
        <v>14</v>
      </c>
      <c r="N36" s="29" t="n">
        <f aca="false">IF(L36=0,"-",(H36-L36)/L36)</f>
        <v>3.5</v>
      </c>
    </row>
    <row r="37" customFormat="false" ht="15" hidden="false" customHeight="false" outlineLevel="0" collapsed="false">
      <c r="A37" s="33" t="n">
        <f aca="false">IF(H37=0,"-",RANK(H37,$H$30:$H$43))</f>
        <v>12</v>
      </c>
      <c r="B37" s="27" t="s">
        <v>54</v>
      </c>
      <c r="C37" s="26" t="s">
        <v>49</v>
      </c>
      <c r="D37" s="26" t="n">
        <f aca="false">COUNTIF(Roster!$D$2:$D$251,$B37)</f>
        <v>19</v>
      </c>
      <c r="E37" s="26" t="n">
        <f aca="false">SUMIFS(Sales_Data!$AE$2:$AE$3520,Sales_Data!$C$2:$C$3520,"&gt;="&amp;$C$5,Sales_Data!$C$2:$C$3520,"&lt;="&amp;$C$6,Sales_Data!$H$2:$H$3520,$B37,Sales_Data!$I$2:$I$3520,$C$15)</f>
        <v>9</v>
      </c>
      <c r="F37" s="26" t="n">
        <f aca="false">SUMIFS(Sales_Data!$M$2:$M$3520,Sales_Data!$C$2:$C$3520,"&gt;="&amp;$C$5,Sales_Data!$C$2:$C$3520,"&lt;="&amp;$C$6,Sales_Data!$H$2:$H$3520,$B37,Sales_Data!$I$2:$I$3520,$C$15,Sales_Data!$AE$2:$AE$3520,1)</f>
        <v>5</v>
      </c>
      <c r="G37" s="26" t="n">
        <f aca="false">SUMIFS(Sales_Data!$N$2:$N$3520,Sales_Data!$C$2:$C$3520,"&gt;="&amp;$C$5,Sales_Data!$C$2:$C$3520,"&lt;="&amp;$C$6,Sales_Data!$H$2:$H$3520,$B37,Sales_Data!$I$2:$I$3520,$C$15,Sales_Data!$AE$2:$AE$3520,1)</f>
        <v>6</v>
      </c>
      <c r="H37" s="27" t="n">
        <f aca="false">F37+G37</f>
        <v>11</v>
      </c>
      <c r="I37" s="31" t="n">
        <f aca="false">IFERROR(H37/D37,0)</f>
        <v>0.578947368421053</v>
      </c>
      <c r="J37" s="26" t="n">
        <f aca="false">COUNTIFS(Agent_Summary!$C$5:$C$254,$B37,Agent_Summary!$D$5:$D$254,$C$15,Agent_Summary!$K$5:$K$254,"&gt;0")</f>
        <v>5</v>
      </c>
      <c r="K37" s="32" t="n">
        <f aca="false">IFERROR(J37/D37,0)</f>
        <v>0.263157894736842</v>
      </c>
      <c r="L37" s="26" t="n">
        <f aca="false">SUMIFS(Sales_Data!$O$2:$O$3520,Sales_Data!$C$2:$C$3520,"&gt;="&amp;$C$12,Sales_Data!$C$2:$C$3520,"&lt;="&amp;$C$13,Sales_Data!$H$2:$H$3520,$B37,Sales_Data!$I$2:$I$3520,$C$15,Sales_Data!$AE$2:$AE$3520,1)</f>
        <v>0</v>
      </c>
      <c r="M37" s="28" t="n">
        <f aca="false">H37-L37</f>
        <v>11</v>
      </c>
      <c r="N37" s="29" t="str">
        <f aca="false">IF(L37=0,"-",(H37-L37)/L37)</f>
        <v>-</v>
      </c>
    </row>
    <row r="38" customFormat="false" ht="15" hidden="false" customHeight="false" outlineLevel="0" collapsed="false">
      <c r="A38" s="33" t="n">
        <f aca="false">IF(H38=0,"-",RANK(H38,$H$30:$H$43))</f>
        <v>2</v>
      </c>
      <c r="B38" s="27" t="s">
        <v>55</v>
      </c>
      <c r="C38" s="26" t="s">
        <v>49</v>
      </c>
      <c r="D38" s="26" t="n">
        <f aca="false">COUNTIF(Roster!$D$2:$D$251,$B38)</f>
        <v>18</v>
      </c>
      <c r="E38" s="26" t="n">
        <f aca="false">SUMIFS(Sales_Data!$AE$2:$AE$3520,Sales_Data!$C$2:$C$3520,"&gt;="&amp;$C$5,Sales_Data!$C$2:$C$3520,"&lt;="&amp;$C$6,Sales_Data!$H$2:$H$3520,$B38,Sales_Data!$I$2:$I$3520,$C$15)</f>
        <v>65</v>
      </c>
      <c r="F38" s="26" t="n">
        <f aca="false">SUMIFS(Sales_Data!$M$2:$M$3520,Sales_Data!$C$2:$C$3520,"&gt;="&amp;$C$5,Sales_Data!$C$2:$C$3520,"&lt;="&amp;$C$6,Sales_Data!$H$2:$H$3520,$B38,Sales_Data!$I$2:$I$3520,$C$15,Sales_Data!$AE$2:$AE$3520,1)</f>
        <v>10</v>
      </c>
      <c r="G38" s="26" t="n">
        <f aca="false">SUMIFS(Sales_Data!$N$2:$N$3520,Sales_Data!$C$2:$C$3520,"&gt;="&amp;$C$5,Sales_Data!$C$2:$C$3520,"&lt;="&amp;$C$6,Sales_Data!$H$2:$H$3520,$B38,Sales_Data!$I$2:$I$3520,$C$15,Sales_Data!$AE$2:$AE$3520,1)</f>
        <v>66</v>
      </c>
      <c r="H38" s="27" t="n">
        <f aca="false">F38+G38</f>
        <v>76</v>
      </c>
      <c r="I38" s="31" t="n">
        <f aca="false">IFERROR(H38/D38,0)</f>
        <v>4.22222222222222</v>
      </c>
      <c r="J38" s="26" t="n">
        <f aca="false">COUNTIFS(Agent_Summary!$C$5:$C$254,$B38,Agent_Summary!$D$5:$D$254,$C$15,Agent_Summary!$K$5:$K$254,"&gt;0")</f>
        <v>16</v>
      </c>
      <c r="K38" s="32" t="n">
        <f aca="false">IFERROR(J38/D38,0)</f>
        <v>0.888888888888889</v>
      </c>
      <c r="L38" s="26" t="n">
        <f aca="false">SUMIFS(Sales_Data!$O$2:$O$3520,Sales_Data!$C$2:$C$3520,"&gt;="&amp;$C$12,Sales_Data!$C$2:$C$3520,"&lt;="&amp;$C$13,Sales_Data!$H$2:$H$3520,$B38,Sales_Data!$I$2:$I$3520,$C$15,Sales_Data!$AE$2:$AE$3520,1)</f>
        <v>28</v>
      </c>
      <c r="M38" s="28" t="n">
        <f aca="false">H38-L38</f>
        <v>48</v>
      </c>
      <c r="N38" s="29" t="n">
        <f aca="false">IF(L38=0,"-",(H38-L38)/L38)</f>
        <v>1.71428571428571</v>
      </c>
    </row>
    <row r="39" customFormat="false" ht="15" hidden="false" customHeight="false" outlineLevel="0" collapsed="false">
      <c r="A39" s="33" t="n">
        <f aca="false">IF(H39=0,"-",RANK(H39,$H$30:$H$43))</f>
        <v>13</v>
      </c>
      <c r="B39" s="27" t="s">
        <v>56</v>
      </c>
      <c r="C39" s="26" t="s">
        <v>49</v>
      </c>
      <c r="D39" s="26" t="n">
        <f aca="false">COUNTIF(Roster!$D$2:$D$251,$B39)</f>
        <v>22</v>
      </c>
      <c r="E39" s="26" t="n">
        <f aca="false">SUMIFS(Sales_Data!$AE$2:$AE$3520,Sales_Data!$C$2:$C$3520,"&gt;="&amp;$C$5,Sales_Data!$C$2:$C$3520,"&lt;="&amp;$C$6,Sales_Data!$H$2:$H$3520,$B39,Sales_Data!$I$2:$I$3520,$C$15)</f>
        <v>1</v>
      </c>
      <c r="F39" s="26" t="n">
        <f aca="false">SUMIFS(Sales_Data!$M$2:$M$3520,Sales_Data!$C$2:$C$3520,"&gt;="&amp;$C$5,Sales_Data!$C$2:$C$3520,"&lt;="&amp;$C$6,Sales_Data!$H$2:$H$3520,$B39,Sales_Data!$I$2:$I$3520,$C$15,Sales_Data!$AE$2:$AE$3520,1)</f>
        <v>0</v>
      </c>
      <c r="G39" s="26" t="n">
        <f aca="false">SUMIFS(Sales_Data!$N$2:$N$3520,Sales_Data!$C$2:$C$3520,"&gt;="&amp;$C$5,Sales_Data!$C$2:$C$3520,"&lt;="&amp;$C$6,Sales_Data!$H$2:$H$3520,$B39,Sales_Data!$I$2:$I$3520,$C$15,Sales_Data!$AE$2:$AE$3520,1)</f>
        <v>1</v>
      </c>
      <c r="H39" s="27" t="n">
        <f aca="false">F39+G39</f>
        <v>1</v>
      </c>
      <c r="I39" s="31" t="n">
        <f aca="false">IFERROR(H39/D39,0)</f>
        <v>0.0454545454545455</v>
      </c>
      <c r="J39" s="26" t="n">
        <f aca="false">COUNTIFS(Agent_Summary!$C$5:$C$254,$B39,Agent_Summary!$D$5:$D$254,$C$15,Agent_Summary!$K$5:$K$254,"&gt;0")</f>
        <v>1</v>
      </c>
      <c r="K39" s="32" t="n">
        <f aca="false">IFERROR(J39/D39,0)</f>
        <v>0.0454545454545455</v>
      </c>
      <c r="L39" s="26" t="n">
        <f aca="false">SUMIFS(Sales_Data!$O$2:$O$3520,Sales_Data!$C$2:$C$3520,"&gt;="&amp;$C$12,Sales_Data!$C$2:$C$3520,"&lt;="&amp;$C$13,Sales_Data!$H$2:$H$3520,$B39,Sales_Data!$I$2:$I$3520,$C$15,Sales_Data!$AE$2:$AE$3520,1)</f>
        <v>3</v>
      </c>
      <c r="M39" s="28" t="n">
        <f aca="false">H39-L39</f>
        <v>-2</v>
      </c>
      <c r="N39" s="29" t="n">
        <f aca="false">IF(L39=0,"-",(H39-L39)/L39)</f>
        <v>-0.666666666666667</v>
      </c>
    </row>
    <row r="40" customFormat="false" ht="15" hidden="false" customHeight="false" outlineLevel="0" collapsed="false">
      <c r="A40" s="33" t="n">
        <f aca="false">IF(H40=0,"-",RANK(H40,$H$30:$H$43))</f>
        <v>5</v>
      </c>
      <c r="B40" s="27" t="s">
        <v>57</v>
      </c>
      <c r="C40" s="26" t="s">
        <v>47</v>
      </c>
      <c r="D40" s="26" t="n">
        <f aca="false">COUNTIF(Roster!$D$2:$D$251,$B40)</f>
        <v>22</v>
      </c>
      <c r="E40" s="26" t="n">
        <f aca="false">SUMIFS(Sales_Data!$AE$2:$AE$3520,Sales_Data!$C$2:$C$3520,"&gt;="&amp;$C$5,Sales_Data!$C$2:$C$3520,"&lt;="&amp;$C$6,Sales_Data!$H$2:$H$3520,$B40,Sales_Data!$I$2:$I$3520,$C$15)</f>
        <v>43</v>
      </c>
      <c r="F40" s="26" t="n">
        <f aca="false">SUMIFS(Sales_Data!$M$2:$M$3520,Sales_Data!$C$2:$C$3520,"&gt;="&amp;$C$5,Sales_Data!$C$2:$C$3520,"&lt;="&amp;$C$6,Sales_Data!$H$2:$H$3520,$B40,Sales_Data!$I$2:$I$3520,$C$15,Sales_Data!$AE$2:$AE$3520,1)</f>
        <v>11</v>
      </c>
      <c r="G40" s="26" t="n">
        <f aca="false">SUMIFS(Sales_Data!$N$2:$N$3520,Sales_Data!$C$2:$C$3520,"&gt;="&amp;$C$5,Sales_Data!$C$2:$C$3520,"&lt;="&amp;$C$6,Sales_Data!$H$2:$H$3520,$B40,Sales_Data!$I$2:$I$3520,$C$15,Sales_Data!$AE$2:$AE$3520,1)</f>
        <v>43</v>
      </c>
      <c r="H40" s="27" t="n">
        <f aca="false">F40+G40</f>
        <v>54</v>
      </c>
      <c r="I40" s="31" t="n">
        <f aca="false">IFERROR(H40/D40,0)</f>
        <v>2.45454545454545</v>
      </c>
      <c r="J40" s="26" t="n">
        <f aca="false">COUNTIFS(Agent_Summary!$C$5:$C$254,$B40,Agent_Summary!$D$5:$D$254,$C$15,Agent_Summary!$K$5:$K$254,"&gt;0")</f>
        <v>13</v>
      </c>
      <c r="K40" s="32" t="n">
        <f aca="false">IFERROR(J40/D40,0)</f>
        <v>0.590909090909091</v>
      </c>
      <c r="L40" s="26" t="n">
        <f aca="false">SUMIFS(Sales_Data!$O$2:$O$3520,Sales_Data!$C$2:$C$3520,"&gt;="&amp;$C$12,Sales_Data!$C$2:$C$3520,"&lt;="&amp;$C$13,Sales_Data!$H$2:$H$3520,$B40,Sales_Data!$I$2:$I$3520,$C$15,Sales_Data!$AE$2:$AE$3520,1)</f>
        <v>31</v>
      </c>
      <c r="M40" s="28" t="n">
        <f aca="false">H40-L40</f>
        <v>23</v>
      </c>
      <c r="N40" s="29" t="n">
        <f aca="false">IF(L40=0,"-",(H40-L40)/L40)</f>
        <v>0.741935483870968</v>
      </c>
    </row>
    <row r="41" customFormat="false" ht="15" hidden="false" customHeight="false" outlineLevel="0" collapsed="false">
      <c r="A41" s="33" t="n">
        <f aca="false">IF(H41=0,"-",RANK(H41,$H$30:$H$43))</f>
        <v>1</v>
      </c>
      <c r="B41" s="27" t="s">
        <v>58</v>
      </c>
      <c r="C41" s="26" t="s">
        <v>49</v>
      </c>
      <c r="D41" s="26" t="n">
        <f aca="false">COUNTIF(Roster!$D$2:$D$251,$B41)</f>
        <v>17</v>
      </c>
      <c r="E41" s="26" t="n">
        <f aca="false">SUMIFS(Sales_Data!$AE$2:$AE$3520,Sales_Data!$C$2:$C$3520,"&gt;="&amp;$C$5,Sales_Data!$C$2:$C$3520,"&lt;="&amp;$C$6,Sales_Data!$H$2:$H$3520,$B41,Sales_Data!$I$2:$I$3520,$C$15)</f>
        <v>61</v>
      </c>
      <c r="F41" s="26" t="n">
        <f aca="false">SUMIFS(Sales_Data!$M$2:$M$3520,Sales_Data!$C$2:$C$3520,"&gt;="&amp;$C$5,Sales_Data!$C$2:$C$3520,"&lt;="&amp;$C$6,Sales_Data!$H$2:$H$3520,$B41,Sales_Data!$I$2:$I$3520,$C$15,Sales_Data!$AE$2:$AE$3520,1)</f>
        <v>31</v>
      </c>
      <c r="G41" s="26" t="n">
        <f aca="false">SUMIFS(Sales_Data!$N$2:$N$3520,Sales_Data!$C$2:$C$3520,"&gt;="&amp;$C$5,Sales_Data!$C$2:$C$3520,"&lt;="&amp;$C$6,Sales_Data!$H$2:$H$3520,$B41,Sales_Data!$I$2:$I$3520,$C$15,Sales_Data!$AE$2:$AE$3520,1)</f>
        <v>54</v>
      </c>
      <c r="H41" s="27" t="n">
        <f aca="false">F41+G41</f>
        <v>85</v>
      </c>
      <c r="I41" s="31" t="n">
        <f aca="false">IFERROR(H41/D41,0)</f>
        <v>5</v>
      </c>
      <c r="J41" s="26" t="n">
        <f aca="false">COUNTIFS(Agent_Summary!$C$5:$C$254,$B41,Agent_Summary!$D$5:$D$254,$C$15,Agent_Summary!$K$5:$K$254,"&gt;0")</f>
        <v>13</v>
      </c>
      <c r="K41" s="32" t="n">
        <f aca="false">IFERROR(J41/D41,0)</f>
        <v>0.764705882352941</v>
      </c>
      <c r="L41" s="26" t="n">
        <f aca="false">SUMIFS(Sales_Data!$O$2:$O$3520,Sales_Data!$C$2:$C$3520,"&gt;="&amp;$C$12,Sales_Data!$C$2:$C$3520,"&lt;="&amp;$C$13,Sales_Data!$H$2:$H$3520,$B41,Sales_Data!$I$2:$I$3520,$C$15,Sales_Data!$AE$2:$AE$3520,1)</f>
        <v>75</v>
      </c>
      <c r="M41" s="28" t="n">
        <f aca="false">H41-L41</f>
        <v>10</v>
      </c>
      <c r="N41" s="29" t="n">
        <f aca="false">IF(L41=0,"-",(H41-L41)/L41)</f>
        <v>0.133333333333333</v>
      </c>
    </row>
    <row r="42" customFormat="false" ht="15" hidden="false" customHeight="false" outlineLevel="0" collapsed="false">
      <c r="A42" s="33" t="n">
        <f aca="false">IF(H42=0,"-",RANK(H42,$H$30:$H$43))</f>
        <v>4</v>
      </c>
      <c r="B42" s="27" t="s">
        <v>59</v>
      </c>
      <c r="C42" s="26" t="s">
        <v>47</v>
      </c>
      <c r="D42" s="26" t="n">
        <f aca="false">COUNTIF(Roster!$D$2:$D$251,$B42)</f>
        <v>16</v>
      </c>
      <c r="E42" s="26" t="n">
        <f aca="false">SUMIFS(Sales_Data!$AE$2:$AE$3520,Sales_Data!$C$2:$C$3520,"&gt;="&amp;$C$5,Sales_Data!$C$2:$C$3520,"&lt;="&amp;$C$6,Sales_Data!$H$2:$H$3520,$B42,Sales_Data!$I$2:$I$3520,$C$15)</f>
        <v>51</v>
      </c>
      <c r="F42" s="26" t="n">
        <f aca="false">SUMIFS(Sales_Data!$M$2:$M$3520,Sales_Data!$C$2:$C$3520,"&gt;="&amp;$C$5,Sales_Data!$C$2:$C$3520,"&lt;="&amp;$C$6,Sales_Data!$H$2:$H$3520,$B42,Sales_Data!$I$2:$I$3520,$C$15,Sales_Data!$AE$2:$AE$3520,1)</f>
        <v>14</v>
      </c>
      <c r="G42" s="26" t="n">
        <f aca="false">SUMIFS(Sales_Data!$N$2:$N$3520,Sales_Data!$C$2:$C$3520,"&gt;="&amp;$C$5,Sales_Data!$C$2:$C$3520,"&lt;="&amp;$C$6,Sales_Data!$H$2:$H$3520,$B42,Sales_Data!$I$2:$I$3520,$C$15,Sales_Data!$AE$2:$AE$3520,1)</f>
        <v>45</v>
      </c>
      <c r="H42" s="27" t="n">
        <f aca="false">F42+G42</f>
        <v>59</v>
      </c>
      <c r="I42" s="31" t="n">
        <f aca="false">IFERROR(H42/D42,0)</f>
        <v>3.6875</v>
      </c>
      <c r="J42" s="26" t="n">
        <f aca="false">COUNTIFS(Agent_Summary!$C$5:$C$254,$B42,Agent_Summary!$D$5:$D$254,$C$15,Agent_Summary!$K$5:$K$254,"&gt;0")</f>
        <v>12</v>
      </c>
      <c r="K42" s="32" t="n">
        <f aca="false">IFERROR(J42/D42,0)</f>
        <v>0.75</v>
      </c>
      <c r="L42" s="26" t="n">
        <f aca="false">SUMIFS(Sales_Data!$O$2:$O$3520,Sales_Data!$C$2:$C$3520,"&gt;="&amp;$C$12,Sales_Data!$C$2:$C$3520,"&lt;="&amp;$C$13,Sales_Data!$H$2:$H$3520,$B42,Sales_Data!$I$2:$I$3520,$C$15,Sales_Data!$AE$2:$AE$3520,1)</f>
        <v>76</v>
      </c>
      <c r="M42" s="28" t="n">
        <f aca="false">H42-L42</f>
        <v>-17</v>
      </c>
      <c r="N42" s="29" t="n">
        <f aca="false">IF(L42=0,"-",(H42-L42)/L42)</f>
        <v>-0.223684210526316</v>
      </c>
    </row>
    <row r="43" customFormat="false" ht="15" hidden="false" customHeight="false" outlineLevel="0" collapsed="false">
      <c r="A43" s="33" t="str">
        <f aca="false">IF(H43=0,"-",RANK(H43,$H$30:$H$43))</f>
        <v>-</v>
      </c>
      <c r="B43" s="27" t="s">
        <v>60</v>
      </c>
      <c r="C43" s="26" t="s">
        <v>61</v>
      </c>
      <c r="D43" s="26" t="n">
        <f aca="false">COUNTIF(Roster!$D$2:$D$251,$B43)</f>
        <v>19</v>
      </c>
      <c r="E43" s="26" t="n">
        <f aca="false">SUMIFS(Sales_Data!$AE$2:$AE$3520,Sales_Data!$C$2:$C$3520,"&gt;="&amp;$C$5,Sales_Data!$C$2:$C$3520,"&lt;="&amp;$C$6,Sales_Data!$H$2:$H$3520,$B43,Sales_Data!$I$2:$I$3520,$C$15)</f>
        <v>0</v>
      </c>
      <c r="F43" s="26" t="n">
        <f aca="false">SUMIFS(Sales_Data!$M$2:$M$3520,Sales_Data!$C$2:$C$3520,"&gt;="&amp;$C$5,Sales_Data!$C$2:$C$3520,"&lt;="&amp;$C$6,Sales_Data!$H$2:$H$3520,$B43,Sales_Data!$I$2:$I$3520,$C$15,Sales_Data!$AE$2:$AE$3520,1)</f>
        <v>0</v>
      </c>
      <c r="G43" s="26" t="n">
        <f aca="false">SUMIFS(Sales_Data!$N$2:$N$3520,Sales_Data!$C$2:$C$3520,"&gt;="&amp;$C$5,Sales_Data!$C$2:$C$3520,"&lt;="&amp;$C$6,Sales_Data!$H$2:$H$3520,$B43,Sales_Data!$I$2:$I$3520,$C$15,Sales_Data!$AE$2:$AE$3520,1)</f>
        <v>0</v>
      </c>
      <c r="H43" s="27" t="n">
        <f aca="false">F43+G43</f>
        <v>0</v>
      </c>
      <c r="I43" s="31" t="n">
        <f aca="false">IFERROR(H43/D43,0)</f>
        <v>0</v>
      </c>
      <c r="J43" s="26" t="n">
        <f aca="false">COUNTIFS(Agent_Summary!$C$5:$C$254,$B43,Agent_Summary!$D$5:$D$254,$C$15,Agent_Summary!$K$5:$K$254,"&gt;0")</f>
        <v>0</v>
      </c>
      <c r="K43" s="32" t="n">
        <f aca="false">IFERROR(J43/D43,0)</f>
        <v>0</v>
      </c>
      <c r="L43" s="26" t="n">
        <f aca="false">SUMIFS(Sales_Data!$O$2:$O$3520,Sales_Data!$C$2:$C$3520,"&gt;="&amp;$C$12,Sales_Data!$C$2:$C$3520,"&lt;="&amp;$C$13,Sales_Data!$H$2:$H$3520,$B43,Sales_Data!$I$2:$I$3520,$C$15,Sales_Data!$AE$2:$AE$3520,1)</f>
        <v>0</v>
      </c>
      <c r="M43" s="28" t="n">
        <f aca="false">H43-L43</f>
        <v>0</v>
      </c>
      <c r="N43" s="29" t="str">
        <f aca="false">IF(L43=0,"-",(H43-L43)/L43)</f>
        <v>-</v>
      </c>
    </row>
    <row r="44" customFormat="false" ht="15" hidden="false" customHeight="false" outlineLevel="0" collapsed="false">
      <c r="A44" s="34"/>
      <c r="B44" s="5" t="s">
        <v>62</v>
      </c>
      <c r="C44" s="34"/>
      <c r="D44" s="35" t="n">
        <f aca="false">SUM(D30:D43)</f>
        <v>250</v>
      </c>
      <c r="E44" s="35" t="n">
        <f aca="false">SUM(E30:E43)</f>
        <v>449</v>
      </c>
      <c r="F44" s="35" t="n">
        <f aca="false">SUM(F30:F43)</f>
        <v>140</v>
      </c>
      <c r="G44" s="35" t="n">
        <f aca="false">SUM(G30:G43)</f>
        <v>394</v>
      </c>
      <c r="H44" s="35" t="n">
        <f aca="false">SUM(H30:H43)</f>
        <v>534</v>
      </c>
      <c r="I44" s="36" t="n">
        <f aca="false">IFERROR(H44/D44,0)</f>
        <v>2.136</v>
      </c>
      <c r="J44" s="35" t="n">
        <f aca="false">SUM(J30:J43)</f>
        <v>138</v>
      </c>
      <c r="K44" s="37" t="n">
        <f aca="false">IFERROR(J44/D44,0)</f>
        <v>0.552</v>
      </c>
      <c r="L44" s="35" t="n">
        <f aca="false">SUM(L30:L43)</f>
        <v>432</v>
      </c>
      <c r="M44" s="38" t="n">
        <f aca="false">SUM(M30:M43)</f>
        <v>102</v>
      </c>
      <c r="N44" s="39" t="n">
        <f aca="false">IF(L44=0,"-",(H44-L44)/L44)</f>
        <v>0.236111111111111</v>
      </c>
    </row>
    <row r="45" customFormat="false" ht="15" hidden="false" customHeight="false" outlineLevel="0" collapsed="false">
      <c r="A45" s="40"/>
      <c r="B45" s="41" t="s">
        <v>63</v>
      </c>
      <c r="C45" s="41"/>
      <c r="D45" s="42" t="s">
        <v>64</v>
      </c>
      <c r="E45" s="43" t="n">
        <f aca="false">SUMIFS(Sales_Data!$AE$2:$AE$3520,Sales_Data!$C$2:$C$3520,"&gt;="&amp;$C$5,Sales_Data!$C$2:$C$3520,"&lt;="&amp;$C$6,Sales_Data!$AD$2:$AD$3520,0)</f>
        <v>29</v>
      </c>
      <c r="F45" s="43" t="n">
        <f aca="false">SUMIFS(Sales_Data!$M$2:$M$3520,Sales_Data!$C$2:$C$3520,"&gt;="&amp;$C$5,Sales_Data!$C$2:$C$3520,"&lt;="&amp;$C$6,Sales_Data!$AD$2:$AD$3520,0,Sales_Data!$AE$2:$AE$3520,1)</f>
        <v>9</v>
      </c>
      <c r="G45" s="43" t="n">
        <f aca="false">SUMIFS(Sales_Data!$N$2:$N$3520,Sales_Data!$C$2:$C$3520,"&gt;="&amp;$C$5,Sales_Data!$C$2:$C$3520,"&lt;="&amp;$C$6,Sales_Data!$AD$2:$AD$3520,0,Sales_Data!$AE$2:$AE$3520,1)</f>
        <v>22</v>
      </c>
      <c r="H45" s="44" t="n">
        <f aca="false">F45+G45</f>
        <v>31</v>
      </c>
      <c r="I45" s="42" t="s">
        <v>64</v>
      </c>
      <c r="J45" s="42" t="s">
        <v>64</v>
      </c>
      <c r="K45" s="42" t="s">
        <v>64</v>
      </c>
      <c r="L45" s="43" t="n">
        <f aca="false">SUMIFS(Sales_Data!$O$2:$O$3520,Sales_Data!$C$2:$C$3520,"&gt;="&amp;$C$12,Sales_Data!$C$2:$C$3520,"&lt;="&amp;$C$13,Sales_Data!$AD$2:$AD$3520,0,Sales_Data!$AE$2:$AE$3520,1)</f>
        <v>23</v>
      </c>
      <c r="M45" s="45" t="n">
        <f aca="false">H45-L45</f>
        <v>8</v>
      </c>
      <c r="N45" s="42" t="s">
        <v>64</v>
      </c>
    </row>
    <row r="46" customFormat="false" ht="15" hidden="false" customHeight="false" outlineLevel="0" collapsed="false">
      <c r="A46" s="3"/>
      <c r="B46" s="3"/>
      <c r="C46" s="3"/>
      <c r="D46" s="3"/>
      <c r="E46" s="3"/>
      <c r="F46" s="3"/>
      <c r="G46" s="3"/>
      <c r="H46" s="3"/>
      <c r="I46" s="3"/>
      <c r="J46" s="3"/>
      <c r="K46" s="3"/>
      <c r="L46" s="3"/>
      <c r="M46" s="3"/>
      <c r="N46" s="3"/>
    </row>
    <row r="47" customFormat="false" ht="19.5" hidden="false" customHeight="true" outlineLevel="0" collapsed="false">
      <c r="A47" s="4" t="s">
        <v>65</v>
      </c>
      <c r="B47" s="4"/>
      <c r="C47" s="4"/>
      <c r="D47" s="4"/>
      <c r="E47" s="4"/>
      <c r="F47" s="4"/>
      <c r="G47" s="4"/>
      <c r="H47" s="4"/>
      <c r="I47" s="4"/>
      <c r="J47" s="4"/>
      <c r="K47" s="4"/>
      <c r="L47" s="4"/>
      <c r="M47" s="4"/>
      <c r="N47" s="4"/>
    </row>
    <row r="48" customFormat="false" ht="30" hidden="false" customHeight="true" outlineLevel="0" collapsed="false">
      <c r="A48" s="46" t="s">
        <v>66</v>
      </c>
      <c r="B48" s="46" t="s">
        <v>13</v>
      </c>
      <c r="C48" s="47" t="n">
        <f aca="false">$C$6-6</f>
        <v>46297</v>
      </c>
      <c r="D48" s="47" t="n">
        <f aca="false">$C$6-5</f>
        <v>46298</v>
      </c>
      <c r="E48" s="47" t="n">
        <f aca="false">$C$6-4</f>
        <v>46299</v>
      </c>
      <c r="F48" s="47" t="n">
        <f aca="false">$C$6-3</f>
        <v>46300</v>
      </c>
      <c r="G48" s="47" t="n">
        <f aca="false">$C$6-2</f>
        <v>46301</v>
      </c>
      <c r="H48" s="47" t="n">
        <f aca="false">$C$6-1</f>
        <v>46302</v>
      </c>
      <c r="I48" s="47" t="n">
        <f aca="false">$C$6-0</f>
        <v>46303</v>
      </c>
      <c r="J48" s="46" t="s">
        <v>67</v>
      </c>
      <c r="K48" s="46" t="s">
        <v>31</v>
      </c>
      <c r="L48" s="46" t="s">
        <v>68</v>
      </c>
      <c r="M48" s="46" t="s">
        <v>69</v>
      </c>
      <c r="N48" s="46" t="s">
        <v>70</v>
      </c>
    </row>
    <row r="49" customFormat="false" ht="15" hidden="false" customHeight="false" outlineLevel="0" collapsed="false">
      <c r="A49" s="33" t="n">
        <f aca="false">IF(L49=0,"-",RANK(L49,$L$49:$L$62))</f>
        <v>3</v>
      </c>
      <c r="B49" s="48" t="s">
        <v>44</v>
      </c>
      <c r="C49" s="26" t="n">
        <f aca="false">SUMIFS(Sales_Data!$O$2:$O$3520,Sales_Data!$C$2:$C$3520,C$48,Sales_Data!$H$2:$H$3520,$B49,Sales_Data!$I$2:$I$3520,$C$15,Sales_Data!$AE$2:$AE$3520,1)</f>
        <v>8</v>
      </c>
      <c r="D49" s="26" t="n">
        <f aca="false">SUMIFS(Sales_Data!$O$2:$O$3520,Sales_Data!$C$2:$C$3520,D$48,Sales_Data!$H$2:$H$3520,$B49,Sales_Data!$I$2:$I$3520,$C$15,Sales_Data!$AE$2:$AE$3520,1)</f>
        <v>0</v>
      </c>
      <c r="E49" s="26" t="n">
        <f aca="false">SUMIFS(Sales_Data!$O$2:$O$3520,Sales_Data!$C$2:$C$3520,E$48,Sales_Data!$H$2:$H$3520,$B49,Sales_Data!$I$2:$I$3520,$C$15,Sales_Data!$AE$2:$AE$3520,1)</f>
        <v>1</v>
      </c>
      <c r="F49" s="26" t="n">
        <f aca="false">SUMIFS(Sales_Data!$O$2:$O$3520,Sales_Data!$C$2:$C$3520,F$48,Sales_Data!$H$2:$H$3520,$B49,Sales_Data!$I$2:$I$3520,$C$15,Sales_Data!$AE$2:$AE$3520,1)</f>
        <v>18</v>
      </c>
      <c r="G49" s="26" t="n">
        <f aca="false">SUMIFS(Sales_Data!$O$2:$O$3520,Sales_Data!$C$2:$C$3520,G$48,Sales_Data!$H$2:$H$3520,$B49,Sales_Data!$I$2:$I$3520,$C$15,Sales_Data!$AE$2:$AE$3520,1)</f>
        <v>17</v>
      </c>
      <c r="H49" s="26" t="n">
        <f aca="false">SUMIFS(Sales_Data!$O$2:$O$3520,Sales_Data!$C$2:$C$3520,H$48,Sales_Data!$H$2:$H$3520,$B49,Sales_Data!$I$2:$I$3520,$C$15,Sales_Data!$AE$2:$AE$3520,1)</f>
        <v>16</v>
      </c>
      <c r="I49" s="26" t="n">
        <f aca="false">SUMIFS(Sales_Data!$O$2:$O$3520,Sales_Data!$C$2:$C$3520,I$48,Sales_Data!$H$2:$H$3520,$B49,Sales_Data!$I$2:$I$3520,$C$15,Sales_Data!$AE$2:$AE$3520,1)</f>
        <v>15</v>
      </c>
      <c r="J49" s="49" t="n">
        <f aca="false">I49-H49</f>
        <v>-1</v>
      </c>
      <c r="K49" s="29" t="n">
        <f aca="false">IF(H49=0,"-",(I49-H49)/H49)</f>
        <v>-0.0625</v>
      </c>
      <c r="L49" s="27" t="n">
        <f aca="false">SUM(C49:I49)</f>
        <v>75</v>
      </c>
      <c r="M49" s="30" t="n">
        <f aca="false">L49/7</f>
        <v>10.7142857142857</v>
      </c>
      <c r="N49" s="29" t="n">
        <f aca="false">IF(SUMIFS(Sales_Data!$O$2:$O$3520,Sales_Data!$C$2:$C$3520,"&gt;="&amp;($C$6-13),Sales_Data!$C$2:$C$3520,"&lt;="&amp;($C$6-7),Sales_Data!$H$2:$H$3520,$B49,Sales_Data!$I$2:$I$3520,$C$15,Sales_Data!$AE$2:$AE$3520,1)=0,"-",(L49-SUMIFS(Sales_Data!$O$2:$O$3520,Sales_Data!$C$2:$C$3520,"&gt;="&amp;($C$6-13),Sales_Data!$C$2:$C$3520,"&lt;="&amp;($C$6-7),Sales_Data!$H$2:$H$3520,$B49,Sales_Data!$I$2:$I$3520,$C$15,Sales_Data!$AE$2:$AE$3520,1))/SUMIFS(Sales_Data!$O$2:$O$3520,Sales_Data!$C$2:$C$3520,"&gt;="&amp;($C$6-13),Sales_Data!$C$2:$C$3520,"&lt;="&amp;($C$6-7),Sales_Data!$H$2:$H$3520,$B49,Sales_Data!$I$2:$I$3520,$C$15,Sales_Data!$AE$2:$AE$3520,1))</f>
        <v>-0.0384615384615385</v>
      </c>
    </row>
    <row r="50" customFormat="false" ht="15" hidden="false" customHeight="false" outlineLevel="0" collapsed="false">
      <c r="A50" s="33" t="n">
        <f aca="false">IF(L50=0,"-",RANK(L50,$L$49:$L$62))</f>
        <v>7</v>
      </c>
      <c r="B50" s="48" t="s">
        <v>46</v>
      </c>
      <c r="C50" s="26" t="n">
        <f aca="false">SUMIFS(Sales_Data!$O$2:$O$3520,Sales_Data!$C$2:$C$3520,C$48,Sales_Data!$H$2:$H$3520,$B50,Sales_Data!$I$2:$I$3520,$C$15,Sales_Data!$AE$2:$AE$3520,1)</f>
        <v>7</v>
      </c>
      <c r="D50" s="26" t="n">
        <f aca="false">SUMIFS(Sales_Data!$O$2:$O$3520,Sales_Data!$C$2:$C$3520,D$48,Sales_Data!$H$2:$H$3520,$B50,Sales_Data!$I$2:$I$3520,$C$15,Sales_Data!$AE$2:$AE$3520,1)</f>
        <v>7</v>
      </c>
      <c r="E50" s="26" t="n">
        <f aca="false">SUMIFS(Sales_Data!$O$2:$O$3520,Sales_Data!$C$2:$C$3520,E$48,Sales_Data!$H$2:$H$3520,$B50,Sales_Data!$I$2:$I$3520,$C$15,Sales_Data!$AE$2:$AE$3520,1)</f>
        <v>1</v>
      </c>
      <c r="F50" s="26" t="n">
        <f aca="false">SUMIFS(Sales_Data!$O$2:$O$3520,Sales_Data!$C$2:$C$3520,F$48,Sales_Data!$H$2:$H$3520,$B50,Sales_Data!$I$2:$I$3520,$C$15,Sales_Data!$AE$2:$AE$3520,1)</f>
        <v>1</v>
      </c>
      <c r="G50" s="26" t="n">
        <f aca="false">SUMIFS(Sales_Data!$O$2:$O$3520,Sales_Data!$C$2:$C$3520,G$48,Sales_Data!$H$2:$H$3520,$B50,Sales_Data!$I$2:$I$3520,$C$15,Sales_Data!$AE$2:$AE$3520,1)</f>
        <v>1</v>
      </c>
      <c r="H50" s="26" t="n">
        <f aca="false">SUMIFS(Sales_Data!$O$2:$O$3520,Sales_Data!$C$2:$C$3520,H$48,Sales_Data!$H$2:$H$3520,$B50,Sales_Data!$I$2:$I$3520,$C$15,Sales_Data!$AE$2:$AE$3520,1)</f>
        <v>12</v>
      </c>
      <c r="I50" s="26" t="n">
        <f aca="false">SUMIFS(Sales_Data!$O$2:$O$3520,Sales_Data!$C$2:$C$3520,I$48,Sales_Data!$H$2:$H$3520,$B50,Sales_Data!$I$2:$I$3520,$C$15,Sales_Data!$AE$2:$AE$3520,1)</f>
        <v>13</v>
      </c>
      <c r="J50" s="49" t="n">
        <f aca="false">I50-H50</f>
        <v>1</v>
      </c>
      <c r="K50" s="29" t="n">
        <f aca="false">IF(H50=0,"-",(I50-H50)/H50)</f>
        <v>0.0833333333333333</v>
      </c>
      <c r="L50" s="27" t="n">
        <f aca="false">SUM(C50:I50)</f>
        <v>42</v>
      </c>
      <c r="M50" s="30" t="n">
        <f aca="false">L50/7</f>
        <v>6</v>
      </c>
      <c r="N50" s="29" t="n">
        <f aca="false">IF(SUMIFS(Sales_Data!$O$2:$O$3520,Sales_Data!$C$2:$C$3520,"&gt;="&amp;($C$6-13),Sales_Data!$C$2:$C$3520,"&lt;="&amp;($C$6-7),Sales_Data!$H$2:$H$3520,$B50,Sales_Data!$I$2:$I$3520,$C$15,Sales_Data!$AE$2:$AE$3520,1)=0,"-",(L50-SUMIFS(Sales_Data!$O$2:$O$3520,Sales_Data!$C$2:$C$3520,"&gt;="&amp;($C$6-13),Sales_Data!$C$2:$C$3520,"&lt;="&amp;($C$6-7),Sales_Data!$H$2:$H$3520,$B50,Sales_Data!$I$2:$I$3520,$C$15,Sales_Data!$AE$2:$AE$3520,1))/SUMIFS(Sales_Data!$O$2:$O$3520,Sales_Data!$C$2:$C$3520,"&gt;="&amp;($C$6-13),Sales_Data!$C$2:$C$3520,"&lt;="&amp;($C$6-7),Sales_Data!$H$2:$H$3520,$B50,Sales_Data!$I$2:$I$3520,$C$15,Sales_Data!$AE$2:$AE$3520,1))</f>
        <v>0.166666666666667</v>
      </c>
    </row>
    <row r="51" customFormat="false" ht="15" hidden="false" customHeight="false" outlineLevel="0" collapsed="false">
      <c r="A51" s="33" t="n">
        <f aca="false">IF(L51=0,"-",RANK(L51,$L$49:$L$62))</f>
        <v>8</v>
      </c>
      <c r="B51" s="48" t="s">
        <v>48</v>
      </c>
      <c r="C51" s="26" t="n">
        <f aca="false">SUMIFS(Sales_Data!$O$2:$O$3520,Sales_Data!$C$2:$C$3520,C$48,Sales_Data!$H$2:$H$3520,$B51,Sales_Data!$I$2:$I$3520,$C$15,Sales_Data!$AE$2:$AE$3520,1)</f>
        <v>5</v>
      </c>
      <c r="D51" s="26" t="n">
        <f aca="false">SUMIFS(Sales_Data!$O$2:$O$3520,Sales_Data!$C$2:$C$3520,D$48,Sales_Data!$H$2:$H$3520,$B51,Sales_Data!$I$2:$I$3520,$C$15,Sales_Data!$AE$2:$AE$3520,1)</f>
        <v>4</v>
      </c>
      <c r="E51" s="26" t="n">
        <f aca="false">SUMIFS(Sales_Data!$O$2:$O$3520,Sales_Data!$C$2:$C$3520,E$48,Sales_Data!$H$2:$H$3520,$B51,Sales_Data!$I$2:$I$3520,$C$15,Sales_Data!$AE$2:$AE$3520,1)</f>
        <v>2</v>
      </c>
      <c r="F51" s="26" t="n">
        <f aca="false">SUMIFS(Sales_Data!$O$2:$O$3520,Sales_Data!$C$2:$C$3520,F$48,Sales_Data!$H$2:$H$3520,$B51,Sales_Data!$I$2:$I$3520,$C$15,Sales_Data!$AE$2:$AE$3520,1)</f>
        <v>3</v>
      </c>
      <c r="G51" s="26" t="n">
        <f aca="false">SUMIFS(Sales_Data!$O$2:$O$3520,Sales_Data!$C$2:$C$3520,G$48,Sales_Data!$H$2:$H$3520,$B51,Sales_Data!$I$2:$I$3520,$C$15,Sales_Data!$AE$2:$AE$3520,1)</f>
        <v>3</v>
      </c>
      <c r="H51" s="26" t="n">
        <f aca="false">SUMIFS(Sales_Data!$O$2:$O$3520,Sales_Data!$C$2:$C$3520,H$48,Sales_Data!$H$2:$H$3520,$B51,Sales_Data!$I$2:$I$3520,$C$15,Sales_Data!$AE$2:$AE$3520,1)</f>
        <v>4</v>
      </c>
      <c r="I51" s="26" t="n">
        <f aca="false">SUMIFS(Sales_Data!$O$2:$O$3520,Sales_Data!$C$2:$C$3520,I$48,Sales_Data!$H$2:$H$3520,$B51,Sales_Data!$I$2:$I$3520,$C$15,Sales_Data!$AE$2:$AE$3520,1)</f>
        <v>4</v>
      </c>
      <c r="J51" s="49" t="n">
        <f aca="false">I51-H51</f>
        <v>0</v>
      </c>
      <c r="K51" s="29" t="n">
        <f aca="false">IF(H51=0,"-",(I51-H51)/H51)</f>
        <v>0</v>
      </c>
      <c r="L51" s="27" t="n">
        <f aca="false">SUM(C51:I51)</f>
        <v>25</v>
      </c>
      <c r="M51" s="30" t="n">
        <f aca="false">L51/7</f>
        <v>3.57142857142857</v>
      </c>
      <c r="N51" s="29" t="n">
        <f aca="false">IF(SUMIFS(Sales_Data!$O$2:$O$3520,Sales_Data!$C$2:$C$3520,"&gt;="&amp;($C$6-13),Sales_Data!$C$2:$C$3520,"&lt;="&amp;($C$6-7),Sales_Data!$H$2:$H$3520,$B51,Sales_Data!$I$2:$I$3520,$C$15,Sales_Data!$AE$2:$AE$3520,1)=0,"-",(L51-SUMIFS(Sales_Data!$O$2:$O$3520,Sales_Data!$C$2:$C$3520,"&gt;="&amp;($C$6-13),Sales_Data!$C$2:$C$3520,"&lt;="&amp;($C$6-7),Sales_Data!$H$2:$H$3520,$B51,Sales_Data!$I$2:$I$3520,$C$15,Sales_Data!$AE$2:$AE$3520,1))/SUMIFS(Sales_Data!$O$2:$O$3520,Sales_Data!$C$2:$C$3520,"&gt;="&amp;($C$6-13),Sales_Data!$C$2:$C$3520,"&lt;="&amp;($C$6-7),Sales_Data!$H$2:$H$3520,$B51,Sales_Data!$I$2:$I$3520,$C$15,Sales_Data!$AE$2:$AE$3520,1))</f>
        <v>0.0869565217391304</v>
      </c>
    </row>
    <row r="52" customFormat="false" ht="15" hidden="false" customHeight="false" outlineLevel="0" collapsed="false">
      <c r="A52" s="33" t="n">
        <f aca="false">IF(L52=0,"-",RANK(L52,$L$49:$L$62))</f>
        <v>11</v>
      </c>
      <c r="B52" s="48" t="s">
        <v>50</v>
      </c>
      <c r="C52" s="26" t="n">
        <f aca="false">SUMIFS(Sales_Data!$O$2:$O$3520,Sales_Data!$C$2:$C$3520,C$48,Sales_Data!$H$2:$H$3520,$B52,Sales_Data!$I$2:$I$3520,$C$15,Sales_Data!$AE$2:$AE$3520,1)</f>
        <v>0</v>
      </c>
      <c r="D52" s="26" t="n">
        <f aca="false">SUMIFS(Sales_Data!$O$2:$O$3520,Sales_Data!$C$2:$C$3520,D$48,Sales_Data!$H$2:$H$3520,$B52,Sales_Data!$I$2:$I$3520,$C$15,Sales_Data!$AE$2:$AE$3520,1)</f>
        <v>0</v>
      </c>
      <c r="E52" s="26" t="n">
        <f aca="false">SUMIFS(Sales_Data!$O$2:$O$3520,Sales_Data!$C$2:$C$3520,E$48,Sales_Data!$H$2:$H$3520,$B52,Sales_Data!$I$2:$I$3520,$C$15,Sales_Data!$AE$2:$AE$3520,1)</f>
        <v>0</v>
      </c>
      <c r="F52" s="26" t="n">
        <f aca="false">SUMIFS(Sales_Data!$O$2:$O$3520,Sales_Data!$C$2:$C$3520,F$48,Sales_Data!$H$2:$H$3520,$B52,Sales_Data!$I$2:$I$3520,$C$15,Sales_Data!$AE$2:$AE$3520,1)</f>
        <v>0</v>
      </c>
      <c r="G52" s="26" t="n">
        <f aca="false">SUMIFS(Sales_Data!$O$2:$O$3520,Sales_Data!$C$2:$C$3520,G$48,Sales_Data!$H$2:$H$3520,$B52,Sales_Data!$I$2:$I$3520,$C$15,Sales_Data!$AE$2:$AE$3520,1)</f>
        <v>5</v>
      </c>
      <c r="H52" s="26" t="n">
        <f aca="false">SUMIFS(Sales_Data!$O$2:$O$3520,Sales_Data!$C$2:$C$3520,H$48,Sales_Data!$H$2:$H$3520,$B52,Sales_Data!$I$2:$I$3520,$C$15,Sales_Data!$AE$2:$AE$3520,1)</f>
        <v>6</v>
      </c>
      <c r="I52" s="26" t="n">
        <f aca="false">SUMIFS(Sales_Data!$O$2:$O$3520,Sales_Data!$C$2:$C$3520,I$48,Sales_Data!$H$2:$H$3520,$B52,Sales_Data!$I$2:$I$3520,$C$15,Sales_Data!$AE$2:$AE$3520,1)</f>
        <v>5</v>
      </c>
      <c r="J52" s="49" t="n">
        <f aca="false">I52-H52</f>
        <v>-1</v>
      </c>
      <c r="K52" s="29" t="n">
        <f aca="false">IF(H52=0,"-",(I52-H52)/H52)</f>
        <v>-0.166666666666667</v>
      </c>
      <c r="L52" s="27" t="n">
        <f aca="false">SUM(C52:I52)</f>
        <v>16</v>
      </c>
      <c r="M52" s="30" t="n">
        <f aca="false">L52/7</f>
        <v>2.28571428571429</v>
      </c>
      <c r="N52" s="29" t="n">
        <f aca="false">IF(SUMIFS(Sales_Data!$O$2:$O$3520,Sales_Data!$C$2:$C$3520,"&gt;="&amp;($C$6-13),Sales_Data!$C$2:$C$3520,"&lt;="&amp;($C$6-7),Sales_Data!$H$2:$H$3520,$B52,Sales_Data!$I$2:$I$3520,$C$15,Sales_Data!$AE$2:$AE$3520,1)=0,"-",(L52-SUMIFS(Sales_Data!$O$2:$O$3520,Sales_Data!$C$2:$C$3520,"&gt;="&amp;($C$6-13),Sales_Data!$C$2:$C$3520,"&lt;="&amp;($C$6-7),Sales_Data!$H$2:$H$3520,$B52,Sales_Data!$I$2:$I$3520,$C$15,Sales_Data!$AE$2:$AE$3520,1))/SUMIFS(Sales_Data!$O$2:$O$3520,Sales_Data!$C$2:$C$3520,"&gt;="&amp;($C$6-13),Sales_Data!$C$2:$C$3520,"&lt;="&amp;($C$6-7),Sales_Data!$H$2:$H$3520,$B52,Sales_Data!$I$2:$I$3520,$C$15,Sales_Data!$AE$2:$AE$3520,1))</f>
        <v>4.33333333333333</v>
      </c>
    </row>
    <row r="53" customFormat="false" ht="15" hidden="false" customHeight="false" outlineLevel="0" collapsed="false">
      <c r="A53" s="33" t="n">
        <f aca="false">IF(L53=0,"-",RANK(L53,$L$49:$L$62))</f>
        <v>8</v>
      </c>
      <c r="B53" s="48" t="s">
        <v>51</v>
      </c>
      <c r="C53" s="26" t="n">
        <f aca="false">SUMIFS(Sales_Data!$O$2:$O$3520,Sales_Data!$C$2:$C$3520,C$48,Sales_Data!$H$2:$H$3520,$B53,Sales_Data!$I$2:$I$3520,$C$15,Sales_Data!$AE$2:$AE$3520,1)</f>
        <v>5</v>
      </c>
      <c r="D53" s="26" t="n">
        <f aca="false">SUMIFS(Sales_Data!$O$2:$O$3520,Sales_Data!$C$2:$C$3520,D$48,Sales_Data!$H$2:$H$3520,$B53,Sales_Data!$I$2:$I$3520,$C$15,Sales_Data!$AE$2:$AE$3520,1)</f>
        <v>7</v>
      </c>
      <c r="E53" s="26" t="n">
        <f aca="false">SUMIFS(Sales_Data!$O$2:$O$3520,Sales_Data!$C$2:$C$3520,E$48,Sales_Data!$H$2:$H$3520,$B53,Sales_Data!$I$2:$I$3520,$C$15,Sales_Data!$AE$2:$AE$3520,1)</f>
        <v>5</v>
      </c>
      <c r="F53" s="26" t="n">
        <f aca="false">SUMIFS(Sales_Data!$O$2:$O$3520,Sales_Data!$C$2:$C$3520,F$48,Sales_Data!$H$2:$H$3520,$B53,Sales_Data!$I$2:$I$3520,$C$15,Sales_Data!$AE$2:$AE$3520,1)</f>
        <v>1</v>
      </c>
      <c r="G53" s="26" t="n">
        <f aca="false">SUMIFS(Sales_Data!$O$2:$O$3520,Sales_Data!$C$2:$C$3520,G$48,Sales_Data!$H$2:$H$3520,$B53,Sales_Data!$I$2:$I$3520,$C$15,Sales_Data!$AE$2:$AE$3520,1)</f>
        <v>0</v>
      </c>
      <c r="H53" s="26" t="n">
        <f aca="false">SUMIFS(Sales_Data!$O$2:$O$3520,Sales_Data!$C$2:$C$3520,H$48,Sales_Data!$H$2:$H$3520,$B53,Sales_Data!$I$2:$I$3520,$C$15,Sales_Data!$AE$2:$AE$3520,1)</f>
        <v>1</v>
      </c>
      <c r="I53" s="26" t="n">
        <f aca="false">SUMIFS(Sales_Data!$O$2:$O$3520,Sales_Data!$C$2:$C$3520,I$48,Sales_Data!$H$2:$H$3520,$B53,Sales_Data!$I$2:$I$3520,$C$15,Sales_Data!$AE$2:$AE$3520,1)</f>
        <v>6</v>
      </c>
      <c r="J53" s="49" t="n">
        <f aca="false">I53-H53</f>
        <v>5</v>
      </c>
      <c r="K53" s="29" t="n">
        <f aca="false">IF(H53=0,"-",(I53-H53)/H53)</f>
        <v>5</v>
      </c>
      <c r="L53" s="27" t="n">
        <f aca="false">SUM(C53:I53)</f>
        <v>25</v>
      </c>
      <c r="M53" s="30" t="n">
        <f aca="false">L53/7</f>
        <v>3.57142857142857</v>
      </c>
      <c r="N53" s="29" t="n">
        <f aca="false">IF(SUMIFS(Sales_Data!$O$2:$O$3520,Sales_Data!$C$2:$C$3520,"&gt;="&amp;($C$6-13),Sales_Data!$C$2:$C$3520,"&lt;="&amp;($C$6-7),Sales_Data!$H$2:$H$3520,$B53,Sales_Data!$I$2:$I$3520,$C$15,Sales_Data!$AE$2:$AE$3520,1)=0,"-",(L53-SUMIFS(Sales_Data!$O$2:$O$3520,Sales_Data!$C$2:$C$3520,"&gt;="&amp;($C$6-13),Sales_Data!$C$2:$C$3520,"&lt;="&amp;($C$6-7),Sales_Data!$H$2:$H$3520,$B53,Sales_Data!$I$2:$I$3520,$C$15,Sales_Data!$AE$2:$AE$3520,1))/SUMIFS(Sales_Data!$O$2:$O$3520,Sales_Data!$C$2:$C$3520,"&gt;="&amp;($C$6-13),Sales_Data!$C$2:$C$3520,"&lt;="&amp;($C$6-7),Sales_Data!$H$2:$H$3520,$B53,Sales_Data!$I$2:$I$3520,$C$15,Sales_Data!$AE$2:$AE$3520,1))</f>
        <v>-0.137931034482759</v>
      </c>
    </row>
    <row r="54" customFormat="false" ht="15" hidden="false" customHeight="false" outlineLevel="0" collapsed="false">
      <c r="A54" s="33" t="n">
        <f aca="false">IF(L54=0,"-",RANK(L54,$L$49:$L$62))</f>
        <v>6</v>
      </c>
      <c r="B54" s="48" t="s">
        <v>52</v>
      </c>
      <c r="C54" s="26" t="n">
        <f aca="false">SUMIFS(Sales_Data!$O$2:$O$3520,Sales_Data!$C$2:$C$3520,C$48,Sales_Data!$H$2:$H$3520,$B54,Sales_Data!$I$2:$I$3520,$C$15,Sales_Data!$AE$2:$AE$3520,1)</f>
        <v>6</v>
      </c>
      <c r="D54" s="26" t="n">
        <f aca="false">SUMIFS(Sales_Data!$O$2:$O$3520,Sales_Data!$C$2:$C$3520,D$48,Sales_Data!$H$2:$H$3520,$B54,Sales_Data!$I$2:$I$3520,$C$15,Sales_Data!$AE$2:$AE$3520,1)</f>
        <v>9</v>
      </c>
      <c r="E54" s="26" t="n">
        <f aca="false">SUMIFS(Sales_Data!$O$2:$O$3520,Sales_Data!$C$2:$C$3520,E$48,Sales_Data!$H$2:$H$3520,$B54,Sales_Data!$I$2:$I$3520,$C$15,Sales_Data!$AE$2:$AE$3520,1)</f>
        <v>6</v>
      </c>
      <c r="F54" s="26" t="n">
        <f aca="false">SUMIFS(Sales_Data!$O$2:$O$3520,Sales_Data!$C$2:$C$3520,F$48,Sales_Data!$H$2:$H$3520,$B54,Sales_Data!$I$2:$I$3520,$C$15,Sales_Data!$AE$2:$AE$3520,1)</f>
        <v>4</v>
      </c>
      <c r="G54" s="26" t="n">
        <f aca="false">SUMIFS(Sales_Data!$O$2:$O$3520,Sales_Data!$C$2:$C$3520,G$48,Sales_Data!$H$2:$H$3520,$B54,Sales_Data!$I$2:$I$3520,$C$15,Sales_Data!$AE$2:$AE$3520,1)</f>
        <v>3</v>
      </c>
      <c r="H54" s="26" t="n">
        <f aca="false">SUMIFS(Sales_Data!$O$2:$O$3520,Sales_Data!$C$2:$C$3520,H$48,Sales_Data!$H$2:$H$3520,$B54,Sales_Data!$I$2:$I$3520,$C$15,Sales_Data!$AE$2:$AE$3520,1)</f>
        <v>12</v>
      </c>
      <c r="I54" s="26" t="n">
        <f aca="false">SUMIFS(Sales_Data!$O$2:$O$3520,Sales_Data!$C$2:$C$3520,I$48,Sales_Data!$H$2:$H$3520,$B54,Sales_Data!$I$2:$I$3520,$C$15,Sales_Data!$AE$2:$AE$3520,1)</f>
        <v>7</v>
      </c>
      <c r="J54" s="49" t="n">
        <f aca="false">I54-H54</f>
        <v>-5</v>
      </c>
      <c r="K54" s="29" t="n">
        <f aca="false">IF(H54=0,"-",(I54-H54)/H54)</f>
        <v>-0.416666666666667</v>
      </c>
      <c r="L54" s="27" t="n">
        <f aca="false">SUM(C54:I54)</f>
        <v>47</v>
      </c>
      <c r="M54" s="30" t="n">
        <f aca="false">L54/7</f>
        <v>6.71428571428571</v>
      </c>
      <c r="N54" s="29" t="n">
        <f aca="false">IF(SUMIFS(Sales_Data!$O$2:$O$3520,Sales_Data!$C$2:$C$3520,"&gt;="&amp;($C$6-13),Sales_Data!$C$2:$C$3520,"&lt;="&amp;($C$6-7),Sales_Data!$H$2:$H$3520,$B54,Sales_Data!$I$2:$I$3520,$C$15,Sales_Data!$AE$2:$AE$3520,1)=0,"-",(L54-SUMIFS(Sales_Data!$O$2:$O$3520,Sales_Data!$C$2:$C$3520,"&gt;="&amp;($C$6-13),Sales_Data!$C$2:$C$3520,"&lt;="&amp;($C$6-7),Sales_Data!$H$2:$H$3520,$B54,Sales_Data!$I$2:$I$3520,$C$15,Sales_Data!$AE$2:$AE$3520,1))/SUMIFS(Sales_Data!$O$2:$O$3520,Sales_Data!$C$2:$C$3520,"&gt;="&amp;($C$6-13),Sales_Data!$C$2:$C$3520,"&lt;="&amp;($C$6-7),Sales_Data!$H$2:$H$3520,$B54,Sales_Data!$I$2:$I$3520,$C$15,Sales_Data!$AE$2:$AE$3520,1))</f>
        <v>0.0217391304347826</v>
      </c>
    </row>
    <row r="55" customFormat="false" ht="15" hidden="false" customHeight="false" outlineLevel="0" collapsed="false">
      <c r="A55" s="33" t="n">
        <f aca="false">IF(L55=0,"-",RANK(L55,$L$49:$L$62))</f>
        <v>10</v>
      </c>
      <c r="B55" s="48" t="s">
        <v>53</v>
      </c>
      <c r="C55" s="26" t="n">
        <f aca="false">SUMIFS(Sales_Data!$O$2:$O$3520,Sales_Data!$C$2:$C$3520,C$48,Sales_Data!$H$2:$H$3520,$B55,Sales_Data!$I$2:$I$3520,$C$15,Sales_Data!$AE$2:$AE$3520,1)</f>
        <v>0</v>
      </c>
      <c r="D55" s="26" t="n">
        <f aca="false">SUMIFS(Sales_Data!$O$2:$O$3520,Sales_Data!$C$2:$C$3520,D$48,Sales_Data!$H$2:$H$3520,$B55,Sales_Data!$I$2:$I$3520,$C$15,Sales_Data!$AE$2:$AE$3520,1)</f>
        <v>0</v>
      </c>
      <c r="E55" s="26" t="n">
        <f aca="false">SUMIFS(Sales_Data!$O$2:$O$3520,Sales_Data!$C$2:$C$3520,E$48,Sales_Data!$H$2:$H$3520,$B55,Sales_Data!$I$2:$I$3520,$C$15,Sales_Data!$AE$2:$AE$3520,1)</f>
        <v>0</v>
      </c>
      <c r="F55" s="26" t="n">
        <f aca="false">SUMIFS(Sales_Data!$O$2:$O$3520,Sales_Data!$C$2:$C$3520,F$48,Sales_Data!$H$2:$H$3520,$B55,Sales_Data!$I$2:$I$3520,$C$15,Sales_Data!$AE$2:$AE$3520,1)</f>
        <v>9</v>
      </c>
      <c r="G55" s="26" t="n">
        <f aca="false">SUMIFS(Sales_Data!$O$2:$O$3520,Sales_Data!$C$2:$C$3520,G$48,Sales_Data!$H$2:$H$3520,$B55,Sales_Data!$I$2:$I$3520,$C$15,Sales_Data!$AE$2:$AE$3520,1)</f>
        <v>2</v>
      </c>
      <c r="H55" s="26" t="n">
        <f aca="false">SUMIFS(Sales_Data!$O$2:$O$3520,Sales_Data!$C$2:$C$3520,H$48,Sales_Data!$H$2:$H$3520,$B55,Sales_Data!$I$2:$I$3520,$C$15,Sales_Data!$AE$2:$AE$3520,1)</f>
        <v>4</v>
      </c>
      <c r="I55" s="26" t="n">
        <f aca="false">SUMIFS(Sales_Data!$O$2:$O$3520,Sales_Data!$C$2:$C$3520,I$48,Sales_Data!$H$2:$H$3520,$B55,Sales_Data!$I$2:$I$3520,$C$15,Sales_Data!$AE$2:$AE$3520,1)</f>
        <v>3</v>
      </c>
      <c r="J55" s="49" t="n">
        <f aca="false">I55-H55</f>
        <v>-1</v>
      </c>
      <c r="K55" s="29" t="n">
        <f aca="false">IF(H55=0,"-",(I55-H55)/H55)</f>
        <v>-0.25</v>
      </c>
      <c r="L55" s="27" t="n">
        <f aca="false">SUM(C55:I55)</f>
        <v>18</v>
      </c>
      <c r="M55" s="30" t="n">
        <f aca="false">L55/7</f>
        <v>2.57142857142857</v>
      </c>
      <c r="N55" s="29" t="n">
        <f aca="false">IF(SUMIFS(Sales_Data!$O$2:$O$3520,Sales_Data!$C$2:$C$3520,"&gt;="&amp;($C$6-13),Sales_Data!$C$2:$C$3520,"&lt;="&amp;($C$6-7),Sales_Data!$H$2:$H$3520,$B55,Sales_Data!$I$2:$I$3520,$C$15,Sales_Data!$AE$2:$AE$3520,1)=0,"-",(L55-SUMIFS(Sales_Data!$O$2:$O$3520,Sales_Data!$C$2:$C$3520,"&gt;="&amp;($C$6-13),Sales_Data!$C$2:$C$3520,"&lt;="&amp;($C$6-7),Sales_Data!$H$2:$H$3520,$B55,Sales_Data!$I$2:$I$3520,$C$15,Sales_Data!$AE$2:$AE$3520,1))/SUMIFS(Sales_Data!$O$2:$O$3520,Sales_Data!$C$2:$C$3520,"&gt;="&amp;($C$6-13),Sales_Data!$C$2:$C$3520,"&lt;="&amp;($C$6-7),Sales_Data!$H$2:$H$3520,$B55,Sales_Data!$I$2:$I$3520,$C$15,Sales_Data!$AE$2:$AE$3520,1))</f>
        <v>3.5</v>
      </c>
    </row>
    <row r="56" customFormat="false" ht="15" hidden="false" customHeight="false" outlineLevel="0" collapsed="false">
      <c r="A56" s="33" t="n">
        <f aca="false">IF(L56=0,"-",RANK(L56,$L$49:$L$62))</f>
        <v>12</v>
      </c>
      <c r="B56" s="48" t="s">
        <v>54</v>
      </c>
      <c r="C56" s="26" t="n">
        <f aca="false">SUMIFS(Sales_Data!$O$2:$O$3520,Sales_Data!$C$2:$C$3520,C$48,Sales_Data!$H$2:$H$3520,$B56,Sales_Data!$I$2:$I$3520,$C$15,Sales_Data!$AE$2:$AE$3520,1)</f>
        <v>0</v>
      </c>
      <c r="D56" s="26" t="n">
        <f aca="false">SUMIFS(Sales_Data!$O$2:$O$3520,Sales_Data!$C$2:$C$3520,D$48,Sales_Data!$H$2:$H$3520,$B56,Sales_Data!$I$2:$I$3520,$C$15,Sales_Data!$AE$2:$AE$3520,1)</f>
        <v>0</v>
      </c>
      <c r="E56" s="26" t="n">
        <f aca="false">SUMIFS(Sales_Data!$O$2:$O$3520,Sales_Data!$C$2:$C$3520,E$48,Sales_Data!$H$2:$H$3520,$B56,Sales_Data!$I$2:$I$3520,$C$15,Sales_Data!$AE$2:$AE$3520,1)</f>
        <v>0</v>
      </c>
      <c r="F56" s="26" t="n">
        <f aca="false">SUMIFS(Sales_Data!$O$2:$O$3520,Sales_Data!$C$2:$C$3520,F$48,Sales_Data!$H$2:$H$3520,$B56,Sales_Data!$I$2:$I$3520,$C$15,Sales_Data!$AE$2:$AE$3520,1)</f>
        <v>0</v>
      </c>
      <c r="G56" s="26" t="n">
        <f aca="false">SUMIFS(Sales_Data!$O$2:$O$3520,Sales_Data!$C$2:$C$3520,G$48,Sales_Data!$H$2:$H$3520,$B56,Sales_Data!$I$2:$I$3520,$C$15,Sales_Data!$AE$2:$AE$3520,1)</f>
        <v>0</v>
      </c>
      <c r="H56" s="26" t="n">
        <f aca="false">SUMIFS(Sales_Data!$O$2:$O$3520,Sales_Data!$C$2:$C$3520,H$48,Sales_Data!$H$2:$H$3520,$B56,Sales_Data!$I$2:$I$3520,$C$15,Sales_Data!$AE$2:$AE$3520,1)</f>
        <v>6</v>
      </c>
      <c r="I56" s="26" t="n">
        <f aca="false">SUMIFS(Sales_Data!$O$2:$O$3520,Sales_Data!$C$2:$C$3520,I$48,Sales_Data!$H$2:$H$3520,$B56,Sales_Data!$I$2:$I$3520,$C$15,Sales_Data!$AE$2:$AE$3520,1)</f>
        <v>5</v>
      </c>
      <c r="J56" s="49" t="n">
        <f aca="false">I56-H56</f>
        <v>-1</v>
      </c>
      <c r="K56" s="29" t="n">
        <f aca="false">IF(H56=0,"-",(I56-H56)/H56)</f>
        <v>-0.166666666666667</v>
      </c>
      <c r="L56" s="27" t="n">
        <f aca="false">SUM(C56:I56)</f>
        <v>11</v>
      </c>
      <c r="M56" s="30" t="n">
        <f aca="false">L56/7</f>
        <v>1.57142857142857</v>
      </c>
      <c r="N56" s="29" t="str">
        <f aca="false">IF(SUMIFS(Sales_Data!$O$2:$O$3520,Sales_Data!$C$2:$C$3520,"&gt;="&amp;($C$6-13),Sales_Data!$C$2:$C$3520,"&lt;="&amp;($C$6-7),Sales_Data!$H$2:$H$3520,$B56,Sales_Data!$I$2:$I$3520,$C$15,Sales_Data!$AE$2:$AE$3520,1)=0,"-",(L56-SUMIFS(Sales_Data!$O$2:$O$3520,Sales_Data!$C$2:$C$3520,"&gt;="&amp;($C$6-13),Sales_Data!$C$2:$C$3520,"&lt;="&amp;($C$6-7),Sales_Data!$H$2:$H$3520,$B56,Sales_Data!$I$2:$I$3520,$C$15,Sales_Data!$AE$2:$AE$3520,1))/SUMIFS(Sales_Data!$O$2:$O$3520,Sales_Data!$C$2:$C$3520,"&gt;="&amp;($C$6-13),Sales_Data!$C$2:$C$3520,"&lt;="&amp;($C$6-7),Sales_Data!$H$2:$H$3520,$B56,Sales_Data!$I$2:$I$3520,$C$15,Sales_Data!$AE$2:$AE$3520,1))</f>
        <v>-</v>
      </c>
    </row>
    <row r="57" customFormat="false" ht="15" hidden="false" customHeight="false" outlineLevel="0" collapsed="false">
      <c r="A57" s="33" t="n">
        <f aca="false">IF(L57=0,"-",RANK(L57,$L$49:$L$62))</f>
        <v>2</v>
      </c>
      <c r="B57" s="48" t="s">
        <v>55</v>
      </c>
      <c r="C57" s="26" t="n">
        <f aca="false">SUMIFS(Sales_Data!$O$2:$O$3520,Sales_Data!$C$2:$C$3520,C$48,Sales_Data!$H$2:$H$3520,$B57,Sales_Data!$I$2:$I$3520,$C$15,Sales_Data!$AE$2:$AE$3520,1)</f>
        <v>9</v>
      </c>
      <c r="D57" s="26" t="n">
        <f aca="false">SUMIFS(Sales_Data!$O$2:$O$3520,Sales_Data!$C$2:$C$3520,D$48,Sales_Data!$H$2:$H$3520,$B57,Sales_Data!$I$2:$I$3520,$C$15,Sales_Data!$AE$2:$AE$3520,1)</f>
        <v>0</v>
      </c>
      <c r="E57" s="26" t="n">
        <f aca="false">SUMIFS(Sales_Data!$O$2:$O$3520,Sales_Data!$C$2:$C$3520,E$48,Sales_Data!$H$2:$H$3520,$B57,Sales_Data!$I$2:$I$3520,$C$15,Sales_Data!$AE$2:$AE$3520,1)</f>
        <v>5</v>
      </c>
      <c r="F57" s="26" t="n">
        <f aca="false">SUMIFS(Sales_Data!$O$2:$O$3520,Sales_Data!$C$2:$C$3520,F$48,Sales_Data!$H$2:$H$3520,$B57,Sales_Data!$I$2:$I$3520,$C$15,Sales_Data!$AE$2:$AE$3520,1)</f>
        <v>7</v>
      </c>
      <c r="G57" s="26" t="n">
        <f aca="false">SUMIFS(Sales_Data!$O$2:$O$3520,Sales_Data!$C$2:$C$3520,G$48,Sales_Data!$H$2:$H$3520,$B57,Sales_Data!$I$2:$I$3520,$C$15,Sales_Data!$AE$2:$AE$3520,1)</f>
        <v>7</v>
      </c>
      <c r="H57" s="26" t="n">
        <f aca="false">SUMIFS(Sales_Data!$O$2:$O$3520,Sales_Data!$C$2:$C$3520,H$48,Sales_Data!$H$2:$H$3520,$B57,Sales_Data!$I$2:$I$3520,$C$15,Sales_Data!$AE$2:$AE$3520,1)</f>
        <v>23</v>
      </c>
      <c r="I57" s="26" t="n">
        <f aca="false">SUMIFS(Sales_Data!$O$2:$O$3520,Sales_Data!$C$2:$C$3520,I$48,Sales_Data!$H$2:$H$3520,$B57,Sales_Data!$I$2:$I$3520,$C$15,Sales_Data!$AE$2:$AE$3520,1)</f>
        <v>25</v>
      </c>
      <c r="J57" s="49" t="n">
        <f aca="false">I57-H57</f>
        <v>2</v>
      </c>
      <c r="K57" s="29" t="n">
        <f aca="false">IF(H57=0,"-",(I57-H57)/H57)</f>
        <v>0.0869565217391304</v>
      </c>
      <c r="L57" s="27" t="n">
        <f aca="false">SUM(C57:I57)</f>
        <v>76</v>
      </c>
      <c r="M57" s="30" t="n">
        <f aca="false">L57/7</f>
        <v>10.8571428571429</v>
      </c>
      <c r="N57" s="29" t="n">
        <f aca="false">IF(SUMIFS(Sales_Data!$O$2:$O$3520,Sales_Data!$C$2:$C$3520,"&gt;="&amp;($C$6-13),Sales_Data!$C$2:$C$3520,"&lt;="&amp;($C$6-7),Sales_Data!$H$2:$H$3520,$B57,Sales_Data!$I$2:$I$3520,$C$15,Sales_Data!$AE$2:$AE$3520,1)=0,"-",(L57-SUMIFS(Sales_Data!$O$2:$O$3520,Sales_Data!$C$2:$C$3520,"&gt;="&amp;($C$6-13),Sales_Data!$C$2:$C$3520,"&lt;="&amp;($C$6-7),Sales_Data!$H$2:$H$3520,$B57,Sales_Data!$I$2:$I$3520,$C$15,Sales_Data!$AE$2:$AE$3520,1))/SUMIFS(Sales_Data!$O$2:$O$3520,Sales_Data!$C$2:$C$3520,"&gt;="&amp;($C$6-13),Sales_Data!$C$2:$C$3520,"&lt;="&amp;($C$6-7),Sales_Data!$H$2:$H$3520,$B57,Sales_Data!$I$2:$I$3520,$C$15,Sales_Data!$AE$2:$AE$3520,1))</f>
        <v>1.71428571428571</v>
      </c>
    </row>
    <row r="58" customFormat="false" ht="15" hidden="false" customHeight="false" outlineLevel="0" collapsed="false">
      <c r="A58" s="33" t="n">
        <f aca="false">IF(L58=0,"-",RANK(L58,$L$49:$L$62))</f>
        <v>13</v>
      </c>
      <c r="B58" s="48" t="s">
        <v>56</v>
      </c>
      <c r="C58" s="26" t="n">
        <f aca="false">SUMIFS(Sales_Data!$O$2:$O$3520,Sales_Data!$C$2:$C$3520,C$48,Sales_Data!$H$2:$H$3520,$B58,Sales_Data!$I$2:$I$3520,$C$15,Sales_Data!$AE$2:$AE$3520,1)</f>
        <v>1</v>
      </c>
      <c r="D58" s="26" t="n">
        <f aca="false">SUMIFS(Sales_Data!$O$2:$O$3520,Sales_Data!$C$2:$C$3520,D$48,Sales_Data!$H$2:$H$3520,$B58,Sales_Data!$I$2:$I$3520,$C$15,Sales_Data!$AE$2:$AE$3520,1)</f>
        <v>0</v>
      </c>
      <c r="E58" s="26" t="n">
        <f aca="false">SUMIFS(Sales_Data!$O$2:$O$3520,Sales_Data!$C$2:$C$3520,E$48,Sales_Data!$H$2:$H$3520,$B58,Sales_Data!$I$2:$I$3520,$C$15,Sales_Data!$AE$2:$AE$3520,1)</f>
        <v>0</v>
      </c>
      <c r="F58" s="26" t="n">
        <f aca="false">SUMIFS(Sales_Data!$O$2:$O$3520,Sales_Data!$C$2:$C$3520,F$48,Sales_Data!$H$2:$H$3520,$B58,Sales_Data!$I$2:$I$3520,$C$15,Sales_Data!$AE$2:$AE$3520,1)</f>
        <v>0</v>
      </c>
      <c r="G58" s="26" t="n">
        <f aca="false">SUMIFS(Sales_Data!$O$2:$O$3520,Sales_Data!$C$2:$C$3520,G$48,Sales_Data!$H$2:$H$3520,$B58,Sales_Data!$I$2:$I$3520,$C$15,Sales_Data!$AE$2:$AE$3520,1)</f>
        <v>0</v>
      </c>
      <c r="H58" s="26" t="n">
        <f aca="false">SUMIFS(Sales_Data!$O$2:$O$3520,Sales_Data!$C$2:$C$3520,H$48,Sales_Data!$H$2:$H$3520,$B58,Sales_Data!$I$2:$I$3520,$C$15,Sales_Data!$AE$2:$AE$3520,1)</f>
        <v>0</v>
      </c>
      <c r="I58" s="26" t="n">
        <f aca="false">SUMIFS(Sales_Data!$O$2:$O$3520,Sales_Data!$C$2:$C$3520,I$48,Sales_Data!$H$2:$H$3520,$B58,Sales_Data!$I$2:$I$3520,$C$15,Sales_Data!$AE$2:$AE$3520,1)</f>
        <v>0</v>
      </c>
      <c r="J58" s="49" t="n">
        <f aca="false">I58-H58</f>
        <v>0</v>
      </c>
      <c r="K58" s="29" t="str">
        <f aca="false">IF(H58=0,"-",(I58-H58)/H58)</f>
        <v>-</v>
      </c>
      <c r="L58" s="27" t="n">
        <f aca="false">SUM(C58:I58)</f>
        <v>1</v>
      </c>
      <c r="M58" s="30" t="n">
        <f aca="false">L58/7</f>
        <v>0.142857142857143</v>
      </c>
      <c r="N58" s="29" t="n">
        <f aca="false">IF(SUMIFS(Sales_Data!$O$2:$O$3520,Sales_Data!$C$2:$C$3520,"&gt;="&amp;($C$6-13),Sales_Data!$C$2:$C$3520,"&lt;="&amp;($C$6-7),Sales_Data!$H$2:$H$3520,$B58,Sales_Data!$I$2:$I$3520,$C$15,Sales_Data!$AE$2:$AE$3520,1)=0,"-",(L58-SUMIFS(Sales_Data!$O$2:$O$3520,Sales_Data!$C$2:$C$3520,"&gt;="&amp;($C$6-13),Sales_Data!$C$2:$C$3520,"&lt;="&amp;($C$6-7),Sales_Data!$H$2:$H$3520,$B58,Sales_Data!$I$2:$I$3520,$C$15,Sales_Data!$AE$2:$AE$3520,1))/SUMIFS(Sales_Data!$O$2:$O$3520,Sales_Data!$C$2:$C$3520,"&gt;="&amp;($C$6-13),Sales_Data!$C$2:$C$3520,"&lt;="&amp;($C$6-7),Sales_Data!$H$2:$H$3520,$B58,Sales_Data!$I$2:$I$3520,$C$15,Sales_Data!$AE$2:$AE$3520,1))</f>
        <v>-0.666666666666667</v>
      </c>
    </row>
    <row r="59" customFormat="false" ht="15" hidden="false" customHeight="false" outlineLevel="0" collapsed="false">
      <c r="A59" s="33" t="n">
        <f aca="false">IF(L59=0,"-",RANK(L59,$L$49:$L$62))</f>
        <v>5</v>
      </c>
      <c r="B59" s="48" t="s">
        <v>57</v>
      </c>
      <c r="C59" s="26" t="n">
        <f aca="false">SUMIFS(Sales_Data!$O$2:$O$3520,Sales_Data!$C$2:$C$3520,C$48,Sales_Data!$H$2:$H$3520,$B59,Sales_Data!$I$2:$I$3520,$C$15,Sales_Data!$AE$2:$AE$3520,1)</f>
        <v>5</v>
      </c>
      <c r="D59" s="26" t="n">
        <f aca="false">SUMIFS(Sales_Data!$O$2:$O$3520,Sales_Data!$C$2:$C$3520,D$48,Sales_Data!$H$2:$H$3520,$B59,Sales_Data!$I$2:$I$3520,$C$15,Sales_Data!$AE$2:$AE$3520,1)</f>
        <v>0</v>
      </c>
      <c r="E59" s="26" t="n">
        <f aca="false">SUMIFS(Sales_Data!$O$2:$O$3520,Sales_Data!$C$2:$C$3520,E$48,Sales_Data!$H$2:$H$3520,$B59,Sales_Data!$I$2:$I$3520,$C$15,Sales_Data!$AE$2:$AE$3520,1)</f>
        <v>12</v>
      </c>
      <c r="F59" s="26" t="n">
        <f aca="false">SUMIFS(Sales_Data!$O$2:$O$3520,Sales_Data!$C$2:$C$3520,F$48,Sales_Data!$H$2:$H$3520,$B59,Sales_Data!$I$2:$I$3520,$C$15,Sales_Data!$AE$2:$AE$3520,1)</f>
        <v>8</v>
      </c>
      <c r="G59" s="26" t="n">
        <f aca="false">SUMIFS(Sales_Data!$O$2:$O$3520,Sales_Data!$C$2:$C$3520,G$48,Sales_Data!$H$2:$H$3520,$B59,Sales_Data!$I$2:$I$3520,$C$15,Sales_Data!$AE$2:$AE$3520,1)</f>
        <v>3</v>
      </c>
      <c r="H59" s="26" t="n">
        <f aca="false">SUMIFS(Sales_Data!$O$2:$O$3520,Sales_Data!$C$2:$C$3520,H$48,Sales_Data!$H$2:$H$3520,$B59,Sales_Data!$I$2:$I$3520,$C$15,Sales_Data!$AE$2:$AE$3520,1)</f>
        <v>13</v>
      </c>
      <c r="I59" s="26" t="n">
        <f aca="false">SUMIFS(Sales_Data!$O$2:$O$3520,Sales_Data!$C$2:$C$3520,I$48,Sales_Data!$H$2:$H$3520,$B59,Sales_Data!$I$2:$I$3520,$C$15,Sales_Data!$AE$2:$AE$3520,1)</f>
        <v>13</v>
      </c>
      <c r="J59" s="49" t="n">
        <f aca="false">I59-H59</f>
        <v>0</v>
      </c>
      <c r="K59" s="29" t="n">
        <f aca="false">IF(H59=0,"-",(I59-H59)/H59)</f>
        <v>0</v>
      </c>
      <c r="L59" s="27" t="n">
        <f aca="false">SUM(C59:I59)</f>
        <v>54</v>
      </c>
      <c r="M59" s="30" t="n">
        <f aca="false">L59/7</f>
        <v>7.71428571428571</v>
      </c>
      <c r="N59" s="29" t="n">
        <f aca="false">IF(SUMIFS(Sales_Data!$O$2:$O$3520,Sales_Data!$C$2:$C$3520,"&gt;="&amp;($C$6-13),Sales_Data!$C$2:$C$3520,"&lt;="&amp;($C$6-7),Sales_Data!$H$2:$H$3520,$B59,Sales_Data!$I$2:$I$3520,$C$15,Sales_Data!$AE$2:$AE$3520,1)=0,"-",(L59-SUMIFS(Sales_Data!$O$2:$O$3520,Sales_Data!$C$2:$C$3520,"&gt;="&amp;($C$6-13),Sales_Data!$C$2:$C$3520,"&lt;="&amp;($C$6-7),Sales_Data!$H$2:$H$3520,$B59,Sales_Data!$I$2:$I$3520,$C$15,Sales_Data!$AE$2:$AE$3520,1))/SUMIFS(Sales_Data!$O$2:$O$3520,Sales_Data!$C$2:$C$3520,"&gt;="&amp;($C$6-13),Sales_Data!$C$2:$C$3520,"&lt;="&amp;($C$6-7),Sales_Data!$H$2:$H$3520,$B59,Sales_Data!$I$2:$I$3520,$C$15,Sales_Data!$AE$2:$AE$3520,1))</f>
        <v>0.741935483870968</v>
      </c>
    </row>
    <row r="60" customFormat="false" ht="15" hidden="false" customHeight="false" outlineLevel="0" collapsed="false">
      <c r="A60" s="33" t="n">
        <f aca="false">IF(L60=0,"-",RANK(L60,$L$49:$L$62))</f>
        <v>1</v>
      </c>
      <c r="B60" s="48" t="s">
        <v>58</v>
      </c>
      <c r="C60" s="26" t="n">
        <f aca="false">SUMIFS(Sales_Data!$O$2:$O$3520,Sales_Data!$C$2:$C$3520,C$48,Sales_Data!$H$2:$H$3520,$B60,Sales_Data!$I$2:$I$3520,$C$15,Sales_Data!$AE$2:$AE$3520,1)</f>
        <v>6</v>
      </c>
      <c r="D60" s="26" t="n">
        <f aca="false">SUMIFS(Sales_Data!$O$2:$O$3520,Sales_Data!$C$2:$C$3520,D$48,Sales_Data!$H$2:$H$3520,$B60,Sales_Data!$I$2:$I$3520,$C$15,Sales_Data!$AE$2:$AE$3520,1)</f>
        <v>46</v>
      </c>
      <c r="E60" s="26" t="n">
        <f aca="false">SUMIFS(Sales_Data!$O$2:$O$3520,Sales_Data!$C$2:$C$3520,E$48,Sales_Data!$H$2:$H$3520,$B60,Sales_Data!$I$2:$I$3520,$C$15,Sales_Data!$AE$2:$AE$3520,1)</f>
        <v>7</v>
      </c>
      <c r="F60" s="26" t="n">
        <f aca="false">SUMIFS(Sales_Data!$O$2:$O$3520,Sales_Data!$C$2:$C$3520,F$48,Sales_Data!$H$2:$H$3520,$B60,Sales_Data!$I$2:$I$3520,$C$15,Sales_Data!$AE$2:$AE$3520,1)</f>
        <v>6</v>
      </c>
      <c r="G60" s="26" t="n">
        <f aca="false">SUMIFS(Sales_Data!$O$2:$O$3520,Sales_Data!$C$2:$C$3520,G$48,Sales_Data!$H$2:$H$3520,$B60,Sales_Data!$I$2:$I$3520,$C$15,Sales_Data!$AE$2:$AE$3520,1)</f>
        <v>3</v>
      </c>
      <c r="H60" s="26" t="n">
        <f aca="false">SUMIFS(Sales_Data!$O$2:$O$3520,Sales_Data!$C$2:$C$3520,H$48,Sales_Data!$H$2:$H$3520,$B60,Sales_Data!$I$2:$I$3520,$C$15,Sales_Data!$AE$2:$AE$3520,1)</f>
        <v>12</v>
      </c>
      <c r="I60" s="26" t="n">
        <f aca="false">SUMIFS(Sales_Data!$O$2:$O$3520,Sales_Data!$C$2:$C$3520,I$48,Sales_Data!$H$2:$H$3520,$B60,Sales_Data!$I$2:$I$3520,$C$15,Sales_Data!$AE$2:$AE$3520,1)</f>
        <v>5</v>
      </c>
      <c r="J60" s="49" t="n">
        <f aca="false">I60-H60</f>
        <v>-7</v>
      </c>
      <c r="K60" s="29" t="n">
        <f aca="false">IF(H60=0,"-",(I60-H60)/H60)</f>
        <v>-0.583333333333333</v>
      </c>
      <c r="L60" s="27" t="n">
        <f aca="false">SUM(C60:I60)</f>
        <v>85</v>
      </c>
      <c r="M60" s="30" t="n">
        <f aca="false">L60/7</f>
        <v>12.1428571428571</v>
      </c>
      <c r="N60" s="29" t="n">
        <f aca="false">IF(SUMIFS(Sales_Data!$O$2:$O$3520,Sales_Data!$C$2:$C$3520,"&gt;="&amp;($C$6-13),Sales_Data!$C$2:$C$3520,"&lt;="&amp;($C$6-7),Sales_Data!$H$2:$H$3520,$B60,Sales_Data!$I$2:$I$3520,$C$15,Sales_Data!$AE$2:$AE$3520,1)=0,"-",(L60-SUMIFS(Sales_Data!$O$2:$O$3520,Sales_Data!$C$2:$C$3520,"&gt;="&amp;($C$6-13),Sales_Data!$C$2:$C$3520,"&lt;="&amp;($C$6-7),Sales_Data!$H$2:$H$3520,$B60,Sales_Data!$I$2:$I$3520,$C$15,Sales_Data!$AE$2:$AE$3520,1))/SUMIFS(Sales_Data!$O$2:$O$3520,Sales_Data!$C$2:$C$3520,"&gt;="&amp;($C$6-13),Sales_Data!$C$2:$C$3520,"&lt;="&amp;($C$6-7),Sales_Data!$H$2:$H$3520,$B60,Sales_Data!$I$2:$I$3520,$C$15,Sales_Data!$AE$2:$AE$3520,1))</f>
        <v>0.133333333333333</v>
      </c>
    </row>
    <row r="61" customFormat="false" ht="15" hidden="false" customHeight="false" outlineLevel="0" collapsed="false">
      <c r="A61" s="33" t="n">
        <f aca="false">IF(L61=0,"-",RANK(L61,$L$49:$L$62))</f>
        <v>4</v>
      </c>
      <c r="B61" s="48" t="s">
        <v>59</v>
      </c>
      <c r="C61" s="26" t="n">
        <f aca="false">SUMIFS(Sales_Data!$O$2:$O$3520,Sales_Data!$C$2:$C$3520,C$48,Sales_Data!$H$2:$H$3520,$B61,Sales_Data!$I$2:$I$3520,$C$15,Sales_Data!$AE$2:$AE$3520,1)</f>
        <v>6</v>
      </c>
      <c r="D61" s="26" t="n">
        <f aca="false">SUMIFS(Sales_Data!$O$2:$O$3520,Sales_Data!$C$2:$C$3520,D$48,Sales_Data!$H$2:$H$3520,$B61,Sales_Data!$I$2:$I$3520,$C$15,Sales_Data!$AE$2:$AE$3520,1)</f>
        <v>13</v>
      </c>
      <c r="E61" s="26" t="n">
        <f aca="false">SUMIFS(Sales_Data!$O$2:$O$3520,Sales_Data!$C$2:$C$3520,E$48,Sales_Data!$H$2:$H$3520,$B61,Sales_Data!$I$2:$I$3520,$C$15,Sales_Data!$AE$2:$AE$3520,1)</f>
        <v>10</v>
      </c>
      <c r="F61" s="26" t="n">
        <f aca="false">SUMIFS(Sales_Data!$O$2:$O$3520,Sales_Data!$C$2:$C$3520,F$48,Sales_Data!$H$2:$H$3520,$B61,Sales_Data!$I$2:$I$3520,$C$15,Sales_Data!$AE$2:$AE$3520,1)</f>
        <v>9</v>
      </c>
      <c r="G61" s="26" t="n">
        <f aca="false">SUMIFS(Sales_Data!$O$2:$O$3520,Sales_Data!$C$2:$C$3520,G$48,Sales_Data!$H$2:$H$3520,$B61,Sales_Data!$I$2:$I$3520,$C$15,Sales_Data!$AE$2:$AE$3520,1)</f>
        <v>7</v>
      </c>
      <c r="H61" s="26" t="n">
        <f aca="false">SUMIFS(Sales_Data!$O$2:$O$3520,Sales_Data!$C$2:$C$3520,H$48,Sales_Data!$H$2:$H$3520,$B61,Sales_Data!$I$2:$I$3520,$C$15,Sales_Data!$AE$2:$AE$3520,1)</f>
        <v>10</v>
      </c>
      <c r="I61" s="26" t="n">
        <f aca="false">SUMIFS(Sales_Data!$O$2:$O$3520,Sales_Data!$C$2:$C$3520,I$48,Sales_Data!$H$2:$H$3520,$B61,Sales_Data!$I$2:$I$3520,$C$15,Sales_Data!$AE$2:$AE$3520,1)</f>
        <v>4</v>
      </c>
      <c r="J61" s="49" t="n">
        <f aca="false">I61-H61</f>
        <v>-6</v>
      </c>
      <c r="K61" s="29" t="n">
        <f aca="false">IF(H61=0,"-",(I61-H61)/H61)</f>
        <v>-0.6</v>
      </c>
      <c r="L61" s="27" t="n">
        <f aca="false">SUM(C61:I61)</f>
        <v>59</v>
      </c>
      <c r="M61" s="30" t="n">
        <f aca="false">L61/7</f>
        <v>8.42857142857143</v>
      </c>
      <c r="N61" s="29" t="n">
        <f aca="false">IF(SUMIFS(Sales_Data!$O$2:$O$3520,Sales_Data!$C$2:$C$3520,"&gt;="&amp;($C$6-13),Sales_Data!$C$2:$C$3520,"&lt;="&amp;($C$6-7),Sales_Data!$H$2:$H$3520,$B61,Sales_Data!$I$2:$I$3520,$C$15,Sales_Data!$AE$2:$AE$3520,1)=0,"-",(L61-SUMIFS(Sales_Data!$O$2:$O$3520,Sales_Data!$C$2:$C$3520,"&gt;="&amp;($C$6-13),Sales_Data!$C$2:$C$3520,"&lt;="&amp;($C$6-7),Sales_Data!$H$2:$H$3520,$B61,Sales_Data!$I$2:$I$3520,$C$15,Sales_Data!$AE$2:$AE$3520,1))/SUMIFS(Sales_Data!$O$2:$O$3520,Sales_Data!$C$2:$C$3520,"&gt;="&amp;($C$6-13),Sales_Data!$C$2:$C$3520,"&lt;="&amp;($C$6-7),Sales_Data!$H$2:$H$3520,$B61,Sales_Data!$I$2:$I$3520,$C$15,Sales_Data!$AE$2:$AE$3520,1))</f>
        <v>-0.223684210526316</v>
      </c>
    </row>
    <row r="62" customFormat="false" ht="15" hidden="false" customHeight="false" outlineLevel="0" collapsed="false">
      <c r="A62" s="33" t="str">
        <f aca="false">IF(L62=0,"-",RANK(L62,$L$49:$L$62))</f>
        <v>-</v>
      </c>
      <c r="B62" s="48" t="s">
        <v>60</v>
      </c>
      <c r="C62" s="26" t="n">
        <f aca="false">SUMIFS(Sales_Data!$O$2:$O$3520,Sales_Data!$C$2:$C$3520,C$48,Sales_Data!$H$2:$H$3520,$B62,Sales_Data!$I$2:$I$3520,$C$15,Sales_Data!$AE$2:$AE$3520,1)</f>
        <v>0</v>
      </c>
      <c r="D62" s="26" t="n">
        <f aca="false">SUMIFS(Sales_Data!$O$2:$O$3520,Sales_Data!$C$2:$C$3520,D$48,Sales_Data!$H$2:$H$3520,$B62,Sales_Data!$I$2:$I$3520,$C$15,Sales_Data!$AE$2:$AE$3520,1)</f>
        <v>0</v>
      </c>
      <c r="E62" s="26" t="n">
        <f aca="false">SUMIFS(Sales_Data!$O$2:$O$3520,Sales_Data!$C$2:$C$3520,E$48,Sales_Data!$H$2:$H$3520,$B62,Sales_Data!$I$2:$I$3520,$C$15,Sales_Data!$AE$2:$AE$3520,1)</f>
        <v>0</v>
      </c>
      <c r="F62" s="26" t="n">
        <f aca="false">SUMIFS(Sales_Data!$O$2:$O$3520,Sales_Data!$C$2:$C$3520,F$48,Sales_Data!$H$2:$H$3520,$B62,Sales_Data!$I$2:$I$3520,$C$15,Sales_Data!$AE$2:$AE$3520,1)</f>
        <v>0</v>
      </c>
      <c r="G62" s="26" t="n">
        <f aca="false">SUMIFS(Sales_Data!$O$2:$O$3520,Sales_Data!$C$2:$C$3520,G$48,Sales_Data!$H$2:$H$3520,$B62,Sales_Data!$I$2:$I$3520,$C$15,Sales_Data!$AE$2:$AE$3520,1)</f>
        <v>0</v>
      </c>
      <c r="H62" s="26" t="n">
        <f aca="false">SUMIFS(Sales_Data!$O$2:$O$3520,Sales_Data!$C$2:$C$3520,H$48,Sales_Data!$H$2:$H$3520,$B62,Sales_Data!$I$2:$I$3520,$C$15,Sales_Data!$AE$2:$AE$3520,1)</f>
        <v>0</v>
      </c>
      <c r="I62" s="26" t="n">
        <f aca="false">SUMIFS(Sales_Data!$O$2:$O$3520,Sales_Data!$C$2:$C$3520,I$48,Sales_Data!$H$2:$H$3520,$B62,Sales_Data!$I$2:$I$3520,$C$15,Sales_Data!$AE$2:$AE$3520,1)</f>
        <v>0</v>
      </c>
      <c r="J62" s="49" t="n">
        <f aca="false">I62-H62</f>
        <v>0</v>
      </c>
      <c r="K62" s="29" t="str">
        <f aca="false">IF(H62=0,"-",(I62-H62)/H62)</f>
        <v>-</v>
      </c>
      <c r="L62" s="27" t="n">
        <f aca="false">SUM(C62:I62)</f>
        <v>0</v>
      </c>
      <c r="M62" s="30" t="n">
        <f aca="false">L62/7</f>
        <v>0</v>
      </c>
      <c r="N62" s="29" t="str">
        <f aca="false">IF(SUMIFS(Sales_Data!$O$2:$O$3520,Sales_Data!$C$2:$C$3520,"&gt;="&amp;($C$6-13),Sales_Data!$C$2:$C$3520,"&lt;="&amp;($C$6-7),Sales_Data!$H$2:$H$3520,$B62,Sales_Data!$I$2:$I$3520,$C$15,Sales_Data!$AE$2:$AE$3520,1)=0,"-",(L62-SUMIFS(Sales_Data!$O$2:$O$3520,Sales_Data!$C$2:$C$3520,"&gt;="&amp;($C$6-13),Sales_Data!$C$2:$C$3520,"&lt;="&amp;($C$6-7),Sales_Data!$H$2:$H$3520,$B62,Sales_Data!$I$2:$I$3520,$C$15,Sales_Data!$AE$2:$AE$3520,1))/SUMIFS(Sales_Data!$O$2:$O$3520,Sales_Data!$C$2:$C$3520,"&gt;="&amp;($C$6-13),Sales_Data!$C$2:$C$3520,"&lt;="&amp;($C$6-7),Sales_Data!$H$2:$H$3520,$B62,Sales_Data!$I$2:$I$3520,$C$15,Sales_Data!$AE$2:$AE$3520,1))</f>
        <v>-</v>
      </c>
    </row>
    <row r="63" customFormat="false" ht="15" hidden="false" customHeight="false" outlineLevel="0" collapsed="false">
      <c r="A63" s="34"/>
      <c r="B63" s="5" t="s">
        <v>62</v>
      </c>
      <c r="C63" s="35" t="n">
        <f aca="false">SUM(C49:C62)</f>
        <v>58</v>
      </c>
      <c r="D63" s="35" t="n">
        <f aca="false">SUM(D49:D62)</f>
        <v>86</v>
      </c>
      <c r="E63" s="35" t="n">
        <f aca="false">SUM(E49:E62)</f>
        <v>49</v>
      </c>
      <c r="F63" s="35" t="n">
        <f aca="false">SUM(F49:F62)</f>
        <v>66</v>
      </c>
      <c r="G63" s="35" t="n">
        <f aca="false">SUM(G49:G62)</f>
        <v>51</v>
      </c>
      <c r="H63" s="35" t="n">
        <f aca="false">SUM(H49:H62)</f>
        <v>119</v>
      </c>
      <c r="I63" s="35" t="n">
        <f aca="false">SUM(I49:I62)</f>
        <v>105</v>
      </c>
      <c r="J63" s="38" t="n">
        <f aca="false">I63-H63</f>
        <v>-14</v>
      </c>
      <c r="K63" s="39" t="n">
        <f aca="false">IF(H63=0,"-",(I63-H63)/H63)</f>
        <v>-0.117647058823529</v>
      </c>
      <c r="L63" s="35" t="n">
        <f aca="false">SUM(L49:L62)</f>
        <v>534</v>
      </c>
      <c r="M63" s="50" t="n">
        <f aca="false">L63/7</f>
        <v>76.2857142857143</v>
      </c>
      <c r="N63" s="51"/>
    </row>
    <row r="64" customFormat="false" ht="15" hidden="false" customHeight="false" outlineLevel="0" collapsed="false">
      <c r="A64" s="3"/>
      <c r="B64" s="3"/>
      <c r="C64" s="3"/>
      <c r="D64" s="3"/>
      <c r="E64" s="3"/>
      <c r="F64" s="3"/>
      <c r="G64" s="3"/>
      <c r="H64" s="3"/>
      <c r="I64" s="3"/>
      <c r="J64" s="3"/>
      <c r="K64" s="3"/>
      <c r="L64" s="3"/>
      <c r="M64" s="3"/>
      <c r="N64" s="3"/>
    </row>
    <row r="65" customFormat="false" ht="19.5" hidden="false" customHeight="true" outlineLevel="0" collapsed="false">
      <c r="A65" s="4" t="s">
        <v>71</v>
      </c>
      <c r="B65" s="4"/>
      <c r="C65" s="4"/>
      <c r="D65" s="4"/>
      <c r="E65" s="4"/>
      <c r="F65" s="4"/>
      <c r="G65" s="4"/>
      <c r="H65" s="4"/>
      <c r="I65" s="4"/>
      <c r="J65" s="4"/>
      <c r="K65" s="4"/>
      <c r="L65" s="4"/>
      <c r="M65" s="4"/>
      <c r="N65" s="4"/>
    </row>
    <row r="66" customFormat="false" ht="30" hidden="false" customHeight="true" outlineLevel="0" collapsed="false">
      <c r="A66" s="24" t="s">
        <v>37</v>
      </c>
      <c r="B66" s="24" t="s">
        <v>10</v>
      </c>
      <c r="C66" s="24" t="s">
        <v>72</v>
      </c>
      <c r="D66" s="24" t="s">
        <v>38</v>
      </c>
      <c r="E66" s="24" t="s">
        <v>6</v>
      </c>
      <c r="F66" s="24" t="s">
        <v>4</v>
      </c>
      <c r="G66" s="24" t="s">
        <v>5</v>
      </c>
      <c r="H66" s="24" t="s">
        <v>3</v>
      </c>
      <c r="I66" s="24" t="s">
        <v>39</v>
      </c>
      <c r="J66" s="24" t="s">
        <v>7</v>
      </c>
      <c r="K66" s="24" t="s">
        <v>40</v>
      </c>
      <c r="L66" s="24" t="s">
        <v>41</v>
      </c>
      <c r="M66" s="24" t="s">
        <v>42</v>
      </c>
      <c r="N66" s="24" t="s">
        <v>43</v>
      </c>
    </row>
    <row r="67" customFormat="false" ht="15" hidden="false" customHeight="false" outlineLevel="0" collapsed="false">
      <c r="A67" s="33" t="n">
        <f aca="false">IF(H67=0,"-",RANK(H67,$H$67:$H$69))</f>
        <v>2</v>
      </c>
      <c r="B67" s="27" t="s">
        <v>47</v>
      </c>
      <c r="C67" s="52" t="n">
        <f aca="false">SUMPRODUCT((Roster!$E$2:$E$251=$B67)/COUNTIFS(Roster!$D$2:$D$251,Roster!$D$2:$D$251,Roster!$E$2:$E$251,Roster!$E$2:$E$251))</f>
        <v>6</v>
      </c>
      <c r="D67" s="26" t="n">
        <f aca="false">COUNTIF(Roster!$E$2:$E$251,$B67)</f>
        <v>104</v>
      </c>
      <c r="E67" s="26" t="n">
        <f aca="false">SUMIFS(Sales_Data!$AE$2:$AE$3520,Sales_Data!$C$2:$C$3520,"&gt;="&amp;$C$5,Sales_Data!$C$2:$C$3520,"&lt;="&amp;$C$6,Sales_Data!$I$2:$I$3520,$B67)</f>
        <v>207</v>
      </c>
      <c r="F67" s="26" t="n">
        <f aca="false">SUMIFS(Sales_Data!$M$2:$M$3520,Sales_Data!$C$2:$C$3520,"&gt;="&amp;$C$5,Sales_Data!$C$2:$C$3520,"&lt;="&amp;$C$6,Sales_Data!$I$2:$I$3520,$B67,Sales_Data!$AE$2:$AE$3520,1)</f>
        <v>61</v>
      </c>
      <c r="G67" s="26" t="n">
        <f aca="false">SUMIFS(Sales_Data!$N$2:$N$3520,Sales_Data!$C$2:$C$3520,"&gt;="&amp;$C$5,Sales_Data!$C$2:$C$3520,"&lt;="&amp;$C$6,Sales_Data!$I$2:$I$3520,$B67,Sales_Data!$AE$2:$AE$3520,1)</f>
        <v>184</v>
      </c>
      <c r="H67" s="27" t="n">
        <f aca="false">F67+G67</f>
        <v>245</v>
      </c>
      <c r="I67" s="31" t="n">
        <f aca="false">IFERROR(H67/D67,0)</f>
        <v>2.35576923076923</v>
      </c>
      <c r="J67" s="26" t="n">
        <f aca="false">COUNTIFS(Agent_Summary!$D$5:$D$254,$B67,Agent_Summary!$K$5:$K$254,"&gt;0")</f>
        <v>68</v>
      </c>
      <c r="K67" s="32" t="n">
        <f aca="false">IFERROR(J67/D67,0)</f>
        <v>0.653846153846154</v>
      </c>
      <c r="L67" s="26" t="n">
        <f aca="false">SUMIFS(Sales_Data!$O$2:$O$3520,Sales_Data!$C$2:$C$3520,"&gt;="&amp;$C$12,Sales_Data!$C$2:$C$3520,"&lt;="&amp;$C$13,Sales_Data!$I$2:$I$3520,$B67,Sales_Data!$AE$2:$AE$3520,1)</f>
        <v>222</v>
      </c>
      <c r="M67" s="28" t="n">
        <f aca="false">H67-L67</f>
        <v>23</v>
      </c>
      <c r="N67" s="29" t="n">
        <f aca="false">IF(L67=0,"-",(H67-L67)/L67)</f>
        <v>0.103603603603604</v>
      </c>
    </row>
    <row r="68" customFormat="false" ht="15" hidden="false" customHeight="false" outlineLevel="0" collapsed="false">
      <c r="A68" s="33" t="n">
        <f aca="false">IF(H68=0,"-",RANK(H68,$H$67:$H$69))</f>
        <v>3</v>
      </c>
      <c r="B68" s="27" t="s">
        <v>61</v>
      </c>
      <c r="C68" s="52" t="n">
        <f aca="false">SUMPRODUCT((Roster!$E$2:$E$251=$B68)/COUNTIFS(Roster!$D$2:$D$251,Roster!$D$2:$D$251,Roster!$E$2:$E$251,Roster!$E$2:$E$251))</f>
        <v>2</v>
      </c>
      <c r="D68" s="26" t="n">
        <f aca="false">COUNTIF(Roster!$E$2:$E$251,$B68)</f>
        <v>26</v>
      </c>
      <c r="E68" s="26" t="n">
        <f aca="false">SUMIFS(Sales_Data!$AE$2:$AE$3520,Sales_Data!$C$2:$C$3520,"&gt;="&amp;$C$5,Sales_Data!$C$2:$C$3520,"&lt;="&amp;$C$6,Sales_Data!$I$2:$I$3520,$B68)</f>
        <v>5</v>
      </c>
      <c r="F68" s="26" t="n">
        <f aca="false">SUMIFS(Sales_Data!$M$2:$M$3520,Sales_Data!$C$2:$C$3520,"&gt;="&amp;$C$5,Sales_Data!$C$2:$C$3520,"&lt;="&amp;$C$6,Sales_Data!$I$2:$I$3520,$B68,Sales_Data!$AE$2:$AE$3520,1)</f>
        <v>1</v>
      </c>
      <c r="G68" s="26" t="n">
        <f aca="false">SUMIFS(Sales_Data!$N$2:$N$3520,Sales_Data!$C$2:$C$3520,"&gt;="&amp;$C$5,Sales_Data!$C$2:$C$3520,"&lt;="&amp;$C$6,Sales_Data!$I$2:$I$3520,$B68,Sales_Data!$AE$2:$AE$3520,1)</f>
        <v>5</v>
      </c>
      <c r="H68" s="27" t="n">
        <f aca="false">F68+G68</f>
        <v>6</v>
      </c>
      <c r="I68" s="31" t="n">
        <f aca="false">IFERROR(H68/D68,0)</f>
        <v>0.230769230769231</v>
      </c>
      <c r="J68" s="26" t="n">
        <f aca="false">COUNTIFS(Agent_Summary!$D$5:$D$254,$B68,Agent_Summary!$K$5:$K$254,"&gt;0")</f>
        <v>3</v>
      </c>
      <c r="K68" s="32" t="n">
        <f aca="false">IFERROR(J68/D68,0)</f>
        <v>0.115384615384615</v>
      </c>
      <c r="L68" s="26" t="n">
        <f aca="false">SUMIFS(Sales_Data!$O$2:$O$3520,Sales_Data!$C$2:$C$3520,"&gt;="&amp;$C$12,Sales_Data!$C$2:$C$3520,"&lt;="&amp;$C$13,Sales_Data!$I$2:$I$3520,$B68,Sales_Data!$AE$2:$AE$3520,1)</f>
        <v>8</v>
      </c>
      <c r="M68" s="28" t="n">
        <f aca="false">H68-L68</f>
        <v>-2</v>
      </c>
      <c r="N68" s="29" t="n">
        <f aca="false">IF(L68=0,"-",(H68-L68)/L68)</f>
        <v>-0.25</v>
      </c>
    </row>
    <row r="69" customFormat="false" ht="15" hidden="false" customHeight="false" outlineLevel="0" collapsed="false">
      <c r="A69" s="33" t="n">
        <f aca="false">IF(H69=0,"-",RANK(H69,$H$67:$H$69))</f>
        <v>1</v>
      </c>
      <c r="B69" s="27" t="s">
        <v>49</v>
      </c>
      <c r="C69" s="52" t="n">
        <f aca="false">SUMPRODUCT((Roster!$E$2:$E$251=$B69)/COUNTIFS(Roster!$D$2:$D$251,Roster!$D$2:$D$251,Roster!$E$2:$E$251,Roster!$E$2:$E$251))</f>
        <v>7</v>
      </c>
      <c r="D69" s="26" t="n">
        <f aca="false">COUNTIF(Roster!$E$2:$E$251,$B69)</f>
        <v>120</v>
      </c>
      <c r="E69" s="26" t="n">
        <f aca="false">SUMIFS(Sales_Data!$AE$2:$AE$3520,Sales_Data!$C$2:$C$3520,"&gt;="&amp;$C$5,Sales_Data!$C$2:$C$3520,"&lt;="&amp;$C$6,Sales_Data!$I$2:$I$3520,$B69)</f>
        <v>237</v>
      </c>
      <c r="F69" s="26" t="n">
        <f aca="false">SUMIFS(Sales_Data!$M$2:$M$3520,Sales_Data!$C$2:$C$3520,"&gt;="&amp;$C$5,Sales_Data!$C$2:$C$3520,"&lt;="&amp;$C$6,Sales_Data!$I$2:$I$3520,$B69,Sales_Data!$AE$2:$AE$3520,1)</f>
        <v>78</v>
      </c>
      <c r="G69" s="26" t="n">
        <f aca="false">SUMIFS(Sales_Data!$N$2:$N$3520,Sales_Data!$C$2:$C$3520,"&gt;="&amp;$C$5,Sales_Data!$C$2:$C$3520,"&lt;="&amp;$C$6,Sales_Data!$I$2:$I$3520,$B69,Sales_Data!$AE$2:$AE$3520,1)</f>
        <v>205</v>
      </c>
      <c r="H69" s="27" t="n">
        <f aca="false">F69+G69</f>
        <v>283</v>
      </c>
      <c r="I69" s="31" t="n">
        <f aca="false">IFERROR(H69/D69,0)</f>
        <v>2.35833333333333</v>
      </c>
      <c r="J69" s="26" t="n">
        <f aca="false">COUNTIFS(Agent_Summary!$D$5:$D$254,$B69,Agent_Summary!$K$5:$K$254,"&gt;0")</f>
        <v>67</v>
      </c>
      <c r="K69" s="32" t="n">
        <f aca="false">IFERROR(J69/D69,0)</f>
        <v>0.558333333333333</v>
      </c>
      <c r="L69" s="26" t="n">
        <f aca="false">SUMIFS(Sales_Data!$O$2:$O$3520,Sales_Data!$C$2:$C$3520,"&gt;="&amp;$C$12,Sales_Data!$C$2:$C$3520,"&lt;="&amp;$C$13,Sales_Data!$I$2:$I$3520,$B69,Sales_Data!$AE$2:$AE$3520,1)</f>
        <v>202</v>
      </c>
      <c r="M69" s="28" t="n">
        <f aca="false">H69-L69</f>
        <v>81</v>
      </c>
      <c r="N69" s="29" t="n">
        <f aca="false">IF(L69=0,"-",(H69-L69)/L69)</f>
        <v>0.400990099009901</v>
      </c>
    </row>
    <row r="70" customFormat="false" ht="15" hidden="false" customHeight="false" outlineLevel="0" collapsed="false">
      <c r="A70" s="3"/>
      <c r="B70" s="3"/>
      <c r="C70" s="3"/>
      <c r="D70" s="3"/>
      <c r="E70" s="3"/>
      <c r="F70" s="3"/>
      <c r="G70" s="3"/>
      <c r="H70" s="3"/>
      <c r="I70" s="3"/>
      <c r="J70" s="3"/>
      <c r="K70" s="3"/>
      <c r="L70" s="3"/>
      <c r="M70" s="3"/>
      <c r="N70" s="3"/>
    </row>
    <row r="71" customFormat="false" ht="19.5" hidden="false" customHeight="true" outlineLevel="0" collapsed="false">
      <c r="A71" s="4" t="s">
        <v>73</v>
      </c>
      <c r="B71" s="4"/>
      <c r="C71" s="4"/>
      <c r="D71" s="4"/>
      <c r="E71" s="4"/>
      <c r="F71" s="4"/>
      <c r="G71" s="3"/>
      <c r="H71" s="4" t="s">
        <v>74</v>
      </c>
      <c r="I71" s="4"/>
      <c r="J71" s="4"/>
      <c r="K71" s="4"/>
      <c r="L71" s="4"/>
      <c r="M71" s="4"/>
      <c r="N71" s="4"/>
    </row>
    <row r="72" customFormat="false" ht="15" hidden="false" customHeight="false" outlineLevel="0" collapsed="false">
      <c r="A72" s="24" t="s">
        <v>75</v>
      </c>
      <c r="B72" s="24" t="s">
        <v>76</v>
      </c>
      <c r="C72" s="24" t="s">
        <v>13</v>
      </c>
      <c r="D72" s="24" t="s">
        <v>77</v>
      </c>
      <c r="E72" s="24" t="s">
        <v>78</v>
      </c>
      <c r="F72" s="24" t="s">
        <v>79</v>
      </c>
      <c r="G72" s="3"/>
      <c r="H72" s="24" t="s">
        <v>75</v>
      </c>
      <c r="I72" s="24" t="s">
        <v>76</v>
      </c>
      <c r="J72" s="24" t="s">
        <v>13</v>
      </c>
      <c r="K72" s="24" t="s">
        <v>77</v>
      </c>
      <c r="L72" s="24" t="s">
        <v>80</v>
      </c>
      <c r="M72" s="24" t="s">
        <v>81</v>
      </c>
      <c r="N72" s="24" t="s">
        <v>82</v>
      </c>
    </row>
    <row r="73" customFormat="false" ht="15" hidden="false" customHeight="false" outlineLevel="0" collapsed="false">
      <c r="A73" s="33" t="n">
        <v>1</v>
      </c>
      <c r="B73" s="48" t="str">
        <f aca="false">IF(LARGE(Agent_Summary!$U$5:$U$254,1)&lt;0,"",INDEX(Agent_Summary!$B$5:$B$254,MATCH(LARGE(Agent_Summary!$U$5:$U$254,1),Agent_Summary!$U$5:$U$254,0)))</f>
        <v>Samuel Wadie Morgan Tawfik</v>
      </c>
      <c r="C73" s="53" t="str">
        <f aca="false">IF(LARGE(Agent_Summary!$U$5:$U$254,1)&lt;0,"",INDEX(Agent_Summary!$C$5:$C$254,MATCH(LARGE(Agent_Summary!$U$5:$U$254,1),Agent_Summary!$U$5:$U$254,0)))</f>
        <v>Salma Ahmed</v>
      </c>
      <c r="D73" s="27" t="n">
        <f aca="false">IF(LARGE(Agent_Summary!$U$5:$U$254,1)&lt;0,"",INDEX(Agent_Summary!$K$5:$K$254,MATCH(LARGE(Agent_Summary!$U$5:$U$254,1),Agent_Summary!$U$5:$U$254,0)))</f>
        <v>32</v>
      </c>
      <c r="E73" s="26" t="n">
        <f aca="false">IF(LARGE(Agent_Summary!$U$5:$U$254,1)&lt;0,"",INDEX(Agent_Summary!$I$5:$I$254,MATCH(LARGE(Agent_Summary!$U$5:$U$254,1),Agent_Summary!$U$5:$U$254,0)))</f>
        <v>16</v>
      </c>
      <c r="F73" s="26" t="n">
        <f aca="false">IF(LARGE(Agent_Summary!$U$5:$U$254,1)&lt;0,"",INDEX(Agent_Summary!$J$5:$J$254,MATCH(LARGE(Agent_Summary!$U$5:$U$254,1),Agent_Summary!$U$5:$U$254,0)))</f>
        <v>16</v>
      </c>
      <c r="G73" s="3"/>
      <c r="H73" s="33" t="n">
        <v>1</v>
      </c>
      <c r="I73" s="48" t="str">
        <f aca="false">IF(SMALL(Agent_Summary!$V$5:$V$254,1)&gt;=1000000000,"",INDEX(Agent_Summary!$B$5:$B$254,MATCH(SMALL(Agent_Summary!$V$5:$V$254,1),Agent_Summary!$V$5:$V$254,0)))</f>
        <v>Mohamed Medhat Mahmoud El Gendi</v>
      </c>
      <c r="J73" s="53" t="str">
        <f aca="false">IF(SMALL(Agent_Summary!$V$5:$V$254,1)&gt;=1000000000,"",INDEX(Agent_Summary!$C$5:$C$254,MATCH(SMALL(Agent_Summary!$V$5:$V$254,1),Agent_Summary!$V$5:$V$254,0)))</f>
        <v>Ahmed Aboelgoud</v>
      </c>
      <c r="K73" s="27" t="n">
        <f aca="false">IF(SMALL(Agent_Summary!$V$5:$V$254,1)&gt;=1000000000,"",INDEX(Agent_Summary!$K$5:$K$254,MATCH(SMALL(Agent_Summary!$V$5:$V$254,1),Agent_Summary!$V$5:$V$254,0)))</f>
        <v>0</v>
      </c>
      <c r="L73" s="26" t="n">
        <f aca="false">IF(SMALL(Agent_Summary!$V$5:$V$254,1)&gt;=1000000000,"",INDEX(Agent_Summary!$L$5:$L$254,MATCH(SMALL(Agent_Summary!$V$5:$V$254,1),Agent_Summary!$V$5:$V$254,0)))</f>
        <v>0</v>
      </c>
      <c r="M73" s="54" t="n">
        <f aca="false">IF(SMALL(Agent_Summary!$V$5:$V$254,1)&gt;=1000000000,"",INDEX(Agent_Summary!$P$5:$P$254,MATCH(SMALL(Agent_Summary!$V$5:$V$254,1),Agent_Summary!$V$5:$V$254,0)))</f>
        <v>46294</v>
      </c>
      <c r="N73" s="52" t="n">
        <f aca="false">IF(SMALL(Agent_Summary!$V$5:$V$254,1)&gt;=1000000000,"",INDEX(Agent_Summary!$Q$5:$Q$254,MATCH(SMALL(Agent_Summary!$V$5:$V$254,1),Agent_Summary!$V$5:$V$254,0)))</f>
        <v>9</v>
      </c>
    </row>
    <row r="74" customFormat="false" ht="15" hidden="false" customHeight="false" outlineLevel="0" collapsed="false">
      <c r="A74" s="33" t="n">
        <v>2</v>
      </c>
      <c r="B74" s="48" t="str">
        <f aca="false">IF(LARGE(Agent_Summary!$U$5:$U$254,2)&lt;0,"",INDEX(Agent_Summary!$B$5:$B$254,MATCH(LARGE(Agent_Summary!$U$5:$U$254,2),Agent_Summary!$U$5:$U$254,0)))</f>
        <v>Mahmoud Hamdi Mansour Haridi</v>
      </c>
      <c r="C74" s="53" t="str">
        <f aca="false">IF(LARGE(Agent_Summary!$U$5:$U$254,2)&lt;0,"",INDEX(Agent_Summary!$C$5:$C$254,MATCH(LARGE(Agent_Summary!$U$5:$U$254,2),Agent_Summary!$U$5:$U$254,0)))</f>
        <v>Rahma Samir</v>
      </c>
      <c r="D74" s="27" t="n">
        <f aca="false">IF(LARGE(Agent_Summary!$U$5:$U$254,2)&lt;0,"",INDEX(Agent_Summary!$K$5:$K$254,MATCH(LARGE(Agent_Summary!$U$5:$U$254,2),Agent_Summary!$U$5:$U$254,0)))</f>
        <v>16</v>
      </c>
      <c r="E74" s="26" t="n">
        <f aca="false">IF(LARGE(Agent_Summary!$U$5:$U$254,2)&lt;0,"",INDEX(Agent_Summary!$I$5:$I$254,MATCH(LARGE(Agent_Summary!$U$5:$U$254,2),Agent_Summary!$U$5:$U$254,0)))</f>
        <v>6</v>
      </c>
      <c r="F74" s="26" t="n">
        <f aca="false">IF(LARGE(Agent_Summary!$U$5:$U$254,2)&lt;0,"",INDEX(Agent_Summary!$J$5:$J$254,MATCH(LARGE(Agent_Summary!$U$5:$U$254,2),Agent_Summary!$U$5:$U$254,0)))</f>
        <v>10</v>
      </c>
      <c r="G74" s="3"/>
      <c r="H74" s="33" t="n">
        <v>2</v>
      </c>
      <c r="I74" s="48" t="str">
        <f aca="false">IF(SMALL(Agent_Summary!$V$5:$V$254,2)&gt;=1000000000,"",INDEX(Agent_Summary!$B$5:$B$254,MATCH(SMALL(Agent_Summary!$V$5:$V$254,2),Agent_Summary!$V$5:$V$254,0)))</f>
        <v>Ahmed Saieed</v>
      </c>
      <c r="J74" s="53" t="str">
        <f aca="false">IF(SMALL(Agent_Summary!$V$5:$V$254,2)&gt;=1000000000,"",INDEX(Agent_Summary!$C$5:$C$254,MATCH(SMALL(Agent_Summary!$V$5:$V$254,2),Agent_Summary!$V$5:$V$254,0)))</f>
        <v>Anas Sami</v>
      </c>
      <c r="K74" s="27" t="n">
        <f aca="false">IF(SMALL(Agent_Summary!$V$5:$V$254,2)&gt;=1000000000,"",INDEX(Agent_Summary!$K$5:$K$254,MATCH(SMALL(Agent_Summary!$V$5:$V$254,2),Agent_Summary!$V$5:$V$254,0)))</f>
        <v>0</v>
      </c>
      <c r="L74" s="26" t="n">
        <f aca="false">IF(SMALL(Agent_Summary!$V$5:$V$254,2)&gt;=1000000000,"",INDEX(Agent_Summary!$L$5:$L$254,MATCH(SMALL(Agent_Summary!$V$5:$V$254,2),Agent_Summary!$V$5:$V$254,0)))</f>
        <v>0</v>
      </c>
      <c r="M74" s="54" t="n">
        <f aca="false">IF(SMALL(Agent_Summary!$V$5:$V$254,2)&gt;=1000000000,"",INDEX(Agent_Summary!$P$5:$P$254,MATCH(SMALL(Agent_Summary!$V$5:$V$254,2),Agent_Summary!$V$5:$V$254,0)))</f>
        <v>46294</v>
      </c>
      <c r="N74" s="52" t="n">
        <f aca="false">IF(SMALL(Agent_Summary!$V$5:$V$254,2)&gt;=1000000000,"",INDEX(Agent_Summary!$Q$5:$Q$254,MATCH(SMALL(Agent_Summary!$V$5:$V$254,2),Agent_Summary!$V$5:$V$254,0)))</f>
        <v>9</v>
      </c>
    </row>
    <row r="75" customFormat="false" ht="15" hidden="false" customHeight="false" outlineLevel="0" collapsed="false">
      <c r="A75" s="33" t="n">
        <v>3</v>
      </c>
      <c r="B75" s="48" t="str">
        <f aca="false">IF(LARGE(Agent_Summary!$U$5:$U$254,3)&lt;0,"",INDEX(Agent_Summary!$B$5:$B$254,MATCH(LARGE(Agent_Summary!$U$5:$U$254,3),Agent_Summary!$U$5:$U$254,0)))</f>
        <v>Mohamed Abdelhamed Mohamed Abdelwahed Al Soda</v>
      </c>
      <c r="C75" s="53" t="str">
        <f aca="false">IF(LARGE(Agent_Summary!$U$5:$U$254,3)&lt;0,"",INDEX(Agent_Summary!$C$5:$C$254,MATCH(LARGE(Agent_Summary!$U$5:$U$254,3),Agent_Summary!$U$5:$U$254,0)))</f>
        <v>Shereen Kamal</v>
      </c>
      <c r="D75" s="27" t="n">
        <f aca="false">IF(LARGE(Agent_Summary!$U$5:$U$254,3)&lt;0,"",INDEX(Agent_Summary!$K$5:$K$254,MATCH(LARGE(Agent_Summary!$U$5:$U$254,3),Agent_Summary!$U$5:$U$254,0)))</f>
        <v>14</v>
      </c>
      <c r="E75" s="26" t="n">
        <f aca="false">IF(LARGE(Agent_Summary!$U$5:$U$254,3)&lt;0,"",INDEX(Agent_Summary!$I$5:$I$254,MATCH(LARGE(Agent_Summary!$U$5:$U$254,3),Agent_Summary!$U$5:$U$254,0)))</f>
        <v>3</v>
      </c>
      <c r="F75" s="26" t="n">
        <f aca="false">IF(LARGE(Agent_Summary!$U$5:$U$254,3)&lt;0,"",INDEX(Agent_Summary!$J$5:$J$254,MATCH(LARGE(Agent_Summary!$U$5:$U$254,3),Agent_Summary!$U$5:$U$254,0)))</f>
        <v>11</v>
      </c>
      <c r="G75" s="3"/>
      <c r="H75" s="33" t="n">
        <v>3</v>
      </c>
      <c r="I75" s="48" t="str">
        <f aca="false">IF(SMALL(Agent_Summary!$V$5:$V$254,3)&gt;=1000000000,"",INDEX(Agent_Summary!$B$5:$B$254,MATCH(SMALL(Agent_Summary!$V$5:$V$254,3),Agent_Summary!$V$5:$V$254,0)))</f>
        <v>Mahmoud Abdelaziz</v>
      </c>
      <c r="J75" s="53" t="str">
        <f aca="false">IF(SMALL(Agent_Summary!$V$5:$V$254,3)&gt;=1000000000,"",INDEX(Agent_Summary!$C$5:$C$254,MATCH(SMALL(Agent_Summary!$V$5:$V$254,3),Agent_Summary!$V$5:$V$254,0)))</f>
        <v>Anas Sami</v>
      </c>
      <c r="K75" s="27" t="n">
        <f aca="false">IF(SMALL(Agent_Summary!$V$5:$V$254,3)&gt;=1000000000,"",INDEX(Agent_Summary!$K$5:$K$254,MATCH(SMALL(Agent_Summary!$V$5:$V$254,3),Agent_Summary!$V$5:$V$254,0)))</f>
        <v>0</v>
      </c>
      <c r="L75" s="26" t="n">
        <f aca="false">IF(SMALL(Agent_Summary!$V$5:$V$254,3)&gt;=1000000000,"",INDEX(Agent_Summary!$L$5:$L$254,MATCH(SMALL(Agent_Summary!$V$5:$V$254,3),Agent_Summary!$V$5:$V$254,0)))</f>
        <v>0</v>
      </c>
      <c r="M75" s="54" t="n">
        <f aca="false">IF(SMALL(Agent_Summary!$V$5:$V$254,3)&gt;=1000000000,"",INDEX(Agent_Summary!$P$5:$P$254,MATCH(SMALL(Agent_Summary!$V$5:$V$254,3),Agent_Summary!$V$5:$V$254,0)))</f>
        <v>46294</v>
      </c>
      <c r="N75" s="52" t="n">
        <f aca="false">IF(SMALL(Agent_Summary!$V$5:$V$254,3)&gt;=1000000000,"",INDEX(Agent_Summary!$Q$5:$Q$254,MATCH(SMALL(Agent_Summary!$V$5:$V$254,3),Agent_Summary!$V$5:$V$254,0)))</f>
        <v>9</v>
      </c>
    </row>
    <row r="76" customFormat="false" ht="15" hidden="false" customHeight="false" outlineLevel="0" collapsed="false">
      <c r="A76" s="33" t="n">
        <v>4</v>
      </c>
      <c r="B76" s="48" t="str">
        <f aca="false">IF(LARGE(Agent_Summary!$U$5:$U$254,4)&lt;0,"",INDEX(Agent_Summary!$B$5:$B$254,MATCH(LARGE(Agent_Summary!$U$5:$U$254,4),Agent_Summary!$U$5:$U$254,0)))</f>
        <v>Omar Ahmed Salah Eldin Mohamed Kamel</v>
      </c>
      <c r="C76" s="53" t="str">
        <f aca="false">IF(LARGE(Agent_Summary!$U$5:$U$254,4)&lt;0,"",INDEX(Agent_Summary!$C$5:$C$254,MATCH(LARGE(Agent_Summary!$U$5:$U$254,4),Agent_Summary!$U$5:$U$254,0)))</f>
        <v>Omar Mansour</v>
      </c>
      <c r="D76" s="27" t="n">
        <f aca="false">IF(LARGE(Agent_Summary!$U$5:$U$254,4)&lt;0,"",INDEX(Agent_Summary!$K$5:$K$254,MATCH(LARGE(Agent_Summary!$U$5:$U$254,4),Agent_Summary!$U$5:$U$254,0)))</f>
        <v>13</v>
      </c>
      <c r="E76" s="26" t="n">
        <f aca="false">IF(LARGE(Agent_Summary!$U$5:$U$254,4)&lt;0,"",INDEX(Agent_Summary!$I$5:$I$254,MATCH(LARGE(Agent_Summary!$U$5:$U$254,4),Agent_Summary!$U$5:$U$254,0)))</f>
        <v>0</v>
      </c>
      <c r="F76" s="26" t="n">
        <f aca="false">IF(LARGE(Agent_Summary!$U$5:$U$254,4)&lt;0,"",INDEX(Agent_Summary!$J$5:$J$254,MATCH(LARGE(Agent_Summary!$U$5:$U$254,4),Agent_Summary!$U$5:$U$254,0)))</f>
        <v>13</v>
      </c>
      <c r="G76" s="3"/>
      <c r="H76" s="33" t="n">
        <v>4</v>
      </c>
      <c r="I76" s="48" t="str">
        <f aca="false">IF(SMALL(Agent_Summary!$V$5:$V$254,4)&gt;=1000000000,"",INDEX(Agent_Summary!$B$5:$B$254,MATCH(SMALL(Agent_Summary!$V$5:$V$254,4),Agent_Summary!$V$5:$V$254,0)))</f>
        <v>Radwa Ahmed</v>
      </c>
      <c r="J76" s="53" t="str">
        <f aca="false">IF(SMALL(Agent_Summary!$V$5:$V$254,4)&gt;=1000000000,"",INDEX(Agent_Summary!$C$5:$C$254,MATCH(SMALL(Agent_Summary!$V$5:$V$254,4),Agent_Summary!$V$5:$V$254,0)))</f>
        <v>Anas Sami</v>
      </c>
      <c r="K76" s="27" t="n">
        <f aca="false">IF(SMALL(Agent_Summary!$V$5:$V$254,4)&gt;=1000000000,"",INDEX(Agent_Summary!$K$5:$K$254,MATCH(SMALL(Agent_Summary!$V$5:$V$254,4),Agent_Summary!$V$5:$V$254,0)))</f>
        <v>0</v>
      </c>
      <c r="L76" s="26" t="n">
        <f aca="false">IF(SMALL(Agent_Summary!$V$5:$V$254,4)&gt;=1000000000,"",INDEX(Agent_Summary!$L$5:$L$254,MATCH(SMALL(Agent_Summary!$V$5:$V$254,4),Agent_Summary!$V$5:$V$254,0)))</f>
        <v>0</v>
      </c>
      <c r="M76" s="54" t="n">
        <f aca="false">IF(SMALL(Agent_Summary!$V$5:$V$254,4)&gt;=1000000000,"",INDEX(Agent_Summary!$P$5:$P$254,MATCH(SMALL(Agent_Summary!$V$5:$V$254,4),Agent_Summary!$V$5:$V$254,0)))</f>
        <v>46292</v>
      </c>
      <c r="N76" s="52" t="n">
        <f aca="false">IF(SMALL(Agent_Summary!$V$5:$V$254,4)&gt;=1000000000,"",INDEX(Agent_Summary!$Q$5:$Q$254,MATCH(SMALL(Agent_Summary!$V$5:$V$254,4),Agent_Summary!$V$5:$V$254,0)))</f>
        <v>11</v>
      </c>
    </row>
    <row r="77" customFormat="false" ht="15" hidden="false" customHeight="false" outlineLevel="0" collapsed="false">
      <c r="A77" s="33" t="n">
        <v>5</v>
      </c>
      <c r="B77" s="48" t="str">
        <f aca="false">IF(LARGE(Agent_Summary!$U$5:$U$254,5)&lt;0,"",INDEX(Agent_Summary!$B$5:$B$254,MATCH(LARGE(Agent_Summary!$U$5:$U$254,5),Agent_Summary!$U$5:$U$254,0)))</f>
        <v>Moutasem Ahmed Mohamed Saied</v>
      </c>
      <c r="C77" s="53" t="str">
        <f aca="false">IF(LARGE(Agent_Summary!$U$5:$U$254,5)&lt;0,"",INDEX(Agent_Summary!$C$5:$C$254,MATCH(LARGE(Agent_Summary!$U$5:$U$254,5),Agent_Summary!$U$5:$U$254,0)))</f>
        <v>Mohamed Ashour</v>
      </c>
      <c r="D77" s="27" t="n">
        <f aca="false">IF(LARGE(Agent_Summary!$U$5:$U$254,5)&lt;0,"",INDEX(Agent_Summary!$K$5:$K$254,MATCH(LARGE(Agent_Summary!$U$5:$U$254,5),Agent_Summary!$U$5:$U$254,0)))</f>
        <v>12</v>
      </c>
      <c r="E77" s="26" t="n">
        <f aca="false">IF(LARGE(Agent_Summary!$U$5:$U$254,5)&lt;0,"",INDEX(Agent_Summary!$I$5:$I$254,MATCH(LARGE(Agent_Summary!$U$5:$U$254,5),Agent_Summary!$U$5:$U$254,0)))</f>
        <v>3</v>
      </c>
      <c r="F77" s="26" t="n">
        <f aca="false">IF(LARGE(Agent_Summary!$U$5:$U$254,5)&lt;0,"",INDEX(Agent_Summary!$J$5:$J$254,MATCH(LARGE(Agent_Summary!$U$5:$U$254,5),Agent_Summary!$U$5:$U$254,0)))</f>
        <v>9</v>
      </c>
      <c r="G77" s="3"/>
      <c r="H77" s="33" t="n">
        <v>5</v>
      </c>
      <c r="I77" s="48" t="str">
        <f aca="false">IF(SMALL(Agent_Summary!$V$5:$V$254,5)&gt;=1000000000,"",INDEX(Agent_Summary!$B$5:$B$254,MATCH(SMALL(Agent_Summary!$V$5:$V$254,5),Agent_Summary!$V$5:$V$254,0)))</f>
        <v>Anas Abdulrahman</v>
      </c>
      <c r="J77" s="53" t="str">
        <f aca="false">IF(SMALL(Agent_Summary!$V$5:$V$254,5)&gt;=1000000000,"",INDEX(Agent_Summary!$C$5:$C$254,MATCH(SMALL(Agent_Summary!$V$5:$V$254,5),Agent_Summary!$V$5:$V$254,0)))</f>
        <v>Essam Medhat</v>
      </c>
      <c r="K77" s="27" t="n">
        <f aca="false">IF(SMALL(Agent_Summary!$V$5:$V$254,5)&gt;=1000000000,"",INDEX(Agent_Summary!$K$5:$K$254,MATCH(SMALL(Agent_Summary!$V$5:$V$254,5),Agent_Summary!$V$5:$V$254,0)))</f>
        <v>0</v>
      </c>
      <c r="L77" s="26" t="n">
        <f aca="false">IF(SMALL(Agent_Summary!$V$5:$V$254,5)&gt;=1000000000,"",INDEX(Agent_Summary!$L$5:$L$254,MATCH(SMALL(Agent_Summary!$V$5:$V$254,5),Agent_Summary!$V$5:$V$254,0)))</f>
        <v>0</v>
      </c>
      <c r="M77" s="54" t="n">
        <f aca="false">IF(SMALL(Agent_Summary!$V$5:$V$254,5)&gt;=1000000000,"",INDEX(Agent_Summary!$P$5:$P$254,MATCH(SMALL(Agent_Summary!$V$5:$V$254,5),Agent_Summary!$V$5:$V$254,0)))</f>
        <v>46296</v>
      </c>
      <c r="N77" s="52" t="n">
        <f aca="false">IF(SMALL(Agent_Summary!$V$5:$V$254,5)&gt;=1000000000,"",INDEX(Agent_Summary!$Q$5:$Q$254,MATCH(SMALL(Agent_Summary!$V$5:$V$254,5),Agent_Summary!$V$5:$V$254,0)))</f>
        <v>7</v>
      </c>
    </row>
    <row r="78" customFormat="false" ht="15" hidden="false" customHeight="false" outlineLevel="0" collapsed="false">
      <c r="A78" s="33" t="n">
        <v>6</v>
      </c>
      <c r="B78" s="48" t="str">
        <f aca="false">IF(LARGE(Agent_Summary!$U$5:$U$254,6)&lt;0,"",INDEX(Agent_Summary!$B$5:$B$254,MATCH(LARGE(Agent_Summary!$U$5:$U$254,6),Agent_Summary!$U$5:$U$254,0)))</f>
        <v>Hisham Ahmed Saad Abd Elnaby</v>
      </c>
      <c r="C78" s="53" t="str">
        <f aca="false">IF(LARGE(Agent_Summary!$U$5:$U$254,6)&lt;0,"",INDEX(Agent_Summary!$C$5:$C$254,MATCH(LARGE(Agent_Summary!$U$5:$U$254,6),Agent_Summary!$U$5:$U$254,0)))</f>
        <v>Salma Ahmed</v>
      </c>
      <c r="D78" s="27" t="n">
        <f aca="false">IF(LARGE(Agent_Summary!$U$5:$U$254,6)&lt;0,"",INDEX(Agent_Summary!$K$5:$K$254,MATCH(LARGE(Agent_Summary!$U$5:$U$254,6),Agent_Summary!$U$5:$U$254,0)))</f>
        <v>11</v>
      </c>
      <c r="E78" s="26" t="n">
        <f aca="false">IF(LARGE(Agent_Summary!$U$5:$U$254,6)&lt;0,"",INDEX(Agent_Summary!$I$5:$I$254,MATCH(LARGE(Agent_Summary!$U$5:$U$254,6),Agent_Summary!$U$5:$U$254,0)))</f>
        <v>2</v>
      </c>
      <c r="F78" s="26" t="n">
        <f aca="false">IF(LARGE(Agent_Summary!$U$5:$U$254,6)&lt;0,"",INDEX(Agent_Summary!$J$5:$J$254,MATCH(LARGE(Agent_Summary!$U$5:$U$254,6),Agent_Summary!$U$5:$U$254,0)))</f>
        <v>9</v>
      </c>
      <c r="G78" s="3"/>
      <c r="H78" s="33" t="n">
        <v>6</v>
      </c>
      <c r="I78" s="48" t="str">
        <f aca="false">IF(SMALL(Agent_Summary!$V$5:$V$254,6)&gt;=1000000000,"",INDEX(Agent_Summary!$B$5:$B$254,MATCH(SMALL(Agent_Summary!$V$5:$V$254,6),Agent_Summary!$V$5:$V$254,0)))</f>
        <v>Salma Mustafa</v>
      </c>
      <c r="J78" s="53" t="str">
        <f aca="false">IF(SMALL(Agent_Summary!$V$5:$V$254,6)&gt;=1000000000,"",INDEX(Agent_Summary!$C$5:$C$254,MATCH(SMALL(Agent_Summary!$V$5:$V$254,6),Agent_Summary!$V$5:$V$254,0)))</f>
        <v>Essam Medhat</v>
      </c>
      <c r="K78" s="27" t="n">
        <f aca="false">IF(SMALL(Agent_Summary!$V$5:$V$254,6)&gt;=1000000000,"",INDEX(Agent_Summary!$K$5:$K$254,MATCH(SMALL(Agent_Summary!$V$5:$V$254,6),Agent_Summary!$V$5:$V$254,0)))</f>
        <v>0</v>
      </c>
      <c r="L78" s="26" t="n">
        <f aca="false">IF(SMALL(Agent_Summary!$V$5:$V$254,6)&gt;=1000000000,"",INDEX(Agent_Summary!$L$5:$L$254,MATCH(SMALL(Agent_Summary!$V$5:$V$254,6),Agent_Summary!$V$5:$V$254,0)))</f>
        <v>0</v>
      </c>
      <c r="M78" s="54" t="n">
        <f aca="false">IF(SMALL(Agent_Summary!$V$5:$V$254,6)&gt;=1000000000,"",INDEX(Agent_Summary!$P$5:$P$254,MATCH(SMALL(Agent_Summary!$V$5:$V$254,6),Agent_Summary!$V$5:$V$254,0)))</f>
        <v>46276</v>
      </c>
      <c r="N78" s="52" t="n">
        <f aca="false">IF(SMALL(Agent_Summary!$V$5:$V$254,6)&gt;=1000000000,"",INDEX(Agent_Summary!$Q$5:$Q$254,MATCH(SMALL(Agent_Summary!$V$5:$V$254,6),Agent_Summary!$V$5:$V$254,0)))</f>
        <v>27</v>
      </c>
    </row>
    <row r="79" customFormat="false" ht="15" hidden="false" customHeight="false" outlineLevel="0" collapsed="false">
      <c r="A79" s="33" t="n">
        <v>7</v>
      </c>
      <c r="B79" s="48" t="str">
        <f aca="false">IF(LARGE(Agent_Summary!$U$5:$U$254,7)&lt;0,"",INDEX(Agent_Summary!$B$5:$B$254,MATCH(LARGE(Agent_Summary!$U$5:$U$254,7),Agent_Summary!$U$5:$U$254,0)))</f>
        <v>Esraa Ahmed Metwally Hanafey Aboied</v>
      </c>
      <c r="C79" s="53" t="str">
        <f aca="false">IF(LARGE(Agent_Summary!$U$5:$U$254,7)&lt;0,"",INDEX(Agent_Summary!$C$5:$C$254,MATCH(LARGE(Agent_Summary!$U$5:$U$254,7),Agent_Summary!$U$5:$U$254,0)))</f>
        <v>Ahmed Aboelgoud</v>
      </c>
      <c r="D79" s="27" t="n">
        <f aca="false">IF(LARGE(Agent_Summary!$U$5:$U$254,7)&lt;0,"",INDEX(Agent_Summary!$K$5:$K$254,MATCH(LARGE(Agent_Summary!$U$5:$U$254,7),Agent_Summary!$U$5:$U$254,0)))</f>
        <v>11</v>
      </c>
      <c r="E79" s="26" t="n">
        <f aca="false">IF(LARGE(Agent_Summary!$U$5:$U$254,7)&lt;0,"",INDEX(Agent_Summary!$I$5:$I$254,MATCH(LARGE(Agent_Summary!$U$5:$U$254,7),Agent_Summary!$U$5:$U$254,0)))</f>
        <v>0</v>
      </c>
      <c r="F79" s="26" t="n">
        <f aca="false">IF(LARGE(Agent_Summary!$U$5:$U$254,7)&lt;0,"",INDEX(Agent_Summary!$J$5:$J$254,MATCH(LARGE(Agent_Summary!$U$5:$U$254,7),Agent_Summary!$U$5:$U$254,0)))</f>
        <v>11</v>
      </c>
      <c r="G79" s="3"/>
      <c r="H79" s="33" t="n">
        <v>7</v>
      </c>
      <c r="I79" s="48" t="str">
        <f aca="false">IF(SMALL(Agent_Summary!$V$5:$V$254,7)&gt;=1000000000,"",INDEX(Agent_Summary!$B$5:$B$254,MATCH(SMALL(Agent_Summary!$V$5:$V$254,7),Agent_Summary!$V$5:$V$254,0)))</f>
        <v>Abdallah Abdellaziz Abdallah Abdellaziz</v>
      </c>
      <c r="J79" s="53" t="str">
        <f aca="false">IF(SMALL(Agent_Summary!$V$5:$V$254,7)&gt;=1000000000,"",INDEX(Agent_Summary!$C$5:$C$254,MATCH(SMALL(Agent_Summary!$V$5:$V$254,7),Agent_Summary!$V$5:$V$254,0)))</f>
        <v>Mina Milad</v>
      </c>
      <c r="K79" s="27" t="n">
        <f aca="false">IF(SMALL(Agent_Summary!$V$5:$V$254,7)&gt;=1000000000,"",INDEX(Agent_Summary!$K$5:$K$254,MATCH(SMALL(Agent_Summary!$V$5:$V$254,7),Agent_Summary!$V$5:$V$254,0)))</f>
        <v>0</v>
      </c>
      <c r="L79" s="26" t="n">
        <f aca="false">IF(SMALL(Agent_Summary!$V$5:$V$254,7)&gt;=1000000000,"",INDEX(Agent_Summary!$L$5:$L$254,MATCH(SMALL(Agent_Summary!$V$5:$V$254,7),Agent_Summary!$V$5:$V$254,0)))</f>
        <v>0</v>
      </c>
      <c r="M79" s="54" t="n">
        <f aca="false">IF(SMALL(Agent_Summary!$V$5:$V$254,7)&gt;=1000000000,"",INDEX(Agent_Summary!$P$5:$P$254,MATCH(SMALL(Agent_Summary!$V$5:$V$254,7),Agent_Summary!$V$5:$V$254,0)))</f>
        <v>46291</v>
      </c>
      <c r="N79" s="52" t="n">
        <f aca="false">IF(SMALL(Agent_Summary!$V$5:$V$254,7)&gt;=1000000000,"",INDEX(Agent_Summary!$Q$5:$Q$254,MATCH(SMALL(Agent_Summary!$V$5:$V$254,7),Agent_Summary!$V$5:$V$254,0)))</f>
        <v>12</v>
      </c>
    </row>
    <row r="80" customFormat="false" ht="15" hidden="false" customHeight="false" outlineLevel="0" collapsed="false">
      <c r="A80" s="33" t="n">
        <v>8</v>
      </c>
      <c r="B80" s="48" t="str">
        <f aca="false">IF(LARGE(Agent_Summary!$U$5:$U$254,8)&lt;0,"",INDEX(Agent_Summary!$B$5:$B$254,MATCH(LARGE(Agent_Summary!$U$5:$U$254,8),Agent_Summary!$U$5:$U$254,0)))</f>
        <v>Walaa Reda Abd El Galel Atta</v>
      </c>
      <c r="C80" s="53" t="str">
        <f aca="false">IF(LARGE(Agent_Summary!$U$5:$U$254,8)&lt;0,"",INDEX(Agent_Summary!$C$5:$C$254,MATCH(LARGE(Agent_Summary!$U$5:$U$254,8),Agent_Summary!$U$5:$U$254,0)))</f>
        <v>Salma Ahmed</v>
      </c>
      <c r="D80" s="27" t="n">
        <f aca="false">IF(LARGE(Agent_Summary!$U$5:$U$254,8)&lt;0,"",INDEX(Agent_Summary!$K$5:$K$254,MATCH(LARGE(Agent_Summary!$U$5:$U$254,8),Agent_Summary!$U$5:$U$254,0)))</f>
        <v>10</v>
      </c>
      <c r="E80" s="26" t="n">
        <f aca="false">IF(LARGE(Agent_Summary!$U$5:$U$254,8)&lt;0,"",INDEX(Agent_Summary!$I$5:$I$254,MATCH(LARGE(Agent_Summary!$U$5:$U$254,8),Agent_Summary!$U$5:$U$254,0)))</f>
        <v>3</v>
      </c>
      <c r="F80" s="26" t="n">
        <f aca="false">IF(LARGE(Agent_Summary!$U$5:$U$254,8)&lt;0,"",INDEX(Agent_Summary!$J$5:$J$254,MATCH(LARGE(Agent_Summary!$U$5:$U$254,8),Agent_Summary!$U$5:$U$254,0)))</f>
        <v>7</v>
      </c>
      <c r="G80" s="3"/>
      <c r="H80" s="33" t="n">
        <v>8</v>
      </c>
      <c r="I80" s="48" t="str">
        <f aca="false">IF(SMALL(Agent_Summary!$V$5:$V$254,8)&gt;=1000000000,"",INDEX(Agent_Summary!$B$5:$B$254,MATCH(SMALL(Agent_Summary!$V$5:$V$254,8),Agent_Summary!$V$5:$V$254,0)))</f>
        <v>Abdelrahman Eid</v>
      </c>
      <c r="J80" s="53" t="str">
        <f aca="false">IF(SMALL(Agent_Summary!$V$5:$V$254,8)&gt;=1000000000,"",INDEX(Agent_Summary!$C$5:$C$254,MATCH(SMALL(Agent_Summary!$V$5:$V$254,8),Agent_Summary!$V$5:$V$254,0)))</f>
        <v>Mina Milad</v>
      </c>
      <c r="K80" s="27" t="n">
        <f aca="false">IF(SMALL(Agent_Summary!$V$5:$V$254,8)&gt;=1000000000,"",INDEX(Agent_Summary!$K$5:$K$254,MATCH(SMALL(Agent_Summary!$V$5:$V$254,8),Agent_Summary!$V$5:$V$254,0)))</f>
        <v>0</v>
      </c>
      <c r="L80" s="26" t="n">
        <f aca="false">IF(SMALL(Agent_Summary!$V$5:$V$254,8)&gt;=1000000000,"",INDEX(Agent_Summary!$L$5:$L$254,MATCH(SMALL(Agent_Summary!$V$5:$V$254,8),Agent_Summary!$V$5:$V$254,0)))</f>
        <v>0</v>
      </c>
      <c r="M80" s="54" t="n">
        <f aca="false">IF(SMALL(Agent_Summary!$V$5:$V$254,8)&gt;=1000000000,"",INDEX(Agent_Summary!$P$5:$P$254,MATCH(SMALL(Agent_Summary!$V$5:$V$254,8),Agent_Summary!$V$5:$V$254,0)))</f>
        <v>46273</v>
      </c>
      <c r="N80" s="52" t="n">
        <f aca="false">IF(SMALL(Agent_Summary!$V$5:$V$254,8)&gt;=1000000000,"",INDEX(Agent_Summary!$Q$5:$Q$254,MATCH(SMALL(Agent_Summary!$V$5:$V$254,8),Agent_Summary!$V$5:$V$254,0)))</f>
        <v>30</v>
      </c>
    </row>
    <row r="81" customFormat="false" ht="15" hidden="false" customHeight="false" outlineLevel="0" collapsed="false">
      <c r="A81" s="33" t="n">
        <v>9</v>
      </c>
      <c r="B81" s="48" t="str">
        <f aca="false">IF(LARGE(Agent_Summary!$U$5:$U$254,9)&lt;0,"",INDEX(Agent_Summary!$B$5:$B$254,MATCH(LARGE(Agent_Summary!$U$5:$U$254,9),Agent_Summary!$U$5:$U$254,0)))</f>
        <v>Hussien Ahmed Ahmed Eladawy</v>
      </c>
      <c r="C81" s="53" t="str">
        <f aca="false">IF(LARGE(Agent_Summary!$U$5:$U$254,9)&lt;0,"",INDEX(Agent_Summary!$C$5:$C$254,MATCH(LARGE(Agent_Summary!$U$5:$U$254,9),Agent_Summary!$U$5:$U$254,0)))</f>
        <v>Shereen Kamal</v>
      </c>
      <c r="D81" s="27" t="n">
        <f aca="false">IF(LARGE(Agent_Summary!$U$5:$U$254,9)&lt;0,"",INDEX(Agent_Summary!$K$5:$K$254,MATCH(LARGE(Agent_Summary!$U$5:$U$254,9),Agent_Summary!$U$5:$U$254,0)))</f>
        <v>9</v>
      </c>
      <c r="E81" s="26" t="n">
        <f aca="false">IF(LARGE(Agent_Summary!$U$5:$U$254,9)&lt;0,"",INDEX(Agent_Summary!$I$5:$I$254,MATCH(LARGE(Agent_Summary!$U$5:$U$254,9),Agent_Summary!$U$5:$U$254,0)))</f>
        <v>1</v>
      </c>
      <c r="F81" s="26" t="n">
        <f aca="false">IF(LARGE(Agent_Summary!$U$5:$U$254,9)&lt;0,"",INDEX(Agent_Summary!$J$5:$J$254,MATCH(LARGE(Agent_Summary!$U$5:$U$254,9),Agent_Summary!$U$5:$U$254,0)))</f>
        <v>8</v>
      </c>
      <c r="G81" s="3"/>
      <c r="H81" s="33" t="n">
        <v>9</v>
      </c>
      <c r="I81" s="48" t="str">
        <f aca="false">IF(SMALL(Agent_Summary!$V$5:$V$254,9)&gt;=1000000000,"",INDEX(Agent_Summary!$B$5:$B$254,MATCH(SMALL(Agent_Summary!$V$5:$V$254,9),Agent_Summary!$V$5:$V$254,0)))</f>
        <v>Bassant Mohamed</v>
      </c>
      <c r="J81" s="53" t="str">
        <f aca="false">IF(SMALL(Agent_Summary!$V$5:$V$254,9)&gt;=1000000000,"",INDEX(Agent_Summary!$C$5:$C$254,MATCH(SMALL(Agent_Summary!$V$5:$V$254,9),Agent_Summary!$V$5:$V$254,0)))</f>
        <v>Mina Milad</v>
      </c>
      <c r="K81" s="27" t="n">
        <f aca="false">IF(SMALL(Agent_Summary!$V$5:$V$254,9)&gt;=1000000000,"",INDEX(Agent_Summary!$K$5:$K$254,MATCH(SMALL(Agent_Summary!$V$5:$V$254,9),Agent_Summary!$V$5:$V$254,0)))</f>
        <v>0</v>
      </c>
      <c r="L81" s="26" t="n">
        <f aca="false">IF(SMALL(Agent_Summary!$V$5:$V$254,9)&gt;=1000000000,"",INDEX(Agent_Summary!$L$5:$L$254,MATCH(SMALL(Agent_Summary!$V$5:$V$254,9),Agent_Summary!$V$5:$V$254,0)))</f>
        <v>0</v>
      </c>
      <c r="M81" s="54" t="n">
        <f aca="false">IF(SMALL(Agent_Summary!$V$5:$V$254,9)&gt;=1000000000,"",INDEX(Agent_Summary!$P$5:$P$254,MATCH(SMALL(Agent_Summary!$V$5:$V$254,9),Agent_Summary!$V$5:$V$254,0)))</f>
        <v>46247</v>
      </c>
      <c r="N81" s="52" t="n">
        <f aca="false">IF(SMALL(Agent_Summary!$V$5:$V$254,9)&gt;=1000000000,"",INDEX(Agent_Summary!$Q$5:$Q$254,MATCH(SMALL(Agent_Summary!$V$5:$V$254,9),Agent_Summary!$V$5:$V$254,0)))</f>
        <v>56</v>
      </c>
    </row>
    <row r="82" customFormat="false" ht="15" hidden="false" customHeight="false" outlineLevel="0" collapsed="false">
      <c r="A82" s="33" t="n">
        <v>10</v>
      </c>
      <c r="B82" s="48" t="str">
        <f aca="false">IF(LARGE(Agent_Summary!$U$5:$U$254,10)&lt;0,"",INDEX(Agent_Summary!$B$5:$B$254,MATCH(LARGE(Agent_Summary!$U$5:$U$254,10),Agent_Summary!$U$5:$U$254,0)))</f>
        <v>Abdullah Ehab Ahmed Abdelsalam Elkady</v>
      </c>
      <c r="C82" s="53" t="str">
        <f aca="false">IF(LARGE(Agent_Summary!$U$5:$U$254,10)&lt;0,"",INDEX(Agent_Summary!$C$5:$C$254,MATCH(LARGE(Agent_Summary!$U$5:$U$254,10),Agent_Summary!$U$5:$U$254,0)))</f>
        <v>Rahma Samir</v>
      </c>
      <c r="D82" s="27" t="n">
        <f aca="false">IF(LARGE(Agent_Summary!$U$5:$U$254,10)&lt;0,"",INDEX(Agent_Summary!$K$5:$K$254,MATCH(LARGE(Agent_Summary!$U$5:$U$254,10),Agent_Summary!$U$5:$U$254,0)))</f>
        <v>9</v>
      </c>
      <c r="E82" s="26" t="n">
        <f aca="false">IF(LARGE(Agent_Summary!$U$5:$U$254,10)&lt;0,"",INDEX(Agent_Summary!$I$5:$I$254,MATCH(LARGE(Agent_Summary!$U$5:$U$254,10),Agent_Summary!$U$5:$U$254,0)))</f>
        <v>0</v>
      </c>
      <c r="F82" s="26" t="n">
        <f aca="false">IF(LARGE(Agent_Summary!$U$5:$U$254,10)&lt;0,"",INDEX(Agent_Summary!$J$5:$J$254,MATCH(LARGE(Agent_Summary!$U$5:$U$254,10),Agent_Summary!$U$5:$U$254,0)))</f>
        <v>9</v>
      </c>
      <c r="G82" s="3"/>
      <c r="H82" s="33" t="n">
        <v>10</v>
      </c>
      <c r="I82" s="48" t="str">
        <f aca="false">IF(SMALL(Agent_Summary!$V$5:$V$254,10)&gt;=1000000000,"",INDEX(Agent_Summary!$B$5:$B$254,MATCH(SMALL(Agent_Summary!$V$5:$V$254,10),Agent_Summary!$V$5:$V$254,0)))</f>
        <v>Omar Elmeniawy</v>
      </c>
      <c r="J82" s="53" t="str">
        <f aca="false">IF(SMALL(Agent_Summary!$V$5:$V$254,10)&gt;=1000000000,"",INDEX(Agent_Summary!$C$5:$C$254,MATCH(SMALL(Agent_Summary!$V$5:$V$254,10),Agent_Summary!$V$5:$V$254,0)))</f>
        <v>Mina Milad</v>
      </c>
      <c r="K82" s="27" t="n">
        <f aca="false">IF(SMALL(Agent_Summary!$V$5:$V$254,10)&gt;=1000000000,"",INDEX(Agent_Summary!$K$5:$K$254,MATCH(SMALL(Agent_Summary!$V$5:$V$254,10),Agent_Summary!$V$5:$V$254,0)))</f>
        <v>0</v>
      </c>
      <c r="L82" s="26" t="n">
        <f aca="false">IF(SMALL(Agent_Summary!$V$5:$V$254,10)&gt;=1000000000,"",INDEX(Agent_Summary!$L$5:$L$254,MATCH(SMALL(Agent_Summary!$V$5:$V$254,10),Agent_Summary!$V$5:$V$254,0)))</f>
        <v>0</v>
      </c>
      <c r="M82" s="54" t="n">
        <f aca="false">IF(SMALL(Agent_Summary!$V$5:$V$254,10)&gt;=1000000000,"",INDEX(Agent_Summary!$P$5:$P$254,MATCH(SMALL(Agent_Summary!$V$5:$V$254,10),Agent_Summary!$V$5:$V$254,0)))</f>
        <v>46292</v>
      </c>
      <c r="N82" s="52" t="n">
        <f aca="false">IF(SMALL(Agent_Summary!$V$5:$V$254,10)&gt;=1000000000,"",INDEX(Agent_Summary!$Q$5:$Q$254,MATCH(SMALL(Agent_Summary!$V$5:$V$254,10),Agent_Summary!$V$5:$V$254,0)))</f>
        <v>11</v>
      </c>
    </row>
    <row r="83" customFormat="false" ht="15" hidden="false" customHeight="false" outlineLevel="0" collapsed="false">
      <c r="A83" s="3"/>
      <c r="B83" s="3"/>
      <c r="C83" s="3"/>
      <c r="D83" s="3"/>
      <c r="E83" s="3"/>
      <c r="F83" s="3"/>
      <c r="G83" s="3"/>
      <c r="H83" s="3"/>
      <c r="I83" s="3"/>
      <c r="J83" s="3"/>
      <c r="K83" s="3"/>
      <c r="L83" s="3"/>
      <c r="M83" s="3"/>
      <c r="N83" s="3"/>
    </row>
    <row r="84" customFormat="false" ht="19.5" hidden="false" customHeight="true" outlineLevel="0" collapsed="false">
      <c r="A84" s="4" t="s">
        <v>83</v>
      </c>
      <c r="B84" s="4"/>
      <c r="C84" s="4"/>
      <c r="D84" s="4"/>
      <c r="E84" s="4"/>
      <c r="F84" s="4"/>
      <c r="G84" s="4"/>
      <c r="H84" s="4"/>
      <c r="I84" s="4"/>
      <c r="J84" s="4"/>
      <c r="K84" s="4"/>
      <c r="L84" s="4"/>
      <c r="M84" s="4"/>
      <c r="N84" s="4"/>
    </row>
  </sheetData>
  <mergeCells count="62">
    <mergeCell ref="A1:N1"/>
    <mergeCell ref="A2:N2"/>
    <mergeCell ref="A4:C4"/>
    <mergeCell ref="E4:F4"/>
    <mergeCell ref="G4:H4"/>
    <mergeCell ref="I4:J4"/>
    <mergeCell ref="K4:L4"/>
    <mergeCell ref="M4:N4"/>
    <mergeCell ref="A5:B5"/>
    <mergeCell ref="E5:F5"/>
    <mergeCell ref="G5:H5"/>
    <mergeCell ref="I5:J5"/>
    <mergeCell ref="K5:L5"/>
    <mergeCell ref="M5:N5"/>
    <mergeCell ref="A6:B6"/>
    <mergeCell ref="E6:F6"/>
    <mergeCell ref="G6:H6"/>
    <mergeCell ref="I6:J6"/>
    <mergeCell ref="K6:L6"/>
    <mergeCell ref="M6:N6"/>
    <mergeCell ref="A7:B7"/>
    <mergeCell ref="E7:F7"/>
    <mergeCell ref="G7:H7"/>
    <mergeCell ref="I7:J7"/>
    <mergeCell ref="K7:L7"/>
    <mergeCell ref="M7:N7"/>
    <mergeCell ref="A8:B8"/>
    <mergeCell ref="A9:B9"/>
    <mergeCell ref="E9:F9"/>
    <mergeCell ref="G9:H9"/>
    <mergeCell ref="I9:J9"/>
    <mergeCell ref="K9:L9"/>
    <mergeCell ref="M9:N9"/>
    <mergeCell ref="A10:B10"/>
    <mergeCell ref="E10:F10"/>
    <mergeCell ref="G10:H10"/>
    <mergeCell ref="I10:J10"/>
    <mergeCell ref="K10:L10"/>
    <mergeCell ref="M10:N10"/>
    <mergeCell ref="A11:B11"/>
    <mergeCell ref="E11:F11"/>
    <mergeCell ref="G11:H11"/>
    <mergeCell ref="I11:J11"/>
    <mergeCell ref="K11:L11"/>
    <mergeCell ref="M11:N11"/>
    <mergeCell ref="A12:B12"/>
    <mergeCell ref="E12:F12"/>
    <mergeCell ref="G12:H12"/>
    <mergeCell ref="I12:J12"/>
    <mergeCell ref="K12:L12"/>
    <mergeCell ref="M12:N12"/>
    <mergeCell ref="A13:B13"/>
    <mergeCell ref="A14:B14"/>
    <mergeCell ref="A15:B15"/>
    <mergeCell ref="A17:N17"/>
    <mergeCell ref="A28:N28"/>
    <mergeCell ref="B45:C45"/>
    <mergeCell ref="A47:N47"/>
    <mergeCell ref="A65:N65"/>
    <mergeCell ref="A71:F71"/>
    <mergeCell ref="H71:N71"/>
    <mergeCell ref="A84:N84"/>
  </mergeCells>
  <conditionalFormatting sqref="E6">
    <cfRule type="cellIs" priority="2" operator="greaterThan" aboveAverage="0" equalAverage="0" bottom="0" percent="0" rank="0" text="" dxfId="0">
      <formula>0</formula>
    </cfRule>
    <cfRule type="cellIs" priority="3" operator="lessThan" aboveAverage="0" equalAverage="0" bottom="0" percent="0" rank="0" text="" dxfId="1">
      <formula>0</formula>
    </cfRule>
  </conditionalFormatting>
  <conditionalFormatting sqref="G6">
    <cfRule type="cellIs" priority="4" operator="greaterThan" aboveAverage="0" equalAverage="0" bottom="0" percent="0" rank="0" text="" dxfId="0">
      <formula>0</formula>
    </cfRule>
    <cfRule type="cellIs" priority="5" operator="lessThan" aboveAverage="0" equalAverage="0" bottom="0" percent="0" rank="0" text="" dxfId="1">
      <formula>0</formula>
    </cfRule>
  </conditionalFormatting>
  <conditionalFormatting sqref="I6">
    <cfRule type="cellIs" priority="6" operator="greaterThan" aboveAverage="0" equalAverage="0" bottom="0" percent="0" rank="0" text="" dxfId="0">
      <formula>0</formula>
    </cfRule>
    <cfRule type="cellIs" priority="7" operator="lessThan" aboveAverage="0" equalAverage="0" bottom="0" percent="0" rank="0" text="" dxfId="1">
      <formula>0</formula>
    </cfRule>
  </conditionalFormatting>
  <conditionalFormatting sqref="K6">
    <cfRule type="cellIs" priority="8" operator="greaterThan" aboveAverage="0" equalAverage="0" bottom="0" percent="0" rank="0" text="" dxfId="0">
      <formula>0</formula>
    </cfRule>
    <cfRule type="cellIs" priority="9" operator="lessThan" aboveAverage="0" equalAverage="0" bottom="0" percent="0" rank="0" text="" dxfId="1">
      <formula>0</formula>
    </cfRule>
  </conditionalFormatting>
  <conditionalFormatting sqref="M6">
    <cfRule type="cellIs" priority="10" operator="greaterThan" aboveAverage="0" equalAverage="0" bottom="0" percent="0" rank="0" text="" dxfId="0">
      <formula>0</formula>
    </cfRule>
    <cfRule type="cellIs" priority="11" operator="lessThan" aboveAverage="0" equalAverage="0" bottom="0" percent="0" rank="0" text="" dxfId="1">
      <formula>0</formula>
    </cfRule>
  </conditionalFormatting>
  <conditionalFormatting sqref="E11">
    <cfRule type="cellIs" priority="12" operator="greaterThan" aboveAverage="0" equalAverage="0" bottom="0" percent="0" rank="0" text="" dxfId="0">
      <formula>0</formula>
    </cfRule>
    <cfRule type="cellIs" priority="13" operator="lessThan" aboveAverage="0" equalAverage="0" bottom="0" percent="0" rank="0" text="" dxfId="1">
      <formula>0</formula>
    </cfRule>
  </conditionalFormatting>
  <conditionalFormatting sqref="G11">
    <cfRule type="cellIs" priority="14" operator="greaterThan" aboveAverage="0" equalAverage="0" bottom="0" percent="0" rank="0" text="" dxfId="0">
      <formula>0</formula>
    </cfRule>
    <cfRule type="cellIs" priority="15" operator="lessThan" aboveAverage="0" equalAverage="0" bottom="0" percent="0" rank="0" text="" dxfId="1">
      <formula>0</formula>
    </cfRule>
  </conditionalFormatting>
  <conditionalFormatting sqref="I11">
    <cfRule type="cellIs" priority="16" operator="greaterThan" aboveAverage="0" equalAverage="0" bottom="0" percent="0" rank="0" text="" dxfId="0">
      <formula>0</formula>
    </cfRule>
    <cfRule type="cellIs" priority="17" operator="lessThan" aboveAverage="0" equalAverage="0" bottom="0" percent="0" rank="0" text="" dxfId="1">
      <formula>0</formula>
    </cfRule>
  </conditionalFormatting>
  <conditionalFormatting sqref="K11">
    <cfRule type="cellIs" priority="18" operator="greaterThan" aboveAverage="0" equalAverage="0" bottom="0" percent="0" rank="0" text="" dxfId="0">
      <formula>0</formula>
    </cfRule>
    <cfRule type="cellIs" priority="19" operator="lessThan" aboveAverage="0" equalAverage="0" bottom="0" percent="0" rank="0" text="" dxfId="1">
      <formula>0</formula>
    </cfRule>
  </conditionalFormatting>
  <conditionalFormatting sqref="M11">
    <cfRule type="cellIs" priority="20" operator="greaterThan" aboveAverage="0" equalAverage="0" bottom="0" percent="0" rank="0" text="" dxfId="0">
      <formula>0</formula>
    </cfRule>
    <cfRule type="cellIs" priority="21" operator="lessThan" aboveAverage="0" equalAverage="0" bottom="0" percent="0" rank="0" text="" dxfId="1">
      <formula>0</formula>
    </cfRule>
  </conditionalFormatting>
  <conditionalFormatting sqref="G19:G26">
    <cfRule type="cellIs" priority="22" operator="greaterThan" aboveAverage="0" equalAverage="0" bottom="0" percent="0" rank="0" text="" dxfId="0">
      <formula>0</formula>
    </cfRule>
    <cfRule type="cellIs" priority="23" operator="lessThan" aboveAverage="0" equalAverage="0" bottom="0" percent="0" rank="0" text="" dxfId="1">
      <formula>0</formula>
    </cfRule>
  </conditionalFormatting>
  <conditionalFormatting sqref="H19:H26">
    <cfRule type="cellIs" priority="24" operator="greaterThan" aboveAverage="0" equalAverage="0" bottom="0" percent="0" rank="0" text="" dxfId="0">
      <formula>0</formula>
    </cfRule>
    <cfRule type="cellIs" priority="25" operator="lessThan" aboveAverage="0" equalAverage="0" bottom="0" percent="0" rank="0" text="" dxfId="1">
      <formula>0</formula>
    </cfRule>
  </conditionalFormatting>
  <conditionalFormatting sqref="J19:J26">
    <cfRule type="cellIs" priority="26" operator="greaterThan" aboveAverage="0" equalAverage="0" bottom="0" percent="0" rank="0" text="" dxfId="0">
      <formula>0</formula>
    </cfRule>
    <cfRule type="cellIs" priority="27" operator="lessThan" aboveAverage="0" equalAverage="0" bottom="0" percent="0" rank="0" text="" dxfId="1">
      <formula>0</formula>
    </cfRule>
  </conditionalFormatting>
  <conditionalFormatting sqref="I30:I43">
    <cfRule type="colorScale" priority="28">
      <colorScale>
        <cfvo type="min" val="0"/>
        <cfvo type="percentile" val="50"/>
        <cfvo type="max" val="0"/>
        <color rgb="FFF8696B"/>
        <color rgb="FFFFEB84"/>
        <color rgb="FF63BE7B"/>
      </colorScale>
    </cfRule>
  </conditionalFormatting>
  <conditionalFormatting sqref="K30:K43">
    <cfRule type="colorScale" priority="29">
      <colorScale>
        <cfvo type="min" val="0"/>
        <cfvo type="percentile" val="50"/>
        <cfvo type="max" val="0"/>
        <color rgb="FFF8696B"/>
        <color rgb="FFFFEB84"/>
        <color rgb="FF63BE7B"/>
      </colorScale>
    </cfRule>
  </conditionalFormatting>
  <conditionalFormatting sqref="M30:M43">
    <cfRule type="cellIs" priority="30" operator="greaterThan" aboveAverage="0" equalAverage="0" bottom="0" percent="0" rank="0" text="" dxfId="0">
      <formula>0</formula>
    </cfRule>
    <cfRule type="cellIs" priority="31" operator="lessThan" aboveAverage="0" equalAverage="0" bottom="0" percent="0" rank="0" text="" dxfId="1">
      <formula>0</formula>
    </cfRule>
  </conditionalFormatting>
  <conditionalFormatting sqref="N30:N43">
    <cfRule type="cellIs" priority="32" operator="greaterThan" aboveAverage="0" equalAverage="0" bottom="0" percent="0" rank="0" text="" dxfId="0">
      <formula>0</formula>
    </cfRule>
    <cfRule type="cellIs" priority="33" operator="lessThan" aboveAverage="0" equalAverage="0" bottom="0" percent="0" rank="0" text="" dxfId="1">
      <formula>0</formula>
    </cfRule>
  </conditionalFormatting>
  <conditionalFormatting sqref="H30:H43">
    <cfRule type="dataBar" priority="34">
      <dataBar showValue="1" minLength="10" maxLength="90">
        <cfvo type="num" val="0"/>
        <cfvo type="max" val="0"/>
        <color rgb="FF2E75B6"/>
      </dataBar>
      <extLst>
        <ext xmlns:x14="http://schemas.microsoft.com/office/spreadsheetml/2009/9/main" uri="{B025F937-C7B1-47D3-B67F-A62EFF666E3E}">
          <x14:id>{403A15A7-6D99-4B68-84D3-14702F17E8B3}</x14:id>
        </ext>
      </extLst>
    </cfRule>
  </conditionalFormatting>
  <conditionalFormatting sqref="C49:I62">
    <cfRule type="colorScale" priority="35">
      <colorScale>
        <cfvo type="num" val="0"/>
        <cfvo type="max" val="0"/>
        <color rgb="FFFFFFFF"/>
        <color rgb="FF63BE7B"/>
      </colorScale>
    </cfRule>
  </conditionalFormatting>
  <conditionalFormatting sqref="J49:J63">
    <cfRule type="cellIs" priority="36" operator="greaterThan" aboveAverage="0" equalAverage="0" bottom="0" percent="0" rank="0" text="" dxfId="0">
      <formula>0</formula>
    </cfRule>
    <cfRule type="cellIs" priority="37" operator="lessThan" aboveAverage="0" equalAverage="0" bottom="0" percent="0" rank="0" text="" dxfId="1">
      <formula>0</formula>
    </cfRule>
  </conditionalFormatting>
  <conditionalFormatting sqref="K49:K63">
    <cfRule type="cellIs" priority="38" operator="greaterThan" aboveAverage="0" equalAverage="0" bottom="0" percent="0" rank="0" text="" dxfId="0">
      <formula>0</formula>
    </cfRule>
    <cfRule type="cellIs" priority="39" operator="lessThan" aboveAverage="0" equalAverage="0" bottom="0" percent="0" rank="0" text="" dxfId="1">
      <formula>0</formula>
    </cfRule>
  </conditionalFormatting>
  <conditionalFormatting sqref="N49:N63">
    <cfRule type="cellIs" priority="40" operator="greaterThan" aboveAverage="0" equalAverage="0" bottom="0" percent="0" rank="0" text="" dxfId="0">
      <formula>0</formula>
    </cfRule>
    <cfRule type="cellIs" priority="41" operator="lessThan" aboveAverage="0" equalAverage="0" bottom="0" percent="0" rank="0" text="" dxfId="1">
      <formula>0</formula>
    </cfRule>
  </conditionalFormatting>
  <conditionalFormatting sqref="M67:M69">
    <cfRule type="cellIs" priority="42" operator="greaterThan" aboveAverage="0" equalAverage="0" bottom="0" percent="0" rank="0" text="" dxfId="0">
      <formula>0</formula>
    </cfRule>
    <cfRule type="cellIs" priority="43" operator="lessThan" aboveAverage="0" equalAverage="0" bottom="0" percent="0" rank="0" text="" dxfId="1">
      <formula>0</formula>
    </cfRule>
  </conditionalFormatting>
  <conditionalFormatting sqref="N67:N69">
    <cfRule type="cellIs" priority="44" operator="greaterThan" aboveAverage="0" equalAverage="0" bottom="0" percent="0" rank="0" text="" dxfId="0">
      <formula>0</formula>
    </cfRule>
    <cfRule type="cellIs" priority="45" operator="lessThan" aboveAverage="0" equalAverage="0" bottom="0" percent="0" rank="0" text="" dxfId="1">
      <formula>0</formula>
    </cfRule>
  </conditionalFormatting>
  <conditionalFormatting sqref="D73:D82">
    <cfRule type="dataBar" priority="46">
      <dataBar showValue="1" minLength="10" maxLength="90">
        <cfvo type="num" val="0"/>
        <cfvo type="max" val="0"/>
        <color rgb="FF63BE7B"/>
      </dataBar>
      <extLst>
        <ext xmlns:x14="http://schemas.microsoft.com/office/spreadsheetml/2009/9/main" uri="{B025F937-C7B1-47D3-B67F-A62EFF666E3E}">
          <x14:id>{3F3A4FE4-3137-433E-BAD8-9CBE108BE586}</x14:id>
        </ext>
      </extLst>
    </cfRule>
  </conditionalFormatting>
  <conditionalFormatting sqref="K73:K82">
    <cfRule type="cellIs" priority="47" operator="equal" aboveAverage="0" equalAverage="0" bottom="0" percent="0" rank="0" text="" dxfId="2">
      <formula>0</formula>
    </cfRule>
  </conditionalFormatting>
  <dataValidations count="4">
    <dataValidation allowBlank="false" errorStyle="stop" operator="between" showDropDown="false" showErrorMessage="false" showInputMessage="false" sqref="C7" type="list">
      <formula1>Lists!$B$2:$B$5</formula1>
      <formula2>0</formula2>
    </dataValidation>
    <dataValidation allowBlank="false" errorStyle="stop" operator="between" showDropDown="false" showErrorMessage="false" showInputMessage="false" sqref="C8" type="list">
      <formula1>Lists!$A$2:$A$16</formula1>
      <formula2>0</formula2>
    </dataValidation>
    <dataValidation allowBlank="false" errorStyle="stop" operator="between" showDropDown="false" showErrorMessage="false" showInputMessage="false" sqref="C9" type="list">
      <formula1>Lists!$E$2:$E$3</formula1>
      <formula2>0</formula2>
    </dataValidation>
    <dataValidation allowBlank="false" errorStyle="stop" operator="between" showDropDown="false" showErrorMessage="false" showInputMessage="false" sqref="C5:C6" type="date">
      <formula1>DATE(2026,7,22)</formula1>
      <formula2>DATE(2026,10,8)</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403A15A7-6D99-4B68-84D3-14702F17E8B3}">
            <x14:dataBar minLength="10" maxLength="90" axisPosition="none" gradient="true">
              <x14:cfvo type="num">
                <xm:f>0</xm:f>
              </x14:cfvo>
              <x14:cfvo type="max"/>
              <x14:negativeFillColor rgb="FF2E75B6"/>
              <x14:axisColor rgb="FF000000"/>
            </x14:dataBar>
          </x14:cfRule>
          <xm:sqref>H30:H43</xm:sqref>
        </x14:conditionalFormatting>
        <x14:conditionalFormatting xmlns:xm="http://schemas.microsoft.com/office/excel/2006/main">
          <x14:cfRule type="dataBar" id="{3F3A4FE4-3137-433E-BAD8-9CBE108BE586}">
            <x14:dataBar minLength="10" maxLength="90" axisPosition="none" gradient="true">
              <x14:cfvo type="num">
                <xm:f>0</xm:f>
              </x14:cfvo>
              <x14:cfvo type="max"/>
              <x14:negativeFillColor rgb="FF63BE7B"/>
              <x14:axisColor rgb="FF000000"/>
            </x14:dataBar>
          </x14:cfRule>
          <xm:sqref>D73:D82</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L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50"/>
  </cols>
  <sheetData>
    <row r="1" customFormat="false" ht="30" hidden="false" customHeight="true" outlineLevel="0" collapsed="false">
      <c r="A1" s="1" t="s">
        <v>84</v>
      </c>
      <c r="B1" s="1"/>
      <c r="C1" s="1"/>
      <c r="D1" s="1"/>
      <c r="E1" s="1"/>
      <c r="F1" s="1"/>
      <c r="G1" s="1"/>
      <c r="H1" s="1"/>
      <c r="I1" s="1"/>
      <c r="J1" s="1"/>
      <c r="K1" s="1"/>
      <c r="L1" s="1"/>
    </row>
    <row r="2" customFormat="false" ht="15" hidden="false" customHeight="false" outlineLevel="0" collapsed="false">
      <c r="A2" s="2" t="s">
        <v>85</v>
      </c>
      <c r="B2" s="2"/>
      <c r="C2" s="2"/>
      <c r="D2" s="2"/>
      <c r="E2" s="2"/>
      <c r="F2" s="2"/>
      <c r="G2" s="2"/>
      <c r="H2" s="2"/>
      <c r="I2" s="2"/>
      <c r="J2" s="2"/>
      <c r="K2" s="2"/>
      <c r="L2" s="2"/>
    </row>
    <row r="3" customFormat="false" ht="15" hidden="false" customHeight="false" outlineLevel="0" collapsed="false">
      <c r="A3" s="3"/>
      <c r="B3" s="3"/>
      <c r="C3" s="3"/>
      <c r="D3" s="3"/>
      <c r="E3" s="3"/>
      <c r="F3" s="3"/>
      <c r="G3" s="3"/>
      <c r="H3" s="3"/>
      <c r="I3" s="3"/>
      <c r="J3" s="3"/>
      <c r="K3" s="3"/>
      <c r="L3" s="3"/>
    </row>
    <row r="4" customFormat="false" ht="21.75" hidden="false" customHeight="true" outlineLevel="0" collapsed="false">
      <c r="A4" s="55"/>
      <c r="B4" s="56" t="s">
        <v>86</v>
      </c>
      <c r="C4" s="3"/>
      <c r="D4" s="3"/>
      <c r="E4" s="3"/>
      <c r="F4" s="3"/>
      <c r="G4" s="3"/>
      <c r="H4" s="3"/>
      <c r="I4" s="3"/>
      <c r="J4" s="3"/>
      <c r="K4" s="3"/>
      <c r="L4" s="3"/>
    </row>
    <row r="5" customFormat="false" ht="15" hidden="false" customHeight="false" outlineLevel="0" collapsed="false">
      <c r="A5" s="57" t="s">
        <v>87</v>
      </c>
      <c r="B5" s="58" t="str">
        <f aca="false">"Selected period "&amp;TEXT(Dashboard!$C$5,"dd-mmm")&amp;" to "&amp;TEXT(Dashboard!$C$6,"dd-mmm")&amp;": "&amp;TEXT(Dashboard!E5,"#,##0")&amp;" units ("&amp;TEXT(Dashboard!E6,"+#,##0;-#,##0;0")&amp;" vs prior period), "&amp;TEXT(Dashboard!M5,"#,##0")&amp;" active sellers out of "&amp;COUNTIF(Agent_Summary!$T$5:$T$254,1)&amp;" agents in scope ("&amp;TEXT(Dashboard!G10,"0%")&amp;" participation)."</f>
        <v>Selected period 02-Oct to 08-Oct: 565 units (+110 vs prior period), 138 active sellers out of 250 agents in scope (55% participation).</v>
      </c>
      <c r="C5" s="3"/>
      <c r="D5" s="3"/>
      <c r="E5" s="3"/>
      <c r="F5" s="3"/>
      <c r="G5" s="3"/>
      <c r="H5" s="3"/>
      <c r="I5" s="3"/>
      <c r="J5" s="3"/>
      <c r="K5" s="3"/>
      <c r="L5" s="3"/>
    </row>
    <row r="6" customFormat="false" ht="15" hidden="false" customHeight="false" outlineLevel="0" collapsed="false">
      <c r="A6" s="57" t="s">
        <v>87</v>
      </c>
      <c r="B6" s="58" t="str">
        <f aca="false">"Best leader in the period: "&amp;INDEX(Dashboard!$B$30:$B$43,MATCH(MAX(Dashboard!$H$30:$H$43),Dashboard!$H$30:$H$43,0))&amp;" with "&amp;TEXT(MAX(Dashboard!$H$30:$H$43),"#,##0")&amp;" units ("&amp;TEXT(INDEX(Dashboard!$I$30:$I$43,MATCH(MAX(Dashboard!$H$30:$H$43),Dashboard!$H$30:$H$43,0)),"0.00")&amp;" per head). Lowest: "&amp;INDEX(Dashboard!$B$30:$B$43,MATCH(MIN(Dashboard!$H$30:$H$43),Dashboard!$H$30:$H$43,0))&amp;" with "&amp;TEXT(MIN(Dashboard!$H$30:$H$43),"#,##0")&amp;" units."</f>
        <v>Best leader in the period: Salma Ahmed with 85 units (5.00 per head). Lowest: Taher Yehia with 0 units.</v>
      </c>
      <c r="C6" s="3"/>
      <c r="D6" s="3"/>
      <c r="E6" s="3"/>
      <c r="F6" s="3"/>
      <c r="G6" s="3"/>
      <c r="H6" s="3"/>
      <c r="I6" s="3"/>
      <c r="J6" s="3"/>
      <c r="K6" s="3"/>
      <c r="L6" s="3"/>
    </row>
    <row r="7" customFormat="false" ht="15" hidden="false" customHeight="false" outlineLevel="0" collapsed="false">
      <c r="A7" s="57" t="s">
        <v>87</v>
      </c>
      <c r="B7" s="58" t="str">
        <f aca="false">"Top agent in scope: "&amp;Dashboard!B73&amp;" ("&amp;Dashboard!C73&amp;") with "&amp;TEXT(Dashboard!D73,"#,##0")&amp;" units. Production agents in scope with zero units: "&amp;COUNTIFS(Agent_Summary!$T$5:$T$254,1,Agent_Summary!$E$5:$E$254,"Production",Agent_Summary!$K$5:$K$254,0)&amp;"."</f>
        <v>Top agent in scope: Samuel Wadie Morgan Tawfik (Salma Ahmed) with 32 units. Production agents in scope with zero units: 33.</v>
      </c>
      <c r="C7" s="3"/>
      <c r="D7" s="3"/>
      <c r="E7" s="3"/>
      <c r="F7" s="3"/>
      <c r="G7" s="3"/>
      <c r="H7" s="3"/>
      <c r="I7" s="3"/>
      <c r="J7" s="3"/>
      <c r="K7" s="3"/>
      <c r="L7" s="3"/>
    </row>
    <row r="8" customFormat="false" ht="15" hidden="false" customHeight="false" outlineLevel="0" collapsed="false">
      <c r="A8" s="57" t="s">
        <v>87</v>
      </c>
      <c r="B8" s="58" t="str">
        <f aca="false">"Mix in period: "&amp;TEXT(IFERROR(Dashboard!I5/Dashboard!E5,0),"0%")&amp;" GSR / "&amp;TEXT(IFERROR(Dashboard!G5/Dashboard!E5,0),"0%")&amp;" XM Lines. XMC attach "&amp;TEXT(Dashboard!I10,"0.0%")&amp;" ("&amp;TEXT(Dashboard!I11,"+0.0%;-0.0%")&amp;" vs prior), E-SIM activation "&amp;TEXT(Dashboard!K10,"0.0%")&amp;"."</f>
        <v>Mix in period: 74% GSR / 26% XM Lines. XMC attach 22.0% (+7.2% vs prior), E-SIM activation 68.0%.</v>
      </c>
      <c r="C8" s="3"/>
      <c r="D8" s="3"/>
      <c r="E8" s="3"/>
      <c r="F8" s="3"/>
      <c r="G8" s="3"/>
      <c r="H8" s="3"/>
      <c r="I8" s="3"/>
      <c r="J8" s="3"/>
      <c r="K8" s="3"/>
      <c r="L8" s="3"/>
    </row>
    <row r="9" customFormat="false" ht="15" hidden="false" customHeight="false" outlineLevel="0" collapsed="false">
      <c r="A9" s="3"/>
      <c r="B9" s="3"/>
      <c r="C9" s="3"/>
      <c r="D9" s="3"/>
      <c r="E9" s="3"/>
      <c r="F9" s="3"/>
      <c r="G9" s="3"/>
      <c r="H9" s="3"/>
      <c r="I9" s="3"/>
      <c r="J9" s="3"/>
      <c r="K9" s="3"/>
      <c r="L9" s="3"/>
    </row>
    <row r="10" customFormat="false" ht="21.75" hidden="false" customHeight="true" outlineLevel="0" collapsed="false">
      <c r="A10" s="55"/>
      <c r="B10" s="56" t="s">
        <v>88</v>
      </c>
      <c r="C10" s="3"/>
      <c r="D10" s="3"/>
      <c r="E10" s="3"/>
      <c r="F10" s="3"/>
      <c r="G10" s="3"/>
      <c r="H10" s="3"/>
      <c r="I10" s="3"/>
      <c r="J10" s="3"/>
      <c r="K10" s="3"/>
      <c r="L10" s="3"/>
    </row>
    <row r="11" customFormat="false" ht="31.5" hidden="false" customHeight="true" outlineLevel="0" collapsed="false">
      <c r="A11" s="59" t="s">
        <v>89</v>
      </c>
      <c r="B11" s="60" t="s">
        <v>90</v>
      </c>
      <c r="C11" s="3"/>
      <c r="D11" s="3"/>
      <c r="E11" s="3"/>
      <c r="F11" s="3"/>
      <c r="G11" s="3"/>
      <c r="H11" s="3"/>
      <c r="I11" s="3"/>
      <c r="J11" s="3"/>
      <c r="K11" s="3"/>
      <c r="L11" s="3"/>
    </row>
    <row r="12" customFormat="false" ht="31.5" hidden="false" customHeight="true" outlineLevel="0" collapsed="false">
      <c r="A12" s="59" t="s">
        <v>89</v>
      </c>
      <c r="B12" s="60" t="s">
        <v>91</v>
      </c>
      <c r="C12" s="3"/>
      <c r="D12" s="3"/>
      <c r="E12" s="3"/>
      <c r="F12" s="3"/>
      <c r="G12" s="3"/>
      <c r="H12" s="3"/>
      <c r="I12" s="3"/>
      <c r="J12" s="3"/>
      <c r="K12" s="3"/>
      <c r="L12" s="3"/>
    </row>
    <row r="13" customFormat="false" ht="31.5" hidden="false" customHeight="true" outlineLevel="0" collapsed="false">
      <c r="A13" s="59" t="s">
        <v>89</v>
      </c>
      <c r="B13" s="60" t="s">
        <v>92</v>
      </c>
      <c r="C13" s="3"/>
      <c r="D13" s="3"/>
      <c r="E13" s="3"/>
      <c r="F13" s="3"/>
      <c r="G13" s="3"/>
      <c r="H13" s="3"/>
      <c r="I13" s="3"/>
      <c r="J13" s="3"/>
      <c r="K13" s="3"/>
      <c r="L13" s="3"/>
    </row>
    <row r="14" customFormat="false" ht="31.5" hidden="false" customHeight="true" outlineLevel="0" collapsed="false">
      <c r="A14" s="59" t="s">
        <v>89</v>
      </c>
      <c r="B14" s="60" t="s">
        <v>93</v>
      </c>
      <c r="C14" s="3"/>
      <c r="D14" s="3"/>
      <c r="E14" s="3"/>
      <c r="F14" s="3"/>
      <c r="G14" s="3"/>
      <c r="H14" s="3"/>
      <c r="I14" s="3"/>
      <c r="J14" s="3"/>
      <c r="K14" s="3"/>
      <c r="L14" s="3"/>
    </row>
    <row r="15" customFormat="false" ht="15" hidden="false" customHeight="false" outlineLevel="0" collapsed="false">
      <c r="A15" s="3"/>
      <c r="B15" s="3"/>
      <c r="C15" s="3"/>
      <c r="D15" s="3"/>
      <c r="E15" s="3"/>
      <c r="F15" s="3"/>
      <c r="G15" s="3"/>
      <c r="H15" s="3"/>
      <c r="I15" s="3"/>
      <c r="J15" s="3"/>
      <c r="K15" s="3"/>
      <c r="L15" s="3"/>
    </row>
    <row r="16" customFormat="false" ht="21.75" hidden="false" customHeight="true" outlineLevel="0" collapsed="false">
      <c r="A16" s="55"/>
      <c r="B16" s="56" t="s">
        <v>94</v>
      </c>
      <c r="C16" s="3"/>
      <c r="D16" s="3"/>
      <c r="E16" s="3"/>
      <c r="F16" s="3"/>
      <c r="G16" s="3"/>
      <c r="H16" s="3"/>
      <c r="I16" s="3"/>
      <c r="J16" s="3"/>
      <c r="K16" s="3"/>
      <c r="L16" s="3"/>
    </row>
    <row r="17" customFormat="false" ht="31.5" hidden="false" customHeight="true" outlineLevel="0" collapsed="false">
      <c r="A17" s="59" t="s">
        <v>89</v>
      </c>
      <c r="B17" s="60" t="s">
        <v>95</v>
      </c>
      <c r="C17" s="3"/>
      <c r="D17" s="3"/>
      <c r="E17" s="3"/>
      <c r="F17" s="3"/>
      <c r="G17" s="3"/>
      <c r="H17" s="3"/>
      <c r="I17" s="3"/>
      <c r="J17" s="3"/>
      <c r="K17" s="3"/>
      <c r="L17" s="3"/>
    </row>
    <row r="18" customFormat="false" ht="31.5" hidden="false" customHeight="true" outlineLevel="0" collapsed="false">
      <c r="A18" s="59" t="s">
        <v>89</v>
      </c>
      <c r="B18" s="60" t="s">
        <v>96</v>
      </c>
      <c r="C18" s="3"/>
      <c r="D18" s="3"/>
      <c r="E18" s="3"/>
      <c r="F18" s="3"/>
      <c r="G18" s="3"/>
      <c r="H18" s="3"/>
      <c r="I18" s="3"/>
      <c r="J18" s="3"/>
      <c r="K18" s="3"/>
      <c r="L18" s="3"/>
    </row>
    <row r="19" customFormat="false" ht="31.5" hidden="false" customHeight="true" outlineLevel="0" collapsed="false">
      <c r="A19" s="59" t="s">
        <v>89</v>
      </c>
      <c r="B19" s="60" t="s">
        <v>97</v>
      </c>
      <c r="C19" s="3"/>
      <c r="D19" s="3"/>
      <c r="E19" s="3"/>
      <c r="F19" s="3"/>
      <c r="G19" s="3"/>
      <c r="H19" s="3"/>
      <c r="I19" s="3"/>
      <c r="J19" s="3"/>
      <c r="K19" s="3"/>
      <c r="L19" s="3"/>
    </row>
    <row r="20" customFormat="false" ht="15" hidden="false" customHeight="false" outlineLevel="0" collapsed="false">
      <c r="A20" s="3"/>
      <c r="B20" s="3"/>
      <c r="C20" s="3"/>
      <c r="D20" s="3"/>
      <c r="E20" s="3"/>
      <c r="F20" s="3"/>
      <c r="G20" s="3"/>
      <c r="H20" s="3"/>
      <c r="I20" s="3"/>
      <c r="J20" s="3"/>
      <c r="K20" s="3"/>
      <c r="L20" s="3"/>
    </row>
    <row r="21" customFormat="false" ht="21.75" hidden="false" customHeight="true" outlineLevel="0" collapsed="false">
      <c r="A21" s="55"/>
      <c r="B21" s="56" t="s">
        <v>98</v>
      </c>
      <c r="C21" s="3"/>
      <c r="D21" s="3"/>
      <c r="E21" s="3"/>
      <c r="F21" s="3"/>
      <c r="G21" s="3"/>
      <c r="H21" s="3"/>
      <c r="I21" s="3"/>
      <c r="J21" s="3"/>
      <c r="K21" s="3"/>
      <c r="L21" s="3"/>
    </row>
    <row r="22" customFormat="false" ht="31.5" hidden="false" customHeight="true" outlineLevel="0" collapsed="false">
      <c r="A22" s="59" t="s">
        <v>89</v>
      </c>
      <c r="B22" s="60" t="s">
        <v>99</v>
      </c>
      <c r="C22" s="3"/>
      <c r="D22" s="3"/>
      <c r="E22" s="3"/>
      <c r="F22" s="3"/>
      <c r="G22" s="3"/>
      <c r="H22" s="3"/>
      <c r="I22" s="3"/>
      <c r="J22" s="3"/>
      <c r="K22" s="3"/>
      <c r="L22" s="3"/>
    </row>
    <row r="23" customFormat="false" ht="31.5" hidden="false" customHeight="true" outlineLevel="0" collapsed="false">
      <c r="A23" s="59" t="s">
        <v>89</v>
      </c>
      <c r="B23" s="60" t="s">
        <v>100</v>
      </c>
      <c r="C23" s="3"/>
      <c r="D23" s="3"/>
      <c r="E23" s="3"/>
      <c r="F23" s="3"/>
      <c r="G23" s="3"/>
      <c r="H23" s="3"/>
      <c r="I23" s="3"/>
      <c r="J23" s="3"/>
      <c r="K23" s="3"/>
      <c r="L23" s="3"/>
    </row>
    <row r="24" customFormat="false" ht="31.5" hidden="false" customHeight="true" outlineLevel="0" collapsed="false">
      <c r="A24" s="59" t="s">
        <v>89</v>
      </c>
      <c r="B24" s="60" t="s">
        <v>101</v>
      </c>
      <c r="C24" s="3"/>
      <c r="D24" s="3"/>
      <c r="E24" s="3"/>
      <c r="F24" s="3"/>
      <c r="G24" s="3"/>
      <c r="H24" s="3"/>
      <c r="I24" s="3"/>
      <c r="J24" s="3"/>
      <c r="K24" s="3"/>
      <c r="L24" s="3"/>
    </row>
    <row r="25" customFormat="false" ht="31.5" hidden="false" customHeight="true" outlineLevel="0" collapsed="false">
      <c r="A25" s="59" t="s">
        <v>89</v>
      </c>
      <c r="B25" s="60" t="s">
        <v>102</v>
      </c>
      <c r="C25" s="3"/>
      <c r="D25" s="3"/>
      <c r="E25" s="3"/>
      <c r="F25" s="3"/>
      <c r="G25" s="3"/>
      <c r="H25" s="3"/>
      <c r="I25" s="3"/>
      <c r="J25" s="3"/>
      <c r="K25" s="3"/>
      <c r="L25" s="3"/>
    </row>
    <row r="26" customFormat="false" ht="31.5" hidden="false" customHeight="true" outlineLevel="0" collapsed="false">
      <c r="A26" s="59" t="s">
        <v>89</v>
      </c>
      <c r="B26" s="60" t="s">
        <v>103</v>
      </c>
      <c r="C26" s="3"/>
      <c r="D26" s="3"/>
      <c r="E26" s="3"/>
      <c r="F26" s="3"/>
      <c r="G26" s="3"/>
      <c r="H26" s="3"/>
      <c r="I26" s="3"/>
      <c r="J26" s="3"/>
      <c r="K26" s="3"/>
      <c r="L26" s="3"/>
    </row>
    <row r="27" customFormat="false" ht="15" hidden="false" customHeight="false" outlineLevel="0" collapsed="false">
      <c r="A27" s="3"/>
      <c r="B27" s="3"/>
      <c r="C27" s="3"/>
      <c r="D27" s="3"/>
      <c r="E27" s="3"/>
      <c r="F27" s="3"/>
      <c r="G27" s="3"/>
      <c r="H27" s="3"/>
      <c r="I27" s="3"/>
      <c r="J27" s="3"/>
      <c r="K27" s="3"/>
      <c r="L27" s="3"/>
    </row>
    <row r="28" customFormat="false" ht="21.75" hidden="false" customHeight="true" outlineLevel="0" collapsed="false">
      <c r="A28" s="55"/>
      <c r="B28" s="56" t="s">
        <v>104</v>
      </c>
      <c r="C28" s="3"/>
      <c r="D28" s="3"/>
      <c r="E28" s="3"/>
      <c r="F28" s="3"/>
      <c r="G28" s="3"/>
      <c r="H28" s="3"/>
      <c r="I28" s="3"/>
      <c r="J28" s="3"/>
      <c r="K28" s="3"/>
      <c r="L28" s="3"/>
    </row>
    <row r="29" customFormat="false" ht="31.5" hidden="false" customHeight="true" outlineLevel="0" collapsed="false">
      <c r="A29" s="59" t="s">
        <v>89</v>
      </c>
      <c r="B29" s="60" t="s">
        <v>105</v>
      </c>
      <c r="C29" s="3"/>
      <c r="D29" s="3"/>
      <c r="E29" s="3"/>
      <c r="F29" s="3"/>
      <c r="G29" s="3"/>
      <c r="H29" s="3"/>
      <c r="I29" s="3"/>
      <c r="J29" s="3"/>
      <c r="K29" s="3"/>
      <c r="L29" s="3"/>
    </row>
    <row r="30" customFormat="false" ht="31.5" hidden="false" customHeight="true" outlineLevel="0" collapsed="false">
      <c r="A30" s="59" t="s">
        <v>89</v>
      </c>
      <c r="B30" s="60" t="s">
        <v>106</v>
      </c>
      <c r="C30" s="3"/>
      <c r="D30" s="3"/>
      <c r="E30" s="3"/>
      <c r="F30" s="3"/>
      <c r="G30" s="3"/>
      <c r="H30" s="3"/>
      <c r="I30" s="3"/>
      <c r="J30" s="3"/>
      <c r="K30" s="3"/>
      <c r="L30" s="3"/>
    </row>
    <row r="31" customFormat="false" ht="31.5" hidden="false" customHeight="true" outlineLevel="0" collapsed="false">
      <c r="A31" s="59" t="s">
        <v>89</v>
      </c>
      <c r="B31" s="60" t="s">
        <v>107</v>
      </c>
      <c r="C31" s="3"/>
      <c r="D31" s="3"/>
      <c r="E31" s="3"/>
      <c r="F31" s="3"/>
      <c r="G31" s="3"/>
      <c r="H31" s="3"/>
      <c r="I31" s="3"/>
      <c r="J31" s="3"/>
      <c r="K31" s="3"/>
      <c r="L31" s="3"/>
    </row>
    <row r="32" customFormat="false" ht="15" hidden="false" customHeight="false" outlineLevel="0" collapsed="false">
      <c r="A32" s="3"/>
      <c r="B32" s="3"/>
      <c r="C32" s="3"/>
      <c r="D32" s="3"/>
      <c r="E32" s="3"/>
      <c r="F32" s="3"/>
      <c r="G32" s="3"/>
      <c r="H32" s="3"/>
      <c r="I32" s="3"/>
      <c r="J32" s="3"/>
      <c r="K32" s="3"/>
      <c r="L32" s="3"/>
    </row>
    <row r="33" customFormat="false" ht="21.75" hidden="false" customHeight="true" outlineLevel="0" collapsed="false">
      <c r="A33" s="55"/>
      <c r="B33" s="56" t="s">
        <v>108</v>
      </c>
      <c r="C33" s="3"/>
      <c r="D33" s="3"/>
      <c r="E33" s="3"/>
      <c r="F33" s="3"/>
      <c r="G33" s="3"/>
      <c r="H33" s="3"/>
      <c r="I33" s="3"/>
      <c r="J33" s="3"/>
      <c r="K33" s="3"/>
      <c r="L33" s="3"/>
    </row>
    <row r="34" customFormat="false" ht="31.5" hidden="false" customHeight="true" outlineLevel="0" collapsed="false">
      <c r="A34" s="59" t="s">
        <v>89</v>
      </c>
      <c r="B34" s="60" t="s">
        <v>109</v>
      </c>
      <c r="C34" s="3"/>
      <c r="D34" s="3"/>
      <c r="E34" s="3"/>
      <c r="F34" s="3"/>
      <c r="G34" s="3"/>
      <c r="H34" s="3"/>
      <c r="I34" s="3"/>
      <c r="J34" s="3"/>
      <c r="K34" s="3"/>
      <c r="L34" s="3"/>
    </row>
    <row r="35" customFormat="false" ht="31.5" hidden="false" customHeight="true" outlineLevel="0" collapsed="false">
      <c r="A35" s="59" t="s">
        <v>89</v>
      </c>
      <c r="B35" s="60" t="s">
        <v>110</v>
      </c>
      <c r="C35" s="3"/>
      <c r="D35" s="3"/>
      <c r="E35" s="3"/>
      <c r="F35" s="3"/>
      <c r="G35" s="3"/>
      <c r="H35" s="3"/>
      <c r="I35" s="3"/>
      <c r="J35" s="3"/>
      <c r="K35" s="3"/>
      <c r="L35" s="3"/>
    </row>
    <row r="36" customFormat="false" ht="31.5" hidden="false" customHeight="true" outlineLevel="0" collapsed="false">
      <c r="A36" s="59" t="s">
        <v>89</v>
      </c>
      <c r="B36" s="60" t="s">
        <v>111</v>
      </c>
      <c r="C36" s="3"/>
      <c r="D36" s="3"/>
      <c r="E36" s="3"/>
      <c r="F36" s="3"/>
      <c r="G36" s="3"/>
      <c r="H36" s="3"/>
      <c r="I36" s="3"/>
      <c r="J36" s="3"/>
      <c r="K36" s="3"/>
      <c r="L36" s="3"/>
    </row>
    <row r="37" customFormat="false" ht="15" hidden="false" customHeight="false" outlineLevel="0" collapsed="false">
      <c r="A37" s="3"/>
      <c r="B37" s="3"/>
      <c r="C37" s="3"/>
      <c r="D37" s="3"/>
      <c r="E37" s="3"/>
      <c r="F37" s="3"/>
      <c r="G37" s="3"/>
      <c r="H37" s="3"/>
      <c r="I37" s="3"/>
      <c r="J37" s="3"/>
      <c r="K37" s="3"/>
      <c r="L37" s="3"/>
    </row>
    <row r="38" customFormat="false" ht="21.75" hidden="false" customHeight="true" outlineLevel="0" collapsed="false">
      <c r="A38" s="55"/>
      <c r="B38" s="56" t="s">
        <v>112</v>
      </c>
      <c r="C38" s="3"/>
      <c r="D38" s="3"/>
      <c r="E38" s="3"/>
      <c r="F38" s="3"/>
      <c r="G38" s="3"/>
      <c r="H38" s="3"/>
      <c r="I38" s="3"/>
      <c r="J38" s="3"/>
      <c r="K38" s="3"/>
      <c r="L38" s="3"/>
    </row>
    <row r="39" customFormat="false" ht="31.5" hidden="false" customHeight="true" outlineLevel="0" collapsed="false">
      <c r="A39" s="59" t="s">
        <v>89</v>
      </c>
      <c r="B39" s="60" t="s">
        <v>113</v>
      </c>
      <c r="C39" s="3"/>
      <c r="D39" s="3"/>
      <c r="E39" s="3"/>
      <c r="F39" s="3"/>
      <c r="G39" s="3"/>
      <c r="H39" s="3"/>
      <c r="I39" s="3"/>
      <c r="J39" s="3"/>
      <c r="K39" s="3"/>
      <c r="L39" s="3"/>
    </row>
    <row r="40" customFormat="false" ht="31.5" hidden="false" customHeight="true" outlineLevel="0" collapsed="false">
      <c r="A40" s="59" t="s">
        <v>89</v>
      </c>
      <c r="B40" s="60" t="s">
        <v>114</v>
      </c>
      <c r="C40" s="3"/>
      <c r="D40" s="3"/>
      <c r="E40" s="3"/>
      <c r="F40" s="3"/>
      <c r="G40" s="3"/>
      <c r="H40" s="3"/>
      <c r="I40" s="3"/>
      <c r="J40" s="3"/>
      <c r="K40" s="3"/>
      <c r="L40" s="3"/>
    </row>
    <row r="41" customFormat="false" ht="31.5" hidden="false" customHeight="true" outlineLevel="0" collapsed="false">
      <c r="A41" s="59" t="s">
        <v>89</v>
      </c>
      <c r="B41" s="60" t="s">
        <v>115</v>
      </c>
      <c r="C41" s="3"/>
      <c r="D41" s="3"/>
      <c r="E41" s="3"/>
      <c r="F41" s="3"/>
      <c r="G41" s="3"/>
      <c r="H41" s="3"/>
      <c r="I41" s="3"/>
      <c r="J41" s="3"/>
      <c r="K41" s="3"/>
      <c r="L41" s="3"/>
    </row>
    <row r="42" customFormat="false" ht="31.5" hidden="false" customHeight="true" outlineLevel="0" collapsed="false">
      <c r="A42" s="59" t="s">
        <v>89</v>
      </c>
      <c r="B42" s="60" t="s">
        <v>116</v>
      </c>
      <c r="C42" s="3"/>
      <c r="D42" s="3"/>
      <c r="E42" s="3"/>
      <c r="F42" s="3"/>
      <c r="G42" s="3"/>
      <c r="H42" s="3"/>
      <c r="I42" s="3"/>
      <c r="J42" s="3"/>
      <c r="K42" s="3"/>
      <c r="L42" s="3"/>
    </row>
  </sheetData>
  <mergeCells count="2">
    <mergeCell ref="A1:L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AF35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7"/>
    <col collapsed="false" customWidth="true" hidden="false" outlineLevel="0" max="3" min="3" style="0" width="11"/>
    <col collapsed="false" customWidth="true" hidden="false" outlineLevel="0" max="4" min="4" style="0" width="8"/>
    <col collapsed="false" customWidth="true" hidden="false" outlineLevel="0" max="5" min="5" style="0" width="14"/>
    <col collapsed="false" customWidth="true" hidden="false" outlineLevel="0" max="6" min="6" style="0" width="16"/>
    <col collapsed="false" customWidth="true" hidden="false" outlineLevel="0" max="7" min="7" style="0" width="28"/>
    <col collapsed="false" customWidth="true" hidden="false" outlineLevel="0" max="8" min="8" style="0" width="17"/>
    <col collapsed="false" customWidth="true" hidden="false" outlineLevel="0" max="9" min="9" style="0" width="16"/>
    <col collapsed="false" customWidth="true" hidden="false" outlineLevel="0" max="11" min="10" style="0" width="11"/>
    <col collapsed="false" customWidth="true" hidden="false" outlineLevel="0" max="12" min="12" style="0" width="10"/>
    <col collapsed="false" customWidth="true" hidden="false" outlineLevel="0" max="14" min="13" style="0" width="9"/>
    <col collapsed="false" customWidth="true" hidden="false" outlineLevel="0" max="15" min="15" style="0" width="10"/>
    <col collapsed="false" customWidth="true" hidden="false" outlineLevel="0" max="16" min="16" style="0" width="9"/>
    <col collapsed="false" customWidth="true" hidden="false" outlineLevel="0" max="17" min="17" style="0" width="8"/>
    <col collapsed="false" customWidth="true" hidden="false" outlineLevel="0" max="18" min="18" style="0" width="9"/>
    <col collapsed="false" customWidth="true" hidden="false" outlineLevel="0" max="19" min="19" style="0" width="10"/>
    <col collapsed="false" customWidth="true" hidden="false" outlineLevel="0" max="20" min="20" style="0" width="9"/>
    <col collapsed="false" customWidth="true" hidden="false" outlineLevel="0" max="21" min="21" style="0" width="10"/>
    <col collapsed="false" customWidth="true" hidden="false" outlineLevel="0" max="23" min="22" style="0" width="12"/>
    <col collapsed="false" customWidth="true" hidden="false" outlineLevel="0" max="24" min="24" style="0" width="13"/>
    <col collapsed="false" customWidth="true" hidden="false" outlineLevel="0" max="25" min="25" style="0" width="22"/>
    <col collapsed="false" customWidth="true" hidden="false" outlineLevel="0" max="26" min="26" style="0" width="18"/>
    <col collapsed="false" customWidth="true" hidden="false" outlineLevel="0" max="27" min="27" style="0" width="22"/>
    <col collapsed="false" customWidth="true" hidden="false" outlineLevel="0" max="30" min="28" style="0" width="9"/>
    <col collapsed="false" customWidth="true" hidden="false" outlineLevel="0" max="31" min="31" style="0" width="8"/>
    <col collapsed="false" customWidth="true" hidden="false" outlineLevel="0" max="32" min="32" style="0" width="9"/>
  </cols>
  <sheetData>
    <row r="1" customFormat="false" ht="41.75" hidden="false" customHeight="false" outlineLevel="0" collapsed="false">
      <c r="A1" s="61" t="s">
        <v>117</v>
      </c>
      <c r="B1" s="61" t="s">
        <v>118</v>
      </c>
      <c r="C1" s="61" t="s">
        <v>119</v>
      </c>
      <c r="D1" s="61" t="s">
        <v>29</v>
      </c>
      <c r="E1" s="61" t="s">
        <v>120</v>
      </c>
      <c r="F1" s="61" t="s">
        <v>121</v>
      </c>
      <c r="G1" s="61" t="s">
        <v>122</v>
      </c>
      <c r="H1" s="61" t="s">
        <v>13</v>
      </c>
      <c r="I1" s="61" t="s">
        <v>10</v>
      </c>
      <c r="J1" s="61" t="s">
        <v>123</v>
      </c>
      <c r="K1" s="61" t="s">
        <v>124</v>
      </c>
      <c r="L1" s="61" t="s">
        <v>125</v>
      </c>
      <c r="M1" s="61" t="s">
        <v>4</v>
      </c>
      <c r="N1" s="61" t="s">
        <v>5</v>
      </c>
      <c r="O1" s="61" t="s">
        <v>3</v>
      </c>
      <c r="P1" s="61" t="s">
        <v>126</v>
      </c>
      <c r="Q1" s="61" t="s">
        <v>127</v>
      </c>
      <c r="R1" s="61" t="s">
        <v>128</v>
      </c>
      <c r="S1" s="61" t="s">
        <v>129</v>
      </c>
      <c r="T1" s="61" t="s">
        <v>130</v>
      </c>
      <c r="U1" s="61" t="s">
        <v>131</v>
      </c>
      <c r="V1" s="61" t="s">
        <v>132</v>
      </c>
      <c r="W1" s="61" t="s">
        <v>133</v>
      </c>
      <c r="X1" s="61" t="s">
        <v>134</v>
      </c>
      <c r="Y1" s="61" t="s">
        <v>135</v>
      </c>
      <c r="Z1" s="61" t="s">
        <v>136</v>
      </c>
      <c r="AA1" s="61" t="s">
        <v>137</v>
      </c>
      <c r="AB1" s="61" t="s">
        <v>138</v>
      </c>
      <c r="AC1" s="61" t="s">
        <v>139</v>
      </c>
      <c r="AD1" s="61" t="s">
        <v>140</v>
      </c>
      <c r="AE1" s="61" t="s">
        <v>141</v>
      </c>
      <c r="AF1" s="61" t="s">
        <v>142</v>
      </c>
    </row>
    <row r="2" customFormat="false" ht="15" hidden="false" customHeight="false" outlineLevel="0" collapsed="false">
      <c r="A2" s="62" t="n">
        <v>1</v>
      </c>
      <c r="B2" s="63" t="n">
        <v>46225.8431828704</v>
      </c>
      <c r="C2" s="64" t="n">
        <v>46225</v>
      </c>
      <c r="D2" s="62" t="s">
        <v>143</v>
      </c>
      <c r="E2" s="62" t="s">
        <v>144</v>
      </c>
      <c r="F2" s="62" t="s">
        <v>144</v>
      </c>
      <c r="G2" s="62" t="s">
        <v>145</v>
      </c>
      <c r="H2" s="62" t="s">
        <v>59</v>
      </c>
      <c r="I2" s="62" t="s">
        <v>47</v>
      </c>
      <c r="J2" s="62" t="s">
        <v>146</v>
      </c>
      <c r="K2" s="62" t="s">
        <v>147</v>
      </c>
      <c r="L2" s="62" t="s">
        <v>148</v>
      </c>
      <c r="M2" s="62" t="n">
        <v>0</v>
      </c>
      <c r="N2" s="62" t="n">
        <v>2</v>
      </c>
      <c r="O2" s="62" t="n">
        <v>2</v>
      </c>
      <c r="P2" s="62" t="n">
        <v>1</v>
      </c>
      <c r="Q2" s="62" t="n">
        <v>1</v>
      </c>
      <c r="R2" s="62" t="n">
        <v>0</v>
      </c>
      <c r="S2" s="62" t="n">
        <v>0</v>
      </c>
      <c r="T2" s="62" t="n">
        <v>0</v>
      </c>
      <c r="U2" s="62"/>
      <c r="V2" s="62"/>
      <c r="W2" s="62"/>
      <c r="X2" s="62"/>
      <c r="Y2" s="62"/>
      <c r="Z2" s="62" t="s">
        <v>149</v>
      </c>
      <c r="AA2" s="62" t="s">
        <v>150</v>
      </c>
      <c r="AB2" s="62" t="n">
        <v>0</v>
      </c>
      <c r="AC2" s="62" t="n">
        <v>0</v>
      </c>
      <c r="AD2" s="62" t="n">
        <v>1</v>
      </c>
      <c r="AE2" s="62" t="n">
        <f aca="false">IF(AND(Dashboard!$C$9="Yes",AC2=1),0,1)</f>
        <v>1</v>
      </c>
      <c r="AF2" s="62" t="n">
        <v>1</v>
      </c>
    </row>
    <row r="3" customFormat="false" ht="15" hidden="false" customHeight="false" outlineLevel="0" collapsed="false">
      <c r="A3" s="62" t="n">
        <v>2</v>
      </c>
      <c r="B3" s="63" t="n">
        <v>46225.852650463</v>
      </c>
      <c r="C3" s="64" t="n">
        <v>46225</v>
      </c>
      <c r="D3" s="62" t="s">
        <v>143</v>
      </c>
      <c r="E3" s="62" t="s">
        <v>151</v>
      </c>
      <c r="F3" s="62" t="s">
        <v>152</v>
      </c>
      <c r="G3" s="62" t="s">
        <v>153</v>
      </c>
      <c r="H3" s="62" t="s">
        <v>153</v>
      </c>
      <c r="I3" s="62" t="s">
        <v>153</v>
      </c>
      <c r="J3" s="62" t="s">
        <v>64</v>
      </c>
      <c r="K3" s="62" t="s">
        <v>64</v>
      </c>
      <c r="L3" s="62" t="s">
        <v>4</v>
      </c>
      <c r="M3" s="62" t="n">
        <v>1</v>
      </c>
      <c r="N3" s="62" t="n">
        <v>0</v>
      </c>
      <c r="O3" s="62" t="n">
        <v>1</v>
      </c>
      <c r="P3" s="62" t="n">
        <v>0</v>
      </c>
      <c r="Q3" s="62" t="n">
        <v>0</v>
      </c>
      <c r="R3" s="62" t="n">
        <v>0</v>
      </c>
      <c r="S3" s="62" t="n">
        <v>0</v>
      </c>
      <c r="T3" s="62" t="n">
        <v>0</v>
      </c>
      <c r="U3" s="62"/>
      <c r="V3" s="62"/>
      <c r="W3" s="62"/>
      <c r="X3" s="62"/>
      <c r="Y3" s="62"/>
      <c r="Z3" s="62" t="s">
        <v>154</v>
      </c>
      <c r="AA3" s="62" t="s">
        <v>155</v>
      </c>
      <c r="AB3" s="62" t="n">
        <v>1</v>
      </c>
      <c r="AC3" s="62" t="n">
        <v>0</v>
      </c>
      <c r="AD3" s="62" t="n">
        <v>0</v>
      </c>
      <c r="AE3" s="62" t="n">
        <f aca="false">IF(AND(Dashboard!$C$9="Yes",AC3=1),0,1)</f>
        <v>1</v>
      </c>
      <c r="AF3" s="62" t="n">
        <v>1</v>
      </c>
    </row>
    <row r="4" customFormat="false" ht="15" hidden="false" customHeight="false" outlineLevel="0" collapsed="false">
      <c r="A4" s="62" t="n">
        <v>3</v>
      </c>
      <c r="B4" s="63" t="n">
        <v>46225.9106828704</v>
      </c>
      <c r="C4" s="64" t="n">
        <v>46225</v>
      </c>
      <c r="D4" s="62" t="s">
        <v>143</v>
      </c>
      <c r="E4" s="62" t="s">
        <v>156</v>
      </c>
      <c r="F4" s="62" t="s">
        <v>156</v>
      </c>
      <c r="G4" s="62" t="s">
        <v>157</v>
      </c>
      <c r="H4" s="62" t="s">
        <v>51</v>
      </c>
      <c r="I4" s="62" t="s">
        <v>47</v>
      </c>
      <c r="J4" s="62" t="s">
        <v>146</v>
      </c>
      <c r="K4" s="62" t="s">
        <v>147</v>
      </c>
      <c r="L4" s="62" t="s">
        <v>148</v>
      </c>
      <c r="M4" s="62" t="n">
        <v>0</v>
      </c>
      <c r="N4" s="62" t="n">
        <v>1</v>
      </c>
      <c r="O4" s="62" t="n">
        <v>1</v>
      </c>
      <c r="P4" s="62" t="n">
        <v>1</v>
      </c>
      <c r="Q4" s="62" t="n">
        <v>0</v>
      </c>
      <c r="R4" s="62" t="n">
        <v>0</v>
      </c>
      <c r="S4" s="62" t="n">
        <v>0</v>
      </c>
      <c r="T4" s="62" t="n">
        <v>0</v>
      </c>
      <c r="U4" s="62"/>
      <c r="V4" s="62"/>
      <c r="W4" s="62"/>
      <c r="X4" s="62"/>
      <c r="Y4" s="62"/>
      <c r="Z4" s="62" t="s">
        <v>158</v>
      </c>
      <c r="AA4" s="62" t="s">
        <v>159</v>
      </c>
      <c r="AB4" s="62" t="n">
        <v>1</v>
      </c>
      <c r="AC4" s="62" t="n">
        <v>0</v>
      </c>
      <c r="AD4" s="62" t="n">
        <v>1</v>
      </c>
      <c r="AE4" s="62" t="n">
        <f aca="false">IF(AND(Dashboard!$C$9="Yes",AC4=1),0,1)</f>
        <v>1</v>
      </c>
      <c r="AF4" s="62" t="n">
        <v>1</v>
      </c>
    </row>
    <row r="5" customFormat="false" ht="15" hidden="false" customHeight="false" outlineLevel="0" collapsed="false">
      <c r="A5" s="62" t="n">
        <v>4</v>
      </c>
      <c r="B5" s="63" t="n">
        <v>46225.9253703704</v>
      </c>
      <c r="C5" s="64" t="n">
        <v>46225</v>
      </c>
      <c r="D5" s="62" t="s">
        <v>143</v>
      </c>
      <c r="E5" s="62" t="s">
        <v>160</v>
      </c>
      <c r="F5" s="62" t="s">
        <v>160</v>
      </c>
      <c r="G5" s="62" t="s">
        <v>161</v>
      </c>
      <c r="H5" s="62" t="s">
        <v>51</v>
      </c>
      <c r="I5" s="62" t="s">
        <v>47</v>
      </c>
      <c r="J5" s="62" t="s">
        <v>146</v>
      </c>
      <c r="K5" s="62" t="s">
        <v>147</v>
      </c>
      <c r="L5" s="62" t="s">
        <v>148</v>
      </c>
      <c r="M5" s="62" t="n">
        <v>0</v>
      </c>
      <c r="N5" s="62" t="n">
        <v>1</v>
      </c>
      <c r="O5" s="62" t="n">
        <v>1</v>
      </c>
      <c r="P5" s="62" t="n">
        <v>0</v>
      </c>
      <c r="Q5" s="62" t="n">
        <v>0</v>
      </c>
      <c r="R5" s="62" t="n">
        <v>1</v>
      </c>
      <c r="S5" s="62" t="n">
        <v>0</v>
      </c>
      <c r="T5" s="62" t="n">
        <v>0</v>
      </c>
      <c r="U5" s="62"/>
      <c r="V5" s="62"/>
      <c r="W5" s="62"/>
      <c r="X5" s="62"/>
      <c r="Y5" s="62"/>
      <c r="Z5" s="62" t="s">
        <v>162</v>
      </c>
      <c r="AA5" s="62" t="s">
        <v>163</v>
      </c>
      <c r="AB5" s="62" t="n">
        <v>1</v>
      </c>
      <c r="AC5" s="62" t="n">
        <v>0</v>
      </c>
      <c r="AD5" s="62" t="n">
        <v>1</v>
      </c>
      <c r="AE5" s="62" t="n">
        <f aca="false">IF(AND(Dashboard!$C$9="Yes",AC5=1),0,1)</f>
        <v>1</v>
      </c>
      <c r="AF5" s="62" t="n">
        <v>1</v>
      </c>
    </row>
    <row r="6" customFormat="false" ht="15" hidden="false" customHeight="false" outlineLevel="0" collapsed="false">
      <c r="A6" s="62" t="n">
        <v>5</v>
      </c>
      <c r="B6" s="63" t="n">
        <v>46225.9847685185</v>
      </c>
      <c r="C6" s="64" t="n">
        <v>46225</v>
      </c>
      <c r="D6" s="62" t="s">
        <v>143</v>
      </c>
      <c r="E6" s="62" t="s">
        <v>164</v>
      </c>
      <c r="F6" s="62" t="s">
        <v>164</v>
      </c>
      <c r="G6" s="62" t="s">
        <v>165</v>
      </c>
      <c r="H6" s="62" t="s">
        <v>51</v>
      </c>
      <c r="I6" s="62" t="s">
        <v>47</v>
      </c>
      <c r="J6" s="62" t="s">
        <v>146</v>
      </c>
      <c r="K6" s="62" t="s">
        <v>147</v>
      </c>
      <c r="L6" s="62" t="s">
        <v>148</v>
      </c>
      <c r="M6" s="62" t="n">
        <v>0</v>
      </c>
      <c r="N6" s="62" t="n">
        <v>1</v>
      </c>
      <c r="O6" s="62" t="n">
        <v>1</v>
      </c>
      <c r="P6" s="62" t="n">
        <v>1</v>
      </c>
      <c r="Q6" s="62" t="n">
        <v>0</v>
      </c>
      <c r="R6" s="62" t="n">
        <v>0</v>
      </c>
      <c r="S6" s="62" t="n">
        <v>0</v>
      </c>
      <c r="T6" s="62" t="n">
        <v>0</v>
      </c>
      <c r="U6" s="62"/>
      <c r="V6" s="62"/>
      <c r="W6" s="62"/>
      <c r="X6" s="62"/>
      <c r="Y6" s="62"/>
      <c r="Z6" s="62" t="s">
        <v>166</v>
      </c>
      <c r="AA6" s="62" t="s">
        <v>167</v>
      </c>
      <c r="AB6" s="62" t="n">
        <v>1</v>
      </c>
      <c r="AC6" s="62" t="n">
        <v>0</v>
      </c>
      <c r="AD6" s="62" t="n">
        <v>1</v>
      </c>
      <c r="AE6" s="62" t="n">
        <f aca="false">IF(AND(Dashboard!$C$9="Yes",AC6=1),0,1)</f>
        <v>1</v>
      </c>
      <c r="AF6" s="62" t="n">
        <v>1</v>
      </c>
    </row>
    <row r="7" customFormat="false" ht="15" hidden="false" customHeight="false" outlineLevel="0" collapsed="false">
      <c r="A7" s="62" t="n">
        <v>6</v>
      </c>
      <c r="B7" s="63" t="n">
        <v>46225.9900694444</v>
      </c>
      <c r="C7" s="64" t="n">
        <v>46225</v>
      </c>
      <c r="D7" s="62" t="s">
        <v>143</v>
      </c>
      <c r="E7" s="62" t="s">
        <v>168</v>
      </c>
      <c r="F7" s="62" t="s">
        <v>169</v>
      </c>
      <c r="G7" s="62" t="s">
        <v>153</v>
      </c>
      <c r="H7" s="62" t="s">
        <v>153</v>
      </c>
      <c r="I7" s="62" t="s">
        <v>153</v>
      </c>
      <c r="J7" s="62" t="s">
        <v>64</v>
      </c>
      <c r="K7" s="62" t="s">
        <v>64</v>
      </c>
      <c r="L7" s="62" t="s">
        <v>4</v>
      </c>
      <c r="M7" s="62" t="n">
        <v>1</v>
      </c>
      <c r="N7" s="62" t="n">
        <v>0</v>
      </c>
      <c r="O7" s="62" t="n">
        <v>1</v>
      </c>
      <c r="P7" s="62" t="n">
        <v>0</v>
      </c>
      <c r="Q7" s="62" t="n">
        <v>0</v>
      </c>
      <c r="R7" s="62" t="n">
        <v>0</v>
      </c>
      <c r="S7" s="62" t="n">
        <v>0</v>
      </c>
      <c r="T7" s="62" t="n">
        <v>0</v>
      </c>
      <c r="U7" s="62"/>
      <c r="V7" s="62"/>
      <c r="W7" s="62"/>
      <c r="X7" s="62"/>
      <c r="Y7" s="62"/>
      <c r="Z7" s="62" t="s">
        <v>170</v>
      </c>
      <c r="AA7" s="62" t="s">
        <v>171</v>
      </c>
      <c r="AB7" s="62" t="n">
        <v>1</v>
      </c>
      <c r="AC7" s="62" t="n">
        <v>0</v>
      </c>
      <c r="AD7" s="62" t="n">
        <v>0</v>
      </c>
      <c r="AE7" s="62" t="n">
        <f aca="false">IF(AND(Dashboard!$C$9="Yes",AC7=1),0,1)</f>
        <v>1</v>
      </c>
      <c r="AF7" s="62" t="n">
        <v>1</v>
      </c>
    </row>
    <row r="8" customFormat="false" ht="15" hidden="false" customHeight="false" outlineLevel="0" collapsed="false">
      <c r="A8" s="62" t="n">
        <v>7</v>
      </c>
      <c r="B8" s="63" t="n">
        <v>46225.9903356481</v>
      </c>
      <c r="C8" s="64" t="n">
        <v>46225</v>
      </c>
      <c r="D8" s="62" t="s">
        <v>143</v>
      </c>
      <c r="E8" s="62" t="s">
        <v>168</v>
      </c>
      <c r="F8" s="62" t="s">
        <v>169</v>
      </c>
      <c r="G8" s="62" t="s">
        <v>153</v>
      </c>
      <c r="H8" s="62" t="s">
        <v>153</v>
      </c>
      <c r="I8" s="62" t="s">
        <v>153</v>
      </c>
      <c r="J8" s="62" t="s">
        <v>64</v>
      </c>
      <c r="K8" s="62" t="s">
        <v>64</v>
      </c>
      <c r="L8" s="62" t="s">
        <v>4</v>
      </c>
      <c r="M8" s="62" t="n">
        <v>1</v>
      </c>
      <c r="N8" s="62" t="n">
        <v>0</v>
      </c>
      <c r="O8" s="62" t="n">
        <v>1</v>
      </c>
      <c r="P8" s="62" t="n">
        <v>0</v>
      </c>
      <c r="Q8" s="62" t="n">
        <v>0</v>
      </c>
      <c r="R8" s="62" t="n">
        <v>0</v>
      </c>
      <c r="S8" s="62" t="n">
        <v>0</v>
      </c>
      <c r="T8" s="62" t="n">
        <v>0</v>
      </c>
      <c r="U8" s="62"/>
      <c r="V8" s="62"/>
      <c r="W8" s="62"/>
      <c r="X8" s="62"/>
      <c r="Y8" s="62"/>
      <c r="Z8" s="62" t="s">
        <v>170</v>
      </c>
      <c r="AA8" s="62" t="s">
        <v>172</v>
      </c>
      <c r="AB8" s="62" t="n">
        <v>1</v>
      </c>
      <c r="AC8" s="62" t="n">
        <v>0</v>
      </c>
      <c r="AD8" s="62" t="n">
        <v>0</v>
      </c>
      <c r="AE8" s="62" t="n">
        <f aca="false">IF(AND(Dashboard!$C$9="Yes",AC8=1),0,1)</f>
        <v>1</v>
      </c>
      <c r="AF8" s="62" t="n">
        <v>0</v>
      </c>
    </row>
    <row r="9" customFormat="false" ht="15" hidden="false" customHeight="false" outlineLevel="0" collapsed="false">
      <c r="A9" s="62" t="n">
        <v>8</v>
      </c>
      <c r="B9" s="63" t="n">
        <v>46225.9917939815</v>
      </c>
      <c r="C9" s="64" t="n">
        <v>46225</v>
      </c>
      <c r="D9" s="62" t="s">
        <v>143</v>
      </c>
      <c r="E9" s="62" t="s">
        <v>173</v>
      </c>
      <c r="F9" s="62" t="s">
        <v>173</v>
      </c>
      <c r="G9" s="62" t="s">
        <v>174</v>
      </c>
      <c r="H9" s="62" t="s">
        <v>58</v>
      </c>
      <c r="I9" s="62" t="s">
        <v>49</v>
      </c>
      <c r="J9" s="62" t="s">
        <v>146</v>
      </c>
      <c r="K9" s="62" t="s">
        <v>175</v>
      </c>
      <c r="L9" s="62" t="s">
        <v>148</v>
      </c>
      <c r="M9" s="62" t="n">
        <v>0</v>
      </c>
      <c r="N9" s="62" t="n">
        <v>1</v>
      </c>
      <c r="O9" s="62" t="n">
        <v>1</v>
      </c>
      <c r="P9" s="62" t="n">
        <v>1</v>
      </c>
      <c r="Q9" s="62" t="n">
        <v>0</v>
      </c>
      <c r="R9" s="62" t="n">
        <v>0</v>
      </c>
      <c r="S9" s="62" t="n">
        <v>0</v>
      </c>
      <c r="T9" s="62" t="n">
        <v>0</v>
      </c>
      <c r="U9" s="62"/>
      <c r="V9" s="62"/>
      <c r="W9" s="62"/>
      <c r="X9" s="62"/>
      <c r="Y9" s="62"/>
      <c r="Z9" s="62" t="s">
        <v>176</v>
      </c>
      <c r="AA9" s="62" t="s">
        <v>177</v>
      </c>
      <c r="AB9" s="62" t="n">
        <v>1</v>
      </c>
      <c r="AC9" s="62" t="n">
        <v>0</v>
      </c>
      <c r="AD9" s="62" t="n">
        <v>1</v>
      </c>
      <c r="AE9" s="62" t="n">
        <f aca="false">IF(AND(Dashboard!$C$9="Yes",AC9=1),0,1)</f>
        <v>1</v>
      </c>
      <c r="AF9" s="62" t="n">
        <v>1</v>
      </c>
    </row>
    <row r="10" customFormat="false" ht="15" hidden="false" customHeight="false" outlineLevel="0" collapsed="false">
      <c r="A10" s="62" t="n">
        <v>9</v>
      </c>
      <c r="B10" s="63" t="n">
        <v>46226.0082060185</v>
      </c>
      <c r="C10" s="64" t="n">
        <v>46225</v>
      </c>
      <c r="D10" s="62" t="s">
        <v>143</v>
      </c>
      <c r="E10" s="62" t="s">
        <v>173</v>
      </c>
      <c r="F10" s="62" t="s">
        <v>173</v>
      </c>
      <c r="G10" s="62" t="s">
        <v>174</v>
      </c>
      <c r="H10" s="62" t="s">
        <v>58</v>
      </c>
      <c r="I10" s="62" t="s">
        <v>49</v>
      </c>
      <c r="J10" s="62" t="s">
        <v>146</v>
      </c>
      <c r="K10" s="62" t="s">
        <v>175</v>
      </c>
      <c r="L10" s="62" t="s">
        <v>4</v>
      </c>
      <c r="M10" s="62" t="n">
        <v>1</v>
      </c>
      <c r="N10" s="62" t="n">
        <v>0</v>
      </c>
      <c r="O10" s="62" t="n">
        <v>1</v>
      </c>
      <c r="P10" s="62" t="n">
        <v>0</v>
      </c>
      <c r="Q10" s="62" t="n">
        <v>0</v>
      </c>
      <c r="R10" s="62" t="n">
        <v>0</v>
      </c>
      <c r="S10" s="62" t="n">
        <v>0</v>
      </c>
      <c r="T10" s="62" t="n">
        <v>0</v>
      </c>
      <c r="U10" s="62"/>
      <c r="V10" s="62"/>
      <c r="W10" s="62"/>
      <c r="X10" s="62"/>
      <c r="Y10" s="62"/>
      <c r="Z10" s="62" t="s">
        <v>178</v>
      </c>
      <c r="AA10" s="62" t="s">
        <v>179</v>
      </c>
      <c r="AB10" s="62" t="n">
        <v>1</v>
      </c>
      <c r="AC10" s="62" t="n">
        <v>0</v>
      </c>
      <c r="AD10" s="62" t="n">
        <v>1</v>
      </c>
      <c r="AE10" s="62" t="n">
        <f aca="false">IF(AND(Dashboard!$C$9="Yes",AC10=1),0,1)</f>
        <v>1</v>
      </c>
      <c r="AF10" s="62" t="n">
        <v>0</v>
      </c>
    </row>
    <row r="11" customFormat="false" ht="15" hidden="false" customHeight="false" outlineLevel="0" collapsed="false">
      <c r="A11" s="62" t="n">
        <v>10</v>
      </c>
      <c r="B11" s="63" t="n">
        <v>46226.0404513889</v>
      </c>
      <c r="C11" s="64" t="n">
        <v>46225</v>
      </c>
      <c r="D11" s="62" t="s">
        <v>143</v>
      </c>
      <c r="E11" s="62" t="s">
        <v>180</v>
      </c>
      <c r="F11" s="62" t="s">
        <v>180</v>
      </c>
      <c r="G11" s="62" t="s">
        <v>181</v>
      </c>
      <c r="H11" s="62" t="s">
        <v>58</v>
      </c>
      <c r="I11" s="62" t="s">
        <v>49</v>
      </c>
      <c r="J11" s="62" t="s">
        <v>146</v>
      </c>
      <c r="K11" s="62" t="s">
        <v>175</v>
      </c>
      <c r="L11" s="62" t="s">
        <v>148</v>
      </c>
      <c r="M11" s="62" t="n">
        <v>0</v>
      </c>
      <c r="N11" s="62" t="n">
        <v>1</v>
      </c>
      <c r="O11" s="62" t="n">
        <v>1</v>
      </c>
      <c r="P11" s="62" t="n">
        <v>1</v>
      </c>
      <c r="Q11" s="62" t="n">
        <v>0</v>
      </c>
      <c r="R11" s="62" t="n">
        <v>0</v>
      </c>
      <c r="S11" s="62" t="n">
        <v>0</v>
      </c>
      <c r="T11" s="62" t="n">
        <v>0</v>
      </c>
      <c r="U11" s="62"/>
      <c r="V11" s="62"/>
      <c r="W11" s="62"/>
      <c r="X11" s="62"/>
      <c r="Y11" s="62"/>
      <c r="Z11" s="62" t="s">
        <v>182</v>
      </c>
      <c r="AA11" s="62" t="s">
        <v>183</v>
      </c>
      <c r="AB11" s="62" t="n">
        <v>1</v>
      </c>
      <c r="AC11" s="62" t="n">
        <v>0</v>
      </c>
      <c r="AD11" s="62" t="n">
        <v>1</v>
      </c>
      <c r="AE11" s="62" t="n">
        <f aca="false">IF(AND(Dashboard!$C$9="Yes",AC11=1),0,1)</f>
        <v>1</v>
      </c>
      <c r="AF11" s="62" t="n">
        <v>1</v>
      </c>
    </row>
    <row r="12" customFormat="false" ht="15" hidden="false" customHeight="false" outlineLevel="0" collapsed="false">
      <c r="A12" s="62" t="n">
        <v>11</v>
      </c>
      <c r="B12" s="63" t="n">
        <v>46226.0602893519</v>
      </c>
      <c r="C12" s="64" t="n">
        <v>46225</v>
      </c>
      <c r="D12" s="62" t="s">
        <v>143</v>
      </c>
      <c r="E12" s="62" t="s">
        <v>144</v>
      </c>
      <c r="F12" s="62" t="s">
        <v>144</v>
      </c>
      <c r="G12" s="62" t="s">
        <v>145</v>
      </c>
      <c r="H12" s="62" t="s">
        <v>59</v>
      </c>
      <c r="I12" s="62" t="s">
        <v>47</v>
      </c>
      <c r="J12" s="62" t="s">
        <v>146</v>
      </c>
      <c r="K12" s="62" t="s">
        <v>147</v>
      </c>
      <c r="L12" s="62" t="s">
        <v>148</v>
      </c>
      <c r="M12" s="62" t="n">
        <v>0</v>
      </c>
      <c r="N12" s="62" t="n">
        <v>2</v>
      </c>
      <c r="O12" s="62" t="n">
        <v>2</v>
      </c>
      <c r="P12" s="62" t="n">
        <v>1</v>
      </c>
      <c r="Q12" s="62" t="n">
        <v>1</v>
      </c>
      <c r="R12" s="62" t="n">
        <v>0</v>
      </c>
      <c r="S12" s="62" t="n">
        <v>0</v>
      </c>
      <c r="T12" s="62" t="n">
        <v>0</v>
      </c>
      <c r="U12" s="62"/>
      <c r="V12" s="62"/>
      <c r="W12" s="62"/>
      <c r="X12" s="62"/>
      <c r="Y12" s="62"/>
      <c r="Z12" s="62" t="s">
        <v>184</v>
      </c>
      <c r="AA12" s="62" t="s">
        <v>185</v>
      </c>
      <c r="AB12" s="62" t="n">
        <v>0</v>
      </c>
      <c r="AC12" s="62" t="n">
        <v>0</v>
      </c>
      <c r="AD12" s="62" t="n">
        <v>1</v>
      </c>
      <c r="AE12" s="62" t="n">
        <f aca="false">IF(AND(Dashboard!$C$9="Yes",AC12=1),0,1)</f>
        <v>1</v>
      </c>
      <c r="AF12" s="62" t="n">
        <v>0</v>
      </c>
    </row>
    <row r="13" customFormat="false" ht="15" hidden="false" customHeight="false" outlineLevel="0" collapsed="false">
      <c r="A13" s="62" t="n">
        <v>12</v>
      </c>
      <c r="B13" s="63" t="n">
        <v>46226.0622800926</v>
      </c>
      <c r="C13" s="64" t="n">
        <v>46225</v>
      </c>
      <c r="D13" s="62" t="s">
        <v>143</v>
      </c>
      <c r="E13" s="62" t="s">
        <v>186</v>
      </c>
      <c r="F13" s="62" t="s">
        <v>187</v>
      </c>
      <c r="G13" s="62" t="s">
        <v>153</v>
      </c>
      <c r="H13" s="62" t="s">
        <v>153</v>
      </c>
      <c r="I13" s="62" t="s">
        <v>153</v>
      </c>
      <c r="J13" s="62" t="s">
        <v>64</v>
      </c>
      <c r="K13" s="62" t="s">
        <v>64</v>
      </c>
      <c r="L13" s="62" t="s">
        <v>148</v>
      </c>
      <c r="M13" s="62" t="n">
        <v>0</v>
      </c>
      <c r="N13" s="62" t="n">
        <v>1</v>
      </c>
      <c r="O13" s="62" t="n">
        <v>1</v>
      </c>
      <c r="P13" s="62" t="n">
        <v>1</v>
      </c>
      <c r="Q13" s="62" t="n">
        <v>0</v>
      </c>
      <c r="R13" s="62" t="n">
        <v>0</v>
      </c>
      <c r="S13" s="62" t="n">
        <v>0</v>
      </c>
      <c r="T13" s="62" t="n">
        <v>0</v>
      </c>
      <c r="U13" s="62"/>
      <c r="V13" s="62"/>
      <c r="W13" s="62"/>
      <c r="X13" s="62"/>
      <c r="Y13" s="62"/>
      <c r="Z13" s="62" t="s">
        <v>188</v>
      </c>
      <c r="AA13" s="62" t="s">
        <v>189</v>
      </c>
      <c r="AB13" s="62" t="n">
        <v>1</v>
      </c>
      <c r="AC13" s="62" t="n">
        <v>0</v>
      </c>
      <c r="AD13" s="62" t="n">
        <v>0</v>
      </c>
      <c r="AE13" s="62" t="n">
        <f aca="false">IF(AND(Dashboard!$C$9="Yes",AC13=1),0,1)</f>
        <v>1</v>
      </c>
      <c r="AF13" s="62" t="n">
        <v>1</v>
      </c>
    </row>
    <row r="14" customFormat="false" ht="15" hidden="false" customHeight="false" outlineLevel="0" collapsed="false">
      <c r="A14" s="62" t="n">
        <v>13</v>
      </c>
      <c r="B14" s="63" t="n">
        <v>46226.0766782407</v>
      </c>
      <c r="C14" s="64" t="n">
        <v>46225</v>
      </c>
      <c r="D14" s="62" t="s">
        <v>143</v>
      </c>
      <c r="E14" s="62" t="s">
        <v>190</v>
      </c>
      <c r="F14" s="62" t="s">
        <v>191</v>
      </c>
      <c r="G14" s="62" t="s">
        <v>153</v>
      </c>
      <c r="H14" s="62" t="s">
        <v>153</v>
      </c>
      <c r="I14" s="62" t="s">
        <v>153</v>
      </c>
      <c r="J14" s="62" t="s">
        <v>64</v>
      </c>
      <c r="K14" s="62" t="s">
        <v>64</v>
      </c>
      <c r="L14" s="62" t="s">
        <v>4</v>
      </c>
      <c r="M14" s="62" t="n">
        <v>1</v>
      </c>
      <c r="N14" s="62" t="n">
        <v>0</v>
      </c>
      <c r="O14" s="62" t="n">
        <v>1</v>
      </c>
      <c r="P14" s="62" t="n">
        <v>0</v>
      </c>
      <c r="Q14" s="62" t="n">
        <v>0</v>
      </c>
      <c r="R14" s="62" t="n">
        <v>0</v>
      </c>
      <c r="S14" s="62" t="n">
        <v>0</v>
      </c>
      <c r="T14" s="62" t="n">
        <v>0</v>
      </c>
      <c r="U14" s="62"/>
      <c r="V14" s="62"/>
      <c r="W14" s="62"/>
      <c r="X14" s="62"/>
      <c r="Y14" s="62"/>
      <c r="Z14" s="62" t="s">
        <v>192</v>
      </c>
      <c r="AA14" s="62" t="s">
        <v>193</v>
      </c>
      <c r="AB14" s="62" t="n">
        <v>1</v>
      </c>
      <c r="AC14" s="62" t="n">
        <v>0</v>
      </c>
      <c r="AD14" s="62" t="n">
        <v>0</v>
      </c>
      <c r="AE14" s="62" t="n">
        <f aca="false">IF(AND(Dashboard!$C$9="Yes",AC14=1),0,1)</f>
        <v>1</v>
      </c>
      <c r="AF14" s="62" t="n">
        <v>1</v>
      </c>
    </row>
    <row r="15" customFormat="false" ht="15" hidden="false" customHeight="false" outlineLevel="0" collapsed="false">
      <c r="A15" s="62" t="n">
        <v>14</v>
      </c>
      <c r="B15" s="63" t="n">
        <v>46226.0923263889</v>
      </c>
      <c r="C15" s="64" t="n">
        <v>46225</v>
      </c>
      <c r="D15" s="62" t="s">
        <v>143</v>
      </c>
      <c r="E15" s="62" t="s">
        <v>190</v>
      </c>
      <c r="F15" s="62" t="s">
        <v>191</v>
      </c>
      <c r="G15" s="62" t="s">
        <v>153</v>
      </c>
      <c r="H15" s="62" t="s">
        <v>153</v>
      </c>
      <c r="I15" s="62" t="s">
        <v>153</v>
      </c>
      <c r="J15" s="62" t="s">
        <v>64</v>
      </c>
      <c r="K15" s="62" t="s">
        <v>64</v>
      </c>
      <c r="L15" s="62" t="s">
        <v>148</v>
      </c>
      <c r="M15" s="62" t="n">
        <v>0</v>
      </c>
      <c r="N15" s="62" t="n">
        <v>1</v>
      </c>
      <c r="O15" s="62" t="n">
        <v>1</v>
      </c>
      <c r="P15" s="62" t="n">
        <v>0</v>
      </c>
      <c r="Q15" s="62" t="n">
        <v>1</v>
      </c>
      <c r="R15" s="62" t="n">
        <v>0</v>
      </c>
      <c r="S15" s="62" t="n">
        <v>0</v>
      </c>
      <c r="T15" s="62" t="n">
        <v>0</v>
      </c>
      <c r="U15" s="62"/>
      <c r="V15" s="62"/>
      <c r="W15" s="62"/>
      <c r="X15" s="62"/>
      <c r="Y15" s="62"/>
      <c r="Z15" s="62" t="s">
        <v>194</v>
      </c>
      <c r="AA15" s="62" t="s">
        <v>195</v>
      </c>
      <c r="AB15" s="62" t="n">
        <v>1</v>
      </c>
      <c r="AC15" s="62" t="n">
        <v>0</v>
      </c>
      <c r="AD15" s="62" t="n">
        <v>0</v>
      </c>
      <c r="AE15" s="62" t="n">
        <f aca="false">IF(AND(Dashboard!$C$9="Yes",AC15=1),0,1)</f>
        <v>1</v>
      </c>
      <c r="AF15" s="62" t="n">
        <v>0</v>
      </c>
    </row>
    <row r="16" customFormat="false" ht="15" hidden="false" customHeight="false" outlineLevel="0" collapsed="false">
      <c r="A16" s="62" t="n">
        <v>15</v>
      </c>
      <c r="B16" s="63" t="n">
        <v>46226.1030208333</v>
      </c>
      <c r="C16" s="64" t="n">
        <v>46225</v>
      </c>
      <c r="D16" s="62" t="s">
        <v>143</v>
      </c>
      <c r="E16" s="62" t="s">
        <v>196</v>
      </c>
      <c r="F16" s="62" t="s">
        <v>196</v>
      </c>
      <c r="G16" s="62" t="s">
        <v>197</v>
      </c>
      <c r="H16" s="62" t="s">
        <v>57</v>
      </c>
      <c r="I16" s="62" t="s">
        <v>47</v>
      </c>
      <c r="J16" s="62" t="s">
        <v>146</v>
      </c>
      <c r="K16" s="62" t="s">
        <v>175</v>
      </c>
      <c r="L16" s="62" t="s">
        <v>148</v>
      </c>
      <c r="M16" s="62" t="n">
        <v>0</v>
      </c>
      <c r="N16" s="62" t="n">
        <v>1</v>
      </c>
      <c r="O16" s="62" t="n">
        <v>1</v>
      </c>
      <c r="P16" s="62" t="n">
        <v>0</v>
      </c>
      <c r="Q16" s="62" t="n">
        <v>0</v>
      </c>
      <c r="R16" s="62" t="n">
        <v>1</v>
      </c>
      <c r="S16" s="62" t="n">
        <v>0</v>
      </c>
      <c r="T16" s="62" t="n">
        <v>0</v>
      </c>
      <c r="U16" s="62"/>
      <c r="V16" s="62"/>
      <c r="W16" s="62"/>
      <c r="X16" s="62"/>
      <c r="Y16" s="62"/>
      <c r="Z16" s="62" t="s">
        <v>198</v>
      </c>
      <c r="AA16" s="62" t="s">
        <v>199</v>
      </c>
      <c r="AB16" s="62" t="n">
        <v>1</v>
      </c>
      <c r="AC16" s="62" t="n">
        <v>0</v>
      </c>
      <c r="AD16" s="62" t="n">
        <v>1</v>
      </c>
      <c r="AE16" s="62" t="n">
        <f aca="false">IF(AND(Dashboard!$C$9="Yes",AC16=1),0,1)</f>
        <v>1</v>
      </c>
      <c r="AF16" s="62" t="n">
        <v>1</v>
      </c>
    </row>
    <row r="17" customFormat="false" ht="15" hidden="false" customHeight="false" outlineLevel="0" collapsed="false">
      <c r="A17" s="62" t="n">
        <v>16</v>
      </c>
      <c r="B17" s="63" t="n">
        <v>46226.1566203704</v>
      </c>
      <c r="C17" s="64" t="n">
        <v>46225</v>
      </c>
      <c r="D17" s="62" t="s">
        <v>143</v>
      </c>
      <c r="E17" s="62" t="s">
        <v>144</v>
      </c>
      <c r="F17" s="62" t="s">
        <v>144</v>
      </c>
      <c r="G17" s="62" t="s">
        <v>145</v>
      </c>
      <c r="H17" s="62" t="s">
        <v>59</v>
      </c>
      <c r="I17" s="62" t="s">
        <v>47</v>
      </c>
      <c r="J17" s="62" t="s">
        <v>146</v>
      </c>
      <c r="K17" s="62" t="s">
        <v>147</v>
      </c>
      <c r="L17" s="62" t="s">
        <v>148</v>
      </c>
      <c r="M17" s="62" t="n">
        <v>0</v>
      </c>
      <c r="N17" s="62" t="n">
        <v>2</v>
      </c>
      <c r="O17" s="62" t="n">
        <v>2</v>
      </c>
      <c r="P17" s="62" t="n">
        <v>1</v>
      </c>
      <c r="Q17" s="62" t="n">
        <v>1</v>
      </c>
      <c r="R17" s="62" t="n">
        <v>0</v>
      </c>
      <c r="S17" s="62" t="n">
        <v>0</v>
      </c>
      <c r="T17" s="62" t="n">
        <v>0</v>
      </c>
      <c r="U17" s="62"/>
      <c r="V17" s="62"/>
      <c r="W17" s="62"/>
      <c r="X17" s="62"/>
      <c r="Y17" s="62"/>
      <c r="Z17" s="62" t="s">
        <v>200</v>
      </c>
      <c r="AA17" s="62" t="s">
        <v>201</v>
      </c>
      <c r="AB17" s="62" t="n">
        <v>0</v>
      </c>
      <c r="AC17" s="62" t="n">
        <v>0</v>
      </c>
      <c r="AD17" s="62" t="n">
        <v>1</v>
      </c>
      <c r="AE17" s="62" t="n">
        <f aca="false">IF(AND(Dashboard!$C$9="Yes",AC17=1),0,1)</f>
        <v>1</v>
      </c>
      <c r="AF17" s="62" t="n">
        <v>0</v>
      </c>
    </row>
    <row r="18" customFormat="false" ht="15" hidden="false" customHeight="false" outlineLevel="0" collapsed="false">
      <c r="A18" s="62" t="n">
        <v>17</v>
      </c>
      <c r="B18" s="63" t="n">
        <v>46226.1842013889</v>
      </c>
      <c r="C18" s="64" t="n">
        <v>46225</v>
      </c>
      <c r="D18" s="62" t="s">
        <v>143</v>
      </c>
      <c r="E18" s="62" t="s">
        <v>144</v>
      </c>
      <c r="F18" s="62" t="s">
        <v>144</v>
      </c>
      <c r="G18" s="62" t="s">
        <v>145</v>
      </c>
      <c r="H18" s="62" t="s">
        <v>59</v>
      </c>
      <c r="I18" s="62" t="s">
        <v>47</v>
      </c>
      <c r="J18" s="62" t="s">
        <v>146</v>
      </c>
      <c r="K18" s="62" t="s">
        <v>147</v>
      </c>
      <c r="L18" s="62" t="s">
        <v>4</v>
      </c>
      <c r="M18" s="62" t="n">
        <v>1</v>
      </c>
      <c r="N18" s="62" t="n">
        <v>0</v>
      </c>
      <c r="O18" s="62" t="n">
        <v>1</v>
      </c>
      <c r="P18" s="62" t="n">
        <v>0</v>
      </c>
      <c r="Q18" s="62" t="n">
        <v>0</v>
      </c>
      <c r="R18" s="62" t="n">
        <v>0</v>
      </c>
      <c r="S18" s="62" t="n">
        <v>0</v>
      </c>
      <c r="T18" s="62" t="n">
        <v>0</v>
      </c>
      <c r="U18" s="62"/>
      <c r="V18" s="62"/>
      <c r="W18" s="62"/>
      <c r="X18" s="62"/>
      <c r="Y18" s="62"/>
      <c r="Z18" s="62" t="s">
        <v>200</v>
      </c>
      <c r="AA18" s="62" t="s">
        <v>150</v>
      </c>
      <c r="AB18" s="62" t="n">
        <v>0</v>
      </c>
      <c r="AC18" s="62" t="n">
        <v>0</v>
      </c>
      <c r="AD18" s="62" t="n">
        <v>1</v>
      </c>
      <c r="AE18" s="62" t="n">
        <f aca="false">IF(AND(Dashboard!$C$9="Yes",AC18=1),0,1)</f>
        <v>1</v>
      </c>
      <c r="AF18" s="62" t="n">
        <v>0</v>
      </c>
    </row>
    <row r="19" customFormat="false" ht="15" hidden="false" customHeight="false" outlineLevel="0" collapsed="false">
      <c r="A19" s="62" t="n">
        <v>18</v>
      </c>
      <c r="B19" s="63" t="n">
        <v>46226.65125</v>
      </c>
      <c r="C19" s="64" t="n">
        <v>46226</v>
      </c>
      <c r="D19" s="62" t="s">
        <v>202</v>
      </c>
      <c r="E19" s="62" t="s">
        <v>203</v>
      </c>
      <c r="F19" s="62" t="s">
        <v>203</v>
      </c>
      <c r="G19" s="62" t="s">
        <v>204</v>
      </c>
      <c r="H19" s="62" t="s">
        <v>51</v>
      </c>
      <c r="I19" s="62" t="s">
        <v>47</v>
      </c>
      <c r="J19" s="62" t="s">
        <v>146</v>
      </c>
      <c r="K19" s="62" t="s">
        <v>147</v>
      </c>
      <c r="L19" s="62" t="s">
        <v>148</v>
      </c>
      <c r="M19" s="62" t="n">
        <v>0</v>
      </c>
      <c r="N19" s="62" t="n">
        <v>1</v>
      </c>
      <c r="O19" s="62" t="n">
        <v>1</v>
      </c>
      <c r="P19" s="62" t="n">
        <v>1</v>
      </c>
      <c r="Q19" s="62" t="n">
        <v>0</v>
      </c>
      <c r="R19" s="62" t="n">
        <v>0</v>
      </c>
      <c r="S19" s="62" t="n">
        <v>0</v>
      </c>
      <c r="T19" s="62" t="n">
        <v>0</v>
      </c>
      <c r="U19" s="62"/>
      <c r="V19" s="62"/>
      <c r="W19" s="62"/>
      <c r="X19" s="62"/>
      <c r="Y19" s="62"/>
      <c r="Z19" s="62" t="s">
        <v>205</v>
      </c>
      <c r="AA19" s="62" t="s">
        <v>206</v>
      </c>
      <c r="AB19" s="62" t="n">
        <v>1</v>
      </c>
      <c r="AC19" s="62" t="n">
        <v>0</v>
      </c>
      <c r="AD19" s="62" t="n">
        <v>1</v>
      </c>
      <c r="AE19" s="62" t="n">
        <f aca="false">IF(AND(Dashboard!$C$9="Yes",AC19=1),0,1)</f>
        <v>1</v>
      </c>
      <c r="AF19" s="62" t="n">
        <v>1</v>
      </c>
    </row>
    <row r="20" customFormat="false" ht="15" hidden="false" customHeight="false" outlineLevel="0" collapsed="false">
      <c r="A20" s="62" t="n">
        <v>19</v>
      </c>
      <c r="B20" s="63" t="n">
        <v>46226.6900462963</v>
      </c>
      <c r="C20" s="64" t="n">
        <v>46226</v>
      </c>
      <c r="D20" s="62" t="s">
        <v>202</v>
      </c>
      <c r="E20" s="62" t="s">
        <v>207</v>
      </c>
      <c r="F20" s="62" t="s">
        <v>207</v>
      </c>
      <c r="G20" s="62" t="s">
        <v>208</v>
      </c>
      <c r="H20" s="62" t="s">
        <v>48</v>
      </c>
      <c r="I20" s="62" t="s">
        <v>49</v>
      </c>
      <c r="J20" s="62" t="s">
        <v>146</v>
      </c>
      <c r="K20" s="62" t="s">
        <v>209</v>
      </c>
      <c r="L20" s="62" t="s">
        <v>4</v>
      </c>
      <c r="M20" s="62" t="n">
        <v>1</v>
      </c>
      <c r="N20" s="62" t="n">
        <v>0</v>
      </c>
      <c r="O20" s="62" t="n">
        <v>1</v>
      </c>
      <c r="P20" s="62" t="n">
        <v>0</v>
      </c>
      <c r="Q20" s="62" t="n">
        <v>0</v>
      </c>
      <c r="R20" s="62" t="n">
        <v>0</v>
      </c>
      <c r="S20" s="62" t="n">
        <v>0</v>
      </c>
      <c r="T20" s="62" t="n">
        <v>0</v>
      </c>
      <c r="U20" s="62"/>
      <c r="V20" s="62"/>
      <c r="W20" s="62"/>
      <c r="X20" s="62"/>
      <c r="Y20" s="62"/>
      <c r="Z20" s="62" t="s">
        <v>210</v>
      </c>
      <c r="AA20" s="62" t="s">
        <v>211</v>
      </c>
      <c r="AB20" s="62" t="n">
        <v>1</v>
      </c>
      <c r="AC20" s="62" t="n">
        <v>0</v>
      </c>
      <c r="AD20" s="62" t="n">
        <v>1</v>
      </c>
      <c r="AE20" s="62" t="n">
        <f aca="false">IF(AND(Dashboard!$C$9="Yes",AC20=1),0,1)</f>
        <v>1</v>
      </c>
      <c r="AF20" s="62" t="n">
        <v>1</v>
      </c>
    </row>
    <row r="21" customFormat="false" ht="15" hidden="false" customHeight="false" outlineLevel="0" collapsed="false">
      <c r="A21" s="62" t="n">
        <v>20</v>
      </c>
      <c r="B21" s="63" t="n">
        <v>46226.7424768519</v>
      </c>
      <c r="C21" s="64" t="n">
        <v>46226</v>
      </c>
      <c r="D21" s="62" t="s">
        <v>202</v>
      </c>
      <c r="E21" s="62" t="s">
        <v>212</v>
      </c>
      <c r="F21" s="62" t="s">
        <v>212</v>
      </c>
      <c r="G21" s="62" t="s">
        <v>213</v>
      </c>
      <c r="H21" s="62" t="s">
        <v>58</v>
      </c>
      <c r="I21" s="62" t="s">
        <v>49</v>
      </c>
      <c r="J21" s="62" t="s">
        <v>146</v>
      </c>
      <c r="K21" s="62" t="s">
        <v>175</v>
      </c>
      <c r="L21" s="62" t="s">
        <v>148</v>
      </c>
      <c r="M21" s="62" t="n">
        <v>0</v>
      </c>
      <c r="N21" s="62" t="n">
        <v>1</v>
      </c>
      <c r="O21" s="62" t="n">
        <v>1</v>
      </c>
      <c r="P21" s="62" t="n">
        <v>1</v>
      </c>
      <c r="Q21" s="62" t="n">
        <v>0</v>
      </c>
      <c r="R21" s="62" t="n">
        <v>0</v>
      </c>
      <c r="S21" s="62" t="n">
        <v>0</v>
      </c>
      <c r="T21" s="62" t="n">
        <v>0</v>
      </c>
      <c r="U21" s="62"/>
      <c r="V21" s="62"/>
      <c r="W21" s="62"/>
      <c r="X21" s="62"/>
      <c r="Y21" s="62"/>
      <c r="Z21" s="62" t="s">
        <v>214</v>
      </c>
      <c r="AA21" s="62" t="s">
        <v>215</v>
      </c>
      <c r="AB21" s="62" t="n">
        <v>1</v>
      </c>
      <c r="AC21" s="62" t="n">
        <v>0</v>
      </c>
      <c r="AD21" s="62" t="n">
        <v>1</v>
      </c>
      <c r="AE21" s="62" t="n">
        <f aca="false">IF(AND(Dashboard!$C$9="Yes",AC21=1),0,1)</f>
        <v>1</v>
      </c>
      <c r="AF21" s="62" t="n">
        <v>1</v>
      </c>
    </row>
    <row r="22" customFormat="false" ht="15" hidden="false" customHeight="false" outlineLevel="0" collapsed="false">
      <c r="A22" s="62" t="n">
        <v>21</v>
      </c>
      <c r="B22" s="63" t="n">
        <v>46226.806099537</v>
      </c>
      <c r="C22" s="64" t="n">
        <v>46226</v>
      </c>
      <c r="D22" s="62" t="s">
        <v>202</v>
      </c>
      <c r="E22" s="62" t="s">
        <v>144</v>
      </c>
      <c r="F22" s="62" t="s">
        <v>144</v>
      </c>
      <c r="G22" s="62" t="s">
        <v>145</v>
      </c>
      <c r="H22" s="62" t="s">
        <v>59</v>
      </c>
      <c r="I22" s="62" t="s">
        <v>47</v>
      </c>
      <c r="J22" s="62" t="s">
        <v>146</v>
      </c>
      <c r="K22" s="62" t="s">
        <v>147</v>
      </c>
      <c r="L22" s="62" t="s">
        <v>148</v>
      </c>
      <c r="M22" s="62" t="n">
        <v>0</v>
      </c>
      <c r="N22" s="62" t="n">
        <v>2</v>
      </c>
      <c r="O22" s="62" t="n">
        <v>2</v>
      </c>
      <c r="P22" s="62" t="n">
        <v>1</v>
      </c>
      <c r="Q22" s="62" t="n">
        <v>1</v>
      </c>
      <c r="R22" s="62" t="n">
        <v>0</v>
      </c>
      <c r="S22" s="62" t="n">
        <v>0</v>
      </c>
      <c r="T22" s="62" t="n">
        <v>0</v>
      </c>
      <c r="U22" s="62"/>
      <c r="V22" s="62"/>
      <c r="W22" s="62"/>
      <c r="X22" s="62"/>
      <c r="Y22" s="62"/>
      <c r="Z22" s="62" t="s">
        <v>216</v>
      </c>
      <c r="AA22" s="62" t="s">
        <v>217</v>
      </c>
      <c r="AB22" s="62" t="n">
        <v>0</v>
      </c>
      <c r="AC22" s="62" t="n">
        <v>0</v>
      </c>
      <c r="AD22" s="62" t="n">
        <v>1</v>
      </c>
      <c r="AE22" s="62" t="n">
        <f aca="false">IF(AND(Dashboard!$C$9="Yes",AC22=1),0,1)</f>
        <v>1</v>
      </c>
      <c r="AF22" s="62" t="n">
        <v>1</v>
      </c>
    </row>
    <row r="23" customFormat="false" ht="15" hidden="false" customHeight="false" outlineLevel="0" collapsed="false">
      <c r="A23" s="62" t="n">
        <v>22</v>
      </c>
      <c r="B23" s="63" t="n">
        <v>46226.8372800926</v>
      </c>
      <c r="C23" s="64" t="n">
        <v>46226</v>
      </c>
      <c r="D23" s="62" t="s">
        <v>202</v>
      </c>
      <c r="E23" s="62" t="s">
        <v>218</v>
      </c>
      <c r="F23" s="62" t="s">
        <v>218</v>
      </c>
      <c r="G23" s="62" t="s">
        <v>219</v>
      </c>
      <c r="H23" s="62" t="s">
        <v>51</v>
      </c>
      <c r="I23" s="62" t="s">
        <v>47</v>
      </c>
      <c r="J23" s="62" t="s">
        <v>146</v>
      </c>
      <c r="K23" s="62" t="s">
        <v>147</v>
      </c>
      <c r="L23" s="62" t="s">
        <v>148</v>
      </c>
      <c r="M23" s="62" t="n">
        <v>0</v>
      </c>
      <c r="N23" s="62" t="n">
        <v>1</v>
      </c>
      <c r="O23" s="62" t="n">
        <v>1</v>
      </c>
      <c r="P23" s="62" t="n">
        <v>1</v>
      </c>
      <c r="Q23" s="62" t="n">
        <v>0</v>
      </c>
      <c r="R23" s="62" t="n">
        <v>0</v>
      </c>
      <c r="S23" s="62" t="n">
        <v>0</v>
      </c>
      <c r="T23" s="62" t="n">
        <v>0</v>
      </c>
      <c r="U23" s="62"/>
      <c r="V23" s="62"/>
      <c r="W23" s="62"/>
      <c r="X23" s="62"/>
      <c r="Y23" s="62"/>
      <c r="Z23" s="62" t="s">
        <v>220</v>
      </c>
      <c r="AA23" s="62" t="s">
        <v>221</v>
      </c>
      <c r="AB23" s="62" t="n">
        <v>1</v>
      </c>
      <c r="AC23" s="62" t="n">
        <v>0</v>
      </c>
      <c r="AD23" s="62" t="n">
        <v>1</v>
      </c>
      <c r="AE23" s="62" t="n">
        <f aca="false">IF(AND(Dashboard!$C$9="Yes",AC23=1),0,1)</f>
        <v>1</v>
      </c>
      <c r="AF23" s="62" t="n">
        <v>1</v>
      </c>
    </row>
    <row r="24" customFormat="false" ht="15" hidden="false" customHeight="false" outlineLevel="0" collapsed="false">
      <c r="A24" s="62" t="n">
        <v>23</v>
      </c>
      <c r="B24" s="63" t="n">
        <v>46226.8383333333</v>
      </c>
      <c r="C24" s="64" t="n">
        <v>46226</v>
      </c>
      <c r="D24" s="62" t="s">
        <v>202</v>
      </c>
      <c r="E24" s="62" t="s">
        <v>144</v>
      </c>
      <c r="F24" s="62" t="s">
        <v>144</v>
      </c>
      <c r="G24" s="62" t="s">
        <v>145</v>
      </c>
      <c r="H24" s="62" t="s">
        <v>59</v>
      </c>
      <c r="I24" s="62" t="s">
        <v>47</v>
      </c>
      <c r="J24" s="62" t="s">
        <v>146</v>
      </c>
      <c r="K24" s="62" t="s">
        <v>147</v>
      </c>
      <c r="L24" s="62" t="s">
        <v>148</v>
      </c>
      <c r="M24" s="62" t="n">
        <v>0</v>
      </c>
      <c r="N24" s="62" t="n">
        <v>2</v>
      </c>
      <c r="O24" s="62" t="n">
        <v>2</v>
      </c>
      <c r="P24" s="62" t="n">
        <v>1</v>
      </c>
      <c r="Q24" s="62" t="n">
        <v>1</v>
      </c>
      <c r="R24" s="62" t="n">
        <v>0</v>
      </c>
      <c r="S24" s="62" t="n">
        <v>0</v>
      </c>
      <c r="T24" s="62" t="n">
        <v>0</v>
      </c>
      <c r="U24" s="62"/>
      <c r="V24" s="62"/>
      <c r="W24" s="62"/>
      <c r="X24" s="62"/>
      <c r="Y24" s="62"/>
      <c r="Z24" s="62" t="s">
        <v>222</v>
      </c>
      <c r="AA24" s="62" t="s">
        <v>223</v>
      </c>
      <c r="AB24" s="62" t="n">
        <v>0</v>
      </c>
      <c r="AC24" s="62" t="n">
        <v>0</v>
      </c>
      <c r="AD24" s="62" t="n">
        <v>1</v>
      </c>
      <c r="AE24" s="62" t="n">
        <f aca="false">IF(AND(Dashboard!$C$9="Yes",AC24=1),0,1)</f>
        <v>1</v>
      </c>
      <c r="AF24" s="62" t="n">
        <v>0</v>
      </c>
    </row>
    <row r="25" customFormat="false" ht="15" hidden="false" customHeight="false" outlineLevel="0" collapsed="false">
      <c r="A25" s="62" t="n">
        <v>24</v>
      </c>
      <c r="B25" s="63" t="n">
        <v>46226.8633217593</v>
      </c>
      <c r="C25" s="64" t="n">
        <v>46226</v>
      </c>
      <c r="D25" s="62" t="s">
        <v>202</v>
      </c>
      <c r="E25" s="62" t="s">
        <v>224</v>
      </c>
      <c r="F25" s="62" t="s">
        <v>225</v>
      </c>
      <c r="G25" s="62" t="s">
        <v>153</v>
      </c>
      <c r="H25" s="62" t="s">
        <v>153</v>
      </c>
      <c r="I25" s="62" t="s">
        <v>153</v>
      </c>
      <c r="J25" s="62" t="s">
        <v>64</v>
      </c>
      <c r="K25" s="62" t="s">
        <v>64</v>
      </c>
      <c r="L25" s="62" t="s">
        <v>4</v>
      </c>
      <c r="M25" s="62" t="n">
        <v>2</v>
      </c>
      <c r="N25" s="62" t="n">
        <v>0</v>
      </c>
      <c r="O25" s="62" t="n">
        <v>2</v>
      </c>
      <c r="P25" s="62" t="n">
        <v>0</v>
      </c>
      <c r="Q25" s="62" t="n">
        <v>0</v>
      </c>
      <c r="R25" s="62" t="n">
        <v>0</v>
      </c>
      <c r="S25" s="62" t="n">
        <v>0</v>
      </c>
      <c r="T25" s="62" t="n">
        <v>0</v>
      </c>
      <c r="U25" s="62"/>
      <c r="V25" s="62"/>
      <c r="W25" s="62"/>
      <c r="X25" s="62"/>
      <c r="Y25" s="62"/>
      <c r="Z25" s="62" t="s">
        <v>226</v>
      </c>
      <c r="AA25" s="62" t="s">
        <v>227</v>
      </c>
      <c r="AB25" s="62" t="n">
        <v>1</v>
      </c>
      <c r="AC25" s="62" t="n">
        <v>0</v>
      </c>
      <c r="AD25" s="62" t="n">
        <v>0</v>
      </c>
      <c r="AE25" s="62" t="n">
        <f aca="false">IF(AND(Dashboard!$C$9="Yes",AC25=1),0,1)</f>
        <v>1</v>
      </c>
      <c r="AF25" s="62" t="n">
        <v>1</v>
      </c>
    </row>
    <row r="26" customFormat="false" ht="15" hidden="false" customHeight="false" outlineLevel="0" collapsed="false">
      <c r="A26" s="62" t="n">
        <v>25</v>
      </c>
      <c r="B26" s="63" t="n">
        <v>46226.8761805556</v>
      </c>
      <c r="C26" s="64" t="n">
        <v>46226</v>
      </c>
      <c r="D26" s="62" t="s">
        <v>202</v>
      </c>
      <c r="E26" s="62" t="s">
        <v>228</v>
      </c>
      <c r="F26" s="62" t="s">
        <v>229</v>
      </c>
      <c r="G26" s="62" t="s">
        <v>153</v>
      </c>
      <c r="H26" s="62" t="s">
        <v>153</v>
      </c>
      <c r="I26" s="62" t="s">
        <v>153</v>
      </c>
      <c r="J26" s="62" t="s">
        <v>64</v>
      </c>
      <c r="K26" s="62" t="s">
        <v>64</v>
      </c>
      <c r="L26" s="62" t="s">
        <v>148</v>
      </c>
      <c r="M26" s="62" t="n">
        <v>0</v>
      </c>
      <c r="N26" s="62" t="n">
        <v>1</v>
      </c>
      <c r="O26" s="62" t="n">
        <v>1</v>
      </c>
      <c r="P26" s="62" t="n">
        <v>1</v>
      </c>
      <c r="Q26" s="62" t="n">
        <v>0</v>
      </c>
      <c r="R26" s="62" t="n">
        <v>0</v>
      </c>
      <c r="S26" s="62" t="n">
        <v>0</v>
      </c>
      <c r="T26" s="62" t="n">
        <v>0</v>
      </c>
      <c r="U26" s="62"/>
      <c r="V26" s="62"/>
      <c r="W26" s="62"/>
      <c r="X26" s="62"/>
      <c r="Y26" s="62"/>
      <c r="Z26" s="62" t="s">
        <v>230</v>
      </c>
      <c r="AA26" s="62" t="s">
        <v>231</v>
      </c>
      <c r="AB26" s="62" t="n">
        <v>1</v>
      </c>
      <c r="AC26" s="62" t="n">
        <v>0</v>
      </c>
      <c r="AD26" s="62" t="n">
        <v>0</v>
      </c>
      <c r="AE26" s="62" t="n">
        <f aca="false">IF(AND(Dashboard!$C$9="Yes",AC26=1),0,1)</f>
        <v>1</v>
      </c>
      <c r="AF26" s="62" t="n">
        <v>1</v>
      </c>
    </row>
    <row r="27" customFormat="false" ht="15" hidden="false" customHeight="false" outlineLevel="0" collapsed="false">
      <c r="A27" s="62" t="n">
        <v>26</v>
      </c>
      <c r="B27" s="63" t="n">
        <v>46226.8774652778</v>
      </c>
      <c r="C27" s="64" t="n">
        <v>46226</v>
      </c>
      <c r="D27" s="62" t="s">
        <v>202</v>
      </c>
      <c r="E27" s="62" t="s">
        <v>228</v>
      </c>
      <c r="F27" s="62" t="s">
        <v>229</v>
      </c>
      <c r="G27" s="62" t="s">
        <v>153</v>
      </c>
      <c r="H27" s="62" t="s">
        <v>153</v>
      </c>
      <c r="I27" s="62" t="s">
        <v>153</v>
      </c>
      <c r="J27" s="62" t="s">
        <v>64</v>
      </c>
      <c r="K27" s="62" t="s">
        <v>64</v>
      </c>
      <c r="L27" s="62" t="s">
        <v>4</v>
      </c>
      <c r="M27" s="62" t="n">
        <v>1</v>
      </c>
      <c r="N27" s="62" t="n">
        <v>0</v>
      </c>
      <c r="O27" s="62" t="n">
        <v>1</v>
      </c>
      <c r="P27" s="62" t="n">
        <v>0</v>
      </c>
      <c r="Q27" s="62" t="n">
        <v>0</v>
      </c>
      <c r="R27" s="62" t="n">
        <v>0</v>
      </c>
      <c r="S27" s="62" t="n">
        <v>0</v>
      </c>
      <c r="T27" s="62" t="n">
        <v>0</v>
      </c>
      <c r="U27" s="62"/>
      <c r="V27" s="62"/>
      <c r="W27" s="62"/>
      <c r="X27" s="62"/>
      <c r="Y27" s="62"/>
      <c r="Z27" s="62" t="s">
        <v>232</v>
      </c>
      <c r="AA27" s="62" t="s">
        <v>233</v>
      </c>
      <c r="AB27" s="62" t="n">
        <v>1</v>
      </c>
      <c r="AC27" s="62" t="n">
        <v>0</v>
      </c>
      <c r="AD27" s="62" t="n">
        <v>0</v>
      </c>
      <c r="AE27" s="62" t="n">
        <f aca="false">IF(AND(Dashboard!$C$9="Yes",AC27=1),0,1)</f>
        <v>1</v>
      </c>
      <c r="AF27" s="62" t="n">
        <v>0</v>
      </c>
    </row>
    <row r="28" customFormat="false" ht="15" hidden="false" customHeight="false" outlineLevel="0" collapsed="false">
      <c r="A28" s="62" t="n">
        <v>27</v>
      </c>
      <c r="B28" s="63" t="n">
        <v>46226.8945138889</v>
      </c>
      <c r="C28" s="64" t="n">
        <v>46226</v>
      </c>
      <c r="D28" s="62" t="s">
        <v>202</v>
      </c>
      <c r="E28" s="62" t="s">
        <v>234</v>
      </c>
      <c r="F28" s="62" t="s">
        <v>234</v>
      </c>
      <c r="G28" s="62" t="s">
        <v>235</v>
      </c>
      <c r="H28" s="62" t="s">
        <v>58</v>
      </c>
      <c r="I28" s="62" t="s">
        <v>49</v>
      </c>
      <c r="J28" s="62" t="s">
        <v>146</v>
      </c>
      <c r="K28" s="62" t="s">
        <v>209</v>
      </c>
      <c r="L28" s="62" t="s">
        <v>4</v>
      </c>
      <c r="M28" s="62" t="n">
        <v>1</v>
      </c>
      <c r="N28" s="62" t="n">
        <v>0</v>
      </c>
      <c r="O28" s="62" t="n">
        <v>1</v>
      </c>
      <c r="P28" s="62" t="n">
        <v>0</v>
      </c>
      <c r="Q28" s="62" t="n">
        <v>0</v>
      </c>
      <c r="R28" s="62" t="n">
        <v>0</v>
      </c>
      <c r="S28" s="62" t="n">
        <v>0</v>
      </c>
      <c r="T28" s="62" t="n">
        <v>0</v>
      </c>
      <c r="U28" s="62"/>
      <c r="V28" s="62"/>
      <c r="W28" s="62"/>
      <c r="X28" s="62"/>
      <c r="Y28" s="62"/>
      <c r="Z28" s="62" t="s">
        <v>236</v>
      </c>
      <c r="AA28" s="62" t="s">
        <v>237</v>
      </c>
      <c r="AB28" s="62" t="n">
        <v>0</v>
      </c>
      <c r="AC28" s="62" t="n">
        <v>0</v>
      </c>
      <c r="AD28" s="62" t="n">
        <v>1</v>
      </c>
      <c r="AE28" s="62" t="n">
        <f aca="false">IF(AND(Dashboard!$C$9="Yes",AC28=1),0,1)</f>
        <v>1</v>
      </c>
      <c r="AF28" s="62" t="n">
        <v>1</v>
      </c>
    </row>
    <row r="29" customFormat="false" ht="15" hidden="false" customHeight="false" outlineLevel="0" collapsed="false">
      <c r="A29" s="62" t="n">
        <v>28</v>
      </c>
      <c r="B29" s="63" t="n">
        <v>46226.894849537</v>
      </c>
      <c r="C29" s="64" t="n">
        <v>46226</v>
      </c>
      <c r="D29" s="62" t="s">
        <v>202</v>
      </c>
      <c r="E29" s="62" t="s">
        <v>234</v>
      </c>
      <c r="F29" s="62" t="s">
        <v>234</v>
      </c>
      <c r="G29" s="62" t="s">
        <v>235</v>
      </c>
      <c r="H29" s="62" t="s">
        <v>58</v>
      </c>
      <c r="I29" s="62" t="s">
        <v>49</v>
      </c>
      <c r="J29" s="62" t="s">
        <v>146</v>
      </c>
      <c r="K29" s="62" t="s">
        <v>209</v>
      </c>
      <c r="L29" s="62" t="s">
        <v>4</v>
      </c>
      <c r="M29" s="62" t="n">
        <v>1</v>
      </c>
      <c r="N29" s="62" t="n">
        <v>0</v>
      </c>
      <c r="O29" s="62" t="n">
        <v>1</v>
      </c>
      <c r="P29" s="62" t="n">
        <v>0</v>
      </c>
      <c r="Q29" s="62" t="n">
        <v>0</v>
      </c>
      <c r="R29" s="62" t="n">
        <v>0</v>
      </c>
      <c r="S29" s="62" t="n">
        <v>0</v>
      </c>
      <c r="T29" s="62" t="n">
        <v>0</v>
      </c>
      <c r="U29" s="62"/>
      <c r="V29" s="62"/>
      <c r="W29" s="62"/>
      <c r="X29" s="62"/>
      <c r="Y29" s="62"/>
      <c r="Z29" s="62" t="s">
        <v>238</v>
      </c>
      <c r="AA29" s="62" t="s">
        <v>237</v>
      </c>
      <c r="AB29" s="62" t="n">
        <v>0</v>
      </c>
      <c r="AC29" s="62" t="n">
        <v>0</v>
      </c>
      <c r="AD29" s="62" t="n">
        <v>1</v>
      </c>
      <c r="AE29" s="62" t="n">
        <f aca="false">IF(AND(Dashboard!$C$9="Yes",AC29=1),0,1)</f>
        <v>1</v>
      </c>
      <c r="AF29" s="62" t="n">
        <v>0</v>
      </c>
    </row>
    <row r="30" customFormat="false" ht="15" hidden="false" customHeight="false" outlineLevel="0" collapsed="false">
      <c r="A30" s="62" t="n">
        <v>29</v>
      </c>
      <c r="B30" s="63" t="n">
        <v>46226.9085069444</v>
      </c>
      <c r="C30" s="64" t="n">
        <v>46226</v>
      </c>
      <c r="D30" s="62" t="s">
        <v>202</v>
      </c>
      <c r="E30" s="62" t="s">
        <v>239</v>
      </c>
      <c r="F30" s="62" t="s">
        <v>240</v>
      </c>
      <c r="G30" s="62" t="s">
        <v>153</v>
      </c>
      <c r="H30" s="62" t="s">
        <v>153</v>
      </c>
      <c r="I30" s="62" t="s">
        <v>153</v>
      </c>
      <c r="J30" s="62" t="s">
        <v>64</v>
      </c>
      <c r="K30" s="62" t="s">
        <v>64</v>
      </c>
      <c r="L30" s="62" t="s">
        <v>148</v>
      </c>
      <c r="M30" s="62" t="n">
        <v>0</v>
      </c>
      <c r="N30" s="62" t="n">
        <v>1</v>
      </c>
      <c r="O30" s="62" t="n">
        <v>1</v>
      </c>
      <c r="P30" s="62" t="n">
        <v>0</v>
      </c>
      <c r="Q30" s="62" t="n">
        <v>1</v>
      </c>
      <c r="R30" s="62" t="n">
        <v>0</v>
      </c>
      <c r="S30" s="62" t="n">
        <v>0</v>
      </c>
      <c r="T30" s="62" t="n">
        <v>0</v>
      </c>
      <c r="U30" s="62"/>
      <c r="V30" s="62"/>
      <c r="W30" s="62"/>
      <c r="X30" s="62"/>
      <c r="Y30" s="62"/>
      <c r="Z30" s="62" t="s">
        <v>241</v>
      </c>
      <c r="AA30" s="62" t="s">
        <v>242</v>
      </c>
      <c r="AB30" s="62" t="n">
        <v>1</v>
      </c>
      <c r="AC30" s="62" t="n">
        <v>0</v>
      </c>
      <c r="AD30" s="62" t="n">
        <v>0</v>
      </c>
      <c r="AE30" s="62" t="n">
        <f aca="false">IF(AND(Dashboard!$C$9="Yes",AC30=1),0,1)</f>
        <v>1</v>
      </c>
      <c r="AF30" s="62" t="n">
        <v>1</v>
      </c>
    </row>
    <row r="31" customFormat="false" ht="15" hidden="false" customHeight="false" outlineLevel="0" collapsed="false">
      <c r="A31" s="62" t="n">
        <v>30</v>
      </c>
      <c r="B31" s="63" t="n">
        <v>46226.9147106482</v>
      </c>
      <c r="C31" s="64" t="n">
        <v>46226</v>
      </c>
      <c r="D31" s="62" t="s">
        <v>202</v>
      </c>
      <c r="E31" s="62" t="s">
        <v>228</v>
      </c>
      <c r="F31" s="62" t="s">
        <v>229</v>
      </c>
      <c r="G31" s="62" t="s">
        <v>153</v>
      </c>
      <c r="H31" s="62" t="s">
        <v>153</v>
      </c>
      <c r="I31" s="62" t="s">
        <v>153</v>
      </c>
      <c r="J31" s="62" t="s">
        <v>64</v>
      </c>
      <c r="K31" s="62" t="s">
        <v>64</v>
      </c>
      <c r="L31" s="62" t="s">
        <v>4</v>
      </c>
      <c r="M31" s="62" t="n">
        <v>1</v>
      </c>
      <c r="N31" s="62" t="n">
        <v>0</v>
      </c>
      <c r="O31" s="62" t="n">
        <v>1</v>
      </c>
      <c r="P31" s="62" t="n">
        <v>0</v>
      </c>
      <c r="Q31" s="62" t="n">
        <v>0</v>
      </c>
      <c r="R31" s="62" t="n">
        <v>0</v>
      </c>
      <c r="S31" s="62" t="n">
        <v>0</v>
      </c>
      <c r="T31" s="62" t="n">
        <v>0</v>
      </c>
      <c r="U31" s="62"/>
      <c r="V31" s="62"/>
      <c r="W31" s="62"/>
      <c r="X31" s="62"/>
      <c r="Y31" s="62"/>
      <c r="Z31" s="62" t="s">
        <v>243</v>
      </c>
      <c r="AA31" s="62" t="s">
        <v>244</v>
      </c>
      <c r="AB31" s="62" t="n">
        <v>1</v>
      </c>
      <c r="AC31" s="62" t="n">
        <v>0</v>
      </c>
      <c r="AD31" s="62" t="n">
        <v>0</v>
      </c>
      <c r="AE31" s="62" t="n">
        <f aca="false">IF(AND(Dashboard!$C$9="Yes",AC31=1),0,1)</f>
        <v>1</v>
      </c>
      <c r="AF31" s="62" t="n">
        <v>0</v>
      </c>
    </row>
    <row r="32" customFormat="false" ht="15" hidden="false" customHeight="false" outlineLevel="0" collapsed="false">
      <c r="A32" s="62" t="n">
        <v>31</v>
      </c>
      <c r="B32" s="63" t="n">
        <v>46226.9147916667</v>
      </c>
      <c r="C32" s="64" t="n">
        <v>46226</v>
      </c>
      <c r="D32" s="62" t="s">
        <v>202</v>
      </c>
      <c r="E32" s="62" t="s">
        <v>212</v>
      </c>
      <c r="F32" s="62" t="s">
        <v>212</v>
      </c>
      <c r="G32" s="62" t="s">
        <v>213</v>
      </c>
      <c r="H32" s="62" t="s">
        <v>58</v>
      </c>
      <c r="I32" s="62" t="s">
        <v>49</v>
      </c>
      <c r="J32" s="62" t="s">
        <v>146</v>
      </c>
      <c r="K32" s="62" t="s">
        <v>175</v>
      </c>
      <c r="L32" s="62" t="s">
        <v>148</v>
      </c>
      <c r="M32" s="62" t="n">
        <v>0</v>
      </c>
      <c r="N32" s="62" t="n">
        <v>1</v>
      </c>
      <c r="O32" s="62" t="n">
        <v>1</v>
      </c>
      <c r="P32" s="62" t="n">
        <v>1</v>
      </c>
      <c r="Q32" s="62" t="n">
        <v>0</v>
      </c>
      <c r="R32" s="62" t="n">
        <v>0</v>
      </c>
      <c r="S32" s="62" t="n">
        <v>0</v>
      </c>
      <c r="T32" s="62" t="n">
        <v>0</v>
      </c>
      <c r="U32" s="62"/>
      <c r="V32" s="62"/>
      <c r="W32" s="62"/>
      <c r="X32" s="62"/>
      <c r="Y32" s="62"/>
      <c r="Z32" s="62" t="s">
        <v>245</v>
      </c>
      <c r="AA32" s="62" t="s">
        <v>246</v>
      </c>
      <c r="AB32" s="62" t="n">
        <v>1</v>
      </c>
      <c r="AC32" s="62" t="n">
        <v>0</v>
      </c>
      <c r="AD32" s="62" t="n">
        <v>1</v>
      </c>
      <c r="AE32" s="62" t="n">
        <f aca="false">IF(AND(Dashboard!$C$9="Yes",AC32=1),0,1)</f>
        <v>1</v>
      </c>
      <c r="AF32" s="62" t="n">
        <v>0</v>
      </c>
    </row>
    <row r="33" customFormat="false" ht="15" hidden="false" customHeight="false" outlineLevel="0" collapsed="false">
      <c r="A33" s="62" t="n">
        <v>32</v>
      </c>
      <c r="B33" s="63" t="n">
        <v>46226.9258101852</v>
      </c>
      <c r="C33" s="64" t="n">
        <v>46226</v>
      </c>
      <c r="D33" s="62" t="s">
        <v>202</v>
      </c>
      <c r="E33" s="62" t="s">
        <v>144</v>
      </c>
      <c r="F33" s="62" t="s">
        <v>144</v>
      </c>
      <c r="G33" s="62" t="s">
        <v>145</v>
      </c>
      <c r="H33" s="62" t="s">
        <v>59</v>
      </c>
      <c r="I33" s="62" t="s">
        <v>47</v>
      </c>
      <c r="J33" s="62" t="s">
        <v>146</v>
      </c>
      <c r="K33" s="62" t="s">
        <v>147</v>
      </c>
      <c r="L33" s="62" t="s">
        <v>148</v>
      </c>
      <c r="M33" s="62" t="n">
        <v>0</v>
      </c>
      <c r="N33" s="62" t="n">
        <v>2</v>
      </c>
      <c r="O33" s="62" t="n">
        <v>2</v>
      </c>
      <c r="P33" s="62" t="n">
        <v>1</v>
      </c>
      <c r="Q33" s="62" t="n">
        <v>1</v>
      </c>
      <c r="R33" s="62" t="n">
        <v>0</v>
      </c>
      <c r="S33" s="62" t="n">
        <v>0</v>
      </c>
      <c r="T33" s="62" t="n">
        <v>0</v>
      </c>
      <c r="U33" s="62"/>
      <c r="V33" s="62"/>
      <c r="W33" s="62"/>
      <c r="X33" s="62"/>
      <c r="Y33" s="62"/>
      <c r="Z33" s="62" t="s">
        <v>247</v>
      </c>
      <c r="AA33" s="62" t="s">
        <v>248</v>
      </c>
      <c r="AB33" s="62" t="n">
        <v>0</v>
      </c>
      <c r="AC33" s="62" t="n">
        <v>0</v>
      </c>
      <c r="AD33" s="62" t="n">
        <v>1</v>
      </c>
      <c r="AE33" s="62" t="n">
        <f aca="false">IF(AND(Dashboard!$C$9="Yes",AC33=1),0,1)</f>
        <v>1</v>
      </c>
      <c r="AF33" s="62" t="n">
        <v>0</v>
      </c>
    </row>
    <row r="34" customFormat="false" ht="15" hidden="false" customHeight="false" outlineLevel="0" collapsed="false">
      <c r="A34" s="62" t="n">
        <v>33</v>
      </c>
      <c r="B34" s="63" t="n">
        <v>46226.9342939815</v>
      </c>
      <c r="C34" s="64" t="n">
        <v>46226</v>
      </c>
      <c r="D34" s="62" t="s">
        <v>202</v>
      </c>
      <c r="E34" s="62" t="s">
        <v>212</v>
      </c>
      <c r="F34" s="62" t="s">
        <v>212</v>
      </c>
      <c r="G34" s="62" t="s">
        <v>213</v>
      </c>
      <c r="H34" s="62" t="s">
        <v>58</v>
      </c>
      <c r="I34" s="62" t="s">
        <v>49</v>
      </c>
      <c r="J34" s="62" t="s">
        <v>146</v>
      </c>
      <c r="K34" s="62" t="s">
        <v>175</v>
      </c>
      <c r="L34" s="62" t="s">
        <v>148</v>
      </c>
      <c r="M34" s="62" t="n">
        <v>0</v>
      </c>
      <c r="N34" s="62" t="n">
        <v>1</v>
      </c>
      <c r="O34" s="62" t="n">
        <v>1</v>
      </c>
      <c r="P34" s="62" t="n">
        <v>1</v>
      </c>
      <c r="Q34" s="62" t="n">
        <v>0</v>
      </c>
      <c r="R34" s="62" t="n">
        <v>0</v>
      </c>
      <c r="S34" s="62" t="n">
        <v>0</v>
      </c>
      <c r="T34" s="62" t="n">
        <v>0</v>
      </c>
      <c r="U34" s="62"/>
      <c r="V34" s="62"/>
      <c r="W34" s="62"/>
      <c r="X34" s="62"/>
      <c r="Y34" s="62"/>
      <c r="Z34" s="62" t="s">
        <v>249</v>
      </c>
      <c r="AA34" s="62" t="s">
        <v>250</v>
      </c>
      <c r="AB34" s="62" t="n">
        <v>1</v>
      </c>
      <c r="AC34" s="62" t="n">
        <v>0</v>
      </c>
      <c r="AD34" s="62" t="n">
        <v>1</v>
      </c>
      <c r="AE34" s="62" t="n">
        <f aca="false">IF(AND(Dashboard!$C$9="Yes",AC34=1),0,1)</f>
        <v>1</v>
      </c>
      <c r="AF34" s="62" t="n">
        <v>0</v>
      </c>
    </row>
    <row r="35" customFormat="false" ht="15" hidden="false" customHeight="false" outlineLevel="0" collapsed="false">
      <c r="A35" s="62" t="n">
        <v>34</v>
      </c>
      <c r="B35" s="63" t="n">
        <v>46226.9389467593</v>
      </c>
      <c r="C35" s="64" t="n">
        <v>46226</v>
      </c>
      <c r="D35" s="62" t="s">
        <v>202</v>
      </c>
      <c r="E35" s="62" t="s">
        <v>234</v>
      </c>
      <c r="F35" s="62" t="s">
        <v>234</v>
      </c>
      <c r="G35" s="62" t="s">
        <v>235</v>
      </c>
      <c r="H35" s="62" t="s">
        <v>58</v>
      </c>
      <c r="I35" s="62" t="s">
        <v>49</v>
      </c>
      <c r="J35" s="62" t="s">
        <v>146</v>
      </c>
      <c r="K35" s="62" t="s">
        <v>209</v>
      </c>
      <c r="L35" s="62" t="s">
        <v>4</v>
      </c>
      <c r="M35" s="62" t="n">
        <v>1</v>
      </c>
      <c r="N35" s="62" t="n">
        <v>0</v>
      </c>
      <c r="O35" s="62" t="n">
        <v>1</v>
      </c>
      <c r="P35" s="62" t="n">
        <v>0</v>
      </c>
      <c r="Q35" s="62" t="n">
        <v>0</v>
      </c>
      <c r="R35" s="62" t="n">
        <v>0</v>
      </c>
      <c r="S35" s="62" t="n">
        <v>0</v>
      </c>
      <c r="T35" s="62" t="n">
        <v>0</v>
      </c>
      <c r="U35" s="62"/>
      <c r="V35" s="62"/>
      <c r="W35" s="62"/>
      <c r="X35" s="62"/>
      <c r="Y35" s="62"/>
      <c r="Z35" s="62" t="s">
        <v>251</v>
      </c>
      <c r="AA35" s="62" t="s">
        <v>252</v>
      </c>
      <c r="AB35" s="62" t="n">
        <v>1</v>
      </c>
      <c r="AC35" s="62" t="n">
        <v>0</v>
      </c>
      <c r="AD35" s="62" t="n">
        <v>1</v>
      </c>
      <c r="AE35" s="62" t="n">
        <f aca="false">IF(AND(Dashboard!$C$9="Yes",AC35=1),0,1)</f>
        <v>1</v>
      </c>
      <c r="AF35" s="62" t="n">
        <v>0</v>
      </c>
    </row>
    <row r="36" customFormat="false" ht="15" hidden="false" customHeight="false" outlineLevel="0" collapsed="false">
      <c r="A36" s="62" t="n">
        <v>35</v>
      </c>
      <c r="B36" s="63" t="n">
        <v>46226.9563078704</v>
      </c>
      <c r="C36" s="64" t="n">
        <v>46226</v>
      </c>
      <c r="D36" s="62" t="s">
        <v>202</v>
      </c>
      <c r="E36" s="62" t="s">
        <v>218</v>
      </c>
      <c r="F36" s="62" t="s">
        <v>218</v>
      </c>
      <c r="G36" s="62" t="s">
        <v>219</v>
      </c>
      <c r="H36" s="62" t="s">
        <v>51</v>
      </c>
      <c r="I36" s="62" t="s">
        <v>47</v>
      </c>
      <c r="J36" s="62" t="s">
        <v>146</v>
      </c>
      <c r="K36" s="62" t="s">
        <v>147</v>
      </c>
      <c r="L36" s="62" t="s">
        <v>148</v>
      </c>
      <c r="M36" s="62" t="n">
        <v>0</v>
      </c>
      <c r="N36" s="62" t="n">
        <v>1</v>
      </c>
      <c r="O36" s="62" t="n">
        <v>1</v>
      </c>
      <c r="P36" s="62" t="n">
        <v>1</v>
      </c>
      <c r="Q36" s="62" t="n">
        <v>0</v>
      </c>
      <c r="R36" s="62" t="n">
        <v>0</v>
      </c>
      <c r="S36" s="62" t="n">
        <v>0</v>
      </c>
      <c r="T36" s="62" t="n">
        <v>0</v>
      </c>
      <c r="U36" s="62"/>
      <c r="V36" s="62"/>
      <c r="W36" s="62"/>
      <c r="X36" s="62"/>
      <c r="Y36" s="62"/>
      <c r="Z36" s="62" t="s">
        <v>253</v>
      </c>
      <c r="AA36" s="62" t="s">
        <v>254</v>
      </c>
      <c r="AB36" s="62" t="n">
        <v>1</v>
      </c>
      <c r="AC36" s="62" t="n">
        <v>0</v>
      </c>
      <c r="AD36" s="62" t="n">
        <v>1</v>
      </c>
      <c r="AE36" s="62" t="n">
        <f aca="false">IF(AND(Dashboard!$C$9="Yes",AC36=1),0,1)</f>
        <v>1</v>
      </c>
      <c r="AF36" s="62" t="n">
        <v>0</v>
      </c>
    </row>
    <row r="37" customFormat="false" ht="15" hidden="false" customHeight="false" outlineLevel="0" collapsed="false">
      <c r="A37" s="62" t="n">
        <v>36</v>
      </c>
      <c r="B37" s="63" t="n">
        <v>46226.9587268519</v>
      </c>
      <c r="C37" s="64" t="n">
        <v>46226</v>
      </c>
      <c r="D37" s="62" t="s">
        <v>202</v>
      </c>
      <c r="E37" s="62" t="s">
        <v>255</v>
      </c>
      <c r="F37" s="62" t="s">
        <v>255</v>
      </c>
      <c r="G37" s="62" t="s">
        <v>256</v>
      </c>
      <c r="H37" s="62" t="s">
        <v>57</v>
      </c>
      <c r="I37" s="62" t="s">
        <v>47</v>
      </c>
      <c r="J37" s="62" t="s">
        <v>146</v>
      </c>
      <c r="K37" s="62" t="s">
        <v>147</v>
      </c>
      <c r="L37" s="62" t="s">
        <v>148</v>
      </c>
      <c r="M37" s="62" t="n">
        <v>0</v>
      </c>
      <c r="N37" s="62" t="n">
        <v>1</v>
      </c>
      <c r="O37" s="62" t="n">
        <v>1</v>
      </c>
      <c r="P37" s="62" t="n">
        <v>0</v>
      </c>
      <c r="Q37" s="62" t="n">
        <v>1</v>
      </c>
      <c r="R37" s="62" t="n">
        <v>0</v>
      </c>
      <c r="S37" s="62" t="n">
        <v>0</v>
      </c>
      <c r="T37" s="62" t="n">
        <v>0</v>
      </c>
      <c r="U37" s="62"/>
      <c r="V37" s="62"/>
      <c r="W37" s="62"/>
      <c r="X37" s="62"/>
      <c r="Y37" s="62"/>
      <c r="Z37" s="62" t="s">
        <v>257</v>
      </c>
      <c r="AA37" s="62" t="s">
        <v>258</v>
      </c>
      <c r="AB37" s="62" t="n">
        <v>1</v>
      </c>
      <c r="AC37" s="62" t="n">
        <v>0</v>
      </c>
      <c r="AD37" s="62" t="n">
        <v>1</v>
      </c>
      <c r="AE37" s="62" t="n">
        <f aca="false">IF(AND(Dashboard!$C$9="Yes",AC37=1),0,1)</f>
        <v>1</v>
      </c>
      <c r="AF37" s="62" t="n">
        <v>1</v>
      </c>
    </row>
    <row r="38" customFormat="false" ht="15" hidden="false" customHeight="false" outlineLevel="0" collapsed="false">
      <c r="A38" s="62" t="n">
        <v>37</v>
      </c>
      <c r="B38" s="63" t="n">
        <v>46227.002349537</v>
      </c>
      <c r="C38" s="64" t="n">
        <v>46226</v>
      </c>
      <c r="D38" s="62" t="s">
        <v>202</v>
      </c>
      <c r="E38" s="62" t="s">
        <v>160</v>
      </c>
      <c r="F38" s="62" t="s">
        <v>160</v>
      </c>
      <c r="G38" s="62" t="s">
        <v>161</v>
      </c>
      <c r="H38" s="62" t="s">
        <v>51</v>
      </c>
      <c r="I38" s="62" t="s">
        <v>47</v>
      </c>
      <c r="J38" s="62" t="s">
        <v>146</v>
      </c>
      <c r="K38" s="62" t="s">
        <v>147</v>
      </c>
      <c r="L38" s="62" t="s">
        <v>4</v>
      </c>
      <c r="M38" s="62" t="n">
        <v>1</v>
      </c>
      <c r="N38" s="62" t="n">
        <v>0</v>
      </c>
      <c r="O38" s="62" t="n">
        <v>1</v>
      </c>
      <c r="P38" s="62" t="n">
        <v>0</v>
      </c>
      <c r="Q38" s="62" t="n">
        <v>0</v>
      </c>
      <c r="R38" s="62" t="n">
        <v>0</v>
      </c>
      <c r="S38" s="62" t="n">
        <v>0</v>
      </c>
      <c r="T38" s="62" t="n">
        <v>0</v>
      </c>
      <c r="U38" s="62"/>
      <c r="V38" s="62"/>
      <c r="W38" s="62"/>
      <c r="X38" s="62"/>
      <c r="Y38" s="62"/>
      <c r="Z38" s="62" t="s">
        <v>259</v>
      </c>
      <c r="AA38" s="62" t="s">
        <v>260</v>
      </c>
      <c r="AB38" s="62" t="n">
        <v>1</v>
      </c>
      <c r="AC38" s="62" t="n">
        <v>0</v>
      </c>
      <c r="AD38" s="62" t="n">
        <v>1</v>
      </c>
      <c r="AE38" s="62" t="n">
        <f aca="false">IF(AND(Dashboard!$C$9="Yes",AC38=1),0,1)</f>
        <v>1</v>
      </c>
      <c r="AF38" s="62" t="n">
        <v>1</v>
      </c>
    </row>
    <row r="39" customFormat="false" ht="15" hidden="false" customHeight="false" outlineLevel="0" collapsed="false">
      <c r="A39" s="62" t="n">
        <v>38</v>
      </c>
      <c r="B39" s="63" t="n">
        <v>46227.0176851852</v>
      </c>
      <c r="C39" s="64" t="n">
        <v>46226</v>
      </c>
      <c r="D39" s="62" t="s">
        <v>202</v>
      </c>
      <c r="E39" s="62" t="s">
        <v>212</v>
      </c>
      <c r="F39" s="62" t="s">
        <v>212</v>
      </c>
      <c r="G39" s="62" t="s">
        <v>213</v>
      </c>
      <c r="H39" s="62" t="s">
        <v>58</v>
      </c>
      <c r="I39" s="62" t="s">
        <v>49</v>
      </c>
      <c r="J39" s="62" t="s">
        <v>146</v>
      </c>
      <c r="K39" s="62" t="s">
        <v>175</v>
      </c>
      <c r="L39" s="62" t="s">
        <v>4</v>
      </c>
      <c r="M39" s="62" t="n">
        <v>1</v>
      </c>
      <c r="N39" s="62" t="n">
        <v>0</v>
      </c>
      <c r="O39" s="62" t="n">
        <v>1</v>
      </c>
      <c r="P39" s="62" t="n">
        <v>0</v>
      </c>
      <c r="Q39" s="62" t="n">
        <v>0</v>
      </c>
      <c r="R39" s="62" t="n">
        <v>0</v>
      </c>
      <c r="S39" s="62" t="n">
        <v>0</v>
      </c>
      <c r="T39" s="62" t="n">
        <v>0</v>
      </c>
      <c r="U39" s="62"/>
      <c r="V39" s="62"/>
      <c r="W39" s="62"/>
      <c r="X39" s="62"/>
      <c r="Y39" s="62"/>
      <c r="Z39" s="62" t="s">
        <v>261</v>
      </c>
      <c r="AA39" s="62" t="s">
        <v>262</v>
      </c>
      <c r="AB39" s="62" t="n">
        <v>1</v>
      </c>
      <c r="AC39" s="62" t="n">
        <v>0</v>
      </c>
      <c r="AD39" s="62" t="n">
        <v>1</v>
      </c>
      <c r="AE39" s="62" t="n">
        <f aca="false">IF(AND(Dashboard!$C$9="Yes",AC39=1),0,1)</f>
        <v>1</v>
      </c>
      <c r="AF39" s="62" t="n">
        <v>0</v>
      </c>
    </row>
    <row r="40" customFormat="false" ht="15" hidden="false" customHeight="false" outlineLevel="0" collapsed="false">
      <c r="A40" s="62" t="n">
        <v>39</v>
      </c>
      <c r="B40" s="63" t="n">
        <v>46227.026099537</v>
      </c>
      <c r="C40" s="64" t="n">
        <v>46226</v>
      </c>
      <c r="D40" s="62" t="s">
        <v>202</v>
      </c>
      <c r="E40" s="62" t="s">
        <v>144</v>
      </c>
      <c r="F40" s="62" t="s">
        <v>144</v>
      </c>
      <c r="G40" s="62" t="s">
        <v>145</v>
      </c>
      <c r="H40" s="62" t="s">
        <v>59</v>
      </c>
      <c r="I40" s="62" t="s">
        <v>47</v>
      </c>
      <c r="J40" s="62" t="s">
        <v>146</v>
      </c>
      <c r="K40" s="62" t="s">
        <v>147</v>
      </c>
      <c r="L40" s="62" t="s">
        <v>148</v>
      </c>
      <c r="M40" s="62" t="n">
        <v>0</v>
      </c>
      <c r="N40" s="62" t="n">
        <v>2</v>
      </c>
      <c r="O40" s="62" t="n">
        <v>2</v>
      </c>
      <c r="P40" s="62" t="n">
        <v>1</v>
      </c>
      <c r="Q40" s="62" t="n">
        <v>1</v>
      </c>
      <c r="R40" s="62" t="n">
        <v>0</v>
      </c>
      <c r="S40" s="62" t="n">
        <v>0</v>
      </c>
      <c r="T40" s="62" t="n">
        <v>0</v>
      </c>
      <c r="U40" s="62"/>
      <c r="V40" s="62"/>
      <c r="W40" s="62"/>
      <c r="X40" s="62"/>
      <c r="Y40" s="62"/>
      <c r="Z40" s="62" t="s">
        <v>263</v>
      </c>
      <c r="AA40" s="62" t="s">
        <v>264</v>
      </c>
      <c r="AB40" s="62" t="n">
        <v>0</v>
      </c>
      <c r="AC40" s="62" t="n">
        <v>0</v>
      </c>
      <c r="AD40" s="62" t="n">
        <v>1</v>
      </c>
      <c r="AE40" s="62" t="n">
        <f aca="false">IF(AND(Dashboard!$C$9="Yes",AC40=1),0,1)</f>
        <v>1</v>
      </c>
      <c r="AF40" s="62" t="n">
        <v>0</v>
      </c>
    </row>
    <row r="41" customFormat="false" ht="15" hidden="false" customHeight="false" outlineLevel="0" collapsed="false">
      <c r="A41" s="62" t="n">
        <v>40</v>
      </c>
      <c r="B41" s="63" t="n">
        <v>46227.0492013889</v>
      </c>
      <c r="C41" s="64" t="n">
        <v>46226</v>
      </c>
      <c r="D41" s="62" t="s">
        <v>202</v>
      </c>
      <c r="E41" s="62" t="s">
        <v>265</v>
      </c>
      <c r="F41" s="62" t="s">
        <v>266</v>
      </c>
      <c r="G41" s="62" t="s">
        <v>153</v>
      </c>
      <c r="H41" s="62" t="s">
        <v>153</v>
      </c>
      <c r="I41" s="62" t="s">
        <v>153</v>
      </c>
      <c r="J41" s="62" t="s">
        <v>64</v>
      </c>
      <c r="K41" s="62" t="s">
        <v>64</v>
      </c>
      <c r="L41" s="62" t="s">
        <v>148</v>
      </c>
      <c r="M41" s="62" t="n">
        <v>0</v>
      </c>
      <c r="N41" s="62" t="n">
        <v>1</v>
      </c>
      <c r="O41" s="62" t="n">
        <v>1</v>
      </c>
      <c r="P41" s="62" t="n">
        <v>0</v>
      </c>
      <c r="Q41" s="62" t="n">
        <v>1</v>
      </c>
      <c r="R41" s="62" t="n">
        <v>0</v>
      </c>
      <c r="S41" s="62" t="n">
        <v>0</v>
      </c>
      <c r="T41" s="62" t="n">
        <v>0</v>
      </c>
      <c r="U41" s="62"/>
      <c r="V41" s="62"/>
      <c r="W41" s="62"/>
      <c r="X41" s="62"/>
      <c r="Y41" s="62"/>
      <c r="Z41" s="62" t="s">
        <v>267</v>
      </c>
      <c r="AA41" s="62" t="s">
        <v>268</v>
      </c>
      <c r="AB41" s="62" t="n">
        <v>1</v>
      </c>
      <c r="AC41" s="62" t="n">
        <v>0</v>
      </c>
      <c r="AD41" s="62" t="n">
        <v>0</v>
      </c>
      <c r="AE41" s="62" t="n">
        <f aca="false">IF(AND(Dashboard!$C$9="Yes",AC41=1),0,1)</f>
        <v>1</v>
      </c>
      <c r="AF41" s="62" t="n">
        <v>1</v>
      </c>
    </row>
    <row r="42" customFormat="false" ht="15" hidden="false" customHeight="false" outlineLevel="0" collapsed="false">
      <c r="A42" s="62" t="n">
        <v>41</v>
      </c>
      <c r="B42" s="63" t="n">
        <v>46227.0686226852</v>
      </c>
      <c r="C42" s="64" t="n">
        <v>46226</v>
      </c>
      <c r="D42" s="62" t="s">
        <v>202</v>
      </c>
      <c r="E42" s="62" t="s">
        <v>255</v>
      </c>
      <c r="F42" s="62" t="s">
        <v>255</v>
      </c>
      <c r="G42" s="62" t="s">
        <v>256</v>
      </c>
      <c r="H42" s="62" t="s">
        <v>57</v>
      </c>
      <c r="I42" s="62" t="s">
        <v>47</v>
      </c>
      <c r="J42" s="62" t="s">
        <v>146</v>
      </c>
      <c r="K42" s="62" t="s">
        <v>147</v>
      </c>
      <c r="L42" s="62" t="s">
        <v>148</v>
      </c>
      <c r="M42" s="62" t="n">
        <v>0</v>
      </c>
      <c r="N42" s="62" t="n">
        <v>1</v>
      </c>
      <c r="O42" s="62" t="n">
        <v>1</v>
      </c>
      <c r="P42" s="62" t="n">
        <v>1</v>
      </c>
      <c r="Q42" s="62" t="n">
        <v>0</v>
      </c>
      <c r="R42" s="62" t="n">
        <v>0</v>
      </c>
      <c r="S42" s="62" t="n">
        <v>0</v>
      </c>
      <c r="T42" s="62" t="n">
        <v>0</v>
      </c>
      <c r="U42" s="62"/>
      <c r="V42" s="62"/>
      <c r="W42" s="62"/>
      <c r="X42" s="62"/>
      <c r="Y42" s="62"/>
      <c r="Z42" s="62" t="s">
        <v>269</v>
      </c>
      <c r="AA42" s="62" t="s">
        <v>270</v>
      </c>
      <c r="AB42" s="62" t="n">
        <v>1</v>
      </c>
      <c r="AC42" s="62" t="n">
        <v>0</v>
      </c>
      <c r="AD42" s="62" t="n">
        <v>1</v>
      </c>
      <c r="AE42" s="62" t="n">
        <f aca="false">IF(AND(Dashboard!$C$9="Yes",AC42=1),0,1)</f>
        <v>1</v>
      </c>
      <c r="AF42" s="62" t="n">
        <v>0</v>
      </c>
    </row>
    <row r="43" customFormat="false" ht="15" hidden="false" customHeight="false" outlineLevel="0" collapsed="false">
      <c r="A43" s="62" t="n">
        <v>42</v>
      </c>
      <c r="B43" s="63" t="n">
        <v>46227.1092708333</v>
      </c>
      <c r="C43" s="64" t="n">
        <v>46226</v>
      </c>
      <c r="D43" s="62" t="s">
        <v>202</v>
      </c>
      <c r="E43" s="62" t="s">
        <v>156</v>
      </c>
      <c r="F43" s="62" t="s">
        <v>156</v>
      </c>
      <c r="G43" s="62" t="s">
        <v>157</v>
      </c>
      <c r="H43" s="62" t="s">
        <v>51</v>
      </c>
      <c r="I43" s="62" t="s">
        <v>47</v>
      </c>
      <c r="J43" s="62" t="s">
        <v>146</v>
      </c>
      <c r="K43" s="62" t="s">
        <v>147</v>
      </c>
      <c r="L43" s="62" t="s">
        <v>148</v>
      </c>
      <c r="M43" s="62" t="n">
        <v>0</v>
      </c>
      <c r="N43" s="62" t="n">
        <v>1</v>
      </c>
      <c r="O43" s="62" t="n">
        <v>1</v>
      </c>
      <c r="P43" s="62" t="n">
        <v>1</v>
      </c>
      <c r="Q43" s="62" t="n">
        <v>0</v>
      </c>
      <c r="R43" s="62" t="n">
        <v>0</v>
      </c>
      <c r="S43" s="62" t="n">
        <v>0</v>
      </c>
      <c r="T43" s="62" t="n">
        <v>0</v>
      </c>
      <c r="U43" s="62"/>
      <c r="V43" s="62"/>
      <c r="W43" s="62"/>
      <c r="X43" s="62"/>
      <c r="Y43" s="62"/>
      <c r="Z43" s="62" t="s">
        <v>271</v>
      </c>
      <c r="AA43" s="62" t="s">
        <v>272</v>
      </c>
      <c r="AB43" s="62" t="n">
        <v>1</v>
      </c>
      <c r="AC43" s="62" t="n">
        <v>0</v>
      </c>
      <c r="AD43" s="62" t="n">
        <v>1</v>
      </c>
      <c r="AE43" s="62" t="n">
        <f aca="false">IF(AND(Dashboard!$C$9="Yes",AC43=1),0,1)</f>
        <v>1</v>
      </c>
      <c r="AF43" s="62" t="n">
        <v>1</v>
      </c>
    </row>
    <row r="44" customFormat="false" ht="15" hidden="false" customHeight="false" outlineLevel="0" collapsed="false">
      <c r="A44" s="62" t="n">
        <v>43</v>
      </c>
      <c r="B44" s="63" t="n">
        <v>46227.1365393519</v>
      </c>
      <c r="C44" s="64" t="n">
        <v>46226</v>
      </c>
      <c r="D44" s="62" t="s">
        <v>202</v>
      </c>
      <c r="E44" s="62" t="s">
        <v>273</v>
      </c>
      <c r="F44" s="62" t="s">
        <v>273</v>
      </c>
      <c r="G44" s="62" t="s">
        <v>274</v>
      </c>
      <c r="H44" s="62" t="s">
        <v>59</v>
      </c>
      <c r="I44" s="62" t="s">
        <v>47</v>
      </c>
      <c r="J44" s="62" t="s">
        <v>146</v>
      </c>
      <c r="K44" s="62" t="s">
        <v>147</v>
      </c>
      <c r="L44" s="62" t="s">
        <v>4</v>
      </c>
      <c r="M44" s="62" t="n">
        <v>1</v>
      </c>
      <c r="N44" s="62" t="n">
        <v>0</v>
      </c>
      <c r="O44" s="62" t="n">
        <v>1</v>
      </c>
      <c r="P44" s="62" t="n">
        <v>0</v>
      </c>
      <c r="Q44" s="62" t="n">
        <v>0</v>
      </c>
      <c r="R44" s="62" t="n">
        <v>0</v>
      </c>
      <c r="S44" s="62" t="n">
        <v>0</v>
      </c>
      <c r="T44" s="62" t="n">
        <v>0</v>
      </c>
      <c r="U44" s="62"/>
      <c r="V44" s="62"/>
      <c r="W44" s="62"/>
      <c r="X44" s="62"/>
      <c r="Y44" s="62"/>
      <c r="Z44" s="62" t="s">
        <v>275</v>
      </c>
      <c r="AA44" s="62" t="s">
        <v>276</v>
      </c>
      <c r="AB44" s="62" t="n">
        <v>1</v>
      </c>
      <c r="AC44" s="62" t="n">
        <v>0</v>
      </c>
      <c r="AD44" s="62" t="n">
        <v>1</v>
      </c>
      <c r="AE44" s="62" t="n">
        <f aca="false">IF(AND(Dashboard!$C$9="Yes",AC44=1),0,1)</f>
        <v>1</v>
      </c>
      <c r="AF44" s="62" t="n">
        <v>1</v>
      </c>
    </row>
    <row r="45" customFormat="false" ht="15" hidden="false" customHeight="false" outlineLevel="0" collapsed="false">
      <c r="A45" s="62" t="n">
        <v>44</v>
      </c>
      <c r="B45" s="63" t="n">
        <v>46227.1744791667</v>
      </c>
      <c r="C45" s="64" t="n">
        <v>46226</v>
      </c>
      <c r="D45" s="62" t="s">
        <v>202</v>
      </c>
      <c r="E45" s="62" t="s">
        <v>239</v>
      </c>
      <c r="F45" s="62" t="s">
        <v>240</v>
      </c>
      <c r="G45" s="62" t="s">
        <v>153</v>
      </c>
      <c r="H45" s="62" t="s">
        <v>153</v>
      </c>
      <c r="I45" s="62" t="s">
        <v>153</v>
      </c>
      <c r="J45" s="62" t="s">
        <v>64</v>
      </c>
      <c r="K45" s="62" t="s">
        <v>64</v>
      </c>
      <c r="L45" s="62" t="s">
        <v>148</v>
      </c>
      <c r="M45" s="62" t="n">
        <v>0</v>
      </c>
      <c r="N45" s="62" t="n">
        <v>1</v>
      </c>
      <c r="O45" s="62" t="n">
        <v>1</v>
      </c>
      <c r="P45" s="62" t="n">
        <v>0</v>
      </c>
      <c r="Q45" s="62" t="n">
        <v>0</v>
      </c>
      <c r="R45" s="62" t="n">
        <v>1</v>
      </c>
      <c r="S45" s="62" t="n">
        <v>0</v>
      </c>
      <c r="T45" s="62" t="n">
        <v>0</v>
      </c>
      <c r="U45" s="62"/>
      <c r="V45" s="62"/>
      <c r="W45" s="62"/>
      <c r="X45" s="62"/>
      <c r="Y45" s="62"/>
      <c r="Z45" s="62" t="s">
        <v>277</v>
      </c>
      <c r="AA45" s="62" t="s">
        <v>278</v>
      </c>
      <c r="AB45" s="62" t="n">
        <v>1</v>
      </c>
      <c r="AC45" s="62" t="n">
        <v>0</v>
      </c>
      <c r="AD45" s="62" t="n">
        <v>0</v>
      </c>
      <c r="AE45" s="62" t="n">
        <f aca="false">IF(AND(Dashboard!$C$9="Yes",AC45=1),0,1)</f>
        <v>1</v>
      </c>
      <c r="AF45" s="62" t="n">
        <v>0</v>
      </c>
    </row>
    <row r="46" customFormat="false" ht="15" hidden="false" customHeight="false" outlineLevel="0" collapsed="false">
      <c r="A46" s="62" t="n">
        <v>45</v>
      </c>
      <c r="B46" s="63" t="n">
        <v>46227.1748263889</v>
      </c>
      <c r="C46" s="64" t="n">
        <v>46226</v>
      </c>
      <c r="D46" s="62" t="s">
        <v>202</v>
      </c>
      <c r="E46" s="62" t="s">
        <v>239</v>
      </c>
      <c r="F46" s="62" t="s">
        <v>240</v>
      </c>
      <c r="G46" s="62" t="s">
        <v>153</v>
      </c>
      <c r="H46" s="62" t="s">
        <v>153</v>
      </c>
      <c r="I46" s="62" t="s">
        <v>153</v>
      </c>
      <c r="J46" s="62" t="s">
        <v>64</v>
      </c>
      <c r="K46" s="62" t="s">
        <v>64</v>
      </c>
      <c r="L46" s="62" t="s">
        <v>148</v>
      </c>
      <c r="M46" s="62" t="n">
        <v>0</v>
      </c>
      <c r="N46" s="62" t="n">
        <v>1</v>
      </c>
      <c r="O46" s="62" t="n">
        <v>1</v>
      </c>
      <c r="P46" s="62" t="n">
        <v>0</v>
      </c>
      <c r="Q46" s="62" t="n">
        <v>1</v>
      </c>
      <c r="R46" s="62" t="n">
        <v>0</v>
      </c>
      <c r="S46" s="62" t="n">
        <v>0</v>
      </c>
      <c r="T46" s="62" t="n">
        <v>0</v>
      </c>
      <c r="U46" s="62"/>
      <c r="V46" s="62"/>
      <c r="W46" s="62"/>
      <c r="X46" s="62"/>
      <c r="Y46" s="62"/>
      <c r="Z46" s="62" t="s">
        <v>277</v>
      </c>
      <c r="AA46" s="62" t="s">
        <v>278</v>
      </c>
      <c r="AB46" s="62" t="n">
        <v>1</v>
      </c>
      <c r="AC46" s="62" t="n">
        <v>1</v>
      </c>
      <c r="AD46" s="62" t="n">
        <v>0</v>
      </c>
      <c r="AE46" s="62" t="n">
        <f aca="false">IF(AND(Dashboard!$C$9="Yes",AC46=1),0,1)</f>
        <v>0</v>
      </c>
      <c r="AF46" s="62" t="n">
        <v>0</v>
      </c>
    </row>
    <row r="47" customFormat="false" ht="15" hidden="false" customHeight="false" outlineLevel="0" collapsed="false">
      <c r="A47" s="62" t="n">
        <v>46</v>
      </c>
      <c r="B47" s="63" t="n">
        <v>46227.1818518519</v>
      </c>
      <c r="C47" s="64" t="n">
        <v>46226</v>
      </c>
      <c r="D47" s="62" t="s">
        <v>202</v>
      </c>
      <c r="E47" s="62" t="s">
        <v>144</v>
      </c>
      <c r="F47" s="62" t="s">
        <v>144</v>
      </c>
      <c r="G47" s="62" t="s">
        <v>145</v>
      </c>
      <c r="H47" s="62" t="s">
        <v>59</v>
      </c>
      <c r="I47" s="62" t="s">
        <v>47</v>
      </c>
      <c r="J47" s="62" t="s">
        <v>146</v>
      </c>
      <c r="K47" s="62" t="s">
        <v>147</v>
      </c>
      <c r="L47" s="62" t="s">
        <v>4</v>
      </c>
      <c r="M47" s="62" t="n">
        <v>1</v>
      </c>
      <c r="N47" s="62" t="n">
        <v>0</v>
      </c>
      <c r="O47" s="62" t="n">
        <v>1</v>
      </c>
      <c r="P47" s="62" t="n">
        <v>0</v>
      </c>
      <c r="Q47" s="62" t="n">
        <v>0</v>
      </c>
      <c r="R47" s="62" t="n">
        <v>0</v>
      </c>
      <c r="S47" s="62" t="n">
        <v>0</v>
      </c>
      <c r="T47" s="62" t="n">
        <v>0</v>
      </c>
      <c r="U47" s="62"/>
      <c r="V47" s="62"/>
      <c r="W47" s="62"/>
      <c r="X47" s="62"/>
      <c r="Y47" s="62"/>
      <c r="Z47" s="62" t="s">
        <v>279</v>
      </c>
      <c r="AA47" s="62" t="s">
        <v>280</v>
      </c>
      <c r="AB47" s="62" t="n">
        <v>1</v>
      </c>
      <c r="AC47" s="62" t="n">
        <v>0</v>
      </c>
      <c r="AD47" s="62" t="n">
        <v>1</v>
      </c>
      <c r="AE47" s="62" t="n">
        <f aca="false">IF(AND(Dashboard!$C$9="Yes",AC47=1),0,1)</f>
        <v>1</v>
      </c>
      <c r="AF47" s="62" t="n">
        <v>0</v>
      </c>
    </row>
    <row r="48" customFormat="false" ht="15" hidden="false" customHeight="false" outlineLevel="0" collapsed="false">
      <c r="A48" s="62" t="n">
        <v>47</v>
      </c>
      <c r="B48" s="63" t="n">
        <v>46227.1822685185</v>
      </c>
      <c r="C48" s="64" t="n">
        <v>46226</v>
      </c>
      <c r="D48" s="62" t="s">
        <v>202</v>
      </c>
      <c r="E48" s="62" t="s">
        <v>144</v>
      </c>
      <c r="F48" s="62" t="s">
        <v>144</v>
      </c>
      <c r="G48" s="62" t="s">
        <v>145</v>
      </c>
      <c r="H48" s="62" t="s">
        <v>59</v>
      </c>
      <c r="I48" s="62" t="s">
        <v>47</v>
      </c>
      <c r="J48" s="62" t="s">
        <v>146</v>
      </c>
      <c r="K48" s="62" t="s">
        <v>147</v>
      </c>
      <c r="L48" s="62" t="s">
        <v>4</v>
      </c>
      <c r="M48" s="62" t="n">
        <v>1</v>
      </c>
      <c r="N48" s="62" t="n">
        <v>0</v>
      </c>
      <c r="O48" s="62" t="n">
        <v>1</v>
      </c>
      <c r="P48" s="62" t="n">
        <v>0</v>
      </c>
      <c r="Q48" s="62" t="n">
        <v>0</v>
      </c>
      <c r="R48" s="62" t="n">
        <v>0</v>
      </c>
      <c r="S48" s="62" t="n">
        <v>0</v>
      </c>
      <c r="T48" s="62" t="n">
        <v>0</v>
      </c>
      <c r="U48" s="62"/>
      <c r="V48" s="62"/>
      <c r="W48" s="62"/>
      <c r="X48" s="62"/>
      <c r="Y48" s="62"/>
      <c r="Z48" s="62" t="s">
        <v>279</v>
      </c>
      <c r="AA48" s="62" t="s">
        <v>280</v>
      </c>
      <c r="AB48" s="62" t="n">
        <v>1</v>
      </c>
      <c r="AC48" s="62" t="n">
        <v>1</v>
      </c>
      <c r="AD48" s="62" t="n">
        <v>1</v>
      </c>
      <c r="AE48" s="62" t="n">
        <f aca="false">IF(AND(Dashboard!$C$9="Yes",AC48=1),0,1)</f>
        <v>0</v>
      </c>
      <c r="AF48" s="62" t="n">
        <v>0</v>
      </c>
    </row>
    <row r="49" customFormat="false" ht="15" hidden="false" customHeight="false" outlineLevel="0" collapsed="false">
      <c r="A49" s="62" t="n">
        <v>48</v>
      </c>
      <c r="B49" s="63" t="n">
        <v>46227.183900463</v>
      </c>
      <c r="C49" s="64" t="n">
        <v>46226</v>
      </c>
      <c r="D49" s="62" t="s">
        <v>202</v>
      </c>
      <c r="E49" s="62" t="s">
        <v>255</v>
      </c>
      <c r="F49" s="62" t="s">
        <v>255</v>
      </c>
      <c r="G49" s="62" t="s">
        <v>256</v>
      </c>
      <c r="H49" s="62" t="s">
        <v>57</v>
      </c>
      <c r="I49" s="62" t="s">
        <v>47</v>
      </c>
      <c r="J49" s="62" t="s">
        <v>146</v>
      </c>
      <c r="K49" s="62" t="s">
        <v>147</v>
      </c>
      <c r="L49" s="62" t="s">
        <v>148</v>
      </c>
      <c r="M49" s="62" t="n">
        <v>0</v>
      </c>
      <c r="N49" s="62" t="n">
        <v>1</v>
      </c>
      <c r="O49" s="62" t="n">
        <v>1</v>
      </c>
      <c r="P49" s="62" t="n">
        <v>1</v>
      </c>
      <c r="Q49" s="62" t="n">
        <v>0</v>
      </c>
      <c r="R49" s="62" t="n">
        <v>0</v>
      </c>
      <c r="S49" s="62" t="n">
        <v>0</v>
      </c>
      <c r="T49" s="62" t="n">
        <v>0</v>
      </c>
      <c r="U49" s="62"/>
      <c r="V49" s="62"/>
      <c r="W49" s="62"/>
      <c r="X49" s="62"/>
      <c r="Y49" s="62"/>
      <c r="Z49" s="62" t="s">
        <v>281</v>
      </c>
      <c r="AA49" s="62" t="s">
        <v>282</v>
      </c>
      <c r="AB49" s="62" t="n">
        <v>1</v>
      </c>
      <c r="AC49" s="62" t="n">
        <v>0</v>
      </c>
      <c r="AD49" s="62" t="n">
        <v>1</v>
      </c>
      <c r="AE49" s="62" t="n">
        <f aca="false">IF(AND(Dashboard!$C$9="Yes",AC49=1),0,1)</f>
        <v>1</v>
      </c>
      <c r="AF49" s="62" t="n">
        <v>0</v>
      </c>
    </row>
    <row r="50" customFormat="false" ht="15" hidden="false" customHeight="false" outlineLevel="0" collapsed="false">
      <c r="A50" s="62" t="n">
        <v>49</v>
      </c>
      <c r="B50" s="63" t="n">
        <v>46227.2515393519</v>
      </c>
      <c r="C50" s="64" t="n">
        <v>46226</v>
      </c>
      <c r="D50" s="62" t="s">
        <v>202</v>
      </c>
      <c r="E50" s="62" t="s">
        <v>255</v>
      </c>
      <c r="F50" s="62" t="s">
        <v>255</v>
      </c>
      <c r="G50" s="62" t="s">
        <v>256</v>
      </c>
      <c r="H50" s="62" t="s">
        <v>57</v>
      </c>
      <c r="I50" s="62" t="s">
        <v>47</v>
      </c>
      <c r="J50" s="62" t="s">
        <v>146</v>
      </c>
      <c r="K50" s="62" t="s">
        <v>147</v>
      </c>
      <c r="L50" s="62" t="s">
        <v>148</v>
      </c>
      <c r="M50" s="62" t="n">
        <v>0</v>
      </c>
      <c r="N50" s="62" t="n">
        <v>1</v>
      </c>
      <c r="O50" s="62" t="n">
        <v>1</v>
      </c>
      <c r="P50" s="62" t="n">
        <v>1</v>
      </c>
      <c r="Q50" s="62" t="n">
        <v>0</v>
      </c>
      <c r="R50" s="62" t="n">
        <v>0</v>
      </c>
      <c r="S50" s="62" t="n">
        <v>0</v>
      </c>
      <c r="T50" s="62" t="n">
        <v>0</v>
      </c>
      <c r="U50" s="62"/>
      <c r="V50" s="62"/>
      <c r="W50" s="62"/>
      <c r="X50" s="62"/>
      <c r="Y50" s="62"/>
      <c r="Z50" s="62" t="s">
        <v>283</v>
      </c>
      <c r="AA50" s="62" t="s">
        <v>284</v>
      </c>
      <c r="AB50" s="62" t="n">
        <v>1</v>
      </c>
      <c r="AC50" s="62" t="n">
        <v>0</v>
      </c>
      <c r="AD50" s="62" t="n">
        <v>1</v>
      </c>
      <c r="AE50" s="62" t="n">
        <f aca="false">IF(AND(Dashboard!$C$9="Yes",AC50=1),0,1)</f>
        <v>1</v>
      </c>
      <c r="AF50" s="62" t="n">
        <v>0</v>
      </c>
    </row>
    <row r="51" customFormat="false" ht="15" hidden="false" customHeight="false" outlineLevel="0" collapsed="false">
      <c r="A51" s="62" t="n">
        <v>50</v>
      </c>
      <c r="B51" s="63" t="n">
        <v>46227.2671412037</v>
      </c>
      <c r="C51" s="64" t="n">
        <v>46226</v>
      </c>
      <c r="D51" s="62" t="s">
        <v>202</v>
      </c>
      <c r="E51" s="62" t="s">
        <v>180</v>
      </c>
      <c r="F51" s="62" t="s">
        <v>180</v>
      </c>
      <c r="G51" s="62" t="s">
        <v>181</v>
      </c>
      <c r="H51" s="62" t="s">
        <v>58</v>
      </c>
      <c r="I51" s="62" t="s">
        <v>49</v>
      </c>
      <c r="J51" s="62" t="s">
        <v>146</v>
      </c>
      <c r="K51" s="62" t="s">
        <v>175</v>
      </c>
      <c r="L51" s="62" t="s">
        <v>148</v>
      </c>
      <c r="M51" s="62" t="n">
        <v>0</v>
      </c>
      <c r="N51" s="62" t="n">
        <v>1</v>
      </c>
      <c r="O51" s="62" t="n">
        <v>1</v>
      </c>
      <c r="P51" s="62" t="n">
        <v>1</v>
      </c>
      <c r="Q51" s="62" t="n">
        <v>0</v>
      </c>
      <c r="R51" s="62" t="n">
        <v>0</v>
      </c>
      <c r="S51" s="62" t="n">
        <v>0</v>
      </c>
      <c r="T51" s="62" t="n">
        <v>0</v>
      </c>
      <c r="U51" s="62"/>
      <c r="V51" s="62"/>
      <c r="W51" s="62"/>
      <c r="X51" s="62"/>
      <c r="Y51" s="62"/>
      <c r="Z51" s="62" t="s">
        <v>285</v>
      </c>
      <c r="AA51" s="62" t="s">
        <v>285</v>
      </c>
      <c r="AB51" s="62" t="n">
        <v>1</v>
      </c>
      <c r="AC51" s="62" t="n">
        <v>0</v>
      </c>
      <c r="AD51" s="62" t="n">
        <v>1</v>
      </c>
      <c r="AE51" s="62" t="n">
        <f aca="false">IF(AND(Dashboard!$C$9="Yes",AC51=1),0,1)</f>
        <v>1</v>
      </c>
      <c r="AF51" s="62" t="n">
        <v>1</v>
      </c>
    </row>
    <row r="52" customFormat="false" ht="15" hidden="false" customHeight="false" outlineLevel="0" collapsed="false">
      <c r="A52" s="62" t="n">
        <v>51</v>
      </c>
      <c r="B52" s="63" t="n">
        <v>46227.2695486111</v>
      </c>
      <c r="C52" s="64" t="n">
        <v>46226</v>
      </c>
      <c r="D52" s="62" t="s">
        <v>202</v>
      </c>
      <c r="E52" s="62" t="s">
        <v>186</v>
      </c>
      <c r="F52" s="62" t="s">
        <v>187</v>
      </c>
      <c r="G52" s="62" t="s">
        <v>153</v>
      </c>
      <c r="H52" s="62" t="s">
        <v>153</v>
      </c>
      <c r="I52" s="62" t="s">
        <v>153</v>
      </c>
      <c r="J52" s="62" t="s">
        <v>64</v>
      </c>
      <c r="K52" s="62" t="s">
        <v>64</v>
      </c>
      <c r="L52" s="62" t="s">
        <v>148</v>
      </c>
      <c r="M52" s="62" t="n">
        <v>0</v>
      </c>
      <c r="N52" s="62" t="n">
        <v>1</v>
      </c>
      <c r="O52" s="62" t="n">
        <v>1</v>
      </c>
      <c r="P52" s="62" t="n">
        <v>1</v>
      </c>
      <c r="Q52" s="62" t="n">
        <v>0</v>
      </c>
      <c r="R52" s="62" t="n">
        <v>0</v>
      </c>
      <c r="S52" s="62" t="n">
        <v>0</v>
      </c>
      <c r="T52" s="62" t="n">
        <v>0</v>
      </c>
      <c r="U52" s="62"/>
      <c r="V52" s="62"/>
      <c r="W52" s="62"/>
      <c r="X52" s="62"/>
      <c r="Y52" s="62"/>
      <c r="Z52" s="62" t="s">
        <v>286</v>
      </c>
      <c r="AA52" s="62" t="s">
        <v>287</v>
      </c>
      <c r="AB52" s="62" t="n">
        <v>0</v>
      </c>
      <c r="AC52" s="62" t="n">
        <v>0</v>
      </c>
      <c r="AD52" s="62" t="n">
        <v>0</v>
      </c>
      <c r="AE52" s="62" t="n">
        <f aca="false">IF(AND(Dashboard!$C$9="Yes",AC52=1),0,1)</f>
        <v>1</v>
      </c>
      <c r="AF52" s="62" t="n">
        <v>1</v>
      </c>
    </row>
    <row r="53" customFormat="false" ht="15" hidden="false" customHeight="false" outlineLevel="0" collapsed="false">
      <c r="A53" s="62" t="n">
        <v>52</v>
      </c>
      <c r="B53" s="63" t="n">
        <v>46227.7803587963</v>
      </c>
      <c r="C53" s="64" t="n">
        <v>46227</v>
      </c>
      <c r="D53" s="62" t="s">
        <v>288</v>
      </c>
      <c r="E53" s="62" t="s">
        <v>212</v>
      </c>
      <c r="F53" s="62" t="s">
        <v>212</v>
      </c>
      <c r="G53" s="62" t="s">
        <v>213</v>
      </c>
      <c r="H53" s="62" t="s">
        <v>58</v>
      </c>
      <c r="I53" s="62" t="s">
        <v>49</v>
      </c>
      <c r="J53" s="62" t="s">
        <v>146</v>
      </c>
      <c r="K53" s="62" t="s">
        <v>175</v>
      </c>
      <c r="L53" s="62" t="s">
        <v>148</v>
      </c>
      <c r="M53" s="62" t="n">
        <v>0</v>
      </c>
      <c r="N53" s="62" t="n">
        <v>1</v>
      </c>
      <c r="O53" s="62" t="n">
        <v>1</v>
      </c>
      <c r="P53" s="62" t="n">
        <v>1</v>
      </c>
      <c r="Q53" s="62" t="n">
        <v>0</v>
      </c>
      <c r="R53" s="62" t="n">
        <v>0</v>
      </c>
      <c r="S53" s="62" t="n">
        <v>0</v>
      </c>
      <c r="T53" s="62" t="n">
        <v>0</v>
      </c>
      <c r="U53" s="62"/>
      <c r="V53" s="62"/>
      <c r="W53" s="62"/>
      <c r="X53" s="62"/>
      <c r="Y53" s="62"/>
      <c r="Z53" s="62" t="s">
        <v>289</v>
      </c>
      <c r="AA53" s="62" t="s">
        <v>290</v>
      </c>
      <c r="AB53" s="62" t="n">
        <v>1</v>
      </c>
      <c r="AC53" s="62" t="n">
        <v>0</v>
      </c>
      <c r="AD53" s="62" t="n">
        <v>1</v>
      </c>
      <c r="AE53" s="62" t="n">
        <f aca="false">IF(AND(Dashboard!$C$9="Yes",AC53=1),0,1)</f>
        <v>1</v>
      </c>
      <c r="AF53" s="62" t="n">
        <v>1</v>
      </c>
    </row>
    <row r="54" customFormat="false" ht="15" hidden="false" customHeight="false" outlineLevel="0" collapsed="false">
      <c r="A54" s="62" t="n">
        <v>53</v>
      </c>
      <c r="B54" s="63" t="n">
        <v>46227.8307060185</v>
      </c>
      <c r="C54" s="64" t="n">
        <v>46227</v>
      </c>
      <c r="D54" s="62" t="s">
        <v>288</v>
      </c>
      <c r="E54" s="62" t="s">
        <v>212</v>
      </c>
      <c r="F54" s="62" t="s">
        <v>212</v>
      </c>
      <c r="G54" s="62" t="s">
        <v>213</v>
      </c>
      <c r="H54" s="62" t="s">
        <v>58</v>
      </c>
      <c r="I54" s="62" t="s">
        <v>49</v>
      </c>
      <c r="J54" s="62" t="s">
        <v>146</v>
      </c>
      <c r="K54" s="62" t="s">
        <v>175</v>
      </c>
      <c r="L54" s="62" t="s">
        <v>148</v>
      </c>
      <c r="M54" s="62" t="n">
        <v>0</v>
      </c>
      <c r="N54" s="62" t="n">
        <v>1</v>
      </c>
      <c r="O54" s="62" t="n">
        <v>1</v>
      </c>
      <c r="P54" s="62" t="n">
        <v>0</v>
      </c>
      <c r="Q54" s="62" t="n">
        <v>1</v>
      </c>
      <c r="R54" s="62" t="n">
        <v>0</v>
      </c>
      <c r="S54" s="62" t="n">
        <v>0</v>
      </c>
      <c r="T54" s="62" t="n">
        <v>0</v>
      </c>
      <c r="U54" s="62"/>
      <c r="V54" s="62"/>
      <c r="W54" s="62"/>
      <c r="X54" s="62"/>
      <c r="Y54" s="62"/>
      <c r="Z54" s="62" t="s">
        <v>291</v>
      </c>
      <c r="AA54" s="62" t="s">
        <v>292</v>
      </c>
      <c r="AB54" s="62" t="n">
        <v>1</v>
      </c>
      <c r="AC54" s="62" t="n">
        <v>0</v>
      </c>
      <c r="AD54" s="62" t="n">
        <v>1</v>
      </c>
      <c r="AE54" s="62" t="n">
        <f aca="false">IF(AND(Dashboard!$C$9="Yes",AC54=1),0,1)</f>
        <v>1</v>
      </c>
      <c r="AF54" s="62" t="n">
        <v>0</v>
      </c>
    </row>
    <row r="55" customFormat="false" ht="15" hidden="false" customHeight="false" outlineLevel="0" collapsed="false">
      <c r="A55" s="62" t="n">
        <v>54</v>
      </c>
      <c r="B55" s="63" t="n">
        <v>46227.8319907407</v>
      </c>
      <c r="C55" s="64" t="n">
        <v>46227</v>
      </c>
      <c r="D55" s="62" t="s">
        <v>288</v>
      </c>
      <c r="E55" s="62" t="s">
        <v>239</v>
      </c>
      <c r="F55" s="62" t="s">
        <v>240</v>
      </c>
      <c r="G55" s="62" t="s">
        <v>153</v>
      </c>
      <c r="H55" s="62" t="s">
        <v>153</v>
      </c>
      <c r="I55" s="62" t="s">
        <v>153</v>
      </c>
      <c r="J55" s="62" t="s">
        <v>64</v>
      </c>
      <c r="K55" s="62" t="s">
        <v>64</v>
      </c>
      <c r="L55" s="62" t="s">
        <v>148</v>
      </c>
      <c r="M55" s="62" t="n">
        <v>0</v>
      </c>
      <c r="N55" s="62" t="n">
        <v>2</v>
      </c>
      <c r="O55" s="62" t="n">
        <v>2</v>
      </c>
      <c r="P55" s="62" t="n">
        <v>1</v>
      </c>
      <c r="Q55" s="62" t="n">
        <v>1</v>
      </c>
      <c r="R55" s="62" t="n">
        <v>0</v>
      </c>
      <c r="S55" s="62" t="n">
        <v>0</v>
      </c>
      <c r="T55" s="62" t="n">
        <v>0</v>
      </c>
      <c r="U55" s="62"/>
      <c r="V55" s="62"/>
      <c r="W55" s="62"/>
      <c r="X55" s="62"/>
      <c r="Y55" s="62"/>
      <c r="Z55" s="62" t="s">
        <v>293</v>
      </c>
      <c r="AA55" s="62" t="s">
        <v>294</v>
      </c>
      <c r="AB55" s="62" t="n">
        <v>1</v>
      </c>
      <c r="AC55" s="62" t="n">
        <v>0</v>
      </c>
      <c r="AD55" s="62" t="n">
        <v>0</v>
      </c>
      <c r="AE55" s="62" t="n">
        <f aca="false">IF(AND(Dashboard!$C$9="Yes",AC55=1),0,1)</f>
        <v>1</v>
      </c>
      <c r="AF55" s="62" t="n">
        <v>1</v>
      </c>
    </row>
    <row r="56" customFormat="false" ht="15" hidden="false" customHeight="false" outlineLevel="0" collapsed="false">
      <c r="A56" s="62" t="n">
        <v>55</v>
      </c>
      <c r="B56" s="63" t="n">
        <v>46227.848599537</v>
      </c>
      <c r="C56" s="64" t="n">
        <v>46227</v>
      </c>
      <c r="D56" s="62" t="s">
        <v>288</v>
      </c>
      <c r="E56" s="62" t="s">
        <v>295</v>
      </c>
      <c r="F56" s="62" t="s">
        <v>296</v>
      </c>
      <c r="G56" s="62" t="s">
        <v>153</v>
      </c>
      <c r="H56" s="62" t="s">
        <v>153</v>
      </c>
      <c r="I56" s="62" t="s">
        <v>153</v>
      </c>
      <c r="J56" s="62" t="s">
        <v>64</v>
      </c>
      <c r="K56" s="62" t="s">
        <v>64</v>
      </c>
      <c r="L56" s="62" t="s">
        <v>148</v>
      </c>
      <c r="M56" s="62" t="n">
        <v>0</v>
      </c>
      <c r="N56" s="62" t="n">
        <v>1</v>
      </c>
      <c r="O56" s="62" t="n">
        <v>1</v>
      </c>
      <c r="P56" s="62" t="n">
        <v>0</v>
      </c>
      <c r="Q56" s="62" t="n">
        <v>1</v>
      </c>
      <c r="R56" s="62" t="n">
        <v>0</v>
      </c>
      <c r="S56" s="62" t="n">
        <v>0</v>
      </c>
      <c r="T56" s="62" t="n">
        <v>0</v>
      </c>
      <c r="U56" s="62"/>
      <c r="V56" s="62"/>
      <c r="W56" s="62"/>
      <c r="X56" s="62"/>
      <c r="Y56" s="62"/>
      <c r="Z56" s="62" t="s">
        <v>297</v>
      </c>
      <c r="AA56" s="62" t="s">
        <v>298</v>
      </c>
      <c r="AB56" s="62" t="n">
        <v>1</v>
      </c>
      <c r="AC56" s="62" t="n">
        <v>0</v>
      </c>
      <c r="AD56" s="62" t="n">
        <v>0</v>
      </c>
      <c r="AE56" s="62" t="n">
        <f aca="false">IF(AND(Dashboard!$C$9="Yes",AC56=1),0,1)</f>
        <v>1</v>
      </c>
      <c r="AF56" s="62" t="n">
        <v>1</v>
      </c>
    </row>
    <row r="57" customFormat="false" ht="15" hidden="false" customHeight="false" outlineLevel="0" collapsed="false">
      <c r="A57" s="62" t="n">
        <v>56</v>
      </c>
      <c r="B57" s="63" t="n">
        <v>46227.8636226852</v>
      </c>
      <c r="C57" s="64" t="n">
        <v>46227</v>
      </c>
      <c r="D57" s="62" t="s">
        <v>288</v>
      </c>
      <c r="E57" s="62" t="s">
        <v>156</v>
      </c>
      <c r="F57" s="62" t="s">
        <v>156</v>
      </c>
      <c r="G57" s="62" t="s">
        <v>157</v>
      </c>
      <c r="H57" s="62" t="s">
        <v>51</v>
      </c>
      <c r="I57" s="62" t="s">
        <v>47</v>
      </c>
      <c r="J57" s="62" t="s">
        <v>146</v>
      </c>
      <c r="K57" s="62" t="s">
        <v>147</v>
      </c>
      <c r="L57" s="62" t="s">
        <v>148</v>
      </c>
      <c r="M57" s="62" t="n">
        <v>0</v>
      </c>
      <c r="N57" s="62" t="n">
        <v>1</v>
      </c>
      <c r="O57" s="62" t="n">
        <v>1</v>
      </c>
      <c r="P57" s="62" t="n">
        <v>1</v>
      </c>
      <c r="Q57" s="62" t="n">
        <v>0</v>
      </c>
      <c r="R57" s="62" t="n">
        <v>0</v>
      </c>
      <c r="S57" s="62" t="n">
        <v>0</v>
      </c>
      <c r="T57" s="62" t="n">
        <v>0</v>
      </c>
      <c r="U57" s="62"/>
      <c r="V57" s="62"/>
      <c r="W57" s="62"/>
      <c r="X57" s="62"/>
      <c r="Y57" s="62"/>
      <c r="Z57" s="62" t="s">
        <v>299</v>
      </c>
      <c r="AA57" s="62" t="s">
        <v>300</v>
      </c>
      <c r="AB57" s="62" t="n">
        <v>1</v>
      </c>
      <c r="AC57" s="62" t="n">
        <v>0</v>
      </c>
      <c r="AD57" s="62" t="n">
        <v>1</v>
      </c>
      <c r="AE57" s="62" t="n">
        <f aca="false">IF(AND(Dashboard!$C$9="Yes",AC57=1),0,1)</f>
        <v>1</v>
      </c>
      <c r="AF57" s="62" t="n">
        <v>1</v>
      </c>
    </row>
    <row r="58" customFormat="false" ht="15" hidden="false" customHeight="false" outlineLevel="0" collapsed="false">
      <c r="A58" s="62" t="n">
        <v>57</v>
      </c>
      <c r="B58" s="63" t="n">
        <v>46227.8672916667</v>
      </c>
      <c r="C58" s="64" t="n">
        <v>46227</v>
      </c>
      <c r="D58" s="62" t="s">
        <v>288</v>
      </c>
      <c r="E58" s="62" t="s">
        <v>160</v>
      </c>
      <c r="F58" s="62" t="s">
        <v>160</v>
      </c>
      <c r="G58" s="62" t="s">
        <v>161</v>
      </c>
      <c r="H58" s="62" t="s">
        <v>51</v>
      </c>
      <c r="I58" s="62" t="s">
        <v>47</v>
      </c>
      <c r="J58" s="62" t="s">
        <v>146</v>
      </c>
      <c r="K58" s="62" t="s">
        <v>147</v>
      </c>
      <c r="L58" s="62" t="s">
        <v>148</v>
      </c>
      <c r="M58" s="62" t="n">
        <v>0</v>
      </c>
      <c r="N58" s="62" t="n">
        <v>1</v>
      </c>
      <c r="O58" s="62" t="n">
        <v>1</v>
      </c>
      <c r="P58" s="62" t="n">
        <v>1</v>
      </c>
      <c r="Q58" s="62" t="n">
        <v>0</v>
      </c>
      <c r="R58" s="62" t="n">
        <v>0</v>
      </c>
      <c r="S58" s="62" t="n">
        <v>0</v>
      </c>
      <c r="T58" s="62" t="n">
        <v>0</v>
      </c>
      <c r="U58" s="62"/>
      <c r="V58" s="62"/>
      <c r="W58" s="62"/>
      <c r="X58" s="62"/>
      <c r="Y58" s="62"/>
      <c r="Z58" s="62" t="s">
        <v>301</v>
      </c>
      <c r="AA58" s="62" t="s">
        <v>302</v>
      </c>
      <c r="AB58" s="62" t="n">
        <v>1</v>
      </c>
      <c r="AC58" s="62" t="n">
        <v>0</v>
      </c>
      <c r="AD58" s="62" t="n">
        <v>1</v>
      </c>
      <c r="AE58" s="62" t="n">
        <f aca="false">IF(AND(Dashboard!$C$9="Yes",AC58=1),0,1)</f>
        <v>1</v>
      </c>
      <c r="AF58" s="62" t="n">
        <v>1</v>
      </c>
    </row>
    <row r="59" customFormat="false" ht="15" hidden="false" customHeight="false" outlineLevel="0" collapsed="false">
      <c r="A59" s="62" t="n">
        <v>58</v>
      </c>
      <c r="B59" s="63" t="n">
        <v>46227.8810532407</v>
      </c>
      <c r="C59" s="64" t="n">
        <v>46227</v>
      </c>
      <c r="D59" s="62" t="s">
        <v>288</v>
      </c>
      <c r="E59" s="62" t="s">
        <v>303</v>
      </c>
      <c r="F59" s="62" t="s">
        <v>304</v>
      </c>
      <c r="G59" s="62" t="s">
        <v>153</v>
      </c>
      <c r="H59" s="62" t="s">
        <v>153</v>
      </c>
      <c r="I59" s="62" t="s">
        <v>153</v>
      </c>
      <c r="J59" s="62" t="s">
        <v>64</v>
      </c>
      <c r="K59" s="62" t="s">
        <v>64</v>
      </c>
      <c r="L59" s="62" t="s">
        <v>148</v>
      </c>
      <c r="M59" s="62" t="n">
        <v>0</v>
      </c>
      <c r="N59" s="62" t="n">
        <v>1</v>
      </c>
      <c r="O59" s="62" t="n">
        <v>1</v>
      </c>
      <c r="P59" s="62" t="n">
        <v>0</v>
      </c>
      <c r="Q59" s="62" t="n">
        <v>1</v>
      </c>
      <c r="R59" s="62" t="n">
        <v>0</v>
      </c>
      <c r="S59" s="62" t="n">
        <v>0</v>
      </c>
      <c r="T59" s="62" t="n">
        <v>0</v>
      </c>
      <c r="U59" s="62"/>
      <c r="V59" s="62"/>
      <c r="W59" s="62"/>
      <c r="X59" s="62"/>
      <c r="Y59" s="62"/>
      <c r="Z59" s="62" t="s">
        <v>305</v>
      </c>
      <c r="AA59" s="62" t="s">
        <v>306</v>
      </c>
      <c r="AB59" s="62" t="n">
        <v>1</v>
      </c>
      <c r="AC59" s="62" t="n">
        <v>0</v>
      </c>
      <c r="AD59" s="62" t="n">
        <v>0</v>
      </c>
      <c r="AE59" s="62" t="n">
        <f aca="false">IF(AND(Dashboard!$C$9="Yes",AC59=1),0,1)</f>
        <v>1</v>
      </c>
      <c r="AF59" s="62" t="n">
        <v>1</v>
      </c>
    </row>
    <row r="60" customFormat="false" ht="15" hidden="false" customHeight="false" outlineLevel="0" collapsed="false">
      <c r="A60" s="62" t="n">
        <v>59</v>
      </c>
      <c r="B60" s="63" t="n">
        <v>46227.8853125</v>
      </c>
      <c r="C60" s="64" t="n">
        <v>46227</v>
      </c>
      <c r="D60" s="62" t="s">
        <v>288</v>
      </c>
      <c r="E60" s="62" t="s">
        <v>307</v>
      </c>
      <c r="F60" s="62" t="s">
        <v>308</v>
      </c>
      <c r="G60" s="62" t="s">
        <v>153</v>
      </c>
      <c r="H60" s="62" t="s">
        <v>153</v>
      </c>
      <c r="I60" s="62" t="s">
        <v>153</v>
      </c>
      <c r="J60" s="62" t="s">
        <v>64</v>
      </c>
      <c r="K60" s="62" t="s">
        <v>64</v>
      </c>
      <c r="L60" s="62" t="s">
        <v>4</v>
      </c>
      <c r="M60" s="62" t="n">
        <v>1</v>
      </c>
      <c r="N60" s="62" t="n">
        <v>0</v>
      </c>
      <c r="O60" s="62" t="n">
        <v>1</v>
      </c>
      <c r="P60" s="62" t="n">
        <v>0</v>
      </c>
      <c r="Q60" s="62" t="n">
        <v>0</v>
      </c>
      <c r="R60" s="62" t="n">
        <v>0</v>
      </c>
      <c r="S60" s="62" t="n">
        <v>0</v>
      </c>
      <c r="T60" s="62" t="n">
        <v>0</v>
      </c>
      <c r="U60" s="62"/>
      <c r="V60" s="62"/>
      <c r="W60" s="62"/>
      <c r="X60" s="62"/>
      <c r="Y60" s="62"/>
      <c r="Z60" s="62" t="s">
        <v>309</v>
      </c>
      <c r="AA60" s="62" t="s">
        <v>310</v>
      </c>
      <c r="AB60" s="62" t="n">
        <v>1</v>
      </c>
      <c r="AC60" s="62" t="n">
        <v>0</v>
      </c>
      <c r="AD60" s="62" t="n">
        <v>0</v>
      </c>
      <c r="AE60" s="62" t="n">
        <f aca="false">IF(AND(Dashboard!$C$9="Yes",AC60=1),0,1)</f>
        <v>1</v>
      </c>
      <c r="AF60" s="62" t="n">
        <v>1</v>
      </c>
    </row>
    <row r="61" customFormat="false" ht="15" hidden="false" customHeight="false" outlineLevel="0" collapsed="false">
      <c r="A61" s="62" t="n">
        <v>60</v>
      </c>
      <c r="B61" s="63" t="n">
        <v>46227.9106597222</v>
      </c>
      <c r="C61" s="64" t="n">
        <v>46227</v>
      </c>
      <c r="D61" s="62" t="s">
        <v>288</v>
      </c>
      <c r="E61" s="62" t="s">
        <v>186</v>
      </c>
      <c r="F61" s="62" t="s">
        <v>187</v>
      </c>
      <c r="G61" s="62" t="s">
        <v>153</v>
      </c>
      <c r="H61" s="62" t="s">
        <v>153</v>
      </c>
      <c r="I61" s="62" t="s">
        <v>153</v>
      </c>
      <c r="J61" s="62" t="s">
        <v>64</v>
      </c>
      <c r="K61" s="62" t="s">
        <v>64</v>
      </c>
      <c r="L61" s="62" t="s">
        <v>148</v>
      </c>
      <c r="M61" s="62" t="n">
        <v>0</v>
      </c>
      <c r="N61" s="62" t="n">
        <v>1</v>
      </c>
      <c r="O61" s="62" t="n">
        <v>1</v>
      </c>
      <c r="P61" s="62" t="n">
        <v>1</v>
      </c>
      <c r="Q61" s="62" t="n">
        <v>0</v>
      </c>
      <c r="R61" s="62" t="n">
        <v>0</v>
      </c>
      <c r="S61" s="62" t="n">
        <v>0</v>
      </c>
      <c r="T61" s="62" t="n">
        <v>0</v>
      </c>
      <c r="U61" s="62"/>
      <c r="V61" s="62"/>
      <c r="W61" s="62"/>
      <c r="X61" s="62"/>
      <c r="Y61" s="62"/>
      <c r="Z61" s="62" t="s">
        <v>311</v>
      </c>
      <c r="AA61" s="62" t="s">
        <v>287</v>
      </c>
      <c r="AB61" s="62" t="n">
        <v>0</v>
      </c>
      <c r="AC61" s="62" t="n">
        <v>0</v>
      </c>
      <c r="AD61" s="62" t="n">
        <v>0</v>
      </c>
      <c r="AE61" s="62" t="n">
        <f aca="false">IF(AND(Dashboard!$C$9="Yes",AC61=1),0,1)</f>
        <v>1</v>
      </c>
      <c r="AF61" s="62" t="n">
        <v>1</v>
      </c>
    </row>
    <row r="62" customFormat="false" ht="15" hidden="false" customHeight="false" outlineLevel="0" collapsed="false">
      <c r="A62" s="62" t="n">
        <v>61</v>
      </c>
      <c r="B62" s="63" t="n">
        <v>46227.9117708333</v>
      </c>
      <c r="C62" s="64" t="n">
        <v>46227</v>
      </c>
      <c r="D62" s="62" t="s">
        <v>288</v>
      </c>
      <c r="E62" s="62" t="s">
        <v>312</v>
      </c>
      <c r="F62" s="62" t="s">
        <v>312</v>
      </c>
      <c r="G62" s="62" t="s">
        <v>313</v>
      </c>
      <c r="H62" s="62" t="s">
        <v>51</v>
      </c>
      <c r="I62" s="62" t="s">
        <v>47</v>
      </c>
      <c r="J62" s="62" t="s">
        <v>146</v>
      </c>
      <c r="K62" s="62" t="s">
        <v>147</v>
      </c>
      <c r="L62" s="62" t="s">
        <v>148</v>
      </c>
      <c r="M62" s="62" t="n">
        <v>0</v>
      </c>
      <c r="N62" s="62" t="n">
        <v>1</v>
      </c>
      <c r="O62" s="62" t="n">
        <v>1</v>
      </c>
      <c r="P62" s="62" t="n">
        <v>0</v>
      </c>
      <c r="Q62" s="62" t="n">
        <v>1</v>
      </c>
      <c r="R62" s="62" t="n">
        <v>0</v>
      </c>
      <c r="S62" s="62" t="n">
        <v>0</v>
      </c>
      <c r="T62" s="62" t="n">
        <v>0</v>
      </c>
      <c r="U62" s="62"/>
      <c r="V62" s="62"/>
      <c r="W62" s="62"/>
      <c r="X62" s="62"/>
      <c r="Y62" s="62"/>
      <c r="Z62" s="62" t="s">
        <v>314</v>
      </c>
      <c r="AA62" s="62" t="s">
        <v>315</v>
      </c>
      <c r="AB62" s="62" t="n">
        <v>1</v>
      </c>
      <c r="AC62" s="62" t="n">
        <v>0</v>
      </c>
      <c r="AD62" s="62" t="n">
        <v>1</v>
      </c>
      <c r="AE62" s="62" t="n">
        <f aca="false">IF(AND(Dashboard!$C$9="Yes",AC62=1),0,1)</f>
        <v>1</v>
      </c>
      <c r="AF62" s="62" t="n">
        <v>1</v>
      </c>
    </row>
    <row r="63" customFormat="false" ht="15" hidden="false" customHeight="false" outlineLevel="0" collapsed="false">
      <c r="A63" s="62" t="n">
        <v>62</v>
      </c>
      <c r="B63" s="63" t="n">
        <v>46227.9179976852</v>
      </c>
      <c r="C63" s="64" t="n">
        <v>46227</v>
      </c>
      <c r="D63" s="62" t="s">
        <v>288</v>
      </c>
      <c r="E63" s="62" t="s">
        <v>164</v>
      </c>
      <c r="F63" s="62" t="s">
        <v>164</v>
      </c>
      <c r="G63" s="62" t="s">
        <v>165</v>
      </c>
      <c r="H63" s="62" t="s">
        <v>51</v>
      </c>
      <c r="I63" s="62" t="s">
        <v>47</v>
      </c>
      <c r="J63" s="62" t="s">
        <v>146</v>
      </c>
      <c r="K63" s="62" t="s">
        <v>147</v>
      </c>
      <c r="L63" s="62" t="s">
        <v>148</v>
      </c>
      <c r="M63" s="62" t="n">
        <v>0</v>
      </c>
      <c r="N63" s="62" t="n">
        <v>1</v>
      </c>
      <c r="O63" s="62" t="n">
        <v>1</v>
      </c>
      <c r="P63" s="62" t="n">
        <v>0</v>
      </c>
      <c r="Q63" s="62" t="n">
        <v>1</v>
      </c>
      <c r="R63" s="62" t="n">
        <v>0</v>
      </c>
      <c r="S63" s="62" t="n">
        <v>0</v>
      </c>
      <c r="T63" s="62" t="n">
        <v>0</v>
      </c>
      <c r="U63" s="62"/>
      <c r="V63" s="62"/>
      <c r="W63" s="62"/>
      <c r="X63" s="62"/>
      <c r="Y63" s="62"/>
      <c r="Z63" s="62" t="s">
        <v>316</v>
      </c>
      <c r="AA63" s="62" t="s">
        <v>317</v>
      </c>
      <c r="AB63" s="62" t="n">
        <v>1</v>
      </c>
      <c r="AC63" s="62" t="n">
        <v>0</v>
      </c>
      <c r="AD63" s="62" t="n">
        <v>1</v>
      </c>
      <c r="AE63" s="62" t="n">
        <f aca="false">IF(AND(Dashboard!$C$9="Yes",AC63=1),0,1)</f>
        <v>1</v>
      </c>
      <c r="AF63" s="62" t="n">
        <v>1</v>
      </c>
    </row>
    <row r="64" customFormat="false" ht="15" hidden="false" customHeight="false" outlineLevel="0" collapsed="false">
      <c r="A64" s="62" t="n">
        <v>63</v>
      </c>
      <c r="B64" s="63" t="n">
        <v>46227.9360300926</v>
      </c>
      <c r="C64" s="64" t="n">
        <v>46227</v>
      </c>
      <c r="D64" s="62" t="s">
        <v>288</v>
      </c>
      <c r="E64" s="62" t="s">
        <v>190</v>
      </c>
      <c r="F64" s="62" t="s">
        <v>191</v>
      </c>
      <c r="G64" s="62" t="s">
        <v>153</v>
      </c>
      <c r="H64" s="62" t="s">
        <v>153</v>
      </c>
      <c r="I64" s="62" t="s">
        <v>153</v>
      </c>
      <c r="J64" s="62" t="s">
        <v>64</v>
      </c>
      <c r="K64" s="62" t="s">
        <v>64</v>
      </c>
      <c r="L64" s="62" t="s">
        <v>4</v>
      </c>
      <c r="M64" s="62" t="n">
        <v>1</v>
      </c>
      <c r="N64" s="62" t="n">
        <v>0</v>
      </c>
      <c r="O64" s="62" t="n">
        <v>1</v>
      </c>
      <c r="P64" s="62" t="n">
        <v>0</v>
      </c>
      <c r="Q64" s="62" t="n">
        <v>0</v>
      </c>
      <c r="R64" s="62" t="n">
        <v>0</v>
      </c>
      <c r="S64" s="62" t="n">
        <v>0</v>
      </c>
      <c r="T64" s="62" t="n">
        <v>0</v>
      </c>
      <c r="U64" s="62"/>
      <c r="V64" s="62"/>
      <c r="W64" s="62"/>
      <c r="X64" s="62"/>
      <c r="Y64" s="62"/>
      <c r="Z64" s="62" t="s">
        <v>318</v>
      </c>
      <c r="AA64" s="62" t="s">
        <v>319</v>
      </c>
      <c r="AB64" s="62" t="n">
        <v>1</v>
      </c>
      <c r="AC64" s="62" t="n">
        <v>0</v>
      </c>
      <c r="AD64" s="62" t="n">
        <v>0</v>
      </c>
      <c r="AE64" s="62" t="n">
        <f aca="false">IF(AND(Dashboard!$C$9="Yes",AC64=1),0,1)</f>
        <v>1</v>
      </c>
      <c r="AF64" s="62" t="n">
        <v>1</v>
      </c>
    </row>
    <row r="65" customFormat="false" ht="15" hidden="false" customHeight="false" outlineLevel="0" collapsed="false">
      <c r="A65" s="62" t="n">
        <v>64</v>
      </c>
      <c r="B65" s="63" t="n">
        <v>46227.9360763889</v>
      </c>
      <c r="C65" s="64" t="n">
        <v>46227</v>
      </c>
      <c r="D65" s="62" t="s">
        <v>288</v>
      </c>
      <c r="E65" s="62" t="s">
        <v>320</v>
      </c>
      <c r="F65" s="62" t="s">
        <v>321</v>
      </c>
      <c r="G65" s="62" t="s">
        <v>153</v>
      </c>
      <c r="H65" s="62" t="s">
        <v>153</v>
      </c>
      <c r="I65" s="62" t="s">
        <v>153</v>
      </c>
      <c r="J65" s="62" t="s">
        <v>64</v>
      </c>
      <c r="K65" s="62" t="s">
        <v>64</v>
      </c>
      <c r="L65" s="62" t="s">
        <v>148</v>
      </c>
      <c r="M65" s="62" t="n">
        <v>0</v>
      </c>
      <c r="N65" s="62" t="n">
        <v>1</v>
      </c>
      <c r="O65" s="62" t="n">
        <v>1</v>
      </c>
      <c r="P65" s="62" t="n">
        <v>0</v>
      </c>
      <c r="Q65" s="62" t="n">
        <v>1</v>
      </c>
      <c r="R65" s="62" t="n">
        <v>0</v>
      </c>
      <c r="S65" s="62" t="n">
        <v>0</v>
      </c>
      <c r="T65" s="62" t="n">
        <v>0</v>
      </c>
      <c r="U65" s="62"/>
      <c r="V65" s="62"/>
      <c r="W65" s="62"/>
      <c r="X65" s="62"/>
      <c r="Y65" s="62"/>
      <c r="Z65" s="62" t="s">
        <v>322</v>
      </c>
      <c r="AA65" s="62" t="s">
        <v>323</v>
      </c>
      <c r="AB65" s="62" t="n">
        <v>1</v>
      </c>
      <c r="AC65" s="62" t="n">
        <v>0</v>
      </c>
      <c r="AD65" s="62" t="n">
        <v>0</v>
      </c>
      <c r="AE65" s="62" t="n">
        <f aca="false">IF(AND(Dashboard!$C$9="Yes",AC65=1),0,1)</f>
        <v>1</v>
      </c>
      <c r="AF65" s="62" t="n">
        <v>1</v>
      </c>
    </row>
    <row r="66" customFormat="false" ht="15" hidden="false" customHeight="false" outlineLevel="0" collapsed="false">
      <c r="A66" s="62" t="n">
        <v>65</v>
      </c>
      <c r="B66" s="63" t="n">
        <v>46227.9573263889</v>
      </c>
      <c r="C66" s="64" t="n">
        <v>46227</v>
      </c>
      <c r="D66" s="62" t="s">
        <v>288</v>
      </c>
      <c r="E66" s="62" t="s">
        <v>273</v>
      </c>
      <c r="F66" s="62" t="s">
        <v>273</v>
      </c>
      <c r="G66" s="62" t="s">
        <v>274</v>
      </c>
      <c r="H66" s="62" t="s">
        <v>59</v>
      </c>
      <c r="I66" s="62" t="s">
        <v>47</v>
      </c>
      <c r="J66" s="62" t="s">
        <v>146</v>
      </c>
      <c r="K66" s="62" t="s">
        <v>147</v>
      </c>
      <c r="L66" s="62" t="s">
        <v>148</v>
      </c>
      <c r="M66" s="62" t="n">
        <v>0</v>
      </c>
      <c r="N66" s="62" t="n">
        <v>1</v>
      </c>
      <c r="O66" s="62" t="n">
        <v>1</v>
      </c>
      <c r="P66" s="62" t="n">
        <v>1</v>
      </c>
      <c r="Q66" s="62" t="n">
        <v>0</v>
      </c>
      <c r="R66" s="62" t="n">
        <v>0</v>
      </c>
      <c r="S66" s="62" t="n">
        <v>0</v>
      </c>
      <c r="T66" s="62" t="n">
        <v>0</v>
      </c>
      <c r="U66" s="62"/>
      <c r="V66" s="62"/>
      <c r="W66" s="62"/>
      <c r="X66" s="62"/>
      <c r="Y66" s="62"/>
      <c r="Z66" s="62" t="s">
        <v>324</v>
      </c>
      <c r="AA66" s="62" t="s">
        <v>325</v>
      </c>
      <c r="AB66" s="62" t="n">
        <v>1</v>
      </c>
      <c r="AC66" s="62" t="n">
        <v>0</v>
      </c>
      <c r="AD66" s="62" t="n">
        <v>1</v>
      </c>
      <c r="AE66" s="62" t="n">
        <f aca="false">IF(AND(Dashboard!$C$9="Yes",AC66=1),0,1)</f>
        <v>1</v>
      </c>
      <c r="AF66" s="62" t="n">
        <v>1</v>
      </c>
    </row>
    <row r="67" customFormat="false" ht="15" hidden="false" customHeight="false" outlineLevel="0" collapsed="false">
      <c r="A67" s="62" t="n">
        <v>66</v>
      </c>
      <c r="B67" s="63" t="n">
        <v>46227.9833680556</v>
      </c>
      <c r="C67" s="64" t="n">
        <v>46227</v>
      </c>
      <c r="D67" s="62" t="s">
        <v>288</v>
      </c>
      <c r="E67" s="62" t="s">
        <v>307</v>
      </c>
      <c r="F67" s="62" t="s">
        <v>308</v>
      </c>
      <c r="G67" s="62" t="s">
        <v>153</v>
      </c>
      <c r="H67" s="62" t="s">
        <v>153</v>
      </c>
      <c r="I67" s="62" t="s">
        <v>153</v>
      </c>
      <c r="J67" s="62" t="s">
        <v>64</v>
      </c>
      <c r="K67" s="62" t="s">
        <v>64</v>
      </c>
      <c r="L67" s="62" t="s">
        <v>4</v>
      </c>
      <c r="M67" s="62" t="n">
        <v>1</v>
      </c>
      <c r="N67" s="62" t="n">
        <v>0</v>
      </c>
      <c r="O67" s="62" t="n">
        <v>1</v>
      </c>
      <c r="P67" s="62" t="n">
        <v>0</v>
      </c>
      <c r="Q67" s="62" t="n">
        <v>0</v>
      </c>
      <c r="R67" s="62" t="n">
        <v>0</v>
      </c>
      <c r="S67" s="62" t="n">
        <v>0</v>
      </c>
      <c r="T67" s="62" t="n">
        <v>0</v>
      </c>
      <c r="U67" s="62"/>
      <c r="V67" s="62"/>
      <c r="W67" s="62"/>
      <c r="X67" s="62"/>
      <c r="Y67" s="62"/>
      <c r="Z67" s="62" t="s">
        <v>326</v>
      </c>
      <c r="AA67" s="62" t="s">
        <v>327</v>
      </c>
      <c r="AB67" s="62" t="n">
        <v>1</v>
      </c>
      <c r="AC67" s="62" t="n">
        <v>0</v>
      </c>
      <c r="AD67" s="62" t="n">
        <v>0</v>
      </c>
      <c r="AE67" s="62" t="n">
        <f aca="false">IF(AND(Dashboard!$C$9="Yes",AC67=1),0,1)</f>
        <v>1</v>
      </c>
      <c r="AF67" s="62" t="n">
        <v>0</v>
      </c>
    </row>
    <row r="68" customFormat="false" ht="15" hidden="false" customHeight="false" outlineLevel="0" collapsed="false">
      <c r="A68" s="62" t="n">
        <v>67</v>
      </c>
      <c r="B68" s="63" t="n">
        <v>46227.9856481482</v>
      </c>
      <c r="C68" s="64" t="n">
        <v>46227</v>
      </c>
      <c r="D68" s="62" t="s">
        <v>288</v>
      </c>
      <c r="E68" s="62" t="s">
        <v>228</v>
      </c>
      <c r="F68" s="62" t="s">
        <v>229</v>
      </c>
      <c r="G68" s="62" t="s">
        <v>153</v>
      </c>
      <c r="H68" s="62" t="s">
        <v>153</v>
      </c>
      <c r="I68" s="62" t="s">
        <v>153</v>
      </c>
      <c r="J68" s="62" t="s">
        <v>64</v>
      </c>
      <c r="K68" s="62" t="s">
        <v>64</v>
      </c>
      <c r="L68" s="62" t="s">
        <v>148</v>
      </c>
      <c r="M68" s="62" t="n">
        <v>0</v>
      </c>
      <c r="N68" s="62" t="n">
        <v>1</v>
      </c>
      <c r="O68" s="62" t="n">
        <v>1</v>
      </c>
      <c r="P68" s="62" t="n">
        <v>1</v>
      </c>
      <c r="Q68" s="62" t="n">
        <v>0</v>
      </c>
      <c r="R68" s="62" t="n">
        <v>0</v>
      </c>
      <c r="S68" s="62" t="n">
        <v>0</v>
      </c>
      <c r="T68" s="62" t="n">
        <v>0</v>
      </c>
      <c r="U68" s="62"/>
      <c r="V68" s="62"/>
      <c r="W68" s="62"/>
      <c r="X68" s="62"/>
      <c r="Y68" s="62"/>
      <c r="Z68" s="62" t="s">
        <v>328</v>
      </c>
      <c r="AA68" s="62" t="s">
        <v>329</v>
      </c>
      <c r="AB68" s="62" t="n">
        <v>1</v>
      </c>
      <c r="AC68" s="62" t="n">
        <v>0</v>
      </c>
      <c r="AD68" s="62" t="n">
        <v>0</v>
      </c>
      <c r="AE68" s="62" t="n">
        <f aca="false">IF(AND(Dashboard!$C$9="Yes",AC68=1),0,1)</f>
        <v>1</v>
      </c>
      <c r="AF68" s="62" t="n">
        <v>1</v>
      </c>
    </row>
    <row r="69" customFormat="false" ht="15" hidden="false" customHeight="false" outlineLevel="0" collapsed="false">
      <c r="A69" s="62" t="n">
        <v>68</v>
      </c>
      <c r="B69" s="63" t="n">
        <v>46227.9873611111</v>
      </c>
      <c r="C69" s="64" t="n">
        <v>46227</v>
      </c>
      <c r="D69" s="62" t="s">
        <v>288</v>
      </c>
      <c r="E69" s="62" t="s">
        <v>144</v>
      </c>
      <c r="F69" s="62" t="s">
        <v>144</v>
      </c>
      <c r="G69" s="62" t="s">
        <v>145</v>
      </c>
      <c r="H69" s="62" t="s">
        <v>59</v>
      </c>
      <c r="I69" s="62" t="s">
        <v>47</v>
      </c>
      <c r="J69" s="62" t="s">
        <v>146</v>
      </c>
      <c r="K69" s="62" t="s">
        <v>147</v>
      </c>
      <c r="L69" s="62" t="s">
        <v>148</v>
      </c>
      <c r="M69" s="62" t="n">
        <v>0</v>
      </c>
      <c r="N69" s="62" t="n">
        <v>2</v>
      </c>
      <c r="O69" s="62" t="n">
        <v>2</v>
      </c>
      <c r="P69" s="62" t="n">
        <v>1</v>
      </c>
      <c r="Q69" s="62" t="n">
        <v>1</v>
      </c>
      <c r="R69" s="62" t="n">
        <v>0</v>
      </c>
      <c r="S69" s="62" t="n">
        <v>0</v>
      </c>
      <c r="T69" s="62" t="n">
        <v>0</v>
      </c>
      <c r="U69" s="62"/>
      <c r="V69" s="62"/>
      <c r="W69" s="62"/>
      <c r="X69" s="62"/>
      <c r="Y69" s="62"/>
      <c r="Z69" s="62" t="s">
        <v>330</v>
      </c>
      <c r="AA69" s="62" t="s">
        <v>331</v>
      </c>
      <c r="AB69" s="62" t="n">
        <v>0</v>
      </c>
      <c r="AC69" s="62" t="n">
        <v>0</v>
      </c>
      <c r="AD69" s="62" t="n">
        <v>1</v>
      </c>
      <c r="AE69" s="62" t="n">
        <f aca="false">IF(AND(Dashboard!$C$9="Yes",AC69=1),0,1)</f>
        <v>1</v>
      </c>
      <c r="AF69" s="62" t="n">
        <v>1</v>
      </c>
    </row>
    <row r="70" customFormat="false" ht="15" hidden="false" customHeight="false" outlineLevel="0" collapsed="false">
      <c r="A70" s="62" t="n">
        <v>69</v>
      </c>
      <c r="B70" s="63" t="n">
        <v>46227.9876273148</v>
      </c>
      <c r="C70" s="64" t="n">
        <v>46227</v>
      </c>
      <c r="D70" s="62" t="s">
        <v>288</v>
      </c>
      <c r="E70" s="62" t="s">
        <v>144</v>
      </c>
      <c r="F70" s="62" t="s">
        <v>144</v>
      </c>
      <c r="G70" s="62" t="s">
        <v>145</v>
      </c>
      <c r="H70" s="62" t="s">
        <v>59</v>
      </c>
      <c r="I70" s="62" t="s">
        <v>47</v>
      </c>
      <c r="J70" s="62" t="s">
        <v>146</v>
      </c>
      <c r="K70" s="62" t="s">
        <v>147</v>
      </c>
      <c r="L70" s="62" t="s">
        <v>148</v>
      </c>
      <c r="M70" s="62" t="n">
        <v>0</v>
      </c>
      <c r="N70" s="62" t="n">
        <v>2</v>
      </c>
      <c r="O70" s="62" t="n">
        <v>2</v>
      </c>
      <c r="P70" s="62" t="n">
        <v>1</v>
      </c>
      <c r="Q70" s="62" t="n">
        <v>1</v>
      </c>
      <c r="R70" s="62" t="n">
        <v>0</v>
      </c>
      <c r="S70" s="62" t="n">
        <v>0</v>
      </c>
      <c r="T70" s="62" t="n">
        <v>0</v>
      </c>
      <c r="U70" s="62"/>
      <c r="V70" s="62"/>
      <c r="W70" s="62"/>
      <c r="X70" s="62"/>
      <c r="Y70" s="62"/>
      <c r="Z70" s="62" t="s">
        <v>330</v>
      </c>
      <c r="AA70" s="62" t="s">
        <v>331</v>
      </c>
      <c r="AB70" s="62" t="n">
        <v>0</v>
      </c>
      <c r="AC70" s="62" t="n">
        <v>0</v>
      </c>
      <c r="AD70" s="62" t="n">
        <v>1</v>
      </c>
      <c r="AE70" s="62" t="n">
        <f aca="false">IF(AND(Dashboard!$C$9="Yes",AC70=1),0,1)</f>
        <v>1</v>
      </c>
      <c r="AF70" s="62" t="n">
        <v>0</v>
      </c>
    </row>
    <row r="71" customFormat="false" ht="15" hidden="false" customHeight="false" outlineLevel="0" collapsed="false">
      <c r="A71" s="62" t="n">
        <v>70</v>
      </c>
      <c r="B71" s="63" t="n">
        <v>46227.9891319444</v>
      </c>
      <c r="C71" s="64" t="n">
        <v>46227</v>
      </c>
      <c r="D71" s="62" t="s">
        <v>288</v>
      </c>
      <c r="E71" s="62" t="s">
        <v>144</v>
      </c>
      <c r="F71" s="62" t="s">
        <v>144</v>
      </c>
      <c r="G71" s="62" t="s">
        <v>145</v>
      </c>
      <c r="H71" s="62" t="s">
        <v>59</v>
      </c>
      <c r="I71" s="62" t="s">
        <v>47</v>
      </c>
      <c r="J71" s="62" t="s">
        <v>146</v>
      </c>
      <c r="K71" s="62" t="s">
        <v>147</v>
      </c>
      <c r="L71" s="62" t="s">
        <v>4</v>
      </c>
      <c r="M71" s="62" t="n">
        <v>1</v>
      </c>
      <c r="N71" s="62" t="n">
        <v>0</v>
      </c>
      <c r="O71" s="62" t="n">
        <v>1</v>
      </c>
      <c r="P71" s="62" t="n">
        <v>0</v>
      </c>
      <c r="Q71" s="62" t="n">
        <v>0</v>
      </c>
      <c r="R71" s="62" t="n">
        <v>0</v>
      </c>
      <c r="S71" s="62" t="n">
        <v>0</v>
      </c>
      <c r="T71" s="62" t="n">
        <v>0</v>
      </c>
      <c r="U71" s="62"/>
      <c r="V71" s="62"/>
      <c r="W71" s="62"/>
      <c r="X71" s="62"/>
      <c r="Y71" s="62"/>
      <c r="Z71" s="62" t="s">
        <v>332</v>
      </c>
      <c r="AA71" s="62" t="s">
        <v>150</v>
      </c>
      <c r="AB71" s="62" t="n">
        <v>0</v>
      </c>
      <c r="AC71" s="62" t="n">
        <v>0</v>
      </c>
      <c r="AD71" s="62" t="n">
        <v>1</v>
      </c>
      <c r="AE71" s="62" t="n">
        <f aca="false">IF(AND(Dashboard!$C$9="Yes",AC71=1),0,1)</f>
        <v>1</v>
      </c>
      <c r="AF71" s="62" t="n">
        <v>0</v>
      </c>
    </row>
    <row r="72" customFormat="false" ht="15" hidden="false" customHeight="false" outlineLevel="0" collapsed="false">
      <c r="A72" s="62" t="n">
        <v>71</v>
      </c>
      <c r="B72" s="63" t="n">
        <v>46227.9991782407</v>
      </c>
      <c r="C72" s="64" t="n">
        <v>46227</v>
      </c>
      <c r="D72" s="62" t="s">
        <v>288</v>
      </c>
      <c r="E72" s="62" t="s">
        <v>180</v>
      </c>
      <c r="F72" s="62" t="s">
        <v>180</v>
      </c>
      <c r="G72" s="62" t="s">
        <v>181</v>
      </c>
      <c r="H72" s="62" t="s">
        <v>58</v>
      </c>
      <c r="I72" s="62" t="s">
        <v>49</v>
      </c>
      <c r="J72" s="62" t="s">
        <v>146</v>
      </c>
      <c r="K72" s="62" t="s">
        <v>175</v>
      </c>
      <c r="L72" s="62" t="s">
        <v>148</v>
      </c>
      <c r="M72" s="62" t="n">
        <v>0</v>
      </c>
      <c r="N72" s="62" t="n">
        <v>2</v>
      </c>
      <c r="O72" s="62" t="n">
        <v>2</v>
      </c>
      <c r="P72" s="62" t="n">
        <v>1</v>
      </c>
      <c r="Q72" s="62" t="n">
        <v>0</v>
      </c>
      <c r="R72" s="62" t="n">
        <v>1</v>
      </c>
      <c r="S72" s="62" t="n">
        <v>0</v>
      </c>
      <c r="T72" s="62" t="n">
        <v>0</v>
      </c>
      <c r="U72" s="62"/>
      <c r="V72" s="62"/>
      <c r="W72" s="62"/>
      <c r="X72" s="62"/>
      <c r="Y72" s="62"/>
      <c r="Z72" s="62" t="s">
        <v>333</v>
      </c>
      <c r="AA72" s="62" t="s">
        <v>333</v>
      </c>
      <c r="AB72" s="62" t="n">
        <v>1</v>
      </c>
      <c r="AC72" s="62" t="n">
        <v>0</v>
      </c>
      <c r="AD72" s="62" t="n">
        <v>1</v>
      </c>
      <c r="AE72" s="62" t="n">
        <f aca="false">IF(AND(Dashboard!$C$9="Yes",AC72=1),0,1)</f>
        <v>1</v>
      </c>
      <c r="AF72" s="62" t="n">
        <v>1</v>
      </c>
    </row>
    <row r="73" customFormat="false" ht="15" hidden="false" customHeight="false" outlineLevel="0" collapsed="false">
      <c r="A73" s="62" t="n">
        <v>72</v>
      </c>
      <c r="B73" s="63" t="n">
        <v>46228.0179166667</v>
      </c>
      <c r="C73" s="64" t="n">
        <v>46227</v>
      </c>
      <c r="D73" s="62" t="s">
        <v>288</v>
      </c>
      <c r="E73" s="62" t="s">
        <v>144</v>
      </c>
      <c r="F73" s="62" t="s">
        <v>144</v>
      </c>
      <c r="G73" s="62" t="s">
        <v>145</v>
      </c>
      <c r="H73" s="62" t="s">
        <v>59</v>
      </c>
      <c r="I73" s="62" t="s">
        <v>47</v>
      </c>
      <c r="J73" s="62" t="s">
        <v>146</v>
      </c>
      <c r="K73" s="62" t="s">
        <v>147</v>
      </c>
      <c r="L73" s="62" t="s">
        <v>148</v>
      </c>
      <c r="M73" s="62" t="n">
        <v>0</v>
      </c>
      <c r="N73" s="62" t="n">
        <v>1</v>
      </c>
      <c r="O73" s="62" t="n">
        <v>1</v>
      </c>
      <c r="P73" s="62" t="n">
        <v>1</v>
      </c>
      <c r="Q73" s="62" t="n">
        <v>0</v>
      </c>
      <c r="R73" s="62" t="n">
        <v>0</v>
      </c>
      <c r="S73" s="62" t="n">
        <v>0</v>
      </c>
      <c r="T73" s="62" t="n">
        <v>0</v>
      </c>
      <c r="U73" s="62"/>
      <c r="V73" s="62"/>
      <c r="W73" s="62"/>
      <c r="X73" s="62"/>
      <c r="Y73" s="62"/>
      <c r="Z73" s="62" t="s">
        <v>334</v>
      </c>
      <c r="AA73" s="62" t="s">
        <v>150</v>
      </c>
      <c r="AB73" s="62" t="n">
        <v>0</v>
      </c>
      <c r="AC73" s="62" t="n">
        <v>0</v>
      </c>
      <c r="AD73" s="62" t="n">
        <v>1</v>
      </c>
      <c r="AE73" s="62" t="n">
        <f aca="false">IF(AND(Dashboard!$C$9="Yes",AC73=1),0,1)</f>
        <v>1</v>
      </c>
      <c r="AF73" s="62" t="n">
        <v>0</v>
      </c>
    </row>
    <row r="74" customFormat="false" ht="15" hidden="false" customHeight="false" outlineLevel="0" collapsed="false">
      <c r="A74" s="62" t="n">
        <v>73</v>
      </c>
      <c r="B74" s="63" t="n">
        <v>46228.0186805556</v>
      </c>
      <c r="C74" s="64" t="n">
        <v>46227</v>
      </c>
      <c r="D74" s="62" t="s">
        <v>288</v>
      </c>
      <c r="E74" s="62" t="s">
        <v>144</v>
      </c>
      <c r="F74" s="62" t="s">
        <v>144</v>
      </c>
      <c r="G74" s="62" t="s">
        <v>145</v>
      </c>
      <c r="H74" s="62" t="s">
        <v>59</v>
      </c>
      <c r="I74" s="62" t="s">
        <v>47</v>
      </c>
      <c r="J74" s="62" t="s">
        <v>146</v>
      </c>
      <c r="K74" s="62" t="s">
        <v>147</v>
      </c>
      <c r="L74" s="62" t="s">
        <v>148</v>
      </c>
      <c r="M74" s="62" t="n">
        <v>0</v>
      </c>
      <c r="N74" s="62" t="n">
        <v>1</v>
      </c>
      <c r="O74" s="62" t="n">
        <v>1</v>
      </c>
      <c r="P74" s="62" t="n">
        <v>1</v>
      </c>
      <c r="Q74" s="62" t="n">
        <v>0</v>
      </c>
      <c r="R74" s="62" t="n">
        <v>0</v>
      </c>
      <c r="S74" s="62" t="n">
        <v>0</v>
      </c>
      <c r="T74" s="62" t="n">
        <v>0</v>
      </c>
      <c r="U74" s="62"/>
      <c r="V74" s="62"/>
      <c r="W74" s="62"/>
      <c r="X74" s="62"/>
      <c r="Y74" s="62"/>
      <c r="Z74" s="62" t="s">
        <v>334</v>
      </c>
      <c r="AA74" s="62" t="s">
        <v>287</v>
      </c>
      <c r="AB74" s="62" t="n">
        <v>0</v>
      </c>
      <c r="AC74" s="62" t="n">
        <v>0</v>
      </c>
      <c r="AD74" s="62" t="n">
        <v>1</v>
      </c>
      <c r="AE74" s="62" t="n">
        <f aca="false">IF(AND(Dashboard!$C$9="Yes",AC74=1),0,1)</f>
        <v>1</v>
      </c>
      <c r="AF74" s="62" t="n">
        <v>0</v>
      </c>
    </row>
    <row r="75" customFormat="false" ht="15" hidden="false" customHeight="false" outlineLevel="0" collapsed="false">
      <c r="A75" s="62" t="n">
        <v>74</v>
      </c>
      <c r="B75" s="63" t="n">
        <v>46228.0239699074</v>
      </c>
      <c r="C75" s="64" t="n">
        <v>46227</v>
      </c>
      <c r="D75" s="62" t="s">
        <v>288</v>
      </c>
      <c r="E75" s="62" t="s">
        <v>180</v>
      </c>
      <c r="F75" s="62" t="s">
        <v>180</v>
      </c>
      <c r="G75" s="62" t="s">
        <v>181</v>
      </c>
      <c r="H75" s="62" t="s">
        <v>58</v>
      </c>
      <c r="I75" s="62" t="s">
        <v>49</v>
      </c>
      <c r="J75" s="62" t="s">
        <v>146</v>
      </c>
      <c r="K75" s="62" t="s">
        <v>175</v>
      </c>
      <c r="L75" s="62" t="s">
        <v>4</v>
      </c>
      <c r="M75" s="62" t="n">
        <v>1</v>
      </c>
      <c r="N75" s="62" t="n">
        <v>0</v>
      </c>
      <c r="O75" s="62" t="n">
        <v>1</v>
      </c>
      <c r="P75" s="62" t="n">
        <v>0</v>
      </c>
      <c r="Q75" s="62" t="n">
        <v>0</v>
      </c>
      <c r="R75" s="62" t="n">
        <v>0</v>
      </c>
      <c r="S75" s="62" t="n">
        <v>0</v>
      </c>
      <c r="T75" s="62" t="n">
        <v>0</v>
      </c>
      <c r="U75" s="62"/>
      <c r="V75" s="62"/>
      <c r="W75" s="62"/>
      <c r="X75" s="62"/>
      <c r="Y75" s="62"/>
      <c r="Z75" s="62" t="s">
        <v>333</v>
      </c>
      <c r="AA75" s="62" t="s">
        <v>335</v>
      </c>
      <c r="AB75" s="62" t="n">
        <v>1</v>
      </c>
      <c r="AC75" s="62" t="n">
        <v>0</v>
      </c>
      <c r="AD75" s="62" t="n">
        <v>1</v>
      </c>
      <c r="AE75" s="62" t="n">
        <f aca="false">IF(AND(Dashboard!$C$9="Yes",AC75=1),0,1)</f>
        <v>1</v>
      </c>
      <c r="AF75" s="62" t="n">
        <v>0</v>
      </c>
    </row>
    <row r="76" customFormat="false" ht="15" hidden="false" customHeight="false" outlineLevel="0" collapsed="false">
      <c r="A76" s="62" t="n">
        <v>75</v>
      </c>
      <c r="B76" s="63" t="n">
        <v>46228.0246296296</v>
      </c>
      <c r="C76" s="64" t="n">
        <v>46227</v>
      </c>
      <c r="D76" s="62" t="s">
        <v>288</v>
      </c>
      <c r="E76" s="62" t="s">
        <v>180</v>
      </c>
      <c r="F76" s="62" t="s">
        <v>180</v>
      </c>
      <c r="G76" s="62" t="s">
        <v>181</v>
      </c>
      <c r="H76" s="62" t="s">
        <v>58</v>
      </c>
      <c r="I76" s="62" t="s">
        <v>49</v>
      </c>
      <c r="J76" s="62" t="s">
        <v>146</v>
      </c>
      <c r="K76" s="62" t="s">
        <v>175</v>
      </c>
      <c r="L76" s="62" t="s">
        <v>148</v>
      </c>
      <c r="M76" s="62" t="n">
        <v>0</v>
      </c>
      <c r="N76" s="62" t="n">
        <v>1</v>
      </c>
      <c r="O76" s="62" t="n">
        <v>1</v>
      </c>
      <c r="P76" s="62" t="n">
        <v>0</v>
      </c>
      <c r="Q76" s="62" t="n">
        <v>0</v>
      </c>
      <c r="R76" s="62" t="n">
        <v>0</v>
      </c>
      <c r="S76" s="62" t="n">
        <v>1</v>
      </c>
      <c r="T76" s="62" t="n">
        <v>0</v>
      </c>
      <c r="U76" s="62"/>
      <c r="V76" s="62"/>
      <c r="W76" s="62"/>
      <c r="X76" s="62"/>
      <c r="Y76" s="62"/>
      <c r="Z76" s="62" t="s">
        <v>333</v>
      </c>
      <c r="AA76" s="62" t="s">
        <v>335</v>
      </c>
      <c r="AB76" s="62" t="n">
        <v>1</v>
      </c>
      <c r="AC76" s="62" t="n">
        <v>0</v>
      </c>
      <c r="AD76" s="62" t="n">
        <v>1</v>
      </c>
      <c r="AE76" s="62" t="n">
        <f aca="false">IF(AND(Dashboard!$C$9="Yes",AC76=1),0,1)</f>
        <v>1</v>
      </c>
      <c r="AF76" s="62" t="n">
        <v>0</v>
      </c>
    </row>
    <row r="77" customFormat="false" ht="15" hidden="false" customHeight="false" outlineLevel="0" collapsed="false">
      <c r="A77" s="62" t="n">
        <v>76</v>
      </c>
      <c r="B77" s="63" t="n">
        <v>46228.0267708333</v>
      </c>
      <c r="C77" s="64" t="n">
        <v>46227</v>
      </c>
      <c r="D77" s="62" t="s">
        <v>288</v>
      </c>
      <c r="E77" s="62" t="s">
        <v>295</v>
      </c>
      <c r="F77" s="62" t="s">
        <v>296</v>
      </c>
      <c r="G77" s="62" t="s">
        <v>153</v>
      </c>
      <c r="H77" s="62" t="s">
        <v>153</v>
      </c>
      <c r="I77" s="62" t="s">
        <v>153</v>
      </c>
      <c r="J77" s="62" t="s">
        <v>64</v>
      </c>
      <c r="K77" s="62" t="s">
        <v>64</v>
      </c>
      <c r="L77" s="62" t="s">
        <v>148</v>
      </c>
      <c r="M77" s="62" t="n">
        <v>0</v>
      </c>
      <c r="N77" s="62" t="n">
        <v>1</v>
      </c>
      <c r="O77" s="62" t="n">
        <v>1</v>
      </c>
      <c r="P77" s="62" t="n">
        <v>1</v>
      </c>
      <c r="Q77" s="62" t="n">
        <v>0</v>
      </c>
      <c r="R77" s="62" t="n">
        <v>0</v>
      </c>
      <c r="S77" s="62" t="n">
        <v>0</v>
      </c>
      <c r="T77" s="62" t="n">
        <v>0</v>
      </c>
      <c r="U77" s="62"/>
      <c r="V77" s="62"/>
      <c r="W77" s="62"/>
      <c r="X77" s="62"/>
      <c r="Y77" s="62"/>
      <c r="Z77" s="62" t="s">
        <v>336</v>
      </c>
      <c r="AA77" s="62" t="s">
        <v>337</v>
      </c>
      <c r="AB77" s="62" t="n">
        <v>0</v>
      </c>
      <c r="AC77" s="62" t="n">
        <v>0</v>
      </c>
      <c r="AD77" s="62" t="n">
        <v>0</v>
      </c>
      <c r="AE77" s="62" t="n">
        <f aca="false">IF(AND(Dashboard!$C$9="Yes",AC77=1),0,1)</f>
        <v>1</v>
      </c>
      <c r="AF77" s="62" t="n">
        <v>0</v>
      </c>
    </row>
    <row r="78" customFormat="false" ht="15" hidden="false" customHeight="false" outlineLevel="0" collapsed="false">
      <c r="A78" s="62" t="n">
        <v>77</v>
      </c>
      <c r="B78" s="63" t="n">
        <v>46228.0288773148</v>
      </c>
      <c r="C78" s="64" t="n">
        <v>46227</v>
      </c>
      <c r="D78" s="62" t="s">
        <v>288</v>
      </c>
      <c r="E78" s="62" t="s">
        <v>144</v>
      </c>
      <c r="F78" s="62" t="s">
        <v>144</v>
      </c>
      <c r="G78" s="62" t="s">
        <v>145</v>
      </c>
      <c r="H78" s="62" t="s">
        <v>59</v>
      </c>
      <c r="I78" s="62" t="s">
        <v>47</v>
      </c>
      <c r="J78" s="62" t="s">
        <v>146</v>
      </c>
      <c r="K78" s="62" t="s">
        <v>147</v>
      </c>
      <c r="L78" s="62" t="s">
        <v>4</v>
      </c>
      <c r="M78" s="62" t="n">
        <v>1</v>
      </c>
      <c r="N78" s="62" t="n">
        <v>0</v>
      </c>
      <c r="O78" s="62" t="n">
        <v>1</v>
      </c>
      <c r="P78" s="62" t="n">
        <v>0</v>
      </c>
      <c r="Q78" s="62" t="n">
        <v>0</v>
      </c>
      <c r="R78" s="62" t="n">
        <v>0</v>
      </c>
      <c r="S78" s="62" t="n">
        <v>0</v>
      </c>
      <c r="T78" s="62" t="n">
        <v>0</v>
      </c>
      <c r="U78" s="62"/>
      <c r="V78" s="62"/>
      <c r="W78" s="62"/>
      <c r="X78" s="62"/>
      <c r="Y78" s="62"/>
      <c r="Z78" s="62" t="s">
        <v>334</v>
      </c>
      <c r="AA78" s="62" t="s">
        <v>338</v>
      </c>
      <c r="AB78" s="62" t="n">
        <v>1</v>
      </c>
      <c r="AC78" s="62" t="n">
        <v>0</v>
      </c>
      <c r="AD78" s="62" t="n">
        <v>1</v>
      </c>
      <c r="AE78" s="62" t="n">
        <f aca="false">IF(AND(Dashboard!$C$9="Yes",AC78=1),0,1)</f>
        <v>1</v>
      </c>
      <c r="AF78" s="62" t="n">
        <v>0</v>
      </c>
    </row>
    <row r="79" customFormat="false" ht="15" hidden="false" customHeight="false" outlineLevel="0" collapsed="false">
      <c r="A79" s="62" t="n">
        <v>78</v>
      </c>
      <c r="B79" s="63" t="n">
        <v>46228.0363425926</v>
      </c>
      <c r="C79" s="64" t="n">
        <v>46227</v>
      </c>
      <c r="D79" s="62" t="s">
        <v>288</v>
      </c>
      <c r="E79" s="62" t="s">
        <v>186</v>
      </c>
      <c r="F79" s="62" t="s">
        <v>187</v>
      </c>
      <c r="G79" s="62" t="s">
        <v>153</v>
      </c>
      <c r="H79" s="62" t="s">
        <v>153</v>
      </c>
      <c r="I79" s="62" t="s">
        <v>153</v>
      </c>
      <c r="J79" s="62" t="s">
        <v>64</v>
      </c>
      <c r="K79" s="62" t="s">
        <v>64</v>
      </c>
      <c r="L79" s="62" t="s">
        <v>148</v>
      </c>
      <c r="M79" s="62" t="n">
        <v>0</v>
      </c>
      <c r="N79" s="62" t="n">
        <v>1</v>
      </c>
      <c r="O79" s="62" t="n">
        <v>1</v>
      </c>
      <c r="P79" s="62" t="n">
        <v>1</v>
      </c>
      <c r="Q79" s="62" t="n">
        <v>0</v>
      </c>
      <c r="R79" s="62" t="n">
        <v>0</v>
      </c>
      <c r="S79" s="62" t="n">
        <v>0</v>
      </c>
      <c r="T79" s="62" t="n">
        <v>0</v>
      </c>
      <c r="U79" s="62"/>
      <c r="V79" s="62"/>
      <c r="W79" s="62"/>
      <c r="X79" s="62"/>
      <c r="Y79" s="62"/>
      <c r="Z79" s="62" t="s">
        <v>339</v>
      </c>
      <c r="AA79" s="62" t="s">
        <v>287</v>
      </c>
      <c r="AB79" s="62" t="n">
        <v>0</v>
      </c>
      <c r="AC79" s="62" t="n">
        <v>0</v>
      </c>
      <c r="AD79" s="62" t="n">
        <v>0</v>
      </c>
      <c r="AE79" s="62" t="n">
        <f aca="false">IF(AND(Dashboard!$C$9="Yes",AC79=1),0,1)</f>
        <v>1</v>
      </c>
      <c r="AF79" s="62" t="n">
        <v>0</v>
      </c>
    </row>
    <row r="80" customFormat="false" ht="15" hidden="false" customHeight="false" outlineLevel="0" collapsed="false">
      <c r="A80" s="62" t="n">
        <v>79</v>
      </c>
      <c r="B80" s="63" t="n">
        <v>46228.0818981482</v>
      </c>
      <c r="C80" s="64" t="n">
        <v>46227</v>
      </c>
      <c r="D80" s="62" t="s">
        <v>288</v>
      </c>
      <c r="E80" s="62" t="s">
        <v>144</v>
      </c>
      <c r="F80" s="62" t="s">
        <v>144</v>
      </c>
      <c r="G80" s="62" t="s">
        <v>145</v>
      </c>
      <c r="H80" s="62" t="s">
        <v>59</v>
      </c>
      <c r="I80" s="62" t="s">
        <v>47</v>
      </c>
      <c r="J80" s="62" t="s">
        <v>146</v>
      </c>
      <c r="K80" s="62" t="s">
        <v>147</v>
      </c>
      <c r="L80" s="62" t="s">
        <v>148</v>
      </c>
      <c r="M80" s="62" t="n">
        <v>0</v>
      </c>
      <c r="N80" s="62" t="n">
        <v>2</v>
      </c>
      <c r="O80" s="62" t="n">
        <v>2</v>
      </c>
      <c r="P80" s="62" t="n">
        <v>1</v>
      </c>
      <c r="Q80" s="62" t="n">
        <v>1</v>
      </c>
      <c r="R80" s="62" t="n">
        <v>0</v>
      </c>
      <c r="S80" s="62" t="n">
        <v>0</v>
      </c>
      <c r="T80" s="62" t="n">
        <v>0</v>
      </c>
      <c r="U80" s="62"/>
      <c r="V80" s="62"/>
      <c r="W80" s="62"/>
      <c r="X80" s="62"/>
      <c r="Y80" s="62"/>
      <c r="Z80" s="62" t="s">
        <v>340</v>
      </c>
      <c r="AA80" s="62" t="s">
        <v>341</v>
      </c>
      <c r="AB80" s="62" t="n">
        <v>0</v>
      </c>
      <c r="AC80" s="62" t="n">
        <v>0</v>
      </c>
      <c r="AD80" s="62" t="n">
        <v>1</v>
      </c>
      <c r="AE80" s="62" t="n">
        <f aca="false">IF(AND(Dashboard!$C$9="Yes",AC80=1),0,1)</f>
        <v>1</v>
      </c>
      <c r="AF80" s="62" t="n">
        <v>0</v>
      </c>
    </row>
    <row r="81" customFormat="false" ht="15" hidden="false" customHeight="false" outlineLevel="0" collapsed="false">
      <c r="A81" s="62" t="n">
        <v>80</v>
      </c>
      <c r="B81" s="63" t="n">
        <v>46228.0962384259</v>
      </c>
      <c r="C81" s="64" t="n">
        <v>46227</v>
      </c>
      <c r="D81" s="62" t="s">
        <v>288</v>
      </c>
      <c r="E81" s="62" t="s">
        <v>144</v>
      </c>
      <c r="F81" s="62" t="s">
        <v>144</v>
      </c>
      <c r="G81" s="62" t="s">
        <v>145</v>
      </c>
      <c r="H81" s="62" t="s">
        <v>59</v>
      </c>
      <c r="I81" s="62" t="s">
        <v>47</v>
      </c>
      <c r="J81" s="62" t="s">
        <v>146</v>
      </c>
      <c r="K81" s="62" t="s">
        <v>147</v>
      </c>
      <c r="L81" s="62" t="s">
        <v>148</v>
      </c>
      <c r="M81" s="62" t="n">
        <v>0</v>
      </c>
      <c r="N81" s="62" t="n">
        <v>2</v>
      </c>
      <c r="O81" s="62" t="n">
        <v>2</v>
      </c>
      <c r="P81" s="62" t="n">
        <v>1</v>
      </c>
      <c r="Q81" s="62" t="n">
        <v>1</v>
      </c>
      <c r="R81" s="62" t="n">
        <v>0</v>
      </c>
      <c r="S81" s="62" t="n">
        <v>0</v>
      </c>
      <c r="T81" s="62" t="n">
        <v>0</v>
      </c>
      <c r="U81" s="62"/>
      <c r="V81" s="62"/>
      <c r="W81" s="62"/>
      <c r="X81" s="62"/>
      <c r="Y81" s="62"/>
      <c r="Z81" s="62" t="s">
        <v>342</v>
      </c>
      <c r="AA81" s="62" t="s">
        <v>343</v>
      </c>
      <c r="AB81" s="62" t="n">
        <v>0</v>
      </c>
      <c r="AC81" s="62" t="n">
        <v>0</v>
      </c>
      <c r="AD81" s="62" t="n">
        <v>1</v>
      </c>
      <c r="AE81" s="62" t="n">
        <f aca="false">IF(AND(Dashboard!$C$9="Yes",AC81=1),0,1)</f>
        <v>1</v>
      </c>
      <c r="AF81" s="62" t="n">
        <v>0</v>
      </c>
    </row>
    <row r="82" customFormat="false" ht="15" hidden="false" customHeight="false" outlineLevel="0" collapsed="false">
      <c r="A82" s="62" t="n">
        <v>81</v>
      </c>
      <c r="B82" s="63" t="n">
        <v>46228.1255787037</v>
      </c>
      <c r="C82" s="64" t="n">
        <v>46227</v>
      </c>
      <c r="D82" s="62" t="s">
        <v>288</v>
      </c>
      <c r="E82" s="62" t="s">
        <v>218</v>
      </c>
      <c r="F82" s="62" t="s">
        <v>218</v>
      </c>
      <c r="G82" s="62" t="s">
        <v>219</v>
      </c>
      <c r="H82" s="62" t="s">
        <v>51</v>
      </c>
      <c r="I82" s="62" t="s">
        <v>47</v>
      </c>
      <c r="J82" s="62" t="s">
        <v>146</v>
      </c>
      <c r="K82" s="62" t="s">
        <v>147</v>
      </c>
      <c r="L82" s="62" t="s">
        <v>148</v>
      </c>
      <c r="M82" s="62" t="n">
        <v>0</v>
      </c>
      <c r="N82" s="62" t="n">
        <v>1</v>
      </c>
      <c r="O82" s="62" t="n">
        <v>1</v>
      </c>
      <c r="P82" s="62" t="n">
        <v>1</v>
      </c>
      <c r="Q82" s="62" t="n">
        <v>0</v>
      </c>
      <c r="R82" s="62" t="n">
        <v>0</v>
      </c>
      <c r="S82" s="62" t="n">
        <v>0</v>
      </c>
      <c r="T82" s="62" t="n">
        <v>0</v>
      </c>
      <c r="U82" s="62"/>
      <c r="V82" s="62"/>
      <c r="W82" s="62"/>
      <c r="X82" s="62"/>
      <c r="Y82" s="62"/>
      <c r="Z82" s="62" t="s">
        <v>344</v>
      </c>
      <c r="AA82" s="62" t="s">
        <v>345</v>
      </c>
      <c r="AB82" s="62" t="n">
        <v>1</v>
      </c>
      <c r="AC82" s="62" t="n">
        <v>0</v>
      </c>
      <c r="AD82" s="62" t="n">
        <v>1</v>
      </c>
      <c r="AE82" s="62" t="n">
        <f aca="false">IF(AND(Dashboard!$C$9="Yes",AC82=1),0,1)</f>
        <v>1</v>
      </c>
      <c r="AF82" s="62" t="n">
        <v>1</v>
      </c>
    </row>
    <row r="83" customFormat="false" ht="15" hidden="false" customHeight="false" outlineLevel="0" collapsed="false">
      <c r="A83" s="62" t="n">
        <v>82</v>
      </c>
      <c r="B83" s="63" t="n">
        <v>46228.1505324074</v>
      </c>
      <c r="C83" s="64" t="n">
        <v>46227</v>
      </c>
      <c r="D83" s="62" t="s">
        <v>288</v>
      </c>
      <c r="E83" s="62" t="s">
        <v>273</v>
      </c>
      <c r="F83" s="62" t="s">
        <v>273</v>
      </c>
      <c r="G83" s="62" t="s">
        <v>274</v>
      </c>
      <c r="H83" s="62" t="s">
        <v>59</v>
      </c>
      <c r="I83" s="62" t="s">
        <v>47</v>
      </c>
      <c r="J83" s="62" t="s">
        <v>146</v>
      </c>
      <c r="K83" s="62" t="s">
        <v>147</v>
      </c>
      <c r="L83" s="62" t="s">
        <v>148</v>
      </c>
      <c r="M83" s="62" t="n">
        <v>0</v>
      </c>
      <c r="N83" s="62" t="n">
        <v>1</v>
      </c>
      <c r="O83" s="62" t="n">
        <v>1</v>
      </c>
      <c r="P83" s="62" t="n">
        <v>1</v>
      </c>
      <c r="Q83" s="62" t="n">
        <v>0</v>
      </c>
      <c r="R83" s="62" t="n">
        <v>0</v>
      </c>
      <c r="S83" s="62" t="n">
        <v>0</v>
      </c>
      <c r="T83" s="62" t="n">
        <v>0</v>
      </c>
      <c r="U83" s="62"/>
      <c r="V83" s="62"/>
      <c r="W83" s="62"/>
      <c r="X83" s="62"/>
      <c r="Y83" s="62"/>
      <c r="Z83" s="62" t="s">
        <v>346</v>
      </c>
      <c r="AA83" s="62" t="s">
        <v>347</v>
      </c>
      <c r="AB83" s="62" t="n">
        <v>1</v>
      </c>
      <c r="AC83" s="62" t="n">
        <v>0</v>
      </c>
      <c r="AD83" s="62" t="n">
        <v>1</v>
      </c>
      <c r="AE83" s="62" t="n">
        <f aca="false">IF(AND(Dashboard!$C$9="Yes",AC83=1),0,1)</f>
        <v>1</v>
      </c>
      <c r="AF83" s="62" t="n">
        <v>0</v>
      </c>
    </row>
    <row r="84" customFormat="false" ht="15" hidden="false" customHeight="false" outlineLevel="0" collapsed="false">
      <c r="A84" s="62" t="n">
        <v>83</v>
      </c>
      <c r="B84" s="63" t="n">
        <v>46228.150787037</v>
      </c>
      <c r="C84" s="64" t="n">
        <v>46227</v>
      </c>
      <c r="D84" s="62" t="s">
        <v>288</v>
      </c>
      <c r="E84" s="62" t="s">
        <v>144</v>
      </c>
      <c r="F84" s="62" t="s">
        <v>144</v>
      </c>
      <c r="G84" s="62" t="s">
        <v>145</v>
      </c>
      <c r="H84" s="62" t="s">
        <v>59</v>
      </c>
      <c r="I84" s="62" t="s">
        <v>47</v>
      </c>
      <c r="J84" s="62" t="s">
        <v>146</v>
      </c>
      <c r="K84" s="62" t="s">
        <v>147</v>
      </c>
      <c r="L84" s="62" t="s">
        <v>148</v>
      </c>
      <c r="M84" s="62" t="n">
        <v>0</v>
      </c>
      <c r="N84" s="62" t="n">
        <v>1</v>
      </c>
      <c r="O84" s="62" t="n">
        <v>1</v>
      </c>
      <c r="P84" s="62" t="n">
        <v>0</v>
      </c>
      <c r="Q84" s="62" t="n">
        <v>1</v>
      </c>
      <c r="R84" s="62" t="n">
        <v>0</v>
      </c>
      <c r="S84" s="62" t="n">
        <v>0</v>
      </c>
      <c r="T84" s="62" t="n">
        <v>0</v>
      </c>
      <c r="U84" s="62"/>
      <c r="V84" s="62"/>
      <c r="W84" s="62"/>
      <c r="X84" s="62"/>
      <c r="Y84" s="62"/>
      <c r="Z84" s="62" t="s">
        <v>348</v>
      </c>
      <c r="AA84" s="62" t="s">
        <v>349</v>
      </c>
      <c r="AB84" s="62" t="n">
        <v>0</v>
      </c>
      <c r="AC84" s="62" t="n">
        <v>0</v>
      </c>
      <c r="AD84" s="62" t="n">
        <v>1</v>
      </c>
      <c r="AE84" s="62" t="n">
        <f aca="false">IF(AND(Dashboard!$C$9="Yes",AC84=1),0,1)</f>
        <v>1</v>
      </c>
      <c r="AF84" s="62" t="n">
        <v>0</v>
      </c>
    </row>
    <row r="85" customFormat="false" ht="15" hidden="false" customHeight="false" outlineLevel="0" collapsed="false">
      <c r="A85" s="62" t="n">
        <v>84</v>
      </c>
      <c r="B85" s="63" t="n">
        <v>46228.1523148148</v>
      </c>
      <c r="C85" s="64" t="n">
        <v>46227</v>
      </c>
      <c r="D85" s="62" t="s">
        <v>288</v>
      </c>
      <c r="E85" s="62" t="s">
        <v>295</v>
      </c>
      <c r="F85" s="62" t="s">
        <v>296</v>
      </c>
      <c r="G85" s="62" t="s">
        <v>153</v>
      </c>
      <c r="H85" s="62" t="s">
        <v>153</v>
      </c>
      <c r="I85" s="62" t="s">
        <v>153</v>
      </c>
      <c r="J85" s="62" t="s">
        <v>64</v>
      </c>
      <c r="K85" s="62" t="s">
        <v>64</v>
      </c>
      <c r="L85" s="62" t="s">
        <v>148</v>
      </c>
      <c r="M85" s="62" t="n">
        <v>0</v>
      </c>
      <c r="N85" s="62" t="n">
        <v>2</v>
      </c>
      <c r="O85" s="62" t="n">
        <v>2</v>
      </c>
      <c r="P85" s="62" t="n">
        <v>1</v>
      </c>
      <c r="Q85" s="62" t="n">
        <v>1</v>
      </c>
      <c r="R85" s="62" t="n">
        <v>0</v>
      </c>
      <c r="S85" s="62" t="n">
        <v>0</v>
      </c>
      <c r="T85" s="62" t="n">
        <v>0</v>
      </c>
      <c r="U85" s="62"/>
      <c r="V85" s="62"/>
      <c r="W85" s="62"/>
      <c r="X85" s="62"/>
      <c r="Y85" s="62"/>
      <c r="Z85" s="62" t="s">
        <v>350</v>
      </c>
      <c r="AA85" s="62" t="s">
        <v>351</v>
      </c>
      <c r="AB85" s="62" t="n">
        <v>1</v>
      </c>
      <c r="AC85" s="62" t="n">
        <v>0</v>
      </c>
      <c r="AD85" s="62" t="n">
        <v>0</v>
      </c>
      <c r="AE85" s="62" t="n">
        <f aca="false">IF(AND(Dashboard!$C$9="Yes",AC85=1),0,1)</f>
        <v>1</v>
      </c>
      <c r="AF85" s="62" t="n">
        <v>0</v>
      </c>
    </row>
    <row r="86" customFormat="false" ht="15" hidden="false" customHeight="false" outlineLevel="0" collapsed="false">
      <c r="A86" s="62" t="n">
        <v>85</v>
      </c>
      <c r="B86" s="63" t="n">
        <v>46228.2001388889</v>
      </c>
      <c r="C86" s="64" t="n">
        <v>46227</v>
      </c>
      <c r="D86" s="62" t="s">
        <v>288</v>
      </c>
      <c r="E86" s="62" t="s">
        <v>255</v>
      </c>
      <c r="F86" s="62" t="s">
        <v>255</v>
      </c>
      <c r="G86" s="62" t="s">
        <v>256</v>
      </c>
      <c r="H86" s="62" t="s">
        <v>57</v>
      </c>
      <c r="I86" s="62" t="s">
        <v>47</v>
      </c>
      <c r="J86" s="62" t="s">
        <v>146</v>
      </c>
      <c r="K86" s="62" t="s">
        <v>147</v>
      </c>
      <c r="L86" s="62" t="s">
        <v>4</v>
      </c>
      <c r="M86" s="62" t="n">
        <v>1</v>
      </c>
      <c r="N86" s="62" t="n">
        <v>0</v>
      </c>
      <c r="O86" s="62" t="n">
        <v>1</v>
      </c>
      <c r="P86" s="62" t="n">
        <v>0</v>
      </c>
      <c r="Q86" s="62" t="n">
        <v>0</v>
      </c>
      <c r="R86" s="62" t="n">
        <v>0</v>
      </c>
      <c r="S86" s="62" t="n">
        <v>0</v>
      </c>
      <c r="T86" s="62" t="n">
        <v>0</v>
      </c>
      <c r="U86" s="62"/>
      <c r="V86" s="62"/>
      <c r="W86" s="62"/>
      <c r="X86" s="62"/>
      <c r="Y86" s="62"/>
      <c r="Z86" s="62" t="s">
        <v>352</v>
      </c>
      <c r="AA86" s="62" t="s">
        <v>353</v>
      </c>
      <c r="AB86" s="62" t="n">
        <v>1</v>
      </c>
      <c r="AC86" s="62" t="n">
        <v>0</v>
      </c>
      <c r="AD86" s="62" t="n">
        <v>1</v>
      </c>
      <c r="AE86" s="62" t="n">
        <f aca="false">IF(AND(Dashboard!$C$9="Yes",AC86=1),0,1)</f>
        <v>1</v>
      </c>
      <c r="AF86" s="62" t="n">
        <v>1</v>
      </c>
    </row>
    <row r="87" customFormat="false" ht="15" hidden="false" customHeight="false" outlineLevel="0" collapsed="false">
      <c r="A87" s="62" t="n">
        <v>86</v>
      </c>
      <c r="B87" s="63" t="n">
        <v>46228.2039351852</v>
      </c>
      <c r="C87" s="64" t="n">
        <v>46227</v>
      </c>
      <c r="D87" s="62" t="s">
        <v>288</v>
      </c>
      <c r="E87" s="62" t="s">
        <v>144</v>
      </c>
      <c r="F87" s="62" t="s">
        <v>144</v>
      </c>
      <c r="G87" s="62" t="s">
        <v>145</v>
      </c>
      <c r="H87" s="62" t="s">
        <v>59</v>
      </c>
      <c r="I87" s="62" t="s">
        <v>47</v>
      </c>
      <c r="J87" s="62" t="s">
        <v>146</v>
      </c>
      <c r="K87" s="62" t="s">
        <v>147</v>
      </c>
      <c r="L87" s="62" t="s">
        <v>4</v>
      </c>
      <c r="M87" s="62" t="n">
        <v>1</v>
      </c>
      <c r="N87" s="62" t="n">
        <v>0</v>
      </c>
      <c r="O87" s="62" t="n">
        <v>1</v>
      </c>
      <c r="P87" s="62" t="n">
        <v>0</v>
      </c>
      <c r="Q87" s="62" t="n">
        <v>0</v>
      </c>
      <c r="R87" s="62" t="n">
        <v>0</v>
      </c>
      <c r="S87" s="62" t="n">
        <v>0</v>
      </c>
      <c r="T87" s="62" t="n">
        <v>0</v>
      </c>
      <c r="U87" s="62"/>
      <c r="V87" s="62"/>
      <c r="W87" s="62"/>
      <c r="X87" s="62"/>
      <c r="Y87" s="62"/>
      <c r="Z87" s="62" t="s">
        <v>354</v>
      </c>
      <c r="AA87" s="62" t="s">
        <v>355</v>
      </c>
      <c r="AB87" s="62" t="n">
        <v>1</v>
      </c>
      <c r="AC87" s="62" t="n">
        <v>0</v>
      </c>
      <c r="AD87" s="62" t="n">
        <v>1</v>
      </c>
      <c r="AE87" s="62" t="n">
        <f aca="false">IF(AND(Dashboard!$C$9="Yes",AC87=1),0,1)</f>
        <v>1</v>
      </c>
      <c r="AF87" s="62" t="n">
        <v>0</v>
      </c>
    </row>
    <row r="88" customFormat="false" ht="15" hidden="false" customHeight="false" outlineLevel="0" collapsed="false">
      <c r="A88" s="62" t="n">
        <v>87</v>
      </c>
      <c r="B88" s="63" t="n">
        <v>46228.2155671296</v>
      </c>
      <c r="C88" s="64" t="n">
        <v>46227</v>
      </c>
      <c r="D88" s="62" t="s">
        <v>288</v>
      </c>
      <c r="E88" s="62" t="s">
        <v>144</v>
      </c>
      <c r="F88" s="62" t="s">
        <v>144</v>
      </c>
      <c r="G88" s="62" t="s">
        <v>145</v>
      </c>
      <c r="H88" s="62" t="s">
        <v>59</v>
      </c>
      <c r="I88" s="62" t="s">
        <v>47</v>
      </c>
      <c r="J88" s="62" t="s">
        <v>146</v>
      </c>
      <c r="K88" s="62" t="s">
        <v>147</v>
      </c>
      <c r="L88" s="62" t="s">
        <v>148</v>
      </c>
      <c r="M88" s="62" t="n">
        <v>0</v>
      </c>
      <c r="N88" s="62" t="n">
        <v>1</v>
      </c>
      <c r="O88" s="62" t="n">
        <v>1</v>
      </c>
      <c r="P88" s="62" t="n">
        <v>1</v>
      </c>
      <c r="Q88" s="62" t="n">
        <v>0</v>
      </c>
      <c r="R88" s="62" t="n">
        <v>0</v>
      </c>
      <c r="S88" s="62" t="n">
        <v>0</v>
      </c>
      <c r="T88" s="62" t="n">
        <v>0</v>
      </c>
      <c r="U88" s="62"/>
      <c r="V88" s="62"/>
      <c r="W88" s="62"/>
      <c r="X88" s="62"/>
      <c r="Y88" s="62"/>
      <c r="Z88" s="62" t="s">
        <v>356</v>
      </c>
      <c r="AA88" s="62" t="s">
        <v>357</v>
      </c>
      <c r="AB88" s="62" t="n">
        <v>0</v>
      </c>
      <c r="AC88" s="62" t="n">
        <v>0</v>
      </c>
      <c r="AD88" s="62" t="n">
        <v>1</v>
      </c>
      <c r="AE88" s="62" t="n">
        <f aca="false">IF(AND(Dashboard!$C$9="Yes",AC88=1),0,1)</f>
        <v>1</v>
      </c>
      <c r="AF88" s="62" t="n">
        <v>0</v>
      </c>
    </row>
    <row r="89" customFormat="false" ht="15" hidden="false" customHeight="false" outlineLevel="0" collapsed="false">
      <c r="A89" s="62" t="n">
        <v>88</v>
      </c>
      <c r="B89" s="63" t="n">
        <v>46228.7372569444</v>
      </c>
      <c r="C89" s="64" t="n">
        <v>46228</v>
      </c>
      <c r="D89" s="62" t="s">
        <v>358</v>
      </c>
      <c r="E89" s="62" t="s">
        <v>212</v>
      </c>
      <c r="F89" s="62" t="s">
        <v>212</v>
      </c>
      <c r="G89" s="62" t="s">
        <v>213</v>
      </c>
      <c r="H89" s="62" t="s">
        <v>58</v>
      </c>
      <c r="I89" s="62" t="s">
        <v>49</v>
      </c>
      <c r="J89" s="62" t="s">
        <v>146</v>
      </c>
      <c r="K89" s="62" t="s">
        <v>175</v>
      </c>
      <c r="L89" s="62" t="s">
        <v>148</v>
      </c>
      <c r="M89" s="62" t="n">
        <v>0</v>
      </c>
      <c r="N89" s="62" t="n">
        <v>1</v>
      </c>
      <c r="O89" s="62" t="n">
        <v>1</v>
      </c>
      <c r="P89" s="62" t="n">
        <v>0</v>
      </c>
      <c r="Q89" s="62" t="n">
        <v>0</v>
      </c>
      <c r="R89" s="62" t="n">
        <v>1</v>
      </c>
      <c r="S89" s="62" t="n">
        <v>0</v>
      </c>
      <c r="T89" s="62" t="n">
        <v>0</v>
      </c>
      <c r="U89" s="62"/>
      <c r="V89" s="62"/>
      <c r="W89" s="62"/>
      <c r="X89" s="62"/>
      <c r="Y89" s="62"/>
      <c r="Z89" s="62" t="s">
        <v>359</v>
      </c>
      <c r="AA89" s="62" t="s">
        <v>360</v>
      </c>
      <c r="AB89" s="62" t="n">
        <v>1</v>
      </c>
      <c r="AC89" s="62" t="n">
        <v>0</v>
      </c>
      <c r="AD89" s="62" t="n">
        <v>1</v>
      </c>
      <c r="AE89" s="62" t="n">
        <f aca="false">IF(AND(Dashboard!$C$9="Yes",AC89=1),0,1)</f>
        <v>1</v>
      </c>
      <c r="AF89" s="62" t="n">
        <v>1</v>
      </c>
    </row>
    <row r="90" customFormat="false" ht="15" hidden="false" customHeight="false" outlineLevel="0" collapsed="false">
      <c r="A90" s="62" t="n">
        <v>89</v>
      </c>
      <c r="B90" s="63" t="n">
        <v>46228.830462963</v>
      </c>
      <c r="C90" s="64" t="n">
        <v>46228</v>
      </c>
      <c r="D90" s="62" t="s">
        <v>358</v>
      </c>
      <c r="E90" s="62" t="s">
        <v>212</v>
      </c>
      <c r="F90" s="62" t="s">
        <v>212</v>
      </c>
      <c r="G90" s="62" t="s">
        <v>213</v>
      </c>
      <c r="H90" s="62" t="s">
        <v>58</v>
      </c>
      <c r="I90" s="62" t="s">
        <v>49</v>
      </c>
      <c r="J90" s="62" t="s">
        <v>146</v>
      </c>
      <c r="K90" s="62" t="s">
        <v>175</v>
      </c>
      <c r="L90" s="62" t="s">
        <v>148</v>
      </c>
      <c r="M90" s="62" t="n">
        <v>0</v>
      </c>
      <c r="N90" s="62" t="n">
        <v>2</v>
      </c>
      <c r="O90" s="62" t="n">
        <v>2</v>
      </c>
      <c r="P90" s="62" t="n">
        <v>1</v>
      </c>
      <c r="Q90" s="62" t="n">
        <v>1</v>
      </c>
      <c r="R90" s="62" t="n">
        <v>0</v>
      </c>
      <c r="S90" s="62" t="n">
        <v>0</v>
      </c>
      <c r="T90" s="62" t="n">
        <v>0</v>
      </c>
      <c r="U90" s="62"/>
      <c r="V90" s="62"/>
      <c r="W90" s="62"/>
      <c r="X90" s="62"/>
      <c r="Y90" s="62"/>
      <c r="Z90" s="62" t="s">
        <v>361</v>
      </c>
      <c r="AA90" s="62" t="s">
        <v>362</v>
      </c>
      <c r="AB90" s="62" t="n">
        <v>1</v>
      </c>
      <c r="AC90" s="62" t="n">
        <v>0</v>
      </c>
      <c r="AD90" s="62" t="n">
        <v>1</v>
      </c>
      <c r="AE90" s="62" t="n">
        <f aca="false">IF(AND(Dashboard!$C$9="Yes",AC90=1),0,1)</f>
        <v>1</v>
      </c>
      <c r="AF90" s="62" t="n">
        <v>0</v>
      </c>
    </row>
    <row r="91" customFormat="false" ht="15" hidden="false" customHeight="false" outlineLevel="0" collapsed="false">
      <c r="A91" s="62" t="n">
        <v>90</v>
      </c>
      <c r="B91" s="63" t="n">
        <v>46228.8664930556</v>
      </c>
      <c r="C91" s="64" t="n">
        <v>46228</v>
      </c>
      <c r="D91" s="62" t="s">
        <v>358</v>
      </c>
      <c r="E91" s="62" t="s">
        <v>173</v>
      </c>
      <c r="F91" s="62" t="s">
        <v>173</v>
      </c>
      <c r="G91" s="62" t="s">
        <v>174</v>
      </c>
      <c r="H91" s="62" t="s">
        <v>58</v>
      </c>
      <c r="I91" s="62" t="s">
        <v>49</v>
      </c>
      <c r="J91" s="62" t="s">
        <v>146</v>
      </c>
      <c r="K91" s="62" t="s">
        <v>175</v>
      </c>
      <c r="L91" s="62" t="s">
        <v>148</v>
      </c>
      <c r="M91" s="62" t="n">
        <v>0</v>
      </c>
      <c r="N91" s="62" t="n">
        <v>1</v>
      </c>
      <c r="O91" s="62" t="n">
        <v>1</v>
      </c>
      <c r="P91" s="62" t="n">
        <v>1</v>
      </c>
      <c r="Q91" s="62" t="n">
        <v>0</v>
      </c>
      <c r="R91" s="62" t="n">
        <v>0</v>
      </c>
      <c r="S91" s="62" t="n">
        <v>0</v>
      </c>
      <c r="T91" s="62" t="n">
        <v>0</v>
      </c>
      <c r="U91" s="62"/>
      <c r="V91" s="62"/>
      <c r="W91" s="62"/>
      <c r="X91" s="62"/>
      <c r="Y91" s="62"/>
      <c r="Z91" s="62" t="s">
        <v>363</v>
      </c>
      <c r="AA91" s="62" t="s">
        <v>364</v>
      </c>
      <c r="AB91" s="62" t="n">
        <v>1</v>
      </c>
      <c r="AC91" s="62" t="n">
        <v>0</v>
      </c>
      <c r="AD91" s="62" t="n">
        <v>1</v>
      </c>
      <c r="AE91" s="62" t="n">
        <f aca="false">IF(AND(Dashboard!$C$9="Yes",AC91=1),0,1)</f>
        <v>1</v>
      </c>
      <c r="AF91" s="62" t="n">
        <v>1</v>
      </c>
    </row>
    <row r="92" customFormat="false" ht="15" hidden="false" customHeight="false" outlineLevel="0" collapsed="false">
      <c r="A92" s="62" t="n">
        <v>91</v>
      </c>
      <c r="B92" s="63" t="n">
        <v>46228.8856365741</v>
      </c>
      <c r="C92" s="64" t="n">
        <v>46228</v>
      </c>
      <c r="D92" s="62" t="s">
        <v>358</v>
      </c>
      <c r="E92" s="62" t="s">
        <v>207</v>
      </c>
      <c r="F92" s="62" t="s">
        <v>207</v>
      </c>
      <c r="G92" s="62" t="s">
        <v>208</v>
      </c>
      <c r="H92" s="62" t="s">
        <v>48</v>
      </c>
      <c r="I92" s="62" t="s">
        <v>49</v>
      </c>
      <c r="J92" s="62" t="s">
        <v>146</v>
      </c>
      <c r="K92" s="62" t="s">
        <v>209</v>
      </c>
      <c r="L92" s="62" t="s">
        <v>4</v>
      </c>
      <c r="M92" s="62" t="n">
        <v>1</v>
      </c>
      <c r="N92" s="62" t="n">
        <v>0</v>
      </c>
      <c r="O92" s="62" t="n">
        <v>1</v>
      </c>
      <c r="P92" s="62" t="n">
        <v>0</v>
      </c>
      <c r="Q92" s="62" t="n">
        <v>0</v>
      </c>
      <c r="R92" s="62" t="n">
        <v>0</v>
      </c>
      <c r="S92" s="62" t="n">
        <v>0</v>
      </c>
      <c r="T92" s="62" t="n">
        <v>0</v>
      </c>
      <c r="U92" s="62"/>
      <c r="V92" s="62"/>
      <c r="W92" s="62"/>
      <c r="X92" s="62"/>
      <c r="Y92" s="62"/>
      <c r="Z92" s="62" t="s">
        <v>365</v>
      </c>
      <c r="AA92" s="62" t="s">
        <v>366</v>
      </c>
      <c r="AB92" s="62" t="n">
        <v>1</v>
      </c>
      <c r="AC92" s="62" t="n">
        <v>0</v>
      </c>
      <c r="AD92" s="62" t="n">
        <v>1</v>
      </c>
      <c r="AE92" s="62" t="n">
        <f aca="false">IF(AND(Dashboard!$C$9="Yes",AC92=1),0,1)</f>
        <v>1</v>
      </c>
      <c r="AF92" s="62" t="n">
        <v>1</v>
      </c>
    </row>
    <row r="93" customFormat="false" ht="15" hidden="false" customHeight="false" outlineLevel="0" collapsed="false">
      <c r="A93" s="62" t="n">
        <v>92</v>
      </c>
      <c r="B93" s="63" t="n">
        <v>46228.9069444445</v>
      </c>
      <c r="C93" s="64" t="n">
        <v>46228</v>
      </c>
      <c r="D93" s="62" t="s">
        <v>358</v>
      </c>
      <c r="E93" s="62" t="s">
        <v>212</v>
      </c>
      <c r="F93" s="62" t="s">
        <v>212</v>
      </c>
      <c r="G93" s="62" t="s">
        <v>213</v>
      </c>
      <c r="H93" s="62" t="s">
        <v>58</v>
      </c>
      <c r="I93" s="62" t="s">
        <v>49</v>
      </c>
      <c r="J93" s="62" t="s">
        <v>146</v>
      </c>
      <c r="K93" s="62" t="s">
        <v>175</v>
      </c>
      <c r="L93" s="62" t="s">
        <v>4</v>
      </c>
      <c r="M93" s="62" t="n">
        <v>1</v>
      </c>
      <c r="N93" s="62" t="n">
        <v>0</v>
      </c>
      <c r="O93" s="62" t="n">
        <v>1</v>
      </c>
      <c r="P93" s="62" t="n">
        <v>0</v>
      </c>
      <c r="Q93" s="62" t="n">
        <v>0</v>
      </c>
      <c r="R93" s="62" t="n">
        <v>0</v>
      </c>
      <c r="S93" s="62" t="n">
        <v>0</v>
      </c>
      <c r="T93" s="62" t="n">
        <v>0</v>
      </c>
      <c r="U93" s="62"/>
      <c r="V93" s="62"/>
      <c r="W93" s="62"/>
      <c r="X93" s="62"/>
      <c r="Y93" s="62"/>
      <c r="Z93" s="62" t="s">
        <v>367</v>
      </c>
      <c r="AA93" s="62" t="s">
        <v>368</v>
      </c>
      <c r="AB93" s="62" t="n">
        <v>1</v>
      </c>
      <c r="AC93" s="62" t="n">
        <v>0</v>
      </c>
      <c r="AD93" s="62" t="n">
        <v>1</v>
      </c>
      <c r="AE93" s="62" t="n">
        <f aca="false">IF(AND(Dashboard!$C$9="Yes",AC93=1),0,1)</f>
        <v>1</v>
      </c>
      <c r="AF93" s="62" t="n">
        <v>0</v>
      </c>
    </row>
    <row r="94" customFormat="false" ht="15" hidden="false" customHeight="false" outlineLevel="0" collapsed="false">
      <c r="A94" s="62" t="n">
        <v>93</v>
      </c>
      <c r="B94" s="63" t="n">
        <v>46228.9309722222</v>
      </c>
      <c r="C94" s="64" t="n">
        <v>46228</v>
      </c>
      <c r="D94" s="62" t="s">
        <v>358</v>
      </c>
      <c r="E94" s="62" t="s">
        <v>180</v>
      </c>
      <c r="F94" s="62" t="s">
        <v>180</v>
      </c>
      <c r="G94" s="62" t="s">
        <v>181</v>
      </c>
      <c r="H94" s="62" t="s">
        <v>58</v>
      </c>
      <c r="I94" s="62" t="s">
        <v>49</v>
      </c>
      <c r="J94" s="62" t="s">
        <v>146</v>
      </c>
      <c r="K94" s="62" t="s">
        <v>175</v>
      </c>
      <c r="L94" s="62" t="s">
        <v>4</v>
      </c>
      <c r="M94" s="62" t="n">
        <v>1</v>
      </c>
      <c r="N94" s="62" t="n">
        <v>0</v>
      </c>
      <c r="O94" s="62" t="n">
        <v>1</v>
      </c>
      <c r="P94" s="62" t="n">
        <v>0</v>
      </c>
      <c r="Q94" s="62" t="n">
        <v>0</v>
      </c>
      <c r="R94" s="62" t="n">
        <v>0</v>
      </c>
      <c r="S94" s="62" t="n">
        <v>0</v>
      </c>
      <c r="T94" s="62" t="n">
        <v>0</v>
      </c>
      <c r="U94" s="62"/>
      <c r="V94" s="62"/>
      <c r="W94" s="62"/>
      <c r="X94" s="62"/>
      <c r="Y94" s="62"/>
      <c r="Z94" s="62" t="s">
        <v>369</v>
      </c>
      <c r="AA94" s="62" t="s">
        <v>370</v>
      </c>
      <c r="AB94" s="62" t="n">
        <v>1</v>
      </c>
      <c r="AC94" s="62" t="n">
        <v>0</v>
      </c>
      <c r="AD94" s="62" t="n">
        <v>1</v>
      </c>
      <c r="AE94" s="62" t="n">
        <f aca="false">IF(AND(Dashboard!$C$9="Yes",AC94=1),0,1)</f>
        <v>1</v>
      </c>
      <c r="AF94" s="62" t="n">
        <v>1</v>
      </c>
    </row>
    <row r="95" customFormat="false" ht="15" hidden="false" customHeight="false" outlineLevel="0" collapsed="false">
      <c r="A95" s="62" t="n">
        <v>94</v>
      </c>
      <c r="B95" s="63" t="n">
        <v>46228.9326851852</v>
      </c>
      <c r="C95" s="64" t="n">
        <v>46228</v>
      </c>
      <c r="D95" s="62" t="s">
        <v>358</v>
      </c>
      <c r="E95" s="62" t="s">
        <v>371</v>
      </c>
      <c r="F95" s="62" t="s">
        <v>371</v>
      </c>
      <c r="G95" s="62" t="s">
        <v>372</v>
      </c>
      <c r="H95" s="62" t="s">
        <v>59</v>
      </c>
      <c r="I95" s="62" t="s">
        <v>47</v>
      </c>
      <c r="J95" s="62" t="s">
        <v>146</v>
      </c>
      <c r="K95" s="62" t="s">
        <v>147</v>
      </c>
      <c r="L95" s="62" t="s">
        <v>4</v>
      </c>
      <c r="M95" s="62" t="n">
        <v>2</v>
      </c>
      <c r="N95" s="62" t="n">
        <v>0</v>
      </c>
      <c r="O95" s="62" t="n">
        <v>2</v>
      </c>
      <c r="P95" s="62" t="n">
        <v>0</v>
      </c>
      <c r="Q95" s="62" t="n">
        <v>0</v>
      </c>
      <c r="R95" s="62" t="n">
        <v>0</v>
      </c>
      <c r="S95" s="62" t="n">
        <v>0</v>
      </c>
      <c r="T95" s="62" t="n">
        <v>0</v>
      </c>
      <c r="U95" s="62"/>
      <c r="V95" s="62"/>
      <c r="W95" s="62"/>
      <c r="X95" s="62"/>
      <c r="Y95" s="62"/>
      <c r="Z95" s="62" t="s">
        <v>373</v>
      </c>
      <c r="AA95" s="62" t="s">
        <v>374</v>
      </c>
      <c r="AB95" s="62" t="n">
        <v>1</v>
      </c>
      <c r="AC95" s="62" t="n">
        <v>0</v>
      </c>
      <c r="AD95" s="62" t="n">
        <v>1</v>
      </c>
      <c r="AE95" s="62" t="n">
        <f aca="false">IF(AND(Dashboard!$C$9="Yes",AC95=1),0,1)</f>
        <v>1</v>
      </c>
      <c r="AF95" s="62" t="n">
        <v>1</v>
      </c>
    </row>
    <row r="96" customFormat="false" ht="15" hidden="false" customHeight="false" outlineLevel="0" collapsed="false">
      <c r="A96" s="62" t="n">
        <v>95</v>
      </c>
      <c r="B96" s="63" t="n">
        <v>46228.9456134259</v>
      </c>
      <c r="C96" s="64" t="n">
        <v>46228</v>
      </c>
      <c r="D96" s="62" t="s">
        <v>358</v>
      </c>
      <c r="E96" s="62" t="s">
        <v>239</v>
      </c>
      <c r="F96" s="62" t="s">
        <v>240</v>
      </c>
      <c r="G96" s="62" t="s">
        <v>153</v>
      </c>
      <c r="H96" s="62" t="s">
        <v>153</v>
      </c>
      <c r="I96" s="62" t="s">
        <v>153</v>
      </c>
      <c r="J96" s="62" t="s">
        <v>64</v>
      </c>
      <c r="K96" s="62" t="s">
        <v>64</v>
      </c>
      <c r="L96" s="62" t="s">
        <v>4</v>
      </c>
      <c r="M96" s="62" t="n">
        <v>1</v>
      </c>
      <c r="N96" s="62" t="n">
        <v>0</v>
      </c>
      <c r="O96" s="62" t="n">
        <v>1</v>
      </c>
      <c r="P96" s="62" t="n">
        <v>0</v>
      </c>
      <c r="Q96" s="62" t="n">
        <v>0</v>
      </c>
      <c r="R96" s="62" t="n">
        <v>0</v>
      </c>
      <c r="S96" s="62" t="n">
        <v>0</v>
      </c>
      <c r="T96" s="62" t="n">
        <v>0</v>
      </c>
      <c r="U96" s="62"/>
      <c r="V96" s="62"/>
      <c r="W96" s="62"/>
      <c r="X96" s="62"/>
      <c r="Y96" s="62"/>
      <c r="Z96" s="62" t="s">
        <v>375</v>
      </c>
      <c r="AA96" s="62" t="s">
        <v>376</v>
      </c>
      <c r="AB96" s="62" t="n">
        <v>1</v>
      </c>
      <c r="AC96" s="62" t="n">
        <v>0</v>
      </c>
      <c r="AD96" s="62" t="n">
        <v>0</v>
      </c>
      <c r="AE96" s="62" t="n">
        <f aca="false">IF(AND(Dashboard!$C$9="Yes",AC96=1),0,1)</f>
        <v>1</v>
      </c>
      <c r="AF96" s="62" t="n">
        <v>1</v>
      </c>
    </row>
    <row r="97" customFormat="false" ht="15" hidden="false" customHeight="false" outlineLevel="0" collapsed="false">
      <c r="A97" s="62" t="n">
        <v>96</v>
      </c>
      <c r="B97" s="63" t="n">
        <v>46228.9714583333</v>
      </c>
      <c r="C97" s="64" t="n">
        <v>46228</v>
      </c>
      <c r="D97" s="62" t="s">
        <v>358</v>
      </c>
      <c r="E97" s="62" t="s">
        <v>377</v>
      </c>
      <c r="F97" s="62" t="s">
        <v>378</v>
      </c>
      <c r="G97" s="62" t="s">
        <v>153</v>
      </c>
      <c r="H97" s="62" t="s">
        <v>153</v>
      </c>
      <c r="I97" s="62" t="s">
        <v>153</v>
      </c>
      <c r="J97" s="62" t="s">
        <v>64</v>
      </c>
      <c r="K97" s="62" t="s">
        <v>64</v>
      </c>
      <c r="L97" s="62" t="s">
        <v>148</v>
      </c>
      <c r="M97" s="62" t="n">
        <v>0</v>
      </c>
      <c r="N97" s="62" t="n">
        <v>1</v>
      </c>
      <c r="O97" s="62" t="n">
        <v>1</v>
      </c>
      <c r="P97" s="62" t="n">
        <v>0</v>
      </c>
      <c r="Q97" s="62" t="n">
        <v>0</v>
      </c>
      <c r="R97" s="62" t="n">
        <v>1</v>
      </c>
      <c r="S97" s="62" t="n">
        <v>0</v>
      </c>
      <c r="T97" s="62" t="n">
        <v>0</v>
      </c>
      <c r="U97" s="62"/>
      <c r="V97" s="62"/>
      <c r="W97" s="62"/>
      <c r="X97" s="62"/>
      <c r="Y97" s="62"/>
      <c r="Z97" s="62" t="s">
        <v>379</v>
      </c>
      <c r="AA97" s="62" t="s">
        <v>380</v>
      </c>
      <c r="AB97" s="62" t="n">
        <v>1</v>
      </c>
      <c r="AC97" s="62" t="n">
        <v>0</v>
      </c>
      <c r="AD97" s="62" t="n">
        <v>0</v>
      </c>
      <c r="AE97" s="62" t="n">
        <f aca="false">IF(AND(Dashboard!$C$9="Yes",AC97=1),0,1)</f>
        <v>1</v>
      </c>
      <c r="AF97" s="62" t="n">
        <v>1</v>
      </c>
    </row>
    <row r="98" customFormat="false" ht="15" hidden="false" customHeight="false" outlineLevel="0" collapsed="false">
      <c r="A98" s="62" t="n">
        <v>97</v>
      </c>
      <c r="B98" s="63" t="n">
        <v>46228.9824884259</v>
      </c>
      <c r="C98" s="64" t="n">
        <v>46228</v>
      </c>
      <c r="D98" s="62" t="s">
        <v>358</v>
      </c>
      <c r="E98" s="62" t="s">
        <v>212</v>
      </c>
      <c r="F98" s="62" t="s">
        <v>212</v>
      </c>
      <c r="G98" s="62" t="s">
        <v>213</v>
      </c>
      <c r="H98" s="62" t="s">
        <v>58</v>
      </c>
      <c r="I98" s="62" t="s">
        <v>49</v>
      </c>
      <c r="J98" s="62" t="s">
        <v>146</v>
      </c>
      <c r="K98" s="62" t="s">
        <v>175</v>
      </c>
      <c r="L98" s="62" t="s">
        <v>4</v>
      </c>
      <c r="M98" s="62" t="n">
        <v>1</v>
      </c>
      <c r="N98" s="62" t="n">
        <v>0</v>
      </c>
      <c r="O98" s="62" t="n">
        <v>1</v>
      </c>
      <c r="P98" s="62" t="n">
        <v>0</v>
      </c>
      <c r="Q98" s="62" t="n">
        <v>0</v>
      </c>
      <c r="R98" s="62" t="n">
        <v>0</v>
      </c>
      <c r="S98" s="62" t="n">
        <v>0</v>
      </c>
      <c r="T98" s="62" t="n">
        <v>0</v>
      </c>
      <c r="U98" s="62"/>
      <c r="V98" s="62"/>
      <c r="W98" s="62"/>
      <c r="X98" s="62"/>
      <c r="Y98" s="62"/>
      <c r="Z98" s="62" t="s">
        <v>381</v>
      </c>
      <c r="AA98" s="62" t="s">
        <v>382</v>
      </c>
      <c r="AB98" s="62" t="n">
        <v>1</v>
      </c>
      <c r="AC98" s="62" t="n">
        <v>0</v>
      </c>
      <c r="AD98" s="62" t="n">
        <v>1</v>
      </c>
      <c r="AE98" s="62" t="n">
        <f aca="false">IF(AND(Dashboard!$C$9="Yes",AC98=1),0,1)</f>
        <v>1</v>
      </c>
      <c r="AF98" s="62" t="n">
        <v>0</v>
      </c>
    </row>
    <row r="99" customFormat="false" ht="15" hidden="false" customHeight="false" outlineLevel="0" collapsed="false">
      <c r="A99" s="62" t="n">
        <v>98</v>
      </c>
      <c r="B99" s="63" t="n">
        <v>46229.0411805556</v>
      </c>
      <c r="C99" s="64" t="n">
        <v>46228</v>
      </c>
      <c r="D99" s="62" t="s">
        <v>358</v>
      </c>
      <c r="E99" s="62" t="s">
        <v>173</v>
      </c>
      <c r="F99" s="62" t="s">
        <v>173</v>
      </c>
      <c r="G99" s="62" t="s">
        <v>174</v>
      </c>
      <c r="H99" s="62" t="s">
        <v>58</v>
      </c>
      <c r="I99" s="62" t="s">
        <v>49</v>
      </c>
      <c r="J99" s="62" t="s">
        <v>146</v>
      </c>
      <c r="K99" s="62" t="s">
        <v>175</v>
      </c>
      <c r="L99" s="62" t="s">
        <v>4</v>
      </c>
      <c r="M99" s="62" t="n">
        <v>1</v>
      </c>
      <c r="N99" s="62" t="n">
        <v>0</v>
      </c>
      <c r="O99" s="62" t="n">
        <v>1</v>
      </c>
      <c r="P99" s="62" t="n">
        <v>0</v>
      </c>
      <c r="Q99" s="62" t="n">
        <v>0</v>
      </c>
      <c r="R99" s="62" t="n">
        <v>0</v>
      </c>
      <c r="S99" s="62" t="n">
        <v>0</v>
      </c>
      <c r="T99" s="62" t="n">
        <v>0</v>
      </c>
      <c r="U99" s="62"/>
      <c r="V99" s="62"/>
      <c r="W99" s="62"/>
      <c r="X99" s="62"/>
      <c r="Y99" s="62"/>
      <c r="Z99" s="62" t="s">
        <v>383</v>
      </c>
      <c r="AA99" s="62" t="s">
        <v>384</v>
      </c>
      <c r="AB99" s="62" t="n">
        <v>1</v>
      </c>
      <c r="AC99" s="62" t="n">
        <v>0</v>
      </c>
      <c r="AD99" s="62" t="n">
        <v>1</v>
      </c>
      <c r="AE99" s="62" t="n">
        <f aca="false">IF(AND(Dashboard!$C$9="Yes",AC99=1),0,1)</f>
        <v>1</v>
      </c>
      <c r="AF99" s="62" t="n">
        <v>0</v>
      </c>
    </row>
    <row r="100" customFormat="false" ht="15" hidden="false" customHeight="false" outlineLevel="0" collapsed="false">
      <c r="A100" s="62" t="n">
        <v>99</v>
      </c>
      <c r="B100" s="63" t="n">
        <v>46229.0814814815</v>
      </c>
      <c r="C100" s="64" t="n">
        <v>46228</v>
      </c>
      <c r="D100" s="62" t="s">
        <v>358</v>
      </c>
      <c r="E100" s="62" t="s">
        <v>212</v>
      </c>
      <c r="F100" s="62" t="s">
        <v>212</v>
      </c>
      <c r="G100" s="62" t="s">
        <v>213</v>
      </c>
      <c r="H100" s="62" t="s">
        <v>58</v>
      </c>
      <c r="I100" s="62" t="s">
        <v>49</v>
      </c>
      <c r="J100" s="62" t="s">
        <v>146</v>
      </c>
      <c r="K100" s="62" t="s">
        <v>175</v>
      </c>
      <c r="L100" s="62" t="s">
        <v>4</v>
      </c>
      <c r="M100" s="62" t="n">
        <v>1</v>
      </c>
      <c r="N100" s="62" t="n">
        <v>0</v>
      </c>
      <c r="O100" s="62" t="n">
        <v>1</v>
      </c>
      <c r="P100" s="62" t="n">
        <v>0</v>
      </c>
      <c r="Q100" s="62" t="n">
        <v>0</v>
      </c>
      <c r="R100" s="62" t="n">
        <v>0</v>
      </c>
      <c r="S100" s="62" t="n">
        <v>0</v>
      </c>
      <c r="T100" s="62" t="n">
        <v>0</v>
      </c>
      <c r="U100" s="62"/>
      <c r="V100" s="62"/>
      <c r="W100" s="62"/>
      <c r="X100" s="62"/>
      <c r="Y100" s="62"/>
      <c r="Z100" s="62" t="s">
        <v>385</v>
      </c>
      <c r="AA100" s="62" t="s">
        <v>386</v>
      </c>
      <c r="AB100" s="62" t="n">
        <v>1</v>
      </c>
      <c r="AC100" s="62" t="n">
        <v>0</v>
      </c>
      <c r="AD100" s="62" t="n">
        <v>1</v>
      </c>
      <c r="AE100" s="62" t="n">
        <f aca="false">IF(AND(Dashboard!$C$9="Yes",AC100=1),0,1)</f>
        <v>1</v>
      </c>
      <c r="AF100" s="62" t="n">
        <v>0</v>
      </c>
    </row>
    <row r="101" customFormat="false" ht="15" hidden="false" customHeight="false" outlineLevel="0" collapsed="false">
      <c r="A101" s="62" t="n">
        <v>100</v>
      </c>
      <c r="B101" s="63" t="n">
        <v>46229.1018402778</v>
      </c>
      <c r="C101" s="64" t="n">
        <v>46228</v>
      </c>
      <c r="D101" s="62" t="s">
        <v>358</v>
      </c>
      <c r="E101" s="62" t="s">
        <v>255</v>
      </c>
      <c r="F101" s="62" t="s">
        <v>255</v>
      </c>
      <c r="G101" s="62" t="s">
        <v>256</v>
      </c>
      <c r="H101" s="62" t="s">
        <v>57</v>
      </c>
      <c r="I101" s="62" t="s">
        <v>47</v>
      </c>
      <c r="J101" s="62" t="s">
        <v>146</v>
      </c>
      <c r="K101" s="62" t="s">
        <v>147</v>
      </c>
      <c r="L101" s="62" t="s">
        <v>148</v>
      </c>
      <c r="M101" s="62" t="n">
        <v>0</v>
      </c>
      <c r="N101" s="62" t="n">
        <v>1</v>
      </c>
      <c r="O101" s="62" t="n">
        <v>1</v>
      </c>
      <c r="P101" s="62" t="n">
        <v>0</v>
      </c>
      <c r="Q101" s="62" t="n">
        <v>0</v>
      </c>
      <c r="R101" s="62" t="n">
        <v>1</v>
      </c>
      <c r="S101" s="62" t="n">
        <v>0</v>
      </c>
      <c r="T101" s="62" t="n">
        <v>0</v>
      </c>
      <c r="U101" s="62"/>
      <c r="V101" s="62"/>
      <c r="W101" s="62"/>
      <c r="X101" s="62"/>
      <c r="Y101" s="62"/>
      <c r="Z101" s="62" t="s">
        <v>387</v>
      </c>
      <c r="AA101" s="62" t="s">
        <v>388</v>
      </c>
      <c r="AB101" s="62" t="n">
        <v>1</v>
      </c>
      <c r="AC101" s="62" t="n">
        <v>0</v>
      </c>
      <c r="AD101" s="62" t="n">
        <v>1</v>
      </c>
      <c r="AE101" s="62" t="n">
        <f aca="false">IF(AND(Dashboard!$C$9="Yes",AC101=1),0,1)</f>
        <v>1</v>
      </c>
      <c r="AF101" s="62" t="n">
        <v>1</v>
      </c>
    </row>
    <row r="102" customFormat="false" ht="15" hidden="false" customHeight="false" outlineLevel="0" collapsed="false">
      <c r="A102" s="62" t="n">
        <v>101</v>
      </c>
      <c r="B102" s="63" t="n">
        <v>46229.2036458333</v>
      </c>
      <c r="C102" s="64" t="n">
        <v>46228</v>
      </c>
      <c r="D102" s="62" t="s">
        <v>358</v>
      </c>
      <c r="E102" s="62" t="s">
        <v>239</v>
      </c>
      <c r="F102" s="62" t="s">
        <v>240</v>
      </c>
      <c r="G102" s="62" t="s">
        <v>153</v>
      </c>
      <c r="H102" s="62" t="s">
        <v>153</v>
      </c>
      <c r="I102" s="62" t="s">
        <v>153</v>
      </c>
      <c r="J102" s="62" t="s">
        <v>64</v>
      </c>
      <c r="K102" s="62" t="s">
        <v>64</v>
      </c>
      <c r="L102" s="62" t="s">
        <v>148</v>
      </c>
      <c r="M102" s="62" t="n">
        <v>0</v>
      </c>
      <c r="N102" s="62" t="n">
        <v>1</v>
      </c>
      <c r="O102" s="62" t="n">
        <v>1</v>
      </c>
      <c r="P102" s="62" t="n">
        <v>1</v>
      </c>
      <c r="Q102" s="62" t="n">
        <v>0</v>
      </c>
      <c r="R102" s="62" t="n">
        <v>0</v>
      </c>
      <c r="S102" s="62" t="n">
        <v>0</v>
      </c>
      <c r="T102" s="62" t="n">
        <v>0</v>
      </c>
      <c r="U102" s="62"/>
      <c r="V102" s="62"/>
      <c r="W102" s="62"/>
      <c r="X102" s="62"/>
      <c r="Y102" s="62"/>
      <c r="Z102" s="62" t="s">
        <v>389</v>
      </c>
      <c r="AA102" s="62" t="s">
        <v>390</v>
      </c>
      <c r="AB102" s="62" t="n">
        <v>1</v>
      </c>
      <c r="AC102" s="62" t="n">
        <v>0</v>
      </c>
      <c r="AD102" s="62" t="n">
        <v>0</v>
      </c>
      <c r="AE102" s="62" t="n">
        <f aca="false">IF(AND(Dashboard!$C$9="Yes",AC102=1),0,1)</f>
        <v>1</v>
      </c>
      <c r="AF102" s="62" t="n">
        <v>0</v>
      </c>
    </row>
    <row r="103" customFormat="false" ht="15" hidden="false" customHeight="false" outlineLevel="0" collapsed="false">
      <c r="A103" s="62" t="n">
        <v>102</v>
      </c>
      <c r="B103" s="63" t="n">
        <v>46229.2521180556</v>
      </c>
      <c r="C103" s="64" t="n">
        <v>46228</v>
      </c>
      <c r="D103" s="62" t="s">
        <v>358</v>
      </c>
      <c r="E103" s="62" t="s">
        <v>180</v>
      </c>
      <c r="F103" s="62" t="s">
        <v>180</v>
      </c>
      <c r="G103" s="62" t="s">
        <v>181</v>
      </c>
      <c r="H103" s="62" t="s">
        <v>58</v>
      </c>
      <c r="I103" s="62" t="s">
        <v>49</v>
      </c>
      <c r="J103" s="62" t="s">
        <v>146</v>
      </c>
      <c r="K103" s="62" t="s">
        <v>175</v>
      </c>
      <c r="L103" s="62" t="s">
        <v>4</v>
      </c>
      <c r="M103" s="62" t="n">
        <v>1</v>
      </c>
      <c r="N103" s="62" t="n">
        <v>0</v>
      </c>
      <c r="O103" s="62" t="n">
        <v>1</v>
      </c>
      <c r="P103" s="62" t="n">
        <v>0</v>
      </c>
      <c r="Q103" s="62" t="n">
        <v>0</v>
      </c>
      <c r="R103" s="62" t="n">
        <v>0</v>
      </c>
      <c r="S103" s="62" t="n">
        <v>0</v>
      </c>
      <c r="T103" s="62" t="n">
        <v>0</v>
      </c>
      <c r="U103" s="62"/>
      <c r="V103" s="62"/>
      <c r="W103" s="62"/>
      <c r="X103" s="62"/>
      <c r="Y103" s="62"/>
      <c r="Z103" s="62" t="s">
        <v>391</v>
      </c>
      <c r="AA103" s="62" t="s">
        <v>392</v>
      </c>
      <c r="AB103" s="62" t="n">
        <v>1</v>
      </c>
      <c r="AC103" s="62" t="n">
        <v>0</v>
      </c>
      <c r="AD103" s="62" t="n">
        <v>1</v>
      </c>
      <c r="AE103" s="62" t="n">
        <f aca="false">IF(AND(Dashboard!$C$9="Yes",AC103=1),0,1)</f>
        <v>1</v>
      </c>
      <c r="AF103" s="62" t="n">
        <v>0</v>
      </c>
    </row>
    <row r="104" customFormat="false" ht="15" hidden="false" customHeight="false" outlineLevel="0" collapsed="false">
      <c r="A104" s="62" t="n">
        <v>103</v>
      </c>
      <c r="B104" s="63" t="n">
        <v>46229.6783333333</v>
      </c>
      <c r="C104" s="64" t="n">
        <v>46229</v>
      </c>
      <c r="D104" s="62" t="s">
        <v>393</v>
      </c>
      <c r="E104" s="62" t="s">
        <v>207</v>
      </c>
      <c r="F104" s="62" t="s">
        <v>207</v>
      </c>
      <c r="G104" s="62" t="s">
        <v>208</v>
      </c>
      <c r="H104" s="62" t="s">
        <v>48</v>
      </c>
      <c r="I104" s="62" t="s">
        <v>49</v>
      </c>
      <c r="J104" s="62" t="s">
        <v>146</v>
      </c>
      <c r="K104" s="62" t="s">
        <v>209</v>
      </c>
      <c r="L104" s="62" t="s">
        <v>148</v>
      </c>
      <c r="M104" s="62" t="n">
        <v>0</v>
      </c>
      <c r="N104" s="62" t="n">
        <v>1</v>
      </c>
      <c r="O104" s="62" t="n">
        <v>1</v>
      </c>
      <c r="P104" s="62" t="n">
        <v>0</v>
      </c>
      <c r="Q104" s="62" t="n">
        <v>1</v>
      </c>
      <c r="R104" s="62" t="n">
        <v>0</v>
      </c>
      <c r="S104" s="62" t="n">
        <v>0</v>
      </c>
      <c r="T104" s="62" t="n">
        <v>0</v>
      </c>
      <c r="U104" s="62"/>
      <c r="V104" s="62"/>
      <c r="W104" s="62"/>
      <c r="X104" s="62"/>
      <c r="Y104" s="62"/>
      <c r="Z104" s="62" t="s">
        <v>394</v>
      </c>
      <c r="AA104" s="62" t="s">
        <v>395</v>
      </c>
      <c r="AB104" s="62" t="n">
        <v>1</v>
      </c>
      <c r="AC104" s="62" t="n">
        <v>0</v>
      </c>
      <c r="AD104" s="62" t="n">
        <v>1</v>
      </c>
      <c r="AE104" s="62" t="n">
        <f aca="false">IF(AND(Dashboard!$C$9="Yes",AC104=1),0,1)</f>
        <v>1</v>
      </c>
      <c r="AF104" s="62" t="n">
        <v>1</v>
      </c>
    </row>
    <row r="105" customFormat="false" ht="15" hidden="false" customHeight="false" outlineLevel="0" collapsed="false">
      <c r="A105" s="62" t="n">
        <v>104</v>
      </c>
      <c r="B105" s="63" t="n">
        <v>46229.7722685185</v>
      </c>
      <c r="C105" s="64" t="n">
        <v>46229</v>
      </c>
      <c r="D105" s="62" t="s">
        <v>393</v>
      </c>
      <c r="E105" s="62" t="s">
        <v>273</v>
      </c>
      <c r="F105" s="62" t="s">
        <v>273</v>
      </c>
      <c r="G105" s="62" t="s">
        <v>274</v>
      </c>
      <c r="H105" s="62" t="s">
        <v>59</v>
      </c>
      <c r="I105" s="62" t="s">
        <v>47</v>
      </c>
      <c r="J105" s="62" t="s">
        <v>146</v>
      </c>
      <c r="K105" s="62" t="s">
        <v>147</v>
      </c>
      <c r="L105" s="62" t="s">
        <v>148</v>
      </c>
      <c r="M105" s="62" t="n">
        <v>0</v>
      </c>
      <c r="N105" s="62" t="n">
        <v>1</v>
      </c>
      <c r="O105" s="62" t="n">
        <v>1</v>
      </c>
      <c r="P105" s="62" t="n">
        <v>1</v>
      </c>
      <c r="Q105" s="62" t="n">
        <v>0</v>
      </c>
      <c r="R105" s="62" t="n">
        <v>0</v>
      </c>
      <c r="S105" s="62" t="n">
        <v>0</v>
      </c>
      <c r="T105" s="62" t="n">
        <v>0</v>
      </c>
      <c r="U105" s="62"/>
      <c r="V105" s="62"/>
      <c r="W105" s="62"/>
      <c r="X105" s="62"/>
      <c r="Y105" s="62"/>
      <c r="Z105" s="62" t="s">
        <v>396</v>
      </c>
      <c r="AA105" s="62" t="s">
        <v>397</v>
      </c>
      <c r="AB105" s="62" t="n">
        <v>1</v>
      </c>
      <c r="AC105" s="62" t="n">
        <v>0</v>
      </c>
      <c r="AD105" s="62" t="n">
        <v>1</v>
      </c>
      <c r="AE105" s="62" t="n">
        <f aca="false">IF(AND(Dashboard!$C$9="Yes",AC105=1),0,1)</f>
        <v>1</v>
      </c>
      <c r="AF105" s="62" t="n">
        <v>1</v>
      </c>
    </row>
    <row r="106" customFormat="false" ht="15" hidden="false" customHeight="false" outlineLevel="0" collapsed="false">
      <c r="A106" s="62" t="n">
        <v>105</v>
      </c>
      <c r="B106" s="63" t="n">
        <v>46229.772662037</v>
      </c>
      <c r="C106" s="64" t="n">
        <v>46229</v>
      </c>
      <c r="D106" s="62" t="s">
        <v>393</v>
      </c>
      <c r="E106" s="62" t="s">
        <v>273</v>
      </c>
      <c r="F106" s="62" t="s">
        <v>273</v>
      </c>
      <c r="G106" s="62" t="s">
        <v>274</v>
      </c>
      <c r="H106" s="62" t="s">
        <v>59</v>
      </c>
      <c r="I106" s="62" t="s">
        <v>47</v>
      </c>
      <c r="J106" s="62" t="s">
        <v>146</v>
      </c>
      <c r="K106" s="62" t="s">
        <v>147</v>
      </c>
      <c r="L106" s="62" t="s">
        <v>148</v>
      </c>
      <c r="M106" s="62" t="n">
        <v>0</v>
      </c>
      <c r="N106" s="62" t="n">
        <v>1</v>
      </c>
      <c r="O106" s="62" t="n">
        <v>1</v>
      </c>
      <c r="P106" s="62" t="n">
        <v>0</v>
      </c>
      <c r="Q106" s="62" t="n">
        <v>1</v>
      </c>
      <c r="R106" s="62" t="n">
        <v>0</v>
      </c>
      <c r="S106" s="62" t="n">
        <v>0</v>
      </c>
      <c r="T106" s="62" t="n">
        <v>0</v>
      </c>
      <c r="U106" s="62"/>
      <c r="V106" s="62"/>
      <c r="W106" s="62"/>
      <c r="X106" s="62"/>
      <c r="Y106" s="62"/>
      <c r="Z106" s="62" t="s">
        <v>396</v>
      </c>
      <c r="AA106" s="62" t="s">
        <v>397</v>
      </c>
      <c r="AB106" s="62" t="n">
        <v>1</v>
      </c>
      <c r="AC106" s="62" t="n">
        <v>1</v>
      </c>
      <c r="AD106" s="62" t="n">
        <v>1</v>
      </c>
      <c r="AE106" s="62" t="n">
        <f aca="false">IF(AND(Dashboard!$C$9="Yes",AC106=1),0,1)</f>
        <v>0</v>
      </c>
      <c r="AF106" s="62" t="n">
        <v>0</v>
      </c>
    </row>
    <row r="107" customFormat="false" ht="15" hidden="false" customHeight="false" outlineLevel="0" collapsed="false">
      <c r="A107" s="62" t="n">
        <v>106</v>
      </c>
      <c r="B107" s="63" t="n">
        <v>46229.7798611111</v>
      </c>
      <c r="C107" s="64" t="n">
        <v>46229</v>
      </c>
      <c r="D107" s="62" t="s">
        <v>393</v>
      </c>
      <c r="E107" s="62" t="s">
        <v>212</v>
      </c>
      <c r="F107" s="62" t="s">
        <v>212</v>
      </c>
      <c r="G107" s="62" t="s">
        <v>213</v>
      </c>
      <c r="H107" s="62" t="s">
        <v>58</v>
      </c>
      <c r="I107" s="62" t="s">
        <v>49</v>
      </c>
      <c r="J107" s="62" t="s">
        <v>146</v>
      </c>
      <c r="K107" s="62" t="s">
        <v>175</v>
      </c>
      <c r="L107" s="62" t="s">
        <v>148</v>
      </c>
      <c r="M107" s="62" t="n">
        <v>0</v>
      </c>
      <c r="N107" s="62" t="n">
        <v>2</v>
      </c>
      <c r="O107" s="62" t="n">
        <v>2</v>
      </c>
      <c r="P107" s="62" t="n">
        <v>1</v>
      </c>
      <c r="Q107" s="62" t="n">
        <v>1</v>
      </c>
      <c r="R107" s="62" t="n">
        <v>0</v>
      </c>
      <c r="S107" s="62" t="n">
        <v>0</v>
      </c>
      <c r="T107" s="62" t="n">
        <v>0</v>
      </c>
      <c r="U107" s="62"/>
      <c r="V107" s="62"/>
      <c r="W107" s="62"/>
      <c r="X107" s="62"/>
      <c r="Y107" s="62"/>
      <c r="Z107" s="62" t="s">
        <v>398</v>
      </c>
      <c r="AA107" s="62" t="s">
        <v>399</v>
      </c>
      <c r="AB107" s="62" t="n">
        <v>1</v>
      </c>
      <c r="AC107" s="62" t="n">
        <v>0</v>
      </c>
      <c r="AD107" s="62" t="n">
        <v>1</v>
      </c>
      <c r="AE107" s="62" t="n">
        <f aca="false">IF(AND(Dashboard!$C$9="Yes",AC107=1),0,1)</f>
        <v>1</v>
      </c>
      <c r="AF107" s="62" t="n">
        <v>1</v>
      </c>
    </row>
    <row r="108" customFormat="false" ht="15" hidden="false" customHeight="false" outlineLevel="0" collapsed="false">
      <c r="A108" s="62" t="n">
        <v>107</v>
      </c>
      <c r="B108" s="63" t="n">
        <v>46229.8604513889</v>
      </c>
      <c r="C108" s="64" t="n">
        <v>46229</v>
      </c>
      <c r="D108" s="62" t="s">
        <v>393</v>
      </c>
      <c r="E108" s="62" t="s">
        <v>207</v>
      </c>
      <c r="F108" s="62" t="s">
        <v>207</v>
      </c>
      <c r="G108" s="62" t="s">
        <v>208</v>
      </c>
      <c r="H108" s="62" t="s">
        <v>48</v>
      </c>
      <c r="I108" s="62" t="s">
        <v>49</v>
      </c>
      <c r="J108" s="62" t="s">
        <v>146</v>
      </c>
      <c r="K108" s="62" t="s">
        <v>209</v>
      </c>
      <c r="L108" s="62" t="s">
        <v>4</v>
      </c>
      <c r="M108" s="62" t="n">
        <v>1</v>
      </c>
      <c r="N108" s="62" t="n">
        <v>0</v>
      </c>
      <c r="O108" s="62" t="n">
        <v>1</v>
      </c>
      <c r="P108" s="62" t="n">
        <v>0</v>
      </c>
      <c r="Q108" s="62" t="n">
        <v>0</v>
      </c>
      <c r="R108" s="62" t="n">
        <v>0</v>
      </c>
      <c r="S108" s="62" t="n">
        <v>0</v>
      </c>
      <c r="T108" s="62" t="n">
        <v>0</v>
      </c>
      <c r="U108" s="62"/>
      <c r="V108" s="62"/>
      <c r="W108" s="62"/>
      <c r="X108" s="62"/>
      <c r="Y108" s="62"/>
      <c r="Z108" s="62" t="s">
        <v>400</v>
      </c>
      <c r="AA108" s="62" t="s">
        <v>401</v>
      </c>
      <c r="AB108" s="62" t="n">
        <v>1</v>
      </c>
      <c r="AC108" s="62" t="n">
        <v>0</v>
      </c>
      <c r="AD108" s="62" t="n">
        <v>1</v>
      </c>
      <c r="AE108" s="62" t="n">
        <f aca="false">IF(AND(Dashboard!$C$9="Yes",AC108=1),0,1)</f>
        <v>1</v>
      </c>
      <c r="AF108" s="62" t="n">
        <v>0</v>
      </c>
    </row>
    <row r="109" customFormat="false" ht="15" hidden="false" customHeight="false" outlineLevel="0" collapsed="false">
      <c r="A109" s="62" t="n">
        <v>108</v>
      </c>
      <c r="B109" s="63" t="n">
        <v>46229.9396759259</v>
      </c>
      <c r="C109" s="64" t="n">
        <v>46229</v>
      </c>
      <c r="D109" s="62" t="s">
        <v>393</v>
      </c>
      <c r="E109" s="62" t="s">
        <v>255</v>
      </c>
      <c r="F109" s="62" t="s">
        <v>255</v>
      </c>
      <c r="G109" s="62" t="s">
        <v>256</v>
      </c>
      <c r="H109" s="62" t="s">
        <v>57</v>
      </c>
      <c r="I109" s="62" t="s">
        <v>47</v>
      </c>
      <c r="J109" s="62" t="s">
        <v>146</v>
      </c>
      <c r="K109" s="62" t="s">
        <v>147</v>
      </c>
      <c r="L109" s="62" t="s">
        <v>148</v>
      </c>
      <c r="M109" s="62" t="n">
        <v>0</v>
      </c>
      <c r="N109" s="62" t="n">
        <v>1</v>
      </c>
      <c r="O109" s="62" t="n">
        <v>1</v>
      </c>
      <c r="P109" s="62" t="n">
        <v>1</v>
      </c>
      <c r="Q109" s="62" t="n">
        <v>0</v>
      </c>
      <c r="R109" s="62" t="n">
        <v>0</v>
      </c>
      <c r="S109" s="62" t="n">
        <v>0</v>
      </c>
      <c r="T109" s="62" t="n">
        <v>0</v>
      </c>
      <c r="U109" s="62"/>
      <c r="V109" s="62"/>
      <c r="W109" s="62"/>
      <c r="X109" s="62"/>
      <c r="Y109" s="62"/>
      <c r="Z109" s="62" t="s">
        <v>402</v>
      </c>
      <c r="AA109" s="62" t="s">
        <v>403</v>
      </c>
      <c r="AB109" s="62" t="n">
        <v>1</v>
      </c>
      <c r="AC109" s="62" t="n">
        <v>0</v>
      </c>
      <c r="AD109" s="62" t="n">
        <v>1</v>
      </c>
      <c r="AE109" s="62" t="n">
        <f aca="false">IF(AND(Dashboard!$C$9="Yes",AC109=1),0,1)</f>
        <v>1</v>
      </c>
      <c r="AF109" s="62" t="n">
        <v>1</v>
      </c>
    </row>
    <row r="110" customFormat="false" ht="15" hidden="false" customHeight="false" outlineLevel="0" collapsed="false">
      <c r="A110" s="62" t="n">
        <v>109</v>
      </c>
      <c r="B110" s="63" t="n">
        <v>46229.9397800926</v>
      </c>
      <c r="C110" s="64" t="n">
        <v>46229</v>
      </c>
      <c r="D110" s="62" t="s">
        <v>393</v>
      </c>
      <c r="E110" s="62" t="s">
        <v>173</v>
      </c>
      <c r="F110" s="62" t="s">
        <v>173</v>
      </c>
      <c r="G110" s="62" t="s">
        <v>174</v>
      </c>
      <c r="H110" s="62" t="s">
        <v>58</v>
      </c>
      <c r="I110" s="62" t="s">
        <v>49</v>
      </c>
      <c r="J110" s="62" t="s">
        <v>146</v>
      </c>
      <c r="K110" s="62" t="s">
        <v>175</v>
      </c>
      <c r="L110" s="62" t="s">
        <v>148</v>
      </c>
      <c r="M110" s="62" t="n">
        <v>0</v>
      </c>
      <c r="N110" s="62" t="n">
        <v>1</v>
      </c>
      <c r="O110" s="62" t="n">
        <v>1</v>
      </c>
      <c r="P110" s="62" t="n">
        <v>1</v>
      </c>
      <c r="Q110" s="62" t="n">
        <v>0</v>
      </c>
      <c r="R110" s="62" t="n">
        <v>0</v>
      </c>
      <c r="S110" s="62" t="n">
        <v>0</v>
      </c>
      <c r="T110" s="62" t="n">
        <v>0</v>
      </c>
      <c r="U110" s="62"/>
      <c r="V110" s="62"/>
      <c r="W110" s="62"/>
      <c r="X110" s="62"/>
      <c r="Y110" s="62"/>
      <c r="Z110" s="62" t="s">
        <v>404</v>
      </c>
      <c r="AA110" s="62" t="s">
        <v>405</v>
      </c>
      <c r="AB110" s="62" t="n">
        <v>1</v>
      </c>
      <c r="AC110" s="62" t="n">
        <v>0</v>
      </c>
      <c r="AD110" s="62" t="n">
        <v>1</v>
      </c>
      <c r="AE110" s="62" t="n">
        <f aca="false">IF(AND(Dashboard!$C$9="Yes",AC110=1),0,1)</f>
        <v>1</v>
      </c>
      <c r="AF110" s="62" t="n">
        <v>1</v>
      </c>
    </row>
    <row r="111" customFormat="false" ht="15" hidden="false" customHeight="false" outlineLevel="0" collapsed="false">
      <c r="A111" s="62" t="n">
        <v>110</v>
      </c>
      <c r="B111" s="63" t="n">
        <v>46229.9484027778</v>
      </c>
      <c r="C111" s="64" t="n">
        <v>46229</v>
      </c>
      <c r="D111" s="62" t="s">
        <v>393</v>
      </c>
      <c r="E111" s="62" t="s">
        <v>207</v>
      </c>
      <c r="F111" s="62" t="s">
        <v>207</v>
      </c>
      <c r="G111" s="62" t="s">
        <v>208</v>
      </c>
      <c r="H111" s="62" t="s">
        <v>48</v>
      </c>
      <c r="I111" s="62" t="s">
        <v>49</v>
      </c>
      <c r="J111" s="62" t="s">
        <v>146</v>
      </c>
      <c r="K111" s="62" t="s">
        <v>209</v>
      </c>
      <c r="L111" s="62" t="s">
        <v>148</v>
      </c>
      <c r="M111" s="62" t="n">
        <v>0</v>
      </c>
      <c r="N111" s="62" t="n">
        <v>1</v>
      </c>
      <c r="O111" s="62" t="n">
        <v>1</v>
      </c>
      <c r="P111" s="62" t="n">
        <v>0</v>
      </c>
      <c r="Q111" s="62" t="n">
        <v>0</v>
      </c>
      <c r="R111" s="62" t="n">
        <v>1</v>
      </c>
      <c r="S111" s="62" t="n">
        <v>0</v>
      </c>
      <c r="T111" s="62" t="n">
        <v>0</v>
      </c>
      <c r="U111" s="62"/>
      <c r="V111" s="62"/>
      <c r="W111" s="62"/>
      <c r="X111" s="62"/>
      <c r="Y111" s="62"/>
      <c r="Z111" s="62" t="s">
        <v>406</v>
      </c>
      <c r="AA111" s="62" t="s">
        <v>407</v>
      </c>
      <c r="AB111" s="62" t="n">
        <v>1</v>
      </c>
      <c r="AC111" s="62" t="n">
        <v>0</v>
      </c>
      <c r="AD111" s="62" t="n">
        <v>1</v>
      </c>
      <c r="AE111" s="62" t="n">
        <f aca="false">IF(AND(Dashboard!$C$9="Yes",AC111=1),0,1)</f>
        <v>1</v>
      </c>
      <c r="AF111" s="62" t="n">
        <v>0</v>
      </c>
    </row>
    <row r="112" customFormat="false" ht="15" hidden="false" customHeight="false" outlineLevel="0" collapsed="false">
      <c r="A112" s="62" t="n">
        <v>111</v>
      </c>
      <c r="B112" s="63" t="n">
        <v>46229.9950810185</v>
      </c>
      <c r="C112" s="64" t="n">
        <v>46229</v>
      </c>
      <c r="D112" s="62" t="s">
        <v>393</v>
      </c>
      <c r="E112" s="62" t="s">
        <v>180</v>
      </c>
      <c r="F112" s="62" t="s">
        <v>180</v>
      </c>
      <c r="G112" s="62" t="s">
        <v>181</v>
      </c>
      <c r="H112" s="62" t="s">
        <v>58</v>
      </c>
      <c r="I112" s="62" t="s">
        <v>49</v>
      </c>
      <c r="J112" s="62" t="s">
        <v>146</v>
      </c>
      <c r="K112" s="62" t="s">
        <v>175</v>
      </c>
      <c r="L112" s="62" t="s">
        <v>4</v>
      </c>
      <c r="M112" s="62" t="n">
        <v>1</v>
      </c>
      <c r="N112" s="62" t="n">
        <v>0</v>
      </c>
      <c r="O112" s="62" t="n">
        <v>1</v>
      </c>
      <c r="P112" s="62" t="n">
        <v>0</v>
      </c>
      <c r="Q112" s="62" t="n">
        <v>0</v>
      </c>
      <c r="R112" s="62" t="n">
        <v>0</v>
      </c>
      <c r="S112" s="62" t="n">
        <v>0</v>
      </c>
      <c r="T112" s="62" t="n">
        <v>0</v>
      </c>
      <c r="U112" s="62"/>
      <c r="V112" s="62"/>
      <c r="W112" s="62"/>
      <c r="X112" s="62"/>
      <c r="Y112" s="62"/>
      <c r="Z112" s="62" t="s">
        <v>408</v>
      </c>
      <c r="AA112" s="62" t="s">
        <v>409</v>
      </c>
      <c r="AB112" s="62" t="n">
        <v>1</v>
      </c>
      <c r="AC112" s="62" t="n">
        <v>0</v>
      </c>
      <c r="AD112" s="62" t="n">
        <v>1</v>
      </c>
      <c r="AE112" s="62" t="n">
        <f aca="false">IF(AND(Dashboard!$C$9="Yes",AC112=1),0,1)</f>
        <v>1</v>
      </c>
      <c r="AF112" s="62" t="n">
        <v>1</v>
      </c>
    </row>
    <row r="113" customFormat="false" ht="15" hidden="false" customHeight="false" outlineLevel="0" collapsed="false">
      <c r="A113" s="62" t="n">
        <v>112</v>
      </c>
      <c r="B113" s="63" t="n">
        <v>46229.9953125</v>
      </c>
      <c r="C113" s="64" t="n">
        <v>46229</v>
      </c>
      <c r="D113" s="62" t="s">
        <v>393</v>
      </c>
      <c r="E113" s="62" t="s">
        <v>180</v>
      </c>
      <c r="F113" s="62" t="s">
        <v>180</v>
      </c>
      <c r="G113" s="62" t="s">
        <v>181</v>
      </c>
      <c r="H113" s="62" t="s">
        <v>58</v>
      </c>
      <c r="I113" s="62" t="s">
        <v>49</v>
      </c>
      <c r="J113" s="62" t="s">
        <v>146</v>
      </c>
      <c r="K113" s="62" t="s">
        <v>175</v>
      </c>
      <c r="L113" s="62" t="s">
        <v>148</v>
      </c>
      <c r="M113" s="62" t="n">
        <v>0</v>
      </c>
      <c r="N113" s="62" t="n">
        <v>1</v>
      </c>
      <c r="O113" s="62" t="n">
        <v>1</v>
      </c>
      <c r="P113" s="62" t="n">
        <v>0</v>
      </c>
      <c r="Q113" s="62" t="n">
        <v>0</v>
      </c>
      <c r="R113" s="62" t="n">
        <v>0</v>
      </c>
      <c r="S113" s="62" t="n">
        <v>0</v>
      </c>
      <c r="T113" s="62" t="n">
        <v>1</v>
      </c>
      <c r="U113" s="62"/>
      <c r="V113" s="62"/>
      <c r="W113" s="62"/>
      <c r="X113" s="62"/>
      <c r="Y113" s="62"/>
      <c r="Z113" s="62" t="s">
        <v>408</v>
      </c>
      <c r="AA113" s="62" t="s">
        <v>409</v>
      </c>
      <c r="AB113" s="62" t="n">
        <v>1</v>
      </c>
      <c r="AC113" s="62" t="n">
        <v>0</v>
      </c>
      <c r="AD113" s="62" t="n">
        <v>1</v>
      </c>
      <c r="AE113" s="62" t="n">
        <f aca="false">IF(AND(Dashboard!$C$9="Yes",AC113=1),0,1)</f>
        <v>1</v>
      </c>
      <c r="AF113" s="62" t="n">
        <v>0</v>
      </c>
    </row>
    <row r="114" customFormat="false" ht="15" hidden="false" customHeight="false" outlineLevel="0" collapsed="false">
      <c r="A114" s="62" t="n">
        <v>113</v>
      </c>
      <c r="B114" s="63" t="n">
        <v>46230.0067476852</v>
      </c>
      <c r="C114" s="64" t="n">
        <v>46229</v>
      </c>
      <c r="D114" s="62" t="s">
        <v>393</v>
      </c>
      <c r="E114" s="62" t="s">
        <v>173</v>
      </c>
      <c r="F114" s="62" t="s">
        <v>173</v>
      </c>
      <c r="G114" s="62" t="s">
        <v>174</v>
      </c>
      <c r="H114" s="62" t="s">
        <v>58</v>
      </c>
      <c r="I114" s="62" t="s">
        <v>49</v>
      </c>
      <c r="J114" s="62" t="s">
        <v>146</v>
      </c>
      <c r="K114" s="62" t="s">
        <v>175</v>
      </c>
      <c r="L114" s="62" t="s">
        <v>148</v>
      </c>
      <c r="M114" s="62" t="n">
        <v>0</v>
      </c>
      <c r="N114" s="62" t="n">
        <v>1</v>
      </c>
      <c r="O114" s="62" t="n">
        <v>1</v>
      </c>
      <c r="P114" s="62" t="n">
        <v>1</v>
      </c>
      <c r="Q114" s="62" t="n">
        <v>0</v>
      </c>
      <c r="R114" s="62" t="n">
        <v>0</v>
      </c>
      <c r="S114" s="62" t="n">
        <v>0</v>
      </c>
      <c r="T114" s="62" t="n">
        <v>0</v>
      </c>
      <c r="U114" s="62"/>
      <c r="V114" s="62"/>
      <c r="W114" s="62"/>
      <c r="X114" s="62"/>
      <c r="Y114" s="62"/>
      <c r="Z114" s="62" t="s">
        <v>410</v>
      </c>
      <c r="AA114" s="62" t="s">
        <v>411</v>
      </c>
      <c r="AB114" s="62" t="n">
        <v>1</v>
      </c>
      <c r="AC114" s="62" t="n">
        <v>0</v>
      </c>
      <c r="AD114" s="62" t="n">
        <v>1</v>
      </c>
      <c r="AE114" s="62" t="n">
        <f aca="false">IF(AND(Dashboard!$C$9="Yes",AC114=1),0,1)</f>
        <v>1</v>
      </c>
      <c r="AF114" s="62" t="n">
        <v>0</v>
      </c>
    </row>
    <row r="115" customFormat="false" ht="15" hidden="false" customHeight="false" outlineLevel="0" collapsed="false">
      <c r="A115" s="62" t="n">
        <v>114</v>
      </c>
      <c r="B115" s="63" t="n">
        <v>46230.0271759259</v>
      </c>
      <c r="C115" s="64" t="n">
        <v>46229</v>
      </c>
      <c r="D115" s="62" t="s">
        <v>393</v>
      </c>
      <c r="E115" s="62" t="s">
        <v>207</v>
      </c>
      <c r="F115" s="62" t="s">
        <v>207</v>
      </c>
      <c r="G115" s="62" t="s">
        <v>208</v>
      </c>
      <c r="H115" s="62" t="s">
        <v>48</v>
      </c>
      <c r="I115" s="62" t="s">
        <v>49</v>
      </c>
      <c r="J115" s="62" t="s">
        <v>146</v>
      </c>
      <c r="K115" s="62" t="s">
        <v>209</v>
      </c>
      <c r="L115" s="62" t="s">
        <v>148</v>
      </c>
      <c r="M115" s="62" t="n">
        <v>0</v>
      </c>
      <c r="N115" s="62" t="n">
        <v>1</v>
      </c>
      <c r="O115" s="62" t="n">
        <v>1</v>
      </c>
      <c r="P115" s="62" t="n">
        <v>0</v>
      </c>
      <c r="Q115" s="62" t="n">
        <v>1</v>
      </c>
      <c r="R115" s="62" t="n">
        <v>0</v>
      </c>
      <c r="S115" s="62" t="n">
        <v>0</v>
      </c>
      <c r="T115" s="62" t="n">
        <v>0</v>
      </c>
      <c r="U115" s="62"/>
      <c r="V115" s="62"/>
      <c r="W115" s="62"/>
      <c r="X115" s="62"/>
      <c r="Y115" s="62"/>
      <c r="Z115" s="62" t="s">
        <v>412</v>
      </c>
      <c r="AA115" s="62" t="s">
        <v>413</v>
      </c>
      <c r="AB115" s="62" t="n">
        <v>1</v>
      </c>
      <c r="AC115" s="62" t="n">
        <v>0</v>
      </c>
      <c r="AD115" s="62" t="n">
        <v>1</v>
      </c>
      <c r="AE115" s="62" t="n">
        <f aca="false">IF(AND(Dashboard!$C$9="Yes",AC115=1),0,1)</f>
        <v>1</v>
      </c>
      <c r="AF115" s="62" t="n">
        <v>0</v>
      </c>
    </row>
    <row r="116" customFormat="false" ht="15" hidden="false" customHeight="false" outlineLevel="0" collapsed="false">
      <c r="A116" s="62" t="n">
        <v>115</v>
      </c>
      <c r="B116" s="63" t="n">
        <v>46230.0359837963</v>
      </c>
      <c r="C116" s="64" t="n">
        <v>46229</v>
      </c>
      <c r="D116" s="62" t="s">
        <v>393</v>
      </c>
      <c r="E116" s="62" t="s">
        <v>414</v>
      </c>
      <c r="F116" s="62" t="s">
        <v>414</v>
      </c>
      <c r="G116" s="62" t="s">
        <v>415</v>
      </c>
      <c r="H116" s="62" t="s">
        <v>57</v>
      </c>
      <c r="I116" s="62" t="s">
        <v>47</v>
      </c>
      <c r="J116" s="62" t="s">
        <v>146</v>
      </c>
      <c r="K116" s="62" t="s">
        <v>147</v>
      </c>
      <c r="L116" s="62" t="s">
        <v>148</v>
      </c>
      <c r="M116" s="62" t="n">
        <v>0</v>
      </c>
      <c r="N116" s="62" t="n">
        <v>1</v>
      </c>
      <c r="O116" s="62" t="n">
        <v>1</v>
      </c>
      <c r="P116" s="62" t="n">
        <v>1</v>
      </c>
      <c r="Q116" s="62" t="n">
        <v>0</v>
      </c>
      <c r="R116" s="62" t="n">
        <v>0</v>
      </c>
      <c r="S116" s="62" t="n">
        <v>0</v>
      </c>
      <c r="T116" s="62" t="n">
        <v>0</v>
      </c>
      <c r="U116" s="62"/>
      <c r="V116" s="62"/>
      <c r="W116" s="62"/>
      <c r="X116" s="62"/>
      <c r="Y116" s="62"/>
      <c r="Z116" s="62" t="s">
        <v>416</v>
      </c>
      <c r="AA116" s="62" t="s">
        <v>417</v>
      </c>
      <c r="AB116" s="62" t="n">
        <v>1</v>
      </c>
      <c r="AC116" s="62" t="n">
        <v>0</v>
      </c>
      <c r="AD116" s="62" t="n">
        <v>1</v>
      </c>
      <c r="AE116" s="62" t="n">
        <f aca="false">IF(AND(Dashboard!$C$9="Yes",AC116=1),0,1)</f>
        <v>1</v>
      </c>
      <c r="AF116" s="62" t="n">
        <v>1</v>
      </c>
    </row>
    <row r="117" customFormat="false" ht="15" hidden="false" customHeight="false" outlineLevel="0" collapsed="false">
      <c r="A117" s="62" t="n">
        <v>116</v>
      </c>
      <c r="B117" s="63" t="n">
        <v>46230.0561921296</v>
      </c>
      <c r="C117" s="64" t="n">
        <v>46229</v>
      </c>
      <c r="D117" s="62" t="s">
        <v>393</v>
      </c>
      <c r="E117" s="62" t="s">
        <v>173</v>
      </c>
      <c r="F117" s="62" t="s">
        <v>173</v>
      </c>
      <c r="G117" s="62" t="s">
        <v>174</v>
      </c>
      <c r="H117" s="62" t="s">
        <v>58</v>
      </c>
      <c r="I117" s="62" t="s">
        <v>49</v>
      </c>
      <c r="J117" s="62" t="s">
        <v>146</v>
      </c>
      <c r="K117" s="62" t="s">
        <v>175</v>
      </c>
      <c r="L117" s="62" t="s">
        <v>148</v>
      </c>
      <c r="M117" s="62" t="n">
        <v>0</v>
      </c>
      <c r="N117" s="62" t="n">
        <v>1</v>
      </c>
      <c r="O117" s="62" t="n">
        <v>1</v>
      </c>
      <c r="P117" s="62" t="n">
        <v>0</v>
      </c>
      <c r="Q117" s="62" t="n">
        <v>1</v>
      </c>
      <c r="R117" s="62" t="n">
        <v>0</v>
      </c>
      <c r="S117" s="62" t="n">
        <v>0</v>
      </c>
      <c r="T117" s="62" t="n">
        <v>0</v>
      </c>
      <c r="U117" s="62"/>
      <c r="V117" s="62"/>
      <c r="W117" s="62"/>
      <c r="X117" s="62"/>
      <c r="Y117" s="62"/>
      <c r="Z117" s="62" t="s">
        <v>418</v>
      </c>
      <c r="AA117" s="62" t="s">
        <v>419</v>
      </c>
      <c r="AB117" s="62" t="n">
        <v>1</v>
      </c>
      <c r="AC117" s="62" t="n">
        <v>0</v>
      </c>
      <c r="AD117" s="62" t="n">
        <v>1</v>
      </c>
      <c r="AE117" s="62" t="n">
        <f aca="false">IF(AND(Dashboard!$C$9="Yes",AC117=1),0,1)</f>
        <v>1</v>
      </c>
      <c r="AF117" s="62" t="n">
        <v>0</v>
      </c>
    </row>
    <row r="118" customFormat="false" ht="15" hidden="false" customHeight="false" outlineLevel="0" collapsed="false">
      <c r="A118" s="62" t="n">
        <v>117</v>
      </c>
      <c r="B118" s="63" t="n">
        <v>46230.0639351852</v>
      </c>
      <c r="C118" s="64" t="n">
        <v>46229</v>
      </c>
      <c r="D118" s="62" t="s">
        <v>393</v>
      </c>
      <c r="E118" s="62" t="s">
        <v>173</v>
      </c>
      <c r="F118" s="62" t="s">
        <v>173</v>
      </c>
      <c r="G118" s="62" t="s">
        <v>174</v>
      </c>
      <c r="H118" s="62" t="s">
        <v>58</v>
      </c>
      <c r="I118" s="62" t="s">
        <v>49</v>
      </c>
      <c r="J118" s="62" t="s">
        <v>146</v>
      </c>
      <c r="K118" s="62" t="s">
        <v>175</v>
      </c>
      <c r="L118" s="62" t="s">
        <v>4</v>
      </c>
      <c r="M118" s="62" t="n">
        <v>1</v>
      </c>
      <c r="N118" s="62" t="n">
        <v>0</v>
      </c>
      <c r="O118" s="62" t="n">
        <v>1</v>
      </c>
      <c r="P118" s="62" t="n">
        <v>0</v>
      </c>
      <c r="Q118" s="62" t="n">
        <v>0</v>
      </c>
      <c r="R118" s="62" t="n">
        <v>0</v>
      </c>
      <c r="S118" s="62" t="n">
        <v>0</v>
      </c>
      <c r="T118" s="62" t="n">
        <v>0</v>
      </c>
      <c r="U118" s="62"/>
      <c r="V118" s="62"/>
      <c r="W118" s="62"/>
      <c r="X118" s="62"/>
      <c r="Y118" s="62"/>
      <c r="Z118" s="62" t="s">
        <v>420</v>
      </c>
      <c r="AA118" s="62" t="s">
        <v>421</v>
      </c>
      <c r="AB118" s="62" t="n">
        <v>1</v>
      </c>
      <c r="AC118" s="62" t="n">
        <v>0</v>
      </c>
      <c r="AD118" s="62" t="n">
        <v>1</v>
      </c>
      <c r="AE118" s="62" t="n">
        <f aca="false">IF(AND(Dashboard!$C$9="Yes",AC118=1),0,1)</f>
        <v>1</v>
      </c>
      <c r="AF118" s="62" t="n">
        <v>0</v>
      </c>
    </row>
    <row r="119" customFormat="false" ht="15" hidden="false" customHeight="false" outlineLevel="0" collapsed="false">
      <c r="A119" s="62" t="n">
        <v>118</v>
      </c>
      <c r="B119" s="63" t="n">
        <v>46230.0715972222</v>
      </c>
      <c r="C119" s="64" t="n">
        <v>46229</v>
      </c>
      <c r="D119" s="62" t="s">
        <v>393</v>
      </c>
      <c r="E119" s="62" t="s">
        <v>255</v>
      </c>
      <c r="F119" s="62" t="s">
        <v>255</v>
      </c>
      <c r="G119" s="62" t="s">
        <v>256</v>
      </c>
      <c r="H119" s="62" t="s">
        <v>57</v>
      </c>
      <c r="I119" s="62" t="s">
        <v>47</v>
      </c>
      <c r="J119" s="62" t="s">
        <v>146</v>
      </c>
      <c r="K119" s="62" t="s">
        <v>147</v>
      </c>
      <c r="L119" s="62" t="s">
        <v>148</v>
      </c>
      <c r="M119" s="62" t="n">
        <v>0</v>
      </c>
      <c r="N119" s="62" t="n">
        <v>1</v>
      </c>
      <c r="O119" s="62" t="n">
        <v>1</v>
      </c>
      <c r="P119" s="62" t="n">
        <v>1</v>
      </c>
      <c r="Q119" s="62" t="n">
        <v>0</v>
      </c>
      <c r="R119" s="62" t="n">
        <v>0</v>
      </c>
      <c r="S119" s="62" t="n">
        <v>0</v>
      </c>
      <c r="T119" s="62" t="n">
        <v>0</v>
      </c>
      <c r="U119" s="62"/>
      <c r="V119" s="62"/>
      <c r="W119" s="62"/>
      <c r="X119" s="62"/>
      <c r="Y119" s="62"/>
      <c r="Z119" s="62" t="s">
        <v>422</v>
      </c>
      <c r="AA119" s="62" t="s">
        <v>423</v>
      </c>
      <c r="AB119" s="62" t="n">
        <v>1</v>
      </c>
      <c r="AC119" s="62" t="n">
        <v>0</v>
      </c>
      <c r="AD119" s="62" t="n">
        <v>1</v>
      </c>
      <c r="AE119" s="62" t="n">
        <f aca="false">IF(AND(Dashboard!$C$9="Yes",AC119=1),0,1)</f>
        <v>1</v>
      </c>
      <c r="AF119" s="62" t="n">
        <v>0</v>
      </c>
    </row>
    <row r="120" customFormat="false" ht="15" hidden="false" customHeight="false" outlineLevel="0" collapsed="false">
      <c r="A120" s="62" t="n">
        <v>119</v>
      </c>
      <c r="B120" s="63" t="n">
        <v>46230.1477662037</v>
      </c>
      <c r="C120" s="64" t="n">
        <v>46229</v>
      </c>
      <c r="D120" s="62" t="s">
        <v>393</v>
      </c>
      <c r="E120" s="62" t="s">
        <v>144</v>
      </c>
      <c r="F120" s="62" t="s">
        <v>144</v>
      </c>
      <c r="G120" s="62" t="s">
        <v>145</v>
      </c>
      <c r="H120" s="62" t="s">
        <v>59</v>
      </c>
      <c r="I120" s="62" t="s">
        <v>47</v>
      </c>
      <c r="J120" s="62" t="s">
        <v>146</v>
      </c>
      <c r="K120" s="62" t="s">
        <v>147</v>
      </c>
      <c r="L120" s="62" t="s">
        <v>148</v>
      </c>
      <c r="M120" s="62" t="n">
        <v>0</v>
      </c>
      <c r="N120" s="62" t="n">
        <v>1</v>
      </c>
      <c r="O120" s="62" t="n">
        <v>1</v>
      </c>
      <c r="P120" s="62" t="n">
        <v>1</v>
      </c>
      <c r="Q120" s="62" t="n">
        <v>0</v>
      </c>
      <c r="R120" s="62" t="n">
        <v>0</v>
      </c>
      <c r="S120" s="62" t="n">
        <v>0</v>
      </c>
      <c r="T120" s="62" t="n">
        <v>0</v>
      </c>
      <c r="U120" s="62"/>
      <c r="V120" s="62"/>
      <c r="W120" s="62"/>
      <c r="X120" s="62"/>
      <c r="Y120" s="62"/>
      <c r="Z120" s="62" t="s">
        <v>424</v>
      </c>
      <c r="AA120" s="62" t="s">
        <v>237</v>
      </c>
      <c r="AB120" s="62" t="n">
        <v>0</v>
      </c>
      <c r="AC120" s="62" t="n">
        <v>0</v>
      </c>
      <c r="AD120" s="62" t="n">
        <v>1</v>
      </c>
      <c r="AE120" s="62" t="n">
        <f aca="false">IF(AND(Dashboard!$C$9="Yes",AC120=1),0,1)</f>
        <v>1</v>
      </c>
      <c r="AF120" s="62" t="n">
        <v>1</v>
      </c>
    </row>
    <row r="121" customFormat="false" ht="15" hidden="false" customHeight="false" outlineLevel="0" collapsed="false">
      <c r="A121" s="62" t="n">
        <v>120</v>
      </c>
      <c r="B121" s="63" t="n">
        <v>46230.1723263889</v>
      </c>
      <c r="C121" s="64" t="n">
        <v>46229</v>
      </c>
      <c r="D121" s="62" t="s">
        <v>393</v>
      </c>
      <c r="E121" s="62" t="s">
        <v>144</v>
      </c>
      <c r="F121" s="62" t="s">
        <v>144</v>
      </c>
      <c r="G121" s="62" t="s">
        <v>145</v>
      </c>
      <c r="H121" s="62" t="s">
        <v>59</v>
      </c>
      <c r="I121" s="62" t="s">
        <v>47</v>
      </c>
      <c r="J121" s="62" t="s">
        <v>146</v>
      </c>
      <c r="K121" s="62" t="s">
        <v>147</v>
      </c>
      <c r="L121" s="62" t="s">
        <v>148</v>
      </c>
      <c r="M121" s="62" t="n">
        <v>0</v>
      </c>
      <c r="N121" s="62" t="n">
        <v>2</v>
      </c>
      <c r="O121" s="62" t="n">
        <v>2</v>
      </c>
      <c r="P121" s="62" t="n">
        <v>1</v>
      </c>
      <c r="Q121" s="62" t="n">
        <v>1</v>
      </c>
      <c r="R121" s="62" t="n">
        <v>0</v>
      </c>
      <c r="S121" s="62" t="n">
        <v>0</v>
      </c>
      <c r="T121" s="62" t="n">
        <v>0</v>
      </c>
      <c r="U121" s="62"/>
      <c r="V121" s="62"/>
      <c r="W121" s="62"/>
      <c r="X121" s="62"/>
      <c r="Y121" s="62"/>
      <c r="Z121" s="62" t="s">
        <v>425</v>
      </c>
      <c r="AA121" s="62" t="s">
        <v>150</v>
      </c>
      <c r="AB121" s="62" t="n">
        <v>0</v>
      </c>
      <c r="AC121" s="62" t="n">
        <v>0</v>
      </c>
      <c r="AD121" s="62" t="n">
        <v>1</v>
      </c>
      <c r="AE121" s="62" t="n">
        <f aca="false">IF(AND(Dashboard!$C$9="Yes",AC121=1),0,1)</f>
        <v>1</v>
      </c>
      <c r="AF121" s="62" t="n">
        <v>0</v>
      </c>
    </row>
    <row r="122" customFormat="false" ht="15" hidden="false" customHeight="false" outlineLevel="0" collapsed="false">
      <c r="A122" s="62" t="n">
        <v>121</v>
      </c>
      <c r="B122" s="63" t="n">
        <v>46230.1731944445</v>
      </c>
      <c r="C122" s="64" t="n">
        <v>46229</v>
      </c>
      <c r="D122" s="62" t="s">
        <v>393</v>
      </c>
      <c r="E122" s="62" t="s">
        <v>144</v>
      </c>
      <c r="F122" s="62" t="s">
        <v>144</v>
      </c>
      <c r="G122" s="62" t="s">
        <v>145</v>
      </c>
      <c r="H122" s="62" t="s">
        <v>59</v>
      </c>
      <c r="I122" s="62" t="s">
        <v>47</v>
      </c>
      <c r="J122" s="62" t="s">
        <v>146</v>
      </c>
      <c r="K122" s="62" t="s">
        <v>147</v>
      </c>
      <c r="L122" s="62" t="s">
        <v>148</v>
      </c>
      <c r="M122" s="62" t="n">
        <v>0</v>
      </c>
      <c r="N122" s="62" t="n">
        <v>2</v>
      </c>
      <c r="O122" s="62" t="n">
        <v>2</v>
      </c>
      <c r="P122" s="62" t="n">
        <v>1</v>
      </c>
      <c r="Q122" s="62" t="n">
        <v>1</v>
      </c>
      <c r="R122" s="62" t="n">
        <v>0</v>
      </c>
      <c r="S122" s="62" t="n">
        <v>0</v>
      </c>
      <c r="T122" s="62" t="n">
        <v>0</v>
      </c>
      <c r="U122" s="62"/>
      <c r="V122" s="62"/>
      <c r="W122" s="62"/>
      <c r="X122" s="62"/>
      <c r="Y122" s="62"/>
      <c r="Z122" s="62" t="s">
        <v>425</v>
      </c>
      <c r="AA122" s="62" t="s">
        <v>426</v>
      </c>
      <c r="AB122" s="62" t="n">
        <v>0</v>
      </c>
      <c r="AC122" s="62" t="n">
        <v>0</v>
      </c>
      <c r="AD122" s="62" t="n">
        <v>1</v>
      </c>
      <c r="AE122" s="62" t="n">
        <f aca="false">IF(AND(Dashboard!$C$9="Yes",AC122=1),0,1)</f>
        <v>1</v>
      </c>
      <c r="AF122" s="62" t="n">
        <v>0</v>
      </c>
    </row>
    <row r="123" customFormat="false" ht="15" hidden="false" customHeight="false" outlineLevel="0" collapsed="false">
      <c r="A123" s="62" t="n">
        <v>122</v>
      </c>
      <c r="B123" s="63" t="n">
        <v>46230.1924189815</v>
      </c>
      <c r="C123" s="64" t="n">
        <v>46229</v>
      </c>
      <c r="D123" s="62" t="s">
        <v>393</v>
      </c>
      <c r="E123" s="62" t="s">
        <v>196</v>
      </c>
      <c r="F123" s="62" t="s">
        <v>196</v>
      </c>
      <c r="G123" s="62" t="s">
        <v>197</v>
      </c>
      <c r="H123" s="62" t="s">
        <v>57</v>
      </c>
      <c r="I123" s="62" t="s">
        <v>47</v>
      </c>
      <c r="J123" s="62" t="s">
        <v>146</v>
      </c>
      <c r="K123" s="62" t="s">
        <v>175</v>
      </c>
      <c r="L123" s="62" t="s">
        <v>148</v>
      </c>
      <c r="M123" s="62" t="n">
        <v>0</v>
      </c>
      <c r="N123" s="62" t="n">
        <v>1</v>
      </c>
      <c r="O123" s="62" t="n">
        <v>1</v>
      </c>
      <c r="P123" s="62" t="n">
        <v>0</v>
      </c>
      <c r="Q123" s="62" t="n">
        <v>0</v>
      </c>
      <c r="R123" s="62" t="n">
        <v>1</v>
      </c>
      <c r="S123" s="62" t="n">
        <v>0</v>
      </c>
      <c r="T123" s="62" t="n">
        <v>0</v>
      </c>
      <c r="U123" s="62"/>
      <c r="V123" s="62"/>
      <c r="W123" s="62"/>
      <c r="X123" s="62"/>
      <c r="Y123" s="62"/>
      <c r="Z123" s="62" t="s">
        <v>427</v>
      </c>
      <c r="AA123" s="62" t="s">
        <v>428</v>
      </c>
      <c r="AB123" s="62" t="n">
        <v>1</v>
      </c>
      <c r="AC123" s="62" t="n">
        <v>0</v>
      </c>
      <c r="AD123" s="62" t="n">
        <v>1</v>
      </c>
      <c r="AE123" s="62" t="n">
        <f aca="false">IF(AND(Dashboard!$C$9="Yes",AC123=1),0,1)</f>
        <v>1</v>
      </c>
      <c r="AF123" s="62" t="n">
        <v>1</v>
      </c>
    </row>
    <row r="124" customFormat="false" ht="15" hidden="false" customHeight="false" outlineLevel="0" collapsed="false">
      <c r="A124" s="62" t="n">
        <v>123</v>
      </c>
      <c r="B124" s="63" t="n">
        <v>46230.630625</v>
      </c>
      <c r="C124" s="64" t="n">
        <v>46230</v>
      </c>
      <c r="D124" s="62" t="s">
        <v>429</v>
      </c>
      <c r="E124" s="62" t="s">
        <v>377</v>
      </c>
      <c r="F124" s="62" t="s">
        <v>378</v>
      </c>
      <c r="G124" s="62" t="s">
        <v>153</v>
      </c>
      <c r="H124" s="62" t="s">
        <v>153</v>
      </c>
      <c r="I124" s="62" t="s">
        <v>153</v>
      </c>
      <c r="J124" s="62" t="s">
        <v>64</v>
      </c>
      <c r="K124" s="62" t="s">
        <v>64</v>
      </c>
      <c r="L124" s="62" t="s">
        <v>148</v>
      </c>
      <c r="M124" s="62" t="n">
        <v>0</v>
      </c>
      <c r="N124" s="62" t="n">
        <v>1</v>
      </c>
      <c r="O124" s="62" t="n">
        <v>1</v>
      </c>
      <c r="P124" s="62" t="n">
        <v>1</v>
      </c>
      <c r="Q124" s="62" t="n">
        <v>0</v>
      </c>
      <c r="R124" s="62" t="n">
        <v>0</v>
      </c>
      <c r="S124" s="62" t="n">
        <v>0</v>
      </c>
      <c r="T124" s="62" t="n">
        <v>0</v>
      </c>
      <c r="U124" s="62"/>
      <c r="V124" s="62"/>
      <c r="W124" s="62"/>
      <c r="X124" s="62"/>
      <c r="Y124" s="62"/>
      <c r="Z124" s="62" t="s">
        <v>430</v>
      </c>
      <c r="AA124" s="62" t="s">
        <v>431</v>
      </c>
      <c r="AB124" s="62" t="n">
        <v>1</v>
      </c>
      <c r="AC124" s="62" t="n">
        <v>0</v>
      </c>
      <c r="AD124" s="62" t="n">
        <v>0</v>
      </c>
      <c r="AE124" s="62" t="n">
        <f aca="false">IF(AND(Dashboard!$C$9="Yes",AC124=1),0,1)</f>
        <v>1</v>
      </c>
      <c r="AF124" s="62" t="n">
        <v>1</v>
      </c>
    </row>
    <row r="125" customFormat="false" ht="15" hidden="false" customHeight="false" outlineLevel="0" collapsed="false">
      <c r="A125" s="62" t="n">
        <v>124</v>
      </c>
      <c r="B125" s="63" t="n">
        <v>46230.733587963</v>
      </c>
      <c r="C125" s="64" t="n">
        <v>46230</v>
      </c>
      <c r="D125" s="62" t="s">
        <v>429</v>
      </c>
      <c r="E125" s="62" t="s">
        <v>432</v>
      </c>
      <c r="F125" s="62" t="s">
        <v>433</v>
      </c>
      <c r="G125" s="62" t="s">
        <v>153</v>
      </c>
      <c r="H125" s="62" t="s">
        <v>153</v>
      </c>
      <c r="I125" s="62" t="s">
        <v>153</v>
      </c>
      <c r="J125" s="62" t="s">
        <v>64</v>
      </c>
      <c r="K125" s="62" t="s">
        <v>64</v>
      </c>
      <c r="L125" s="62" t="s">
        <v>148</v>
      </c>
      <c r="M125" s="62" t="n">
        <v>0</v>
      </c>
      <c r="N125" s="62" t="n">
        <v>1</v>
      </c>
      <c r="O125" s="62" t="n">
        <v>1</v>
      </c>
      <c r="P125" s="62" t="n">
        <v>1</v>
      </c>
      <c r="Q125" s="62" t="n">
        <v>0</v>
      </c>
      <c r="R125" s="62" t="n">
        <v>0</v>
      </c>
      <c r="S125" s="62" t="n">
        <v>0</v>
      </c>
      <c r="T125" s="62" t="n">
        <v>0</v>
      </c>
      <c r="U125" s="62"/>
      <c r="V125" s="62"/>
      <c r="W125" s="62"/>
      <c r="X125" s="62"/>
      <c r="Y125" s="62"/>
      <c r="Z125" s="62" t="s">
        <v>434</v>
      </c>
      <c r="AA125" s="62" t="s">
        <v>435</v>
      </c>
      <c r="AB125" s="62" t="n">
        <v>1</v>
      </c>
      <c r="AC125" s="62" t="n">
        <v>0</v>
      </c>
      <c r="AD125" s="62" t="n">
        <v>0</v>
      </c>
      <c r="AE125" s="62" t="n">
        <f aca="false">IF(AND(Dashboard!$C$9="Yes",AC125=1),0,1)</f>
        <v>1</v>
      </c>
      <c r="AF125" s="62" t="n">
        <v>1</v>
      </c>
    </row>
    <row r="126" customFormat="false" ht="15" hidden="false" customHeight="false" outlineLevel="0" collapsed="false">
      <c r="A126" s="62" t="n">
        <v>125</v>
      </c>
      <c r="B126" s="63" t="n">
        <v>46230.7994907407</v>
      </c>
      <c r="C126" s="64" t="n">
        <v>46230</v>
      </c>
      <c r="D126" s="62" t="s">
        <v>429</v>
      </c>
      <c r="E126" s="62" t="s">
        <v>207</v>
      </c>
      <c r="F126" s="62" t="s">
        <v>207</v>
      </c>
      <c r="G126" s="62" t="s">
        <v>208</v>
      </c>
      <c r="H126" s="62" t="s">
        <v>48</v>
      </c>
      <c r="I126" s="62" t="s">
        <v>49</v>
      </c>
      <c r="J126" s="62" t="s">
        <v>146</v>
      </c>
      <c r="K126" s="62" t="s">
        <v>209</v>
      </c>
      <c r="L126" s="62" t="s">
        <v>4</v>
      </c>
      <c r="M126" s="62" t="n">
        <v>1</v>
      </c>
      <c r="N126" s="62" t="n">
        <v>0</v>
      </c>
      <c r="O126" s="62" t="n">
        <v>1</v>
      </c>
      <c r="P126" s="62" t="n">
        <v>0</v>
      </c>
      <c r="Q126" s="62" t="n">
        <v>0</v>
      </c>
      <c r="R126" s="62" t="n">
        <v>0</v>
      </c>
      <c r="S126" s="62" t="n">
        <v>0</v>
      </c>
      <c r="T126" s="62" t="n">
        <v>0</v>
      </c>
      <c r="U126" s="62"/>
      <c r="V126" s="62"/>
      <c r="W126" s="62"/>
      <c r="X126" s="62"/>
      <c r="Y126" s="62"/>
      <c r="Z126" s="62" t="s">
        <v>436</v>
      </c>
      <c r="AA126" s="62" t="s">
        <v>437</v>
      </c>
      <c r="AB126" s="62" t="n">
        <v>1</v>
      </c>
      <c r="AC126" s="62" t="n">
        <v>0</v>
      </c>
      <c r="AD126" s="62" t="n">
        <v>1</v>
      </c>
      <c r="AE126" s="62" t="n">
        <f aca="false">IF(AND(Dashboard!$C$9="Yes",AC126=1),0,1)</f>
        <v>1</v>
      </c>
      <c r="AF126" s="62" t="n">
        <v>1</v>
      </c>
    </row>
    <row r="127" customFormat="false" ht="15" hidden="false" customHeight="false" outlineLevel="0" collapsed="false">
      <c r="A127" s="62" t="n">
        <v>126</v>
      </c>
      <c r="B127" s="63" t="n">
        <v>46230.8036111111</v>
      </c>
      <c r="C127" s="64" t="n">
        <v>46230</v>
      </c>
      <c r="D127" s="62" t="s">
        <v>429</v>
      </c>
      <c r="E127" s="62" t="s">
        <v>151</v>
      </c>
      <c r="F127" s="62" t="s">
        <v>152</v>
      </c>
      <c r="G127" s="62" t="s">
        <v>153</v>
      </c>
      <c r="H127" s="62" t="s">
        <v>153</v>
      </c>
      <c r="I127" s="62" t="s">
        <v>153</v>
      </c>
      <c r="J127" s="62" t="s">
        <v>64</v>
      </c>
      <c r="K127" s="62" t="s">
        <v>64</v>
      </c>
      <c r="L127" s="62" t="s">
        <v>148</v>
      </c>
      <c r="M127" s="62" t="n">
        <v>0</v>
      </c>
      <c r="N127" s="62" t="n">
        <v>1</v>
      </c>
      <c r="O127" s="62" t="n">
        <v>1</v>
      </c>
      <c r="P127" s="62" t="n">
        <v>1</v>
      </c>
      <c r="Q127" s="62" t="n">
        <v>0</v>
      </c>
      <c r="R127" s="62" t="n">
        <v>0</v>
      </c>
      <c r="S127" s="62" t="n">
        <v>0</v>
      </c>
      <c r="T127" s="62" t="n">
        <v>0</v>
      </c>
      <c r="U127" s="62"/>
      <c r="V127" s="62"/>
      <c r="W127" s="62"/>
      <c r="X127" s="62"/>
      <c r="Y127" s="62"/>
      <c r="Z127" s="62" t="s">
        <v>438</v>
      </c>
      <c r="AA127" s="62" t="s">
        <v>337</v>
      </c>
      <c r="AB127" s="62" t="n">
        <v>0</v>
      </c>
      <c r="AC127" s="62" t="n">
        <v>0</v>
      </c>
      <c r="AD127" s="62" t="n">
        <v>0</v>
      </c>
      <c r="AE127" s="62" t="n">
        <f aca="false">IF(AND(Dashboard!$C$9="Yes",AC127=1),0,1)</f>
        <v>1</v>
      </c>
      <c r="AF127" s="62" t="n">
        <v>1</v>
      </c>
    </row>
    <row r="128" customFormat="false" ht="15" hidden="false" customHeight="false" outlineLevel="0" collapsed="false">
      <c r="A128" s="62" t="n">
        <v>127</v>
      </c>
      <c r="B128" s="63" t="n">
        <v>46230.8329513889</v>
      </c>
      <c r="C128" s="64" t="n">
        <v>46230</v>
      </c>
      <c r="D128" s="62" t="s">
        <v>429</v>
      </c>
      <c r="E128" s="62" t="s">
        <v>439</v>
      </c>
      <c r="F128" s="62" t="s">
        <v>439</v>
      </c>
      <c r="G128" s="62" t="s">
        <v>440</v>
      </c>
      <c r="H128" s="62" t="s">
        <v>51</v>
      </c>
      <c r="I128" s="62" t="s">
        <v>47</v>
      </c>
      <c r="J128" s="62" t="s">
        <v>146</v>
      </c>
      <c r="K128" s="62" t="s">
        <v>175</v>
      </c>
      <c r="L128" s="62" t="s">
        <v>148</v>
      </c>
      <c r="M128" s="62" t="n">
        <v>0</v>
      </c>
      <c r="N128" s="62" t="n">
        <v>1</v>
      </c>
      <c r="O128" s="62" t="n">
        <v>1</v>
      </c>
      <c r="P128" s="62" t="n">
        <v>1</v>
      </c>
      <c r="Q128" s="62" t="n">
        <v>0</v>
      </c>
      <c r="R128" s="62" t="n">
        <v>0</v>
      </c>
      <c r="S128" s="62" t="n">
        <v>0</v>
      </c>
      <c r="T128" s="62" t="n">
        <v>0</v>
      </c>
      <c r="U128" s="62"/>
      <c r="V128" s="62"/>
      <c r="W128" s="62"/>
      <c r="X128" s="62"/>
      <c r="Y128" s="62"/>
      <c r="Z128" s="62" t="s">
        <v>441</v>
      </c>
      <c r="AA128" s="62" t="s">
        <v>442</v>
      </c>
      <c r="AB128" s="62" t="n">
        <v>1</v>
      </c>
      <c r="AC128" s="62" t="n">
        <v>0</v>
      </c>
      <c r="AD128" s="62" t="n">
        <v>1</v>
      </c>
      <c r="AE128" s="62" t="n">
        <f aca="false">IF(AND(Dashboard!$C$9="Yes",AC128=1),0,1)</f>
        <v>1</v>
      </c>
      <c r="AF128" s="62" t="n">
        <v>1</v>
      </c>
    </row>
    <row r="129" customFormat="false" ht="15" hidden="false" customHeight="false" outlineLevel="0" collapsed="false">
      <c r="A129" s="62" t="n">
        <v>128</v>
      </c>
      <c r="B129" s="63" t="n">
        <v>46230.874224537</v>
      </c>
      <c r="C129" s="64" t="n">
        <v>46230</v>
      </c>
      <c r="D129" s="62" t="s">
        <v>429</v>
      </c>
      <c r="E129" s="62" t="s">
        <v>439</v>
      </c>
      <c r="F129" s="62" t="s">
        <v>439</v>
      </c>
      <c r="G129" s="62" t="s">
        <v>440</v>
      </c>
      <c r="H129" s="62" t="s">
        <v>51</v>
      </c>
      <c r="I129" s="62" t="s">
        <v>47</v>
      </c>
      <c r="J129" s="62" t="s">
        <v>146</v>
      </c>
      <c r="K129" s="62" t="s">
        <v>175</v>
      </c>
      <c r="L129" s="62" t="s">
        <v>148</v>
      </c>
      <c r="M129" s="62" t="n">
        <v>0</v>
      </c>
      <c r="N129" s="62" t="n">
        <v>1</v>
      </c>
      <c r="O129" s="62" t="n">
        <v>1</v>
      </c>
      <c r="P129" s="62" t="n">
        <v>1</v>
      </c>
      <c r="Q129" s="62" t="n">
        <v>0</v>
      </c>
      <c r="R129" s="62" t="n">
        <v>0</v>
      </c>
      <c r="S129" s="62" t="n">
        <v>0</v>
      </c>
      <c r="T129" s="62" t="n">
        <v>0</v>
      </c>
      <c r="U129" s="62"/>
      <c r="V129" s="62"/>
      <c r="W129" s="62"/>
      <c r="X129" s="62"/>
      <c r="Y129" s="62"/>
      <c r="Z129" s="62" t="s">
        <v>443</v>
      </c>
      <c r="AA129" s="62" t="s">
        <v>444</v>
      </c>
      <c r="AB129" s="62" t="n">
        <v>1</v>
      </c>
      <c r="AC129" s="62" t="n">
        <v>0</v>
      </c>
      <c r="AD129" s="62" t="n">
        <v>1</v>
      </c>
      <c r="AE129" s="62" t="n">
        <f aca="false">IF(AND(Dashboard!$C$9="Yes",AC129=1),0,1)</f>
        <v>1</v>
      </c>
      <c r="AF129" s="62" t="n">
        <v>0</v>
      </c>
    </row>
    <row r="130" customFormat="false" ht="15" hidden="false" customHeight="false" outlineLevel="0" collapsed="false">
      <c r="A130" s="62" t="n">
        <v>129</v>
      </c>
      <c r="B130" s="63" t="n">
        <v>46230.8865625</v>
      </c>
      <c r="C130" s="64" t="n">
        <v>46230</v>
      </c>
      <c r="D130" s="62" t="s">
        <v>429</v>
      </c>
      <c r="E130" s="62" t="s">
        <v>432</v>
      </c>
      <c r="F130" s="62" t="s">
        <v>433</v>
      </c>
      <c r="G130" s="62" t="s">
        <v>153</v>
      </c>
      <c r="H130" s="62" t="s">
        <v>153</v>
      </c>
      <c r="I130" s="62" t="s">
        <v>153</v>
      </c>
      <c r="J130" s="62" t="s">
        <v>64</v>
      </c>
      <c r="K130" s="62" t="s">
        <v>64</v>
      </c>
      <c r="L130" s="62" t="s">
        <v>4</v>
      </c>
      <c r="M130" s="62" t="n">
        <v>1</v>
      </c>
      <c r="N130" s="62" t="n">
        <v>0</v>
      </c>
      <c r="O130" s="62" t="n">
        <v>1</v>
      </c>
      <c r="P130" s="62" t="n">
        <v>0</v>
      </c>
      <c r="Q130" s="62" t="n">
        <v>0</v>
      </c>
      <c r="R130" s="62" t="n">
        <v>0</v>
      </c>
      <c r="S130" s="62" t="n">
        <v>0</v>
      </c>
      <c r="T130" s="62" t="n">
        <v>0</v>
      </c>
      <c r="U130" s="62"/>
      <c r="V130" s="62"/>
      <c r="W130" s="62"/>
      <c r="X130" s="62"/>
      <c r="Y130" s="62"/>
      <c r="Z130" s="62" t="s">
        <v>445</v>
      </c>
      <c r="AA130" s="62" t="s">
        <v>446</v>
      </c>
      <c r="AB130" s="62" t="n">
        <v>1</v>
      </c>
      <c r="AC130" s="62" t="n">
        <v>0</v>
      </c>
      <c r="AD130" s="62" t="n">
        <v>0</v>
      </c>
      <c r="AE130" s="62" t="n">
        <f aca="false">IF(AND(Dashboard!$C$9="Yes",AC130=1),0,1)</f>
        <v>1</v>
      </c>
      <c r="AF130" s="62" t="n">
        <v>0</v>
      </c>
    </row>
    <row r="131" customFormat="false" ht="15" hidden="false" customHeight="false" outlineLevel="0" collapsed="false">
      <c r="A131" s="62" t="n">
        <v>130</v>
      </c>
      <c r="B131" s="63" t="n">
        <v>46230.9181828704</v>
      </c>
      <c r="C131" s="64" t="n">
        <v>46230</v>
      </c>
      <c r="D131" s="62" t="s">
        <v>429</v>
      </c>
      <c r="E131" s="62" t="s">
        <v>203</v>
      </c>
      <c r="F131" s="62" t="s">
        <v>203</v>
      </c>
      <c r="G131" s="62" t="s">
        <v>204</v>
      </c>
      <c r="H131" s="62" t="s">
        <v>51</v>
      </c>
      <c r="I131" s="62" t="s">
        <v>47</v>
      </c>
      <c r="J131" s="62" t="s">
        <v>146</v>
      </c>
      <c r="K131" s="62" t="s">
        <v>147</v>
      </c>
      <c r="L131" s="62" t="s">
        <v>148</v>
      </c>
      <c r="M131" s="62" t="n">
        <v>0</v>
      </c>
      <c r="N131" s="62" t="n">
        <v>2</v>
      </c>
      <c r="O131" s="62" t="n">
        <v>2</v>
      </c>
      <c r="P131" s="62" t="n">
        <v>1</v>
      </c>
      <c r="Q131" s="62" t="n">
        <v>0</v>
      </c>
      <c r="R131" s="62" t="n">
        <v>1</v>
      </c>
      <c r="S131" s="62" t="n">
        <v>0</v>
      </c>
      <c r="T131" s="62" t="n">
        <v>0</v>
      </c>
      <c r="U131" s="62"/>
      <c r="V131" s="62"/>
      <c r="W131" s="62"/>
      <c r="X131" s="62"/>
      <c r="Y131" s="62"/>
      <c r="Z131" s="62" t="s">
        <v>447</v>
      </c>
      <c r="AA131" s="62" t="s">
        <v>448</v>
      </c>
      <c r="AB131" s="62" t="n">
        <v>1</v>
      </c>
      <c r="AC131" s="62" t="n">
        <v>0</v>
      </c>
      <c r="AD131" s="62" t="n">
        <v>1</v>
      </c>
      <c r="AE131" s="62" t="n">
        <f aca="false">IF(AND(Dashboard!$C$9="Yes",AC131=1),0,1)</f>
        <v>1</v>
      </c>
      <c r="AF131" s="62" t="n">
        <v>1</v>
      </c>
    </row>
    <row r="132" customFormat="false" ht="15" hidden="false" customHeight="false" outlineLevel="0" collapsed="false">
      <c r="A132" s="62" t="n">
        <v>131</v>
      </c>
      <c r="B132" s="63" t="n">
        <v>46230.9236226852</v>
      </c>
      <c r="C132" s="64" t="n">
        <v>46230</v>
      </c>
      <c r="D132" s="62" t="s">
        <v>429</v>
      </c>
      <c r="E132" s="62" t="s">
        <v>190</v>
      </c>
      <c r="F132" s="62" t="s">
        <v>191</v>
      </c>
      <c r="G132" s="62" t="s">
        <v>153</v>
      </c>
      <c r="H132" s="62" t="s">
        <v>153</v>
      </c>
      <c r="I132" s="62" t="s">
        <v>153</v>
      </c>
      <c r="J132" s="62" t="s">
        <v>64</v>
      </c>
      <c r="K132" s="62" t="s">
        <v>64</v>
      </c>
      <c r="L132" s="62" t="s">
        <v>148</v>
      </c>
      <c r="M132" s="62" t="n">
        <v>0</v>
      </c>
      <c r="N132" s="62" t="n">
        <v>1</v>
      </c>
      <c r="O132" s="62" t="n">
        <v>1</v>
      </c>
      <c r="P132" s="62" t="n">
        <v>1</v>
      </c>
      <c r="Q132" s="62" t="n">
        <v>0</v>
      </c>
      <c r="R132" s="62" t="n">
        <v>0</v>
      </c>
      <c r="S132" s="62" t="n">
        <v>0</v>
      </c>
      <c r="T132" s="62" t="n">
        <v>0</v>
      </c>
      <c r="U132" s="62"/>
      <c r="V132" s="62"/>
      <c r="W132" s="62"/>
      <c r="X132" s="62"/>
      <c r="Y132" s="62"/>
      <c r="Z132" s="62" t="s">
        <v>449</v>
      </c>
      <c r="AA132" s="62" t="s">
        <v>450</v>
      </c>
      <c r="AB132" s="62" t="n">
        <v>1</v>
      </c>
      <c r="AC132" s="62" t="n">
        <v>0</v>
      </c>
      <c r="AD132" s="62" t="n">
        <v>0</v>
      </c>
      <c r="AE132" s="62" t="n">
        <f aca="false">IF(AND(Dashboard!$C$9="Yes",AC132=1),0,1)</f>
        <v>1</v>
      </c>
      <c r="AF132" s="62" t="n">
        <v>1</v>
      </c>
    </row>
    <row r="133" customFormat="false" ht="15" hidden="false" customHeight="false" outlineLevel="0" collapsed="false">
      <c r="A133" s="62" t="n">
        <v>132</v>
      </c>
      <c r="B133" s="63" t="n">
        <v>46230.9362268519</v>
      </c>
      <c r="C133" s="64" t="n">
        <v>46230</v>
      </c>
      <c r="D133" s="62" t="s">
        <v>429</v>
      </c>
      <c r="E133" s="62" t="s">
        <v>203</v>
      </c>
      <c r="F133" s="62" t="s">
        <v>203</v>
      </c>
      <c r="G133" s="62" t="s">
        <v>204</v>
      </c>
      <c r="H133" s="62" t="s">
        <v>51</v>
      </c>
      <c r="I133" s="62" t="s">
        <v>47</v>
      </c>
      <c r="J133" s="62" t="s">
        <v>146</v>
      </c>
      <c r="K133" s="62" t="s">
        <v>147</v>
      </c>
      <c r="L133" s="62" t="s">
        <v>148</v>
      </c>
      <c r="M133" s="62" t="n">
        <v>0</v>
      </c>
      <c r="N133" s="62" t="n">
        <v>1</v>
      </c>
      <c r="O133" s="62" t="n">
        <v>1</v>
      </c>
      <c r="P133" s="62" t="n">
        <v>1</v>
      </c>
      <c r="Q133" s="62" t="n">
        <v>0</v>
      </c>
      <c r="R133" s="62" t="n">
        <v>0</v>
      </c>
      <c r="S133" s="62" t="n">
        <v>0</v>
      </c>
      <c r="T133" s="62" t="n">
        <v>0</v>
      </c>
      <c r="U133" s="62"/>
      <c r="V133" s="62"/>
      <c r="W133" s="62"/>
      <c r="X133" s="62"/>
      <c r="Y133" s="62"/>
      <c r="Z133" s="62" t="s">
        <v>451</v>
      </c>
      <c r="AA133" s="62" t="s">
        <v>452</v>
      </c>
      <c r="AB133" s="62" t="n">
        <v>1</v>
      </c>
      <c r="AC133" s="62" t="n">
        <v>0</v>
      </c>
      <c r="AD133" s="62" t="n">
        <v>1</v>
      </c>
      <c r="AE133" s="62" t="n">
        <f aca="false">IF(AND(Dashboard!$C$9="Yes",AC133=1),0,1)</f>
        <v>1</v>
      </c>
      <c r="AF133" s="62" t="n">
        <v>0</v>
      </c>
    </row>
    <row r="134" customFormat="false" ht="15" hidden="false" customHeight="false" outlineLevel="0" collapsed="false">
      <c r="A134" s="62" t="n">
        <v>133</v>
      </c>
      <c r="B134" s="63" t="n">
        <v>46230.945787037</v>
      </c>
      <c r="C134" s="64" t="n">
        <v>46230</v>
      </c>
      <c r="D134" s="62" t="s">
        <v>429</v>
      </c>
      <c r="E134" s="62" t="s">
        <v>144</v>
      </c>
      <c r="F134" s="62" t="s">
        <v>144</v>
      </c>
      <c r="G134" s="62" t="s">
        <v>145</v>
      </c>
      <c r="H134" s="62" t="s">
        <v>59</v>
      </c>
      <c r="I134" s="62" t="s">
        <v>47</v>
      </c>
      <c r="J134" s="62" t="s">
        <v>146</v>
      </c>
      <c r="K134" s="62" t="s">
        <v>147</v>
      </c>
      <c r="L134" s="62" t="s">
        <v>148</v>
      </c>
      <c r="M134" s="62" t="n">
        <v>0</v>
      </c>
      <c r="N134" s="62" t="n">
        <v>2</v>
      </c>
      <c r="O134" s="62" t="n">
        <v>2</v>
      </c>
      <c r="P134" s="62" t="n">
        <v>1</v>
      </c>
      <c r="Q134" s="62" t="n">
        <v>1</v>
      </c>
      <c r="R134" s="62" t="n">
        <v>0</v>
      </c>
      <c r="S134" s="62" t="n">
        <v>0</v>
      </c>
      <c r="T134" s="62" t="n">
        <v>0</v>
      </c>
      <c r="U134" s="62"/>
      <c r="V134" s="62"/>
      <c r="W134" s="62"/>
      <c r="X134" s="62"/>
      <c r="Y134" s="62"/>
      <c r="Z134" s="62" t="s">
        <v>453</v>
      </c>
      <c r="AA134" s="62" t="s">
        <v>454</v>
      </c>
      <c r="AB134" s="62" t="n">
        <v>0</v>
      </c>
      <c r="AC134" s="62" t="n">
        <v>0</v>
      </c>
      <c r="AD134" s="62" t="n">
        <v>1</v>
      </c>
      <c r="AE134" s="62" t="n">
        <f aca="false">IF(AND(Dashboard!$C$9="Yes",AC134=1),0,1)</f>
        <v>1</v>
      </c>
      <c r="AF134" s="62" t="n">
        <v>1</v>
      </c>
    </row>
    <row r="135" customFormat="false" ht="15" hidden="false" customHeight="false" outlineLevel="0" collapsed="false">
      <c r="A135" s="62" t="n">
        <v>134</v>
      </c>
      <c r="B135" s="63" t="n">
        <v>46230.9479282407</v>
      </c>
      <c r="C135" s="64" t="n">
        <v>46230</v>
      </c>
      <c r="D135" s="62" t="s">
        <v>429</v>
      </c>
      <c r="E135" s="62" t="s">
        <v>144</v>
      </c>
      <c r="F135" s="62" t="s">
        <v>144</v>
      </c>
      <c r="G135" s="62" t="s">
        <v>145</v>
      </c>
      <c r="H135" s="62" t="s">
        <v>59</v>
      </c>
      <c r="I135" s="62" t="s">
        <v>47</v>
      </c>
      <c r="J135" s="62" t="s">
        <v>146</v>
      </c>
      <c r="K135" s="62" t="s">
        <v>147</v>
      </c>
      <c r="L135" s="62" t="s">
        <v>148</v>
      </c>
      <c r="M135" s="62" t="n">
        <v>0</v>
      </c>
      <c r="N135" s="62" t="n">
        <v>2</v>
      </c>
      <c r="O135" s="62" t="n">
        <v>2</v>
      </c>
      <c r="P135" s="62" t="n">
        <v>1</v>
      </c>
      <c r="Q135" s="62" t="n">
        <v>1</v>
      </c>
      <c r="R135" s="62" t="n">
        <v>0</v>
      </c>
      <c r="S135" s="62" t="n">
        <v>0</v>
      </c>
      <c r="T135" s="62" t="n">
        <v>0</v>
      </c>
      <c r="U135" s="62"/>
      <c r="V135" s="62"/>
      <c r="W135" s="62"/>
      <c r="X135" s="62"/>
      <c r="Y135" s="62"/>
      <c r="Z135" s="62" t="s">
        <v>453</v>
      </c>
      <c r="AA135" s="62" t="s">
        <v>237</v>
      </c>
      <c r="AB135" s="62" t="n">
        <v>0</v>
      </c>
      <c r="AC135" s="62" t="n">
        <v>0</v>
      </c>
      <c r="AD135" s="62" t="n">
        <v>1</v>
      </c>
      <c r="AE135" s="62" t="n">
        <f aca="false">IF(AND(Dashboard!$C$9="Yes",AC135=1),0,1)</f>
        <v>1</v>
      </c>
      <c r="AF135" s="62" t="n">
        <v>0</v>
      </c>
    </row>
    <row r="136" customFormat="false" ht="15" hidden="false" customHeight="false" outlineLevel="0" collapsed="false">
      <c r="A136" s="62" t="n">
        <v>135</v>
      </c>
      <c r="B136" s="63" t="n">
        <v>46230.9631597222</v>
      </c>
      <c r="C136" s="64" t="n">
        <v>46230</v>
      </c>
      <c r="D136" s="62" t="s">
        <v>429</v>
      </c>
      <c r="E136" s="62" t="s">
        <v>414</v>
      </c>
      <c r="F136" s="62" t="s">
        <v>414</v>
      </c>
      <c r="G136" s="62" t="s">
        <v>415</v>
      </c>
      <c r="H136" s="62" t="s">
        <v>57</v>
      </c>
      <c r="I136" s="62" t="s">
        <v>47</v>
      </c>
      <c r="J136" s="62" t="s">
        <v>146</v>
      </c>
      <c r="K136" s="62" t="s">
        <v>147</v>
      </c>
      <c r="L136" s="62" t="s">
        <v>148</v>
      </c>
      <c r="M136" s="62" t="n">
        <v>0</v>
      </c>
      <c r="N136" s="62" t="n">
        <v>1</v>
      </c>
      <c r="O136" s="62" t="n">
        <v>1</v>
      </c>
      <c r="P136" s="62" t="n">
        <v>0</v>
      </c>
      <c r="Q136" s="62" t="n">
        <v>1</v>
      </c>
      <c r="R136" s="62" t="n">
        <v>0</v>
      </c>
      <c r="S136" s="62" t="n">
        <v>0</v>
      </c>
      <c r="T136" s="62" t="n">
        <v>0</v>
      </c>
      <c r="U136" s="62"/>
      <c r="V136" s="62"/>
      <c r="W136" s="62"/>
      <c r="X136" s="62"/>
      <c r="Y136" s="62"/>
      <c r="Z136" s="62" t="s">
        <v>455</v>
      </c>
      <c r="AA136" s="62" t="s">
        <v>456</v>
      </c>
      <c r="AB136" s="62" t="n">
        <v>1</v>
      </c>
      <c r="AC136" s="62" t="n">
        <v>0</v>
      </c>
      <c r="AD136" s="62" t="n">
        <v>1</v>
      </c>
      <c r="AE136" s="62" t="n">
        <f aca="false">IF(AND(Dashboard!$C$9="Yes",AC136=1),0,1)</f>
        <v>1</v>
      </c>
      <c r="AF136" s="62" t="n">
        <v>1</v>
      </c>
    </row>
    <row r="137" customFormat="false" ht="15" hidden="false" customHeight="false" outlineLevel="0" collapsed="false">
      <c r="A137" s="62" t="n">
        <v>136</v>
      </c>
      <c r="B137" s="63" t="n">
        <v>46230.9766898148</v>
      </c>
      <c r="C137" s="64" t="n">
        <v>46230</v>
      </c>
      <c r="D137" s="62" t="s">
        <v>429</v>
      </c>
      <c r="E137" s="62" t="s">
        <v>414</v>
      </c>
      <c r="F137" s="62" t="s">
        <v>414</v>
      </c>
      <c r="G137" s="62" t="s">
        <v>415</v>
      </c>
      <c r="H137" s="62" t="s">
        <v>57</v>
      </c>
      <c r="I137" s="62" t="s">
        <v>47</v>
      </c>
      <c r="J137" s="62" t="s">
        <v>146</v>
      </c>
      <c r="K137" s="62" t="s">
        <v>147</v>
      </c>
      <c r="L137" s="62" t="s">
        <v>148</v>
      </c>
      <c r="M137" s="62" t="n">
        <v>0</v>
      </c>
      <c r="N137" s="62" t="n">
        <v>1</v>
      </c>
      <c r="O137" s="62" t="n">
        <v>1</v>
      </c>
      <c r="P137" s="62" t="n">
        <v>1</v>
      </c>
      <c r="Q137" s="62" t="n">
        <v>0</v>
      </c>
      <c r="R137" s="62" t="n">
        <v>0</v>
      </c>
      <c r="S137" s="62" t="n">
        <v>0</v>
      </c>
      <c r="T137" s="62" t="n">
        <v>0</v>
      </c>
      <c r="U137" s="62"/>
      <c r="V137" s="62"/>
      <c r="W137" s="62"/>
      <c r="X137" s="62"/>
      <c r="Y137" s="62"/>
      <c r="Z137" s="62" t="s">
        <v>457</v>
      </c>
      <c r="AA137" s="62" t="s">
        <v>458</v>
      </c>
      <c r="AB137" s="62" t="n">
        <v>1</v>
      </c>
      <c r="AC137" s="62" t="n">
        <v>0</v>
      </c>
      <c r="AD137" s="62" t="n">
        <v>1</v>
      </c>
      <c r="AE137" s="62" t="n">
        <f aca="false">IF(AND(Dashboard!$C$9="Yes",AC137=1),0,1)</f>
        <v>1</v>
      </c>
      <c r="AF137" s="62" t="n">
        <v>0</v>
      </c>
    </row>
    <row r="138" customFormat="false" ht="15" hidden="false" customHeight="false" outlineLevel="0" collapsed="false">
      <c r="A138" s="62" t="n">
        <v>137</v>
      </c>
      <c r="B138" s="63" t="n">
        <v>46230.983275463</v>
      </c>
      <c r="C138" s="64" t="n">
        <v>46230</v>
      </c>
      <c r="D138" s="62" t="s">
        <v>429</v>
      </c>
      <c r="E138" s="62" t="s">
        <v>190</v>
      </c>
      <c r="F138" s="62" t="s">
        <v>191</v>
      </c>
      <c r="G138" s="62" t="s">
        <v>153</v>
      </c>
      <c r="H138" s="62" t="s">
        <v>153</v>
      </c>
      <c r="I138" s="62" t="s">
        <v>153</v>
      </c>
      <c r="J138" s="62" t="s">
        <v>64</v>
      </c>
      <c r="K138" s="62" t="s">
        <v>64</v>
      </c>
      <c r="L138" s="62" t="s">
        <v>148</v>
      </c>
      <c r="M138" s="62" t="n">
        <v>0</v>
      </c>
      <c r="N138" s="62" t="n">
        <v>1</v>
      </c>
      <c r="O138" s="62" t="n">
        <v>1</v>
      </c>
      <c r="P138" s="62" t="n">
        <v>1</v>
      </c>
      <c r="Q138" s="62" t="n">
        <v>0</v>
      </c>
      <c r="R138" s="62" t="n">
        <v>0</v>
      </c>
      <c r="S138" s="62" t="n">
        <v>0</v>
      </c>
      <c r="T138" s="62" t="n">
        <v>0</v>
      </c>
      <c r="U138" s="62"/>
      <c r="V138" s="62"/>
      <c r="W138" s="62"/>
      <c r="X138" s="62"/>
      <c r="Y138" s="62"/>
      <c r="Z138" s="62" t="s">
        <v>459</v>
      </c>
      <c r="AA138" s="62" t="s">
        <v>460</v>
      </c>
      <c r="AB138" s="62" t="n">
        <v>1</v>
      </c>
      <c r="AC138" s="62" t="n">
        <v>0</v>
      </c>
      <c r="AD138" s="62" t="n">
        <v>0</v>
      </c>
      <c r="AE138" s="62" t="n">
        <f aca="false">IF(AND(Dashboard!$C$9="Yes",AC138=1),0,1)</f>
        <v>1</v>
      </c>
      <c r="AF138" s="62" t="n">
        <v>0</v>
      </c>
    </row>
    <row r="139" customFormat="false" ht="15" hidden="false" customHeight="false" outlineLevel="0" collapsed="false">
      <c r="A139" s="62" t="n">
        <v>138</v>
      </c>
      <c r="B139" s="63" t="n">
        <v>46230.9853125</v>
      </c>
      <c r="C139" s="64" t="n">
        <v>46230</v>
      </c>
      <c r="D139" s="62" t="s">
        <v>429</v>
      </c>
      <c r="E139" s="62" t="s">
        <v>432</v>
      </c>
      <c r="F139" s="62" t="s">
        <v>433</v>
      </c>
      <c r="G139" s="62" t="s">
        <v>153</v>
      </c>
      <c r="H139" s="62" t="s">
        <v>153</v>
      </c>
      <c r="I139" s="62" t="s">
        <v>153</v>
      </c>
      <c r="J139" s="62" t="s">
        <v>64</v>
      </c>
      <c r="K139" s="62" t="s">
        <v>64</v>
      </c>
      <c r="L139" s="62" t="s">
        <v>148</v>
      </c>
      <c r="M139" s="62" t="n">
        <v>0</v>
      </c>
      <c r="N139" s="62" t="n">
        <v>1</v>
      </c>
      <c r="O139" s="62" t="n">
        <v>1</v>
      </c>
      <c r="P139" s="62" t="n">
        <v>1</v>
      </c>
      <c r="Q139" s="62" t="n">
        <v>0</v>
      </c>
      <c r="R139" s="62" t="n">
        <v>0</v>
      </c>
      <c r="S139" s="62" t="n">
        <v>0</v>
      </c>
      <c r="T139" s="62" t="n">
        <v>0</v>
      </c>
      <c r="U139" s="62"/>
      <c r="V139" s="62"/>
      <c r="W139" s="62"/>
      <c r="X139" s="62"/>
      <c r="Y139" s="62"/>
      <c r="Z139" s="62" t="s">
        <v>461</v>
      </c>
      <c r="AA139" s="62" t="s">
        <v>461</v>
      </c>
      <c r="AB139" s="62" t="n">
        <v>1</v>
      </c>
      <c r="AC139" s="62" t="n">
        <v>0</v>
      </c>
      <c r="AD139" s="62" t="n">
        <v>0</v>
      </c>
      <c r="AE139" s="62" t="n">
        <f aca="false">IF(AND(Dashboard!$C$9="Yes",AC139=1),0,1)</f>
        <v>1</v>
      </c>
      <c r="AF139" s="62" t="n">
        <v>0</v>
      </c>
    </row>
    <row r="140" customFormat="false" ht="15" hidden="false" customHeight="false" outlineLevel="0" collapsed="false">
      <c r="A140" s="62" t="n">
        <v>139</v>
      </c>
      <c r="B140" s="63" t="n">
        <v>46230.9878356482</v>
      </c>
      <c r="C140" s="64" t="n">
        <v>46230</v>
      </c>
      <c r="D140" s="62" t="s">
        <v>429</v>
      </c>
      <c r="E140" s="62" t="s">
        <v>196</v>
      </c>
      <c r="F140" s="62" t="s">
        <v>196</v>
      </c>
      <c r="G140" s="62" t="s">
        <v>197</v>
      </c>
      <c r="H140" s="62" t="s">
        <v>57</v>
      </c>
      <c r="I140" s="62" t="s">
        <v>47</v>
      </c>
      <c r="J140" s="62" t="s">
        <v>146</v>
      </c>
      <c r="K140" s="62" t="s">
        <v>175</v>
      </c>
      <c r="L140" s="62" t="s">
        <v>148</v>
      </c>
      <c r="M140" s="62" t="n">
        <v>0</v>
      </c>
      <c r="N140" s="62" t="n">
        <v>1</v>
      </c>
      <c r="O140" s="62" t="n">
        <v>1</v>
      </c>
      <c r="P140" s="62" t="n">
        <v>1</v>
      </c>
      <c r="Q140" s="62" t="n">
        <v>0</v>
      </c>
      <c r="R140" s="62" t="n">
        <v>0</v>
      </c>
      <c r="S140" s="62" t="n">
        <v>0</v>
      </c>
      <c r="T140" s="62" t="n">
        <v>0</v>
      </c>
      <c r="U140" s="62"/>
      <c r="V140" s="62"/>
      <c r="W140" s="62"/>
      <c r="X140" s="62"/>
      <c r="Y140" s="62"/>
      <c r="Z140" s="62" t="s">
        <v>462</v>
      </c>
      <c r="AA140" s="62" t="s">
        <v>463</v>
      </c>
      <c r="AB140" s="62" t="n">
        <v>1</v>
      </c>
      <c r="AC140" s="62" t="n">
        <v>0</v>
      </c>
      <c r="AD140" s="62" t="n">
        <v>1</v>
      </c>
      <c r="AE140" s="62" t="n">
        <f aca="false">IF(AND(Dashboard!$C$9="Yes",AC140=1),0,1)</f>
        <v>1</v>
      </c>
      <c r="AF140" s="62" t="n">
        <v>1</v>
      </c>
    </row>
    <row r="141" customFormat="false" ht="15" hidden="false" customHeight="false" outlineLevel="0" collapsed="false">
      <c r="A141" s="62" t="n">
        <v>140</v>
      </c>
      <c r="B141" s="63" t="n">
        <v>46231.0100462963</v>
      </c>
      <c r="C141" s="64" t="n">
        <v>46230</v>
      </c>
      <c r="D141" s="62" t="s">
        <v>429</v>
      </c>
      <c r="E141" s="62" t="s">
        <v>196</v>
      </c>
      <c r="F141" s="62" t="s">
        <v>196</v>
      </c>
      <c r="G141" s="62" t="s">
        <v>197</v>
      </c>
      <c r="H141" s="62" t="s">
        <v>57</v>
      </c>
      <c r="I141" s="62" t="s">
        <v>47</v>
      </c>
      <c r="J141" s="62" t="s">
        <v>146</v>
      </c>
      <c r="K141" s="62" t="s">
        <v>175</v>
      </c>
      <c r="L141" s="62" t="s">
        <v>4</v>
      </c>
      <c r="M141" s="62" t="n">
        <v>1</v>
      </c>
      <c r="N141" s="62" t="n">
        <v>0</v>
      </c>
      <c r="O141" s="62" t="n">
        <v>1</v>
      </c>
      <c r="P141" s="62" t="n">
        <v>0</v>
      </c>
      <c r="Q141" s="62" t="n">
        <v>0</v>
      </c>
      <c r="R141" s="62" t="n">
        <v>0</v>
      </c>
      <c r="S141" s="62" t="n">
        <v>0</v>
      </c>
      <c r="T141" s="62" t="n">
        <v>0</v>
      </c>
      <c r="U141" s="62"/>
      <c r="V141" s="62"/>
      <c r="W141" s="62"/>
      <c r="X141" s="62"/>
      <c r="Y141" s="62"/>
      <c r="Z141" s="62" t="s">
        <v>462</v>
      </c>
      <c r="AA141" s="62" t="s">
        <v>464</v>
      </c>
      <c r="AB141" s="62" t="n">
        <v>0</v>
      </c>
      <c r="AC141" s="62" t="n">
        <v>0</v>
      </c>
      <c r="AD141" s="62" t="n">
        <v>1</v>
      </c>
      <c r="AE141" s="62" t="n">
        <f aca="false">IF(AND(Dashboard!$C$9="Yes",AC141=1),0,1)</f>
        <v>1</v>
      </c>
      <c r="AF141" s="62" t="n">
        <v>0</v>
      </c>
    </row>
    <row r="142" customFormat="false" ht="15" hidden="false" customHeight="false" outlineLevel="0" collapsed="false">
      <c r="A142" s="62" t="n">
        <v>141</v>
      </c>
      <c r="B142" s="63" t="n">
        <v>46231.0311689815</v>
      </c>
      <c r="C142" s="64" t="n">
        <v>46230</v>
      </c>
      <c r="D142" s="62" t="s">
        <v>429</v>
      </c>
      <c r="E142" s="62" t="s">
        <v>144</v>
      </c>
      <c r="F142" s="62" t="s">
        <v>144</v>
      </c>
      <c r="G142" s="62" t="s">
        <v>145</v>
      </c>
      <c r="H142" s="62" t="s">
        <v>59</v>
      </c>
      <c r="I142" s="62" t="s">
        <v>47</v>
      </c>
      <c r="J142" s="62" t="s">
        <v>146</v>
      </c>
      <c r="K142" s="62" t="s">
        <v>147</v>
      </c>
      <c r="L142" s="62" t="s">
        <v>4</v>
      </c>
      <c r="M142" s="62" t="n">
        <v>1</v>
      </c>
      <c r="N142" s="62" t="n">
        <v>0</v>
      </c>
      <c r="O142" s="62" t="n">
        <v>1</v>
      </c>
      <c r="P142" s="62" t="n">
        <v>0</v>
      </c>
      <c r="Q142" s="62" t="n">
        <v>0</v>
      </c>
      <c r="R142" s="62" t="n">
        <v>0</v>
      </c>
      <c r="S142" s="62" t="n">
        <v>0</v>
      </c>
      <c r="T142" s="62" t="n">
        <v>0</v>
      </c>
      <c r="U142" s="62"/>
      <c r="V142" s="62"/>
      <c r="W142" s="62"/>
      <c r="X142" s="62"/>
      <c r="Y142" s="62"/>
      <c r="Z142" s="62" t="s">
        <v>465</v>
      </c>
      <c r="AA142" s="62" t="s">
        <v>466</v>
      </c>
      <c r="AB142" s="62" t="n">
        <v>1</v>
      </c>
      <c r="AC142" s="62" t="n">
        <v>0</v>
      </c>
      <c r="AD142" s="62" t="n">
        <v>1</v>
      </c>
      <c r="AE142" s="62" t="n">
        <f aca="false">IF(AND(Dashboard!$C$9="Yes",AC142=1),0,1)</f>
        <v>1</v>
      </c>
      <c r="AF142" s="62" t="n">
        <v>0</v>
      </c>
    </row>
    <row r="143" customFormat="false" ht="15" hidden="false" customHeight="false" outlineLevel="0" collapsed="false">
      <c r="A143" s="62" t="n">
        <v>142</v>
      </c>
      <c r="B143" s="63" t="n">
        <v>46231.031412037</v>
      </c>
      <c r="C143" s="64" t="n">
        <v>46230</v>
      </c>
      <c r="D143" s="62" t="s">
        <v>429</v>
      </c>
      <c r="E143" s="62" t="s">
        <v>144</v>
      </c>
      <c r="F143" s="62" t="s">
        <v>144</v>
      </c>
      <c r="G143" s="62" t="s">
        <v>145</v>
      </c>
      <c r="H143" s="62" t="s">
        <v>59</v>
      </c>
      <c r="I143" s="62" t="s">
        <v>47</v>
      </c>
      <c r="J143" s="62" t="s">
        <v>146</v>
      </c>
      <c r="K143" s="62" t="s">
        <v>147</v>
      </c>
      <c r="L143" s="62" t="s">
        <v>4</v>
      </c>
      <c r="M143" s="62" t="n">
        <v>1</v>
      </c>
      <c r="N143" s="62" t="n">
        <v>0</v>
      </c>
      <c r="O143" s="62" t="n">
        <v>1</v>
      </c>
      <c r="P143" s="62" t="n">
        <v>0</v>
      </c>
      <c r="Q143" s="62" t="n">
        <v>0</v>
      </c>
      <c r="R143" s="62" t="n">
        <v>0</v>
      </c>
      <c r="S143" s="62" t="n">
        <v>0</v>
      </c>
      <c r="T143" s="62" t="n">
        <v>0</v>
      </c>
      <c r="U143" s="62"/>
      <c r="V143" s="62"/>
      <c r="W143" s="62"/>
      <c r="X143" s="62"/>
      <c r="Y143" s="62"/>
      <c r="Z143" s="62" t="s">
        <v>465</v>
      </c>
      <c r="AA143" s="62" t="s">
        <v>466</v>
      </c>
      <c r="AB143" s="62" t="n">
        <v>1</v>
      </c>
      <c r="AC143" s="62" t="n">
        <v>1</v>
      </c>
      <c r="AD143" s="62" t="n">
        <v>1</v>
      </c>
      <c r="AE143" s="62" t="n">
        <f aca="false">IF(AND(Dashboard!$C$9="Yes",AC143=1),0,1)</f>
        <v>0</v>
      </c>
      <c r="AF143" s="62" t="n">
        <v>0</v>
      </c>
    </row>
    <row r="144" customFormat="false" ht="15" hidden="false" customHeight="false" outlineLevel="0" collapsed="false">
      <c r="A144" s="62" t="n">
        <v>143</v>
      </c>
      <c r="B144" s="63" t="n">
        <v>46231.0383101852</v>
      </c>
      <c r="C144" s="64" t="n">
        <v>46230</v>
      </c>
      <c r="D144" s="62" t="s">
        <v>429</v>
      </c>
      <c r="E144" s="62" t="s">
        <v>207</v>
      </c>
      <c r="F144" s="62" t="s">
        <v>207</v>
      </c>
      <c r="G144" s="62" t="s">
        <v>208</v>
      </c>
      <c r="H144" s="62" t="s">
        <v>48</v>
      </c>
      <c r="I144" s="62" t="s">
        <v>49</v>
      </c>
      <c r="J144" s="62" t="s">
        <v>146</v>
      </c>
      <c r="K144" s="62" t="s">
        <v>209</v>
      </c>
      <c r="L144" s="62" t="s">
        <v>148</v>
      </c>
      <c r="M144" s="62" t="n">
        <v>0</v>
      </c>
      <c r="N144" s="62" t="n">
        <v>1</v>
      </c>
      <c r="O144" s="62" t="n">
        <v>1</v>
      </c>
      <c r="P144" s="62" t="n">
        <v>1</v>
      </c>
      <c r="Q144" s="62" t="n">
        <v>0</v>
      </c>
      <c r="R144" s="62" t="n">
        <v>0</v>
      </c>
      <c r="S144" s="62" t="n">
        <v>0</v>
      </c>
      <c r="T144" s="62" t="n">
        <v>0</v>
      </c>
      <c r="U144" s="62"/>
      <c r="V144" s="62"/>
      <c r="W144" s="62"/>
      <c r="X144" s="62"/>
      <c r="Y144" s="62"/>
      <c r="Z144" s="62" t="s">
        <v>467</v>
      </c>
      <c r="AA144" s="62" t="s">
        <v>468</v>
      </c>
      <c r="AB144" s="62" t="n">
        <v>1</v>
      </c>
      <c r="AC144" s="62" t="n">
        <v>0</v>
      </c>
      <c r="AD144" s="62" t="n">
        <v>1</v>
      </c>
      <c r="AE144" s="62" t="n">
        <f aca="false">IF(AND(Dashboard!$C$9="Yes",AC144=1),0,1)</f>
        <v>1</v>
      </c>
      <c r="AF144" s="62" t="n">
        <v>0</v>
      </c>
    </row>
    <row r="145" customFormat="false" ht="15" hidden="false" customHeight="false" outlineLevel="0" collapsed="false">
      <c r="A145" s="62" t="n">
        <v>144</v>
      </c>
      <c r="B145" s="63" t="n">
        <v>46231.0424768519</v>
      </c>
      <c r="C145" s="64" t="n">
        <v>46230</v>
      </c>
      <c r="D145" s="62" t="s">
        <v>429</v>
      </c>
      <c r="E145" s="62" t="s">
        <v>144</v>
      </c>
      <c r="F145" s="62" t="s">
        <v>144</v>
      </c>
      <c r="G145" s="62" t="s">
        <v>145</v>
      </c>
      <c r="H145" s="62" t="s">
        <v>59</v>
      </c>
      <c r="I145" s="62" t="s">
        <v>47</v>
      </c>
      <c r="J145" s="62" t="s">
        <v>146</v>
      </c>
      <c r="K145" s="62" t="s">
        <v>147</v>
      </c>
      <c r="L145" s="62" t="s">
        <v>148</v>
      </c>
      <c r="M145" s="62" t="n">
        <v>0</v>
      </c>
      <c r="N145" s="62" t="n">
        <v>1</v>
      </c>
      <c r="O145" s="62" t="n">
        <v>1</v>
      </c>
      <c r="P145" s="62" t="n">
        <v>0</v>
      </c>
      <c r="Q145" s="62" t="n">
        <v>1</v>
      </c>
      <c r="R145" s="62" t="n">
        <v>0</v>
      </c>
      <c r="S145" s="62" t="n">
        <v>0</v>
      </c>
      <c r="T145" s="62" t="n">
        <v>0</v>
      </c>
      <c r="U145" s="62"/>
      <c r="V145" s="62"/>
      <c r="W145" s="62"/>
      <c r="X145" s="62"/>
      <c r="Y145" s="62"/>
      <c r="Z145" s="62" t="s">
        <v>465</v>
      </c>
      <c r="AA145" s="62" t="s">
        <v>469</v>
      </c>
      <c r="AB145" s="62" t="n">
        <v>0</v>
      </c>
      <c r="AC145" s="62" t="n">
        <v>0</v>
      </c>
      <c r="AD145" s="62" t="n">
        <v>1</v>
      </c>
      <c r="AE145" s="62" t="n">
        <f aca="false">IF(AND(Dashboard!$C$9="Yes",AC145=1),0,1)</f>
        <v>1</v>
      </c>
      <c r="AF145" s="62" t="n">
        <v>0</v>
      </c>
    </row>
    <row r="146" customFormat="false" ht="15" hidden="false" customHeight="false" outlineLevel="0" collapsed="false">
      <c r="A146" s="62" t="n">
        <v>145</v>
      </c>
      <c r="B146" s="63" t="n">
        <v>46231.0428703704</v>
      </c>
      <c r="C146" s="64" t="n">
        <v>46230</v>
      </c>
      <c r="D146" s="62" t="s">
        <v>429</v>
      </c>
      <c r="E146" s="62" t="s">
        <v>144</v>
      </c>
      <c r="F146" s="62" t="s">
        <v>144</v>
      </c>
      <c r="G146" s="62" t="s">
        <v>145</v>
      </c>
      <c r="H146" s="62" t="s">
        <v>59</v>
      </c>
      <c r="I146" s="62" t="s">
        <v>47</v>
      </c>
      <c r="J146" s="62" t="s">
        <v>146</v>
      </c>
      <c r="K146" s="62" t="s">
        <v>147</v>
      </c>
      <c r="L146" s="62" t="s">
        <v>148</v>
      </c>
      <c r="M146" s="62" t="n">
        <v>0</v>
      </c>
      <c r="N146" s="62" t="n">
        <v>1</v>
      </c>
      <c r="O146" s="62" t="n">
        <v>1</v>
      </c>
      <c r="P146" s="62" t="n">
        <v>0</v>
      </c>
      <c r="Q146" s="62" t="n">
        <v>1</v>
      </c>
      <c r="R146" s="62" t="n">
        <v>0</v>
      </c>
      <c r="S146" s="62" t="n">
        <v>0</v>
      </c>
      <c r="T146" s="62" t="n">
        <v>0</v>
      </c>
      <c r="U146" s="62"/>
      <c r="V146" s="62"/>
      <c r="W146" s="62"/>
      <c r="X146" s="62"/>
      <c r="Y146" s="62"/>
      <c r="Z146" s="62" t="s">
        <v>465</v>
      </c>
      <c r="AA146" s="62" t="s">
        <v>469</v>
      </c>
      <c r="AB146" s="62" t="n">
        <v>0</v>
      </c>
      <c r="AC146" s="62" t="n">
        <v>0</v>
      </c>
      <c r="AD146" s="62" t="n">
        <v>1</v>
      </c>
      <c r="AE146" s="62" t="n">
        <f aca="false">IF(AND(Dashboard!$C$9="Yes",AC146=1),0,1)</f>
        <v>1</v>
      </c>
      <c r="AF146" s="62" t="n">
        <v>0</v>
      </c>
    </row>
    <row r="147" customFormat="false" ht="15" hidden="false" customHeight="false" outlineLevel="0" collapsed="false">
      <c r="A147" s="62" t="n">
        <v>146</v>
      </c>
      <c r="B147" s="63" t="n">
        <v>46231.0788657407</v>
      </c>
      <c r="C147" s="64" t="n">
        <v>46230</v>
      </c>
      <c r="D147" s="62" t="s">
        <v>429</v>
      </c>
      <c r="E147" s="62" t="s">
        <v>173</v>
      </c>
      <c r="F147" s="62" t="s">
        <v>173</v>
      </c>
      <c r="G147" s="62" t="s">
        <v>174</v>
      </c>
      <c r="H147" s="62" t="s">
        <v>58</v>
      </c>
      <c r="I147" s="62" t="s">
        <v>49</v>
      </c>
      <c r="J147" s="62" t="s">
        <v>146</v>
      </c>
      <c r="K147" s="62" t="s">
        <v>175</v>
      </c>
      <c r="L147" s="62" t="s">
        <v>148</v>
      </c>
      <c r="M147" s="62" t="n">
        <v>0</v>
      </c>
      <c r="N147" s="62" t="n">
        <v>1</v>
      </c>
      <c r="O147" s="62" t="n">
        <v>1</v>
      </c>
      <c r="P147" s="62" t="n">
        <v>0</v>
      </c>
      <c r="Q147" s="62" t="n">
        <v>0</v>
      </c>
      <c r="R147" s="62" t="n">
        <v>0</v>
      </c>
      <c r="S147" s="62" t="n">
        <v>0</v>
      </c>
      <c r="T147" s="62" t="n">
        <v>1</v>
      </c>
      <c r="U147" s="62"/>
      <c r="V147" s="62"/>
      <c r="W147" s="62"/>
      <c r="X147" s="62"/>
      <c r="Y147" s="62"/>
      <c r="Z147" s="62" t="s">
        <v>470</v>
      </c>
      <c r="AA147" s="62" t="s">
        <v>471</v>
      </c>
      <c r="AB147" s="62" t="n">
        <v>1</v>
      </c>
      <c r="AC147" s="62" t="n">
        <v>0</v>
      </c>
      <c r="AD147" s="62" t="n">
        <v>1</v>
      </c>
      <c r="AE147" s="62" t="n">
        <f aca="false">IF(AND(Dashboard!$C$9="Yes",AC147=1),0,1)</f>
        <v>1</v>
      </c>
      <c r="AF147" s="62" t="n">
        <v>1</v>
      </c>
    </row>
    <row r="148" customFormat="false" ht="15" hidden="false" customHeight="false" outlineLevel="0" collapsed="false">
      <c r="A148" s="62" t="n">
        <v>147</v>
      </c>
      <c r="B148" s="63" t="n">
        <v>46231.1028819445</v>
      </c>
      <c r="C148" s="64" t="n">
        <v>46230</v>
      </c>
      <c r="D148" s="62" t="s">
        <v>429</v>
      </c>
      <c r="E148" s="62" t="s">
        <v>207</v>
      </c>
      <c r="F148" s="62" t="s">
        <v>207</v>
      </c>
      <c r="G148" s="62" t="s">
        <v>208</v>
      </c>
      <c r="H148" s="62" t="s">
        <v>48</v>
      </c>
      <c r="I148" s="62" t="s">
        <v>49</v>
      </c>
      <c r="J148" s="62" t="s">
        <v>146</v>
      </c>
      <c r="K148" s="62" t="s">
        <v>209</v>
      </c>
      <c r="L148" s="62" t="s">
        <v>4</v>
      </c>
      <c r="M148" s="62" t="n">
        <v>1</v>
      </c>
      <c r="N148" s="62" t="n">
        <v>0</v>
      </c>
      <c r="O148" s="62" t="n">
        <v>1</v>
      </c>
      <c r="P148" s="62" t="n">
        <v>0</v>
      </c>
      <c r="Q148" s="62" t="n">
        <v>0</v>
      </c>
      <c r="R148" s="62" t="n">
        <v>0</v>
      </c>
      <c r="S148" s="62" t="n">
        <v>0</v>
      </c>
      <c r="T148" s="62" t="n">
        <v>0</v>
      </c>
      <c r="U148" s="62"/>
      <c r="V148" s="62"/>
      <c r="W148" s="62"/>
      <c r="X148" s="62"/>
      <c r="Y148" s="62"/>
      <c r="Z148" s="62" t="s">
        <v>472</v>
      </c>
      <c r="AA148" s="62" t="s">
        <v>473</v>
      </c>
      <c r="AB148" s="62" t="n">
        <v>1</v>
      </c>
      <c r="AC148" s="62" t="n">
        <v>0</v>
      </c>
      <c r="AD148" s="62" t="n">
        <v>1</v>
      </c>
      <c r="AE148" s="62" t="n">
        <f aca="false">IF(AND(Dashboard!$C$9="Yes",AC148=1),0,1)</f>
        <v>1</v>
      </c>
      <c r="AF148" s="62" t="n">
        <v>0</v>
      </c>
    </row>
    <row r="149" customFormat="false" ht="15" hidden="false" customHeight="false" outlineLevel="0" collapsed="false">
      <c r="A149" s="62" t="n">
        <v>148</v>
      </c>
      <c r="B149" s="63" t="n">
        <v>46231.1061226852</v>
      </c>
      <c r="C149" s="64" t="n">
        <v>46230</v>
      </c>
      <c r="D149" s="62" t="s">
        <v>429</v>
      </c>
      <c r="E149" s="62" t="s">
        <v>203</v>
      </c>
      <c r="F149" s="62" t="s">
        <v>203</v>
      </c>
      <c r="G149" s="62" t="s">
        <v>204</v>
      </c>
      <c r="H149" s="62" t="s">
        <v>51</v>
      </c>
      <c r="I149" s="62" t="s">
        <v>47</v>
      </c>
      <c r="J149" s="62" t="s">
        <v>146</v>
      </c>
      <c r="K149" s="62" t="s">
        <v>147</v>
      </c>
      <c r="L149" s="62" t="s">
        <v>148</v>
      </c>
      <c r="M149" s="62" t="n">
        <v>0</v>
      </c>
      <c r="N149" s="62" t="n">
        <v>2</v>
      </c>
      <c r="O149" s="62" t="n">
        <v>2</v>
      </c>
      <c r="P149" s="62" t="n">
        <v>1</v>
      </c>
      <c r="Q149" s="62" t="n">
        <v>1</v>
      </c>
      <c r="R149" s="62" t="n">
        <v>0</v>
      </c>
      <c r="S149" s="62" t="n">
        <v>0</v>
      </c>
      <c r="T149" s="62" t="n">
        <v>0</v>
      </c>
      <c r="U149" s="62"/>
      <c r="V149" s="62"/>
      <c r="W149" s="62"/>
      <c r="X149" s="62"/>
      <c r="Y149" s="62"/>
      <c r="Z149" s="62" t="s">
        <v>474</v>
      </c>
      <c r="AA149" s="62" t="s">
        <v>475</v>
      </c>
      <c r="AB149" s="62" t="n">
        <v>1</v>
      </c>
      <c r="AC149" s="62" t="n">
        <v>0</v>
      </c>
      <c r="AD149" s="62" t="n">
        <v>1</v>
      </c>
      <c r="AE149" s="62" t="n">
        <f aca="false">IF(AND(Dashboard!$C$9="Yes",AC149=1),0,1)</f>
        <v>1</v>
      </c>
      <c r="AF149" s="62" t="n">
        <v>0</v>
      </c>
    </row>
    <row r="150" customFormat="false" ht="15" hidden="false" customHeight="false" outlineLevel="0" collapsed="false">
      <c r="A150" s="62" t="n">
        <v>149</v>
      </c>
      <c r="B150" s="63" t="n">
        <v>46231.1474884259</v>
      </c>
      <c r="C150" s="64" t="n">
        <v>46230</v>
      </c>
      <c r="D150" s="62" t="s">
        <v>429</v>
      </c>
      <c r="E150" s="62" t="s">
        <v>239</v>
      </c>
      <c r="F150" s="62" t="s">
        <v>240</v>
      </c>
      <c r="G150" s="62" t="s">
        <v>153</v>
      </c>
      <c r="H150" s="62" t="s">
        <v>153</v>
      </c>
      <c r="I150" s="62" t="s">
        <v>153</v>
      </c>
      <c r="J150" s="62" t="s">
        <v>64</v>
      </c>
      <c r="K150" s="62" t="s">
        <v>64</v>
      </c>
      <c r="L150" s="62" t="s">
        <v>148</v>
      </c>
      <c r="M150" s="62" t="n">
        <v>0</v>
      </c>
      <c r="N150" s="62" t="n">
        <v>1</v>
      </c>
      <c r="O150" s="62" t="n">
        <v>1</v>
      </c>
      <c r="P150" s="62" t="n">
        <v>0</v>
      </c>
      <c r="Q150" s="62" t="n">
        <v>1</v>
      </c>
      <c r="R150" s="62" t="n">
        <v>0</v>
      </c>
      <c r="S150" s="62" t="n">
        <v>0</v>
      </c>
      <c r="T150" s="62" t="n">
        <v>0</v>
      </c>
      <c r="U150" s="62"/>
      <c r="V150" s="62"/>
      <c r="W150" s="62"/>
      <c r="X150" s="62"/>
      <c r="Y150" s="62"/>
      <c r="Z150" s="62" t="s">
        <v>476</v>
      </c>
      <c r="AA150" s="62" t="s">
        <v>477</v>
      </c>
      <c r="AB150" s="62" t="n">
        <v>1</v>
      </c>
      <c r="AC150" s="62" t="n">
        <v>0</v>
      </c>
      <c r="AD150" s="62" t="n">
        <v>0</v>
      </c>
      <c r="AE150" s="62" t="n">
        <f aca="false">IF(AND(Dashboard!$C$9="Yes",AC150=1),0,1)</f>
        <v>1</v>
      </c>
      <c r="AF150" s="62" t="n">
        <v>1</v>
      </c>
    </row>
    <row r="151" customFormat="false" ht="15" hidden="false" customHeight="false" outlineLevel="0" collapsed="false">
      <c r="A151" s="62" t="n">
        <v>150</v>
      </c>
      <c r="B151" s="63" t="n">
        <v>46231.1501388889</v>
      </c>
      <c r="C151" s="64" t="n">
        <v>46230</v>
      </c>
      <c r="D151" s="62" t="s">
        <v>429</v>
      </c>
      <c r="E151" s="62" t="s">
        <v>273</v>
      </c>
      <c r="F151" s="62" t="s">
        <v>273</v>
      </c>
      <c r="G151" s="62" t="s">
        <v>274</v>
      </c>
      <c r="H151" s="62" t="s">
        <v>59</v>
      </c>
      <c r="I151" s="62" t="s">
        <v>47</v>
      </c>
      <c r="J151" s="62" t="s">
        <v>146</v>
      </c>
      <c r="K151" s="62" t="s">
        <v>147</v>
      </c>
      <c r="L151" s="62" t="s">
        <v>148</v>
      </c>
      <c r="M151" s="62" t="n">
        <v>0</v>
      </c>
      <c r="N151" s="62" t="n">
        <v>1</v>
      </c>
      <c r="O151" s="62" t="n">
        <v>1</v>
      </c>
      <c r="P151" s="62" t="n">
        <v>1</v>
      </c>
      <c r="Q151" s="62" t="n">
        <v>0</v>
      </c>
      <c r="R151" s="62" t="n">
        <v>0</v>
      </c>
      <c r="S151" s="62" t="n">
        <v>0</v>
      </c>
      <c r="T151" s="62" t="n">
        <v>0</v>
      </c>
      <c r="U151" s="62"/>
      <c r="V151" s="62"/>
      <c r="W151" s="62"/>
      <c r="X151" s="62"/>
      <c r="Y151" s="62"/>
      <c r="Z151" s="62" t="s">
        <v>478</v>
      </c>
      <c r="AA151" s="62" t="s">
        <v>479</v>
      </c>
      <c r="AB151" s="62" t="n">
        <v>1</v>
      </c>
      <c r="AC151" s="62" t="n">
        <v>0</v>
      </c>
      <c r="AD151" s="62" t="n">
        <v>1</v>
      </c>
      <c r="AE151" s="62" t="n">
        <f aca="false">IF(AND(Dashboard!$C$9="Yes",AC151=1),0,1)</f>
        <v>1</v>
      </c>
      <c r="AF151" s="62" t="n">
        <v>1</v>
      </c>
    </row>
    <row r="152" customFormat="false" ht="15" hidden="false" customHeight="false" outlineLevel="0" collapsed="false">
      <c r="A152" s="62" t="n">
        <v>151</v>
      </c>
      <c r="B152" s="63" t="n">
        <v>46231.182962963</v>
      </c>
      <c r="C152" s="64" t="n">
        <v>46230</v>
      </c>
      <c r="D152" s="62" t="s">
        <v>429</v>
      </c>
      <c r="E152" s="62" t="s">
        <v>144</v>
      </c>
      <c r="F152" s="62" t="s">
        <v>144</v>
      </c>
      <c r="G152" s="62" t="s">
        <v>145</v>
      </c>
      <c r="H152" s="62" t="s">
        <v>59</v>
      </c>
      <c r="I152" s="62" t="s">
        <v>47</v>
      </c>
      <c r="J152" s="62" t="s">
        <v>146</v>
      </c>
      <c r="K152" s="62" t="s">
        <v>147</v>
      </c>
      <c r="L152" s="62" t="s">
        <v>4</v>
      </c>
      <c r="M152" s="62" t="n">
        <v>1</v>
      </c>
      <c r="N152" s="62" t="n">
        <v>0</v>
      </c>
      <c r="O152" s="62" t="n">
        <v>1</v>
      </c>
      <c r="P152" s="62" t="n">
        <v>0</v>
      </c>
      <c r="Q152" s="62" t="n">
        <v>0</v>
      </c>
      <c r="R152" s="62" t="n">
        <v>0</v>
      </c>
      <c r="S152" s="62" t="n">
        <v>0</v>
      </c>
      <c r="T152" s="62" t="n">
        <v>0</v>
      </c>
      <c r="U152" s="62"/>
      <c r="V152" s="62"/>
      <c r="W152" s="62"/>
      <c r="X152" s="62"/>
      <c r="Y152" s="62"/>
      <c r="Z152" s="62" t="s">
        <v>480</v>
      </c>
      <c r="AA152" s="62" t="s">
        <v>481</v>
      </c>
      <c r="AB152" s="62" t="n">
        <v>1</v>
      </c>
      <c r="AC152" s="62" t="n">
        <v>0</v>
      </c>
      <c r="AD152" s="62" t="n">
        <v>1</v>
      </c>
      <c r="AE152" s="62" t="n">
        <f aca="false">IF(AND(Dashboard!$C$9="Yes",AC152=1),0,1)</f>
        <v>1</v>
      </c>
      <c r="AF152" s="62" t="n">
        <v>0</v>
      </c>
    </row>
    <row r="153" customFormat="false" ht="15" hidden="false" customHeight="false" outlineLevel="0" collapsed="false">
      <c r="A153" s="62" t="n">
        <v>152</v>
      </c>
      <c r="B153" s="63" t="n">
        <v>46231.1932175926</v>
      </c>
      <c r="C153" s="64" t="n">
        <v>46230</v>
      </c>
      <c r="D153" s="62" t="s">
        <v>429</v>
      </c>
      <c r="E153" s="62" t="s">
        <v>144</v>
      </c>
      <c r="F153" s="62" t="s">
        <v>144</v>
      </c>
      <c r="G153" s="62" t="s">
        <v>145</v>
      </c>
      <c r="H153" s="62" t="s">
        <v>59</v>
      </c>
      <c r="I153" s="62" t="s">
        <v>47</v>
      </c>
      <c r="J153" s="62" t="s">
        <v>146</v>
      </c>
      <c r="K153" s="62" t="s">
        <v>147</v>
      </c>
      <c r="L153" s="62" t="s">
        <v>148</v>
      </c>
      <c r="M153" s="62" t="n">
        <v>0</v>
      </c>
      <c r="N153" s="62" t="n">
        <v>1</v>
      </c>
      <c r="O153" s="62" t="n">
        <v>1</v>
      </c>
      <c r="P153" s="62" t="n">
        <v>0</v>
      </c>
      <c r="Q153" s="62" t="n">
        <v>1</v>
      </c>
      <c r="R153" s="62" t="n">
        <v>0</v>
      </c>
      <c r="S153" s="62" t="n">
        <v>0</v>
      </c>
      <c r="T153" s="62" t="n">
        <v>0</v>
      </c>
      <c r="U153" s="62"/>
      <c r="V153" s="62"/>
      <c r="W153" s="62"/>
      <c r="X153" s="62"/>
      <c r="Y153" s="62"/>
      <c r="Z153" s="62" t="s">
        <v>482</v>
      </c>
      <c r="AA153" s="62" t="s">
        <v>483</v>
      </c>
      <c r="AB153" s="62" t="n">
        <v>0</v>
      </c>
      <c r="AC153" s="62" t="n">
        <v>0</v>
      </c>
      <c r="AD153" s="62" t="n">
        <v>1</v>
      </c>
      <c r="AE153" s="62" t="n">
        <f aca="false">IF(AND(Dashboard!$C$9="Yes",AC153=1),0,1)</f>
        <v>1</v>
      </c>
      <c r="AF153" s="62" t="n">
        <v>0</v>
      </c>
    </row>
    <row r="154" customFormat="false" ht="15" hidden="false" customHeight="false" outlineLevel="0" collapsed="false">
      <c r="A154" s="62" t="n">
        <v>153</v>
      </c>
      <c r="B154" s="63" t="n">
        <v>46231.1934259259</v>
      </c>
      <c r="C154" s="64" t="n">
        <v>46230</v>
      </c>
      <c r="D154" s="62" t="s">
        <v>429</v>
      </c>
      <c r="E154" s="62" t="s">
        <v>144</v>
      </c>
      <c r="F154" s="62" t="s">
        <v>144</v>
      </c>
      <c r="G154" s="62" t="s">
        <v>145</v>
      </c>
      <c r="H154" s="62" t="s">
        <v>59</v>
      </c>
      <c r="I154" s="62" t="s">
        <v>47</v>
      </c>
      <c r="J154" s="62" t="s">
        <v>146</v>
      </c>
      <c r="K154" s="62" t="s">
        <v>147</v>
      </c>
      <c r="L154" s="62" t="s">
        <v>148</v>
      </c>
      <c r="M154" s="62" t="n">
        <v>0</v>
      </c>
      <c r="N154" s="62" t="n">
        <v>1</v>
      </c>
      <c r="O154" s="62" t="n">
        <v>1</v>
      </c>
      <c r="P154" s="62" t="n">
        <v>0</v>
      </c>
      <c r="Q154" s="62" t="n">
        <v>1</v>
      </c>
      <c r="R154" s="62" t="n">
        <v>0</v>
      </c>
      <c r="S154" s="62" t="n">
        <v>0</v>
      </c>
      <c r="T154" s="62" t="n">
        <v>0</v>
      </c>
      <c r="U154" s="62"/>
      <c r="V154" s="62"/>
      <c r="W154" s="62"/>
      <c r="X154" s="62"/>
      <c r="Y154" s="62"/>
      <c r="Z154" s="62" t="s">
        <v>482</v>
      </c>
      <c r="AA154" s="62" t="s">
        <v>483</v>
      </c>
      <c r="AB154" s="62" t="n">
        <v>0</v>
      </c>
      <c r="AC154" s="62" t="n">
        <v>0</v>
      </c>
      <c r="AD154" s="62" t="n">
        <v>1</v>
      </c>
      <c r="AE154" s="62" t="n">
        <f aca="false">IF(AND(Dashboard!$C$9="Yes",AC154=1),0,1)</f>
        <v>1</v>
      </c>
      <c r="AF154" s="62" t="n">
        <v>0</v>
      </c>
    </row>
    <row r="155" customFormat="false" ht="15" hidden="false" customHeight="false" outlineLevel="0" collapsed="false">
      <c r="A155" s="62" t="n">
        <v>154</v>
      </c>
      <c r="B155" s="63" t="n">
        <v>46231.2280555556</v>
      </c>
      <c r="C155" s="64" t="n">
        <v>46230</v>
      </c>
      <c r="D155" s="62" t="s">
        <v>429</v>
      </c>
      <c r="E155" s="62" t="s">
        <v>203</v>
      </c>
      <c r="F155" s="62" t="s">
        <v>203</v>
      </c>
      <c r="G155" s="62" t="s">
        <v>204</v>
      </c>
      <c r="H155" s="62" t="s">
        <v>51</v>
      </c>
      <c r="I155" s="62" t="s">
        <v>47</v>
      </c>
      <c r="J155" s="62" t="s">
        <v>146</v>
      </c>
      <c r="K155" s="62" t="s">
        <v>147</v>
      </c>
      <c r="L155" s="62" t="s">
        <v>148</v>
      </c>
      <c r="M155" s="62" t="n">
        <v>0</v>
      </c>
      <c r="N155" s="62" t="n">
        <v>1</v>
      </c>
      <c r="O155" s="62" t="n">
        <v>1</v>
      </c>
      <c r="P155" s="62" t="n">
        <v>1</v>
      </c>
      <c r="Q155" s="62" t="n">
        <v>0</v>
      </c>
      <c r="R155" s="62" t="n">
        <v>0</v>
      </c>
      <c r="S155" s="62" t="n">
        <v>0</v>
      </c>
      <c r="T155" s="62" t="n">
        <v>0</v>
      </c>
      <c r="U155" s="62"/>
      <c r="V155" s="62"/>
      <c r="W155" s="62"/>
      <c r="X155" s="62"/>
      <c r="Y155" s="62"/>
      <c r="Z155" s="62" t="s">
        <v>484</v>
      </c>
      <c r="AA155" s="62" t="s">
        <v>485</v>
      </c>
      <c r="AB155" s="62" t="n">
        <v>0</v>
      </c>
      <c r="AC155" s="62" t="n">
        <v>0</v>
      </c>
      <c r="AD155" s="62" t="n">
        <v>1</v>
      </c>
      <c r="AE155" s="62" t="n">
        <f aca="false">IF(AND(Dashboard!$C$9="Yes",AC155=1),0,1)</f>
        <v>1</v>
      </c>
      <c r="AF155" s="62" t="n">
        <v>0</v>
      </c>
    </row>
    <row r="156" customFormat="false" ht="15" hidden="false" customHeight="false" outlineLevel="0" collapsed="false">
      <c r="A156" s="62" t="n">
        <v>155</v>
      </c>
      <c r="B156" s="63" t="n">
        <v>46231.2317361111</v>
      </c>
      <c r="C156" s="64" t="n">
        <v>46230</v>
      </c>
      <c r="D156" s="62" t="s">
        <v>429</v>
      </c>
      <c r="E156" s="62" t="s">
        <v>144</v>
      </c>
      <c r="F156" s="62" t="s">
        <v>144</v>
      </c>
      <c r="G156" s="62" t="s">
        <v>145</v>
      </c>
      <c r="H156" s="62" t="s">
        <v>59</v>
      </c>
      <c r="I156" s="62" t="s">
        <v>47</v>
      </c>
      <c r="J156" s="62" t="s">
        <v>146</v>
      </c>
      <c r="K156" s="62" t="s">
        <v>147</v>
      </c>
      <c r="L156" s="62" t="s">
        <v>148</v>
      </c>
      <c r="M156" s="62" t="n">
        <v>0</v>
      </c>
      <c r="N156" s="62" t="n">
        <v>1</v>
      </c>
      <c r="O156" s="62" t="n">
        <v>1</v>
      </c>
      <c r="P156" s="62" t="n">
        <v>0</v>
      </c>
      <c r="Q156" s="62" t="n">
        <v>1</v>
      </c>
      <c r="R156" s="62" t="n">
        <v>0</v>
      </c>
      <c r="S156" s="62" t="n">
        <v>0</v>
      </c>
      <c r="T156" s="62" t="n">
        <v>0</v>
      </c>
      <c r="U156" s="62"/>
      <c r="V156" s="62"/>
      <c r="W156" s="62"/>
      <c r="X156" s="62"/>
      <c r="Y156" s="62"/>
      <c r="Z156" s="62" t="s">
        <v>486</v>
      </c>
      <c r="AA156" s="62" t="s">
        <v>487</v>
      </c>
      <c r="AB156" s="62" t="n">
        <v>0</v>
      </c>
      <c r="AC156" s="62" t="n">
        <v>0</v>
      </c>
      <c r="AD156" s="62" t="n">
        <v>1</v>
      </c>
      <c r="AE156" s="62" t="n">
        <f aca="false">IF(AND(Dashboard!$C$9="Yes",AC156=1),0,1)</f>
        <v>1</v>
      </c>
      <c r="AF156" s="62" t="n">
        <v>0</v>
      </c>
    </row>
    <row r="157" customFormat="false" ht="15" hidden="false" customHeight="false" outlineLevel="0" collapsed="false">
      <c r="A157" s="62" t="n">
        <v>156</v>
      </c>
      <c r="B157" s="63" t="n">
        <v>46231.2319560185</v>
      </c>
      <c r="C157" s="64" t="n">
        <v>46230</v>
      </c>
      <c r="D157" s="62" t="s">
        <v>429</v>
      </c>
      <c r="E157" s="62" t="s">
        <v>144</v>
      </c>
      <c r="F157" s="62" t="s">
        <v>144</v>
      </c>
      <c r="G157" s="62" t="s">
        <v>145</v>
      </c>
      <c r="H157" s="62" t="s">
        <v>59</v>
      </c>
      <c r="I157" s="62" t="s">
        <v>47</v>
      </c>
      <c r="J157" s="62" t="s">
        <v>146</v>
      </c>
      <c r="K157" s="62" t="s">
        <v>147</v>
      </c>
      <c r="L157" s="62" t="s">
        <v>148</v>
      </c>
      <c r="M157" s="62" t="n">
        <v>0</v>
      </c>
      <c r="N157" s="62" t="n">
        <v>1</v>
      </c>
      <c r="O157" s="62" t="n">
        <v>1</v>
      </c>
      <c r="P157" s="62" t="n">
        <v>0</v>
      </c>
      <c r="Q157" s="62" t="n">
        <v>1</v>
      </c>
      <c r="R157" s="62" t="n">
        <v>0</v>
      </c>
      <c r="S157" s="62" t="n">
        <v>0</v>
      </c>
      <c r="T157" s="62" t="n">
        <v>0</v>
      </c>
      <c r="U157" s="62"/>
      <c r="V157" s="62"/>
      <c r="W157" s="62"/>
      <c r="X157" s="62"/>
      <c r="Y157" s="62"/>
      <c r="Z157" s="62" t="s">
        <v>486</v>
      </c>
      <c r="AA157" s="62" t="s">
        <v>487</v>
      </c>
      <c r="AB157" s="62" t="n">
        <v>0</v>
      </c>
      <c r="AC157" s="62" t="n">
        <v>0</v>
      </c>
      <c r="AD157" s="62" t="n">
        <v>1</v>
      </c>
      <c r="AE157" s="62" t="n">
        <f aca="false">IF(AND(Dashboard!$C$9="Yes",AC157=1),0,1)</f>
        <v>1</v>
      </c>
      <c r="AF157" s="62" t="n">
        <v>0</v>
      </c>
    </row>
    <row r="158" customFormat="false" ht="15" hidden="false" customHeight="false" outlineLevel="0" collapsed="false">
      <c r="A158" s="62" t="n">
        <v>157</v>
      </c>
      <c r="B158" s="63" t="n">
        <v>46231.2333333333</v>
      </c>
      <c r="C158" s="64" t="n">
        <v>46230</v>
      </c>
      <c r="D158" s="62" t="s">
        <v>429</v>
      </c>
      <c r="E158" s="62" t="s">
        <v>239</v>
      </c>
      <c r="F158" s="62" t="s">
        <v>240</v>
      </c>
      <c r="G158" s="62" t="s">
        <v>153</v>
      </c>
      <c r="H158" s="62" t="s">
        <v>153</v>
      </c>
      <c r="I158" s="62" t="s">
        <v>153</v>
      </c>
      <c r="J158" s="62" t="s">
        <v>64</v>
      </c>
      <c r="K158" s="62" t="s">
        <v>64</v>
      </c>
      <c r="L158" s="62" t="s">
        <v>148</v>
      </c>
      <c r="M158" s="62" t="n">
        <v>0</v>
      </c>
      <c r="N158" s="62" t="n">
        <v>1</v>
      </c>
      <c r="O158" s="62" t="n">
        <v>1</v>
      </c>
      <c r="P158" s="62" t="n">
        <v>1</v>
      </c>
      <c r="Q158" s="62" t="n">
        <v>0</v>
      </c>
      <c r="R158" s="62" t="n">
        <v>0</v>
      </c>
      <c r="S158" s="62" t="n">
        <v>0</v>
      </c>
      <c r="T158" s="62" t="n">
        <v>0</v>
      </c>
      <c r="U158" s="62"/>
      <c r="V158" s="62"/>
      <c r="W158" s="62"/>
      <c r="X158" s="62"/>
      <c r="Y158" s="62"/>
      <c r="Z158" s="62" t="s">
        <v>488</v>
      </c>
      <c r="AA158" s="62" t="s">
        <v>489</v>
      </c>
      <c r="AB158" s="62" t="n">
        <v>1</v>
      </c>
      <c r="AC158" s="62" t="n">
        <v>0</v>
      </c>
      <c r="AD158" s="62" t="n">
        <v>0</v>
      </c>
      <c r="AE158" s="62" t="n">
        <f aca="false">IF(AND(Dashboard!$C$9="Yes",AC158=1),0,1)</f>
        <v>1</v>
      </c>
      <c r="AF158" s="62" t="n">
        <v>0</v>
      </c>
    </row>
    <row r="159" customFormat="false" ht="15" hidden="false" customHeight="false" outlineLevel="0" collapsed="false">
      <c r="A159" s="62" t="n">
        <v>158</v>
      </c>
      <c r="B159" s="63" t="n">
        <v>46231.2359259259</v>
      </c>
      <c r="C159" s="64" t="n">
        <v>46230</v>
      </c>
      <c r="D159" s="62" t="s">
        <v>429</v>
      </c>
      <c r="E159" s="62" t="s">
        <v>190</v>
      </c>
      <c r="F159" s="62" t="s">
        <v>191</v>
      </c>
      <c r="G159" s="62" t="s">
        <v>153</v>
      </c>
      <c r="H159" s="62" t="s">
        <v>153</v>
      </c>
      <c r="I159" s="62" t="s">
        <v>153</v>
      </c>
      <c r="J159" s="62" t="s">
        <v>64</v>
      </c>
      <c r="K159" s="62" t="s">
        <v>64</v>
      </c>
      <c r="L159" s="62" t="s">
        <v>148</v>
      </c>
      <c r="M159" s="62" t="n">
        <v>0</v>
      </c>
      <c r="N159" s="62" t="n">
        <v>1</v>
      </c>
      <c r="O159" s="62" t="n">
        <v>1</v>
      </c>
      <c r="P159" s="62" t="n">
        <v>0</v>
      </c>
      <c r="Q159" s="62" t="n">
        <v>1</v>
      </c>
      <c r="R159" s="62" t="n">
        <v>0</v>
      </c>
      <c r="S159" s="62" t="n">
        <v>0</v>
      </c>
      <c r="T159" s="62" t="n">
        <v>0</v>
      </c>
      <c r="U159" s="62"/>
      <c r="V159" s="62"/>
      <c r="W159" s="62"/>
      <c r="X159" s="62"/>
      <c r="Y159" s="62"/>
      <c r="Z159" s="62" t="s">
        <v>490</v>
      </c>
      <c r="AA159" s="62" t="s">
        <v>491</v>
      </c>
      <c r="AB159" s="62" t="n">
        <v>1</v>
      </c>
      <c r="AC159" s="62" t="n">
        <v>0</v>
      </c>
      <c r="AD159" s="62" t="n">
        <v>0</v>
      </c>
      <c r="AE159" s="62" t="n">
        <f aca="false">IF(AND(Dashboard!$C$9="Yes",AC159=1),0,1)</f>
        <v>1</v>
      </c>
      <c r="AF159" s="62" t="n">
        <v>0</v>
      </c>
    </row>
    <row r="160" customFormat="false" ht="15" hidden="false" customHeight="false" outlineLevel="0" collapsed="false">
      <c r="A160" s="62" t="n">
        <v>159</v>
      </c>
      <c r="B160" s="63" t="n">
        <v>46231.2503703704</v>
      </c>
      <c r="C160" s="64" t="n">
        <v>46230</v>
      </c>
      <c r="D160" s="62" t="s">
        <v>429</v>
      </c>
      <c r="E160" s="62" t="s">
        <v>203</v>
      </c>
      <c r="F160" s="62" t="s">
        <v>203</v>
      </c>
      <c r="G160" s="62" t="s">
        <v>204</v>
      </c>
      <c r="H160" s="62" t="s">
        <v>51</v>
      </c>
      <c r="I160" s="62" t="s">
        <v>47</v>
      </c>
      <c r="J160" s="62" t="s">
        <v>146</v>
      </c>
      <c r="K160" s="62" t="s">
        <v>147</v>
      </c>
      <c r="L160" s="62" t="s">
        <v>148</v>
      </c>
      <c r="M160" s="62" t="n">
        <v>0</v>
      </c>
      <c r="N160" s="62" t="n">
        <v>1</v>
      </c>
      <c r="O160" s="62" t="n">
        <v>1</v>
      </c>
      <c r="P160" s="62" t="n">
        <v>1</v>
      </c>
      <c r="Q160" s="62" t="n">
        <v>0</v>
      </c>
      <c r="R160" s="62" t="n">
        <v>0</v>
      </c>
      <c r="S160" s="62" t="n">
        <v>0</v>
      </c>
      <c r="T160" s="62" t="n">
        <v>0</v>
      </c>
      <c r="U160" s="62"/>
      <c r="V160" s="62"/>
      <c r="W160" s="62"/>
      <c r="X160" s="62"/>
      <c r="Y160" s="62"/>
      <c r="Z160" s="62" t="s">
        <v>484</v>
      </c>
      <c r="AA160" s="62" t="s">
        <v>492</v>
      </c>
      <c r="AB160" s="62" t="n">
        <v>0</v>
      </c>
      <c r="AC160" s="62" t="n">
        <v>0</v>
      </c>
      <c r="AD160" s="62" t="n">
        <v>1</v>
      </c>
      <c r="AE160" s="62" t="n">
        <f aca="false">IF(AND(Dashboard!$C$9="Yes",AC160=1),0,1)</f>
        <v>1</v>
      </c>
      <c r="AF160" s="62" t="n">
        <v>0</v>
      </c>
    </row>
    <row r="161" customFormat="false" ht="15" hidden="false" customHeight="false" outlineLevel="0" collapsed="false">
      <c r="A161" s="62" t="n">
        <v>160</v>
      </c>
      <c r="B161" s="63" t="n">
        <v>46231.2508217593</v>
      </c>
      <c r="C161" s="64" t="n">
        <v>46230</v>
      </c>
      <c r="D161" s="62" t="s">
        <v>429</v>
      </c>
      <c r="E161" s="62" t="s">
        <v>203</v>
      </c>
      <c r="F161" s="62" t="s">
        <v>203</v>
      </c>
      <c r="G161" s="62" t="s">
        <v>204</v>
      </c>
      <c r="H161" s="62" t="s">
        <v>51</v>
      </c>
      <c r="I161" s="62" t="s">
        <v>47</v>
      </c>
      <c r="J161" s="62" t="s">
        <v>146</v>
      </c>
      <c r="K161" s="62" t="s">
        <v>147</v>
      </c>
      <c r="L161" s="62" t="s">
        <v>4</v>
      </c>
      <c r="M161" s="62" t="n">
        <v>1</v>
      </c>
      <c r="N161" s="62" t="n">
        <v>0</v>
      </c>
      <c r="O161" s="62" t="n">
        <v>1</v>
      </c>
      <c r="P161" s="62" t="n">
        <v>0</v>
      </c>
      <c r="Q161" s="62" t="n">
        <v>0</v>
      </c>
      <c r="R161" s="62" t="n">
        <v>0</v>
      </c>
      <c r="S161" s="62" t="n">
        <v>0</v>
      </c>
      <c r="T161" s="62" t="n">
        <v>0</v>
      </c>
      <c r="U161" s="62"/>
      <c r="V161" s="62"/>
      <c r="W161" s="62"/>
      <c r="X161" s="62"/>
      <c r="Y161" s="62"/>
      <c r="Z161" s="62" t="s">
        <v>493</v>
      </c>
      <c r="AA161" s="62" t="s">
        <v>494</v>
      </c>
      <c r="AB161" s="62" t="n">
        <v>1</v>
      </c>
      <c r="AC161" s="62" t="n">
        <v>0</v>
      </c>
      <c r="AD161" s="62" t="n">
        <v>1</v>
      </c>
      <c r="AE161" s="62" t="n">
        <f aca="false">IF(AND(Dashboard!$C$9="Yes",AC161=1),0,1)</f>
        <v>1</v>
      </c>
      <c r="AF161" s="62" t="n">
        <v>0</v>
      </c>
    </row>
    <row r="162" customFormat="false" ht="15" hidden="false" customHeight="false" outlineLevel="0" collapsed="false">
      <c r="A162" s="62" t="n">
        <v>161</v>
      </c>
      <c r="B162" s="63" t="n">
        <v>46231.2540625</v>
      </c>
      <c r="C162" s="64" t="n">
        <v>46230</v>
      </c>
      <c r="D162" s="62" t="s">
        <v>429</v>
      </c>
      <c r="E162" s="62" t="s">
        <v>239</v>
      </c>
      <c r="F162" s="62" t="s">
        <v>240</v>
      </c>
      <c r="G162" s="62" t="s">
        <v>153</v>
      </c>
      <c r="H162" s="62" t="s">
        <v>153</v>
      </c>
      <c r="I162" s="62" t="s">
        <v>153</v>
      </c>
      <c r="J162" s="62" t="s">
        <v>64</v>
      </c>
      <c r="K162" s="62" t="s">
        <v>64</v>
      </c>
      <c r="L162" s="62" t="s">
        <v>148</v>
      </c>
      <c r="M162" s="62" t="n">
        <v>0</v>
      </c>
      <c r="N162" s="62" t="n">
        <v>1</v>
      </c>
      <c r="O162" s="62" t="n">
        <v>1</v>
      </c>
      <c r="P162" s="62" t="n">
        <v>0</v>
      </c>
      <c r="Q162" s="62" t="n">
        <v>0</v>
      </c>
      <c r="R162" s="62" t="n">
        <v>1</v>
      </c>
      <c r="S162" s="62" t="n">
        <v>0</v>
      </c>
      <c r="T162" s="62" t="n">
        <v>0</v>
      </c>
      <c r="U162" s="62"/>
      <c r="V162" s="62"/>
      <c r="W162" s="62"/>
      <c r="X162" s="62"/>
      <c r="Y162" s="62"/>
      <c r="Z162" s="62" t="s">
        <v>488</v>
      </c>
      <c r="AA162" s="62" t="s">
        <v>489</v>
      </c>
      <c r="AB162" s="62" t="n">
        <v>1</v>
      </c>
      <c r="AC162" s="62" t="n">
        <v>1</v>
      </c>
      <c r="AD162" s="62" t="n">
        <v>0</v>
      </c>
      <c r="AE162" s="62" t="n">
        <f aca="false">IF(AND(Dashboard!$C$9="Yes",AC162=1),0,1)</f>
        <v>0</v>
      </c>
      <c r="AF162" s="62" t="n">
        <v>0</v>
      </c>
    </row>
    <row r="163" customFormat="false" ht="15" hidden="false" customHeight="false" outlineLevel="0" collapsed="false">
      <c r="A163" s="62" t="n">
        <v>162</v>
      </c>
      <c r="B163" s="63" t="n">
        <v>46231.2623958333</v>
      </c>
      <c r="C163" s="64" t="n">
        <v>46230</v>
      </c>
      <c r="D163" s="62" t="s">
        <v>429</v>
      </c>
      <c r="E163" s="62" t="s">
        <v>144</v>
      </c>
      <c r="F163" s="62" t="s">
        <v>144</v>
      </c>
      <c r="G163" s="62" t="s">
        <v>145</v>
      </c>
      <c r="H163" s="62" t="s">
        <v>59</v>
      </c>
      <c r="I163" s="62" t="s">
        <v>47</v>
      </c>
      <c r="J163" s="62" t="s">
        <v>146</v>
      </c>
      <c r="K163" s="62" t="s">
        <v>147</v>
      </c>
      <c r="L163" s="62" t="s">
        <v>148</v>
      </c>
      <c r="M163" s="62" t="n">
        <v>0</v>
      </c>
      <c r="N163" s="62" t="n">
        <v>2</v>
      </c>
      <c r="O163" s="62" t="n">
        <v>2</v>
      </c>
      <c r="P163" s="62" t="n">
        <v>1</v>
      </c>
      <c r="Q163" s="62" t="n">
        <v>1</v>
      </c>
      <c r="R163" s="62" t="n">
        <v>0</v>
      </c>
      <c r="S163" s="62" t="n">
        <v>0</v>
      </c>
      <c r="T163" s="62" t="n">
        <v>0</v>
      </c>
      <c r="U163" s="62"/>
      <c r="V163" s="62"/>
      <c r="W163" s="62"/>
      <c r="X163" s="62"/>
      <c r="Y163" s="62"/>
      <c r="Z163" s="62" t="s">
        <v>495</v>
      </c>
      <c r="AA163" s="62" t="s">
        <v>496</v>
      </c>
      <c r="AB163" s="62" t="n">
        <v>0</v>
      </c>
      <c r="AC163" s="62" t="n">
        <v>0</v>
      </c>
      <c r="AD163" s="62" t="n">
        <v>1</v>
      </c>
      <c r="AE163" s="62" t="n">
        <f aca="false">IF(AND(Dashboard!$C$9="Yes",AC163=1),0,1)</f>
        <v>1</v>
      </c>
      <c r="AF163" s="62" t="n">
        <v>0</v>
      </c>
    </row>
    <row r="164" customFormat="false" ht="15" hidden="false" customHeight="false" outlineLevel="0" collapsed="false">
      <c r="A164" s="62" t="n">
        <v>163</v>
      </c>
      <c r="B164" s="63" t="n">
        <v>46231.262650463</v>
      </c>
      <c r="C164" s="64" t="n">
        <v>46230</v>
      </c>
      <c r="D164" s="62" t="s">
        <v>429</v>
      </c>
      <c r="E164" s="62" t="s">
        <v>144</v>
      </c>
      <c r="F164" s="62" t="s">
        <v>144</v>
      </c>
      <c r="G164" s="62" t="s">
        <v>145</v>
      </c>
      <c r="H164" s="62" t="s">
        <v>59</v>
      </c>
      <c r="I164" s="62" t="s">
        <v>47</v>
      </c>
      <c r="J164" s="62" t="s">
        <v>146</v>
      </c>
      <c r="K164" s="62" t="s">
        <v>147</v>
      </c>
      <c r="L164" s="62" t="s">
        <v>148</v>
      </c>
      <c r="M164" s="62" t="n">
        <v>0</v>
      </c>
      <c r="N164" s="62" t="n">
        <v>2</v>
      </c>
      <c r="O164" s="62" t="n">
        <v>2</v>
      </c>
      <c r="P164" s="62" t="n">
        <v>1</v>
      </c>
      <c r="Q164" s="62" t="n">
        <v>1</v>
      </c>
      <c r="R164" s="62" t="n">
        <v>0</v>
      </c>
      <c r="S164" s="62" t="n">
        <v>0</v>
      </c>
      <c r="T164" s="62" t="n">
        <v>0</v>
      </c>
      <c r="U164" s="62"/>
      <c r="V164" s="62"/>
      <c r="W164" s="62"/>
      <c r="X164" s="62"/>
      <c r="Y164" s="62"/>
      <c r="Z164" s="62" t="s">
        <v>495</v>
      </c>
      <c r="AA164" s="62" t="s">
        <v>496</v>
      </c>
      <c r="AB164" s="62" t="n">
        <v>0</v>
      </c>
      <c r="AC164" s="62" t="n">
        <v>0</v>
      </c>
      <c r="AD164" s="62" t="n">
        <v>1</v>
      </c>
      <c r="AE164" s="62" t="n">
        <f aca="false">IF(AND(Dashboard!$C$9="Yes",AC164=1),0,1)</f>
        <v>1</v>
      </c>
      <c r="AF164" s="62" t="n">
        <v>0</v>
      </c>
    </row>
    <row r="165" customFormat="false" ht="15" hidden="false" customHeight="false" outlineLevel="0" collapsed="false">
      <c r="A165" s="62" t="n">
        <v>164</v>
      </c>
      <c r="B165" s="63" t="n">
        <v>46231.2685069444</v>
      </c>
      <c r="C165" s="64" t="n">
        <v>46230</v>
      </c>
      <c r="D165" s="62" t="s">
        <v>429</v>
      </c>
      <c r="E165" s="62" t="s">
        <v>273</v>
      </c>
      <c r="F165" s="62" t="s">
        <v>273</v>
      </c>
      <c r="G165" s="62" t="s">
        <v>274</v>
      </c>
      <c r="H165" s="62" t="s">
        <v>59</v>
      </c>
      <c r="I165" s="62" t="s">
        <v>47</v>
      </c>
      <c r="J165" s="62" t="s">
        <v>146</v>
      </c>
      <c r="K165" s="62" t="s">
        <v>147</v>
      </c>
      <c r="L165" s="62" t="s">
        <v>148</v>
      </c>
      <c r="M165" s="62" t="n">
        <v>0</v>
      </c>
      <c r="N165" s="62" t="n">
        <v>1</v>
      </c>
      <c r="O165" s="62" t="n">
        <v>1</v>
      </c>
      <c r="P165" s="62" t="n">
        <v>0</v>
      </c>
      <c r="Q165" s="62" t="n">
        <v>1</v>
      </c>
      <c r="R165" s="62" t="n">
        <v>0</v>
      </c>
      <c r="S165" s="62" t="n">
        <v>0</v>
      </c>
      <c r="T165" s="62" t="n">
        <v>0</v>
      </c>
      <c r="U165" s="62"/>
      <c r="V165" s="62"/>
      <c r="W165" s="62"/>
      <c r="X165" s="62"/>
      <c r="Y165" s="62"/>
      <c r="Z165" s="62" t="s">
        <v>497</v>
      </c>
      <c r="AA165" s="62" t="s">
        <v>498</v>
      </c>
      <c r="AB165" s="62" t="n">
        <v>1</v>
      </c>
      <c r="AC165" s="62" t="n">
        <v>0</v>
      </c>
      <c r="AD165" s="62" t="n">
        <v>1</v>
      </c>
      <c r="AE165" s="62" t="n">
        <f aca="false">IF(AND(Dashboard!$C$9="Yes",AC165=1),0,1)</f>
        <v>1</v>
      </c>
      <c r="AF165" s="62" t="n">
        <v>0</v>
      </c>
    </row>
    <row r="166" customFormat="false" ht="15" hidden="false" customHeight="false" outlineLevel="0" collapsed="false">
      <c r="A166" s="62" t="n">
        <v>165</v>
      </c>
      <c r="B166" s="63" t="n">
        <v>46231.2917476852</v>
      </c>
      <c r="C166" s="64" t="n">
        <v>46230</v>
      </c>
      <c r="D166" s="62" t="s">
        <v>429</v>
      </c>
      <c r="E166" s="62" t="s">
        <v>144</v>
      </c>
      <c r="F166" s="62" t="s">
        <v>144</v>
      </c>
      <c r="G166" s="62" t="s">
        <v>145</v>
      </c>
      <c r="H166" s="62" t="s">
        <v>59</v>
      </c>
      <c r="I166" s="62" t="s">
        <v>47</v>
      </c>
      <c r="J166" s="62" t="s">
        <v>146</v>
      </c>
      <c r="K166" s="62" t="s">
        <v>147</v>
      </c>
      <c r="L166" s="62" t="s">
        <v>148</v>
      </c>
      <c r="M166" s="62" t="n">
        <v>0</v>
      </c>
      <c r="N166" s="62" t="n">
        <v>1</v>
      </c>
      <c r="O166" s="62" t="n">
        <v>1</v>
      </c>
      <c r="P166" s="62" t="n">
        <v>0</v>
      </c>
      <c r="Q166" s="62" t="n">
        <v>1</v>
      </c>
      <c r="R166" s="62" t="n">
        <v>0</v>
      </c>
      <c r="S166" s="62" t="n">
        <v>0</v>
      </c>
      <c r="T166" s="62" t="n">
        <v>0</v>
      </c>
      <c r="U166" s="62"/>
      <c r="V166" s="62"/>
      <c r="W166" s="62"/>
      <c r="X166" s="62"/>
      <c r="Y166" s="62"/>
      <c r="Z166" s="62" t="s">
        <v>499</v>
      </c>
      <c r="AA166" s="62" t="s">
        <v>500</v>
      </c>
      <c r="AB166" s="62" t="n">
        <v>0</v>
      </c>
      <c r="AC166" s="62" t="n">
        <v>0</v>
      </c>
      <c r="AD166" s="62" t="n">
        <v>1</v>
      </c>
      <c r="AE166" s="62" t="n">
        <f aca="false">IF(AND(Dashboard!$C$9="Yes",AC166=1),0,1)</f>
        <v>1</v>
      </c>
      <c r="AF166" s="62" t="n">
        <v>0</v>
      </c>
    </row>
    <row r="167" customFormat="false" ht="15" hidden="false" customHeight="false" outlineLevel="0" collapsed="false">
      <c r="A167" s="62" t="n">
        <v>166</v>
      </c>
      <c r="B167" s="63" t="n">
        <v>46231.2919791667</v>
      </c>
      <c r="C167" s="64" t="n">
        <v>46230</v>
      </c>
      <c r="D167" s="62" t="s">
        <v>429</v>
      </c>
      <c r="E167" s="62" t="s">
        <v>144</v>
      </c>
      <c r="F167" s="62" t="s">
        <v>144</v>
      </c>
      <c r="G167" s="62" t="s">
        <v>145</v>
      </c>
      <c r="H167" s="62" t="s">
        <v>59</v>
      </c>
      <c r="I167" s="62" t="s">
        <v>47</v>
      </c>
      <c r="J167" s="62" t="s">
        <v>146</v>
      </c>
      <c r="K167" s="62" t="s">
        <v>147</v>
      </c>
      <c r="L167" s="62" t="s">
        <v>148</v>
      </c>
      <c r="M167" s="62" t="n">
        <v>0</v>
      </c>
      <c r="N167" s="62" t="n">
        <v>1</v>
      </c>
      <c r="O167" s="62" t="n">
        <v>1</v>
      </c>
      <c r="P167" s="62" t="n">
        <v>0</v>
      </c>
      <c r="Q167" s="62" t="n">
        <v>1</v>
      </c>
      <c r="R167" s="62" t="n">
        <v>0</v>
      </c>
      <c r="S167" s="62" t="n">
        <v>0</v>
      </c>
      <c r="T167" s="62" t="n">
        <v>0</v>
      </c>
      <c r="U167" s="62"/>
      <c r="V167" s="62"/>
      <c r="W167" s="62"/>
      <c r="X167" s="62"/>
      <c r="Y167" s="62"/>
      <c r="Z167" s="62" t="s">
        <v>499</v>
      </c>
      <c r="AA167" s="62" t="s">
        <v>500</v>
      </c>
      <c r="AB167" s="62" t="n">
        <v>0</v>
      </c>
      <c r="AC167" s="62" t="n">
        <v>0</v>
      </c>
      <c r="AD167" s="62" t="n">
        <v>1</v>
      </c>
      <c r="AE167" s="62" t="n">
        <f aca="false">IF(AND(Dashboard!$C$9="Yes",AC167=1),0,1)</f>
        <v>1</v>
      </c>
      <c r="AF167" s="62" t="n">
        <v>0</v>
      </c>
    </row>
    <row r="168" customFormat="false" ht="15" hidden="false" customHeight="false" outlineLevel="0" collapsed="false">
      <c r="A168" s="62" t="n">
        <v>167</v>
      </c>
      <c r="B168" s="63" t="n">
        <v>46231.665775463</v>
      </c>
      <c r="C168" s="64" t="n">
        <v>46231</v>
      </c>
      <c r="D168" s="62" t="s">
        <v>501</v>
      </c>
      <c r="E168" s="62" t="s">
        <v>432</v>
      </c>
      <c r="F168" s="62" t="s">
        <v>433</v>
      </c>
      <c r="G168" s="62" t="s">
        <v>153</v>
      </c>
      <c r="H168" s="62" t="s">
        <v>153</v>
      </c>
      <c r="I168" s="62" t="s">
        <v>153</v>
      </c>
      <c r="J168" s="62" t="s">
        <v>64</v>
      </c>
      <c r="K168" s="62" t="s">
        <v>64</v>
      </c>
      <c r="L168" s="62" t="s">
        <v>148</v>
      </c>
      <c r="M168" s="62" t="n">
        <v>0</v>
      </c>
      <c r="N168" s="62" t="n">
        <v>1</v>
      </c>
      <c r="O168" s="62" t="n">
        <v>1</v>
      </c>
      <c r="P168" s="62" t="n">
        <v>0</v>
      </c>
      <c r="Q168" s="62" t="n">
        <v>1</v>
      </c>
      <c r="R168" s="62" t="n">
        <v>0</v>
      </c>
      <c r="S168" s="62" t="n">
        <v>0</v>
      </c>
      <c r="T168" s="62" t="n">
        <v>0</v>
      </c>
      <c r="U168" s="62"/>
      <c r="V168" s="62"/>
      <c r="W168" s="62"/>
      <c r="X168" s="62"/>
      <c r="Y168" s="62"/>
      <c r="Z168" s="62" t="s">
        <v>502</v>
      </c>
      <c r="AA168" s="62" t="s">
        <v>503</v>
      </c>
      <c r="AB168" s="62" t="n">
        <v>1</v>
      </c>
      <c r="AC168" s="62" t="n">
        <v>0</v>
      </c>
      <c r="AD168" s="62" t="n">
        <v>0</v>
      </c>
      <c r="AE168" s="62" t="n">
        <f aca="false">IF(AND(Dashboard!$C$9="Yes",AC168=1),0,1)</f>
        <v>1</v>
      </c>
      <c r="AF168" s="62" t="n">
        <v>1</v>
      </c>
    </row>
    <row r="169" customFormat="false" ht="15" hidden="false" customHeight="false" outlineLevel="0" collapsed="false">
      <c r="A169" s="62" t="n">
        <v>168</v>
      </c>
      <c r="B169" s="63" t="n">
        <v>46231.6659259259</v>
      </c>
      <c r="C169" s="64" t="n">
        <v>46231</v>
      </c>
      <c r="D169" s="62" t="s">
        <v>501</v>
      </c>
      <c r="E169" s="62" t="s">
        <v>432</v>
      </c>
      <c r="F169" s="62" t="s">
        <v>433</v>
      </c>
      <c r="G169" s="62" t="s">
        <v>153</v>
      </c>
      <c r="H169" s="62" t="s">
        <v>153</v>
      </c>
      <c r="I169" s="62" t="s">
        <v>153</v>
      </c>
      <c r="J169" s="62" t="s">
        <v>64</v>
      </c>
      <c r="K169" s="62" t="s">
        <v>64</v>
      </c>
      <c r="L169" s="62" t="s">
        <v>148</v>
      </c>
      <c r="M169" s="62" t="n">
        <v>0</v>
      </c>
      <c r="N169" s="62" t="n">
        <v>1</v>
      </c>
      <c r="O169" s="62" t="n">
        <v>1</v>
      </c>
      <c r="P169" s="62" t="n">
        <v>1</v>
      </c>
      <c r="Q169" s="62" t="n">
        <v>0</v>
      </c>
      <c r="R169" s="62" t="n">
        <v>0</v>
      </c>
      <c r="S169" s="62" t="n">
        <v>0</v>
      </c>
      <c r="T169" s="62" t="n">
        <v>0</v>
      </c>
      <c r="U169" s="62"/>
      <c r="V169" s="62"/>
      <c r="W169" s="62"/>
      <c r="X169" s="62"/>
      <c r="Y169" s="62"/>
      <c r="Z169" s="62" t="s">
        <v>502</v>
      </c>
      <c r="AA169" s="62" t="s">
        <v>503</v>
      </c>
      <c r="AB169" s="62" t="n">
        <v>1</v>
      </c>
      <c r="AC169" s="62" t="n">
        <v>1</v>
      </c>
      <c r="AD169" s="62" t="n">
        <v>0</v>
      </c>
      <c r="AE169" s="62" t="n">
        <f aca="false">IF(AND(Dashboard!$C$9="Yes",AC169=1),0,1)</f>
        <v>0</v>
      </c>
      <c r="AF169" s="62" t="n">
        <v>0</v>
      </c>
    </row>
    <row r="170" customFormat="false" ht="15" hidden="false" customHeight="false" outlineLevel="0" collapsed="false">
      <c r="A170" s="62" t="n">
        <v>169</v>
      </c>
      <c r="B170" s="63" t="n">
        <v>46231.7186921296</v>
      </c>
      <c r="C170" s="64" t="n">
        <v>46231</v>
      </c>
      <c r="D170" s="62" t="s">
        <v>501</v>
      </c>
      <c r="E170" s="62" t="s">
        <v>173</v>
      </c>
      <c r="F170" s="62" t="s">
        <v>173</v>
      </c>
      <c r="G170" s="62" t="s">
        <v>174</v>
      </c>
      <c r="H170" s="62" t="s">
        <v>58</v>
      </c>
      <c r="I170" s="62" t="s">
        <v>49</v>
      </c>
      <c r="J170" s="62" t="s">
        <v>146</v>
      </c>
      <c r="K170" s="62" t="s">
        <v>175</v>
      </c>
      <c r="L170" s="62" t="s">
        <v>148</v>
      </c>
      <c r="M170" s="62" t="n">
        <v>0</v>
      </c>
      <c r="N170" s="62" t="n">
        <v>1</v>
      </c>
      <c r="O170" s="62" t="n">
        <v>1</v>
      </c>
      <c r="P170" s="62" t="n">
        <v>1</v>
      </c>
      <c r="Q170" s="62" t="n">
        <v>0</v>
      </c>
      <c r="R170" s="62" t="n">
        <v>0</v>
      </c>
      <c r="S170" s="62" t="n">
        <v>0</v>
      </c>
      <c r="T170" s="62" t="n">
        <v>0</v>
      </c>
      <c r="U170" s="62"/>
      <c r="V170" s="62"/>
      <c r="W170" s="62"/>
      <c r="X170" s="62"/>
      <c r="Y170" s="62"/>
      <c r="Z170" s="62" t="s">
        <v>504</v>
      </c>
      <c r="AA170" s="62" t="s">
        <v>505</v>
      </c>
      <c r="AB170" s="62" t="n">
        <v>1</v>
      </c>
      <c r="AC170" s="62" t="n">
        <v>0</v>
      </c>
      <c r="AD170" s="62" t="n">
        <v>1</v>
      </c>
      <c r="AE170" s="62" t="n">
        <f aca="false">IF(AND(Dashboard!$C$9="Yes",AC170=1),0,1)</f>
        <v>1</v>
      </c>
      <c r="AF170" s="62" t="n">
        <v>1</v>
      </c>
    </row>
    <row r="171" customFormat="false" ht="15" hidden="false" customHeight="false" outlineLevel="0" collapsed="false">
      <c r="A171" s="62" t="n">
        <v>170</v>
      </c>
      <c r="B171" s="63" t="n">
        <v>46231.7306481482</v>
      </c>
      <c r="C171" s="64" t="n">
        <v>46231</v>
      </c>
      <c r="D171" s="62" t="s">
        <v>501</v>
      </c>
      <c r="E171" s="62" t="s">
        <v>207</v>
      </c>
      <c r="F171" s="62" t="s">
        <v>207</v>
      </c>
      <c r="G171" s="62" t="s">
        <v>208</v>
      </c>
      <c r="H171" s="62" t="s">
        <v>48</v>
      </c>
      <c r="I171" s="62" t="s">
        <v>49</v>
      </c>
      <c r="J171" s="62" t="s">
        <v>146</v>
      </c>
      <c r="K171" s="62" t="s">
        <v>209</v>
      </c>
      <c r="L171" s="62" t="s">
        <v>148</v>
      </c>
      <c r="M171" s="62" t="n">
        <v>0</v>
      </c>
      <c r="N171" s="62" t="n">
        <v>1</v>
      </c>
      <c r="O171" s="62" t="n">
        <v>1</v>
      </c>
      <c r="P171" s="62" t="n">
        <v>0</v>
      </c>
      <c r="Q171" s="62" t="n">
        <v>1</v>
      </c>
      <c r="R171" s="62" t="n">
        <v>0</v>
      </c>
      <c r="S171" s="62" t="n">
        <v>0</v>
      </c>
      <c r="T171" s="62" t="n">
        <v>0</v>
      </c>
      <c r="U171" s="62"/>
      <c r="V171" s="62"/>
      <c r="W171" s="62"/>
      <c r="X171" s="62"/>
      <c r="Y171" s="62"/>
      <c r="Z171" s="62" t="s">
        <v>506</v>
      </c>
      <c r="AA171" s="62" t="s">
        <v>507</v>
      </c>
      <c r="AB171" s="62" t="n">
        <v>1</v>
      </c>
      <c r="AC171" s="62" t="n">
        <v>0</v>
      </c>
      <c r="AD171" s="62" t="n">
        <v>1</v>
      </c>
      <c r="AE171" s="62" t="n">
        <f aca="false">IF(AND(Dashboard!$C$9="Yes",AC171=1),0,1)</f>
        <v>1</v>
      </c>
      <c r="AF171" s="62" t="n">
        <v>1</v>
      </c>
    </row>
    <row r="172" customFormat="false" ht="15" hidden="false" customHeight="false" outlineLevel="0" collapsed="false">
      <c r="A172" s="62" t="n">
        <v>171</v>
      </c>
      <c r="B172" s="63" t="n">
        <v>46231.7864699074</v>
      </c>
      <c r="C172" s="64" t="n">
        <v>46231</v>
      </c>
      <c r="D172" s="62" t="s">
        <v>501</v>
      </c>
      <c r="E172" s="62" t="s">
        <v>164</v>
      </c>
      <c r="F172" s="62" t="s">
        <v>164</v>
      </c>
      <c r="G172" s="62" t="s">
        <v>165</v>
      </c>
      <c r="H172" s="62" t="s">
        <v>51</v>
      </c>
      <c r="I172" s="62" t="s">
        <v>47</v>
      </c>
      <c r="J172" s="62" t="s">
        <v>146</v>
      </c>
      <c r="K172" s="62" t="s">
        <v>147</v>
      </c>
      <c r="L172" s="62" t="s">
        <v>148</v>
      </c>
      <c r="M172" s="62" t="n">
        <v>0</v>
      </c>
      <c r="N172" s="62" t="n">
        <v>1</v>
      </c>
      <c r="O172" s="62" t="n">
        <v>1</v>
      </c>
      <c r="P172" s="62" t="n">
        <v>0</v>
      </c>
      <c r="Q172" s="62" t="n">
        <v>1</v>
      </c>
      <c r="R172" s="62" t="n">
        <v>0</v>
      </c>
      <c r="S172" s="62" t="n">
        <v>0</v>
      </c>
      <c r="T172" s="62" t="n">
        <v>0</v>
      </c>
      <c r="U172" s="62"/>
      <c r="V172" s="62"/>
      <c r="W172" s="62"/>
      <c r="X172" s="62"/>
      <c r="Y172" s="62"/>
      <c r="Z172" s="62" t="s">
        <v>508</v>
      </c>
      <c r="AA172" s="62" t="s">
        <v>509</v>
      </c>
      <c r="AB172" s="62" t="n">
        <v>1</v>
      </c>
      <c r="AC172" s="62" t="n">
        <v>0</v>
      </c>
      <c r="AD172" s="62" t="n">
        <v>1</v>
      </c>
      <c r="AE172" s="62" t="n">
        <f aca="false">IF(AND(Dashboard!$C$9="Yes",AC172=1),0,1)</f>
        <v>1</v>
      </c>
      <c r="AF172" s="62" t="n">
        <v>1</v>
      </c>
    </row>
    <row r="173" customFormat="false" ht="15" hidden="false" customHeight="false" outlineLevel="0" collapsed="false">
      <c r="A173" s="62" t="n">
        <v>172</v>
      </c>
      <c r="B173" s="63" t="n">
        <v>46231.7885648148</v>
      </c>
      <c r="C173" s="64" t="n">
        <v>46231</v>
      </c>
      <c r="D173" s="62" t="s">
        <v>501</v>
      </c>
      <c r="E173" s="62" t="s">
        <v>173</v>
      </c>
      <c r="F173" s="62" t="s">
        <v>173</v>
      </c>
      <c r="G173" s="62" t="s">
        <v>174</v>
      </c>
      <c r="H173" s="62" t="s">
        <v>58</v>
      </c>
      <c r="I173" s="62" t="s">
        <v>49</v>
      </c>
      <c r="J173" s="62" t="s">
        <v>146</v>
      </c>
      <c r="K173" s="62" t="s">
        <v>175</v>
      </c>
      <c r="L173" s="62" t="s">
        <v>148</v>
      </c>
      <c r="M173" s="62" t="n">
        <v>0</v>
      </c>
      <c r="N173" s="62" t="n">
        <v>1</v>
      </c>
      <c r="O173" s="62" t="n">
        <v>1</v>
      </c>
      <c r="P173" s="62" t="n">
        <v>1</v>
      </c>
      <c r="Q173" s="62" t="n">
        <v>0</v>
      </c>
      <c r="R173" s="62" t="n">
        <v>0</v>
      </c>
      <c r="S173" s="62" t="n">
        <v>0</v>
      </c>
      <c r="T173" s="62" t="n">
        <v>0</v>
      </c>
      <c r="U173" s="62"/>
      <c r="V173" s="62"/>
      <c r="W173" s="62"/>
      <c r="X173" s="62"/>
      <c r="Y173" s="62"/>
      <c r="Z173" s="62" t="s">
        <v>510</v>
      </c>
      <c r="AA173" s="62" t="s">
        <v>511</v>
      </c>
      <c r="AB173" s="62" t="n">
        <v>1</v>
      </c>
      <c r="AC173" s="62" t="n">
        <v>0</v>
      </c>
      <c r="AD173" s="62" t="n">
        <v>1</v>
      </c>
      <c r="AE173" s="62" t="n">
        <f aca="false">IF(AND(Dashboard!$C$9="Yes",AC173=1),0,1)</f>
        <v>1</v>
      </c>
      <c r="AF173" s="62" t="n">
        <v>0</v>
      </c>
    </row>
    <row r="174" customFormat="false" ht="15" hidden="false" customHeight="false" outlineLevel="0" collapsed="false">
      <c r="A174" s="62" t="n">
        <v>173</v>
      </c>
      <c r="B174" s="63" t="n">
        <v>46231.7896180556</v>
      </c>
      <c r="C174" s="64" t="n">
        <v>46231</v>
      </c>
      <c r="D174" s="62" t="s">
        <v>501</v>
      </c>
      <c r="E174" s="62" t="s">
        <v>173</v>
      </c>
      <c r="F174" s="62" t="s">
        <v>173</v>
      </c>
      <c r="G174" s="62" t="s">
        <v>174</v>
      </c>
      <c r="H174" s="62" t="s">
        <v>58</v>
      </c>
      <c r="I174" s="62" t="s">
        <v>49</v>
      </c>
      <c r="J174" s="62" t="s">
        <v>146</v>
      </c>
      <c r="K174" s="62" t="s">
        <v>175</v>
      </c>
      <c r="L174" s="62" t="s">
        <v>4</v>
      </c>
      <c r="M174" s="62" t="n">
        <v>1</v>
      </c>
      <c r="N174" s="62" t="n">
        <v>0</v>
      </c>
      <c r="O174" s="62" t="n">
        <v>1</v>
      </c>
      <c r="P174" s="62" t="n">
        <v>0</v>
      </c>
      <c r="Q174" s="62" t="n">
        <v>0</v>
      </c>
      <c r="R174" s="62" t="n">
        <v>0</v>
      </c>
      <c r="S174" s="62" t="n">
        <v>0</v>
      </c>
      <c r="T174" s="62" t="n">
        <v>0</v>
      </c>
      <c r="U174" s="62"/>
      <c r="V174" s="62"/>
      <c r="W174" s="62"/>
      <c r="X174" s="62"/>
      <c r="Y174" s="62"/>
      <c r="Z174" s="62" t="s">
        <v>512</v>
      </c>
      <c r="AA174" s="62" t="s">
        <v>513</v>
      </c>
      <c r="AB174" s="62" t="n">
        <v>1</v>
      </c>
      <c r="AC174" s="62" t="n">
        <v>0</v>
      </c>
      <c r="AD174" s="62" t="n">
        <v>1</v>
      </c>
      <c r="AE174" s="62" t="n">
        <f aca="false">IF(AND(Dashboard!$C$9="Yes",AC174=1),0,1)</f>
        <v>1</v>
      </c>
      <c r="AF174" s="62" t="n">
        <v>0</v>
      </c>
    </row>
    <row r="175" customFormat="false" ht="15" hidden="false" customHeight="false" outlineLevel="0" collapsed="false">
      <c r="A175" s="62" t="n">
        <v>174</v>
      </c>
      <c r="B175" s="63" t="n">
        <v>46231.8400231482</v>
      </c>
      <c r="C175" s="64" t="n">
        <v>46231</v>
      </c>
      <c r="D175" s="62" t="s">
        <v>501</v>
      </c>
      <c r="E175" s="62" t="s">
        <v>439</v>
      </c>
      <c r="F175" s="62" t="s">
        <v>439</v>
      </c>
      <c r="G175" s="62" t="s">
        <v>440</v>
      </c>
      <c r="H175" s="62" t="s">
        <v>51</v>
      </c>
      <c r="I175" s="62" t="s">
        <v>47</v>
      </c>
      <c r="J175" s="62" t="s">
        <v>146</v>
      </c>
      <c r="K175" s="62" t="s">
        <v>175</v>
      </c>
      <c r="L175" s="62" t="s">
        <v>148</v>
      </c>
      <c r="M175" s="62" t="n">
        <v>0</v>
      </c>
      <c r="N175" s="62" t="n">
        <v>1</v>
      </c>
      <c r="O175" s="62" t="n">
        <v>1</v>
      </c>
      <c r="P175" s="62" t="n">
        <v>1</v>
      </c>
      <c r="Q175" s="62" t="n">
        <v>0</v>
      </c>
      <c r="R175" s="62" t="n">
        <v>0</v>
      </c>
      <c r="S175" s="62" t="n">
        <v>0</v>
      </c>
      <c r="T175" s="62" t="n">
        <v>0</v>
      </c>
      <c r="U175" s="62"/>
      <c r="V175" s="62"/>
      <c r="W175" s="62"/>
      <c r="X175" s="62"/>
      <c r="Y175" s="62"/>
      <c r="Z175" s="62" t="s">
        <v>514</v>
      </c>
      <c r="AA175" s="62" t="s">
        <v>515</v>
      </c>
      <c r="AB175" s="62" t="n">
        <v>1</v>
      </c>
      <c r="AC175" s="62" t="n">
        <v>0</v>
      </c>
      <c r="AD175" s="62" t="n">
        <v>1</v>
      </c>
      <c r="AE175" s="62" t="n">
        <f aca="false">IF(AND(Dashboard!$C$9="Yes",AC175=1),0,1)</f>
        <v>1</v>
      </c>
      <c r="AF175" s="62" t="n">
        <v>1</v>
      </c>
    </row>
    <row r="176" customFormat="false" ht="15" hidden="false" customHeight="false" outlineLevel="0" collapsed="false">
      <c r="A176" s="62" t="n">
        <v>175</v>
      </c>
      <c r="B176" s="63" t="n">
        <v>46231.8404282407</v>
      </c>
      <c r="C176" s="64" t="n">
        <v>46231</v>
      </c>
      <c r="D176" s="62" t="s">
        <v>501</v>
      </c>
      <c r="E176" s="62" t="s">
        <v>439</v>
      </c>
      <c r="F176" s="62" t="s">
        <v>439</v>
      </c>
      <c r="G176" s="62" t="s">
        <v>440</v>
      </c>
      <c r="H176" s="62" t="s">
        <v>51</v>
      </c>
      <c r="I176" s="62" t="s">
        <v>47</v>
      </c>
      <c r="J176" s="62" t="s">
        <v>146</v>
      </c>
      <c r="K176" s="62" t="s">
        <v>175</v>
      </c>
      <c r="L176" s="62" t="s">
        <v>148</v>
      </c>
      <c r="M176" s="62" t="n">
        <v>0</v>
      </c>
      <c r="N176" s="62" t="n">
        <v>1</v>
      </c>
      <c r="O176" s="62" t="n">
        <v>1</v>
      </c>
      <c r="P176" s="62" t="n">
        <v>0</v>
      </c>
      <c r="Q176" s="62" t="n">
        <v>0</v>
      </c>
      <c r="R176" s="62" t="n">
        <v>1</v>
      </c>
      <c r="S176" s="62" t="n">
        <v>0</v>
      </c>
      <c r="T176" s="62" t="n">
        <v>0</v>
      </c>
      <c r="U176" s="62"/>
      <c r="V176" s="62"/>
      <c r="W176" s="62"/>
      <c r="X176" s="62"/>
      <c r="Y176" s="62"/>
      <c r="Z176" s="62" t="s">
        <v>514</v>
      </c>
      <c r="AA176" s="62" t="s">
        <v>515</v>
      </c>
      <c r="AB176" s="62" t="n">
        <v>1</v>
      </c>
      <c r="AC176" s="62" t="n">
        <v>1</v>
      </c>
      <c r="AD176" s="62" t="n">
        <v>1</v>
      </c>
      <c r="AE176" s="62" t="n">
        <f aca="false">IF(AND(Dashboard!$C$9="Yes",AC176=1),0,1)</f>
        <v>0</v>
      </c>
      <c r="AF176" s="62" t="n">
        <v>0</v>
      </c>
    </row>
    <row r="177" customFormat="false" ht="15" hidden="false" customHeight="false" outlineLevel="0" collapsed="false">
      <c r="A177" s="62" t="n">
        <v>176</v>
      </c>
      <c r="B177" s="63" t="n">
        <v>46231.8428587963</v>
      </c>
      <c r="C177" s="64" t="n">
        <v>46231</v>
      </c>
      <c r="D177" s="62" t="s">
        <v>501</v>
      </c>
      <c r="E177" s="62" t="s">
        <v>207</v>
      </c>
      <c r="F177" s="62" t="s">
        <v>207</v>
      </c>
      <c r="G177" s="62" t="s">
        <v>208</v>
      </c>
      <c r="H177" s="62" t="s">
        <v>48</v>
      </c>
      <c r="I177" s="62" t="s">
        <v>49</v>
      </c>
      <c r="J177" s="62" t="s">
        <v>146</v>
      </c>
      <c r="K177" s="62" t="s">
        <v>209</v>
      </c>
      <c r="L177" s="62" t="s">
        <v>148</v>
      </c>
      <c r="M177" s="62" t="n">
        <v>0</v>
      </c>
      <c r="N177" s="62" t="n">
        <v>2</v>
      </c>
      <c r="O177" s="62" t="n">
        <v>2</v>
      </c>
      <c r="P177" s="62" t="n">
        <v>1</v>
      </c>
      <c r="Q177" s="62" t="n">
        <v>1</v>
      </c>
      <c r="R177" s="62" t="n">
        <v>0</v>
      </c>
      <c r="S177" s="62" t="n">
        <v>0</v>
      </c>
      <c r="T177" s="62" t="n">
        <v>0</v>
      </c>
      <c r="U177" s="62"/>
      <c r="V177" s="62"/>
      <c r="W177" s="62"/>
      <c r="X177" s="62"/>
      <c r="Y177" s="62"/>
      <c r="Z177" s="62" t="s">
        <v>516</v>
      </c>
      <c r="AA177" s="62" t="s">
        <v>517</v>
      </c>
      <c r="AB177" s="62" t="n">
        <v>1</v>
      </c>
      <c r="AC177" s="62" t="n">
        <v>0</v>
      </c>
      <c r="AD177" s="62" t="n">
        <v>1</v>
      </c>
      <c r="AE177" s="62" t="n">
        <f aca="false">IF(AND(Dashboard!$C$9="Yes",AC177=1),0,1)</f>
        <v>1</v>
      </c>
      <c r="AF177" s="62" t="n">
        <v>0</v>
      </c>
    </row>
    <row r="178" customFormat="false" ht="15" hidden="false" customHeight="false" outlineLevel="0" collapsed="false">
      <c r="A178" s="62" t="n">
        <v>177</v>
      </c>
      <c r="B178" s="63" t="n">
        <v>46231.8602083333</v>
      </c>
      <c r="C178" s="64" t="n">
        <v>46231</v>
      </c>
      <c r="D178" s="62" t="s">
        <v>501</v>
      </c>
      <c r="E178" s="62" t="s">
        <v>518</v>
      </c>
      <c r="F178" s="62" t="s">
        <v>518</v>
      </c>
      <c r="G178" s="62" t="s">
        <v>519</v>
      </c>
      <c r="H178" s="62" t="s">
        <v>52</v>
      </c>
      <c r="I178" s="62" t="s">
        <v>47</v>
      </c>
      <c r="J178" s="62" t="s">
        <v>146</v>
      </c>
      <c r="K178" s="62" t="s">
        <v>147</v>
      </c>
      <c r="L178" s="62" t="s">
        <v>148</v>
      </c>
      <c r="M178" s="62" t="n">
        <v>0</v>
      </c>
      <c r="N178" s="62" t="n">
        <v>1</v>
      </c>
      <c r="O178" s="62" t="n">
        <v>1</v>
      </c>
      <c r="P178" s="62" t="n">
        <v>1</v>
      </c>
      <c r="Q178" s="62" t="n">
        <v>0</v>
      </c>
      <c r="R178" s="62" t="n">
        <v>0</v>
      </c>
      <c r="S178" s="62" t="n">
        <v>0</v>
      </c>
      <c r="T178" s="62" t="n">
        <v>0</v>
      </c>
      <c r="U178" s="62"/>
      <c r="V178" s="62"/>
      <c r="W178" s="62"/>
      <c r="X178" s="62"/>
      <c r="Y178" s="62"/>
      <c r="Z178" s="62" t="s">
        <v>520</v>
      </c>
      <c r="AA178" s="62" t="s">
        <v>287</v>
      </c>
      <c r="AB178" s="62" t="n">
        <v>0</v>
      </c>
      <c r="AC178" s="62" t="n">
        <v>0</v>
      </c>
      <c r="AD178" s="62" t="n">
        <v>1</v>
      </c>
      <c r="AE178" s="62" t="n">
        <f aca="false">IF(AND(Dashboard!$C$9="Yes",AC178=1),0,1)</f>
        <v>1</v>
      </c>
      <c r="AF178" s="62" t="n">
        <v>1</v>
      </c>
    </row>
    <row r="179" customFormat="false" ht="15" hidden="false" customHeight="false" outlineLevel="0" collapsed="false">
      <c r="A179" s="62" t="n">
        <v>178</v>
      </c>
      <c r="B179" s="63" t="n">
        <v>46231.8631481482</v>
      </c>
      <c r="C179" s="64" t="n">
        <v>46231</v>
      </c>
      <c r="D179" s="62" t="s">
        <v>501</v>
      </c>
      <c r="E179" s="62" t="s">
        <v>521</v>
      </c>
      <c r="F179" s="62" t="s">
        <v>522</v>
      </c>
      <c r="G179" s="62" t="s">
        <v>153</v>
      </c>
      <c r="H179" s="62" t="s">
        <v>153</v>
      </c>
      <c r="I179" s="62" t="s">
        <v>153</v>
      </c>
      <c r="J179" s="62" t="s">
        <v>64</v>
      </c>
      <c r="K179" s="62" t="s">
        <v>64</v>
      </c>
      <c r="L179" s="62" t="s">
        <v>148</v>
      </c>
      <c r="M179" s="62" t="n">
        <v>0</v>
      </c>
      <c r="N179" s="62" t="n">
        <v>1</v>
      </c>
      <c r="O179" s="62" t="n">
        <v>1</v>
      </c>
      <c r="P179" s="62" t="n">
        <v>1</v>
      </c>
      <c r="Q179" s="62" t="n">
        <v>0</v>
      </c>
      <c r="R179" s="62" t="n">
        <v>0</v>
      </c>
      <c r="S179" s="62" t="n">
        <v>0</v>
      </c>
      <c r="T179" s="62" t="n">
        <v>0</v>
      </c>
      <c r="U179" s="62"/>
      <c r="V179" s="62"/>
      <c r="W179" s="62"/>
      <c r="X179" s="62"/>
      <c r="Y179" s="62"/>
      <c r="Z179" s="62" t="s">
        <v>523</v>
      </c>
      <c r="AA179" s="62" t="s">
        <v>237</v>
      </c>
      <c r="AB179" s="62" t="n">
        <v>0</v>
      </c>
      <c r="AC179" s="62" t="n">
        <v>0</v>
      </c>
      <c r="AD179" s="62" t="n">
        <v>0</v>
      </c>
      <c r="AE179" s="62" t="n">
        <f aca="false">IF(AND(Dashboard!$C$9="Yes",AC179=1),0,1)</f>
        <v>1</v>
      </c>
      <c r="AF179" s="62" t="n">
        <v>1</v>
      </c>
    </row>
    <row r="180" customFormat="false" ht="15" hidden="false" customHeight="false" outlineLevel="0" collapsed="false">
      <c r="A180" s="62" t="n">
        <v>179</v>
      </c>
      <c r="B180" s="63" t="n">
        <v>46231.8666319445</v>
      </c>
      <c r="C180" s="64" t="n">
        <v>46231</v>
      </c>
      <c r="D180" s="62" t="s">
        <v>501</v>
      </c>
      <c r="E180" s="62" t="s">
        <v>521</v>
      </c>
      <c r="F180" s="62" t="s">
        <v>522</v>
      </c>
      <c r="G180" s="62" t="s">
        <v>153</v>
      </c>
      <c r="H180" s="62" t="s">
        <v>153</v>
      </c>
      <c r="I180" s="62" t="s">
        <v>153</v>
      </c>
      <c r="J180" s="62" t="s">
        <v>64</v>
      </c>
      <c r="K180" s="62" t="s">
        <v>64</v>
      </c>
      <c r="L180" s="62" t="s">
        <v>148</v>
      </c>
      <c r="M180" s="62" t="n">
        <v>0</v>
      </c>
      <c r="N180" s="62" t="n">
        <v>1</v>
      </c>
      <c r="O180" s="62" t="n">
        <v>1</v>
      </c>
      <c r="P180" s="62" t="n">
        <v>1</v>
      </c>
      <c r="Q180" s="62" t="n">
        <v>0</v>
      </c>
      <c r="R180" s="62" t="n">
        <v>0</v>
      </c>
      <c r="S180" s="62" t="n">
        <v>0</v>
      </c>
      <c r="T180" s="62" t="n">
        <v>0</v>
      </c>
      <c r="U180" s="62"/>
      <c r="V180" s="62"/>
      <c r="W180" s="62"/>
      <c r="X180" s="62"/>
      <c r="Y180" s="62"/>
      <c r="Z180" s="62" t="s">
        <v>524</v>
      </c>
      <c r="AA180" s="62" t="s">
        <v>237</v>
      </c>
      <c r="AB180" s="62" t="n">
        <v>0</v>
      </c>
      <c r="AC180" s="62" t="n">
        <v>0</v>
      </c>
      <c r="AD180" s="62" t="n">
        <v>0</v>
      </c>
      <c r="AE180" s="62" t="n">
        <f aca="false">IF(AND(Dashboard!$C$9="Yes",AC180=1),0,1)</f>
        <v>1</v>
      </c>
      <c r="AF180" s="62" t="n">
        <v>0</v>
      </c>
    </row>
    <row r="181" customFormat="false" ht="15" hidden="false" customHeight="false" outlineLevel="0" collapsed="false">
      <c r="A181" s="62" t="n">
        <v>180</v>
      </c>
      <c r="B181" s="63" t="n">
        <v>46231.8802430556</v>
      </c>
      <c r="C181" s="64" t="n">
        <v>46231</v>
      </c>
      <c r="D181" s="62" t="s">
        <v>501</v>
      </c>
      <c r="E181" s="62" t="s">
        <v>160</v>
      </c>
      <c r="F181" s="62" t="s">
        <v>160</v>
      </c>
      <c r="G181" s="62" t="s">
        <v>161</v>
      </c>
      <c r="H181" s="62" t="s">
        <v>51</v>
      </c>
      <c r="I181" s="62" t="s">
        <v>47</v>
      </c>
      <c r="J181" s="62" t="s">
        <v>146</v>
      </c>
      <c r="K181" s="62" t="s">
        <v>147</v>
      </c>
      <c r="L181" s="62" t="s">
        <v>148</v>
      </c>
      <c r="M181" s="62" t="n">
        <v>0</v>
      </c>
      <c r="N181" s="62" t="n">
        <v>1</v>
      </c>
      <c r="O181" s="62" t="n">
        <v>1</v>
      </c>
      <c r="P181" s="62" t="n">
        <v>0</v>
      </c>
      <c r="Q181" s="62" t="n">
        <v>1</v>
      </c>
      <c r="R181" s="62" t="n">
        <v>0</v>
      </c>
      <c r="S181" s="62" t="n">
        <v>0</v>
      </c>
      <c r="T181" s="62" t="n">
        <v>0</v>
      </c>
      <c r="U181" s="62"/>
      <c r="V181" s="62"/>
      <c r="W181" s="62"/>
      <c r="X181" s="62"/>
      <c r="Y181" s="62"/>
      <c r="Z181" s="62" t="s">
        <v>525</v>
      </c>
      <c r="AA181" s="62" t="s">
        <v>526</v>
      </c>
      <c r="AB181" s="62" t="n">
        <v>1</v>
      </c>
      <c r="AC181" s="62" t="n">
        <v>0</v>
      </c>
      <c r="AD181" s="62" t="n">
        <v>1</v>
      </c>
      <c r="AE181" s="62" t="n">
        <f aca="false">IF(AND(Dashboard!$C$9="Yes",AC181=1),0,1)</f>
        <v>1</v>
      </c>
      <c r="AF181" s="62" t="n">
        <v>1</v>
      </c>
    </row>
    <row r="182" customFormat="false" ht="15" hidden="false" customHeight="false" outlineLevel="0" collapsed="false">
      <c r="A182" s="62" t="n">
        <v>181</v>
      </c>
      <c r="B182" s="63" t="n">
        <v>46231.886099537</v>
      </c>
      <c r="C182" s="64" t="n">
        <v>46231</v>
      </c>
      <c r="D182" s="62" t="s">
        <v>501</v>
      </c>
      <c r="E182" s="62" t="s">
        <v>432</v>
      </c>
      <c r="F182" s="62" t="s">
        <v>433</v>
      </c>
      <c r="G182" s="62" t="s">
        <v>153</v>
      </c>
      <c r="H182" s="62" t="s">
        <v>153</v>
      </c>
      <c r="I182" s="62" t="s">
        <v>153</v>
      </c>
      <c r="J182" s="62" t="s">
        <v>64</v>
      </c>
      <c r="K182" s="62" t="s">
        <v>64</v>
      </c>
      <c r="L182" s="62" t="s">
        <v>4</v>
      </c>
      <c r="M182" s="62" t="n">
        <v>1</v>
      </c>
      <c r="N182" s="62" t="n">
        <v>0</v>
      </c>
      <c r="O182" s="62" t="n">
        <v>1</v>
      </c>
      <c r="P182" s="62" t="n">
        <v>0</v>
      </c>
      <c r="Q182" s="62" t="n">
        <v>0</v>
      </c>
      <c r="R182" s="62" t="n">
        <v>0</v>
      </c>
      <c r="S182" s="62" t="n">
        <v>0</v>
      </c>
      <c r="T182" s="62" t="n">
        <v>0</v>
      </c>
      <c r="U182" s="62"/>
      <c r="V182" s="62"/>
      <c r="W182" s="62"/>
      <c r="X182" s="62"/>
      <c r="Y182" s="62"/>
      <c r="Z182" s="62" t="s">
        <v>527</v>
      </c>
      <c r="AA182" s="62" t="s">
        <v>528</v>
      </c>
      <c r="AB182" s="62" t="n">
        <v>1</v>
      </c>
      <c r="AC182" s="62" t="n">
        <v>0</v>
      </c>
      <c r="AD182" s="62" t="n">
        <v>0</v>
      </c>
      <c r="AE182" s="62" t="n">
        <f aca="false">IF(AND(Dashboard!$C$9="Yes",AC182=1),0,1)</f>
        <v>1</v>
      </c>
      <c r="AF182" s="62" t="n">
        <v>0</v>
      </c>
    </row>
    <row r="183" customFormat="false" ht="15" hidden="false" customHeight="false" outlineLevel="0" collapsed="false">
      <c r="A183" s="62" t="n">
        <v>182</v>
      </c>
      <c r="B183" s="63" t="n">
        <v>46231.8939699074</v>
      </c>
      <c r="C183" s="64" t="n">
        <v>46231</v>
      </c>
      <c r="D183" s="62" t="s">
        <v>501</v>
      </c>
      <c r="E183" s="62" t="s">
        <v>521</v>
      </c>
      <c r="F183" s="62" t="s">
        <v>522</v>
      </c>
      <c r="G183" s="62" t="s">
        <v>153</v>
      </c>
      <c r="H183" s="62" t="s">
        <v>153</v>
      </c>
      <c r="I183" s="62" t="s">
        <v>153</v>
      </c>
      <c r="J183" s="62" t="s">
        <v>64</v>
      </c>
      <c r="K183" s="62" t="s">
        <v>64</v>
      </c>
      <c r="L183" s="62" t="s">
        <v>148</v>
      </c>
      <c r="M183" s="62" t="n">
        <v>0</v>
      </c>
      <c r="N183" s="62" t="n">
        <v>1</v>
      </c>
      <c r="O183" s="62" t="n">
        <v>1</v>
      </c>
      <c r="P183" s="62" t="n">
        <v>0</v>
      </c>
      <c r="Q183" s="62" t="n">
        <v>0</v>
      </c>
      <c r="R183" s="62" t="n">
        <v>1</v>
      </c>
      <c r="S183" s="62" t="n">
        <v>0</v>
      </c>
      <c r="T183" s="62" t="n">
        <v>0</v>
      </c>
      <c r="U183" s="62"/>
      <c r="V183" s="62"/>
      <c r="W183" s="62"/>
      <c r="X183" s="62"/>
      <c r="Y183" s="62"/>
      <c r="Z183" s="62" t="s">
        <v>529</v>
      </c>
      <c r="AA183" s="62" t="s">
        <v>237</v>
      </c>
      <c r="AB183" s="62" t="n">
        <v>0</v>
      </c>
      <c r="AC183" s="62" t="n">
        <v>0</v>
      </c>
      <c r="AD183" s="62" t="n">
        <v>0</v>
      </c>
      <c r="AE183" s="62" t="n">
        <f aca="false">IF(AND(Dashboard!$C$9="Yes",AC183=1),0,1)</f>
        <v>1</v>
      </c>
      <c r="AF183" s="62" t="n">
        <v>0</v>
      </c>
    </row>
    <row r="184" customFormat="false" ht="15" hidden="false" customHeight="false" outlineLevel="0" collapsed="false">
      <c r="A184" s="62" t="n">
        <v>183</v>
      </c>
      <c r="B184" s="63" t="n">
        <v>46231.8943055556</v>
      </c>
      <c r="C184" s="64" t="n">
        <v>46231</v>
      </c>
      <c r="D184" s="62" t="s">
        <v>501</v>
      </c>
      <c r="E184" s="62" t="s">
        <v>156</v>
      </c>
      <c r="F184" s="62" t="s">
        <v>156</v>
      </c>
      <c r="G184" s="62" t="s">
        <v>157</v>
      </c>
      <c r="H184" s="62" t="s">
        <v>51</v>
      </c>
      <c r="I184" s="62" t="s">
        <v>47</v>
      </c>
      <c r="J184" s="62" t="s">
        <v>146</v>
      </c>
      <c r="K184" s="62" t="s">
        <v>147</v>
      </c>
      <c r="L184" s="62" t="s">
        <v>148</v>
      </c>
      <c r="M184" s="62" t="n">
        <v>0</v>
      </c>
      <c r="N184" s="62" t="n">
        <v>1</v>
      </c>
      <c r="O184" s="62" t="n">
        <v>1</v>
      </c>
      <c r="P184" s="62" t="n">
        <v>1</v>
      </c>
      <c r="Q184" s="62" t="n">
        <v>0</v>
      </c>
      <c r="R184" s="62" t="n">
        <v>0</v>
      </c>
      <c r="S184" s="62" t="n">
        <v>0</v>
      </c>
      <c r="T184" s="62" t="n">
        <v>0</v>
      </c>
      <c r="U184" s="62"/>
      <c r="V184" s="62"/>
      <c r="W184" s="62"/>
      <c r="X184" s="62"/>
      <c r="Y184" s="62"/>
      <c r="Z184" s="62" t="s">
        <v>530</v>
      </c>
      <c r="AA184" s="62" t="s">
        <v>531</v>
      </c>
      <c r="AB184" s="62" t="n">
        <v>1</v>
      </c>
      <c r="AC184" s="62" t="n">
        <v>0</v>
      </c>
      <c r="AD184" s="62" t="n">
        <v>1</v>
      </c>
      <c r="AE184" s="62" t="n">
        <f aca="false">IF(AND(Dashboard!$C$9="Yes",AC184=1),0,1)</f>
        <v>1</v>
      </c>
      <c r="AF184" s="62" t="n">
        <v>1</v>
      </c>
    </row>
    <row r="185" customFormat="false" ht="15" hidden="false" customHeight="false" outlineLevel="0" collapsed="false">
      <c r="A185" s="62" t="n">
        <v>184</v>
      </c>
      <c r="B185" s="63" t="n">
        <v>46231.9016203704</v>
      </c>
      <c r="C185" s="64" t="n">
        <v>46231</v>
      </c>
      <c r="D185" s="62" t="s">
        <v>501</v>
      </c>
      <c r="E185" s="62" t="s">
        <v>521</v>
      </c>
      <c r="F185" s="62" t="s">
        <v>522</v>
      </c>
      <c r="G185" s="62" t="s">
        <v>153</v>
      </c>
      <c r="H185" s="62" t="s">
        <v>153</v>
      </c>
      <c r="I185" s="62" t="s">
        <v>153</v>
      </c>
      <c r="J185" s="62" t="s">
        <v>64</v>
      </c>
      <c r="K185" s="62" t="s">
        <v>64</v>
      </c>
      <c r="L185" s="62" t="s">
        <v>148</v>
      </c>
      <c r="M185" s="62" t="n">
        <v>0</v>
      </c>
      <c r="N185" s="62" t="n">
        <v>1</v>
      </c>
      <c r="O185" s="62" t="n">
        <v>1</v>
      </c>
      <c r="P185" s="62" t="n">
        <v>0</v>
      </c>
      <c r="Q185" s="62" t="n">
        <v>1</v>
      </c>
      <c r="R185" s="62" t="n">
        <v>0</v>
      </c>
      <c r="S185" s="62" t="n">
        <v>0</v>
      </c>
      <c r="T185" s="62" t="n">
        <v>0</v>
      </c>
      <c r="U185" s="62"/>
      <c r="V185" s="62"/>
      <c r="W185" s="62"/>
      <c r="X185" s="62"/>
      <c r="Y185" s="62"/>
      <c r="Z185" s="62" t="s">
        <v>529</v>
      </c>
      <c r="AA185" s="62" t="s">
        <v>237</v>
      </c>
      <c r="AB185" s="62" t="n">
        <v>0</v>
      </c>
      <c r="AC185" s="62" t="n">
        <v>0</v>
      </c>
      <c r="AD185" s="62" t="n">
        <v>0</v>
      </c>
      <c r="AE185" s="62" t="n">
        <f aca="false">IF(AND(Dashboard!$C$9="Yes",AC185=1),0,1)</f>
        <v>1</v>
      </c>
      <c r="AF185" s="62" t="n">
        <v>0</v>
      </c>
    </row>
    <row r="186" customFormat="false" ht="15" hidden="false" customHeight="false" outlineLevel="0" collapsed="false">
      <c r="A186" s="62" t="n">
        <v>185</v>
      </c>
      <c r="B186" s="63" t="n">
        <v>46231.9051041667</v>
      </c>
      <c r="C186" s="64" t="n">
        <v>46231</v>
      </c>
      <c r="D186" s="62" t="s">
        <v>501</v>
      </c>
      <c r="E186" s="62" t="s">
        <v>521</v>
      </c>
      <c r="F186" s="62" t="s">
        <v>522</v>
      </c>
      <c r="G186" s="62" t="s">
        <v>153</v>
      </c>
      <c r="H186" s="62" t="s">
        <v>153</v>
      </c>
      <c r="I186" s="62" t="s">
        <v>153</v>
      </c>
      <c r="J186" s="62" t="s">
        <v>64</v>
      </c>
      <c r="K186" s="62" t="s">
        <v>64</v>
      </c>
      <c r="L186" s="62" t="s">
        <v>148</v>
      </c>
      <c r="M186" s="62" t="n">
        <v>0</v>
      </c>
      <c r="N186" s="62" t="n">
        <v>1</v>
      </c>
      <c r="O186" s="62" t="n">
        <v>1</v>
      </c>
      <c r="P186" s="62" t="n">
        <v>1</v>
      </c>
      <c r="Q186" s="62" t="n">
        <v>0</v>
      </c>
      <c r="R186" s="62" t="n">
        <v>0</v>
      </c>
      <c r="S186" s="62" t="n">
        <v>0</v>
      </c>
      <c r="T186" s="62" t="n">
        <v>0</v>
      </c>
      <c r="U186" s="62"/>
      <c r="V186" s="62"/>
      <c r="W186" s="62"/>
      <c r="X186" s="62"/>
      <c r="Y186" s="62"/>
      <c r="Z186" s="62" t="s">
        <v>532</v>
      </c>
      <c r="AA186" s="62" t="s">
        <v>237</v>
      </c>
      <c r="AB186" s="62" t="n">
        <v>0</v>
      </c>
      <c r="AC186" s="62" t="n">
        <v>0</v>
      </c>
      <c r="AD186" s="62" t="n">
        <v>0</v>
      </c>
      <c r="AE186" s="62" t="n">
        <f aca="false">IF(AND(Dashboard!$C$9="Yes",AC186=1),0,1)</f>
        <v>1</v>
      </c>
      <c r="AF186" s="62" t="n">
        <v>0</v>
      </c>
    </row>
    <row r="187" customFormat="false" ht="15" hidden="false" customHeight="false" outlineLevel="0" collapsed="false">
      <c r="A187" s="62" t="n">
        <v>186</v>
      </c>
      <c r="B187" s="63" t="n">
        <v>46231.909212963</v>
      </c>
      <c r="C187" s="64" t="n">
        <v>46231</v>
      </c>
      <c r="D187" s="62" t="s">
        <v>501</v>
      </c>
      <c r="E187" s="62" t="s">
        <v>203</v>
      </c>
      <c r="F187" s="62" t="s">
        <v>203</v>
      </c>
      <c r="G187" s="62" t="s">
        <v>204</v>
      </c>
      <c r="H187" s="62" t="s">
        <v>51</v>
      </c>
      <c r="I187" s="62" t="s">
        <v>47</v>
      </c>
      <c r="J187" s="62" t="s">
        <v>146</v>
      </c>
      <c r="K187" s="62" t="s">
        <v>147</v>
      </c>
      <c r="L187" s="62" t="s">
        <v>148</v>
      </c>
      <c r="M187" s="62" t="n">
        <v>0</v>
      </c>
      <c r="N187" s="62" t="n">
        <v>1</v>
      </c>
      <c r="O187" s="62" t="n">
        <v>1</v>
      </c>
      <c r="P187" s="62" t="n">
        <v>1</v>
      </c>
      <c r="Q187" s="62" t="n">
        <v>0</v>
      </c>
      <c r="R187" s="62" t="n">
        <v>0</v>
      </c>
      <c r="S187" s="62" t="n">
        <v>0</v>
      </c>
      <c r="T187" s="62" t="n">
        <v>0</v>
      </c>
      <c r="U187" s="62"/>
      <c r="V187" s="62"/>
      <c r="W187" s="62"/>
      <c r="X187" s="62"/>
      <c r="Y187" s="62"/>
      <c r="Z187" s="62" t="s">
        <v>533</v>
      </c>
      <c r="AA187" s="62" t="s">
        <v>534</v>
      </c>
      <c r="AB187" s="62" t="n">
        <v>1</v>
      </c>
      <c r="AC187" s="62" t="n">
        <v>0</v>
      </c>
      <c r="AD187" s="62" t="n">
        <v>1</v>
      </c>
      <c r="AE187" s="62" t="n">
        <f aca="false">IF(AND(Dashboard!$C$9="Yes",AC187=1),0,1)</f>
        <v>1</v>
      </c>
      <c r="AF187" s="62" t="n">
        <v>1</v>
      </c>
    </row>
    <row r="188" customFormat="false" ht="15" hidden="false" customHeight="false" outlineLevel="0" collapsed="false">
      <c r="A188" s="62" t="n">
        <v>187</v>
      </c>
      <c r="B188" s="63" t="n">
        <v>46231.9108680556</v>
      </c>
      <c r="C188" s="64" t="n">
        <v>46231</v>
      </c>
      <c r="D188" s="62" t="s">
        <v>501</v>
      </c>
      <c r="E188" s="62" t="s">
        <v>518</v>
      </c>
      <c r="F188" s="62" t="s">
        <v>518</v>
      </c>
      <c r="G188" s="62" t="s">
        <v>519</v>
      </c>
      <c r="H188" s="62" t="s">
        <v>52</v>
      </c>
      <c r="I188" s="62" t="s">
        <v>47</v>
      </c>
      <c r="J188" s="62" t="s">
        <v>146</v>
      </c>
      <c r="K188" s="62" t="s">
        <v>147</v>
      </c>
      <c r="L188" s="62" t="s">
        <v>148</v>
      </c>
      <c r="M188" s="62" t="n">
        <v>0</v>
      </c>
      <c r="N188" s="62" t="n">
        <v>1</v>
      </c>
      <c r="O188" s="62" t="n">
        <v>1</v>
      </c>
      <c r="P188" s="62" t="n">
        <v>0</v>
      </c>
      <c r="Q188" s="62" t="n">
        <v>1</v>
      </c>
      <c r="R188" s="62" t="n">
        <v>0</v>
      </c>
      <c r="S188" s="62" t="n">
        <v>0</v>
      </c>
      <c r="T188" s="62" t="n">
        <v>0</v>
      </c>
      <c r="U188" s="62"/>
      <c r="V188" s="62"/>
      <c r="W188" s="62"/>
      <c r="X188" s="62"/>
      <c r="Y188" s="62"/>
      <c r="Z188" s="62" t="s">
        <v>535</v>
      </c>
      <c r="AA188" s="62" t="s">
        <v>536</v>
      </c>
      <c r="AB188" s="62" t="n">
        <v>1</v>
      </c>
      <c r="AC188" s="62" t="n">
        <v>0</v>
      </c>
      <c r="AD188" s="62" t="n">
        <v>1</v>
      </c>
      <c r="AE188" s="62" t="n">
        <f aca="false">IF(AND(Dashboard!$C$9="Yes",AC188=1),0,1)</f>
        <v>1</v>
      </c>
      <c r="AF188" s="62" t="n">
        <v>0</v>
      </c>
    </row>
    <row r="189" customFormat="false" ht="15" hidden="false" customHeight="false" outlineLevel="0" collapsed="false">
      <c r="A189" s="62" t="n">
        <v>188</v>
      </c>
      <c r="B189" s="63" t="n">
        <v>46231.9210185185</v>
      </c>
      <c r="C189" s="64" t="n">
        <v>46231</v>
      </c>
      <c r="D189" s="62" t="s">
        <v>501</v>
      </c>
      <c r="E189" s="62" t="s">
        <v>207</v>
      </c>
      <c r="F189" s="62" t="s">
        <v>207</v>
      </c>
      <c r="G189" s="62" t="s">
        <v>208</v>
      </c>
      <c r="H189" s="62" t="s">
        <v>48</v>
      </c>
      <c r="I189" s="62" t="s">
        <v>49</v>
      </c>
      <c r="J189" s="62" t="s">
        <v>146</v>
      </c>
      <c r="K189" s="62" t="s">
        <v>209</v>
      </c>
      <c r="L189" s="62" t="s">
        <v>148</v>
      </c>
      <c r="M189" s="62" t="n">
        <v>0</v>
      </c>
      <c r="N189" s="62" t="n">
        <v>1</v>
      </c>
      <c r="O189" s="62" t="n">
        <v>1</v>
      </c>
      <c r="P189" s="62" t="n">
        <v>1</v>
      </c>
      <c r="Q189" s="62" t="n">
        <v>0</v>
      </c>
      <c r="R189" s="62" t="n">
        <v>0</v>
      </c>
      <c r="S189" s="62" t="n">
        <v>0</v>
      </c>
      <c r="T189" s="62" t="n">
        <v>0</v>
      </c>
      <c r="U189" s="62"/>
      <c r="V189" s="62"/>
      <c r="W189" s="62"/>
      <c r="X189" s="62"/>
      <c r="Y189" s="62"/>
      <c r="Z189" s="62" t="s">
        <v>537</v>
      </c>
      <c r="AA189" s="62" t="s">
        <v>538</v>
      </c>
      <c r="AB189" s="62" t="n">
        <v>1</v>
      </c>
      <c r="AC189" s="62" t="n">
        <v>0</v>
      </c>
      <c r="AD189" s="62" t="n">
        <v>1</v>
      </c>
      <c r="AE189" s="62" t="n">
        <f aca="false">IF(AND(Dashboard!$C$9="Yes",AC189=1),0,1)</f>
        <v>1</v>
      </c>
      <c r="AF189" s="62" t="n">
        <v>0</v>
      </c>
    </row>
    <row r="190" customFormat="false" ht="15" hidden="false" customHeight="false" outlineLevel="0" collapsed="false">
      <c r="A190" s="62" t="n">
        <v>189</v>
      </c>
      <c r="B190" s="63" t="n">
        <v>46231.9348611111</v>
      </c>
      <c r="C190" s="64" t="n">
        <v>46231</v>
      </c>
      <c r="D190" s="62" t="s">
        <v>501</v>
      </c>
      <c r="E190" s="62" t="s">
        <v>203</v>
      </c>
      <c r="F190" s="62" t="s">
        <v>203</v>
      </c>
      <c r="G190" s="62" t="s">
        <v>204</v>
      </c>
      <c r="H190" s="62" t="s">
        <v>51</v>
      </c>
      <c r="I190" s="62" t="s">
        <v>47</v>
      </c>
      <c r="J190" s="62" t="s">
        <v>146</v>
      </c>
      <c r="K190" s="62" t="s">
        <v>147</v>
      </c>
      <c r="L190" s="62" t="s">
        <v>148</v>
      </c>
      <c r="M190" s="62" t="n">
        <v>0</v>
      </c>
      <c r="N190" s="62" t="n">
        <v>1</v>
      </c>
      <c r="O190" s="62" t="n">
        <v>1</v>
      </c>
      <c r="P190" s="62" t="n">
        <v>1</v>
      </c>
      <c r="Q190" s="62" t="n">
        <v>0</v>
      </c>
      <c r="R190" s="62" t="n">
        <v>0</v>
      </c>
      <c r="S190" s="62" t="n">
        <v>0</v>
      </c>
      <c r="T190" s="62" t="n">
        <v>0</v>
      </c>
      <c r="U190" s="62"/>
      <c r="V190" s="62"/>
      <c r="W190" s="62"/>
      <c r="X190" s="62"/>
      <c r="Y190" s="62"/>
      <c r="Z190" s="62" t="s">
        <v>539</v>
      </c>
      <c r="AA190" s="62" t="s">
        <v>485</v>
      </c>
      <c r="AB190" s="62" t="n">
        <v>0</v>
      </c>
      <c r="AC190" s="62" t="n">
        <v>0</v>
      </c>
      <c r="AD190" s="62" t="n">
        <v>1</v>
      </c>
      <c r="AE190" s="62" t="n">
        <f aca="false">IF(AND(Dashboard!$C$9="Yes",AC190=1),0,1)</f>
        <v>1</v>
      </c>
      <c r="AF190" s="62" t="n">
        <v>0</v>
      </c>
    </row>
    <row r="191" customFormat="false" ht="15" hidden="false" customHeight="false" outlineLevel="0" collapsed="false">
      <c r="A191" s="62" t="n">
        <v>190</v>
      </c>
      <c r="B191" s="63" t="n">
        <v>46231.937662037</v>
      </c>
      <c r="C191" s="64" t="n">
        <v>46231</v>
      </c>
      <c r="D191" s="62" t="s">
        <v>501</v>
      </c>
      <c r="E191" s="62" t="s">
        <v>190</v>
      </c>
      <c r="F191" s="62" t="s">
        <v>191</v>
      </c>
      <c r="G191" s="62" t="s">
        <v>153</v>
      </c>
      <c r="H191" s="62" t="s">
        <v>153</v>
      </c>
      <c r="I191" s="62" t="s">
        <v>153</v>
      </c>
      <c r="J191" s="62" t="s">
        <v>64</v>
      </c>
      <c r="K191" s="62" t="s">
        <v>64</v>
      </c>
      <c r="L191" s="62" t="s">
        <v>148</v>
      </c>
      <c r="M191" s="62" t="n">
        <v>0</v>
      </c>
      <c r="N191" s="62" t="n">
        <v>1</v>
      </c>
      <c r="O191" s="62" t="n">
        <v>1</v>
      </c>
      <c r="P191" s="62" t="n">
        <v>0</v>
      </c>
      <c r="Q191" s="62" t="n">
        <v>1</v>
      </c>
      <c r="R191" s="62" t="n">
        <v>0</v>
      </c>
      <c r="S191" s="62" t="n">
        <v>0</v>
      </c>
      <c r="T191" s="62" t="n">
        <v>0</v>
      </c>
      <c r="U191" s="62"/>
      <c r="V191" s="62"/>
      <c r="W191" s="62"/>
      <c r="X191" s="62"/>
      <c r="Y191" s="62"/>
      <c r="Z191" s="62" t="s">
        <v>540</v>
      </c>
      <c r="AA191" s="62" t="s">
        <v>541</v>
      </c>
      <c r="AB191" s="62" t="n">
        <v>1</v>
      </c>
      <c r="AC191" s="62" t="n">
        <v>0</v>
      </c>
      <c r="AD191" s="62" t="n">
        <v>0</v>
      </c>
      <c r="AE191" s="62" t="n">
        <f aca="false">IF(AND(Dashboard!$C$9="Yes",AC191=1),0,1)</f>
        <v>1</v>
      </c>
      <c r="AF191" s="62" t="n">
        <v>1</v>
      </c>
    </row>
    <row r="192" customFormat="false" ht="15" hidden="false" customHeight="false" outlineLevel="0" collapsed="false">
      <c r="A192" s="62" t="n">
        <v>191</v>
      </c>
      <c r="B192" s="63" t="n">
        <v>46231.9424652778</v>
      </c>
      <c r="C192" s="64" t="n">
        <v>46231</v>
      </c>
      <c r="D192" s="62" t="s">
        <v>501</v>
      </c>
      <c r="E192" s="62" t="s">
        <v>144</v>
      </c>
      <c r="F192" s="62" t="s">
        <v>144</v>
      </c>
      <c r="G192" s="62" t="s">
        <v>145</v>
      </c>
      <c r="H192" s="62" t="s">
        <v>59</v>
      </c>
      <c r="I192" s="62" t="s">
        <v>47</v>
      </c>
      <c r="J192" s="62" t="s">
        <v>146</v>
      </c>
      <c r="K192" s="62" t="s">
        <v>147</v>
      </c>
      <c r="L192" s="62" t="s">
        <v>148</v>
      </c>
      <c r="M192" s="62" t="n">
        <v>0</v>
      </c>
      <c r="N192" s="62" t="n">
        <v>2</v>
      </c>
      <c r="O192" s="62" t="n">
        <v>2</v>
      </c>
      <c r="P192" s="62" t="n">
        <v>1</v>
      </c>
      <c r="Q192" s="62" t="n">
        <v>1</v>
      </c>
      <c r="R192" s="62" t="n">
        <v>0</v>
      </c>
      <c r="S192" s="62" t="n">
        <v>0</v>
      </c>
      <c r="T192" s="62" t="n">
        <v>0</v>
      </c>
      <c r="U192" s="62"/>
      <c r="V192" s="62"/>
      <c r="W192" s="62"/>
      <c r="X192" s="62"/>
      <c r="Y192" s="62"/>
      <c r="Z192" s="62" t="s">
        <v>542</v>
      </c>
      <c r="AA192" s="62" t="s">
        <v>543</v>
      </c>
      <c r="AB192" s="62" t="n">
        <v>0</v>
      </c>
      <c r="AC192" s="62" t="n">
        <v>0</v>
      </c>
      <c r="AD192" s="62" t="n">
        <v>1</v>
      </c>
      <c r="AE192" s="62" t="n">
        <f aca="false">IF(AND(Dashboard!$C$9="Yes",AC192=1),0,1)</f>
        <v>1</v>
      </c>
      <c r="AF192" s="62" t="n">
        <v>1</v>
      </c>
    </row>
    <row r="193" customFormat="false" ht="15" hidden="false" customHeight="false" outlineLevel="0" collapsed="false">
      <c r="A193" s="62" t="n">
        <v>192</v>
      </c>
      <c r="B193" s="63" t="n">
        <v>46231.9427546296</v>
      </c>
      <c r="C193" s="64" t="n">
        <v>46231</v>
      </c>
      <c r="D193" s="62" t="s">
        <v>501</v>
      </c>
      <c r="E193" s="62" t="s">
        <v>144</v>
      </c>
      <c r="F193" s="62" t="s">
        <v>144</v>
      </c>
      <c r="G193" s="62" t="s">
        <v>145</v>
      </c>
      <c r="H193" s="62" t="s">
        <v>59</v>
      </c>
      <c r="I193" s="62" t="s">
        <v>47</v>
      </c>
      <c r="J193" s="62" t="s">
        <v>146</v>
      </c>
      <c r="K193" s="62" t="s">
        <v>147</v>
      </c>
      <c r="L193" s="62" t="s">
        <v>148</v>
      </c>
      <c r="M193" s="62" t="n">
        <v>0</v>
      </c>
      <c r="N193" s="62" t="n">
        <v>2</v>
      </c>
      <c r="O193" s="62" t="n">
        <v>2</v>
      </c>
      <c r="P193" s="62" t="n">
        <v>1</v>
      </c>
      <c r="Q193" s="62" t="n">
        <v>1</v>
      </c>
      <c r="R193" s="62" t="n">
        <v>0</v>
      </c>
      <c r="S193" s="62" t="n">
        <v>0</v>
      </c>
      <c r="T193" s="62" t="n">
        <v>0</v>
      </c>
      <c r="U193" s="62"/>
      <c r="V193" s="62"/>
      <c r="W193" s="62"/>
      <c r="X193" s="62"/>
      <c r="Y193" s="62"/>
      <c r="Z193" s="62" t="s">
        <v>542</v>
      </c>
      <c r="AA193" s="62" t="s">
        <v>543</v>
      </c>
      <c r="AB193" s="62" t="n">
        <v>0</v>
      </c>
      <c r="AC193" s="62" t="n">
        <v>0</v>
      </c>
      <c r="AD193" s="62" t="n">
        <v>1</v>
      </c>
      <c r="AE193" s="62" t="n">
        <f aca="false">IF(AND(Dashboard!$C$9="Yes",AC193=1),0,1)</f>
        <v>1</v>
      </c>
      <c r="AF193" s="62" t="n">
        <v>0</v>
      </c>
    </row>
    <row r="194" customFormat="false" ht="15" hidden="false" customHeight="false" outlineLevel="0" collapsed="false">
      <c r="A194" s="62" t="n">
        <v>193</v>
      </c>
      <c r="B194" s="63" t="n">
        <v>46231.9480555556</v>
      </c>
      <c r="C194" s="64" t="n">
        <v>46231</v>
      </c>
      <c r="D194" s="62" t="s">
        <v>501</v>
      </c>
      <c r="E194" s="62" t="s">
        <v>518</v>
      </c>
      <c r="F194" s="62" t="s">
        <v>518</v>
      </c>
      <c r="G194" s="62" t="s">
        <v>519</v>
      </c>
      <c r="H194" s="62" t="s">
        <v>52</v>
      </c>
      <c r="I194" s="62" t="s">
        <v>47</v>
      </c>
      <c r="J194" s="62" t="s">
        <v>146</v>
      </c>
      <c r="K194" s="62" t="s">
        <v>147</v>
      </c>
      <c r="L194" s="62" t="s">
        <v>4</v>
      </c>
      <c r="M194" s="62" t="n">
        <v>1</v>
      </c>
      <c r="N194" s="62" t="n">
        <v>0</v>
      </c>
      <c r="O194" s="62" t="n">
        <v>1</v>
      </c>
      <c r="P194" s="62" t="n">
        <v>0</v>
      </c>
      <c r="Q194" s="62" t="n">
        <v>0</v>
      </c>
      <c r="R194" s="62" t="n">
        <v>0</v>
      </c>
      <c r="S194" s="62" t="n">
        <v>0</v>
      </c>
      <c r="T194" s="62" t="n">
        <v>0</v>
      </c>
      <c r="U194" s="62"/>
      <c r="V194" s="62"/>
      <c r="W194" s="62"/>
      <c r="X194" s="62"/>
      <c r="Y194" s="62"/>
      <c r="Z194" s="62" t="s">
        <v>535</v>
      </c>
      <c r="AA194" s="62" t="s">
        <v>544</v>
      </c>
      <c r="AB194" s="62" t="n">
        <v>1</v>
      </c>
      <c r="AC194" s="62" t="n">
        <v>0</v>
      </c>
      <c r="AD194" s="62" t="n">
        <v>1</v>
      </c>
      <c r="AE194" s="62" t="n">
        <f aca="false">IF(AND(Dashboard!$C$9="Yes",AC194=1),0,1)</f>
        <v>1</v>
      </c>
      <c r="AF194" s="62" t="n">
        <v>0</v>
      </c>
    </row>
    <row r="195" customFormat="false" ht="15" hidden="false" customHeight="false" outlineLevel="0" collapsed="false">
      <c r="A195" s="62" t="n">
        <v>194</v>
      </c>
      <c r="B195" s="63" t="n">
        <v>46231.9642824074</v>
      </c>
      <c r="C195" s="64" t="n">
        <v>46231</v>
      </c>
      <c r="D195" s="62" t="s">
        <v>501</v>
      </c>
      <c r="E195" s="62" t="s">
        <v>203</v>
      </c>
      <c r="F195" s="62" t="s">
        <v>203</v>
      </c>
      <c r="G195" s="62" t="s">
        <v>204</v>
      </c>
      <c r="H195" s="62" t="s">
        <v>51</v>
      </c>
      <c r="I195" s="62" t="s">
        <v>47</v>
      </c>
      <c r="J195" s="62" t="s">
        <v>146</v>
      </c>
      <c r="K195" s="62" t="s">
        <v>147</v>
      </c>
      <c r="L195" s="62" t="s">
        <v>148</v>
      </c>
      <c r="M195" s="62" t="n">
        <v>0</v>
      </c>
      <c r="N195" s="62" t="n">
        <v>2</v>
      </c>
      <c r="O195" s="62" t="n">
        <v>2</v>
      </c>
      <c r="P195" s="62" t="n">
        <v>1</v>
      </c>
      <c r="Q195" s="62" t="n">
        <v>1</v>
      </c>
      <c r="R195" s="62" t="n">
        <v>0</v>
      </c>
      <c r="S195" s="62" t="n">
        <v>0</v>
      </c>
      <c r="T195" s="62" t="n">
        <v>0</v>
      </c>
      <c r="U195" s="62"/>
      <c r="V195" s="62"/>
      <c r="W195" s="62"/>
      <c r="X195" s="62"/>
      <c r="Y195" s="62"/>
      <c r="Z195" s="62" t="s">
        <v>545</v>
      </c>
      <c r="AA195" s="62" t="s">
        <v>546</v>
      </c>
      <c r="AB195" s="62" t="n">
        <v>0</v>
      </c>
      <c r="AC195" s="62" t="n">
        <v>0</v>
      </c>
      <c r="AD195" s="62" t="n">
        <v>1</v>
      </c>
      <c r="AE195" s="62" t="n">
        <f aca="false">IF(AND(Dashboard!$C$9="Yes",AC195=1),0,1)</f>
        <v>1</v>
      </c>
      <c r="AF195" s="62" t="n">
        <v>0</v>
      </c>
    </row>
    <row r="196" customFormat="false" ht="15" hidden="false" customHeight="false" outlineLevel="0" collapsed="false">
      <c r="A196" s="62" t="n">
        <v>195</v>
      </c>
      <c r="B196" s="63" t="n">
        <v>46231.9724305556</v>
      </c>
      <c r="C196" s="64" t="n">
        <v>46231</v>
      </c>
      <c r="D196" s="62" t="s">
        <v>501</v>
      </c>
      <c r="E196" s="62" t="s">
        <v>203</v>
      </c>
      <c r="F196" s="62" t="s">
        <v>203</v>
      </c>
      <c r="G196" s="62" t="s">
        <v>204</v>
      </c>
      <c r="H196" s="62" t="s">
        <v>51</v>
      </c>
      <c r="I196" s="62" t="s">
        <v>47</v>
      </c>
      <c r="J196" s="62" t="s">
        <v>146</v>
      </c>
      <c r="K196" s="62" t="s">
        <v>147</v>
      </c>
      <c r="L196" s="62" t="s">
        <v>148</v>
      </c>
      <c r="M196" s="62" t="n">
        <v>0</v>
      </c>
      <c r="N196" s="62" t="n">
        <v>2</v>
      </c>
      <c r="O196" s="62" t="n">
        <v>2</v>
      </c>
      <c r="P196" s="62" t="n">
        <v>1</v>
      </c>
      <c r="Q196" s="62" t="n">
        <v>1</v>
      </c>
      <c r="R196" s="62" t="n">
        <v>0</v>
      </c>
      <c r="S196" s="62" t="n">
        <v>0</v>
      </c>
      <c r="T196" s="62" t="n">
        <v>0</v>
      </c>
      <c r="U196" s="62"/>
      <c r="V196" s="62"/>
      <c r="W196" s="62"/>
      <c r="X196" s="62"/>
      <c r="Y196" s="62"/>
      <c r="Z196" s="62" t="s">
        <v>545</v>
      </c>
      <c r="AA196" s="62" t="s">
        <v>546</v>
      </c>
      <c r="AB196" s="62" t="n">
        <v>0</v>
      </c>
      <c r="AC196" s="62" t="n">
        <v>0</v>
      </c>
      <c r="AD196" s="62" t="n">
        <v>1</v>
      </c>
      <c r="AE196" s="62" t="n">
        <f aca="false">IF(AND(Dashboard!$C$9="Yes",AC196=1),0,1)</f>
        <v>1</v>
      </c>
      <c r="AF196" s="62" t="n">
        <v>0</v>
      </c>
    </row>
    <row r="197" customFormat="false" ht="15" hidden="false" customHeight="false" outlineLevel="0" collapsed="false">
      <c r="A197" s="62" t="n">
        <v>196</v>
      </c>
      <c r="B197" s="63" t="n">
        <v>46232.0315509259</v>
      </c>
      <c r="C197" s="64" t="n">
        <v>46231</v>
      </c>
      <c r="D197" s="62" t="s">
        <v>501</v>
      </c>
      <c r="E197" s="62" t="s">
        <v>156</v>
      </c>
      <c r="F197" s="62" t="s">
        <v>156</v>
      </c>
      <c r="G197" s="62" t="s">
        <v>157</v>
      </c>
      <c r="H197" s="62" t="s">
        <v>51</v>
      </c>
      <c r="I197" s="62" t="s">
        <v>47</v>
      </c>
      <c r="J197" s="62" t="s">
        <v>146</v>
      </c>
      <c r="K197" s="62" t="s">
        <v>147</v>
      </c>
      <c r="L197" s="62" t="s">
        <v>148</v>
      </c>
      <c r="M197" s="62" t="n">
        <v>0</v>
      </c>
      <c r="N197" s="62" t="n">
        <v>1</v>
      </c>
      <c r="O197" s="62" t="n">
        <v>1</v>
      </c>
      <c r="P197" s="62" t="n">
        <v>0</v>
      </c>
      <c r="Q197" s="62" t="n">
        <v>0</v>
      </c>
      <c r="R197" s="62" t="n">
        <v>1</v>
      </c>
      <c r="S197" s="62" t="n">
        <v>0</v>
      </c>
      <c r="T197" s="62" t="n">
        <v>0</v>
      </c>
      <c r="U197" s="62"/>
      <c r="V197" s="62"/>
      <c r="W197" s="62"/>
      <c r="X197" s="62"/>
      <c r="Y197" s="62"/>
      <c r="Z197" s="62" t="s">
        <v>547</v>
      </c>
      <c r="AA197" s="62" t="s">
        <v>548</v>
      </c>
      <c r="AB197" s="62" t="n">
        <v>1</v>
      </c>
      <c r="AC197" s="62" t="n">
        <v>0</v>
      </c>
      <c r="AD197" s="62" t="n">
        <v>1</v>
      </c>
      <c r="AE197" s="62" t="n">
        <f aca="false">IF(AND(Dashboard!$C$9="Yes",AC197=1),0,1)</f>
        <v>1</v>
      </c>
      <c r="AF197" s="62" t="n">
        <v>0</v>
      </c>
    </row>
    <row r="198" customFormat="false" ht="15" hidden="false" customHeight="false" outlineLevel="0" collapsed="false">
      <c r="A198" s="62" t="n">
        <v>197</v>
      </c>
      <c r="B198" s="63" t="n">
        <v>46232.0494212963</v>
      </c>
      <c r="C198" s="64" t="n">
        <v>46231</v>
      </c>
      <c r="D198" s="62" t="s">
        <v>501</v>
      </c>
      <c r="E198" s="62" t="s">
        <v>295</v>
      </c>
      <c r="F198" s="62" t="s">
        <v>296</v>
      </c>
      <c r="G198" s="62" t="s">
        <v>153</v>
      </c>
      <c r="H198" s="62" t="s">
        <v>153</v>
      </c>
      <c r="I198" s="62" t="s">
        <v>153</v>
      </c>
      <c r="J198" s="62" t="s">
        <v>64</v>
      </c>
      <c r="K198" s="62" t="s">
        <v>64</v>
      </c>
      <c r="L198" s="62" t="s">
        <v>148</v>
      </c>
      <c r="M198" s="62" t="n">
        <v>0</v>
      </c>
      <c r="N198" s="62" t="n">
        <v>1</v>
      </c>
      <c r="O198" s="62" t="n">
        <v>1</v>
      </c>
      <c r="P198" s="62" t="n">
        <v>1</v>
      </c>
      <c r="Q198" s="62" t="n">
        <v>0</v>
      </c>
      <c r="R198" s="62" t="n">
        <v>0</v>
      </c>
      <c r="S198" s="62" t="n">
        <v>0</v>
      </c>
      <c r="T198" s="62" t="n">
        <v>0</v>
      </c>
      <c r="U198" s="62"/>
      <c r="V198" s="62"/>
      <c r="W198" s="62"/>
      <c r="X198" s="62"/>
      <c r="Y198" s="62"/>
      <c r="Z198" s="62" t="s">
        <v>549</v>
      </c>
      <c r="AA198" s="62" t="s">
        <v>550</v>
      </c>
      <c r="AB198" s="62" t="n">
        <v>1</v>
      </c>
      <c r="AC198" s="62" t="n">
        <v>0</v>
      </c>
      <c r="AD198" s="62" t="n">
        <v>0</v>
      </c>
      <c r="AE198" s="62" t="n">
        <f aca="false">IF(AND(Dashboard!$C$9="Yes",AC198=1),0,1)</f>
        <v>1</v>
      </c>
      <c r="AF198" s="62" t="n">
        <v>1</v>
      </c>
    </row>
    <row r="199" customFormat="false" ht="15" hidden="false" customHeight="false" outlineLevel="0" collapsed="false">
      <c r="A199" s="62" t="n">
        <v>198</v>
      </c>
      <c r="B199" s="63" t="n">
        <v>46232.067037037</v>
      </c>
      <c r="C199" s="64" t="n">
        <v>46231</v>
      </c>
      <c r="D199" s="62" t="s">
        <v>501</v>
      </c>
      <c r="E199" s="62" t="s">
        <v>190</v>
      </c>
      <c r="F199" s="62" t="s">
        <v>191</v>
      </c>
      <c r="G199" s="62" t="s">
        <v>153</v>
      </c>
      <c r="H199" s="62" t="s">
        <v>153</v>
      </c>
      <c r="I199" s="62" t="s">
        <v>153</v>
      </c>
      <c r="J199" s="62" t="s">
        <v>64</v>
      </c>
      <c r="K199" s="62" t="s">
        <v>64</v>
      </c>
      <c r="L199" s="62" t="s">
        <v>148</v>
      </c>
      <c r="M199" s="62" t="n">
        <v>0</v>
      </c>
      <c r="N199" s="62" t="n">
        <v>1</v>
      </c>
      <c r="O199" s="62" t="n">
        <v>1</v>
      </c>
      <c r="P199" s="62" t="n">
        <v>1</v>
      </c>
      <c r="Q199" s="62" t="n">
        <v>0</v>
      </c>
      <c r="R199" s="62" t="n">
        <v>0</v>
      </c>
      <c r="S199" s="62" t="n">
        <v>0</v>
      </c>
      <c r="T199" s="62" t="n">
        <v>0</v>
      </c>
      <c r="U199" s="62"/>
      <c r="V199" s="62"/>
      <c r="W199" s="62"/>
      <c r="X199" s="62"/>
      <c r="Y199" s="62"/>
      <c r="Z199" s="62" t="s">
        <v>551</v>
      </c>
      <c r="AA199" s="62" t="s">
        <v>552</v>
      </c>
      <c r="AB199" s="62" t="n">
        <v>1</v>
      </c>
      <c r="AC199" s="62" t="n">
        <v>0</v>
      </c>
      <c r="AD199" s="62" t="n">
        <v>0</v>
      </c>
      <c r="AE199" s="62" t="n">
        <f aca="false">IF(AND(Dashboard!$C$9="Yes",AC199=1),0,1)</f>
        <v>1</v>
      </c>
      <c r="AF199" s="62" t="n">
        <v>0</v>
      </c>
    </row>
    <row r="200" customFormat="false" ht="15" hidden="false" customHeight="false" outlineLevel="0" collapsed="false">
      <c r="A200" s="62" t="n">
        <v>199</v>
      </c>
      <c r="B200" s="63" t="n">
        <v>46232.1402546296</v>
      </c>
      <c r="C200" s="64" t="n">
        <v>46231</v>
      </c>
      <c r="D200" s="62" t="s">
        <v>501</v>
      </c>
      <c r="E200" s="62" t="s">
        <v>144</v>
      </c>
      <c r="F200" s="62" t="s">
        <v>144</v>
      </c>
      <c r="G200" s="62" t="s">
        <v>145</v>
      </c>
      <c r="H200" s="62" t="s">
        <v>59</v>
      </c>
      <c r="I200" s="62" t="s">
        <v>47</v>
      </c>
      <c r="J200" s="62" t="s">
        <v>146</v>
      </c>
      <c r="K200" s="62" t="s">
        <v>147</v>
      </c>
      <c r="L200" s="62" t="s">
        <v>148</v>
      </c>
      <c r="M200" s="62" t="n">
        <v>0</v>
      </c>
      <c r="N200" s="62" t="n">
        <v>1</v>
      </c>
      <c r="O200" s="62" t="n">
        <v>1</v>
      </c>
      <c r="P200" s="62" t="n">
        <v>0</v>
      </c>
      <c r="Q200" s="62" t="n">
        <v>1</v>
      </c>
      <c r="R200" s="62" t="n">
        <v>0</v>
      </c>
      <c r="S200" s="62" t="n">
        <v>0</v>
      </c>
      <c r="T200" s="62" t="n">
        <v>0</v>
      </c>
      <c r="U200" s="62"/>
      <c r="V200" s="62"/>
      <c r="W200" s="62"/>
      <c r="X200" s="62"/>
      <c r="Y200" s="62"/>
      <c r="Z200" s="62" t="s">
        <v>553</v>
      </c>
      <c r="AA200" s="62" t="s">
        <v>554</v>
      </c>
      <c r="AB200" s="62" t="n">
        <v>0</v>
      </c>
      <c r="AC200" s="62" t="n">
        <v>0</v>
      </c>
      <c r="AD200" s="62" t="n">
        <v>1</v>
      </c>
      <c r="AE200" s="62" t="n">
        <f aca="false">IF(AND(Dashboard!$C$9="Yes",AC200=1),0,1)</f>
        <v>1</v>
      </c>
      <c r="AF200" s="62" t="n">
        <v>0</v>
      </c>
    </row>
    <row r="201" customFormat="false" ht="15" hidden="false" customHeight="false" outlineLevel="0" collapsed="false">
      <c r="A201" s="62" t="n">
        <v>200</v>
      </c>
      <c r="B201" s="63" t="n">
        <v>46232.1529282407</v>
      </c>
      <c r="C201" s="64" t="n">
        <v>46231</v>
      </c>
      <c r="D201" s="62" t="s">
        <v>501</v>
      </c>
      <c r="E201" s="62" t="s">
        <v>239</v>
      </c>
      <c r="F201" s="62" t="s">
        <v>240</v>
      </c>
      <c r="G201" s="62" t="s">
        <v>153</v>
      </c>
      <c r="H201" s="62" t="s">
        <v>153</v>
      </c>
      <c r="I201" s="62" t="s">
        <v>153</v>
      </c>
      <c r="J201" s="62" t="s">
        <v>64</v>
      </c>
      <c r="K201" s="62" t="s">
        <v>64</v>
      </c>
      <c r="L201" s="62" t="s">
        <v>148</v>
      </c>
      <c r="M201" s="62" t="n">
        <v>0</v>
      </c>
      <c r="N201" s="62" t="n">
        <v>1</v>
      </c>
      <c r="O201" s="62" t="n">
        <v>1</v>
      </c>
      <c r="P201" s="62" t="n">
        <v>1</v>
      </c>
      <c r="Q201" s="62" t="n">
        <v>0</v>
      </c>
      <c r="R201" s="62" t="n">
        <v>0</v>
      </c>
      <c r="S201" s="62" t="n">
        <v>0</v>
      </c>
      <c r="T201" s="62" t="n">
        <v>0</v>
      </c>
      <c r="U201" s="62"/>
      <c r="V201" s="62"/>
      <c r="W201" s="62"/>
      <c r="X201" s="62"/>
      <c r="Y201" s="62"/>
      <c r="Z201" s="62" t="s">
        <v>555</v>
      </c>
      <c r="AA201" s="62" t="s">
        <v>556</v>
      </c>
      <c r="AB201" s="62" t="n">
        <v>1</v>
      </c>
      <c r="AC201" s="62" t="n">
        <v>0</v>
      </c>
      <c r="AD201" s="62" t="n">
        <v>0</v>
      </c>
      <c r="AE201" s="62" t="n">
        <f aca="false">IF(AND(Dashboard!$C$9="Yes",AC201=1),0,1)</f>
        <v>1</v>
      </c>
      <c r="AF201" s="62" t="n">
        <v>1</v>
      </c>
    </row>
    <row r="202" customFormat="false" ht="15" hidden="false" customHeight="false" outlineLevel="0" collapsed="false">
      <c r="A202" s="62" t="n">
        <v>201</v>
      </c>
      <c r="B202" s="63" t="n">
        <v>46232.1659259259</v>
      </c>
      <c r="C202" s="64" t="n">
        <v>46231</v>
      </c>
      <c r="D202" s="62" t="s">
        <v>501</v>
      </c>
      <c r="E202" s="62" t="s">
        <v>273</v>
      </c>
      <c r="F202" s="62" t="s">
        <v>273</v>
      </c>
      <c r="G202" s="62" t="s">
        <v>274</v>
      </c>
      <c r="H202" s="62" t="s">
        <v>59</v>
      </c>
      <c r="I202" s="62" t="s">
        <v>47</v>
      </c>
      <c r="J202" s="62" t="s">
        <v>146</v>
      </c>
      <c r="K202" s="62" t="s">
        <v>147</v>
      </c>
      <c r="L202" s="62" t="s">
        <v>148</v>
      </c>
      <c r="M202" s="62" t="n">
        <v>0</v>
      </c>
      <c r="N202" s="62" t="n">
        <v>1</v>
      </c>
      <c r="O202" s="62" t="n">
        <v>1</v>
      </c>
      <c r="P202" s="62" t="n">
        <v>1</v>
      </c>
      <c r="Q202" s="62" t="n">
        <v>0</v>
      </c>
      <c r="R202" s="62" t="n">
        <v>0</v>
      </c>
      <c r="S202" s="62" t="n">
        <v>0</v>
      </c>
      <c r="T202" s="62" t="n">
        <v>0</v>
      </c>
      <c r="U202" s="62"/>
      <c r="V202" s="62"/>
      <c r="W202" s="62"/>
      <c r="X202" s="62"/>
      <c r="Y202" s="62"/>
      <c r="Z202" s="62" t="s">
        <v>557</v>
      </c>
      <c r="AA202" s="62" t="s">
        <v>558</v>
      </c>
      <c r="AB202" s="62" t="n">
        <v>1</v>
      </c>
      <c r="AC202" s="62" t="n">
        <v>0</v>
      </c>
      <c r="AD202" s="62" t="n">
        <v>1</v>
      </c>
      <c r="AE202" s="62" t="n">
        <f aca="false">IF(AND(Dashboard!$C$9="Yes",AC202=1),0,1)</f>
        <v>1</v>
      </c>
      <c r="AF202" s="62" t="n">
        <v>1</v>
      </c>
    </row>
    <row r="203" customFormat="false" ht="15" hidden="false" customHeight="false" outlineLevel="0" collapsed="false">
      <c r="A203" s="62" t="n">
        <v>202</v>
      </c>
      <c r="B203" s="63" t="n">
        <v>46232.1823726852</v>
      </c>
      <c r="C203" s="64" t="n">
        <v>46231</v>
      </c>
      <c r="D203" s="62" t="s">
        <v>501</v>
      </c>
      <c r="E203" s="62" t="s">
        <v>203</v>
      </c>
      <c r="F203" s="62" t="s">
        <v>203</v>
      </c>
      <c r="G203" s="62" t="s">
        <v>204</v>
      </c>
      <c r="H203" s="62" t="s">
        <v>51</v>
      </c>
      <c r="I203" s="62" t="s">
        <v>47</v>
      </c>
      <c r="J203" s="62" t="s">
        <v>146</v>
      </c>
      <c r="K203" s="62" t="s">
        <v>147</v>
      </c>
      <c r="L203" s="62" t="s">
        <v>4</v>
      </c>
      <c r="M203" s="62" t="n">
        <v>1</v>
      </c>
      <c r="N203" s="62" t="n">
        <v>0</v>
      </c>
      <c r="O203" s="62" t="n">
        <v>1</v>
      </c>
      <c r="P203" s="62" t="n">
        <v>0</v>
      </c>
      <c r="Q203" s="62" t="n">
        <v>0</v>
      </c>
      <c r="R203" s="62" t="n">
        <v>0</v>
      </c>
      <c r="S203" s="62" t="n">
        <v>0</v>
      </c>
      <c r="T203" s="62" t="n">
        <v>0</v>
      </c>
      <c r="U203" s="62"/>
      <c r="V203" s="62"/>
      <c r="W203" s="62"/>
      <c r="X203" s="62"/>
      <c r="Y203" s="62"/>
      <c r="Z203" s="62" t="s">
        <v>559</v>
      </c>
      <c r="AA203" s="62" t="s">
        <v>560</v>
      </c>
      <c r="AB203" s="62" t="n">
        <v>1</v>
      </c>
      <c r="AC203" s="62" t="n">
        <v>0</v>
      </c>
      <c r="AD203" s="62" t="n">
        <v>1</v>
      </c>
      <c r="AE203" s="62" t="n">
        <f aca="false">IF(AND(Dashboard!$C$9="Yes",AC203=1),0,1)</f>
        <v>1</v>
      </c>
      <c r="AF203" s="62" t="n">
        <v>0</v>
      </c>
    </row>
    <row r="204" customFormat="false" ht="15" hidden="false" customHeight="false" outlineLevel="0" collapsed="false">
      <c r="A204" s="62" t="n">
        <v>203</v>
      </c>
      <c r="B204" s="63" t="n">
        <v>46232.1827893519</v>
      </c>
      <c r="C204" s="64" t="n">
        <v>46231</v>
      </c>
      <c r="D204" s="62" t="s">
        <v>501</v>
      </c>
      <c r="E204" s="62" t="s">
        <v>190</v>
      </c>
      <c r="F204" s="62" t="s">
        <v>191</v>
      </c>
      <c r="G204" s="62" t="s">
        <v>153</v>
      </c>
      <c r="H204" s="62" t="s">
        <v>153</v>
      </c>
      <c r="I204" s="62" t="s">
        <v>153</v>
      </c>
      <c r="J204" s="62" t="s">
        <v>64</v>
      </c>
      <c r="K204" s="62" t="s">
        <v>64</v>
      </c>
      <c r="L204" s="62" t="s">
        <v>148</v>
      </c>
      <c r="M204" s="62" t="n">
        <v>0</v>
      </c>
      <c r="N204" s="62" t="n">
        <v>1</v>
      </c>
      <c r="O204" s="62" t="n">
        <v>1</v>
      </c>
      <c r="P204" s="62" t="n">
        <v>1</v>
      </c>
      <c r="Q204" s="62" t="n">
        <v>0</v>
      </c>
      <c r="R204" s="62" t="n">
        <v>0</v>
      </c>
      <c r="S204" s="62" t="n">
        <v>0</v>
      </c>
      <c r="T204" s="62" t="n">
        <v>0</v>
      </c>
      <c r="U204" s="62"/>
      <c r="V204" s="62"/>
      <c r="W204" s="62"/>
      <c r="X204" s="62"/>
      <c r="Y204" s="62"/>
      <c r="Z204" s="62" t="s">
        <v>561</v>
      </c>
      <c r="AA204" s="62" t="s">
        <v>562</v>
      </c>
      <c r="AB204" s="62" t="n">
        <v>1</v>
      </c>
      <c r="AC204" s="62" t="n">
        <v>0</v>
      </c>
      <c r="AD204" s="62" t="n">
        <v>0</v>
      </c>
      <c r="AE204" s="62" t="n">
        <f aca="false">IF(AND(Dashboard!$C$9="Yes",AC204=1),0,1)</f>
        <v>1</v>
      </c>
      <c r="AF204" s="62" t="n">
        <v>0</v>
      </c>
    </row>
    <row r="205" customFormat="false" ht="15" hidden="false" customHeight="false" outlineLevel="0" collapsed="false">
      <c r="A205" s="62" t="n">
        <v>204</v>
      </c>
      <c r="B205" s="63" t="n">
        <v>46232.183900463</v>
      </c>
      <c r="C205" s="64" t="n">
        <v>46231</v>
      </c>
      <c r="D205" s="62" t="s">
        <v>501</v>
      </c>
      <c r="E205" s="62" t="s">
        <v>203</v>
      </c>
      <c r="F205" s="62" t="s">
        <v>203</v>
      </c>
      <c r="G205" s="62" t="s">
        <v>204</v>
      </c>
      <c r="H205" s="62" t="s">
        <v>51</v>
      </c>
      <c r="I205" s="62" t="s">
        <v>47</v>
      </c>
      <c r="J205" s="62" t="s">
        <v>146</v>
      </c>
      <c r="K205" s="62" t="s">
        <v>147</v>
      </c>
      <c r="L205" s="62" t="s">
        <v>4</v>
      </c>
      <c r="M205" s="62" t="n">
        <v>1</v>
      </c>
      <c r="N205" s="62" t="n">
        <v>0</v>
      </c>
      <c r="O205" s="62" t="n">
        <v>1</v>
      </c>
      <c r="P205" s="62" t="n">
        <v>0</v>
      </c>
      <c r="Q205" s="62" t="n">
        <v>0</v>
      </c>
      <c r="R205" s="62" t="n">
        <v>0</v>
      </c>
      <c r="S205" s="62" t="n">
        <v>0</v>
      </c>
      <c r="T205" s="62" t="n">
        <v>0</v>
      </c>
      <c r="U205" s="62"/>
      <c r="V205" s="62"/>
      <c r="W205" s="62"/>
      <c r="X205" s="62"/>
      <c r="Y205" s="62"/>
      <c r="Z205" s="62" t="s">
        <v>559</v>
      </c>
      <c r="AA205" s="62" t="s">
        <v>560</v>
      </c>
      <c r="AB205" s="62" t="n">
        <v>1</v>
      </c>
      <c r="AC205" s="62" t="n">
        <v>1</v>
      </c>
      <c r="AD205" s="62" t="n">
        <v>1</v>
      </c>
      <c r="AE205" s="62" t="n">
        <f aca="false">IF(AND(Dashboard!$C$9="Yes",AC205=1),0,1)</f>
        <v>0</v>
      </c>
      <c r="AF205" s="62" t="n">
        <v>0</v>
      </c>
    </row>
    <row r="206" customFormat="false" ht="15" hidden="false" customHeight="false" outlineLevel="0" collapsed="false">
      <c r="A206" s="62" t="n">
        <v>205</v>
      </c>
      <c r="B206" s="63" t="n">
        <v>46232.2305555556</v>
      </c>
      <c r="C206" s="64" t="n">
        <v>46231</v>
      </c>
      <c r="D206" s="62" t="s">
        <v>501</v>
      </c>
      <c r="E206" s="62" t="s">
        <v>144</v>
      </c>
      <c r="F206" s="62" t="s">
        <v>144</v>
      </c>
      <c r="G206" s="62" t="s">
        <v>145</v>
      </c>
      <c r="H206" s="62" t="s">
        <v>59</v>
      </c>
      <c r="I206" s="62" t="s">
        <v>47</v>
      </c>
      <c r="J206" s="62" t="s">
        <v>146</v>
      </c>
      <c r="K206" s="62" t="s">
        <v>147</v>
      </c>
      <c r="L206" s="62" t="s">
        <v>4</v>
      </c>
      <c r="M206" s="62" t="n">
        <v>1</v>
      </c>
      <c r="N206" s="62" t="n">
        <v>0</v>
      </c>
      <c r="O206" s="62" t="n">
        <v>1</v>
      </c>
      <c r="P206" s="62" t="n">
        <v>0</v>
      </c>
      <c r="Q206" s="62" t="n">
        <v>0</v>
      </c>
      <c r="R206" s="62" t="n">
        <v>0</v>
      </c>
      <c r="S206" s="62" t="n">
        <v>0</v>
      </c>
      <c r="T206" s="62" t="n">
        <v>0</v>
      </c>
      <c r="U206" s="62"/>
      <c r="V206" s="62"/>
      <c r="W206" s="62"/>
      <c r="X206" s="62"/>
      <c r="Y206" s="62"/>
      <c r="Z206" s="62" t="s">
        <v>563</v>
      </c>
      <c r="AA206" s="62" t="s">
        <v>564</v>
      </c>
      <c r="AB206" s="62" t="n">
        <v>1</v>
      </c>
      <c r="AC206" s="62" t="n">
        <v>0</v>
      </c>
      <c r="AD206" s="62" t="n">
        <v>1</v>
      </c>
      <c r="AE206" s="62" t="n">
        <f aca="false">IF(AND(Dashboard!$C$9="Yes",AC206=1),0,1)</f>
        <v>1</v>
      </c>
      <c r="AF206" s="62" t="n">
        <v>0</v>
      </c>
    </row>
    <row r="207" customFormat="false" ht="15" hidden="false" customHeight="false" outlineLevel="0" collapsed="false">
      <c r="A207" s="62" t="n">
        <v>206</v>
      </c>
      <c r="B207" s="63" t="n">
        <v>46232.2308912037</v>
      </c>
      <c r="C207" s="64" t="n">
        <v>46231</v>
      </c>
      <c r="D207" s="62" t="s">
        <v>501</v>
      </c>
      <c r="E207" s="62" t="s">
        <v>144</v>
      </c>
      <c r="F207" s="62" t="s">
        <v>144</v>
      </c>
      <c r="G207" s="62" t="s">
        <v>145</v>
      </c>
      <c r="H207" s="62" t="s">
        <v>59</v>
      </c>
      <c r="I207" s="62" t="s">
        <v>47</v>
      </c>
      <c r="J207" s="62" t="s">
        <v>146</v>
      </c>
      <c r="K207" s="62" t="s">
        <v>147</v>
      </c>
      <c r="L207" s="62" t="s">
        <v>4</v>
      </c>
      <c r="M207" s="62" t="n">
        <v>1</v>
      </c>
      <c r="N207" s="62" t="n">
        <v>0</v>
      </c>
      <c r="O207" s="62" t="n">
        <v>1</v>
      </c>
      <c r="P207" s="62" t="n">
        <v>0</v>
      </c>
      <c r="Q207" s="62" t="n">
        <v>0</v>
      </c>
      <c r="R207" s="62" t="n">
        <v>0</v>
      </c>
      <c r="S207" s="62" t="n">
        <v>0</v>
      </c>
      <c r="T207" s="62" t="n">
        <v>0</v>
      </c>
      <c r="U207" s="62"/>
      <c r="V207" s="62"/>
      <c r="W207" s="62"/>
      <c r="X207" s="62"/>
      <c r="Y207" s="62"/>
      <c r="Z207" s="62" t="s">
        <v>563</v>
      </c>
      <c r="AA207" s="62" t="s">
        <v>564</v>
      </c>
      <c r="AB207" s="62" t="n">
        <v>1</v>
      </c>
      <c r="AC207" s="62" t="n">
        <v>1</v>
      </c>
      <c r="AD207" s="62" t="n">
        <v>1</v>
      </c>
      <c r="AE207" s="62" t="n">
        <f aca="false">IF(AND(Dashboard!$C$9="Yes",AC207=1),0,1)</f>
        <v>0</v>
      </c>
      <c r="AF207" s="62" t="n">
        <v>0</v>
      </c>
    </row>
    <row r="208" customFormat="false" ht="15" hidden="false" customHeight="false" outlineLevel="0" collapsed="false">
      <c r="A208" s="62" t="n">
        <v>207</v>
      </c>
      <c r="B208" s="63" t="n">
        <v>46232.2739236111</v>
      </c>
      <c r="C208" s="64" t="n">
        <v>46231</v>
      </c>
      <c r="D208" s="62" t="s">
        <v>501</v>
      </c>
      <c r="E208" s="62" t="s">
        <v>144</v>
      </c>
      <c r="F208" s="62" t="s">
        <v>144</v>
      </c>
      <c r="G208" s="62" t="s">
        <v>145</v>
      </c>
      <c r="H208" s="62" t="s">
        <v>59</v>
      </c>
      <c r="I208" s="62" t="s">
        <v>47</v>
      </c>
      <c r="J208" s="62" t="s">
        <v>146</v>
      </c>
      <c r="K208" s="62" t="s">
        <v>147</v>
      </c>
      <c r="L208" s="62" t="s">
        <v>148</v>
      </c>
      <c r="M208" s="62" t="n">
        <v>0</v>
      </c>
      <c r="N208" s="62" t="n">
        <v>2</v>
      </c>
      <c r="O208" s="62" t="n">
        <v>2</v>
      </c>
      <c r="P208" s="62" t="n">
        <v>1</v>
      </c>
      <c r="Q208" s="62" t="n">
        <v>1</v>
      </c>
      <c r="R208" s="62" t="n">
        <v>0</v>
      </c>
      <c r="S208" s="62" t="n">
        <v>0</v>
      </c>
      <c r="T208" s="62" t="n">
        <v>0</v>
      </c>
      <c r="U208" s="62"/>
      <c r="V208" s="62"/>
      <c r="W208" s="62"/>
      <c r="X208" s="62"/>
      <c r="Y208" s="62"/>
      <c r="Z208" s="62" t="s">
        <v>565</v>
      </c>
      <c r="AA208" s="62" t="s">
        <v>566</v>
      </c>
      <c r="AB208" s="62" t="n">
        <v>0</v>
      </c>
      <c r="AC208" s="62" t="n">
        <v>0</v>
      </c>
      <c r="AD208" s="62" t="n">
        <v>1</v>
      </c>
      <c r="AE208" s="62" t="n">
        <f aca="false">IF(AND(Dashboard!$C$9="Yes",AC208=1),0,1)</f>
        <v>1</v>
      </c>
      <c r="AF208" s="62" t="n">
        <v>0</v>
      </c>
    </row>
    <row r="209" customFormat="false" ht="15" hidden="false" customHeight="false" outlineLevel="0" collapsed="false">
      <c r="A209" s="62" t="n">
        <v>208</v>
      </c>
      <c r="B209" s="63" t="n">
        <v>46232.2741666667</v>
      </c>
      <c r="C209" s="64" t="n">
        <v>46231</v>
      </c>
      <c r="D209" s="62" t="s">
        <v>501</v>
      </c>
      <c r="E209" s="62" t="s">
        <v>144</v>
      </c>
      <c r="F209" s="62" t="s">
        <v>144</v>
      </c>
      <c r="G209" s="62" t="s">
        <v>145</v>
      </c>
      <c r="H209" s="62" t="s">
        <v>59</v>
      </c>
      <c r="I209" s="62" t="s">
        <v>47</v>
      </c>
      <c r="J209" s="62" t="s">
        <v>146</v>
      </c>
      <c r="K209" s="62" t="s">
        <v>147</v>
      </c>
      <c r="L209" s="62" t="s">
        <v>148</v>
      </c>
      <c r="M209" s="62" t="n">
        <v>0</v>
      </c>
      <c r="N209" s="62" t="n">
        <v>2</v>
      </c>
      <c r="O209" s="62" t="n">
        <v>2</v>
      </c>
      <c r="P209" s="62" t="n">
        <v>1</v>
      </c>
      <c r="Q209" s="62" t="n">
        <v>1</v>
      </c>
      <c r="R209" s="62" t="n">
        <v>0</v>
      </c>
      <c r="S209" s="62" t="n">
        <v>0</v>
      </c>
      <c r="T209" s="62" t="n">
        <v>0</v>
      </c>
      <c r="U209" s="62"/>
      <c r="V209" s="62"/>
      <c r="W209" s="62"/>
      <c r="X209" s="62"/>
      <c r="Y209" s="62"/>
      <c r="Z209" s="62" t="s">
        <v>565</v>
      </c>
      <c r="AA209" s="62" t="s">
        <v>566</v>
      </c>
      <c r="AB209" s="62" t="n">
        <v>0</v>
      </c>
      <c r="AC209" s="62" t="n">
        <v>0</v>
      </c>
      <c r="AD209" s="62" t="n">
        <v>1</v>
      </c>
      <c r="AE209" s="62" t="n">
        <f aca="false">IF(AND(Dashboard!$C$9="Yes",AC209=1),0,1)</f>
        <v>1</v>
      </c>
      <c r="AF209" s="62" t="n">
        <v>0</v>
      </c>
    </row>
    <row r="210" customFormat="false" ht="15" hidden="false" customHeight="false" outlineLevel="0" collapsed="false">
      <c r="A210" s="62" t="n">
        <v>209</v>
      </c>
      <c r="B210" s="63" t="n">
        <v>46232.2935532407</v>
      </c>
      <c r="C210" s="64" t="n">
        <v>46231</v>
      </c>
      <c r="D210" s="62" t="s">
        <v>501</v>
      </c>
      <c r="E210" s="62" t="s">
        <v>239</v>
      </c>
      <c r="F210" s="62" t="s">
        <v>240</v>
      </c>
      <c r="G210" s="62" t="s">
        <v>153</v>
      </c>
      <c r="H210" s="62" t="s">
        <v>153</v>
      </c>
      <c r="I210" s="62" t="s">
        <v>153</v>
      </c>
      <c r="J210" s="62" t="s">
        <v>64</v>
      </c>
      <c r="K210" s="62" t="s">
        <v>64</v>
      </c>
      <c r="L210" s="62" t="s">
        <v>4</v>
      </c>
      <c r="M210" s="62" t="n">
        <v>1</v>
      </c>
      <c r="N210" s="62" t="n">
        <v>0</v>
      </c>
      <c r="O210" s="62" t="n">
        <v>1</v>
      </c>
      <c r="P210" s="62" t="n">
        <v>0</v>
      </c>
      <c r="Q210" s="62" t="n">
        <v>0</v>
      </c>
      <c r="R210" s="62" t="n">
        <v>0</v>
      </c>
      <c r="S210" s="62" t="n">
        <v>0</v>
      </c>
      <c r="T210" s="62" t="n">
        <v>0</v>
      </c>
      <c r="U210" s="62"/>
      <c r="V210" s="62"/>
      <c r="W210" s="62"/>
      <c r="X210" s="62"/>
      <c r="Y210" s="62"/>
      <c r="Z210" s="62" t="s">
        <v>567</v>
      </c>
      <c r="AA210" s="62" t="s">
        <v>568</v>
      </c>
      <c r="AB210" s="62" t="n">
        <v>1</v>
      </c>
      <c r="AC210" s="62" t="n">
        <v>0</v>
      </c>
      <c r="AD210" s="62" t="n">
        <v>0</v>
      </c>
      <c r="AE210" s="62" t="n">
        <f aca="false">IF(AND(Dashboard!$C$9="Yes",AC210=1),0,1)</f>
        <v>1</v>
      </c>
      <c r="AF210" s="62" t="n">
        <v>0</v>
      </c>
    </row>
    <row r="211" customFormat="false" ht="15" hidden="false" customHeight="false" outlineLevel="0" collapsed="false">
      <c r="A211" s="62" t="n">
        <v>210</v>
      </c>
      <c r="B211" s="63" t="n">
        <v>46232.6411689815</v>
      </c>
      <c r="C211" s="64" t="n">
        <v>46232</v>
      </c>
      <c r="D211" s="62" t="s">
        <v>143</v>
      </c>
      <c r="E211" s="62" t="s">
        <v>569</v>
      </c>
      <c r="F211" s="62" t="s">
        <v>570</v>
      </c>
      <c r="G211" s="62" t="s">
        <v>153</v>
      </c>
      <c r="H211" s="62" t="s">
        <v>153</v>
      </c>
      <c r="I211" s="62" t="s">
        <v>153</v>
      </c>
      <c r="J211" s="62" t="s">
        <v>64</v>
      </c>
      <c r="K211" s="62" t="s">
        <v>64</v>
      </c>
      <c r="L211" s="62" t="s">
        <v>148</v>
      </c>
      <c r="M211" s="62" t="n">
        <v>0</v>
      </c>
      <c r="N211" s="62" t="n">
        <v>1</v>
      </c>
      <c r="O211" s="62" t="n">
        <v>1</v>
      </c>
      <c r="P211" s="62" t="n">
        <v>1</v>
      </c>
      <c r="Q211" s="62" t="n">
        <v>0</v>
      </c>
      <c r="R211" s="62" t="n">
        <v>0</v>
      </c>
      <c r="S211" s="62" t="n">
        <v>0</v>
      </c>
      <c r="T211" s="62" t="n">
        <v>0</v>
      </c>
      <c r="U211" s="62"/>
      <c r="V211" s="62"/>
      <c r="W211" s="62"/>
      <c r="X211" s="62"/>
      <c r="Y211" s="62"/>
      <c r="Z211" s="62" t="s">
        <v>571</v>
      </c>
      <c r="AA211" s="62" t="s">
        <v>572</v>
      </c>
      <c r="AB211" s="62" t="n">
        <v>1</v>
      </c>
      <c r="AC211" s="62" t="n">
        <v>0</v>
      </c>
      <c r="AD211" s="62" t="n">
        <v>0</v>
      </c>
      <c r="AE211" s="62" t="n">
        <f aca="false">IF(AND(Dashboard!$C$9="Yes",AC211=1),0,1)</f>
        <v>1</v>
      </c>
      <c r="AF211" s="62" t="n">
        <v>1</v>
      </c>
    </row>
    <row r="212" customFormat="false" ht="15" hidden="false" customHeight="false" outlineLevel="0" collapsed="false">
      <c r="A212" s="62" t="n">
        <v>211</v>
      </c>
      <c r="B212" s="63" t="n">
        <v>46232.6884606482</v>
      </c>
      <c r="C212" s="64" t="n">
        <v>46232</v>
      </c>
      <c r="D212" s="62" t="s">
        <v>143</v>
      </c>
      <c r="E212" s="62" t="s">
        <v>573</v>
      </c>
      <c r="F212" s="62" t="s">
        <v>573</v>
      </c>
      <c r="G212" s="62" t="s">
        <v>574</v>
      </c>
      <c r="H212" s="62" t="s">
        <v>51</v>
      </c>
      <c r="I212" s="62" t="s">
        <v>47</v>
      </c>
      <c r="J212" s="62" t="s">
        <v>146</v>
      </c>
      <c r="K212" s="62" t="s">
        <v>147</v>
      </c>
      <c r="L212" s="62" t="s">
        <v>148</v>
      </c>
      <c r="M212" s="62" t="n">
        <v>0</v>
      </c>
      <c r="N212" s="62" t="n">
        <v>1</v>
      </c>
      <c r="O212" s="62" t="n">
        <v>1</v>
      </c>
      <c r="P212" s="62" t="n">
        <v>0</v>
      </c>
      <c r="Q212" s="62" t="n">
        <v>0</v>
      </c>
      <c r="R212" s="62" t="n">
        <v>1</v>
      </c>
      <c r="S212" s="62" t="n">
        <v>0</v>
      </c>
      <c r="T212" s="62" t="n">
        <v>0</v>
      </c>
      <c r="U212" s="62"/>
      <c r="V212" s="62"/>
      <c r="W212" s="62"/>
      <c r="X212" s="62"/>
      <c r="Y212" s="62"/>
      <c r="Z212" s="62" t="s">
        <v>575</v>
      </c>
      <c r="AA212" s="62" t="s">
        <v>576</v>
      </c>
      <c r="AB212" s="62" t="n">
        <v>1</v>
      </c>
      <c r="AC212" s="62" t="n">
        <v>0</v>
      </c>
      <c r="AD212" s="62" t="n">
        <v>1</v>
      </c>
      <c r="AE212" s="62" t="n">
        <f aca="false">IF(AND(Dashboard!$C$9="Yes",AC212=1),0,1)</f>
        <v>1</v>
      </c>
      <c r="AF212" s="62" t="n">
        <v>1</v>
      </c>
    </row>
    <row r="213" customFormat="false" ht="15" hidden="false" customHeight="false" outlineLevel="0" collapsed="false">
      <c r="A213" s="62" t="n">
        <v>212</v>
      </c>
      <c r="B213" s="63" t="n">
        <v>46232.688900463</v>
      </c>
      <c r="C213" s="64" t="n">
        <v>46232</v>
      </c>
      <c r="D213" s="62" t="s">
        <v>143</v>
      </c>
      <c r="E213" s="62" t="s">
        <v>573</v>
      </c>
      <c r="F213" s="62" t="s">
        <v>573</v>
      </c>
      <c r="G213" s="62" t="s">
        <v>574</v>
      </c>
      <c r="H213" s="62" t="s">
        <v>51</v>
      </c>
      <c r="I213" s="62" t="s">
        <v>47</v>
      </c>
      <c r="J213" s="62" t="s">
        <v>146</v>
      </c>
      <c r="K213" s="62" t="s">
        <v>147</v>
      </c>
      <c r="L213" s="62" t="s">
        <v>148</v>
      </c>
      <c r="M213" s="62" t="n">
        <v>0</v>
      </c>
      <c r="N213" s="62" t="n">
        <v>1</v>
      </c>
      <c r="O213" s="62" t="n">
        <v>1</v>
      </c>
      <c r="P213" s="62" t="n">
        <v>0</v>
      </c>
      <c r="Q213" s="62" t="n">
        <v>0</v>
      </c>
      <c r="R213" s="62" t="n">
        <v>1</v>
      </c>
      <c r="S213" s="62" t="n">
        <v>0</v>
      </c>
      <c r="T213" s="62" t="n">
        <v>0</v>
      </c>
      <c r="U213" s="62"/>
      <c r="V213" s="62"/>
      <c r="W213" s="62"/>
      <c r="X213" s="62"/>
      <c r="Y213" s="62"/>
      <c r="Z213" s="62" t="s">
        <v>575</v>
      </c>
      <c r="AA213" s="62" t="s">
        <v>576</v>
      </c>
      <c r="AB213" s="62" t="n">
        <v>1</v>
      </c>
      <c r="AC213" s="62" t="n">
        <v>1</v>
      </c>
      <c r="AD213" s="62" t="n">
        <v>1</v>
      </c>
      <c r="AE213" s="62" t="n">
        <f aca="false">IF(AND(Dashboard!$C$9="Yes",AC213=1),0,1)</f>
        <v>0</v>
      </c>
      <c r="AF213" s="62" t="n">
        <v>0</v>
      </c>
    </row>
    <row r="214" customFormat="false" ht="15" hidden="false" customHeight="false" outlineLevel="0" collapsed="false">
      <c r="A214" s="62" t="n">
        <v>213</v>
      </c>
      <c r="B214" s="63" t="n">
        <v>46232.71625</v>
      </c>
      <c r="C214" s="64" t="n">
        <v>46232</v>
      </c>
      <c r="D214" s="62" t="s">
        <v>143</v>
      </c>
      <c r="E214" s="62" t="s">
        <v>518</v>
      </c>
      <c r="F214" s="62" t="s">
        <v>518</v>
      </c>
      <c r="G214" s="62" t="s">
        <v>519</v>
      </c>
      <c r="H214" s="62" t="s">
        <v>52</v>
      </c>
      <c r="I214" s="62" t="s">
        <v>47</v>
      </c>
      <c r="J214" s="62" t="s">
        <v>146</v>
      </c>
      <c r="K214" s="62" t="s">
        <v>147</v>
      </c>
      <c r="L214" s="62" t="s">
        <v>148</v>
      </c>
      <c r="M214" s="62" t="n">
        <v>0</v>
      </c>
      <c r="N214" s="62" t="n">
        <v>1</v>
      </c>
      <c r="O214" s="62" t="n">
        <v>1</v>
      </c>
      <c r="P214" s="62" t="n">
        <v>1</v>
      </c>
      <c r="Q214" s="62" t="n">
        <v>0</v>
      </c>
      <c r="R214" s="62" t="n">
        <v>0</v>
      </c>
      <c r="S214" s="62" t="n">
        <v>0</v>
      </c>
      <c r="T214" s="62" t="n">
        <v>0</v>
      </c>
      <c r="U214" s="62"/>
      <c r="V214" s="62"/>
      <c r="W214" s="62"/>
      <c r="X214" s="62"/>
      <c r="Y214" s="62"/>
      <c r="Z214" s="62" t="s">
        <v>577</v>
      </c>
      <c r="AA214" s="62" t="s">
        <v>578</v>
      </c>
      <c r="AB214" s="62" t="n">
        <v>1</v>
      </c>
      <c r="AC214" s="62" t="n">
        <v>0</v>
      </c>
      <c r="AD214" s="62" t="n">
        <v>1</v>
      </c>
      <c r="AE214" s="62" t="n">
        <f aca="false">IF(AND(Dashboard!$C$9="Yes",AC214=1),0,1)</f>
        <v>1</v>
      </c>
      <c r="AF214" s="62" t="n">
        <v>1</v>
      </c>
    </row>
    <row r="215" customFormat="false" ht="15" hidden="false" customHeight="false" outlineLevel="0" collapsed="false">
      <c r="A215" s="62" t="n">
        <v>214</v>
      </c>
      <c r="B215" s="63" t="n">
        <v>46232.7174305556</v>
      </c>
      <c r="C215" s="64" t="n">
        <v>46232</v>
      </c>
      <c r="D215" s="62" t="s">
        <v>143</v>
      </c>
      <c r="E215" s="62" t="s">
        <v>207</v>
      </c>
      <c r="F215" s="62" t="s">
        <v>207</v>
      </c>
      <c r="G215" s="62" t="s">
        <v>208</v>
      </c>
      <c r="H215" s="62" t="s">
        <v>48</v>
      </c>
      <c r="I215" s="62" t="s">
        <v>49</v>
      </c>
      <c r="J215" s="62" t="s">
        <v>146</v>
      </c>
      <c r="K215" s="62" t="s">
        <v>209</v>
      </c>
      <c r="L215" s="62" t="s">
        <v>148</v>
      </c>
      <c r="M215" s="62" t="n">
        <v>0</v>
      </c>
      <c r="N215" s="62" t="n">
        <v>1</v>
      </c>
      <c r="O215" s="62" t="n">
        <v>1</v>
      </c>
      <c r="P215" s="62" t="n">
        <v>1</v>
      </c>
      <c r="Q215" s="62" t="n">
        <v>0</v>
      </c>
      <c r="R215" s="62" t="n">
        <v>0</v>
      </c>
      <c r="S215" s="62" t="n">
        <v>0</v>
      </c>
      <c r="T215" s="62" t="n">
        <v>0</v>
      </c>
      <c r="U215" s="62"/>
      <c r="V215" s="62"/>
      <c r="W215" s="62"/>
      <c r="X215" s="62"/>
      <c r="Y215" s="62"/>
      <c r="Z215" s="62" t="s">
        <v>579</v>
      </c>
      <c r="AA215" s="62" t="s">
        <v>580</v>
      </c>
      <c r="AB215" s="62" t="n">
        <v>1</v>
      </c>
      <c r="AC215" s="62" t="n">
        <v>0</v>
      </c>
      <c r="AD215" s="62" t="n">
        <v>1</v>
      </c>
      <c r="AE215" s="62" t="n">
        <f aca="false">IF(AND(Dashboard!$C$9="Yes",AC215=1),0,1)</f>
        <v>1</v>
      </c>
      <c r="AF215" s="62" t="n">
        <v>1</v>
      </c>
    </row>
    <row r="216" customFormat="false" ht="15" hidden="false" customHeight="false" outlineLevel="0" collapsed="false">
      <c r="A216" s="62" t="n">
        <v>215</v>
      </c>
      <c r="B216" s="63" t="n">
        <v>46232.788587963</v>
      </c>
      <c r="C216" s="64" t="n">
        <v>46232</v>
      </c>
      <c r="D216" s="62" t="s">
        <v>143</v>
      </c>
      <c r="E216" s="62" t="s">
        <v>432</v>
      </c>
      <c r="F216" s="62" t="s">
        <v>433</v>
      </c>
      <c r="G216" s="62" t="s">
        <v>153</v>
      </c>
      <c r="H216" s="62" t="s">
        <v>153</v>
      </c>
      <c r="I216" s="62" t="s">
        <v>153</v>
      </c>
      <c r="J216" s="62" t="s">
        <v>64</v>
      </c>
      <c r="K216" s="62" t="s">
        <v>64</v>
      </c>
      <c r="L216" s="62" t="s">
        <v>4</v>
      </c>
      <c r="M216" s="62" t="n">
        <v>1</v>
      </c>
      <c r="N216" s="62" t="n">
        <v>0</v>
      </c>
      <c r="O216" s="62" t="n">
        <v>1</v>
      </c>
      <c r="P216" s="62" t="n">
        <v>0</v>
      </c>
      <c r="Q216" s="62" t="n">
        <v>0</v>
      </c>
      <c r="R216" s="62" t="n">
        <v>0</v>
      </c>
      <c r="S216" s="62" t="n">
        <v>0</v>
      </c>
      <c r="T216" s="62" t="n">
        <v>0</v>
      </c>
      <c r="U216" s="62"/>
      <c r="V216" s="62"/>
      <c r="W216" s="62"/>
      <c r="X216" s="62"/>
      <c r="Y216" s="62"/>
      <c r="Z216" s="62" t="s">
        <v>581</v>
      </c>
      <c r="AA216" s="62" t="s">
        <v>582</v>
      </c>
      <c r="AB216" s="62" t="n">
        <v>1</v>
      </c>
      <c r="AC216" s="62" t="n">
        <v>0</v>
      </c>
      <c r="AD216" s="62" t="n">
        <v>0</v>
      </c>
      <c r="AE216" s="62" t="n">
        <f aca="false">IF(AND(Dashboard!$C$9="Yes",AC216=1),0,1)</f>
        <v>1</v>
      </c>
      <c r="AF216" s="62" t="n">
        <v>1</v>
      </c>
    </row>
    <row r="217" customFormat="false" ht="15" hidden="false" customHeight="false" outlineLevel="0" collapsed="false">
      <c r="A217" s="62" t="n">
        <v>216</v>
      </c>
      <c r="B217" s="63" t="n">
        <v>46232.8457407407</v>
      </c>
      <c r="C217" s="64" t="n">
        <v>46232</v>
      </c>
      <c r="D217" s="62" t="s">
        <v>143</v>
      </c>
      <c r="E217" s="62" t="s">
        <v>160</v>
      </c>
      <c r="F217" s="62" t="s">
        <v>160</v>
      </c>
      <c r="G217" s="62" t="s">
        <v>161</v>
      </c>
      <c r="H217" s="62" t="s">
        <v>51</v>
      </c>
      <c r="I217" s="62" t="s">
        <v>47</v>
      </c>
      <c r="J217" s="62" t="s">
        <v>146</v>
      </c>
      <c r="K217" s="62" t="s">
        <v>147</v>
      </c>
      <c r="L217" s="62" t="s">
        <v>148</v>
      </c>
      <c r="M217" s="62" t="n">
        <v>0</v>
      </c>
      <c r="N217" s="62" t="n">
        <v>1</v>
      </c>
      <c r="O217" s="62" t="n">
        <v>1</v>
      </c>
      <c r="P217" s="62" t="n">
        <v>1</v>
      </c>
      <c r="Q217" s="62" t="n">
        <v>0</v>
      </c>
      <c r="R217" s="62" t="n">
        <v>0</v>
      </c>
      <c r="S217" s="62" t="n">
        <v>0</v>
      </c>
      <c r="T217" s="62" t="n">
        <v>0</v>
      </c>
      <c r="U217" s="62"/>
      <c r="V217" s="62"/>
      <c r="W217" s="62"/>
      <c r="X217" s="62"/>
      <c r="Y217" s="62"/>
      <c r="Z217" s="62" t="s">
        <v>583</v>
      </c>
      <c r="AA217" s="62" t="s">
        <v>584</v>
      </c>
      <c r="AB217" s="62" t="n">
        <v>1</v>
      </c>
      <c r="AC217" s="62" t="n">
        <v>0</v>
      </c>
      <c r="AD217" s="62" t="n">
        <v>1</v>
      </c>
      <c r="AE217" s="62" t="n">
        <f aca="false">IF(AND(Dashboard!$C$9="Yes",AC217=1),0,1)</f>
        <v>1</v>
      </c>
      <c r="AF217" s="62" t="n">
        <v>1</v>
      </c>
    </row>
    <row r="218" customFormat="false" ht="15" hidden="false" customHeight="false" outlineLevel="0" collapsed="false">
      <c r="A218" s="62" t="n">
        <v>217</v>
      </c>
      <c r="B218" s="63" t="n">
        <v>46232.8754861111</v>
      </c>
      <c r="C218" s="64" t="n">
        <v>46232</v>
      </c>
      <c r="D218" s="62" t="s">
        <v>143</v>
      </c>
      <c r="E218" s="62" t="s">
        <v>203</v>
      </c>
      <c r="F218" s="62" t="s">
        <v>203</v>
      </c>
      <c r="G218" s="62" t="s">
        <v>204</v>
      </c>
      <c r="H218" s="62" t="s">
        <v>51</v>
      </c>
      <c r="I218" s="62" t="s">
        <v>47</v>
      </c>
      <c r="J218" s="62" t="s">
        <v>146</v>
      </c>
      <c r="K218" s="62" t="s">
        <v>147</v>
      </c>
      <c r="L218" s="62" t="s">
        <v>148</v>
      </c>
      <c r="M218" s="62" t="n">
        <v>0</v>
      </c>
      <c r="N218" s="62" t="n">
        <v>1</v>
      </c>
      <c r="O218" s="62" t="n">
        <v>1</v>
      </c>
      <c r="P218" s="62" t="n">
        <v>1</v>
      </c>
      <c r="Q218" s="62" t="n">
        <v>0</v>
      </c>
      <c r="R218" s="62" t="n">
        <v>0</v>
      </c>
      <c r="S218" s="62" t="n">
        <v>0</v>
      </c>
      <c r="T218" s="62" t="n">
        <v>0</v>
      </c>
      <c r="U218" s="62"/>
      <c r="V218" s="62"/>
      <c r="W218" s="62"/>
      <c r="X218" s="62"/>
      <c r="Y218" s="62"/>
      <c r="Z218" s="62" t="s">
        <v>585</v>
      </c>
      <c r="AA218" s="62" t="s">
        <v>485</v>
      </c>
      <c r="AB218" s="62" t="n">
        <v>0</v>
      </c>
      <c r="AC218" s="62" t="n">
        <v>0</v>
      </c>
      <c r="AD218" s="62" t="n">
        <v>1</v>
      </c>
      <c r="AE218" s="62" t="n">
        <f aca="false">IF(AND(Dashboard!$C$9="Yes",AC218=1),0,1)</f>
        <v>1</v>
      </c>
      <c r="AF218" s="62" t="n">
        <v>1</v>
      </c>
    </row>
    <row r="219" customFormat="false" ht="15" hidden="false" customHeight="false" outlineLevel="0" collapsed="false">
      <c r="A219" s="62" t="n">
        <v>218</v>
      </c>
      <c r="B219" s="63" t="n">
        <v>46232.8867592593</v>
      </c>
      <c r="C219" s="64" t="n">
        <v>46232</v>
      </c>
      <c r="D219" s="62" t="s">
        <v>143</v>
      </c>
      <c r="E219" s="62" t="s">
        <v>586</v>
      </c>
      <c r="F219" s="62" t="s">
        <v>586</v>
      </c>
      <c r="G219" s="62" t="s">
        <v>587</v>
      </c>
      <c r="H219" s="62" t="s">
        <v>57</v>
      </c>
      <c r="I219" s="62" t="s">
        <v>47</v>
      </c>
      <c r="J219" s="62" t="s">
        <v>146</v>
      </c>
      <c r="K219" s="62" t="s">
        <v>175</v>
      </c>
      <c r="L219" s="62" t="s">
        <v>148</v>
      </c>
      <c r="M219" s="62" t="n">
        <v>0</v>
      </c>
      <c r="N219" s="62" t="n">
        <v>1</v>
      </c>
      <c r="O219" s="62" t="n">
        <v>1</v>
      </c>
      <c r="P219" s="62" t="n">
        <v>0</v>
      </c>
      <c r="Q219" s="62" t="n">
        <v>1</v>
      </c>
      <c r="R219" s="62" t="n">
        <v>0</v>
      </c>
      <c r="S219" s="62" t="n">
        <v>0</v>
      </c>
      <c r="T219" s="62" t="n">
        <v>0</v>
      </c>
      <c r="U219" s="62"/>
      <c r="V219" s="62"/>
      <c r="W219" s="62"/>
      <c r="X219" s="62"/>
      <c r="Y219" s="62"/>
      <c r="Z219" s="62" t="s">
        <v>588</v>
      </c>
      <c r="AA219" s="62" t="s">
        <v>589</v>
      </c>
      <c r="AB219" s="62" t="n">
        <v>1</v>
      </c>
      <c r="AC219" s="62" t="n">
        <v>0</v>
      </c>
      <c r="AD219" s="62" t="n">
        <v>1</v>
      </c>
      <c r="AE219" s="62" t="n">
        <f aca="false">IF(AND(Dashboard!$C$9="Yes",AC219=1),0,1)</f>
        <v>1</v>
      </c>
      <c r="AF219" s="62" t="n">
        <v>1</v>
      </c>
    </row>
    <row r="220" customFormat="false" ht="15" hidden="false" customHeight="false" outlineLevel="0" collapsed="false">
      <c r="A220" s="62" t="n">
        <v>219</v>
      </c>
      <c r="B220" s="63" t="n">
        <v>46232.9070138889</v>
      </c>
      <c r="C220" s="64" t="n">
        <v>46232</v>
      </c>
      <c r="D220" s="62" t="s">
        <v>143</v>
      </c>
      <c r="E220" s="62" t="s">
        <v>586</v>
      </c>
      <c r="F220" s="62" t="s">
        <v>586</v>
      </c>
      <c r="G220" s="62" t="s">
        <v>587</v>
      </c>
      <c r="H220" s="62" t="s">
        <v>57</v>
      </c>
      <c r="I220" s="62" t="s">
        <v>47</v>
      </c>
      <c r="J220" s="62" t="s">
        <v>146</v>
      </c>
      <c r="K220" s="62" t="s">
        <v>175</v>
      </c>
      <c r="L220" s="62" t="s">
        <v>148</v>
      </c>
      <c r="M220" s="62" t="n">
        <v>0</v>
      </c>
      <c r="N220" s="62" t="n">
        <v>1</v>
      </c>
      <c r="O220" s="62" t="n">
        <v>1</v>
      </c>
      <c r="P220" s="62" t="n">
        <v>1</v>
      </c>
      <c r="Q220" s="62" t="n">
        <v>0</v>
      </c>
      <c r="R220" s="62" t="n">
        <v>0</v>
      </c>
      <c r="S220" s="62" t="n">
        <v>0</v>
      </c>
      <c r="T220" s="62" t="n">
        <v>0</v>
      </c>
      <c r="U220" s="62"/>
      <c r="V220" s="62"/>
      <c r="W220" s="62"/>
      <c r="X220" s="62"/>
      <c r="Y220" s="62"/>
      <c r="Z220" s="62" t="s">
        <v>590</v>
      </c>
      <c r="AA220" s="62" t="s">
        <v>591</v>
      </c>
      <c r="AB220" s="62" t="n">
        <v>1</v>
      </c>
      <c r="AC220" s="62" t="n">
        <v>0</v>
      </c>
      <c r="AD220" s="62" t="n">
        <v>1</v>
      </c>
      <c r="AE220" s="62" t="n">
        <f aca="false">IF(AND(Dashboard!$C$9="Yes",AC220=1),0,1)</f>
        <v>1</v>
      </c>
      <c r="AF220" s="62" t="n">
        <v>0</v>
      </c>
    </row>
    <row r="221" customFormat="false" ht="15" hidden="false" customHeight="false" outlineLevel="0" collapsed="false">
      <c r="A221" s="62" t="n">
        <v>220</v>
      </c>
      <c r="B221" s="63" t="n">
        <v>46232.9079282407</v>
      </c>
      <c r="C221" s="64" t="n">
        <v>46232</v>
      </c>
      <c r="D221" s="62" t="s">
        <v>143</v>
      </c>
      <c r="E221" s="62" t="s">
        <v>592</v>
      </c>
      <c r="F221" s="62" t="s">
        <v>593</v>
      </c>
      <c r="G221" s="62" t="s">
        <v>153</v>
      </c>
      <c r="H221" s="62" t="s">
        <v>153</v>
      </c>
      <c r="I221" s="62" t="s">
        <v>153</v>
      </c>
      <c r="J221" s="62" t="s">
        <v>64</v>
      </c>
      <c r="K221" s="62" t="s">
        <v>64</v>
      </c>
      <c r="L221" s="62" t="s">
        <v>148</v>
      </c>
      <c r="M221" s="62" t="n">
        <v>0</v>
      </c>
      <c r="N221" s="62" t="n">
        <v>1</v>
      </c>
      <c r="O221" s="62" t="n">
        <v>1</v>
      </c>
      <c r="P221" s="62" t="n">
        <v>1</v>
      </c>
      <c r="Q221" s="62" t="n">
        <v>0</v>
      </c>
      <c r="R221" s="62" t="n">
        <v>0</v>
      </c>
      <c r="S221" s="62" t="n">
        <v>0</v>
      </c>
      <c r="T221" s="62" t="n">
        <v>0</v>
      </c>
      <c r="U221" s="62"/>
      <c r="V221" s="62"/>
      <c r="W221" s="62"/>
      <c r="X221" s="62"/>
      <c r="Y221" s="62"/>
      <c r="Z221" s="62" t="s">
        <v>594</v>
      </c>
      <c r="AA221" s="62" t="s">
        <v>595</v>
      </c>
      <c r="AB221" s="62" t="n">
        <v>1</v>
      </c>
      <c r="AC221" s="62" t="n">
        <v>0</v>
      </c>
      <c r="AD221" s="62" t="n">
        <v>0</v>
      </c>
      <c r="AE221" s="62" t="n">
        <f aca="false">IF(AND(Dashboard!$C$9="Yes",AC221=1),0,1)</f>
        <v>1</v>
      </c>
      <c r="AF221" s="62" t="n">
        <v>1</v>
      </c>
    </row>
    <row r="222" customFormat="false" ht="15" hidden="false" customHeight="false" outlineLevel="0" collapsed="false">
      <c r="A222" s="62" t="n">
        <v>221</v>
      </c>
      <c r="B222" s="63" t="n">
        <v>46232.9176967593</v>
      </c>
      <c r="C222" s="64" t="n">
        <v>46232</v>
      </c>
      <c r="D222" s="62" t="s">
        <v>143</v>
      </c>
      <c r="E222" s="62" t="s">
        <v>144</v>
      </c>
      <c r="F222" s="62" t="s">
        <v>144</v>
      </c>
      <c r="G222" s="62" t="s">
        <v>145</v>
      </c>
      <c r="H222" s="62" t="s">
        <v>59</v>
      </c>
      <c r="I222" s="62" t="s">
        <v>47</v>
      </c>
      <c r="J222" s="62" t="s">
        <v>146</v>
      </c>
      <c r="K222" s="62" t="s">
        <v>147</v>
      </c>
      <c r="L222" s="62" t="s">
        <v>148</v>
      </c>
      <c r="M222" s="62" t="n">
        <v>0</v>
      </c>
      <c r="N222" s="62" t="n">
        <v>1</v>
      </c>
      <c r="O222" s="62" t="n">
        <v>1</v>
      </c>
      <c r="P222" s="62" t="n">
        <v>1</v>
      </c>
      <c r="Q222" s="62" t="n">
        <v>0</v>
      </c>
      <c r="R222" s="62" t="n">
        <v>0</v>
      </c>
      <c r="S222" s="62" t="n">
        <v>0</v>
      </c>
      <c r="T222" s="62" t="n">
        <v>0</v>
      </c>
      <c r="U222" s="62"/>
      <c r="V222" s="62"/>
      <c r="W222" s="62"/>
      <c r="X222" s="62"/>
      <c r="Y222" s="62"/>
      <c r="Z222" s="62" t="s">
        <v>596</v>
      </c>
      <c r="AA222" s="62" t="s">
        <v>597</v>
      </c>
      <c r="AB222" s="62" t="n">
        <v>0</v>
      </c>
      <c r="AC222" s="62" t="n">
        <v>0</v>
      </c>
      <c r="AD222" s="62" t="n">
        <v>1</v>
      </c>
      <c r="AE222" s="62" t="n">
        <f aca="false">IF(AND(Dashboard!$C$9="Yes",AC222=1),0,1)</f>
        <v>1</v>
      </c>
      <c r="AF222" s="62" t="n">
        <v>1</v>
      </c>
    </row>
    <row r="223" customFormat="false" ht="15" hidden="false" customHeight="false" outlineLevel="0" collapsed="false">
      <c r="A223" s="62" t="n">
        <v>222</v>
      </c>
      <c r="B223" s="63" t="n">
        <v>46232.9178935185</v>
      </c>
      <c r="C223" s="64" t="n">
        <v>46232</v>
      </c>
      <c r="D223" s="62" t="s">
        <v>143</v>
      </c>
      <c r="E223" s="62" t="s">
        <v>144</v>
      </c>
      <c r="F223" s="62" t="s">
        <v>144</v>
      </c>
      <c r="G223" s="62" t="s">
        <v>145</v>
      </c>
      <c r="H223" s="62" t="s">
        <v>59</v>
      </c>
      <c r="I223" s="62" t="s">
        <v>47</v>
      </c>
      <c r="J223" s="62" t="s">
        <v>146</v>
      </c>
      <c r="K223" s="62" t="s">
        <v>147</v>
      </c>
      <c r="L223" s="62" t="s">
        <v>148</v>
      </c>
      <c r="M223" s="62" t="n">
        <v>0</v>
      </c>
      <c r="N223" s="62" t="n">
        <v>1</v>
      </c>
      <c r="O223" s="62" t="n">
        <v>1</v>
      </c>
      <c r="P223" s="62" t="n">
        <v>1</v>
      </c>
      <c r="Q223" s="62" t="n">
        <v>0</v>
      </c>
      <c r="R223" s="62" t="n">
        <v>0</v>
      </c>
      <c r="S223" s="62" t="n">
        <v>0</v>
      </c>
      <c r="T223" s="62" t="n">
        <v>0</v>
      </c>
      <c r="U223" s="62"/>
      <c r="V223" s="62"/>
      <c r="W223" s="62"/>
      <c r="X223" s="62"/>
      <c r="Y223" s="62"/>
      <c r="Z223" s="62" t="s">
        <v>596</v>
      </c>
      <c r="AA223" s="62" t="s">
        <v>597</v>
      </c>
      <c r="AB223" s="62" t="n">
        <v>0</v>
      </c>
      <c r="AC223" s="62" t="n">
        <v>0</v>
      </c>
      <c r="AD223" s="62" t="n">
        <v>1</v>
      </c>
      <c r="AE223" s="62" t="n">
        <f aca="false">IF(AND(Dashboard!$C$9="Yes",AC223=1),0,1)</f>
        <v>1</v>
      </c>
      <c r="AF223" s="62" t="n">
        <v>0</v>
      </c>
    </row>
    <row r="224" customFormat="false" ht="15" hidden="false" customHeight="false" outlineLevel="0" collapsed="false">
      <c r="A224" s="62" t="n">
        <v>223</v>
      </c>
      <c r="B224" s="63" t="n">
        <v>46232.9188541667</v>
      </c>
      <c r="C224" s="64" t="n">
        <v>46232</v>
      </c>
      <c r="D224" s="62" t="s">
        <v>143</v>
      </c>
      <c r="E224" s="62" t="s">
        <v>218</v>
      </c>
      <c r="F224" s="62" t="s">
        <v>218</v>
      </c>
      <c r="G224" s="62" t="s">
        <v>219</v>
      </c>
      <c r="H224" s="62" t="s">
        <v>51</v>
      </c>
      <c r="I224" s="62" t="s">
        <v>47</v>
      </c>
      <c r="J224" s="62" t="s">
        <v>146</v>
      </c>
      <c r="K224" s="62" t="s">
        <v>147</v>
      </c>
      <c r="L224" s="62" t="s">
        <v>148</v>
      </c>
      <c r="M224" s="62" t="n">
        <v>0</v>
      </c>
      <c r="N224" s="62" t="n">
        <v>1</v>
      </c>
      <c r="O224" s="62" t="n">
        <v>1</v>
      </c>
      <c r="P224" s="62" t="n">
        <v>1</v>
      </c>
      <c r="Q224" s="62" t="n">
        <v>0</v>
      </c>
      <c r="R224" s="62" t="n">
        <v>0</v>
      </c>
      <c r="S224" s="62" t="n">
        <v>0</v>
      </c>
      <c r="T224" s="62" t="n">
        <v>0</v>
      </c>
      <c r="U224" s="62"/>
      <c r="V224" s="62"/>
      <c r="W224" s="62"/>
      <c r="X224" s="62"/>
      <c r="Y224" s="62"/>
      <c r="Z224" s="62" t="s">
        <v>598</v>
      </c>
      <c r="AA224" s="62" t="s">
        <v>599</v>
      </c>
      <c r="AB224" s="62" t="n">
        <v>1</v>
      </c>
      <c r="AC224" s="62" t="n">
        <v>0</v>
      </c>
      <c r="AD224" s="62" t="n">
        <v>1</v>
      </c>
      <c r="AE224" s="62" t="n">
        <f aca="false">IF(AND(Dashboard!$C$9="Yes",AC224=1),0,1)</f>
        <v>1</v>
      </c>
      <c r="AF224" s="62" t="n">
        <v>1</v>
      </c>
    </row>
    <row r="225" customFormat="false" ht="15" hidden="false" customHeight="false" outlineLevel="0" collapsed="false">
      <c r="A225" s="62" t="n">
        <v>224</v>
      </c>
      <c r="B225" s="63" t="n">
        <v>46232.9212037037</v>
      </c>
      <c r="C225" s="64" t="n">
        <v>46232</v>
      </c>
      <c r="D225" s="62" t="s">
        <v>143</v>
      </c>
      <c r="E225" s="62" t="s">
        <v>190</v>
      </c>
      <c r="F225" s="62" t="s">
        <v>191</v>
      </c>
      <c r="G225" s="62" t="s">
        <v>153</v>
      </c>
      <c r="H225" s="62" t="s">
        <v>153</v>
      </c>
      <c r="I225" s="62" t="s">
        <v>153</v>
      </c>
      <c r="J225" s="62" t="s">
        <v>64</v>
      </c>
      <c r="K225" s="62" t="s">
        <v>64</v>
      </c>
      <c r="L225" s="62" t="s">
        <v>148</v>
      </c>
      <c r="M225" s="62" t="n">
        <v>0</v>
      </c>
      <c r="N225" s="62" t="n">
        <v>1</v>
      </c>
      <c r="O225" s="62" t="n">
        <v>1</v>
      </c>
      <c r="P225" s="62" t="n">
        <v>0</v>
      </c>
      <c r="Q225" s="62" t="n">
        <v>1</v>
      </c>
      <c r="R225" s="62" t="n">
        <v>0</v>
      </c>
      <c r="S225" s="62" t="n">
        <v>0</v>
      </c>
      <c r="T225" s="62" t="n">
        <v>0</v>
      </c>
      <c r="U225" s="62"/>
      <c r="V225" s="62"/>
      <c r="W225" s="62"/>
      <c r="X225" s="62"/>
      <c r="Y225" s="62"/>
      <c r="Z225" s="62" t="s">
        <v>600</v>
      </c>
      <c r="AA225" s="62" t="s">
        <v>601</v>
      </c>
      <c r="AB225" s="62" t="n">
        <v>1</v>
      </c>
      <c r="AC225" s="62" t="n">
        <v>0</v>
      </c>
      <c r="AD225" s="62" t="n">
        <v>0</v>
      </c>
      <c r="AE225" s="62" t="n">
        <f aca="false">IF(AND(Dashboard!$C$9="Yes",AC225=1),0,1)</f>
        <v>1</v>
      </c>
      <c r="AF225" s="62" t="n">
        <v>1</v>
      </c>
    </row>
    <row r="226" customFormat="false" ht="15" hidden="false" customHeight="false" outlineLevel="0" collapsed="false">
      <c r="A226" s="62" t="n">
        <v>225</v>
      </c>
      <c r="B226" s="63" t="n">
        <v>46232.9390972222</v>
      </c>
      <c r="C226" s="64" t="n">
        <v>46232</v>
      </c>
      <c r="D226" s="62" t="s">
        <v>143</v>
      </c>
      <c r="E226" s="62" t="s">
        <v>371</v>
      </c>
      <c r="F226" s="62" t="s">
        <v>371</v>
      </c>
      <c r="G226" s="62" t="s">
        <v>372</v>
      </c>
      <c r="H226" s="62" t="s">
        <v>59</v>
      </c>
      <c r="I226" s="62" t="s">
        <v>47</v>
      </c>
      <c r="J226" s="62" t="s">
        <v>146</v>
      </c>
      <c r="K226" s="62" t="s">
        <v>147</v>
      </c>
      <c r="L226" s="62" t="s">
        <v>4</v>
      </c>
      <c r="M226" s="62" t="n">
        <v>1</v>
      </c>
      <c r="N226" s="62" t="n">
        <v>0</v>
      </c>
      <c r="O226" s="62" t="n">
        <v>1</v>
      </c>
      <c r="P226" s="62" t="n">
        <v>0</v>
      </c>
      <c r="Q226" s="62" t="n">
        <v>0</v>
      </c>
      <c r="R226" s="62" t="n">
        <v>0</v>
      </c>
      <c r="S226" s="62" t="n">
        <v>0</v>
      </c>
      <c r="T226" s="62" t="n">
        <v>0</v>
      </c>
      <c r="U226" s="62"/>
      <c r="V226" s="62"/>
      <c r="W226" s="62"/>
      <c r="X226" s="62"/>
      <c r="Y226" s="62"/>
      <c r="Z226" s="62" t="s">
        <v>602</v>
      </c>
      <c r="AA226" s="62" t="s">
        <v>603</v>
      </c>
      <c r="AB226" s="62" t="n">
        <v>1</v>
      </c>
      <c r="AC226" s="62" t="n">
        <v>0</v>
      </c>
      <c r="AD226" s="62" t="n">
        <v>1</v>
      </c>
      <c r="AE226" s="62" t="n">
        <f aca="false">IF(AND(Dashboard!$C$9="Yes",AC226=1),0,1)</f>
        <v>1</v>
      </c>
      <c r="AF226" s="62" t="n">
        <v>1</v>
      </c>
    </row>
    <row r="227" customFormat="false" ht="15" hidden="false" customHeight="false" outlineLevel="0" collapsed="false">
      <c r="A227" s="62" t="n">
        <v>226</v>
      </c>
      <c r="B227" s="63" t="n">
        <v>46232.9546990741</v>
      </c>
      <c r="C227" s="64" t="n">
        <v>46232</v>
      </c>
      <c r="D227" s="62" t="s">
        <v>143</v>
      </c>
      <c r="E227" s="62" t="s">
        <v>218</v>
      </c>
      <c r="F227" s="62" t="s">
        <v>218</v>
      </c>
      <c r="G227" s="62" t="s">
        <v>219</v>
      </c>
      <c r="H227" s="62" t="s">
        <v>51</v>
      </c>
      <c r="I227" s="62" t="s">
        <v>47</v>
      </c>
      <c r="J227" s="62" t="s">
        <v>146</v>
      </c>
      <c r="K227" s="62" t="s">
        <v>147</v>
      </c>
      <c r="L227" s="62" t="s">
        <v>148</v>
      </c>
      <c r="M227" s="62" t="n">
        <v>0</v>
      </c>
      <c r="N227" s="62" t="n">
        <v>1</v>
      </c>
      <c r="O227" s="62" t="n">
        <v>1</v>
      </c>
      <c r="P227" s="62" t="n">
        <v>1</v>
      </c>
      <c r="Q227" s="62" t="n">
        <v>0</v>
      </c>
      <c r="R227" s="62" t="n">
        <v>0</v>
      </c>
      <c r="S227" s="62" t="n">
        <v>0</v>
      </c>
      <c r="T227" s="62" t="n">
        <v>0</v>
      </c>
      <c r="U227" s="62"/>
      <c r="V227" s="62"/>
      <c r="W227" s="62"/>
      <c r="X227" s="62"/>
      <c r="Y227" s="62"/>
      <c r="Z227" s="62" t="s">
        <v>604</v>
      </c>
      <c r="AA227" s="62" t="s">
        <v>605</v>
      </c>
      <c r="AB227" s="62" t="n">
        <v>1</v>
      </c>
      <c r="AC227" s="62" t="n">
        <v>0</v>
      </c>
      <c r="AD227" s="62" t="n">
        <v>1</v>
      </c>
      <c r="AE227" s="62" t="n">
        <f aca="false">IF(AND(Dashboard!$C$9="Yes",AC227=1),0,1)</f>
        <v>1</v>
      </c>
      <c r="AF227" s="62" t="n">
        <v>0</v>
      </c>
    </row>
    <row r="228" customFormat="false" ht="15" hidden="false" customHeight="false" outlineLevel="0" collapsed="false">
      <c r="A228" s="62" t="n">
        <v>227</v>
      </c>
      <c r="B228" s="63" t="n">
        <v>46232.9980092593</v>
      </c>
      <c r="C228" s="64" t="n">
        <v>46232</v>
      </c>
      <c r="D228" s="62" t="s">
        <v>143</v>
      </c>
      <c r="E228" s="62" t="s">
        <v>218</v>
      </c>
      <c r="F228" s="62" t="s">
        <v>218</v>
      </c>
      <c r="G228" s="62" t="s">
        <v>219</v>
      </c>
      <c r="H228" s="62" t="s">
        <v>51</v>
      </c>
      <c r="I228" s="62" t="s">
        <v>47</v>
      </c>
      <c r="J228" s="62" t="s">
        <v>146</v>
      </c>
      <c r="K228" s="62" t="s">
        <v>147</v>
      </c>
      <c r="L228" s="62" t="s">
        <v>148</v>
      </c>
      <c r="M228" s="62" t="n">
        <v>0</v>
      </c>
      <c r="N228" s="62" t="n">
        <v>1</v>
      </c>
      <c r="O228" s="62" t="n">
        <v>1</v>
      </c>
      <c r="P228" s="62" t="n">
        <v>0</v>
      </c>
      <c r="Q228" s="62" t="n">
        <v>1</v>
      </c>
      <c r="R228" s="62" t="n">
        <v>0</v>
      </c>
      <c r="S228" s="62" t="n">
        <v>0</v>
      </c>
      <c r="T228" s="62" t="n">
        <v>0</v>
      </c>
      <c r="U228" s="62"/>
      <c r="V228" s="62"/>
      <c r="W228" s="62"/>
      <c r="X228" s="62"/>
      <c r="Y228" s="62"/>
      <c r="Z228" s="62" t="s">
        <v>604</v>
      </c>
      <c r="AA228" s="62" t="s">
        <v>606</v>
      </c>
      <c r="AB228" s="62" t="n">
        <v>1</v>
      </c>
      <c r="AC228" s="62" t="n">
        <v>0</v>
      </c>
      <c r="AD228" s="62" t="n">
        <v>1</v>
      </c>
      <c r="AE228" s="62" t="n">
        <f aca="false">IF(AND(Dashboard!$C$9="Yes",AC228=1),0,1)</f>
        <v>1</v>
      </c>
      <c r="AF228" s="62" t="n">
        <v>0</v>
      </c>
    </row>
    <row r="229" customFormat="false" ht="15" hidden="false" customHeight="false" outlineLevel="0" collapsed="false">
      <c r="A229" s="62" t="n">
        <v>228</v>
      </c>
      <c r="B229" s="63" t="n">
        <v>46233.0244560185</v>
      </c>
      <c r="C229" s="64" t="n">
        <v>46232</v>
      </c>
      <c r="D229" s="62" t="s">
        <v>143</v>
      </c>
      <c r="E229" s="62" t="s">
        <v>144</v>
      </c>
      <c r="F229" s="62" t="s">
        <v>144</v>
      </c>
      <c r="G229" s="62" t="s">
        <v>145</v>
      </c>
      <c r="H229" s="62" t="s">
        <v>59</v>
      </c>
      <c r="I229" s="62" t="s">
        <v>47</v>
      </c>
      <c r="J229" s="62" t="s">
        <v>146</v>
      </c>
      <c r="K229" s="62" t="s">
        <v>147</v>
      </c>
      <c r="L229" s="62" t="s">
        <v>148</v>
      </c>
      <c r="M229" s="62" t="n">
        <v>0</v>
      </c>
      <c r="N229" s="62" t="n">
        <v>1</v>
      </c>
      <c r="O229" s="62" t="n">
        <v>1</v>
      </c>
      <c r="P229" s="62" t="n">
        <v>0</v>
      </c>
      <c r="Q229" s="62" t="n">
        <v>1</v>
      </c>
      <c r="R229" s="62" t="n">
        <v>0</v>
      </c>
      <c r="S229" s="62" t="n">
        <v>0</v>
      </c>
      <c r="T229" s="62" t="n">
        <v>0</v>
      </c>
      <c r="U229" s="62"/>
      <c r="V229" s="62"/>
      <c r="W229" s="62"/>
      <c r="X229" s="62"/>
      <c r="Y229" s="62"/>
      <c r="Z229" s="62" t="s">
        <v>607</v>
      </c>
      <c r="AA229" s="62" t="s">
        <v>608</v>
      </c>
      <c r="AB229" s="62" t="n">
        <v>0</v>
      </c>
      <c r="AC229" s="62" t="n">
        <v>0</v>
      </c>
      <c r="AD229" s="62" t="n">
        <v>1</v>
      </c>
      <c r="AE229" s="62" t="n">
        <f aca="false">IF(AND(Dashboard!$C$9="Yes",AC229=1),0,1)</f>
        <v>1</v>
      </c>
      <c r="AF229" s="62" t="n">
        <v>0</v>
      </c>
    </row>
    <row r="230" customFormat="false" ht="15" hidden="false" customHeight="false" outlineLevel="0" collapsed="false">
      <c r="A230" s="62" t="n">
        <v>229</v>
      </c>
      <c r="B230" s="63" t="n">
        <v>46233.0246643519</v>
      </c>
      <c r="C230" s="64" t="n">
        <v>46232</v>
      </c>
      <c r="D230" s="62" t="s">
        <v>143</v>
      </c>
      <c r="E230" s="62" t="s">
        <v>144</v>
      </c>
      <c r="F230" s="62" t="s">
        <v>144</v>
      </c>
      <c r="G230" s="62" t="s">
        <v>145</v>
      </c>
      <c r="H230" s="62" t="s">
        <v>59</v>
      </c>
      <c r="I230" s="62" t="s">
        <v>47</v>
      </c>
      <c r="J230" s="62" t="s">
        <v>146</v>
      </c>
      <c r="K230" s="62" t="s">
        <v>147</v>
      </c>
      <c r="L230" s="62" t="s">
        <v>148</v>
      </c>
      <c r="M230" s="62" t="n">
        <v>0</v>
      </c>
      <c r="N230" s="62" t="n">
        <v>1</v>
      </c>
      <c r="O230" s="62" t="n">
        <v>1</v>
      </c>
      <c r="P230" s="62" t="n">
        <v>0</v>
      </c>
      <c r="Q230" s="62" t="n">
        <v>1</v>
      </c>
      <c r="R230" s="62" t="n">
        <v>0</v>
      </c>
      <c r="S230" s="62" t="n">
        <v>0</v>
      </c>
      <c r="T230" s="62" t="n">
        <v>0</v>
      </c>
      <c r="U230" s="62"/>
      <c r="V230" s="62"/>
      <c r="W230" s="62"/>
      <c r="X230" s="62"/>
      <c r="Y230" s="62"/>
      <c r="Z230" s="62" t="s">
        <v>607</v>
      </c>
      <c r="AA230" s="62" t="s">
        <v>608</v>
      </c>
      <c r="AB230" s="62" t="n">
        <v>0</v>
      </c>
      <c r="AC230" s="62" t="n">
        <v>0</v>
      </c>
      <c r="AD230" s="62" t="n">
        <v>1</v>
      </c>
      <c r="AE230" s="62" t="n">
        <f aca="false">IF(AND(Dashboard!$C$9="Yes",AC230=1),0,1)</f>
        <v>1</v>
      </c>
      <c r="AF230" s="62" t="n">
        <v>0</v>
      </c>
    </row>
    <row r="231" customFormat="false" ht="15" hidden="false" customHeight="false" outlineLevel="0" collapsed="false">
      <c r="A231" s="62" t="n">
        <v>230</v>
      </c>
      <c r="B231" s="63" t="n">
        <v>46233.0365625</v>
      </c>
      <c r="C231" s="64" t="n">
        <v>46232</v>
      </c>
      <c r="D231" s="62" t="s">
        <v>143</v>
      </c>
      <c r="E231" s="62" t="s">
        <v>144</v>
      </c>
      <c r="F231" s="62" t="s">
        <v>144</v>
      </c>
      <c r="G231" s="62" t="s">
        <v>145</v>
      </c>
      <c r="H231" s="62" t="s">
        <v>59</v>
      </c>
      <c r="I231" s="62" t="s">
        <v>47</v>
      </c>
      <c r="J231" s="62" t="s">
        <v>146</v>
      </c>
      <c r="K231" s="62" t="s">
        <v>147</v>
      </c>
      <c r="L231" s="62" t="s">
        <v>148</v>
      </c>
      <c r="M231" s="62" t="n">
        <v>0</v>
      </c>
      <c r="N231" s="62" t="n">
        <v>2</v>
      </c>
      <c r="O231" s="62" t="n">
        <v>2</v>
      </c>
      <c r="P231" s="62" t="n">
        <v>1</v>
      </c>
      <c r="Q231" s="62" t="n">
        <v>1</v>
      </c>
      <c r="R231" s="62" t="n">
        <v>0</v>
      </c>
      <c r="S231" s="62" t="n">
        <v>0</v>
      </c>
      <c r="T231" s="62" t="n">
        <v>0</v>
      </c>
      <c r="U231" s="62"/>
      <c r="V231" s="62"/>
      <c r="W231" s="62"/>
      <c r="X231" s="62"/>
      <c r="Y231" s="62"/>
      <c r="Z231" s="62" t="s">
        <v>609</v>
      </c>
      <c r="AA231" s="62" t="s">
        <v>610</v>
      </c>
      <c r="AB231" s="62" t="n">
        <v>0</v>
      </c>
      <c r="AC231" s="62" t="n">
        <v>0</v>
      </c>
      <c r="AD231" s="62" t="n">
        <v>1</v>
      </c>
      <c r="AE231" s="62" t="n">
        <f aca="false">IF(AND(Dashboard!$C$9="Yes",AC231=1),0,1)</f>
        <v>1</v>
      </c>
      <c r="AF231" s="62" t="n">
        <v>0</v>
      </c>
    </row>
    <row r="232" customFormat="false" ht="15" hidden="false" customHeight="false" outlineLevel="0" collapsed="false">
      <c r="A232" s="62" t="n">
        <v>231</v>
      </c>
      <c r="B232" s="63" t="n">
        <v>46233.036712963</v>
      </c>
      <c r="C232" s="64" t="n">
        <v>46232</v>
      </c>
      <c r="D232" s="62" t="s">
        <v>143</v>
      </c>
      <c r="E232" s="62" t="s">
        <v>144</v>
      </c>
      <c r="F232" s="62" t="s">
        <v>144</v>
      </c>
      <c r="G232" s="62" t="s">
        <v>145</v>
      </c>
      <c r="H232" s="62" t="s">
        <v>59</v>
      </c>
      <c r="I232" s="62" t="s">
        <v>47</v>
      </c>
      <c r="J232" s="62" t="s">
        <v>146</v>
      </c>
      <c r="K232" s="62" t="s">
        <v>147</v>
      </c>
      <c r="L232" s="62" t="s">
        <v>148</v>
      </c>
      <c r="M232" s="62" t="n">
        <v>0</v>
      </c>
      <c r="N232" s="62" t="n">
        <v>2</v>
      </c>
      <c r="O232" s="62" t="n">
        <v>2</v>
      </c>
      <c r="P232" s="62" t="n">
        <v>1</v>
      </c>
      <c r="Q232" s="62" t="n">
        <v>1</v>
      </c>
      <c r="R232" s="62" t="n">
        <v>0</v>
      </c>
      <c r="S232" s="62" t="n">
        <v>0</v>
      </c>
      <c r="T232" s="62" t="n">
        <v>0</v>
      </c>
      <c r="U232" s="62"/>
      <c r="V232" s="62"/>
      <c r="W232" s="62"/>
      <c r="X232" s="62"/>
      <c r="Y232" s="62"/>
      <c r="Z232" s="62" t="s">
        <v>609</v>
      </c>
      <c r="AA232" s="62" t="s">
        <v>610</v>
      </c>
      <c r="AB232" s="62" t="n">
        <v>0</v>
      </c>
      <c r="AC232" s="62" t="n">
        <v>0</v>
      </c>
      <c r="AD232" s="62" t="n">
        <v>1</v>
      </c>
      <c r="AE232" s="62" t="n">
        <f aca="false">IF(AND(Dashboard!$C$9="Yes",AC232=1),0,1)</f>
        <v>1</v>
      </c>
      <c r="AF232" s="62" t="n">
        <v>0</v>
      </c>
    </row>
    <row r="233" customFormat="false" ht="15" hidden="false" customHeight="false" outlineLevel="0" collapsed="false">
      <c r="A233" s="62" t="n">
        <v>232</v>
      </c>
      <c r="B233" s="63" t="n">
        <v>46233.04375</v>
      </c>
      <c r="C233" s="64" t="n">
        <v>46232</v>
      </c>
      <c r="D233" s="62" t="s">
        <v>143</v>
      </c>
      <c r="E233" s="62" t="s">
        <v>203</v>
      </c>
      <c r="F233" s="62" t="s">
        <v>203</v>
      </c>
      <c r="G233" s="62" t="s">
        <v>204</v>
      </c>
      <c r="H233" s="62" t="s">
        <v>51</v>
      </c>
      <c r="I233" s="62" t="s">
        <v>47</v>
      </c>
      <c r="J233" s="62" t="s">
        <v>146</v>
      </c>
      <c r="K233" s="62" t="s">
        <v>147</v>
      </c>
      <c r="L233" s="62" t="s">
        <v>148</v>
      </c>
      <c r="M233" s="62" t="n">
        <v>0</v>
      </c>
      <c r="N233" s="62" t="n">
        <v>1</v>
      </c>
      <c r="O233" s="62" t="n">
        <v>1</v>
      </c>
      <c r="P233" s="62" t="n">
        <v>1</v>
      </c>
      <c r="Q233" s="62" t="n">
        <v>0</v>
      </c>
      <c r="R233" s="62" t="n">
        <v>0</v>
      </c>
      <c r="S233" s="62" t="n">
        <v>0</v>
      </c>
      <c r="T233" s="62" t="n">
        <v>0</v>
      </c>
      <c r="U233" s="62"/>
      <c r="V233" s="62"/>
      <c r="W233" s="62"/>
      <c r="X233" s="62"/>
      <c r="Y233" s="62"/>
      <c r="Z233" s="62" t="s">
        <v>611</v>
      </c>
      <c r="AA233" s="62" t="s">
        <v>612</v>
      </c>
      <c r="AB233" s="62" t="n">
        <v>1</v>
      </c>
      <c r="AC233" s="62" t="n">
        <v>0</v>
      </c>
      <c r="AD233" s="62" t="n">
        <v>1</v>
      </c>
      <c r="AE233" s="62" t="n">
        <f aca="false">IF(AND(Dashboard!$C$9="Yes",AC233=1),0,1)</f>
        <v>1</v>
      </c>
      <c r="AF233" s="62" t="n">
        <v>0</v>
      </c>
    </row>
    <row r="234" customFormat="false" ht="15" hidden="false" customHeight="false" outlineLevel="0" collapsed="false">
      <c r="A234" s="62" t="n">
        <v>233</v>
      </c>
      <c r="B234" s="63" t="n">
        <v>46233.0486111111</v>
      </c>
      <c r="C234" s="64" t="n">
        <v>46232</v>
      </c>
      <c r="D234" s="62" t="s">
        <v>143</v>
      </c>
      <c r="E234" s="62" t="s">
        <v>144</v>
      </c>
      <c r="F234" s="62" t="s">
        <v>144</v>
      </c>
      <c r="G234" s="62" t="s">
        <v>145</v>
      </c>
      <c r="H234" s="62" t="s">
        <v>59</v>
      </c>
      <c r="I234" s="62" t="s">
        <v>47</v>
      </c>
      <c r="J234" s="62" t="s">
        <v>146</v>
      </c>
      <c r="K234" s="62" t="s">
        <v>147</v>
      </c>
      <c r="L234" s="62" t="s">
        <v>148</v>
      </c>
      <c r="M234" s="62" t="n">
        <v>0</v>
      </c>
      <c r="N234" s="62" t="n">
        <v>2</v>
      </c>
      <c r="O234" s="62" t="n">
        <v>2</v>
      </c>
      <c r="P234" s="62" t="n">
        <v>1</v>
      </c>
      <c r="Q234" s="62" t="n">
        <v>1</v>
      </c>
      <c r="R234" s="62" t="n">
        <v>0</v>
      </c>
      <c r="S234" s="62" t="n">
        <v>0</v>
      </c>
      <c r="T234" s="62" t="n">
        <v>0</v>
      </c>
      <c r="U234" s="62"/>
      <c r="V234" s="62"/>
      <c r="W234" s="62"/>
      <c r="X234" s="62"/>
      <c r="Y234" s="62"/>
      <c r="Z234" s="62" t="s">
        <v>613</v>
      </c>
      <c r="AA234" s="62" t="s">
        <v>614</v>
      </c>
      <c r="AB234" s="62" t="n">
        <v>0</v>
      </c>
      <c r="AC234" s="62" t="n">
        <v>0</v>
      </c>
      <c r="AD234" s="62" t="n">
        <v>1</v>
      </c>
      <c r="AE234" s="62" t="n">
        <f aca="false">IF(AND(Dashboard!$C$9="Yes",AC234=1),0,1)</f>
        <v>1</v>
      </c>
      <c r="AF234" s="62" t="n">
        <v>0</v>
      </c>
    </row>
    <row r="235" customFormat="false" ht="15" hidden="false" customHeight="false" outlineLevel="0" collapsed="false">
      <c r="A235" s="62" t="n">
        <v>234</v>
      </c>
      <c r="B235" s="63" t="n">
        <v>46233.0488194445</v>
      </c>
      <c r="C235" s="64" t="n">
        <v>46232</v>
      </c>
      <c r="D235" s="62" t="s">
        <v>143</v>
      </c>
      <c r="E235" s="62" t="s">
        <v>144</v>
      </c>
      <c r="F235" s="62" t="s">
        <v>144</v>
      </c>
      <c r="G235" s="62" t="s">
        <v>145</v>
      </c>
      <c r="H235" s="62" t="s">
        <v>59</v>
      </c>
      <c r="I235" s="62" t="s">
        <v>47</v>
      </c>
      <c r="J235" s="62" t="s">
        <v>146</v>
      </c>
      <c r="K235" s="62" t="s">
        <v>147</v>
      </c>
      <c r="L235" s="62" t="s">
        <v>148</v>
      </c>
      <c r="M235" s="62" t="n">
        <v>0</v>
      </c>
      <c r="N235" s="62" t="n">
        <v>2</v>
      </c>
      <c r="O235" s="62" t="n">
        <v>2</v>
      </c>
      <c r="P235" s="62" t="n">
        <v>1</v>
      </c>
      <c r="Q235" s="62" t="n">
        <v>1</v>
      </c>
      <c r="R235" s="62" t="n">
        <v>0</v>
      </c>
      <c r="S235" s="62" t="n">
        <v>0</v>
      </c>
      <c r="T235" s="62" t="n">
        <v>0</v>
      </c>
      <c r="U235" s="62"/>
      <c r="V235" s="62"/>
      <c r="W235" s="62"/>
      <c r="X235" s="62"/>
      <c r="Y235" s="62"/>
      <c r="Z235" s="62" t="s">
        <v>613</v>
      </c>
      <c r="AA235" s="62" t="s">
        <v>614</v>
      </c>
      <c r="AB235" s="62" t="n">
        <v>0</v>
      </c>
      <c r="AC235" s="62" t="n">
        <v>0</v>
      </c>
      <c r="AD235" s="62" t="n">
        <v>1</v>
      </c>
      <c r="AE235" s="62" t="n">
        <f aca="false">IF(AND(Dashboard!$C$9="Yes",AC235=1),0,1)</f>
        <v>1</v>
      </c>
      <c r="AF235" s="62" t="n">
        <v>0</v>
      </c>
    </row>
    <row r="236" customFormat="false" ht="15" hidden="false" customHeight="false" outlineLevel="0" collapsed="false">
      <c r="A236" s="62" t="n">
        <v>235</v>
      </c>
      <c r="B236" s="63" t="n">
        <v>46233.1156134259</v>
      </c>
      <c r="C236" s="64" t="n">
        <v>46232</v>
      </c>
      <c r="D236" s="62" t="s">
        <v>143</v>
      </c>
      <c r="E236" s="62" t="s">
        <v>273</v>
      </c>
      <c r="F236" s="62" t="s">
        <v>273</v>
      </c>
      <c r="G236" s="62" t="s">
        <v>274</v>
      </c>
      <c r="H236" s="62" t="s">
        <v>59</v>
      </c>
      <c r="I236" s="62" t="s">
        <v>47</v>
      </c>
      <c r="J236" s="62" t="s">
        <v>146</v>
      </c>
      <c r="K236" s="62" t="s">
        <v>147</v>
      </c>
      <c r="L236" s="62" t="s">
        <v>148</v>
      </c>
      <c r="M236" s="62" t="n">
        <v>0</v>
      </c>
      <c r="N236" s="62" t="n">
        <v>1</v>
      </c>
      <c r="O236" s="62" t="n">
        <v>1</v>
      </c>
      <c r="P236" s="62" t="n">
        <v>0</v>
      </c>
      <c r="Q236" s="62" t="n">
        <v>1</v>
      </c>
      <c r="R236" s="62" t="n">
        <v>0</v>
      </c>
      <c r="S236" s="62" t="n">
        <v>0</v>
      </c>
      <c r="T236" s="62" t="n">
        <v>0</v>
      </c>
      <c r="U236" s="62"/>
      <c r="V236" s="62"/>
      <c r="W236" s="62"/>
      <c r="X236" s="62"/>
      <c r="Y236" s="62"/>
      <c r="Z236" s="62" t="s">
        <v>615</v>
      </c>
      <c r="AA236" s="62" t="s">
        <v>616</v>
      </c>
      <c r="AB236" s="62" t="n">
        <v>1</v>
      </c>
      <c r="AC236" s="62" t="n">
        <v>0</v>
      </c>
      <c r="AD236" s="62" t="n">
        <v>1</v>
      </c>
      <c r="AE236" s="62" t="n">
        <f aca="false">IF(AND(Dashboard!$C$9="Yes",AC236=1),0,1)</f>
        <v>1</v>
      </c>
      <c r="AF236" s="62" t="n">
        <v>1</v>
      </c>
    </row>
    <row r="237" customFormat="false" ht="15" hidden="false" customHeight="false" outlineLevel="0" collapsed="false">
      <c r="A237" s="62" t="n">
        <v>236</v>
      </c>
      <c r="B237" s="63" t="n">
        <v>46233.1166898148</v>
      </c>
      <c r="C237" s="64" t="n">
        <v>46232</v>
      </c>
      <c r="D237" s="62" t="s">
        <v>143</v>
      </c>
      <c r="E237" s="62" t="s">
        <v>144</v>
      </c>
      <c r="F237" s="62" t="s">
        <v>144</v>
      </c>
      <c r="G237" s="62" t="s">
        <v>145</v>
      </c>
      <c r="H237" s="62" t="s">
        <v>59</v>
      </c>
      <c r="I237" s="62" t="s">
        <v>47</v>
      </c>
      <c r="J237" s="62" t="s">
        <v>146</v>
      </c>
      <c r="K237" s="62" t="s">
        <v>147</v>
      </c>
      <c r="L237" s="62" t="s">
        <v>148</v>
      </c>
      <c r="M237" s="62" t="n">
        <v>0</v>
      </c>
      <c r="N237" s="62" t="n">
        <v>1</v>
      </c>
      <c r="O237" s="62" t="n">
        <v>1</v>
      </c>
      <c r="P237" s="62" t="n">
        <v>0</v>
      </c>
      <c r="Q237" s="62" t="n">
        <v>1</v>
      </c>
      <c r="R237" s="62" t="n">
        <v>0</v>
      </c>
      <c r="S237" s="62" t="n">
        <v>0</v>
      </c>
      <c r="T237" s="62" t="n">
        <v>0</v>
      </c>
      <c r="U237" s="62"/>
      <c r="V237" s="62"/>
      <c r="W237" s="62"/>
      <c r="X237" s="62"/>
      <c r="Y237" s="62"/>
      <c r="Z237" s="62" t="s">
        <v>617</v>
      </c>
      <c r="AA237" s="62" t="s">
        <v>618</v>
      </c>
      <c r="AB237" s="62" t="n">
        <v>0</v>
      </c>
      <c r="AC237" s="62" t="n">
        <v>0</v>
      </c>
      <c r="AD237" s="62" t="n">
        <v>1</v>
      </c>
      <c r="AE237" s="62" t="n">
        <f aca="false">IF(AND(Dashboard!$C$9="Yes",AC237=1),0,1)</f>
        <v>1</v>
      </c>
      <c r="AF237" s="62" t="n">
        <v>0</v>
      </c>
    </row>
    <row r="238" customFormat="false" ht="15" hidden="false" customHeight="false" outlineLevel="0" collapsed="false">
      <c r="A238" s="62" t="n">
        <v>237</v>
      </c>
      <c r="B238" s="63" t="n">
        <v>46233.116875</v>
      </c>
      <c r="C238" s="64" t="n">
        <v>46232</v>
      </c>
      <c r="D238" s="62" t="s">
        <v>143</v>
      </c>
      <c r="E238" s="62" t="s">
        <v>144</v>
      </c>
      <c r="F238" s="62" t="s">
        <v>144</v>
      </c>
      <c r="G238" s="62" t="s">
        <v>145</v>
      </c>
      <c r="H238" s="62" t="s">
        <v>59</v>
      </c>
      <c r="I238" s="62" t="s">
        <v>47</v>
      </c>
      <c r="J238" s="62" t="s">
        <v>146</v>
      </c>
      <c r="K238" s="62" t="s">
        <v>147</v>
      </c>
      <c r="L238" s="62" t="s">
        <v>148</v>
      </c>
      <c r="M238" s="62" t="n">
        <v>0</v>
      </c>
      <c r="N238" s="62" t="n">
        <v>1</v>
      </c>
      <c r="O238" s="62" t="n">
        <v>1</v>
      </c>
      <c r="P238" s="62" t="n">
        <v>0</v>
      </c>
      <c r="Q238" s="62" t="n">
        <v>1</v>
      </c>
      <c r="R238" s="62" t="n">
        <v>0</v>
      </c>
      <c r="S238" s="62" t="n">
        <v>0</v>
      </c>
      <c r="T238" s="62" t="n">
        <v>0</v>
      </c>
      <c r="U238" s="62"/>
      <c r="V238" s="62"/>
      <c r="W238" s="62"/>
      <c r="X238" s="62"/>
      <c r="Y238" s="62"/>
      <c r="Z238" s="62" t="s">
        <v>617</v>
      </c>
      <c r="AA238" s="62" t="s">
        <v>618</v>
      </c>
      <c r="AB238" s="62" t="n">
        <v>0</v>
      </c>
      <c r="AC238" s="62" t="n">
        <v>0</v>
      </c>
      <c r="AD238" s="62" t="n">
        <v>1</v>
      </c>
      <c r="AE238" s="62" t="n">
        <f aca="false">IF(AND(Dashboard!$C$9="Yes",AC238=1),0,1)</f>
        <v>1</v>
      </c>
      <c r="AF238" s="62" t="n">
        <v>0</v>
      </c>
    </row>
    <row r="239" customFormat="false" ht="15" hidden="false" customHeight="false" outlineLevel="0" collapsed="false">
      <c r="A239" s="62" t="n">
        <v>238</v>
      </c>
      <c r="B239" s="63" t="n">
        <v>46233.1247453704</v>
      </c>
      <c r="C239" s="64" t="n">
        <v>46232</v>
      </c>
      <c r="D239" s="62" t="s">
        <v>143</v>
      </c>
      <c r="E239" s="62" t="s">
        <v>190</v>
      </c>
      <c r="F239" s="62" t="s">
        <v>191</v>
      </c>
      <c r="G239" s="62" t="s">
        <v>153</v>
      </c>
      <c r="H239" s="62" t="s">
        <v>153</v>
      </c>
      <c r="I239" s="62" t="s">
        <v>153</v>
      </c>
      <c r="J239" s="62" t="s">
        <v>64</v>
      </c>
      <c r="K239" s="62" t="s">
        <v>64</v>
      </c>
      <c r="L239" s="62" t="s">
        <v>148</v>
      </c>
      <c r="M239" s="62" t="n">
        <v>0</v>
      </c>
      <c r="N239" s="62" t="n">
        <v>1</v>
      </c>
      <c r="O239" s="62" t="n">
        <v>1</v>
      </c>
      <c r="P239" s="62" t="n">
        <v>1</v>
      </c>
      <c r="Q239" s="62" t="n">
        <v>0</v>
      </c>
      <c r="R239" s="62" t="n">
        <v>0</v>
      </c>
      <c r="S239" s="62" t="n">
        <v>0</v>
      </c>
      <c r="T239" s="62" t="n">
        <v>0</v>
      </c>
      <c r="U239" s="62"/>
      <c r="V239" s="62"/>
      <c r="W239" s="62"/>
      <c r="X239" s="62"/>
      <c r="Y239" s="62"/>
      <c r="Z239" s="62" t="s">
        <v>619</v>
      </c>
      <c r="AA239" s="62" t="s">
        <v>620</v>
      </c>
      <c r="AB239" s="62" t="n">
        <v>1</v>
      </c>
      <c r="AC239" s="62" t="n">
        <v>0</v>
      </c>
      <c r="AD239" s="62" t="n">
        <v>0</v>
      </c>
      <c r="AE239" s="62" t="n">
        <f aca="false">IF(AND(Dashboard!$C$9="Yes",AC239=1),0,1)</f>
        <v>1</v>
      </c>
      <c r="AF239" s="62" t="n">
        <v>0</v>
      </c>
    </row>
    <row r="240" customFormat="false" ht="15" hidden="false" customHeight="false" outlineLevel="0" collapsed="false">
      <c r="A240" s="62" t="n">
        <v>239</v>
      </c>
      <c r="B240" s="63" t="n">
        <v>46233.1252777778</v>
      </c>
      <c r="C240" s="64" t="n">
        <v>46232</v>
      </c>
      <c r="D240" s="62" t="s">
        <v>143</v>
      </c>
      <c r="E240" s="62" t="s">
        <v>190</v>
      </c>
      <c r="F240" s="62" t="s">
        <v>191</v>
      </c>
      <c r="G240" s="62" t="s">
        <v>153</v>
      </c>
      <c r="H240" s="62" t="s">
        <v>153</v>
      </c>
      <c r="I240" s="62" t="s">
        <v>153</v>
      </c>
      <c r="J240" s="62" t="s">
        <v>64</v>
      </c>
      <c r="K240" s="62" t="s">
        <v>64</v>
      </c>
      <c r="L240" s="62" t="s">
        <v>148</v>
      </c>
      <c r="M240" s="62" t="n">
        <v>0</v>
      </c>
      <c r="N240" s="62" t="n">
        <v>1</v>
      </c>
      <c r="O240" s="62" t="n">
        <v>1</v>
      </c>
      <c r="P240" s="62" t="n">
        <v>0</v>
      </c>
      <c r="Q240" s="62" t="n">
        <v>1</v>
      </c>
      <c r="R240" s="62" t="n">
        <v>0</v>
      </c>
      <c r="S240" s="62" t="n">
        <v>0</v>
      </c>
      <c r="T240" s="62" t="n">
        <v>0</v>
      </c>
      <c r="U240" s="62"/>
      <c r="V240" s="62"/>
      <c r="W240" s="62"/>
      <c r="X240" s="62"/>
      <c r="Y240" s="62"/>
      <c r="Z240" s="62" t="s">
        <v>619</v>
      </c>
      <c r="AA240" s="62" t="s">
        <v>620</v>
      </c>
      <c r="AB240" s="62" t="n">
        <v>1</v>
      </c>
      <c r="AC240" s="62" t="n">
        <v>1</v>
      </c>
      <c r="AD240" s="62" t="n">
        <v>0</v>
      </c>
      <c r="AE240" s="62" t="n">
        <f aca="false">IF(AND(Dashboard!$C$9="Yes",AC240=1),0,1)</f>
        <v>0</v>
      </c>
      <c r="AF240" s="62" t="n">
        <v>0</v>
      </c>
    </row>
    <row r="241" customFormat="false" ht="15" hidden="false" customHeight="false" outlineLevel="0" collapsed="false">
      <c r="A241" s="62" t="n">
        <v>240</v>
      </c>
      <c r="B241" s="63" t="n">
        <v>46233.1532291667</v>
      </c>
      <c r="C241" s="64" t="n">
        <v>46232</v>
      </c>
      <c r="D241" s="62" t="s">
        <v>143</v>
      </c>
      <c r="E241" s="62" t="s">
        <v>160</v>
      </c>
      <c r="F241" s="62" t="s">
        <v>160</v>
      </c>
      <c r="G241" s="62" t="s">
        <v>161</v>
      </c>
      <c r="H241" s="62" t="s">
        <v>51</v>
      </c>
      <c r="I241" s="62" t="s">
        <v>47</v>
      </c>
      <c r="J241" s="62" t="s">
        <v>146</v>
      </c>
      <c r="K241" s="62" t="s">
        <v>147</v>
      </c>
      <c r="L241" s="62" t="s">
        <v>148</v>
      </c>
      <c r="M241" s="62" t="n">
        <v>0</v>
      </c>
      <c r="N241" s="62" t="n">
        <v>1</v>
      </c>
      <c r="O241" s="62" t="n">
        <v>1</v>
      </c>
      <c r="P241" s="62" t="n">
        <v>1</v>
      </c>
      <c r="Q241" s="62" t="n">
        <v>0</v>
      </c>
      <c r="R241" s="62" t="n">
        <v>0</v>
      </c>
      <c r="S241" s="62" t="n">
        <v>0</v>
      </c>
      <c r="T241" s="62" t="n">
        <v>0</v>
      </c>
      <c r="U241" s="62"/>
      <c r="V241" s="62"/>
      <c r="W241" s="62"/>
      <c r="X241" s="62"/>
      <c r="Y241" s="62"/>
      <c r="Z241" s="62" t="s">
        <v>621</v>
      </c>
      <c r="AA241" s="62" t="s">
        <v>622</v>
      </c>
      <c r="AB241" s="62" t="n">
        <v>1</v>
      </c>
      <c r="AC241" s="62" t="n">
        <v>0</v>
      </c>
      <c r="AD241" s="62" t="n">
        <v>1</v>
      </c>
      <c r="AE241" s="62" t="n">
        <f aca="false">IF(AND(Dashboard!$C$9="Yes",AC241=1),0,1)</f>
        <v>1</v>
      </c>
      <c r="AF241" s="62" t="n">
        <v>0</v>
      </c>
    </row>
    <row r="242" customFormat="false" ht="15" hidden="false" customHeight="false" outlineLevel="0" collapsed="false">
      <c r="A242" s="62" t="n">
        <v>241</v>
      </c>
      <c r="B242" s="63" t="n">
        <v>46233.1584143519</v>
      </c>
      <c r="C242" s="64" t="n">
        <v>46232</v>
      </c>
      <c r="D242" s="62" t="s">
        <v>143</v>
      </c>
      <c r="E242" s="62" t="s">
        <v>144</v>
      </c>
      <c r="F242" s="62" t="s">
        <v>144</v>
      </c>
      <c r="G242" s="62" t="s">
        <v>145</v>
      </c>
      <c r="H242" s="62" t="s">
        <v>59</v>
      </c>
      <c r="I242" s="62" t="s">
        <v>47</v>
      </c>
      <c r="J242" s="62" t="s">
        <v>146</v>
      </c>
      <c r="K242" s="62" t="s">
        <v>147</v>
      </c>
      <c r="L242" s="62" t="s">
        <v>148</v>
      </c>
      <c r="M242" s="62" t="n">
        <v>0</v>
      </c>
      <c r="N242" s="62" t="n">
        <v>1</v>
      </c>
      <c r="O242" s="62" t="n">
        <v>1</v>
      </c>
      <c r="P242" s="62" t="n">
        <v>0</v>
      </c>
      <c r="Q242" s="62" t="n">
        <v>1</v>
      </c>
      <c r="R242" s="62" t="n">
        <v>0</v>
      </c>
      <c r="S242" s="62" t="n">
        <v>0</v>
      </c>
      <c r="T242" s="62" t="n">
        <v>0</v>
      </c>
      <c r="U242" s="62"/>
      <c r="V242" s="62"/>
      <c r="W242" s="62"/>
      <c r="X242" s="62"/>
      <c r="Y242" s="62"/>
      <c r="Z242" s="62" t="s">
        <v>623</v>
      </c>
      <c r="AA242" s="62" t="s">
        <v>624</v>
      </c>
      <c r="AB242" s="62" t="n">
        <v>0</v>
      </c>
      <c r="AC242" s="62" t="n">
        <v>0</v>
      </c>
      <c r="AD242" s="62" t="n">
        <v>1</v>
      </c>
      <c r="AE242" s="62" t="n">
        <f aca="false">IF(AND(Dashboard!$C$9="Yes",AC242=1),0,1)</f>
        <v>1</v>
      </c>
      <c r="AF242" s="62" t="n">
        <v>0</v>
      </c>
    </row>
    <row r="243" customFormat="false" ht="15" hidden="false" customHeight="false" outlineLevel="0" collapsed="false">
      <c r="A243" s="62" t="n">
        <v>242</v>
      </c>
      <c r="B243" s="63" t="n">
        <v>46233.1585648148</v>
      </c>
      <c r="C243" s="64" t="n">
        <v>46232</v>
      </c>
      <c r="D243" s="62" t="s">
        <v>143</v>
      </c>
      <c r="E243" s="62" t="s">
        <v>144</v>
      </c>
      <c r="F243" s="62" t="s">
        <v>144</v>
      </c>
      <c r="G243" s="62" t="s">
        <v>145</v>
      </c>
      <c r="H243" s="62" t="s">
        <v>59</v>
      </c>
      <c r="I243" s="62" t="s">
        <v>47</v>
      </c>
      <c r="J243" s="62" t="s">
        <v>146</v>
      </c>
      <c r="K243" s="62" t="s">
        <v>147</v>
      </c>
      <c r="L243" s="62" t="s">
        <v>148</v>
      </c>
      <c r="M243" s="62" t="n">
        <v>0</v>
      </c>
      <c r="N243" s="62" t="n">
        <v>1</v>
      </c>
      <c r="O243" s="62" t="n">
        <v>1</v>
      </c>
      <c r="P243" s="62" t="n">
        <v>0</v>
      </c>
      <c r="Q243" s="62" t="n">
        <v>1</v>
      </c>
      <c r="R243" s="62" t="n">
        <v>0</v>
      </c>
      <c r="S243" s="62" t="n">
        <v>0</v>
      </c>
      <c r="T243" s="62" t="n">
        <v>0</v>
      </c>
      <c r="U243" s="62"/>
      <c r="V243" s="62"/>
      <c r="W243" s="62"/>
      <c r="X243" s="62"/>
      <c r="Y243" s="62"/>
      <c r="Z243" s="62" t="s">
        <v>623</v>
      </c>
      <c r="AA243" s="62" t="s">
        <v>624</v>
      </c>
      <c r="AB243" s="62" t="n">
        <v>0</v>
      </c>
      <c r="AC243" s="62" t="n">
        <v>0</v>
      </c>
      <c r="AD243" s="62" t="n">
        <v>1</v>
      </c>
      <c r="AE243" s="62" t="n">
        <f aca="false">IF(AND(Dashboard!$C$9="Yes",AC243=1),0,1)</f>
        <v>1</v>
      </c>
      <c r="AF243" s="62" t="n">
        <v>0</v>
      </c>
    </row>
    <row r="244" customFormat="false" ht="15" hidden="false" customHeight="false" outlineLevel="0" collapsed="false">
      <c r="A244" s="62" t="n">
        <v>243</v>
      </c>
      <c r="B244" s="63" t="n">
        <v>46233.1593402778</v>
      </c>
      <c r="C244" s="64" t="n">
        <v>46232</v>
      </c>
      <c r="D244" s="62" t="s">
        <v>143</v>
      </c>
      <c r="E244" s="62" t="s">
        <v>312</v>
      </c>
      <c r="F244" s="62" t="s">
        <v>312</v>
      </c>
      <c r="G244" s="62" t="s">
        <v>313</v>
      </c>
      <c r="H244" s="62" t="s">
        <v>51</v>
      </c>
      <c r="I244" s="62" t="s">
        <v>47</v>
      </c>
      <c r="J244" s="62" t="s">
        <v>146</v>
      </c>
      <c r="K244" s="62" t="s">
        <v>147</v>
      </c>
      <c r="L244" s="62" t="s">
        <v>148</v>
      </c>
      <c r="M244" s="62" t="n">
        <v>0</v>
      </c>
      <c r="N244" s="62" t="n">
        <v>1</v>
      </c>
      <c r="O244" s="62" t="n">
        <v>1</v>
      </c>
      <c r="P244" s="62" t="n">
        <v>1</v>
      </c>
      <c r="Q244" s="62" t="n">
        <v>0</v>
      </c>
      <c r="R244" s="62" t="n">
        <v>0</v>
      </c>
      <c r="S244" s="62" t="n">
        <v>0</v>
      </c>
      <c r="T244" s="62" t="n">
        <v>0</v>
      </c>
      <c r="U244" s="62"/>
      <c r="V244" s="62"/>
      <c r="W244" s="62"/>
      <c r="X244" s="62"/>
      <c r="Y244" s="62"/>
      <c r="Z244" s="62" t="s">
        <v>625</v>
      </c>
      <c r="AA244" s="62" t="s">
        <v>626</v>
      </c>
      <c r="AB244" s="62" t="n">
        <v>1</v>
      </c>
      <c r="AC244" s="62" t="n">
        <v>0</v>
      </c>
      <c r="AD244" s="62" t="n">
        <v>1</v>
      </c>
      <c r="AE244" s="62" t="n">
        <f aca="false">IF(AND(Dashboard!$C$9="Yes",AC244=1),0,1)</f>
        <v>1</v>
      </c>
      <c r="AF244" s="62" t="n">
        <v>1</v>
      </c>
    </row>
    <row r="245" customFormat="false" ht="15" hidden="false" customHeight="false" outlineLevel="0" collapsed="false">
      <c r="A245" s="62" t="n">
        <v>244</v>
      </c>
      <c r="B245" s="63" t="n">
        <v>46233.1598611111</v>
      </c>
      <c r="C245" s="64" t="n">
        <v>46232</v>
      </c>
      <c r="D245" s="62" t="s">
        <v>143</v>
      </c>
      <c r="E245" s="62" t="s">
        <v>439</v>
      </c>
      <c r="F245" s="62" t="s">
        <v>439</v>
      </c>
      <c r="G245" s="62" t="s">
        <v>440</v>
      </c>
      <c r="H245" s="62" t="s">
        <v>51</v>
      </c>
      <c r="I245" s="62" t="s">
        <v>47</v>
      </c>
      <c r="J245" s="62" t="s">
        <v>146</v>
      </c>
      <c r="K245" s="62" t="s">
        <v>175</v>
      </c>
      <c r="L245" s="62" t="s">
        <v>148</v>
      </c>
      <c r="M245" s="62" t="n">
        <v>0</v>
      </c>
      <c r="N245" s="62" t="n">
        <v>1</v>
      </c>
      <c r="O245" s="62" t="n">
        <v>1</v>
      </c>
      <c r="P245" s="62" t="n">
        <v>1</v>
      </c>
      <c r="Q245" s="62" t="n">
        <v>0</v>
      </c>
      <c r="R245" s="62" t="n">
        <v>0</v>
      </c>
      <c r="S245" s="62" t="n">
        <v>0</v>
      </c>
      <c r="T245" s="62" t="n">
        <v>0</v>
      </c>
      <c r="U245" s="62"/>
      <c r="V245" s="62"/>
      <c r="W245" s="62"/>
      <c r="X245" s="62"/>
      <c r="Y245" s="62"/>
      <c r="Z245" s="62" t="s">
        <v>627</v>
      </c>
      <c r="AA245" s="62" t="s">
        <v>628</v>
      </c>
      <c r="AB245" s="62" t="n">
        <v>1</v>
      </c>
      <c r="AC245" s="62" t="n">
        <v>0</v>
      </c>
      <c r="AD245" s="62" t="n">
        <v>1</v>
      </c>
      <c r="AE245" s="62" t="n">
        <f aca="false">IF(AND(Dashboard!$C$9="Yes",AC245=1),0,1)</f>
        <v>1</v>
      </c>
      <c r="AF245" s="62" t="n">
        <v>1</v>
      </c>
    </row>
    <row r="246" customFormat="false" ht="15" hidden="false" customHeight="false" outlineLevel="0" collapsed="false">
      <c r="A246" s="62" t="n">
        <v>245</v>
      </c>
      <c r="B246" s="63" t="n">
        <v>46233.173912037</v>
      </c>
      <c r="C246" s="64" t="n">
        <v>46232</v>
      </c>
      <c r="D246" s="62" t="s">
        <v>143</v>
      </c>
      <c r="E246" s="62" t="s">
        <v>196</v>
      </c>
      <c r="F246" s="62" t="s">
        <v>196</v>
      </c>
      <c r="G246" s="62" t="s">
        <v>197</v>
      </c>
      <c r="H246" s="62" t="s">
        <v>57</v>
      </c>
      <c r="I246" s="62" t="s">
        <v>47</v>
      </c>
      <c r="J246" s="62" t="s">
        <v>146</v>
      </c>
      <c r="K246" s="62" t="s">
        <v>175</v>
      </c>
      <c r="L246" s="62" t="s">
        <v>148</v>
      </c>
      <c r="M246" s="62" t="n">
        <v>0</v>
      </c>
      <c r="N246" s="62" t="n">
        <v>1</v>
      </c>
      <c r="O246" s="62" t="n">
        <v>1</v>
      </c>
      <c r="P246" s="62" t="n">
        <v>1</v>
      </c>
      <c r="Q246" s="62" t="n">
        <v>0</v>
      </c>
      <c r="R246" s="62" t="n">
        <v>0</v>
      </c>
      <c r="S246" s="62" t="n">
        <v>0</v>
      </c>
      <c r="T246" s="62" t="n">
        <v>0</v>
      </c>
      <c r="U246" s="62"/>
      <c r="V246" s="62"/>
      <c r="W246" s="62"/>
      <c r="X246" s="62"/>
      <c r="Y246" s="62"/>
      <c r="Z246" s="62" t="s">
        <v>629</v>
      </c>
      <c r="AA246" s="62" t="s">
        <v>630</v>
      </c>
      <c r="AB246" s="62" t="n">
        <v>1</v>
      </c>
      <c r="AC246" s="62" t="n">
        <v>0</v>
      </c>
      <c r="AD246" s="62" t="n">
        <v>1</v>
      </c>
      <c r="AE246" s="62" t="n">
        <f aca="false">IF(AND(Dashboard!$C$9="Yes",AC246=1),0,1)</f>
        <v>1</v>
      </c>
      <c r="AF246" s="62" t="n">
        <v>1</v>
      </c>
    </row>
    <row r="247" customFormat="false" ht="15" hidden="false" customHeight="false" outlineLevel="0" collapsed="false">
      <c r="A247" s="62" t="n">
        <v>246</v>
      </c>
      <c r="B247" s="63" t="n">
        <v>46233.1744328704</v>
      </c>
      <c r="C247" s="64" t="n">
        <v>46232</v>
      </c>
      <c r="D247" s="62" t="s">
        <v>143</v>
      </c>
      <c r="E247" s="62" t="s">
        <v>212</v>
      </c>
      <c r="F247" s="62" t="s">
        <v>212</v>
      </c>
      <c r="G247" s="62" t="s">
        <v>213</v>
      </c>
      <c r="H247" s="62" t="s">
        <v>58</v>
      </c>
      <c r="I247" s="62" t="s">
        <v>49</v>
      </c>
      <c r="J247" s="62" t="s">
        <v>146</v>
      </c>
      <c r="K247" s="62" t="s">
        <v>175</v>
      </c>
      <c r="L247" s="62" t="s">
        <v>148</v>
      </c>
      <c r="M247" s="62" t="n">
        <v>0</v>
      </c>
      <c r="N247" s="62" t="n">
        <v>1</v>
      </c>
      <c r="O247" s="62" t="n">
        <v>1</v>
      </c>
      <c r="P247" s="62" t="n">
        <v>1</v>
      </c>
      <c r="Q247" s="62" t="n">
        <v>0</v>
      </c>
      <c r="R247" s="62" t="n">
        <v>0</v>
      </c>
      <c r="S247" s="62" t="n">
        <v>0</v>
      </c>
      <c r="T247" s="62" t="n">
        <v>0</v>
      </c>
      <c r="U247" s="62"/>
      <c r="V247" s="62"/>
      <c r="W247" s="62"/>
      <c r="X247" s="62"/>
      <c r="Y247" s="62"/>
      <c r="Z247" s="62" t="s">
        <v>631</v>
      </c>
      <c r="AA247" s="62" t="s">
        <v>632</v>
      </c>
      <c r="AB247" s="62" t="n">
        <v>1</v>
      </c>
      <c r="AC247" s="62" t="n">
        <v>0</v>
      </c>
      <c r="AD247" s="62" t="n">
        <v>1</v>
      </c>
      <c r="AE247" s="62" t="n">
        <f aca="false">IF(AND(Dashboard!$C$9="Yes",AC247=1),0,1)</f>
        <v>1</v>
      </c>
      <c r="AF247" s="62" t="n">
        <v>1</v>
      </c>
    </row>
    <row r="248" customFormat="false" ht="15" hidden="false" customHeight="false" outlineLevel="0" collapsed="false">
      <c r="A248" s="62" t="n">
        <v>247</v>
      </c>
      <c r="B248" s="63" t="n">
        <v>46233.1792592593</v>
      </c>
      <c r="C248" s="64" t="n">
        <v>46232</v>
      </c>
      <c r="D248" s="62" t="s">
        <v>143</v>
      </c>
      <c r="E248" s="62" t="s">
        <v>203</v>
      </c>
      <c r="F248" s="62" t="s">
        <v>203</v>
      </c>
      <c r="G248" s="62" t="s">
        <v>204</v>
      </c>
      <c r="H248" s="62" t="s">
        <v>51</v>
      </c>
      <c r="I248" s="62" t="s">
        <v>47</v>
      </c>
      <c r="J248" s="62" t="s">
        <v>146</v>
      </c>
      <c r="K248" s="62" t="s">
        <v>147</v>
      </c>
      <c r="L248" s="62" t="s">
        <v>148</v>
      </c>
      <c r="M248" s="62" t="n">
        <v>0</v>
      </c>
      <c r="N248" s="62" t="n">
        <v>1</v>
      </c>
      <c r="O248" s="62" t="n">
        <v>1</v>
      </c>
      <c r="P248" s="62" t="n">
        <v>1</v>
      </c>
      <c r="Q248" s="62" t="n">
        <v>0</v>
      </c>
      <c r="R248" s="62" t="n">
        <v>0</v>
      </c>
      <c r="S248" s="62" t="n">
        <v>0</v>
      </c>
      <c r="T248" s="62" t="n">
        <v>0</v>
      </c>
      <c r="U248" s="62"/>
      <c r="V248" s="62"/>
      <c r="W248" s="62"/>
      <c r="X248" s="62"/>
      <c r="Y248" s="62"/>
      <c r="Z248" s="62" t="s">
        <v>633</v>
      </c>
      <c r="AA248" s="62" t="s">
        <v>485</v>
      </c>
      <c r="AB248" s="62" t="n">
        <v>0</v>
      </c>
      <c r="AC248" s="62" t="n">
        <v>0</v>
      </c>
      <c r="AD248" s="62" t="n">
        <v>1</v>
      </c>
      <c r="AE248" s="62" t="n">
        <f aca="false">IF(AND(Dashboard!$C$9="Yes",AC248=1),0,1)</f>
        <v>1</v>
      </c>
      <c r="AF248" s="62" t="n">
        <v>0</v>
      </c>
    </row>
    <row r="249" customFormat="false" ht="15" hidden="false" customHeight="false" outlineLevel="0" collapsed="false">
      <c r="A249" s="62" t="n">
        <v>248</v>
      </c>
      <c r="B249" s="63" t="n">
        <v>46233.179849537</v>
      </c>
      <c r="C249" s="64" t="n">
        <v>46232</v>
      </c>
      <c r="D249" s="62" t="s">
        <v>143</v>
      </c>
      <c r="E249" s="62" t="s">
        <v>203</v>
      </c>
      <c r="F249" s="62" t="s">
        <v>203</v>
      </c>
      <c r="G249" s="62" t="s">
        <v>204</v>
      </c>
      <c r="H249" s="62" t="s">
        <v>51</v>
      </c>
      <c r="I249" s="62" t="s">
        <v>47</v>
      </c>
      <c r="J249" s="62" t="s">
        <v>146</v>
      </c>
      <c r="K249" s="62" t="s">
        <v>147</v>
      </c>
      <c r="L249" s="62" t="s">
        <v>4</v>
      </c>
      <c r="M249" s="62" t="n">
        <v>1</v>
      </c>
      <c r="N249" s="62" t="n">
        <v>0</v>
      </c>
      <c r="O249" s="62" t="n">
        <v>1</v>
      </c>
      <c r="P249" s="62" t="n">
        <v>0</v>
      </c>
      <c r="Q249" s="62" t="n">
        <v>0</v>
      </c>
      <c r="R249" s="62" t="n">
        <v>0</v>
      </c>
      <c r="S249" s="62" t="n">
        <v>0</v>
      </c>
      <c r="T249" s="62" t="n">
        <v>0</v>
      </c>
      <c r="U249" s="62"/>
      <c r="V249" s="62"/>
      <c r="W249" s="62"/>
      <c r="X249" s="62"/>
      <c r="Y249" s="62"/>
      <c r="Z249" s="62" t="s">
        <v>634</v>
      </c>
      <c r="AA249" s="62" t="s">
        <v>635</v>
      </c>
      <c r="AB249" s="62" t="n">
        <v>1</v>
      </c>
      <c r="AC249" s="62" t="n">
        <v>0</v>
      </c>
      <c r="AD249" s="62" t="n">
        <v>1</v>
      </c>
      <c r="AE249" s="62" t="n">
        <f aca="false">IF(AND(Dashboard!$C$9="Yes",AC249=1),0,1)</f>
        <v>1</v>
      </c>
      <c r="AF249" s="62" t="n">
        <v>0</v>
      </c>
    </row>
    <row r="250" customFormat="false" ht="15" hidden="false" customHeight="false" outlineLevel="0" collapsed="false">
      <c r="A250" s="62" t="n">
        <v>249</v>
      </c>
      <c r="B250" s="63" t="n">
        <v>46233.184537037</v>
      </c>
      <c r="C250" s="64" t="n">
        <v>46232</v>
      </c>
      <c r="D250" s="62" t="s">
        <v>143</v>
      </c>
      <c r="E250" s="62" t="s">
        <v>273</v>
      </c>
      <c r="F250" s="62" t="s">
        <v>273</v>
      </c>
      <c r="G250" s="62" t="s">
        <v>274</v>
      </c>
      <c r="H250" s="62" t="s">
        <v>59</v>
      </c>
      <c r="I250" s="62" t="s">
        <v>47</v>
      </c>
      <c r="J250" s="62" t="s">
        <v>146</v>
      </c>
      <c r="K250" s="62" t="s">
        <v>147</v>
      </c>
      <c r="L250" s="62" t="s">
        <v>148</v>
      </c>
      <c r="M250" s="62" t="n">
        <v>0</v>
      </c>
      <c r="N250" s="62" t="n">
        <v>2</v>
      </c>
      <c r="O250" s="62" t="n">
        <v>2</v>
      </c>
      <c r="P250" s="62" t="n">
        <v>1</v>
      </c>
      <c r="Q250" s="62" t="n">
        <v>1</v>
      </c>
      <c r="R250" s="62" t="n">
        <v>0</v>
      </c>
      <c r="S250" s="62" t="n">
        <v>0</v>
      </c>
      <c r="T250" s="62" t="n">
        <v>0</v>
      </c>
      <c r="U250" s="62"/>
      <c r="V250" s="62"/>
      <c r="W250" s="62"/>
      <c r="X250" s="62"/>
      <c r="Y250" s="62"/>
      <c r="Z250" s="62" t="s">
        <v>636</v>
      </c>
      <c r="AA250" s="62" t="s">
        <v>637</v>
      </c>
      <c r="AB250" s="62" t="n">
        <v>1</v>
      </c>
      <c r="AC250" s="62" t="n">
        <v>0</v>
      </c>
      <c r="AD250" s="62" t="n">
        <v>1</v>
      </c>
      <c r="AE250" s="62" t="n">
        <f aca="false">IF(AND(Dashboard!$C$9="Yes",AC250=1),0,1)</f>
        <v>1</v>
      </c>
      <c r="AF250" s="62" t="n">
        <v>0</v>
      </c>
    </row>
    <row r="251" customFormat="false" ht="15" hidden="false" customHeight="false" outlineLevel="0" collapsed="false">
      <c r="A251" s="62" t="n">
        <v>250</v>
      </c>
      <c r="B251" s="63" t="n">
        <v>46233.1857986111</v>
      </c>
      <c r="C251" s="64" t="n">
        <v>46232</v>
      </c>
      <c r="D251" s="62" t="s">
        <v>143</v>
      </c>
      <c r="E251" s="62" t="s">
        <v>144</v>
      </c>
      <c r="F251" s="62" t="s">
        <v>144</v>
      </c>
      <c r="G251" s="62" t="s">
        <v>145</v>
      </c>
      <c r="H251" s="62" t="s">
        <v>59</v>
      </c>
      <c r="I251" s="62" t="s">
        <v>47</v>
      </c>
      <c r="J251" s="62" t="s">
        <v>146</v>
      </c>
      <c r="K251" s="62" t="s">
        <v>147</v>
      </c>
      <c r="L251" s="62" t="s">
        <v>148</v>
      </c>
      <c r="M251" s="62" t="n">
        <v>0</v>
      </c>
      <c r="N251" s="62" t="n">
        <v>1</v>
      </c>
      <c r="O251" s="62" t="n">
        <v>1</v>
      </c>
      <c r="P251" s="62" t="n">
        <v>0</v>
      </c>
      <c r="Q251" s="62" t="n">
        <v>1</v>
      </c>
      <c r="R251" s="62" t="n">
        <v>0</v>
      </c>
      <c r="S251" s="62" t="n">
        <v>0</v>
      </c>
      <c r="T251" s="62" t="n">
        <v>0</v>
      </c>
      <c r="U251" s="62"/>
      <c r="V251" s="62"/>
      <c r="W251" s="62"/>
      <c r="X251" s="62"/>
      <c r="Y251" s="62"/>
      <c r="Z251" s="62" t="s">
        <v>638</v>
      </c>
      <c r="AA251" s="62" t="s">
        <v>639</v>
      </c>
      <c r="AB251" s="62" t="n">
        <v>0</v>
      </c>
      <c r="AC251" s="62" t="n">
        <v>0</v>
      </c>
      <c r="AD251" s="62" t="n">
        <v>1</v>
      </c>
      <c r="AE251" s="62" t="n">
        <f aca="false">IF(AND(Dashboard!$C$9="Yes",AC251=1),0,1)</f>
        <v>1</v>
      </c>
      <c r="AF251" s="62" t="n">
        <v>0</v>
      </c>
    </row>
    <row r="252" customFormat="false" ht="15" hidden="false" customHeight="false" outlineLevel="0" collapsed="false">
      <c r="A252" s="62" t="n">
        <v>251</v>
      </c>
      <c r="B252" s="63" t="n">
        <v>46233.1859606481</v>
      </c>
      <c r="C252" s="64" t="n">
        <v>46232</v>
      </c>
      <c r="D252" s="62" t="s">
        <v>143</v>
      </c>
      <c r="E252" s="62" t="s">
        <v>144</v>
      </c>
      <c r="F252" s="62" t="s">
        <v>144</v>
      </c>
      <c r="G252" s="62" t="s">
        <v>145</v>
      </c>
      <c r="H252" s="62" t="s">
        <v>59</v>
      </c>
      <c r="I252" s="62" t="s">
        <v>47</v>
      </c>
      <c r="J252" s="62" t="s">
        <v>146</v>
      </c>
      <c r="K252" s="62" t="s">
        <v>147</v>
      </c>
      <c r="L252" s="62" t="s">
        <v>148</v>
      </c>
      <c r="M252" s="62" t="n">
        <v>0</v>
      </c>
      <c r="N252" s="62" t="n">
        <v>1</v>
      </c>
      <c r="O252" s="62" t="n">
        <v>1</v>
      </c>
      <c r="P252" s="62" t="n">
        <v>0</v>
      </c>
      <c r="Q252" s="62" t="n">
        <v>1</v>
      </c>
      <c r="R252" s="62" t="n">
        <v>0</v>
      </c>
      <c r="S252" s="62" t="n">
        <v>0</v>
      </c>
      <c r="T252" s="62" t="n">
        <v>0</v>
      </c>
      <c r="U252" s="62"/>
      <c r="V252" s="62"/>
      <c r="W252" s="62"/>
      <c r="X252" s="62"/>
      <c r="Y252" s="62"/>
      <c r="Z252" s="62" t="s">
        <v>638</v>
      </c>
      <c r="AA252" s="62" t="s">
        <v>639</v>
      </c>
      <c r="AB252" s="62" t="n">
        <v>0</v>
      </c>
      <c r="AC252" s="62" t="n">
        <v>0</v>
      </c>
      <c r="AD252" s="62" t="n">
        <v>1</v>
      </c>
      <c r="AE252" s="62" t="n">
        <f aca="false">IF(AND(Dashboard!$C$9="Yes",AC252=1),0,1)</f>
        <v>1</v>
      </c>
      <c r="AF252" s="62" t="n">
        <v>0</v>
      </c>
    </row>
    <row r="253" customFormat="false" ht="15" hidden="false" customHeight="false" outlineLevel="0" collapsed="false">
      <c r="A253" s="62" t="n">
        <v>252</v>
      </c>
      <c r="B253" s="63" t="n">
        <v>46233.2104166667</v>
      </c>
      <c r="C253" s="64" t="n">
        <v>46232</v>
      </c>
      <c r="D253" s="62" t="s">
        <v>143</v>
      </c>
      <c r="E253" s="62" t="s">
        <v>190</v>
      </c>
      <c r="F253" s="62" t="s">
        <v>191</v>
      </c>
      <c r="G253" s="62" t="s">
        <v>153</v>
      </c>
      <c r="H253" s="62" t="s">
        <v>153</v>
      </c>
      <c r="I253" s="62" t="s">
        <v>153</v>
      </c>
      <c r="J253" s="62" t="s">
        <v>64</v>
      </c>
      <c r="K253" s="62" t="s">
        <v>64</v>
      </c>
      <c r="L253" s="62" t="s">
        <v>4</v>
      </c>
      <c r="M253" s="62" t="n">
        <v>1</v>
      </c>
      <c r="N253" s="62" t="n">
        <v>0</v>
      </c>
      <c r="O253" s="62" t="n">
        <v>1</v>
      </c>
      <c r="P253" s="62" t="n">
        <v>0</v>
      </c>
      <c r="Q253" s="62" t="n">
        <v>0</v>
      </c>
      <c r="R253" s="62" t="n">
        <v>0</v>
      </c>
      <c r="S253" s="62" t="n">
        <v>0</v>
      </c>
      <c r="T253" s="62" t="n">
        <v>0</v>
      </c>
      <c r="U253" s="62"/>
      <c r="V253" s="62"/>
      <c r="W253" s="62"/>
      <c r="X253" s="62"/>
      <c r="Y253" s="62"/>
      <c r="Z253" s="62" t="s">
        <v>640</v>
      </c>
      <c r="AA253" s="62" t="s">
        <v>641</v>
      </c>
      <c r="AB253" s="62" t="n">
        <v>1</v>
      </c>
      <c r="AC253" s="62" t="n">
        <v>0</v>
      </c>
      <c r="AD253" s="62" t="n">
        <v>0</v>
      </c>
      <c r="AE253" s="62" t="n">
        <f aca="false">IF(AND(Dashboard!$C$9="Yes",AC253=1),0,1)</f>
        <v>1</v>
      </c>
      <c r="AF253" s="62" t="n">
        <v>0</v>
      </c>
    </row>
    <row r="254" customFormat="false" ht="15" hidden="false" customHeight="false" outlineLevel="0" collapsed="false">
      <c r="A254" s="62" t="n">
        <v>253</v>
      </c>
      <c r="B254" s="63" t="n">
        <v>46233.2329050926</v>
      </c>
      <c r="C254" s="64" t="n">
        <v>46232</v>
      </c>
      <c r="D254" s="62" t="s">
        <v>143</v>
      </c>
      <c r="E254" s="62" t="s">
        <v>239</v>
      </c>
      <c r="F254" s="62" t="s">
        <v>240</v>
      </c>
      <c r="G254" s="62" t="s">
        <v>153</v>
      </c>
      <c r="H254" s="62" t="s">
        <v>153</v>
      </c>
      <c r="I254" s="62" t="s">
        <v>153</v>
      </c>
      <c r="J254" s="62" t="s">
        <v>64</v>
      </c>
      <c r="K254" s="62" t="s">
        <v>64</v>
      </c>
      <c r="L254" s="62" t="s">
        <v>148</v>
      </c>
      <c r="M254" s="62" t="n">
        <v>0</v>
      </c>
      <c r="N254" s="62" t="n">
        <v>1</v>
      </c>
      <c r="O254" s="62" t="n">
        <v>1</v>
      </c>
      <c r="P254" s="62" t="n">
        <v>0</v>
      </c>
      <c r="Q254" s="62" t="n">
        <v>1</v>
      </c>
      <c r="R254" s="62" t="n">
        <v>0</v>
      </c>
      <c r="S254" s="62" t="n">
        <v>0</v>
      </c>
      <c r="T254" s="62" t="n">
        <v>0</v>
      </c>
      <c r="U254" s="62"/>
      <c r="V254" s="62"/>
      <c r="W254" s="62"/>
      <c r="X254" s="62"/>
      <c r="Y254" s="62"/>
      <c r="Z254" s="62" t="s">
        <v>642</v>
      </c>
      <c r="AA254" s="62" t="s">
        <v>643</v>
      </c>
      <c r="AB254" s="62" t="n">
        <v>1</v>
      </c>
      <c r="AC254" s="62" t="n">
        <v>0</v>
      </c>
      <c r="AD254" s="62" t="n">
        <v>0</v>
      </c>
      <c r="AE254" s="62" t="n">
        <f aca="false">IF(AND(Dashboard!$C$9="Yes",AC254=1),0,1)</f>
        <v>1</v>
      </c>
      <c r="AF254" s="62" t="n">
        <v>1</v>
      </c>
    </row>
    <row r="255" customFormat="false" ht="15" hidden="false" customHeight="false" outlineLevel="0" collapsed="false">
      <c r="A255" s="62" t="n">
        <v>254</v>
      </c>
      <c r="B255" s="63" t="n">
        <v>46233.2353587963</v>
      </c>
      <c r="C255" s="64" t="n">
        <v>46232</v>
      </c>
      <c r="D255" s="62" t="s">
        <v>143</v>
      </c>
      <c r="E255" s="62" t="s">
        <v>156</v>
      </c>
      <c r="F255" s="62" t="s">
        <v>156</v>
      </c>
      <c r="G255" s="62" t="s">
        <v>157</v>
      </c>
      <c r="H255" s="62" t="s">
        <v>51</v>
      </c>
      <c r="I255" s="62" t="s">
        <v>47</v>
      </c>
      <c r="J255" s="62" t="s">
        <v>146</v>
      </c>
      <c r="K255" s="62" t="s">
        <v>147</v>
      </c>
      <c r="L255" s="62" t="s">
        <v>148</v>
      </c>
      <c r="M255" s="62" t="n">
        <v>0</v>
      </c>
      <c r="N255" s="62" t="n">
        <v>1</v>
      </c>
      <c r="O255" s="62" t="n">
        <v>1</v>
      </c>
      <c r="P255" s="62" t="n">
        <v>0</v>
      </c>
      <c r="Q255" s="62" t="n">
        <v>0</v>
      </c>
      <c r="R255" s="62" t="n">
        <v>1</v>
      </c>
      <c r="S255" s="62" t="n">
        <v>0</v>
      </c>
      <c r="T255" s="62" t="n">
        <v>0</v>
      </c>
      <c r="U255" s="62"/>
      <c r="V255" s="62"/>
      <c r="W255" s="62"/>
      <c r="X255" s="62"/>
      <c r="Y255" s="62"/>
      <c r="Z255" s="62" t="s">
        <v>644</v>
      </c>
      <c r="AA255" s="62" t="s">
        <v>645</v>
      </c>
      <c r="AB255" s="62" t="n">
        <v>1</v>
      </c>
      <c r="AC255" s="62" t="n">
        <v>0</v>
      </c>
      <c r="AD255" s="62" t="n">
        <v>1</v>
      </c>
      <c r="AE255" s="62" t="n">
        <f aca="false">IF(AND(Dashboard!$C$9="Yes",AC255=1),0,1)</f>
        <v>1</v>
      </c>
      <c r="AF255" s="62" t="n">
        <v>1</v>
      </c>
    </row>
    <row r="256" customFormat="false" ht="15" hidden="false" customHeight="false" outlineLevel="0" collapsed="false">
      <c r="A256" s="62" t="n">
        <v>255</v>
      </c>
      <c r="B256" s="63" t="n">
        <v>46233.6392708333</v>
      </c>
      <c r="C256" s="64" t="n">
        <v>46233</v>
      </c>
      <c r="D256" s="62" t="s">
        <v>202</v>
      </c>
      <c r="E256" s="62" t="s">
        <v>586</v>
      </c>
      <c r="F256" s="62" t="s">
        <v>586</v>
      </c>
      <c r="G256" s="62" t="s">
        <v>587</v>
      </c>
      <c r="H256" s="62" t="s">
        <v>57</v>
      </c>
      <c r="I256" s="62" t="s">
        <v>47</v>
      </c>
      <c r="J256" s="62" t="s">
        <v>146</v>
      </c>
      <c r="K256" s="62" t="s">
        <v>175</v>
      </c>
      <c r="L256" s="62" t="s">
        <v>148</v>
      </c>
      <c r="M256" s="62" t="n">
        <v>0</v>
      </c>
      <c r="N256" s="62" t="n">
        <v>1</v>
      </c>
      <c r="O256" s="62" t="n">
        <v>1</v>
      </c>
      <c r="P256" s="62" t="n">
        <v>1</v>
      </c>
      <c r="Q256" s="62" t="n">
        <v>0</v>
      </c>
      <c r="R256" s="62" t="n">
        <v>0</v>
      </c>
      <c r="S256" s="62" t="n">
        <v>0</v>
      </c>
      <c r="T256" s="62" t="n">
        <v>0</v>
      </c>
      <c r="U256" s="62"/>
      <c r="V256" s="62"/>
      <c r="W256" s="62"/>
      <c r="X256" s="62"/>
      <c r="Y256" s="62"/>
      <c r="Z256" s="62" t="s">
        <v>646</v>
      </c>
      <c r="AA256" s="62" t="s">
        <v>647</v>
      </c>
      <c r="AB256" s="62" t="n">
        <v>1</v>
      </c>
      <c r="AC256" s="62" t="n">
        <v>0</v>
      </c>
      <c r="AD256" s="62" t="n">
        <v>1</v>
      </c>
      <c r="AE256" s="62" t="n">
        <f aca="false">IF(AND(Dashboard!$C$9="Yes",AC256=1),0,1)</f>
        <v>1</v>
      </c>
      <c r="AF256" s="62" t="n">
        <v>1</v>
      </c>
    </row>
    <row r="257" customFormat="false" ht="15" hidden="false" customHeight="false" outlineLevel="0" collapsed="false">
      <c r="A257" s="62" t="n">
        <v>256</v>
      </c>
      <c r="B257" s="63" t="n">
        <v>46233.6619328704</v>
      </c>
      <c r="C257" s="64" t="n">
        <v>46233</v>
      </c>
      <c r="D257" s="62" t="s">
        <v>202</v>
      </c>
      <c r="E257" s="62" t="s">
        <v>573</v>
      </c>
      <c r="F257" s="62" t="s">
        <v>573</v>
      </c>
      <c r="G257" s="62" t="s">
        <v>574</v>
      </c>
      <c r="H257" s="62" t="s">
        <v>51</v>
      </c>
      <c r="I257" s="62" t="s">
        <v>47</v>
      </c>
      <c r="J257" s="62" t="s">
        <v>146</v>
      </c>
      <c r="K257" s="62" t="s">
        <v>147</v>
      </c>
      <c r="L257" s="62" t="s">
        <v>148</v>
      </c>
      <c r="M257" s="62" t="n">
        <v>0</v>
      </c>
      <c r="N257" s="62" t="n">
        <v>1</v>
      </c>
      <c r="O257" s="62" t="n">
        <v>1</v>
      </c>
      <c r="P257" s="62" t="n">
        <v>1</v>
      </c>
      <c r="Q257" s="62" t="n">
        <v>0</v>
      </c>
      <c r="R257" s="62" t="n">
        <v>0</v>
      </c>
      <c r="S257" s="62" t="n">
        <v>0</v>
      </c>
      <c r="T257" s="62" t="n">
        <v>0</v>
      </c>
      <c r="U257" s="62"/>
      <c r="V257" s="62"/>
      <c r="W257" s="62"/>
      <c r="X257" s="62"/>
      <c r="Y257" s="62"/>
      <c r="Z257" s="62" t="s">
        <v>648</v>
      </c>
      <c r="AA257" s="62" t="s">
        <v>649</v>
      </c>
      <c r="AB257" s="62" t="n">
        <v>1</v>
      </c>
      <c r="AC257" s="62" t="n">
        <v>0</v>
      </c>
      <c r="AD257" s="62" t="n">
        <v>1</v>
      </c>
      <c r="AE257" s="62" t="n">
        <f aca="false">IF(AND(Dashboard!$C$9="Yes",AC257=1),0,1)</f>
        <v>1</v>
      </c>
      <c r="AF257" s="62" t="n">
        <v>1</v>
      </c>
    </row>
    <row r="258" customFormat="false" ht="15" hidden="false" customHeight="false" outlineLevel="0" collapsed="false">
      <c r="A258" s="62" t="n">
        <v>257</v>
      </c>
      <c r="B258" s="63" t="n">
        <v>46233.7270949074</v>
      </c>
      <c r="C258" s="64" t="n">
        <v>46233</v>
      </c>
      <c r="D258" s="62" t="s">
        <v>202</v>
      </c>
      <c r="E258" s="62" t="s">
        <v>650</v>
      </c>
      <c r="F258" s="62" t="s">
        <v>650</v>
      </c>
      <c r="G258" s="62" t="s">
        <v>651</v>
      </c>
      <c r="H258" s="62" t="s">
        <v>59</v>
      </c>
      <c r="I258" s="62" t="s">
        <v>47</v>
      </c>
      <c r="J258" s="62" t="s">
        <v>146</v>
      </c>
      <c r="K258" s="62" t="s">
        <v>209</v>
      </c>
      <c r="L258" s="62" t="s">
        <v>148</v>
      </c>
      <c r="M258" s="62" t="n">
        <v>0</v>
      </c>
      <c r="N258" s="62" t="n">
        <v>2</v>
      </c>
      <c r="O258" s="62" t="n">
        <v>2</v>
      </c>
      <c r="P258" s="62" t="n">
        <v>1</v>
      </c>
      <c r="Q258" s="62" t="n">
        <v>1</v>
      </c>
      <c r="R258" s="62" t="n">
        <v>0</v>
      </c>
      <c r="S258" s="62" t="n">
        <v>0</v>
      </c>
      <c r="T258" s="62" t="n">
        <v>0</v>
      </c>
      <c r="U258" s="62"/>
      <c r="V258" s="62"/>
      <c r="W258" s="62"/>
      <c r="X258" s="62"/>
      <c r="Y258" s="62"/>
      <c r="Z258" s="62" t="s">
        <v>652</v>
      </c>
      <c r="AA258" s="62" t="s">
        <v>653</v>
      </c>
      <c r="AB258" s="62" t="n">
        <v>1</v>
      </c>
      <c r="AC258" s="62" t="n">
        <v>0</v>
      </c>
      <c r="AD258" s="62" t="n">
        <v>1</v>
      </c>
      <c r="AE258" s="62" t="n">
        <f aca="false">IF(AND(Dashboard!$C$9="Yes",AC258=1),0,1)</f>
        <v>1</v>
      </c>
      <c r="AF258" s="62" t="n">
        <v>1</v>
      </c>
    </row>
    <row r="259" customFormat="false" ht="15" hidden="false" customHeight="false" outlineLevel="0" collapsed="false">
      <c r="A259" s="62" t="n">
        <v>258</v>
      </c>
      <c r="B259" s="63" t="n">
        <v>46233.7438541667</v>
      </c>
      <c r="C259" s="64" t="n">
        <v>46233</v>
      </c>
      <c r="D259" s="62" t="s">
        <v>202</v>
      </c>
      <c r="E259" s="62" t="s">
        <v>212</v>
      </c>
      <c r="F259" s="62" t="s">
        <v>212</v>
      </c>
      <c r="G259" s="62" t="s">
        <v>213</v>
      </c>
      <c r="H259" s="62" t="s">
        <v>58</v>
      </c>
      <c r="I259" s="62" t="s">
        <v>49</v>
      </c>
      <c r="J259" s="62" t="s">
        <v>146</v>
      </c>
      <c r="K259" s="62" t="s">
        <v>175</v>
      </c>
      <c r="L259" s="62" t="s">
        <v>148</v>
      </c>
      <c r="M259" s="62" t="n">
        <v>0</v>
      </c>
      <c r="N259" s="62" t="n">
        <v>1</v>
      </c>
      <c r="O259" s="62" t="n">
        <v>1</v>
      </c>
      <c r="P259" s="62" t="n">
        <v>0</v>
      </c>
      <c r="Q259" s="62" t="n">
        <v>1</v>
      </c>
      <c r="R259" s="62" t="n">
        <v>0</v>
      </c>
      <c r="S259" s="62" t="n">
        <v>0</v>
      </c>
      <c r="T259" s="62" t="n">
        <v>0</v>
      </c>
      <c r="U259" s="62"/>
      <c r="V259" s="62"/>
      <c r="W259" s="62"/>
      <c r="X259" s="62"/>
      <c r="Y259" s="62"/>
      <c r="Z259" s="62" t="s">
        <v>654</v>
      </c>
      <c r="AA259" s="62" t="s">
        <v>655</v>
      </c>
      <c r="AB259" s="62" t="n">
        <v>1</v>
      </c>
      <c r="AC259" s="62" t="n">
        <v>0</v>
      </c>
      <c r="AD259" s="62" t="n">
        <v>1</v>
      </c>
      <c r="AE259" s="62" t="n">
        <f aca="false">IF(AND(Dashboard!$C$9="Yes",AC259=1),0,1)</f>
        <v>1</v>
      </c>
      <c r="AF259" s="62" t="n">
        <v>1</v>
      </c>
    </row>
    <row r="260" customFormat="false" ht="15" hidden="false" customHeight="false" outlineLevel="0" collapsed="false">
      <c r="A260" s="62" t="n">
        <v>259</v>
      </c>
      <c r="B260" s="63" t="n">
        <v>46233.7834606482</v>
      </c>
      <c r="C260" s="64" t="n">
        <v>46233</v>
      </c>
      <c r="D260" s="62" t="s">
        <v>202</v>
      </c>
      <c r="E260" s="62" t="s">
        <v>377</v>
      </c>
      <c r="F260" s="62" t="s">
        <v>378</v>
      </c>
      <c r="G260" s="62" t="s">
        <v>153</v>
      </c>
      <c r="H260" s="62" t="s">
        <v>153</v>
      </c>
      <c r="I260" s="62" t="s">
        <v>153</v>
      </c>
      <c r="J260" s="62" t="s">
        <v>64</v>
      </c>
      <c r="K260" s="62" t="s">
        <v>64</v>
      </c>
      <c r="L260" s="62" t="s">
        <v>148</v>
      </c>
      <c r="M260" s="62" t="n">
        <v>0</v>
      </c>
      <c r="N260" s="62" t="n">
        <v>1</v>
      </c>
      <c r="O260" s="62" t="n">
        <v>1</v>
      </c>
      <c r="P260" s="62" t="n">
        <v>0</v>
      </c>
      <c r="Q260" s="62" t="n">
        <v>1</v>
      </c>
      <c r="R260" s="62" t="n">
        <v>0</v>
      </c>
      <c r="S260" s="62" t="n">
        <v>0</v>
      </c>
      <c r="T260" s="62" t="n">
        <v>0</v>
      </c>
      <c r="U260" s="62"/>
      <c r="V260" s="62"/>
      <c r="W260" s="62"/>
      <c r="X260" s="62"/>
      <c r="Y260" s="62"/>
      <c r="Z260" s="62" t="s">
        <v>656</v>
      </c>
      <c r="AA260" s="62" t="s">
        <v>657</v>
      </c>
      <c r="AB260" s="62" t="n">
        <v>1</v>
      </c>
      <c r="AC260" s="62" t="n">
        <v>0</v>
      </c>
      <c r="AD260" s="62" t="n">
        <v>0</v>
      </c>
      <c r="AE260" s="62" t="n">
        <f aca="false">IF(AND(Dashboard!$C$9="Yes",AC260=1),0,1)</f>
        <v>1</v>
      </c>
      <c r="AF260" s="62" t="n">
        <v>1</v>
      </c>
    </row>
    <row r="261" customFormat="false" ht="15" hidden="false" customHeight="false" outlineLevel="0" collapsed="false">
      <c r="A261" s="62" t="n">
        <v>260</v>
      </c>
      <c r="B261" s="63" t="n">
        <v>46233.8420486111</v>
      </c>
      <c r="C261" s="64" t="n">
        <v>46233</v>
      </c>
      <c r="D261" s="62" t="s">
        <v>202</v>
      </c>
      <c r="E261" s="62" t="s">
        <v>573</v>
      </c>
      <c r="F261" s="62" t="s">
        <v>573</v>
      </c>
      <c r="G261" s="62" t="s">
        <v>574</v>
      </c>
      <c r="H261" s="62" t="s">
        <v>51</v>
      </c>
      <c r="I261" s="62" t="s">
        <v>47</v>
      </c>
      <c r="J261" s="62" t="s">
        <v>146</v>
      </c>
      <c r="K261" s="62" t="s">
        <v>147</v>
      </c>
      <c r="L261" s="62" t="s">
        <v>148</v>
      </c>
      <c r="M261" s="62" t="n">
        <v>0</v>
      </c>
      <c r="N261" s="62" t="n">
        <v>1</v>
      </c>
      <c r="O261" s="62" t="n">
        <v>1</v>
      </c>
      <c r="P261" s="62" t="n">
        <v>1</v>
      </c>
      <c r="Q261" s="62" t="n">
        <v>0</v>
      </c>
      <c r="R261" s="62" t="n">
        <v>0</v>
      </c>
      <c r="S261" s="62" t="n">
        <v>0</v>
      </c>
      <c r="T261" s="62" t="n">
        <v>0</v>
      </c>
      <c r="U261" s="62"/>
      <c r="V261" s="62"/>
      <c r="W261" s="62"/>
      <c r="X261" s="62"/>
      <c r="Y261" s="62"/>
      <c r="Z261" s="62" t="s">
        <v>658</v>
      </c>
      <c r="AA261" s="62" t="s">
        <v>659</v>
      </c>
      <c r="AB261" s="62" t="n">
        <v>0</v>
      </c>
      <c r="AC261" s="62" t="n">
        <v>0</v>
      </c>
      <c r="AD261" s="62" t="n">
        <v>1</v>
      </c>
      <c r="AE261" s="62" t="n">
        <f aca="false">IF(AND(Dashboard!$C$9="Yes",AC261=1),0,1)</f>
        <v>1</v>
      </c>
      <c r="AF261" s="62" t="n">
        <v>0</v>
      </c>
    </row>
    <row r="262" customFormat="false" ht="15" hidden="false" customHeight="false" outlineLevel="0" collapsed="false">
      <c r="A262" s="62" t="n">
        <v>261</v>
      </c>
      <c r="B262" s="63" t="n">
        <v>46233.8624652778</v>
      </c>
      <c r="C262" s="64" t="n">
        <v>46233</v>
      </c>
      <c r="D262" s="62" t="s">
        <v>202</v>
      </c>
      <c r="E262" s="62" t="s">
        <v>212</v>
      </c>
      <c r="F262" s="62" t="s">
        <v>212</v>
      </c>
      <c r="G262" s="62" t="s">
        <v>213</v>
      </c>
      <c r="H262" s="62" t="s">
        <v>58</v>
      </c>
      <c r="I262" s="62" t="s">
        <v>49</v>
      </c>
      <c r="J262" s="62" t="s">
        <v>146</v>
      </c>
      <c r="K262" s="62" t="s">
        <v>175</v>
      </c>
      <c r="L262" s="62" t="s">
        <v>148</v>
      </c>
      <c r="M262" s="62" t="n">
        <v>0</v>
      </c>
      <c r="N262" s="62" t="n">
        <v>1</v>
      </c>
      <c r="O262" s="62" t="n">
        <v>1</v>
      </c>
      <c r="P262" s="62" t="n">
        <v>1</v>
      </c>
      <c r="Q262" s="62" t="n">
        <v>0</v>
      </c>
      <c r="R262" s="62" t="n">
        <v>0</v>
      </c>
      <c r="S262" s="62" t="n">
        <v>0</v>
      </c>
      <c r="T262" s="62" t="n">
        <v>0</v>
      </c>
      <c r="U262" s="62"/>
      <c r="V262" s="62"/>
      <c r="W262" s="62"/>
      <c r="X262" s="62"/>
      <c r="Y262" s="62"/>
      <c r="Z262" s="62" t="s">
        <v>660</v>
      </c>
      <c r="AA262" s="62" t="s">
        <v>661</v>
      </c>
      <c r="AB262" s="62" t="n">
        <v>1</v>
      </c>
      <c r="AC262" s="62" t="n">
        <v>0</v>
      </c>
      <c r="AD262" s="62" t="n">
        <v>1</v>
      </c>
      <c r="AE262" s="62" t="n">
        <f aca="false">IF(AND(Dashboard!$C$9="Yes",AC262=1),0,1)</f>
        <v>1</v>
      </c>
      <c r="AF262" s="62" t="n">
        <v>0</v>
      </c>
    </row>
    <row r="263" customFormat="false" ht="15" hidden="false" customHeight="false" outlineLevel="0" collapsed="false">
      <c r="A263" s="62" t="n">
        <v>262</v>
      </c>
      <c r="B263" s="63" t="n">
        <v>46233.8884953704</v>
      </c>
      <c r="C263" s="64" t="n">
        <v>46233</v>
      </c>
      <c r="D263" s="62" t="s">
        <v>202</v>
      </c>
      <c r="E263" s="62" t="s">
        <v>156</v>
      </c>
      <c r="F263" s="62" t="s">
        <v>156</v>
      </c>
      <c r="G263" s="62" t="s">
        <v>157</v>
      </c>
      <c r="H263" s="62" t="s">
        <v>51</v>
      </c>
      <c r="I263" s="62" t="s">
        <v>47</v>
      </c>
      <c r="J263" s="62" t="s">
        <v>146</v>
      </c>
      <c r="K263" s="62" t="s">
        <v>147</v>
      </c>
      <c r="L263" s="62" t="s">
        <v>148</v>
      </c>
      <c r="M263" s="62" t="n">
        <v>0</v>
      </c>
      <c r="N263" s="62" t="n">
        <v>1</v>
      </c>
      <c r="O263" s="62" t="n">
        <v>1</v>
      </c>
      <c r="P263" s="62" t="n">
        <v>1</v>
      </c>
      <c r="Q263" s="62" t="n">
        <v>0</v>
      </c>
      <c r="R263" s="62" t="n">
        <v>0</v>
      </c>
      <c r="S263" s="62" t="n">
        <v>0</v>
      </c>
      <c r="T263" s="62" t="n">
        <v>0</v>
      </c>
      <c r="U263" s="62"/>
      <c r="V263" s="62"/>
      <c r="W263" s="62"/>
      <c r="X263" s="62"/>
      <c r="Y263" s="62"/>
      <c r="Z263" s="62" t="s">
        <v>662</v>
      </c>
      <c r="AA263" s="62" t="s">
        <v>663</v>
      </c>
      <c r="AB263" s="62" t="n">
        <v>1</v>
      </c>
      <c r="AC263" s="62" t="n">
        <v>0</v>
      </c>
      <c r="AD263" s="62" t="n">
        <v>1</v>
      </c>
      <c r="AE263" s="62" t="n">
        <f aca="false">IF(AND(Dashboard!$C$9="Yes",AC263=1),0,1)</f>
        <v>1</v>
      </c>
      <c r="AF263" s="62" t="n">
        <v>1</v>
      </c>
    </row>
    <row r="264" customFormat="false" ht="15" hidden="false" customHeight="false" outlineLevel="0" collapsed="false">
      <c r="A264" s="62" t="n">
        <v>263</v>
      </c>
      <c r="B264" s="63" t="n">
        <v>46233.9166087963</v>
      </c>
      <c r="C264" s="64" t="n">
        <v>46233</v>
      </c>
      <c r="D264" s="62" t="s">
        <v>202</v>
      </c>
      <c r="E264" s="62" t="s">
        <v>650</v>
      </c>
      <c r="F264" s="62" t="s">
        <v>650</v>
      </c>
      <c r="G264" s="62" t="s">
        <v>651</v>
      </c>
      <c r="H264" s="62" t="s">
        <v>59</v>
      </c>
      <c r="I264" s="62" t="s">
        <v>47</v>
      </c>
      <c r="J264" s="62" t="s">
        <v>146</v>
      </c>
      <c r="K264" s="62" t="s">
        <v>209</v>
      </c>
      <c r="L264" s="62" t="s">
        <v>4</v>
      </c>
      <c r="M264" s="62" t="n">
        <v>1</v>
      </c>
      <c r="N264" s="62" t="n">
        <v>0</v>
      </c>
      <c r="O264" s="62" t="n">
        <v>1</v>
      </c>
      <c r="P264" s="62" t="n">
        <v>0</v>
      </c>
      <c r="Q264" s="62" t="n">
        <v>0</v>
      </c>
      <c r="R264" s="62" t="n">
        <v>0</v>
      </c>
      <c r="S264" s="62" t="n">
        <v>0</v>
      </c>
      <c r="T264" s="62" t="n">
        <v>0</v>
      </c>
      <c r="U264" s="62"/>
      <c r="V264" s="62"/>
      <c r="W264" s="62"/>
      <c r="X264" s="62"/>
      <c r="Y264" s="62"/>
      <c r="Z264" s="62" t="s">
        <v>664</v>
      </c>
      <c r="AA264" s="62" t="s">
        <v>665</v>
      </c>
      <c r="AB264" s="62" t="n">
        <v>1</v>
      </c>
      <c r="AC264" s="62" t="n">
        <v>0</v>
      </c>
      <c r="AD264" s="62" t="n">
        <v>1</v>
      </c>
      <c r="AE264" s="62" t="n">
        <f aca="false">IF(AND(Dashboard!$C$9="Yes",AC264=1),0,1)</f>
        <v>1</v>
      </c>
      <c r="AF264" s="62" t="n">
        <v>0</v>
      </c>
    </row>
    <row r="265" customFormat="false" ht="15" hidden="false" customHeight="false" outlineLevel="0" collapsed="false">
      <c r="A265" s="62" t="n">
        <v>264</v>
      </c>
      <c r="B265" s="63" t="n">
        <v>46233.9170486111</v>
      </c>
      <c r="C265" s="64" t="n">
        <v>46233</v>
      </c>
      <c r="D265" s="62" t="s">
        <v>202</v>
      </c>
      <c r="E265" s="62" t="s">
        <v>650</v>
      </c>
      <c r="F265" s="62" t="s">
        <v>650</v>
      </c>
      <c r="G265" s="62" t="s">
        <v>651</v>
      </c>
      <c r="H265" s="62" t="s">
        <v>59</v>
      </c>
      <c r="I265" s="62" t="s">
        <v>47</v>
      </c>
      <c r="J265" s="62" t="s">
        <v>146</v>
      </c>
      <c r="K265" s="62" t="s">
        <v>209</v>
      </c>
      <c r="L265" s="62" t="s">
        <v>148</v>
      </c>
      <c r="M265" s="62" t="n">
        <v>0</v>
      </c>
      <c r="N265" s="62" t="n">
        <v>1</v>
      </c>
      <c r="O265" s="62" t="n">
        <v>1</v>
      </c>
      <c r="P265" s="62" t="n">
        <v>0</v>
      </c>
      <c r="Q265" s="62" t="n">
        <v>0</v>
      </c>
      <c r="R265" s="62" t="n">
        <v>0</v>
      </c>
      <c r="S265" s="62" t="n">
        <v>0</v>
      </c>
      <c r="T265" s="62" t="n">
        <v>1</v>
      </c>
      <c r="U265" s="62"/>
      <c r="V265" s="62"/>
      <c r="W265" s="62"/>
      <c r="X265" s="62"/>
      <c r="Y265" s="62"/>
      <c r="Z265" s="62" t="s">
        <v>664</v>
      </c>
      <c r="AA265" s="62" t="s">
        <v>665</v>
      </c>
      <c r="AB265" s="62" t="n">
        <v>1</v>
      </c>
      <c r="AC265" s="62" t="n">
        <v>0</v>
      </c>
      <c r="AD265" s="62" t="n">
        <v>1</v>
      </c>
      <c r="AE265" s="62" t="n">
        <f aca="false">IF(AND(Dashboard!$C$9="Yes",AC265=1),0,1)</f>
        <v>1</v>
      </c>
      <c r="AF265" s="62" t="n">
        <v>0</v>
      </c>
    </row>
    <row r="266" customFormat="false" ht="15" hidden="false" customHeight="false" outlineLevel="0" collapsed="false">
      <c r="A266" s="62" t="n">
        <v>265</v>
      </c>
      <c r="B266" s="63" t="n">
        <v>46233.9335300926</v>
      </c>
      <c r="C266" s="64" t="n">
        <v>46233</v>
      </c>
      <c r="D266" s="62" t="s">
        <v>202</v>
      </c>
      <c r="E266" s="62" t="s">
        <v>190</v>
      </c>
      <c r="F266" s="62" t="s">
        <v>191</v>
      </c>
      <c r="G266" s="62" t="s">
        <v>153</v>
      </c>
      <c r="H266" s="62" t="s">
        <v>153</v>
      </c>
      <c r="I266" s="62" t="s">
        <v>153</v>
      </c>
      <c r="J266" s="62" t="s">
        <v>64</v>
      </c>
      <c r="K266" s="62" t="s">
        <v>64</v>
      </c>
      <c r="L266" s="62" t="s">
        <v>148</v>
      </c>
      <c r="M266" s="62" t="n">
        <v>0</v>
      </c>
      <c r="N266" s="62" t="n">
        <v>1</v>
      </c>
      <c r="O266" s="62" t="n">
        <v>1</v>
      </c>
      <c r="P266" s="62" t="n">
        <v>1</v>
      </c>
      <c r="Q266" s="62" t="n">
        <v>0</v>
      </c>
      <c r="R266" s="62" t="n">
        <v>0</v>
      </c>
      <c r="S266" s="62" t="n">
        <v>0</v>
      </c>
      <c r="T266" s="62" t="n">
        <v>0</v>
      </c>
      <c r="U266" s="62"/>
      <c r="V266" s="62"/>
      <c r="W266" s="62"/>
      <c r="X266" s="62"/>
      <c r="Y266" s="62"/>
      <c r="Z266" s="62" t="s">
        <v>666</v>
      </c>
      <c r="AA266" s="62" t="s">
        <v>667</v>
      </c>
      <c r="AB266" s="62" t="n">
        <v>1</v>
      </c>
      <c r="AC266" s="62" t="n">
        <v>0</v>
      </c>
      <c r="AD266" s="62" t="n">
        <v>0</v>
      </c>
      <c r="AE266" s="62" t="n">
        <f aca="false">IF(AND(Dashboard!$C$9="Yes",AC266=1),0,1)</f>
        <v>1</v>
      </c>
      <c r="AF266" s="62" t="n">
        <v>1</v>
      </c>
    </row>
    <row r="267" customFormat="false" ht="15" hidden="false" customHeight="false" outlineLevel="0" collapsed="false">
      <c r="A267" s="62" t="n">
        <v>266</v>
      </c>
      <c r="B267" s="63" t="n">
        <v>46233.9446064815</v>
      </c>
      <c r="C267" s="64" t="n">
        <v>46233</v>
      </c>
      <c r="D267" s="62" t="s">
        <v>202</v>
      </c>
      <c r="E267" s="62" t="s">
        <v>144</v>
      </c>
      <c r="F267" s="62" t="s">
        <v>144</v>
      </c>
      <c r="G267" s="62" t="s">
        <v>145</v>
      </c>
      <c r="H267" s="62" t="s">
        <v>59</v>
      </c>
      <c r="I267" s="62" t="s">
        <v>47</v>
      </c>
      <c r="J267" s="62" t="s">
        <v>146</v>
      </c>
      <c r="K267" s="62" t="s">
        <v>147</v>
      </c>
      <c r="L267" s="62" t="s">
        <v>148</v>
      </c>
      <c r="M267" s="62" t="n">
        <v>0</v>
      </c>
      <c r="N267" s="62" t="n">
        <v>2</v>
      </c>
      <c r="O267" s="62" t="n">
        <v>2</v>
      </c>
      <c r="P267" s="62" t="n">
        <v>1</v>
      </c>
      <c r="Q267" s="62" t="n">
        <v>1</v>
      </c>
      <c r="R267" s="62" t="n">
        <v>0</v>
      </c>
      <c r="S267" s="62" t="n">
        <v>0</v>
      </c>
      <c r="T267" s="62" t="n">
        <v>0</v>
      </c>
      <c r="U267" s="62"/>
      <c r="V267" s="62"/>
      <c r="W267" s="62"/>
      <c r="X267" s="62"/>
      <c r="Y267" s="62"/>
      <c r="Z267" s="62" t="s">
        <v>668</v>
      </c>
      <c r="AA267" s="62" t="s">
        <v>669</v>
      </c>
      <c r="AB267" s="62" t="n">
        <v>0</v>
      </c>
      <c r="AC267" s="62" t="n">
        <v>0</v>
      </c>
      <c r="AD267" s="62" t="n">
        <v>1</v>
      </c>
      <c r="AE267" s="62" t="n">
        <f aca="false">IF(AND(Dashboard!$C$9="Yes",AC267=1),0,1)</f>
        <v>1</v>
      </c>
      <c r="AF267" s="62" t="n">
        <v>1</v>
      </c>
    </row>
    <row r="268" customFormat="false" ht="15" hidden="false" customHeight="false" outlineLevel="0" collapsed="false">
      <c r="A268" s="62" t="n">
        <v>267</v>
      </c>
      <c r="B268" s="63" t="n">
        <v>46233.9448611111</v>
      </c>
      <c r="C268" s="64" t="n">
        <v>46233</v>
      </c>
      <c r="D268" s="62" t="s">
        <v>202</v>
      </c>
      <c r="E268" s="62" t="s">
        <v>144</v>
      </c>
      <c r="F268" s="62" t="s">
        <v>144</v>
      </c>
      <c r="G268" s="62" t="s">
        <v>145</v>
      </c>
      <c r="H268" s="62" t="s">
        <v>59</v>
      </c>
      <c r="I268" s="62" t="s">
        <v>47</v>
      </c>
      <c r="J268" s="62" t="s">
        <v>146</v>
      </c>
      <c r="K268" s="62" t="s">
        <v>147</v>
      </c>
      <c r="L268" s="62" t="s">
        <v>148</v>
      </c>
      <c r="M268" s="62" t="n">
        <v>0</v>
      </c>
      <c r="N268" s="62" t="n">
        <v>2</v>
      </c>
      <c r="O268" s="62" t="n">
        <v>2</v>
      </c>
      <c r="P268" s="62" t="n">
        <v>1</v>
      </c>
      <c r="Q268" s="62" t="n">
        <v>1</v>
      </c>
      <c r="R268" s="62" t="n">
        <v>0</v>
      </c>
      <c r="S268" s="62" t="n">
        <v>0</v>
      </c>
      <c r="T268" s="62" t="n">
        <v>0</v>
      </c>
      <c r="U268" s="62"/>
      <c r="V268" s="62"/>
      <c r="W268" s="62"/>
      <c r="X268" s="62"/>
      <c r="Y268" s="62"/>
      <c r="Z268" s="62" t="s">
        <v>668</v>
      </c>
      <c r="AA268" s="62" t="s">
        <v>669</v>
      </c>
      <c r="AB268" s="62" t="n">
        <v>0</v>
      </c>
      <c r="AC268" s="62" t="n">
        <v>0</v>
      </c>
      <c r="AD268" s="62" t="n">
        <v>1</v>
      </c>
      <c r="AE268" s="62" t="n">
        <f aca="false">IF(AND(Dashboard!$C$9="Yes",AC268=1),0,1)</f>
        <v>1</v>
      </c>
      <c r="AF268" s="62" t="n">
        <v>0</v>
      </c>
    </row>
    <row r="269" customFormat="false" ht="15" hidden="false" customHeight="false" outlineLevel="0" collapsed="false">
      <c r="A269" s="62" t="n">
        <v>268</v>
      </c>
      <c r="B269" s="63" t="n">
        <v>46233.9592939815</v>
      </c>
      <c r="C269" s="64" t="n">
        <v>46233</v>
      </c>
      <c r="D269" s="62" t="s">
        <v>202</v>
      </c>
      <c r="E269" s="62" t="s">
        <v>273</v>
      </c>
      <c r="F269" s="62" t="s">
        <v>273</v>
      </c>
      <c r="G269" s="62" t="s">
        <v>274</v>
      </c>
      <c r="H269" s="62" t="s">
        <v>59</v>
      </c>
      <c r="I269" s="62" t="s">
        <v>47</v>
      </c>
      <c r="J269" s="62" t="s">
        <v>146</v>
      </c>
      <c r="K269" s="62" t="s">
        <v>147</v>
      </c>
      <c r="L269" s="62" t="s">
        <v>148</v>
      </c>
      <c r="M269" s="62" t="n">
        <v>0</v>
      </c>
      <c r="N269" s="62" t="n">
        <v>1</v>
      </c>
      <c r="O269" s="62" t="n">
        <v>1</v>
      </c>
      <c r="P269" s="62" t="n">
        <v>1</v>
      </c>
      <c r="Q269" s="62" t="n">
        <v>0</v>
      </c>
      <c r="R269" s="62" t="n">
        <v>0</v>
      </c>
      <c r="S269" s="62" t="n">
        <v>0</v>
      </c>
      <c r="T269" s="62" t="n">
        <v>0</v>
      </c>
      <c r="U269" s="62"/>
      <c r="V269" s="62"/>
      <c r="W269" s="62"/>
      <c r="X269" s="62"/>
      <c r="Y269" s="62"/>
      <c r="Z269" s="62" t="s">
        <v>670</v>
      </c>
      <c r="AA269" s="62" t="s">
        <v>671</v>
      </c>
      <c r="AB269" s="62" t="n">
        <v>1</v>
      </c>
      <c r="AC269" s="62" t="n">
        <v>0</v>
      </c>
      <c r="AD269" s="62" t="n">
        <v>1</v>
      </c>
      <c r="AE269" s="62" t="n">
        <f aca="false">IF(AND(Dashboard!$C$9="Yes",AC269=1),0,1)</f>
        <v>1</v>
      </c>
      <c r="AF269" s="62" t="n">
        <v>1</v>
      </c>
    </row>
    <row r="270" customFormat="false" ht="15" hidden="false" customHeight="false" outlineLevel="0" collapsed="false">
      <c r="A270" s="62" t="n">
        <v>269</v>
      </c>
      <c r="B270" s="63" t="n">
        <v>46233.9615046296</v>
      </c>
      <c r="C270" s="64" t="n">
        <v>46233</v>
      </c>
      <c r="D270" s="62" t="s">
        <v>202</v>
      </c>
      <c r="E270" s="62" t="s">
        <v>312</v>
      </c>
      <c r="F270" s="62" t="s">
        <v>312</v>
      </c>
      <c r="G270" s="62" t="s">
        <v>313</v>
      </c>
      <c r="H270" s="62" t="s">
        <v>51</v>
      </c>
      <c r="I270" s="62" t="s">
        <v>47</v>
      </c>
      <c r="J270" s="62" t="s">
        <v>146</v>
      </c>
      <c r="K270" s="62" t="s">
        <v>147</v>
      </c>
      <c r="L270" s="62" t="s">
        <v>148</v>
      </c>
      <c r="M270" s="62" t="n">
        <v>0</v>
      </c>
      <c r="N270" s="62" t="n">
        <v>1</v>
      </c>
      <c r="O270" s="62" t="n">
        <v>1</v>
      </c>
      <c r="P270" s="62" t="n">
        <v>0</v>
      </c>
      <c r="Q270" s="62" t="n">
        <v>0</v>
      </c>
      <c r="R270" s="62" t="n">
        <v>1</v>
      </c>
      <c r="S270" s="62" t="n">
        <v>0</v>
      </c>
      <c r="T270" s="62" t="n">
        <v>0</v>
      </c>
      <c r="U270" s="62"/>
      <c r="V270" s="62"/>
      <c r="W270" s="62"/>
      <c r="X270" s="62"/>
      <c r="Y270" s="62"/>
      <c r="Z270" s="62" t="s">
        <v>672</v>
      </c>
      <c r="AA270" s="62" t="s">
        <v>673</v>
      </c>
      <c r="AB270" s="62" t="n">
        <v>1</v>
      </c>
      <c r="AC270" s="62" t="n">
        <v>0</v>
      </c>
      <c r="AD270" s="62" t="n">
        <v>1</v>
      </c>
      <c r="AE270" s="62" t="n">
        <f aca="false">IF(AND(Dashboard!$C$9="Yes",AC270=1),0,1)</f>
        <v>1</v>
      </c>
      <c r="AF270" s="62" t="n">
        <v>1</v>
      </c>
    </row>
    <row r="271" customFormat="false" ht="15" hidden="false" customHeight="false" outlineLevel="0" collapsed="false">
      <c r="A271" s="62" t="n">
        <v>270</v>
      </c>
      <c r="B271" s="63" t="n">
        <v>46233.9699189815</v>
      </c>
      <c r="C271" s="64" t="n">
        <v>46233</v>
      </c>
      <c r="D271" s="62" t="s">
        <v>202</v>
      </c>
      <c r="E271" s="62" t="s">
        <v>239</v>
      </c>
      <c r="F271" s="62" t="s">
        <v>240</v>
      </c>
      <c r="G271" s="62" t="s">
        <v>153</v>
      </c>
      <c r="H271" s="62" t="s">
        <v>153</v>
      </c>
      <c r="I271" s="62" t="s">
        <v>153</v>
      </c>
      <c r="J271" s="62" t="s">
        <v>64</v>
      </c>
      <c r="K271" s="62" t="s">
        <v>64</v>
      </c>
      <c r="L271" s="62" t="s">
        <v>148</v>
      </c>
      <c r="M271" s="62" t="n">
        <v>0</v>
      </c>
      <c r="N271" s="62" t="n">
        <v>1</v>
      </c>
      <c r="O271" s="62" t="n">
        <v>1</v>
      </c>
      <c r="P271" s="62" t="n">
        <v>0</v>
      </c>
      <c r="Q271" s="62" t="n">
        <v>1</v>
      </c>
      <c r="R271" s="62" t="n">
        <v>0</v>
      </c>
      <c r="S271" s="62" t="n">
        <v>0</v>
      </c>
      <c r="T271" s="62" t="n">
        <v>0</v>
      </c>
      <c r="U271" s="62"/>
      <c r="V271" s="62"/>
      <c r="W271" s="62"/>
      <c r="X271" s="62"/>
      <c r="Y271" s="62"/>
      <c r="Z271" s="62" t="s">
        <v>674</v>
      </c>
      <c r="AA271" s="62" t="s">
        <v>675</v>
      </c>
      <c r="AB271" s="62" t="n">
        <v>1</v>
      </c>
      <c r="AC271" s="62" t="n">
        <v>0</v>
      </c>
      <c r="AD271" s="62" t="n">
        <v>0</v>
      </c>
      <c r="AE271" s="62" t="n">
        <f aca="false">IF(AND(Dashboard!$C$9="Yes",AC271=1),0,1)</f>
        <v>1</v>
      </c>
      <c r="AF271" s="62" t="n">
        <v>1</v>
      </c>
    </row>
    <row r="272" customFormat="false" ht="15" hidden="false" customHeight="false" outlineLevel="0" collapsed="false">
      <c r="A272" s="62" t="n">
        <v>271</v>
      </c>
      <c r="B272" s="63" t="n">
        <v>46234.0105324074</v>
      </c>
      <c r="C272" s="64" t="n">
        <v>46233</v>
      </c>
      <c r="D272" s="62" t="s">
        <v>202</v>
      </c>
      <c r="E272" s="62" t="s">
        <v>190</v>
      </c>
      <c r="F272" s="62" t="s">
        <v>191</v>
      </c>
      <c r="G272" s="62" t="s">
        <v>153</v>
      </c>
      <c r="H272" s="62" t="s">
        <v>153</v>
      </c>
      <c r="I272" s="62" t="s">
        <v>153</v>
      </c>
      <c r="J272" s="62" t="s">
        <v>64</v>
      </c>
      <c r="K272" s="62" t="s">
        <v>64</v>
      </c>
      <c r="L272" s="62" t="s">
        <v>148</v>
      </c>
      <c r="M272" s="62" t="n">
        <v>0</v>
      </c>
      <c r="N272" s="62" t="n">
        <v>1</v>
      </c>
      <c r="O272" s="62" t="n">
        <v>1</v>
      </c>
      <c r="P272" s="62" t="n">
        <v>0</v>
      </c>
      <c r="Q272" s="62" t="n">
        <v>1</v>
      </c>
      <c r="R272" s="62" t="n">
        <v>0</v>
      </c>
      <c r="S272" s="62" t="n">
        <v>0</v>
      </c>
      <c r="T272" s="62" t="n">
        <v>0</v>
      </c>
      <c r="U272" s="62"/>
      <c r="V272" s="62"/>
      <c r="W272" s="62"/>
      <c r="X272" s="62"/>
      <c r="Y272" s="62"/>
      <c r="Z272" s="62" t="s">
        <v>676</v>
      </c>
      <c r="AA272" s="62" t="s">
        <v>677</v>
      </c>
      <c r="AB272" s="62" t="n">
        <v>1</v>
      </c>
      <c r="AC272" s="62" t="n">
        <v>0</v>
      </c>
      <c r="AD272" s="62" t="n">
        <v>0</v>
      </c>
      <c r="AE272" s="62" t="n">
        <f aca="false">IF(AND(Dashboard!$C$9="Yes",AC272=1),0,1)</f>
        <v>1</v>
      </c>
      <c r="AF272" s="62" t="n">
        <v>0</v>
      </c>
    </row>
    <row r="273" customFormat="false" ht="15" hidden="false" customHeight="false" outlineLevel="0" collapsed="false">
      <c r="A273" s="62" t="n">
        <v>272</v>
      </c>
      <c r="B273" s="63" t="n">
        <v>46234.0163425926</v>
      </c>
      <c r="C273" s="64" t="n">
        <v>46233</v>
      </c>
      <c r="D273" s="62" t="s">
        <v>202</v>
      </c>
      <c r="E273" s="62" t="s">
        <v>239</v>
      </c>
      <c r="F273" s="62" t="s">
        <v>240</v>
      </c>
      <c r="G273" s="62" t="s">
        <v>153</v>
      </c>
      <c r="H273" s="62" t="s">
        <v>153</v>
      </c>
      <c r="I273" s="62" t="s">
        <v>153</v>
      </c>
      <c r="J273" s="62" t="s">
        <v>64</v>
      </c>
      <c r="K273" s="62" t="s">
        <v>64</v>
      </c>
      <c r="L273" s="62" t="s">
        <v>148</v>
      </c>
      <c r="M273" s="62" t="n">
        <v>0</v>
      </c>
      <c r="N273" s="62" t="n">
        <v>1</v>
      </c>
      <c r="O273" s="62" t="n">
        <v>1</v>
      </c>
      <c r="P273" s="62" t="n">
        <v>0</v>
      </c>
      <c r="Q273" s="62" t="n">
        <v>0</v>
      </c>
      <c r="R273" s="62" t="n">
        <v>1</v>
      </c>
      <c r="S273" s="62" t="n">
        <v>0</v>
      </c>
      <c r="T273" s="62" t="n">
        <v>0</v>
      </c>
      <c r="U273" s="62"/>
      <c r="V273" s="62"/>
      <c r="W273" s="62"/>
      <c r="X273" s="62"/>
      <c r="Y273" s="62"/>
      <c r="Z273" s="62" t="s">
        <v>678</v>
      </c>
      <c r="AA273" s="62" t="s">
        <v>679</v>
      </c>
      <c r="AB273" s="62" t="n">
        <v>1</v>
      </c>
      <c r="AC273" s="62" t="n">
        <v>0</v>
      </c>
      <c r="AD273" s="62" t="n">
        <v>0</v>
      </c>
      <c r="AE273" s="62" t="n">
        <f aca="false">IF(AND(Dashboard!$C$9="Yes",AC273=1),0,1)</f>
        <v>1</v>
      </c>
      <c r="AF273" s="62" t="n">
        <v>0</v>
      </c>
    </row>
    <row r="274" customFormat="false" ht="15" hidden="false" customHeight="false" outlineLevel="0" collapsed="false">
      <c r="A274" s="62" t="n">
        <v>273</v>
      </c>
      <c r="B274" s="63" t="n">
        <v>46234.0266898148</v>
      </c>
      <c r="C274" s="64" t="n">
        <v>46233</v>
      </c>
      <c r="D274" s="62" t="s">
        <v>202</v>
      </c>
      <c r="E274" s="62" t="s">
        <v>307</v>
      </c>
      <c r="F274" s="62" t="s">
        <v>308</v>
      </c>
      <c r="G274" s="62" t="s">
        <v>153</v>
      </c>
      <c r="H274" s="62" t="s">
        <v>153</v>
      </c>
      <c r="I274" s="62" t="s">
        <v>153</v>
      </c>
      <c r="J274" s="62" t="s">
        <v>64</v>
      </c>
      <c r="K274" s="62" t="s">
        <v>64</v>
      </c>
      <c r="L274" s="62" t="s">
        <v>148</v>
      </c>
      <c r="M274" s="62" t="n">
        <v>0</v>
      </c>
      <c r="N274" s="62" t="n">
        <v>1</v>
      </c>
      <c r="O274" s="62" t="n">
        <v>1</v>
      </c>
      <c r="P274" s="62" t="n">
        <v>1</v>
      </c>
      <c r="Q274" s="62" t="n">
        <v>0</v>
      </c>
      <c r="R274" s="62" t="n">
        <v>0</v>
      </c>
      <c r="S274" s="62" t="n">
        <v>0</v>
      </c>
      <c r="T274" s="62" t="n">
        <v>0</v>
      </c>
      <c r="U274" s="62"/>
      <c r="V274" s="62"/>
      <c r="W274" s="62"/>
      <c r="X274" s="62"/>
      <c r="Y274" s="62"/>
      <c r="Z274" s="62" t="s">
        <v>680</v>
      </c>
      <c r="AA274" s="62" t="s">
        <v>681</v>
      </c>
      <c r="AB274" s="62" t="n">
        <v>1</v>
      </c>
      <c r="AC274" s="62" t="n">
        <v>0</v>
      </c>
      <c r="AD274" s="62" t="n">
        <v>0</v>
      </c>
      <c r="AE274" s="62" t="n">
        <f aca="false">IF(AND(Dashboard!$C$9="Yes",AC274=1),0,1)</f>
        <v>1</v>
      </c>
      <c r="AF274" s="62" t="n">
        <v>1</v>
      </c>
    </row>
    <row r="275" customFormat="false" ht="15" hidden="false" customHeight="false" outlineLevel="0" collapsed="false">
      <c r="A275" s="62" t="n">
        <v>274</v>
      </c>
      <c r="B275" s="63" t="n">
        <v>46234.0338194444</v>
      </c>
      <c r="C275" s="64" t="n">
        <v>46233</v>
      </c>
      <c r="D275" s="62" t="s">
        <v>202</v>
      </c>
      <c r="E275" s="62" t="s">
        <v>682</v>
      </c>
      <c r="F275" s="62" t="s">
        <v>371</v>
      </c>
      <c r="G275" s="62" t="s">
        <v>372</v>
      </c>
      <c r="H275" s="62" t="s">
        <v>59</v>
      </c>
      <c r="I275" s="62" t="s">
        <v>47</v>
      </c>
      <c r="J275" s="62" t="s">
        <v>146</v>
      </c>
      <c r="K275" s="62" t="s">
        <v>147</v>
      </c>
      <c r="L275" s="62" t="s">
        <v>148</v>
      </c>
      <c r="M275" s="62" t="n">
        <v>0</v>
      </c>
      <c r="N275" s="62" t="n">
        <v>1</v>
      </c>
      <c r="O275" s="62" t="n">
        <v>1</v>
      </c>
      <c r="P275" s="62" t="n">
        <v>1</v>
      </c>
      <c r="Q275" s="62" t="n">
        <v>0</v>
      </c>
      <c r="R275" s="62" t="n">
        <v>0</v>
      </c>
      <c r="S275" s="62" t="n">
        <v>0</v>
      </c>
      <c r="T275" s="62" t="n">
        <v>0</v>
      </c>
      <c r="U275" s="62"/>
      <c r="V275" s="62"/>
      <c r="W275" s="62"/>
      <c r="X275" s="62"/>
      <c r="Y275" s="62"/>
      <c r="Z275" s="62" t="s">
        <v>683</v>
      </c>
      <c r="AA275" s="62" t="s">
        <v>684</v>
      </c>
      <c r="AB275" s="62" t="n">
        <v>1</v>
      </c>
      <c r="AC275" s="62" t="n">
        <v>0</v>
      </c>
      <c r="AD275" s="62" t="n">
        <v>1</v>
      </c>
      <c r="AE275" s="62" t="n">
        <f aca="false">IF(AND(Dashboard!$C$9="Yes",AC275=1),0,1)</f>
        <v>1</v>
      </c>
      <c r="AF275" s="62" t="n">
        <v>1</v>
      </c>
    </row>
    <row r="276" customFormat="false" ht="15" hidden="false" customHeight="false" outlineLevel="0" collapsed="false">
      <c r="A276" s="62" t="n">
        <v>275</v>
      </c>
      <c r="B276" s="63" t="n">
        <v>46234.0437384259</v>
      </c>
      <c r="C276" s="64" t="n">
        <v>46233</v>
      </c>
      <c r="D276" s="62" t="s">
        <v>202</v>
      </c>
      <c r="E276" s="62" t="s">
        <v>144</v>
      </c>
      <c r="F276" s="62" t="s">
        <v>144</v>
      </c>
      <c r="G276" s="62" t="s">
        <v>145</v>
      </c>
      <c r="H276" s="62" t="s">
        <v>59</v>
      </c>
      <c r="I276" s="62" t="s">
        <v>47</v>
      </c>
      <c r="J276" s="62" t="s">
        <v>146</v>
      </c>
      <c r="K276" s="62" t="s">
        <v>147</v>
      </c>
      <c r="L276" s="62" t="s">
        <v>148</v>
      </c>
      <c r="M276" s="62" t="n">
        <v>0</v>
      </c>
      <c r="N276" s="62" t="n">
        <v>1</v>
      </c>
      <c r="O276" s="62" t="n">
        <v>1</v>
      </c>
      <c r="P276" s="62" t="n">
        <v>0</v>
      </c>
      <c r="Q276" s="62" t="n">
        <v>1</v>
      </c>
      <c r="R276" s="62" t="n">
        <v>0</v>
      </c>
      <c r="S276" s="62" t="n">
        <v>0</v>
      </c>
      <c r="T276" s="62" t="n">
        <v>0</v>
      </c>
      <c r="U276" s="62"/>
      <c r="V276" s="62"/>
      <c r="W276" s="62"/>
      <c r="X276" s="62"/>
      <c r="Y276" s="62"/>
      <c r="Z276" s="62" t="s">
        <v>685</v>
      </c>
      <c r="AA276" s="62" t="s">
        <v>686</v>
      </c>
      <c r="AB276" s="62" t="n">
        <v>0</v>
      </c>
      <c r="AC276" s="62" t="n">
        <v>0</v>
      </c>
      <c r="AD276" s="62" t="n">
        <v>1</v>
      </c>
      <c r="AE276" s="62" t="n">
        <f aca="false">IF(AND(Dashboard!$C$9="Yes",AC276=1),0,1)</f>
        <v>1</v>
      </c>
      <c r="AF276" s="62" t="n">
        <v>0</v>
      </c>
    </row>
    <row r="277" customFormat="false" ht="15" hidden="false" customHeight="false" outlineLevel="0" collapsed="false">
      <c r="A277" s="62" t="n">
        <v>276</v>
      </c>
      <c r="B277" s="63" t="n">
        <v>46234.0439467593</v>
      </c>
      <c r="C277" s="64" t="n">
        <v>46233</v>
      </c>
      <c r="D277" s="62" t="s">
        <v>202</v>
      </c>
      <c r="E277" s="62" t="s">
        <v>144</v>
      </c>
      <c r="F277" s="62" t="s">
        <v>144</v>
      </c>
      <c r="G277" s="62" t="s">
        <v>145</v>
      </c>
      <c r="H277" s="62" t="s">
        <v>59</v>
      </c>
      <c r="I277" s="62" t="s">
        <v>47</v>
      </c>
      <c r="J277" s="62" t="s">
        <v>146</v>
      </c>
      <c r="K277" s="62" t="s">
        <v>147</v>
      </c>
      <c r="L277" s="62" t="s">
        <v>148</v>
      </c>
      <c r="M277" s="62" t="n">
        <v>0</v>
      </c>
      <c r="N277" s="62" t="n">
        <v>1</v>
      </c>
      <c r="O277" s="62" t="n">
        <v>1</v>
      </c>
      <c r="P277" s="62" t="n">
        <v>0</v>
      </c>
      <c r="Q277" s="62" t="n">
        <v>1</v>
      </c>
      <c r="R277" s="62" t="n">
        <v>0</v>
      </c>
      <c r="S277" s="62" t="n">
        <v>0</v>
      </c>
      <c r="T277" s="62" t="n">
        <v>0</v>
      </c>
      <c r="U277" s="62"/>
      <c r="V277" s="62"/>
      <c r="W277" s="62"/>
      <c r="X277" s="62"/>
      <c r="Y277" s="62"/>
      <c r="Z277" s="62" t="s">
        <v>685</v>
      </c>
      <c r="AA277" s="62" t="s">
        <v>686</v>
      </c>
      <c r="AB277" s="62" t="n">
        <v>0</v>
      </c>
      <c r="AC277" s="62" t="n">
        <v>0</v>
      </c>
      <c r="AD277" s="62" t="n">
        <v>1</v>
      </c>
      <c r="AE277" s="62" t="n">
        <f aca="false">IF(AND(Dashboard!$C$9="Yes",AC277=1),0,1)</f>
        <v>1</v>
      </c>
      <c r="AF277" s="62" t="n">
        <v>0</v>
      </c>
    </row>
    <row r="278" customFormat="false" ht="15" hidden="false" customHeight="false" outlineLevel="0" collapsed="false">
      <c r="A278" s="62" t="n">
        <v>277</v>
      </c>
      <c r="B278" s="63" t="n">
        <v>46234.0560185185</v>
      </c>
      <c r="C278" s="64" t="n">
        <v>46233</v>
      </c>
      <c r="D278" s="62" t="s">
        <v>202</v>
      </c>
      <c r="E278" s="62" t="s">
        <v>144</v>
      </c>
      <c r="F278" s="62" t="s">
        <v>144</v>
      </c>
      <c r="G278" s="62" t="s">
        <v>145</v>
      </c>
      <c r="H278" s="62" t="s">
        <v>59</v>
      </c>
      <c r="I278" s="62" t="s">
        <v>47</v>
      </c>
      <c r="J278" s="62" t="s">
        <v>146</v>
      </c>
      <c r="K278" s="62" t="s">
        <v>147</v>
      </c>
      <c r="L278" s="62" t="s">
        <v>4</v>
      </c>
      <c r="M278" s="62" t="n">
        <v>1</v>
      </c>
      <c r="N278" s="62" t="n">
        <v>0</v>
      </c>
      <c r="O278" s="62" t="n">
        <v>1</v>
      </c>
      <c r="P278" s="62" t="n">
        <v>0</v>
      </c>
      <c r="Q278" s="62" t="n">
        <v>0</v>
      </c>
      <c r="R278" s="62" t="n">
        <v>0</v>
      </c>
      <c r="S278" s="62" t="n">
        <v>0</v>
      </c>
      <c r="T278" s="62" t="n">
        <v>0</v>
      </c>
      <c r="U278" s="62"/>
      <c r="V278" s="62"/>
      <c r="W278" s="62"/>
      <c r="X278" s="62"/>
      <c r="Y278" s="62"/>
      <c r="Z278" s="62" t="s">
        <v>685</v>
      </c>
      <c r="AA278" s="62" t="s">
        <v>687</v>
      </c>
      <c r="AB278" s="62" t="n">
        <v>1</v>
      </c>
      <c r="AC278" s="62" t="n">
        <v>0</v>
      </c>
      <c r="AD278" s="62" t="n">
        <v>1</v>
      </c>
      <c r="AE278" s="62" t="n">
        <f aca="false">IF(AND(Dashboard!$C$9="Yes",AC278=1),0,1)</f>
        <v>1</v>
      </c>
      <c r="AF278" s="62" t="n">
        <v>0</v>
      </c>
    </row>
    <row r="279" customFormat="false" ht="15" hidden="false" customHeight="false" outlineLevel="0" collapsed="false">
      <c r="A279" s="62" t="n">
        <v>278</v>
      </c>
      <c r="B279" s="63" t="n">
        <v>46234.0563078704</v>
      </c>
      <c r="C279" s="64" t="n">
        <v>46233</v>
      </c>
      <c r="D279" s="62" t="s">
        <v>202</v>
      </c>
      <c r="E279" s="62" t="s">
        <v>144</v>
      </c>
      <c r="F279" s="62" t="s">
        <v>144</v>
      </c>
      <c r="G279" s="62" t="s">
        <v>145</v>
      </c>
      <c r="H279" s="62" t="s">
        <v>59</v>
      </c>
      <c r="I279" s="62" t="s">
        <v>47</v>
      </c>
      <c r="J279" s="62" t="s">
        <v>146</v>
      </c>
      <c r="K279" s="62" t="s">
        <v>147</v>
      </c>
      <c r="L279" s="62" t="s">
        <v>4</v>
      </c>
      <c r="M279" s="62" t="n">
        <v>1</v>
      </c>
      <c r="N279" s="62" t="n">
        <v>0</v>
      </c>
      <c r="O279" s="62" t="n">
        <v>1</v>
      </c>
      <c r="P279" s="62" t="n">
        <v>0</v>
      </c>
      <c r="Q279" s="62" t="n">
        <v>0</v>
      </c>
      <c r="R279" s="62" t="n">
        <v>0</v>
      </c>
      <c r="S279" s="62" t="n">
        <v>0</v>
      </c>
      <c r="T279" s="62" t="n">
        <v>0</v>
      </c>
      <c r="U279" s="62"/>
      <c r="V279" s="62"/>
      <c r="W279" s="62"/>
      <c r="X279" s="62"/>
      <c r="Y279" s="62"/>
      <c r="Z279" s="62" t="s">
        <v>688</v>
      </c>
      <c r="AA279" s="62" t="s">
        <v>687</v>
      </c>
      <c r="AB279" s="62" t="n">
        <v>1</v>
      </c>
      <c r="AC279" s="62" t="n">
        <v>0</v>
      </c>
      <c r="AD279" s="62" t="n">
        <v>1</v>
      </c>
      <c r="AE279" s="62" t="n">
        <f aca="false">IF(AND(Dashboard!$C$9="Yes",AC279=1),0,1)</f>
        <v>1</v>
      </c>
      <c r="AF279" s="62" t="n">
        <v>0</v>
      </c>
    </row>
    <row r="280" customFormat="false" ht="15" hidden="false" customHeight="false" outlineLevel="0" collapsed="false">
      <c r="A280" s="62" t="n">
        <v>279</v>
      </c>
      <c r="B280" s="63" t="n">
        <v>46234.0699652778</v>
      </c>
      <c r="C280" s="64" t="n">
        <v>46233</v>
      </c>
      <c r="D280" s="62" t="s">
        <v>202</v>
      </c>
      <c r="E280" s="62" t="s">
        <v>190</v>
      </c>
      <c r="F280" s="62" t="s">
        <v>191</v>
      </c>
      <c r="G280" s="62" t="s">
        <v>153</v>
      </c>
      <c r="H280" s="62" t="s">
        <v>153</v>
      </c>
      <c r="I280" s="62" t="s">
        <v>153</v>
      </c>
      <c r="J280" s="62" t="s">
        <v>64</v>
      </c>
      <c r="K280" s="62" t="s">
        <v>64</v>
      </c>
      <c r="L280" s="62" t="s">
        <v>148</v>
      </c>
      <c r="M280" s="62" t="n">
        <v>0</v>
      </c>
      <c r="N280" s="62" t="n">
        <v>1</v>
      </c>
      <c r="O280" s="62" t="n">
        <v>1</v>
      </c>
      <c r="P280" s="62" t="n">
        <v>0</v>
      </c>
      <c r="Q280" s="62" t="n">
        <v>1</v>
      </c>
      <c r="R280" s="62" t="n">
        <v>0</v>
      </c>
      <c r="S280" s="62" t="n">
        <v>0</v>
      </c>
      <c r="T280" s="62" t="n">
        <v>0</v>
      </c>
      <c r="U280" s="62"/>
      <c r="V280" s="62"/>
      <c r="W280" s="62"/>
      <c r="X280" s="62"/>
      <c r="Y280" s="62"/>
      <c r="Z280" s="62" t="s">
        <v>689</v>
      </c>
      <c r="AA280" s="62" t="s">
        <v>690</v>
      </c>
      <c r="AB280" s="62" t="n">
        <v>1</v>
      </c>
      <c r="AC280" s="62" t="n">
        <v>0</v>
      </c>
      <c r="AD280" s="62" t="n">
        <v>0</v>
      </c>
      <c r="AE280" s="62" t="n">
        <f aca="false">IF(AND(Dashboard!$C$9="Yes",AC280=1),0,1)</f>
        <v>1</v>
      </c>
      <c r="AF280" s="62" t="n">
        <v>0</v>
      </c>
    </row>
    <row r="281" customFormat="false" ht="15" hidden="false" customHeight="false" outlineLevel="0" collapsed="false">
      <c r="A281" s="62" t="n">
        <v>280</v>
      </c>
      <c r="B281" s="63" t="n">
        <v>46234.0731481482</v>
      </c>
      <c r="C281" s="64" t="n">
        <v>46233</v>
      </c>
      <c r="D281" s="62" t="s">
        <v>202</v>
      </c>
      <c r="E281" s="62" t="s">
        <v>439</v>
      </c>
      <c r="F281" s="62" t="s">
        <v>439</v>
      </c>
      <c r="G281" s="62" t="s">
        <v>440</v>
      </c>
      <c r="H281" s="62" t="s">
        <v>51</v>
      </c>
      <c r="I281" s="62" t="s">
        <v>47</v>
      </c>
      <c r="J281" s="62" t="s">
        <v>146</v>
      </c>
      <c r="K281" s="62" t="s">
        <v>175</v>
      </c>
      <c r="L281" s="62" t="s">
        <v>148</v>
      </c>
      <c r="M281" s="62" t="n">
        <v>0</v>
      </c>
      <c r="N281" s="62" t="n">
        <v>1</v>
      </c>
      <c r="O281" s="62" t="n">
        <v>1</v>
      </c>
      <c r="P281" s="62" t="n">
        <v>1</v>
      </c>
      <c r="Q281" s="62" t="n">
        <v>0</v>
      </c>
      <c r="R281" s="62" t="n">
        <v>0</v>
      </c>
      <c r="S281" s="62" t="n">
        <v>0</v>
      </c>
      <c r="T281" s="62" t="n">
        <v>0</v>
      </c>
      <c r="U281" s="62"/>
      <c r="V281" s="62"/>
      <c r="W281" s="62"/>
      <c r="X281" s="62"/>
      <c r="Y281" s="62"/>
      <c r="Z281" s="62" t="s">
        <v>691</v>
      </c>
      <c r="AA281" s="62" t="s">
        <v>692</v>
      </c>
      <c r="AB281" s="62" t="n">
        <v>1</v>
      </c>
      <c r="AC281" s="62" t="n">
        <v>0</v>
      </c>
      <c r="AD281" s="62" t="n">
        <v>1</v>
      </c>
      <c r="AE281" s="62" t="n">
        <f aca="false">IF(AND(Dashboard!$C$9="Yes",AC281=1),0,1)</f>
        <v>1</v>
      </c>
      <c r="AF281" s="62" t="n">
        <v>1</v>
      </c>
    </row>
    <row r="282" customFormat="false" ht="15" hidden="false" customHeight="false" outlineLevel="0" collapsed="false">
      <c r="A282" s="62" t="n">
        <v>281</v>
      </c>
      <c r="B282" s="63" t="n">
        <v>46234.0806481482</v>
      </c>
      <c r="C282" s="64" t="n">
        <v>46233</v>
      </c>
      <c r="D282" s="62" t="s">
        <v>202</v>
      </c>
      <c r="E282" s="62" t="s">
        <v>239</v>
      </c>
      <c r="F282" s="62" t="s">
        <v>240</v>
      </c>
      <c r="G282" s="62" t="s">
        <v>153</v>
      </c>
      <c r="H282" s="62" t="s">
        <v>153</v>
      </c>
      <c r="I282" s="62" t="s">
        <v>153</v>
      </c>
      <c r="J282" s="62" t="s">
        <v>64</v>
      </c>
      <c r="K282" s="62" t="s">
        <v>64</v>
      </c>
      <c r="L282" s="62" t="s">
        <v>148</v>
      </c>
      <c r="M282" s="62" t="n">
        <v>0</v>
      </c>
      <c r="N282" s="62" t="n">
        <v>1</v>
      </c>
      <c r="O282" s="62" t="n">
        <v>1</v>
      </c>
      <c r="P282" s="62" t="n">
        <v>1</v>
      </c>
      <c r="Q282" s="62" t="n">
        <v>0</v>
      </c>
      <c r="R282" s="62" t="n">
        <v>0</v>
      </c>
      <c r="S282" s="62" t="n">
        <v>0</v>
      </c>
      <c r="T282" s="62" t="n">
        <v>0</v>
      </c>
      <c r="U282" s="62"/>
      <c r="V282" s="62"/>
      <c r="W282" s="62"/>
      <c r="X282" s="62"/>
      <c r="Y282" s="62"/>
      <c r="Z282" s="62" t="s">
        <v>693</v>
      </c>
      <c r="AA282" s="62" t="s">
        <v>694</v>
      </c>
      <c r="AB282" s="62" t="n">
        <v>1</v>
      </c>
      <c r="AC282" s="62" t="n">
        <v>0</v>
      </c>
      <c r="AD282" s="62" t="n">
        <v>0</v>
      </c>
      <c r="AE282" s="62" t="n">
        <f aca="false">IF(AND(Dashboard!$C$9="Yes",AC282=1),0,1)</f>
        <v>1</v>
      </c>
      <c r="AF282" s="62" t="n">
        <v>0</v>
      </c>
    </row>
    <row r="283" customFormat="false" ht="15" hidden="false" customHeight="false" outlineLevel="0" collapsed="false">
      <c r="A283" s="62" t="n">
        <v>282</v>
      </c>
      <c r="B283" s="63" t="n">
        <v>46234.0897453704</v>
      </c>
      <c r="C283" s="64" t="n">
        <v>46233</v>
      </c>
      <c r="D283" s="62" t="s">
        <v>202</v>
      </c>
      <c r="E283" s="62" t="s">
        <v>273</v>
      </c>
      <c r="F283" s="62" t="s">
        <v>273</v>
      </c>
      <c r="G283" s="62" t="s">
        <v>274</v>
      </c>
      <c r="H283" s="62" t="s">
        <v>59</v>
      </c>
      <c r="I283" s="62" t="s">
        <v>47</v>
      </c>
      <c r="J283" s="62" t="s">
        <v>146</v>
      </c>
      <c r="K283" s="62" t="s">
        <v>147</v>
      </c>
      <c r="L283" s="62" t="s">
        <v>148</v>
      </c>
      <c r="M283" s="62" t="n">
        <v>0</v>
      </c>
      <c r="N283" s="62" t="n">
        <v>1</v>
      </c>
      <c r="O283" s="62" t="n">
        <v>1</v>
      </c>
      <c r="P283" s="62" t="n">
        <v>0</v>
      </c>
      <c r="Q283" s="62" t="n">
        <v>1</v>
      </c>
      <c r="R283" s="62" t="n">
        <v>0</v>
      </c>
      <c r="S283" s="62" t="n">
        <v>0</v>
      </c>
      <c r="T283" s="62" t="n">
        <v>0</v>
      </c>
      <c r="U283" s="62"/>
      <c r="V283" s="62"/>
      <c r="W283" s="62"/>
      <c r="X283" s="62"/>
      <c r="Y283" s="62"/>
      <c r="Z283" s="62" t="s">
        <v>695</v>
      </c>
      <c r="AA283" s="62" t="s">
        <v>696</v>
      </c>
      <c r="AB283" s="62" t="n">
        <v>1</v>
      </c>
      <c r="AC283" s="62" t="n">
        <v>0</v>
      </c>
      <c r="AD283" s="62" t="n">
        <v>1</v>
      </c>
      <c r="AE283" s="62" t="n">
        <f aca="false">IF(AND(Dashboard!$C$9="Yes",AC283=1),0,1)</f>
        <v>1</v>
      </c>
      <c r="AF283" s="62" t="n">
        <v>0</v>
      </c>
    </row>
    <row r="284" customFormat="false" ht="15" hidden="false" customHeight="false" outlineLevel="0" collapsed="false">
      <c r="A284" s="62" t="n">
        <v>283</v>
      </c>
      <c r="B284" s="63" t="n">
        <v>46234.1235532407</v>
      </c>
      <c r="C284" s="64" t="n">
        <v>46233</v>
      </c>
      <c r="D284" s="62" t="s">
        <v>202</v>
      </c>
      <c r="E284" s="62" t="s">
        <v>190</v>
      </c>
      <c r="F284" s="62" t="s">
        <v>191</v>
      </c>
      <c r="G284" s="62" t="s">
        <v>153</v>
      </c>
      <c r="H284" s="62" t="s">
        <v>153</v>
      </c>
      <c r="I284" s="62" t="s">
        <v>153</v>
      </c>
      <c r="J284" s="62" t="s">
        <v>64</v>
      </c>
      <c r="K284" s="62" t="s">
        <v>64</v>
      </c>
      <c r="L284" s="62" t="s">
        <v>148</v>
      </c>
      <c r="M284" s="62" t="n">
        <v>0</v>
      </c>
      <c r="N284" s="62" t="n">
        <v>1</v>
      </c>
      <c r="O284" s="62" t="n">
        <v>1</v>
      </c>
      <c r="P284" s="62" t="n">
        <v>1</v>
      </c>
      <c r="Q284" s="62" t="n">
        <v>0</v>
      </c>
      <c r="R284" s="62" t="n">
        <v>0</v>
      </c>
      <c r="S284" s="62" t="n">
        <v>0</v>
      </c>
      <c r="T284" s="62" t="n">
        <v>0</v>
      </c>
      <c r="U284" s="62"/>
      <c r="V284" s="62"/>
      <c r="W284" s="62"/>
      <c r="X284" s="62"/>
      <c r="Y284" s="62"/>
      <c r="Z284" s="62" t="s">
        <v>697</v>
      </c>
      <c r="AA284" s="62" t="s">
        <v>698</v>
      </c>
      <c r="AB284" s="62" t="n">
        <v>1</v>
      </c>
      <c r="AC284" s="62" t="n">
        <v>0</v>
      </c>
      <c r="AD284" s="62" t="n">
        <v>0</v>
      </c>
      <c r="AE284" s="62" t="n">
        <f aca="false">IF(AND(Dashboard!$C$9="Yes",AC284=1),0,1)</f>
        <v>1</v>
      </c>
      <c r="AF284" s="62" t="n">
        <v>0</v>
      </c>
    </row>
    <row r="285" customFormat="false" ht="15" hidden="false" customHeight="false" outlineLevel="0" collapsed="false">
      <c r="A285" s="62" t="n">
        <v>284</v>
      </c>
      <c r="B285" s="63" t="n">
        <v>46234.1445138889</v>
      </c>
      <c r="C285" s="64" t="n">
        <v>46233</v>
      </c>
      <c r="D285" s="62" t="s">
        <v>202</v>
      </c>
      <c r="E285" s="62" t="s">
        <v>144</v>
      </c>
      <c r="F285" s="62" t="s">
        <v>144</v>
      </c>
      <c r="G285" s="62" t="s">
        <v>145</v>
      </c>
      <c r="H285" s="62" t="s">
        <v>59</v>
      </c>
      <c r="I285" s="62" t="s">
        <v>47</v>
      </c>
      <c r="J285" s="62" t="s">
        <v>146</v>
      </c>
      <c r="K285" s="62" t="s">
        <v>147</v>
      </c>
      <c r="L285" s="62" t="s">
        <v>4</v>
      </c>
      <c r="M285" s="62" t="n">
        <v>1</v>
      </c>
      <c r="N285" s="62" t="n">
        <v>0</v>
      </c>
      <c r="O285" s="62" t="n">
        <v>1</v>
      </c>
      <c r="P285" s="62" t="n">
        <v>0</v>
      </c>
      <c r="Q285" s="62" t="n">
        <v>0</v>
      </c>
      <c r="R285" s="62" t="n">
        <v>0</v>
      </c>
      <c r="S285" s="62" t="n">
        <v>0</v>
      </c>
      <c r="T285" s="62" t="n">
        <v>0</v>
      </c>
      <c r="U285" s="62"/>
      <c r="V285" s="62"/>
      <c r="W285" s="62"/>
      <c r="X285" s="62"/>
      <c r="Y285" s="62"/>
      <c r="Z285" s="62" t="s">
        <v>699</v>
      </c>
      <c r="AA285" s="62" t="s">
        <v>700</v>
      </c>
      <c r="AB285" s="62" t="n">
        <v>1</v>
      </c>
      <c r="AC285" s="62" t="n">
        <v>0</v>
      </c>
      <c r="AD285" s="62" t="n">
        <v>1</v>
      </c>
      <c r="AE285" s="62" t="n">
        <f aca="false">IF(AND(Dashboard!$C$9="Yes",AC285=1),0,1)</f>
        <v>1</v>
      </c>
      <c r="AF285" s="62" t="n">
        <v>0</v>
      </c>
    </row>
    <row r="286" customFormat="false" ht="15" hidden="false" customHeight="false" outlineLevel="0" collapsed="false">
      <c r="A286" s="62" t="n">
        <v>285</v>
      </c>
      <c r="B286" s="63" t="n">
        <v>46234.1448263889</v>
      </c>
      <c r="C286" s="64" t="n">
        <v>46233</v>
      </c>
      <c r="D286" s="62" t="s">
        <v>202</v>
      </c>
      <c r="E286" s="62" t="s">
        <v>144</v>
      </c>
      <c r="F286" s="62" t="s">
        <v>144</v>
      </c>
      <c r="G286" s="62" t="s">
        <v>145</v>
      </c>
      <c r="H286" s="62" t="s">
        <v>59</v>
      </c>
      <c r="I286" s="62" t="s">
        <v>47</v>
      </c>
      <c r="J286" s="62" t="s">
        <v>146</v>
      </c>
      <c r="K286" s="62" t="s">
        <v>147</v>
      </c>
      <c r="L286" s="62" t="s">
        <v>4</v>
      </c>
      <c r="M286" s="62" t="n">
        <v>1</v>
      </c>
      <c r="N286" s="62" t="n">
        <v>0</v>
      </c>
      <c r="O286" s="62" t="n">
        <v>1</v>
      </c>
      <c r="P286" s="62" t="n">
        <v>0</v>
      </c>
      <c r="Q286" s="62" t="n">
        <v>0</v>
      </c>
      <c r="R286" s="62" t="n">
        <v>0</v>
      </c>
      <c r="S286" s="62" t="n">
        <v>0</v>
      </c>
      <c r="T286" s="62" t="n">
        <v>0</v>
      </c>
      <c r="U286" s="62"/>
      <c r="V286" s="62"/>
      <c r="W286" s="62"/>
      <c r="X286" s="62"/>
      <c r="Y286" s="62"/>
      <c r="Z286" s="62" t="s">
        <v>699</v>
      </c>
      <c r="AA286" s="62" t="s">
        <v>700</v>
      </c>
      <c r="AB286" s="62" t="n">
        <v>1</v>
      </c>
      <c r="AC286" s="62" t="n">
        <v>1</v>
      </c>
      <c r="AD286" s="62" t="n">
        <v>1</v>
      </c>
      <c r="AE286" s="62" t="n">
        <f aca="false">IF(AND(Dashboard!$C$9="Yes",AC286=1),0,1)</f>
        <v>0</v>
      </c>
      <c r="AF286" s="62" t="n">
        <v>0</v>
      </c>
    </row>
    <row r="287" customFormat="false" ht="15" hidden="false" customHeight="false" outlineLevel="0" collapsed="false">
      <c r="A287" s="62" t="n">
        <v>286</v>
      </c>
      <c r="B287" s="63" t="n">
        <v>46234.1822106482</v>
      </c>
      <c r="C287" s="64" t="n">
        <v>46233</v>
      </c>
      <c r="D287" s="62" t="s">
        <v>202</v>
      </c>
      <c r="E287" s="62" t="s">
        <v>190</v>
      </c>
      <c r="F287" s="62" t="s">
        <v>191</v>
      </c>
      <c r="G287" s="62" t="s">
        <v>153</v>
      </c>
      <c r="H287" s="62" t="s">
        <v>153</v>
      </c>
      <c r="I287" s="62" t="s">
        <v>153</v>
      </c>
      <c r="J287" s="62" t="s">
        <v>64</v>
      </c>
      <c r="K287" s="62" t="s">
        <v>64</v>
      </c>
      <c r="L287" s="62" t="s">
        <v>148</v>
      </c>
      <c r="M287" s="62" t="n">
        <v>0</v>
      </c>
      <c r="N287" s="62" t="n">
        <v>1</v>
      </c>
      <c r="O287" s="62" t="n">
        <v>1</v>
      </c>
      <c r="P287" s="62" t="n">
        <v>0</v>
      </c>
      <c r="Q287" s="62" t="n">
        <v>1</v>
      </c>
      <c r="R287" s="62" t="n">
        <v>0</v>
      </c>
      <c r="S287" s="62" t="n">
        <v>0</v>
      </c>
      <c r="T287" s="62" t="n">
        <v>0</v>
      </c>
      <c r="U287" s="62"/>
      <c r="V287" s="62"/>
      <c r="W287" s="62"/>
      <c r="X287" s="62"/>
      <c r="Y287" s="62"/>
      <c r="Z287" s="62" t="s">
        <v>701</v>
      </c>
      <c r="AA287" s="62" t="s">
        <v>702</v>
      </c>
      <c r="AB287" s="62" t="n">
        <v>1</v>
      </c>
      <c r="AC287" s="62" t="n">
        <v>0</v>
      </c>
      <c r="AD287" s="62" t="n">
        <v>0</v>
      </c>
      <c r="AE287" s="62" t="n">
        <f aca="false">IF(AND(Dashboard!$C$9="Yes",AC287=1),0,1)</f>
        <v>1</v>
      </c>
      <c r="AF287" s="62" t="n">
        <v>0</v>
      </c>
    </row>
    <row r="288" customFormat="false" ht="15" hidden="false" customHeight="false" outlineLevel="0" collapsed="false">
      <c r="A288" s="62" t="n">
        <v>287</v>
      </c>
      <c r="B288" s="63" t="n">
        <v>46234.1849305556</v>
      </c>
      <c r="C288" s="64" t="n">
        <v>46233</v>
      </c>
      <c r="D288" s="62" t="s">
        <v>202</v>
      </c>
      <c r="E288" s="62" t="s">
        <v>239</v>
      </c>
      <c r="F288" s="62" t="s">
        <v>240</v>
      </c>
      <c r="G288" s="62" t="s">
        <v>153</v>
      </c>
      <c r="H288" s="62" t="s">
        <v>153</v>
      </c>
      <c r="I288" s="62" t="s">
        <v>153</v>
      </c>
      <c r="J288" s="62" t="s">
        <v>64</v>
      </c>
      <c r="K288" s="62" t="s">
        <v>64</v>
      </c>
      <c r="L288" s="62" t="s">
        <v>148</v>
      </c>
      <c r="M288" s="62" t="n">
        <v>0</v>
      </c>
      <c r="N288" s="62" t="n">
        <v>1</v>
      </c>
      <c r="O288" s="62" t="n">
        <v>1</v>
      </c>
      <c r="P288" s="62" t="n">
        <v>0</v>
      </c>
      <c r="Q288" s="62" t="n">
        <v>0</v>
      </c>
      <c r="R288" s="62" t="n">
        <v>1</v>
      </c>
      <c r="S288" s="62" t="n">
        <v>0</v>
      </c>
      <c r="T288" s="62" t="n">
        <v>0</v>
      </c>
      <c r="U288" s="62"/>
      <c r="V288" s="62"/>
      <c r="W288" s="62"/>
      <c r="X288" s="62"/>
      <c r="Y288" s="62"/>
      <c r="Z288" s="62" t="s">
        <v>703</v>
      </c>
      <c r="AA288" s="62" t="s">
        <v>704</v>
      </c>
      <c r="AB288" s="62" t="n">
        <v>1</v>
      </c>
      <c r="AC288" s="62" t="n">
        <v>0</v>
      </c>
      <c r="AD288" s="62" t="n">
        <v>0</v>
      </c>
      <c r="AE288" s="62" t="n">
        <f aca="false">IF(AND(Dashboard!$C$9="Yes",AC288=1),0,1)</f>
        <v>1</v>
      </c>
      <c r="AF288" s="62" t="n">
        <v>0</v>
      </c>
    </row>
    <row r="289" customFormat="false" ht="15" hidden="false" customHeight="false" outlineLevel="0" collapsed="false">
      <c r="A289" s="62" t="n">
        <v>288</v>
      </c>
      <c r="B289" s="63" t="n">
        <v>46234.1855671296</v>
      </c>
      <c r="C289" s="64" t="n">
        <v>46233</v>
      </c>
      <c r="D289" s="62" t="s">
        <v>202</v>
      </c>
      <c r="E289" s="62" t="s">
        <v>239</v>
      </c>
      <c r="F289" s="62" t="s">
        <v>240</v>
      </c>
      <c r="G289" s="62" t="s">
        <v>153</v>
      </c>
      <c r="H289" s="62" t="s">
        <v>153</v>
      </c>
      <c r="I289" s="62" t="s">
        <v>153</v>
      </c>
      <c r="J289" s="62" t="s">
        <v>64</v>
      </c>
      <c r="K289" s="62" t="s">
        <v>64</v>
      </c>
      <c r="L289" s="62" t="s">
        <v>148</v>
      </c>
      <c r="M289" s="62" t="n">
        <v>0</v>
      </c>
      <c r="N289" s="62" t="n">
        <v>1</v>
      </c>
      <c r="O289" s="62" t="n">
        <v>1</v>
      </c>
      <c r="P289" s="62" t="n">
        <v>0</v>
      </c>
      <c r="Q289" s="62" t="n">
        <v>0</v>
      </c>
      <c r="R289" s="62" t="n">
        <v>1</v>
      </c>
      <c r="S289" s="62" t="n">
        <v>0</v>
      </c>
      <c r="T289" s="62" t="n">
        <v>0</v>
      </c>
      <c r="U289" s="62"/>
      <c r="V289" s="62"/>
      <c r="W289" s="62"/>
      <c r="X289" s="62"/>
      <c r="Y289" s="62"/>
      <c r="Z289" s="62" t="s">
        <v>703</v>
      </c>
      <c r="AA289" s="62" t="s">
        <v>704</v>
      </c>
      <c r="AB289" s="62" t="n">
        <v>1</v>
      </c>
      <c r="AC289" s="62" t="n">
        <v>1</v>
      </c>
      <c r="AD289" s="62" t="n">
        <v>0</v>
      </c>
      <c r="AE289" s="62" t="n">
        <f aca="false">IF(AND(Dashboard!$C$9="Yes",AC289=1),0,1)</f>
        <v>0</v>
      </c>
      <c r="AF289" s="62" t="n">
        <v>0</v>
      </c>
    </row>
    <row r="290" customFormat="false" ht="15" hidden="false" customHeight="false" outlineLevel="0" collapsed="false">
      <c r="A290" s="62" t="n">
        <v>289</v>
      </c>
      <c r="B290" s="63" t="n">
        <v>46234.1993518519</v>
      </c>
      <c r="C290" s="64" t="n">
        <v>46233</v>
      </c>
      <c r="D290" s="62" t="s">
        <v>202</v>
      </c>
      <c r="E290" s="62" t="s">
        <v>190</v>
      </c>
      <c r="F290" s="62" t="s">
        <v>191</v>
      </c>
      <c r="G290" s="62" t="s">
        <v>153</v>
      </c>
      <c r="H290" s="62" t="s">
        <v>153</v>
      </c>
      <c r="I290" s="62" t="s">
        <v>153</v>
      </c>
      <c r="J290" s="62" t="s">
        <v>64</v>
      </c>
      <c r="K290" s="62" t="s">
        <v>64</v>
      </c>
      <c r="L290" s="62" t="s">
        <v>4</v>
      </c>
      <c r="M290" s="62" t="n">
        <v>1</v>
      </c>
      <c r="N290" s="62" t="n">
        <v>0</v>
      </c>
      <c r="O290" s="62" t="n">
        <v>1</v>
      </c>
      <c r="P290" s="62" t="n">
        <v>0</v>
      </c>
      <c r="Q290" s="62" t="n">
        <v>0</v>
      </c>
      <c r="R290" s="62" t="n">
        <v>0</v>
      </c>
      <c r="S290" s="62" t="n">
        <v>0</v>
      </c>
      <c r="T290" s="62" t="n">
        <v>0</v>
      </c>
      <c r="U290" s="62"/>
      <c r="V290" s="62"/>
      <c r="W290" s="62"/>
      <c r="X290" s="62"/>
      <c r="Y290" s="62"/>
      <c r="Z290" s="62" t="s">
        <v>701</v>
      </c>
      <c r="AA290" s="62" t="s">
        <v>705</v>
      </c>
      <c r="AB290" s="62" t="n">
        <v>1</v>
      </c>
      <c r="AC290" s="62" t="n">
        <v>0</v>
      </c>
      <c r="AD290" s="62" t="n">
        <v>0</v>
      </c>
      <c r="AE290" s="62" t="n">
        <f aca="false">IF(AND(Dashboard!$C$9="Yes",AC290=1),0,1)</f>
        <v>1</v>
      </c>
      <c r="AF290" s="62" t="n">
        <v>0</v>
      </c>
    </row>
    <row r="291" customFormat="false" ht="15" hidden="false" customHeight="false" outlineLevel="0" collapsed="false">
      <c r="A291" s="62" t="n">
        <v>290</v>
      </c>
      <c r="B291" s="63" t="n">
        <v>46234.2146643519</v>
      </c>
      <c r="C291" s="64" t="n">
        <v>46233</v>
      </c>
      <c r="D291" s="62" t="s">
        <v>202</v>
      </c>
      <c r="E291" s="62" t="s">
        <v>239</v>
      </c>
      <c r="F291" s="62" t="s">
        <v>240</v>
      </c>
      <c r="G291" s="62" t="s">
        <v>153</v>
      </c>
      <c r="H291" s="62" t="s">
        <v>153</v>
      </c>
      <c r="I291" s="62" t="s">
        <v>153</v>
      </c>
      <c r="J291" s="62" t="s">
        <v>64</v>
      </c>
      <c r="K291" s="62" t="s">
        <v>64</v>
      </c>
      <c r="L291" s="62" t="s">
        <v>4</v>
      </c>
      <c r="M291" s="62" t="n">
        <v>2</v>
      </c>
      <c r="N291" s="62" t="n">
        <v>0</v>
      </c>
      <c r="O291" s="62" t="n">
        <v>2</v>
      </c>
      <c r="P291" s="62" t="n">
        <v>0</v>
      </c>
      <c r="Q291" s="62" t="n">
        <v>0</v>
      </c>
      <c r="R291" s="62" t="n">
        <v>0</v>
      </c>
      <c r="S291" s="62" t="n">
        <v>0</v>
      </c>
      <c r="T291" s="62" t="n">
        <v>0</v>
      </c>
      <c r="U291" s="62"/>
      <c r="V291" s="62"/>
      <c r="W291" s="62"/>
      <c r="X291" s="62"/>
      <c r="Y291" s="62"/>
      <c r="Z291" s="62" t="s">
        <v>703</v>
      </c>
      <c r="AA291" s="62" t="s">
        <v>706</v>
      </c>
      <c r="AB291" s="62" t="n">
        <v>0</v>
      </c>
      <c r="AC291" s="62" t="n">
        <v>0</v>
      </c>
      <c r="AD291" s="62" t="n">
        <v>0</v>
      </c>
      <c r="AE291" s="62" t="n">
        <f aca="false">IF(AND(Dashboard!$C$9="Yes",AC291=1),0,1)</f>
        <v>1</v>
      </c>
      <c r="AF291" s="62" t="n">
        <v>0</v>
      </c>
    </row>
    <row r="292" customFormat="false" ht="15" hidden="false" customHeight="false" outlineLevel="0" collapsed="false">
      <c r="A292" s="62" t="n">
        <v>291</v>
      </c>
      <c r="B292" s="63" t="n">
        <v>46234.6379398148</v>
      </c>
      <c r="C292" s="64" t="n">
        <v>46234</v>
      </c>
      <c r="D292" s="62" t="s">
        <v>288</v>
      </c>
      <c r="E292" s="62" t="s">
        <v>586</v>
      </c>
      <c r="F292" s="62" t="s">
        <v>586</v>
      </c>
      <c r="G292" s="62" t="s">
        <v>587</v>
      </c>
      <c r="H292" s="62" t="s">
        <v>57</v>
      </c>
      <c r="I292" s="62" t="s">
        <v>47</v>
      </c>
      <c r="J292" s="62" t="s">
        <v>146</v>
      </c>
      <c r="K292" s="62" t="s">
        <v>175</v>
      </c>
      <c r="L292" s="62" t="s">
        <v>148</v>
      </c>
      <c r="M292" s="62" t="n">
        <v>0</v>
      </c>
      <c r="N292" s="62" t="n">
        <v>2</v>
      </c>
      <c r="O292" s="62" t="n">
        <v>2</v>
      </c>
      <c r="P292" s="62" t="n">
        <v>1</v>
      </c>
      <c r="Q292" s="62" t="n">
        <v>1</v>
      </c>
      <c r="R292" s="62" t="n">
        <v>0</v>
      </c>
      <c r="S292" s="62" t="n">
        <v>0</v>
      </c>
      <c r="T292" s="62" t="n">
        <v>0</v>
      </c>
      <c r="U292" s="62"/>
      <c r="V292" s="62"/>
      <c r="W292" s="62"/>
      <c r="X292" s="62"/>
      <c r="Y292" s="62"/>
      <c r="Z292" s="62" t="s">
        <v>707</v>
      </c>
      <c r="AA292" s="62" t="s">
        <v>708</v>
      </c>
      <c r="AB292" s="62" t="n">
        <v>1</v>
      </c>
      <c r="AC292" s="62" t="n">
        <v>0</v>
      </c>
      <c r="AD292" s="62" t="n">
        <v>1</v>
      </c>
      <c r="AE292" s="62" t="n">
        <f aca="false">IF(AND(Dashboard!$C$9="Yes",AC292=1),0,1)</f>
        <v>1</v>
      </c>
      <c r="AF292" s="62" t="n">
        <v>1</v>
      </c>
    </row>
    <row r="293" customFormat="false" ht="15" hidden="false" customHeight="false" outlineLevel="0" collapsed="false">
      <c r="A293" s="62" t="n">
        <v>292</v>
      </c>
      <c r="B293" s="63" t="n">
        <v>46234.6620949074</v>
      </c>
      <c r="C293" s="64" t="n">
        <v>46234</v>
      </c>
      <c r="D293" s="62" t="s">
        <v>288</v>
      </c>
      <c r="E293" s="62" t="s">
        <v>573</v>
      </c>
      <c r="F293" s="62" t="s">
        <v>573</v>
      </c>
      <c r="G293" s="62" t="s">
        <v>574</v>
      </c>
      <c r="H293" s="62" t="s">
        <v>51</v>
      </c>
      <c r="I293" s="62" t="s">
        <v>47</v>
      </c>
      <c r="J293" s="62" t="s">
        <v>146</v>
      </c>
      <c r="K293" s="62" t="s">
        <v>147</v>
      </c>
      <c r="L293" s="62" t="s">
        <v>148</v>
      </c>
      <c r="M293" s="62" t="n">
        <v>0</v>
      </c>
      <c r="N293" s="62" t="n">
        <v>1</v>
      </c>
      <c r="O293" s="62" t="n">
        <v>1</v>
      </c>
      <c r="P293" s="62" t="n">
        <v>1</v>
      </c>
      <c r="Q293" s="62" t="n">
        <v>0</v>
      </c>
      <c r="R293" s="62" t="n">
        <v>0</v>
      </c>
      <c r="S293" s="62" t="n">
        <v>0</v>
      </c>
      <c r="T293" s="62" t="n">
        <v>0</v>
      </c>
      <c r="U293" s="62"/>
      <c r="V293" s="62"/>
      <c r="W293" s="62"/>
      <c r="X293" s="62"/>
      <c r="Y293" s="62"/>
      <c r="Z293" s="62" t="s">
        <v>709</v>
      </c>
      <c r="AA293" s="62" t="s">
        <v>710</v>
      </c>
      <c r="AB293" s="62" t="n">
        <v>1</v>
      </c>
      <c r="AC293" s="62" t="n">
        <v>0</v>
      </c>
      <c r="AD293" s="62" t="n">
        <v>1</v>
      </c>
      <c r="AE293" s="62" t="n">
        <f aca="false">IF(AND(Dashboard!$C$9="Yes",AC293=1),0,1)</f>
        <v>1</v>
      </c>
      <c r="AF293" s="62" t="n">
        <v>1</v>
      </c>
    </row>
    <row r="294" customFormat="false" ht="15" hidden="false" customHeight="false" outlineLevel="0" collapsed="false">
      <c r="A294" s="62" t="n">
        <v>293</v>
      </c>
      <c r="B294" s="63" t="n">
        <v>46234.6681365741</v>
      </c>
      <c r="C294" s="64" t="n">
        <v>46234</v>
      </c>
      <c r="D294" s="62" t="s">
        <v>288</v>
      </c>
      <c r="E294" s="62" t="s">
        <v>518</v>
      </c>
      <c r="F294" s="62" t="s">
        <v>518</v>
      </c>
      <c r="G294" s="62" t="s">
        <v>519</v>
      </c>
      <c r="H294" s="62" t="s">
        <v>52</v>
      </c>
      <c r="I294" s="62" t="s">
        <v>47</v>
      </c>
      <c r="J294" s="62" t="s">
        <v>146</v>
      </c>
      <c r="K294" s="62" t="s">
        <v>147</v>
      </c>
      <c r="L294" s="62" t="s">
        <v>148</v>
      </c>
      <c r="M294" s="62" t="n">
        <v>0</v>
      </c>
      <c r="N294" s="62" t="n">
        <v>2</v>
      </c>
      <c r="O294" s="62" t="n">
        <v>2</v>
      </c>
      <c r="P294" s="62" t="n">
        <v>1</v>
      </c>
      <c r="Q294" s="62" t="n">
        <v>1</v>
      </c>
      <c r="R294" s="62" t="n">
        <v>0</v>
      </c>
      <c r="S294" s="62" t="n">
        <v>0</v>
      </c>
      <c r="T294" s="62" t="n">
        <v>0</v>
      </c>
      <c r="U294" s="62"/>
      <c r="V294" s="62"/>
      <c r="W294" s="62"/>
      <c r="X294" s="62"/>
      <c r="Y294" s="62"/>
      <c r="Z294" s="62" t="s">
        <v>711</v>
      </c>
      <c r="AA294" s="62" t="s">
        <v>712</v>
      </c>
      <c r="AB294" s="62" t="n">
        <v>1</v>
      </c>
      <c r="AC294" s="62" t="n">
        <v>0</v>
      </c>
      <c r="AD294" s="62" t="n">
        <v>1</v>
      </c>
      <c r="AE294" s="62" t="n">
        <f aca="false">IF(AND(Dashboard!$C$9="Yes",AC294=1),0,1)</f>
        <v>1</v>
      </c>
      <c r="AF294" s="62" t="n">
        <v>1</v>
      </c>
    </row>
    <row r="295" customFormat="false" ht="15" hidden="false" customHeight="false" outlineLevel="0" collapsed="false">
      <c r="A295" s="62" t="n">
        <v>294</v>
      </c>
      <c r="B295" s="63" t="n">
        <v>46234.704375</v>
      </c>
      <c r="C295" s="64" t="n">
        <v>46234</v>
      </c>
      <c r="D295" s="62" t="s">
        <v>288</v>
      </c>
      <c r="E295" s="62" t="s">
        <v>713</v>
      </c>
      <c r="F295" s="62" t="s">
        <v>714</v>
      </c>
      <c r="G295" s="62" t="s">
        <v>153</v>
      </c>
      <c r="H295" s="62" t="s">
        <v>153</v>
      </c>
      <c r="I295" s="62" t="s">
        <v>153</v>
      </c>
      <c r="J295" s="62" t="s">
        <v>64</v>
      </c>
      <c r="K295" s="62" t="s">
        <v>64</v>
      </c>
      <c r="L295" s="62" t="s">
        <v>148</v>
      </c>
      <c r="M295" s="62" t="n">
        <v>0</v>
      </c>
      <c r="N295" s="62" t="n">
        <v>2</v>
      </c>
      <c r="O295" s="62" t="n">
        <v>2</v>
      </c>
      <c r="P295" s="62" t="n">
        <v>0</v>
      </c>
      <c r="Q295" s="62" t="n">
        <v>0</v>
      </c>
      <c r="R295" s="62" t="n">
        <v>0</v>
      </c>
      <c r="S295" s="62" t="n">
        <v>1</v>
      </c>
      <c r="T295" s="62" t="n">
        <v>1</v>
      </c>
      <c r="U295" s="62"/>
      <c r="V295" s="62"/>
      <c r="W295" s="62"/>
      <c r="X295" s="62"/>
      <c r="Y295" s="62"/>
      <c r="Z295" s="62" t="s">
        <v>715</v>
      </c>
      <c r="AA295" s="62" t="s">
        <v>237</v>
      </c>
      <c r="AB295" s="62" t="n">
        <v>0</v>
      </c>
      <c r="AC295" s="62" t="n">
        <v>0</v>
      </c>
      <c r="AD295" s="62" t="n">
        <v>0</v>
      </c>
      <c r="AE295" s="62" t="n">
        <f aca="false">IF(AND(Dashboard!$C$9="Yes",AC295=1),0,1)</f>
        <v>1</v>
      </c>
      <c r="AF295" s="62" t="n">
        <v>1</v>
      </c>
    </row>
    <row r="296" customFormat="false" ht="15" hidden="false" customHeight="false" outlineLevel="0" collapsed="false">
      <c r="A296" s="62" t="n">
        <v>295</v>
      </c>
      <c r="B296" s="63" t="n">
        <v>46234.7264236111</v>
      </c>
      <c r="C296" s="64" t="n">
        <v>46234</v>
      </c>
      <c r="D296" s="62" t="s">
        <v>288</v>
      </c>
      <c r="E296" s="62" t="s">
        <v>432</v>
      </c>
      <c r="F296" s="62" t="s">
        <v>433</v>
      </c>
      <c r="G296" s="62" t="s">
        <v>153</v>
      </c>
      <c r="H296" s="62" t="s">
        <v>153</v>
      </c>
      <c r="I296" s="62" t="s">
        <v>153</v>
      </c>
      <c r="J296" s="62" t="s">
        <v>64</v>
      </c>
      <c r="K296" s="62" t="s">
        <v>64</v>
      </c>
      <c r="L296" s="62" t="s">
        <v>148</v>
      </c>
      <c r="M296" s="62" t="n">
        <v>0</v>
      </c>
      <c r="N296" s="62" t="n">
        <v>1</v>
      </c>
      <c r="O296" s="62" t="n">
        <v>1</v>
      </c>
      <c r="P296" s="62" t="n">
        <v>1</v>
      </c>
      <c r="Q296" s="62" t="n">
        <v>0</v>
      </c>
      <c r="R296" s="62" t="n">
        <v>0</v>
      </c>
      <c r="S296" s="62" t="n">
        <v>0</v>
      </c>
      <c r="T296" s="62" t="n">
        <v>0</v>
      </c>
      <c r="U296" s="62"/>
      <c r="V296" s="62"/>
      <c r="W296" s="62"/>
      <c r="X296" s="62"/>
      <c r="Y296" s="62"/>
      <c r="Z296" s="62" t="s">
        <v>716</v>
      </c>
      <c r="AA296" s="62" t="s">
        <v>717</v>
      </c>
      <c r="AB296" s="62" t="n">
        <v>1</v>
      </c>
      <c r="AC296" s="62" t="n">
        <v>0</v>
      </c>
      <c r="AD296" s="62" t="n">
        <v>0</v>
      </c>
      <c r="AE296" s="62" t="n">
        <f aca="false">IF(AND(Dashboard!$C$9="Yes",AC296=1),0,1)</f>
        <v>1</v>
      </c>
      <c r="AF296" s="62" t="n">
        <v>1</v>
      </c>
    </row>
    <row r="297" customFormat="false" ht="15" hidden="false" customHeight="false" outlineLevel="0" collapsed="false">
      <c r="A297" s="62" t="n">
        <v>296</v>
      </c>
      <c r="B297" s="63" t="n">
        <v>46234.7348148148</v>
      </c>
      <c r="C297" s="64" t="n">
        <v>46234</v>
      </c>
      <c r="D297" s="62" t="s">
        <v>288</v>
      </c>
      <c r="E297" s="62" t="s">
        <v>228</v>
      </c>
      <c r="F297" s="62" t="s">
        <v>229</v>
      </c>
      <c r="G297" s="62" t="s">
        <v>153</v>
      </c>
      <c r="H297" s="62" t="s">
        <v>153</v>
      </c>
      <c r="I297" s="62" t="s">
        <v>153</v>
      </c>
      <c r="J297" s="62" t="s">
        <v>64</v>
      </c>
      <c r="K297" s="62" t="s">
        <v>64</v>
      </c>
      <c r="L297" s="62" t="s">
        <v>148</v>
      </c>
      <c r="M297" s="62" t="n">
        <v>0</v>
      </c>
      <c r="N297" s="62" t="n">
        <v>1</v>
      </c>
      <c r="O297" s="62" t="n">
        <v>1</v>
      </c>
      <c r="P297" s="62" t="n">
        <v>1</v>
      </c>
      <c r="Q297" s="62" t="n">
        <v>0</v>
      </c>
      <c r="R297" s="62" t="n">
        <v>0</v>
      </c>
      <c r="S297" s="62" t="n">
        <v>0</v>
      </c>
      <c r="T297" s="62" t="n">
        <v>0</v>
      </c>
      <c r="U297" s="62"/>
      <c r="V297" s="62"/>
      <c r="W297" s="62"/>
      <c r="X297" s="62"/>
      <c r="Y297" s="62"/>
      <c r="Z297" s="62" t="s">
        <v>718</v>
      </c>
      <c r="AA297" s="62" t="s">
        <v>719</v>
      </c>
      <c r="AB297" s="62" t="n">
        <v>1</v>
      </c>
      <c r="AC297" s="62" t="n">
        <v>0</v>
      </c>
      <c r="AD297" s="62" t="n">
        <v>0</v>
      </c>
      <c r="AE297" s="62" t="n">
        <f aca="false">IF(AND(Dashboard!$C$9="Yes",AC297=1),0,1)</f>
        <v>1</v>
      </c>
      <c r="AF297" s="62" t="n">
        <v>1</v>
      </c>
    </row>
    <row r="298" customFormat="false" ht="15" hidden="false" customHeight="false" outlineLevel="0" collapsed="false">
      <c r="A298" s="62" t="n">
        <v>297</v>
      </c>
      <c r="B298" s="63" t="n">
        <v>46234.7518287037</v>
      </c>
      <c r="C298" s="64" t="n">
        <v>46234</v>
      </c>
      <c r="D298" s="62" t="s">
        <v>288</v>
      </c>
      <c r="E298" s="62" t="s">
        <v>720</v>
      </c>
      <c r="F298" s="62" t="s">
        <v>721</v>
      </c>
      <c r="G298" s="62" t="s">
        <v>153</v>
      </c>
      <c r="H298" s="62" t="s">
        <v>153</v>
      </c>
      <c r="I298" s="62" t="s">
        <v>153</v>
      </c>
      <c r="J298" s="62" t="s">
        <v>64</v>
      </c>
      <c r="K298" s="62" t="s">
        <v>64</v>
      </c>
      <c r="L298" s="62" t="s">
        <v>148</v>
      </c>
      <c r="M298" s="62" t="n">
        <v>0</v>
      </c>
      <c r="N298" s="62" t="n">
        <v>1</v>
      </c>
      <c r="O298" s="62" t="n">
        <v>1</v>
      </c>
      <c r="P298" s="62" t="n">
        <v>0</v>
      </c>
      <c r="Q298" s="62" t="n">
        <v>1</v>
      </c>
      <c r="R298" s="62" t="n">
        <v>0</v>
      </c>
      <c r="S298" s="62" t="n">
        <v>0</v>
      </c>
      <c r="T298" s="62" t="n">
        <v>0</v>
      </c>
      <c r="U298" s="62"/>
      <c r="V298" s="62"/>
      <c r="W298" s="62"/>
      <c r="X298" s="62"/>
      <c r="Y298" s="62"/>
      <c r="Z298" s="62" t="s">
        <v>722</v>
      </c>
      <c r="AA298" s="62" t="s">
        <v>212</v>
      </c>
      <c r="AB298" s="62" t="n">
        <v>1</v>
      </c>
      <c r="AC298" s="62" t="n">
        <v>0</v>
      </c>
      <c r="AD298" s="62" t="n">
        <v>0</v>
      </c>
      <c r="AE298" s="62" t="n">
        <f aca="false">IF(AND(Dashboard!$C$9="Yes",AC298=1),0,1)</f>
        <v>1</v>
      </c>
      <c r="AF298" s="62" t="n">
        <v>1</v>
      </c>
    </row>
    <row r="299" customFormat="false" ht="15" hidden="false" customHeight="false" outlineLevel="0" collapsed="false">
      <c r="A299" s="62" t="n">
        <v>298</v>
      </c>
      <c r="B299" s="63" t="n">
        <v>46234.763287037</v>
      </c>
      <c r="C299" s="64" t="n">
        <v>46234</v>
      </c>
      <c r="D299" s="62" t="s">
        <v>288</v>
      </c>
      <c r="E299" s="62" t="s">
        <v>307</v>
      </c>
      <c r="F299" s="62" t="s">
        <v>308</v>
      </c>
      <c r="G299" s="62" t="s">
        <v>153</v>
      </c>
      <c r="H299" s="62" t="s">
        <v>153</v>
      </c>
      <c r="I299" s="62" t="s">
        <v>153</v>
      </c>
      <c r="J299" s="62" t="s">
        <v>64</v>
      </c>
      <c r="K299" s="62" t="s">
        <v>64</v>
      </c>
      <c r="L299" s="62" t="s">
        <v>4</v>
      </c>
      <c r="M299" s="62" t="n">
        <v>1</v>
      </c>
      <c r="N299" s="62" t="n">
        <v>0</v>
      </c>
      <c r="O299" s="62" t="n">
        <v>1</v>
      </c>
      <c r="P299" s="62" t="n">
        <v>0</v>
      </c>
      <c r="Q299" s="62" t="n">
        <v>0</v>
      </c>
      <c r="R299" s="62" t="n">
        <v>0</v>
      </c>
      <c r="S299" s="62" t="n">
        <v>0</v>
      </c>
      <c r="T299" s="62" t="n">
        <v>0</v>
      </c>
      <c r="U299" s="62"/>
      <c r="V299" s="62"/>
      <c r="W299" s="62"/>
      <c r="X299" s="62"/>
      <c r="Y299" s="62"/>
      <c r="Z299" s="62" t="s">
        <v>723</v>
      </c>
      <c r="AA299" s="62" t="s">
        <v>724</v>
      </c>
      <c r="AB299" s="62" t="n">
        <v>1</v>
      </c>
      <c r="AC299" s="62" t="n">
        <v>0</v>
      </c>
      <c r="AD299" s="62" t="n">
        <v>0</v>
      </c>
      <c r="AE299" s="62" t="n">
        <f aca="false">IF(AND(Dashboard!$C$9="Yes",AC299=1),0,1)</f>
        <v>1</v>
      </c>
      <c r="AF299" s="62" t="n">
        <v>1</v>
      </c>
    </row>
    <row r="300" customFormat="false" ht="15" hidden="false" customHeight="false" outlineLevel="0" collapsed="false">
      <c r="A300" s="62" t="n">
        <v>299</v>
      </c>
      <c r="B300" s="63" t="n">
        <v>46234.763912037</v>
      </c>
      <c r="C300" s="64" t="n">
        <v>46234</v>
      </c>
      <c r="D300" s="62" t="s">
        <v>288</v>
      </c>
      <c r="E300" s="62" t="s">
        <v>307</v>
      </c>
      <c r="F300" s="62" t="s">
        <v>308</v>
      </c>
      <c r="G300" s="62" t="s">
        <v>153</v>
      </c>
      <c r="H300" s="62" t="s">
        <v>153</v>
      </c>
      <c r="I300" s="62" t="s">
        <v>153</v>
      </c>
      <c r="J300" s="62" t="s">
        <v>64</v>
      </c>
      <c r="K300" s="62" t="s">
        <v>64</v>
      </c>
      <c r="L300" s="62" t="s">
        <v>148</v>
      </c>
      <c r="M300" s="62" t="n">
        <v>0</v>
      </c>
      <c r="N300" s="62" t="n">
        <v>1</v>
      </c>
      <c r="O300" s="62" t="n">
        <v>1</v>
      </c>
      <c r="P300" s="62" t="n">
        <v>0</v>
      </c>
      <c r="Q300" s="62" t="n">
        <v>1</v>
      </c>
      <c r="R300" s="62" t="n">
        <v>0</v>
      </c>
      <c r="S300" s="62" t="n">
        <v>0</v>
      </c>
      <c r="T300" s="62" t="n">
        <v>0</v>
      </c>
      <c r="U300" s="62"/>
      <c r="V300" s="62"/>
      <c r="W300" s="62"/>
      <c r="X300" s="62"/>
      <c r="Y300" s="62"/>
      <c r="Z300" s="62" t="s">
        <v>723</v>
      </c>
      <c r="AA300" s="62" t="s">
        <v>725</v>
      </c>
      <c r="AB300" s="62" t="n">
        <v>1</v>
      </c>
      <c r="AC300" s="62" t="n">
        <v>0</v>
      </c>
      <c r="AD300" s="62" t="n">
        <v>0</v>
      </c>
      <c r="AE300" s="62" t="n">
        <f aca="false">IF(AND(Dashboard!$C$9="Yes",AC300=1),0,1)</f>
        <v>1</v>
      </c>
      <c r="AF300" s="62" t="n">
        <v>0</v>
      </c>
    </row>
    <row r="301" customFormat="false" ht="15" hidden="false" customHeight="false" outlineLevel="0" collapsed="false">
      <c r="A301" s="62" t="n">
        <v>300</v>
      </c>
      <c r="B301" s="63" t="n">
        <v>46234.773599537</v>
      </c>
      <c r="C301" s="64" t="n">
        <v>46234</v>
      </c>
      <c r="D301" s="62" t="s">
        <v>288</v>
      </c>
      <c r="E301" s="62" t="s">
        <v>212</v>
      </c>
      <c r="F301" s="62" t="s">
        <v>212</v>
      </c>
      <c r="G301" s="62" t="s">
        <v>213</v>
      </c>
      <c r="H301" s="62" t="s">
        <v>58</v>
      </c>
      <c r="I301" s="62" t="s">
        <v>49</v>
      </c>
      <c r="J301" s="62" t="s">
        <v>146</v>
      </c>
      <c r="K301" s="62" t="s">
        <v>175</v>
      </c>
      <c r="L301" s="62" t="s">
        <v>4</v>
      </c>
      <c r="M301" s="62" t="n">
        <v>1</v>
      </c>
      <c r="N301" s="62" t="n">
        <v>0</v>
      </c>
      <c r="O301" s="62" t="n">
        <v>1</v>
      </c>
      <c r="P301" s="62" t="n">
        <v>0</v>
      </c>
      <c r="Q301" s="62" t="n">
        <v>0</v>
      </c>
      <c r="R301" s="62" t="n">
        <v>0</v>
      </c>
      <c r="S301" s="62" t="n">
        <v>0</v>
      </c>
      <c r="T301" s="62" t="n">
        <v>0</v>
      </c>
      <c r="U301" s="62"/>
      <c r="V301" s="62"/>
      <c r="W301" s="62"/>
      <c r="X301" s="62"/>
      <c r="Y301" s="62"/>
      <c r="Z301" s="62" t="s">
        <v>722</v>
      </c>
      <c r="AA301" s="62" t="s">
        <v>726</v>
      </c>
      <c r="AB301" s="62" t="n">
        <v>1</v>
      </c>
      <c r="AC301" s="62" t="n">
        <v>0</v>
      </c>
      <c r="AD301" s="62" t="n">
        <v>1</v>
      </c>
      <c r="AE301" s="62" t="n">
        <f aca="false">IF(AND(Dashboard!$C$9="Yes",AC301=1),0,1)</f>
        <v>1</v>
      </c>
      <c r="AF301" s="62" t="n">
        <v>1</v>
      </c>
    </row>
    <row r="302" customFormat="false" ht="15" hidden="false" customHeight="false" outlineLevel="0" collapsed="false">
      <c r="A302" s="62" t="n">
        <v>301</v>
      </c>
      <c r="B302" s="63" t="n">
        <v>46234.7827314815</v>
      </c>
      <c r="C302" s="64" t="n">
        <v>46234</v>
      </c>
      <c r="D302" s="62" t="s">
        <v>288</v>
      </c>
      <c r="E302" s="62" t="s">
        <v>573</v>
      </c>
      <c r="F302" s="62" t="s">
        <v>573</v>
      </c>
      <c r="G302" s="62" t="s">
        <v>574</v>
      </c>
      <c r="H302" s="62" t="s">
        <v>51</v>
      </c>
      <c r="I302" s="62" t="s">
        <v>47</v>
      </c>
      <c r="J302" s="62" t="s">
        <v>146</v>
      </c>
      <c r="K302" s="62" t="s">
        <v>147</v>
      </c>
      <c r="L302" s="62" t="s">
        <v>148</v>
      </c>
      <c r="M302" s="62" t="n">
        <v>0</v>
      </c>
      <c r="N302" s="62" t="n">
        <v>1</v>
      </c>
      <c r="O302" s="62" t="n">
        <v>1</v>
      </c>
      <c r="P302" s="62" t="n">
        <v>0</v>
      </c>
      <c r="Q302" s="62" t="n">
        <v>1</v>
      </c>
      <c r="R302" s="62" t="n">
        <v>0</v>
      </c>
      <c r="S302" s="62" t="n">
        <v>0</v>
      </c>
      <c r="T302" s="62" t="n">
        <v>0</v>
      </c>
      <c r="U302" s="62"/>
      <c r="V302" s="62"/>
      <c r="W302" s="62"/>
      <c r="X302" s="62"/>
      <c r="Y302" s="62"/>
      <c r="Z302" s="62" t="s">
        <v>727</v>
      </c>
      <c r="AA302" s="62" t="s">
        <v>728</v>
      </c>
      <c r="AB302" s="62" t="n">
        <v>1</v>
      </c>
      <c r="AC302" s="62" t="n">
        <v>0</v>
      </c>
      <c r="AD302" s="62" t="n">
        <v>1</v>
      </c>
      <c r="AE302" s="62" t="n">
        <f aca="false">IF(AND(Dashboard!$C$9="Yes",AC302=1),0,1)</f>
        <v>1</v>
      </c>
      <c r="AF302" s="62" t="n">
        <v>0</v>
      </c>
    </row>
    <row r="303" customFormat="false" ht="15" hidden="false" customHeight="false" outlineLevel="0" collapsed="false">
      <c r="A303" s="62" t="n">
        <v>302</v>
      </c>
      <c r="B303" s="63" t="n">
        <v>46234.7937152778</v>
      </c>
      <c r="C303" s="64" t="n">
        <v>46234</v>
      </c>
      <c r="D303" s="62" t="s">
        <v>288</v>
      </c>
      <c r="E303" s="62" t="s">
        <v>164</v>
      </c>
      <c r="F303" s="62" t="s">
        <v>164</v>
      </c>
      <c r="G303" s="62" t="s">
        <v>165</v>
      </c>
      <c r="H303" s="62" t="s">
        <v>51</v>
      </c>
      <c r="I303" s="62" t="s">
        <v>47</v>
      </c>
      <c r="J303" s="62" t="s">
        <v>146</v>
      </c>
      <c r="K303" s="62" t="s">
        <v>147</v>
      </c>
      <c r="L303" s="62" t="s">
        <v>4</v>
      </c>
      <c r="M303" s="62" t="n">
        <v>1</v>
      </c>
      <c r="N303" s="62" t="n">
        <v>0</v>
      </c>
      <c r="O303" s="62" t="n">
        <v>1</v>
      </c>
      <c r="P303" s="62" t="n">
        <v>0</v>
      </c>
      <c r="Q303" s="62" t="n">
        <v>0</v>
      </c>
      <c r="R303" s="62" t="n">
        <v>0</v>
      </c>
      <c r="S303" s="62" t="n">
        <v>0</v>
      </c>
      <c r="T303" s="62" t="n">
        <v>0</v>
      </c>
      <c r="U303" s="62"/>
      <c r="V303" s="62"/>
      <c r="W303" s="62"/>
      <c r="X303" s="62"/>
      <c r="Y303" s="62"/>
      <c r="Z303" s="62" t="s">
        <v>729</v>
      </c>
      <c r="AA303" s="62" t="s">
        <v>730</v>
      </c>
      <c r="AB303" s="62" t="n">
        <v>1</v>
      </c>
      <c r="AC303" s="62" t="n">
        <v>0</v>
      </c>
      <c r="AD303" s="62" t="n">
        <v>1</v>
      </c>
      <c r="AE303" s="62" t="n">
        <f aca="false">IF(AND(Dashboard!$C$9="Yes",AC303=1),0,1)</f>
        <v>1</v>
      </c>
      <c r="AF303" s="62" t="n">
        <v>1</v>
      </c>
    </row>
    <row r="304" customFormat="false" ht="15" hidden="false" customHeight="false" outlineLevel="0" collapsed="false">
      <c r="A304" s="62" t="n">
        <v>303</v>
      </c>
      <c r="B304" s="63" t="n">
        <v>46234.8371990741</v>
      </c>
      <c r="C304" s="64" t="n">
        <v>46234</v>
      </c>
      <c r="D304" s="62" t="s">
        <v>288</v>
      </c>
      <c r="E304" s="62" t="s">
        <v>586</v>
      </c>
      <c r="F304" s="62" t="s">
        <v>586</v>
      </c>
      <c r="G304" s="62" t="s">
        <v>587</v>
      </c>
      <c r="H304" s="62" t="s">
        <v>57</v>
      </c>
      <c r="I304" s="62" t="s">
        <v>47</v>
      </c>
      <c r="J304" s="62" t="s">
        <v>146</v>
      </c>
      <c r="K304" s="62" t="s">
        <v>175</v>
      </c>
      <c r="L304" s="62" t="s">
        <v>148</v>
      </c>
      <c r="M304" s="62" t="n">
        <v>0</v>
      </c>
      <c r="N304" s="62" t="n">
        <v>1</v>
      </c>
      <c r="O304" s="62" t="n">
        <v>1</v>
      </c>
      <c r="P304" s="62" t="n">
        <v>0</v>
      </c>
      <c r="Q304" s="62" t="n">
        <v>1</v>
      </c>
      <c r="R304" s="62" t="n">
        <v>0</v>
      </c>
      <c r="S304" s="62" t="n">
        <v>0</v>
      </c>
      <c r="T304" s="62" t="n">
        <v>0</v>
      </c>
      <c r="U304" s="62"/>
      <c r="V304" s="62"/>
      <c r="W304" s="62"/>
      <c r="X304" s="62"/>
      <c r="Y304" s="62"/>
      <c r="Z304" s="62" t="s">
        <v>731</v>
      </c>
      <c r="AA304" s="62" t="s">
        <v>732</v>
      </c>
      <c r="AB304" s="62" t="n">
        <v>1</v>
      </c>
      <c r="AC304" s="62" t="n">
        <v>0</v>
      </c>
      <c r="AD304" s="62" t="n">
        <v>1</v>
      </c>
      <c r="AE304" s="62" t="n">
        <f aca="false">IF(AND(Dashboard!$C$9="Yes",AC304=1),0,1)</f>
        <v>1</v>
      </c>
      <c r="AF304" s="62" t="n">
        <v>0</v>
      </c>
    </row>
    <row r="305" customFormat="false" ht="15" hidden="false" customHeight="false" outlineLevel="0" collapsed="false">
      <c r="A305" s="62" t="n">
        <v>304</v>
      </c>
      <c r="B305" s="63" t="n">
        <v>46234.8744212963</v>
      </c>
      <c r="C305" s="64" t="n">
        <v>46234</v>
      </c>
      <c r="D305" s="62" t="s">
        <v>288</v>
      </c>
      <c r="E305" s="62" t="s">
        <v>164</v>
      </c>
      <c r="F305" s="62" t="s">
        <v>164</v>
      </c>
      <c r="G305" s="62" t="s">
        <v>165</v>
      </c>
      <c r="H305" s="62" t="s">
        <v>51</v>
      </c>
      <c r="I305" s="62" t="s">
        <v>47</v>
      </c>
      <c r="J305" s="62" t="s">
        <v>146</v>
      </c>
      <c r="K305" s="62" t="s">
        <v>147</v>
      </c>
      <c r="L305" s="62" t="s">
        <v>148</v>
      </c>
      <c r="M305" s="62" t="n">
        <v>0</v>
      </c>
      <c r="N305" s="62" t="n">
        <v>1</v>
      </c>
      <c r="O305" s="62" t="n">
        <v>1</v>
      </c>
      <c r="P305" s="62" t="n">
        <v>1</v>
      </c>
      <c r="Q305" s="62" t="n">
        <v>0</v>
      </c>
      <c r="R305" s="62" t="n">
        <v>0</v>
      </c>
      <c r="S305" s="62" t="n">
        <v>0</v>
      </c>
      <c r="T305" s="62" t="n">
        <v>0</v>
      </c>
      <c r="U305" s="62"/>
      <c r="V305" s="62"/>
      <c r="W305" s="62"/>
      <c r="X305" s="62"/>
      <c r="Y305" s="62"/>
      <c r="Z305" s="62" t="s">
        <v>733</v>
      </c>
      <c r="AA305" s="62" t="s">
        <v>734</v>
      </c>
      <c r="AB305" s="62" t="n">
        <v>1</v>
      </c>
      <c r="AC305" s="62" t="n">
        <v>0</v>
      </c>
      <c r="AD305" s="62" t="n">
        <v>1</v>
      </c>
      <c r="AE305" s="62" t="n">
        <f aca="false">IF(AND(Dashboard!$C$9="Yes",AC305=1),0,1)</f>
        <v>1</v>
      </c>
      <c r="AF305" s="62" t="n">
        <v>0</v>
      </c>
    </row>
    <row r="306" customFormat="false" ht="15" hidden="false" customHeight="false" outlineLevel="0" collapsed="false">
      <c r="A306" s="62" t="n">
        <v>305</v>
      </c>
      <c r="B306" s="63" t="n">
        <v>46234.8879282407</v>
      </c>
      <c r="C306" s="64" t="n">
        <v>46234</v>
      </c>
      <c r="D306" s="62" t="s">
        <v>288</v>
      </c>
      <c r="E306" s="62" t="s">
        <v>518</v>
      </c>
      <c r="F306" s="62" t="s">
        <v>518</v>
      </c>
      <c r="G306" s="62" t="s">
        <v>519</v>
      </c>
      <c r="H306" s="62" t="s">
        <v>52</v>
      </c>
      <c r="I306" s="62" t="s">
        <v>47</v>
      </c>
      <c r="J306" s="62" t="s">
        <v>146</v>
      </c>
      <c r="K306" s="62" t="s">
        <v>147</v>
      </c>
      <c r="L306" s="62" t="s">
        <v>148</v>
      </c>
      <c r="M306" s="62" t="n">
        <v>0</v>
      </c>
      <c r="N306" s="62" t="n">
        <v>1</v>
      </c>
      <c r="O306" s="62" t="n">
        <v>1</v>
      </c>
      <c r="P306" s="62" t="n">
        <v>1</v>
      </c>
      <c r="Q306" s="62" t="n">
        <v>0</v>
      </c>
      <c r="R306" s="62" t="n">
        <v>0</v>
      </c>
      <c r="S306" s="62" t="n">
        <v>0</v>
      </c>
      <c r="T306" s="62" t="n">
        <v>0</v>
      </c>
      <c r="U306" s="62"/>
      <c r="V306" s="62"/>
      <c r="W306" s="62"/>
      <c r="X306" s="62"/>
      <c r="Y306" s="62"/>
      <c r="Z306" s="62" t="s">
        <v>735</v>
      </c>
      <c r="AA306" s="62" t="s">
        <v>736</v>
      </c>
      <c r="AB306" s="62" t="n">
        <v>1</v>
      </c>
      <c r="AC306" s="62" t="n">
        <v>0</v>
      </c>
      <c r="AD306" s="62" t="n">
        <v>1</v>
      </c>
      <c r="AE306" s="62" t="n">
        <f aca="false">IF(AND(Dashboard!$C$9="Yes",AC306=1),0,1)</f>
        <v>1</v>
      </c>
      <c r="AF306" s="62" t="n">
        <v>0</v>
      </c>
    </row>
    <row r="307" customFormat="false" ht="15" hidden="false" customHeight="false" outlineLevel="0" collapsed="false">
      <c r="A307" s="62" t="n">
        <v>306</v>
      </c>
      <c r="B307" s="63" t="n">
        <v>46234.8927314815</v>
      </c>
      <c r="C307" s="64" t="n">
        <v>46234</v>
      </c>
      <c r="D307" s="62" t="s">
        <v>288</v>
      </c>
      <c r="E307" s="62" t="s">
        <v>737</v>
      </c>
      <c r="F307" s="62" t="s">
        <v>737</v>
      </c>
      <c r="G307" s="62" t="s">
        <v>738</v>
      </c>
      <c r="H307" s="62" t="s">
        <v>57</v>
      </c>
      <c r="I307" s="62" t="s">
        <v>47</v>
      </c>
      <c r="J307" s="62" t="s">
        <v>146</v>
      </c>
      <c r="K307" s="62" t="s">
        <v>175</v>
      </c>
      <c r="L307" s="62" t="s">
        <v>148</v>
      </c>
      <c r="M307" s="62" t="n">
        <v>0</v>
      </c>
      <c r="N307" s="62" t="n">
        <v>1</v>
      </c>
      <c r="O307" s="62" t="n">
        <v>1</v>
      </c>
      <c r="P307" s="62" t="n">
        <v>1</v>
      </c>
      <c r="Q307" s="62" t="n">
        <v>0</v>
      </c>
      <c r="R307" s="62" t="n">
        <v>0</v>
      </c>
      <c r="S307" s="62" t="n">
        <v>0</v>
      </c>
      <c r="T307" s="62" t="n">
        <v>0</v>
      </c>
      <c r="U307" s="62"/>
      <c r="V307" s="62"/>
      <c r="W307" s="62"/>
      <c r="X307" s="62"/>
      <c r="Y307" s="62"/>
      <c r="Z307" s="62" t="s">
        <v>739</v>
      </c>
      <c r="AA307" s="62" t="s">
        <v>740</v>
      </c>
      <c r="AB307" s="62" t="n">
        <v>1</v>
      </c>
      <c r="AC307" s="62" t="n">
        <v>0</v>
      </c>
      <c r="AD307" s="62" t="n">
        <v>1</v>
      </c>
      <c r="AE307" s="62" t="n">
        <f aca="false">IF(AND(Dashboard!$C$9="Yes",AC307=1),0,1)</f>
        <v>1</v>
      </c>
      <c r="AF307" s="62" t="n">
        <v>1</v>
      </c>
    </row>
    <row r="308" customFormat="false" ht="15" hidden="false" customHeight="false" outlineLevel="0" collapsed="false">
      <c r="A308" s="62" t="n">
        <v>307</v>
      </c>
      <c r="B308" s="63" t="n">
        <v>46234.9049537037</v>
      </c>
      <c r="C308" s="64" t="n">
        <v>46234</v>
      </c>
      <c r="D308" s="62" t="s">
        <v>288</v>
      </c>
      <c r="E308" s="62" t="s">
        <v>151</v>
      </c>
      <c r="F308" s="62" t="s">
        <v>152</v>
      </c>
      <c r="G308" s="62" t="s">
        <v>153</v>
      </c>
      <c r="H308" s="62" t="s">
        <v>153</v>
      </c>
      <c r="I308" s="62" t="s">
        <v>153</v>
      </c>
      <c r="J308" s="62" t="s">
        <v>64</v>
      </c>
      <c r="K308" s="62" t="s">
        <v>64</v>
      </c>
      <c r="L308" s="62" t="s">
        <v>4</v>
      </c>
      <c r="M308" s="62" t="n">
        <v>1</v>
      </c>
      <c r="N308" s="62" t="n">
        <v>0</v>
      </c>
      <c r="O308" s="62" t="n">
        <v>1</v>
      </c>
      <c r="P308" s="62" t="n">
        <v>0</v>
      </c>
      <c r="Q308" s="62" t="n">
        <v>0</v>
      </c>
      <c r="R308" s="62" t="n">
        <v>0</v>
      </c>
      <c r="S308" s="62" t="n">
        <v>0</v>
      </c>
      <c r="T308" s="62" t="n">
        <v>0</v>
      </c>
      <c r="U308" s="62"/>
      <c r="V308" s="62"/>
      <c r="W308" s="62"/>
      <c r="X308" s="62"/>
      <c r="Y308" s="62"/>
      <c r="Z308" s="62" t="s">
        <v>741</v>
      </c>
      <c r="AA308" s="62" t="s">
        <v>742</v>
      </c>
      <c r="AB308" s="62" t="n">
        <v>1</v>
      </c>
      <c r="AC308" s="62" t="n">
        <v>0</v>
      </c>
      <c r="AD308" s="62" t="n">
        <v>0</v>
      </c>
      <c r="AE308" s="62" t="n">
        <f aca="false">IF(AND(Dashboard!$C$9="Yes",AC308=1),0,1)</f>
        <v>1</v>
      </c>
      <c r="AF308" s="62" t="n">
        <v>1</v>
      </c>
    </row>
    <row r="309" customFormat="false" ht="15" hidden="false" customHeight="false" outlineLevel="0" collapsed="false">
      <c r="A309" s="62" t="n">
        <v>308</v>
      </c>
      <c r="B309" s="63" t="n">
        <v>46234.9434375</v>
      </c>
      <c r="C309" s="64" t="n">
        <v>46234</v>
      </c>
      <c r="D309" s="62" t="s">
        <v>288</v>
      </c>
      <c r="E309" s="62" t="s">
        <v>307</v>
      </c>
      <c r="F309" s="62" t="s">
        <v>308</v>
      </c>
      <c r="G309" s="62" t="s">
        <v>153</v>
      </c>
      <c r="H309" s="62" t="s">
        <v>153</v>
      </c>
      <c r="I309" s="62" t="s">
        <v>153</v>
      </c>
      <c r="J309" s="62" t="s">
        <v>64</v>
      </c>
      <c r="K309" s="62" t="s">
        <v>64</v>
      </c>
      <c r="L309" s="62" t="s">
        <v>148</v>
      </c>
      <c r="M309" s="62" t="n">
        <v>0</v>
      </c>
      <c r="N309" s="62" t="n">
        <v>1</v>
      </c>
      <c r="O309" s="62" t="n">
        <v>1</v>
      </c>
      <c r="P309" s="62" t="n">
        <v>1</v>
      </c>
      <c r="Q309" s="62" t="n">
        <v>0</v>
      </c>
      <c r="R309" s="62" t="n">
        <v>0</v>
      </c>
      <c r="S309" s="62" t="n">
        <v>0</v>
      </c>
      <c r="T309" s="62" t="n">
        <v>0</v>
      </c>
      <c r="U309" s="62"/>
      <c r="V309" s="62"/>
      <c r="W309" s="62"/>
      <c r="X309" s="62"/>
      <c r="Y309" s="62"/>
      <c r="Z309" s="62" t="s">
        <v>743</v>
      </c>
      <c r="AA309" s="62" t="s">
        <v>744</v>
      </c>
      <c r="AB309" s="62" t="n">
        <v>1</v>
      </c>
      <c r="AC309" s="62" t="n">
        <v>0</v>
      </c>
      <c r="AD309" s="62" t="n">
        <v>0</v>
      </c>
      <c r="AE309" s="62" t="n">
        <f aca="false">IF(AND(Dashboard!$C$9="Yes",AC309=1),0,1)</f>
        <v>1</v>
      </c>
      <c r="AF309" s="62" t="n">
        <v>0</v>
      </c>
    </row>
    <row r="310" customFormat="false" ht="15" hidden="false" customHeight="false" outlineLevel="0" collapsed="false">
      <c r="A310" s="62" t="n">
        <v>309</v>
      </c>
      <c r="B310" s="63" t="n">
        <v>46234.9553472222</v>
      </c>
      <c r="C310" s="64" t="n">
        <v>46234</v>
      </c>
      <c r="D310" s="62" t="s">
        <v>288</v>
      </c>
      <c r="E310" s="62" t="s">
        <v>164</v>
      </c>
      <c r="F310" s="62" t="s">
        <v>164</v>
      </c>
      <c r="G310" s="62" t="s">
        <v>165</v>
      </c>
      <c r="H310" s="62" t="s">
        <v>51</v>
      </c>
      <c r="I310" s="62" t="s">
        <v>47</v>
      </c>
      <c r="J310" s="62" t="s">
        <v>146</v>
      </c>
      <c r="K310" s="62" t="s">
        <v>147</v>
      </c>
      <c r="L310" s="62" t="s">
        <v>148</v>
      </c>
      <c r="M310" s="62" t="n">
        <v>0</v>
      </c>
      <c r="N310" s="62" t="n">
        <v>1</v>
      </c>
      <c r="O310" s="62" t="n">
        <v>1</v>
      </c>
      <c r="P310" s="62" t="n">
        <v>1</v>
      </c>
      <c r="Q310" s="62" t="n">
        <v>0</v>
      </c>
      <c r="R310" s="62" t="n">
        <v>0</v>
      </c>
      <c r="S310" s="62" t="n">
        <v>0</v>
      </c>
      <c r="T310" s="62" t="n">
        <v>0</v>
      </c>
      <c r="U310" s="62"/>
      <c r="V310" s="62"/>
      <c r="W310" s="62"/>
      <c r="X310" s="62"/>
      <c r="Y310" s="62"/>
      <c r="Z310" s="62" t="s">
        <v>745</v>
      </c>
      <c r="AA310" s="62" t="s">
        <v>746</v>
      </c>
      <c r="AB310" s="62" t="n">
        <v>1</v>
      </c>
      <c r="AC310" s="62" t="n">
        <v>0</v>
      </c>
      <c r="AD310" s="62" t="n">
        <v>1</v>
      </c>
      <c r="AE310" s="62" t="n">
        <f aca="false">IF(AND(Dashboard!$C$9="Yes",AC310=1),0,1)</f>
        <v>1</v>
      </c>
      <c r="AF310" s="62" t="n">
        <v>0</v>
      </c>
    </row>
    <row r="311" customFormat="false" ht="15" hidden="false" customHeight="false" outlineLevel="0" collapsed="false">
      <c r="A311" s="62" t="n">
        <v>310</v>
      </c>
      <c r="B311" s="63" t="n">
        <v>46234.9896412037</v>
      </c>
      <c r="C311" s="64" t="n">
        <v>46234</v>
      </c>
      <c r="D311" s="62" t="s">
        <v>288</v>
      </c>
      <c r="E311" s="62" t="s">
        <v>307</v>
      </c>
      <c r="F311" s="62" t="s">
        <v>308</v>
      </c>
      <c r="G311" s="62" t="s">
        <v>153</v>
      </c>
      <c r="H311" s="62" t="s">
        <v>153</v>
      </c>
      <c r="I311" s="62" t="s">
        <v>153</v>
      </c>
      <c r="J311" s="62" t="s">
        <v>64</v>
      </c>
      <c r="K311" s="62" t="s">
        <v>64</v>
      </c>
      <c r="L311" s="62" t="s">
        <v>148</v>
      </c>
      <c r="M311" s="62" t="n">
        <v>0</v>
      </c>
      <c r="N311" s="62" t="n">
        <v>1</v>
      </c>
      <c r="O311" s="62" t="n">
        <v>1</v>
      </c>
      <c r="P311" s="62" t="n">
        <v>1</v>
      </c>
      <c r="Q311" s="62" t="n">
        <v>0</v>
      </c>
      <c r="R311" s="62" t="n">
        <v>0</v>
      </c>
      <c r="S311" s="62" t="n">
        <v>0</v>
      </c>
      <c r="T311" s="62" t="n">
        <v>0</v>
      </c>
      <c r="U311" s="62"/>
      <c r="V311" s="62"/>
      <c r="W311" s="62"/>
      <c r="X311" s="62"/>
      <c r="Y311" s="62"/>
      <c r="Z311" s="62" t="s">
        <v>747</v>
      </c>
      <c r="AA311" s="62" t="s">
        <v>748</v>
      </c>
      <c r="AB311" s="62" t="n">
        <v>1</v>
      </c>
      <c r="AC311" s="62" t="n">
        <v>0</v>
      </c>
      <c r="AD311" s="62" t="n">
        <v>0</v>
      </c>
      <c r="AE311" s="62" t="n">
        <f aca="false">IF(AND(Dashboard!$C$9="Yes",AC311=1),0,1)</f>
        <v>1</v>
      </c>
      <c r="AF311" s="62" t="n">
        <v>0</v>
      </c>
    </row>
    <row r="312" customFormat="false" ht="15" hidden="false" customHeight="false" outlineLevel="0" collapsed="false">
      <c r="A312" s="62" t="n">
        <v>311</v>
      </c>
      <c r="B312" s="63" t="n">
        <v>46235.0009953704</v>
      </c>
      <c r="C312" s="64" t="n">
        <v>46234</v>
      </c>
      <c r="D312" s="62" t="s">
        <v>288</v>
      </c>
      <c r="E312" s="62" t="s">
        <v>190</v>
      </c>
      <c r="F312" s="62" t="s">
        <v>191</v>
      </c>
      <c r="G312" s="62" t="s">
        <v>153</v>
      </c>
      <c r="H312" s="62" t="s">
        <v>153</v>
      </c>
      <c r="I312" s="62" t="s">
        <v>153</v>
      </c>
      <c r="J312" s="62" t="s">
        <v>64</v>
      </c>
      <c r="K312" s="62" t="s">
        <v>64</v>
      </c>
      <c r="L312" s="62" t="s">
        <v>148</v>
      </c>
      <c r="M312" s="62" t="n">
        <v>0</v>
      </c>
      <c r="N312" s="62" t="n">
        <v>1</v>
      </c>
      <c r="O312" s="62" t="n">
        <v>1</v>
      </c>
      <c r="P312" s="62" t="n">
        <v>0</v>
      </c>
      <c r="Q312" s="62" t="n">
        <v>1</v>
      </c>
      <c r="R312" s="62" t="n">
        <v>0</v>
      </c>
      <c r="S312" s="62" t="n">
        <v>0</v>
      </c>
      <c r="T312" s="62" t="n">
        <v>0</v>
      </c>
      <c r="U312" s="62"/>
      <c r="V312" s="62"/>
      <c r="W312" s="62"/>
      <c r="X312" s="62"/>
      <c r="Y312" s="62"/>
      <c r="Z312" s="62" t="s">
        <v>749</v>
      </c>
      <c r="AA312" s="62" t="s">
        <v>750</v>
      </c>
      <c r="AB312" s="62" t="n">
        <v>1</v>
      </c>
      <c r="AC312" s="62" t="n">
        <v>0</v>
      </c>
      <c r="AD312" s="62" t="n">
        <v>0</v>
      </c>
      <c r="AE312" s="62" t="n">
        <f aca="false">IF(AND(Dashboard!$C$9="Yes",AC312=1),0,1)</f>
        <v>1</v>
      </c>
      <c r="AF312" s="62" t="n">
        <v>1</v>
      </c>
    </row>
    <row r="313" customFormat="false" ht="15" hidden="false" customHeight="false" outlineLevel="0" collapsed="false">
      <c r="A313" s="62" t="n">
        <v>312</v>
      </c>
      <c r="B313" s="63" t="n">
        <v>46235.0839699074</v>
      </c>
      <c r="C313" s="64" t="n">
        <v>46234</v>
      </c>
      <c r="D313" s="62" t="s">
        <v>288</v>
      </c>
      <c r="E313" s="62" t="s">
        <v>751</v>
      </c>
      <c r="F313" s="62" t="s">
        <v>752</v>
      </c>
      <c r="G313" s="62" t="s">
        <v>153</v>
      </c>
      <c r="H313" s="62" t="s">
        <v>153</v>
      </c>
      <c r="I313" s="62" t="s">
        <v>153</v>
      </c>
      <c r="J313" s="62" t="s">
        <v>64</v>
      </c>
      <c r="K313" s="62" t="s">
        <v>64</v>
      </c>
      <c r="L313" s="62" t="s">
        <v>148</v>
      </c>
      <c r="M313" s="62" t="n">
        <v>0</v>
      </c>
      <c r="N313" s="62" t="n">
        <v>1</v>
      </c>
      <c r="O313" s="62" t="n">
        <v>1</v>
      </c>
      <c r="P313" s="62" t="n">
        <v>0</v>
      </c>
      <c r="Q313" s="62" t="n">
        <v>0</v>
      </c>
      <c r="R313" s="62" t="n">
        <v>1</v>
      </c>
      <c r="S313" s="62" t="n">
        <v>0</v>
      </c>
      <c r="T313" s="62" t="n">
        <v>0</v>
      </c>
      <c r="U313" s="62"/>
      <c r="V313" s="62"/>
      <c r="W313" s="62"/>
      <c r="X313" s="62"/>
      <c r="Y313" s="62"/>
      <c r="Z313" s="62" t="s">
        <v>753</v>
      </c>
      <c r="AA313" s="62" t="s">
        <v>754</v>
      </c>
      <c r="AB313" s="62" t="n">
        <v>1</v>
      </c>
      <c r="AC313" s="62" t="n">
        <v>0</v>
      </c>
      <c r="AD313" s="62" t="n">
        <v>0</v>
      </c>
      <c r="AE313" s="62" t="n">
        <f aca="false">IF(AND(Dashboard!$C$9="Yes",AC313=1),0,1)</f>
        <v>1</v>
      </c>
      <c r="AF313" s="62" t="n">
        <v>1</v>
      </c>
    </row>
    <row r="314" customFormat="false" ht="15" hidden="false" customHeight="false" outlineLevel="0" collapsed="false">
      <c r="A314" s="62" t="n">
        <v>313</v>
      </c>
      <c r="B314" s="63" t="n">
        <v>46235.0958680556</v>
      </c>
      <c r="C314" s="64" t="n">
        <v>46234</v>
      </c>
      <c r="D314" s="62" t="s">
        <v>288</v>
      </c>
      <c r="E314" s="62" t="s">
        <v>190</v>
      </c>
      <c r="F314" s="62" t="s">
        <v>191</v>
      </c>
      <c r="G314" s="62" t="s">
        <v>153</v>
      </c>
      <c r="H314" s="62" t="s">
        <v>153</v>
      </c>
      <c r="I314" s="62" t="s">
        <v>153</v>
      </c>
      <c r="J314" s="62" t="s">
        <v>64</v>
      </c>
      <c r="K314" s="62" t="s">
        <v>64</v>
      </c>
      <c r="L314" s="62" t="s">
        <v>148</v>
      </c>
      <c r="M314" s="62" t="n">
        <v>0</v>
      </c>
      <c r="N314" s="62" t="n">
        <v>2</v>
      </c>
      <c r="O314" s="62" t="n">
        <v>2</v>
      </c>
      <c r="P314" s="62" t="n">
        <v>1</v>
      </c>
      <c r="Q314" s="62" t="n">
        <v>1</v>
      </c>
      <c r="R314" s="62" t="n">
        <v>0</v>
      </c>
      <c r="S314" s="62" t="n">
        <v>0</v>
      </c>
      <c r="T314" s="62" t="n">
        <v>0</v>
      </c>
      <c r="U314" s="62"/>
      <c r="V314" s="62"/>
      <c r="W314" s="62"/>
      <c r="X314" s="62"/>
      <c r="Y314" s="62"/>
      <c r="Z314" s="62" t="s">
        <v>755</v>
      </c>
      <c r="AA314" s="62" t="s">
        <v>756</v>
      </c>
      <c r="AB314" s="62" t="n">
        <v>1</v>
      </c>
      <c r="AC314" s="62" t="n">
        <v>0</v>
      </c>
      <c r="AD314" s="62" t="n">
        <v>0</v>
      </c>
      <c r="AE314" s="62" t="n">
        <f aca="false">IF(AND(Dashboard!$C$9="Yes",AC314=1),0,1)</f>
        <v>1</v>
      </c>
      <c r="AF314" s="62" t="n">
        <v>0</v>
      </c>
    </row>
    <row r="315" customFormat="false" ht="15" hidden="false" customHeight="false" outlineLevel="0" collapsed="false">
      <c r="A315" s="62" t="n">
        <v>314</v>
      </c>
      <c r="B315" s="63" t="n">
        <v>46235.1134259259</v>
      </c>
      <c r="C315" s="64" t="n">
        <v>46234</v>
      </c>
      <c r="D315" s="62" t="s">
        <v>288</v>
      </c>
      <c r="E315" s="62" t="s">
        <v>273</v>
      </c>
      <c r="F315" s="62" t="s">
        <v>273</v>
      </c>
      <c r="G315" s="62" t="s">
        <v>274</v>
      </c>
      <c r="H315" s="62" t="s">
        <v>59</v>
      </c>
      <c r="I315" s="62" t="s">
        <v>47</v>
      </c>
      <c r="J315" s="62" t="s">
        <v>146</v>
      </c>
      <c r="K315" s="62" t="s">
        <v>147</v>
      </c>
      <c r="L315" s="62" t="s">
        <v>148</v>
      </c>
      <c r="M315" s="62" t="n">
        <v>0</v>
      </c>
      <c r="N315" s="62" t="n">
        <v>1</v>
      </c>
      <c r="O315" s="62" t="n">
        <v>1</v>
      </c>
      <c r="P315" s="62" t="n">
        <v>0</v>
      </c>
      <c r="Q315" s="62" t="n">
        <v>1</v>
      </c>
      <c r="R315" s="62" t="n">
        <v>0</v>
      </c>
      <c r="S315" s="62" t="n">
        <v>0</v>
      </c>
      <c r="T315" s="62" t="n">
        <v>0</v>
      </c>
      <c r="U315" s="62"/>
      <c r="V315" s="62"/>
      <c r="W315" s="62"/>
      <c r="X315" s="62"/>
      <c r="Y315" s="62"/>
      <c r="Z315" s="62" t="s">
        <v>757</v>
      </c>
      <c r="AA315" s="62" t="s">
        <v>758</v>
      </c>
      <c r="AB315" s="62" t="n">
        <v>1</v>
      </c>
      <c r="AC315" s="62" t="n">
        <v>0</v>
      </c>
      <c r="AD315" s="62" t="n">
        <v>1</v>
      </c>
      <c r="AE315" s="62" t="n">
        <f aca="false">IF(AND(Dashboard!$C$9="Yes",AC315=1),0,1)</f>
        <v>1</v>
      </c>
      <c r="AF315" s="62" t="n">
        <v>1</v>
      </c>
    </row>
    <row r="316" customFormat="false" ht="15" hidden="false" customHeight="false" outlineLevel="0" collapsed="false">
      <c r="A316" s="62" t="n">
        <v>315</v>
      </c>
      <c r="B316" s="63" t="n">
        <v>46235.1141087963</v>
      </c>
      <c r="C316" s="64" t="n">
        <v>46234</v>
      </c>
      <c r="D316" s="62" t="s">
        <v>288</v>
      </c>
      <c r="E316" s="62" t="s">
        <v>156</v>
      </c>
      <c r="F316" s="62" t="s">
        <v>156</v>
      </c>
      <c r="G316" s="62" t="s">
        <v>157</v>
      </c>
      <c r="H316" s="62" t="s">
        <v>51</v>
      </c>
      <c r="I316" s="62" t="s">
        <v>47</v>
      </c>
      <c r="J316" s="62" t="s">
        <v>146</v>
      </c>
      <c r="K316" s="62" t="s">
        <v>147</v>
      </c>
      <c r="L316" s="62" t="s">
        <v>148</v>
      </c>
      <c r="M316" s="62" t="n">
        <v>0</v>
      </c>
      <c r="N316" s="62" t="n">
        <v>1</v>
      </c>
      <c r="O316" s="62" t="n">
        <v>1</v>
      </c>
      <c r="P316" s="62" t="n">
        <v>0</v>
      </c>
      <c r="Q316" s="62" t="n">
        <v>0</v>
      </c>
      <c r="R316" s="62" t="n">
        <v>1</v>
      </c>
      <c r="S316" s="62" t="n">
        <v>0</v>
      </c>
      <c r="T316" s="62" t="n">
        <v>0</v>
      </c>
      <c r="U316" s="62"/>
      <c r="V316" s="62"/>
      <c r="W316" s="62"/>
      <c r="X316" s="62"/>
      <c r="Y316" s="62"/>
      <c r="Z316" s="62" t="s">
        <v>753</v>
      </c>
      <c r="AA316" s="62" t="s">
        <v>754</v>
      </c>
      <c r="AB316" s="62" t="n">
        <v>1</v>
      </c>
      <c r="AC316" s="62" t="n">
        <v>0</v>
      </c>
      <c r="AD316" s="62" t="n">
        <v>1</v>
      </c>
      <c r="AE316" s="62" t="n">
        <f aca="false">IF(AND(Dashboard!$C$9="Yes",AC316=1),0,1)</f>
        <v>1</v>
      </c>
      <c r="AF316" s="62" t="n">
        <v>1</v>
      </c>
    </row>
    <row r="317" customFormat="false" ht="15" hidden="false" customHeight="false" outlineLevel="0" collapsed="false">
      <c r="A317" s="62" t="n">
        <v>316</v>
      </c>
      <c r="B317" s="63" t="n">
        <v>46235.1395601852</v>
      </c>
      <c r="C317" s="64" t="n">
        <v>46234</v>
      </c>
      <c r="D317" s="62" t="s">
        <v>288</v>
      </c>
      <c r="E317" s="62" t="s">
        <v>144</v>
      </c>
      <c r="F317" s="62" t="s">
        <v>144</v>
      </c>
      <c r="G317" s="62" t="s">
        <v>145</v>
      </c>
      <c r="H317" s="62" t="s">
        <v>59</v>
      </c>
      <c r="I317" s="62" t="s">
        <v>47</v>
      </c>
      <c r="J317" s="62" t="s">
        <v>146</v>
      </c>
      <c r="K317" s="62" t="s">
        <v>147</v>
      </c>
      <c r="L317" s="62" t="s">
        <v>148</v>
      </c>
      <c r="M317" s="62" t="n">
        <v>0</v>
      </c>
      <c r="N317" s="62" t="n">
        <v>1</v>
      </c>
      <c r="O317" s="62" t="n">
        <v>1</v>
      </c>
      <c r="P317" s="62" t="n">
        <v>0</v>
      </c>
      <c r="Q317" s="62" t="n">
        <v>1</v>
      </c>
      <c r="R317" s="62" t="n">
        <v>0</v>
      </c>
      <c r="S317" s="62" t="n">
        <v>0</v>
      </c>
      <c r="T317" s="62" t="n">
        <v>0</v>
      </c>
      <c r="U317" s="62"/>
      <c r="V317" s="62"/>
      <c r="W317" s="62"/>
      <c r="X317" s="62"/>
      <c r="Y317" s="62"/>
      <c r="Z317" s="62" t="s">
        <v>759</v>
      </c>
      <c r="AA317" s="62" t="s">
        <v>760</v>
      </c>
      <c r="AB317" s="62" t="n">
        <v>0</v>
      </c>
      <c r="AC317" s="62" t="n">
        <v>0</v>
      </c>
      <c r="AD317" s="62" t="n">
        <v>1</v>
      </c>
      <c r="AE317" s="62" t="n">
        <f aca="false">IF(AND(Dashboard!$C$9="Yes",AC317=1),0,1)</f>
        <v>1</v>
      </c>
      <c r="AF317" s="62" t="n">
        <v>1</v>
      </c>
    </row>
    <row r="318" customFormat="false" ht="15" hidden="false" customHeight="false" outlineLevel="0" collapsed="false">
      <c r="A318" s="62" t="n">
        <v>317</v>
      </c>
      <c r="B318" s="63" t="n">
        <v>46235.1397685185</v>
      </c>
      <c r="C318" s="64" t="n">
        <v>46234</v>
      </c>
      <c r="D318" s="62" t="s">
        <v>288</v>
      </c>
      <c r="E318" s="62" t="s">
        <v>144</v>
      </c>
      <c r="F318" s="62" t="s">
        <v>144</v>
      </c>
      <c r="G318" s="62" t="s">
        <v>145</v>
      </c>
      <c r="H318" s="62" t="s">
        <v>59</v>
      </c>
      <c r="I318" s="62" t="s">
        <v>47</v>
      </c>
      <c r="J318" s="62" t="s">
        <v>146</v>
      </c>
      <c r="K318" s="62" t="s">
        <v>147</v>
      </c>
      <c r="L318" s="62" t="s">
        <v>148</v>
      </c>
      <c r="M318" s="62" t="n">
        <v>0</v>
      </c>
      <c r="N318" s="62" t="n">
        <v>1</v>
      </c>
      <c r="O318" s="62" t="n">
        <v>1</v>
      </c>
      <c r="P318" s="62" t="n">
        <v>0</v>
      </c>
      <c r="Q318" s="62" t="n">
        <v>1</v>
      </c>
      <c r="R318" s="62" t="n">
        <v>0</v>
      </c>
      <c r="S318" s="62" t="n">
        <v>0</v>
      </c>
      <c r="T318" s="62" t="n">
        <v>0</v>
      </c>
      <c r="U318" s="62"/>
      <c r="V318" s="62"/>
      <c r="W318" s="62"/>
      <c r="X318" s="62"/>
      <c r="Y318" s="62"/>
      <c r="Z318" s="62" t="s">
        <v>759</v>
      </c>
      <c r="AA318" s="62" t="s">
        <v>760</v>
      </c>
      <c r="AB318" s="62" t="n">
        <v>0</v>
      </c>
      <c r="AC318" s="62" t="n">
        <v>0</v>
      </c>
      <c r="AD318" s="62" t="n">
        <v>1</v>
      </c>
      <c r="AE318" s="62" t="n">
        <f aca="false">IF(AND(Dashboard!$C$9="Yes",AC318=1),0,1)</f>
        <v>1</v>
      </c>
      <c r="AF318" s="62" t="n">
        <v>0</v>
      </c>
    </row>
    <row r="319" customFormat="false" ht="15" hidden="false" customHeight="false" outlineLevel="0" collapsed="false">
      <c r="A319" s="62" t="n">
        <v>318</v>
      </c>
      <c r="B319" s="63" t="n">
        <v>46235.1603703704</v>
      </c>
      <c r="C319" s="64" t="n">
        <v>46234</v>
      </c>
      <c r="D319" s="62" t="s">
        <v>288</v>
      </c>
      <c r="E319" s="62" t="s">
        <v>156</v>
      </c>
      <c r="F319" s="62" t="s">
        <v>156</v>
      </c>
      <c r="G319" s="62" t="s">
        <v>157</v>
      </c>
      <c r="H319" s="62" t="s">
        <v>51</v>
      </c>
      <c r="I319" s="62" t="s">
        <v>47</v>
      </c>
      <c r="J319" s="62" t="s">
        <v>146</v>
      </c>
      <c r="K319" s="62" t="s">
        <v>147</v>
      </c>
      <c r="L319" s="62" t="s">
        <v>148</v>
      </c>
      <c r="M319" s="62" t="n">
        <v>0</v>
      </c>
      <c r="N319" s="62" t="n">
        <v>1</v>
      </c>
      <c r="O319" s="62" t="n">
        <v>1</v>
      </c>
      <c r="P319" s="62" t="n">
        <v>1</v>
      </c>
      <c r="Q319" s="62" t="n">
        <v>0</v>
      </c>
      <c r="R319" s="62" t="n">
        <v>0</v>
      </c>
      <c r="S319" s="62" t="n">
        <v>0</v>
      </c>
      <c r="T319" s="62" t="n">
        <v>0</v>
      </c>
      <c r="U319" s="62"/>
      <c r="V319" s="62"/>
      <c r="W319" s="62"/>
      <c r="X319" s="62"/>
      <c r="Y319" s="62"/>
      <c r="Z319" s="62" t="s">
        <v>761</v>
      </c>
      <c r="AA319" s="62" t="s">
        <v>762</v>
      </c>
      <c r="AB319" s="62" t="n">
        <v>1</v>
      </c>
      <c r="AC319" s="62" t="n">
        <v>0</v>
      </c>
      <c r="AD319" s="62" t="n">
        <v>1</v>
      </c>
      <c r="AE319" s="62" t="n">
        <f aca="false">IF(AND(Dashboard!$C$9="Yes",AC319=1),0,1)</f>
        <v>1</v>
      </c>
      <c r="AF319" s="62" t="n">
        <v>0</v>
      </c>
    </row>
    <row r="320" customFormat="false" ht="15" hidden="false" customHeight="false" outlineLevel="0" collapsed="false">
      <c r="A320" s="62" t="n">
        <v>319</v>
      </c>
      <c r="B320" s="63" t="n">
        <v>46235.1637037037</v>
      </c>
      <c r="C320" s="64" t="n">
        <v>46234</v>
      </c>
      <c r="D320" s="62" t="s">
        <v>288</v>
      </c>
      <c r="E320" s="62" t="s">
        <v>144</v>
      </c>
      <c r="F320" s="62" t="s">
        <v>144</v>
      </c>
      <c r="G320" s="62" t="s">
        <v>145</v>
      </c>
      <c r="H320" s="62" t="s">
        <v>59</v>
      </c>
      <c r="I320" s="62" t="s">
        <v>47</v>
      </c>
      <c r="J320" s="62" t="s">
        <v>146</v>
      </c>
      <c r="K320" s="62" t="s">
        <v>147</v>
      </c>
      <c r="L320" s="62" t="s">
        <v>148</v>
      </c>
      <c r="M320" s="62" t="n">
        <v>0</v>
      </c>
      <c r="N320" s="62" t="n">
        <v>2</v>
      </c>
      <c r="O320" s="62" t="n">
        <v>2</v>
      </c>
      <c r="P320" s="62" t="n">
        <v>1</v>
      </c>
      <c r="Q320" s="62" t="n">
        <v>1</v>
      </c>
      <c r="R320" s="62" t="n">
        <v>0</v>
      </c>
      <c r="S320" s="62" t="n">
        <v>0</v>
      </c>
      <c r="T320" s="62" t="n">
        <v>0</v>
      </c>
      <c r="U320" s="62"/>
      <c r="V320" s="62"/>
      <c r="W320" s="62"/>
      <c r="X320" s="62"/>
      <c r="Y320" s="62"/>
      <c r="Z320" s="62" t="s">
        <v>763</v>
      </c>
      <c r="AA320" s="62" t="s">
        <v>764</v>
      </c>
      <c r="AB320" s="62" t="n">
        <v>0</v>
      </c>
      <c r="AC320" s="62" t="n">
        <v>0</v>
      </c>
      <c r="AD320" s="62" t="n">
        <v>1</v>
      </c>
      <c r="AE320" s="62" t="n">
        <f aca="false">IF(AND(Dashboard!$C$9="Yes",AC320=1),0,1)</f>
        <v>1</v>
      </c>
      <c r="AF320" s="62" t="n">
        <v>0</v>
      </c>
    </row>
    <row r="321" customFormat="false" ht="15" hidden="false" customHeight="false" outlineLevel="0" collapsed="false">
      <c r="A321" s="62" t="n">
        <v>320</v>
      </c>
      <c r="B321" s="63" t="n">
        <v>46235.1639699074</v>
      </c>
      <c r="C321" s="64" t="n">
        <v>46234</v>
      </c>
      <c r="D321" s="62" t="s">
        <v>288</v>
      </c>
      <c r="E321" s="62" t="s">
        <v>144</v>
      </c>
      <c r="F321" s="62" t="s">
        <v>144</v>
      </c>
      <c r="G321" s="62" t="s">
        <v>145</v>
      </c>
      <c r="H321" s="62" t="s">
        <v>59</v>
      </c>
      <c r="I321" s="62" t="s">
        <v>47</v>
      </c>
      <c r="J321" s="62" t="s">
        <v>146</v>
      </c>
      <c r="K321" s="62" t="s">
        <v>147</v>
      </c>
      <c r="L321" s="62" t="s">
        <v>148</v>
      </c>
      <c r="M321" s="62" t="n">
        <v>0</v>
      </c>
      <c r="N321" s="62" t="n">
        <v>2</v>
      </c>
      <c r="O321" s="62" t="n">
        <v>2</v>
      </c>
      <c r="P321" s="62" t="n">
        <v>1</v>
      </c>
      <c r="Q321" s="62" t="n">
        <v>1</v>
      </c>
      <c r="R321" s="62" t="n">
        <v>0</v>
      </c>
      <c r="S321" s="62" t="n">
        <v>0</v>
      </c>
      <c r="T321" s="62" t="n">
        <v>0</v>
      </c>
      <c r="U321" s="62"/>
      <c r="V321" s="62"/>
      <c r="W321" s="62"/>
      <c r="X321" s="62"/>
      <c r="Y321" s="62"/>
      <c r="Z321" s="62" t="s">
        <v>763</v>
      </c>
      <c r="AA321" s="62" t="s">
        <v>764</v>
      </c>
      <c r="AB321" s="62" t="n">
        <v>0</v>
      </c>
      <c r="AC321" s="62" t="n">
        <v>0</v>
      </c>
      <c r="AD321" s="62" t="n">
        <v>1</v>
      </c>
      <c r="AE321" s="62" t="n">
        <f aca="false">IF(AND(Dashboard!$C$9="Yes",AC321=1),0,1)</f>
        <v>1</v>
      </c>
      <c r="AF321" s="62" t="n">
        <v>0</v>
      </c>
    </row>
    <row r="322" customFormat="false" ht="15" hidden="false" customHeight="false" outlineLevel="0" collapsed="false">
      <c r="A322" s="62" t="n">
        <v>321</v>
      </c>
      <c r="B322" s="63" t="n">
        <v>46235.1658680556</v>
      </c>
      <c r="C322" s="64" t="n">
        <v>46234</v>
      </c>
      <c r="D322" s="62" t="s">
        <v>288</v>
      </c>
      <c r="E322" s="62" t="s">
        <v>160</v>
      </c>
      <c r="F322" s="62" t="s">
        <v>160</v>
      </c>
      <c r="G322" s="62" t="s">
        <v>161</v>
      </c>
      <c r="H322" s="62" t="s">
        <v>51</v>
      </c>
      <c r="I322" s="62" t="s">
        <v>47</v>
      </c>
      <c r="J322" s="62" t="s">
        <v>146</v>
      </c>
      <c r="K322" s="62" t="s">
        <v>147</v>
      </c>
      <c r="L322" s="62" t="s">
        <v>4</v>
      </c>
      <c r="M322" s="62" t="n">
        <v>1</v>
      </c>
      <c r="N322" s="62" t="n">
        <v>0</v>
      </c>
      <c r="O322" s="62" t="n">
        <v>1</v>
      </c>
      <c r="P322" s="62" t="n">
        <v>0</v>
      </c>
      <c r="Q322" s="62" t="n">
        <v>0</v>
      </c>
      <c r="R322" s="62" t="n">
        <v>0</v>
      </c>
      <c r="S322" s="62" t="n">
        <v>0</v>
      </c>
      <c r="T322" s="62" t="n">
        <v>0</v>
      </c>
      <c r="U322" s="62"/>
      <c r="V322" s="62"/>
      <c r="W322" s="62"/>
      <c r="X322" s="62"/>
      <c r="Y322" s="62"/>
      <c r="Z322" s="62" t="s">
        <v>765</v>
      </c>
      <c r="AA322" s="62" t="s">
        <v>766</v>
      </c>
      <c r="AB322" s="62" t="n">
        <v>1</v>
      </c>
      <c r="AC322" s="62" t="n">
        <v>0</v>
      </c>
      <c r="AD322" s="62" t="n">
        <v>1</v>
      </c>
      <c r="AE322" s="62" t="n">
        <f aca="false">IF(AND(Dashboard!$C$9="Yes",AC322=1),0,1)</f>
        <v>1</v>
      </c>
      <c r="AF322" s="62" t="n">
        <v>1</v>
      </c>
    </row>
    <row r="323" customFormat="false" ht="15" hidden="false" customHeight="false" outlineLevel="0" collapsed="false">
      <c r="A323" s="62" t="n">
        <v>322</v>
      </c>
      <c r="B323" s="63" t="n">
        <v>46235.199375</v>
      </c>
      <c r="C323" s="64" t="n">
        <v>46234</v>
      </c>
      <c r="D323" s="62" t="s">
        <v>288</v>
      </c>
      <c r="E323" s="62" t="s">
        <v>212</v>
      </c>
      <c r="F323" s="62" t="s">
        <v>212</v>
      </c>
      <c r="G323" s="62" t="s">
        <v>213</v>
      </c>
      <c r="H323" s="62" t="s">
        <v>58</v>
      </c>
      <c r="I323" s="62" t="s">
        <v>49</v>
      </c>
      <c r="J323" s="62" t="s">
        <v>146</v>
      </c>
      <c r="K323" s="62" t="s">
        <v>175</v>
      </c>
      <c r="L323" s="62" t="s">
        <v>148</v>
      </c>
      <c r="M323" s="62" t="n">
        <v>0</v>
      </c>
      <c r="N323" s="62" t="n">
        <v>1</v>
      </c>
      <c r="O323" s="62" t="n">
        <v>1</v>
      </c>
      <c r="P323" s="62" t="n">
        <v>0</v>
      </c>
      <c r="Q323" s="62" t="n">
        <v>0</v>
      </c>
      <c r="R323" s="62" t="n">
        <v>1</v>
      </c>
      <c r="S323" s="62" t="n">
        <v>0</v>
      </c>
      <c r="T323" s="62" t="n">
        <v>0</v>
      </c>
      <c r="U323" s="62"/>
      <c r="V323" s="62"/>
      <c r="W323" s="62"/>
      <c r="X323" s="62"/>
      <c r="Y323" s="62"/>
      <c r="Z323" s="62" t="s">
        <v>767</v>
      </c>
      <c r="AA323" s="62" t="s">
        <v>768</v>
      </c>
      <c r="AB323" s="62" t="n">
        <v>1</v>
      </c>
      <c r="AC323" s="62" t="n">
        <v>0</v>
      </c>
      <c r="AD323" s="62" t="n">
        <v>1</v>
      </c>
      <c r="AE323" s="62" t="n">
        <f aca="false">IF(AND(Dashboard!$C$9="Yes",AC323=1),0,1)</f>
        <v>1</v>
      </c>
      <c r="AF323" s="62" t="n">
        <v>0</v>
      </c>
    </row>
    <row r="324" customFormat="false" ht="15" hidden="false" customHeight="false" outlineLevel="0" collapsed="false">
      <c r="A324" s="62" t="n">
        <v>323</v>
      </c>
      <c r="B324" s="63" t="n">
        <v>46235.2555092593</v>
      </c>
      <c r="C324" s="64" t="n">
        <v>46234</v>
      </c>
      <c r="D324" s="62" t="s">
        <v>288</v>
      </c>
      <c r="E324" s="62" t="s">
        <v>144</v>
      </c>
      <c r="F324" s="62" t="s">
        <v>144</v>
      </c>
      <c r="G324" s="62" t="s">
        <v>145</v>
      </c>
      <c r="H324" s="62" t="s">
        <v>59</v>
      </c>
      <c r="I324" s="62" t="s">
        <v>47</v>
      </c>
      <c r="J324" s="62" t="s">
        <v>146</v>
      </c>
      <c r="K324" s="62" t="s">
        <v>147</v>
      </c>
      <c r="L324" s="62" t="s">
        <v>148</v>
      </c>
      <c r="M324" s="62" t="n">
        <v>0</v>
      </c>
      <c r="N324" s="62" t="n">
        <v>1</v>
      </c>
      <c r="O324" s="62" t="n">
        <v>1</v>
      </c>
      <c r="P324" s="62" t="n">
        <v>0</v>
      </c>
      <c r="Q324" s="62" t="n">
        <v>0</v>
      </c>
      <c r="R324" s="62" t="n">
        <v>1</v>
      </c>
      <c r="S324" s="62" t="n">
        <v>0</v>
      </c>
      <c r="T324" s="62" t="n">
        <v>0</v>
      </c>
      <c r="U324" s="62"/>
      <c r="V324" s="62"/>
      <c r="W324" s="62"/>
      <c r="X324" s="62"/>
      <c r="Y324" s="62"/>
      <c r="Z324" s="62" t="s">
        <v>769</v>
      </c>
      <c r="AA324" s="62" t="s">
        <v>237</v>
      </c>
      <c r="AB324" s="62" t="n">
        <v>0</v>
      </c>
      <c r="AC324" s="62" t="n">
        <v>0</v>
      </c>
      <c r="AD324" s="62" t="n">
        <v>1</v>
      </c>
      <c r="AE324" s="62" t="n">
        <f aca="false">IF(AND(Dashboard!$C$9="Yes",AC324=1),0,1)</f>
        <v>1</v>
      </c>
      <c r="AF324" s="62" t="n">
        <v>0</v>
      </c>
    </row>
    <row r="325" customFormat="false" ht="15" hidden="false" customHeight="false" outlineLevel="0" collapsed="false">
      <c r="A325" s="62" t="n">
        <v>324</v>
      </c>
      <c r="B325" s="63" t="n">
        <v>46235.2556944444</v>
      </c>
      <c r="C325" s="64" t="n">
        <v>46234</v>
      </c>
      <c r="D325" s="62" t="s">
        <v>288</v>
      </c>
      <c r="E325" s="62" t="s">
        <v>144</v>
      </c>
      <c r="F325" s="62" t="s">
        <v>144</v>
      </c>
      <c r="G325" s="62" t="s">
        <v>145</v>
      </c>
      <c r="H325" s="62" t="s">
        <v>59</v>
      </c>
      <c r="I325" s="62" t="s">
        <v>47</v>
      </c>
      <c r="J325" s="62" t="s">
        <v>146</v>
      </c>
      <c r="K325" s="62" t="s">
        <v>147</v>
      </c>
      <c r="L325" s="62" t="s">
        <v>148</v>
      </c>
      <c r="M325" s="62" t="n">
        <v>0</v>
      </c>
      <c r="N325" s="62" t="n">
        <v>1</v>
      </c>
      <c r="O325" s="62" t="n">
        <v>1</v>
      </c>
      <c r="P325" s="62" t="n">
        <v>0</v>
      </c>
      <c r="Q325" s="62" t="n">
        <v>0</v>
      </c>
      <c r="R325" s="62" t="n">
        <v>1</v>
      </c>
      <c r="S325" s="62" t="n">
        <v>0</v>
      </c>
      <c r="T325" s="62" t="n">
        <v>0</v>
      </c>
      <c r="U325" s="62"/>
      <c r="V325" s="62"/>
      <c r="W325" s="62"/>
      <c r="X325" s="62"/>
      <c r="Y325" s="62"/>
      <c r="Z325" s="62" t="s">
        <v>769</v>
      </c>
      <c r="AA325" s="62" t="s">
        <v>237</v>
      </c>
      <c r="AB325" s="62" t="n">
        <v>0</v>
      </c>
      <c r="AC325" s="62" t="n">
        <v>0</v>
      </c>
      <c r="AD325" s="62" t="n">
        <v>1</v>
      </c>
      <c r="AE325" s="62" t="n">
        <f aca="false">IF(AND(Dashboard!$C$9="Yes",AC325=1),0,1)</f>
        <v>1</v>
      </c>
      <c r="AF325" s="62" t="n">
        <v>0</v>
      </c>
    </row>
    <row r="326" customFormat="false" ht="15" hidden="false" customHeight="false" outlineLevel="0" collapsed="false">
      <c r="A326" s="62" t="n">
        <v>325</v>
      </c>
      <c r="B326" s="63" t="n">
        <v>46235.6572453704</v>
      </c>
      <c r="C326" s="64" t="n">
        <v>46235</v>
      </c>
      <c r="D326" s="62" t="s">
        <v>358</v>
      </c>
      <c r="E326" s="62" t="s">
        <v>713</v>
      </c>
      <c r="F326" s="62" t="s">
        <v>714</v>
      </c>
      <c r="G326" s="62" t="s">
        <v>153</v>
      </c>
      <c r="H326" s="62" t="s">
        <v>153</v>
      </c>
      <c r="I326" s="62" t="s">
        <v>153</v>
      </c>
      <c r="J326" s="62" t="s">
        <v>64</v>
      </c>
      <c r="K326" s="62" t="s">
        <v>64</v>
      </c>
      <c r="L326" s="62" t="s">
        <v>148</v>
      </c>
      <c r="M326" s="62" t="n">
        <v>0</v>
      </c>
      <c r="N326" s="62" t="n">
        <v>1</v>
      </c>
      <c r="O326" s="62" t="n">
        <v>1</v>
      </c>
      <c r="P326" s="62" t="n">
        <v>0</v>
      </c>
      <c r="Q326" s="62" t="n">
        <v>0</v>
      </c>
      <c r="R326" s="62" t="n">
        <v>1</v>
      </c>
      <c r="S326" s="62" t="n">
        <v>0</v>
      </c>
      <c r="T326" s="62" t="n">
        <v>0</v>
      </c>
      <c r="U326" s="62"/>
      <c r="V326" s="62"/>
      <c r="W326" s="62"/>
      <c r="X326" s="62"/>
      <c r="Y326" s="62"/>
      <c r="Z326" s="62" t="s">
        <v>770</v>
      </c>
      <c r="AA326" s="62" t="s">
        <v>237</v>
      </c>
      <c r="AB326" s="62" t="n">
        <v>0</v>
      </c>
      <c r="AC326" s="62" t="n">
        <v>0</v>
      </c>
      <c r="AD326" s="62" t="n">
        <v>0</v>
      </c>
      <c r="AE326" s="62" t="n">
        <f aca="false">IF(AND(Dashboard!$C$9="Yes",AC326=1),0,1)</f>
        <v>1</v>
      </c>
      <c r="AF326" s="62" t="n">
        <v>1</v>
      </c>
    </row>
    <row r="327" customFormat="false" ht="15" hidden="false" customHeight="false" outlineLevel="0" collapsed="false">
      <c r="A327" s="62" t="n">
        <v>326</v>
      </c>
      <c r="B327" s="63" t="n">
        <v>46235.7381365741</v>
      </c>
      <c r="C327" s="64" t="n">
        <v>46235</v>
      </c>
      <c r="D327" s="62" t="s">
        <v>358</v>
      </c>
      <c r="E327" s="62" t="s">
        <v>586</v>
      </c>
      <c r="F327" s="62" t="s">
        <v>586</v>
      </c>
      <c r="G327" s="62" t="s">
        <v>587</v>
      </c>
      <c r="H327" s="62" t="s">
        <v>57</v>
      </c>
      <c r="I327" s="62" t="s">
        <v>47</v>
      </c>
      <c r="J327" s="62" t="s">
        <v>146</v>
      </c>
      <c r="K327" s="62" t="s">
        <v>175</v>
      </c>
      <c r="L327" s="62" t="s">
        <v>148</v>
      </c>
      <c r="M327" s="62" t="n">
        <v>0</v>
      </c>
      <c r="N327" s="62" t="n">
        <v>2</v>
      </c>
      <c r="O327" s="62" t="n">
        <v>2</v>
      </c>
      <c r="P327" s="62" t="n">
        <v>1</v>
      </c>
      <c r="Q327" s="62" t="n">
        <v>1</v>
      </c>
      <c r="R327" s="62" t="n">
        <v>0</v>
      </c>
      <c r="S327" s="62" t="n">
        <v>0</v>
      </c>
      <c r="T327" s="62" t="n">
        <v>0</v>
      </c>
      <c r="U327" s="62"/>
      <c r="V327" s="62"/>
      <c r="W327" s="62"/>
      <c r="X327" s="62"/>
      <c r="Y327" s="62"/>
      <c r="Z327" s="62" t="s">
        <v>771</v>
      </c>
      <c r="AA327" s="62" t="s">
        <v>772</v>
      </c>
      <c r="AB327" s="62" t="n">
        <v>1</v>
      </c>
      <c r="AC327" s="62" t="n">
        <v>0</v>
      </c>
      <c r="AD327" s="62" t="n">
        <v>1</v>
      </c>
      <c r="AE327" s="62" t="n">
        <f aca="false">IF(AND(Dashboard!$C$9="Yes",AC327=1),0,1)</f>
        <v>1</v>
      </c>
      <c r="AF327" s="62" t="n">
        <v>1</v>
      </c>
    </row>
    <row r="328" customFormat="false" ht="15" hidden="false" customHeight="false" outlineLevel="0" collapsed="false">
      <c r="A328" s="62" t="n">
        <v>327</v>
      </c>
      <c r="B328" s="63" t="n">
        <v>46235.7851041667</v>
      </c>
      <c r="C328" s="64" t="n">
        <v>46235</v>
      </c>
      <c r="D328" s="62" t="s">
        <v>358</v>
      </c>
      <c r="E328" s="62" t="s">
        <v>255</v>
      </c>
      <c r="F328" s="62" t="s">
        <v>255</v>
      </c>
      <c r="G328" s="62" t="s">
        <v>256</v>
      </c>
      <c r="H328" s="62" t="s">
        <v>57</v>
      </c>
      <c r="I328" s="62" t="s">
        <v>47</v>
      </c>
      <c r="J328" s="62" t="s">
        <v>146</v>
      </c>
      <c r="K328" s="62" t="s">
        <v>147</v>
      </c>
      <c r="L328" s="62" t="s">
        <v>148</v>
      </c>
      <c r="M328" s="62" t="n">
        <v>0</v>
      </c>
      <c r="N328" s="62" t="n">
        <v>1</v>
      </c>
      <c r="O328" s="62" t="n">
        <v>1</v>
      </c>
      <c r="P328" s="62" t="n">
        <v>0</v>
      </c>
      <c r="Q328" s="62" t="n">
        <v>0</v>
      </c>
      <c r="R328" s="62" t="n">
        <v>0</v>
      </c>
      <c r="S328" s="62" t="n">
        <v>1</v>
      </c>
      <c r="T328" s="62" t="n">
        <v>0</v>
      </c>
      <c r="U328" s="62"/>
      <c r="V328" s="62"/>
      <c r="W328" s="62"/>
      <c r="X328" s="62"/>
      <c r="Y328" s="62"/>
      <c r="Z328" s="62" t="s">
        <v>773</v>
      </c>
      <c r="AA328" s="62" t="s">
        <v>774</v>
      </c>
      <c r="AB328" s="62" t="n">
        <v>1</v>
      </c>
      <c r="AC328" s="62" t="n">
        <v>0</v>
      </c>
      <c r="AD328" s="62" t="n">
        <v>1</v>
      </c>
      <c r="AE328" s="62" t="n">
        <f aca="false">IF(AND(Dashboard!$C$9="Yes",AC328=1),0,1)</f>
        <v>1</v>
      </c>
      <c r="AF328" s="62" t="n">
        <v>1</v>
      </c>
    </row>
    <row r="329" customFormat="false" ht="15" hidden="false" customHeight="false" outlineLevel="0" collapsed="false">
      <c r="A329" s="62" t="n">
        <v>328</v>
      </c>
      <c r="B329" s="63" t="n">
        <v>46235.7856828704</v>
      </c>
      <c r="C329" s="64" t="n">
        <v>46235</v>
      </c>
      <c r="D329" s="62" t="s">
        <v>358</v>
      </c>
      <c r="E329" s="62" t="s">
        <v>586</v>
      </c>
      <c r="F329" s="62" t="s">
        <v>586</v>
      </c>
      <c r="G329" s="62" t="s">
        <v>587</v>
      </c>
      <c r="H329" s="62" t="s">
        <v>57</v>
      </c>
      <c r="I329" s="62" t="s">
        <v>47</v>
      </c>
      <c r="J329" s="62" t="s">
        <v>146</v>
      </c>
      <c r="K329" s="62" t="s">
        <v>175</v>
      </c>
      <c r="L329" s="62" t="s">
        <v>148</v>
      </c>
      <c r="M329" s="62" t="n">
        <v>0</v>
      </c>
      <c r="N329" s="62" t="n">
        <v>1</v>
      </c>
      <c r="O329" s="62" t="n">
        <v>1</v>
      </c>
      <c r="P329" s="62" t="n">
        <v>1</v>
      </c>
      <c r="Q329" s="62" t="n">
        <v>0</v>
      </c>
      <c r="R329" s="62" t="n">
        <v>0</v>
      </c>
      <c r="S329" s="62" t="n">
        <v>0</v>
      </c>
      <c r="T329" s="62" t="n">
        <v>0</v>
      </c>
      <c r="U329" s="62"/>
      <c r="V329" s="62"/>
      <c r="W329" s="62"/>
      <c r="X329" s="62"/>
      <c r="Y329" s="62"/>
      <c r="Z329" s="62" t="s">
        <v>775</v>
      </c>
      <c r="AA329" s="62" t="s">
        <v>776</v>
      </c>
      <c r="AB329" s="62" t="n">
        <v>1</v>
      </c>
      <c r="AC329" s="62" t="n">
        <v>0</v>
      </c>
      <c r="AD329" s="62" t="n">
        <v>1</v>
      </c>
      <c r="AE329" s="62" t="n">
        <f aca="false">IF(AND(Dashboard!$C$9="Yes",AC329=1),0,1)</f>
        <v>1</v>
      </c>
      <c r="AF329" s="62" t="n">
        <v>0</v>
      </c>
    </row>
    <row r="330" customFormat="false" ht="15" hidden="false" customHeight="false" outlineLevel="0" collapsed="false">
      <c r="A330" s="62" t="n">
        <v>329</v>
      </c>
      <c r="B330" s="63" t="n">
        <v>46235.7863541667</v>
      </c>
      <c r="C330" s="64" t="n">
        <v>46235</v>
      </c>
      <c r="D330" s="62" t="s">
        <v>358</v>
      </c>
      <c r="E330" s="62" t="s">
        <v>212</v>
      </c>
      <c r="F330" s="62" t="s">
        <v>212</v>
      </c>
      <c r="G330" s="62" t="s">
        <v>213</v>
      </c>
      <c r="H330" s="62" t="s">
        <v>58</v>
      </c>
      <c r="I330" s="62" t="s">
        <v>49</v>
      </c>
      <c r="J330" s="62" t="s">
        <v>146</v>
      </c>
      <c r="K330" s="62" t="s">
        <v>175</v>
      </c>
      <c r="L330" s="62" t="s">
        <v>148</v>
      </c>
      <c r="M330" s="62" t="n">
        <v>0</v>
      </c>
      <c r="N330" s="62" t="n">
        <v>1</v>
      </c>
      <c r="O330" s="62" t="n">
        <v>1</v>
      </c>
      <c r="P330" s="62" t="n">
        <v>1</v>
      </c>
      <c r="Q330" s="62" t="n">
        <v>0</v>
      </c>
      <c r="R330" s="62" t="n">
        <v>0</v>
      </c>
      <c r="S330" s="62" t="n">
        <v>0</v>
      </c>
      <c r="T330" s="62" t="n">
        <v>0</v>
      </c>
      <c r="U330" s="62"/>
      <c r="V330" s="62"/>
      <c r="W330" s="62"/>
      <c r="X330" s="62"/>
      <c r="Y330" s="62"/>
      <c r="Z330" s="62" t="s">
        <v>777</v>
      </c>
      <c r="AA330" s="62" t="s">
        <v>778</v>
      </c>
      <c r="AB330" s="62" t="n">
        <v>1</v>
      </c>
      <c r="AC330" s="62" t="n">
        <v>0</v>
      </c>
      <c r="AD330" s="62" t="n">
        <v>1</v>
      </c>
      <c r="AE330" s="62" t="n">
        <f aca="false">IF(AND(Dashboard!$C$9="Yes",AC330=1),0,1)</f>
        <v>1</v>
      </c>
      <c r="AF330" s="62" t="n">
        <v>1</v>
      </c>
    </row>
    <row r="331" customFormat="false" ht="15" hidden="false" customHeight="false" outlineLevel="0" collapsed="false">
      <c r="A331" s="62" t="n">
        <v>330</v>
      </c>
      <c r="B331" s="63" t="n">
        <v>46235.802349537</v>
      </c>
      <c r="C331" s="64" t="n">
        <v>46235</v>
      </c>
      <c r="D331" s="62" t="s">
        <v>358</v>
      </c>
      <c r="E331" s="62" t="s">
        <v>218</v>
      </c>
      <c r="F331" s="62" t="s">
        <v>218</v>
      </c>
      <c r="G331" s="62" t="s">
        <v>219</v>
      </c>
      <c r="H331" s="62" t="s">
        <v>51</v>
      </c>
      <c r="I331" s="62" t="s">
        <v>47</v>
      </c>
      <c r="J331" s="62" t="s">
        <v>146</v>
      </c>
      <c r="K331" s="62" t="s">
        <v>147</v>
      </c>
      <c r="L331" s="62" t="s">
        <v>148</v>
      </c>
      <c r="M331" s="62" t="n">
        <v>0</v>
      </c>
      <c r="N331" s="62" t="n">
        <v>1</v>
      </c>
      <c r="O331" s="62" t="n">
        <v>1</v>
      </c>
      <c r="P331" s="62" t="n">
        <v>1</v>
      </c>
      <c r="Q331" s="62" t="n">
        <v>0</v>
      </c>
      <c r="R331" s="62" t="n">
        <v>0</v>
      </c>
      <c r="S331" s="62" t="n">
        <v>0</v>
      </c>
      <c r="T331" s="62" t="n">
        <v>0</v>
      </c>
      <c r="U331" s="62"/>
      <c r="V331" s="62"/>
      <c r="W331" s="62"/>
      <c r="X331" s="62"/>
      <c r="Y331" s="62"/>
      <c r="Z331" s="62" t="s">
        <v>779</v>
      </c>
      <c r="AA331" s="62" t="s">
        <v>780</v>
      </c>
      <c r="AB331" s="62" t="n">
        <v>1</v>
      </c>
      <c r="AC331" s="62" t="n">
        <v>0</v>
      </c>
      <c r="AD331" s="62" t="n">
        <v>1</v>
      </c>
      <c r="AE331" s="62" t="n">
        <f aca="false">IF(AND(Dashboard!$C$9="Yes",AC331=1),0,1)</f>
        <v>1</v>
      </c>
      <c r="AF331" s="62" t="n">
        <v>1</v>
      </c>
    </row>
    <row r="332" customFormat="false" ht="15" hidden="false" customHeight="false" outlineLevel="0" collapsed="false">
      <c r="A332" s="62" t="n">
        <v>331</v>
      </c>
      <c r="B332" s="63" t="n">
        <v>46235.8315277778</v>
      </c>
      <c r="C332" s="64" t="n">
        <v>46235</v>
      </c>
      <c r="D332" s="62" t="s">
        <v>358</v>
      </c>
      <c r="E332" s="62" t="s">
        <v>307</v>
      </c>
      <c r="F332" s="62" t="s">
        <v>308</v>
      </c>
      <c r="G332" s="62" t="s">
        <v>153</v>
      </c>
      <c r="H332" s="62" t="s">
        <v>153</v>
      </c>
      <c r="I332" s="62" t="s">
        <v>153</v>
      </c>
      <c r="J332" s="62" t="s">
        <v>64</v>
      </c>
      <c r="K332" s="62" t="s">
        <v>64</v>
      </c>
      <c r="L332" s="62" t="s">
        <v>148</v>
      </c>
      <c r="M332" s="62" t="n">
        <v>0</v>
      </c>
      <c r="N332" s="62" t="n">
        <v>1</v>
      </c>
      <c r="O332" s="62" t="n">
        <v>1</v>
      </c>
      <c r="P332" s="62" t="n">
        <v>0</v>
      </c>
      <c r="Q332" s="62" t="n">
        <v>1</v>
      </c>
      <c r="R332" s="62" t="n">
        <v>0</v>
      </c>
      <c r="S332" s="62" t="n">
        <v>0</v>
      </c>
      <c r="T332" s="62" t="n">
        <v>0</v>
      </c>
      <c r="U332" s="62"/>
      <c r="V332" s="62"/>
      <c r="W332" s="62"/>
      <c r="X332" s="62"/>
      <c r="Y332" s="62"/>
      <c r="Z332" s="62" t="s">
        <v>781</v>
      </c>
      <c r="AA332" s="62" t="s">
        <v>782</v>
      </c>
      <c r="AB332" s="62" t="n">
        <v>1</v>
      </c>
      <c r="AC332" s="62" t="n">
        <v>0</v>
      </c>
      <c r="AD332" s="62" t="n">
        <v>0</v>
      </c>
      <c r="AE332" s="62" t="n">
        <f aca="false">IF(AND(Dashboard!$C$9="Yes",AC332=1),0,1)</f>
        <v>1</v>
      </c>
      <c r="AF332" s="62" t="n">
        <v>1</v>
      </c>
    </row>
    <row r="333" customFormat="false" ht="15" hidden="false" customHeight="false" outlineLevel="0" collapsed="false">
      <c r="A333" s="62" t="n">
        <v>332</v>
      </c>
      <c r="B333" s="63" t="n">
        <v>46235.8438425926</v>
      </c>
      <c r="C333" s="64" t="n">
        <v>46235</v>
      </c>
      <c r="D333" s="62" t="s">
        <v>358</v>
      </c>
      <c r="E333" s="62" t="s">
        <v>255</v>
      </c>
      <c r="F333" s="62" t="s">
        <v>255</v>
      </c>
      <c r="G333" s="62" t="s">
        <v>256</v>
      </c>
      <c r="H333" s="62" t="s">
        <v>57</v>
      </c>
      <c r="I333" s="62" t="s">
        <v>47</v>
      </c>
      <c r="J333" s="62" t="s">
        <v>146</v>
      </c>
      <c r="K333" s="62" t="s">
        <v>147</v>
      </c>
      <c r="L333" s="62" t="s">
        <v>4</v>
      </c>
      <c r="M333" s="62" t="n">
        <v>1</v>
      </c>
      <c r="N333" s="62" t="n">
        <v>0</v>
      </c>
      <c r="O333" s="62" t="n">
        <v>1</v>
      </c>
      <c r="P333" s="62" t="n">
        <v>0</v>
      </c>
      <c r="Q333" s="62" t="n">
        <v>0</v>
      </c>
      <c r="R333" s="62" t="n">
        <v>0</v>
      </c>
      <c r="S333" s="62" t="n">
        <v>0</v>
      </c>
      <c r="T333" s="62" t="n">
        <v>0</v>
      </c>
      <c r="U333" s="62"/>
      <c r="V333" s="62"/>
      <c r="W333" s="62"/>
      <c r="X333" s="62"/>
      <c r="Y333" s="62"/>
      <c r="Z333" s="62" t="s">
        <v>783</v>
      </c>
      <c r="AA333" s="62" t="s">
        <v>784</v>
      </c>
      <c r="AB333" s="62" t="n">
        <v>1</v>
      </c>
      <c r="AC333" s="62" t="n">
        <v>0</v>
      </c>
      <c r="AD333" s="62" t="n">
        <v>1</v>
      </c>
      <c r="AE333" s="62" t="n">
        <f aca="false">IF(AND(Dashboard!$C$9="Yes",AC333=1),0,1)</f>
        <v>1</v>
      </c>
      <c r="AF333" s="62" t="n">
        <v>0</v>
      </c>
    </row>
    <row r="334" customFormat="false" ht="15" hidden="false" customHeight="false" outlineLevel="0" collapsed="false">
      <c r="A334" s="62" t="n">
        <v>333</v>
      </c>
      <c r="B334" s="63" t="n">
        <v>46235.8441550926</v>
      </c>
      <c r="C334" s="64" t="n">
        <v>46235</v>
      </c>
      <c r="D334" s="62" t="s">
        <v>358</v>
      </c>
      <c r="E334" s="62" t="s">
        <v>255</v>
      </c>
      <c r="F334" s="62" t="s">
        <v>255</v>
      </c>
      <c r="G334" s="62" t="s">
        <v>256</v>
      </c>
      <c r="H334" s="62" t="s">
        <v>57</v>
      </c>
      <c r="I334" s="62" t="s">
        <v>47</v>
      </c>
      <c r="J334" s="62" t="s">
        <v>146</v>
      </c>
      <c r="K334" s="62" t="s">
        <v>147</v>
      </c>
      <c r="L334" s="62" t="s">
        <v>148</v>
      </c>
      <c r="M334" s="62" t="n">
        <v>0</v>
      </c>
      <c r="N334" s="62" t="n">
        <v>2</v>
      </c>
      <c r="O334" s="62" t="n">
        <v>2</v>
      </c>
      <c r="P334" s="62" t="n">
        <v>0</v>
      </c>
      <c r="Q334" s="62" t="n">
        <v>0</v>
      </c>
      <c r="R334" s="62" t="n">
        <v>0</v>
      </c>
      <c r="S334" s="62" t="n">
        <v>1</v>
      </c>
      <c r="T334" s="62" t="n">
        <v>1</v>
      </c>
      <c r="U334" s="62"/>
      <c r="V334" s="62"/>
      <c r="W334" s="62"/>
      <c r="X334" s="62"/>
      <c r="Y334" s="62"/>
      <c r="Z334" s="62" t="s">
        <v>783</v>
      </c>
      <c r="AA334" s="62" t="s">
        <v>784</v>
      </c>
      <c r="AB334" s="62" t="n">
        <v>1</v>
      </c>
      <c r="AC334" s="62" t="n">
        <v>0</v>
      </c>
      <c r="AD334" s="62" t="n">
        <v>1</v>
      </c>
      <c r="AE334" s="62" t="n">
        <f aca="false">IF(AND(Dashboard!$C$9="Yes",AC334=1),0,1)</f>
        <v>1</v>
      </c>
      <c r="AF334" s="62" t="n">
        <v>0</v>
      </c>
    </row>
    <row r="335" customFormat="false" ht="15" hidden="false" customHeight="false" outlineLevel="0" collapsed="false">
      <c r="A335" s="62" t="n">
        <v>334</v>
      </c>
      <c r="B335" s="63" t="n">
        <v>46235.8811921296</v>
      </c>
      <c r="C335" s="64" t="n">
        <v>46235</v>
      </c>
      <c r="D335" s="62" t="s">
        <v>358</v>
      </c>
      <c r="E335" s="62" t="s">
        <v>650</v>
      </c>
      <c r="F335" s="62" t="s">
        <v>650</v>
      </c>
      <c r="G335" s="62" t="s">
        <v>651</v>
      </c>
      <c r="H335" s="62" t="s">
        <v>59</v>
      </c>
      <c r="I335" s="62" t="s">
        <v>47</v>
      </c>
      <c r="J335" s="62" t="s">
        <v>146</v>
      </c>
      <c r="K335" s="62" t="s">
        <v>209</v>
      </c>
      <c r="L335" s="62" t="s">
        <v>148</v>
      </c>
      <c r="M335" s="62" t="n">
        <v>0</v>
      </c>
      <c r="N335" s="62" t="n">
        <v>2</v>
      </c>
      <c r="O335" s="62" t="n">
        <v>2</v>
      </c>
      <c r="P335" s="62" t="n">
        <v>1</v>
      </c>
      <c r="Q335" s="62" t="n">
        <v>1</v>
      </c>
      <c r="R335" s="62" t="n">
        <v>0</v>
      </c>
      <c r="S335" s="62" t="n">
        <v>0</v>
      </c>
      <c r="T335" s="62" t="n">
        <v>0</v>
      </c>
      <c r="U335" s="62"/>
      <c r="V335" s="62"/>
      <c r="W335" s="62"/>
      <c r="X335" s="62"/>
      <c r="Y335" s="62"/>
      <c r="Z335" s="62" t="s">
        <v>785</v>
      </c>
      <c r="AA335" s="62" t="s">
        <v>785</v>
      </c>
      <c r="AB335" s="62" t="n">
        <v>1</v>
      </c>
      <c r="AC335" s="62" t="n">
        <v>0</v>
      </c>
      <c r="AD335" s="62" t="n">
        <v>1</v>
      </c>
      <c r="AE335" s="62" t="n">
        <f aca="false">IF(AND(Dashboard!$C$9="Yes",AC335=1),0,1)</f>
        <v>1</v>
      </c>
      <c r="AF335" s="62" t="n">
        <v>1</v>
      </c>
    </row>
    <row r="336" customFormat="false" ht="15" hidden="false" customHeight="false" outlineLevel="0" collapsed="false">
      <c r="A336" s="62" t="n">
        <v>335</v>
      </c>
      <c r="B336" s="63" t="n">
        <v>46235.9159606482</v>
      </c>
      <c r="C336" s="64" t="n">
        <v>46235</v>
      </c>
      <c r="D336" s="62" t="s">
        <v>358</v>
      </c>
      <c r="E336" s="62" t="s">
        <v>307</v>
      </c>
      <c r="F336" s="62" t="s">
        <v>308</v>
      </c>
      <c r="G336" s="62" t="s">
        <v>153</v>
      </c>
      <c r="H336" s="62" t="s">
        <v>153</v>
      </c>
      <c r="I336" s="62" t="s">
        <v>153</v>
      </c>
      <c r="J336" s="62" t="s">
        <v>64</v>
      </c>
      <c r="K336" s="62" t="s">
        <v>64</v>
      </c>
      <c r="L336" s="62" t="s">
        <v>148</v>
      </c>
      <c r="M336" s="62" t="n">
        <v>0</v>
      </c>
      <c r="N336" s="62" t="n">
        <v>1</v>
      </c>
      <c r="O336" s="62" t="n">
        <v>1</v>
      </c>
      <c r="P336" s="62" t="n">
        <v>0</v>
      </c>
      <c r="Q336" s="62" t="n">
        <v>1</v>
      </c>
      <c r="R336" s="62" t="n">
        <v>0</v>
      </c>
      <c r="S336" s="62" t="n">
        <v>0</v>
      </c>
      <c r="T336" s="62" t="n">
        <v>0</v>
      </c>
      <c r="U336" s="62"/>
      <c r="V336" s="62"/>
      <c r="W336" s="62"/>
      <c r="X336" s="62"/>
      <c r="Y336" s="62"/>
      <c r="Z336" s="62" t="s">
        <v>786</v>
      </c>
      <c r="AA336" s="62" t="s">
        <v>787</v>
      </c>
      <c r="AB336" s="62" t="n">
        <v>1</v>
      </c>
      <c r="AC336" s="62" t="n">
        <v>0</v>
      </c>
      <c r="AD336" s="62" t="n">
        <v>0</v>
      </c>
      <c r="AE336" s="62" t="n">
        <f aca="false">IF(AND(Dashboard!$C$9="Yes",AC336=1),0,1)</f>
        <v>1</v>
      </c>
      <c r="AF336" s="62" t="n">
        <v>0</v>
      </c>
    </row>
    <row r="337" customFormat="false" ht="15" hidden="false" customHeight="false" outlineLevel="0" collapsed="false">
      <c r="A337" s="62" t="n">
        <v>336</v>
      </c>
      <c r="B337" s="63" t="n">
        <v>46235.9250810185</v>
      </c>
      <c r="C337" s="64" t="n">
        <v>46235</v>
      </c>
      <c r="D337" s="62" t="s">
        <v>358</v>
      </c>
      <c r="E337" s="62" t="s">
        <v>255</v>
      </c>
      <c r="F337" s="62" t="s">
        <v>255</v>
      </c>
      <c r="G337" s="62" t="s">
        <v>256</v>
      </c>
      <c r="H337" s="62" t="s">
        <v>57</v>
      </c>
      <c r="I337" s="62" t="s">
        <v>47</v>
      </c>
      <c r="J337" s="62" t="s">
        <v>146</v>
      </c>
      <c r="K337" s="62" t="s">
        <v>147</v>
      </c>
      <c r="L337" s="62" t="s">
        <v>4</v>
      </c>
      <c r="M337" s="62" t="n">
        <v>1</v>
      </c>
      <c r="N337" s="62" t="n">
        <v>0</v>
      </c>
      <c r="O337" s="62" t="n">
        <v>1</v>
      </c>
      <c r="P337" s="62" t="n">
        <v>0</v>
      </c>
      <c r="Q337" s="62" t="n">
        <v>0</v>
      </c>
      <c r="R337" s="62" t="n">
        <v>0</v>
      </c>
      <c r="S337" s="62" t="n">
        <v>0</v>
      </c>
      <c r="T337" s="62" t="n">
        <v>0</v>
      </c>
      <c r="U337" s="62"/>
      <c r="V337" s="62"/>
      <c r="W337" s="62"/>
      <c r="X337" s="62"/>
      <c r="Y337" s="62"/>
      <c r="Z337" s="62" t="s">
        <v>788</v>
      </c>
      <c r="AA337" s="62" t="s">
        <v>789</v>
      </c>
      <c r="AB337" s="62" t="n">
        <v>1</v>
      </c>
      <c r="AC337" s="62" t="n">
        <v>0</v>
      </c>
      <c r="AD337" s="62" t="n">
        <v>1</v>
      </c>
      <c r="AE337" s="62" t="n">
        <f aca="false">IF(AND(Dashboard!$C$9="Yes",AC337=1),0,1)</f>
        <v>1</v>
      </c>
      <c r="AF337" s="62" t="n">
        <v>0</v>
      </c>
    </row>
    <row r="338" customFormat="false" ht="15" hidden="false" customHeight="false" outlineLevel="0" collapsed="false">
      <c r="A338" s="62" t="n">
        <v>337</v>
      </c>
      <c r="B338" s="63" t="n">
        <v>46235.9330324074</v>
      </c>
      <c r="C338" s="64" t="n">
        <v>46235</v>
      </c>
      <c r="D338" s="62" t="s">
        <v>358</v>
      </c>
      <c r="E338" s="62" t="s">
        <v>790</v>
      </c>
      <c r="F338" s="62" t="s">
        <v>791</v>
      </c>
      <c r="G338" s="62" t="s">
        <v>153</v>
      </c>
      <c r="H338" s="62" t="s">
        <v>153</v>
      </c>
      <c r="I338" s="62" t="s">
        <v>153</v>
      </c>
      <c r="J338" s="62" t="s">
        <v>64</v>
      </c>
      <c r="K338" s="62" t="s">
        <v>64</v>
      </c>
      <c r="L338" s="62" t="s">
        <v>4</v>
      </c>
      <c r="M338" s="62" t="n">
        <v>1</v>
      </c>
      <c r="N338" s="62" t="n">
        <v>0</v>
      </c>
      <c r="O338" s="62" t="n">
        <v>1</v>
      </c>
      <c r="P338" s="62" t="n">
        <v>0</v>
      </c>
      <c r="Q338" s="62" t="n">
        <v>0</v>
      </c>
      <c r="R338" s="62" t="n">
        <v>0</v>
      </c>
      <c r="S338" s="62" t="n">
        <v>0</v>
      </c>
      <c r="T338" s="62" t="n">
        <v>0</v>
      </c>
      <c r="U338" s="62"/>
      <c r="V338" s="62"/>
      <c r="W338" s="62"/>
      <c r="X338" s="62"/>
      <c r="Y338" s="62"/>
      <c r="Z338" s="62" t="s">
        <v>792</v>
      </c>
      <c r="AA338" s="62" t="s">
        <v>793</v>
      </c>
      <c r="AB338" s="62" t="n">
        <v>1</v>
      </c>
      <c r="AC338" s="62" t="n">
        <v>0</v>
      </c>
      <c r="AD338" s="62" t="n">
        <v>0</v>
      </c>
      <c r="AE338" s="62" t="n">
        <f aca="false">IF(AND(Dashboard!$C$9="Yes",AC338=1),0,1)</f>
        <v>1</v>
      </c>
      <c r="AF338" s="62" t="n">
        <v>1</v>
      </c>
    </row>
    <row r="339" customFormat="false" ht="15" hidden="false" customHeight="false" outlineLevel="0" collapsed="false">
      <c r="A339" s="62" t="n">
        <v>338</v>
      </c>
      <c r="B339" s="63" t="n">
        <v>46235.944837963</v>
      </c>
      <c r="C339" s="64" t="n">
        <v>46235</v>
      </c>
      <c r="D339" s="62" t="s">
        <v>358</v>
      </c>
      <c r="E339" s="62" t="s">
        <v>586</v>
      </c>
      <c r="F339" s="62" t="s">
        <v>586</v>
      </c>
      <c r="G339" s="62" t="s">
        <v>587</v>
      </c>
      <c r="H339" s="62" t="s">
        <v>57</v>
      </c>
      <c r="I339" s="62" t="s">
        <v>47</v>
      </c>
      <c r="J339" s="62" t="s">
        <v>146</v>
      </c>
      <c r="K339" s="62" t="s">
        <v>175</v>
      </c>
      <c r="L339" s="62" t="s">
        <v>148</v>
      </c>
      <c r="M339" s="62" t="n">
        <v>0</v>
      </c>
      <c r="N339" s="62" t="n">
        <v>1</v>
      </c>
      <c r="O339" s="62" t="n">
        <v>1</v>
      </c>
      <c r="P339" s="62" t="n">
        <v>1</v>
      </c>
      <c r="Q339" s="62" t="n">
        <v>0</v>
      </c>
      <c r="R339" s="62" t="n">
        <v>0</v>
      </c>
      <c r="S339" s="62" t="n">
        <v>0</v>
      </c>
      <c r="T339" s="62" t="n">
        <v>0</v>
      </c>
      <c r="U339" s="62"/>
      <c r="V339" s="62"/>
      <c r="W339" s="62"/>
      <c r="X339" s="62"/>
      <c r="Y339" s="62"/>
      <c r="Z339" s="62" t="s">
        <v>794</v>
      </c>
      <c r="AA339" s="62" t="s">
        <v>795</v>
      </c>
      <c r="AB339" s="62" t="n">
        <v>1</v>
      </c>
      <c r="AC339" s="62" t="n">
        <v>0</v>
      </c>
      <c r="AD339" s="62" t="n">
        <v>1</v>
      </c>
      <c r="AE339" s="62" t="n">
        <f aca="false">IF(AND(Dashboard!$C$9="Yes",AC339=1),0,1)</f>
        <v>1</v>
      </c>
      <c r="AF339" s="62" t="n">
        <v>0</v>
      </c>
    </row>
    <row r="340" customFormat="false" ht="15" hidden="false" customHeight="false" outlineLevel="0" collapsed="false">
      <c r="A340" s="62" t="n">
        <v>339</v>
      </c>
      <c r="B340" s="63" t="n">
        <v>46235.9490509259</v>
      </c>
      <c r="C340" s="64" t="n">
        <v>46235</v>
      </c>
      <c r="D340" s="62" t="s">
        <v>358</v>
      </c>
      <c r="E340" s="62" t="s">
        <v>650</v>
      </c>
      <c r="F340" s="62" t="s">
        <v>650</v>
      </c>
      <c r="G340" s="62" t="s">
        <v>651</v>
      </c>
      <c r="H340" s="62" t="s">
        <v>59</v>
      </c>
      <c r="I340" s="62" t="s">
        <v>47</v>
      </c>
      <c r="J340" s="62" t="s">
        <v>146</v>
      </c>
      <c r="K340" s="62" t="s">
        <v>209</v>
      </c>
      <c r="L340" s="62" t="s">
        <v>148</v>
      </c>
      <c r="M340" s="62" t="n">
        <v>0</v>
      </c>
      <c r="N340" s="62" t="n">
        <v>1</v>
      </c>
      <c r="O340" s="62" t="n">
        <v>1</v>
      </c>
      <c r="P340" s="62" t="n">
        <v>1</v>
      </c>
      <c r="Q340" s="62" t="n">
        <v>0</v>
      </c>
      <c r="R340" s="62" t="n">
        <v>0</v>
      </c>
      <c r="S340" s="62" t="n">
        <v>0</v>
      </c>
      <c r="T340" s="62" t="n">
        <v>0</v>
      </c>
      <c r="U340" s="62"/>
      <c r="V340" s="62"/>
      <c r="W340" s="62"/>
      <c r="X340" s="62"/>
      <c r="Y340" s="62"/>
      <c r="Z340" s="62" t="s">
        <v>796</v>
      </c>
      <c r="AA340" s="62" t="s">
        <v>797</v>
      </c>
      <c r="AB340" s="62" t="n">
        <v>1</v>
      </c>
      <c r="AC340" s="62" t="n">
        <v>0</v>
      </c>
      <c r="AD340" s="62" t="n">
        <v>1</v>
      </c>
      <c r="AE340" s="62" t="n">
        <f aca="false">IF(AND(Dashboard!$C$9="Yes",AC340=1),0,1)</f>
        <v>1</v>
      </c>
      <c r="AF340" s="62" t="n">
        <v>0</v>
      </c>
    </row>
    <row r="341" customFormat="false" ht="15" hidden="false" customHeight="false" outlineLevel="0" collapsed="false">
      <c r="A341" s="62" t="n">
        <v>340</v>
      </c>
      <c r="B341" s="63" t="n">
        <v>46236.0528356481</v>
      </c>
      <c r="C341" s="64" t="n">
        <v>46235</v>
      </c>
      <c r="D341" s="62" t="s">
        <v>358</v>
      </c>
      <c r="E341" s="62" t="s">
        <v>212</v>
      </c>
      <c r="F341" s="62" t="s">
        <v>212</v>
      </c>
      <c r="G341" s="62" t="s">
        <v>213</v>
      </c>
      <c r="H341" s="62" t="s">
        <v>58</v>
      </c>
      <c r="I341" s="62" t="s">
        <v>49</v>
      </c>
      <c r="J341" s="62" t="s">
        <v>146</v>
      </c>
      <c r="K341" s="62" t="s">
        <v>175</v>
      </c>
      <c r="L341" s="62" t="s">
        <v>148</v>
      </c>
      <c r="M341" s="62" t="n">
        <v>0</v>
      </c>
      <c r="N341" s="62" t="n">
        <v>2</v>
      </c>
      <c r="O341" s="62" t="n">
        <v>2</v>
      </c>
      <c r="P341" s="62" t="n">
        <v>1</v>
      </c>
      <c r="Q341" s="62" t="n">
        <v>1</v>
      </c>
      <c r="R341" s="62" t="n">
        <v>0</v>
      </c>
      <c r="S341" s="62" t="n">
        <v>0</v>
      </c>
      <c r="T341" s="62" t="n">
        <v>0</v>
      </c>
      <c r="U341" s="62"/>
      <c r="V341" s="62"/>
      <c r="W341" s="62"/>
      <c r="X341" s="62"/>
      <c r="Y341" s="62"/>
      <c r="Z341" s="62" t="s">
        <v>798</v>
      </c>
      <c r="AA341" s="62" t="s">
        <v>799</v>
      </c>
      <c r="AB341" s="62" t="n">
        <v>1</v>
      </c>
      <c r="AC341" s="62" t="n">
        <v>0</v>
      </c>
      <c r="AD341" s="62" t="n">
        <v>1</v>
      </c>
      <c r="AE341" s="62" t="n">
        <f aca="false">IF(AND(Dashboard!$C$9="Yes",AC341=1),0,1)</f>
        <v>1</v>
      </c>
      <c r="AF341" s="62" t="n">
        <v>0</v>
      </c>
    </row>
    <row r="342" customFormat="false" ht="15" hidden="false" customHeight="false" outlineLevel="0" collapsed="false">
      <c r="A342" s="62" t="n">
        <v>341</v>
      </c>
      <c r="B342" s="63" t="n">
        <v>46236.066087963</v>
      </c>
      <c r="C342" s="64" t="n">
        <v>46235</v>
      </c>
      <c r="D342" s="62" t="s">
        <v>358</v>
      </c>
      <c r="E342" s="62" t="s">
        <v>218</v>
      </c>
      <c r="F342" s="62" t="s">
        <v>218</v>
      </c>
      <c r="G342" s="62" t="s">
        <v>219</v>
      </c>
      <c r="H342" s="62" t="s">
        <v>51</v>
      </c>
      <c r="I342" s="62" t="s">
        <v>47</v>
      </c>
      <c r="J342" s="62" t="s">
        <v>146</v>
      </c>
      <c r="K342" s="62" t="s">
        <v>147</v>
      </c>
      <c r="L342" s="62" t="s">
        <v>148</v>
      </c>
      <c r="M342" s="62" t="n">
        <v>0</v>
      </c>
      <c r="N342" s="62" t="n">
        <v>2</v>
      </c>
      <c r="O342" s="62" t="n">
        <v>2</v>
      </c>
      <c r="P342" s="62" t="n">
        <v>1</v>
      </c>
      <c r="Q342" s="62" t="n">
        <v>1</v>
      </c>
      <c r="R342" s="62" t="n">
        <v>0</v>
      </c>
      <c r="S342" s="62" t="n">
        <v>0</v>
      </c>
      <c r="T342" s="62" t="n">
        <v>0</v>
      </c>
      <c r="U342" s="62"/>
      <c r="V342" s="62"/>
      <c r="W342" s="62"/>
      <c r="X342" s="62"/>
      <c r="Y342" s="62"/>
      <c r="Z342" s="62" t="s">
        <v>800</v>
      </c>
      <c r="AA342" s="62" t="s">
        <v>801</v>
      </c>
      <c r="AB342" s="62" t="n">
        <v>1</v>
      </c>
      <c r="AC342" s="62" t="n">
        <v>0</v>
      </c>
      <c r="AD342" s="62" t="n">
        <v>1</v>
      </c>
      <c r="AE342" s="62" t="n">
        <f aca="false">IF(AND(Dashboard!$C$9="Yes",AC342=1),0,1)</f>
        <v>1</v>
      </c>
      <c r="AF342" s="62" t="n">
        <v>0</v>
      </c>
    </row>
    <row r="343" customFormat="false" ht="15" hidden="false" customHeight="false" outlineLevel="0" collapsed="false">
      <c r="A343" s="62" t="n">
        <v>342</v>
      </c>
      <c r="B343" s="63" t="n">
        <v>46236.0765393519</v>
      </c>
      <c r="C343" s="64" t="n">
        <v>46235</v>
      </c>
      <c r="D343" s="62" t="s">
        <v>358</v>
      </c>
      <c r="E343" s="62" t="s">
        <v>196</v>
      </c>
      <c r="F343" s="62" t="s">
        <v>196</v>
      </c>
      <c r="G343" s="62" t="s">
        <v>197</v>
      </c>
      <c r="H343" s="62" t="s">
        <v>57</v>
      </c>
      <c r="I343" s="62" t="s">
        <v>47</v>
      </c>
      <c r="J343" s="62" t="s">
        <v>146</v>
      </c>
      <c r="K343" s="62" t="s">
        <v>175</v>
      </c>
      <c r="L343" s="62" t="s">
        <v>4</v>
      </c>
      <c r="M343" s="62" t="n">
        <v>1</v>
      </c>
      <c r="N343" s="62" t="n">
        <v>0</v>
      </c>
      <c r="O343" s="62" t="n">
        <v>1</v>
      </c>
      <c r="P343" s="62" t="n">
        <v>0</v>
      </c>
      <c r="Q343" s="62" t="n">
        <v>0</v>
      </c>
      <c r="R343" s="62" t="n">
        <v>0</v>
      </c>
      <c r="S343" s="62" t="n">
        <v>0</v>
      </c>
      <c r="T343" s="62" t="n">
        <v>0</v>
      </c>
      <c r="U343" s="62"/>
      <c r="V343" s="62"/>
      <c r="W343" s="62"/>
      <c r="X343" s="62"/>
      <c r="Y343" s="62"/>
      <c r="Z343" s="62" t="s">
        <v>802</v>
      </c>
      <c r="AA343" s="62" t="s">
        <v>803</v>
      </c>
      <c r="AB343" s="62" t="n">
        <v>1</v>
      </c>
      <c r="AC343" s="62" t="n">
        <v>0</v>
      </c>
      <c r="AD343" s="62" t="n">
        <v>1</v>
      </c>
      <c r="AE343" s="62" t="n">
        <f aca="false">IF(AND(Dashboard!$C$9="Yes",AC343=1),0,1)</f>
        <v>1</v>
      </c>
      <c r="AF343" s="62" t="n">
        <v>1</v>
      </c>
    </row>
    <row r="344" customFormat="false" ht="15" hidden="false" customHeight="false" outlineLevel="0" collapsed="false">
      <c r="A344" s="62" t="n">
        <v>343</v>
      </c>
      <c r="B344" s="63" t="n">
        <v>46236.0864930556</v>
      </c>
      <c r="C344" s="64" t="n">
        <v>46235</v>
      </c>
      <c r="D344" s="62" t="s">
        <v>358</v>
      </c>
      <c r="E344" s="62" t="s">
        <v>207</v>
      </c>
      <c r="F344" s="62" t="s">
        <v>207</v>
      </c>
      <c r="G344" s="62" t="s">
        <v>208</v>
      </c>
      <c r="H344" s="62" t="s">
        <v>48</v>
      </c>
      <c r="I344" s="62" t="s">
        <v>49</v>
      </c>
      <c r="J344" s="62" t="s">
        <v>146</v>
      </c>
      <c r="K344" s="62" t="s">
        <v>209</v>
      </c>
      <c r="L344" s="62" t="s">
        <v>148</v>
      </c>
      <c r="M344" s="62" t="n">
        <v>0</v>
      </c>
      <c r="N344" s="62" t="n">
        <v>1</v>
      </c>
      <c r="O344" s="62" t="n">
        <v>1</v>
      </c>
      <c r="P344" s="62" t="n">
        <v>0</v>
      </c>
      <c r="Q344" s="62" t="n">
        <v>1</v>
      </c>
      <c r="R344" s="62" t="n">
        <v>0</v>
      </c>
      <c r="S344" s="62" t="n">
        <v>0</v>
      </c>
      <c r="T344" s="62" t="n">
        <v>0</v>
      </c>
      <c r="U344" s="62"/>
      <c r="V344" s="62"/>
      <c r="W344" s="62"/>
      <c r="X344" s="62"/>
      <c r="Y344" s="62"/>
      <c r="Z344" s="62" t="s">
        <v>804</v>
      </c>
      <c r="AA344" s="62" t="s">
        <v>805</v>
      </c>
      <c r="AB344" s="62" t="n">
        <v>1</v>
      </c>
      <c r="AC344" s="62" t="n">
        <v>0</v>
      </c>
      <c r="AD344" s="62" t="n">
        <v>1</v>
      </c>
      <c r="AE344" s="62" t="n">
        <f aca="false">IF(AND(Dashboard!$C$9="Yes",AC344=1),0,1)</f>
        <v>1</v>
      </c>
      <c r="AF344" s="62" t="n">
        <v>1</v>
      </c>
    </row>
    <row r="345" customFormat="false" ht="15" hidden="false" customHeight="false" outlineLevel="0" collapsed="false">
      <c r="A345" s="62" t="n">
        <v>344</v>
      </c>
      <c r="B345" s="63" t="n">
        <v>46236.1005787037</v>
      </c>
      <c r="C345" s="64" t="n">
        <v>46235</v>
      </c>
      <c r="D345" s="62" t="s">
        <v>358</v>
      </c>
      <c r="E345" s="62" t="s">
        <v>207</v>
      </c>
      <c r="F345" s="62" t="s">
        <v>207</v>
      </c>
      <c r="G345" s="62" t="s">
        <v>208</v>
      </c>
      <c r="H345" s="62" t="s">
        <v>48</v>
      </c>
      <c r="I345" s="62" t="s">
        <v>49</v>
      </c>
      <c r="J345" s="62" t="s">
        <v>146</v>
      </c>
      <c r="K345" s="62" t="s">
        <v>209</v>
      </c>
      <c r="L345" s="62" t="s">
        <v>148</v>
      </c>
      <c r="M345" s="62" t="n">
        <v>0</v>
      </c>
      <c r="N345" s="62" t="n">
        <v>1</v>
      </c>
      <c r="O345" s="62" t="n">
        <v>1</v>
      </c>
      <c r="P345" s="62" t="n">
        <v>0</v>
      </c>
      <c r="Q345" s="62" t="n">
        <v>1</v>
      </c>
      <c r="R345" s="62" t="n">
        <v>0</v>
      </c>
      <c r="S345" s="62" t="n">
        <v>0</v>
      </c>
      <c r="T345" s="62" t="n">
        <v>0</v>
      </c>
      <c r="U345" s="62"/>
      <c r="V345" s="62"/>
      <c r="W345" s="62"/>
      <c r="X345" s="62"/>
      <c r="Y345" s="62"/>
      <c r="Z345" s="62" t="s">
        <v>806</v>
      </c>
      <c r="AA345" s="62" t="s">
        <v>807</v>
      </c>
      <c r="AB345" s="62" t="n">
        <v>1</v>
      </c>
      <c r="AC345" s="62" t="n">
        <v>0</v>
      </c>
      <c r="AD345" s="62" t="n">
        <v>1</v>
      </c>
      <c r="AE345" s="62" t="n">
        <f aca="false">IF(AND(Dashboard!$C$9="Yes",AC345=1),0,1)</f>
        <v>1</v>
      </c>
      <c r="AF345" s="62" t="n">
        <v>0</v>
      </c>
    </row>
    <row r="346" customFormat="false" ht="15" hidden="false" customHeight="false" outlineLevel="0" collapsed="false">
      <c r="A346" s="62" t="n">
        <v>345</v>
      </c>
      <c r="B346" s="63" t="n">
        <v>46236.6992476852</v>
      </c>
      <c r="C346" s="64" t="n">
        <v>46236</v>
      </c>
      <c r="D346" s="62" t="s">
        <v>393</v>
      </c>
      <c r="E346" s="62" t="s">
        <v>713</v>
      </c>
      <c r="F346" s="62" t="s">
        <v>714</v>
      </c>
      <c r="G346" s="62" t="s">
        <v>153</v>
      </c>
      <c r="H346" s="62" t="s">
        <v>153</v>
      </c>
      <c r="I346" s="62" t="s">
        <v>153</v>
      </c>
      <c r="J346" s="62" t="s">
        <v>64</v>
      </c>
      <c r="K346" s="62" t="s">
        <v>64</v>
      </c>
      <c r="L346" s="62" t="s">
        <v>4</v>
      </c>
      <c r="M346" s="62" t="n">
        <v>1</v>
      </c>
      <c r="N346" s="62" t="n">
        <v>0</v>
      </c>
      <c r="O346" s="62" t="n">
        <v>1</v>
      </c>
      <c r="P346" s="62" t="n">
        <v>0</v>
      </c>
      <c r="Q346" s="62" t="n">
        <v>0</v>
      </c>
      <c r="R346" s="62" t="n">
        <v>0</v>
      </c>
      <c r="S346" s="62" t="n">
        <v>0</v>
      </c>
      <c r="T346" s="62" t="n">
        <v>0</v>
      </c>
      <c r="U346" s="62"/>
      <c r="V346" s="62"/>
      <c r="W346" s="62"/>
      <c r="X346" s="62"/>
      <c r="Y346" s="62"/>
      <c r="Z346" s="62" t="s">
        <v>808</v>
      </c>
      <c r="AA346" s="62" t="s">
        <v>809</v>
      </c>
      <c r="AB346" s="62" t="n">
        <v>1</v>
      </c>
      <c r="AC346" s="62" t="n">
        <v>0</v>
      </c>
      <c r="AD346" s="62" t="n">
        <v>0</v>
      </c>
      <c r="AE346" s="62" t="n">
        <f aca="false">IF(AND(Dashboard!$C$9="Yes",AC346=1),0,1)</f>
        <v>1</v>
      </c>
      <c r="AF346" s="62" t="n">
        <v>1</v>
      </c>
    </row>
    <row r="347" customFormat="false" ht="15" hidden="false" customHeight="false" outlineLevel="0" collapsed="false">
      <c r="A347" s="62" t="n">
        <v>346</v>
      </c>
      <c r="B347" s="63" t="n">
        <v>46236.7634490741</v>
      </c>
      <c r="C347" s="64" t="n">
        <v>46236</v>
      </c>
      <c r="D347" s="62" t="s">
        <v>393</v>
      </c>
      <c r="E347" s="62" t="s">
        <v>255</v>
      </c>
      <c r="F347" s="62" t="s">
        <v>255</v>
      </c>
      <c r="G347" s="62" t="s">
        <v>256</v>
      </c>
      <c r="H347" s="62" t="s">
        <v>57</v>
      </c>
      <c r="I347" s="62" t="s">
        <v>47</v>
      </c>
      <c r="J347" s="62" t="s">
        <v>146</v>
      </c>
      <c r="K347" s="62" t="s">
        <v>147</v>
      </c>
      <c r="L347" s="62" t="s">
        <v>148</v>
      </c>
      <c r="M347" s="62" t="n">
        <v>0</v>
      </c>
      <c r="N347" s="62" t="n">
        <v>1</v>
      </c>
      <c r="O347" s="62" t="n">
        <v>1</v>
      </c>
      <c r="P347" s="62" t="n">
        <v>0</v>
      </c>
      <c r="Q347" s="62" t="n">
        <v>0</v>
      </c>
      <c r="R347" s="62" t="n">
        <v>1</v>
      </c>
      <c r="S347" s="62" t="n">
        <v>0</v>
      </c>
      <c r="T347" s="62" t="n">
        <v>0</v>
      </c>
      <c r="U347" s="62"/>
      <c r="V347" s="62"/>
      <c r="W347" s="62"/>
      <c r="X347" s="62"/>
      <c r="Y347" s="62"/>
      <c r="Z347" s="62" t="s">
        <v>810</v>
      </c>
      <c r="AA347" s="62" t="s">
        <v>811</v>
      </c>
      <c r="AB347" s="62" t="n">
        <v>1</v>
      </c>
      <c r="AC347" s="62" t="n">
        <v>0</v>
      </c>
      <c r="AD347" s="62" t="n">
        <v>1</v>
      </c>
      <c r="AE347" s="62" t="n">
        <f aca="false">IF(AND(Dashboard!$C$9="Yes",AC347=1),0,1)</f>
        <v>1</v>
      </c>
      <c r="AF347" s="62" t="n">
        <v>1</v>
      </c>
    </row>
    <row r="348" customFormat="false" ht="15" hidden="false" customHeight="false" outlineLevel="0" collapsed="false">
      <c r="A348" s="62" t="n">
        <v>347</v>
      </c>
      <c r="B348" s="63" t="n">
        <v>46236.7710069444</v>
      </c>
      <c r="C348" s="64" t="n">
        <v>46236</v>
      </c>
      <c r="D348" s="62" t="s">
        <v>393</v>
      </c>
      <c r="E348" s="62" t="s">
        <v>573</v>
      </c>
      <c r="F348" s="62" t="s">
        <v>573</v>
      </c>
      <c r="G348" s="62" t="s">
        <v>574</v>
      </c>
      <c r="H348" s="62" t="s">
        <v>51</v>
      </c>
      <c r="I348" s="62" t="s">
        <v>47</v>
      </c>
      <c r="J348" s="62" t="s">
        <v>146</v>
      </c>
      <c r="K348" s="62" t="s">
        <v>147</v>
      </c>
      <c r="L348" s="62" t="s">
        <v>148</v>
      </c>
      <c r="M348" s="62" t="n">
        <v>0</v>
      </c>
      <c r="N348" s="62" t="n">
        <v>1</v>
      </c>
      <c r="O348" s="62" t="n">
        <v>1</v>
      </c>
      <c r="P348" s="62" t="n">
        <v>0</v>
      </c>
      <c r="Q348" s="62" t="n">
        <v>1</v>
      </c>
      <c r="R348" s="62" t="n">
        <v>0</v>
      </c>
      <c r="S348" s="62" t="n">
        <v>0</v>
      </c>
      <c r="T348" s="62" t="n">
        <v>0</v>
      </c>
      <c r="U348" s="62"/>
      <c r="V348" s="62"/>
      <c r="W348" s="62"/>
      <c r="X348" s="62"/>
      <c r="Y348" s="62"/>
      <c r="Z348" s="62" t="s">
        <v>812</v>
      </c>
      <c r="AA348" s="62" t="s">
        <v>813</v>
      </c>
      <c r="AB348" s="62" t="n">
        <v>1</v>
      </c>
      <c r="AC348" s="62" t="n">
        <v>0</v>
      </c>
      <c r="AD348" s="62" t="n">
        <v>1</v>
      </c>
      <c r="AE348" s="62" t="n">
        <f aca="false">IF(AND(Dashboard!$C$9="Yes",AC348=1),0,1)</f>
        <v>1</v>
      </c>
      <c r="AF348" s="62" t="n">
        <v>1</v>
      </c>
    </row>
    <row r="349" customFormat="false" ht="15" hidden="false" customHeight="false" outlineLevel="0" collapsed="false">
      <c r="A349" s="62" t="n">
        <v>348</v>
      </c>
      <c r="B349" s="63" t="n">
        <v>46236.8157291667</v>
      </c>
      <c r="C349" s="64" t="n">
        <v>46236</v>
      </c>
      <c r="D349" s="62" t="s">
        <v>393</v>
      </c>
      <c r="E349" s="62" t="s">
        <v>144</v>
      </c>
      <c r="F349" s="62" t="s">
        <v>144</v>
      </c>
      <c r="G349" s="62" t="s">
        <v>145</v>
      </c>
      <c r="H349" s="62" t="s">
        <v>59</v>
      </c>
      <c r="I349" s="62" t="s">
        <v>47</v>
      </c>
      <c r="J349" s="62" t="s">
        <v>146</v>
      </c>
      <c r="K349" s="62" t="s">
        <v>147</v>
      </c>
      <c r="L349" s="62" t="s">
        <v>148</v>
      </c>
      <c r="M349" s="62" t="n">
        <v>0</v>
      </c>
      <c r="N349" s="62" t="n">
        <v>2</v>
      </c>
      <c r="O349" s="62" t="n">
        <v>2</v>
      </c>
      <c r="P349" s="62" t="n">
        <v>1</v>
      </c>
      <c r="Q349" s="62" t="n">
        <v>1</v>
      </c>
      <c r="R349" s="62" t="n">
        <v>0</v>
      </c>
      <c r="S349" s="62" t="n">
        <v>0</v>
      </c>
      <c r="T349" s="62" t="n">
        <v>0</v>
      </c>
      <c r="U349" s="62"/>
      <c r="V349" s="62"/>
      <c r="W349" s="62"/>
      <c r="X349" s="62"/>
      <c r="Y349" s="62"/>
      <c r="Z349" s="62" t="s">
        <v>814</v>
      </c>
      <c r="AA349" s="62" t="s">
        <v>815</v>
      </c>
      <c r="AB349" s="62" t="n">
        <v>0</v>
      </c>
      <c r="AC349" s="62" t="n">
        <v>0</v>
      </c>
      <c r="AD349" s="62" t="n">
        <v>1</v>
      </c>
      <c r="AE349" s="62" t="n">
        <f aca="false">IF(AND(Dashboard!$C$9="Yes",AC349=1),0,1)</f>
        <v>1</v>
      </c>
      <c r="AF349" s="62" t="n">
        <v>1</v>
      </c>
    </row>
    <row r="350" customFormat="false" ht="15" hidden="false" customHeight="false" outlineLevel="0" collapsed="false">
      <c r="A350" s="62" t="n">
        <v>349</v>
      </c>
      <c r="B350" s="63" t="n">
        <v>46236.8159027778</v>
      </c>
      <c r="C350" s="64" t="n">
        <v>46236</v>
      </c>
      <c r="D350" s="62" t="s">
        <v>393</v>
      </c>
      <c r="E350" s="62" t="s">
        <v>144</v>
      </c>
      <c r="F350" s="62" t="s">
        <v>144</v>
      </c>
      <c r="G350" s="62" t="s">
        <v>145</v>
      </c>
      <c r="H350" s="62" t="s">
        <v>59</v>
      </c>
      <c r="I350" s="62" t="s">
        <v>47</v>
      </c>
      <c r="J350" s="62" t="s">
        <v>146</v>
      </c>
      <c r="K350" s="62" t="s">
        <v>147</v>
      </c>
      <c r="L350" s="62" t="s">
        <v>148</v>
      </c>
      <c r="M350" s="62" t="n">
        <v>0</v>
      </c>
      <c r="N350" s="62" t="n">
        <v>1</v>
      </c>
      <c r="O350" s="62" t="n">
        <v>1</v>
      </c>
      <c r="P350" s="62" t="n">
        <v>0</v>
      </c>
      <c r="Q350" s="62" t="n">
        <v>1</v>
      </c>
      <c r="R350" s="62" t="n">
        <v>0</v>
      </c>
      <c r="S350" s="62" t="n">
        <v>0</v>
      </c>
      <c r="T350" s="62" t="n">
        <v>0</v>
      </c>
      <c r="U350" s="62"/>
      <c r="V350" s="62"/>
      <c r="W350" s="62"/>
      <c r="X350" s="62"/>
      <c r="Y350" s="62"/>
      <c r="Z350" s="62" t="s">
        <v>814</v>
      </c>
      <c r="AA350" s="62" t="s">
        <v>815</v>
      </c>
      <c r="AB350" s="62" t="n">
        <v>0</v>
      </c>
      <c r="AC350" s="62" t="n">
        <v>0</v>
      </c>
      <c r="AD350" s="62" t="n">
        <v>1</v>
      </c>
      <c r="AE350" s="62" t="n">
        <f aca="false">IF(AND(Dashboard!$C$9="Yes",AC350=1),0,1)</f>
        <v>1</v>
      </c>
      <c r="AF350" s="62" t="n">
        <v>0</v>
      </c>
    </row>
    <row r="351" customFormat="false" ht="15" hidden="false" customHeight="false" outlineLevel="0" collapsed="false">
      <c r="A351" s="62" t="n">
        <v>350</v>
      </c>
      <c r="B351" s="63" t="n">
        <v>46236.8531481482</v>
      </c>
      <c r="C351" s="64" t="n">
        <v>46236</v>
      </c>
      <c r="D351" s="62" t="s">
        <v>393</v>
      </c>
      <c r="E351" s="62" t="s">
        <v>228</v>
      </c>
      <c r="F351" s="62" t="s">
        <v>229</v>
      </c>
      <c r="G351" s="62" t="s">
        <v>153</v>
      </c>
      <c r="H351" s="62" t="s">
        <v>153</v>
      </c>
      <c r="I351" s="62" t="s">
        <v>153</v>
      </c>
      <c r="J351" s="62" t="s">
        <v>64</v>
      </c>
      <c r="K351" s="62" t="s">
        <v>64</v>
      </c>
      <c r="L351" s="62" t="s">
        <v>148</v>
      </c>
      <c r="M351" s="62" t="n">
        <v>0</v>
      </c>
      <c r="N351" s="62" t="n">
        <v>1</v>
      </c>
      <c r="O351" s="62" t="n">
        <v>1</v>
      </c>
      <c r="P351" s="62" t="n">
        <v>0</v>
      </c>
      <c r="Q351" s="62" t="n">
        <v>1</v>
      </c>
      <c r="R351" s="62" t="n">
        <v>0</v>
      </c>
      <c r="S351" s="62" t="n">
        <v>0</v>
      </c>
      <c r="T351" s="62" t="n">
        <v>0</v>
      </c>
      <c r="U351" s="62"/>
      <c r="V351" s="62"/>
      <c r="W351" s="62"/>
      <c r="X351" s="62"/>
      <c r="Y351" s="62"/>
      <c r="Z351" s="62" t="s">
        <v>816</v>
      </c>
      <c r="AA351" s="62" t="s">
        <v>817</v>
      </c>
      <c r="AB351" s="62" t="n">
        <v>1</v>
      </c>
      <c r="AC351" s="62" t="n">
        <v>0</v>
      </c>
      <c r="AD351" s="62" t="n">
        <v>0</v>
      </c>
      <c r="AE351" s="62" t="n">
        <f aca="false">IF(AND(Dashboard!$C$9="Yes",AC351=1),0,1)</f>
        <v>1</v>
      </c>
      <c r="AF351" s="62" t="n">
        <v>1</v>
      </c>
    </row>
    <row r="352" customFormat="false" ht="15" hidden="false" customHeight="false" outlineLevel="0" collapsed="false">
      <c r="A352" s="62" t="n">
        <v>351</v>
      </c>
      <c r="B352" s="63" t="n">
        <v>46236.8799305556</v>
      </c>
      <c r="C352" s="64" t="n">
        <v>46236</v>
      </c>
      <c r="D352" s="62" t="s">
        <v>393</v>
      </c>
      <c r="E352" s="62" t="s">
        <v>144</v>
      </c>
      <c r="F352" s="62" t="s">
        <v>144</v>
      </c>
      <c r="G352" s="62" t="s">
        <v>145</v>
      </c>
      <c r="H352" s="62" t="s">
        <v>59</v>
      </c>
      <c r="I352" s="62" t="s">
        <v>47</v>
      </c>
      <c r="J352" s="62" t="s">
        <v>146</v>
      </c>
      <c r="K352" s="62" t="s">
        <v>147</v>
      </c>
      <c r="L352" s="62" t="s">
        <v>4</v>
      </c>
      <c r="M352" s="62" t="n">
        <v>1</v>
      </c>
      <c r="N352" s="62" t="n">
        <v>0</v>
      </c>
      <c r="O352" s="62" t="n">
        <v>1</v>
      </c>
      <c r="P352" s="62" t="n">
        <v>0</v>
      </c>
      <c r="Q352" s="62" t="n">
        <v>0</v>
      </c>
      <c r="R352" s="62" t="n">
        <v>0</v>
      </c>
      <c r="S352" s="62" t="n">
        <v>0</v>
      </c>
      <c r="T352" s="62" t="n">
        <v>0</v>
      </c>
      <c r="U352" s="62"/>
      <c r="V352" s="62"/>
      <c r="W352" s="62"/>
      <c r="X352" s="62"/>
      <c r="Y352" s="62"/>
      <c r="Z352" s="62" t="s">
        <v>818</v>
      </c>
      <c r="AA352" s="62" t="s">
        <v>819</v>
      </c>
      <c r="AB352" s="62" t="n">
        <v>1</v>
      </c>
      <c r="AC352" s="62" t="n">
        <v>0</v>
      </c>
      <c r="AD352" s="62" t="n">
        <v>1</v>
      </c>
      <c r="AE352" s="62" t="n">
        <f aca="false">IF(AND(Dashboard!$C$9="Yes",AC352=1),0,1)</f>
        <v>1</v>
      </c>
      <c r="AF352" s="62" t="n">
        <v>0</v>
      </c>
    </row>
    <row r="353" customFormat="false" ht="15" hidden="false" customHeight="false" outlineLevel="0" collapsed="false">
      <c r="A353" s="62" t="n">
        <v>352</v>
      </c>
      <c r="B353" s="63" t="n">
        <v>46236.8801273148</v>
      </c>
      <c r="C353" s="64" t="n">
        <v>46236</v>
      </c>
      <c r="D353" s="62" t="s">
        <v>393</v>
      </c>
      <c r="E353" s="62" t="s">
        <v>144</v>
      </c>
      <c r="F353" s="62" t="s">
        <v>144</v>
      </c>
      <c r="G353" s="62" t="s">
        <v>145</v>
      </c>
      <c r="H353" s="62" t="s">
        <v>59</v>
      </c>
      <c r="I353" s="62" t="s">
        <v>47</v>
      </c>
      <c r="J353" s="62" t="s">
        <v>146</v>
      </c>
      <c r="K353" s="62" t="s">
        <v>147</v>
      </c>
      <c r="L353" s="62" t="s">
        <v>4</v>
      </c>
      <c r="M353" s="62" t="n">
        <v>1</v>
      </c>
      <c r="N353" s="62" t="n">
        <v>0</v>
      </c>
      <c r="O353" s="62" t="n">
        <v>1</v>
      </c>
      <c r="P353" s="62" t="n">
        <v>0</v>
      </c>
      <c r="Q353" s="62" t="n">
        <v>0</v>
      </c>
      <c r="R353" s="62" t="n">
        <v>0</v>
      </c>
      <c r="S353" s="62" t="n">
        <v>0</v>
      </c>
      <c r="T353" s="62" t="n">
        <v>0</v>
      </c>
      <c r="U353" s="62"/>
      <c r="V353" s="62"/>
      <c r="W353" s="62"/>
      <c r="X353" s="62"/>
      <c r="Y353" s="62"/>
      <c r="Z353" s="62" t="s">
        <v>818</v>
      </c>
      <c r="AA353" s="62" t="s">
        <v>819</v>
      </c>
      <c r="AB353" s="62" t="n">
        <v>1</v>
      </c>
      <c r="AC353" s="62" t="n">
        <v>1</v>
      </c>
      <c r="AD353" s="62" t="n">
        <v>1</v>
      </c>
      <c r="AE353" s="62" t="n">
        <f aca="false">IF(AND(Dashboard!$C$9="Yes",AC353=1),0,1)</f>
        <v>0</v>
      </c>
      <c r="AF353" s="62" t="n">
        <v>0</v>
      </c>
    </row>
    <row r="354" customFormat="false" ht="15" hidden="false" customHeight="false" outlineLevel="0" collapsed="false">
      <c r="A354" s="62" t="n">
        <v>353</v>
      </c>
      <c r="B354" s="63" t="n">
        <v>46236.897662037</v>
      </c>
      <c r="C354" s="64" t="n">
        <v>46236</v>
      </c>
      <c r="D354" s="62" t="s">
        <v>393</v>
      </c>
      <c r="E354" s="62" t="s">
        <v>144</v>
      </c>
      <c r="F354" s="62" t="s">
        <v>144</v>
      </c>
      <c r="G354" s="62" t="s">
        <v>145</v>
      </c>
      <c r="H354" s="62" t="s">
        <v>59</v>
      </c>
      <c r="I354" s="62" t="s">
        <v>47</v>
      </c>
      <c r="J354" s="62" t="s">
        <v>146</v>
      </c>
      <c r="K354" s="62" t="s">
        <v>147</v>
      </c>
      <c r="L354" s="62" t="s">
        <v>148</v>
      </c>
      <c r="M354" s="62" t="n">
        <v>0</v>
      </c>
      <c r="N354" s="62" t="n">
        <v>1</v>
      </c>
      <c r="O354" s="62" t="n">
        <v>1</v>
      </c>
      <c r="P354" s="62" t="n">
        <v>0</v>
      </c>
      <c r="Q354" s="62" t="n">
        <v>0</v>
      </c>
      <c r="R354" s="62" t="n">
        <v>0</v>
      </c>
      <c r="S354" s="62" t="n">
        <v>0</v>
      </c>
      <c r="T354" s="62" t="n">
        <v>1</v>
      </c>
      <c r="U354" s="62"/>
      <c r="V354" s="62"/>
      <c r="W354" s="62"/>
      <c r="X354" s="62"/>
      <c r="Y354" s="62"/>
      <c r="Z354" s="62" t="s">
        <v>820</v>
      </c>
      <c r="AA354" s="62" t="s">
        <v>237</v>
      </c>
      <c r="AB354" s="62" t="n">
        <v>0</v>
      </c>
      <c r="AC354" s="62" t="n">
        <v>0</v>
      </c>
      <c r="AD354" s="62" t="n">
        <v>1</v>
      </c>
      <c r="AE354" s="62" t="n">
        <f aca="false">IF(AND(Dashboard!$C$9="Yes",AC354=1),0,1)</f>
        <v>1</v>
      </c>
      <c r="AF354" s="62" t="n">
        <v>0</v>
      </c>
    </row>
    <row r="355" customFormat="false" ht="15" hidden="false" customHeight="false" outlineLevel="0" collapsed="false">
      <c r="A355" s="62" t="n">
        <v>354</v>
      </c>
      <c r="B355" s="63" t="n">
        <v>46236.8985069445</v>
      </c>
      <c r="C355" s="64" t="n">
        <v>46236</v>
      </c>
      <c r="D355" s="62" t="s">
        <v>393</v>
      </c>
      <c r="E355" s="62" t="s">
        <v>144</v>
      </c>
      <c r="F355" s="62" t="s">
        <v>144</v>
      </c>
      <c r="G355" s="62" t="s">
        <v>145</v>
      </c>
      <c r="H355" s="62" t="s">
        <v>59</v>
      </c>
      <c r="I355" s="62" t="s">
        <v>47</v>
      </c>
      <c r="J355" s="62" t="s">
        <v>146</v>
      </c>
      <c r="K355" s="62" t="s">
        <v>147</v>
      </c>
      <c r="L355" s="62" t="s">
        <v>4</v>
      </c>
      <c r="M355" s="62" t="n">
        <v>1</v>
      </c>
      <c r="N355" s="62" t="n">
        <v>0</v>
      </c>
      <c r="O355" s="62" t="n">
        <v>1</v>
      </c>
      <c r="P355" s="62" t="n">
        <v>0</v>
      </c>
      <c r="Q355" s="62" t="n">
        <v>0</v>
      </c>
      <c r="R355" s="62" t="n">
        <v>0</v>
      </c>
      <c r="S355" s="62" t="n">
        <v>0</v>
      </c>
      <c r="T355" s="62" t="n">
        <v>0</v>
      </c>
      <c r="U355" s="62"/>
      <c r="V355" s="62"/>
      <c r="W355" s="62"/>
      <c r="X355" s="62"/>
      <c r="Y355" s="62"/>
      <c r="Z355" s="62" t="s">
        <v>820</v>
      </c>
      <c r="AA355" s="62" t="s">
        <v>287</v>
      </c>
      <c r="AB355" s="62" t="n">
        <v>0</v>
      </c>
      <c r="AC355" s="62" t="n">
        <v>0</v>
      </c>
      <c r="AD355" s="62" t="n">
        <v>1</v>
      </c>
      <c r="AE355" s="62" t="n">
        <f aca="false">IF(AND(Dashboard!$C$9="Yes",AC355=1),0,1)</f>
        <v>1</v>
      </c>
      <c r="AF355" s="62" t="n">
        <v>0</v>
      </c>
    </row>
    <row r="356" customFormat="false" ht="15" hidden="false" customHeight="false" outlineLevel="0" collapsed="false">
      <c r="A356" s="62" t="n">
        <v>355</v>
      </c>
      <c r="B356" s="63" t="n">
        <v>46236.9021875</v>
      </c>
      <c r="C356" s="64" t="n">
        <v>46236</v>
      </c>
      <c r="D356" s="62" t="s">
        <v>393</v>
      </c>
      <c r="E356" s="62" t="s">
        <v>144</v>
      </c>
      <c r="F356" s="62" t="s">
        <v>144</v>
      </c>
      <c r="G356" s="62" t="s">
        <v>145</v>
      </c>
      <c r="H356" s="62" t="s">
        <v>59</v>
      </c>
      <c r="I356" s="62" t="s">
        <v>47</v>
      </c>
      <c r="J356" s="62" t="s">
        <v>146</v>
      </c>
      <c r="K356" s="62" t="s">
        <v>147</v>
      </c>
      <c r="L356" s="62" t="s">
        <v>4</v>
      </c>
      <c r="M356" s="62" t="n">
        <v>1</v>
      </c>
      <c r="N356" s="62" t="n">
        <v>0</v>
      </c>
      <c r="O356" s="62" t="n">
        <v>1</v>
      </c>
      <c r="P356" s="62" t="n">
        <v>0</v>
      </c>
      <c r="Q356" s="62" t="n">
        <v>0</v>
      </c>
      <c r="R356" s="62" t="n">
        <v>0</v>
      </c>
      <c r="S356" s="62" t="n">
        <v>0</v>
      </c>
      <c r="T356" s="62" t="n">
        <v>0</v>
      </c>
      <c r="U356" s="62"/>
      <c r="V356" s="62"/>
      <c r="W356" s="62"/>
      <c r="X356" s="62"/>
      <c r="Y356" s="62"/>
      <c r="Z356" s="62" t="s">
        <v>820</v>
      </c>
      <c r="AA356" s="62" t="s">
        <v>820</v>
      </c>
      <c r="AB356" s="62" t="n">
        <v>1</v>
      </c>
      <c r="AC356" s="62" t="n">
        <v>0</v>
      </c>
      <c r="AD356" s="62" t="n">
        <v>1</v>
      </c>
      <c r="AE356" s="62" t="n">
        <f aca="false">IF(AND(Dashboard!$C$9="Yes",AC356=1),0,1)</f>
        <v>1</v>
      </c>
      <c r="AF356" s="62" t="n">
        <v>0</v>
      </c>
    </row>
    <row r="357" customFormat="false" ht="15" hidden="false" customHeight="false" outlineLevel="0" collapsed="false">
      <c r="A357" s="62" t="n">
        <v>356</v>
      </c>
      <c r="B357" s="63" t="n">
        <v>46236.902337963</v>
      </c>
      <c r="C357" s="64" t="n">
        <v>46236</v>
      </c>
      <c r="D357" s="62" t="s">
        <v>393</v>
      </c>
      <c r="E357" s="62" t="s">
        <v>144</v>
      </c>
      <c r="F357" s="62" t="s">
        <v>144</v>
      </c>
      <c r="G357" s="62" t="s">
        <v>145</v>
      </c>
      <c r="H357" s="62" t="s">
        <v>59</v>
      </c>
      <c r="I357" s="62" t="s">
        <v>47</v>
      </c>
      <c r="J357" s="62" t="s">
        <v>146</v>
      </c>
      <c r="K357" s="62" t="s">
        <v>147</v>
      </c>
      <c r="L357" s="62" t="s">
        <v>148</v>
      </c>
      <c r="M357" s="62" t="n">
        <v>0</v>
      </c>
      <c r="N357" s="62" t="n">
        <v>1</v>
      </c>
      <c r="O357" s="62" t="n">
        <v>1</v>
      </c>
      <c r="P357" s="62" t="n">
        <v>0</v>
      </c>
      <c r="Q357" s="62" t="n">
        <v>0</v>
      </c>
      <c r="R357" s="62" t="n">
        <v>0</v>
      </c>
      <c r="S357" s="62" t="n">
        <v>0</v>
      </c>
      <c r="T357" s="62" t="n">
        <v>1</v>
      </c>
      <c r="U357" s="62"/>
      <c r="V357" s="62"/>
      <c r="W357" s="62"/>
      <c r="X357" s="62"/>
      <c r="Y357" s="62"/>
      <c r="Z357" s="62" t="s">
        <v>820</v>
      </c>
      <c r="AA357" s="62" t="s">
        <v>821</v>
      </c>
      <c r="AB357" s="62" t="n">
        <v>1</v>
      </c>
      <c r="AC357" s="62" t="n">
        <v>0</v>
      </c>
      <c r="AD357" s="62" t="n">
        <v>1</v>
      </c>
      <c r="AE357" s="62" t="n">
        <f aca="false">IF(AND(Dashboard!$C$9="Yes",AC357=1),0,1)</f>
        <v>1</v>
      </c>
      <c r="AF357" s="62" t="n">
        <v>0</v>
      </c>
    </row>
    <row r="358" customFormat="false" ht="15" hidden="false" customHeight="false" outlineLevel="0" collapsed="false">
      <c r="A358" s="62" t="n">
        <v>357</v>
      </c>
      <c r="B358" s="63" t="n">
        <v>46236.9025231482</v>
      </c>
      <c r="C358" s="64" t="n">
        <v>46236</v>
      </c>
      <c r="D358" s="62" t="s">
        <v>393</v>
      </c>
      <c r="E358" s="62" t="s">
        <v>144</v>
      </c>
      <c r="F358" s="62" t="s">
        <v>144</v>
      </c>
      <c r="G358" s="62" t="s">
        <v>145</v>
      </c>
      <c r="H358" s="62" t="s">
        <v>59</v>
      </c>
      <c r="I358" s="62" t="s">
        <v>47</v>
      </c>
      <c r="J358" s="62" t="s">
        <v>146</v>
      </c>
      <c r="K358" s="62" t="s">
        <v>147</v>
      </c>
      <c r="L358" s="62" t="s">
        <v>4</v>
      </c>
      <c r="M358" s="62" t="n">
        <v>1</v>
      </c>
      <c r="N358" s="62" t="n">
        <v>0</v>
      </c>
      <c r="O358" s="62" t="n">
        <v>1</v>
      </c>
      <c r="P358" s="62" t="n">
        <v>0</v>
      </c>
      <c r="Q358" s="62" t="n">
        <v>0</v>
      </c>
      <c r="R358" s="62" t="n">
        <v>0</v>
      </c>
      <c r="S358" s="62" t="n">
        <v>0</v>
      </c>
      <c r="T358" s="62" t="n">
        <v>0</v>
      </c>
      <c r="U358" s="62"/>
      <c r="V358" s="62"/>
      <c r="W358" s="62"/>
      <c r="X358" s="62"/>
      <c r="Y358" s="62"/>
      <c r="Z358" s="62" t="s">
        <v>820</v>
      </c>
      <c r="AA358" s="62" t="s">
        <v>821</v>
      </c>
      <c r="AB358" s="62" t="n">
        <v>1</v>
      </c>
      <c r="AC358" s="62" t="n">
        <v>0</v>
      </c>
      <c r="AD358" s="62" t="n">
        <v>1</v>
      </c>
      <c r="AE358" s="62" t="n">
        <f aca="false">IF(AND(Dashboard!$C$9="Yes",AC358=1),0,1)</f>
        <v>1</v>
      </c>
      <c r="AF358" s="62" t="n">
        <v>0</v>
      </c>
    </row>
    <row r="359" customFormat="false" ht="15" hidden="false" customHeight="false" outlineLevel="0" collapsed="false">
      <c r="A359" s="62" t="n">
        <v>358</v>
      </c>
      <c r="B359" s="63" t="n">
        <v>46236.9352893519</v>
      </c>
      <c r="C359" s="64" t="n">
        <v>46236</v>
      </c>
      <c r="D359" s="62" t="s">
        <v>393</v>
      </c>
      <c r="E359" s="62" t="s">
        <v>144</v>
      </c>
      <c r="F359" s="62" t="s">
        <v>144</v>
      </c>
      <c r="G359" s="62" t="s">
        <v>145</v>
      </c>
      <c r="H359" s="62" t="s">
        <v>59</v>
      </c>
      <c r="I359" s="62" t="s">
        <v>47</v>
      </c>
      <c r="J359" s="62" t="s">
        <v>146</v>
      </c>
      <c r="K359" s="62" t="s">
        <v>147</v>
      </c>
      <c r="L359" s="62" t="s">
        <v>4</v>
      </c>
      <c r="M359" s="62" t="n">
        <v>1</v>
      </c>
      <c r="N359" s="62" t="n">
        <v>0</v>
      </c>
      <c r="O359" s="62" t="n">
        <v>1</v>
      </c>
      <c r="P359" s="62" t="n">
        <v>0</v>
      </c>
      <c r="Q359" s="62" t="n">
        <v>0</v>
      </c>
      <c r="R359" s="62" t="n">
        <v>0</v>
      </c>
      <c r="S359" s="62" t="n">
        <v>0</v>
      </c>
      <c r="T359" s="62" t="n">
        <v>0</v>
      </c>
      <c r="U359" s="62"/>
      <c r="V359" s="62"/>
      <c r="W359" s="62"/>
      <c r="X359" s="62"/>
      <c r="Y359" s="62"/>
      <c r="Z359" s="62" t="s">
        <v>822</v>
      </c>
      <c r="AA359" s="62" t="s">
        <v>822</v>
      </c>
      <c r="AB359" s="62" t="n">
        <v>1</v>
      </c>
      <c r="AC359" s="62" t="n">
        <v>0</v>
      </c>
      <c r="AD359" s="62" t="n">
        <v>1</v>
      </c>
      <c r="AE359" s="62" t="n">
        <f aca="false">IF(AND(Dashboard!$C$9="Yes",AC359=1),0,1)</f>
        <v>1</v>
      </c>
      <c r="AF359" s="62" t="n">
        <v>0</v>
      </c>
    </row>
    <row r="360" customFormat="false" ht="15" hidden="false" customHeight="false" outlineLevel="0" collapsed="false">
      <c r="A360" s="62" t="n">
        <v>359</v>
      </c>
      <c r="B360" s="63" t="n">
        <v>46236.9361689815</v>
      </c>
      <c r="C360" s="64" t="n">
        <v>46236</v>
      </c>
      <c r="D360" s="62" t="s">
        <v>393</v>
      </c>
      <c r="E360" s="62" t="s">
        <v>144</v>
      </c>
      <c r="F360" s="62" t="s">
        <v>144</v>
      </c>
      <c r="G360" s="62" t="s">
        <v>145</v>
      </c>
      <c r="H360" s="62" t="s">
        <v>59</v>
      </c>
      <c r="I360" s="62" t="s">
        <v>47</v>
      </c>
      <c r="J360" s="62" t="s">
        <v>146</v>
      </c>
      <c r="K360" s="62" t="s">
        <v>147</v>
      </c>
      <c r="L360" s="62" t="s">
        <v>4</v>
      </c>
      <c r="M360" s="62" t="n">
        <v>1</v>
      </c>
      <c r="N360" s="62" t="n">
        <v>0</v>
      </c>
      <c r="O360" s="62" t="n">
        <v>1</v>
      </c>
      <c r="P360" s="62" t="n">
        <v>0</v>
      </c>
      <c r="Q360" s="62" t="n">
        <v>0</v>
      </c>
      <c r="R360" s="62" t="n">
        <v>0</v>
      </c>
      <c r="S360" s="62" t="n">
        <v>0</v>
      </c>
      <c r="T360" s="62" t="n">
        <v>0</v>
      </c>
      <c r="U360" s="62"/>
      <c r="V360" s="62"/>
      <c r="W360" s="62"/>
      <c r="X360" s="62"/>
      <c r="Y360" s="62"/>
      <c r="Z360" s="62" t="s">
        <v>822</v>
      </c>
      <c r="AA360" s="62" t="s">
        <v>823</v>
      </c>
      <c r="AB360" s="62" t="n">
        <v>1</v>
      </c>
      <c r="AC360" s="62" t="n">
        <v>0</v>
      </c>
      <c r="AD360" s="62" t="n">
        <v>1</v>
      </c>
      <c r="AE360" s="62" t="n">
        <f aca="false">IF(AND(Dashboard!$C$9="Yes",AC360=1),0,1)</f>
        <v>1</v>
      </c>
      <c r="AF360" s="62" t="n">
        <v>0</v>
      </c>
    </row>
    <row r="361" customFormat="false" ht="15" hidden="false" customHeight="false" outlineLevel="0" collapsed="false">
      <c r="A361" s="62" t="n">
        <v>360</v>
      </c>
      <c r="B361" s="63" t="n">
        <v>46236.9422337963</v>
      </c>
      <c r="C361" s="64" t="n">
        <v>46236</v>
      </c>
      <c r="D361" s="62" t="s">
        <v>393</v>
      </c>
      <c r="E361" s="62" t="s">
        <v>790</v>
      </c>
      <c r="F361" s="62" t="s">
        <v>791</v>
      </c>
      <c r="G361" s="62" t="s">
        <v>153</v>
      </c>
      <c r="H361" s="62" t="s">
        <v>153</v>
      </c>
      <c r="I361" s="62" t="s">
        <v>153</v>
      </c>
      <c r="J361" s="62" t="s">
        <v>64</v>
      </c>
      <c r="K361" s="62" t="s">
        <v>64</v>
      </c>
      <c r="L361" s="62" t="s">
        <v>148</v>
      </c>
      <c r="M361" s="62" t="n">
        <v>0</v>
      </c>
      <c r="N361" s="62" t="n">
        <v>1</v>
      </c>
      <c r="O361" s="62" t="n">
        <v>1</v>
      </c>
      <c r="P361" s="62" t="n">
        <v>1</v>
      </c>
      <c r="Q361" s="62" t="n">
        <v>0</v>
      </c>
      <c r="R361" s="62" t="n">
        <v>0</v>
      </c>
      <c r="S361" s="62" t="n">
        <v>0</v>
      </c>
      <c r="T361" s="62" t="n">
        <v>0</v>
      </c>
      <c r="U361" s="62"/>
      <c r="V361" s="62"/>
      <c r="W361" s="62"/>
      <c r="X361" s="62"/>
      <c r="Y361" s="62"/>
      <c r="Z361" s="62" t="s">
        <v>824</v>
      </c>
      <c r="AA361" s="62" t="s">
        <v>825</v>
      </c>
      <c r="AB361" s="62" t="n">
        <v>1</v>
      </c>
      <c r="AC361" s="62" t="n">
        <v>0</v>
      </c>
      <c r="AD361" s="62" t="n">
        <v>0</v>
      </c>
      <c r="AE361" s="62" t="n">
        <f aca="false">IF(AND(Dashboard!$C$9="Yes",AC361=1),0,1)</f>
        <v>1</v>
      </c>
      <c r="AF361" s="62" t="n">
        <v>1</v>
      </c>
    </row>
    <row r="362" customFormat="false" ht="15" hidden="false" customHeight="false" outlineLevel="0" collapsed="false">
      <c r="A362" s="62" t="n">
        <v>361</v>
      </c>
      <c r="B362" s="63" t="n">
        <v>46236.9693287037</v>
      </c>
      <c r="C362" s="64" t="n">
        <v>46236</v>
      </c>
      <c r="D362" s="62" t="s">
        <v>393</v>
      </c>
      <c r="E362" s="62" t="s">
        <v>144</v>
      </c>
      <c r="F362" s="62" t="s">
        <v>144</v>
      </c>
      <c r="G362" s="62" t="s">
        <v>145</v>
      </c>
      <c r="H362" s="62" t="s">
        <v>59</v>
      </c>
      <c r="I362" s="62" t="s">
        <v>47</v>
      </c>
      <c r="J362" s="62" t="s">
        <v>146</v>
      </c>
      <c r="K362" s="62" t="s">
        <v>147</v>
      </c>
      <c r="L362" s="62" t="s">
        <v>148</v>
      </c>
      <c r="M362" s="62" t="n">
        <v>0</v>
      </c>
      <c r="N362" s="62" t="n">
        <v>2</v>
      </c>
      <c r="O362" s="62" t="n">
        <v>2</v>
      </c>
      <c r="P362" s="62" t="n">
        <v>1</v>
      </c>
      <c r="Q362" s="62" t="n">
        <v>1</v>
      </c>
      <c r="R362" s="62" t="n">
        <v>0</v>
      </c>
      <c r="S362" s="62" t="n">
        <v>0</v>
      </c>
      <c r="T362" s="62" t="n">
        <v>0</v>
      </c>
      <c r="U362" s="62"/>
      <c r="V362" s="62"/>
      <c r="W362" s="62"/>
      <c r="X362" s="62"/>
      <c r="Y362" s="62"/>
      <c r="Z362" s="62" t="s">
        <v>826</v>
      </c>
      <c r="AA362" s="62" t="s">
        <v>827</v>
      </c>
      <c r="AB362" s="62" t="n">
        <v>0</v>
      </c>
      <c r="AC362" s="62" t="n">
        <v>0</v>
      </c>
      <c r="AD362" s="62" t="n">
        <v>1</v>
      </c>
      <c r="AE362" s="62" t="n">
        <f aca="false">IF(AND(Dashboard!$C$9="Yes",AC362=1),0,1)</f>
        <v>1</v>
      </c>
      <c r="AF362" s="62" t="n">
        <v>0</v>
      </c>
    </row>
    <row r="363" customFormat="false" ht="15" hidden="false" customHeight="false" outlineLevel="0" collapsed="false">
      <c r="A363" s="62" t="n">
        <v>362</v>
      </c>
      <c r="B363" s="63" t="n">
        <v>46236.9694907407</v>
      </c>
      <c r="C363" s="64" t="n">
        <v>46236</v>
      </c>
      <c r="D363" s="62" t="s">
        <v>393</v>
      </c>
      <c r="E363" s="62" t="s">
        <v>144</v>
      </c>
      <c r="F363" s="62" t="s">
        <v>144</v>
      </c>
      <c r="G363" s="62" t="s">
        <v>145</v>
      </c>
      <c r="H363" s="62" t="s">
        <v>59</v>
      </c>
      <c r="I363" s="62" t="s">
        <v>47</v>
      </c>
      <c r="J363" s="62" t="s">
        <v>146</v>
      </c>
      <c r="K363" s="62" t="s">
        <v>147</v>
      </c>
      <c r="L363" s="62" t="s">
        <v>148</v>
      </c>
      <c r="M363" s="62" t="n">
        <v>0</v>
      </c>
      <c r="N363" s="62" t="n">
        <v>2</v>
      </c>
      <c r="O363" s="62" t="n">
        <v>2</v>
      </c>
      <c r="P363" s="62" t="n">
        <v>1</v>
      </c>
      <c r="Q363" s="62" t="n">
        <v>1</v>
      </c>
      <c r="R363" s="62" t="n">
        <v>0</v>
      </c>
      <c r="S363" s="62" t="n">
        <v>0</v>
      </c>
      <c r="T363" s="62" t="n">
        <v>0</v>
      </c>
      <c r="U363" s="62"/>
      <c r="V363" s="62"/>
      <c r="W363" s="62"/>
      <c r="X363" s="62"/>
      <c r="Y363" s="62"/>
      <c r="Z363" s="62" t="s">
        <v>826</v>
      </c>
      <c r="AA363" s="62" t="s">
        <v>827</v>
      </c>
      <c r="AB363" s="62" t="n">
        <v>0</v>
      </c>
      <c r="AC363" s="62" t="n">
        <v>0</v>
      </c>
      <c r="AD363" s="62" t="n">
        <v>1</v>
      </c>
      <c r="AE363" s="62" t="n">
        <f aca="false">IF(AND(Dashboard!$C$9="Yes",AC363=1),0,1)</f>
        <v>1</v>
      </c>
      <c r="AF363" s="62" t="n">
        <v>0</v>
      </c>
    </row>
    <row r="364" customFormat="false" ht="15" hidden="false" customHeight="false" outlineLevel="0" collapsed="false">
      <c r="A364" s="62" t="n">
        <v>363</v>
      </c>
      <c r="B364" s="63" t="n">
        <v>46237.0408564815</v>
      </c>
      <c r="C364" s="64" t="n">
        <v>46236</v>
      </c>
      <c r="D364" s="62" t="s">
        <v>393</v>
      </c>
      <c r="E364" s="62" t="s">
        <v>790</v>
      </c>
      <c r="F364" s="62" t="s">
        <v>791</v>
      </c>
      <c r="G364" s="62" t="s">
        <v>153</v>
      </c>
      <c r="H364" s="62" t="s">
        <v>153</v>
      </c>
      <c r="I364" s="62" t="s">
        <v>153</v>
      </c>
      <c r="J364" s="62" t="s">
        <v>64</v>
      </c>
      <c r="K364" s="62" t="s">
        <v>64</v>
      </c>
      <c r="L364" s="62" t="s">
        <v>148</v>
      </c>
      <c r="M364" s="62" t="n">
        <v>0</v>
      </c>
      <c r="N364" s="62" t="n">
        <v>1</v>
      </c>
      <c r="O364" s="62" t="n">
        <v>1</v>
      </c>
      <c r="P364" s="62" t="n">
        <v>0</v>
      </c>
      <c r="Q364" s="62" t="n">
        <v>0</v>
      </c>
      <c r="R364" s="62" t="n">
        <v>1</v>
      </c>
      <c r="S364" s="62" t="n">
        <v>0</v>
      </c>
      <c r="T364" s="62" t="n">
        <v>0</v>
      </c>
      <c r="U364" s="62"/>
      <c r="V364" s="62"/>
      <c r="W364" s="62"/>
      <c r="X364" s="62"/>
      <c r="Y364" s="62"/>
      <c r="Z364" s="62" t="s">
        <v>828</v>
      </c>
      <c r="AA364" s="62" t="s">
        <v>829</v>
      </c>
      <c r="AB364" s="62" t="n">
        <v>1</v>
      </c>
      <c r="AC364" s="62" t="n">
        <v>0</v>
      </c>
      <c r="AD364" s="62" t="n">
        <v>0</v>
      </c>
      <c r="AE364" s="62" t="n">
        <f aca="false">IF(AND(Dashboard!$C$9="Yes",AC364=1),0,1)</f>
        <v>1</v>
      </c>
      <c r="AF364" s="62" t="n">
        <v>0</v>
      </c>
    </row>
    <row r="365" customFormat="false" ht="15" hidden="false" customHeight="false" outlineLevel="0" collapsed="false">
      <c r="A365" s="62" t="n">
        <v>364</v>
      </c>
      <c r="B365" s="63" t="n">
        <v>46237.0567013889</v>
      </c>
      <c r="C365" s="64" t="n">
        <v>46236</v>
      </c>
      <c r="D365" s="62" t="s">
        <v>393</v>
      </c>
      <c r="E365" s="62" t="s">
        <v>212</v>
      </c>
      <c r="F365" s="62" t="s">
        <v>212</v>
      </c>
      <c r="G365" s="62" t="s">
        <v>213</v>
      </c>
      <c r="H365" s="62" t="s">
        <v>58</v>
      </c>
      <c r="I365" s="62" t="s">
        <v>49</v>
      </c>
      <c r="J365" s="62" t="s">
        <v>146</v>
      </c>
      <c r="K365" s="62" t="s">
        <v>175</v>
      </c>
      <c r="L365" s="62" t="s">
        <v>148</v>
      </c>
      <c r="M365" s="62" t="n">
        <v>0</v>
      </c>
      <c r="N365" s="62" t="n">
        <v>1</v>
      </c>
      <c r="O365" s="62" t="n">
        <v>1</v>
      </c>
      <c r="P365" s="62" t="n">
        <v>1</v>
      </c>
      <c r="Q365" s="62" t="n">
        <v>0</v>
      </c>
      <c r="R365" s="62" t="n">
        <v>0</v>
      </c>
      <c r="S365" s="62" t="n">
        <v>0</v>
      </c>
      <c r="T365" s="62" t="n">
        <v>0</v>
      </c>
      <c r="U365" s="62"/>
      <c r="V365" s="62"/>
      <c r="W365" s="62"/>
      <c r="X365" s="62"/>
      <c r="Y365" s="62"/>
      <c r="Z365" s="62" t="s">
        <v>830</v>
      </c>
      <c r="AA365" s="62" t="s">
        <v>831</v>
      </c>
      <c r="AB365" s="62" t="n">
        <v>1</v>
      </c>
      <c r="AC365" s="62" t="n">
        <v>0</v>
      </c>
      <c r="AD365" s="62" t="n">
        <v>1</v>
      </c>
      <c r="AE365" s="62" t="n">
        <f aca="false">IF(AND(Dashboard!$C$9="Yes",AC365=1),0,1)</f>
        <v>1</v>
      </c>
      <c r="AF365" s="62" t="n">
        <v>1</v>
      </c>
    </row>
    <row r="366" customFormat="false" ht="15" hidden="false" customHeight="false" outlineLevel="0" collapsed="false">
      <c r="A366" s="62" t="n">
        <v>365</v>
      </c>
      <c r="B366" s="63" t="n">
        <v>46237.0577546296</v>
      </c>
      <c r="C366" s="64" t="n">
        <v>46236</v>
      </c>
      <c r="D366" s="62" t="s">
        <v>393</v>
      </c>
      <c r="E366" s="62" t="s">
        <v>790</v>
      </c>
      <c r="F366" s="62" t="s">
        <v>791</v>
      </c>
      <c r="G366" s="62" t="s">
        <v>153</v>
      </c>
      <c r="H366" s="62" t="s">
        <v>153</v>
      </c>
      <c r="I366" s="62" t="s">
        <v>153</v>
      </c>
      <c r="J366" s="62" t="s">
        <v>64</v>
      </c>
      <c r="K366" s="62" t="s">
        <v>64</v>
      </c>
      <c r="L366" s="62" t="s">
        <v>148</v>
      </c>
      <c r="M366" s="62" t="n">
        <v>0</v>
      </c>
      <c r="N366" s="62" t="n">
        <v>1</v>
      </c>
      <c r="O366" s="62" t="n">
        <v>1</v>
      </c>
      <c r="P366" s="62" t="n">
        <v>1</v>
      </c>
      <c r="Q366" s="62" t="n">
        <v>0</v>
      </c>
      <c r="R366" s="62" t="n">
        <v>0</v>
      </c>
      <c r="S366" s="62" t="n">
        <v>0</v>
      </c>
      <c r="T366" s="62" t="n">
        <v>0</v>
      </c>
      <c r="U366" s="62"/>
      <c r="V366" s="62"/>
      <c r="W366" s="62"/>
      <c r="X366" s="62"/>
      <c r="Y366" s="62"/>
      <c r="Z366" s="62" t="s">
        <v>832</v>
      </c>
      <c r="AA366" s="62" t="s">
        <v>833</v>
      </c>
      <c r="AB366" s="62" t="n">
        <v>1</v>
      </c>
      <c r="AC366" s="62" t="n">
        <v>0</v>
      </c>
      <c r="AD366" s="62" t="n">
        <v>0</v>
      </c>
      <c r="AE366" s="62" t="n">
        <f aca="false">IF(AND(Dashboard!$C$9="Yes",AC366=1),0,1)</f>
        <v>1</v>
      </c>
      <c r="AF366" s="62" t="n">
        <v>0</v>
      </c>
    </row>
    <row r="367" customFormat="false" ht="15" hidden="false" customHeight="false" outlineLevel="0" collapsed="false">
      <c r="A367" s="62" t="n">
        <v>366</v>
      </c>
      <c r="B367" s="63" t="n">
        <v>46237.0800925926</v>
      </c>
      <c r="C367" s="64" t="n">
        <v>46236</v>
      </c>
      <c r="D367" s="62" t="s">
        <v>393</v>
      </c>
      <c r="E367" s="62" t="s">
        <v>273</v>
      </c>
      <c r="F367" s="62" t="s">
        <v>273</v>
      </c>
      <c r="G367" s="62" t="s">
        <v>274</v>
      </c>
      <c r="H367" s="62" t="s">
        <v>59</v>
      </c>
      <c r="I367" s="62" t="s">
        <v>47</v>
      </c>
      <c r="J367" s="62" t="s">
        <v>146</v>
      </c>
      <c r="K367" s="62" t="s">
        <v>147</v>
      </c>
      <c r="L367" s="62" t="s">
        <v>4</v>
      </c>
      <c r="M367" s="62" t="n">
        <v>1</v>
      </c>
      <c r="N367" s="62" t="n">
        <v>0</v>
      </c>
      <c r="O367" s="62" t="n">
        <v>1</v>
      </c>
      <c r="P367" s="62" t="n">
        <v>0</v>
      </c>
      <c r="Q367" s="62" t="n">
        <v>0</v>
      </c>
      <c r="R367" s="62" t="n">
        <v>0</v>
      </c>
      <c r="S367" s="62" t="n">
        <v>0</v>
      </c>
      <c r="T367" s="62" t="n">
        <v>0</v>
      </c>
      <c r="U367" s="62"/>
      <c r="V367" s="62"/>
      <c r="W367" s="62"/>
      <c r="X367" s="62"/>
      <c r="Y367" s="62"/>
      <c r="Z367" s="62" t="s">
        <v>834</v>
      </c>
      <c r="AA367" s="62" t="s">
        <v>835</v>
      </c>
      <c r="AB367" s="62" t="n">
        <v>1</v>
      </c>
      <c r="AC367" s="62" t="n">
        <v>0</v>
      </c>
      <c r="AD367" s="62" t="n">
        <v>1</v>
      </c>
      <c r="AE367" s="62" t="n">
        <f aca="false">IF(AND(Dashboard!$C$9="Yes",AC367=1),0,1)</f>
        <v>1</v>
      </c>
      <c r="AF367" s="62" t="n">
        <v>1</v>
      </c>
    </row>
    <row r="368" customFormat="false" ht="15" hidden="false" customHeight="false" outlineLevel="0" collapsed="false">
      <c r="A368" s="62" t="n">
        <v>367</v>
      </c>
      <c r="B368" s="63" t="n">
        <v>46237.0806018519</v>
      </c>
      <c r="C368" s="64" t="n">
        <v>46236</v>
      </c>
      <c r="D368" s="62" t="s">
        <v>393</v>
      </c>
      <c r="E368" s="62" t="s">
        <v>273</v>
      </c>
      <c r="F368" s="62" t="s">
        <v>273</v>
      </c>
      <c r="G368" s="62" t="s">
        <v>274</v>
      </c>
      <c r="H368" s="62" t="s">
        <v>59</v>
      </c>
      <c r="I368" s="62" t="s">
        <v>47</v>
      </c>
      <c r="J368" s="62" t="s">
        <v>146</v>
      </c>
      <c r="K368" s="62" t="s">
        <v>147</v>
      </c>
      <c r="L368" s="62" t="s">
        <v>148</v>
      </c>
      <c r="M368" s="62" t="n">
        <v>0</v>
      </c>
      <c r="N368" s="62" t="n">
        <v>1</v>
      </c>
      <c r="O368" s="62" t="n">
        <v>1</v>
      </c>
      <c r="P368" s="62" t="n">
        <v>0</v>
      </c>
      <c r="Q368" s="62" t="n">
        <v>0</v>
      </c>
      <c r="R368" s="62" t="n">
        <v>0</v>
      </c>
      <c r="S368" s="62" t="n">
        <v>0</v>
      </c>
      <c r="T368" s="62" t="n">
        <v>1</v>
      </c>
      <c r="U368" s="62"/>
      <c r="V368" s="62"/>
      <c r="W368" s="62"/>
      <c r="X368" s="62"/>
      <c r="Y368" s="62"/>
      <c r="Z368" s="62" t="s">
        <v>834</v>
      </c>
      <c r="AA368" s="62" t="s">
        <v>835</v>
      </c>
      <c r="AB368" s="62" t="n">
        <v>1</v>
      </c>
      <c r="AC368" s="62" t="n">
        <v>0</v>
      </c>
      <c r="AD368" s="62" t="n">
        <v>1</v>
      </c>
      <c r="AE368" s="62" t="n">
        <f aca="false">IF(AND(Dashboard!$C$9="Yes",AC368=1),0,1)</f>
        <v>1</v>
      </c>
      <c r="AF368" s="62" t="n">
        <v>0</v>
      </c>
    </row>
    <row r="369" customFormat="false" ht="15" hidden="false" customHeight="false" outlineLevel="0" collapsed="false">
      <c r="A369" s="62" t="n">
        <v>368</v>
      </c>
      <c r="B369" s="63" t="n">
        <v>46237.1190393519</v>
      </c>
      <c r="C369" s="64" t="n">
        <v>46236</v>
      </c>
      <c r="D369" s="62" t="s">
        <v>393</v>
      </c>
      <c r="E369" s="62" t="s">
        <v>790</v>
      </c>
      <c r="F369" s="62" t="s">
        <v>791</v>
      </c>
      <c r="G369" s="62" t="s">
        <v>153</v>
      </c>
      <c r="H369" s="62" t="s">
        <v>153</v>
      </c>
      <c r="I369" s="62" t="s">
        <v>153</v>
      </c>
      <c r="J369" s="62" t="s">
        <v>64</v>
      </c>
      <c r="K369" s="62" t="s">
        <v>64</v>
      </c>
      <c r="L369" s="62" t="s">
        <v>148</v>
      </c>
      <c r="M369" s="62" t="n">
        <v>0</v>
      </c>
      <c r="N369" s="62" t="n">
        <v>1</v>
      </c>
      <c r="O369" s="62" t="n">
        <v>1</v>
      </c>
      <c r="P369" s="62" t="n">
        <v>1</v>
      </c>
      <c r="Q369" s="62" t="n">
        <v>0</v>
      </c>
      <c r="R369" s="62" t="n">
        <v>0</v>
      </c>
      <c r="S369" s="62" t="n">
        <v>0</v>
      </c>
      <c r="T369" s="62" t="n">
        <v>0</v>
      </c>
      <c r="U369" s="62"/>
      <c r="V369" s="62"/>
      <c r="W369" s="62"/>
      <c r="X369" s="62"/>
      <c r="Y369" s="62"/>
      <c r="Z369" s="62" t="s">
        <v>836</v>
      </c>
      <c r="AA369" s="62" t="s">
        <v>837</v>
      </c>
      <c r="AB369" s="62" t="n">
        <v>1</v>
      </c>
      <c r="AC369" s="62" t="n">
        <v>0</v>
      </c>
      <c r="AD369" s="62" t="n">
        <v>0</v>
      </c>
      <c r="AE369" s="62" t="n">
        <f aca="false">IF(AND(Dashboard!$C$9="Yes",AC369=1),0,1)</f>
        <v>1</v>
      </c>
      <c r="AF369" s="62" t="n">
        <v>0</v>
      </c>
    </row>
    <row r="370" customFormat="false" ht="15" hidden="false" customHeight="false" outlineLevel="0" collapsed="false">
      <c r="A370" s="62" t="n">
        <v>369</v>
      </c>
      <c r="B370" s="63" t="n">
        <v>46237.1669675926</v>
      </c>
      <c r="C370" s="64" t="n">
        <v>46236</v>
      </c>
      <c r="D370" s="62" t="s">
        <v>393</v>
      </c>
      <c r="E370" s="62" t="s">
        <v>144</v>
      </c>
      <c r="F370" s="62" t="s">
        <v>144</v>
      </c>
      <c r="G370" s="62" t="s">
        <v>145</v>
      </c>
      <c r="H370" s="62" t="s">
        <v>59</v>
      </c>
      <c r="I370" s="62" t="s">
        <v>47</v>
      </c>
      <c r="J370" s="62" t="s">
        <v>146</v>
      </c>
      <c r="K370" s="62" t="s">
        <v>147</v>
      </c>
      <c r="L370" s="62" t="s">
        <v>148</v>
      </c>
      <c r="M370" s="62" t="n">
        <v>0</v>
      </c>
      <c r="N370" s="62" t="n">
        <v>2</v>
      </c>
      <c r="O370" s="62" t="n">
        <v>2</v>
      </c>
      <c r="P370" s="62" t="n">
        <v>1</v>
      </c>
      <c r="Q370" s="62" t="n">
        <v>1</v>
      </c>
      <c r="R370" s="62" t="n">
        <v>0</v>
      </c>
      <c r="S370" s="62" t="n">
        <v>0</v>
      </c>
      <c r="T370" s="62" t="n">
        <v>0</v>
      </c>
      <c r="U370" s="62"/>
      <c r="V370" s="62"/>
      <c r="W370" s="62"/>
      <c r="X370" s="62"/>
      <c r="Y370" s="62"/>
      <c r="Z370" s="62" t="s">
        <v>838</v>
      </c>
      <c r="AA370" s="62" t="s">
        <v>839</v>
      </c>
      <c r="AB370" s="62" t="n">
        <v>0</v>
      </c>
      <c r="AC370" s="62" t="n">
        <v>0</v>
      </c>
      <c r="AD370" s="62" t="n">
        <v>1</v>
      </c>
      <c r="AE370" s="62" t="n">
        <f aca="false">IF(AND(Dashboard!$C$9="Yes",AC370=1),0,1)</f>
        <v>1</v>
      </c>
      <c r="AF370" s="62" t="n">
        <v>0</v>
      </c>
    </row>
    <row r="371" customFormat="false" ht="15" hidden="false" customHeight="false" outlineLevel="0" collapsed="false">
      <c r="A371" s="62" t="n">
        <v>370</v>
      </c>
      <c r="B371" s="63" t="n">
        <v>46237.1672106482</v>
      </c>
      <c r="C371" s="64" t="n">
        <v>46236</v>
      </c>
      <c r="D371" s="62" t="s">
        <v>393</v>
      </c>
      <c r="E371" s="62" t="s">
        <v>144</v>
      </c>
      <c r="F371" s="62" t="s">
        <v>144</v>
      </c>
      <c r="G371" s="62" t="s">
        <v>145</v>
      </c>
      <c r="H371" s="62" t="s">
        <v>59</v>
      </c>
      <c r="I371" s="62" t="s">
        <v>47</v>
      </c>
      <c r="J371" s="62" t="s">
        <v>146</v>
      </c>
      <c r="K371" s="62" t="s">
        <v>147</v>
      </c>
      <c r="L371" s="62" t="s">
        <v>148</v>
      </c>
      <c r="M371" s="62" t="n">
        <v>0</v>
      </c>
      <c r="N371" s="62" t="n">
        <v>2</v>
      </c>
      <c r="O371" s="62" t="n">
        <v>2</v>
      </c>
      <c r="P371" s="62" t="n">
        <v>1</v>
      </c>
      <c r="Q371" s="62" t="n">
        <v>1</v>
      </c>
      <c r="R371" s="62" t="n">
        <v>0</v>
      </c>
      <c r="S371" s="62" t="n">
        <v>0</v>
      </c>
      <c r="T371" s="62" t="n">
        <v>0</v>
      </c>
      <c r="U371" s="62"/>
      <c r="V371" s="62"/>
      <c r="W371" s="62"/>
      <c r="X371" s="62"/>
      <c r="Y371" s="62"/>
      <c r="Z371" s="62" t="s">
        <v>838</v>
      </c>
      <c r="AA371" s="62" t="s">
        <v>839</v>
      </c>
      <c r="AB371" s="62" t="n">
        <v>0</v>
      </c>
      <c r="AC371" s="62" t="n">
        <v>0</v>
      </c>
      <c r="AD371" s="62" t="n">
        <v>1</v>
      </c>
      <c r="AE371" s="62" t="n">
        <f aca="false">IF(AND(Dashboard!$C$9="Yes",AC371=1),0,1)</f>
        <v>1</v>
      </c>
      <c r="AF371" s="62" t="n">
        <v>0</v>
      </c>
    </row>
    <row r="372" customFormat="false" ht="15" hidden="false" customHeight="false" outlineLevel="0" collapsed="false">
      <c r="A372" s="62" t="n">
        <v>371</v>
      </c>
      <c r="B372" s="63" t="n">
        <v>46237.1692708333</v>
      </c>
      <c r="C372" s="64" t="n">
        <v>46236</v>
      </c>
      <c r="D372" s="62" t="s">
        <v>393</v>
      </c>
      <c r="E372" s="62" t="s">
        <v>212</v>
      </c>
      <c r="F372" s="62" t="s">
        <v>212</v>
      </c>
      <c r="G372" s="62" t="s">
        <v>213</v>
      </c>
      <c r="H372" s="62" t="s">
        <v>58</v>
      </c>
      <c r="I372" s="62" t="s">
        <v>49</v>
      </c>
      <c r="J372" s="62" t="s">
        <v>146</v>
      </c>
      <c r="K372" s="62" t="s">
        <v>175</v>
      </c>
      <c r="L372" s="62" t="s">
        <v>4</v>
      </c>
      <c r="M372" s="62" t="n">
        <v>1</v>
      </c>
      <c r="N372" s="62" t="n">
        <v>0</v>
      </c>
      <c r="O372" s="62" t="n">
        <v>1</v>
      </c>
      <c r="P372" s="62" t="n">
        <v>0</v>
      </c>
      <c r="Q372" s="62" t="n">
        <v>0</v>
      </c>
      <c r="R372" s="62" t="n">
        <v>0</v>
      </c>
      <c r="S372" s="62" t="n">
        <v>0</v>
      </c>
      <c r="T372" s="62" t="n">
        <v>0</v>
      </c>
      <c r="U372" s="62"/>
      <c r="V372" s="62"/>
      <c r="W372" s="62"/>
      <c r="X372" s="62"/>
      <c r="Y372" s="62"/>
      <c r="Z372" s="62" t="s">
        <v>840</v>
      </c>
      <c r="AA372" s="62" t="s">
        <v>841</v>
      </c>
      <c r="AB372" s="62" t="n">
        <v>1</v>
      </c>
      <c r="AC372" s="62" t="n">
        <v>0</v>
      </c>
      <c r="AD372" s="62" t="n">
        <v>1</v>
      </c>
      <c r="AE372" s="62" t="n">
        <f aca="false">IF(AND(Dashboard!$C$9="Yes",AC372=1),0,1)</f>
        <v>1</v>
      </c>
      <c r="AF372" s="62" t="n">
        <v>0</v>
      </c>
    </row>
    <row r="373" customFormat="false" ht="15" hidden="false" customHeight="false" outlineLevel="0" collapsed="false">
      <c r="A373" s="62" t="n">
        <v>372</v>
      </c>
      <c r="B373" s="63" t="n">
        <v>46237.1695601852</v>
      </c>
      <c r="C373" s="64" t="n">
        <v>46236</v>
      </c>
      <c r="D373" s="62" t="s">
        <v>393</v>
      </c>
      <c r="E373" s="62" t="s">
        <v>212</v>
      </c>
      <c r="F373" s="62" t="s">
        <v>212</v>
      </c>
      <c r="G373" s="62" t="s">
        <v>213</v>
      </c>
      <c r="H373" s="62" t="s">
        <v>58</v>
      </c>
      <c r="I373" s="62" t="s">
        <v>49</v>
      </c>
      <c r="J373" s="62" t="s">
        <v>146</v>
      </c>
      <c r="K373" s="62" t="s">
        <v>175</v>
      </c>
      <c r="L373" s="62" t="s">
        <v>148</v>
      </c>
      <c r="M373" s="62" t="n">
        <v>0</v>
      </c>
      <c r="N373" s="62" t="n">
        <v>1</v>
      </c>
      <c r="O373" s="62" t="n">
        <v>1</v>
      </c>
      <c r="P373" s="62" t="n">
        <v>0</v>
      </c>
      <c r="Q373" s="62" t="n">
        <v>0</v>
      </c>
      <c r="R373" s="62" t="n">
        <v>0</v>
      </c>
      <c r="S373" s="62" t="n">
        <v>0</v>
      </c>
      <c r="T373" s="62" t="n">
        <v>1</v>
      </c>
      <c r="U373" s="62"/>
      <c r="V373" s="62"/>
      <c r="W373" s="62"/>
      <c r="X373" s="62"/>
      <c r="Y373" s="62"/>
      <c r="Z373" s="62" t="s">
        <v>841</v>
      </c>
      <c r="AA373" s="62" t="s">
        <v>840</v>
      </c>
      <c r="AB373" s="62" t="n">
        <v>1</v>
      </c>
      <c r="AC373" s="62" t="n">
        <v>0</v>
      </c>
      <c r="AD373" s="62" t="n">
        <v>1</v>
      </c>
      <c r="AE373" s="62" t="n">
        <f aca="false">IF(AND(Dashboard!$C$9="Yes",AC373=1),0,1)</f>
        <v>1</v>
      </c>
      <c r="AF373" s="62" t="n">
        <v>0</v>
      </c>
    </row>
    <row r="374" customFormat="false" ht="15" hidden="false" customHeight="false" outlineLevel="0" collapsed="false">
      <c r="A374" s="62" t="n">
        <v>373</v>
      </c>
      <c r="B374" s="63" t="n">
        <v>46237.1781481481</v>
      </c>
      <c r="C374" s="64" t="n">
        <v>46236</v>
      </c>
      <c r="D374" s="62" t="s">
        <v>393</v>
      </c>
      <c r="E374" s="62" t="s">
        <v>144</v>
      </c>
      <c r="F374" s="62" t="s">
        <v>144</v>
      </c>
      <c r="G374" s="62" t="s">
        <v>145</v>
      </c>
      <c r="H374" s="62" t="s">
        <v>59</v>
      </c>
      <c r="I374" s="62" t="s">
        <v>47</v>
      </c>
      <c r="J374" s="62" t="s">
        <v>146</v>
      </c>
      <c r="K374" s="62" t="s">
        <v>147</v>
      </c>
      <c r="L374" s="62" t="s">
        <v>4</v>
      </c>
      <c r="M374" s="62" t="n">
        <v>1</v>
      </c>
      <c r="N374" s="62" t="n">
        <v>0</v>
      </c>
      <c r="O374" s="62" t="n">
        <v>1</v>
      </c>
      <c r="P374" s="62" t="n">
        <v>0</v>
      </c>
      <c r="Q374" s="62" t="n">
        <v>0</v>
      </c>
      <c r="R374" s="62" t="n">
        <v>0</v>
      </c>
      <c r="S374" s="62" t="n">
        <v>0</v>
      </c>
      <c r="T374" s="62" t="n">
        <v>0</v>
      </c>
      <c r="U374" s="62"/>
      <c r="V374" s="62"/>
      <c r="W374" s="62"/>
      <c r="X374" s="62"/>
      <c r="Y374" s="62"/>
      <c r="Z374" s="62" t="s">
        <v>838</v>
      </c>
      <c r="AA374" s="62" t="s">
        <v>842</v>
      </c>
      <c r="AB374" s="62" t="n">
        <v>1</v>
      </c>
      <c r="AC374" s="62" t="n">
        <v>0</v>
      </c>
      <c r="AD374" s="62" t="n">
        <v>1</v>
      </c>
      <c r="AE374" s="62" t="n">
        <f aca="false">IF(AND(Dashboard!$C$9="Yes",AC374=1),0,1)</f>
        <v>1</v>
      </c>
      <c r="AF374" s="62" t="n">
        <v>0</v>
      </c>
    </row>
    <row r="375" customFormat="false" ht="15" hidden="false" customHeight="false" outlineLevel="0" collapsed="false">
      <c r="A375" s="62" t="n">
        <v>374</v>
      </c>
      <c r="B375" s="63" t="n">
        <v>46237.1785648148</v>
      </c>
      <c r="C375" s="64" t="n">
        <v>46236</v>
      </c>
      <c r="D375" s="62" t="s">
        <v>393</v>
      </c>
      <c r="E375" s="62" t="s">
        <v>144</v>
      </c>
      <c r="F375" s="62" t="s">
        <v>144</v>
      </c>
      <c r="G375" s="62" t="s">
        <v>145</v>
      </c>
      <c r="H375" s="62" t="s">
        <v>59</v>
      </c>
      <c r="I375" s="62" t="s">
        <v>47</v>
      </c>
      <c r="J375" s="62" t="s">
        <v>146</v>
      </c>
      <c r="K375" s="62" t="s">
        <v>147</v>
      </c>
      <c r="L375" s="62" t="s">
        <v>4</v>
      </c>
      <c r="M375" s="62" t="n">
        <v>1</v>
      </c>
      <c r="N375" s="62" t="n">
        <v>0</v>
      </c>
      <c r="O375" s="62" t="n">
        <v>1</v>
      </c>
      <c r="P375" s="62" t="n">
        <v>0</v>
      </c>
      <c r="Q375" s="62" t="n">
        <v>0</v>
      </c>
      <c r="R375" s="62" t="n">
        <v>0</v>
      </c>
      <c r="S375" s="62" t="n">
        <v>0</v>
      </c>
      <c r="T375" s="62" t="n">
        <v>0</v>
      </c>
      <c r="U375" s="62"/>
      <c r="V375" s="62"/>
      <c r="W375" s="62"/>
      <c r="X375" s="62"/>
      <c r="Y375" s="62"/>
      <c r="Z375" s="62" t="s">
        <v>838</v>
      </c>
      <c r="AA375" s="62" t="s">
        <v>842</v>
      </c>
      <c r="AB375" s="62" t="n">
        <v>1</v>
      </c>
      <c r="AC375" s="62" t="n">
        <v>1</v>
      </c>
      <c r="AD375" s="62" t="n">
        <v>1</v>
      </c>
      <c r="AE375" s="62" t="n">
        <f aca="false">IF(AND(Dashboard!$C$9="Yes",AC375=1),0,1)</f>
        <v>0</v>
      </c>
      <c r="AF375" s="62" t="n">
        <v>0</v>
      </c>
    </row>
    <row r="376" customFormat="false" ht="15" hidden="false" customHeight="false" outlineLevel="0" collapsed="false">
      <c r="A376" s="62" t="n">
        <v>375</v>
      </c>
      <c r="B376" s="63" t="n">
        <v>46237.1794328704</v>
      </c>
      <c r="C376" s="64" t="n">
        <v>46236</v>
      </c>
      <c r="D376" s="62" t="s">
        <v>393</v>
      </c>
      <c r="E376" s="62" t="s">
        <v>144</v>
      </c>
      <c r="F376" s="62" t="s">
        <v>144</v>
      </c>
      <c r="G376" s="62" t="s">
        <v>145</v>
      </c>
      <c r="H376" s="62" t="s">
        <v>59</v>
      </c>
      <c r="I376" s="62" t="s">
        <v>47</v>
      </c>
      <c r="J376" s="62" t="s">
        <v>146</v>
      </c>
      <c r="K376" s="62" t="s">
        <v>147</v>
      </c>
      <c r="L376" s="62" t="s">
        <v>4</v>
      </c>
      <c r="M376" s="62" t="n">
        <v>1</v>
      </c>
      <c r="N376" s="62" t="n">
        <v>0</v>
      </c>
      <c r="O376" s="62" t="n">
        <v>1</v>
      </c>
      <c r="P376" s="62" t="n">
        <v>0</v>
      </c>
      <c r="Q376" s="62" t="n">
        <v>0</v>
      </c>
      <c r="R376" s="62" t="n">
        <v>0</v>
      </c>
      <c r="S376" s="62" t="n">
        <v>0</v>
      </c>
      <c r="T376" s="62" t="n">
        <v>0</v>
      </c>
      <c r="U376" s="62"/>
      <c r="V376" s="62"/>
      <c r="W376" s="62"/>
      <c r="X376" s="62"/>
      <c r="Y376" s="62"/>
      <c r="Z376" s="62" t="s">
        <v>838</v>
      </c>
      <c r="AA376" s="62" t="s">
        <v>842</v>
      </c>
      <c r="AB376" s="62" t="n">
        <v>1</v>
      </c>
      <c r="AC376" s="62" t="n">
        <v>1</v>
      </c>
      <c r="AD376" s="62" t="n">
        <v>1</v>
      </c>
      <c r="AE376" s="62" t="n">
        <f aca="false">IF(AND(Dashboard!$C$9="Yes",AC376=1),0,1)</f>
        <v>0</v>
      </c>
      <c r="AF376" s="62" t="n">
        <v>0</v>
      </c>
    </row>
    <row r="377" customFormat="false" ht="15" hidden="false" customHeight="false" outlineLevel="0" collapsed="false">
      <c r="A377" s="62" t="n">
        <v>376</v>
      </c>
      <c r="B377" s="63" t="n">
        <v>46237.7222106482</v>
      </c>
      <c r="C377" s="64" t="n">
        <v>46237</v>
      </c>
      <c r="D377" s="62" t="s">
        <v>429</v>
      </c>
      <c r="E377" s="62" t="s">
        <v>432</v>
      </c>
      <c r="F377" s="62" t="s">
        <v>433</v>
      </c>
      <c r="G377" s="62" t="s">
        <v>153</v>
      </c>
      <c r="H377" s="62" t="s">
        <v>153</v>
      </c>
      <c r="I377" s="62" t="s">
        <v>153</v>
      </c>
      <c r="J377" s="62" t="s">
        <v>64</v>
      </c>
      <c r="K377" s="62" t="s">
        <v>64</v>
      </c>
      <c r="L377" s="62" t="s">
        <v>4</v>
      </c>
      <c r="M377" s="62" t="n">
        <v>1</v>
      </c>
      <c r="N377" s="62" t="n">
        <v>0</v>
      </c>
      <c r="O377" s="62" t="n">
        <v>1</v>
      </c>
      <c r="P377" s="62" t="n">
        <v>0</v>
      </c>
      <c r="Q377" s="62" t="n">
        <v>0</v>
      </c>
      <c r="R377" s="62" t="n">
        <v>0</v>
      </c>
      <c r="S377" s="62" t="n">
        <v>0</v>
      </c>
      <c r="T377" s="62" t="n">
        <v>0</v>
      </c>
      <c r="U377" s="62"/>
      <c r="V377" s="62"/>
      <c r="W377" s="62"/>
      <c r="X377" s="62"/>
      <c r="Y377" s="62"/>
      <c r="Z377" s="62" t="s">
        <v>843</v>
      </c>
      <c r="AA377" s="62" t="s">
        <v>844</v>
      </c>
      <c r="AB377" s="62" t="n">
        <v>1</v>
      </c>
      <c r="AC377" s="62" t="n">
        <v>0</v>
      </c>
      <c r="AD377" s="62" t="n">
        <v>0</v>
      </c>
      <c r="AE377" s="62" t="n">
        <f aca="false">IF(AND(Dashboard!$C$9="Yes",AC377=1),0,1)</f>
        <v>1</v>
      </c>
      <c r="AF377" s="62" t="n">
        <v>1</v>
      </c>
    </row>
    <row r="378" customFormat="false" ht="15" hidden="false" customHeight="false" outlineLevel="0" collapsed="false">
      <c r="A378" s="62" t="n">
        <v>377</v>
      </c>
      <c r="B378" s="63" t="n">
        <v>46237.7303009259</v>
      </c>
      <c r="C378" s="64" t="n">
        <v>46237</v>
      </c>
      <c r="D378" s="62" t="s">
        <v>429</v>
      </c>
      <c r="E378" s="62" t="s">
        <v>203</v>
      </c>
      <c r="F378" s="62" t="s">
        <v>203</v>
      </c>
      <c r="G378" s="62" t="s">
        <v>204</v>
      </c>
      <c r="H378" s="62" t="s">
        <v>51</v>
      </c>
      <c r="I378" s="62" t="s">
        <v>47</v>
      </c>
      <c r="J378" s="62" t="s">
        <v>146</v>
      </c>
      <c r="K378" s="62" t="s">
        <v>147</v>
      </c>
      <c r="L378" s="62" t="s">
        <v>148</v>
      </c>
      <c r="M378" s="62" t="n">
        <v>0</v>
      </c>
      <c r="N378" s="62" t="n">
        <v>1</v>
      </c>
      <c r="O378" s="62" t="n">
        <v>1</v>
      </c>
      <c r="P378" s="62" t="n">
        <v>0</v>
      </c>
      <c r="Q378" s="62" t="n">
        <v>1</v>
      </c>
      <c r="R378" s="62" t="n">
        <v>0</v>
      </c>
      <c r="S378" s="62" t="n">
        <v>0</v>
      </c>
      <c r="T378" s="62" t="n">
        <v>0</v>
      </c>
      <c r="U378" s="62"/>
      <c r="V378" s="62"/>
      <c r="W378" s="62"/>
      <c r="X378" s="62"/>
      <c r="Y378" s="62"/>
      <c r="Z378" s="62" t="s">
        <v>845</v>
      </c>
      <c r="AA378" s="62" t="s">
        <v>846</v>
      </c>
      <c r="AB378" s="62" t="n">
        <v>1</v>
      </c>
      <c r="AC378" s="62" t="n">
        <v>0</v>
      </c>
      <c r="AD378" s="62" t="n">
        <v>1</v>
      </c>
      <c r="AE378" s="62" t="n">
        <f aca="false">IF(AND(Dashboard!$C$9="Yes",AC378=1),0,1)</f>
        <v>1</v>
      </c>
      <c r="AF378" s="62" t="n">
        <v>1</v>
      </c>
    </row>
    <row r="379" customFormat="false" ht="15" hidden="false" customHeight="false" outlineLevel="0" collapsed="false">
      <c r="A379" s="62" t="n">
        <v>378</v>
      </c>
      <c r="B379" s="63" t="n">
        <v>46237.7409259259</v>
      </c>
      <c r="C379" s="64" t="n">
        <v>46237</v>
      </c>
      <c r="D379" s="62" t="s">
        <v>429</v>
      </c>
      <c r="E379" s="62" t="s">
        <v>592</v>
      </c>
      <c r="F379" s="62" t="s">
        <v>593</v>
      </c>
      <c r="G379" s="62" t="s">
        <v>153</v>
      </c>
      <c r="H379" s="62" t="s">
        <v>153</v>
      </c>
      <c r="I379" s="62" t="s">
        <v>153</v>
      </c>
      <c r="J379" s="62" t="s">
        <v>64</v>
      </c>
      <c r="K379" s="62" t="s">
        <v>64</v>
      </c>
      <c r="L379" s="62" t="s">
        <v>148</v>
      </c>
      <c r="M379" s="62" t="n">
        <v>0</v>
      </c>
      <c r="N379" s="62" t="n">
        <v>1</v>
      </c>
      <c r="O379" s="62" t="n">
        <v>1</v>
      </c>
      <c r="P379" s="62" t="n">
        <v>1</v>
      </c>
      <c r="Q379" s="62" t="n">
        <v>0</v>
      </c>
      <c r="R379" s="62" t="n">
        <v>0</v>
      </c>
      <c r="S379" s="62" t="n">
        <v>0</v>
      </c>
      <c r="T379" s="62" t="n">
        <v>0</v>
      </c>
      <c r="U379" s="62"/>
      <c r="V379" s="62"/>
      <c r="W379" s="62"/>
      <c r="X379" s="62"/>
      <c r="Y379" s="62"/>
      <c r="Z379" s="62" t="s">
        <v>847</v>
      </c>
      <c r="AA379" s="62" t="s">
        <v>848</v>
      </c>
      <c r="AB379" s="62" t="n">
        <v>1</v>
      </c>
      <c r="AC379" s="62" t="n">
        <v>0</v>
      </c>
      <c r="AD379" s="62" t="n">
        <v>0</v>
      </c>
      <c r="AE379" s="62" t="n">
        <f aca="false">IF(AND(Dashboard!$C$9="Yes",AC379=1),0,1)</f>
        <v>1</v>
      </c>
      <c r="AF379" s="62" t="n">
        <v>1</v>
      </c>
    </row>
    <row r="380" customFormat="false" ht="15" hidden="false" customHeight="false" outlineLevel="0" collapsed="false">
      <c r="A380" s="62" t="n">
        <v>379</v>
      </c>
      <c r="B380" s="63" t="n">
        <v>46237.7533217593</v>
      </c>
      <c r="C380" s="64" t="n">
        <v>46237</v>
      </c>
      <c r="D380" s="62" t="s">
        <v>429</v>
      </c>
      <c r="E380" s="62" t="s">
        <v>203</v>
      </c>
      <c r="F380" s="62" t="s">
        <v>203</v>
      </c>
      <c r="G380" s="62" t="s">
        <v>204</v>
      </c>
      <c r="H380" s="62" t="s">
        <v>51</v>
      </c>
      <c r="I380" s="62" t="s">
        <v>47</v>
      </c>
      <c r="J380" s="62" t="s">
        <v>146</v>
      </c>
      <c r="K380" s="62" t="s">
        <v>147</v>
      </c>
      <c r="L380" s="62" t="s">
        <v>148</v>
      </c>
      <c r="M380" s="62" t="n">
        <v>0</v>
      </c>
      <c r="N380" s="62" t="n">
        <v>1</v>
      </c>
      <c r="O380" s="62" t="n">
        <v>1</v>
      </c>
      <c r="P380" s="62" t="n">
        <v>1</v>
      </c>
      <c r="Q380" s="62" t="n">
        <v>0</v>
      </c>
      <c r="R380" s="62" t="n">
        <v>0</v>
      </c>
      <c r="S380" s="62" t="n">
        <v>0</v>
      </c>
      <c r="T380" s="62" t="n">
        <v>0</v>
      </c>
      <c r="U380" s="62"/>
      <c r="V380" s="62"/>
      <c r="W380" s="62"/>
      <c r="X380" s="62"/>
      <c r="Y380" s="62"/>
      <c r="Z380" s="62" t="s">
        <v>849</v>
      </c>
      <c r="AA380" s="62" t="s">
        <v>485</v>
      </c>
      <c r="AB380" s="62" t="n">
        <v>0</v>
      </c>
      <c r="AC380" s="62" t="n">
        <v>0</v>
      </c>
      <c r="AD380" s="62" t="n">
        <v>1</v>
      </c>
      <c r="AE380" s="62" t="n">
        <f aca="false">IF(AND(Dashboard!$C$9="Yes",AC380=1),0,1)</f>
        <v>1</v>
      </c>
      <c r="AF380" s="62" t="n">
        <v>0</v>
      </c>
    </row>
    <row r="381" customFormat="false" ht="15" hidden="false" customHeight="false" outlineLevel="0" collapsed="false">
      <c r="A381" s="62" t="n">
        <v>380</v>
      </c>
      <c r="B381" s="63" t="n">
        <v>46237.7543287037</v>
      </c>
      <c r="C381" s="64" t="n">
        <v>46237</v>
      </c>
      <c r="D381" s="62" t="s">
        <v>429</v>
      </c>
      <c r="E381" s="62" t="s">
        <v>265</v>
      </c>
      <c r="F381" s="62" t="s">
        <v>266</v>
      </c>
      <c r="G381" s="62" t="s">
        <v>153</v>
      </c>
      <c r="H381" s="62" t="s">
        <v>153</v>
      </c>
      <c r="I381" s="62" t="s">
        <v>153</v>
      </c>
      <c r="J381" s="62" t="s">
        <v>64</v>
      </c>
      <c r="K381" s="62" t="s">
        <v>64</v>
      </c>
      <c r="L381" s="62" t="s">
        <v>4</v>
      </c>
      <c r="M381" s="62" t="n">
        <v>1</v>
      </c>
      <c r="N381" s="62" t="n">
        <v>0</v>
      </c>
      <c r="O381" s="62" t="n">
        <v>1</v>
      </c>
      <c r="P381" s="62" t="n">
        <v>0</v>
      </c>
      <c r="Q381" s="62" t="n">
        <v>0</v>
      </c>
      <c r="R381" s="62" t="n">
        <v>0</v>
      </c>
      <c r="S381" s="62" t="n">
        <v>0</v>
      </c>
      <c r="T381" s="62" t="n">
        <v>0</v>
      </c>
      <c r="U381" s="62"/>
      <c r="V381" s="62"/>
      <c r="W381" s="62"/>
      <c r="X381" s="62"/>
      <c r="Y381" s="62"/>
      <c r="Z381" s="62" t="s">
        <v>850</v>
      </c>
      <c r="AA381" s="62" t="s">
        <v>851</v>
      </c>
      <c r="AB381" s="62" t="n">
        <v>1</v>
      </c>
      <c r="AC381" s="62" t="n">
        <v>0</v>
      </c>
      <c r="AD381" s="62" t="n">
        <v>0</v>
      </c>
      <c r="AE381" s="62" t="n">
        <f aca="false">IF(AND(Dashboard!$C$9="Yes",AC381=1),0,1)</f>
        <v>1</v>
      </c>
      <c r="AF381" s="62" t="n">
        <v>1</v>
      </c>
    </row>
    <row r="382" customFormat="false" ht="15" hidden="false" customHeight="false" outlineLevel="0" collapsed="false">
      <c r="A382" s="62" t="n">
        <v>381</v>
      </c>
      <c r="B382" s="63" t="n">
        <v>46237.7546064815</v>
      </c>
      <c r="C382" s="64" t="n">
        <v>46237</v>
      </c>
      <c r="D382" s="62" t="s">
        <v>429</v>
      </c>
      <c r="E382" s="62" t="s">
        <v>255</v>
      </c>
      <c r="F382" s="62" t="s">
        <v>255</v>
      </c>
      <c r="G382" s="62" t="s">
        <v>256</v>
      </c>
      <c r="H382" s="62" t="s">
        <v>57</v>
      </c>
      <c r="I382" s="62" t="s">
        <v>47</v>
      </c>
      <c r="J382" s="62" t="s">
        <v>146</v>
      </c>
      <c r="K382" s="62" t="s">
        <v>147</v>
      </c>
      <c r="L382" s="62" t="s">
        <v>148</v>
      </c>
      <c r="M382" s="62" t="n">
        <v>0</v>
      </c>
      <c r="N382" s="62" t="n">
        <v>2</v>
      </c>
      <c r="O382" s="62" t="n">
        <v>2</v>
      </c>
      <c r="P382" s="62" t="n">
        <v>0</v>
      </c>
      <c r="Q382" s="62" t="n">
        <v>0</v>
      </c>
      <c r="R382" s="62" t="n">
        <v>0</v>
      </c>
      <c r="S382" s="62" t="n">
        <v>1</v>
      </c>
      <c r="T382" s="62" t="n">
        <v>1</v>
      </c>
      <c r="U382" s="62"/>
      <c r="V382" s="62"/>
      <c r="W382" s="62"/>
      <c r="X382" s="62"/>
      <c r="Y382" s="62"/>
      <c r="Z382" s="62" t="s">
        <v>850</v>
      </c>
      <c r="AA382" s="62" t="s">
        <v>851</v>
      </c>
      <c r="AB382" s="62" t="n">
        <v>1</v>
      </c>
      <c r="AC382" s="62" t="n">
        <v>0</v>
      </c>
      <c r="AD382" s="62" t="n">
        <v>1</v>
      </c>
      <c r="AE382" s="62" t="n">
        <f aca="false">IF(AND(Dashboard!$C$9="Yes",AC382=1),0,1)</f>
        <v>1</v>
      </c>
      <c r="AF382" s="62" t="n">
        <v>1</v>
      </c>
    </row>
    <row r="383" customFormat="false" ht="15" hidden="false" customHeight="false" outlineLevel="0" collapsed="false">
      <c r="A383" s="62" t="n">
        <v>382</v>
      </c>
      <c r="B383" s="63" t="n">
        <v>46237.7857060185</v>
      </c>
      <c r="C383" s="64" t="n">
        <v>46237</v>
      </c>
      <c r="D383" s="62" t="s">
        <v>429</v>
      </c>
      <c r="E383" s="62" t="s">
        <v>164</v>
      </c>
      <c r="F383" s="62" t="s">
        <v>164</v>
      </c>
      <c r="G383" s="62" t="s">
        <v>165</v>
      </c>
      <c r="H383" s="62" t="s">
        <v>51</v>
      </c>
      <c r="I383" s="62" t="s">
        <v>47</v>
      </c>
      <c r="J383" s="62" t="s">
        <v>146</v>
      </c>
      <c r="K383" s="62" t="s">
        <v>147</v>
      </c>
      <c r="L383" s="62" t="s">
        <v>148</v>
      </c>
      <c r="M383" s="62" t="n">
        <v>0</v>
      </c>
      <c r="N383" s="62" t="n">
        <v>1</v>
      </c>
      <c r="O383" s="62" t="n">
        <v>1</v>
      </c>
      <c r="P383" s="62" t="n">
        <v>1</v>
      </c>
      <c r="Q383" s="62" t="n">
        <v>0</v>
      </c>
      <c r="R383" s="62" t="n">
        <v>0</v>
      </c>
      <c r="S383" s="62" t="n">
        <v>0</v>
      </c>
      <c r="T383" s="62" t="n">
        <v>0</v>
      </c>
      <c r="U383" s="62"/>
      <c r="V383" s="62"/>
      <c r="W383" s="62"/>
      <c r="X383" s="62"/>
      <c r="Y383" s="62"/>
      <c r="Z383" s="62" t="s">
        <v>852</v>
      </c>
      <c r="AA383" s="62" t="s">
        <v>853</v>
      </c>
      <c r="AB383" s="62" t="n">
        <v>1</v>
      </c>
      <c r="AC383" s="62" t="n">
        <v>0</v>
      </c>
      <c r="AD383" s="62" t="n">
        <v>1</v>
      </c>
      <c r="AE383" s="62" t="n">
        <f aca="false">IF(AND(Dashboard!$C$9="Yes",AC383=1),0,1)</f>
        <v>1</v>
      </c>
      <c r="AF383" s="62" t="n">
        <v>1</v>
      </c>
    </row>
    <row r="384" customFormat="false" ht="15" hidden="false" customHeight="false" outlineLevel="0" collapsed="false">
      <c r="A384" s="62" t="n">
        <v>383</v>
      </c>
      <c r="B384" s="63" t="n">
        <v>46237.793900463</v>
      </c>
      <c r="C384" s="64" t="n">
        <v>46237</v>
      </c>
      <c r="D384" s="62" t="s">
        <v>429</v>
      </c>
      <c r="E384" s="62" t="s">
        <v>854</v>
      </c>
      <c r="F384" s="62" t="s">
        <v>855</v>
      </c>
      <c r="G384" s="62" t="s">
        <v>153</v>
      </c>
      <c r="H384" s="62" t="s">
        <v>153</v>
      </c>
      <c r="I384" s="62" t="s">
        <v>153</v>
      </c>
      <c r="J384" s="62" t="s">
        <v>64</v>
      </c>
      <c r="K384" s="62" t="s">
        <v>64</v>
      </c>
      <c r="L384" s="62" t="s">
        <v>148</v>
      </c>
      <c r="M384" s="62" t="n">
        <v>0</v>
      </c>
      <c r="N384" s="62" t="n">
        <v>1</v>
      </c>
      <c r="O384" s="62" t="n">
        <v>1</v>
      </c>
      <c r="P384" s="62" t="n">
        <v>1</v>
      </c>
      <c r="Q384" s="62" t="n">
        <v>0</v>
      </c>
      <c r="R384" s="62" t="n">
        <v>0</v>
      </c>
      <c r="S384" s="62" t="n">
        <v>0</v>
      </c>
      <c r="T384" s="62" t="n">
        <v>0</v>
      </c>
      <c r="U384" s="62"/>
      <c r="V384" s="62"/>
      <c r="W384" s="62"/>
      <c r="X384" s="62"/>
      <c r="Y384" s="62"/>
      <c r="Z384" s="62" t="s">
        <v>856</v>
      </c>
      <c r="AA384" s="62" t="s">
        <v>857</v>
      </c>
      <c r="AB384" s="62" t="n">
        <v>1</v>
      </c>
      <c r="AC384" s="62" t="n">
        <v>0</v>
      </c>
      <c r="AD384" s="62" t="n">
        <v>0</v>
      </c>
      <c r="AE384" s="62" t="n">
        <f aca="false">IF(AND(Dashboard!$C$9="Yes",AC384=1),0,1)</f>
        <v>1</v>
      </c>
      <c r="AF384" s="62" t="n">
        <v>1</v>
      </c>
    </row>
    <row r="385" customFormat="false" ht="15" hidden="false" customHeight="false" outlineLevel="0" collapsed="false">
      <c r="A385" s="62" t="n">
        <v>384</v>
      </c>
      <c r="B385" s="63" t="n">
        <v>46237.830775463</v>
      </c>
      <c r="C385" s="64" t="n">
        <v>46237</v>
      </c>
      <c r="D385" s="62" t="s">
        <v>429</v>
      </c>
      <c r="E385" s="62" t="s">
        <v>713</v>
      </c>
      <c r="F385" s="62" t="s">
        <v>714</v>
      </c>
      <c r="G385" s="62" t="s">
        <v>153</v>
      </c>
      <c r="H385" s="62" t="s">
        <v>153</v>
      </c>
      <c r="I385" s="62" t="s">
        <v>153</v>
      </c>
      <c r="J385" s="62" t="s">
        <v>64</v>
      </c>
      <c r="K385" s="62" t="s">
        <v>64</v>
      </c>
      <c r="L385" s="62" t="s">
        <v>148</v>
      </c>
      <c r="M385" s="62" t="n">
        <v>0</v>
      </c>
      <c r="N385" s="62" t="n">
        <v>1</v>
      </c>
      <c r="O385" s="62" t="n">
        <v>1</v>
      </c>
      <c r="P385" s="62" t="n">
        <v>0</v>
      </c>
      <c r="Q385" s="62" t="n">
        <v>0</v>
      </c>
      <c r="R385" s="62" t="n">
        <v>1</v>
      </c>
      <c r="S385" s="62" t="n">
        <v>0</v>
      </c>
      <c r="T385" s="62" t="n">
        <v>0</v>
      </c>
      <c r="U385" s="62"/>
      <c r="V385" s="62"/>
      <c r="W385" s="62"/>
      <c r="X385" s="62"/>
      <c r="Y385" s="62"/>
      <c r="Z385" s="62" t="s">
        <v>858</v>
      </c>
      <c r="AA385" s="62" t="s">
        <v>237</v>
      </c>
      <c r="AB385" s="62" t="n">
        <v>0</v>
      </c>
      <c r="AC385" s="62" t="n">
        <v>0</v>
      </c>
      <c r="AD385" s="62" t="n">
        <v>0</v>
      </c>
      <c r="AE385" s="62" t="n">
        <f aca="false">IF(AND(Dashboard!$C$9="Yes",AC385=1),0,1)</f>
        <v>1</v>
      </c>
      <c r="AF385" s="62" t="n">
        <v>1</v>
      </c>
    </row>
    <row r="386" customFormat="false" ht="15" hidden="false" customHeight="false" outlineLevel="0" collapsed="false">
      <c r="A386" s="62" t="n">
        <v>385</v>
      </c>
      <c r="B386" s="63" t="n">
        <v>46237.8360416667</v>
      </c>
      <c r="C386" s="64" t="n">
        <v>46237</v>
      </c>
      <c r="D386" s="62" t="s">
        <v>429</v>
      </c>
      <c r="E386" s="62" t="s">
        <v>439</v>
      </c>
      <c r="F386" s="62" t="s">
        <v>439</v>
      </c>
      <c r="G386" s="62" t="s">
        <v>440</v>
      </c>
      <c r="H386" s="62" t="s">
        <v>51</v>
      </c>
      <c r="I386" s="62" t="s">
        <v>47</v>
      </c>
      <c r="J386" s="62" t="s">
        <v>146</v>
      </c>
      <c r="K386" s="62" t="s">
        <v>175</v>
      </c>
      <c r="L386" s="62" t="s">
        <v>148</v>
      </c>
      <c r="M386" s="62" t="n">
        <v>0</v>
      </c>
      <c r="N386" s="62" t="n">
        <v>1</v>
      </c>
      <c r="O386" s="62" t="n">
        <v>1</v>
      </c>
      <c r="P386" s="62" t="n">
        <v>1</v>
      </c>
      <c r="Q386" s="62" t="n">
        <v>0</v>
      </c>
      <c r="R386" s="62" t="n">
        <v>0</v>
      </c>
      <c r="S386" s="62" t="n">
        <v>0</v>
      </c>
      <c r="T386" s="62" t="n">
        <v>0</v>
      </c>
      <c r="U386" s="62"/>
      <c r="V386" s="62"/>
      <c r="W386" s="62"/>
      <c r="X386" s="62"/>
      <c r="Y386" s="62"/>
      <c r="Z386" s="62" t="s">
        <v>859</v>
      </c>
      <c r="AA386" s="62" t="s">
        <v>860</v>
      </c>
      <c r="AB386" s="62" t="n">
        <v>1</v>
      </c>
      <c r="AC386" s="62" t="n">
        <v>0</v>
      </c>
      <c r="AD386" s="62" t="n">
        <v>1</v>
      </c>
      <c r="AE386" s="62" t="n">
        <f aca="false">IF(AND(Dashboard!$C$9="Yes",AC386=1),0,1)</f>
        <v>1</v>
      </c>
      <c r="AF386" s="62" t="n">
        <v>1</v>
      </c>
    </row>
    <row r="387" customFormat="false" ht="15" hidden="false" customHeight="false" outlineLevel="0" collapsed="false">
      <c r="A387" s="62" t="n">
        <v>386</v>
      </c>
      <c r="B387" s="63" t="n">
        <v>46237.8385416667</v>
      </c>
      <c r="C387" s="64" t="n">
        <v>46237</v>
      </c>
      <c r="D387" s="62" t="s">
        <v>429</v>
      </c>
      <c r="E387" s="62" t="s">
        <v>160</v>
      </c>
      <c r="F387" s="62" t="s">
        <v>160</v>
      </c>
      <c r="G387" s="62" t="s">
        <v>161</v>
      </c>
      <c r="H387" s="62" t="s">
        <v>51</v>
      </c>
      <c r="I387" s="62" t="s">
        <v>47</v>
      </c>
      <c r="J387" s="62" t="s">
        <v>146</v>
      </c>
      <c r="K387" s="62" t="s">
        <v>147</v>
      </c>
      <c r="L387" s="62" t="s">
        <v>148</v>
      </c>
      <c r="M387" s="62" t="n">
        <v>0</v>
      </c>
      <c r="N387" s="62" t="n">
        <v>1</v>
      </c>
      <c r="O387" s="62" t="n">
        <v>1</v>
      </c>
      <c r="P387" s="62" t="n">
        <v>1</v>
      </c>
      <c r="Q387" s="62" t="n">
        <v>0</v>
      </c>
      <c r="R387" s="62" t="n">
        <v>0</v>
      </c>
      <c r="S387" s="62" t="n">
        <v>0</v>
      </c>
      <c r="T387" s="62" t="n">
        <v>0</v>
      </c>
      <c r="U387" s="62"/>
      <c r="V387" s="62"/>
      <c r="W387" s="62"/>
      <c r="X387" s="62"/>
      <c r="Y387" s="62"/>
      <c r="Z387" s="62" t="s">
        <v>861</v>
      </c>
      <c r="AA387" s="62" t="s">
        <v>862</v>
      </c>
      <c r="AB387" s="62" t="n">
        <v>1</v>
      </c>
      <c r="AC387" s="62" t="n">
        <v>0</v>
      </c>
      <c r="AD387" s="62" t="n">
        <v>1</v>
      </c>
      <c r="AE387" s="62" t="n">
        <f aca="false">IF(AND(Dashboard!$C$9="Yes",AC387=1),0,1)</f>
        <v>1</v>
      </c>
      <c r="AF387" s="62" t="n">
        <v>1</v>
      </c>
    </row>
    <row r="388" customFormat="false" ht="15" hidden="false" customHeight="false" outlineLevel="0" collapsed="false">
      <c r="A388" s="62" t="n">
        <v>387</v>
      </c>
      <c r="B388" s="63" t="n">
        <v>46237.8473032407</v>
      </c>
      <c r="C388" s="64" t="n">
        <v>46237</v>
      </c>
      <c r="D388" s="62" t="s">
        <v>429</v>
      </c>
      <c r="E388" s="62" t="s">
        <v>573</v>
      </c>
      <c r="F388" s="62" t="s">
        <v>573</v>
      </c>
      <c r="G388" s="62" t="s">
        <v>574</v>
      </c>
      <c r="H388" s="62" t="s">
        <v>51</v>
      </c>
      <c r="I388" s="62" t="s">
        <v>47</v>
      </c>
      <c r="J388" s="62" t="s">
        <v>146</v>
      </c>
      <c r="K388" s="62" t="s">
        <v>147</v>
      </c>
      <c r="L388" s="62" t="s">
        <v>148</v>
      </c>
      <c r="M388" s="62" t="n">
        <v>0</v>
      </c>
      <c r="N388" s="62" t="n">
        <v>1</v>
      </c>
      <c r="O388" s="62" t="n">
        <v>1</v>
      </c>
      <c r="P388" s="62" t="n">
        <v>1</v>
      </c>
      <c r="Q388" s="62" t="n">
        <v>0</v>
      </c>
      <c r="R388" s="62" t="n">
        <v>0</v>
      </c>
      <c r="S388" s="62" t="n">
        <v>0</v>
      </c>
      <c r="T388" s="62" t="n">
        <v>0</v>
      </c>
      <c r="U388" s="62"/>
      <c r="V388" s="62"/>
      <c r="W388" s="62"/>
      <c r="X388" s="62"/>
      <c r="Y388" s="62"/>
      <c r="Z388" s="62" t="s">
        <v>856</v>
      </c>
      <c r="AA388" s="62" t="s">
        <v>857</v>
      </c>
      <c r="AB388" s="62" t="n">
        <v>1</v>
      </c>
      <c r="AC388" s="62" t="n">
        <v>0</v>
      </c>
      <c r="AD388" s="62" t="n">
        <v>1</v>
      </c>
      <c r="AE388" s="62" t="n">
        <f aca="false">IF(AND(Dashboard!$C$9="Yes",AC388=1),0,1)</f>
        <v>1</v>
      </c>
      <c r="AF388" s="62" t="n">
        <v>1</v>
      </c>
    </row>
    <row r="389" customFormat="false" ht="15" hidden="false" customHeight="false" outlineLevel="0" collapsed="false">
      <c r="A389" s="62" t="n">
        <v>388</v>
      </c>
      <c r="B389" s="63" t="n">
        <v>46237.8480671296</v>
      </c>
      <c r="C389" s="64" t="n">
        <v>46237</v>
      </c>
      <c r="D389" s="62" t="s">
        <v>429</v>
      </c>
      <c r="E389" s="62" t="s">
        <v>573</v>
      </c>
      <c r="F389" s="62" t="s">
        <v>573</v>
      </c>
      <c r="G389" s="62" t="s">
        <v>574</v>
      </c>
      <c r="H389" s="62" t="s">
        <v>51</v>
      </c>
      <c r="I389" s="62" t="s">
        <v>47</v>
      </c>
      <c r="J389" s="62" t="s">
        <v>146</v>
      </c>
      <c r="K389" s="62" t="s">
        <v>147</v>
      </c>
      <c r="L389" s="62" t="s">
        <v>4</v>
      </c>
      <c r="M389" s="62" t="n">
        <v>1</v>
      </c>
      <c r="N389" s="62" t="n">
        <v>0</v>
      </c>
      <c r="O389" s="62" t="n">
        <v>1</v>
      </c>
      <c r="P389" s="62" t="n">
        <v>0</v>
      </c>
      <c r="Q389" s="62" t="n">
        <v>0</v>
      </c>
      <c r="R389" s="62" t="n">
        <v>0</v>
      </c>
      <c r="S389" s="62" t="n">
        <v>0</v>
      </c>
      <c r="T389" s="62" t="n">
        <v>0</v>
      </c>
      <c r="U389" s="62"/>
      <c r="V389" s="62"/>
      <c r="W389" s="62"/>
      <c r="X389" s="62"/>
      <c r="Y389" s="62"/>
      <c r="Z389" s="62" t="s">
        <v>857</v>
      </c>
      <c r="AA389" s="62" t="s">
        <v>863</v>
      </c>
      <c r="AB389" s="62" t="n">
        <v>1</v>
      </c>
      <c r="AC389" s="62" t="n">
        <v>0</v>
      </c>
      <c r="AD389" s="62" t="n">
        <v>1</v>
      </c>
      <c r="AE389" s="62" t="n">
        <f aca="false">IF(AND(Dashboard!$C$9="Yes",AC389=1),0,1)</f>
        <v>1</v>
      </c>
      <c r="AF389" s="62" t="n">
        <v>0</v>
      </c>
    </row>
    <row r="390" customFormat="false" ht="15" hidden="false" customHeight="false" outlineLevel="0" collapsed="false">
      <c r="A390" s="62" t="n">
        <v>389</v>
      </c>
      <c r="B390" s="63" t="n">
        <v>46237.8501851852</v>
      </c>
      <c r="C390" s="64" t="n">
        <v>46237</v>
      </c>
      <c r="D390" s="62" t="s">
        <v>429</v>
      </c>
      <c r="E390" s="62" t="s">
        <v>573</v>
      </c>
      <c r="F390" s="62" t="s">
        <v>573</v>
      </c>
      <c r="G390" s="62" t="s">
        <v>574</v>
      </c>
      <c r="H390" s="62" t="s">
        <v>51</v>
      </c>
      <c r="I390" s="62" t="s">
        <v>47</v>
      </c>
      <c r="J390" s="62" t="s">
        <v>146</v>
      </c>
      <c r="K390" s="62" t="s">
        <v>147</v>
      </c>
      <c r="L390" s="62" t="s">
        <v>4</v>
      </c>
      <c r="M390" s="62" t="n">
        <v>1</v>
      </c>
      <c r="N390" s="62" t="n">
        <v>0</v>
      </c>
      <c r="O390" s="62" t="n">
        <v>1</v>
      </c>
      <c r="P390" s="62" t="n">
        <v>0</v>
      </c>
      <c r="Q390" s="62" t="n">
        <v>0</v>
      </c>
      <c r="R390" s="62" t="n">
        <v>0</v>
      </c>
      <c r="S390" s="62" t="n">
        <v>0</v>
      </c>
      <c r="T390" s="62" t="n">
        <v>0</v>
      </c>
      <c r="U390" s="62"/>
      <c r="V390" s="62"/>
      <c r="W390" s="62"/>
      <c r="X390" s="62"/>
      <c r="Y390" s="62"/>
      <c r="Z390" s="62" t="s">
        <v>856</v>
      </c>
      <c r="AA390" s="62" t="s">
        <v>864</v>
      </c>
      <c r="AB390" s="62" t="n">
        <v>1</v>
      </c>
      <c r="AC390" s="62" t="n">
        <v>0</v>
      </c>
      <c r="AD390" s="62" t="n">
        <v>1</v>
      </c>
      <c r="AE390" s="62" t="n">
        <f aca="false">IF(AND(Dashboard!$C$9="Yes",AC390=1),0,1)</f>
        <v>1</v>
      </c>
      <c r="AF390" s="62" t="n">
        <v>0</v>
      </c>
    </row>
    <row r="391" customFormat="false" ht="15" hidden="false" customHeight="false" outlineLevel="0" collapsed="false">
      <c r="A391" s="62" t="n">
        <v>390</v>
      </c>
      <c r="B391" s="63" t="n">
        <v>46237.8516666667</v>
      </c>
      <c r="C391" s="64" t="n">
        <v>46237</v>
      </c>
      <c r="D391" s="62" t="s">
        <v>429</v>
      </c>
      <c r="E391" s="62" t="s">
        <v>865</v>
      </c>
      <c r="F391" s="62" t="s">
        <v>865</v>
      </c>
      <c r="G391" s="62" t="s">
        <v>866</v>
      </c>
      <c r="H391" s="62" t="s">
        <v>46</v>
      </c>
      <c r="I391" s="62" t="s">
        <v>47</v>
      </c>
      <c r="J391" s="62" t="s">
        <v>146</v>
      </c>
      <c r="K391" s="62" t="s">
        <v>209</v>
      </c>
      <c r="L391" s="62" t="s">
        <v>4</v>
      </c>
      <c r="M391" s="62" t="n">
        <v>1</v>
      </c>
      <c r="N391" s="62" t="n">
        <v>0</v>
      </c>
      <c r="O391" s="62" t="n">
        <v>1</v>
      </c>
      <c r="P391" s="62" t="n">
        <v>0</v>
      </c>
      <c r="Q391" s="62" t="n">
        <v>0</v>
      </c>
      <c r="R391" s="62" t="n">
        <v>0</v>
      </c>
      <c r="S391" s="62" t="n">
        <v>0</v>
      </c>
      <c r="T391" s="62" t="n">
        <v>0</v>
      </c>
      <c r="U391" s="62"/>
      <c r="V391" s="62"/>
      <c r="W391" s="62"/>
      <c r="X391" s="62"/>
      <c r="Y391" s="62"/>
      <c r="Z391" s="62" t="s">
        <v>867</v>
      </c>
      <c r="AA391" s="62" t="s">
        <v>868</v>
      </c>
      <c r="AB391" s="62" t="n">
        <v>1</v>
      </c>
      <c r="AC391" s="62" t="n">
        <v>0</v>
      </c>
      <c r="AD391" s="62" t="n">
        <v>1</v>
      </c>
      <c r="AE391" s="62" t="n">
        <f aca="false">IF(AND(Dashboard!$C$9="Yes",AC391=1),0,1)</f>
        <v>1</v>
      </c>
      <c r="AF391" s="62" t="n">
        <v>1</v>
      </c>
    </row>
    <row r="392" customFormat="false" ht="15" hidden="false" customHeight="false" outlineLevel="0" collapsed="false">
      <c r="A392" s="62" t="n">
        <v>391</v>
      </c>
      <c r="B392" s="63" t="n">
        <v>46237.8573726852</v>
      </c>
      <c r="C392" s="64" t="n">
        <v>46237</v>
      </c>
      <c r="D392" s="62" t="s">
        <v>429</v>
      </c>
      <c r="E392" s="62" t="s">
        <v>650</v>
      </c>
      <c r="F392" s="62" t="s">
        <v>650</v>
      </c>
      <c r="G392" s="62" t="s">
        <v>651</v>
      </c>
      <c r="H392" s="62" t="s">
        <v>59</v>
      </c>
      <c r="I392" s="62" t="s">
        <v>47</v>
      </c>
      <c r="J392" s="62" t="s">
        <v>146</v>
      </c>
      <c r="K392" s="62" t="s">
        <v>209</v>
      </c>
      <c r="L392" s="62" t="s">
        <v>148</v>
      </c>
      <c r="M392" s="62" t="n">
        <v>0</v>
      </c>
      <c r="N392" s="62" t="n">
        <v>1</v>
      </c>
      <c r="O392" s="62" t="n">
        <v>1</v>
      </c>
      <c r="P392" s="62" t="n">
        <v>0</v>
      </c>
      <c r="Q392" s="62" t="n">
        <v>1</v>
      </c>
      <c r="R392" s="62" t="n">
        <v>0</v>
      </c>
      <c r="S392" s="62" t="n">
        <v>0</v>
      </c>
      <c r="T392" s="62" t="n">
        <v>0</v>
      </c>
      <c r="U392" s="62"/>
      <c r="V392" s="62"/>
      <c r="W392" s="62"/>
      <c r="X392" s="62"/>
      <c r="Y392" s="62"/>
      <c r="Z392" s="62" t="s">
        <v>869</v>
      </c>
      <c r="AA392" s="62" t="s">
        <v>870</v>
      </c>
      <c r="AB392" s="62" t="n">
        <v>1</v>
      </c>
      <c r="AC392" s="62" t="n">
        <v>0</v>
      </c>
      <c r="AD392" s="62" t="n">
        <v>1</v>
      </c>
      <c r="AE392" s="62" t="n">
        <f aca="false">IF(AND(Dashboard!$C$9="Yes",AC392=1),0,1)</f>
        <v>1</v>
      </c>
      <c r="AF392" s="62" t="n">
        <v>1</v>
      </c>
    </row>
    <row r="393" customFormat="false" ht="15" hidden="false" customHeight="false" outlineLevel="0" collapsed="false">
      <c r="A393" s="62" t="n">
        <v>392</v>
      </c>
      <c r="B393" s="63" t="n">
        <v>46237.8886805556</v>
      </c>
      <c r="C393" s="64" t="n">
        <v>46237</v>
      </c>
      <c r="D393" s="62" t="s">
        <v>429</v>
      </c>
      <c r="E393" s="62" t="s">
        <v>207</v>
      </c>
      <c r="F393" s="62" t="s">
        <v>207</v>
      </c>
      <c r="G393" s="62" t="s">
        <v>208</v>
      </c>
      <c r="H393" s="62" t="s">
        <v>48</v>
      </c>
      <c r="I393" s="62" t="s">
        <v>49</v>
      </c>
      <c r="J393" s="62" t="s">
        <v>146</v>
      </c>
      <c r="K393" s="62" t="s">
        <v>209</v>
      </c>
      <c r="L393" s="62" t="s">
        <v>4</v>
      </c>
      <c r="M393" s="62" t="n">
        <v>1</v>
      </c>
      <c r="N393" s="62" t="n">
        <v>0</v>
      </c>
      <c r="O393" s="62" t="n">
        <v>1</v>
      </c>
      <c r="P393" s="62" t="n">
        <v>0</v>
      </c>
      <c r="Q393" s="62" t="n">
        <v>0</v>
      </c>
      <c r="R393" s="62" t="n">
        <v>0</v>
      </c>
      <c r="S393" s="62" t="n">
        <v>0</v>
      </c>
      <c r="T393" s="62" t="n">
        <v>0</v>
      </c>
      <c r="U393" s="62"/>
      <c r="V393" s="62"/>
      <c r="W393" s="62"/>
      <c r="X393" s="62"/>
      <c r="Y393" s="62"/>
      <c r="Z393" s="62" t="s">
        <v>871</v>
      </c>
      <c r="AA393" s="62" t="s">
        <v>872</v>
      </c>
      <c r="AB393" s="62" t="n">
        <v>1</v>
      </c>
      <c r="AC393" s="62" t="n">
        <v>0</v>
      </c>
      <c r="AD393" s="62" t="n">
        <v>1</v>
      </c>
      <c r="AE393" s="62" t="n">
        <f aca="false">IF(AND(Dashboard!$C$9="Yes",AC393=1),0,1)</f>
        <v>1</v>
      </c>
      <c r="AF393" s="62" t="n">
        <v>1</v>
      </c>
    </row>
    <row r="394" customFormat="false" ht="15" hidden="false" customHeight="false" outlineLevel="0" collapsed="false">
      <c r="A394" s="62" t="n">
        <v>393</v>
      </c>
      <c r="B394" s="63" t="n">
        <v>46237.904224537</v>
      </c>
      <c r="C394" s="64" t="n">
        <v>46237</v>
      </c>
      <c r="D394" s="62" t="s">
        <v>429</v>
      </c>
      <c r="E394" s="62" t="s">
        <v>151</v>
      </c>
      <c r="F394" s="62" t="s">
        <v>152</v>
      </c>
      <c r="G394" s="62" t="s">
        <v>153</v>
      </c>
      <c r="H394" s="62" t="s">
        <v>153</v>
      </c>
      <c r="I394" s="62" t="s">
        <v>153</v>
      </c>
      <c r="J394" s="62" t="s">
        <v>64</v>
      </c>
      <c r="K394" s="62" t="s">
        <v>64</v>
      </c>
      <c r="L394" s="62" t="s">
        <v>4</v>
      </c>
      <c r="M394" s="62" t="n">
        <v>1</v>
      </c>
      <c r="N394" s="62" t="n">
        <v>0</v>
      </c>
      <c r="O394" s="62" t="n">
        <v>1</v>
      </c>
      <c r="P394" s="62" t="n">
        <v>0</v>
      </c>
      <c r="Q394" s="62" t="n">
        <v>0</v>
      </c>
      <c r="R394" s="62" t="n">
        <v>0</v>
      </c>
      <c r="S394" s="62" t="n">
        <v>0</v>
      </c>
      <c r="T394" s="62" t="n">
        <v>0</v>
      </c>
      <c r="U394" s="62"/>
      <c r="V394" s="62"/>
      <c r="W394" s="62"/>
      <c r="X394" s="62"/>
      <c r="Y394" s="62"/>
      <c r="Z394" s="62" t="s">
        <v>873</v>
      </c>
      <c r="AA394" s="62" t="s">
        <v>237</v>
      </c>
      <c r="AB394" s="62" t="n">
        <v>0</v>
      </c>
      <c r="AC394" s="62" t="n">
        <v>0</v>
      </c>
      <c r="AD394" s="62" t="n">
        <v>0</v>
      </c>
      <c r="AE394" s="62" t="n">
        <f aca="false">IF(AND(Dashboard!$C$9="Yes",AC394=1),0,1)</f>
        <v>1</v>
      </c>
      <c r="AF394" s="62" t="n">
        <v>1</v>
      </c>
    </row>
    <row r="395" customFormat="false" ht="15" hidden="false" customHeight="false" outlineLevel="0" collapsed="false">
      <c r="A395" s="62" t="n">
        <v>394</v>
      </c>
      <c r="B395" s="63" t="n">
        <v>46237.9210300926</v>
      </c>
      <c r="C395" s="64" t="n">
        <v>46237</v>
      </c>
      <c r="D395" s="62" t="s">
        <v>429</v>
      </c>
      <c r="E395" s="62" t="s">
        <v>592</v>
      </c>
      <c r="F395" s="62" t="s">
        <v>593</v>
      </c>
      <c r="G395" s="62" t="s">
        <v>153</v>
      </c>
      <c r="H395" s="62" t="s">
        <v>153</v>
      </c>
      <c r="I395" s="62" t="s">
        <v>153</v>
      </c>
      <c r="J395" s="62" t="s">
        <v>64</v>
      </c>
      <c r="K395" s="62" t="s">
        <v>64</v>
      </c>
      <c r="L395" s="62" t="s">
        <v>148</v>
      </c>
      <c r="M395" s="62" t="n">
        <v>0</v>
      </c>
      <c r="N395" s="62" t="n">
        <v>1</v>
      </c>
      <c r="O395" s="62" t="n">
        <v>1</v>
      </c>
      <c r="P395" s="62" t="n">
        <v>1</v>
      </c>
      <c r="Q395" s="62" t="n">
        <v>0</v>
      </c>
      <c r="R395" s="62" t="n">
        <v>0</v>
      </c>
      <c r="S395" s="62" t="n">
        <v>0</v>
      </c>
      <c r="T395" s="62" t="n">
        <v>0</v>
      </c>
      <c r="U395" s="62"/>
      <c r="V395" s="62"/>
      <c r="W395" s="62"/>
      <c r="X395" s="62"/>
      <c r="Y395" s="62"/>
      <c r="Z395" s="62" t="s">
        <v>874</v>
      </c>
      <c r="AA395" s="62" t="s">
        <v>875</v>
      </c>
      <c r="AB395" s="62" t="n">
        <v>1</v>
      </c>
      <c r="AC395" s="62" t="n">
        <v>0</v>
      </c>
      <c r="AD395" s="62" t="n">
        <v>0</v>
      </c>
      <c r="AE395" s="62" t="n">
        <f aca="false">IF(AND(Dashboard!$C$9="Yes",AC395=1),0,1)</f>
        <v>1</v>
      </c>
      <c r="AF395" s="62" t="n">
        <v>0</v>
      </c>
    </row>
    <row r="396" customFormat="false" ht="15" hidden="false" customHeight="false" outlineLevel="0" collapsed="false">
      <c r="A396" s="62" t="n">
        <v>395</v>
      </c>
      <c r="B396" s="63" t="n">
        <v>46237.9340856482</v>
      </c>
      <c r="C396" s="64" t="n">
        <v>46237</v>
      </c>
      <c r="D396" s="62" t="s">
        <v>429</v>
      </c>
      <c r="E396" s="62" t="s">
        <v>228</v>
      </c>
      <c r="F396" s="62" t="s">
        <v>229</v>
      </c>
      <c r="G396" s="62" t="s">
        <v>153</v>
      </c>
      <c r="H396" s="62" t="s">
        <v>153</v>
      </c>
      <c r="I396" s="62" t="s">
        <v>153</v>
      </c>
      <c r="J396" s="62" t="s">
        <v>64</v>
      </c>
      <c r="K396" s="62" t="s">
        <v>64</v>
      </c>
      <c r="L396" s="62" t="s">
        <v>148</v>
      </c>
      <c r="M396" s="62" t="n">
        <v>0</v>
      </c>
      <c r="N396" s="62" t="n">
        <v>1</v>
      </c>
      <c r="O396" s="62" t="n">
        <v>1</v>
      </c>
      <c r="P396" s="62" t="n">
        <v>1</v>
      </c>
      <c r="Q396" s="62" t="n">
        <v>0</v>
      </c>
      <c r="R396" s="62" t="n">
        <v>0</v>
      </c>
      <c r="S396" s="62" t="n">
        <v>0</v>
      </c>
      <c r="T396" s="62" t="n">
        <v>0</v>
      </c>
      <c r="U396" s="62"/>
      <c r="V396" s="62"/>
      <c r="W396" s="62"/>
      <c r="X396" s="62"/>
      <c r="Y396" s="62"/>
      <c r="Z396" s="62" t="s">
        <v>876</v>
      </c>
      <c r="AA396" s="62" t="s">
        <v>877</v>
      </c>
      <c r="AB396" s="62" t="n">
        <v>1</v>
      </c>
      <c r="AC396" s="62" t="n">
        <v>0</v>
      </c>
      <c r="AD396" s="62" t="n">
        <v>0</v>
      </c>
      <c r="AE396" s="62" t="n">
        <f aca="false">IF(AND(Dashboard!$C$9="Yes",AC396=1),0,1)</f>
        <v>1</v>
      </c>
      <c r="AF396" s="62" t="n">
        <v>1</v>
      </c>
    </row>
    <row r="397" customFormat="false" ht="15" hidden="false" customHeight="false" outlineLevel="0" collapsed="false">
      <c r="A397" s="62" t="n">
        <v>396</v>
      </c>
      <c r="B397" s="63" t="n">
        <v>46237.9521296296</v>
      </c>
      <c r="C397" s="64" t="n">
        <v>46237</v>
      </c>
      <c r="D397" s="62" t="s">
        <v>429</v>
      </c>
      <c r="E397" s="62" t="s">
        <v>160</v>
      </c>
      <c r="F397" s="62" t="s">
        <v>160</v>
      </c>
      <c r="G397" s="62" t="s">
        <v>161</v>
      </c>
      <c r="H397" s="62" t="s">
        <v>51</v>
      </c>
      <c r="I397" s="62" t="s">
        <v>47</v>
      </c>
      <c r="J397" s="62" t="s">
        <v>146</v>
      </c>
      <c r="K397" s="62" t="s">
        <v>147</v>
      </c>
      <c r="L397" s="62" t="s">
        <v>148</v>
      </c>
      <c r="M397" s="62" t="n">
        <v>0</v>
      </c>
      <c r="N397" s="62" t="n">
        <v>1</v>
      </c>
      <c r="O397" s="62" t="n">
        <v>1</v>
      </c>
      <c r="P397" s="62" t="n">
        <v>0</v>
      </c>
      <c r="Q397" s="62" t="n">
        <v>1</v>
      </c>
      <c r="R397" s="62" t="n">
        <v>0</v>
      </c>
      <c r="S397" s="62" t="n">
        <v>0</v>
      </c>
      <c r="T397" s="62" t="n">
        <v>0</v>
      </c>
      <c r="U397" s="62"/>
      <c r="V397" s="62"/>
      <c r="W397" s="62"/>
      <c r="X397" s="62"/>
      <c r="Y397" s="62"/>
      <c r="Z397" s="62" t="s">
        <v>878</v>
      </c>
      <c r="AA397" s="62" t="s">
        <v>879</v>
      </c>
      <c r="AB397" s="62" t="n">
        <v>1</v>
      </c>
      <c r="AC397" s="62" t="n">
        <v>0</v>
      </c>
      <c r="AD397" s="62" t="n">
        <v>1</v>
      </c>
      <c r="AE397" s="62" t="n">
        <f aca="false">IF(AND(Dashboard!$C$9="Yes",AC397=1),0,1)</f>
        <v>1</v>
      </c>
      <c r="AF397" s="62" t="n">
        <v>0</v>
      </c>
    </row>
    <row r="398" customFormat="false" ht="15" hidden="false" customHeight="false" outlineLevel="0" collapsed="false">
      <c r="A398" s="62" t="n">
        <v>397</v>
      </c>
      <c r="B398" s="63" t="n">
        <v>46237.9831365741</v>
      </c>
      <c r="C398" s="64" t="n">
        <v>46237</v>
      </c>
      <c r="D398" s="62" t="s">
        <v>429</v>
      </c>
      <c r="E398" s="62" t="s">
        <v>439</v>
      </c>
      <c r="F398" s="62" t="s">
        <v>439</v>
      </c>
      <c r="G398" s="62" t="s">
        <v>440</v>
      </c>
      <c r="H398" s="62" t="s">
        <v>51</v>
      </c>
      <c r="I398" s="62" t="s">
        <v>47</v>
      </c>
      <c r="J398" s="62" t="s">
        <v>146</v>
      </c>
      <c r="K398" s="62" t="s">
        <v>175</v>
      </c>
      <c r="L398" s="62" t="s">
        <v>148</v>
      </c>
      <c r="M398" s="62" t="n">
        <v>0</v>
      </c>
      <c r="N398" s="62" t="n">
        <v>1</v>
      </c>
      <c r="O398" s="62" t="n">
        <v>1</v>
      </c>
      <c r="P398" s="62" t="n">
        <v>1</v>
      </c>
      <c r="Q398" s="62" t="n">
        <v>0</v>
      </c>
      <c r="R398" s="62" t="n">
        <v>0</v>
      </c>
      <c r="S398" s="62" t="n">
        <v>0</v>
      </c>
      <c r="T398" s="62" t="n">
        <v>0</v>
      </c>
      <c r="U398" s="62"/>
      <c r="V398" s="62"/>
      <c r="W398" s="62"/>
      <c r="X398" s="62"/>
      <c r="Y398" s="62"/>
      <c r="Z398" s="62" t="s">
        <v>880</v>
      </c>
      <c r="AA398" s="62" t="s">
        <v>881</v>
      </c>
      <c r="AB398" s="62" t="n">
        <v>1</v>
      </c>
      <c r="AC398" s="62" t="n">
        <v>0</v>
      </c>
      <c r="AD398" s="62" t="n">
        <v>1</v>
      </c>
      <c r="AE398" s="62" t="n">
        <f aca="false">IF(AND(Dashboard!$C$9="Yes",AC398=1),0,1)</f>
        <v>1</v>
      </c>
      <c r="AF398" s="62" t="n">
        <v>0</v>
      </c>
    </row>
    <row r="399" customFormat="false" ht="15" hidden="false" customHeight="false" outlineLevel="0" collapsed="false">
      <c r="A399" s="62" t="n">
        <v>398</v>
      </c>
      <c r="B399" s="63" t="n">
        <v>46237.9905208333</v>
      </c>
      <c r="C399" s="64" t="n">
        <v>46237</v>
      </c>
      <c r="D399" s="62" t="s">
        <v>429</v>
      </c>
      <c r="E399" s="62" t="s">
        <v>790</v>
      </c>
      <c r="F399" s="62" t="s">
        <v>791</v>
      </c>
      <c r="G399" s="62" t="s">
        <v>153</v>
      </c>
      <c r="H399" s="62" t="s">
        <v>153</v>
      </c>
      <c r="I399" s="62" t="s">
        <v>153</v>
      </c>
      <c r="J399" s="62" t="s">
        <v>64</v>
      </c>
      <c r="K399" s="62" t="s">
        <v>64</v>
      </c>
      <c r="L399" s="62" t="s">
        <v>148</v>
      </c>
      <c r="M399" s="62" t="n">
        <v>0</v>
      </c>
      <c r="N399" s="62" t="n">
        <v>1</v>
      </c>
      <c r="O399" s="62" t="n">
        <v>1</v>
      </c>
      <c r="P399" s="62" t="n">
        <v>0</v>
      </c>
      <c r="Q399" s="62" t="n">
        <v>0</v>
      </c>
      <c r="R399" s="62" t="n">
        <v>1</v>
      </c>
      <c r="S399" s="62" t="n">
        <v>0</v>
      </c>
      <c r="T399" s="62" t="n">
        <v>0</v>
      </c>
      <c r="U399" s="62"/>
      <c r="V399" s="62"/>
      <c r="W399" s="62"/>
      <c r="X399" s="62"/>
      <c r="Y399" s="62"/>
      <c r="Z399" s="62" t="s">
        <v>882</v>
      </c>
      <c r="AA399" s="62" t="s">
        <v>883</v>
      </c>
      <c r="AB399" s="62" t="n">
        <v>1</v>
      </c>
      <c r="AC399" s="62" t="n">
        <v>0</v>
      </c>
      <c r="AD399" s="62" t="n">
        <v>0</v>
      </c>
      <c r="AE399" s="62" t="n">
        <f aca="false">IF(AND(Dashboard!$C$9="Yes",AC399=1),0,1)</f>
        <v>1</v>
      </c>
      <c r="AF399" s="62" t="n">
        <v>1</v>
      </c>
    </row>
    <row r="400" customFormat="false" ht="15" hidden="false" customHeight="false" outlineLevel="0" collapsed="false">
      <c r="A400" s="62" t="n">
        <v>399</v>
      </c>
      <c r="B400" s="63" t="n">
        <v>46237.9977083333</v>
      </c>
      <c r="C400" s="64" t="n">
        <v>46237</v>
      </c>
      <c r="D400" s="62" t="s">
        <v>429</v>
      </c>
      <c r="E400" s="62" t="s">
        <v>884</v>
      </c>
      <c r="F400" s="62" t="s">
        <v>884</v>
      </c>
      <c r="G400" s="62" t="s">
        <v>885</v>
      </c>
      <c r="H400" s="62" t="s">
        <v>46</v>
      </c>
      <c r="I400" s="62" t="s">
        <v>47</v>
      </c>
      <c r="J400" s="62" t="s">
        <v>146</v>
      </c>
      <c r="K400" s="62" t="s">
        <v>209</v>
      </c>
      <c r="L400" s="62" t="s">
        <v>4</v>
      </c>
      <c r="M400" s="62" t="n">
        <v>1</v>
      </c>
      <c r="N400" s="62" t="n">
        <v>0</v>
      </c>
      <c r="O400" s="62" t="n">
        <v>1</v>
      </c>
      <c r="P400" s="62" t="n">
        <v>0</v>
      </c>
      <c r="Q400" s="62" t="n">
        <v>0</v>
      </c>
      <c r="R400" s="62" t="n">
        <v>0</v>
      </c>
      <c r="S400" s="62" t="n">
        <v>0</v>
      </c>
      <c r="T400" s="62" t="n">
        <v>0</v>
      </c>
      <c r="U400" s="62"/>
      <c r="V400" s="62"/>
      <c r="W400" s="62"/>
      <c r="X400" s="62"/>
      <c r="Y400" s="62"/>
      <c r="Z400" s="62" t="s">
        <v>886</v>
      </c>
      <c r="AA400" s="62" t="s">
        <v>887</v>
      </c>
      <c r="AB400" s="62" t="n">
        <v>1</v>
      </c>
      <c r="AC400" s="62" t="n">
        <v>0</v>
      </c>
      <c r="AD400" s="62" t="n">
        <v>1</v>
      </c>
      <c r="AE400" s="62" t="n">
        <f aca="false">IF(AND(Dashboard!$C$9="Yes",AC400=1),0,1)</f>
        <v>1</v>
      </c>
      <c r="AF400" s="62" t="n">
        <v>1</v>
      </c>
    </row>
    <row r="401" customFormat="false" ht="15" hidden="false" customHeight="false" outlineLevel="0" collapsed="false">
      <c r="A401" s="62" t="n">
        <v>400</v>
      </c>
      <c r="B401" s="63" t="n">
        <v>46238.0022222222</v>
      </c>
      <c r="C401" s="64" t="n">
        <v>46237</v>
      </c>
      <c r="D401" s="62" t="s">
        <v>429</v>
      </c>
      <c r="E401" s="62" t="s">
        <v>212</v>
      </c>
      <c r="F401" s="62" t="s">
        <v>212</v>
      </c>
      <c r="G401" s="62" t="s">
        <v>213</v>
      </c>
      <c r="H401" s="62" t="s">
        <v>58</v>
      </c>
      <c r="I401" s="62" t="s">
        <v>49</v>
      </c>
      <c r="J401" s="62" t="s">
        <v>146</v>
      </c>
      <c r="K401" s="62" t="s">
        <v>175</v>
      </c>
      <c r="L401" s="62" t="s">
        <v>148</v>
      </c>
      <c r="M401" s="62" t="n">
        <v>0</v>
      </c>
      <c r="N401" s="62" t="n">
        <v>1</v>
      </c>
      <c r="O401" s="62" t="n">
        <v>1</v>
      </c>
      <c r="P401" s="62" t="n">
        <v>0</v>
      </c>
      <c r="Q401" s="62" t="n">
        <v>0</v>
      </c>
      <c r="R401" s="62" t="n">
        <v>1</v>
      </c>
      <c r="S401" s="62" t="n">
        <v>0</v>
      </c>
      <c r="T401" s="62" t="n">
        <v>0</v>
      </c>
      <c r="U401" s="62"/>
      <c r="V401" s="62"/>
      <c r="W401" s="62"/>
      <c r="X401" s="62"/>
      <c r="Y401" s="62"/>
      <c r="Z401" s="62" t="s">
        <v>888</v>
      </c>
      <c r="AA401" s="62" t="s">
        <v>889</v>
      </c>
      <c r="AB401" s="62" t="n">
        <v>1</v>
      </c>
      <c r="AC401" s="62" t="n">
        <v>0</v>
      </c>
      <c r="AD401" s="62" t="n">
        <v>1</v>
      </c>
      <c r="AE401" s="62" t="n">
        <f aca="false">IF(AND(Dashboard!$C$9="Yes",AC401=1),0,1)</f>
        <v>1</v>
      </c>
      <c r="AF401" s="62" t="n">
        <v>1</v>
      </c>
    </row>
    <row r="402" customFormat="false" ht="15" hidden="false" customHeight="false" outlineLevel="0" collapsed="false">
      <c r="A402" s="62" t="n">
        <v>401</v>
      </c>
      <c r="B402" s="63" t="n">
        <v>46238.0118055556</v>
      </c>
      <c r="C402" s="64" t="n">
        <v>46237</v>
      </c>
      <c r="D402" s="62" t="s">
        <v>429</v>
      </c>
      <c r="E402" s="62" t="s">
        <v>518</v>
      </c>
      <c r="F402" s="62" t="s">
        <v>518</v>
      </c>
      <c r="G402" s="62" t="s">
        <v>519</v>
      </c>
      <c r="H402" s="62" t="s">
        <v>52</v>
      </c>
      <c r="I402" s="62" t="s">
        <v>47</v>
      </c>
      <c r="J402" s="62" t="s">
        <v>146</v>
      </c>
      <c r="K402" s="62" t="s">
        <v>147</v>
      </c>
      <c r="L402" s="62" t="s">
        <v>148</v>
      </c>
      <c r="M402" s="62" t="n">
        <v>0</v>
      </c>
      <c r="N402" s="62" t="n">
        <v>1</v>
      </c>
      <c r="O402" s="62" t="n">
        <v>1</v>
      </c>
      <c r="P402" s="62" t="n">
        <v>0</v>
      </c>
      <c r="Q402" s="62" t="n">
        <v>1</v>
      </c>
      <c r="R402" s="62" t="n">
        <v>0</v>
      </c>
      <c r="S402" s="62" t="n">
        <v>0</v>
      </c>
      <c r="T402" s="62" t="n">
        <v>0</v>
      </c>
      <c r="U402" s="62"/>
      <c r="V402" s="62"/>
      <c r="W402" s="62"/>
      <c r="X402" s="62"/>
      <c r="Y402" s="62"/>
      <c r="Z402" s="62" t="s">
        <v>890</v>
      </c>
      <c r="AA402" s="62" t="s">
        <v>891</v>
      </c>
      <c r="AB402" s="62" t="n">
        <v>1</v>
      </c>
      <c r="AC402" s="62" t="n">
        <v>0</v>
      </c>
      <c r="AD402" s="62" t="n">
        <v>1</v>
      </c>
      <c r="AE402" s="62" t="n">
        <f aca="false">IF(AND(Dashboard!$C$9="Yes",AC402=1),0,1)</f>
        <v>1</v>
      </c>
      <c r="AF402" s="62" t="n">
        <v>1</v>
      </c>
    </row>
    <row r="403" customFormat="false" ht="15" hidden="false" customHeight="false" outlineLevel="0" collapsed="false">
      <c r="A403" s="62" t="n">
        <v>402</v>
      </c>
      <c r="B403" s="63" t="n">
        <v>46238.0184953704</v>
      </c>
      <c r="C403" s="64" t="n">
        <v>46237</v>
      </c>
      <c r="D403" s="62" t="s">
        <v>429</v>
      </c>
      <c r="E403" s="62" t="s">
        <v>892</v>
      </c>
      <c r="F403" s="62" t="s">
        <v>892</v>
      </c>
      <c r="G403" s="62" t="s">
        <v>893</v>
      </c>
      <c r="H403" s="62" t="s">
        <v>46</v>
      </c>
      <c r="I403" s="62" t="s">
        <v>47</v>
      </c>
      <c r="J403" s="62" t="s">
        <v>146</v>
      </c>
      <c r="K403" s="62" t="s">
        <v>209</v>
      </c>
      <c r="L403" s="62" t="s">
        <v>148</v>
      </c>
      <c r="M403" s="62" t="n">
        <v>0</v>
      </c>
      <c r="N403" s="62" t="n">
        <v>1</v>
      </c>
      <c r="O403" s="62" t="n">
        <v>1</v>
      </c>
      <c r="P403" s="62" t="n">
        <v>1</v>
      </c>
      <c r="Q403" s="62" t="n">
        <v>0</v>
      </c>
      <c r="R403" s="62" t="n">
        <v>0</v>
      </c>
      <c r="S403" s="62" t="n">
        <v>0</v>
      </c>
      <c r="T403" s="62" t="n">
        <v>0</v>
      </c>
      <c r="U403" s="62"/>
      <c r="V403" s="62"/>
      <c r="W403" s="62"/>
      <c r="X403" s="62"/>
      <c r="Y403" s="62"/>
      <c r="Z403" s="62" t="s">
        <v>894</v>
      </c>
      <c r="AA403" s="62" t="s">
        <v>894</v>
      </c>
      <c r="AB403" s="62" t="n">
        <v>1</v>
      </c>
      <c r="AC403" s="62" t="n">
        <v>0</v>
      </c>
      <c r="AD403" s="62" t="n">
        <v>1</v>
      </c>
      <c r="AE403" s="62" t="n">
        <f aca="false">IF(AND(Dashboard!$C$9="Yes",AC403=1),0,1)</f>
        <v>1</v>
      </c>
      <c r="AF403" s="62" t="n">
        <v>1</v>
      </c>
    </row>
    <row r="404" customFormat="false" ht="15" hidden="false" customHeight="false" outlineLevel="0" collapsed="false">
      <c r="A404" s="62" t="n">
        <v>403</v>
      </c>
      <c r="B404" s="63" t="n">
        <v>46238.0209837963</v>
      </c>
      <c r="C404" s="64" t="n">
        <v>46237</v>
      </c>
      <c r="D404" s="62" t="s">
        <v>429</v>
      </c>
      <c r="E404" s="62" t="s">
        <v>439</v>
      </c>
      <c r="F404" s="62" t="s">
        <v>439</v>
      </c>
      <c r="G404" s="62" t="s">
        <v>440</v>
      </c>
      <c r="H404" s="62" t="s">
        <v>51</v>
      </c>
      <c r="I404" s="62" t="s">
        <v>47</v>
      </c>
      <c r="J404" s="62" t="s">
        <v>146</v>
      </c>
      <c r="K404" s="62" t="s">
        <v>175</v>
      </c>
      <c r="L404" s="62" t="s">
        <v>148</v>
      </c>
      <c r="M404" s="62" t="n">
        <v>0</v>
      </c>
      <c r="N404" s="62" t="n">
        <v>1</v>
      </c>
      <c r="O404" s="62" t="n">
        <v>1</v>
      </c>
      <c r="P404" s="62" t="n">
        <v>0</v>
      </c>
      <c r="Q404" s="62" t="n">
        <v>0</v>
      </c>
      <c r="R404" s="62" t="n">
        <v>1</v>
      </c>
      <c r="S404" s="62" t="n">
        <v>0</v>
      </c>
      <c r="T404" s="62" t="n">
        <v>0</v>
      </c>
      <c r="U404" s="62"/>
      <c r="V404" s="62"/>
      <c r="W404" s="62"/>
      <c r="X404" s="62"/>
      <c r="Y404" s="62"/>
      <c r="Z404" s="62" t="s">
        <v>895</v>
      </c>
      <c r="AA404" s="62" t="s">
        <v>896</v>
      </c>
      <c r="AB404" s="62" t="n">
        <v>1</v>
      </c>
      <c r="AC404" s="62" t="n">
        <v>0</v>
      </c>
      <c r="AD404" s="62" t="n">
        <v>1</v>
      </c>
      <c r="AE404" s="62" t="n">
        <f aca="false">IF(AND(Dashboard!$C$9="Yes",AC404=1),0,1)</f>
        <v>1</v>
      </c>
      <c r="AF404" s="62" t="n">
        <v>0</v>
      </c>
    </row>
    <row r="405" customFormat="false" ht="15" hidden="false" customHeight="false" outlineLevel="0" collapsed="false">
      <c r="A405" s="62" t="n">
        <v>404</v>
      </c>
      <c r="B405" s="63" t="n">
        <v>46238.0265046296</v>
      </c>
      <c r="C405" s="64" t="n">
        <v>46237</v>
      </c>
      <c r="D405" s="62" t="s">
        <v>429</v>
      </c>
      <c r="E405" s="62" t="s">
        <v>144</v>
      </c>
      <c r="F405" s="62" t="s">
        <v>144</v>
      </c>
      <c r="G405" s="62" t="s">
        <v>145</v>
      </c>
      <c r="H405" s="62" t="s">
        <v>59</v>
      </c>
      <c r="I405" s="62" t="s">
        <v>47</v>
      </c>
      <c r="J405" s="62" t="s">
        <v>146</v>
      </c>
      <c r="K405" s="62" t="s">
        <v>147</v>
      </c>
      <c r="L405" s="62" t="s">
        <v>148</v>
      </c>
      <c r="M405" s="62" t="n">
        <v>0</v>
      </c>
      <c r="N405" s="62" t="n">
        <v>2</v>
      </c>
      <c r="O405" s="62" t="n">
        <v>2</v>
      </c>
      <c r="P405" s="62" t="n">
        <v>0</v>
      </c>
      <c r="Q405" s="62" t="n">
        <v>1</v>
      </c>
      <c r="R405" s="62" t="n">
        <v>1</v>
      </c>
      <c r="S405" s="62" t="n">
        <v>0</v>
      </c>
      <c r="T405" s="62" t="n">
        <v>0</v>
      </c>
      <c r="U405" s="62"/>
      <c r="V405" s="62"/>
      <c r="W405" s="62"/>
      <c r="X405" s="62"/>
      <c r="Y405" s="62"/>
      <c r="Z405" s="62" t="s">
        <v>897</v>
      </c>
      <c r="AA405" s="62" t="s">
        <v>898</v>
      </c>
      <c r="AB405" s="62" t="n">
        <v>0</v>
      </c>
      <c r="AC405" s="62" t="n">
        <v>0</v>
      </c>
      <c r="AD405" s="62" t="n">
        <v>1</v>
      </c>
      <c r="AE405" s="62" t="n">
        <f aca="false">IF(AND(Dashboard!$C$9="Yes",AC405=1),0,1)</f>
        <v>1</v>
      </c>
      <c r="AF405" s="62" t="n">
        <v>1</v>
      </c>
    </row>
    <row r="406" customFormat="false" ht="15" hidden="false" customHeight="false" outlineLevel="0" collapsed="false">
      <c r="A406" s="62" t="n">
        <v>405</v>
      </c>
      <c r="B406" s="63" t="n">
        <v>46238.0266898148</v>
      </c>
      <c r="C406" s="64" t="n">
        <v>46237</v>
      </c>
      <c r="D406" s="62" t="s">
        <v>429</v>
      </c>
      <c r="E406" s="62" t="s">
        <v>144</v>
      </c>
      <c r="F406" s="62" t="s">
        <v>144</v>
      </c>
      <c r="G406" s="62" t="s">
        <v>145</v>
      </c>
      <c r="H406" s="62" t="s">
        <v>59</v>
      </c>
      <c r="I406" s="62" t="s">
        <v>47</v>
      </c>
      <c r="J406" s="62" t="s">
        <v>146</v>
      </c>
      <c r="K406" s="62" t="s">
        <v>147</v>
      </c>
      <c r="L406" s="62" t="s">
        <v>148</v>
      </c>
      <c r="M406" s="62" t="n">
        <v>0</v>
      </c>
      <c r="N406" s="62" t="n">
        <v>2</v>
      </c>
      <c r="O406" s="62" t="n">
        <v>2</v>
      </c>
      <c r="P406" s="62" t="n">
        <v>0</v>
      </c>
      <c r="Q406" s="62" t="n">
        <v>1</v>
      </c>
      <c r="R406" s="62" t="n">
        <v>1</v>
      </c>
      <c r="S406" s="62" t="n">
        <v>0</v>
      </c>
      <c r="T406" s="62" t="n">
        <v>0</v>
      </c>
      <c r="U406" s="62"/>
      <c r="V406" s="62"/>
      <c r="W406" s="62"/>
      <c r="X406" s="62"/>
      <c r="Y406" s="62"/>
      <c r="Z406" s="62" t="s">
        <v>897</v>
      </c>
      <c r="AA406" s="62" t="s">
        <v>898</v>
      </c>
      <c r="AB406" s="62" t="n">
        <v>0</v>
      </c>
      <c r="AC406" s="62" t="n">
        <v>0</v>
      </c>
      <c r="AD406" s="62" t="n">
        <v>1</v>
      </c>
      <c r="AE406" s="62" t="n">
        <f aca="false">IF(AND(Dashboard!$C$9="Yes",AC406=1),0,1)</f>
        <v>1</v>
      </c>
      <c r="AF406" s="62" t="n">
        <v>0</v>
      </c>
    </row>
    <row r="407" customFormat="false" ht="15" hidden="false" customHeight="false" outlineLevel="0" collapsed="false">
      <c r="A407" s="62" t="n">
        <v>406</v>
      </c>
      <c r="B407" s="63" t="n">
        <v>46238.0541898148</v>
      </c>
      <c r="C407" s="64" t="n">
        <v>46237</v>
      </c>
      <c r="D407" s="62" t="s">
        <v>429</v>
      </c>
      <c r="E407" s="62" t="s">
        <v>892</v>
      </c>
      <c r="F407" s="62" t="s">
        <v>892</v>
      </c>
      <c r="G407" s="62" t="s">
        <v>893</v>
      </c>
      <c r="H407" s="62" t="s">
        <v>46</v>
      </c>
      <c r="I407" s="62" t="s">
        <v>47</v>
      </c>
      <c r="J407" s="62" t="s">
        <v>146</v>
      </c>
      <c r="K407" s="62" t="s">
        <v>209</v>
      </c>
      <c r="L407" s="62" t="s">
        <v>148</v>
      </c>
      <c r="M407" s="62" t="n">
        <v>0</v>
      </c>
      <c r="N407" s="62" t="n">
        <v>1</v>
      </c>
      <c r="O407" s="62" t="n">
        <v>1</v>
      </c>
      <c r="P407" s="62" t="n">
        <v>1</v>
      </c>
      <c r="Q407" s="62" t="n">
        <v>0</v>
      </c>
      <c r="R407" s="62" t="n">
        <v>0</v>
      </c>
      <c r="S407" s="62" t="n">
        <v>0</v>
      </c>
      <c r="T407" s="62" t="n">
        <v>0</v>
      </c>
      <c r="U407" s="62"/>
      <c r="V407" s="62"/>
      <c r="W407" s="62"/>
      <c r="X407" s="62"/>
      <c r="Y407" s="62"/>
      <c r="Z407" s="62" t="s">
        <v>899</v>
      </c>
      <c r="AA407" s="62" t="s">
        <v>899</v>
      </c>
      <c r="AB407" s="62" t="n">
        <v>1</v>
      </c>
      <c r="AC407" s="62" t="n">
        <v>0</v>
      </c>
      <c r="AD407" s="62" t="n">
        <v>1</v>
      </c>
      <c r="AE407" s="62" t="n">
        <f aca="false">IF(AND(Dashboard!$C$9="Yes",AC407=1),0,1)</f>
        <v>1</v>
      </c>
      <c r="AF407" s="62" t="n">
        <v>0</v>
      </c>
    </row>
    <row r="408" customFormat="false" ht="15" hidden="false" customHeight="false" outlineLevel="0" collapsed="false">
      <c r="A408" s="62" t="n">
        <v>407</v>
      </c>
      <c r="B408" s="63" t="n">
        <v>46238.0557638889</v>
      </c>
      <c r="C408" s="64" t="n">
        <v>46237</v>
      </c>
      <c r="D408" s="62" t="s">
        <v>429</v>
      </c>
      <c r="E408" s="62" t="s">
        <v>212</v>
      </c>
      <c r="F408" s="62" t="s">
        <v>212</v>
      </c>
      <c r="G408" s="62" t="s">
        <v>213</v>
      </c>
      <c r="H408" s="62" t="s">
        <v>58</v>
      </c>
      <c r="I408" s="62" t="s">
        <v>49</v>
      </c>
      <c r="J408" s="62" t="s">
        <v>146</v>
      </c>
      <c r="K408" s="62" t="s">
        <v>175</v>
      </c>
      <c r="L408" s="62" t="s">
        <v>148</v>
      </c>
      <c r="M408" s="62" t="n">
        <v>0</v>
      </c>
      <c r="N408" s="62" t="n">
        <v>1</v>
      </c>
      <c r="O408" s="62" t="n">
        <v>1</v>
      </c>
      <c r="P408" s="62" t="n">
        <v>1</v>
      </c>
      <c r="Q408" s="62" t="n">
        <v>0</v>
      </c>
      <c r="R408" s="62" t="n">
        <v>0</v>
      </c>
      <c r="S408" s="62" t="n">
        <v>0</v>
      </c>
      <c r="T408" s="62" t="n">
        <v>0</v>
      </c>
      <c r="U408" s="62"/>
      <c r="V408" s="62"/>
      <c r="W408" s="62"/>
      <c r="X408" s="62"/>
      <c r="Y408" s="62"/>
      <c r="Z408" s="62" t="s">
        <v>900</v>
      </c>
      <c r="AA408" s="62" t="s">
        <v>901</v>
      </c>
      <c r="AB408" s="62" t="n">
        <v>1</v>
      </c>
      <c r="AC408" s="62" t="n">
        <v>0</v>
      </c>
      <c r="AD408" s="62" t="n">
        <v>1</v>
      </c>
      <c r="AE408" s="62" t="n">
        <f aca="false">IF(AND(Dashboard!$C$9="Yes",AC408=1),0,1)</f>
        <v>1</v>
      </c>
      <c r="AF408" s="62" t="n">
        <v>0</v>
      </c>
    </row>
    <row r="409" customFormat="false" ht="15" hidden="false" customHeight="false" outlineLevel="0" collapsed="false">
      <c r="A409" s="62" t="n">
        <v>408</v>
      </c>
      <c r="B409" s="63" t="n">
        <v>46238.0616898148</v>
      </c>
      <c r="C409" s="64" t="n">
        <v>46237</v>
      </c>
      <c r="D409" s="62" t="s">
        <v>429</v>
      </c>
      <c r="E409" s="62" t="s">
        <v>312</v>
      </c>
      <c r="F409" s="62" t="s">
        <v>312</v>
      </c>
      <c r="G409" s="62" t="s">
        <v>313</v>
      </c>
      <c r="H409" s="62" t="s">
        <v>51</v>
      </c>
      <c r="I409" s="62" t="s">
        <v>47</v>
      </c>
      <c r="J409" s="62" t="s">
        <v>146</v>
      </c>
      <c r="K409" s="62" t="s">
        <v>147</v>
      </c>
      <c r="L409" s="62" t="s">
        <v>148</v>
      </c>
      <c r="M409" s="62" t="n">
        <v>0</v>
      </c>
      <c r="N409" s="62" t="n">
        <v>1</v>
      </c>
      <c r="O409" s="62" t="n">
        <v>1</v>
      </c>
      <c r="P409" s="62" t="n">
        <v>0</v>
      </c>
      <c r="Q409" s="62" t="n">
        <v>1</v>
      </c>
      <c r="R409" s="62" t="n">
        <v>0</v>
      </c>
      <c r="S409" s="62" t="n">
        <v>0</v>
      </c>
      <c r="T409" s="62" t="n">
        <v>0</v>
      </c>
      <c r="U409" s="62"/>
      <c r="V409" s="62"/>
      <c r="W409" s="62"/>
      <c r="X409" s="62"/>
      <c r="Y409" s="62"/>
      <c r="Z409" s="62" t="s">
        <v>902</v>
      </c>
      <c r="AA409" s="62" t="s">
        <v>903</v>
      </c>
      <c r="AB409" s="62" t="n">
        <v>1</v>
      </c>
      <c r="AC409" s="62" t="n">
        <v>0</v>
      </c>
      <c r="AD409" s="62" t="n">
        <v>1</v>
      </c>
      <c r="AE409" s="62" t="n">
        <f aca="false">IF(AND(Dashboard!$C$9="Yes",AC409=1),0,1)</f>
        <v>1</v>
      </c>
      <c r="AF409" s="62" t="n">
        <v>1</v>
      </c>
    </row>
    <row r="410" customFormat="false" ht="15" hidden="false" customHeight="false" outlineLevel="0" collapsed="false">
      <c r="A410" s="62" t="n">
        <v>409</v>
      </c>
      <c r="B410" s="63" t="n">
        <v>46238.0772106482</v>
      </c>
      <c r="C410" s="64" t="n">
        <v>46237</v>
      </c>
      <c r="D410" s="62" t="s">
        <v>429</v>
      </c>
      <c r="E410" s="62" t="s">
        <v>144</v>
      </c>
      <c r="F410" s="62" t="s">
        <v>144</v>
      </c>
      <c r="G410" s="62" t="s">
        <v>145</v>
      </c>
      <c r="H410" s="62" t="s">
        <v>59</v>
      </c>
      <c r="I410" s="62" t="s">
        <v>47</v>
      </c>
      <c r="J410" s="62" t="s">
        <v>146</v>
      </c>
      <c r="K410" s="62" t="s">
        <v>147</v>
      </c>
      <c r="L410" s="62" t="s">
        <v>148</v>
      </c>
      <c r="M410" s="62" t="n">
        <v>0</v>
      </c>
      <c r="N410" s="62" t="n">
        <v>2</v>
      </c>
      <c r="O410" s="62" t="n">
        <v>2</v>
      </c>
      <c r="P410" s="62" t="n">
        <v>1</v>
      </c>
      <c r="Q410" s="62" t="n">
        <v>1</v>
      </c>
      <c r="R410" s="62" t="n">
        <v>0</v>
      </c>
      <c r="S410" s="62" t="n">
        <v>0</v>
      </c>
      <c r="T410" s="62" t="n">
        <v>0</v>
      </c>
      <c r="U410" s="62"/>
      <c r="V410" s="62"/>
      <c r="W410" s="62"/>
      <c r="X410" s="62"/>
      <c r="Y410" s="62"/>
      <c r="Z410" s="62" t="s">
        <v>904</v>
      </c>
      <c r="AA410" s="62" t="s">
        <v>905</v>
      </c>
      <c r="AB410" s="62" t="n">
        <v>0</v>
      </c>
      <c r="AC410" s="62" t="n">
        <v>0</v>
      </c>
      <c r="AD410" s="62" t="n">
        <v>1</v>
      </c>
      <c r="AE410" s="62" t="n">
        <f aca="false">IF(AND(Dashboard!$C$9="Yes",AC410=1),0,1)</f>
        <v>1</v>
      </c>
      <c r="AF410" s="62" t="n">
        <v>0</v>
      </c>
    </row>
    <row r="411" customFormat="false" ht="15" hidden="false" customHeight="false" outlineLevel="0" collapsed="false">
      <c r="A411" s="62" t="n">
        <v>410</v>
      </c>
      <c r="B411" s="63" t="n">
        <v>46238.0776157407</v>
      </c>
      <c r="C411" s="64" t="n">
        <v>46237</v>
      </c>
      <c r="D411" s="62" t="s">
        <v>429</v>
      </c>
      <c r="E411" s="62" t="s">
        <v>144</v>
      </c>
      <c r="F411" s="62" t="s">
        <v>144</v>
      </c>
      <c r="G411" s="62" t="s">
        <v>145</v>
      </c>
      <c r="H411" s="62" t="s">
        <v>59</v>
      </c>
      <c r="I411" s="62" t="s">
        <v>47</v>
      </c>
      <c r="J411" s="62" t="s">
        <v>146</v>
      </c>
      <c r="K411" s="62" t="s">
        <v>147</v>
      </c>
      <c r="L411" s="62" t="s">
        <v>148</v>
      </c>
      <c r="M411" s="62" t="n">
        <v>0</v>
      </c>
      <c r="N411" s="62" t="n">
        <v>2</v>
      </c>
      <c r="O411" s="62" t="n">
        <v>2</v>
      </c>
      <c r="P411" s="62" t="n">
        <v>1</v>
      </c>
      <c r="Q411" s="62" t="n">
        <v>1</v>
      </c>
      <c r="R411" s="62" t="n">
        <v>0</v>
      </c>
      <c r="S411" s="62" t="n">
        <v>0</v>
      </c>
      <c r="T411" s="62" t="n">
        <v>0</v>
      </c>
      <c r="U411" s="62"/>
      <c r="V411" s="62"/>
      <c r="W411" s="62"/>
      <c r="X411" s="62"/>
      <c r="Y411" s="62"/>
      <c r="Z411" s="62" t="s">
        <v>904</v>
      </c>
      <c r="AA411" s="62" t="s">
        <v>905</v>
      </c>
      <c r="AB411" s="62" t="n">
        <v>0</v>
      </c>
      <c r="AC411" s="62" t="n">
        <v>0</v>
      </c>
      <c r="AD411" s="62" t="n">
        <v>1</v>
      </c>
      <c r="AE411" s="62" t="n">
        <f aca="false">IF(AND(Dashboard!$C$9="Yes",AC411=1),0,1)</f>
        <v>1</v>
      </c>
      <c r="AF411" s="62" t="n">
        <v>0</v>
      </c>
    </row>
    <row r="412" customFormat="false" ht="15" hidden="false" customHeight="false" outlineLevel="0" collapsed="false">
      <c r="A412" s="62" t="n">
        <v>411</v>
      </c>
      <c r="B412" s="63" t="n">
        <v>46238.0880671296</v>
      </c>
      <c r="C412" s="64" t="n">
        <v>46237</v>
      </c>
      <c r="D412" s="62" t="s">
        <v>429</v>
      </c>
      <c r="E412" s="62" t="s">
        <v>239</v>
      </c>
      <c r="F412" s="62" t="s">
        <v>240</v>
      </c>
      <c r="G412" s="62" t="s">
        <v>153</v>
      </c>
      <c r="H412" s="62" t="s">
        <v>153</v>
      </c>
      <c r="I412" s="62" t="s">
        <v>153</v>
      </c>
      <c r="J412" s="62" t="s">
        <v>64</v>
      </c>
      <c r="K412" s="62" t="s">
        <v>64</v>
      </c>
      <c r="L412" s="62" t="s">
        <v>148</v>
      </c>
      <c r="M412" s="62" t="n">
        <v>0</v>
      </c>
      <c r="N412" s="62" t="n">
        <v>1</v>
      </c>
      <c r="O412" s="62" t="n">
        <v>1</v>
      </c>
      <c r="P412" s="62" t="n">
        <v>1</v>
      </c>
      <c r="Q412" s="62" t="n">
        <v>0</v>
      </c>
      <c r="R412" s="62" t="n">
        <v>0</v>
      </c>
      <c r="S412" s="62" t="n">
        <v>0</v>
      </c>
      <c r="T412" s="62" t="n">
        <v>0</v>
      </c>
      <c r="U412" s="62"/>
      <c r="V412" s="62"/>
      <c r="W412" s="62"/>
      <c r="X412" s="62"/>
      <c r="Y412" s="62"/>
      <c r="Z412" s="62" t="s">
        <v>906</v>
      </c>
      <c r="AA412" s="62" t="s">
        <v>907</v>
      </c>
      <c r="AB412" s="62" t="n">
        <v>1</v>
      </c>
      <c r="AC412" s="62" t="n">
        <v>0</v>
      </c>
      <c r="AD412" s="62" t="n">
        <v>0</v>
      </c>
      <c r="AE412" s="62" t="n">
        <f aca="false">IF(AND(Dashboard!$C$9="Yes",AC412=1),0,1)</f>
        <v>1</v>
      </c>
      <c r="AF412" s="62" t="n">
        <v>1</v>
      </c>
    </row>
    <row r="413" customFormat="false" ht="15" hidden="false" customHeight="false" outlineLevel="0" collapsed="false">
      <c r="A413" s="62" t="n">
        <v>412</v>
      </c>
      <c r="B413" s="63" t="n">
        <v>46238.0891782407</v>
      </c>
      <c r="C413" s="64" t="n">
        <v>46237</v>
      </c>
      <c r="D413" s="62" t="s">
        <v>429</v>
      </c>
      <c r="E413" s="62" t="s">
        <v>180</v>
      </c>
      <c r="F413" s="62" t="s">
        <v>180</v>
      </c>
      <c r="G413" s="62" t="s">
        <v>181</v>
      </c>
      <c r="H413" s="62" t="s">
        <v>58</v>
      </c>
      <c r="I413" s="62" t="s">
        <v>49</v>
      </c>
      <c r="J413" s="62" t="s">
        <v>146</v>
      </c>
      <c r="K413" s="62" t="s">
        <v>175</v>
      </c>
      <c r="L413" s="62" t="s">
        <v>4</v>
      </c>
      <c r="M413" s="62" t="n">
        <v>1</v>
      </c>
      <c r="N413" s="62" t="n">
        <v>0</v>
      </c>
      <c r="O413" s="62" t="n">
        <v>1</v>
      </c>
      <c r="P413" s="62" t="n">
        <v>0</v>
      </c>
      <c r="Q413" s="62" t="n">
        <v>0</v>
      </c>
      <c r="R413" s="62" t="n">
        <v>0</v>
      </c>
      <c r="S413" s="62" t="n">
        <v>0</v>
      </c>
      <c r="T413" s="62" t="n">
        <v>0</v>
      </c>
      <c r="U413" s="62"/>
      <c r="V413" s="62"/>
      <c r="W413" s="62"/>
      <c r="X413" s="62"/>
      <c r="Y413" s="62"/>
      <c r="Z413" s="62" t="s">
        <v>908</v>
      </c>
      <c r="AA413" s="62" t="s">
        <v>909</v>
      </c>
      <c r="AB413" s="62" t="n">
        <v>1</v>
      </c>
      <c r="AC413" s="62" t="n">
        <v>0</v>
      </c>
      <c r="AD413" s="62" t="n">
        <v>1</v>
      </c>
      <c r="AE413" s="62" t="n">
        <f aca="false">IF(AND(Dashboard!$C$9="Yes",AC413=1),0,1)</f>
        <v>1</v>
      </c>
      <c r="AF413" s="62" t="n">
        <v>1</v>
      </c>
    </row>
    <row r="414" customFormat="false" ht="15" hidden="false" customHeight="false" outlineLevel="0" collapsed="false">
      <c r="A414" s="62" t="n">
        <v>413</v>
      </c>
      <c r="B414" s="63" t="n">
        <v>46238.0903703704</v>
      </c>
      <c r="C414" s="64" t="n">
        <v>46237</v>
      </c>
      <c r="D414" s="62" t="s">
        <v>429</v>
      </c>
      <c r="E414" s="62" t="s">
        <v>910</v>
      </c>
      <c r="F414" s="62" t="s">
        <v>910</v>
      </c>
      <c r="G414" s="62" t="s">
        <v>911</v>
      </c>
      <c r="H414" s="62" t="s">
        <v>59</v>
      </c>
      <c r="I414" s="62" t="s">
        <v>47</v>
      </c>
      <c r="J414" s="62" t="s">
        <v>146</v>
      </c>
      <c r="K414" s="62" t="s">
        <v>175</v>
      </c>
      <c r="L414" s="62" t="s">
        <v>4</v>
      </c>
      <c r="M414" s="62" t="n">
        <v>1</v>
      </c>
      <c r="N414" s="62" t="n">
        <v>0</v>
      </c>
      <c r="O414" s="62" t="n">
        <v>1</v>
      </c>
      <c r="P414" s="62" t="n">
        <v>0</v>
      </c>
      <c r="Q414" s="62" t="n">
        <v>0</v>
      </c>
      <c r="R414" s="62" t="n">
        <v>0</v>
      </c>
      <c r="S414" s="62" t="n">
        <v>0</v>
      </c>
      <c r="T414" s="62" t="n">
        <v>0</v>
      </c>
      <c r="U414" s="62"/>
      <c r="V414" s="62"/>
      <c r="W414" s="62"/>
      <c r="X414" s="62"/>
      <c r="Y414" s="62"/>
      <c r="Z414" s="62" t="s">
        <v>912</v>
      </c>
      <c r="AA414" s="62" t="s">
        <v>913</v>
      </c>
      <c r="AB414" s="62" t="n">
        <v>1</v>
      </c>
      <c r="AC414" s="62" t="n">
        <v>0</v>
      </c>
      <c r="AD414" s="62" t="n">
        <v>1</v>
      </c>
      <c r="AE414" s="62" t="n">
        <f aca="false">IF(AND(Dashboard!$C$9="Yes",AC414=1),0,1)</f>
        <v>1</v>
      </c>
      <c r="AF414" s="62" t="n">
        <v>1</v>
      </c>
    </row>
    <row r="415" customFormat="false" ht="15" hidden="false" customHeight="false" outlineLevel="0" collapsed="false">
      <c r="A415" s="62" t="n">
        <v>414</v>
      </c>
      <c r="B415" s="63" t="n">
        <v>46238.120474537</v>
      </c>
      <c r="C415" s="64" t="n">
        <v>46237</v>
      </c>
      <c r="D415" s="62" t="s">
        <v>429</v>
      </c>
      <c r="E415" s="62" t="s">
        <v>144</v>
      </c>
      <c r="F415" s="62" t="s">
        <v>144</v>
      </c>
      <c r="G415" s="62" t="s">
        <v>145</v>
      </c>
      <c r="H415" s="62" t="s">
        <v>59</v>
      </c>
      <c r="I415" s="62" t="s">
        <v>47</v>
      </c>
      <c r="J415" s="62" t="s">
        <v>146</v>
      </c>
      <c r="K415" s="62" t="s">
        <v>147</v>
      </c>
      <c r="L415" s="62" t="s">
        <v>148</v>
      </c>
      <c r="M415" s="62" t="n">
        <v>0</v>
      </c>
      <c r="N415" s="62" t="n">
        <v>1</v>
      </c>
      <c r="O415" s="62" t="n">
        <v>1</v>
      </c>
      <c r="P415" s="62" t="n">
        <v>0</v>
      </c>
      <c r="Q415" s="62" t="n">
        <v>0</v>
      </c>
      <c r="R415" s="62" t="n">
        <v>1</v>
      </c>
      <c r="S415" s="62" t="n">
        <v>0</v>
      </c>
      <c r="T415" s="62" t="n">
        <v>0</v>
      </c>
      <c r="U415" s="62"/>
      <c r="V415" s="62"/>
      <c r="W415" s="62"/>
      <c r="X415" s="62"/>
      <c r="Y415" s="62"/>
      <c r="Z415" s="62" t="s">
        <v>914</v>
      </c>
      <c r="AA415" s="62" t="s">
        <v>915</v>
      </c>
      <c r="AB415" s="62" t="n">
        <v>0</v>
      </c>
      <c r="AC415" s="62" t="n">
        <v>0</v>
      </c>
      <c r="AD415" s="62" t="n">
        <v>1</v>
      </c>
      <c r="AE415" s="62" t="n">
        <f aca="false">IF(AND(Dashboard!$C$9="Yes",AC415=1),0,1)</f>
        <v>1</v>
      </c>
      <c r="AF415" s="62" t="n">
        <v>0</v>
      </c>
    </row>
    <row r="416" customFormat="false" ht="15" hidden="false" customHeight="false" outlineLevel="0" collapsed="false">
      <c r="A416" s="62" t="n">
        <v>415</v>
      </c>
      <c r="B416" s="63" t="n">
        <v>46238.1553935185</v>
      </c>
      <c r="C416" s="64" t="n">
        <v>46237</v>
      </c>
      <c r="D416" s="62" t="s">
        <v>429</v>
      </c>
      <c r="E416" s="62" t="s">
        <v>865</v>
      </c>
      <c r="F416" s="62" t="s">
        <v>865</v>
      </c>
      <c r="G416" s="62" t="s">
        <v>866</v>
      </c>
      <c r="H416" s="62" t="s">
        <v>46</v>
      </c>
      <c r="I416" s="62" t="s">
        <v>47</v>
      </c>
      <c r="J416" s="62" t="s">
        <v>146</v>
      </c>
      <c r="K416" s="62" t="s">
        <v>209</v>
      </c>
      <c r="L416" s="62" t="s">
        <v>148</v>
      </c>
      <c r="M416" s="62" t="n">
        <v>0</v>
      </c>
      <c r="N416" s="62" t="n">
        <v>1</v>
      </c>
      <c r="O416" s="62" t="n">
        <v>1</v>
      </c>
      <c r="P416" s="62" t="n">
        <v>1</v>
      </c>
      <c r="Q416" s="62" t="n">
        <v>0</v>
      </c>
      <c r="R416" s="62" t="n">
        <v>0</v>
      </c>
      <c r="S416" s="62" t="n">
        <v>0</v>
      </c>
      <c r="T416" s="62" t="n">
        <v>0</v>
      </c>
      <c r="U416" s="62"/>
      <c r="V416" s="62"/>
      <c r="W416" s="62"/>
      <c r="X416" s="62"/>
      <c r="Y416" s="62"/>
      <c r="Z416" s="62" t="s">
        <v>916</v>
      </c>
      <c r="AA416" s="62" t="s">
        <v>917</v>
      </c>
      <c r="AB416" s="62" t="n">
        <v>1</v>
      </c>
      <c r="AC416" s="62" t="n">
        <v>0</v>
      </c>
      <c r="AD416" s="62" t="n">
        <v>1</v>
      </c>
      <c r="AE416" s="62" t="n">
        <f aca="false">IF(AND(Dashboard!$C$9="Yes",AC416=1),0,1)</f>
        <v>1</v>
      </c>
      <c r="AF416" s="62" t="n">
        <v>0</v>
      </c>
    </row>
    <row r="417" customFormat="false" ht="15" hidden="false" customHeight="false" outlineLevel="0" collapsed="false">
      <c r="A417" s="62" t="n">
        <v>416</v>
      </c>
      <c r="B417" s="63" t="n">
        <v>46238.2869444444</v>
      </c>
      <c r="C417" s="64" t="n">
        <v>46237</v>
      </c>
      <c r="D417" s="62" t="s">
        <v>429</v>
      </c>
      <c r="E417" s="62" t="s">
        <v>790</v>
      </c>
      <c r="F417" s="62" t="s">
        <v>791</v>
      </c>
      <c r="G417" s="62" t="s">
        <v>153</v>
      </c>
      <c r="H417" s="62" t="s">
        <v>153</v>
      </c>
      <c r="I417" s="62" t="s">
        <v>153</v>
      </c>
      <c r="J417" s="62" t="s">
        <v>64</v>
      </c>
      <c r="K417" s="62" t="s">
        <v>64</v>
      </c>
      <c r="L417" s="62" t="s">
        <v>4</v>
      </c>
      <c r="M417" s="62" t="n">
        <v>1</v>
      </c>
      <c r="N417" s="62" t="n">
        <v>0</v>
      </c>
      <c r="O417" s="62" t="n">
        <v>1</v>
      </c>
      <c r="P417" s="62" t="n">
        <v>0</v>
      </c>
      <c r="Q417" s="62" t="n">
        <v>0</v>
      </c>
      <c r="R417" s="62" t="n">
        <v>0</v>
      </c>
      <c r="S417" s="62" t="n">
        <v>0</v>
      </c>
      <c r="T417" s="62" t="n">
        <v>0</v>
      </c>
      <c r="U417" s="62"/>
      <c r="V417" s="62"/>
      <c r="W417" s="62"/>
      <c r="X417" s="62"/>
      <c r="Y417" s="62"/>
      <c r="Z417" s="62" t="s">
        <v>918</v>
      </c>
      <c r="AA417" s="62" t="s">
        <v>919</v>
      </c>
      <c r="AB417" s="62" t="n">
        <v>1</v>
      </c>
      <c r="AC417" s="62" t="n">
        <v>0</v>
      </c>
      <c r="AD417" s="62" t="n">
        <v>0</v>
      </c>
      <c r="AE417" s="62" t="n">
        <f aca="false">IF(AND(Dashboard!$C$9="Yes",AC417=1),0,1)</f>
        <v>1</v>
      </c>
      <c r="AF417" s="62" t="n">
        <v>0</v>
      </c>
    </row>
    <row r="418" customFormat="false" ht="15" hidden="false" customHeight="false" outlineLevel="0" collapsed="false">
      <c r="A418" s="62" t="n">
        <v>417</v>
      </c>
      <c r="B418" s="63" t="n">
        <v>46238.709375</v>
      </c>
      <c r="C418" s="64" t="n">
        <v>46238</v>
      </c>
      <c r="D418" s="62" t="s">
        <v>501</v>
      </c>
      <c r="E418" s="62" t="s">
        <v>156</v>
      </c>
      <c r="F418" s="62" t="s">
        <v>156</v>
      </c>
      <c r="G418" s="62" t="s">
        <v>157</v>
      </c>
      <c r="H418" s="62" t="s">
        <v>51</v>
      </c>
      <c r="I418" s="62" t="s">
        <v>47</v>
      </c>
      <c r="J418" s="62" t="s">
        <v>146</v>
      </c>
      <c r="K418" s="62" t="s">
        <v>147</v>
      </c>
      <c r="L418" s="62" t="s">
        <v>148</v>
      </c>
      <c r="M418" s="62" t="n">
        <v>0</v>
      </c>
      <c r="N418" s="62" t="n">
        <v>2</v>
      </c>
      <c r="O418" s="62" t="n">
        <v>2</v>
      </c>
      <c r="P418" s="62" t="n">
        <v>1</v>
      </c>
      <c r="Q418" s="62" t="n">
        <v>1</v>
      </c>
      <c r="R418" s="62" t="n">
        <v>0</v>
      </c>
      <c r="S418" s="62" t="n">
        <v>0</v>
      </c>
      <c r="T418" s="62" t="n">
        <v>0</v>
      </c>
      <c r="U418" s="62"/>
      <c r="V418" s="62"/>
      <c r="W418" s="62"/>
      <c r="X418" s="62"/>
      <c r="Y418" s="62"/>
      <c r="Z418" s="62" t="s">
        <v>920</v>
      </c>
      <c r="AA418" s="62" t="s">
        <v>921</v>
      </c>
      <c r="AB418" s="62" t="n">
        <v>1</v>
      </c>
      <c r="AC418" s="62" t="n">
        <v>0</v>
      </c>
      <c r="AD418" s="62" t="n">
        <v>1</v>
      </c>
      <c r="AE418" s="62" t="n">
        <f aca="false">IF(AND(Dashboard!$C$9="Yes",AC418=1),0,1)</f>
        <v>1</v>
      </c>
      <c r="AF418" s="62" t="n">
        <v>1</v>
      </c>
    </row>
    <row r="419" customFormat="false" ht="15" hidden="false" customHeight="false" outlineLevel="0" collapsed="false">
      <c r="A419" s="62" t="n">
        <v>418</v>
      </c>
      <c r="B419" s="63" t="n">
        <v>46238.7296180556</v>
      </c>
      <c r="C419" s="64" t="n">
        <v>46238</v>
      </c>
      <c r="D419" s="62" t="s">
        <v>501</v>
      </c>
      <c r="E419" s="62" t="s">
        <v>439</v>
      </c>
      <c r="F419" s="62" t="s">
        <v>439</v>
      </c>
      <c r="G419" s="62" t="s">
        <v>440</v>
      </c>
      <c r="H419" s="62" t="s">
        <v>51</v>
      </c>
      <c r="I419" s="62" t="s">
        <v>47</v>
      </c>
      <c r="J419" s="62" t="s">
        <v>146</v>
      </c>
      <c r="K419" s="62" t="s">
        <v>175</v>
      </c>
      <c r="L419" s="62" t="s">
        <v>148</v>
      </c>
      <c r="M419" s="62" t="n">
        <v>0</v>
      </c>
      <c r="N419" s="62" t="n">
        <v>1</v>
      </c>
      <c r="O419" s="62" t="n">
        <v>1</v>
      </c>
      <c r="P419" s="62" t="n">
        <v>1</v>
      </c>
      <c r="Q419" s="62" t="n">
        <v>0</v>
      </c>
      <c r="R419" s="62" t="n">
        <v>0</v>
      </c>
      <c r="S419" s="62" t="n">
        <v>0</v>
      </c>
      <c r="T419" s="62" t="n">
        <v>0</v>
      </c>
      <c r="U419" s="62"/>
      <c r="V419" s="62"/>
      <c r="W419" s="62"/>
      <c r="X419" s="62"/>
      <c r="Y419" s="62"/>
      <c r="Z419" s="62" t="s">
        <v>922</v>
      </c>
      <c r="AA419" s="62" t="s">
        <v>923</v>
      </c>
      <c r="AB419" s="62" t="n">
        <v>1</v>
      </c>
      <c r="AC419" s="62" t="n">
        <v>0</v>
      </c>
      <c r="AD419" s="62" t="n">
        <v>1</v>
      </c>
      <c r="AE419" s="62" t="n">
        <f aca="false">IF(AND(Dashboard!$C$9="Yes",AC419=1),0,1)</f>
        <v>1</v>
      </c>
      <c r="AF419" s="62" t="n">
        <v>1</v>
      </c>
    </row>
    <row r="420" customFormat="false" ht="15" hidden="false" customHeight="false" outlineLevel="0" collapsed="false">
      <c r="A420" s="62" t="n">
        <v>419</v>
      </c>
      <c r="B420" s="63" t="n">
        <v>46238.7344212963</v>
      </c>
      <c r="C420" s="64" t="n">
        <v>46238</v>
      </c>
      <c r="D420" s="62" t="s">
        <v>501</v>
      </c>
      <c r="E420" s="62" t="s">
        <v>307</v>
      </c>
      <c r="F420" s="62" t="s">
        <v>308</v>
      </c>
      <c r="G420" s="62" t="s">
        <v>153</v>
      </c>
      <c r="H420" s="62" t="s">
        <v>153</v>
      </c>
      <c r="I420" s="62" t="s">
        <v>153</v>
      </c>
      <c r="J420" s="62" t="s">
        <v>64</v>
      </c>
      <c r="K420" s="62" t="s">
        <v>64</v>
      </c>
      <c r="L420" s="62" t="s">
        <v>148</v>
      </c>
      <c r="M420" s="62" t="n">
        <v>0</v>
      </c>
      <c r="N420" s="62" t="n">
        <v>1</v>
      </c>
      <c r="O420" s="62" t="n">
        <v>1</v>
      </c>
      <c r="P420" s="62" t="n">
        <v>0</v>
      </c>
      <c r="Q420" s="62" t="n">
        <v>1</v>
      </c>
      <c r="R420" s="62" t="n">
        <v>0</v>
      </c>
      <c r="S420" s="62" t="n">
        <v>0</v>
      </c>
      <c r="T420" s="62" t="n">
        <v>0</v>
      </c>
      <c r="U420" s="62"/>
      <c r="V420" s="62"/>
      <c r="W420" s="62"/>
      <c r="X420" s="62"/>
      <c r="Y420" s="62"/>
      <c r="Z420" s="62" t="s">
        <v>924</v>
      </c>
      <c r="AA420" s="62" t="s">
        <v>925</v>
      </c>
      <c r="AB420" s="62" t="n">
        <v>1</v>
      </c>
      <c r="AC420" s="62" t="n">
        <v>0</v>
      </c>
      <c r="AD420" s="62" t="n">
        <v>0</v>
      </c>
      <c r="AE420" s="62" t="n">
        <f aca="false">IF(AND(Dashboard!$C$9="Yes",AC420=1),0,1)</f>
        <v>1</v>
      </c>
      <c r="AF420" s="62" t="n">
        <v>1</v>
      </c>
    </row>
    <row r="421" customFormat="false" ht="15" hidden="false" customHeight="false" outlineLevel="0" collapsed="false">
      <c r="A421" s="62" t="n">
        <v>420</v>
      </c>
      <c r="B421" s="63" t="n">
        <v>46238.7770486111</v>
      </c>
      <c r="C421" s="64" t="n">
        <v>46238</v>
      </c>
      <c r="D421" s="62" t="s">
        <v>501</v>
      </c>
      <c r="E421" s="62" t="s">
        <v>307</v>
      </c>
      <c r="F421" s="62" t="s">
        <v>308</v>
      </c>
      <c r="G421" s="62" t="s">
        <v>153</v>
      </c>
      <c r="H421" s="62" t="s">
        <v>153</v>
      </c>
      <c r="I421" s="62" t="s">
        <v>153</v>
      </c>
      <c r="J421" s="62" t="s">
        <v>64</v>
      </c>
      <c r="K421" s="62" t="s">
        <v>64</v>
      </c>
      <c r="L421" s="62" t="s">
        <v>148</v>
      </c>
      <c r="M421" s="62" t="n">
        <v>0</v>
      </c>
      <c r="N421" s="62" t="n">
        <v>1</v>
      </c>
      <c r="O421" s="62" t="n">
        <v>1</v>
      </c>
      <c r="P421" s="62" t="n">
        <v>0</v>
      </c>
      <c r="Q421" s="62" t="n">
        <v>0</v>
      </c>
      <c r="R421" s="62" t="n">
        <v>1</v>
      </c>
      <c r="S421" s="62" t="n">
        <v>0</v>
      </c>
      <c r="T421" s="62" t="n">
        <v>0</v>
      </c>
      <c r="U421" s="62"/>
      <c r="V421" s="62"/>
      <c r="W421" s="62"/>
      <c r="X421" s="62"/>
      <c r="Y421" s="62"/>
      <c r="Z421" s="62" t="s">
        <v>926</v>
      </c>
      <c r="AA421" s="62" t="s">
        <v>927</v>
      </c>
      <c r="AB421" s="62" t="n">
        <v>1</v>
      </c>
      <c r="AC421" s="62" t="n">
        <v>0</v>
      </c>
      <c r="AD421" s="62" t="n">
        <v>0</v>
      </c>
      <c r="AE421" s="62" t="n">
        <f aca="false">IF(AND(Dashboard!$C$9="Yes",AC421=1),0,1)</f>
        <v>1</v>
      </c>
      <c r="AF421" s="62" t="n">
        <v>0</v>
      </c>
    </row>
    <row r="422" customFormat="false" ht="15" hidden="false" customHeight="false" outlineLevel="0" collapsed="false">
      <c r="A422" s="62" t="n">
        <v>421</v>
      </c>
      <c r="B422" s="63" t="n">
        <v>46238.7809606482</v>
      </c>
      <c r="C422" s="64" t="n">
        <v>46238</v>
      </c>
      <c r="D422" s="62" t="s">
        <v>501</v>
      </c>
      <c r="E422" s="62" t="s">
        <v>151</v>
      </c>
      <c r="F422" s="62" t="s">
        <v>152</v>
      </c>
      <c r="G422" s="62" t="s">
        <v>153</v>
      </c>
      <c r="H422" s="62" t="s">
        <v>153</v>
      </c>
      <c r="I422" s="62" t="s">
        <v>153</v>
      </c>
      <c r="J422" s="62" t="s">
        <v>64</v>
      </c>
      <c r="K422" s="62" t="s">
        <v>64</v>
      </c>
      <c r="L422" s="62" t="s">
        <v>148</v>
      </c>
      <c r="M422" s="62" t="n">
        <v>0</v>
      </c>
      <c r="N422" s="62" t="n">
        <v>1</v>
      </c>
      <c r="O422" s="62" t="n">
        <v>1</v>
      </c>
      <c r="P422" s="62" t="n">
        <v>1</v>
      </c>
      <c r="Q422" s="62" t="n">
        <v>0</v>
      </c>
      <c r="R422" s="62" t="n">
        <v>0</v>
      </c>
      <c r="S422" s="62" t="n">
        <v>0</v>
      </c>
      <c r="T422" s="62" t="n">
        <v>0</v>
      </c>
      <c r="U422" s="62"/>
      <c r="V422" s="62"/>
      <c r="W422" s="62"/>
      <c r="X422" s="62"/>
      <c r="Y422" s="62"/>
      <c r="Z422" s="62" t="s">
        <v>928</v>
      </c>
      <c r="AA422" s="62" t="s">
        <v>337</v>
      </c>
      <c r="AB422" s="62" t="n">
        <v>0</v>
      </c>
      <c r="AC422" s="62" t="n">
        <v>0</v>
      </c>
      <c r="AD422" s="62" t="n">
        <v>0</v>
      </c>
      <c r="AE422" s="62" t="n">
        <f aca="false">IF(AND(Dashboard!$C$9="Yes",AC422=1),0,1)</f>
        <v>1</v>
      </c>
      <c r="AF422" s="62" t="n">
        <v>1</v>
      </c>
    </row>
    <row r="423" customFormat="false" ht="15" hidden="false" customHeight="false" outlineLevel="0" collapsed="false">
      <c r="A423" s="62" t="n">
        <v>422</v>
      </c>
      <c r="B423" s="63" t="n">
        <v>46238.7825694445</v>
      </c>
      <c r="C423" s="64" t="n">
        <v>46238</v>
      </c>
      <c r="D423" s="62" t="s">
        <v>501</v>
      </c>
      <c r="E423" s="62" t="s">
        <v>586</v>
      </c>
      <c r="F423" s="62" t="s">
        <v>586</v>
      </c>
      <c r="G423" s="62" t="s">
        <v>587</v>
      </c>
      <c r="H423" s="62" t="s">
        <v>57</v>
      </c>
      <c r="I423" s="62" t="s">
        <v>47</v>
      </c>
      <c r="J423" s="62" t="s">
        <v>146</v>
      </c>
      <c r="K423" s="62" t="s">
        <v>175</v>
      </c>
      <c r="L423" s="62" t="s">
        <v>4</v>
      </c>
      <c r="M423" s="62" t="n">
        <v>1</v>
      </c>
      <c r="N423" s="62" t="n">
        <v>0</v>
      </c>
      <c r="O423" s="62" t="n">
        <v>1</v>
      </c>
      <c r="P423" s="62" t="n">
        <v>0</v>
      </c>
      <c r="Q423" s="62" t="n">
        <v>0</v>
      </c>
      <c r="R423" s="62" t="n">
        <v>0</v>
      </c>
      <c r="S423" s="62" t="n">
        <v>0</v>
      </c>
      <c r="T423" s="62" t="n">
        <v>0</v>
      </c>
      <c r="U423" s="62"/>
      <c r="V423" s="62"/>
      <c r="W423" s="62"/>
      <c r="X423" s="62"/>
      <c r="Y423" s="62"/>
      <c r="Z423" s="62" t="s">
        <v>929</v>
      </c>
      <c r="AA423" s="62" t="s">
        <v>930</v>
      </c>
      <c r="AB423" s="62" t="n">
        <v>1</v>
      </c>
      <c r="AC423" s="62" t="n">
        <v>0</v>
      </c>
      <c r="AD423" s="62" t="n">
        <v>1</v>
      </c>
      <c r="AE423" s="62" t="n">
        <f aca="false">IF(AND(Dashboard!$C$9="Yes",AC423=1),0,1)</f>
        <v>1</v>
      </c>
      <c r="AF423" s="62" t="n">
        <v>1</v>
      </c>
    </row>
    <row r="424" customFormat="false" ht="15" hidden="false" customHeight="false" outlineLevel="0" collapsed="false">
      <c r="A424" s="62" t="n">
        <v>423</v>
      </c>
      <c r="B424" s="63" t="n">
        <v>46238.8217824074</v>
      </c>
      <c r="C424" s="64" t="n">
        <v>46238</v>
      </c>
      <c r="D424" s="62" t="s">
        <v>501</v>
      </c>
      <c r="E424" s="62" t="s">
        <v>586</v>
      </c>
      <c r="F424" s="62" t="s">
        <v>586</v>
      </c>
      <c r="G424" s="62" t="s">
        <v>587</v>
      </c>
      <c r="H424" s="62" t="s">
        <v>57</v>
      </c>
      <c r="I424" s="62" t="s">
        <v>47</v>
      </c>
      <c r="J424" s="62" t="s">
        <v>146</v>
      </c>
      <c r="K424" s="62" t="s">
        <v>175</v>
      </c>
      <c r="L424" s="62" t="s">
        <v>4</v>
      </c>
      <c r="M424" s="62" t="n">
        <v>1</v>
      </c>
      <c r="N424" s="62" t="n">
        <v>0</v>
      </c>
      <c r="O424" s="62" t="n">
        <v>1</v>
      </c>
      <c r="P424" s="62" t="n">
        <v>0</v>
      </c>
      <c r="Q424" s="62" t="n">
        <v>0</v>
      </c>
      <c r="R424" s="62" t="n">
        <v>0</v>
      </c>
      <c r="S424" s="62" t="n">
        <v>0</v>
      </c>
      <c r="T424" s="62" t="n">
        <v>0</v>
      </c>
      <c r="U424" s="62"/>
      <c r="V424" s="62"/>
      <c r="W424" s="62"/>
      <c r="X424" s="62"/>
      <c r="Y424" s="62"/>
      <c r="Z424" s="62" t="s">
        <v>931</v>
      </c>
      <c r="AA424" s="62" t="s">
        <v>932</v>
      </c>
      <c r="AB424" s="62" t="n">
        <v>1</v>
      </c>
      <c r="AC424" s="62" t="n">
        <v>0</v>
      </c>
      <c r="AD424" s="62" t="n">
        <v>1</v>
      </c>
      <c r="AE424" s="62" t="n">
        <f aca="false">IF(AND(Dashboard!$C$9="Yes",AC424=1),0,1)</f>
        <v>1</v>
      </c>
      <c r="AF424" s="62" t="n">
        <v>0</v>
      </c>
    </row>
    <row r="425" customFormat="false" ht="15" hidden="false" customHeight="false" outlineLevel="0" collapsed="false">
      <c r="A425" s="62" t="n">
        <v>424</v>
      </c>
      <c r="B425" s="63" t="n">
        <v>46238.836724537</v>
      </c>
      <c r="C425" s="64" t="n">
        <v>46238</v>
      </c>
      <c r="D425" s="62" t="s">
        <v>501</v>
      </c>
      <c r="E425" s="62" t="s">
        <v>307</v>
      </c>
      <c r="F425" s="62" t="s">
        <v>308</v>
      </c>
      <c r="G425" s="62" t="s">
        <v>153</v>
      </c>
      <c r="H425" s="62" t="s">
        <v>153</v>
      </c>
      <c r="I425" s="62" t="s">
        <v>153</v>
      </c>
      <c r="J425" s="62" t="s">
        <v>64</v>
      </c>
      <c r="K425" s="62" t="s">
        <v>64</v>
      </c>
      <c r="L425" s="62" t="s">
        <v>148</v>
      </c>
      <c r="M425" s="62" t="n">
        <v>0</v>
      </c>
      <c r="N425" s="62" t="n">
        <v>1</v>
      </c>
      <c r="O425" s="62" t="n">
        <v>1</v>
      </c>
      <c r="P425" s="62" t="n">
        <v>0</v>
      </c>
      <c r="Q425" s="62" t="n">
        <v>1</v>
      </c>
      <c r="R425" s="62" t="n">
        <v>0</v>
      </c>
      <c r="S425" s="62" t="n">
        <v>0</v>
      </c>
      <c r="T425" s="62" t="n">
        <v>0</v>
      </c>
      <c r="U425" s="62"/>
      <c r="V425" s="62"/>
      <c r="W425" s="62"/>
      <c r="X425" s="62"/>
      <c r="Y425" s="62"/>
      <c r="Z425" s="62" t="s">
        <v>933</v>
      </c>
      <c r="AA425" s="62" t="s">
        <v>934</v>
      </c>
      <c r="AB425" s="62" t="n">
        <v>1</v>
      </c>
      <c r="AC425" s="62" t="n">
        <v>0</v>
      </c>
      <c r="AD425" s="62" t="n">
        <v>0</v>
      </c>
      <c r="AE425" s="62" t="n">
        <f aca="false">IF(AND(Dashboard!$C$9="Yes",AC425=1),0,1)</f>
        <v>1</v>
      </c>
      <c r="AF425" s="62" t="n">
        <v>0</v>
      </c>
    </row>
    <row r="426" customFormat="false" ht="15" hidden="false" customHeight="false" outlineLevel="0" collapsed="false">
      <c r="A426" s="62" t="n">
        <v>425</v>
      </c>
      <c r="B426" s="63" t="n">
        <v>46238.9095949074</v>
      </c>
      <c r="C426" s="64" t="n">
        <v>46238</v>
      </c>
      <c r="D426" s="62" t="s">
        <v>501</v>
      </c>
      <c r="E426" s="62" t="s">
        <v>439</v>
      </c>
      <c r="F426" s="62" t="s">
        <v>439</v>
      </c>
      <c r="G426" s="62" t="s">
        <v>440</v>
      </c>
      <c r="H426" s="62" t="s">
        <v>51</v>
      </c>
      <c r="I426" s="62" t="s">
        <v>47</v>
      </c>
      <c r="J426" s="62" t="s">
        <v>146</v>
      </c>
      <c r="K426" s="62" t="s">
        <v>175</v>
      </c>
      <c r="L426" s="62" t="s">
        <v>148</v>
      </c>
      <c r="M426" s="62" t="n">
        <v>0</v>
      </c>
      <c r="N426" s="62" t="n">
        <v>2</v>
      </c>
      <c r="O426" s="62" t="n">
        <v>2</v>
      </c>
      <c r="P426" s="62" t="n">
        <v>1</v>
      </c>
      <c r="Q426" s="62" t="n">
        <v>1</v>
      </c>
      <c r="R426" s="62" t="n">
        <v>0</v>
      </c>
      <c r="S426" s="62" t="n">
        <v>0</v>
      </c>
      <c r="T426" s="62" t="n">
        <v>0</v>
      </c>
      <c r="U426" s="62"/>
      <c r="V426" s="62"/>
      <c r="W426" s="62"/>
      <c r="X426" s="62"/>
      <c r="Y426" s="62"/>
      <c r="Z426" s="62" t="s">
        <v>935</v>
      </c>
      <c r="AA426" s="62" t="s">
        <v>936</v>
      </c>
      <c r="AB426" s="62" t="n">
        <v>1</v>
      </c>
      <c r="AC426" s="62" t="n">
        <v>0</v>
      </c>
      <c r="AD426" s="62" t="n">
        <v>1</v>
      </c>
      <c r="AE426" s="62" t="n">
        <f aca="false">IF(AND(Dashboard!$C$9="Yes",AC426=1),0,1)</f>
        <v>1</v>
      </c>
      <c r="AF426" s="62" t="n">
        <v>0</v>
      </c>
    </row>
    <row r="427" customFormat="false" ht="15" hidden="false" customHeight="false" outlineLevel="0" collapsed="false">
      <c r="A427" s="62" t="n">
        <v>426</v>
      </c>
      <c r="B427" s="63" t="n">
        <v>46238.9104398148</v>
      </c>
      <c r="C427" s="64" t="n">
        <v>46238</v>
      </c>
      <c r="D427" s="62" t="s">
        <v>501</v>
      </c>
      <c r="E427" s="62" t="s">
        <v>439</v>
      </c>
      <c r="F427" s="62" t="s">
        <v>439</v>
      </c>
      <c r="G427" s="62" t="s">
        <v>440</v>
      </c>
      <c r="H427" s="62" t="s">
        <v>51</v>
      </c>
      <c r="I427" s="62" t="s">
        <v>47</v>
      </c>
      <c r="J427" s="62" t="s">
        <v>146</v>
      </c>
      <c r="K427" s="62" t="s">
        <v>175</v>
      </c>
      <c r="L427" s="62" t="s">
        <v>148</v>
      </c>
      <c r="M427" s="62" t="n">
        <v>0</v>
      </c>
      <c r="N427" s="62" t="n">
        <v>2</v>
      </c>
      <c r="O427" s="62" t="n">
        <v>2</v>
      </c>
      <c r="P427" s="62" t="n">
        <v>1</v>
      </c>
      <c r="Q427" s="62" t="n">
        <v>1</v>
      </c>
      <c r="R427" s="62" t="n">
        <v>0</v>
      </c>
      <c r="S427" s="62" t="n">
        <v>0</v>
      </c>
      <c r="T427" s="62" t="n">
        <v>0</v>
      </c>
      <c r="U427" s="62"/>
      <c r="V427" s="62"/>
      <c r="W427" s="62"/>
      <c r="X427" s="62"/>
      <c r="Y427" s="62"/>
      <c r="Z427" s="62" t="s">
        <v>935</v>
      </c>
      <c r="AA427" s="62" t="s">
        <v>936</v>
      </c>
      <c r="AB427" s="62" t="n">
        <v>1</v>
      </c>
      <c r="AC427" s="62" t="n">
        <v>1</v>
      </c>
      <c r="AD427" s="62" t="n">
        <v>1</v>
      </c>
      <c r="AE427" s="62" t="n">
        <f aca="false">IF(AND(Dashboard!$C$9="Yes",AC427=1),0,1)</f>
        <v>0</v>
      </c>
      <c r="AF427" s="62" t="n">
        <v>0</v>
      </c>
    </row>
    <row r="428" customFormat="false" ht="15" hidden="false" customHeight="false" outlineLevel="0" collapsed="false">
      <c r="A428" s="62" t="n">
        <v>427</v>
      </c>
      <c r="B428" s="63" t="n">
        <v>46238.9271643519</v>
      </c>
      <c r="C428" s="64" t="n">
        <v>46238</v>
      </c>
      <c r="D428" s="62" t="s">
        <v>501</v>
      </c>
      <c r="E428" s="62" t="s">
        <v>586</v>
      </c>
      <c r="F428" s="62" t="s">
        <v>586</v>
      </c>
      <c r="G428" s="62" t="s">
        <v>587</v>
      </c>
      <c r="H428" s="62" t="s">
        <v>57</v>
      </c>
      <c r="I428" s="62" t="s">
        <v>47</v>
      </c>
      <c r="J428" s="62" t="s">
        <v>146</v>
      </c>
      <c r="K428" s="62" t="s">
        <v>175</v>
      </c>
      <c r="L428" s="62" t="s">
        <v>4</v>
      </c>
      <c r="M428" s="62" t="n">
        <v>1</v>
      </c>
      <c r="N428" s="62" t="n">
        <v>0</v>
      </c>
      <c r="O428" s="62" t="n">
        <v>1</v>
      </c>
      <c r="P428" s="62" t="n">
        <v>0</v>
      </c>
      <c r="Q428" s="62" t="n">
        <v>0</v>
      </c>
      <c r="R428" s="62" t="n">
        <v>0</v>
      </c>
      <c r="S428" s="62" t="n">
        <v>0</v>
      </c>
      <c r="T428" s="62" t="n">
        <v>0</v>
      </c>
      <c r="U428" s="62"/>
      <c r="V428" s="62"/>
      <c r="W428" s="62"/>
      <c r="X428" s="62"/>
      <c r="Y428" s="62"/>
      <c r="Z428" s="62" t="s">
        <v>937</v>
      </c>
      <c r="AA428" s="62" t="s">
        <v>938</v>
      </c>
      <c r="AB428" s="62" t="n">
        <v>1</v>
      </c>
      <c r="AC428" s="62" t="n">
        <v>0</v>
      </c>
      <c r="AD428" s="62" t="n">
        <v>1</v>
      </c>
      <c r="AE428" s="62" t="n">
        <f aca="false">IF(AND(Dashboard!$C$9="Yes",AC428=1),0,1)</f>
        <v>1</v>
      </c>
      <c r="AF428" s="62" t="n">
        <v>0</v>
      </c>
    </row>
    <row r="429" customFormat="false" ht="15" hidden="false" customHeight="false" outlineLevel="0" collapsed="false">
      <c r="A429" s="62" t="n">
        <v>428</v>
      </c>
      <c r="B429" s="63" t="n">
        <v>46238.9640509259</v>
      </c>
      <c r="C429" s="64" t="n">
        <v>46238</v>
      </c>
      <c r="D429" s="62" t="s">
        <v>501</v>
      </c>
      <c r="E429" s="62" t="s">
        <v>939</v>
      </c>
      <c r="F429" s="62" t="s">
        <v>939</v>
      </c>
      <c r="G429" s="62" t="s">
        <v>940</v>
      </c>
      <c r="H429" s="62" t="s">
        <v>57</v>
      </c>
      <c r="I429" s="62" t="s">
        <v>47</v>
      </c>
      <c r="J429" s="62" t="s">
        <v>146</v>
      </c>
      <c r="K429" s="62" t="s">
        <v>147</v>
      </c>
      <c r="L429" s="62" t="s">
        <v>4</v>
      </c>
      <c r="M429" s="62" t="n">
        <v>1</v>
      </c>
      <c r="N429" s="62" t="n">
        <v>0</v>
      </c>
      <c r="O429" s="62" t="n">
        <v>1</v>
      </c>
      <c r="P429" s="62" t="n">
        <v>0</v>
      </c>
      <c r="Q429" s="62" t="n">
        <v>0</v>
      </c>
      <c r="R429" s="62" t="n">
        <v>0</v>
      </c>
      <c r="S429" s="62" t="n">
        <v>0</v>
      </c>
      <c r="T429" s="62" t="n">
        <v>0</v>
      </c>
      <c r="U429" s="62"/>
      <c r="V429" s="62"/>
      <c r="W429" s="62"/>
      <c r="X429" s="62"/>
      <c r="Y429" s="62"/>
      <c r="Z429" s="62" t="s">
        <v>941</v>
      </c>
      <c r="AA429" s="62" t="s">
        <v>942</v>
      </c>
      <c r="AB429" s="62" t="n">
        <v>1</v>
      </c>
      <c r="AC429" s="62" t="n">
        <v>0</v>
      </c>
      <c r="AD429" s="62" t="n">
        <v>1</v>
      </c>
      <c r="AE429" s="62" t="n">
        <f aca="false">IF(AND(Dashboard!$C$9="Yes",AC429=1),0,1)</f>
        <v>1</v>
      </c>
      <c r="AF429" s="62" t="n">
        <v>1</v>
      </c>
    </row>
    <row r="430" customFormat="false" ht="15" hidden="false" customHeight="false" outlineLevel="0" collapsed="false">
      <c r="A430" s="62" t="n">
        <v>429</v>
      </c>
      <c r="B430" s="63" t="n">
        <v>46238.9646759259</v>
      </c>
      <c r="C430" s="64" t="n">
        <v>46238</v>
      </c>
      <c r="D430" s="62" t="s">
        <v>501</v>
      </c>
      <c r="E430" s="62" t="s">
        <v>212</v>
      </c>
      <c r="F430" s="62" t="s">
        <v>212</v>
      </c>
      <c r="G430" s="62" t="s">
        <v>213</v>
      </c>
      <c r="H430" s="62" t="s">
        <v>58</v>
      </c>
      <c r="I430" s="62" t="s">
        <v>49</v>
      </c>
      <c r="J430" s="62" t="s">
        <v>146</v>
      </c>
      <c r="K430" s="62" t="s">
        <v>175</v>
      </c>
      <c r="L430" s="62" t="s">
        <v>148</v>
      </c>
      <c r="M430" s="62" t="n">
        <v>0</v>
      </c>
      <c r="N430" s="62" t="n">
        <v>1</v>
      </c>
      <c r="O430" s="62" t="n">
        <v>1</v>
      </c>
      <c r="P430" s="62" t="n">
        <v>1</v>
      </c>
      <c r="Q430" s="62" t="n">
        <v>0</v>
      </c>
      <c r="R430" s="62" t="n">
        <v>0</v>
      </c>
      <c r="S430" s="62" t="n">
        <v>0</v>
      </c>
      <c r="T430" s="62" t="n">
        <v>0</v>
      </c>
      <c r="U430" s="62"/>
      <c r="V430" s="62"/>
      <c r="W430" s="62"/>
      <c r="X430" s="62"/>
      <c r="Y430" s="62"/>
      <c r="Z430" s="62" t="s">
        <v>943</v>
      </c>
      <c r="AA430" s="62" t="s">
        <v>944</v>
      </c>
      <c r="AB430" s="62" t="n">
        <v>1</v>
      </c>
      <c r="AC430" s="62" t="n">
        <v>0</v>
      </c>
      <c r="AD430" s="62" t="n">
        <v>1</v>
      </c>
      <c r="AE430" s="62" t="n">
        <f aca="false">IF(AND(Dashboard!$C$9="Yes",AC430=1),0,1)</f>
        <v>1</v>
      </c>
      <c r="AF430" s="62" t="n">
        <v>1</v>
      </c>
    </row>
    <row r="431" customFormat="false" ht="15" hidden="false" customHeight="false" outlineLevel="0" collapsed="false">
      <c r="A431" s="62" t="n">
        <v>430</v>
      </c>
      <c r="B431" s="63" t="n">
        <v>46239.0163888889</v>
      </c>
      <c r="C431" s="64" t="n">
        <v>46238</v>
      </c>
      <c r="D431" s="62" t="s">
        <v>501</v>
      </c>
      <c r="E431" s="62" t="s">
        <v>207</v>
      </c>
      <c r="F431" s="62" t="s">
        <v>207</v>
      </c>
      <c r="G431" s="62" t="s">
        <v>208</v>
      </c>
      <c r="H431" s="62" t="s">
        <v>48</v>
      </c>
      <c r="I431" s="62" t="s">
        <v>49</v>
      </c>
      <c r="J431" s="62" t="s">
        <v>146</v>
      </c>
      <c r="K431" s="62" t="s">
        <v>209</v>
      </c>
      <c r="L431" s="62" t="s">
        <v>148</v>
      </c>
      <c r="M431" s="62" t="n">
        <v>0</v>
      </c>
      <c r="N431" s="62" t="n">
        <v>1</v>
      </c>
      <c r="O431" s="62" t="n">
        <v>1</v>
      </c>
      <c r="P431" s="62" t="n">
        <v>1</v>
      </c>
      <c r="Q431" s="62" t="n">
        <v>0</v>
      </c>
      <c r="R431" s="62" t="n">
        <v>0</v>
      </c>
      <c r="S431" s="62" t="n">
        <v>0</v>
      </c>
      <c r="T431" s="62" t="n">
        <v>0</v>
      </c>
      <c r="U431" s="62"/>
      <c r="V431" s="62"/>
      <c r="W431" s="62"/>
      <c r="X431" s="62"/>
      <c r="Y431" s="62"/>
      <c r="Z431" s="62" t="s">
        <v>945</v>
      </c>
      <c r="AA431" s="62" t="s">
        <v>946</v>
      </c>
      <c r="AB431" s="62" t="n">
        <v>1</v>
      </c>
      <c r="AC431" s="62" t="n">
        <v>0</v>
      </c>
      <c r="AD431" s="62" t="n">
        <v>1</v>
      </c>
      <c r="AE431" s="62" t="n">
        <f aca="false">IF(AND(Dashboard!$C$9="Yes",AC431=1),0,1)</f>
        <v>1</v>
      </c>
      <c r="AF431" s="62" t="n">
        <v>1</v>
      </c>
    </row>
    <row r="432" customFormat="false" ht="15" hidden="false" customHeight="false" outlineLevel="0" collapsed="false">
      <c r="A432" s="62" t="n">
        <v>431</v>
      </c>
      <c r="B432" s="63" t="n">
        <v>46239.034212963</v>
      </c>
      <c r="C432" s="64" t="n">
        <v>46238</v>
      </c>
      <c r="D432" s="62" t="s">
        <v>501</v>
      </c>
      <c r="E432" s="62" t="s">
        <v>207</v>
      </c>
      <c r="F432" s="62" t="s">
        <v>207</v>
      </c>
      <c r="G432" s="62" t="s">
        <v>208</v>
      </c>
      <c r="H432" s="62" t="s">
        <v>48</v>
      </c>
      <c r="I432" s="62" t="s">
        <v>49</v>
      </c>
      <c r="J432" s="62" t="s">
        <v>146</v>
      </c>
      <c r="K432" s="62" t="s">
        <v>209</v>
      </c>
      <c r="L432" s="62" t="s">
        <v>148</v>
      </c>
      <c r="M432" s="62" t="n">
        <v>0</v>
      </c>
      <c r="N432" s="62" t="n">
        <v>1</v>
      </c>
      <c r="O432" s="62" t="n">
        <v>1</v>
      </c>
      <c r="P432" s="62" t="n">
        <v>0</v>
      </c>
      <c r="Q432" s="62" t="n">
        <v>0</v>
      </c>
      <c r="R432" s="62" t="n">
        <v>1</v>
      </c>
      <c r="S432" s="62" t="n">
        <v>0</v>
      </c>
      <c r="T432" s="62" t="n">
        <v>0</v>
      </c>
      <c r="U432" s="62"/>
      <c r="V432" s="62"/>
      <c r="W432" s="62"/>
      <c r="X432" s="62"/>
      <c r="Y432" s="62"/>
      <c r="Z432" s="62" t="s">
        <v>945</v>
      </c>
      <c r="AA432" s="62" t="s">
        <v>947</v>
      </c>
      <c r="AB432" s="62" t="n">
        <v>1</v>
      </c>
      <c r="AC432" s="62" t="n">
        <v>0</v>
      </c>
      <c r="AD432" s="62" t="n">
        <v>1</v>
      </c>
      <c r="AE432" s="62" t="n">
        <f aca="false">IF(AND(Dashboard!$C$9="Yes",AC432=1),0,1)</f>
        <v>1</v>
      </c>
      <c r="AF432" s="62" t="n">
        <v>0</v>
      </c>
    </row>
    <row r="433" customFormat="false" ht="15" hidden="false" customHeight="false" outlineLevel="0" collapsed="false">
      <c r="A433" s="62" t="n">
        <v>432</v>
      </c>
      <c r="B433" s="63" t="n">
        <v>46239.0345601852</v>
      </c>
      <c r="C433" s="64" t="n">
        <v>46238</v>
      </c>
      <c r="D433" s="62" t="s">
        <v>501</v>
      </c>
      <c r="E433" s="62" t="s">
        <v>212</v>
      </c>
      <c r="F433" s="62" t="s">
        <v>212</v>
      </c>
      <c r="G433" s="62" t="s">
        <v>213</v>
      </c>
      <c r="H433" s="62" t="s">
        <v>58</v>
      </c>
      <c r="I433" s="62" t="s">
        <v>49</v>
      </c>
      <c r="J433" s="62" t="s">
        <v>146</v>
      </c>
      <c r="K433" s="62" t="s">
        <v>175</v>
      </c>
      <c r="L433" s="62" t="s">
        <v>148</v>
      </c>
      <c r="M433" s="62" t="n">
        <v>0</v>
      </c>
      <c r="N433" s="62" t="n">
        <v>1</v>
      </c>
      <c r="O433" s="62" t="n">
        <v>1</v>
      </c>
      <c r="P433" s="62" t="n">
        <v>1</v>
      </c>
      <c r="Q433" s="62" t="n">
        <v>0</v>
      </c>
      <c r="R433" s="62" t="n">
        <v>0</v>
      </c>
      <c r="S433" s="62" t="n">
        <v>0</v>
      </c>
      <c r="T433" s="62" t="n">
        <v>0</v>
      </c>
      <c r="U433" s="62"/>
      <c r="V433" s="62"/>
      <c r="W433" s="62"/>
      <c r="X433" s="62"/>
      <c r="Y433" s="62"/>
      <c r="Z433" s="62" t="s">
        <v>948</v>
      </c>
      <c r="AA433" s="62" t="s">
        <v>949</v>
      </c>
      <c r="AB433" s="62" t="n">
        <v>1</v>
      </c>
      <c r="AC433" s="62" t="n">
        <v>0</v>
      </c>
      <c r="AD433" s="62" t="n">
        <v>1</v>
      </c>
      <c r="AE433" s="62" t="n">
        <f aca="false">IF(AND(Dashboard!$C$9="Yes",AC433=1),0,1)</f>
        <v>1</v>
      </c>
      <c r="AF433" s="62" t="n">
        <v>0</v>
      </c>
    </row>
    <row r="434" customFormat="false" ht="15" hidden="false" customHeight="false" outlineLevel="0" collapsed="false">
      <c r="A434" s="62" t="n">
        <v>433</v>
      </c>
      <c r="B434" s="63" t="n">
        <v>46239.0392708333</v>
      </c>
      <c r="C434" s="64" t="n">
        <v>46238</v>
      </c>
      <c r="D434" s="62" t="s">
        <v>501</v>
      </c>
      <c r="E434" s="62" t="s">
        <v>180</v>
      </c>
      <c r="F434" s="62" t="s">
        <v>180</v>
      </c>
      <c r="G434" s="62" t="s">
        <v>181</v>
      </c>
      <c r="H434" s="62" t="s">
        <v>58</v>
      </c>
      <c r="I434" s="62" t="s">
        <v>49</v>
      </c>
      <c r="J434" s="62" t="s">
        <v>146</v>
      </c>
      <c r="K434" s="62" t="s">
        <v>175</v>
      </c>
      <c r="L434" s="62" t="s">
        <v>148</v>
      </c>
      <c r="M434" s="62" t="n">
        <v>0</v>
      </c>
      <c r="N434" s="62" t="n">
        <v>1</v>
      </c>
      <c r="O434" s="62" t="n">
        <v>1</v>
      </c>
      <c r="P434" s="62" t="n">
        <v>0</v>
      </c>
      <c r="Q434" s="62" t="n">
        <v>1</v>
      </c>
      <c r="R434" s="62" t="n">
        <v>0</v>
      </c>
      <c r="S434" s="62" t="n">
        <v>0</v>
      </c>
      <c r="T434" s="62" t="n">
        <v>0</v>
      </c>
      <c r="U434" s="62"/>
      <c r="V434" s="62"/>
      <c r="W434" s="62"/>
      <c r="X434" s="62"/>
      <c r="Y434" s="62"/>
      <c r="Z434" s="62" t="s">
        <v>950</v>
      </c>
      <c r="AA434" s="62" t="s">
        <v>950</v>
      </c>
      <c r="AB434" s="62" t="n">
        <v>1</v>
      </c>
      <c r="AC434" s="62" t="n">
        <v>0</v>
      </c>
      <c r="AD434" s="62" t="n">
        <v>1</v>
      </c>
      <c r="AE434" s="62" t="n">
        <f aca="false">IF(AND(Dashboard!$C$9="Yes",AC434=1),0,1)</f>
        <v>1</v>
      </c>
      <c r="AF434" s="62" t="n">
        <v>1</v>
      </c>
    </row>
    <row r="435" customFormat="false" ht="15" hidden="false" customHeight="false" outlineLevel="0" collapsed="false">
      <c r="A435" s="62" t="n">
        <v>434</v>
      </c>
      <c r="B435" s="63" t="n">
        <v>46239.0428472222</v>
      </c>
      <c r="C435" s="64" t="n">
        <v>46238</v>
      </c>
      <c r="D435" s="62" t="s">
        <v>501</v>
      </c>
      <c r="E435" s="62" t="s">
        <v>307</v>
      </c>
      <c r="F435" s="62" t="s">
        <v>308</v>
      </c>
      <c r="G435" s="62" t="s">
        <v>153</v>
      </c>
      <c r="H435" s="62" t="s">
        <v>153</v>
      </c>
      <c r="I435" s="62" t="s">
        <v>153</v>
      </c>
      <c r="J435" s="62" t="s">
        <v>64</v>
      </c>
      <c r="K435" s="62" t="s">
        <v>64</v>
      </c>
      <c r="L435" s="62" t="s">
        <v>4</v>
      </c>
      <c r="M435" s="62" t="n">
        <v>1</v>
      </c>
      <c r="N435" s="62" t="n">
        <v>0</v>
      </c>
      <c r="O435" s="62" t="n">
        <v>1</v>
      </c>
      <c r="P435" s="62" t="n">
        <v>0</v>
      </c>
      <c r="Q435" s="62" t="n">
        <v>0</v>
      </c>
      <c r="R435" s="62" t="n">
        <v>0</v>
      </c>
      <c r="S435" s="62" t="n">
        <v>0</v>
      </c>
      <c r="T435" s="62" t="n">
        <v>0</v>
      </c>
      <c r="U435" s="62"/>
      <c r="V435" s="62"/>
      <c r="W435" s="62"/>
      <c r="X435" s="62"/>
      <c r="Y435" s="62"/>
      <c r="Z435" s="62" t="s">
        <v>951</v>
      </c>
      <c r="AA435" s="62" t="s">
        <v>952</v>
      </c>
      <c r="AB435" s="62" t="n">
        <v>1</v>
      </c>
      <c r="AC435" s="62" t="n">
        <v>0</v>
      </c>
      <c r="AD435" s="62" t="n">
        <v>0</v>
      </c>
      <c r="AE435" s="62" t="n">
        <f aca="false">IF(AND(Dashboard!$C$9="Yes",AC435=1),0,1)</f>
        <v>1</v>
      </c>
      <c r="AF435" s="62" t="n">
        <v>0</v>
      </c>
    </row>
    <row r="436" customFormat="false" ht="15" hidden="false" customHeight="false" outlineLevel="0" collapsed="false">
      <c r="A436" s="62" t="n">
        <v>435</v>
      </c>
      <c r="B436" s="63" t="n">
        <v>46239.0435185185</v>
      </c>
      <c r="C436" s="64" t="n">
        <v>46238</v>
      </c>
      <c r="D436" s="62" t="s">
        <v>501</v>
      </c>
      <c r="E436" s="62" t="s">
        <v>203</v>
      </c>
      <c r="F436" s="62" t="s">
        <v>203</v>
      </c>
      <c r="G436" s="62" t="s">
        <v>204</v>
      </c>
      <c r="H436" s="62" t="s">
        <v>51</v>
      </c>
      <c r="I436" s="62" t="s">
        <v>47</v>
      </c>
      <c r="J436" s="62" t="s">
        <v>146</v>
      </c>
      <c r="K436" s="62" t="s">
        <v>147</v>
      </c>
      <c r="L436" s="62" t="s">
        <v>148</v>
      </c>
      <c r="M436" s="62" t="n">
        <v>0</v>
      </c>
      <c r="N436" s="62" t="n">
        <v>1</v>
      </c>
      <c r="O436" s="62" t="n">
        <v>1</v>
      </c>
      <c r="P436" s="62" t="n">
        <v>1</v>
      </c>
      <c r="Q436" s="62" t="n">
        <v>0</v>
      </c>
      <c r="R436" s="62" t="n">
        <v>0</v>
      </c>
      <c r="S436" s="62" t="n">
        <v>0</v>
      </c>
      <c r="T436" s="62" t="n">
        <v>0</v>
      </c>
      <c r="U436" s="62"/>
      <c r="V436" s="62"/>
      <c r="W436" s="62"/>
      <c r="X436" s="62"/>
      <c r="Y436" s="62"/>
      <c r="Z436" s="62" t="s">
        <v>953</v>
      </c>
      <c r="AA436" s="62" t="s">
        <v>485</v>
      </c>
      <c r="AB436" s="62" t="n">
        <v>0</v>
      </c>
      <c r="AC436" s="62" t="n">
        <v>0</v>
      </c>
      <c r="AD436" s="62" t="n">
        <v>1</v>
      </c>
      <c r="AE436" s="62" t="n">
        <f aca="false">IF(AND(Dashboard!$C$9="Yes",AC436=1),0,1)</f>
        <v>1</v>
      </c>
      <c r="AF436" s="62" t="n">
        <v>1</v>
      </c>
    </row>
    <row r="437" customFormat="false" ht="15" hidden="false" customHeight="false" outlineLevel="0" collapsed="false">
      <c r="A437" s="62" t="n">
        <v>436</v>
      </c>
      <c r="B437" s="63" t="n">
        <v>46239.0444328704</v>
      </c>
      <c r="C437" s="64" t="n">
        <v>46238</v>
      </c>
      <c r="D437" s="62" t="s">
        <v>501</v>
      </c>
      <c r="E437" s="62" t="s">
        <v>144</v>
      </c>
      <c r="F437" s="62" t="s">
        <v>144</v>
      </c>
      <c r="G437" s="62" t="s">
        <v>145</v>
      </c>
      <c r="H437" s="62" t="s">
        <v>59</v>
      </c>
      <c r="I437" s="62" t="s">
        <v>47</v>
      </c>
      <c r="J437" s="62" t="s">
        <v>146</v>
      </c>
      <c r="K437" s="62" t="s">
        <v>147</v>
      </c>
      <c r="L437" s="62" t="s">
        <v>148</v>
      </c>
      <c r="M437" s="62" t="n">
        <v>0</v>
      </c>
      <c r="N437" s="62" t="n">
        <v>2</v>
      </c>
      <c r="O437" s="62" t="n">
        <v>2</v>
      </c>
      <c r="P437" s="62" t="n">
        <v>1</v>
      </c>
      <c r="Q437" s="62" t="n">
        <v>1</v>
      </c>
      <c r="R437" s="62" t="n">
        <v>0</v>
      </c>
      <c r="S437" s="62" t="n">
        <v>0</v>
      </c>
      <c r="T437" s="62" t="n">
        <v>0</v>
      </c>
      <c r="U437" s="62"/>
      <c r="V437" s="62"/>
      <c r="W437" s="62"/>
      <c r="X437" s="62"/>
      <c r="Y437" s="62"/>
      <c r="Z437" s="62" t="s">
        <v>954</v>
      </c>
      <c r="AA437" s="62" t="s">
        <v>955</v>
      </c>
      <c r="AB437" s="62" t="n">
        <v>0</v>
      </c>
      <c r="AC437" s="62" t="n">
        <v>0</v>
      </c>
      <c r="AD437" s="62" t="n">
        <v>1</v>
      </c>
      <c r="AE437" s="62" t="n">
        <f aca="false">IF(AND(Dashboard!$C$9="Yes",AC437=1),0,1)</f>
        <v>1</v>
      </c>
      <c r="AF437" s="62" t="n">
        <v>1</v>
      </c>
    </row>
    <row r="438" customFormat="false" ht="15" hidden="false" customHeight="false" outlineLevel="0" collapsed="false">
      <c r="A438" s="62" t="n">
        <v>437</v>
      </c>
      <c r="B438" s="63" t="n">
        <v>46239.0447106482</v>
      </c>
      <c r="C438" s="64" t="n">
        <v>46238</v>
      </c>
      <c r="D438" s="62" t="s">
        <v>501</v>
      </c>
      <c r="E438" s="62" t="s">
        <v>144</v>
      </c>
      <c r="F438" s="62" t="s">
        <v>144</v>
      </c>
      <c r="G438" s="62" t="s">
        <v>145</v>
      </c>
      <c r="H438" s="62" t="s">
        <v>59</v>
      </c>
      <c r="I438" s="62" t="s">
        <v>47</v>
      </c>
      <c r="J438" s="62" t="s">
        <v>146</v>
      </c>
      <c r="K438" s="62" t="s">
        <v>147</v>
      </c>
      <c r="L438" s="62" t="s">
        <v>148</v>
      </c>
      <c r="M438" s="62" t="n">
        <v>0</v>
      </c>
      <c r="N438" s="62" t="n">
        <v>2</v>
      </c>
      <c r="O438" s="62" t="n">
        <v>2</v>
      </c>
      <c r="P438" s="62" t="n">
        <v>1</v>
      </c>
      <c r="Q438" s="62" t="n">
        <v>1</v>
      </c>
      <c r="R438" s="62" t="n">
        <v>0</v>
      </c>
      <c r="S438" s="62" t="n">
        <v>0</v>
      </c>
      <c r="T438" s="62" t="n">
        <v>0</v>
      </c>
      <c r="U438" s="62"/>
      <c r="V438" s="62"/>
      <c r="W438" s="62"/>
      <c r="X438" s="62"/>
      <c r="Y438" s="62"/>
      <c r="Z438" s="62" t="s">
        <v>954</v>
      </c>
      <c r="AA438" s="62" t="s">
        <v>955</v>
      </c>
      <c r="AB438" s="62" t="n">
        <v>0</v>
      </c>
      <c r="AC438" s="62" t="n">
        <v>0</v>
      </c>
      <c r="AD438" s="62" t="n">
        <v>1</v>
      </c>
      <c r="AE438" s="62" t="n">
        <f aca="false">IF(AND(Dashboard!$C$9="Yes",AC438=1),0,1)</f>
        <v>1</v>
      </c>
      <c r="AF438" s="62" t="n">
        <v>0</v>
      </c>
    </row>
    <row r="439" customFormat="false" ht="15" hidden="false" customHeight="false" outlineLevel="0" collapsed="false">
      <c r="A439" s="62" t="n">
        <v>438</v>
      </c>
      <c r="B439" s="63" t="n">
        <v>46239.0484953704</v>
      </c>
      <c r="C439" s="64" t="n">
        <v>46238</v>
      </c>
      <c r="D439" s="62" t="s">
        <v>501</v>
      </c>
      <c r="E439" s="62" t="s">
        <v>239</v>
      </c>
      <c r="F439" s="62" t="s">
        <v>240</v>
      </c>
      <c r="G439" s="62" t="s">
        <v>153</v>
      </c>
      <c r="H439" s="62" t="s">
        <v>153</v>
      </c>
      <c r="I439" s="62" t="s">
        <v>153</v>
      </c>
      <c r="J439" s="62" t="s">
        <v>64</v>
      </c>
      <c r="K439" s="62" t="s">
        <v>64</v>
      </c>
      <c r="L439" s="62" t="s">
        <v>148</v>
      </c>
      <c r="M439" s="62" t="n">
        <v>0</v>
      </c>
      <c r="N439" s="62" t="n">
        <v>1</v>
      </c>
      <c r="O439" s="62" t="n">
        <v>1</v>
      </c>
      <c r="P439" s="62" t="n">
        <v>1</v>
      </c>
      <c r="Q439" s="62" t="n">
        <v>0</v>
      </c>
      <c r="R439" s="62" t="n">
        <v>0</v>
      </c>
      <c r="S439" s="62" t="n">
        <v>0</v>
      </c>
      <c r="T439" s="62" t="n">
        <v>0</v>
      </c>
      <c r="U439" s="62"/>
      <c r="V439" s="62"/>
      <c r="W439" s="62"/>
      <c r="X439" s="62"/>
      <c r="Y439" s="62"/>
      <c r="Z439" s="62" t="s">
        <v>956</v>
      </c>
      <c r="AA439" s="62" t="s">
        <v>957</v>
      </c>
      <c r="AB439" s="62" t="n">
        <v>1</v>
      </c>
      <c r="AC439" s="62" t="n">
        <v>0</v>
      </c>
      <c r="AD439" s="62" t="n">
        <v>0</v>
      </c>
      <c r="AE439" s="62" t="n">
        <f aca="false">IF(AND(Dashboard!$C$9="Yes",AC439=1),0,1)</f>
        <v>1</v>
      </c>
      <c r="AF439" s="62" t="n">
        <v>1</v>
      </c>
    </row>
    <row r="440" customFormat="false" ht="15" hidden="false" customHeight="false" outlineLevel="0" collapsed="false">
      <c r="A440" s="62" t="n">
        <v>439</v>
      </c>
      <c r="B440" s="63" t="n">
        <v>46239.0893865741</v>
      </c>
      <c r="C440" s="64" t="n">
        <v>46238</v>
      </c>
      <c r="D440" s="62" t="s">
        <v>501</v>
      </c>
      <c r="E440" s="62" t="s">
        <v>203</v>
      </c>
      <c r="F440" s="62" t="s">
        <v>203</v>
      </c>
      <c r="G440" s="62" t="s">
        <v>204</v>
      </c>
      <c r="H440" s="62" t="s">
        <v>51</v>
      </c>
      <c r="I440" s="62" t="s">
        <v>47</v>
      </c>
      <c r="J440" s="62" t="s">
        <v>146</v>
      </c>
      <c r="K440" s="62" t="s">
        <v>147</v>
      </c>
      <c r="L440" s="62" t="s">
        <v>148</v>
      </c>
      <c r="M440" s="62" t="n">
        <v>0</v>
      </c>
      <c r="N440" s="62" t="n">
        <v>1</v>
      </c>
      <c r="O440" s="62" t="n">
        <v>1</v>
      </c>
      <c r="P440" s="62" t="n">
        <v>1</v>
      </c>
      <c r="Q440" s="62" t="n">
        <v>0</v>
      </c>
      <c r="R440" s="62" t="n">
        <v>0</v>
      </c>
      <c r="S440" s="62" t="n">
        <v>0</v>
      </c>
      <c r="T440" s="62" t="n">
        <v>0</v>
      </c>
      <c r="U440" s="62"/>
      <c r="V440" s="62"/>
      <c r="W440" s="62"/>
      <c r="X440" s="62"/>
      <c r="Y440" s="62"/>
      <c r="Z440" s="62" t="s">
        <v>958</v>
      </c>
      <c r="AA440" s="62" t="s">
        <v>492</v>
      </c>
      <c r="AB440" s="62" t="n">
        <v>0</v>
      </c>
      <c r="AC440" s="62" t="n">
        <v>0</v>
      </c>
      <c r="AD440" s="62" t="n">
        <v>1</v>
      </c>
      <c r="AE440" s="62" t="n">
        <f aca="false">IF(AND(Dashboard!$C$9="Yes",AC440=1),0,1)</f>
        <v>1</v>
      </c>
      <c r="AF440" s="62" t="n">
        <v>0</v>
      </c>
    </row>
    <row r="441" customFormat="false" ht="15" hidden="false" customHeight="false" outlineLevel="0" collapsed="false">
      <c r="A441" s="62" t="n">
        <v>440</v>
      </c>
      <c r="B441" s="63" t="n">
        <v>46239.0943865741</v>
      </c>
      <c r="C441" s="64" t="n">
        <v>46238</v>
      </c>
      <c r="D441" s="62" t="s">
        <v>501</v>
      </c>
      <c r="E441" s="62" t="s">
        <v>212</v>
      </c>
      <c r="F441" s="62" t="s">
        <v>212</v>
      </c>
      <c r="G441" s="62" t="s">
        <v>213</v>
      </c>
      <c r="H441" s="62" t="s">
        <v>58</v>
      </c>
      <c r="I441" s="62" t="s">
        <v>49</v>
      </c>
      <c r="J441" s="62" t="s">
        <v>146</v>
      </c>
      <c r="K441" s="62" t="s">
        <v>175</v>
      </c>
      <c r="L441" s="62" t="s">
        <v>4</v>
      </c>
      <c r="M441" s="62" t="n">
        <v>1</v>
      </c>
      <c r="N441" s="62" t="n">
        <v>0</v>
      </c>
      <c r="O441" s="62" t="n">
        <v>1</v>
      </c>
      <c r="P441" s="62" t="n">
        <v>0</v>
      </c>
      <c r="Q441" s="62" t="n">
        <v>0</v>
      </c>
      <c r="R441" s="62" t="n">
        <v>0</v>
      </c>
      <c r="S441" s="62" t="n">
        <v>0</v>
      </c>
      <c r="T441" s="62" t="n">
        <v>0</v>
      </c>
      <c r="U441" s="62"/>
      <c r="V441" s="62"/>
      <c r="W441" s="62"/>
      <c r="X441" s="62"/>
      <c r="Y441" s="62"/>
      <c r="Z441" s="62" t="s">
        <v>959</v>
      </c>
      <c r="AA441" s="62" t="s">
        <v>960</v>
      </c>
      <c r="AB441" s="62" t="n">
        <v>1</v>
      </c>
      <c r="AC441" s="62" t="n">
        <v>0</v>
      </c>
      <c r="AD441" s="62" t="n">
        <v>1</v>
      </c>
      <c r="AE441" s="62" t="n">
        <f aca="false">IF(AND(Dashboard!$C$9="Yes",AC441=1),0,1)</f>
        <v>1</v>
      </c>
      <c r="AF441" s="62" t="n">
        <v>0</v>
      </c>
    </row>
    <row r="442" customFormat="false" ht="15" hidden="false" customHeight="false" outlineLevel="0" collapsed="false">
      <c r="A442" s="62" t="n">
        <v>441</v>
      </c>
      <c r="B442" s="63" t="n">
        <v>46239.0968287037</v>
      </c>
      <c r="C442" s="64" t="n">
        <v>46238</v>
      </c>
      <c r="D442" s="62" t="s">
        <v>501</v>
      </c>
      <c r="E442" s="62" t="s">
        <v>865</v>
      </c>
      <c r="F442" s="62" t="s">
        <v>865</v>
      </c>
      <c r="G442" s="62" t="s">
        <v>866</v>
      </c>
      <c r="H442" s="62" t="s">
        <v>46</v>
      </c>
      <c r="I442" s="62" t="s">
        <v>47</v>
      </c>
      <c r="J442" s="62" t="s">
        <v>146</v>
      </c>
      <c r="K442" s="62" t="s">
        <v>209</v>
      </c>
      <c r="L442" s="62" t="s">
        <v>148</v>
      </c>
      <c r="M442" s="62" t="n">
        <v>0</v>
      </c>
      <c r="N442" s="62" t="n">
        <v>1</v>
      </c>
      <c r="O442" s="62" t="n">
        <v>1</v>
      </c>
      <c r="P442" s="62" t="n">
        <v>1</v>
      </c>
      <c r="Q442" s="62" t="n">
        <v>0</v>
      </c>
      <c r="R442" s="62" t="n">
        <v>0</v>
      </c>
      <c r="S442" s="62" t="n">
        <v>0</v>
      </c>
      <c r="T442" s="62" t="n">
        <v>0</v>
      </c>
      <c r="U442" s="62"/>
      <c r="V442" s="62"/>
      <c r="W442" s="62"/>
      <c r="X442" s="62"/>
      <c r="Y442" s="62"/>
      <c r="Z442" s="62" t="s">
        <v>961</v>
      </c>
      <c r="AA442" s="62" t="s">
        <v>962</v>
      </c>
      <c r="AB442" s="62" t="n">
        <v>1</v>
      </c>
      <c r="AC442" s="62" t="n">
        <v>0</v>
      </c>
      <c r="AD442" s="62" t="n">
        <v>1</v>
      </c>
      <c r="AE442" s="62" t="n">
        <f aca="false">IF(AND(Dashboard!$C$9="Yes",AC442=1),0,1)</f>
        <v>1</v>
      </c>
      <c r="AF442" s="62" t="n">
        <v>1</v>
      </c>
    </row>
    <row r="443" customFormat="false" ht="15" hidden="false" customHeight="false" outlineLevel="0" collapsed="false">
      <c r="A443" s="62" t="n">
        <v>442</v>
      </c>
      <c r="B443" s="63" t="n">
        <v>46239.106875</v>
      </c>
      <c r="C443" s="64" t="n">
        <v>46238</v>
      </c>
      <c r="D443" s="62" t="s">
        <v>501</v>
      </c>
      <c r="E443" s="62" t="s">
        <v>865</v>
      </c>
      <c r="F443" s="62" t="s">
        <v>865</v>
      </c>
      <c r="G443" s="62" t="s">
        <v>866</v>
      </c>
      <c r="H443" s="62" t="s">
        <v>46</v>
      </c>
      <c r="I443" s="62" t="s">
        <v>47</v>
      </c>
      <c r="J443" s="62" t="s">
        <v>146</v>
      </c>
      <c r="K443" s="62" t="s">
        <v>209</v>
      </c>
      <c r="L443" s="62" t="s">
        <v>148</v>
      </c>
      <c r="M443" s="62" t="n">
        <v>0</v>
      </c>
      <c r="N443" s="62" t="n">
        <v>2</v>
      </c>
      <c r="O443" s="62" t="n">
        <v>2</v>
      </c>
      <c r="P443" s="62" t="n">
        <v>1</v>
      </c>
      <c r="Q443" s="62" t="n">
        <v>1</v>
      </c>
      <c r="R443" s="62" t="n">
        <v>0</v>
      </c>
      <c r="S443" s="62" t="n">
        <v>0</v>
      </c>
      <c r="T443" s="62" t="n">
        <v>0</v>
      </c>
      <c r="U443" s="62"/>
      <c r="V443" s="62"/>
      <c r="W443" s="62"/>
      <c r="X443" s="62"/>
      <c r="Y443" s="62"/>
      <c r="Z443" s="62" t="s">
        <v>963</v>
      </c>
      <c r="AA443" s="62" t="s">
        <v>964</v>
      </c>
      <c r="AB443" s="62" t="n">
        <v>1</v>
      </c>
      <c r="AC443" s="62" t="n">
        <v>0</v>
      </c>
      <c r="AD443" s="62" t="n">
        <v>1</v>
      </c>
      <c r="AE443" s="62" t="n">
        <f aca="false">IF(AND(Dashboard!$C$9="Yes",AC443=1),0,1)</f>
        <v>1</v>
      </c>
      <c r="AF443" s="62" t="n">
        <v>0</v>
      </c>
    </row>
    <row r="444" customFormat="false" ht="15" hidden="false" customHeight="false" outlineLevel="0" collapsed="false">
      <c r="A444" s="62" t="n">
        <v>443</v>
      </c>
      <c r="B444" s="63" t="n">
        <v>46239.1361342593</v>
      </c>
      <c r="C444" s="64" t="n">
        <v>46238</v>
      </c>
      <c r="D444" s="62" t="s">
        <v>501</v>
      </c>
      <c r="E444" s="62" t="s">
        <v>518</v>
      </c>
      <c r="F444" s="62" t="s">
        <v>518</v>
      </c>
      <c r="G444" s="62" t="s">
        <v>519</v>
      </c>
      <c r="H444" s="62" t="s">
        <v>52</v>
      </c>
      <c r="I444" s="62" t="s">
        <v>47</v>
      </c>
      <c r="J444" s="62" t="s">
        <v>146</v>
      </c>
      <c r="K444" s="62" t="s">
        <v>147</v>
      </c>
      <c r="L444" s="62" t="s">
        <v>148</v>
      </c>
      <c r="M444" s="62" t="n">
        <v>0</v>
      </c>
      <c r="N444" s="62" t="n">
        <v>1</v>
      </c>
      <c r="O444" s="62" t="n">
        <v>1</v>
      </c>
      <c r="P444" s="62" t="n">
        <v>1</v>
      </c>
      <c r="Q444" s="62" t="n">
        <v>0</v>
      </c>
      <c r="R444" s="62" t="n">
        <v>0</v>
      </c>
      <c r="S444" s="62" t="n">
        <v>0</v>
      </c>
      <c r="T444" s="62" t="n">
        <v>0</v>
      </c>
      <c r="U444" s="62"/>
      <c r="V444" s="62"/>
      <c r="W444" s="62"/>
      <c r="X444" s="62"/>
      <c r="Y444" s="62"/>
      <c r="Z444" s="62" t="s">
        <v>965</v>
      </c>
      <c r="AA444" s="62" t="s">
        <v>966</v>
      </c>
      <c r="AB444" s="62" t="n">
        <v>1</v>
      </c>
      <c r="AC444" s="62" t="n">
        <v>0</v>
      </c>
      <c r="AD444" s="62" t="n">
        <v>1</v>
      </c>
      <c r="AE444" s="62" t="n">
        <f aca="false">IF(AND(Dashboard!$C$9="Yes",AC444=1),0,1)</f>
        <v>1</v>
      </c>
      <c r="AF444" s="62" t="n">
        <v>1</v>
      </c>
    </row>
    <row r="445" customFormat="false" ht="15" hidden="false" customHeight="false" outlineLevel="0" collapsed="false">
      <c r="A445" s="62" t="n">
        <v>444</v>
      </c>
      <c r="B445" s="63" t="n">
        <v>46239.1643171296</v>
      </c>
      <c r="C445" s="64" t="n">
        <v>46238</v>
      </c>
      <c r="D445" s="62" t="s">
        <v>501</v>
      </c>
      <c r="E445" s="62" t="s">
        <v>967</v>
      </c>
      <c r="F445" s="62" t="s">
        <v>967</v>
      </c>
      <c r="G445" s="62" t="s">
        <v>968</v>
      </c>
      <c r="H445" s="62" t="s">
        <v>46</v>
      </c>
      <c r="I445" s="62" t="s">
        <v>47</v>
      </c>
      <c r="J445" s="62" t="s">
        <v>146</v>
      </c>
      <c r="K445" s="62" t="s">
        <v>209</v>
      </c>
      <c r="L445" s="62" t="s">
        <v>148</v>
      </c>
      <c r="M445" s="62" t="n">
        <v>0</v>
      </c>
      <c r="N445" s="62" t="n">
        <v>1</v>
      </c>
      <c r="O445" s="62" t="n">
        <v>1</v>
      </c>
      <c r="P445" s="62" t="n">
        <v>1</v>
      </c>
      <c r="Q445" s="62" t="n">
        <v>0</v>
      </c>
      <c r="R445" s="62" t="n">
        <v>0</v>
      </c>
      <c r="S445" s="62" t="n">
        <v>0</v>
      </c>
      <c r="T445" s="62" t="n">
        <v>0</v>
      </c>
      <c r="U445" s="62"/>
      <c r="V445" s="62"/>
      <c r="W445" s="62"/>
      <c r="X445" s="62"/>
      <c r="Y445" s="62"/>
      <c r="Z445" s="62" t="s">
        <v>969</v>
      </c>
      <c r="AA445" s="62" t="s">
        <v>970</v>
      </c>
      <c r="AB445" s="62" t="n">
        <v>1</v>
      </c>
      <c r="AC445" s="62" t="n">
        <v>0</v>
      </c>
      <c r="AD445" s="62" t="n">
        <v>1</v>
      </c>
      <c r="AE445" s="62" t="n">
        <f aca="false">IF(AND(Dashboard!$C$9="Yes",AC445=1),0,1)</f>
        <v>1</v>
      </c>
      <c r="AF445" s="62" t="n">
        <v>1</v>
      </c>
    </row>
    <row r="446" customFormat="false" ht="15" hidden="false" customHeight="false" outlineLevel="0" collapsed="false">
      <c r="A446" s="62" t="n">
        <v>445</v>
      </c>
      <c r="B446" s="63" t="n">
        <v>46239.1690740741</v>
      </c>
      <c r="C446" s="64" t="n">
        <v>46238</v>
      </c>
      <c r="D446" s="62" t="s">
        <v>501</v>
      </c>
      <c r="E446" s="62" t="s">
        <v>180</v>
      </c>
      <c r="F446" s="62" t="s">
        <v>180</v>
      </c>
      <c r="G446" s="62" t="s">
        <v>181</v>
      </c>
      <c r="H446" s="62" t="s">
        <v>58</v>
      </c>
      <c r="I446" s="62" t="s">
        <v>49</v>
      </c>
      <c r="J446" s="62" t="s">
        <v>146</v>
      </c>
      <c r="K446" s="62" t="s">
        <v>175</v>
      </c>
      <c r="L446" s="62" t="s">
        <v>4</v>
      </c>
      <c r="M446" s="62" t="n">
        <v>1</v>
      </c>
      <c r="N446" s="62" t="n">
        <v>0</v>
      </c>
      <c r="O446" s="62" t="n">
        <v>1</v>
      </c>
      <c r="P446" s="62" t="n">
        <v>0</v>
      </c>
      <c r="Q446" s="62" t="n">
        <v>0</v>
      </c>
      <c r="R446" s="62" t="n">
        <v>0</v>
      </c>
      <c r="S446" s="62" t="n">
        <v>0</v>
      </c>
      <c r="T446" s="62" t="n">
        <v>0</v>
      </c>
      <c r="U446" s="62"/>
      <c r="V446" s="62"/>
      <c r="W446" s="62"/>
      <c r="X446" s="62"/>
      <c r="Y446" s="62"/>
      <c r="Z446" s="62" t="s">
        <v>971</v>
      </c>
      <c r="AA446" s="62" t="s">
        <v>972</v>
      </c>
      <c r="AB446" s="62" t="n">
        <v>1</v>
      </c>
      <c r="AC446" s="62" t="n">
        <v>0</v>
      </c>
      <c r="AD446" s="62" t="n">
        <v>1</v>
      </c>
      <c r="AE446" s="62" t="n">
        <f aca="false">IF(AND(Dashboard!$C$9="Yes",AC446=1),0,1)</f>
        <v>1</v>
      </c>
      <c r="AF446" s="62" t="n">
        <v>0</v>
      </c>
    </row>
    <row r="447" customFormat="false" ht="15" hidden="false" customHeight="false" outlineLevel="0" collapsed="false">
      <c r="A447" s="62" t="n">
        <v>446</v>
      </c>
      <c r="B447" s="63" t="n">
        <v>46239.1756481482</v>
      </c>
      <c r="C447" s="64" t="n">
        <v>46238</v>
      </c>
      <c r="D447" s="62" t="s">
        <v>501</v>
      </c>
      <c r="E447" s="62" t="s">
        <v>865</v>
      </c>
      <c r="F447" s="62" t="s">
        <v>865</v>
      </c>
      <c r="G447" s="62" t="s">
        <v>866</v>
      </c>
      <c r="H447" s="62" t="s">
        <v>46</v>
      </c>
      <c r="I447" s="62" t="s">
        <v>47</v>
      </c>
      <c r="J447" s="62" t="s">
        <v>146</v>
      </c>
      <c r="K447" s="62" t="s">
        <v>209</v>
      </c>
      <c r="L447" s="62" t="s">
        <v>148</v>
      </c>
      <c r="M447" s="62" t="n">
        <v>0</v>
      </c>
      <c r="N447" s="62" t="n">
        <v>1</v>
      </c>
      <c r="O447" s="62" t="n">
        <v>1</v>
      </c>
      <c r="P447" s="62" t="n">
        <v>1</v>
      </c>
      <c r="Q447" s="62" t="n">
        <v>0</v>
      </c>
      <c r="R447" s="62" t="n">
        <v>0</v>
      </c>
      <c r="S447" s="62" t="n">
        <v>0</v>
      </c>
      <c r="T447" s="62" t="n">
        <v>0</v>
      </c>
      <c r="U447" s="62"/>
      <c r="V447" s="62"/>
      <c r="W447" s="62"/>
      <c r="X447" s="62"/>
      <c r="Y447" s="62"/>
      <c r="Z447" s="62" t="s">
        <v>973</v>
      </c>
      <c r="AA447" s="62" t="s">
        <v>974</v>
      </c>
      <c r="AB447" s="62" t="n">
        <v>1</v>
      </c>
      <c r="AC447" s="62" t="n">
        <v>0</v>
      </c>
      <c r="AD447" s="62" t="n">
        <v>1</v>
      </c>
      <c r="AE447" s="62" t="n">
        <f aca="false">IF(AND(Dashboard!$C$9="Yes",AC447=1),0,1)</f>
        <v>1</v>
      </c>
      <c r="AF447" s="62" t="n">
        <v>0</v>
      </c>
    </row>
    <row r="448" customFormat="false" ht="15" hidden="false" customHeight="false" outlineLevel="0" collapsed="false">
      <c r="A448" s="62" t="n">
        <v>447</v>
      </c>
      <c r="B448" s="63" t="n">
        <v>46239.215474537</v>
      </c>
      <c r="C448" s="64" t="n">
        <v>46238</v>
      </c>
      <c r="D448" s="62" t="s">
        <v>501</v>
      </c>
      <c r="E448" s="62" t="s">
        <v>239</v>
      </c>
      <c r="F448" s="62" t="s">
        <v>240</v>
      </c>
      <c r="G448" s="62" t="s">
        <v>153</v>
      </c>
      <c r="H448" s="62" t="s">
        <v>153</v>
      </c>
      <c r="I448" s="62" t="s">
        <v>153</v>
      </c>
      <c r="J448" s="62" t="s">
        <v>64</v>
      </c>
      <c r="K448" s="62" t="s">
        <v>64</v>
      </c>
      <c r="L448" s="62" t="s">
        <v>148</v>
      </c>
      <c r="M448" s="62" t="n">
        <v>0</v>
      </c>
      <c r="N448" s="62" t="n">
        <v>1</v>
      </c>
      <c r="O448" s="62" t="n">
        <v>1</v>
      </c>
      <c r="P448" s="62" t="n">
        <v>1</v>
      </c>
      <c r="Q448" s="62" t="n">
        <v>0</v>
      </c>
      <c r="R448" s="62" t="n">
        <v>0</v>
      </c>
      <c r="S448" s="62" t="n">
        <v>0</v>
      </c>
      <c r="T448" s="62" t="n">
        <v>0</v>
      </c>
      <c r="U448" s="62"/>
      <c r="V448" s="62"/>
      <c r="W448" s="62"/>
      <c r="X448" s="62"/>
      <c r="Y448" s="62"/>
      <c r="Z448" s="62" t="s">
        <v>975</v>
      </c>
      <c r="AA448" s="62" t="s">
        <v>976</v>
      </c>
      <c r="AB448" s="62" t="n">
        <v>1</v>
      </c>
      <c r="AC448" s="62" t="n">
        <v>0</v>
      </c>
      <c r="AD448" s="62" t="n">
        <v>0</v>
      </c>
      <c r="AE448" s="62" t="n">
        <f aca="false">IF(AND(Dashboard!$C$9="Yes",AC448=1),0,1)</f>
        <v>1</v>
      </c>
      <c r="AF448" s="62" t="n">
        <v>0</v>
      </c>
    </row>
    <row r="449" customFormat="false" ht="15" hidden="false" customHeight="false" outlineLevel="0" collapsed="false">
      <c r="A449" s="62" t="n">
        <v>448</v>
      </c>
      <c r="B449" s="63" t="n">
        <v>46239.2324537037</v>
      </c>
      <c r="C449" s="64" t="n">
        <v>46238</v>
      </c>
      <c r="D449" s="62" t="s">
        <v>501</v>
      </c>
      <c r="E449" s="62" t="s">
        <v>203</v>
      </c>
      <c r="F449" s="62" t="s">
        <v>203</v>
      </c>
      <c r="G449" s="62" t="s">
        <v>204</v>
      </c>
      <c r="H449" s="62" t="s">
        <v>51</v>
      </c>
      <c r="I449" s="62" t="s">
        <v>47</v>
      </c>
      <c r="J449" s="62" t="s">
        <v>146</v>
      </c>
      <c r="K449" s="62" t="s">
        <v>147</v>
      </c>
      <c r="L449" s="62" t="s">
        <v>148</v>
      </c>
      <c r="M449" s="62" t="n">
        <v>0</v>
      </c>
      <c r="N449" s="62" t="n">
        <v>1</v>
      </c>
      <c r="O449" s="62" t="n">
        <v>1</v>
      </c>
      <c r="P449" s="62" t="n">
        <v>1</v>
      </c>
      <c r="Q449" s="62" t="n">
        <v>0</v>
      </c>
      <c r="R449" s="62" t="n">
        <v>0</v>
      </c>
      <c r="S449" s="62" t="n">
        <v>0</v>
      </c>
      <c r="T449" s="62" t="n">
        <v>0</v>
      </c>
      <c r="U449" s="62"/>
      <c r="V449" s="62"/>
      <c r="W449" s="62"/>
      <c r="X449" s="62"/>
      <c r="Y449" s="62"/>
      <c r="Z449" s="62" t="s">
        <v>977</v>
      </c>
      <c r="AA449" s="62" t="s">
        <v>485</v>
      </c>
      <c r="AB449" s="62" t="n">
        <v>0</v>
      </c>
      <c r="AC449" s="62" t="n">
        <v>0</v>
      </c>
      <c r="AD449" s="62" t="n">
        <v>1</v>
      </c>
      <c r="AE449" s="62" t="n">
        <f aca="false">IF(AND(Dashboard!$C$9="Yes",AC449=1),0,1)</f>
        <v>1</v>
      </c>
      <c r="AF449" s="62" t="n">
        <v>0</v>
      </c>
    </row>
    <row r="450" customFormat="false" ht="15" hidden="false" customHeight="false" outlineLevel="0" collapsed="false">
      <c r="A450" s="62" t="n">
        <v>449</v>
      </c>
      <c r="B450" s="63" t="n">
        <v>46239.2459953704</v>
      </c>
      <c r="C450" s="64" t="n">
        <v>46238</v>
      </c>
      <c r="D450" s="62" t="s">
        <v>501</v>
      </c>
      <c r="E450" s="62" t="s">
        <v>180</v>
      </c>
      <c r="F450" s="62" t="s">
        <v>180</v>
      </c>
      <c r="G450" s="62" t="s">
        <v>181</v>
      </c>
      <c r="H450" s="62" t="s">
        <v>58</v>
      </c>
      <c r="I450" s="62" t="s">
        <v>49</v>
      </c>
      <c r="J450" s="62" t="s">
        <v>146</v>
      </c>
      <c r="K450" s="62" t="s">
        <v>175</v>
      </c>
      <c r="L450" s="62" t="s">
        <v>4</v>
      </c>
      <c r="M450" s="62" t="n">
        <v>1</v>
      </c>
      <c r="N450" s="62" t="n">
        <v>0</v>
      </c>
      <c r="O450" s="62" t="n">
        <v>1</v>
      </c>
      <c r="P450" s="62" t="n">
        <v>0</v>
      </c>
      <c r="Q450" s="62" t="n">
        <v>0</v>
      </c>
      <c r="R450" s="62" t="n">
        <v>0</v>
      </c>
      <c r="S450" s="62" t="n">
        <v>0</v>
      </c>
      <c r="T450" s="62" t="n">
        <v>0</v>
      </c>
      <c r="U450" s="62"/>
      <c r="V450" s="62"/>
      <c r="W450" s="62"/>
      <c r="X450" s="62"/>
      <c r="Y450" s="62"/>
      <c r="Z450" s="62" t="s">
        <v>978</v>
      </c>
      <c r="AA450" s="62" t="s">
        <v>979</v>
      </c>
      <c r="AB450" s="62" t="n">
        <v>1</v>
      </c>
      <c r="AC450" s="62" t="n">
        <v>0</v>
      </c>
      <c r="AD450" s="62" t="n">
        <v>1</v>
      </c>
      <c r="AE450" s="62" t="n">
        <f aca="false">IF(AND(Dashboard!$C$9="Yes",AC450=1),0,1)</f>
        <v>1</v>
      </c>
      <c r="AF450" s="62" t="n">
        <v>0</v>
      </c>
    </row>
    <row r="451" customFormat="false" ht="15" hidden="false" customHeight="false" outlineLevel="0" collapsed="false">
      <c r="A451" s="62" t="n">
        <v>450</v>
      </c>
      <c r="B451" s="63" t="n">
        <v>46239.2476273148</v>
      </c>
      <c r="C451" s="64" t="n">
        <v>46238</v>
      </c>
      <c r="D451" s="62" t="s">
        <v>501</v>
      </c>
      <c r="E451" s="62" t="s">
        <v>180</v>
      </c>
      <c r="F451" s="62" t="s">
        <v>180</v>
      </c>
      <c r="G451" s="62" t="s">
        <v>181</v>
      </c>
      <c r="H451" s="62" t="s">
        <v>58</v>
      </c>
      <c r="I451" s="62" t="s">
        <v>49</v>
      </c>
      <c r="J451" s="62" t="s">
        <v>146</v>
      </c>
      <c r="K451" s="62" t="s">
        <v>175</v>
      </c>
      <c r="L451" s="62" t="s">
        <v>4</v>
      </c>
      <c r="M451" s="62" t="n">
        <v>1</v>
      </c>
      <c r="N451" s="62" t="n">
        <v>0</v>
      </c>
      <c r="O451" s="62" t="n">
        <v>1</v>
      </c>
      <c r="P451" s="62" t="n">
        <v>0</v>
      </c>
      <c r="Q451" s="62" t="n">
        <v>0</v>
      </c>
      <c r="R451" s="62" t="n">
        <v>0</v>
      </c>
      <c r="S451" s="62" t="n">
        <v>0</v>
      </c>
      <c r="T451" s="62" t="n">
        <v>0</v>
      </c>
      <c r="U451" s="62"/>
      <c r="V451" s="62"/>
      <c r="W451" s="62"/>
      <c r="X451" s="62"/>
      <c r="Y451" s="62"/>
      <c r="Z451" s="62" t="s">
        <v>978</v>
      </c>
      <c r="AA451" s="62" t="s">
        <v>979</v>
      </c>
      <c r="AB451" s="62" t="n">
        <v>1</v>
      </c>
      <c r="AC451" s="62" t="n">
        <v>1</v>
      </c>
      <c r="AD451" s="62" t="n">
        <v>1</v>
      </c>
      <c r="AE451" s="62" t="n">
        <f aca="false">IF(AND(Dashboard!$C$9="Yes",AC451=1),0,1)</f>
        <v>0</v>
      </c>
      <c r="AF451" s="62" t="n">
        <v>0</v>
      </c>
    </row>
    <row r="452" customFormat="false" ht="15" hidden="false" customHeight="false" outlineLevel="0" collapsed="false">
      <c r="A452" s="62" t="n">
        <v>451</v>
      </c>
      <c r="B452" s="63" t="n">
        <v>46239.2843171296</v>
      </c>
      <c r="C452" s="64" t="n">
        <v>46238</v>
      </c>
      <c r="D452" s="62" t="s">
        <v>501</v>
      </c>
      <c r="E452" s="62" t="s">
        <v>980</v>
      </c>
      <c r="F452" s="62" t="s">
        <v>981</v>
      </c>
      <c r="G452" s="62" t="s">
        <v>153</v>
      </c>
      <c r="H452" s="62" t="s">
        <v>153</v>
      </c>
      <c r="I452" s="62" t="s">
        <v>153</v>
      </c>
      <c r="J452" s="62" t="s">
        <v>64</v>
      </c>
      <c r="K452" s="62" t="s">
        <v>64</v>
      </c>
      <c r="L452" s="62" t="s">
        <v>148</v>
      </c>
      <c r="M452" s="62" t="n">
        <v>0</v>
      </c>
      <c r="N452" s="62" t="n">
        <v>1</v>
      </c>
      <c r="O452" s="62" t="n">
        <v>1</v>
      </c>
      <c r="P452" s="62" t="n">
        <v>0</v>
      </c>
      <c r="Q452" s="62" t="n">
        <v>1</v>
      </c>
      <c r="R452" s="62" t="n">
        <v>0</v>
      </c>
      <c r="S452" s="62" t="n">
        <v>0</v>
      </c>
      <c r="T452" s="62" t="n">
        <v>0</v>
      </c>
      <c r="U452" s="62"/>
      <c r="V452" s="62"/>
      <c r="W452" s="62"/>
      <c r="X452" s="62"/>
      <c r="Y452" s="62"/>
      <c r="Z452" s="62" t="s">
        <v>982</v>
      </c>
      <c r="AA452" s="62" t="s">
        <v>983</v>
      </c>
      <c r="AB452" s="62" t="n">
        <v>1</v>
      </c>
      <c r="AC452" s="62" t="n">
        <v>0</v>
      </c>
      <c r="AD452" s="62" t="n">
        <v>0</v>
      </c>
      <c r="AE452" s="62" t="n">
        <f aca="false">IF(AND(Dashboard!$C$9="Yes",AC452=1),0,1)</f>
        <v>1</v>
      </c>
      <c r="AF452" s="62" t="n">
        <v>1</v>
      </c>
    </row>
    <row r="453" customFormat="false" ht="15" hidden="false" customHeight="false" outlineLevel="0" collapsed="false">
      <c r="A453" s="62" t="n">
        <v>452</v>
      </c>
      <c r="B453" s="63" t="n">
        <v>46239.6599537037</v>
      </c>
      <c r="C453" s="64" t="n">
        <v>46239</v>
      </c>
      <c r="D453" s="62" t="s">
        <v>143</v>
      </c>
      <c r="E453" s="62" t="s">
        <v>160</v>
      </c>
      <c r="F453" s="62" t="s">
        <v>160</v>
      </c>
      <c r="G453" s="62" t="s">
        <v>161</v>
      </c>
      <c r="H453" s="62" t="s">
        <v>51</v>
      </c>
      <c r="I453" s="62" t="s">
        <v>47</v>
      </c>
      <c r="J453" s="62" t="s">
        <v>146</v>
      </c>
      <c r="K453" s="62" t="s">
        <v>147</v>
      </c>
      <c r="L453" s="62" t="s">
        <v>148</v>
      </c>
      <c r="M453" s="62" t="n">
        <v>0</v>
      </c>
      <c r="N453" s="62" t="n">
        <v>2</v>
      </c>
      <c r="O453" s="62" t="n">
        <v>2</v>
      </c>
      <c r="P453" s="62" t="n">
        <v>1</v>
      </c>
      <c r="Q453" s="62" t="n">
        <v>1</v>
      </c>
      <c r="R453" s="62" t="n">
        <v>0</v>
      </c>
      <c r="S453" s="62" t="n">
        <v>0</v>
      </c>
      <c r="T453" s="62" t="n">
        <v>0</v>
      </c>
      <c r="U453" s="62"/>
      <c r="V453" s="62"/>
      <c r="W453" s="62"/>
      <c r="X453" s="62"/>
      <c r="Y453" s="62"/>
      <c r="Z453" s="62" t="s">
        <v>984</v>
      </c>
      <c r="AA453" s="62" t="s">
        <v>985</v>
      </c>
      <c r="AB453" s="62" t="n">
        <v>1</v>
      </c>
      <c r="AC453" s="62" t="n">
        <v>0</v>
      </c>
      <c r="AD453" s="62" t="n">
        <v>1</v>
      </c>
      <c r="AE453" s="62" t="n">
        <f aca="false">IF(AND(Dashboard!$C$9="Yes",AC453=1),0,1)</f>
        <v>1</v>
      </c>
      <c r="AF453" s="62" t="n">
        <v>1</v>
      </c>
    </row>
    <row r="454" customFormat="false" ht="15" hidden="false" customHeight="false" outlineLevel="0" collapsed="false">
      <c r="A454" s="62" t="n">
        <v>453</v>
      </c>
      <c r="B454" s="63" t="n">
        <v>46239.6690393519</v>
      </c>
      <c r="C454" s="64" t="n">
        <v>46239</v>
      </c>
      <c r="D454" s="62" t="s">
        <v>143</v>
      </c>
      <c r="E454" s="62" t="s">
        <v>939</v>
      </c>
      <c r="F454" s="62" t="s">
        <v>939</v>
      </c>
      <c r="G454" s="62" t="s">
        <v>940</v>
      </c>
      <c r="H454" s="62" t="s">
        <v>57</v>
      </c>
      <c r="I454" s="62" t="s">
        <v>47</v>
      </c>
      <c r="J454" s="62" t="s">
        <v>146</v>
      </c>
      <c r="K454" s="62" t="s">
        <v>147</v>
      </c>
      <c r="L454" s="62" t="s">
        <v>4</v>
      </c>
      <c r="M454" s="62" t="n">
        <v>1</v>
      </c>
      <c r="N454" s="62" t="n">
        <v>0</v>
      </c>
      <c r="O454" s="62" t="n">
        <v>1</v>
      </c>
      <c r="P454" s="62" t="n">
        <v>0</v>
      </c>
      <c r="Q454" s="62" t="n">
        <v>0</v>
      </c>
      <c r="R454" s="62" t="n">
        <v>0</v>
      </c>
      <c r="S454" s="62" t="n">
        <v>0</v>
      </c>
      <c r="T454" s="62" t="n">
        <v>0</v>
      </c>
      <c r="U454" s="62"/>
      <c r="V454" s="62"/>
      <c r="W454" s="62"/>
      <c r="X454" s="62"/>
      <c r="Y454" s="62"/>
      <c r="Z454" s="62" t="s">
        <v>986</v>
      </c>
      <c r="AA454" s="62" t="s">
        <v>987</v>
      </c>
      <c r="AB454" s="62" t="n">
        <v>1</v>
      </c>
      <c r="AC454" s="62" t="n">
        <v>0</v>
      </c>
      <c r="AD454" s="62" t="n">
        <v>1</v>
      </c>
      <c r="AE454" s="62" t="n">
        <f aca="false">IF(AND(Dashboard!$C$9="Yes",AC454=1),0,1)</f>
        <v>1</v>
      </c>
      <c r="AF454" s="62" t="n">
        <v>1</v>
      </c>
    </row>
    <row r="455" customFormat="false" ht="15" hidden="false" customHeight="false" outlineLevel="0" collapsed="false">
      <c r="A455" s="62" t="n">
        <v>454</v>
      </c>
      <c r="B455" s="63" t="n">
        <v>46239.6871064815</v>
      </c>
      <c r="C455" s="64" t="n">
        <v>46239</v>
      </c>
      <c r="D455" s="62" t="s">
        <v>143</v>
      </c>
      <c r="E455" s="62" t="s">
        <v>586</v>
      </c>
      <c r="F455" s="62" t="s">
        <v>586</v>
      </c>
      <c r="G455" s="62" t="s">
        <v>587</v>
      </c>
      <c r="H455" s="62" t="s">
        <v>57</v>
      </c>
      <c r="I455" s="62" t="s">
        <v>47</v>
      </c>
      <c r="J455" s="62" t="s">
        <v>146</v>
      </c>
      <c r="K455" s="62" t="s">
        <v>175</v>
      </c>
      <c r="L455" s="62" t="s">
        <v>4</v>
      </c>
      <c r="M455" s="62" t="n">
        <v>1</v>
      </c>
      <c r="N455" s="62" t="n">
        <v>0</v>
      </c>
      <c r="O455" s="62" t="n">
        <v>1</v>
      </c>
      <c r="P455" s="62" t="n">
        <v>0</v>
      </c>
      <c r="Q455" s="62" t="n">
        <v>0</v>
      </c>
      <c r="R455" s="62" t="n">
        <v>0</v>
      </c>
      <c r="S455" s="62" t="n">
        <v>0</v>
      </c>
      <c r="T455" s="62" t="n">
        <v>0</v>
      </c>
      <c r="U455" s="62"/>
      <c r="V455" s="62"/>
      <c r="W455" s="62"/>
      <c r="X455" s="62"/>
      <c r="Y455" s="62"/>
      <c r="Z455" s="62" t="s">
        <v>988</v>
      </c>
      <c r="AA455" s="62" t="s">
        <v>989</v>
      </c>
      <c r="AB455" s="62" t="n">
        <v>1</v>
      </c>
      <c r="AC455" s="62" t="n">
        <v>0</v>
      </c>
      <c r="AD455" s="62" t="n">
        <v>1</v>
      </c>
      <c r="AE455" s="62" t="n">
        <f aca="false">IF(AND(Dashboard!$C$9="Yes",AC455=1),0,1)</f>
        <v>1</v>
      </c>
      <c r="AF455" s="62" t="n">
        <v>1</v>
      </c>
    </row>
    <row r="456" customFormat="false" ht="15" hidden="false" customHeight="false" outlineLevel="0" collapsed="false">
      <c r="A456" s="62" t="n">
        <v>455</v>
      </c>
      <c r="B456" s="63" t="n">
        <v>46239.7142939815</v>
      </c>
      <c r="C456" s="64" t="n">
        <v>46239</v>
      </c>
      <c r="D456" s="62" t="s">
        <v>143</v>
      </c>
      <c r="E456" s="62" t="s">
        <v>432</v>
      </c>
      <c r="F456" s="62" t="s">
        <v>433</v>
      </c>
      <c r="G456" s="62" t="s">
        <v>153</v>
      </c>
      <c r="H456" s="62" t="s">
        <v>153</v>
      </c>
      <c r="I456" s="62" t="s">
        <v>153</v>
      </c>
      <c r="J456" s="62" t="s">
        <v>64</v>
      </c>
      <c r="K456" s="62" t="s">
        <v>64</v>
      </c>
      <c r="L456" s="62" t="s">
        <v>148</v>
      </c>
      <c r="M456" s="62" t="n">
        <v>0</v>
      </c>
      <c r="N456" s="62" t="n">
        <v>1</v>
      </c>
      <c r="O456" s="62" t="n">
        <v>1</v>
      </c>
      <c r="P456" s="62" t="n">
        <v>1</v>
      </c>
      <c r="Q456" s="62" t="n">
        <v>0</v>
      </c>
      <c r="R456" s="62" t="n">
        <v>0</v>
      </c>
      <c r="S456" s="62" t="n">
        <v>0</v>
      </c>
      <c r="T456" s="62" t="n">
        <v>0</v>
      </c>
      <c r="U456" s="62"/>
      <c r="V456" s="62"/>
      <c r="W456" s="62"/>
      <c r="X456" s="62"/>
      <c r="Y456" s="62"/>
      <c r="Z456" s="62" t="s">
        <v>990</v>
      </c>
      <c r="AA456" s="62" t="s">
        <v>991</v>
      </c>
      <c r="AB456" s="62" t="n">
        <v>1</v>
      </c>
      <c r="AC456" s="62" t="n">
        <v>0</v>
      </c>
      <c r="AD456" s="62" t="n">
        <v>0</v>
      </c>
      <c r="AE456" s="62" t="n">
        <f aca="false">IF(AND(Dashboard!$C$9="Yes",AC456=1),0,1)</f>
        <v>1</v>
      </c>
      <c r="AF456" s="62" t="n">
        <v>1</v>
      </c>
    </row>
    <row r="457" customFormat="false" ht="15" hidden="false" customHeight="false" outlineLevel="0" collapsed="false">
      <c r="A457" s="62" t="n">
        <v>456</v>
      </c>
      <c r="B457" s="63" t="n">
        <v>46239.7562731481</v>
      </c>
      <c r="C457" s="64" t="n">
        <v>46239</v>
      </c>
      <c r="D457" s="62" t="s">
        <v>143</v>
      </c>
      <c r="E457" s="62" t="s">
        <v>432</v>
      </c>
      <c r="F457" s="62" t="s">
        <v>433</v>
      </c>
      <c r="G457" s="62" t="s">
        <v>153</v>
      </c>
      <c r="H457" s="62" t="s">
        <v>153</v>
      </c>
      <c r="I457" s="62" t="s">
        <v>153</v>
      </c>
      <c r="J457" s="62" t="s">
        <v>64</v>
      </c>
      <c r="K457" s="62" t="s">
        <v>64</v>
      </c>
      <c r="L457" s="62" t="s">
        <v>148</v>
      </c>
      <c r="M457" s="62" t="n">
        <v>0</v>
      </c>
      <c r="N457" s="62" t="n">
        <v>1</v>
      </c>
      <c r="O457" s="62" t="n">
        <v>1</v>
      </c>
      <c r="P457" s="62" t="n">
        <v>0</v>
      </c>
      <c r="Q457" s="62" t="n">
        <v>0</v>
      </c>
      <c r="R457" s="62" t="n">
        <v>1</v>
      </c>
      <c r="S457" s="62" t="n">
        <v>0</v>
      </c>
      <c r="T457" s="62" t="n">
        <v>0</v>
      </c>
      <c r="U457" s="62"/>
      <c r="V457" s="62"/>
      <c r="W457" s="62"/>
      <c r="X457" s="62"/>
      <c r="Y457" s="62"/>
      <c r="Z457" s="62" t="s">
        <v>992</v>
      </c>
      <c r="AA457" s="62" t="s">
        <v>993</v>
      </c>
      <c r="AB457" s="62" t="n">
        <v>1</v>
      </c>
      <c r="AC457" s="62" t="n">
        <v>0</v>
      </c>
      <c r="AD457" s="62" t="n">
        <v>0</v>
      </c>
      <c r="AE457" s="62" t="n">
        <f aca="false">IF(AND(Dashboard!$C$9="Yes",AC457=1),0,1)</f>
        <v>1</v>
      </c>
      <c r="AF457" s="62" t="n">
        <v>0</v>
      </c>
    </row>
    <row r="458" customFormat="false" ht="15" hidden="false" customHeight="false" outlineLevel="0" collapsed="false">
      <c r="A458" s="62" t="n">
        <v>457</v>
      </c>
      <c r="B458" s="63" t="n">
        <v>46239.8050925926</v>
      </c>
      <c r="C458" s="64" t="n">
        <v>46239</v>
      </c>
      <c r="D458" s="62" t="s">
        <v>143</v>
      </c>
      <c r="E458" s="62" t="s">
        <v>994</v>
      </c>
      <c r="F458" s="62" t="s">
        <v>586</v>
      </c>
      <c r="G458" s="62" t="s">
        <v>587</v>
      </c>
      <c r="H458" s="62" t="s">
        <v>57</v>
      </c>
      <c r="I458" s="62" t="s">
        <v>47</v>
      </c>
      <c r="J458" s="62" t="s">
        <v>146</v>
      </c>
      <c r="K458" s="62" t="s">
        <v>175</v>
      </c>
      <c r="L458" s="62" t="s">
        <v>148</v>
      </c>
      <c r="M458" s="62" t="n">
        <v>0</v>
      </c>
      <c r="N458" s="62" t="n">
        <v>1</v>
      </c>
      <c r="O458" s="62" t="n">
        <v>1</v>
      </c>
      <c r="P458" s="62" t="n">
        <v>1</v>
      </c>
      <c r="Q458" s="62" t="n">
        <v>0</v>
      </c>
      <c r="R458" s="62" t="n">
        <v>0</v>
      </c>
      <c r="S458" s="62" t="n">
        <v>0</v>
      </c>
      <c r="T458" s="62" t="n">
        <v>0</v>
      </c>
      <c r="U458" s="62"/>
      <c r="V458" s="62"/>
      <c r="W458" s="62"/>
      <c r="X458" s="62"/>
      <c r="Y458" s="62"/>
      <c r="Z458" s="62" t="s">
        <v>995</v>
      </c>
      <c r="AA458" s="62" t="s">
        <v>996</v>
      </c>
      <c r="AB458" s="62" t="n">
        <v>1</v>
      </c>
      <c r="AC458" s="62" t="n">
        <v>0</v>
      </c>
      <c r="AD458" s="62" t="n">
        <v>1</v>
      </c>
      <c r="AE458" s="62" t="n">
        <f aca="false">IF(AND(Dashboard!$C$9="Yes",AC458=1),0,1)</f>
        <v>1</v>
      </c>
      <c r="AF458" s="62" t="n">
        <v>0</v>
      </c>
    </row>
    <row r="459" customFormat="false" ht="15" hidden="false" customHeight="false" outlineLevel="0" collapsed="false">
      <c r="A459" s="62" t="n">
        <v>458</v>
      </c>
      <c r="B459" s="63" t="n">
        <v>46239.816412037</v>
      </c>
      <c r="C459" s="64" t="n">
        <v>46239</v>
      </c>
      <c r="D459" s="62" t="s">
        <v>143</v>
      </c>
      <c r="E459" s="62" t="s">
        <v>218</v>
      </c>
      <c r="F459" s="62" t="s">
        <v>218</v>
      </c>
      <c r="G459" s="62" t="s">
        <v>219</v>
      </c>
      <c r="H459" s="62" t="s">
        <v>51</v>
      </c>
      <c r="I459" s="62" t="s">
        <v>47</v>
      </c>
      <c r="J459" s="62" t="s">
        <v>146</v>
      </c>
      <c r="K459" s="62" t="s">
        <v>147</v>
      </c>
      <c r="L459" s="62" t="s">
        <v>148</v>
      </c>
      <c r="M459" s="62" t="n">
        <v>0</v>
      </c>
      <c r="N459" s="62" t="n">
        <v>1</v>
      </c>
      <c r="O459" s="62" t="n">
        <v>1</v>
      </c>
      <c r="P459" s="62" t="n">
        <v>0</v>
      </c>
      <c r="Q459" s="62" t="n">
        <v>0</v>
      </c>
      <c r="R459" s="62" t="n">
        <v>1</v>
      </c>
      <c r="S459" s="62" t="n">
        <v>0</v>
      </c>
      <c r="T459" s="62" t="n">
        <v>0</v>
      </c>
      <c r="U459" s="62"/>
      <c r="V459" s="62"/>
      <c r="W459" s="62"/>
      <c r="X459" s="62"/>
      <c r="Y459" s="62"/>
      <c r="Z459" s="62" t="s">
        <v>997</v>
      </c>
      <c r="AA459" s="62" t="s">
        <v>998</v>
      </c>
      <c r="AB459" s="62" t="n">
        <v>1</v>
      </c>
      <c r="AC459" s="62" t="n">
        <v>0</v>
      </c>
      <c r="AD459" s="62" t="n">
        <v>1</v>
      </c>
      <c r="AE459" s="62" t="n">
        <f aca="false">IF(AND(Dashboard!$C$9="Yes",AC459=1),0,1)</f>
        <v>1</v>
      </c>
      <c r="AF459" s="62" t="n">
        <v>1</v>
      </c>
    </row>
    <row r="460" customFormat="false" ht="15" hidden="false" customHeight="false" outlineLevel="0" collapsed="false">
      <c r="A460" s="62" t="n">
        <v>459</v>
      </c>
      <c r="B460" s="63" t="n">
        <v>46239.8325462963</v>
      </c>
      <c r="C460" s="64" t="n">
        <v>46239</v>
      </c>
      <c r="D460" s="62" t="s">
        <v>143</v>
      </c>
      <c r="E460" s="62" t="s">
        <v>999</v>
      </c>
      <c r="F460" s="62" t="s">
        <v>999</v>
      </c>
      <c r="G460" s="62" t="s">
        <v>1000</v>
      </c>
      <c r="H460" s="62" t="s">
        <v>46</v>
      </c>
      <c r="I460" s="62" t="s">
        <v>47</v>
      </c>
      <c r="J460" s="62" t="s">
        <v>146</v>
      </c>
      <c r="K460" s="62" t="s">
        <v>209</v>
      </c>
      <c r="L460" s="62" t="s">
        <v>148</v>
      </c>
      <c r="M460" s="62" t="n">
        <v>0</v>
      </c>
      <c r="N460" s="62" t="n">
        <v>1</v>
      </c>
      <c r="O460" s="62" t="n">
        <v>1</v>
      </c>
      <c r="P460" s="62" t="n">
        <v>1</v>
      </c>
      <c r="Q460" s="62" t="n">
        <v>0</v>
      </c>
      <c r="R460" s="62" t="n">
        <v>0</v>
      </c>
      <c r="S460" s="62" t="n">
        <v>0</v>
      </c>
      <c r="T460" s="62" t="n">
        <v>0</v>
      </c>
      <c r="U460" s="62"/>
      <c r="V460" s="62"/>
      <c r="W460" s="62"/>
      <c r="X460" s="62"/>
      <c r="Y460" s="62"/>
      <c r="Z460" s="62" t="s">
        <v>1001</v>
      </c>
      <c r="AA460" s="62" t="s">
        <v>1002</v>
      </c>
      <c r="AB460" s="62" t="n">
        <v>1</v>
      </c>
      <c r="AC460" s="62" t="n">
        <v>0</v>
      </c>
      <c r="AD460" s="62" t="n">
        <v>1</v>
      </c>
      <c r="AE460" s="62" t="n">
        <f aca="false">IF(AND(Dashboard!$C$9="Yes",AC460=1),0,1)</f>
        <v>1</v>
      </c>
      <c r="AF460" s="62" t="n">
        <v>1</v>
      </c>
    </row>
    <row r="461" customFormat="false" ht="15" hidden="false" customHeight="false" outlineLevel="0" collapsed="false">
      <c r="A461" s="62" t="n">
        <v>460</v>
      </c>
      <c r="B461" s="63" t="n">
        <v>46239.8622685185</v>
      </c>
      <c r="C461" s="64" t="n">
        <v>46239</v>
      </c>
      <c r="D461" s="62" t="s">
        <v>143</v>
      </c>
      <c r="E461" s="62" t="s">
        <v>151</v>
      </c>
      <c r="F461" s="62" t="s">
        <v>152</v>
      </c>
      <c r="G461" s="62" t="s">
        <v>153</v>
      </c>
      <c r="H461" s="62" t="s">
        <v>153</v>
      </c>
      <c r="I461" s="62" t="s">
        <v>153</v>
      </c>
      <c r="J461" s="62" t="s">
        <v>64</v>
      </c>
      <c r="K461" s="62" t="s">
        <v>64</v>
      </c>
      <c r="L461" s="62" t="s">
        <v>4</v>
      </c>
      <c r="M461" s="62" t="n">
        <v>1</v>
      </c>
      <c r="N461" s="62" t="n">
        <v>0</v>
      </c>
      <c r="O461" s="62" t="n">
        <v>1</v>
      </c>
      <c r="P461" s="62" t="n">
        <v>0</v>
      </c>
      <c r="Q461" s="62" t="n">
        <v>0</v>
      </c>
      <c r="R461" s="62" t="n">
        <v>0</v>
      </c>
      <c r="S461" s="62" t="n">
        <v>0</v>
      </c>
      <c r="T461" s="62" t="n">
        <v>0</v>
      </c>
      <c r="U461" s="62"/>
      <c r="V461" s="62"/>
      <c r="W461" s="62"/>
      <c r="X461" s="62"/>
      <c r="Y461" s="62"/>
      <c r="Z461" s="62" t="s">
        <v>1003</v>
      </c>
      <c r="AA461" s="62" t="s">
        <v>1004</v>
      </c>
      <c r="AB461" s="62" t="n">
        <v>1</v>
      </c>
      <c r="AC461" s="62" t="n">
        <v>0</v>
      </c>
      <c r="AD461" s="62" t="n">
        <v>0</v>
      </c>
      <c r="AE461" s="62" t="n">
        <f aca="false">IF(AND(Dashboard!$C$9="Yes",AC461=1),0,1)</f>
        <v>1</v>
      </c>
      <c r="AF461" s="62" t="n">
        <v>1</v>
      </c>
    </row>
    <row r="462" customFormat="false" ht="15" hidden="false" customHeight="false" outlineLevel="0" collapsed="false">
      <c r="A462" s="62" t="n">
        <v>461</v>
      </c>
      <c r="B462" s="63" t="n">
        <v>46239.8723958333</v>
      </c>
      <c r="C462" s="64" t="n">
        <v>46239</v>
      </c>
      <c r="D462" s="62" t="s">
        <v>143</v>
      </c>
      <c r="E462" s="62" t="s">
        <v>1005</v>
      </c>
      <c r="F462" s="62" t="s">
        <v>1005</v>
      </c>
      <c r="G462" s="62" t="s">
        <v>1006</v>
      </c>
      <c r="H462" s="62" t="s">
        <v>46</v>
      </c>
      <c r="I462" s="62" t="s">
        <v>47</v>
      </c>
      <c r="J462" s="62" t="s">
        <v>146</v>
      </c>
      <c r="K462" s="62" t="s">
        <v>209</v>
      </c>
      <c r="L462" s="62" t="s">
        <v>148</v>
      </c>
      <c r="M462" s="62" t="n">
        <v>0</v>
      </c>
      <c r="N462" s="62" t="n">
        <v>1</v>
      </c>
      <c r="O462" s="62" t="n">
        <v>1</v>
      </c>
      <c r="P462" s="62" t="n">
        <v>0</v>
      </c>
      <c r="Q462" s="62" t="n">
        <v>1</v>
      </c>
      <c r="R462" s="62" t="n">
        <v>0</v>
      </c>
      <c r="S462" s="62" t="n">
        <v>0</v>
      </c>
      <c r="T462" s="62" t="n">
        <v>0</v>
      </c>
      <c r="U462" s="62"/>
      <c r="V462" s="62"/>
      <c r="W462" s="62"/>
      <c r="X462" s="62"/>
      <c r="Y462" s="62"/>
      <c r="Z462" s="62" t="s">
        <v>1007</v>
      </c>
      <c r="AA462" s="62"/>
      <c r="AB462" s="62" t="n">
        <v>0</v>
      </c>
      <c r="AC462" s="62" t="n">
        <v>0</v>
      </c>
      <c r="AD462" s="62" t="n">
        <v>1</v>
      </c>
      <c r="AE462" s="62" t="n">
        <f aca="false">IF(AND(Dashboard!$C$9="Yes",AC462=1),0,1)</f>
        <v>1</v>
      </c>
      <c r="AF462" s="62" t="n">
        <v>1</v>
      </c>
    </row>
    <row r="463" customFormat="false" ht="15" hidden="false" customHeight="false" outlineLevel="0" collapsed="false">
      <c r="A463" s="62" t="n">
        <v>462</v>
      </c>
      <c r="B463" s="63" t="n">
        <v>46239.9005092593</v>
      </c>
      <c r="C463" s="64" t="n">
        <v>46239</v>
      </c>
      <c r="D463" s="62" t="s">
        <v>143</v>
      </c>
      <c r="E463" s="62" t="s">
        <v>203</v>
      </c>
      <c r="F463" s="62" t="s">
        <v>203</v>
      </c>
      <c r="G463" s="62" t="s">
        <v>204</v>
      </c>
      <c r="H463" s="62" t="s">
        <v>51</v>
      </c>
      <c r="I463" s="62" t="s">
        <v>47</v>
      </c>
      <c r="J463" s="62" t="s">
        <v>146</v>
      </c>
      <c r="K463" s="62" t="s">
        <v>147</v>
      </c>
      <c r="L463" s="62" t="s">
        <v>148</v>
      </c>
      <c r="M463" s="62" t="n">
        <v>0</v>
      </c>
      <c r="N463" s="62" t="n">
        <v>2</v>
      </c>
      <c r="O463" s="62" t="n">
        <v>2</v>
      </c>
      <c r="P463" s="62" t="n">
        <v>1</v>
      </c>
      <c r="Q463" s="62" t="n">
        <v>0</v>
      </c>
      <c r="R463" s="62" t="n">
        <v>1</v>
      </c>
      <c r="S463" s="62" t="n">
        <v>0</v>
      </c>
      <c r="T463" s="62" t="n">
        <v>0</v>
      </c>
      <c r="U463" s="62"/>
      <c r="V463" s="62"/>
      <c r="W463" s="62"/>
      <c r="X463" s="62"/>
      <c r="Y463" s="62"/>
      <c r="Z463" s="62" t="s">
        <v>1008</v>
      </c>
      <c r="AA463" s="62" t="s">
        <v>1009</v>
      </c>
      <c r="AB463" s="62" t="n">
        <v>1</v>
      </c>
      <c r="AC463" s="62" t="n">
        <v>0</v>
      </c>
      <c r="AD463" s="62" t="n">
        <v>1</v>
      </c>
      <c r="AE463" s="62" t="n">
        <f aca="false">IF(AND(Dashboard!$C$9="Yes",AC463=1),0,1)</f>
        <v>1</v>
      </c>
      <c r="AF463" s="62" t="n">
        <v>1</v>
      </c>
    </row>
    <row r="464" customFormat="false" ht="15" hidden="false" customHeight="false" outlineLevel="0" collapsed="false">
      <c r="A464" s="62" t="n">
        <v>463</v>
      </c>
      <c r="B464" s="63" t="n">
        <v>46239.9239351852</v>
      </c>
      <c r="C464" s="64" t="n">
        <v>46239</v>
      </c>
      <c r="D464" s="62" t="s">
        <v>143</v>
      </c>
      <c r="E464" s="62" t="s">
        <v>203</v>
      </c>
      <c r="F464" s="62" t="s">
        <v>203</v>
      </c>
      <c r="G464" s="62" t="s">
        <v>204</v>
      </c>
      <c r="H464" s="62" t="s">
        <v>51</v>
      </c>
      <c r="I464" s="62" t="s">
        <v>47</v>
      </c>
      <c r="J464" s="62" t="s">
        <v>146</v>
      </c>
      <c r="K464" s="62" t="s">
        <v>147</v>
      </c>
      <c r="L464" s="62" t="s">
        <v>148</v>
      </c>
      <c r="M464" s="62" t="n">
        <v>0</v>
      </c>
      <c r="N464" s="62" t="n">
        <v>1</v>
      </c>
      <c r="O464" s="62" t="n">
        <v>1</v>
      </c>
      <c r="P464" s="62" t="n">
        <v>0</v>
      </c>
      <c r="Q464" s="62" t="n">
        <v>0</v>
      </c>
      <c r="R464" s="62" t="n">
        <v>1</v>
      </c>
      <c r="S464" s="62" t="n">
        <v>0</v>
      </c>
      <c r="T464" s="62" t="n">
        <v>0</v>
      </c>
      <c r="U464" s="62"/>
      <c r="V464" s="62"/>
      <c r="W464" s="62"/>
      <c r="X464" s="62"/>
      <c r="Y464" s="62"/>
      <c r="Z464" s="62" t="s">
        <v>1008</v>
      </c>
      <c r="AA464" s="62" t="s">
        <v>485</v>
      </c>
      <c r="AB464" s="62" t="n">
        <v>0</v>
      </c>
      <c r="AC464" s="62" t="n">
        <v>0</v>
      </c>
      <c r="AD464" s="62" t="n">
        <v>1</v>
      </c>
      <c r="AE464" s="62" t="n">
        <f aca="false">IF(AND(Dashboard!$C$9="Yes",AC464=1),0,1)</f>
        <v>1</v>
      </c>
      <c r="AF464" s="62" t="n">
        <v>0</v>
      </c>
    </row>
    <row r="465" customFormat="false" ht="15" hidden="false" customHeight="false" outlineLevel="0" collapsed="false">
      <c r="A465" s="62" t="n">
        <v>464</v>
      </c>
      <c r="B465" s="63" t="n">
        <v>46240.0055324074</v>
      </c>
      <c r="C465" s="64" t="n">
        <v>46239</v>
      </c>
      <c r="D465" s="62" t="s">
        <v>143</v>
      </c>
      <c r="E465" s="62" t="s">
        <v>218</v>
      </c>
      <c r="F465" s="62" t="s">
        <v>218</v>
      </c>
      <c r="G465" s="62" t="s">
        <v>219</v>
      </c>
      <c r="H465" s="62" t="s">
        <v>51</v>
      </c>
      <c r="I465" s="62" t="s">
        <v>47</v>
      </c>
      <c r="J465" s="62" t="s">
        <v>146</v>
      </c>
      <c r="K465" s="62" t="s">
        <v>147</v>
      </c>
      <c r="L465" s="62" t="s">
        <v>4</v>
      </c>
      <c r="M465" s="62" t="n">
        <v>2</v>
      </c>
      <c r="N465" s="62" t="n">
        <v>0</v>
      </c>
      <c r="O465" s="62" t="n">
        <v>2</v>
      </c>
      <c r="P465" s="62" t="n">
        <v>0</v>
      </c>
      <c r="Q465" s="62" t="n">
        <v>0</v>
      </c>
      <c r="R465" s="62" t="n">
        <v>0</v>
      </c>
      <c r="S465" s="62" t="n">
        <v>0</v>
      </c>
      <c r="T465" s="62" t="n">
        <v>0</v>
      </c>
      <c r="U465" s="62"/>
      <c r="V465" s="62"/>
      <c r="W465" s="62"/>
      <c r="X465" s="62"/>
      <c r="Y465" s="62"/>
      <c r="Z465" s="62" t="s">
        <v>1010</v>
      </c>
      <c r="AA465" s="62" t="s">
        <v>1011</v>
      </c>
      <c r="AB465" s="62" t="n">
        <v>1</v>
      </c>
      <c r="AC465" s="62" t="n">
        <v>0</v>
      </c>
      <c r="AD465" s="62" t="n">
        <v>1</v>
      </c>
      <c r="AE465" s="62" t="n">
        <f aca="false">IF(AND(Dashboard!$C$9="Yes",AC465=1),0,1)</f>
        <v>1</v>
      </c>
      <c r="AF465" s="62" t="n">
        <v>0</v>
      </c>
    </row>
    <row r="466" customFormat="false" ht="15" hidden="false" customHeight="false" outlineLevel="0" collapsed="false">
      <c r="A466" s="62" t="n">
        <v>465</v>
      </c>
      <c r="B466" s="63" t="n">
        <v>46240.0163310185</v>
      </c>
      <c r="C466" s="64" t="n">
        <v>46239</v>
      </c>
      <c r="D466" s="62" t="s">
        <v>143</v>
      </c>
      <c r="E466" s="62" t="s">
        <v>239</v>
      </c>
      <c r="F466" s="62" t="s">
        <v>240</v>
      </c>
      <c r="G466" s="62" t="s">
        <v>153</v>
      </c>
      <c r="H466" s="62" t="s">
        <v>153</v>
      </c>
      <c r="I466" s="62" t="s">
        <v>153</v>
      </c>
      <c r="J466" s="62" t="s">
        <v>64</v>
      </c>
      <c r="K466" s="62" t="s">
        <v>64</v>
      </c>
      <c r="L466" s="62" t="s">
        <v>148</v>
      </c>
      <c r="M466" s="62" t="n">
        <v>0</v>
      </c>
      <c r="N466" s="62" t="n">
        <v>1</v>
      </c>
      <c r="O466" s="62" t="n">
        <v>1</v>
      </c>
      <c r="P466" s="62" t="n">
        <v>1</v>
      </c>
      <c r="Q466" s="62" t="n">
        <v>0</v>
      </c>
      <c r="R466" s="62" t="n">
        <v>0</v>
      </c>
      <c r="S466" s="62" t="n">
        <v>0</v>
      </c>
      <c r="T466" s="62" t="n">
        <v>0</v>
      </c>
      <c r="U466" s="62"/>
      <c r="V466" s="62"/>
      <c r="W466" s="62"/>
      <c r="X466" s="62"/>
      <c r="Y466" s="62"/>
      <c r="Z466" s="62" t="s">
        <v>1012</v>
      </c>
      <c r="AA466" s="62" t="s">
        <v>1013</v>
      </c>
      <c r="AB466" s="62" t="n">
        <v>1</v>
      </c>
      <c r="AC466" s="62" t="n">
        <v>0</v>
      </c>
      <c r="AD466" s="62" t="n">
        <v>0</v>
      </c>
      <c r="AE466" s="62" t="n">
        <f aca="false">IF(AND(Dashboard!$C$9="Yes",AC466=1),0,1)</f>
        <v>1</v>
      </c>
      <c r="AF466" s="62" t="n">
        <v>1</v>
      </c>
    </row>
    <row r="467" customFormat="false" ht="15" hidden="false" customHeight="false" outlineLevel="0" collapsed="false">
      <c r="A467" s="62" t="n">
        <v>466</v>
      </c>
      <c r="B467" s="63" t="n">
        <v>46240.029837963</v>
      </c>
      <c r="C467" s="64" t="n">
        <v>46239</v>
      </c>
      <c r="D467" s="62" t="s">
        <v>143</v>
      </c>
      <c r="E467" s="62" t="s">
        <v>144</v>
      </c>
      <c r="F467" s="62" t="s">
        <v>144</v>
      </c>
      <c r="G467" s="62" t="s">
        <v>145</v>
      </c>
      <c r="H467" s="62" t="s">
        <v>59</v>
      </c>
      <c r="I467" s="62" t="s">
        <v>47</v>
      </c>
      <c r="J467" s="62" t="s">
        <v>146</v>
      </c>
      <c r="K467" s="62" t="s">
        <v>147</v>
      </c>
      <c r="L467" s="62" t="s">
        <v>148</v>
      </c>
      <c r="M467" s="62" t="n">
        <v>0</v>
      </c>
      <c r="N467" s="62" t="n">
        <v>2</v>
      </c>
      <c r="O467" s="62" t="n">
        <v>2</v>
      </c>
      <c r="P467" s="62" t="n">
        <v>1</v>
      </c>
      <c r="Q467" s="62" t="n">
        <v>1</v>
      </c>
      <c r="R467" s="62" t="n">
        <v>0</v>
      </c>
      <c r="S467" s="62" t="n">
        <v>0</v>
      </c>
      <c r="T467" s="62" t="n">
        <v>0</v>
      </c>
      <c r="U467" s="62"/>
      <c r="V467" s="62"/>
      <c r="W467" s="62"/>
      <c r="X467" s="62"/>
      <c r="Y467" s="62"/>
      <c r="Z467" s="62" t="s">
        <v>1014</v>
      </c>
      <c r="AA467" s="62" t="s">
        <v>1015</v>
      </c>
      <c r="AB467" s="62" t="n">
        <v>0</v>
      </c>
      <c r="AC467" s="62" t="n">
        <v>0</v>
      </c>
      <c r="AD467" s="62" t="n">
        <v>1</v>
      </c>
      <c r="AE467" s="62" t="n">
        <f aca="false">IF(AND(Dashboard!$C$9="Yes",AC467=1),0,1)</f>
        <v>1</v>
      </c>
      <c r="AF467" s="62" t="n">
        <v>1</v>
      </c>
    </row>
    <row r="468" customFormat="false" ht="15" hidden="false" customHeight="false" outlineLevel="0" collapsed="false">
      <c r="A468" s="62" t="n">
        <v>467</v>
      </c>
      <c r="B468" s="63" t="n">
        <v>46240.0324884259</v>
      </c>
      <c r="C468" s="64" t="n">
        <v>46239</v>
      </c>
      <c r="D468" s="62" t="s">
        <v>143</v>
      </c>
      <c r="E468" s="62" t="s">
        <v>207</v>
      </c>
      <c r="F468" s="62" t="s">
        <v>207</v>
      </c>
      <c r="G468" s="62" t="s">
        <v>208</v>
      </c>
      <c r="H468" s="62" t="s">
        <v>48</v>
      </c>
      <c r="I468" s="62" t="s">
        <v>49</v>
      </c>
      <c r="J468" s="62" t="s">
        <v>146</v>
      </c>
      <c r="K468" s="62" t="s">
        <v>209</v>
      </c>
      <c r="L468" s="62" t="s">
        <v>148</v>
      </c>
      <c r="M468" s="62" t="n">
        <v>0</v>
      </c>
      <c r="N468" s="62" t="n">
        <v>1</v>
      </c>
      <c r="O468" s="62" t="n">
        <v>1</v>
      </c>
      <c r="P468" s="62" t="n">
        <v>1</v>
      </c>
      <c r="Q468" s="62" t="n">
        <v>0</v>
      </c>
      <c r="R468" s="62" t="n">
        <v>0</v>
      </c>
      <c r="S468" s="62" t="n">
        <v>0</v>
      </c>
      <c r="T468" s="62" t="n">
        <v>0</v>
      </c>
      <c r="U468" s="62"/>
      <c r="V468" s="62"/>
      <c r="W468" s="62"/>
      <c r="X468" s="62"/>
      <c r="Y468" s="62"/>
      <c r="Z468" s="62" t="s">
        <v>1016</v>
      </c>
      <c r="AA468" s="62" t="s">
        <v>1017</v>
      </c>
      <c r="AB468" s="62" t="n">
        <v>1</v>
      </c>
      <c r="AC468" s="62" t="n">
        <v>0</v>
      </c>
      <c r="AD468" s="62" t="n">
        <v>1</v>
      </c>
      <c r="AE468" s="62" t="n">
        <f aca="false">IF(AND(Dashboard!$C$9="Yes",AC468=1),0,1)</f>
        <v>1</v>
      </c>
      <c r="AF468" s="62" t="n">
        <v>1</v>
      </c>
    </row>
    <row r="469" customFormat="false" ht="15" hidden="false" customHeight="false" outlineLevel="0" collapsed="false">
      <c r="A469" s="62" t="n">
        <v>468</v>
      </c>
      <c r="B469" s="63" t="n">
        <v>46240.0599074074</v>
      </c>
      <c r="C469" s="64" t="n">
        <v>46239</v>
      </c>
      <c r="D469" s="62" t="s">
        <v>143</v>
      </c>
      <c r="E469" s="62" t="s">
        <v>239</v>
      </c>
      <c r="F469" s="62" t="s">
        <v>240</v>
      </c>
      <c r="G469" s="62" t="s">
        <v>153</v>
      </c>
      <c r="H469" s="62" t="s">
        <v>153</v>
      </c>
      <c r="I469" s="62" t="s">
        <v>153</v>
      </c>
      <c r="J469" s="62" t="s">
        <v>64</v>
      </c>
      <c r="K469" s="62" t="s">
        <v>64</v>
      </c>
      <c r="L469" s="62" t="s">
        <v>148</v>
      </c>
      <c r="M469" s="62" t="n">
        <v>0</v>
      </c>
      <c r="N469" s="62" t="n">
        <v>1</v>
      </c>
      <c r="O469" s="62" t="n">
        <v>1</v>
      </c>
      <c r="P469" s="62" t="n">
        <v>1</v>
      </c>
      <c r="Q469" s="62" t="n">
        <v>0</v>
      </c>
      <c r="R469" s="62" t="n">
        <v>0</v>
      </c>
      <c r="S469" s="62" t="n">
        <v>0</v>
      </c>
      <c r="T469" s="62" t="n">
        <v>0</v>
      </c>
      <c r="U469" s="62"/>
      <c r="V469" s="62"/>
      <c r="W469" s="62"/>
      <c r="X469" s="62"/>
      <c r="Y469" s="62"/>
      <c r="Z469" s="62" t="s">
        <v>1018</v>
      </c>
      <c r="AA469" s="62" t="s">
        <v>1019</v>
      </c>
      <c r="AB469" s="62" t="n">
        <v>1</v>
      </c>
      <c r="AC469" s="62" t="n">
        <v>0</v>
      </c>
      <c r="AD469" s="62" t="n">
        <v>0</v>
      </c>
      <c r="AE469" s="62" t="n">
        <f aca="false">IF(AND(Dashboard!$C$9="Yes",AC469=1),0,1)</f>
        <v>1</v>
      </c>
      <c r="AF469" s="62" t="n">
        <v>0</v>
      </c>
    </row>
    <row r="470" customFormat="false" ht="15" hidden="false" customHeight="false" outlineLevel="0" collapsed="false">
      <c r="A470" s="62" t="n">
        <v>469</v>
      </c>
      <c r="B470" s="63" t="n">
        <v>46240.0903125</v>
      </c>
      <c r="C470" s="64" t="n">
        <v>46239</v>
      </c>
      <c r="D470" s="62" t="s">
        <v>143</v>
      </c>
      <c r="E470" s="62" t="s">
        <v>164</v>
      </c>
      <c r="F470" s="62" t="s">
        <v>164</v>
      </c>
      <c r="G470" s="62" t="s">
        <v>165</v>
      </c>
      <c r="H470" s="62" t="s">
        <v>51</v>
      </c>
      <c r="I470" s="62" t="s">
        <v>47</v>
      </c>
      <c r="J470" s="62" t="s">
        <v>146</v>
      </c>
      <c r="K470" s="62" t="s">
        <v>147</v>
      </c>
      <c r="L470" s="62" t="s">
        <v>148</v>
      </c>
      <c r="M470" s="62" t="n">
        <v>0</v>
      </c>
      <c r="N470" s="62" t="n">
        <v>1</v>
      </c>
      <c r="O470" s="62" t="n">
        <v>1</v>
      </c>
      <c r="P470" s="62" t="n">
        <v>1</v>
      </c>
      <c r="Q470" s="62" t="n">
        <v>0</v>
      </c>
      <c r="R470" s="62" t="n">
        <v>0</v>
      </c>
      <c r="S470" s="62" t="n">
        <v>0</v>
      </c>
      <c r="T470" s="62" t="n">
        <v>0</v>
      </c>
      <c r="U470" s="62"/>
      <c r="V470" s="62"/>
      <c r="W470" s="62"/>
      <c r="X470" s="62"/>
      <c r="Y470" s="62"/>
      <c r="Z470" s="62" t="s">
        <v>1020</v>
      </c>
      <c r="AA470" s="62" t="s">
        <v>1021</v>
      </c>
      <c r="AB470" s="62" t="n">
        <v>1</v>
      </c>
      <c r="AC470" s="62" t="n">
        <v>0</v>
      </c>
      <c r="AD470" s="62" t="n">
        <v>1</v>
      </c>
      <c r="AE470" s="62" t="n">
        <f aca="false">IF(AND(Dashboard!$C$9="Yes",AC470=1),0,1)</f>
        <v>1</v>
      </c>
      <c r="AF470" s="62" t="n">
        <v>1</v>
      </c>
    </row>
    <row r="471" customFormat="false" ht="15" hidden="false" customHeight="false" outlineLevel="0" collapsed="false">
      <c r="A471" s="62" t="n">
        <v>470</v>
      </c>
      <c r="B471" s="63" t="n">
        <v>46240.0916550926</v>
      </c>
      <c r="C471" s="64" t="n">
        <v>46239</v>
      </c>
      <c r="D471" s="62" t="s">
        <v>143</v>
      </c>
      <c r="E471" s="62" t="s">
        <v>239</v>
      </c>
      <c r="F471" s="62" t="s">
        <v>240</v>
      </c>
      <c r="G471" s="62" t="s">
        <v>153</v>
      </c>
      <c r="H471" s="62" t="s">
        <v>153</v>
      </c>
      <c r="I471" s="62" t="s">
        <v>153</v>
      </c>
      <c r="J471" s="62" t="s">
        <v>64</v>
      </c>
      <c r="K471" s="62" t="s">
        <v>64</v>
      </c>
      <c r="L471" s="62" t="s">
        <v>148</v>
      </c>
      <c r="M471" s="62" t="n">
        <v>0</v>
      </c>
      <c r="N471" s="62" t="n">
        <v>1</v>
      </c>
      <c r="O471" s="62" t="n">
        <v>1</v>
      </c>
      <c r="P471" s="62" t="n">
        <v>1</v>
      </c>
      <c r="Q471" s="62" t="n">
        <v>0</v>
      </c>
      <c r="R471" s="62" t="n">
        <v>0</v>
      </c>
      <c r="S471" s="62" t="n">
        <v>0</v>
      </c>
      <c r="T471" s="62" t="n">
        <v>0</v>
      </c>
      <c r="U471" s="62"/>
      <c r="V471" s="62"/>
      <c r="W471" s="62"/>
      <c r="X471" s="62"/>
      <c r="Y471" s="62"/>
      <c r="Z471" s="62" t="s">
        <v>1022</v>
      </c>
      <c r="AA471" s="62" t="s">
        <v>1023</v>
      </c>
      <c r="AB471" s="62" t="n">
        <v>1</v>
      </c>
      <c r="AC471" s="62" t="n">
        <v>0</v>
      </c>
      <c r="AD471" s="62" t="n">
        <v>0</v>
      </c>
      <c r="AE471" s="62" t="n">
        <f aca="false">IF(AND(Dashboard!$C$9="Yes",AC471=1),0,1)</f>
        <v>1</v>
      </c>
      <c r="AF471" s="62" t="n">
        <v>0</v>
      </c>
    </row>
    <row r="472" customFormat="false" ht="15" hidden="false" customHeight="false" outlineLevel="0" collapsed="false">
      <c r="A472" s="62" t="n">
        <v>471</v>
      </c>
      <c r="B472" s="63" t="n">
        <v>46240.0921643519</v>
      </c>
      <c r="C472" s="64" t="n">
        <v>46239</v>
      </c>
      <c r="D472" s="62" t="s">
        <v>143</v>
      </c>
      <c r="E472" s="62" t="s">
        <v>239</v>
      </c>
      <c r="F472" s="62" t="s">
        <v>240</v>
      </c>
      <c r="G472" s="62" t="s">
        <v>153</v>
      </c>
      <c r="H472" s="62" t="s">
        <v>153</v>
      </c>
      <c r="I472" s="62" t="s">
        <v>153</v>
      </c>
      <c r="J472" s="62" t="s">
        <v>64</v>
      </c>
      <c r="K472" s="62" t="s">
        <v>64</v>
      </c>
      <c r="L472" s="62" t="s">
        <v>4</v>
      </c>
      <c r="M472" s="62" t="n">
        <v>1</v>
      </c>
      <c r="N472" s="62" t="n">
        <v>0</v>
      </c>
      <c r="O472" s="62" t="n">
        <v>1</v>
      </c>
      <c r="P472" s="62" t="n">
        <v>0</v>
      </c>
      <c r="Q472" s="62" t="n">
        <v>0</v>
      </c>
      <c r="R472" s="62" t="n">
        <v>0</v>
      </c>
      <c r="S472" s="62" t="n">
        <v>0</v>
      </c>
      <c r="T472" s="62" t="n">
        <v>0</v>
      </c>
      <c r="U472" s="62"/>
      <c r="V472" s="62"/>
      <c r="W472" s="62"/>
      <c r="X472" s="62"/>
      <c r="Y472" s="62"/>
      <c r="Z472" s="62" t="s">
        <v>1012</v>
      </c>
      <c r="AA472" s="62" t="s">
        <v>1024</v>
      </c>
      <c r="AB472" s="62" t="n">
        <v>1</v>
      </c>
      <c r="AC472" s="62" t="n">
        <v>0</v>
      </c>
      <c r="AD472" s="62" t="n">
        <v>0</v>
      </c>
      <c r="AE472" s="62" t="n">
        <f aca="false">IF(AND(Dashboard!$C$9="Yes",AC472=1),0,1)</f>
        <v>1</v>
      </c>
      <c r="AF472" s="62" t="n">
        <v>0</v>
      </c>
    </row>
    <row r="473" customFormat="false" ht="15" hidden="false" customHeight="false" outlineLevel="0" collapsed="false">
      <c r="A473" s="62" t="n">
        <v>472</v>
      </c>
      <c r="B473" s="63" t="n">
        <v>46240.1332060185</v>
      </c>
      <c r="C473" s="64" t="n">
        <v>46239</v>
      </c>
      <c r="D473" s="62" t="s">
        <v>143</v>
      </c>
      <c r="E473" s="62" t="s">
        <v>312</v>
      </c>
      <c r="F473" s="62" t="s">
        <v>312</v>
      </c>
      <c r="G473" s="62" t="s">
        <v>313</v>
      </c>
      <c r="H473" s="62" t="s">
        <v>51</v>
      </c>
      <c r="I473" s="62" t="s">
        <v>47</v>
      </c>
      <c r="J473" s="62" t="s">
        <v>146</v>
      </c>
      <c r="K473" s="62" t="s">
        <v>147</v>
      </c>
      <c r="L473" s="62" t="s">
        <v>148</v>
      </c>
      <c r="M473" s="62" t="n">
        <v>0</v>
      </c>
      <c r="N473" s="62" t="n">
        <v>1</v>
      </c>
      <c r="O473" s="62" t="n">
        <v>1</v>
      </c>
      <c r="P473" s="62" t="n">
        <v>1</v>
      </c>
      <c r="Q473" s="62" t="n">
        <v>0</v>
      </c>
      <c r="R473" s="62" t="n">
        <v>0</v>
      </c>
      <c r="S473" s="62" t="n">
        <v>0</v>
      </c>
      <c r="T473" s="62" t="n">
        <v>0</v>
      </c>
      <c r="U473" s="62"/>
      <c r="V473" s="62"/>
      <c r="W473" s="62"/>
      <c r="X473" s="62"/>
      <c r="Y473" s="62"/>
      <c r="Z473" s="62" t="s">
        <v>1025</v>
      </c>
      <c r="AA473" s="62" t="s">
        <v>1026</v>
      </c>
      <c r="AB473" s="62" t="n">
        <v>1</v>
      </c>
      <c r="AC473" s="62" t="n">
        <v>0</v>
      </c>
      <c r="AD473" s="62" t="n">
        <v>1</v>
      </c>
      <c r="AE473" s="62" t="n">
        <f aca="false">IF(AND(Dashboard!$C$9="Yes",AC473=1),0,1)</f>
        <v>1</v>
      </c>
      <c r="AF473" s="62" t="n">
        <v>1</v>
      </c>
    </row>
    <row r="474" customFormat="false" ht="15" hidden="false" customHeight="false" outlineLevel="0" collapsed="false">
      <c r="A474" s="62" t="n">
        <v>473</v>
      </c>
      <c r="B474" s="63" t="n">
        <v>46240.1476157407</v>
      </c>
      <c r="C474" s="64" t="n">
        <v>46239</v>
      </c>
      <c r="D474" s="62" t="s">
        <v>143</v>
      </c>
      <c r="E474" s="62" t="s">
        <v>1005</v>
      </c>
      <c r="F474" s="62" t="s">
        <v>1005</v>
      </c>
      <c r="G474" s="62" t="s">
        <v>1006</v>
      </c>
      <c r="H474" s="62" t="s">
        <v>46</v>
      </c>
      <c r="I474" s="62" t="s">
        <v>47</v>
      </c>
      <c r="J474" s="62" t="s">
        <v>146</v>
      </c>
      <c r="K474" s="62" t="s">
        <v>209</v>
      </c>
      <c r="L474" s="62" t="s">
        <v>148</v>
      </c>
      <c r="M474" s="62" t="n">
        <v>0</v>
      </c>
      <c r="N474" s="62" t="n">
        <v>1</v>
      </c>
      <c r="O474" s="62" t="n">
        <v>1</v>
      </c>
      <c r="P474" s="62" t="n">
        <v>1</v>
      </c>
      <c r="Q474" s="62" t="n">
        <v>0</v>
      </c>
      <c r="R474" s="62" t="n">
        <v>0</v>
      </c>
      <c r="S474" s="62" t="n">
        <v>0</v>
      </c>
      <c r="T474" s="62" t="n">
        <v>0</v>
      </c>
      <c r="U474" s="62"/>
      <c r="V474" s="62"/>
      <c r="W474" s="62"/>
      <c r="X474" s="62"/>
      <c r="Y474" s="62"/>
      <c r="Z474" s="62" t="s">
        <v>1027</v>
      </c>
      <c r="AA474" s="62" t="s">
        <v>1028</v>
      </c>
      <c r="AB474" s="62" t="n">
        <v>0</v>
      </c>
      <c r="AC474" s="62" t="n">
        <v>0</v>
      </c>
      <c r="AD474" s="62" t="n">
        <v>1</v>
      </c>
      <c r="AE474" s="62" t="n">
        <f aca="false">IF(AND(Dashboard!$C$9="Yes",AC474=1),0,1)</f>
        <v>1</v>
      </c>
      <c r="AF474" s="62" t="n">
        <v>0</v>
      </c>
    </row>
    <row r="475" customFormat="false" ht="15" hidden="false" customHeight="false" outlineLevel="0" collapsed="false">
      <c r="A475" s="62" t="n">
        <v>474</v>
      </c>
      <c r="B475" s="63" t="n">
        <v>46240.1523263889</v>
      </c>
      <c r="C475" s="64" t="n">
        <v>46239</v>
      </c>
      <c r="D475" s="62" t="s">
        <v>143</v>
      </c>
      <c r="E475" s="62" t="s">
        <v>239</v>
      </c>
      <c r="F475" s="62" t="s">
        <v>240</v>
      </c>
      <c r="G475" s="62" t="s">
        <v>153</v>
      </c>
      <c r="H475" s="62" t="s">
        <v>153</v>
      </c>
      <c r="I475" s="62" t="s">
        <v>153</v>
      </c>
      <c r="J475" s="62" t="s">
        <v>64</v>
      </c>
      <c r="K475" s="62" t="s">
        <v>64</v>
      </c>
      <c r="L475" s="62" t="s">
        <v>148</v>
      </c>
      <c r="M475" s="62" t="n">
        <v>0</v>
      </c>
      <c r="N475" s="62" t="n">
        <v>1</v>
      </c>
      <c r="O475" s="62" t="n">
        <v>1</v>
      </c>
      <c r="P475" s="62" t="n">
        <v>1</v>
      </c>
      <c r="Q475" s="62" t="n">
        <v>0</v>
      </c>
      <c r="R475" s="62" t="n">
        <v>0</v>
      </c>
      <c r="S475" s="62" t="n">
        <v>0</v>
      </c>
      <c r="T475" s="62" t="n">
        <v>0</v>
      </c>
      <c r="U475" s="62"/>
      <c r="V475" s="62"/>
      <c r="W475" s="62"/>
      <c r="X475" s="62"/>
      <c r="Y475" s="62"/>
      <c r="Z475" s="62" t="s">
        <v>1029</v>
      </c>
      <c r="AA475" s="62" t="s">
        <v>1030</v>
      </c>
      <c r="AB475" s="62" t="n">
        <v>1</v>
      </c>
      <c r="AC475" s="62" t="n">
        <v>0</v>
      </c>
      <c r="AD475" s="62" t="n">
        <v>0</v>
      </c>
      <c r="AE475" s="62" t="n">
        <f aca="false">IF(AND(Dashboard!$C$9="Yes",AC475=1),0,1)</f>
        <v>1</v>
      </c>
      <c r="AF475" s="62" t="n">
        <v>0</v>
      </c>
    </row>
    <row r="476" customFormat="false" ht="15" hidden="false" customHeight="false" outlineLevel="0" collapsed="false">
      <c r="A476" s="62" t="n">
        <v>475</v>
      </c>
      <c r="B476" s="63" t="n">
        <v>46240.1815972222</v>
      </c>
      <c r="C476" s="64" t="n">
        <v>46239</v>
      </c>
      <c r="D476" s="62" t="s">
        <v>143</v>
      </c>
      <c r="E476" s="62" t="s">
        <v>144</v>
      </c>
      <c r="F476" s="62" t="s">
        <v>144</v>
      </c>
      <c r="G476" s="62" t="s">
        <v>145</v>
      </c>
      <c r="H476" s="62" t="s">
        <v>59</v>
      </c>
      <c r="I476" s="62" t="s">
        <v>47</v>
      </c>
      <c r="J476" s="62" t="s">
        <v>146</v>
      </c>
      <c r="K476" s="62" t="s">
        <v>147</v>
      </c>
      <c r="L476" s="62" t="s">
        <v>148</v>
      </c>
      <c r="M476" s="62" t="n">
        <v>0</v>
      </c>
      <c r="N476" s="62" t="n">
        <v>1</v>
      </c>
      <c r="O476" s="62" t="n">
        <v>1</v>
      </c>
      <c r="P476" s="62" t="n">
        <v>1</v>
      </c>
      <c r="Q476" s="62" t="n">
        <v>0</v>
      </c>
      <c r="R476" s="62" t="n">
        <v>0</v>
      </c>
      <c r="S476" s="62" t="n">
        <v>0</v>
      </c>
      <c r="T476" s="62" t="n">
        <v>0</v>
      </c>
      <c r="U476" s="62"/>
      <c r="V476" s="62"/>
      <c r="W476" s="62"/>
      <c r="X476" s="62"/>
      <c r="Y476" s="62"/>
      <c r="Z476" s="62" t="s">
        <v>1031</v>
      </c>
      <c r="AA476" s="62" t="s">
        <v>1032</v>
      </c>
      <c r="AB476" s="62" t="n">
        <v>0</v>
      </c>
      <c r="AC476" s="62" t="n">
        <v>0</v>
      </c>
      <c r="AD476" s="62" t="n">
        <v>1</v>
      </c>
      <c r="AE476" s="62" t="n">
        <f aca="false">IF(AND(Dashboard!$C$9="Yes",AC476=1),0,1)</f>
        <v>1</v>
      </c>
      <c r="AF476" s="62" t="n">
        <v>0</v>
      </c>
    </row>
    <row r="477" customFormat="false" ht="15" hidden="false" customHeight="false" outlineLevel="0" collapsed="false">
      <c r="A477" s="62" t="n">
        <v>476</v>
      </c>
      <c r="B477" s="63" t="n">
        <v>46240.220787037</v>
      </c>
      <c r="C477" s="64" t="n">
        <v>46239</v>
      </c>
      <c r="D477" s="62" t="s">
        <v>143</v>
      </c>
      <c r="E477" s="62" t="s">
        <v>196</v>
      </c>
      <c r="F477" s="62" t="s">
        <v>196</v>
      </c>
      <c r="G477" s="62" t="s">
        <v>197</v>
      </c>
      <c r="H477" s="62" t="s">
        <v>57</v>
      </c>
      <c r="I477" s="62" t="s">
        <v>47</v>
      </c>
      <c r="J477" s="62" t="s">
        <v>146</v>
      </c>
      <c r="K477" s="62" t="s">
        <v>175</v>
      </c>
      <c r="L477" s="62" t="s">
        <v>148</v>
      </c>
      <c r="M477" s="62" t="n">
        <v>0</v>
      </c>
      <c r="N477" s="62" t="n">
        <v>1</v>
      </c>
      <c r="O477" s="62" t="n">
        <v>1</v>
      </c>
      <c r="P477" s="62" t="n">
        <v>0</v>
      </c>
      <c r="Q477" s="62" t="n">
        <v>1</v>
      </c>
      <c r="R477" s="62" t="n">
        <v>0</v>
      </c>
      <c r="S477" s="62" t="n">
        <v>0</v>
      </c>
      <c r="T477" s="62" t="n">
        <v>0</v>
      </c>
      <c r="U477" s="62"/>
      <c r="V477" s="62"/>
      <c r="W477" s="62"/>
      <c r="X477" s="62"/>
      <c r="Y477" s="62"/>
      <c r="Z477" s="62" t="s">
        <v>1033</v>
      </c>
      <c r="AA477" s="62" t="s">
        <v>1034</v>
      </c>
      <c r="AB477" s="62" t="n">
        <v>1</v>
      </c>
      <c r="AC477" s="62" t="n">
        <v>0</v>
      </c>
      <c r="AD477" s="62" t="n">
        <v>1</v>
      </c>
      <c r="AE477" s="62" t="n">
        <f aca="false">IF(AND(Dashboard!$C$9="Yes",AC477=1),0,1)</f>
        <v>1</v>
      </c>
      <c r="AF477" s="62" t="n">
        <v>1</v>
      </c>
    </row>
    <row r="478" customFormat="false" ht="15" hidden="false" customHeight="false" outlineLevel="0" collapsed="false">
      <c r="A478" s="62" t="n">
        <v>477</v>
      </c>
      <c r="B478" s="63" t="n">
        <v>46240.2829166667</v>
      </c>
      <c r="C478" s="64" t="n">
        <v>46239</v>
      </c>
      <c r="D478" s="62" t="s">
        <v>143</v>
      </c>
      <c r="E478" s="62" t="s">
        <v>273</v>
      </c>
      <c r="F478" s="62" t="s">
        <v>273</v>
      </c>
      <c r="G478" s="62" t="s">
        <v>274</v>
      </c>
      <c r="H478" s="62" t="s">
        <v>59</v>
      </c>
      <c r="I478" s="62" t="s">
        <v>47</v>
      </c>
      <c r="J478" s="62" t="s">
        <v>146</v>
      </c>
      <c r="K478" s="62" t="s">
        <v>147</v>
      </c>
      <c r="L478" s="62" t="s">
        <v>148</v>
      </c>
      <c r="M478" s="62" t="n">
        <v>0</v>
      </c>
      <c r="N478" s="62" t="n">
        <v>1</v>
      </c>
      <c r="O478" s="62" t="n">
        <v>1</v>
      </c>
      <c r="P478" s="62" t="n">
        <v>0</v>
      </c>
      <c r="Q478" s="62" t="n">
        <v>1</v>
      </c>
      <c r="R478" s="62" t="n">
        <v>0</v>
      </c>
      <c r="S478" s="62" t="n">
        <v>0</v>
      </c>
      <c r="T478" s="62" t="n">
        <v>0</v>
      </c>
      <c r="U478" s="62"/>
      <c r="V478" s="62"/>
      <c r="W478" s="62"/>
      <c r="X478" s="62"/>
      <c r="Y478" s="62"/>
      <c r="Z478" s="62" t="s">
        <v>1035</v>
      </c>
      <c r="AA478" s="62" t="s">
        <v>1036</v>
      </c>
      <c r="AB478" s="62" t="n">
        <v>1</v>
      </c>
      <c r="AC478" s="62" t="n">
        <v>0</v>
      </c>
      <c r="AD478" s="62" t="n">
        <v>1</v>
      </c>
      <c r="AE478" s="62" t="n">
        <f aca="false">IF(AND(Dashboard!$C$9="Yes",AC478=1),0,1)</f>
        <v>1</v>
      </c>
      <c r="AF478" s="62" t="n">
        <v>1</v>
      </c>
    </row>
    <row r="479" customFormat="false" ht="15" hidden="false" customHeight="false" outlineLevel="0" collapsed="false">
      <c r="A479" s="62" t="n">
        <v>478</v>
      </c>
      <c r="B479" s="63" t="n">
        <v>46240.6048958333</v>
      </c>
      <c r="C479" s="64" t="n">
        <v>46240</v>
      </c>
      <c r="D479" s="62" t="s">
        <v>202</v>
      </c>
      <c r="E479" s="62" t="s">
        <v>586</v>
      </c>
      <c r="F479" s="62" t="s">
        <v>586</v>
      </c>
      <c r="G479" s="62" t="s">
        <v>587</v>
      </c>
      <c r="H479" s="62" t="s">
        <v>57</v>
      </c>
      <c r="I479" s="62" t="s">
        <v>47</v>
      </c>
      <c r="J479" s="62" t="s">
        <v>146</v>
      </c>
      <c r="K479" s="62" t="s">
        <v>175</v>
      </c>
      <c r="L479" s="62" t="s">
        <v>148</v>
      </c>
      <c r="M479" s="62" t="n">
        <v>0</v>
      </c>
      <c r="N479" s="62" t="n">
        <v>1</v>
      </c>
      <c r="O479" s="62" t="n">
        <v>1</v>
      </c>
      <c r="P479" s="62" t="n">
        <v>1</v>
      </c>
      <c r="Q479" s="62" t="n">
        <v>0</v>
      </c>
      <c r="R479" s="62" t="n">
        <v>0</v>
      </c>
      <c r="S479" s="62" t="n">
        <v>0</v>
      </c>
      <c r="T479" s="62" t="n">
        <v>0</v>
      </c>
      <c r="U479" s="62"/>
      <c r="V479" s="62"/>
      <c r="W479" s="62"/>
      <c r="X479" s="62"/>
      <c r="Y479" s="62"/>
      <c r="Z479" s="62" t="s">
        <v>1037</v>
      </c>
      <c r="AA479" s="62" t="s">
        <v>1038</v>
      </c>
      <c r="AB479" s="62" t="n">
        <v>1</v>
      </c>
      <c r="AC479" s="62" t="n">
        <v>0</v>
      </c>
      <c r="AD479" s="62" t="n">
        <v>1</v>
      </c>
      <c r="AE479" s="62" t="n">
        <f aca="false">IF(AND(Dashboard!$C$9="Yes",AC479=1),0,1)</f>
        <v>1</v>
      </c>
      <c r="AF479" s="62" t="n">
        <v>1</v>
      </c>
    </row>
    <row r="480" customFormat="false" ht="15" hidden="false" customHeight="false" outlineLevel="0" collapsed="false">
      <c r="A480" s="62" t="n">
        <v>479</v>
      </c>
      <c r="B480" s="63" t="n">
        <v>46240.6970023148</v>
      </c>
      <c r="C480" s="64" t="n">
        <v>46240</v>
      </c>
      <c r="D480" s="62" t="s">
        <v>202</v>
      </c>
      <c r="E480" s="62" t="s">
        <v>160</v>
      </c>
      <c r="F480" s="62" t="s">
        <v>160</v>
      </c>
      <c r="G480" s="62" t="s">
        <v>161</v>
      </c>
      <c r="H480" s="62" t="s">
        <v>51</v>
      </c>
      <c r="I480" s="62" t="s">
        <v>47</v>
      </c>
      <c r="J480" s="62" t="s">
        <v>146</v>
      </c>
      <c r="K480" s="62" t="s">
        <v>147</v>
      </c>
      <c r="L480" s="62" t="s">
        <v>148</v>
      </c>
      <c r="M480" s="62" t="n">
        <v>0</v>
      </c>
      <c r="N480" s="62" t="n">
        <v>1</v>
      </c>
      <c r="O480" s="62" t="n">
        <v>1</v>
      </c>
      <c r="P480" s="62" t="n">
        <v>0</v>
      </c>
      <c r="Q480" s="62" t="n">
        <v>1</v>
      </c>
      <c r="R480" s="62" t="n">
        <v>0</v>
      </c>
      <c r="S480" s="62" t="n">
        <v>0</v>
      </c>
      <c r="T480" s="62" t="n">
        <v>0</v>
      </c>
      <c r="U480" s="62"/>
      <c r="V480" s="62"/>
      <c r="W480" s="62"/>
      <c r="X480" s="62"/>
      <c r="Y480" s="62"/>
      <c r="Z480" s="62" t="s">
        <v>1039</v>
      </c>
      <c r="AA480" s="62" t="s">
        <v>1040</v>
      </c>
      <c r="AB480" s="62" t="n">
        <v>1</v>
      </c>
      <c r="AC480" s="62" t="n">
        <v>0</v>
      </c>
      <c r="AD480" s="62" t="n">
        <v>1</v>
      </c>
      <c r="AE480" s="62" t="n">
        <f aca="false">IF(AND(Dashboard!$C$9="Yes",AC480=1),0,1)</f>
        <v>1</v>
      </c>
      <c r="AF480" s="62" t="n">
        <v>1</v>
      </c>
    </row>
    <row r="481" customFormat="false" ht="15" hidden="false" customHeight="false" outlineLevel="0" collapsed="false">
      <c r="A481" s="62" t="n">
        <v>480</v>
      </c>
      <c r="B481" s="63" t="n">
        <v>46240.7362847222</v>
      </c>
      <c r="C481" s="64" t="n">
        <v>46240</v>
      </c>
      <c r="D481" s="62" t="s">
        <v>202</v>
      </c>
      <c r="E481" s="62" t="s">
        <v>228</v>
      </c>
      <c r="F481" s="62" t="s">
        <v>229</v>
      </c>
      <c r="G481" s="62" t="s">
        <v>153</v>
      </c>
      <c r="H481" s="62" t="s">
        <v>153</v>
      </c>
      <c r="I481" s="62" t="s">
        <v>153</v>
      </c>
      <c r="J481" s="62" t="s">
        <v>64</v>
      </c>
      <c r="K481" s="62" t="s">
        <v>64</v>
      </c>
      <c r="L481" s="62" t="s">
        <v>148</v>
      </c>
      <c r="M481" s="62" t="n">
        <v>0</v>
      </c>
      <c r="N481" s="62" t="n">
        <v>2</v>
      </c>
      <c r="O481" s="62" t="n">
        <v>2</v>
      </c>
      <c r="P481" s="62" t="n">
        <v>1</v>
      </c>
      <c r="Q481" s="62" t="n">
        <v>1</v>
      </c>
      <c r="R481" s="62" t="n">
        <v>0</v>
      </c>
      <c r="S481" s="62" t="n">
        <v>0</v>
      </c>
      <c r="T481" s="62" t="n">
        <v>0</v>
      </c>
      <c r="U481" s="62"/>
      <c r="V481" s="62"/>
      <c r="W481" s="62"/>
      <c r="X481" s="62"/>
      <c r="Y481" s="62"/>
      <c r="Z481" s="62" t="s">
        <v>1041</v>
      </c>
      <c r="AA481" s="62" t="s">
        <v>1042</v>
      </c>
      <c r="AB481" s="62" t="n">
        <v>1</v>
      </c>
      <c r="AC481" s="62" t="n">
        <v>0</v>
      </c>
      <c r="AD481" s="62" t="n">
        <v>0</v>
      </c>
      <c r="AE481" s="62" t="n">
        <f aca="false">IF(AND(Dashboard!$C$9="Yes",AC481=1),0,1)</f>
        <v>1</v>
      </c>
      <c r="AF481" s="62" t="n">
        <v>1</v>
      </c>
    </row>
    <row r="482" customFormat="false" ht="15" hidden="false" customHeight="false" outlineLevel="0" collapsed="false">
      <c r="A482" s="62" t="n">
        <v>481</v>
      </c>
      <c r="B482" s="63" t="n">
        <v>46240.7760532407</v>
      </c>
      <c r="C482" s="64" t="n">
        <v>46240</v>
      </c>
      <c r="D482" s="62" t="s">
        <v>202</v>
      </c>
      <c r="E482" s="62" t="s">
        <v>228</v>
      </c>
      <c r="F482" s="62" t="s">
        <v>229</v>
      </c>
      <c r="G482" s="62" t="s">
        <v>153</v>
      </c>
      <c r="H482" s="62" t="s">
        <v>153</v>
      </c>
      <c r="I482" s="62" t="s">
        <v>153</v>
      </c>
      <c r="J482" s="62" t="s">
        <v>64</v>
      </c>
      <c r="K482" s="62" t="s">
        <v>64</v>
      </c>
      <c r="L482" s="62" t="s">
        <v>148</v>
      </c>
      <c r="M482" s="62" t="n">
        <v>0</v>
      </c>
      <c r="N482" s="62" t="n">
        <v>1</v>
      </c>
      <c r="O482" s="62" t="n">
        <v>1</v>
      </c>
      <c r="P482" s="62" t="n">
        <v>1</v>
      </c>
      <c r="Q482" s="62" t="n">
        <v>0</v>
      </c>
      <c r="R482" s="62" t="n">
        <v>0</v>
      </c>
      <c r="S482" s="62" t="n">
        <v>0</v>
      </c>
      <c r="T482" s="62" t="n">
        <v>0</v>
      </c>
      <c r="U482" s="62"/>
      <c r="V482" s="62"/>
      <c r="W482" s="62"/>
      <c r="X482" s="62"/>
      <c r="Y482" s="62"/>
      <c r="Z482" s="62" t="s">
        <v>1043</v>
      </c>
      <c r="AA482" s="62" t="s">
        <v>1044</v>
      </c>
      <c r="AB482" s="62" t="n">
        <v>1</v>
      </c>
      <c r="AC482" s="62" t="n">
        <v>0</v>
      </c>
      <c r="AD482" s="62" t="n">
        <v>0</v>
      </c>
      <c r="AE482" s="62" t="n">
        <f aca="false">IF(AND(Dashboard!$C$9="Yes",AC482=1),0,1)</f>
        <v>1</v>
      </c>
      <c r="AF482" s="62" t="n">
        <v>0</v>
      </c>
    </row>
    <row r="483" customFormat="false" ht="15" hidden="false" customHeight="false" outlineLevel="0" collapsed="false">
      <c r="A483" s="62" t="n">
        <v>482</v>
      </c>
      <c r="B483" s="63" t="n">
        <v>46240.7848263889</v>
      </c>
      <c r="C483" s="64" t="n">
        <v>46240</v>
      </c>
      <c r="D483" s="62" t="s">
        <v>202</v>
      </c>
      <c r="E483" s="62" t="s">
        <v>586</v>
      </c>
      <c r="F483" s="62" t="s">
        <v>586</v>
      </c>
      <c r="G483" s="62" t="s">
        <v>587</v>
      </c>
      <c r="H483" s="62" t="s">
        <v>57</v>
      </c>
      <c r="I483" s="62" t="s">
        <v>47</v>
      </c>
      <c r="J483" s="62" t="s">
        <v>146</v>
      </c>
      <c r="K483" s="62" t="s">
        <v>175</v>
      </c>
      <c r="L483" s="62" t="s">
        <v>148</v>
      </c>
      <c r="M483" s="62" t="n">
        <v>0</v>
      </c>
      <c r="N483" s="62" t="n">
        <v>1</v>
      </c>
      <c r="O483" s="62" t="n">
        <v>1</v>
      </c>
      <c r="P483" s="62" t="n">
        <v>1</v>
      </c>
      <c r="Q483" s="62" t="n">
        <v>0</v>
      </c>
      <c r="R483" s="62" t="n">
        <v>0</v>
      </c>
      <c r="S483" s="62" t="n">
        <v>0</v>
      </c>
      <c r="T483" s="62" t="n">
        <v>0</v>
      </c>
      <c r="U483" s="62"/>
      <c r="V483" s="62"/>
      <c r="W483" s="62"/>
      <c r="X483" s="62"/>
      <c r="Y483" s="62"/>
      <c r="Z483" s="62" t="s">
        <v>1045</v>
      </c>
      <c r="AA483" s="62" t="s">
        <v>1046</v>
      </c>
      <c r="AB483" s="62" t="n">
        <v>1</v>
      </c>
      <c r="AC483" s="62" t="n">
        <v>0</v>
      </c>
      <c r="AD483" s="62" t="n">
        <v>1</v>
      </c>
      <c r="AE483" s="62" t="n">
        <f aca="false">IF(AND(Dashboard!$C$9="Yes",AC483=1),0,1)</f>
        <v>1</v>
      </c>
      <c r="AF483" s="62" t="n">
        <v>0</v>
      </c>
    </row>
    <row r="484" customFormat="false" ht="15" hidden="false" customHeight="false" outlineLevel="0" collapsed="false">
      <c r="A484" s="62" t="n">
        <v>483</v>
      </c>
      <c r="B484" s="63" t="n">
        <v>46240.7968518519</v>
      </c>
      <c r="C484" s="64" t="n">
        <v>46240</v>
      </c>
      <c r="D484" s="62" t="s">
        <v>202</v>
      </c>
      <c r="E484" s="62" t="s">
        <v>228</v>
      </c>
      <c r="F484" s="62" t="s">
        <v>229</v>
      </c>
      <c r="G484" s="62" t="s">
        <v>153</v>
      </c>
      <c r="H484" s="62" t="s">
        <v>153</v>
      </c>
      <c r="I484" s="62" t="s">
        <v>153</v>
      </c>
      <c r="J484" s="62" t="s">
        <v>64</v>
      </c>
      <c r="K484" s="62" t="s">
        <v>64</v>
      </c>
      <c r="L484" s="62" t="s">
        <v>148</v>
      </c>
      <c r="M484" s="62" t="n">
        <v>0</v>
      </c>
      <c r="N484" s="62" t="n">
        <v>1</v>
      </c>
      <c r="O484" s="62" t="n">
        <v>1</v>
      </c>
      <c r="P484" s="62" t="n">
        <v>1</v>
      </c>
      <c r="Q484" s="62" t="n">
        <v>0</v>
      </c>
      <c r="R484" s="62" t="n">
        <v>0</v>
      </c>
      <c r="S484" s="62" t="n">
        <v>0</v>
      </c>
      <c r="T484" s="62" t="n">
        <v>0</v>
      </c>
      <c r="U484" s="62"/>
      <c r="V484" s="62"/>
      <c r="W484" s="62"/>
      <c r="X484" s="62"/>
      <c r="Y484" s="62"/>
      <c r="Z484" s="62" t="s">
        <v>1047</v>
      </c>
      <c r="AA484" s="62" t="s">
        <v>1048</v>
      </c>
      <c r="AB484" s="62" t="n">
        <v>1</v>
      </c>
      <c r="AC484" s="62" t="n">
        <v>0</v>
      </c>
      <c r="AD484" s="62" t="n">
        <v>0</v>
      </c>
      <c r="AE484" s="62" t="n">
        <f aca="false">IF(AND(Dashboard!$C$9="Yes",AC484=1),0,1)</f>
        <v>1</v>
      </c>
      <c r="AF484" s="62" t="n">
        <v>0</v>
      </c>
    </row>
    <row r="485" customFormat="false" ht="15" hidden="false" customHeight="false" outlineLevel="0" collapsed="false">
      <c r="A485" s="62" t="n">
        <v>484</v>
      </c>
      <c r="B485" s="63" t="n">
        <v>46240.8375462963</v>
      </c>
      <c r="C485" s="64" t="n">
        <v>46240</v>
      </c>
      <c r="D485" s="62" t="s">
        <v>202</v>
      </c>
      <c r="E485" s="62" t="s">
        <v>999</v>
      </c>
      <c r="F485" s="62" t="s">
        <v>999</v>
      </c>
      <c r="G485" s="62" t="s">
        <v>1000</v>
      </c>
      <c r="H485" s="62" t="s">
        <v>46</v>
      </c>
      <c r="I485" s="62" t="s">
        <v>47</v>
      </c>
      <c r="J485" s="62" t="s">
        <v>146</v>
      </c>
      <c r="K485" s="62" t="s">
        <v>209</v>
      </c>
      <c r="L485" s="62" t="s">
        <v>148</v>
      </c>
      <c r="M485" s="62" t="n">
        <v>0</v>
      </c>
      <c r="N485" s="62" t="n">
        <v>1</v>
      </c>
      <c r="O485" s="62" t="n">
        <v>1</v>
      </c>
      <c r="P485" s="62" t="n">
        <v>0</v>
      </c>
      <c r="Q485" s="62" t="n">
        <v>0</v>
      </c>
      <c r="R485" s="62" t="n">
        <v>1</v>
      </c>
      <c r="S485" s="62" t="n">
        <v>0</v>
      </c>
      <c r="T485" s="62" t="n">
        <v>0</v>
      </c>
      <c r="U485" s="62"/>
      <c r="V485" s="62"/>
      <c r="W485" s="62"/>
      <c r="X485" s="62"/>
      <c r="Y485" s="62"/>
      <c r="Z485" s="62" t="s">
        <v>1049</v>
      </c>
      <c r="AA485" s="62" t="s">
        <v>1050</v>
      </c>
      <c r="AB485" s="62" t="n">
        <v>1</v>
      </c>
      <c r="AC485" s="62" t="n">
        <v>0</v>
      </c>
      <c r="AD485" s="62" t="n">
        <v>1</v>
      </c>
      <c r="AE485" s="62" t="n">
        <f aca="false">IF(AND(Dashboard!$C$9="Yes",AC485=1),0,1)</f>
        <v>1</v>
      </c>
      <c r="AF485" s="62" t="n">
        <v>1</v>
      </c>
    </row>
    <row r="486" customFormat="false" ht="15" hidden="false" customHeight="false" outlineLevel="0" collapsed="false">
      <c r="A486" s="62" t="n">
        <v>485</v>
      </c>
      <c r="B486" s="63" t="n">
        <v>46240.8451967593</v>
      </c>
      <c r="C486" s="64" t="n">
        <v>46240</v>
      </c>
      <c r="D486" s="62" t="s">
        <v>202</v>
      </c>
      <c r="E486" s="62" t="s">
        <v>164</v>
      </c>
      <c r="F486" s="62" t="s">
        <v>164</v>
      </c>
      <c r="G486" s="62" t="s">
        <v>165</v>
      </c>
      <c r="H486" s="62" t="s">
        <v>51</v>
      </c>
      <c r="I486" s="62" t="s">
        <v>47</v>
      </c>
      <c r="J486" s="62" t="s">
        <v>146</v>
      </c>
      <c r="K486" s="62" t="s">
        <v>147</v>
      </c>
      <c r="L486" s="62" t="s">
        <v>148</v>
      </c>
      <c r="M486" s="62" t="n">
        <v>0</v>
      </c>
      <c r="N486" s="62" t="n">
        <v>1</v>
      </c>
      <c r="O486" s="62" t="n">
        <v>1</v>
      </c>
      <c r="P486" s="62" t="n">
        <v>1</v>
      </c>
      <c r="Q486" s="62" t="n">
        <v>0</v>
      </c>
      <c r="R486" s="62" t="n">
        <v>0</v>
      </c>
      <c r="S486" s="62" t="n">
        <v>0</v>
      </c>
      <c r="T486" s="62" t="n">
        <v>0</v>
      </c>
      <c r="U486" s="62"/>
      <c r="V486" s="62"/>
      <c r="W486" s="62"/>
      <c r="X486" s="62"/>
      <c r="Y486" s="62"/>
      <c r="Z486" s="62" t="s">
        <v>1051</v>
      </c>
      <c r="AA486" s="62" t="s">
        <v>1052</v>
      </c>
      <c r="AB486" s="62" t="n">
        <v>1</v>
      </c>
      <c r="AC486" s="62" t="n">
        <v>0</v>
      </c>
      <c r="AD486" s="62" t="n">
        <v>1</v>
      </c>
      <c r="AE486" s="62" t="n">
        <f aca="false">IF(AND(Dashboard!$C$9="Yes",AC486=1),0,1)</f>
        <v>1</v>
      </c>
      <c r="AF486" s="62" t="n">
        <v>1</v>
      </c>
    </row>
    <row r="487" customFormat="false" ht="15" hidden="false" customHeight="false" outlineLevel="0" collapsed="false">
      <c r="A487" s="62" t="n">
        <v>486</v>
      </c>
      <c r="B487" s="63" t="n">
        <v>46240.8586342593</v>
      </c>
      <c r="C487" s="64" t="n">
        <v>46240</v>
      </c>
      <c r="D487" s="62" t="s">
        <v>202</v>
      </c>
      <c r="E487" s="62" t="s">
        <v>518</v>
      </c>
      <c r="F487" s="62" t="s">
        <v>518</v>
      </c>
      <c r="G487" s="62" t="s">
        <v>519</v>
      </c>
      <c r="H487" s="62" t="s">
        <v>52</v>
      </c>
      <c r="I487" s="62" t="s">
        <v>47</v>
      </c>
      <c r="J487" s="62" t="s">
        <v>146</v>
      </c>
      <c r="K487" s="62" t="s">
        <v>147</v>
      </c>
      <c r="L487" s="62" t="s">
        <v>148</v>
      </c>
      <c r="M487" s="62" t="n">
        <v>0</v>
      </c>
      <c r="N487" s="62" t="n">
        <v>1</v>
      </c>
      <c r="O487" s="62" t="n">
        <v>1</v>
      </c>
      <c r="P487" s="62" t="n">
        <v>1</v>
      </c>
      <c r="Q487" s="62" t="n">
        <v>0</v>
      </c>
      <c r="R487" s="62" t="n">
        <v>0</v>
      </c>
      <c r="S487" s="62" t="n">
        <v>0</v>
      </c>
      <c r="T487" s="62" t="n">
        <v>0</v>
      </c>
      <c r="U487" s="62"/>
      <c r="V487" s="62"/>
      <c r="W487" s="62"/>
      <c r="X487" s="62"/>
      <c r="Y487" s="62"/>
      <c r="Z487" s="62" t="s">
        <v>1053</v>
      </c>
      <c r="AA487" s="62" t="s">
        <v>1054</v>
      </c>
      <c r="AB487" s="62" t="n">
        <v>1</v>
      </c>
      <c r="AC487" s="62" t="n">
        <v>0</v>
      </c>
      <c r="AD487" s="62" t="n">
        <v>1</v>
      </c>
      <c r="AE487" s="62" t="n">
        <f aca="false">IF(AND(Dashboard!$C$9="Yes",AC487=1),0,1)</f>
        <v>1</v>
      </c>
      <c r="AF487" s="62" t="n">
        <v>1</v>
      </c>
    </row>
    <row r="488" customFormat="false" ht="15" hidden="false" customHeight="false" outlineLevel="0" collapsed="false">
      <c r="A488" s="62" t="n">
        <v>487</v>
      </c>
      <c r="B488" s="63" t="n">
        <v>46240.8702083333</v>
      </c>
      <c r="C488" s="64" t="n">
        <v>46240</v>
      </c>
      <c r="D488" s="62" t="s">
        <v>202</v>
      </c>
      <c r="E488" s="62" t="s">
        <v>1005</v>
      </c>
      <c r="F488" s="62" t="s">
        <v>1005</v>
      </c>
      <c r="G488" s="62" t="s">
        <v>1006</v>
      </c>
      <c r="H488" s="62" t="s">
        <v>46</v>
      </c>
      <c r="I488" s="62" t="s">
        <v>47</v>
      </c>
      <c r="J488" s="62" t="s">
        <v>146</v>
      </c>
      <c r="K488" s="62" t="s">
        <v>209</v>
      </c>
      <c r="L488" s="62" t="s">
        <v>148</v>
      </c>
      <c r="M488" s="62" t="n">
        <v>0</v>
      </c>
      <c r="N488" s="62" t="n">
        <v>1</v>
      </c>
      <c r="O488" s="62" t="n">
        <v>1</v>
      </c>
      <c r="P488" s="62" t="n">
        <v>0</v>
      </c>
      <c r="Q488" s="62" t="n">
        <v>1</v>
      </c>
      <c r="R488" s="62" t="n">
        <v>0</v>
      </c>
      <c r="S488" s="62" t="n">
        <v>0</v>
      </c>
      <c r="T488" s="62" t="n">
        <v>0</v>
      </c>
      <c r="U488" s="62"/>
      <c r="V488" s="62"/>
      <c r="W488" s="62"/>
      <c r="X488" s="62"/>
      <c r="Y488" s="62"/>
      <c r="Z488" s="62" t="s">
        <v>1055</v>
      </c>
      <c r="AA488" s="62" t="s">
        <v>1056</v>
      </c>
      <c r="AB488" s="62" t="n">
        <v>0</v>
      </c>
      <c r="AC488" s="62" t="n">
        <v>0</v>
      </c>
      <c r="AD488" s="62" t="n">
        <v>1</v>
      </c>
      <c r="AE488" s="62" t="n">
        <f aca="false">IF(AND(Dashboard!$C$9="Yes",AC488=1),0,1)</f>
        <v>1</v>
      </c>
      <c r="AF488" s="62" t="n">
        <v>1</v>
      </c>
    </row>
    <row r="489" customFormat="false" ht="15" hidden="false" customHeight="false" outlineLevel="0" collapsed="false">
      <c r="A489" s="62" t="n">
        <v>488</v>
      </c>
      <c r="B489" s="63" t="n">
        <v>46240.8733101852</v>
      </c>
      <c r="C489" s="64" t="n">
        <v>46240</v>
      </c>
      <c r="D489" s="62" t="s">
        <v>202</v>
      </c>
      <c r="E489" s="62" t="s">
        <v>1005</v>
      </c>
      <c r="F489" s="62" t="s">
        <v>1005</v>
      </c>
      <c r="G489" s="62" t="s">
        <v>1006</v>
      </c>
      <c r="H489" s="62" t="s">
        <v>46</v>
      </c>
      <c r="I489" s="62" t="s">
        <v>47</v>
      </c>
      <c r="J489" s="62" t="s">
        <v>146</v>
      </c>
      <c r="K489" s="62" t="s">
        <v>209</v>
      </c>
      <c r="L489" s="62" t="s">
        <v>148</v>
      </c>
      <c r="M489" s="62" t="n">
        <v>0</v>
      </c>
      <c r="N489" s="62" t="n">
        <v>1</v>
      </c>
      <c r="O489" s="62" t="n">
        <v>1</v>
      </c>
      <c r="P489" s="62" t="n">
        <v>0</v>
      </c>
      <c r="Q489" s="62" t="n">
        <v>1</v>
      </c>
      <c r="R489" s="62" t="n">
        <v>0</v>
      </c>
      <c r="S489" s="62" t="n">
        <v>0</v>
      </c>
      <c r="T489" s="62" t="n">
        <v>0</v>
      </c>
      <c r="U489" s="62"/>
      <c r="V489" s="62"/>
      <c r="W489" s="62"/>
      <c r="X489" s="62"/>
      <c r="Y489" s="62"/>
      <c r="Z489" s="62" t="s">
        <v>1057</v>
      </c>
      <c r="AA489" s="62" t="s">
        <v>1056</v>
      </c>
      <c r="AB489" s="62" t="n">
        <v>0</v>
      </c>
      <c r="AC489" s="62" t="n">
        <v>0</v>
      </c>
      <c r="AD489" s="62" t="n">
        <v>1</v>
      </c>
      <c r="AE489" s="62" t="n">
        <f aca="false">IF(AND(Dashboard!$C$9="Yes",AC489=1),0,1)</f>
        <v>1</v>
      </c>
      <c r="AF489" s="62" t="n">
        <v>0</v>
      </c>
    </row>
    <row r="490" customFormat="false" ht="15" hidden="false" customHeight="false" outlineLevel="0" collapsed="false">
      <c r="A490" s="62" t="n">
        <v>489</v>
      </c>
      <c r="B490" s="63" t="n">
        <v>46240.9229050926</v>
      </c>
      <c r="C490" s="64" t="n">
        <v>46240</v>
      </c>
      <c r="D490" s="62" t="s">
        <v>202</v>
      </c>
      <c r="E490" s="62" t="s">
        <v>160</v>
      </c>
      <c r="F490" s="62" t="s">
        <v>160</v>
      </c>
      <c r="G490" s="62" t="s">
        <v>161</v>
      </c>
      <c r="H490" s="62" t="s">
        <v>51</v>
      </c>
      <c r="I490" s="62" t="s">
        <v>47</v>
      </c>
      <c r="J490" s="62" t="s">
        <v>146</v>
      </c>
      <c r="K490" s="62" t="s">
        <v>147</v>
      </c>
      <c r="L490" s="62" t="s">
        <v>148</v>
      </c>
      <c r="M490" s="62" t="n">
        <v>0</v>
      </c>
      <c r="N490" s="62" t="n">
        <v>1</v>
      </c>
      <c r="O490" s="62" t="n">
        <v>1</v>
      </c>
      <c r="P490" s="62" t="n">
        <v>1</v>
      </c>
      <c r="Q490" s="62" t="n">
        <v>0</v>
      </c>
      <c r="R490" s="62" t="n">
        <v>0</v>
      </c>
      <c r="S490" s="62" t="n">
        <v>0</v>
      </c>
      <c r="T490" s="62" t="n">
        <v>0</v>
      </c>
      <c r="U490" s="62"/>
      <c r="V490" s="62"/>
      <c r="W490" s="62"/>
      <c r="X490" s="62"/>
      <c r="Y490" s="62"/>
      <c r="Z490" s="62" t="s">
        <v>1058</v>
      </c>
      <c r="AA490" s="62" t="s">
        <v>1059</v>
      </c>
      <c r="AB490" s="62" t="n">
        <v>1</v>
      </c>
      <c r="AC490" s="62" t="n">
        <v>0</v>
      </c>
      <c r="AD490" s="62" t="n">
        <v>1</v>
      </c>
      <c r="AE490" s="62" t="n">
        <f aca="false">IF(AND(Dashboard!$C$9="Yes",AC490=1),0,1)</f>
        <v>1</v>
      </c>
      <c r="AF490" s="62" t="n">
        <v>0</v>
      </c>
    </row>
    <row r="491" customFormat="false" ht="15" hidden="false" customHeight="false" outlineLevel="0" collapsed="false">
      <c r="A491" s="62" t="n">
        <v>490</v>
      </c>
      <c r="B491" s="63" t="n">
        <v>46240.945474537</v>
      </c>
      <c r="C491" s="64" t="n">
        <v>46240</v>
      </c>
      <c r="D491" s="62" t="s">
        <v>202</v>
      </c>
      <c r="E491" s="62" t="s">
        <v>224</v>
      </c>
      <c r="F491" s="62" t="s">
        <v>225</v>
      </c>
      <c r="G491" s="62" t="s">
        <v>153</v>
      </c>
      <c r="H491" s="62" t="s">
        <v>153</v>
      </c>
      <c r="I491" s="62" t="s">
        <v>153</v>
      </c>
      <c r="J491" s="62" t="s">
        <v>64</v>
      </c>
      <c r="K491" s="62" t="s">
        <v>64</v>
      </c>
      <c r="L491" s="62" t="s">
        <v>4</v>
      </c>
      <c r="M491" s="62" t="n">
        <v>1</v>
      </c>
      <c r="N491" s="62" t="n">
        <v>0</v>
      </c>
      <c r="O491" s="62" t="n">
        <v>1</v>
      </c>
      <c r="P491" s="62" t="n">
        <v>0</v>
      </c>
      <c r="Q491" s="62" t="n">
        <v>0</v>
      </c>
      <c r="R491" s="62" t="n">
        <v>0</v>
      </c>
      <c r="S491" s="62" t="n">
        <v>0</v>
      </c>
      <c r="T491" s="62" t="n">
        <v>0</v>
      </c>
      <c r="U491" s="62"/>
      <c r="V491" s="62"/>
      <c r="W491" s="62"/>
      <c r="X491" s="62"/>
      <c r="Y491" s="62"/>
      <c r="Z491" s="62" t="s">
        <v>1060</v>
      </c>
      <c r="AA491" s="62" t="s">
        <v>1061</v>
      </c>
      <c r="AB491" s="62" t="n">
        <v>1</v>
      </c>
      <c r="AC491" s="62" t="n">
        <v>0</v>
      </c>
      <c r="AD491" s="62" t="n">
        <v>0</v>
      </c>
      <c r="AE491" s="62" t="n">
        <f aca="false">IF(AND(Dashboard!$C$9="Yes",AC491=1),0,1)</f>
        <v>1</v>
      </c>
      <c r="AF491" s="62" t="n">
        <v>1</v>
      </c>
    </row>
    <row r="492" customFormat="false" ht="15" hidden="false" customHeight="false" outlineLevel="0" collapsed="false">
      <c r="A492" s="62" t="n">
        <v>491</v>
      </c>
      <c r="B492" s="63" t="n">
        <v>46240.9955208333</v>
      </c>
      <c r="C492" s="64" t="n">
        <v>46240</v>
      </c>
      <c r="D492" s="62" t="s">
        <v>202</v>
      </c>
      <c r="E492" s="62" t="s">
        <v>224</v>
      </c>
      <c r="F492" s="62" t="s">
        <v>225</v>
      </c>
      <c r="G492" s="62" t="s">
        <v>153</v>
      </c>
      <c r="H492" s="62" t="s">
        <v>153</v>
      </c>
      <c r="I492" s="62" t="s">
        <v>153</v>
      </c>
      <c r="J492" s="62" t="s">
        <v>64</v>
      </c>
      <c r="K492" s="62" t="s">
        <v>64</v>
      </c>
      <c r="L492" s="62" t="s">
        <v>4</v>
      </c>
      <c r="M492" s="62" t="n">
        <v>1</v>
      </c>
      <c r="N492" s="62" t="n">
        <v>0</v>
      </c>
      <c r="O492" s="62" t="n">
        <v>1</v>
      </c>
      <c r="P492" s="62" t="n">
        <v>0</v>
      </c>
      <c r="Q492" s="62" t="n">
        <v>0</v>
      </c>
      <c r="R492" s="62" t="n">
        <v>0</v>
      </c>
      <c r="S492" s="62" t="n">
        <v>0</v>
      </c>
      <c r="T492" s="62" t="n">
        <v>0</v>
      </c>
      <c r="U492" s="62"/>
      <c r="V492" s="62"/>
      <c r="W492" s="62"/>
      <c r="X492" s="62"/>
      <c r="Y492" s="62"/>
      <c r="Z492" s="62" t="s">
        <v>1062</v>
      </c>
      <c r="AA492" s="62" t="s">
        <v>1063</v>
      </c>
      <c r="AB492" s="62" t="n">
        <v>1</v>
      </c>
      <c r="AC492" s="62" t="n">
        <v>0</v>
      </c>
      <c r="AD492" s="62" t="n">
        <v>0</v>
      </c>
      <c r="AE492" s="62" t="n">
        <f aca="false">IF(AND(Dashboard!$C$9="Yes",AC492=1),0,1)</f>
        <v>1</v>
      </c>
      <c r="AF492" s="62" t="n">
        <v>0</v>
      </c>
    </row>
    <row r="493" customFormat="false" ht="15" hidden="false" customHeight="false" outlineLevel="0" collapsed="false">
      <c r="A493" s="62" t="n">
        <v>492</v>
      </c>
      <c r="B493" s="63" t="n">
        <v>46241.0094444445</v>
      </c>
      <c r="C493" s="64" t="n">
        <v>46240</v>
      </c>
      <c r="D493" s="62" t="s">
        <v>202</v>
      </c>
      <c r="E493" s="62" t="s">
        <v>307</v>
      </c>
      <c r="F493" s="62" t="s">
        <v>308</v>
      </c>
      <c r="G493" s="62" t="s">
        <v>153</v>
      </c>
      <c r="H493" s="62" t="s">
        <v>153</v>
      </c>
      <c r="I493" s="62" t="s">
        <v>153</v>
      </c>
      <c r="J493" s="62" t="s">
        <v>64</v>
      </c>
      <c r="K493" s="62" t="s">
        <v>64</v>
      </c>
      <c r="L493" s="62" t="s">
        <v>148</v>
      </c>
      <c r="M493" s="62" t="n">
        <v>0</v>
      </c>
      <c r="N493" s="62" t="n">
        <v>1</v>
      </c>
      <c r="O493" s="62" t="n">
        <v>1</v>
      </c>
      <c r="P493" s="62" t="n">
        <v>1</v>
      </c>
      <c r="Q493" s="62" t="n">
        <v>0</v>
      </c>
      <c r="R493" s="62" t="n">
        <v>0</v>
      </c>
      <c r="S493" s="62" t="n">
        <v>0</v>
      </c>
      <c r="T493" s="62" t="n">
        <v>0</v>
      </c>
      <c r="U493" s="62"/>
      <c r="V493" s="62"/>
      <c r="W493" s="62"/>
      <c r="X493" s="62"/>
      <c r="Y493" s="62"/>
      <c r="Z493" s="62" t="s">
        <v>1064</v>
      </c>
      <c r="AA493" s="62" t="s">
        <v>1065</v>
      </c>
      <c r="AB493" s="62" t="n">
        <v>1</v>
      </c>
      <c r="AC493" s="62" t="n">
        <v>0</v>
      </c>
      <c r="AD493" s="62" t="n">
        <v>0</v>
      </c>
      <c r="AE493" s="62" t="n">
        <f aca="false">IF(AND(Dashboard!$C$9="Yes",AC493=1),0,1)</f>
        <v>1</v>
      </c>
      <c r="AF493" s="62" t="n">
        <v>1</v>
      </c>
    </row>
    <row r="494" customFormat="false" ht="15" hidden="false" customHeight="false" outlineLevel="0" collapsed="false">
      <c r="A494" s="62" t="n">
        <v>493</v>
      </c>
      <c r="B494" s="63" t="n">
        <v>46241.0376273148</v>
      </c>
      <c r="C494" s="64" t="n">
        <v>46240</v>
      </c>
      <c r="D494" s="62" t="s">
        <v>202</v>
      </c>
      <c r="E494" s="62" t="s">
        <v>160</v>
      </c>
      <c r="F494" s="62" t="s">
        <v>160</v>
      </c>
      <c r="G494" s="62" t="s">
        <v>161</v>
      </c>
      <c r="H494" s="62" t="s">
        <v>51</v>
      </c>
      <c r="I494" s="62" t="s">
        <v>47</v>
      </c>
      <c r="J494" s="62" t="s">
        <v>146</v>
      </c>
      <c r="K494" s="62" t="s">
        <v>147</v>
      </c>
      <c r="L494" s="62" t="s">
        <v>148</v>
      </c>
      <c r="M494" s="62" t="n">
        <v>0</v>
      </c>
      <c r="N494" s="62" t="n">
        <v>1</v>
      </c>
      <c r="O494" s="62" t="n">
        <v>1</v>
      </c>
      <c r="P494" s="62" t="n">
        <v>1</v>
      </c>
      <c r="Q494" s="62" t="n">
        <v>0</v>
      </c>
      <c r="R494" s="62" t="n">
        <v>0</v>
      </c>
      <c r="S494" s="62" t="n">
        <v>0</v>
      </c>
      <c r="T494" s="62" t="n">
        <v>0</v>
      </c>
      <c r="U494" s="62"/>
      <c r="V494" s="62"/>
      <c r="W494" s="62"/>
      <c r="X494" s="62"/>
      <c r="Y494" s="62"/>
      <c r="Z494" s="62" t="s">
        <v>1066</v>
      </c>
      <c r="AA494" s="62" t="s">
        <v>1067</v>
      </c>
      <c r="AB494" s="62" t="n">
        <v>1</v>
      </c>
      <c r="AC494" s="62" t="n">
        <v>0</v>
      </c>
      <c r="AD494" s="62" t="n">
        <v>1</v>
      </c>
      <c r="AE494" s="62" t="n">
        <f aca="false">IF(AND(Dashboard!$C$9="Yes",AC494=1),0,1)</f>
        <v>1</v>
      </c>
      <c r="AF494" s="62" t="n">
        <v>0</v>
      </c>
    </row>
    <row r="495" customFormat="false" ht="15" hidden="false" customHeight="false" outlineLevel="0" collapsed="false">
      <c r="A495" s="62" t="n">
        <v>494</v>
      </c>
      <c r="B495" s="63" t="n">
        <v>46241.0675925926</v>
      </c>
      <c r="C495" s="64" t="n">
        <v>46240</v>
      </c>
      <c r="D495" s="62" t="s">
        <v>202</v>
      </c>
      <c r="E495" s="62" t="s">
        <v>307</v>
      </c>
      <c r="F495" s="62" t="s">
        <v>308</v>
      </c>
      <c r="G495" s="62" t="s">
        <v>153</v>
      </c>
      <c r="H495" s="62" t="s">
        <v>153</v>
      </c>
      <c r="I495" s="62" t="s">
        <v>153</v>
      </c>
      <c r="J495" s="62" t="s">
        <v>64</v>
      </c>
      <c r="K495" s="62" t="s">
        <v>64</v>
      </c>
      <c r="L495" s="62" t="s">
        <v>148</v>
      </c>
      <c r="M495" s="62" t="n">
        <v>0</v>
      </c>
      <c r="N495" s="62" t="n">
        <v>2</v>
      </c>
      <c r="O495" s="62" t="n">
        <v>2</v>
      </c>
      <c r="P495" s="62" t="n">
        <v>1</v>
      </c>
      <c r="Q495" s="62" t="n">
        <v>1</v>
      </c>
      <c r="R495" s="62" t="n">
        <v>0</v>
      </c>
      <c r="S495" s="62" t="n">
        <v>0</v>
      </c>
      <c r="T495" s="62" t="n">
        <v>0</v>
      </c>
      <c r="U495" s="62"/>
      <c r="V495" s="62"/>
      <c r="W495" s="62"/>
      <c r="X495" s="62"/>
      <c r="Y495" s="62"/>
      <c r="Z495" s="62" t="s">
        <v>1068</v>
      </c>
      <c r="AA495" s="62" t="s">
        <v>1069</v>
      </c>
      <c r="AB495" s="62" t="n">
        <v>1</v>
      </c>
      <c r="AC495" s="62" t="n">
        <v>0</v>
      </c>
      <c r="AD495" s="62" t="n">
        <v>0</v>
      </c>
      <c r="AE495" s="62" t="n">
        <f aca="false">IF(AND(Dashboard!$C$9="Yes",AC495=1),0,1)</f>
        <v>1</v>
      </c>
      <c r="AF495" s="62" t="n">
        <v>0</v>
      </c>
    </row>
    <row r="496" customFormat="false" ht="15" hidden="false" customHeight="false" outlineLevel="0" collapsed="false">
      <c r="A496" s="62" t="n">
        <v>495</v>
      </c>
      <c r="B496" s="63" t="n">
        <v>46241.0750810185</v>
      </c>
      <c r="C496" s="64" t="n">
        <v>46240</v>
      </c>
      <c r="D496" s="62" t="s">
        <v>202</v>
      </c>
      <c r="E496" s="62" t="s">
        <v>239</v>
      </c>
      <c r="F496" s="62" t="s">
        <v>240</v>
      </c>
      <c r="G496" s="62" t="s">
        <v>153</v>
      </c>
      <c r="H496" s="62" t="s">
        <v>153</v>
      </c>
      <c r="I496" s="62" t="s">
        <v>153</v>
      </c>
      <c r="J496" s="62" t="s">
        <v>64</v>
      </c>
      <c r="K496" s="62" t="s">
        <v>64</v>
      </c>
      <c r="L496" s="62" t="s">
        <v>4</v>
      </c>
      <c r="M496" s="62" t="n">
        <v>1</v>
      </c>
      <c r="N496" s="62" t="n">
        <v>0</v>
      </c>
      <c r="O496" s="62" t="n">
        <v>1</v>
      </c>
      <c r="P496" s="62" t="n">
        <v>0</v>
      </c>
      <c r="Q496" s="62" t="n">
        <v>0</v>
      </c>
      <c r="R496" s="62" t="n">
        <v>0</v>
      </c>
      <c r="S496" s="62" t="n">
        <v>0</v>
      </c>
      <c r="T496" s="62" t="n">
        <v>0</v>
      </c>
      <c r="U496" s="62"/>
      <c r="V496" s="62"/>
      <c r="W496" s="62"/>
      <c r="X496" s="62"/>
      <c r="Y496" s="62"/>
      <c r="Z496" s="62" t="s">
        <v>1070</v>
      </c>
      <c r="AA496" s="62" t="s">
        <v>1071</v>
      </c>
      <c r="AB496" s="62" t="n">
        <v>1</v>
      </c>
      <c r="AC496" s="62" t="n">
        <v>0</v>
      </c>
      <c r="AD496" s="62" t="n">
        <v>0</v>
      </c>
      <c r="AE496" s="62" t="n">
        <f aca="false">IF(AND(Dashboard!$C$9="Yes",AC496=1),0,1)</f>
        <v>1</v>
      </c>
      <c r="AF496" s="62" t="n">
        <v>1</v>
      </c>
    </row>
    <row r="497" customFormat="false" ht="15" hidden="false" customHeight="false" outlineLevel="0" collapsed="false">
      <c r="A497" s="62" t="n">
        <v>496</v>
      </c>
      <c r="B497" s="63" t="n">
        <v>46241.0997916667</v>
      </c>
      <c r="C497" s="64" t="n">
        <v>46240</v>
      </c>
      <c r="D497" s="62" t="s">
        <v>202</v>
      </c>
      <c r="E497" s="62" t="s">
        <v>190</v>
      </c>
      <c r="F497" s="62" t="s">
        <v>191</v>
      </c>
      <c r="G497" s="62" t="s">
        <v>153</v>
      </c>
      <c r="H497" s="62" t="s">
        <v>153</v>
      </c>
      <c r="I497" s="62" t="s">
        <v>153</v>
      </c>
      <c r="J497" s="62" t="s">
        <v>64</v>
      </c>
      <c r="K497" s="62" t="s">
        <v>64</v>
      </c>
      <c r="L497" s="62" t="s">
        <v>4</v>
      </c>
      <c r="M497" s="62" t="n">
        <v>1</v>
      </c>
      <c r="N497" s="62" t="n">
        <v>0</v>
      </c>
      <c r="O497" s="62" t="n">
        <v>1</v>
      </c>
      <c r="P497" s="62" t="n">
        <v>0</v>
      </c>
      <c r="Q497" s="62" t="n">
        <v>0</v>
      </c>
      <c r="R497" s="62" t="n">
        <v>0</v>
      </c>
      <c r="S497" s="62" t="n">
        <v>0</v>
      </c>
      <c r="T497" s="62" t="n">
        <v>0</v>
      </c>
      <c r="U497" s="62"/>
      <c r="V497" s="62"/>
      <c r="W497" s="62"/>
      <c r="X497" s="62"/>
      <c r="Y497" s="62"/>
      <c r="Z497" s="62" t="s">
        <v>1072</v>
      </c>
      <c r="AA497" s="62" t="s">
        <v>1073</v>
      </c>
      <c r="AB497" s="62" t="n">
        <v>1</v>
      </c>
      <c r="AC497" s="62" t="n">
        <v>0</v>
      </c>
      <c r="AD497" s="62" t="n">
        <v>0</v>
      </c>
      <c r="AE497" s="62" t="n">
        <f aca="false">IF(AND(Dashboard!$C$9="Yes",AC497=1),0,1)</f>
        <v>1</v>
      </c>
      <c r="AF497" s="62" t="n">
        <v>1</v>
      </c>
    </row>
    <row r="498" customFormat="false" ht="15" hidden="false" customHeight="false" outlineLevel="0" collapsed="false">
      <c r="A498" s="62" t="n">
        <v>497</v>
      </c>
      <c r="B498" s="63" t="n">
        <v>46241.1064467593</v>
      </c>
      <c r="C498" s="64" t="n">
        <v>46240</v>
      </c>
      <c r="D498" s="62" t="s">
        <v>202</v>
      </c>
      <c r="E498" s="62" t="s">
        <v>156</v>
      </c>
      <c r="F498" s="62" t="s">
        <v>156</v>
      </c>
      <c r="G498" s="62" t="s">
        <v>157</v>
      </c>
      <c r="H498" s="62" t="s">
        <v>51</v>
      </c>
      <c r="I498" s="62" t="s">
        <v>47</v>
      </c>
      <c r="J498" s="62" t="s">
        <v>146</v>
      </c>
      <c r="K498" s="62" t="s">
        <v>147</v>
      </c>
      <c r="L498" s="62" t="s">
        <v>148</v>
      </c>
      <c r="M498" s="62" t="n">
        <v>0</v>
      </c>
      <c r="N498" s="62" t="n">
        <v>1</v>
      </c>
      <c r="O498" s="62" t="n">
        <v>1</v>
      </c>
      <c r="P498" s="62" t="n">
        <v>1</v>
      </c>
      <c r="Q498" s="62" t="n">
        <v>0</v>
      </c>
      <c r="R498" s="62" t="n">
        <v>0</v>
      </c>
      <c r="S498" s="62" t="n">
        <v>0</v>
      </c>
      <c r="T498" s="62" t="n">
        <v>0</v>
      </c>
      <c r="U498" s="62"/>
      <c r="V498" s="62"/>
      <c r="W498" s="62"/>
      <c r="X498" s="62"/>
      <c r="Y498" s="62"/>
      <c r="Z498" s="62" t="s">
        <v>1074</v>
      </c>
      <c r="AA498" s="62" t="s">
        <v>1075</v>
      </c>
      <c r="AB498" s="62" t="n">
        <v>1</v>
      </c>
      <c r="AC498" s="62" t="n">
        <v>0</v>
      </c>
      <c r="AD498" s="62" t="n">
        <v>1</v>
      </c>
      <c r="AE498" s="62" t="n">
        <f aca="false">IF(AND(Dashboard!$C$9="Yes",AC498=1),0,1)</f>
        <v>1</v>
      </c>
      <c r="AF498" s="62" t="n">
        <v>1</v>
      </c>
    </row>
    <row r="499" customFormat="false" ht="15" hidden="false" customHeight="false" outlineLevel="0" collapsed="false">
      <c r="A499" s="62" t="n">
        <v>498</v>
      </c>
      <c r="B499" s="63" t="n">
        <v>46241.1324305556</v>
      </c>
      <c r="C499" s="64" t="n">
        <v>46240</v>
      </c>
      <c r="D499" s="62" t="s">
        <v>202</v>
      </c>
      <c r="E499" s="62" t="s">
        <v>518</v>
      </c>
      <c r="F499" s="62" t="s">
        <v>518</v>
      </c>
      <c r="G499" s="62" t="s">
        <v>519</v>
      </c>
      <c r="H499" s="62" t="s">
        <v>52</v>
      </c>
      <c r="I499" s="62" t="s">
        <v>47</v>
      </c>
      <c r="J499" s="62" t="s">
        <v>146</v>
      </c>
      <c r="K499" s="62" t="s">
        <v>147</v>
      </c>
      <c r="L499" s="62" t="s">
        <v>148</v>
      </c>
      <c r="M499" s="62" t="n">
        <v>0</v>
      </c>
      <c r="N499" s="62" t="n">
        <v>1</v>
      </c>
      <c r="O499" s="62" t="n">
        <v>1</v>
      </c>
      <c r="P499" s="62" t="n">
        <v>0</v>
      </c>
      <c r="Q499" s="62" t="n">
        <v>1</v>
      </c>
      <c r="R499" s="62" t="n">
        <v>0</v>
      </c>
      <c r="S499" s="62" t="n">
        <v>0</v>
      </c>
      <c r="T499" s="62" t="n">
        <v>0</v>
      </c>
      <c r="U499" s="62"/>
      <c r="V499" s="62"/>
      <c r="W499" s="62"/>
      <c r="X499" s="62"/>
      <c r="Y499" s="62"/>
      <c r="Z499" s="62" t="s">
        <v>1076</v>
      </c>
      <c r="AA499" s="62" t="s">
        <v>1077</v>
      </c>
      <c r="AB499" s="62" t="n">
        <v>1</v>
      </c>
      <c r="AC499" s="62" t="n">
        <v>0</v>
      </c>
      <c r="AD499" s="62" t="n">
        <v>1</v>
      </c>
      <c r="AE499" s="62" t="n">
        <f aca="false">IF(AND(Dashboard!$C$9="Yes",AC499=1),0,1)</f>
        <v>1</v>
      </c>
      <c r="AF499" s="62" t="n">
        <v>0</v>
      </c>
    </row>
    <row r="500" customFormat="false" ht="15" hidden="false" customHeight="false" outlineLevel="0" collapsed="false">
      <c r="A500" s="62" t="n">
        <v>499</v>
      </c>
      <c r="B500" s="63" t="n">
        <v>46241.1456134259</v>
      </c>
      <c r="C500" s="64" t="n">
        <v>46240</v>
      </c>
      <c r="D500" s="62" t="s">
        <v>202</v>
      </c>
      <c r="E500" s="62" t="s">
        <v>1005</v>
      </c>
      <c r="F500" s="62" t="s">
        <v>1005</v>
      </c>
      <c r="G500" s="62" t="s">
        <v>1006</v>
      </c>
      <c r="H500" s="62" t="s">
        <v>46</v>
      </c>
      <c r="I500" s="62" t="s">
        <v>47</v>
      </c>
      <c r="J500" s="62" t="s">
        <v>146</v>
      </c>
      <c r="K500" s="62" t="s">
        <v>209</v>
      </c>
      <c r="L500" s="62" t="s">
        <v>148</v>
      </c>
      <c r="M500" s="62" t="n">
        <v>0</v>
      </c>
      <c r="N500" s="62" t="n">
        <v>1</v>
      </c>
      <c r="O500" s="62" t="n">
        <v>1</v>
      </c>
      <c r="P500" s="62" t="n">
        <v>0</v>
      </c>
      <c r="Q500" s="62" t="n">
        <v>1</v>
      </c>
      <c r="R500" s="62" t="n">
        <v>0</v>
      </c>
      <c r="S500" s="62" t="n">
        <v>0</v>
      </c>
      <c r="T500" s="62" t="n">
        <v>0</v>
      </c>
      <c r="U500" s="62"/>
      <c r="V500" s="62"/>
      <c r="W500" s="62"/>
      <c r="X500" s="62"/>
      <c r="Y500" s="62"/>
      <c r="Z500" s="62" t="s">
        <v>1078</v>
      </c>
      <c r="AA500" s="62" t="s">
        <v>1079</v>
      </c>
      <c r="AB500" s="62" t="n">
        <v>0</v>
      </c>
      <c r="AC500" s="62" t="n">
        <v>0</v>
      </c>
      <c r="AD500" s="62" t="n">
        <v>1</v>
      </c>
      <c r="AE500" s="62" t="n">
        <f aca="false">IF(AND(Dashboard!$C$9="Yes",AC500=1),0,1)</f>
        <v>1</v>
      </c>
      <c r="AF500" s="62" t="n">
        <v>0</v>
      </c>
    </row>
    <row r="501" customFormat="false" ht="15" hidden="false" customHeight="false" outlineLevel="0" collapsed="false">
      <c r="A501" s="62" t="n">
        <v>500</v>
      </c>
      <c r="B501" s="63" t="n">
        <v>46241.1970717593</v>
      </c>
      <c r="C501" s="64" t="n">
        <v>46240</v>
      </c>
      <c r="D501" s="62" t="s">
        <v>202</v>
      </c>
      <c r="E501" s="62" t="s">
        <v>790</v>
      </c>
      <c r="F501" s="62" t="s">
        <v>791</v>
      </c>
      <c r="G501" s="62" t="s">
        <v>153</v>
      </c>
      <c r="H501" s="62" t="s">
        <v>153</v>
      </c>
      <c r="I501" s="62" t="s">
        <v>153</v>
      </c>
      <c r="J501" s="62" t="s">
        <v>64</v>
      </c>
      <c r="K501" s="62" t="s">
        <v>64</v>
      </c>
      <c r="L501" s="62" t="s">
        <v>148</v>
      </c>
      <c r="M501" s="62" t="n">
        <v>0</v>
      </c>
      <c r="N501" s="62" t="n">
        <v>1</v>
      </c>
      <c r="O501" s="62" t="n">
        <v>1</v>
      </c>
      <c r="P501" s="62" t="n">
        <v>1</v>
      </c>
      <c r="Q501" s="62" t="n">
        <v>0</v>
      </c>
      <c r="R501" s="62" t="n">
        <v>0</v>
      </c>
      <c r="S501" s="62" t="n">
        <v>0</v>
      </c>
      <c r="T501" s="62" t="n">
        <v>0</v>
      </c>
      <c r="U501" s="62"/>
      <c r="V501" s="62"/>
      <c r="W501" s="62"/>
      <c r="X501" s="62"/>
      <c r="Y501" s="62"/>
      <c r="Z501" s="62" t="s">
        <v>1080</v>
      </c>
      <c r="AA501" s="62" t="s">
        <v>1081</v>
      </c>
      <c r="AB501" s="62" t="n">
        <v>1</v>
      </c>
      <c r="AC501" s="62" t="n">
        <v>0</v>
      </c>
      <c r="AD501" s="62" t="n">
        <v>0</v>
      </c>
      <c r="AE501" s="62" t="n">
        <f aca="false">IF(AND(Dashboard!$C$9="Yes",AC501=1),0,1)</f>
        <v>1</v>
      </c>
      <c r="AF501" s="62" t="n">
        <v>1</v>
      </c>
    </row>
    <row r="502" customFormat="false" ht="15" hidden="false" customHeight="false" outlineLevel="0" collapsed="false">
      <c r="A502" s="62" t="n">
        <v>501</v>
      </c>
      <c r="B502" s="63" t="n">
        <v>46241.2215046296</v>
      </c>
      <c r="C502" s="64" t="n">
        <v>46240</v>
      </c>
      <c r="D502" s="62" t="s">
        <v>202</v>
      </c>
      <c r="E502" s="62" t="s">
        <v>144</v>
      </c>
      <c r="F502" s="62" t="s">
        <v>144</v>
      </c>
      <c r="G502" s="62" t="s">
        <v>145</v>
      </c>
      <c r="H502" s="62" t="s">
        <v>59</v>
      </c>
      <c r="I502" s="62" t="s">
        <v>47</v>
      </c>
      <c r="J502" s="62" t="s">
        <v>146</v>
      </c>
      <c r="K502" s="62" t="s">
        <v>147</v>
      </c>
      <c r="L502" s="62" t="s">
        <v>148</v>
      </c>
      <c r="M502" s="62" t="n">
        <v>0</v>
      </c>
      <c r="N502" s="62" t="n">
        <v>1</v>
      </c>
      <c r="O502" s="62" t="n">
        <v>1</v>
      </c>
      <c r="P502" s="62" t="n">
        <v>1</v>
      </c>
      <c r="Q502" s="62" t="n">
        <v>0</v>
      </c>
      <c r="R502" s="62" t="n">
        <v>0</v>
      </c>
      <c r="S502" s="62" t="n">
        <v>0</v>
      </c>
      <c r="T502" s="62" t="n">
        <v>0</v>
      </c>
      <c r="U502" s="62"/>
      <c r="V502" s="62"/>
      <c r="W502" s="62"/>
      <c r="X502" s="62"/>
      <c r="Y502" s="62"/>
      <c r="Z502" s="62" t="s">
        <v>1082</v>
      </c>
      <c r="AA502" s="62" t="s">
        <v>237</v>
      </c>
      <c r="AB502" s="62" t="n">
        <v>0</v>
      </c>
      <c r="AC502" s="62" t="n">
        <v>0</v>
      </c>
      <c r="AD502" s="62" t="n">
        <v>1</v>
      </c>
      <c r="AE502" s="62" t="n">
        <f aca="false">IF(AND(Dashboard!$C$9="Yes",AC502=1),0,1)</f>
        <v>1</v>
      </c>
      <c r="AF502" s="62" t="n">
        <v>1</v>
      </c>
    </row>
    <row r="503" customFormat="false" ht="15" hidden="false" customHeight="false" outlineLevel="0" collapsed="false">
      <c r="A503" s="62" t="n">
        <v>502</v>
      </c>
      <c r="B503" s="63" t="n">
        <v>46241.2236111111</v>
      </c>
      <c r="C503" s="64" t="n">
        <v>46240</v>
      </c>
      <c r="D503" s="62" t="s">
        <v>202</v>
      </c>
      <c r="E503" s="62" t="s">
        <v>144</v>
      </c>
      <c r="F503" s="62" t="s">
        <v>144</v>
      </c>
      <c r="G503" s="62" t="s">
        <v>145</v>
      </c>
      <c r="H503" s="62" t="s">
        <v>59</v>
      </c>
      <c r="I503" s="62" t="s">
        <v>47</v>
      </c>
      <c r="J503" s="62" t="s">
        <v>146</v>
      </c>
      <c r="K503" s="62" t="s">
        <v>147</v>
      </c>
      <c r="L503" s="62" t="s">
        <v>148</v>
      </c>
      <c r="M503" s="62" t="n">
        <v>0</v>
      </c>
      <c r="N503" s="62" t="n">
        <v>3</v>
      </c>
      <c r="O503" s="62" t="n">
        <v>3</v>
      </c>
      <c r="P503" s="62" t="n">
        <v>1</v>
      </c>
      <c r="Q503" s="62" t="n">
        <v>1</v>
      </c>
      <c r="R503" s="62" t="n">
        <v>1</v>
      </c>
      <c r="S503" s="62" t="n">
        <v>0</v>
      </c>
      <c r="T503" s="62" t="n">
        <v>0</v>
      </c>
      <c r="U503" s="62"/>
      <c r="V503" s="62"/>
      <c r="W503" s="62"/>
      <c r="X503" s="62"/>
      <c r="Y503" s="62"/>
      <c r="Z503" s="62" t="s">
        <v>1083</v>
      </c>
      <c r="AA503" s="62" t="s">
        <v>1084</v>
      </c>
      <c r="AB503" s="62" t="n">
        <v>0</v>
      </c>
      <c r="AC503" s="62" t="n">
        <v>0</v>
      </c>
      <c r="AD503" s="62" t="n">
        <v>1</v>
      </c>
      <c r="AE503" s="62" t="n">
        <f aca="false">IF(AND(Dashboard!$C$9="Yes",AC503=1),0,1)</f>
        <v>1</v>
      </c>
      <c r="AF503" s="62" t="n">
        <v>0</v>
      </c>
    </row>
    <row r="504" customFormat="false" ht="15" hidden="false" customHeight="false" outlineLevel="0" collapsed="false">
      <c r="A504" s="62" t="n">
        <v>503</v>
      </c>
      <c r="B504" s="63" t="n">
        <v>46241.2238888889</v>
      </c>
      <c r="C504" s="64" t="n">
        <v>46240</v>
      </c>
      <c r="D504" s="62" t="s">
        <v>202</v>
      </c>
      <c r="E504" s="62" t="s">
        <v>144</v>
      </c>
      <c r="F504" s="62" t="s">
        <v>144</v>
      </c>
      <c r="G504" s="62" t="s">
        <v>145</v>
      </c>
      <c r="H504" s="62" t="s">
        <v>59</v>
      </c>
      <c r="I504" s="62" t="s">
        <v>47</v>
      </c>
      <c r="J504" s="62" t="s">
        <v>146</v>
      </c>
      <c r="K504" s="62" t="s">
        <v>147</v>
      </c>
      <c r="L504" s="62" t="s">
        <v>148</v>
      </c>
      <c r="M504" s="62" t="n">
        <v>0</v>
      </c>
      <c r="N504" s="62" t="n">
        <v>3</v>
      </c>
      <c r="O504" s="62" t="n">
        <v>3</v>
      </c>
      <c r="P504" s="62" t="n">
        <v>1</v>
      </c>
      <c r="Q504" s="62" t="n">
        <v>1</v>
      </c>
      <c r="R504" s="62" t="n">
        <v>1</v>
      </c>
      <c r="S504" s="62" t="n">
        <v>0</v>
      </c>
      <c r="T504" s="62" t="n">
        <v>0</v>
      </c>
      <c r="U504" s="62"/>
      <c r="V504" s="62"/>
      <c r="W504" s="62"/>
      <c r="X504" s="62"/>
      <c r="Y504" s="62"/>
      <c r="Z504" s="62" t="s">
        <v>1083</v>
      </c>
      <c r="AA504" s="62" t="s">
        <v>1084</v>
      </c>
      <c r="AB504" s="62" t="n">
        <v>0</v>
      </c>
      <c r="AC504" s="62" t="n">
        <v>0</v>
      </c>
      <c r="AD504" s="62" t="n">
        <v>1</v>
      </c>
      <c r="AE504" s="62" t="n">
        <f aca="false">IF(AND(Dashboard!$C$9="Yes",AC504=1),0,1)</f>
        <v>1</v>
      </c>
      <c r="AF504" s="62" t="n">
        <v>0</v>
      </c>
    </row>
    <row r="505" customFormat="false" ht="15" hidden="false" customHeight="false" outlineLevel="0" collapsed="false">
      <c r="A505" s="62" t="n">
        <v>504</v>
      </c>
      <c r="B505" s="63" t="n">
        <v>46241.2283564815</v>
      </c>
      <c r="C505" s="64" t="n">
        <v>46240</v>
      </c>
      <c r="D505" s="62" t="s">
        <v>202</v>
      </c>
      <c r="E505" s="62" t="s">
        <v>239</v>
      </c>
      <c r="F505" s="62" t="s">
        <v>240</v>
      </c>
      <c r="G505" s="62" t="s">
        <v>153</v>
      </c>
      <c r="H505" s="62" t="s">
        <v>153</v>
      </c>
      <c r="I505" s="62" t="s">
        <v>153</v>
      </c>
      <c r="J505" s="62" t="s">
        <v>64</v>
      </c>
      <c r="K505" s="62" t="s">
        <v>64</v>
      </c>
      <c r="L505" s="62" t="s">
        <v>148</v>
      </c>
      <c r="M505" s="62" t="n">
        <v>0</v>
      </c>
      <c r="N505" s="62" t="n">
        <v>1</v>
      </c>
      <c r="O505" s="62" t="n">
        <v>1</v>
      </c>
      <c r="P505" s="62" t="n">
        <v>1</v>
      </c>
      <c r="Q505" s="62" t="n">
        <v>0</v>
      </c>
      <c r="R505" s="62" t="n">
        <v>0</v>
      </c>
      <c r="S505" s="62" t="n">
        <v>0</v>
      </c>
      <c r="T505" s="62" t="n">
        <v>0</v>
      </c>
      <c r="U505" s="62"/>
      <c r="V505" s="62"/>
      <c r="W505" s="62"/>
      <c r="X505" s="62"/>
      <c r="Y505" s="62"/>
      <c r="Z505" s="62" t="s">
        <v>1085</v>
      </c>
      <c r="AA505" s="62" t="s">
        <v>1086</v>
      </c>
      <c r="AB505" s="62" t="n">
        <v>1</v>
      </c>
      <c r="AC505" s="62" t="n">
        <v>0</v>
      </c>
      <c r="AD505" s="62" t="n">
        <v>0</v>
      </c>
      <c r="AE505" s="62" t="n">
        <f aca="false">IF(AND(Dashboard!$C$9="Yes",AC505=1),0,1)</f>
        <v>1</v>
      </c>
      <c r="AF505" s="62" t="n">
        <v>0</v>
      </c>
    </row>
    <row r="506" customFormat="false" ht="15" hidden="false" customHeight="false" outlineLevel="0" collapsed="false">
      <c r="A506" s="62" t="n">
        <v>505</v>
      </c>
      <c r="B506" s="63" t="n">
        <v>46241.2369328704</v>
      </c>
      <c r="C506" s="64" t="n">
        <v>46240</v>
      </c>
      <c r="D506" s="62" t="s">
        <v>202</v>
      </c>
      <c r="E506" s="62" t="s">
        <v>190</v>
      </c>
      <c r="F506" s="62" t="s">
        <v>191</v>
      </c>
      <c r="G506" s="62" t="s">
        <v>153</v>
      </c>
      <c r="H506" s="62" t="s">
        <v>153</v>
      </c>
      <c r="I506" s="62" t="s">
        <v>153</v>
      </c>
      <c r="J506" s="62" t="s">
        <v>64</v>
      </c>
      <c r="K506" s="62" t="s">
        <v>64</v>
      </c>
      <c r="L506" s="62" t="s">
        <v>148</v>
      </c>
      <c r="M506" s="62" t="n">
        <v>0</v>
      </c>
      <c r="N506" s="62" t="n">
        <v>1</v>
      </c>
      <c r="O506" s="62" t="n">
        <v>1</v>
      </c>
      <c r="P506" s="62" t="n">
        <v>1</v>
      </c>
      <c r="Q506" s="62" t="n">
        <v>0</v>
      </c>
      <c r="R506" s="62" t="n">
        <v>0</v>
      </c>
      <c r="S506" s="62" t="n">
        <v>0</v>
      </c>
      <c r="T506" s="62" t="n">
        <v>0</v>
      </c>
      <c r="U506" s="62"/>
      <c r="V506" s="62"/>
      <c r="W506" s="62"/>
      <c r="X506" s="62"/>
      <c r="Y506" s="62"/>
      <c r="Z506" s="62" t="s">
        <v>1087</v>
      </c>
      <c r="AA506" s="62" t="s">
        <v>1088</v>
      </c>
      <c r="AB506" s="62" t="n">
        <v>1</v>
      </c>
      <c r="AC506" s="62" t="n">
        <v>0</v>
      </c>
      <c r="AD506" s="62" t="n">
        <v>0</v>
      </c>
      <c r="AE506" s="62" t="n">
        <f aca="false">IF(AND(Dashboard!$C$9="Yes",AC506=1),0,1)</f>
        <v>1</v>
      </c>
      <c r="AF506" s="62" t="n">
        <v>0</v>
      </c>
    </row>
    <row r="507" customFormat="false" ht="15" hidden="false" customHeight="false" outlineLevel="0" collapsed="false">
      <c r="A507" s="62" t="n">
        <v>506</v>
      </c>
      <c r="B507" s="63" t="n">
        <v>46241.3061921296</v>
      </c>
      <c r="C507" s="64" t="n">
        <v>46240</v>
      </c>
      <c r="D507" s="62" t="s">
        <v>202</v>
      </c>
      <c r="E507" s="62" t="s">
        <v>144</v>
      </c>
      <c r="F507" s="62" t="s">
        <v>144</v>
      </c>
      <c r="G507" s="62" t="s">
        <v>145</v>
      </c>
      <c r="H507" s="62" t="s">
        <v>59</v>
      </c>
      <c r="I507" s="62" t="s">
        <v>47</v>
      </c>
      <c r="J507" s="62" t="s">
        <v>146</v>
      </c>
      <c r="K507" s="62" t="s">
        <v>147</v>
      </c>
      <c r="L507" s="62" t="s">
        <v>4</v>
      </c>
      <c r="M507" s="62" t="n">
        <v>1</v>
      </c>
      <c r="N507" s="62" t="n">
        <v>0</v>
      </c>
      <c r="O507" s="62" t="n">
        <v>1</v>
      </c>
      <c r="P507" s="62" t="n">
        <v>0</v>
      </c>
      <c r="Q507" s="62" t="n">
        <v>0</v>
      </c>
      <c r="R507" s="62" t="n">
        <v>0</v>
      </c>
      <c r="S507" s="62" t="n">
        <v>0</v>
      </c>
      <c r="T507" s="62" t="n">
        <v>0</v>
      </c>
      <c r="U507" s="62"/>
      <c r="V507" s="62"/>
      <c r="W507" s="62"/>
      <c r="X507" s="62"/>
      <c r="Y507" s="62"/>
      <c r="Z507" s="62" t="s">
        <v>1089</v>
      </c>
      <c r="AA507" s="62" t="s">
        <v>1090</v>
      </c>
      <c r="AB507" s="62" t="n">
        <v>0</v>
      </c>
      <c r="AC507" s="62" t="n">
        <v>0</v>
      </c>
      <c r="AD507" s="62" t="n">
        <v>1</v>
      </c>
      <c r="AE507" s="62" t="n">
        <f aca="false">IF(AND(Dashboard!$C$9="Yes",AC507=1),0,1)</f>
        <v>1</v>
      </c>
      <c r="AF507" s="62" t="n">
        <v>0</v>
      </c>
    </row>
    <row r="508" customFormat="false" ht="15" hidden="false" customHeight="false" outlineLevel="0" collapsed="false">
      <c r="A508" s="62" t="n">
        <v>507</v>
      </c>
      <c r="B508" s="63" t="n">
        <v>46241.6040393519</v>
      </c>
      <c r="C508" s="64" t="n">
        <v>46241</v>
      </c>
      <c r="D508" s="62" t="s">
        <v>288</v>
      </c>
      <c r="E508" s="62" t="s">
        <v>713</v>
      </c>
      <c r="F508" s="62" t="s">
        <v>714</v>
      </c>
      <c r="G508" s="62" t="s">
        <v>153</v>
      </c>
      <c r="H508" s="62" t="s">
        <v>153</v>
      </c>
      <c r="I508" s="62" t="s">
        <v>153</v>
      </c>
      <c r="J508" s="62" t="s">
        <v>64</v>
      </c>
      <c r="K508" s="62" t="s">
        <v>64</v>
      </c>
      <c r="L508" s="62" t="s">
        <v>148</v>
      </c>
      <c r="M508" s="62" t="n">
        <v>0</v>
      </c>
      <c r="N508" s="62" t="n">
        <v>1</v>
      </c>
      <c r="O508" s="62" t="n">
        <v>1</v>
      </c>
      <c r="P508" s="62" t="n">
        <v>1</v>
      </c>
      <c r="Q508" s="62" t="n">
        <v>0</v>
      </c>
      <c r="R508" s="62" t="n">
        <v>0</v>
      </c>
      <c r="S508" s="62" t="n">
        <v>0</v>
      </c>
      <c r="T508" s="62" t="n">
        <v>0</v>
      </c>
      <c r="U508" s="62"/>
      <c r="V508" s="62"/>
      <c r="W508" s="62"/>
      <c r="X508" s="62"/>
      <c r="Y508" s="62"/>
      <c r="Z508" s="62" t="s">
        <v>1091</v>
      </c>
      <c r="AA508" s="62" t="s">
        <v>237</v>
      </c>
      <c r="AB508" s="62" t="n">
        <v>0</v>
      </c>
      <c r="AC508" s="62" t="n">
        <v>0</v>
      </c>
      <c r="AD508" s="62" t="n">
        <v>0</v>
      </c>
      <c r="AE508" s="62" t="n">
        <f aca="false">IF(AND(Dashboard!$C$9="Yes",AC508=1),0,1)</f>
        <v>1</v>
      </c>
      <c r="AF508" s="62" t="n">
        <v>1</v>
      </c>
    </row>
    <row r="509" customFormat="false" ht="15" hidden="false" customHeight="false" outlineLevel="0" collapsed="false">
      <c r="A509" s="62" t="n">
        <v>508</v>
      </c>
      <c r="B509" s="63" t="n">
        <v>46241.6237731482</v>
      </c>
      <c r="C509" s="64" t="n">
        <v>46241</v>
      </c>
      <c r="D509" s="62" t="s">
        <v>288</v>
      </c>
      <c r="E509" s="62" t="s">
        <v>573</v>
      </c>
      <c r="F509" s="62" t="s">
        <v>573</v>
      </c>
      <c r="G509" s="62" t="s">
        <v>574</v>
      </c>
      <c r="H509" s="62" t="s">
        <v>51</v>
      </c>
      <c r="I509" s="62" t="s">
        <v>47</v>
      </c>
      <c r="J509" s="62" t="s">
        <v>146</v>
      </c>
      <c r="K509" s="62" t="s">
        <v>147</v>
      </c>
      <c r="L509" s="62" t="s">
        <v>148</v>
      </c>
      <c r="M509" s="62" t="n">
        <v>0</v>
      </c>
      <c r="N509" s="62" t="n">
        <v>1</v>
      </c>
      <c r="O509" s="62" t="n">
        <v>1</v>
      </c>
      <c r="P509" s="62" t="n">
        <v>1</v>
      </c>
      <c r="Q509" s="62" t="n">
        <v>0</v>
      </c>
      <c r="R509" s="62" t="n">
        <v>0</v>
      </c>
      <c r="S509" s="62" t="n">
        <v>0</v>
      </c>
      <c r="T509" s="62" t="n">
        <v>0</v>
      </c>
      <c r="U509" s="62"/>
      <c r="V509" s="62"/>
      <c r="W509" s="62"/>
      <c r="X509" s="62"/>
      <c r="Y509" s="62"/>
      <c r="Z509" s="62" t="s">
        <v>1092</v>
      </c>
      <c r="AA509" s="62" t="s">
        <v>1093</v>
      </c>
      <c r="AB509" s="62" t="n">
        <v>1</v>
      </c>
      <c r="AC509" s="62" t="n">
        <v>0</v>
      </c>
      <c r="AD509" s="62" t="n">
        <v>1</v>
      </c>
      <c r="AE509" s="62" t="n">
        <f aca="false">IF(AND(Dashboard!$C$9="Yes",AC509=1),0,1)</f>
        <v>1</v>
      </c>
      <c r="AF509" s="62" t="n">
        <v>1</v>
      </c>
    </row>
    <row r="510" customFormat="false" ht="15" hidden="false" customHeight="false" outlineLevel="0" collapsed="false">
      <c r="A510" s="62" t="n">
        <v>509</v>
      </c>
      <c r="B510" s="63" t="n">
        <v>46241.6359837963</v>
      </c>
      <c r="C510" s="64" t="n">
        <v>46241</v>
      </c>
      <c r="D510" s="62" t="s">
        <v>288</v>
      </c>
      <c r="E510" s="62" t="s">
        <v>432</v>
      </c>
      <c r="F510" s="62" t="s">
        <v>433</v>
      </c>
      <c r="G510" s="62" t="s">
        <v>153</v>
      </c>
      <c r="H510" s="62" t="s">
        <v>153</v>
      </c>
      <c r="I510" s="62" t="s">
        <v>153</v>
      </c>
      <c r="J510" s="62" t="s">
        <v>64</v>
      </c>
      <c r="K510" s="62" t="s">
        <v>64</v>
      </c>
      <c r="L510" s="62" t="s">
        <v>148</v>
      </c>
      <c r="M510" s="62" t="n">
        <v>0</v>
      </c>
      <c r="N510" s="62" t="n">
        <v>1</v>
      </c>
      <c r="O510" s="62" t="n">
        <v>1</v>
      </c>
      <c r="P510" s="62" t="n">
        <v>1</v>
      </c>
      <c r="Q510" s="62" t="n">
        <v>0</v>
      </c>
      <c r="R510" s="62" t="n">
        <v>0</v>
      </c>
      <c r="S510" s="62" t="n">
        <v>0</v>
      </c>
      <c r="T510" s="62" t="n">
        <v>0</v>
      </c>
      <c r="U510" s="62"/>
      <c r="V510" s="62"/>
      <c r="W510" s="62"/>
      <c r="X510" s="62"/>
      <c r="Y510" s="62"/>
      <c r="Z510" s="62" t="s">
        <v>1094</v>
      </c>
      <c r="AA510" s="62" t="s">
        <v>1095</v>
      </c>
      <c r="AB510" s="62" t="n">
        <v>1</v>
      </c>
      <c r="AC510" s="62" t="n">
        <v>0</v>
      </c>
      <c r="AD510" s="62" t="n">
        <v>0</v>
      </c>
      <c r="AE510" s="62" t="n">
        <f aca="false">IF(AND(Dashboard!$C$9="Yes",AC510=1),0,1)</f>
        <v>1</v>
      </c>
      <c r="AF510" s="62" t="n">
        <v>1</v>
      </c>
    </row>
    <row r="511" customFormat="false" ht="15" hidden="false" customHeight="false" outlineLevel="0" collapsed="false">
      <c r="A511" s="62" t="n">
        <v>510</v>
      </c>
      <c r="B511" s="63" t="n">
        <v>46241.6729861111</v>
      </c>
      <c r="C511" s="64" t="n">
        <v>46241</v>
      </c>
      <c r="D511" s="62" t="s">
        <v>288</v>
      </c>
      <c r="E511" s="62" t="s">
        <v>203</v>
      </c>
      <c r="F511" s="62" t="s">
        <v>203</v>
      </c>
      <c r="G511" s="62" t="s">
        <v>204</v>
      </c>
      <c r="H511" s="62" t="s">
        <v>51</v>
      </c>
      <c r="I511" s="62" t="s">
        <v>47</v>
      </c>
      <c r="J511" s="62" t="s">
        <v>146</v>
      </c>
      <c r="K511" s="62" t="s">
        <v>147</v>
      </c>
      <c r="L511" s="62" t="s">
        <v>148</v>
      </c>
      <c r="M511" s="62" t="n">
        <v>0</v>
      </c>
      <c r="N511" s="62" t="n">
        <v>1</v>
      </c>
      <c r="O511" s="62" t="n">
        <v>1</v>
      </c>
      <c r="P511" s="62" t="n">
        <v>1</v>
      </c>
      <c r="Q511" s="62" t="n">
        <v>0</v>
      </c>
      <c r="R511" s="62" t="n">
        <v>0</v>
      </c>
      <c r="S511" s="62" t="n">
        <v>0</v>
      </c>
      <c r="T511" s="62" t="n">
        <v>0</v>
      </c>
      <c r="U511" s="62"/>
      <c r="V511" s="62"/>
      <c r="W511" s="62"/>
      <c r="X511" s="62"/>
      <c r="Y511" s="62"/>
      <c r="Z511" s="62" t="s">
        <v>1096</v>
      </c>
      <c r="AA511" s="62" t="s">
        <v>1097</v>
      </c>
      <c r="AB511" s="62" t="n">
        <v>1</v>
      </c>
      <c r="AC511" s="62" t="n">
        <v>0</v>
      </c>
      <c r="AD511" s="62" t="n">
        <v>1</v>
      </c>
      <c r="AE511" s="62" t="n">
        <f aca="false">IF(AND(Dashboard!$C$9="Yes",AC511=1),0,1)</f>
        <v>1</v>
      </c>
      <c r="AF511" s="62" t="n">
        <v>1</v>
      </c>
    </row>
    <row r="512" customFormat="false" ht="15" hidden="false" customHeight="false" outlineLevel="0" collapsed="false">
      <c r="A512" s="62" t="n">
        <v>511</v>
      </c>
      <c r="B512" s="63" t="n">
        <v>46241.6996412037</v>
      </c>
      <c r="C512" s="64" t="n">
        <v>46241</v>
      </c>
      <c r="D512" s="62" t="s">
        <v>288</v>
      </c>
      <c r="E512" s="62" t="s">
        <v>228</v>
      </c>
      <c r="F512" s="62" t="s">
        <v>229</v>
      </c>
      <c r="G512" s="62" t="s">
        <v>153</v>
      </c>
      <c r="H512" s="62" t="s">
        <v>153</v>
      </c>
      <c r="I512" s="62" t="s">
        <v>153</v>
      </c>
      <c r="J512" s="62" t="s">
        <v>64</v>
      </c>
      <c r="K512" s="62" t="s">
        <v>64</v>
      </c>
      <c r="L512" s="62" t="s">
        <v>148</v>
      </c>
      <c r="M512" s="62" t="n">
        <v>0</v>
      </c>
      <c r="N512" s="62" t="n">
        <v>1</v>
      </c>
      <c r="O512" s="62" t="n">
        <v>1</v>
      </c>
      <c r="P512" s="62" t="n">
        <v>0</v>
      </c>
      <c r="Q512" s="62" t="n">
        <v>1</v>
      </c>
      <c r="R512" s="62" t="n">
        <v>0</v>
      </c>
      <c r="S512" s="62" t="n">
        <v>0</v>
      </c>
      <c r="T512" s="62" t="n">
        <v>0</v>
      </c>
      <c r="U512" s="62"/>
      <c r="V512" s="62"/>
      <c r="W512" s="62"/>
      <c r="X512" s="62"/>
      <c r="Y512" s="62"/>
      <c r="Z512" s="62" t="s">
        <v>1098</v>
      </c>
      <c r="AA512" s="62" t="s">
        <v>1099</v>
      </c>
      <c r="AB512" s="62" t="n">
        <v>1</v>
      </c>
      <c r="AC512" s="62" t="n">
        <v>0</v>
      </c>
      <c r="AD512" s="62" t="n">
        <v>0</v>
      </c>
      <c r="AE512" s="62" t="n">
        <f aca="false">IF(AND(Dashboard!$C$9="Yes",AC512=1),0,1)</f>
        <v>1</v>
      </c>
      <c r="AF512" s="62" t="n">
        <v>1</v>
      </c>
    </row>
    <row r="513" customFormat="false" ht="15" hidden="false" customHeight="false" outlineLevel="0" collapsed="false">
      <c r="A513" s="62" t="n">
        <v>512</v>
      </c>
      <c r="B513" s="63" t="n">
        <v>46241.7051851852</v>
      </c>
      <c r="C513" s="64" t="n">
        <v>46241</v>
      </c>
      <c r="D513" s="62" t="s">
        <v>288</v>
      </c>
      <c r="E513" s="62" t="s">
        <v>160</v>
      </c>
      <c r="F513" s="62" t="s">
        <v>160</v>
      </c>
      <c r="G513" s="62" t="s">
        <v>161</v>
      </c>
      <c r="H513" s="62" t="s">
        <v>51</v>
      </c>
      <c r="I513" s="62" t="s">
        <v>47</v>
      </c>
      <c r="J513" s="62" t="s">
        <v>146</v>
      </c>
      <c r="K513" s="62" t="s">
        <v>147</v>
      </c>
      <c r="L513" s="62" t="s">
        <v>148</v>
      </c>
      <c r="M513" s="62" t="n">
        <v>0</v>
      </c>
      <c r="N513" s="62" t="n">
        <v>1</v>
      </c>
      <c r="O513" s="62" t="n">
        <v>1</v>
      </c>
      <c r="P513" s="62" t="n">
        <v>0</v>
      </c>
      <c r="Q513" s="62" t="n">
        <v>1</v>
      </c>
      <c r="R513" s="62" t="n">
        <v>0</v>
      </c>
      <c r="S513" s="62" t="n">
        <v>0</v>
      </c>
      <c r="T513" s="62" t="n">
        <v>0</v>
      </c>
      <c r="U513" s="62"/>
      <c r="V513" s="62"/>
      <c r="W513" s="62"/>
      <c r="X513" s="62"/>
      <c r="Y513" s="62"/>
      <c r="Z513" s="62" t="s">
        <v>1100</v>
      </c>
      <c r="AA513" s="62" t="s">
        <v>1101</v>
      </c>
      <c r="AB513" s="62" t="n">
        <v>1</v>
      </c>
      <c r="AC513" s="62" t="n">
        <v>0</v>
      </c>
      <c r="AD513" s="62" t="n">
        <v>1</v>
      </c>
      <c r="AE513" s="62" t="n">
        <f aca="false">IF(AND(Dashboard!$C$9="Yes",AC513=1),0,1)</f>
        <v>1</v>
      </c>
      <c r="AF513" s="62" t="n">
        <v>1</v>
      </c>
    </row>
    <row r="514" customFormat="false" ht="15" hidden="false" customHeight="false" outlineLevel="0" collapsed="false">
      <c r="A514" s="62" t="n">
        <v>513</v>
      </c>
      <c r="B514" s="63" t="n">
        <v>46241.7242592593</v>
      </c>
      <c r="C514" s="64" t="n">
        <v>46241</v>
      </c>
      <c r="D514" s="62" t="s">
        <v>288</v>
      </c>
      <c r="E514" s="62" t="s">
        <v>203</v>
      </c>
      <c r="F514" s="62" t="s">
        <v>203</v>
      </c>
      <c r="G514" s="62" t="s">
        <v>204</v>
      </c>
      <c r="H514" s="62" t="s">
        <v>51</v>
      </c>
      <c r="I514" s="62" t="s">
        <v>47</v>
      </c>
      <c r="J514" s="62" t="s">
        <v>146</v>
      </c>
      <c r="K514" s="62" t="s">
        <v>147</v>
      </c>
      <c r="L514" s="62" t="s">
        <v>148</v>
      </c>
      <c r="M514" s="62" t="n">
        <v>0</v>
      </c>
      <c r="N514" s="62" t="n">
        <v>1</v>
      </c>
      <c r="O514" s="62" t="n">
        <v>1</v>
      </c>
      <c r="P514" s="62" t="n">
        <v>1</v>
      </c>
      <c r="Q514" s="62" t="n">
        <v>0</v>
      </c>
      <c r="R514" s="62" t="n">
        <v>0</v>
      </c>
      <c r="S514" s="62" t="n">
        <v>0</v>
      </c>
      <c r="T514" s="62" t="n">
        <v>0</v>
      </c>
      <c r="U514" s="62"/>
      <c r="V514" s="62"/>
      <c r="W514" s="62"/>
      <c r="X514" s="62"/>
      <c r="Y514" s="62"/>
      <c r="Z514" s="62" t="s">
        <v>1102</v>
      </c>
      <c r="AA514" s="62" t="s">
        <v>492</v>
      </c>
      <c r="AB514" s="62" t="n">
        <v>0</v>
      </c>
      <c r="AC514" s="62" t="n">
        <v>0</v>
      </c>
      <c r="AD514" s="62" t="n">
        <v>1</v>
      </c>
      <c r="AE514" s="62" t="n">
        <f aca="false">IF(AND(Dashboard!$C$9="Yes",AC514=1),0,1)</f>
        <v>1</v>
      </c>
      <c r="AF514" s="62" t="n">
        <v>0</v>
      </c>
    </row>
    <row r="515" customFormat="false" ht="15" hidden="false" customHeight="false" outlineLevel="0" collapsed="false">
      <c r="A515" s="62" t="n">
        <v>514</v>
      </c>
      <c r="B515" s="63" t="n">
        <v>46241.7245486111</v>
      </c>
      <c r="C515" s="64" t="n">
        <v>46241</v>
      </c>
      <c r="D515" s="62" t="s">
        <v>288</v>
      </c>
      <c r="E515" s="62" t="s">
        <v>203</v>
      </c>
      <c r="F515" s="62" t="s">
        <v>203</v>
      </c>
      <c r="G515" s="62" t="s">
        <v>204</v>
      </c>
      <c r="H515" s="62" t="s">
        <v>51</v>
      </c>
      <c r="I515" s="62" t="s">
        <v>47</v>
      </c>
      <c r="J515" s="62" t="s">
        <v>146</v>
      </c>
      <c r="K515" s="62" t="s">
        <v>147</v>
      </c>
      <c r="L515" s="62" t="s">
        <v>4</v>
      </c>
      <c r="M515" s="62" t="n">
        <v>1</v>
      </c>
      <c r="N515" s="62" t="n">
        <v>0</v>
      </c>
      <c r="O515" s="62" t="n">
        <v>1</v>
      </c>
      <c r="P515" s="62" t="n">
        <v>0</v>
      </c>
      <c r="Q515" s="62" t="n">
        <v>0</v>
      </c>
      <c r="R515" s="62" t="n">
        <v>0</v>
      </c>
      <c r="S515" s="62" t="n">
        <v>0</v>
      </c>
      <c r="T515" s="62" t="n">
        <v>0</v>
      </c>
      <c r="U515" s="62"/>
      <c r="V515" s="62"/>
      <c r="W515" s="62"/>
      <c r="X515" s="62"/>
      <c r="Y515" s="62"/>
      <c r="Z515" s="62" t="s">
        <v>1102</v>
      </c>
      <c r="AA515" s="62" t="s">
        <v>1103</v>
      </c>
      <c r="AB515" s="62" t="n">
        <v>1</v>
      </c>
      <c r="AC515" s="62" t="n">
        <v>0</v>
      </c>
      <c r="AD515" s="62" t="n">
        <v>1</v>
      </c>
      <c r="AE515" s="62" t="n">
        <f aca="false">IF(AND(Dashboard!$C$9="Yes",AC515=1),0,1)</f>
        <v>1</v>
      </c>
      <c r="AF515" s="62" t="n">
        <v>0</v>
      </c>
    </row>
    <row r="516" customFormat="false" ht="15" hidden="false" customHeight="false" outlineLevel="0" collapsed="false">
      <c r="A516" s="62" t="n">
        <v>515</v>
      </c>
      <c r="B516" s="63" t="n">
        <v>46241.7297453704</v>
      </c>
      <c r="C516" s="64" t="n">
        <v>46241</v>
      </c>
      <c r="D516" s="62" t="s">
        <v>288</v>
      </c>
      <c r="E516" s="62" t="s">
        <v>432</v>
      </c>
      <c r="F516" s="62" t="s">
        <v>433</v>
      </c>
      <c r="G516" s="62" t="s">
        <v>153</v>
      </c>
      <c r="H516" s="62" t="s">
        <v>153</v>
      </c>
      <c r="I516" s="62" t="s">
        <v>153</v>
      </c>
      <c r="J516" s="62" t="s">
        <v>64</v>
      </c>
      <c r="K516" s="62" t="s">
        <v>64</v>
      </c>
      <c r="L516" s="62" t="s">
        <v>148</v>
      </c>
      <c r="M516" s="62" t="n">
        <v>0</v>
      </c>
      <c r="N516" s="62" t="n">
        <v>1</v>
      </c>
      <c r="O516" s="62" t="n">
        <v>1</v>
      </c>
      <c r="P516" s="62" t="n">
        <v>1</v>
      </c>
      <c r="Q516" s="62" t="n">
        <v>0</v>
      </c>
      <c r="R516" s="62" t="n">
        <v>0</v>
      </c>
      <c r="S516" s="62" t="n">
        <v>0</v>
      </c>
      <c r="T516" s="62" t="n">
        <v>0</v>
      </c>
      <c r="U516" s="62"/>
      <c r="V516" s="62"/>
      <c r="W516" s="62"/>
      <c r="X516" s="62"/>
      <c r="Y516" s="62"/>
      <c r="Z516" s="62" t="s">
        <v>1104</v>
      </c>
      <c r="AA516" s="62" t="s">
        <v>1105</v>
      </c>
      <c r="AB516" s="62" t="n">
        <v>1</v>
      </c>
      <c r="AC516" s="62" t="n">
        <v>0</v>
      </c>
      <c r="AD516" s="62" t="n">
        <v>0</v>
      </c>
      <c r="AE516" s="62" t="n">
        <f aca="false">IF(AND(Dashboard!$C$9="Yes",AC516=1),0,1)</f>
        <v>1</v>
      </c>
      <c r="AF516" s="62" t="n">
        <v>0</v>
      </c>
    </row>
    <row r="517" customFormat="false" ht="15" hidden="false" customHeight="false" outlineLevel="0" collapsed="false">
      <c r="A517" s="62" t="n">
        <v>516</v>
      </c>
      <c r="B517" s="63" t="n">
        <v>46241.7450810185</v>
      </c>
      <c r="C517" s="64" t="n">
        <v>46241</v>
      </c>
      <c r="D517" s="62" t="s">
        <v>288</v>
      </c>
      <c r="E517" s="62" t="s">
        <v>439</v>
      </c>
      <c r="F517" s="62" t="s">
        <v>439</v>
      </c>
      <c r="G517" s="62" t="s">
        <v>440</v>
      </c>
      <c r="H517" s="62" t="s">
        <v>51</v>
      </c>
      <c r="I517" s="62" t="s">
        <v>47</v>
      </c>
      <c r="J517" s="62" t="s">
        <v>146</v>
      </c>
      <c r="K517" s="62" t="s">
        <v>175</v>
      </c>
      <c r="L517" s="62" t="s">
        <v>148</v>
      </c>
      <c r="M517" s="62" t="n">
        <v>0</v>
      </c>
      <c r="N517" s="62" t="n">
        <v>1</v>
      </c>
      <c r="O517" s="62" t="n">
        <v>1</v>
      </c>
      <c r="P517" s="62" t="n">
        <v>0</v>
      </c>
      <c r="Q517" s="62" t="n">
        <v>0</v>
      </c>
      <c r="R517" s="62" t="n">
        <v>1</v>
      </c>
      <c r="S517" s="62" t="n">
        <v>0</v>
      </c>
      <c r="T517" s="62" t="n">
        <v>0</v>
      </c>
      <c r="U517" s="62"/>
      <c r="V517" s="62"/>
      <c r="W517" s="62"/>
      <c r="X517" s="62"/>
      <c r="Y517" s="62"/>
      <c r="Z517" s="62" t="s">
        <v>1106</v>
      </c>
      <c r="AA517" s="62" t="s">
        <v>1107</v>
      </c>
      <c r="AB517" s="62" t="n">
        <v>1</v>
      </c>
      <c r="AC517" s="62" t="n">
        <v>0</v>
      </c>
      <c r="AD517" s="62" t="n">
        <v>1</v>
      </c>
      <c r="AE517" s="62" t="n">
        <f aca="false">IF(AND(Dashboard!$C$9="Yes",AC517=1),0,1)</f>
        <v>1</v>
      </c>
      <c r="AF517" s="62" t="n">
        <v>1</v>
      </c>
    </row>
    <row r="518" customFormat="false" ht="15" hidden="false" customHeight="false" outlineLevel="0" collapsed="false">
      <c r="A518" s="62" t="n">
        <v>517</v>
      </c>
      <c r="B518" s="63" t="n">
        <v>46241.7474305556</v>
      </c>
      <c r="C518" s="64" t="n">
        <v>46241</v>
      </c>
      <c r="D518" s="62" t="s">
        <v>288</v>
      </c>
      <c r="E518" s="62" t="s">
        <v>573</v>
      </c>
      <c r="F518" s="62" t="s">
        <v>573</v>
      </c>
      <c r="G518" s="62" t="s">
        <v>574</v>
      </c>
      <c r="H518" s="62" t="s">
        <v>51</v>
      </c>
      <c r="I518" s="62" t="s">
        <v>47</v>
      </c>
      <c r="J518" s="62" t="s">
        <v>146</v>
      </c>
      <c r="K518" s="62" t="s">
        <v>147</v>
      </c>
      <c r="L518" s="62" t="s">
        <v>148</v>
      </c>
      <c r="M518" s="62" t="n">
        <v>0</v>
      </c>
      <c r="N518" s="62" t="n">
        <v>1</v>
      </c>
      <c r="O518" s="62" t="n">
        <v>1</v>
      </c>
      <c r="P518" s="62" t="n">
        <v>0</v>
      </c>
      <c r="Q518" s="62" t="n">
        <v>1</v>
      </c>
      <c r="R518" s="62" t="n">
        <v>0</v>
      </c>
      <c r="S518" s="62" t="n">
        <v>0</v>
      </c>
      <c r="T518" s="62" t="n">
        <v>0</v>
      </c>
      <c r="U518" s="62"/>
      <c r="V518" s="62"/>
      <c r="W518" s="62"/>
      <c r="X518" s="62"/>
      <c r="Y518" s="62"/>
      <c r="Z518" s="62" t="s">
        <v>1108</v>
      </c>
      <c r="AA518" s="62" t="s">
        <v>1109</v>
      </c>
      <c r="AB518" s="62" t="n">
        <v>1</v>
      </c>
      <c r="AC518" s="62" t="n">
        <v>0</v>
      </c>
      <c r="AD518" s="62" t="n">
        <v>1</v>
      </c>
      <c r="AE518" s="62" t="n">
        <f aca="false">IF(AND(Dashboard!$C$9="Yes",AC518=1),0,1)</f>
        <v>1</v>
      </c>
      <c r="AF518" s="62" t="n">
        <v>0</v>
      </c>
    </row>
    <row r="519" customFormat="false" ht="15" hidden="false" customHeight="false" outlineLevel="0" collapsed="false">
      <c r="A519" s="62" t="n">
        <v>518</v>
      </c>
      <c r="B519" s="63" t="n">
        <v>46241.7738078704</v>
      </c>
      <c r="C519" s="64" t="n">
        <v>46241</v>
      </c>
      <c r="D519" s="62" t="s">
        <v>288</v>
      </c>
      <c r="E519" s="62" t="s">
        <v>255</v>
      </c>
      <c r="F519" s="62" t="s">
        <v>255</v>
      </c>
      <c r="G519" s="62" t="s">
        <v>256</v>
      </c>
      <c r="H519" s="62" t="s">
        <v>57</v>
      </c>
      <c r="I519" s="62" t="s">
        <v>47</v>
      </c>
      <c r="J519" s="62" t="s">
        <v>146</v>
      </c>
      <c r="K519" s="62" t="s">
        <v>147</v>
      </c>
      <c r="L519" s="62" t="s">
        <v>148</v>
      </c>
      <c r="M519" s="62" t="n">
        <v>0</v>
      </c>
      <c r="N519" s="62" t="n">
        <v>1</v>
      </c>
      <c r="O519" s="62" t="n">
        <v>1</v>
      </c>
      <c r="P519" s="62" t="n">
        <v>0</v>
      </c>
      <c r="Q519" s="62" t="n">
        <v>1</v>
      </c>
      <c r="R519" s="62" t="n">
        <v>0</v>
      </c>
      <c r="S519" s="62" t="n">
        <v>0</v>
      </c>
      <c r="T519" s="62" t="n">
        <v>0</v>
      </c>
      <c r="U519" s="62"/>
      <c r="V519" s="62"/>
      <c r="W519" s="62"/>
      <c r="X519" s="62"/>
      <c r="Y519" s="62"/>
      <c r="Z519" s="62" t="s">
        <v>1110</v>
      </c>
      <c r="AA519" s="62" t="s">
        <v>1111</v>
      </c>
      <c r="AB519" s="62" t="n">
        <v>1</v>
      </c>
      <c r="AC519" s="62" t="n">
        <v>0</v>
      </c>
      <c r="AD519" s="62" t="n">
        <v>1</v>
      </c>
      <c r="AE519" s="62" t="n">
        <f aca="false">IF(AND(Dashboard!$C$9="Yes",AC519=1),0,1)</f>
        <v>1</v>
      </c>
      <c r="AF519" s="62" t="n">
        <v>1</v>
      </c>
    </row>
    <row r="520" customFormat="false" ht="15" hidden="false" customHeight="false" outlineLevel="0" collapsed="false">
      <c r="A520" s="62" t="n">
        <v>519</v>
      </c>
      <c r="B520" s="63" t="n">
        <v>46241.7856481482</v>
      </c>
      <c r="C520" s="64" t="n">
        <v>46241</v>
      </c>
      <c r="D520" s="62" t="s">
        <v>288</v>
      </c>
      <c r="E520" s="62" t="s">
        <v>1112</v>
      </c>
      <c r="F520" s="62" t="s">
        <v>865</v>
      </c>
      <c r="G520" s="62" t="s">
        <v>866</v>
      </c>
      <c r="H520" s="62" t="s">
        <v>46</v>
      </c>
      <c r="I520" s="62" t="s">
        <v>47</v>
      </c>
      <c r="J520" s="62" t="s">
        <v>146</v>
      </c>
      <c r="K520" s="62" t="s">
        <v>209</v>
      </c>
      <c r="L520" s="62" t="s">
        <v>148</v>
      </c>
      <c r="M520" s="62" t="n">
        <v>0</v>
      </c>
      <c r="N520" s="62" t="n">
        <v>1</v>
      </c>
      <c r="O520" s="62" t="n">
        <v>1</v>
      </c>
      <c r="P520" s="62" t="n">
        <v>1</v>
      </c>
      <c r="Q520" s="62" t="n">
        <v>0</v>
      </c>
      <c r="R520" s="62" t="n">
        <v>0</v>
      </c>
      <c r="S520" s="62" t="n">
        <v>0</v>
      </c>
      <c r="T520" s="62" t="n">
        <v>0</v>
      </c>
      <c r="U520" s="62"/>
      <c r="V520" s="62"/>
      <c r="W520" s="62"/>
      <c r="X520" s="62"/>
      <c r="Y520" s="62"/>
      <c r="Z520" s="62" t="s">
        <v>1113</v>
      </c>
      <c r="AA520" s="62" t="s">
        <v>1114</v>
      </c>
      <c r="AB520" s="62" t="n">
        <v>1</v>
      </c>
      <c r="AC520" s="62" t="n">
        <v>0</v>
      </c>
      <c r="AD520" s="62" t="n">
        <v>1</v>
      </c>
      <c r="AE520" s="62" t="n">
        <f aca="false">IF(AND(Dashboard!$C$9="Yes",AC520=1),0,1)</f>
        <v>1</v>
      </c>
      <c r="AF520" s="62" t="n">
        <v>1</v>
      </c>
    </row>
    <row r="521" customFormat="false" ht="15" hidden="false" customHeight="false" outlineLevel="0" collapsed="false">
      <c r="A521" s="62" t="n">
        <v>520</v>
      </c>
      <c r="B521" s="63" t="n">
        <v>46241.8317824074</v>
      </c>
      <c r="C521" s="64" t="n">
        <v>46241</v>
      </c>
      <c r="D521" s="62" t="s">
        <v>288</v>
      </c>
      <c r="E521" s="62" t="s">
        <v>432</v>
      </c>
      <c r="F521" s="62" t="s">
        <v>433</v>
      </c>
      <c r="G521" s="62" t="s">
        <v>153</v>
      </c>
      <c r="H521" s="62" t="s">
        <v>153</v>
      </c>
      <c r="I521" s="62" t="s">
        <v>153</v>
      </c>
      <c r="J521" s="62" t="s">
        <v>64</v>
      </c>
      <c r="K521" s="62" t="s">
        <v>64</v>
      </c>
      <c r="L521" s="62" t="s">
        <v>4</v>
      </c>
      <c r="M521" s="62" t="n">
        <v>1</v>
      </c>
      <c r="N521" s="62" t="n">
        <v>0</v>
      </c>
      <c r="O521" s="62" t="n">
        <v>1</v>
      </c>
      <c r="P521" s="62" t="n">
        <v>0</v>
      </c>
      <c r="Q521" s="62" t="n">
        <v>0</v>
      </c>
      <c r="R521" s="62" t="n">
        <v>0</v>
      </c>
      <c r="S521" s="62" t="n">
        <v>0</v>
      </c>
      <c r="T521" s="62" t="n">
        <v>0</v>
      </c>
      <c r="U521" s="62"/>
      <c r="V521" s="62"/>
      <c r="W521" s="62"/>
      <c r="X521" s="62"/>
      <c r="Y521" s="62"/>
      <c r="Z521" s="62" t="s">
        <v>1115</v>
      </c>
      <c r="AA521" s="62" t="s">
        <v>1116</v>
      </c>
      <c r="AB521" s="62" t="n">
        <v>1</v>
      </c>
      <c r="AC521" s="62" t="n">
        <v>0</v>
      </c>
      <c r="AD521" s="62" t="n">
        <v>0</v>
      </c>
      <c r="AE521" s="62" t="n">
        <f aca="false">IF(AND(Dashboard!$C$9="Yes",AC521=1),0,1)</f>
        <v>1</v>
      </c>
      <c r="AF521" s="62" t="n">
        <v>0</v>
      </c>
    </row>
    <row r="522" customFormat="false" ht="15" hidden="false" customHeight="false" outlineLevel="0" collapsed="false">
      <c r="A522" s="62" t="n">
        <v>521</v>
      </c>
      <c r="B522" s="63" t="n">
        <v>46241.8661458333</v>
      </c>
      <c r="C522" s="64" t="n">
        <v>46241</v>
      </c>
      <c r="D522" s="62" t="s">
        <v>288</v>
      </c>
      <c r="E522" s="62" t="s">
        <v>586</v>
      </c>
      <c r="F522" s="62" t="s">
        <v>586</v>
      </c>
      <c r="G522" s="62" t="s">
        <v>587</v>
      </c>
      <c r="H522" s="62" t="s">
        <v>57</v>
      </c>
      <c r="I522" s="62" t="s">
        <v>47</v>
      </c>
      <c r="J522" s="62" t="s">
        <v>146</v>
      </c>
      <c r="K522" s="62" t="s">
        <v>175</v>
      </c>
      <c r="L522" s="62" t="s">
        <v>148</v>
      </c>
      <c r="M522" s="62" t="n">
        <v>0</v>
      </c>
      <c r="N522" s="62" t="n">
        <v>1</v>
      </c>
      <c r="O522" s="62" t="n">
        <v>1</v>
      </c>
      <c r="P522" s="62" t="n">
        <v>0</v>
      </c>
      <c r="Q522" s="62" t="n">
        <v>1</v>
      </c>
      <c r="R522" s="62" t="n">
        <v>0</v>
      </c>
      <c r="S522" s="62" t="n">
        <v>0</v>
      </c>
      <c r="T522" s="62" t="n">
        <v>0</v>
      </c>
      <c r="U522" s="62"/>
      <c r="V522" s="62"/>
      <c r="W522" s="62"/>
      <c r="X522" s="62"/>
      <c r="Y522" s="62"/>
      <c r="Z522" s="62" t="s">
        <v>1117</v>
      </c>
      <c r="AA522" s="62" t="s">
        <v>1118</v>
      </c>
      <c r="AB522" s="62" t="n">
        <v>1</v>
      </c>
      <c r="AC522" s="62" t="n">
        <v>0</v>
      </c>
      <c r="AD522" s="62" t="n">
        <v>1</v>
      </c>
      <c r="AE522" s="62" t="n">
        <f aca="false">IF(AND(Dashboard!$C$9="Yes",AC522=1),0,1)</f>
        <v>1</v>
      </c>
      <c r="AF522" s="62" t="n">
        <v>1</v>
      </c>
    </row>
    <row r="523" customFormat="false" ht="15" hidden="false" customHeight="false" outlineLevel="0" collapsed="false">
      <c r="A523" s="62" t="n">
        <v>522</v>
      </c>
      <c r="B523" s="63" t="n">
        <v>46241.8782638889</v>
      </c>
      <c r="C523" s="64" t="n">
        <v>46241</v>
      </c>
      <c r="D523" s="62" t="s">
        <v>288</v>
      </c>
      <c r="E523" s="62" t="s">
        <v>1005</v>
      </c>
      <c r="F523" s="62" t="s">
        <v>1005</v>
      </c>
      <c r="G523" s="62" t="s">
        <v>1006</v>
      </c>
      <c r="H523" s="62" t="s">
        <v>46</v>
      </c>
      <c r="I523" s="62" t="s">
        <v>47</v>
      </c>
      <c r="J523" s="62" t="s">
        <v>146</v>
      </c>
      <c r="K523" s="62" t="s">
        <v>209</v>
      </c>
      <c r="L523" s="62" t="s">
        <v>4</v>
      </c>
      <c r="M523" s="62" t="n">
        <v>1</v>
      </c>
      <c r="N523" s="62" t="n">
        <v>0</v>
      </c>
      <c r="O523" s="62" t="n">
        <v>1</v>
      </c>
      <c r="P523" s="62" t="n">
        <v>0</v>
      </c>
      <c r="Q523" s="62" t="n">
        <v>0</v>
      </c>
      <c r="R523" s="62" t="n">
        <v>0</v>
      </c>
      <c r="S523" s="62" t="n">
        <v>0</v>
      </c>
      <c r="T523" s="62" t="n">
        <v>0</v>
      </c>
      <c r="U523" s="62"/>
      <c r="V523" s="62"/>
      <c r="W523" s="62"/>
      <c r="X523" s="62"/>
      <c r="Y523" s="62"/>
      <c r="Z523" s="62" t="s">
        <v>1119</v>
      </c>
      <c r="AA523" s="62" t="s">
        <v>1120</v>
      </c>
      <c r="AB523" s="62" t="n">
        <v>1</v>
      </c>
      <c r="AC523" s="62" t="n">
        <v>0</v>
      </c>
      <c r="AD523" s="62" t="n">
        <v>1</v>
      </c>
      <c r="AE523" s="62" t="n">
        <f aca="false">IF(AND(Dashboard!$C$9="Yes",AC523=1),0,1)</f>
        <v>1</v>
      </c>
      <c r="AF523" s="62" t="n">
        <v>1</v>
      </c>
    </row>
    <row r="524" customFormat="false" ht="15" hidden="false" customHeight="false" outlineLevel="0" collapsed="false">
      <c r="A524" s="62" t="n">
        <v>523</v>
      </c>
      <c r="B524" s="63" t="n">
        <v>46241.8787037037</v>
      </c>
      <c r="C524" s="64" t="n">
        <v>46241</v>
      </c>
      <c r="D524" s="62" t="s">
        <v>288</v>
      </c>
      <c r="E524" s="62" t="s">
        <v>1005</v>
      </c>
      <c r="F524" s="62" t="s">
        <v>1005</v>
      </c>
      <c r="G524" s="62" t="s">
        <v>1006</v>
      </c>
      <c r="H524" s="62" t="s">
        <v>46</v>
      </c>
      <c r="I524" s="62" t="s">
        <v>47</v>
      </c>
      <c r="J524" s="62" t="s">
        <v>146</v>
      </c>
      <c r="K524" s="62" t="s">
        <v>209</v>
      </c>
      <c r="L524" s="62" t="s">
        <v>148</v>
      </c>
      <c r="M524" s="62" t="n">
        <v>0</v>
      </c>
      <c r="N524" s="62" t="n">
        <v>1</v>
      </c>
      <c r="O524" s="62" t="n">
        <v>1</v>
      </c>
      <c r="P524" s="62" t="n">
        <v>0</v>
      </c>
      <c r="Q524" s="62" t="n">
        <v>0</v>
      </c>
      <c r="R524" s="62" t="n">
        <v>1</v>
      </c>
      <c r="S524" s="62" t="n">
        <v>0</v>
      </c>
      <c r="T524" s="62" t="n">
        <v>0</v>
      </c>
      <c r="U524" s="62"/>
      <c r="V524" s="62"/>
      <c r="W524" s="62"/>
      <c r="X524" s="62"/>
      <c r="Y524" s="62"/>
      <c r="Z524" s="62" t="s">
        <v>1121</v>
      </c>
      <c r="AA524" s="62" t="s">
        <v>1122</v>
      </c>
      <c r="AB524" s="62" t="n">
        <v>0</v>
      </c>
      <c r="AC524" s="62" t="n">
        <v>0</v>
      </c>
      <c r="AD524" s="62" t="n">
        <v>1</v>
      </c>
      <c r="AE524" s="62" t="n">
        <f aca="false">IF(AND(Dashboard!$C$9="Yes",AC524=1),0,1)</f>
        <v>1</v>
      </c>
      <c r="AF524" s="62" t="n">
        <v>0</v>
      </c>
    </row>
    <row r="525" customFormat="false" ht="15" hidden="false" customHeight="false" outlineLevel="0" collapsed="false">
      <c r="A525" s="62" t="n">
        <v>524</v>
      </c>
      <c r="B525" s="63" t="n">
        <v>46241.8927777778</v>
      </c>
      <c r="C525" s="64" t="n">
        <v>46241</v>
      </c>
      <c r="D525" s="62" t="s">
        <v>288</v>
      </c>
      <c r="E525" s="62" t="s">
        <v>255</v>
      </c>
      <c r="F525" s="62" t="s">
        <v>255</v>
      </c>
      <c r="G525" s="62" t="s">
        <v>256</v>
      </c>
      <c r="H525" s="62" t="s">
        <v>57</v>
      </c>
      <c r="I525" s="62" t="s">
        <v>47</v>
      </c>
      <c r="J525" s="62" t="s">
        <v>146</v>
      </c>
      <c r="K525" s="62" t="s">
        <v>147</v>
      </c>
      <c r="L525" s="62" t="s">
        <v>4</v>
      </c>
      <c r="M525" s="62" t="n">
        <v>1</v>
      </c>
      <c r="N525" s="62" t="n">
        <v>0</v>
      </c>
      <c r="O525" s="62" t="n">
        <v>1</v>
      </c>
      <c r="P525" s="62" t="n">
        <v>0</v>
      </c>
      <c r="Q525" s="62" t="n">
        <v>0</v>
      </c>
      <c r="R525" s="62" t="n">
        <v>0</v>
      </c>
      <c r="S525" s="62" t="n">
        <v>0</v>
      </c>
      <c r="T525" s="62" t="n">
        <v>0</v>
      </c>
      <c r="U525" s="62"/>
      <c r="V525" s="62"/>
      <c r="W525" s="62"/>
      <c r="X525" s="62"/>
      <c r="Y525" s="62"/>
      <c r="Z525" s="62" t="s">
        <v>1123</v>
      </c>
      <c r="AA525" s="62" t="s">
        <v>1124</v>
      </c>
      <c r="AB525" s="62" t="n">
        <v>1</v>
      </c>
      <c r="AC525" s="62" t="n">
        <v>0</v>
      </c>
      <c r="AD525" s="62" t="n">
        <v>1</v>
      </c>
      <c r="AE525" s="62" t="n">
        <f aca="false">IF(AND(Dashboard!$C$9="Yes",AC525=1),0,1)</f>
        <v>1</v>
      </c>
      <c r="AF525" s="62" t="n">
        <v>0</v>
      </c>
    </row>
    <row r="526" customFormat="false" ht="15" hidden="false" customHeight="false" outlineLevel="0" collapsed="false">
      <c r="A526" s="62" t="n">
        <v>525</v>
      </c>
      <c r="B526" s="63" t="n">
        <v>46241.9059143519</v>
      </c>
      <c r="C526" s="64" t="n">
        <v>46241</v>
      </c>
      <c r="D526" s="62" t="s">
        <v>288</v>
      </c>
      <c r="E526" s="62" t="s">
        <v>307</v>
      </c>
      <c r="F526" s="62" t="s">
        <v>308</v>
      </c>
      <c r="G526" s="62" t="s">
        <v>153</v>
      </c>
      <c r="H526" s="62" t="s">
        <v>153</v>
      </c>
      <c r="I526" s="62" t="s">
        <v>153</v>
      </c>
      <c r="J526" s="62" t="s">
        <v>64</v>
      </c>
      <c r="K526" s="62" t="s">
        <v>64</v>
      </c>
      <c r="L526" s="62" t="s">
        <v>148</v>
      </c>
      <c r="M526" s="62" t="n">
        <v>0</v>
      </c>
      <c r="N526" s="62" t="n">
        <v>2</v>
      </c>
      <c r="O526" s="62" t="n">
        <v>2</v>
      </c>
      <c r="P526" s="62" t="n">
        <v>1</v>
      </c>
      <c r="Q526" s="62" t="n">
        <v>1</v>
      </c>
      <c r="R526" s="62" t="n">
        <v>0</v>
      </c>
      <c r="S526" s="62" t="n">
        <v>0</v>
      </c>
      <c r="T526" s="62" t="n">
        <v>0</v>
      </c>
      <c r="U526" s="62"/>
      <c r="V526" s="62"/>
      <c r="W526" s="62"/>
      <c r="X526" s="62"/>
      <c r="Y526" s="62"/>
      <c r="Z526" s="62" t="s">
        <v>1125</v>
      </c>
      <c r="AA526" s="62" t="s">
        <v>1126</v>
      </c>
      <c r="AB526" s="62" t="n">
        <v>1</v>
      </c>
      <c r="AC526" s="62" t="n">
        <v>0</v>
      </c>
      <c r="AD526" s="62" t="n">
        <v>0</v>
      </c>
      <c r="AE526" s="62" t="n">
        <f aca="false">IF(AND(Dashboard!$C$9="Yes",AC526=1),0,1)</f>
        <v>1</v>
      </c>
      <c r="AF526" s="62" t="n">
        <v>1</v>
      </c>
    </row>
    <row r="527" customFormat="false" ht="15" hidden="false" customHeight="false" outlineLevel="0" collapsed="false">
      <c r="A527" s="62" t="n">
        <v>526</v>
      </c>
      <c r="B527" s="63" t="n">
        <v>46241.9063541667</v>
      </c>
      <c r="C527" s="64" t="n">
        <v>46241</v>
      </c>
      <c r="D527" s="62" t="s">
        <v>288</v>
      </c>
      <c r="E527" s="62" t="s">
        <v>307</v>
      </c>
      <c r="F527" s="62" t="s">
        <v>308</v>
      </c>
      <c r="G527" s="62" t="s">
        <v>153</v>
      </c>
      <c r="H527" s="62" t="s">
        <v>153</v>
      </c>
      <c r="I527" s="62" t="s">
        <v>153</v>
      </c>
      <c r="J527" s="62" t="s">
        <v>64</v>
      </c>
      <c r="K527" s="62" t="s">
        <v>64</v>
      </c>
      <c r="L527" s="62" t="s">
        <v>148</v>
      </c>
      <c r="M527" s="62" t="n">
        <v>0</v>
      </c>
      <c r="N527" s="62" t="n">
        <v>2</v>
      </c>
      <c r="O527" s="62" t="n">
        <v>2</v>
      </c>
      <c r="P527" s="62" t="n">
        <v>1</v>
      </c>
      <c r="Q527" s="62" t="n">
        <v>1</v>
      </c>
      <c r="R527" s="62" t="n">
        <v>0</v>
      </c>
      <c r="S527" s="62" t="n">
        <v>0</v>
      </c>
      <c r="T527" s="62" t="n">
        <v>0</v>
      </c>
      <c r="U527" s="62"/>
      <c r="V527" s="62"/>
      <c r="W527" s="62"/>
      <c r="X527" s="62"/>
      <c r="Y527" s="62"/>
      <c r="Z527" s="62" t="s">
        <v>1125</v>
      </c>
      <c r="AA527" s="62" t="s">
        <v>1126</v>
      </c>
      <c r="AB527" s="62" t="n">
        <v>1</v>
      </c>
      <c r="AC527" s="62" t="n">
        <v>1</v>
      </c>
      <c r="AD527" s="62" t="n">
        <v>0</v>
      </c>
      <c r="AE527" s="62" t="n">
        <f aca="false">IF(AND(Dashboard!$C$9="Yes",AC527=1),0,1)</f>
        <v>0</v>
      </c>
      <c r="AF527" s="62" t="n">
        <v>0</v>
      </c>
    </row>
    <row r="528" customFormat="false" ht="15" hidden="false" customHeight="false" outlineLevel="0" collapsed="false">
      <c r="A528" s="62" t="n">
        <v>527</v>
      </c>
      <c r="B528" s="63" t="n">
        <v>46241.9189467593</v>
      </c>
      <c r="C528" s="64" t="n">
        <v>46241</v>
      </c>
      <c r="D528" s="62" t="s">
        <v>288</v>
      </c>
      <c r="E528" s="62" t="s">
        <v>573</v>
      </c>
      <c r="F528" s="62" t="s">
        <v>573</v>
      </c>
      <c r="G528" s="62" t="s">
        <v>574</v>
      </c>
      <c r="H528" s="62" t="s">
        <v>51</v>
      </c>
      <c r="I528" s="62" t="s">
        <v>47</v>
      </c>
      <c r="J528" s="62" t="s">
        <v>146</v>
      </c>
      <c r="K528" s="62" t="s">
        <v>147</v>
      </c>
      <c r="L528" s="62" t="s">
        <v>4</v>
      </c>
      <c r="M528" s="62" t="n">
        <v>1</v>
      </c>
      <c r="N528" s="62" t="n">
        <v>0</v>
      </c>
      <c r="O528" s="62" t="n">
        <v>1</v>
      </c>
      <c r="P528" s="62" t="n">
        <v>0</v>
      </c>
      <c r="Q528" s="62" t="n">
        <v>0</v>
      </c>
      <c r="R528" s="62" t="n">
        <v>0</v>
      </c>
      <c r="S528" s="62" t="n">
        <v>0</v>
      </c>
      <c r="T528" s="62" t="n">
        <v>0</v>
      </c>
      <c r="U528" s="62"/>
      <c r="V528" s="62"/>
      <c r="W528" s="62"/>
      <c r="X528" s="62"/>
      <c r="Y528" s="62"/>
      <c r="Z528" s="62" t="s">
        <v>1127</v>
      </c>
      <c r="AA528" s="62" t="s">
        <v>1128</v>
      </c>
      <c r="AB528" s="62" t="n">
        <v>1</v>
      </c>
      <c r="AC528" s="62" t="n">
        <v>0</v>
      </c>
      <c r="AD528" s="62" t="n">
        <v>1</v>
      </c>
      <c r="AE528" s="62" t="n">
        <f aca="false">IF(AND(Dashboard!$C$9="Yes",AC528=1),0,1)</f>
        <v>1</v>
      </c>
      <c r="AF528" s="62" t="n">
        <v>0</v>
      </c>
    </row>
    <row r="529" customFormat="false" ht="15" hidden="false" customHeight="false" outlineLevel="0" collapsed="false">
      <c r="A529" s="62" t="n">
        <v>528</v>
      </c>
      <c r="B529" s="63" t="n">
        <v>46241.9192708333</v>
      </c>
      <c r="C529" s="64" t="n">
        <v>46241</v>
      </c>
      <c r="D529" s="62" t="s">
        <v>288</v>
      </c>
      <c r="E529" s="62" t="s">
        <v>573</v>
      </c>
      <c r="F529" s="62" t="s">
        <v>573</v>
      </c>
      <c r="G529" s="62" t="s">
        <v>574</v>
      </c>
      <c r="H529" s="62" t="s">
        <v>51</v>
      </c>
      <c r="I529" s="62" t="s">
        <v>47</v>
      </c>
      <c r="J529" s="62" t="s">
        <v>146</v>
      </c>
      <c r="K529" s="62" t="s">
        <v>147</v>
      </c>
      <c r="L529" s="62" t="s">
        <v>148</v>
      </c>
      <c r="M529" s="62" t="n">
        <v>0</v>
      </c>
      <c r="N529" s="62" t="n">
        <v>1</v>
      </c>
      <c r="O529" s="62" t="n">
        <v>1</v>
      </c>
      <c r="P529" s="62" t="n">
        <v>0</v>
      </c>
      <c r="Q529" s="62" t="n">
        <v>0</v>
      </c>
      <c r="R529" s="62" t="n">
        <v>0</v>
      </c>
      <c r="S529" s="62" t="n">
        <v>0</v>
      </c>
      <c r="T529" s="62" t="n">
        <v>1</v>
      </c>
      <c r="U529" s="62"/>
      <c r="V529" s="62"/>
      <c r="W529" s="62"/>
      <c r="X529" s="62"/>
      <c r="Y529" s="62"/>
      <c r="Z529" s="62" t="s">
        <v>1127</v>
      </c>
      <c r="AA529" s="62" t="s">
        <v>1128</v>
      </c>
      <c r="AB529" s="62" t="n">
        <v>1</v>
      </c>
      <c r="AC529" s="62" t="n">
        <v>0</v>
      </c>
      <c r="AD529" s="62" t="n">
        <v>1</v>
      </c>
      <c r="AE529" s="62" t="n">
        <f aca="false">IF(AND(Dashboard!$C$9="Yes",AC529=1),0,1)</f>
        <v>1</v>
      </c>
      <c r="AF529" s="62" t="n">
        <v>0</v>
      </c>
    </row>
    <row r="530" customFormat="false" ht="15" hidden="false" customHeight="false" outlineLevel="0" collapsed="false">
      <c r="A530" s="62" t="n">
        <v>529</v>
      </c>
      <c r="B530" s="63" t="n">
        <v>46241.9369560185</v>
      </c>
      <c r="C530" s="64" t="n">
        <v>46241</v>
      </c>
      <c r="D530" s="62" t="s">
        <v>288</v>
      </c>
      <c r="E530" s="62" t="s">
        <v>228</v>
      </c>
      <c r="F530" s="62" t="s">
        <v>229</v>
      </c>
      <c r="G530" s="62" t="s">
        <v>153</v>
      </c>
      <c r="H530" s="62" t="s">
        <v>153</v>
      </c>
      <c r="I530" s="62" t="s">
        <v>153</v>
      </c>
      <c r="J530" s="62" t="s">
        <v>64</v>
      </c>
      <c r="K530" s="62" t="s">
        <v>64</v>
      </c>
      <c r="L530" s="62" t="s">
        <v>148</v>
      </c>
      <c r="M530" s="62" t="n">
        <v>0</v>
      </c>
      <c r="N530" s="62" t="n">
        <v>1</v>
      </c>
      <c r="O530" s="62" t="n">
        <v>1</v>
      </c>
      <c r="P530" s="62" t="n">
        <v>0</v>
      </c>
      <c r="Q530" s="62" t="n">
        <v>0</v>
      </c>
      <c r="R530" s="62" t="n">
        <v>1</v>
      </c>
      <c r="S530" s="62" t="n">
        <v>0</v>
      </c>
      <c r="T530" s="62" t="n">
        <v>0</v>
      </c>
      <c r="U530" s="62"/>
      <c r="V530" s="62"/>
      <c r="W530" s="62"/>
      <c r="X530" s="62"/>
      <c r="Y530" s="62"/>
      <c r="Z530" s="62" t="s">
        <v>1129</v>
      </c>
      <c r="AA530" s="62" t="s">
        <v>1130</v>
      </c>
      <c r="AB530" s="62" t="n">
        <v>1</v>
      </c>
      <c r="AC530" s="62" t="n">
        <v>0</v>
      </c>
      <c r="AD530" s="62" t="n">
        <v>0</v>
      </c>
      <c r="AE530" s="62" t="n">
        <f aca="false">IF(AND(Dashboard!$C$9="Yes",AC530=1),0,1)</f>
        <v>1</v>
      </c>
      <c r="AF530" s="62" t="n">
        <v>0</v>
      </c>
    </row>
    <row r="531" customFormat="false" ht="15" hidden="false" customHeight="false" outlineLevel="0" collapsed="false">
      <c r="A531" s="62" t="n">
        <v>530</v>
      </c>
      <c r="B531" s="63" t="n">
        <v>46241.9556712963</v>
      </c>
      <c r="C531" s="64" t="n">
        <v>46241</v>
      </c>
      <c r="D531" s="62" t="s">
        <v>288</v>
      </c>
      <c r="E531" s="62" t="s">
        <v>439</v>
      </c>
      <c r="F531" s="62" t="s">
        <v>439</v>
      </c>
      <c r="G531" s="62" t="s">
        <v>440</v>
      </c>
      <c r="H531" s="62" t="s">
        <v>51</v>
      </c>
      <c r="I531" s="62" t="s">
        <v>47</v>
      </c>
      <c r="J531" s="62" t="s">
        <v>146</v>
      </c>
      <c r="K531" s="62" t="s">
        <v>175</v>
      </c>
      <c r="L531" s="62" t="s">
        <v>4</v>
      </c>
      <c r="M531" s="62" t="n">
        <v>1</v>
      </c>
      <c r="N531" s="62" t="n">
        <v>0</v>
      </c>
      <c r="O531" s="62" t="n">
        <v>1</v>
      </c>
      <c r="P531" s="62" t="n">
        <v>0</v>
      </c>
      <c r="Q531" s="62" t="n">
        <v>0</v>
      </c>
      <c r="R531" s="62" t="n">
        <v>0</v>
      </c>
      <c r="S531" s="62" t="n">
        <v>0</v>
      </c>
      <c r="T531" s="62" t="n">
        <v>0</v>
      </c>
      <c r="U531" s="62"/>
      <c r="V531" s="62"/>
      <c r="W531" s="62"/>
      <c r="X531" s="62"/>
      <c r="Y531" s="62"/>
      <c r="Z531" s="62" t="s">
        <v>1131</v>
      </c>
      <c r="AA531" s="62" t="s">
        <v>1132</v>
      </c>
      <c r="AB531" s="62" t="n">
        <v>1</v>
      </c>
      <c r="AC531" s="62" t="n">
        <v>0</v>
      </c>
      <c r="AD531" s="62" t="n">
        <v>1</v>
      </c>
      <c r="AE531" s="62" t="n">
        <f aca="false">IF(AND(Dashboard!$C$9="Yes",AC531=1),0,1)</f>
        <v>1</v>
      </c>
      <c r="AF531" s="62" t="n">
        <v>0</v>
      </c>
    </row>
    <row r="532" customFormat="false" ht="15" hidden="false" customHeight="false" outlineLevel="0" collapsed="false">
      <c r="A532" s="62" t="n">
        <v>531</v>
      </c>
      <c r="B532" s="63" t="n">
        <v>46241.9564699074</v>
      </c>
      <c r="C532" s="64" t="n">
        <v>46241</v>
      </c>
      <c r="D532" s="62" t="s">
        <v>288</v>
      </c>
      <c r="E532" s="62" t="s">
        <v>439</v>
      </c>
      <c r="F532" s="62" t="s">
        <v>439</v>
      </c>
      <c r="G532" s="62" t="s">
        <v>440</v>
      </c>
      <c r="H532" s="62" t="s">
        <v>51</v>
      </c>
      <c r="I532" s="62" t="s">
        <v>47</v>
      </c>
      <c r="J532" s="62" t="s">
        <v>146</v>
      </c>
      <c r="K532" s="62" t="s">
        <v>175</v>
      </c>
      <c r="L532" s="62" t="s">
        <v>148</v>
      </c>
      <c r="M532" s="62" t="n">
        <v>0</v>
      </c>
      <c r="N532" s="62" t="n">
        <v>1</v>
      </c>
      <c r="O532" s="62" t="n">
        <v>1</v>
      </c>
      <c r="P532" s="62" t="n">
        <v>0</v>
      </c>
      <c r="Q532" s="62" t="n">
        <v>0</v>
      </c>
      <c r="R532" s="62" t="n">
        <v>0</v>
      </c>
      <c r="S532" s="62" t="n">
        <v>0</v>
      </c>
      <c r="T532" s="62" t="n">
        <v>1</v>
      </c>
      <c r="U532" s="62"/>
      <c r="V532" s="62"/>
      <c r="W532" s="62"/>
      <c r="X532" s="62"/>
      <c r="Y532" s="62"/>
      <c r="Z532" s="62" t="s">
        <v>1131</v>
      </c>
      <c r="AA532" s="62" t="s">
        <v>1132</v>
      </c>
      <c r="AB532" s="62" t="n">
        <v>1</v>
      </c>
      <c r="AC532" s="62" t="n">
        <v>0</v>
      </c>
      <c r="AD532" s="62" t="n">
        <v>1</v>
      </c>
      <c r="AE532" s="62" t="n">
        <f aca="false">IF(AND(Dashboard!$C$9="Yes",AC532=1),0,1)</f>
        <v>1</v>
      </c>
      <c r="AF532" s="62" t="n">
        <v>0</v>
      </c>
    </row>
    <row r="533" customFormat="false" ht="15" hidden="false" customHeight="false" outlineLevel="0" collapsed="false">
      <c r="A533" s="62" t="n">
        <v>532</v>
      </c>
      <c r="B533" s="63" t="n">
        <v>46241.9602083333</v>
      </c>
      <c r="C533" s="64" t="n">
        <v>46241</v>
      </c>
      <c r="D533" s="62" t="s">
        <v>288</v>
      </c>
      <c r="E533" s="62" t="s">
        <v>239</v>
      </c>
      <c r="F533" s="62" t="s">
        <v>240</v>
      </c>
      <c r="G533" s="62" t="s">
        <v>153</v>
      </c>
      <c r="H533" s="62" t="s">
        <v>153</v>
      </c>
      <c r="I533" s="62" t="s">
        <v>153</v>
      </c>
      <c r="J533" s="62" t="s">
        <v>64</v>
      </c>
      <c r="K533" s="62" t="s">
        <v>64</v>
      </c>
      <c r="L533" s="62" t="s">
        <v>148</v>
      </c>
      <c r="M533" s="62" t="n">
        <v>0</v>
      </c>
      <c r="N533" s="62" t="n">
        <v>2</v>
      </c>
      <c r="O533" s="62" t="n">
        <v>2</v>
      </c>
      <c r="P533" s="62" t="n">
        <v>0</v>
      </c>
      <c r="Q533" s="62" t="n">
        <v>1</v>
      </c>
      <c r="R533" s="62" t="n">
        <v>1</v>
      </c>
      <c r="S533" s="62" t="n">
        <v>0</v>
      </c>
      <c r="T533" s="62" t="n">
        <v>0</v>
      </c>
      <c r="U533" s="62"/>
      <c r="V533" s="62"/>
      <c r="W533" s="62"/>
      <c r="X533" s="62"/>
      <c r="Y533" s="62"/>
      <c r="Z533" s="62" t="s">
        <v>1133</v>
      </c>
      <c r="AA533" s="62" t="s">
        <v>1134</v>
      </c>
      <c r="AB533" s="62" t="n">
        <v>1</v>
      </c>
      <c r="AC533" s="62" t="n">
        <v>0</v>
      </c>
      <c r="AD533" s="62" t="n">
        <v>0</v>
      </c>
      <c r="AE533" s="62" t="n">
        <f aca="false">IF(AND(Dashboard!$C$9="Yes",AC533=1),0,1)</f>
        <v>1</v>
      </c>
      <c r="AF533" s="62" t="n">
        <v>1</v>
      </c>
    </row>
    <row r="534" customFormat="false" ht="15" hidden="false" customHeight="false" outlineLevel="0" collapsed="false">
      <c r="A534" s="62" t="n">
        <v>533</v>
      </c>
      <c r="B534" s="63" t="n">
        <v>46241.9638194444</v>
      </c>
      <c r="C534" s="64" t="n">
        <v>46241</v>
      </c>
      <c r="D534" s="62" t="s">
        <v>288</v>
      </c>
      <c r="E534" s="62" t="s">
        <v>1135</v>
      </c>
      <c r="F534" s="62" t="s">
        <v>1136</v>
      </c>
      <c r="G534" s="62" t="s">
        <v>153</v>
      </c>
      <c r="H534" s="62" t="s">
        <v>153</v>
      </c>
      <c r="I534" s="62" t="s">
        <v>153</v>
      </c>
      <c r="J534" s="62" t="s">
        <v>64</v>
      </c>
      <c r="K534" s="62" t="s">
        <v>64</v>
      </c>
      <c r="L534" s="62" t="s">
        <v>4</v>
      </c>
      <c r="M534" s="62" t="n">
        <v>1</v>
      </c>
      <c r="N534" s="62" t="n">
        <v>0</v>
      </c>
      <c r="O534" s="62" t="n">
        <v>1</v>
      </c>
      <c r="P534" s="62" t="n">
        <v>0</v>
      </c>
      <c r="Q534" s="62" t="n">
        <v>0</v>
      </c>
      <c r="R534" s="62" t="n">
        <v>0</v>
      </c>
      <c r="S534" s="62" t="n">
        <v>0</v>
      </c>
      <c r="T534" s="62" t="n">
        <v>0</v>
      </c>
      <c r="U534" s="62"/>
      <c r="V534" s="62"/>
      <c r="W534" s="62"/>
      <c r="X534" s="62"/>
      <c r="Y534" s="62"/>
      <c r="Z534" s="62" t="s">
        <v>1137</v>
      </c>
      <c r="AA534" s="62" t="s">
        <v>1137</v>
      </c>
      <c r="AB534" s="62" t="n">
        <v>1</v>
      </c>
      <c r="AC534" s="62" t="n">
        <v>0</v>
      </c>
      <c r="AD534" s="62" t="n">
        <v>0</v>
      </c>
      <c r="AE534" s="62" t="n">
        <f aca="false">IF(AND(Dashboard!$C$9="Yes",AC534=1),0,1)</f>
        <v>1</v>
      </c>
      <c r="AF534" s="62" t="n">
        <v>1</v>
      </c>
    </row>
    <row r="535" customFormat="false" ht="15" hidden="false" customHeight="false" outlineLevel="0" collapsed="false">
      <c r="A535" s="62" t="n">
        <v>534</v>
      </c>
      <c r="B535" s="63" t="n">
        <v>46241.9816666667</v>
      </c>
      <c r="C535" s="64" t="n">
        <v>46241</v>
      </c>
      <c r="D535" s="62" t="s">
        <v>288</v>
      </c>
      <c r="E535" s="62" t="s">
        <v>228</v>
      </c>
      <c r="F535" s="62" t="s">
        <v>229</v>
      </c>
      <c r="G535" s="62" t="s">
        <v>153</v>
      </c>
      <c r="H535" s="62" t="s">
        <v>153</v>
      </c>
      <c r="I535" s="62" t="s">
        <v>153</v>
      </c>
      <c r="J535" s="62" t="s">
        <v>64</v>
      </c>
      <c r="K535" s="62" t="s">
        <v>64</v>
      </c>
      <c r="L535" s="62" t="s">
        <v>148</v>
      </c>
      <c r="M535" s="62" t="n">
        <v>0</v>
      </c>
      <c r="N535" s="62" t="n">
        <v>1</v>
      </c>
      <c r="O535" s="62" t="n">
        <v>1</v>
      </c>
      <c r="P535" s="62" t="n">
        <v>1</v>
      </c>
      <c r="Q535" s="62" t="n">
        <v>0</v>
      </c>
      <c r="R535" s="62" t="n">
        <v>0</v>
      </c>
      <c r="S535" s="62" t="n">
        <v>0</v>
      </c>
      <c r="T535" s="62" t="n">
        <v>0</v>
      </c>
      <c r="U535" s="62"/>
      <c r="V535" s="62"/>
      <c r="W535" s="62"/>
      <c r="X535" s="62"/>
      <c r="Y535" s="62"/>
      <c r="Z535" s="62" t="s">
        <v>1138</v>
      </c>
      <c r="AA535" s="62" t="s">
        <v>1139</v>
      </c>
      <c r="AB535" s="62" t="n">
        <v>1</v>
      </c>
      <c r="AC535" s="62" t="n">
        <v>0</v>
      </c>
      <c r="AD535" s="62" t="n">
        <v>0</v>
      </c>
      <c r="AE535" s="62" t="n">
        <f aca="false">IF(AND(Dashboard!$C$9="Yes",AC535=1),0,1)</f>
        <v>1</v>
      </c>
      <c r="AF535" s="62" t="n">
        <v>0</v>
      </c>
    </row>
    <row r="536" customFormat="false" ht="15" hidden="false" customHeight="false" outlineLevel="0" collapsed="false">
      <c r="A536" s="62" t="n">
        <v>535</v>
      </c>
      <c r="B536" s="63" t="n">
        <v>46241.9891203704</v>
      </c>
      <c r="C536" s="64" t="n">
        <v>46241</v>
      </c>
      <c r="D536" s="62" t="s">
        <v>288</v>
      </c>
      <c r="E536" s="62" t="s">
        <v>790</v>
      </c>
      <c r="F536" s="62" t="s">
        <v>791</v>
      </c>
      <c r="G536" s="62" t="s">
        <v>153</v>
      </c>
      <c r="H536" s="62" t="s">
        <v>153</v>
      </c>
      <c r="I536" s="62" t="s">
        <v>153</v>
      </c>
      <c r="J536" s="62" t="s">
        <v>64</v>
      </c>
      <c r="K536" s="62" t="s">
        <v>64</v>
      </c>
      <c r="L536" s="62" t="s">
        <v>4</v>
      </c>
      <c r="M536" s="62" t="n">
        <v>1</v>
      </c>
      <c r="N536" s="62" t="n">
        <v>0</v>
      </c>
      <c r="O536" s="62" t="n">
        <v>1</v>
      </c>
      <c r="P536" s="62" t="n">
        <v>0</v>
      </c>
      <c r="Q536" s="62" t="n">
        <v>0</v>
      </c>
      <c r="R536" s="62" t="n">
        <v>0</v>
      </c>
      <c r="S536" s="62" t="n">
        <v>0</v>
      </c>
      <c r="T536" s="62" t="n">
        <v>0</v>
      </c>
      <c r="U536" s="62"/>
      <c r="V536" s="62"/>
      <c r="W536" s="62"/>
      <c r="X536" s="62"/>
      <c r="Y536" s="62"/>
      <c r="Z536" s="62" t="s">
        <v>1140</v>
      </c>
      <c r="AA536" s="62" t="s">
        <v>1141</v>
      </c>
      <c r="AB536" s="62" t="n">
        <v>1</v>
      </c>
      <c r="AC536" s="62" t="n">
        <v>0</v>
      </c>
      <c r="AD536" s="62" t="n">
        <v>0</v>
      </c>
      <c r="AE536" s="62" t="n">
        <f aca="false">IF(AND(Dashboard!$C$9="Yes",AC536=1),0,1)</f>
        <v>1</v>
      </c>
      <c r="AF536" s="62" t="n">
        <v>1</v>
      </c>
    </row>
    <row r="537" customFormat="false" ht="15" hidden="false" customHeight="false" outlineLevel="0" collapsed="false">
      <c r="A537" s="62" t="n">
        <v>536</v>
      </c>
      <c r="B537" s="63" t="n">
        <v>46241.9896296296</v>
      </c>
      <c r="C537" s="64" t="n">
        <v>46241</v>
      </c>
      <c r="D537" s="62" t="s">
        <v>288</v>
      </c>
      <c r="E537" s="62" t="s">
        <v>790</v>
      </c>
      <c r="F537" s="62" t="s">
        <v>791</v>
      </c>
      <c r="G537" s="62" t="s">
        <v>153</v>
      </c>
      <c r="H537" s="62" t="s">
        <v>153</v>
      </c>
      <c r="I537" s="62" t="s">
        <v>153</v>
      </c>
      <c r="J537" s="62" t="s">
        <v>64</v>
      </c>
      <c r="K537" s="62" t="s">
        <v>64</v>
      </c>
      <c r="L537" s="62" t="s">
        <v>148</v>
      </c>
      <c r="M537" s="62" t="n">
        <v>0</v>
      </c>
      <c r="N537" s="62" t="n">
        <v>1</v>
      </c>
      <c r="O537" s="62" t="n">
        <v>1</v>
      </c>
      <c r="P537" s="62" t="n">
        <v>0</v>
      </c>
      <c r="Q537" s="62" t="n">
        <v>0</v>
      </c>
      <c r="R537" s="62" t="n">
        <v>0</v>
      </c>
      <c r="S537" s="62" t="n">
        <v>0</v>
      </c>
      <c r="T537" s="62" t="n">
        <v>1</v>
      </c>
      <c r="U537" s="62"/>
      <c r="V537" s="62"/>
      <c r="W537" s="62"/>
      <c r="X537" s="62"/>
      <c r="Y537" s="62"/>
      <c r="Z537" s="62" t="s">
        <v>1140</v>
      </c>
      <c r="AA537" s="62" t="s">
        <v>1141</v>
      </c>
      <c r="AB537" s="62" t="n">
        <v>1</v>
      </c>
      <c r="AC537" s="62" t="n">
        <v>0</v>
      </c>
      <c r="AD537" s="62" t="n">
        <v>0</v>
      </c>
      <c r="AE537" s="62" t="n">
        <f aca="false">IF(AND(Dashboard!$C$9="Yes",AC537=1),0,1)</f>
        <v>1</v>
      </c>
      <c r="AF537" s="62" t="n">
        <v>0</v>
      </c>
    </row>
    <row r="538" customFormat="false" ht="15" hidden="false" customHeight="false" outlineLevel="0" collapsed="false">
      <c r="A538" s="62" t="n">
        <v>537</v>
      </c>
      <c r="B538" s="63" t="n">
        <v>46241.9952893519</v>
      </c>
      <c r="C538" s="64" t="n">
        <v>46241</v>
      </c>
      <c r="D538" s="62" t="s">
        <v>288</v>
      </c>
      <c r="E538" s="62" t="s">
        <v>173</v>
      </c>
      <c r="F538" s="62" t="s">
        <v>173</v>
      </c>
      <c r="G538" s="62" t="s">
        <v>174</v>
      </c>
      <c r="H538" s="62" t="s">
        <v>58</v>
      </c>
      <c r="I538" s="62" t="s">
        <v>49</v>
      </c>
      <c r="J538" s="62" t="s">
        <v>146</v>
      </c>
      <c r="K538" s="62" t="s">
        <v>175</v>
      </c>
      <c r="L538" s="62" t="s">
        <v>148</v>
      </c>
      <c r="M538" s="62" t="n">
        <v>0</v>
      </c>
      <c r="N538" s="62" t="n">
        <v>1</v>
      </c>
      <c r="O538" s="62" t="n">
        <v>1</v>
      </c>
      <c r="P538" s="62" t="n">
        <v>0</v>
      </c>
      <c r="Q538" s="62" t="n">
        <v>0</v>
      </c>
      <c r="R538" s="62" t="n">
        <v>1</v>
      </c>
      <c r="S538" s="62" t="n">
        <v>0</v>
      </c>
      <c r="T538" s="62" t="n">
        <v>0</v>
      </c>
      <c r="U538" s="62"/>
      <c r="V538" s="62"/>
      <c r="W538" s="62"/>
      <c r="X538" s="62"/>
      <c r="Y538" s="62"/>
      <c r="Z538" s="62" t="s">
        <v>1142</v>
      </c>
      <c r="AA538" s="62" t="s">
        <v>1143</v>
      </c>
      <c r="AB538" s="62" t="n">
        <v>1</v>
      </c>
      <c r="AC538" s="62" t="n">
        <v>0</v>
      </c>
      <c r="AD538" s="62" t="n">
        <v>1</v>
      </c>
      <c r="AE538" s="62" t="n">
        <f aca="false">IF(AND(Dashboard!$C$9="Yes",AC538=1),0,1)</f>
        <v>1</v>
      </c>
      <c r="AF538" s="62" t="n">
        <v>1</v>
      </c>
    </row>
    <row r="539" customFormat="false" ht="15" hidden="false" customHeight="false" outlineLevel="0" collapsed="false">
      <c r="A539" s="62" t="n">
        <v>538</v>
      </c>
      <c r="B539" s="63" t="n">
        <v>46241.9963657407</v>
      </c>
      <c r="C539" s="64" t="n">
        <v>46241</v>
      </c>
      <c r="D539" s="62" t="s">
        <v>288</v>
      </c>
      <c r="E539" s="62" t="s">
        <v>203</v>
      </c>
      <c r="F539" s="62" t="s">
        <v>203</v>
      </c>
      <c r="G539" s="62" t="s">
        <v>204</v>
      </c>
      <c r="H539" s="62" t="s">
        <v>51</v>
      </c>
      <c r="I539" s="62" t="s">
        <v>47</v>
      </c>
      <c r="J539" s="62" t="s">
        <v>146</v>
      </c>
      <c r="K539" s="62" t="s">
        <v>147</v>
      </c>
      <c r="L539" s="62" t="s">
        <v>148</v>
      </c>
      <c r="M539" s="62" t="n">
        <v>0</v>
      </c>
      <c r="N539" s="62" t="n">
        <v>1</v>
      </c>
      <c r="O539" s="62" t="n">
        <v>1</v>
      </c>
      <c r="P539" s="62" t="n">
        <v>0</v>
      </c>
      <c r="Q539" s="62" t="n">
        <v>0</v>
      </c>
      <c r="R539" s="62" t="n">
        <v>1</v>
      </c>
      <c r="S539" s="62" t="n">
        <v>0</v>
      </c>
      <c r="T539" s="62" t="n">
        <v>0</v>
      </c>
      <c r="U539" s="62"/>
      <c r="V539" s="62"/>
      <c r="W539" s="62"/>
      <c r="X539" s="62"/>
      <c r="Y539" s="62"/>
      <c r="Z539" s="62" t="s">
        <v>1144</v>
      </c>
      <c r="AA539" s="62" t="s">
        <v>485</v>
      </c>
      <c r="AB539" s="62" t="n">
        <v>0</v>
      </c>
      <c r="AC539" s="62" t="n">
        <v>0</v>
      </c>
      <c r="AD539" s="62" t="n">
        <v>1</v>
      </c>
      <c r="AE539" s="62" t="n">
        <f aca="false">IF(AND(Dashboard!$C$9="Yes",AC539=1),0,1)</f>
        <v>1</v>
      </c>
      <c r="AF539" s="62" t="n">
        <v>0</v>
      </c>
    </row>
    <row r="540" customFormat="false" ht="15" hidden="false" customHeight="false" outlineLevel="0" collapsed="false">
      <c r="A540" s="62" t="n">
        <v>539</v>
      </c>
      <c r="B540" s="63" t="n">
        <v>46242.0029166667</v>
      </c>
      <c r="C540" s="64" t="n">
        <v>46241</v>
      </c>
      <c r="D540" s="62" t="s">
        <v>288</v>
      </c>
      <c r="E540" s="62" t="s">
        <v>432</v>
      </c>
      <c r="F540" s="62" t="s">
        <v>433</v>
      </c>
      <c r="G540" s="62" t="s">
        <v>153</v>
      </c>
      <c r="H540" s="62" t="s">
        <v>153</v>
      </c>
      <c r="I540" s="62" t="s">
        <v>153</v>
      </c>
      <c r="J540" s="62" t="s">
        <v>64</v>
      </c>
      <c r="K540" s="62" t="s">
        <v>64</v>
      </c>
      <c r="L540" s="62" t="s">
        <v>148</v>
      </c>
      <c r="M540" s="62" t="n">
        <v>0</v>
      </c>
      <c r="N540" s="62" t="n">
        <v>1</v>
      </c>
      <c r="O540" s="62" t="n">
        <v>1</v>
      </c>
      <c r="P540" s="62" t="n">
        <v>1</v>
      </c>
      <c r="Q540" s="62" t="n">
        <v>0</v>
      </c>
      <c r="R540" s="62" t="n">
        <v>0</v>
      </c>
      <c r="S540" s="62" t="n">
        <v>0</v>
      </c>
      <c r="T540" s="62" t="n">
        <v>0</v>
      </c>
      <c r="U540" s="62"/>
      <c r="V540" s="62"/>
      <c r="W540" s="62"/>
      <c r="X540" s="62"/>
      <c r="Y540" s="62"/>
      <c r="Z540" s="62" t="s">
        <v>1145</v>
      </c>
      <c r="AA540" s="62" t="s">
        <v>1146</v>
      </c>
      <c r="AB540" s="62" t="n">
        <v>1</v>
      </c>
      <c r="AC540" s="62" t="n">
        <v>0</v>
      </c>
      <c r="AD540" s="62" t="n">
        <v>0</v>
      </c>
      <c r="AE540" s="62" t="n">
        <f aca="false">IF(AND(Dashboard!$C$9="Yes",AC540=1),0,1)</f>
        <v>1</v>
      </c>
      <c r="AF540" s="62" t="n">
        <v>0</v>
      </c>
    </row>
    <row r="541" customFormat="false" ht="15" hidden="false" customHeight="false" outlineLevel="0" collapsed="false">
      <c r="A541" s="62" t="n">
        <v>540</v>
      </c>
      <c r="B541" s="63" t="n">
        <v>46242.0345023148</v>
      </c>
      <c r="C541" s="64" t="n">
        <v>46241</v>
      </c>
      <c r="D541" s="62" t="s">
        <v>288</v>
      </c>
      <c r="E541" s="62" t="s">
        <v>1005</v>
      </c>
      <c r="F541" s="62" t="s">
        <v>1005</v>
      </c>
      <c r="G541" s="62" t="s">
        <v>1006</v>
      </c>
      <c r="H541" s="62" t="s">
        <v>46</v>
      </c>
      <c r="I541" s="62" t="s">
        <v>47</v>
      </c>
      <c r="J541" s="62" t="s">
        <v>146</v>
      </c>
      <c r="K541" s="62" t="s">
        <v>209</v>
      </c>
      <c r="L541" s="62" t="s">
        <v>148</v>
      </c>
      <c r="M541" s="62" t="n">
        <v>0</v>
      </c>
      <c r="N541" s="62" t="n">
        <v>1</v>
      </c>
      <c r="O541" s="62" t="n">
        <v>1</v>
      </c>
      <c r="P541" s="62" t="n">
        <v>0</v>
      </c>
      <c r="Q541" s="62" t="n">
        <v>1</v>
      </c>
      <c r="R541" s="62" t="n">
        <v>0</v>
      </c>
      <c r="S541" s="62" t="n">
        <v>0</v>
      </c>
      <c r="T541" s="62" t="n">
        <v>0</v>
      </c>
      <c r="U541" s="62"/>
      <c r="V541" s="62"/>
      <c r="W541" s="62"/>
      <c r="X541" s="62"/>
      <c r="Y541" s="62"/>
      <c r="Z541" s="62" t="s">
        <v>1147</v>
      </c>
      <c r="AA541" s="62" t="s">
        <v>1148</v>
      </c>
      <c r="AB541" s="62" t="n">
        <v>0</v>
      </c>
      <c r="AC541" s="62" t="n">
        <v>0</v>
      </c>
      <c r="AD541" s="62" t="n">
        <v>1</v>
      </c>
      <c r="AE541" s="62" t="n">
        <f aca="false">IF(AND(Dashboard!$C$9="Yes",AC541=1),0,1)</f>
        <v>1</v>
      </c>
      <c r="AF541" s="62" t="n">
        <v>0</v>
      </c>
    </row>
    <row r="542" customFormat="false" ht="15" hidden="false" customHeight="false" outlineLevel="0" collapsed="false">
      <c r="A542" s="62" t="n">
        <v>541</v>
      </c>
      <c r="B542" s="63" t="n">
        <v>46242.0989236111</v>
      </c>
      <c r="C542" s="64" t="n">
        <v>46241</v>
      </c>
      <c r="D542" s="62" t="s">
        <v>288</v>
      </c>
      <c r="E542" s="62" t="s">
        <v>980</v>
      </c>
      <c r="F542" s="62" t="s">
        <v>981</v>
      </c>
      <c r="G542" s="62" t="s">
        <v>153</v>
      </c>
      <c r="H542" s="62" t="s">
        <v>153</v>
      </c>
      <c r="I542" s="62" t="s">
        <v>153</v>
      </c>
      <c r="J542" s="62" t="s">
        <v>64</v>
      </c>
      <c r="K542" s="62" t="s">
        <v>64</v>
      </c>
      <c r="L542" s="62" t="s">
        <v>148</v>
      </c>
      <c r="M542" s="62" t="n">
        <v>0</v>
      </c>
      <c r="N542" s="62" t="n">
        <v>1</v>
      </c>
      <c r="O542" s="62" t="n">
        <v>1</v>
      </c>
      <c r="P542" s="62" t="n">
        <v>1</v>
      </c>
      <c r="Q542" s="62" t="n">
        <v>0</v>
      </c>
      <c r="R542" s="62" t="n">
        <v>0</v>
      </c>
      <c r="S542" s="62" t="n">
        <v>0</v>
      </c>
      <c r="T542" s="62" t="n">
        <v>0</v>
      </c>
      <c r="U542" s="62"/>
      <c r="V542" s="62"/>
      <c r="W542" s="62"/>
      <c r="X542" s="62"/>
      <c r="Y542" s="62"/>
      <c r="Z542" s="62" t="s">
        <v>1149</v>
      </c>
      <c r="AA542" s="62" t="s">
        <v>1150</v>
      </c>
      <c r="AB542" s="62" t="n">
        <v>1</v>
      </c>
      <c r="AC542" s="62" t="n">
        <v>0</v>
      </c>
      <c r="AD542" s="62" t="n">
        <v>0</v>
      </c>
      <c r="AE542" s="62" t="n">
        <f aca="false">IF(AND(Dashboard!$C$9="Yes",AC542=1),0,1)</f>
        <v>1</v>
      </c>
      <c r="AF542" s="62" t="n">
        <v>1</v>
      </c>
    </row>
    <row r="543" customFormat="false" ht="15" hidden="false" customHeight="false" outlineLevel="0" collapsed="false">
      <c r="A543" s="62" t="n">
        <v>542</v>
      </c>
      <c r="B543" s="63" t="n">
        <v>46242.1104282407</v>
      </c>
      <c r="C543" s="64" t="n">
        <v>46241</v>
      </c>
      <c r="D543" s="62" t="s">
        <v>288</v>
      </c>
      <c r="E543" s="62" t="s">
        <v>164</v>
      </c>
      <c r="F543" s="62" t="s">
        <v>164</v>
      </c>
      <c r="G543" s="62" t="s">
        <v>165</v>
      </c>
      <c r="H543" s="62" t="s">
        <v>51</v>
      </c>
      <c r="I543" s="62" t="s">
        <v>47</v>
      </c>
      <c r="J543" s="62" t="s">
        <v>146</v>
      </c>
      <c r="K543" s="62" t="s">
        <v>147</v>
      </c>
      <c r="L543" s="62" t="s">
        <v>4</v>
      </c>
      <c r="M543" s="62" t="n">
        <v>1</v>
      </c>
      <c r="N543" s="62" t="n">
        <v>0</v>
      </c>
      <c r="O543" s="62" t="n">
        <v>1</v>
      </c>
      <c r="P543" s="62" t="n">
        <v>0</v>
      </c>
      <c r="Q543" s="62" t="n">
        <v>0</v>
      </c>
      <c r="R543" s="62" t="n">
        <v>0</v>
      </c>
      <c r="S543" s="62" t="n">
        <v>0</v>
      </c>
      <c r="T543" s="62" t="n">
        <v>0</v>
      </c>
      <c r="U543" s="62"/>
      <c r="V543" s="62"/>
      <c r="W543" s="62"/>
      <c r="X543" s="62"/>
      <c r="Y543" s="62"/>
      <c r="Z543" s="62" t="s">
        <v>1151</v>
      </c>
      <c r="AA543" s="62" t="s">
        <v>1152</v>
      </c>
      <c r="AB543" s="62" t="n">
        <v>1</v>
      </c>
      <c r="AC543" s="62" t="n">
        <v>0</v>
      </c>
      <c r="AD543" s="62" t="n">
        <v>1</v>
      </c>
      <c r="AE543" s="62" t="n">
        <f aca="false">IF(AND(Dashboard!$C$9="Yes",AC543=1),0,1)</f>
        <v>1</v>
      </c>
      <c r="AF543" s="62" t="n">
        <v>1</v>
      </c>
    </row>
    <row r="544" customFormat="false" ht="15" hidden="false" customHeight="false" outlineLevel="0" collapsed="false">
      <c r="A544" s="62" t="n">
        <v>543</v>
      </c>
      <c r="B544" s="63" t="n">
        <v>46242.137662037</v>
      </c>
      <c r="C544" s="64" t="n">
        <v>46241</v>
      </c>
      <c r="D544" s="62" t="s">
        <v>288</v>
      </c>
      <c r="E544" s="62" t="s">
        <v>790</v>
      </c>
      <c r="F544" s="62" t="s">
        <v>791</v>
      </c>
      <c r="G544" s="62" t="s">
        <v>153</v>
      </c>
      <c r="H544" s="62" t="s">
        <v>153</v>
      </c>
      <c r="I544" s="62" t="s">
        <v>153</v>
      </c>
      <c r="J544" s="62" t="s">
        <v>64</v>
      </c>
      <c r="K544" s="62" t="s">
        <v>64</v>
      </c>
      <c r="L544" s="62" t="s">
        <v>4</v>
      </c>
      <c r="M544" s="62" t="n">
        <v>1</v>
      </c>
      <c r="N544" s="62" t="n">
        <v>0</v>
      </c>
      <c r="O544" s="62" t="n">
        <v>1</v>
      </c>
      <c r="P544" s="62" t="n">
        <v>0</v>
      </c>
      <c r="Q544" s="62" t="n">
        <v>0</v>
      </c>
      <c r="R544" s="62" t="n">
        <v>0</v>
      </c>
      <c r="S544" s="62" t="n">
        <v>0</v>
      </c>
      <c r="T544" s="62" t="n">
        <v>0</v>
      </c>
      <c r="U544" s="62"/>
      <c r="V544" s="62"/>
      <c r="W544" s="62"/>
      <c r="X544" s="62"/>
      <c r="Y544" s="62"/>
      <c r="Z544" s="62" t="s">
        <v>1153</v>
      </c>
      <c r="AA544" s="62" t="s">
        <v>1154</v>
      </c>
      <c r="AB544" s="62" t="n">
        <v>1</v>
      </c>
      <c r="AC544" s="62" t="n">
        <v>0</v>
      </c>
      <c r="AD544" s="62" t="n">
        <v>0</v>
      </c>
      <c r="AE544" s="62" t="n">
        <f aca="false">IF(AND(Dashboard!$C$9="Yes",AC544=1),0,1)</f>
        <v>1</v>
      </c>
      <c r="AF544" s="62" t="n">
        <v>0</v>
      </c>
    </row>
    <row r="545" customFormat="false" ht="15" hidden="false" customHeight="false" outlineLevel="0" collapsed="false">
      <c r="A545" s="62" t="n">
        <v>544</v>
      </c>
      <c r="B545" s="63" t="n">
        <v>46242.1386111111</v>
      </c>
      <c r="C545" s="64" t="n">
        <v>46241</v>
      </c>
      <c r="D545" s="62" t="s">
        <v>288</v>
      </c>
      <c r="E545" s="62" t="s">
        <v>790</v>
      </c>
      <c r="F545" s="62" t="s">
        <v>791</v>
      </c>
      <c r="G545" s="62" t="s">
        <v>153</v>
      </c>
      <c r="H545" s="62" t="s">
        <v>153</v>
      </c>
      <c r="I545" s="62" t="s">
        <v>153</v>
      </c>
      <c r="J545" s="62" t="s">
        <v>64</v>
      </c>
      <c r="K545" s="62" t="s">
        <v>64</v>
      </c>
      <c r="L545" s="62" t="s">
        <v>148</v>
      </c>
      <c r="M545" s="62" t="n">
        <v>0</v>
      </c>
      <c r="N545" s="62" t="n">
        <v>1</v>
      </c>
      <c r="O545" s="62" t="n">
        <v>1</v>
      </c>
      <c r="P545" s="62" t="n">
        <v>0</v>
      </c>
      <c r="Q545" s="62" t="n">
        <v>0</v>
      </c>
      <c r="R545" s="62" t="n">
        <v>0</v>
      </c>
      <c r="S545" s="62" t="n">
        <v>0</v>
      </c>
      <c r="T545" s="62" t="n">
        <v>1</v>
      </c>
      <c r="U545" s="62"/>
      <c r="V545" s="62"/>
      <c r="W545" s="62"/>
      <c r="X545" s="62"/>
      <c r="Y545" s="62"/>
      <c r="Z545" s="62" t="s">
        <v>1153</v>
      </c>
      <c r="AA545" s="62" t="s">
        <v>1154</v>
      </c>
      <c r="AB545" s="62" t="n">
        <v>1</v>
      </c>
      <c r="AC545" s="62" t="n">
        <v>0</v>
      </c>
      <c r="AD545" s="62" t="n">
        <v>0</v>
      </c>
      <c r="AE545" s="62" t="n">
        <f aca="false">IF(AND(Dashboard!$C$9="Yes",AC545=1),0,1)</f>
        <v>1</v>
      </c>
      <c r="AF545" s="62" t="n">
        <v>0</v>
      </c>
    </row>
    <row r="546" customFormat="false" ht="15" hidden="false" customHeight="false" outlineLevel="0" collapsed="false">
      <c r="A546" s="62" t="n">
        <v>545</v>
      </c>
      <c r="B546" s="63" t="n">
        <v>46242.1409722222</v>
      </c>
      <c r="C546" s="64" t="n">
        <v>46241</v>
      </c>
      <c r="D546" s="62" t="s">
        <v>288</v>
      </c>
      <c r="E546" s="62" t="s">
        <v>1155</v>
      </c>
      <c r="F546" s="62" t="s">
        <v>1155</v>
      </c>
      <c r="G546" s="62" t="s">
        <v>1156</v>
      </c>
      <c r="H546" s="62" t="s">
        <v>59</v>
      </c>
      <c r="I546" s="62" t="s">
        <v>47</v>
      </c>
      <c r="J546" s="62" t="s">
        <v>146</v>
      </c>
      <c r="K546" s="62" t="s">
        <v>209</v>
      </c>
      <c r="L546" s="62" t="s">
        <v>4</v>
      </c>
      <c r="M546" s="62" t="n">
        <v>1</v>
      </c>
      <c r="N546" s="62" t="n">
        <v>0</v>
      </c>
      <c r="O546" s="62" t="n">
        <v>1</v>
      </c>
      <c r="P546" s="62" t="n">
        <v>0</v>
      </c>
      <c r="Q546" s="62" t="n">
        <v>0</v>
      </c>
      <c r="R546" s="62" t="n">
        <v>0</v>
      </c>
      <c r="S546" s="62" t="n">
        <v>0</v>
      </c>
      <c r="T546" s="62" t="n">
        <v>0</v>
      </c>
      <c r="U546" s="62"/>
      <c r="V546" s="62"/>
      <c r="W546" s="62"/>
      <c r="X546" s="62"/>
      <c r="Y546" s="62"/>
      <c r="Z546" s="62" t="s">
        <v>1157</v>
      </c>
      <c r="AA546" s="62" t="s">
        <v>1158</v>
      </c>
      <c r="AB546" s="62" t="n">
        <v>1</v>
      </c>
      <c r="AC546" s="62" t="n">
        <v>0</v>
      </c>
      <c r="AD546" s="62" t="n">
        <v>1</v>
      </c>
      <c r="AE546" s="62" t="n">
        <f aca="false">IF(AND(Dashboard!$C$9="Yes",AC546=1),0,1)</f>
        <v>1</v>
      </c>
      <c r="AF546" s="62" t="n">
        <v>1</v>
      </c>
    </row>
    <row r="547" customFormat="false" ht="15" hidden="false" customHeight="false" outlineLevel="0" collapsed="false">
      <c r="A547" s="62" t="n">
        <v>546</v>
      </c>
      <c r="B547" s="63" t="n">
        <v>46242.1625810185</v>
      </c>
      <c r="C547" s="64" t="n">
        <v>46241</v>
      </c>
      <c r="D547" s="62" t="s">
        <v>288</v>
      </c>
      <c r="E547" s="62" t="s">
        <v>173</v>
      </c>
      <c r="F547" s="62" t="s">
        <v>173</v>
      </c>
      <c r="G547" s="62" t="s">
        <v>174</v>
      </c>
      <c r="H547" s="62" t="s">
        <v>58</v>
      </c>
      <c r="I547" s="62" t="s">
        <v>49</v>
      </c>
      <c r="J547" s="62" t="s">
        <v>146</v>
      </c>
      <c r="K547" s="62" t="s">
        <v>175</v>
      </c>
      <c r="L547" s="62" t="s">
        <v>148</v>
      </c>
      <c r="M547" s="62" t="n">
        <v>0</v>
      </c>
      <c r="N547" s="62" t="n">
        <v>1</v>
      </c>
      <c r="O547" s="62" t="n">
        <v>1</v>
      </c>
      <c r="P547" s="62" t="n">
        <v>1</v>
      </c>
      <c r="Q547" s="62" t="n">
        <v>0</v>
      </c>
      <c r="R547" s="62" t="n">
        <v>0</v>
      </c>
      <c r="S547" s="62" t="n">
        <v>0</v>
      </c>
      <c r="T547" s="62" t="n">
        <v>0</v>
      </c>
      <c r="U547" s="62"/>
      <c r="V547" s="62"/>
      <c r="W547" s="62"/>
      <c r="X547" s="62"/>
      <c r="Y547" s="62"/>
      <c r="Z547" s="62" t="s">
        <v>1159</v>
      </c>
      <c r="AA547" s="62" t="s">
        <v>1160</v>
      </c>
      <c r="AB547" s="62" t="n">
        <v>1</v>
      </c>
      <c r="AC547" s="62" t="n">
        <v>0</v>
      </c>
      <c r="AD547" s="62" t="n">
        <v>1</v>
      </c>
      <c r="AE547" s="62" t="n">
        <f aca="false">IF(AND(Dashboard!$C$9="Yes",AC547=1),0,1)</f>
        <v>1</v>
      </c>
      <c r="AF547" s="62" t="n">
        <v>0</v>
      </c>
    </row>
    <row r="548" customFormat="false" ht="15" hidden="false" customHeight="false" outlineLevel="0" collapsed="false">
      <c r="A548" s="62" t="n">
        <v>547</v>
      </c>
      <c r="B548" s="63" t="n">
        <v>46242.1695717593</v>
      </c>
      <c r="C548" s="64" t="n">
        <v>46241</v>
      </c>
      <c r="D548" s="62" t="s">
        <v>288</v>
      </c>
      <c r="E548" s="62" t="s">
        <v>1005</v>
      </c>
      <c r="F548" s="62" t="s">
        <v>1005</v>
      </c>
      <c r="G548" s="62" t="s">
        <v>1006</v>
      </c>
      <c r="H548" s="62" t="s">
        <v>46</v>
      </c>
      <c r="I548" s="62" t="s">
        <v>47</v>
      </c>
      <c r="J548" s="62" t="s">
        <v>146</v>
      </c>
      <c r="K548" s="62" t="s">
        <v>209</v>
      </c>
      <c r="L548" s="62" t="s">
        <v>4</v>
      </c>
      <c r="M548" s="62" t="n">
        <v>1</v>
      </c>
      <c r="N548" s="62" t="n">
        <v>0</v>
      </c>
      <c r="O548" s="62" t="n">
        <v>1</v>
      </c>
      <c r="P548" s="62" t="n">
        <v>0</v>
      </c>
      <c r="Q548" s="62" t="n">
        <v>0</v>
      </c>
      <c r="R548" s="62" t="n">
        <v>0</v>
      </c>
      <c r="S548" s="62" t="n">
        <v>0</v>
      </c>
      <c r="T548" s="62" t="n">
        <v>0</v>
      </c>
      <c r="U548" s="62"/>
      <c r="V548" s="62"/>
      <c r="W548" s="62"/>
      <c r="X548" s="62"/>
      <c r="Y548" s="62"/>
      <c r="Z548" s="62" t="s">
        <v>1161</v>
      </c>
      <c r="AA548" s="62" t="s">
        <v>1162</v>
      </c>
      <c r="AB548" s="62" t="n">
        <v>1</v>
      </c>
      <c r="AC548" s="62" t="n">
        <v>0</v>
      </c>
      <c r="AD548" s="62" t="n">
        <v>1</v>
      </c>
      <c r="AE548" s="62" t="n">
        <f aca="false">IF(AND(Dashboard!$C$9="Yes",AC548=1),0,1)</f>
        <v>1</v>
      </c>
      <c r="AF548" s="62" t="n">
        <v>0</v>
      </c>
    </row>
    <row r="549" customFormat="false" ht="15" hidden="false" customHeight="false" outlineLevel="0" collapsed="false">
      <c r="A549" s="62" t="n">
        <v>548</v>
      </c>
      <c r="B549" s="63" t="n">
        <v>46242.1867361111</v>
      </c>
      <c r="C549" s="64" t="n">
        <v>46241</v>
      </c>
      <c r="D549" s="62" t="s">
        <v>288</v>
      </c>
      <c r="E549" s="62" t="s">
        <v>144</v>
      </c>
      <c r="F549" s="62" t="s">
        <v>144</v>
      </c>
      <c r="G549" s="62" t="s">
        <v>145</v>
      </c>
      <c r="H549" s="62" t="s">
        <v>59</v>
      </c>
      <c r="I549" s="62" t="s">
        <v>47</v>
      </c>
      <c r="J549" s="62" t="s">
        <v>146</v>
      </c>
      <c r="K549" s="62" t="s">
        <v>147</v>
      </c>
      <c r="L549" s="62" t="s">
        <v>148</v>
      </c>
      <c r="M549" s="62" t="n">
        <v>0</v>
      </c>
      <c r="N549" s="62" t="n">
        <v>2</v>
      </c>
      <c r="O549" s="62" t="n">
        <v>2</v>
      </c>
      <c r="P549" s="62" t="n">
        <v>1</v>
      </c>
      <c r="Q549" s="62" t="n">
        <v>1</v>
      </c>
      <c r="R549" s="62" t="n">
        <v>0</v>
      </c>
      <c r="S549" s="62" t="n">
        <v>0</v>
      </c>
      <c r="T549" s="62" t="n">
        <v>0</v>
      </c>
      <c r="U549" s="62"/>
      <c r="V549" s="62"/>
      <c r="W549" s="62"/>
      <c r="X549" s="62"/>
      <c r="Y549" s="62"/>
      <c r="Z549" s="62" t="s">
        <v>1163</v>
      </c>
      <c r="AA549" s="62" t="s">
        <v>1164</v>
      </c>
      <c r="AB549" s="62" t="n">
        <v>0</v>
      </c>
      <c r="AC549" s="62" t="n">
        <v>0</v>
      </c>
      <c r="AD549" s="62" t="n">
        <v>1</v>
      </c>
      <c r="AE549" s="62" t="n">
        <f aca="false">IF(AND(Dashboard!$C$9="Yes",AC549=1),0,1)</f>
        <v>1</v>
      </c>
      <c r="AF549" s="62" t="n">
        <v>1</v>
      </c>
    </row>
    <row r="550" customFormat="false" ht="15" hidden="false" customHeight="false" outlineLevel="0" collapsed="false">
      <c r="A550" s="62" t="n">
        <v>549</v>
      </c>
      <c r="B550" s="63" t="n">
        <v>46242.1870138889</v>
      </c>
      <c r="C550" s="64" t="n">
        <v>46241</v>
      </c>
      <c r="D550" s="62" t="s">
        <v>288</v>
      </c>
      <c r="E550" s="62" t="s">
        <v>144</v>
      </c>
      <c r="F550" s="62" t="s">
        <v>144</v>
      </c>
      <c r="G550" s="62" t="s">
        <v>145</v>
      </c>
      <c r="H550" s="62" t="s">
        <v>59</v>
      </c>
      <c r="I550" s="62" t="s">
        <v>47</v>
      </c>
      <c r="J550" s="62" t="s">
        <v>146</v>
      </c>
      <c r="K550" s="62" t="s">
        <v>147</v>
      </c>
      <c r="L550" s="62" t="s">
        <v>148</v>
      </c>
      <c r="M550" s="62" t="n">
        <v>0</v>
      </c>
      <c r="N550" s="62" t="n">
        <v>2</v>
      </c>
      <c r="O550" s="62" t="n">
        <v>2</v>
      </c>
      <c r="P550" s="62" t="n">
        <v>1</v>
      </c>
      <c r="Q550" s="62" t="n">
        <v>1</v>
      </c>
      <c r="R550" s="62" t="n">
        <v>0</v>
      </c>
      <c r="S550" s="62" t="n">
        <v>0</v>
      </c>
      <c r="T550" s="62" t="n">
        <v>0</v>
      </c>
      <c r="U550" s="62"/>
      <c r="V550" s="62"/>
      <c r="W550" s="62"/>
      <c r="X550" s="62"/>
      <c r="Y550" s="62"/>
      <c r="Z550" s="62" t="s">
        <v>1163</v>
      </c>
      <c r="AA550" s="62" t="s">
        <v>1164</v>
      </c>
      <c r="AB550" s="62" t="n">
        <v>0</v>
      </c>
      <c r="AC550" s="62" t="n">
        <v>0</v>
      </c>
      <c r="AD550" s="62" t="n">
        <v>1</v>
      </c>
      <c r="AE550" s="62" t="n">
        <f aca="false">IF(AND(Dashboard!$C$9="Yes",AC550=1),0,1)</f>
        <v>1</v>
      </c>
      <c r="AF550" s="62" t="n">
        <v>0</v>
      </c>
    </row>
    <row r="551" customFormat="false" ht="15" hidden="false" customHeight="false" outlineLevel="0" collapsed="false">
      <c r="A551" s="62" t="n">
        <v>550</v>
      </c>
      <c r="B551" s="63" t="n">
        <v>46242.2073726852</v>
      </c>
      <c r="C551" s="64" t="n">
        <v>46241</v>
      </c>
      <c r="D551" s="62" t="s">
        <v>288</v>
      </c>
      <c r="E551" s="62" t="s">
        <v>751</v>
      </c>
      <c r="F551" s="62" t="s">
        <v>752</v>
      </c>
      <c r="G551" s="62" t="s">
        <v>153</v>
      </c>
      <c r="H551" s="62" t="s">
        <v>153</v>
      </c>
      <c r="I551" s="62" t="s">
        <v>153</v>
      </c>
      <c r="J551" s="62" t="s">
        <v>64</v>
      </c>
      <c r="K551" s="62" t="s">
        <v>64</v>
      </c>
      <c r="L551" s="62" t="s">
        <v>4</v>
      </c>
      <c r="M551" s="62" t="n">
        <v>1</v>
      </c>
      <c r="N551" s="62" t="n">
        <v>0</v>
      </c>
      <c r="O551" s="62" t="n">
        <v>1</v>
      </c>
      <c r="P551" s="62" t="n">
        <v>0</v>
      </c>
      <c r="Q551" s="62" t="n">
        <v>0</v>
      </c>
      <c r="R551" s="62" t="n">
        <v>0</v>
      </c>
      <c r="S551" s="62" t="n">
        <v>0</v>
      </c>
      <c r="T551" s="62" t="n">
        <v>0</v>
      </c>
      <c r="U551" s="62"/>
      <c r="V551" s="62"/>
      <c r="W551" s="62"/>
      <c r="X551" s="62"/>
      <c r="Y551" s="62"/>
      <c r="Z551" s="62" t="s">
        <v>1163</v>
      </c>
      <c r="AA551" s="62" t="s">
        <v>1165</v>
      </c>
      <c r="AB551" s="62" t="n">
        <v>1</v>
      </c>
      <c r="AC551" s="62" t="n">
        <v>0</v>
      </c>
      <c r="AD551" s="62" t="n">
        <v>0</v>
      </c>
      <c r="AE551" s="62" t="n">
        <f aca="false">IF(AND(Dashboard!$C$9="Yes",AC551=1),0,1)</f>
        <v>1</v>
      </c>
      <c r="AF551" s="62" t="n">
        <v>1</v>
      </c>
    </row>
    <row r="552" customFormat="false" ht="15" hidden="false" customHeight="false" outlineLevel="0" collapsed="false">
      <c r="A552" s="62" t="n">
        <v>551</v>
      </c>
      <c r="B552" s="63" t="n">
        <v>46242.2075347222</v>
      </c>
      <c r="C552" s="64" t="n">
        <v>46241</v>
      </c>
      <c r="D552" s="62" t="s">
        <v>288</v>
      </c>
      <c r="E552" s="62" t="s">
        <v>144</v>
      </c>
      <c r="F552" s="62" t="s">
        <v>144</v>
      </c>
      <c r="G552" s="62" t="s">
        <v>145</v>
      </c>
      <c r="H552" s="62" t="s">
        <v>59</v>
      </c>
      <c r="I552" s="62" t="s">
        <v>47</v>
      </c>
      <c r="J552" s="62" t="s">
        <v>146</v>
      </c>
      <c r="K552" s="62" t="s">
        <v>147</v>
      </c>
      <c r="L552" s="62" t="s">
        <v>4</v>
      </c>
      <c r="M552" s="62" t="n">
        <v>1</v>
      </c>
      <c r="N552" s="62" t="n">
        <v>0</v>
      </c>
      <c r="O552" s="62" t="n">
        <v>1</v>
      </c>
      <c r="P552" s="62" t="n">
        <v>0</v>
      </c>
      <c r="Q552" s="62" t="n">
        <v>0</v>
      </c>
      <c r="R552" s="62" t="n">
        <v>0</v>
      </c>
      <c r="S552" s="62" t="n">
        <v>0</v>
      </c>
      <c r="T552" s="62" t="n">
        <v>0</v>
      </c>
      <c r="U552" s="62"/>
      <c r="V552" s="62"/>
      <c r="W552" s="62"/>
      <c r="X552" s="62"/>
      <c r="Y552" s="62"/>
      <c r="Z552" s="62" t="s">
        <v>1163</v>
      </c>
      <c r="AA552" s="62" t="s">
        <v>1165</v>
      </c>
      <c r="AB552" s="62" t="n">
        <v>1</v>
      </c>
      <c r="AC552" s="62" t="n">
        <v>0</v>
      </c>
      <c r="AD552" s="62" t="n">
        <v>1</v>
      </c>
      <c r="AE552" s="62" t="n">
        <f aca="false">IF(AND(Dashboard!$C$9="Yes",AC552=1),0,1)</f>
        <v>1</v>
      </c>
      <c r="AF552" s="62" t="n">
        <v>0</v>
      </c>
    </row>
    <row r="553" customFormat="false" ht="15" hidden="false" customHeight="false" outlineLevel="0" collapsed="false">
      <c r="A553" s="62" t="n">
        <v>552</v>
      </c>
      <c r="B553" s="63" t="n">
        <v>46242.2092013889</v>
      </c>
      <c r="C553" s="64" t="n">
        <v>46241</v>
      </c>
      <c r="D553" s="62" t="s">
        <v>288</v>
      </c>
      <c r="E553" s="62" t="s">
        <v>790</v>
      </c>
      <c r="F553" s="62" t="s">
        <v>791</v>
      </c>
      <c r="G553" s="62" t="s">
        <v>153</v>
      </c>
      <c r="H553" s="62" t="s">
        <v>153</v>
      </c>
      <c r="I553" s="62" t="s">
        <v>153</v>
      </c>
      <c r="J553" s="62" t="s">
        <v>64</v>
      </c>
      <c r="K553" s="62" t="s">
        <v>64</v>
      </c>
      <c r="L553" s="62" t="s">
        <v>148</v>
      </c>
      <c r="M553" s="62" t="n">
        <v>0</v>
      </c>
      <c r="N553" s="62" t="n">
        <v>1</v>
      </c>
      <c r="O553" s="62" t="n">
        <v>1</v>
      </c>
      <c r="P553" s="62" t="n">
        <v>1</v>
      </c>
      <c r="Q553" s="62" t="n">
        <v>0</v>
      </c>
      <c r="R553" s="62" t="n">
        <v>0</v>
      </c>
      <c r="S553" s="62" t="n">
        <v>0</v>
      </c>
      <c r="T553" s="62" t="n">
        <v>0</v>
      </c>
      <c r="U553" s="62"/>
      <c r="V553" s="62"/>
      <c r="W553" s="62"/>
      <c r="X553" s="62"/>
      <c r="Y553" s="62"/>
      <c r="Z553" s="62" t="s">
        <v>1166</v>
      </c>
      <c r="AA553" s="62" t="s">
        <v>1167</v>
      </c>
      <c r="AB553" s="62" t="n">
        <v>1</v>
      </c>
      <c r="AC553" s="62" t="n">
        <v>0</v>
      </c>
      <c r="AD553" s="62" t="n">
        <v>0</v>
      </c>
      <c r="AE553" s="62" t="n">
        <f aca="false">IF(AND(Dashboard!$C$9="Yes",AC553=1),0,1)</f>
        <v>1</v>
      </c>
      <c r="AF553" s="62" t="n">
        <v>0</v>
      </c>
    </row>
    <row r="554" customFormat="false" ht="15" hidden="false" customHeight="false" outlineLevel="0" collapsed="false">
      <c r="A554" s="62" t="n">
        <v>553</v>
      </c>
      <c r="B554" s="63" t="n">
        <v>46242.2247800926</v>
      </c>
      <c r="C554" s="64" t="n">
        <v>46241</v>
      </c>
      <c r="D554" s="62" t="s">
        <v>288</v>
      </c>
      <c r="E554" s="62" t="s">
        <v>1155</v>
      </c>
      <c r="F554" s="62" t="s">
        <v>1155</v>
      </c>
      <c r="G554" s="62" t="s">
        <v>1156</v>
      </c>
      <c r="H554" s="62" t="s">
        <v>59</v>
      </c>
      <c r="I554" s="62" t="s">
        <v>47</v>
      </c>
      <c r="J554" s="62" t="s">
        <v>146</v>
      </c>
      <c r="K554" s="62" t="s">
        <v>209</v>
      </c>
      <c r="L554" s="62" t="s">
        <v>148</v>
      </c>
      <c r="M554" s="62" t="n">
        <v>0</v>
      </c>
      <c r="N554" s="62" t="n">
        <v>1</v>
      </c>
      <c r="O554" s="62" t="n">
        <v>1</v>
      </c>
      <c r="P554" s="62" t="n">
        <v>0</v>
      </c>
      <c r="Q554" s="62" t="n">
        <v>0</v>
      </c>
      <c r="R554" s="62" t="n">
        <v>1</v>
      </c>
      <c r="S554" s="62" t="n">
        <v>0</v>
      </c>
      <c r="T554" s="62" t="n">
        <v>0</v>
      </c>
      <c r="U554" s="62"/>
      <c r="V554" s="62"/>
      <c r="W554" s="62"/>
      <c r="X554" s="62"/>
      <c r="Y554" s="62"/>
      <c r="Z554" s="62" t="s">
        <v>1168</v>
      </c>
      <c r="AA554" s="62" t="s">
        <v>1169</v>
      </c>
      <c r="AB554" s="62" t="n">
        <v>1</v>
      </c>
      <c r="AC554" s="62" t="n">
        <v>0</v>
      </c>
      <c r="AD554" s="62" t="n">
        <v>1</v>
      </c>
      <c r="AE554" s="62" t="n">
        <f aca="false">IF(AND(Dashboard!$C$9="Yes",AC554=1),0,1)</f>
        <v>1</v>
      </c>
      <c r="AF554" s="62" t="n">
        <v>0</v>
      </c>
    </row>
    <row r="555" customFormat="false" ht="15" hidden="false" customHeight="false" outlineLevel="0" collapsed="false">
      <c r="A555" s="62" t="n">
        <v>554</v>
      </c>
      <c r="B555" s="63" t="n">
        <v>46242.2392939815</v>
      </c>
      <c r="C555" s="64" t="n">
        <v>46241</v>
      </c>
      <c r="D555" s="62" t="s">
        <v>288</v>
      </c>
      <c r="E555" s="62" t="s">
        <v>790</v>
      </c>
      <c r="F555" s="62" t="s">
        <v>791</v>
      </c>
      <c r="G555" s="62" t="s">
        <v>153</v>
      </c>
      <c r="H555" s="62" t="s">
        <v>153</v>
      </c>
      <c r="I555" s="62" t="s">
        <v>153</v>
      </c>
      <c r="J555" s="62" t="s">
        <v>64</v>
      </c>
      <c r="K555" s="62" t="s">
        <v>64</v>
      </c>
      <c r="L555" s="62" t="s">
        <v>148</v>
      </c>
      <c r="M555" s="62" t="n">
        <v>0</v>
      </c>
      <c r="N555" s="62" t="n">
        <v>1</v>
      </c>
      <c r="O555" s="62" t="n">
        <v>1</v>
      </c>
      <c r="P555" s="62" t="n">
        <v>1</v>
      </c>
      <c r="Q555" s="62" t="n">
        <v>0</v>
      </c>
      <c r="R555" s="62" t="n">
        <v>0</v>
      </c>
      <c r="S555" s="62" t="n">
        <v>0</v>
      </c>
      <c r="T555" s="62" t="n">
        <v>0</v>
      </c>
      <c r="U555" s="62"/>
      <c r="V555" s="62"/>
      <c r="W555" s="62"/>
      <c r="X555" s="62"/>
      <c r="Y555" s="62"/>
      <c r="Z555" s="62" t="s">
        <v>1170</v>
      </c>
      <c r="AA555" s="62" t="s">
        <v>1171</v>
      </c>
      <c r="AB555" s="62" t="n">
        <v>1</v>
      </c>
      <c r="AC555" s="62" t="n">
        <v>0</v>
      </c>
      <c r="AD555" s="62" t="n">
        <v>0</v>
      </c>
      <c r="AE555" s="62" t="n">
        <f aca="false">IF(AND(Dashboard!$C$9="Yes",AC555=1),0,1)</f>
        <v>1</v>
      </c>
      <c r="AF555" s="62" t="n">
        <v>0</v>
      </c>
    </row>
    <row r="556" customFormat="false" ht="15" hidden="false" customHeight="false" outlineLevel="0" collapsed="false">
      <c r="A556" s="62" t="n">
        <v>555</v>
      </c>
      <c r="B556" s="63" t="n">
        <v>46242.2940046296</v>
      </c>
      <c r="C556" s="64" t="n">
        <v>46241</v>
      </c>
      <c r="D556" s="62" t="s">
        <v>288</v>
      </c>
      <c r="E556" s="62" t="s">
        <v>1172</v>
      </c>
      <c r="F556" s="62" t="s">
        <v>1172</v>
      </c>
      <c r="G556" s="62" t="s">
        <v>1173</v>
      </c>
      <c r="H556" s="62" t="s">
        <v>59</v>
      </c>
      <c r="I556" s="62" t="s">
        <v>47</v>
      </c>
      <c r="J556" s="62" t="s">
        <v>146</v>
      </c>
      <c r="K556" s="62" t="s">
        <v>209</v>
      </c>
      <c r="L556" s="62" t="s">
        <v>4</v>
      </c>
      <c r="M556" s="62" t="n">
        <v>1</v>
      </c>
      <c r="N556" s="62" t="n">
        <v>0</v>
      </c>
      <c r="O556" s="62" t="n">
        <v>1</v>
      </c>
      <c r="P556" s="62" t="n">
        <v>0</v>
      </c>
      <c r="Q556" s="62" t="n">
        <v>0</v>
      </c>
      <c r="R556" s="62" t="n">
        <v>0</v>
      </c>
      <c r="S556" s="62" t="n">
        <v>0</v>
      </c>
      <c r="T556" s="62" t="n">
        <v>0</v>
      </c>
      <c r="U556" s="62"/>
      <c r="V556" s="62"/>
      <c r="W556" s="62"/>
      <c r="X556" s="62"/>
      <c r="Y556" s="62"/>
      <c r="Z556" s="62" t="s">
        <v>1174</v>
      </c>
      <c r="AA556" s="62" t="s">
        <v>1175</v>
      </c>
      <c r="AB556" s="62" t="n">
        <v>1</v>
      </c>
      <c r="AC556" s="62" t="n">
        <v>0</v>
      </c>
      <c r="AD556" s="62" t="n">
        <v>1</v>
      </c>
      <c r="AE556" s="62" t="n">
        <f aca="false">IF(AND(Dashboard!$C$9="Yes",AC556=1),0,1)</f>
        <v>1</v>
      </c>
      <c r="AF556" s="62" t="n">
        <v>1</v>
      </c>
    </row>
    <row r="557" customFormat="false" ht="15" hidden="false" customHeight="false" outlineLevel="0" collapsed="false">
      <c r="A557" s="62" t="n">
        <v>556</v>
      </c>
      <c r="B557" s="63" t="n">
        <v>46242.3036921296</v>
      </c>
      <c r="C557" s="64" t="n">
        <v>46241</v>
      </c>
      <c r="D557" s="62" t="s">
        <v>288</v>
      </c>
      <c r="E557" s="62" t="s">
        <v>239</v>
      </c>
      <c r="F557" s="62" t="s">
        <v>240</v>
      </c>
      <c r="G557" s="62" t="s">
        <v>153</v>
      </c>
      <c r="H557" s="62" t="s">
        <v>153</v>
      </c>
      <c r="I557" s="62" t="s">
        <v>153</v>
      </c>
      <c r="J557" s="62" t="s">
        <v>64</v>
      </c>
      <c r="K557" s="62" t="s">
        <v>64</v>
      </c>
      <c r="L557" s="62" t="s">
        <v>148</v>
      </c>
      <c r="M557" s="62" t="n">
        <v>0</v>
      </c>
      <c r="N557" s="62" t="n">
        <v>1</v>
      </c>
      <c r="O557" s="62" t="n">
        <v>1</v>
      </c>
      <c r="P557" s="62" t="n">
        <v>0</v>
      </c>
      <c r="Q557" s="62" t="n">
        <v>1</v>
      </c>
      <c r="R557" s="62" t="n">
        <v>0</v>
      </c>
      <c r="S557" s="62" t="n">
        <v>0</v>
      </c>
      <c r="T557" s="62" t="n">
        <v>0</v>
      </c>
      <c r="U557" s="62"/>
      <c r="V557" s="62"/>
      <c r="W557" s="62"/>
      <c r="X557" s="62"/>
      <c r="Y557" s="62"/>
      <c r="Z557" s="62" t="s">
        <v>1176</v>
      </c>
      <c r="AA557" s="62" t="s">
        <v>1177</v>
      </c>
      <c r="AB557" s="62" t="n">
        <v>1</v>
      </c>
      <c r="AC557" s="62" t="n">
        <v>0</v>
      </c>
      <c r="AD557" s="62" t="n">
        <v>0</v>
      </c>
      <c r="AE557" s="62" t="n">
        <f aca="false">IF(AND(Dashboard!$C$9="Yes",AC557=1),0,1)</f>
        <v>1</v>
      </c>
      <c r="AF557" s="62" t="n">
        <v>0</v>
      </c>
    </row>
    <row r="558" customFormat="false" ht="15" hidden="false" customHeight="false" outlineLevel="0" collapsed="false">
      <c r="A558" s="62" t="n">
        <v>557</v>
      </c>
      <c r="B558" s="63" t="n">
        <v>46242.3181134259</v>
      </c>
      <c r="C558" s="64" t="n">
        <v>46241</v>
      </c>
      <c r="D558" s="62" t="s">
        <v>288</v>
      </c>
      <c r="E558" s="62" t="s">
        <v>273</v>
      </c>
      <c r="F558" s="62" t="s">
        <v>273</v>
      </c>
      <c r="G558" s="62" t="s">
        <v>274</v>
      </c>
      <c r="H558" s="62" t="s">
        <v>59</v>
      </c>
      <c r="I558" s="62" t="s">
        <v>47</v>
      </c>
      <c r="J558" s="62" t="s">
        <v>146</v>
      </c>
      <c r="K558" s="62" t="s">
        <v>147</v>
      </c>
      <c r="L558" s="62" t="s">
        <v>4</v>
      </c>
      <c r="M558" s="62" t="n">
        <v>1</v>
      </c>
      <c r="N558" s="62" t="n">
        <v>0</v>
      </c>
      <c r="O558" s="62" t="n">
        <v>1</v>
      </c>
      <c r="P558" s="62" t="n">
        <v>0</v>
      </c>
      <c r="Q558" s="62" t="n">
        <v>0</v>
      </c>
      <c r="R558" s="62" t="n">
        <v>0</v>
      </c>
      <c r="S558" s="62" t="n">
        <v>0</v>
      </c>
      <c r="T558" s="62" t="n">
        <v>0</v>
      </c>
      <c r="U558" s="62"/>
      <c r="V558" s="62"/>
      <c r="W558" s="62"/>
      <c r="X558" s="62"/>
      <c r="Y558" s="62"/>
      <c r="Z558" s="62" t="s">
        <v>1178</v>
      </c>
      <c r="AA558" s="62" t="s">
        <v>1179</v>
      </c>
      <c r="AB558" s="62" t="n">
        <v>1</v>
      </c>
      <c r="AC558" s="62" t="n">
        <v>0</v>
      </c>
      <c r="AD558" s="62" t="n">
        <v>1</v>
      </c>
      <c r="AE558" s="62" t="n">
        <f aca="false">IF(AND(Dashboard!$C$9="Yes",AC558=1),0,1)</f>
        <v>1</v>
      </c>
      <c r="AF558" s="62" t="n">
        <v>1</v>
      </c>
    </row>
    <row r="559" customFormat="false" ht="15" hidden="false" customHeight="false" outlineLevel="0" collapsed="false">
      <c r="A559" s="62" t="n">
        <v>558</v>
      </c>
      <c r="B559" s="63" t="n">
        <v>46242.6341898148</v>
      </c>
      <c r="C559" s="64" t="n">
        <v>46242</v>
      </c>
      <c r="D559" s="62" t="s">
        <v>358</v>
      </c>
      <c r="E559" s="62" t="s">
        <v>228</v>
      </c>
      <c r="F559" s="62" t="s">
        <v>229</v>
      </c>
      <c r="G559" s="62" t="s">
        <v>153</v>
      </c>
      <c r="H559" s="62" t="s">
        <v>153</v>
      </c>
      <c r="I559" s="62" t="s">
        <v>153</v>
      </c>
      <c r="J559" s="62" t="s">
        <v>64</v>
      </c>
      <c r="K559" s="62" t="s">
        <v>64</v>
      </c>
      <c r="L559" s="62" t="s">
        <v>148</v>
      </c>
      <c r="M559" s="62" t="n">
        <v>0</v>
      </c>
      <c r="N559" s="62" t="n">
        <v>1</v>
      </c>
      <c r="O559" s="62" t="n">
        <v>1</v>
      </c>
      <c r="P559" s="62" t="n">
        <v>0</v>
      </c>
      <c r="Q559" s="62" t="n">
        <v>0</v>
      </c>
      <c r="R559" s="62" t="n">
        <v>1</v>
      </c>
      <c r="S559" s="62" t="n">
        <v>0</v>
      </c>
      <c r="T559" s="62" t="n">
        <v>0</v>
      </c>
      <c r="U559" s="62"/>
      <c r="V559" s="62"/>
      <c r="W559" s="62"/>
      <c r="X559" s="62"/>
      <c r="Y559" s="62"/>
      <c r="Z559" s="62" t="s">
        <v>1180</v>
      </c>
      <c r="AA559" s="62" t="s">
        <v>1181</v>
      </c>
      <c r="AB559" s="62" t="n">
        <v>1</v>
      </c>
      <c r="AC559" s="62" t="n">
        <v>0</v>
      </c>
      <c r="AD559" s="62" t="n">
        <v>0</v>
      </c>
      <c r="AE559" s="62" t="n">
        <f aca="false">IF(AND(Dashboard!$C$9="Yes",AC559=1),0,1)</f>
        <v>1</v>
      </c>
      <c r="AF559" s="62" t="n">
        <v>1</v>
      </c>
    </row>
    <row r="560" customFormat="false" ht="15" hidden="false" customHeight="false" outlineLevel="0" collapsed="false">
      <c r="A560" s="62" t="n">
        <v>559</v>
      </c>
      <c r="B560" s="63" t="n">
        <v>46242.6638310185</v>
      </c>
      <c r="C560" s="64" t="n">
        <v>46242</v>
      </c>
      <c r="D560" s="62" t="s">
        <v>358</v>
      </c>
      <c r="E560" s="62" t="s">
        <v>228</v>
      </c>
      <c r="F560" s="62" t="s">
        <v>229</v>
      </c>
      <c r="G560" s="62" t="s">
        <v>153</v>
      </c>
      <c r="H560" s="62" t="s">
        <v>153</v>
      </c>
      <c r="I560" s="62" t="s">
        <v>153</v>
      </c>
      <c r="J560" s="62" t="s">
        <v>64</v>
      </c>
      <c r="K560" s="62" t="s">
        <v>64</v>
      </c>
      <c r="L560" s="62" t="s">
        <v>4</v>
      </c>
      <c r="M560" s="62" t="n">
        <v>1</v>
      </c>
      <c r="N560" s="62" t="n">
        <v>0</v>
      </c>
      <c r="O560" s="62" t="n">
        <v>1</v>
      </c>
      <c r="P560" s="62" t="n">
        <v>0</v>
      </c>
      <c r="Q560" s="62" t="n">
        <v>0</v>
      </c>
      <c r="R560" s="62" t="n">
        <v>0</v>
      </c>
      <c r="S560" s="62" t="n">
        <v>0</v>
      </c>
      <c r="T560" s="62" t="n">
        <v>0</v>
      </c>
      <c r="U560" s="62"/>
      <c r="V560" s="62"/>
      <c r="W560" s="62"/>
      <c r="X560" s="62"/>
      <c r="Y560" s="62"/>
      <c r="Z560" s="62" t="s">
        <v>1182</v>
      </c>
      <c r="AA560" s="62" t="s">
        <v>1183</v>
      </c>
      <c r="AB560" s="62" t="n">
        <v>1</v>
      </c>
      <c r="AC560" s="62" t="n">
        <v>0</v>
      </c>
      <c r="AD560" s="62" t="n">
        <v>0</v>
      </c>
      <c r="AE560" s="62" t="n">
        <f aca="false">IF(AND(Dashboard!$C$9="Yes",AC560=1),0,1)</f>
        <v>1</v>
      </c>
      <c r="AF560" s="62" t="n">
        <v>0</v>
      </c>
    </row>
    <row r="561" customFormat="false" ht="15" hidden="false" customHeight="false" outlineLevel="0" collapsed="false">
      <c r="A561" s="62" t="n">
        <v>560</v>
      </c>
      <c r="B561" s="63" t="n">
        <v>46242.6699768519</v>
      </c>
      <c r="C561" s="64" t="n">
        <v>46242</v>
      </c>
      <c r="D561" s="62" t="s">
        <v>358</v>
      </c>
      <c r="E561" s="62" t="s">
        <v>573</v>
      </c>
      <c r="F561" s="62" t="s">
        <v>573</v>
      </c>
      <c r="G561" s="62" t="s">
        <v>574</v>
      </c>
      <c r="H561" s="62" t="s">
        <v>51</v>
      </c>
      <c r="I561" s="62" t="s">
        <v>47</v>
      </c>
      <c r="J561" s="62" t="s">
        <v>146</v>
      </c>
      <c r="K561" s="62" t="s">
        <v>147</v>
      </c>
      <c r="L561" s="62" t="s">
        <v>148</v>
      </c>
      <c r="M561" s="62" t="n">
        <v>0</v>
      </c>
      <c r="N561" s="62" t="n">
        <v>1</v>
      </c>
      <c r="O561" s="62" t="n">
        <v>1</v>
      </c>
      <c r="P561" s="62" t="n">
        <v>1</v>
      </c>
      <c r="Q561" s="62" t="n">
        <v>0</v>
      </c>
      <c r="R561" s="62" t="n">
        <v>0</v>
      </c>
      <c r="S561" s="62" t="n">
        <v>0</v>
      </c>
      <c r="T561" s="62" t="n">
        <v>0</v>
      </c>
      <c r="U561" s="62"/>
      <c r="V561" s="62"/>
      <c r="W561" s="62"/>
      <c r="X561" s="62"/>
      <c r="Y561" s="62"/>
      <c r="Z561" s="62" t="s">
        <v>1184</v>
      </c>
      <c r="AA561" s="62" t="s">
        <v>1185</v>
      </c>
      <c r="AB561" s="62" t="n">
        <v>1</v>
      </c>
      <c r="AC561" s="62" t="n">
        <v>0</v>
      </c>
      <c r="AD561" s="62" t="n">
        <v>1</v>
      </c>
      <c r="AE561" s="62" t="n">
        <f aca="false">IF(AND(Dashboard!$C$9="Yes",AC561=1),0,1)</f>
        <v>1</v>
      </c>
      <c r="AF561" s="62" t="n">
        <v>1</v>
      </c>
    </row>
    <row r="562" customFormat="false" ht="15" hidden="false" customHeight="false" outlineLevel="0" collapsed="false">
      <c r="A562" s="62" t="n">
        <v>561</v>
      </c>
      <c r="B562" s="63" t="n">
        <v>46242.7062962963</v>
      </c>
      <c r="C562" s="64" t="n">
        <v>46242</v>
      </c>
      <c r="D562" s="62" t="s">
        <v>358</v>
      </c>
      <c r="E562" s="62" t="s">
        <v>573</v>
      </c>
      <c r="F562" s="62" t="s">
        <v>573</v>
      </c>
      <c r="G562" s="62" t="s">
        <v>574</v>
      </c>
      <c r="H562" s="62" t="s">
        <v>51</v>
      </c>
      <c r="I562" s="62" t="s">
        <v>47</v>
      </c>
      <c r="J562" s="62" t="s">
        <v>146</v>
      </c>
      <c r="K562" s="62" t="s">
        <v>147</v>
      </c>
      <c r="L562" s="62" t="s">
        <v>148</v>
      </c>
      <c r="M562" s="62" t="n">
        <v>0</v>
      </c>
      <c r="N562" s="62" t="n">
        <v>1</v>
      </c>
      <c r="O562" s="62" t="n">
        <v>1</v>
      </c>
      <c r="P562" s="62" t="n">
        <v>1</v>
      </c>
      <c r="Q562" s="62" t="n">
        <v>0</v>
      </c>
      <c r="R562" s="62" t="n">
        <v>0</v>
      </c>
      <c r="S562" s="62" t="n">
        <v>0</v>
      </c>
      <c r="T562" s="62" t="n">
        <v>0</v>
      </c>
      <c r="U562" s="62"/>
      <c r="V562" s="62"/>
      <c r="W562" s="62"/>
      <c r="X562" s="62"/>
      <c r="Y562" s="62"/>
      <c r="Z562" s="62" t="s">
        <v>1186</v>
      </c>
      <c r="AA562" s="62" t="s">
        <v>1187</v>
      </c>
      <c r="AB562" s="62" t="n">
        <v>1</v>
      </c>
      <c r="AC562" s="62" t="n">
        <v>0</v>
      </c>
      <c r="AD562" s="62" t="n">
        <v>1</v>
      </c>
      <c r="AE562" s="62" t="n">
        <f aca="false">IF(AND(Dashboard!$C$9="Yes",AC562=1),0,1)</f>
        <v>1</v>
      </c>
      <c r="AF562" s="62" t="n">
        <v>0</v>
      </c>
    </row>
    <row r="563" customFormat="false" ht="15" hidden="false" customHeight="false" outlineLevel="0" collapsed="false">
      <c r="A563" s="62" t="n">
        <v>562</v>
      </c>
      <c r="B563" s="63" t="n">
        <v>46242.7141550926</v>
      </c>
      <c r="C563" s="64" t="n">
        <v>46242</v>
      </c>
      <c r="D563" s="62" t="s">
        <v>358</v>
      </c>
      <c r="E563" s="62" t="s">
        <v>207</v>
      </c>
      <c r="F563" s="62" t="s">
        <v>207</v>
      </c>
      <c r="G563" s="62" t="s">
        <v>208</v>
      </c>
      <c r="H563" s="62" t="s">
        <v>48</v>
      </c>
      <c r="I563" s="62" t="s">
        <v>49</v>
      </c>
      <c r="J563" s="62" t="s">
        <v>146</v>
      </c>
      <c r="K563" s="62" t="s">
        <v>209</v>
      </c>
      <c r="L563" s="62" t="s">
        <v>4</v>
      </c>
      <c r="M563" s="62" t="n">
        <v>1</v>
      </c>
      <c r="N563" s="62" t="n">
        <v>0</v>
      </c>
      <c r="O563" s="62" t="n">
        <v>1</v>
      </c>
      <c r="P563" s="62" t="n">
        <v>0</v>
      </c>
      <c r="Q563" s="62" t="n">
        <v>0</v>
      </c>
      <c r="R563" s="62" t="n">
        <v>0</v>
      </c>
      <c r="S563" s="62" t="n">
        <v>0</v>
      </c>
      <c r="T563" s="62" t="n">
        <v>0</v>
      </c>
      <c r="U563" s="62"/>
      <c r="V563" s="62"/>
      <c r="W563" s="62"/>
      <c r="X563" s="62"/>
      <c r="Y563" s="62"/>
      <c r="Z563" s="62" t="s">
        <v>1188</v>
      </c>
      <c r="AA563" s="62" t="s">
        <v>1189</v>
      </c>
      <c r="AB563" s="62" t="n">
        <v>1</v>
      </c>
      <c r="AC563" s="62" t="n">
        <v>0</v>
      </c>
      <c r="AD563" s="62" t="n">
        <v>1</v>
      </c>
      <c r="AE563" s="62" t="n">
        <f aca="false">IF(AND(Dashboard!$C$9="Yes",AC563=1),0,1)</f>
        <v>1</v>
      </c>
      <c r="AF563" s="62" t="n">
        <v>1</v>
      </c>
    </row>
    <row r="564" customFormat="false" ht="15" hidden="false" customHeight="false" outlineLevel="0" collapsed="false">
      <c r="A564" s="62" t="n">
        <v>563</v>
      </c>
      <c r="B564" s="63" t="n">
        <v>46242.7366087963</v>
      </c>
      <c r="C564" s="64" t="n">
        <v>46242</v>
      </c>
      <c r="D564" s="62" t="s">
        <v>358</v>
      </c>
      <c r="E564" s="62" t="s">
        <v>307</v>
      </c>
      <c r="F564" s="62" t="s">
        <v>308</v>
      </c>
      <c r="G564" s="62" t="s">
        <v>153</v>
      </c>
      <c r="H564" s="62" t="s">
        <v>153</v>
      </c>
      <c r="I564" s="62" t="s">
        <v>153</v>
      </c>
      <c r="J564" s="62" t="s">
        <v>64</v>
      </c>
      <c r="K564" s="62" t="s">
        <v>64</v>
      </c>
      <c r="L564" s="62" t="s">
        <v>148</v>
      </c>
      <c r="M564" s="62" t="n">
        <v>0</v>
      </c>
      <c r="N564" s="62" t="n">
        <v>1</v>
      </c>
      <c r="O564" s="62" t="n">
        <v>1</v>
      </c>
      <c r="P564" s="62" t="n">
        <v>1</v>
      </c>
      <c r="Q564" s="62" t="n">
        <v>0</v>
      </c>
      <c r="R564" s="62" t="n">
        <v>0</v>
      </c>
      <c r="S564" s="62" t="n">
        <v>0</v>
      </c>
      <c r="T564" s="62" t="n">
        <v>0</v>
      </c>
      <c r="U564" s="62"/>
      <c r="V564" s="62"/>
      <c r="W564" s="62"/>
      <c r="X564" s="62"/>
      <c r="Y564" s="62"/>
      <c r="Z564" s="62" t="s">
        <v>1190</v>
      </c>
      <c r="AA564" s="62" t="s">
        <v>1191</v>
      </c>
      <c r="AB564" s="62" t="n">
        <v>1</v>
      </c>
      <c r="AC564" s="62" t="n">
        <v>0</v>
      </c>
      <c r="AD564" s="62" t="n">
        <v>0</v>
      </c>
      <c r="AE564" s="62" t="n">
        <f aca="false">IF(AND(Dashboard!$C$9="Yes",AC564=1),0,1)</f>
        <v>1</v>
      </c>
      <c r="AF564" s="62" t="n">
        <v>1</v>
      </c>
    </row>
    <row r="565" customFormat="false" ht="15" hidden="false" customHeight="false" outlineLevel="0" collapsed="false">
      <c r="A565" s="62" t="n">
        <v>564</v>
      </c>
      <c r="B565" s="63" t="n">
        <v>46242.7367361111</v>
      </c>
      <c r="C565" s="64" t="n">
        <v>46242</v>
      </c>
      <c r="D565" s="62" t="s">
        <v>358</v>
      </c>
      <c r="E565" s="62" t="s">
        <v>573</v>
      </c>
      <c r="F565" s="62" t="s">
        <v>573</v>
      </c>
      <c r="G565" s="62" t="s">
        <v>574</v>
      </c>
      <c r="H565" s="62" t="s">
        <v>51</v>
      </c>
      <c r="I565" s="62" t="s">
        <v>47</v>
      </c>
      <c r="J565" s="62" t="s">
        <v>146</v>
      </c>
      <c r="K565" s="62" t="s">
        <v>147</v>
      </c>
      <c r="L565" s="62" t="s">
        <v>148</v>
      </c>
      <c r="M565" s="62" t="n">
        <v>0</v>
      </c>
      <c r="N565" s="62" t="n">
        <v>1</v>
      </c>
      <c r="O565" s="62" t="n">
        <v>1</v>
      </c>
      <c r="P565" s="62" t="n">
        <v>1</v>
      </c>
      <c r="Q565" s="62" t="n">
        <v>0</v>
      </c>
      <c r="R565" s="62" t="n">
        <v>0</v>
      </c>
      <c r="S565" s="62" t="n">
        <v>0</v>
      </c>
      <c r="T565" s="62" t="n">
        <v>0</v>
      </c>
      <c r="U565" s="62"/>
      <c r="V565" s="62"/>
      <c r="W565" s="62"/>
      <c r="X565" s="62"/>
      <c r="Y565" s="62"/>
      <c r="Z565" s="62" t="s">
        <v>1192</v>
      </c>
      <c r="AA565" s="62" t="s">
        <v>1193</v>
      </c>
      <c r="AB565" s="62" t="n">
        <v>1</v>
      </c>
      <c r="AC565" s="62" t="n">
        <v>0</v>
      </c>
      <c r="AD565" s="62" t="n">
        <v>1</v>
      </c>
      <c r="AE565" s="62" t="n">
        <f aca="false">IF(AND(Dashboard!$C$9="Yes",AC565=1),0,1)</f>
        <v>1</v>
      </c>
      <c r="AF565" s="62" t="n">
        <v>0</v>
      </c>
    </row>
    <row r="566" customFormat="false" ht="15" hidden="false" customHeight="false" outlineLevel="0" collapsed="false">
      <c r="A566" s="62" t="n">
        <v>565</v>
      </c>
      <c r="B566" s="63" t="n">
        <v>46242.7686574074</v>
      </c>
      <c r="C566" s="64" t="n">
        <v>46242</v>
      </c>
      <c r="D566" s="62" t="s">
        <v>358</v>
      </c>
      <c r="E566" s="62" t="s">
        <v>212</v>
      </c>
      <c r="F566" s="62" t="s">
        <v>212</v>
      </c>
      <c r="G566" s="62" t="s">
        <v>213</v>
      </c>
      <c r="H566" s="62" t="s">
        <v>58</v>
      </c>
      <c r="I566" s="62" t="s">
        <v>49</v>
      </c>
      <c r="J566" s="62" t="s">
        <v>146</v>
      </c>
      <c r="K566" s="62" t="s">
        <v>175</v>
      </c>
      <c r="L566" s="62" t="s">
        <v>148</v>
      </c>
      <c r="M566" s="62" t="n">
        <v>0</v>
      </c>
      <c r="N566" s="62" t="n">
        <v>2</v>
      </c>
      <c r="O566" s="62" t="n">
        <v>2</v>
      </c>
      <c r="P566" s="62" t="n">
        <v>1</v>
      </c>
      <c r="Q566" s="62" t="n">
        <v>1</v>
      </c>
      <c r="R566" s="62" t="n">
        <v>0</v>
      </c>
      <c r="S566" s="62" t="n">
        <v>0</v>
      </c>
      <c r="T566" s="62" t="n">
        <v>0</v>
      </c>
      <c r="U566" s="62"/>
      <c r="V566" s="62"/>
      <c r="W566" s="62"/>
      <c r="X566" s="62"/>
      <c r="Y566" s="62"/>
      <c r="Z566" s="62" t="s">
        <v>1194</v>
      </c>
      <c r="AA566" s="62" t="s">
        <v>1195</v>
      </c>
      <c r="AB566" s="62" t="n">
        <v>1</v>
      </c>
      <c r="AC566" s="62" t="n">
        <v>0</v>
      </c>
      <c r="AD566" s="62" t="n">
        <v>1</v>
      </c>
      <c r="AE566" s="62" t="n">
        <f aca="false">IF(AND(Dashboard!$C$9="Yes",AC566=1),0,1)</f>
        <v>1</v>
      </c>
      <c r="AF566" s="62" t="n">
        <v>1</v>
      </c>
    </row>
    <row r="567" customFormat="false" ht="15" hidden="false" customHeight="false" outlineLevel="0" collapsed="false">
      <c r="A567" s="62" t="n">
        <v>566</v>
      </c>
      <c r="B567" s="63" t="n">
        <v>46242.785</v>
      </c>
      <c r="C567" s="64" t="n">
        <v>46242</v>
      </c>
      <c r="D567" s="62" t="s">
        <v>358</v>
      </c>
      <c r="E567" s="62" t="s">
        <v>573</v>
      </c>
      <c r="F567" s="62" t="s">
        <v>573</v>
      </c>
      <c r="G567" s="62" t="s">
        <v>574</v>
      </c>
      <c r="H567" s="62" t="s">
        <v>51</v>
      </c>
      <c r="I567" s="62" t="s">
        <v>47</v>
      </c>
      <c r="J567" s="62" t="s">
        <v>146</v>
      </c>
      <c r="K567" s="62" t="s">
        <v>147</v>
      </c>
      <c r="L567" s="62" t="s">
        <v>148</v>
      </c>
      <c r="M567" s="62" t="n">
        <v>0</v>
      </c>
      <c r="N567" s="62" t="n">
        <v>1</v>
      </c>
      <c r="O567" s="62" t="n">
        <v>1</v>
      </c>
      <c r="P567" s="62" t="n">
        <v>0</v>
      </c>
      <c r="Q567" s="62" t="n">
        <v>1</v>
      </c>
      <c r="R567" s="62" t="n">
        <v>0</v>
      </c>
      <c r="S567" s="62" t="n">
        <v>0</v>
      </c>
      <c r="T567" s="62" t="n">
        <v>0</v>
      </c>
      <c r="U567" s="62"/>
      <c r="V567" s="62"/>
      <c r="W567" s="62"/>
      <c r="X567" s="62"/>
      <c r="Y567" s="62"/>
      <c r="Z567" s="62" t="s">
        <v>1196</v>
      </c>
      <c r="AA567" s="62" t="s">
        <v>1197</v>
      </c>
      <c r="AB567" s="62" t="n">
        <v>1</v>
      </c>
      <c r="AC567" s="62" t="n">
        <v>0</v>
      </c>
      <c r="AD567" s="62" t="n">
        <v>1</v>
      </c>
      <c r="AE567" s="62" t="n">
        <f aca="false">IF(AND(Dashboard!$C$9="Yes",AC567=1),0,1)</f>
        <v>1</v>
      </c>
      <c r="AF567" s="62" t="n">
        <v>0</v>
      </c>
    </row>
    <row r="568" customFormat="false" ht="15" hidden="false" customHeight="false" outlineLevel="0" collapsed="false">
      <c r="A568" s="62" t="n">
        <v>567</v>
      </c>
      <c r="B568" s="63" t="n">
        <v>46242.7853819444</v>
      </c>
      <c r="C568" s="64" t="n">
        <v>46242</v>
      </c>
      <c r="D568" s="62" t="s">
        <v>358</v>
      </c>
      <c r="E568" s="62" t="s">
        <v>573</v>
      </c>
      <c r="F568" s="62" t="s">
        <v>573</v>
      </c>
      <c r="G568" s="62" t="s">
        <v>574</v>
      </c>
      <c r="H568" s="62" t="s">
        <v>51</v>
      </c>
      <c r="I568" s="62" t="s">
        <v>47</v>
      </c>
      <c r="J568" s="62" t="s">
        <v>146</v>
      </c>
      <c r="K568" s="62" t="s">
        <v>147</v>
      </c>
      <c r="L568" s="62" t="s">
        <v>148</v>
      </c>
      <c r="M568" s="62" t="n">
        <v>0</v>
      </c>
      <c r="N568" s="62" t="n">
        <v>1</v>
      </c>
      <c r="O568" s="62" t="n">
        <v>1</v>
      </c>
      <c r="P568" s="62" t="n">
        <v>1</v>
      </c>
      <c r="Q568" s="62" t="n">
        <v>0</v>
      </c>
      <c r="R568" s="62" t="n">
        <v>0</v>
      </c>
      <c r="S568" s="62" t="n">
        <v>0</v>
      </c>
      <c r="T568" s="62" t="n">
        <v>0</v>
      </c>
      <c r="U568" s="62"/>
      <c r="V568" s="62"/>
      <c r="W568" s="62"/>
      <c r="X568" s="62"/>
      <c r="Y568" s="62"/>
      <c r="Z568" s="62" t="s">
        <v>1196</v>
      </c>
      <c r="AA568" s="62" t="s">
        <v>1197</v>
      </c>
      <c r="AB568" s="62" t="n">
        <v>1</v>
      </c>
      <c r="AC568" s="62" t="n">
        <v>1</v>
      </c>
      <c r="AD568" s="62" t="n">
        <v>1</v>
      </c>
      <c r="AE568" s="62" t="n">
        <f aca="false">IF(AND(Dashboard!$C$9="Yes",AC568=1),0,1)</f>
        <v>0</v>
      </c>
      <c r="AF568" s="62" t="n">
        <v>0</v>
      </c>
    </row>
    <row r="569" customFormat="false" ht="15" hidden="false" customHeight="false" outlineLevel="0" collapsed="false">
      <c r="A569" s="62" t="n">
        <v>568</v>
      </c>
      <c r="B569" s="63" t="n">
        <v>46242.8167708333</v>
      </c>
      <c r="C569" s="64" t="n">
        <v>46242</v>
      </c>
      <c r="D569" s="62" t="s">
        <v>358</v>
      </c>
      <c r="E569" s="62" t="s">
        <v>307</v>
      </c>
      <c r="F569" s="62" t="s">
        <v>308</v>
      </c>
      <c r="G569" s="62" t="s">
        <v>153</v>
      </c>
      <c r="H569" s="62" t="s">
        <v>153</v>
      </c>
      <c r="I569" s="62" t="s">
        <v>153</v>
      </c>
      <c r="J569" s="62" t="s">
        <v>64</v>
      </c>
      <c r="K569" s="62" t="s">
        <v>64</v>
      </c>
      <c r="L569" s="62" t="s">
        <v>148</v>
      </c>
      <c r="M569" s="62" t="n">
        <v>0</v>
      </c>
      <c r="N569" s="62" t="n">
        <v>1</v>
      </c>
      <c r="O569" s="62" t="n">
        <v>1</v>
      </c>
      <c r="P569" s="62" t="n">
        <v>1</v>
      </c>
      <c r="Q569" s="62" t="n">
        <v>0</v>
      </c>
      <c r="R569" s="62" t="n">
        <v>0</v>
      </c>
      <c r="S569" s="62" t="n">
        <v>0</v>
      </c>
      <c r="T569" s="62" t="n">
        <v>0</v>
      </c>
      <c r="U569" s="62"/>
      <c r="V569" s="62"/>
      <c r="W569" s="62"/>
      <c r="X569" s="62"/>
      <c r="Y569" s="62"/>
      <c r="Z569" s="62" t="s">
        <v>1198</v>
      </c>
      <c r="AA569" s="62" t="s">
        <v>1199</v>
      </c>
      <c r="AB569" s="62" t="n">
        <v>1</v>
      </c>
      <c r="AC569" s="62" t="n">
        <v>0</v>
      </c>
      <c r="AD569" s="62" t="n">
        <v>0</v>
      </c>
      <c r="AE569" s="62" t="n">
        <f aca="false">IF(AND(Dashboard!$C$9="Yes",AC569=1),0,1)</f>
        <v>1</v>
      </c>
      <c r="AF569" s="62" t="n">
        <v>0</v>
      </c>
    </row>
    <row r="570" customFormat="false" ht="15" hidden="false" customHeight="false" outlineLevel="0" collapsed="false">
      <c r="A570" s="62" t="n">
        <v>569</v>
      </c>
      <c r="B570" s="63" t="n">
        <v>46242.8766782407</v>
      </c>
      <c r="C570" s="64" t="n">
        <v>46242</v>
      </c>
      <c r="D570" s="62" t="s">
        <v>358</v>
      </c>
      <c r="E570" s="62" t="s">
        <v>207</v>
      </c>
      <c r="F570" s="62" t="s">
        <v>207</v>
      </c>
      <c r="G570" s="62" t="s">
        <v>208</v>
      </c>
      <c r="H570" s="62" t="s">
        <v>48</v>
      </c>
      <c r="I570" s="62" t="s">
        <v>49</v>
      </c>
      <c r="J570" s="62" t="s">
        <v>146</v>
      </c>
      <c r="K570" s="62" t="s">
        <v>209</v>
      </c>
      <c r="L570" s="62" t="s">
        <v>4</v>
      </c>
      <c r="M570" s="62" t="n">
        <v>1</v>
      </c>
      <c r="N570" s="62" t="n">
        <v>0</v>
      </c>
      <c r="O570" s="62" t="n">
        <v>1</v>
      </c>
      <c r="P570" s="62" t="n">
        <v>0</v>
      </c>
      <c r="Q570" s="62" t="n">
        <v>0</v>
      </c>
      <c r="R570" s="62" t="n">
        <v>0</v>
      </c>
      <c r="S570" s="62" t="n">
        <v>0</v>
      </c>
      <c r="T570" s="62" t="n">
        <v>0</v>
      </c>
      <c r="U570" s="62"/>
      <c r="V570" s="62"/>
      <c r="W570" s="62"/>
      <c r="X570" s="62"/>
      <c r="Y570" s="62"/>
      <c r="Z570" s="62" t="s">
        <v>1200</v>
      </c>
      <c r="AA570" s="62" t="s">
        <v>1201</v>
      </c>
      <c r="AB570" s="62" t="n">
        <v>1</v>
      </c>
      <c r="AC570" s="62" t="n">
        <v>0</v>
      </c>
      <c r="AD570" s="62" t="n">
        <v>1</v>
      </c>
      <c r="AE570" s="62" t="n">
        <f aca="false">IF(AND(Dashboard!$C$9="Yes",AC570=1),0,1)</f>
        <v>1</v>
      </c>
      <c r="AF570" s="62" t="n">
        <v>0</v>
      </c>
    </row>
    <row r="571" customFormat="false" ht="15" hidden="false" customHeight="false" outlineLevel="0" collapsed="false">
      <c r="A571" s="62" t="n">
        <v>570</v>
      </c>
      <c r="B571" s="63" t="n">
        <v>46242.9138078704</v>
      </c>
      <c r="C571" s="64" t="n">
        <v>46242</v>
      </c>
      <c r="D571" s="62" t="s">
        <v>358</v>
      </c>
      <c r="E571" s="62" t="s">
        <v>196</v>
      </c>
      <c r="F571" s="62" t="s">
        <v>196</v>
      </c>
      <c r="G571" s="62" t="s">
        <v>197</v>
      </c>
      <c r="H571" s="62" t="s">
        <v>57</v>
      </c>
      <c r="I571" s="62" t="s">
        <v>47</v>
      </c>
      <c r="J571" s="62" t="s">
        <v>146</v>
      </c>
      <c r="K571" s="62" t="s">
        <v>175</v>
      </c>
      <c r="L571" s="62" t="s">
        <v>148</v>
      </c>
      <c r="M571" s="62" t="n">
        <v>0</v>
      </c>
      <c r="N571" s="62" t="n">
        <v>1</v>
      </c>
      <c r="O571" s="62" t="n">
        <v>1</v>
      </c>
      <c r="P571" s="62" t="n">
        <v>1</v>
      </c>
      <c r="Q571" s="62" t="n">
        <v>0</v>
      </c>
      <c r="R571" s="62" t="n">
        <v>0</v>
      </c>
      <c r="S571" s="62" t="n">
        <v>0</v>
      </c>
      <c r="T571" s="62" t="n">
        <v>0</v>
      </c>
      <c r="U571" s="62"/>
      <c r="V571" s="62"/>
      <c r="W571" s="62"/>
      <c r="X571" s="62"/>
      <c r="Y571" s="62"/>
      <c r="Z571" s="62" t="s">
        <v>1202</v>
      </c>
      <c r="AA571" s="62" t="s">
        <v>1203</v>
      </c>
      <c r="AB571" s="62" t="n">
        <v>1</v>
      </c>
      <c r="AC571" s="62" t="n">
        <v>0</v>
      </c>
      <c r="AD571" s="62" t="n">
        <v>1</v>
      </c>
      <c r="AE571" s="62" t="n">
        <f aca="false">IF(AND(Dashboard!$C$9="Yes",AC571=1),0,1)</f>
        <v>1</v>
      </c>
      <c r="AF571" s="62" t="n">
        <v>1</v>
      </c>
    </row>
    <row r="572" customFormat="false" ht="15" hidden="false" customHeight="false" outlineLevel="0" collapsed="false">
      <c r="A572" s="62" t="n">
        <v>571</v>
      </c>
      <c r="B572" s="63" t="n">
        <v>46242.9185300926</v>
      </c>
      <c r="C572" s="64" t="n">
        <v>46242</v>
      </c>
      <c r="D572" s="62" t="s">
        <v>358</v>
      </c>
      <c r="E572" s="62" t="s">
        <v>586</v>
      </c>
      <c r="F572" s="62" t="s">
        <v>586</v>
      </c>
      <c r="G572" s="62" t="s">
        <v>587</v>
      </c>
      <c r="H572" s="62" t="s">
        <v>57</v>
      </c>
      <c r="I572" s="62" t="s">
        <v>47</v>
      </c>
      <c r="J572" s="62" t="s">
        <v>146</v>
      </c>
      <c r="K572" s="62" t="s">
        <v>175</v>
      </c>
      <c r="L572" s="62" t="s">
        <v>4</v>
      </c>
      <c r="M572" s="62" t="n">
        <v>1</v>
      </c>
      <c r="N572" s="62" t="n">
        <v>0</v>
      </c>
      <c r="O572" s="62" t="n">
        <v>1</v>
      </c>
      <c r="P572" s="62" t="n">
        <v>0</v>
      </c>
      <c r="Q572" s="62" t="n">
        <v>0</v>
      </c>
      <c r="R572" s="62" t="n">
        <v>0</v>
      </c>
      <c r="S572" s="62" t="n">
        <v>0</v>
      </c>
      <c r="T572" s="62" t="n">
        <v>0</v>
      </c>
      <c r="U572" s="62"/>
      <c r="V572" s="62"/>
      <c r="W572" s="62"/>
      <c r="X572" s="62"/>
      <c r="Y572" s="62"/>
      <c r="Z572" s="62" t="s">
        <v>1204</v>
      </c>
      <c r="AA572" s="62" t="s">
        <v>1205</v>
      </c>
      <c r="AB572" s="62" t="n">
        <v>1</v>
      </c>
      <c r="AC572" s="62" t="n">
        <v>0</v>
      </c>
      <c r="AD572" s="62" t="n">
        <v>1</v>
      </c>
      <c r="AE572" s="62" t="n">
        <f aca="false">IF(AND(Dashboard!$C$9="Yes",AC572=1),0,1)</f>
        <v>1</v>
      </c>
      <c r="AF572" s="62" t="n">
        <v>1</v>
      </c>
    </row>
    <row r="573" customFormat="false" ht="15" hidden="false" customHeight="false" outlineLevel="0" collapsed="false">
      <c r="A573" s="62" t="n">
        <v>572</v>
      </c>
      <c r="B573" s="63" t="n">
        <v>46242.943587963</v>
      </c>
      <c r="C573" s="64" t="n">
        <v>46242</v>
      </c>
      <c r="D573" s="62" t="s">
        <v>358</v>
      </c>
      <c r="E573" s="62" t="s">
        <v>586</v>
      </c>
      <c r="F573" s="62" t="s">
        <v>586</v>
      </c>
      <c r="G573" s="62" t="s">
        <v>587</v>
      </c>
      <c r="H573" s="62" t="s">
        <v>57</v>
      </c>
      <c r="I573" s="62" t="s">
        <v>47</v>
      </c>
      <c r="J573" s="62" t="s">
        <v>146</v>
      </c>
      <c r="K573" s="62" t="s">
        <v>175</v>
      </c>
      <c r="L573" s="62" t="s">
        <v>4</v>
      </c>
      <c r="M573" s="62" t="n">
        <v>1</v>
      </c>
      <c r="N573" s="62" t="n">
        <v>0</v>
      </c>
      <c r="O573" s="62" t="n">
        <v>1</v>
      </c>
      <c r="P573" s="62" t="n">
        <v>0</v>
      </c>
      <c r="Q573" s="62" t="n">
        <v>0</v>
      </c>
      <c r="R573" s="62" t="n">
        <v>0</v>
      </c>
      <c r="S573" s="62" t="n">
        <v>0</v>
      </c>
      <c r="T573" s="62" t="n">
        <v>0</v>
      </c>
      <c r="U573" s="62"/>
      <c r="V573" s="62"/>
      <c r="W573" s="62"/>
      <c r="X573" s="62"/>
      <c r="Y573" s="62"/>
      <c r="Z573" s="62" t="s">
        <v>1206</v>
      </c>
      <c r="AA573" s="62" t="s">
        <v>1207</v>
      </c>
      <c r="AB573" s="62" t="n">
        <v>1</v>
      </c>
      <c r="AC573" s="62" t="n">
        <v>0</v>
      </c>
      <c r="AD573" s="62" t="n">
        <v>1</v>
      </c>
      <c r="AE573" s="62" t="n">
        <f aca="false">IF(AND(Dashboard!$C$9="Yes",AC573=1),0,1)</f>
        <v>1</v>
      </c>
      <c r="AF573" s="62" t="n">
        <v>0</v>
      </c>
    </row>
    <row r="574" customFormat="false" ht="15" hidden="false" customHeight="false" outlineLevel="0" collapsed="false">
      <c r="A574" s="62" t="n">
        <v>573</v>
      </c>
      <c r="B574" s="63" t="n">
        <v>46242.9588657407</v>
      </c>
      <c r="C574" s="64" t="n">
        <v>46242</v>
      </c>
      <c r="D574" s="62" t="s">
        <v>358</v>
      </c>
      <c r="E574" s="62" t="s">
        <v>228</v>
      </c>
      <c r="F574" s="62" t="s">
        <v>229</v>
      </c>
      <c r="G574" s="62" t="s">
        <v>153</v>
      </c>
      <c r="H574" s="62" t="s">
        <v>153</v>
      </c>
      <c r="I574" s="62" t="s">
        <v>153</v>
      </c>
      <c r="J574" s="62" t="s">
        <v>64</v>
      </c>
      <c r="K574" s="62" t="s">
        <v>64</v>
      </c>
      <c r="L574" s="62" t="s">
        <v>4</v>
      </c>
      <c r="M574" s="62" t="n">
        <v>1</v>
      </c>
      <c r="N574" s="62" t="n">
        <v>0</v>
      </c>
      <c r="O574" s="62" t="n">
        <v>1</v>
      </c>
      <c r="P574" s="62" t="n">
        <v>0</v>
      </c>
      <c r="Q574" s="62" t="n">
        <v>0</v>
      </c>
      <c r="R574" s="62" t="n">
        <v>0</v>
      </c>
      <c r="S574" s="62" t="n">
        <v>0</v>
      </c>
      <c r="T574" s="62" t="n">
        <v>0</v>
      </c>
      <c r="U574" s="62"/>
      <c r="V574" s="62"/>
      <c r="W574" s="62"/>
      <c r="X574" s="62"/>
      <c r="Y574" s="62"/>
      <c r="Z574" s="62" t="s">
        <v>1208</v>
      </c>
      <c r="AA574" s="62" t="s">
        <v>1209</v>
      </c>
      <c r="AB574" s="62" t="n">
        <v>1</v>
      </c>
      <c r="AC574" s="62" t="n">
        <v>0</v>
      </c>
      <c r="AD574" s="62" t="n">
        <v>0</v>
      </c>
      <c r="AE574" s="62" t="n">
        <f aca="false">IF(AND(Dashboard!$C$9="Yes",AC574=1),0,1)</f>
        <v>1</v>
      </c>
      <c r="AF574" s="62" t="n">
        <v>0</v>
      </c>
    </row>
    <row r="575" customFormat="false" ht="15" hidden="false" customHeight="false" outlineLevel="0" collapsed="false">
      <c r="A575" s="62" t="n">
        <v>574</v>
      </c>
      <c r="B575" s="63" t="n">
        <v>46243.0158217593</v>
      </c>
      <c r="C575" s="64" t="n">
        <v>46242</v>
      </c>
      <c r="D575" s="62" t="s">
        <v>358</v>
      </c>
      <c r="E575" s="62" t="s">
        <v>790</v>
      </c>
      <c r="F575" s="62" t="s">
        <v>791</v>
      </c>
      <c r="G575" s="62" t="s">
        <v>153</v>
      </c>
      <c r="H575" s="62" t="s">
        <v>153</v>
      </c>
      <c r="I575" s="62" t="s">
        <v>153</v>
      </c>
      <c r="J575" s="62" t="s">
        <v>64</v>
      </c>
      <c r="K575" s="62" t="s">
        <v>64</v>
      </c>
      <c r="L575" s="62" t="s">
        <v>148</v>
      </c>
      <c r="M575" s="62" t="n">
        <v>0</v>
      </c>
      <c r="N575" s="62" t="n">
        <v>1</v>
      </c>
      <c r="O575" s="62" t="n">
        <v>1</v>
      </c>
      <c r="P575" s="62" t="n">
        <v>0</v>
      </c>
      <c r="Q575" s="62" t="n">
        <v>1</v>
      </c>
      <c r="R575" s="62" t="n">
        <v>0</v>
      </c>
      <c r="S575" s="62" t="n">
        <v>0</v>
      </c>
      <c r="T575" s="62" t="n">
        <v>0</v>
      </c>
      <c r="U575" s="62"/>
      <c r="V575" s="62"/>
      <c r="W575" s="62"/>
      <c r="X575" s="62"/>
      <c r="Y575" s="62"/>
      <c r="Z575" s="62" t="s">
        <v>1210</v>
      </c>
      <c r="AA575" s="62" t="s">
        <v>1211</v>
      </c>
      <c r="AB575" s="62" t="n">
        <v>1</v>
      </c>
      <c r="AC575" s="62" t="n">
        <v>0</v>
      </c>
      <c r="AD575" s="62" t="n">
        <v>0</v>
      </c>
      <c r="AE575" s="62" t="n">
        <f aca="false">IF(AND(Dashboard!$C$9="Yes",AC575=1),0,1)</f>
        <v>1</v>
      </c>
      <c r="AF575" s="62" t="n">
        <v>1</v>
      </c>
    </row>
    <row r="576" customFormat="false" ht="15" hidden="false" customHeight="false" outlineLevel="0" collapsed="false">
      <c r="A576" s="62" t="n">
        <v>575</v>
      </c>
      <c r="B576" s="63" t="n">
        <v>46243.0401041667</v>
      </c>
      <c r="C576" s="64" t="n">
        <v>46242</v>
      </c>
      <c r="D576" s="62" t="s">
        <v>358</v>
      </c>
      <c r="E576" s="62" t="s">
        <v>307</v>
      </c>
      <c r="F576" s="62" t="s">
        <v>308</v>
      </c>
      <c r="G576" s="62" t="s">
        <v>153</v>
      </c>
      <c r="H576" s="62" t="s">
        <v>153</v>
      </c>
      <c r="I576" s="62" t="s">
        <v>153</v>
      </c>
      <c r="J576" s="62" t="s">
        <v>64</v>
      </c>
      <c r="K576" s="62" t="s">
        <v>64</v>
      </c>
      <c r="L576" s="62" t="s">
        <v>148</v>
      </c>
      <c r="M576" s="62" t="n">
        <v>0</v>
      </c>
      <c r="N576" s="62" t="n">
        <v>1</v>
      </c>
      <c r="O576" s="62" t="n">
        <v>1</v>
      </c>
      <c r="P576" s="62" t="n">
        <v>1</v>
      </c>
      <c r="Q576" s="62" t="n">
        <v>0</v>
      </c>
      <c r="R576" s="62" t="n">
        <v>0</v>
      </c>
      <c r="S576" s="62" t="n">
        <v>0</v>
      </c>
      <c r="T576" s="62" t="n">
        <v>0</v>
      </c>
      <c r="U576" s="62"/>
      <c r="V576" s="62"/>
      <c r="W576" s="62"/>
      <c r="X576" s="62"/>
      <c r="Y576" s="62"/>
      <c r="Z576" s="62" t="s">
        <v>1212</v>
      </c>
      <c r="AA576" s="62" t="s">
        <v>1213</v>
      </c>
      <c r="AB576" s="62" t="n">
        <v>1</v>
      </c>
      <c r="AC576" s="62" t="n">
        <v>0</v>
      </c>
      <c r="AD576" s="62" t="n">
        <v>0</v>
      </c>
      <c r="AE576" s="62" t="n">
        <f aca="false">IF(AND(Dashboard!$C$9="Yes",AC576=1),0,1)</f>
        <v>1</v>
      </c>
      <c r="AF576" s="62" t="n">
        <v>0</v>
      </c>
    </row>
    <row r="577" customFormat="false" ht="15" hidden="false" customHeight="false" outlineLevel="0" collapsed="false">
      <c r="A577" s="62" t="n">
        <v>576</v>
      </c>
      <c r="B577" s="63" t="n">
        <v>46243.0485648148</v>
      </c>
      <c r="C577" s="64" t="n">
        <v>46242</v>
      </c>
      <c r="D577" s="62" t="s">
        <v>358</v>
      </c>
      <c r="E577" s="62" t="s">
        <v>196</v>
      </c>
      <c r="F577" s="62" t="s">
        <v>196</v>
      </c>
      <c r="G577" s="62" t="s">
        <v>197</v>
      </c>
      <c r="H577" s="62" t="s">
        <v>57</v>
      </c>
      <c r="I577" s="62" t="s">
        <v>47</v>
      </c>
      <c r="J577" s="62" t="s">
        <v>146</v>
      </c>
      <c r="K577" s="62" t="s">
        <v>175</v>
      </c>
      <c r="L577" s="62" t="s">
        <v>148</v>
      </c>
      <c r="M577" s="62" t="n">
        <v>0</v>
      </c>
      <c r="N577" s="62" t="n">
        <v>1</v>
      </c>
      <c r="O577" s="62" t="n">
        <v>1</v>
      </c>
      <c r="P577" s="62" t="n">
        <v>0</v>
      </c>
      <c r="Q577" s="62" t="n">
        <v>0</v>
      </c>
      <c r="R577" s="62" t="n">
        <v>1</v>
      </c>
      <c r="S577" s="62" t="n">
        <v>0</v>
      </c>
      <c r="T577" s="62" t="n">
        <v>0</v>
      </c>
      <c r="U577" s="62"/>
      <c r="V577" s="62"/>
      <c r="W577" s="62"/>
      <c r="X577" s="62"/>
      <c r="Y577" s="62"/>
      <c r="Z577" s="62" t="s">
        <v>1214</v>
      </c>
      <c r="AA577" s="62" t="s">
        <v>1215</v>
      </c>
      <c r="AB577" s="62" t="n">
        <v>1</v>
      </c>
      <c r="AC577" s="62" t="n">
        <v>0</v>
      </c>
      <c r="AD577" s="62" t="n">
        <v>1</v>
      </c>
      <c r="AE577" s="62" t="n">
        <f aca="false">IF(AND(Dashboard!$C$9="Yes",AC577=1),0,1)</f>
        <v>1</v>
      </c>
      <c r="AF577" s="62" t="n">
        <v>0</v>
      </c>
    </row>
    <row r="578" customFormat="false" ht="15" hidden="false" customHeight="false" outlineLevel="0" collapsed="false">
      <c r="A578" s="62" t="n">
        <v>577</v>
      </c>
      <c r="B578" s="63" t="n">
        <v>46243.0505671296</v>
      </c>
      <c r="C578" s="64" t="n">
        <v>46242</v>
      </c>
      <c r="D578" s="62" t="s">
        <v>358</v>
      </c>
      <c r="E578" s="62" t="s">
        <v>414</v>
      </c>
      <c r="F578" s="62" t="s">
        <v>414</v>
      </c>
      <c r="G578" s="62" t="s">
        <v>415</v>
      </c>
      <c r="H578" s="62" t="s">
        <v>57</v>
      </c>
      <c r="I578" s="62" t="s">
        <v>47</v>
      </c>
      <c r="J578" s="62" t="s">
        <v>146</v>
      </c>
      <c r="K578" s="62" t="s">
        <v>147</v>
      </c>
      <c r="L578" s="62" t="s">
        <v>4</v>
      </c>
      <c r="M578" s="62" t="n">
        <v>1</v>
      </c>
      <c r="N578" s="62" t="n">
        <v>0</v>
      </c>
      <c r="O578" s="62" t="n">
        <v>1</v>
      </c>
      <c r="P578" s="62" t="n">
        <v>0</v>
      </c>
      <c r="Q578" s="62" t="n">
        <v>0</v>
      </c>
      <c r="R578" s="62" t="n">
        <v>0</v>
      </c>
      <c r="S578" s="62" t="n">
        <v>0</v>
      </c>
      <c r="T578" s="62" t="n">
        <v>0</v>
      </c>
      <c r="U578" s="62"/>
      <c r="V578" s="62"/>
      <c r="W578" s="62"/>
      <c r="X578" s="62"/>
      <c r="Y578" s="62"/>
      <c r="Z578" s="62" t="s">
        <v>1216</v>
      </c>
      <c r="AA578" s="62" t="s">
        <v>1217</v>
      </c>
      <c r="AB578" s="62" t="n">
        <v>1</v>
      </c>
      <c r="AC578" s="62" t="n">
        <v>0</v>
      </c>
      <c r="AD578" s="62" t="n">
        <v>1</v>
      </c>
      <c r="AE578" s="62" t="n">
        <f aca="false">IF(AND(Dashboard!$C$9="Yes",AC578=1),0,1)</f>
        <v>1</v>
      </c>
      <c r="AF578" s="62" t="n">
        <v>1</v>
      </c>
    </row>
    <row r="579" customFormat="false" ht="15" hidden="false" customHeight="false" outlineLevel="0" collapsed="false">
      <c r="A579" s="62" t="n">
        <v>578</v>
      </c>
      <c r="B579" s="63" t="n">
        <v>46243.0509375</v>
      </c>
      <c r="C579" s="64" t="n">
        <v>46242</v>
      </c>
      <c r="D579" s="62" t="s">
        <v>358</v>
      </c>
      <c r="E579" s="62" t="s">
        <v>414</v>
      </c>
      <c r="F579" s="62" t="s">
        <v>414</v>
      </c>
      <c r="G579" s="62" t="s">
        <v>415</v>
      </c>
      <c r="H579" s="62" t="s">
        <v>57</v>
      </c>
      <c r="I579" s="62" t="s">
        <v>47</v>
      </c>
      <c r="J579" s="62" t="s">
        <v>146</v>
      </c>
      <c r="K579" s="62" t="s">
        <v>147</v>
      </c>
      <c r="L579" s="62" t="s">
        <v>4</v>
      </c>
      <c r="M579" s="62" t="n">
        <v>1</v>
      </c>
      <c r="N579" s="62" t="n">
        <v>0</v>
      </c>
      <c r="O579" s="62" t="n">
        <v>1</v>
      </c>
      <c r="P579" s="62" t="n">
        <v>0</v>
      </c>
      <c r="Q579" s="62" t="n">
        <v>0</v>
      </c>
      <c r="R579" s="62" t="n">
        <v>0</v>
      </c>
      <c r="S579" s="62" t="n">
        <v>0</v>
      </c>
      <c r="T579" s="62" t="n">
        <v>0</v>
      </c>
      <c r="U579" s="62"/>
      <c r="V579" s="62"/>
      <c r="W579" s="62"/>
      <c r="X579" s="62"/>
      <c r="Y579" s="62"/>
      <c r="Z579" s="62" t="s">
        <v>1216</v>
      </c>
      <c r="AA579" s="62" t="s">
        <v>1218</v>
      </c>
      <c r="AB579" s="62" t="n">
        <v>1</v>
      </c>
      <c r="AC579" s="62" t="n">
        <v>0</v>
      </c>
      <c r="AD579" s="62" t="n">
        <v>1</v>
      </c>
      <c r="AE579" s="62" t="n">
        <f aca="false">IF(AND(Dashboard!$C$9="Yes",AC579=1),0,1)</f>
        <v>1</v>
      </c>
      <c r="AF579" s="62" t="n">
        <v>0</v>
      </c>
    </row>
    <row r="580" customFormat="false" ht="15" hidden="false" customHeight="false" outlineLevel="0" collapsed="false">
      <c r="A580" s="62" t="n">
        <v>579</v>
      </c>
      <c r="B580" s="63" t="n">
        <v>46243.0861574074</v>
      </c>
      <c r="C580" s="64" t="n">
        <v>46242</v>
      </c>
      <c r="D580" s="62" t="s">
        <v>358</v>
      </c>
      <c r="E580" s="62" t="s">
        <v>255</v>
      </c>
      <c r="F580" s="62" t="s">
        <v>255</v>
      </c>
      <c r="G580" s="62" t="s">
        <v>256</v>
      </c>
      <c r="H580" s="62" t="s">
        <v>57</v>
      </c>
      <c r="I580" s="62" t="s">
        <v>47</v>
      </c>
      <c r="J580" s="62" t="s">
        <v>146</v>
      </c>
      <c r="K580" s="62" t="s">
        <v>147</v>
      </c>
      <c r="L580" s="62" t="s">
        <v>148</v>
      </c>
      <c r="M580" s="62" t="n">
        <v>0</v>
      </c>
      <c r="N580" s="62" t="n">
        <v>1</v>
      </c>
      <c r="O580" s="62" t="n">
        <v>1</v>
      </c>
      <c r="P580" s="62" t="n">
        <v>1</v>
      </c>
      <c r="Q580" s="62" t="n">
        <v>0</v>
      </c>
      <c r="R580" s="62" t="n">
        <v>0</v>
      </c>
      <c r="S580" s="62" t="n">
        <v>0</v>
      </c>
      <c r="T580" s="62" t="n">
        <v>0</v>
      </c>
      <c r="U580" s="62"/>
      <c r="V580" s="62"/>
      <c r="W580" s="62"/>
      <c r="X580" s="62"/>
      <c r="Y580" s="62"/>
      <c r="Z580" s="62" t="s">
        <v>1219</v>
      </c>
      <c r="AA580" s="62" t="s">
        <v>1220</v>
      </c>
      <c r="AB580" s="62" t="n">
        <v>1</v>
      </c>
      <c r="AC580" s="62" t="n">
        <v>0</v>
      </c>
      <c r="AD580" s="62" t="n">
        <v>1</v>
      </c>
      <c r="AE580" s="62" t="n">
        <f aca="false">IF(AND(Dashboard!$C$9="Yes",AC580=1),0,1)</f>
        <v>1</v>
      </c>
      <c r="AF580" s="62" t="n">
        <v>1</v>
      </c>
    </row>
    <row r="581" customFormat="false" ht="15" hidden="false" customHeight="false" outlineLevel="0" collapsed="false">
      <c r="A581" s="62" t="n">
        <v>580</v>
      </c>
      <c r="B581" s="63" t="n">
        <v>46243.1637615741</v>
      </c>
      <c r="C581" s="64" t="n">
        <v>46242</v>
      </c>
      <c r="D581" s="62" t="s">
        <v>358</v>
      </c>
      <c r="E581" s="62" t="s">
        <v>790</v>
      </c>
      <c r="F581" s="62" t="s">
        <v>791</v>
      </c>
      <c r="G581" s="62" t="s">
        <v>153</v>
      </c>
      <c r="H581" s="62" t="s">
        <v>153</v>
      </c>
      <c r="I581" s="62" t="s">
        <v>153</v>
      </c>
      <c r="J581" s="62" t="s">
        <v>64</v>
      </c>
      <c r="K581" s="62" t="s">
        <v>64</v>
      </c>
      <c r="L581" s="62" t="s">
        <v>148</v>
      </c>
      <c r="M581" s="62" t="n">
        <v>0</v>
      </c>
      <c r="N581" s="62" t="n">
        <v>1</v>
      </c>
      <c r="O581" s="62" t="n">
        <v>1</v>
      </c>
      <c r="P581" s="62" t="n">
        <v>0</v>
      </c>
      <c r="Q581" s="62" t="n">
        <v>0</v>
      </c>
      <c r="R581" s="62" t="n">
        <v>1</v>
      </c>
      <c r="S581" s="62" t="n">
        <v>0</v>
      </c>
      <c r="T581" s="62" t="n">
        <v>0</v>
      </c>
      <c r="U581" s="62"/>
      <c r="V581" s="62"/>
      <c r="W581" s="62"/>
      <c r="X581" s="62"/>
      <c r="Y581" s="62"/>
      <c r="Z581" s="62" t="s">
        <v>1221</v>
      </c>
      <c r="AA581" s="62" t="s">
        <v>1222</v>
      </c>
      <c r="AB581" s="62" t="n">
        <v>1</v>
      </c>
      <c r="AC581" s="62" t="n">
        <v>0</v>
      </c>
      <c r="AD581" s="62" t="n">
        <v>0</v>
      </c>
      <c r="AE581" s="62" t="n">
        <f aca="false">IF(AND(Dashboard!$C$9="Yes",AC581=1),0,1)</f>
        <v>1</v>
      </c>
      <c r="AF581" s="62" t="n">
        <v>0</v>
      </c>
    </row>
    <row r="582" customFormat="false" ht="15" hidden="false" customHeight="false" outlineLevel="0" collapsed="false">
      <c r="A582" s="62" t="n">
        <v>581</v>
      </c>
      <c r="B582" s="63" t="n">
        <v>46243.1847106482</v>
      </c>
      <c r="C582" s="64" t="n">
        <v>46242</v>
      </c>
      <c r="D582" s="62" t="s">
        <v>358</v>
      </c>
      <c r="E582" s="62" t="s">
        <v>790</v>
      </c>
      <c r="F582" s="62" t="s">
        <v>791</v>
      </c>
      <c r="G582" s="62" t="s">
        <v>153</v>
      </c>
      <c r="H582" s="62" t="s">
        <v>153</v>
      </c>
      <c r="I582" s="62" t="s">
        <v>153</v>
      </c>
      <c r="J582" s="62" t="s">
        <v>64</v>
      </c>
      <c r="K582" s="62" t="s">
        <v>64</v>
      </c>
      <c r="L582" s="62" t="s">
        <v>4</v>
      </c>
      <c r="M582" s="62" t="n">
        <v>1</v>
      </c>
      <c r="N582" s="62" t="n">
        <v>0</v>
      </c>
      <c r="O582" s="62" t="n">
        <v>1</v>
      </c>
      <c r="P582" s="62" t="n">
        <v>0</v>
      </c>
      <c r="Q582" s="62" t="n">
        <v>0</v>
      </c>
      <c r="R582" s="62" t="n">
        <v>0</v>
      </c>
      <c r="S582" s="62" t="n">
        <v>0</v>
      </c>
      <c r="T582" s="62" t="n">
        <v>0</v>
      </c>
      <c r="U582" s="62"/>
      <c r="V582" s="62"/>
      <c r="W582" s="62"/>
      <c r="X582" s="62"/>
      <c r="Y582" s="62"/>
      <c r="Z582" s="62" t="s">
        <v>1221</v>
      </c>
      <c r="AA582" s="62" t="s">
        <v>1223</v>
      </c>
      <c r="AB582" s="62" t="n">
        <v>1</v>
      </c>
      <c r="AC582" s="62" t="n">
        <v>0</v>
      </c>
      <c r="AD582" s="62" t="n">
        <v>0</v>
      </c>
      <c r="AE582" s="62" t="n">
        <f aca="false">IF(AND(Dashboard!$C$9="Yes",AC582=1),0,1)</f>
        <v>1</v>
      </c>
      <c r="AF582" s="62" t="n">
        <v>0</v>
      </c>
    </row>
    <row r="583" customFormat="false" ht="15" hidden="false" customHeight="false" outlineLevel="0" collapsed="false">
      <c r="A583" s="62" t="n">
        <v>582</v>
      </c>
      <c r="B583" s="63" t="n">
        <v>46243.22</v>
      </c>
      <c r="C583" s="64" t="n">
        <v>46242</v>
      </c>
      <c r="D583" s="62" t="s">
        <v>358</v>
      </c>
      <c r="E583" s="62" t="s">
        <v>1224</v>
      </c>
      <c r="F583" s="62" t="s">
        <v>1225</v>
      </c>
      <c r="G583" s="62" t="s">
        <v>153</v>
      </c>
      <c r="H583" s="62" t="s">
        <v>153</v>
      </c>
      <c r="I583" s="62" t="s">
        <v>153</v>
      </c>
      <c r="J583" s="62" t="s">
        <v>64</v>
      </c>
      <c r="K583" s="62" t="s">
        <v>64</v>
      </c>
      <c r="L583" s="62" t="s">
        <v>148</v>
      </c>
      <c r="M583" s="62" t="n">
        <v>0</v>
      </c>
      <c r="N583" s="62" t="n">
        <v>1</v>
      </c>
      <c r="O583" s="62" t="n">
        <v>1</v>
      </c>
      <c r="P583" s="62" t="n">
        <v>0</v>
      </c>
      <c r="Q583" s="62" t="n">
        <v>1</v>
      </c>
      <c r="R583" s="62" t="n">
        <v>0</v>
      </c>
      <c r="S583" s="62" t="n">
        <v>0</v>
      </c>
      <c r="T583" s="62" t="n">
        <v>0</v>
      </c>
      <c r="U583" s="62"/>
      <c r="V583" s="62"/>
      <c r="W583" s="62"/>
      <c r="X583" s="62"/>
      <c r="Y583" s="62"/>
      <c r="Z583" s="62" t="s">
        <v>1226</v>
      </c>
      <c r="AA583" s="62" t="s">
        <v>1227</v>
      </c>
      <c r="AB583" s="62" t="n">
        <v>1</v>
      </c>
      <c r="AC583" s="62" t="n">
        <v>0</v>
      </c>
      <c r="AD583" s="62" t="n">
        <v>0</v>
      </c>
      <c r="AE583" s="62" t="n">
        <f aca="false">IF(AND(Dashboard!$C$9="Yes",AC583=1),0,1)</f>
        <v>1</v>
      </c>
      <c r="AF583" s="62" t="n">
        <v>1</v>
      </c>
    </row>
    <row r="584" customFormat="false" ht="15" hidden="false" customHeight="false" outlineLevel="0" collapsed="false">
      <c r="A584" s="62" t="n">
        <v>583</v>
      </c>
      <c r="B584" s="63" t="n">
        <v>46243.2232060185</v>
      </c>
      <c r="C584" s="64" t="n">
        <v>46242</v>
      </c>
      <c r="D584" s="62" t="s">
        <v>358</v>
      </c>
      <c r="E584" s="62" t="s">
        <v>414</v>
      </c>
      <c r="F584" s="62" t="s">
        <v>414</v>
      </c>
      <c r="G584" s="62" t="s">
        <v>415</v>
      </c>
      <c r="H584" s="62" t="s">
        <v>57</v>
      </c>
      <c r="I584" s="62" t="s">
        <v>47</v>
      </c>
      <c r="J584" s="62" t="s">
        <v>146</v>
      </c>
      <c r="K584" s="62" t="s">
        <v>147</v>
      </c>
      <c r="L584" s="62" t="s">
        <v>148</v>
      </c>
      <c r="M584" s="62" t="n">
        <v>0</v>
      </c>
      <c r="N584" s="62" t="n">
        <v>1</v>
      </c>
      <c r="O584" s="62" t="n">
        <v>1</v>
      </c>
      <c r="P584" s="62" t="n">
        <v>1</v>
      </c>
      <c r="Q584" s="62" t="n">
        <v>0</v>
      </c>
      <c r="R584" s="62" t="n">
        <v>0</v>
      </c>
      <c r="S584" s="62" t="n">
        <v>0</v>
      </c>
      <c r="T584" s="62" t="n">
        <v>0</v>
      </c>
      <c r="U584" s="62"/>
      <c r="V584" s="62"/>
      <c r="W584" s="62"/>
      <c r="X584" s="62"/>
      <c r="Y584" s="62"/>
      <c r="Z584" s="62" t="s">
        <v>1228</v>
      </c>
      <c r="AA584" s="62" t="s">
        <v>1229</v>
      </c>
      <c r="AB584" s="62" t="n">
        <v>1</v>
      </c>
      <c r="AC584" s="62" t="n">
        <v>0</v>
      </c>
      <c r="AD584" s="62" t="n">
        <v>1</v>
      </c>
      <c r="AE584" s="62" t="n">
        <f aca="false">IF(AND(Dashboard!$C$9="Yes",AC584=1),0,1)</f>
        <v>1</v>
      </c>
      <c r="AF584" s="62" t="n">
        <v>0</v>
      </c>
    </row>
    <row r="585" customFormat="false" ht="15" hidden="false" customHeight="false" outlineLevel="0" collapsed="false">
      <c r="A585" s="62" t="n">
        <v>584</v>
      </c>
      <c r="B585" s="63" t="n">
        <v>46243.2475925926</v>
      </c>
      <c r="C585" s="64" t="n">
        <v>46242</v>
      </c>
      <c r="D585" s="62" t="s">
        <v>358</v>
      </c>
      <c r="E585" s="62" t="s">
        <v>180</v>
      </c>
      <c r="F585" s="62" t="s">
        <v>180</v>
      </c>
      <c r="G585" s="62" t="s">
        <v>181</v>
      </c>
      <c r="H585" s="62" t="s">
        <v>58</v>
      </c>
      <c r="I585" s="62" t="s">
        <v>49</v>
      </c>
      <c r="J585" s="62" t="s">
        <v>146</v>
      </c>
      <c r="K585" s="62" t="s">
        <v>175</v>
      </c>
      <c r="L585" s="62" t="s">
        <v>148</v>
      </c>
      <c r="M585" s="62" t="n">
        <v>0</v>
      </c>
      <c r="N585" s="62" t="n">
        <v>2</v>
      </c>
      <c r="O585" s="62" t="n">
        <v>2</v>
      </c>
      <c r="P585" s="62" t="n">
        <v>1</v>
      </c>
      <c r="Q585" s="62" t="n">
        <v>1</v>
      </c>
      <c r="R585" s="62" t="n">
        <v>0</v>
      </c>
      <c r="S585" s="62" t="n">
        <v>0</v>
      </c>
      <c r="T585" s="62" t="n">
        <v>0</v>
      </c>
      <c r="U585" s="62"/>
      <c r="V585" s="62"/>
      <c r="W585" s="62"/>
      <c r="X585" s="62"/>
      <c r="Y585" s="62"/>
      <c r="Z585" s="62" t="s">
        <v>1230</v>
      </c>
      <c r="AA585" s="62" t="s">
        <v>1230</v>
      </c>
      <c r="AB585" s="62" t="n">
        <v>1</v>
      </c>
      <c r="AC585" s="62" t="n">
        <v>0</v>
      </c>
      <c r="AD585" s="62" t="n">
        <v>1</v>
      </c>
      <c r="AE585" s="62" t="n">
        <f aca="false">IF(AND(Dashboard!$C$9="Yes",AC585=1),0,1)</f>
        <v>1</v>
      </c>
      <c r="AF585" s="62" t="n">
        <v>1</v>
      </c>
    </row>
    <row r="586" customFormat="false" ht="15" hidden="false" customHeight="false" outlineLevel="0" collapsed="false">
      <c r="A586" s="62" t="n">
        <v>585</v>
      </c>
      <c r="B586" s="63" t="n">
        <v>46243.2902430556</v>
      </c>
      <c r="C586" s="64" t="n">
        <v>46242</v>
      </c>
      <c r="D586" s="62" t="s">
        <v>358</v>
      </c>
      <c r="E586" s="62" t="s">
        <v>790</v>
      </c>
      <c r="F586" s="62" t="s">
        <v>791</v>
      </c>
      <c r="G586" s="62" t="s">
        <v>153</v>
      </c>
      <c r="H586" s="62" t="s">
        <v>153</v>
      </c>
      <c r="I586" s="62" t="s">
        <v>153</v>
      </c>
      <c r="J586" s="62" t="s">
        <v>64</v>
      </c>
      <c r="K586" s="62" t="s">
        <v>64</v>
      </c>
      <c r="L586" s="62" t="s">
        <v>148</v>
      </c>
      <c r="M586" s="62" t="n">
        <v>0</v>
      </c>
      <c r="N586" s="62" t="n">
        <v>1</v>
      </c>
      <c r="O586" s="62" t="n">
        <v>1</v>
      </c>
      <c r="P586" s="62" t="n">
        <v>1</v>
      </c>
      <c r="Q586" s="62" t="n">
        <v>0</v>
      </c>
      <c r="R586" s="62" t="n">
        <v>0</v>
      </c>
      <c r="S586" s="62" t="n">
        <v>0</v>
      </c>
      <c r="T586" s="62" t="n">
        <v>0</v>
      </c>
      <c r="U586" s="62"/>
      <c r="V586" s="62"/>
      <c r="W586" s="62"/>
      <c r="X586" s="62"/>
      <c r="Y586" s="62"/>
      <c r="Z586" s="62" t="s">
        <v>1231</v>
      </c>
      <c r="AA586" s="62" t="s">
        <v>1232</v>
      </c>
      <c r="AB586" s="62" t="n">
        <v>1</v>
      </c>
      <c r="AC586" s="62" t="n">
        <v>0</v>
      </c>
      <c r="AD586" s="62" t="n">
        <v>0</v>
      </c>
      <c r="AE586" s="62" t="n">
        <f aca="false">IF(AND(Dashboard!$C$9="Yes",AC586=1),0,1)</f>
        <v>1</v>
      </c>
      <c r="AF586" s="62" t="n">
        <v>0</v>
      </c>
    </row>
    <row r="587" customFormat="false" ht="15" hidden="false" customHeight="false" outlineLevel="0" collapsed="false">
      <c r="A587" s="62" t="n">
        <v>586</v>
      </c>
      <c r="B587" s="63" t="n">
        <v>46243.7111805556</v>
      </c>
      <c r="C587" s="64" t="n">
        <v>46243</v>
      </c>
      <c r="D587" s="62" t="s">
        <v>393</v>
      </c>
      <c r="E587" s="62" t="s">
        <v>573</v>
      </c>
      <c r="F587" s="62" t="s">
        <v>573</v>
      </c>
      <c r="G587" s="62" t="s">
        <v>574</v>
      </c>
      <c r="H587" s="62" t="s">
        <v>51</v>
      </c>
      <c r="I587" s="62" t="s">
        <v>47</v>
      </c>
      <c r="J587" s="62" t="s">
        <v>146</v>
      </c>
      <c r="K587" s="62" t="s">
        <v>147</v>
      </c>
      <c r="L587" s="62" t="s">
        <v>148</v>
      </c>
      <c r="M587" s="62" t="n">
        <v>0</v>
      </c>
      <c r="N587" s="62" t="n">
        <v>1</v>
      </c>
      <c r="O587" s="62" t="n">
        <v>1</v>
      </c>
      <c r="P587" s="62" t="n">
        <v>0</v>
      </c>
      <c r="Q587" s="62" t="n">
        <v>1</v>
      </c>
      <c r="R587" s="62" t="n">
        <v>0</v>
      </c>
      <c r="S587" s="62" t="n">
        <v>0</v>
      </c>
      <c r="T587" s="62" t="n">
        <v>0</v>
      </c>
      <c r="U587" s="62"/>
      <c r="V587" s="62"/>
      <c r="W587" s="62"/>
      <c r="X587" s="62"/>
      <c r="Y587" s="62"/>
      <c r="Z587" s="62" t="s">
        <v>1233</v>
      </c>
      <c r="AA587" s="62" t="s">
        <v>1234</v>
      </c>
      <c r="AB587" s="62" t="n">
        <v>1</v>
      </c>
      <c r="AC587" s="62" t="n">
        <v>0</v>
      </c>
      <c r="AD587" s="62" t="n">
        <v>1</v>
      </c>
      <c r="AE587" s="62" t="n">
        <f aca="false">IF(AND(Dashboard!$C$9="Yes",AC587=1),0,1)</f>
        <v>1</v>
      </c>
      <c r="AF587" s="62" t="n">
        <v>1</v>
      </c>
    </row>
    <row r="588" customFormat="false" ht="15" hidden="false" customHeight="false" outlineLevel="0" collapsed="false">
      <c r="A588" s="62" t="n">
        <v>587</v>
      </c>
      <c r="B588" s="63" t="n">
        <v>46243.7564583333</v>
      </c>
      <c r="C588" s="64" t="n">
        <v>46243</v>
      </c>
      <c r="D588" s="62" t="s">
        <v>393</v>
      </c>
      <c r="E588" s="62" t="s">
        <v>573</v>
      </c>
      <c r="F588" s="62" t="s">
        <v>573</v>
      </c>
      <c r="G588" s="62" t="s">
        <v>574</v>
      </c>
      <c r="H588" s="62" t="s">
        <v>51</v>
      </c>
      <c r="I588" s="62" t="s">
        <v>47</v>
      </c>
      <c r="J588" s="62" t="s">
        <v>146</v>
      </c>
      <c r="K588" s="62" t="s">
        <v>147</v>
      </c>
      <c r="L588" s="62" t="s">
        <v>148</v>
      </c>
      <c r="M588" s="62" t="n">
        <v>0</v>
      </c>
      <c r="N588" s="62" t="n">
        <v>1</v>
      </c>
      <c r="O588" s="62" t="n">
        <v>1</v>
      </c>
      <c r="P588" s="62" t="n">
        <v>1</v>
      </c>
      <c r="Q588" s="62" t="n">
        <v>0</v>
      </c>
      <c r="R588" s="62" t="n">
        <v>0</v>
      </c>
      <c r="S588" s="62" t="n">
        <v>0</v>
      </c>
      <c r="T588" s="62" t="n">
        <v>0</v>
      </c>
      <c r="U588" s="62"/>
      <c r="V588" s="62"/>
      <c r="W588" s="62"/>
      <c r="X588" s="62"/>
      <c r="Y588" s="62"/>
      <c r="Z588" s="62" t="s">
        <v>1235</v>
      </c>
      <c r="AA588" s="62" t="s">
        <v>1236</v>
      </c>
      <c r="AB588" s="62" t="n">
        <v>1</v>
      </c>
      <c r="AC588" s="62" t="n">
        <v>0</v>
      </c>
      <c r="AD588" s="62" t="n">
        <v>1</v>
      </c>
      <c r="AE588" s="62" t="n">
        <f aca="false">IF(AND(Dashboard!$C$9="Yes",AC588=1),0,1)</f>
        <v>1</v>
      </c>
      <c r="AF588" s="62" t="n">
        <v>0</v>
      </c>
    </row>
    <row r="589" customFormat="false" ht="15" hidden="false" customHeight="false" outlineLevel="0" collapsed="false">
      <c r="A589" s="62" t="n">
        <v>588</v>
      </c>
      <c r="B589" s="63" t="n">
        <v>46243.8163194444</v>
      </c>
      <c r="C589" s="64" t="n">
        <v>46243</v>
      </c>
      <c r="D589" s="62" t="s">
        <v>393</v>
      </c>
      <c r="E589" s="62" t="s">
        <v>228</v>
      </c>
      <c r="F589" s="62" t="s">
        <v>229</v>
      </c>
      <c r="G589" s="62" t="s">
        <v>153</v>
      </c>
      <c r="H589" s="62" t="s">
        <v>153</v>
      </c>
      <c r="I589" s="62" t="s">
        <v>153</v>
      </c>
      <c r="J589" s="62" t="s">
        <v>64</v>
      </c>
      <c r="K589" s="62" t="s">
        <v>64</v>
      </c>
      <c r="L589" s="62" t="s">
        <v>148</v>
      </c>
      <c r="M589" s="62" t="n">
        <v>0</v>
      </c>
      <c r="N589" s="62" t="n">
        <v>1</v>
      </c>
      <c r="O589" s="62" t="n">
        <v>1</v>
      </c>
      <c r="P589" s="62" t="n">
        <v>1</v>
      </c>
      <c r="Q589" s="62" t="n">
        <v>0</v>
      </c>
      <c r="R589" s="62" t="n">
        <v>0</v>
      </c>
      <c r="S589" s="62" t="n">
        <v>0</v>
      </c>
      <c r="T589" s="62" t="n">
        <v>0</v>
      </c>
      <c r="U589" s="62"/>
      <c r="V589" s="62"/>
      <c r="W589" s="62"/>
      <c r="X589" s="62"/>
      <c r="Y589" s="62"/>
      <c r="Z589" s="62" t="s">
        <v>1237</v>
      </c>
      <c r="AA589" s="62" t="s">
        <v>1238</v>
      </c>
      <c r="AB589" s="62" t="n">
        <v>1</v>
      </c>
      <c r="AC589" s="62" t="n">
        <v>0</v>
      </c>
      <c r="AD589" s="62" t="n">
        <v>0</v>
      </c>
      <c r="AE589" s="62" t="n">
        <f aca="false">IF(AND(Dashboard!$C$9="Yes",AC589=1),0,1)</f>
        <v>1</v>
      </c>
      <c r="AF589" s="62" t="n">
        <v>1</v>
      </c>
    </row>
    <row r="590" customFormat="false" ht="15" hidden="false" customHeight="false" outlineLevel="0" collapsed="false">
      <c r="A590" s="62" t="n">
        <v>589</v>
      </c>
      <c r="B590" s="63" t="n">
        <v>46243.8693518519</v>
      </c>
      <c r="C590" s="64" t="n">
        <v>46243</v>
      </c>
      <c r="D590" s="62" t="s">
        <v>393</v>
      </c>
      <c r="E590" s="62" t="s">
        <v>207</v>
      </c>
      <c r="F590" s="62" t="s">
        <v>207</v>
      </c>
      <c r="G590" s="62" t="s">
        <v>208</v>
      </c>
      <c r="H590" s="62" t="s">
        <v>48</v>
      </c>
      <c r="I590" s="62" t="s">
        <v>49</v>
      </c>
      <c r="J590" s="62" t="s">
        <v>146</v>
      </c>
      <c r="K590" s="62" t="s">
        <v>209</v>
      </c>
      <c r="L590" s="62" t="s">
        <v>148</v>
      </c>
      <c r="M590" s="62" t="n">
        <v>0</v>
      </c>
      <c r="N590" s="62" t="n">
        <v>1</v>
      </c>
      <c r="O590" s="62" t="n">
        <v>1</v>
      </c>
      <c r="P590" s="62" t="n">
        <v>1</v>
      </c>
      <c r="Q590" s="62" t="n">
        <v>0</v>
      </c>
      <c r="R590" s="62" t="n">
        <v>0</v>
      </c>
      <c r="S590" s="62" t="n">
        <v>0</v>
      </c>
      <c r="T590" s="62" t="n">
        <v>0</v>
      </c>
      <c r="U590" s="62"/>
      <c r="V590" s="62"/>
      <c r="W590" s="62"/>
      <c r="X590" s="62"/>
      <c r="Y590" s="62"/>
      <c r="Z590" s="62" t="s">
        <v>1239</v>
      </c>
      <c r="AA590" s="62" t="s">
        <v>1240</v>
      </c>
      <c r="AB590" s="62" t="n">
        <v>1</v>
      </c>
      <c r="AC590" s="62" t="n">
        <v>0</v>
      </c>
      <c r="AD590" s="62" t="n">
        <v>1</v>
      </c>
      <c r="AE590" s="62" t="n">
        <f aca="false">IF(AND(Dashboard!$C$9="Yes",AC590=1),0,1)</f>
        <v>1</v>
      </c>
      <c r="AF590" s="62" t="n">
        <v>1</v>
      </c>
    </row>
    <row r="591" customFormat="false" ht="15" hidden="false" customHeight="false" outlineLevel="0" collapsed="false">
      <c r="A591" s="62" t="n">
        <v>590</v>
      </c>
      <c r="B591" s="63" t="n">
        <v>46243.8836574074</v>
      </c>
      <c r="C591" s="64" t="n">
        <v>46243</v>
      </c>
      <c r="D591" s="62" t="s">
        <v>393</v>
      </c>
      <c r="E591" s="62" t="s">
        <v>255</v>
      </c>
      <c r="F591" s="62" t="s">
        <v>255</v>
      </c>
      <c r="G591" s="62" t="s">
        <v>256</v>
      </c>
      <c r="H591" s="62" t="s">
        <v>57</v>
      </c>
      <c r="I591" s="62" t="s">
        <v>47</v>
      </c>
      <c r="J591" s="62" t="s">
        <v>146</v>
      </c>
      <c r="K591" s="62" t="s">
        <v>147</v>
      </c>
      <c r="L591" s="62" t="s">
        <v>148</v>
      </c>
      <c r="M591" s="62" t="n">
        <v>0</v>
      </c>
      <c r="N591" s="62" t="n">
        <v>1</v>
      </c>
      <c r="O591" s="62" t="n">
        <v>1</v>
      </c>
      <c r="P591" s="62" t="n">
        <v>0</v>
      </c>
      <c r="Q591" s="62" t="n">
        <v>1</v>
      </c>
      <c r="R591" s="62" t="n">
        <v>0</v>
      </c>
      <c r="S591" s="62" t="n">
        <v>0</v>
      </c>
      <c r="T591" s="62" t="n">
        <v>0</v>
      </c>
      <c r="U591" s="62"/>
      <c r="V591" s="62"/>
      <c r="W591" s="62"/>
      <c r="X591" s="62"/>
      <c r="Y591" s="62"/>
      <c r="Z591" s="62" t="s">
        <v>1241</v>
      </c>
      <c r="AA591" s="62" t="s">
        <v>1242</v>
      </c>
      <c r="AB591" s="62" t="n">
        <v>1</v>
      </c>
      <c r="AC591" s="62" t="n">
        <v>0</v>
      </c>
      <c r="AD591" s="62" t="n">
        <v>1</v>
      </c>
      <c r="AE591" s="62" t="n">
        <f aca="false">IF(AND(Dashboard!$C$9="Yes",AC591=1),0,1)</f>
        <v>1</v>
      </c>
      <c r="AF591" s="62" t="n">
        <v>1</v>
      </c>
    </row>
    <row r="592" customFormat="false" ht="15" hidden="false" customHeight="false" outlineLevel="0" collapsed="false">
      <c r="A592" s="62" t="n">
        <v>591</v>
      </c>
      <c r="B592" s="63" t="n">
        <v>46243.9031944444</v>
      </c>
      <c r="C592" s="64" t="n">
        <v>46243</v>
      </c>
      <c r="D592" s="62" t="s">
        <v>393</v>
      </c>
      <c r="E592" s="62" t="s">
        <v>207</v>
      </c>
      <c r="F592" s="62" t="s">
        <v>207</v>
      </c>
      <c r="G592" s="62" t="s">
        <v>208</v>
      </c>
      <c r="H592" s="62" t="s">
        <v>48</v>
      </c>
      <c r="I592" s="62" t="s">
        <v>49</v>
      </c>
      <c r="J592" s="62" t="s">
        <v>146</v>
      </c>
      <c r="K592" s="62" t="s">
        <v>209</v>
      </c>
      <c r="L592" s="62" t="s">
        <v>148</v>
      </c>
      <c r="M592" s="62" t="n">
        <v>0</v>
      </c>
      <c r="N592" s="62" t="n">
        <v>1</v>
      </c>
      <c r="O592" s="62" t="n">
        <v>1</v>
      </c>
      <c r="P592" s="62" t="n">
        <v>1</v>
      </c>
      <c r="Q592" s="62" t="n">
        <v>0</v>
      </c>
      <c r="R592" s="62" t="n">
        <v>0</v>
      </c>
      <c r="S592" s="62" t="n">
        <v>0</v>
      </c>
      <c r="T592" s="62" t="n">
        <v>0</v>
      </c>
      <c r="U592" s="62"/>
      <c r="V592" s="62"/>
      <c r="W592" s="62"/>
      <c r="X592" s="62"/>
      <c r="Y592" s="62"/>
      <c r="Z592" s="62" t="s">
        <v>1243</v>
      </c>
      <c r="AA592" s="62" t="s">
        <v>1244</v>
      </c>
      <c r="AB592" s="62" t="n">
        <v>1</v>
      </c>
      <c r="AC592" s="62" t="n">
        <v>0</v>
      </c>
      <c r="AD592" s="62" t="n">
        <v>1</v>
      </c>
      <c r="AE592" s="62" t="n">
        <f aca="false">IF(AND(Dashboard!$C$9="Yes",AC592=1),0,1)</f>
        <v>1</v>
      </c>
      <c r="AF592" s="62" t="n">
        <v>0</v>
      </c>
    </row>
    <row r="593" customFormat="false" ht="15" hidden="false" customHeight="false" outlineLevel="0" collapsed="false">
      <c r="A593" s="62" t="n">
        <v>592</v>
      </c>
      <c r="B593" s="63" t="n">
        <v>46243.9141550926</v>
      </c>
      <c r="C593" s="64" t="n">
        <v>46243</v>
      </c>
      <c r="D593" s="62" t="s">
        <v>393</v>
      </c>
      <c r="E593" s="62" t="s">
        <v>1224</v>
      </c>
      <c r="F593" s="62" t="s">
        <v>1225</v>
      </c>
      <c r="G593" s="62" t="s">
        <v>153</v>
      </c>
      <c r="H593" s="62" t="s">
        <v>153</v>
      </c>
      <c r="I593" s="62" t="s">
        <v>153</v>
      </c>
      <c r="J593" s="62" t="s">
        <v>64</v>
      </c>
      <c r="K593" s="62" t="s">
        <v>64</v>
      </c>
      <c r="L593" s="62" t="s">
        <v>4</v>
      </c>
      <c r="M593" s="62" t="n">
        <v>1</v>
      </c>
      <c r="N593" s="62" t="n">
        <v>0</v>
      </c>
      <c r="O593" s="62" t="n">
        <v>1</v>
      </c>
      <c r="P593" s="62" t="n">
        <v>0</v>
      </c>
      <c r="Q593" s="62" t="n">
        <v>0</v>
      </c>
      <c r="R593" s="62" t="n">
        <v>0</v>
      </c>
      <c r="S593" s="62" t="n">
        <v>0</v>
      </c>
      <c r="T593" s="62" t="n">
        <v>0</v>
      </c>
      <c r="U593" s="62"/>
      <c r="V593" s="62"/>
      <c r="W593" s="62"/>
      <c r="X593" s="62"/>
      <c r="Y593" s="62"/>
      <c r="Z593" s="62" t="s">
        <v>1245</v>
      </c>
      <c r="AA593" s="62" t="s">
        <v>1246</v>
      </c>
      <c r="AB593" s="62" t="n">
        <v>1</v>
      </c>
      <c r="AC593" s="62" t="n">
        <v>0</v>
      </c>
      <c r="AD593" s="62" t="n">
        <v>0</v>
      </c>
      <c r="AE593" s="62" t="n">
        <f aca="false">IF(AND(Dashboard!$C$9="Yes",AC593=1),0,1)</f>
        <v>1</v>
      </c>
      <c r="AF593" s="62" t="n">
        <v>1</v>
      </c>
    </row>
    <row r="594" customFormat="false" ht="15" hidden="false" customHeight="false" outlineLevel="0" collapsed="false">
      <c r="A594" s="62" t="n">
        <v>593</v>
      </c>
      <c r="B594" s="63" t="n">
        <v>46244.0234837963</v>
      </c>
      <c r="C594" s="64" t="n">
        <v>46243</v>
      </c>
      <c r="D594" s="62" t="s">
        <v>393</v>
      </c>
      <c r="E594" s="62" t="s">
        <v>173</v>
      </c>
      <c r="F594" s="62" t="s">
        <v>173</v>
      </c>
      <c r="G594" s="62" t="s">
        <v>174</v>
      </c>
      <c r="H594" s="62" t="s">
        <v>58</v>
      </c>
      <c r="I594" s="62" t="s">
        <v>49</v>
      </c>
      <c r="J594" s="62" t="s">
        <v>146</v>
      </c>
      <c r="K594" s="62" t="s">
        <v>175</v>
      </c>
      <c r="L594" s="62" t="s">
        <v>148</v>
      </c>
      <c r="M594" s="62" t="n">
        <v>0</v>
      </c>
      <c r="N594" s="62" t="n">
        <v>1</v>
      </c>
      <c r="O594" s="62" t="n">
        <v>1</v>
      </c>
      <c r="P594" s="62" t="n">
        <v>0</v>
      </c>
      <c r="Q594" s="62" t="n">
        <v>0</v>
      </c>
      <c r="R594" s="62" t="n">
        <v>1</v>
      </c>
      <c r="S594" s="62" t="n">
        <v>0</v>
      </c>
      <c r="T594" s="62" t="n">
        <v>0</v>
      </c>
      <c r="U594" s="62"/>
      <c r="V594" s="62"/>
      <c r="W594" s="62"/>
      <c r="X594" s="62"/>
      <c r="Y594" s="62"/>
      <c r="Z594" s="62" t="s">
        <v>1247</v>
      </c>
      <c r="AA594" s="62" t="s">
        <v>1248</v>
      </c>
      <c r="AB594" s="62" t="n">
        <v>1</v>
      </c>
      <c r="AC594" s="62" t="n">
        <v>0</v>
      </c>
      <c r="AD594" s="62" t="n">
        <v>1</v>
      </c>
      <c r="AE594" s="62" t="n">
        <f aca="false">IF(AND(Dashboard!$C$9="Yes",AC594=1),0,1)</f>
        <v>1</v>
      </c>
      <c r="AF594" s="62" t="n">
        <v>1</v>
      </c>
    </row>
    <row r="595" customFormat="false" ht="15" hidden="false" customHeight="false" outlineLevel="0" collapsed="false">
      <c r="A595" s="62" t="n">
        <v>594</v>
      </c>
      <c r="B595" s="63" t="n">
        <v>46244.0239699074</v>
      </c>
      <c r="C595" s="64" t="n">
        <v>46243</v>
      </c>
      <c r="D595" s="62" t="s">
        <v>393</v>
      </c>
      <c r="E595" s="62" t="s">
        <v>173</v>
      </c>
      <c r="F595" s="62" t="s">
        <v>173</v>
      </c>
      <c r="G595" s="62" t="s">
        <v>174</v>
      </c>
      <c r="H595" s="62" t="s">
        <v>58</v>
      </c>
      <c r="I595" s="62" t="s">
        <v>49</v>
      </c>
      <c r="J595" s="62" t="s">
        <v>146</v>
      </c>
      <c r="K595" s="62" t="s">
        <v>175</v>
      </c>
      <c r="L595" s="62" t="s">
        <v>4</v>
      </c>
      <c r="M595" s="62" t="n">
        <v>1</v>
      </c>
      <c r="N595" s="62" t="n">
        <v>0</v>
      </c>
      <c r="O595" s="62" t="n">
        <v>1</v>
      </c>
      <c r="P595" s="62" t="n">
        <v>0</v>
      </c>
      <c r="Q595" s="62" t="n">
        <v>0</v>
      </c>
      <c r="R595" s="62" t="n">
        <v>0</v>
      </c>
      <c r="S595" s="62" t="n">
        <v>0</v>
      </c>
      <c r="T595" s="62" t="n">
        <v>0</v>
      </c>
      <c r="U595" s="62"/>
      <c r="V595" s="62"/>
      <c r="W595" s="62"/>
      <c r="X595" s="62"/>
      <c r="Y595" s="62"/>
      <c r="Z595" s="62" t="s">
        <v>1249</v>
      </c>
      <c r="AA595" s="62" t="s">
        <v>1250</v>
      </c>
      <c r="AB595" s="62" t="n">
        <v>1</v>
      </c>
      <c r="AC595" s="62" t="n">
        <v>0</v>
      </c>
      <c r="AD595" s="62" t="n">
        <v>1</v>
      </c>
      <c r="AE595" s="62" t="n">
        <f aca="false">IF(AND(Dashboard!$C$9="Yes",AC595=1),0,1)</f>
        <v>1</v>
      </c>
      <c r="AF595" s="62" t="n">
        <v>0</v>
      </c>
    </row>
    <row r="596" customFormat="false" ht="15" hidden="false" customHeight="false" outlineLevel="0" collapsed="false">
      <c r="A596" s="62" t="n">
        <v>595</v>
      </c>
      <c r="B596" s="63" t="n">
        <v>46244.0251157407</v>
      </c>
      <c r="C596" s="64" t="n">
        <v>46243</v>
      </c>
      <c r="D596" s="62" t="s">
        <v>393</v>
      </c>
      <c r="E596" s="62" t="s">
        <v>255</v>
      </c>
      <c r="F596" s="62" t="s">
        <v>255</v>
      </c>
      <c r="G596" s="62" t="s">
        <v>256</v>
      </c>
      <c r="H596" s="62" t="s">
        <v>57</v>
      </c>
      <c r="I596" s="62" t="s">
        <v>47</v>
      </c>
      <c r="J596" s="62" t="s">
        <v>146</v>
      </c>
      <c r="K596" s="62" t="s">
        <v>147</v>
      </c>
      <c r="L596" s="62" t="s">
        <v>148</v>
      </c>
      <c r="M596" s="62" t="n">
        <v>0</v>
      </c>
      <c r="N596" s="62" t="n">
        <v>1</v>
      </c>
      <c r="O596" s="62" t="n">
        <v>1</v>
      </c>
      <c r="P596" s="62" t="n">
        <v>1</v>
      </c>
      <c r="Q596" s="62" t="n">
        <v>0</v>
      </c>
      <c r="R596" s="62" t="n">
        <v>0</v>
      </c>
      <c r="S596" s="62" t="n">
        <v>0</v>
      </c>
      <c r="T596" s="62" t="n">
        <v>0</v>
      </c>
      <c r="U596" s="62"/>
      <c r="V596" s="62"/>
      <c r="W596" s="62"/>
      <c r="X596" s="62"/>
      <c r="Y596" s="62"/>
      <c r="Z596" s="62" t="s">
        <v>1251</v>
      </c>
      <c r="AA596" s="62" t="s">
        <v>1252</v>
      </c>
      <c r="AB596" s="62" t="n">
        <v>1</v>
      </c>
      <c r="AC596" s="62" t="n">
        <v>0</v>
      </c>
      <c r="AD596" s="62" t="n">
        <v>1</v>
      </c>
      <c r="AE596" s="62" t="n">
        <f aca="false">IF(AND(Dashboard!$C$9="Yes",AC596=1),0,1)</f>
        <v>1</v>
      </c>
      <c r="AF596" s="62" t="n">
        <v>0</v>
      </c>
    </row>
    <row r="597" customFormat="false" ht="15" hidden="false" customHeight="false" outlineLevel="0" collapsed="false">
      <c r="A597" s="62" t="n">
        <v>596</v>
      </c>
      <c r="B597" s="63" t="n">
        <v>46244.0287268519</v>
      </c>
      <c r="C597" s="64" t="n">
        <v>46243</v>
      </c>
      <c r="D597" s="62" t="s">
        <v>393</v>
      </c>
      <c r="E597" s="62" t="s">
        <v>196</v>
      </c>
      <c r="F597" s="62" t="s">
        <v>196</v>
      </c>
      <c r="G597" s="62" t="s">
        <v>197</v>
      </c>
      <c r="H597" s="62" t="s">
        <v>57</v>
      </c>
      <c r="I597" s="62" t="s">
        <v>47</v>
      </c>
      <c r="J597" s="62" t="s">
        <v>146</v>
      </c>
      <c r="K597" s="62" t="s">
        <v>175</v>
      </c>
      <c r="L597" s="62" t="s">
        <v>4</v>
      </c>
      <c r="M597" s="62" t="n">
        <v>1</v>
      </c>
      <c r="N597" s="62" t="n">
        <v>0</v>
      </c>
      <c r="O597" s="62" t="n">
        <v>1</v>
      </c>
      <c r="P597" s="62" t="n">
        <v>0</v>
      </c>
      <c r="Q597" s="62" t="n">
        <v>0</v>
      </c>
      <c r="R597" s="62" t="n">
        <v>0</v>
      </c>
      <c r="S597" s="62" t="n">
        <v>0</v>
      </c>
      <c r="T597" s="62" t="n">
        <v>0</v>
      </c>
      <c r="U597" s="62"/>
      <c r="V597" s="62"/>
      <c r="W597" s="62"/>
      <c r="X597" s="62"/>
      <c r="Y597" s="62"/>
      <c r="Z597" s="62" t="s">
        <v>1253</v>
      </c>
      <c r="AA597" s="62" t="s">
        <v>1254</v>
      </c>
      <c r="AB597" s="62" t="n">
        <v>1</v>
      </c>
      <c r="AC597" s="62" t="n">
        <v>0</v>
      </c>
      <c r="AD597" s="62" t="n">
        <v>1</v>
      </c>
      <c r="AE597" s="62" t="n">
        <f aca="false">IF(AND(Dashboard!$C$9="Yes",AC597=1),0,1)</f>
        <v>1</v>
      </c>
      <c r="AF597" s="62" t="n">
        <v>1</v>
      </c>
    </row>
    <row r="598" customFormat="false" ht="15" hidden="false" customHeight="false" outlineLevel="0" collapsed="false">
      <c r="A598" s="62" t="n">
        <v>597</v>
      </c>
      <c r="B598" s="63" t="n">
        <v>46244.0340509259</v>
      </c>
      <c r="C598" s="64" t="n">
        <v>46243</v>
      </c>
      <c r="D598" s="62" t="s">
        <v>393</v>
      </c>
      <c r="E598" s="62" t="s">
        <v>1255</v>
      </c>
      <c r="F598" s="62" t="s">
        <v>1255</v>
      </c>
      <c r="G598" s="62" t="s">
        <v>1256</v>
      </c>
      <c r="H598" s="62" t="s">
        <v>52</v>
      </c>
      <c r="I598" s="62" t="s">
        <v>47</v>
      </c>
      <c r="J598" s="62" t="s">
        <v>146</v>
      </c>
      <c r="K598" s="62" t="s">
        <v>147</v>
      </c>
      <c r="L598" s="62" t="s">
        <v>148</v>
      </c>
      <c r="M598" s="62" t="n">
        <v>0</v>
      </c>
      <c r="N598" s="62" t="n">
        <v>1</v>
      </c>
      <c r="O598" s="62" t="n">
        <v>1</v>
      </c>
      <c r="P598" s="62" t="n">
        <v>0</v>
      </c>
      <c r="Q598" s="62" t="n">
        <v>1</v>
      </c>
      <c r="R598" s="62" t="n">
        <v>0</v>
      </c>
      <c r="S598" s="62" t="n">
        <v>0</v>
      </c>
      <c r="T598" s="62" t="n">
        <v>0</v>
      </c>
      <c r="U598" s="62"/>
      <c r="V598" s="62"/>
      <c r="W598" s="62"/>
      <c r="X598" s="62"/>
      <c r="Y598" s="62"/>
      <c r="Z598" s="62" t="s">
        <v>1257</v>
      </c>
      <c r="AA598" s="62" t="s">
        <v>1258</v>
      </c>
      <c r="AB598" s="62" t="n">
        <v>1</v>
      </c>
      <c r="AC598" s="62" t="n">
        <v>0</v>
      </c>
      <c r="AD598" s="62" t="n">
        <v>1</v>
      </c>
      <c r="AE598" s="62" t="n">
        <f aca="false">IF(AND(Dashboard!$C$9="Yes",AC598=1),0,1)</f>
        <v>1</v>
      </c>
      <c r="AF598" s="62" t="n">
        <v>1</v>
      </c>
    </row>
    <row r="599" customFormat="false" ht="15" hidden="false" customHeight="false" outlineLevel="0" collapsed="false">
      <c r="A599" s="62" t="n">
        <v>598</v>
      </c>
      <c r="B599" s="63" t="n">
        <v>46244.0499305556</v>
      </c>
      <c r="C599" s="64" t="n">
        <v>46243</v>
      </c>
      <c r="D599" s="62" t="s">
        <v>393</v>
      </c>
      <c r="E599" s="62" t="s">
        <v>164</v>
      </c>
      <c r="F599" s="62" t="s">
        <v>164</v>
      </c>
      <c r="G599" s="62" t="s">
        <v>165</v>
      </c>
      <c r="H599" s="62" t="s">
        <v>51</v>
      </c>
      <c r="I599" s="62" t="s">
        <v>47</v>
      </c>
      <c r="J599" s="62" t="s">
        <v>146</v>
      </c>
      <c r="K599" s="62" t="s">
        <v>147</v>
      </c>
      <c r="L599" s="62" t="s">
        <v>148</v>
      </c>
      <c r="M599" s="62" t="n">
        <v>0</v>
      </c>
      <c r="N599" s="62" t="n">
        <v>1</v>
      </c>
      <c r="O599" s="62" t="n">
        <v>1</v>
      </c>
      <c r="P599" s="62" t="n">
        <v>0</v>
      </c>
      <c r="Q599" s="62" t="n">
        <v>1</v>
      </c>
      <c r="R599" s="62" t="n">
        <v>0</v>
      </c>
      <c r="S599" s="62" t="n">
        <v>0</v>
      </c>
      <c r="T599" s="62" t="n">
        <v>0</v>
      </c>
      <c r="U599" s="62"/>
      <c r="V599" s="62"/>
      <c r="W599" s="62"/>
      <c r="X599" s="62"/>
      <c r="Y599" s="62"/>
      <c r="Z599" s="62" t="s">
        <v>1259</v>
      </c>
      <c r="AA599" s="62" t="s">
        <v>1260</v>
      </c>
      <c r="AB599" s="62" t="n">
        <v>1</v>
      </c>
      <c r="AC599" s="62" t="n">
        <v>0</v>
      </c>
      <c r="AD599" s="62" t="n">
        <v>1</v>
      </c>
      <c r="AE599" s="62" t="n">
        <f aca="false">IF(AND(Dashboard!$C$9="Yes",AC599=1),0,1)</f>
        <v>1</v>
      </c>
      <c r="AF599" s="62" t="n">
        <v>1</v>
      </c>
    </row>
    <row r="600" customFormat="false" ht="15" hidden="false" customHeight="false" outlineLevel="0" collapsed="false">
      <c r="A600" s="62" t="n">
        <v>599</v>
      </c>
      <c r="B600" s="63" t="n">
        <v>46244.0552662037</v>
      </c>
      <c r="C600" s="64" t="n">
        <v>46243</v>
      </c>
      <c r="D600" s="62" t="s">
        <v>393</v>
      </c>
      <c r="E600" s="62" t="s">
        <v>1224</v>
      </c>
      <c r="F600" s="62" t="s">
        <v>1225</v>
      </c>
      <c r="G600" s="62" t="s">
        <v>153</v>
      </c>
      <c r="H600" s="62" t="s">
        <v>153</v>
      </c>
      <c r="I600" s="62" t="s">
        <v>153</v>
      </c>
      <c r="J600" s="62" t="s">
        <v>64</v>
      </c>
      <c r="K600" s="62" t="s">
        <v>64</v>
      </c>
      <c r="L600" s="62" t="s">
        <v>148</v>
      </c>
      <c r="M600" s="62" t="n">
        <v>0</v>
      </c>
      <c r="N600" s="62" t="n">
        <v>1</v>
      </c>
      <c r="O600" s="62" t="n">
        <v>1</v>
      </c>
      <c r="P600" s="62" t="n">
        <v>1</v>
      </c>
      <c r="Q600" s="62" t="n">
        <v>0</v>
      </c>
      <c r="R600" s="62" t="n">
        <v>0</v>
      </c>
      <c r="S600" s="62" t="n">
        <v>0</v>
      </c>
      <c r="T600" s="62" t="n">
        <v>0</v>
      </c>
      <c r="U600" s="62"/>
      <c r="V600" s="62"/>
      <c r="W600" s="62"/>
      <c r="X600" s="62"/>
      <c r="Y600" s="62"/>
      <c r="Z600" s="62" t="s">
        <v>1261</v>
      </c>
      <c r="AA600" s="62" t="s">
        <v>1262</v>
      </c>
      <c r="AB600" s="62" t="n">
        <v>1</v>
      </c>
      <c r="AC600" s="62" t="n">
        <v>0</v>
      </c>
      <c r="AD600" s="62" t="n">
        <v>0</v>
      </c>
      <c r="AE600" s="62" t="n">
        <f aca="false">IF(AND(Dashboard!$C$9="Yes",AC600=1),0,1)</f>
        <v>1</v>
      </c>
      <c r="AF600" s="62" t="n">
        <v>0</v>
      </c>
    </row>
    <row r="601" customFormat="false" ht="15" hidden="false" customHeight="false" outlineLevel="0" collapsed="false">
      <c r="A601" s="62" t="n">
        <v>600</v>
      </c>
      <c r="B601" s="63" t="n">
        <v>46244.1604976852</v>
      </c>
      <c r="C601" s="64" t="n">
        <v>46243</v>
      </c>
      <c r="D601" s="62" t="s">
        <v>393</v>
      </c>
      <c r="E601" s="62" t="s">
        <v>173</v>
      </c>
      <c r="F601" s="62" t="s">
        <v>173</v>
      </c>
      <c r="G601" s="62" t="s">
        <v>174</v>
      </c>
      <c r="H601" s="62" t="s">
        <v>58</v>
      </c>
      <c r="I601" s="62" t="s">
        <v>49</v>
      </c>
      <c r="J601" s="62" t="s">
        <v>146</v>
      </c>
      <c r="K601" s="62" t="s">
        <v>175</v>
      </c>
      <c r="L601" s="62" t="s">
        <v>148</v>
      </c>
      <c r="M601" s="62" t="n">
        <v>0</v>
      </c>
      <c r="N601" s="62" t="n">
        <v>1</v>
      </c>
      <c r="O601" s="62" t="n">
        <v>1</v>
      </c>
      <c r="P601" s="62" t="n">
        <v>1</v>
      </c>
      <c r="Q601" s="62" t="n">
        <v>0</v>
      </c>
      <c r="R601" s="62" t="n">
        <v>0</v>
      </c>
      <c r="S601" s="62" t="n">
        <v>0</v>
      </c>
      <c r="T601" s="62" t="n">
        <v>0</v>
      </c>
      <c r="U601" s="62"/>
      <c r="V601" s="62"/>
      <c r="W601" s="62"/>
      <c r="X601" s="62"/>
      <c r="Y601" s="62"/>
      <c r="Z601" s="62" t="s">
        <v>1263</v>
      </c>
      <c r="AA601" s="62" t="s">
        <v>1264</v>
      </c>
      <c r="AB601" s="62" t="n">
        <v>1</v>
      </c>
      <c r="AC601" s="62" t="n">
        <v>0</v>
      </c>
      <c r="AD601" s="62" t="n">
        <v>1</v>
      </c>
      <c r="AE601" s="62" t="n">
        <f aca="false">IF(AND(Dashboard!$C$9="Yes",AC601=1),0,1)</f>
        <v>1</v>
      </c>
      <c r="AF601" s="62" t="n">
        <v>0</v>
      </c>
    </row>
    <row r="602" customFormat="false" ht="15" hidden="false" customHeight="false" outlineLevel="0" collapsed="false">
      <c r="A602" s="62" t="n">
        <v>601</v>
      </c>
      <c r="B602" s="63" t="n">
        <v>46244.1703472222</v>
      </c>
      <c r="C602" s="64" t="n">
        <v>46243</v>
      </c>
      <c r="D602" s="62" t="s">
        <v>393</v>
      </c>
      <c r="E602" s="62" t="s">
        <v>156</v>
      </c>
      <c r="F602" s="62" t="s">
        <v>156</v>
      </c>
      <c r="G602" s="62" t="s">
        <v>157</v>
      </c>
      <c r="H602" s="62" t="s">
        <v>51</v>
      </c>
      <c r="I602" s="62" t="s">
        <v>47</v>
      </c>
      <c r="J602" s="62" t="s">
        <v>146</v>
      </c>
      <c r="K602" s="62" t="s">
        <v>147</v>
      </c>
      <c r="L602" s="62" t="s">
        <v>4</v>
      </c>
      <c r="M602" s="62" t="n">
        <v>1</v>
      </c>
      <c r="N602" s="62" t="n">
        <v>0</v>
      </c>
      <c r="O602" s="62" t="n">
        <v>1</v>
      </c>
      <c r="P602" s="62" t="n">
        <v>0</v>
      </c>
      <c r="Q602" s="62" t="n">
        <v>0</v>
      </c>
      <c r="R602" s="62" t="n">
        <v>0</v>
      </c>
      <c r="S602" s="62" t="n">
        <v>0</v>
      </c>
      <c r="T602" s="62" t="n">
        <v>0</v>
      </c>
      <c r="U602" s="62"/>
      <c r="V602" s="62"/>
      <c r="W602" s="62"/>
      <c r="X602" s="62"/>
      <c r="Y602" s="62"/>
      <c r="Z602" s="62" t="s">
        <v>1265</v>
      </c>
      <c r="AA602" s="62" t="s">
        <v>1266</v>
      </c>
      <c r="AB602" s="62" t="n">
        <v>1</v>
      </c>
      <c r="AC602" s="62" t="n">
        <v>0</v>
      </c>
      <c r="AD602" s="62" t="n">
        <v>1</v>
      </c>
      <c r="AE602" s="62" t="n">
        <f aca="false">IF(AND(Dashboard!$C$9="Yes",AC602=1),0,1)</f>
        <v>1</v>
      </c>
      <c r="AF602" s="62" t="n">
        <v>1</v>
      </c>
    </row>
    <row r="603" customFormat="false" ht="15" hidden="false" customHeight="false" outlineLevel="0" collapsed="false">
      <c r="A603" s="62" t="n">
        <v>602</v>
      </c>
      <c r="B603" s="63" t="n">
        <v>46244.1737152778</v>
      </c>
      <c r="C603" s="64" t="n">
        <v>46243</v>
      </c>
      <c r="D603" s="62" t="s">
        <v>393</v>
      </c>
      <c r="E603" s="62" t="s">
        <v>173</v>
      </c>
      <c r="F603" s="62" t="s">
        <v>173</v>
      </c>
      <c r="G603" s="62" t="s">
        <v>174</v>
      </c>
      <c r="H603" s="62" t="s">
        <v>58</v>
      </c>
      <c r="I603" s="62" t="s">
        <v>49</v>
      </c>
      <c r="J603" s="62" t="s">
        <v>146</v>
      </c>
      <c r="K603" s="62" t="s">
        <v>175</v>
      </c>
      <c r="L603" s="62" t="s">
        <v>148</v>
      </c>
      <c r="M603" s="62" t="n">
        <v>0</v>
      </c>
      <c r="N603" s="62" t="n">
        <v>1</v>
      </c>
      <c r="O603" s="62" t="n">
        <v>1</v>
      </c>
      <c r="P603" s="62" t="n">
        <v>0</v>
      </c>
      <c r="Q603" s="62" t="n">
        <v>0</v>
      </c>
      <c r="R603" s="62" t="n">
        <v>1</v>
      </c>
      <c r="S603" s="62" t="n">
        <v>0</v>
      </c>
      <c r="T603" s="62" t="n">
        <v>0</v>
      </c>
      <c r="U603" s="62"/>
      <c r="V603" s="62"/>
      <c r="W603" s="62"/>
      <c r="X603" s="62"/>
      <c r="Y603" s="62"/>
      <c r="Z603" s="62" t="s">
        <v>1267</v>
      </c>
      <c r="AA603" s="62" t="s">
        <v>1268</v>
      </c>
      <c r="AB603" s="62" t="n">
        <v>1</v>
      </c>
      <c r="AC603" s="62" t="n">
        <v>0</v>
      </c>
      <c r="AD603" s="62" t="n">
        <v>1</v>
      </c>
      <c r="AE603" s="62" t="n">
        <f aca="false">IF(AND(Dashboard!$C$9="Yes",AC603=1),0,1)</f>
        <v>1</v>
      </c>
      <c r="AF603" s="62" t="n">
        <v>0</v>
      </c>
    </row>
    <row r="604" customFormat="false" ht="15" hidden="false" customHeight="false" outlineLevel="0" collapsed="false">
      <c r="A604" s="62" t="n">
        <v>603</v>
      </c>
      <c r="B604" s="63" t="n">
        <v>46244.1784490741</v>
      </c>
      <c r="C604" s="64" t="n">
        <v>46243</v>
      </c>
      <c r="D604" s="62" t="s">
        <v>393</v>
      </c>
      <c r="E604" s="62" t="s">
        <v>239</v>
      </c>
      <c r="F604" s="62" t="s">
        <v>240</v>
      </c>
      <c r="G604" s="62" t="s">
        <v>153</v>
      </c>
      <c r="H604" s="62" t="s">
        <v>153</v>
      </c>
      <c r="I604" s="62" t="s">
        <v>153</v>
      </c>
      <c r="J604" s="62" t="s">
        <v>64</v>
      </c>
      <c r="K604" s="62" t="s">
        <v>64</v>
      </c>
      <c r="L604" s="62" t="s">
        <v>148</v>
      </c>
      <c r="M604" s="62" t="n">
        <v>0</v>
      </c>
      <c r="N604" s="62" t="n">
        <v>2</v>
      </c>
      <c r="O604" s="62" t="n">
        <v>2</v>
      </c>
      <c r="P604" s="62" t="n">
        <v>1</v>
      </c>
      <c r="Q604" s="62" t="n">
        <v>1</v>
      </c>
      <c r="R604" s="62" t="n">
        <v>0</v>
      </c>
      <c r="S604" s="62" t="n">
        <v>0</v>
      </c>
      <c r="T604" s="62" t="n">
        <v>0</v>
      </c>
      <c r="U604" s="62"/>
      <c r="V604" s="62"/>
      <c r="W604" s="62"/>
      <c r="X604" s="62"/>
      <c r="Y604" s="62"/>
      <c r="Z604" s="62" t="s">
        <v>1269</v>
      </c>
      <c r="AA604" s="62" t="s">
        <v>1270</v>
      </c>
      <c r="AB604" s="62" t="n">
        <v>1</v>
      </c>
      <c r="AC604" s="62" t="n">
        <v>0</v>
      </c>
      <c r="AD604" s="62" t="n">
        <v>0</v>
      </c>
      <c r="AE604" s="62" t="n">
        <f aca="false">IF(AND(Dashboard!$C$9="Yes",AC604=1),0,1)</f>
        <v>1</v>
      </c>
      <c r="AF604" s="62" t="n">
        <v>1</v>
      </c>
    </row>
    <row r="605" customFormat="false" ht="15" hidden="false" customHeight="false" outlineLevel="0" collapsed="false">
      <c r="A605" s="62" t="n">
        <v>604</v>
      </c>
      <c r="B605" s="63" t="n">
        <v>46244.206724537</v>
      </c>
      <c r="C605" s="64" t="n">
        <v>46243</v>
      </c>
      <c r="D605" s="62" t="s">
        <v>393</v>
      </c>
      <c r="E605" s="62" t="s">
        <v>144</v>
      </c>
      <c r="F605" s="62" t="s">
        <v>144</v>
      </c>
      <c r="G605" s="62" t="s">
        <v>145</v>
      </c>
      <c r="H605" s="62" t="s">
        <v>59</v>
      </c>
      <c r="I605" s="62" t="s">
        <v>47</v>
      </c>
      <c r="J605" s="62" t="s">
        <v>146</v>
      </c>
      <c r="K605" s="62" t="s">
        <v>147</v>
      </c>
      <c r="L605" s="62" t="s">
        <v>4</v>
      </c>
      <c r="M605" s="62" t="n">
        <v>1</v>
      </c>
      <c r="N605" s="62" t="n">
        <v>0</v>
      </c>
      <c r="O605" s="62" t="n">
        <v>1</v>
      </c>
      <c r="P605" s="62" t="n">
        <v>0</v>
      </c>
      <c r="Q605" s="62" t="n">
        <v>0</v>
      </c>
      <c r="R605" s="62" t="n">
        <v>0</v>
      </c>
      <c r="S605" s="62" t="n">
        <v>0</v>
      </c>
      <c r="T605" s="62" t="n">
        <v>0</v>
      </c>
      <c r="U605" s="62"/>
      <c r="V605" s="62"/>
      <c r="W605" s="62"/>
      <c r="X605" s="62"/>
      <c r="Y605" s="62"/>
      <c r="Z605" s="62" t="s">
        <v>1271</v>
      </c>
      <c r="AA605" s="62" t="s">
        <v>1272</v>
      </c>
      <c r="AB605" s="62" t="n">
        <v>1</v>
      </c>
      <c r="AC605" s="62" t="n">
        <v>0</v>
      </c>
      <c r="AD605" s="62" t="n">
        <v>1</v>
      </c>
      <c r="AE605" s="62" t="n">
        <f aca="false">IF(AND(Dashboard!$C$9="Yes",AC605=1),0,1)</f>
        <v>1</v>
      </c>
      <c r="AF605" s="62" t="n">
        <v>1</v>
      </c>
    </row>
    <row r="606" customFormat="false" ht="15" hidden="false" customHeight="false" outlineLevel="0" collapsed="false">
      <c r="A606" s="62" t="n">
        <v>605</v>
      </c>
      <c r="B606" s="63" t="n">
        <v>46244.2069675926</v>
      </c>
      <c r="C606" s="64" t="n">
        <v>46243</v>
      </c>
      <c r="D606" s="62" t="s">
        <v>393</v>
      </c>
      <c r="E606" s="62" t="s">
        <v>144</v>
      </c>
      <c r="F606" s="62" t="s">
        <v>144</v>
      </c>
      <c r="G606" s="62" t="s">
        <v>145</v>
      </c>
      <c r="H606" s="62" t="s">
        <v>59</v>
      </c>
      <c r="I606" s="62" t="s">
        <v>47</v>
      </c>
      <c r="J606" s="62" t="s">
        <v>146</v>
      </c>
      <c r="K606" s="62" t="s">
        <v>147</v>
      </c>
      <c r="L606" s="62" t="s">
        <v>4</v>
      </c>
      <c r="M606" s="62" t="n">
        <v>1</v>
      </c>
      <c r="N606" s="62" t="n">
        <v>0</v>
      </c>
      <c r="O606" s="62" t="n">
        <v>1</v>
      </c>
      <c r="P606" s="62" t="n">
        <v>0</v>
      </c>
      <c r="Q606" s="62" t="n">
        <v>0</v>
      </c>
      <c r="R606" s="62" t="n">
        <v>0</v>
      </c>
      <c r="S606" s="62" t="n">
        <v>0</v>
      </c>
      <c r="T606" s="62" t="n">
        <v>0</v>
      </c>
      <c r="U606" s="62"/>
      <c r="V606" s="62"/>
      <c r="W606" s="62"/>
      <c r="X606" s="62"/>
      <c r="Y606" s="62"/>
      <c r="Z606" s="62" t="s">
        <v>1271</v>
      </c>
      <c r="AA606" s="62" t="s">
        <v>1272</v>
      </c>
      <c r="AB606" s="62" t="n">
        <v>1</v>
      </c>
      <c r="AC606" s="62" t="n">
        <v>1</v>
      </c>
      <c r="AD606" s="62" t="n">
        <v>1</v>
      </c>
      <c r="AE606" s="62" t="n">
        <f aca="false">IF(AND(Dashboard!$C$9="Yes",AC606=1),0,1)</f>
        <v>0</v>
      </c>
      <c r="AF606" s="62" t="n">
        <v>0</v>
      </c>
    </row>
    <row r="607" customFormat="false" ht="15" hidden="false" customHeight="false" outlineLevel="0" collapsed="false">
      <c r="A607" s="62" t="n">
        <v>606</v>
      </c>
      <c r="B607" s="63" t="n">
        <v>46244.223587963</v>
      </c>
      <c r="C607" s="64" t="n">
        <v>46243</v>
      </c>
      <c r="D607" s="62" t="s">
        <v>393</v>
      </c>
      <c r="E607" s="62" t="s">
        <v>144</v>
      </c>
      <c r="F607" s="62" t="s">
        <v>144</v>
      </c>
      <c r="G607" s="62" t="s">
        <v>145</v>
      </c>
      <c r="H607" s="62" t="s">
        <v>59</v>
      </c>
      <c r="I607" s="62" t="s">
        <v>47</v>
      </c>
      <c r="J607" s="62" t="s">
        <v>146</v>
      </c>
      <c r="K607" s="62" t="s">
        <v>147</v>
      </c>
      <c r="L607" s="62" t="s">
        <v>4</v>
      </c>
      <c r="M607" s="62" t="n">
        <v>1</v>
      </c>
      <c r="N607" s="62" t="n">
        <v>0</v>
      </c>
      <c r="O607" s="62" t="n">
        <v>1</v>
      </c>
      <c r="P607" s="62" t="n">
        <v>0</v>
      </c>
      <c r="Q607" s="62" t="n">
        <v>0</v>
      </c>
      <c r="R607" s="62" t="n">
        <v>0</v>
      </c>
      <c r="S607" s="62" t="n">
        <v>0</v>
      </c>
      <c r="T607" s="62" t="n">
        <v>0</v>
      </c>
      <c r="U607" s="62"/>
      <c r="V607" s="62"/>
      <c r="W607" s="62"/>
      <c r="X607" s="62"/>
      <c r="Y607" s="62"/>
      <c r="Z607" s="62" t="s">
        <v>1271</v>
      </c>
      <c r="AA607" s="62" t="s">
        <v>1272</v>
      </c>
      <c r="AB607" s="62" t="n">
        <v>1</v>
      </c>
      <c r="AC607" s="62" t="n">
        <v>1</v>
      </c>
      <c r="AD607" s="62" t="n">
        <v>1</v>
      </c>
      <c r="AE607" s="62" t="n">
        <f aca="false">IF(AND(Dashboard!$C$9="Yes",AC607=1),0,1)</f>
        <v>0</v>
      </c>
      <c r="AF607" s="62" t="n">
        <v>0</v>
      </c>
    </row>
    <row r="608" customFormat="false" ht="15" hidden="false" customHeight="false" outlineLevel="0" collapsed="false">
      <c r="A608" s="62" t="n">
        <v>607</v>
      </c>
      <c r="B608" s="63" t="n">
        <v>46244.2580555556</v>
      </c>
      <c r="C608" s="64" t="n">
        <v>46243</v>
      </c>
      <c r="D608" s="62" t="s">
        <v>393</v>
      </c>
      <c r="E608" s="62" t="s">
        <v>239</v>
      </c>
      <c r="F608" s="62" t="s">
        <v>240</v>
      </c>
      <c r="G608" s="62" t="s">
        <v>153</v>
      </c>
      <c r="H608" s="62" t="s">
        <v>153</v>
      </c>
      <c r="I608" s="62" t="s">
        <v>153</v>
      </c>
      <c r="J608" s="62" t="s">
        <v>64</v>
      </c>
      <c r="K608" s="62" t="s">
        <v>64</v>
      </c>
      <c r="L608" s="62" t="s">
        <v>148</v>
      </c>
      <c r="M608" s="62" t="n">
        <v>0</v>
      </c>
      <c r="N608" s="62" t="n">
        <v>1</v>
      </c>
      <c r="O608" s="62" t="n">
        <v>1</v>
      </c>
      <c r="P608" s="62" t="n">
        <v>1</v>
      </c>
      <c r="Q608" s="62" t="n">
        <v>0</v>
      </c>
      <c r="R608" s="62" t="n">
        <v>0</v>
      </c>
      <c r="S608" s="62" t="n">
        <v>0</v>
      </c>
      <c r="T608" s="62" t="n">
        <v>0</v>
      </c>
      <c r="U608" s="62"/>
      <c r="V608" s="62"/>
      <c r="W608" s="62"/>
      <c r="X608" s="62"/>
      <c r="Y608" s="62"/>
      <c r="Z608" s="62" t="s">
        <v>1273</v>
      </c>
      <c r="AA608" s="62" t="s">
        <v>1274</v>
      </c>
      <c r="AB608" s="62" t="n">
        <v>1</v>
      </c>
      <c r="AC608" s="62" t="n">
        <v>0</v>
      </c>
      <c r="AD608" s="62" t="n">
        <v>0</v>
      </c>
      <c r="AE608" s="62" t="n">
        <f aca="false">IF(AND(Dashboard!$C$9="Yes",AC608=1),0,1)</f>
        <v>1</v>
      </c>
      <c r="AF608" s="62" t="n">
        <v>0</v>
      </c>
    </row>
    <row r="609" customFormat="false" ht="15" hidden="false" customHeight="false" outlineLevel="0" collapsed="false">
      <c r="A609" s="62" t="n">
        <v>608</v>
      </c>
      <c r="B609" s="63" t="n">
        <v>46244.2717361111</v>
      </c>
      <c r="C609" s="64" t="n">
        <v>46243</v>
      </c>
      <c r="D609" s="62" t="s">
        <v>393</v>
      </c>
      <c r="E609" s="62" t="s">
        <v>239</v>
      </c>
      <c r="F609" s="62" t="s">
        <v>240</v>
      </c>
      <c r="G609" s="62" t="s">
        <v>153</v>
      </c>
      <c r="H609" s="62" t="s">
        <v>153</v>
      </c>
      <c r="I609" s="62" t="s">
        <v>153</v>
      </c>
      <c r="J609" s="62" t="s">
        <v>64</v>
      </c>
      <c r="K609" s="62" t="s">
        <v>64</v>
      </c>
      <c r="L609" s="62" t="s">
        <v>148</v>
      </c>
      <c r="M609" s="62" t="n">
        <v>0</v>
      </c>
      <c r="N609" s="62" t="n">
        <v>1</v>
      </c>
      <c r="O609" s="62" t="n">
        <v>1</v>
      </c>
      <c r="P609" s="62" t="n">
        <v>0</v>
      </c>
      <c r="Q609" s="62" t="n">
        <v>1</v>
      </c>
      <c r="R609" s="62" t="n">
        <v>0</v>
      </c>
      <c r="S609" s="62" t="n">
        <v>0</v>
      </c>
      <c r="T609" s="62" t="n">
        <v>0</v>
      </c>
      <c r="U609" s="62"/>
      <c r="V609" s="62"/>
      <c r="W609" s="62"/>
      <c r="X609" s="62"/>
      <c r="Y609" s="62"/>
      <c r="Z609" s="62" t="s">
        <v>1273</v>
      </c>
      <c r="AA609" s="62" t="s">
        <v>1275</v>
      </c>
      <c r="AB609" s="62" t="n">
        <v>1</v>
      </c>
      <c r="AC609" s="62" t="n">
        <v>0</v>
      </c>
      <c r="AD609" s="62" t="n">
        <v>0</v>
      </c>
      <c r="AE609" s="62" t="n">
        <f aca="false">IF(AND(Dashboard!$C$9="Yes",AC609=1),0,1)</f>
        <v>1</v>
      </c>
      <c r="AF609" s="62" t="n">
        <v>0</v>
      </c>
    </row>
    <row r="610" customFormat="false" ht="15" hidden="false" customHeight="false" outlineLevel="0" collapsed="false">
      <c r="A610" s="62" t="n">
        <v>609</v>
      </c>
      <c r="B610" s="63" t="n">
        <v>46244.6929282407</v>
      </c>
      <c r="C610" s="64" t="n">
        <v>46244</v>
      </c>
      <c r="D610" s="62" t="s">
        <v>429</v>
      </c>
      <c r="E610" s="62" t="s">
        <v>573</v>
      </c>
      <c r="F610" s="62" t="s">
        <v>573</v>
      </c>
      <c r="G610" s="62" t="s">
        <v>574</v>
      </c>
      <c r="H610" s="62" t="s">
        <v>51</v>
      </c>
      <c r="I610" s="62" t="s">
        <v>47</v>
      </c>
      <c r="J610" s="62" t="s">
        <v>146</v>
      </c>
      <c r="K610" s="62" t="s">
        <v>147</v>
      </c>
      <c r="L610" s="62" t="s">
        <v>4</v>
      </c>
      <c r="M610" s="62" t="n">
        <v>1</v>
      </c>
      <c r="N610" s="62" t="n">
        <v>0</v>
      </c>
      <c r="O610" s="62" t="n">
        <v>1</v>
      </c>
      <c r="P610" s="62" t="n">
        <v>0</v>
      </c>
      <c r="Q610" s="62" t="n">
        <v>0</v>
      </c>
      <c r="R610" s="62" t="n">
        <v>0</v>
      </c>
      <c r="S610" s="62" t="n">
        <v>0</v>
      </c>
      <c r="T610" s="62" t="n">
        <v>0</v>
      </c>
      <c r="U610" s="62"/>
      <c r="V610" s="62"/>
      <c r="W610" s="62"/>
      <c r="X610" s="62"/>
      <c r="Y610" s="62"/>
      <c r="Z610" s="62" t="s">
        <v>1276</v>
      </c>
      <c r="AA610" s="62" t="s">
        <v>1277</v>
      </c>
      <c r="AB610" s="62" t="n">
        <v>1</v>
      </c>
      <c r="AC610" s="62" t="n">
        <v>0</v>
      </c>
      <c r="AD610" s="62" t="n">
        <v>1</v>
      </c>
      <c r="AE610" s="62" t="n">
        <f aca="false">IF(AND(Dashboard!$C$9="Yes",AC610=1),0,1)</f>
        <v>1</v>
      </c>
      <c r="AF610" s="62" t="n">
        <v>1</v>
      </c>
    </row>
    <row r="611" customFormat="false" ht="15" hidden="false" customHeight="false" outlineLevel="0" collapsed="false">
      <c r="A611" s="62" t="n">
        <v>610</v>
      </c>
      <c r="B611" s="63" t="n">
        <v>46244.6994444444</v>
      </c>
      <c r="C611" s="64" t="n">
        <v>46244</v>
      </c>
      <c r="D611" s="62" t="s">
        <v>429</v>
      </c>
      <c r="E611" s="62" t="s">
        <v>203</v>
      </c>
      <c r="F611" s="62" t="s">
        <v>203</v>
      </c>
      <c r="G611" s="62" t="s">
        <v>204</v>
      </c>
      <c r="H611" s="62" t="s">
        <v>51</v>
      </c>
      <c r="I611" s="62" t="s">
        <v>47</v>
      </c>
      <c r="J611" s="62" t="s">
        <v>146</v>
      </c>
      <c r="K611" s="62" t="s">
        <v>147</v>
      </c>
      <c r="L611" s="62" t="s">
        <v>148</v>
      </c>
      <c r="M611" s="62" t="n">
        <v>0</v>
      </c>
      <c r="N611" s="62" t="n">
        <v>1</v>
      </c>
      <c r="O611" s="62" t="n">
        <v>1</v>
      </c>
      <c r="P611" s="62" t="n">
        <v>1</v>
      </c>
      <c r="Q611" s="62" t="n">
        <v>0</v>
      </c>
      <c r="R611" s="62" t="n">
        <v>0</v>
      </c>
      <c r="S611" s="62" t="n">
        <v>0</v>
      </c>
      <c r="T611" s="62" t="n">
        <v>0</v>
      </c>
      <c r="U611" s="62"/>
      <c r="V611" s="62"/>
      <c r="W611" s="62"/>
      <c r="X611" s="62"/>
      <c r="Y611" s="62"/>
      <c r="Z611" s="62" t="s">
        <v>1278</v>
      </c>
      <c r="AA611" s="62" t="s">
        <v>485</v>
      </c>
      <c r="AB611" s="62" t="n">
        <v>0</v>
      </c>
      <c r="AC611" s="62" t="n">
        <v>0</v>
      </c>
      <c r="AD611" s="62" t="n">
        <v>1</v>
      </c>
      <c r="AE611" s="62" t="n">
        <f aca="false">IF(AND(Dashboard!$C$9="Yes",AC611=1),0,1)</f>
        <v>1</v>
      </c>
      <c r="AF611" s="62" t="n">
        <v>1</v>
      </c>
    </row>
    <row r="612" customFormat="false" ht="15" hidden="false" customHeight="false" outlineLevel="0" collapsed="false">
      <c r="A612" s="62" t="n">
        <v>611</v>
      </c>
      <c r="B612" s="63" t="n">
        <v>46244.8131134259</v>
      </c>
      <c r="C612" s="64" t="n">
        <v>46244</v>
      </c>
      <c r="D612" s="62" t="s">
        <v>429</v>
      </c>
      <c r="E612" s="62" t="s">
        <v>1279</v>
      </c>
      <c r="F612" s="62" t="s">
        <v>1280</v>
      </c>
      <c r="G612" s="62" t="s">
        <v>153</v>
      </c>
      <c r="H612" s="62" t="s">
        <v>153</v>
      </c>
      <c r="I612" s="62" t="s">
        <v>153</v>
      </c>
      <c r="J612" s="62" t="s">
        <v>64</v>
      </c>
      <c r="K612" s="62" t="s">
        <v>64</v>
      </c>
      <c r="L612" s="62" t="s">
        <v>4</v>
      </c>
      <c r="M612" s="62" t="n">
        <v>1</v>
      </c>
      <c r="N612" s="62" t="n">
        <v>0</v>
      </c>
      <c r="O612" s="62" t="n">
        <v>1</v>
      </c>
      <c r="P612" s="62" t="n">
        <v>0</v>
      </c>
      <c r="Q612" s="62" t="n">
        <v>0</v>
      </c>
      <c r="R612" s="62" t="n">
        <v>0</v>
      </c>
      <c r="S612" s="62" t="n">
        <v>0</v>
      </c>
      <c r="T612" s="62" t="n">
        <v>0</v>
      </c>
      <c r="U612" s="62"/>
      <c r="V612" s="62"/>
      <c r="W612" s="62"/>
      <c r="X612" s="62"/>
      <c r="Y612" s="62"/>
      <c r="Z612" s="62" t="s">
        <v>1281</v>
      </c>
      <c r="AA612" s="62" t="s">
        <v>1282</v>
      </c>
      <c r="AB612" s="62" t="n">
        <v>1</v>
      </c>
      <c r="AC612" s="62" t="n">
        <v>0</v>
      </c>
      <c r="AD612" s="62" t="n">
        <v>0</v>
      </c>
      <c r="AE612" s="62" t="n">
        <f aca="false">IF(AND(Dashboard!$C$9="Yes",AC612=1),0,1)</f>
        <v>1</v>
      </c>
      <c r="AF612" s="62" t="n">
        <v>1</v>
      </c>
    </row>
    <row r="613" customFormat="false" ht="15" hidden="false" customHeight="false" outlineLevel="0" collapsed="false">
      <c r="A613" s="62" t="n">
        <v>612</v>
      </c>
      <c r="B613" s="63" t="n">
        <v>46244.8373726852</v>
      </c>
      <c r="C613" s="64" t="n">
        <v>46244</v>
      </c>
      <c r="D613" s="62" t="s">
        <v>429</v>
      </c>
      <c r="E613" s="62" t="s">
        <v>168</v>
      </c>
      <c r="F613" s="62" t="s">
        <v>169</v>
      </c>
      <c r="G613" s="62" t="s">
        <v>153</v>
      </c>
      <c r="H613" s="62" t="s">
        <v>153</v>
      </c>
      <c r="I613" s="62" t="s">
        <v>153</v>
      </c>
      <c r="J613" s="62" t="s">
        <v>64</v>
      </c>
      <c r="K613" s="62" t="s">
        <v>64</v>
      </c>
      <c r="L613" s="62" t="s">
        <v>4</v>
      </c>
      <c r="M613" s="62" t="n">
        <v>1</v>
      </c>
      <c r="N613" s="62" t="n">
        <v>0</v>
      </c>
      <c r="O613" s="62" t="n">
        <v>1</v>
      </c>
      <c r="P613" s="62" t="n">
        <v>0</v>
      </c>
      <c r="Q613" s="62" t="n">
        <v>0</v>
      </c>
      <c r="R613" s="62" t="n">
        <v>0</v>
      </c>
      <c r="S613" s="62" t="n">
        <v>0</v>
      </c>
      <c r="T613" s="62" t="n">
        <v>0</v>
      </c>
      <c r="U613" s="62"/>
      <c r="V613" s="62"/>
      <c r="W613" s="62"/>
      <c r="X613" s="62"/>
      <c r="Y613" s="62"/>
      <c r="Z613" s="62" t="s">
        <v>1283</v>
      </c>
      <c r="AA613" s="62" t="s">
        <v>1284</v>
      </c>
      <c r="AB613" s="62" t="n">
        <v>1</v>
      </c>
      <c r="AC613" s="62" t="n">
        <v>0</v>
      </c>
      <c r="AD613" s="62" t="n">
        <v>0</v>
      </c>
      <c r="AE613" s="62" t="n">
        <f aca="false">IF(AND(Dashboard!$C$9="Yes",AC613=1),0,1)</f>
        <v>1</v>
      </c>
      <c r="AF613" s="62" t="n">
        <v>1</v>
      </c>
    </row>
    <row r="614" customFormat="false" ht="15" hidden="false" customHeight="false" outlineLevel="0" collapsed="false">
      <c r="A614" s="62" t="n">
        <v>613</v>
      </c>
      <c r="B614" s="63" t="n">
        <v>46244.8555671296</v>
      </c>
      <c r="C614" s="64" t="n">
        <v>46244</v>
      </c>
      <c r="D614" s="62" t="s">
        <v>429</v>
      </c>
      <c r="E614" s="62" t="s">
        <v>156</v>
      </c>
      <c r="F614" s="62" t="s">
        <v>156</v>
      </c>
      <c r="G614" s="62" t="s">
        <v>157</v>
      </c>
      <c r="H614" s="62" t="s">
        <v>51</v>
      </c>
      <c r="I614" s="62" t="s">
        <v>47</v>
      </c>
      <c r="J614" s="62" t="s">
        <v>146</v>
      </c>
      <c r="K614" s="62" t="s">
        <v>147</v>
      </c>
      <c r="L614" s="62" t="s">
        <v>148</v>
      </c>
      <c r="M614" s="62" t="n">
        <v>0</v>
      </c>
      <c r="N614" s="62" t="n">
        <v>1</v>
      </c>
      <c r="O614" s="62" t="n">
        <v>1</v>
      </c>
      <c r="P614" s="62" t="n">
        <v>0</v>
      </c>
      <c r="Q614" s="62" t="n">
        <v>0</v>
      </c>
      <c r="R614" s="62" t="n">
        <v>1</v>
      </c>
      <c r="S614" s="62" t="n">
        <v>0</v>
      </c>
      <c r="T614" s="62" t="n">
        <v>0</v>
      </c>
      <c r="U614" s="62"/>
      <c r="V614" s="62"/>
      <c r="W614" s="62"/>
      <c r="X614" s="62"/>
      <c r="Y614" s="62"/>
      <c r="Z614" s="62" t="s">
        <v>1285</v>
      </c>
      <c r="AA614" s="62" t="s">
        <v>1286</v>
      </c>
      <c r="AB614" s="62" t="n">
        <v>1</v>
      </c>
      <c r="AC614" s="62" t="n">
        <v>0</v>
      </c>
      <c r="AD614" s="62" t="n">
        <v>1</v>
      </c>
      <c r="AE614" s="62" t="n">
        <f aca="false">IF(AND(Dashboard!$C$9="Yes",AC614=1),0,1)</f>
        <v>1</v>
      </c>
      <c r="AF614" s="62" t="n">
        <v>1</v>
      </c>
    </row>
    <row r="615" customFormat="false" ht="15" hidden="false" customHeight="false" outlineLevel="0" collapsed="false">
      <c r="A615" s="62" t="n">
        <v>614</v>
      </c>
      <c r="B615" s="63" t="n">
        <v>46244.869525463</v>
      </c>
      <c r="C615" s="64" t="n">
        <v>46244</v>
      </c>
      <c r="D615" s="62" t="s">
        <v>429</v>
      </c>
      <c r="E615" s="62" t="s">
        <v>586</v>
      </c>
      <c r="F615" s="62" t="s">
        <v>586</v>
      </c>
      <c r="G615" s="62" t="s">
        <v>587</v>
      </c>
      <c r="H615" s="62" t="s">
        <v>57</v>
      </c>
      <c r="I615" s="62" t="s">
        <v>47</v>
      </c>
      <c r="J615" s="62" t="s">
        <v>146</v>
      </c>
      <c r="K615" s="62" t="s">
        <v>175</v>
      </c>
      <c r="L615" s="62" t="s">
        <v>148</v>
      </c>
      <c r="M615" s="62" t="n">
        <v>0</v>
      </c>
      <c r="N615" s="62" t="n">
        <v>1</v>
      </c>
      <c r="O615" s="62" t="n">
        <v>1</v>
      </c>
      <c r="P615" s="62" t="n">
        <v>0</v>
      </c>
      <c r="Q615" s="62" t="n">
        <v>1</v>
      </c>
      <c r="R615" s="62" t="n">
        <v>0</v>
      </c>
      <c r="S615" s="62" t="n">
        <v>0</v>
      </c>
      <c r="T615" s="62" t="n">
        <v>0</v>
      </c>
      <c r="U615" s="62"/>
      <c r="V615" s="62"/>
      <c r="W615" s="62"/>
      <c r="X615" s="62"/>
      <c r="Y615" s="62"/>
      <c r="Z615" s="62" t="s">
        <v>1287</v>
      </c>
      <c r="AA615" s="62" t="s">
        <v>1288</v>
      </c>
      <c r="AB615" s="62" t="n">
        <v>1</v>
      </c>
      <c r="AC615" s="62" t="n">
        <v>0</v>
      </c>
      <c r="AD615" s="62" t="n">
        <v>1</v>
      </c>
      <c r="AE615" s="62" t="n">
        <f aca="false">IF(AND(Dashboard!$C$9="Yes",AC615=1),0,1)</f>
        <v>1</v>
      </c>
      <c r="AF615" s="62" t="n">
        <v>1</v>
      </c>
    </row>
    <row r="616" customFormat="false" ht="15" hidden="false" customHeight="false" outlineLevel="0" collapsed="false">
      <c r="A616" s="62" t="n">
        <v>615</v>
      </c>
      <c r="B616" s="63" t="n">
        <v>46244.9046875</v>
      </c>
      <c r="C616" s="64" t="n">
        <v>46244</v>
      </c>
      <c r="D616" s="62" t="s">
        <v>429</v>
      </c>
      <c r="E616" s="62" t="s">
        <v>1289</v>
      </c>
      <c r="F616" s="62" t="s">
        <v>1290</v>
      </c>
      <c r="G616" s="62" t="s">
        <v>153</v>
      </c>
      <c r="H616" s="62" t="s">
        <v>153</v>
      </c>
      <c r="I616" s="62" t="s">
        <v>153</v>
      </c>
      <c r="J616" s="62" t="s">
        <v>64</v>
      </c>
      <c r="K616" s="62" t="s">
        <v>64</v>
      </c>
      <c r="L616" s="62" t="s">
        <v>148</v>
      </c>
      <c r="M616" s="62" t="n">
        <v>0</v>
      </c>
      <c r="N616" s="62" t="n">
        <v>1</v>
      </c>
      <c r="O616" s="62" t="n">
        <v>1</v>
      </c>
      <c r="P616" s="62" t="n">
        <v>1</v>
      </c>
      <c r="Q616" s="62" t="n">
        <v>0</v>
      </c>
      <c r="R616" s="62" t="n">
        <v>0</v>
      </c>
      <c r="S616" s="62" t="n">
        <v>0</v>
      </c>
      <c r="T616" s="62" t="n">
        <v>0</v>
      </c>
      <c r="U616" s="62"/>
      <c r="V616" s="62"/>
      <c r="W616" s="62"/>
      <c r="X616" s="62"/>
      <c r="Y616" s="62"/>
      <c r="Z616" s="62" t="s">
        <v>1291</v>
      </c>
      <c r="AA616" s="62" t="s">
        <v>1291</v>
      </c>
      <c r="AB616" s="62" t="n">
        <v>1</v>
      </c>
      <c r="AC616" s="62" t="n">
        <v>0</v>
      </c>
      <c r="AD616" s="62" t="n">
        <v>0</v>
      </c>
      <c r="AE616" s="62" t="n">
        <f aca="false">IF(AND(Dashboard!$C$9="Yes",AC616=1),0,1)</f>
        <v>1</v>
      </c>
      <c r="AF616" s="62" t="n">
        <v>1</v>
      </c>
    </row>
    <row r="617" customFormat="false" ht="15" hidden="false" customHeight="false" outlineLevel="0" collapsed="false">
      <c r="A617" s="62" t="n">
        <v>616</v>
      </c>
      <c r="B617" s="63" t="n">
        <v>46244.9289236111</v>
      </c>
      <c r="C617" s="64" t="n">
        <v>46244</v>
      </c>
      <c r="D617" s="62" t="s">
        <v>429</v>
      </c>
      <c r="E617" s="62" t="s">
        <v>207</v>
      </c>
      <c r="F617" s="62" t="s">
        <v>207</v>
      </c>
      <c r="G617" s="62" t="s">
        <v>208</v>
      </c>
      <c r="H617" s="62" t="s">
        <v>48</v>
      </c>
      <c r="I617" s="62" t="s">
        <v>49</v>
      </c>
      <c r="J617" s="62" t="s">
        <v>146</v>
      </c>
      <c r="K617" s="62" t="s">
        <v>209</v>
      </c>
      <c r="L617" s="62" t="s">
        <v>148</v>
      </c>
      <c r="M617" s="62" t="n">
        <v>0</v>
      </c>
      <c r="N617" s="62" t="n">
        <v>1</v>
      </c>
      <c r="O617" s="62" t="n">
        <v>1</v>
      </c>
      <c r="P617" s="62" t="n">
        <v>1</v>
      </c>
      <c r="Q617" s="62" t="n">
        <v>0</v>
      </c>
      <c r="R617" s="62" t="n">
        <v>0</v>
      </c>
      <c r="S617" s="62" t="n">
        <v>0</v>
      </c>
      <c r="T617" s="62" t="n">
        <v>0</v>
      </c>
      <c r="U617" s="62"/>
      <c r="V617" s="62"/>
      <c r="W617" s="62"/>
      <c r="X617" s="62"/>
      <c r="Y617" s="62"/>
      <c r="Z617" s="62" t="s">
        <v>1292</v>
      </c>
      <c r="AA617" s="62" t="s">
        <v>1293</v>
      </c>
      <c r="AB617" s="62" t="n">
        <v>1</v>
      </c>
      <c r="AC617" s="62" t="n">
        <v>0</v>
      </c>
      <c r="AD617" s="62" t="n">
        <v>1</v>
      </c>
      <c r="AE617" s="62" t="n">
        <f aca="false">IF(AND(Dashboard!$C$9="Yes",AC617=1),0,1)</f>
        <v>1</v>
      </c>
      <c r="AF617" s="62" t="n">
        <v>1</v>
      </c>
    </row>
    <row r="618" customFormat="false" ht="15" hidden="false" customHeight="false" outlineLevel="0" collapsed="false">
      <c r="A618" s="62" t="n">
        <v>617</v>
      </c>
      <c r="B618" s="63" t="n">
        <v>46244.9300231482</v>
      </c>
      <c r="C618" s="64" t="n">
        <v>46244</v>
      </c>
      <c r="D618" s="62" t="s">
        <v>429</v>
      </c>
      <c r="E618" s="62" t="s">
        <v>228</v>
      </c>
      <c r="F618" s="62" t="s">
        <v>229</v>
      </c>
      <c r="G618" s="62" t="s">
        <v>153</v>
      </c>
      <c r="H618" s="62" t="s">
        <v>153</v>
      </c>
      <c r="I618" s="62" t="s">
        <v>153</v>
      </c>
      <c r="J618" s="62" t="s">
        <v>64</v>
      </c>
      <c r="K618" s="62" t="s">
        <v>64</v>
      </c>
      <c r="L618" s="62" t="s">
        <v>148</v>
      </c>
      <c r="M618" s="62" t="n">
        <v>0</v>
      </c>
      <c r="N618" s="62" t="n">
        <v>1</v>
      </c>
      <c r="O618" s="62" t="n">
        <v>1</v>
      </c>
      <c r="P618" s="62" t="n">
        <v>1</v>
      </c>
      <c r="Q618" s="62" t="n">
        <v>0</v>
      </c>
      <c r="R618" s="62" t="n">
        <v>0</v>
      </c>
      <c r="S618" s="62" t="n">
        <v>0</v>
      </c>
      <c r="T618" s="62" t="n">
        <v>0</v>
      </c>
      <c r="U618" s="62"/>
      <c r="V618" s="62"/>
      <c r="W618" s="62"/>
      <c r="X618" s="62"/>
      <c r="Y618" s="62"/>
      <c r="Z618" s="62" t="s">
        <v>1294</v>
      </c>
      <c r="AA618" s="62" t="s">
        <v>1295</v>
      </c>
      <c r="AB618" s="62" t="n">
        <v>1</v>
      </c>
      <c r="AC618" s="62" t="n">
        <v>0</v>
      </c>
      <c r="AD618" s="62" t="n">
        <v>0</v>
      </c>
      <c r="AE618" s="62" t="n">
        <f aca="false">IF(AND(Dashboard!$C$9="Yes",AC618=1),0,1)</f>
        <v>1</v>
      </c>
      <c r="AF618" s="62" t="n">
        <v>1</v>
      </c>
    </row>
    <row r="619" customFormat="false" ht="15" hidden="false" customHeight="false" outlineLevel="0" collapsed="false">
      <c r="A619" s="62" t="n">
        <v>618</v>
      </c>
      <c r="B619" s="63" t="n">
        <v>46244.9376851852</v>
      </c>
      <c r="C619" s="64" t="n">
        <v>46244</v>
      </c>
      <c r="D619" s="62" t="s">
        <v>429</v>
      </c>
      <c r="E619" s="62" t="s">
        <v>207</v>
      </c>
      <c r="F619" s="62" t="s">
        <v>207</v>
      </c>
      <c r="G619" s="62" t="s">
        <v>208</v>
      </c>
      <c r="H619" s="62" t="s">
        <v>48</v>
      </c>
      <c r="I619" s="62" t="s">
        <v>49</v>
      </c>
      <c r="J619" s="62" t="s">
        <v>146</v>
      </c>
      <c r="K619" s="62" t="s">
        <v>209</v>
      </c>
      <c r="L619" s="62" t="s">
        <v>148</v>
      </c>
      <c r="M619" s="62" t="n">
        <v>0</v>
      </c>
      <c r="N619" s="62" t="n">
        <v>1</v>
      </c>
      <c r="O619" s="62" t="n">
        <v>1</v>
      </c>
      <c r="P619" s="62" t="n">
        <v>1</v>
      </c>
      <c r="Q619" s="62" t="n">
        <v>0</v>
      </c>
      <c r="R619" s="62" t="n">
        <v>0</v>
      </c>
      <c r="S619" s="62" t="n">
        <v>0</v>
      </c>
      <c r="T619" s="62" t="n">
        <v>0</v>
      </c>
      <c r="U619" s="62"/>
      <c r="V619" s="62"/>
      <c r="W619" s="62"/>
      <c r="X619" s="62"/>
      <c r="Y619" s="62"/>
      <c r="Z619" s="62" t="s">
        <v>1296</v>
      </c>
      <c r="AA619" s="62" t="s">
        <v>1297</v>
      </c>
      <c r="AB619" s="62" t="n">
        <v>1</v>
      </c>
      <c r="AC619" s="62" t="n">
        <v>0</v>
      </c>
      <c r="AD619" s="62" t="n">
        <v>1</v>
      </c>
      <c r="AE619" s="62" t="n">
        <f aca="false">IF(AND(Dashboard!$C$9="Yes",AC619=1),0,1)</f>
        <v>1</v>
      </c>
      <c r="AF619" s="62" t="n">
        <v>0</v>
      </c>
    </row>
    <row r="620" customFormat="false" ht="15" hidden="false" customHeight="false" outlineLevel="0" collapsed="false">
      <c r="A620" s="62" t="n">
        <v>619</v>
      </c>
      <c r="B620" s="63" t="n">
        <v>46244.9422453704</v>
      </c>
      <c r="C620" s="64" t="n">
        <v>46244</v>
      </c>
      <c r="D620" s="62" t="s">
        <v>429</v>
      </c>
      <c r="E620" s="62" t="s">
        <v>439</v>
      </c>
      <c r="F620" s="62" t="s">
        <v>439</v>
      </c>
      <c r="G620" s="62" t="s">
        <v>440</v>
      </c>
      <c r="H620" s="62" t="s">
        <v>51</v>
      </c>
      <c r="I620" s="62" t="s">
        <v>47</v>
      </c>
      <c r="J620" s="62" t="s">
        <v>146</v>
      </c>
      <c r="K620" s="62" t="s">
        <v>175</v>
      </c>
      <c r="L620" s="62" t="s">
        <v>148</v>
      </c>
      <c r="M620" s="62" t="n">
        <v>0</v>
      </c>
      <c r="N620" s="62" t="n">
        <v>1</v>
      </c>
      <c r="O620" s="62" t="n">
        <v>1</v>
      </c>
      <c r="P620" s="62" t="n">
        <v>1</v>
      </c>
      <c r="Q620" s="62" t="n">
        <v>0</v>
      </c>
      <c r="R620" s="62" t="n">
        <v>0</v>
      </c>
      <c r="S620" s="62" t="n">
        <v>0</v>
      </c>
      <c r="T620" s="62" t="n">
        <v>0</v>
      </c>
      <c r="U620" s="62"/>
      <c r="V620" s="62"/>
      <c r="W620" s="62"/>
      <c r="X620" s="62"/>
      <c r="Y620" s="62"/>
      <c r="Z620" s="62" t="s">
        <v>1298</v>
      </c>
      <c r="AA620" s="62" t="s">
        <v>1299</v>
      </c>
      <c r="AB620" s="62" t="n">
        <v>1</v>
      </c>
      <c r="AC620" s="62" t="n">
        <v>0</v>
      </c>
      <c r="AD620" s="62" t="n">
        <v>1</v>
      </c>
      <c r="AE620" s="62" t="n">
        <f aca="false">IF(AND(Dashboard!$C$9="Yes",AC620=1),0,1)</f>
        <v>1</v>
      </c>
      <c r="AF620" s="62" t="n">
        <v>1</v>
      </c>
    </row>
    <row r="621" customFormat="false" ht="15" hidden="false" customHeight="false" outlineLevel="0" collapsed="false">
      <c r="A621" s="62" t="n">
        <v>620</v>
      </c>
      <c r="B621" s="63" t="n">
        <v>46244.9530671296</v>
      </c>
      <c r="C621" s="64" t="n">
        <v>46244</v>
      </c>
      <c r="D621" s="62" t="s">
        <v>429</v>
      </c>
      <c r="E621" s="62" t="s">
        <v>586</v>
      </c>
      <c r="F621" s="62" t="s">
        <v>586</v>
      </c>
      <c r="G621" s="62" t="s">
        <v>587</v>
      </c>
      <c r="H621" s="62" t="s">
        <v>57</v>
      </c>
      <c r="I621" s="62" t="s">
        <v>47</v>
      </c>
      <c r="J621" s="62" t="s">
        <v>146</v>
      </c>
      <c r="K621" s="62" t="s">
        <v>175</v>
      </c>
      <c r="L621" s="62" t="s">
        <v>148</v>
      </c>
      <c r="M621" s="62" t="n">
        <v>0</v>
      </c>
      <c r="N621" s="62" t="n">
        <v>1</v>
      </c>
      <c r="O621" s="62" t="n">
        <v>1</v>
      </c>
      <c r="P621" s="62" t="n">
        <v>0</v>
      </c>
      <c r="Q621" s="62" t="n">
        <v>1</v>
      </c>
      <c r="R621" s="62" t="n">
        <v>0</v>
      </c>
      <c r="S621" s="62" t="n">
        <v>0</v>
      </c>
      <c r="T621" s="62" t="n">
        <v>0</v>
      </c>
      <c r="U621" s="62"/>
      <c r="V621" s="62"/>
      <c r="W621" s="62"/>
      <c r="X621" s="62"/>
      <c r="Y621" s="62"/>
      <c r="Z621" s="62" t="s">
        <v>1300</v>
      </c>
      <c r="AA621" s="62" t="s">
        <v>1301</v>
      </c>
      <c r="AB621" s="62" t="n">
        <v>1</v>
      </c>
      <c r="AC621" s="62" t="n">
        <v>0</v>
      </c>
      <c r="AD621" s="62" t="n">
        <v>1</v>
      </c>
      <c r="AE621" s="62" t="n">
        <f aca="false">IF(AND(Dashboard!$C$9="Yes",AC621=1),0,1)</f>
        <v>1</v>
      </c>
      <c r="AF621" s="62" t="n">
        <v>0</v>
      </c>
    </row>
    <row r="622" customFormat="false" ht="15" hidden="false" customHeight="false" outlineLevel="0" collapsed="false">
      <c r="A622" s="62" t="n">
        <v>621</v>
      </c>
      <c r="B622" s="63" t="n">
        <v>46244.9615046296</v>
      </c>
      <c r="C622" s="64" t="n">
        <v>46244</v>
      </c>
      <c r="D622" s="62" t="s">
        <v>429</v>
      </c>
      <c r="E622" s="62" t="s">
        <v>144</v>
      </c>
      <c r="F622" s="62" t="s">
        <v>144</v>
      </c>
      <c r="G622" s="62" t="s">
        <v>145</v>
      </c>
      <c r="H622" s="62" t="s">
        <v>59</v>
      </c>
      <c r="I622" s="62" t="s">
        <v>47</v>
      </c>
      <c r="J622" s="62" t="s">
        <v>146</v>
      </c>
      <c r="K622" s="62" t="s">
        <v>147</v>
      </c>
      <c r="L622" s="62" t="s">
        <v>148</v>
      </c>
      <c r="M622" s="62" t="n">
        <v>0</v>
      </c>
      <c r="N622" s="62" t="n">
        <v>2</v>
      </c>
      <c r="O622" s="62" t="n">
        <v>2</v>
      </c>
      <c r="P622" s="62" t="n">
        <v>1</v>
      </c>
      <c r="Q622" s="62" t="n">
        <v>1</v>
      </c>
      <c r="R622" s="62" t="n">
        <v>0</v>
      </c>
      <c r="S622" s="62" t="n">
        <v>0</v>
      </c>
      <c r="T622" s="62" t="n">
        <v>0</v>
      </c>
      <c r="U622" s="62"/>
      <c r="V622" s="62"/>
      <c r="W622" s="62"/>
      <c r="X622" s="62"/>
      <c r="Y622" s="62"/>
      <c r="Z622" s="62" t="s">
        <v>1302</v>
      </c>
      <c r="AA622" s="62" t="s">
        <v>1303</v>
      </c>
      <c r="AB622" s="62" t="n">
        <v>0</v>
      </c>
      <c r="AC622" s="62" t="n">
        <v>0</v>
      </c>
      <c r="AD622" s="62" t="n">
        <v>1</v>
      </c>
      <c r="AE622" s="62" t="n">
        <f aca="false">IF(AND(Dashboard!$C$9="Yes",AC622=1),0,1)</f>
        <v>1</v>
      </c>
      <c r="AF622" s="62" t="n">
        <v>1</v>
      </c>
    </row>
    <row r="623" customFormat="false" ht="15" hidden="false" customHeight="false" outlineLevel="0" collapsed="false">
      <c r="A623" s="62" t="n">
        <v>622</v>
      </c>
      <c r="B623" s="63" t="n">
        <v>46245.0030787037</v>
      </c>
      <c r="C623" s="64" t="n">
        <v>46244</v>
      </c>
      <c r="D623" s="62" t="s">
        <v>429</v>
      </c>
      <c r="E623" s="62" t="s">
        <v>713</v>
      </c>
      <c r="F623" s="62" t="s">
        <v>714</v>
      </c>
      <c r="G623" s="62" t="s">
        <v>153</v>
      </c>
      <c r="H623" s="62" t="s">
        <v>153</v>
      </c>
      <c r="I623" s="62" t="s">
        <v>153</v>
      </c>
      <c r="J623" s="62" t="s">
        <v>64</v>
      </c>
      <c r="K623" s="62" t="s">
        <v>64</v>
      </c>
      <c r="L623" s="62" t="s">
        <v>148</v>
      </c>
      <c r="M623" s="62" t="n">
        <v>0</v>
      </c>
      <c r="N623" s="62" t="n">
        <v>2</v>
      </c>
      <c r="O623" s="62" t="n">
        <v>2</v>
      </c>
      <c r="P623" s="62" t="n">
        <v>0</v>
      </c>
      <c r="Q623" s="62" t="n">
        <v>0</v>
      </c>
      <c r="R623" s="62" t="n">
        <v>0</v>
      </c>
      <c r="S623" s="62" t="n">
        <v>1</v>
      </c>
      <c r="T623" s="62" t="n">
        <v>1</v>
      </c>
      <c r="U623" s="62"/>
      <c r="V623" s="62"/>
      <c r="W623" s="62"/>
      <c r="X623" s="62"/>
      <c r="Y623" s="62"/>
      <c r="Z623" s="62" t="s">
        <v>1304</v>
      </c>
      <c r="AA623" s="62" t="s">
        <v>1305</v>
      </c>
      <c r="AB623" s="62" t="n">
        <v>0</v>
      </c>
      <c r="AC623" s="62" t="n">
        <v>0</v>
      </c>
      <c r="AD623" s="62" t="n">
        <v>0</v>
      </c>
      <c r="AE623" s="62" t="n">
        <f aca="false">IF(AND(Dashboard!$C$9="Yes",AC623=1),0,1)</f>
        <v>1</v>
      </c>
      <c r="AF623" s="62" t="n">
        <v>1</v>
      </c>
    </row>
    <row r="624" customFormat="false" ht="15" hidden="false" customHeight="false" outlineLevel="0" collapsed="false">
      <c r="A624" s="62" t="n">
        <v>623</v>
      </c>
      <c r="B624" s="63" t="n">
        <v>46245.0037962963</v>
      </c>
      <c r="C624" s="64" t="n">
        <v>46244</v>
      </c>
      <c r="D624" s="62" t="s">
        <v>429</v>
      </c>
      <c r="E624" s="62" t="s">
        <v>713</v>
      </c>
      <c r="F624" s="62" t="s">
        <v>714</v>
      </c>
      <c r="G624" s="62" t="s">
        <v>153</v>
      </c>
      <c r="H624" s="62" t="s">
        <v>153</v>
      </c>
      <c r="I624" s="62" t="s">
        <v>153</v>
      </c>
      <c r="J624" s="62" t="s">
        <v>64</v>
      </c>
      <c r="K624" s="62" t="s">
        <v>64</v>
      </c>
      <c r="L624" s="62" t="s">
        <v>4</v>
      </c>
      <c r="M624" s="62" t="n">
        <v>2</v>
      </c>
      <c r="N624" s="62" t="n">
        <v>0</v>
      </c>
      <c r="O624" s="62" t="n">
        <v>2</v>
      </c>
      <c r="P624" s="62" t="n">
        <v>0</v>
      </c>
      <c r="Q624" s="62" t="n">
        <v>0</v>
      </c>
      <c r="R624" s="62" t="n">
        <v>0</v>
      </c>
      <c r="S624" s="62" t="n">
        <v>0</v>
      </c>
      <c r="T624" s="62" t="n">
        <v>0</v>
      </c>
      <c r="U624" s="62"/>
      <c r="V624" s="62"/>
      <c r="W624" s="62"/>
      <c r="X624" s="62"/>
      <c r="Y624" s="62"/>
      <c r="Z624" s="62" t="s">
        <v>1304</v>
      </c>
      <c r="AA624" s="62" t="s">
        <v>1305</v>
      </c>
      <c r="AB624" s="62" t="n">
        <v>0</v>
      </c>
      <c r="AC624" s="62" t="n">
        <v>0</v>
      </c>
      <c r="AD624" s="62" t="n">
        <v>0</v>
      </c>
      <c r="AE624" s="62" t="n">
        <f aca="false">IF(AND(Dashboard!$C$9="Yes",AC624=1),0,1)</f>
        <v>1</v>
      </c>
      <c r="AF624" s="62" t="n">
        <v>0</v>
      </c>
    </row>
    <row r="625" customFormat="false" ht="15" hidden="false" customHeight="false" outlineLevel="0" collapsed="false">
      <c r="A625" s="62" t="n">
        <v>624</v>
      </c>
      <c r="B625" s="63" t="n">
        <v>46245.068287037</v>
      </c>
      <c r="C625" s="64" t="n">
        <v>46244</v>
      </c>
      <c r="D625" s="62" t="s">
        <v>429</v>
      </c>
      <c r="E625" s="62" t="s">
        <v>207</v>
      </c>
      <c r="F625" s="62" t="s">
        <v>207</v>
      </c>
      <c r="G625" s="62" t="s">
        <v>208</v>
      </c>
      <c r="H625" s="62" t="s">
        <v>48</v>
      </c>
      <c r="I625" s="62" t="s">
        <v>49</v>
      </c>
      <c r="J625" s="62" t="s">
        <v>146</v>
      </c>
      <c r="K625" s="62" t="s">
        <v>209</v>
      </c>
      <c r="L625" s="62" t="s">
        <v>148</v>
      </c>
      <c r="M625" s="62" t="n">
        <v>0</v>
      </c>
      <c r="N625" s="62" t="n">
        <v>1</v>
      </c>
      <c r="O625" s="62" t="n">
        <v>1</v>
      </c>
      <c r="P625" s="62" t="n">
        <v>1</v>
      </c>
      <c r="Q625" s="62" t="n">
        <v>0</v>
      </c>
      <c r="R625" s="62" t="n">
        <v>0</v>
      </c>
      <c r="S625" s="62" t="n">
        <v>0</v>
      </c>
      <c r="T625" s="62" t="n">
        <v>0</v>
      </c>
      <c r="U625" s="62"/>
      <c r="V625" s="62"/>
      <c r="W625" s="62"/>
      <c r="X625" s="62"/>
      <c r="Y625" s="62"/>
      <c r="Z625" s="62" t="s">
        <v>1306</v>
      </c>
      <c r="AA625" s="62" t="s">
        <v>1307</v>
      </c>
      <c r="AB625" s="62" t="n">
        <v>1</v>
      </c>
      <c r="AC625" s="62" t="n">
        <v>0</v>
      </c>
      <c r="AD625" s="62" t="n">
        <v>1</v>
      </c>
      <c r="AE625" s="62" t="n">
        <f aca="false">IF(AND(Dashboard!$C$9="Yes",AC625=1),0,1)</f>
        <v>1</v>
      </c>
      <c r="AF625" s="62" t="n">
        <v>0</v>
      </c>
    </row>
    <row r="626" customFormat="false" ht="15" hidden="false" customHeight="false" outlineLevel="0" collapsed="false">
      <c r="A626" s="62" t="n">
        <v>625</v>
      </c>
      <c r="B626" s="63" t="n">
        <v>46245.0817361111</v>
      </c>
      <c r="C626" s="64" t="n">
        <v>46244</v>
      </c>
      <c r="D626" s="62" t="s">
        <v>429</v>
      </c>
      <c r="E626" s="62" t="s">
        <v>212</v>
      </c>
      <c r="F626" s="62" t="s">
        <v>212</v>
      </c>
      <c r="G626" s="62" t="s">
        <v>213</v>
      </c>
      <c r="H626" s="62" t="s">
        <v>58</v>
      </c>
      <c r="I626" s="62" t="s">
        <v>49</v>
      </c>
      <c r="J626" s="62" t="s">
        <v>146</v>
      </c>
      <c r="K626" s="62" t="s">
        <v>175</v>
      </c>
      <c r="L626" s="62" t="s">
        <v>4</v>
      </c>
      <c r="M626" s="62" t="n">
        <v>1</v>
      </c>
      <c r="N626" s="62" t="n">
        <v>0</v>
      </c>
      <c r="O626" s="62" t="n">
        <v>1</v>
      </c>
      <c r="P626" s="62" t="n">
        <v>0</v>
      </c>
      <c r="Q626" s="62" t="n">
        <v>0</v>
      </c>
      <c r="R626" s="62" t="n">
        <v>0</v>
      </c>
      <c r="S626" s="62" t="n">
        <v>0</v>
      </c>
      <c r="T626" s="62" t="n">
        <v>0</v>
      </c>
      <c r="U626" s="62"/>
      <c r="V626" s="62"/>
      <c r="W626" s="62"/>
      <c r="X626" s="62"/>
      <c r="Y626" s="62"/>
      <c r="Z626" s="62" t="s">
        <v>1308</v>
      </c>
      <c r="AA626" s="62" t="s">
        <v>1309</v>
      </c>
      <c r="AB626" s="62" t="n">
        <v>1</v>
      </c>
      <c r="AC626" s="62" t="n">
        <v>0</v>
      </c>
      <c r="AD626" s="62" t="n">
        <v>1</v>
      </c>
      <c r="AE626" s="62" t="n">
        <f aca="false">IF(AND(Dashboard!$C$9="Yes",AC626=1),0,1)</f>
        <v>1</v>
      </c>
      <c r="AF626" s="62" t="n">
        <v>1</v>
      </c>
    </row>
    <row r="627" customFormat="false" ht="15" hidden="false" customHeight="false" outlineLevel="0" collapsed="false">
      <c r="A627" s="62" t="n">
        <v>626</v>
      </c>
      <c r="B627" s="63" t="n">
        <v>46245.1009837963</v>
      </c>
      <c r="C627" s="64" t="n">
        <v>46244</v>
      </c>
      <c r="D627" s="62" t="s">
        <v>429</v>
      </c>
      <c r="E627" s="62" t="s">
        <v>207</v>
      </c>
      <c r="F627" s="62" t="s">
        <v>207</v>
      </c>
      <c r="G627" s="62" t="s">
        <v>208</v>
      </c>
      <c r="H627" s="62" t="s">
        <v>48</v>
      </c>
      <c r="I627" s="62" t="s">
        <v>49</v>
      </c>
      <c r="J627" s="62" t="s">
        <v>146</v>
      </c>
      <c r="K627" s="62" t="s">
        <v>209</v>
      </c>
      <c r="L627" s="62" t="s">
        <v>148</v>
      </c>
      <c r="M627" s="62" t="n">
        <v>0</v>
      </c>
      <c r="N627" s="62" t="n">
        <v>1</v>
      </c>
      <c r="O627" s="62" t="n">
        <v>1</v>
      </c>
      <c r="P627" s="62" t="n">
        <v>0</v>
      </c>
      <c r="Q627" s="62" t="n">
        <v>0</v>
      </c>
      <c r="R627" s="62" t="n">
        <v>1</v>
      </c>
      <c r="S627" s="62" t="n">
        <v>0</v>
      </c>
      <c r="T627" s="62" t="n">
        <v>0</v>
      </c>
      <c r="U627" s="62"/>
      <c r="V627" s="62"/>
      <c r="W627" s="62"/>
      <c r="X627" s="62"/>
      <c r="Y627" s="62"/>
      <c r="Z627" s="62" t="s">
        <v>1310</v>
      </c>
      <c r="AA627" s="62" t="s">
        <v>1311</v>
      </c>
      <c r="AB627" s="62" t="n">
        <v>1</v>
      </c>
      <c r="AC627" s="62" t="n">
        <v>0</v>
      </c>
      <c r="AD627" s="62" t="n">
        <v>1</v>
      </c>
      <c r="AE627" s="62" t="n">
        <f aca="false">IF(AND(Dashboard!$C$9="Yes",AC627=1),0,1)</f>
        <v>1</v>
      </c>
      <c r="AF627" s="62" t="n">
        <v>0</v>
      </c>
    </row>
    <row r="628" customFormat="false" ht="15" hidden="false" customHeight="false" outlineLevel="0" collapsed="false">
      <c r="A628" s="62" t="n">
        <v>627</v>
      </c>
      <c r="B628" s="63" t="n">
        <v>46245.226400463</v>
      </c>
      <c r="C628" s="64" t="n">
        <v>46244</v>
      </c>
      <c r="D628" s="62" t="s">
        <v>429</v>
      </c>
      <c r="E628" s="62" t="s">
        <v>414</v>
      </c>
      <c r="F628" s="62" t="s">
        <v>414</v>
      </c>
      <c r="G628" s="62" t="s">
        <v>415</v>
      </c>
      <c r="H628" s="62" t="s">
        <v>57</v>
      </c>
      <c r="I628" s="62" t="s">
        <v>47</v>
      </c>
      <c r="J628" s="62" t="s">
        <v>146</v>
      </c>
      <c r="K628" s="62" t="s">
        <v>147</v>
      </c>
      <c r="L628" s="62" t="s">
        <v>148</v>
      </c>
      <c r="M628" s="62" t="n">
        <v>0</v>
      </c>
      <c r="N628" s="62" t="n">
        <v>1</v>
      </c>
      <c r="O628" s="62" t="n">
        <v>1</v>
      </c>
      <c r="P628" s="62" t="n">
        <v>1</v>
      </c>
      <c r="Q628" s="62" t="n">
        <v>0</v>
      </c>
      <c r="R628" s="62" t="n">
        <v>0</v>
      </c>
      <c r="S628" s="62" t="n">
        <v>0</v>
      </c>
      <c r="T628" s="62" t="n">
        <v>0</v>
      </c>
      <c r="U628" s="62"/>
      <c r="V628" s="62"/>
      <c r="W628" s="62"/>
      <c r="X628" s="62"/>
      <c r="Y628" s="62"/>
      <c r="Z628" s="62" t="s">
        <v>1312</v>
      </c>
      <c r="AA628" s="62" t="s">
        <v>1313</v>
      </c>
      <c r="AB628" s="62" t="n">
        <v>1</v>
      </c>
      <c r="AC628" s="62" t="n">
        <v>0</v>
      </c>
      <c r="AD628" s="62" t="n">
        <v>1</v>
      </c>
      <c r="AE628" s="62" t="n">
        <f aca="false">IF(AND(Dashboard!$C$9="Yes",AC628=1),0,1)</f>
        <v>1</v>
      </c>
      <c r="AF628" s="62" t="n">
        <v>1</v>
      </c>
    </row>
    <row r="629" customFormat="false" ht="15" hidden="false" customHeight="false" outlineLevel="0" collapsed="false">
      <c r="A629" s="62" t="n">
        <v>628</v>
      </c>
      <c r="B629" s="63" t="n">
        <v>46245.2539930556</v>
      </c>
      <c r="C629" s="64" t="n">
        <v>46244</v>
      </c>
      <c r="D629" s="62" t="s">
        <v>429</v>
      </c>
      <c r="E629" s="62" t="s">
        <v>1314</v>
      </c>
      <c r="F629" s="62" t="s">
        <v>1314</v>
      </c>
      <c r="G629" s="62" t="s">
        <v>1315</v>
      </c>
      <c r="H629" s="62" t="s">
        <v>51</v>
      </c>
      <c r="I629" s="62" t="s">
        <v>47</v>
      </c>
      <c r="J629" s="62" t="s">
        <v>146</v>
      </c>
      <c r="K629" s="62" t="s">
        <v>209</v>
      </c>
      <c r="L629" s="62" t="s">
        <v>4</v>
      </c>
      <c r="M629" s="62" t="n">
        <v>1</v>
      </c>
      <c r="N629" s="62" t="n">
        <v>0</v>
      </c>
      <c r="O629" s="62" t="n">
        <v>1</v>
      </c>
      <c r="P629" s="62" t="n">
        <v>0</v>
      </c>
      <c r="Q629" s="62" t="n">
        <v>0</v>
      </c>
      <c r="R629" s="62" t="n">
        <v>0</v>
      </c>
      <c r="S629" s="62" t="n">
        <v>0</v>
      </c>
      <c r="T629" s="62" t="n">
        <v>0</v>
      </c>
      <c r="U629" s="62"/>
      <c r="V629" s="62"/>
      <c r="W629" s="62"/>
      <c r="X629" s="62"/>
      <c r="Y629" s="62"/>
      <c r="Z629" s="62" t="s">
        <v>1316</v>
      </c>
      <c r="AA629" s="62" t="s">
        <v>1317</v>
      </c>
      <c r="AB629" s="62" t="n">
        <v>1</v>
      </c>
      <c r="AC629" s="62" t="n">
        <v>0</v>
      </c>
      <c r="AD629" s="62" t="n">
        <v>1</v>
      </c>
      <c r="AE629" s="62" t="n">
        <f aca="false">IF(AND(Dashboard!$C$9="Yes",AC629=1),0,1)</f>
        <v>1</v>
      </c>
      <c r="AF629" s="62" t="n">
        <v>1</v>
      </c>
    </row>
    <row r="630" customFormat="false" ht="15" hidden="false" customHeight="false" outlineLevel="0" collapsed="false">
      <c r="A630" s="62" t="n">
        <v>629</v>
      </c>
      <c r="B630" s="63" t="n">
        <v>46245.2693402778</v>
      </c>
      <c r="C630" s="64" t="n">
        <v>46244</v>
      </c>
      <c r="D630" s="62" t="s">
        <v>429</v>
      </c>
      <c r="E630" s="62" t="s">
        <v>239</v>
      </c>
      <c r="F630" s="62" t="s">
        <v>240</v>
      </c>
      <c r="G630" s="62" t="s">
        <v>153</v>
      </c>
      <c r="H630" s="62" t="s">
        <v>153</v>
      </c>
      <c r="I630" s="62" t="s">
        <v>153</v>
      </c>
      <c r="J630" s="62" t="s">
        <v>64</v>
      </c>
      <c r="K630" s="62" t="s">
        <v>64</v>
      </c>
      <c r="L630" s="62" t="s">
        <v>148</v>
      </c>
      <c r="M630" s="62" t="n">
        <v>0</v>
      </c>
      <c r="N630" s="62" t="n">
        <v>1</v>
      </c>
      <c r="O630" s="62" t="n">
        <v>1</v>
      </c>
      <c r="P630" s="62" t="n">
        <v>1</v>
      </c>
      <c r="Q630" s="62" t="n">
        <v>0</v>
      </c>
      <c r="R630" s="62" t="n">
        <v>0</v>
      </c>
      <c r="S630" s="62" t="n">
        <v>0</v>
      </c>
      <c r="T630" s="62" t="n">
        <v>0</v>
      </c>
      <c r="U630" s="62"/>
      <c r="V630" s="62"/>
      <c r="W630" s="62"/>
      <c r="X630" s="62"/>
      <c r="Y630" s="62"/>
      <c r="Z630" s="62" t="s">
        <v>1318</v>
      </c>
      <c r="AA630" s="62" t="s">
        <v>1319</v>
      </c>
      <c r="AB630" s="62" t="n">
        <v>1</v>
      </c>
      <c r="AC630" s="62" t="n">
        <v>0</v>
      </c>
      <c r="AD630" s="62" t="n">
        <v>0</v>
      </c>
      <c r="AE630" s="62" t="n">
        <f aca="false">IF(AND(Dashboard!$C$9="Yes",AC630=1),0,1)</f>
        <v>1</v>
      </c>
      <c r="AF630" s="62" t="n">
        <v>1</v>
      </c>
    </row>
    <row r="631" customFormat="false" ht="15" hidden="false" customHeight="false" outlineLevel="0" collapsed="false">
      <c r="A631" s="62" t="n">
        <v>630</v>
      </c>
      <c r="B631" s="63" t="n">
        <v>46245.2820949074</v>
      </c>
      <c r="C631" s="64" t="n">
        <v>46244</v>
      </c>
      <c r="D631" s="62" t="s">
        <v>429</v>
      </c>
      <c r="E631" s="62" t="s">
        <v>1172</v>
      </c>
      <c r="F631" s="62" t="s">
        <v>1172</v>
      </c>
      <c r="G631" s="62" t="s">
        <v>1173</v>
      </c>
      <c r="H631" s="62" t="s">
        <v>59</v>
      </c>
      <c r="I631" s="62" t="s">
        <v>47</v>
      </c>
      <c r="J631" s="62" t="s">
        <v>146</v>
      </c>
      <c r="K631" s="62" t="s">
        <v>209</v>
      </c>
      <c r="L631" s="62" t="s">
        <v>4</v>
      </c>
      <c r="M631" s="62" t="n">
        <v>1</v>
      </c>
      <c r="N631" s="62" t="n">
        <v>0</v>
      </c>
      <c r="O631" s="62" t="n">
        <v>1</v>
      </c>
      <c r="P631" s="62" t="n">
        <v>0</v>
      </c>
      <c r="Q631" s="62" t="n">
        <v>0</v>
      </c>
      <c r="R631" s="62" t="n">
        <v>0</v>
      </c>
      <c r="S631" s="62" t="n">
        <v>0</v>
      </c>
      <c r="T631" s="62" t="n">
        <v>0</v>
      </c>
      <c r="U631" s="62"/>
      <c r="V631" s="62"/>
      <c r="W631" s="62"/>
      <c r="X631" s="62"/>
      <c r="Y631" s="62"/>
      <c r="Z631" s="62" t="s">
        <v>1320</v>
      </c>
      <c r="AA631" s="62" t="s">
        <v>1321</v>
      </c>
      <c r="AB631" s="62" t="n">
        <v>0</v>
      </c>
      <c r="AC631" s="62" t="n">
        <v>0</v>
      </c>
      <c r="AD631" s="62" t="n">
        <v>1</v>
      </c>
      <c r="AE631" s="62" t="n">
        <f aca="false">IF(AND(Dashboard!$C$9="Yes",AC631=1),0,1)</f>
        <v>1</v>
      </c>
      <c r="AF631" s="62" t="n">
        <v>1</v>
      </c>
    </row>
    <row r="632" customFormat="false" ht="15" hidden="false" customHeight="false" outlineLevel="0" collapsed="false">
      <c r="A632" s="62" t="n">
        <v>631</v>
      </c>
      <c r="B632" s="63" t="n">
        <v>46245.2840046296</v>
      </c>
      <c r="C632" s="64" t="n">
        <v>46244</v>
      </c>
      <c r="D632" s="62" t="s">
        <v>429</v>
      </c>
      <c r="E632" s="62" t="s">
        <v>1172</v>
      </c>
      <c r="F632" s="62" t="s">
        <v>1172</v>
      </c>
      <c r="G632" s="62" t="s">
        <v>1173</v>
      </c>
      <c r="H632" s="62" t="s">
        <v>59</v>
      </c>
      <c r="I632" s="62" t="s">
        <v>47</v>
      </c>
      <c r="J632" s="62" t="s">
        <v>146</v>
      </c>
      <c r="K632" s="62" t="s">
        <v>209</v>
      </c>
      <c r="L632" s="62" t="s">
        <v>148</v>
      </c>
      <c r="M632" s="62" t="n">
        <v>0</v>
      </c>
      <c r="N632" s="62" t="n">
        <v>2</v>
      </c>
      <c r="O632" s="62" t="n">
        <v>2</v>
      </c>
      <c r="P632" s="62" t="n">
        <v>1</v>
      </c>
      <c r="Q632" s="62" t="n">
        <v>1</v>
      </c>
      <c r="R632" s="62" t="n">
        <v>0</v>
      </c>
      <c r="S632" s="62" t="n">
        <v>0</v>
      </c>
      <c r="T632" s="62" t="n">
        <v>0</v>
      </c>
      <c r="U632" s="62"/>
      <c r="V632" s="62"/>
      <c r="W632" s="62"/>
      <c r="X632" s="62"/>
      <c r="Y632" s="62"/>
      <c r="Z632" s="62" t="s">
        <v>1322</v>
      </c>
      <c r="AA632" s="62" t="s">
        <v>1323</v>
      </c>
      <c r="AB632" s="62" t="n">
        <v>1</v>
      </c>
      <c r="AC632" s="62" t="n">
        <v>0</v>
      </c>
      <c r="AD632" s="62" t="n">
        <v>1</v>
      </c>
      <c r="AE632" s="62" t="n">
        <f aca="false">IF(AND(Dashboard!$C$9="Yes",AC632=1),0,1)</f>
        <v>1</v>
      </c>
      <c r="AF632" s="62" t="n">
        <v>0</v>
      </c>
    </row>
    <row r="633" customFormat="false" ht="15" hidden="false" customHeight="false" outlineLevel="0" collapsed="false">
      <c r="A633" s="62" t="n">
        <v>632</v>
      </c>
      <c r="B633" s="63" t="n">
        <v>46245.2919328704</v>
      </c>
      <c r="C633" s="64" t="n">
        <v>46244</v>
      </c>
      <c r="D633" s="62" t="s">
        <v>429</v>
      </c>
      <c r="E633" s="62" t="s">
        <v>1314</v>
      </c>
      <c r="F633" s="62" t="s">
        <v>1314</v>
      </c>
      <c r="G633" s="62" t="s">
        <v>1315</v>
      </c>
      <c r="H633" s="62" t="s">
        <v>51</v>
      </c>
      <c r="I633" s="62" t="s">
        <v>47</v>
      </c>
      <c r="J633" s="62" t="s">
        <v>146</v>
      </c>
      <c r="K633" s="62" t="s">
        <v>209</v>
      </c>
      <c r="L633" s="62" t="s">
        <v>148</v>
      </c>
      <c r="M633" s="62" t="n">
        <v>0</v>
      </c>
      <c r="N633" s="62" t="n">
        <v>1</v>
      </c>
      <c r="O633" s="62" t="n">
        <v>1</v>
      </c>
      <c r="P633" s="62" t="n">
        <v>1</v>
      </c>
      <c r="Q633" s="62" t="n">
        <v>0</v>
      </c>
      <c r="R633" s="62" t="n">
        <v>0</v>
      </c>
      <c r="S633" s="62" t="n">
        <v>0</v>
      </c>
      <c r="T633" s="62" t="n">
        <v>0</v>
      </c>
      <c r="U633" s="62"/>
      <c r="V633" s="62"/>
      <c r="W633" s="62"/>
      <c r="X633" s="62"/>
      <c r="Y633" s="62"/>
      <c r="Z633" s="62" t="s">
        <v>1324</v>
      </c>
      <c r="AA633" s="62" t="s">
        <v>1325</v>
      </c>
      <c r="AB633" s="62" t="n">
        <v>1</v>
      </c>
      <c r="AC633" s="62" t="n">
        <v>0</v>
      </c>
      <c r="AD633" s="62" t="n">
        <v>1</v>
      </c>
      <c r="AE633" s="62" t="n">
        <f aca="false">IF(AND(Dashboard!$C$9="Yes",AC633=1),0,1)</f>
        <v>1</v>
      </c>
      <c r="AF633" s="62" t="n">
        <v>0</v>
      </c>
    </row>
    <row r="634" customFormat="false" ht="15" hidden="false" customHeight="false" outlineLevel="0" collapsed="false">
      <c r="A634" s="62" t="n">
        <v>633</v>
      </c>
      <c r="B634" s="63" t="n">
        <v>46245.2935416667</v>
      </c>
      <c r="C634" s="64" t="n">
        <v>46244</v>
      </c>
      <c r="D634" s="62" t="s">
        <v>429</v>
      </c>
      <c r="E634" s="62" t="s">
        <v>1326</v>
      </c>
      <c r="F634" s="62" t="s">
        <v>1326</v>
      </c>
      <c r="G634" s="62" t="s">
        <v>1327</v>
      </c>
      <c r="H634" s="62" t="s">
        <v>57</v>
      </c>
      <c r="I634" s="62" t="s">
        <v>47</v>
      </c>
      <c r="J634" s="62" t="s">
        <v>146</v>
      </c>
      <c r="K634" s="62" t="s">
        <v>175</v>
      </c>
      <c r="L634" s="62" t="s">
        <v>148</v>
      </c>
      <c r="M634" s="62" t="n">
        <v>0</v>
      </c>
      <c r="N634" s="62" t="n">
        <v>1</v>
      </c>
      <c r="O634" s="62" t="n">
        <v>1</v>
      </c>
      <c r="P634" s="62" t="n">
        <v>1</v>
      </c>
      <c r="Q634" s="62" t="n">
        <v>0</v>
      </c>
      <c r="R634" s="62" t="n">
        <v>0</v>
      </c>
      <c r="S634" s="62" t="n">
        <v>0</v>
      </c>
      <c r="T634" s="62" t="n">
        <v>0</v>
      </c>
      <c r="U634" s="62"/>
      <c r="V634" s="62"/>
      <c r="W634" s="62"/>
      <c r="X634" s="62"/>
      <c r="Y634" s="62"/>
      <c r="Z634" s="62" t="s">
        <v>1328</v>
      </c>
      <c r="AA634" s="62" t="s">
        <v>1329</v>
      </c>
      <c r="AB634" s="62" t="n">
        <v>1</v>
      </c>
      <c r="AC634" s="62" t="n">
        <v>0</v>
      </c>
      <c r="AD634" s="62" t="n">
        <v>1</v>
      </c>
      <c r="AE634" s="62" t="n">
        <f aca="false">IF(AND(Dashboard!$C$9="Yes",AC634=1),0,1)</f>
        <v>1</v>
      </c>
      <c r="AF634" s="62" t="n">
        <v>1</v>
      </c>
    </row>
    <row r="635" customFormat="false" ht="15" hidden="false" customHeight="false" outlineLevel="0" collapsed="false">
      <c r="A635" s="62" t="n">
        <v>634</v>
      </c>
      <c r="B635" s="63" t="n">
        <v>46245.6415972222</v>
      </c>
      <c r="C635" s="64" t="n">
        <v>46245</v>
      </c>
      <c r="D635" s="62" t="s">
        <v>501</v>
      </c>
      <c r="E635" s="62" t="s">
        <v>713</v>
      </c>
      <c r="F635" s="62" t="s">
        <v>714</v>
      </c>
      <c r="G635" s="62" t="s">
        <v>153</v>
      </c>
      <c r="H635" s="62" t="s">
        <v>153</v>
      </c>
      <c r="I635" s="62" t="s">
        <v>153</v>
      </c>
      <c r="J635" s="62" t="s">
        <v>64</v>
      </c>
      <c r="K635" s="62" t="s">
        <v>64</v>
      </c>
      <c r="L635" s="62" t="s">
        <v>148</v>
      </c>
      <c r="M635" s="62" t="n">
        <v>0</v>
      </c>
      <c r="N635" s="62" t="n">
        <v>1</v>
      </c>
      <c r="O635" s="62" t="n">
        <v>1</v>
      </c>
      <c r="P635" s="62" t="n">
        <v>0</v>
      </c>
      <c r="Q635" s="62" t="n">
        <v>0</v>
      </c>
      <c r="R635" s="62" t="n">
        <v>1</v>
      </c>
      <c r="S635" s="62" t="n">
        <v>0</v>
      </c>
      <c r="T635" s="62" t="n">
        <v>0</v>
      </c>
      <c r="U635" s="62"/>
      <c r="V635" s="62"/>
      <c r="W635" s="62"/>
      <c r="X635" s="62"/>
      <c r="Y635" s="62"/>
      <c r="Z635" s="62" t="s">
        <v>1330</v>
      </c>
      <c r="AA635" s="62" t="s">
        <v>237</v>
      </c>
      <c r="AB635" s="62" t="n">
        <v>0</v>
      </c>
      <c r="AC635" s="62" t="n">
        <v>0</v>
      </c>
      <c r="AD635" s="62" t="n">
        <v>0</v>
      </c>
      <c r="AE635" s="62" t="n">
        <f aca="false">IF(AND(Dashboard!$C$9="Yes",AC635=1),0,1)</f>
        <v>1</v>
      </c>
      <c r="AF635" s="62" t="n">
        <v>1</v>
      </c>
    </row>
    <row r="636" customFormat="false" ht="15" hidden="false" customHeight="false" outlineLevel="0" collapsed="false">
      <c r="A636" s="62" t="n">
        <v>635</v>
      </c>
      <c r="B636" s="63" t="n">
        <v>46245.727650463</v>
      </c>
      <c r="C636" s="64" t="n">
        <v>46245</v>
      </c>
      <c r="D636" s="62" t="s">
        <v>501</v>
      </c>
      <c r="E636" s="62" t="s">
        <v>307</v>
      </c>
      <c r="F636" s="62" t="s">
        <v>308</v>
      </c>
      <c r="G636" s="62" t="s">
        <v>153</v>
      </c>
      <c r="H636" s="62" t="s">
        <v>153</v>
      </c>
      <c r="I636" s="62" t="s">
        <v>153</v>
      </c>
      <c r="J636" s="62" t="s">
        <v>64</v>
      </c>
      <c r="K636" s="62" t="s">
        <v>64</v>
      </c>
      <c r="L636" s="62" t="s">
        <v>148</v>
      </c>
      <c r="M636" s="62" t="n">
        <v>0</v>
      </c>
      <c r="N636" s="62" t="n">
        <v>1</v>
      </c>
      <c r="O636" s="62" t="n">
        <v>1</v>
      </c>
      <c r="P636" s="62" t="n">
        <v>0</v>
      </c>
      <c r="Q636" s="62" t="n">
        <v>1</v>
      </c>
      <c r="R636" s="62" t="n">
        <v>0</v>
      </c>
      <c r="S636" s="62" t="n">
        <v>0</v>
      </c>
      <c r="T636" s="62" t="n">
        <v>0</v>
      </c>
      <c r="U636" s="62"/>
      <c r="V636" s="62"/>
      <c r="W636" s="62"/>
      <c r="X636" s="62"/>
      <c r="Y636" s="62"/>
      <c r="Z636" s="62" t="s">
        <v>1331</v>
      </c>
      <c r="AA636" s="62" t="s">
        <v>1332</v>
      </c>
      <c r="AB636" s="62" t="n">
        <v>1</v>
      </c>
      <c r="AC636" s="62" t="n">
        <v>0</v>
      </c>
      <c r="AD636" s="62" t="n">
        <v>0</v>
      </c>
      <c r="AE636" s="62" t="n">
        <f aca="false">IF(AND(Dashboard!$C$9="Yes",AC636=1),0,1)</f>
        <v>1</v>
      </c>
      <c r="AF636" s="62" t="n">
        <v>1</v>
      </c>
    </row>
    <row r="637" customFormat="false" ht="15" hidden="false" customHeight="false" outlineLevel="0" collapsed="false">
      <c r="A637" s="62" t="n">
        <v>636</v>
      </c>
      <c r="B637" s="63" t="n">
        <v>46245.7685069444</v>
      </c>
      <c r="C637" s="64" t="n">
        <v>46245</v>
      </c>
      <c r="D637" s="62" t="s">
        <v>501</v>
      </c>
      <c r="E637" s="62" t="s">
        <v>586</v>
      </c>
      <c r="F637" s="62" t="s">
        <v>586</v>
      </c>
      <c r="G637" s="62" t="s">
        <v>587</v>
      </c>
      <c r="H637" s="62" t="s">
        <v>57</v>
      </c>
      <c r="I637" s="62" t="s">
        <v>47</v>
      </c>
      <c r="J637" s="62" t="s">
        <v>146</v>
      </c>
      <c r="K637" s="62" t="s">
        <v>175</v>
      </c>
      <c r="L637" s="62" t="s">
        <v>4</v>
      </c>
      <c r="M637" s="62" t="n">
        <v>1</v>
      </c>
      <c r="N637" s="62" t="n">
        <v>0</v>
      </c>
      <c r="O637" s="62" t="n">
        <v>1</v>
      </c>
      <c r="P637" s="62" t="n">
        <v>0</v>
      </c>
      <c r="Q637" s="62" t="n">
        <v>0</v>
      </c>
      <c r="R637" s="62" t="n">
        <v>0</v>
      </c>
      <c r="S637" s="62" t="n">
        <v>0</v>
      </c>
      <c r="T637" s="62" t="n">
        <v>0</v>
      </c>
      <c r="U637" s="62"/>
      <c r="V637" s="62"/>
      <c r="W637" s="62"/>
      <c r="X637" s="62"/>
      <c r="Y637" s="62"/>
      <c r="Z637" s="62" t="s">
        <v>1333</v>
      </c>
      <c r="AA637" s="62" t="s">
        <v>1334</v>
      </c>
      <c r="AB637" s="62" t="n">
        <v>1</v>
      </c>
      <c r="AC637" s="62" t="n">
        <v>0</v>
      </c>
      <c r="AD637" s="62" t="n">
        <v>1</v>
      </c>
      <c r="AE637" s="62" t="n">
        <f aca="false">IF(AND(Dashboard!$C$9="Yes",AC637=1),0,1)</f>
        <v>1</v>
      </c>
      <c r="AF637" s="62" t="n">
        <v>1</v>
      </c>
    </row>
    <row r="638" customFormat="false" ht="15" hidden="false" customHeight="false" outlineLevel="0" collapsed="false">
      <c r="A638" s="62" t="n">
        <v>637</v>
      </c>
      <c r="B638" s="63" t="n">
        <v>46245.8031828704</v>
      </c>
      <c r="C638" s="64" t="n">
        <v>46245</v>
      </c>
      <c r="D638" s="62" t="s">
        <v>501</v>
      </c>
      <c r="E638" s="62" t="s">
        <v>1335</v>
      </c>
      <c r="F638" s="62" t="s">
        <v>586</v>
      </c>
      <c r="G638" s="62" t="s">
        <v>587</v>
      </c>
      <c r="H638" s="62" t="s">
        <v>57</v>
      </c>
      <c r="I638" s="62" t="s">
        <v>47</v>
      </c>
      <c r="J638" s="62" t="s">
        <v>146</v>
      </c>
      <c r="K638" s="62" t="s">
        <v>175</v>
      </c>
      <c r="L638" s="62" t="s">
        <v>148</v>
      </c>
      <c r="M638" s="62" t="n">
        <v>0</v>
      </c>
      <c r="N638" s="62" t="n">
        <v>1</v>
      </c>
      <c r="O638" s="62" t="n">
        <v>1</v>
      </c>
      <c r="P638" s="62" t="n">
        <v>1</v>
      </c>
      <c r="Q638" s="62" t="n">
        <v>0</v>
      </c>
      <c r="R638" s="62" t="n">
        <v>0</v>
      </c>
      <c r="S638" s="62" t="n">
        <v>0</v>
      </c>
      <c r="T638" s="62" t="n">
        <v>0</v>
      </c>
      <c r="U638" s="62"/>
      <c r="V638" s="62"/>
      <c r="W638" s="62"/>
      <c r="X638" s="62"/>
      <c r="Y638" s="62"/>
      <c r="Z638" s="62" t="s">
        <v>1336</v>
      </c>
      <c r="AA638" s="62" t="s">
        <v>1337</v>
      </c>
      <c r="AB638" s="62" t="n">
        <v>1</v>
      </c>
      <c r="AC638" s="62" t="n">
        <v>0</v>
      </c>
      <c r="AD638" s="62" t="n">
        <v>1</v>
      </c>
      <c r="AE638" s="62" t="n">
        <f aca="false">IF(AND(Dashboard!$C$9="Yes",AC638=1),0,1)</f>
        <v>1</v>
      </c>
      <c r="AF638" s="62" t="n">
        <v>0</v>
      </c>
    </row>
    <row r="639" customFormat="false" ht="15" hidden="false" customHeight="false" outlineLevel="0" collapsed="false">
      <c r="A639" s="62" t="n">
        <v>638</v>
      </c>
      <c r="B639" s="63" t="n">
        <v>46245.8311226852</v>
      </c>
      <c r="C639" s="64" t="n">
        <v>46245</v>
      </c>
      <c r="D639" s="62" t="s">
        <v>501</v>
      </c>
      <c r="E639" s="62" t="s">
        <v>207</v>
      </c>
      <c r="F639" s="62" t="s">
        <v>207</v>
      </c>
      <c r="G639" s="62" t="s">
        <v>208</v>
      </c>
      <c r="H639" s="62" t="s">
        <v>48</v>
      </c>
      <c r="I639" s="62" t="s">
        <v>49</v>
      </c>
      <c r="J639" s="62" t="s">
        <v>146</v>
      </c>
      <c r="K639" s="62" t="s">
        <v>209</v>
      </c>
      <c r="L639" s="62" t="s">
        <v>148</v>
      </c>
      <c r="M639" s="62" t="n">
        <v>0</v>
      </c>
      <c r="N639" s="62" t="n">
        <v>1</v>
      </c>
      <c r="O639" s="62" t="n">
        <v>1</v>
      </c>
      <c r="P639" s="62" t="n">
        <v>1</v>
      </c>
      <c r="Q639" s="62" t="n">
        <v>0</v>
      </c>
      <c r="R639" s="62" t="n">
        <v>0</v>
      </c>
      <c r="S639" s="62" t="n">
        <v>0</v>
      </c>
      <c r="T639" s="62" t="n">
        <v>0</v>
      </c>
      <c r="U639" s="62"/>
      <c r="V639" s="62"/>
      <c r="W639" s="62"/>
      <c r="X639" s="62"/>
      <c r="Y639" s="62"/>
      <c r="Z639" s="62" t="s">
        <v>1338</v>
      </c>
      <c r="AA639" s="62" t="s">
        <v>1339</v>
      </c>
      <c r="AB639" s="62" t="n">
        <v>1</v>
      </c>
      <c r="AC639" s="62" t="n">
        <v>0</v>
      </c>
      <c r="AD639" s="62" t="n">
        <v>1</v>
      </c>
      <c r="AE639" s="62" t="n">
        <f aca="false">IF(AND(Dashboard!$C$9="Yes",AC639=1),0,1)</f>
        <v>1</v>
      </c>
      <c r="AF639" s="62" t="n">
        <v>1</v>
      </c>
    </row>
    <row r="640" customFormat="false" ht="15" hidden="false" customHeight="false" outlineLevel="0" collapsed="false">
      <c r="A640" s="62" t="n">
        <v>639</v>
      </c>
      <c r="B640" s="63" t="n">
        <v>46245.9240277778</v>
      </c>
      <c r="C640" s="64" t="n">
        <v>46245</v>
      </c>
      <c r="D640" s="62" t="s">
        <v>501</v>
      </c>
      <c r="E640" s="62" t="s">
        <v>164</v>
      </c>
      <c r="F640" s="62" t="s">
        <v>164</v>
      </c>
      <c r="G640" s="62" t="s">
        <v>165</v>
      </c>
      <c r="H640" s="62" t="s">
        <v>51</v>
      </c>
      <c r="I640" s="62" t="s">
        <v>47</v>
      </c>
      <c r="J640" s="62" t="s">
        <v>146</v>
      </c>
      <c r="K640" s="62" t="s">
        <v>147</v>
      </c>
      <c r="L640" s="62" t="s">
        <v>148</v>
      </c>
      <c r="M640" s="62" t="n">
        <v>0</v>
      </c>
      <c r="N640" s="62" t="n">
        <v>1</v>
      </c>
      <c r="O640" s="62" t="n">
        <v>1</v>
      </c>
      <c r="P640" s="62" t="n">
        <v>1</v>
      </c>
      <c r="Q640" s="62" t="n">
        <v>0</v>
      </c>
      <c r="R640" s="62" t="n">
        <v>0</v>
      </c>
      <c r="S640" s="62" t="n">
        <v>0</v>
      </c>
      <c r="T640" s="62" t="n">
        <v>0</v>
      </c>
      <c r="U640" s="62"/>
      <c r="V640" s="62"/>
      <c r="W640" s="62"/>
      <c r="X640" s="62"/>
      <c r="Y640" s="62"/>
      <c r="Z640" s="62" t="s">
        <v>1340</v>
      </c>
      <c r="AA640" s="62" t="s">
        <v>1341</v>
      </c>
      <c r="AB640" s="62" t="n">
        <v>1</v>
      </c>
      <c r="AC640" s="62" t="n">
        <v>0</v>
      </c>
      <c r="AD640" s="62" t="n">
        <v>1</v>
      </c>
      <c r="AE640" s="62" t="n">
        <f aca="false">IF(AND(Dashboard!$C$9="Yes",AC640=1),0,1)</f>
        <v>1</v>
      </c>
      <c r="AF640" s="62" t="n">
        <v>1</v>
      </c>
    </row>
    <row r="641" customFormat="false" ht="15" hidden="false" customHeight="false" outlineLevel="0" collapsed="false">
      <c r="A641" s="62" t="n">
        <v>640</v>
      </c>
      <c r="B641" s="63" t="n">
        <v>46245.9809027778</v>
      </c>
      <c r="C641" s="64" t="n">
        <v>46245</v>
      </c>
      <c r="D641" s="62" t="s">
        <v>501</v>
      </c>
      <c r="E641" s="62" t="s">
        <v>307</v>
      </c>
      <c r="F641" s="62" t="s">
        <v>308</v>
      </c>
      <c r="G641" s="62" t="s">
        <v>153</v>
      </c>
      <c r="H641" s="62" t="s">
        <v>153</v>
      </c>
      <c r="I641" s="62" t="s">
        <v>153</v>
      </c>
      <c r="J641" s="62" t="s">
        <v>64</v>
      </c>
      <c r="K641" s="62" t="s">
        <v>64</v>
      </c>
      <c r="L641" s="62" t="s">
        <v>148</v>
      </c>
      <c r="M641" s="62" t="n">
        <v>0</v>
      </c>
      <c r="N641" s="62" t="n">
        <v>1</v>
      </c>
      <c r="O641" s="62" t="n">
        <v>1</v>
      </c>
      <c r="P641" s="62" t="n">
        <v>1</v>
      </c>
      <c r="Q641" s="62" t="n">
        <v>0</v>
      </c>
      <c r="R641" s="62" t="n">
        <v>0</v>
      </c>
      <c r="S641" s="62" t="n">
        <v>0</v>
      </c>
      <c r="T641" s="62" t="n">
        <v>0</v>
      </c>
      <c r="U641" s="62"/>
      <c r="V641" s="62"/>
      <c r="W641" s="62"/>
      <c r="X641" s="62"/>
      <c r="Y641" s="62"/>
      <c r="Z641" s="62" t="s">
        <v>1342</v>
      </c>
      <c r="AA641" s="62" t="s">
        <v>1343</v>
      </c>
      <c r="AB641" s="62" t="n">
        <v>1</v>
      </c>
      <c r="AC641" s="62" t="n">
        <v>0</v>
      </c>
      <c r="AD641" s="62" t="n">
        <v>0</v>
      </c>
      <c r="AE641" s="62" t="n">
        <f aca="false">IF(AND(Dashboard!$C$9="Yes",AC641=1),0,1)</f>
        <v>1</v>
      </c>
      <c r="AF641" s="62" t="n">
        <v>0</v>
      </c>
    </row>
    <row r="642" customFormat="false" ht="15" hidden="false" customHeight="false" outlineLevel="0" collapsed="false">
      <c r="A642" s="62" t="n">
        <v>641</v>
      </c>
      <c r="B642" s="63" t="n">
        <v>46245.9856365741</v>
      </c>
      <c r="C642" s="64" t="n">
        <v>46245</v>
      </c>
      <c r="D642" s="62" t="s">
        <v>501</v>
      </c>
      <c r="E642" s="62" t="s">
        <v>1344</v>
      </c>
      <c r="F642" s="62" t="s">
        <v>1344</v>
      </c>
      <c r="G642" s="62" t="s">
        <v>1345</v>
      </c>
      <c r="H642" s="62" t="s">
        <v>48</v>
      </c>
      <c r="I642" s="62" t="s">
        <v>49</v>
      </c>
      <c r="J642" s="62" t="s">
        <v>146</v>
      </c>
      <c r="K642" s="62" t="s">
        <v>209</v>
      </c>
      <c r="L642" s="62" t="s">
        <v>148</v>
      </c>
      <c r="M642" s="62" t="n">
        <v>0</v>
      </c>
      <c r="N642" s="62" t="n">
        <v>1</v>
      </c>
      <c r="O642" s="62" t="n">
        <v>1</v>
      </c>
      <c r="P642" s="62" t="n">
        <v>1</v>
      </c>
      <c r="Q642" s="62" t="n">
        <v>0</v>
      </c>
      <c r="R642" s="62" t="n">
        <v>0</v>
      </c>
      <c r="S642" s="62" t="n">
        <v>0</v>
      </c>
      <c r="T642" s="62" t="n">
        <v>0</v>
      </c>
      <c r="U642" s="62"/>
      <c r="V642" s="62"/>
      <c r="W642" s="62"/>
      <c r="X642" s="62"/>
      <c r="Y642" s="62"/>
      <c r="Z642" s="62" t="s">
        <v>1346</v>
      </c>
      <c r="AA642" s="62" t="s">
        <v>1347</v>
      </c>
      <c r="AB642" s="62" t="n">
        <v>1</v>
      </c>
      <c r="AC642" s="62" t="n">
        <v>0</v>
      </c>
      <c r="AD642" s="62" t="n">
        <v>1</v>
      </c>
      <c r="AE642" s="62" t="n">
        <f aca="false">IF(AND(Dashboard!$C$9="Yes",AC642=1),0,1)</f>
        <v>1</v>
      </c>
      <c r="AF642" s="62" t="n">
        <v>1</v>
      </c>
    </row>
    <row r="643" customFormat="false" ht="15" hidden="false" customHeight="false" outlineLevel="0" collapsed="false">
      <c r="A643" s="62" t="n">
        <v>642</v>
      </c>
      <c r="B643" s="63" t="n">
        <v>46246.0555208333</v>
      </c>
      <c r="C643" s="64" t="n">
        <v>46245</v>
      </c>
      <c r="D643" s="62" t="s">
        <v>501</v>
      </c>
      <c r="E643" s="62" t="s">
        <v>212</v>
      </c>
      <c r="F643" s="62" t="s">
        <v>212</v>
      </c>
      <c r="G643" s="62" t="s">
        <v>213</v>
      </c>
      <c r="H643" s="62" t="s">
        <v>58</v>
      </c>
      <c r="I643" s="62" t="s">
        <v>49</v>
      </c>
      <c r="J643" s="62" t="s">
        <v>146</v>
      </c>
      <c r="K643" s="62" t="s">
        <v>175</v>
      </c>
      <c r="L643" s="62" t="s">
        <v>4</v>
      </c>
      <c r="M643" s="62" t="n">
        <v>1</v>
      </c>
      <c r="N643" s="62" t="n">
        <v>0</v>
      </c>
      <c r="O643" s="62" t="n">
        <v>1</v>
      </c>
      <c r="P643" s="62" t="n">
        <v>0</v>
      </c>
      <c r="Q643" s="62" t="n">
        <v>0</v>
      </c>
      <c r="R643" s="62" t="n">
        <v>0</v>
      </c>
      <c r="S643" s="62" t="n">
        <v>0</v>
      </c>
      <c r="T643" s="62" t="n">
        <v>0</v>
      </c>
      <c r="U643" s="62"/>
      <c r="V643" s="62"/>
      <c r="W643" s="62"/>
      <c r="X643" s="62"/>
      <c r="Y643" s="62"/>
      <c r="Z643" s="62" t="s">
        <v>1348</v>
      </c>
      <c r="AA643" s="62" t="s">
        <v>1349</v>
      </c>
      <c r="AB643" s="62" t="n">
        <v>1</v>
      </c>
      <c r="AC643" s="62" t="n">
        <v>0</v>
      </c>
      <c r="AD643" s="62" t="n">
        <v>1</v>
      </c>
      <c r="AE643" s="62" t="n">
        <f aca="false">IF(AND(Dashboard!$C$9="Yes",AC643=1),0,1)</f>
        <v>1</v>
      </c>
      <c r="AF643" s="62" t="n">
        <v>1</v>
      </c>
    </row>
    <row r="644" customFormat="false" ht="15" hidden="false" customHeight="false" outlineLevel="0" collapsed="false">
      <c r="A644" s="62" t="n">
        <v>643</v>
      </c>
      <c r="B644" s="63" t="n">
        <v>46246.072650463</v>
      </c>
      <c r="C644" s="64" t="n">
        <v>46245</v>
      </c>
      <c r="D644" s="62" t="s">
        <v>501</v>
      </c>
      <c r="E644" s="62" t="s">
        <v>1350</v>
      </c>
      <c r="F644" s="62" t="s">
        <v>1351</v>
      </c>
      <c r="G644" s="62" t="s">
        <v>153</v>
      </c>
      <c r="H644" s="62" t="s">
        <v>153</v>
      </c>
      <c r="I644" s="62" t="s">
        <v>153</v>
      </c>
      <c r="J644" s="62" t="s">
        <v>64</v>
      </c>
      <c r="K644" s="62" t="s">
        <v>64</v>
      </c>
      <c r="L644" s="62" t="s">
        <v>4</v>
      </c>
      <c r="M644" s="62" t="n">
        <v>1</v>
      </c>
      <c r="N644" s="62" t="n">
        <v>0</v>
      </c>
      <c r="O644" s="62" t="n">
        <v>1</v>
      </c>
      <c r="P644" s="62" t="n">
        <v>0</v>
      </c>
      <c r="Q644" s="62" t="n">
        <v>0</v>
      </c>
      <c r="R644" s="62" t="n">
        <v>0</v>
      </c>
      <c r="S644" s="62" t="n">
        <v>0</v>
      </c>
      <c r="T644" s="62" t="n">
        <v>0</v>
      </c>
      <c r="U644" s="62"/>
      <c r="V644" s="62"/>
      <c r="W644" s="62"/>
      <c r="X644" s="62"/>
      <c r="Y644" s="62"/>
      <c r="Z644" s="62" t="s">
        <v>1352</v>
      </c>
      <c r="AA644" s="62" t="s">
        <v>1353</v>
      </c>
      <c r="AB644" s="62" t="n">
        <v>1</v>
      </c>
      <c r="AC644" s="62" t="n">
        <v>0</v>
      </c>
      <c r="AD644" s="62" t="n">
        <v>0</v>
      </c>
      <c r="AE644" s="62" t="n">
        <f aca="false">IF(AND(Dashboard!$C$9="Yes",AC644=1),0,1)</f>
        <v>1</v>
      </c>
      <c r="AF644" s="62" t="n">
        <v>1</v>
      </c>
    </row>
    <row r="645" customFormat="false" ht="15" hidden="false" customHeight="false" outlineLevel="0" collapsed="false">
      <c r="A645" s="62" t="n">
        <v>644</v>
      </c>
      <c r="B645" s="63" t="n">
        <v>46246.0838773148</v>
      </c>
      <c r="C645" s="64" t="n">
        <v>46245</v>
      </c>
      <c r="D645" s="62" t="s">
        <v>501</v>
      </c>
      <c r="E645" s="62" t="s">
        <v>173</v>
      </c>
      <c r="F645" s="62" t="s">
        <v>173</v>
      </c>
      <c r="G645" s="62" t="s">
        <v>174</v>
      </c>
      <c r="H645" s="62" t="s">
        <v>58</v>
      </c>
      <c r="I645" s="62" t="s">
        <v>49</v>
      </c>
      <c r="J645" s="62" t="s">
        <v>146</v>
      </c>
      <c r="K645" s="62" t="s">
        <v>175</v>
      </c>
      <c r="L645" s="62" t="s">
        <v>148</v>
      </c>
      <c r="M645" s="62" t="n">
        <v>0</v>
      </c>
      <c r="N645" s="62" t="n">
        <v>1</v>
      </c>
      <c r="O645" s="62" t="n">
        <v>1</v>
      </c>
      <c r="P645" s="62" t="n">
        <v>1</v>
      </c>
      <c r="Q645" s="62" t="n">
        <v>0</v>
      </c>
      <c r="R645" s="62" t="n">
        <v>0</v>
      </c>
      <c r="S645" s="62" t="n">
        <v>0</v>
      </c>
      <c r="T645" s="62" t="n">
        <v>0</v>
      </c>
      <c r="U645" s="62"/>
      <c r="V645" s="62"/>
      <c r="W645" s="62"/>
      <c r="X645" s="62"/>
      <c r="Y645" s="62"/>
      <c r="Z645" s="62" t="s">
        <v>1354</v>
      </c>
      <c r="AA645" s="62" t="s">
        <v>1355</v>
      </c>
      <c r="AB645" s="62" t="n">
        <v>1</v>
      </c>
      <c r="AC645" s="62" t="n">
        <v>0</v>
      </c>
      <c r="AD645" s="62" t="n">
        <v>1</v>
      </c>
      <c r="AE645" s="62" t="n">
        <f aca="false">IF(AND(Dashboard!$C$9="Yes",AC645=1),0,1)</f>
        <v>1</v>
      </c>
      <c r="AF645" s="62" t="n">
        <v>1</v>
      </c>
    </row>
    <row r="646" customFormat="false" ht="15" hidden="false" customHeight="false" outlineLevel="0" collapsed="false">
      <c r="A646" s="62" t="n">
        <v>645</v>
      </c>
      <c r="B646" s="63" t="n">
        <v>46246.0964814815</v>
      </c>
      <c r="C646" s="64" t="n">
        <v>46245</v>
      </c>
      <c r="D646" s="62" t="s">
        <v>501</v>
      </c>
      <c r="E646" s="62" t="s">
        <v>196</v>
      </c>
      <c r="F646" s="62" t="s">
        <v>196</v>
      </c>
      <c r="G646" s="62" t="s">
        <v>197</v>
      </c>
      <c r="H646" s="62" t="s">
        <v>57</v>
      </c>
      <c r="I646" s="62" t="s">
        <v>47</v>
      </c>
      <c r="J646" s="62" t="s">
        <v>146</v>
      </c>
      <c r="K646" s="62" t="s">
        <v>175</v>
      </c>
      <c r="L646" s="62" t="s">
        <v>4</v>
      </c>
      <c r="M646" s="62" t="n">
        <v>2</v>
      </c>
      <c r="N646" s="62" t="n">
        <v>0</v>
      </c>
      <c r="O646" s="62" t="n">
        <v>2</v>
      </c>
      <c r="P646" s="62" t="n">
        <v>0</v>
      </c>
      <c r="Q646" s="62" t="n">
        <v>0</v>
      </c>
      <c r="R646" s="62" t="n">
        <v>0</v>
      </c>
      <c r="S646" s="62" t="n">
        <v>0</v>
      </c>
      <c r="T646" s="62" t="n">
        <v>0</v>
      </c>
      <c r="U646" s="62"/>
      <c r="V646" s="62"/>
      <c r="W646" s="62"/>
      <c r="X646" s="62"/>
      <c r="Y646" s="62"/>
      <c r="Z646" s="62" t="s">
        <v>1356</v>
      </c>
      <c r="AA646" s="62" t="s">
        <v>1357</v>
      </c>
      <c r="AB646" s="62" t="n">
        <v>1</v>
      </c>
      <c r="AC646" s="62" t="n">
        <v>0</v>
      </c>
      <c r="AD646" s="62" t="n">
        <v>1</v>
      </c>
      <c r="AE646" s="62" t="n">
        <f aca="false">IF(AND(Dashboard!$C$9="Yes",AC646=1),0,1)</f>
        <v>1</v>
      </c>
      <c r="AF646" s="62" t="n">
        <v>1</v>
      </c>
    </row>
    <row r="647" customFormat="false" ht="15" hidden="false" customHeight="false" outlineLevel="0" collapsed="false">
      <c r="A647" s="62" t="n">
        <v>646</v>
      </c>
      <c r="B647" s="63" t="n">
        <v>46246.1639699074</v>
      </c>
      <c r="C647" s="64" t="n">
        <v>46245</v>
      </c>
      <c r="D647" s="62" t="s">
        <v>501</v>
      </c>
      <c r="E647" s="62" t="s">
        <v>173</v>
      </c>
      <c r="F647" s="62" t="s">
        <v>173</v>
      </c>
      <c r="G647" s="62" t="s">
        <v>174</v>
      </c>
      <c r="H647" s="62" t="s">
        <v>58</v>
      </c>
      <c r="I647" s="62" t="s">
        <v>49</v>
      </c>
      <c r="J647" s="62" t="s">
        <v>146</v>
      </c>
      <c r="K647" s="62" t="s">
        <v>175</v>
      </c>
      <c r="L647" s="62" t="s">
        <v>4</v>
      </c>
      <c r="M647" s="62" t="n">
        <v>1</v>
      </c>
      <c r="N647" s="62" t="n">
        <v>0</v>
      </c>
      <c r="O647" s="62" t="n">
        <v>1</v>
      </c>
      <c r="P647" s="62" t="n">
        <v>0</v>
      </c>
      <c r="Q647" s="62" t="n">
        <v>0</v>
      </c>
      <c r="R647" s="62" t="n">
        <v>0</v>
      </c>
      <c r="S647" s="62" t="n">
        <v>0</v>
      </c>
      <c r="T647" s="62" t="n">
        <v>0</v>
      </c>
      <c r="U647" s="62"/>
      <c r="V647" s="62"/>
      <c r="W647" s="62"/>
      <c r="X647" s="62"/>
      <c r="Y647" s="62"/>
      <c r="Z647" s="62" t="s">
        <v>1358</v>
      </c>
      <c r="AA647" s="62" t="s">
        <v>1359</v>
      </c>
      <c r="AB647" s="62" t="n">
        <v>1</v>
      </c>
      <c r="AC647" s="62" t="n">
        <v>0</v>
      </c>
      <c r="AD647" s="62" t="n">
        <v>1</v>
      </c>
      <c r="AE647" s="62" t="n">
        <f aca="false">IF(AND(Dashboard!$C$9="Yes",AC647=1),0,1)</f>
        <v>1</v>
      </c>
      <c r="AF647" s="62" t="n">
        <v>0</v>
      </c>
    </row>
    <row r="648" customFormat="false" ht="15" hidden="false" customHeight="false" outlineLevel="0" collapsed="false">
      <c r="A648" s="62" t="n">
        <v>647</v>
      </c>
      <c r="B648" s="63" t="n">
        <v>46246.1657060185</v>
      </c>
      <c r="C648" s="64" t="n">
        <v>46245</v>
      </c>
      <c r="D648" s="62" t="s">
        <v>501</v>
      </c>
      <c r="E648" s="62" t="s">
        <v>173</v>
      </c>
      <c r="F648" s="62" t="s">
        <v>173</v>
      </c>
      <c r="G648" s="62" t="s">
        <v>174</v>
      </c>
      <c r="H648" s="62" t="s">
        <v>58</v>
      </c>
      <c r="I648" s="62" t="s">
        <v>49</v>
      </c>
      <c r="J648" s="62" t="s">
        <v>146</v>
      </c>
      <c r="K648" s="62" t="s">
        <v>175</v>
      </c>
      <c r="L648" s="62" t="s">
        <v>148</v>
      </c>
      <c r="M648" s="62" t="n">
        <v>0</v>
      </c>
      <c r="N648" s="62" t="n">
        <v>2</v>
      </c>
      <c r="O648" s="62" t="n">
        <v>2</v>
      </c>
      <c r="P648" s="62" t="n">
        <v>0</v>
      </c>
      <c r="Q648" s="62" t="n">
        <v>0</v>
      </c>
      <c r="R648" s="62" t="n">
        <v>0</v>
      </c>
      <c r="S648" s="62" t="n">
        <v>1</v>
      </c>
      <c r="T648" s="62" t="n">
        <v>1</v>
      </c>
      <c r="U648" s="62"/>
      <c r="V648" s="62"/>
      <c r="W648" s="62"/>
      <c r="X648" s="62"/>
      <c r="Y648" s="62"/>
      <c r="Z648" s="62" t="s">
        <v>1358</v>
      </c>
      <c r="AA648" s="62" t="s">
        <v>1359</v>
      </c>
      <c r="AB648" s="62" t="n">
        <v>1</v>
      </c>
      <c r="AC648" s="62" t="n">
        <v>0</v>
      </c>
      <c r="AD648" s="62" t="n">
        <v>1</v>
      </c>
      <c r="AE648" s="62" t="n">
        <f aca="false">IF(AND(Dashboard!$C$9="Yes",AC648=1),0,1)</f>
        <v>1</v>
      </c>
      <c r="AF648" s="62" t="n">
        <v>0</v>
      </c>
    </row>
    <row r="649" customFormat="false" ht="15" hidden="false" customHeight="false" outlineLevel="0" collapsed="false">
      <c r="A649" s="62" t="n">
        <v>648</v>
      </c>
      <c r="B649" s="63" t="n">
        <v>46246.7299652778</v>
      </c>
      <c r="C649" s="64" t="n">
        <v>46246</v>
      </c>
      <c r="D649" s="62" t="s">
        <v>143</v>
      </c>
      <c r="E649" s="62" t="s">
        <v>939</v>
      </c>
      <c r="F649" s="62" t="s">
        <v>939</v>
      </c>
      <c r="G649" s="62" t="s">
        <v>940</v>
      </c>
      <c r="H649" s="62" t="s">
        <v>57</v>
      </c>
      <c r="I649" s="62" t="s">
        <v>47</v>
      </c>
      <c r="J649" s="62" t="s">
        <v>146</v>
      </c>
      <c r="K649" s="62" t="s">
        <v>147</v>
      </c>
      <c r="L649" s="62" t="s">
        <v>148</v>
      </c>
      <c r="M649" s="62" t="n">
        <v>0</v>
      </c>
      <c r="N649" s="62" t="n">
        <v>1</v>
      </c>
      <c r="O649" s="62" t="n">
        <v>1</v>
      </c>
      <c r="P649" s="62" t="n">
        <v>0</v>
      </c>
      <c r="Q649" s="62" t="n">
        <v>0</v>
      </c>
      <c r="R649" s="62" t="n">
        <v>1</v>
      </c>
      <c r="S649" s="62" t="n">
        <v>0</v>
      </c>
      <c r="T649" s="62" t="n">
        <v>0</v>
      </c>
      <c r="U649" s="62"/>
      <c r="V649" s="62"/>
      <c r="W649" s="62"/>
      <c r="X649" s="62"/>
      <c r="Y649" s="62"/>
      <c r="Z649" s="62" t="s">
        <v>1360</v>
      </c>
      <c r="AA649" s="62" t="s">
        <v>1361</v>
      </c>
      <c r="AB649" s="62" t="n">
        <v>1</v>
      </c>
      <c r="AC649" s="62" t="n">
        <v>0</v>
      </c>
      <c r="AD649" s="62" t="n">
        <v>1</v>
      </c>
      <c r="AE649" s="62" t="n">
        <f aca="false">IF(AND(Dashboard!$C$9="Yes",AC649=1),0,1)</f>
        <v>1</v>
      </c>
      <c r="AF649" s="62" t="n">
        <v>1</v>
      </c>
    </row>
    <row r="650" customFormat="false" ht="15" hidden="false" customHeight="false" outlineLevel="0" collapsed="false">
      <c r="A650" s="62" t="n">
        <v>649</v>
      </c>
      <c r="B650" s="63" t="n">
        <v>46246.7340162037</v>
      </c>
      <c r="C650" s="64" t="n">
        <v>46246</v>
      </c>
      <c r="D650" s="62" t="s">
        <v>143</v>
      </c>
      <c r="E650" s="62" t="s">
        <v>586</v>
      </c>
      <c r="F650" s="62" t="s">
        <v>586</v>
      </c>
      <c r="G650" s="62" t="s">
        <v>587</v>
      </c>
      <c r="H650" s="62" t="s">
        <v>57</v>
      </c>
      <c r="I650" s="62" t="s">
        <v>47</v>
      </c>
      <c r="J650" s="62" t="s">
        <v>146</v>
      </c>
      <c r="K650" s="62" t="s">
        <v>175</v>
      </c>
      <c r="L650" s="62" t="s">
        <v>148</v>
      </c>
      <c r="M650" s="62" t="n">
        <v>0</v>
      </c>
      <c r="N650" s="62" t="n">
        <v>1</v>
      </c>
      <c r="O650" s="62" t="n">
        <v>1</v>
      </c>
      <c r="P650" s="62" t="n">
        <v>0</v>
      </c>
      <c r="Q650" s="62" t="n">
        <v>1</v>
      </c>
      <c r="R650" s="62" t="n">
        <v>0</v>
      </c>
      <c r="S650" s="62" t="n">
        <v>0</v>
      </c>
      <c r="T650" s="62" t="n">
        <v>0</v>
      </c>
      <c r="U650" s="62"/>
      <c r="V650" s="62"/>
      <c r="W650" s="62"/>
      <c r="X650" s="62"/>
      <c r="Y650" s="62"/>
      <c r="Z650" s="62" t="s">
        <v>1362</v>
      </c>
      <c r="AA650" s="62" t="s">
        <v>1363</v>
      </c>
      <c r="AB650" s="62" t="n">
        <v>1</v>
      </c>
      <c r="AC650" s="62" t="n">
        <v>0</v>
      </c>
      <c r="AD650" s="62" t="n">
        <v>1</v>
      </c>
      <c r="AE650" s="62" t="n">
        <f aca="false">IF(AND(Dashboard!$C$9="Yes",AC650=1),0,1)</f>
        <v>1</v>
      </c>
      <c r="AF650" s="62" t="n">
        <v>1</v>
      </c>
    </row>
    <row r="651" customFormat="false" ht="15" hidden="false" customHeight="false" outlineLevel="0" collapsed="false">
      <c r="A651" s="62" t="n">
        <v>650</v>
      </c>
      <c r="B651" s="63" t="n">
        <v>46246.7376967593</v>
      </c>
      <c r="C651" s="64" t="n">
        <v>46246</v>
      </c>
      <c r="D651" s="62" t="s">
        <v>143</v>
      </c>
      <c r="E651" s="62" t="s">
        <v>212</v>
      </c>
      <c r="F651" s="62" t="s">
        <v>212</v>
      </c>
      <c r="G651" s="62" t="s">
        <v>213</v>
      </c>
      <c r="H651" s="62" t="s">
        <v>58</v>
      </c>
      <c r="I651" s="62" t="s">
        <v>49</v>
      </c>
      <c r="J651" s="62" t="s">
        <v>146</v>
      </c>
      <c r="K651" s="62" t="s">
        <v>175</v>
      </c>
      <c r="L651" s="62" t="s">
        <v>4</v>
      </c>
      <c r="M651" s="62" t="n">
        <v>1</v>
      </c>
      <c r="N651" s="62" t="n">
        <v>0</v>
      </c>
      <c r="O651" s="62" t="n">
        <v>1</v>
      </c>
      <c r="P651" s="62" t="n">
        <v>0</v>
      </c>
      <c r="Q651" s="62" t="n">
        <v>0</v>
      </c>
      <c r="R651" s="62" t="n">
        <v>0</v>
      </c>
      <c r="S651" s="62" t="n">
        <v>0</v>
      </c>
      <c r="T651" s="62" t="n">
        <v>0</v>
      </c>
      <c r="U651" s="62"/>
      <c r="V651" s="62"/>
      <c r="W651" s="62"/>
      <c r="X651" s="62"/>
      <c r="Y651" s="62"/>
      <c r="Z651" s="62" t="s">
        <v>1364</v>
      </c>
      <c r="AA651" s="62" t="s">
        <v>1365</v>
      </c>
      <c r="AB651" s="62" t="n">
        <v>1</v>
      </c>
      <c r="AC651" s="62" t="n">
        <v>0</v>
      </c>
      <c r="AD651" s="62" t="n">
        <v>1</v>
      </c>
      <c r="AE651" s="62" t="n">
        <f aca="false">IF(AND(Dashboard!$C$9="Yes",AC651=1),0,1)</f>
        <v>1</v>
      </c>
      <c r="AF651" s="62" t="n">
        <v>1</v>
      </c>
    </row>
    <row r="652" customFormat="false" ht="15" hidden="false" customHeight="false" outlineLevel="0" collapsed="false">
      <c r="A652" s="62" t="n">
        <v>651</v>
      </c>
      <c r="B652" s="63" t="n">
        <v>46246.7425925926</v>
      </c>
      <c r="C652" s="64" t="n">
        <v>46246</v>
      </c>
      <c r="D652" s="62" t="s">
        <v>143</v>
      </c>
      <c r="E652" s="62" t="s">
        <v>586</v>
      </c>
      <c r="F652" s="62" t="s">
        <v>586</v>
      </c>
      <c r="G652" s="62" t="s">
        <v>587</v>
      </c>
      <c r="H652" s="62" t="s">
        <v>57</v>
      </c>
      <c r="I652" s="62" t="s">
        <v>47</v>
      </c>
      <c r="J652" s="62" t="s">
        <v>146</v>
      </c>
      <c r="K652" s="62" t="s">
        <v>175</v>
      </c>
      <c r="L652" s="62" t="s">
        <v>148</v>
      </c>
      <c r="M652" s="62" t="n">
        <v>0</v>
      </c>
      <c r="N652" s="62" t="n">
        <v>1</v>
      </c>
      <c r="O652" s="62" t="n">
        <v>1</v>
      </c>
      <c r="P652" s="62" t="n">
        <v>0</v>
      </c>
      <c r="Q652" s="62" t="n">
        <v>0</v>
      </c>
      <c r="R652" s="62" t="n">
        <v>1</v>
      </c>
      <c r="S652" s="62" t="n">
        <v>0</v>
      </c>
      <c r="T652" s="62" t="n">
        <v>0</v>
      </c>
      <c r="U652" s="62"/>
      <c r="V652" s="62"/>
      <c r="W652" s="62"/>
      <c r="X652" s="62"/>
      <c r="Y652" s="62"/>
      <c r="Z652" s="62" t="s">
        <v>1362</v>
      </c>
      <c r="AA652" s="62" t="s">
        <v>1363</v>
      </c>
      <c r="AB652" s="62" t="n">
        <v>1</v>
      </c>
      <c r="AC652" s="62" t="n">
        <v>1</v>
      </c>
      <c r="AD652" s="62" t="n">
        <v>1</v>
      </c>
      <c r="AE652" s="62" t="n">
        <f aca="false">IF(AND(Dashboard!$C$9="Yes",AC652=1),0,1)</f>
        <v>0</v>
      </c>
      <c r="AF652" s="62" t="n">
        <v>0</v>
      </c>
    </row>
    <row r="653" customFormat="false" ht="15" hidden="false" customHeight="false" outlineLevel="0" collapsed="false">
      <c r="A653" s="62" t="n">
        <v>652</v>
      </c>
      <c r="B653" s="63" t="n">
        <v>46246.8181944444</v>
      </c>
      <c r="C653" s="64" t="n">
        <v>46246</v>
      </c>
      <c r="D653" s="62" t="s">
        <v>143</v>
      </c>
      <c r="E653" s="62" t="s">
        <v>164</v>
      </c>
      <c r="F653" s="62" t="s">
        <v>164</v>
      </c>
      <c r="G653" s="62" t="s">
        <v>165</v>
      </c>
      <c r="H653" s="62" t="s">
        <v>51</v>
      </c>
      <c r="I653" s="62" t="s">
        <v>47</v>
      </c>
      <c r="J653" s="62" t="s">
        <v>146</v>
      </c>
      <c r="K653" s="62" t="s">
        <v>147</v>
      </c>
      <c r="L653" s="62" t="s">
        <v>148</v>
      </c>
      <c r="M653" s="62" t="n">
        <v>0</v>
      </c>
      <c r="N653" s="62" t="n">
        <v>1</v>
      </c>
      <c r="O653" s="62" t="n">
        <v>1</v>
      </c>
      <c r="P653" s="62" t="n">
        <v>1</v>
      </c>
      <c r="Q653" s="62" t="n">
        <v>0</v>
      </c>
      <c r="R653" s="62" t="n">
        <v>0</v>
      </c>
      <c r="S653" s="62" t="n">
        <v>0</v>
      </c>
      <c r="T653" s="62" t="n">
        <v>0</v>
      </c>
      <c r="U653" s="62"/>
      <c r="V653" s="62"/>
      <c r="W653" s="62"/>
      <c r="X653" s="62"/>
      <c r="Y653" s="62"/>
      <c r="Z653" s="62" t="s">
        <v>1366</v>
      </c>
      <c r="AA653" s="62" t="s">
        <v>1367</v>
      </c>
      <c r="AB653" s="62" t="n">
        <v>1</v>
      </c>
      <c r="AC653" s="62" t="n">
        <v>0</v>
      </c>
      <c r="AD653" s="62" t="n">
        <v>1</v>
      </c>
      <c r="AE653" s="62" t="n">
        <f aca="false">IF(AND(Dashboard!$C$9="Yes",AC653=1),0,1)</f>
        <v>1</v>
      </c>
      <c r="AF653" s="62" t="n">
        <v>1</v>
      </c>
    </row>
    <row r="654" customFormat="false" ht="15" hidden="false" customHeight="false" outlineLevel="0" collapsed="false">
      <c r="A654" s="62" t="n">
        <v>653</v>
      </c>
      <c r="B654" s="63" t="n">
        <v>46246.8781481482</v>
      </c>
      <c r="C654" s="64" t="n">
        <v>46246</v>
      </c>
      <c r="D654" s="62" t="s">
        <v>143</v>
      </c>
      <c r="E654" s="62" t="s">
        <v>592</v>
      </c>
      <c r="F654" s="62" t="s">
        <v>593</v>
      </c>
      <c r="G654" s="62" t="s">
        <v>153</v>
      </c>
      <c r="H654" s="62" t="s">
        <v>153</v>
      </c>
      <c r="I654" s="62" t="s">
        <v>153</v>
      </c>
      <c r="J654" s="62" t="s">
        <v>64</v>
      </c>
      <c r="K654" s="62" t="s">
        <v>64</v>
      </c>
      <c r="L654" s="62" t="s">
        <v>4</v>
      </c>
      <c r="M654" s="62" t="n">
        <v>1</v>
      </c>
      <c r="N654" s="62" t="n">
        <v>0</v>
      </c>
      <c r="O654" s="62" t="n">
        <v>1</v>
      </c>
      <c r="P654" s="62" t="n">
        <v>0</v>
      </c>
      <c r="Q654" s="62" t="n">
        <v>0</v>
      </c>
      <c r="R654" s="62" t="n">
        <v>0</v>
      </c>
      <c r="S654" s="62" t="n">
        <v>0</v>
      </c>
      <c r="T654" s="62" t="n">
        <v>0</v>
      </c>
      <c r="U654" s="62"/>
      <c r="V654" s="62"/>
      <c r="W654" s="62"/>
      <c r="X654" s="62"/>
      <c r="Y654" s="62"/>
      <c r="Z654" s="62" t="s">
        <v>1368</v>
      </c>
      <c r="AA654" s="62" t="s">
        <v>1369</v>
      </c>
      <c r="AB654" s="62" t="n">
        <v>1</v>
      </c>
      <c r="AC654" s="62" t="n">
        <v>0</v>
      </c>
      <c r="AD654" s="62" t="n">
        <v>0</v>
      </c>
      <c r="AE654" s="62" t="n">
        <f aca="false">IF(AND(Dashboard!$C$9="Yes",AC654=1),0,1)</f>
        <v>1</v>
      </c>
      <c r="AF654" s="62" t="n">
        <v>1</v>
      </c>
    </row>
    <row r="655" customFormat="false" ht="15" hidden="false" customHeight="false" outlineLevel="0" collapsed="false">
      <c r="A655" s="62" t="n">
        <v>654</v>
      </c>
      <c r="B655" s="63" t="n">
        <v>46246.9211689815</v>
      </c>
      <c r="C655" s="64" t="n">
        <v>46246</v>
      </c>
      <c r="D655" s="62" t="s">
        <v>143</v>
      </c>
      <c r="E655" s="62" t="s">
        <v>586</v>
      </c>
      <c r="F655" s="62" t="s">
        <v>586</v>
      </c>
      <c r="G655" s="62" t="s">
        <v>587</v>
      </c>
      <c r="H655" s="62" t="s">
        <v>57</v>
      </c>
      <c r="I655" s="62" t="s">
        <v>47</v>
      </c>
      <c r="J655" s="62" t="s">
        <v>146</v>
      </c>
      <c r="K655" s="62" t="s">
        <v>175</v>
      </c>
      <c r="L655" s="62" t="s">
        <v>148</v>
      </c>
      <c r="M655" s="62" t="n">
        <v>0</v>
      </c>
      <c r="N655" s="62" t="n">
        <v>1</v>
      </c>
      <c r="O655" s="62" t="n">
        <v>1</v>
      </c>
      <c r="P655" s="62" t="n">
        <v>1</v>
      </c>
      <c r="Q655" s="62" t="n">
        <v>0</v>
      </c>
      <c r="R655" s="62" t="n">
        <v>0</v>
      </c>
      <c r="S655" s="62" t="n">
        <v>0</v>
      </c>
      <c r="T655" s="62" t="n">
        <v>0</v>
      </c>
      <c r="U655" s="62"/>
      <c r="V655" s="62"/>
      <c r="W655" s="62"/>
      <c r="X655" s="62"/>
      <c r="Y655" s="62"/>
      <c r="Z655" s="62" t="s">
        <v>1370</v>
      </c>
      <c r="AA655" s="62" t="s">
        <v>1371</v>
      </c>
      <c r="AB655" s="62" t="n">
        <v>1</v>
      </c>
      <c r="AC655" s="62" t="n">
        <v>0</v>
      </c>
      <c r="AD655" s="62" t="n">
        <v>1</v>
      </c>
      <c r="AE655" s="62" t="n">
        <f aca="false">IF(AND(Dashboard!$C$9="Yes",AC655=1),0,1)</f>
        <v>1</v>
      </c>
      <c r="AF655" s="62" t="n">
        <v>0</v>
      </c>
    </row>
    <row r="656" customFormat="false" ht="15" hidden="false" customHeight="false" outlineLevel="0" collapsed="false">
      <c r="A656" s="62" t="n">
        <v>655</v>
      </c>
      <c r="B656" s="63" t="n">
        <v>46246.9229398148</v>
      </c>
      <c r="C656" s="64" t="n">
        <v>46246</v>
      </c>
      <c r="D656" s="62" t="s">
        <v>143</v>
      </c>
      <c r="E656" s="62" t="s">
        <v>439</v>
      </c>
      <c r="F656" s="62" t="s">
        <v>439</v>
      </c>
      <c r="G656" s="62" t="s">
        <v>440</v>
      </c>
      <c r="H656" s="62" t="s">
        <v>51</v>
      </c>
      <c r="I656" s="62" t="s">
        <v>47</v>
      </c>
      <c r="J656" s="62" t="s">
        <v>146</v>
      </c>
      <c r="K656" s="62" t="s">
        <v>175</v>
      </c>
      <c r="L656" s="62" t="s">
        <v>148</v>
      </c>
      <c r="M656" s="62" t="n">
        <v>0</v>
      </c>
      <c r="N656" s="62" t="n">
        <v>1</v>
      </c>
      <c r="O656" s="62" t="n">
        <v>1</v>
      </c>
      <c r="P656" s="62" t="n">
        <v>0</v>
      </c>
      <c r="Q656" s="62" t="n">
        <v>0</v>
      </c>
      <c r="R656" s="62" t="n">
        <v>1</v>
      </c>
      <c r="S656" s="62" t="n">
        <v>0</v>
      </c>
      <c r="T656" s="62" t="n">
        <v>0</v>
      </c>
      <c r="U656" s="62"/>
      <c r="V656" s="62"/>
      <c r="W656" s="62"/>
      <c r="X656" s="62"/>
      <c r="Y656" s="62"/>
      <c r="Z656" s="62" t="s">
        <v>1372</v>
      </c>
      <c r="AA656" s="62" t="s">
        <v>1373</v>
      </c>
      <c r="AB656" s="62" t="n">
        <v>1</v>
      </c>
      <c r="AC656" s="62" t="n">
        <v>0</v>
      </c>
      <c r="AD656" s="62" t="n">
        <v>1</v>
      </c>
      <c r="AE656" s="62" t="n">
        <f aca="false">IF(AND(Dashboard!$C$9="Yes",AC656=1),0,1)</f>
        <v>1</v>
      </c>
      <c r="AF656" s="62" t="n">
        <v>1</v>
      </c>
    </row>
    <row r="657" customFormat="false" ht="15" hidden="false" customHeight="false" outlineLevel="0" collapsed="false">
      <c r="A657" s="62" t="n">
        <v>656</v>
      </c>
      <c r="B657" s="63" t="n">
        <v>46246.9598263889</v>
      </c>
      <c r="C657" s="64" t="n">
        <v>46246</v>
      </c>
      <c r="D657" s="62" t="s">
        <v>143</v>
      </c>
      <c r="E657" s="62" t="s">
        <v>218</v>
      </c>
      <c r="F657" s="62" t="s">
        <v>218</v>
      </c>
      <c r="G657" s="62" t="s">
        <v>219</v>
      </c>
      <c r="H657" s="62" t="s">
        <v>51</v>
      </c>
      <c r="I657" s="62" t="s">
        <v>47</v>
      </c>
      <c r="J657" s="62" t="s">
        <v>146</v>
      </c>
      <c r="K657" s="62" t="s">
        <v>147</v>
      </c>
      <c r="L657" s="62" t="s">
        <v>148</v>
      </c>
      <c r="M657" s="62" t="n">
        <v>0</v>
      </c>
      <c r="N657" s="62" t="n">
        <v>1</v>
      </c>
      <c r="O657" s="62" t="n">
        <v>1</v>
      </c>
      <c r="P657" s="62" t="n">
        <v>0</v>
      </c>
      <c r="Q657" s="62" t="n">
        <v>1</v>
      </c>
      <c r="R657" s="62" t="n">
        <v>0</v>
      </c>
      <c r="S657" s="62" t="n">
        <v>0</v>
      </c>
      <c r="T657" s="62" t="n">
        <v>0</v>
      </c>
      <c r="U657" s="62"/>
      <c r="V657" s="62"/>
      <c r="W657" s="62"/>
      <c r="X657" s="62"/>
      <c r="Y657" s="62"/>
      <c r="Z657" s="62" t="s">
        <v>1374</v>
      </c>
      <c r="AA657" s="62" t="s">
        <v>1375</v>
      </c>
      <c r="AB657" s="62" t="n">
        <v>1</v>
      </c>
      <c r="AC657" s="62" t="n">
        <v>0</v>
      </c>
      <c r="AD657" s="62" t="n">
        <v>1</v>
      </c>
      <c r="AE657" s="62" t="n">
        <f aca="false">IF(AND(Dashboard!$C$9="Yes",AC657=1),0,1)</f>
        <v>1</v>
      </c>
      <c r="AF657" s="62" t="n">
        <v>1</v>
      </c>
    </row>
    <row r="658" customFormat="false" ht="15" hidden="false" customHeight="false" outlineLevel="0" collapsed="false">
      <c r="A658" s="62" t="n">
        <v>657</v>
      </c>
      <c r="B658" s="63" t="n">
        <v>46246.9637268519</v>
      </c>
      <c r="C658" s="64" t="n">
        <v>46246</v>
      </c>
      <c r="D658" s="62" t="s">
        <v>143</v>
      </c>
      <c r="E658" s="62" t="s">
        <v>439</v>
      </c>
      <c r="F658" s="62" t="s">
        <v>439</v>
      </c>
      <c r="G658" s="62" t="s">
        <v>440</v>
      </c>
      <c r="H658" s="62" t="s">
        <v>51</v>
      </c>
      <c r="I658" s="62" t="s">
        <v>47</v>
      </c>
      <c r="J658" s="62" t="s">
        <v>146</v>
      </c>
      <c r="K658" s="62" t="s">
        <v>175</v>
      </c>
      <c r="L658" s="62" t="s">
        <v>148</v>
      </c>
      <c r="M658" s="62" t="n">
        <v>0</v>
      </c>
      <c r="N658" s="62" t="n">
        <v>1</v>
      </c>
      <c r="O658" s="62" t="n">
        <v>1</v>
      </c>
      <c r="P658" s="62" t="n">
        <v>1</v>
      </c>
      <c r="Q658" s="62" t="n">
        <v>0</v>
      </c>
      <c r="R658" s="62" t="n">
        <v>0</v>
      </c>
      <c r="S658" s="62" t="n">
        <v>0</v>
      </c>
      <c r="T658" s="62" t="n">
        <v>0</v>
      </c>
      <c r="U658" s="62"/>
      <c r="V658" s="62"/>
      <c r="W658" s="62"/>
      <c r="X658" s="62"/>
      <c r="Y658" s="62"/>
      <c r="Z658" s="62" t="s">
        <v>1376</v>
      </c>
      <c r="AA658" s="62" t="s">
        <v>1377</v>
      </c>
      <c r="AB658" s="62" t="n">
        <v>1</v>
      </c>
      <c r="AC658" s="62" t="n">
        <v>0</v>
      </c>
      <c r="AD658" s="62" t="n">
        <v>1</v>
      </c>
      <c r="AE658" s="62" t="n">
        <f aca="false">IF(AND(Dashboard!$C$9="Yes",AC658=1),0,1)</f>
        <v>1</v>
      </c>
      <c r="AF658" s="62" t="n">
        <v>0</v>
      </c>
    </row>
    <row r="659" customFormat="false" ht="15" hidden="false" customHeight="false" outlineLevel="0" collapsed="false">
      <c r="A659" s="62" t="n">
        <v>658</v>
      </c>
      <c r="B659" s="63" t="n">
        <v>46247.0254166667</v>
      </c>
      <c r="C659" s="64" t="n">
        <v>46246</v>
      </c>
      <c r="D659" s="62" t="s">
        <v>143</v>
      </c>
      <c r="E659" s="62" t="s">
        <v>160</v>
      </c>
      <c r="F659" s="62" t="s">
        <v>160</v>
      </c>
      <c r="G659" s="62" t="s">
        <v>161</v>
      </c>
      <c r="H659" s="62" t="s">
        <v>51</v>
      </c>
      <c r="I659" s="62" t="s">
        <v>47</v>
      </c>
      <c r="J659" s="62" t="s">
        <v>146</v>
      </c>
      <c r="K659" s="62" t="s">
        <v>147</v>
      </c>
      <c r="L659" s="62" t="s">
        <v>148</v>
      </c>
      <c r="M659" s="62" t="n">
        <v>0</v>
      </c>
      <c r="N659" s="62" t="n">
        <v>1</v>
      </c>
      <c r="O659" s="62" t="n">
        <v>1</v>
      </c>
      <c r="P659" s="62" t="n">
        <v>0</v>
      </c>
      <c r="Q659" s="62" t="n">
        <v>1</v>
      </c>
      <c r="R659" s="62" t="n">
        <v>0</v>
      </c>
      <c r="S659" s="62" t="n">
        <v>0</v>
      </c>
      <c r="T659" s="62" t="n">
        <v>0</v>
      </c>
      <c r="U659" s="62"/>
      <c r="V659" s="62"/>
      <c r="W659" s="62"/>
      <c r="X659" s="62"/>
      <c r="Y659" s="62"/>
      <c r="Z659" s="62" t="s">
        <v>1378</v>
      </c>
      <c r="AA659" s="62" t="s">
        <v>1379</v>
      </c>
      <c r="AB659" s="62" t="n">
        <v>1</v>
      </c>
      <c r="AC659" s="62" t="n">
        <v>0</v>
      </c>
      <c r="AD659" s="62" t="n">
        <v>1</v>
      </c>
      <c r="AE659" s="62" t="n">
        <f aca="false">IF(AND(Dashboard!$C$9="Yes",AC659=1),0,1)</f>
        <v>1</v>
      </c>
      <c r="AF659" s="62" t="n">
        <v>1</v>
      </c>
    </row>
    <row r="660" customFormat="false" ht="15" hidden="false" customHeight="false" outlineLevel="0" collapsed="false">
      <c r="A660" s="62" t="n">
        <v>659</v>
      </c>
      <c r="B660" s="63" t="n">
        <v>46247.0291435185</v>
      </c>
      <c r="C660" s="64" t="n">
        <v>46246</v>
      </c>
      <c r="D660" s="62" t="s">
        <v>143</v>
      </c>
      <c r="E660" s="62" t="s">
        <v>207</v>
      </c>
      <c r="F660" s="62" t="s">
        <v>207</v>
      </c>
      <c r="G660" s="62" t="s">
        <v>208</v>
      </c>
      <c r="H660" s="62" t="s">
        <v>48</v>
      </c>
      <c r="I660" s="62" t="s">
        <v>49</v>
      </c>
      <c r="J660" s="62" t="s">
        <v>146</v>
      </c>
      <c r="K660" s="62" t="s">
        <v>209</v>
      </c>
      <c r="L660" s="62" t="s">
        <v>148</v>
      </c>
      <c r="M660" s="62" t="n">
        <v>0</v>
      </c>
      <c r="N660" s="62" t="n">
        <v>1</v>
      </c>
      <c r="O660" s="62" t="n">
        <v>1</v>
      </c>
      <c r="P660" s="62" t="n">
        <v>0</v>
      </c>
      <c r="Q660" s="62" t="n">
        <v>1</v>
      </c>
      <c r="R660" s="62" t="n">
        <v>0</v>
      </c>
      <c r="S660" s="62" t="n">
        <v>0</v>
      </c>
      <c r="T660" s="62" t="n">
        <v>0</v>
      </c>
      <c r="U660" s="62"/>
      <c r="V660" s="62"/>
      <c r="W660" s="62"/>
      <c r="X660" s="62"/>
      <c r="Y660" s="62"/>
      <c r="Z660" s="62" t="s">
        <v>1380</v>
      </c>
      <c r="AA660" s="62" t="s">
        <v>1381</v>
      </c>
      <c r="AB660" s="62" t="n">
        <v>1</v>
      </c>
      <c r="AC660" s="62" t="n">
        <v>0</v>
      </c>
      <c r="AD660" s="62" t="n">
        <v>1</v>
      </c>
      <c r="AE660" s="62" t="n">
        <f aca="false">IF(AND(Dashboard!$C$9="Yes",AC660=1),0,1)</f>
        <v>1</v>
      </c>
      <c r="AF660" s="62" t="n">
        <v>1</v>
      </c>
    </row>
    <row r="661" customFormat="false" ht="15" hidden="false" customHeight="false" outlineLevel="0" collapsed="false">
      <c r="A661" s="62" t="n">
        <v>660</v>
      </c>
      <c r="B661" s="63" t="n">
        <v>46247.0300115741</v>
      </c>
      <c r="C661" s="64" t="n">
        <v>46246</v>
      </c>
      <c r="D661" s="62" t="s">
        <v>143</v>
      </c>
      <c r="E661" s="62" t="s">
        <v>1382</v>
      </c>
      <c r="F661" s="62" t="s">
        <v>1382</v>
      </c>
      <c r="G661" s="62" t="s">
        <v>1383</v>
      </c>
      <c r="H661" s="62" t="s">
        <v>58</v>
      </c>
      <c r="I661" s="62" t="s">
        <v>49</v>
      </c>
      <c r="J661" s="62" t="s">
        <v>146</v>
      </c>
      <c r="K661" s="62" t="s">
        <v>175</v>
      </c>
      <c r="L661" s="62" t="s">
        <v>148</v>
      </c>
      <c r="M661" s="62" t="n">
        <v>0</v>
      </c>
      <c r="N661" s="62" t="n">
        <v>1</v>
      </c>
      <c r="O661" s="62" t="n">
        <v>1</v>
      </c>
      <c r="P661" s="62" t="n">
        <v>0</v>
      </c>
      <c r="Q661" s="62" t="n">
        <v>0</v>
      </c>
      <c r="R661" s="62" t="n">
        <v>1</v>
      </c>
      <c r="S661" s="62" t="n">
        <v>0</v>
      </c>
      <c r="T661" s="62" t="n">
        <v>0</v>
      </c>
      <c r="U661" s="62"/>
      <c r="V661" s="62"/>
      <c r="W661" s="62"/>
      <c r="X661" s="62"/>
      <c r="Y661" s="62"/>
      <c r="Z661" s="62" t="s">
        <v>1384</v>
      </c>
      <c r="AA661" s="62" t="s">
        <v>1385</v>
      </c>
      <c r="AB661" s="62" t="n">
        <v>1</v>
      </c>
      <c r="AC661" s="62" t="n">
        <v>0</v>
      </c>
      <c r="AD661" s="62" t="n">
        <v>1</v>
      </c>
      <c r="AE661" s="62" t="n">
        <f aca="false">IF(AND(Dashboard!$C$9="Yes",AC661=1),0,1)</f>
        <v>1</v>
      </c>
      <c r="AF661" s="62" t="n">
        <v>1</v>
      </c>
    </row>
    <row r="662" customFormat="false" ht="15" hidden="false" customHeight="false" outlineLevel="0" collapsed="false">
      <c r="A662" s="62" t="n">
        <v>661</v>
      </c>
      <c r="B662" s="63" t="n">
        <v>46247.0556481482</v>
      </c>
      <c r="C662" s="64" t="n">
        <v>46246</v>
      </c>
      <c r="D662" s="62" t="s">
        <v>143</v>
      </c>
      <c r="E662" s="62" t="s">
        <v>173</v>
      </c>
      <c r="F662" s="62" t="s">
        <v>173</v>
      </c>
      <c r="G662" s="62" t="s">
        <v>174</v>
      </c>
      <c r="H662" s="62" t="s">
        <v>58</v>
      </c>
      <c r="I662" s="62" t="s">
        <v>49</v>
      </c>
      <c r="J662" s="62" t="s">
        <v>146</v>
      </c>
      <c r="K662" s="62" t="s">
        <v>175</v>
      </c>
      <c r="L662" s="62" t="s">
        <v>148</v>
      </c>
      <c r="M662" s="62" t="n">
        <v>0</v>
      </c>
      <c r="N662" s="62" t="n">
        <v>2</v>
      </c>
      <c r="O662" s="62" t="n">
        <v>2</v>
      </c>
      <c r="P662" s="62" t="n">
        <v>0</v>
      </c>
      <c r="Q662" s="62" t="n">
        <v>1</v>
      </c>
      <c r="R662" s="62" t="n">
        <v>1</v>
      </c>
      <c r="S662" s="62" t="n">
        <v>0</v>
      </c>
      <c r="T662" s="62" t="n">
        <v>0</v>
      </c>
      <c r="U662" s="62"/>
      <c r="V662" s="62"/>
      <c r="W662" s="62"/>
      <c r="X662" s="62"/>
      <c r="Y662" s="62"/>
      <c r="Z662" s="62" t="s">
        <v>1386</v>
      </c>
      <c r="AA662" s="62" t="s">
        <v>1387</v>
      </c>
      <c r="AB662" s="62" t="n">
        <v>1</v>
      </c>
      <c r="AC662" s="62" t="n">
        <v>0</v>
      </c>
      <c r="AD662" s="62" t="n">
        <v>1</v>
      </c>
      <c r="AE662" s="62" t="n">
        <f aca="false">IF(AND(Dashboard!$C$9="Yes",AC662=1),0,1)</f>
        <v>1</v>
      </c>
      <c r="AF662" s="62" t="n">
        <v>1</v>
      </c>
    </row>
    <row r="663" customFormat="false" ht="15" hidden="false" customHeight="false" outlineLevel="0" collapsed="false">
      <c r="A663" s="62" t="n">
        <v>662</v>
      </c>
      <c r="B663" s="63" t="n">
        <v>46247.056400463</v>
      </c>
      <c r="C663" s="64" t="n">
        <v>46246</v>
      </c>
      <c r="D663" s="62" t="s">
        <v>143</v>
      </c>
      <c r="E663" s="62" t="s">
        <v>1382</v>
      </c>
      <c r="F663" s="62" t="s">
        <v>1382</v>
      </c>
      <c r="G663" s="62" t="s">
        <v>1383</v>
      </c>
      <c r="H663" s="62" t="s">
        <v>58</v>
      </c>
      <c r="I663" s="62" t="s">
        <v>49</v>
      </c>
      <c r="J663" s="62" t="s">
        <v>146</v>
      </c>
      <c r="K663" s="62" t="s">
        <v>175</v>
      </c>
      <c r="L663" s="62" t="s">
        <v>148</v>
      </c>
      <c r="M663" s="62" t="n">
        <v>0</v>
      </c>
      <c r="N663" s="62" t="n">
        <v>1</v>
      </c>
      <c r="O663" s="62" t="n">
        <v>1</v>
      </c>
      <c r="P663" s="62" t="n">
        <v>1</v>
      </c>
      <c r="Q663" s="62" t="n">
        <v>0</v>
      </c>
      <c r="R663" s="62" t="n">
        <v>0</v>
      </c>
      <c r="S663" s="62" t="n">
        <v>0</v>
      </c>
      <c r="T663" s="62" t="n">
        <v>0</v>
      </c>
      <c r="U663" s="62"/>
      <c r="V663" s="62"/>
      <c r="W663" s="62"/>
      <c r="X663" s="62"/>
      <c r="Y663" s="62"/>
      <c r="Z663" s="62" t="s">
        <v>1388</v>
      </c>
      <c r="AA663" s="62" t="s">
        <v>1389</v>
      </c>
      <c r="AB663" s="62" t="n">
        <v>1</v>
      </c>
      <c r="AC663" s="62" t="n">
        <v>0</v>
      </c>
      <c r="AD663" s="62" t="n">
        <v>1</v>
      </c>
      <c r="AE663" s="62" t="n">
        <f aca="false">IF(AND(Dashboard!$C$9="Yes",AC663=1),0,1)</f>
        <v>1</v>
      </c>
      <c r="AF663" s="62" t="n">
        <v>0</v>
      </c>
    </row>
    <row r="664" customFormat="false" ht="15" hidden="false" customHeight="false" outlineLevel="0" collapsed="false">
      <c r="A664" s="62" t="n">
        <v>663</v>
      </c>
      <c r="B664" s="63" t="n">
        <v>46247.1507523148</v>
      </c>
      <c r="C664" s="64" t="n">
        <v>46246</v>
      </c>
      <c r="D664" s="62" t="s">
        <v>143</v>
      </c>
      <c r="E664" s="62" t="s">
        <v>180</v>
      </c>
      <c r="F664" s="62" t="s">
        <v>180</v>
      </c>
      <c r="G664" s="62" t="s">
        <v>181</v>
      </c>
      <c r="H664" s="62" t="s">
        <v>58</v>
      </c>
      <c r="I664" s="62" t="s">
        <v>49</v>
      </c>
      <c r="J664" s="62" t="s">
        <v>146</v>
      </c>
      <c r="K664" s="62" t="s">
        <v>175</v>
      </c>
      <c r="L664" s="62" t="s">
        <v>148</v>
      </c>
      <c r="M664" s="62" t="n">
        <v>0</v>
      </c>
      <c r="N664" s="62" t="n">
        <v>1</v>
      </c>
      <c r="O664" s="62" t="n">
        <v>1</v>
      </c>
      <c r="P664" s="62" t="n">
        <v>1</v>
      </c>
      <c r="Q664" s="62" t="n">
        <v>0</v>
      </c>
      <c r="R664" s="62" t="n">
        <v>0</v>
      </c>
      <c r="S664" s="62" t="n">
        <v>0</v>
      </c>
      <c r="T664" s="62" t="n">
        <v>0</v>
      </c>
      <c r="U664" s="62"/>
      <c r="V664" s="62"/>
      <c r="W664" s="62"/>
      <c r="X664" s="62"/>
      <c r="Y664" s="62"/>
      <c r="Z664" s="62" t="s">
        <v>1390</v>
      </c>
      <c r="AA664" s="62" t="s">
        <v>1390</v>
      </c>
      <c r="AB664" s="62" t="n">
        <v>1</v>
      </c>
      <c r="AC664" s="62" t="n">
        <v>0</v>
      </c>
      <c r="AD664" s="62" t="n">
        <v>1</v>
      </c>
      <c r="AE664" s="62" t="n">
        <f aca="false">IF(AND(Dashboard!$C$9="Yes",AC664=1),0,1)</f>
        <v>1</v>
      </c>
      <c r="AF664" s="62" t="n">
        <v>1</v>
      </c>
    </row>
    <row r="665" customFormat="false" ht="15" hidden="false" customHeight="false" outlineLevel="0" collapsed="false">
      <c r="A665" s="62" t="n">
        <v>664</v>
      </c>
      <c r="B665" s="63" t="n">
        <v>46247.1719328704</v>
      </c>
      <c r="C665" s="64" t="n">
        <v>46246</v>
      </c>
      <c r="D665" s="62" t="s">
        <v>143</v>
      </c>
      <c r="E665" s="62" t="s">
        <v>164</v>
      </c>
      <c r="F665" s="62" t="s">
        <v>164</v>
      </c>
      <c r="G665" s="62" t="s">
        <v>165</v>
      </c>
      <c r="H665" s="62" t="s">
        <v>51</v>
      </c>
      <c r="I665" s="62" t="s">
        <v>47</v>
      </c>
      <c r="J665" s="62" t="s">
        <v>146</v>
      </c>
      <c r="K665" s="62" t="s">
        <v>147</v>
      </c>
      <c r="L665" s="62" t="s">
        <v>4</v>
      </c>
      <c r="M665" s="62" t="n">
        <v>1</v>
      </c>
      <c r="N665" s="62" t="n">
        <v>0</v>
      </c>
      <c r="O665" s="62" t="n">
        <v>1</v>
      </c>
      <c r="P665" s="62" t="n">
        <v>0</v>
      </c>
      <c r="Q665" s="62" t="n">
        <v>0</v>
      </c>
      <c r="R665" s="62" t="n">
        <v>0</v>
      </c>
      <c r="S665" s="62" t="n">
        <v>0</v>
      </c>
      <c r="T665" s="62" t="n">
        <v>0</v>
      </c>
      <c r="U665" s="62"/>
      <c r="V665" s="62"/>
      <c r="W665" s="62"/>
      <c r="X665" s="62"/>
      <c r="Y665" s="62"/>
      <c r="Z665" s="62" t="s">
        <v>1391</v>
      </c>
      <c r="AA665" s="62" t="s">
        <v>1392</v>
      </c>
      <c r="AB665" s="62" t="n">
        <v>1</v>
      </c>
      <c r="AC665" s="62" t="n">
        <v>0</v>
      </c>
      <c r="AD665" s="62" t="n">
        <v>1</v>
      </c>
      <c r="AE665" s="62" t="n">
        <f aca="false">IF(AND(Dashboard!$C$9="Yes",AC665=1),0,1)</f>
        <v>1</v>
      </c>
      <c r="AF665" s="62" t="n">
        <v>0</v>
      </c>
    </row>
    <row r="666" customFormat="false" ht="15" hidden="false" customHeight="false" outlineLevel="0" collapsed="false">
      <c r="A666" s="62" t="n">
        <v>665</v>
      </c>
      <c r="B666" s="63" t="n">
        <v>46247.2146412037</v>
      </c>
      <c r="C666" s="64" t="n">
        <v>46246</v>
      </c>
      <c r="D666" s="62" t="s">
        <v>143</v>
      </c>
      <c r="E666" s="62" t="s">
        <v>180</v>
      </c>
      <c r="F666" s="62" t="s">
        <v>180</v>
      </c>
      <c r="G666" s="62" t="s">
        <v>181</v>
      </c>
      <c r="H666" s="62" t="s">
        <v>58</v>
      </c>
      <c r="I666" s="62" t="s">
        <v>49</v>
      </c>
      <c r="J666" s="62" t="s">
        <v>146</v>
      </c>
      <c r="K666" s="62" t="s">
        <v>175</v>
      </c>
      <c r="L666" s="62" t="s">
        <v>148</v>
      </c>
      <c r="M666" s="62" t="n">
        <v>0</v>
      </c>
      <c r="N666" s="62" t="n">
        <v>3</v>
      </c>
      <c r="O666" s="62" t="n">
        <v>3</v>
      </c>
      <c r="P666" s="62" t="n">
        <v>1</v>
      </c>
      <c r="Q666" s="62" t="n">
        <v>1</v>
      </c>
      <c r="R666" s="62" t="n">
        <v>1</v>
      </c>
      <c r="S666" s="62" t="n">
        <v>0</v>
      </c>
      <c r="T666" s="62" t="n">
        <v>0</v>
      </c>
      <c r="U666" s="62"/>
      <c r="V666" s="62"/>
      <c r="W666" s="62"/>
      <c r="X666" s="62"/>
      <c r="Y666" s="62"/>
      <c r="Z666" s="62" t="s">
        <v>1393</v>
      </c>
      <c r="AA666" s="62" t="s">
        <v>1393</v>
      </c>
      <c r="AB666" s="62" t="n">
        <v>1</v>
      </c>
      <c r="AC666" s="62" t="n">
        <v>0</v>
      </c>
      <c r="AD666" s="62" t="n">
        <v>1</v>
      </c>
      <c r="AE666" s="62" t="n">
        <f aca="false">IF(AND(Dashboard!$C$9="Yes",AC666=1),0,1)</f>
        <v>1</v>
      </c>
      <c r="AF666" s="62" t="n">
        <v>0</v>
      </c>
    </row>
    <row r="667" customFormat="false" ht="15" hidden="false" customHeight="false" outlineLevel="0" collapsed="false">
      <c r="A667" s="62" t="n">
        <v>666</v>
      </c>
      <c r="B667" s="63" t="n">
        <v>46247.5990277778</v>
      </c>
      <c r="C667" s="64" t="n">
        <v>46247</v>
      </c>
      <c r="D667" s="62" t="s">
        <v>202</v>
      </c>
      <c r="E667" s="62" t="s">
        <v>713</v>
      </c>
      <c r="F667" s="62" t="s">
        <v>714</v>
      </c>
      <c r="G667" s="62" t="s">
        <v>153</v>
      </c>
      <c r="H667" s="62" t="s">
        <v>153</v>
      </c>
      <c r="I667" s="62" t="s">
        <v>153</v>
      </c>
      <c r="J667" s="62" t="s">
        <v>64</v>
      </c>
      <c r="K667" s="62" t="s">
        <v>64</v>
      </c>
      <c r="L667" s="62" t="s">
        <v>4</v>
      </c>
      <c r="M667" s="62" t="n">
        <v>1</v>
      </c>
      <c r="N667" s="62" t="n">
        <v>0</v>
      </c>
      <c r="O667" s="62" t="n">
        <v>1</v>
      </c>
      <c r="P667" s="62" t="n">
        <v>0</v>
      </c>
      <c r="Q667" s="62" t="n">
        <v>0</v>
      </c>
      <c r="R667" s="62" t="n">
        <v>0</v>
      </c>
      <c r="S667" s="62" t="n">
        <v>0</v>
      </c>
      <c r="T667" s="62" t="n">
        <v>0</v>
      </c>
      <c r="U667" s="62"/>
      <c r="V667" s="62"/>
      <c r="W667" s="62"/>
      <c r="X667" s="62"/>
      <c r="Y667" s="62"/>
      <c r="Z667" s="62" t="s">
        <v>1394</v>
      </c>
      <c r="AA667" s="62" t="s">
        <v>1395</v>
      </c>
      <c r="AB667" s="62" t="n">
        <v>0</v>
      </c>
      <c r="AC667" s="62" t="n">
        <v>0</v>
      </c>
      <c r="AD667" s="62" t="n">
        <v>0</v>
      </c>
      <c r="AE667" s="62" t="n">
        <f aca="false">IF(AND(Dashboard!$C$9="Yes",AC667=1),0,1)</f>
        <v>1</v>
      </c>
      <c r="AF667" s="62" t="n">
        <v>1</v>
      </c>
    </row>
    <row r="668" customFormat="false" ht="15" hidden="false" customHeight="false" outlineLevel="0" collapsed="false">
      <c r="A668" s="62" t="n">
        <v>667</v>
      </c>
      <c r="B668" s="63" t="n">
        <v>46247.6271527778</v>
      </c>
      <c r="C668" s="64" t="n">
        <v>46247</v>
      </c>
      <c r="D668" s="62" t="s">
        <v>202</v>
      </c>
      <c r="E668" s="62" t="s">
        <v>228</v>
      </c>
      <c r="F668" s="62" t="s">
        <v>229</v>
      </c>
      <c r="G668" s="62" t="s">
        <v>153</v>
      </c>
      <c r="H668" s="62" t="s">
        <v>153</v>
      </c>
      <c r="I668" s="62" t="s">
        <v>153</v>
      </c>
      <c r="J668" s="62" t="s">
        <v>64</v>
      </c>
      <c r="K668" s="62" t="s">
        <v>64</v>
      </c>
      <c r="L668" s="62" t="s">
        <v>148</v>
      </c>
      <c r="M668" s="62" t="n">
        <v>0</v>
      </c>
      <c r="N668" s="62" t="n">
        <v>1</v>
      </c>
      <c r="O668" s="62" t="n">
        <v>1</v>
      </c>
      <c r="P668" s="62" t="n">
        <v>0</v>
      </c>
      <c r="Q668" s="62" t="n">
        <v>0</v>
      </c>
      <c r="R668" s="62" t="n">
        <v>1</v>
      </c>
      <c r="S668" s="62" t="n">
        <v>0</v>
      </c>
      <c r="T668" s="62" t="n">
        <v>0</v>
      </c>
      <c r="U668" s="62"/>
      <c r="V668" s="62"/>
      <c r="W668" s="62"/>
      <c r="X668" s="62"/>
      <c r="Y668" s="62"/>
      <c r="Z668" s="62" t="s">
        <v>1396</v>
      </c>
      <c r="AA668" s="62" t="s">
        <v>1397</v>
      </c>
      <c r="AB668" s="62" t="n">
        <v>1</v>
      </c>
      <c r="AC668" s="62" t="n">
        <v>0</v>
      </c>
      <c r="AD668" s="62" t="n">
        <v>0</v>
      </c>
      <c r="AE668" s="62" t="n">
        <f aca="false">IF(AND(Dashboard!$C$9="Yes",AC668=1),0,1)</f>
        <v>1</v>
      </c>
      <c r="AF668" s="62" t="n">
        <v>1</v>
      </c>
    </row>
    <row r="669" customFormat="false" ht="15" hidden="false" customHeight="false" outlineLevel="0" collapsed="false">
      <c r="A669" s="62" t="n">
        <v>668</v>
      </c>
      <c r="B669" s="63" t="n">
        <v>46247.6334375</v>
      </c>
      <c r="C669" s="64" t="n">
        <v>46247</v>
      </c>
      <c r="D669" s="62" t="s">
        <v>202</v>
      </c>
      <c r="E669" s="62" t="s">
        <v>573</v>
      </c>
      <c r="F669" s="62" t="s">
        <v>573</v>
      </c>
      <c r="G669" s="62" t="s">
        <v>574</v>
      </c>
      <c r="H669" s="62" t="s">
        <v>51</v>
      </c>
      <c r="I669" s="62" t="s">
        <v>47</v>
      </c>
      <c r="J669" s="62" t="s">
        <v>146</v>
      </c>
      <c r="K669" s="62" t="s">
        <v>147</v>
      </c>
      <c r="L669" s="62" t="s">
        <v>148</v>
      </c>
      <c r="M669" s="62" t="n">
        <v>0</v>
      </c>
      <c r="N669" s="62" t="n">
        <v>1</v>
      </c>
      <c r="O669" s="62" t="n">
        <v>1</v>
      </c>
      <c r="P669" s="62" t="n">
        <v>1</v>
      </c>
      <c r="Q669" s="62" t="n">
        <v>0</v>
      </c>
      <c r="R669" s="62" t="n">
        <v>0</v>
      </c>
      <c r="S669" s="62" t="n">
        <v>0</v>
      </c>
      <c r="T669" s="62" t="n">
        <v>0</v>
      </c>
      <c r="U669" s="62"/>
      <c r="V669" s="62"/>
      <c r="W669" s="62"/>
      <c r="X669" s="62"/>
      <c r="Y669" s="62"/>
      <c r="Z669" s="62" t="s">
        <v>1398</v>
      </c>
      <c r="AA669" s="62" t="s">
        <v>1399</v>
      </c>
      <c r="AB669" s="62" t="n">
        <v>1</v>
      </c>
      <c r="AC669" s="62" t="n">
        <v>0</v>
      </c>
      <c r="AD669" s="62" t="n">
        <v>1</v>
      </c>
      <c r="AE669" s="62" t="n">
        <f aca="false">IF(AND(Dashboard!$C$9="Yes",AC669=1),0,1)</f>
        <v>1</v>
      </c>
      <c r="AF669" s="62" t="n">
        <v>1</v>
      </c>
    </row>
    <row r="670" customFormat="false" ht="15" hidden="false" customHeight="false" outlineLevel="0" collapsed="false">
      <c r="A670" s="62" t="n">
        <v>669</v>
      </c>
      <c r="B670" s="63" t="n">
        <v>46247.6832060185</v>
      </c>
      <c r="C670" s="64" t="n">
        <v>46247</v>
      </c>
      <c r="D670" s="62" t="s">
        <v>202</v>
      </c>
      <c r="E670" s="62" t="s">
        <v>650</v>
      </c>
      <c r="F670" s="62" t="s">
        <v>650</v>
      </c>
      <c r="G670" s="62" t="s">
        <v>651</v>
      </c>
      <c r="H670" s="62" t="s">
        <v>59</v>
      </c>
      <c r="I670" s="62" t="s">
        <v>47</v>
      </c>
      <c r="J670" s="62" t="s">
        <v>146</v>
      </c>
      <c r="K670" s="62" t="s">
        <v>209</v>
      </c>
      <c r="L670" s="62" t="s">
        <v>4</v>
      </c>
      <c r="M670" s="62" t="n">
        <v>1</v>
      </c>
      <c r="N670" s="62" t="n">
        <v>0</v>
      </c>
      <c r="O670" s="62" t="n">
        <v>1</v>
      </c>
      <c r="P670" s="62" t="n">
        <v>0</v>
      </c>
      <c r="Q670" s="62" t="n">
        <v>0</v>
      </c>
      <c r="R670" s="62" t="n">
        <v>0</v>
      </c>
      <c r="S670" s="62" t="n">
        <v>0</v>
      </c>
      <c r="T670" s="62" t="n">
        <v>0</v>
      </c>
      <c r="U670" s="62"/>
      <c r="V670" s="62"/>
      <c r="W670" s="62"/>
      <c r="X670" s="62"/>
      <c r="Y670" s="62"/>
      <c r="Z670" s="62" t="s">
        <v>1400</v>
      </c>
      <c r="AA670" s="62" t="s">
        <v>1401</v>
      </c>
      <c r="AB670" s="62" t="n">
        <v>1</v>
      </c>
      <c r="AC670" s="62" t="n">
        <v>0</v>
      </c>
      <c r="AD670" s="62" t="n">
        <v>1</v>
      </c>
      <c r="AE670" s="62" t="n">
        <f aca="false">IF(AND(Dashboard!$C$9="Yes",AC670=1),0,1)</f>
        <v>1</v>
      </c>
      <c r="AF670" s="62" t="n">
        <v>1</v>
      </c>
    </row>
    <row r="671" customFormat="false" ht="15" hidden="false" customHeight="false" outlineLevel="0" collapsed="false">
      <c r="A671" s="62" t="n">
        <v>670</v>
      </c>
      <c r="B671" s="63" t="n">
        <v>46247.7284027778</v>
      </c>
      <c r="C671" s="64" t="n">
        <v>46247</v>
      </c>
      <c r="D671" s="62" t="s">
        <v>202</v>
      </c>
      <c r="E671" s="62" t="s">
        <v>203</v>
      </c>
      <c r="F671" s="62" t="s">
        <v>203</v>
      </c>
      <c r="G671" s="62" t="s">
        <v>204</v>
      </c>
      <c r="H671" s="62" t="s">
        <v>51</v>
      </c>
      <c r="I671" s="62" t="s">
        <v>47</v>
      </c>
      <c r="J671" s="62" t="s">
        <v>146</v>
      </c>
      <c r="K671" s="62" t="s">
        <v>147</v>
      </c>
      <c r="L671" s="62" t="s">
        <v>148</v>
      </c>
      <c r="M671" s="62" t="n">
        <v>0</v>
      </c>
      <c r="N671" s="62" t="n">
        <v>1</v>
      </c>
      <c r="O671" s="62" t="n">
        <v>1</v>
      </c>
      <c r="P671" s="62" t="n">
        <v>1</v>
      </c>
      <c r="Q671" s="62" t="n">
        <v>0</v>
      </c>
      <c r="R671" s="62" t="n">
        <v>0</v>
      </c>
      <c r="S671" s="62" t="n">
        <v>0</v>
      </c>
      <c r="T671" s="62" t="n">
        <v>0</v>
      </c>
      <c r="U671" s="62"/>
      <c r="V671" s="62"/>
      <c r="W671" s="62"/>
      <c r="X671" s="62"/>
      <c r="Y671" s="62"/>
      <c r="Z671" s="62" t="s">
        <v>1402</v>
      </c>
      <c r="AA671" s="62" t="s">
        <v>485</v>
      </c>
      <c r="AB671" s="62" t="n">
        <v>0</v>
      </c>
      <c r="AC671" s="62" t="n">
        <v>0</v>
      </c>
      <c r="AD671" s="62" t="n">
        <v>1</v>
      </c>
      <c r="AE671" s="62" t="n">
        <f aca="false">IF(AND(Dashboard!$C$9="Yes",AC671=1),0,1)</f>
        <v>1</v>
      </c>
      <c r="AF671" s="62" t="n">
        <v>1</v>
      </c>
    </row>
    <row r="672" customFormat="false" ht="15" hidden="false" customHeight="false" outlineLevel="0" collapsed="false">
      <c r="A672" s="62" t="n">
        <v>671</v>
      </c>
      <c r="B672" s="63" t="n">
        <v>46247.7390625</v>
      </c>
      <c r="C672" s="64" t="n">
        <v>46247</v>
      </c>
      <c r="D672" s="62" t="s">
        <v>202</v>
      </c>
      <c r="E672" s="62" t="s">
        <v>307</v>
      </c>
      <c r="F672" s="62" t="s">
        <v>308</v>
      </c>
      <c r="G672" s="62" t="s">
        <v>153</v>
      </c>
      <c r="H672" s="62" t="s">
        <v>153</v>
      </c>
      <c r="I672" s="62" t="s">
        <v>153</v>
      </c>
      <c r="J672" s="62" t="s">
        <v>64</v>
      </c>
      <c r="K672" s="62" t="s">
        <v>64</v>
      </c>
      <c r="L672" s="62" t="s">
        <v>148</v>
      </c>
      <c r="M672" s="62" t="n">
        <v>0</v>
      </c>
      <c r="N672" s="62" t="n">
        <v>1</v>
      </c>
      <c r="O672" s="62" t="n">
        <v>1</v>
      </c>
      <c r="P672" s="62" t="n">
        <v>1</v>
      </c>
      <c r="Q672" s="62" t="n">
        <v>0</v>
      </c>
      <c r="R672" s="62" t="n">
        <v>0</v>
      </c>
      <c r="S672" s="62" t="n">
        <v>0</v>
      </c>
      <c r="T672" s="62" t="n">
        <v>0</v>
      </c>
      <c r="U672" s="62"/>
      <c r="V672" s="62"/>
      <c r="W672" s="62"/>
      <c r="X672" s="62"/>
      <c r="Y672" s="62"/>
      <c r="Z672" s="62" t="s">
        <v>1403</v>
      </c>
      <c r="AA672" s="62" t="s">
        <v>1404</v>
      </c>
      <c r="AB672" s="62" t="n">
        <v>1</v>
      </c>
      <c r="AC672" s="62" t="n">
        <v>0</v>
      </c>
      <c r="AD672" s="62" t="n">
        <v>0</v>
      </c>
      <c r="AE672" s="62" t="n">
        <f aca="false">IF(AND(Dashboard!$C$9="Yes",AC672=1),0,1)</f>
        <v>1</v>
      </c>
      <c r="AF672" s="62" t="n">
        <v>1</v>
      </c>
    </row>
    <row r="673" customFormat="false" ht="15" hidden="false" customHeight="false" outlineLevel="0" collapsed="false">
      <c r="A673" s="62" t="n">
        <v>672</v>
      </c>
      <c r="B673" s="63" t="n">
        <v>46247.7883680556</v>
      </c>
      <c r="C673" s="64" t="n">
        <v>46247</v>
      </c>
      <c r="D673" s="62" t="s">
        <v>202</v>
      </c>
      <c r="E673" s="62" t="s">
        <v>255</v>
      </c>
      <c r="F673" s="62" t="s">
        <v>255</v>
      </c>
      <c r="G673" s="62" t="s">
        <v>256</v>
      </c>
      <c r="H673" s="62" t="s">
        <v>57</v>
      </c>
      <c r="I673" s="62" t="s">
        <v>47</v>
      </c>
      <c r="J673" s="62" t="s">
        <v>146</v>
      </c>
      <c r="K673" s="62" t="s">
        <v>147</v>
      </c>
      <c r="L673" s="62" t="s">
        <v>148</v>
      </c>
      <c r="M673" s="62" t="n">
        <v>0</v>
      </c>
      <c r="N673" s="62" t="n">
        <v>1</v>
      </c>
      <c r="O673" s="62" t="n">
        <v>1</v>
      </c>
      <c r="P673" s="62" t="n">
        <v>0</v>
      </c>
      <c r="Q673" s="62" t="n">
        <v>1</v>
      </c>
      <c r="R673" s="62" t="n">
        <v>0</v>
      </c>
      <c r="S673" s="62" t="n">
        <v>0</v>
      </c>
      <c r="T673" s="62" t="n">
        <v>0</v>
      </c>
      <c r="U673" s="62"/>
      <c r="V673" s="62"/>
      <c r="W673" s="62"/>
      <c r="X673" s="62"/>
      <c r="Y673" s="62"/>
      <c r="Z673" s="62" t="s">
        <v>1405</v>
      </c>
      <c r="AA673" s="62" t="s">
        <v>1406</v>
      </c>
      <c r="AB673" s="62" t="n">
        <v>1</v>
      </c>
      <c r="AC673" s="62" t="n">
        <v>0</v>
      </c>
      <c r="AD673" s="62" t="n">
        <v>1</v>
      </c>
      <c r="AE673" s="62" t="n">
        <f aca="false">IF(AND(Dashboard!$C$9="Yes",AC673=1),0,1)</f>
        <v>1</v>
      </c>
      <c r="AF673" s="62" t="n">
        <v>1</v>
      </c>
    </row>
    <row r="674" customFormat="false" ht="15" hidden="false" customHeight="false" outlineLevel="0" collapsed="false">
      <c r="A674" s="62" t="n">
        <v>673</v>
      </c>
      <c r="B674" s="63" t="n">
        <v>46247.7961574074</v>
      </c>
      <c r="C674" s="64" t="n">
        <v>46247</v>
      </c>
      <c r="D674" s="62" t="s">
        <v>202</v>
      </c>
      <c r="E674" s="62" t="s">
        <v>573</v>
      </c>
      <c r="F674" s="62" t="s">
        <v>573</v>
      </c>
      <c r="G674" s="62" t="s">
        <v>574</v>
      </c>
      <c r="H674" s="62" t="s">
        <v>51</v>
      </c>
      <c r="I674" s="62" t="s">
        <v>47</v>
      </c>
      <c r="J674" s="62" t="s">
        <v>146</v>
      </c>
      <c r="K674" s="62" t="s">
        <v>147</v>
      </c>
      <c r="L674" s="62" t="s">
        <v>148</v>
      </c>
      <c r="M674" s="62" t="n">
        <v>0</v>
      </c>
      <c r="N674" s="62" t="n">
        <v>1</v>
      </c>
      <c r="O674" s="62" t="n">
        <v>1</v>
      </c>
      <c r="P674" s="62" t="n">
        <v>1</v>
      </c>
      <c r="Q674" s="62" t="n">
        <v>0</v>
      </c>
      <c r="R674" s="62" t="n">
        <v>0</v>
      </c>
      <c r="S674" s="62" t="n">
        <v>0</v>
      </c>
      <c r="T674" s="62" t="n">
        <v>0</v>
      </c>
      <c r="U674" s="62"/>
      <c r="V674" s="62"/>
      <c r="W674" s="62"/>
      <c r="X674" s="62"/>
      <c r="Y674" s="62"/>
      <c r="Z674" s="62" t="s">
        <v>1407</v>
      </c>
      <c r="AA674" s="62" t="s">
        <v>1408</v>
      </c>
      <c r="AB674" s="62" t="n">
        <v>1</v>
      </c>
      <c r="AC674" s="62" t="n">
        <v>0</v>
      </c>
      <c r="AD674" s="62" t="n">
        <v>1</v>
      </c>
      <c r="AE674" s="62" t="n">
        <f aca="false">IF(AND(Dashboard!$C$9="Yes",AC674=1),0,1)</f>
        <v>1</v>
      </c>
      <c r="AF674" s="62" t="n">
        <v>0</v>
      </c>
    </row>
    <row r="675" customFormat="false" ht="15" hidden="false" customHeight="false" outlineLevel="0" collapsed="false">
      <c r="A675" s="62" t="n">
        <v>674</v>
      </c>
      <c r="B675" s="63" t="n">
        <v>46247.8078587963</v>
      </c>
      <c r="C675" s="64" t="n">
        <v>46247</v>
      </c>
      <c r="D675" s="62" t="s">
        <v>202</v>
      </c>
      <c r="E675" s="62" t="s">
        <v>439</v>
      </c>
      <c r="F675" s="62" t="s">
        <v>439</v>
      </c>
      <c r="G675" s="62" t="s">
        <v>440</v>
      </c>
      <c r="H675" s="62" t="s">
        <v>51</v>
      </c>
      <c r="I675" s="62" t="s">
        <v>47</v>
      </c>
      <c r="J675" s="62" t="s">
        <v>146</v>
      </c>
      <c r="K675" s="62" t="s">
        <v>175</v>
      </c>
      <c r="L675" s="62" t="s">
        <v>148</v>
      </c>
      <c r="M675" s="62" t="n">
        <v>0</v>
      </c>
      <c r="N675" s="62" t="n">
        <v>1</v>
      </c>
      <c r="O675" s="62" t="n">
        <v>1</v>
      </c>
      <c r="P675" s="62" t="n">
        <v>1</v>
      </c>
      <c r="Q675" s="62" t="n">
        <v>0</v>
      </c>
      <c r="R675" s="62" t="n">
        <v>0</v>
      </c>
      <c r="S675" s="62" t="n">
        <v>0</v>
      </c>
      <c r="T675" s="62" t="n">
        <v>0</v>
      </c>
      <c r="U675" s="62"/>
      <c r="V675" s="62"/>
      <c r="W675" s="62"/>
      <c r="X675" s="62"/>
      <c r="Y675" s="62"/>
      <c r="Z675" s="62" t="s">
        <v>1409</v>
      </c>
      <c r="AA675" s="62" t="s">
        <v>1410</v>
      </c>
      <c r="AB675" s="62" t="n">
        <v>1</v>
      </c>
      <c r="AC675" s="62" t="n">
        <v>0</v>
      </c>
      <c r="AD675" s="62" t="n">
        <v>1</v>
      </c>
      <c r="AE675" s="62" t="n">
        <f aca="false">IF(AND(Dashboard!$C$9="Yes",AC675=1),0,1)</f>
        <v>1</v>
      </c>
      <c r="AF675" s="62" t="n">
        <v>1</v>
      </c>
    </row>
    <row r="676" customFormat="false" ht="15" hidden="false" customHeight="false" outlineLevel="0" collapsed="false">
      <c r="A676" s="62" t="n">
        <v>675</v>
      </c>
      <c r="B676" s="63" t="n">
        <v>46247.8128356482</v>
      </c>
      <c r="C676" s="64" t="n">
        <v>46247</v>
      </c>
      <c r="D676" s="62" t="s">
        <v>202</v>
      </c>
      <c r="E676" s="62" t="s">
        <v>586</v>
      </c>
      <c r="F676" s="62" t="s">
        <v>586</v>
      </c>
      <c r="G676" s="62" t="s">
        <v>587</v>
      </c>
      <c r="H676" s="62" t="s">
        <v>57</v>
      </c>
      <c r="I676" s="62" t="s">
        <v>47</v>
      </c>
      <c r="J676" s="62" t="s">
        <v>146</v>
      </c>
      <c r="K676" s="62" t="s">
        <v>175</v>
      </c>
      <c r="L676" s="62" t="s">
        <v>148</v>
      </c>
      <c r="M676" s="62" t="n">
        <v>0</v>
      </c>
      <c r="N676" s="62" t="n">
        <v>1</v>
      </c>
      <c r="O676" s="62" t="n">
        <v>1</v>
      </c>
      <c r="P676" s="62" t="n">
        <v>1</v>
      </c>
      <c r="Q676" s="62" t="n">
        <v>0</v>
      </c>
      <c r="R676" s="62" t="n">
        <v>0</v>
      </c>
      <c r="S676" s="62" t="n">
        <v>0</v>
      </c>
      <c r="T676" s="62" t="n">
        <v>0</v>
      </c>
      <c r="U676" s="62"/>
      <c r="V676" s="62"/>
      <c r="W676" s="62"/>
      <c r="X676" s="62"/>
      <c r="Y676" s="62"/>
      <c r="Z676" s="62" t="s">
        <v>1411</v>
      </c>
      <c r="AA676" s="62" t="s">
        <v>1412</v>
      </c>
      <c r="AB676" s="62" t="n">
        <v>1</v>
      </c>
      <c r="AC676" s="62" t="n">
        <v>0</v>
      </c>
      <c r="AD676" s="62" t="n">
        <v>1</v>
      </c>
      <c r="AE676" s="62" t="n">
        <f aca="false">IF(AND(Dashboard!$C$9="Yes",AC676=1),0,1)</f>
        <v>1</v>
      </c>
      <c r="AF676" s="62" t="n">
        <v>1</v>
      </c>
    </row>
    <row r="677" customFormat="false" ht="15" hidden="false" customHeight="false" outlineLevel="0" collapsed="false">
      <c r="A677" s="62" t="n">
        <v>676</v>
      </c>
      <c r="B677" s="63" t="n">
        <v>46247.8512384259</v>
      </c>
      <c r="C677" s="64" t="n">
        <v>46247</v>
      </c>
      <c r="D677" s="62" t="s">
        <v>202</v>
      </c>
      <c r="E677" s="62" t="s">
        <v>203</v>
      </c>
      <c r="F677" s="62" t="s">
        <v>203</v>
      </c>
      <c r="G677" s="62" t="s">
        <v>204</v>
      </c>
      <c r="H677" s="62" t="s">
        <v>51</v>
      </c>
      <c r="I677" s="62" t="s">
        <v>47</v>
      </c>
      <c r="J677" s="62" t="s">
        <v>146</v>
      </c>
      <c r="K677" s="62" t="s">
        <v>147</v>
      </c>
      <c r="L677" s="62" t="s">
        <v>148</v>
      </c>
      <c r="M677" s="62" t="n">
        <v>0</v>
      </c>
      <c r="N677" s="62" t="n">
        <v>1</v>
      </c>
      <c r="O677" s="62" t="n">
        <v>1</v>
      </c>
      <c r="P677" s="62" t="n">
        <v>0</v>
      </c>
      <c r="Q677" s="62" t="n">
        <v>0</v>
      </c>
      <c r="R677" s="62" t="n">
        <v>1</v>
      </c>
      <c r="S677" s="62" t="n">
        <v>0</v>
      </c>
      <c r="T677" s="62" t="n">
        <v>0</v>
      </c>
      <c r="U677" s="62"/>
      <c r="V677" s="62"/>
      <c r="W677" s="62"/>
      <c r="X677" s="62"/>
      <c r="Y677" s="62"/>
      <c r="Z677" s="62" t="s">
        <v>1413</v>
      </c>
      <c r="AA677" s="62" t="s">
        <v>485</v>
      </c>
      <c r="AB677" s="62" t="n">
        <v>0</v>
      </c>
      <c r="AC677" s="62" t="n">
        <v>0</v>
      </c>
      <c r="AD677" s="62" t="n">
        <v>1</v>
      </c>
      <c r="AE677" s="62" t="n">
        <f aca="false">IF(AND(Dashboard!$C$9="Yes",AC677=1),0,1)</f>
        <v>1</v>
      </c>
      <c r="AF677" s="62" t="n">
        <v>0</v>
      </c>
    </row>
    <row r="678" customFormat="false" ht="15" hidden="false" customHeight="false" outlineLevel="0" collapsed="false">
      <c r="A678" s="62" t="n">
        <v>677</v>
      </c>
      <c r="B678" s="63" t="n">
        <v>46247.8515856482</v>
      </c>
      <c r="C678" s="64" t="n">
        <v>46247</v>
      </c>
      <c r="D678" s="62" t="s">
        <v>202</v>
      </c>
      <c r="E678" s="62" t="s">
        <v>228</v>
      </c>
      <c r="F678" s="62" t="s">
        <v>229</v>
      </c>
      <c r="G678" s="62" t="s">
        <v>153</v>
      </c>
      <c r="H678" s="62" t="s">
        <v>153</v>
      </c>
      <c r="I678" s="62" t="s">
        <v>153</v>
      </c>
      <c r="J678" s="62" t="s">
        <v>64</v>
      </c>
      <c r="K678" s="62" t="s">
        <v>64</v>
      </c>
      <c r="L678" s="62" t="s">
        <v>148</v>
      </c>
      <c r="M678" s="62" t="n">
        <v>0</v>
      </c>
      <c r="N678" s="62" t="n">
        <v>1</v>
      </c>
      <c r="O678" s="62" t="n">
        <v>1</v>
      </c>
      <c r="P678" s="62" t="n">
        <v>1</v>
      </c>
      <c r="Q678" s="62" t="n">
        <v>0</v>
      </c>
      <c r="R678" s="62" t="n">
        <v>0</v>
      </c>
      <c r="S678" s="62" t="n">
        <v>0</v>
      </c>
      <c r="T678" s="62" t="n">
        <v>0</v>
      </c>
      <c r="U678" s="62"/>
      <c r="V678" s="62"/>
      <c r="W678" s="62"/>
      <c r="X678" s="62"/>
      <c r="Y678" s="62"/>
      <c r="Z678" s="62" t="s">
        <v>1414</v>
      </c>
      <c r="AA678" s="62" t="s">
        <v>1415</v>
      </c>
      <c r="AB678" s="62" t="n">
        <v>1</v>
      </c>
      <c r="AC678" s="62" t="n">
        <v>0</v>
      </c>
      <c r="AD678" s="62" t="n">
        <v>0</v>
      </c>
      <c r="AE678" s="62" t="n">
        <f aca="false">IF(AND(Dashboard!$C$9="Yes",AC678=1),0,1)</f>
        <v>1</v>
      </c>
      <c r="AF678" s="62" t="n">
        <v>0</v>
      </c>
    </row>
    <row r="679" customFormat="false" ht="15" hidden="false" customHeight="false" outlineLevel="0" collapsed="false">
      <c r="A679" s="62" t="n">
        <v>678</v>
      </c>
      <c r="B679" s="63" t="n">
        <v>46247.8527199074</v>
      </c>
      <c r="C679" s="64" t="n">
        <v>46247</v>
      </c>
      <c r="D679" s="62" t="s">
        <v>202</v>
      </c>
      <c r="E679" s="62" t="s">
        <v>650</v>
      </c>
      <c r="F679" s="62" t="s">
        <v>650</v>
      </c>
      <c r="G679" s="62" t="s">
        <v>651</v>
      </c>
      <c r="H679" s="62" t="s">
        <v>59</v>
      </c>
      <c r="I679" s="62" t="s">
        <v>47</v>
      </c>
      <c r="J679" s="62" t="s">
        <v>146</v>
      </c>
      <c r="K679" s="62" t="s">
        <v>209</v>
      </c>
      <c r="L679" s="62" t="s">
        <v>148</v>
      </c>
      <c r="M679" s="62" t="n">
        <v>0</v>
      </c>
      <c r="N679" s="62" t="n">
        <v>2</v>
      </c>
      <c r="O679" s="62" t="n">
        <v>2</v>
      </c>
      <c r="P679" s="62" t="n">
        <v>1</v>
      </c>
      <c r="Q679" s="62" t="n">
        <v>1</v>
      </c>
      <c r="R679" s="62" t="n">
        <v>0</v>
      </c>
      <c r="S679" s="62" t="n">
        <v>0</v>
      </c>
      <c r="T679" s="62" t="n">
        <v>0</v>
      </c>
      <c r="U679" s="62"/>
      <c r="V679" s="62"/>
      <c r="W679" s="62"/>
      <c r="X679" s="62"/>
      <c r="Y679" s="62"/>
      <c r="Z679" s="62" t="s">
        <v>1416</v>
      </c>
      <c r="AA679" s="62" t="s">
        <v>1417</v>
      </c>
      <c r="AB679" s="62" t="n">
        <v>1</v>
      </c>
      <c r="AC679" s="62" t="n">
        <v>0</v>
      </c>
      <c r="AD679" s="62" t="n">
        <v>1</v>
      </c>
      <c r="AE679" s="62" t="n">
        <f aca="false">IF(AND(Dashboard!$C$9="Yes",AC679=1),0,1)</f>
        <v>1</v>
      </c>
      <c r="AF679" s="62" t="n">
        <v>0</v>
      </c>
    </row>
    <row r="680" customFormat="false" ht="15" hidden="false" customHeight="false" outlineLevel="0" collapsed="false">
      <c r="A680" s="62" t="n">
        <v>679</v>
      </c>
      <c r="B680" s="63" t="n">
        <v>46247.8548611111</v>
      </c>
      <c r="C680" s="64" t="n">
        <v>46247</v>
      </c>
      <c r="D680" s="62" t="s">
        <v>202</v>
      </c>
      <c r="E680" s="62" t="s">
        <v>650</v>
      </c>
      <c r="F680" s="62" t="s">
        <v>650</v>
      </c>
      <c r="G680" s="62" t="s">
        <v>651</v>
      </c>
      <c r="H680" s="62" t="s">
        <v>59</v>
      </c>
      <c r="I680" s="62" t="s">
        <v>47</v>
      </c>
      <c r="J680" s="62" t="s">
        <v>146</v>
      </c>
      <c r="K680" s="62" t="s">
        <v>209</v>
      </c>
      <c r="L680" s="62" t="s">
        <v>148</v>
      </c>
      <c r="M680" s="62" t="n">
        <v>0</v>
      </c>
      <c r="N680" s="62" t="n">
        <v>2</v>
      </c>
      <c r="O680" s="62" t="n">
        <v>2</v>
      </c>
      <c r="P680" s="62" t="n">
        <v>1</v>
      </c>
      <c r="Q680" s="62" t="n">
        <v>1</v>
      </c>
      <c r="R680" s="62" t="n">
        <v>0</v>
      </c>
      <c r="S680" s="62" t="n">
        <v>0</v>
      </c>
      <c r="T680" s="62" t="n">
        <v>0</v>
      </c>
      <c r="U680" s="62"/>
      <c r="V680" s="62"/>
      <c r="W680" s="62"/>
      <c r="X680" s="62"/>
      <c r="Y680" s="62"/>
      <c r="Z680" s="62" t="s">
        <v>1416</v>
      </c>
      <c r="AA680" s="62" t="s">
        <v>1417</v>
      </c>
      <c r="AB680" s="62" t="n">
        <v>1</v>
      </c>
      <c r="AC680" s="62" t="n">
        <v>1</v>
      </c>
      <c r="AD680" s="62" t="n">
        <v>1</v>
      </c>
      <c r="AE680" s="62" t="n">
        <f aca="false">IF(AND(Dashboard!$C$9="Yes",AC680=1),0,1)</f>
        <v>0</v>
      </c>
      <c r="AF680" s="62" t="n">
        <v>0</v>
      </c>
    </row>
    <row r="681" customFormat="false" ht="15" hidden="false" customHeight="false" outlineLevel="0" collapsed="false">
      <c r="A681" s="62" t="n">
        <v>680</v>
      </c>
      <c r="B681" s="63" t="n">
        <v>46247.8599305556</v>
      </c>
      <c r="C681" s="64" t="n">
        <v>46247</v>
      </c>
      <c r="D681" s="62" t="s">
        <v>202</v>
      </c>
      <c r="E681" s="62" t="s">
        <v>586</v>
      </c>
      <c r="F681" s="62" t="s">
        <v>586</v>
      </c>
      <c r="G681" s="62" t="s">
        <v>587</v>
      </c>
      <c r="H681" s="62" t="s">
        <v>57</v>
      </c>
      <c r="I681" s="62" t="s">
        <v>47</v>
      </c>
      <c r="J681" s="62" t="s">
        <v>146</v>
      </c>
      <c r="K681" s="62" t="s">
        <v>175</v>
      </c>
      <c r="L681" s="62" t="s">
        <v>148</v>
      </c>
      <c r="M681" s="62" t="n">
        <v>0</v>
      </c>
      <c r="N681" s="62" t="n">
        <v>1</v>
      </c>
      <c r="O681" s="62" t="n">
        <v>1</v>
      </c>
      <c r="P681" s="62" t="n">
        <v>1</v>
      </c>
      <c r="Q681" s="62" t="n">
        <v>0</v>
      </c>
      <c r="R681" s="62" t="n">
        <v>0</v>
      </c>
      <c r="S681" s="62" t="n">
        <v>0</v>
      </c>
      <c r="T681" s="62" t="n">
        <v>0</v>
      </c>
      <c r="U681" s="62"/>
      <c r="V681" s="62"/>
      <c r="W681" s="62"/>
      <c r="X681" s="62"/>
      <c r="Y681" s="62"/>
      <c r="Z681" s="62" t="s">
        <v>1418</v>
      </c>
      <c r="AA681" s="62" t="s">
        <v>1419</v>
      </c>
      <c r="AB681" s="62" t="n">
        <v>1</v>
      </c>
      <c r="AC681" s="62" t="n">
        <v>0</v>
      </c>
      <c r="AD681" s="62" t="n">
        <v>1</v>
      </c>
      <c r="AE681" s="62" t="n">
        <f aca="false">IF(AND(Dashboard!$C$9="Yes",AC681=1),0,1)</f>
        <v>1</v>
      </c>
      <c r="AF681" s="62" t="n">
        <v>0</v>
      </c>
    </row>
    <row r="682" customFormat="false" ht="15" hidden="false" customHeight="false" outlineLevel="0" collapsed="false">
      <c r="A682" s="62" t="n">
        <v>681</v>
      </c>
      <c r="B682" s="63" t="n">
        <v>46247.8714467593</v>
      </c>
      <c r="C682" s="64" t="n">
        <v>46247</v>
      </c>
      <c r="D682" s="62" t="s">
        <v>202</v>
      </c>
      <c r="E682" s="62" t="s">
        <v>228</v>
      </c>
      <c r="F682" s="62" t="s">
        <v>229</v>
      </c>
      <c r="G682" s="62" t="s">
        <v>153</v>
      </c>
      <c r="H682" s="62" t="s">
        <v>153</v>
      </c>
      <c r="I682" s="62" t="s">
        <v>153</v>
      </c>
      <c r="J682" s="62" t="s">
        <v>64</v>
      </c>
      <c r="K682" s="62" t="s">
        <v>64</v>
      </c>
      <c r="L682" s="62" t="s">
        <v>148</v>
      </c>
      <c r="M682" s="62" t="n">
        <v>0</v>
      </c>
      <c r="N682" s="62" t="n">
        <v>1</v>
      </c>
      <c r="O682" s="62" t="n">
        <v>1</v>
      </c>
      <c r="P682" s="62" t="n">
        <v>0</v>
      </c>
      <c r="Q682" s="62" t="n">
        <v>1</v>
      </c>
      <c r="R682" s="62" t="n">
        <v>0</v>
      </c>
      <c r="S682" s="62" t="n">
        <v>0</v>
      </c>
      <c r="T682" s="62" t="n">
        <v>0</v>
      </c>
      <c r="U682" s="62"/>
      <c r="V682" s="62"/>
      <c r="W682" s="62"/>
      <c r="X682" s="62"/>
      <c r="Y682" s="62"/>
      <c r="Z682" s="62" t="s">
        <v>1420</v>
      </c>
      <c r="AA682" s="62" t="s">
        <v>1421</v>
      </c>
      <c r="AB682" s="62" t="n">
        <v>1</v>
      </c>
      <c r="AC682" s="62" t="n">
        <v>0</v>
      </c>
      <c r="AD682" s="62" t="n">
        <v>0</v>
      </c>
      <c r="AE682" s="62" t="n">
        <f aca="false">IF(AND(Dashboard!$C$9="Yes",AC682=1),0,1)</f>
        <v>1</v>
      </c>
      <c r="AF682" s="62" t="n">
        <v>0</v>
      </c>
    </row>
    <row r="683" customFormat="false" ht="15" hidden="false" customHeight="false" outlineLevel="0" collapsed="false">
      <c r="A683" s="62" t="n">
        <v>682</v>
      </c>
      <c r="B683" s="63" t="n">
        <v>46247.9475578704</v>
      </c>
      <c r="C683" s="64" t="n">
        <v>46247</v>
      </c>
      <c r="D683" s="62" t="s">
        <v>202</v>
      </c>
      <c r="E683" s="62" t="s">
        <v>218</v>
      </c>
      <c r="F683" s="62" t="s">
        <v>218</v>
      </c>
      <c r="G683" s="62" t="s">
        <v>219</v>
      </c>
      <c r="H683" s="62" t="s">
        <v>51</v>
      </c>
      <c r="I683" s="62" t="s">
        <v>47</v>
      </c>
      <c r="J683" s="62" t="s">
        <v>146</v>
      </c>
      <c r="K683" s="62" t="s">
        <v>147</v>
      </c>
      <c r="L683" s="62" t="s">
        <v>4</v>
      </c>
      <c r="M683" s="62" t="n">
        <v>1</v>
      </c>
      <c r="N683" s="62" t="n">
        <v>0</v>
      </c>
      <c r="O683" s="62" t="n">
        <v>1</v>
      </c>
      <c r="P683" s="62" t="n">
        <v>0</v>
      </c>
      <c r="Q683" s="62" t="n">
        <v>0</v>
      </c>
      <c r="R683" s="62" t="n">
        <v>0</v>
      </c>
      <c r="S683" s="62" t="n">
        <v>0</v>
      </c>
      <c r="T683" s="62" t="n">
        <v>0</v>
      </c>
      <c r="U683" s="62"/>
      <c r="V683" s="62"/>
      <c r="W683" s="62"/>
      <c r="X683" s="62"/>
      <c r="Y683" s="62"/>
      <c r="Z683" s="62" t="s">
        <v>1422</v>
      </c>
      <c r="AA683" s="62" t="s">
        <v>1423</v>
      </c>
      <c r="AB683" s="62" t="n">
        <v>1</v>
      </c>
      <c r="AC683" s="62" t="n">
        <v>0</v>
      </c>
      <c r="AD683" s="62" t="n">
        <v>1</v>
      </c>
      <c r="AE683" s="62" t="n">
        <f aca="false">IF(AND(Dashboard!$C$9="Yes",AC683=1),0,1)</f>
        <v>1</v>
      </c>
      <c r="AF683" s="62" t="n">
        <v>1</v>
      </c>
    </row>
    <row r="684" customFormat="false" ht="15" hidden="false" customHeight="false" outlineLevel="0" collapsed="false">
      <c r="A684" s="62" t="n">
        <v>683</v>
      </c>
      <c r="B684" s="63" t="n">
        <v>46247.9531018519</v>
      </c>
      <c r="C684" s="64" t="n">
        <v>46247</v>
      </c>
      <c r="D684" s="62" t="s">
        <v>202</v>
      </c>
      <c r="E684" s="62" t="s">
        <v>790</v>
      </c>
      <c r="F684" s="62" t="s">
        <v>791</v>
      </c>
      <c r="G684" s="62" t="s">
        <v>153</v>
      </c>
      <c r="H684" s="62" t="s">
        <v>153</v>
      </c>
      <c r="I684" s="62" t="s">
        <v>153</v>
      </c>
      <c r="J684" s="62" t="s">
        <v>64</v>
      </c>
      <c r="K684" s="62" t="s">
        <v>64</v>
      </c>
      <c r="L684" s="62" t="s">
        <v>148</v>
      </c>
      <c r="M684" s="62" t="n">
        <v>0</v>
      </c>
      <c r="N684" s="62" t="n">
        <v>2</v>
      </c>
      <c r="O684" s="62" t="n">
        <v>2</v>
      </c>
      <c r="P684" s="62" t="n">
        <v>1</v>
      </c>
      <c r="Q684" s="62" t="n">
        <v>1</v>
      </c>
      <c r="R684" s="62" t="n">
        <v>0</v>
      </c>
      <c r="S684" s="62" t="n">
        <v>0</v>
      </c>
      <c r="T684" s="62" t="n">
        <v>0</v>
      </c>
      <c r="U684" s="62"/>
      <c r="V684" s="62"/>
      <c r="W684" s="62"/>
      <c r="X684" s="62"/>
      <c r="Y684" s="62"/>
      <c r="Z684" s="62" t="s">
        <v>1424</v>
      </c>
      <c r="AA684" s="62" t="s">
        <v>1425</v>
      </c>
      <c r="AB684" s="62" t="n">
        <v>1</v>
      </c>
      <c r="AC684" s="62" t="n">
        <v>0</v>
      </c>
      <c r="AD684" s="62" t="n">
        <v>0</v>
      </c>
      <c r="AE684" s="62" t="n">
        <f aca="false">IF(AND(Dashboard!$C$9="Yes",AC684=1),0,1)</f>
        <v>1</v>
      </c>
      <c r="AF684" s="62" t="n">
        <v>1</v>
      </c>
    </row>
    <row r="685" customFormat="false" ht="15" hidden="false" customHeight="false" outlineLevel="0" collapsed="false">
      <c r="A685" s="62" t="n">
        <v>684</v>
      </c>
      <c r="B685" s="63" t="n">
        <v>46247.9638888889</v>
      </c>
      <c r="C685" s="64" t="n">
        <v>46247</v>
      </c>
      <c r="D685" s="62" t="s">
        <v>202</v>
      </c>
      <c r="E685" s="62" t="s">
        <v>573</v>
      </c>
      <c r="F685" s="62" t="s">
        <v>573</v>
      </c>
      <c r="G685" s="62" t="s">
        <v>574</v>
      </c>
      <c r="H685" s="62" t="s">
        <v>51</v>
      </c>
      <c r="I685" s="62" t="s">
        <v>47</v>
      </c>
      <c r="J685" s="62" t="s">
        <v>146</v>
      </c>
      <c r="K685" s="62" t="s">
        <v>147</v>
      </c>
      <c r="L685" s="62" t="s">
        <v>4</v>
      </c>
      <c r="M685" s="62" t="n">
        <v>1</v>
      </c>
      <c r="N685" s="62" t="n">
        <v>0</v>
      </c>
      <c r="O685" s="62" t="n">
        <v>1</v>
      </c>
      <c r="P685" s="62" t="n">
        <v>0</v>
      </c>
      <c r="Q685" s="62" t="n">
        <v>0</v>
      </c>
      <c r="R685" s="62" t="n">
        <v>0</v>
      </c>
      <c r="S685" s="62" t="n">
        <v>0</v>
      </c>
      <c r="T685" s="62" t="n">
        <v>0</v>
      </c>
      <c r="U685" s="62"/>
      <c r="V685" s="62"/>
      <c r="W685" s="62"/>
      <c r="X685" s="62"/>
      <c r="Y685" s="62"/>
      <c r="Z685" s="62" t="s">
        <v>1398</v>
      </c>
      <c r="AA685" s="62" t="s">
        <v>1426</v>
      </c>
      <c r="AB685" s="62" t="n">
        <v>1</v>
      </c>
      <c r="AC685" s="62" t="n">
        <v>0</v>
      </c>
      <c r="AD685" s="62" t="n">
        <v>1</v>
      </c>
      <c r="AE685" s="62" t="n">
        <f aca="false">IF(AND(Dashboard!$C$9="Yes",AC685=1),0,1)</f>
        <v>1</v>
      </c>
      <c r="AF685" s="62" t="n">
        <v>0</v>
      </c>
    </row>
    <row r="686" customFormat="false" ht="15" hidden="false" customHeight="false" outlineLevel="0" collapsed="false">
      <c r="A686" s="62" t="n">
        <v>685</v>
      </c>
      <c r="B686" s="63" t="n">
        <v>46247.9643287037</v>
      </c>
      <c r="C686" s="64" t="n">
        <v>46247</v>
      </c>
      <c r="D686" s="62" t="s">
        <v>202</v>
      </c>
      <c r="E686" s="62" t="s">
        <v>573</v>
      </c>
      <c r="F686" s="62" t="s">
        <v>573</v>
      </c>
      <c r="G686" s="62" t="s">
        <v>574</v>
      </c>
      <c r="H686" s="62" t="s">
        <v>51</v>
      </c>
      <c r="I686" s="62" t="s">
        <v>47</v>
      </c>
      <c r="J686" s="62" t="s">
        <v>146</v>
      </c>
      <c r="K686" s="62" t="s">
        <v>147</v>
      </c>
      <c r="L686" s="62" t="s">
        <v>148</v>
      </c>
      <c r="M686" s="62" t="n">
        <v>0</v>
      </c>
      <c r="N686" s="62" t="n">
        <v>1</v>
      </c>
      <c r="O686" s="62" t="n">
        <v>1</v>
      </c>
      <c r="P686" s="62" t="n">
        <v>0</v>
      </c>
      <c r="Q686" s="62" t="n">
        <v>0</v>
      </c>
      <c r="R686" s="62" t="n">
        <v>0</v>
      </c>
      <c r="S686" s="62" t="n">
        <v>1</v>
      </c>
      <c r="T686" s="62" t="n">
        <v>0</v>
      </c>
      <c r="U686" s="62"/>
      <c r="V686" s="62"/>
      <c r="W686" s="62"/>
      <c r="X686" s="62"/>
      <c r="Y686" s="62"/>
      <c r="Z686" s="62" t="s">
        <v>1398</v>
      </c>
      <c r="AA686" s="62" t="s">
        <v>1426</v>
      </c>
      <c r="AB686" s="62" t="n">
        <v>1</v>
      </c>
      <c r="AC686" s="62" t="n">
        <v>0</v>
      </c>
      <c r="AD686" s="62" t="n">
        <v>1</v>
      </c>
      <c r="AE686" s="62" t="n">
        <f aca="false">IF(AND(Dashboard!$C$9="Yes",AC686=1),0,1)</f>
        <v>1</v>
      </c>
      <c r="AF686" s="62" t="n">
        <v>0</v>
      </c>
    </row>
    <row r="687" customFormat="false" ht="15" hidden="false" customHeight="false" outlineLevel="0" collapsed="false">
      <c r="A687" s="62" t="n">
        <v>686</v>
      </c>
      <c r="B687" s="63" t="n">
        <v>46247.9764351852</v>
      </c>
      <c r="C687" s="64" t="n">
        <v>46247</v>
      </c>
      <c r="D687" s="62" t="s">
        <v>202</v>
      </c>
      <c r="E687" s="62" t="s">
        <v>203</v>
      </c>
      <c r="F687" s="62" t="s">
        <v>203</v>
      </c>
      <c r="G687" s="62" t="s">
        <v>204</v>
      </c>
      <c r="H687" s="62" t="s">
        <v>51</v>
      </c>
      <c r="I687" s="62" t="s">
        <v>47</v>
      </c>
      <c r="J687" s="62" t="s">
        <v>146</v>
      </c>
      <c r="K687" s="62" t="s">
        <v>147</v>
      </c>
      <c r="L687" s="62" t="s">
        <v>148</v>
      </c>
      <c r="M687" s="62" t="n">
        <v>0</v>
      </c>
      <c r="N687" s="62" t="n">
        <v>1</v>
      </c>
      <c r="O687" s="62" t="n">
        <v>1</v>
      </c>
      <c r="P687" s="62" t="n">
        <v>0</v>
      </c>
      <c r="Q687" s="62" t="n">
        <v>1</v>
      </c>
      <c r="R687" s="62" t="n">
        <v>0</v>
      </c>
      <c r="S687" s="62" t="n">
        <v>0</v>
      </c>
      <c r="T687" s="62" t="n">
        <v>0</v>
      </c>
      <c r="U687" s="62"/>
      <c r="V687" s="62"/>
      <c r="W687" s="62"/>
      <c r="X687" s="62"/>
      <c r="Y687" s="62"/>
      <c r="Z687" s="62" t="s">
        <v>1427</v>
      </c>
      <c r="AA687" s="62" t="s">
        <v>485</v>
      </c>
      <c r="AB687" s="62" t="n">
        <v>0</v>
      </c>
      <c r="AC687" s="62" t="n">
        <v>0</v>
      </c>
      <c r="AD687" s="62" t="n">
        <v>1</v>
      </c>
      <c r="AE687" s="62" t="n">
        <f aca="false">IF(AND(Dashboard!$C$9="Yes",AC687=1),0,1)</f>
        <v>1</v>
      </c>
      <c r="AF687" s="62" t="n">
        <v>0</v>
      </c>
    </row>
    <row r="688" customFormat="false" ht="15" hidden="false" customHeight="false" outlineLevel="0" collapsed="false">
      <c r="A688" s="62" t="n">
        <v>687</v>
      </c>
      <c r="B688" s="63" t="n">
        <v>46247.9861921296</v>
      </c>
      <c r="C688" s="64" t="n">
        <v>46247</v>
      </c>
      <c r="D688" s="62" t="s">
        <v>202</v>
      </c>
      <c r="E688" s="62" t="s">
        <v>307</v>
      </c>
      <c r="F688" s="62" t="s">
        <v>308</v>
      </c>
      <c r="G688" s="62" t="s">
        <v>153</v>
      </c>
      <c r="H688" s="62" t="s">
        <v>153</v>
      </c>
      <c r="I688" s="62" t="s">
        <v>153</v>
      </c>
      <c r="J688" s="62" t="s">
        <v>64</v>
      </c>
      <c r="K688" s="62" t="s">
        <v>64</v>
      </c>
      <c r="L688" s="62" t="s">
        <v>148</v>
      </c>
      <c r="M688" s="62" t="n">
        <v>0</v>
      </c>
      <c r="N688" s="62" t="n">
        <v>1</v>
      </c>
      <c r="O688" s="62" t="n">
        <v>1</v>
      </c>
      <c r="P688" s="62" t="n">
        <v>0</v>
      </c>
      <c r="Q688" s="62" t="n">
        <v>1</v>
      </c>
      <c r="R688" s="62" t="n">
        <v>0</v>
      </c>
      <c r="S688" s="62" t="n">
        <v>0</v>
      </c>
      <c r="T688" s="62" t="n">
        <v>0</v>
      </c>
      <c r="U688" s="62"/>
      <c r="V688" s="62"/>
      <c r="W688" s="62"/>
      <c r="X688" s="62"/>
      <c r="Y688" s="62"/>
      <c r="Z688" s="62" t="s">
        <v>1428</v>
      </c>
      <c r="AA688" s="62" t="s">
        <v>1429</v>
      </c>
      <c r="AB688" s="62" t="n">
        <v>1</v>
      </c>
      <c r="AC688" s="62" t="n">
        <v>0</v>
      </c>
      <c r="AD688" s="62" t="n">
        <v>0</v>
      </c>
      <c r="AE688" s="62" t="n">
        <f aca="false">IF(AND(Dashboard!$C$9="Yes",AC688=1),0,1)</f>
        <v>1</v>
      </c>
      <c r="AF688" s="62" t="n">
        <v>0</v>
      </c>
    </row>
    <row r="689" customFormat="false" ht="15" hidden="false" customHeight="false" outlineLevel="0" collapsed="false">
      <c r="A689" s="62" t="n">
        <v>688</v>
      </c>
      <c r="B689" s="63" t="n">
        <v>46247.9908101852</v>
      </c>
      <c r="C689" s="64" t="n">
        <v>46247</v>
      </c>
      <c r="D689" s="62" t="s">
        <v>202</v>
      </c>
      <c r="E689" s="62" t="s">
        <v>312</v>
      </c>
      <c r="F689" s="62" t="s">
        <v>312</v>
      </c>
      <c r="G689" s="62" t="s">
        <v>313</v>
      </c>
      <c r="H689" s="62" t="s">
        <v>51</v>
      </c>
      <c r="I689" s="62" t="s">
        <v>47</v>
      </c>
      <c r="J689" s="62" t="s">
        <v>146</v>
      </c>
      <c r="K689" s="62" t="s">
        <v>147</v>
      </c>
      <c r="L689" s="62" t="s">
        <v>4</v>
      </c>
      <c r="M689" s="62" t="n">
        <v>1</v>
      </c>
      <c r="N689" s="62" t="n">
        <v>0</v>
      </c>
      <c r="O689" s="62" t="n">
        <v>1</v>
      </c>
      <c r="P689" s="62" t="n">
        <v>0</v>
      </c>
      <c r="Q689" s="62" t="n">
        <v>0</v>
      </c>
      <c r="R689" s="62" t="n">
        <v>0</v>
      </c>
      <c r="S689" s="62" t="n">
        <v>0</v>
      </c>
      <c r="T689" s="62" t="n">
        <v>0</v>
      </c>
      <c r="U689" s="62"/>
      <c r="V689" s="62"/>
      <c r="W689" s="62"/>
      <c r="X689" s="62"/>
      <c r="Y689" s="62"/>
      <c r="Z689" s="62" t="s">
        <v>1430</v>
      </c>
      <c r="AA689" s="62" t="s">
        <v>1431</v>
      </c>
      <c r="AB689" s="62" t="n">
        <v>1</v>
      </c>
      <c r="AC689" s="62" t="n">
        <v>0</v>
      </c>
      <c r="AD689" s="62" t="n">
        <v>1</v>
      </c>
      <c r="AE689" s="62" t="n">
        <f aca="false">IF(AND(Dashboard!$C$9="Yes",AC689=1),0,1)</f>
        <v>1</v>
      </c>
      <c r="AF689" s="62" t="n">
        <v>1</v>
      </c>
    </row>
    <row r="690" customFormat="false" ht="15" hidden="false" customHeight="false" outlineLevel="0" collapsed="false">
      <c r="A690" s="62" t="n">
        <v>689</v>
      </c>
      <c r="B690" s="63" t="n">
        <v>46248.1596412037</v>
      </c>
      <c r="C690" s="64" t="n">
        <v>46247</v>
      </c>
      <c r="D690" s="62" t="s">
        <v>202</v>
      </c>
      <c r="E690" s="62" t="s">
        <v>312</v>
      </c>
      <c r="F690" s="62" t="s">
        <v>312</v>
      </c>
      <c r="G690" s="62" t="s">
        <v>313</v>
      </c>
      <c r="H690" s="62" t="s">
        <v>51</v>
      </c>
      <c r="I690" s="62" t="s">
        <v>47</v>
      </c>
      <c r="J690" s="62" t="s">
        <v>146</v>
      </c>
      <c r="K690" s="62" t="s">
        <v>147</v>
      </c>
      <c r="L690" s="62" t="s">
        <v>4</v>
      </c>
      <c r="M690" s="62" t="n">
        <v>1</v>
      </c>
      <c r="N690" s="62" t="n">
        <v>0</v>
      </c>
      <c r="O690" s="62" t="n">
        <v>1</v>
      </c>
      <c r="P690" s="62" t="n">
        <v>0</v>
      </c>
      <c r="Q690" s="62" t="n">
        <v>0</v>
      </c>
      <c r="R690" s="62" t="n">
        <v>0</v>
      </c>
      <c r="S690" s="62" t="n">
        <v>0</v>
      </c>
      <c r="T690" s="62" t="n">
        <v>0</v>
      </c>
      <c r="U690" s="62"/>
      <c r="V690" s="62"/>
      <c r="W690" s="62"/>
      <c r="X690" s="62"/>
      <c r="Y690" s="62"/>
      <c r="Z690" s="62" t="s">
        <v>1432</v>
      </c>
      <c r="AA690" s="62" t="s">
        <v>1433</v>
      </c>
      <c r="AB690" s="62" t="n">
        <v>1</v>
      </c>
      <c r="AC690" s="62" t="n">
        <v>0</v>
      </c>
      <c r="AD690" s="62" t="n">
        <v>1</v>
      </c>
      <c r="AE690" s="62" t="n">
        <f aca="false">IF(AND(Dashboard!$C$9="Yes",AC690=1),0,1)</f>
        <v>1</v>
      </c>
      <c r="AF690" s="62" t="n">
        <v>0</v>
      </c>
    </row>
    <row r="691" customFormat="false" ht="15" hidden="false" customHeight="false" outlineLevel="0" collapsed="false">
      <c r="A691" s="62" t="n">
        <v>690</v>
      </c>
      <c r="B691" s="63" t="n">
        <v>46248.1597337963</v>
      </c>
      <c r="C691" s="64" t="n">
        <v>46247</v>
      </c>
      <c r="D691" s="62" t="s">
        <v>202</v>
      </c>
      <c r="E691" s="62" t="s">
        <v>156</v>
      </c>
      <c r="F691" s="62" t="s">
        <v>156</v>
      </c>
      <c r="G691" s="62" t="s">
        <v>157</v>
      </c>
      <c r="H691" s="62" t="s">
        <v>51</v>
      </c>
      <c r="I691" s="62" t="s">
        <v>47</v>
      </c>
      <c r="J691" s="62" t="s">
        <v>146</v>
      </c>
      <c r="K691" s="62" t="s">
        <v>147</v>
      </c>
      <c r="L691" s="62" t="s">
        <v>4</v>
      </c>
      <c r="M691" s="62" t="n">
        <v>1</v>
      </c>
      <c r="N691" s="62" t="n">
        <v>0</v>
      </c>
      <c r="O691" s="62" t="n">
        <v>1</v>
      </c>
      <c r="P691" s="62" t="n">
        <v>0</v>
      </c>
      <c r="Q691" s="62" t="n">
        <v>0</v>
      </c>
      <c r="R691" s="62" t="n">
        <v>0</v>
      </c>
      <c r="S691" s="62" t="n">
        <v>0</v>
      </c>
      <c r="T691" s="62" t="n">
        <v>0</v>
      </c>
      <c r="U691" s="62"/>
      <c r="V691" s="62"/>
      <c r="W691" s="62"/>
      <c r="X691" s="62"/>
      <c r="Y691" s="62"/>
      <c r="Z691" s="62" t="s">
        <v>1434</v>
      </c>
      <c r="AA691" s="62" t="s">
        <v>1435</v>
      </c>
      <c r="AB691" s="62" t="n">
        <v>0</v>
      </c>
      <c r="AC691" s="62" t="n">
        <v>0</v>
      </c>
      <c r="AD691" s="62" t="n">
        <v>1</v>
      </c>
      <c r="AE691" s="62" t="n">
        <f aca="false">IF(AND(Dashboard!$C$9="Yes",AC691=1),0,1)</f>
        <v>1</v>
      </c>
      <c r="AF691" s="62" t="n">
        <v>1</v>
      </c>
    </row>
    <row r="692" customFormat="false" ht="15" hidden="false" customHeight="false" outlineLevel="0" collapsed="false">
      <c r="A692" s="62" t="n">
        <v>691</v>
      </c>
      <c r="B692" s="63" t="n">
        <v>46248.1617708333</v>
      </c>
      <c r="C692" s="64" t="n">
        <v>46247</v>
      </c>
      <c r="D692" s="62" t="s">
        <v>202</v>
      </c>
      <c r="E692" s="62" t="s">
        <v>218</v>
      </c>
      <c r="F692" s="62" t="s">
        <v>218</v>
      </c>
      <c r="G692" s="62" t="s">
        <v>219</v>
      </c>
      <c r="H692" s="62" t="s">
        <v>51</v>
      </c>
      <c r="I692" s="62" t="s">
        <v>47</v>
      </c>
      <c r="J692" s="62" t="s">
        <v>146</v>
      </c>
      <c r="K692" s="62" t="s">
        <v>147</v>
      </c>
      <c r="L692" s="62" t="s">
        <v>4</v>
      </c>
      <c r="M692" s="62" t="n">
        <v>1</v>
      </c>
      <c r="N692" s="62" t="n">
        <v>0</v>
      </c>
      <c r="O692" s="62" t="n">
        <v>1</v>
      </c>
      <c r="P692" s="62" t="n">
        <v>0</v>
      </c>
      <c r="Q692" s="62" t="n">
        <v>0</v>
      </c>
      <c r="R692" s="62" t="n">
        <v>0</v>
      </c>
      <c r="S692" s="62" t="n">
        <v>0</v>
      </c>
      <c r="T692" s="62" t="n">
        <v>0</v>
      </c>
      <c r="U692" s="62"/>
      <c r="V692" s="62"/>
      <c r="W692" s="62"/>
      <c r="X692" s="62"/>
      <c r="Y692" s="62"/>
      <c r="Z692" s="62" t="s">
        <v>1436</v>
      </c>
      <c r="AA692" s="62" t="s">
        <v>1437</v>
      </c>
      <c r="AB692" s="62" t="n">
        <v>1</v>
      </c>
      <c r="AC692" s="62" t="n">
        <v>0</v>
      </c>
      <c r="AD692" s="62" t="n">
        <v>1</v>
      </c>
      <c r="AE692" s="62" t="n">
        <f aca="false">IF(AND(Dashboard!$C$9="Yes",AC692=1),0,1)</f>
        <v>1</v>
      </c>
      <c r="AF692" s="62" t="n">
        <v>0</v>
      </c>
    </row>
    <row r="693" customFormat="false" ht="15" hidden="false" customHeight="false" outlineLevel="0" collapsed="false">
      <c r="A693" s="62" t="n">
        <v>692</v>
      </c>
      <c r="B693" s="63" t="n">
        <v>46248.7379513889</v>
      </c>
      <c r="C693" s="64" t="n">
        <v>46248</v>
      </c>
      <c r="D693" s="62" t="s">
        <v>288</v>
      </c>
      <c r="E693" s="62" t="s">
        <v>650</v>
      </c>
      <c r="F693" s="62" t="s">
        <v>650</v>
      </c>
      <c r="G693" s="62" t="s">
        <v>651</v>
      </c>
      <c r="H693" s="62" t="s">
        <v>59</v>
      </c>
      <c r="I693" s="62" t="s">
        <v>47</v>
      </c>
      <c r="J693" s="62" t="s">
        <v>146</v>
      </c>
      <c r="K693" s="62" t="s">
        <v>209</v>
      </c>
      <c r="L693" s="62" t="s">
        <v>148</v>
      </c>
      <c r="M693" s="62" t="n">
        <v>0</v>
      </c>
      <c r="N693" s="62" t="n">
        <v>1</v>
      </c>
      <c r="O693" s="62" t="n">
        <v>1</v>
      </c>
      <c r="P693" s="62" t="n">
        <v>1</v>
      </c>
      <c r="Q693" s="62" t="n">
        <v>0</v>
      </c>
      <c r="R693" s="62" t="n">
        <v>0</v>
      </c>
      <c r="S693" s="62" t="n">
        <v>0</v>
      </c>
      <c r="T693" s="62" t="n">
        <v>0</v>
      </c>
      <c r="U693" s="62"/>
      <c r="V693" s="62"/>
      <c r="W693" s="62"/>
      <c r="X693" s="62"/>
      <c r="Y693" s="62"/>
      <c r="Z693" s="62" t="s">
        <v>1438</v>
      </c>
      <c r="AA693" s="62" t="s">
        <v>1439</v>
      </c>
      <c r="AB693" s="62" t="n">
        <v>1</v>
      </c>
      <c r="AC693" s="62" t="n">
        <v>0</v>
      </c>
      <c r="AD693" s="62" t="n">
        <v>1</v>
      </c>
      <c r="AE693" s="62" t="n">
        <f aca="false">IF(AND(Dashboard!$C$9="Yes",AC693=1),0,1)</f>
        <v>1</v>
      </c>
      <c r="AF693" s="62" t="n">
        <v>1</v>
      </c>
    </row>
    <row r="694" customFormat="false" ht="15" hidden="false" customHeight="false" outlineLevel="0" collapsed="false">
      <c r="A694" s="62" t="n">
        <v>693</v>
      </c>
      <c r="B694" s="63" t="n">
        <v>46248.7902777778</v>
      </c>
      <c r="C694" s="64" t="n">
        <v>46248</v>
      </c>
      <c r="D694" s="62" t="s">
        <v>288</v>
      </c>
      <c r="E694" s="62" t="s">
        <v>203</v>
      </c>
      <c r="F694" s="62" t="s">
        <v>203</v>
      </c>
      <c r="G694" s="62" t="s">
        <v>204</v>
      </c>
      <c r="H694" s="62" t="s">
        <v>51</v>
      </c>
      <c r="I694" s="62" t="s">
        <v>47</v>
      </c>
      <c r="J694" s="62" t="s">
        <v>146</v>
      </c>
      <c r="K694" s="62" t="s">
        <v>147</v>
      </c>
      <c r="L694" s="62" t="s">
        <v>148</v>
      </c>
      <c r="M694" s="62" t="n">
        <v>0</v>
      </c>
      <c r="N694" s="62" t="n">
        <v>1</v>
      </c>
      <c r="O694" s="62" t="n">
        <v>1</v>
      </c>
      <c r="P694" s="62" t="n">
        <v>1</v>
      </c>
      <c r="Q694" s="62" t="n">
        <v>0</v>
      </c>
      <c r="R694" s="62" t="n">
        <v>0</v>
      </c>
      <c r="S694" s="62" t="n">
        <v>0</v>
      </c>
      <c r="T694" s="62" t="n">
        <v>0</v>
      </c>
      <c r="U694" s="62"/>
      <c r="V694" s="62"/>
      <c r="W694" s="62"/>
      <c r="X694" s="62"/>
      <c r="Y694" s="62"/>
      <c r="Z694" s="62" t="s">
        <v>1440</v>
      </c>
      <c r="AA694" s="62" t="s">
        <v>485</v>
      </c>
      <c r="AB694" s="62" t="n">
        <v>0</v>
      </c>
      <c r="AC694" s="62" t="n">
        <v>0</v>
      </c>
      <c r="AD694" s="62" t="n">
        <v>1</v>
      </c>
      <c r="AE694" s="62" t="n">
        <f aca="false">IF(AND(Dashboard!$C$9="Yes",AC694=1),0,1)</f>
        <v>1</v>
      </c>
      <c r="AF694" s="62" t="n">
        <v>1</v>
      </c>
    </row>
    <row r="695" customFormat="false" ht="15" hidden="false" customHeight="false" outlineLevel="0" collapsed="false">
      <c r="A695" s="62" t="n">
        <v>694</v>
      </c>
      <c r="B695" s="63" t="n">
        <v>46248.8574652778</v>
      </c>
      <c r="C695" s="64" t="n">
        <v>46248</v>
      </c>
      <c r="D695" s="62" t="s">
        <v>288</v>
      </c>
      <c r="E695" s="62" t="s">
        <v>156</v>
      </c>
      <c r="F695" s="62" t="s">
        <v>156</v>
      </c>
      <c r="G695" s="62" t="s">
        <v>157</v>
      </c>
      <c r="H695" s="62" t="s">
        <v>51</v>
      </c>
      <c r="I695" s="62" t="s">
        <v>47</v>
      </c>
      <c r="J695" s="62" t="s">
        <v>146</v>
      </c>
      <c r="K695" s="62" t="s">
        <v>147</v>
      </c>
      <c r="L695" s="62" t="s">
        <v>148</v>
      </c>
      <c r="M695" s="62" t="n">
        <v>0</v>
      </c>
      <c r="N695" s="62" t="n">
        <v>1</v>
      </c>
      <c r="O695" s="62" t="n">
        <v>1</v>
      </c>
      <c r="P695" s="62" t="n">
        <v>1</v>
      </c>
      <c r="Q695" s="62" t="n">
        <v>0</v>
      </c>
      <c r="R695" s="62" t="n">
        <v>0</v>
      </c>
      <c r="S695" s="62" t="n">
        <v>0</v>
      </c>
      <c r="T695" s="62" t="n">
        <v>0</v>
      </c>
      <c r="U695" s="62"/>
      <c r="V695" s="62"/>
      <c r="W695" s="62"/>
      <c r="X695" s="62"/>
      <c r="Y695" s="62"/>
      <c r="Z695" s="62" t="s">
        <v>1441</v>
      </c>
      <c r="AA695" s="62" t="s">
        <v>1442</v>
      </c>
      <c r="AB695" s="62" t="n">
        <v>1</v>
      </c>
      <c r="AC695" s="62" t="n">
        <v>0</v>
      </c>
      <c r="AD695" s="62" t="n">
        <v>1</v>
      </c>
      <c r="AE695" s="62" t="n">
        <f aca="false">IF(AND(Dashboard!$C$9="Yes",AC695=1),0,1)</f>
        <v>1</v>
      </c>
      <c r="AF695" s="62" t="n">
        <v>1</v>
      </c>
    </row>
    <row r="696" customFormat="false" ht="15" hidden="false" customHeight="false" outlineLevel="0" collapsed="false">
      <c r="A696" s="62" t="n">
        <v>695</v>
      </c>
      <c r="B696" s="63" t="n">
        <v>46248.8695833333</v>
      </c>
      <c r="C696" s="64" t="n">
        <v>46248</v>
      </c>
      <c r="D696" s="62" t="s">
        <v>288</v>
      </c>
      <c r="E696" s="62" t="s">
        <v>586</v>
      </c>
      <c r="F696" s="62" t="s">
        <v>586</v>
      </c>
      <c r="G696" s="62" t="s">
        <v>587</v>
      </c>
      <c r="H696" s="62" t="s">
        <v>57</v>
      </c>
      <c r="I696" s="62" t="s">
        <v>47</v>
      </c>
      <c r="J696" s="62" t="s">
        <v>146</v>
      </c>
      <c r="K696" s="62" t="s">
        <v>175</v>
      </c>
      <c r="L696" s="62" t="s">
        <v>148</v>
      </c>
      <c r="M696" s="62" t="n">
        <v>0</v>
      </c>
      <c r="N696" s="62" t="n">
        <v>1</v>
      </c>
      <c r="O696" s="62" t="n">
        <v>1</v>
      </c>
      <c r="P696" s="62" t="n">
        <v>0</v>
      </c>
      <c r="Q696" s="62" t="n">
        <v>0</v>
      </c>
      <c r="R696" s="62" t="n">
        <v>1</v>
      </c>
      <c r="S696" s="62" t="n">
        <v>0</v>
      </c>
      <c r="T696" s="62" t="n">
        <v>0</v>
      </c>
      <c r="U696" s="62"/>
      <c r="V696" s="62"/>
      <c r="W696" s="62"/>
      <c r="X696" s="62"/>
      <c r="Y696" s="62"/>
      <c r="Z696" s="62" t="s">
        <v>1443</v>
      </c>
      <c r="AA696" s="62" t="s">
        <v>1444</v>
      </c>
      <c r="AB696" s="62" t="n">
        <v>1</v>
      </c>
      <c r="AC696" s="62" t="n">
        <v>0</v>
      </c>
      <c r="AD696" s="62" t="n">
        <v>1</v>
      </c>
      <c r="AE696" s="62" t="n">
        <f aca="false">IF(AND(Dashboard!$C$9="Yes",AC696=1),0,1)</f>
        <v>1</v>
      </c>
      <c r="AF696" s="62" t="n">
        <v>1</v>
      </c>
    </row>
    <row r="697" customFormat="false" ht="15" hidden="false" customHeight="false" outlineLevel="0" collapsed="false">
      <c r="A697" s="62" t="n">
        <v>696</v>
      </c>
      <c r="B697" s="63" t="n">
        <v>46249.0319560185</v>
      </c>
      <c r="C697" s="64" t="n">
        <v>46248</v>
      </c>
      <c r="D697" s="62" t="s">
        <v>288</v>
      </c>
      <c r="E697" s="62" t="s">
        <v>1445</v>
      </c>
      <c r="F697" s="62" t="s">
        <v>1445</v>
      </c>
      <c r="G697" s="62" t="s">
        <v>1446</v>
      </c>
      <c r="H697" s="62" t="s">
        <v>58</v>
      </c>
      <c r="I697" s="62" t="s">
        <v>49</v>
      </c>
      <c r="J697" s="62" t="s">
        <v>146</v>
      </c>
      <c r="K697" s="62" t="s">
        <v>175</v>
      </c>
      <c r="L697" s="62" t="s">
        <v>4</v>
      </c>
      <c r="M697" s="62" t="n">
        <v>1</v>
      </c>
      <c r="N697" s="62" t="n">
        <v>0</v>
      </c>
      <c r="O697" s="62" t="n">
        <v>1</v>
      </c>
      <c r="P697" s="62" t="n">
        <v>0</v>
      </c>
      <c r="Q697" s="62" t="n">
        <v>0</v>
      </c>
      <c r="R697" s="62" t="n">
        <v>0</v>
      </c>
      <c r="S697" s="62" t="n">
        <v>0</v>
      </c>
      <c r="T697" s="62" t="n">
        <v>0</v>
      </c>
      <c r="U697" s="62"/>
      <c r="V697" s="62"/>
      <c r="W697" s="62"/>
      <c r="X697" s="62"/>
      <c r="Y697" s="62"/>
      <c r="Z697" s="62" t="s">
        <v>1447</v>
      </c>
      <c r="AA697" s="62" t="s">
        <v>1448</v>
      </c>
      <c r="AB697" s="62" t="n">
        <v>1</v>
      </c>
      <c r="AC697" s="62" t="n">
        <v>0</v>
      </c>
      <c r="AD697" s="62" t="n">
        <v>1</v>
      </c>
      <c r="AE697" s="62" t="n">
        <f aca="false">IF(AND(Dashboard!$C$9="Yes",AC697=1),0,1)</f>
        <v>1</v>
      </c>
      <c r="AF697" s="62" t="n">
        <v>1</v>
      </c>
    </row>
    <row r="698" customFormat="false" ht="15" hidden="false" customHeight="false" outlineLevel="0" collapsed="false">
      <c r="A698" s="62" t="n">
        <v>697</v>
      </c>
      <c r="B698" s="63" t="n">
        <v>46249.108587963</v>
      </c>
      <c r="C698" s="64" t="n">
        <v>46248</v>
      </c>
      <c r="D698" s="62" t="s">
        <v>288</v>
      </c>
      <c r="E698" s="62" t="s">
        <v>312</v>
      </c>
      <c r="F698" s="62" t="s">
        <v>312</v>
      </c>
      <c r="G698" s="62" t="s">
        <v>313</v>
      </c>
      <c r="H698" s="62" t="s">
        <v>51</v>
      </c>
      <c r="I698" s="62" t="s">
        <v>47</v>
      </c>
      <c r="J698" s="62" t="s">
        <v>146</v>
      </c>
      <c r="K698" s="62" t="s">
        <v>147</v>
      </c>
      <c r="L698" s="62" t="s">
        <v>4</v>
      </c>
      <c r="M698" s="62" t="n">
        <v>1</v>
      </c>
      <c r="N698" s="62" t="n">
        <v>0</v>
      </c>
      <c r="O698" s="62" t="n">
        <v>1</v>
      </c>
      <c r="P698" s="62" t="n">
        <v>0</v>
      </c>
      <c r="Q698" s="62" t="n">
        <v>0</v>
      </c>
      <c r="R698" s="62" t="n">
        <v>0</v>
      </c>
      <c r="S698" s="62" t="n">
        <v>0</v>
      </c>
      <c r="T698" s="62" t="n">
        <v>0</v>
      </c>
      <c r="U698" s="62"/>
      <c r="V698" s="62"/>
      <c r="W698" s="62"/>
      <c r="X698" s="62"/>
      <c r="Y698" s="62"/>
      <c r="Z698" s="62" t="s">
        <v>1449</v>
      </c>
      <c r="AA698" s="62" t="s">
        <v>1450</v>
      </c>
      <c r="AB698" s="62" t="n">
        <v>1</v>
      </c>
      <c r="AC698" s="62" t="n">
        <v>0</v>
      </c>
      <c r="AD698" s="62" t="n">
        <v>1</v>
      </c>
      <c r="AE698" s="62" t="n">
        <f aca="false">IF(AND(Dashboard!$C$9="Yes",AC698=1),0,1)</f>
        <v>1</v>
      </c>
      <c r="AF698" s="62" t="n">
        <v>1</v>
      </c>
    </row>
    <row r="699" customFormat="false" ht="15" hidden="false" customHeight="false" outlineLevel="0" collapsed="false">
      <c r="A699" s="62" t="n">
        <v>698</v>
      </c>
      <c r="B699" s="63" t="n">
        <v>46249.2292939815</v>
      </c>
      <c r="C699" s="64" t="n">
        <v>46248</v>
      </c>
      <c r="D699" s="62" t="s">
        <v>288</v>
      </c>
      <c r="E699" s="62" t="s">
        <v>1350</v>
      </c>
      <c r="F699" s="62" t="s">
        <v>1351</v>
      </c>
      <c r="G699" s="62" t="s">
        <v>153</v>
      </c>
      <c r="H699" s="62" t="s">
        <v>153</v>
      </c>
      <c r="I699" s="62" t="s">
        <v>153</v>
      </c>
      <c r="J699" s="62" t="s">
        <v>64</v>
      </c>
      <c r="K699" s="62" t="s">
        <v>64</v>
      </c>
      <c r="L699" s="62" t="s">
        <v>4</v>
      </c>
      <c r="M699" s="62" t="n">
        <v>1</v>
      </c>
      <c r="N699" s="62" t="n">
        <v>0</v>
      </c>
      <c r="O699" s="62" t="n">
        <v>1</v>
      </c>
      <c r="P699" s="62" t="n">
        <v>0</v>
      </c>
      <c r="Q699" s="62" t="n">
        <v>0</v>
      </c>
      <c r="R699" s="62" t="n">
        <v>0</v>
      </c>
      <c r="S699" s="62" t="n">
        <v>0</v>
      </c>
      <c r="T699" s="62" t="n">
        <v>0</v>
      </c>
      <c r="U699" s="62"/>
      <c r="V699" s="62"/>
      <c r="W699" s="62"/>
      <c r="X699" s="62"/>
      <c r="Y699" s="62"/>
      <c r="Z699" s="62" t="s">
        <v>1451</v>
      </c>
      <c r="AA699" s="62" t="s">
        <v>1452</v>
      </c>
      <c r="AB699" s="62" t="n">
        <v>1</v>
      </c>
      <c r="AC699" s="62" t="n">
        <v>0</v>
      </c>
      <c r="AD699" s="62" t="n">
        <v>0</v>
      </c>
      <c r="AE699" s="62" t="n">
        <f aca="false">IF(AND(Dashboard!$C$9="Yes",AC699=1),0,1)</f>
        <v>1</v>
      </c>
      <c r="AF699" s="62" t="n">
        <v>1</v>
      </c>
    </row>
    <row r="700" customFormat="false" ht="15" hidden="false" customHeight="false" outlineLevel="0" collapsed="false">
      <c r="A700" s="62" t="n">
        <v>699</v>
      </c>
      <c r="B700" s="63" t="n">
        <v>46249.6951157407</v>
      </c>
      <c r="C700" s="64" t="n">
        <v>46249</v>
      </c>
      <c r="D700" s="62" t="s">
        <v>358</v>
      </c>
      <c r="E700" s="62" t="s">
        <v>573</v>
      </c>
      <c r="F700" s="62" t="s">
        <v>573</v>
      </c>
      <c r="G700" s="62" t="s">
        <v>574</v>
      </c>
      <c r="H700" s="62" t="s">
        <v>51</v>
      </c>
      <c r="I700" s="62" t="s">
        <v>47</v>
      </c>
      <c r="J700" s="62" t="s">
        <v>146</v>
      </c>
      <c r="K700" s="62" t="s">
        <v>147</v>
      </c>
      <c r="L700" s="62" t="s">
        <v>4</v>
      </c>
      <c r="M700" s="62" t="n">
        <v>1</v>
      </c>
      <c r="N700" s="62" t="n">
        <v>0</v>
      </c>
      <c r="O700" s="62" t="n">
        <v>1</v>
      </c>
      <c r="P700" s="62" t="n">
        <v>0</v>
      </c>
      <c r="Q700" s="62" t="n">
        <v>0</v>
      </c>
      <c r="R700" s="62" t="n">
        <v>0</v>
      </c>
      <c r="S700" s="62" t="n">
        <v>0</v>
      </c>
      <c r="T700" s="62" t="n">
        <v>0</v>
      </c>
      <c r="U700" s="62"/>
      <c r="V700" s="62"/>
      <c r="W700" s="62"/>
      <c r="X700" s="62"/>
      <c r="Y700" s="62"/>
      <c r="Z700" s="62" t="s">
        <v>1453</v>
      </c>
      <c r="AA700" s="62" t="s">
        <v>1454</v>
      </c>
      <c r="AB700" s="62" t="n">
        <v>1</v>
      </c>
      <c r="AC700" s="62" t="n">
        <v>0</v>
      </c>
      <c r="AD700" s="62" t="n">
        <v>1</v>
      </c>
      <c r="AE700" s="62" t="n">
        <f aca="false">IF(AND(Dashboard!$C$9="Yes",AC700=1),0,1)</f>
        <v>1</v>
      </c>
      <c r="AF700" s="62" t="n">
        <v>1</v>
      </c>
    </row>
    <row r="701" customFormat="false" ht="15" hidden="false" customHeight="false" outlineLevel="0" collapsed="false">
      <c r="A701" s="62" t="n">
        <v>700</v>
      </c>
      <c r="B701" s="63" t="n">
        <v>46249.7053703704</v>
      </c>
      <c r="C701" s="64" t="n">
        <v>46249</v>
      </c>
      <c r="D701" s="62" t="s">
        <v>358</v>
      </c>
      <c r="E701" s="62" t="s">
        <v>160</v>
      </c>
      <c r="F701" s="62" t="s">
        <v>160</v>
      </c>
      <c r="G701" s="62" t="s">
        <v>161</v>
      </c>
      <c r="H701" s="62" t="s">
        <v>51</v>
      </c>
      <c r="I701" s="62" t="s">
        <v>47</v>
      </c>
      <c r="J701" s="62" t="s">
        <v>146</v>
      </c>
      <c r="K701" s="62" t="s">
        <v>147</v>
      </c>
      <c r="L701" s="62" t="s">
        <v>148</v>
      </c>
      <c r="M701" s="62" t="n">
        <v>0</v>
      </c>
      <c r="N701" s="62" t="n">
        <v>1</v>
      </c>
      <c r="O701" s="62" t="n">
        <v>1</v>
      </c>
      <c r="P701" s="62" t="n">
        <v>1</v>
      </c>
      <c r="Q701" s="62" t="n">
        <v>0</v>
      </c>
      <c r="R701" s="62" t="n">
        <v>0</v>
      </c>
      <c r="S701" s="62" t="n">
        <v>0</v>
      </c>
      <c r="T701" s="62" t="n">
        <v>0</v>
      </c>
      <c r="U701" s="62"/>
      <c r="V701" s="62"/>
      <c r="W701" s="62"/>
      <c r="X701" s="62"/>
      <c r="Y701" s="62"/>
      <c r="Z701" s="62" t="s">
        <v>1455</v>
      </c>
      <c r="AA701" s="62" t="s">
        <v>1456</v>
      </c>
      <c r="AB701" s="62" t="n">
        <v>1</v>
      </c>
      <c r="AC701" s="62" t="n">
        <v>0</v>
      </c>
      <c r="AD701" s="62" t="n">
        <v>1</v>
      </c>
      <c r="AE701" s="62" t="n">
        <f aca="false">IF(AND(Dashboard!$C$9="Yes",AC701=1),0,1)</f>
        <v>1</v>
      </c>
      <c r="AF701" s="62" t="n">
        <v>1</v>
      </c>
    </row>
    <row r="702" customFormat="false" ht="15" hidden="false" customHeight="false" outlineLevel="0" collapsed="false">
      <c r="A702" s="62" t="n">
        <v>701</v>
      </c>
      <c r="B702" s="63" t="n">
        <v>46249.7318981482</v>
      </c>
      <c r="C702" s="64" t="n">
        <v>46249</v>
      </c>
      <c r="D702" s="62" t="s">
        <v>358</v>
      </c>
      <c r="E702" s="62" t="s">
        <v>1457</v>
      </c>
      <c r="F702" s="62" t="s">
        <v>1458</v>
      </c>
      <c r="G702" s="62" t="s">
        <v>153</v>
      </c>
      <c r="H702" s="62" t="s">
        <v>153</v>
      </c>
      <c r="I702" s="62" t="s">
        <v>153</v>
      </c>
      <c r="J702" s="62" t="s">
        <v>64</v>
      </c>
      <c r="K702" s="62" t="s">
        <v>64</v>
      </c>
      <c r="L702" s="62" t="s">
        <v>4</v>
      </c>
      <c r="M702" s="62" t="n">
        <v>1</v>
      </c>
      <c r="N702" s="62" t="n">
        <v>0</v>
      </c>
      <c r="O702" s="62" t="n">
        <v>1</v>
      </c>
      <c r="P702" s="62" t="n">
        <v>0</v>
      </c>
      <c r="Q702" s="62" t="n">
        <v>0</v>
      </c>
      <c r="R702" s="62" t="n">
        <v>0</v>
      </c>
      <c r="S702" s="62" t="n">
        <v>0</v>
      </c>
      <c r="T702" s="62" t="n">
        <v>0</v>
      </c>
      <c r="U702" s="62"/>
      <c r="V702" s="62"/>
      <c r="W702" s="62"/>
      <c r="X702" s="62"/>
      <c r="Y702" s="62"/>
      <c r="Z702" s="62" t="s">
        <v>1459</v>
      </c>
      <c r="AA702" s="62" t="s">
        <v>1460</v>
      </c>
      <c r="AB702" s="62" t="n">
        <v>1</v>
      </c>
      <c r="AC702" s="62" t="n">
        <v>0</v>
      </c>
      <c r="AD702" s="62" t="n">
        <v>0</v>
      </c>
      <c r="AE702" s="62" t="n">
        <f aca="false">IF(AND(Dashboard!$C$9="Yes",AC702=1),0,1)</f>
        <v>1</v>
      </c>
      <c r="AF702" s="62" t="n">
        <v>1</v>
      </c>
    </row>
    <row r="703" customFormat="false" ht="15" hidden="false" customHeight="false" outlineLevel="0" collapsed="false">
      <c r="A703" s="62" t="n">
        <v>702</v>
      </c>
      <c r="B703" s="63" t="n">
        <v>46249.7572337963</v>
      </c>
      <c r="C703" s="64" t="n">
        <v>46249</v>
      </c>
      <c r="D703" s="62" t="s">
        <v>358</v>
      </c>
      <c r="E703" s="62" t="s">
        <v>586</v>
      </c>
      <c r="F703" s="62" t="s">
        <v>586</v>
      </c>
      <c r="G703" s="62" t="s">
        <v>587</v>
      </c>
      <c r="H703" s="62" t="s">
        <v>57</v>
      </c>
      <c r="I703" s="62" t="s">
        <v>47</v>
      </c>
      <c r="J703" s="62" t="s">
        <v>146</v>
      </c>
      <c r="K703" s="62" t="s">
        <v>175</v>
      </c>
      <c r="L703" s="62" t="s">
        <v>148</v>
      </c>
      <c r="M703" s="62" t="n">
        <v>0</v>
      </c>
      <c r="N703" s="62" t="n">
        <v>1</v>
      </c>
      <c r="O703" s="62" t="n">
        <v>1</v>
      </c>
      <c r="P703" s="62" t="n">
        <v>0</v>
      </c>
      <c r="Q703" s="62" t="n">
        <v>1</v>
      </c>
      <c r="R703" s="62" t="n">
        <v>0</v>
      </c>
      <c r="S703" s="62" t="n">
        <v>0</v>
      </c>
      <c r="T703" s="62" t="n">
        <v>0</v>
      </c>
      <c r="U703" s="62"/>
      <c r="V703" s="62"/>
      <c r="W703" s="62"/>
      <c r="X703" s="62"/>
      <c r="Y703" s="62"/>
      <c r="Z703" s="62" t="s">
        <v>1461</v>
      </c>
      <c r="AA703" s="62" t="s">
        <v>1462</v>
      </c>
      <c r="AB703" s="62" t="n">
        <v>1</v>
      </c>
      <c r="AC703" s="62" t="n">
        <v>0</v>
      </c>
      <c r="AD703" s="62" t="n">
        <v>1</v>
      </c>
      <c r="AE703" s="62" t="n">
        <f aca="false">IF(AND(Dashboard!$C$9="Yes",AC703=1),0,1)</f>
        <v>1</v>
      </c>
      <c r="AF703" s="62" t="n">
        <v>1</v>
      </c>
    </row>
    <row r="704" customFormat="false" ht="15" hidden="false" customHeight="false" outlineLevel="0" collapsed="false">
      <c r="A704" s="62" t="n">
        <v>703</v>
      </c>
      <c r="B704" s="63" t="n">
        <v>46249.7719097222</v>
      </c>
      <c r="C704" s="64" t="n">
        <v>46249</v>
      </c>
      <c r="D704" s="62" t="s">
        <v>358</v>
      </c>
      <c r="E704" s="62" t="s">
        <v>203</v>
      </c>
      <c r="F704" s="62" t="s">
        <v>203</v>
      </c>
      <c r="G704" s="62" t="s">
        <v>204</v>
      </c>
      <c r="H704" s="62" t="s">
        <v>51</v>
      </c>
      <c r="I704" s="62" t="s">
        <v>47</v>
      </c>
      <c r="J704" s="62" t="s">
        <v>146</v>
      </c>
      <c r="K704" s="62" t="s">
        <v>147</v>
      </c>
      <c r="L704" s="62" t="s">
        <v>148</v>
      </c>
      <c r="M704" s="62" t="n">
        <v>0</v>
      </c>
      <c r="N704" s="62" t="n">
        <v>1</v>
      </c>
      <c r="O704" s="62" t="n">
        <v>1</v>
      </c>
      <c r="P704" s="62" t="n">
        <v>1</v>
      </c>
      <c r="Q704" s="62" t="n">
        <v>0</v>
      </c>
      <c r="R704" s="62" t="n">
        <v>0</v>
      </c>
      <c r="S704" s="62" t="n">
        <v>0</v>
      </c>
      <c r="T704" s="62" t="n">
        <v>0</v>
      </c>
      <c r="U704" s="62"/>
      <c r="V704" s="62"/>
      <c r="W704" s="62"/>
      <c r="X704" s="62"/>
      <c r="Y704" s="62"/>
      <c r="Z704" s="62" t="s">
        <v>1463</v>
      </c>
      <c r="AA704" s="62" t="s">
        <v>485</v>
      </c>
      <c r="AB704" s="62" t="n">
        <v>0</v>
      </c>
      <c r="AC704" s="62" t="n">
        <v>0</v>
      </c>
      <c r="AD704" s="62" t="n">
        <v>1</v>
      </c>
      <c r="AE704" s="62" t="n">
        <f aca="false">IF(AND(Dashboard!$C$9="Yes",AC704=1),0,1)</f>
        <v>1</v>
      </c>
      <c r="AF704" s="62" t="n">
        <v>1</v>
      </c>
    </row>
    <row r="705" customFormat="false" ht="15" hidden="false" customHeight="false" outlineLevel="0" collapsed="false">
      <c r="A705" s="62" t="n">
        <v>704</v>
      </c>
      <c r="B705" s="63" t="n">
        <v>46249.7846990741</v>
      </c>
      <c r="C705" s="64" t="n">
        <v>46249</v>
      </c>
      <c r="D705" s="62" t="s">
        <v>358</v>
      </c>
      <c r="E705" s="62" t="s">
        <v>650</v>
      </c>
      <c r="F705" s="62" t="s">
        <v>650</v>
      </c>
      <c r="G705" s="62" t="s">
        <v>651</v>
      </c>
      <c r="H705" s="62" t="s">
        <v>59</v>
      </c>
      <c r="I705" s="62" t="s">
        <v>47</v>
      </c>
      <c r="J705" s="62" t="s">
        <v>146</v>
      </c>
      <c r="K705" s="62" t="s">
        <v>209</v>
      </c>
      <c r="L705" s="62" t="s">
        <v>4</v>
      </c>
      <c r="M705" s="62" t="n">
        <v>1</v>
      </c>
      <c r="N705" s="62" t="n">
        <v>0</v>
      </c>
      <c r="O705" s="62" t="n">
        <v>1</v>
      </c>
      <c r="P705" s="62" t="n">
        <v>0</v>
      </c>
      <c r="Q705" s="62" t="n">
        <v>0</v>
      </c>
      <c r="R705" s="62" t="n">
        <v>0</v>
      </c>
      <c r="S705" s="62" t="n">
        <v>0</v>
      </c>
      <c r="T705" s="62" t="n">
        <v>0</v>
      </c>
      <c r="U705" s="62"/>
      <c r="V705" s="62"/>
      <c r="W705" s="62"/>
      <c r="X705" s="62"/>
      <c r="Y705" s="62"/>
      <c r="Z705" s="62" t="s">
        <v>1464</v>
      </c>
      <c r="AA705" s="62" t="s">
        <v>1465</v>
      </c>
      <c r="AB705" s="62" t="n">
        <v>1</v>
      </c>
      <c r="AC705" s="62" t="n">
        <v>0</v>
      </c>
      <c r="AD705" s="62" t="n">
        <v>1</v>
      </c>
      <c r="AE705" s="62" t="n">
        <f aca="false">IF(AND(Dashboard!$C$9="Yes",AC705=1),0,1)</f>
        <v>1</v>
      </c>
      <c r="AF705" s="62" t="n">
        <v>1</v>
      </c>
    </row>
    <row r="706" customFormat="false" ht="15" hidden="false" customHeight="false" outlineLevel="0" collapsed="false">
      <c r="A706" s="62" t="n">
        <v>705</v>
      </c>
      <c r="B706" s="63" t="n">
        <v>46249.794212963</v>
      </c>
      <c r="C706" s="64" t="n">
        <v>46249</v>
      </c>
      <c r="D706" s="62" t="s">
        <v>358</v>
      </c>
      <c r="E706" s="62" t="s">
        <v>307</v>
      </c>
      <c r="F706" s="62" t="s">
        <v>308</v>
      </c>
      <c r="G706" s="62" t="s">
        <v>153</v>
      </c>
      <c r="H706" s="62" t="s">
        <v>153</v>
      </c>
      <c r="I706" s="62" t="s">
        <v>153</v>
      </c>
      <c r="J706" s="62" t="s">
        <v>64</v>
      </c>
      <c r="K706" s="62" t="s">
        <v>64</v>
      </c>
      <c r="L706" s="62" t="s">
        <v>148</v>
      </c>
      <c r="M706" s="62" t="n">
        <v>0</v>
      </c>
      <c r="N706" s="62" t="n">
        <v>1</v>
      </c>
      <c r="O706" s="62" t="n">
        <v>1</v>
      </c>
      <c r="P706" s="62" t="n">
        <v>1</v>
      </c>
      <c r="Q706" s="62" t="n">
        <v>0</v>
      </c>
      <c r="R706" s="62" t="n">
        <v>0</v>
      </c>
      <c r="S706" s="62" t="n">
        <v>0</v>
      </c>
      <c r="T706" s="62" t="n">
        <v>0</v>
      </c>
      <c r="U706" s="62"/>
      <c r="V706" s="62"/>
      <c r="W706" s="62"/>
      <c r="X706" s="62"/>
      <c r="Y706" s="62"/>
      <c r="Z706" s="62" t="s">
        <v>1466</v>
      </c>
      <c r="AA706" s="62" t="s">
        <v>1467</v>
      </c>
      <c r="AB706" s="62" t="n">
        <v>1</v>
      </c>
      <c r="AC706" s="62" t="n">
        <v>0</v>
      </c>
      <c r="AD706" s="62" t="n">
        <v>0</v>
      </c>
      <c r="AE706" s="62" t="n">
        <f aca="false">IF(AND(Dashboard!$C$9="Yes",AC706=1),0,1)</f>
        <v>1</v>
      </c>
      <c r="AF706" s="62" t="n">
        <v>1</v>
      </c>
    </row>
    <row r="707" customFormat="false" ht="15" hidden="false" customHeight="false" outlineLevel="0" collapsed="false">
      <c r="A707" s="62" t="n">
        <v>706</v>
      </c>
      <c r="B707" s="63" t="n">
        <v>46249.833287037</v>
      </c>
      <c r="C707" s="64" t="n">
        <v>46249</v>
      </c>
      <c r="D707" s="62" t="s">
        <v>358</v>
      </c>
      <c r="E707" s="62" t="s">
        <v>586</v>
      </c>
      <c r="F707" s="62" t="s">
        <v>586</v>
      </c>
      <c r="G707" s="62" t="s">
        <v>587</v>
      </c>
      <c r="H707" s="62" t="s">
        <v>57</v>
      </c>
      <c r="I707" s="62" t="s">
        <v>47</v>
      </c>
      <c r="J707" s="62" t="s">
        <v>146</v>
      </c>
      <c r="K707" s="62" t="s">
        <v>175</v>
      </c>
      <c r="L707" s="62" t="s">
        <v>148</v>
      </c>
      <c r="M707" s="62" t="n">
        <v>0</v>
      </c>
      <c r="N707" s="62" t="n">
        <v>1</v>
      </c>
      <c r="O707" s="62" t="n">
        <v>1</v>
      </c>
      <c r="P707" s="62" t="n">
        <v>0</v>
      </c>
      <c r="Q707" s="62" t="n">
        <v>0</v>
      </c>
      <c r="R707" s="62" t="n">
        <v>1</v>
      </c>
      <c r="S707" s="62" t="n">
        <v>0</v>
      </c>
      <c r="T707" s="62" t="n">
        <v>0</v>
      </c>
      <c r="U707" s="62"/>
      <c r="V707" s="62"/>
      <c r="W707" s="62"/>
      <c r="X707" s="62"/>
      <c r="Y707" s="62"/>
      <c r="Z707" s="62" t="s">
        <v>1468</v>
      </c>
      <c r="AA707" s="62" t="s">
        <v>1469</v>
      </c>
      <c r="AB707" s="62" t="n">
        <v>1</v>
      </c>
      <c r="AC707" s="62" t="n">
        <v>0</v>
      </c>
      <c r="AD707" s="62" t="n">
        <v>1</v>
      </c>
      <c r="AE707" s="62" t="n">
        <f aca="false">IF(AND(Dashboard!$C$9="Yes",AC707=1),0,1)</f>
        <v>1</v>
      </c>
      <c r="AF707" s="62" t="n">
        <v>0</v>
      </c>
    </row>
    <row r="708" customFormat="false" ht="15" hidden="false" customHeight="false" outlineLevel="0" collapsed="false">
      <c r="A708" s="62" t="n">
        <v>707</v>
      </c>
      <c r="B708" s="63" t="n">
        <v>46249.8626157407</v>
      </c>
      <c r="C708" s="64" t="n">
        <v>46249</v>
      </c>
      <c r="D708" s="62" t="s">
        <v>358</v>
      </c>
      <c r="E708" s="62" t="s">
        <v>312</v>
      </c>
      <c r="F708" s="62" t="s">
        <v>312</v>
      </c>
      <c r="G708" s="62" t="s">
        <v>313</v>
      </c>
      <c r="H708" s="62" t="s">
        <v>51</v>
      </c>
      <c r="I708" s="62" t="s">
        <v>47</v>
      </c>
      <c r="J708" s="62" t="s">
        <v>146</v>
      </c>
      <c r="K708" s="62" t="s">
        <v>147</v>
      </c>
      <c r="L708" s="62" t="s">
        <v>148</v>
      </c>
      <c r="M708" s="62" t="n">
        <v>0</v>
      </c>
      <c r="N708" s="62" t="n">
        <v>1</v>
      </c>
      <c r="O708" s="62" t="n">
        <v>1</v>
      </c>
      <c r="P708" s="62" t="n">
        <v>0</v>
      </c>
      <c r="Q708" s="62" t="n">
        <v>1</v>
      </c>
      <c r="R708" s="62" t="n">
        <v>0</v>
      </c>
      <c r="S708" s="62" t="n">
        <v>0</v>
      </c>
      <c r="T708" s="62" t="n">
        <v>0</v>
      </c>
      <c r="U708" s="62"/>
      <c r="V708" s="62"/>
      <c r="W708" s="62"/>
      <c r="X708" s="62"/>
      <c r="Y708" s="62"/>
      <c r="Z708" s="62" t="s">
        <v>1470</v>
      </c>
      <c r="AA708" s="62" t="s">
        <v>1471</v>
      </c>
      <c r="AB708" s="62" t="n">
        <v>1</v>
      </c>
      <c r="AC708" s="62" t="n">
        <v>0</v>
      </c>
      <c r="AD708" s="62" t="n">
        <v>1</v>
      </c>
      <c r="AE708" s="62" t="n">
        <f aca="false">IF(AND(Dashboard!$C$9="Yes",AC708=1),0,1)</f>
        <v>1</v>
      </c>
      <c r="AF708" s="62" t="n">
        <v>1</v>
      </c>
    </row>
    <row r="709" customFormat="false" ht="15" hidden="false" customHeight="false" outlineLevel="0" collapsed="false">
      <c r="A709" s="62" t="n">
        <v>708</v>
      </c>
      <c r="B709" s="63" t="n">
        <v>46249.8900925926</v>
      </c>
      <c r="C709" s="64" t="n">
        <v>46249</v>
      </c>
      <c r="D709" s="62" t="s">
        <v>358</v>
      </c>
      <c r="E709" s="62" t="s">
        <v>212</v>
      </c>
      <c r="F709" s="62" t="s">
        <v>212</v>
      </c>
      <c r="G709" s="62" t="s">
        <v>213</v>
      </c>
      <c r="H709" s="62" t="s">
        <v>58</v>
      </c>
      <c r="I709" s="62" t="s">
        <v>49</v>
      </c>
      <c r="J709" s="62" t="s">
        <v>146</v>
      </c>
      <c r="K709" s="62" t="s">
        <v>175</v>
      </c>
      <c r="L709" s="62" t="s">
        <v>4</v>
      </c>
      <c r="M709" s="62" t="n">
        <v>1</v>
      </c>
      <c r="N709" s="62" t="n">
        <v>0</v>
      </c>
      <c r="O709" s="62" t="n">
        <v>1</v>
      </c>
      <c r="P709" s="62" t="n">
        <v>0</v>
      </c>
      <c r="Q709" s="62" t="n">
        <v>0</v>
      </c>
      <c r="R709" s="62" t="n">
        <v>0</v>
      </c>
      <c r="S709" s="62" t="n">
        <v>0</v>
      </c>
      <c r="T709" s="62" t="n">
        <v>0</v>
      </c>
      <c r="U709" s="62"/>
      <c r="V709" s="62"/>
      <c r="W709" s="62"/>
      <c r="X709" s="62"/>
      <c r="Y709" s="62"/>
      <c r="Z709" s="62" t="s">
        <v>1472</v>
      </c>
      <c r="AA709" s="62" t="s">
        <v>1473</v>
      </c>
      <c r="AB709" s="62" t="n">
        <v>1</v>
      </c>
      <c r="AC709" s="62" t="n">
        <v>0</v>
      </c>
      <c r="AD709" s="62" t="n">
        <v>1</v>
      </c>
      <c r="AE709" s="62" t="n">
        <f aca="false">IF(AND(Dashboard!$C$9="Yes",AC709=1),0,1)</f>
        <v>1</v>
      </c>
      <c r="AF709" s="62" t="n">
        <v>1</v>
      </c>
    </row>
    <row r="710" customFormat="false" ht="15" hidden="false" customHeight="false" outlineLevel="0" collapsed="false">
      <c r="A710" s="62" t="n">
        <v>709</v>
      </c>
      <c r="B710" s="63" t="n">
        <v>46249.905</v>
      </c>
      <c r="C710" s="64" t="n">
        <v>46249</v>
      </c>
      <c r="D710" s="62" t="s">
        <v>358</v>
      </c>
      <c r="E710" s="62" t="s">
        <v>307</v>
      </c>
      <c r="F710" s="62" t="s">
        <v>308</v>
      </c>
      <c r="G710" s="62" t="s">
        <v>153</v>
      </c>
      <c r="H710" s="62" t="s">
        <v>153</v>
      </c>
      <c r="I710" s="62" t="s">
        <v>153</v>
      </c>
      <c r="J710" s="62" t="s">
        <v>64</v>
      </c>
      <c r="K710" s="62" t="s">
        <v>64</v>
      </c>
      <c r="L710" s="62" t="s">
        <v>148</v>
      </c>
      <c r="M710" s="62" t="n">
        <v>0</v>
      </c>
      <c r="N710" s="62" t="n">
        <v>2</v>
      </c>
      <c r="O710" s="62" t="n">
        <v>2</v>
      </c>
      <c r="P710" s="62" t="n">
        <v>1</v>
      </c>
      <c r="Q710" s="62" t="n">
        <v>1</v>
      </c>
      <c r="R710" s="62" t="n">
        <v>0</v>
      </c>
      <c r="S710" s="62" t="n">
        <v>0</v>
      </c>
      <c r="T710" s="62" t="n">
        <v>0</v>
      </c>
      <c r="U710" s="62"/>
      <c r="V710" s="62"/>
      <c r="W710" s="62"/>
      <c r="X710" s="62"/>
      <c r="Y710" s="62"/>
      <c r="Z710" s="62" t="s">
        <v>1474</v>
      </c>
      <c r="AA710" s="62" t="s">
        <v>1475</v>
      </c>
      <c r="AB710" s="62" t="n">
        <v>1</v>
      </c>
      <c r="AC710" s="62" t="n">
        <v>0</v>
      </c>
      <c r="AD710" s="62" t="n">
        <v>0</v>
      </c>
      <c r="AE710" s="62" t="n">
        <f aca="false">IF(AND(Dashboard!$C$9="Yes",AC710=1),0,1)</f>
        <v>1</v>
      </c>
      <c r="AF710" s="62" t="n">
        <v>0</v>
      </c>
    </row>
    <row r="711" customFormat="false" ht="15" hidden="false" customHeight="false" outlineLevel="0" collapsed="false">
      <c r="A711" s="62" t="n">
        <v>710</v>
      </c>
      <c r="B711" s="63" t="n">
        <v>46249.9906597222</v>
      </c>
      <c r="C711" s="64" t="n">
        <v>46249</v>
      </c>
      <c r="D711" s="62" t="s">
        <v>358</v>
      </c>
      <c r="E711" s="62" t="s">
        <v>164</v>
      </c>
      <c r="F711" s="62" t="s">
        <v>164</v>
      </c>
      <c r="G711" s="62" t="s">
        <v>165</v>
      </c>
      <c r="H711" s="62" t="s">
        <v>51</v>
      </c>
      <c r="I711" s="62" t="s">
        <v>47</v>
      </c>
      <c r="J711" s="62" t="s">
        <v>146</v>
      </c>
      <c r="K711" s="62" t="s">
        <v>147</v>
      </c>
      <c r="L711" s="62" t="s">
        <v>4</v>
      </c>
      <c r="M711" s="62" t="n">
        <v>1</v>
      </c>
      <c r="N711" s="62" t="n">
        <v>0</v>
      </c>
      <c r="O711" s="62" t="n">
        <v>1</v>
      </c>
      <c r="P711" s="62" t="n">
        <v>0</v>
      </c>
      <c r="Q711" s="62" t="n">
        <v>0</v>
      </c>
      <c r="R711" s="62" t="n">
        <v>0</v>
      </c>
      <c r="S711" s="62" t="n">
        <v>0</v>
      </c>
      <c r="T711" s="62" t="n">
        <v>0</v>
      </c>
      <c r="U711" s="62"/>
      <c r="V711" s="62"/>
      <c r="W711" s="62"/>
      <c r="X711" s="62"/>
      <c r="Y711" s="62"/>
      <c r="Z711" s="62" t="s">
        <v>1476</v>
      </c>
      <c r="AA711" s="62" t="s">
        <v>1477</v>
      </c>
      <c r="AB711" s="62" t="n">
        <v>1</v>
      </c>
      <c r="AC711" s="62" t="n">
        <v>0</v>
      </c>
      <c r="AD711" s="62" t="n">
        <v>1</v>
      </c>
      <c r="AE711" s="62" t="n">
        <f aca="false">IF(AND(Dashboard!$C$9="Yes",AC711=1),0,1)</f>
        <v>1</v>
      </c>
      <c r="AF711" s="62" t="n">
        <v>1</v>
      </c>
    </row>
    <row r="712" customFormat="false" ht="15" hidden="false" customHeight="false" outlineLevel="0" collapsed="false">
      <c r="A712" s="62" t="n">
        <v>711</v>
      </c>
      <c r="B712" s="63" t="n">
        <v>46250.0324421296</v>
      </c>
      <c r="C712" s="64" t="n">
        <v>46249</v>
      </c>
      <c r="D712" s="62" t="s">
        <v>358</v>
      </c>
      <c r="E712" s="62" t="s">
        <v>196</v>
      </c>
      <c r="F712" s="62" t="s">
        <v>196</v>
      </c>
      <c r="G712" s="62" t="s">
        <v>197</v>
      </c>
      <c r="H712" s="62" t="s">
        <v>57</v>
      </c>
      <c r="I712" s="62" t="s">
        <v>47</v>
      </c>
      <c r="J712" s="62" t="s">
        <v>146</v>
      </c>
      <c r="K712" s="62" t="s">
        <v>175</v>
      </c>
      <c r="L712" s="62" t="s">
        <v>148</v>
      </c>
      <c r="M712" s="62" t="n">
        <v>0</v>
      </c>
      <c r="N712" s="62" t="n">
        <v>1</v>
      </c>
      <c r="O712" s="62" t="n">
        <v>1</v>
      </c>
      <c r="P712" s="62" t="n">
        <v>0</v>
      </c>
      <c r="Q712" s="62" t="n">
        <v>1</v>
      </c>
      <c r="R712" s="62" t="n">
        <v>0</v>
      </c>
      <c r="S712" s="62" t="n">
        <v>0</v>
      </c>
      <c r="T712" s="62" t="n">
        <v>0</v>
      </c>
      <c r="U712" s="62"/>
      <c r="V712" s="62"/>
      <c r="W712" s="62"/>
      <c r="X712" s="62"/>
      <c r="Y712" s="62"/>
      <c r="Z712" s="62" t="s">
        <v>1478</v>
      </c>
      <c r="AA712" s="62" t="s">
        <v>1479</v>
      </c>
      <c r="AB712" s="62" t="n">
        <v>1</v>
      </c>
      <c r="AC712" s="62" t="n">
        <v>0</v>
      </c>
      <c r="AD712" s="62" t="n">
        <v>1</v>
      </c>
      <c r="AE712" s="62" t="n">
        <f aca="false">IF(AND(Dashboard!$C$9="Yes",AC712=1),0,1)</f>
        <v>1</v>
      </c>
      <c r="AF712" s="62" t="n">
        <v>1</v>
      </c>
    </row>
    <row r="713" customFormat="false" ht="15" hidden="false" customHeight="false" outlineLevel="0" collapsed="false">
      <c r="A713" s="62" t="n">
        <v>712</v>
      </c>
      <c r="B713" s="63" t="n">
        <v>46250.0385532407</v>
      </c>
      <c r="C713" s="64" t="n">
        <v>46249</v>
      </c>
      <c r="D713" s="62" t="s">
        <v>358</v>
      </c>
      <c r="E713" s="62" t="s">
        <v>180</v>
      </c>
      <c r="F713" s="62" t="s">
        <v>180</v>
      </c>
      <c r="G713" s="62" t="s">
        <v>181</v>
      </c>
      <c r="H713" s="62" t="s">
        <v>58</v>
      </c>
      <c r="I713" s="62" t="s">
        <v>49</v>
      </c>
      <c r="J713" s="62" t="s">
        <v>146</v>
      </c>
      <c r="K713" s="62" t="s">
        <v>175</v>
      </c>
      <c r="L713" s="62" t="s">
        <v>148</v>
      </c>
      <c r="M713" s="62" t="n">
        <v>0</v>
      </c>
      <c r="N713" s="62" t="n">
        <v>2</v>
      </c>
      <c r="O713" s="62" t="n">
        <v>2</v>
      </c>
      <c r="P713" s="62" t="n">
        <v>1</v>
      </c>
      <c r="Q713" s="62" t="n">
        <v>0</v>
      </c>
      <c r="R713" s="62" t="n">
        <v>1</v>
      </c>
      <c r="S713" s="62" t="n">
        <v>0</v>
      </c>
      <c r="T713" s="62" t="n">
        <v>0</v>
      </c>
      <c r="U713" s="62"/>
      <c r="V713" s="62"/>
      <c r="W713" s="62"/>
      <c r="X713" s="62"/>
      <c r="Y713" s="62"/>
      <c r="Z713" s="62" t="s">
        <v>1480</v>
      </c>
      <c r="AA713" s="62" t="s">
        <v>1480</v>
      </c>
      <c r="AB713" s="62" t="n">
        <v>1</v>
      </c>
      <c r="AC713" s="62" t="n">
        <v>0</v>
      </c>
      <c r="AD713" s="62" t="n">
        <v>1</v>
      </c>
      <c r="AE713" s="62" t="n">
        <f aca="false">IF(AND(Dashboard!$C$9="Yes",AC713=1),0,1)</f>
        <v>1</v>
      </c>
      <c r="AF713" s="62" t="n">
        <v>1</v>
      </c>
    </row>
    <row r="714" customFormat="false" ht="15" hidden="false" customHeight="false" outlineLevel="0" collapsed="false">
      <c r="A714" s="62" t="n">
        <v>713</v>
      </c>
      <c r="B714" s="63" t="n">
        <v>46250.0388657407</v>
      </c>
      <c r="C714" s="64" t="n">
        <v>46249</v>
      </c>
      <c r="D714" s="62" t="s">
        <v>358</v>
      </c>
      <c r="E714" s="62" t="s">
        <v>1445</v>
      </c>
      <c r="F714" s="62" t="s">
        <v>1445</v>
      </c>
      <c r="G714" s="62" t="s">
        <v>1446</v>
      </c>
      <c r="H714" s="62" t="s">
        <v>58</v>
      </c>
      <c r="I714" s="62" t="s">
        <v>49</v>
      </c>
      <c r="J714" s="62" t="s">
        <v>146</v>
      </c>
      <c r="K714" s="62" t="s">
        <v>175</v>
      </c>
      <c r="L714" s="62" t="s">
        <v>4</v>
      </c>
      <c r="M714" s="62" t="n">
        <v>1</v>
      </c>
      <c r="N714" s="62" t="n">
        <v>0</v>
      </c>
      <c r="O714" s="62" t="n">
        <v>1</v>
      </c>
      <c r="P714" s="62" t="n">
        <v>0</v>
      </c>
      <c r="Q714" s="62" t="n">
        <v>0</v>
      </c>
      <c r="R714" s="62" t="n">
        <v>0</v>
      </c>
      <c r="S714" s="62" t="n">
        <v>0</v>
      </c>
      <c r="T714" s="62" t="n">
        <v>0</v>
      </c>
      <c r="U714" s="62"/>
      <c r="V714" s="62"/>
      <c r="W714" s="62"/>
      <c r="X714" s="62"/>
      <c r="Y714" s="62"/>
      <c r="Z714" s="62" t="s">
        <v>1481</v>
      </c>
      <c r="AA714" s="62" t="s">
        <v>1482</v>
      </c>
      <c r="AB714" s="62" t="n">
        <v>1</v>
      </c>
      <c r="AC714" s="62" t="n">
        <v>0</v>
      </c>
      <c r="AD714" s="62" t="n">
        <v>1</v>
      </c>
      <c r="AE714" s="62" t="n">
        <f aca="false">IF(AND(Dashboard!$C$9="Yes",AC714=1),0,1)</f>
        <v>1</v>
      </c>
      <c r="AF714" s="62" t="n">
        <v>1</v>
      </c>
    </row>
    <row r="715" customFormat="false" ht="15" hidden="false" customHeight="false" outlineLevel="0" collapsed="false">
      <c r="A715" s="62" t="n">
        <v>714</v>
      </c>
      <c r="B715" s="63" t="n">
        <v>46250.0572800926</v>
      </c>
      <c r="C715" s="64" t="n">
        <v>46249</v>
      </c>
      <c r="D715" s="62" t="s">
        <v>358</v>
      </c>
      <c r="E715" s="62" t="s">
        <v>164</v>
      </c>
      <c r="F715" s="62" t="s">
        <v>164</v>
      </c>
      <c r="G715" s="62" t="s">
        <v>165</v>
      </c>
      <c r="H715" s="62" t="s">
        <v>51</v>
      </c>
      <c r="I715" s="62" t="s">
        <v>47</v>
      </c>
      <c r="J715" s="62" t="s">
        <v>146</v>
      </c>
      <c r="K715" s="62" t="s">
        <v>147</v>
      </c>
      <c r="L715" s="62" t="s">
        <v>148</v>
      </c>
      <c r="M715" s="62" t="n">
        <v>0</v>
      </c>
      <c r="N715" s="62" t="n">
        <v>1</v>
      </c>
      <c r="O715" s="62" t="n">
        <v>1</v>
      </c>
      <c r="P715" s="62" t="n">
        <v>1</v>
      </c>
      <c r="Q715" s="62" t="n">
        <v>0</v>
      </c>
      <c r="R715" s="62" t="n">
        <v>0</v>
      </c>
      <c r="S715" s="62" t="n">
        <v>0</v>
      </c>
      <c r="T715" s="62" t="n">
        <v>0</v>
      </c>
      <c r="U715" s="62"/>
      <c r="V715" s="62"/>
      <c r="W715" s="62"/>
      <c r="X715" s="62"/>
      <c r="Y715" s="62"/>
      <c r="Z715" s="62" t="s">
        <v>1483</v>
      </c>
      <c r="AA715" s="62" t="s">
        <v>1484</v>
      </c>
      <c r="AB715" s="62" t="n">
        <v>1</v>
      </c>
      <c r="AC715" s="62" t="n">
        <v>0</v>
      </c>
      <c r="AD715" s="62" t="n">
        <v>1</v>
      </c>
      <c r="AE715" s="62" t="n">
        <f aca="false">IF(AND(Dashboard!$C$9="Yes",AC715=1),0,1)</f>
        <v>1</v>
      </c>
      <c r="AF715" s="62" t="n">
        <v>0</v>
      </c>
    </row>
    <row r="716" customFormat="false" ht="15" hidden="false" customHeight="false" outlineLevel="0" collapsed="false">
      <c r="A716" s="62" t="n">
        <v>715</v>
      </c>
      <c r="B716" s="63" t="n">
        <v>46250.0768865741</v>
      </c>
      <c r="C716" s="64" t="n">
        <v>46249</v>
      </c>
      <c r="D716" s="62" t="s">
        <v>358</v>
      </c>
      <c r="E716" s="62" t="s">
        <v>790</v>
      </c>
      <c r="F716" s="62" t="s">
        <v>791</v>
      </c>
      <c r="G716" s="62" t="s">
        <v>153</v>
      </c>
      <c r="H716" s="62" t="s">
        <v>153</v>
      </c>
      <c r="I716" s="62" t="s">
        <v>153</v>
      </c>
      <c r="J716" s="62" t="s">
        <v>64</v>
      </c>
      <c r="K716" s="62" t="s">
        <v>64</v>
      </c>
      <c r="L716" s="62" t="s">
        <v>148</v>
      </c>
      <c r="M716" s="62" t="n">
        <v>0</v>
      </c>
      <c r="N716" s="62" t="n">
        <v>1</v>
      </c>
      <c r="O716" s="62" t="n">
        <v>1</v>
      </c>
      <c r="P716" s="62" t="n">
        <v>1</v>
      </c>
      <c r="Q716" s="62" t="n">
        <v>0</v>
      </c>
      <c r="R716" s="62" t="n">
        <v>0</v>
      </c>
      <c r="S716" s="62" t="n">
        <v>0</v>
      </c>
      <c r="T716" s="62" t="n">
        <v>0</v>
      </c>
      <c r="U716" s="62"/>
      <c r="V716" s="62"/>
      <c r="W716" s="62"/>
      <c r="X716" s="62"/>
      <c r="Y716" s="62"/>
      <c r="Z716" s="62" t="s">
        <v>1485</v>
      </c>
      <c r="AA716" s="62" t="s">
        <v>1486</v>
      </c>
      <c r="AB716" s="62" t="n">
        <v>1</v>
      </c>
      <c r="AC716" s="62" t="n">
        <v>0</v>
      </c>
      <c r="AD716" s="62" t="n">
        <v>0</v>
      </c>
      <c r="AE716" s="62" t="n">
        <f aca="false">IF(AND(Dashboard!$C$9="Yes",AC716=1),0,1)</f>
        <v>1</v>
      </c>
      <c r="AF716" s="62" t="n">
        <v>1</v>
      </c>
    </row>
    <row r="717" customFormat="false" ht="15" hidden="false" customHeight="false" outlineLevel="0" collapsed="false">
      <c r="A717" s="62" t="n">
        <v>716</v>
      </c>
      <c r="B717" s="63" t="n">
        <v>46250.0867824074</v>
      </c>
      <c r="C717" s="64" t="n">
        <v>46249</v>
      </c>
      <c r="D717" s="62" t="s">
        <v>358</v>
      </c>
      <c r="E717" s="62" t="s">
        <v>212</v>
      </c>
      <c r="F717" s="62" t="s">
        <v>212</v>
      </c>
      <c r="G717" s="62" t="s">
        <v>213</v>
      </c>
      <c r="H717" s="62" t="s">
        <v>58</v>
      </c>
      <c r="I717" s="62" t="s">
        <v>49</v>
      </c>
      <c r="J717" s="62" t="s">
        <v>146</v>
      </c>
      <c r="K717" s="62" t="s">
        <v>175</v>
      </c>
      <c r="L717" s="62" t="s">
        <v>4</v>
      </c>
      <c r="M717" s="62" t="n">
        <v>1</v>
      </c>
      <c r="N717" s="62" t="n">
        <v>0</v>
      </c>
      <c r="O717" s="62" t="n">
        <v>1</v>
      </c>
      <c r="P717" s="62" t="n">
        <v>0</v>
      </c>
      <c r="Q717" s="62" t="n">
        <v>0</v>
      </c>
      <c r="R717" s="62" t="n">
        <v>0</v>
      </c>
      <c r="S717" s="62" t="n">
        <v>0</v>
      </c>
      <c r="T717" s="62" t="n">
        <v>0</v>
      </c>
      <c r="U717" s="62"/>
      <c r="V717" s="62"/>
      <c r="W717" s="62"/>
      <c r="X717" s="62"/>
      <c r="Y717" s="62"/>
      <c r="Z717" s="62" t="s">
        <v>1487</v>
      </c>
      <c r="AA717" s="62" t="s">
        <v>1488</v>
      </c>
      <c r="AB717" s="62" t="n">
        <v>1</v>
      </c>
      <c r="AC717" s="62" t="n">
        <v>0</v>
      </c>
      <c r="AD717" s="62" t="n">
        <v>1</v>
      </c>
      <c r="AE717" s="62" t="n">
        <f aca="false">IF(AND(Dashboard!$C$9="Yes",AC717=1),0,1)</f>
        <v>1</v>
      </c>
      <c r="AF717" s="62" t="n">
        <v>0</v>
      </c>
    </row>
    <row r="718" customFormat="false" ht="15" hidden="false" customHeight="false" outlineLevel="0" collapsed="false">
      <c r="A718" s="62" t="n">
        <v>717</v>
      </c>
      <c r="B718" s="63" t="n">
        <v>46250.1300115741</v>
      </c>
      <c r="C718" s="64" t="n">
        <v>46249</v>
      </c>
      <c r="D718" s="62" t="s">
        <v>358</v>
      </c>
      <c r="E718" s="62" t="s">
        <v>207</v>
      </c>
      <c r="F718" s="62" t="s">
        <v>207</v>
      </c>
      <c r="G718" s="62" t="s">
        <v>208</v>
      </c>
      <c r="H718" s="62" t="s">
        <v>48</v>
      </c>
      <c r="I718" s="62" t="s">
        <v>49</v>
      </c>
      <c r="J718" s="62" t="s">
        <v>146</v>
      </c>
      <c r="K718" s="62" t="s">
        <v>209</v>
      </c>
      <c r="L718" s="62" t="s">
        <v>148</v>
      </c>
      <c r="M718" s="62" t="n">
        <v>0</v>
      </c>
      <c r="N718" s="62" t="n">
        <v>1</v>
      </c>
      <c r="O718" s="62" t="n">
        <v>1</v>
      </c>
      <c r="P718" s="62" t="n">
        <v>1</v>
      </c>
      <c r="Q718" s="62" t="n">
        <v>0</v>
      </c>
      <c r="R718" s="62" t="n">
        <v>0</v>
      </c>
      <c r="S718" s="62" t="n">
        <v>0</v>
      </c>
      <c r="T718" s="62" t="n">
        <v>0</v>
      </c>
      <c r="U718" s="62"/>
      <c r="V718" s="62"/>
      <c r="W718" s="62"/>
      <c r="X718" s="62"/>
      <c r="Y718" s="62"/>
      <c r="Z718" s="62" t="s">
        <v>1489</v>
      </c>
      <c r="AA718" s="62" t="s">
        <v>1490</v>
      </c>
      <c r="AB718" s="62" t="n">
        <v>1</v>
      </c>
      <c r="AC718" s="62" t="n">
        <v>0</v>
      </c>
      <c r="AD718" s="62" t="n">
        <v>1</v>
      </c>
      <c r="AE718" s="62" t="n">
        <f aca="false">IF(AND(Dashboard!$C$9="Yes",AC718=1),0,1)</f>
        <v>1</v>
      </c>
      <c r="AF718" s="62" t="n">
        <v>1</v>
      </c>
    </row>
    <row r="719" customFormat="false" ht="15" hidden="false" customHeight="false" outlineLevel="0" collapsed="false">
      <c r="A719" s="62" t="n">
        <v>718</v>
      </c>
      <c r="B719" s="63" t="n">
        <v>46250.1462268519</v>
      </c>
      <c r="C719" s="64" t="n">
        <v>46249</v>
      </c>
      <c r="D719" s="62" t="s">
        <v>358</v>
      </c>
      <c r="E719" s="62" t="s">
        <v>1224</v>
      </c>
      <c r="F719" s="62" t="s">
        <v>1225</v>
      </c>
      <c r="G719" s="62" t="s">
        <v>153</v>
      </c>
      <c r="H719" s="62" t="s">
        <v>153</v>
      </c>
      <c r="I719" s="62" t="s">
        <v>153</v>
      </c>
      <c r="J719" s="62" t="s">
        <v>64</v>
      </c>
      <c r="K719" s="62" t="s">
        <v>64</v>
      </c>
      <c r="L719" s="62" t="s">
        <v>4</v>
      </c>
      <c r="M719" s="62" t="n">
        <v>3</v>
      </c>
      <c r="N719" s="62" t="n">
        <v>0</v>
      </c>
      <c r="O719" s="62" t="n">
        <v>3</v>
      </c>
      <c r="P719" s="62" t="n">
        <v>0</v>
      </c>
      <c r="Q719" s="62" t="n">
        <v>0</v>
      </c>
      <c r="R719" s="62" t="n">
        <v>0</v>
      </c>
      <c r="S719" s="62" t="n">
        <v>0</v>
      </c>
      <c r="T719" s="62" t="n">
        <v>0</v>
      </c>
      <c r="U719" s="62"/>
      <c r="V719" s="62"/>
      <c r="W719" s="62"/>
      <c r="X719" s="62"/>
      <c r="Y719" s="62"/>
      <c r="Z719" s="62" t="s">
        <v>1491</v>
      </c>
      <c r="AA719" s="62" t="s">
        <v>1492</v>
      </c>
      <c r="AB719" s="62" t="n">
        <v>1</v>
      </c>
      <c r="AC719" s="62" t="n">
        <v>0</v>
      </c>
      <c r="AD719" s="62" t="n">
        <v>0</v>
      </c>
      <c r="AE719" s="62" t="n">
        <f aca="false">IF(AND(Dashboard!$C$9="Yes",AC719=1),0,1)</f>
        <v>1</v>
      </c>
      <c r="AF719" s="62" t="n">
        <v>1</v>
      </c>
    </row>
    <row r="720" customFormat="false" ht="15" hidden="false" customHeight="false" outlineLevel="0" collapsed="false">
      <c r="A720" s="62" t="n">
        <v>719</v>
      </c>
      <c r="B720" s="63" t="n">
        <v>46250.1584027778</v>
      </c>
      <c r="C720" s="64" t="n">
        <v>46249</v>
      </c>
      <c r="D720" s="62" t="s">
        <v>358</v>
      </c>
      <c r="E720" s="62" t="s">
        <v>218</v>
      </c>
      <c r="F720" s="62" t="s">
        <v>218</v>
      </c>
      <c r="G720" s="62" t="s">
        <v>219</v>
      </c>
      <c r="H720" s="62" t="s">
        <v>51</v>
      </c>
      <c r="I720" s="62" t="s">
        <v>47</v>
      </c>
      <c r="J720" s="62" t="s">
        <v>146</v>
      </c>
      <c r="K720" s="62" t="s">
        <v>147</v>
      </c>
      <c r="L720" s="62" t="s">
        <v>4</v>
      </c>
      <c r="M720" s="62" t="n">
        <v>1</v>
      </c>
      <c r="N720" s="62" t="n">
        <v>0</v>
      </c>
      <c r="O720" s="62" t="n">
        <v>1</v>
      </c>
      <c r="P720" s="62" t="n">
        <v>0</v>
      </c>
      <c r="Q720" s="62" t="n">
        <v>0</v>
      </c>
      <c r="R720" s="62" t="n">
        <v>0</v>
      </c>
      <c r="S720" s="62" t="n">
        <v>0</v>
      </c>
      <c r="T720" s="62" t="n">
        <v>0</v>
      </c>
      <c r="U720" s="62"/>
      <c r="V720" s="62"/>
      <c r="W720" s="62"/>
      <c r="X720" s="62"/>
      <c r="Y720" s="62"/>
      <c r="Z720" s="62" t="s">
        <v>1493</v>
      </c>
      <c r="AA720" s="62" t="s">
        <v>1494</v>
      </c>
      <c r="AB720" s="62" t="n">
        <v>1</v>
      </c>
      <c r="AC720" s="62" t="n">
        <v>0</v>
      </c>
      <c r="AD720" s="62" t="n">
        <v>1</v>
      </c>
      <c r="AE720" s="62" t="n">
        <f aca="false">IF(AND(Dashboard!$C$9="Yes",AC720=1),0,1)</f>
        <v>1</v>
      </c>
      <c r="AF720" s="62" t="n">
        <v>1</v>
      </c>
    </row>
    <row r="721" customFormat="false" ht="15" hidden="false" customHeight="false" outlineLevel="0" collapsed="false">
      <c r="A721" s="62" t="n">
        <v>720</v>
      </c>
      <c r="B721" s="63" t="n">
        <v>46250.1793518519</v>
      </c>
      <c r="C721" s="64" t="n">
        <v>46249</v>
      </c>
      <c r="D721" s="62" t="s">
        <v>358</v>
      </c>
      <c r="E721" s="62" t="s">
        <v>1224</v>
      </c>
      <c r="F721" s="62" t="s">
        <v>1225</v>
      </c>
      <c r="G721" s="62" t="s">
        <v>153</v>
      </c>
      <c r="H721" s="62" t="s">
        <v>153</v>
      </c>
      <c r="I721" s="62" t="s">
        <v>153</v>
      </c>
      <c r="J721" s="62" t="s">
        <v>64</v>
      </c>
      <c r="K721" s="62" t="s">
        <v>64</v>
      </c>
      <c r="L721" s="62" t="s">
        <v>148</v>
      </c>
      <c r="M721" s="62" t="n">
        <v>0</v>
      </c>
      <c r="N721" s="62" t="n">
        <v>1</v>
      </c>
      <c r="O721" s="62" t="n">
        <v>1</v>
      </c>
      <c r="P721" s="62" t="n">
        <v>1</v>
      </c>
      <c r="Q721" s="62" t="n">
        <v>0</v>
      </c>
      <c r="R721" s="62" t="n">
        <v>0</v>
      </c>
      <c r="S721" s="62" t="n">
        <v>0</v>
      </c>
      <c r="T721" s="62" t="n">
        <v>0</v>
      </c>
      <c r="U721" s="62"/>
      <c r="V721" s="62"/>
      <c r="W721" s="62"/>
      <c r="X721" s="62"/>
      <c r="Y721" s="62"/>
      <c r="Z721" s="62" t="s">
        <v>1491</v>
      </c>
      <c r="AA721" s="62" t="s">
        <v>1495</v>
      </c>
      <c r="AB721" s="62" t="n">
        <v>1</v>
      </c>
      <c r="AC721" s="62" t="n">
        <v>0</v>
      </c>
      <c r="AD721" s="62" t="n">
        <v>0</v>
      </c>
      <c r="AE721" s="62" t="n">
        <f aca="false">IF(AND(Dashboard!$C$9="Yes",AC721=1),0,1)</f>
        <v>1</v>
      </c>
      <c r="AF721" s="62" t="n">
        <v>0</v>
      </c>
    </row>
    <row r="722" customFormat="false" ht="15" hidden="false" customHeight="false" outlineLevel="0" collapsed="false">
      <c r="A722" s="62" t="n">
        <v>721</v>
      </c>
      <c r="B722" s="63" t="n">
        <v>46250.2554166667</v>
      </c>
      <c r="C722" s="64" t="n">
        <v>46249</v>
      </c>
      <c r="D722" s="62" t="s">
        <v>358</v>
      </c>
      <c r="E722" s="62" t="s">
        <v>173</v>
      </c>
      <c r="F722" s="62" t="s">
        <v>173</v>
      </c>
      <c r="G722" s="62" t="s">
        <v>174</v>
      </c>
      <c r="H722" s="62" t="s">
        <v>58</v>
      </c>
      <c r="I722" s="62" t="s">
        <v>49</v>
      </c>
      <c r="J722" s="62" t="s">
        <v>146</v>
      </c>
      <c r="K722" s="62" t="s">
        <v>175</v>
      </c>
      <c r="L722" s="62" t="s">
        <v>4</v>
      </c>
      <c r="M722" s="62" t="n">
        <v>1</v>
      </c>
      <c r="N722" s="62" t="n">
        <v>0</v>
      </c>
      <c r="O722" s="62" t="n">
        <v>1</v>
      </c>
      <c r="P722" s="62" t="n">
        <v>0</v>
      </c>
      <c r="Q722" s="62" t="n">
        <v>0</v>
      </c>
      <c r="R722" s="62" t="n">
        <v>0</v>
      </c>
      <c r="S722" s="62" t="n">
        <v>0</v>
      </c>
      <c r="T722" s="62" t="n">
        <v>0</v>
      </c>
      <c r="U722" s="62"/>
      <c r="V722" s="62"/>
      <c r="W722" s="62"/>
      <c r="X722" s="62"/>
      <c r="Y722" s="62"/>
      <c r="Z722" s="62" t="s">
        <v>1496</v>
      </c>
      <c r="AA722" s="62" t="s">
        <v>1497</v>
      </c>
      <c r="AB722" s="62" t="n">
        <v>1</v>
      </c>
      <c r="AC722" s="62" t="n">
        <v>0</v>
      </c>
      <c r="AD722" s="62" t="n">
        <v>1</v>
      </c>
      <c r="AE722" s="62" t="n">
        <f aca="false">IF(AND(Dashboard!$C$9="Yes",AC722=1),0,1)</f>
        <v>1</v>
      </c>
      <c r="AF722" s="62" t="n">
        <v>1</v>
      </c>
    </row>
    <row r="723" customFormat="false" ht="15" hidden="false" customHeight="false" outlineLevel="0" collapsed="false">
      <c r="A723" s="62" t="n">
        <v>722</v>
      </c>
      <c r="B723" s="63" t="n">
        <v>46250.2556018519</v>
      </c>
      <c r="C723" s="64" t="n">
        <v>46249</v>
      </c>
      <c r="D723" s="62" t="s">
        <v>358</v>
      </c>
      <c r="E723" s="62" t="s">
        <v>173</v>
      </c>
      <c r="F723" s="62" t="s">
        <v>173</v>
      </c>
      <c r="G723" s="62" t="s">
        <v>174</v>
      </c>
      <c r="H723" s="62" t="s">
        <v>58</v>
      </c>
      <c r="I723" s="62" t="s">
        <v>49</v>
      </c>
      <c r="J723" s="62" t="s">
        <v>146</v>
      </c>
      <c r="K723" s="62" t="s">
        <v>175</v>
      </c>
      <c r="L723" s="62" t="s">
        <v>148</v>
      </c>
      <c r="M723" s="62" t="n">
        <v>0</v>
      </c>
      <c r="N723" s="62" t="n">
        <v>2</v>
      </c>
      <c r="O723" s="62" t="n">
        <v>2</v>
      </c>
      <c r="P723" s="62" t="n">
        <v>0</v>
      </c>
      <c r="Q723" s="62" t="n">
        <v>0</v>
      </c>
      <c r="R723" s="62" t="n">
        <v>0</v>
      </c>
      <c r="S723" s="62" t="n">
        <v>1</v>
      </c>
      <c r="T723" s="62" t="n">
        <v>1</v>
      </c>
      <c r="U723" s="62"/>
      <c r="V723" s="62"/>
      <c r="W723" s="62"/>
      <c r="X723" s="62"/>
      <c r="Y723" s="62"/>
      <c r="Z723" s="62" t="s">
        <v>1496</v>
      </c>
      <c r="AA723" s="62" t="s">
        <v>1497</v>
      </c>
      <c r="AB723" s="62" t="n">
        <v>1</v>
      </c>
      <c r="AC723" s="62" t="n">
        <v>0</v>
      </c>
      <c r="AD723" s="62" t="n">
        <v>1</v>
      </c>
      <c r="AE723" s="62" t="n">
        <f aca="false">IF(AND(Dashboard!$C$9="Yes",AC723=1),0,1)</f>
        <v>1</v>
      </c>
      <c r="AF723" s="62" t="n">
        <v>0</v>
      </c>
    </row>
    <row r="724" customFormat="false" ht="15" hidden="false" customHeight="false" outlineLevel="0" collapsed="false">
      <c r="A724" s="62" t="n">
        <v>723</v>
      </c>
      <c r="B724" s="63" t="n">
        <v>46250.636724537</v>
      </c>
      <c r="C724" s="64" t="n">
        <v>46250</v>
      </c>
      <c r="D724" s="62" t="s">
        <v>393</v>
      </c>
      <c r="E724" s="62" t="s">
        <v>203</v>
      </c>
      <c r="F724" s="62" t="s">
        <v>203</v>
      </c>
      <c r="G724" s="62" t="s">
        <v>204</v>
      </c>
      <c r="H724" s="62" t="s">
        <v>51</v>
      </c>
      <c r="I724" s="62" t="s">
        <v>47</v>
      </c>
      <c r="J724" s="62" t="s">
        <v>146</v>
      </c>
      <c r="K724" s="62" t="s">
        <v>147</v>
      </c>
      <c r="L724" s="62" t="s">
        <v>148</v>
      </c>
      <c r="M724" s="62" t="n">
        <v>0</v>
      </c>
      <c r="N724" s="62" t="n">
        <v>1</v>
      </c>
      <c r="O724" s="62" t="n">
        <v>1</v>
      </c>
      <c r="P724" s="62" t="n">
        <v>1</v>
      </c>
      <c r="Q724" s="62" t="n">
        <v>0</v>
      </c>
      <c r="R724" s="62" t="n">
        <v>0</v>
      </c>
      <c r="S724" s="62" t="n">
        <v>0</v>
      </c>
      <c r="T724" s="62" t="n">
        <v>0</v>
      </c>
      <c r="U724" s="62"/>
      <c r="V724" s="62"/>
      <c r="W724" s="62"/>
      <c r="X724" s="62"/>
      <c r="Y724" s="62"/>
      <c r="Z724" s="62" t="s">
        <v>1498</v>
      </c>
      <c r="AA724" s="62" t="s">
        <v>485</v>
      </c>
      <c r="AB724" s="62" t="n">
        <v>0</v>
      </c>
      <c r="AC724" s="62" t="n">
        <v>0</v>
      </c>
      <c r="AD724" s="62" t="n">
        <v>1</v>
      </c>
      <c r="AE724" s="62" t="n">
        <f aca="false">IF(AND(Dashboard!$C$9="Yes",AC724=1),0,1)</f>
        <v>1</v>
      </c>
      <c r="AF724" s="62" t="n">
        <v>1</v>
      </c>
    </row>
    <row r="725" customFormat="false" ht="15" hidden="false" customHeight="false" outlineLevel="0" collapsed="false">
      <c r="A725" s="62" t="n">
        <v>724</v>
      </c>
      <c r="B725" s="63" t="n">
        <v>46250.6641550926</v>
      </c>
      <c r="C725" s="64" t="n">
        <v>46250</v>
      </c>
      <c r="D725" s="62" t="s">
        <v>393</v>
      </c>
      <c r="E725" s="62" t="s">
        <v>592</v>
      </c>
      <c r="F725" s="62" t="s">
        <v>593</v>
      </c>
      <c r="G725" s="62" t="s">
        <v>153</v>
      </c>
      <c r="H725" s="62" t="s">
        <v>153</v>
      </c>
      <c r="I725" s="62" t="s">
        <v>153</v>
      </c>
      <c r="J725" s="62" t="s">
        <v>64</v>
      </c>
      <c r="K725" s="62" t="s">
        <v>64</v>
      </c>
      <c r="L725" s="62" t="s">
        <v>148</v>
      </c>
      <c r="M725" s="62" t="n">
        <v>0</v>
      </c>
      <c r="N725" s="62" t="n">
        <v>1</v>
      </c>
      <c r="O725" s="62" t="n">
        <v>1</v>
      </c>
      <c r="P725" s="62" t="n">
        <v>1</v>
      </c>
      <c r="Q725" s="62" t="n">
        <v>0</v>
      </c>
      <c r="R725" s="62" t="n">
        <v>0</v>
      </c>
      <c r="S725" s="62" t="n">
        <v>0</v>
      </c>
      <c r="T725" s="62" t="n">
        <v>0</v>
      </c>
      <c r="U725" s="62"/>
      <c r="V725" s="62"/>
      <c r="W725" s="62"/>
      <c r="X725" s="62"/>
      <c r="Y725" s="62"/>
      <c r="Z725" s="62" t="s">
        <v>1499</v>
      </c>
      <c r="AA725" s="62" t="s">
        <v>1500</v>
      </c>
      <c r="AB725" s="62" t="n">
        <v>1</v>
      </c>
      <c r="AC725" s="62" t="n">
        <v>0</v>
      </c>
      <c r="AD725" s="62" t="n">
        <v>0</v>
      </c>
      <c r="AE725" s="62" t="n">
        <f aca="false">IF(AND(Dashboard!$C$9="Yes",AC725=1),0,1)</f>
        <v>1</v>
      </c>
      <c r="AF725" s="62" t="n">
        <v>1</v>
      </c>
    </row>
    <row r="726" customFormat="false" ht="15" hidden="false" customHeight="false" outlineLevel="0" collapsed="false">
      <c r="A726" s="62" t="n">
        <v>725</v>
      </c>
      <c r="B726" s="63" t="n">
        <v>46250.6721875</v>
      </c>
      <c r="C726" s="64" t="n">
        <v>46250</v>
      </c>
      <c r="D726" s="62" t="s">
        <v>393</v>
      </c>
      <c r="E726" s="62" t="s">
        <v>203</v>
      </c>
      <c r="F726" s="62" t="s">
        <v>203</v>
      </c>
      <c r="G726" s="62" t="s">
        <v>204</v>
      </c>
      <c r="H726" s="62" t="s">
        <v>51</v>
      </c>
      <c r="I726" s="62" t="s">
        <v>47</v>
      </c>
      <c r="J726" s="62" t="s">
        <v>146</v>
      </c>
      <c r="K726" s="62" t="s">
        <v>147</v>
      </c>
      <c r="L726" s="62" t="s">
        <v>148</v>
      </c>
      <c r="M726" s="62" t="n">
        <v>0</v>
      </c>
      <c r="N726" s="62" t="n">
        <v>1</v>
      </c>
      <c r="O726" s="62" t="n">
        <v>1</v>
      </c>
      <c r="P726" s="62" t="n">
        <v>0</v>
      </c>
      <c r="Q726" s="62" t="n">
        <v>1</v>
      </c>
      <c r="R726" s="62" t="n">
        <v>0</v>
      </c>
      <c r="S726" s="62" t="n">
        <v>0</v>
      </c>
      <c r="T726" s="62" t="n">
        <v>0</v>
      </c>
      <c r="U726" s="62"/>
      <c r="V726" s="62"/>
      <c r="W726" s="62"/>
      <c r="X726" s="62"/>
      <c r="Y726" s="62"/>
      <c r="Z726" s="62" t="s">
        <v>1501</v>
      </c>
      <c r="AA726" s="62" t="s">
        <v>485</v>
      </c>
      <c r="AB726" s="62" t="n">
        <v>0</v>
      </c>
      <c r="AC726" s="62" t="n">
        <v>0</v>
      </c>
      <c r="AD726" s="62" t="n">
        <v>1</v>
      </c>
      <c r="AE726" s="62" t="n">
        <f aca="false">IF(AND(Dashboard!$C$9="Yes",AC726=1),0,1)</f>
        <v>1</v>
      </c>
      <c r="AF726" s="62" t="n">
        <v>0</v>
      </c>
    </row>
    <row r="727" customFormat="false" ht="15" hidden="false" customHeight="false" outlineLevel="0" collapsed="false">
      <c r="A727" s="62" t="n">
        <v>726</v>
      </c>
      <c r="B727" s="63" t="n">
        <v>46250.7060069444</v>
      </c>
      <c r="C727" s="64" t="n">
        <v>46250</v>
      </c>
      <c r="D727" s="62" t="s">
        <v>393</v>
      </c>
      <c r="E727" s="62" t="s">
        <v>164</v>
      </c>
      <c r="F727" s="62" t="s">
        <v>164</v>
      </c>
      <c r="G727" s="62" t="s">
        <v>165</v>
      </c>
      <c r="H727" s="62" t="s">
        <v>51</v>
      </c>
      <c r="I727" s="62" t="s">
        <v>47</v>
      </c>
      <c r="J727" s="62" t="s">
        <v>146</v>
      </c>
      <c r="K727" s="62" t="s">
        <v>147</v>
      </c>
      <c r="L727" s="62" t="s">
        <v>148</v>
      </c>
      <c r="M727" s="62" t="n">
        <v>0</v>
      </c>
      <c r="N727" s="62" t="n">
        <v>1</v>
      </c>
      <c r="O727" s="62" t="n">
        <v>1</v>
      </c>
      <c r="P727" s="62" t="n">
        <v>1</v>
      </c>
      <c r="Q727" s="62" t="n">
        <v>0</v>
      </c>
      <c r="R727" s="62" t="n">
        <v>0</v>
      </c>
      <c r="S727" s="62" t="n">
        <v>0</v>
      </c>
      <c r="T727" s="62" t="n">
        <v>0</v>
      </c>
      <c r="U727" s="62"/>
      <c r="V727" s="62"/>
      <c r="W727" s="62"/>
      <c r="X727" s="62"/>
      <c r="Y727" s="62"/>
      <c r="Z727" s="62" t="s">
        <v>1502</v>
      </c>
      <c r="AA727" s="62" t="s">
        <v>1503</v>
      </c>
      <c r="AB727" s="62" t="n">
        <v>1</v>
      </c>
      <c r="AC727" s="62" t="n">
        <v>0</v>
      </c>
      <c r="AD727" s="62" t="n">
        <v>1</v>
      </c>
      <c r="AE727" s="62" t="n">
        <f aca="false">IF(AND(Dashboard!$C$9="Yes",AC727=1),0,1)</f>
        <v>1</v>
      </c>
      <c r="AF727" s="62" t="n">
        <v>1</v>
      </c>
    </row>
    <row r="728" customFormat="false" ht="15" hidden="false" customHeight="false" outlineLevel="0" collapsed="false">
      <c r="A728" s="62" t="n">
        <v>727</v>
      </c>
      <c r="B728" s="63" t="n">
        <v>46250.7696875</v>
      </c>
      <c r="C728" s="64" t="n">
        <v>46250</v>
      </c>
      <c r="D728" s="62" t="s">
        <v>393</v>
      </c>
      <c r="E728" s="62" t="s">
        <v>1445</v>
      </c>
      <c r="F728" s="62" t="s">
        <v>1445</v>
      </c>
      <c r="G728" s="62" t="s">
        <v>1446</v>
      </c>
      <c r="H728" s="62" t="s">
        <v>58</v>
      </c>
      <c r="I728" s="62" t="s">
        <v>49</v>
      </c>
      <c r="J728" s="62" t="s">
        <v>146</v>
      </c>
      <c r="K728" s="62" t="s">
        <v>175</v>
      </c>
      <c r="L728" s="62" t="s">
        <v>4</v>
      </c>
      <c r="M728" s="62" t="n">
        <v>1</v>
      </c>
      <c r="N728" s="62" t="n">
        <v>0</v>
      </c>
      <c r="O728" s="62" t="n">
        <v>1</v>
      </c>
      <c r="P728" s="62" t="n">
        <v>0</v>
      </c>
      <c r="Q728" s="62" t="n">
        <v>0</v>
      </c>
      <c r="R728" s="62" t="n">
        <v>0</v>
      </c>
      <c r="S728" s="62" t="n">
        <v>0</v>
      </c>
      <c r="T728" s="62" t="n">
        <v>0</v>
      </c>
      <c r="U728" s="62"/>
      <c r="V728" s="62"/>
      <c r="W728" s="62"/>
      <c r="X728" s="62"/>
      <c r="Y728" s="62"/>
      <c r="Z728" s="62" t="s">
        <v>1504</v>
      </c>
      <c r="AA728" s="62" t="s">
        <v>1505</v>
      </c>
      <c r="AB728" s="62" t="n">
        <v>1</v>
      </c>
      <c r="AC728" s="62" t="n">
        <v>0</v>
      </c>
      <c r="AD728" s="62" t="n">
        <v>1</v>
      </c>
      <c r="AE728" s="62" t="n">
        <f aca="false">IF(AND(Dashboard!$C$9="Yes",AC728=1),0,1)</f>
        <v>1</v>
      </c>
      <c r="AF728" s="62" t="n">
        <v>1</v>
      </c>
    </row>
    <row r="729" customFormat="false" ht="15" hidden="false" customHeight="false" outlineLevel="0" collapsed="false">
      <c r="A729" s="62" t="n">
        <v>728</v>
      </c>
      <c r="B729" s="63" t="n">
        <v>46250.7781944444</v>
      </c>
      <c r="C729" s="64" t="n">
        <v>46250</v>
      </c>
      <c r="D729" s="62" t="s">
        <v>393</v>
      </c>
      <c r="E729" s="62" t="s">
        <v>1445</v>
      </c>
      <c r="F729" s="62" t="s">
        <v>1445</v>
      </c>
      <c r="G729" s="62" t="s">
        <v>1446</v>
      </c>
      <c r="H729" s="62" t="s">
        <v>58</v>
      </c>
      <c r="I729" s="62" t="s">
        <v>49</v>
      </c>
      <c r="J729" s="62" t="s">
        <v>146</v>
      </c>
      <c r="K729" s="62" t="s">
        <v>175</v>
      </c>
      <c r="L729" s="62" t="s">
        <v>148</v>
      </c>
      <c r="M729" s="62" t="n">
        <v>0</v>
      </c>
      <c r="N729" s="62" t="n">
        <v>2</v>
      </c>
      <c r="O729" s="62" t="n">
        <v>2</v>
      </c>
      <c r="P729" s="62" t="n">
        <v>0</v>
      </c>
      <c r="Q729" s="62" t="n">
        <v>0</v>
      </c>
      <c r="R729" s="62" t="n">
        <v>0</v>
      </c>
      <c r="S729" s="62" t="n">
        <v>1</v>
      </c>
      <c r="T729" s="62" t="n">
        <v>1</v>
      </c>
      <c r="U729" s="62"/>
      <c r="V729" s="62"/>
      <c r="W729" s="62"/>
      <c r="X729" s="62"/>
      <c r="Y729" s="62"/>
      <c r="Z729" s="62" t="s">
        <v>1504</v>
      </c>
      <c r="AA729" s="62" t="s">
        <v>1505</v>
      </c>
      <c r="AB729" s="62" t="n">
        <v>1</v>
      </c>
      <c r="AC729" s="62" t="n">
        <v>0</v>
      </c>
      <c r="AD729" s="62" t="n">
        <v>1</v>
      </c>
      <c r="AE729" s="62" t="n">
        <f aca="false">IF(AND(Dashboard!$C$9="Yes",AC729=1),0,1)</f>
        <v>1</v>
      </c>
      <c r="AF729" s="62" t="n">
        <v>0</v>
      </c>
    </row>
    <row r="730" customFormat="false" ht="15" hidden="false" customHeight="false" outlineLevel="0" collapsed="false">
      <c r="A730" s="62" t="n">
        <v>729</v>
      </c>
      <c r="B730" s="63" t="n">
        <v>46250.8045486111</v>
      </c>
      <c r="C730" s="64" t="n">
        <v>46250</v>
      </c>
      <c r="D730" s="62" t="s">
        <v>393</v>
      </c>
      <c r="E730" s="62" t="s">
        <v>168</v>
      </c>
      <c r="F730" s="62" t="s">
        <v>169</v>
      </c>
      <c r="G730" s="62" t="s">
        <v>153</v>
      </c>
      <c r="H730" s="62" t="s">
        <v>153</v>
      </c>
      <c r="I730" s="62" t="s">
        <v>153</v>
      </c>
      <c r="J730" s="62" t="s">
        <v>64</v>
      </c>
      <c r="K730" s="62" t="s">
        <v>64</v>
      </c>
      <c r="L730" s="62" t="s">
        <v>4</v>
      </c>
      <c r="M730" s="62" t="n">
        <v>1</v>
      </c>
      <c r="N730" s="62" t="n">
        <v>0</v>
      </c>
      <c r="O730" s="62" t="n">
        <v>1</v>
      </c>
      <c r="P730" s="62" t="n">
        <v>0</v>
      </c>
      <c r="Q730" s="62" t="n">
        <v>0</v>
      </c>
      <c r="R730" s="62" t="n">
        <v>0</v>
      </c>
      <c r="S730" s="62" t="n">
        <v>0</v>
      </c>
      <c r="T730" s="62" t="n">
        <v>0</v>
      </c>
      <c r="U730" s="62"/>
      <c r="V730" s="62"/>
      <c r="W730" s="62"/>
      <c r="X730" s="62"/>
      <c r="Y730" s="62"/>
      <c r="Z730" s="62" t="s">
        <v>1506</v>
      </c>
      <c r="AA730" s="62" t="s">
        <v>1507</v>
      </c>
      <c r="AB730" s="62" t="n">
        <v>1</v>
      </c>
      <c r="AC730" s="62" t="n">
        <v>0</v>
      </c>
      <c r="AD730" s="62" t="n">
        <v>0</v>
      </c>
      <c r="AE730" s="62" t="n">
        <f aca="false">IF(AND(Dashboard!$C$9="Yes",AC730=1),0,1)</f>
        <v>1</v>
      </c>
      <c r="AF730" s="62" t="n">
        <v>1</v>
      </c>
    </row>
    <row r="731" customFormat="false" ht="15" hidden="false" customHeight="false" outlineLevel="0" collapsed="false">
      <c r="A731" s="62" t="n">
        <v>730</v>
      </c>
      <c r="B731" s="63" t="n">
        <v>46250.8259027778</v>
      </c>
      <c r="C731" s="64" t="n">
        <v>46250</v>
      </c>
      <c r="D731" s="62" t="s">
        <v>393</v>
      </c>
      <c r="E731" s="62" t="s">
        <v>212</v>
      </c>
      <c r="F731" s="62" t="s">
        <v>212</v>
      </c>
      <c r="G731" s="62" t="s">
        <v>213</v>
      </c>
      <c r="H731" s="62" t="s">
        <v>58</v>
      </c>
      <c r="I731" s="62" t="s">
        <v>49</v>
      </c>
      <c r="J731" s="62" t="s">
        <v>146</v>
      </c>
      <c r="K731" s="62" t="s">
        <v>175</v>
      </c>
      <c r="L731" s="62" t="s">
        <v>4</v>
      </c>
      <c r="M731" s="62" t="n">
        <v>1</v>
      </c>
      <c r="N731" s="62" t="n">
        <v>0</v>
      </c>
      <c r="O731" s="62" t="n">
        <v>1</v>
      </c>
      <c r="P731" s="62" t="n">
        <v>0</v>
      </c>
      <c r="Q731" s="62" t="n">
        <v>0</v>
      </c>
      <c r="R731" s="62" t="n">
        <v>0</v>
      </c>
      <c r="S731" s="62" t="n">
        <v>0</v>
      </c>
      <c r="T731" s="62" t="n">
        <v>0</v>
      </c>
      <c r="U731" s="62"/>
      <c r="V731" s="62"/>
      <c r="W731" s="62"/>
      <c r="X731" s="62"/>
      <c r="Y731" s="62"/>
      <c r="Z731" s="62" t="s">
        <v>1508</v>
      </c>
      <c r="AA731" s="62" t="s">
        <v>1509</v>
      </c>
      <c r="AB731" s="62" t="n">
        <v>1</v>
      </c>
      <c r="AC731" s="62" t="n">
        <v>0</v>
      </c>
      <c r="AD731" s="62" t="n">
        <v>1</v>
      </c>
      <c r="AE731" s="62" t="n">
        <f aca="false">IF(AND(Dashboard!$C$9="Yes",AC731=1),0,1)</f>
        <v>1</v>
      </c>
      <c r="AF731" s="62" t="n">
        <v>1</v>
      </c>
    </row>
    <row r="732" customFormat="false" ht="15" hidden="false" customHeight="false" outlineLevel="0" collapsed="false">
      <c r="A732" s="62" t="n">
        <v>731</v>
      </c>
      <c r="B732" s="63" t="n">
        <v>46250.8367939815</v>
      </c>
      <c r="C732" s="64" t="n">
        <v>46250</v>
      </c>
      <c r="D732" s="62" t="s">
        <v>393</v>
      </c>
      <c r="E732" s="62" t="s">
        <v>255</v>
      </c>
      <c r="F732" s="62" t="s">
        <v>255</v>
      </c>
      <c r="G732" s="62" t="s">
        <v>256</v>
      </c>
      <c r="H732" s="62" t="s">
        <v>57</v>
      </c>
      <c r="I732" s="62" t="s">
        <v>47</v>
      </c>
      <c r="J732" s="62" t="s">
        <v>146</v>
      </c>
      <c r="K732" s="62" t="s">
        <v>147</v>
      </c>
      <c r="L732" s="62" t="s">
        <v>148</v>
      </c>
      <c r="M732" s="62" t="n">
        <v>0</v>
      </c>
      <c r="N732" s="62" t="n">
        <v>1</v>
      </c>
      <c r="O732" s="62" t="n">
        <v>1</v>
      </c>
      <c r="P732" s="62" t="n">
        <v>0</v>
      </c>
      <c r="Q732" s="62" t="n">
        <v>0</v>
      </c>
      <c r="R732" s="62" t="n">
        <v>0</v>
      </c>
      <c r="S732" s="62" t="n">
        <v>1</v>
      </c>
      <c r="T732" s="62" t="n">
        <v>0</v>
      </c>
      <c r="U732" s="62"/>
      <c r="V732" s="62"/>
      <c r="W732" s="62"/>
      <c r="X732" s="62"/>
      <c r="Y732" s="62"/>
      <c r="Z732" s="62" t="s">
        <v>1510</v>
      </c>
      <c r="AA732" s="62" t="s">
        <v>1511</v>
      </c>
      <c r="AB732" s="62" t="n">
        <v>1</v>
      </c>
      <c r="AC732" s="62" t="n">
        <v>0</v>
      </c>
      <c r="AD732" s="62" t="n">
        <v>1</v>
      </c>
      <c r="AE732" s="62" t="n">
        <f aca="false">IF(AND(Dashboard!$C$9="Yes",AC732=1),0,1)</f>
        <v>1</v>
      </c>
      <c r="AF732" s="62" t="n">
        <v>1</v>
      </c>
    </row>
    <row r="733" customFormat="false" ht="15" hidden="false" customHeight="false" outlineLevel="0" collapsed="false">
      <c r="A733" s="62" t="n">
        <v>732</v>
      </c>
      <c r="B733" s="63" t="n">
        <v>46250.8973032407</v>
      </c>
      <c r="C733" s="64" t="n">
        <v>46250</v>
      </c>
      <c r="D733" s="62" t="s">
        <v>393</v>
      </c>
      <c r="E733" s="62" t="s">
        <v>180</v>
      </c>
      <c r="F733" s="62" t="s">
        <v>180</v>
      </c>
      <c r="G733" s="62" t="s">
        <v>181</v>
      </c>
      <c r="H733" s="62" t="s">
        <v>58</v>
      </c>
      <c r="I733" s="62" t="s">
        <v>49</v>
      </c>
      <c r="J733" s="62" t="s">
        <v>146</v>
      </c>
      <c r="K733" s="62" t="s">
        <v>175</v>
      </c>
      <c r="L733" s="62" t="s">
        <v>148</v>
      </c>
      <c r="M733" s="62" t="n">
        <v>0</v>
      </c>
      <c r="N733" s="62" t="n">
        <v>1</v>
      </c>
      <c r="O733" s="62" t="n">
        <v>1</v>
      </c>
      <c r="P733" s="62" t="n">
        <v>1</v>
      </c>
      <c r="Q733" s="62" t="n">
        <v>0</v>
      </c>
      <c r="R733" s="62" t="n">
        <v>0</v>
      </c>
      <c r="S733" s="62" t="n">
        <v>0</v>
      </c>
      <c r="T733" s="62" t="n">
        <v>0</v>
      </c>
      <c r="U733" s="62"/>
      <c r="V733" s="62"/>
      <c r="W733" s="62"/>
      <c r="X733" s="62"/>
      <c r="Y733" s="62"/>
      <c r="Z733" s="62" t="s">
        <v>1512</v>
      </c>
      <c r="AA733" s="62" t="s">
        <v>1512</v>
      </c>
      <c r="AB733" s="62" t="n">
        <v>1</v>
      </c>
      <c r="AC733" s="62" t="n">
        <v>0</v>
      </c>
      <c r="AD733" s="62" t="n">
        <v>1</v>
      </c>
      <c r="AE733" s="62" t="n">
        <f aca="false">IF(AND(Dashboard!$C$9="Yes",AC733=1),0,1)</f>
        <v>1</v>
      </c>
      <c r="AF733" s="62" t="n">
        <v>1</v>
      </c>
    </row>
    <row r="734" customFormat="false" ht="15" hidden="false" customHeight="false" outlineLevel="0" collapsed="false">
      <c r="A734" s="62" t="n">
        <v>733</v>
      </c>
      <c r="B734" s="63" t="n">
        <v>46250.9623842593</v>
      </c>
      <c r="C734" s="64" t="n">
        <v>46250</v>
      </c>
      <c r="D734" s="62" t="s">
        <v>393</v>
      </c>
      <c r="E734" s="62" t="s">
        <v>273</v>
      </c>
      <c r="F734" s="62" t="s">
        <v>273</v>
      </c>
      <c r="G734" s="62" t="s">
        <v>274</v>
      </c>
      <c r="H734" s="62" t="s">
        <v>59</v>
      </c>
      <c r="I734" s="62" t="s">
        <v>47</v>
      </c>
      <c r="J734" s="62" t="s">
        <v>146</v>
      </c>
      <c r="K734" s="62" t="s">
        <v>147</v>
      </c>
      <c r="L734" s="62" t="s">
        <v>148</v>
      </c>
      <c r="M734" s="62" t="n">
        <v>0</v>
      </c>
      <c r="N734" s="62" t="n">
        <v>1</v>
      </c>
      <c r="O734" s="62" t="n">
        <v>1</v>
      </c>
      <c r="P734" s="62" t="n">
        <v>1</v>
      </c>
      <c r="Q734" s="62" t="n">
        <v>0</v>
      </c>
      <c r="R734" s="62" t="n">
        <v>0</v>
      </c>
      <c r="S734" s="62" t="n">
        <v>0</v>
      </c>
      <c r="T734" s="62" t="n">
        <v>0</v>
      </c>
      <c r="U734" s="62"/>
      <c r="V734" s="62"/>
      <c r="W734" s="62"/>
      <c r="X734" s="62"/>
      <c r="Y734" s="62"/>
      <c r="Z734" s="62" t="s">
        <v>1513</v>
      </c>
      <c r="AA734" s="62" t="s">
        <v>1514</v>
      </c>
      <c r="AB734" s="62" t="n">
        <v>1</v>
      </c>
      <c r="AC734" s="62" t="n">
        <v>0</v>
      </c>
      <c r="AD734" s="62" t="n">
        <v>1</v>
      </c>
      <c r="AE734" s="62" t="n">
        <f aca="false">IF(AND(Dashboard!$C$9="Yes",AC734=1),0,1)</f>
        <v>1</v>
      </c>
      <c r="AF734" s="62" t="n">
        <v>1</v>
      </c>
    </row>
    <row r="735" customFormat="false" ht="15" hidden="false" customHeight="false" outlineLevel="0" collapsed="false">
      <c r="A735" s="62" t="n">
        <v>734</v>
      </c>
      <c r="B735" s="63" t="n">
        <v>46250.9635069444</v>
      </c>
      <c r="C735" s="64" t="n">
        <v>46250</v>
      </c>
      <c r="D735" s="62" t="s">
        <v>393</v>
      </c>
      <c r="E735" s="62" t="s">
        <v>790</v>
      </c>
      <c r="F735" s="62" t="s">
        <v>791</v>
      </c>
      <c r="G735" s="62" t="s">
        <v>153</v>
      </c>
      <c r="H735" s="62" t="s">
        <v>153</v>
      </c>
      <c r="I735" s="62" t="s">
        <v>153</v>
      </c>
      <c r="J735" s="62" t="s">
        <v>64</v>
      </c>
      <c r="K735" s="62" t="s">
        <v>64</v>
      </c>
      <c r="L735" s="62" t="s">
        <v>148</v>
      </c>
      <c r="M735" s="62" t="n">
        <v>0</v>
      </c>
      <c r="N735" s="62" t="n">
        <v>1</v>
      </c>
      <c r="O735" s="62" t="n">
        <v>1</v>
      </c>
      <c r="P735" s="62" t="n">
        <v>0</v>
      </c>
      <c r="Q735" s="62" t="n">
        <v>0</v>
      </c>
      <c r="R735" s="62" t="n">
        <v>1</v>
      </c>
      <c r="S735" s="62" t="n">
        <v>0</v>
      </c>
      <c r="T735" s="62" t="n">
        <v>0</v>
      </c>
      <c r="U735" s="62"/>
      <c r="V735" s="62"/>
      <c r="W735" s="62"/>
      <c r="X735" s="62"/>
      <c r="Y735" s="62"/>
      <c r="Z735" s="62" t="s">
        <v>1515</v>
      </c>
      <c r="AA735" s="62" t="s">
        <v>1516</v>
      </c>
      <c r="AB735" s="62" t="n">
        <v>1</v>
      </c>
      <c r="AC735" s="62" t="n">
        <v>0</v>
      </c>
      <c r="AD735" s="62" t="n">
        <v>0</v>
      </c>
      <c r="AE735" s="62" t="n">
        <f aca="false">IF(AND(Dashboard!$C$9="Yes",AC735=1),0,1)</f>
        <v>1</v>
      </c>
      <c r="AF735" s="62" t="n">
        <v>1</v>
      </c>
    </row>
    <row r="736" customFormat="false" ht="15" hidden="false" customHeight="false" outlineLevel="0" collapsed="false">
      <c r="A736" s="62" t="n">
        <v>735</v>
      </c>
      <c r="B736" s="63" t="n">
        <v>46250.968275463</v>
      </c>
      <c r="C736" s="64" t="n">
        <v>46250</v>
      </c>
      <c r="D736" s="62" t="s">
        <v>393</v>
      </c>
      <c r="E736" s="62" t="s">
        <v>573</v>
      </c>
      <c r="F736" s="62" t="s">
        <v>573</v>
      </c>
      <c r="G736" s="62" t="s">
        <v>574</v>
      </c>
      <c r="H736" s="62" t="s">
        <v>51</v>
      </c>
      <c r="I736" s="62" t="s">
        <v>47</v>
      </c>
      <c r="J736" s="62" t="s">
        <v>146</v>
      </c>
      <c r="K736" s="62" t="s">
        <v>147</v>
      </c>
      <c r="L736" s="62" t="s">
        <v>148</v>
      </c>
      <c r="M736" s="62" t="n">
        <v>0</v>
      </c>
      <c r="N736" s="62" t="n">
        <v>1</v>
      </c>
      <c r="O736" s="62" t="n">
        <v>1</v>
      </c>
      <c r="P736" s="62" t="n">
        <v>1</v>
      </c>
      <c r="Q736" s="62" t="n">
        <v>0</v>
      </c>
      <c r="R736" s="62" t="n">
        <v>0</v>
      </c>
      <c r="S736" s="62" t="n">
        <v>0</v>
      </c>
      <c r="T736" s="62" t="n">
        <v>0</v>
      </c>
      <c r="U736" s="62"/>
      <c r="V736" s="62"/>
      <c r="W736" s="62"/>
      <c r="X736" s="62"/>
      <c r="Y736" s="62"/>
      <c r="Z736" s="62" t="s">
        <v>1517</v>
      </c>
      <c r="AA736" s="62" t="s">
        <v>1518</v>
      </c>
      <c r="AB736" s="62" t="n">
        <v>1</v>
      </c>
      <c r="AC736" s="62" t="n">
        <v>0</v>
      </c>
      <c r="AD736" s="62" t="n">
        <v>1</v>
      </c>
      <c r="AE736" s="62" t="n">
        <f aca="false">IF(AND(Dashboard!$C$9="Yes",AC736=1),0,1)</f>
        <v>1</v>
      </c>
      <c r="AF736" s="62" t="n">
        <v>1</v>
      </c>
    </row>
    <row r="737" customFormat="false" ht="15" hidden="false" customHeight="false" outlineLevel="0" collapsed="false">
      <c r="A737" s="62" t="n">
        <v>736</v>
      </c>
      <c r="B737" s="63" t="n">
        <v>46250.9802430556</v>
      </c>
      <c r="C737" s="64" t="n">
        <v>46250</v>
      </c>
      <c r="D737" s="62" t="s">
        <v>393</v>
      </c>
      <c r="E737" s="62" t="s">
        <v>1224</v>
      </c>
      <c r="F737" s="62" t="s">
        <v>1225</v>
      </c>
      <c r="G737" s="62" t="s">
        <v>153</v>
      </c>
      <c r="H737" s="62" t="s">
        <v>153</v>
      </c>
      <c r="I737" s="62" t="s">
        <v>153</v>
      </c>
      <c r="J737" s="62" t="s">
        <v>64</v>
      </c>
      <c r="K737" s="62" t="s">
        <v>64</v>
      </c>
      <c r="L737" s="62" t="s">
        <v>4</v>
      </c>
      <c r="M737" s="62" t="n">
        <v>1</v>
      </c>
      <c r="N737" s="62" t="n">
        <v>0</v>
      </c>
      <c r="O737" s="62" t="n">
        <v>1</v>
      </c>
      <c r="P737" s="62" t="n">
        <v>0</v>
      </c>
      <c r="Q737" s="62" t="n">
        <v>0</v>
      </c>
      <c r="R737" s="62" t="n">
        <v>0</v>
      </c>
      <c r="S737" s="62" t="n">
        <v>0</v>
      </c>
      <c r="T737" s="62" t="n">
        <v>0</v>
      </c>
      <c r="U737" s="62"/>
      <c r="V737" s="62"/>
      <c r="W737" s="62"/>
      <c r="X737" s="62"/>
      <c r="Y737" s="62"/>
      <c r="Z737" s="62" t="s">
        <v>1519</v>
      </c>
      <c r="AA737" s="62" t="s">
        <v>1520</v>
      </c>
      <c r="AB737" s="62" t="n">
        <v>1</v>
      </c>
      <c r="AC737" s="62" t="n">
        <v>0</v>
      </c>
      <c r="AD737" s="62" t="n">
        <v>0</v>
      </c>
      <c r="AE737" s="62" t="n">
        <f aca="false">IF(AND(Dashboard!$C$9="Yes",AC737=1),0,1)</f>
        <v>1</v>
      </c>
      <c r="AF737" s="62" t="n">
        <v>1</v>
      </c>
    </row>
    <row r="738" customFormat="false" ht="15" hidden="false" customHeight="false" outlineLevel="0" collapsed="false">
      <c r="A738" s="62" t="n">
        <v>737</v>
      </c>
      <c r="B738" s="63" t="n">
        <v>46250.9842476852</v>
      </c>
      <c r="C738" s="64" t="n">
        <v>46250</v>
      </c>
      <c r="D738" s="62" t="s">
        <v>393</v>
      </c>
      <c r="E738" s="62" t="s">
        <v>273</v>
      </c>
      <c r="F738" s="62" t="s">
        <v>273</v>
      </c>
      <c r="G738" s="62" t="s">
        <v>274</v>
      </c>
      <c r="H738" s="62" t="s">
        <v>59</v>
      </c>
      <c r="I738" s="62" t="s">
        <v>47</v>
      </c>
      <c r="J738" s="62" t="s">
        <v>146</v>
      </c>
      <c r="K738" s="62" t="s">
        <v>147</v>
      </c>
      <c r="L738" s="62" t="s">
        <v>4</v>
      </c>
      <c r="M738" s="62" t="n">
        <v>1</v>
      </c>
      <c r="N738" s="62" t="n">
        <v>0</v>
      </c>
      <c r="O738" s="62" t="n">
        <v>1</v>
      </c>
      <c r="P738" s="62" t="n">
        <v>0</v>
      </c>
      <c r="Q738" s="62" t="n">
        <v>0</v>
      </c>
      <c r="R738" s="62" t="n">
        <v>0</v>
      </c>
      <c r="S738" s="62" t="n">
        <v>0</v>
      </c>
      <c r="T738" s="62" t="n">
        <v>0</v>
      </c>
      <c r="U738" s="62"/>
      <c r="V738" s="62"/>
      <c r="W738" s="62"/>
      <c r="X738" s="62"/>
      <c r="Y738" s="62"/>
      <c r="Z738" s="62" t="s">
        <v>1513</v>
      </c>
      <c r="AA738" s="62" t="s">
        <v>1521</v>
      </c>
      <c r="AB738" s="62" t="n">
        <v>1</v>
      </c>
      <c r="AC738" s="62" t="n">
        <v>0</v>
      </c>
      <c r="AD738" s="62" t="n">
        <v>1</v>
      </c>
      <c r="AE738" s="62" t="n">
        <f aca="false">IF(AND(Dashboard!$C$9="Yes",AC738=1),0,1)</f>
        <v>1</v>
      </c>
      <c r="AF738" s="62" t="n">
        <v>0</v>
      </c>
    </row>
    <row r="739" customFormat="false" ht="15" hidden="false" customHeight="false" outlineLevel="0" collapsed="false">
      <c r="A739" s="62" t="n">
        <v>738</v>
      </c>
      <c r="B739" s="63" t="n">
        <v>46251.0115856482</v>
      </c>
      <c r="C739" s="64" t="n">
        <v>46250</v>
      </c>
      <c r="D739" s="62" t="s">
        <v>393</v>
      </c>
      <c r="E739" s="62" t="s">
        <v>156</v>
      </c>
      <c r="F739" s="62" t="s">
        <v>156</v>
      </c>
      <c r="G739" s="62" t="s">
        <v>157</v>
      </c>
      <c r="H739" s="62" t="s">
        <v>51</v>
      </c>
      <c r="I739" s="62" t="s">
        <v>47</v>
      </c>
      <c r="J739" s="62" t="s">
        <v>146</v>
      </c>
      <c r="K739" s="62" t="s">
        <v>147</v>
      </c>
      <c r="L739" s="62" t="s">
        <v>148</v>
      </c>
      <c r="M739" s="62" t="n">
        <v>0</v>
      </c>
      <c r="N739" s="62" t="n">
        <v>1</v>
      </c>
      <c r="O739" s="62" t="n">
        <v>1</v>
      </c>
      <c r="P739" s="62" t="n">
        <v>0</v>
      </c>
      <c r="Q739" s="62" t="n">
        <v>0</v>
      </c>
      <c r="R739" s="62" t="n">
        <v>1</v>
      </c>
      <c r="S739" s="62" t="n">
        <v>0</v>
      </c>
      <c r="T739" s="62" t="n">
        <v>0</v>
      </c>
      <c r="U739" s="62"/>
      <c r="V739" s="62"/>
      <c r="W739" s="62"/>
      <c r="X739" s="62"/>
      <c r="Y739" s="62"/>
      <c r="Z739" s="62" t="s">
        <v>1522</v>
      </c>
      <c r="AA739" s="62" t="s">
        <v>1523</v>
      </c>
      <c r="AB739" s="62" t="n">
        <v>1</v>
      </c>
      <c r="AC739" s="62" t="n">
        <v>0</v>
      </c>
      <c r="AD739" s="62" t="n">
        <v>1</v>
      </c>
      <c r="AE739" s="62" t="n">
        <f aca="false">IF(AND(Dashboard!$C$9="Yes",AC739=1),0,1)</f>
        <v>1</v>
      </c>
      <c r="AF739" s="62" t="n">
        <v>1</v>
      </c>
    </row>
    <row r="740" customFormat="false" ht="15" hidden="false" customHeight="false" outlineLevel="0" collapsed="false">
      <c r="A740" s="62" t="n">
        <v>739</v>
      </c>
      <c r="B740" s="63" t="n">
        <v>46251.030474537</v>
      </c>
      <c r="C740" s="64" t="n">
        <v>46250</v>
      </c>
      <c r="D740" s="62" t="s">
        <v>393</v>
      </c>
      <c r="E740" s="62" t="s">
        <v>180</v>
      </c>
      <c r="F740" s="62" t="s">
        <v>180</v>
      </c>
      <c r="G740" s="62" t="s">
        <v>181</v>
      </c>
      <c r="H740" s="62" t="s">
        <v>58</v>
      </c>
      <c r="I740" s="62" t="s">
        <v>49</v>
      </c>
      <c r="J740" s="62" t="s">
        <v>146</v>
      </c>
      <c r="K740" s="62" t="s">
        <v>175</v>
      </c>
      <c r="L740" s="62" t="s">
        <v>148</v>
      </c>
      <c r="M740" s="62" t="n">
        <v>0</v>
      </c>
      <c r="N740" s="62" t="n">
        <v>1</v>
      </c>
      <c r="O740" s="62" t="n">
        <v>1</v>
      </c>
      <c r="P740" s="62" t="n">
        <v>1</v>
      </c>
      <c r="Q740" s="62" t="n">
        <v>0</v>
      </c>
      <c r="R740" s="62" t="n">
        <v>0</v>
      </c>
      <c r="S740" s="62" t="n">
        <v>0</v>
      </c>
      <c r="T740" s="62" t="n">
        <v>0</v>
      </c>
      <c r="U740" s="62"/>
      <c r="V740" s="62"/>
      <c r="W740" s="62"/>
      <c r="X740" s="62"/>
      <c r="Y740" s="62"/>
      <c r="Z740" s="62" t="s">
        <v>1524</v>
      </c>
      <c r="AA740" s="62" t="s">
        <v>1524</v>
      </c>
      <c r="AB740" s="62" t="n">
        <v>1</v>
      </c>
      <c r="AC740" s="62" t="n">
        <v>0</v>
      </c>
      <c r="AD740" s="62" t="n">
        <v>1</v>
      </c>
      <c r="AE740" s="62" t="n">
        <f aca="false">IF(AND(Dashboard!$C$9="Yes",AC740=1),0,1)</f>
        <v>1</v>
      </c>
      <c r="AF740" s="62" t="n">
        <v>0</v>
      </c>
    </row>
    <row r="741" customFormat="false" ht="15" hidden="false" customHeight="false" outlineLevel="0" collapsed="false">
      <c r="A741" s="62" t="n">
        <v>740</v>
      </c>
      <c r="B741" s="63" t="n">
        <v>46251.0743634259</v>
      </c>
      <c r="C741" s="64" t="n">
        <v>46250</v>
      </c>
      <c r="D741" s="62" t="s">
        <v>393</v>
      </c>
      <c r="E741" s="62" t="s">
        <v>1382</v>
      </c>
      <c r="F741" s="62" t="s">
        <v>1382</v>
      </c>
      <c r="G741" s="62" t="s">
        <v>1383</v>
      </c>
      <c r="H741" s="62" t="s">
        <v>58</v>
      </c>
      <c r="I741" s="62" t="s">
        <v>49</v>
      </c>
      <c r="J741" s="62" t="s">
        <v>146</v>
      </c>
      <c r="K741" s="62" t="s">
        <v>175</v>
      </c>
      <c r="L741" s="62" t="s">
        <v>148</v>
      </c>
      <c r="M741" s="62" t="n">
        <v>0</v>
      </c>
      <c r="N741" s="62" t="n">
        <v>1</v>
      </c>
      <c r="O741" s="62" t="n">
        <v>1</v>
      </c>
      <c r="P741" s="62" t="n">
        <v>1</v>
      </c>
      <c r="Q741" s="62" t="n">
        <v>0</v>
      </c>
      <c r="R741" s="62" t="n">
        <v>0</v>
      </c>
      <c r="S741" s="62" t="n">
        <v>0</v>
      </c>
      <c r="T741" s="62" t="n">
        <v>0</v>
      </c>
      <c r="U741" s="62"/>
      <c r="V741" s="62"/>
      <c r="W741" s="62"/>
      <c r="X741" s="62"/>
      <c r="Y741" s="62"/>
      <c r="Z741" s="62" t="s">
        <v>1525</v>
      </c>
      <c r="AA741" s="62" t="s">
        <v>1526</v>
      </c>
      <c r="AB741" s="62" t="n">
        <v>1</v>
      </c>
      <c r="AC741" s="62" t="n">
        <v>0</v>
      </c>
      <c r="AD741" s="62" t="n">
        <v>1</v>
      </c>
      <c r="AE741" s="62" t="n">
        <f aca="false">IF(AND(Dashboard!$C$9="Yes",AC741=1),0,1)</f>
        <v>1</v>
      </c>
      <c r="AF741" s="62" t="n">
        <v>1</v>
      </c>
    </row>
    <row r="742" customFormat="false" ht="15" hidden="false" customHeight="false" outlineLevel="0" collapsed="false">
      <c r="A742" s="62" t="n">
        <v>741</v>
      </c>
      <c r="B742" s="63" t="n">
        <v>46251.0783796296</v>
      </c>
      <c r="C742" s="64" t="n">
        <v>46250</v>
      </c>
      <c r="D742" s="62" t="s">
        <v>393</v>
      </c>
      <c r="E742" s="62" t="s">
        <v>228</v>
      </c>
      <c r="F742" s="62" t="s">
        <v>229</v>
      </c>
      <c r="G742" s="62" t="s">
        <v>153</v>
      </c>
      <c r="H742" s="62" t="s">
        <v>153</v>
      </c>
      <c r="I742" s="62" t="s">
        <v>153</v>
      </c>
      <c r="J742" s="62" t="s">
        <v>64</v>
      </c>
      <c r="K742" s="62" t="s">
        <v>64</v>
      </c>
      <c r="L742" s="62" t="s">
        <v>148</v>
      </c>
      <c r="M742" s="62" t="n">
        <v>0</v>
      </c>
      <c r="N742" s="62" t="n">
        <v>1</v>
      </c>
      <c r="O742" s="62" t="n">
        <v>1</v>
      </c>
      <c r="P742" s="62" t="n">
        <v>0</v>
      </c>
      <c r="Q742" s="62" t="n">
        <v>1</v>
      </c>
      <c r="R742" s="62" t="n">
        <v>0</v>
      </c>
      <c r="S742" s="62" t="n">
        <v>0</v>
      </c>
      <c r="T742" s="62" t="n">
        <v>0</v>
      </c>
      <c r="U742" s="62"/>
      <c r="V742" s="62"/>
      <c r="W742" s="62"/>
      <c r="X742" s="62"/>
      <c r="Y742" s="62"/>
      <c r="Z742" s="62" t="s">
        <v>1527</v>
      </c>
      <c r="AA742" s="62" t="s">
        <v>1528</v>
      </c>
      <c r="AB742" s="62" t="n">
        <v>1</v>
      </c>
      <c r="AC742" s="62" t="n">
        <v>0</v>
      </c>
      <c r="AD742" s="62" t="n">
        <v>0</v>
      </c>
      <c r="AE742" s="62" t="n">
        <f aca="false">IF(AND(Dashboard!$C$9="Yes",AC742=1),0,1)</f>
        <v>1</v>
      </c>
      <c r="AF742" s="62" t="n">
        <v>1</v>
      </c>
    </row>
    <row r="743" customFormat="false" ht="15" hidden="false" customHeight="false" outlineLevel="0" collapsed="false">
      <c r="A743" s="62" t="n">
        <v>742</v>
      </c>
      <c r="B743" s="63" t="n">
        <v>46251.0933680556</v>
      </c>
      <c r="C743" s="64" t="n">
        <v>46250</v>
      </c>
      <c r="D743" s="62" t="s">
        <v>393</v>
      </c>
      <c r="E743" s="62" t="s">
        <v>180</v>
      </c>
      <c r="F743" s="62" t="s">
        <v>180</v>
      </c>
      <c r="G743" s="62" t="s">
        <v>181</v>
      </c>
      <c r="H743" s="62" t="s">
        <v>58</v>
      </c>
      <c r="I743" s="62" t="s">
        <v>49</v>
      </c>
      <c r="J743" s="62" t="s">
        <v>146</v>
      </c>
      <c r="K743" s="62" t="s">
        <v>175</v>
      </c>
      <c r="L743" s="62" t="s">
        <v>4</v>
      </c>
      <c r="M743" s="62" t="n">
        <v>1</v>
      </c>
      <c r="N743" s="62" t="n">
        <v>0</v>
      </c>
      <c r="O743" s="62" t="n">
        <v>1</v>
      </c>
      <c r="P743" s="62" t="n">
        <v>0</v>
      </c>
      <c r="Q743" s="62" t="n">
        <v>0</v>
      </c>
      <c r="R743" s="62" t="n">
        <v>0</v>
      </c>
      <c r="S743" s="62" t="n">
        <v>0</v>
      </c>
      <c r="T743" s="62" t="n">
        <v>0</v>
      </c>
      <c r="U743" s="62"/>
      <c r="V743" s="62"/>
      <c r="W743" s="62"/>
      <c r="X743" s="62"/>
      <c r="Y743" s="62"/>
      <c r="Z743" s="62" t="s">
        <v>1529</v>
      </c>
      <c r="AA743" s="62" t="s">
        <v>1530</v>
      </c>
      <c r="AB743" s="62" t="n">
        <v>1</v>
      </c>
      <c r="AC743" s="62" t="n">
        <v>0</v>
      </c>
      <c r="AD743" s="62" t="n">
        <v>1</v>
      </c>
      <c r="AE743" s="62" t="n">
        <f aca="false">IF(AND(Dashboard!$C$9="Yes",AC743=1),0,1)</f>
        <v>1</v>
      </c>
      <c r="AF743" s="62" t="n">
        <v>0</v>
      </c>
    </row>
    <row r="744" customFormat="false" ht="15" hidden="false" customHeight="false" outlineLevel="0" collapsed="false">
      <c r="A744" s="62" t="n">
        <v>743</v>
      </c>
      <c r="B744" s="63" t="n">
        <v>46251.0936458333</v>
      </c>
      <c r="C744" s="64" t="n">
        <v>46250</v>
      </c>
      <c r="D744" s="62" t="s">
        <v>393</v>
      </c>
      <c r="E744" s="62" t="s">
        <v>180</v>
      </c>
      <c r="F744" s="62" t="s">
        <v>180</v>
      </c>
      <c r="G744" s="62" t="s">
        <v>181</v>
      </c>
      <c r="H744" s="62" t="s">
        <v>58</v>
      </c>
      <c r="I744" s="62" t="s">
        <v>49</v>
      </c>
      <c r="J744" s="62" t="s">
        <v>146</v>
      </c>
      <c r="K744" s="62" t="s">
        <v>175</v>
      </c>
      <c r="L744" s="62" t="s">
        <v>148</v>
      </c>
      <c r="M744" s="62" t="n">
        <v>0</v>
      </c>
      <c r="N744" s="62" t="n">
        <v>1</v>
      </c>
      <c r="O744" s="62" t="n">
        <v>1</v>
      </c>
      <c r="P744" s="62" t="n">
        <v>0</v>
      </c>
      <c r="Q744" s="62" t="n">
        <v>0</v>
      </c>
      <c r="R744" s="62" t="n">
        <v>0</v>
      </c>
      <c r="S744" s="62" t="n">
        <v>1</v>
      </c>
      <c r="T744" s="62" t="n">
        <v>0</v>
      </c>
      <c r="U744" s="62"/>
      <c r="V744" s="62"/>
      <c r="W744" s="62"/>
      <c r="X744" s="62"/>
      <c r="Y744" s="62"/>
      <c r="Z744" s="62" t="s">
        <v>1529</v>
      </c>
      <c r="AA744" s="62" t="s">
        <v>1530</v>
      </c>
      <c r="AB744" s="62" t="n">
        <v>1</v>
      </c>
      <c r="AC744" s="62" t="n">
        <v>0</v>
      </c>
      <c r="AD744" s="62" t="n">
        <v>1</v>
      </c>
      <c r="AE744" s="62" t="n">
        <f aca="false">IF(AND(Dashboard!$C$9="Yes",AC744=1),0,1)</f>
        <v>1</v>
      </c>
      <c r="AF744" s="62" t="n">
        <v>0</v>
      </c>
    </row>
    <row r="745" customFormat="false" ht="15" hidden="false" customHeight="false" outlineLevel="0" collapsed="false">
      <c r="A745" s="62" t="n">
        <v>744</v>
      </c>
      <c r="B745" s="63" t="n">
        <v>46251.1021990741</v>
      </c>
      <c r="C745" s="64" t="n">
        <v>46250</v>
      </c>
      <c r="D745" s="62" t="s">
        <v>393</v>
      </c>
      <c r="E745" s="62" t="s">
        <v>212</v>
      </c>
      <c r="F745" s="62" t="s">
        <v>212</v>
      </c>
      <c r="G745" s="62" t="s">
        <v>213</v>
      </c>
      <c r="H745" s="62" t="s">
        <v>58</v>
      </c>
      <c r="I745" s="62" t="s">
        <v>49</v>
      </c>
      <c r="J745" s="62" t="s">
        <v>146</v>
      </c>
      <c r="K745" s="62" t="s">
        <v>175</v>
      </c>
      <c r="L745" s="62" t="s">
        <v>4</v>
      </c>
      <c r="M745" s="62" t="n">
        <v>1</v>
      </c>
      <c r="N745" s="62" t="n">
        <v>0</v>
      </c>
      <c r="O745" s="62" t="n">
        <v>1</v>
      </c>
      <c r="P745" s="62" t="n">
        <v>0</v>
      </c>
      <c r="Q745" s="62" t="n">
        <v>0</v>
      </c>
      <c r="R745" s="62" t="n">
        <v>0</v>
      </c>
      <c r="S745" s="62" t="n">
        <v>0</v>
      </c>
      <c r="T745" s="62" t="n">
        <v>0</v>
      </c>
      <c r="U745" s="62"/>
      <c r="V745" s="62"/>
      <c r="W745" s="62"/>
      <c r="X745" s="62"/>
      <c r="Y745" s="62"/>
      <c r="Z745" s="62" t="s">
        <v>1531</v>
      </c>
      <c r="AA745" s="62" t="s">
        <v>1532</v>
      </c>
      <c r="AB745" s="62" t="n">
        <v>1</v>
      </c>
      <c r="AC745" s="62" t="n">
        <v>0</v>
      </c>
      <c r="AD745" s="62" t="n">
        <v>1</v>
      </c>
      <c r="AE745" s="62" t="n">
        <f aca="false">IF(AND(Dashboard!$C$9="Yes",AC745=1),0,1)</f>
        <v>1</v>
      </c>
      <c r="AF745" s="62" t="n">
        <v>0</v>
      </c>
    </row>
    <row r="746" customFormat="false" ht="15" hidden="false" customHeight="false" outlineLevel="0" collapsed="false">
      <c r="A746" s="62" t="n">
        <v>745</v>
      </c>
      <c r="B746" s="63" t="n">
        <v>46251.1123611111</v>
      </c>
      <c r="C746" s="64" t="n">
        <v>46250</v>
      </c>
      <c r="D746" s="62" t="s">
        <v>393</v>
      </c>
      <c r="E746" s="62" t="s">
        <v>207</v>
      </c>
      <c r="F746" s="62" t="s">
        <v>207</v>
      </c>
      <c r="G746" s="62" t="s">
        <v>208</v>
      </c>
      <c r="H746" s="62" t="s">
        <v>48</v>
      </c>
      <c r="I746" s="62" t="s">
        <v>49</v>
      </c>
      <c r="J746" s="62" t="s">
        <v>146</v>
      </c>
      <c r="K746" s="62" t="s">
        <v>209</v>
      </c>
      <c r="L746" s="62" t="s">
        <v>148</v>
      </c>
      <c r="M746" s="62" t="n">
        <v>0</v>
      </c>
      <c r="N746" s="62" t="n">
        <v>1</v>
      </c>
      <c r="O746" s="62" t="n">
        <v>1</v>
      </c>
      <c r="P746" s="62" t="n">
        <v>1</v>
      </c>
      <c r="Q746" s="62" t="n">
        <v>0</v>
      </c>
      <c r="R746" s="62" t="n">
        <v>0</v>
      </c>
      <c r="S746" s="62" t="n">
        <v>0</v>
      </c>
      <c r="T746" s="62" t="n">
        <v>0</v>
      </c>
      <c r="U746" s="62"/>
      <c r="V746" s="62"/>
      <c r="W746" s="62"/>
      <c r="X746" s="62"/>
      <c r="Y746" s="62"/>
      <c r="Z746" s="62" t="s">
        <v>1533</v>
      </c>
      <c r="AA746" s="62" t="s">
        <v>1534</v>
      </c>
      <c r="AB746" s="62" t="n">
        <v>1</v>
      </c>
      <c r="AC746" s="62" t="n">
        <v>0</v>
      </c>
      <c r="AD746" s="62" t="n">
        <v>1</v>
      </c>
      <c r="AE746" s="62" t="n">
        <f aca="false">IF(AND(Dashboard!$C$9="Yes",AC746=1),0,1)</f>
        <v>1</v>
      </c>
      <c r="AF746" s="62" t="n">
        <v>1</v>
      </c>
    </row>
    <row r="747" customFormat="false" ht="15" hidden="false" customHeight="false" outlineLevel="0" collapsed="false">
      <c r="A747" s="62" t="n">
        <v>746</v>
      </c>
      <c r="B747" s="63" t="n">
        <v>46251.1193171296</v>
      </c>
      <c r="C747" s="64" t="n">
        <v>46250</v>
      </c>
      <c r="D747" s="62" t="s">
        <v>393</v>
      </c>
      <c r="E747" s="62" t="s">
        <v>228</v>
      </c>
      <c r="F747" s="62" t="s">
        <v>229</v>
      </c>
      <c r="G747" s="62" t="s">
        <v>153</v>
      </c>
      <c r="H747" s="62" t="s">
        <v>153</v>
      </c>
      <c r="I747" s="62" t="s">
        <v>153</v>
      </c>
      <c r="J747" s="62" t="s">
        <v>64</v>
      </c>
      <c r="K747" s="62" t="s">
        <v>64</v>
      </c>
      <c r="L747" s="62" t="s">
        <v>148</v>
      </c>
      <c r="M747" s="62" t="n">
        <v>0</v>
      </c>
      <c r="N747" s="62" t="n">
        <v>1</v>
      </c>
      <c r="O747" s="62" t="n">
        <v>1</v>
      </c>
      <c r="P747" s="62" t="n">
        <v>1</v>
      </c>
      <c r="Q747" s="62" t="n">
        <v>0</v>
      </c>
      <c r="R747" s="62" t="n">
        <v>0</v>
      </c>
      <c r="S747" s="62" t="n">
        <v>0</v>
      </c>
      <c r="T747" s="62" t="n">
        <v>0</v>
      </c>
      <c r="U747" s="62"/>
      <c r="V747" s="62"/>
      <c r="W747" s="62"/>
      <c r="X747" s="62"/>
      <c r="Y747" s="62"/>
      <c r="Z747" s="62" t="s">
        <v>1535</v>
      </c>
      <c r="AA747" s="62" t="s">
        <v>1536</v>
      </c>
      <c r="AB747" s="62" t="n">
        <v>1</v>
      </c>
      <c r="AC747" s="62" t="n">
        <v>0</v>
      </c>
      <c r="AD747" s="62" t="n">
        <v>0</v>
      </c>
      <c r="AE747" s="62" t="n">
        <f aca="false">IF(AND(Dashboard!$C$9="Yes",AC747=1),0,1)</f>
        <v>1</v>
      </c>
      <c r="AF747" s="62" t="n">
        <v>0</v>
      </c>
    </row>
    <row r="748" customFormat="false" ht="15" hidden="false" customHeight="false" outlineLevel="0" collapsed="false">
      <c r="A748" s="62" t="n">
        <v>747</v>
      </c>
      <c r="B748" s="63" t="n">
        <v>46251.1737615741</v>
      </c>
      <c r="C748" s="64" t="n">
        <v>46250</v>
      </c>
      <c r="D748" s="62" t="s">
        <v>393</v>
      </c>
      <c r="E748" s="62" t="s">
        <v>207</v>
      </c>
      <c r="F748" s="62" t="s">
        <v>207</v>
      </c>
      <c r="G748" s="62" t="s">
        <v>208</v>
      </c>
      <c r="H748" s="62" t="s">
        <v>48</v>
      </c>
      <c r="I748" s="62" t="s">
        <v>49</v>
      </c>
      <c r="J748" s="62" t="s">
        <v>146</v>
      </c>
      <c r="K748" s="62" t="s">
        <v>209</v>
      </c>
      <c r="L748" s="62" t="s">
        <v>148</v>
      </c>
      <c r="M748" s="62" t="n">
        <v>0</v>
      </c>
      <c r="N748" s="62" t="n">
        <v>1</v>
      </c>
      <c r="O748" s="62" t="n">
        <v>1</v>
      </c>
      <c r="P748" s="62" t="n">
        <v>0</v>
      </c>
      <c r="Q748" s="62" t="n">
        <v>1</v>
      </c>
      <c r="R748" s="62" t="n">
        <v>0</v>
      </c>
      <c r="S748" s="62" t="n">
        <v>0</v>
      </c>
      <c r="T748" s="62" t="n">
        <v>0</v>
      </c>
      <c r="U748" s="62"/>
      <c r="V748" s="62"/>
      <c r="W748" s="62"/>
      <c r="X748" s="62"/>
      <c r="Y748" s="62"/>
      <c r="Z748" s="62" t="s">
        <v>1537</v>
      </c>
      <c r="AA748" s="62" t="s">
        <v>1538</v>
      </c>
      <c r="AB748" s="62" t="n">
        <v>1</v>
      </c>
      <c r="AC748" s="62" t="n">
        <v>0</v>
      </c>
      <c r="AD748" s="62" t="n">
        <v>1</v>
      </c>
      <c r="AE748" s="62" t="n">
        <f aca="false">IF(AND(Dashboard!$C$9="Yes",AC748=1),0,1)</f>
        <v>1</v>
      </c>
      <c r="AF748" s="62" t="n">
        <v>0</v>
      </c>
    </row>
    <row r="749" customFormat="false" ht="15" hidden="false" customHeight="false" outlineLevel="0" collapsed="false">
      <c r="A749" s="62" t="n">
        <v>748</v>
      </c>
      <c r="B749" s="63" t="n">
        <v>46251.1955902778</v>
      </c>
      <c r="C749" s="64" t="n">
        <v>46250</v>
      </c>
      <c r="D749" s="62" t="s">
        <v>393</v>
      </c>
      <c r="E749" s="62" t="s">
        <v>1539</v>
      </c>
      <c r="F749" s="62" t="s">
        <v>1539</v>
      </c>
      <c r="G749" s="62" t="s">
        <v>1540</v>
      </c>
      <c r="H749" s="62" t="s">
        <v>52</v>
      </c>
      <c r="I749" s="62" t="s">
        <v>47</v>
      </c>
      <c r="J749" s="62" t="s">
        <v>146</v>
      </c>
      <c r="K749" s="62" t="s">
        <v>147</v>
      </c>
      <c r="L749" s="62" t="s">
        <v>148</v>
      </c>
      <c r="M749" s="62" t="n">
        <v>0</v>
      </c>
      <c r="N749" s="62" t="n">
        <v>1</v>
      </c>
      <c r="O749" s="62" t="n">
        <v>1</v>
      </c>
      <c r="P749" s="62" t="n">
        <v>1</v>
      </c>
      <c r="Q749" s="62" t="n">
        <v>0</v>
      </c>
      <c r="R749" s="62" t="n">
        <v>0</v>
      </c>
      <c r="S749" s="62" t="n">
        <v>0</v>
      </c>
      <c r="T749" s="62" t="n">
        <v>0</v>
      </c>
      <c r="U749" s="62"/>
      <c r="V749" s="62"/>
      <c r="W749" s="62"/>
      <c r="X749" s="62"/>
      <c r="Y749" s="62"/>
      <c r="Z749" s="62" t="s">
        <v>1541</v>
      </c>
      <c r="AA749" s="62" t="s">
        <v>1542</v>
      </c>
      <c r="AB749" s="62" t="n">
        <v>1</v>
      </c>
      <c r="AC749" s="62" t="n">
        <v>0</v>
      </c>
      <c r="AD749" s="62" t="n">
        <v>1</v>
      </c>
      <c r="AE749" s="62" t="n">
        <f aca="false">IF(AND(Dashboard!$C$9="Yes",AC749=1),0,1)</f>
        <v>1</v>
      </c>
      <c r="AF749" s="62" t="n">
        <v>1</v>
      </c>
    </row>
    <row r="750" customFormat="false" ht="15" hidden="false" customHeight="false" outlineLevel="0" collapsed="false">
      <c r="A750" s="62" t="n">
        <v>749</v>
      </c>
      <c r="B750" s="63" t="n">
        <v>46251.2511111111</v>
      </c>
      <c r="C750" s="64" t="n">
        <v>46250</v>
      </c>
      <c r="D750" s="62" t="s">
        <v>393</v>
      </c>
      <c r="E750" s="62" t="s">
        <v>790</v>
      </c>
      <c r="F750" s="62" t="s">
        <v>791</v>
      </c>
      <c r="G750" s="62" t="s">
        <v>153</v>
      </c>
      <c r="H750" s="62" t="s">
        <v>153</v>
      </c>
      <c r="I750" s="62" t="s">
        <v>153</v>
      </c>
      <c r="J750" s="62" t="s">
        <v>64</v>
      </c>
      <c r="K750" s="62" t="s">
        <v>64</v>
      </c>
      <c r="L750" s="62" t="s">
        <v>4</v>
      </c>
      <c r="M750" s="62" t="n">
        <v>1</v>
      </c>
      <c r="N750" s="62" t="n">
        <v>0</v>
      </c>
      <c r="O750" s="62" t="n">
        <v>1</v>
      </c>
      <c r="P750" s="62" t="n">
        <v>0</v>
      </c>
      <c r="Q750" s="62" t="n">
        <v>0</v>
      </c>
      <c r="R750" s="62" t="n">
        <v>0</v>
      </c>
      <c r="S750" s="62" t="n">
        <v>0</v>
      </c>
      <c r="T750" s="62" t="n">
        <v>0</v>
      </c>
      <c r="U750" s="62"/>
      <c r="V750" s="62"/>
      <c r="W750" s="62"/>
      <c r="X750" s="62"/>
      <c r="Y750" s="62"/>
      <c r="Z750" s="62" t="s">
        <v>1543</v>
      </c>
      <c r="AA750" s="62" t="s">
        <v>1544</v>
      </c>
      <c r="AB750" s="62" t="n">
        <v>1</v>
      </c>
      <c r="AC750" s="62" t="n">
        <v>0</v>
      </c>
      <c r="AD750" s="62" t="n">
        <v>0</v>
      </c>
      <c r="AE750" s="62" t="n">
        <f aca="false">IF(AND(Dashboard!$C$9="Yes",AC750=1),0,1)</f>
        <v>1</v>
      </c>
      <c r="AF750" s="62" t="n">
        <v>0</v>
      </c>
    </row>
    <row r="751" customFormat="false" ht="15" hidden="false" customHeight="false" outlineLevel="0" collapsed="false">
      <c r="A751" s="62" t="n">
        <v>750</v>
      </c>
      <c r="B751" s="63" t="n">
        <v>46251.6245601852</v>
      </c>
      <c r="C751" s="64" t="n">
        <v>46251</v>
      </c>
      <c r="D751" s="62" t="s">
        <v>429</v>
      </c>
      <c r="E751" s="62" t="s">
        <v>573</v>
      </c>
      <c r="F751" s="62" t="s">
        <v>573</v>
      </c>
      <c r="G751" s="62" t="s">
        <v>574</v>
      </c>
      <c r="H751" s="62" t="s">
        <v>51</v>
      </c>
      <c r="I751" s="62" t="s">
        <v>47</v>
      </c>
      <c r="J751" s="62" t="s">
        <v>146</v>
      </c>
      <c r="K751" s="62" t="s">
        <v>147</v>
      </c>
      <c r="L751" s="62" t="s">
        <v>148</v>
      </c>
      <c r="M751" s="62" t="n">
        <v>0</v>
      </c>
      <c r="N751" s="62" t="n">
        <v>1</v>
      </c>
      <c r="O751" s="62" t="n">
        <v>1</v>
      </c>
      <c r="P751" s="62" t="n">
        <v>1</v>
      </c>
      <c r="Q751" s="62" t="n">
        <v>0</v>
      </c>
      <c r="R751" s="62" t="n">
        <v>0</v>
      </c>
      <c r="S751" s="62" t="n">
        <v>0</v>
      </c>
      <c r="T751" s="62" t="n">
        <v>0</v>
      </c>
      <c r="U751" s="62"/>
      <c r="V751" s="62"/>
      <c r="W751" s="62"/>
      <c r="X751" s="62"/>
      <c r="Y751" s="62"/>
      <c r="Z751" s="62" t="s">
        <v>1545</v>
      </c>
      <c r="AA751" s="62" t="s">
        <v>1546</v>
      </c>
      <c r="AB751" s="62" t="n">
        <v>1</v>
      </c>
      <c r="AC751" s="62" t="n">
        <v>0</v>
      </c>
      <c r="AD751" s="62" t="n">
        <v>1</v>
      </c>
      <c r="AE751" s="62" t="n">
        <f aca="false">IF(AND(Dashboard!$C$9="Yes",AC751=1),0,1)</f>
        <v>1</v>
      </c>
      <c r="AF751" s="62" t="n">
        <v>1</v>
      </c>
    </row>
    <row r="752" customFormat="false" ht="15" hidden="false" customHeight="false" outlineLevel="0" collapsed="false">
      <c r="A752" s="62" t="n">
        <v>751</v>
      </c>
      <c r="B752" s="63" t="n">
        <v>46251.7792013889</v>
      </c>
      <c r="C752" s="64" t="n">
        <v>46251</v>
      </c>
      <c r="D752" s="62" t="s">
        <v>429</v>
      </c>
      <c r="E752" s="62" t="s">
        <v>650</v>
      </c>
      <c r="F752" s="62" t="s">
        <v>650</v>
      </c>
      <c r="G752" s="62" t="s">
        <v>651</v>
      </c>
      <c r="H752" s="62" t="s">
        <v>59</v>
      </c>
      <c r="I752" s="62" t="s">
        <v>47</v>
      </c>
      <c r="J752" s="62" t="s">
        <v>146</v>
      </c>
      <c r="K752" s="62" t="s">
        <v>209</v>
      </c>
      <c r="L752" s="62" t="s">
        <v>148</v>
      </c>
      <c r="M752" s="62" t="n">
        <v>0</v>
      </c>
      <c r="N752" s="62" t="n">
        <v>2</v>
      </c>
      <c r="O752" s="62" t="n">
        <v>2</v>
      </c>
      <c r="P752" s="62" t="n">
        <v>1</v>
      </c>
      <c r="Q752" s="62" t="n">
        <v>0</v>
      </c>
      <c r="R752" s="62" t="n">
        <v>1</v>
      </c>
      <c r="S752" s="62" t="n">
        <v>0</v>
      </c>
      <c r="T752" s="62" t="n">
        <v>0</v>
      </c>
      <c r="U752" s="62"/>
      <c r="V752" s="62"/>
      <c r="W752" s="62"/>
      <c r="X752" s="62"/>
      <c r="Y752" s="62"/>
      <c r="Z752" s="62" t="s">
        <v>1547</v>
      </c>
      <c r="AA752" s="62" t="s">
        <v>1548</v>
      </c>
      <c r="AB752" s="62" t="n">
        <v>1</v>
      </c>
      <c r="AC752" s="62" t="n">
        <v>0</v>
      </c>
      <c r="AD752" s="62" t="n">
        <v>1</v>
      </c>
      <c r="AE752" s="62" t="n">
        <f aca="false">IF(AND(Dashboard!$C$9="Yes",AC752=1),0,1)</f>
        <v>1</v>
      </c>
      <c r="AF752" s="62" t="n">
        <v>1</v>
      </c>
    </row>
    <row r="753" customFormat="false" ht="15" hidden="false" customHeight="false" outlineLevel="0" collapsed="false">
      <c r="A753" s="62" t="n">
        <v>752</v>
      </c>
      <c r="B753" s="63" t="n">
        <v>46251.8248263889</v>
      </c>
      <c r="C753" s="64" t="n">
        <v>46251</v>
      </c>
      <c r="D753" s="62" t="s">
        <v>429</v>
      </c>
      <c r="E753" s="62" t="s">
        <v>1445</v>
      </c>
      <c r="F753" s="62" t="s">
        <v>1445</v>
      </c>
      <c r="G753" s="62" t="s">
        <v>1446</v>
      </c>
      <c r="H753" s="62" t="s">
        <v>58</v>
      </c>
      <c r="I753" s="62" t="s">
        <v>49</v>
      </c>
      <c r="J753" s="62" t="s">
        <v>146</v>
      </c>
      <c r="K753" s="62" t="s">
        <v>175</v>
      </c>
      <c r="L753" s="62" t="s">
        <v>4</v>
      </c>
      <c r="M753" s="62" t="n">
        <v>1</v>
      </c>
      <c r="N753" s="62" t="n">
        <v>0</v>
      </c>
      <c r="O753" s="62" t="n">
        <v>1</v>
      </c>
      <c r="P753" s="62" t="n">
        <v>0</v>
      </c>
      <c r="Q753" s="62" t="n">
        <v>0</v>
      </c>
      <c r="R753" s="62" t="n">
        <v>0</v>
      </c>
      <c r="S753" s="62" t="n">
        <v>0</v>
      </c>
      <c r="T753" s="62" t="n">
        <v>0</v>
      </c>
      <c r="U753" s="62"/>
      <c r="V753" s="62"/>
      <c r="W753" s="62"/>
      <c r="X753" s="62"/>
      <c r="Y753" s="62"/>
      <c r="Z753" s="62" t="s">
        <v>1549</v>
      </c>
      <c r="AA753" s="62" t="s">
        <v>1550</v>
      </c>
      <c r="AB753" s="62" t="n">
        <v>1</v>
      </c>
      <c r="AC753" s="62" t="n">
        <v>0</v>
      </c>
      <c r="AD753" s="62" t="n">
        <v>1</v>
      </c>
      <c r="AE753" s="62" t="n">
        <f aca="false">IF(AND(Dashboard!$C$9="Yes",AC753=1),0,1)</f>
        <v>1</v>
      </c>
      <c r="AF753" s="62" t="n">
        <v>1</v>
      </c>
    </row>
    <row r="754" customFormat="false" ht="15" hidden="false" customHeight="false" outlineLevel="0" collapsed="false">
      <c r="A754" s="62" t="n">
        <v>753</v>
      </c>
      <c r="B754" s="63" t="n">
        <v>46251.848912037</v>
      </c>
      <c r="C754" s="64" t="n">
        <v>46251</v>
      </c>
      <c r="D754" s="62" t="s">
        <v>429</v>
      </c>
      <c r="E754" s="62" t="s">
        <v>1551</v>
      </c>
      <c r="F754" s="62" t="s">
        <v>1551</v>
      </c>
      <c r="G754" s="62" t="s">
        <v>1552</v>
      </c>
      <c r="H754" s="62" t="s">
        <v>52</v>
      </c>
      <c r="I754" s="62" t="s">
        <v>47</v>
      </c>
      <c r="J754" s="62" t="s">
        <v>146</v>
      </c>
      <c r="K754" s="62" t="s">
        <v>209</v>
      </c>
      <c r="L754" s="62" t="s">
        <v>148</v>
      </c>
      <c r="M754" s="62" t="n">
        <v>0</v>
      </c>
      <c r="N754" s="62" t="n">
        <v>1</v>
      </c>
      <c r="O754" s="62" t="n">
        <v>1</v>
      </c>
      <c r="P754" s="62" t="n">
        <v>0</v>
      </c>
      <c r="Q754" s="62" t="n">
        <v>1</v>
      </c>
      <c r="R754" s="62" t="n">
        <v>0</v>
      </c>
      <c r="S754" s="62" t="n">
        <v>0</v>
      </c>
      <c r="T754" s="62" t="n">
        <v>0</v>
      </c>
      <c r="U754" s="62"/>
      <c r="V754" s="62"/>
      <c r="W754" s="62"/>
      <c r="X754" s="62"/>
      <c r="Y754" s="62"/>
      <c r="Z754" s="62" t="s">
        <v>1553</v>
      </c>
      <c r="AA754" s="62" t="s">
        <v>1554</v>
      </c>
      <c r="AB754" s="62" t="n">
        <v>1</v>
      </c>
      <c r="AC754" s="62" t="n">
        <v>0</v>
      </c>
      <c r="AD754" s="62" t="n">
        <v>1</v>
      </c>
      <c r="AE754" s="62" t="n">
        <f aca="false">IF(AND(Dashboard!$C$9="Yes",AC754=1),0,1)</f>
        <v>1</v>
      </c>
      <c r="AF754" s="62" t="n">
        <v>1</v>
      </c>
    </row>
    <row r="755" customFormat="false" ht="15" hidden="false" customHeight="false" outlineLevel="0" collapsed="false">
      <c r="A755" s="62" t="n">
        <v>754</v>
      </c>
      <c r="B755" s="63" t="n">
        <v>46251.8581944444</v>
      </c>
      <c r="C755" s="64" t="n">
        <v>46251</v>
      </c>
      <c r="D755" s="62" t="s">
        <v>429</v>
      </c>
      <c r="E755" s="62" t="s">
        <v>207</v>
      </c>
      <c r="F755" s="62" t="s">
        <v>207</v>
      </c>
      <c r="G755" s="62" t="s">
        <v>208</v>
      </c>
      <c r="H755" s="62" t="s">
        <v>48</v>
      </c>
      <c r="I755" s="62" t="s">
        <v>49</v>
      </c>
      <c r="J755" s="62" t="s">
        <v>146</v>
      </c>
      <c r="K755" s="62" t="s">
        <v>209</v>
      </c>
      <c r="L755" s="62" t="s">
        <v>148</v>
      </c>
      <c r="M755" s="62" t="n">
        <v>0</v>
      </c>
      <c r="N755" s="62" t="n">
        <v>1</v>
      </c>
      <c r="O755" s="62" t="n">
        <v>1</v>
      </c>
      <c r="P755" s="62" t="n">
        <v>1</v>
      </c>
      <c r="Q755" s="62" t="n">
        <v>0</v>
      </c>
      <c r="R755" s="62" t="n">
        <v>0</v>
      </c>
      <c r="S755" s="62" t="n">
        <v>0</v>
      </c>
      <c r="T755" s="62" t="n">
        <v>0</v>
      </c>
      <c r="U755" s="62"/>
      <c r="V755" s="62"/>
      <c r="W755" s="62"/>
      <c r="X755" s="62"/>
      <c r="Y755" s="62"/>
      <c r="Z755" s="62" t="s">
        <v>1555</v>
      </c>
      <c r="AA755" s="62" t="s">
        <v>1556</v>
      </c>
      <c r="AB755" s="62" t="n">
        <v>1</v>
      </c>
      <c r="AC755" s="62" t="n">
        <v>0</v>
      </c>
      <c r="AD755" s="62" t="n">
        <v>1</v>
      </c>
      <c r="AE755" s="62" t="n">
        <f aca="false">IF(AND(Dashboard!$C$9="Yes",AC755=1),0,1)</f>
        <v>1</v>
      </c>
      <c r="AF755" s="62" t="n">
        <v>1</v>
      </c>
    </row>
    <row r="756" customFormat="false" ht="15" hidden="false" customHeight="false" outlineLevel="0" collapsed="false">
      <c r="A756" s="62" t="n">
        <v>755</v>
      </c>
      <c r="B756" s="63" t="n">
        <v>46251.9047106481</v>
      </c>
      <c r="C756" s="64" t="n">
        <v>46251</v>
      </c>
      <c r="D756" s="62" t="s">
        <v>429</v>
      </c>
      <c r="E756" s="62" t="s">
        <v>1005</v>
      </c>
      <c r="F756" s="62" t="s">
        <v>1005</v>
      </c>
      <c r="G756" s="62" t="s">
        <v>1006</v>
      </c>
      <c r="H756" s="62" t="s">
        <v>46</v>
      </c>
      <c r="I756" s="62" t="s">
        <v>47</v>
      </c>
      <c r="J756" s="62" t="s">
        <v>146</v>
      </c>
      <c r="K756" s="62" t="s">
        <v>209</v>
      </c>
      <c r="L756" s="62" t="s">
        <v>4</v>
      </c>
      <c r="M756" s="62" t="n">
        <v>1</v>
      </c>
      <c r="N756" s="62" t="n">
        <v>0</v>
      </c>
      <c r="O756" s="62" t="n">
        <v>1</v>
      </c>
      <c r="P756" s="62" t="n">
        <v>0</v>
      </c>
      <c r="Q756" s="62" t="n">
        <v>0</v>
      </c>
      <c r="R756" s="62" t="n">
        <v>0</v>
      </c>
      <c r="S756" s="62" t="n">
        <v>0</v>
      </c>
      <c r="T756" s="62" t="n">
        <v>0</v>
      </c>
      <c r="U756" s="62"/>
      <c r="V756" s="62"/>
      <c r="W756" s="62"/>
      <c r="X756" s="62"/>
      <c r="Y756" s="62"/>
      <c r="Z756" s="62" t="s">
        <v>1557</v>
      </c>
      <c r="AA756" s="62" t="s">
        <v>1558</v>
      </c>
      <c r="AB756" s="62" t="n">
        <v>1</v>
      </c>
      <c r="AC756" s="62" t="n">
        <v>0</v>
      </c>
      <c r="AD756" s="62" t="n">
        <v>1</v>
      </c>
      <c r="AE756" s="62" t="n">
        <f aca="false">IF(AND(Dashboard!$C$9="Yes",AC756=1),0,1)</f>
        <v>1</v>
      </c>
      <c r="AF756" s="62" t="n">
        <v>1</v>
      </c>
    </row>
    <row r="757" customFormat="false" ht="15" hidden="false" customHeight="false" outlineLevel="0" collapsed="false">
      <c r="A757" s="62" t="n">
        <v>756</v>
      </c>
      <c r="B757" s="63" t="n">
        <v>46251.9201967593</v>
      </c>
      <c r="C757" s="64" t="n">
        <v>46251</v>
      </c>
      <c r="D757" s="62" t="s">
        <v>429</v>
      </c>
      <c r="E757" s="62" t="s">
        <v>207</v>
      </c>
      <c r="F757" s="62" t="s">
        <v>207</v>
      </c>
      <c r="G757" s="62" t="s">
        <v>208</v>
      </c>
      <c r="H757" s="62" t="s">
        <v>48</v>
      </c>
      <c r="I757" s="62" t="s">
        <v>49</v>
      </c>
      <c r="J757" s="62" t="s">
        <v>146</v>
      </c>
      <c r="K757" s="62" t="s">
        <v>209</v>
      </c>
      <c r="L757" s="62" t="s">
        <v>148</v>
      </c>
      <c r="M757" s="62" t="n">
        <v>0</v>
      </c>
      <c r="N757" s="62" t="n">
        <v>1</v>
      </c>
      <c r="O757" s="62" t="n">
        <v>1</v>
      </c>
      <c r="P757" s="62" t="n">
        <v>0</v>
      </c>
      <c r="Q757" s="62" t="n">
        <v>0</v>
      </c>
      <c r="R757" s="62" t="n">
        <v>1</v>
      </c>
      <c r="S757" s="62" t="n">
        <v>0</v>
      </c>
      <c r="T757" s="62" t="n">
        <v>0</v>
      </c>
      <c r="U757" s="62"/>
      <c r="V757" s="62"/>
      <c r="W757" s="62"/>
      <c r="X757" s="62"/>
      <c r="Y757" s="62"/>
      <c r="Z757" s="62" t="s">
        <v>1559</v>
      </c>
      <c r="AA757" s="62" t="s">
        <v>1560</v>
      </c>
      <c r="AB757" s="62" t="n">
        <v>1</v>
      </c>
      <c r="AC757" s="62" t="n">
        <v>0</v>
      </c>
      <c r="AD757" s="62" t="n">
        <v>1</v>
      </c>
      <c r="AE757" s="62" t="n">
        <f aca="false">IF(AND(Dashboard!$C$9="Yes",AC757=1),0,1)</f>
        <v>1</v>
      </c>
      <c r="AF757" s="62" t="n">
        <v>0</v>
      </c>
    </row>
    <row r="758" customFormat="false" ht="15" hidden="false" customHeight="false" outlineLevel="0" collapsed="false">
      <c r="A758" s="62" t="n">
        <v>757</v>
      </c>
      <c r="B758" s="63" t="n">
        <v>46251.9247222222</v>
      </c>
      <c r="C758" s="64" t="n">
        <v>46251</v>
      </c>
      <c r="D758" s="62" t="s">
        <v>429</v>
      </c>
      <c r="E758" s="62" t="s">
        <v>865</v>
      </c>
      <c r="F758" s="62" t="s">
        <v>865</v>
      </c>
      <c r="G758" s="62" t="s">
        <v>866</v>
      </c>
      <c r="H758" s="62" t="s">
        <v>46</v>
      </c>
      <c r="I758" s="62" t="s">
        <v>47</v>
      </c>
      <c r="J758" s="62" t="s">
        <v>146</v>
      </c>
      <c r="K758" s="62" t="s">
        <v>209</v>
      </c>
      <c r="L758" s="62" t="s">
        <v>148</v>
      </c>
      <c r="M758" s="62" t="n">
        <v>0</v>
      </c>
      <c r="N758" s="62" t="n">
        <v>1</v>
      </c>
      <c r="O758" s="62" t="n">
        <v>1</v>
      </c>
      <c r="P758" s="62" t="n">
        <v>0</v>
      </c>
      <c r="Q758" s="62" t="n">
        <v>0</v>
      </c>
      <c r="R758" s="62" t="n">
        <v>1</v>
      </c>
      <c r="S758" s="62" t="n">
        <v>0</v>
      </c>
      <c r="T758" s="62" t="n">
        <v>0</v>
      </c>
      <c r="U758" s="62"/>
      <c r="V758" s="62"/>
      <c r="W758" s="62"/>
      <c r="X758" s="62"/>
      <c r="Y758" s="62"/>
      <c r="Z758" s="62" t="s">
        <v>1561</v>
      </c>
      <c r="AA758" s="62" t="s">
        <v>1562</v>
      </c>
      <c r="AB758" s="62" t="n">
        <v>1</v>
      </c>
      <c r="AC758" s="62" t="n">
        <v>0</v>
      </c>
      <c r="AD758" s="62" t="n">
        <v>1</v>
      </c>
      <c r="AE758" s="62" t="n">
        <f aca="false">IF(AND(Dashboard!$C$9="Yes",AC758=1),0,1)</f>
        <v>1</v>
      </c>
      <c r="AF758" s="62" t="n">
        <v>1</v>
      </c>
    </row>
    <row r="759" customFormat="false" ht="15" hidden="false" customHeight="false" outlineLevel="0" collapsed="false">
      <c r="A759" s="62" t="n">
        <v>758</v>
      </c>
      <c r="B759" s="63" t="n">
        <v>46251.9351041667</v>
      </c>
      <c r="C759" s="64" t="n">
        <v>46251</v>
      </c>
      <c r="D759" s="62" t="s">
        <v>429</v>
      </c>
      <c r="E759" s="62" t="s">
        <v>1005</v>
      </c>
      <c r="F759" s="62" t="s">
        <v>1005</v>
      </c>
      <c r="G759" s="62" t="s">
        <v>1006</v>
      </c>
      <c r="H759" s="62" t="s">
        <v>46</v>
      </c>
      <c r="I759" s="62" t="s">
        <v>47</v>
      </c>
      <c r="J759" s="62" t="s">
        <v>146</v>
      </c>
      <c r="K759" s="62" t="s">
        <v>209</v>
      </c>
      <c r="L759" s="62" t="s">
        <v>148</v>
      </c>
      <c r="M759" s="62" t="n">
        <v>0</v>
      </c>
      <c r="N759" s="62" t="n">
        <v>1</v>
      </c>
      <c r="O759" s="62" t="n">
        <v>1</v>
      </c>
      <c r="P759" s="62" t="n">
        <v>0</v>
      </c>
      <c r="Q759" s="62" t="n">
        <v>1</v>
      </c>
      <c r="R759" s="62" t="n">
        <v>0</v>
      </c>
      <c r="S759" s="62" t="n">
        <v>0</v>
      </c>
      <c r="T759" s="62" t="n">
        <v>0</v>
      </c>
      <c r="U759" s="62"/>
      <c r="V759" s="62"/>
      <c r="W759" s="62"/>
      <c r="X759" s="62"/>
      <c r="Y759" s="62"/>
      <c r="Z759" s="62" t="s">
        <v>1557</v>
      </c>
      <c r="AA759" s="62" t="s">
        <v>485</v>
      </c>
      <c r="AB759" s="62" t="n">
        <v>0</v>
      </c>
      <c r="AC759" s="62" t="n">
        <v>0</v>
      </c>
      <c r="AD759" s="62" t="n">
        <v>1</v>
      </c>
      <c r="AE759" s="62" t="n">
        <f aca="false">IF(AND(Dashboard!$C$9="Yes",AC759=1),0,1)</f>
        <v>1</v>
      </c>
      <c r="AF759" s="62" t="n">
        <v>0</v>
      </c>
    </row>
    <row r="760" customFormat="false" ht="15" hidden="false" customHeight="false" outlineLevel="0" collapsed="false">
      <c r="A760" s="62" t="n">
        <v>759</v>
      </c>
      <c r="B760" s="63" t="n">
        <v>46251.9354398148</v>
      </c>
      <c r="C760" s="64" t="n">
        <v>46251</v>
      </c>
      <c r="D760" s="62" t="s">
        <v>429</v>
      </c>
      <c r="E760" s="62" t="s">
        <v>1005</v>
      </c>
      <c r="F760" s="62" t="s">
        <v>1005</v>
      </c>
      <c r="G760" s="62" t="s">
        <v>1006</v>
      </c>
      <c r="H760" s="62" t="s">
        <v>46</v>
      </c>
      <c r="I760" s="62" t="s">
        <v>47</v>
      </c>
      <c r="J760" s="62" t="s">
        <v>146</v>
      </c>
      <c r="K760" s="62" t="s">
        <v>209</v>
      </c>
      <c r="L760" s="62" t="s">
        <v>148</v>
      </c>
      <c r="M760" s="62" t="n">
        <v>0</v>
      </c>
      <c r="N760" s="62" t="n">
        <v>1</v>
      </c>
      <c r="O760" s="62" t="n">
        <v>1</v>
      </c>
      <c r="P760" s="62" t="n">
        <v>0</v>
      </c>
      <c r="Q760" s="62" t="n">
        <v>1</v>
      </c>
      <c r="R760" s="62" t="n">
        <v>0</v>
      </c>
      <c r="S760" s="62" t="n">
        <v>0</v>
      </c>
      <c r="T760" s="62" t="n">
        <v>0</v>
      </c>
      <c r="U760" s="62"/>
      <c r="V760" s="62"/>
      <c r="W760" s="62"/>
      <c r="X760" s="62"/>
      <c r="Y760" s="62"/>
      <c r="Z760" s="62" t="s">
        <v>1563</v>
      </c>
      <c r="AA760" s="62" t="s">
        <v>485</v>
      </c>
      <c r="AB760" s="62" t="n">
        <v>0</v>
      </c>
      <c r="AC760" s="62" t="n">
        <v>0</v>
      </c>
      <c r="AD760" s="62" t="n">
        <v>1</v>
      </c>
      <c r="AE760" s="62" t="n">
        <f aca="false">IF(AND(Dashboard!$C$9="Yes",AC760=1),0,1)</f>
        <v>1</v>
      </c>
      <c r="AF760" s="62" t="n">
        <v>0</v>
      </c>
    </row>
    <row r="761" customFormat="false" ht="15" hidden="false" customHeight="false" outlineLevel="0" collapsed="false">
      <c r="A761" s="62" t="n">
        <v>760</v>
      </c>
      <c r="B761" s="63" t="n">
        <v>46251.9491898148</v>
      </c>
      <c r="C761" s="64" t="n">
        <v>46251</v>
      </c>
      <c r="D761" s="62" t="s">
        <v>429</v>
      </c>
      <c r="E761" s="62" t="s">
        <v>255</v>
      </c>
      <c r="F761" s="62" t="s">
        <v>255</v>
      </c>
      <c r="G761" s="62" t="s">
        <v>256</v>
      </c>
      <c r="H761" s="62" t="s">
        <v>57</v>
      </c>
      <c r="I761" s="62" t="s">
        <v>47</v>
      </c>
      <c r="J761" s="62" t="s">
        <v>146</v>
      </c>
      <c r="K761" s="62" t="s">
        <v>147</v>
      </c>
      <c r="L761" s="62" t="s">
        <v>148</v>
      </c>
      <c r="M761" s="62" t="n">
        <v>0</v>
      </c>
      <c r="N761" s="62" t="n">
        <v>1</v>
      </c>
      <c r="O761" s="62" t="n">
        <v>1</v>
      </c>
      <c r="P761" s="62" t="n">
        <v>0</v>
      </c>
      <c r="Q761" s="62" t="n">
        <v>0</v>
      </c>
      <c r="R761" s="62" t="n">
        <v>1</v>
      </c>
      <c r="S761" s="62" t="n">
        <v>0</v>
      </c>
      <c r="T761" s="62" t="n">
        <v>0</v>
      </c>
      <c r="U761" s="62"/>
      <c r="V761" s="62"/>
      <c r="W761" s="62"/>
      <c r="X761" s="62"/>
      <c r="Y761" s="62"/>
      <c r="Z761" s="62" t="s">
        <v>1564</v>
      </c>
      <c r="AA761" s="62" t="s">
        <v>1565</v>
      </c>
      <c r="AB761" s="62" t="n">
        <v>1</v>
      </c>
      <c r="AC761" s="62" t="n">
        <v>0</v>
      </c>
      <c r="AD761" s="62" t="n">
        <v>1</v>
      </c>
      <c r="AE761" s="62" t="n">
        <f aca="false">IF(AND(Dashboard!$C$9="Yes",AC761=1),0,1)</f>
        <v>1</v>
      </c>
      <c r="AF761" s="62" t="n">
        <v>1</v>
      </c>
    </row>
    <row r="762" customFormat="false" ht="15" hidden="false" customHeight="false" outlineLevel="0" collapsed="false">
      <c r="A762" s="62" t="n">
        <v>761</v>
      </c>
      <c r="B762" s="63" t="n">
        <v>46251.9769212963</v>
      </c>
      <c r="C762" s="64" t="n">
        <v>46251</v>
      </c>
      <c r="D762" s="62" t="s">
        <v>429</v>
      </c>
      <c r="E762" s="62" t="s">
        <v>414</v>
      </c>
      <c r="F762" s="62" t="s">
        <v>414</v>
      </c>
      <c r="G762" s="62" t="s">
        <v>415</v>
      </c>
      <c r="H762" s="62" t="s">
        <v>57</v>
      </c>
      <c r="I762" s="62" t="s">
        <v>47</v>
      </c>
      <c r="J762" s="62" t="s">
        <v>146</v>
      </c>
      <c r="K762" s="62" t="s">
        <v>147</v>
      </c>
      <c r="L762" s="62" t="s">
        <v>148</v>
      </c>
      <c r="M762" s="62" t="n">
        <v>0</v>
      </c>
      <c r="N762" s="62" t="n">
        <v>1</v>
      </c>
      <c r="O762" s="62" t="n">
        <v>1</v>
      </c>
      <c r="P762" s="62" t="n">
        <v>1</v>
      </c>
      <c r="Q762" s="62" t="n">
        <v>0</v>
      </c>
      <c r="R762" s="62" t="n">
        <v>0</v>
      </c>
      <c r="S762" s="62" t="n">
        <v>0</v>
      </c>
      <c r="T762" s="62" t="n">
        <v>0</v>
      </c>
      <c r="U762" s="62"/>
      <c r="V762" s="62"/>
      <c r="W762" s="62"/>
      <c r="X762" s="62"/>
      <c r="Y762" s="62"/>
      <c r="Z762" s="62" t="s">
        <v>1566</v>
      </c>
      <c r="AA762" s="62" t="s">
        <v>1567</v>
      </c>
      <c r="AB762" s="62" t="n">
        <v>1</v>
      </c>
      <c r="AC762" s="62" t="n">
        <v>0</v>
      </c>
      <c r="AD762" s="62" t="n">
        <v>1</v>
      </c>
      <c r="AE762" s="62" t="n">
        <f aca="false">IF(AND(Dashboard!$C$9="Yes",AC762=1),0,1)</f>
        <v>1</v>
      </c>
      <c r="AF762" s="62" t="n">
        <v>1</v>
      </c>
    </row>
    <row r="763" customFormat="false" ht="15" hidden="false" customHeight="false" outlineLevel="0" collapsed="false">
      <c r="A763" s="62" t="n">
        <v>762</v>
      </c>
      <c r="B763" s="63" t="n">
        <v>46251.9779282407</v>
      </c>
      <c r="C763" s="64" t="n">
        <v>46251</v>
      </c>
      <c r="D763" s="62" t="s">
        <v>429</v>
      </c>
      <c r="E763" s="62" t="s">
        <v>164</v>
      </c>
      <c r="F763" s="62" t="s">
        <v>164</v>
      </c>
      <c r="G763" s="62" t="s">
        <v>165</v>
      </c>
      <c r="H763" s="62" t="s">
        <v>51</v>
      </c>
      <c r="I763" s="62" t="s">
        <v>47</v>
      </c>
      <c r="J763" s="62" t="s">
        <v>146</v>
      </c>
      <c r="K763" s="62" t="s">
        <v>147</v>
      </c>
      <c r="L763" s="62" t="s">
        <v>148</v>
      </c>
      <c r="M763" s="62" t="n">
        <v>0</v>
      </c>
      <c r="N763" s="62" t="n">
        <v>1</v>
      </c>
      <c r="O763" s="62" t="n">
        <v>1</v>
      </c>
      <c r="P763" s="62" t="n">
        <v>0</v>
      </c>
      <c r="Q763" s="62" t="n">
        <v>1</v>
      </c>
      <c r="R763" s="62" t="n">
        <v>0</v>
      </c>
      <c r="S763" s="62" t="n">
        <v>0</v>
      </c>
      <c r="T763" s="62" t="n">
        <v>0</v>
      </c>
      <c r="U763" s="62"/>
      <c r="V763" s="62"/>
      <c r="W763" s="62"/>
      <c r="X763" s="62"/>
      <c r="Y763" s="62"/>
      <c r="Z763" s="62" t="s">
        <v>1568</v>
      </c>
      <c r="AA763" s="62" t="s">
        <v>1569</v>
      </c>
      <c r="AB763" s="62" t="n">
        <v>1</v>
      </c>
      <c r="AC763" s="62" t="n">
        <v>0</v>
      </c>
      <c r="AD763" s="62" t="n">
        <v>1</v>
      </c>
      <c r="AE763" s="62" t="n">
        <f aca="false">IF(AND(Dashboard!$C$9="Yes",AC763=1),0,1)</f>
        <v>1</v>
      </c>
      <c r="AF763" s="62" t="n">
        <v>1</v>
      </c>
    </row>
    <row r="764" customFormat="false" ht="15" hidden="false" customHeight="false" outlineLevel="0" collapsed="false">
      <c r="A764" s="62" t="n">
        <v>763</v>
      </c>
      <c r="B764" s="63" t="n">
        <v>46251.9786342593</v>
      </c>
      <c r="C764" s="64" t="n">
        <v>46251</v>
      </c>
      <c r="D764" s="62" t="s">
        <v>429</v>
      </c>
      <c r="E764" s="62" t="s">
        <v>414</v>
      </c>
      <c r="F764" s="62" t="s">
        <v>414</v>
      </c>
      <c r="G764" s="62" t="s">
        <v>415</v>
      </c>
      <c r="H764" s="62" t="s">
        <v>57</v>
      </c>
      <c r="I764" s="62" t="s">
        <v>47</v>
      </c>
      <c r="J764" s="62" t="s">
        <v>146</v>
      </c>
      <c r="K764" s="62" t="s">
        <v>147</v>
      </c>
      <c r="L764" s="62" t="s">
        <v>148</v>
      </c>
      <c r="M764" s="62" t="n">
        <v>0</v>
      </c>
      <c r="N764" s="62" t="n">
        <v>1</v>
      </c>
      <c r="O764" s="62" t="n">
        <v>1</v>
      </c>
      <c r="P764" s="62" t="n">
        <v>0</v>
      </c>
      <c r="Q764" s="62" t="n">
        <v>0</v>
      </c>
      <c r="R764" s="62" t="n">
        <v>0</v>
      </c>
      <c r="S764" s="62" t="n">
        <v>1</v>
      </c>
      <c r="T764" s="62" t="n">
        <v>0</v>
      </c>
      <c r="U764" s="62"/>
      <c r="V764" s="62"/>
      <c r="W764" s="62"/>
      <c r="X764" s="62"/>
      <c r="Y764" s="62"/>
      <c r="Z764" s="62" t="s">
        <v>1566</v>
      </c>
      <c r="AA764" s="62" t="s">
        <v>1570</v>
      </c>
      <c r="AB764" s="62" t="n">
        <v>0</v>
      </c>
      <c r="AC764" s="62" t="n">
        <v>0</v>
      </c>
      <c r="AD764" s="62" t="n">
        <v>1</v>
      </c>
      <c r="AE764" s="62" t="n">
        <f aca="false">IF(AND(Dashboard!$C$9="Yes",AC764=1),0,1)</f>
        <v>1</v>
      </c>
      <c r="AF764" s="62" t="n">
        <v>0</v>
      </c>
    </row>
    <row r="765" customFormat="false" ht="15" hidden="false" customHeight="false" outlineLevel="0" collapsed="false">
      <c r="A765" s="62" t="n">
        <v>764</v>
      </c>
      <c r="B765" s="63" t="n">
        <v>46251.9806481482</v>
      </c>
      <c r="C765" s="64" t="n">
        <v>46251</v>
      </c>
      <c r="D765" s="62" t="s">
        <v>429</v>
      </c>
      <c r="E765" s="62" t="s">
        <v>1571</v>
      </c>
      <c r="F765" s="62" t="s">
        <v>1571</v>
      </c>
      <c r="G765" s="62" t="s">
        <v>1572</v>
      </c>
      <c r="H765" s="62" t="s">
        <v>52</v>
      </c>
      <c r="I765" s="62" t="s">
        <v>47</v>
      </c>
      <c r="J765" s="62" t="s">
        <v>146</v>
      </c>
      <c r="K765" s="62" t="s">
        <v>209</v>
      </c>
      <c r="L765" s="62" t="s">
        <v>148</v>
      </c>
      <c r="M765" s="62" t="n">
        <v>0</v>
      </c>
      <c r="N765" s="62" t="n">
        <v>1</v>
      </c>
      <c r="O765" s="62" t="n">
        <v>1</v>
      </c>
      <c r="P765" s="62" t="n">
        <v>1</v>
      </c>
      <c r="Q765" s="62" t="n">
        <v>0</v>
      </c>
      <c r="R765" s="62" t="n">
        <v>0</v>
      </c>
      <c r="S765" s="62" t="n">
        <v>0</v>
      </c>
      <c r="T765" s="62" t="n">
        <v>0</v>
      </c>
      <c r="U765" s="62"/>
      <c r="V765" s="62"/>
      <c r="W765" s="62"/>
      <c r="X765" s="62"/>
      <c r="Y765" s="62"/>
      <c r="Z765" s="62" t="s">
        <v>1573</v>
      </c>
      <c r="AA765" s="62" t="s">
        <v>1574</v>
      </c>
      <c r="AB765" s="62" t="n">
        <v>1</v>
      </c>
      <c r="AC765" s="62" t="n">
        <v>0</v>
      </c>
      <c r="AD765" s="62" t="n">
        <v>1</v>
      </c>
      <c r="AE765" s="62" t="n">
        <f aca="false">IF(AND(Dashboard!$C$9="Yes",AC765=1),0,1)</f>
        <v>1</v>
      </c>
      <c r="AF765" s="62" t="n">
        <v>1</v>
      </c>
    </row>
    <row r="766" customFormat="false" ht="15" hidden="false" customHeight="false" outlineLevel="0" collapsed="false">
      <c r="A766" s="62" t="n">
        <v>765</v>
      </c>
      <c r="B766" s="63" t="n">
        <v>46252.0681597222</v>
      </c>
      <c r="C766" s="64" t="n">
        <v>46251</v>
      </c>
      <c r="D766" s="62" t="s">
        <v>429</v>
      </c>
      <c r="E766" s="62" t="s">
        <v>312</v>
      </c>
      <c r="F766" s="62" t="s">
        <v>312</v>
      </c>
      <c r="G766" s="62" t="s">
        <v>313</v>
      </c>
      <c r="H766" s="62" t="s">
        <v>51</v>
      </c>
      <c r="I766" s="62" t="s">
        <v>47</v>
      </c>
      <c r="J766" s="62" t="s">
        <v>146</v>
      </c>
      <c r="K766" s="62" t="s">
        <v>147</v>
      </c>
      <c r="L766" s="62" t="s">
        <v>148</v>
      </c>
      <c r="M766" s="62" t="n">
        <v>0</v>
      </c>
      <c r="N766" s="62" t="n">
        <v>1</v>
      </c>
      <c r="O766" s="62" t="n">
        <v>1</v>
      </c>
      <c r="P766" s="62" t="n">
        <v>0</v>
      </c>
      <c r="Q766" s="62" t="n">
        <v>0</v>
      </c>
      <c r="R766" s="62" t="n">
        <v>1</v>
      </c>
      <c r="S766" s="62" t="n">
        <v>0</v>
      </c>
      <c r="T766" s="62" t="n">
        <v>0</v>
      </c>
      <c r="U766" s="62"/>
      <c r="V766" s="62"/>
      <c r="W766" s="62"/>
      <c r="X766" s="62"/>
      <c r="Y766" s="62"/>
      <c r="Z766" s="62" t="s">
        <v>1575</v>
      </c>
      <c r="AA766" s="62" t="s">
        <v>1576</v>
      </c>
      <c r="AB766" s="62" t="n">
        <v>0</v>
      </c>
      <c r="AC766" s="62" t="n">
        <v>0</v>
      </c>
      <c r="AD766" s="62" t="n">
        <v>1</v>
      </c>
      <c r="AE766" s="62" t="n">
        <f aca="false">IF(AND(Dashboard!$C$9="Yes",AC766=1),0,1)</f>
        <v>1</v>
      </c>
      <c r="AF766" s="62" t="n">
        <v>1</v>
      </c>
    </row>
    <row r="767" customFormat="false" ht="15" hidden="false" customHeight="false" outlineLevel="0" collapsed="false">
      <c r="A767" s="62" t="n">
        <v>766</v>
      </c>
      <c r="B767" s="63" t="n">
        <v>46252.068912037</v>
      </c>
      <c r="C767" s="64" t="n">
        <v>46251</v>
      </c>
      <c r="D767" s="62" t="s">
        <v>429</v>
      </c>
      <c r="E767" s="62" t="s">
        <v>312</v>
      </c>
      <c r="F767" s="62" t="s">
        <v>312</v>
      </c>
      <c r="G767" s="62" t="s">
        <v>313</v>
      </c>
      <c r="H767" s="62" t="s">
        <v>51</v>
      </c>
      <c r="I767" s="62" t="s">
        <v>47</v>
      </c>
      <c r="J767" s="62" t="s">
        <v>146</v>
      </c>
      <c r="K767" s="62" t="s">
        <v>147</v>
      </c>
      <c r="L767" s="62" t="s">
        <v>148</v>
      </c>
      <c r="M767" s="62" t="n">
        <v>0</v>
      </c>
      <c r="N767" s="62" t="n">
        <v>1</v>
      </c>
      <c r="O767" s="62" t="n">
        <v>1</v>
      </c>
      <c r="P767" s="62" t="n">
        <v>1</v>
      </c>
      <c r="Q767" s="62" t="n">
        <v>0</v>
      </c>
      <c r="R767" s="62" t="n">
        <v>0</v>
      </c>
      <c r="S767" s="62" t="n">
        <v>0</v>
      </c>
      <c r="T767" s="62" t="n">
        <v>0</v>
      </c>
      <c r="U767" s="62"/>
      <c r="V767" s="62"/>
      <c r="W767" s="62"/>
      <c r="X767" s="62"/>
      <c r="Y767" s="62"/>
      <c r="Z767" s="62" t="s">
        <v>1577</v>
      </c>
      <c r="AA767" s="62" t="s">
        <v>1578</v>
      </c>
      <c r="AB767" s="62" t="n">
        <v>1</v>
      </c>
      <c r="AC767" s="62" t="n">
        <v>0</v>
      </c>
      <c r="AD767" s="62" t="n">
        <v>1</v>
      </c>
      <c r="AE767" s="62" t="n">
        <f aca="false">IF(AND(Dashboard!$C$9="Yes",AC767=1),0,1)</f>
        <v>1</v>
      </c>
      <c r="AF767" s="62" t="n">
        <v>0</v>
      </c>
    </row>
    <row r="768" customFormat="false" ht="15" hidden="false" customHeight="false" outlineLevel="0" collapsed="false">
      <c r="A768" s="62" t="n">
        <v>767</v>
      </c>
      <c r="B768" s="63" t="n">
        <v>46252.0695138889</v>
      </c>
      <c r="C768" s="64" t="n">
        <v>46251</v>
      </c>
      <c r="D768" s="62" t="s">
        <v>429</v>
      </c>
      <c r="E768" s="62" t="s">
        <v>212</v>
      </c>
      <c r="F768" s="62" t="s">
        <v>212</v>
      </c>
      <c r="G768" s="62" t="s">
        <v>213</v>
      </c>
      <c r="H768" s="62" t="s">
        <v>58</v>
      </c>
      <c r="I768" s="62" t="s">
        <v>49</v>
      </c>
      <c r="J768" s="62" t="s">
        <v>146</v>
      </c>
      <c r="K768" s="62" t="s">
        <v>175</v>
      </c>
      <c r="L768" s="62" t="s">
        <v>4</v>
      </c>
      <c r="M768" s="62" t="n">
        <v>1</v>
      </c>
      <c r="N768" s="62" t="n">
        <v>0</v>
      </c>
      <c r="O768" s="62" t="n">
        <v>1</v>
      </c>
      <c r="P768" s="62" t="n">
        <v>0</v>
      </c>
      <c r="Q768" s="62" t="n">
        <v>0</v>
      </c>
      <c r="R768" s="62" t="n">
        <v>0</v>
      </c>
      <c r="S768" s="62" t="n">
        <v>0</v>
      </c>
      <c r="T768" s="62" t="n">
        <v>0</v>
      </c>
      <c r="U768" s="62"/>
      <c r="V768" s="62"/>
      <c r="W768" s="62"/>
      <c r="X768" s="62"/>
      <c r="Y768" s="62"/>
      <c r="Z768" s="62" t="s">
        <v>1579</v>
      </c>
      <c r="AA768" s="62" t="s">
        <v>1580</v>
      </c>
      <c r="AB768" s="62" t="n">
        <v>1</v>
      </c>
      <c r="AC768" s="62" t="n">
        <v>0</v>
      </c>
      <c r="AD768" s="62" t="n">
        <v>1</v>
      </c>
      <c r="AE768" s="62" t="n">
        <f aca="false">IF(AND(Dashboard!$C$9="Yes",AC768=1),0,1)</f>
        <v>1</v>
      </c>
      <c r="AF768" s="62" t="n">
        <v>1</v>
      </c>
    </row>
    <row r="769" customFormat="false" ht="15" hidden="false" customHeight="false" outlineLevel="0" collapsed="false">
      <c r="A769" s="62" t="n">
        <v>768</v>
      </c>
      <c r="B769" s="63" t="n">
        <v>46252.0730092593</v>
      </c>
      <c r="C769" s="64" t="n">
        <v>46251</v>
      </c>
      <c r="D769" s="62" t="s">
        <v>429</v>
      </c>
      <c r="E769" s="62" t="s">
        <v>273</v>
      </c>
      <c r="F769" s="62" t="s">
        <v>273</v>
      </c>
      <c r="G769" s="62" t="s">
        <v>274</v>
      </c>
      <c r="H769" s="62" t="s">
        <v>59</v>
      </c>
      <c r="I769" s="62" t="s">
        <v>47</v>
      </c>
      <c r="J769" s="62" t="s">
        <v>146</v>
      </c>
      <c r="K769" s="62" t="s">
        <v>147</v>
      </c>
      <c r="L769" s="62" t="s">
        <v>148</v>
      </c>
      <c r="M769" s="62" t="n">
        <v>0</v>
      </c>
      <c r="N769" s="62" t="n">
        <v>1</v>
      </c>
      <c r="O769" s="62" t="n">
        <v>1</v>
      </c>
      <c r="P769" s="62" t="n">
        <v>1</v>
      </c>
      <c r="Q769" s="62" t="n">
        <v>0</v>
      </c>
      <c r="R769" s="62" t="n">
        <v>0</v>
      </c>
      <c r="S769" s="62" t="n">
        <v>0</v>
      </c>
      <c r="T769" s="62" t="n">
        <v>0</v>
      </c>
      <c r="U769" s="62"/>
      <c r="V769" s="62"/>
      <c r="W769" s="62"/>
      <c r="X769" s="62"/>
      <c r="Y769" s="62"/>
      <c r="Z769" s="62" t="s">
        <v>1581</v>
      </c>
      <c r="AA769" s="62" t="s">
        <v>1582</v>
      </c>
      <c r="AB769" s="62" t="n">
        <v>1</v>
      </c>
      <c r="AC769" s="62" t="n">
        <v>0</v>
      </c>
      <c r="AD769" s="62" t="n">
        <v>1</v>
      </c>
      <c r="AE769" s="62" t="n">
        <f aca="false">IF(AND(Dashboard!$C$9="Yes",AC769=1),0,1)</f>
        <v>1</v>
      </c>
      <c r="AF769" s="62" t="n">
        <v>1</v>
      </c>
    </row>
    <row r="770" customFormat="false" ht="15" hidden="false" customHeight="false" outlineLevel="0" collapsed="false">
      <c r="A770" s="62" t="n">
        <v>769</v>
      </c>
      <c r="B770" s="63" t="n">
        <v>46252.1192708333</v>
      </c>
      <c r="C770" s="64" t="n">
        <v>46251</v>
      </c>
      <c r="D770" s="62" t="s">
        <v>429</v>
      </c>
      <c r="E770" s="62" t="s">
        <v>1005</v>
      </c>
      <c r="F770" s="62" t="s">
        <v>1005</v>
      </c>
      <c r="G770" s="62" t="s">
        <v>1006</v>
      </c>
      <c r="H770" s="62" t="s">
        <v>46</v>
      </c>
      <c r="I770" s="62" t="s">
        <v>47</v>
      </c>
      <c r="J770" s="62" t="s">
        <v>146</v>
      </c>
      <c r="K770" s="62" t="s">
        <v>209</v>
      </c>
      <c r="L770" s="62" t="s">
        <v>148</v>
      </c>
      <c r="M770" s="62" t="n">
        <v>0</v>
      </c>
      <c r="N770" s="62" t="n">
        <v>2</v>
      </c>
      <c r="O770" s="62" t="n">
        <v>2</v>
      </c>
      <c r="P770" s="62" t="n">
        <v>1</v>
      </c>
      <c r="Q770" s="62" t="n">
        <v>1</v>
      </c>
      <c r="R770" s="62" t="n">
        <v>0</v>
      </c>
      <c r="S770" s="62" t="n">
        <v>0</v>
      </c>
      <c r="T770" s="62" t="n">
        <v>0</v>
      </c>
      <c r="U770" s="62"/>
      <c r="V770" s="62"/>
      <c r="W770" s="62"/>
      <c r="X770" s="62"/>
      <c r="Y770" s="62"/>
      <c r="Z770" s="62" t="s">
        <v>1583</v>
      </c>
      <c r="AA770" s="62" t="s">
        <v>1584</v>
      </c>
      <c r="AB770" s="62" t="n">
        <v>0</v>
      </c>
      <c r="AC770" s="62" t="n">
        <v>0</v>
      </c>
      <c r="AD770" s="62" t="n">
        <v>1</v>
      </c>
      <c r="AE770" s="62" t="n">
        <f aca="false">IF(AND(Dashboard!$C$9="Yes",AC770=1),0,1)</f>
        <v>1</v>
      </c>
      <c r="AF770" s="62" t="n">
        <v>0</v>
      </c>
    </row>
    <row r="771" customFormat="false" ht="15" hidden="false" customHeight="false" outlineLevel="0" collapsed="false">
      <c r="A771" s="62" t="n">
        <v>770</v>
      </c>
      <c r="B771" s="63" t="n">
        <v>46252.148287037</v>
      </c>
      <c r="C771" s="64" t="n">
        <v>46251</v>
      </c>
      <c r="D771" s="62" t="s">
        <v>429</v>
      </c>
      <c r="E771" s="62" t="s">
        <v>180</v>
      </c>
      <c r="F771" s="62" t="s">
        <v>180</v>
      </c>
      <c r="G771" s="62" t="s">
        <v>181</v>
      </c>
      <c r="H771" s="62" t="s">
        <v>58</v>
      </c>
      <c r="I771" s="62" t="s">
        <v>49</v>
      </c>
      <c r="J771" s="62" t="s">
        <v>146</v>
      </c>
      <c r="K771" s="62" t="s">
        <v>175</v>
      </c>
      <c r="L771" s="62" t="s">
        <v>148</v>
      </c>
      <c r="M771" s="62" t="n">
        <v>0</v>
      </c>
      <c r="N771" s="62" t="n">
        <v>1</v>
      </c>
      <c r="O771" s="62" t="n">
        <v>1</v>
      </c>
      <c r="P771" s="62" t="n">
        <v>1</v>
      </c>
      <c r="Q771" s="62" t="n">
        <v>0</v>
      </c>
      <c r="R771" s="62" t="n">
        <v>0</v>
      </c>
      <c r="S771" s="62" t="n">
        <v>0</v>
      </c>
      <c r="T771" s="62" t="n">
        <v>0</v>
      </c>
      <c r="U771" s="62"/>
      <c r="V771" s="62"/>
      <c r="W771" s="62"/>
      <c r="X771" s="62"/>
      <c r="Y771" s="62"/>
      <c r="Z771" s="62" t="s">
        <v>1585</v>
      </c>
      <c r="AA771" s="62" t="s">
        <v>1585</v>
      </c>
      <c r="AB771" s="62" t="n">
        <v>1</v>
      </c>
      <c r="AC771" s="62" t="n">
        <v>0</v>
      </c>
      <c r="AD771" s="62" t="n">
        <v>1</v>
      </c>
      <c r="AE771" s="62" t="n">
        <f aca="false">IF(AND(Dashboard!$C$9="Yes",AC771=1),0,1)</f>
        <v>1</v>
      </c>
      <c r="AF771" s="62" t="n">
        <v>1</v>
      </c>
    </row>
    <row r="772" customFormat="false" ht="15" hidden="false" customHeight="false" outlineLevel="0" collapsed="false">
      <c r="A772" s="62" t="n">
        <v>771</v>
      </c>
      <c r="B772" s="63" t="n">
        <v>46252.255625</v>
      </c>
      <c r="C772" s="64" t="n">
        <v>46251</v>
      </c>
      <c r="D772" s="62" t="s">
        <v>429</v>
      </c>
      <c r="E772" s="62" t="s">
        <v>414</v>
      </c>
      <c r="F772" s="62" t="s">
        <v>414</v>
      </c>
      <c r="G772" s="62" t="s">
        <v>415</v>
      </c>
      <c r="H772" s="62" t="s">
        <v>57</v>
      </c>
      <c r="I772" s="62" t="s">
        <v>47</v>
      </c>
      <c r="J772" s="62" t="s">
        <v>146</v>
      </c>
      <c r="K772" s="62" t="s">
        <v>147</v>
      </c>
      <c r="L772" s="62" t="s">
        <v>148</v>
      </c>
      <c r="M772" s="62" t="n">
        <v>0</v>
      </c>
      <c r="N772" s="62" t="n">
        <v>1</v>
      </c>
      <c r="O772" s="62" t="n">
        <v>1</v>
      </c>
      <c r="P772" s="62" t="n">
        <v>0</v>
      </c>
      <c r="Q772" s="62" t="n">
        <v>0</v>
      </c>
      <c r="R772" s="62" t="n">
        <v>0</v>
      </c>
      <c r="S772" s="62" t="n">
        <v>1</v>
      </c>
      <c r="T772" s="62" t="n">
        <v>0</v>
      </c>
      <c r="U772" s="62"/>
      <c r="V772" s="62"/>
      <c r="W772" s="62"/>
      <c r="X772" s="62"/>
      <c r="Y772" s="62"/>
      <c r="Z772" s="62" t="s">
        <v>1586</v>
      </c>
      <c r="AA772" s="62" t="s">
        <v>1587</v>
      </c>
      <c r="AB772" s="62" t="n">
        <v>0</v>
      </c>
      <c r="AC772" s="62" t="n">
        <v>0</v>
      </c>
      <c r="AD772" s="62" t="n">
        <v>1</v>
      </c>
      <c r="AE772" s="62" t="n">
        <f aca="false">IF(AND(Dashboard!$C$9="Yes",AC772=1),0,1)</f>
        <v>1</v>
      </c>
      <c r="AF772" s="62" t="n">
        <v>0</v>
      </c>
    </row>
    <row r="773" customFormat="false" ht="15" hidden="false" customHeight="false" outlineLevel="0" collapsed="false">
      <c r="A773" s="62" t="n">
        <v>772</v>
      </c>
      <c r="B773" s="63" t="n">
        <v>46252.6580208333</v>
      </c>
      <c r="C773" s="64" t="n">
        <v>46252</v>
      </c>
      <c r="D773" s="62" t="s">
        <v>501</v>
      </c>
      <c r="E773" s="62" t="s">
        <v>592</v>
      </c>
      <c r="F773" s="62" t="s">
        <v>593</v>
      </c>
      <c r="G773" s="62" t="s">
        <v>153</v>
      </c>
      <c r="H773" s="62" t="s">
        <v>153</v>
      </c>
      <c r="I773" s="62" t="s">
        <v>153</v>
      </c>
      <c r="J773" s="62" t="s">
        <v>64</v>
      </c>
      <c r="K773" s="62" t="s">
        <v>64</v>
      </c>
      <c r="L773" s="62" t="s">
        <v>148</v>
      </c>
      <c r="M773" s="62" t="n">
        <v>0</v>
      </c>
      <c r="N773" s="62" t="n">
        <v>1</v>
      </c>
      <c r="O773" s="62" t="n">
        <v>1</v>
      </c>
      <c r="P773" s="62" t="n">
        <v>0</v>
      </c>
      <c r="Q773" s="62" t="n">
        <v>0</v>
      </c>
      <c r="R773" s="62" t="n">
        <v>1</v>
      </c>
      <c r="S773" s="62" t="n">
        <v>0</v>
      </c>
      <c r="T773" s="62" t="n">
        <v>0</v>
      </c>
      <c r="U773" s="62"/>
      <c r="V773" s="62"/>
      <c r="W773" s="62"/>
      <c r="X773" s="62"/>
      <c r="Y773" s="62"/>
      <c r="Z773" s="62" t="s">
        <v>1588</v>
      </c>
      <c r="AA773" s="62" t="s">
        <v>1589</v>
      </c>
      <c r="AB773" s="62" t="n">
        <v>1</v>
      </c>
      <c r="AC773" s="62" t="n">
        <v>0</v>
      </c>
      <c r="AD773" s="62" t="n">
        <v>0</v>
      </c>
      <c r="AE773" s="62" t="n">
        <f aca="false">IF(AND(Dashboard!$C$9="Yes",AC773=1),0,1)</f>
        <v>1</v>
      </c>
      <c r="AF773" s="62" t="n">
        <v>1</v>
      </c>
    </row>
    <row r="774" customFormat="false" ht="15" hidden="false" customHeight="false" outlineLevel="0" collapsed="false">
      <c r="A774" s="62" t="n">
        <v>773</v>
      </c>
      <c r="B774" s="63" t="n">
        <v>46252.7131134259</v>
      </c>
      <c r="C774" s="64" t="n">
        <v>46252</v>
      </c>
      <c r="D774" s="62" t="s">
        <v>501</v>
      </c>
      <c r="E774" s="62" t="s">
        <v>1590</v>
      </c>
      <c r="F774" s="62" t="s">
        <v>1590</v>
      </c>
      <c r="G774" s="62" t="s">
        <v>1591</v>
      </c>
      <c r="H774" s="62" t="s">
        <v>52</v>
      </c>
      <c r="I774" s="62" t="s">
        <v>47</v>
      </c>
      <c r="J774" s="62" t="s">
        <v>146</v>
      </c>
      <c r="K774" s="62" t="s">
        <v>209</v>
      </c>
      <c r="L774" s="62" t="s">
        <v>4</v>
      </c>
      <c r="M774" s="62" t="n">
        <v>1</v>
      </c>
      <c r="N774" s="62" t="n">
        <v>0</v>
      </c>
      <c r="O774" s="62" t="n">
        <v>1</v>
      </c>
      <c r="P774" s="62" t="n">
        <v>0</v>
      </c>
      <c r="Q774" s="62" t="n">
        <v>0</v>
      </c>
      <c r="R774" s="62" t="n">
        <v>0</v>
      </c>
      <c r="S774" s="62" t="n">
        <v>0</v>
      </c>
      <c r="T774" s="62" t="n">
        <v>0</v>
      </c>
      <c r="U774" s="62"/>
      <c r="V774" s="62"/>
      <c r="W774" s="62"/>
      <c r="X774" s="62"/>
      <c r="Y774" s="62"/>
      <c r="Z774" s="62" t="s">
        <v>1592</v>
      </c>
      <c r="AA774" s="62" t="s">
        <v>1593</v>
      </c>
      <c r="AB774" s="62" t="n">
        <v>1</v>
      </c>
      <c r="AC774" s="62" t="n">
        <v>0</v>
      </c>
      <c r="AD774" s="62" t="n">
        <v>1</v>
      </c>
      <c r="AE774" s="62" t="n">
        <f aca="false">IF(AND(Dashboard!$C$9="Yes",AC774=1),0,1)</f>
        <v>1</v>
      </c>
      <c r="AF774" s="62" t="n">
        <v>1</v>
      </c>
    </row>
    <row r="775" customFormat="false" ht="15" hidden="false" customHeight="false" outlineLevel="0" collapsed="false">
      <c r="A775" s="62" t="n">
        <v>774</v>
      </c>
      <c r="B775" s="63" t="n">
        <v>46252.7961921296</v>
      </c>
      <c r="C775" s="64" t="n">
        <v>46252</v>
      </c>
      <c r="D775" s="62" t="s">
        <v>501</v>
      </c>
      <c r="E775" s="62" t="s">
        <v>650</v>
      </c>
      <c r="F775" s="62" t="s">
        <v>650</v>
      </c>
      <c r="G775" s="62" t="s">
        <v>651</v>
      </c>
      <c r="H775" s="62" t="s">
        <v>59</v>
      </c>
      <c r="I775" s="62" t="s">
        <v>47</v>
      </c>
      <c r="J775" s="62" t="s">
        <v>146</v>
      </c>
      <c r="K775" s="62" t="s">
        <v>209</v>
      </c>
      <c r="L775" s="62" t="s">
        <v>148</v>
      </c>
      <c r="M775" s="62" t="n">
        <v>0</v>
      </c>
      <c r="N775" s="62" t="n">
        <v>2</v>
      </c>
      <c r="O775" s="62" t="n">
        <v>2</v>
      </c>
      <c r="P775" s="62" t="n">
        <v>1</v>
      </c>
      <c r="Q775" s="62" t="n">
        <v>1</v>
      </c>
      <c r="R775" s="62" t="n">
        <v>0</v>
      </c>
      <c r="S775" s="62" t="n">
        <v>0</v>
      </c>
      <c r="T775" s="62" t="n">
        <v>0</v>
      </c>
      <c r="U775" s="62"/>
      <c r="V775" s="62"/>
      <c r="W775" s="62"/>
      <c r="X775" s="62"/>
      <c r="Y775" s="62"/>
      <c r="Z775" s="62" t="s">
        <v>1594</v>
      </c>
      <c r="AA775" s="62" t="s">
        <v>1595</v>
      </c>
      <c r="AB775" s="62" t="n">
        <v>1</v>
      </c>
      <c r="AC775" s="62" t="n">
        <v>0</v>
      </c>
      <c r="AD775" s="62" t="n">
        <v>1</v>
      </c>
      <c r="AE775" s="62" t="n">
        <f aca="false">IF(AND(Dashboard!$C$9="Yes",AC775=1),0,1)</f>
        <v>1</v>
      </c>
      <c r="AF775" s="62" t="n">
        <v>1</v>
      </c>
    </row>
    <row r="776" customFormat="false" ht="15" hidden="false" customHeight="false" outlineLevel="0" collapsed="false">
      <c r="A776" s="62" t="n">
        <v>775</v>
      </c>
      <c r="B776" s="63" t="n">
        <v>46252.8184375</v>
      </c>
      <c r="C776" s="64" t="n">
        <v>46252</v>
      </c>
      <c r="D776" s="62" t="s">
        <v>501</v>
      </c>
      <c r="E776" s="62" t="s">
        <v>650</v>
      </c>
      <c r="F776" s="62" t="s">
        <v>650</v>
      </c>
      <c r="G776" s="62" t="s">
        <v>651</v>
      </c>
      <c r="H776" s="62" t="s">
        <v>59</v>
      </c>
      <c r="I776" s="62" t="s">
        <v>47</v>
      </c>
      <c r="J776" s="62" t="s">
        <v>146</v>
      </c>
      <c r="K776" s="62" t="s">
        <v>209</v>
      </c>
      <c r="L776" s="62" t="s">
        <v>148</v>
      </c>
      <c r="M776" s="62" t="n">
        <v>0</v>
      </c>
      <c r="N776" s="62" t="n">
        <v>1</v>
      </c>
      <c r="O776" s="62" t="n">
        <v>1</v>
      </c>
      <c r="P776" s="62" t="n">
        <v>0</v>
      </c>
      <c r="Q776" s="62" t="n">
        <v>0</v>
      </c>
      <c r="R776" s="62" t="n">
        <v>1</v>
      </c>
      <c r="S776" s="62" t="n">
        <v>0</v>
      </c>
      <c r="T776" s="62" t="n">
        <v>0</v>
      </c>
      <c r="U776" s="62"/>
      <c r="V776" s="62"/>
      <c r="W776" s="62"/>
      <c r="X776" s="62"/>
      <c r="Y776" s="62"/>
      <c r="Z776" s="62" t="s">
        <v>1596</v>
      </c>
      <c r="AA776" s="62" t="s">
        <v>1597</v>
      </c>
      <c r="AB776" s="62" t="n">
        <v>1</v>
      </c>
      <c r="AC776" s="62" t="n">
        <v>0</v>
      </c>
      <c r="AD776" s="62" t="n">
        <v>1</v>
      </c>
      <c r="AE776" s="62" t="n">
        <f aca="false">IF(AND(Dashboard!$C$9="Yes",AC776=1),0,1)</f>
        <v>1</v>
      </c>
      <c r="AF776" s="62" t="n">
        <v>0</v>
      </c>
    </row>
    <row r="777" customFormat="false" ht="15" hidden="false" customHeight="false" outlineLevel="0" collapsed="false">
      <c r="A777" s="62" t="n">
        <v>776</v>
      </c>
      <c r="B777" s="63" t="n">
        <v>46252.846099537</v>
      </c>
      <c r="C777" s="64" t="n">
        <v>46252</v>
      </c>
      <c r="D777" s="62" t="s">
        <v>501</v>
      </c>
      <c r="E777" s="62" t="s">
        <v>1382</v>
      </c>
      <c r="F777" s="62" t="s">
        <v>1382</v>
      </c>
      <c r="G777" s="62" t="s">
        <v>1383</v>
      </c>
      <c r="H777" s="62" t="s">
        <v>58</v>
      </c>
      <c r="I777" s="62" t="s">
        <v>49</v>
      </c>
      <c r="J777" s="62" t="s">
        <v>146</v>
      </c>
      <c r="K777" s="62" t="s">
        <v>175</v>
      </c>
      <c r="L777" s="62" t="s">
        <v>4</v>
      </c>
      <c r="M777" s="62" t="n">
        <v>1</v>
      </c>
      <c r="N777" s="62" t="n">
        <v>0</v>
      </c>
      <c r="O777" s="62" t="n">
        <v>1</v>
      </c>
      <c r="P777" s="62" t="n">
        <v>0</v>
      </c>
      <c r="Q777" s="62" t="n">
        <v>0</v>
      </c>
      <c r="R777" s="62" t="n">
        <v>0</v>
      </c>
      <c r="S777" s="62" t="n">
        <v>0</v>
      </c>
      <c r="T777" s="62" t="n">
        <v>0</v>
      </c>
      <c r="U777" s="62"/>
      <c r="V777" s="62"/>
      <c r="W777" s="62"/>
      <c r="X777" s="62"/>
      <c r="Y777" s="62"/>
      <c r="Z777" s="62" t="s">
        <v>1598</v>
      </c>
      <c r="AA777" s="62" t="s">
        <v>1599</v>
      </c>
      <c r="AB777" s="62" t="n">
        <v>1</v>
      </c>
      <c r="AC777" s="62" t="n">
        <v>0</v>
      </c>
      <c r="AD777" s="62" t="n">
        <v>1</v>
      </c>
      <c r="AE777" s="62" t="n">
        <f aca="false">IF(AND(Dashboard!$C$9="Yes",AC777=1),0,1)</f>
        <v>1</v>
      </c>
      <c r="AF777" s="62" t="n">
        <v>1</v>
      </c>
    </row>
    <row r="778" customFormat="false" ht="15" hidden="false" customHeight="false" outlineLevel="0" collapsed="false">
      <c r="A778" s="62" t="n">
        <v>777</v>
      </c>
      <c r="B778" s="63" t="n">
        <v>46252.846875</v>
      </c>
      <c r="C778" s="64" t="n">
        <v>46252</v>
      </c>
      <c r="D778" s="62" t="s">
        <v>501</v>
      </c>
      <c r="E778" s="62" t="s">
        <v>1382</v>
      </c>
      <c r="F778" s="62" t="s">
        <v>1382</v>
      </c>
      <c r="G778" s="62" t="s">
        <v>1383</v>
      </c>
      <c r="H778" s="62" t="s">
        <v>58</v>
      </c>
      <c r="I778" s="62" t="s">
        <v>49</v>
      </c>
      <c r="J778" s="62" t="s">
        <v>146</v>
      </c>
      <c r="K778" s="62" t="s">
        <v>175</v>
      </c>
      <c r="L778" s="62" t="s">
        <v>148</v>
      </c>
      <c r="M778" s="62" t="n">
        <v>0</v>
      </c>
      <c r="N778" s="62" t="n">
        <v>1</v>
      </c>
      <c r="O778" s="62" t="n">
        <v>1</v>
      </c>
      <c r="P778" s="62" t="n">
        <v>1</v>
      </c>
      <c r="Q778" s="62" t="n">
        <v>0</v>
      </c>
      <c r="R778" s="62" t="n">
        <v>0</v>
      </c>
      <c r="S778" s="62" t="n">
        <v>0</v>
      </c>
      <c r="T778" s="62" t="n">
        <v>0</v>
      </c>
      <c r="U778" s="62"/>
      <c r="V778" s="62"/>
      <c r="W778" s="62"/>
      <c r="X778" s="62"/>
      <c r="Y778" s="62"/>
      <c r="Z778" s="62" t="s">
        <v>1598</v>
      </c>
      <c r="AA778" s="62" t="s">
        <v>1600</v>
      </c>
      <c r="AB778" s="62" t="n">
        <v>1</v>
      </c>
      <c r="AC778" s="62" t="n">
        <v>0</v>
      </c>
      <c r="AD778" s="62" t="n">
        <v>1</v>
      </c>
      <c r="AE778" s="62" t="n">
        <f aca="false">IF(AND(Dashboard!$C$9="Yes",AC778=1),0,1)</f>
        <v>1</v>
      </c>
      <c r="AF778" s="62" t="n">
        <v>0</v>
      </c>
    </row>
    <row r="779" customFormat="false" ht="15" hidden="false" customHeight="false" outlineLevel="0" collapsed="false">
      <c r="A779" s="62" t="n">
        <v>778</v>
      </c>
      <c r="B779" s="63" t="n">
        <v>46252.9104398148</v>
      </c>
      <c r="C779" s="64" t="n">
        <v>46252</v>
      </c>
      <c r="D779" s="62" t="s">
        <v>501</v>
      </c>
      <c r="E779" s="62" t="s">
        <v>151</v>
      </c>
      <c r="F779" s="62" t="s">
        <v>152</v>
      </c>
      <c r="G779" s="62" t="s">
        <v>153</v>
      </c>
      <c r="H779" s="62" t="s">
        <v>153</v>
      </c>
      <c r="I779" s="62" t="s">
        <v>153</v>
      </c>
      <c r="J779" s="62" t="s">
        <v>64</v>
      </c>
      <c r="K779" s="62" t="s">
        <v>64</v>
      </c>
      <c r="L779" s="62" t="s">
        <v>4</v>
      </c>
      <c r="M779" s="62" t="n">
        <v>1</v>
      </c>
      <c r="N779" s="62" t="n">
        <v>0</v>
      </c>
      <c r="O779" s="62" t="n">
        <v>1</v>
      </c>
      <c r="P779" s="62" t="n">
        <v>0</v>
      </c>
      <c r="Q779" s="62" t="n">
        <v>0</v>
      </c>
      <c r="R779" s="62" t="n">
        <v>0</v>
      </c>
      <c r="S779" s="62" t="n">
        <v>0</v>
      </c>
      <c r="T779" s="62" t="n">
        <v>0</v>
      </c>
      <c r="U779" s="62"/>
      <c r="V779" s="62"/>
      <c r="W779" s="62"/>
      <c r="X779" s="62"/>
      <c r="Y779" s="62"/>
      <c r="Z779" s="62" t="s">
        <v>1601</v>
      </c>
      <c r="AA779" s="62" t="s">
        <v>1602</v>
      </c>
      <c r="AB779" s="62" t="n">
        <v>1</v>
      </c>
      <c r="AC779" s="62" t="n">
        <v>0</v>
      </c>
      <c r="AD779" s="62" t="n">
        <v>0</v>
      </c>
      <c r="AE779" s="62" t="n">
        <f aca="false">IF(AND(Dashboard!$C$9="Yes",AC779=1),0,1)</f>
        <v>1</v>
      </c>
      <c r="AF779" s="62" t="n">
        <v>1</v>
      </c>
    </row>
    <row r="780" customFormat="false" ht="15" hidden="false" customHeight="false" outlineLevel="0" collapsed="false">
      <c r="A780" s="62" t="n">
        <v>779</v>
      </c>
      <c r="B780" s="63" t="n">
        <v>46252.9448958333</v>
      </c>
      <c r="C780" s="64" t="n">
        <v>46252</v>
      </c>
      <c r="D780" s="62" t="s">
        <v>501</v>
      </c>
      <c r="E780" s="62" t="s">
        <v>160</v>
      </c>
      <c r="F780" s="62" t="s">
        <v>160</v>
      </c>
      <c r="G780" s="62" t="s">
        <v>161</v>
      </c>
      <c r="H780" s="62" t="s">
        <v>51</v>
      </c>
      <c r="I780" s="62" t="s">
        <v>47</v>
      </c>
      <c r="J780" s="62" t="s">
        <v>146</v>
      </c>
      <c r="K780" s="62" t="s">
        <v>147</v>
      </c>
      <c r="L780" s="62" t="s">
        <v>4</v>
      </c>
      <c r="M780" s="62" t="n">
        <v>1</v>
      </c>
      <c r="N780" s="62" t="n">
        <v>0</v>
      </c>
      <c r="O780" s="62" t="n">
        <v>1</v>
      </c>
      <c r="P780" s="62" t="n">
        <v>0</v>
      </c>
      <c r="Q780" s="62" t="n">
        <v>0</v>
      </c>
      <c r="R780" s="62" t="n">
        <v>0</v>
      </c>
      <c r="S780" s="62" t="n">
        <v>0</v>
      </c>
      <c r="T780" s="62" t="n">
        <v>0</v>
      </c>
      <c r="U780" s="62"/>
      <c r="V780" s="62"/>
      <c r="W780" s="62"/>
      <c r="X780" s="62"/>
      <c r="Y780" s="62"/>
      <c r="Z780" s="62" t="s">
        <v>1603</v>
      </c>
      <c r="AA780" s="62" t="s">
        <v>1604</v>
      </c>
      <c r="AB780" s="62" t="n">
        <v>1</v>
      </c>
      <c r="AC780" s="62" t="n">
        <v>0</v>
      </c>
      <c r="AD780" s="62" t="n">
        <v>1</v>
      </c>
      <c r="AE780" s="62" t="n">
        <f aca="false">IF(AND(Dashboard!$C$9="Yes",AC780=1),0,1)</f>
        <v>1</v>
      </c>
      <c r="AF780" s="62" t="n">
        <v>1</v>
      </c>
    </row>
    <row r="781" customFormat="false" ht="15" hidden="false" customHeight="false" outlineLevel="0" collapsed="false">
      <c r="A781" s="62" t="n">
        <v>780</v>
      </c>
      <c r="B781" s="63" t="n">
        <v>46253.0480439815</v>
      </c>
      <c r="C781" s="64" t="n">
        <v>46252</v>
      </c>
      <c r="D781" s="62" t="s">
        <v>501</v>
      </c>
      <c r="E781" s="62" t="s">
        <v>650</v>
      </c>
      <c r="F781" s="62" t="s">
        <v>650</v>
      </c>
      <c r="G781" s="62" t="s">
        <v>651</v>
      </c>
      <c r="H781" s="62" t="s">
        <v>59</v>
      </c>
      <c r="I781" s="62" t="s">
        <v>47</v>
      </c>
      <c r="J781" s="62" t="s">
        <v>146</v>
      </c>
      <c r="K781" s="62" t="s">
        <v>209</v>
      </c>
      <c r="L781" s="62" t="s">
        <v>148</v>
      </c>
      <c r="M781" s="62" t="n">
        <v>0</v>
      </c>
      <c r="N781" s="62" t="n">
        <v>2</v>
      </c>
      <c r="O781" s="62" t="n">
        <v>2</v>
      </c>
      <c r="P781" s="62" t="n">
        <v>1</v>
      </c>
      <c r="Q781" s="62" t="n">
        <v>1</v>
      </c>
      <c r="R781" s="62" t="n">
        <v>0</v>
      </c>
      <c r="S781" s="62" t="n">
        <v>0</v>
      </c>
      <c r="T781" s="62" t="n">
        <v>0</v>
      </c>
      <c r="U781" s="62"/>
      <c r="V781" s="62"/>
      <c r="W781" s="62"/>
      <c r="X781" s="62"/>
      <c r="Y781" s="62"/>
      <c r="Z781" s="62" t="s">
        <v>1605</v>
      </c>
      <c r="AA781" s="62" t="s">
        <v>1606</v>
      </c>
      <c r="AB781" s="62" t="n">
        <v>1</v>
      </c>
      <c r="AC781" s="62" t="n">
        <v>0</v>
      </c>
      <c r="AD781" s="62" t="n">
        <v>1</v>
      </c>
      <c r="AE781" s="62" t="n">
        <f aca="false">IF(AND(Dashboard!$C$9="Yes",AC781=1),0,1)</f>
        <v>1</v>
      </c>
      <c r="AF781" s="62" t="n">
        <v>0</v>
      </c>
    </row>
    <row r="782" customFormat="false" ht="15" hidden="false" customHeight="false" outlineLevel="0" collapsed="false">
      <c r="A782" s="62" t="n">
        <v>781</v>
      </c>
      <c r="B782" s="63" t="n">
        <v>46253.056724537</v>
      </c>
      <c r="C782" s="64" t="n">
        <v>46252</v>
      </c>
      <c r="D782" s="62" t="s">
        <v>501</v>
      </c>
      <c r="E782" s="62" t="s">
        <v>218</v>
      </c>
      <c r="F782" s="62" t="s">
        <v>218</v>
      </c>
      <c r="G782" s="62" t="s">
        <v>219</v>
      </c>
      <c r="H782" s="62" t="s">
        <v>51</v>
      </c>
      <c r="I782" s="62" t="s">
        <v>47</v>
      </c>
      <c r="J782" s="62" t="s">
        <v>146</v>
      </c>
      <c r="K782" s="62" t="s">
        <v>147</v>
      </c>
      <c r="L782" s="62" t="s">
        <v>4</v>
      </c>
      <c r="M782" s="62" t="n">
        <v>3</v>
      </c>
      <c r="N782" s="62" t="n">
        <v>0</v>
      </c>
      <c r="O782" s="62" t="n">
        <v>3</v>
      </c>
      <c r="P782" s="62" t="n">
        <v>0</v>
      </c>
      <c r="Q782" s="62" t="n">
        <v>0</v>
      </c>
      <c r="R782" s="62" t="n">
        <v>0</v>
      </c>
      <c r="S782" s="62" t="n">
        <v>0</v>
      </c>
      <c r="T782" s="62" t="n">
        <v>0</v>
      </c>
      <c r="U782" s="62"/>
      <c r="V782" s="62"/>
      <c r="W782" s="62"/>
      <c r="X782" s="62"/>
      <c r="Y782" s="62"/>
      <c r="Z782" s="62" t="s">
        <v>1607</v>
      </c>
      <c r="AA782" s="62" t="s">
        <v>1607</v>
      </c>
      <c r="AB782" s="62" t="n">
        <v>1</v>
      </c>
      <c r="AC782" s="62" t="n">
        <v>0</v>
      </c>
      <c r="AD782" s="62" t="n">
        <v>1</v>
      </c>
      <c r="AE782" s="62" t="n">
        <f aca="false">IF(AND(Dashboard!$C$9="Yes",AC782=1),0,1)</f>
        <v>1</v>
      </c>
      <c r="AF782" s="62" t="n">
        <v>1</v>
      </c>
    </row>
    <row r="783" customFormat="false" ht="15" hidden="false" customHeight="false" outlineLevel="0" collapsed="false">
      <c r="A783" s="62" t="n">
        <v>782</v>
      </c>
      <c r="B783" s="63" t="n">
        <v>46253.0920023148</v>
      </c>
      <c r="C783" s="64" t="n">
        <v>46252</v>
      </c>
      <c r="D783" s="62" t="s">
        <v>501</v>
      </c>
      <c r="E783" s="62" t="s">
        <v>1005</v>
      </c>
      <c r="F783" s="62" t="s">
        <v>1005</v>
      </c>
      <c r="G783" s="62" t="s">
        <v>1006</v>
      </c>
      <c r="H783" s="62" t="s">
        <v>46</v>
      </c>
      <c r="I783" s="62" t="s">
        <v>47</v>
      </c>
      <c r="J783" s="62" t="s">
        <v>146</v>
      </c>
      <c r="K783" s="62" t="s">
        <v>209</v>
      </c>
      <c r="L783" s="62" t="s">
        <v>148</v>
      </c>
      <c r="M783" s="62" t="n">
        <v>0</v>
      </c>
      <c r="N783" s="62" t="n">
        <v>1</v>
      </c>
      <c r="O783" s="62" t="n">
        <v>1</v>
      </c>
      <c r="P783" s="62" t="n">
        <v>1</v>
      </c>
      <c r="Q783" s="62" t="n">
        <v>0</v>
      </c>
      <c r="R783" s="62" t="n">
        <v>0</v>
      </c>
      <c r="S783" s="62" t="n">
        <v>0</v>
      </c>
      <c r="T783" s="62" t="n">
        <v>0</v>
      </c>
      <c r="U783" s="62"/>
      <c r="V783" s="62"/>
      <c r="W783" s="62"/>
      <c r="X783" s="62"/>
      <c r="Y783" s="62"/>
      <c r="Z783" s="62" t="s">
        <v>1608</v>
      </c>
      <c r="AA783" s="62" t="s">
        <v>485</v>
      </c>
      <c r="AB783" s="62" t="n">
        <v>0</v>
      </c>
      <c r="AC783" s="62" t="n">
        <v>0</v>
      </c>
      <c r="AD783" s="62" t="n">
        <v>1</v>
      </c>
      <c r="AE783" s="62" t="n">
        <f aca="false">IF(AND(Dashboard!$C$9="Yes",AC783=1),0,1)</f>
        <v>1</v>
      </c>
      <c r="AF783" s="62" t="n">
        <v>1</v>
      </c>
    </row>
    <row r="784" customFormat="false" ht="15" hidden="false" customHeight="false" outlineLevel="0" collapsed="false">
      <c r="A784" s="62" t="n">
        <v>783</v>
      </c>
      <c r="B784" s="63" t="n">
        <v>46253.0924189815</v>
      </c>
      <c r="C784" s="64" t="n">
        <v>46252</v>
      </c>
      <c r="D784" s="62" t="s">
        <v>501</v>
      </c>
      <c r="E784" s="62" t="s">
        <v>1005</v>
      </c>
      <c r="F784" s="62" t="s">
        <v>1005</v>
      </c>
      <c r="G784" s="62" t="s">
        <v>1006</v>
      </c>
      <c r="H784" s="62" t="s">
        <v>46</v>
      </c>
      <c r="I784" s="62" t="s">
        <v>47</v>
      </c>
      <c r="J784" s="62" t="s">
        <v>146</v>
      </c>
      <c r="K784" s="62" t="s">
        <v>209</v>
      </c>
      <c r="L784" s="62" t="s">
        <v>148</v>
      </c>
      <c r="M784" s="62" t="n">
        <v>0</v>
      </c>
      <c r="N784" s="62" t="n">
        <v>1</v>
      </c>
      <c r="O784" s="62" t="n">
        <v>1</v>
      </c>
      <c r="P784" s="62" t="n">
        <v>0</v>
      </c>
      <c r="Q784" s="62" t="n">
        <v>1</v>
      </c>
      <c r="R784" s="62" t="n">
        <v>0</v>
      </c>
      <c r="S784" s="62" t="n">
        <v>0</v>
      </c>
      <c r="T784" s="62" t="n">
        <v>0</v>
      </c>
      <c r="U784" s="62"/>
      <c r="V784" s="62"/>
      <c r="W784" s="62"/>
      <c r="X784" s="62"/>
      <c r="Y784" s="62"/>
      <c r="Z784" s="62" t="s">
        <v>1609</v>
      </c>
      <c r="AA784" s="62" t="s">
        <v>485</v>
      </c>
      <c r="AB784" s="62" t="n">
        <v>0</v>
      </c>
      <c r="AC784" s="62" t="n">
        <v>0</v>
      </c>
      <c r="AD784" s="62" t="n">
        <v>1</v>
      </c>
      <c r="AE784" s="62" t="n">
        <f aca="false">IF(AND(Dashboard!$C$9="Yes",AC784=1),0,1)</f>
        <v>1</v>
      </c>
      <c r="AF784" s="62" t="n">
        <v>0</v>
      </c>
    </row>
    <row r="785" customFormat="false" ht="15" hidden="false" customHeight="false" outlineLevel="0" collapsed="false">
      <c r="A785" s="62" t="n">
        <v>784</v>
      </c>
      <c r="B785" s="63" t="n">
        <v>46253.117662037</v>
      </c>
      <c r="C785" s="64" t="n">
        <v>46252</v>
      </c>
      <c r="D785" s="62" t="s">
        <v>501</v>
      </c>
      <c r="E785" s="62" t="s">
        <v>207</v>
      </c>
      <c r="F785" s="62" t="s">
        <v>207</v>
      </c>
      <c r="G785" s="62" t="s">
        <v>208</v>
      </c>
      <c r="H785" s="62" t="s">
        <v>48</v>
      </c>
      <c r="I785" s="62" t="s">
        <v>49</v>
      </c>
      <c r="J785" s="62" t="s">
        <v>146</v>
      </c>
      <c r="K785" s="62" t="s">
        <v>209</v>
      </c>
      <c r="L785" s="62" t="s">
        <v>148</v>
      </c>
      <c r="M785" s="62" t="n">
        <v>0</v>
      </c>
      <c r="N785" s="62" t="n">
        <v>1</v>
      </c>
      <c r="O785" s="62" t="n">
        <v>1</v>
      </c>
      <c r="P785" s="62" t="n">
        <v>0</v>
      </c>
      <c r="Q785" s="62" t="n">
        <v>0</v>
      </c>
      <c r="R785" s="62" t="n">
        <v>1</v>
      </c>
      <c r="S785" s="62" t="n">
        <v>0</v>
      </c>
      <c r="T785" s="62" t="n">
        <v>0</v>
      </c>
      <c r="U785" s="62"/>
      <c r="V785" s="62"/>
      <c r="W785" s="62"/>
      <c r="X785" s="62"/>
      <c r="Y785" s="62"/>
      <c r="Z785" s="62" t="s">
        <v>1610</v>
      </c>
      <c r="AA785" s="62" t="s">
        <v>1611</v>
      </c>
      <c r="AB785" s="62" t="n">
        <v>1</v>
      </c>
      <c r="AC785" s="62" t="n">
        <v>0</v>
      </c>
      <c r="AD785" s="62" t="n">
        <v>1</v>
      </c>
      <c r="AE785" s="62" t="n">
        <f aca="false">IF(AND(Dashboard!$C$9="Yes",AC785=1),0,1)</f>
        <v>1</v>
      </c>
      <c r="AF785" s="62" t="n">
        <v>1</v>
      </c>
    </row>
    <row r="786" customFormat="false" ht="15" hidden="false" customHeight="false" outlineLevel="0" collapsed="false">
      <c r="A786" s="62" t="n">
        <v>785</v>
      </c>
      <c r="B786" s="63" t="n">
        <v>46253.1588425926</v>
      </c>
      <c r="C786" s="64" t="n">
        <v>46252</v>
      </c>
      <c r="D786" s="62" t="s">
        <v>501</v>
      </c>
      <c r="E786" s="62" t="s">
        <v>1005</v>
      </c>
      <c r="F786" s="62" t="s">
        <v>1005</v>
      </c>
      <c r="G786" s="62" t="s">
        <v>1006</v>
      </c>
      <c r="H786" s="62" t="s">
        <v>46</v>
      </c>
      <c r="I786" s="62" t="s">
        <v>47</v>
      </c>
      <c r="J786" s="62" t="s">
        <v>146</v>
      </c>
      <c r="K786" s="62" t="s">
        <v>209</v>
      </c>
      <c r="L786" s="62" t="s">
        <v>4</v>
      </c>
      <c r="M786" s="62" t="n">
        <v>1</v>
      </c>
      <c r="N786" s="62" t="n">
        <v>0</v>
      </c>
      <c r="O786" s="62" t="n">
        <v>1</v>
      </c>
      <c r="P786" s="62" t="n">
        <v>0</v>
      </c>
      <c r="Q786" s="62" t="n">
        <v>0</v>
      </c>
      <c r="R786" s="62" t="n">
        <v>0</v>
      </c>
      <c r="S786" s="62" t="n">
        <v>0</v>
      </c>
      <c r="T786" s="62" t="n">
        <v>0</v>
      </c>
      <c r="U786" s="62"/>
      <c r="V786" s="62"/>
      <c r="W786" s="62"/>
      <c r="X786" s="62"/>
      <c r="Y786" s="62"/>
      <c r="Z786" s="62" t="s">
        <v>1612</v>
      </c>
      <c r="AA786" s="62" t="s">
        <v>1613</v>
      </c>
      <c r="AB786" s="62" t="n">
        <v>1</v>
      </c>
      <c r="AC786" s="62" t="n">
        <v>0</v>
      </c>
      <c r="AD786" s="62" t="n">
        <v>1</v>
      </c>
      <c r="AE786" s="62" t="n">
        <f aca="false">IF(AND(Dashboard!$C$9="Yes",AC786=1),0,1)</f>
        <v>1</v>
      </c>
      <c r="AF786" s="62" t="n">
        <v>0</v>
      </c>
    </row>
    <row r="787" customFormat="false" ht="15" hidden="false" customHeight="false" outlineLevel="0" collapsed="false">
      <c r="A787" s="62" t="n">
        <v>786</v>
      </c>
      <c r="B787" s="63" t="n">
        <v>46253.2347685185</v>
      </c>
      <c r="C787" s="64" t="n">
        <v>46252</v>
      </c>
      <c r="D787" s="62" t="s">
        <v>501</v>
      </c>
      <c r="E787" s="62" t="s">
        <v>650</v>
      </c>
      <c r="F787" s="62" t="s">
        <v>650</v>
      </c>
      <c r="G787" s="62" t="s">
        <v>651</v>
      </c>
      <c r="H787" s="62" t="s">
        <v>59</v>
      </c>
      <c r="I787" s="62" t="s">
        <v>47</v>
      </c>
      <c r="J787" s="62" t="s">
        <v>146</v>
      </c>
      <c r="K787" s="62" t="s">
        <v>209</v>
      </c>
      <c r="L787" s="62" t="s">
        <v>148</v>
      </c>
      <c r="M787" s="62" t="n">
        <v>0</v>
      </c>
      <c r="N787" s="62" t="n">
        <v>1</v>
      </c>
      <c r="O787" s="62" t="n">
        <v>1</v>
      </c>
      <c r="P787" s="62" t="n">
        <v>0</v>
      </c>
      <c r="Q787" s="62" t="n">
        <v>1</v>
      </c>
      <c r="R787" s="62" t="n">
        <v>0</v>
      </c>
      <c r="S787" s="62" t="n">
        <v>0</v>
      </c>
      <c r="T787" s="62" t="n">
        <v>0</v>
      </c>
      <c r="U787" s="62"/>
      <c r="V787" s="62"/>
      <c r="W787" s="62"/>
      <c r="X787" s="62"/>
      <c r="Y787" s="62"/>
      <c r="Z787" s="62" t="s">
        <v>1614</v>
      </c>
      <c r="AA787" s="62" t="s">
        <v>1615</v>
      </c>
      <c r="AB787" s="62" t="n">
        <v>1</v>
      </c>
      <c r="AC787" s="62" t="n">
        <v>0</v>
      </c>
      <c r="AD787" s="62" t="n">
        <v>1</v>
      </c>
      <c r="AE787" s="62" t="n">
        <f aca="false">IF(AND(Dashboard!$C$9="Yes",AC787=1),0,1)</f>
        <v>1</v>
      </c>
      <c r="AF787" s="62" t="n">
        <v>0</v>
      </c>
    </row>
    <row r="788" customFormat="false" ht="15" hidden="false" customHeight="false" outlineLevel="0" collapsed="false">
      <c r="A788" s="62" t="n">
        <v>787</v>
      </c>
      <c r="B788" s="63" t="n">
        <v>46253.6017592593</v>
      </c>
      <c r="C788" s="64" t="n">
        <v>46253</v>
      </c>
      <c r="D788" s="62" t="s">
        <v>143</v>
      </c>
      <c r="E788" s="62" t="s">
        <v>1616</v>
      </c>
      <c r="F788" s="62" t="s">
        <v>1616</v>
      </c>
      <c r="G788" s="62" t="s">
        <v>1617</v>
      </c>
      <c r="H788" s="62" t="s">
        <v>51</v>
      </c>
      <c r="I788" s="62" t="s">
        <v>47</v>
      </c>
      <c r="J788" s="62" t="s">
        <v>146</v>
      </c>
      <c r="K788" s="62" t="s">
        <v>175</v>
      </c>
      <c r="L788" s="62" t="s">
        <v>4</v>
      </c>
      <c r="M788" s="62" t="n">
        <v>1</v>
      </c>
      <c r="N788" s="62" t="n">
        <v>0</v>
      </c>
      <c r="O788" s="62" t="n">
        <v>1</v>
      </c>
      <c r="P788" s="62" t="n">
        <v>0</v>
      </c>
      <c r="Q788" s="62" t="n">
        <v>0</v>
      </c>
      <c r="R788" s="62" t="n">
        <v>0</v>
      </c>
      <c r="S788" s="62" t="n">
        <v>0</v>
      </c>
      <c r="T788" s="62" t="n">
        <v>0</v>
      </c>
      <c r="U788" s="62"/>
      <c r="V788" s="62"/>
      <c r="W788" s="62"/>
      <c r="X788" s="62"/>
      <c r="Y788" s="62"/>
      <c r="Z788" s="62" t="s">
        <v>1618</v>
      </c>
      <c r="AA788" s="62" t="s">
        <v>1619</v>
      </c>
      <c r="AB788" s="62" t="n">
        <v>1</v>
      </c>
      <c r="AC788" s="62" t="n">
        <v>0</v>
      </c>
      <c r="AD788" s="62" t="n">
        <v>1</v>
      </c>
      <c r="AE788" s="62" t="n">
        <f aca="false">IF(AND(Dashboard!$C$9="Yes",AC788=1),0,1)</f>
        <v>1</v>
      </c>
      <c r="AF788" s="62" t="n">
        <v>1</v>
      </c>
    </row>
    <row r="789" customFormat="false" ht="15" hidden="false" customHeight="false" outlineLevel="0" collapsed="false">
      <c r="A789" s="62" t="n">
        <v>788</v>
      </c>
      <c r="B789" s="63" t="n">
        <v>46253.6359143519</v>
      </c>
      <c r="C789" s="64" t="n">
        <v>46253</v>
      </c>
      <c r="D789" s="62" t="s">
        <v>143</v>
      </c>
      <c r="E789" s="62" t="s">
        <v>203</v>
      </c>
      <c r="F789" s="62" t="s">
        <v>203</v>
      </c>
      <c r="G789" s="62" t="s">
        <v>204</v>
      </c>
      <c r="H789" s="62" t="s">
        <v>51</v>
      </c>
      <c r="I789" s="62" t="s">
        <v>47</v>
      </c>
      <c r="J789" s="62" t="s">
        <v>146</v>
      </c>
      <c r="K789" s="62" t="s">
        <v>147</v>
      </c>
      <c r="L789" s="62" t="s">
        <v>148</v>
      </c>
      <c r="M789" s="62" t="n">
        <v>0</v>
      </c>
      <c r="N789" s="62" t="n">
        <v>1</v>
      </c>
      <c r="O789" s="62" t="n">
        <v>1</v>
      </c>
      <c r="P789" s="62" t="n">
        <v>1</v>
      </c>
      <c r="Q789" s="62" t="n">
        <v>0</v>
      </c>
      <c r="R789" s="62" t="n">
        <v>0</v>
      </c>
      <c r="S789" s="62" t="n">
        <v>0</v>
      </c>
      <c r="T789" s="62" t="n">
        <v>0</v>
      </c>
      <c r="U789" s="62"/>
      <c r="V789" s="62"/>
      <c r="W789" s="62"/>
      <c r="X789" s="62"/>
      <c r="Y789" s="62"/>
      <c r="Z789" s="62" t="s">
        <v>1620</v>
      </c>
      <c r="AA789" s="62" t="s">
        <v>485</v>
      </c>
      <c r="AB789" s="62" t="n">
        <v>0</v>
      </c>
      <c r="AC789" s="62" t="n">
        <v>0</v>
      </c>
      <c r="AD789" s="62" t="n">
        <v>1</v>
      </c>
      <c r="AE789" s="62" t="n">
        <f aca="false">IF(AND(Dashboard!$C$9="Yes",AC789=1),0,1)</f>
        <v>1</v>
      </c>
      <c r="AF789" s="62" t="n">
        <v>1</v>
      </c>
    </row>
    <row r="790" customFormat="false" ht="15" hidden="false" customHeight="false" outlineLevel="0" collapsed="false">
      <c r="A790" s="62" t="n">
        <v>789</v>
      </c>
      <c r="B790" s="63" t="n">
        <v>46253.65875</v>
      </c>
      <c r="C790" s="64" t="n">
        <v>46253</v>
      </c>
      <c r="D790" s="62" t="s">
        <v>143</v>
      </c>
      <c r="E790" s="62" t="s">
        <v>203</v>
      </c>
      <c r="F790" s="62" t="s">
        <v>203</v>
      </c>
      <c r="G790" s="62" t="s">
        <v>204</v>
      </c>
      <c r="H790" s="62" t="s">
        <v>51</v>
      </c>
      <c r="I790" s="62" t="s">
        <v>47</v>
      </c>
      <c r="J790" s="62" t="s">
        <v>146</v>
      </c>
      <c r="K790" s="62" t="s">
        <v>147</v>
      </c>
      <c r="L790" s="62" t="s">
        <v>4</v>
      </c>
      <c r="M790" s="62" t="n">
        <v>1</v>
      </c>
      <c r="N790" s="62" t="n">
        <v>0</v>
      </c>
      <c r="O790" s="62" t="n">
        <v>1</v>
      </c>
      <c r="P790" s="62" t="n">
        <v>0</v>
      </c>
      <c r="Q790" s="62" t="n">
        <v>0</v>
      </c>
      <c r="R790" s="62" t="n">
        <v>0</v>
      </c>
      <c r="S790" s="62" t="n">
        <v>0</v>
      </c>
      <c r="T790" s="62" t="n">
        <v>0</v>
      </c>
      <c r="U790" s="62"/>
      <c r="V790" s="62"/>
      <c r="W790" s="62"/>
      <c r="X790" s="62"/>
      <c r="Y790" s="62"/>
      <c r="Z790" s="62" t="s">
        <v>1621</v>
      </c>
      <c r="AA790" s="62" t="s">
        <v>1622</v>
      </c>
      <c r="AB790" s="62" t="n">
        <v>1</v>
      </c>
      <c r="AC790" s="62" t="n">
        <v>0</v>
      </c>
      <c r="AD790" s="62" t="n">
        <v>1</v>
      </c>
      <c r="AE790" s="62" t="n">
        <f aca="false">IF(AND(Dashboard!$C$9="Yes",AC790=1),0,1)</f>
        <v>1</v>
      </c>
      <c r="AF790" s="62" t="n">
        <v>0</v>
      </c>
    </row>
    <row r="791" customFormat="false" ht="15" hidden="false" customHeight="false" outlineLevel="0" collapsed="false">
      <c r="A791" s="62" t="n">
        <v>790</v>
      </c>
      <c r="B791" s="63" t="n">
        <v>46253.6836921296</v>
      </c>
      <c r="C791" s="64" t="n">
        <v>46253</v>
      </c>
      <c r="D791" s="62" t="s">
        <v>143</v>
      </c>
      <c r="E791" s="62" t="s">
        <v>203</v>
      </c>
      <c r="F791" s="62" t="s">
        <v>203</v>
      </c>
      <c r="G791" s="62" t="s">
        <v>204</v>
      </c>
      <c r="H791" s="62" t="s">
        <v>51</v>
      </c>
      <c r="I791" s="62" t="s">
        <v>47</v>
      </c>
      <c r="J791" s="62" t="s">
        <v>146</v>
      </c>
      <c r="K791" s="62" t="s">
        <v>147</v>
      </c>
      <c r="L791" s="62" t="s">
        <v>148</v>
      </c>
      <c r="M791" s="62" t="n">
        <v>0</v>
      </c>
      <c r="N791" s="62" t="n">
        <v>1</v>
      </c>
      <c r="O791" s="62" t="n">
        <v>1</v>
      </c>
      <c r="P791" s="62" t="n">
        <v>1</v>
      </c>
      <c r="Q791" s="62" t="n">
        <v>0</v>
      </c>
      <c r="R791" s="62" t="n">
        <v>0</v>
      </c>
      <c r="S791" s="62" t="n">
        <v>0</v>
      </c>
      <c r="T791" s="62" t="n">
        <v>0</v>
      </c>
      <c r="U791" s="62"/>
      <c r="V791" s="62"/>
      <c r="W791" s="62"/>
      <c r="X791" s="62"/>
      <c r="Y791" s="62"/>
      <c r="Z791" s="62" t="s">
        <v>1623</v>
      </c>
      <c r="AA791" s="62" t="s">
        <v>485</v>
      </c>
      <c r="AB791" s="62" t="n">
        <v>0</v>
      </c>
      <c r="AC791" s="62" t="n">
        <v>0</v>
      </c>
      <c r="AD791" s="62" t="n">
        <v>1</v>
      </c>
      <c r="AE791" s="62" t="n">
        <f aca="false">IF(AND(Dashboard!$C$9="Yes",AC791=1),0,1)</f>
        <v>1</v>
      </c>
      <c r="AF791" s="62" t="n">
        <v>0</v>
      </c>
    </row>
    <row r="792" customFormat="false" ht="15" hidden="false" customHeight="false" outlineLevel="0" collapsed="false">
      <c r="A792" s="62" t="n">
        <v>791</v>
      </c>
      <c r="B792" s="63" t="n">
        <v>46253.7214930556</v>
      </c>
      <c r="C792" s="64" t="n">
        <v>46253</v>
      </c>
      <c r="D792" s="62" t="s">
        <v>143</v>
      </c>
      <c r="E792" s="62" t="s">
        <v>164</v>
      </c>
      <c r="F792" s="62" t="s">
        <v>164</v>
      </c>
      <c r="G792" s="62" t="s">
        <v>165</v>
      </c>
      <c r="H792" s="62" t="s">
        <v>51</v>
      </c>
      <c r="I792" s="62" t="s">
        <v>47</v>
      </c>
      <c r="J792" s="62" t="s">
        <v>146</v>
      </c>
      <c r="K792" s="62" t="s">
        <v>147</v>
      </c>
      <c r="L792" s="62" t="s">
        <v>148</v>
      </c>
      <c r="M792" s="62" t="n">
        <v>0</v>
      </c>
      <c r="N792" s="62" t="n">
        <v>1</v>
      </c>
      <c r="O792" s="62" t="n">
        <v>1</v>
      </c>
      <c r="P792" s="62" t="n">
        <v>1</v>
      </c>
      <c r="Q792" s="62" t="n">
        <v>0</v>
      </c>
      <c r="R792" s="62" t="n">
        <v>0</v>
      </c>
      <c r="S792" s="62" t="n">
        <v>0</v>
      </c>
      <c r="T792" s="62" t="n">
        <v>0</v>
      </c>
      <c r="U792" s="62"/>
      <c r="V792" s="62"/>
      <c r="W792" s="62"/>
      <c r="X792" s="62"/>
      <c r="Y792" s="62"/>
      <c r="Z792" s="62" t="s">
        <v>1624</v>
      </c>
      <c r="AA792" s="62" t="s">
        <v>1625</v>
      </c>
      <c r="AB792" s="62" t="n">
        <v>1</v>
      </c>
      <c r="AC792" s="62" t="n">
        <v>0</v>
      </c>
      <c r="AD792" s="62" t="n">
        <v>1</v>
      </c>
      <c r="AE792" s="62" t="n">
        <f aca="false">IF(AND(Dashboard!$C$9="Yes",AC792=1),0,1)</f>
        <v>1</v>
      </c>
      <c r="AF792" s="62" t="n">
        <v>1</v>
      </c>
    </row>
    <row r="793" customFormat="false" ht="15" hidden="false" customHeight="false" outlineLevel="0" collapsed="false">
      <c r="A793" s="62" t="n">
        <v>792</v>
      </c>
      <c r="B793" s="63" t="n">
        <v>46253.7367708333</v>
      </c>
      <c r="C793" s="64" t="n">
        <v>46253</v>
      </c>
      <c r="D793" s="62" t="s">
        <v>143</v>
      </c>
      <c r="E793" s="62" t="s">
        <v>1382</v>
      </c>
      <c r="F793" s="62" t="s">
        <v>1382</v>
      </c>
      <c r="G793" s="62" t="s">
        <v>1383</v>
      </c>
      <c r="H793" s="62" t="s">
        <v>58</v>
      </c>
      <c r="I793" s="62" t="s">
        <v>49</v>
      </c>
      <c r="J793" s="62" t="s">
        <v>146</v>
      </c>
      <c r="K793" s="62" t="s">
        <v>175</v>
      </c>
      <c r="L793" s="62" t="s">
        <v>148</v>
      </c>
      <c r="M793" s="62" t="n">
        <v>0</v>
      </c>
      <c r="N793" s="62" t="n">
        <v>1</v>
      </c>
      <c r="O793" s="62" t="n">
        <v>1</v>
      </c>
      <c r="P793" s="62" t="n">
        <v>1</v>
      </c>
      <c r="Q793" s="62" t="n">
        <v>0</v>
      </c>
      <c r="R793" s="62" t="n">
        <v>0</v>
      </c>
      <c r="S793" s="62" t="n">
        <v>0</v>
      </c>
      <c r="T793" s="62" t="n">
        <v>0</v>
      </c>
      <c r="U793" s="62"/>
      <c r="V793" s="62"/>
      <c r="W793" s="62"/>
      <c r="X793" s="62"/>
      <c r="Y793" s="62"/>
      <c r="Z793" s="62" t="s">
        <v>1626</v>
      </c>
      <c r="AA793" s="62" t="s">
        <v>1627</v>
      </c>
      <c r="AB793" s="62" t="n">
        <v>1</v>
      </c>
      <c r="AC793" s="62" t="n">
        <v>0</v>
      </c>
      <c r="AD793" s="62" t="n">
        <v>1</v>
      </c>
      <c r="AE793" s="62" t="n">
        <f aca="false">IF(AND(Dashboard!$C$9="Yes",AC793=1),0,1)</f>
        <v>1</v>
      </c>
      <c r="AF793" s="62" t="n">
        <v>1</v>
      </c>
    </row>
    <row r="794" customFormat="false" ht="15" hidden="false" customHeight="false" outlineLevel="0" collapsed="false">
      <c r="A794" s="62" t="n">
        <v>793</v>
      </c>
      <c r="B794" s="63" t="n">
        <v>46253.7462847222</v>
      </c>
      <c r="C794" s="64" t="n">
        <v>46253</v>
      </c>
      <c r="D794" s="62" t="s">
        <v>143</v>
      </c>
      <c r="E794" s="62" t="s">
        <v>203</v>
      </c>
      <c r="F794" s="62" t="s">
        <v>203</v>
      </c>
      <c r="G794" s="62" t="s">
        <v>204</v>
      </c>
      <c r="H794" s="62" t="s">
        <v>51</v>
      </c>
      <c r="I794" s="62" t="s">
        <v>47</v>
      </c>
      <c r="J794" s="62" t="s">
        <v>146</v>
      </c>
      <c r="K794" s="62" t="s">
        <v>147</v>
      </c>
      <c r="L794" s="62" t="s">
        <v>4</v>
      </c>
      <c r="M794" s="62" t="n">
        <v>1</v>
      </c>
      <c r="N794" s="62" t="n">
        <v>0</v>
      </c>
      <c r="O794" s="62" t="n">
        <v>1</v>
      </c>
      <c r="P794" s="62" t="n">
        <v>0</v>
      </c>
      <c r="Q794" s="62" t="n">
        <v>0</v>
      </c>
      <c r="R794" s="62" t="n">
        <v>0</v>
      </c>
      <c r="S794" s="62" t="n">
        <v>0</v>
      </c>
      <c r="T794" s="62" t="n">
        <v>0</v>
      </c>
      <c r="U794" s="62"/>
      <c r="V794" s="62"/>
      <c r="W794" s="62"/>
      <c r="X794" s="62"/>
      <c r="Y794" s="62"/>
      <c r="Z794" s="62" t="s">
        <v>1628</v>
      </c>
      <c r="AA794" s="62" t="s">
        <v>1629</v>
      </c>
      <c r="AB794" s="62" t="n">
        <v>1</v>
      </c>
      <c r="AC794" s="62" t="n">
        <v>0</v>
      </c>
      <c r="AD794" s="62" t="n">
        <v>1</v>
      </c>
      <c r="AE794" s="62" t="n">
        <f aca="false">IF(AND(Dashboard!$C$9="Yes",AC794=1),0,1)</f>
        <v>1</v>
      </c>
      <c r="AF794" s="62" t="n">
        <v>0</v>
      </c>
    </row>
    <row r="795" customFormat="false" ht="15" hidden="false" customHeight="false" outlineLevel="0" collapsed="false">
      <c r="A795" s="62" t="n">
        <v>794</v>
      </c>
      <c r="B795" s="63" t="n">
        <v>46253.7562615741</v>
      </c>
      <c r="C795" s="64" t="n">
        <v>46253</v>
      </c>
      <c r="D795" s="62" t="s">
        <v>143</v>
      </c>
      <c r="E795" s="62" t="s">
        <v>1616</v>
      </c>
      <c r="F795" s="62" t="s">
        <v>1616</v>
      </c>
      <c r="G795" s="62" t="s">
        <v>1617</v>
      </c>
      <c r="H795" s="62" t="s">
        <v>51</v>
      </c>
      <c r="I795" s="62" t="s">
        <v>47</v>
      </c>
      <c r="J795" s="62" t="s">
        <v>146</v>
      </c>
      <c r="K795" s="62" t="s">
        <v>175</v>
      </c>
      <c r="L795" s="62" t="s">
        <v>148</v>
      </c>
      <c r="M795" s="62" t="n">
        <v>0</v>
      </c>
      <c r="N795" s="62" t="n">
        <v>2</v>
      </c>
      <c r="O795" s="62" t="n">
        <v>2</v>
      </c>
      <c r="P795" s="62" t="n">
        <v>1</v>
      </c>
      <c r="Q795" s="62" t="n">
        <v>1</v>
      </c>
      <c r="R795" s="62" t="n">
        <v>0</v>
      </c>
      <c r="S795" s="62" t="n">
        <v>0</v>
      </c>
      <c r="T795" s="62" t="n">
        <v>0</v>
      </c>
      <c r="U795" s="62"/>
      <c r="V795" s="62"/>
      <c r="W795" s="62"/>
      <c r="X795" s="62"/>
      <c r="Y795" s="62"/>
      <c r="Z795" s="62" t="s">
        <v>1630</v>
      </c>
      <c r="AA795" s="62" t="s">
        <v>1631</v>
      </c>
      <c r="AB795" s="62" t="n">
        <v>1</v>
      </c>
      <c r="AC795" s="62" t="n">
        <v>0</v>
      </c>
      <c r="AD795" s="62" t="n">
        <v>1</v>
      </c>
      <c r="AE795" s="62" t="n">
        <f aca="false">IF(AND(Dashboard!$C$9="Yes",AC795=1),0,1)</f>
        <v>1</v>
      </c>
      <c r="AF795" s="62" t="n">
        <v>0</v>
      </c>
    </row>
    <row r="796" customFormat="false" ht="15" hidden="false" customHeight="false" outlineLevel="0" collapsed="false">
      <c r="A796" s="62" t="n">
        <v>795</v>
      </c>
      <c r="B796" s="63" t="n">
        <v>46253.7655324074</v>
      </c>
      <c r="C796" s="64" t="n">
        <v>46253</v>
      </c>
      <c r="D796" s="62" t="s">
        <v>143</v>
      </c>
      <c r="E796" s="62" t="s">
        <v>151</v>
      </c>
      <c r="F796" s="62" t="s">
        <v>152</v>
      </c>
      <c r="G796" s="62" t="s">
        <v>153</v>
      </c>
      <c r="H796" s="62" t="s">
        <v>153</v>
      </c>
      <c r="I796" s="62" t="s">
        <v>153</v>
      </c>
      <c r="J796" s="62" t="s">
        <v>64</v>
      </c>
      <c r="K796" s="62" t="s">
        <v>64</v>
      </c>
      <c r="L796" s="62" t="s">
        <v>4</v>
      </c>
      <c r="M796" s="62" t="n">
        <v>1</v>
      </c>
      <c r="N796" s="62" t="n">
        <v>0</v>
      </c>
      <c r="O796" s="62" t="n">
        <v>1</v>
      </c>
      <c r="P796" s="62" t="n">
        <v>0</v>
      </c>
      <c r="Q796" s="62" t="n">
        <v>0</v>
      </c>
      <c r="R796" s="62" t="n">
        <v>0</v>
      </c>
      <c r="S796" s="62" t="n">
        <v>0</v>
      </c>
      <c r="T796" s="62" t="n">
        <v>0</v>
      </c>
      <c r="U796" s="62"/>
      <c r="V796" s="62"/>
      <c r="W796" s="62"/>
      <c r="X796" s="62"/>
      <c r="Y796" s="62"/>
      <c r="Z796" s="62" t="s">
        <v>1632</v>
      </c>
      <c r="AA796" s="62" t="s">
        <v>1633</v>
      </c>
      <c r="AB796" s="62" t="n">
        <v>1</v>
      </c>
      <c r="AC796" s="62" t="n">
        <v>0</v>
      </c>
      <c r="AD796" s="62" t="n">
        <v>0</v>
      </c>
      <c r="AE796" s="62" t="n">
        <f aca="false">IF(AND(Dashboard!$C$9="Yes",AC796=1),0,1)</f>
        <v>1</v>
      </c>
      <c r="AF796" s="62" t="n">
        <v>1</v>
      </c>
    </row>
    <row r="797" customFormat="false" ht="15" hidden="false" customHeight="false" outlineLevel="0" collapsed="false">
      <c r="A797" s="62" t="n">
        <v>796</v>
      </c>
      <c r="B797" s="63" t="n">
        <v>46253.7839930556</v>
      </c>
      <c r="C797" s="64" t="n">
        <v>46253</v>
      </c>
      <c r="D797" s="62" t="s">
        <v>143</v>
      </c>
      <c r="E797" s="62" t="s">
        <v>203</v>
      </c>
      <c r="F797" s="62" t="s">
        <v>203</v>
      </c>
      <c r="G797" s="62" t="s">
        <v>204</v>
      </c>
      <c r="H797" s="62" t="s">
        <v>51</v>
      </c>
      <c r="I797" s="62" t="s">
        <v>47</v>
      </c>
      <c r="J797" s="62" t="s">
        <v>146</v>
      </c>
      <c r="K797" s="62" t="s">
        <v>147</v>
      </c>
      <c r="L797" s="62" t="s">
        <v>4</v>
      </c>
      <c r="M797" s="62" t="n">
        <v>1</v>
      </c>
      <c r="N797" s="62" t="n">
        <v>0</v>
      </c>
      <c r="O797" s="62" t="n">
        <v>1</v>
      </c>
      <c r="P797" s="62" t="n">
        <v>0</v>
      </c>
      <c r="Q797" s="62" t="n">
        <v>0</v>
      </c>
      <c r="R797" s="62" t="n">
        <v>0</v>
      </c>
      <c r="S797" s="62" t="n">
        <v>0</v>
      </c>
      <c r="T797" s="62" t="n">
        <v>0</v>
      </c>
      <c r="U797" s="62"/>
      <c r="V797" s="62"/>
      <c r="W797" s="62"/>
      <c r="X797" s="62"/>
      <c r="Y797" s="62"/>
      <c r="Z797" s="62" t="s">
        <v>1634</v>
      </c>
      <c r="AA797" s="62" t="s">
        <v>1635</v>
      </c>
      <c r="AB797" s="62" t="n">
        <v>1</v>
      </c>
      <c r="AC797" s="62" t="n">
        <v>0</v>
      </c>
      <c r="AD797" s="62" t="n">
        <v>1</v>
      </c>
      <c r="AE797" s="62" t="n">
        <f aca="false">IF(AND(Dashboard!$C$9="Yes",AC797=1),0,1)</f>
        <v>1</v>
      </c>
      <c r="AF797" s="62" t="n">
        <v>0</v>
      </c>
    </row>
    <row r="798" customFormat="false" ht="15" hidden="false" customHeight="false" outlineLevel="0" collapsed="false">
      <c r="A798" s="62" t="n">
        <v>797</v>
      </c>
      <c r="B798" s="63" t="n">
        <v>46253.7855324074</v>
      </c>
      <c r="C798" s="64" t="n">
        <v>46253</v>
      </c>
      <c r="D798" s="62" t="s">
        <v>143</v>
      </c>
      <c r="E798" s="62" t="s">
        <v>164</v>
      </c>
      <c r="F798" s="62" t="s">
        <v>164</v>
      </c>
      <c r="G798" s="62" t="s">
        <v>165</v>
      </c>
      <c r="H798" s="62" t="s">
        <v>51</v>
      </c>
      <c r="I798" s="62" t="s">
        <v>47</v>
      </c>
      <c r="J798" s="62" t="s">
        <v>146</v>
      </c>
      <c r="K798" s="62" t="s">
        <v>147</v>
      </c>
      <c r="L798" s="62" t="s">
        <v>148</v>
      </c>
      <c r="M798" s="62" t="n">
        <v>0</v>
      </c>
      <c r="N798" s="62" t="n">
        <v>1</v>
      </c>
      <c r="O798" s="62" t="n">
        <v>1</v>
      </c>
      <c r="P798" s="62" t="n">
        <v>1</v>
      </c>
      <c r="Q798" s="62" t="n">
        <v>0</v>
      </c>
      <c r="R798" s="62" t="n">
        <v>0</v>
      </c>
      <c r="S798" s="62" t="n">
        <v>0</v>
      </c>
      <c r="T798" s="62" t="n">
        <v>0</v>
      </c>
      <c r="U798" s="62"/>
      <c r="V798" s="62"/>
      <c r="W798" s="62"/>
      <c r="X798" s="62"/>
      <c r="Y798" s="62"/>
      <c r="Z798" s="62" t="s">
        <v>1636</v>
      </c>
      <c r="AA798" s="62" t="s">
        <v>1637</v>
      </c>
      <c r="AB798" s="62" t="n">
        <v>1</v>
      </c>
      <c r="AC798" s="62" t="n">
        <v>0</v>
      </c>
      <c r="AD798" s="62" t="n">
        <v>1</v>
      </c>
      <c r="AE798" s="62" t="n">
        <f aca="false">IF(AND(Dashboard!$C$9="Yes",AC798=1),0,1)</f>
        <v>1</v>
      </c>
      <c r="AF798" s="62" t="n">
        <v>0</v>
      </c>
    </row>
    <row r="799" customFormat="false" ht="15" hidden="false" customHeight="false" outlineLevel="0" collapsed="false">
      <c r="A799" s="62" t="n">
        <v>798</v>
      </c>
      <c r="B799" s="63" t="n">
        <v>46253.8351273148</v>
      </c>
      <c r="C799" s="64" t="n">
        <v>46253</v>
      </c>
      <c r="D799" s="62" t="s">
        <v>143</v>
      </c>
      <c r="E799" s="62" t="s">
        <v>967</v>
      </c>
      <c r="F799" s="62" t="s">
        <v>967</v>
      </c>
      <c r="G799" s="62" t="s">
        <v>968</v>
      </c>
      <c r="H799" s="62" t="s">
        <v>46</v>
      </c>
      <c r="I799" s="62" t="s">
        <v>47</v>
      </c>
      <c r="J799" s="62" t="s">
        <v>146</v>
      </c>
      <c r="K799" s="62" t="s">
        <v>209</v>
      </c>
      <c r="L799" s="62" t="s">
        <v>148</v>
      </c>
      <c r="M799" s="62" t="n">
        <v>0</v>
      </c>
      <c r="N799" s="62" t="n">
        <v>1</v>
      </c>
      <c r="O799" s="62" t="n">
        <v>1</v>
      </c>
      <c r="P799" s="62" t="n">
        <v>0</v>
      </c>
      <c r="Q799" s="62" t="n">
        <v>1</v>
      </c>
      <c r="R799" s="62" t="n">
        <v>0</v>
      </c>
      <c r="S799" s="62" t="n">
        <v>0</v>
      </c>
      <c r="T799" s="62" t="n">
        <v>0</v>
      </c>
      <c r="U799" s="62"/>
      <c r="V799" s="62"/>
      <c r="W799" s="62"/>
      <c r="X799" s="62"/>
      <c r="Y799" s="62"/>
      <c r="Z799" s="62" t="s">
        <v>1638</v>
      </c>
      <c r="AA799" s="62" t="s">
        <v>1639</v>
      </c>
      <c r="AB799" s="62" t="n">
        <v>1</v>
      </c>
      <c r="AC799" s="62" t="n">
        <v>0</v>
      </c>
      <c r="AD799" s="62" t="n">
        <v>1</v>
      </c>
      <c r="AE799" s="62" t="n">
        <f aca="false">IF(AND(Dashboard!$C$9="Yes",AC799=1),0,1)</f>
        <v>1</v>
      </c>
      <c r="AF799" s="62" t="n">
        <v>1</v>
      </c>
    </row>
    <row r="800" customFormat="false" ht="15" hidden="false" customHeight="false" outlineLevel="0" collapsed="false">
      <c r="A800" s="62" t="n">
        <v>799</v>
      </c>
      <c r="B800" s="63" t="n">
        <v>46253.8370138889</v>
      </c>
      <c r="C800" s="64" t="n">
        <v>46253</v>
      </c>
      <c r="D800" s="62" t="s">
        <v>143</v>
      </c>
      <c r="E800" s="62" t="s">
        <v>967</v>
      </c>
      <c r="F800" s="62" t="s">
        <v>967</v>
      </c>
      <c r="G800" s="62" t="s">
        <v>968</v>
      </c>
      <c r="H800" s="62" t="s">
        <v>46</v>
      </c>
      <c r="I800" s="62" t="s">
        <v>47</v>
      </c>
      <c r="J800" s="62" t="s">
        <v>146</v>
      </c>
      <c r="K800" s="62" t="s">
        <v>209</v>
      </c>
      <c r="L800" s="62" t="s">
        <v>148</v>
      </c>
      <c r="M800" s="62" t="n">
        <v>0</v>
      </c>
      <c r="N800" s="62" t="n">
        <v>1</v>
      </c>
      <c r="O800" s="62" t="n">
        <v>1</v>
      </c>
      <c r="P800" s="62" t="n">
        <v>0</v>
      </c>
      <c r="Q800" s="62" t="n">
        <v>1</v>
      </c>
      <c r="R800" s="62" t="n">
        <v>0</v>
      </c>
      <c r="S800" s="62" t="n">
        <v>0</v>
      </c>
      <c r="T800" s="62" t="n">
        <v>0</v>
      </c>
      <c r="U800" s="62"/>
      <c r="V800" s="62"/>
      <c r="W800" s="62"/>
      <c r="X800" s="62"/>
      <c r="Y800" s="62"/>
      <c r="Z800" s="62" t="s">
        <v>1638</v>
      </c>
      <c r="AA800" s="62" t="s">
        <v>1639</v>
      </c>
      <c r="AB800" s="62" t="n">
        <v>1</v>
      </c>
      <c r="AC800" s="62" t="n">
        <v>1</v>
      </c>
      <c r="AD800" s="62" t="n">
        <v>1</v>
      </c>
      <c r="AE800" s="62" t="n">
        <f aca="false">IF(AND(Dashboard!$C$9="Yes",AC800=1),0,1)</f>
        <v>0</v>
      </c>
      <c r="AF800" s="62" t="n">
        <v>0</v>
      </c>
    </row>
    <row r="801" customFormat="false" ht="15" hidden="false" customHeight="false" outlineLevel="0" collapsed="false">
      <c r="A801" s="62" t="n">
        <v>800</v>
      </c>
      <c r="B801" s="63" t="n">
        <v>46253.8592708333</v>
      </c>
      <c r="C801" s="64" t="n">
        <v>46253</v>
      </c>
      <c r="D801" s="62" t="s">
        <v>143</v>
      </c>
      <c r="E801" s="62" t="s">
        <v>207</v>
      </c>
      <c r="F801" s="62" t="s">
        <v>207</v>
      </c>
      <c r="G801" s="62" t="s">
        <v>208</v>
      </c>
      <c r="H801" s="62" t="s">
        <v>48</v>
      </c>
      <c r="I801" s="62" t="s">
        <v>49</v>
      </c>
      <c r="J801" s="62" t="s">
        <v>146</v>
      </c>
      <c r="K801" s="62" t="s">
        <v>209</v>
      </c>
      <c r="L801" s="62" t="s">
        <v>148</v>
      </c>
      <c r="M801" s="62" t="n">
        <v>0</v>
      </c>
      <c r="N801" s="62" t="n">
        <v>2</v>
      </c>
      <c r="O801" s="62" t="n">
        <v>2</v>
      </c>
      <c r="P801" s="62" t="n">
        <v>1</v>
      </c>
      <c r="Q801" s="62" t="n">
        <v>0</v>
      </c>
      <c r="R801" s="62" t="n">
        <v>1</v>
      </c>
      <c r="S801" s="62" t="n">
        <v>0</v>
      </c>
      <c r="T801" s="62" t="n">
        <v>0</v>
      </c>
      <c r="U801" s="62"/>
      <c r="V801" s="62"/>
      <c r="W801" s="62"/>
      <c r="X801" s="62"/>
      <c r="Y801" s="62"/>
      <c r="Z801" s="62" t="s">
        <v>1640</v>
      </c>
      <c r="AA801" s="62" t="s">
        <v>1641</v>
      </c>
      <c r="AB801" s="62" t="n">
        <v>1</v>
      </c>
      <c r="AC801" s="62" t="n">
        <v>0</v>
      </c>
      <c r="AD801" s="62" t="n">
        <v>1</v>
      </c>
      <c r="AE801" s="62" t="n">
        <f aca="false">IF(AND(Dashboard!$C$9="Yes",AC801=1),0,1)</f>
        <v>1</v>
      </c>
      <c r="AF801" s="62" t="n">
        <v>1</v>
      </c>
    </row>
    <row r="802" customFormat="false" ht="15" hidden="false" customHeight="false" outlineLevel="0" collapsed="false">
      <c r="A802" s="62" t="n">
        <v>801</v>
      </c>
      <c r="B802" s="63" t="n">
        <v>46253.8910532407</v>
      </c>
      <c r="C802" s="64" t="n">
        <v>46253</v>
      </c>
      <c r="D802" s="62" t="s">
        <v>143</v>
      </c>
      <c r="E802" s="62" t="s">
        <v>1616</v>
      </c>
      <c r="F802" s="62" t="s">
        <v>1616</v>
      </c>
      <c r="G802" s="62" t="s">
        <v>1617</v>
      </c>
      <c r="H802" s="62" t="s">
        <v>51</v>
      </c>
      <c r="I802" s="62" t="s">
        <v>47</v>
      </c>
      <c r="J802" s="62" t="s">
        <v>146</v>
      </c>
      <c r="K802" s="62" t="s">
        <v>175</v>
      </c>
      <c r="L802" s="62" t="s">
        <v>148</v>
      </c>
      <c r="M802" s="62" t="n">
        <v>0</v>
      </c>
      <c r="N802" s="62" t="n">
        <v>2</v>
      </c>
      <c r="O802" s="62" t="n">
        <v>2</v>
      </c>
      <c r="P802" s="62" t="n">
        <v>1</v>
      </c>
      <c r="Q802" s="62" t="n">
        <v>1</v>
      </c>
      <c r="R802" s="62" t="n">
        <v>0</v>
      </c>
      <c r="S802" s="62" t="n">
        <v>0</v>
      </c>
      <c r="T802" s="62" t="n">
        <v>0</v>
      </c>
      <c r="U802" s="62"/>
      <c r="V802" s="62"/>
      <c r="W802" s="62"/>
      <c r="X802" s="62"/>
      <c r="Y802" s="62"/>
      <c r="Z802" s="62" t="s">
        <v>1642</v>
      </c>
      <c r="AA802" s="62" t="s">
        <v>1643</v>
      </c>
      <c r="AB802" s="62" t="n">
        <v>1</v>
      </c>
      <c r="AC802" s="62" t="n">
        <v>0</v>
      </c>
      <c r="AD802" s="62" t="n">
        <v>1</v>
      </c>
      <c r="AE802" s="62" t="n">
        <f aca="false">IF(AND(Dashboard!$C$9="Yes",AC802=1),0,1)</f>
        <v>1</v>
      </c>
      <c r="AF802" s="62" t="n">
        <v>0</v>
      </c>
    </row>
    <row r="803" customFormat="false" ht="15" hidden="false" customHeight="false" outlineLevel="0" collapsed="false">
      <c r="A803" s="62" t="n">
        <v>802</v>
      </c>
      <c r="B803" s="63" t="n">
        <v>46253.9741782407</v>
      </c>
      <c r="C803" s="64" t="n">
        <v>46253</v>
      </c>
      <c r="D803" s="62" t="s">
        <v>143</v>
      </c>
      <c r="E803" s="62" t="s">
        <v>207</v>
      </c>
      <c r="F803" s="62" t="s">
        <v>207</v>
      </c>
      <c r="G803" s="62" t="s">
        <v>208</v>
      </c>
      <c r="H803" s="62" t="s">
        <v>48</v>
      </c>
      <c r="I803" s="62" t="s">
        <v>49</v>
      </c>
      <c r="J803" s="62" t="s">
        <v>146</v>
      </c>
      <c r="K803" s="62" t="s">
        <v>209</v>
      </c>
      <c r="L803" s="62" t="s">
        <v>148</v>
      </c>
      <c r="M803" s="62" t="n">
        <v>0</v>
      </c>
      <c r="N803" s="62" t="n">
        <v>2</v>
      </c>
      <c r="O803" s="62" t="n">
        <v>2</v>
      </c>
      <c r="P803" s="62" t="n">
        <v>1</v>
      </c>
      <c r="Q803" s="62" t="n">
        <v>1</v>
      </c>
      <c r="R803" s="62" t="n">
        <v>0</v>
      </c>
      <c r="S803" s="62" t="n">
        <v>0</v>
      </c>
      <c r="T803" s="62" t="n">
        <v>0</v>
      </c>
      <c r="U803" s="62"/>
      <c r="V803" s="62"/>
      <c r="W803" s="62"/>
      <c r="X803" s="62"/>
      <c r="Y803" s="62"/>
      <c r="Z803" s="62" t="s">
        <v>1644</v>
      </c>
      <c r="AA803" s="62" t="s">
        <v>1645</v>
      </c>
      <c r="AB803" s="62" t="n">
        <v>1</v>
      </c>
      <c r="AC803" s="62" t="n">
        <v>0</v>
      </c>
      <c r="AD803" s="62" t="n">
        <v>1</v>
      </c>
      <c r="AE803" s="62" t="n">
        <f aca="false">IF(AND(Dashboard!$C$9="Yes",AC803=1),0,1)</f>
        <v>1</v>
      </c>
      <c r="AF803" s="62" t="n">
        <v>0</v>
      </c>
    </row>
    <row r="804" customFormat="false" ht="15" hidden="false" customHeight="false" outlineLevel="0" collapsed="false">
      <c r="A804" s="62" t="n">
        <v>803</v>
      </c>
      <c r="B804" s="63" t="n">
        <v>46253.9831365741</v>
      </c>
      <c r="C804" s="64" t="n">
        <v>46253</v>
      </c>
      <c r="D804" s="62" t="s">
        <v>143</v>
      </c>
      <c r="E804" s="62" t="s">
        <v>160</v>
      </c>
      <c r="F804" s="62" t="s">
        <v>160</v>
      </c>
      <c r="G804" s="62" t="s">
        <v>161</v>
      </c>
      <c r="H804" s="62" t="s">
        <v>51</v>
      </c>
      <c r="I804" s="62" t="s">
        <v>47</v>
      </c>
      <c r="J804" s="62" t="s">
        <v>146</v>
      </c>
      <c r="K804" s="62" t="s">
        <v>147</v>
      </c>
      <c r="L804" s="62" t="s">
        <v>4</v>
      </c>
      <c r="M804" s="62" t="n">
        <v>1</v>
      </c>
      <c r="N804" s="62" t="n">
        <v>0</v>
      </c>
      <c r="O804" s="62" t="n">
        <v>1</v>
      </c>
      <c r="P804" s="62" t="n">
        <v>0</v>
      </c>
      <c r="Q804" s="62" t="n">
        <v>0</v>
      </c>
      <c r="R804" s="62" t="n">
        <v>0</v>
      </c>
      <c r="S804" s="62" t="n">
        <v>0</v>
      </c>
      <c r="T804" s="62" t="n">
        <v>0</v>
      </c>
      <c r="U804" s="62"/>
      <c r="V804" s="62"/>
      <c r="W804" s="62"/>
      <c r="X804" s="62"/>
      <c r="Y804" s="62"/>
      <c r="Z804" s="62" t="s">
        <v>1646</v>
      </c>
      <c r="AA804" s="62" t="s">
        <v>1647</v>
      </c>
      <c r="AB804" s="62" t="n">
        <v>1</v>
      </c>
      <c r="AC804" s="62" t="n">
        <v>0</v>
      </c>
      <c r="AD804" s="62" t="n">
        <v>1</v>
      </c>
      <c r="AE804" s="62" t="n">
        <f aca="false">IF(AND(Dashboard!$C$9="Yes",AC804=1),0,1)</f>
        <v>1</v>
      </c>
      <c r="AF804" s="62" t="n">
        <v>1</v>
      </c>
    </row>
    <row r="805" customFormat="false" ht="15" hidden="false" customHeight="false" outlineLevel="0" collapsed="false">
      <c r="A805" s="62" t="n">
        <v>804</v>
      </c>
      <c r="B805" s="63" t="n">
        <v>46254.0673726852</v>
      </c>
      <c r="C805" s="64" t="n">
        <v>46253</v>
      </c>
      <c r="D805" s="62" t="s">
        <v>143</v>
      </c>
      <c r="E805" s="62" t="s">
        <v>865</v>
      </c>
      <c r="F805" s="62" t="s">
        <v>865</v>
      </c>
      <c r="G805" s="62" t="s">
        <v>866</v>
      </c>
      <c r="H805" s="62" t="s">
        <v>46</v>
      </c>
      <c r="I805" s="62" t="s">
        <v>47</v>
      </c>
      <c r="J805" s="62" t="s">
        <v>146</v>
      </c>
      <c r="K805" s="62" t="s">
        <v>209</v>
      </c>
      <c r="L805" s="62" t="s">
        <v>4</v>
      </c>
      <c r="M805" s="62" t="n">
        <v>1</v>
      </c>
      <c r="N805" s="62" t="n">
        <v>0</v>
      </c>
      <c r="O805" s="62" t="n">
        <v>1</v>
      </c>
      <c r="P805" s="62" t="n">
        <v>0</v>
      </c>
      <c r="Q805" s="62" t="n">
        <v>0</v>
      </c>
      <c r="R805" s="62" t="n">
        <v>0</v>
      </c>
      <c r="S805" s="62" t="n">
        <v>0</v>
      </c>
      <c r="T805" s="62" t="n">
        <v>0</v>
      </c>
      <c r="U805" s="62"/>
      <c r="V805" s="62"/>
      <c r="W805" s="62"/>
      <c r="X805" s="62"/>
      <c r="Y805" s="62"/>
      <c r="Z805" s="62" t="s">
        <v>1648</v>
      </c>
      <c r="AA805" s="62" t="s">
        <v>1649</v>
      </c>
      <c r="AB805" s="62" t="n">
        <v>0</v>
      </c>
      <c r="AC805" s="62" t="n">
        <v>0</v>
      </c>
      <c r="AD805" s="62" t="n">
        <v>1</v>
      </c>
      <c r="AE805" s="62" t="n">
        <f aca="false">IF(AND(Dashboard!$C$9="Yes",AC805=1),0,1)</f>
        <v>1</v>
      </c>
      <c r="AF805" s="62" t="n">
        <v>1</v>
      </c>
    </row>
    <row r="806" customFormat="false" ht="15" hidden="false" customHeight="false" outlineLevel="0" collapsed="false">
      <c r="A806" s="62" t="n">
        <v>805</v>
      </c>
      <c r="B806" s="63" t="n">
        <v>46254.1332986111</v>
      </c>
      <c r="C806" s="64" t="n">
        <v>46253</v>
      </c>
      <c r="D806" s="62" t="s">
        <v>143</v>
      </c>
      <c r="E806" s="62" t="s">
        <v>1382</v>
      </c>
      <c r="F806" s="62" t="s">
        <v>1382</v>
      </c>
      <c r="G806" s="62" t="s">
        <v>1383</v>
      </c>
      <c r="H806" s="62" t="s">
        <v>58</v>
      </c>
      <c r="I806" s="62" t="s">
        <v>49</v>
      </c>
      <c r="J806" s="62" t="s">
        <v>146</v>
      </c>
      <c r="K806" s="62" t="s">
        <v>175</v>
      </c>
      <c r="L806" s="62" t="s">
        <v>4</v>
      </c>
      <c r="M806" s="62" t="n">
        <v>1</v>
      </c>
      <c r="N806" s="62" t="n">
        <v>0</v>
      </c>
      <c r="O806" s="62" t="n">
        <v>1</v>
      </c>
      <c r="P806" s="62" t="n">
        <v>0</v>
      </c>
      <c r="Q806" s="62" t="n">
        <v>0</v>
      </c>
      <c r="R806" s="62" t="n">
        <v>0</v>
      </c>
      <c r="S806" s="62" t="n">
        <v>0</v>
      </c>
      <c r="T806" s="62" t="n">
        <v>0</v>
      </c>
      <c r="U806" s="62"/>
      <c r="V806" s="62"/>
      <c r="W806" s="62"/>
      <c r="X806" s="62"/>
      <c r="Y806" s="62"/>
      <c r="Z806" s="62" t="s">
        <v>1650</v>
      </c>
      <c r="AA806" s="62" t="s">
        <v>1651</v>
      </c>
      <c r="AB806" s="62" t="n">
        <v>1</v>
      </c>
      <c r="AC806" s="62" t="n">
        <v>0</v>
      </c>
      <c r="AD806" s="62" t="n">
        <v>1</v>
      </c>
      <c r="AE806" s="62" t="n">
        <f aca="false">IF(AND(Dashboard!$C$9="Yes",AC806=1),0,1)</f>
        <v>1</v>
      </c>
      <c r="AF806" s="62" t="n">
        <v>0</v>
      </c>
    </row>
    <row r="807" customFormat="false" ht="15" hidden="false" customHeight="false" outlineLevel="0" collapsed="false">
      <c r="A807" s="62" t="n">
        <v>806</v>
      </c>
      <c r="B807" s="63" t="n">
        <v>46254.2582638889</v>
      </c>
      <c r="C807" s="64" t="n">
        <v>46253</v>
      </c>
      <c r="D807" s="62" t="s">
        <v>143</v>
      </c>
      <c r="E807" s="62" t="s">
        <v>1652</v>
      </c>
      <c r="F807" s="62" t="s">
        <v>1652</v>
      </c>
      <c r="G807" s="62" t="s">
        <v>1653</v>
      </c>
      <c r="H807" s="62" t="s">
        <v>57</v>
      </c>
      <c r="I807" s="62" t="s">
        <v>47</v>
      </c>
      <c r="J807" s="62" t="s">
        <v>146</v>
      </c>
      <c r="K807" s="62" t="s">
        <v>175</v>
      </c>
      <c r="L807" s="62" t="s">
        <v>148</v>
      </c>
      <c r="M807" s="62" t="n">
        <v>0</v>
      </c>
      <c r="N807" s="62" t="n">
        <v>1</v>
      </c>
      <c r="O807" s="62" t="n">
        <v>1</v>
      </c>
      <c r="P807" s="62" t="n">
        <v>1</v>
      </c>
      <c r="Q807" s="62" t="n">
        <v>0</v>
      </c>
      <c r="R807" s="62" t="n">
        <v>0</v>
      </c>
      <c r="S807" s="62" t="n">
        <v>0</v>
      </c>
      <c r="T807" s="62" t="n">
        <v>0</v>
      </c>
      <c r="U807" s="62"/>
      <c r="V807" s="62"/>
      <c r="W807" s="62"/>
      <c r="X807" s="62"/>
      <c r="Y807" s="62"/>
      <c r="Z807" s="62" t="s">
        <v>1654</v>
      </c>
      <c r="AA807" s="62" t="s">
        <v>1655</v>
      </c>
      <c r="AB807" s="62" t="n">
        <v>1</v>
      </c>
      <c r="AC807" s="62" t="n">
        <v>0</v>
      </c>
      <c r="AD807" s="62" t="n">
        <v>1</v>
      </c>
      <c r="AE807" s="62" t="n">
        <f aca="false">IF(AND(Dashboard!$C$9="Yes",AC807=1),0,1)</f>
        <v>1</v>
      </c>
      <c r="AF807" s="62" t="n">
        <v>1</v>
      </c>
    </row>
    <row r="808" customFormat="false" ht="15" hidden="false" customHeight="false" outlineLevel="0" collapsed="false">
      <c r="A808" s="62" t="n">
        <v>807</v>
      </c>
      <c r="B808" s="63" t="n">
        <v>46254.2590625</v>
      </c>
      <c r="C808" s="64" t="n">
        <v>46253</v>
      </c>
      <c r="D808" s="62" t="s">
        <v>143</v>
      </c>
      <c r="E808" s="62" t="s">
        <v>1652</v>
      </c>
      <c r="F808" s="62" t="s">
        <v>1652</v>
      </c>
      <c r="G808" s="62" t="s">
        <v>1653</v>
      </c>
      <c r="H808" s="62" t="s">
        <v>57</v>
      </c>
      <c r="I808" s="62" t="s">
        <v>47</v>
      </c>
      <c r="J808" s="62" t="s">
        <v>146</v>
      </c>
      <c r="K808" s="62" t="s">
        <v>175</v>
      </c>
      <c r="L808" s="62" t="s">
        <v>148</v>
      </c>
      <c r="M808" s="62" t="n">
        <v>0</v>
      </c>
      <c r="N808" s="62" t="n">
        <v>2</v>
      </c>
      <c r="O808" s="62" t="n">
        <v>2</v>
      </c>
      <c r="P808" s="62" t="n">
        <v>1</v>
      </c>
      <c r="Q808" s="62" t="n">
        <v>1</v>
      </c>
      <c r="R808" s="62" t="n">
        <v>0</v>
      </c>
      <c r="S808" s="62" t="n">
        <v>0</v>
      </c>
      <c r="T808" s="62" t="n">
        <v>0</v>
      </c>
      <c r="U808" s="62"/>
      <c r="V808" s="62"/>
      <c r="W808" s="62"/>
      <c r="X808" s="62"/>
      <c r="Y808" s="62"/>
      <c r="Z808" s="62" t="s">
        <v>1656</v>
      </c>
      <c r="AA808" s="62" t="s">
        <v>1657</v>
      </c>
      <c r="AB808" s="62" t="n">
        <v>1</v>
      </c>
      <c r="AC808" s="62" t="n">
        <v>0</v>
      </c>
      <c r="AD808" s="62" t="n">
        <v>1</v>
      </c>
      <c r="AE808" s="62" t="n">
        <f aca="false">IF(AND(Dashboard!$C$9="Yes",AC808=1),0,1)</f>
        <v>1</v>
      </c>
      <c r="AF808" s="62" t="n">
        <v>0</v>
      </c>
    </row>
    <row r="809" customFormat="false" ht="15" hidden="false" customHeight="false" outlineLevel="0" collapsed="false">
      <c r="A809" s="62" t="n">
        <v>808</v>
      </c>
      <c r="B809" s="63" t="n">
        <v>46254.2593055556</v>
      </c>
      <c r="C809" s="64" t="n">
        <v>46253</v>
      </c>
      <c r="D809" s="62" t="s">
        <v>143</v>
      </c>
      <c r="E809" s="62" t="s">
        <v>1652</v>
      </c>
      <c r="F809" s="62" t="s">
        <v>1652</v>
      </c>
      <c r="G809" s="62" t="s">
        <v>1653</v>
      </c>
      <c r="H809" s="62" t="s">
        <v>57</v>
      </c>
      <c r="I809" s="62" t="s">
        <v>47</v>
      </c>
      <c r="J809" s="62" t="s">
        <v>146</v>
      </c>
      <c r="K809" s="62" t="s">
        <v>175</v>
      </c>
      <c r="L809" s="62" t="s">
        <v>4</v>
      </c>
      <c r="M809" s="62" t="n">
        <v>1</v>
      </c>
      <c r="N809" s="62" t="n">
        <v>0</v>
      </c>
      <c r="O809" s="62" t="n">
        <v>1</v>
      </c>
      <c r="P809" s="62" t="n">
        <v>0</v>
      </c>
      <c r="Q809" s="62" t="n">
        <v>0</v>
      </c>
      <c r="R809" s="62" t="n">
        <v>0</v>
      </c>
      <c r="S809" s="62" t="n">
        <v>0</v>
      </c>
      <c r="T809" s="62" t="n">
        <v>0</v>
      </c>
      <c r="U809" s="62"/>
      <c r="V809" s="62"/>
      <c r="W809" s="62"/>
      <c r="X809" s="62"/>
      <c r="Y809" s="62"/>
      <c r="Z809" s="62" t="s">
        <v>1658</v>
      </c>
      <c r="AA809" s="62" t="s">
        <v>1658</v>
      </c>
      <c r="AB809" s="62" t="n">
        <v>1</v>
      </c>
      <c r="AC809" s="62" t="n">
        <v>0</v>
      </c>
      <c r="AD809" s="62" t="n">
        <v>1</v>
      </c>
      <c r="AE809" s="62" t="n">
        <f aca="false">IF(AND(Dashboard!$C$9="Yes",AC809=1),0,1)</f>
        <v>1</v>
      </c>
      <c r="AF809" s="62" t="n">
        <v>0</v>
      </c>
    </row>
    <row r="810" customFormat="false" ht="15" hidden="false" customHeight="false" outlineLevel="0" collapsed="false">
      <c r="A810" s="62" t="n">
        <v>809</v>
      </c>
      <c r="B810" s="63" t="n">
        <v>46254.2596064815</v>
      </c>
      <c r="C810" s="64" t="n">
        <v>46253</v>
      </c>
      <c r="D810" s="62" t="s">
        <v>143</v>
      </c>
      <c r="E810" s="62" t="s">
        <v>1652</v>
      </c>
      <c r="F810" s="62" t="s">
        <v>1652</v>
      </c>
      <c r="G810" s="62" t="s">
        <v>1653</v>
      </c>
      <c r="H810" s="62" t="s">
        <v>57</v>
      </c>
      <c r="I810" s="62" t="s">
        <v>47</v>
      </c>
      <c r="J810" s="62" t="s">
        <v>146</v>
      </c>
      <c r="K810" s="62" t="s">
        <v>175</v>
      </c>
      <c r="L810" s="62" t="s">
        <v>4</v>
      </c>
      <c r="M810" s="62" t="n">
        <v>1</v>
      </c>
      <c r="N810" s="62" t="n">
        <v>0</v>
      </c>
      <c r="O810" s="62" t="n">
        <v>1</v>
      </c>
      <c r="P810" s="62" t="n">
        <v>0</v>
      </c>
      <c r="Q810" s="62" t="n">
        <v>0</v>
      </c>
      <c r="R810" s="62" t="n">
        <v>0</v>
      </c>
      <c r="S810" s="62" t="n">
        <v>0</v>
      </c>
      <c r="T810" s="62" t="n">
        <v>0</v>
      </c>
      <c r="U810" s="62"/>
      <c r="V810" s="62"/>
      <c r="W810" s="62"/>
      <c r="X810" s="62"/>
      <c r="Y810" s="62"/>
      <c r="Z810" s="62" t="s">
        <v>1658</v>
      </c>
      <c r="AA810" s="62" t="s">
        <v>1658</v>
      </c>
      <c r="AB810" s="62" t="n">
        <v>1</v>
      </c>
      <c r="AC810" s="62" t="n">
        <v>1</v>
      </c>
      <c r="AD810" s="62" t="n">
        <v>1</v>
      </c>
      <c r="AE810" s="62" t="n">
        <f aca="false">IF(AND(Dashboard!$C$9="Yes",AC810=1),0,1)</f>
        <v>0</v>
      </c>
      <c r="AF810" s="62" t="n">
        <v>0</v>
      </c>
    </row>
    <row r="811" customFormat="false" ht="15" hidden="false" customHeight="false" outlineLevel="0" collapsed="false">
      <c r="A811" s="62" t="n">
        <v>810</v>
      </c>
      <c r="B811" s="63" t="n">
        <v>46254.5902083333</v>
      </c>
      <c r="C811" s="64" t="n">
        <v>46254</v>
      </c>
      <c r="D811" s="62" t="s">
        <v>202</v>
      </c>
      <c r="E811" s="62" t="s">
        <v>203</v>
      </c>
      <c r="F811" s="62" t="s">
        <v>203</v>
      </c>
      <c r="G811" s="62" t="s">
        <v>204</v>
      </c>
      <c r="H811" s="62" t="s">
        <v>51</v>
      </c>
      <c r="I811" s="62" t="s">
        <v>47</v>
      </c>
      <c r="J811" s="62" t="s">
        <v>146</v>
      </c>
      <c r="K811" s="62" t="s">
        <v>147</v>
      </c>
      <c r="L811" s="62" t="s">
        <v>4</v>
      </c>
      <c r="M811" s="62" t="n">
        <v>1</v>
      </c>
      <c r="N811" s="62" t="n">
        <v>0</v>
      </c>
      <c r="O811" s="62" t="n">
        <v>1</v>
      </c>
      <c r="P811" s="62" t="n">
        <v>0</v>
      </c>
      <c r="Q811" s="62" t="n">
        <v>0</v>
      </c>
      <c r="R811" s="62" t="n">
        <v>0</v>
      </c>
      <c r="S811" s="62" t="n">
        <v>0</v>
      </c>
      <c r="T811" s="62" t="n">
        <v>0</v>
      </c>
      <c r="U811" s="62"/>
      <c r="V811" s="62"/>
      <c r="W811" s="62"/>
      <c r="X811" s="62"/>
      <c r="Y811" s="62"/>
      <c r="Z811" s="62" t="s">
        <v>1621</v>
      </c>
      <c r="AA811" s="62" t="s">
        <v>1622</v>
      </c>
      <c r="AB811" s="62" t="n">
        <v>1</v>
      </c>
      <c r="AC811" s="62" t="n">
        <v>1</v>
      </c>
      <c r="AD811" s="62" t="n">
        <v>1</v>
      </c>
      <c r="AE811" s="62" t="n">
        <f aca="false">IF(AND(Dashboard!$C$9="Yes",AC811=1),0,1)</f>
        <v>0</v>
      </c>
      <c r="AF811" s="62" t="n">
        <v>0</v>
      </c>
    </row>
    <row r="812" customFormat="false" ht="15" hidden="false" customHeight="false" outlineLevel="0" collapsed="false">
      <c r="A812" s="62" t="n">
        <v>811</v>
      </c>
      <c r="B812" s="63" t="n">
        <v>46254.5908333333</v>
      </c>
      <c r="C812" s="64" t="n">
        <v>46254</v>
      </c>
      <c r="D812" s="62" t="s">
        <v>202</v>
      </c>
      <c r="E812" s="62" t="s">
        <v>203</v>
      </c>
      <c r="F812" s="62" t="s">
        <v>203</v>
      </c>
      <c r="G812" s="62" t="s">
        <v>204</v>
      </c>
      <c r="H812" s="62" t="s">
        <v>51</v>
      </c>
      <c r="I812" s="62" t="s">
        <v>47</v>
      </c>
      <c r="J812" s="62" t="s">
        <v>146</v>
      </c>
      <c r="K812" s="62" t="s">
        <v>147</v>
      </c>
      <c r="L812" s="62" t="s">
        <v>4</v>
      </c>
      <c r="M812" s="62" t="n">
        <v>1</v>
      </c>
      <c r="N812" s="62" t="n">
        <v>0</v>
      </c>
      <c r="O812" s="62" t="n">
        <v>1</v>
      </c>
      <c r="P812" s="62" t="n">
        <v>0</v>
      </c>
      <c r="Q812" s="62" t="n">
        <v>0</v>
      </c>
      <c r="R812" s="62" t="n">
        <v>0</v>
      </c>
      <c r="S812" s="62" t="n">
        <v>0</v>
      </c>
      <c r="T812" s="62" t="n">
        <v>0</v>
      </c>
      <c r="U812" s="62"/>
      <c r="V812" s="62"/>
      <c r="W812" s="62"/>
      <c r="X812" s="62"/>
      <c r="Y812" s="62"/>
      <c r="Z812" s="62" t="s">
        <v>1628</v>
      </c>
      <c r="AA812" s="62" t="s">
        <v>485</v>
      </c>
      <c r="AB812" s="62" t="n">
        <v>0</v>
      </c>
      <c r="AC812" s="62" t="n">
        <v>0</v>
      </c>
      <c r="AD812" s="62" t="n">
        <v>1</v>
      </c>
      <c r="AE812" s="62" t="n">
        <f aca="false">IF(AND(Dashboard!$C$9="Yes",AC812=1),0,1)</f>
        <v>1</v>
      </c>
      <c r="AF812" s="62" t="n">
        <v>1</v>
      </c>
    </row>
    <row r="813" customFormat="false" ht="15" hidden="false" customHeight="false" outlineLevel="0" collapsed="false">
      <c r="A813" s="62" t="n">
        <v>812</v>
      </c>
      <c r="B813" s="63" t="n">
        <v>46254.5911458333</v>
      </c>
      <c r="C813" s="64" t="n">
        <v>46254</v>
      </c>
      <c r="D813" s="62" t="s">
        <v>202</v>
      </c>
      <c r="E813" s="62" t="s">
        <v>203</v>
      </c>
      <c r="F813" s="62" t="s">
        <v>203</v>
      </c>
      <c r="G813" s="62" t="s">
        <v>204</v>
      </c>
      <c r="H813" s="62" t="s">
        <v>51</v>
      </c>
      <c r="I813" s="62" t="s">
        <v>47</v>
      </c>
      <c r="J813" s="62" t="s">
        <v>146</v>
      </c>
      <c r="K813" s="62" t="s">
        <v>147</v>
      </c>
      <c r="L813" s="62" t="s">
        <v>4</v>
      </c>
      <c r="M813" s="62" t="n">
        <v>1</v>
      </c>
      <c r="N813" s="62" t="n">
        <v>0</v>
      </c>
      <c r="O813" s="62" t="n">
        <v>1</v>
      </c>
      <c r="P813" s="62" t="n">
        <v>0</v>
      </c>
      <c r="Q813" s="62" t="n">
        <v>0</v>
      </c>
      <c r="R813" s="62" t="n">
        <v>0</v>
      </c>
      <c r="S813" s="62" t="n">
        <v>0</v>
      </c>
      <c r="T813" s="62" t="n">
        <v>0</v>
      </c>
      <c r="U813" s="62"/>
      <c r="V813" s="62"/>
      <c r="W813" s="62"/>
      <c r="X813" s="62"/>
      <c r="Y813" s="62"/>
      <c r="Z813" s="62" t="s">
        <v>1634</v>
      </c>
      <c r="AA813" s="62" t="s">
        <v>485</v>
      </c>
      <c r="AB813" s="62" t="n">
        <v>0</v>
      </c>
      <c r="AC813" s="62" t="n">
        <v>0</v>
      </c>
      <c r="AD813" s="62" t="n">
        <v>1</v>
      </c>
      <c r="AE813" s="62" t="n">
        <f aca="false">IF(AND(Dashboard!$C$9="Yes",AC813=1),0,1)</f>
        <v>1</v>
      </c>
      <c r="AF813" s="62" t="n">
        <v>0</v>
      </c>
    </row>
    <row r="814" customFormat="false" ht="15" hidden="false" customHeight="false" outlineLevel="0" collapsed="false">
      <c r="A814" s="62" t="n">
        <v>813</v>
      </c>
      <c r="B814" s="63" t="n">
        <v>46254.7600347222</v>
      </c>
      <c r="C814" s="64" t="n">
        <v>46254</v>
      </c>
      <c r="D814" s="62" t="s">
        <v>202</v>
      </c>
      <c r="E814" s="62" t="s">
        <v>212</v>
      </c>
      <c r="F814" s="62" t="s">
        <v>212</v>
      </c>
      <c r="G814" s="62" t="s">
        <v>213</v>
      </c>
      <c r="H814" s="62" t="s">
        <v>58</v>
      </c>
      <c r="I814" s="62" t="s">
        <v>49</v>
      </c>
      <c r="J814" s="62" t="s">
        <v>146</v>
      </c>
      <c r="K814" s="62" t="s">
        <v>175</v>
      </c>
      <c r="L814" s="62" t="s">
        <v>4</v>
      </c>
      <c r="M814" s="62" t="n">
        <v>1</v>
      </c>
      <c r="N814" s="62" t="n">
        <v>0</v>
      </c>
      <c r="O814" s="62" t="n">
        <v>1</v>
      </c>
      <c r="P814" s="62" t="n">
        <v>0</v>
      </c>
      <c r="Q814" s="62" t="n">
        <v>0</v>
      </c>
      <c r="R814" s="62" t="n">
        <v>0</v>
      </c>
      <c r="S814" s="62" t="n">
        <v>0</v>
      </c>
      <c r="T814" s="62" t="n">
        <v>0</v>
      </c>
      <c r="U814" s="62"/>
      <c r="V814" s="62"/>
      <c r="W814" s="62"/>
      <c r="X814" s="62"/>
      <c r="Y814" s="62"/>
      <c r="Z814" s="62" t="s">
        <v>1659</v>
      </c>
      <c r="AA814" s="62" t="s">
        <v>1660</v>
      </c>
      <c r="AB814" s="62" t="n">
        <v>1</v>
      </c>
      <c r="AC814" s="62" t="n">
        <v>0</v>
      </c>
      <c r="AD814" s="62" t="n">
        <v>1</v>
      </c>
      <c r="AE814" s="62" t="n">
        <f aca="false">IF(AND(Dashboard!$C$9="Yes",AC814=1),0,1)</f>
        <v>1</v>
      </c>
      <c r="AF814" s="62" t="n">
        <v>1</v>
      </c>
    </row>
    <row r="815" customFormat="false" ht="15" hidden="false" customHeight="false" outlineLevel="0" collapsed="false">
      <c r="A815" s="62" t="n">
        <v>814</v>
      </c>
      <c r="B815" s="63" t="n">
        <v>46254.7698726852</v>
      </c>
      <c r="C815" s="64" t="n">
        <v>46254</v>
      </c>
      <c r="D815" s="62" t="s">
        <v>202</v>
      </c>
      <c r="E815" s="62" t="s">
        <v>713</v>
      </c>
      <c r="F815" s="62" t="s">
        <v>714</v>
      </c>
      <c r="G815" s="62" t="s">
        <v>153</v>
      </c>
      <c r="H815" s="62" t="s">
        <v>153</v>
      </c>
      <c r="I815" s="62" t="s">
        <v>153</v>
      </c>
      <c r="J815" s="62" t="s">
        <v>64</v>
      </c>
      <c r="K815" s="62" t="s">
        <v>64</v>
      </c>
      <c r="L815" s="62" t="s">
        <v>4</v>
      </c>
      <c r="M815" s="62" t="n">
        <v>1</v>
      </c>
      <c r="N815" s="62" t="n">
        <v>0</v>
      </c>
      <c r="O815" s="62" t="n">
        <v>1</v>
      </c>
      <c r="P815" s="62" t="n">
        <v>0</v>
      </c>
      <c r="Q815" s="62" t="n">
        <v>0</v>
      </c>
      <c r="R815" s="62" t="n">
        <v>0</v>
      </c>
      <c r="S815" s="62" t="n">
        <v>0</v>
      </c>
      <c r="T815" s="62" t="n">
        <v>0</v>
      </c>
      <c r="U815" s="62"/>
      <c r="V815" s="62"/>
      <c r="W815" s="62"/>
      <c r="X815" s="62"/>
      <c r="Y815" s="62"/>
      <c r="Z815" s="62" t="s">
        <v>1661</v>
      </c>
      <c r="AA815" s="62" t="s">
        <v>1662</v>
      </c>
      <c r="AB815" s="62" t="n">
        <v>0</v>
      </c>
      <c r="AC815" s="62" t="n">
        <v>0</v>
      </c>
      <c r="AD815" s="62" t="n">
        <v>0</v>
      </c>
      <c r="AE815" s="62" t="n">
        <f aca="false">IF(AND(Dashboard!$C$9="Yes",AC815=1),0,1)</f>
        <v>1</v>
      </c>
      <c r="AF815" s="62" t="n">
        <v>1</v>
      </c>
    </row>
    <row r="816" customFormat="false" ht="15" hidden="false" customHeight="false" outlineLevel="0" collapsed="false">
      <c r="A816" s="62" t="n">
        <v>815</v>
      </c>
      <c r="B816" s="63" t="n">
        <v>46254.7834375</v>
      </c>
      <c r="C816" s="64" t="n">
        <v>46254</v>
      </c>
      <c r="D816" s="62" t="s">
        <v>202</v>
      </c>
      <c r="E816" s="62" t="s">
        <v>1616</v>
      </c>
      <c r="F816" s="62" t="s">
        <v>1616</v>
      </c>
      <c r="G816" s="62" t="s">
        <v>1617</v>
      </c>
      <c r="H816" s="62" t="s">
        <v>51</v>
      </c>
      <c r="I816" s="62" t="s">
        <v>47</v>
      </c>
      <c r="J816" s="62" t="s">
        <v>146</v>
      </c>
      <c r="K816" s="62" t="s">
        <v>175</v>
      </c>
      <c r="L816" s="62" t="s">
        <v>4</v>
      </c>
      <c r="M816" s="62" t="n">
        <v>1</v>
      </c>
      <c r="N816" s="62" t="n">
        <v>0</v>
      </c>
      <c r="O816" s="62" t="n">
        <v>1</v>
      </c>
      <c r="P816" s="62" t="n">
        <v>0</v>
      </c>
      <c r="Q816" s="62" t="n">
        <v>0</v>
      </c>
      <c r="R816" s="62" t="n">
        <v>0</v>
      </c>
      <c r="S816" s="62" t="n">
        <v>0</v>
      </c>
      <c r="T816" s="62" t="n">
        <v>0</v>
      </c>
      <c r="U816" s="62"/>
      <c r="V816" s="62"/>
      <c r="W816" s="62"/>
      <c r="X816" s="62"/>
      <c r="Y816" s="62"/>
      <c r="Z816" s="62" t="s">
        <v>1663</v>
      </c>
      <c r="AA816" s="62" t="s">
        <v>1664</v>
      </c>
      <c r="AB816" s="62" t="n">
        <v>1</v>
      </c>
      <c r="AC816" s="62" t="n">
        <v>0</v>
      </c>
      <c r="AD816" s="62" t="n">
        <v>1</v>
      </c>
      <c r="AE816" s="62" t="n">
        <f aca="false">IF(AND(Dashboard!$C$9="Yes",AC816=1),0,1)</f>
        <v>1</v>
      </c>
      <c r="AF816" s="62" t="n">
        <v>1</v>
      </c>
    </row>
    <row r="817" customFormat="false" ht="15" hidden="false" customHeight="false" outlineLevel="0" collapsed="false">
      <c r="A817" s="62" t="n">
        <v>816</v>
      </c>
      <c r="B817" s="63" t="n">
        <v>46254.8610416667</v>
      </c>
      <c r="C817" s="64" t="n">
        <v>46254</v>
      </c>
      <c r="D817" s="62" t="s">
        <v>202</v>
      </c>
      <c r="E817" s="62" t="s">
        <v>203</v>
      </c>
      <c r="F817" s="62" t="s">
        <v>203</v>
      </c>
      <c r="G817" s="62" t="s">
        <v>204</v>
      </c>
      <c r="H817" s="62" t="s">
        <v>51</v>
      </c>
      <c r="I817" s="62" t="s">
        <v>47</v>
      </c>
      <c r="J817" s="62" t="s">
        <v>146</v>
      </c>
      <c r="K817" s="62" t="s">
        <v>147</v>
      </c>
      <c r="L817" s="62" t="s">
        <v>148</v>
      </c>
      <c r="M817" s="62" t="n">
        <v>0</v>
      </c>
      <c r="N817" s="62" t="n">
        <v>1</v>
      </c>
      <c r="O817" s="62" t="n">
        <v>1</v>
      </c>
      <c r="P817" s="62" t="n">
        <v>1</v>
      </c>
      <c r="Q817" s="62" t="n">
        <v>0</v>
      </c>
      <c r="R817" s="62" t="n">
        <v>0</v>
      </c>
      <c r="S817" s="62" t="n">
        <v>0</v>
      </c>
      <c r="T817" s="62" t="n">
        <v>0</v>
      </c>
      <c r="U817" s="62"/>
      <c r="V817" s="62"/>
      <c r="W817" s="62"/>
      <c r="X817" s="62"/>
      <c r="Y817" s="62"/>
      <c r="Z817" s="62" t="s">
        <v>1665</v>
      </c>
      <c r="AA817" s="62" t="s">
        <v>1666</v>
      </c>
      <c r="AB817" s="62" t="n">
        <v>1</v>
      </c>
      <c r="AC817" s="62" t="n">
        <v>0</v>
      </c>
      <c r="AD817" s="62" t="n">
        <v>1</v>
      </c>
      <c r="AE817" s="62" t="n">
        <f aca="false">IF(AND(Dashboard!$C$9="Yes",AC817=1),0,1)</f>
        <v>1</v>
      </c>
      <c r="AF817" s="62" t="n">
        <v>0</v>
      </c>
    </row>
    <row r="818" customFormat="false" ht="15" hidden="false" customHeight="false" outlineLevel="0" collapsed="false">
      <c r="A818" s="62" t="n">
        <v>817</v>
      </c>
      <c r="B818" s="63" t="n">
        <v>46254.8636574074</v>
      </c>
      <c r="C818" s="64" t="n">
        <v>46254</v>
      </c>
      <c r="D818" s="62" t="s">
        <v>202</v>
      </c>
      <c r="E818" s="62" t="s">
        <v>212</v>
      </c>
      <c r="F818" s="62" t="s">
        <v>212</v>
      </c>
      <c r="G818" s="62" t="s">
        <v>213</v>
      </c>
      <c r="H818" s="62" t="s">
        <v>58</v>
      </c>
      <c r="I818" s="62" t="s">
        <v>49</v>
      </c>
      <c r="J818" s="62" t="s">
        <v>146</v>
      </c>
      <c r="K818" s="62" t="s">
        <v>175</v>
      </c>
      <c r="L818" s="62" t="s">
        <v>4</v>
      </c>
      <c r="M818" s="62" t="n">
        <v>1</v>
      </c>
      <c r="N818" s="62" t="n">
        <v>0</v>
      </c>
      <c r="O818" s="62" t="n">
        <v>1</v>
      </c>
      <c r="P818" s="62" t="n">
        <v>0</v>
      </c>
      <c r="Q818" s="62" t="n">
        <v>0</v>
      </c>
      <c r="R818" s="62" t="n">
        <v>0</v>
      </c>
      <c r="S818" s="62" t="n">
        <v>0</v>
      </c>
      <c r="T818" s="62" t="n">
        <v>0</v>
      </c>
      <c r="U818" s="62"/>
      <c r="V818" s="62"/>
      <c r="W818" s="62"/>
      <c r="X818" s="62"/>
      <c r="Y818" s="62"/>
      <c r="Z818" s="62" t="s">
        <v>1667</v>
      </c>
      <c r="AA818" s="62" t="s">
        <v>1668</v>
      </c>
      <c r="AB818" s="62" t="n">
        <v>1</v>
      </c>
      <c r="AC818" s="62" t="n">
        <v>0</v>
      </c>
      <c r="AD818" s="62" t="n">
        <v>1</v>
      </c>
      <c r="AE818" s="62" t="n">
        <f aca="false">IF(AND(Dashboard!$C$9="Yes",AC818=1),0,1)</f>
        <v>1</v>
      </c>
      <c r="AF818" s="62" t="n">
        <v>0</v>
      </c>
    </row>
    <row r="819" customFormat="false" ht="15" hidden="false" customHeight="false" outlineLevel="0" collapsed="false">
      <c r="A819" s="62" t="n">
        <v>818</v>
      </c>
      <c r="B819" s="63" t="n">
        <v>46254.8774189815</v>
      </c>
      <c r="C819" s="64" t="n">
        <v>46254</v>
      </c>
      <c r="D819" s="62" t="s">
        <v>202</v>
      </c>
      <c r="E819" s="62" t="s">
        <v>650</v>
      </c>
      <c r="F819" s="62" t="s">
        <v>650</v>
      </c>
      <c r="G819" s="62" t="s">
        <v>651</v>
      </c>
      <c r="H819" s="62" t="s">
        <v>59</v>
      </c>
      <c r="I819" s="62" t="s">
        <v>47</v>
      </c>
      <c r="J819" s="62" t="s">
        <v>146</v>
      </c>
      <c r="K819" s="62" t="s">
        <v>209</v>
      </c>
      <c r="L819" s="62" t="s">
        <v>148</v>
      </c>
      <c r="M819" s="62" t="n">
        <v>0</v>
      </c>
      <c r="N819" s="62" t="n">
        <v>1</v>
      </c>
      <c r="O819" s="62" t="n">
        <v>1</v>
      </c>
      <c r="P819" s="62" t="n">
        <v>0</v>
      </c>
      <c r="Q819" s="62" t="n">
        <v>1</v>
      </c>
      <c r="R819" s="62" t="n">
        <v>0</v>
      </c>
      <c r="S819" s="62" t="n">
        <v>0</v>
      </c>
      <c r="T819" s="62" t="n">
        <v>0</v>
      </c>
      <c r="U819" s="62"/>
      <c r="V819" s="62"/>
      <c r="W819" s="62"/>
      <c r="X819" s="62"/>
      <c r="Y819" s="62"/>
      <c r="Z819" s="62" t="s">
        <v>1669</v>
      </c>
      <c r="AA819" s="62" t="s">
        <v>1670</v>
      </c>
      <c r="AB819" s="62" t="n">
        <v>1</v>
      </c>
      <c r="AC819" s="62" t="n">
        <v>0</v>
      </c>
      <c r="AD819" s="62" t="n">
        <v>1</v>
      </c>
      <c r="AE819" s="62" t="n">
        <f aca="false">IF(AND(Dashboard!$C$9="Yes",AC819=1),0,1)</f>
        <v>1</v>
      </c>
      <c r="AF819" s="62" t="n">
        <v>1</v>
      </c>
    </row>
    <row r="820" customFormat="false" ht="15" hidden="false" customHeight="false" outlineLevel="0" collapsed="false">
      <c r="A820" s="62" t="n">
        <v>819</v>
      </c>
      <c r="B820" s="63" t="n">
        <v>46254.9628587963</v>
      </c>
      <c r="C820" s="64" t="n">
        <v>46254</v>
      </c>
      <c r="D820" s="62" t="s">
        <v>202</v>
      </c>
      <c r="E820" s="62" t="s">
        <v>212</v>
      </c>
      <c r="F820" s="62" t="s">
        <v>212</v>
      </c>
      <c r="G820" s="62" t="s">
        <v>213</v>
      </c>
      <c r="H820" s="62" t="s">
        <v>58</v>
      </c>
      <c r="I820" s="62" t="s">
        <v>49</v>
      </c>
      <c r="J820" s="62" t="s">
        <v>146</v>
      </c>
      <c r="K820" s="62" t="s">
        <v>175</v>
      </c>
      <c r="L820" s="62" t="s">
        <v>148</v>
      </c>
      <c r="M820" s="62" t="n">
        <v>0</v>
      </c>
      <c r="N820" s="62" t="n">
        <v>1</v>
      </c>
      <c r="O820" s="62" t="n">
        <v>1</v>
      </c>
      <c r="P820" s="62" t="n">
        <v>1</v>
      </c>
      <c r="Q820" s="62" t="n">
        <v>0</v>
      </c>
      <c r="R820" s="62" t="n">
        <v>0</v>
      </c>
      <c r="S820" s="62" t="n">
        <v>0</v>
      </c>
      <c r="T820" s="62" t="n">
        <v>0</v>
      </c>
      <c r="U820" s="62"/>
      <c r="V820" s="62"/>
      <c r="W820" s="62"/>
      <c r="X820" s="62"/>
      <c r="Y820" s="62"/>
      <c r="Z820" s="62" t="s">
        <v>1671</v>
      </c>
      <c r="AA820" s="62" t="s">
        <v>1672</v>
      </c>
      <c r="AB820" s="62" t="n">
        <v>1</v>
      </c>
      <c r="AC820" s="62" t="n">
        <v>0</v>
      </c>
      <c r="AD820" s="62" t="n">
        <v>1</v>
      </c>
      <c r="AE820" s="62" t="n">
        <f aca="false">IF(AND(Dashboard!$C$9="Yes",AC820=1),0,1)</f>
        <v>1</v>
      </c>
      <c r="AF820" s="62" t="n">
        <v>0</v>
      </c>
    </row>
    <row r="821" customFormat="false" ht="15" hidden="false" customHeight="false" outlineLevel="0" collapsed="false">
      <c r="A821" s="62" t="n">
        <v>820</v>
      </c>
      <c r="B821" s="63" t="n">
        <v>46254.978912037</v>
      </c>
      <c r="C821" s="64" t="n">
        <v>46254</v>
      </c>
      <c r="D821" s="62" t="s">
        <v>202</v>
      </c>
      <c r="E821" s="62" t="s">
        <v>967</v>
      </c>
      <c r="F821" s="62" t="s">
        <v>967</v>
      </c>
      <c r="G821" s="62" t="s">
        <v>968</v>
      </c>
      <c r="H821" s="62" t="s">
        <v>46</v>
      </c>
      <c r="I821" s="62" t="s">
        <v>47</v>
      </c>
      <c r="J821" s="62" t="s">
        <v>146</v>
      </c>
      <c r="K821" s="62" t="s">
        <v>209</v>
      </c>
      <c r="L821" s="62" t="s">
        <v>4</v>
      </c>
      <c r="M821" s="62" t="n">
        <v>1</v>
      </c>
      <c r="N821" s="62" t="n">
        <v>0</v>
      </c>
      <c r="O821" s="62" t="n">
        <v>1</v>
      </c>
      <c r="P821" s="62" t="n">
        <v>0</v>
      </c>
      <c r="Q821" s="62" t="n">
        <v>0</v>
      </c>
      <c r="R821" s="62" t="n">
        <v>0</v>
      </c>
      <c r="S821" s="62" t="n">
        <v>0</v>
      </c>
      <c r="T821" s="62" t="n">
        <v>0</v>
      </c>
      <c r="U821" s="62"/>
      <c r="V821" s="62"/>
      <c r="W821" s="62"/>
      <c r="X821" s="62"/>
      <c r="Y821" s="62"/>
      <c r="Z821" s="62" t="s">
        <v>1673</v>
      </c>
      <c r="AA821" s="62" t="s">
        <v>1674</v>
      </c>
      <c r="AB821" s="62" t="n">
        <v>0</v>
      </c>
      <c r="AC821" s="62" t="n">
        <v>0</v>
      </c>
      <c r="AD821" s="62" t="n">
        <v>1</v>
      </c>
      <c r="AE821" s="62" t="n">
        <f aca="false">IF(AND(Dashboard!$C$9="Yes",AC821=1),0,1)</f>
        <v>1</v>
      </c>
      <c r="AF821" s="62" t="n">
        <v>1</v>
      </c>
    </row>
    <row r="822" customFormat="false" ht="15" hidden="false" customHeight="false" outlineLevel="0" collapsed="false">
      <c r="A822" s="62" t="n">
        <v>821</v>
      </c>
      <c r="B822" s="63" t="n">
        <v>46254.9953240741</v>
      </c>
      <c r="C822" s="64" t="n">
        <v>46254</v>
      </c>
      <c r="D822" s="62" t="s">
        <v>202</v>
      </c>
      <c r="E822" s="62" t="s">
        <v>865</v>
      </c>
      <c r="F822" s="62" t="s">
        <v>865</v>
      </c>
      <c r="G822" s="62" t="s">
        <v>866</v>
      </c>
      <c r="H822" s="62" t="s">
        <v>46</v>
      </c>
      <c r="I822" s="62" t="s">
        <v>47</v>
      </c>
      <c r="J822" s="62" t="s">
        <v>146</v>
      </c>
      <c r="K822" s="62" t="s">
        <v>209</v>
      </c>
      <c r="L822" s="62" t="s">
        <v>4</v>
      </c>
      <c r="M822" s="62" t="n">
        <v>1</v>
      </c>
      <c r="N822" s="62" t="n">
        <v>0</v>
      </c>
      <c r="O822" s="62" t="n">
        <v>1</v>
      </c>
      <c r="P822" s="62" t="n">
        <v>0</v>
      </c>
      <c r="Q822" s="62" t="n">
        <v>0</v>
      </c>
      <c r="R822" s="62" t="n">
        <v>0</v>
      </c>
      <c r="S822" s="62" t="n">
        <v>0</v>
      </c>
      <c r="T822" s="62" t="n">
        <v>0</v>
      </c>
      <c r="U822" s="62"/>
      <c r="V822" s="62"/>
      <c r="W822" s="62"/>
      <c r="X822" s="62"/>
      <c r="Y822" s="62"/>
      <c r="Z822" s="62" t="s">
        <v>1675</v>
      </c>
      <c r="AA822" s="62" t="s">
        <v>1676</v>
      </c>
      <c r="AB822" s="62" t="n">
        <v>1</v>
      </c>
      <c r="AC822" s="62" t="n">
        <v>0</v>
      </c>
      <c r="AD822" s="62" t="n">
        <v>1</v>
      </c>
      <c r="AE822" s="62" t="n">
        <f aca="false">IF(AND(Dashboard!$C$9="Yes",AC822=1),0,1)</f>
        <v>1</v>
      </c>
      <c r="AF822" s="62" t="n">
        <v>1</v>
      </c>
    </row>
    <row r="823" customFormat="false" ht="15" hidden="false" customHeight="false" outlineLevel="0" collapsed="false">
      <c r="A823" s="62" t="n">
        <v>822</v>
      </c>
      <c r="B823" s="63" t="n">
        <v>46255.0301736111</v>
      </c>
      <c r="C823" s="64" t="n">
        <v>46254</v>
      </c>
      <c r="D823" s="62" t="s">
        <v>202</v>
      </c>
      <c r="E823" s="62" t="s">
        <v>790</v>
      </c>
      <c r="F823" s="62" t="s">
        <v>791</v>
      </c>
      <c r="G823" s="62" t="s">
        <v>153</v>
      </c>
      <c r="H823" s="62" t="s">
        <v>153</v>
      </c>
      <c r="I823" s="62" t="s">
        <v>153</v>
      </c>
      <c r="J823" s="62" t="s">
        <v>64</v>
      </c>
      <c r="K823" s="62" t="s">
        <v>64</v>
      </c>
      <c r="L823" s="62" t="s">
        <v>4</v>
      </c>
      <c r="M823" s="62" t="n">
        <v>1</v>
      </c>
      <c r="N823" s="62" t="n">
        <v>0</v>
      </c>
      <c r="O823" s="62" t="n">
        <v>1</v>
      </c>
      <c r="P823" s="62" t="n">
        <v>0</v>
      </c>
      <c r="Q823" s="62" t="n">
        <v>0</v>
      </c>
      <c r="R823" s="62" t="n">
        <v>0</v>
      </c>
      <c r="S823" s="62" t="n">
        <v>0</v>
      </c>
      <c r="T823" s="62" t="n">
        <v>0</v>
      </c>
      <c r="U823" s="62"/>
      <c r="V823" s="62"/>
      <c r="W823" s="62"/>
      <c r="X823" s="62"/>
      <c r="Y823" s="62"/>
      <c r="Z823" s="62" t="s">
        <v>1677</v>
      </c>
      <c r="AA823" s="62" t="s">
        <v>1678</v>
      </c>
      <c r="AB823" s="62" t="n">
        <v>1</v>
      </c>
      <c r="AC823" s="62" t="n">
        <v>0</v>
      </c>
      <c r="AD823" s="62" t="n">
        <v>0</v>
      </c>
      <c r="AE823" s="62" t="n">
        <f aca="false">IF(AND(Dashboard!$C$9="Yes",AC823=1),0,1)</f>
        <v>1</v>
      </c>
      <c r="AF823" s="62" t="n">
        <v>1</v>
      </c>
    </row>
    <row r="824" customFormat="false" ht="15" hidden="false" customHeight="false" outlineLevel="0" collapsed="false">
      <c r="A824" s="62" t="n">
        <v>823</v>
      </c>
      <c r="B824" s="63" t="n">
        <v>46255.0609606481</v>
      </c>
      <c r="C824" s="64" t="n">
        <v>46254</v>
      </c>
      <c r="D824" s="62" t="s">
        <v>202</v>
      </c>
      <c r="E824" s="62" t="s">
        <v>865</v>
      </c>
      <c r="F824" s="62" t="s">
        <v>865</v>
      </c>
      <c r="G824" s="62" t="s">
        <v>866</v>
      </c>
      <c r="H824" s="62" t="s">
        <v>46</v>
      </c>
      <c r="I824" s="62" t="s">
        <v>47</v>
      </c>
      <c r="J824" s="62" t="s">
        <v>146</v>
      </c>
      <c r="K824" s="62" t="s">
        <v>209</v>
      </c>
      <c r="L824" s="62" t="s">
        <v>148</v>
      </c>
      <c r="M824" s="62" t="n">
        <v>0</v>
      </c>
      <c r="N824" s="62" t="n">
        <v>1</v>
      </c>
      <c r="O824" s="62" t="n">
        <v>1</v>
      </c>
      <c r="P824" s="62" t="n">
        <v>0</v>
      </c>
      <c r="Q824" s="62" t="n">
        <v>1</v>
      </c>
      <c r="R824" s="62" t="n">
        <v>0</v>
      </c>
      <c r="S824" s="62" t="n">
        <v>0</v>
      </c>
      <c r="T824" s="62" t="n">
        <v>0</v>
      </c>
      <c r="U824" s="62"/>
      <c r="V824" s="62"/>
      <c r="W824" s="62"/>
      <c r="X824" s="62"/>
      <c r="Y824" s="62"/>
      <c r="Z824" s="62" t="s">
        <v>1679</v>
      </c>
      <c r="AA824" s="62" t="s">
        <v>1680</v>
      </c>
      <c r="AB824" s="62" t="n">
        <v>1</v>
      </c>
      <c r="AC824" s="62" t="n">
        <v>0</v>
      </c>
      <c r="AD824" s="62" t="n">
        <v>1</v>
      </c>
      <c r="AE824" s="62" t="n">
        <f aca="false">IF(AND(Dashboard!$C$9="Yes",AC824=1),0,1)</f>
        <v>1</v>
      </c>
      <c r="AF824" s="62" t="n">
        <v>0</v>
      </c>
    </row>
    <row r="825" customFormat="false" ht="15" hidden="false" customHeight="false" outlineLevel="0" collapsed="false">
      <c r="A825" s="62" t="n">
        <v>824</v>
      </c>
      <c r="B825" s="63" t="n">
        <v>46255.0987037037</v>
      </c>
      <c r="C825" s="64" t="n">
        <v>46254</v>
      </c>
      <c r="D825" s="62" t="s">
        <v>202</v>
      </c>
      <c r="E825" s="62" t="s">
        <v>865</v>
      </c>
      <c r="F825" s="62" t="s">
        <v>865</v>
      </c>
      <c r="G825" s="62" t="s">
        <v>866</v>
      </c>
      <c r="H825" s="62" t="s">
        <v>46</v>
      </c>
      <c r="I825" s="62" t="s">
        <v>47</v>
      </c>
      <c r="J825" s="62" t="s">
        <v>146</v>
      </c>
      <c r="K825" s="62" t="s">
        <v>209</v>
      </c>
      <c r="L825" s="62" t="s">
        <v>148</v>
      </c>
      <c r="M825" s="62" t="n">
        <v>0</v>
      </c>
      <c r="N825" s="62" t="n">
        <v>1</v>
      </c>
      <c r="O825" s="62" t="n">
        <v>1</v>
      </c>
      <c r="P825" s="62" t="n">
        <v>0</v>
      </c>
      <c r="Q825" s="62" t="n">
        <v>0</v>
      </c>
      <c r="R825" s="62" t="n">
        <v>1</v>
      </c>
      <c r="S825" s="62" t="n">
        <v>0</v>
      </c>
      <c r="T825" s="62" t="n">
        <v>0</v>
      </c>
      <c r="U825" s="62"/>
      <c r="V825" s="62"/>
      <c r="W825" s="62"/>
      <c r="X825" s="62"/>
      <c r="Y825" s="62"/>
      <c r="Z825" s="62" t="s">
        <v>1681</v>
      </c>
      <c r="AA825" s="62" t="s">
        <v>1682</v>
      </c>
      <c r="AB825" s="62" t="n">
        <v>1</v>
      </c>
      <c r="AC825" s="62" t="n">
        <v>0</v>
      </c>
      <c r="AD825" s="62" t="n">
        <v>1</v>
      </c>
      <c r="AE825" s="62" t="n">
        <f aca="false">IF(AND(Dashboard!$C$9="Yes",AC825=1),0,1)</f>
        <v>1</v>
      </c>
      <c r="AF825" s="62" t="n">
        <v>0</v>
      </c>
    </row>
    <row r="826" customFormat="false" ht="15" hidden="false" customHeight="false" outlineLevel="0" collapsed="false">
      <c r="A826" s="62" t="n">
        <v>825</v>
      </c>
      <c r="B826" s="63" t="n">
        <v>46255.1912847222</v>
      </c>
      <c r="C826" s="64" t="n">
        <v>46254</v>
      </c>
      <c r="D826" s="62" t="s">
        <v>202</v>
      </c>
      <c r="E826" s="62" t="s">
        <v>790</v>
      </c>
      <c r="F826" s="62" t="s">
        <v>791</v>
      </c>
      <c r="G826" s="62" t="s">
        <v>153</v>
      </c>
      <c r="H826" s="62" t="s">
        <v>153</v>
      </c>
      <c r="I826" s="62" t="s">
        <v>153</v>
      </c>
      <c r="J826" s="62" t="s">
        <v>64</v>
      </c>
      <c r="K826" s="62" t="s">
        <v>64</v>
      </c>
      <c r="L826" s="62" t="s">
        <v>148</v>
      </c>
      <c r="M826" s="62" t="n">
        <v>0</v>
      </c>
      <c r="N826" s="62" t="n">
        <v>1</v>
      </c>
      <c r="O826" s="62" t="n">
        <v>1</v>
      </c>
      <c r="P826" s="62" t="n">
        <v>1</v>
      </c>
      <c r="Q826" s="62" t="n">
        <v>0</v>
      </c>
      <c r="R826" s="62" t="n">
        <v>0</v>
      </c>
      <c r="S826" s="62" t="n">
        <v>0</v>
      </c>
      <c r="T826" s="62" t="n">
        <v>0</v>
      </c>
      <c r="U826" s="62"/>
      <c r="V826" s="62"/>
      <c r="W826" s="62"/>
      <c r="X826" s="62"/>
      <c r="Y826" s="62"/>
      <c r="Z826" s="62" t="s">
        <v>1683</v>
      </c>
      <c r="AA826" s="62" t="s">
        <v>1684</v>
      </c>
      <c r="AB826" s="62" t="n">
        <v>1</v>
      </c>
      <c r="AC826" s="62" t="n">
        <v>0</v>
      </c>
      <c r="AD826" s="62" t="n">
        <v>0</v>
      </c>
      <c r="AE826" s="62" t="n">
        <f aca="false">IF(AND(Dashboard!$C$9="Yes",AC826=1),0,1)</f>
        <v>1</v>
      </c>
      <c r="AF826" s="62" t="n">
        <v>0</v>
      </c>
    </row>
    <row r="827" customFormat="false" ht="15" hidden="false" customHeight="false" outlineLevel="0" collapsed="false">
      <c r="A827" s="62" t="n">
        <v>826</v>
      </c>
      <c r="B827" s="63" t="n">
        <v>46255.196400463</v>
      </c>
      <c r="C827" s="64" t="n">
        <v>46254</v>
      </c>
      <c r="D827" s="62" t="s">
        <v>202</v>
      </c>
      <c r="E827" s="62" t="s">
        <v>1382</v>
      </c>
      <c r="F827" s="62" t="s">
        <v>1382</v>
      </c>
      <c r="G827" s="62" t="s">
        <v>1383</v>
      </c>
      <c r="H827" s="62" t="s">
        <v>58</v>
      </c>
      <c r="I827" s="62" t="s">
        <v>49</v>
      </c>
      <c r="J827" s="62" t="s">
        <v>146</v>
      </c>
      <c r="K827" s="62" t="s">
        <v>175</v>
      </c>
      <c r="L827" s="62" t="s">
        <v>4</v>
      </c>
      <c r="M827" s="62" t="n">
        <v>1</v>
      </c>
      <c r="N827" s="62" t="n">
        <v>0</v>
      </c>
      <c r="O827" s="62" t="n">
        <v>1</v>
      </c>
      <c r="P827" s="62" t="n">
        <v>0</v>
      </c>
      <c r="Q827" s="62" t="n">
        <v>0</v>
      </c>
      <c r="R827" s="62" t="n">
        <v>0</v>
      </c>
      <c r="S827" s="62" t="n">
        <v>0</v>
      </c>
      <c r="T827" s="62" t="n">
        <v>0</v>
      </c>
      <c r="U827" s="62"/>
      <c r="V827" s="62"/>
      <c r="W827" s="62"/>
      <c r="X827" s="62"/>
      <c r="Y827" s="62"/>
      <c r="Z827" s="62" t="s">
        <v>1685</v>
      </c>
      <c r="AA827" s="62" t="s">
        <v>1686</v>
      </c>
      <c r="AB827" s="62" t="n">
        <v>1</v>
      </c>
      <c r="AC827" s="62" t="n">
        <v>0</v>
      </c>
      <c r="AD827" s="62" t="n">
        <v>1</v>
      </c>
      <c r="AE827" s="62" t="n">
        <f aca="false">IF(AND(Dashboard!$C$9="Yes",AC827=1),0,1)</f>
        <v>1</v>
      </c>
      <c r="AF827" s="62" t="n">
        <v>1</v>
      </c>
    </row>
    <row r="828" customFormat="false" ht="15" hidden="false" customHeight="false" outlineLevel="0" collapsed="false">
      <c r="A828" s="62" t="n">
        <v>827</v>
      </c>
      <c r="B828" s="63" t="n">
        <v>46255.2250462963</v>
      </c>
      <c r="C828" s="64" t="n">
        <v>46254</v>
      </c>
      <c r="D828" s="62" t="s">
        <v>202</v>
      </c>
      <c r="E828" s="62" t="s">
        <v>228</v>
      </c>
      <c r="F828" s="62" t="s">
        <v>229</v>
      </c>
      <c r="G828" s="62" t="s">
        <v>153</v>
      </c>
      <c r="H828" s="62" t="s">
        <v>153</v>
      </c>
      <c r="I828" s="62" t="s">
        <v>153</v>
      </c>
      <c r="J828" s="62" t="s">
        <v>64</v>
      </c>
      <c r="K828" s="62" t="s">
        <v>64</v>
      </c>
      <c r="L828" s="62" t="s">
        <v>148</v>
      </c>
      <c r="M828" s="62" t="n">
        <v>0</v>
      </c>
      <c r="N828" s="62" t="n">
        <v>1</v>
      </c>
      <c r="O828" s="62" t="n">
        <v>1</v>
      </c>
      <c r="P828" s="62" t="n">
        <v>1</v>
      </c>
      <c r="Q828" s="62" t="n">
        <v>0</v>
      </c>
      <c r="R828" s="62" t="n">
        <v>0</v>
      </c>
      <c r="S828" s="62" t="n">
        <v>0</v>
      </c>
      <c r="T828" s="62" t="n">
        <v>0</v>
      </c>
      <c r="U828" s="62"/>
      <c r="V828" s="62"/>
      <c r="W828" s="62"/>
      <c r="X828" s="62"/>
      <c r="Y828" s="62"/>
      <c r="Z828" s="62" t="s">
        <v>1687</v>
      </c>
      <c r="AA828" s="62" t="s">
        <v>1688</v>
      </c>
      <c r="AB828" s="62" t="n">
        <v>1</v>
      </c>
      <c r="AC828" s="62" t="n">
        <v>0</v>
      </c>
      <c r="AD828" s="62" t="n">
        <v>0</v>
      </c>
      <c r="AE828" s="62" t="n">
        <f aca="false">IF(AND(Dashboard!$C$9="Yes",AC828=1),0,1)</f>
        <v>1</v>
      </c>
      <c r="AF828" s="62" t="n">
        <v>1</v>
      </c>
    </row>
    <row r="829" customFormat="false" ht="15" hidden="false" customHeight="false" outlineLevel="0" collapsed="false">
      <c r="A829" s="62" t="n">
        <v>828</v>
      </c>
      <c r="B829" s="63" t="n">
        <v>46255.6659375</v>
      </c>
      <c r="C829" s="64" t="n">
        <v>46255</v>
      </c>
      <c r="D829" s="62" t="s">
        <v>288</v>
      </c>
      <c r="E829" s="62" t="s">
        <v>203</v>
      </c>
      <c r="F829" s="62" t="s">
        <v>203</v>
      </c>
      <c r="G829" s="62" t="s">
        <v>204</v>
      </c>
      <c r="H829" s="62" t="s">
        <v>51</v>
      </c>
      <c r="I829" s="62" t="s">
        <v>47</v>
      </c>
      <c r="J829" s="62" t="s">
        <v>146</v>
      </c>
      <c r="K829" s="62" t="s">
        <v>147</v>
      </c>
      <c r="L829" s="62" t="s">
        <v>148</v>
      </c>
      <c r="M829" s="62" t="n">
        <v>0</v>
      </c>
      <c r="N829" s="62" t="n">
        <v>1</v>
      </c>
      <c r="O829" s="62" t="n">
        <v>1</v>
      </c>
      <c r="P829" s="62" t="n">
        <v>0</v>
      </c>
      <c r="Q829" s="62" t="n">
        <v>0</v>
      </c>
      <c r="R829" s="62" t="n">
        <v>1</v>
      </c>
      <c r="S829" s="62" t="n">
        <v>0</v>
      </c>
      <c r="T829" s="62" t="n">
        <v>0</v>
      </c>
      <c r="U829" s="62"/>
      <c r="V829" s="62"/>
      <c r="W829" s="62"/>
      <c r="X829" s="62"/>
      <c r="Y829" s="62"/>
      <c r="Z829" s="62" t="s">
        <v>1689</v>
      </c>
      <c r="AA829" s="62" t="s">
        <v>485</v>
      </c>
      <c r="AB829" s="62" t="n">
        <v>0</v>
      </c>
      <c r="AC829" s="62" t="n">
        <v>0</v>
      </c>
      <c r="AD829" s="62" t="n">
        <v>1</v>
      </c>
      <c r="AE829" s="62" t="n">
        <f aca="false">IF(AND(Dashboard!$C$9="Yes",AC829=1),0,1)</f>
        <v>1</v>
      </c>
      <c r="AF829" s="62" t="n">
        <v>1</v>
      </c>
    </row>
    <row r="830" customFormat="false" ht="15" hidden="false" customHeight="false" outlineLevel="0" collapsed="false">
      <c r="A830" s="62" t="n">
        <v>829</v>
      </c>
      <c r="B830" s="63" t="n">
        <v>46255.6669444444</v>
      </c>
      <c r="C830" s="64" t="n">
        <v>46255</v>
      </c>
      <c r="D830" s="62" t="s">
        <v>288</v>
      </c>
      <c r="E830" s="62" t="s">
        <v>939</v>
      </c>
      <c r="F830" s="62" t="s">
        <v>939</v>
      </c>
      <c r="G830" s="62" t="s">
        <v>940</v>
      </c>
      <c r="H830" s="62" t="s">
        <v>57</v>
      </c>
      <c r="I830" s="62" t="s">
        <v>47</v>
      </c>
      <c r="J830" s="62" t="s">
        <v>146</v>
      </c>
      <c r="K830" s="62" t="s">
        <v>147</v>
      </c>
      <c r="L830" s="62" t="s">
        <v>148</v>
      </c>
      <c r="M830" s="62" t="n">
        <v>0</v>
      </c>
      <c r="N830" s="62" t="n">
        <v>1</v>
      </c>
      <c r="O830" s="62" t="n">
        <v>1</v>
      </c>
      <c r="P830" s="62" t="n">
        <v>0</v>
      </c>
      <c r="Q830" s="62" t="n">
        <v>1</v>
      </c>
      <c r="R830" s="62" t="n">
        <v>0</v>
      </c>
      <c r="S830" s="62" t="n">
        <v>0</v>
      </c>
      <c r="T830" s="62" t="n">
        <v>0</v>
      </c>
      <c r="U830" s="62"/>
      <c r="V830" s="62"/>
      <c r="W830" s="62"/>
      <c r="X830" s="62"/>
      <c r="Y830" s="62"/>
      <c r="Z830" s="62" t="s">
        <v>1690</v>
      </c>
      <c r="AA830" s="62" t="s">
        <v>1691</v>
      </c>
      <c r="AB830" s="62" t="n">
        <v>1</v>
      </c>
      <c r="AC830" s="62" t="n">
        <v>0</v>
      </c>
      <c r="AD830" s="62" t="n">
        <v>1</v>
      </c>
      <c r="AE830" s="62" t="n">
        <f aca="false">IF(AND(Dashboard!$C$9="Yes",AC830=1),0,1)</f>
        <v>1</v>
      </c>
      <c r="AF830" s="62" t="n">
        <v>1</v>
      </c>
    </row>
    <row r="831" customFormat="false" ht="15" hidden="false" customHeight="false" outlineLevel="0" collapsed="false">
      <c r="A831" s="62" t="n">
        <v>830</v>
      </c>
      <c r="B831" s="63" t="n">
        <v>46255.6906481482</v>
      </c>
      <c r="C831" s="64" t="n">
        <v>46255</v>
      </c>
      <c r="D831" s="62" t="s">
        <v>288</v>
      </c>
      <c r="E831" s="62" t="s">
        <v>650</v>
      </c>
      <c r="F831" s="62" t="s">
        <v>650</v>
      </c>
      <c r="G831" s="62" t="s">
        <v>651</v>
      </c>
      <c r="H831" s="62" t="s">
        <v>59</v>
      </c>
      <c r="I831" s="62" t="s">
        <v>47</v>
      </c>
      <c r="J831" s="62" t="s">
        <v>146</v>
      </c>
      <c r="K831" s="62" t="s">
        <v>209</v>
      </c>
      <c r="L831" s="62" t="s">
        <v>148</v>
      </c>
      <c r="M831" s="62" t="n">
        <v>0</v>
      </c>
      <c r="N831" s="62" t="n">
        <v>1</v>
      </c>
      <c r="O831" s="62" t="n">
        <v>1</v>
      </c>
      <c r="P831" s="62" t="n">
        <v>1</v>
      </c>
      <c r="Q831" s="62" t="n">
        <v>0</v>
      </c>
      <c r="R831" s="62" t="n">
        <v>0</v>
      </c>
      <c r="S831" s="62" t="n">
        <v>0</v>
      </c>
      <c r="T831" s="62" t="n">
        <v>0</v>
      </c>
      <c r="U831" s="62"/>
      <c r="V831" s="62"/>
      <c r="W831" s="62"/>
      <c r="X831" s="62"/>
      <c r="Y831" s="62"/>
      <c r="Z831" s="62" t="s">
        <v>1692</v>
      </c>
      <c r="AA831" s="62" t="s">
        <v>1693</v>
      </c>
      <c r="AB831" s="62" t="n">
        <v>1</v>
      </c>
      <c r="AC831" s="62" t="n">
        <v>0</v>
      </c>
      <c r="AD831" s="62" t="n">
        <v>1</v>
      </c>
      <c r="AE831" s="62" t="n">
        <f aca="false">IF(AND(Dashboard!$C$9="Yes",AC831=1),0,1)</f>
        <v>1</v>
      </c>
      <c r="AF831" s="62" t="n">
        <v>1</v>
      </c>
    </row>
    <row r="832" customFormat="false" ht="15" hidden="false" customHeight="false" outlineLevel="0" collapsed="false">
      <c r="A832" s="62" t="n">
        <v>831</v>
      </c>
      <c r="B832" s="63" t="n">
        <v>46255.6962615741</v>
      </c>
      <c r="C832" s="64" t="n">
        <v>46255</v>
      </c>
      <c r="D832" s="62" t="s">
        <v>288</v>
      </c>
      <c r="E832" s="62" t="s">
        <v>151</v>
      </c>
      <c r="F832" s="62" t="s">
        <v>152</v>
      </c>
      <c r="G832" s="62" t="s">
        <v>153</v>
      </c>
      <c r="H832" s="62" t="s">
        <v>153</v>
      </c>
      <c r="I832" s="62" t="s">
        <v>153</v>
      </c>
      <c r="J832" s="62" t="s">
        <v>64</v>
      </c>
      <c r="K832" s="62" t="s">
        <v>64</v>
      </c>
      <c r="L832" s="62" t="s">
        <v>4</v>
      </c>
      <c r="M832" s="62" t="n">
        <v>1</v>
      </c>
      <c r="N832" s="62" t="n">
        <v>0</v>
      </c>
      <c r="O832" s="62" t="n">
        <v>1</v>
      </c>
      <c r="P832" s="62" t="n">
        <v>0</v>
      </c>
      <c r="Q832" s="62" t="n">
        <v>0</v>
      </c>
      <c r="R832" s="62" t="n">
        <v>0</v>
      </c>
      <c r="S832" s="62" t="n">
        <v>0</v>
      </c>
      <c r="T832" s="62" t="n">
        <v>0</v>
      </c>
      <c r="U832" s="62"/>
      <c r="V832" s="62"/>
      <c r="W832" s="62"/>
      <c r="X832" s="62"/>
      <c r="Y832" s="62"/>
      <c r="Z832" s="62" t="s">
        <v>1694</v>
      </c>
      <c r="AA832" s="62" t="s">
        <v>1695</v>
      </c>
      <c r="AB832" s="62" t="n">
        <v>1</v>
      </c>
      <c r="AC832" s="62" t="n">
        <v>0</v>
      </c>
      <c r="AD832" s="62" t="n">
        <v>0</v>
      </c>
      <c r="AE832" s="62" t="n">
        <f aca="false">IF(AND(Dashboard!$C$9="Yes",AC832=1),0,1)</f>
        <v>1</v>
      </c>
      <c r="AF832" s="62" t="n">
        <v>1</v>
      </c>
    </row>
    <row r="833" customFormat="false" ht="15" hidden="false" customHeight="false" outlineLevel="0" collapsed="false">
      <c r="A833" s="62" t="n">
        <v>832</v>
      </c>
      <c r="B833" s="63" t="n">
        <v>46255.7575231482</v>
      </c>
      <c r="C833" s="64" t="n">
        <v>46255</v>
      </c>
      <c r="D833" s="62" t="s">
        <v>288</v>
      </c>
      <c r="E833" s="62" t="s">
        <v>255</v>
      </c>
      <c r="F833" s="62" t="s">
        <v>255</v>
      </c>
      <c r="G833" s="62" t="s">
        <v>256</v>
      </c>
      <c r="H833" s="62" t="s">
        <v>57</v>
      </c>
      <c r="I833" s="62" t="s">
        <v>47</v>
      </c>
      <c r="J833" s="62" t="s">
        <v>146</v>
      </c>
      <c r="K833" s="62" t="s">
        <v>147</v>
      </c>
      <c r="L833" s="62" t="s">
        <v>148</v>
      </c>
      <c r="M833" s="62" t="n">
        <v>0</v>
      </c>
      <c r="N833" s="62" t="n">
        <v>1</v>
      </c>
      <c r="O833" s="62" t="n">
        <v>1</v>
      </c>
      <c r="P833" s="62" t="n">
        <v>0</v>
      </c>
      <c r="Q833" s="62" t="n">
        <v>1</v>
      </c>
      <c r="R833" s="62" t="n">
        <v>0</v>
      </c>
      <c r="S833" s="62" t="n">
        <v>0</v>
      </c>
      <c r="T833" s="62" t="n">
        <v>0</v>
      </c>
      <c r="U833" s="62"/>
      <c r="V833" s="62"/>
      <c r="W833" s="62"/>
      <c r="X833" s="62"/>
      <c r="Y833" s="62"/>
      <c r="Z833" s="62" t="s">
        <v>1696</v>
      </c>
      <c r="AA833" s="62" t="s">
        <v>1697</v>
      </c>
      <c r="AB833" s="62" t="n">
        <v>1</v>
      </c>
      <c r="AC833" s="62" t="n">
        <v>0</v>
      </c>
      <c r="AD833" s="62" t="n">
        <v>1</v>
      </c>
      <c r="AE833" s="62" t="n">
        <f aca="false">IF(AND(Dashboard!$C$9="Yes",AC833=1),0,1)</f>
        <v>1</v>
      </c>
      <c r="AF833" s="62" t="n">
        <v>1</v>
      </c>
    </row>
    <row r="834" customFormat="false" ht="15" hidden="false" customHeight="false" outlineLevel="0" collapsed="false">
      <c r="A834" s="62" t="n">
        <v>833</v>
      </c>
      <c r="B834" s="63" t="n">
        <v>46255.8060763889</v>
      </c>
      <c r="C834" s="64" t="n">
        <v>46255</v>
      </c>
      <c r="D834" s="62" t="s">
        <v>288</v>
      </c>
      <c r="E834" s="62" t="s">
        <v>212</v>
      </c>
      <c r="F834" s="62" t="s">
        <v>212</v>
      </c>
      <c r="G834" s="62" t="s">
        <v>213</v>
      </c>
      <c r="H834" s="62" t="s">
        <v>58</v>
      </c>
      <c r="I834" s="62" t="s">
        <v>49</v>
      </c>
      <c r="J834" s="62" t="s">
        <v>146</v>
      </c>
      <c r="K834" s="62" t="s">
        <v>175</v>
      </c>
      <c r="L834" s="62" t="s">
        <v>4</v>
      </c>
      <c r="M834" s="62" t="n">
        <v>1</v>
      </c>
      <c r="N834" s="62" t="n">
        <v>0</v>
      </c>
      <c r="O834" s="62" t="n">
        <v>1</v>
      </c>
      <c r="P834" s="62" t="n">
        <v>0</v>
      </c>
      <c r="Q834" s="62" t="n">
        <v>0</v>
      </c>
      <c r="R834" s="62" t="n">
        <v>0</v>
      </c>
      <c r="S834" s="62" t="n">
        <v>0</v>
      </c>
      <c r="T834" s="62" t="n">
        <v>0</v>
      </c>
      <c r="U834" s="62"/>
      <c r="V834" s="62"/>
      <c r="W834" s="62"/>
      <c r="X834" s="62"/>
      <c r="Y834" s="62"/>
      <c r="Z834" s="62" t="s">
        <v>1698</v>
      </c>
      <c r="AA834" s="62" t="s">
        <v>1699</v>
      </c>
      <c r="AB834" s="62" t="n">
        <v>1</v>
      </c>
      <c r="AC834" s="62" t="n">
        <v>0</v>
      </c>
      <c r="AD834" s="62" t="n">
        <v>1</v>
      </c>
      <c r="AE834" s="62" t="n">
        <f aca="false">IF(AND(Dashboard!$C$9="Yes",AC834=1),0,1)</f>
        <v>1</v>
      </c>
      <c r="AF834" s="62" t="n">
        <v>1</v>
      </c>
    </row>
    <row r="835" customFormat="false" ht="15" hidden="false" customHeight="false" outlineLevel="0" collapsed="false">
      <c r="A835" s="62" t="n">
        <v>834</v>
      </c>
      <c r="B835" s="63" t="n">
        <v>46255.8163194444</v>
      </c>
      <c r="C835" s="64" t="n">
        <v>46255</v>
      </c>
      <c r="D835" s="62" t="s">
        <v>288</v>
      </c>
      <c r="E835" s="62" t="s">
        <v>218</v>
      </c>
      <c r="F835" s="62" t="s">
        <v>218</v>
      </c>
      <c r="G835" s="62" t="s">
        <v>219</v>
      </c>
      <c r="H835" s="62" t="s">
        <v>51</v>
      </c>
      <c r="I835" s="62" t="s">
        <v>47</v>
      </c>
      <c r="J835" s="62" t="s">
        <v>146</v>
      </c>
      <c r="K835" s="62" t="s">
        <v>147</v>
      </c>
      <c r="L835" s="62" t="s">
        <v>148</v>
      </c>
      <c r="M835" s="62" t="n">
        <v>0</v>
      </c>
      <c r="N835" s="62" t="n">
        <v>1</v>
      </c>
      <c r="O835" s="62" t="n">
        <v>1</v>
      </c>
      <c r="P835" s="62" t="n">
        <v>0</v>
      </c>
      <c r="Q835" s="62" t="n">
        <v>0</v>
      </c>
      <c r="R835" s="62" t="n">
        <v>1</v>
      </c>
      <c r="S835" s="62" t="n">
        <v>0</v>
      </c>
      <c r="T835" s="62" t="n">
        <v>0</v>
      </c>
      <c r="U835" s="62"/>
      <c r="V835" s="62"/>
      <c r="W835" s="62"/>
      <c r="X835" s="62"/>
      <c r="Y835" s="62"/>
      <c r="Z835" s="62" t="s">
        <v>1700</v>
      </c>
      <c r="AA835" s="62" t="s">
        <v>1701</v>
      </c>
      <c r="AB835" s="62" t="n">
        <v>1</v>
      </c>
      <c r="AC835" s="62" t="n">
        <v>0</v>
      </c>
      <c r="AD835" s="62" t="n">
        <v>1</v>
      </c>
      <c r="AE835" s="62" t="n">
        <f aca="false">IF(AND(Dashboard!$C$9="Yes",AC835=1),0,1)</f>
        <v>1</v>
      </c>
      <c r="AF835" s="62" t="n">
        <v>1</v>
      </c>
    </row>
    <row r="836" customFormat="false" ht="15" hidden="false" customHeight="false" outlineLevel="0" collapsed="false">
      <c r="A836" s="62" t="n">
        <v>835</v>
      </c>
      <c r="B836" s="63" t="n">
        <v>46255.8639351852</v>
      </c>
      <c r="C836" s="64" t="n">
        <v>46255</v>
      </c>
      <c r="D836" s="62" t="s">
        <v>288</v>
      </c>
      <c r="E836" s="62" t="s">
        <v>1616</v>
      </c>
      <c r="F836" s="62" t="s">
        <v>1616</v>
      </c>
      <c r="G836" s="62" t="s">
        <v>1617</v>
      </c>
      <c r="H836" s="62" t="s">
        <v>51</v>
      </c>
      <c r="I836" s="62" t="s">
        <v>47</v>
      </c>
      <c r="J836" s="62" t="s">
        <v>146</v>
      </c>
      <c r="K836" s="62" t="s">
        <v>175</v>
      </c>
      <c r="L836" s="62" t="s">
        <v>148</v>
      </c>
      <c r="M836" s="62" t="n">
        <v>0</v>
      </c>
      <c r="N836" s="62" t="n">
        <v>2</v>
      </c>
      <c r="O836" s="62" t="n">
        <v>2</v>
      </c>
      <c r="P836" s="62" t="n">
        <v>0</v>
      </c>
      <c r="Q836" s="62" t="n">
        <v>0</v>
      </c>
      <c r="R836" s="62" t="n">
        <v>0</v>
      </c>
      <c r="S836" s="62" t="n">
        <v>1</v>
      </c>
      <c r="T836" s="62" t="n">
        <v>1</v>
      </c>
      <c r="U836" s="62"/>
      <c r="V836" s="62"/>
      <c r="W836" s="62"/>
      <c r="X836" s="62"/>
      <c r="Y836" s="62"/>
      <c r="Z836" s="62" t="s">
        <v>1702</v>
      </c>
      <c r="AA836" s="62" t="s">
        <v>1703</v>
      </c>
      <c r="AB836" s="62" t="n">
        <v>1</v>
      </c>
      <c r="AC836" s="62" t="n">
        <v>0</v>
      </c>
      <c r="AD836" s="62" t="n">
        <v>1</v>
      </c>
      <c r="AE836" s="62" t="n">
        <f aca="false">IF(AND(Dashboard!$C$9="Yes",AC836=1),0,1)</f>
        <v>1</v>
      </c>
      <c r="AF836" s="62" t="n">
        <v>1</v>
      </c>
    </row>
    <row r="837" customFormat="false" ht="15" hidden="false" customHeight="false" outlineLevel="0" collapsed="false">
      <c r="A837" s="62" t="n">
        <v>836</v>
      </c>
      <c r="B837" s="63" t="n">
        <v>46255.8858217593</v>
      </c>
      <c r="C837" s="64" t="n">
        <v>46255</v>
      </c>
      <c r="D837" s="62" t="s">
        <v>288</v>
      </c>
      <c r="E837" s="62" t="s">
        <v>218</v>
      </c>
      <c r="F837" s="62" t="s">
        <v>218</v>
      </c>
      <c r="G837" s="62" t="s">
        <v>219</v>
      </c>
      <c r="H837" s="62" t="s">
        <v>51</v>
      </c>
      <c r="I837" s="62" t="s">
        <v>47</v>
      </c>
      <c r="J837" s="62" t="s">
        <v>146</v>
      </c>
      <c r="K837" s="62" t="s">
        <v>147</v>
      </c>
      <c r="L837" s="62" t="s">
        <v>148</v>
      </c>
      <c r="M837" s="62" t="n">
        <v>0</v>
      </c>
      <c r="N837" s="62" t="n">
        <v>2</v>
      </c>
      <c r="O837" s="62" t="n">
        <v>2</v>
      </c>
      <c r="P837" s="62" t="n">
        <v>1</v>
      </c>
      <c r="Q837" s="62" t="n">
        <v>0</v>
      </c>
      <c r="R837" s="62" t="n">
        <v>1</v>
      </c>
      <c r="S837" s="62" t="n">
        <v>0</v>
      </c>
      <c r="T837" s="62" t="n">
        <v>0</v>
      </c>
      <c r="U837" s="62"/>
      <c r="V837" s="62"/>
      <c r="W837" s="62"/>
      <c r="X837" s="62"/>
      <c r="Y837" s="62"/>
      <c r="Z837" s="62" t="s">
        <v>1704</v>
      </c>
      <c r="AA837" s="62" t="s">
        <v>1705</v>
      </c>
      <c r="AB837" s="62" t="n">
        <v>1</v>
      </c>
      <c r="AC837" s="62" t="n">
        <v>0</v>
      </c>
      <c r="AD837" s="62" t="n">
        <v>1</v>
      </c>
      <c r="AE837" s="62" t="n">
        <f aca="false">IF(AND(Dashboard!$C$9="Yes",AC837=1),0,1)</f>
        <v>1</v>
      </c>
      <c r="AF837" s="62" t="n">
        <v>0</v>
      </c>
    </row>
    <row r="838" customFormat="false" ht="15" hidden="false" customHeight="false" outlineLevel="0" collapsed="false">
      <c r="A838" s="62" t="n">
        <v>837</v>
      </c>
      <c r="B838" s="63" t="n">
        <v>46255.9307175926</v>
      </c>
      <c r="C838" s="64" t="n">
        <v>46255</v>
      </c>
      <c r="D838" s="62" t="s">
        <v>288</v>
      </c>
      <c r="E838" s="62" t="s">
        <v>650</v>
      </c>
      <c r="F838" s="62" t="s">
        <v>650</v>
      </c>
      <c r="G838" s="62" t="s">
        <v>651</v>
      </c>
      <c r="H838" s="62" t="s">
        <v>59</v>
      </c>
      <c r="I838" s="62" t="s">
        <v>47</v>
      </c>
      <c r="J838" s="62" t="s">
        <v>146</v>
      </c>
      <c r="K838" s="62" t="s">
        <v>209</v>
      </c>
      <c r="L838" s="62" t="s">
        <v>148</v>
      </c>
      <c r="M838" s="62" t="n">
        <v>0</v>
      </c>
      <c r="N838" s="62" t="n">
        <v>2</v>
      </c>
      <c r="O838" s="62" t="n">
        <v>2</v>
      </c>
      <c r="P838" s="62" t="n">
        <v>1</v>
      </c>
      <c r="Q838" s="62" t="n">
        <v>1</v>
      </c>
      <c r="R838" s="62" t="n">
        <v>0</v>
      </c>
      <c r="S838" s="62" t="n">
        <v>0</v>
      </c>
      <c r="T838" s="62" t="n">
        <v>0</v>
      </c>
      <c r="U838" s="62"/>
      <c r="V838" s="62"/>
      <c r="W838" s="62"/>
      <c r="X838" s="62"/>
      <c r="Y838" s="62"/>
      <c r="Z838" s="62" t="s">
        <v>1706</v>
      </c>
      <c r="AA838" s="62" t="s">
        <v>1707</v>
      </c>
      <c r="AB838" s="62" t="n">
        <v>1</v>
      </c>
      <c r="AC838" s="62" t="n">
        <v>0</v>
      </c>
      <c r="AD838" s="62" t="n">
        <v>1</v>
      </c>
      <c r="AE838" s="62" t="n">
        <f aca="false">IF(AND(Dashboard!$C$9="Yes",AC838=1),0,1)</f>
        <v>1</v>
      </c>
      <c r="AF838" s="62" t="n">
        <v>0</v>
      </c>
    </row>
    <row r="839" customFormat="false" ht="15" hidden="false" customHeight="false" outlineLevel="0" collapsed="false">
      <c r="A839" s="62" t="n">
        <v>838</v>
      </c>
      <c r="B839" s="63" t="n">
        <v>46255.965625</v>
      </c>
      <c r="C839" s="64" t="n">
        <v>46255</v>
      </c>
      <c r="D839" s="62" t="s">
        <v>288</v>
      </c>
      <c r="E839" s="62" t="s">
        <v>156</v>
      </c>
      <c r="F839" s="62" t="s">
        <v>156</v>
      </c>
      <c r="G839" s="62" t="s">
        <v>157</v>
      </c>
      <c r="H839" s="62" t="s">
        <v>51</v>
      </c>
      <c r="I839" s="62" t="s">
        <v>47</v>
      </c>
      <c r="J839" s="62" t="s">
        <v>146</v>
      </c>
      <c r="K839" s="62" t="s">
        <v>147</v>
      </c>
      <c r="L839" s="62" t="s">
        <v>148</v>
      </c>
      <c r="M839" s="62" t="n">
        <v>0</v>
      </c>
      <c r="N839" s="62" t="n">
        <v>1</v>
      </c>
      <c r="O839" s="62" t="n">
        <v>1</v>
      </c>
      <c r="P839" s="62" t="n">
        <v>1</v>
      </c>
      <c r="Q839" s="62" t="n">
        <v>0</v>
      </c>
      <c r="R839" s="62" t="n">
        <v>0</v>
      </c>
      <c r="S839" s="62" t="n">
        <v>0</v>
      </c>
      <c r="T839" s="62" t="n">
        <v>0</v>
      </c>
      <c r="U839" s="62"/>
      <c r="V839" s="62"/>
      <c r="W839" s="62"/>
      <c r="X839" s="62"/>
      <c r="Y839" s="62"/>
      <c r="Z839" s="62" t="s">
        <v>1708</v>
      </c>
      <c r="AA839" s="62" t="s">
        <v>1709</v>
      </c>
      <c r="AB839" s="62" t="n">
        <v>1</v>
      </c>
      <c r="AC839" s="62" t="n">
        <v>0</v>
      </c>
      <c r="AD839" s="62" t="n">
        <v>1</v>
      </c>
      <c r="AE839" s="62" t="n">
        <f aca="false">IF(AND(Dashboard!$C$9="Yes",AC839=1),0,1)</f>
        <v>1</v>
      </c>
      <c r="AF839" s="62" t="n">
        <v>1</v>
      </c>
    </row>
    <row r="840" customFormat="false" ht="15" hidden="false" customHeight="false" outlineLevel="0" collapsed="false">
      <c r="A840" s="62" t="n">
        <v>839</v>
      </c>
      <c r="B840" s="63" t="n">
        <v>46256.1140740741</v>
      </c>
      <c r="C840" s="64" t="n">
        <v>46255</v>
      </c>
      <c r="D840" s="62" t="s">
        <v>288</v>
      </c>
      <c r="E840" s="62" t="s">
        <v>1710</v>
      </c>
      <c r="F840" s="62" t="s">
        <v>1711</v>
      </c>
      <c r="G840" s="62" t="s">
        <v>153</v>
      </c>
      <c r="H840" s="62" t="s">
        <v>153</v>
      </c>
      <c r="I840" s="62" t="s">
        <v>153</v>
      </c>
      <c r="J840" s="62" t="s">
        <v>64</v>
      </c>
      <c r="K840" s="62" t="s">
        <v>64</v>
      </c>
      <c r="L840" s="62" t="s">
        <v>148</v>
      </c>
      <c r="M840" s="62" t="n">
        <v>0</v>
      </c>
      <c r="N840" s="62" t="n">
        <v>1</v>
      </c>
      <c r="O840" s="62" t="n">
        <v>1</v>
      </c>
      <c r="P840" s="62" t="n">
        <v>0</v>
      </c>
      <c r="Q840" s="62" t="n">
        <v>1</v>
      </c>
      <c r="R840" s="62" t="n">
        <v>0</v>
      </c>
      <c r="S840" s="62" t="n">
        <v>0</v>
      </c>
      <c r="T840" s="62" t="n">
        <v>0</v>
      </c>
      <c r="U840" s="62"/>
      <c r="V840" s="62"/>
      <c r="W840" s="62"/>
      <c r="X840" s="62"/>
      <c r="Y840" s="62"/>
      <c r="Z840" s="62" t="s">
        <v>1712</v>
      </c>
      <c r="AA840" s="62" t="s">
        <v>1713</v>
      </c>
      <c r="AB840" s="62" t="n">
        <v>1</v>
      </c>
      <c r="AC840" s="62" t="n">
        <v>0</v>
      </c>
      <c r="AD840" s="62" t="n">
        <v>0</v>
      </c>
      <c r="AE840" s="62" t="n">
        <f aca="false">IF(AND(Dashboard!$C$9="Yes",AC840=1),0,1)</f>
        <v>1</v>
      </c>
      <c r="AF840" s="62" t="n">
        <v>1</v>
      </c>
    </row>
    <row r="841" customFormat="false" ht="15" hidden="false" customHeight="false" outlineLevel="0" collapsed="false">
      <c r="A841" s="62" t="n">
        <v>840</v>
      </c>
      <c r="B841" s="63" t="n">
        <v>46256.2487268519</v>
      </c>
      <c r="C841" s="64" t="n">
        <v>46255</v>
      </c>
      <c r="D841" s="62" t="s">
        <v>288</v>
      </c>
      <c r="E841" s="62" t="s">
        <v>156</v>
      </c>
      <c r="F841" s="62" t="s">
        <v>156</v>
      </c>
      <c r="G841" s="62" t="s">
        <v>157</v>
      </c>
      <c r="H841" s="62" t="s">
        <v>51</v>
      </c>
      <c r="I841" s="62" t="s">
        <v>47</v>
      </c>
      <c r="J841" s="62" t="s">
        <v>146</v>
      </c>
      <c r="K841" s="62" t="s">
        <v>147</v>
      </c>
      <c r="L841" s="62" t="s">
        <v>148</v>
      </c>
      <c r="M841" s="62" t="n">
        <v>0</v>
      </c>
      <c r="N841" s="62" t="n">
        <v>1</v>
      </c>
      <c r="O841" s="62" t="n">
        <v>1</v>
      </c>
      <c r="P841" s="62" t="n">
        <v>1</v>
      </c>
      <c r="Q841" s="62" t="n">
        <v>0</v>
      </c>
      <c r="R841" s="62" t="n">
        <v>0</v>
      </c>
      <c r="S841" s="62" t="n">
        <v>0</v>
      </c>
      <c r="T841" s="62" t="n">
        <v>0</v>
      </c>
      <c r="U841" s="62"/>
      <c r="V841" s="62"/>
      <c r="W841" s="62"/>
      <c r="X841" s="62"/>
      <c r="Y841" s="62"/>
      <c r="Z841" s="62" t="s">
        <v>1714</v>
      </c>
      <c r="AA841" s="62" t="s">
        <v>1715</v>
      </c>
      <c r="AB841" s="62" t="n">
        <v>1</v>
      </c>
      <c r="AC841" s="62" t="n">
        <v>0</v>
      </c>
      <c r="AD841" s="62" t="n">
        <v>1</v>
      </c>
      <c r="AE841" s="62" t="n">
        <f aca="false">IF(AND(Dashboard!$C$9="Yes",AC841=1),0,1)</f>
        <v>1</v>
      </c>
      <c r="AF841" s="62" t="n">
        <v>0</v>
      </c>
    </row>
    <row r="842" customFormat="false" ht="15" hidden="false" customHeight="false" outlineLevel="0" collapsed="false">
      <c r="A842" s="62" t="n">
        <v>841</v>
      </c>
      <c r="B842" s="63" t="n">
        <v>46256.2609722222</v>
      </c>
      <c r="C842" s="64" t="n">
        <v>46255</v>
      </c>
      <c r="D842" s="62" t="s">
        <v>288</v>
      </c>
      <c r="E842" s="62" t="s">
        <v>228</v>
      </c>
      <c r="F842" s="62" t="s">
        <v>229</v>
      </c>
      <c r="G842" s="62" t="s">
        <v>153</v>
      </c>
      <c r="H842" s="62" t="s">
        <v>153</v>
      </c>
      <c r="I842" s="62" t="s">
        <v>153</v>
      </c>
      <c r="J842" s="62" t="s">
        <v>64</v>
      </c>
      <c r="K842" s="62" t="s">
        <v>64</v>
      </c>
      <c r="L842" s="62" t="s">
        <v>148</v>
      </c>
      <c r="M842" s="62" t="n">
        <v>0</v>
      </c>
      <c r="N842" s="62" t="n">
        <v>1</v>
      </c>
      <c r="O842" s="62" t="n">
        <v>1</v>
      </c>
      <c r="P842" s="62" t="n">
        <v>1</v>
      </c>
      <c r="Q842" s="62" t="n">
        <v>0</v>
      </c>
      <c r="R842" s="62" t="n">
        <v>0</v>
      </c>
      <c r="S842" s="62" t="n">
        <v>0</v>
      </c>
      <c r="T842" s="62" t="n">
        <v>0</v>
      </c>
      <c r="U842" s="62"/>
      <c r="V842" s="62"/>
      <c r="W842" s="62"/>
      <c r="X842" s="62"/>
      <c r="Y842" s="62"/>
      <c r="Z842" s="62" t="s">
        <v>1716</v>
      </c>
      <c r="AA842" s="62" t="s">
        <v>1717</v>
      </c>
      <c r="AB842" s="62" t="n">
        <v>1</v>
      </c>
      <c r="AC842" s="62" t="n">
        <v>0</v>
      </c>
      <c r="AD842" s="62" t="n">
        <v>0</v>
      </c>
      <c r="AE842" s="62" t="n">
        <f aca="false">IF(AND(Dashboard!$C$9="Yes",AC842=1),0,1)</f>
        <v>1</v>
      </c>
      <c r="AF842" s="62" t="n">
        <v>1</v>
      </c>
    </row>
    <row r="843" customFormat="false" ht="15" hidden="false" customHeight="false" outlineLevel="0" collapsed="false">
      <c r="A843" s="62" t="n">
        <v>842</v>
      </c>
      <c r="B843" s="63" t="n">
        <v>46256.2649421296</v>
      </c>
      <c r="C843" s="64" t="n">
        <v>46255</v>
      </c>
      <c r="D843" s="62" t="s">
        <v>288</v>
      </c>
      <c r="E843" s="62" t="s">
        <v>790</v>
      </c>
      <c r="F843" s="62" t="s">
        <v>791</v>
      </c>
      <c r="G843" s="62" t="s">
        <v>153</v>
      </c>
      <c r="H843" s="62" t="s">
        <v>153</v>
      </c>
      <c r="I843" s="62" t="s">
        <v>153</v>
      </c>
      <c r="J843" s="62" t="s">
        <v>64</v>
      </c>
      <c r="K843" s="62" t="s">
        <v>64</v>
      </c>
      <c r="L843" s="62" t="s">
        <v>148</v>
      </c>
      <c r="M843" s="62" t="n">
        <v>0</v>
      </c>
      <c r="N843" s="62" t="n">
        <v>1</v>
      </c>
      <c r="O843" s="62" t="n">
        <v>1</v>
      </c>
      <c r="P843" s="62" t="n">
        <v>1</v>
      </c>
      <c r="Q843" s="62" t="n">
        <v>0</v>
      </c>
      <c r="R843" s="62" t="n">
        <v>0</v>
      </c>
      <c r="S843" s="62" t="n">
        <v>0</v>
      </c>
      <c r="T843" s="62" t="n">
        <v>0</v>
      </c>
      <c r="U843" s="62"/>
      <c r="V843" s="62"/>
      <c r="W843" s="62"/>
      <c r="X843" s="62"/>
      <c r="Y843" s="62"/>
      <c r="Z843" s="62" t="s">
        <v>1718</v>
      </c>
      <c r="AA843" s="62" t="s">
        <v>1719</v>
      </c>
      <c r="AB843" s="62" t="n">
        <v>1</v>
      </c>
      <c r="AC843" s="62" t="n">
        <v>0</v>
      </c>
      <c r="AD843" s="62" t="n">
        <v>0</v>
      </c>
      <c r="AE843" s="62" t="n">
        <f aca="false">IF(AND(Dashboard!$C$9="Yes",AC843=1),0,1)</f>
        <v>1</v>
      </c>
      <c r="AF843" s="62" t="n">
        <v>1</v>
      </c>
    </row>
    <row r="844" customFormat="false" ht="15" hidden="false" customHeight="false" outlineLevel="0" collapsed="false">
      <c r="A844" s="62" t="n">
        <v>843</v>
      </c>
      <c r="B844" s="63" t="n">
        <v>46256.7173611111</v>
      </c>
      <c r="C844" s="64" t="n">
        <v>46256</v>
      </c>
      <c r="D844" s="62" t="s">
        <v>358</v>
      </c>
      <c r="E844" s="62" t="s">
        <v>160</v>
      </c>
      <c r="F844" s="62" t="s">
        <v>160</v>
      </c>
      <c r="G844" s="62" t="s">
        <v>161</v>
      </c>
      <c r="H844" s="62" t="s">
        <v>51</v>
      </c>
      <c r="I844" s="62" t="s">
        <v>47</v>
      </c>
      <c r="J844" s="62" t="s">
        <v>146</v>
      </c>
      <c r="K844" s="62" t="s">
        <v>147</v>
      </c>
      <c r="L844" s="62" t="s">
        <v>148</v>
      </c>
      <c r="M844" s="62" t="n">
        <v>0</v>
      </c>
      <c r="N844" s="62" t="n">
        <v>1</v>
      </c>
      <c r="O844" s="62" t="n">
        <v>1</v>
      </c>
      <c r="P844" s="62" t="n">
        <v>0</v>
      </c>
      <c r="Q844" s="62" t="n">
        <v>1</v>
      </c>
      <c r="R844" s="62" t="n">
        <v>0</v>
      </c>
      <c r="S844" s="62" t="n">
        <v>0</v>
      </c>
      <c r="T844" s="62" t="n">
        <v>0</v>
      </c>
      <c r="U844" s="62"/>
      <c r="V844" s="62"/>
      <c r="W844" s="62"/>
      <c r="X844" s="62"/>
      <c r="Y844" s="62"/>
      <c r="Z844" s="62" t="s">
        <v>1720</v>
      </c>
      <c r="AA844" s="62" t="s">
        <v>1721</v>
      </c>
      <c r="AB844" s="62" t="n">
        <v>1</v>
      </c>
      <c r="AC844" s="62" t="n">
        <v>0</v>
      </c>
      <c r="AD844" s="62" t="n">
        <v>1</v>
      </c>
      <c r="AE844" s="62" t="n">
        <f aca="false">IF(AND(Dashboard!$C$9="Yes",AC844=1),0,1)</f>
        <v>1</v>
      </c>
      <c r="AF844" s="62" t="n">
        <v>1</v>
      </c>
    </row>
    <row r="845" customFormat="false" ht="15" hidden="false" customHeight="false" outlineLevel="0" collapsed="false">
      <c r="A845" s="62" t="n">
        <v>844</v>
      </c>
      <c r="B845" s="63" t="n">
        <v>46256.7319675926</v>
      </c>
      <c r="C845" s="64" t="n">
        <v>46256</v>
      </c>
      <c r="D845" s="62" t="s">
        <v>358</v>
      </c>
      <c r="E845" s="62" t="s">
        <v>586</v>
      </c>
      <c r="F845" s="62" t="s">
        <v>586</v>
      </c>
      <c r="G845" s="62" t="s">
        <v>587</v>
      </c>
      <c r="H845" s="62" t="s">
        <v>57</v>
      </c>
      <c r="I845" s="62" t="s">
        <v>47</v>
      </c>
      <c r="J845" s="62" t="s">
        <v>146</v>
      </c>
      <c r="K845" s="62" t="s">
        <v>175</v>
      </c>
      <c r="L845" s="62" t="s">
        <v>148</v>
      </c>
      <c r="M845" s="62" t="n">
        <v>0</v>
      </c>
      <c r="N845" s="62" t="n">
        <v>2</v>
      </c>
      <c r="O845" s="62" t="n">
        <v>2</v>
      </c>
      <c r="P845" s="62" t="n">
        <v>1</v>
      </c>
      <c r="Q845" s="62" t="n">
        <v>1</v>
      </c>
      <c r="R845" s="62" t="n">
        <v>0</v>
      </c>
      <c r="S845" s="62" t="n">
        <v>0</v>
      </c>
      <c r="T845" s="62" t="n">
        <v>0</v>
      </c>
      <c r="U845" s="62"/>
      <c r="V845" s="62"/>
      <c r="W845" s="62"/>
      <c r="X845" s="62"/>
      <c r="Y845" s="62"/>
      <c r="Z845" s="62" t="s">
        <v>1722</v>
      </c>
      <c r="AA845" s="62" t="s">
        <v>1723</v>
      </c>
      <c r="AB845" s="62" t="n">
        <v>1</v>
      </c>
      <c r="AC845" s="62" t="n">
        <v>0</v>
      </c>
      <c r="AD845" s="62" t="n">
        <v>1</v>
      </c>
      <c r="AE845" s="62" t="n">
        <f aca="false">IF(AND(Dashboard!$C$9="Yes",AC845=1),0,1)</f>
        <v>1</v>
      </c>
      <c r="AF845" s="62" t="n">
        <v>1</v>
      </c>
    </row>
    <row r="846" customFormat="false" ht="15" hidden="false" customHeight="false" outlineLevel="0" collapsed="false">
      <c r="A846" s="62" t="n">
        <v>845</v>
      </c>
      <c r="B846" s="63" t="n">
        <v>46256.7419444445</v>
      </c>
      <c r="C846" s="64" t="n">
        <v>46256</v>
      </c>
      <c r="D846" s="62" t="s">
        <v>358</v>
      </c>
      <c r="E846" s="62" t="s">
        <v>212</v>
      </c>
      <c r="F846" s="62" t="s">
        <v>212</v>
      </c>
      <c r="G846" s="62" t="s">
        <v>213</v>
      </c>
      <c r="H846" s="62" t="s">
        <v>58</v>
      </c>
      <c r="I846" s="62" t="s">
        <v>49</v>
      </c>
      <c r="J846" s="62" t="s">
        <v>146</v>
      </c>
      <c r="K846" s="62" t="s">
        <v>175</v>
      </c>
      <c r="L846" s="62" t="s">
        <v>148</v>
      </c>
      <c r="M846" s="62" t="n">
        <v>0</v>
      </c>
      <c r="N846" s="62" t="n">
        <v>1</v>
      </c>
      <c r="O846" s="62" t="n">
        <v>1</v>
      </c>
      <c r="P846" s="62" t="n">
        <v>1</v>
      </c>
      <c r="Q846" s="62" t="n">
        <v>0</v>
      </c>
      <c r="R846" s="62" t="n">
        <v>0</v>
      </c>
      <c r="S846" s="62" t="n">
        <v>0</v>
      </c>
      <c r="T846" s="62" t="n">
        <v>0</v>
      </c>
      <c r="U846" s="62"/>
      <c r="V846" s="62"/>
      <c r="W846" s="62"/>
      <c r="X846" s="62"/>
      <c r="Y846" s="62"/>
      <c r="Z846" s="62" t="s">
        <v>1724</v>
      </c>
      <c r="AA846" s="62" t="s">
        <v>1725</v>
      </c>
      <c r="AB846" s="62" t="n">
        <v>1</v>
      </c>
      <c r="AC846" s="62" t="n">
        <v>0</v>
      </c>
      <c r="AD846" s="62" t="n">
        <v>1</v>
      </c>
      <c r="AE846" s="62" t="n">
        <f aca="false">IF(AND(Dashboard!$C$9="Yes",AC846=1),0,1)</f>
        <v>1</v>
      </c>
      <c r="AF846" s="62" t="n">
        <v>1</v>
      </c>
    </row>
    <row r="847" customFormat="false" ht="15" hidden="false" customHeight="false" outlineLevel="0" collapsed="false">
      <c r="A847" s="62" t="n">
        <v>846</v>
      </c>
      <c r="B847" s="63" t="n">
        <v>46256.7570023148</v>
      </c>
      <c r="C847" s="64" t="n">
        <v>46256</v>
      </c>
      <c r="D847" s="62" t="s">
        <v>358</v>
      </c>
      <c r="E847" s="62" t="s">
        <v>224</v>
      </c>
      <c r="F847" s="62" t="s">
        <v>225</v>
      </c>
      <c r="G847" s="62" t="s">
        <v>153</v>
      </c>
      <c r="H847" s="62" t="s">
        <v>153</v>
      </c>
      <c r="I847" s="62" t="s">
        <v>153</v>
      </c>
      <c r="J847" s="62" t="s">
        <v>64</v>
      </c>
      <c r="K847" s="62" t="s">
        <v>64</v>
      </c>
      <c r="L847" s="62" t="s">
        <v>4</v>
      </c>
      <c r="M847" s="62" t="n">
        <v>1</v>
      </c>
      <c r="N847" s="62" t="n">
        <v>0</v>
      </c>
      <c r="O847" s="62" t="n">
        <v>1</v>
      </c>
      <c r="P847" s="62" t="n">
        <v>0</v>
      </c>
      <c r="Q847" s="62" t="n">
        <v>0</v>
      </c>
      <c r="R847" s="62" t="n">
        <v>0</v>
      </c>
      <c r="S847" s="62" t="n">
        <v>0</v>
      </c>
      <c r="T847" s="62" t="n">
        <v>0</v>
      </c>
      <c r="U847" s="62"/>
      <c r="V847" s="62"/>
      <c r="W847" s="62"/>
      <c r="X847" s="62"/>
      <c r="Y847" s="62"/>
      <c r="Z847" s="62" t="s">
        <v>1726</v>
      </c>
      <c r="AA847" s="62" t="s">
        <v>1727</v>
      </c>
      <c r="AB847" s="62" t="n">
        <v>1</v>
      </c>
      <c r="AC847" s="62" t="n">
        <v>0</v>
      </c>
      <c r="AD847" s="62" t="n">
        <v>0</v>
      </c>
      <c r="AE847" s="62" t="n">
        <f aca="false">IF(AND(Dashboard!$C$9="Yes",AC847=1),0,1)</f>
        <v>1</v>
      </c>
      <c r="AF847" s="62" t="n">
        <v>1</v>
      </c>
    </row>
    <row r="848" customFormat="false" ht="15" hidden="false" customHeight="false" outlineLevel="0" collapsed="false">
      <c r="A848" s="62" t="n">
        <v>847</v>
      </c>
      <c r="B848" s="63" t="n">
        <v>46256.7688541667</v>
      </c>
      <c r="C848" s="64" t="n">
        <v>46256</v>
      </c>
      <c r="D848" s="62" t="s">
        <v>358</v>
      </c>
      <c r="E848" s="62" t="s">
        <v>212</v>
      </c>
      <c r="F848" s="62" t="s">
        <v>212</v>
      </c>
      <c r="G848" s="62" t="s">
        <v>213</v>
      </c>
      <c r="H848" s="62" t="s">
        <v>58</v>
      </c>
      <c r="I848" s="62" t="s">
        <v>49</v>
      </c>
      <c r="J848" s="62" t="s">
        <v>146</v>
      </c>
      <c r="K848" s="62" t="s">
        <v>175</v>
      </c>
      <c r="L848" s="62" t="s">
        <v>4</v>
      </c>
      <c r="M848" s="62" t="n">
        <v>1</v>
      </c>
      <c r="N848" s="62" t="n">
        <v>0</v>
      </c>
      <c r="O848" s="62" t="n">
        <v>1</v>
      </c>
      <c r="P848" s="62" t="n">
        <v>0</v>
      </c>
      <c r="Q848" s="62" t="n">
        <v>0</v>
      </c>
      <c r="R848" s="62" t="n">
        <v>0</v>
      </c>
      <c r="S848" s="62" t="n">
        <v>0</v>
      </c>
      <c r="T848" s="62" t="n">
        <v>0</v>
      </c>
      <c r="U848" s="62"/>
      <c r="V848" s="62"/>
      <c r="W848" s="62"/>
      <c r="X848" s="62"/>
      <c r="Y848" s="62"/>
      <c r="Z848" s="62" t="s">
        <v>1728</v>
      </c>
      <c r="AA848" s="62" t="s">
        <v>1729</v>
      </c>
      <c r="AB848" s="62" t="n">
        <v>1</v>
      </c>
      <c r="AC848" s="62" t="n">
        <v>0</v>
      </c>
      <c r="AD848" s="62" t="n">
        <v>1</v>
      </c>
      <c r="AE848" s="62" t="n">
        <f aca="false">IF(AND(Dashboard!$C$9="Yes",AC848=1),0,1)</f>
        <v>1</v>
      </c>
      <c r="AF848" s="62" t="n">
        <v>0</v>
      </c>
    </row>
    <row r="849" customFormat="false" ht="15" hidden="false" customHeight="false" outlineLevel="0" collapsed="false">
      <c r="A849" s="62" t="n">
        <v>848</v>
      </c>
      <c r="B849" s="63" t="n">
        <v>46256.8478819444</v>
      </c>
      <c r="C849" s="64" t="n">
        <v>46256</v>
      </c>
      <c r="D849" s="62" t="s">
        <v>358</v>
      </c>
      <c r="E849" s="62" t="s">
        <v>160</v>
      </c>
      <c r="F849" s="62" t="s">
        <v>160</v>
      </c>
      <c r="G849" s="62" t="s">
        <v>161</v>
      </c>
      <c r="H849" s="62" t="s">
        <v>51</v>
      </c>
      <c r="I849" s="62" t="s">
        <v>47</v>
      </c>
      <c r="J849" s="62" t="s">
        <v>146</v>
      </c>
      <c r="K849" s="62" t="s">
        <v>147</v>
      </c>
      <c r="L849" s="62" t="s">
        <v>148</v>
      </c>
      <c r="M849" s="62" t="n">
        <v>0</v>
      </c>
      <c r="N849" s="62" t="n">
        <v>1</v>
      </c>
      <c r="O849" s="62" t="n">
        <v>1</v>
      </c>
      <c r="P849" s="62" t="n">
        <v>0</v>
      </c>
      <c r="Q849" s="62" t="n">
        <v>0</v>
      </c>
      <c r="R849" s="62" t="n">
        <v>1</v>
      </c>
      <c r="S849" s="62" t="n">
        <v>0</v>
      </c>
      <c r="T849" s="62" t="n">
        <v>0</v>
      </c>
      <c r="U849" s="62"/>
      <c r="V849" s="62"/>
      <c r="W849" s="62"/>
      <c r="X849" s="62"/>
      <c r="Y849" s="62"/>
      <c r="Z849" s="62" t="s">
        <v>1730</v>
      </c>
      <c r="AA849" s="62" t="s">
        <v>1731</v>
      </c>
      <c r="AB849" s="62" t="n">
        <v>1</v>
      </c>
      <c r="AC849" s="62" t="n">
        <v>0</v>
      </c>
      <c r="AD849" s="62" t="n">
        <v>1</v>
      </c>
      <c r="AE849" s="62" t="n">
        <f aca="false">IF(AND(Dashboard!$C$9="Yes",AC849=1),0,1)</f>
        <v>1</v>
      </c>
      <c r="AF849" s="62" t="n">
        <v>0</v>
      </c>
    </row>
    <row r="850" customFormat="false" ht="15" hidden="false" customHeight="false" outlineLevel="0" collapsed="false">
      <c r="A850" s="62" t="n">
        <v>849</v>
      </c>
      <c r="B850" s="63" t="n">
        <v>46256.8567013889</v>
      </c>
      <c r="C850" s="64" t="n">
        <v>46256</v>
      </c>
      <c r="D850" s="62" t="s">
        <v>358</v>
      </c>
      <c r="E850" s="62" t="s">
        <v>1732</v>
      </c>
      <c r="F850" s="62" t="s">
        <v>1732</v>
      </c>
      <c r="G850" s="62" t="s">
        <v>1733</v>
      </c>
      <c r="H850" s="62" t="s">
        <v>58</v>
      </c>
      <c r="I850" s="62" t="s">
        <v>49</v>
      </c>
      <c r="J850" s="62" t="s">
        <v>146</v>
      </c>
      <c r="K850" s="62" t="s">
        <v>209</v>
      </c>
      <c r="L850" s="62" t="s">
        <v>148</v>
      </c>
      <c r="M850" s="62" t="n">
        <v>0</v>
      </c>
      <c r="N850" s="62" t="n">
        <v>1</v>
      </c>
      <c r="O850" s="62" t="n">
        <v>1</v>
      </c>
      <c r="P850" s="62" t="n">
        <v>1</v>
      </c>
      <c r="Q850" s="62" t="n">
        <v>0</v>
      </c>
      <c r="R850" s="62" t="n">
        <v>0</v>
      </c>
      <c r="S850" s="62" t="n">
        <v>0</v>
      </c>
      <c r="T850" s="62" t="n">
        <v>0</v>
      </c>
      <c r="U850" s="62"/>
      <c r="V850" s="62"/>
      <c r="W850" s="62"/>
      <c r="X850" s="62"/>
      <c r="Y850" s="62"/>
      <c r="Z850" s="62" t="s">
        <v>1734</v>
      </c>
      <c r="AA850" s="62" t="s">
        <v>1735</v>
      </c>
      <c r="AB850" s="62" t="n">
        <v>1</v>
      </c>
      <c r="AC850" s="62" t="n">
        <v>0</v>
      </c>
      <c r="AD850" s="62" t="n">
        <v>1</v>
      </c>
      <c r="AE850" s="62" t="n">
        <f aca="false">IF(AND(Dashboard!$C$9="Yes",AC850=1),0,1)</f>
        <v>1</v>
      </c>
      <c r="AF850" s="62" t="n">
        <v>1</v>
      </c>
    </row>
    <row r="851" customFormat="false" ht="15" hidden="false" customHeight="false" outlineLevel="0" collapsed="false">
      <c r="A851" s="62" t="n">
        <v>850</v>
      </c>
      <c r="B851" s="63" t="n">
        <v>46256.8571990741</v>
      </c>
      <c r="C851" s="64" t="n">
        <v>46256</v>
      </c>
      <c r="D851" s="62" t="s">
        <v>358</v>
      </c>
      <c r="E851" s="62" t="s">
        <v>1732</v>
      </c>
      <c r="F851" s="62" t="s">
        <v>1732</v>
      </c>
      <c r="G851" s="62" t="s">
        <v>1733</v>
      </c>
      <c r="H851" s="62" t="s">
        <v>58</v>
      </c>
      <c r="I851" s="62" t="s">
        <v>49</v>
      </c>
      <c r="J851" s="62" t="s">
        <v>146</v>
      </c>
      <c r="K851" s="62" t="s">
        <v>209</v>
      </c>
      <c r="L851" s="62" t="s">
        <v>4</v>
      </c>
      <c r="M851" s="62" t="n">
        <v>1</v>
      </c>
      <c r="N851" s="62" t="n">
        <v>0</v>
      </c>
      <c r="O851" s="62" t="n">
        <v>1</v>
      </c>
      <c r="P851" s="62" t="n">
        <v>0</v>
      </c>
      <c r="Q851" s="62" t="n">
        <v>0</v>
      </c>
      <c r="R851" s="62" t="n">
        <v>0</v>
      </c>
      <c r="S851" s="62" t="n">
        <v>0</v>
      </c>
      <c r="T851" s="62" t="n">
        <v>0</v>
      </c>
      <c r="U851" s="62"/>
      <c r="V851" s="62"/>
      <c r="W851" s="62"/>
      <c r="X851" s="62"/>
      <c r="Y851" s="62"/>
      <c r="Z851" s="62" t="s">
        <v>1734</v>
      </c>
      <c r="AA851" s="62" t="s">
        <v>1736</v>
      </c>
      <c r="AB851" s="62" t="n">
        <v>1</v>
      </c>
      <c r="AC851" s="62" t="n">
        <v>0</v>
      </c>
      <c r="AD851" s="62" t="n">
        <v>1</v>
      </c>
      <c r="AE851" s="62" t="n">
        <f aca="false">IF(AND(Dashboard!$C$9="Yes",AC851=1),0,1)</f>
        <v>1</v>
      </c>
      <c r="AF851" s="62" t="n">
        <v>0</v>
      </c>
    </row>
    <row r="852" customFormat="false" ht="15" hidden="false" customHeight="false" outlineLevel="0" collapsed="false">
      <c r="A852" s="62" t="n">
        <v>851</v>
      </c>
      <c r="B852" s="63" t="n">
        <v>46256.906412037</v>
      </c>
      <c r="C852" s="64" t="n">
        <v>46256</v>
      </c>
      <c r="D852" s="62" t="s">
        <v>358</v>
      </c>
      <c r="E852" s="62" t="s">
        <v>586</v>
      </c>
      <c r="F852" s="62" t="s">
        <v>586</v>
      </c>
      <c r="G852" s="62" t="s">
        <v>587</v>
      </c>
      <c r="H852" s="62" t="s">
        <v>57</v>
      </c>
      <c r="I852" s="62" t="s">
        <v>47</v>
      </c>
      <c r="J852" s="62" t="s">
        <v>146</v>
      </c>
      <c r="K852" s="62" t="s">
        <v>175</v>
      </c>
      <c r="L852" s="62" t="s">
        <v>148</v>
      </c>
      <c r="M852" s="62" t="n">
        <v>0</v>
      </c>
      <c r="N852" s="62" t="n">
        <v>1</v>
      </c>
      <c r="O852" s="62" t="n">
        <v>1</v>
      </c>
      <c r="P852" s="62" t="n">
        <v>1</v>
      </c>
      <c r="Q852" s="62" t="n">
        <v>0</v>
      </c>
      <c r="R852" s="62" t="n">
        <v>0</v>
      </c>
      <c r="S852" s="62" t="n">
        <v>0</v>
      </c>
      <c r="T852" s="62" t="n">
        <v>0</v>
      </c>
      <c r="U852" s="62"/>
      <c r="V852" s="62"/>
      <c r="W852" s="62"/>
      <c r="X852" s="62"/>
      <c r="Y852" s="62"/>
      <c r="Z852" s="62" t="s">
        <v>1737</v>
      </c>
      <c r="AA852" s="62" t="s">
        <v>1738</v>
      </c>
      <c r="AB852" s="62" t="n">
        <v>1</v>
      </c>
      <c r="AC852" s="62" t="n">
        <v>0</v>
      </c>
      <c r="AD852" s="62" t="n">
        <v>1</v>
      </c>
      <c r="AE852" s="62" t="n">
        <f aca="false">IF(AND(Dashboard!$C$9="Yes",AC852=1),0,1)</f>
        <v>1</v>
      </c>
      <c r="AF852" s="62" t="n">
        <v>0</v>
      </c>
    </row>
    <row r="853" customFormat="false" ht="15" hidden="false" customHeight="false" outlineLevel="0" collapsed="false">
      <c r="A853" s="62" t="n">
        <v>852</v>
      </c>
      <c r="B853" s="63" t="n">
        <v>46256.9421527778</v>
      </c>
      <c r="C853" s="64" t="n">
        <v>46256</v>
      </c>
      <c r="D853" s="62" t="s">
        <v>358</v>
      </c>
      <c r="E853" s="62" t="s">
        <v>1382</v>
      </c>
      <c r="F853" s="62" t="s">
        <v>1382</v>
      </c>
      <c r="G853" s="62" t="s">
        <v>1383</v>
      </c>
      <c r="H853" s="62" t="s">
        <v>58</v>
      </c>
      <c r="I853" s="62" t="s">
        <v>49</v>
      </c>
      <c r="J853" s="62" t="s">
        <v>146</v>
      </c>
      <c r="K853" s="62" t="s">
        <v>175</v>
      </c>
      <c r="L853" s="62" t="s">
        <v>4</v>
      </c>
      <c r="M853" s="62" t="n">
        <v>1</v>
      </c>
      <c r="N853" s="62" t="n">
        <v>0</v>
      </c>
      <c r="O853" s="62" t="n">
        <v>1</v>
      </c>
      <c r="P853" s="62" t="n">
        <v>0</v>
      </c>
      <c r="Q853" s="62" t="n">
        <v>0</v>
      </c>
      <c r="R853" s="62" t="n">
        <v>0</v>
      </c>
      <c r="S853" s="62" t="n">
        <v>0</v>
      </c>
      <c r="T853" s="62" t="n">
        <v>0</v>
      </c>
      <c r="U853" s="62"/>
      <c r="V853" s="62"/>
      <c r="W853" s="62"/>
      <c r="X853" s="62"/>
      <c r="Y853" s="62"/>
      <c r="Z853" s="62" t="s">
        <v>1739</v>
      </c>
      <c r="AA853" s="62" t="s">
        <v>1740</v>
      </c>
      <c r="AB853" s="62" t="n">
        <v>1</v>
      </c>
      <c r="AC853" s="62" t="n">
        <v>0</v>
      </c>
      <c r="AD853" s="62" t="n">
        <v>1</v>
      </c>
      <c r="AE853" s="62" t="n">
        <f aca="false">IF(AND(Dashboard!$C$9="Yes",AC853=1),0,1)</f>
        <v>1</v>
      </c>
      <c r="AF853" s="62" t="n">
        <v>1</v>
      </c>
    </row>
    <row r="854" customFormat="false" ht="15" hidden="false" customHeight="false" outlineLevel="0" collapsed="false">
      <c r="A854" s="62" t="n">
        <v>853</v>
      </c>
      <c r="B854" s="63" t="n">
        <v>46256.9524884259</v>
      </c>
      <c r="C854" s="64" t="n">
        <v>46256</v>
      </c>
      <c r="D854" s="62" t="s">
        <v>358</v>
      </c>
      <c r="E854" s="62" t="s">
        <v>228</v>
      </c>
      <c r="F854" s="62" t="s">
        <v>229</v>
      </c>
      <c r="G854" s="62" t="s">
        <v>153</v>
      </c>
      <c r="H854" s="62" t="s">
        <v>153</v>
      </c>
      <c r="I854" s="62" t="s">
        <v>153</v>
      </c>
      <c r="J854" s="62" t="s">
        <v>64</v>
      </c>
      <c r="K854" s="62" t="s">
        <v>64</v>
      </c>
      <c r="L854" s="62" t="s">
        <v>4</v>
      </c>
      <c r="M854" s="62" t="n">
        <v>1</v>
      </c>
      <c r="N854" s="62" t="n">
        <v>0</v>
      </c>
      <c r="O854" s="62" t="n">
        <v>1</v>
      </c>
      <c r="P854" s="62" t="n">
        <v>0</v>
      </c>
      <c r="Q854" s="62" t="n">
        <v>0</v>
      </c>
      <c r="R854" s="62" t="n">
        <v>0</v>
      </c>
      <c r="S854" s="62" t="n">
        <v>0</v>
      </c>
      <c r="T854" s="62" t="n">
        <v>0</v>
      </c>
      <c r="U854" s="62"/>
      <c r="V854" s="62"/>
      <c r="W854" s="62"/>
      <c r="X854" s="62"/>
      <c r="Y854" s="62"/>
      <c r="Z854" s="62" t="s">
        <v>1741</v>
      </c>
      <c r="AA854" s="62" t="s">
        <v>1742</v>
      </c>
      <c r="AB854" s="62" t="n">
        <v>1</v>
      </c>
      <c r="AC854" s="62" t="n">
        <v>0</v>
      </c>
      <c r="AD854" s="62" t="n">
        <v>0</v>
      </c>
      <c r="AE854" s="62" t="n">
        <f aca="false">IF(AND(Dashboard!$C$9="Yes",AC854=1),0,1)</f>
        <v>1</v>
      </c>
      <c r="AF854" s="62" t="n">
        <v>1</v>
      </c>
    </row>
    <row r="855" customFormat="false" ht="15" hidden="false" customHeight="false" outlineLevel="0" collapsed="false">
      <c r="A855" s="62" t="n">
        <v>854</v>
      </c>
      <c r="B855" s="63" t="n">
        <v>46256.9680671296</v>
      </c>
      <c r="C855" s="64" t="n">
        <v>46256</v>
      </c>
      <c r="D855" s="62" t="s">
        <v>358</v>
      </c>
      <c r="E855" s="62" t="s">
        <v>218</v>
      </c>
      <c r="F855" s="62" t="s">
        <v>218</v>
      </c>
      <c r="G855" s="62" t="s">
        <v>219</v>
      </c>
      <c r="H855" s="62" t="s">
        <v>51</v>
      </c>
      <c r="I855" s="62" t="s">
        <v>47</v>
      </c>
      <c r="J855" s="62" t="s">
        <v>146</v>
      </c>
      <c r="K855" s="62" t="s">
        <v>147</v>
      </c>
      <c r="L855" s="62" t="s">
        <v>148</v>
      </c>
      <c r="M855" s="62" t="n">
        <v>0</v>
      </c>
      <c r="N855" s="62" t="n">
        <v>1</v>
      </c>
      <c r="O855" s="62" t="n">
        <v>1</v>
      </c>
      <c r="P855" s="62" t="n">
        <v>0</v>
      </c>
      <c r="Q855" s="62" t="n">
        <v>0</v>
      </c>
      <c r="R855" s="62" t="n">
        <v>1</v>
      </c>
      <c r="S855" s="62" t="n">
        <v>0</v>
      </c>
      <c r="T855" s="62" t="n">
        <v>0</v>
      </c>
      <c r="U855" s="62"/>
      <c r="V855" s="62"/>
      <c r="W855" s="62"/>
      <c r="X855" s="62"/>
      <c r="Y855" s="62"/>
      <c r="Z855" s="62" t="s">
        <v>1743</v>
      </c>
      <c r="AA855" s="62" t="s">
        <v>1744</v>
      </c>
      <c r="AB855" s="62" t="n">
        <v>1</v>
      </c>
      <c r="AC855" s="62" t="n">
        <v>0</v>
      </c>
      <c r="AD855" s="62" t="n">
        <v>1</v>
      </c>
      <c r="AE855" s="62" t="n">
        <f aca="false">IF(AND(Dashboard!$C$9="Yes",AC855=1),0,1)</f>
        <v>1</v>
      </c>
      <c r="AF855" s="62" t="n">
        <v>1</v>
      </c>
    </row>
    <row r="856" customFormat="false" ht="15" hidden="false" customHeight="false" outlineLevel="0" collapsed="false">
      <c r="A856" s="62" t="n">
        <v>855</v>
      </c>
      <c r="B856" s="63" t="n">
        <v>46257.0341435185</v>
      </c>
      <c r="C856" s="64" t="n">
        <v>46256</v>
      </c>
      <c r="D856" s="62" t="s">
        <v>358</v>
      </c>
      <c r="E856" s="62" t="s">
        <v>1732</v>
      </c>
      <c r="F856" s="62" t="s">
        <v>1732</v>
      </c>
      <c r="G856" s="62" t="s">
        <v>1733</v>
      </c>
      <c r="H856" s="62" t="s">
        <v>58</v>
      </c>
      <c r="I856" s="62" t="s">
        <v>49</v>
      </c>
      <c r="J856" s="62" t="s">
        <v>146</v>
      </c>
      <c r="K856" s="62" t="s">
        <v>209</v>
      </c>
      <c r="L856" s="62" t="s">
        <v>148</v>
      </c>
      <c r="M856" s="62" t="n">
        <v>0</v>
      </c>
      <c r="N856" s="62" t="n">
        <v>1</v>
      </c>
      <c r="O856" s="62" t="n">
        <v>1</v>
      </c>
      <c r="P856" s="62" t="n">
        <v>0</v>
      </c>
      <c r="Q856" s="62" t="n">
        <v>1</v>
      </c>
      <c r="R856" s="62" t="n">
        <v>0</v>
      </c>
      <c r="S856" s="62" t="n">
        <v>0</v>
      </c>
      <c r="T856" s="62" t="n">
        <v>0</v>
      </c>
      <c r="U856" s="62"/>
      <c r="V856" s="62"/>
      <c r="W856" s="62"/>
      <c r="X856" s="62"/>
      <c r="Y856" s="62"/>
      <c r="Z856" s="62" t="s">
        <v>1745</v>
      </c>
      <c r="AA856" s="62" t="s">
        <v>1746</v>
      </c>
      <c r="AB856" s="62" t="n">
        <v>1</v>
      </c>
      <c r="AC856" s="62" t="n">
        <v>0</v>
      </c>
      <c r="AD856" s="62" t="n">
        <v>1</v>
      </c>
      <c r="AE856" s="62" t="n">
        <f aca="false">IF(AND(Dashboard!$C$9="Yes",AC856=1),0,1)</f>
        <v>1</v>
      </c>
      <c r="AF856" s="62" t="n">
        <v>0</v>
      </c>
    </row>
    <row r="857" customFormat="false" ht="15" hidden="false" customHeight="false" outlineLevel="0" collapsed="false">
      <c r="A857" s="62" t="n">
        <v>856</v>
      </c>
      <c r="B857" s="63" t="n">
        <v>46257.0427893519</v>
      </c>
      <c r="C857" s="64" t="n">
        <v>46256</v>
      </c>
      <c r="D857" s="62" t="s">
        <v>358</v>
      </c>
      <c r="E857" s="62" t="s">
        <v>273</v>
      </c>
      <c r="F857" s="62" t="s">
        <v>273</v>
      </c>
      <c r="G857" s="62" t="s">
        <v>274</v>
      </c>
      <c r="H857" s="62" t="s">
        <v>59</v>
      </c>
      <c r="I857" s="62" t="s">
        <v>47</v>
      </c>
      <c r="J857" s="62" t="s">
        <v>146</v>
      </c>
      <c r="K857" s="62" t="s">
        <v>147</v>
      </c>
      <c r="L857" s="62" t="s">
        <v>148</v>
      </c>
      <c r="M857" s="62" t="n">
        <v>0</v>
      </c>
      <c r="N857" s="62" t="n">
        <v>1</v>
      </c>
      <c r="O857" s="62" t="n">
        <v>1</v>
      </c>
      <c r="P857" s="62" t="n">
        <v>1</v>
      </c>
      <c r="Q857" s="62" t="n">
        <v>0</v>
      </c>
      <c r="R857" s="62" t="n">
        <v>0</v>
      </c>
      <c r="S857" s="62" t="n">
        <v>0</v>
      </c>
      <c r="T857" s="62" t="n">
        <v>0</v>
      </c>
      <c r="U857" s="62"/>
      <c r="V857" s="62"/>
      <c r="W857" s="62"/>
      <c r="X857" s="62"/>
      <c r="Y857" s="62"/>
      <c r="Z857" s="62" t="s">
        <v>1747</v>
      </c>
      <c r="AA857" s="62" t="s">
        <v>1748</v>
      </c>
      <c r="AB857" s="62" t="n">
        <v>1</v>
      </c>
      <c r="AC857" s="62" t="n">
        <v>0</v>
      </c>
      <c r="AD857" s="62" t="n">
        <v>1</v>
      </c>
      <c r="AE857" s="62" t="n">
        <f aca="false">IF(AND(Dashboard!$C$9="Yes",AC857=1),0,1)</f>
        <v>1</v>
      </c>
      <c r="AF857" s="62" t="n">
        <v>1</v>
      </c>
    </row>
    <row r="858" customFormat="false" ht="15" hidden="false" customHeight="false" outlineLevel="0" collapsed="false">
      <c r="A858" s="62" t="n">
        <v>857</v>
      </c>
      <c r="B858" s="63" t="n">
        <v>46257.0643171296</v>
      </c>
      <c r="C858" s="64" t="n">
        <v>46256</v>
      </c>
      <c r="D858" s="62" t="s">
        <v>358</v>
      </c>
      <c r="E858" s="62" t="s">
        <v>1749</v>
      </c>
      <c r="F858" s="62" t="s">
        <v>1749</v>
      </c>
      <c r="G858" s="62" t="s">
        <v>1750</v>
      </c>
      <c r="H858" s="62" t="s">
        <v>57</v>
      </c>
      <c r="I858" s="62" t="s">
        <v>47</v>
      </c>
      <c r="J858" s="62" t="s">
        <v>146</v>
      </c>
      <c r="K858" s="62" t="s">
        <v>209</v>
      </c>
      <c r="L858" s="62" t="s">
        <v>4</v>
      </c>
      <c r="M858" s="62" t="n">
        <v>1</v>
      </c>
      <c r="N858" s="62" t="n">
        <v>0</v>
      </c>
      <c r="O858" s="62" t="n">
        <v>1</v>
      </c>
      <c r="P858" s="62" t="n">
        <v>0</v>
      </c>
      <c r="Q858" s="62" t="n">
        <v>0</v>
      </c>
      <c r="R858" s="62" t="n">
        <v>0</v>
      </c>
      <c r="S858" s="62" t="n">
        <v>0</v>
      </c>
      <c r="T858" s="62" t="n">
        <v>0</v>
      </c>
      <c r="U858" s="62"/>
      <c r="V858" s="62"/>
      <c r="W858" s="62"/>
      <c r="X858" s="62"/>
      <c r="Y858" s="62"/>
      <c r="Z858" s="62" t="s">
        <v>1751</v>
      </c>
      <c r="AA858" s="62" t="s">
        <v>1752</v>
      </c>
      <c r="AB858" s="62" t="n">
        <v>1</v>
      </c>
      <c r="AC858" s="62" t="n">
        <v>0</v>
      </c>
      <c r="AD858" s="62" t="n">
        <v>1</v>
      </c>
      <c r="AE858" s="62" t="n">
        <f aca="false">IF(AND(Dashboard!$C$9="Yes",AC858=1),0,1)</f>
        <v>1</v>
      </c>
      <c r="AF858" s="62" t="n">
        <v>1</v>
      </c>
    </row>
    <row r="859" customFormat="false" ht="15" hidden="false" customHeight="false" outlineLevel="0" collapsed="false">
      <c r="A859" s="62" t="n">
        <v>858</v>
      </c>
      <c r="B859" s="63" t="n">
        <v>46257.0650578704</v>
      </c>
      <c r="C859" s="64" t="n">
        <v>46256</v>
      </c>
      <c r="D859" s="62" t="s">
        <v>358</v>
      </c>
      <c r="E859" s="62" t="s">
        <v>1616</v>
      </c>
      <c r="F859" s="62" t="s">
        <v>1616</v>
      </c>
      <c r="G859" s="62" t="s">
        <v>1617</v>
      </c>
      <c r="H859" s="62" t="s">
        <v>51</v>
      </c>
      <c r="I859" s="62" t="s">
        <v>47</v>
      </c>
      <c r="J859" s="62" t="s">
        <v>146</v>
      </c>
      <c r="K859" s="62" t="s">
        <v>175</v>
      </c>
      <c r="L859" s="62" t="s">
        <v>4</v>
      </c>
      <c r="M859" s="62" t="n">
        <v>1</v>
      </c>
      <c r="N859" s="62" t="n">
        <v>0</v>
      </c>
      <c r="O859" s="62" t="n">
        <v>1</v>
      </c>
      <c r="P859" s="62" t="n">
        <v>0</v>
      </c>
      <c r="Q859" s="62" t="n">
        <v>0</v>
      </c>
      <c r="R859" s="62" t="n">
        <v>0</v>
      </c>
      <c r="S859" s="62" t="n">
        <v>0</v>
      </c>
      <c r="T859" s="62" t="n">
        <v>0</v>
      </c>
      <c r="U859" s="62"/>
      <c r="V859" s="62"/>
      <c r="W859" s="62"/>
      <c r="X859" s="62"/>
      <c r="Y859" s="62"/>
      <c r="Z859" s="62" t="s">
        <v>1753</v>
      </c>
      <c r="AA859" s="62" t="s">
        <v>1754</v>
      </c>
      <c r="AB859" s="62" t="n">
        <v>1</v>
      </c>
      <c r="AC859" s="62" t="n">
        <v>0</v>
      </c>
      <c r="AD859" s="62" t="n">
        <v>1</v>
      </c>
      <c r="AE859" s="62" t="n">
        <f aca="false">IF(AND(Dashboard!$C$9="Yes",AC859=1),0,1)</f>
        <v>1</v>
      </c>
      <c r="AF859" s="62" t="n">
        <v>1</v>
      </c>
    </row>
    <row r="860" customFormat="false" ht="15" hidden="false" customHeight="false" outlineLevel="0" collapsed="false">
      <c r="A860" s="62" t="n">
        <v>859</v>
      </c>
      <c r="B860" s="63" t="n">
        <v>46257.0653587963</v>
      </c>
      <c r="C860" s="64" t="n">
        <v>46256</v>
      </c>
      <c r="D860" s="62" t="s">
        <v>358</v>
      </c>
      <c r="E860" s="62" t="s">
        <v>1749</v>
      </c>
      <c r="F860" s="62" t="s">
        <v>1749</v>
      </c>
      <c r="G860" s="62" t="s">
        <v>1750</v>
      </c>
      <c r="H860" s="62" t="s">
        <v>57</v>
      </c>
      <c r="I860" s="62" t="s">
        <v>47</v>
      </c>
      <c r="J860" s="62" t="s">
        <v>146</v>
      </c>
      <c r="K860" s="62" t="s">
        <v>209</v>
      </c>
      <c r="L860" s="62" t="s">
        <v>148</v>
      </c>
      <c r="M860" s="62" t="n">
        <v>0</v>
      </c>
      <c r="N860" s="62" t="n">
        <v>1</v>
      </c>
      <c r="O860" s="62" t="n">
        <v>1</v>
      </c>
      <c r="P860" s="62" t="n">
        <v>0</v>
      </c>
      <c r="Q860" s="62" t="n">
        <v>0</v>
      </c>
      <c r="R860" s="62" t="n">
        <v>0</v>
      </c>
      <c r="S860" s="62" t="n">
        <v>0</v>
      </c>
      <c r="T860" s="62" t="n">
        <v>1</v>
      </c>
      <c r="U860" s="62"/>
      <c r="V860" s="62"/>
      <c r="W860" s="62"/>
      <c r="X860" s="62"/>
      <c r="Y860" s="62"/>
      <c r="Z860" s="62" t="s">
        <v>1751</v>
      </c>
      <c r="AA860" s="62" t="s">
        <v>1752</v>
      </c>
      <c r="AB860" s="62" t="n">
        <v>1</v>
      </c>
      <c r="AC860" s="62" t="n">
        <v>0</v>
      </c>
      <c r="AD860" s="62" t="n">
        <v>1</v>
      </c>
      <c r="AE860" s="62" t="n">
        <f aca="false">IF(AND(Dashboard!$C$9="Yes",AC860=1),0,1)</f>
        <v>1</v>
      </c>
      <c r="AF860" s="62" t="n">
        <v>0</v>
      </c>
    </row>
    <row r="861" customFormat="false" ht="15" hidden="false" customHeight="false" outlineLevel="0" collapsed="false">
      <c r="A861" s="62" t="n">
        <v>860</v>
      </c>
      <c r="B861" s="63" t="n">
        <v>46257.0657060185</v>
      </c>
      <c r="C861" s="64" t="n">
        <v>46256</v>
      </c>
      <c r="D861" s="62" t="s">
        <v>358</v>
      </c>
      <c r="E861" s="62" t="s">
        <v>228</v>
      </c>
      <c r="F861" s="62" t="s">
        <v>229</v>
      </c>
      <c r="G861" s="62" t="s">
        <v>153</v>
      </c>
      <c r="H861" s="62" t="s">
        <v>153</v>
      </c>
      <c r="I861" s="62" t="s">
        <v>153</v>
      </c>
      <c r="J861" s="62" t="s">
        <v>64</v>
      </c>
      <c r="K861" s="62" t="s">
        <v>64</v>
      </c>
      <c r="L861" s="62" t="s">
        <v>148</v>
      </c>
      <c r="M861" s="62" t="n">
        <v>0</v>
      </c>
      <c r="N861" s="62" t="n">
        <v>1</v>
      </c>
      <c r="O861" s="62" t="n">
        <v>1</v>
      </c>
      <c r="P861" s="62" t="n">
        <v>0</v>
      </c>
      <c r="Q861" s="62" t="n">
        <v>0</v>
      </c>
      <c r="R861" s="62" t="n">
        <v>1</v>
      </c>
      <c r="S861" s="62" t="n">
        <v>0</v>
      </c>
      <c r="T861" s="62" t="n">
        <v>0</v>
      </c>
      <c r="U861" s="62"/>
      <c r="V861" s="62"/>
      <c r="W861" s="62"/>
      <c r="X861" s="62"/>
      <c r="Y861" s="62"/>
      <c r="Z861" s="62" t="s">
        <v>1755</v>
      </c>
      <c r="AA861" s="62" t="s">
        <v>1756</v>
      </c>
      <c r="AB861" s="62" t="n">
        <v>1</v>
      </c>
      <c r="AC861" s="62" t="n">
        <v>0</v>
      </c>
      <c r="AD861" s="62" t="n">
        <v>0</v>
      </c>
      <c r="AE861" s="62" t="n">
        <f aca="false">IF(AND(Dashboard!$C$9="Yes",AC861=1),0,1)</f>
        <v>1</v>
      </c>
      <c r="AF861" s="62" t="n">
        <v>0</v>
      </c>
    </row>
    <row r="862" customFormat="false" ht="15" hidden="false" customHeight="false" outlineLevel="0" collapsed="false">
      <c r="A862" s="62" t="n">
        <v>861</v>
      </c>
      <c r="B862" s="63" t="n">
        <v>46257.0677083333</v>
      </c>
      <c r="C862" s="64" t="n">
        <v>46256</v>
      </c>
      <c r="D862" s="62" t="s">
        <v>358</v>
      </c>
      <c r="E862" s="62" t="s">
        <v>790</v>
      </c>
      <c r="F862" s="62" t="s">
        <v>791</v>
      </c>
      <c r="G862" s="62" t="s">
        <v>153</v>
      </c>
      <c r="H862" s="62" t="s">
        <v>153</v>
      </c>
      <c r="I862" s="62" t="s">
        <v>153</v>
      </c>
      <c r="J862" s="62" t="s">
        <v>64</v>
      </c>
      <c r="K862" s="62" t="s">
        <v>64</v>
      </c>
      <c r="L862" s="62" t="s">
        <v>4</v>
      </c>
      <c r="M862" s="62" t="n">
        <v>1</v>
      </c>
      <c r="N862" s="62" t="n">
        <v>0</v>
      </c>
      <c r="O862" s="62" t="n">
        <v>1</v>
      </c>
      <c r="P862" s="62" t="n">
        <v>0</v>
      </c>
      <c r="Q862" s="62" t="n">
        <v>0</v>
      </c>
      <c r="R862" s="62" t="n">
        <v>0</v>
      </c>
      <c r="S862" s="62" t="n">
        <v>0</v>
      </c>
      <c r="T862" s="62" t="n">
        <v>0</v>
      </c>
      <c r="U862" s="62"/>
      <c r="V862" s="62"/>
      <c r="W862" s="62"/>
      <c r="X862" s="62"/>
      <c r="Y862" s="62"/>
      <c r="Z862" s="62" t="s">
        <v>1757</v>
      </c>
      <c r="AA862" s="62" t="s">
        <v>1758</v>
      </c>
      <c r="AB862" s="62" t="n">
        <v>1</v>
      </c>
      <c r="AC862" s="62" t="n">
        <v>0</v>
      </c>
      <c r="AD862" s="62" t="n">
        <v>0</v>
      </c>
      <c r="AE862" s="62" t="n">
        <f aca="false">IF(AND(Dashboard!$C$9="Yes",AC862=1),0,1)</f>
        <v>1</v>
      </c>
      <c r="AF862" s="62" t="n">
        <v>1</v>
      </c>
    </row>
    <row r="863" customFormat="false" ht="15" hidden="false" customHeight="false" outlineLevel="0" collapsed="false">
      <c r="A863" s="62" t="n">
        <v>862</v>
      </c>
      <c r="B863" s="63" t="n">
        <v>46257.0697453704</v>
      </c>
      <c r="C863" s="64" t="n">
        <v>46256</v>
      </c>
      <c r="D863" s="62" t="s">
        <v>358</v>
      </c>
      <c r="E863" s="62" t="s">
        <v>1749</v>
      </c>
      <c r="F863" s="62" t="s">
        <v>1749</v>
      </c>
      <c r="G863" s="62" t="s">
        <v>1750</v>
      </c>
      <c r="H863" s="62" t="s">
        <v>57</v>
      </c>
      <c r="I863" s="62" t="s">
        <v>47</v>
      </c>
      <c r="J863" s="62" t="s">
        <v>146</v>
      </c>
      <c r="K863" s="62" t="s">
        <v>209</v>
      </c>
      <c r="L863" s="62" t="s">
        <v>148</v>
      </c>
      <c r="M863" s="62" t="n">
        <v>0</v>
      </c>
      <c r="N863" s="62" t="n">
        <v>1</v>
      </c>
      <c r="O863" s="62" t="n">
        <v>1</v>
      </c>
      <c r="P863" s="62" t="n">
        <v>0</v>
      </c>
      <c r="Q863" s="62" t="n">
        <v>1</v>
      </c>
      <c r="R863" s="62" t="n">
        <v>0</v>
      </c>
      <c r="S863" s="62" t="n">
        <v>0</v>
      </c>
      <c r="T863" s="62" t="n">
        <v>0</v>
      </c>
      <c r="U863" s="62"/>
      <c r="V863" s="62"/>
      <c r="W863" s="62"/>
      <c r="X863" s="62"/>
      <c r="Y863" s="62"/>
      <c r="Z863" s="62" t="s">
        <v>1759</v>
      </c>
      <c r="AA863" s="62" t="s">
        <v>1760</v>
      </c>
      <c r="AB863" s="62" t="n">
        <v>1</v>
      </c>
      <c r="AC863" s="62" t="n">
        <v>0</v>
      </c>
      <c r="AD863" s="62" t="n">
        <v>1</v>
      </c>
      <c r="AE863" s="62" t="n">
        <f aca="false">IF(AND(Dashboard!$C$9="Yes",AC863=1),0,1)</f>
        <v>1</v>
      </c>
      <c r="AF863" s="62" t="n">
        <v>0</v>
      </c>
    </row>
    <row r="864" customFormat="false" ht="15" hidden="false" customHeight="false" outlineLevel="0" collapsed="false">
      <c r="A864" s="62" t="n">
        <v>863</v>
      </c>
      <c r="B864" s="63" t="n">
        <v>46257.0877199074</v>
      </c>
      <c r="C864" s="64" t="n">
        <v>46256</v>
      </c>
      <c r="D864" s="62" t="s">
        <v>358</v>
      </c>
      <c r="E864" s="62" t="s">
        <v>212</v>
      </c>
      <c r="F864" s="62" t="s">
        <v>212</v>
      </c>
      <c r="G864" s="62" t="s">
        <v>213</v>
      </c>
      <c r="H864" s="62" t="s">
        <v>58</v>
      </c>
      <c r="I864" s="62" t="s">
        <v>49</v>
      </c>
      <c r="J864" s="62" t="s">
        <v>146</v>
      </c>
      <c r="K864" s="62" t="s">
        <v>175</v>
      </c>
      <c r="L864" s="62" t="s">
        <v>148</v>
      </c>
      <c r="M864" s="62" t="n">
        <v>0</v>
      </c>
      <c r="N864" s="62" t="n">
        <v>2</v>
      </c>
      <c r="O864" s="62" t="n">
        <v>2</v>
      </c>
      <c r="P864" s="62" t="n">
        <v>1</v>
      </c>
      <c r="Q864" s="62" t="n">
        <v>1</v>
      </c>
      <c r="R864" s="62" t="n">
        <v>0</v>
      </c>
      <c r="S864" s="62" t="n">
        <v>0</v>
      </c>
      <c r="T864" s="62" t="n">
        <v>0</v>
      </c>
      <c r="U864" s="62"/>
      <c r="V864" s="62"/>
      <c r="W864" s="62"/>
      <c r="X864" s="62"/>
      <c r="Y864" s="62"/>
      <c r="Z864" s="62" t="s">
        <v>1761</v>
      </c>
      <c r="AA864" s="62" t="s">
        <v>1762</v>
      </c>
      <c r="AB864" s="62" t="n">
        <v>1</v>
      </c>
      <c r="AC864" s="62" t="n">
        <v>0</v>
      </c>
      <c r="AD864" s="62" t="n">
        <v>1</v>
      </c>
      <c r="AE864" s="62" t="n">
        <f aca="false">IF(AND(Dashboard!$C$9="Yes",AC864=1),0,1)</f>
        <v>1</v>
      </c>
      <c r="AF864" s="62" t="n">
        <v>0</v>
      </c>
    </row>
    <row r="865" customFormat="false" ht="15" hidden="false" customHeight="false" outlineLevel="0" collapsed="false">
      <c r="A865" s="62" t="n">
        <v>864</v>
      </c>
      <c r="B865" s="63" t="n">
        <v>46257.1203125</v>
      </c>
      <c r="C865" s="64" t="n">
        <v>46256</v>
      </c>
      <c r="D865" s="62" t="s">
        <v>358</v>
      </c>
      <c r="E865" s="62" t="s">
        <v>207</v>
      </c>
      <c r="F865" s="62" t="s">
        <v>207</v>
      </c>
      <c r="G865" s="62" t="s">
        <v>208</v>
      </c>
      <c r="H865" s="62" t="s">
        <v>48</v>
      </c>
      <c r="I865" s="62" t="s">
        <v>49</v>
      </c>
      <c r="J865" s="62" t="s">
        <v>146</v>
      </c>
      <c r="K865" s="62" t="s">
        <v>209</v>
      </c>
      <c r="L865" s="62" t="s">
        <v>148</v>
      </c>
      <c r="M865" s="62" t="n">
        <v>0</v>
      </c>
      <c r="N865" s="62" t="n">
        <v>2</v>
      </c>
      <c r="O865" s="62" t="n">
        <v>2</v>
      </c>
      <c r="P865" s="62" t="n">
        <v>1</v>
      </c>
      <c r="Q865" s="62" t="n">
        <v>0</v>
      </c>
      <c r="R865" s="62" t="n">
        <v>1</v>
      </c>
      <c r="S865" s="62" t="n">
        <v>0</v>
      </c>
      <c r="T865" s="62" t="n">
        <v>0</v>
      </c>
      <c r="U865" s="62"/>
      <c r="V865" s="62"/>
      <c r="W865" s="62"/>
      <c r="X865" s="62"/>
      <c r="Y865" s="62"/>
      <c r="Z865" s="62" t="s">
        <v>1763</v>
      </c>
      <c r="AA865" s="62" t="s">
        <v>1764</v>
      </c>
      <c r="AB865" s="62" t="n">
        <v>1</v>
      </c>
      <c r="AC865" s="62" t="n">
        <v>0</v>
      </c>
      <c r="AD865" s="62" t="n">
        <v>1</v>
      </c>
      <c r="AE865" s="62" t="n">
        <f aca="false">IF(AND(Dashboard!$C$9="Yes",AC865=1),0,1)</f>
        <v>1</v>
      </c>
      <c r="AF865" s="62" t="n">
        <v>1</v>
      </c>
    </row>
    <row r="866" customFormat="false" ht="15" hidden="false" customHeight="false" outlineLevel="0" collapsed="false">
      <c r="A866" s="62" t="n">
        <v>865</v>
      </c>
      <c r="B866" s="63" t="n">
        <v>46257.1238194444</v>
      </c>
      <c r="C866" s="64" t="n">
        <v>46256</v>
      </c>
      <c r="D866" s="62" t="s">
        <v>358</v>
      </c>
      <c r="E866" s="62" t="s">
        <v>1749</v>
      </c>
      <c r="F866" s="62" t="s">
        <v>1749</v>
      </c>
      <c r="G866" s="62" t="s">
        <v>1750</v>
      </c>
      <c r="H866" s="62" t="s">
        <v>57</v>
      </c>
      <c r="I866" s="62" t="s">
        <v>47</v>
      </c>
      <c r="J866" s="62" t="s">
        <v>146</v>
      </c>
      <c r="K866" s="62" t="s">
        <v>209</v>
      </c>
      <c r="L866" s="62" t="s">
        <v>148</v>
      </c>
      <c r="M866" s="62" t="n">
        <v>0</v>
      </c>
      <c r="N866" s="62" t="n">
        <v>1</v>
      </c>
      <c r="O866" s="62" t="n">
        <v>1</v>
      </c>
      <c r="P866" s="62" t="n">
        <v>0</v>
      </c>
      <c r="Q866" s="62" t="n">
        <v>0</v>
      </c>
      <c r="R866" s="62" t="n">
        <v>1</v>
      </c>
      <c r="S866" s="62" t="n">
        <v>0</v>
      </c>
      <c r="T866" s="62" t="n">
        <v>0</v>
      </c>
      <c r="U866" s="62"/>
      <c r="V866" s="62"/>
      <c r="W866" s="62"/>
      <c r="X866" s="62"/>
      <c r="Y866" s="62"/>
      <c r="Z866" s="62" t="s">
        <v>1765</v>
      </c>
      <c r="AA866" s="62" t="s">
        <v>1766</v>
      </c>
      <c r="AB866" s="62" t="n">
        <v>1</v>
      </c>
      <c r="AC866" s="62" t="n">
        <v>0</v>
      </c>
      <c r="AD866" s="62" t="n">
        <v>1</v>
      </c>
      <c r="AE866" s="62" t="n">
        <f aca="false">IF(AND(Dashboard!$C$9="Yes",AC866=1),0,1)</f>
        <v>1</v>
      </c>
      <c r="AF866" s="62" t="n">
        <v>0</v>
      </c>
    </row>
    <row r="867" customFormat="false" ht="15" hidden="false" customHeight="false" outlineLevel="0" collapsed="false">
      <c r="A867" s="62" t="n">
        <v>866</v>
      </c>
      <c r="B867" s="63" t="n">
        <v>46257.1993055556</v>
      </c>
      <c r="C867" s="64" t="n">
        <v>46256</v>
      </c>
      <c r="D867" s="62" t="s">
        <v>358</v>
      </c>
      <c r="E867" s="62" t="s">
        <v>273</v>
      </c>
      <c r="F867" s="62" t="s">
        <v>273</v>
      </c>
      <c r="G867" s="62" t="s">
        <v>274</v>
      </c>
      <c r="H867" s="62" t="s">
        <v>59</v>
      </c>
      <c r="I867" s="62" t="s">
        <v>47</v>
      </c>
      <c r="J867" s="62" t="s">
        <v>146</v>
      </c>
      <c r="K867" s="62" t="s">
        <v>147</v>
      </c>
      <c r="L867" s="62" t="s">
        <v>148</v>
      </c>
      <c r="M867" s="62" t="n">
        <v>0</v>
      </c>
      <c r="N867" s="62" t="n">
        <v>1</v>
      </c>
      <c r="O867" s="62" t="n">
        <v>1</v>
      </c>
      <c r="P867" s="62" t="n">
        <v>1</v>
      </c>
      <c r="Q867" s="62" t="n">
        <v>0</v>
      </c>
      <c r="R867" s="62" t="n">
        <v>0</v>
      </c>
      <c r="S867" s="62" t="n">
        <v>0</v>
      </c>
      <c r="T867" s="62" t="n">
        <v>0</v>
      </c>
      <c r="U867" s="62"/>
      <c r="V867" s="62"/>
      <c r="W867" s="62"/>
      <c r="X867" s="62"/>
      <c r="Y867" s="62"/>
      <c r="Z867" s="62" t="s">
        <v>1767</v>
      </c>
      <c r="AA867" s="62" t="s">
        <v>1768</v>
      </c>
      <c r="AB867" s="62" t="n">
        <v>1</v>
      </c>
      <c r="AC867" s="62" t="n">
        <v>0</v>
      </c>
      <c r="AD867" s="62" t="n">
        <v>1</v>
      </c>
      <c r="AE867" s="62" t="n">
        <f aca="false">IF(AND(Dashboard!$C$9="Yes",AC867=1),0,1)</f>
        <v>1</v>
      </c>
      <c r="AF867" s="62" t="n">
        <v>0</v>
      </c>
    </row>
    <row r="868" customFormat="false" ht="15" hidden="false" customHeight="false" outlineLevel="0" collapsed="false">
      <c r="A868" s="62" t="n">
        <v>867</v>
      </c>
      <c r="B868" s="63" t="n">
        <v>46257.2040393519</v>
      </c>
      <c r="C868" s="64" t="n">
        <v>46256</v>
      </c>
      <c r="D868" s="62" t="s">
        <v>358</v>
      </c>
      <c r="E868" s="62" t="s">
        <v>218</v>
      </c>
      <c r="F868" s="62" t="s">
        <v>218</v>
      </c>
      <c r="G868" s="62" t="s">
        <v>219</v>
      </c>
      <c r="H868" s="62" t="s">
        <v>51</v>
      </c>
      <c r="I868" s="62" t="s">
        <v>47</v>
      </c>
      <c r="J868" s="62" t="s">
        <v>146</v>
      </c>
      <c r="K868" s="62" t="s">
        <v>147</v>
      </c>
      <c r="L868" s="62" t="s">
        <v>4</v>
      </c>
      <c r="M868" s="62" t="n">
        <v>1</v>
      </c>
      <c r="N868" s="62" t="n">
        <v>0</v>
      </c>
      <c r="O868" s="62" t="n">
        <v>1</v>
      </c>
      <c r="P868" s="62" t="n">
        <v>0</v>
      </c>
      <c r="Q868" s="62" t="n">
        <v>0</v>
      </c>
      <c r="R868" s="62" t="n">
        <v>0</v>
      </c>
      <c r="S868" s="62" t="n">
        <v>0</v>
      </c>
      <c r="T868" s="62" t="n">
        <v>0</v>
      </c>
      <c r="U868" s="62"/>
      <c r="V868" s="62"/>
      <c r="W868" s="62"/>
      <c r="X868" s="62"/>
      <c r="Y868" s="62"/>
      <c r="Z868" s="62" t="s">
        <v>1769</v>
      </c>
      <c r="AA868" s="62" t="s">
        <v>1770</v>
      </c>
      <c r="AB868" s="62" t="n">
        <v>1</v>
      </c>
      <c r="AC868" s="62" t="n">
        <v>0</v>
      </c>
      <c r="AD868" s="62" t="n">
        <v>1</v>
      </c>
      <c r="AE868" s="62" t="n">
        <f aca="false">IF(AND(Dashboard!$C$9="Yes",AC868=1),0,1)</f>
        <v>1</v>
      </c>
      <c r="AF868" s="62" t="n">
        <v>0</v>
      </c>
    </row>
    <row r="869" customFormat="false" ht="15" hidden="false" customHeight="false" outlineLevel="0" collapsed="false">
      <c r="A869" s="62" t="n">
        <v>868</v>
      </c>
      <c r="B869" s="63" t="n">
        <v>46257.2283449074</v>
      </c>
      <c r="C869" s="64" t="n">
        <v>46256</v>
      </c>
      <c r="D869" s="62" t="s">
        <v>358</v>
      </c>
      <c r="E869" s="62" t="s">
        <v>144</v>
      </c>
      <c r="F869" s="62" t="s">
        <v>144</v>
      </c>
      <c r="G869" s="62" t="s">
        <v>145</v>
      </c>
      <c r="H869" s="62" t="s">
        <v>59</v>
      </c>
      <c r="I869" s="62" t="s">
        <v>47</v>
      </c>
      <c r="J869" s="62" t="s">
        <v>146</v>
      </c>
      <c r="K869" s="62" t="s">
        <v>147</v>
      </c>
      <c r="L869" s="62" t="s">
        <v>4</v>
      </c>
      <c r="M869" s="62" t="n">
        <v>1</v>
      </c>
      <c r="N869" s="62" t="n">
        <v>0</v>
      </c>
      <c r="O869" s="62" t="n">
        <v>1</v>
      </c>
      <c r="P869" s="62" t="n">
        <v>0</v>
      </c>
      <c r="Q869" s="62" t="n">
        <v>0</v>
      </c>
      <c r="R869" s="62" t="n">
        <v>0</v>
      </c>
      <c r="S869" s="62" t="n">
        <v>0</v>
      </c>
      <c r="T869" s="62" t="n">
        <v>0</v>
      </c>
      <c r="U869" s="62"/>
      <c r="V869" s="62"/>
      <c r="W869" s="62"/>
      <c r="X869" s="62"/>
      <c r="Y869" s="62"/>
      <c r="Z869" s="62" t="s">
        <v>1771</v>
      </c>
      <c r="AA869" s="62" t="s">
        <v>1772</v>
      </c>
      <c r="AB869" s="62" t="n">
        <v>1</v>
      </c>
      <c r="AC869" s="62" t="n">
        <v>0</v>
      </c>
      <c r="AD869" s="62" t="n">
        <v>1</v>
      </c>
      <c r="AE869" s="62" t="n">
        <f aca="false">IF(AND(Dashboard!$C$9="Yes",AC869=1),0,1)</f>
        <v>1</v>
      </c>
      <c r="AF869" s="62" t="n">
        <v>1</v>
      </c>
    </row>
    <row r="870" customFormat="false" ht="15" hidden="false" customHeight="false" outlineLevel="0" collapsed="false">
      <c r="A870" s="62" t="n">
        <v>869</v>
      </c>
      <c r="B870" s="63" t="n">
        <v>46257.2286689815</v>
      </c>
      <c r="C870" s="64" t="n">
        <v>46256</v>
      </c>
      <c r="D870" s="62" t="s">
        <v>358</v>
      </c>
      <c r="E870" s="62" t="s">
        <v>144</v>
      </c>
      <c r="F870" s="62" t="s">
        <v>144</v>
      </c>
      <c r="G870" s="62" t="s">
        <v>145</v>
      </c>
      <c r="H870" s="62" t="s">
        <v>59</v>
      </c>
      <c r="I870" s="62" t="s">
        <v>47</v>
      </c>
      <c r="J870" s="62" t="s">
        <v>146</v>
      </c>
      <c r="K870" s="62" t="s">
        <v>147</v>
      </c>
      <c r="L870" s="62" t="s">
        <v>4</v>
      </c>
      <c r="M870" s="62" t="n">
        <v>1</v>
      </c>
      <c r="N870" s="62" t="n">
        <v>0</v>
      </c>
      <c r="O870" s="62" t="n">
        <v>1</v>
      </c>
      <c r="P870" s="62" t="n">
        <v>0</v>
      </c>
      <c r="Q870" s="62" t="n">
        <v>0</v>
      </c>
      <c r="R870" s="62" t="n">
        <v>0</v>
      </c>
      <c r="S870" s="62" t="n">
        <v>0</v>
      </c>
      <c r="T870" s="62" t="n">
        <v>0</v>
      </c>
      <c r="U870" s="62"/>
      <c r="V870" s="62"/>
      <c r="W870" s="62"/>
      <c r="X870" s="62"/>
      <c r="Y870" s="62"/>
      <c r="Z870" s="62" t="s">
        <v>1771</v>
      </c>
      <c r="AA870" s="62" t="s">
        <v>1772</v>
      </c>
      <c r="AB870" s="62" t="n">
        <v>1</v>
      </c>
      <c r="AC870" s="62" t="n">
        <v>1</v>
      </c>
      <c r="AD870" s="62" t="n">
        <v>1</v>
      </c>
      <c r="AE870" s="62" t="n">
        <f aca="false">IF(AND(Dashboard!$C$9="Yes",AC870=1),0,1)</f>
        <v>0</v>
      </c>
      <c r="AF870" s="62" t="n">
        <v>0</v>
      </c>
    </row>
    <row r="871" customFormat="false" ht="15" hidden="false" customHeight="false" outlineLevel="0" collapsed="false">
      <c r="A871" s="62" t="n">
        <v>870</v>
      </c>
      <c r="B871" s="63" t="n">
        <v>46257.2288657407</v>
      </c>
      <c r="C871" s="64" t="n">
        <v>46256</v>
      </c>
      <c r="D871" s="62" t="s">
        <v>358</v>
      </c>
      <c r="E871" s="62" t="s">
        <v>144</v>
      </c>
      <c r="F871" s="62" t="s">
        <v>144</v>
      </c>
      <c r="G871" s="62" t="s">
        <v>145</v>
      </c>
      <c r="H871" s="62" t="s">
        <v>59</v>
      </c>
      <c r="I871" s="62" t="s">
        <v>47</v>
      </c>
      <c r="J871" s="62" t="s">
        <v>146</v>
      </c>
      <c r="K871" s="62" t="s">
        <v>147</v>
      </c>
      <c r="L871" s="62" t="s">
        <v>4</v>
      </c>
      <c r="M871" s="62" t="n">
        <v>1</v>
      </c>
      <c r="N871" s="62" t="n">
        <v>0</v>
      </c>
      <c r="O871" s="62" t="n">
        <v>1</v>
      </c>
      <c r="P871" s="62" t="n">
        <v>0</v>
      </c>
      <c r="Q871" s="62" t="n">
        <v>0</v>
      </c>
      <c r="R871" s="62" t="n">
        <v>0</v>
      </c>
      <c r="S871" s="62" t="n">
        <v>0</v>
      </c>
      <c r="T871" s="62" t="n">
        <v>0</v>
      </c>
      <c r="U871" s="62"/>
      <c r="V871" s="62"/>
      <c r="W871" s="62"/>
      <c r="X871" s="62"/>
      <c r="Y871" s="62"/>
      <c r="Z871" s="62" t="s">
        <v>1771</v>
      </c>
      <c r="AA871" s="62" t="s">
        <v>1772</v>
      </c>
      <c r="AB871" s="62" t="n">
        <v>1</v>
      </c>
      <c r="AC871" s="62" t="n">
        <v>1</v>
      </c>
      <c r="AD871" s="62" t="n">
        <v>1</v>
      </c>
      <c r="AE871" s="62" t="n">
        <f aca="false">IF(AND(Dashboard!$C$9="Yes",AC871=1),0,1)</f>
        <v>0</v>
      </c>
      <c r="AF871" s="62" t="n">
        <v>0</v>
      </c>
    </row>
    <row r="872" customFormat="false" ht="15" hidden="false" customHeight="false" outlineLevel="0" collapsed="false">
      <c r="A872" s="62" t="n">
        <v>871</v>
      </c>
      <c r="B872" s="63" t="n">
        <v>46257.2291203704</v>
      </c>
      <c r="C872" s="64" t="n">
        <v>46256</v>
      </c>
      <c r="D872" s="62" t="s">
        <v>358</v>
      </c>
      <c r="E872" s="62" t="s">
        <v>144</v>
      </c>
      <c r="F872" s="62" t="s">
        <v>144</v>
      </c>
      <c r="G872" s="62" t="s">
        <v>145</v>
      </c>
      <c r="H872" s="62" t="s">
        <v>59</v>
      </c>
      <c r="I872" s="62" t="s">
        <v>47</v>
      </c>
      <c r="J872" s="62" t="s">
        <v>146</v>
      </c>
      <c r="K872" s="62" t="s">
        <v>147</v>
      </c>
      <c r="L872" s="62" t="s">
        <v>148</v>
      </c>
      <c r="M872" s="62" t="n">
        <v>0</v>
      </c>
      <c r="N872" s="62" t="n">
        <v>1</v>
      </c>
      <c r="O872" s="62" t="n">
        <v>1</v>
      </c>
      <c r="P872" s="62" t="n">
        <v>1</v>
      </c>
      <c r="Q872" s="62" t="n">
        <v>0</v>
      </c>
      <c r="R872" s="62" t="n">
        <v>0</v>
      </c>
      <c r="S872" s="62" t="n">
        <v>0</v>
      </c>
      <c r="T872" s="62" t="n">
        <v>0</v>
      </c>
      <c r="U872" s="62"/>
      <c r="V872" s="62"/>
      <c r="W872" s="62"/>
      <c r="X872" s="62"/>
      <c r="Y872" s="62"/>
      <c r="Z872" s="62" t="s">
        <v>1773</v>
      </c>
      <c r="AA872" s="62" t="s">
        <v>287</v>
      </c>
      <c r="AB872" s="62" t="n">
        <v>0</v>
      </c>
      <c r="AC872" s="62" t="n">
        <v>0</v>
      </c>
      <c r="AD872" s="62" t="n">
        <v>1</v>
      </c>
      <c r="AE872" s="62" t="n">
        <f aca="false">IF(AND(Dashboard!$C$9="Yes",AC872=1),0,1)</f>
        <v>1</v>
      </c>
      <c r="AF872" s="62" t="n">
        <v>0</v>
      </c>
    </row>
    <row r="873" customFormat="false" ht="15" hidden="false" customHeight="false" outlineLevel="0" collapsed="false">
      <c r="A873" s="62" t="n">
        <v>872</v>
      </c>
      <c r="B873" s="63" t="n">
        <v>46257.2292939815</v>
      </c>
      <c r="C873" s="64" t="n">
        <v>46256</v>
      </c>
      <c r="D873" s="62" t="s">
        <v>358</v>
      </c>
      <c r="E873" s="62" t="s">
        <v>144</v>
      </c>
      <c r="F873" s="62" t="s">
        <v>144</v>
      </c>
      <c r="G873" s="62" t="s">
        <v>145</v>
      </c>
      <c r="H873" s="62" t="s">
        <v>59</v>
      </c>
      <c r="I873" s="62" t="s">
        <v>47</v>
      </c>
      <c r="J873" s="62" t="s">
        <v>146</v>
      </c>
      <c r="K873" s="62" t="s">
        <v>147</v>
      </c>
      <c r="L873" s="62" t="s">
        <v>148</v>
      </c>
      <c r="M873" s="62" t="n">
        <v>0</v>
      </c>
      <c r="N873" s="62" t="n">
        <v>1</v>
      </c>
      <c r="O873" s="62" t="n">
        <v>1</v>
      </c>
      <c r="P873" s="62" t="n">
        <v>1</v>
      </c>
      <c r="Q873" s="62" t="n">
        <v>0</v>
      </c>
      <c r="R873" s="62" t="n">
        <v>0</v>
      </c>
      <c r="S873" s="62" t="n">
        <v>0</v>
      </c>
      <c r="T873" s="62" t="n">
        <v>0</v>
      </c>
      <c r="U873" s="62"/>
      <c r="V873" s="62"/>
      <c r="W873" s="62"/>
      <c r="X873" s="62"/>
      <c r="Y873" s="62"/>
      <c r="Z873" s="62" t="s">
        <v>1773</v>
      </c>
      <c r="AA873" s="62" t="s">
        <v>237</v>
      </c>
      <c r="AB873" s="62" t="n">
        <v>0</v>
      </c>
      <c r="AC873" s="62" t="n">
        <v>0</v>
      </c>
      <c r="AD873" s="62" t="n">
        <v>1</v>
      </c>
      <c r="AE873" s="62" t="n">
        <f aca="false">IF(AND(Dashboard!$C$9="Yes",AC873=1),0,1)</f>
        <v>1</v>
      </c>
      <c r="AF873" s="62" t="n">
        <v>0</v>
      </c>
    </row>
    <row r="874" customFormat="false" ht="15" hidden="false" customHeight="false" outlineLevel="0" collapsed="false">
      <c r="A874" s="62" t="n">
        <v>873</v>
      </c>
      <c r="B874" s="63" t="n">
        <v>46257.2802662037</v>
      </c>
      <c r="C874" s="64" t="n">
        <v>46256</v>
      </c>
      <c r="D874" s="62" t="s">
        <v>358</v>
      </c>
      <c r="E874" s="62" t="s">
        <v>1326</v>
      </c>
      <c r="F874" s="62" t="s">
        <v>1326</v>
      </c>
      <c r="G874" s="62" t="s">
        <v>1327</v>
      </c>
      <c r="H874" s="62" t="s">
        <v>57</v>
      </c>
      <c r="I874" s="62" t="s">
        <v>47</v>
      </c>
      <c r="J874" s="62" t="s">
        <v>146</v>
      </c>
      <c r="K874" s="62" t="s">
        <v>175</v>
      </c>
      <c r="L874" s="62" t="s">
        <v>4</v>
      </c>
      <c r="M874" s="62" t="n">
        <v>1</v>
      </c>
      <c r="N874" s="62" t="n">
        <v>0</v>
      </c>
      <c r="O874" s="62" t="n">
        <v>1</v>
      </c>
      <c r="P874" s="62" t="n">
        <v>0</v>
      </c>
      <c r="Q874" s="62" t="n">
        <v>0</v>
      </c>
      <c r="R874" s="62" t="n">
        <v>0</v>
      </c>
      <c r="S874" s="62" t="n">
        <v>0</v>
      </c>
      <c r="T874" s="62" t="n">
        <v>0</v>
      </c>
      <c r="U874" s="62"/>
      <c r="V874" s="62"/>
      <c r="W874" s="62"/>
      <c r="X874" s="62"/>
      <c r="Y874" s="62"/>
      <c r="Z874" s="62" t="s">
        <v>1774</v>
      </c>
      <c r="AA874" s="62" t="s">
        <v>1775</v>
      </c>
      <c r="AB874" s="62" t="n">
        <v>1</v>
      </c>
      <c r="AC874" s="62" t="n">
        <v>0</v>
      </c>
      <c r="AD874" s="62" t="n">
        <v>1</v>
      </c>
      <c r="AE874" s="62" t="n">
        <f aca="false">IF(AND(Dashboard!$C$9="Yes",AC874=1),0,1)</f>
        <v>1</v>
      </c>
      <c r="AF874" s="62" t="n">
        <v>1</v>
      </c>
    </row>
    <row r="875" customFormat="false" ht="15" hidden="false" customHeight="false" outlineLevel="0" collapsed="false">
      <c r="A875" s="62" t="n">
        <v>874</v>
      </c>
      <c r="B875" s="63" t="n">
        <v>46257.2807060185</v>
      </c>
      <c r="C875" s="64" t="n">
        <v>46256</v>
      </c>
      <c r="D875" s="62" t="s">
        <v>358</v>
      </c>
      <c r="E875" s="62" t="s">
        <v>1326</v>
      </c>
      <c r="F875" s="62" t="s">
        <v>1326</v>
      </c>
      <c r="G875" s="62" t="s">
        <v>1327</v>
      </c>
      <c r="H875" s="62" t="s">
        <v>57</v>
      </c>
      <c r="I875" s="62" t="s">
        <v>47</v>
      </c>
      <c r="J875" s="62" t="s">
        <v>146</v>
      </c>
      <c r="K875" s="62" t="s">
        <v>175</v>
      </c>
      <c r="L875" s="62" t="s">
        <v>4</v>
      </c>
      <c r="M875" s="62" t="n">
        <v>1</v>
      </c>
      <c r="N875" s="62" t="n">
        <v>0</v>
      </c>
      <c r="O875" s="62" t="n">
        <v>1</v>
      </c>
      <c r="P875" s="62" t="n">
        <v>0</v>
      </c>
      <c r="Q875" s="62" t="n">
        <v>0</v>
      </c>
      <c r="R875" s="62" t="n">
        <v>0</v>
      </c>
      <c r="S875" s="62" t="n">
        <v>0</v>
      </c>
      <c r="T875" s="62" t="n">
        <v>0</v>
      </c>
      <c r="U875" s="62"/>
      <c r="V875" s="62"/>
      <c r="W875" s="62"/>
      <c r="X875" s="62"/>
      <c r="Y875" s="62"/>
      <c r="Z875" s="62" t="s">
        <v>1776</v>
      </c>
      <c r="AA875" s="62" t="s">
        <v>1777</v>
      </c>
      <c r="AB875" s="62" t="n">
        <v>1</v>
      </c>
      <c r="AC875" s="62" t="n">
        <v>0</v>
      </c>
      <c r="AD875" s="62" t="n">
        <v>1</v>
      </c>
      <c r="AE875" s="62" t="n">
        <f aca="false">IF(AND(Dashboard!$C$9="Yes",AC875=1),0,1)</f>
        <v>1</v>
      </c>
      <c r="AF875" s="62" t="n">
        <v>0</v>
      </c>
    </row>
    <row r="876" customFormat="false" ht="15" hidden="false" customHeight="false" outlineLevel="0" collapsed="false">
      <c r="A876" s="62" t="n">
        <v>875</v>
      </c>
      <c r="B876" s="63" t="n">
        <v>46257.2928472222</v>
      </c>
      <c r="C876" s="64" t="n">
        <v>46256</v>
      </c>
      <c r="D876" s="62" t="s">
        <v>358</v>
      </c>
      <c r="E876" s="62" t="s">
        <v>144</v>
      </c>
      <c r="F876" s="62" t="s">
        <v>144</v>
      </c>
      <c r="G876" s="62" t="s">
        <v>145</v>
      </c>
      <c r="H876" s="62" t="s">
        <v>59</v>
      </c>
      <c r="I876" s="62" t="s">
        <v>47</v>
      </c>
      <c r="J876" s="62" t="s">
        <v>146</v>
      </c>
      <c r="K876" s="62" t="s">
        <v>147</v>
      </c>
      <c r="L876" s="62" t="s">
        <v>148</v>
      </c>
      <c r="M876" s="62" t="n">
        <v>0</v>
      </c>
      <c r="N876" s="62" t="n">
        <v>1</v>
      </c>
      <c r="O876" s="62" t="n">
        <v>1</v>
      </c>
      <c r="P876" s="62" t="n">
        <v>0</v>
      </c>
      <c r="Q876" s="62" t="n">
        <v>1</v>
      </c>
      <c r="R876" s="62" t="n">
        <v>0</v>
      </c>
      <c r="S876" s="62" t="n">
        <v>0</v>
      </c>
      <c r="T876" s="62" t="n">
        <v>0</v>
      </c>
      <c r="U876" s="62"/>
      <c r="V876" s="62"/>
      <c r="W876" s="62"/>
      <c r="X876" s="62"/>
      <c r="Y876" s="62"/>
      <c r="Z876" s="62" t="s">
        <v>1778</v>
      </c>
      <c r="AA876" s="62" t="s">
        <v>1779</v>
      </c>
      <c r="AB876" s="62" t="n">
        <v>1</v>
      </c>
      <c r="AC876" s="62" t="n">
        <v>0</v>
      </c>
      <c r="AD876" s="62" t="n">
        <v>1</v>
      </c>
      <c r="AE876" s="62" t="n">
        <f aca="false">IF(AND(Dashboard!$C$9="Yes",AC876=1),0,1)</f>
        <v>1</v>
      </c>
      <c r="AF876" s="62" t="n">
        <v>0</v>
      </c>
    </row>
    <row r="877" customFormat="false" ht="15" hidden="false" customHeight="false" outlineLevel="0" collapsed="false">
      <c r="A877" s="62" t="n">
        <v>876</v>
      </c>
      <c r="B877" s="63" t="n">
        <v>46257.3044328704</v>
      </c>
      <c r="C877" s="64" t="n">
        <v>46256</v>
      </c>
      <c r="D877" s="62" t="s">
        <v>358</v>
      </c>
      <c r="E877" s="62" t="s">
        <v>1172</v>
      </c>
      <c r="F877" s="62" t="s">
        <v>1172</v>
      </c>
      <c r="G877" s="62" t="s">
        <v>1173</v>
      </c>
      <c r="H877" s="62" t="s">
        <v>59</v>
      </c>
      <c r="I877" s="62" t="s">
        <v>47</v>
      </c>
      <c r="J877" s="62" t="s">
        <v>146</v>
      </c>
      <c r="K877" s="62" t="s">
        <v>209</v>
      </c>
      <c r="L877" s="62" t="s">
        <v>148</v>
      </c>
      <c r="M877" s="62" t="n">
        <v>0</v>
      </c>
      <c r="N877" s="62" t="n">
        <v>1</v>
      </c>
      <c r="O877" s="62" t="n">
        <v>1</v>
      </c>
      <c r="P877" s="62" t="n">
        <v>0</v>
      </c>
      <c r="Q877" s="62" t="n">
        <v>1</v>
      </c>
      <c r="R877" s="62" t="n">
        <v>0</v>
      </c>
      <c r="S877" s="62" t="n">
        <v>0</v>
      </c>
      <c r="T877" s="62" t="n">
        <v>0</v>
      </c>
      <c r="U877" s="62"/>
      <c r="V877" s="62"/>
      <c r="W877" s="62"/>
      <c r="X877" s="62"/>
      <c r="Y877" s="62"/>
      <c r="Z877" s="62" t="s">
        <v>1778</v>
      </c>
      <c r="AA877" s="62" t="s">
        <v>1778</v>
      </c>
      <c r="AB877" s="62" t="n">
        <v>1</v>
      </c>
      <c r="AC877" s="62" t="n">
        <v>0</v>
      </c>
      <c r="AD877" s="62" t="n">
        <v>1</v>
      </c>
      <c r="AE877" s="62" t="n">
        <f aca="false">IF(AND(Dashboard!$C$9="Yes",AC877=1),0,1)</f>
        <v>1</v>
      </c>
      <c r="AF877" s="62" t="n">
        <v>1</v>
      </c>
    </row>
    <row r="878" customFormat="false" ht="15" hidden="false" customHeight="false" outlineLevel="0" collapsed="false">
      <c r="A878" s="62" t="n">
        <v>877</v>
      </c>
      <c r="B878" s="63" t="n">
        <v>46257.6143055556</v>
      </c>
      <c r="C878" s="64" t="n">
        <v>46257</v>
      </c>
      <c r="D878" s="62" t="s">
        <v>393</v>
      </c>
      <c r="E878" s="62" t="s">
        <v>228</v>
      </c>
      <c r="F878" s="62" t="s">
        <v>229</v>
      </c>
      <c r="G878" s="62" t="s">
        <v>153</v>
      </c>
      <c r="H878" s="62" t="s">
        <v>153</v>
      </c>
      <c r="I878" s="62" t="s">
        <v>153</v>
      </c>
      <c r="J878" s="62" t="s">
        <v>64</v>
      </c>
      <c r="K878" s="62" t="s">
        <v>64</v>
      </c>
      <c r="L878" s="62" t="s">
        <v>148</v>
      </c>
      <c r="M878" s="62" t="n">
        <v>0</v>
      </c>
      <c r="N878" s="62" t="n">
        <v>1</v>
      </c>
      <c r="O878" s="62" t="n">
        <v>1</v>
      </c>
      <c r="P878" s="62" t="n">
        <v>1</v>
      </c>
      <c r="Q878" s="62" t="n">
        <v>0</v>
      </c>
      <c r="R878" s="62" t="n">
        <v>0</v>
      </c>
      <c r="S878" s="62" t="n">
        <v>0</v>
      </c>
      <c r="T878" s="62" t="n">
        <v>0</v>
      </c>
      <c r="U878" s="62"/>
      <c r="V878" s="62"/>
      <c r="W878" s="62"/>
      <c r="X878" s="62"/>
      <c r="Y878" s="62"/>
      <c r="Z878" s="62" t="s">
        <v>1780</v>
      </c>
      <c r="AA878" s="62" t="s">
        <v>1781</v>
      </c>
      <c r="AB878" s="62" t="n">
        <v>1</v>
      </c>
      <c r="AC878" s="62" t="n">
        <v>0</v>
      </c>
      <c r="AD878" s="62" t="n">
        <v>0</v>
      </c>
      <c r="AE878" s="62" t="n">
        <f aca="false">IF(AND(Dashboard!$C$9="Yes",AC878=1),0,1)</f>
        <v>1</v>
      </c>
      <c r="AF878" s="62" t="n">
        <v>1</v>
      </c>
    </row>
    <row r="879" customFormat="false" ht="15" hidden="false" customHeight="false" outlineLevel="0" collapsed="false">
      <c r="A879" s="62" t="n">
        <v>878</v>
      </c>
      <c r="B879" s="63" t="n">
        <v>46257.635</v>
      </c>
      <c r="C879" s="64" t="n">
        <v>46257</v>
      </c>
      <c r="D879" s="62" t="s">
        <v>393</v>
      </c>
      <c r="E879" s="62" t="s">
        <v>228</v>
      </c>
      <c r="F879" s="62" t="s">
        <v>229</v>
      </c>
      <c r="G879" s="62" t="s">
        <v>153</v>
      </c>
      <c r="H879" s="62" t="s">
        <v>153</v>
      </c>
      <c r="I879" s="62" t="s">
        <v>153</v>
      </c>
      <c r="J879" s="62" t="s">
        <v>64</v>
      </c>
      <c r="K879" s="62" t="s">
        <v>64</v>
      </c>
      <c r="L879" s="62" t="s">
        <v>4</v>
      </c>
      <c r="M879" s="62" t="n">
        <v>1</v>
      </c>
      <c r="N879" s="62" t="n">
        <v>0</v>
      </c>
      <c r="O879" s="62" t="n">
        <v>1</v>
      </c>
      <c r="P879" s="62" t="n">
        <v>0</v>
      </c>
      <c r="Q879" s="62" t="n">
        <v>0</v>
      </c>
      <c r="R879" s="62" t="n">
        <v>0</v>
      </c>
      <c r="S879" s="62" t="n">
        <v>0</v>
      </c>
      <c r="T879" s="62" t="n">
        <v>0</v>
      </c>
      <c r="U879" s="62"/>
      <c r="V879" s="62"/>
      <c r="W879" s="62"/>
      <c r="X879" s="62"/>
      <c r="Y879" s="62"/>
      <c r="Z879" s="62" t="s">
        <v>1782</v>
      </c>
      <c r="AA879" s="62" t="s">
        <v>1783</v>
      </c>
      <c r="AB879" s="62" t="n">
        <v>1</v>
      </c>
      <c r="AC879" s="62" t="n">
        <v>0</v>
      </c>
      <c r="AD879" s="62" t="n">
        <v>0</v>
      </c>
      <c r="AE879" s="62" t="n">
        <f aca="false">IF(AND(Dashboard!$C$9="Yes",AC879=1),0,1)</f>
        <v>1</v>
      </c>
      <c r="AF879" s="62" t="n">
        <v>0</v>
      </c>
    </row>
    <row r="880" customFormat="false" ht="15" hidden="false" customHeight="false" outlineLevel="0" collapsed="false">
      <c r="A880" s="62" t="n">
        <v>879</v>
      </c>
      <c r="B880" s="63" t="n">
        <v>46257.6449421296</v>
      </c>
      <c r="C880" s="64" t="n">
        <v>46257</v>
      </c>
      <c r="D880" s="62" t="s">
        <v>393</v>
      </c>
      <c r="E880" s="62" t="s">
        <v>160</v>
      </c>
      <c r="F880" s="62" t="s">
        <v>160</v>
      </c>
      <c r="G880" s="62" t="s">
        <v>161</v>
      </c>
      <c r="H880" s="62" t="s">
        <v>51</v>
      </c>
      <c r="I880" s="62" t="s">
        <v>47</v>
      </c>
      <c r="J880" s="62" t="s">
        <v>146</v>
      </c>
      <c r="K880" s="62" t="s">
        <v>147</v>
      </c>
      <c r="L880" s="62" t="s">
        <v>4</v>
      </c>
      <c r="M880" s="62" t="n">
        <v>1</v>
      </c>
      <c r="N880" s="62" t="n">
        <v>0</v>
      </c>
      <c r="O880" s="62" t="n">
        <v>1</v>
      </c>
      <c r="P880" s="62" t="n">
        <v>0</v>
      </c>
      <c r="Q880" s="62" t="n">
        <v>0</v>
      </c>
      <c r="R880" s="62" t="n">
        <v>0</v>
      </c>
      <c r="S880" s="62" t="n">
        <v>0</v>
      </c>
      <c r="T880" s="62" t="n">
        <v>0</v>
      </c>
      <c r="U880" s="62"/>
      <c r="V880" s="62"/>
      <c r="W880" s="62"/>
      <c r="X880" s="62"/>
      <c r="Y880" s="62"/>
      <c r="Z880" s="62" t="s">
        <v>1784</v>
      </c>
      <c r="AA880" s="62" t="s">
        <v>1785</v>
      </c>
      <c r="AB880" s="62" t="n">
        <v>1</v>
      </c>
      <c r="AC880" s="62" t="n">
        <v>0</v>
      </c>
      <c r="AD880" s="62" t="n">
        <v>1</v>
      </c>
      <c r="AE880" s="62" t="n">
        <f aca="false">IF(AND(Dashboard!$C$9="Yes",AC880=1),0,1)</f>
        <v>1</v>
      </c>
      <c r="AF880" s="62" t="n">
        <v>1</v>
      </c>
    </row>
    <row r="881" customFormat="false" ht="15" hidden="false" customHeight="false" outlineLevel="0" collapsed="false">
      <c r="A881" s="62" t="n">
        <v>880</v>
      </c>
      <c r="B881" s="63" t="n">
        <v>46257.6988194444</v>
      </c>
      <c r="C881" s="64" t="n">
        <v>46257</v>
      </c>
      <c r="D881" s="62" t="s">
        <v>393</v>
      </c>
      <c r="E881" s="62" t="s">
        <v>164</v>
      </c>
      <c r="F881" s="62" t="s">
        <v>164</v>
      </c>
      <c r="G881" s="62" t="s">
        <v>165</v>
      </c>
      <c r="H881" s="62" t="s">
        <v>51</v>
      </c>
      <c r="I881" s="62" t="s">
        <v>47</v>
      </c>
      <c r="J881" s="62" t="s">
        <v>146</v>
      </c>
      <c r="K881" s="62" t="s">
        <v>147</v>
      </c>
      <c r="L881" s="62" t="s">
        <v>148</v>
      </c>
      <c r="M881" s="62" t="n">
        <v>0</v>
      </c>
      <c r="N881" s="62" t="n">
        <v>1</v>
      </c>
      <c r="O881" s="62" t="n">
        <v>1</v>
      </c>
      <c r="P881" s="62" t="n">
        <v>0</v>
      </c>
      <c r="Q881" s="62" t="n">
        <v>1</v>
      </c>
      <c r="R881" s="62" t="n">
        <v>0</v>
      </c>
      <c r="S881" s="62" t="n">
        <v>0</v>
      </c>
      <c r="T881" s="62" t="n">
        <v>0</v>
      </c>
      <c r="U881" s="62"/>
      <c r="V881" s="62"/>
      <c r="W881" s="62"/>
      <c r="X881" s="62"/>
      <c r="Y881" s="62"/>
      <c r="Z881" s="62" t="s">
        <v>1786</v>
      </c>
      <c r="AA881" s="62" t="s">
        <v>1787</v>
      </c>
      <c r="AB881" s="62" t="n">
        <v>1</v>
      </c>
      <c r="AC881" s="62" t="n">
        <v>0</v>
      </c>
      <c r="AD881" s="62" t="n">
        <v>1</v>
      </c>
      <c r="AE881" s="62" t="n">
        <f aca="false">IF(AND(Dashboard!$C$9="Yes",AC881=1),0,1)</f>
        <v>1</v>
      </c>
      <c r="AF881" s="62" t="n">
        <v>1</v>
      </c>
    </row>
    <row r="882" customFormat="false" ht="15" hidden="false" customHeight="false" outlineLevel="0" collapsed="false">
      <c r="A882" s="62" t="n">
        <v>881</v>
      </c>
      <c r="B882" s="63" t="n">
        <v>46257.7018634259</v>
      </c>
      <c r="C882" s="64" t="n">
        <v>46257</v>
      </c>
      <c r="D882" s="62" t="s">
        <v>393</v>
      </c>
      <c r="E882" s="62" t="s">
        <v>586</v>
      </c>
      <c r="F882" s="62" t="s">
        <v>586</v>
      </c>
      <c r="G882" s="62" t="s">
        <v>587</v>
      </c>
      <c r="H882" s="62" t="s">
        <v>57</v>
      </c>
      <c r="I882" s="62" t="s">
        <v>47</v>
      </c>
      <c r="J882" s="62" t="s">
        <v>146</v>
      </c>
      <c r="K882" s="62" t="s">
        <v>175</v>
      </c>
      <c r="L882" s="62" t="s">
        <v>148</v>
      </c>
      <c r="M882" s="62" t="n">
        <v>0</v>
      </c>
      <c r="N882" s="62" t="n">
        <v>2</v>
      </c>
      <c r="O882" s="62" t="n">
        <v>2</v>
      </c>
      <c r="P882" s="62" t="n">
        <v>1</v>
      </c>
      <c r="Q882" s="62" t="n">
        <v>0</v>
      </c>
      <c r="R882" s="62" t="n">
        <v>1</v>
      </c>
      <c r="S882" s="62" t="n">
        <v>0</v>
      </c>
      <c r="T882" s="62" t="n">
        <v>0</v>
      </c>
      <c r="U882" s="62"/>
      <c r="V882" s="62"/>
      <c r="W882" s="62"/>
      <c r="X882" s="62"/>
      <c r="Y882" s="62"/>
      <c r="Z882" s="62" t="s">
        <v>1788</v>
      </c>
      <c r="AA882" s="62" t="s">
        <v>1789</v>
      </c>
      <c r="AB882" s="62" t="n">
        <v>1</v>
      </c>
      <c r="AC882" s="62" t="n">
        <v>0</v>
      </c>
      <c r="AD882" s="62" t="n">
        <v>1</v>
      </c>
      <c r="AE882" s="62" t="n">
        <f aca="false">IF(AND(Dashboard!$C$9="Yes",AC882=1),0,1)</f>
        <v>1</v>
      </c>
      <c r="AF882" s="62" t="n">
        <v>1</v>
      </c>
    </row>
    <row r="883" customFormat="false" ht="15" hidden="false" customHeight="false" outlineLevel="0" collapsed="false">
      <c r="A883" s="62" t="n">
        <v>882</v>
      </c>
      <c r="B883" s="63" t="n">
        <v>46257.7239467593</v>
      </c>
      <c r="C883" s="64" t="n">
        <v>46257</v>
      </c>
      <c r="D883" s="62" t="s">
        <v>393</v>
      </c>
      <c r="E883" s="62" t="s">
        <v>164</v>
      </c>
      <c r="F883" s="62" t="s">
        <v>164</v>
      </c>
      <c r="G883" s="62" t="s">
        <v>165</v>
      </c>
      <c r="H883" s="62" t="s">
        <v>51</v>
      </c>
      <c r="I883" s="62" t="s">
        <v>47</v>
      </c>
      <c r="J883" s="62" t="s">
        <v>146</v>
      </c>
      <c r="K883" s="62" t="s">
        <v>147</v>
      </c>
      <c r="L883" s="62" t="s">
        <v>4</v>
      </c>
      <c r="M883" s="62" t="n">
        <v>1</v>
      </c>
      <c r="N883" s="62" t="n">
        <v>0</v>
      </c>
      <c r="O883" s="62" t="n">
        <v>1</v>
      </c>
      <c r="P883" s="62" t="n">
        <v>0</v>
      </c>
      <c r="Q883" s="62" t="n">
        <v>0</v>
      </c>
      <c r="R883" s="62" t="n">
        <v>0</v>
      </c>
      <c r="S883" s="62" t="n">
        <v>0</v>
      </c>
      <c r="T883" s="62" t="n">
        <v>0</v>
      </c>
      <c r="U883" s="62"/>
      <c r="V883" s="62"/>
      <c r="W883" s="62"/>
      <c r="X883" s="62"/>
      <c r="Y883" s="62"/>
      <c r="Z883" s="62" t="s">
        <v>1786</v>
      </c>
      <c r="AA883" s="62" t="s">
        <v>1790</v>
      </c>
      <c r="AB883" s="62" t="n">
        <v>1</v>
      </c>
      <c r="AC883" s="62" t="n">
        <v>0</v>
      </c>
      <c r="AD883" s="62" t="n">
        <v>1</v>
      </c>
      <c r="AE883" s="62" t="n">
        <f aca="false">IF(AND(Dashboard!$C$9="Yes",AC883=1),0,1)</f>
        <v>1</v>
      </c>
      <c r="AF883" s="62" t="n">
        <v>0</v>
      </c>
    </row>
    <row r="884" customFormat="false" ht="15" hidden="false" customHeight="false" outlineLevel="0" collapsed="false">
      <c r="A884" s="62" t="n">
        <v>883</v>
      </c>
      <c r="B884" s="63" t="n">
        <v>46257.7387962963</v>
      </c>
      <c r="C884" s="64" t="n">
        <v>46257</v>
      </c>
      <c r="D884" s="62" t="s">
        <v>393</v>
      </c>
      <c r="E884" s="62" t="s">
        <v>228</v>
      </c>
      <c r="F884" s="62" t="s">
        <v>229</v>
      </c>
      <c r="G884" s="62" t="s">
        <v>153</v>
      </c>
      <c r="H884" s="62" t="s">
        <v>153</v>
      </c>
      <c r="I884" s="62" t="s">
        <v>153</v>
      </c>
      <c r="J884" s="62" t="s">
        <v>64</v>
      </c>
      <c r="K884" s="62" t="s">
        <v>64</v>
      </c>
      <c r="L884" s="62" t="s">
        <v>148</v>
      </c>
      <c r="M884" s="62" t="n">
        <v>0</v>
      </c>
      <c r="N884" s="62" t="n">
        <v>1</v>
      </c>
      <c r="O884" s="62" t="n">
        <v>1</v>
      </c>
      <c r="P884" s="62" t="n">
        <v>0</v>
      </c>
      <c r="Q884" s="62" t="n">
        <v>0</v>
      </c>
      <c r="R884" s="62" t="n">
        <v>1</v>
      </c>
      <c r="S884" s="62" t="n">
        <v>0</v>
      </c>
      <c r="T884" s="62" t="n">
        <v>0</v>
      </c>
      <c r="U884" s="62"/>
      <c r="V884" s="62"/>
      <c r="W884" s="62"/>
      <c r="X884" s="62"/>
      <c r="Y884" s="62"/>
      <c r="Z884" s="62" t="s">
        <v>1791</v>
      </c>
      <c r="AA884" s="62" t="s">
        <v>1792</v>
      </c>
      <c r="AB884" s="62" t="n">
        <v>1</v>
      </c>
      <c r="AC884" s="62" t="n">
        <v>0</v>
      </c>
      <c r="AD884" s="62" t="n">
        <v>0</v>
      </c>
      <c r="AE884" s="62" t="n">
        <f aca="false">IF(AND(Dashboard!$C$9="Yes",AC884=1),0,1)</f>
        <v>1</v>
      </c>
      <c r="AF884" s="62" t="n">
        <v>0</v>
      </c>
    </row>
    <row r="885" customFormat="false" ht="15" hidden="false" customHeight="false" outlineLevel="0" collapsed="false">
      <c r="A885" s="62" t="n">
        <v>884</v>
      </c>
      <c r="B885" s="63" t="n">
        <v>46257.7548611111</v>
      </c>
      <c r="C885" s="64" t="n">
        <v>46257</v>
      </c>
      <c r="D885" s="62" t="s">
        <v>393</v>
      </c>
      <c r="E885" s="62" t="s">
        <v>255</v>
      </c>
      <c r="F885" s="62" t="s">
        <v>255</v>
      </c>
      <c r="G885" s="62" t="s">
        <v>256</v>
      </c>
      <c r="H885" s="62" t="s">
        <v>57</v>
      </c>
      <c r="I885" s="62" t="s">
        <v>47</v>
      </c>
      <c r="J885" s="62" t="s">
        <v>146</v>
      </c>
      <c r="K885" s="62" t="s">
        <v>147</v>
      </c>
      <c r="L885" s="62" t="s">
        <v>148</v>
      </c>
      <c r="M885" s="62" t="n">
        <v>0</v>
      </c>
      <c r="N885" s="62" t="n">
        <v>1</v>
      </c>
      <c r="O885" s="62" t="n">
        <v>1</v>
      </c>
      <c r="P885" s="62" t="n">
        <v>1</v>
      </c>
      <c r="Q885" s="62" t="n">
        <v>0</v>
      </c>
      <c r="R885" s="62" t="n">
        <v>0</v>
      </c>
      <c r="S885" s="62" t="n">
        <v>0</v>
      </c>
      <c r="T885" s="62" t="n">
        <v>0</v>
      </c>
      <c r="U885" s="62"/>
      <c r="V885" s="62"/>
      <c r="W885" s="62"/>
      <c r="X885" s="62"/>
      <c r="Y885" s="62"/>
      <c r="Z885" s="62" t="s">
        <v>1793</v>
      </c>
      <c r="AA885" s="62" t="s">
        <v>1794</v>
      </c>
      <c r="AB885" s="62" t="n">
        <v>1</v>
      </c>
      <c r="AC885" s="62" t="n">
        <v>0</v>
      </c>
      <c r="AD885" s="62" t="n">
        <v>1</v>
      </c>
      <c r="AE885" s="62" t="n">
        <f aca="false">IF(AND(Dashboard!$C$9="Yes",AC885=1),0,1)</f>
        <v>1</v>
      </c>
      <c r="AF885" s="62" t="n">
        <v>1</v>
      </c>
    </row>
    <row r="886" customFormat="false" ht="15" hidden="false" customHeight="false" outlineLevel="0" collapsed="false">
      <c r="A886" s="62" t="n">
        <v>885</v>
      </c>
      <c r="B886" s="63" t="n">
        <v>46257.781875</v>
      </c>
      <c r="C886" s="64" t="n">
        <v>46257</v>
      </c>
      <c r="D886" s="62" t="s">
        <v>393</v>
      </c>
      <c r="E886" s="62" t="s">
        <v>228</v>
      </c>
      <c r="F886" s="62" t="s">
        <v>229</v>
      </c>
      <c r="G886" s="62" t="s">
        <v>153</v>
      </c>
      <c r="H886" s="62" t="s">
        <v>153</v>
      </c>
      <c r="I886" s="62" t="s">
        <v>153</v>
      </c>
      <c r="J886" s="62" t="s">
        <v>64</v>
      </c>
      <c r="K886" s="62" t="s">
        <v>64</v>
      </c>
      <c r="L886" s="62" t="s">
        <v>4</v>
      </c>
      <c r="M886" s="62" t="n">
        <v>1</v>
      </c>
      <c r="N886" s="62" t="n">
        <v>0</v>
      </c>
      <c r="O886" s="62" t="n">
        <v>1</v>
      </c>
      <c r="P886" s="62" t="n">
        <v>0</v>
      </c>
      <c r="Q886" s="62" t="n">
        <v>0</v>
      </c>
      <c r="R886" s="62" t="n">
        <v>0</v>
      </c>
      <c r="S886" s="62" t="n">
        <v>0</v>
      </c>
      <c r="T886" s="62" t="n">
        <v>0</v>
      </c>
      <c r="U886" s="62"/>
      <c r="V886" s="62"/>
      <c r="W886" s="62"/>
      <c r="X886" s="62"/>
      <c r="Y886" s="62"/>
      <c r="Z886" s="62" t="s">
        <v>1791</v>
      </c>
      <c r="AA886" s="62" t="s">
        <v>1795</v>
      </c>
      <c r="AB886" s="62" t="n">
        <v>1</v>
      </c>
      <c r="AC886" s="62" t="n">
        <v>0</v>
      </c>
      <c r="AD886" s="62" t="n">
        <v>0</v>
      </c>
      <c r="AE886" s="62" t="n">
        <f aca="false">IF(AND(Dashboard!$C$9="Yes",AC886=1),0,1)</f>
        <v>1</v>
      </c>
      <c r="AF886" s="62" t="n">
        <v>0</v>
      </c>
    </row>
    <row r="887" customFormat="false" ht="15" hidden="false" customHeight="false" outlineLevel="0" collapsed="false">
      <c r="A887" s="62" t="n">
        <v>886</v>
      </c>
      <c r="B887" s="63" t="n">
        <v>46257.7986921296</v>
      </c>
      <c r="C887" s="64" t="n">
        <v>46257</v>
      </c>
      <c r="D887" s="62" t="s">
        <v>393</v>
      </c>
      <c r="E887" s="62" t="s">
        <v>1382</v>
      </c>
      <c r="F887" s="62" t="s">
        <v>1382</v>
      </c>
      <c r="G887" s="62" t="s">
        <v>1383</v>
      </c>
      <c r="H887" s="62" t="s">
        <v>58</v>
      </c>
      <c r="I887" s="62" t="s">
        <v>49</v>
      </c>
      <c r="J887" s="62" t="s">
        <v>146</v>
      </c>
      <c r="K887" s="62" t="s">
        <v>175</v>
      </c>
      <c r="L887" s="62" t="s">
        <v>148</v>
      </c>
      <c r="M887" s="62" t="n">
        <v>0</v>
      </c>
      <c r="N887" s="62" t="n">
        <v>1</v>
      </c>
      <c r="O887" s="62" t="n">
        <v>1</v>
      </c>
      <c r="P887" s="62" t="n">
        <v>0</v>
      </c>
      <c r="Q887" s="62" t="n">
        <v>0</v>
      </c>
      <c r="R887" s="62" t="n">
        <v>1</v>
      </c>
      <c r="S887" s="62" t="n">
        <v>0</v>
      </c>
      <c r="T887" s="62" t="n">
        <v>0</v>
      </c>
      <c r="U887" s="62"/>
      <c r="V887" s="62"/>
      <c r="W887" s="62"/>
      <c r="X887" s="62"/>
      <c r="Y887" s="62"/>
      <c r="Z887" s="62" t="s">
        <v>1796</v>
      </c>
      <c r="AA887" s="62" t="s">
        <v>1797</v>
      </c>
      <c r="AB887" s="62" t="n">
        <v>1</v>
      </c>
      <c r="AC887" s="62" t="n">
        <v>0</v>
      </c>
      <c r="AD887" s="62" t="n">
        <v>1</v>
      </c>
      <c r="AE887" s="62" t="n">
        <f aca="false">IF(AND(Dashboard!$C$9="Yes",AC887=1),0,1)</f>
        <v>1</v>
      </c>
      <c r="AF887" s="62" t="n">
        <v>1</v>
      </c>
    </row>
    <row r="888" customFormat="false" ht="15" hidden="false" customHeight="false" outlineLevel="0" collapsed="false">
      <c r="A888" s="62" t="n">
        <v>887</v>
      </c>
      <c r="B888" s="63" t="n">
        <v>46257.8257986111</v>
      </c>
      <c r="C888" s="64" t="n">
        <v>46257</v>
      </c>
      <c r="D888" s="62" t="s">
        <v>393</v>
      </c>
      <c r="E888" s="62" t="s">
        <v>228</v>
      </c>
      <c r="F888" s="62" t="s">
        <v>229</v>
      </c>
      <c r="G888" s="62" t="s">
        <v>153</v>
      </c>
      <c r="H888" s="62" t="s">
        <v>153</v>
      </c>
      <c r="I888" s="62" t="s">
        <v>153</v>
      </c>
      <c r="J888" s="62" t="s">
        <v>64</v>
      </c>
      <c r="K888" s="62" t="s">
        <v>64</v>
      </c>
      <c r="L888" s="62" t="s">
        <v>148</v>
      </c>
      <c r="M888" s="62" t="n">
        <v>0</v>
      </c>
      <c r="N888" s="62" t="n">
        <v>1</v>
      </c>
      <c r="O888" s="62" t="n">
        <v>1</v>
      </c>
      <c r="P888" s="62" t="n">
        <v>1</v>
      </c>
      <c r="Q888" s="62" t="n">
        <v>0</v>
      </c>
      <c r="R888" s="62" t="n">
        <v>0</v>
      </c>
      <c r="S888" s="62" t="n">
        <v>0</v>
      </c>
      <c r="T888" s="62" t="n">
        <v>0</v>
      </c>
      <c r="U888" s="62"/>
      <c r="V888" s="62"/>
      <c r="W888" s="62"/>
      <c r="X888" s="62"/>
      <c r="Y888" s="62"/>
      <c r="Z888" s="62" t="s">
        <v>1798</v>
      </c>
      <c r="AA888" s="62" t="s">
        <v>1799</v>
      </c>
      <c r="AB888" s="62" t="n">
        <v>1</v>
      </c>
      <c r="AC888" s="62" t="n">
        <v>0</v>
      </c>
      <c r="AD888" s="62" t="n">
        <v>0</v>
      </c>
      <c r="AE888" s="62" t="n">
        <f aca="false">IF(AND(Dashboard!$C$9="Yes",AC888=1),0,1)</f>
        <v>1</v>
      </c>
      <c r="AF888" s="62" t="n">
        <v>0</v>
      </c>
    </row>
    <row r="889" customFormat="false" ht="15" hidden="false" customHeight="false" outlineLevel="0" collapsed="false">
      <c r="A889" s="62" t="n">
        <v>888</v>
      </c>
      <c r="B889" s="63" t="n">
        <v>46257.8440856482</v>
      </c>
      <c r="C889" s="64" t="n">
        <v>46257</v>
      </c>
      <c r="D889" s="62" t="s">
        <v>393</v>
      </c>
      <c r="E889" s="62" t="s">
        <v>1749</v>
      </c>
      <c r="F889" s="62" t="s">
        <v>1749</v>
      </c>
      <c r="G889" s="62" t="s">
        <v>1750</v>
      </c>
      <c r="H889" s="62" t="s">
        <v>57</v>
      </c>
      <c r="I889" s="62" t="s">
        <v>47</v>
      </c>
      <c r="J889" s="62" t="s">
        <v>146</v>
      </c>
      <c r="K889" s="62" t="s">
        <v>209</v>
      </c>
      <c r="L889" s="62" t="s">
        <v>148</v>
      </c>
      <c r="M889" s="62" t="n">
        <v>0</v>
      </c>
      <c r="N889" s="62" t="n">
        <v>1</v>
      </c>
      <c r="O889" s="62" t="n">
        <v>1</v>
      </c>
      <c r="P889" s="62" t="n">
        <v>0</v>
      </c>
      <c r="Q889" s="62" t="n">
        <v>0</v>
      </c>
      <c r="R889" s="62" t="n">
        <v>1</v>
      </c>
      <c r="S889" s="62" t="n">
        <v>0</v>
      </c>
      <c r="T889" s="62" t="n">
        <v>0</v>
      </c>
      <c r="U889" s="62"/>
      <c r="V889" s="62"/>
      <c r="W889" s="62"/>
      <c r="X889" s="62"/>
      <c r="Y889" s="62"/>
      <c r="Z889" s="62" t="s">
        <v>1800</v>
      </c>
      <c r="AA889" s="62" t="s">
        <v>1801</v>
      </c>
      <c r="AB889" s="62" t="n">
        <v>1</v>
      </c>
      <c r="AC889" s="62" t="n">
        <v>0</v>
      </c>
      <c r="AD889" s="62" t="n">
        <v>1</v>
      </c>
      <c r="AE889" s="62" t="n">
        <f aca="false">IF(AND(Dashboard!$C$9="Yes",AC889=1),0,1)</f>
        <v>1</v>
      </c>
      <c r="AF889" s="62" t="n">
        <v>1</v>
      </c>
    </row>
    <row r="890" customFormat="false" ht="15" hidden="false" customHeight="false" outlineLevel="0" collapsed="false">
      <c r="A890" s="62" t="n">
        <v>889</v>
      </c>
      <c r="B890" s="63" t="n">
        <v>46257.8756018519</v>
      </c>
      <c r="C890" s="64" t="n">
        <v>46257</v>
      </c>
      <c r="D890" s="62" t="s">
        <v>393</v>
      </c>
      <c r="E890" s="62" t="s">
        <v>164</v>
      </c>
      <c r="F890" s="62" t="s">
        <v>164</v>
      </c>
      <c r="G890" s="62" t="s">
        <v>165</v>
      </c>
      <c r="H890" s="62" t="s">
        <v>51</v>
      </c>
      <c r="I890" s="62" t="s">
        <v>47</v>
      </c>
      <c r="J890" s="62" t="s">
        <v>146</v>
      </c>
      <c r="K890" s="62" t="s">
        <v>147</v>
      </c>
      <c r="L890" s="62" t="s">
        <v>4</v>
      </c>
      <c r="M890" s="62" t="n">
        <v>1</v>
      </c>
      <c r="N890" s="62" t="n">
        <v>0</v>
      </c>
      <c r="O890" s="62" t="n">
        <v>1</v>
      </c>
      <c r="P890" s="62" t="n">
        <v>0</v>
      </c>
      <c r="Q890" s="62" t="n">
        <v>0</v>
      </c>
      <c r="R890" s="62" t="n">
        <v>0</v>
      </c>
      <c r="S890" s="62" t="n">
        <v>0</v>
      </c>
      <c r="T890" s="62" t="n">
        <v>0</v>
      </c>
      <c r="U890" s="62"/>
      <c r="V890" s="62"/>
      <c r="W890" s="62"/>
      <c r="X890" s="62"/>
      <c r="Y890" s="62"/>
      <c r="Z890" s="62" t="s">
        <v>1802</v>
      </c>
      <c r="AA890" s="62" t="s">
        <v>1803</v>
      </c>
      <c r="AB890" s="62" t="n">
        <v>1</v>
      </c>
      <c r="AC890" s="62" t="n">
        <v>0</v>
      </c>
      <c r="AD890" s="62" t="n">
        <v>1</v>
      </c>
      <c r="AE890" s="62" t="n">
        <f aca="false">IF(AND(Dashboard!$C$9="Yes",AC890=1),0,1)</f>
        <v>1</v>
      </c>
      <c r="AF890" s="62" t="n">
        <v>0</v>
      </c>
    </row>
    <row r="891" customFormat="false" ht="15" hidden="false" customHeight="false" outlineLevel="0" collapsed="false">
      <c r="A891" s="62" t="n">
        <v>890</v>
      </c>
      <c r="B891" s="63" t="n">
        <v>46257.8879398148</v>
      </c>
      <c r="C891" s="64" t="n">
        <v>46257</v>
      </c>
      <c r="D891" s="62" t="s">
        <v>393</v>
      </c>
      <c r="E891" s="62" t="s">
        <v>1732</v>
      </c>
      <c r="F891" s="62" t="s">
        <v>1732</v>
      </c>
      <c r="G891" s="62" t="s">
        <v>1733</v>
      </c>
      <c r="H891" s="62" t="s">
        <v>58</v>
      </c>
      <c r="I891" s="62" t="s">
        <v>49</v>
      </c>
      <c r="J891" s="62" t="s">
        <v>146</v>
      </c>
      <c r="K891" s="62" t="s">
        <v>209</v>
      </c>
      <c r="L891" s="62" t="s">
        <v>148</v>
      </c>
      <c r="M891" s="62" t="n">
        <v>0</v>
      </c>
      <c r="N891" s="62" t="n">
        <v>1</v>
      </c>
      <c r="O891" s="62" t="n">
        <v>1</v>
      </c>
      <c r="P891" s="62" t="n">
        <v>0</v>
      </c>
      <c r="Q891" s="62" t="n">
        <v>1</v>
      </c>
      <c r="R891" s="62" t="n">
        <v>0</v>
      </c>
      <c r="S891" s="62" t="n">
        <v>0</v>
      </c>
      <c r="T891" s="62" t="n">
        <v>0</v>
      </c>
      <c r="U891" s="62"/>
      <c r="V891" s="62"/>
      <c r="W891" s="62"/>
      <c r="X891" s="62"/>
      <c r="Y891" s="62"/>
      <c r="Z891" s="62" t="s">
        <v>1804</v>
      </c>
      <c r="AA891" s="62" t="s">
        <v>1805</v>
      </c>
      <c r="AB891" s="62" t="n">
        <v>1</v>
      </c>
      <c r="AC891" s="62" t="n">
        <v>0</v>
      </c>
      <c r="AD891" s="62" t="n">
        <v>1</v>
      </c>
      <c r="AE891" s="62" t="n">
        <f aca="false">IF(AND(Dashboard!$C$9="Yes",AC891=1),0,1)</f>
        <v>1</v>
      </c>
      <c r="AF891" s="62" t="n">
        <v>1</v>
      </c>
    </row>
    <row r="892" customFormat="false" ht="15" hidden="false" customHeight="false" outlineLevel="0" collapsed="false">
      <c r="A892" s="62" t="n">
        <v>891</v>
      </c>
      <c r="B892" s="63" t="n">
        <v>46257.9198032407</v>
      </c>
      <c r="C892" s="64" t="n">
        <v>46257</v>
      </c>
      <c r="D892" s="62" t="s">
        <v>393</v>
      </c>
      <c r="E892" s="62" t="s">
        <v>751</v>
      </c>
      <c r="F892" s="62" t="s">
        <v>752</v>
      </c>
      <c r="G892" s="62" t="s">
        <v>153</v>
      </c>
      <c r="H892" s="62" t="s">
        <v>153</v>
      </c>
      <c r="I892" s="62" t="s">
        <v>153</v>
      </c>
      <c r="J892" s="62" t="s">
        <v>64</v>
      </c>
      <c r="K892" s="62" t="s">
        <v>64</v>
      </c>
      <c r="L892" s="62" t="s">
        <v>148</v>
      </c>
      <c r="M892" s="62" t="n">
        <v>0</v>
      </c>
      <c r="N892" s="62" t="n">
        <v>1</v>
      </c>
      <c r="O892" s="62" t="n">
        <v>1</v>
      </c>
      <c r="P892" s="62" t="n">
        <v>1</v>
      </c>
      <c r="Q892" s="62" t="n">
        <v>0</v>
      </c>
      <c r="R892" s="62" t="n">
        <v>0</v>
      </c>
      <c r="S892" s="62" t="n">
        <v>0</v>
      </c>
      <c r="T892" s="62" t="n">
        <v>0</v>
      </c>
      <c r="U892" s="62"/>
      <c r="V892" s="62"/>
      <c r="W892" s="62"/>
      <c r="X892" s="62"/>
      <c r="Y892" s="62"/>
      <c r="Z892" s="62" t="s">
        <v>1806</v>
      </c>
      <c r="AA892" s="62" t="s">
        <v>1807</v>
      </c>
      <c r="AB892" s="62" t="n">
        <v>1</v>
      </c>
      <c r="AC892" s="62" t="n">
        <v>0</v>
      </c>
      <c r="AD892" s="62" t="n">
        <v>0</v>
      </c>
      <c r="AE892" s="62" t="n">
        <f aca="false">IF(AND(Dashboard!$C$9="Yes",AC892=1),0,1)</f>
        <v>1</v>
      </c>
      <c r="AF892" s="62" t="n">
        <v>1</v>
      </c>
    </row>
    <row r="893" customFormat="false" ht="15" hidden="false" customHeight="false" outlineLevel="0" collapsed="false">
      <c r="A893" s="62" t="n">
        <v>892</v>
      </c>
      <c r="B893" s="63" t="n">
        <v>46257.925787037</v>
      </c>
      <c r="C893" s="64" t="n">
        <v>46257</v>
      </c>
      <c r="D893" s="62" t="s">
        <v>393</v>
      </c>
      <c r="E893" s="62" t="s">
        <v>212</v>
      </c>
      <c r="F893" s="62" t="s">
        <v>212</v>
      </c>
      <c r="G893" s="62" t="s">
        <v>213</v>
      </c>
      <c r="H893" s="62" t="s">
        <v>58</v>
      </c>
      <c r="I893" s="62" t="s">
        <v>49</v>
      </c>
      <c r="J893" s="62" t="s">
        <v>146</v>
      </c>
      <c r="K893" s="62" t="s">
        <v>175</v>
      </c>
      <c r="L893" s="62" t="s">
        <v>148</v>
      </c>
      <c r="M893" s="62" t="n">
        <v>0</v>
      </c>
      <c r="N893" s="62" t="n">
        <v>2</v>
      </c>
      <c r="O893" s="62" t="n">
        <v>2</v>
      </c>
      <c r="P893" s="62" t="n">
        <v>1</v>
      </c>
      <c r="Q893" s="62" t="n">
        <v>1</v>
      </c>
      <c r="R893" s="62" t="n">
        <v>0</v>
      </c>
      <c r="S893" s="62" t="n">
        <v>0</v>
      </c>
      <c r="T893" s="62" t="n">
        <v>0</v>
      </c>
      <c r="U893" s="62"/>
      <c r="V893" s="62"/>
      <c r="W893" s="62"/>
      <c r="X893" s="62"/>
      <c r="Y893" s="62"/>
      <c r="Z893" s="62" t="s">
        <v>1808</v>
      </c>
      <c r="AA893" s="62" t="s">
        <v>212</v>
      </c>
      <c r="AB893" s="62" t="n">
        <v>1</v>
      </c>
      <c r="AC893" s="62" t="n">
        <v>0</v>
      </c>
      <c r="AD893" s="62" t="n">
        <v>1</v>
      </c>
      <c r="AE893" s="62" t="n">
        <f aca="false">IF(AND(Dashboard!$C$9="Yes",AC893=1),0,1)</f>
        <v>1</v>
      </c>
      <c r="AF893" s="62" t="n">
        <v>1</v>
      </c>
    </row>
    <row r="894" customFormat="false" ht="15" hidden="false" customHeight="false" outlineLevel="0" collapsed="false">
      <c r="A894" s="62" t="n">
        <v>893</v>
      </c>
      <c r="B894" s="63" t="n">
        <v>46257.9276388889</v>
      </c>
      <c r="C894" s="64" t="n">
        <v>46257</v>
      </c>
      <c r="D894" s="62" t="s">
        <v>393</v>
      </c>
      <c r="E894" s="62" t="s">
        <v>1732</v>
      </c>
      <c r="F894" s="62" t="s">
        <v>1732</v>
      </c>
      <c r="G894" s="62" t="s">
        <v>1733</v>
      </c>
      <c r="H894" s="62" t="s">
        <v>58</v>
      </c>
      <c r="I894" s="62" t="s">
        <v>49</v>
      </c>
      <c r="J894" s="62" t="s">
        <v>146</v>
      </c>
      <c r="K894" s="62" t="s">
        <v>209</v>
      </c>
      <c r="L894" s="62" t="s">
        <v>148</v>
      </c>
      <c r="M894" s="62" t="n">
        <v>0</v>
      </c>
      <c r="N894" s="62" t="n">
        <v>2</v>
      </c>
      <c r="O894" s="62" t="n">
        <v>2</v>
      </c>
      <c r="P894" s="62" t="n">
        <v>1</v>
      </c>
      <c r="Q894" s="62" t="n">
        <v>1</v>
      </c>
      <c r="R894" s="62" t="n">
        <v>0</v>
      </c>
      <c r="S894" s="62" t="n">
        <v>0</v>
      </c>
      <c r="T894" s="62" t="n">
        <v>0</v>
      </c>
      <c r="U894" s="62"/>
      <c r="V894" s="62"/>
      <c r="W894" s="62"/>
      <c r="X894" s="62"/>
      <c r="Y894" s="62"/>
      <c r="Z894" s="62" t="s">
        <v>1809</v>
      </c>
      <c r="AA894" s="62" t="s">
        <v>1810</v>
      </c>
      <c r="AB894" s="62" t="n">
        <v>1</v>
      </c>
      <c r="AC894" s="62" t="n">
        <v>0</v>
      </c>
      <c r="AD894" s="62" t="n">
        <v>1</v>
      </c>
      <c r="AE894" s="62" t="n">
        <f aca="false">IF(AND(Dashboard!$C$9="Yes",AC894=1),0,1)</f>
        <v>1</v>
      </c>
      <c r="AF894" s="62" t="n">
        <v>0</v>
      </c>
    </row>
    <row r="895" customFormat="false" ht="15" hidden="false" customHeight="false" outlineLevel="0" collapsed="false">
      <c r="A895" s="62" t="n">
        <v>894</v>
      </c>
      <c r="B895" s="63" t="n">
        <v>46257.9278009259</v>
      </c>
      <c r="C895" s="64" t="n">
        <v>46257</v>
      </c>
      <c r="D895" s="62" t="s">
        <v>393</v>
      </c>
      <c r="E895" s="62" t="s">
        <v>212</v>
      </c>
      <c r="F895" s="62" t="s">
        <v>212</v>
      </c>
      <c r="G895" s="62" t="s">
        <v>213</v>
      </c>
      <c r="H895" s="62" t="s">
        <v>58</v>
      </c>
      <c r="I895" s="62" t="s">
        <v>49</v>
      </c>
      <c r="J895" s="62" t="s">
        <v>146</v>
      </c>
      <c r="K895" s="62" t="s">
        <v>175</v>
      </c>
      <c r="L895" s="62" t="s">
        <v>4</v>
      </c>
      <c r="M895" s="62" t="n">
        <v>1</v>
      </c>
      <c r="N895" s="62" t="n">
        <v>0</v>
      </c>
      <c r="O895" s="62" t="n">
        <v>1</v>
      </c>
      <c r="P895" s="62" t="n">
        <v>0</v>
      </c>
      <c r="Q895" s="62" t="n">
        <v>0</v>
      </c>
      <c r="R895" s="62" t="n">
        <v>0</v>
      </c>
      <c r="S895" s="62" t="n">
        <v>0</v>
      </c>
      <c r="T895" s="62" t="n">
        <v>0</v>
      </c>
      <c r="U895" s="62"/>
      <c r="V895" s="62"/>
      <c r="W895" s="62"/>
      <c r="X895" s="62"/>
      <c r="Y895" s="62"/>
      <c r="Z895" s="62" t="s">
        <v>1811</v>
      </c>
      <c r="AA895" s="62" t="s">
        <v>1808</v>
      </c>
      <c r="AB895" s="62" t="n">
        <v>1</v>
      </c>
      <c r="AC895" s="62" t="n">
        <v>0</v>
      </c>
      <c r="AD895" s="62" t="n">
        <v>1</v>
      </c>
      <c r="AE895" s="62" t="n">
        <f aca="false">IF(AND(Dashboard!$C$9="Yes",AC895=1),0,1)</f>
        <v>1</v>
      </c>
      <c r="AF895" s="62" t="n">
        <v>0</v>
      </c>
    </row>
    <row r="896" customFormat="false" ht="15" hidden="false" customHeight="false" outlineLevel="0" collapsed="false">
      <c r="A896" s="62" t="n">
        <v>895</v>
      </c>
      <c r="B896" s="63" t="n">
        <v>46257.9427546296</v>
      </c>
      <c r="C896" s="64" t="n">
        <v>46257</v>
      </c>
      <c r="D896" s="62" t="s">
        <v>393</v>
      </c>
      <c r="E896" s="62" t="s">
        <v>414</v>
      </c>
      <c r="F896" s="62" t="s">
        <v>414</v>
      </c>
      <c r="G896" s="62" t="s">
        <v>415</v>
      </c>
      <c r="H896" s="62" t="s">
        <v>57</v>
      </c>
      <c r="I896" s="62" t="s">
        <v>47</v>
      </c>
      <c r="J896" s="62" t="s">
        <v>146</v>
      </c>
      <c r="K896" s="62" t="s">
        <v>147</v>
      </c>
      <c r="L896" s="62" t="s">
        <v>148</v>
      </c>
      <c r="M896" s="62" t="n">
        <v>0</v>
      </c>
      <c r="N896" s="62" t="n">
        <v>1</v>
      </c>
      <c r="O896" s="62" t="n">
        <v>1</v>
      </c>
      <c r="P896" s="62" t="n">
        <v>1</v>
      </c>
      <c r="Q896" s="62" t="n">
        <v>0</v>
      </c>
      <c r="R896" s="62" t="n">
        <v>0</v>
      </c>
      <c r="S896" s="62" t="n">
        <v>0</v>
      </c>
      <c r="T896" s="62" t="n">
        <v>0</v>
      </c>
      <c r="U896" s="62"/>
      <c r="V896" s="62"/>
      <c r="W896" s="62"/>
      <c r="X896" s="62"/>
      <c r="Y896" s="62"/>
      <c r="Z896" s="62" t="s">
        <v>1812</v>
      </c>
      <c r="AA896" s="62" t="s">
        <v>1813</v>
      </c>
      <c r="AB896" s="62" t="n">
        <v>1</v>
      </c>
      <c r="AC896" s="62" t="n">
        <v>0</v>
      </c>
      <c r="AD896" s="62" t="n">
        <v>1</v>
      </c>
      <c r="AE896" s="62" t="n">
        <f aca="false">IF(AND(Dashboard!$C$9="Yes",AC896=1),0,1)</f>
        <v>1</v>
      </c>
      <c r="AF896" s="62" t="n">
        <v>1</v>
      </c>
    </row>
    <row r="897" customFormat="false" ht="15" hidden="false" customHeight="false" outlineLevel="0" collapsed="false">
      <c r="A897" s="62" t="n">
        <v>896</v>
      </c>
      <c r="B897" s="63" t="n">
        <v>46257.9482175926</v>
      </c>
      <c r="C897" s="64" t="n">
        <v>46257</v>
      </c>
      <c r="D897" s="62" t="s">
        <v>393</v>
      </c>
      <c r="E897" s="62" t="s">
        <v>144</v>
      </c>
      <c r="F897" s="62" t="s">
        <v>144</v>
      </c>
      <c r="G897" s="62" t="s">
        <v>145</v>
      </c>
      <c r="H897" s="62" t="s">
        <v>59</v>
      </c>
      <c r="I897" s="62" t="s">
        <v>47</v>
      </c>
      <c r="J897" s="62" t="s">
        <v>146</v>
      </c>
      <c r="K897" s="62" t="s">
        <v>147</v>
      </c>
      <c r="L897" s="62" t="s">
        <v>148</v>
      </c>
      <c r="M897" s="62" t="n">
        <v>0</v>
      </c>
      <c r="N897" s="62" t="n">
        <v>1</v>
      </c>
      <c r="O897" s="62" t="n">
        <v>1</v>
      </c>
      <c r="P897" s="62" t="n">
        <v>0</v>
      </c>
      <c r="Q897" s="62" t="n">
        <v>1</v>
      </c>
      <c r="R897" s="62" t="n">
        <v>0</v>
      </c>
      <c r="S897" s="62" t="n">
        <v>0</v>
      </c>
      <c r="T897" s="62" t="n">
        <v>0</v>
      </c>
      <c r="U897" s="62"/>
      <c r="V897" s="62"/>
      <c r="W897" s="62"/>
      <c r="X897" s="62"/>
      <c r="Y897" s="62"/>
      <c r="Z897" s="62" t="s">
        <v>1814</v>
      </c>
      <c r="AA897" s="62" t="s">
        <v>1815</v>
      </c>
      <c r="AB897" s="62" t="n">
        <v>0</v>
      </c>
      <c r="AC897" s="62" t="n">
        <v>0</v>
      </c>
      <c r="AD897" s="62" t="n">
        <v>1</v>
      </c>
      <c r="AE897" s="62" t="n">
        <f aca="false">IF(AND(Dashboard!$C$9="Yes",AC897=1),0,1)</f>
        <v>1</v>
      </c>
      <c r="AF897" s="62" t="n">
        <v>1</v>
      </c>
    </row>
    <row r="898" customFormat="false" ht="15" hidden="false" customHeight="false" outlineLevel="0" collapsed="false">
      <c r="A898" s="62" t="n">
        <v>897</v>
      </c>
      <c r="B898" s="63" t="n">
        <v>46257.9484027778</v>
      </c>
      <c r="C898" s="64" t="n">
        <v>46257</v>
      </c>
      <c r="D898" s="62" t="s">
        <v>393</v>
      </c>
      <c r="E898" s="62" t="s">
        <v>144</v>
      </c>
      <c r="F898" s="62" t="s">
        <v>144</v>
      </c>
      <c r="G898" s="62" t="s">
        <v>145</v>
      </c>
      <c r="H898" s="62" t="s">
        <v>59</v>
      </c>
      <c r="I898" s="62" t="s">
        <v>47</v>
      </c>
      <c r="J898" s="62" t="s">
        <v>146</v>
      </c>
      <c r="K898" s="62" t="s">
        <v>147</v>
      </c>
      <c r="L898" s="62" t="s">
        <v>148</v>
      </c>
      <c r="M898" s="62" t="n">
        <v>0</v>
      </c>
      <c r="N898" s="62" t="n">
        <v>1</v>
      </c>
      <c r="O898" s="62" t="n">
        <v>1</v>
      </c>
      <c r="P898" s="62" t="n">
        <v>0</v>
      </c>
      <c r="Q898" s="62" t="n">
        <v>1</v>
      </c>
      <c r="R898" s="62" t="n">
        <v>0</v>
      </c>
      <c r="S898" s="62" t="n">
        <v>0</v>
      </c>
      <c r="T898" s="62" t="n">
        <v>0</v>
      </c>
      <c r="U898" s="62"/>
      <c r="V898" s="62"/>
      <c r="W898" s="62"/>
      <c r="X898" s="62"/>
      <c r="Y898" s="62"/>
      <c r="Z898" s="62" t="s">
        <v>1814</v>
      </c>
      <c r="AA898" s="62" t="s">
        <v>1815</v>
      </c>
      <c r="AB898" s="62" t="n">
        <v>0</v>
      </c>
      <c r="AC898" s="62" t="n">
        <v>0</v>
      </c>
      <c r="AD898" s="62" t="n">
        <v>1</v>
      </c>
      <c r="AE898" s="62" t="n">
        <f aca="false">IF(AND(Dashboard!$C$9="Yes",AC898=1),0,1)</f>
        <v>1</v>
      </c>
      <c r="AF898" s="62" t="n">
        <v>0</v>
      </c>
    </row>
    <row r="899" customFormat="false" ht="15" hidden="false" customHeight="false" outlineLevel="0" collapsed="false">
      <c r="A899" s="62" t="n">
        <v>898</v>
      </c>
      <c r="B899" s="63" t="n">
        <v>46257.9486458333</v>
      </c>
      <c r="C899" s="64" t="n">
        <v>46257</v>
      </c>
      <c r="D899" s="62" t="s">
        <v>393</v>
      </c>
      <c r="E899" s="62" t="s">
        <v>144</v>
      </c>
      <c r="F899" s="62" t="s">
        <v>144</v>
      </c>
      <c r="G899" s="62" t="s">
        <v>145</v>
      </c>
      <c r="H899" s="62" t="s">
        <v>59</v>
      </c>
      <c r="I899" s="62" t="s">
        <v>47</v>
      </c>
      <c r="J899" s="62" t="s">
        <v>146</v>
      </c>
      <c r="K899" s="62" t="s">
        <v>147</v>
      </c>
      <c r="L899" s="62" t="s">
        <v>148</v>
      </c>
      <c r="M899" s="62" t="n">
        <v>0</v>
      </c>
      <c r="N899" s="62" t="n">
        <v>1</v>
      </c>
      <c r="O899" s="62" t="n">
        <v>1</v>
      </c>
      <c r="P899" s="62" t="n">
        <v>0</v>
      </c>
      <c r="Q899" s="62" t="n">
        <v>1</v>
      </c>
      <c r="R899" s="62" t="n">
        <v>0</v>
      </c>
      <c r="S899" s="62" t="n">
        <v>0</v>
      </c>
      <c r="T899" s="62" t="n">
        <v>0</v>
      </c>
      <c r="U899" s="62"/>
      <c r="V899" s="62"/>
      <c r="W899" s="62"/>
      <c r="X899" s="62"/>
      <c r="Y899" s="62"/>
      <c r="Z899" s="62" t="s">
        <v>1814</v>
      </c>
      <c r="AA899" s="62" t="s">
        <v>1815</v>
      </c>
      <c r="AB899" s="62" t="n">
        <v>0</v>
      </c>
      <c r="AC899" s="62" t="n">
        <v>0</v>
      </c>
      <c r="AD899" s="62" t="n">
        <v>1</v>
      </c>
      <c r="AE899" s="62" t="n">
        <f aca="false">IF(AND(Dashboard!$C$9="Yes",AC899=1),0,1)</f>
        <v>1</v>
      </c>
      <c r="AF899" s="62" t="n">
        <v>0</v>
      </c>
    </row>
    <row r="900" customFormat="false" ht="15" hidden="false" customHeight="false" outlineLevel="0" collapsed="false">
      <c r="A900" s="62" t="n">
        <v>899</v>
      </c>
      <c r="B900" s="63" t="n">
        <v>46257.9494212963</v>
      </c>
      <c r="C900" s="64" t="n">
        <v>46257</v>
      </c>
      <c r="D900" s="62" t="s">
        <v>393</v>
      </c>
      <c r="E900" s="62" t="s">
        <v>144</v>
      </c>
      <c r="F900" s="62" t="s">
        <v>144</v>
      </c>
      <c r="G900" s="62" t="s">
        <v>145</v>
      </c>
      <c r="H900" s="62" t="s">
        <v>59</v>
      </c>
      <c r="I900" s="62" t="s">
        <v>47</v>
      </c>
      <c r="J900" s="62" t="s">
        <v>146</v>
      </c>
      <c r="K900" s="62" t="s">
        <v>147</v>
      </c>
      <c r="L900" s="62" t="s">
        <v>148</v>
      </c>
      <c r="M900" s="62" t="n">
        <v>0</v>
      </c>
      <c r="N900" s="62" t="n">
        <v>1</v>
      </c>
      <c r="O900" s="62" t="n">
        <v>1</v>
      </c>
      <c r="P900" s="62" t="n">
        <v>0</v>
      </c>
      <c r="Q900" s="62" t="n">
        <v>1</v>
      </c>
      <c r="R900" s="62" t="n">
        <v>0</v>
      </c>
      <c r="S900" s="62" t="n">
        <v>0</v>
      </c>
      <c r="T900" s="62" t="n">
        <v>0</v>
      </c>
      <c r="U900" s="62"/>
      <c r="V900" s="62"/>
      <c r="W900" s="62"/>
      <c r="X900" s="62"/>
      <c r="Y900" s="62"/>
      <c r="Z900" s="62" t="s">
        <v>1814</v>
      </c>
      <c r="AA900" s="62" t="s">
        <v>1815</v>
      </c>
      <c r="AB900" s="62" t="n">
        <v>0</v>
      </c>
      <c r="AC900" s="62" t="n">
        <v>0</v>
      </c>
      <c r="AD900" s="62" t="n">
        <v>1</v>
      </c>
      <c r="AE900" s="62" t="n">
        <f aca="false">IF(AND(Dashboard!$C$9="Yes",AC900=1),0,1)</f>
        <v>1</v>
      </c>
      <c r="AF900" s="62" t="n">
        <v>0</v>
      </c>
    </row>
    <row r="901" customFormat="false" ht="15" hidden="false" customHeight="false" outlineLevel="0" collapsed="false">
      <c r="A901" s="62" t="n">
        <v>900</v>
      </c>
      <c r="B901" s="63" t="n">
        <v>46258.0227777778</v>
      </c>
      <c r="C901" s="64" t="n">
        <v>46257</v>
      </c>
      <c r="D901" s="62" t="s">
        <v>393</v>
      </c>
      <c r="E901" s="62" t="s">
        <v>1155</v>
      </c>
      <c r="F901" s="62" t="s">
        <v>1155</v>
      </c>
      <c r="G901" s="62" t="s">
        <v>1156</v>
      </c>
      <c r="H901" s="62" t="s">
        <v>59</v>
      </c>
      <c r="I901" s="62" t="s">
        <v>47</v>
      </c>
      <c r="J901" s="62" t="s">
        <v>146</v>
      </c>
      <c r="K901" s="62" t="s">
        <v>209</v>
      </c>
      <c r="L901" s="62" t="s">
        <v>4</v>
      </c>
      <c r="M901" s="62" t="n">
        <v>1</v>
      </c>
      <c r="N901" s="62" t="n">
        <v>0</v>
      </c>
      <c r="O901" s="62" t="n">
        <v>1</v>
      </c>
      <c r="P901" s="62" t="n">
        <v>0</v>
      </c>
      <c r="Q901" s="62" t="n">
        <v>0</v>
      </c>
      <c r="R901" s="62" t="n">
        <v>0</v>
      </c>
      <c r="S901" s="62" t="n">
        <v>0</v>
      </c>
      <c r="T901" s="62" t="n">
        <v>0</v>
      </c>
      <c r="U901" s="62"/>
      <c r="V901" s="62"/>
      <c r="W901" s="62"/>
      <c r="X901" s="62"/>
      <c r="Y901" s="62"/>
      <c r="Z901" s="62" t="s">
        <v>1816</v>
      </c>
      <c r="AA901" s="62" t="s">
        <v>1817</v>
      </c>
      <c r="AB901" s="62" t="n">
        <v>1</v>
      </c>
      <c r="AC901" s="62" t="n">
        <v>0</v>
      </c>
      <c r="AD901" s="62" t="n">
        <v>1</v>
      </c>
      <c r="AE901" s="62" t="n">
        <f aca="false">IF(AND(Dashboard!$C$9="Yes",AC901=1),0,1)</f>
        <v>1</v>
      </c>
      <c r="AF901" s="62" t="n">
        <v>1</v>
      </c>
    </row>
    <row r="902" customFormat="false" ht="15" hidden="false" customHeight="false" outlineLevel="0" collapsed="false">
      <c r="A902" s="62" t="n">
        <v>901</v>
      </c>
      <c r="B902" s="63" t="n">
        <v>46258.0246759259</v>
      </c>
      <c r="C902" s="64" t="n">
        <v>46257</v>
      </c>
      <c r="D902" s="62" t="s">
        <v>393</v>
      </c>
      <c r="E902" s="62" t="s">
        <v>239</v>
      </c>
      <c r="F902" s="62" t="s">
        <v>240</v>
      </c>
      <c r="G902" s="62" t="s">
        <v>153</v>
      </c>
      <c r="H902" s="62" t="s">
        <v>153</v>
      </c>
      <c r="I902" s="62" t="s">
        <v>153</v>
      </c>
      <c r="J902" s="62" t="s">
        <v>64</v>
      </c>
      <c r="K902" s="62" t="s">
        <v>64</v>
      </c>
      <c r="L902" s="62" t="s">
        <v>148</v>
      </c>
      <c r="M902" s="62" t="n">
        <v>0</v>
      </c>
      <c r="N902" s="62" t="n">
        <v>1</v>
      </c>
      <c r="O902" s="62" t="n">
        <v>1</v>
      </c>
      <c r="P902" s="62" t="n">
        <v>1</v>
      </c>
      <c r="Q902" s="62" t="n">
        <v>0</v>
      </c>
      <c r="R902" s="62" t="n">
        <v>0</v>
      </c>
      <c r="S902" s="62" t="n">
        <v>0</v>
      </c>
      <c r="T902" s="62" t="n">
        <v>0</v>
      </c>
      <c r="U902" s="62"/>
      <c r="V902" s="62"/>
      <c r="W902" s="62"/>
      <c r="X902" s="62"/>
      <c r="Y902" s="62"/>
      <c r="Z902" s="62" t="s">
        <v>1818</v>
      </c>
      <c r="AA902" s="62" t="s">
        <v>1819</v>
      </c>
      <c r="AB902" s="62" t="n">
        <v>1</v>
      </c>
      <c r="AC902" s="62" t="n">
        <v>0</v>
      </c>
      <c r="AD902" s="62" t="n">
        <v>0</v>
      </c>
      <c r="AE902" s="62" t="n">
        <f aca="false">IF(AND(Dashboard!$C$9="Yes",AC902=1),0,1)</f>
        <v>1</v>
      </c>
      <c r="AF902" s="62" t="n">
        <v>1</v>
      </c>
    </row>
    <row r="903" customFormat="false" ht="15" hidden="false" customHeight="false" outlineLevel="0" collapsed="false">
      <c r="A903" s="62" t="n">
        <v>902</v>
      </c>
      <c r="B903" s="63" t="n">
        <v>46258.0248958333</v>
      </c>
      <c r="C903" s="64" t="n">
        <v>46257</v>
      </c>
      <c r="D903" s="62" t="s">
        <v>393</v>
      </c>
      <c r="E903" s="62" t="s">
        <v>239</v>
      </c>
      <c r="F903" s="62" t="s">
        <v>240</v>
      </c>
      <c r="G903" s="62" t="s">
        <v>153</v>
      </c>
      <c r="H903" s="62" t="s">
        <v>153</v>
      </c>
      <c r="I903" s="62" t="s">
        <v>153</v>
      </c>
      <c r="J903" s="62" t="s">
        <v>64</v>
      </c>
      <c r="K903" s="62" t="s">
        <v>64</v>
      </c>
      <c r="L903" s="62" t="s">
        <v>148</v>
      </c>
      <c r="M903" s="62" t="n">
        <v>0</v>
      </c>
      <c r="N903" s="62" t="n">
        <v>1</v>
      </c>
      <c r="O903" s="62" t="n">
        <v>1</v>
      </c>
      <c r="P903" s="62" t="n">
        <v>1</v>
      </c>
      <c r="Q903" s="62" t="n">
        <v>0</v>
      </c>
      <c r="R903" s="62" t="n">
        <v>0</v>
      </c>
      <c r="S903" s="62" t="n">
        <v>0</v>
      </c>
      <c r="T903" s="62" t="n">
        <v>0</v>
      </c>
      <c r="U903" s="62"/>
      <c r="V903" s="62"/>
      <c r="W903" s="62"/>
      <c r="X903" s="62"/>
      <c r="Y903" s="62"/>
      <c r="Z903" s="62" t="s">
        <v>1818</v>
      </c>
      <c r="AA903" s="62" t="s">
        <v>1819</v>
      </c>
      <c r="AB903" s="62" t="n">
        <v>1</v>
      </c>
      <c r="AC903" s="62" t="n">
        <v>1</v>
      </c>
      <c r="AD903" s="62" t="n">
        <v>0</v>
      </c>
      <c r="AE903" s="62" t="n">
        <f aca="false">IF(AND(Dashboard!$C$9="Yes",AC903=1),0,1)</f>
        <v>0</v>
      </c>
      <c r="AF903" s="62" t="n">
        <v>0</v>
      </c>
    </row>
    <row r="904" customFormat="false" ht="15" hidden="false" customHeight="false" outlineLevel="0" collapsed="false">
      <c r="A904" s="62" t="n">
        <v>903</v>
      </c>
      <c r="B904" s="63" t="n">
        <v>46258.0251967593</v>
      </c>
      <c r="C904" s="64" t="n">
        <v>46257</v>
      </c>
      <c r="D904" s="62" t="s">
        <v>393</v>
      </c>
      <c r="E904" s="62" t="s">
        <v>239</v>
      </c>
      <c r="F904" s="62" t="s">
        <v>240</v>
      </c>
      <c r="G904" s="62" t="s">
        <v>153</v>
      </c>
      <c r="H904" s="62" t="s">
        <v>153</v>
      </c>
      <c r="I904" s="62" t="s">
        <v>153</v>
      </c>
      <c r="J904" s="62" t="s">
        <v>64</v>
      </c>
      <c r="K904" s="62" t="s">
        <v>64</v>
      </c>
      <c r="L904" s="62" t="s">
        <v>148</v>
      </c>
      <c r="M904" s="62" t="n">
        <v>0</v>
      </c>
      <c r="N904" s="62" t="n">
        <v>1</v>
      </c>
      <c r="O904" s="62" t="n">
        <v>1</v>
      </c>
      <c r="P904" s="62" t="n">
        <v>1</v>
      </c>
      <c r="Q904" s="62" t="n">
        <v>0</v>
      </c>
      <c r="R904" s="62" t="n">
        <v>0</v>
      </c>
      <c r="S904" s="62" t="n">
        <v>0</v>
      </c>
      <c r="T904" s="62" t="n">
        <v>0</v>
      </c>
      <c r="U904" s="62"/>
      <c r="V904" s="62"/>
      <c r="W904" s="62"/>
      <c r="X904" s="62"/>
      <c r="Y904" s="62"/>
      <c r="Z904" s="62" t="s">
        <v>1818</v>
      </c>
      <c r="AA904" s="62" t="s">
        <v>1819</v>
      </c>
      <c r="AB904" s="62" t="n">
        <v>1</v>
      </c>
      <c r="AC904" s="62" t="n">
        <v>1</v>
      </c>
      <c r="AD904" s="62" t="n">
        <v>0</v>
      </c>
      <c r="AE904" s="62" t="n">
        <f aca="false">IF(AND(Dashboard!$C$9="Yes",AC904=1),0,1)</f>
        <v>0</v>
      </c>
      <c r="AF904" s="62" t="n">
        <v>0</v>
      </c>
    </row>
    <row r="905" customFormat="false" ht="15" hidden="false" customHeight="false" outlineLevel="0" collapsed="false">
      <c r="A905" s="62" t="n">
        <v>904</v>
      </c>
      <c r="B905" s="63" t="n">
        <v>46258.0253935185</v>
      </c>
      <c r="C905" s="64" t="n">
        <v>46257</v>
      </c>
      <c r="D905" s="62" t="s">
        <v>393</v>
      </c>
      <c r="E905" s="62" t="s">
        <v>1382</v>
      </c>
      <c r="F905" s="62" t="s">
        <v>1382</v>
      </c>
      <c r="G905" s="62" t="s">
        <v>1383</v>
      </c>
      <c r="H905" s="62" t="s">
        <v>58</v>
      </c>
      <c r="I905" s="62" t="s">
        <v>49</v>
      </c>
      <c r="J905" s="62" t="s">
        <v>146</v>
      </c>
      <c r="K905" s="62" t="s">
        <v>175</v>
      </c>
      <c r="L905" s="62" t="s">
        <v>148</v>
      </c>
      <c r="M905" s="62" t="n">
        <v>0</v>
      </c>
      <c r="N905" s="62" t="n">
        <v>1</v>
      </c>
      <c r="O905" s="62" t="n">
        <v>1</v>
      </c>
      <c r="P905" s="62" t="n">
        <v>1</v>
      </c>
      <c r="Q905" s="62" t="n">
        <v>0</v>
      </c>
      <c r="R905" s="62" t="n">
        <v>0</v>
      </c>
      <c r="S905" s="62" t="n">
        <v>0</v>
      </c>
      <c r="T905" s="62" t="n">
        <v>0</v>
      </c>
      <c r="U905" s="62"/>
      <c r="V905" s="62"/>
      <c r="W905" s="62"/>
      <c r="X905" s="62"/>
      <c r="Y905" s="62"/>
      <c r="Z905" s="62" t="s">
        <v>1820</v>
      </c>
      <c r="AA905" s="62" t="s">
        <v>1821</v>
      </c>
      <c r="AB905" s="62" t="n">
        <v>1</v>
      </c>
      <c r="AC905" s="62" t="n">
        <v>0</v>
      </c>
      <c r="AD905" s="62" t="n">
        <v>1</v>
      </c>
      <c r="AE905" s="62" t="n">
        <f aca="false">IF(AND(Dashboard!$C$9="Yes",AC905=1),0,1)</f>
        <v>1</v>
      </c>
      <c r="AF905" s="62" t="n">
        <v>0</v>
      </c>
    </row>
    <row r="906" customFormat="false" ht="15" hidden="false" customHeight="false" outlineLevel="0" collapsed="false">
      <c r="A906" s="62" t="n">
        <v>905</v>
      </c>
      <c r="B906" s="63" t="n">
        <v>46258.0286226852</v>
      </c>
      <c r="C906" s="64" t="n">
        <v>46257</v>
      </c>
      <c r="D906" s="62" t="s">
        <v>393</v>
      </c>
      <c r="E906" s="62" t="s">
        <v>203</v>
      </c>
      <c r="F906" s="62" t="s">
        <v>203</v>
      </c>
      <c r="G906" s="62" t="s">
        <v>204</v>
      </c>
      <c r="H906" s="62" t="s">
        <v>51</v>
      </c>
      <c r="I906" s="62" t="s">
        <v>47</v>
      </c>
      <c r="J906" s="62" t="s">
        <v>146</v>
      </c>
      <c r="K906" s="62" t="s">
        <v>147</v>
      </c>
      <c r="L906" s="62" t="s">
        <v>148</v>
      </c>
      <c r="M906" s="62" t="n">
        <v>0</v>
      </c>
      <c r="N906" s="62" t="n">
        <v>1</v>
      </c>
      <c r="O906" s="62" t="n">
        <v>1</v>
      </c>
      <c r="P906" s="62" t="n">
        <v>1</v>
      </c>
      <c r="Q906" s="62" t="n">
        <v>0</v>
      </c>
      <c r="R906" s="62" t="n">
        <v>0</v>
      </c>
      <c r="S906" s="62" t="n">
        <v>0</v>
      </c>
      <c r="T906" s="62" t="n">
        <v>0</v>
      </c>
      <c r="U906" s="62"/>
      <c r="V906" s="62"/>
      <c r="W906" s="62"/>
      <c r="X906" s="62"/>
      <c r="Y906" s="62"/>
      <c r="Z906" s="62" t="s">
        <v>1822</v>
      </c>
      <c r="AA906" s="62" t="s">
        <v>485</v>
      </c>
      <c r="AB906" s="62" t="n">
        <v>0</v>
      </c>
      <c r="AC906" s="62" t="n">
        <v>0</v>
      </c>
      <c r="AD906" s="62" t="n">
        <v>1</v>
      </c>
      <c r="AE906" s="62" t="n">
        <f aca="false">IF(AND(Dashboard!$C$9="Yes",AC906=1),0,1)</f>
        <v>1</v>
      </c>
      <c r="AF906" s="62" t="n">
        <v>1</v>
      </c>
    </row>
    <row r="907" customFormat="false" ht="15" hidden="false" customHeight="false" outlineLevel="0" collapsed="false">
      <c r="A907" s="62" t="n">
        <v>906</v>
      </c>
      <c r="B907" s="63" t="n">
        <v>46258.0513425926</v>
      </c>
      <c r="C907" s="64" t="n">
        <v>46257</v>
      </c>
      <c r="D907" s="62" t="s">
        <v>393</v>
      </c>
      <c r="E907" s="62" t="s">
        <v>203</v>
      </c>
      <c r="F907" s="62" t="s">
        <v>203</v>
      </c>
      <c r="G907" s="62" t="s">
        <v>204</v>
      </c>
      <c r="H907" s="62" t="s">
        <v>51</v>
      </c>
      <c r="I907" s="62" t="s">
        <v>47</v>
      </c>
      <c r="J907" s="62" t="s">
        <v>146</v>
      </c>
      <c r="K907" s="62" t="s">
        <v>147</v>
      </c>
      <c r="L907" s="62" t="s">
        <v>148</v>
      </c>
      <c r="M907" s="62" t="n">
        <v>0</v>
      </c>
      <c r="N907" s="62" t="n">
        <v>1</v>
      </c>
      <c r="O907" s="62" t="n">
        <v>1</v>
      </c>
      <c r="P907" s="62" t="n">
        <v>1</v>
      </c>
      <c r="Q907" s="62" t="n">
        <v>0</v>
      </c>
      <c r="R907" s="62" t="n">
        <v>0</v>
      </c>
      <c r="S907" s="62" t="n">
        <v>0</v>
      </c>
      <c r="T907" s="62" t="n">
        <v>0</v>
      </c>
      <c r="U907" s="62"/>
      <c r="V907" s="62"/>
      <c r="W907" s="62"/>
      <c r="X907" s="62"/>
      <c r="Y907" s="62"/>
      <c r="Z907" s="62" t="s">
        <v>1823</v>
      </c>
      <c r="AA907" s="62" t="s">
        <v>485</v>
      </c>
      <c r="AB907" s="62" t="n">
        <v>0</v>
      </c>
      <c r="AC907" s="62" t="n">
        <v>0</v>
      </c>
      <c r="AD907" s="62" t="n">
        <v>1</v>
      </c>
      <c r="AE907" s="62" t="n">
        <f aca="false">IF(AND(Dashboard!$C$9="Yes",AC907=1),0,1)</f>
        <v>1</v>
      </c>
      <c r="AF907" s="62" t="n">
        <v>0</v>
      </c>
    </row>
    <row r="908" customFormat="false" ht="15" hidden="false" customHeight="false" outlineLevel="0" collapsed="false">
      <c r="A908" s="62" t="n">
        <v>907</v>
      </c>
      <c r="B908" s="63" t="n">
        <v>46258.0627314815</v>
      </c>
      <c r="C908" s="64" t="n">
        <v>46257</v>
      </c>
      <c r="D908" s="62" t="s">
        <v>393</v>
      </c>
      <c r="E908" s="62" t="s">
        <v>203</v>
      </c>
      <c r="F908" s="62" t="s">
        <v>203</v>
      </c>
      <c r="G908" s="62" t="s">
        <v>204</v>
      </c>
      <c r="H908" s="62" t="s">
        <v>51</v>
      </c>
      <c r="I908" s="62" t="s">
        <v>47</v>
      </c>
      <c r="J908" s="62" t="s">
        <v>146</v>
      </c>
      <c r="K908" s="62" t="s">
        <v>147</v>
      </c>
      <c r="L908" s="62" t="s">
        <v>148</v>
      </c>
      <c r="M908" s="62" t="n">
        <v>0</v>
      </c>
      <c r="N908" s="62" t="n">
        <v>1</v>
      </c>
      <c r="O908" s="62" t="n">
        <v>1</v>
      </c>
      <c r="P908" s="62" t="n">
        <v>1</v>
      </c>
      <c r="Q908" s="62" t="n">
        <v>0</v>
      </c>
      <c r="R908" s="62" t="n">
        <v>0</v>
      </c>
      <c r="S908" s="62" t="n">
        <v>0</v>
      </c>
      <c r="T908" s="62" t="n">
        <v>0</v>
      </c>
      <c r="U908" s="62"/>
      <c r="V908" s="62"/>
      <c r="W908" s="62"/>
      <c r="X908" s="62"/>
      <c r="Y908" s="62"/>
      <c r="Z908" s="62" t="s">
        <v>1823</v>
      </c>
      <c r="AA908" s="62" t="s">
        <v>485</v>
      </c>
      <c r="AB908" s="62" t="n">
        <v>0</v>
      </c>
      <c r="AC908" s="62" t="n">
        <v>0</v>
      </c>
      <c r="AD908" s="62" t="n">
        <v>1</v>
      </c>
      <c r="AE908" s="62" t="n">
        <f aca="false">IF(AND(Dashboard!$C$9="Yes",AC908=1),0,1)</f>
        <v>1</v>
      </c>
      <c r="AF908" s="62" t="n">
        <v>0</v>
      </c>
    </row>
    <row r="909" customFormat="false" ht="15" hidden="false" customHeight="false" outlineLevel="0" collapsed="false">
      <c r="A909" s="62" t="n">
        <v>908</v>
      </c>
      <c r="B909" s="63" t="n">
        <v>46258.0936226852</v>
      </c>
      <c r="C909" s="64" t="n">
        <v>46257</v>
      </c>
      <c r="D909" s="62" t="s">
        <v>393</v>
      </c>
      <c r="E909" s="62" t="s">
        <v>1590</v>
      </c>
      <c r="F909" s="62" t="s">
        <v>1590</v>
      </c>
      <c r="G909" s="62" t="s">
        <v>1591</v>
      </c>
      <c r="H909" s="62" t="s">
        <v>52</v>
      </c>
      <c r="I909" s="62" t="s">
        <v>47</v>
      </c>
      <c r="J909" s="62" t="s">
        <v>146</v>
      </c>
      <c r="K909" s="62" t="s">
        <v>209</v>
      </c>
      <c r="L909" s="62" t="s">
        <v>4</v>
      </c>
      <c r="M909" s="62" t="n">
        <v>1</v>
      </c>
      <c r="N909" s="62" t="n">
        <v>0</v>
      </c>
      <c r="O909" s="62" t="n">
        <v>1</v>
      </c>
      <c r="P909" s="62" t="n">
        <v>0</v>
      </c>
      <c r="Q909" s="62" t="n">
        <v>0</v>
      </c>
      <c r="R909" s="62" t="n">
        <v>0</v>
      </c>
      <c r="S909" s="62" t="n">
        <v>0</v>
      </c>
      <c r="T909" s="62" t="n">
        <v>0</v>
      </c>
      <c r="U909" s="62"/>
      <c r="V909" s="62"/>
      <c r="W909" s="62"/>
      <c r="X909" s="62"/>
      <c r="Y909" s="62"/>
      <c r="Z909" s="62" t="s">
        <v>1824</v>
      </c>
      <c r="AA909" s="62" t="s">
        <v>1825</v>
      </c>
      <c r="AB909" s="62" t="n">
        <v>1</v>
      </c>
      <c r="AC909" s="62" t="n">
        <v>0</v>
      </c>
      <c r="AD909" s="62" t="n">
        <v>1</v>
      </c>
      <c r="AE909" s="62" t="n">
        <f aca="false">IF(AND(Dashboard!$C$9="Yes",AC909=1),0,1)</f>
        <v>1</v>
      </c>
      <c r="AF909" s="62" t="n">
        <v>1</v>
      </c>
    </row>
    <row r="910" customFormat="false" ht="15" hidden="false" customHeight="false" outlineLevel="0" collapsed="false">
      <c r="A910" s="62" t="n">
        <v>909</v>
      </c>
      <c r="B910" s="63" t="n">
        <v>46258.0950347222</v>
      </c>
      <c r="C910" s="64" t="n">
        <v>46257</v>
      </c>
      <c r="D910" s="62" t="s">
        <v>393</v>
      </c>
      <c r="E910" s="62" t="s">
        <v>203</v>
      </c>
      <c r="F910" s="62" t="s">
        <v>203</v>
      </c>
      <c r="G910" s="62" t="s">
        <v>204</v>
      </c>
      <c r="H910" s="62" t="s">
        <v>51</v>
      </c>
      <c r="I910" s="62" t="s">
        <v>47</v>
      </c>
      <c r="J910" s="62" t="s">
        <v>146</v>
      </c>
      <c r="K910" s="62" t="s">
        <v>147</v>
      </c>
      <c r="L910" s="62" t="s">
        <v>148</v>
      </c>
      <c r="M910" s="62" t="n">
        <v>0</v>
      </c>
      <c r="N910" s="62" t="n">
        <v>1</v>
      </c>
      <c r="O910" s="62" t="n">
        <v>1</v>
      </c>
      <c r="P910" s="62" t="n">
        <v>0</v>
      </c>
      <c r="Q910" s="62" t="n">
        <v>1</v>
      </c>
      <c r="R910" s="62" t="n">
        <v>0</v>
      </c>
      <c r="S910" s="62" t="n">
        <v>0</v>
      </c>
      <c r="T910" s="62" t="n">
        <v>0</v>
      </c>
      <c r="U910" s="62"/>
      <c r="V910" s="62"/>
      <c r="W910" s="62"/>
      <c r="X910" s="62"/>
      <c r="Y910" s="62"/>
      <c r="Z910" s="62" t="s">
        <v>1826</v>
      </c>
      <c r="AA910" s="62" t="s">
        <v>485</v>
      </c>
      <c r="AB910" s="62" t="n">
        <v>0</v>
      </c>
      <c r="AC910" s="62" t="n">
        <v>0</v>
      </c>
      <c r="AD910" s="62" t="n">
        <v>1</v>
      </c>
      <c r="AE910" s="62" t="n">
        <f aca="false">IF(AND(Dashboard!$C$9="Yes",AC910=1),0,1)</f>
        <v>1</v>
      </c>
      <c r="AF910" s="62" t="n">
        <v>0</v>
      </c>
    </row>
    <row r="911" customFormat="false" ht="15" hidden="false" customHeight="false" outlineLevel="0" collapsed="false">
      <c r="A911" s="62" t="n">
        <v>910</v>
      </c>
      <c r="B911" s="63" t="n">
        <v>46258.0952083333</v>
      </c>
      <c r="C911" s="64" t="n">
        <v>46257</v>
      </c>
      <c r="D911" s="62" t="s">
        <v>393</v>
      </c>
      <c r="E911" s="62" t="s">
        <v>1590</v>
      </c>
      <c r="F911" s="62" t="s">
        <v>1590</v>
      </c>
      <c r="G911" s="62" t="s">
        <v>1591</v>
      </c>
      <c r="H911" s="62" t="s">
        <v>52</v>
      </c>
      <c r="I911" s="62" t="s">
        <v>47</v>
      </c>
      <c r="J911" s="62" t="s">
        <v>146</v>
      </c>
      <c r="K911" s="62" t="s">
        <v>209</v>
      </c>
      <c r="L911" s="62" t="s">
        <v>4</v>
      </c>
      <c r="M911" s="62" t="n">
        <v>1</v>
      </c>
      <c r="N911" s="62" t="n">
        <v>0</v>
      </c>
      <c r="O911" s="62" t="n">
        <v>1</v>
      </c>
      <c r="P911" s="62" t="n">
        <v>0</v>
      </c>
      <c r="Q911" s="62" t="n">
        <v>0</v>
      </c>
      <c r="R911" s="62" t="n">
        <v>0</v>
      </c>
      <c r="S911" s="62" t="n">
        <v>0</v>
      </c>
      <c r="T911" s="62" t="n">
        <v>0</v>
      </c>
      <c r="U911" s="62"/>
      <c r="V911" s="62"/>
      <c r="W911" s="62"/>
      <c r="X911" s="62"/>
      <c r="Y911" s="62"/>
      <c r="Z911" s="62" t="s">
        <v>1824</v>
      </c>
      <c r="AA911" s="62" t="s">
        <v>1825</v>
      </c>
      <c r="AB911" s="62" t="n">
        <v>1</v>
      </c>
      <c r="AC911" s="62" t="n">
        <v>1</v>
      </c>
      <c r="AD911" s="62" t="n">
        <v>1</v>
      </c>
      <c r="AE911" s="62" t="n">
        <f aca="false">IF(AND(Dashboard!$C$9="Yes",AC911=1),0,1)</f>
        <v>0</v>
      </c>
      <c r="AF911" s="62" t="n">
        <v>0</v>
      </c>
    </row>
    <row r="912" customFormat="false" ht="15" hidden="false" customHeight="false" outlineLevel="0" collapsed="false">
      <c r="A912" s="62" t="n">
        <v>911</v>
      </c>
      <c r="B912" s="63" t="n">
        <v>46258.1104398148</v>
      </c>
      <c r="C912" s="64" t="n">
        <v>46257</v>
      </c>
      <c r="D912" s="62" t="s">
        <v>393</v>
      </c>
      <c r="E912" s="62" t="s">
        <v>1827</v>
      </c>
      <c r="F912" s="62" t="s">
        <v>1827</v>
      </c>
      <c r="G912" s="62" t="s">
        <v>1828</v>
      </c>
      <c r="H912" s="62" t="s">
        <v>59</v>
      </c>
      <c r="I912" s="62" t="s">
        <v>47</v>
      </c>
      <c r="J912" s="62" t="s">
        <v>146</v>
      </c>
      <c r="K912" s="62" t="s">
        <v>209</v>
      </c>
      <c r="L912" s="62" t="s">
        <v>4</v>
      </c>
      <c r="M912" s="62" t="n">
        <v>1</v>
      </c>
      <c r="N912" s="62" t="n">
        <v>0</v>
      </c>
      <c r="O912" s="62" t="n">
        <v>1</v>
      </c>
      <c r="P912" s="62" t="n">
        <v>0</v>
      </c>
      <c r="Q912" s="62" t="n">
        <v>0</v>
      </c>
      <c r="R912" s="62" t="n">
        <v>0</v>
      </c>
      <c r="S912" s="62" t="n">
        <v>0</v>
      </c>
      <c r="T912" s="62" t="n">
        <v>0</v>
      </c>
      <c r="U912" s="62"/>
      <c r="V912" s="62"/>
      <c r="W912" s="62"/>
      <c r="X912" s="62"/>
      <c r="Y912" s="62"/>
      <c r="Z912" s="62" t="s">
        <v>1829</v>
      </c>
      <c r="AA912" s="62" t="s">
        <v>1830</v>
      </c>
      <c r="AB912" s="62" t="n">
        <v>1</v>
      </c>
      <c r="AC912" s="62" t="n">
        <v>0</v>
      </c>
      <c r="AD912" s="62" t="n">
        <v>1</v>
      </c>
      <c r="AE912" s="62" t="n">
        <f aca="false">IF(AND(Dashboard!$C$9="Yes",AC912=1),0,1)</f>
        <v>1</v>
      </c>
      <c r="AF912" s="62" t="n">
        <v>1</v>
      </c>
    </row>
    <row r="913" customFormat="false" ht="15" hidden="false" customHeight="false" outlineLevel="0" collapsed="false">
      <c r="A913" s="62" t="n">
        <v>912</v>
      </c>
      <c r="B913" s="63" t="n">
        <v>46258.1242824074</v>
      </c>
      <c r="C913" s="64" t="n">
        <v>46257</v>
      </c>
      <c r="D913" s="62" t="s">
        <v>393</v>
      </c>
      <c r="E913" s="62" t="s">
        <v>239</v>
      </c>
      <c r="F913" s="62" t="s">
        <v>240</v>
      </c>
      <c r="G913" s="62" t="s">
        <v>153</v>
      </c>
      <c r="H913" s="62" t="s">
        <v>153</v>
      </c>
      <c r="I913" s="62" t="s">
        <v>153</v>
      </c>
      <c r="J913" s="62" t="s">
        <v>64</v>
      </c>
      <c r="K913" s="62" t="s">
        <v>64</v>
      </c>
      <c r="L913" s="62" t="s">
        <v>148</v>
      </c>
      <c r="M913" s="62" t="n">
        <v>0</v>
      </c>
      <c r="N913" s="62" t="n">
        <v>1</v>
      </c>
      <c r="O913" s="62" t="n">
        <v>1</v>
      </c>
      <c r="P913" s="62" t="n">
        <v>0</v>
      </c>
      <c r="Q913" s="62" t="n">
        <v>0</v>
      </c>
      <c r="R913" s="62" t="n">
        <v>1</v>
      </c>
      <c r="S913" s="62" t="n">
        <v>0</v>
      </c>
      <c r="T913" s="62" t="n">
        <v>0</v>
      </c>
      <c r="U913" s="62"/>
      <c r="V913" s="62"/>
      <c r="W913" s="62"/>
      <c r="X913" s="62"/>
      <c r="Y913" s="62"/>
      <c r="Z913" s="62" t="s">
        <v>1831</v>
      </c>
      <c r="AA913" s="62" t="s">
        <v>1832</v>
      </c>
      <c r="AB913" s="62" t="n">
        <v>1</v>
      </c>
      <c r="AC913" s="62" t="n">
        <v>0</v>
      </c>
      <c r="AD913" s="62" t="n">
        <v>0</v>
      </c>
      <c r="AE913" s="62" t="n">
        <f aca="false">IF(AND(Dashboard!$C$9="Yes",AC913=1),0,1)</f>
        <v>1</v>
      </c>
      <c r="AF913" s="62" t="n">
        <v>0</v>
      </c>
    </row>
    <row r="914" customFormat="false" ht="15" hidden="false" customHeight="false" outlineLevel="0" collapsed="false">
      <c r="A914" s="62" t="n">
        <v>913</v>
      </c>
      <c r="B914" s="63" t="n">
        <v>46258.1245601852</v>
      </c>
      <c r="C914" s="64" t="n">
        <v>46257</v>
      </c>
      <c r="D914" s="62" t="s">
        <v>393</v>
      </c>
      <c r="E914" s="62" t="s">
        <v>239</v>
      </c>
      <c r="F914" s="62" t="s">
        <v>240</v>
      </c>
      <c r="G914" s="62" t="s">
        <v>153</v>
      </c>
      <c r="H914" s="62" t="s">
        <v>153</v>
      </c>
      <c r="I914" s="62" t="s">
        <v>153</v>
      </c>
      <c r="J914" s="62" t="s">
        <v>64</v>
      </c>
      <c r="K914" s="62" t="s">
        <v>64</v>
      </c>
      <c r="L914" s="62" t="s">
        <v>148</v>
      </c>
      <c r="M914" s="62" t="n">
        <v>0</v>
      </c>
      <c r="N914" s="62" t="n">
        <v>1</v>
      </c>
      <c r="O914" s="62" t="n">
        <v>1</v>
      </c>
      <c r="P914" s="62" t="n">
        <v>0</v>
      </c>
      <c r="Q914" s="62" t="n">
        <v>0</v>
      </c>
      <c r="R914" s="62" t="n">
        <v>1</v>
      </c>
      <c r="S914" s="62" t="n">
        <v>0</v>
      </c>
      <c r="T914" s="62" t="n">
        <v>0</v>
      </c>
      <c r="U914" s="62"/>
      <c r="V914" s="62"/>
      <c r="W914" s="62"/>
      <c r="X914" s="62"/>
      <c r="Y914" s="62"/>
      <c r="Z914" s="62" t="s">
        <v>1831</v>
      </c>
      <c r="AA914" s="62" t="s">
        <v>1832</v>
      </c>
      <c r="AB914" s="62" t="n">
        <v>1</v>
      </c>
      <c r="AC914" s="62" t="n">
        <v>1</v>
      </c>
      <c r="AD914" s="62" t="n">
        <v>0</v>
      </c>
      <c r="AE914" s="62" t="n">
        <f aca="false">IF(AND(Dashboard!$C$9="Yes",AC914=1),0,1)</f>
        <v>0</v>
      </c>
      <c r="AF914" s="62" t="n">
        <v>0</v>
      </c>
    </row>
    <row r="915" customFormat="false" ht="15" hidden="false" customHeight="false" outlineLevel="0" collapsed="false">
      <c r="A915" s="62" t="n">
        <v>914</v>
      </c>
      <c r="B915" s="63" t="n">
        <v>46258.1248611111</v>
      </c>
      <c r="C915" s="64" t="n">
        <v>46257</v>
      </c>
      <c r="D915" s="62" t="s">
        <v>393</v>
      </c>
      <c r="E915" s="62" t="s">
        <v>239</v>
      </c>
      <c r="F915" s="62" t="s">
        <v>240</v>
      </c>
      <c r="G915" s="62" t="s">
        <v>153</v>
      </c>
      <c r="H915" s="62" t="s">
        <v>153</v>
      </c>
      <c r="I915" s="62" t="s">
        <v>153</v>
      </c>
      <c r="J915" s="62" t="s">
        <v>64</v>
      </c>
      <c r="K915" s="62" t="s">
        <v>64</v>
      </c>
      <c r="L915" s="62" t="s">
        <v>148</v>
      </c>
      <c r="M915" s="62" t="n">
        <v>0</v>
      </c>
      <c r="N915" s="62" t="n">
        <v>1</v>
      </c>
      <c r="O915" s="62" t="n">
        <v>1</v>
      </c>
      <c r="P915" s="62" t="n">
        <v>0</v>
      </c>
      <c r="Q915" s="62" t="n">
        <v>0</v>
      </c>
      <c r="R915" s="62" t="n">
        <v>1</v>
      </c>
      <c r="S915" s="62" t="n">
        <v>0</v>
      </c>
      <c r="T915" s="62" t="n">
        <v>0</v>
      </c>
      <c r="U915" s="62"/>
      <c r="V915" s="62"/>
      <c r="W915" s="62"/>
      <c r="X915" s="62"/>
      <c r="Y915" s="62"/>
      <c r="Z915" s="62" t="s">
        <v>1831</v>
      </c>
      <c r="AA915" s="62" t="s">
        <v>1832</v>
      </c>
      <c r="AB915" s="62" t="n">
        <v>1</v>
      </c>
      <c r="AC915" s="62" t="n">
        <v>1</v>
      </c>
      <c r="AD915" s="62" t="n">
        <v>0</v>
      </c>
      <c r="AE915" s="62" t="n">
        <f aca="false">IF(AND(Dashboard!$C$9="Yes",AC915=1),0,1)</f>
        <v>0</v>
      </c>
      <c r="AF915" s="62" t="n">
        <v>0</v>
      </c>
    </row>
    <row r="916" customFormat="false" ht="15" hidden="false" customHeight="false" outlineLevel="0" collapsed="false">
      <c r="A916" s="62" t="n">
        <v>915</v>
      </c>
      <c r="B916" s="63" t="n">
        <v>46258.1368287037</v>
      </c>
      <c r="C916" s="64" t="n">
        <v>46257</v>
      </c>
      <c r="D916" s="62" t="s">
        <v>393</v>
      </c>
      <c r="E916" s="62" t="s">
        <v>1749</v>
      </c>
      <c r="F916" s="62" t="s">
        <v>1749</v>
      </c>
      <c r="G916" s="62" t="s">
        <v>1750</v>
      </c>
      <c r="H916" s="62" t="s">
        <v>57</v>
      </c>
      <c r="I916" s="62" t="s">
        <v>47</v>
      </c>
      <c r="J916" s="62" t="s">
        <v>146</v>
      </c>
      <c r="K916" s="62" t="s">
        <v>209</v>
      </c>
      <c r="L916" s="62" t="s">
        <v>148</v>
      </c>
      <c r="M916" s="62" t="n">
        <v>0</v>
      </c>
      <c r="N916" s="62" t="n">
        <v>1</v>
      </c>
      <c r="O916" s="62" t="n">
        <v>1</v>
      </c>
      <c r="P916" s="62" t="n">
        <v>0</v>
      </c>
      <c r="Q916" s="62" t="n">
        <v>0</v>
      </c>
      <c r="R916" s="62" t="n">
        <v>1</v>
      </c>
      <c r="S916" s="62" t="n">
        <v>0</v>
      </c>
      <c r="T916" s="62" t="n">
        <v>0</v>
      </c>
      <c r="U916" s="62"/>
      <c r="V916" s="62"/>
      <c r="W916" s="62"/>
      <c r="X916" s="62"/>
      <c r="Y916" s="62"/>
      <c r="Z916" s="62" t="s">
        <v>1833</v>
      </c>
      <c r="AA916" s="62" t="s">
        <v>1834</v>
      </c>
      <c r="AB916" s="62" t="n">
        <v>1</v>
      </c>
      <c r="AC916" s="62" t="n">
        <v>0</v>
      </c>
      <c r="AD916" s="62" t="n">
        <v>1</v>
      </c>
      <c r="AE916" s="62" t="n">
        <f aca="false">IF(AND(Dashboard!$C$9="Yes",AC916=1),0,1)</f>
        <v>1</v>
      </c>
      <c r="AF916" s="62" t="n">
        <v>0</v>
      </c>
    </row>
    <row r="917" customFormat="false" ht="15" hidden="false" customHeight="false" outlineLevel="0" collapsed="false">
      <c r="A917" s="62" t="n">
        <v>916</v>
      </c>
      <c r="B917" s="63" t="n">
        <v>46258.1449884259</v>
      </c>
      <c r="C917" s="64" t="n">
        <v>46257</v>
      </c>
      <c r="D917" s="62" t="s">
        <v>393</v>
      </c>
      <c r="E917" s="62" t="s">
        <v>1224</v>
      </c>
      <c r="F917" s="62" t="s">
        <v>1225</v>
      </c>
      <c r="G917" s="62" t="s">
        <v>153</v>
      </c>
      <c r="H917" s="62" t="s">
        <v>153</v>
      </c>
      <c r="I917" s="62" t="s">
        <v>153</v>
      </c>
      <c r="J917" s="62" t="s">
        <v>64</v>
      </c>
      <c r="K917" s="62" t="s">
        <v>64</v>
      </c>
      <c r="L917" s="62" t="s">
        <v>148</v>
      </c>
      <c r="M917" s="62" t="n">
        <v>0</v>
      </c>
      <c r="N917" s="62" t="n">
        <v>1</v>
      </c>
      <c r="O917" s="62" t="n">
        <v>1</v>
      </c>
      <c r="P917" s="62" t="n">
        <v>0</v>
      </c>
      <c r="Q917" s="62" t="n">
        <v>1</v>
      </c>
      <c r="R917" s="62" t="n">
        <v>0</v>
      </c>
      <c r="S917" s="62" t="n">
        <v>0</v>
      </c>
      <c r="T917" s="62" t="n">
        <v>0</v>
      </c>
      <c r="U917" s="62"/>
      <c r="V917" s="62"/>
      <c r="W917" s="62"/>
      <c r="X917" s="62"/>
      <c r="Y917" s="62"/>
      <c r="Z917" s="62" t="s">
        <v>1835</v>
      </c>
      <c r="AA917" s="62" t="s">
        <v>1836</v>
      </c>
      <c r="AB917" s="62" t="n">
        <v>1</v>
      </c>
      <c r="AC917" s="62" t="n">
        <v>0</v>
      </c>
      <c r="AD917" s="62" t="n">
        <v>0</v>
      </c>
      <c r="AE917" s="62" t="n">
        <f aca="false">IF(AND(Dashboard!$C$9="Yes",AC917=1),0,1)</f>
        <v>1</v>
      </c>
      <c r="AF917" s="62" t="n">
        <v>1</v>
      </c>
    </row>
    <row r="918" customFormat="false" ht="15" hidden="false" customHeight="false" outlineLevel="0" collapsed="false">
      <c r="A918" s="62" t="n">
        <v>917</v>
      </c>
      <c r="B918" s="63" t="n">
        <v>46258.1457523148</v>
      </c>
      <c r="C918" s="64" t="n">
        <v>46257</v>
      </c>
      <c r="D918" s="62" t="s">
        <v>393</v>
      </c>
      <c r="E918" s="62" t="s">
        <v>1224</v>
      </c>
      <c r="F918" s="62" t="s">
        <v>1225</v>
      </c>
      <c r="G918" s="62" t="s">
        <v>153</v>
      </c>
      <c r="H918" s="62" t="s">
        <v>153</v>
      </c>
      <c r="I918" s="62" t="s">
        <v>153</v>
      </c>
      <c r="J918" s="62" t="s">
        <v>64</v>
      </c>
      <c r="K918" s="62" t="s">
        <v>64</v>
      </c>
      <c r="L918" s="62" t="s">
        <v>148</v>
      </c>
      <c r="M918" s="62" t="n">
        <v>0</v>
      </c>
      <c r="N918" s="62" t="n">
        <v>1</v>
      </c>
      <c r="O918" s="62" t="n">
        <v>1</v>
      </c>
      <c r="P918" s="62" t="n">
        <v>0</v>
      </c>
      <c r="Q918" s="62" t="n">
        <v>1</v>
      </c>
      <c r="R918" s="62" t="n">
        <v>0</v>
      </c>
      <c r="S918" s="62" t="n">
        <v>0</v>
      </c>
      <c r="T918" s="62" t="n">
        <v>0</v>
      </c>
      <c r="U918" s="62"/>
      <c r="V918" s="62"/>
      <c r="W918" s="62"/>
      <c r="X918" s="62"/>
      <c r="Y918" s="62"/>
      <c r="Z918" s="62" t="s">
        <v>1835</v>
      </c>
      <c r="AA918" s="62" t="s">
        <v>1836</v>
      </c>
      <c r="AB918" s="62" t="n">
        <v>1</v>
      </c>
      <c r="AC918" s="62" t="n">
        <v>1</v>
      </c>
      <c r="AD918" s="62" t="n">
        <v>0</v>
      </c>
      <c r="AE918" s="62" t="n">
        <f aca="false">IF(AND(Dashboard!$C$9="Yes",AC918=1),0,1)</f>
        <v>0</v>
      </c>
      <c r="AF918" s="62" t="n">
        <v>0</v>
      </c>
    </row>
    <row r="919" customFormat="false" ht="15" hidden="false" customHeight="false" outlineLevel="0" collapsed="false">
      <c r="A919" s="62" t="n">
        <v>918</v>
      </c>
      <c r="B919" s="63" t="n">
        <v>46258.1469791667</v>
      </c>
      <c r="C919" s="64" t="n">
        <v>46257</v>
      </c>
      <c r="D919" s="62" t="s">
        <v>393</v>
      </c>
      <c r="E919" s="62" t="s">
        <v>1224</v>
      </c>
      <c r="F919" s="62" t="s">
        <v>1225</v>
      </c>
      <c r="G919" s="62" t="s">
        <v>153</v>
      </c>
      <c r="H919" s="62" t="s">
        <v>153</v>
      </c>
      <c r="I919" s="62" t="s">
        <v>153</v>
      </c>
      <c r="J919" s="62" t="s">
        <v>64</v>
      </c>
      <c r="K919" s="62" t="s">
        <v>64</v>
      </c>
      <c r="L919" s="62" t="s">
        <v>148</v>
      </c>
      <c r="M919" s="62" t="n">
        <v>0</v>
      </c>
      <c r="N919" s="62" t="n">
        <v>1</v>
      </c>
      <c r="O919" s="62" t="n">
        <v>1</v>
      </c>
      <c r="P919" s="62" t="n">
        <v>0</v>
      </c>
      <c r="Q919" s="62" t="n">
        <v>1</v>
      </c>
      <c r="R919" s="62" t="n">
        <v>0</v>
      </c>
      <c r="S919" s="62" t="n">
        <v>0</v>
      </c>
      <c r="T919" s="62" t="n">
        <v>0</v>
      </c>
      <c r="U919" s="62"/>
      <c r="V919" s="62"/>
      <c r="W919" s="62"/>
      <c r="X919" s="62"/>
      <c r="Y919" s="62"/>
      <c r="Z919" s="62" t="s">
        <v>1835</v>
      </c>
      <c r="AA919" s="62" t="s">
        <v>1836</v>
      </c>
      <c r="AB919" s="62" t="n">
        <v>1</v>
      </c>
      <c r="AC919" s="62" t="n">
        <v>1</v>
      </c>
      <c r="AD919" s="62" t="n">
        <v>0</v>
      </c>
      <c r="AE919" s="62" t="n">
        <f aca="false">IF(AND(Dashboard!$C$9="Yes",AC919=1),0,1)</f>
        <v>0</v>
      </c>
      <c r="AF919" s="62" t="n">
        <v>0</v>
      </c>
    </row>
    <row r="920" customFormat="false" ht="15" hidden="false" customHeight="false" outlineLevel="0" collapsed="false">
      <c r="A920" s="62" t="n">
        <v>919</v>
      </c>
      <c r="B920" s="63" t="n">
        <v>46258.1522569444</v>
      </c>
      <c r="C920" s="64" t="n">
        <v>46257</v>
      </c>
      <c r="D920" s="62" t="s">
        <v>393</v>
      </c>
      <c r="E920" s="62" t="s">
        <v>144</v>
      </c>
      <c r="F920" s="62" t="s">
        <v>144</v>
      </c>
      <c r="G920" s="62" t="s">
        <v>145</v>
      </c>
      <c r="H920" s="62" t="s">
        <v>59</v>
      </c>
      <c r="I920" s="62" t="s">
        <v>47</v>
      </c>
      <c r="J920" s="62" t="s">
        <v>146</v>
      </c>
      <c r="K920" s="62" t="s">
        <v>147</v>
      </c>
      <c r="L920" s="62" t="s">
        <v>148</v>
      </c>
      <c r="M920" s="62" t="n">
        <v>0</v>
      </c>
      <c r="N920" s="62" t="n">
        <v>1</v>
      </c>
      <c r="O920" s="62" t="n">
        <v>1</v>
      </c>
      <c r="P920" s="62" t="n">
        <v>1</v>
      </c>
      <c r="Q920" s="62" t="n">
        <v>0</v>
      </c>
      <c r="R920" s="62" t="n">
        <v>0</v>
      </c>
      <c r="S920" s="62" t="n">
        <v>0</v>
      </c>
      <c r="T920" s="62" t="n">
        <v>0</v>
      </c>
      <c r="U920" s="62"/>
      <c r="V920" s="62"/>
      <c r="W920" s="62"/>
      <c r="X920" s="62"/>
      <c r="Y920" s="62"/>
      <c r="Z920" s="62" t="s">
        <v>1837</v>
      </c>
      <c r="AA920" s="62" t="s">
        <v>237</v>
      </c>
      <c r="AB920" s="62" t="n">
        <v>0</v>
      </c>
      <c r="AC920" s="62" t="n">
        <v>0</v>
      </c>
      <c r="AD920" s="62" t="n">
        <v>1</v>
      </c>
      <c r="AE920" s="62" t="n">
        <f aca="false">IF(AND(Dashboard!$C$9="Yes",AC920=1),0,1)</f>
        <v>1</v>
      </c>
      <c r="AF920" s="62" t="n">
        <v>0</v>
      </c>
    </row>
    <row r="921" customFormat="false" ht="15" hidden="false" customHeight="false" outlineLevel="0" collapsed="false">
      <c r="A921" s="62" t="n">
        <v>920</v>
      </c>
      <c r="B921" s="63" t="n">
        <v>46258.1525347222</v>
      </c>
      <c r="C921" s="64" t="n">
        <v>46257</v>
      </c>
      <c r="D921" s="62" t="s">
        <v>393</v>
      </c>
      <c r="E921" s="62" t="s">
        <v>144</v>
      </c>
      <c r="F921" s="62" t="s">
        <v>144</v>
      </c>
      <c r="G921" s="62" t="s">
        <v>145</v>
      </c>
      <c r="H921" s="62" t="s">
        <v>59</v>
      </c>
      <c r="I921" s="62" t="s">
        <v>47</v>
      </c>
      <c r="J921" s="62" t="s">
        <v>146</v>
      </c>
      <c r="K921" s="62" t="s">
        <v>147</v>
      </c>
      <c r="L921" s="62" t="s">
        <v>148</v>
      </c>
      <c r="M921" s="62" t="n">
        <v>0</v>
      </c>
      <c r="N921" s="62" t="n">
        <v>1</v>
      </c>
      <c r="O921" s="62" t="n">
        <v>1</v>
      </c>
      <c r="P921" s="62" t="n">
        <v>1</v>
      </c>
      <c r="Q921" s="62" t="n">
        <v>0</v>
      </c>
      <c r="R921" s="62" t="n">
        <v>0</v>
      </c>
      <c r="S921" s="62" t="n">
        <v>0</v>
      </c>
      <c r="T921" s="62" t="n">
        <v>0</v>
      </c>
      <c r="U921" s="62"/>
      <c r="V921" s="62"/>
      <c r="W921" s="62"/>
      <c r="X921" s="62"/>
      <c r="Y921" s="62"/>
      <c r="Z921" s="62" t="s">
        <v>1837</v>
      </c>
      <c r="AA921" s="62" t="s">
        <v>237</v>
      </c>
      <c r="AB921" s="62" t="n">
        <v>0</v>
      </c>
      <c r="AC921" s="62" t="n">
        <v>0</v>
      </c>
      <c r="AD921" s="62" t="n">
        <v>1</v>
      </c>
      <c r="AE921" s="62" t="n">
        <f aca="false">IF(AND(Dashboard!$C$9="Yes",AC921=1),0,1)</f>
        <v>1</v>
      </c>
      <c r="AF921" s="62" t="n">
        <v>0</v>
      </c>
    </row>
    <row r="922" customFormat="false" ht="15" hidden="false" customHeight="false" outlineLevel="0" collapsed="false">
      <c r="A922" s="62" t="n">
        <v>921</v>
      </c>
      <c r="B922" s="63" t="n">
        <v>46258.152662037</v>
      </c>
      <c r="C922" s="64" t="n">
        <v>46257</v>
      </c>
      <c r="D922" s="62" t="s">
        <v>393</v>
      </c>
      <c r="E922" s="62" t="s">
        <v>144</v>
      </c>
      <c r="F922" s="62" t="s">
        <v>144</v>
      </c>
      <c r="G922" s="62" t="s">
        <v>145</v>
      </c>
      <c r="H922" s="62" t="s">
        <v>59</v>
      </c>
      <c r="I922" s="62" t="s">
        <v>47</v>
      </c>
      <c r="J922" s="62" t="s">
        <v>146</v>
      </c>
      <c r="K922" s="62" t="s">
        <v>147</v>
      </c>
      <c r="L922" s="62" t="s">
        <v>148</v>
      </c>
      <c r="M922" s="62" t="n">
        <v>0</v>
      </c>
      <c r="N922" s="62" t="n">
        <v>1</v>
      </c>
      <c r="O922" s="62" t="n">
        <v>1</v>
      </c>
      <c r="P922" s="62" t="n">
        <v>1</v>
      </c>
      <c r="Q922" s="62" t="n">
        <v>0</v>
      </c>
      <c r="R922" s="62" t="n">
        <v>0</v>
      </c>
      <c r="S922" s="62" t="n">
        <v>0</v>
      </c>
      <c r="T922" s="62" t="n">
        <v>0</v>
      </c>
      <c r="U922" s="62"/>
      <c r="V922" s="62"/>
      <c r="W922" s="62"/>
      <c r="X922" s="62"/>
      <c r="Y922" s="62"/>
      <c r="Z922" s="62" t="s">
        <v>1837</v>
      </c>
      <c r="AA922" s="62" t="s">
        <v>237</v>
      </c>
      <c r="AB922" s="62" t="n">
        <v>0</v>
      </c>
      <c r="AC922" s="62" t="n">
        <v>0</v>
      </c>
      <c r="AD922" s="62" t="n">
        <v>1</v>
      </c>
      <c r="AE922" s="62" t="n">
        <f aca="false">IF(AND(Dashboard!$C$9="Yes",AC922=1),0,1)</f>
        <v>1</v>
      </c>
      <c r="AF922" s="62" t="n">
        <v>0</v>
      </c>
    </row>
    <row r="923" customFormat="false" ht="15" hidden="false" customHeight="false" outlineLevel="0" collapsed="false">
      <c r="A923" s="62" t="n">
        <v>922</v>
      </c>
      <c r="B923" s="63" t="n">
        <v>46258.1663773148</v>
      </c>
      <c r="C923" s="64" t="n">
        <v>46257</v>
      </c>
      <c r="D923" s="62" t="s">
        <v>393</v>
      </c>
      <c r="E923" s="62" t="s">
        <v>207</v>
      </c>
      <c r="F923" s="62" t="s">
        <v>207</v>
      </c>
      <c r="G923" s="62" t="s">
        <v>208</v>
      </c>
      <c r="H923" s="62" t="s">
        <v>48</v>
      </c>
      <c r="I923" s="62" t="s">
        <v>49</v>
      </c>
      <c r="J923" s="62" t="s">
        <v>146</v>
      </c>
      <c r="K923" s="62" t="s">
        <v>209</v>
      </c>
      <c r="L923" s="62" t="s">
        <v>148</v>
      </c>
      <c r="M923" s="62" t="n">
        <v>0</v>
      </c>
      <c r="N923" s="62" t="n">
        <v>1</v>
      </c>
      <c r="O923" s="62" t="n">
        <v>1</v>
      </c>
      <c r="P923" s="62" t="n">
        <v>1</v>
      </c>
      <c r="Q923" s="62" t="n">
        <v>0</v>
      </c>
      <c r="R923" s="62" t="n">
        <v>0</v>
      </c>
      <c r="S923" s="62" t="n">
        <v>0</v>
      </c>
      <c r="T923" s="62" t="n">
        <v>0</v>
      </c>
      <c r="U923" s="62"/>
      <c r="V923" s="62"/>
      <c r="W923" s="62"/>
      <c r="X923" s="62"/>
      <c r="Y923" s="62"/>
      <c r="Z923" s="62" t="s">
        <v>1838</v>
      </c>
      <c r="AA923" s="62" t="s">
        <v>1839</v>
      </c>
      <c r="AB923" s="62" t="n">
        <v>1</v>
      </c>
      <c r="AC923" s="62" t="n">
        <v>0</v>
      </c>
      <c r="AD923" s="62" t="n">
        <v>1</v>
      </c>
      <c r="AE923" s="62" t="n">
        <f aca="false">IF(AND(Dashboard!$C$9="Yes",AC923=1),0,1)</f>
        <v>1</v>
      </c>
      <c r="AF923" s="62" t="n">
        <v>1</v>
      </c>
    </row>
    <row r="924" customFormat="false" ht="15" hidden="false" customHeight="false" outlineLevel="0" collapsed="false">
      <c r="A924" s="62" t="n">
        <v>923</v>
      </c>
      <c r="B924" s="63" t="n">
        <v>46258.1806828704</v>
      </c>
      <c r="C924" s="64" t="n">
        <v>46257</v>
      </c>
      <c r="D924" s="62" t="s">
        <v>393</v>
      </c>
      <c r="E924" s="62" t="s">
        <v>144</v>
      </c>
      <c r="F924" s="62" t="s">
        <v>144</v>
      </c>
      <c r="G924" s="62" t="s">
        <v>145</v>
      </c>
      <c r="H924" s="62" t="s">
        <v>59</v>
      </c>
      <c r="I924" s="62" t="s">
        <v>47</v>
      </c>
      <c r="J924" s="62" t="s">
        <v>146</v>
      </c>
      <c r="K924" s="62" t="s">
        <v>147</v>
      </c>
      <c r="L924" s="62" t="s">
        <v>148</v>
      </c>
      <c r="M924" s="62" t="n">
        <v>0</v>
      </c>
      <c r="N924" s="62" t="n">
        <v>2</v>
      </c>
      <c r="O924" s="62" t="n">
        <v>2</v>
      </c>
      <c r="P924" s="62" t="n">
        <v>1</v>
      </c>
      <c r="Q924" s="62" t="n">
        <v>1</v>
      </c>
      <c r="R924" s="62" t="n">
        <v>0</v>
      </c>
      <c r="S924" s="62" t="n">
        <v>0</v>
      </c>
      <c r="T924" s="62" t="n">
        <v>0</v>
      </c>
      <c r="U924" s="62"/>
      <c r="V924" s="62"/>
      <c r="W924" s="62"/>
      <c r="X924" s="62"/>
      <c r="Y924" s="62"/>
      <c r="Z924" s="62" t="s">
        <v>1840</v>
      </c>
      <c r="AA924" s="62" t="s">
        <v>1841</v>
      </c>
      <c r="AB924" s="62" t="n">
        <v>0</v>
      </c>
      <c r="AC924" s="62" t="n">
        <v>0</v>
      </c>
      <c r="AD924" s="62" t="n">
        <v>1</v>
      </c>
      <c r="AE924" s="62" t="n">
        <f aca="false">IF(AND(Dashboard!$C$9="Yes",AC924=1),0,1)</f>
        <v>1</v>
      </c>
      <c r="AF924" s="62" t="n">
        <v>0</v>
      </c>
    </row>
    <row r="925" customFormat="false" ht="15" hidden="false" customHeight="false" outlineLevel="0" collapsed="false">
      <c r="A925" s="62" t="n">
        <v>924</v>
      </c>
      <c r="B925" s="63" t="n">
        <v>46258.1808217593</v>
      </c>
      <c r="C925" s="64" t="n">
        <v>46257</v>
      </c>
      <c r="D925" s="62" t="s">
        <v>393</v>
      </c>
      <c r="E925" s="62" t="s">
        <v>144</v>
      </c>
      <c r="F925" s="62" t="s">
        <v>144</v>
      </c>
      <c r="G925" s="62" t="s">
        <v>145</v>
      </c>
      <c r="H925" s="62" t="s">
        <v>59</v>
      </c>
      <c r="I925" s="62" t="s">
        <v>47</v>
      </c>
      <c r="J925" s="62" t="s">
        <v>146</v>
      </c>
      <c r="K925" s="62" t="s">
        <v>147</v>
      </c>
      <c r="L925" s="62" t="s">
        <v>148</v>
      </c>
      <c r="M925" s="62" t="n">
        <v>0</v>
      </c>
      <c r="N925" s="62" t="n">
        <v>2</v>
      </c>
      <c r="O925" s="62" t="n">
        <v>2</v>
      </c>
      <c r="P925" s="62" t="n">
        <v>1</v>
      </c>
      <c r="Q925" s="62" t="n">
        <v>1</v>
      </c>
      <c r="R925" s="62" t="n">
        <v>0</v>
      </c>
      <c r="S925" s="62" t="n">
        <v>0</v>
      </c>
      <c r="T925" s="62" t="n">
        <v>0</v>
      </c>
      <c r="U925" s="62"/>
      <c r="V925" s="62"/>
      <c r="W925" s="62"/>
      <c r="X925" s="62"/>
      <c r="Y925" s="62"/>
      <c r="Z925" s="62" t="s">
        <v>1840</v>
      </c>
      <c r="AA925" s="62" t="s">
        <v>1841</v>
      </c>
      <c r="AB925" s="62" t="n">
        <v>0</v>
      </c>
      <c r="AC925" s="62" t="n">
        <v>0</v>
      </c>
      <c r="AD925" s="62" t="n">
        <v>1</v>
      </c>
      <c r="AE925" s="62" t="n">
        <f aca="false">IF(AND(Dashboard!$C$9="Yes",AC925=1),0,1)</f>
        <v>1</v>
      </c>
      <c r="AF925" s="62" t="n">
        <v>0</v>
      </c>
    </row>
    <row r="926" customFormat="false" ht="15" hidden="false" customHeight="false" outlineLevel="0" collapsed="false">
      <c r="A926" s="62" t="n">
        <v>925</v>
      </c>
      <c r="B926" s="63" t="n">
        <v>46258.1810300926</v>
      </c>
      <c r="C926" s="64" t="n">
        <v>46257</v>
      </c>
      <c r="D926" s="62" t="s">
        <v>393</v>
      </c>
      <c r="E926" s="62" t="s">
        <v>144</v>
      </c>
      <c r="F926" s="62" t="s">
        <v>144</v>
      </c>
      <c r="G926" s="62" t="s">
        <v>145</v>
      </c>
      <c r="H926" s="62" t="s">
        <v>59</v>
      </c>
      <c r="I926" s="62" t="s">
        <v>47</v>
      </c>
      <c r="J926" s="62" t="s">
        <v>146</v>
      </c>
      <c r="K926" s="62" t="s">
        <v>147</v>
      </c>
      <c r="L926" s="62" t="s">
        <v>148</v>
      </c>
      <c r="M926" s="62" t="n">
        <v>0</v>
      </c>
      <c r="N926" s="62" t="n">
        <v>2</v>
      </c>
      <c r="O926" s="62" t="n">
        <v>2</v>
      </c>
      <c r="P926" s="62" t="n">
        <v>1</v>
      </c>
      <c r="Q926" s="62" t="n">
        <v>1</v>
      </c>
      <c r="R926" s="62" t="n">
        <v>0</v>
      </c>
      <c r="S926" s="62" t="n">
        <v>0</v>
      </c>
      <c r="T926" s="62" t="n">
        <v>0</v>
      </c>
      <c r="U926" s="62"/>
      <c r="V926" s="62"/>
      <c r="W926" s="62"/>
      <c r="X926" s="62"/>
      <c r="Y926" s="62"/>
      <c r="Z926" s="62" t="s">
        <v>1840</v>
      </c>
      <c r="AA926" s="62" t="s">
        <v>1841</v>
      </c>
      <c r="AB926" s="62" t="n">
        <v>0</v>
      </c>
      <c r="AC926" s="62" t="n">
        <v>0</v>
      </c>
      <c r="AD926" s="62" t="n">
        <v>1</v>
      </c>
      <c r="AE926" s="62" t="n">
        <f aca="false">IF(AND(Dashboard!$C$9="Yes",AC926=1),0,1)</f>
        <v>1</v>
      </c>
      <c r="AF926" s="62" t="n">
        <v>0</v>
      </c>
    </row>
    <row r="927" customFormat="false" ht="15" hidden="false" customHeight="false" outlineLevel="0" collapsed="false">
      <c r="A927" s="62" t="n">
        <v>926</v>
      </c>
      <c r="B927" s="63" t="n">
        <v>46258.1812037037</v>
      </c>
      <c r="C927" s="64" t="n">
        <v>46257</v>
      </c>
      <c r="D927" s="62" t="s">
        <v>393</v>
      </c>
      <c r="E927" s="62" t="s">
        <v>144</v>
      </c>
      <c r="F927" s="62" t="s">
        <v>144</v>
      </c>
      <c r="G927" s="62" t="s">
        <v>145</v>
      </c>
      <c r="H927" s="62" t="s">
        <v>59</v>
      </c>
      <c r="I927" s="62" t="s">
        <v>47</v>
      </c>
      <c r="J927" s="62" t="s">
        <v>146</v>
      </c>
      <c r="K927" s="62" t="s">
        <v>147</v>
      </c>
      <c r="L927" s="62" t="s">
        <v>148</v>
      </c>
      <c r="M927" s="62" t="n">
        <v>0</v>
      </c>
      <c r="N927" s="62" t="n">
        <v>2</v>
      </c>
      <c r="O927" s="62" t="n">
        <v>2</v>
      </c>
      <c r="P927" s="62" t="n">
        <v>1</v>
      </c>
      <c r="Q927" s="62" t="n">
        <v>1</v>
      </c>
      <c r="R927" s="62" t="n">
        <v>0</v>
      </c>
      <c r="S927" s="62" t="n">
        <v>0</v>
      </c>
      <c r="T927" s="62" t="n">
        <v>0</v>
      </c>
      <c r="U927" s="62"/>
      <c r="V927" s="62"/>
      <c r="W927" s="62"/>
      <c r="X927" s="62"/>
      <c r="Y927" s="62"/>
      <c r="Z927" s="62" t="s">
        <v>1840</v>
      </c>
      <c r="AA927" s="62" t="s">
        <v>1841</v>
      </c>
      <c r="AB927" s="62" t="n">
        <v>0</v>
      </c>
      <c r="AC927" s="62" t="n">
        <v>0</v>
      </c>
      <c r="AD927" s="62" t="n">
        <v>1</v>
      </c>
      <c r="AE927" s="62" t="n">
        <f aca="false">IF(AND(Dashboard!$C$9="Yes",AC927=1),0,1)</f>
        <v>1</v>
      </c>
      <c r="AF927" s="62" t="n">
        <v>0</v>
      </c>
    </row>
    <row r="928" customFormat="false" ht="15" hidden="false" customHeight="false" outlineLevel="0" collapsed="false">
      <c r="A928" s="62" t="n">
        <v>927</v>
      </c>
      <c r="B928" s="63" t="n">
        <v>46258.1819791667</v>
      </c>
      <c r="C928" s="64" t="n">
        <v>46257</v>
      </c>
      <c r="D928" s="62" t="s">
        <v>393</v>
      </c>
      <c r="E928" s="62" t="s">
        <v>1842</v>
      </c>
      <c r="F928" s="62" t="s">
        <v>1749</v>
      </c>
      <c r="G928" s="62" t="s">
        <v>1750</v>
      </c>
      <c r="H928" s="62" t="s">
        <v>57</v>
      </c>
      <c r="I928" s="62" t="s">
        <v>47</v>
      </c>
      <c r="J928" s="62" t="s">
        <v>146</v>
      </c>
      <c r="K928" s="62" t="s">
        <v>209</v>
      </c>
      <c r="L928" s="62" t="s">
        <v>148</v>
      </c>
      <c r="M928" s="62" t="n">
        <v>0</v>
      </c>
      <c r="N928" s="62" t="n">
        <v>1</v>
      </c>
      <c r="O928" s="62" t="n">
        <v>1</v>
      </c>
      <c r="P928" s="62" t="n">
        <v>0</v>
      </c>
      <c r="Q928" s="62" t="n">
        <v>1</v>
      </c>
      <c r="R928" s="62" t="n">
        <v>0</v>
      </c>
      <c r="S928" s="62" t="n">
        <v>0</v>
      </c>
      <c r="T928" s="62" t="n">
        <v>0</v>
      </c>
      <c r="U928" s="62"/>
      <c r="V928" s="62"/>
      <c r="W928" s="62"/>
      <c r="X928" s="62"/>
      <c r="Y928" s="62"/>
      <c r="Z928" s="62" t="s">
        <v>1843</v>
      </c>
      <c r="AA928" s="62" t="s">
        <v>1844</v>
      </c>
      <c r="AB928" s="62" t="n">
        <v>1</v>
      </c>
      <c r="AC928" s="62" t="n">
        <v>0</v>
      </c>
      <c r="AD928" s="62" t="n">
        <v>1</v>
      </c>
      <c r="AE928" s="62" t="n">
        <f aca="false">IF(AND(Dashboard!$C$9="Yes",AC928=1),0,1)</f>
        <v>1</v>
      </c>
      <c r="AF928" s="62" t="n">
        <v>0</v>
      </c>
    </row>
    <row r="929" customFormat="false" ht="15" hidden="false" customHeight="false" outlineLevel="0" collapsed="false">
      <c r="A929" s="62" t="n">
        <v>928</v>
      </c>
      <c r="B929" s="63" t="n">
        <v>46258.19625</v>
      </c>
      <c r="C929" s="64" t="n">
        <v>46257</v>
      </c>
      <c r="D929" s="62" t="s">
        <v>393</v>
      </c>
      <c r="E929" s="62" t="s">
        <v>1590</v>
      </c>
      <c r="F929" s="62" t="s">
        <v>1590</v>
      </c>
      <c r="G929" s="62" t="s">
        <v>1591</v>
      </c>
      <c r="H929" s="62" t="s">
        <v>52</v>
      </c>
      <c r="I929" s="62" t="s">
        <v>47</v>
      </c>
      <c r="J929" s="62" t="s">
        <v>146</v>
      </c>
      <c r="K929" s="62" t="s">
        <v>209</v>
      </c>
      <c r="L929" s="62" t="s">
        <v>4</v>
      </c>
      <c r="M929" s="62" t="n">
        <v>1</v>
      </c>
      <c r="N929" s="62" t="n">
        <v>0</v>
      </c>
      <c r="O929" s="62" t="n">
        <v>1</v>
      </c>
      <c r="P929" s="62" t="n">
        <v>0</v>
      </c>
      <c r="Q929" s="62" t="n">
        <v>0</v>
      </c>
      <c r="R929" s="62" t="n">
        <v>0</v>
      </c>
      <c r="S929" s="62" t="n">
        <v>0</v>
      </c>
      <c r="T929" s="62" t="n">
        <v>0</v>
      </c>
      <c r="U929" s="62"/>
      <c r="V929" s="62"/>
      <c r="W929" s="62"/>
      <c r="X929" s="62"/>
      <c r="Y929" s="62"/>
      <c r="Z929" s="62" t="s">
        <v>1845</v>
      </c>
      <c r="AA929" s="62" t="s">
        <v>1846</v>
      </c>
      <c r="AB929" s="62" t="n">
        <v>1</v>
      </c>
      <c r="AC929" s="62" t="n">
        <v>0</v>
      </c>
      <c r="AD929" s="62" t="n">
        <v>1</v>
      </c>
      <c r="AE929" s="62" t="n">
        <f aca="false">IF(AND(Dashboard!$C$9="Yes",AC929=1),0,1)</f>
        <v>1</v>
      </c>
      <c r="AF929" s="62" t="n">
        <v>0</v>
      </c>
    </row>
    <row r="930" customFormat="false" ht="15" hidden="false" customHeight="false" outlineLevel="0" collapsed="false">
      <c r="A930" s="62" t="n">
        <v>929</v>
      </c>
      <c r="B930" s="63" t="n">
        <v>46258.1981828704</v>
      </c>
      <c r="C930" s="64" t="n">
        <v>46257</v>
      </c>
      <c r="D930" s="62" t="s">
        <v>393</v>
      </c>
      <c r="E930" s="62" t="s">
        <v>1590</v>
      </c>
      <c r="F930" s="62" t="s">
        <v>1590</v>
      </c>
      <c r="G930" s="62" t="s">
        <v>1591</v>
      </c>
      <c r="H930" s="62" t="s">
        <v>52</v>
      </c>
      <c r="I930" s="62" t="s">
        <v>47</v>
      </c>
      <c r="J930" s="62" t="s">
        <v>146</v>
      </c>
      <c r="K930" s="62" t="s">
        <v>209</v>
      </c>
      <c r="L930" s="62" t="s">
        <v>4</v>
      </c>
      <c r="M930" s="62" t="n">
        <v>1</v>
      </c>
      <c r="N930" s="62" t="n">
        <v>0</v>
      </c>
      <c r="O930" s="62" t="n">
        <v>1</v>
      </c>
      <c r="P930" s="62" t="n">
        <v>0</v>
      </c>
      <c r="Q930" s="62" t="n">
        <v>0</v>
      </c>
      <c r="R930" s="62" t="n">
        <v>0</v>
      </c>
      <c r="S930" s="62" t="n">
        <v>0</v>
      </c>
      <c r="T930" s="62" t="n">
        <v>0</v>
      </c>
      <c r="U930" s="62"/>
      <c r="V930" s="62"/>
      <c r="W930" s="62"/>
      <c r="X930" s="62"/>
      <c r="Y930" s="62"/>
      <c r="Z930" s="62" t="s">
        <v>1845</v>
      </c>
      <c r="AA930" s="62" t="s">
        <v>1846</v>
      </c>
      <c r="AB930" s="62" t="n">
        <v>1</v>
      </c>
      <c r="AC930" s="62" t="n">
        <v>1</v>
      </c>
      <c r="AD930" s="62" t="n">
        <v>1</v>
      </c>
      <c r="AE930" s="62" t="n">
        <f aca="false">IF(AND(Dashboard!$C$9="Yes",AC930=1),0,1)</f>
        <v>0</v>
      </c>
      <c r="AF930" s="62" t="n">
        <v>0</v>
      </c>
    </row>
    <row r="931" customFormat="false" ht="15" hidden="false" customHeight="false" outlineLevel="0" collapsed="false">
      <c r="A931" s="62" t="n">
        <v>930</v>
      </c>
      <c r="B931" s="63" t="n">
        <v>46258.2039930556</v>
      </c>
      <c r="C931" s="64" t="n">
        <v>46257</v>
      </c>
      <c r="D931" s="62" t="s">
        <v>393</v>
      </c>
      <c r="E931" s="62" t="s">
        <v>518</v>
      </c>
      <c r="F931" s="62" t="s">
        <v>518</v>
      </c>
      <c r="G931" s="62" t="s">
        <v>519</v>
      </c>
      <c r="H931" s="62" t="s">
        <v>52</v>
      </c>
      <c r="I931" s="62" t="s">
        <v>47</v>
      </c>
      <c r="J931" s="62" t="s">
        <v>146</v>
      </c>
      <c r="K931" s="62" t="s">
        <v>147</v>
      </c>
      <c r="L931" s="62" t="s">
        <v>4</v>
      </c>
      <c r="M931" s="62" t="n">
        <v>1</v>
      </c>
      <c r="N931" s="62" t="n">
        <v>0</v>
      </c>
      <c r="O931" s="62" t="n">
        <v>1</v>
      </c>
      <c r="P931" s="62" t="n">
        <v>0</v>
      </c>
      <c r="Q931" s="62" t="n">
        <v>0</v>
      </c>
      <c r="R931" s="62" t="n">
        <v>0</v>
      </c>
      <c r="S931" s="62" t="n">
        <v>0</v>
      </c>
      <c r="T931" s="62" t="n">
        <v>0</v>
      </c>
      <c r="U931" s="62"/>
      <c r="V931" s="62"/>
      <c r="W931" s="62"/>
      <c r="X931" s="62"/>
      <c r="Y931" s="62"/>
      <c r="Z931" s="62" t="s">
        <v>1847</v>
      </c>
      <c r="AA931" s="62" t="s">
        <v>1848</v>
      </c>
      <c r="AB931" s="62" t="n">
        <v>1</v>
      </c>
      <c r="AC931" s="62" t="n">
        <v>0</v>
      </c>
      <c r="AD931" s="62" t="n">
        <v>1</v>
      </c>
      <c r="AE931" s="62" t="n">
        <f aca="false">IF(AND(Dashboard!$C$9="Yes",AC931=1),0,1)</f>
        <v>1</v>
      </c>
      <c r="AF931" s="62" t="n">
        <v>1</v>
      </c>
    </row>
    <row r="932" customFormat="false" ht="15" hidden="false" customHeight="false" outlineLevel="0" collapsed="false">
      <c r="A932" s="62" t="n">
        <v>931</v>
      </c>
      <c r="B932" s="63" t="n">
        <v>46258.2098032407</v>
      </c>
      <c r="C932" s="64" t="n">
        <v>46257</v>
      </c>
      <c r="D932" s="62" t="s">
        <v>393</v>
      </c>
      <c r="E932" s="62" t="s">
        <v>1827</v>
      </c>
      <c r="F932" s="62" t="s">
        <v>1827</v>
      </c>
      <c r="G932" s="62" t="s">
        <v>1828</v>
      </c>
      <c r="H932" s="62" t="s">
        <v>59</v>
      </c>
      <c r="I932" s="62" t="s">
        <v>47</v>
      </c>
      <c r="J932" s="62" t="s">
        <v>146</v>
      </c>
      <c r="K932" s="62" t="s">
        <v>209</v>
      </c>
      <c r="L932" s="62" t="s">
        <v>148</v>
      </c>
      <c r="M932" s="62" t="n">
        <v>0</v>
      </c>
      <c r="N932" s="62" t="n">
        <v>1</v>
      </c>
      <c r="O932" s="62" t="n">
        <v>1</v>
      </c>
      <c r="P932" s="62" t="n">
        <v>0</v>
      </c>
      <c r="Q932" s="62" t="n">
        <v>1</v>
      </c>
      <c r="R932" s="62" t="n">
        <v>0</v>
      </c>
      <c r="S932" s="62" t="n">
        <v>0</v>
      </c>
      <c r="T932" s="62" t="n">
        <v>0</v>
      </c>
      <c r="U932" s="62"/>
      <c r="V932" s="62"/>
      <c r="W932" s="62"/>
      <c r="X932" s="62"/>
      <c r="Y932" s="62"/>
      <c r="Z932" s="62" t="s">
        <v>1849</v>
      </c>
      <c r="AA932" s="62" t="s">
        <v>1850</v>
      </c>
      <c r="AB932" s="62" t="n">
        <v>1</v>
      </c>
      <c r="AC932" s="62" t="n">
        <v>0</v>
      </c>
      <c r="AD932" s="62" t="n">
        <v>1</v>
      </c>
      <c r="AE932" s="62" t="n">
        <f aca="false">IF(AND(Dashboard!$C$9="Yes",AC932=1),0,1)</f>
        <v>1</v>
      </c>
      <c r="AF932" s="62" t="n">
        <v>0</v>
      </c>
    </row>
    <row r="933" customFormat="false" ht="15" hidden="false" customHeight="false" outlineLevel="0" collapsed="false">
      <c r="A933" s="62" t="n">
        <v>932</v>
      </c>
      <c r="B933" s="63" t="n">
        <v>46258.209837963</v>
      </c>
      <c r="C933" s="64" t="n">
        <v>46257</v>
      </c>
      <c r="D933" s="62" t="s">
        <v>393</v>
      </c>
      <c r="E933" s="62" t="s">
        <v>239</v>
      </c>
      <c r="F933" s="62" t="s">
        <v>240</v>
      </c>
      <c r="G933" s="62" t="s">
        <v>153</v>
      </c>
      <c r="H933" s="62" t="s">
        <v>153</v>
      </c>
      <c r="I933" s="62" t="s">
        <v>153</v>
      </c>
      <c r="J933" s="62" t="s">
        <v>64</v>
      </c>
      <c r="K933" s="62" t="s">
        <v>64</v>
      </c>
      <c r="L933" s="62" t="s">
        <v>148</v>
      </c>
      <c r="M933" s="62" t="n">
        <v>0</v>
      </c>
      <c r="N933" s="62" t="n">
        <v>1</v>
      </c>
      <c r="O933" s="62" t="n">
        <v>1</v>
      </c>
      <c r="P933" s="62" t="n">
        <v>1</v>
      </c>
      <c r="Q933" s="62" t="n">
        <v>0</v>
      </c>
      <c r="R933" s="62" t="n">
        <v>0</v>
      </c>
      <c r="S933" s="62" t="n">
        <v>0</v>
      </c>
      <c r="T933" s="62" t="n">
        <v>0</v>
      </c>
      <c r="U933" s="62"/>
      <c r="V933" s="62"/>
      <c r="W933" s="62"/>
      <c r="X933" s="62"/>
      <c r="Y933" s="62"/>
      <c r="Z933" s="62" t="s">
        <v>1851</v>
      </c>
      <c r="AA933" s="62" t="s">
        <v>1852</v>
      </c>
      <c r="AB933" s="62" t="n">
        <v>1</v>
      </c>
      <c r="AC933" s="62" t="n">
        <v>0</v>
      </c>
      <c r="AD933" s="62" t="n">
        <v>0</v>
      </c>
      <c r="AE933" s="62" t="n">
        <f aca="false">IF(AND(Dashboard!$C$9="Yes",AC933=1),0,1)</f>
        <v>1</v>
      </c>
      <c r="AF933" s="62" t="n">
        <v>0</v>
      </c>
    </row>
    <row r="934" customFormat="false" ht="15" hidden="false" customHeight="false" outlineLevel="0" collapsed="false">
      <c r="A934" s="62" t="n">
        <v>933</v>
      </c>
      <c r="B934" s="63" t="n">
        <v>46258.2101736111</v>
      </c>
      <c r="C934" s="64" t="n">
        <v>46257</v>
      </c>
      <c r="D934" s="62" t="s">
        <v>393</v>
      </c>
      <c r="E934" s="62" t="s">
        <v>239</v>
      </c>
      <c r="F934" s="62" t="s">
        <v>240</v>
      </c>
      <c r="G934" s="62" t="s">
        <v>153</v>
      </c>
      <c r="H934" s="62" t="s">
        <v>153</v>
      </c>
      <c r="I934" s="62" t="s">
        <v>153</v>
      </c>
      <c r="J934" s="62" t="s">
        <v>64</v>
      </c>
      <c r="K934" s="62" t="s">
        <v>64</v>
      </c>
      <c r="L934" s="62" t="s">
        <v>148</v>
      </c>
      <c r="M934" s="62" t="n">
        <v>0</v>
      </c>
      <c r="N934" s="62" t="n">
        <v>1</v>
      </c>
      <c r="O934" s="62" t="n">
        <v>1</v>
      </c>
      <c r="P934" s="62" t="n">
        <v>1</v>
      </c>
      <c r="Q934" s="62" t="n">
        <v>0</v>
      </c>
      <c r="R934" s="62" t="n">
        <v>0</v>
      </c>
      <c r="S934" s="62" t="n">
        <v>0</v>
      </c>
      <c r="T934" s="62" t="n">
        <v>0</v>
      </c>
      <c r="U934" s="62"/>
      <c r="V934" s="62"/>
      <c r="W934" s="62"/>
      <c r="X934" s="62"/>
      <c r="Y934" s="62"/>
      <c r="Z934" s="62" t="s">
        <v>1851</v>
      </c>
      <c r="AA934" s="62" t="s">
        <v>1852</v>
      </c>
      <c r="AB934" s="62" t="n">
        <v>1</v>
      </c>
      <c r="AC934" s="62" t="n">
        <v>1</v>
      </c>
      <c r="AD934" s="62" t="n">
        <v>0</v>
      </c>
      <c r="AE934" s="62" t="n">
        <f aca="false">IF(AND(Dashboard!$C$9="Yes",AC934=1),0,1)</f>
        <v>0</v>
      </c>
      <c r="AF934" s="62" t="n">
        <v>0</v>
      </c>
    </row>
    <row r="935" customFormat="false" ht="15" hidden="false" customHeight="false" outlineLevel="0" collapsed="false">
      <c r="A935" s="62" t="n">
        <v>934</v>
      </c>
      <c r="B935" s="63" t="n">
        <v>46258.2462731482</v>
      </c>
      <c r="C935" s="64" t="n">
        <v>46257</v>
      </c>
      <c r="D935" s="62" t="s">
        <v>393</v>
      </c>
      <c r="E935" s="62" t="s">
        <v>1326</v>
      </c>
      <c r="F935" s="62" t="s">
        <v>1326</v>
      </c>
      <c r="G935" s="62" t="s">
        <v>1327</v>
      </c>
      <c r="H935" s="62" t="s">
        <v>57</v>
      </c>
      <c r="I935" s="62" t="s">
        <v>47</v>
      </c>
      <c r="J935" s="62" t="s">
        <v>146</v>
      </c>
      <c r="K935" s="62" t="s">
        <v>175</v>
      </c>
      <c r="L935" s="62" t="s">
        <v>148</v>
      </c>
      <c r="M935" s="62" t="n">
        <v>0</v>
      </c>
      <c r="N935" s="62" t="n">
        <v>2</v>
      </c>
      <c r="O935" s="62" t="n">
        <v>2</v>
      </c>
      <c r="P935" s="62" t="n">
        <v>1</v>
      </c>
      <c r="Q935" s="62" t="n">
        <v>1</v>
      </c>
      <c r="R935" s="62" t="n">
        <v>0</v>
      </c>
      <c r="S935" s="62" t="n">
        <v>0</v>
      </c>
      <c r="T935" s="62" t="n">
        <v>0</v>
      </c>
      <c r="U935" s="62"/>
      <c r="V935" s="62"/>
      <c r="W935" s="62"/>
      <c r="X935" s="62"/>
      <c r="Y935" s="62"/>
      <c r="Z935" s="62" t="s">
        <v>1853</v>
      </c>
      <c r="AA935" s="62" t="s">
        <v>1854</v>
      </c>
      <c r="AB935" s="62" t="n">
        <v>0</v>
      </c>
      <c r="AC935" s="62" t="n">
        <v>0</v>
      </c>
      <c r="AD935" s="62" t="n">
        <v>1</v>
      </c>
      <c r="AE935" s="62" t="n">
        <f aca="false">IF(AND(Dashboard!$C$9="Yes",AC935=1),0,1)</f>
        <v>1</v>
      </c>
      <c r="AF935" s="62" t="n">
        <v>1</v>
      </c>
    </row>
    <row r="936" customFormat="false" ht="15" hidden="false" customHeight="false" outlineLevel="0" collapsed="false">
      <c r="A936" s="62" t="n">
        <v>935</v>
      </c>
      <c r="B936" s="63" t="n">
        <v>46258.247037037</v>
      </c>
      <c r="C936" s="64" t="n">
        <v>46257</v>
      </c>
      <c r="D936" s="62" t="s">
        <v>393</v>
      </c>
      <c r="E936" s="62" t="s">
        <v>1326</v>
      </c>
      <c r="F936" s="62" t="s">
        <v>1326</v>
      </c>
      <c r="G936" s="62" t="s">
        <v>1327</v>
      </c>
      <c r="H936" s="62" t="s">
        <v>57</v>
      </c>
      <c r="I936" s="62" t="s">
        <v>47</v>
      </c>
      <c r="J936" s="62" t="s">
        <v>146</v>
      </c>
      <c r="K936" s="62" t="s">
        <v>175</v>
      </c>
      <c r="L936" s="62" t="s">
        <v>4</v>
      </c>
      <c r="M936" s="62" t="n">
        <v>1</v>
      </c>
      <c r="N936" s="62" t="n">
        <v>0</v>
      </c>
      <c r="O936" s="62" t="n">
        <v>1</v>
      </c>
      <c r="P936" s="62" t="n">
        <v>0</v>
      </c>
      <c r="Q936" s="62" t="n">
        <v>0</v>
      </c>
      <c r="R936" s="62" t="n">
        <v>0</v>
      </c>
      <c r="S936" s="62" t="n">
        <v>0</v>
      </c>
      <c r="T936" s="62" t="n">
        <v>0</v>
      </c>
      <c r="U936" s="62"/>
      <c r="V936" s="62"/>
      <c r="W936" s="62"/>
      <c r="X936" s="62"/>
      <c r="Y936" s="62"/>
      <c r="Z936" s="62" t="s">
        <v>1855</v>
      </c>
      <c r="AA936" s="62" t="s">
        <v>1855</v>
      </c>
      <c r="AB936" s="62" t="n">
        <v>1</v>
      </c>
      <c r="AC936" s="62" t="n">
        <v>0</v>
      </c>
      <c r="AD936" s="62" t="n">
        <v>1</v>
      </c>
      <c r="AE936" s="62" t="n">
        <f aca="false">IF(AND(Dashboard!$C$9="Yes",AC936=1),0,1)</f>
        <v>1</v>
      </c>
      <c r="AF936" s="62" t="n">
        <v>0</v>
      </c>
    </row>
    <row r="937" customFormat="false" ht="15" hidden="false" customHeight="false" outlineLevel="0" collapsed="false">
      <c r="A937" s="62" t="n">
        <v>936</v>
      </c>
      <c r="B937" s="63" t="n">
        <v>46258.2474884259</v>
      </c>
      <c r="C937" s="64" t="n">
        <v>46257</v>
      </c>
      <c r="D937" s="62" t="s">
        <v>393</v>
      </c>
      <c r="E937" s="62" t="s">
        <v>1326</v>
      </c>
      <c r="F937" s="62" t="s">
        <v>1326</v>
      </c>
      <c r="G937" s="62" t="s">
        <v>1327</v>
      </c>
      <c r="H937" s="62" t="s">
        <v>57</v>
      </c>
      <c r="I937" s="62" t="s">
        <v>47</v>
      </c>
      <c r="J937" s="62" t="s">
        <v>146</v>
      </c>
      <c r="K937" s="62" t="s">
        <v>175</v>
      </c>
      <c r="L937" s="62" t="s">
        <v>4</v>
      </c>
      <c r="M937" s="62" t="n">
        <v>1</v>
      </c>
      <c r="N937" s="62" t="n">
        <v>0</v>
      </c>
      <c r="O937" s="62" t="n">
        <v>1</v>
      </c>
      <c r="P937" s="62" t="n">
        <v>0</v>
      </c>
      <c r="Q937" s="62" t="n">
        <v>0</v>
      </c>
      <c r="R937" s="62" t="n">
        <v>0</v>
      </c>
      <c r="S937" s="62" t="n">
        <v>0</v>
      </c>
      <c r="T937" s="62" t="n">
        <v>0</v>
      </c>
      <c r="U937" s="62"/>
      <c r="V937" s="62"/>
      <c r="W937" s="62"/>
      <c r="X937" s="62"/>
      <c r="Y937" s="62"/>
      <c r="Z937" s="62" t="s">
        <v>1855</v>
      </c>
      <c r="AA937" s="62" t="s">
        <v>1856</v>
      </c>
      <c r="AB937" s="62" t="n">
        <v>1</v>
      </c>
      <c r="AC937" s="62" t="n">
        <v>0</v>
      </c>
      <c r="AD937" s="62" t="n">
        <v>1</v>
      </c>
      <c r="AE937" s="62" t="n">
        <f aca="false">IF(AND(Dashboard!$C$9="Yes",AC937=1),0,1)</f>
        <v>1</v>
      </c>
      <c r="AF937" s="62" t="n">
        <v>0</v>
      </c>
    </row>
    <row r="938" customFormat="false" ht="15" hidden="false" customHeight="false" outlineLevel="0" collapsed="false">
      <c r="A938" s="62" t="n">
        <v>937</v>
      </c>
      <c r="B938" s="63" t="n">
        <v>46258.2478009259</v>
      </c>
      <c r="C938" s="64" t="n">
        <v>46257</v>
      </c>
      <c r="D938" s="62" t="s">
        <v>393</v>
      </c>
      <c r="E938" s="62" t="s">
        <v>1326</v>
      </c>
      <c r="F938" s="62" t="s">
        <v>1326</v>
      </c>
      <c r="G938" s="62" t="s">
        <v>1327</v>
      </c>
      <c r="H938" s="62" t="s">
        <v>57</v>
      </c>
      <c r="I938" s="62" t="s">
        <v>47</v>
      </c>
      <c r="J938" s="62" t="s">
        <v>146</v>
      </c>
      <c r="K938" s="62" t="s">
        <v>175</v>
      </c>
      <c r="L938" s="62" t="s">
        <v>148</v>
      </c>
      <c r="M938" s="62" t="n">
        <v>0</v>
      </c>
      <c r="N938" s="62" t="n">
        <v>1</v>
      </c>
      <c r="O938" s="62" t="n">
        <v>1</v>
      </c>
      <c r="P938" s="62" t="n">
        <v>0</v>
      </c>
      <c r="Q938" s="62" t="n">
        <v>1</v>
      </c>
      <c r="R938" s="62" t="n">
        <v>0</v>
      </c>
      <c r="S938" s="62" t="n">
        <v>0</v>
      </c>
      <c r="T938" s="62" t="n">
        <v>0</v>
      </c>
      <c r="U938" s="62"/>
      <c r="V938" s="62"/>
      <c r="W938" s="62"/>
      <c r="X938" s="62"/>
      <c r="Y938" s="62"/>
      <c r="Z938" s="62" t="s">
        <v>1855</v>
      </c>
      <c r="AA938" s="62" t="s">
        <v>1857</v>
      </c>
      <c r="AB938" s="62" t="n">
        <v>0</v>
      </c>
      <c r="AC938" s="62" t="n">
        <v>0</v>
      </c>
      <c r="AD938" s="62" t="n">
        <v>1</v>
      </c>
      <c r="AE938" s="62" t="n">
        <f aca="false">IF(AND(Dashboard!$C$9="Yes",AC938=1),0,1)</f>
        <v>1</v>
      </c>
      <c r="AF938" s="62" t="n">
        <v>0</v>
      </c>
    </row>
    <row r="939" customFormat="false" ht="15" hidden="false" customHeight="false" outlineLevel="0" collapsed="false">
      <c r="A939" s="62" t="n">
        <v>938</v>
      </c>
      <c r="B939" s="63" t="n">
        <v>46258.2481018519</v>
      </c>
      <c r="C939" s="64" t="n">
        <v>46257</v>
      </c>
      <c r="D939" s="62" t="s">
        <v>393</v>
      </c>
      <c r="E939" s="62" t="s">
        <v>1326</v>
      </c>
      <c r="F939" s="62" t="s">
        <v>1326</v>
      </c>
      <c r="G939" s="62" t="s">
        <v>1327</v>
      </c>
      <c r="H939" s="62" t="s">
        <v>57</v>
      </c>
      <c r="I939" s="62" t="s">
        <v>47</v>
      </c>
      <c r="J939" s="62" t="s">
        <v>146</v>
      </c>
      <c r="K939" s="62" t="s">
        <v>175</v>
      </c>
      <c r="L939" s="62" t="s">
        <v>148</v>
      </c>
      <c r="M939" s="62" t="n">
        <v>0</v>
      </c>
      <c r="N939" s="62" t="n">
        <v>1</v>
      </c>
      <c r="O939" s="62" t="n">
        <v>1</v>
      </c>
      <c r="P939" s="62" t="n">
        <v>1</v>
      </c>
      <c r="Q939" s="62" t="n">
        <v>0</v>
      </c>
      <c r="R939" s="62" t="n">
        <v>0</v>
      </c>
      <c r="S939" s="62" t="n">
        <v>0</v>
      </c>
      <c r="T939" s="62" t="n">
        <v>0</v>
      </c>
      <c r="U939" s="62"/>
      <c r="V939" s="62"/>
      <c r="W939" s="62"/>
      <c r="X939" s="62"/>
      <c r="Y939" s="62"/>
      <c r="Z939" s="62" t="s">
        <v>1858</v>
      </c>
      <c r="AA939" s="62" t="s">
        <v>1859</v>
      </c>
      <c r="AB939" s="62" t="n">
        <v>0</v>
      </c>
      <c r="AC939" s="62" t="n">
        <v>0</v>
      </c>
      <c r="AD939" s="62" t="n">
        <v>1</v>
      </c>
      <c r="AE939" s="62" t="n">
        <f aca="false">IF(AND(Dashboard!$C$9="Yes",AC939=1),0,1)</f>
        <v>1</v>
      </c>
      <c r="AF939" s="62" t="n">
        <v>0</v>
      </c>
    </row>
    <row r="940" customFormat="false" ht="15" hidden="false" customHeight="false" outlineLevel="0" collapsed="false">
      <c r="A940" s="62" t="n">
        <v>939</v>
      </c>
      <c r="B940" s="63" t="n">
        <v>46258.2484259259</v>
      </c>
      <c r="C940" s="64" t="n">
        <v>46257</v>
      </c>
      <c r="D940" s="62" t="s">
        <v>393</v>
      </c>
      <c r="E940" s="62" t="s">
        <v>1326</v>
      </c>
      <c r="F940" s="62" t="s">
        <v>1326</v>
      </c>
      <c r="G940" s="62" t="s">
        <v>1327</v>
      </c>
      <c r="H940" s="62" t="s">
        <v>57</v>
      </c>
      <c r="I940" s="62" t="s">
        <v>47</v>
      </c>
      <c r="J940" s="62" t="s">
        <v>146</v>
      </c>
      <c r="K940" s="62" t="s">
        <v>175</v>
      </c>
      <c r="L940" s="62" t="s">
        <v>148</v>
      </c>
      <c r="M940" s="62" t="n">
        <v>0</v>
      </c>
      <c r="N940" s="62" t="n">
        <v>1</v>
      </c>
      <c r="O940" s="62" t="n">
        <v>1</v>
      </c>
      <c r="P940" s="62" t="n">
        <v>0</v>
      </c>
      <c r="Q940" s="62" t="n">
        <v>0</v>
      </c>
      <c r="R940" s="62" t="n">
        <v>1</v>
      </c>
      <c r="S940" s="62" t="n">
        <v>0</v>
      </c>
      <c r="T940" s="62" t="n">
        <v>0</v>
      </c>
      <c r="U940" s="62"/>
      <c r="V940" s="62"/>
      <c r="W940" s="62"/>
      <c r="X940" s="62"/>
      <c r="Y940" s="62"/>
      <c r="Z940" s="62" t="s">
        <v>1853</v>
      </c>
      <c r="AA940" s="62" t="s">
        <v>1859</v>
      </c>
      <c r="AB940" s="62" t="n">
        <v>0</v>
      </c>
      <c r="AC940" s="62" t="n">
        <v>0</v>
      </c>
      <c r="AD940" s="62" t="n">
        <v>1</v>
      </c>
      <c r="AE940" s="62" t="n">
        <f aca="false">IF(AND(Dashboard!$C$9="Yes",AC940=1),0,1)</f>
        <v>1</v>
      </c>
      <c r="AF940" s="62" t="n">
        <v>0</v>
      </c>
    </row>
    <row r="941" customFormat="false" ht="15" hidden="false" customHeight="false" outlineLevel="0" collapsed="false">
      <c r="A941" s="62" t="n">
        <v>940</v>
      </c>
      <c r="B941" s="63" t="n">
        <v>46258.2959143519</v>
      </c>
      <c r="C941" s="64" t="n">
        <v>46257</v>
      </c>
      <c r="D941" s="62" t="s">
        <v>393</v>
      </c>
      <c r="E941" s="62" t="s">
        <v>790</v>
      </c>
      <c r="F941" s="62" t="s">
        <v>791</v>
      </c>
      <c r="G941" s="62" t="s">
        <v>153</v>
      </c>
      <c r="H941" s="62" t="s">
        <v>153</v>
      </c>
      <c r="I941" s="62" t="s">
        <v>153</v>
      </c>
      <c r="J941" s="62" t="s">
        <v>64</v>
      </c>
      <c r="K941" s="62" t="s">
        <v>64</v>
      </c>
      <c r="L941" s="62" t="s">
        <v>148</v>
      </c>
      <c r="M941" s="62" t="n">
        <v>0</v>
      </c>
      <c r="N941" s="62" t="n">
        <v>1</v>
      </c>
      <c r="O941" s="62" t="n">
        <v>1</v>
      </c>
      <c r="P941" s="62" t="n">
        <v>0</v>
      </c>
      <c r="Q941" s="62" t="n">
        <v>0</v>
      </c>
      <c r="R941" s="62" t="n">
        <v>1</v>
      </c>
      <c r="S941" s="62" t="n">
        <v>0</v>
      </c>
      <c r="T941" s="62" t="n">
        <v>0</v>
      </c>
      <c r="U941" s="62"/>
      <c r="V941" s="62"/>
      <c r="W941" s="62"/>
      <c r="X941" s="62"/>
      <c r="Y941" s="62"/>
      <c r="Z941" s="62" t="s">
        <v>1860</v>
      </c>
      <c r="AA941" s="62" t="s">
        <v>1861</v>
      </c>
      <c r="AB941" s="62" t="n">
        <v>1</v>
      </c>
      <c r="AC941" s="62" t="n">
        <v>0</v>
      </c>
      <c r="AD941" s="62" t="n">
        <v>0</v>
      </c>
      <c r="AE941" s="62" t="n">
        <f aca="false">IF(AND(Dashboard!$C$9="Yes",AC941=1),0,1)</f>
        <v>1</v>
      </c>
      <c r="AF941" s="62" t="n">
        <v>1</v>
      </c>
    </row>
    <row r="942" customFormat="false" ht="15" hidden="false" customHeight="false" outlineLevel="0" collapsed="false">
      <c r="A942" s="62" t="n">
        <v>941</v>
      </c>
      <c r="B942" s="63" t="n">
        <v>46258.6367939815</v>
      </c>
      <c r="C942" s="64" t="n">
        <v>46258</v>
      </c>
      <c r="D942" s="62" t="s">
        <v>429</v>
      </c>
      <c r="E942" s="62" t="s">
        <v>586</v>
      </c>
      <c r="F942" s="62" t="s">
        <v>586</v>
      </c>
      <c r="G942" s="62" t="s">
        <v>587</v>
      </c>
      <c r="H942" s="62" t="s">
        <v>57</v>
      </c>
      <c r="I942" s="62" t="s">
        <v>47</v>
      </c>
      <c r="J942" s="62" t="s">
        <v>146</v>
      </c>
      <c r="K942" s="62" t="s">
        <v>175</v>
      </c>
      <c r="L942" s="62" t="s">
        <v>148</v>
      </c>
      <c r="M942" s="62" t="n">
        <v>0</v>
      </c>
      <c r="N942" s="62" t="n">
        <v>1</v>
      </c>
      <c r="O942" s="62" t="n">
        <v>1</v>
      </c>
      <c r="P942" s="62" t="n">
        <v>1</v>
      </c>
      <c r="Q942" s="62" t="n">
        <v>0</v>
      </c>
      <c r="R942" s="62" t="n">
        <v>0</v>
      </c>
      <c r="S942" s="62" t="n">
        <v>0</v>
      </c>
      <c r="T942" s="62" t="n">
        <v>0</v>
      </c>
      <c r="U942" s="62"/>
      <c r="V942" s="62"/>
      <c r="W942" s="62"/>
      <c r="X942" s="62"/>
      <c r="Y942" s="62"/>
      <c r="Z942" s="62" t="s">
        <v>1862</v>
      </c>
      <c r="AA942" s="62" t="s">
        <v>1863</v>
      </c>
      <c r="AB942" s="62" t="n">
        <v>1</v>
      </c>
      <c r="AC942" s="62" t="n">
        <v>0</v>
      </c>
      <c r="AD942" s="62" t="n">
        <v>1</v>
      </c>
      <c r="AE942" s="62" t="n">
        <f aca="false">IF(AND(Dashboard!$C$9="Yes",AC942=1),0,1)</f>
        <v>1</v>
      </c>
      <c r="AF942" s="62" t="n">
        <v>1</v>
      </c>
    </row>
    <row r="943" customFormat="false" ht="15" hidden="false" customHeight="false" outlineLevel="0" collapsed="false">
      <c r="A943" s="62" t="n">
        <v>942</v>
      </c>
      <c r="B943" s="63" t="n">
        <v>46258.6528472222</v>
      </c>
      <c r="C943" s="64" t="n">
        <v>46258</v>
      </c>
      <c r="D943" s="62" t="s">
        <v>429</v>
      </c>
      <c r="E943" s="62" t="s">
        <v>586</v>
      </c>
      <c r="F943" s="62" t="s">
        <v>586</v>
      </c>
      <c r="G943" s="62" t="s">
        <v>587</v>
      </c>
      <c r="H943" s="62" t="s">
        <v>57</v>
      </c>
      <c r="I943" s="62" t="s">
        <v>47</v>
      </c>
      <c r="J943" s="62" t="s">
        <v>146</v>
      </c>
      <c r="K943" s="62" t="s">
        <v>175</v>
      </c>
      <c r="L943" s="62" t="s">
        <v>4</v>
      </c>
      <c r="M943" s="62" t="n">
        <v>1</v>
      </c>
      <c r="N943" s="62" t="n">
        <v>0</v>
      </c>
      <c r="O943" s="62" t="n">
        <v>1</v>
      </c>
      <c r="P943" s="62" t="n">
        <v>0</v>
      </c>
      <c r="Q943" s="62" t="n">
        <v>0</v>
      </c>
      <c r="R943" s="62" t="n">
        <v>0</v>
      </c>
      <c r="S943" s="62" t="n">
        <v>0</v>
      </c>
      <c r="T943" s="62" t="n">
        <v>0</v>
      </c>
      <c r="U943" s="62"/>
      <c r="V943" s="62"/>
      <c r="W943" s="62"/>
      <c r="X943" s="62"/>
      <c r="Y943" s="62"/>
      <c r="Z943" s="62" t="s">
        <v>1862</v>
      </c>
      <c r="AA943" s="62" t="s">
        <v>1864</v>
      </c>
      <c r="AB943" s="62" t="n">
        <v>1</v>
      </c>
      <c r="AC943" s="62" t="n">
        <v>0</v>
      </c>
      <c r="AD943" s="62" t="n">
        <v>1</v>
      </c>
      <c r="AE943" s="62" t="n">
        <f aca="false">IF(AND(Dashboard!$C$9="Yes",AC943=1),0,1)</f>
        <v>1</v>
      </c>
      <c r="AF943" s="62" t="n">
        <v>0</v>
      </c>
    </row>
    <row r="944" customFormat="false" ht="15" hidden="false" customHeight="false" outlineLevel="0" collapsed="false">
      <c r="A944" s="62" t="n">
        <v>943</v>
      </c>
      <c r="B944" s="63" t="n">
        <v>46258.7586111111</v>
      </c>
      <c r="C944" s="64" t="n">
        <v>46258</v>
      </c>
      <c r="D944" s="62" t="s">
        <v>429</v>
      </c>
      <c r="E944" s="62" t="s">
        <v>160</v>
      </c>
      <c r="F944" s="62" t="s">
        <v>160</v>
      </c>
      <c r="G944" s="62" t="s">
        <v>161</v>
      </c>
      <c r="H944" s="62" t="s">
        <v>51</v>
      </c>
      <c r="I944" s="62" t="s">
        <v>47</v>
      </c>
      <c r="J944" s="62" t="s">
        <v>146</v>
      </c>
      <c r="K944" s="62" t="s">
        <v>147</v>
      </c>
      <c r="L944" s="62" t="s">
        <v>148</v>
      </c>
      <c r="M944" s="62" t="n">
        <v>0</v>
      </c>
      <c r="N944" s="62" t="n">
        <v>1</v>
      </c>
      <c r="O944" s="62" t="n">
        <v>1</v>
      </c>
      <c r="P944" s="62" t="n">
        <v>0</v>
      </c>
      <c r="Q944" s="62" t="n">
        <v>1</v>
      </c>
      <c r="R944" s="62" t="n">
        <v>0</v>
      </c>
      <c r="S944" s="62" t="n">
        <v>0</v>
      </c>
      <c r="T944" s="62" t="n">
        <v>0</v>
      </c>
      <c r="U944" s="62"/>
      <c r="V944" s="62"/>
      <c r="W944" s="62"/>
      <c r="X944" s="62"/>
      <c r="Y944" s="62"/>
      <c r="Z944" s="62" t="s">
        <v>1865</v>
      </c>
      <c r="AA944" s="62" t="s">
        <v>1866</v>
      </c>
      <c r="AB944" s="62" t="n">
        <v>1</v>
      </c>
      <c r="AC944" s="62" t="n">
        <v>0</v>
      </c>
      <c r="AD944" s="62" t="n">
        <v>1</v>
      </c>
      <c r="AE944" s="62" t="n">
        <f aca="false">IF(AND(Dashboard!$C$9="Yes",AC944=1),0,1)</f>
        <v>1</v>
      </c>
      <c r="AF944" s="62" t="n">
        <v>1</v>
      </c>
    </row>
    <row r="945" customFormat="false" ht="15" hidden="false" customHeight="false" outlineLevel="0" collapsed="false">
      <c r="A945" s="62" t="n">
        <v>944</v>
      </c>
      <c r="B945" s="63" t="n">
        <v>46258.781412037</v>
      </c>
      <c r="C945" s="64" t="n">
        <v>46258</v>
      </c>
      <c r="D945" s="62" t="s">
        <v>429</v>
      </c>
      <c r="E945" s="62" t="s">
        <v>650</v>
      </c>
      <c r="F945" s="62" t="s">
        <v>650</v>
      </c>
      <c r="G945" s="62" t="s">
        <v>651</v>
      </c>
      <c r="H945" s="62" t="s">
        <v>59</v>
      </c>
      <c r="I945" s="62" t="s">
        <v>47</v>
      </c>
      <c r="J945" s="62" t="s">
        <v>146</v>
      </c>
      <c r="K945" s="62" t="s">
        <v>209</v>
      </c>
      <c r="L945" s="62" t="s">
        <v>148</v>
      </c>
      <c r="M945" s="62" t="n">
        <v>0</v>
      </c>
      <c r="N945" s="62" t="n">
        <v>1</v>
      </c>
      <c r="O945" s="62" t="n">
        <v>1</v>
      </c>
      <c r="P945" s="62" t="n">
        <v>0</v>
      </c>
      <c r="Q945" s="62" t="n">
        <v>0</v>
      </c>
      <c r="R945" s="62" t="n">
        <v>1</v>
      </c>
      <c r="S945" s="62" t="n">
        <v>0</v>
      </c>
      <c r="T945" s="62" t="n">
        <v>0</v>
      </c>
      <c r="U945" s="62"/>
      <c r="V945" s="62"/>
      <c r="W945" s="62"/>
      <c r="X945" s="62"/>
      <c r="Y945" s="62"/>
      <c r="Z945" s="62" t="s">
        <v>1867</v>
      </c>
      <c r="AA945" s="62" t="s">
        <v>1868</v>
      </c>
      <c r="AB945" s="62" t="n">
        <v>1</v>
      </c>
      <c r="AC945" s="62" t="n">
        <v>0</v>
      </c>
      <c r="AD945" s="62" t="n">
        <v>1</v>
      </c>
      <c r="AE945" s="62" t="n">
        <f aca="false">IF(AND(Dashboard!$C$9="Yes",AC945=1),0,1)</f>
        <v>1</v>
      </c>
      <c r="AF945" s="62" t="n">
        <v>1</v>
      </c>
    </row>
    <row r="946" customFormat="false" ht="15" hidden="false" customHeight="false" outlineLevel="0" collapsed="false">
      <c r="A946" s="62" t="n">
        <v>945</v>
      </c>
      <c r="B946" s="63" t="n">
        <v>46258.7878587963</v>
      </c>
      <c r="C946" s="64" t="n">
        <v>46258</v>
      </c>
      <c r="D946" s="62" t="s">
        <v>429</v>
      </c>
      <c r="E946" s="62" t="s">
        <v>160</v>
      </c>
      <c r="F946" s="62" t="s">
        <v>160</v>
      </c>
      <c r="G946" s="62" t="s">
        <v>161</v>
      </c>
      <c r="H946" s="62" t="s">
        <v>51</v>
      </c>
      <c r="I946" s="62" t="s">
        <v>47</v>
      </c>
      <c r="J946" s="62" t="s">
        <v>146</v>
      </c>
      <c r="K946" s="62" t="s">
        <v>147</v>
      </c>
      <c r="L946" s="62" t="s">
        <v>4</v>
      </c>
      <c r="M946" s="62" t="n">
        <v>1</v>
      </c>
      <c r="N946" s="62" t="n">
        <v>0</v>
      </c>
      <c r="O946" s="62" t="n">
        <v>1</v>
      </c>
      <c r="P946" s="62" t="n">
        <v>0</v>
      </c>
      <c r="Q946" s="62" t="n">
        <v>0</v>
      </c>
      <c r="R946" s="62" t="n">
        <v>0</v>
      </c>
      <c r="S946" s="62" t="n">
        <v>0</v>
      </c>
      <c r="T946" s="62" t="n">
        <v>0</v>
      </c>
      <c r="U946" s="62"/>
      <c r="V946" s="62"/>
      <c r="W946" s="62"/>
      <c r="X946" s="62"/>
      <c r="Y946" s="62"/>
      <c r="Z946" s="62" t="s">
        <v>1865</v>
      </c>
      <c r="AA946" s="62" t="s">
        <v>1869</v>
      </c>
      <c r="AB946" s="62" t="n">
        <v>1</v>
      </c>
      <c r="AC946" s="62" t="n">
        <v>0</v>
      </c>
      <c r="AD946" s="62" t="n">
        <v>1</v>
      </c>
      <c r="AE946" s="62" t="n">
        <f aca="false">IF(AND(Dashboard!$C$9="Yes",AC946=1),0,1)</f>
        <v>1</v>
      </c>
      <c r="AF946" s="62" t="n">
        <v>0</v>
      </c>
    </row>
    <row r="947" customFormat="false" ht="15" hidden="false" customHeight="false" outlineLevel="0" collapsed="false">
      <c r="A947" s="62" t="n">
        <v>946</v>
      </c>
      <c r="B947" s="63" t="n">
        <v>46258.7963194445</v>
      </c>
      <c r="C947" s="64" t="n">
        <v>46258</v>
      </c>
      <c r="D947" s="62" t="s">
        <v>429</v>
      </c>
      <c r="E947" s="62" t="s">
        <v>1749</v>
      </c>
      <c r="F947" s="62" t="s">
        <v>1749</v>
      </c>
      <c r="G947" s="62" t="s">
        <v>1750</v>
      </c>
      <c r="H947" s="62" t="s">
        <v>57</v>
      </c>
      <c r="I947" s="62" t="s">
        <v>47</v>
      </c>
      <c r="J947" s="62" t="s">
        <v>146</v>
      </c>
      <c r="K947" s="62" t="s">
        <v>209</v>
      </c>
      <c r="L947" s="62" t="s">
        <v>148</v>
      </c>
      <c r="M947" s="62" t="n">
        <v>0</v>
      </c>
      <c r="N947" s="62" t="n">
        <v>1</v>
      </c>
      <c r="O947" s="62" t="n">
        <v>1</v>
      </c>
      <c r="P947" s="62" t="n">
        <v>1</v>
      </c>
      <c r="Q947" s="62" t="n">
        <v>0</v>
      </c>
      <c r="R947" s="62" t="n">
        <v>0</v>
      </c>
      <c r="S947" s="62" t="n">
        <v>0</v>
      </c>
      <c r="T947" s="62" t="n">
        <v>0</v>
      </c>
      <c r="U947" s="62"/>
      <c r="V947" s="62"/>
      <c r="W947" s="62"/>
      <c r="X947" s="62"/>
      <c r="Y947" s="62"/>
      <c r="Z947" s="62" t="s">
        <v>1870</v>
      </c>
      <c r="AA947" s="62" t="s">
        <v>1871</v>
      </c>
      <c r="AB947" s="62" t="n">
        <v>1</v>
      </c>
      <c r="AC947" s="62" t="n">
        <v>0</v>
      </c>
      <c r="AD947" s="62" t="n">
        <v>1</v>
      </c>
      <c r="AE947" s="62" t="n">
        <f aca="false">IF(AND(Dashboard!$C$9="Yes",AC947=1),0,1)</f>
        <v>1</v>
      </c>
      <c r="AF947" s="62" t="n">
        <v>1</v>
      </c>
    </row>
    <row r="948" customFormat="false" ht="15" hidden="false" customHeight="false" outlineLevel="0" collapsed="false">
      <c r="A948" s="62" t="n">
        <v>947</v>
      </c>
      <c r="B948" s="63" t="n">
        <v>46258.8273726852</v>
      </c>
      <c r="C948" s="64" t="n">
        <v>46258</v>
      </c>
      <c r="D948" s="62" t="s">
        <v>429</v>
      </c>
      <c r="E948" s="62" t="s">
        <v>156</v>
      </c>
      <c r="F948" s="62" t="s">
        <v>156</v>
      </c>
      <c r="G948" s="62" t="s">
        <v>157</v>
      </c>
      <c r="H948" s="62" t="s">
        <v>51</v>
      </c>
      <c r="I948" s="62" t="s">
        <v>47</v>
      </c>
      <c r="J948" s="62" t="s">
        <v>146</v>
      </c>
      <c r="K948" s="62" t="s">
        <v>147</v>
      </c>
      <c r="L948" s="62" t="s">
        <v>148</v>
      </c>
      <c r="M948" s="62" t="n">
        <v>0</v>
      </c>
      <c r="N948" s="62" t="n">
        <v>1</v>
      </c>
      <c r="O948" s="62" t="n">
        <v>1</v>
      </c>
      <c r="P948" s="62" t="n">
        <v>1</v>
      </c>
      <c r="Q948" s="62" t="n">
        <v>0</v>
      </c>
      <c r="R948" s="62" t="n">
        <v>0</v>
      </c>
      <c r="S948" s="62" t="n">
        <v>0</v>
      </c>
      <c r="T948" s="62" t="n">
        <v>0</v>
      </c>
      <c r="U948" s="62"/>
      <c r="V948" s="62"/>
      <c r="W948" s="62"/>
      <c r="X948" s="62"/>
      <c r="Y948" s="62"/>
      <c r="Z948" s="62" t="s">
        <v>1872</v>
      </c>
      <c r="AA948" s="62" t="s">
        <v>1873</v>
      </c>
      <c r="AB948" s="62" t="n">
        <v>1</v>
      </c>
      <c r="AC948" s="62" t="n">
        <v>0</v>
      </c>
      <c r="AD948" s="62" t="n">
        <v>1</v>
      </c>
      <c r="AE948" s="62" t="n">
        <f aca="false">IF(AND(Dashboard!$C$9="Yes",AC948=1),0,1)</f>
        <v>1</v>
      </c>
      <c r="AF948" s="62" t="n">
        <v>1</v>
      </c>
    </row>
    <row r="949" customFormat="false" ht="15" hidden="false" customHeight="false" outlineLevel="0" collapsed="false">
      <c r="A949" s="62" t="n">
        <v>948</v>
      </c>
      <c r="B949" s="63" t="n">
        <v>46258.8330555556</v>
      </c>
      <c r="C949" s="64" t="n">
        <v>46258</v>
      </c>
      <c r="D949" s="62" t="s">
        <v>429</v>
      </c>
      <c r="E949" s="62" t="s">
        <v>1732</v>
      </c>
      <c r="F949" s="62" t="s">
        <v>1732</v>
      </c>
      <c r="G949" s="62" t="s">
        <v>1733</v>
      </c>
      <c r="H949" s="62" t="s">
        <v>58</v>
      </c>
      <c r="I949" s="62" t="s">
        <v>49</v>
      </c>
      <c r="J949" s="62" t="s">
        <v>146</v>
      </c>
      <c r="K949" s="62" t="s">
        <v>209</v>
      </c>
      <c r="L949" s="62" t="s">
        <v>148</v>
      </c>
      <c r="M949" s="62" t="n">
        <v>0</v>
      </c>
      <c r="N949" s="62" t="n">
        <v>1</v>
      </c>
      <c r="O949" s="62" t="n">
        <v>1</v>
      </c>
      <c r="P949" s="62" t="n">
        <v>1</v>
      </c>
      <c r="Q949" s="62" t="n">
        <v>0</v>
      </c>
      <c r="R949" s="62" t="n">
        <v>0</v>
      </c>
      <c r="S949" s="62" t="n">
        <v>0</v>
      </c>
      <c r="T949" s="62" t="n">
        <v>0</v>
      </c>
      <c r="U949" s="62"/>
      <c r="V949" s="62"/>
      <c r="W949" s="62"/>
      <c r="X949" s="62"/>
      <c r="Y949" s="62"/>
      <c r="Z949" s="62" t="s">
        <v>1874</v>
      </c>
      <c r="AA949" s="62" t="s">
        <v>1875</v>
      </c>
      <c r="AB949" s="62" t="n">
        <v>1</v>
      </c>
      <c r="AC949" s="62" t="n">
        <v>0</v>
      </c>
      <c r="AD949" s="62" t="n">
        <v>1</v>
      </c>
      <c r="AE949" s="62" t="n">
        <f aca="false">IF(AND(Dashboard!$C$9="Yes",AC949=1),0,1)</f>
        <v>1</v>
      </c>
      <c r="AF949" s="62" t="n">
        <v>1</v>
      </c>
    </row>
    <row r="950" customFormat="false" ht="15" hidden="false" customHeight="false" outlineLevel="0" collapsed="false">
      <c r="A950" s="62" t="n">
        <v>949</v>
      </c>
      <c r="B950" s="63" t="n">
        <v>46258.8454513889</v>
      </c>
      <c r="C950" s="64" t="n">
        <v>46258</v>
      </c>
      <c r="D950" s="62" t="s">
        <v>429</v>
      </c>
      <c r="E950" s="62" t="s">
        <v>586</v>
      </c>
      <c r="F950" s="62" t="s">
        <v>586</v>
      </c>
      <c r="G950" s="62" t="s">
        <v>587</v>
      </c>
      <c r="H950" s="62" t="s">
        <v>57</v>
      </c>
      <c r="I950" s="62" t="s">
        <v>47</v>
      </c>
      <c r="J950" s="62" t="s">
        <v>146</v>
      </c>
      <c r="K950" s="62" t="s">
        <v>175</v>
      </c>
      <c r="L950" s="62" t="s">
        <v>148</v>
      </c>
      <c r="M950" s="62" t="n">
        <v>0</v>
      </c>
      <c r="N950" s="62" t="n">
        <v>1</v>
      </c>
      <c r="O950" s="62" t="n">
        <v>1</v>
      </c>
      <c r="P950" s="62" t="n">
        <v>1</v>
      </c>
      <c r="Q950" s="62" t="n">
        <v>0</v>
      </c>
      <c r="R950" s="62" t="n">
        <v>0</v>
      </c>
      <c r="S950" s="62" t="n">
        <v>0</v>
      </c>
      <c r="T950" s="62" t="n">
        <v>0</v>
      </c>
      <c r="U950" s="62"/>
      <c r="V950" s="62"/>
      <c r="W950" s="62"/>
      <c r="X950" s="62"/>
      <c r="Y950" s="62"/>
      <c r="Z950" s="62" t="s">
        <v>1876</v>
      </c>
      <c r="AA950" s="62" t="s">
        <v>1877</v>
      </c>
      <c r="AB950" s="62" t="n">
        <v>1</v>
      </c>
      <c r="AC950" s="62" t="n">
        <v>0</v>
      </c>
      <c r="AD950" s="62" t="n">
        <v>1</v>
      </c>
      <c r="AE950" s="62" t="n">
        <f aca="false">IF(AND(Dashboard!$C$9="Yes",AC950=1),0,1)</f>
        <v>1</v>
      </c>
      <c r="AF950" s="62" t="n">
        <v>0</v>
      </c>
    </row>
    <row r="951" customFormat="false" ht="15" hidden="false" customHeight="false" outlineLevel="0" collapsed="false">
      <c r="A951" s="62" t="n">
        <v>950</v>
      </c>
      <c r="B951" s="63" t="n">
        <v>46258.8462847222</v>
      </c>
      <c r="C951" s="64" t="n">
        <v>46258</v>
      </c>
      <c r="D951" s="62" t="s">
        <v>429</v>
      </c>
      <c r="E951" s="62" t="s">
        <v>228</v>
      </c>
      <c r="F951" s="62" t="s">
        <v>229</v>
      </c>
      <c r="G951" s="62" t="s">
        <v>153</v>
      </c>
      <c r="H951" s="62" t="s">
        <v>153</v>
      </c>
      <c r="I951" s="62" t="s">
        <v>153</v>
      </c>
      <c r="J951" s="62" t="s">
        <v>64</v>
      </c>
      <c r="K951" s="62" t="s">
        <v>64</v>
      </c>
      <c r="L951" s="62" t="s">
        <v>148</v>
      </c>
      <c r="M951" s="62" t="n">
        <v>0</v>
      </c>
      <c r="N951" s="62" t="n">
        <v>1</v>
      </c>
      <c r="O951" s="62" t="n">
        <v>1</v>
      </c>
      <c r="P951" s="62" t="n">
        <v>1</v>
      </c>
      <c r="Q951" s="62" t="n">
        <v>0</v>
      </c>
      <c r="R951" s="62" t="n">
        <v>0</v>
      </c>
      <c r="S951" s="62" t="n">
        <v>0</v>
      </c>
      <c r="T951" s="62" t="n">
        <v>0</v>
      </c>
      <c r="U951" s="62"/>
      <c r="V951" s="62"/>
      <c r="W951" s="62"/>
      <c r="X951" s="62"/>
      <c r="Y951" s="62"/>
      <c r="Z951" s="62" t="s">
        <v>1878</v>
      </c>
      <c r="AA951" s="62" t="s">
        <v>1879</v>
      </c>
      <c r="AB951" s="62" t="n">
        <v>1</v>
      </c>
      <c r="AC951" s="62" t="n">
        <v>0</v>
      </c>
      <c r="AD951" s="62" t="n">
        <v>0</v>
      </c>
      <c r="AE951" s="62" t="n">
        <f aca="false">IF(AND(Dashboard!$C$9="Yes",AC951=1),0,1)</f>
        <v>1</v>
      </c>
      <c r="AF951" s="62" t="n">
        <v>1</v>
      </c>
    </row>
    <row r="952" customFormat="false" ht="15" hidden="false" customHeight="false" outlineLevel="0" collapsed="false">
      <c r="A952" s="62" t="n">
        <v>951</v>
      </c>
      <c r="B952" s="63" t="n">
        <v>46258.8587731482</v>
      </c>
      <c r="C952" s="64" t="n">
        <v>46258</v>
      </c>
      <c r="D952" s="62" t="s">
        <v>429</v>
      </c>
      <c r="E952" s="62" t="s">
        <v>682</v>
      </c>
      <c r="F952" s="62" t="s">
        <v>371</v>
      </c>
      <c r="G952" s="62" t="s">
        <v>372</v>
      </c>
      <c r="H952" s="62" t="s">
        <v>59</v>
      </c>
      <c r="I952" s="62" t="s">
        <v>47</v>
      </c>
      <c r="J952" s="62" t="s">
        <v>146</v>
      </c>
      <c r="K952" s="62" t="s">
        <v>147</v>
      </c>
      <c r="L952" s="62" t="s">
        <v>148</v>
      </c>
      <c r="M952" s="62" t="n">
        <v>0</v>
      </c>
      <c r="N952" s="62" t="n">
        <v>1</v>
      </c>
      <c r="O952" s="62" t="n">
        <v>1</v>
      </c>
      <c r="P952" s="62" t="n">
        <v>0</v>
      </c>
      <c r="Q952" s="62" t="n">
        <v>0</v>
      </c>
      <c r="R952" s="62" t="n">
        <v>1</v>
      </c>
      <c r="S952" s="62" t="n">
        <v>0</v>
      </c>
      <c r="T952" s="62" t="n">
        <v>0</v>
      </c>
      <c r="U952" s="62"/>
      <c r="V952" s="62"/>
      <c r="W952" s="62"/>
      <c r="X952" s="62"/>
      <c r="Y952" s="62"/>
      <c r="Z952" s="62" t="s">
        <v>1880</v>
      </c>
      <c r="AA952" s="62" t="s">
        <v>1881</v>
      </c>
      <c r="AB952" s="62" t="n">
        <v>1</v>
      </c>
      <c r="AC952" s="62" t="n">
        <v>0</v>
      </c>
      <c r="AD952" s="62" t="n">
        <v>1</v>
      </c>
      <c r="AE952" s="62" t="n">
        <f aca="false">IF(AND(Dashboard!$C$9="Yes",AC952=1),0,1)</f>
        <v>1</v>
      </c>
      <c r="AF952" s="62" t="n">
        <v>1</v>
      </c>
    </row>
    <row r="953" customFormat="false" ht="15" hidden="false" customHeight="false" outlineLevel="0" collapsed="false">
      <c r="A953" s="62" t="n">
        <v>952</v>
      </c>
      <c r="B953" s="63" t="n">
        <v>46258.8627546296</v>
      </c>
      <c r="C953" s="64" t="n">
        <v>46258</v>
      </c>
      <c r="D953" s="62" t="s">
        <v>429</v>
      </c>
      <c r="E953" s="62" t="s">
        <v>1749</v>
      </c>
      <c r="F953" s="62" t="s">
        <v>1749</v>
      </c>
      <c r="G953" s="62" t="s">
        <v>1750</v>
      </c>
      <c r="H953" s="62" t="s">
        <v>57</v>
      </c>
      <c r="I953" s="62" t="s">
        <v>47</v>
      </c>
      <c r="J953" s="62" t="s">
        <v>146</v>
      </c>
      <c r="K953" s="62" t="s">
        <v>209</v>
      </c>
      <c r="L953" s="62" t="s">
        <v>148</v>
      </c>
      <c r="M953" s="62" t="n">
        <v>0</v>
      </c>
      <c r="N953" s="62" t="n">
        <v>1</v>
      </c>
      <c r="O953" s="62" t="n">
        <v>1</v>
      </c>
      <c r="P953" s="62" t="n">
        <v>0</v>
      </c>
      <c r="Q953" s="62" t="n">
        <v>1</v>
      </c>
      <c r="R953" s="62" t="n">
        <v>0</v>
      </c>
      <c r="S953" s="62" t="n">
        <v>0</v>
      </c>
      <c r="T953" s="62" t="n">
        <v>0</v>
      </c>
      <c r="U953" s="62"/>
      <c r="V953" s="62"/>
      <c r="W953" s="62"/>
      <c r="X953" s="62"/>
      <c r="Y953" s="62"/>
      <c r="Z953" s="62" t="s">
        <v>1882</v>
      </c>
      <c r="AA953" s="62" t="s">
        <v>1883</v>
      </c>
      <c r="AB953" s="62" t="n">
        <v>1</v>
      </c>
      <c r="AC953" s="62" t="n">
        <v>0</v>
      </c>
      <c r="AD953" s="62" t="n">
        <v>1</v>
      </c>
      <c r="AE953" s="62" t="n">
        <f aca="false">IF(AND(Dashboard!$C$9="Yes",AC953=1),0,1)</f>
        <v>1</v>
      </c>
      <c r="AF953" s="62" t="n">
        <v>0</v>
      </c>
    </row>
    <row r="954" customFormat="false" ht="15" hidden="false" customHeight="false" outlineLevel="0" collapsed="false">
      <c r="A954" s="62" t="n">
        <v>953</v>
      </c>
      <c r="B954" s="63" t="n">
        <v>46258.8745949074</v>
      </c>
      <c r="C954" s="64" t="n">
        <v>46258</v>
      </c>
      <c r="D954" s="62" t="s">
        <v>429</v>
      </c>
      <c r="E954" s="62" t="s">
        <v>1155</v>
      </c>
      <c r="F954" s="62" t="s">
        <v>1155</v>
      </c>
      <c r="G954" s="62" t="s">
        <v>1156</v>
      </c>
      <c r="H954" s="62" t="s">
        <v>59</v>
      </c>
      <c r="I954" s="62" t="s">
        <v>47</v>
      </c>
      <c r="J954" s="62" t="s">
        <v>146</v>
      </c>
      <c r="K954" s="62" t="s">
        <v>209</v>
      </c>
      <c r="L954" s="62" t="s">
        <v>148</v>
      </c>
      <c r="M954" s="62" t="n">
        <v>0</v>
      </c>
      <c r="N954" s="62" t="n">
        <v>1</v>
      </c>
      <c r="O954" s="62" t="n">
        <v>1</v>
      </c>
      <c r="P954" s="62" t="n">
        <v>1</v>
      </c>
      <c r="Q954" s="62" t="n">
        <v>0</v>
      </c>
      <c r="R954" s="62" t="n">
        <v>0</v>
      </c>
      <c r="S954" s="62" t="n">
        <v>0</v>
      </c>
      <c r="T954" s="62" t="n">
        <v>0</v>
      </c>
      <c r="U954" s="62"/>
      <c r="V954" s="62"/>
      <c r="W954" s="62"/>
      <c r="X954" s="62"/>
      <c r="Y954" s="62"/>
      <c r="Z954" s="62" t="s">
        <v>1884</v>
      </c>
      <c r="AA954" s="62" t="s">
        <v>1885</v>
      </c>
      <c r="AB954" s="62" t="n">
        <v>1</v>
      </c>
      <c r="AC954" s="62" t="n">
        <v>0</v>
      </c>
      <c r="AD954" s="62" t="n">
        <v>1</v>
      </c>
      <c r="AE954" s="62" t="n">
        <f aca="false">IF(AND(Dashboard!$C$9="Yes",AC954=1),0,1)</f>
        <v>1</v>
      </c>
      <c r="AF954" s="62" t="n">
        <v>1</v>
      </c>
    </row>
    <row r="955" customFormat="false" ht="15" hidden="false" customHeight="false" outlineLevel="0" collapsed="false">
      <c r="A955" s="62" t="n">
        <v>954</v>
      </c>
      <c r="B955" s="63" t="n">
        <v>46258.893912037</v>
      </c>
      <c r="C955" s="64" t="n">
        <v>46258</v>
      </c>
      <c r="D955" s="62" t="s">
        <v>429</v>
      </c>
      <c r="E955" s="62" t="s">
        <v>1652</v>
      </c>
      <c r="F955" s="62" t="s">
        <v>1652</v>
      </c>
      <c r="G955" s="62" t="s">
        <v>1653</v>
      </c>
      <c r="H955" s="62" t="s">
        <v>57</v>
      </c>
      <c r="I955" s="62" t="s">
        <v>47</v>
      </c>
      <c r="J955" s="62" t="s">
        <v>146</v>
      </c>
      <c r="K955" s="62" t="s">
        <v>175</v>
      </c>
      <c r="L955" s="62" t="s">
        <v>148</v>
      </c>
      <c r="M955" s="62" t="n">
        <v>0</v>
      </c>
      <c r="N955" s="62" t="n">
        <v>2</v>
      </c>
      <c r="O955" s="62" t="n">
        <v>2</v>
      </c>
      <c r="P955" s="62" t="n">
        <v>1</v>
      </c>
      <c r="Q955" s="62" t="n">
        <v>1</v>
      </c>
      <c r="R955" s="62" t="n">
        <v>0</v>
      </c>
      <c r="S955" s="62" t="n">
        <v>0</v>
      </c>
      <c r="T955" s="62" t="n">
        <v>0</v>
      </c>
      <c r="U955" s="62"/>
      <c r="V955" s="62"/>
      <c r="W955" s="62"/>
      <c r="X955" s="62"/>
      <c r="Y955" s="62"/>
      <c r="Z955" s="62" t="s">
        <v>1886</v>
      </c>
      <c r="AA955" s="62" t="s">
        <v>1887</v>
      </c>
      <c r="AB955" s="62" t="n">
        <v>1</v>
      </c>
      <c r="AC955" s="62" t="n">
        <v>0</v>
      </c>
      <c r="AD955" s="62" t="n">
        <v>1</v>
      </c>
      <c r="AE955" s="62" t="n">
        <f aca="false">IF(AND(Dashboard!$C$9="Yes",AC955=1),0,1)</f>
        <v>1</v>
      </c>
      <c r="AF955" s="62" t="n">
        <v>1</v>
      </c>
    </row>
    <row r="956" customFormat="false" ht="15" hidden="false" customHeight="false" outlineLevel="0" collapsed="false">
      <c r="A956" s="62" t="n">
        <v>955</v>
      </c>
      <c r="B956" s="63" t="n">
        <v>46258.9023611111</v>
      </c>
      <c r="C956" s="64" t="n">
        <v>46258</v>
      </c>
      <c r="D956" s="62" t="s">
        <v>429</v>
      </c>
      <c r="E956" s="62" t="s">
        <v>586</v>
      </c>
      <c r="F956" s="62" t="s">
        <v>586</v>
      </c>
      <c r="G956" s="62" t="s">
        <v>587</v>
      </c>
      <c r="H956" s="62" t="s">
        <v>57</v>
      </c>
      <c r="I956" s="62" t="s">
        <v>47</v>
      </c>
      <c r="J956" s="62" t="s">
        <v>146</v>
      </c>
      <c r="K956" s="62" t="s">
        <v>175</v>
      </c>
      <c r="L956" s="62" t="s">
        <v>148</v>
      </c>
      <c r="M956" s="62" t="n">
        <v>0</v>
      </c>
      <c r="N956" s="62" t="n">
        <v>1</v>
      </c>
      <c r="O956" s="62" t="n">
        <v>1</v>
      </c>
      <c r="P956" s="62" t="n">
        <v>0</v>
      </c>
      <c r="Q956" s="62" t="n">
        <v>0</v>
      </c>
      <c r="R956" s="62" t="n">
        <v>1</v>
      </c>
      <c r="S956" s="62" t="n">
        <v>0</v>
      </c>
      <c r="T956" s="62" t="n">
        <v>0</v>
      </c>
      <c r="U956" s="62"/>
      <c r="V956" s="62"/>
      <c r="W956" s="62"/>
      <c r="X956" s="62"/>
      <c r="Y956" s="62"/>
      <c r="Z956" s="62" t="s">
        <v>1888</v>
      </c>
      <c r="AA956" s="62" t="s">
        <v>1889</v>
      </c>
      <c r="AB956" s="62" t="n">
        <v>1</v>
      </c>
      <c r="AC956" s="62" t="n">
        <v>0</v>
      </c>
      <c r="AD956" s="62" t="n">
        <v>1</v>
      </c>
      <c r="AE956" s="62" t="n">
        <f aca="false">IF(AND(Dashboard!$C$9="Yes",AC956=1),0,1)</f>
        <v>1</v>
      </c>
      <c r="AF956" s="62" t="n">
        <v>0</v>
      </c>
    </row>
    <row r="957" customFormat="false" ht="15" hidden="false" customHeight="false" outlineLevel="0" collapsed="false">
      <c r="A957" s="62" t="n">
        <v>956</v>
      </c>
      <c r="B957" s="63" t="n">
        <v>46258.9025115741</v>
      </c>
      <c r="C957" s="64" t="n">
        <v>46258</v>
      </c>
      <c r="D957" s="62" t="s">
        <v>429</v>
      </c>
      <c r="E957" s="62" t="s">
        <v>180</v>
      </c>
      <c r="F957" s="62" t="s">
        <v>180</v>
      </c>
      <c r="G957" s="62" t="s">
        <v>181</v>
      </c>
      <c r="H957" s="62" t="s">
        <v>58</v>
      </c>
      <c r="I957" s="62" t="s">
        <v>49</v>
      </c>
      <c r="J957" s="62" t="s">
        <v>146</v>
      </c>
      <c r="K957" s="62" t="s">
        <v>175</v>
      </c>
      <c r="L957" s="62" t="s">
        <v>148</v>
      </c>
      <c r="M957" s="62" t="n">
        <v>0</v>
      </c>
      <c r="N957" s="62" t="n">
        <v>1</v>
      </c>
      <c r="O957" s="62" t="n">
        <v>1</v>
      </c>
      <c r="P957" s="62" t="n">
        <v>1</v>
      </c>
      <c r="Q957" s="62" t="n">
        <v>0</v>
      </c>
      <c r="R957" s="62" t="n">
        <v>0</v>
      </c>
      <c r="S957" s="62" t="n">
        <v>0</v>
      </c>
      <c r="T957" s="62" t="n">
        <v>0</v>
      </c>
      <c r="U957" s="62"/>
      <c r="V957" s="62"/>
      <c r="W957" s="62"/>
      <c r="X957" s="62"/>
      <c r="Y957" s="62"/>
      <c r="Z957" s="62" t="s">
        <v>1890</v>
      </c>
      <c r="AA957" s="62" t="s">
        <v>1890</v>
      </c>
      <c r="AB957" s="62" t="n">
        <v>1</v>
      </c>
      <c r="AC957" s="62" t="n">
        <v>0</v>
      </c>
      <c r="AD957" s="62" t="n">
        <v>1</v>
      </c>
      <c r="AE957" s="62" t="n">
        <f aca="false">IF(AND(Dashboard!$C$9="Yes",AC957=1),0,1)</f>
        <v>1</v>
      </c>
      <c r="AF957" s="62" t="n">
        <v>1</v>
      </c>
    </row>
    <row r="958" customFormat="false" ht="15" hidden="false" customHeight="false" outlineLevel="0" collapsed="false">
      <c r="A958" s="62" t="n">
        <v>957</v>
      </c>
      <c r="B958" s="63" t="n">
        <v>46258.9226157407</v>
      </c>
      <c r="C958" s="64" t="n">
        <v>46258</v>
      </c>
      <c r="D958" s="62" t="s">
        <v>429</v>
      </c>
      <c r="E958" s="62" t="s">
        <v>164</v>
      </c>
      <c r="F958" s="62" t="s">
        <v>164</v>
      </c>
      <c r="G958" s="62" t="s">
        <v>165</v>
      </c>
      <c r="H958" s="62" t="s">
        <v>51</v>
      </c>
      <c r="I958" s="62" t="s">
        <v>47</v>
      </c>
      <c r="J958" s="62" t="s">
        <v>146</v>
      </c>
      <c r="K958" s="62" t="s">
        <v>147</v>
      </c>
      <c r="L958" s="62" t="s">
        <v>148</v>
      </c>
      <c r="M958" s="62" t="n">
        <v>0</v>
      </c>
      <c r="N958" s="62" t="n">
        <v>1</v>
      </c>
      <c r="O958" s="62" t="n">
        <v>1</v>
      </c>
      <c r="P958" s="62" t="n">
        <v>1</v>
      </c>
      <c r="Q958" s="62" t="n">
        <v>0</v>
      </c>
      <c r="R958" s="62" t="n">
        <v>0</v>
      </c>
      <c r="S958" s="62" t="n">
        <v>0</v>
      </c>
      <c r="T958" s="62" t="n">
        <v>0</v>
      </c>
      <c r="U958" s="62"/>
      <c r="V958" s="62"/>
      <c r="W958" s="62"/>
      <c r="X958" s="62"/>
      <c r="Y958" s="62"/>
      <c r="Z958" s="62" t="s">
        <v>1891</v>
      </c>
      <c r="AA958" s="62" t="s">
        <v>1892</v>
      </c>
      <c r="AB958" s="62" t="n">
        <v>1</v>
      </c>
      <c r="AC958" s="62" t="n">
        <v>0</v>
      </c>
      <c r="AD958" s="62" t="n">
        <v>1</v>
      </c>
      <c r="AE958" s="62" t="n">
        <f aca="false">IF(AND(Dashboard!$C$9="Yes",AC958=1),0,1)</f>
        <v>1</v>
      </c>
      <c r="AF958" s="62" t="n">
        <v>1</v>
      </c>
    </row>
    <row r="959" customFormat="false" ht="15" hidden="false" customHeight="false" outlineLevel="0" collapsed="false">
      <c r="A959" s="62" t="n">
        <v>958</v>
      </c>
      <c r="B959" s="63" t="n">
        <v>46258.9271875</v>
      </c>
      <c r="C959" s="64" t="n">
        <v>46258</v>
      </c>
      <c r="D959" s="62" t="s">
        <v>429</v>
      </c>
      <c r="E959" s="62" t="s">
        <v>1893</v>
      </c>
      <c r="F959" s="62" t="s">
        <v>1894</v>
      </c>
      <c r="G959" s="62" t="s">
        <v>153</v>
      </c>
      <c r="H959" s="62" t="s">
        <v>153</v>
      </c>
      <c r="I959" s="62" t="s">
        <v>153</v>
      </c>
      <c r="J959" s="62" t="s">
        <v>64</v>
      </c>
      <c r="K959" s="62" t="s">
        <v>64</v>
      </c>
      <c r="L959" s="62" t="s">
        <v>4</v>
      </c>
      <c r="M959" s="62" t="n">
        <v>1</v>
      </c>
      <c r="N959" s="62" t="n">
        <v>0</v>
      </c>
      <c r="O959" s="62" t="n">
        <v>1</v>
      </c>
      <c r="P959" s="62" t="n">
        <v>0</v>
      </c>
      <c r="Q959" s="62" t="n">
        <v>0</v>
      </c>
      <c r="R959" s="62" t="n">
        <v>0</v>
      </c>
      <c r="S959" s="62" t="n">
        <v>0</v>
      </c>
      <c r="T959" s="62" t="n">
        <v>0</v>
      </c>
      <c r="U959" s="62"/>
      <c r="V959" s="62"/>
      <c r="W959" s="62"/>
      <c r="X959" s="62"/>
      <c r="Y959" s="62"/>
      <c r="Z959" s="62" t="s">
        <v>1895</v>
      </c>
      <c r="AA959" s="62" t="s">
        <v>1896</v>
      </c>
      <c r="AB959" s="62" t="n">
        <v>1</v>
      </c>
      <c r="AC959" s="62" t="n">
        <v>0</v>
      </c>
      <c r="AD959" s="62" t="n">
        <v>0</v>
      </c>
      <c r="AE959" s="62" t="n">
        <f aca="false">IF(AND(Dashboard!$C$9="Yes",AC959=1),0,1)</f>
        <v>1</v>
      </c>
      <c r="AF959" s="62" t="n">
        <v>1</v>
      </c>
    </row>
    <row r="960" customFormat="false" ht="15" hidden="false" customHeight="false" outlineLevel="0" collapsed="false">
      <c r="A960" s="62" t="n">
        <v>959</v>
      </c>
      <c r="B960" s="63" t="n">
        <v>46258.9320023148</v>
      </c>
      <c r="C960" s="64" t="n">
        <v>46258</v>
      </c>
      <c r="D960" s="62" t="s">
        <v>429</v>
      </c>
      <c r="E960" s="62" t="s">
        <v>892</v>
      </c>
      <c r="F960" s="62" t="s">
        <v>892</v>
      </c>
      <c r="G960" s="62" t="s">
        <v>893</v>
      </c>
      <c r="H960" s="62" t="s">
        <v>46</v>
      </c>
      <c r="I960" s="62" t="s">
        <v>47</v>
      </c>
      <c r="J960" s="62" t="s">
        <v>146</v>
      </c>
      <c r="K960" s="62" t="s">
        <v>209</v>
      </c>
      <c r="L960" s="62" t="s">
        <v>148</v>
      </c>
      <c r="M960" s="62" t="n">
        <v>0</v>
      </c>
      <c r="N960" s="62" t="n">
        <v>1</v>
      </c>
      <c r="O960" s="62" t="n">
        <v>1</v>
      </c>
      <c r="P960" s="62" t="n">
        <v>1</v>
      </c>
      <c r="Q960" s="62" t="n">
        <v>0</v>
      </c>
      <c r="R960" s="62" t="n">
        <v>0</v>
      </c>
      <c r="S960" s="62" t="n">
        <v>0</v>
      </c>
      <c r="T960" s="62" t="n">
        <v>0</v>
      </c>
      <c r="U960" s="62"/>
      <c r="V960" s="62"/>
      <c r="W960" s="62"/>
      <c r="X960" s="62"/>
      <c r="Y960" s="62"/>
      <c r="Z960" s="62" t="s">
        <v>1897</v>
      </c>
      <c r="AA960" s="62" t="s">
        <v>337</v>
      </c>
      <c r="AB960" s="62" t="n">
        <v>0</v>
      </c>
      <c r="AC960" s="62" t="n">
        <v>0</v>
      </c>
      <c r="AD960" s="62" t="n">
        <v>1</v>
      </c>
      <c r="AE960" s="62" t="n">
        <f aca="false">IF(AND(Dashboard!$C$9="Yes",AC960=1),0,1)</f>
        <v>1</v>
      </c>
      <c r="AF960" s="62" t="n">
        <v>1</v>
      </c>
    </row>
    <row r="961" customFormat="false" ht="15" hidden="false" customHeight="false" outlineLevel="0" collapsed="false">
      <c r="A961" s="62" t="n">
        <v>960</v>
      </c>
      <c r="B961" s="63" t="n">
        <v>46258.9389236111</v>
      </c>
      <c r="C961" s="64" t="n">
        <v>46258</v>
      </c>
      <c r="D961" s="62" t="s">
        <v>429</v>
      </c>
      <c r="E961" s="62" t="s">
        <v>207</v>
      </c>
      <c r="F961" s="62" t="s">
        <v>207</v>
      </c>
      <c r="G961" s="62" t="s">
        <v>208</v>
      </c>
      <c r="H961" s="62" t="s">
        <v>48</v>
      </c>
      <c r="I961" s="62" t="s">
        <v>49</v>
      </c>
      <c r="J961" s="62" t="s">
        <v>146</v>
      </c>
      <c r="K961" s="62" t="s">
        <v>209</v>
      </c>
      <c r="L961" s="62" t="s">
        <v>148</v>
      </c>
      <c r="M961" s="62" t="n">
        <v>0</v>
      </c>
      <c r="N961" s="62" t="n">
        <v>1</v>
      </c>
      <c r="O961" s="62" t="n">
        <v>1</v>
      </c>
      <c r="P961" s="62" t="n">
        <v>1</v>
      </c>
      <c r="Q961" s="62" t="n">
        <v>0</v>
      </c>
      <c r="R961" s="62" t="n">
        <v>0</v>
      </c>
      <c r="S961" s="62" t="n">
        <v>0</v>
      </c>
      <c r="T961" s="62" t="n">
        <v>0</v>
      </c>
      <c r="U961" s="62"/>
      <c r="V961" s="62"/>
      <c r="W961" s="62"/>
      <c r="X961" s="62"/>
      <c r="Y961" s="62"/>
      <c r="Z961" s="62" t="s">
        <v>1898</v>
      </c>
      <c r="AA961" s="62" t="s">
        <v>1899</v>
      </c>
      <c r="AB961" s="62" t="n">
        <v>1</v>
      </c>
      <c r="AC961" s="62" t="n">
        <v>0</v>
      </c>
      <c r="AD961" s="62" t="n">
        <v>1</v>
      </c>
      <c r="AE961" s="62" t="n">
        <f aca="false">IF(AND(Dashboard!$C$9="Yes",AC961=1),0,1)</f>
        <v>1</v>
      </c>
      <c r="AF961" s="62" t="n">
        <v>1</v>
      </c>
    </row>
    <row r="962" customFormat="false" ht="15" hidden="false" customHeight="false" outlineLevel="0" collapsed="false">
      <c r="A962" s="62" t="n">
        <v>961</v>
      </c>
      <c r="B962" s="63" t="n">
        <v>46258.9446759259</v>
      </c>
      <c r="C962" s="64" t="n">
        <v>46258</v>
      </c>
      <c r="D962" s="62" t="s">
        <v>429</v>
      </c>
      <c r="E962" s="62" t="s">
        <v>586</v>
      </c>
      <c r="F962" s="62" t="s">
        <v>586</v>
      </c>
      <c r="G962" s="62" t="s">
        <v>587</v>
      </c>
      <c r="H962" s="62" t="s">
        <v>57</v>
      </c>
      <c r="I962" s="62" t="s">
        <v>47</v>
      </c>
      <c r="J962" s="62" t="s">
        <v>146</v>
      </c>
      <c r="K962" s="62" t="s">
        <v>175</v>
      </c>
      <c r="L962" s="62" t="s">
        <v>148</v>
      </c>
      <c r="M962" s="62" t="n">
        <v>0</v>
      </c>
      <c r="N962" s="62" t="n">
        <v>1</v>
      </c>
      <c r="O962" s="62" t="n">
        <v>1</v>
      </c>
      <c r="P962" s="62" t="n">
        <v>1</v>
      </c>
      <c r="Q962" s="62" t="n">
        <v>0</v>
      </c>
      <c r="R962" s="62" t="n">
        <v>0</v>
      </c>
      <c r="S962" s="62" t="n">
        <v>0</v>
      </c>
      <c r="T962" s="62" t="n">
        <v>0</v>
      </c>
      <c r="U962" s="62"/>
      <c r="V962" s="62"/>
      <c r="W962" s="62"/>
      <c r="X962" s="62"/>
      <c r="Y962" s="62"/>
      <c r="Z962" s="62" t="s">
        <v>1900</v>
      </c>
      <c r="AA962" s="62" t="s">
        <v>1901</v>
      </c>
      <c r="AB962" s="62" t="n">
        <v>1</v>
      </c>
      <c r="AC962" s="62" t="n">
        <v>0</v>
      </c>
      <c r="AD962" s="62" t="n">
        <v>1</v>
      </c>
      <c r="AE962" s="62" t="n">
        <f aca="false">IF(AND(Dashboard!$C$9="Yes",AC962=1),0,1)</f>
        <v>1</v>
      </c>
      <c r="AF962" s="62" t="n">
        <v>0</v>
      </c>
    </row>
    <row r="963" customFormat="false" ht="15" hidden="false" customHeight="false" outlineLevel="0" collapsed="false">
      <c r="A963" s="62" t="n">
        <v>962</v>
      </c>
      <c r="B963" s="63" t="n">
        <v>46258.9543402778</v>
      </c>
      <c r="C963" s="64" t="n">
        <v>46258</v>
      </c>
      <c r="D963" s="62" t="s">
        <v>429</v>
      </c>
      <c r="E963" s="62" t="s">
        <v>650</v>
      </c>
      <c r="F963" s="62" t="s">
        <v>650</v>
      </c>
      <c r="G963" s="62" t="s">
        <v>651</v>
      </c>
      <c r="H963" s="62" t="s">
        <v>59</v>
      </c>
      <c r="I963" s="62" t="s">
        <v>47</v>
      </c>
      <c r="J963" s="62" t="s">
        <v>146</v>
      </c>
      <c r="K963" s="62" t="s">
        <v>209</v>
      </c>
      <c r="L963" s="62" t="s">
        <v>148</v>
      </c>
      <c r="M963" s="62" t="n">
        <v>0</v>
      </c>
      <c r="N963" s="62" t="n">
        <v>1</v>
      </c>
      <c r="O963" s="62" t="n">
        <v>1</v>
      </c>
      <c r="P963" s="62" t="n">
        <v>1</v>
      </c>
      <c r="Q963" s="62" t="n">
        <v>0</v>
      </c>
      <c r="R963" s="62" t="n">
        <v>0</v>
      </c>
      <c r="S963" s="62" t="n">
        <v>0</v>
      </c>
      <c r="T963" s="62" t="n">
        <v>0</v>
      </c>
      <c r="U963" s="62"/>
      <c r="V963" s="62"/>
      <c r="W963" s="62"/>
      <c r="X963" s="62"/>
      <c r="Y963" s="62"/>
      <c r="Z963" s="62" t="s">
        <v>1902</v>
      </c>
      <c r="AA963" s="62" t="s">
        <v>1903</v>
      </c>
      <c r="AB963" s="62" t="n">
        <v>1</v>
      </c>
      <c r="AC963" s="62" t="n">
        <v>0</v>
      </c>
      <c r="AD963" s="62" t="n">
        <v>1</v>
      </c>
      <c r="AE963" s="62" t="n">
        <f aca="false">IF(AND(Dashboard!$C$9="Yes",AC963=1),0,1)</f>
        <v>1</v>
      </c>
      <c r="AF963" s="62" t="n">
        <v>0</v>
      </c>
    </row>
    <row r="964" customFormat="false" ht="15" hidden="false" customHeight="false" outlineLevel="0" collapsed="false">
      <c r="A964" s="62" t="n">
        <v>963</v>
      </c>
      <c r="B964" s="63" t="n">
        <v>46258.9588888889</v>
      </c>
      <c r="C964" s="64" t="n">
        <v>46258</v>
      </c>
      <c r="D964" s="62" t="s">
        <v>429</v>
      </c>
      <c r="E964" s="62" t="s">
        <v>239</v>
      </c>
      <c r="F964" s="62" t="s">
        <v>240</v>
      </c>
      <c r="G964" s="62" t="s">
        <v>153</v>
      </c>
      <c r="H964" s="62" t="s">
        <v>153</v>
      </c>
      <c r="I964" s="62" t="s">
        <v>153</v>
      </c>
      <c r="J964" s="62" t="s">
        <v>64</v>
      </c>
      <c r="K964" s="62" t="s">
        <v>64</v>
      </c>
      <c r="L964" s="62" t="s">
        <v>148</v>
      </c>
      <c r="M964" s="62" t="n">
        <v>0</v>
      </c>
      <c r="N964" s="62" t="n">
        <v>1</v>
      </c>
      <c r="O964" s="62" t="n">
        <v>1</v>
      </c>
      <c r="P964" s="62" t="n">
        <v>1</v>
      </c>
      <c r="Q964" s="62" t="n">
        <v>0</v>
      </c>
      <c r="R964" s="62" t="n">
        <v>0</v>
      </c>
      <c r="S964" s="62" t="n">
        <v>0</v>
      </c>
      <c r="T964" s="62" t="n">
        <v>0</v>
      </c>
      <c r="U964" s="62"/>
      <c r="V964" s="62"/>
      <c r="W964" s="62"/>
      <c r="X964" s="62"/>
      <c r="Y964" s="62"/>
      <c r="Z964" s="62" t="s">
        <v>1904</v>
      </c>
      <c r="AA964" s="62" t="s">
        <v>1905</v>
      </c>
      <c r="AB964" s="62" t="n">
        <v>1</v>
      </c>
      <c r="AC964" s="62" t="n">
        <v>0</v>
      </c>
      <c r="AD964" s="62" t="n">
        <v>0</v>
      </c>
      <c r="AE964" s="62" t="n">
        <f aca="false">IF(AND(Dashboard!$C$9="Yes",AC964=1),0,1)</f>
        <v>1</v>
      </c>
      <c r="AF964" s="62" t="n">
        <v>1</v>
      </c>
    </row>
    <row r="965" customFormat="false" ht="15" hidden="false" customHeight="false" outlineLevel="0" collapsed="false">
      <c r="A965" s="62" t="n">
        <v>964</v>
      </c>
      <c r="B965" s="63" t="n">
        <v>46258.9591782407</v>
      </c>
      <c r="C965" s="64" t="n">
        <v>46258</v>
      </c>
      <c r="D965" s="62" t="s">
        <v>429</v>
      </c>
      <c r="E965" s="62" t="s">
        <v>239</v>
      </c>
      <c r="F965" s="62" t="s">
        <v>240</v>
      </c>
      <c r="G965" s="62" t="s">
        <v>153</v>
      </c>
      <c r="H965" s="62" t="s">
        <v>153</v>
      </c>
      <c r="I965" s="62" t="s">
        <v>153</v>
      </c>
      <c r="J965" s="62" t="s">
        <v>64</v>
      </c>
      <c r="K965" s="62" t="s">
        <v>64</v>
      </c>
      <c r="L965" s="62" t="s">
        <v>148</v>
      </c>
      <c r="M965" s="62" t="n">
        <v>0</v>
      </c>
      <c r="N965" s="62" t="n">
        <v>1</v>
      </c>
      <c r="O965" s="62" t="n">
        <v>1</v>
      </c>
      <c r="P965" s="62" t="n">
        <v>1</v>
      </c>
      <c r="Q965" s="62" t="n">
        <v>0</v>
      </c>
      <c r="R965" s="62" t="n">
        <v>0</v>
      </c>
      <c r="S965" s="62" t="n">
        <v>0</v>
      </c>
      <c r="T965" s="62" t="n">
        <v>0</v>
      </c>
      <c r="U965" s="62"/>
      <c r="V965" s="62"/>
      <c r="W965" s="62"/>
      <c r="X965" s="62"/>
      <c r="Y965" s="62"/>
      <c r="Z965" s="62" t="s">
        <v>1904</v>
      </c>
      <c r="AA965" s="62" t="s">
        <v>1905</v>
      </c>
      <c r="AB965" s="62" t="n">
        <v>1</v>
      </c>
      <c r="AC965" s="62" t="n">
        <v>1</v>
      </c>
      <c r="AD965" s="62" t="n">
        <v>0</v>
      </c>
      <c r="AE965" s="62" t="n">
        <f aca="false">IF(AND(Dashboard!$C$9="Yes",AC965=1),0,1)</f>
        <v>0</v>
      </c>
      <c r="AF965" s="62" t="n">
        <v>0</v>
      </c>
    </row>
    <row r="966" customFormat="false" ht="15" hidden="false" customHeight="false" outlineLevel="0" collapsed="false">
      <c r="A966" s="62" t="n">
        <v>965</v>
      </c>
      <c r="B966" s="63" t="n">
        <v>46258.9594444444</v>
      </c>
      <c r="C966" s="64" t="n">
        <v>46258</v>
      </c>
      <c r="D966" s="62" t="s">
        <v>429</v>
      </c>
      <c r="E966" s="62" t="s">
        <v>239</v>
      </c>
      <c r="F966" s="62" t="s">
        <v>240</v>
      </c>
      <c r="G966" s="62" t="s">
        <v>153</v>
      </c>
      <c r="H966" s="62" t="s">
        <v>153</v>
      </c>
      <c r="I966" s="62" t="s">
        <v>153</v>
      </c>
      <c r="J966" s="62" t="s">
        <v>64</v>
      </c>
      <c r="K966" s="62" t="s">
        <v>64</v>
      </c>
      <c r="L966" s="62" t="s">
        <v>148</v>
      </c>
      <c r="M966" s="62" t="n">
        <v>0</v>
      </c>
      <c r="N966" s="62" t="n">
        <v>1</v>
      </c>
      <c r="O966" s="62" t="n">
        <v>1</v>
      </c>
      <c r="P966" s="62" t="n">
        <v>1</v>
      </c>
      <c r="Q966" s="62" t="n">
        <v>0</v>
      </c>
      <c r="R966" s="62" t="n">
        <v>0</v>
      </c>
      <c r="S966" s="62" t="n">
        <v>0</v>
      </c>
      <c r="T966" s="62" t="n">
        <v>0</v>
      </c>
      <c r="U966" s="62"/>
      <c r="V966" s="62"/>
      <c r="W966" s="62"/>
      <c r="X966" s="62"/>
      <c r="Y966" s="62"/>
      <c r="Z966" s="62" t="s">
        <v>1904</v>
      </c>
      <c r="AA966" s="62" t="s">
        <v>1905</v>
      </c>
      <c r="AB966" s="62" t="n">
        <v>1</v>
      </c>
      <c r="AC966" s="62" t="n">
        <v>1</v>
      </c>
      <c r="AD966" s="62" t="n">
        <v>0</v>
      </c>
      <c r="AE966" s="62" t="n">
        <f aca="false">IF(AND(Dashboard!$C$9="Yes",AC966=1),0,1)</f>
        <v>0</v>
      </c>
      <c r="AF966" s="62" t="n">
        <v>0</v>
      </c>
    </row>
    <row r="967" customFormat="false" ht="15" hidden="false" customHeight="false" outlineLevel="0" collapsed="false">
      <c r="A967" s="62" t="n">
        <v>966</v>
      </c>
      <c r="B967" s="63" t="n">
        <v>46258.9612268519</v>
      </c>
      <c r="C967" s="64" t="n">
        <v>46258</v>
      </c>
      <c r="D967" s="62" t="s">
        <v>429</v>
      </c>
      <c r="E967" s="62" t="s">
        <v>156</v>
      </c>
      <c r="F967" s="62" t="s">
        <v>156</v>
      </c>
      <c r="G967" s="62" t="s">
        <v>157</v>
      </c>
      <c r="H967" s="62" t="s">
        <v>51</v>
      </c>
      <c r="I967" s="62" t="s">
        <v>47</v>
      </c>
      <c r="J967" s="62" t="s">
        <v>146</v>
      </c>
      <c r="K967" s="62" t="s">
        <v>147</v>
      </c>
      <c r="L967" s="62" t="s">
        <v>4</v>
      </c>
      <c r="M967" s="62" t="n">
        <v>2</v>
      </c>
      <c r="N967" s="62" t="n">
        <v>0</v>
      </c>
      <c r="O967" s="62" t="n">
        <v>2</v>
      </c>
      <c r="P967" s="62" t="n">
        <v>0</v>
      </c>
      <c r="Q967" s="62" t="n">
        <v>0</v>
      </c>
      <c r="R967" s="62" t="n">
        <v>0</v>
      </c>
      <c r="S967" s="62" t="n">
        <v>0</v>
      </c>
      <c r="T967" s="62" t="n">
        <v>0</v>
      </c>
      <c r="U967" s="62"/>
      <c r="V967" s="62"/>
      <c r="W967" s="62"/>
      <c r="X967" s="62"/>
      <c r="Y967" s="62"/>
      <c r="Z967" s="62" t="s">
        <v>1906</v>
      </c>
      <c r="AA967" s="62" t="s">
        <v>1907</v>
      </c>
      <c r="AB967" s="62" t="n">
        <v>0</v>
      </c>
      <c r="AC967" s="62" t="n">
        <v>0</v>
      </c>
      <c r="AD967" s="62" t="n">
        <v>1</v>
      </c>
      <c r="AE967" s="62" t="n">
        <f aca="false">IF(AND(Dashboard!$C$9="Yes",AC967=1),0,1)</f>
        <v>1</v>
      </c>
      <c r="AF967" s="62" t="n">
        <v>0</v>
      </c>
    </row>
    <row r="968" customFormat="false" ht="15" hidden="false" customHeight="false" outlineLevel="0" collapsed="false">
      <c r="A968" s="62" t="n">
        <v>967</v>
      </c>
      <c r="B968" s="63" t="n">
        <v>46258.9650925926</v>
      </c>
      <c r="C968" s="64" t="n">
        <v>46258</v>
      </c>
      <c r="D968" s="62" t="s">
        <v>429</v>
      </c>
      <c r="E968" s="62" t="s">
        <v>203</v>
      </c>
      <c r="F968" s="62" t="s">
        <v>203</v>
      </c>
      <c r="G968" s="62" t="s">
        <v>204</v>
      </c>
      <c r="H968" s="62" t="s">
        <v>51</v>
      </c>
      <c r="I968" s="62" t="s">
        <v>47</v>
      </c>
      <c r="J968" s="62" t="s">
        <v>146</v>
      </c>
      <c r="K968" s="62" t="s">
        <v>147</v>
      </c>
      <c r="L968" s="62" t="s">
        <v>148</v>
      </c>
      <c r="M968" s="62" t="n">
        <v>0</v>
      </c>
      <c r="N968" s="62" t="n">
        <v>1</v>
      </c>
      <c r="O968" s="62" t="n">
        <v>1</v>
      </c>
      <c r="P968" s="62" t="n">
        <v>1</v>
      </c>
      <c r="Q968" s="62" t="n">
        <v>0</v>
      </c>
      <c r="R968" s="62" t="n">
        <v>0</v>
      </c>
      <c r="S968" s="62" t="n">
        <v>0</v>
      </c>
      <c r="T968" s="62" t="n">
        <v>0</v>
      </c>
      <c r="U968" s="62"/>
      <c r="V968" s="62"/>
      <c r="W968" s="62"/>
      <c r="X968" s="62"/>
      <c r="Y968" s="62"/>
      <c r="Z968" s="62" t="s">
        <v>1908</v>
      </c>
      <c r="AA968" s="62" t="s">
        <v>485</v>
      </c>
      <c r="AB968" s="62" t="n">
        <v>0</v>
      </c>
      <c r="AC968" s="62" t="n">
        <v>0</v>
      </c>
      <c r="AD968" s="62" t="n">
        <v>1</v>
      </c>
      <c r="AE968" s="62" t="n">
        <f aca="false">IF(AND(Dashboard!$C$9="Yes",AC968=1),0,1)</f>
        <v>1</v>
      </c>
      <c r="AF968" s="62" t="n">
        <v>1</v>
      </c>
    </row>
    <row r="969" customFormat="false" ht="15" hidden="false" customHeight="false" outlineLevel="0" collapsed="false">
      <c r="A969" s="62" t="n">
        <v>968</v>
      </c>
      <c r="B969" s="63" t="n">
        <v>46258.9821875</v>
      </c>
      <c r="C969" s="64" t="n">
        <v>46258</v>
      </c>
      <c r="D969" s="62" t="s">
        <v>429</v>
      </c>
      <c r="E969" s="62" t="s">
        <v>1382</v>
      </c>
      <c r="F969" s="62" t="s">
        <v>1382</v>
      </c>
      <c r="G969" s="62" t="s">
        <v>1383</v>
      </c>
      <c r="H969" s="62" t="s">
        <v>58</v>
      </c>
      <c r="I969" s="62" t="s">
        <v>49</v>
      </c>
      <c r="J969" s="62" t="s">
        <v>146</v>
      </c>
      <c r="K969" s="62" t="s">
        <v>175</v>
      </c>
      <c r="L969" s="62" t="s">
        <v>4</v>
      </c>
      <c r="M969" s="62" t="n">
        <v>1</v>
      </c>
      <c r="N969" s="62" t="n">
        <v>0</v>
      </c>
      <c r="O969" s="62" t="n">
        <v>1</v>
      </c>
      <c r="P969" s="62" t="n">
        <v>0</v>
      </c>
      <c r="Q969" s="62" t="n">
        <v>0</v>
      </c>
      <c r="R969" s="62" t="n">
        <v>0</v>
      </c>
      <c r="S969" s="62" t="n">
        <v>0</v>
      </c>
      <c r="T969" s="62" t="n">
        <v>0</v>
      </c>
      <c r="U969" s="62"/>
      <c r="V969" s="62"/>
      <c r="W969" s="62"/>
      <c r="X969" s="62"/>
      <c r="Y969" s="62"/>
      <c r="Z969" s="62" t="s">
        <v>1909</v>
      </c>
      <c r="AA969" s="62" t="s">
        <v>1910</v>
      </c>
      <c r="AB969" s="62" t="n">
        <v>1</v>
      </c>
      <c r="AC969" s="62" t="n">
        <v>0</v>
      </c>
      <c r="AD969" s="62" t="n">
        <v>1</v>
      </c>
      <c r="AE969" s="62" t="n">
        <f aca="false">IF(AND(Dashboard!$C$9="Yes",AC969=1),0,1)</f>
        <v>1</v>
      </c>
      <c r="AF969" s="62" t="n">
        <v>1</v>
      </c>
    </row>
    <row r="970" customFormat="false" ht="15" hidden="false" customHeight="false" outlineLevel="0" collapsed="false">
      <c r="A970" s="62" t="n">
        <v>969</v>
      </c>
      <c r="B970" s="63" t="n">
        <v>46259.0376388889</v>
      </c>
      <c r="C970" s="64" t="n">
        <v>46258</v>
      </c>
      <c r="D970" s="62" t="s">
        <v>429</v>
      </c>
      <c r="E970" s="62" t="s">
        <v>1827</v>
      </c>
      <c r="F970" s="62" t="s">
        <v>1827</v>
      </c>
      <c r="G970" s="62" t="s">
        <v>1828</v>
      </c>
      <c r="H970" s="62" t="s">
        <v>59</v>
      </c>
      <c r="I970" s="62" t="s">
        <v>47</v>
      </c>
      <c r="J970" s="62" t="s">
        <v>146</v>
      </c>
      <c r="K970" s="62" t="s">
        <v>209</v>
      </c>
      <c r="L970" s="62" t="s">
        <v>4</v>
      </c>
      <c r="M970" s="62" t="n">
        <v>1</v>
      </c>
      <c r="N970" s="62" t="n">
        <v>0</v>
      </c>
      <c r="O970" s="62" t="n">
        <v>1</v>
      </c>
      <c r="P970" s="62" t="n">
        <v>0</v>
      </c>
      <c r="Q970" s="62" t="n">
        <v>0</v>
      </c>
      <c r="R970" s="62" t="n">
        <v>0</v>
      </c>
      <c r="S970" s="62" t="n">
        <v>0</v>
      </c>
      <c r="T970" s="62" t="n">
        <v>0</v>
      </c>
      <c r="U970" s="62"/>
      <c r="V970" s="62"/>
      <c r="W970" s="62"/>
      <c r="X970" s="62"/>
      <c r="Y970" s="62"/>
      <c r="Z970" s="62" t="s">
        <v>1911</v>
      </c>
      <c r="AA970" s="62" t="s">
        <v>1912</v>
      </c>
      <c r="AB970" s="62" t="n">
        <v>1</v>
      </c>
      <c r="AC970" s="62" t="n">
        <v>0</v>
      </c>
      <c r="AD970" s="62" t="n">
        <v>1</v>
      </c>
      <c r="AE970" s="62" t="n">
        <f aca="false">IF(AND(Dashboard!$C$9="Yes",AC970=1),0,1)</f>
        <v>1</v>
      </c>
      <c r="AF970" s="62" t="n">
        <v>1</v>
      </c>
    </row>
    <row r="971" customFormat="false" ht="15" hidden="false" customHeight="false" outlineLevel="0" collapsed="false">
      <c r="A971" s="62" t="n">
        <v>970</v>
      </c>
      <c r="B971" s="63" t="n">
        <v>46259.063599537</v>
      </c>
      <c r="C971" s="64" t="n">
        <v>46258</v>
      </c>
      <c r="D971" s="62" t="s">
        <v>429</v>
      </c>
      <c r="E971" s="62" t="s">
        <v>1155</v>
      </c>
      <c r="F971" s="62" t="s">
        <v>1155</v>
      </c>
      <c r="G971" s="62" t="s">
        <v>1156</v>
      </c>
      <c r="H971" s="62" t="s">
        <v>59</v>
      </c>
      <c r="I971" s="62" t="s">
        <v>47</v>
      </c>
      <c r="J971" s="62" t="s">
        <v>146</v>
      </c>
      <c r="K971" s="62" t="s">
        <v>209</v>
      </c>
      <c r="L971" s="62" t="s">
        <v>148</v>
      </c>
      <c r="M971" s="62" t="n">
        <v>0</v>
      </c>
      <c r="N971" s="62" t="n">
        <v>1</v>
      </c>
      <c r="O971" s="62" t="n">
        <v>1</v>
      </c>
      <c r="P971" s="62" t="n">
        <v>1</v>
      </c>
      <c r="Q971" s="62" t="n">
        <v>0</v>
      </c>
      <c r="R971" s="62" t="n">
        <v>0</v>
      </c>
      <c r="S971" s="62" t="n">
        <v>0</v>
      </c>
      <c r="T971" s="62" t="n">
        <v>0</v>
      </c>
      <c r="U971" s="62"/>
      <c r="V971" s="62"/>
      <c r="W971" s="62"/>
      <c r="X971" s="62"/>
      <c r="Y971" s="62"/>
      <c r="Z971" s="62" t="s">
        <v>1913</v>
      </c>
      <c r="AA971" s="62" t="s">
        <v>1914</v>
      </c>
      <c r="AB971" s="62" t="n">
        <v>1</v>
      </c>
      <c r="AC971" s="62" t="n">
        <v>0</v>
      </c>
      <c r="AD971" s="62" t="n">
        <v>1</v>
      </c>
      <c r="AE971" s="62" t="n">
        <f aca="false">IF(AND(Dashboard!$C$9="Yes",AC971=1),0,1)</f>
        <v>1</v>
      </c>
      <c r="AF971" s="62" t="n">
        <v>0</v>
      </c>
    </row>
    <row r="972" customFormat="false" ht="15" hidden="false" customHeight="false" outlineLevel="0" collapsed="false">
      <c r="A972" s="62" t="n">
        <v>971</v>
      </c>
      <c r="B972" s="63" t="n">
        <v>46259.1306365741</v>
      </c>
      <c r="C972" s="64" t="n">
        <v>46258</v>
      </c>
      <c r="D972" s="62" t="s">
        <v>429</v>
      </c>
      <c r="E972" s="62" t="s">
        <v>414</v>
      </c>
      <c r="F972" s="62" t="s">
        <v>414</v>
      </c>
      <c r="G972" s="62" t="s">
        <v>415</v>
      </c>
      <c r="H972" s="62" t="s">
        <v>57</v>
      </c>
      <c r="I972" s="62" t="s">
        <v>47</v>
      </c>
      <c r="J972" s="62" t="s">
        <v>146</v>
      </c>
      <c r="K972" s="62" t="s">
        <v>147</v>
      </c>
      <c r="L972" s="62" t="s">
        <v>148</v>
      </c>
      <c r="M972" s="62" t="n">
        <v>0</v>
      </c>
      <c r="N972" s="62" t="n">
        <v>1</v>
      </c>
      <c r="O972" s="62" t="n">
        <v>1</v>
      </c>
      <c r="P972" s="62" t="n">
        <v>1</v>
      </c>
      <c r="Q972" s="62" t="n">
        <v>0</v>
      </c>
      <c r="R972" s="62" t="n">
        <v>0</v>
      </c>
      <c r="S972" s="62" t="n">
        <v>0</v>
      </c>
      <c r="T972" s="62" t="n">
        <v>0</v>
      </c>
      <c r="U972" s="62"/>
      <c r="V972" s="62"/>
      <c r="W972" s="62"/>
      <c r="X972" s="62"/>
      <c r="Y972" s="62"/>
      <c r="Z972" s="62" t="s">
        <v>1915</v>
      </c>
      <c r="AA972" s="62" t="s">
        <v>1916</v>
      </c>
      <c r="AB972" s="62" t="n">
        <v>1</v>
      </c>
      <c r="AC972" s="62" t="n">
        <v>0</v>
      </c>
      <c r="AD972" s="62" t="n">
        <v>1</v>
      </c>
      <c r="AE972" s="62" t="n">
        <f aca="false">IF(AND(Dashboard!$C$9="Yes",AC972=1),0,1)</f>
        <v>1</v>
      </c>
      <c r="AF972" s="62" t="n">
        <v>1</v>
      </c>
    </row>
    <row r="973" customFormat="false" ht="15" hidden="false" customHeight="false" outlineLevel="0" collapsed="false">
      <c r="A973" s="62" t="n">
        <v>972</v>
      </c>
      <c r="B973" s="63" t="n">
        <v>46259.1428125</v>
      </c>
      <c r="C973" s="64" t="n">
        <v>46258</v>
      </c>
      <c r="D973" s="62" t="s">
        <v>429</v>
      </c>
      <c r="E973" s="62" t="s">
        <v>207</v>
      </c>
      <c r="F973" s="62" t="s">
        <v>207</v>
      </c>
      <c r="G973" s="62" t="s">
        <v>208</v>
      </c>
      <c r="H973" s="62" t="s">
        <v>48</v>
      </c>
      <c r="I973" s="62" t="s">
        <v>49</v>
      </c>
      <c r="J973" s="62" t="s">
        <v>146</v>
      </c>
      <c r="K973" s="62" t="s">
        <v>209</v>
      </c>
      <c r="L973" s="62" t="s">
        <v>148</v>
      </c>
      <c r="M973" s="62" t="n">
        <v>0</v>
      </c>
      <c r="N973" s="62" t="n">
        <v>1</v>
      </c>
      <c r="O973" s="62" t="n">
        <v>1</v>
      </c>
      <c r="P973" s="62" t="n">
        <v>1</v>
      </c>
      <c r="Q973" s="62" t="n">
        <v>0</v>
      </c>
      <c r="R973" s="62" t="n">
        <v>0</v>
      </c>
      <c r="S973" s="62" t="n">
        <v>0</v>
      </c>
      <c r="T973" s="62" t="n">
        <v>0</v>
      </c>
      <c r="U973" s="62"/>
      <c r="V973" s="62"/>
      <c r="W973" s="62"/>
      <c r="X973" s="62"/>
      <c r="Y973" s="62"/>
      <c r="Z973" s="62" t="s">
        <v>1917</v>
      </c>
      <c r="AA973" s="62" t="s">
        <v>1918</v>
      </c>
      <c r="AB973" s="62" t="n">
        <v>1</v>
      </c>
      <c r="AC973" s="62" t="n">
        <v>0</v>
      </c>
      <c r="AD973" s="62" t="n">
        <v>1</v>
      </c>
      <c r="AE973" s="62" t="n">
        <f aca="false">IF(AND(Dashboard!$C$9="Yes",AC973=1),0,1)</f>
        <v>1</v>
      </c>
      <c r="AF973" s="62" t="n">
        <v>0</v>
      </c>
    </row>
    <row r="974" customFormat="false" ht="15" hidden="false" customHeight="false" outlineLevel="0" collapsed="false">
      <c r="A974" s="62" t="n">
        <v>973</v>
      </c>
      <c r="B974" s="63" t="n">
        <v>46259.1515972222</v>
      </c>
      <c r="C974" s="64" t="n">
        <v>46258</v>
      </c>
      <c r="D974" s="62" t="s">
        <v>429</v>
      </c>
      <c r="E974" s="62" t="s">
        <v>1155</v>
      </c>
      <c r="F974" s="62" t="s">
        <v>1155</v>
      </c>
      <c r="G974" s="62" t="s">
        <v>1156</v>
      </c>
      <c r="H974" s="62" t="s">
        <v>59</v>
      </c>
      <c r="I974" s="62" t="s">
        <v>47</v>
      </c>
      <c r="J974" s="62" t="s">
        <v>146</v>
      </c>
      <c r="K974" s="62" t="s">
        <v>209</v>
      </c>
      <c r="L974" s="62" t="s">
        <v>148</v>
      </c>
      <c r="M974" s="62" t="n">
        <v>0</v>
      </c>
      <c r="N974" s="62" t="n">
        <v>2</v>
      </c>
      <c r="O974" s="62" t="n">
        <v>2</v>
      </c>
      <c r="P974" s="62" t="n">
        <v>0</v>
      </c>
      <c r="Q974" s="62" t="n">
        <v>0</v>
      </c>
      <c r="R974" s="62" t="n">
        <v>0</v>
      </c>
      <c r="S974" s="62" t="n">
        <v>1</v>
      </c>
      <c r="T974" s="62" t="n">
        <v>1</v>
      </c>
      <c r="U974" s="62"/>
      <c r="V974" s="62"/>
      <c r="W974" s="62"/>
      <c r="X974" s="62"/>
      <c r="Y974" s="62"/>
      <c r="Z974" s="62" t="s">
        <v>1919</v>
      </c>
      <c r="AA974" s="62" t="s">
        <v>1920</v>
      </c>
      <c r="AB974" s="62" t="n">
        <v>0</v>
      </c>
      <c r="AC974" s="62" t="n">
        <v>0</v>
      </c>
      <c r="AD974" s="62" t="n">
        <v>1</v>
      </c>
      <c r="AE974" s="62" t="n">
        <f aca="false">IF(AND(Dashboard!$C$9="Yes",AC974=1),0,1)</f>
        <v>1</v>
      </c>
      <c r="AF974" s="62" t="n">
        <v>0</v>
      </c>
    </row>
    <row r="975" customFormat="false" ht="15" hidden="false" customHeight="false" outlineLevel="0" collapsed="false">
      <c r="A975" s="62" t="n">
        <v>974</v>
      </c>
      <c r="B975" s="63" t="n">
        <v>46259.2289351852</v>
      </c>
      <c r="C975" s="64" t="n">
        <v>46258</v>
      </c>
      <c r="D975" s="62" t="s">
        <v>429</v>
      </c>
      <c r="E975" s="62" t="s">
        <v>1224</v>
      </c>
      <c r="F975" s="62" t="s">
        <v>1225</v>
      </c>
      <c r="G975" s="62" t="s">
        <v>153</v>
      </c>
      <c r="H975" s="62" t="s">
        <v>153</v>
      </c>
      <c r="I975" s="62" t="s">
        <v>153</v>
      </c>
      <c r="J975" s="62" t="s">
        <v>64</v>
      </c>
      <c r="K975" s="62" t="s">
        <v>64</v>
      </c>
      <c r="L975" s="62" t="s">
        <v>4</v>
      </c>
      <c r="M975" s="62" t="n">
        <v>1</v>
      </c>
      <c r="N975" s="62" t="n">
        <v>0</v>
      </c>
      <c r="O975" s="62" t="n">
        <v>1</v>
      </c>
      <c r="P975" s="62" t="n">
        <v>0</v>
      </c>
      <c r="Q975" s="62" t="n">
        <v>0</v>
      </c>
      <c r="R975" s="62" t="n">
        <v>0</v>
      </c>
      <c r="S975" s="62" t="n">
        <v>0</v>
      </c>
      <c r="T975" s="62" t="n">
        <v>0</v>
      </c>
      <c r="U975" s="62"/>
      <c r="V975" s="62"/>
      <c r="W975" s="62"/>
      <c r="X975" s="62"/>
      <c r="Y975" s="62"/>
      <c r="Z975" s="62" t="s">
        <v>1921</v>
      </c>
      <c r="AA975" s="62" t="s">
        <v>1922</v>
      </c>
      <c r="AB975" s="62" t="n">
        <v>1</v>
      </c>
      <c r="AC975" s="62" t="n">
        <v>0</v>
      </c>
      <c r="AD975" s="62" t="n">
        <v>0</v>
      </c>
      <c r="AE975" s="62" t="n">
        <f aca="false">IF(AND(Dashboard!$C$9="Yes",AC975=1),0,1)</f>
        <v>1</v>
      </c>
      <c r="AF975" s="62" t="n">
        <v>1</v>
      </c>
    </row>
    <row r="976" customFormat="false" ht="15" hidden="false" customHeight="false" outlineLevel="0" collapsed="false">
      <c r="A976" s="62" t="n">
        <v>975</v>
      </c>
      <c r="B976" s="63" t="n">
        <v>46259.2699305556</v>
      </c>
      <c r="C976" s="64" t="n">
        <v>46258</v>
      </c>
      <c r="D976" s="62" t="s">
        <v>429</v>
      </c>
      <c r="E976" s="62" t="s">
        <v>1326</v>
      </c>
      <c r="F976" s="62" t="s">
        <v>1326</v>
      </c>
      <c r="G976" s="62" t="s">
        <v>1327</v>
      </c>
      <c r="H976" s="62" t="s">
        <v>57</v>
      </c>
      <c r="I976" s="62" t="s">
        <v>47</v>
      </c>
      <c r="J976" s="62" t="s">
        <v>146</v>
      </c>
      <c r="K976" s="62" t="s">
        <v>175</v>
      </c>
      <c r="L976" s="62" t="s">
        <v>4</v>
      </c>
      <c r="M976" s="62" t="n">
        <v>1</v>
      </c>
      <c r="N976" s="62" t="n">
        <v>0</v>
      </c>
      <c r="O976" s="62" t="n">
        <v>1</v>
      </c>
      <c r="P976" s="62" t="n">
        <v>0</v>
      </c>
      <c r="Q976" s="62" t="n">
        <v>0</v>
      </c>
      <c r="R976" s="62" t="n">
        <v>0</v>
      </c>
      <c r="S976" s="62" t="n">
        <v>0</v>
      </c>
      <c r="T976" s="62" t="n">
        <v>0</v>
      </c>
      <c r="U976" s="62"/>
      <c r="V976" s="62"/>
      <c r="W976" s="62"/>
      <c r="X976" s="62"/>
      <c r="Y976" s="62"/>
      <c r="Z976" s="62" t="s">
        <v>1923</v>
      </c>
      <c r="AA976" s="62" t="s">
        <v>1924</v>
      </c>
      <c r="AB976" s="62" t="n">
        <v>1</v>
      </c>
      <c r="AC976" s="62" t="n">
        <v>0</v>
      </c>
      <c r="AD976" s="62" t="n">
        <v>1</v>
      </c>
      <c r="AE976" s="62" t="n">
        <f aca="false">IF(AND(Dashboard!$C$9="Yes",AC976=1),0,1)</f>
        <v>1</v>
      </c>
      <c r="AF976" s="62" t="n">
        <v>1</v>
      </c>
    </row>
    <row r="977" customFormat="false" ht="15" hidden="false" customHeight="false" outlineLevel="0" collapsed="false">
      <c r="A977" s="62" t="n">
        <v>976</v>
      </c>
      <c r="B977" s="63" t="n">
        <v>46259.2701736111</v>
      </c>
      <c r="C977" s="64" t="n">
        <v>46258</v>
      </c>
      <c r="D977" s="62" t="s">
        <v>429</v>
      </c>
      <c r="E977" s="62" t="s">
        <v>1326</v>
      </c>
      <c r="F977" s="62" t="s">
        <v>1326</v>
      </c>
      <c r="G977" s="62" t="s">
        <v>1327</v>
      </c>
      <c r="H977" s="62" t="s">
        <v>57</v>
      </c>
      <c r="I977" s="62" t="s">
        <v>47</v>
      </c>
      <c r="J977" s="62" t="s">
        <v>146</v>
      </c>
      <c r="K977" s="62" t="s">
        <v>175</v>
      </c>
      <c r="L977" s="62" t="s">
        <v>148</v>
      </c>
      <c r="M977" s="62" t="n">
        <v>0</v>
      </c>
      <c r="N977" s="62" t="n">
        <v>1</v>
      </c>
      <c r="O977" s="62" t="n">
        <v>1</v>
      </c>
      <c r="P977" s="62" t="n">
        <v>0</v>
      </c>
      <c r="Q977" s="62" t="n">
        <v>1</v>
      </c>
      <c r="R977" s="62" t="n">
        <v>0</v>
      </c>
      <c r="S977" s="62" t="n">
        <v>0</v>
      </c>
      <c r="T977" s="62" t="n">
        <v>0</v>
      </c>
      <c r="U977" s="62"/>
      <c r="V977" s="62"/>
      <c r="W977" s="62"/>
      <c r="X977" s="62"/>
      <c r="Y977" s="62"/>
      <c r="Z977" s="62" t="s">
        <v>1923</v>
      </c>
      <c r="AA977" s="62" t="s">
        <v>237</v>
      </c>
      <c r="AB977" s="62" t="n">
        <v>0</v>
      </c>
      <c r="AC977" s="62" t="n">
        <v>0</v>
      </c>
      <c r="AD977" s="62" t="n">
        <v>1</v>
      </c>
      <c r="AE977" s="62" t="n">
        <f aca="false">IF(AND(Dashboard!$C$9="Yes",AC977=1),0,1)</f>
        <v>1</v>
      </c>
      <c r="AF977" s="62" t="n">
        <v>0</v>
      </c>
    </row>
    <row r="978" customFormat="false" ht="15" hidden="false" customHeight="false" outlineLevel="0" collapsed="false">
      <c r="A978" s="62" t="n">
        <v>977</v>
      </c>
      <c r="B978" s="63" t="n">
        <v>46259.2713310185</v>
      </c>
      <c r="C978" s="64" t="n">
        <v>46258</v>
      </c>
      <c r="D978" s="62" t="s">
        <v>429</v>
      </c>
      <c r="E978" s="62" t="s">
        <v>1326</v>
      </c>
      <c r="F978" s="62" t="s">
        <v>1326</v>
      </c>
      <c r="G978" s="62" t="s">
        <v>1327</v>
      </c>
      <c r="H978" s="62" t="s">
        <v>57</v>
      </c>
      <c r="I978" s="62" t="s">
        <v>47</v>
      </c>
      <c r="J978" s="62" t="s">
        <v>146</v>
      </c>
      <c r="K978" s="62" t="s">
        <v>175</v>
      </c>
      <c r="L978" s="62" t="s">
        <v>148</v>
      </c>
      <c r="M978" s="62" t="n">
        <v>0</v>
      </c>
      <c r="N978" s="62" t="n">
        <v>1</v>
      </c>
      <c r="O978" s="62" t="n">
        <v>1</v>
      </c>
      <c r="P978" s="62" t="n">
        <v>1</v>
      </c>
      <c r="Q978" s="62" t="n">
        <v>0</v>
      </c>
      <c r="R978" s="62" t="n">
        <v>0</v>
      </c>
      <c r="S978" s="62" t="n">
        <v>0</v>
      </c>
      <c r="T978" s="62" t="n">
        <v>0</v>
      </c>
      <c r="U978" s="62"/>
      <c r="V978" s="62"/>
      <c r="W978" s="62"/>
      <c r="X978" s="62"/>
      <c r="Y978" s="62"/>
      <c r="Z978" s="62" t="s">
        <v>1328</v>
      </c>
      <c r="AA978" s="62" t="s">
        <v>1925</v>
      </c>
      <c r="AB978" s="62" t="n">
        <v>0</v>
      </c>
      <c r="AC978" s="62" t="n">
        <v>0</v>
      </c>
      <c r="AD978" s="62" t="n">
        <v>1</v>
      </c>
      <c r="AE978" s="62" t="n">
        <f aca="false">IF(AND(Dashboard!$C$9="Yes",AC978=1),0,1)</f>
        <v>1</v>
      </c>
      <c r="AF978" s="62" t="n">
        <v>0</v>
      </c>
    </row>
    <row r="979" customFormat="false" ht="15" hidden="false" customHeight="false" outlineLevel="0" collapsed="false">
      <c r="A979" s="62" t="n">
        <v>978</v>
      </c>
      <c r="B979" s="63" t="n">
        <v>46259.2828472222</v>
      </c>
      <c r="C979" s="64" t="n">
        <v>46258</v>
      </c>
      <c r="D979" s="62" t="s">
        <v>429</v>
      </c>
      <c r="E979" s="62" t="s">
        <v>1827</v>
      </c>
      <c r="F979" s="62" t="s">
        <v>1827</v>
      </c>
      <c r="G979" s="62" t="s">
        <v>1828</v>
      </c>
      <c r="H979" s="62" t="s">
        <v>59</v>
      </c>
      <c r="I979" s="62" t="s">
        <v>47</v>
      </c>
      <c r="J979" s="62" t="s">
        <v>146</v>
      </c>
      <c r="K979" s="62" t="s">
        <v>209</v>
      </c>
      <c r="L979" s="62" t="s">
        <v>148</v>
      </c>
      <c r="M979" s="62" t="n">
        <v>0</v>
      </c>
      <c r="N979" s="62" t="n">
        <v>1</v>
      </c>
      <c r="O979" s="62" t="n">
        <v>1</v>
      </c>
      <c r="P979" s="62" t="n">
        <v>0</v>
      </c>
      <c r="Q979" s="62" t="n">
        <v>1</v>
      </c>
      <c r="R979" s="62" t="n">
        <v>0</v>
      </c>
      <c r="S979" s="62" t="n">
        <v>0</v>
      </c>
      <c r="T979" s="62" t="n">
        <v>0</v>
      </c>
      <c r="U979" s="62"/>
      <c r="V979" s="62"/>
      <c r="W979" s="62"/>
      <c r="X979" s="62"/>
      <c r="Y979" s="62"/>
      <c r="Z979" s="62" t="s">
        <v>1926</v>
      </c>
      <c r="AA979" s="62" t="s">
        <v>1927</v>
      </c>
      <c r="AB979" s="62" t="n">
        <v>1</v>
      </c>
      <c r="AC979" s="62" t="n">
        <v>0</v>
      </c>
      <c r="AD979" s="62" t="n">
        <v>1</v>
      </c>
      <c r="AE979" s="62" t="n">
        <f aca="false">IF(AND(Dashboard!$C$9="Yes",AC979=1),0,1)</f>
        <v>1</v>
      </c>
      <c r="AF979" s="62" t="n">
        <v>0</v>
      </c>
    </row>
    <row r="980" customFormat="false" ht="15" hidden="false" customHeight="false" outlineLevel="0" collapsed="false">
      <c r="A980" s="62" t="n">
        <v>979</v>
      </c>
      <c r="B980" s="63" t="n">
        <v>46259.7065856482</v>
      </c>
      <c r="C980" s="64" t="n">
        <v>46259</v>
      </c>
      <c r="D980" s="62" t="s">
        <v>501</v>
      </c>
      <c r="E980" s="62" t="s">
        <v>586</v>
      </c>
      <c r="F980" s="62" t="s">
        <v>586</v>
      </c>
      <c r="G980" s="62" t="s">
        <v>587</v>
      </c>
      <c r="H980" s="62" t="s">
        <v>57</v>
      </c>
      <c r="I980" s="62" t="s">
        <v>47</v>
      </c>
      <c r="J980" s="62" t="s">
        <v>146</v>
      </c>
      <c r="K980" s="62" t="s">
        <v>175</v>
      </c>
      <c r="L980" s="62" t="s">
        <v>148</v>
      </c>
      <c r="M980" s="62" t="n">
        <v>0</v>
      </c>
      <c r="N980" s="62" t="n">
        <v>1</v>
      </c>
      <c r="O980" s="62" t="n">
        <v>1</v>
      </c>
      <c r="P980" s="62" t="n">
        <v>0</v>
      </c>
      <c r="Q980" s="62" t="n">
        <v>1</v>
      </c>
      <c r="R980" s="62" t="n">
        <v>0</v>
      </c>
      <c r="S980" s="62" t="n">
        <v>0</v>
      </c>
      <c r="T980" s="62" t="n">
        <v>0</v>
      </c>
      <c r="U980" s="62"/>
      <c r="V980" s="62"/>
      <c r="W980" s="62"/>
      <c r="X980" s="62"/>
      <c r="Y980" s="62"/>
      <c r="Z980" s="62" t="s">
        <v>1928</v>
      </c>
      <c r="AA980" s="62" t="s">
        <v>1929</v>
      </c>
      <c r="AB980" s="62" t="n">
        <v>1</v>
      </c>
      <c r="AC980" s="62" t="n">
        <v>0</v>
      </c>
      <c r="AD980" s="62" t="n">
        <v>1</v>
      </c>
      <c r="AE980" s="62" t="n">
        <f aca="false">IF(AND(Dashboard!$C$9="Yes",AC980=1),0,1)</f>
        <v>1</v>
      </c>
      <c r="AF980" s="62" t="n">
        <v>1</v>
      </c>
    </row>
    <row r="981" customFormat="false" ht="15" hidden="false" customHeight="false" outlineLevel="0" collapsed="false">
      <c r="A981" s="62" t="n">
        <v>980</v>
      </c>
      <c r="B981" s="63" t="n">
        <v>46259.7405787037</v>
      </c>
      <c r="C981" s="64" t="n">
        <v>46259</v>
      </c>
      <c r="D981" s="62" t="s">
        <v>501</v>
      </c>
      <c r="E981" s="62" t="s">
        <v>939</v>
      </c>
      <c r="F981" s="62" t="s">
        <v>939</v>
      </c>
      <c r="G981" s="62" t="s">
        <v>940</v>
      </c>
      <c r="H981" s="62" t="s">
        <v>57</v>
      </c>
      <c r="I981" s="62" t="s">
        <v>47</v>
      </c>
      <c r="J981" s="62" t="s">
        <v>146</v>
      </c>
      <c r="K981" s="62" t="s">
        <v>147</v>
      </c>
      <c r="L981" s="62" t="s">
        <v>148</v>
      </c>
      <c r="M981" s="62" t="n">
        <v>0</v>
      </c>
      <c r="N981" s="62" t="n">
        <v>1</v>
      </c>
      <c r="O981" s="62" t="n">
        <v>1</v>
      </c>
      <c r="P981" s="62" t="n">
        <v>0</v>
      </c>
      <c r="Q981" s="62" t="n">
        <v>1</v>
      </c>
      <c r="R981" s="62" t="n">
        <v>0</v>
      </c>
      <c r="S981" s="62" t="n">
        <v>0</v>
      </c>
      <c r="T981" s="62" t="n">
        <v>0</v>
      </c>
      <c r="U981" s="62"/>
      <c r="V981" s="62"/>
      <c r="W981" s="62"/>
      <c r="X981" s="62"/>
      <c r="Y981" s="62"/>
      <c r="Z981" s="62" t="s">
        <v>1930</v>
      </c>
      <c r="AA981" s="62" t="s">
        <v>1931</v>
      </c>
      <c r="AB981" s="62" t="n">
        <v>1</v>
      </c>
      <c r="AC981" s="62" t="n">
        <v>0</v>
      </c>
      <c r="AD981" s="62" t="n">
        <v>1</v>
      </c>
      <c r="AE981" s="62" t="n">
        <f aca="false">IF(AND(Dashboard!$C$9="Yes",AC981=1),0,1)</f>
        <v>1</v>
      </c>
      <c r="AF981" s="62" t="n">
        <v>1</v>
      </c>
    </row>
    <row r="982" customFormat="false" ht="15" hidden="false" customHeight="false" outlineLevel="0" collapsed="false">
      <c r="A982" s="62" t="n">
        <v>981</v>
      </c>
      <c r="B982" s="63" t="n">
        <v>46259.8100462963</v>
      </c>
      <c r="C982" s="64" t="n">
        <v>46259</v>
      </c>
      <c r="D982" s="62" t="s">
        <v>501</v>
      </c>
      <c r="E982" s="62" t="s">
        <v>212</v>
      </c>
      <c r="F982" s="62" t="s">
        <v>212</v>
      </c>
      <c r="G982" s="62" t="s">
        <v>213</v>
      </c>
      <c r="H982" s="62" t="s">
        <v>58</v>
      </c>
      <c r="I982" s="62" t="s">
        <v>49</v>
      </c>
      <c r="J982" s="62" t="s">
        <v>146</v>
      </c>
      <c r="K982" s="62" t="s">
        <v>175</v>
      </c>
      <c r="L982" s="62" t="s">
        <v>148</v>
      </c>
      <c r="M982" s="62" t="n">
        <v>0</v>
      </c>
      <c r="N982" s="62" t="n">
        <v>2</v>
      </c>
      <c r="O982" s="62" t="n">
        <v>2</v>
      </c>
      <c r="P982" s="62" t="n">
        <v>1</v>
      </c>
      <c r="Q982" s="62" t="n">
        <v>1</v>
      </c>
      <c r="R982" s="62" t="n">
        <v>0</v>
      </c>
      <c r="S982" s="62" t="n">
        <v>0</v>
      </c>
      <c r="T982" s="62" t="n">
        <v>0</v>
      </c>
      <c r="U982" s="62"/>
      <c r="V982" s="62"/>
      <c r="W982" s="62"/>
      <c r="X982" s="62"/>
      <c r="Y982" s="62"/>
      <c r="Z982" s="62" t="s">
        <v>1932</v>
      </c>
      <c r="AA982" s="62" t="s">
        <v>1933</v>
      </c>
      <c r="AB982" s="62" t="n">
        <v>1</v>
      </c>
      <c r="AC982" s="62" t="n">
        <v>0</v>
      </c>
      <c r="AD982" s="62" t="n">
        <v>1</v>
      </c>
      <c r="AE982" s="62" t="n">
        <f aca="false">IF(AND(Dashboard!$C$9="Yes",AC982=1),0,1)</f>
        <v>1</v>
      </c>
      <c r="AF982" s="62" t="n">
        <v>1</v>
      </c>
    </row>
    <row r="983" customFormat="false" ht="15" hidden="false" customHeight="false" outlineLevel="0" collapsed="false">
      <c r="A983" s="62" t="n">
        <v>982</v>
      </c>
      <c r="B983" s="63" t="n">
        <v>46259.8557175926</v>
      </c>
      <c r="C983" s="64" t="n">
        <v>46259</v>
      </c>
      <c r="D983" s="62" t="s">
        <v>501</v>
      </c>
      <c r="E983" s="62" t="s">
        <v>164</v>
      </c>
      <c r="F983" s="62" t="s">
        <v>164</v>
      </c>
      <c r="G983" s="62" t="s">
        <v>165</v>
      </c>
      <c r="H983" s="62" t="s">
        <v>51</v>
      </c>
      <c r="I983" s="62" t="s">
        <v>47</v>
      </c>
      <c r="J983" s="62" t="s">
        <v>146</v>
      </c>
      <c r="K983" s="62" t="s">
        <v>147</v>
      </c>
      <c r="L983" s="62" t="s">
        <v>148</v>
      </c>
      <c r="M983" s="62" t="n">
        <v>0</v>
      </c>
      <c r="N983" s="62" t="n">
        <v>1</v>
      </c>
      <c r="O983" s="62" t="n">
        <v>1</v>
      </c>
      <c r="P983" s="62" t="n">
        <v>1</v>
      </c>
      <c r="Q983" s="62" t="n">
        <v>0</v>
      </c>
      <c r="R983" s="62" t="n">
        <v>0</v>
      </c>
      <c r="S983" s="62" t="n">
        <v>0</v>
      </c>
      <c r="T983" s="62" t="n">
        <v>0</v>
      </c>
      <c r="U983" s="62"/>
      <c r="V983" s="62"/>
      <c r="W983" s="62"/>
      <c r="X983" s="62"/>
      <c r="Y983" s="62"/>
      <c r="Z983" s="62" t="s">
        <v>1934</v>
      </c>
      <c r="AA983" s="62" t="s">
        <v>1935</v>
      </c>
      <c r="AB983" s="62" t="n">
        <v>1</v>
      </c>
      <c r="AC983" s="62" t="n">
        <v>0</v>
      </c>
      <c r="AD983" s="62" t="n">
        <v>1</v>
      </c>
      <c r="AE983" s="62" t="n">
        <f aca="false">IF(AND(Dashboard!$C$9="Yes",AC983=1),0,1)</f>
        <v>1</v>
      </c>
      <c r="AF983" s="62" t="n">
        <v>1</v>
      </c>
    </row>
    <row r="984" customFormat="false" ht="15" hidden="false" customHeight="false" outlineLevel="0" collapsed="false">
      <c r="A984" s="62" t="n">
        <v>983</v>
      </c>
      <c r="B984" s="63" t="n">
        <v>46259.8586921296</v>
      </c>
      <c r="C984" s="64" t="n">
        <v>46259</v>
      </c>
      <c r="D984" s="62" t="s">
        <v>501</v>
      </c>
      <c r="E984" s="62" t="s">
        <v>212</v>
      </c>
      <c r="F984" s="62" t="s">
        <v>212</v>
      </c>
      <c r="G984" s="62" t="s">
        <v>213</v>
      </c>
      <c r="H984" s="62" t="s">
        <v>58</v>
      </c>
      <c r="I984" s="62" t="s">
        <v>49</v>
      </c>
      <c r="J984" s="62" t="s">
        <v>146</v>
      </c>
      <c r="K984" s="62" t="s">
        <v>175</v>
      </c>
      <c r="L984" s="62" t="s">
        <v>4</v>
      </c>
      <c r="M984" s="62" t="n">
        <v>1</v>
      </c>
      <c r="N984" s="62" t="n">
        <v>0</v>
      </c>
      <c r="O984" s="62" t="n">
        <v>1</v>
      </c>
      <c r="P984" s="62" t="n">
        <v>0</v>
      </c>
      <c r="Q984" s="62" t="n">
        <v>0</v>
      </c>
      <c r="R984" s="62" t="n">
        <v>0</v>
      </c>
      <c r="S984" s="62" t="n">
        <v>0</v>
      </c>
      <c r="T984" s="62" t="n">
        <v>0</v>
      </c>
      <c r="U984" s="62"/>
      <c r="V984" s="62"/>
      <c r="W984" s="62"/>
      <c r="X984" s="62"/>
      <c r="Y984" s="62"/>
      <c r="Z984" s="62" t="s">
        <v>1936</v>
      </c>
      <c r="AA984" s="62" t="s">
        <v>1937</v>
      </c>
      <c r="AB984" s="62" t="n">
        <v>1</v>
      </c>
      <c r="AC984" s="62" t="n">
        <v>0</v>
      </c>
      <c r="AD984" s="62" t="n">
        <v>1</v>
      </c>
      <c r="AE984" s="62" t="n">
        <f aca="false">IF(AND(Dashboard!$C$9="Yes",AC984=1),0,1)</f>
        <v>1</v>
      </c>
      <c r="AF984" s="62" t="n">
        <v>0</v>
      </c>
    </row>
    <row r="985" customFormat="false" ht="15" hidden="false" customHeight="false" outlineLevel="0" collapsed="false">
      <c r="A985" s="62" t="n">
        <v>984</v>
      </c>
      <c r="B985" s="63" t="n">
        <v>46259.8725462963</v>
      </c>
      <c r="C985" s="64" t="n">
        <v>46259</v>
      </c>
      <c r="D985" s="62" t="s">
        <v>501</v>
      </c>
      <c r="E985" s="62" t="s">
        <v>1732</v>
      </c>
      <c r="F985" s="62" t="s">
        <v>1732</v>
      </c>
      <c r="G985" s="62" t="s">
        <v>1733</v>
      </c>
      <c r="H985" s="62" t="s">
        <v>58</v>
      </c>
      <c r="I985" s="62" t="s">
        <v>49</v>
      </c>
      <c r="J985" s="62" t="s">
        <v>146</v>
      </c>
      <c r="K985" s="62" t="s">
        <v>209</v>
      </c>
      <c r="L985" s="62" t="s">
        <v>148</v>
      </c>
      <c r="M985" s="62" t="n">
        <v>0</v>
      </c>
      <c r="N985" s="62" t="n">
        <v>1</v>
      </c>
      <c r="O985" s="62" t="n">
        <v>1</v>
      </c>
      <c r="P985" s="62" t="n">
        <v>1</v>
      </c>
      <c r="Q985" s="62" t="n">
        <v>0</v>
      </c>
      <c r="R985" s="62" t="n">
        <v>0</v>
      </c>
      <c r="S985" s="62" t="n">
        <v>0</v>
      </c>
      <c r="T985" s="62" t="n">
        <v>0</v>
      </c>
      <c r="U985" s="62"/>
      <c r="V985" s="62"/>
      <c r="W985" s="62"/>
      <c r="X985" s="62"/>
      <c r="Y985" s="62"/>
      <c r="Z985" s="62" t="s">
        <v>1938</v>
      </c>
      <c r="AA985" s="62" t="s">
        <v>1939</v>
      </c>
      <c r="AB985" s="62" t="n">
        <v>1</v>
      </c>
      <c r="AC985" s="62" t="n">
        <v>0</v>
      </c>
      <c r="AD985" s="62" t="n">
        <v>1</v>
      </c>
      <c r="AE985" s="62" t="n">
        <f aca="false">IF(AND(Dashboard!$C$9="Yes",AC985=1),0,1)</f>
        <v>1</v>
      </c>
      <c r="AF985" s="62" t="n">
        <v>1</v>
      </c>
    </row>
    <row r="986" customFormat="false" ht="15" hidden="false" customHeight="false" outlineLevel="0" collapsed="false">
      <c r="A986" s="62" t="n">
        <v>985</v>
      </c>
      <c r="B986" s="63" t="n">
        <v>46259.9161111111</v>
      </c>
      <c r="C986" s="64" t="n">
        <v>46259</v>
      </c>
      <c r="D986" s="62" t="s">
        <v>501</v>
      </c>
      <c r="E986" s="62" t="s">
        <v>1155</v>
      </c>
      <c r="F986" s="62" t="s">
        <v>1155</v>
      </c>
      <c r="G986" s="62" t="s">
        <v>1156</v>
      </c>
      <c r="H986" s="62" t="s">
        <v>59</v>
      </c>
      <c r="I986" s="62" t="s">
        <v>47</v>
      </c>
      <c r="J986" s="62" t="s">
        <v>146</v>
      </c>
      <c r="K986" s="62" t="s">
        <v>209</v>
      </c>
      <c r="L986" s="62" t="s">
        <v>148</v>
      </c>
      <c r="M986" s="62" t="n">
        <v>0</v>
      </c>
      <c r="N986" s="62" t="n">
        <v>1</v>
      </c>
      <c r="O986" s="62" t="n">
        <v>1</v>
      </c>
      <c r="P986" s="62" t="n">
        <v>0</v>
      </c>
      <c r="Q986" s="62" t="n">
        <v>1</v>
      </c>
      <c r="R986" s="62" t="n">
        <v>0</v>
      </c>
      <c r="S986" s="62" t="n">
        <v>0</v>
      </c>
      <c r="T986" s="62" t="n">
        <v>0</v>
      </c>
      <c r="U986" s="62"/>
      <c r="V986" s="62"/>
      <c r="W986" s="62"/>
      <c r="X986" s="62"/>
      <c r="Y986" s="62"/>
      <c r="Z986" s="62" t="s">
        <v>1940</v>
      </c>
      <c r="AA986" s="62" t="s">
        <v>1941</v>
      </c>
      <c r="AB986" s="62" t="n">
        <v>1</v>
      </c>
      <c r="AC986" s="62" t="n">
        <v>0</v>
      </c>
      <c r="AD986" s="62" t="n">
        <v>1</v>
      </c>
      <c r="AE986" s="62" t="n">
        <f aca="false">IF(AND(Dashboard!$C$9="Yes",AC986=1),0,1)</f>
        <v>1</v>
      </c>
      <c r="AF986" s="62" t="n">
        <v>1</v>
      </c>
    </row>
    <row r="987" customFormat="false" ht="15" hidden="false" customHeight="false" outlineLevel="0" collapsed="false">
      <c r="A987" s="62" t="n">
        <v>986</v>
      </c>
      <c r="B987" s="63" t="n">
        <v>46259.9359953704</v>
      </c>
      <c r="C987" s="64" t="n">
        <v>46259</v>
      </c>
      <c r="D987" s="62" t="s">
        <v>501</v>
      </c>
      <c r="E987" s="62" t="s">
        <v>586</v>
      </c>
      <c r="F987" s="62" t="s">
        <v>586</v>
      </c>
      <c r="G987" s="62" t="s">
        <v>587</v>
      </c>
      <c r="H987" s="62" t="s">
        <v>57</v>
      </c>
      <c r="I987" s="62" t="s">
        <v>47</v>
      </c>
      <c r="J987" s="62" t="s">
        <v>146</v>
      </c>
      <c r="K987" s="62" t="s">
        <v>175</v>
      </c>
      <c r="L987" s="62" t="s">
        <v>148</v>
      </c>
      <c r="M987" s="62" t="n">
        <v>0</v>
      </c>
      <c r="N987" s="62" t="n">
        <v>1</v>
      </c>
      <c r="O987" s="62" t="n">
        <v>1</v>
      </c>
      <c r="P987" s="62" t="n">
        <v>0</v>
      </c>
      <c r="Q987" s="62" t="n">
        <v>0</v>
      </c>
      <c r="R987" s="62" t="n">
        <v>0</v>
      </c>
      <c r="S987" s="62" t="n">
        <v>1</v>
      </c>
      <c r="T987" s="62" t="n">
        <v>0</v>
      </c>
      <c r="U987" s="62"/>
      <c r="V987" s="62"/>
      <c r="W987" s="62"/>
      <c r="X987" s="62"/>
      <c r="Y987" s="62"/>
      <c r="Z987" s="62" t="s">
        <v>1942</v>
      </c>
      <c r="AA987" s="62" t="s">
        <v>1943</v>
      </c>
      <c r="AB987" s="62" t="n">
        <v>1</v>
      </c>
      <c r="AC987" s="62" t="n">
        <v>0</v>
      </c>
      <c r="AD987" s="62" t="n">
        <v>1</v>
      </c>
      <c r="AE987" s="62" t="n">
        <f aca="false">IF(AND(Dashboard!$C$9="Yes",AC987=1),0,1)</f>
        <v>1</v>
      </c>
      <c r="AF987" s="62" t="n">
        <v>0</v>
      </c>
    </row>
    <row r="988" customFormat="false" ht="15" hidden="false" customHeight="false" outlineLevel="0" collapsed="false">
      <c r="A988" s="62" t="n">
        <v>987</v>
      </c>
      <c r="B988" s="63" t="n">
        <v>46259.9538425926</v>
      </c>
      <c r="C988" s="64" t="n">
        <v>46259</v>
      </c>
      <c r="D988" s="62" t="s">
        <v>501</v>
      </c>
      <c r="E988" s="62" t="s">
        <v>1827</v>
      </c>
      <c r="F988" s="62" t="s">
        <v>1827</v>
      </c>
      <c r="G988" s="62" t="s">
        <v>1828</v>
      </c>
      <c r="H988" s="62" t="s">
        <v>59</v>
      </c>
      <c r="I988" s="62" t="s">
        <v>47</v>
      </c>
      <c r="J988" s="62" t="s">
        <v>146</v>
      </c>
      <c r="K988" s="62" t="s">
        <v>209</v>
      </c>
      <c r="L988" s="62" t="s">
        <v>148</v>
      </c>
      <c r="M988" s="62" t="n">
        <v>0</v>
      </c>
      <c r="N988" s="62" t="n">
        <v>1</v>
      </c>
      <c r="O988" s="62" t="n">
        <v>1</v>
      </c>
      <c r="P988" s="62" t="n">
        <v>0</v>
      </c>
      <c r="Q988" s="62" t="n">
        <v>1</v>
      </c>
      <c r="R988" s="62" t="n">
        <v>0</v>
      </c>
      <c r="S988" s="62" t="n">
        <v>0</v>
      </c>
      <c r="T988" s="62" t="n">
        <v>0</v>
      </c>
      <c r="U988" s="62"/>
      <c r="V988" s="62"/>
      <c r="W988" s="62"/>
      <c r="X988" s="62"/>
      <c r="Y988" s="62"/>
      <c r="Z988" s="62" t="s">
        <v>1944</v>
      </c>
      <c r="AA988" s="62" t="s">
        <v>1945</v>
      </c>
      <c r="AB988" s="62" t="n">
        <v>1</v>
      </c>
      <c r="AC988" s="62" t="n">
        <v>0</v>
      </c>
      <c r="AD988" s="62" t="n">
        <v>1</v>
      </c>
      <c r="AE988" s="62" t="n">
        <f aca="false">IF(AND(Dashboard!$C$9="Yes",AC988=1),0,1)</f>
        <v>1</v>
      </c>
      <c r="AF988" s="62" t="n">
        <v>1</v>
      </c>
    </row>
    <row r="989" customFormat="false" ht="15" hidden="false" customHeight="false" outlineLevel="0" collapsed="false">
      <c r="A989" s="62" t="n">
        <v>988</v>
      </c>
      <c r="B989" s="63" t="n">
        <v>46259.9761921296</v>
      </c>
      <c r="C989" s="64" t="n">
        <v>46259</v>
      </c>
      <c r="D989" s="62" t="s">
        <v>501</v>
      </c>
      <c r="E989" s="62" t="s">
        <v>239</v>
      </c>
      <c r="F989" s="62" t="s">
        <v>240</v>
      </c>
      <c r="G989" s="62" t="s">
        <v>153</v>
      </c>
      <c r="H989" s="62" t="s">
        <v>153</v>
      </c>
      <c r="I989" s="62" t="s">
        <v>153</v>
      </c>
      <c r="J989" s="62" t="s">
        <v>64</v>
      </c>
      <c r="K989" s="62" t="s">
        <v>64</v>
      </c>
      <c r="L989" s="62" t="s">
        <v>148</v>
      </c>
      <c r="M989" s="62" t="n">
        <v>0</v>
      </c>
      <c r="N989" s="62" t="n">
        <v>1</v>
      </c>
      <c r="O989" s="62" t="n">
        <v>1</v>
      </c>
      <c r="P989" s="62" t="n">
        <v>1</v>
      </c>
      <c r="Q989" s="62" t="n">
        <v>0</v>
      </c>
      <c r="R989" s="62" t="n">
        <v>0</v>
      </c>
      <c r="S989" s="62" t="n">
        <v>0</v>
      </c>
      <c r="T989" s="62" t="n">
        <v>0</v>
      </c>
      <c r="U989" s="62"/>
      <c r="V989" s="62"/>
      <c r="W989" s="62"/>
      <c r="X989" s="62"/>
      <c r="Y989" s="62"/>
      <c r="Z989" s="62" t="s">
        <v>1946</v>
      </c>
      <c r="AA989" s="62" t="s">
        <v>1947</v>
      </c>
      <c r="AB989" s="62" t="n">
        <v>1</v>
      </c>
      <c r="AC989" s="62" t="n">
        <v>0</v>
      </c>
      <c r="AD989" s="62" t="n">
        <v>0</v>
      </c>
      <c r="AE989" s="62" t="n">
        <f aca="false">IF(AND(Dashboard!$C$9="Yes",AC989=1),0,1)</f>
        <v>1</v>
      </c>
      <c r="AF989" s="62" t="n">
        <v>1</v>
      </c>
    </row>
    <row r="990" customFormat="false" ht="15" hidden="false" customHeight="false" outlineLevel="0" collapsed="false">
      <c r="A990" s="62" t="n">
        <v>989</v>
      </c>
      <c r="B990" s="63" t="n">
        <v>46260.0005324074</v>
      </c>
      <c r="C990" s="64" t="n">
        <v>46259</v>
      </c>
      <c r="D990" s="62" t="s">
        <v>501</v>
      </c>
      <c r="E990" s="62" t="s">
        <v>892</v>
      </c>
      <c r="F990" s="62" t="s">
        <v>892</v>
      </c>
      <c r="G990" s="62" t="s">
        <v>893</v>
      </c>
      <c r="H990" s="62" t="s">
        <v>46</v>
      </c>
      <c r="I990" s="62" t="s">
        <v>47</v>
      </c>
      <c r="J990" s="62" t="s">
        <v>146</v>
      </c>
      <c r="K990" s="62" t="s">
        <v>209</v>
      </c>
      <c r="L990" s="62" t="s">
        <v>4</v>
      </c>
      <c r="M990" s="62" t="n">
        <v>1</v>
      </c>
      <c r="N990" s="62" t="n">
        <v>0</v>
      </c>
      <c r="O990" s="62" t="n">
        <v>1</v>
      </c>
      <c r="P990" s="62" t="n">
        <v>0</v>
      </c>
      <c r="Q990" s="62" t="n">
        <v>0</v>
      </c>
      <c r="R990" s="62" t="n">
        <v>0</v>
      </c>
      <c r="S990" s="62" t="n">
        <v>0</v>
      </c>
      <c r="T990" s="62" t="n">
        <v>0</v>
      </c>
      <c r="U990" s="62"/>
      <c r="V990" s="62"/>
      <c r="W990" s="62"/>
      <c r="X990" s="62"/>
      <c r="Y990" s="62"/>
      <c r="Z990" s="62" t="s">
        <v>1948</v>
      </c>
      <c r="AA990" s="62" t="s">
        <v>337</v>
      </c>
      <c r="AB990" s="62" t="n">
        <v>0</v>
      </c>
      <c r="AC990" s="62" t="n">
        <v>0</v>
      </c>
      <c r="AD990" s="62" t="n">
        <v>1</v>
      </c>
      <c r="AE990" s="62" t="n">
        <f aca="false">IF(AND(Dashboard!$C$9="Yes",AC990=1),0,1)</f>
        <v>1</v>
      </c>
      <c r="AF990" s="62" t="n">
        <v>1</v>
      </c>
    </row>
    <row r="991" customFormat="false" ht="15" hidden="false" customHeight="false" outlineLevel="0" collapsed="false">
      <c r="A991" s="62" t="n">
        <v>990</v>
      </c>
      <c r="B991" s="63" t="n">
        <v>46260.0124074074</v>
      </c>
      <c r="C991" s="64" t="n">
        <v>46259</v>
      </c>
      <c r="D991" s="62" t="s">
        <v>501</v>
      </c>
      <c r="E991" s="62" t="s">
        <v>1155</v>
      </c>
      <c r="F991" s="62" t="s">
        <v>1155</v>
      </c>
      <c r="G991" s="62" t="s">
        <v>1156</v>
      </c>
      <c r="H991" s="62" t="s">
        <v>59</v>
      </c>
      <c r="I991" s="62" t="s">
        <v>47</v>
      </c>
      <c r="J991" s="62" t="s">
        <v>146</v>
      </c>
      <c r="K991" s="62" t="s">
        <v>209</v>
      </c>
      <c r="L991" s="62" t="s">
        <v>148</v>
      </c>
      <c r="M991" s="62" t="n">
        <v>0</v>
      </c>
      <c r="N991" s="62" t="n">
        <v>1</v>
      </c>
      <c r="O991" s="62" t="n">
        <v>1</v>
      </c>
      <c r="P991" s="62" t="n">
        <v>0</v>
      </c>
      <c r="Q991" s="62" t="n">
        <v>0</v>
      </c>
      <c r="R991" s="62" t="n">
        <v>1</v>
      </c>
      <c r="S991" s="62" t="n">
        <v>0</v>
      </c>
      <c r="T991" s="62" t="n">
        <v>0</v>
      </c>
      <c r="U991" s="62"/>
      <c r="V991" s="62"/>
      <c r="W991" s="62"/>
      <c r="X991" s="62"/>
      <c r="Y991" s="62"/>
      <c r="Z991" s="62" t="s">
        <v>1949</v>
      </c>
      <c r="AA991" s="62" t="s">
        <v>1950</v>
      </c>
      <c r="AB991" s="62" t="n">
        <v>1</v>
      </c>
      <c r="AC991" s="62" t="n">
        <v>0</v>
      </c>
      <c r="AD991" s="62" t="n">
        <v>1</v>
      </c>
      <c r="AE991" s="62" t="n">
        <f aca="false">IF(AND(Dashboard!$C$9="Yes",AC991=1),0,1)</f>
        <v>1</v>
      </c>
      <c r="AF991" s="62" t="n">
        <v>0</v>
      </c>
    </row>
    <row r="992" customFormat="false" ht="15" hidden="false" customHeight="false" outlineLevel="0" collapsed="false">
      <c r="A992" s="62" t="n">
        <v>991</v>
      </c>
      <c r="B992" s="63" t="n">
        <v>46260.0178935185</v>
      </c>
      <c r="C992" s="64" t="n">
        <v>46259</v>
      </c>
      <c r="D992" s="62" t="s">
        <v>501</v>
      </c>
      <c r="E992" s="62" t="s">
        <v>1749</v>
      </c>
      <c r="F992" s="62" t="s">
        <v>1749</v>
      </c>
      <c r="G992" s="62" t="s">
        <v>1750</v>
      </c>
      <c r="H992" s="62" t="s">
        <v>57</v>
      </c>
      <c r="I992" s="62" t="s">
        <v>47</v>
      </c>
      <c r="J992" s="62" t="s">
        <v>146</v>
      </c>
      <c r="K992" s="62" t="s">
        <v>209</v>
      </c>
      <c r="L992" s="62" t="s">
        <v>148</v>
      </c>
      <c r="M992" s="62" t="n">
        <v>0</v>
      </c>
      <c r="N992" s="62" t="n">
        <v>2</v>
      </c>
      <c r="O992" s="62" t="n">
        <v>2</v>
      </c>
      <c r="P992" s="62" t="n">
        <v>1</v>
      </c>
      <c r="Q992" s="62" t="n">
        <v>1</v>
      </c>
      <c r="R992" s="62" t="n">
        <v>0</v>
      </c>
      <c r="S992" s="62" t="n">
        <v>0</v>
      </c>
      <c r="T992" s="62" t="n">
        <v>0</v>
      </c>
      <c r="U992" s="62"/>
      <c r="V992" s="62"/>
      <c r="W992" s="62"/>
      <c r="X992" s="62"/>
      <c r="Y992" s="62"/>
      <c r="Z992" s="62" t="s">
        <v>1951</v>
      </c>
      <c r="AA992" s="62" t="s">
        <v>1952</v>
      </c>
      <c r="AB992" s="62" t="n">
        <v>1</v>
      </c>
      <c r="AC992" s="62" t="n">
        <v>0</v>
      </c>
      <c r="AD992" s="62" t="n">
        <v>1</v>
      </c>
      <c r="AE992" s="62" t="n">
        <f aca="false">IF(AND(Dashboard!$C$9="Yes",AC992=1),0,1)</f>
        <v>1</v>
      </c>
      <c r="AF992" s="62" t="n">
        <v>1</v>
      </c>
    </row>
    <row r="993" customFormat="false" ht="15" hidden="false" customHeight="false" outlineLevel="0" collapsed="false">
      <c r="A993" s="62" t="n">
        <v>992</v>
      </c>
      <c r="B993" s="63" t="n">
        <v>46260.0249537037</v>
      </c>
      <c r="C993" s="64" t="n">
        <v>46259</v>
      </c>
      <c r="D993" s="62" t="s">
        <v>501</v>
      </c>
      <c r="E993" s="62" t="s">
        <v>1224</v>
      </c>
      <c r="F993" s="62" t="s">
        <v>1225</v>
      </c>
      <c r="G993" s="62" t="s">
        <v>153</v>
      </c>
      <c r="H993" s="62" t="s">
        <v>153</v>
      </c>
      <c r="I993" s="62" t="s">
        <v>153</v>
      </c>
      <c r="J993" s="62" t="s">
        <v>64</v>
      </c>
      <c r="K993" s="62" t="s">
        <v>64</v>
      </c>
      <c r="L993" s="62" t="s">
        <v>148</v>
      </c>
      <c r="M993" s="62" t="n">
        <v>0</v>
      </c>
      <c r="N993" s="62" t="n">
        <v>2</v>
      </c>
      <c r="O993" s="62" t="n">
        <v>2</v>
      </c>
      <c r="P993" s="62" t="n">
        <v>1</v>
      </c>
      <c r="Q993" s="62" t="n">
        <v>0</v>
      </c>
      <c r="R993" s="62" t="n">
        <v>1</v>
      </c>
      <c r="S993" s="62" t="n">
        <v>0</v>
      </c>
      <c r="T993" s="62" t="n">
        <v>0</v>
      </c>
      <c r="U993" s="62"/>
      <c r="V993" s="62"/>
      <c r="W993" s="62"/>
      <c r="X993" s="62"/>
      <c r="Y993" s="62"/>
      <c r="Z993" s="62" t="s">
        <v>1953</v>
      </c>
      <c r="AA993" s="62" t="s">
        <v>1954</v>
      </c>
      <c r="AB993" s="62" t="n">
        <v>1</v>
      </c>
      <c r="AC993" s="62" t="n">
        <v>0</v>
      </c>
      <c r="AD993" s="62" t="n">
        <v>0</v>
      </c>
      <c r="AE993" s="62" t="n">
        <f aca="false">IF(AND(Dashboard!$C$9="Yes",AC993=1),0,1)</f>
        <v>1</v>
      </c>
      <c r="AF993" s="62" t="n">
        <v>1</v>
      </c>
    </row>
    <row r="994" customFormat="false" ht="15" hidden="false" customHeight="false" outlineLevel="0" collapsed="false">
      <c r="A994" s="62" t="n">
        <v>993</v>
      </c>
      <c r="B994" s="63" t="n">
        <v>46260.0308217593</v>
      </c>
      <c r="C994" s="64" t="n">
        <v>46259</v>
      </c>
      <c r="D994" s="62" t="s">
        <v>501</v>
      </c>
      <c r="E994" s="62" t="s">
        <v>790</v>
      </c>
      <c r="F994" s="62" t="s">
        <v>791</v>
      </c>
      <c r="G994" s="62" t="s">
        <v>153</v>
      </c>
      <c r="H994" s="62" t="s">
        <v>153</v>
      </c>
      <c r="I994" s="62" t="s">
        <v>153</v>
      </c>
      <c r="J994" s="62" t="s">
        <v>64</v>
      </c>
      <c r="K994" s="62" t="s">
        <v>64</v>
      </c>
      <c r="L994" s="62" t="s">
        <v>148</v>
      </c>
      <c r="M994" s="62" t="n">
        <v>0</v>
      </c>
      <c r="N994" s="62" t="n">
        <v>1</v>
      </c>
      <c r="O994" s="62" t="n">
        <v>1</v>
      </c>
      <c r="P994" s="62" t="n">
        <v>0</v>
      </c>
      <c r="Q994" s="62" t="n">
        <v>1</v>
      </c>
      <c r="R994" s="62" t="n">
        <v>0</v>
      </c>
      <c r="S994" s="62" t="n">
        <v>0</v>
      </c>
      <c r="T994" s="62" t="n">
        <v>0</v>
      </c>
      <c r="U994" s="62"/>
      <c r="V994" s="62"/>
      <c r="W994" s="62"/>
      <c r="X994" s="62"/>
      <c r="Y994" s="62"/>
      <c r="Z994" s="62" t="s">
        <v>1955</v>
      </c>
      <c r="AA994" s="62" t="s">
        <v>1956</v>
      </c>
      <c r="AB994" s="62" t="n">
        <v>1</v>
      </c>
      <c r="AC994" s="62" t="n">
        <v>0</v>
      </c>
      <c r="AD994" s="62" t="n">
        <v>0</v>
      </c>
      <c r="AE994" s="62" t="n">
        <f aca="false">IF(AND(Dashboard!$C$9="Yes",AC994=1),0,1)</f>
        <v>1</v>
      </c>
      <c r="AF994" s="62" t="n">
        <v>1</v>
      </c>
    </row>
    <row r="995" customFormat="false" ht="15" hidden="false" customHeight="false" outlineLevel="0" collapsed="false">
      <c r="A995" s="62" t="n">
        <v>994</v>
      </c>
      <c r="B995" s="63" t="n">
        <v>46260.0608796296</v>
      </c>
      <c r="C995" s="64" t="n">
        <v>46259</v>
      </c>
      <c r="D995" s="62" t="s">
        <v>501</v>
      </c>
      <c r="E995" s="62" t="s">
        <v>1749</v>
      </c>
      <c r="F995" s="62" t="s">
        <v>1749</v>
      </c>
      <c r="G995" s="62" t="s">
        <v>1750</v>
      </c>
      <c r="H995" s="62" t="s">
        <v>57</v>
      </c>
      <c r="I995" s="62" t="s">
        <v>47</v>
      </c>
      <c r="J995" s="62" t="s">
        <v>146</v>
      </c>
      <c r="K995" s="62" t="s">
        <v>209</v>
      </c>
      <c r="L995" s="62" t="s">
        <v>148</v>
      </c>
      <c r="M995" s="62" t="n">
        <v>0</v>
      </c>
      <c r="N995" s="62" t="n">
        <v>1</v>
      </c>
      <c r="O995" s="62" t="n">
        <v>1</v>
      </c>
      <c r="P995" s="62" t="n">
        <v>0</v>
      </c>
      <c r="Q995" s="62" t="n">
        <v>0</v>
      </c>
      <c r="R995" s="62" t="n">
        <v>1</v>
      </c>
      <c r="S995" s="62" t="n">
        <v>0</v>
      </c>
      <c r="T995" s="62" t="n">
        <v>0</v>
      </c>
      <c r="U995" s="62"/>
      <c r="V995" s="62"/>
      <c r="W995" s="62"/>
      <c r="X995" s="62"/>
      <c r="Y995" s="62"/>
      <c r="Z995" s="62" t="s">
        <v>1957</v>
      </c>
      <c r="AA995" s="62" t="s">
        <v>1958</v>
      </c>
      <c r="AB995" s="62" t="n">
        <v>1</v>
      </c>
      <c r="AC995" s="62" t="n">
        <v>0</v>
      </c>
      <c r="AD995" s="62" t="n">
        <v>1</v>
      </c>
      <c r="AE995" s="62" t="n">
        <f aca="false">IF(AND(Dashboard!$C$9="Yes",AC995=1),0,1)</f>
        <v>1</v>
      </c>
      <c r="AF995" s="62" t="n">
        <v>0</v>
      </c>
    </row>
    <row r="996" customFormat="false" ht="15" hidden="false" customHeight="false" outlineLevel="0" collapsed="false">
      <c r="A996" s="62" t="n">
        <v>995</v>
      </c>
      <c r="B996" s="63" t="n">
        <v>46260.0657638889</v>
      </c>
      <c r="C996" s="64" t="n">
        <v>46259</v>
      </c>
      <c r="D996" s="62" t="s">
        <v>501</v>
      </c>
      <c r="E996" s="62" t="s">
        <v>892</v>
      </c>
      <c r="F996" s="62" t="s">
        <v>892</v>
      </c>
      <c r="G996" s="62" t="s">
        <v>893</v>
      </c>
      <c r="H996" s="62" t="s">
        <v>46</v>
      </c>
      <c r="I996" s="62" t="s">
        <v>47</v>
      </c>
      <c r="J996" s="62" t="s">
        <v>146</v>
      </c>
      <c r="K996" s="62" t="s">
        <v>209</v>
      </c>
      <c r="L996" s="62" t="s">
        <v>148</v>
      </c>
      <c r="M996" s="62" t="n">
        <v>0</v>
      </c>
      <c r="N996" s="62" t="n">
        <v>1</v>
      </c>
      <c r="O996" s="62" t="n">
        <v>1</v>
      </c>
      <c r="P996" s="62" t="n">
        <v>0</v>
      </c>
      <c r="Q996" s="62" t="n">
        <v>1</v>
      </c>
      <c r="R996" s="62" t="n">
        <v>0</v>
      </c>
      <c r="S996" s="62" t="n">
        <v>0</v>
      </c>
      <c r="T996" s="62" t="n">
        <v>0</v>
      </c>
      <c r="U996" s="62"/>
      <c r="V996" s="62"/>
      <c r="W996" s="62"/>
      <c r="X996" s="62"/>
      <c r="Y996" s="62"/>
      <c r="Z996" s="62" t="s">
        <v>1959</v>
      </c>
      <c r="AA996" s="62" t="s">
        <v>337</v>
      </c>
      <c r="AB996" s="62" t="n">
        <v>0</v>
      </c>
      <c r="AC996" s="62" t="n">
        <v>0</v>
      </c>
      <c r="AD996" s="62" t="n">
        <v>1</v>
      </c>
      <c r="AE996" s="62" t="n">
        <f aca="false">IF(AND(Dashboard!$C$9="Yes",AC996=1),0,1)</f>
        <v>1</v>
      </c>
      <c r="AF996" s="62" t="n">
        <v>0</v>
      </c>
    </row>
    <row r="997" customFormat="false" ht="15" hidden="false" customHeight="false" outlineLevel="0" collapsed="false">
      <c r="A997" s="62" t="n">
        <v>996</v>
      </c>
      <c r="B997" s="63" t="n">
        <v>46260.088912037</v>
      </c>
      <c r="C997" s="64" t="n">
        <v>46259</v>
      </c>
      <c r="D997" s="62" t="s">
        <v>501</v>
      </c>
      <c r="E997" s="62" t="s">
        <v>1827</v>
      </c>
      <c r="F997" s="62" t="s">
        <v>1827</v>
      </c>
      <c r="G997" s="62" t="s">
        <v>1828</v>
      </c>
      <c r="H997" s="62" t="s">
        <v>59</v>
      </c>
      <c r="I997" s="62" t="s">
        <v>47</v>
      </c>
      <c r="J997" s="62" t="s">
        <v>146</v>
      </c>
      <c r="K997" s="62" t="s">
        <v>209</v>
      </c>
      <c r="L997" s="62" t="s">
        <v>148</v>
      </c>
      <c r="M997" s="62" t="n">
        <v>0</v>
      </c>
      <c r="N997" s="62" t="n">
        <v>1</v>
      </c>
      <c r="O997" s="62" t="n">
        <v>1</v>
      </c>
      <c r="P997" s="62" t="n">
        <v>1</v>
      </c>
      <c r="Q997" s="62" t="n">
        <v>0</v>
      </c>
      <c r="R997" s="62" t="n">
        <v>0</v>
      </c>
      <c r="S997" s="62" t="n">
        <v>0</v>
      </c>
      <c r="T997" s="62" t="n">
        <v>0</v>
      </c>
      <c r="U997" s="62"/>
      <c r="V997" s="62"/>
      <c r="W997" s="62"/>
      <c r="X997" s="62"/>
      <c r="Y997" s="62"/>
      <c r="Z997" s="62" t="s">
        <v>1960</v>
      </c>
      <c r="AA997" s="62" t="s">
        <v>1961</v>
      </c>
      <c r="AB997" s="62" t="n">
        <v>1</v>
      </c>
      <c r="AC997" s="62" t="n">
        <v>0</v>
      </c>
      <c r="AD997" s="62" t="n">
        <v>1</v>
      </c>
      <c r="AE997" s="62" t="n">
        <f aca="false">IF(AND(Dashboard!$C$9="Yes",AC997=1),0,1)</f>
        <v>1</v>
      </c>
      <c r="AF997" s="62" t="n">
        <v>0</v>
      </c>
    </row>
    <row r="998" customFormat="false" ht="15" hidden="false" customHeight="false" outlineLevel="0" collapsed="false">
      <c r="A998" s="62" t="n">
        <v>997</v>
      </c>
      <c r="B998" s="63" t="n">
        <v>46260.0921527778</v>
      </c>
      <c r="C998" s="64" t="n">
        <v>46259</v>
      </c>
      <c r="D998" s="62" t="s">
        <v>501</v>
      </c>
      <c r="E998" s="62" t="s">
        <v>239</v>
      </c>
      <c r="F998" s="62" t="s">
        <v>240</v>
      </c>
      <c r="G998" s="62" t="s">
        <v>153</v>
      </c>
      <c r="H998" s="62" t="s">
        <v>153</v>
      </c>
      <c r="I998" s="62" t="s">
        <v>153</v>
      </c>
      <c r="J998" s="62" t="s">
        <v>64</v>
      </c>
      <c r="K998" s="62" t="s">
        <v>64</v>
      </c>
      <c r="L998" s="62" t="s">
        <v>4</v>
      </c>
      <c r="M998" s="62" t="n">
        <v>1</v>
      </c>
      <c r="N998" s="62" t="n">
        <v>0</v>
      </c>
      <c r="O998" s="62" t="n">
        <v>1</v>
      </c>
      <c r="P998" s="62" t="n">
        <v>0</v>
      </c>
      <c r="Q998" s="62" t="n">
        <v>0</v>
      </c>
      <c r="R998" s="62" t="n">
        <v>0</v>
      </c>
      <c r="S998" s="62" t="n">
        <v>0</v>
      </c>
      <c r="T998" s="62" t="n">
        <v>0</v>
      </c>
      <c r="U998" s="62"/>
      <c r="V998" s="62"/>
      <c r="W998" s="62"/>
      <c r="X998" s="62"/>
      <c r="Y998" s="62"/>
      <c r="Z998" s="62" t="s">
        <v>1962</v>
      </c>
      <c r="AA998" s="62" t="s">
        <v>1963</v>
      </c>
      <c r="AB998" s="62" t="n">
        <v>1</v>
      </c>
      <c r="AC998" s="62" t="n">
        <v>0</v>
      </c>
      <c r="AD998" s="62" t="n">
        <v>0</v>
      </c>
      <c r="AE998" s="62" t="n">
        <f aca="false">IF(AND(Dashboard!$C$9="Yes",AC998=1),0,1)</f>
        <v>1</v>
      </c>
      <c r="AF998" s="62" t="n">
        <v>0</v>
      </c>
    </row>
    <row r="999" customFormat="false" ht="15" hidden="false" customHeight="false" outlineLevel="0" collapsed="false">
      <c r="A999" s="62" t="n">
        <v>998</v>
      </c>
      <c r="B999" s="63" t="n">
        <v>46260.0923726852</v>
      </c>
      <c r="C999" s="64" t="n">
        <v>46259</v>
      </c>
      <c r="D999" s="62" t="s">
        <v>501</v>
      </c>
      <c r="E999" s="62" t="s">
        <v>239</v>
      </c>
      <c r="F999" s="62" t="s">
        <v>240</v>
      </c>
      <c r="G999" s="62" t="s">
        <v>153</v>
      </c>
      <c r="H999" s="62" t="s">
        <v>153</v>
      </c>
      <c r="I999" s="62" t="s">
        <v>153</v>
      </c>
      <c r="J999" s="62" t="s">
        <v>64</v>
      </c>
      <c r="K999" s="62" t="s">
        <v>64</v>
      </c>
      <c r="L999" s="62" t="s">
        <v>4</v>
      </c>
      <c r="M999" s="62" t="n">
        <v>1</v>
      </c>
      <c r="N999" s="62" t="n">
        <v>0</v>
      </c>
      <c r="O999" s="62" t="n">
        <v>1</v>
      </c>
      <c r="P999" s="62" t="n">
        <v>0</v>
      </c>
      <c r="Q999" s="62" t="n">
        <v>0</v>
      </c>
      <c r="R999" s="62" t="n">
        <v>0</v>
      </c>
      <c r="S999" s="62" t="n">
        <v>0</v>
      </c>
      <c r="T999" s="62" t="n">
        <v>0</v>
      </c>
      <c r="U999" s="62"/>
      <c r="V999" s="62"/>
      <c r="W999" s="62"/>
      <c r="X999" s="62"/>
      <c r="Y999" s="62"/>
      <c r="Z999" s="62" t="s">
        <v>1962</v>
      </c>
      <c r="AA999" s="62" t="s">
        <v>1963</v>
      </c>
      <c r="AB999" s="62" t="n">
        <v>1</v>
      </c>
      <c r="AC999" s="62" t="n">
        <v>1</v>
      </c>
      <c r="AD999" s="62" t="n">
        <v>0</v>
      </c>
      <c r="AE999" s="62" t="n">
        <f aca="false">IF(AND(Dashboard!$C$9="Yes",AC999=1),0,1)</f>
        <v>0</v>
      </c>
      <c r="AF999" s="62" t="n">
        <v>0</v>
      </c>
    </row>
    <row r="1000" customFormat="false" ht="15" hidden="false" customHeight="false" outlineLevel="0" collapsed="false">
      <c r="A1000" s="62" t="n">
        <v>999</v>
      </c>
      <c r="B1000" s="63" t="n">
        <v>46260.0925925926</v>
      </c>
      <c r="C1000" s="64" t="n">
        <v>46259</v>
      </c>
      <c r="D1000" s="62" t="s">
        <v>501</v>
      </c>
      <c r="E1000" s="62" t="s">
        <v>239</v>
      </c>
      <c r="F1000" s="62" t="s">
        <v>240</v>
      </c>
      <c r="G1000" s="62" t="s">
        <v>153</v>
      </c>
      <c r="H1000" s="62" t="s">
        <v>153</v>
      </c>
      <c r="I1000" s="62" t="s">
        <v>153</v>
      </c>
      <c r="J1000" s="62" t="s">
        <v>64</v>
      </c>
      <c r="K1000" s="62" t="s">
        <v>64</v>
      </c>
      <c r="L1000" s="62" t="s">
        <v>4</v>
      </c>
      <c r="M1000" s="62" t="n">
        <v>1</v>
      </c>
      <c r="N1000" s="62" t="n">
        <v>0</v>
      </c>
      <c r="O1000" s="62" t="n">
        <v>1</v>
      </c>
      <c r="P1000" s="62" t="n">
        <v>0</v>
      </c>
      <c r="Q1000" s="62" t="n">
        <v>0</v>
      </c>
      <c r="R1000" s="62" t="n">
        <v>0</v>
      </c>
      <c r="S1000" s="62" t="n">
        <v>0</v>
      </c>
      <c r="T1000" s="62" t="n">
        <v>0</v>
      </c>
      <c r="U1000" s="62"/>
      <c r="V1000" s="62"/>
      <c r="W1000" s="62"/>
      <c r="X1000" s="62"/>
      <c r="Y1000" s="62"/>
      <c r="Z1000" s="62" t="s">
        <v>1962</v>
      </c>
      <c r="AA1000" s="62" t="s">
        <v>1963</v>
      </c>
      <c r="AB1000" s="62" t="n">
        <v>1</v>
      </c>
      <c r="AC1000" s="62" t="n">
        <v>1</v>
      </c>
      <c r="AD1000" s="62" t="n">
        <v>0</v>
      </c>
      <c r="AE1000" s="62" t="n">
        <f aca="false">IF(AND(Dashboard!$C$9="Yes",AC1000=1),0,1)</f>
        <v>0</v>
      </c>
      <c r="AF1000" s="62" t="n">
        <v>0</v>
      </c>
    </row>
    <row r="1001" customFormat="false" ht="15" hidden="false" customHeight="false" outlineLevel="0" collapsed="false">
      <c r="A1001" s="62" t="n">
        <v>1000</v>
      </c>
      <c r="B1001" s="63" t="n">
        <v>46260.0926041667</v>
      </c>
      <c r="C1001" s="64" t="n">
        <v>46259</v>
      </c>
      <c r="D1001" s="62" t="s">
        <v>501</v>
      </c>
      <c r="E1001" s="62" t="s">
        <v>196</v>
      </c>
      <c r="F1001" s="62" t="s">
        <v>196</v>
      </c>
      <c r="G1001" s="62" t="s">
        <v>197</v>
      </c>
      <c r="H1001" s="62" t="s">
        <v>57</v>
      </c>
      <c r="I1001" s="62" t="s">
        <v>47</v>
      </c>
      <c r="J1001" s="62" t="s">
        <v>146</v>
      </c>
      <c r="K1001" s="62" t="s">
        <v>175</v>
      </c>
      <c r="L1001" s="62" t="s">
        <v>148</v>
      </c>
      <c r="M1001" s="62" t="n">
        <v>0</v>
      </c>
      <c r="N1001" s="62" t="n">
        <v>1</v>
      </c>
      <c r="O1001" s="62" t="n">
        <v>1</v>
      </c>
      <c r="P1001" s="62" t="n">
        <v>1</v>
      </c>
      <c r="Q1001" s="62" t="n">
        <v>0</v>
      </c>
      <c r="R1001" s="62" t="n">
        <v>0</v>
      </c>
      <c r="S1001" s="62" t="n">
        <v>0</v>
      </c>
      <c r="T1001" s="62" t="n">
        <v>0</v>
      </c>
      <c r="U1001" s="62"/>
      <c r="V1001" s="62"/>
      <c r="W1001" s="62"/>
      <c r="X1001" s="62"/>
      <c r="Y1001" s="62"/>
      <c r="Z1001" s="62" t="s">
        <v>1964</v>
      </c>
      <c r="AA1001" s="62" t="s">
        <v>1965</v>
      </c>
      <c r="AB1001" s="62" t="n">
        <v>1</v>
      </c>
      <c r="AC1001" s="62" t="n">
        <v>0</v>
      </c>
      <c r="AD1001" s="62" t="n">
        <v>1</v>
      </c>
      <c r="AE1001" s="62" t="n">
        <f aca="false">IF(AND(Dashboard!$C$9="Yes",AC1001=1),0,1)</f>
        <v>1</v>
      </c>
      <c r="AF1001" s="62" t="n">
        <v>1</v>
      </c>
    </row>
    <row r="1002" customFormat="false" ht="15" hidden="false" customHeight="false" outlineLevel="0" collapsed="false">
      <c r="A1002" s="62" t="n">
        <v>1001</v>
      </c>
      <c r="B1002" s="63" t="n">
        <v>46260.0931365741</v>
      </c>
      <c r="C1002" s="64" t="n">
        <v>46259</v>
      </c>
      <c r="D1002" s="62" t="s">
        <v>501</v>
      </c>
      <c r="E1002" s="62" t="s">
        <v>1155</v>
      </c>
      <c r="F1002" s="62" t="s">
        <v>1155</v>
      </c>
      <c r="G1002" s="62" t="s">
        <v>1156</v>
      </c>
      <c r="H1002" s="62" t="s">
        <v>59</v>
      </c>
      <c r="I1002" s="62" t="s">
        <v>47</v>
      </c>
      <c r="J1002" s="62" t="s">
        <v>146</v>
      </c>
      <c r="K1002" s="62" t="s">
        <v>209</v>
      </c>
      <c r="L1002" s="62" t="s">
        <v>148</v>
      </c>
      <c r="M1002" s="62" t="n">
        <v>0</v>
      </c>
      <c r="N1002" s="62" t="n">
        <v>1</v>
      </c>
      <c r="O1002" s="62" t="n">
        <v>1</v>
      </c>
      <c r="P1002" s="62" t="n">
        <v>0</v>
      </c>
      <c r="Q1002" s="62" t="n">
        <v>0</v>
      </c>
      <c r="R1002" s="62" t="n">
        <v>1</v>
      </c>
      <c r="S1002" s="62" t="n">
        <v>0</v>
      </c>
      <c r="T1002" s="62" t="n">
        <v>0</v>
      </c>
      <c r="U1002" s="62"/>
      <c r="V1002" s="62"/>
      <c r="W1002" s="62"/>
      <c r="X1002" s="62"/>
      <c r="Y1002" s="62"/>
      <c r="Z1002" s="62" t="s">
        <v>1966</v>
      </c>
      <c r="AA1002" s="62" t="s">
        <v>1967</v>
      </c>
      <c r="AB1002" s="62" t="n">
        <v>1</v>
      </c>
      <c r="AC1002" s="62" t="n">
        <v>0</v>
      </c>
      <c r="AD1002" s="62" t="n">
        <v>1</v>
      </c>
      <c r="AE1002" s="62" t="n">
        <f aca="false">IF(AND(Dashboard!$C$9="Yes",AC1002=1),0,1)</f>
        <v>1</v>
      </c>
      <c r="AF1002" s="62" t="n">
        <v>0</v>
      </c>
    </row>
    <row r="1003" customFormat="false" ht="15" hidden="false" customHeight="false" outlineLevel="0" collapsed="false">
      <c r="A1003" s="62" t="n">
        <v>1002</v>
      </c>
      <c r="B1003" s="63" t="n">
        <v>46260.0933912037</v>
      </c>
      <c r="C1003" s="64" t="n">
        <v>46259</v>
      </c>
      <c r="D1003" s="62" t="s">
        <v>501</v>
      </c>
      <c r="E1003" s="62" t="s">
        <v>1155</v>
      </c>
      <c r="F1003" s="62" t="s">
        <v>1155</v>
      </c>
      <c r="G1003" s="62" t="s">
        <v>1156</v>
      </c>
      <c r="H1003" s="62" t="s">
        <v>59</v>
      </c>
      <c r="I1003" s="62" t="s">
        <v>47</v>
      </c>
      <c r="J1003" s="62" t="s">
        <v>146</v>
      </c>
      <c r="K1003" s="62" t="s">
        <v>209</v>
      </c>
      <c r="L1003" s="62" t="s">
        <v>148</v>
      </c>
      <c r="M1003" s="62" t="n">
        <v>0</v>
      </c>
      <c r="N1003" s="62" t="n">
        <v>1</v>
      </c>
      <c r="O1003" s="62" t="n">
        <v>1</v>
      </c>
      <c r="P1003" s="62" t="n">
        <v>0</v>
      </c>
      <c r="Q1003" s="62" t="n">
        <v>0</v>
      </c>
      <c r="R1003" s="62" t="n">
        <v>0</v>
      </c>
      <c r="S1003" s="62" t="n">
        <v>1</v>
      </c>
      <c r="T1003" s="62" t="n">
        <v>0</v>
      </c>
      <c r="U1003" s="62"/>
      <c r="V1003" s="62"/>
      <c r="W1003" s="62"/>
      <c r="X1003" s="62"/>
      <c r="Y1003" s="62"/>
      <c r="Z1003" s="62" t="s">
        <v>1968</v>
      </c>
      <c r="AA1003" s="62" t="s">
        <v>1920</v>
      </c>
      <c r="AB1003" s="62" t="n">
        <v>0</v>
      </c>
      <c r="AC1003" s="62" t="n">
        <v>0</v>
      </c>
      <c r="AD1003" s="62" t="n">
        <v>1</v>
      </c>
      <c r="AE1003" s="62" t="n">
        <f aca="false">IF(AND(Dashboard!$C$9="Yes",AC1003=1),0,1)</f>
        <v>1</v>
      </c>
      <c r="AF1003" s="62" t="n">
        <v>0</v>
      </c>
    </row>
    <row r="1004" customFormat="false" ht="15" hidden="false" customHeight="false" outlineLevel="0" collapsed="false">
      <c r="A1004" s="62" t="n">
        <v>1003</v>
      </c>
      <c r="B1004" s="63" t="n">
        <v>46260.0937962963</v>
      </c>
      <c r="C1004" s="64" t="n">
        <v>46259</v>
      </c>
      <c r="D1004" s="62" t="s">
        <v>501</v>
      </c>
      <c r="E1004" s="62" t="s">
        <v>1155</v>
      </c>
      <c r="F1004" s="62" t="s">
        <v>1155</v>
      </c>
      <c r="G1004" s="62" t="s">
        <v>1156</v>
      </c>
      <c r="H1004" s="62" t="s">
        <v>59</v>
      </c>
      <c r="I1004" s="62" t="s">
        <v>47</v>
      </c>
      <c r="J1004" s="62" t="s">
        <v>146</v>
      </c>
      <c r="K1004" s="62" t="s">
        <v>209</v>
      </c>
      <c r="L1004" s="62" t="s">
        <v>148</v>
      </c>
      <c r="M1004" s="62" t="n">
        <v>0</v>
      </c>
      <c r="N1004" s="62" t="n">
        <v>1</v>
      </c>
      <c r="O1004" s="62" t="n">
        <v>1</v>
      </c>
      <c r="P1004" s="62" t="n">
        <v>0</v>
      </c>
      <c r="Q1004" s="62" t="n">
        <v>0</v>
      </c>
      <c r="R1004" s="62" t="n">
        <v>0</v>
      </c>
      <c r="S1004" s="62" t="n">
        <v>1</v>
      </c>
      <c r="T1004" s="62" t="n">
        <v>0</v>
      </c>
      <c r="U1004" s="62"/>
      <c r="V1004" s="62"/>
      <c r="W1004" s="62"/>
      <c r="X1004" s="62"/>
      <c r="Y1004" s="62"/>
      <c r="Z1004" s="62" t="s">
        <v>1968</v>
      </c>
      <c r="AA1004" s="62" t="s">
        <v>1969</v>
      </c>
      <c r="AB1004" s="62" t="n">
        <v>0</v>
      </c>
      <c r="AC1004" s="62" t="n">
        <v>0</v>
      </c>
      <c r="AD1004" s="62" t="n">
        <v>1</v>
      </c>
      <c r="AE1004" s="62" t="n">
        <f aca="false">IF(AND(Dashboard!$C$9="Yes",AC1004=1),0,1)</f>
        <v>1</v>
      </c>
      <c r="AF1004" s="62" t="n">
        <v>0</v>
      </c>
    </row>
    <row r="1005" customFormat="false" ht="15" hidden="false" customHeight="false" outlineLevel="0" collapsed="false">
      <c r="A1005" s="62" t="n">
        <v>1004</v>
      </c>
      <c r="B1005" s="63" t="n">
        <v>46260.0947916667</v>
      </c>
      <c r="C1005" s="64" t="n">
        <v>46259</v>
      </c>
      <c r="D1005" s="62" t="s">
        <v>501</v>
      </c>
      <c r="E1005" s="62" t="s">
        <v>239</v>
      </c>
      <c r="F1005" s="62" t="s">
        <v>240</v>
      </c>
      <c r="G1005" s="62" t="s">
        <v>153</v>
      </c>
      <c r="H1005" s="62" t="s">
        <v>153</v>
      </c>
      <c r="I1005" s="62" t="s">
        <v>153</v>
      </c>
      <c r="J1005" s="62" t="s">
        <v>64</v>
      </c>
      <c r="K1005" s="62" t="s">
        <v>64</v>
      </c>
      <c r="L1005" s="62" t="s">
        <v>148</v>
      </c>
      <c r="M1005" s="62" t="n">
        <v>0</v>
      </c>
      <c r="N1005" s="62" t="n">
        <v>1</v>
      </c>
      <c r="O1005" s="62" t="n">
        <v>1</v>
      </c>
      <c r="P1005" s="62" t="n">
        <v>1</v>
      </c>
      <c r="Q1005" s="62" t="n">
        <v>0</v>
      </c>
      <c r="R1005" s="62" t="n">
        <v>0</v>
      </c>
      <c r="S1005" s="62" t="n">
        <v>0</v>
      </c>
      <c r="T1005" s="62" t="n">
        <v>0</v>
      </c>
      <c r="U1005" s="62"/>
      <c r="V1005" s="62"/>
      <c r="W1005" s="62"/>
      <c r="X1005" s="62"/>
      <c r="Y1005" s="62"/>
      <c r="Z1005" s="62" t="s">
        <v>1962</v>
      </c>
      <c r="AA1005" s="62" t="s">
        <v>1970</v>
      </c>
      <c r="AB1005" s="62" t="n">
        <v>1</v>
      </c>
      <c r="AC1005" s="62" t="n">
        <v>0</v>
      </c>
      <c r="AD1005" s="62" t="n">
        <v>0</v>
      </c>
      <c r="AE1005" s="62" t="n">
        <f aca="false">IF(AND(Dashboard!$C$9="Yes",AC1005=1),0,1)</f>
        <v>1</v>
      </c>
      <c r="AF1005" s="62" t="n">
        <v>0</v>
      </c>
    </row>
    <row r="1006" customFormat="false" ht="15" hidden="false" customHeight="false" outlineLevel="0" collapsed="false">
      <c r="A1006" s="62" t="n">
        <v>1005</v>
      </c>
      <c r="B1006" s="63" t="n">
        <v>46260.0955671296</v>
      </c>
      <c r="C1006" s="64" t="n">
        <v>46259</v>
      </c>
      <c r="D1006" s="62" t="s">
        <v>501</v>
      </c>
      <c r="E1006" s="62" t="s">
        <v>239</v>
      </c>
      <c r="F1006" s="62" t="s">
        <v>240</v>
      </c>
      <c r="G1006" s="62" t="s">
        <v>153</v>
      </c>
      <c r="H1006" s="62" t="s">
        <v>153</v>
      </c>
      <c r="I1006" s="62" t="s">
        <v>153</v>
      </c>
      <c r="J1006" s="62" t="s">
        <v>64</v>
      </c>
      <c r="K1006" s="62" t="s">
        <v>64</v>
      </c>
      <c r="L1006" s="62" t="s">
        <v>148</v>
      </c>
      <c r="M1006" s="62" t="n">
        <v>0</v>
      </c>
      <c r="N1006" s="62" t="n">
        <v>1</v>
      </c>
      <c r="O1006" s="62" t="n">
        <v>1</v>
      </c>
      <c r="P1006" s="62" t="n">
        <v>1</v>
      </c>
      <c r="Q1006" s="62" t="n">
        <v>0</v>
      </c>
      <c r="R1006" s="62" t="n">
        <v>0</v>
      </c>
      <c r="S1006" s="62" t="n">
        <v>0</v>
      </c>
      <c r="T1006" s="62" t="n">
        <v>0</v>
      </c>
      <c r="U1006" s="62"/>
      <c r="V1006" s="62"/>
      <c r="W1006" s="62"/>
      <c r="X1006" s="62"/>
      <c r="Y1006" s="62"/>
      <c r="Z1006" s="62" t="s">
        <v>1962</v>
      </c>
      <c r="AA1006" s="62" t="s">
        <v>1970</v>
      </c>
      <c r="AB1006" s="62" t="n">
        <v>1</v>
      </c>
      <c r="AC1006" s="62" t="n">
        <v>1</v>
      </c>
      <c r="AD1006" s="62" t="n">
        <v>0</v>
      </c>
      <c r="AE1006" s="62" t="n">
        <f aca="false">IF(AND(Dashboard!$C$9="Yes",AC1006=1),0,1)</f>
        <v>0</v>
      </c>
      <c r="AF1006" s="62" t="n">
        <v>0</v>
      </c>
    </row>
    <row r="1007" customFormat="false" ht="15" hidden="false" customHeight="false" outlineLevel="0" collapsed="false">
      <c r="A1007" s="62" t="n">
        <v>1006</v>
      </c>
      <c r="B1007" s="63" t="n">
        <v>46260.10625</v>
      </c>
      <c r="C1007" s="64" t="n">
        <v>46259</v>
      </c>
      <c r="D1007" s="62" t="s">
        <v>501</v>
      </c>
      <c r="E1007" s="62" t="s">
        <v>1382</v>
      </c>
      <c r="F1007" s="62" t="s">
        <v>1382</v>
      </c>
      <c r="G1007" s="62" t="s">
        <v>1383</v>
      </c>
      <c r="H1007" s="62" t="s">
        <v>58</v>
      </c>
      <c r="I1007" s="62" t="s">
        <v>49</v>
      </c>
      <c r="J1007" s="62" t="s">
        <v>146</v>
      </c>
      <c r="K1007" s="62" t="s">
        <v>175</v>
      </c>
      <c r="L1007" s="62" t="s">
        <v>148</v>
      </c>
      <c r="M1007" s="62" t="n">
        <v>0</v>
      </c>
      <c r="N1007" s="62" t="n">
        <v>1</v>
      </c>
      <c r="O1007" s="62" t="n">
        <v>1</v>
      </c>
      <c r="P1007" s="62" t="n">
        <v>1</v>
      </c>
      <c r="Q1007" s="62" t="n">
        <v>0</v>
      </c>
      <c r="R1007" s="62" t="n">
        <v>0</v>
      </c>
      <c r="S1007" s="62" t="n">
        <v>0</v>
      </c>
      <c r="T1007" s="62" t="n">
        <v>0</v>
      </c>
      <c r="U1007" s="62"/>
      <c r="V1007" s="62"/>
      <c r="W1007" s="62"/>
      <c r="X1007" s="62"/>
      <c r="Y1007" s="62"/>
      <c r="Z1007" s="62" t="s">
        <v>1971</v>
      </c>
      <c r="AA1007" s="62" t="s">
        <v>1972</v>
      </c>
      <c r="AB1007" s="62" t="n">
        <v>1</v>
      </c>
      <c r="AC1007" s="62" t="n">
        <v>0</v>
      </c>
      <c r="AD1007" s="62" t="n">
        <v>1</v>
      </c>
      <c r="AE1007" s="62" t="n">
        <f aca="false">IF(AND(Dashboard!$C$9="Yes",AC1007=1),0,1)</f>
        <v>1</v>
      </c>
      <c r="AF1007" s="62" t="n">
        <v>1</v>
      </c>
    </row>
    <row r="1008" customFormat="false" ht="15" hidden="false" customHeight="false" outlineLevel="0" collapsed="false">
      <c r="A1008" s="62" t="n">
        <v>1007</v>
      </c>
      <c r="B1008" s="63" t="n">
        <v>46260.1514699074</v>
      </c>
      <c r="C1008" s="64" t="n">
        <v>46259</v>
      </c>
      <c r="D1008" s="62" t="s">
        <v>501</v>
      </c>
      <c r="E1008" s="62" t="s">
        <v>1827</v>
      </c>
      <c r="F1008" s="62" t="s">
        <v>1827</v>
      </c>
      <c r="G1008" s="62" t="s">
        <v>1828</v>
      </c>
      <c r="H1008" s="62" t="s">
        <v>59</v>
      </c>
      <c r="I1008" s="62" t="s">
        <v>47</v>
      </c>
      <c r="J1008" s="62" t="s">
        <v>146</v>
      </c>
      <c r="K1008" s="62" t="s">
        <v>209</v>
      </c>
      <c r="L1008" s="62" t="s">
        <v>148</v>
      </c>
      <c r="M1008" s="62" t="n">
        <v>0</v>
      </c>
      <c r="N1008" s="62" t="n">
        <v>1</v>
      </c>
      <c r="O1008" s="62" t="n">
        <v>1</v>
      </c>
      <c r="P1008" s="62" t="n">
        <v>1</v>
      </c>
      <c r="Q1008" s="62" t="n">
        <v>0</v>
      </c>
      <c r="R1008" s="62" t="n">
        <v>0</v>
      </c>
      <c r="S1008" s="62" t="n">
        <v>0</v>
      </c>
      <c r="T1008" s="62" t="n">
        <v>0</v>
      </c>
      <c r="U1008" s="62"/>
      <c r="V1008" s="62"/>
      <c r="W1008" s="62"/>
      <c r="X1008" s="62"/>
      <c r="Y1008" s="62"/>
      <c r="Z1008" s="62" t="s">
        <v>1973</v>
      </c>
      <c r="AA1008" s="62" t="s">
        <v>1974</v>
      </c>
      <c r="AB1008" s="62" t="n">
        <v>1</v>
      </c>
      <c r="AC1008" s="62" t="n">
        <v>0</v>
      </c>
      <c r="AD1008" s="62" t="n">
        <v>1</v>
      </c>
      <c r="AE1008" s="62" t="n">
        <f aca="false">IF(AND(Dashboard!$C$9="Yes",AC1008=1),0,1)</f>
        <v>1</v>
      </c>
      <c r="AF1008" s="62" t="n">
        <v>0</v>
      </c>
    </row>
    <row r="1009" customFormat="false" ht="15" hidden="false" customHeight="false" outlineLevel="0" collapsed="false">
      <c r="A1009" s="62" t="n">
        <v>1008</v>
      </c>
      <c r="B1009" s="63" t="n">
        <v>46260.2920949074</v>
      </c>
      <c r="C1009" s="64" t="n">
        <v>46259</v>
      </c>
      <c r="D1009" s="62" t="s">
        <v>501</v>
      </c>
      <c r="E1009" s="62" t="s">
        <v>239</v>
      </c>
      <c r="F1009" s="62" t="s">
        <v>240</v>
      </c>
      <c r="G1009" s="62" t="s">
        <v>153</v>
      </c>
      <c r="H1009" s="62" t="s">
        <v>153</v>
      </c>
      <c r="I1009" s="62" t="s">
        <v>153</v>
      </c>
      <c r="J1009" s="62" t="s">
        <v>64</v>
      </c>
      <c r="K1009" s="62" t="s">
        <v>64</v>
      </c>
      <c r="L1009" s="62" t="s">
        <v>148</v>
      </c>
      <c r="M1009" s="62" t="n">
        <v>0</v>
      </c>
      <c r="N1009" s="62" t="n">
        <v>1</v>
      </c>
      <c r="O1009" s="62" t="n">
        <v>1</v>
      </c>
      <c r="P1009" s="62" t="n">
        <v>0</v>
      </c>
      <c r="Q1009" s="62" t="n">
        <v>1</v>
      </c>
      <c r="R1009" s="62" t="n">
        <v>0</v>
      </c>
      <c r="S1009" s="62" t="n">
        <v>0</v>
      </c>
      <c r="T1009" s="62" t="n">
        <v>0</v>
      </c>
      <c r="U1009" s="62"/>
      <c r="V1009" s="62"/>
      <c r="W1009" s="62"/>
      <c r="X1009" s="62"/>
      <c r="Y1009" s="62"/>
      <c r="Z1009" s="62" t="s">
        <v>1975</v>
      </c>
      <c r="AA1009" s="62" t="s">
        <v>1976</v>
      </c>
      <c r="AB1009" s="62" t="n">
        <v>1</v>
      </c>
      <c r="AC1009" s="62" t="n">
        <v>0</v>
      </c>
      <c r="AD1009" s="62" t="n">
        <v>0</v>
      </c>
      <c r="AE1009" s="62" t="n">
        <f aca="false">IF(AND(Dashboard!$C$9="Yes",AC1009=1),0,1)</f>
        <v>1</v>
      </c>
      <c r="AF1009" s="62" t="n">
        <v>0</v>
      </c>
    </row>
    <row r="1010" customFormat="false" ht="15" hidden="false" customHeight="false" outlineLevel="0" collapsed="false">
      <c r="A1010" s="62" t="n">
        <v>1009</v>
      </c>
      <c r="B1010" s="63" t="n">
        <v>46260.690150463</v>
      </c>
      <c r="C1010" s="64" t="n">
        <v>46260</v>
      </c>
      <c r="D1010" s="62" t="s">
        <v>143</v>
      </c>
      <c r="E1010" s="62" t="s">
        <v>160</v>
      </c>
      <c r="F1010" s="62" t="s">
        <v>160</v>
      </c>
      <c r="G1010" s="62" t="s">
        <v>161</v>
      </c>
      <c r="H1010" s="62" t="s">
        <v>51</v>
      </c>
      <c r="I1010" s="62" t="s">
        <v>47</v>
      </c>
      <c r="J1010" s="62" t="s">
        <v>146</v>
      </c>
      <c r="K1010" s="62" t="s">
        <v>147</v>
      </c>
      <c r="L1010" s="62" t="s">
        <v>148</v>
      </c>
      <c r="M1010" s="62" t="n">
        <v>0</v>
      </c>
      <c r="N1010" s="62" t="n">
        <v>1</v>
      </c>
      <c r="O1010" s="62" t="n">
        <v>1</v>
      </c>
      <c r="P1010" s="62" t="n">
        <v>0</v>
      </c>
      <c r="Q1010" s="62" t="n">
        <v>1</v>
      </c>
      <c r="R1010" s="62" t="n">
        <v>0</v>
      </c>
      <c r="S1010" s="62" t="n">
        <v>0</v>
      </c>
      <c r="T1010" s="62" t="n">
        <v>0</v>
      </c>
      <c r="U1010" s="62"/>
      <c r="V1010" s="62"/>
      <c r="W1010" s="62"/>
      <c r="X1010" s="62"/>
      <c r="Y1010" s="62"/>
      <c r="Z1010" s="62" t="s">
        <v>1977</v>
      </c>
      <c r="AA1010" s="62" t="s">
        <v>1978</v>
      </c>
      <c r="AB1010" s="62" t="n">
        <v>1</v>
      </c>
      <c r="AC1010" s="62" t="n">
        <v>0</v>
      </c>
      <c r="AD1010" s="62" t="n">
        <v>1</v>
      </c>
      <c r="AE1010" s="62" t="n">
        <f aca="false">IF(AND(Dashboard!$C$9="Yes",AC1010=1),0,1)</f>
        <v>1</v>
      </c>
      <c r="AF1010" s="62" t="n">
        <v>1</v>
      </c>
    </row>
    <row r="1011" customFormat="false" ht="15" hidden="false" customHeight="false" outlineLevel="0" collapsed="false">
      <c r="A1011" s="62" t="n">
        <v>1010</v>
      </c>
      <c r="B1011" s="63" t="n">
        <v>46260.7316898148</v>
      </c>
      <c r="C1011" s="64" t="n">
        <v>46260</v>
      </c>
      <c r="D1011" s="62" t="s">
        <v>143</v>
      </c>
      <c r="E1011" s="62" t="s">
        <v>586</v>
      </c>
      <c r="F1011" s="62" t="s">
        <v>586</v>
      </c>
      <c r="G1011" s="62" t="s">
        <v>587</v>
      </c>
      <c r="H1011" s="62" t="s">
        <v>57</v>
      </c>
      <c r="I1011" s="62" t="s">
        <v>47</v>
      </c>
      <c r="J1011" s="62" t="s">
        <v>146</v>
      </c>
      <c r="K1011" s="62" t="s">
        <v>175</v>
      </c>
      <c r="L1011" s="62" t="s">
        <v>4</v>
      </c>
      <c r="M1011" s="62" t="n">
        <v>1</v>
      </c>
      <c r="N1011" s="62" t="n">
        <v>0</v>
      </c>
      <c r="O1011" s="62" t="n">
        <v>1</v>
      </c>
      <c r="P1011" s="62" t="n">
        <v>0</v>
      </c>
      <c r="Q1011" s="62" t="n">
        <v>0</v>
      </c>
      <c r="R1011" s="62" t="n">
        <v>0</v>
      </c>
      <c r="S1011" s="62" t="n">
        <v>0</v>
      </c>
      <c r="T1011" s="62" t="n">
        <v>0</v>
      </c>
      <c r="U1011" s="62"/>
      <c r="V1011" s="62"/>
      <c r="W1011" s="62"/>
      <c r="X1011" s="62"/>
      <c r="Y1011" s="62"/>
      <c r="Z1011" s="62" t="s">
        <v>1979</v>
      </c>
      <c r="AA1011" s="62" t="s">
        <v>1980</v>
      </c>
      <c r="AB1011" s="62" t="n">
        <v>1</v>
      </c>
      <c r="AC1011" s="62" t="n">
        <v>0</v>
      </c>
      <c r="AD1011" s="62" t="n">
        <v>1</v>
      </c>
      <c r="AE1011" s="62" t="n">
        <f aca="false">IF(AND(Dashboard!$C$9="Yes",AC1011=1),0,1)</f>
        <v>1</v>
      </c>
      <c r="AF1011" s="62" t="n">
        <v>1</v>
      </c>
    </row>
    <row r="1012" customFormat="false" ht="15" hidden="false" customHeight="false" outlineLevel="0" collapsed="false">
      <c r="A1012" s="62" t="n">
        <v>1011</v>
      </c>
      <c r="B1012" s="63" t="n">
        <v>46260.751412037</v>
      </c>
      <c r="C1012" s="64" t="n">
        <v>46260</v>
      </c>
      <c r="D1012" s="62" t="s">
        <v>143</v>
      </c>
      <c r="E1012" s="62" t="s">
        <v>212</v>
      </c>
      <c r="F1012" s="62" t="s">
        <v>212</v>
      </c>
      <c r="G1012" s="62" t="s">
        <v>213</v>
      </c>
      <c r="H1012" s="62" t="s">
        <v>58</v>
      </c>
      <c r="I1012" s="62" t="s">
        <v>49</v>
      </c>
      <c r="J1012" s="62" t="s">
        <v>146</v>
      </c>
      <c r="K1012" s="62" t="s">
        <v>175</v>
      </c>
      <c r="L1012" s="62" t="s">
        <v>148</v>
      </c>
      <c r="M1012" s="62" t="n">
        <v>0</v>
      </c>
      <c r="N1012" s="62" t="n">
        <v>1</v>
      </c>
      <c r="O1012" s="62" t="n">
        <v>1</v>
      </c>
      <c r="P1012" s="62" t="n">
        <v>0</v>
      </c>
      <c r="Q1012" s="62" t="n">
        <v>1</v>
      </c>
      <c r="R1012" s="62" t="n">
        <v>0</v>
      </c>
      <c r="S1012" s="62" t="n">
        <v>0</v>
      </c>
      <c r="T1012" s="62" t="n">
        <v>0</v>
      </c>
      <c r="U1012" s="62"/>
      <c r="V1012" s="62"/>
      <c r="W1012" s="62"/>
      <c r="X1012" s="62"/>
      <c r="Y1012" s="62"/>
      <c r="Z1012" s="62" t="s">
        <v>1981</v>
      </c>
      <c r="AA1012" s="62" t="s">
        <v>1982</v>
      </c>
      <c r="AB1012" s="62" t="n">
        <v>1</v>
      </c>
      <c r="AC1012" s="62" t="n">
        <v>0</v>
      </c>
      <c r="AD1012" s="62" t="n">
        <v>1</v>
      </c>
      <c r="AE1012" s="62" t="n">
        <f aca="false">IF(AND(Dashboard!$C$9="Yes",AC1012=1),0,1)</f>
        <v>1</v>
      </c>
      <c r="AF1012" s="62" t="n">
        <v>1</v>
      </c>
    </row>
    <row r="1013" customFormat="false" ht="15" hidden="false" customHeight="false" outlineLevel="0" collapsed="false">
      <c r="A1013" s="62" t="n">
        <v>1012</v>
      </c>
      <c r="B1013" s="63" t="n">
        <v>46260.7522916667</v>
      </c>
      <c r="C1013" s="64" t="n">
        <v>46260</v>
      </c>
      <c r="D1013" s="62" t="s">
        <v>143</v>
      </c>
      <c r="E1013" s="62" t="s">
        <v>160</v>
      </c>
      <c r="F1013" s="62" t="s">
        <v>160</v>
      </c>
      <c r="G1013" s="62" t="s">
        <v>161</v>
      </c>
      <c r="H1013" s="62" t="s">
        <v>51</v>
      </c>
      <c r="I1013" s="62" t="s">
        <v>47</v>
      </c>
      <c r="J1013" s="62" t="s">
        <v>146</v>
      </c>
      <c r="K1013" s="62" t="s">
        <v>147</v>
      </c>
      <c r="L1013" s="62" t="s">
        <v>148</v>
      </c>
      <c r="M1013" s="62" t="n">
        <v>0</v>
      </c>
      <c r="N1013" s="62" t="n">
        <v>1</v>
      </c>
      <c r="O1013" s="62" t="n">
        <v>1</v>
      </c>
      <c r="P1013" s="62" t="n">
        <v>0</v>
      </c>
      <c r="Q1013" s="62" t="n">
        <v>1</v>
      </c>
      <c r="R1013" s="62" t="n">
        <v>0</v>
      </c>
      <c r="S1013" s="62" t="n">
        <v>0</v>
      </c>
      <c r="T1013" s="62" t="n">
        <v>0</v>
      </c>
      <c r="U1013" s="62"/>
      <c r="V1013" s="62"/>
      <c r="W1013" s="62"/>
      <c r="X1013" s="62"/>
      <c r="Y1013" s="62"/>
      <c r="Z1013" s="62" t="s">
        <v>1983</v>
      </c>
      <c r="AA1013" s="62" t="s">
        <v>1984</v>
      </c>
      <c r="AB1013" s="62" t="n">
        <v>1</v>
      </c>
      <c r="AC1013" s="62" t="n">
        <v>0</v>
      </c>
      <c r="AD1013" s="62" t="n">
        <v>1</v>
      </c>
      <c r="AE1013" s="62" t="n">
        <f aca="false">IF(AND(Dashboard!$C$9="Yes",AC1013=1),0,1)</f>
        <v>1</v>
      </c>
      <c r="AF1013" s="62" t="n">
        <v>0</v>
      </c>
    </row>
    <row r="1014" customFormat="false" ht="15" hidden="false" customHeight="false" outlineLevel="0" collapsed="false">
      <c r="A1014" s="62" t="n">
        <v>1013</v>
      </c>
      <c r="B1014" s="63" t="n">
        <v>46260.797662037</v>
      </c>
      <c r="C1014" s="64" t="n">
        <v>46260</v>
      </c>
      <c r="D1014" s="62" t="s">
        <v>143</v>
      </c>
      <c r="E1014" s="62" t="s">
        <v>1749</v>
      </c>
      <c r="F1014" s="62" t="s">
        <v>1749</v>
      </c>
      <c r="G1014" s="62" t="s">
        <v>1750</v>
      </c>
      <c r="H1014" s="62" t="s">
        <v>57</v>
      </c>
      <c r="I1014" s="62" t="s">
        <v>47</v>
      </c>
      <c r="J1014" s="62" t="s">
        <v>146</v>
      </c>
      <c r="K1014" s="62" t="s">
        <v>209</v>
      </c>
      <c r="L1014" s="62" t="s">
        <v>148</v>
      </c>
      <c r="M1014" s="62" t="n">
        <v>0</v>
      </c>
      <c r="N1014" s="62" t="n">
        <v>1</v>
      </c>
      <c r="O1014" s="62" t="n">
        <v>1</v>
      </c>
      <c r="P1014" s="62" t="n">
        <v>1</v>
      </c>
      <c r="Q1014" s="62" t="n">
        <v>0</v>
      </c>
      <c r="R1014" s="62" t="n">
        <v>0</v>
      </c>
      <c r="S1014" s="62" t="n">
        <v>0</v>
      </c>
      <c r="T1014" s="62" t="n">
        <v>0</v>
      </c>
      <c r="U1014" s="62"/>
      <c r="V1014" s="62"/>
      <c r="W1014" s="62"/>
      <c r="X1014" s="62"/>
      <c r="Y1014" s="62"/>
      <c r="Z1014" s="62" t="s">
        <v>1985</v>
      </c>
      <c r="AA1014" s="62" t="s">
        <v>1986</v>
      </c>
      <c r="AB1014" s="62" t="n">
        <v>1</v>
      </c>
      <c r="AC1014" s="62" t="n">
        <v>0</v>
      </c>
      <c r="AD1014" s="62" t="n">
        <v>1</v>
      </c>
      <c r="AE1014" s="62" t="n">
        <f aca="false">IF(AND(Dashboard!$C$9="Yes",AC1014=1),0,1)</f>
        <v>1</v>
      </c>
      <c r="AF1014" s="62" t="n">
        <v>1</v>
      </c>
    </row>
    <row r="1015" customFormat="false" ht="15" hidden="false" customHeight="false" outlineLevel="0" collapsed="false">
      <c r="A1015" s="62" t="n">
        <v>1014</v>
      </c>
      <c r="B1015" s="63" t="n">
        <v>46260.8007175926</v>
      </c>
      <c r="C1015" s="64" t="n">
        <v>46260</v>
      </c>
      <c r="D1015" s="62" t="s">
        <v>143</v>
      </c>
      <c r="E1015" s="62" t="s">
        <v>586</v>
      </c>
      <c r="F1015" s="62" t="s">
        <v>586</v>
      </c>
      <c r="G1015" s="62" t="s">
        <v>587</v>
      </c>
      <c r="H1015" s="62" t="s">
        <v>57</v>
      </c>
      <c r="I1015" s="62" t="s">
        <v>47</v>
      </c>
      <c r="J1015" s="62" t="s">
        <v>146</v>
      </c>
      <c r="K1015" s="62" t="s">
        <v>175</v>
      </c>
      <c r="L1015" s="62" t="s">
        <v>148</v>
      </c>
      <c r="M1015" s="62" t="n">
        <v>0</v>
      </c>
      <c r="N1015" s="62" t="n">
        <v>1</v>
      </c>
      <c r="O1015" s="62" t="n">
        <v>1</v>
      </c>
      <c r="P1015" s="62" t="n">
        <v>0</v>
      </c>
      <c r="Q1015" s="62" t="n">
        <v>0</v>
      </c>
      <c r="R1015" s="62" t="n">
        <v>1</v>
      </c>
      <c r="S1015" s="62" t="n">
        <v>0</v>
      </c>
      <c r="T1015" s="62" t="n">
        <v>0</v>
      </c>
      <c r="U1015" s="62"/>
      <c r="V1015" s="62"/>
      <c r="W1015" s="62"/>
      <c r="X1015" s="62"/>
      <c r="Y1015" s="62"/>
      <c r="Z1015" s="62" t="s">
        <v>1987</v>
      </c>
      <c r="AA1015" s="62" t="s">
        <v>1988</v>
      </c>
      <c r="AB1015" s="62" t="n">
        <v>1</v>
      </c>
      <c r="AC1015" s="62" t="n">
        <v>0</v>
      </c>
      <c r="AD1015" s="62" t="n">
        <v>1</v>
      </c>
      <c r="AE1015" s="62" t="n">
        <f aca="false">IF(AND(Dashboard!$C$9="Yes",AC1015=1),0,1)</f>
        <v>1</v>
      </c>
      <c r="AF1015" s="62" t="n">
        <v>0</v>
      </c>
    </row>
    <row r="1016" customFormat="false" ht="15" hidden="false" customHeight="false" outlineLevel="0" collapsed="false">
      <c r="A1016" s="62" t="n">
        <v>1015</v>
      </c>
      <c r="B1016" s="63" t="n">
        <v>46260.8059143519</v>
      </c>
      <c r="C1016" s="64" t="n">
        <v>46260</v>
      </c>
      <c r="D1016" s="62" t="s">
        <v>143</v>
      </c>
      <c r="E1016" s="62" t="s">
        <v>586</v>
      </c>
      <c r="F1016" s="62" t="s">
        <v>586</v>
      </c>
      <c r="G1016" s="62" t="s">
        <v>587</v>
      </c>
      <c r="H1016" s="62" t="s">
        <v>57</v>
      </c>
      <c r="I1016" s="62" t="s">
        <v>47</v>
      </c>
      <c r="J1016" s="62" t="s">
        <v>146</v>
      </c>
      <c r="K1016" s="62" t="s">
        <v>175</v>
      </c>
      <c r="L1016" s="62" t="s">
        <v>148</v>
      </c>
      <c r="M1016" s="62" t="n">
        <v>0</v>
      </c>
      <c r="N1016" s="62" t="n">
        <v>1</v>
      </c>
      <c r="O1016" s="62" t="n">
        <v>1</v>
      </c>
      <c r="P1016" s="62" t="n">
        <v>1</v>
      </c>
      <c r="Q1016" s="62" t="n">
        <v>0</v>
      </c>
      <c r="R1016" s="62" t="n">
        <v>0</v>
      </c>
      <c r="S1016" s="62" t="n">
        <v>0</v>
      </c>
      <c r="T1016" s="62" t="n">
        <v>0</v>
      </c>
      <c r="U1016" s="62"/>
      <c r="V1016" s="62"/>
      <c r="W1016" s="62"/>
      <c r="X1016" s="62"/>
      <c r="Y1016" s="62"/>
      <c r="Z1016" s="62" t="s">
        <v>1989</v>
      </c>
      <c r="AA1016" s="62" t="s">
        <v>1990</v>
      </c>
      <c r="AB1016" s="62" t="n">
        <v>1</v>
      </c>
      <c r="AC1016" s="62" t="n">
        <v>0</v>
      </c>
      <c r="AD1016" s="62" t="n">
        <v>1</v>
      </c>
      <c r="AE1016" s="62" t="n">
        <f aca="false">IF(AND(Dashboard!$C$9="Yes",AC1016=1),0,1)</f>
        <v>1</v>
      </c>
      <c r="AF1016" s="62" t="n">
        <v>0</v>
      </c>
    </row>
    <row r="1017" customFormat="false" ht="15" hidden="false" customHeight="false" outlineLevel="0" collapsed="false">
      <c r="A1017" s="62" t="n">
        <v>1016</v>
      </c>
      <c r="B1017" s="63" t="n">
        <v>46260.8180555556</v>
      </c>
      <c r="C1017" s="64" t="n">
        <v>46260</v>
      </c>
      <c r="D1017" s="62" t="s">
        <v>143</v>
      </c>
      <c r="E1017" s="62" t="s">
        <v>207</v>
      </c>
      <c r="F1017" s="62" t="s">
        <v>207</v>
      </c>
      <c r="G1017" s="62" t="s">
        <v>208</v>
      </c>
      <c r="H1017" s="62" t="s">
        <v>48</v>
      </c>
      <c r="I1017" s="62" t="s">
        <v>49</v>
      </c>
      <c r="J1017" s="62" t="s">
        <v>146</v>
      </c>
      <c r="K1017" s="62" t="s">
        <v>209</v>
      </c>
      <c r="L1017" s="62" t="s">
        <v>148</v>
      </c>
      <c r="M1017" s="62" t="n">
        <v>0</v>
      </c>
      <c r="N1017" s="62" t="n">
        <v>1</v>
      </c>
      <c r="O1017" s="62" t="n">
        <v>1</v>
      </c>
      <c r="P1017" s="62" t="n">
        <v>1</v>
      </c>
      <c r="Q1017" s="62" t="n">
        <v>0</v>
      </c>
      <c r="R1017" s="62" t="n">
        <v>0</v>
      </c>
      <c r="S1017" s="62" t="n">
        <v>0</v>
      </c>
      <c r="T1017" s="62" t="n">
        <v>0</v>
      </c>
      <c r="U1017" s="62"/>
      <c r="V1017" s="62"/>
      <c r="W1017" s="62"/>
      <c r="X1017" s="62"/>
      <c r="Y1017" s="62"/>
      <c r="Z1017" s="62" t="s">
        <v>1991</v>
      </c>
      <c r="AA1017" s="62" t="s">
        <v>1992</v>
      </c>
      <c r="AB1017" s="62" t="n">
        <v>1</v>
      </c>
      <c r="AC1017" s="62" t="n">
        <v>0</v>
      </c>
      <c r="AD1017" s="62" t="n">
        <v>1</v>
      </c>
      <c r="AE1017" s="62" t="n">
        <f aca="false">IF(AND(Dashboard!$C$9="Yes",AC1017=1),0,1)</f>
        <v>1</v>
      </c>
      <c r="AF1017" s="62" t="n">
        <v>1</v>
      </c>
    </row>
    <row r="1018" customFormat="false" ht="15" hidden="false" customHeight="false" outlineLevel="0" collapsed="false">
      <c r="A1018" s="62" t="n">
        <v>1017</v>
      </c>
      <c r="B1018" s="63" t="n">
        <v>46260.8917939815</v>
      </c>
      <c r="C1018" s="64" t="n">
        <v>46260</v>
      </c>
      <c r="D1018" s="62" t="s">
        <v>143</v>
      </c>
      <c r="E1018" s="62" t="s">
        <v>586</v>
      </c>
      <c r="F1018" s="62" t="s">
        <v>586</v>
      </c>
      <c r="G1018" s="62" t="s">
        <v>587</v>
      </c>
      <c r="H1018" s="62" t="s">
        <v>57</v>
      </c>
      <c r="I1018" s="62" t="s">
        <v>47</v>
      </c>
      <c r="J1018" s="62" t="s">
        <v>146</v>
      </c>
      <c r="K1018" s="62" t="s">
        <v>175</v>
      </c>
      <c r="L1018" s="62" t="s">
        <v>148</v>
      </c>
      <c r="M1018" s="62" t="n">
        <v>0</v>
      </c>
      <c r="N1018" s="62" t="n">
        <v>1</v>
      </c>
      <c r="O1018" s="62" t="n">
        <v>1</v>
      </c>
      <c r="P1018" s="62" t="n">
        <v>1</v>
      </c>
      <c r="Q1018" s="62" t="n">
        <v>0</v>
      </c>
      <c r="R1018" s="62" t="n">
        <v>0</v>
      </c>
      <c r="S1018" s="62" t="n">
        <v>0</v>
      </c>
      <c r="T1018" s="62" t="n">
        <v>0</v>
      </c>
      <c r="U1018" s="62"/>
      <c r="V1018" s="62"/>
      <c r="W1018" s="62"/>
      <c r="X1018" s="62"/>
      <c r="Y1018" s="62"/>
      <c r="Z1018" s="62" t="s">
        <v>1993</v>
      </c>
      <c r="AA1018" s="62" t="s">
        <v>1994</v>
      </c>
      <c r="AB1018" s="62" t="n">
        <v>1</v>
      </c>
      <c r="AC1018" s="62" t="n">
        <v>0</v>
      </c>
      <c r="AD1018" s="62" t="n">
        <v>1</v>
      </c>
      <c r="AE1018" s="62" t="n">
        <f aca="false">IF(AND(Dashboard!$C$9="Yes",AC1018=1),0,1)</f>
        <v>1</v>
      </c>
      <c r="AF1018" s="62" t="n">
        <v>0</v>
      </c>
    </row>
    <row r="1019" customFormat="false" ht="15" hidden="false" customHeight="false" outlineLevel="0" collapsed="false">
      <c r="A1019" s="62" t="n">
        <v>1018</v>
      </c>
      <c r="B1019" s="63" t="n">
        <v>46260.9030555556</v>
      </c>
      <c r="C1019" s="64" t="n">
        <v>46260</v>
      </c>
      <c r="D1019" s="62" t="s">
        <v>143</v>
      </c>
      <c r="E1019" s="62" t="s">
        <v>1995</v>
      </c>
      <c r="F1019" s="62" t="s">
        <v>1749</v>
      </c>
      <c r="G1019" s="62" t="s">
        <v>1750</v>
      </c>
      <c r="H1019" s="62" t="s">
        <v>57</v>
      </c>
      <c r="I1019" s="62" t="s">
        <v>47</v>
      </c>
      <c r="J1019" s="62" t="s">
        <v>146</v>
      </c>
      <c r="K1019" s="62" t="s">
        <v>209</v>
      </c>
      <c r="L1019" s="62" t="s">
        <v>148</v>
      </c>
      <c r="M1019" s="62" t="n">
        <v>0</v>
      </c>
      <c r="N1019" s="62" t="n">
        <v>1</v>
      </c>
      <c r="O1019" s="62" t="n">
        <v>1</v>
      </c>
      <c r="P1019" s="62" t="n">
        <v>0</v>
      </c>
      <c r="Q1019" s="62" t="n">
        <v>1</v>
      </c>
      <c r="R1019" s="62" t="n">
        <v>0</v>
      </c>
      <c r="S1019" s="62" t="n">
        <v>0</v>
      </c>
      <c r="T1019" s="62" t="n">
        <v>0</v>
      </c>
      <c r="U1019" s="62"/>
      <c r="V1019" s="62"/>
      <c r="W1019" s="62"/>
      <c r="X1019" s="62"/>
      <c r="Y1019" s="62"/>
      <c r="Z1019" s="62" t="s">
        <v>1996</v>
      </c>
      <c r="AA1019" s="62" t="s">
        <v>1997</v>
      </c>
      <c r="AB1019" s="62" t="n">
        <v>1</v>
      </c>
      <c r="AC1019" s="62" t="n">
        <v>0</v>
      </c>
      <c r="AD1019" s="62" t="n">
        <v>1</v>
      </c>
      <c r="AE1019" s="62" t="n">
        <f aca="false">IF(AND(Dashboard!$C$9="Yes",AC1019=1),0,1)</f>
        <v>1</v>
      </c>
      <c r="AF1019" s="62" t="n">
        <v>0</v>
      </c>
    </row>
    <row r="1020" customFormat="false" ht="15" hidden="false" customHeight="false" outlineLevel="0" collapsed="false">
      <c r="A1020" s="62" t="n">
        <v>1019</v>
      </c>
      <c r="B1020" s="63" t="n">
        <v>46260.9191550926</v>
      </c>
      <c r="C1020" s="64" t="n">
        <v>46260</v>
      </c>
      <c r="D1020" s="62" t="s">
        <v>143</v>
      </c>
      <c r="E1020" s="62" t="s">
        <v>1749</v>
      </c>
      <c r="F1020" s="62" t="s">
        <v>1749</v>
      </c>
      <c r="G1020" s="62" t="s">
        <v>1750</v>
      </c>
      <c r="H1020" s="62" t="s">
        <v>57</v>
      </c>
      <c r="I1020" s="62" t="s">
        <v>47</v>
      </c>
      <c r="J1020" s="62" t="s">
        <v>146</v>
      </c>
      <c r="K1020" s="62" t="s">
        <v>209</v>
      </c>
      <c r="L1020" s="62" t="s">
        <v>148</v>
      </c>
      <c r="M1020" s="62" t="n">
        <v>0</v>
      </c>
      <c r="N1020" s="62" t="n">
        <v>1</v>
      </c>
      <c r="O1020" s="62" t="n">
        <v>1</v>
      </c>
      <c r="P1020" s="62" t="n">
        <v>0</v>
      </c>
      <c r="Q1020" s="62" t="n">
        <v>1</v>
      </c>
      <c r="R1020" s="62" t="n">
        <v>0</v>
      </c>
      <c r="S1020" s="62" t="n">
        <v>0</v>
      </c>
      <c r="T1020" s="62" t="n">
        <v>0</v>
      </c>
      <c r="U1020" s="62"/>
      <c r="V1020" s="62"/>
      <c r="W1020" s="62"/>
      <c r="X1020" s="62"/>
      <c r="Y1020" s="62"/>
      <c r="Z1020" s="62" t="s">
        <v>1998</v>
      </c>
      <c r="AA1020" s="62" t="s">
        <v>1999</v>
      </c>
      <c r="AB1020" s="62" t="n">
        <v>1</v>
      </c>
      <c r="AC1020" s="62" t="n">
        <v>0</v>
      </c>
      <c r="AD1020" s="62" t="n">
        <v>1</v>
      </c>
      <c r="AE1020" s="62" t="n">
        <f aca="false">IF(AND(Dashboard!$C$9="Yes",AC1020=1),0,1)</f>
        <v>1</v>
      </c>
      <c r="AF1020" s="62" t="n">
        <v>0</v>
      </c>
    </row>
    <row r="1021" customFormat="false" ht="15" hidden="false" customHeight="false" outlineLevel="0" collapsed="false">
      <c r="A1021" s="62" t="n">
        <v>1020</v>
      </c>
      <c r="B1021" s="63" t="n">
        <v>46260.9193981482</v>
      </c>
      <c r="C1021" s="64" t="n">
        <v>46260</v>
      </c>
      <c r="D1021" s="62" t="s">
        <v>143</v>
      </c>
      <c r="E1021" s="62" t="s">
        <v>1749</v>
      </c>
      <c r="F1021" s="62" t="s">
        <v>1749</v>
      </c>
      <c r="G1021" s="62" t="s">
        <v>1750</v>
      </c>
      <c r="H1021" s="62" t="s">
        <v>57</v>
      </c>
      <c r="I1021" s="62" t="s">
        <v>47</v>
      </c>
      <c r="J1021" s="62" t="s">
        <v>146</v>
      </c>
      <c r="K1021" s="62" t="s">
        <v>209</v>
      </c>
      <c r="L1021" s="62" t="s">
        <v>148</v>
      </c>
      <c r="M1021" s="62" t="n">
        <v>0</v>
      </c>
      <c r="N1021" s="62" t="n">
        <v>1</v>
      </c>
      <c r="O1021" s="62" t="n">
        <v>1</v>
      </c>
      <c r="P1021" s="62" t="n">
        <v>1</v>
      </c>
      <c r="Q1021" s="62" t="n">
        <v>0</v>
      </c>
      <c r="R1021" s="62" t="n">
        <v>0</v>
      </c>
      <c r="S1021" s="62" t="n">
        <v>0</v>
      </c>
      <c r="T1021" s="62" t="n">
        <v>0</v>
      </c>
      <c r="U1021" s="62"/>
      <c r="V1021" s="62"/>
      <c r="W1021" s="62"/>
      <c r="X1021" s="62"/>
      <c r="Y1021" s="62"/>
      <c r="Z1021" s="62" t="s">
        <v>1998</v>
      </c>
      <c r="AA1021" s="62" t="s">
        <v>1999</v>
      </c>
      <c r="AB1021" s="62" t="n">
        <v>1</v>
      </c>
      <c r="AC1021" s="62" t="n">
        <v>1</v>
      </c>
      <c r="AD1021" s="62" t="n">
        <v>1</v>
      </c>
      <c r="AE1021" s="62" t="n">
        <f aca="false">IF(AND(Dashboard!$C$9="Yes",AC1021=1),0,1)</f>
        <v>0</v>
      </c>
      <c r="AF1021" s="62" t="n">
        <v>0</v>
      </c>
    </row>
    <row r="1022" customFormat="false" ht="15" hidden="false" customHeight="false" outlineLevel="0" collapsed="false">
      <c r="A1022" s="62" t="n">
        <v>1021</v>
      </c>
      <c r="B1022" s="63" t="n">
        <v>46260.9341666667</v>
      </c>
      <c r="C1022" s="64" t="n">
        <v>46260</v>
      </c>
      <c r="D1022" s="62" t="s">
        <v>143</v>
      </c>
      <c r="E1022" s="62" t="s">
        <v>1155</v>
      </c>
      <c r="F1022" s="62" t="s">
        <v>1155</v>
      </c>
      <c r="G1022" s="62" t="s">
        <v>1156</v>
      </c>
      <c r="H1022" s="62" t="s">
        <v>59</v>
      </c>
      <c r="I1022" s="62" t="s">
        <v>47</v>
      </c>
      <c r="J1022" s="62" t="s">
        <v>146</v>
      </c>
      <c r="K1022" s="62" t="s">
        <v>209</v>
      </c>
      <c r="L1022" s="62" t="s">
        <v>148</v>
      </c>
      <c r="M1022" s="62" t="n">
        <v>0</v>
      </c>
      <c r="N1022" s="62" t="n">
        <v>1</v>
      </c>
      <c r="O1022" s="62" t="n">
        <v>1</v>
      </c>
      <c r="P1022" s="62" t="n">
        <v>0</v>
      </c>
      <c r="Q1022" s="62" t="n">
        <v>0</v>
      </c>
      <c r="R1022" s="62" t="n">
        <v>1</v>
      </c>
      <c r="S1022" s="62" t="n">
        <v>0</v>
      </c>
      <c r="T1022" s="62" t="n">
        <v>0</v>
      </c>
      <c r="U1022" s="62"/>
      <c r="V1022" s="62"/>
      <c r="W1022" s="62"/>
      <c r="X1022" s="62"/>
      <c r="Y1022" s="62"/>
      <c r="Z1022" s="62" t="s">
        <v>2000</v>
      </c>
      <c r="AA1022" s="62" t="s">
        <v>2001</v>
      </c>
      <c r="AB1022" s="62" t="n">
        <v>1</v>
      </c>
      <c r="AC1022" s="62" t="n">
        <v>0</v>
      </c>
      <c r="AD1022" s="62" t="n">
        <v>1</v>
      </c>
      <c r="AE1022" s="62" t="n">
        <f aca="false">IF(AND(Dashboard!$C$9="Yes",AC1022=1),0,1)</f>
        <v>1</v>
      </c>
      <c r="AF1022" s="62" t="n">
        <v>1</v>
      </c>
    </row>
    <row r="1023" customFormat="false" ht="15" hidden="false" customHeight="false" outlineLevel="0" collapsed="false">
      <c r="A1023" s="62" t="n">
        <v>1022</v>
      </c>
      <c r="B1023" s="63" t="n">
        <v>46260.9472685185</v>
      </c>
      <c r="C1023" s="64" t="n">
        <v>46260</v>
      </c>
      <c r="D1023" s="62" t="s">
        <v>143</v>
      </c>
      <c r="E1023" s="62" t="s">
        <v>939</v>
      </c>
      <c r="F1023" s="62" t="s">
        <v>939</v>
      </c>
      <c r="G1023" s="62" t="s">
        <v>940</v>
      </c>
      <c r="H1023" s="62" t="s">
        <v>57</v>
      </c>
      <c r="I1023" s="62" t="s">
        <v>47</v>
      </c>
      <c r="J1023" s="62" t="s">
        <v>146</v>
      </c>
      <c r="K1023" s="62" t="s">
        <v>147</v>
      </c>
      <c r="L1023" s="62" t="s">
        <v>148</v>
      </c>
      <c r="M1023" s="62" t="n">
        <v>0</v>
      </c>
      <c r="N1023" s="62" t="n">
        <v>2</v>
      </c>
      <c r="O1023" s="62" t="n">
        <v>2</v>
      </c>
      <c r="P1023" s="62" t="n">
        <v>1</v>
      </c>
      <c r="Q1023" s="62" t="n">
        <v>1</v>
      </c>
      <c r="R1023" s="62" t="n">
        <v>0</v>
      </c>
      <c r="S1023" s="62" t="n">
        <v>0</v>
      </c>
      <c r="T1023" s="62" t="n">
        <v>0</v>
      </c>
      <c r="U1023" s="62"/>
      <c r="V1023" s="62"/>
      <c r="W1023" s="62"/>
      <c r="X1023" s="62"/>
      <c r="Y1023" s="62"/>
      <c r="Z1023" s="62" t="s">
        <v>2002</v>
      </c>
      <c r="AA1023" s="62" t="s">
        <v>2003</v>
      </c>
      <c r="AB1023" s="62" t="n">
        <v>1</v>
      </c>
      <c r="AC1023" s="62" t="n">
        <v>0</v>
      </c>
      <c r="AD1023" s="62" t="n">
        <v>1</v>
      </c>
      <c r="AE1023" s="62" t="n">
        <f aca="false">IF(AND(Dashboard!$C$9="Yes",AC1023=1),0,1)</f>
        <v>1</v>
      </c>
      <c r="AF1023" s="62" t="n">
        <v>1</v>
      </c>
    </row>
    <row r="1024" customFormat="false" ht="15" hidden="false" customHeight="false" outlineLevel="0" collapsed="false">
      <c r="A1024" s="62" t="n">
        <v>1023</v>
      </c>
      <c r="B1024" s="63" t="n">
        <v>46260.954525463</v>
      </c>
      <c r="C1024" s="64" t="n">
        <v>46260</v>
      </c>
      <c r="D1024" s="62" t="s">
        <v>143</v>
      </c>
      <c r="E1024" s="62" t="s">
        <v>239</v>
      </c>
      <c r="F1024" s="62" t="s">
        <v>240</v>
      </c>
      <c r="G1024" s="62" t="s">
        <v>153</v>
      </c>
      <c r="H1024" s="62" t="s">
        <v>153</v>
      </c>
      <c r="I1024" s="62" t="s">
        <v>153</v>
      </c>
      <c r="J1024" s="62" t="s">
        <v>64</v>
      </c>
      <c r="K1024" s="62" t="s">
        <v>64</v>
      </c>
      <c r="L1024" s="62" t="s">
        <v>148</v>
      </c>
      <c r="M1024" s="62" t="n">
        <v>0</v>
      </c>
      <c r="N1024" s="62" t="n">
        <v>1</v>
      </c>
      <c r="O1024" s="62" t="n">
        <v>1</v>
      </c>
      <c r="P1024" s="62" t="n">
        <v>1</v>
      </c>
      <c r="Q1024" s="62" t="n">
        <v>0</v>
      </c>
      <c r="R1024" s="62" t="n">
        <v>0</v>
      </c>
      <c r="S1024" s="62" t="n">
        <v>0</v>
      </c>
      <c r="T1024" s="62" t="n">
        <v>0</v>
      </c>
      <c r="U1024" s="62"/>
      <c r="V1024" s="62"/>
      <c r="W1024" s="62"/>
      <c r="X1024" s="62"/>
      <c r="Y1024" s="62"/>
      <c r="Z1024" s="62" t="s">
        <v>2004</v>
      </c>
      <c r="AA1024" s="62" t="s">
        <v>2005</v>
      </c>
      <c r="AB1024" s="62" t="n">
        <v>1</v>
      </c>
      <c r="AC1024" s="62" t="n">
        <v>0</v>
      </c>
      <c r="AD1024" s="62" t="n">
        <v>0</v>
      </c>
      <c r="AE1024" s="62" t="n">
        <f aca="false">IF(AND(Dashboard!$C$9="Yes",AC1024=1),0,1)</f>
        <v>1</v>
      </c>
      <c r="AF1024" s="62" t="n">
        <v>1</v>
      </c>
    </row>
    <row r="1025" customFormat="false" ht="15" hidden="false" customHeight="false" outlineLevel="0" collapsed="false">
      <c r="A1025" s="62" t="n">
        <v>1024</v>
      </c>
      <c r="B1025" s="63" t="n">
        <v>46260.9751273148</v>
      </c>
      <c r="C1025" s="64" t="n">
        <v>46260</v>
      </c>
      <c r="D1025" s="62" t="s">
        <v>143</v>
      </c>
      <c r="E1025" s="62" t="s">
        <v>212</v>
      </c>
      <c r="F1025" s="62" t="s">
        <v>212</v>
      </c>
      <c r="G1025" s="62" t="s">
        <v>213</v>
      </c>
      <c r="H1025" s="62" t="s">
        <v>58</v>
      </c>
      <c r="I1025" s="62" t="s">
        <v>49</v>
      </c>
      <c r="J1025" s="62" t="s">
        <v>146</v>
      </c>
      <c r="K1025" s="62" t="s">
        <v>175</v>
      </c>
      <c r="L1025" s="62" t="s">
        <v>148</v>
      </c>
      <c r="M1025" s="62" t="n">
        <v>0</v>
      </c>
      <c r="N1025" s="62" t="n">
        <v>2</v>
      </c>
      <c r="O1025" s="62" t="n">
        <v>2</v>
      </c>
      <c r="P1025" s="62" t="n">
        <v>1</v>
      </c>
      <c r="Q1025" s="62" t="n">
        <v>1</v>
      </c>
      <c r="R1025" s="62" t="n">
        <v>0</v>
      </c>
      <c r="S1025" s="62" t="n">
        <v>0</v>
      </c>
      <c r="T1025" s="62" t="n">
        <v>0</v>
      </c>
      <c r="U1025" s="62"/>
      <c r="V1025" s="62"/>
      <c r="W1025" s="62"/>
      <c r="X1025" s="62"/>
      <c r="Y1025" s="62"/>
      <c r="Z1025" s="62" t="s">
        <v>2006</v>
      </c>
      <c r="AA1025" s="62" t="s">
        <v>2007</v>
      </c>
      <c r="AB1025" s="62" t="n">
        <v>1</v>
      </c>
      <c r="AC1025" s="62" t="n">
        <v>0</v>
      </c>
      <c r="AD1025" s="62" t="n">
        <v>1</v>
      </c>
      <c r="AE1025" s="62" t="n">
        <f aca="false">IF(AND(Dashboard!$C$9="Yes",AC1025=1),0,1)</f>
        <v>1</v>
      </c>
      <c r="AF1025" s="62" t="n">
        <v>0</v>
      </c>
    </row>
    <row r="1026" customFormat="false" ht="15" hidden="false" customHeight="false" outlineLevel="0" collapsed="false">
      <c r="A1026" s="62" t="n">
        <v>1025</v>
      </c>
      <c r="B1026" s="63" t="n">
        <v>46260.9910185185</v>
      </c>
      <c r="C1026" s="64" t="n">
        <v>46260</v>
      </c>
      <c r="D1026" s="62" t="s">
        <v>143</v>
      </c>
      <c r="E1026" s="62" t="s">
        <v>207</v>
      </c>
      <c r="F1026" s="62" t="s">
        <v>207</v>
      </c>
      <c r="G1026" s="62" t="s">
        <v>208</v>
      </c>
      <c r="H1026" s="62" t="s">
        <v>48</v>
      </c>
      <c r="I1026" s="62" t="s">
        <v>49</v>
      </c>
      <c r="J1026" s="62" t="s">
        <v>146</v>
      </c>
      <c r="K1026" s="62" t="s">
        <v>209</v>
      </c>
      <c r="L1026" s="62" t="s">
        <v>148</v>
      </c>
      <c r="M1026" s="62" t="n">
        <v>0</v>
      </c>
      <c r="N1026" s="62" t="n">
        <v>1</v>
      </c>
      <c r="O1026" s="62" t="n">
        <v>1</v>
      </c>
      <c r="P1026" s="62" t="n">
        <v>1</v>
      </c>
      <c r="Q1026" s="62" t="n">
        <v>0</v>
      </c>
      <c r="R1026" s="62" t="n">
        <v>0</v>
      </c>
      <c r="S1026" s="62" t="n">
        <v>0</v>
      </c>
      <c r="T1026" s="62" t="n">
        <v>0</v>
      </c>
      <c r="U1026" s="62"/>
      <c r="V1026" s="62"/>
      <c r="W1026" s="62"/>
      <c r="X1026" s="62"/>
      <c r="Y1026" s="62"/>
      <c r="Z1026" s="62" t="s">
        <v>2008</v>
      </c>
      <c r="AA1026" s="62" t="s">
        <v>2009</v>
      </c>
      <c r="AB1026" s="62" t="n">
        <v>1</v>
      </c>
      <c r="AC1026" s="62" t="n">
        <v>0</v>
      </c>
      <c r="AD1026" s="62" t="n">
        <v>1</v>
      </c>
      <c r="AE1026" s="62" t="n">
        <f aca="false">IF(AND(Dashboard!$C$9="Yes",AC1026=1),0,1)</f>
        <v>1</v>
      </c>
      <c r="AF1026" s="62" t="n">
        <v>0</v>
      </c>
    </row>
    <row r="1027" customFormat="false" ht="15" hidden="false" customHeight="false" outlineLevel="0" collapsed="false">
      <c r="A1027" s="62" t="n">
        <v>1026</v>
      </c>
      <c r="B1027" s="63" t="n">
        <v>46260.994375</v>
      </c>
      <c r="C1027" s="64" t="n">
        <v>46260</v>
      </c>
      <c r="D1027" s="62" t="s">
        <v>143</v>
      </c>
      <c r="E1027" s="62" t="s">
        <v>865</v>
      </c>
      <c r="F1027" s="62" t="s">
        <v>865</v>
      </c>
      <c r="G1027" s="62" t="s">
        <v>866</v>
      </c>
      <c r="H1027" s="62" t="s">
        <v>46</v>
      </c>
      <c r="I1027" s="62" t="s">
        <v>47</v>
      </c>
      <c r="J1027" s="62" t="s">
        <v>146</v>
      </c>
      <c r="K1027" s="62" t="s">
        <v>209</v>
      </c>
      <c r="L1027" s="62" t="s">
        <v>4</v>
      </c>
      <c r="M1027" s="62" t="n">
        <v>1</v>
      </c>
      <c r="N1027" s="62" t="n">
        <v>0</v>
      </c>
      <c r="O1027" s="62" t="n">
        <v>1</v>
      </c>
      <c r="P1027" s="62" t="n">
        <v>0</v>
      </c>
      <c r="Q1027" s="62" t="n">
        <v>0</v>
      </c>
      <c r="R1027" s="62" t="n">
        <v>0</v>
      </c>
      <c r="S1027" s="62" t="n">
        <v>0</v>
      </c>
      <c r="T1027" s="62" t="n">
        <v>0</v>
      </c>
      <c r="U1027" s="62"/>
      <c r="V1027" s="62"/>
      <c r="W1027" s="62"/>
      <c r="X1027" s="62"/>
      <c r="Y1027" s="62"/>
      <c r="Z1027" s="62" t="s">
        <v>2010</v>
      </c>
      <c r="AA1027" s="62" t="s">
        <v>2011</v>
      </c>
      <c r="AB1027" s="62" t="n">
        <v>1</v>
      </c>
      <c r="AC1027" s="62" t="n">
        <v>0</v>
      </c>
      <c r="AD1027" s="62" t="n">
        <v>1</v>
      </c>
      <c r="AE1027" s="62" t="n">
        <f aca="false">IF(AND(Dashboard!$C$9="Yes",AC1027=1),0,1)</f>
        <v>1</v>
      </c>
      <c r="AF1027" s="62" t="n">
        <v>1</v>
      </c>
    </row>
    <row r="1028" customFormat="false" ht="15" hidden="false" customHeight="false" outlineLevel="0" collapsed="false">
      <c r="A1028" s="62" t="n">
        <v>1027</v>
      </c>
      <c r="B1028" s="63" t="n">
        <v>46261.059224537</v>
      </c>
      <c r="C1028" s="64" t="n">
        <v>46260</v>
      </c>
      <c r="D1028" s="62" t="s">
        <v>143</v>
      </c>
      <c r="E1028" s="62" t="s">
        <v>1224</v>
      </c>
      <c r="F1028" s="62" t="s">
        <v>1225</v>
      </c>
      <c r="G1028" s="62" t="s">
        <v>153</v>
      </c>
      <c r="H1028" s="62" t="s">
        <v>153</v>
      </c>
      <c r="I1028" s="62" t="s">
        <v>153</v>
      </c>
      <c r="J1028" s="62" t="s">
        <v>64</v>
      </c>
      <c r="K1028" s="62" t="s">
        <v>64</v>
      </c>
      <c r="L1028" s="62" t="s">
        <v>4</v>
      </c>
      <c r="M1028" s="62" t="n">
        <v>1</v>
      </c>
      <c r="N1028" s="62" t="n">
        <v>0</v>
      </c>
      <c r="O1028" s="62" t="n">
        <v>1</v>
      </c>
      <c r="P1028" s="62" t="n">
        <v>0</v>
      </c>
      <c r="Q1028" s="62" t="n">
        <v>0</v>
      </c>
      <c r="R1028" s="62" t="n">
        <v>0</v>
      </c>
      <c r="S1028" s="62" t="n">
        <v>0</v>
      </c>
      <c r="T1028" s="62" t="n">
        <v>0</v>
      </c>
      <c r="U1028" s="62"/>
      <c r="V1028" s="62"/>
      <c r="W1028" s="62"/>
      <c r="X1028" s="62"/>
      <c r="Y1028" s="62"/>
      <c r="Z1028" s="62" t="s">
        <v>2012</v>
      </c>
      <c r="AA1028" s="62" t="s">
        <v>2013</v>
      </c>
      <c r="AB1028" s="62" t="n">
        <v>1</v>
      </c>
      <c r="AC1028" s="62" t="n">
        <v>0</v>
      </c>
      <c r="AD1028" s="62" t="n">
        <v>0</v>
      </c>
      <c r="AE1028" s="62" t="n">
        <f aca="false">IF(AND(Dashboard!$C$9="Yes",AC1028=1),0,1)</f>
        <v>1</v>
      </c>
      <c r="AF1028" s="62" t="n">
        <v>1</v>
      </c>
    </row>
    <row r="1029" customFormat="false" ht="15" hidden="false" customHeight="false" outlineLevel="0" collapsed="false">
      <c r="A1029" s="62" t="n">
        <v>1028</v>
      </c>
      <c r="B1029" s="63" t="n">
        <v>46261.0847685185</v>
      </c>
      <c r="C1029" s="64" t="n">
        <v>46260</v>
      </c>
      <c r="D1029" s="62" t="s">
        <v>143</v>
      </c>
      <c r="E1029" s="62" t="s">
        <v>1749</v>
      </c>
      <c r="F1029" s="62" t="s">
        <v>1749</v>
      </c>
      <c r="G1029" s="62" t="s">
        <v>1750</v>
      </c>
      <c r="H1029" s="62" t="s">
        <v>57</v>
      </c>
      <c r="I1029" s="62" t="s">
        <v>47</v>
      </c>
      <c r="J1029" s="62" t="s">
        <v>146</v>
      </c>
      <c r="K1029" s="62" t="s">
        <v>209</v>
      </c>
      <c r="L1029" s="62" t="s">
        <v>4</v>
      </c>
      <c r="M1029" s="62" t="n">
        <v>1</v>
      </c>
      <c r="N1029" s="62" t="n">
        <v>0</v>
      </c>
      <c r="O1029" s="62" t="n">
        <v>1</v>
      </c>
      <c r="P1029" s="62" t="n">
        <v>0</v>
      </c>
      <c r="Q1029" s="62" t="n">
        <v>0</v>
      </c>
      <c r="R1029" s="62" t="n">
        <v>0</v>
      </c>
      <c r="S1029" s="62" t="n">
        <v>0</v>
      </c>
      <c r="T1029" s="62" t="n">
        <v>0</v>
      </c>
      <c r="U1029" s="62"/>
      <c r="V1029" s="62"/>
      <c r="W1029" s="62"/>
      <c r="X1029" s="62"/>
      <c r="Y1029" s="62"/>
      <c r="Z1029" s="62" t="s">
        <v>2014</v>
      </c>
      <c r="AA1029" s="62" t="s">
        <v>2015</v>
      </c>
      <c r="AB1029" s="62" t="n">
        <v>1</v>
      </c>
      <c r="AC1029" s="62" t="n">
        <v>0</v>
      </c>
      <c r="AD1029" s="62" t="n">
        <v>1</v>
      </c>
      <c r="AE1029" s="62" t="n">
        <f aca="false">IF(AND(Dashboard!$C$9="Yes",AC1029=1),0,1)</f>
        <v>1</v>
      </c>
      <c r="AF1029" s="62" t="n">
        <v>0</v>
      </c>
    </row>
    <row r="1030" customFormat="false" ht="15" hidden="false" customHeight="false" outlineLevel="0" collapsed="false">
      <c r="A1030" s="62" t="n">
        <v>1029</v>
      </c>
      <c r="B1030" s="63" t="n">
        <v>46261.1541203704</v>
      </c>
      <c r="C1030" s="64" t="n">
        <v>46260</v>
      </c>
      <c r="D1030" s="62" t="s">
        <v>143</v>
      </c>
      <c r="E1030" s="62" t="s">
        <v>239</v>
      </c>
      <c r="F1030" s="62" t="s">
        <v>240</v>
      </c>
      <c r="G1030" s="62" t="s">
        <v>153</v>
      </c>
      <c r="H1030" s="62" t="s">
        <v>153</v>
      </c>
      <c r="I1030" s="62" t="s">
        <v>153</v>
      </c>
      <c r="J1030" s="62" t="s">
        <v>64</v>
      </c>
      <c r="K1030" s="62" t="s">
        <v>64</v>
      </c>
      <c r="L1030" s="62" t="s">
        <v>148</v>
      </c>
      <c r="M1030" s="62" t="n">
        <v>0</v>
      </c>
      <c r="N1030" s="62" t="n">
        <v>1</v>
      </c>
      <c r="O1030" s="62" t="n">
        <v>1</v>
      </c>
      <c r="P1030" s="62" t="n">
        <v>1</v>
      </c>
      <c r="Q1030" s="62" t="n">
        <v>0</v>
      </c>
      <c r="R1030" s="62" t="n">
        <v>0</v>
      </c>
      <c r="S1030" s="62" t="n">
        <v>0</v>
      </c>
      <c r="T1030" s="62" t="n">
        <v>0</v>
      </c>
      <c r="U1030" s="62"/>
      <c r="V1030" s="62"/>
      <c r="W1030" s="62"/>
      <c r="X1030" s="62"/>
      <c r="Y1030" s="62"/>
      <c r="Z1030" s="62" t="s">
        <v>2016</v>
      </c>
      <c r="AA1030" s="62" t="s">
        <v>2017</v>
      </c>
      <c r="AB1030" s="62" t="n">
        <v>1</v>
      </c>
      <c r="AC1030" s="62" t="n">
        <v>0</v>
      </c>
      <c r="AD1030" s="62" t="n">
        <v>0</v>
      </c>
      <c r="AE1030" s="62" t="n">
        <f aca="false">IF(AND(Dashboard!$C$9="Yes",AC1030=1),0,1)</f>
        <v>1</v>
      </c>
      <c r="AF1030" s="62" t="n">
        <v>0</v>
      </c>
    </row>
    <row r="1031" customFormat="false" ht="15" hidden="false" customHeight="false" outlineLevel="0" collapsed="false">
      <c r="A1031" s="62" t="n">
        <v>1030</v>
      </c>
      <c r="B1031" s="63" t="n">
        <v>46261.1546064815</v>
      </c>
      <c r="C1031" s="64" t="n">
        <v>46260</v>
      </c>
      <c r="D1031" s="62" t="s">
        <v>143</v>
      </c>
      <c r="E1031" s="62" t="s">
        <v>218</v>
      </c>
      <c r="F1031" s="62" t="s">
        <v>218</v>
      </c>
      <c r="G1031" s="62" t="s">
        <v>219</v>
      </c>
      <c r="H1031" s="62" t="s">
        <v>51</v>
      </c>
      <c r="I1031" s="62" t="s">
        <v>47</v>
      </c>
      <c r="J1031" s="62" t="s">
        <v>146</v>
      </c>
      <c r="K1031" s="62" t="s">
        <v>147</v>
      </c>
      <c r="L1031" s="62" t="s">
        <v>148</v>
      </c>
      <c r="M1031" s="62" t="n">
        <v>0</v>
      </c>
      <c r="N1031" s="62" t="n">
        <v>1</v>
      </c>
      <c r="O1031" s="62" t="n">
        <v>1</v>
      </c>
      <c r="P1031" s="62" t="n">
        <v>1</v>
      </c>
      <c r="Q1031" s="62" t="n">
        <v>0</v>
      </c>
      <c r="R1031" s="62" t="n">
        <v>0</v>
      </c>
      <c r="S1031" s="62" t="n">
        <v>0</v>
      </c>
      <c r="T1031" s="62" t="n">
        <v>0</v>
      </c>
      <c r="U1031" s="62"/>
      <c r="V1031" s="62"/>
      <c r="W1031" s="62"/>
      <c r="X1031" s="62"/>
      <c r="Y1031" s="62"/>
      <c r="Z1031" s="62" t="s">
        <v>2018</v>
      </c>
      <c r="AA1031" s="62" t="s">
        <v>2019</v>
      </c>
      <c r="AB1031" s="62" t="n">
        <v>1</v>
      </c>
      <c r="AC1031" s="62" t="n">
        <v>0</v>
      </c>
      <c r="AD1031" s="62" t="n">
        <v>1</v>
      </c>
      <c r="AE1031" s="62" t="n">
        <f aca="false">IF(AND(Dashboard!$C$9="Yes",AC1031=1),0,1)</f>
        <v>1</v>
      </c>
      <c r="AF1031" s="62" t="n">
        <v>1</v>
      </c>
    </row>
    <row r="1032" customFormat="false" ht="15" hidden="false" customHeight="false" outlineLevel="0" collapsed="false">
      <c r="A1032" s="62" t="n">
        <v>1031</v>
      </c>
      <c r="B1032" s="63" t="n">
        <v>46261.1593171296</v>
      </c>
      <c r="C1032" s="64" t="n">
        <v>46260</v>
      </c>
      <c r="D1032" s="62" t="s">
        <v>143</v>
      </c>
      <c r="E1032" s="62" t="s">
        <v>239</v>
      </c>
      <c r="F1032" s="62" t="s">
        <v>240</v>
      </c>
      <c r="G1032" s="62" t="s">
        <v>153</v>
      </c>
      <c r="H1032" s="62" t="s">
        <v>153</v>
      </c>
      <c r="I1032" s="62" t="s">
        <v>153</v>
      </c>
      <c r="J1032" s="62" t="s">
        <v>64</v>
      </c>
      <c r="K1032" s="62" t="s">
        <v>64</v>
      </c>
      <c r="L1032" s="62" t="s">
        <v>148</v>
      </c>
      <c r="M1032" s="62" t="n">
        <v>0</v>
      </c>
      <c r="N1032" s="62" t="n">
        <v>1</v>
      </c>
      <c r="O1032" s="62" t="n">
        <v>1</v>
      </c>
      <c r="P1032" s="62" t="n">
        <v>1</v>
      </c>
      <c r="Q1032" s="62" t="n">
        <v>0</v>
      </c>
      <c r="R1032" s="62" t="n">
        <v>0</v>
      </c>
      <c r="S1032" s="62" t="n">
        <v>0</v>
      </c>
      <c r="T1032" s="62" t="n">
        <v>0</v>
      </c>
      <c r="U1032" s="62"/>
      <c r="V1032" s="62"/>
      <c r="W1032" s="62"/>
      <c r="X1032" s="62"/>
      <c r="Y1032" s="62"/>
      <c r="Z1032" s="62" t="s">
        <v>2016</v>
      </c>
      <c r="AA1032" s="62" t="s">
        <v>2020</v>
      </c>
      <c r="AB1032" s="62" t="n">
        <v>1</v>
      </c>
      <c r="AC1032" s="62" t="n">
        <v>0</v>
      </c>
      <c r="AD1032" s="62" t="n">
        <v>0</v>
      </c>
      <c r="AE1032" s="62" t="n">
        <f aca="false">IF(AND(Dashboard!$C$9="Yes",AC1032=1),0,1)</f>
        <v>1</v>
      </c>
      <c r="AF1032" s="62" t="n">
        <v>0</v>
      </c>
    </row>
    <row r="1033" customFormat="false" ht="15" hidden="false" customHeight="false" outlineLevel="0" collapsed="false">
      <c r="A1033" s="62" t="n">
        <v>1032</v>
      </c>
      <c r="B1033" s="63" t="n">
        <v>46261.159537037</v>
      </c>
      <c r="C1033" s="64" t="n">
        <v>46260</v>
      </c>
      <c r="D1033" s="62" t="s">
        <v>143</v>
      </c>
      <c r="E1033" s="62" t="s">
        <v>239</v>
      </c>
      <c r="F1033" s="62" t="s">
        <v>240</v>
      </c>
      <c r="G1033" s="62" t="s">
        <v>153</v>
      </c>
      <c r="H1033" s="62" t="s">
        <v>153</v>
      </c>
      <c r="I1033" s="62" t="s">
        <v>153</v>
      </c>
      <c r="J1033" s="62" t="s">
        <v>64</v>
      </c>
      <c r="K1033" s="62" t="s">
        <v>64</v>
      </c>
      <c r="L1033" s="62" t="s">
        <v>148</v>
      </c>
      <c r="M1033" s="62" t="n">
        <v>0</v>
      </c>
      <c r="N1033" s="62" t="n">
        <v>1</v>
      </c>
      <c r="O1033" s="62" t="n">
        <v>1</v>
      </c>
      <c r="P1033" s="62" t="n">
        <v>1</v>
      </c>
      <c r="Q1033" s="62" t="n">
        <v>0</v>
      </c>
      <c r="R1033" s="62" t="n">
        <v>0</v>
      </c>
      <c r="S1033" s="62" t="n">
        <v>0</v>
      </c>
      <c r="T1033" s="62" t="n">
        <v>0</v>
      </c>
      <c r="U1033" s="62"/>
      <c r="V1033" s="62"/>
      <c r="W1033" s="62"/>
      <c r="X1033" s="62"/>
      <c r="Y1033" s="62"/>
      <c r="Z1033" s="62" t="s">
        <v>2016</v>
      </c>
      <c r="AA1033" s="62" t="s">
        <v>2020</v>
      </c>
      <c r="AB1033" s="62" t="n">
        <v>1</v>
      </c>
      <c r="AC1033" s="62" t="n">
        <v>1</v>
      </c>
      <c r="AD1033" s="62" t="n">
        <v>0</v>
      </c>
      <c r="AE1033" s="62" t="n">
        <f aca="false">IF(AND(Dashboard!$C$9="Yes",AC1033=1),0,1)</f>
        <v>0</v>
      </c>
      <c r="AF1033" s="62" t="n">
        <v>0</v>
      </c>
    </row>
    <row r="1034" customFormat="false" ht="15" hidden="false" customHeight="false" outlineLevel="0" collapsed="false">
      <c r="A1034" s="62" t="n">
        <v>1033</v>
      </c>
      <c r="B1034" s="63" t="n">
        <v>46261.1948726852</v>
      </c>
      <c r="C1034" s="64" t="n">
        <v>46260</v>
      </c>
      <c r="D1034" s="62" t="s">
        <v>143</v>
      </c>
      <c r="E1034" s="62" t="s">
        <v>1827</v>
      </c>
      <c r="F1034" s="62" t="s">
        <v>1827</v>
      </c>
      <c r="G1034" s="62" t="s">
        <v>1828</v>
      </c>
      <c r="H1034" s="62" t="s">
        <v>59</v>
      </c>
      <c r="I1034" s="62" t="s">
        <v>47</v>
      </c>
      <c r="J1034" s="62" t="s">
        <v>146</v>
      </c>
      <c r="K1034" s="62" t="s">
        <v>209</v>
      </c>
      <c r="L1034" s="62" t="s">
        <v>148</v>
      </c>
      <c r="M1034" s="62" t="n">
        <v>0</v>
      </c>
      <c r="N1034" s="62" t="n">
        <v>1</v>
      </c>
      <c r="O1034" s="62" t="n">
        <v>1</v>
      </c>
      <c r="P1034" s="62" t="n">
        <v>1</v>
      </c>
      <c r="Q1034" s="62" t="n">
        <v>0</v>
      </c>
      <c r="R1034" s="62" t="n">
        <v>0</v>
      </c>
      <c r="S1034" s="62" t="n">
        <v>0</v>
      </c>
      <c r="T1034" s="62" t="n">
        <v>0</v>
      </c>
      <c r="U1034" s="62"/>
      <c r="V1034" s="62"/>
      <c r="W1034" s="62"/>
      <c r="X1034" s="62"/>
      <c r="Y1034" s="62"/>
      <c r="Z1034" s="62" t="s">
        <v>2021</v>
      </c>
      <c r="AA1034" s="62" t="s">
        <v>2022</v>
      </c>
      <c r="AB1034" s="62" t="n">
        <v>1</v>
      </c>
      <c r="AC1034" s="62" t="n">
        <v>0</v>
      </c>
      <c r="AD1034" s="62" t="n">
        <v>1</v>
      </c>
      <c r="AE1034" s="62" t="n">
        <f aca="false">IF(AND(Dashboard!$C$9="Yes",AC1034=1),0,1)</f>
        <v>1</v>
      </c>
      <c r="AF1034" s="62" t="n">
        <v>1</v>
      </c>
    </row>
    <row r="1035" customFormat="false" ht="15" hidden="false" customHeight="false" outlineLevel="0" collapsed="false">
      <c r="A1035" s="62" t="n">
        <v>1034</v>
      </c>
      <c r="B1035" s="63" t="n">
        <v>46261.2127546296</v>
      </c>
      <c r="C1035" s="64" t="n">
        <v>46260</v>
      </c>
      <c r="D1035" s="62" t="s">
        <v>143</v>
      </c>
      <c r="E1035" s="62" t="s">
        <v>892</v>
      </c>
      <c r="F1035" s="62" t="s">
        <v>892</v>
      </c>
      <c r="G1035" s="62" t="s">
        <v>893</v>
      </c>
      <c r="H1035" s="62" t="s">
        <v>46</v>
      </c>
      <c r="I1035" s="62" t="s">
        <v>47</v>
      </c>
      <c r="J1035" s="62" t="s">
        <v>146</v>
      </c>
      <c r="K1035" s="62" t="s">
        <v>209</v>
      </c>
      <c r="L1035" s="62" t="s">
        <v>4</v>
      </c>
      <c r="M1035" s="62" t="n">
        <v>1</v>
      </c>
      <c r="N1035" s="62" t="n">
        <v>0</v>
      </c>
      <c r="O1035" s="62" t="n">
        <v>1</v>
      </c>
      <c r="P1035" s="62" t="n">
        <v>0</v>
      </c>
      <c r="Q1035" s="62" t="n">
        <v>0</v>
      </c>
      <c r="R1035" s="62" t="n">
        <v>0</v>
      </c>
      <c r="S1035" s="62" t="n">
        <v>0</v>
      </c>
      <c r="T1035" s="62" t="n">
        <v>0</v>
      </c>
      <c r="U1035" s="62"/>
      <c r="V1035" s="62"/>
      <c r="W1035" s="62"/>
      <c r="X1035" s="62"/>
      <c r="Y1035" s="62"/>
      <c r="Z1035" s="62" t="s">
        <v>2023</v>
      </c>
      <c r="AA1035" s="62" t="s">
        <v>337</v>
      </c>
      <c r="AB1035" s="62" t="n">
        <v>0</v>
      </c>
      <c r="AC1035" s="62" t="n">
        <v>0</v>
      </c>
      <c r="AD1035" s="62" t="n">
        <v>1</v>
      </c>
      <c r="AE1035" s="62" t="n">
        <f aca="false">IF(AND(Dashboard!$C$9="Yes",AC1035=1),0,1)</f>
        <v>1</v>
      </c>
      <c r="AF1035" s="62" t="n">
        <v>1</v>
      </c>
    </row>
    <row r="1036" customFormat="false" ht="15" hidden="false" customHeight="false" outlineLevel="0" collapsed="false">
      <c r="A1036" s="62" t="n">
        <v>1035</v>
      </c>
      <c r="B1036" s="63" t="n">
        <v>46261.2662731482</v>
      </c>
      <c r="C1036" s="64" t="n">
        <v>46260</v>
      </c>
      <c r="D1036" s="62" t="s">
        <v>143</v>
      </c>
      <c r="E1036" s="62" t="s">
        <v>1827</v>
      </c>
      <c r="F1036" s="62" t="s">
        <v>1827</v>
      </c>
      <c r="G1036" s="62" t="s">
        <v>1828</v>
      </c>
      <c r="H1036" s="62" t="s">
        <v>59</v>
      </c>
      <c r="I1036" s="62" t="s">
        <v>47</v>
      </c>
      <c r="J1036" s="62" t="s">
        <v>146</v>
      </c>
      <c r="K1036" s="62" t="s">
        <v>209</v>
      </c>
      <c r="L1036" s="62" t="s">
        <v>148</v>
      </c>
      <c r="M1036" s="62" t="n">
        <v>0</v>
      </c>
      <c r="N1036" s="62" t="n">
        <v>1</v>
      </c>
      <c r="O1036" s="62" t="n">
        <v>1</v>
      </c>
      <c r="P1036" s="62" t="n">
        <v>0</v>
      </c>
      <c r="Q1036" s="62" t="n">
        <v>1</v>
      </c>
      <c r="R1036" s="62" t="n">
        <v>0</v>
      </c>
      <c r="S1036" s="62" t="n">
        <v>0</v>
      </c>
      <c r="T1036" s="62" t="n">
        <v>0</v>
      </c>
      <c r="U1036" s="62"/>
      <c r="V1036" s="62"/>
      <c r="W1036" s="62"/>
      <c r="X1036" s="62"/>
      <c r="Y1036" s="62"/>
      <c r="Z1036" s="62" t="s">
        <v>2024</v>
      </c>
      <c r="AA1036" s="62" t="s">
        <v>2025</v>
      </c>
      <c r="AB1036" s="62" t="n">
        <v>1</v>
      </c>
      <c r="AC1036" s="62" t="n">
        <v>0</v>
      </c>
      <c r="AD1036" s="62" t="n">
        <v>1</v>
      </c>
      <c r="AE1036" s="62" t="n">
        <f aca="false">IF(AND(Dashboard!$C$9="Yes",AC1036=1),0,1)</f>
        <v>1</v>
      </c>
      <c r="AF1036" s="62" t="n">
        <v>0</v>
      </c>
    </row>
    <row r="1037" customFormat="false" ht="15" hidden="false" customHeight="false" outlineLevel="0" collapsed="false">
      <c r="A1037" s="62" t="n">
        <v>1036</v>
      </c>
      <c r="B1037" s="63" t="n">
        <v>46261.3032291667</v>
      </c>
      <c r="C1037" s="64" t="n">
        <v>46260</v>
      </c>
      <c r="D1037" s="62" t="s">
        <v>143</v>
      </c>
      <c r="E1037" s="62" t="s">
        <v>1827</v>
      </c>
      <c r="F1037" s="62" t="s">
        <v>1827</v>
      </c>
      <c r="G1037" s="62" t="s">
        <v>1828</v>
      </c>
      <c r="H1037" s="62" t="s">
        <v>59</v>
      </c>
      <c r="I1037" s="62" t="s">
        <v>47</v>
      </c>
      <c r="J1037" s="62" t="s">
        <v>146</v>
      </c>
      <c r="K1037" s="62" t="s">
        <v>209</v>
      </c>
      <c r="L1037" s="62" t="s">
        <v>148</v>
      </c>
      <c r="M1037" s="62" t="n">
        <v>0</v>
      </c>
      <c r="N1037" s="62" t="n">
        <v>1</v>
      </c>
      <c r="O1037" s="62" t="n">
        <v>1</v>
      </c>
      <c r="P1037" s="62" t="n">
        <v>1</v>
      </c>
      <c r="Q1037" s="62" t="n">
        <v>0</v>
      </c>
      <c r="R1037" s="62" t="n">
        <v>0</v>
      </c>
      <c r="S1037" s="62" t="n">
        <v>0</v>
      </c>
      <c r="T1037" s="62" t="n">
        <v>0</v>
      </c>
      <c r="U1037" s="62"/>
      <c r="V1037" s="62"/>
      <c r="W1037" s="62"/>
      <c r="X1037" s="62"/>
      <c r="Y1037" s="62"/>
      <c r="Z1037" s="62" t="s">
        <v>2026</v>
      </c>
      <c r="AA1037" s="62" t="s">
        <v>2027</v>
      </c>
      <c r="AB1037" s="62" t="n">
        <v>1</v>
      </c>
      <c r="AC1037" s="62" t="n">
        <v>0</v>
      </c>
      <c r="AD1037" s="62" t="n">
        <v>1</v>
      </c>
      <c r="AE1037" s="62" t="n">
        <f aca="false">IF(AND(Dashboard!$C$9="Yes",AC1037=1),0,1)</f>
        <v>1</v>
      </c>
      <c r="AF1037" s="62" t="n">
        <v>0</v>
      </c>
    </row>
    <row r="1038" customFormat="false" ht="15" hidden="false" customHeight="false" outlineLevel="0" collapsed="false">
      <c r="A1038" s="62" t="n">
        <v>1037</v>
      </c>
      <c r="B1038" s="63" t="n">
        <v>46261.6210300926</v>
      </c>
      <c r="C1038" s="64" t="n">
        <v>46261</v>
      </c>
      <c r="D1038" s="62" t="s">
        <v>202</v>
      </c>
      <c r="E1038" s="62" t="s">
        <v>650</v>
      </c>
      <c r="F1038" s="62" t="s">
        <v>650</v>
      </c>
      <c r="G1038" s="62" t="s">
        <v>651</v>
      </c>
      <c r="H1038" s="62" t="s">
        <v>59</v>
      </c>
      <c r="I1038" s="62" t="s">
        <v>47</v>
      </c>
      <c r="J1038" s="62" t="s">
        <v>146</v>
      </c>
      <c r="K1038" s="62" t="s">
        <v>209</v>
      </c>
      <c r="L1038" s="62" t="s">
        <v>148</v>
      </c>
      <c r="M1038" s="62" t="n">
        <v>0</v>
      </c>
      <c r="N1038" s="62" t="n">
        <v>1</v>
      </c>
      <c r="O1038" s="62" t="n">
        <v>1</v>
      </c>
      <c r="P1038" s="62" t="n">
        <v>1</v>
      </c>
      <c r="Q1038" s="62" t="n">
        <v>0</v>
      </c>
      <c r="R1038" s="62" t="n">
        <v>0</v>
      </c>
      <c r="S1038" s="62" t="n">
        <v>0</v>
      </c>
      <c r="T1038" s="62" t="n">
        <v>0</v>
      </c>
      <c r="U1038" s="62"/>
      <c r="V1038" s="62"/>
      <c r="W1038" s="62"/>
      <c r="X1038" s="62"/>
      <c r="Y1038" s="62"/>
      <c r="Z1038" s="62" t="s">
        <v>2028</v>
      </c>
      <c r="AA1038" s="62" t="s">
        <v>2029</v>
      </c>
      <c r="AB1038" s="62" t="n">
        <v>1</v>
      </c>
      <c r="AC1038" s="62" t="n">
        <v>0</v>
      </c>
      <c r="AD1038" s="62" t="n">
        <v>1</v>
      </c>
      <c r="AE1038" s="62" t="n">
        <f aca="false">IF(AND(Dashboard!$C$9="Yes",AC1038=1),0,1)</f>
        <v>1</v>
      </c>
      <c r="AF1038" s="62" t="n">
        <v>1</v>
      </c>
    </row>
    <row r="1039" customFormat="false" ht="15" hidden="false" customHeight="false" outlineLevel="0" collapsed="false">
      <c r="A1039" s="62" t="n">
        <v>1038</v>
      </c>
      <c r="B1039" s="63" t="n">
        <v>46261.6212615741</v>
      </c>
      <c r="C1039" s="64" t="n">
        <v>46261</v>
      </c>
      <c r="D1039" s="62" t="s">
        <v>202</v>
      </c>
      <c r="E1039" s="62" t="s">
        <v>650</v>
      </c>
      <c r="F1039" s="62" t="s">
        <v>650</v>
      </c>
      <c r="G1039" s="62" t="s">
        <v>651</v>
      </c>
      <c r="H1039" s="62" t="s">
        <v>59</v>
      </c>
      <c r="I1039" s="62" t="s">
        <v>47</v>
      </c>
      <c r="J1039" s="62" t="s">
        <v>146</v>
      </c>
      <c r="K1039" s="62" t="s">
        <v>209</v>
      </c>
      <c r="L1039" s="62" t="s">
        <v>4</v>
      </c>
      <c r="M1039" s="62" t="n">
        <v>1</v>
      </c>
      <c r="N1039" s="62" t="n">
        <v>0</v>
      </c>
      <c r="O1039" s="62" t="n">
        <v>1</v>
      </c>
      <c r="P1039" s="62" t="n">
        <v>0</v>
      </c>
      <c r="Q1039" s="62" t="n">
        <v>0</v>
      </c>
      <c r="R1039" s="62" t="n">
        <v>0</v>
      </c>
      <c r="S1039" s="62" t="n">
        <v>0</v>
      </c>
      <c r="T1039" s="62" t="n">
        <v>0</v>
      </c>
      <c r="U1039" s="62"/>
      <c r="V1039" s="62"/>
      <c r="W1039" s="62"/>
      <c r="X1039" s="62"/>
      <c r="Y1039" s="62"/>
      <c r="Z1039" s="62" t="s">
        <v>2028</v>
      </c>
      <c r="AA1039" s="62" t="s">
        <v>2030</v>
      </c>
      <c r="AB1039" s="62" t="n">
        <v>1</v>
      </c>
      <c r="AC1039" s="62" t="n">
        <v>0</v>
      </c>
      <c r="AD1039" s="62" t="n">
        <v>1</v>
      </c>
      <c r="AE1039" s="62" t="n">
        <f aca="false">IF(AND(Dashboard!$C$9="Yes",AC1039=1),0,1)</f>
        <v>1</v>
      </c>
      <c r="AF1039" s="62" t="n">
        <v>0</v>
      </c>
    </row>
    <row r="1040" customFormat="false" ht="15" hidden="false" customHeight="false" outlineLevel="0" collapsed="false">
      <c r="A1040" s="62" t="n">
        <v>1039</v>
      </c>
      <c r="B1040" s="63" t="n">
        <v>46261.6551273148</v>
      </c>
      <c r="C1040" s="64" t="n">
        <v>46261</v>
      </c>
      <c r="D1040" s="62" t="s">
        <v>202</v>
      </c>
      <c r="E1040" s="62" t="s">
        <v>228</v>
      </c>
      <c r="F1040" s="62" t="s">
        <v>229</v>
      </c>
      <c r="G1040" s="62" t="s">
        <v>153</v>
      </c>
      <c r="H1040" s="62" t="s">
        <v>153</v>
      </c>
      <c r="I1040" s="62" t="s">
        <v>153</v>
      </c>
      <c r="J1040" s="62" t="s">
        <v>64</v>
      </c>
      <c r="K1040" s="62" t="s">
        <v>64</v>
      </c>
      <c r="L1040" s="62" t="s">
        <v>148</v>
      </c>
      <c r="M1040" s="62" t="n">
        <v>0</v>
      </c>
      <c r="N1040" s="62" t="n">
        <v>1</v>
      </c>
      <c r="O1040" s="62" t="n">
        <v>1</v>
      </c>
      <c r="P1040" s="62" t="n">
        <v>1</v>
      </c>
      <c r="Q1040" s="62" t="n">
        <v>0</v>
      </c>
      <c r="R1040" s="62" t="n">
        <v>0</v>
      </c>
      <c r="S1040" s="62" t="n">
        <v>0</v>
      </c>
      <c r="T1040" s="62" t="n">
        <v>0</v>
      </c>
      <c r="U1040" s="62"/>
      <c r="V1040" s="62"/>
      <c r="W1040" s="62"/>
      <c r="X1040" s="62"/>
      <c r="Y1040" s="62"/>
      <c r="Z1040" s="62" t="s">
        <v>2031</v>
      </c>
      <c r="AA1040" s="62" t="s">
        <v>2032</v>
      </c>
      <c r="AB1040" s="62" t="n">
        <v>1</v>
      </c>
      <c r="AC1040" s="62" t="n">
        <v>0</v>
      </c>
      <c r="AD1040" s="62" t="n">
        <v>0</v>
      </c>
      <c r="AE1040" s="62" t="n">
        <f aca="false">IF(AND(Dashboard!$C$9="Yes",AC1040=1),0,1)</f>
        <v>1</v>
      </c>
      <c r="AF1040" s="62" t="n">
        <v>1</v>
      </c>
    </row>
    <row r="1041" customFormat="false" ht="15" hidden="false" customHeight="false" outlineLevel="0" collapsed="false">
      <c r="A1041" s="62" t="n">
        <v>1040</v>
      </c>
      <c r="B1041" s="63" t="n">
        <v>46261.8205208333</v>
      </c>
      <c r="C1041" s="64" t="n">
        <v>46261</v>
      </c>
      <c r="D1041" s="62" t="s">
        <v>202</v>
      </c>
      <c r="E1041" s="62" t="s">
        <v>228</v>
      </c>
      <c r="F1041" s="62" t="s">
        <v>229</v>
      </c>
      <c r="G1041" s="62" t="s">
        <v>153</v>
      </c>
      <c r="H1041" s="62" t="s">
        <v>153</v>
      </c>
      <c r="I1041" s="62" t="s">
        <v>153</v>
      </c>
      <c r="J1041" s="62" t="s">
        <v>64</v>
      </c>
      <c r="K1041" s="62" t="s">
        <v>64</v>
      </c>
      <c r="L1041" s="62" t="s">
        <v>148</v>
      </c>
      <c r="M1041" s="62" t="n">
        <v>0</v>
      </c>
      <c r="N1041" s="62" t="n">
        <v>1</v>
      </c>
      <c r="O1041" s="62" t="n">
        <v>1</v>
      </c>
      <c r="P1041" s="62" t="n">
        <v>1</v>
      </c>
      <c r="Q1041" s="62" t="n">
        <v>0</v>
      </c>
      <c r="R1041" s="62" t="n">
        <v>0</v>
      </c>
      <c r="S1041" s="62" t="n">
        <v>0</v>
      </c>
      <c r="T1041" s="62" t="n">
        <v>0</v>
      </c>
      <c r="U1041" s="62"/>
      <c r="V1041" s="62"/>
      <c r="W1041" s="62"/>
      <c r="X1041" s="62"/>
      <c r="Y1041" s="62"/>
      <c r="Z1041" s="62" t="s">
        <v>2033</v>
      </c>
      <c r="AA1041" s="62" t="s">
        <v>2034</v>
      </c>
      <c r="AB1041" s="62" t="n">
        <v>1</v>
      </c>
      <c r="AC1041" s="62" t="n">
        <v>0</v>
      </c>
      <c r="AD1041" s="62" t="n">
        <v>0</v>
      </c>
      <c r="AE1041" s="62" t="n">
        <f aca="false">IF(AND(Dashboard!$C$9="Yes",AC1041=1),0,1)</f>
        <v>1</v>
      </c>
      <c r="AF1041" s="62" t="n">
        <v>0</v>
      </c>
    </row>
    <row r="1042" customFormat="false" ht="15" hidden="false" customHeight="false" outlineLevel="0" collapsed="false">
      <c r="A1042" s="62" t="n">
        <v>1041</v>
      </c>
      <c r="B1042" s="63" t="n">
        <v>46261.8297222222</v>
      </c>
      <c r="C1042" s="64" t="n">
        <v>46261</v>
      </c>
      <c r="D1042" s="62" t="s">
        <v>202</v>
      </c>
      <c r="E1042" s="62" t="s">
        <v>218</v>
      </c>
      <c r="F1042" s="62" t="s">
        <v>218</v>
      </c>
      <c r="G1042" s="62" t="s">
        <v>219</v>
      </c>
      <c r="H1042" s="62" t="s">
        <v>51</v>
      </c>
      <c r="I1042" s="62" t="s">
        <v>47</v>
      </c>
      <c r="J1042" s="62" t="s">
        <v>146</v>
      </c>
      <c r="K1042" s="62" t="s">
        <v>147</v>
      </c>
      <c r="L1042" s="62" t="s">
        <v>148</v>
      </c>
      <c r="M1042" s="62" t="n">
        <v>0</v>
      </c>
      <c r="N1042" s="62" t="n">
        <v>1</v>
      </c>
      <c r="O1042" s="62" t="n">
        <v>1</v>
      </c>
      <c r="P1042" s="62" t="n">
        <v>1</v>
      </c>
      <c r="Q1042" s="62" t="n">
        <v>0</v>
      </c>
      <c r="R1042" s="62" t="n">
        <v>0</v>
      </c>
      <c r="S1042" s="62" t="n">
        <v>0</v>
      </c>
      <c r="T1042" s="62" t="n">
        <v>0</v>
      </c>
      <c r="U1042" s="62"/>
      <c r="V1042" s="62"/>
      <c r="W1042" s="62"/>
      <c r="X1042" s="62"/>
      <c r="Y1042" s="62"/>
      <c r="Z1042" s="62" t="s">
        <v>2035</v>
      </c>
      <c r="AA1042" s="62" t="s">
        <v>2036</v>
      </c>
      <c r="AB1042" s="62" t="n">
        <v>1</v>
      </c>
      <c r="AC1042" s="62" t="n">
        <v>0</v>
      </c>
      <c r="AD1042" s="62" t="n">
        <v>1</v>
      </c>
      <c r="AE1042" s="62" t="n">
        <f aca="false">IF(AND(Dashboard!$C$9="Yes",AC1042=1),0,1)</f>
        <v>1</v>
      </c>
      <c r="AF1042" s="62" t="n">
        <v>1</v>
      </c>
    </row>
    <row r="1043" customFormat="false" ht="15" hidden="false" customHeight="false" outlineLevel="0" collapsed="false">
      <c r="A1043" s="62" t="n">
        <v>1042</v>
      </c>
      <c r="B1043" s="63" t="n">
        <v>46261.8306712963</v>
      </c>
      <c r="C1043" s="64" t="n">
        <v>46261</v>
      </c>
      <c r="D1043" s="62" t="s">
        <v>202</v>
      </c>
      <c r="E1043" s="62" t="s">
        <v>212</v>
      </c>
      <c r="F1043" s="62" t="s">
        <v>212</v>
      </c>
      <c r="G1043" s="62" t="s">
        <v>213</v>
      </c>
      <c r="H1043" s="62" t="s">
        <v>58</v>
      </c>
      <c r="I1043" s="62" t="s">
        <v>49</v>
      </c>
      <c r="J1043" s="62" t="s">
        <v>146</v>
      </c>
      <c r="K1043" s="62" t="s">
        <v>175</v>
      </c>
      <c r="L1043" s="62" t="s">
        <v>4</v>
      </c>
      <c r="M1043" s="62" t="n">
        <v>1</v>
      </c>
      <c r="N1043" s="62" t="n">
        <v>0</v>
      </c>
      <c r="O1043" s="62" t="n">
        <v>1</v>
      </c>
      <c r="P1043" s="62" t="n">
        <v>0</v>
      </c>
      <c r="Q1043" s="62" t="n">
        <v>0</v>
      </c>
      <c r="R1043" s="62" t="n">
        <v>0</v>
      </c>
      <c r="S1043" s="62" t="n">
        <v>0</v>
      </c>
      <c r="T1043" s="62" t="n">
        <v>0</v>
      </c>
      <c r="U1043" s="62"/>
      <c r="V1043" s="62"/>
      <c r="W1043" s="62"/>
      <c r="X1043" s="62"/>
      <c r="Y1043" s="62"/>
      <c r="Z1043" s="62" t="s">
        <v>2037</v>
      </c>
      <c r="AA1043" s="62" t="s">
        <v>2038</v>
      </c>
      <c r="AB1043" s="62" t="n">
        <v>1</v>
      </c>
      <c r="AC1043" s="62" t="n">
        <v>0</v>
      </c>
      <c r="AD1043" s="62" t="n">
        <v>1</v>
      </c>
      <c r="AE1043" s="62" t="n">
        <f aca="false">IF(AND(Dashboard!$C$9="Yes",AC1043=1),0,1)</f>
        <v>1</v>
      </c>
      <c r="AF1043" s="62" t="n">
        <v>1</v>
      </c>
    </row>
    <row r="1044" customFormat="false" ht="15" hidden="false" customHeight="false" outlineLevel="0" collapsed="false">
      <c r="A1044" s="62" t="n">
        <v>1043</v>
      </c>
      <c r="B1044" s="63" t="n">
        <v>46261.8313657407</v>
      </c>
      <c r="C1044" s="64" t="n">
        <v>46261</v>
      </c>
      <c r="D1044" s="62" t="s">
        <v>202</v>
      </c>
      <c r="E1044" s="62" t="s">
        <v>212</v>
      </c>
      <c r="F1044" s="62" t="s">
        <v>212</v>
      </c>
      <c r="G1044" s="62" t="s">
        <v>213</v>
      </c>
      <c r="H1044" s="62" t="s">
        <v>58</v>
      </c>
      <c r="I1044" s="62" t="s">
        <v>49</v>
      </c>
      <c r="J1044" s="62" t="s">
        <v>146</v>
      </c>
      <c r="K1044" s="62" t="s">
        <v>175</v>
      </c>
      <c r="L1044" s="62" t="s">
        <v>148</v>
      </c>
      <c r="M1044" s="62" t="n">
        <v>0</v>
      </c>
      <c r="N1044" s="62" t="n">
        <v>1</v>
      </c>
      <c r="O1044" s="62" t="n">
        <v>1</v>
      </c>
      <c r="P1044" s="62" t="n">
        <v>0</v>
      </c>
      <c r="Q1044" s="62" t="n">
        <v>0</v>
      </c>
      <c r="R1044" s="62" t="n">
        <v>0</v>
      </c>
      <c r="S1044" s="62" t="n">
        <v>0</v>
      </c>
      <c r="T1044" s="62" t="n">
        <v>1</v>
      </c>
      <c r="U1044" s="62"/>
      <c r="V1044" s="62"/>
      <c r="W1044" s="62"/>
      <c r="X1044" s="62"/>
      <c r="Y1044" s="62"/>
      <c r="Z1044" s="62" t="s">
        <v>2037</v>
      </c>
      <c r="AA1044" s="62" t="s">
        <v>2038</v>
      </c>
      <c r="AB1044" s="62" t="n">
        <v>1</v>
      </c>
      <c r="AC1044" s="62" t="n">
        <v>0</v>
      </c>
      <c r="AD1044" s="62" t="n">
        <v>1</v>
      </c>
      <c r="AE1044" s="62" t="n">
        <f aca="false">IF(AND(Dashboard!$C$9="Yes",AC1044=1),0,1)</f>
        <v>1</v>
      </c>
      <c r="AF1044" s="62" t="n">
        <v>0</v>
      </c>
    </row>
    <row r="1045" customFormat="false" ht="15" hidden="false" customHeight="false" outlineLevel="0" collapsed="false">
      <c r="A1045" s="62" t="n">
        <v>1044</v>
      </c>
      <c r="B1045" s="63" t="n">
        <v>46261.8669328704</v>
      </c>
      <c r="C1045" s="64" t="n">
        <v>46261</v>
      </c>
      <c r="D1045" s="62" t="s">
        <v>202</v>
      </c>
      <c r="E1045" s="62" t="s">
        <v>228</v>
      </c>
      <c r="F1045" s="62" t="s">
        <v>229</v>
      </c>
      <c r="G1045" s="62" t="s">
        <v>153</v>
      </c>
      <c r="H1045" s="62" t="s">
        <v>153</v>
      </c>
      <c r="I1045" s="62" t="s">
        <v>153</v>
      </c>
      <c r="J1045" s="62" t="s">
        <v>64</v>
      </c>
      <c r="K1045" s="62" t="s">
        <v>64</v>
      </c>
      <c r="L1045" s="62" t="s">
        <v>148</v>
      </c>
      <c r="M1045" s="62" t="n">
        <v>0</v>
      </c>
      <c r="N1045" s="62" t="n">
        <v>1</v>
      </c>
      <c r="O1045" s="62" t="n">
        <v>1</v>
      </c>
      <c r="P1045" s="62" t="n">
        <v>1</v>
      </c>
      <c r="Q1045" s="62" t="n">
        <v>0</v>
      </c>
      <c r="R1045" s="62" t="n">
        <v>0</v>
      </c>
      <c r="S1045" s="62" t="n">
        <v>0</v>
      </c>
      <c r="T1045" s="62" t="n">
        <v>0</v>
      </c>
      <c r="U1045" s="62"/>
      <c r="V1045" s="62"/>
      <c r="W1045" s="62"/>
      <c r="X1045" s="62"/>
      <c r="Y1045" s="62"/>
      <c r="Z1045" s="62" t="s">
        <v>2039</v>
      </c>
      <c r="AA1045" s="62" t="s">
        <v>2040</v>
      </c>
      <c r="AB1045" s="62" t="n">
        <v>1</v>
      </c>
      <c r="AC1045" s="62" t="n">
        <v>0</v>
      </c>
      <c r="AD1045" s="62" t="n">
        <v>0</v>
      </c>
      <c r="AE1045" s="62" t="n">
        <f aca="false">IF(AND(Dashboard!$C$9="Yes",AC1045=1),0,1)</f>
        <v>1</v>
      </c>
      <c r="AF1045" s="62" t="n">
        <v>0</v>
      </c>
    </row>
    <row r="1046" customFormat="false" ht="15" hidden="false" customHeight="false" outlineLevel="0" collapsed="false">
      <c r="A1046" s="62" t="n">
        <v>1045</v>
      </c>
      <c r="B1046" s="63" t="n">
        <v>46261.9126851852</v>
      </c>
      <c r="C1046" s="64" t="n">
        <v>46261</v>
      </c>
      <c r="D1046" s="62" t="s">
        <v>202</v>
      </c>
      <c r="E1046" s="62" t="s">
        <v>892</v>
      </c>
      <c r="F1046" s="62" t="s">
        <v>892</v>
      </c>
      <c r="G1046" s="62" t="s">
        <v>893</v>
      </c>
      <c r="H1046" s="62" t="s">
        <v>46</v>
      </c>
      <c r="I1046" s="62" t="s">
        <v>47</v>
      </c>
      <c r="J1046" s="62" t="s">
        <v>146</v>
      </c>
      <c r="K1046" s="62" t="s">
        <v>209</v>
      </c>
      <c r="L1046" s="62" t="s">
        <v>148</v>
      </c>
      <c r="M1046" s="62" t="n">
        <v>0</v>
      </c>
      <c r="N1046" s="62" t="n">
        <v>1</v>
      </c>
      <c r="O1046" s="62" t="n">
        <v>1</v>
      </c>
      <c r="P1046" s="62" t="n">
        <v>0</v>
      </c>
      <c r="Q1046" s="62" t="n">
        <v>0</v>
      </c>
      <c r="R1046" s="62" t="n">
        <v>1</v>
      </c>
      <c r="S1046" s="62" t="n">
        <v>0</v>
      </c>
      <c r="T1046" s="62" t="n">
        <v>0</v>
      </c>
      <c r="U1046" s="62"/>
      <c r="V1046" s="62"/>
      <c r="W1046" s="62"/>
      <c r="X1046" s="62"/>
      <c r="Y1046" s="62"/>
      <c r="Z1046" s="62" t="s">
        <v>2041</v>
      </c>
      <c r="AA1046" s="62" t="s">
        <v>337</v>
      </c>
      <c r="AB1046" s="62" t="n">
        <v>0</v>
      </c>
      <c r="AC1046" s="62" t="n">
        <v>0</v>
      </c>
      <c r="AD1046" s="62" t="n">
        <v>1</v>
      </c>
      <c r="AE1046" s="62" t="n">
        <f aca="false">IF(AND(Dashboard!$C$9="Yes",AC1046=1),0,1)</f>
        <v>1</v>
      </c>
      <c r="AF1046" s="62" t="n">
        <v>1</v>
      </c>
    </row>
    <row r="1047" customFormat="false" ht="15" hidden="false" customHeight="false" outlineLevel="0" collapsed="false">
      <c r="A1047" s="62" t="n">
        <v>1046</v>
      </c>
      <c r="B1047" s="63" t="n">
        <v>46261.9285069444</v>
      </c>
      <c r="C1047" s="64" t="n">
        <v>46261</v>
      </c>
      <c r="D1047" s="62" t="s">
        <v>202</v>
      </c>
      <c r="E1047" s="62" t="s">
        <v>414</v>
      </c>
      <c r="F1047" s="62" t="s">
        <v>414</v>
      </c>
      <c r="G1047" s="62" t="s">
        <v>415</v>
      </c>
      <c r="H1047" s="62" t="s">
        <v>57</v>
      </c>
      <c r="I1047" s="62" t="s">
        <v>47</v>
      </c>
      <c r="J1047" s="62" t="s">
        <v>146</v>
      </c>
      <c r="K1047" s="62" t="s">
        <v>147</v>
      </c>
      <c r="L1047" s="62" t="s">
        <v>148</v>
      </c>
      <c r="M1047" s="62" t="n">
        <v>0</v>
      </c>
      <c r="N1047" s="62" t="n">
        <v>1</v>
      </c>
      <c r="O1047" s="62" t="n">
        <v>1</v>
      </c>
      <c r="P1047" s="62" t="n">
        <v>1</v>
      </c>
      <c r="Q1047" s="62" t="n">
        <v>0</v>
      </c>
      <c r="R1047" s="62" t="n">
        <v>0</v>
      </c>
      <c r="S1047" s="62" t="n">
        <v>0</v>
      </c>
      <c r="T1047" s="62" t="n">
        <v>0</v>
      </c>
      <c r="U1047" s="62"/>
      <c r="V1047" s="62"/>
      <c r="W1047" s="62"/>
      <c r="X1047" s="62"/>
      <c r="Y1047" s="62"/>
      <c r="Z1047" s="62" t="s">
        <v>2042</v>
      </c>
      <c r="AA1047" s="62" t="s">
        <v>2043</v>
      </c>
      <c r="AB1047" s="62" t="n">
        <v>1</v>
      </c>
      <c r="AC1047" s="62" t="n">
        <v>0</v>
      </c>
      <c r="AD1047" s="62" t="n">
        <v>1</v>
      </c>
      <c r="AE1047" s="62" t="n">
        <f aca="false">IF(AND(Dashboard!$C$9="Yes",AC1047=1),0,1)</f>
        <v>1</v>
      </c>
      <c r="AF1047" s="62" t="n">
        <v>1</v>
      </c>
    </row>
    <row r="1048" customFormat="false" ht="15" hidden="false" customHeight="false" outlineLevel="0" collapsed="false">
      <c r="A1048" s="62" t="n">
        <v>1047</v>
      </c>
      <c r="B1048" s="63" t="n">
        <v>46261.9389467593</v>
      </c>
      <c r="C1048" s="64" t="n">
        <v>46261</v>
      </c>
      <c r="D1048" s="62" t="s">
        <v>202</v>
      </c>
      <c r="E1048" s="62" t="s">
        <v>892</v>
      </c>
      <c r="F1048" s="62" t="s">
        <v>892</v>
      </c>
      <c r="G1048" s="62" t="s">
        <v>893</v>
      </c>
      <c r="H1048" s="62" t="s">
        <v>46</v>
      </c>
      <c r="I1048" s="62" t="s">
        <v>47</v>
      </c>
      <c r="J1048" s="62" t="s">
        <v>146</v>
      </c>
      <c r="K1048" s="62" t="s">
        <v>209</v>
      </c>
      <c r="L1048" s="62" t="s">
        <v>148</v>
      </c>
      <c r="M1048" s="62" t="n">
        <v>0</v>
      </c>
      <c r="N1048" s="62" t="n">
        <v>1</v>
      </c>
      <c r="O1048" s="62" t="n">
        <v>1</v>
      </c>
      <c r="P1048" s="62" t="n">
        <v>0</v>
      </c>
      <c r="Q1048" s="62" t="n">
        <v>0</v>
      </c>
      <c r="R1048" s="62" t="n">
        <v>1</v>
      </c>
      <c r="S1048" s="62" t="n">
        <v>0</v>
      </c>
      <c r="T1048" s="62" t="n">
        <v>0</v>
      </c>
      <c r="U1048" s="62"/>
      <c r="V1048" s="62"/>
      <c r="W1048" s="62"/>
      <c r="X1048" s="62"/>
      <c r="Y1048" s="62"/>
      <c r="Z1048" s="62" t="s">
        <v>2041</v>
      </c>
      <c r="AA1048" s="62" t="s">
        <v>337</v>
      </c>
      <c r="AB1048" s="62" t="n">
        <v>0</v>
      </c>
      <c r="AC1048" s="62" t="n">
        <v>0</v>
      </c>
      <c r="AD1048" s="62" t="n">
        <v>1</v>
      </c>
      <c r="AE1048" s="62" t="n">
        <f aca="false">IF(AND(Dashboard!$C$9="Yes",AC1048=1),0,1)</f>
        <v>1</v>
      </c>
      <c r="AF1048" s="62" t="n">
        <v>0</v>
      </c>
    </row>
    <row r="1049" customFormat="false" ht="15" hidden="false" customHeight="false" outlineLevel="0" collapsed="false">
      <c r="A1049" s="62" t="n">
        <v>1048</v>
      </c>
      <c r="B1049" s="63" t="n">
        <v>46261.9531134259</v>
      </c>
      <c r="C1049" s="64" t="n">
        <v>46261</v>
      </c>
      <c r="D1049" s="62" t="s">
        <v>202</v>
      </c>
      <c r="E1049" s="62" t="s">
        <v>212</v>
      </c>
      <c r="F1049" s="62" t="s">
        <v>212</v>
      </c>
      <c r="G1049" s="62" t="s">
        <v>213</v>
      </c>
      <c r="H1049" s="62" t="s">
        <v>58</v>
      </c>
      <c r="I1049" s="62" t="s">
        <v>49</v>
      </c>
      <c r="J1049" s="62" t="s">
        <v>146</v>
      </c>
      <c r="K1049" s="62" t="s">
        <v>175</v>
      </c>
      <c r="L1049" s="62" t="s">
        <v>4</v>
      </c>
      <c r="M1049" s="62" t="n">
        <v>1</v>
      </c>
      <c r="N1049" s="62" t="n">
        <v>0</v>
      </c>
      <c r="O1049" s="62" t="n">
        <v>1</v>
      </c>
      <c r="P1049" s="62" t="n">
        <v>0</v>
      </c>
      <c r="Q1049" s="62" t="n">
        <v>0</v>
      </c>
      <c r="R1049" s="62" t="n">
        <v>0</v>
      </c>
      <c r="S1049" s="62" t="n">
        <v>0</v>
      </c>
      <c r="T1049" s="62" t="n">
        <v>0</v>
      </c>
      <c r="U1049" s="62"/>
      <c r="V1049" s="62"/>
      <c r="W1049" s="62"/>
      <c r="X1049" s="62"/>
      <c r="Y1049" s="62"/>
      <c r="Z1049" s="62" t="s">
        <v>2044</v>
      </c>
      <c r="AA1049" s="62" t="s">
        <v>2045</v>
      </c>
      <c r="AB1049" s="62" t="n">
        <v>1</v>
      </c>
      <c r="AC1049" s="62" t="n">
        <v>0</v>
      </c>
      <c r="AD1049" s="62" t="n">
        <v>1</v>
      </c>
      <c r="AE1049" s="62" t="n">
        <f aca="false">IF(AND(Dashboard!$C$9="Yes",AC1049=1),0,1)</f>
        <v>1</v>
      </c>
      <c r="AF1049" s="62" t="n">
        <v>0</v>
      </c>
    </row>
    <row r="1050" customFormat="false" ht="15" hidden="false" customHeight="false" outlineLevel="0" collapsed="false">
      <c r="A1050" s="62" t="n">
        <v>1049</v>
      </c>
      <c r="B1050" s="63" t="n">
        <v>46261.9736342593</v>
      </c>
      <c r="C1050" s="64" t="n">
        <v>46261</v>
      </c>
      <c r="D1050" s="62" t="s">
        <v>202</v>
      </c>
      <c r="E1050" s="62" t="s">
        <v>1590</v>
      </c>
      <c r="F1050" s="62" t="s">
        <v>1590</v>
      </c>
      <c r="G1050" s="62" t="s">
        <v>1591</v>
      </c>
      <c r="H1050" s="62" t="s">
        <v>52</v>
      </c>
      <c r="I1050" s="62" t="s">
        <v>47</v>
      </c>
      <c r="J1050" s="62" t="s">
        <v>146</v>
      </c>
      <c r="K1050" s="62" t="s">
        <v>209</v>
      </c>
      <c r="L1050" s="62" t="s">
        <v>148</v>
      </c>
      <c r="M1050" s="62" t="n">
        <v>0</v>
      </c>
      <c r="N1050" s="62" t="n">
        <v>1</v>
      </c>
      <c r="O1050" s="62" t="n">
        <v>1</v>
      </c>
      <c r="P1050" s="62" t="n">
        <v>1</v>
      </c>
      <c r="Q1050" s="62" t="n">
        <v>0</v>
      </c>
      <c r="R1050" s="62" t="n">
        <v>0</v>
      </c>
      <c r="S1050" s="62" t="n">
        <v>0</v>
      </c>
      <c r="T1050" s="62" t="n">
        <v>0</v>
      </c>
      <c r="U1050" s="62"/>
      <c r="V1050" s="62"/>
      <c r="W1050" s="62"/>
      <c r="X1050" s="62"/>
      <c r="Y1050" s="62"/>
      <c r="Z1050" s="62" t="s">
        <v>2046</v>
      </c>
      <c r="AA1050" s="62" t="s">
        <v>2047</v>
      </c>
      <c r="AB1050" s="62" t="n">
        <v>1</v>
      </c>
      <c r="AC1050" s="62" t="n">
        <v>0</v>
      </c>
      <c r="AD1050" s="62" t="n">
        <v>1</v>
      </c>
      <c r="AE1050" s="62" t="n">
        <f aca="false">IF(AND(Dashboard!$C$9="Yes",AC1050=1),0,1)</f>
        <v>1</v>
      </c>
      <c r="AF1050" s="62" t="n">
        <v>1</v>
      </c>
    </row>
    <row r="1051" customFormat="false" ht="15" hidden="false" customHeight="false" outlineLevel="0" collapsed="false">
      <c r="A1051" s="62" t="n">
        <v>1050</v>
      </c>
      <c r="B1051" s="63" t="n">
        <v>46261.9786342593</v>
      </c>
      <c r="C1051" s="64" t="n">
        <v>46261</v>
      </c>
      <c r="D1051" s="62" t="s">
        <v>202</v>
      </c>
      <c r="E1051" s="62" t="s">
        <v>218</v>
      </c>
      <c r="F1051" s="62" t="s">
        <v>218</v>
      </c>
      <c r="G1051" s="62" t="s">
        <v>219</v>
      </c>
      <c r="H1051" s="62" t="s">
        <v>51</v>
      </c>
      <c r="I1051" s="62" t="s">
        <v>47</v>
      </c>
      <c r="J1051" s="62" t="s">
        <v>146</v>
      </c>
      <c r="K1051" s="62" t="s">
        <v>147</v>
      </c>
      <c r="L1051" s="62" t="s">
        <v>148</v>
      </c>
      <c r="M1051" s="62" t="n">
        <v>0</v>
      </c>
      <c r="N1051" s="62" t="n">
        <v>1</v>
      </c>
      <c r="O1051" s="62" t="n">
        <v>1</v>
      </c>
      <c r="P1051" s="62" t="n">
        <v>0</v>
      </c>
      <c r="Q1051" s="62" t="n">
        <v>1</v>
      </c>
      <c r="R1051" s="62" t="n">
        <v>0</v>
      </c>
      <c r="S1051" s="62" t="n">
        <v>0</v>
      </c>
      <c r="T1051" s="62" t="n">
        <v>0</v>
      </c>
      <c r="U1051" s="62"/>
      <c r="V1051" s="62"/>
      <c r="W1051" s="62"/>
      <c r="X1051" s="62"/>
      <c r="Y1051" s="62"/>
      <c r="Z1051" s="62" t="s">
        <v>2048</v>
      </c>
      <c r="AA1051" s="62" t="s">
        <v>2049</v>
      </c>
      <c r="AB1051" s="62" t="n">
        <v>1</v>
      </c>
      <c r="AC1051" s="62" t="n">
        <v>0</v>
      </c>
      <c r="AD1051" s="62" t="n">
        <v>1</v>
      </c>
      <c r="AE1051" s="62" t="n">
        <f aca="false">IF(AND(Dashboard!$C$9="Yes",AC1051=1),0,1)</f>
        <v>1</v>
      </c>
      <c r="AF1051" s="62" t="n">
        <v>0</v>
      </c>
    </row>
    <row r="1052" customFormat="false" ht="15" hidden="false" customHeight="false" outlineLevel="0" collapsed="false">
      <c r="A1052" s="62" t="n">
        <v>1051</v>
      </c>
      <c r="B1052" s="63" t="n">
        <v>46261.9869328704</v>
      </c>
      <c r="C1052" s="64" t="n">
        <v>46261</v>
      </c>
      <c r="D1052" s="62" t="s">
        <v>202</v>
      </c>
      <c r="E1052" s="62" t="s">
        <v>2050</v>
      </c>
      <c r="F1052" s="62" t="s">
        <v>2050</v>
      </c>
      <c r="G1052" s="62" t="s">
        <v>2051</v>
      </c>
      <c r="H1052" s="62" t="s">
        <v>46</v>
      </c>
      <c r="I1052" s="62" t="s">
        <v>47</v>
      </c>
      <c r="J1052" s="62" t="s">
        <v>146</v>
      </c>
      <c r="K1052" s="62" t="s">
        <v>209</v>
      </c>
      <c r="L1052" s="62" t="s">
        <v>148</v>
      </c>
      <c r="M1052" s="62" t="n">
        <v>0</v>
      </c>
      <c r="N1052" s="62" t="n">
        <v>1</v>
      </c>
      <c r="O1052" s="62" t="n">
        <v>1</v>
      </c>
      <c r="P1052" s="62" t="n">
        <v>1</v>
      </c>
      <c r="Q1052" s="62" t="n">
        <v>0</v>
      </c>
      <c r="R1052" s="62" t="n">
        <v>0</v>
      </c>
      <c r="S1052" s="62" t="n">
        <v>0</v>
      </c>
      <c r="T1052" s="62" t="n">
        <v>0</v>
      </c>
      <c r="U1052" s="62"/>
      <c r="V1052" s="62"/>
      <c r="W1052" s="62"/>
      <c r="X1052" s="62"/>
      <c r="Y1052" s="62"/>
      <c r="Z1052" s="62" t="s">
        <v>2052</v>
      </c>
      <c r="AA1052" s="62" t="s">
        <v>1056</v>
      </c>
      <c r="AB1052" s="62" t="n">
        <v>0</v>
      </c>
      <c r="AC1052" s="62" t="n">
        <v>0</v>
      </c>
      <c r="AD1052" s="62" t="n">
        <v>1</v>
      </c>
      <c r="AE1052" s="62" t="n">
        <f aca="false">IF(AND(Dashboard!$C$9="Yes",AC1052=1),0,1)</f>
        <v>1</v>
      </c>
      <c r="AF1052" s="62" t="n">
        <v>1</v>
      </c>
    </row>
    <row r="1053" customFormat="false" ht="15" hidden="false" customHeight="false" outlineLevel="0" collapsed="false">
      <c r="A1053" s="62" t="n">
        <v>1052</v>
      </c>
      <c r="B1053" s="63" t="n">
        <v>46261.9895023148</v>
      </c>
      <c r="C1053" s="64" t="n">
        <v>46261</v>
      </c>
      <c r="D1053" s="62" t="s">
        <v>202</v>
      </c>
      <c r="E1053" s="62" t="s">
        <v>518</v>
      </c>
      <c r="F1053" s="62" t="s">
        <v>518</v>
      </c>
      <c r="G1053" s="62" t="s">
        <v>519</v>
      </c>
      <c r="H1053" s="62" t="s">
        <v>52</v>
      </c>
      <c r="I1053" s="62" t="s">
        <v>47</v>
      </c>
      <c r="J1053" s="62" t="s">
        <v>146</v>
      </c>
      <c r="K1053" s="62" t="s">
        <v>147</v>
      </c>
      <c r="L1053" s="62" t="s">
        <v>148</v>
      </c>
      <c r="M1053" s="62" t="n">
        <v>0</v>
      </c>
      <c r="N1053" s="62" t="n">
        <v>1</v>
      </c>
      <c r="O1053" s="62" t="n">
        <v>1</v>
      </c>
      <c r="P1053" s="62" t="n">
        <v>0</v>
      </c>
      <c r="Q1053" s="62" t="n">
        <v>1</v>
      </c>
      <c r="R1053" s="62" t="n">
        <v>0</v>
      </c>
      <c r="S1053" s="62" t="n">
        <v>0</v>
      </c>
      <c r="T1053" s="62" t="n">
        <v>0</v>
      </c>
      <c r="U1053" s="62"/>
      <c r="V1053" s="62"/>
      <c r="W1053" s="62"/>
      <c r="X1053" s="62"/>
      <c r="Y1053" s="62"/>
      <c r="Z1053" s="62" t="s">
        <v>2053</v>
      </c>
      <c r="AA1053" s="62" t="s">
        <v>2054</v>
      </c>
      <c r="AB1053" s="62" t="n">
        <v>1</v>
      </c>
      <c r="AC1053" s="62" t="n">
        <v>0</v>
      </c>
      <c r="AD1053" s="62" t="n">
        <v>1</v>
      </c>
      <c r="AE1053" s="62" t="n">
        <f aca="false">IF(AND(Dashboard!$C$9="Yes",AC1053=1),0,1)</f>
        <v>1</v>
      </c>
      <c r="AF1053" s="62" t="n">
        <v>1</v>
      </c>
    </row>
    <row r="1054" customFormat="false" ht="15" hidden="false" customHeight="false" outlineLevel="0" collapsed="false">
      <c r="A1054" s="62" t="n">
        <v>1053</v>
      </c>
      <c r="B1054" s="63" t="n">
        <v>46262.0181481482</v>
      </c>
      <c r="C1054" s="64" t="n">
        <v>46261</v>
      </c>
      <c r="D1054" s="62" t="s">
        <v>202</v>
      </c>
      <c r="E1054" s="62" t="s">
        <v>892</v>
      </c>
      <c r="F1054" s="62" t="s">
        <v>892</v>
      </c>
      <c r="G1054" s="62" t="s">
        <v>893</v>
      </c>
      <c r="H1054" s="62" t="s">
        <v>46</v>
      </c>
      <c r="I1054" s="62" t="s">
        <v>47</v>
      </c>
      <c r="J1054" s="62" t="s">
        <v>146</v>
      </c>
      <c r="K1054" s="62" t="s">
        <v>209</v>
      </c>
      <c r="L1054" s="62" t="s">
        <v>148</v>
      </c>
      <c r="M1054" s="62" t="n">
        <v>0</v>
      </c>
      <c r="N1054" s="62" t="n">
        <v>1</v>
      </c>
      <c r="O1054" s="62" t="n">
        <v>1</v>
      </c>
      <c r="P1054" s="62" t="n">
        <v>1</v>
      </c>
      <c r="Q1054" s="62" t="n">
        <v>0</v>
      </c>
      <c r="R1054" s="62" t="n">
        <v>0</v>
      </c>
      <c r="S1054" s="62" t="n">
        <v>0</v>
      </c>
      <c r="T1054" s="62" t="n">
        <v>0</v>
      </c>
      <c r="U1054" s="62"/>
      <c r="V1054" s="62"/>
      <c r="W1054" s="62"/>
      <c r="X1054" s="62"/>
      <c r="Y1054" s="62"/>
      <c r="Z1054" s="62" t="s">
        <v>2055</v>
      </c>
      <c r="AA1054" s="62" t="s">
        <v>337</v>
      </c>
      <c r="AB1054" s="62" t="n">
        <v>0</v>
      </c>
      <c r="AC1054" s="62" t="n">
        <v>0</v>
      </c>
      <c r="AD1054" s="62" t="n">
        <v>1</v>
      </c>
      <c r="AE1054" s="62" t="n">
        <f aca="false">IF(AND(Dashboard!$C$9="Yes",AC1054=1),0,1)</f>
        <v>1</v>
      </c>
      <c r="AF1054" s="62" t="n">
        <v>0</v>
      </c>
    </row>
    <row r="1055" customFormat="false" ht="15" hidden="false" customHeight="false" outlineLevel="0" collapsed="false">
      <c r="A1055" s="62" t="n">
        <v>1054</v>
      </c>
      <c r="B1055" s="63" t="n">
        <v>46262.0391898148</v>
      </c>
      <c r="C1055" s="64" t="n">
        <v>46261</v>
      </c>
      <c r="D1055" s="62" t="s">
        <v>202</v>
      </c>
      <c r="E1055" s="62" t="s">
        <v>865</v>
      </c>
      <c r="F1055" s="62" t="s">
        <v>865</v>
      </c>
      <c r="G1055" s="62" t="s">
        <v>866</v>
      </c>
      <c r="H1055" s="62" t="s">
        <v>46</v>
      </c>
      <c r="I1055" s="62" t="s">
        <v>47</v>
      </c>
      <c r="J1055" s="62" t="s">
        <v>146</v>
      </c>
      <c r="K1055" s="62" t="s">
        <v>209</v>
      </c>
      <c r="L1055" s="62" t="s">
        <v>4</v>
      </c>
      <c r="M1055" s="62" t="n">
        <v>1</v>
      </c>
      <c r="N1055" s="62" t="n">
        <v>0</v>
      </c>
      <c r="O1055" s="62" t="n">
        <v>1</v>
      </c>
      <c r="P1055" s="62" t="n">
        <v>0</v>
      </c>
      <c r="Q1055" s="62" t="n">
        <v>0</v>
      </c>
      <c r="R1055" s="62" t="n">
        <v>0</v>
      </c>
      <c r="S1055" s="62" t="n">
        <v>0</v>
      </c>
      <c r="T1055" s="62" t="n">
        <v>0</v>
      </c>
      <c r="U1055" s="62" t="s">
        <v>2056</v>
      </c>
      <c r="V1055" s="62" t="s">
        <v>2057</v>
      </c>
      <c r="W1055" s="62" t="s">
        <v>15</v>
      </c>
      <c r="X1055" s="62" t="s">
        <v>2058</v>
      </c>
      <c r="Y1055" s="62" t="s">
        <v>2059</v>
      </c>
      <c r="Z1055" s="62" t="s">
        <v>2060</v>
      </c>
      <c r="AA1055" s="62" t="s">
        <v>2061</v>
      </c>
      <c r="AB1055" s="62" t="n">
        <v>1</v>
      </c>
      <c r="AC1055" s="62" t="n">
        <v>0</v>
      </c>
      <c r="AD1055" s="62" t="n">
        <v>1</v>
      </c>
      <c r="AE1055" s="62" t="n">
        <f aca="false">IF(AND(Dashboard!$C$9="Yes",AC1055=1),0,1)</f>
        <v>1</v>
      </c>
      <c r="AF1055" s="62" t="n">
        <v>1</v>
      </c>
    </row>
    <row r="1056" customFormat="false" ht="15" hidden="false" customHeight="false" outlineLevel="0" collapsed="false">
      <c r="A1056" s="62" t="n">
        <v>1055</v>
      </c>
      <c r="B1056" s="63" t="n">
        <v>46262.064525463</v>
      </c>
      <c r="C1056" s="64" t="n">
        <v>46261</v>
      </c>
      <c r="D1056" s="62" t="s">
        <v>202</v>
      </c>
      <c r="E1056" s="62" t="s">
        <v>212</v>
      </c>
      <c r="F1056" s="62" t="s">
        <v>212</v>
      </c>
      <c r="G1056" s="62" t="s">
        <v>213</v>
      </c>
      <c r="H1056" s="62" t="s">
        <v>58</v>
      </c>
      <c r="I1056" s="62" t="s">
        <v>49</v>
      </c>
      <c r="J1056" s="62" t="s">
        <v>146</v>
      </c>
      <c r="K1056" s="62" t="s">
        <v>175</v>
      </c>
      <c r="L1056" s="62" t="s">
        <v>4</v>
      </c>
      <c r="M1056" s="62" t="n">
        <v>1</v>
      </c>
      <c r="N1056" s="62" t="n">
        <v>0</v>
      </c>
      <c r="O1056" s="62" t="n">
        <v>1</v>
      </c>
      <c r="P1056" s="62" t="n">
        <v>0</v>
      </c>
      <c r="Q1056" s="62" t="n">
        <v>0</v>
      </c>
      <c r="R1056" s="62" t="n">
        <v>0</v>
      </c>
      <c r="S1056" s="62" t="n">
        <v>0</v>
      </c>
      <c r="T1056" s="62" t="n">
        <v>0</v>
      </c>
      <c r="U1056" s="62"/>
      <c r="V1056" s="62"/>
      <c r="W1056" s="62"/>
      <c r="X1056" s="62"/>
      <c r="Y1056" s="62"/>
      <c r="Z1056" s="62" t="s">
        <v>2062</v>
      </c>
      <c r="AA1056" s="62" t="s">
        <v>2063</v>
      </c>
      <c r="AB1056" s="62" t="n">
        <v>1</v>
      </c>
      <c r="AC1056" s="62" t="n">
        <v>0</v>
      </c>
      <c r="AD1056" s="62" t="n">
        <v>1</v>
      </c>
      <c r="AE1056" s="62" t="n">
        <f aca="false">IF(AND(Dashboard!$C$9="Yes",AC1056=1),0,1)</f>
        <v>1</v>
      </c>
      <c r="AF1056" s="62" t="n">
        <v>0</v>
      </c>
    </row>
    <row r="1057" customFormat="false" ht="15" hidden="false" customHeight="false" outlineLevel="0" collapsed="false">
      <c r="A1057" s="62" t="n">
        <v>1056</v>
      </c>
      <c r="B1057" s="63" t="n">
        <v>46262.0730092593</v>
      </c>
      <c r="C1057" s="64" t="n">
        <v>46261</v>
      </c>
      <c r="D1057" s="62" t="s">
        <v>202</v>
      </c>
      <c r="E1057" s="62" t="s">
        <v>1652</v>
      </c>
      <c r="F1057" s="62" t="s">
        <v>1652</v>
      </c>
      <c r="G1057" s="62" t="s">
        <v>1653</v>
      </c>
      <c r="H1057" s="62" t="s">
        <v>57</v>
      </c>
      <c r="I1057" s="62" t="s">
        <v>47</v>
      </c>
      <c r="J1057" s="62" t="s">
        <v>146</v>
      </c>
      <c r="K1057" s="62" t="s">
        <v>175</v>
      </c>
      <c r="L1057" s="62" t="s">
        <v>4</v>
      </c>
      <c r="M1057" s="62" t="n">
        <v>1</v>
      </c>
      <c r="N1057" s="62" t="n">
        <v>0</v>
      </c>
      <c r="O1057" s="62" t="n">
        <v>1</v>
      </c>
      <c r="P1057" s="62" t="n">
        <v>0</v>
      </c>
      <c r="Q1057" s="62" t="n">
        <v>0</v>
      </c>
      <c r="R1057" s="62" t="n">
        <v>0</v>
      </c>
      <c r="S1057" s="62" t="n">
        <v>0</v>
      </c>
      <c r="T1057" s="62" t="n">
        <v>0</v>
      </c>
      <c r="U1057" s="62" t="s">
        <v>15</v>
      </c>
      <c r="V1057" s="62" t="s">
        <v>2057</v>
      </c>
      <c r="W1057" s="62" t="s">
        <v>2056</v>
      </c>
      <c r="X1057" s="62" t="s">
        <v>2058</v>
      </c>
      <c r="Y1057" s="62" t="s">
        <v>2064</v>
      </c>
      <c r="Z1057" s="62" t="s">
        <v>2065</v>
      </c>
      <c r="AA1057" s="62" t="s">
        <v>2065</v>
      </c>
      <c r="AB1057" s="62" t="n">
        <v>1</v>
      </c>
      <c r="AC1057" s="62" t="n">
        <v>0</v>
      </c>
      <c r="AD1057" s="62" t="n">
        <v>1</v>
      </c>
      <c r="AE1057" s="62" t="n">
        <f aca="false">IF(AND(Dashboard!$C$9="Yes",AC1057=1),0,1)</f>
        <v>1</v>
      </c>
      <c r="AF1057" s="62" t="n">
        <v>1</v>
      </c>
    </row>
    <row r="1058" customFormat="false" ht="15" hidden="false" customHeight="false" outlineLevel="0" collapsed="false">
      <c r="A1058" s="62" t="n">
        <v>1057</v>
      </c>
      <c r="B1058" s="63" t="n">
        <v>46262.0747453704</v>
      </c>
      <c r="C1058" s="64" t="n">
        <v>46261</v>
      </c>
      <c r="D1058" s="62" t="s">
        <v>202</v>
      </c>
      <c r="E1058" s="62" t="s">
        <v>884</v>
      </c>
      <c r="F1058" s="62" t="s">
        <v>884</v>
      </c>
      <c r="G1058" s="62" t="s">
        <v>885</v>
      </c>
      <c r="H1058" s="62" t="s">
        <v>46</v>
      </c>
      <c r="I1058" s="62" t="s">
        <v>47</v>
      </c>
      <c r="J1058" s="62" t="s">
        <v>146</v>
      </c>
      <c r="K1058" s="62" t="s">
        <v>209</v>
      </c>
      <c r="L1058" s="62" t="s">
        <v>148</v>
      </c>
      <c r="M1058" s="62" t="n">
        <v>0</v>
      </c>
      <c r="N1058" s="62" t="n">
        <v>5</v>
      </c>
      <c r="O1058" s="62" t="n">
        <v>5</v>
      </c>
      <c r="P1058" s="62" t="n">
        <v>0</v>
      </c>
      <c r="Q1058" s="62" t="n">
        <v>0</v>
      </c>
      <c r="R1058" s="62" t="n">
        <v>0</v>
      </c>
      <c r="S1058" s="62" t="n">
        <v>1</v>
      </c>
      <c r="T1058" s="62" t="n">
        <v>1</v>
      </c>
      <c r="U1058" s="62"/>
      <c r="V1058" s="62"/>
      <c r="W1058" s="62"/>
      <c r="X1058" s="62"/>
      <c r="Y1058" s="62"/>
      <c r="Z1058" s="62" t="s">
        <v>2066</v>
      </c>
      <c r="AA1058" s="62" t="s">
        <v>2067</v>
      </c>
      <c r="AB1058" s="62" t="n">
        <v>1</v>
      </c>
      <c r="AC1058" s="62" t="n">
        <v>0</v>
      </c>
      <c r="AD1058" s="62" t="n">
        <v>1</v>
      </c>
      <c r="AE1058" s="62" t="n">
        <f aca="false">IF(AND(Dashboard!$C$9="Yes",AC1058=1),0,1)</f>
        <v>1</v>
      </c>
      <c r="AF1058" s="62" t="n">
        <v>1</v>
      </c>
    </row>
    <row r="1059" customFormat="false" ht="15" hidden="false" customHeight="false" outlineLevel="0" collapsed="false">
      <c r="A1059" s="62" t="n">
        <v>1058</v>
      </c>
      <c r="B1059" s="63" t="n">
        <v>46262.0755439815</v>
      </c>
      <c r="C1059" s="64" t="n">
        <v>46261</v>
      </c>
      <c r="D1059" s="62" t="s">
        <v>202</v>
      </c>
      <c r="E1059" s="62" t="s">
        <v>884</v>
      </c>
      <c r="F1059" s="62" t="s">
        <v>884</v>
      </c>
      <c r="G1059" s="62" t="s">
        <v>885</v>
      </c>
      <c r="H1059" s="62" t="s">
        <v>46</v>
      </c>
      <c r="I1059" s="62" t="s">
        <v>47</v>
      </c>
      <c r="J1059" s="62" t="s">
        <v>146</v>
      </c>
      <c r="K1059" s="62" t="s">
        <v>209</v>
      </c>
      <c r="L1059" s="62" t="s">
        <v>4</v>
      </c>
      <c r="M1059" s="62" t="n">
        <v>1</v>
      </c>
      <c r="N1059" s="62" t="n">
        <v>0</v>
      </c>
      <c r="O1059" s="62" t="n">
        <v>1</v>
      </c>
      <c r="P1059" s="62" t="n">
        <v>0</v>
      </c>
      <c r="Q1059" s="62" t="n">
        <v>0</v>
      </c>
      <c r="R1059" s="62" t="n">
        <v>0</v>
      </c>
      <c r="S1059" s="62" t="n">
        <v>0</v>
      </c>
      <c r="T1059" s="62" t="n">
        <v>0</v>
      </c>
      <c r="U1059" s="62" t="s">
        <v>15</v>
      </c>
      <c r="V1059" s="62" t="s">
        <v>2068</v>
      </c>
      <c r="W1059" s="62"/>
      <c r="X1059" s="62" t="s">
        <v>2069</v>
      </c>
      <c r="Y1059" s="62" t="s">
        <v>2064</v>
      </c>
      <c r="Z1059" s="62" t="s">
        <v>2066</v>
      </c>
      <c r="AA1059" s="62" t="s">
        <v>2070</v>
      </c>
      <c r="AB1059" s="62" t="n">
        <v>1</v>
      </c>
      <c r="AC1059" s="62" t="n">
        <v>0</v>
      </c>
      <c r="AD1059" s="62" t="n">
        <v>1</v>
      </c>
      <c r="AE1059" s="62" t="n">
        <f aca="false">IF(AND(Dashboard!$C$9="Yes",AC1059=1),0,1)</f>
        <v>1</v>
      </c>
      <c r="AF1059" s="62" t="n">
        <v>0</v>
      </c>
    </row>
    <row r="1060" customFormat="false" ht="15" hidden="false" customHeight="false" outlineLevel="0" collapsed="false">
      <c r="A1060" s="62" t="n">
        <v>1059</v>
      </c>
      <c r="B1060" s="63" t="n">
        <v>46262.0871296296</v>
      </c>
      <c r="C1060" s="64" t="n">
        <v>46261</v>
      </c>
      <c r="D1060" s="62" t="s">
        <v>202</v>
      </c>
      <c r="E1060" s="62" t="s">
        <v>2071</v>
      </c>
      <c r="F1060" s="62" t="s">
        <v>2071</v>
      </c>
      <c r="G1060" s="62" t="s">
        <v>2072</v>
      </c>
      <c r="H1060" s="62" t="s">
        <v>58</v>
      </c>
      <c r="I1060" s="62" t="s">
        <v>49</v>
      </c>
      <c r="J1060" s="62" t="s">
        <v>146</v>
      </c>
      <c r="K1060" s="62" t="s">
        <v>175</v>
      </c>
      <c r="L1060" s="62" t="s">
        <v>4</v>
      </c>
      <c r="M1060" s="62" t="n">
        <v>1</v>
      </c>
      <c r="N1060" s="62" t="n">
        <v>0</v>
      </c>
      <c r="O1060" s="62" t="n">
        <v>1</v>
      </c>
      <c r="P1060" s="62" t="n">
        <v>0</v>
      </c>
      <c r="Q1060" s="62" t="n">
        <v>0</v>
      </c>
      <c r="R1060" s="62" t="n">
        <v>0</v>
      </c>
      <c r="S1060" s="62" t="n">
        <v>0</v>
      </c>
      <c r="T1060" s="62" t="n">
        <v>0</v>
      </c>
      <c r="U1060" s="62" t="s">
        <v>2056</v>
      </c>
      <c r="V1060" s="62" t="s">
        <v>2057</v>
      </c>
      <c r="W1060" s="62" t="s">
        <v>15</v>
      </c>
      <c r="X1060" s="62" t="s">
        <v>2058</v>
      </c>
      <c r="Y1060" s="62" t="s">
        <v>2059</v>
      </c>
      <c r="Z1060" s="62" t="s">
        <v>2073</v>
      </c>
      <c r="AA1060" s="62" t="s">
        <v>2074</v>
      </c>
      <c r="AB1060" s="62" t="n">
        <v>1</v>
      </c>
      <c r="AC1060" s="62" t="n">
        <v>0</v>
      </c>
      <c r="AD1060" s="62" t="n">
        <v>1</v>
      </c>
      <c r="AE1060" s="62" t="n">
        <f aca="false">IF(AND(Dashboard!$C$9="Yes",AC1060=1),0,1)</f>
        <v>1</v>
      </c>
      <c r="AF1060" s="62" t="n">
        <v>1</v>
      </c>
    </row>
    <row r="1061" customFormat="false" ht="15" hidden="false" customHeight="false" outlineLevel="0" collapsed="false">
      <c r="A1061" s="62" t="n">
        <v>1060</v>
      </c>
      <c r="B1061" s="63" t="n">
        <v>46262.1105902778</v>
      </c>
      <c r="C1061" s="64" t="n">
        <v>46261</v>
      </c>
      <c r="D1061" s="62" t="s">
        <v>202</v>
      </c>
      <c r="E1061" s="62" t="s">
        <v>2050</v>
      </c>
      <c r="F1061" s="62" t="s">
        <v>2050</v>
      </c>
      <c r="G1061" s="62" t="s">
        <v>2051</v>
      </c>
      <c r="H1061" s="62" t="s">
        <v>46</v>
      </c>
      <c r="I1061" s="62" t="s">
        <v>47</v>
      </c>
      <c r="J1061" s="62" t="s">
        <v>146</v>
      </c>
      <c r="K1061" s="62" t="s">
        <v>209</v>
      </c>
      <c r="L1061" s="62" t="s">
        <v>148</v>
      </c>
      <c r="M1061" s="62" t="n">
        <v>0</v>
      </c>
      <c r="N1061" s="62" t="n">
        <v>2</v>
      </c>
      <c r="O1061" s="62" t="n">
        <v>2</v>
      </c>
      <c r="P1061" s="62" t="n">
        <v>1</v>
      </c>
      <c r="Q1061" s="62" t="n">
        <v>1</v>
      </c>
      <c r="R1061" s="62" t="n">
        <v>0</v>
      </c>
      <c r="S1061" s="62" t="n">
        <v>0</v>
      </c>
      <c r="T1061" s="62" t="n">
        <v>0</v>
      </c>
      <c r="U1061" s="62"/>
      <c r="V1061" s="62"/>
      <c r="W1061" s="62"/>
      <c r="X1061" s="62"/>
      <c r="Y1061" s="62"/>
      <c r="Z1061" s="62" t="s">
        <v>2075</v>
      </c>
      <c r="AA1061" s="62" t="s">
        <v>2076</v>
      </c>
      <c r="AB1061" s="62" t="n">
        <v>0</v>
      </c>
      <c r="AC1061" s="62" t="n">
        <v>0</v>
      </c>
      <c r="AD1061" s="62" t="n">
        <v>1</v>
      </c>
      <c r="AE1061" s="62" t="n">
        <f aca="false">IF(AND(Dashboard!$C$9="Yes",AC1061=1),0,1)</f>
        <v>1</v>
      </c>
      <c r="AF1061" s="62" t="n">
        <v>0</v>
      </c>
    </row>
    <row r="1062" customFormat="false" ht="15" hidden="false" customHeight="false" outlineLevel="0" collapsed="false">
      <c r="A1062" s="62" t="n">
        <v>1061</v>
      </c>
      <c r="B1062" s="63" t="n">
        <v>46262.1150347222</v>
      </c>
      <c r="C1062" s="64" t="n">
        <v>46261</v>
      </c>
      <c r="D1062" s="62" t="s">
        <v>202</v>
      </c>
      <c r="E1062" s="62" t="s">
        <v>2077</v>
      </c>
      <c r="F1062" s="62" t="s">
        <v>2077</v>
      </c>
      <c r="G1062" s="62" t="s">
        <v>2078</v>
      </c>
      <c r="H1062" s="62" t="s">
        <v>52</v>
      </c>
      <c r="I1062" s="62" t="s">
        <v>47</v>
      </c>
      <c r="J1062" s="62" t="s">
        <v>146</v>
      </c>
      <c r="K1062" s="62" t="s">
        <v>147</v>
      </c>
      <c r="L1062" s="62" t="s">
        <v>148</v>
      </c>
      <c r="M1062" s="62" t="n">
        <v>0</v>
      </c>
      <c r="N1062" s="62" t="n">
        <v>1</v>
      </c>
      <c r="O1062" s="62" t="n">
        <v>1</v>
      </c>
      <c r="P1062" s="62" t="n">
        <v>1</v>
      </c>
      <c r="Q1062" s="62" t="n">
        <v>0</v>
      </c>
      <c r="R1062" s="62" t="n">
        <v>0</v>
      </c>
      <c r="S1062" s="62" t="n">
        <v>0</v>
      </c>
      <c r="T1062" s="62" t="n">
        <v>0</v>
      </c>
      <c r="U1062" s="62"/>
      <c r="V1062" s="62"/>
      <c r="W1062" s="62"/>
      <c r="X1062" s="62"/>
      <c r="Y1062" s="62"/>
      <c r="Z1062" s="62" t="s">
        <v>2079</v>
      </c>
      <c r="AA1062" s="62" t="s">
        <v>2080</v>
      </c>
      <c r="AB1062" s="62" t="n">
        <v>1</v>
      </c>
      <c r="AC1062" s="62" t="n">
        <v>0</v>
      </c>
      <c r="AD1062" s="62" t="n">
        <v>1</v>
      </c>
      <c r="AE1062" s="62" t="n">
        <f aca="false">IF(AND(Dashboard!$C$9="Yes",AC1062=1),0,1)</f>
        <v>1</v>
      </c>
      <c r="AF1062" s="62" t="n">
        <v>1</v>
      </c>
    </row>
    <row r="1063" customFormat="false" ht="15" hidden="false" customHeight="false" outlineLevel="0" collapsed="false">
      <c r="A1063" s="62" t="n">
        <v>1062</v>
      </c>
      <c r="B1063" s="63" t="n">
        <v>46262.1203819444</v>
      </c>
      <c r="C1063" s="64" t="n">
        <v>46261</v>
      </c>
      <c r="D1063" s="62" t="s">
        <v>202</v>
      </c>
      <c r="E1063" s="62" t="s">
        <v>2081</v>
      </c>
      <c r="F1063" s="62" t="s">
        <v>2081</v>
      </c>
      <c r="G1063" s="62" t="s">
        <v>2082</v>
      </c>
      <c r="H1063" s="62" t="s">
        <v>57</v>
      </c>
      <c r="I1063" s="62" t="s">
        <v>47</v>
      </c>
      <c r="J1063" s="62" t="s">
        <v>146</v>
      </c>
      <c r="K1063" s="62" t="s">
        <v>147</v>
      </c>
      <c r="L1063" s="62" t="s">
        <v>148</v>
      </c>
      <c r="M1063" s="62" t="n">
        <v>0</v>
      </c>
      <c r="N1063" s="62" t="n">
        <v>1</v>
      </c>
      <c r="O1063" s="62" t="n">
        <v>1</v>
      </c>
      <c r="P1063" s="62" t="n">
        <v>1</v>
      </c>
      <c r="Q1063" s="62" t="n">
        <v>0</v>
      </c>
      <c r="R1063" s="62" t="n">
        <v>0</v>
      </c>
      <c r="S1063" s="62" t="n">
        <v>0</v>
      </c>
      <c r="T1063" s="62" t="n">
        <v>0</v>
      </c>
      <c r="U1063" s="62"/>
      <c r="V1063" s="62"/>
      <c r="W1063" s="62"/>
      <c r="X1063" s="62"/>
      <c r="Y1063" s="62"/>
      <c r="Z1063" s="62" t="s">
        <v>2083</v>
      </c>
      <c r="AA1063" s="62" t="s">
        <v>2084</v>
      </c>
      <c r="AB1063" s="62" t="n">
        <v>1</v>
      </c>
      <c r="AC1063" s="62" t="n">
        <v>0</v>
      </c>
      <c r="AD1063" s="62" t="n">
        <v>1</v>
      </c>
      <c r="AE1063" s="62" t="n">
        <f aca="false">IF(AND(Dashboard!$C$9="Yes",AC1063=1),0,1)</f>
        <v>1</v>
      </c>
      <c r="AF1063" s="62" t="n">
        <v>1</v>
      </c>
    </row>
    <row r="1064" customFormat="false" ht="15" hidden="false" customHeight="false" outlineLevel="0" collapsed="false">
      <c r="A1064" s="62" t="n">
        <v>1063</v>
      </c>
      <c r="B1064" s="63" t="n">
        <v>46262.1226041667</v>
      </c>
      <c r="C1064" s="64" t="n">
        <v>46261</v>
      </c>
      <c r="D1064" s="62" t="s">
        <v>202</v>
      </c>
      <c r="E1064" s="62" t="s">
        <v>2050</v>
      </c>
      <c r="F1064" s="62" t="s">
        <v>2050</v>
      </c>
      <c r="G1064" s="62" t="s">
        <v>2051</v>
      </c>
      <c r="H1064" s="62" t="s">
        <v>46</v>
      </c>
      <c r="I1064" s="62" t="s">
        <v>47</v>
      </c>
      <c r="J1064" s="62" t="s">
        <v>146</v>
      </c>
      <c r="K1064" s="62" t="s">
        <v>209</v>
      </c>
      <c r="L1064" s="62" t="s">
        <v>4</v>
      </c>
      <c r="M1064" s="62" t="n">
        <v>1</v>
      </c>
      <c r="N1064" s="62" t="n">
        <v>0</v>
      </c>
      <c r="O1064" s="62" t="n">
        <v>1</v>
      </c>
      <c r="P1064" s="62" t="n">
        <v>0</v>
      </c>
      <c r="Q1064" s="62" t="n">
        <v>0</v>
      </c>
      <c r="R1064" s="62" t="n">
        <v>0</v>
      </c>
      <c r="S1064" s="62" t="n">
        <v>0</v>
      </c>
      <c r="T1064" s="62" t="n">
        <v>0</v>
      </c>
      <c r="U1064" s="62" t="s">
        <v>2056</v>
      </c>
      <c r="V1064" s="62" t="s">
        <v>2057</v>
      </c>
      <c r="W1064" s="62" t="s">
        <v>15</v>
      </c>
      <c r="X1064" s="62" t="s">
        <v>2058</v>
      </c>
      <c r="Y1064" s="62" t="s">
        <v>2059</v>
      </c>
      <c r="Z1064" s="62" t="s">
        <v>2075</v>
      </c>
      <c r="AA1064" s="62" t="s">
        <v>2076</v>
      </c>
      <c r="AB1064" s="62" t="n">
        <v>0</v>
      </c>
      <c r="AC1064" s="62" t="n">
        <v>0</v>
      </c>
      <c r="AD1064" s="62" t="n">
        <v>1</v>
      </c>
      <c r="AE1064" s="62" t="n">
        <f aca="false">IF(AND(Dashboard!$C$9="Yes",AC1064=1),0,1)</f>
        <v>1</v>
      </c>
      <c r="AF1064" s="62" t="n">
        <v>0</v>
      </c>
    </row>
    <row r="1065" customFormat="false" ht="15" hidden="false" customHeight="false" outlineLevel="0" collapsed="false">
      <c r="A1065" s="62" t="n">
        <v>1064</v>
      </c>
      <c r="B1065" s="63" t="n">
        <v>46262.1935185185</v>
      </c>
      <c r="C1065" s="64" t="n">
        <v>46261</v>
      </c>
      <c r="D1065" s="62" t="s">
        <v>202</v>
      </c>
      <c r="E1065" s="62" t="s">
        <v>1590</v>
      </c>
      <c r="F1065" s="62" t="s">
        <v>1590</v>
      </c>
      <c r="G1065" s="62" t="s">
        <v>1591</v>
      </c>
      <c r="H1065" s="62" t="s">
        <v>52</v>
      </c>
      <c r="I1065" s="62" t="s">
        <v>47</v>
      </c>
      <c r="J1065" s="62" t="s">
        <v>146</v>
      </c>
      <c r="K1065" s="62" t="s">
        <v>209</v>
      </c>
      <c r="L1065" s="62" t="s">
        <v>4</v>
      </c>
      <c r="M1065" s="62" t="n">
        <v>1</v>
      </c>
      <c r="N1065" s="62" t="n">
        <v>0</v>
      </c>
      <c r="O1065" s="62" t="n">
        <v>1</v>
      </c>
      <c r="P1065" s="62" t="n">
        <v>0</v>
      </c>
      <c r="Q1065" s="62" t="n">
        <v>0</v>
      </c>
      <c r="R1065" s="62" t="n">
        <v>0</v>
      </c>
      <c r="S1065" s="62" t="n">
        <v>0</v>
      </c>
      <c r="T1065" s="62" t="n">
        <v>0</v>
      </c>
      <c r="U1065" s="62"/>
      <c r="V1065" s="62"/>
      <c r="W1065" s="62"/>
      <c r="X1065" s="62"/>
      <c r="Y1065" s="62"/>
      <c r="Z1065" s="62" t="s">
        <v>2085</v>
      </c>
      <c r="AA1065" s="62" t="s">
        <v>2086</v>
      </c>
      <c r="AB1065" s="62" t="n">
        <v>1</v>
      </c>
      <c r="AC1065" s="62" t="n">
        <v>0</v>
      </c>
      <c r="AD1065" s="62" t="n">
        <v>1</v>
      </c>
      <c r="AE1065" s="62" t="n">
        <f aca="false">IF(AND(Dashboard!$C$9="Yes",AC1065=1),0,1)</f>
        <v>1</v>
      </c>
      <c r="AF1065" s="62" t="n">
        <v>0</v>
      </c>
    </row>
    <row r="1066" customFormat="false" ht="15" hidden="false" customHeight="false" outlineLevel="0" collapsed="false">
      <c r="A1066" s="62" t="n">
        <v>1065</v>
      </c>
      <c r="B1066" s="63" t="n">
        <v>46262.1938657407</v>
      </c>
      <c r="C1066" s="64" t="n">
        <v>46261</v>
      </c>
      <c r="D1066" s="62" t="s">
        <v>202</v>
      </c>
      <c r="E1066" s="62" t="s">
        <v>1590</v>
      </c>
      <c r="F1066" s="62" t="s">
        <v>1590</v>
      </c>
      <c r="G1066" s="62" t="s">
        <v>1591</v>
      </c>
      <c r="H1066" s="62" t="s">
        <v>52</v>
      </c>
      <c r="I1066" s="62" t="s">
        <v>47</v>
      </c>
      <c r="J1066" s="62" t="s">
        <v>146</v>
      </c>
      <c r="K1066" s="62" t="s">
        <v>209</v>
      </c>
      <c r="L1066" s="62" t="s">
        <v>4</v>
      </c>
      <c r="M1066" s="62" t="n">
        <v>1</v>
      </c>
      <c r="N1066" s="62" t="n">
        <v>0</v>
      </c>
      <c r="O1066" s="62" t="n">
        <v>1</v>
      </c>
      <c r="P1066" s="62" t="n">
        <v>0</v>
      </c>
      <c r="Q1066" s="62" t="n">
        <v>0</v>
      </c>
      <c r="R1066" s="62" t="n">
        <v>0</v>
      </c>
      <c r="S1066" s="62" t="n">
        <v>0</v>
      </c>
      <c r="T1066" s="62" t="n">
        <v>0</v>
      </c>
      <c r="U1066" s="62"/>
      <c r="V1066" s="62"/>
      <c r="W1066" s="62"/>
      <c r="X1066" s="62"/>
      <c r="Y1066" s="62"/>
      <c r="Z1066" s="62" t="s">
        <v>2085</v>
      </c>
      <c r="AA1066" s="62" t="s">
        <v>2086</v>
      </c>
      <c r="AB1066" s="62" t="n">
        <v>1</v>
      </c>
      <c r="AC1066" s="62" t="n">
        <v>1</v>
      </c>
      <c r="AD1066" s="62" t="n">
        <v>1</v>
      </c>
      <c r="AE1066" s="62" t="n">
        <f aca="false">IF(AND(Dashboard!$C$9="Yes",AC1066=1),0,1)</f>
        <v>0</v>
      </c>
      <c r="AF1066" s="62" t="n">
        <v>0</v>
      </c>
    </row>
    <row r="1067" customFormat="false" ht="15" hidden="false" customHeight="false" outlineLevel="0" collapsed="false">
      <c r="A1067" s="62" t="n">
        <v>1066</v>
      </c>
      <c r="B1067" s="63" t="n">
        <v>46262.248125</v>
      </c>
      <c r="C1067" s="64" t="n">
        <v>46261</v>
      </c>
      <c r="D1067" s="62" t="s">
        <v>202</v>
      </c>
      <c r="E1067" s="62" t="s">
        <v>518</v>
      </c>
      <c r="F1067" s="62" t="s">
        <v>518</v>
      </c>
      <c r="G1067" s="62" t="s">
        <v>519</v>
      </c>
      <c r="H1067" s="62" t="s">
        <v>52</v>
      </c>
      <c r="I1067" s="62" t="s">
        <v>47</v>
      </c>
      <c r="J1067" s="62" t="s">
        <v>146</v>
      </c>
      <c r="K1067" s="62" t="s">
        <v>147</v>
      </c>
      <c r="L1067" s="62" t="s">
        <v>148</v>
      </c>
      <c r="M1067" s="62" t="n">
        <v>0</v>
      </c>
      <c r="N1067" s="62" t="n">
        <v>2</v>
      </c>
      <c r="O1067" s="62" t="n">
        <v>2</v>
      </c>
      <c r="P1067" s="62" t="n">
        <v>1</v>
      </c>
      <c r="Q1067" s="62" t="n">
        <v>1</v>
      </c>
      <c r="R1067" s="62" t="n">
        <v>0</v>
      </c>
      <c r="S1067" s="62" t="n">
        <v>0</v>
      </c>
      <c r="T1067" s="62" t="n">
        <v>0</v>
      </c>
      <c r="U1067" s="62"/>
      <c r="V1067" s="62"/>
      <c r="W1067" s="62"/>
      <c r="X1067" s="62"/>
      <c r="Y1067" s="62"/>
      <c r="Z1067" s="62" t="s">
        <v>2087</v>
      </c>
      <c r="AA1067" s="62" t="s">
        <v>2088</v>
      </c>
      <c r="AB1067" s="62" t="n">
        <v>1</v>
      </c>
      <c r="AC1067" s="62" t="n">
        <v>0</v>
      </c>
      <c r="AD1067" s="62" t="n">
        <v>1</v>
      </c>
      <c r="AE1067" s="62" t="n">
        <f aca="false">IF(AND(Dashboard!$C$9="Yes",AC1067=1),0,1)</f>
        <v>1</v>
      </c>
      <c r="AF1067" s="62" t="n">
        <v>0</v>
      </c>
    </row>
    <row r="1068" customFormat="false" ht="15" hidden="false" customHeight="false" outlineLevel="0" collapsed="false">
      <c r="A1068" s="62" t="n">
        <v>1067</v>
      </c>
      <c r="B1068" s="63" t="n">
        <v>46262.2491898148</v>
      </c>
      <c r="C1068" s="64" t="n">
        <v>46261</v>
      </c>
      <c r="D1068" s="62" t="s">
        <v>202</v>
      </c>
      <c r="E1068" s="62" t="s">
        <v>1652</v>
      </c>
      <c r="F1068" s="62" t="s">
        <v>1652</v>
      </c>
      <c r="G1068" s="62" t="s">
        <v>1653</v>
      </c>
      <c r="H1068" s="62" t="s">
        <v>57</v>
      </c>
      <c r="I1068" s="62" t="s">
        <v>47</v>
      </c>
      <c r="J1068" s="62" t="s">
        <v>146</v>
      </c>
      <c r="K1068" s="62" t="s">
        <v>175</v>
      </c>
      <c r="L1068" s="62" t="s">
        <v>148</v>
      </c>
      <c r="M1068" s="62" t="n">
        <v>0</v>
      </c>
      <c r="N1068" s="62" t="n">
        <v>1</v>
      </c>
      <c r="O1068" s="62" t="n">
        <v>1</v>
      </c>
      <c r="P1068" s="62" t="n">
        <v>0</v>
      </c>
      <c r="Q1068" s="62" t="n">
        <v>0</v>
      </c>
      <c r="R1068" s="62" t="n">
        <v>1</v>
      </c>
      <c r="S1068" s="62" t="n">
        <v>0</v>
      </c>
      <c r="T1068" s="62" t="n">
        <v>0</v>
      </c>
      <c r="U1068" s="62"/>
      <c r="V1068" s="62"/>
      <c r="W1068" s="62"/>
      <c r="X1068" s="62"/>
      <c r="Y1068" s="62"/>
      <c r="Z1068" s="62" t="s">
        <v>2089</v>
      </c>
      <c r="AA1068" s="62" t="s">
        <v>2090</v>
      </c>
      <c r="AB1068" s="62" t="n">
        <v>1</v>
      </c>
      <c r="AC1068" s="62" t="n">
        <v>0</v>
      </c>
      <c r="AD1068" s="62" t="n">
        <v>1</v>
      </c>
      <c r="AE1068" s="62" t="n">
        <f aca="false">IF(AND(Dashboard!$C$9="Yes",AC1068=1),0,1)</f>
        <v>1</v>
      </c>
      <c r="AF1068" s="62" t="n">
        <v>0</v>
      </c>
    </row>
    <row r="1069" customFormat="false" ht="15" hidden="false" customHeight="false" outlineLevel="0" collapsed="false">
      <c r="A1069" s="62" t="n">
        <v>1068</v>
      </c>
      <c r="B1069" s="63" t="n">
        <v>46262.2515393519</v>
      </c>
      <c r="C1069" s="64" t="n">
        <v>46261</v>
      </c>
      <c r="D1069" s="62" t="s">
        <v>202</v>
      </c>
      <c r="E1069" s="62" t="s">
        <v>1652</v>
      </c>
      <c r="F1069" s="62" t="s">
        <v>1652</v>
      </c>
      <c r="G1069" s="62" t="s">
        <v>1653</v>
      </c>
      <c r="H1069" s="62" t="s">
        <v>57</v>
      </c>
      <c r="I1069" s="62" t="s">
        <v>47</v>
      </c>
      <c r="J1069" s="62" t="s">
        <v>146</v>
      </c>
      <c r="K1069" s="62" t="s">
        <v>175</v>
      </c>
      <c r="L1069" s="62" t="s">
        <v>148</v>
      </c>
      <c r="M1069" s="62" t="n">
        <v>0</v>
      </c>
      <c r="N1069" s="62" t="n">
        <v>1</v>
      </c>
      <c r="O1069" s="62" t="n">
        <v>1</v>
      </c>
      <c r="P1069" s="62" t="n">
        <v>0</v>
      </c>
      <c r="Q1069" s="62" t="n">
        <v>0</v>
      </c>
      <c r="R1069" s="62" t="n">
        <v>1</v>
      </c>
      <c r="S1069" s="62" t="n">
        <v>0</v>
      </c>
      <c r="T1069" s="62" t="n">
        <v>0</v>
      </c>
      <c r="U1069" s="62"/>
      <c r="V1069" s="62"/>
      <c r="W1069" s="62"/>
      <c r="X1069" s="62"/>
      <c r="Y1069" s="62"/>
      <c r="Z1069" s="62" t="s">
        <v>2091</v>
      </c>
      <c r="AA1069" s="62" t="s">
        <v>2092</v>
      </c>
      <c r="AB1069" s="62" t="n">
        <v>1</v>
      </c>
      <c r="AC1069" s="62" t="n">
        <v>0</v>
      </c>
      <c r="AD1069" s="62" t="n">
        <v>1</v>
      </c>
      <c r="AE1069" s="62" t="n">
        <f aca="false">IF(AND(Dashboard!$C$9="Yes",AC1069=1),0,1)</f>
        <v>1</v>
      </c>
      <c r="AF1069" s="62" t="n">
        <v>0</v>
      </c>
    </row>
    <row r="1070" customFormat="false" ht="15" hidden="false" customHeight="false" outlineLevel="0" collapsed="false">
      <c r="A1070" s="62" t="n">
        <v>1069</v>
      </c>
      <c r="B1070" s="63" t="n">
        <v>46262.6724305556</v>
      </c>
      <c r="C1070" s="64" t="n">
        <v>46262</v>
      </c>
      <c r="D1070" s="62" t="s">
        <v>288</v>
      </c>
      <c r="E1070" s="62" t="s">
        <v>650</v>
      </c>
      <c r="F1070" s="62" t="s">
        <v>650</v>
      </c>
      <c r="G1070" s="62" t="s">
        <v>651</v>
      </c>
      <c r="H1070" s="62" t="s">
        <v>59</v>
      </c>
      <c r="I1070" s="62" t="s">
        <v>47</v>
      </c>
      <c r="J1070" s="62" t="s">
        <v>146</v>
      </c>
      <c r="K1070" s="62" t="s">
        <v>209</v>
      </c>
      <c r="L1070" s="62" t="s">
        <v>148</v>
      </c>
      <c r="M1070" s="62" t="n">
        <v>0</v>
      </c>
      <c r="N1070" s="62" t="n">
        <v>1</v>
      </c>
      <c r="O1070" s="62" t="n">
        <v>1</v>
      </c>
      <c r="P1070" s="62" t="n">
        <v>1</v>
      </c>
      <c r="Q1070" s="62" t="n">
        <v>0</v>
      </c>
      <c r="R1070" s="62" t="n">
        <v>0</v>
      </c>
      <c r="S1070" s="62" t="n">
        <v>0</v>
      </c>
      <c r="T1070" s="62" t="n">
        <v>0</v>
      </c>
      <c r="U1070" s="62"/>
      <c r="V1070" s="62"/>
      <c r="W1070" s="62"/>
      <c r="X1070" s="62"/>
      <c r="Y1070" s="62"/>
      <c r="Z1070" s="62" t="s">
        <v>2093</v>
      </c>
      <c r="AA1070" s="62" t="s">
        <v>2094</v>
      </c>
      <c r="AB1070" s="62" t="n">
        <v>1</v>
      </c>
      <c r="AC1070" s="62" t="n">
        <v>0</v>
      </c>
      <c r="AD1070" s="62" t="n">
        <v>1</v>
      </c>
      <c r="AE1070" s="62" t="n">
        <f aca="false">IF(AND(Dashboard!$C$9="Yes",AC1070=1),0,1)</f>
        <v>1</v>
      </c>
      <c r="AF1070" s="62" t="n">
        <v>1</v>
      </c>
    </row>
    <row r="1071" customFormat="false" ht="15" hidden="false" customHeight="false" outlineLevel="0" collapsed="false">
      <c r="A1071" s="62" t="n">
        <v>1070</v>
      </c>
      <c r="B1071" s="63" t="n">
        <v>46262.7127777778</v>
      </c>
      <c r="C1071" s="64" t="n">
        <v>46262</v>
      </c>
      <c r="D1071" s="62" t="s">
        <v>288</v>
      </c>
      <c r="E1071" s="62" t="s">
        <v>212</v>
      </c>
      <c r="F1071" s="62" t="s">
        <v>212</v>
      </c>
      <c r="G1071" s="62" t="s">
        <v>213</v>
      </c>
      <c r="H1071" s="62" t="s">
        <v>58</v>
      </c>
      <c r="I1071" s="62" t="s">
        <v>49</v>
      </c>
      <c r="J1071" s="62" t="s">
        <v>146</v>
      </c>
      <c r="K1071" s="62" t="s">
        <v>175</v>
      </c>
      <c r="L1071" s="62" t="s">
        <v>4</v>
      </c>
      <c r="M1071" s="62" t="n">
        <v>1</v>
      </c>
      <c r="N1071" s="62" t="n">
        <v>0</v>
      </c>
      <c r="O1071" s="62" t="n">
        <v>1</v>
      </c>
      <c r="P1071" s="62" t="n">
        <v>0</v>
      </c>
      <c r="Q1071" s="62" t="n">
        <v>0</v>
      </c>
      <c r="R1071" s="62" t="n">
        <v>0</v>
      </c>
      <c r="S1071" s="62" t="n">
        <v>0</v>
      </c>
      <c r="T1071" s="62" t="n">
        <v>0</v>
      </c>
      <c r="U1071" s="62" t="s">
        <v>2056</v>
      </c>
      <c r="V1071" s="62" t="s">
        <v>2057</v>
      </c>
      <c r="W1071" s="62" t="s">
        <v>15</v>
      </c>
      <c r="X1071" s="62" t="s">
        <v>2058</v>
      </c>
      <c r="Y1071" s="62" t="s">
        <v>2059</v>
      </c>
      <c r="Z1071" s="62" t="s">
        <v>2062</v>
      </c>
      <c r="AA1071" s="62" t="s">
        <v>2063</v>
      </c>
      <c r="AB1071" s="62" t="n">
        <v>1</v>
      </c>
      <c r="AC1071" s="62" t="n">
        <v>1</v>
      </c>
      <c r="AD1071" s="62" t="n">
        <v>1</v>
      </c>
      <c r="AE1071" s="62" t="n">
        <f aca="false">IF(AND(Dashboard!$C$9="Yes",AC1071=1),0,1)</f>
        <v>0</v>
      </c>
      <c r="AF1071" s="62" t="n">
        <v>0</v>
      </c>
    </row>
    <row r="1072" customFormat="false" ht="15" hidden="false" customHeight="false" outlineLevel="0" collapsed="false">
      <c r="A1072" s="62" t="n">
        <v>1071</v>
      </c>
      <c r="B1072" s="63" t="n">
        <v>46262.7303819444</v>
      </c>
      <c r="C1072" s="64" t="n">
        <v>46262</v>
      </c>
      <c r="D1072" s="62" t="s">
        <v>288</v>
      </c>
      <c r="E1072" s="62" t="s">
        <v>255</v>
      </c>
      <c r="F1072" s="62" t="s">
        <v>255</v>
      </c>
      <c r="G1072" s="62" t="s">
        <v>256</v>
      </c>
      <c r="H1072" s="62" t="s">
        <v>57</v>
      </c>
      <c r="I1072" s="62" t="s">
        <v>47</v>
      </c>
      <c r="J1072" s="62" t="s">
        <v>146</v>
      </c>
      <c r="K1072" s="62" t="s">
        <v>147</v>
      </c>
      <c r="L1072" s="62" t="s">
        <v>148</v>
      </c>
      <c r="M1072" s="62" t="n">
        <v>0</v>
      </c>
      <c r="N1072" s="62" t="n">
        <v>1</v>
      </c>
      <c r="O1072" s="62" t="n">
        <v>1</v>
      </c>
      <c r="P1072" s="62" t="n">
        <v>0</v>
      </c>
      <c r="Q1072" s="62" t="n">
        <v>1</v>
      </c>
      <c r="R1072" s="62" t="n">
        <v>0</v>
      </c>
      <c r="S1072" s="62" t="n">
        <v>0</v>
      </c>
      <c r="T1072" s="62" t="n">
        <v>0</v>
      </c>
      <c r="U1072" s="62"/>
      <c r="V1072" s="62"/>
      <c r="W1072" s="62"/>
      <c r="X1072" s="62"/>
      <c r="Y1072" s="62"/>
      <c r="Z1072" s="62" t="s">
        <v>2095</v>
      </c>
      <c r="AA1072" s="62" t="s">
        <v>2096</v>
      </c>
      <c r="AB1072" s="62" t="n">
        <v>1</v>
      </c>
      <c r="AC1072" s="62" t="n">
        <v>0</v>
      </c>
      <c r="AD1072" s="62" t="n">
        <v>1</v>
      </c>
      <c r="AE1072" s="62" t="n">
        <f aca="false">IF(AND(Dashboard!$C$9="Yes",AC1072=1),0,1)</f>
        <v>1</v>
      </c>
      <c r="AF1072" s="62" t="n">
        <v>1</v>
      </c>
    </row>
    <row r="1073" customFormat="false" ht="15" hidden="false" customHeight="false" outlineLevel="0" collapsed="false">
      <c r="A1073" s="62" t="n">
        <v>1072</v>
      </c>
      <c r="B1073" s="63" t="n">
        <v>46262.7310532407</v>
      </c>
      <c r="C1073" s="64" t="n">
        <v>46262</v>
      </c>
      <c r="D1073" s="62" t="s">
        <v>288</v>
      </c>
      <c r="E1073" s="62" t="s">
        <v>2097</v>
      </c>
      <c r="F1073" s="62" t="s">
        <v>2097</v>
      </c>
      <c r="G1073" s="62" t="s">
        <v>2098</v>
      </c>
      <c r="H1073" s="62" t="s">
        <v>51</v>
      </c>
      <c r="I1073" s="62" t="s">
        <v>47</v>
      </c>
      <c r="J1073" s="62" t="s">
        <v>146</v>
      </c>
      <c r="K1073" s="62" t="s">
        <v>147</v>
      </c>
      <c r="L1073" s="62" t="s">
        <v>4</v>
      </c>
      <c r="M1073" s="62" t="n">
        <v>1</v>
      </c>
      <c r="N1073" s="62" t="n">
        <v>0</v>
      </c>
      <c r="O1073" s="62" t="n">
        <v>1</v>
      </c>
      <c r="P1073" s="62" t="n">
        <v>0</v>
      </c>
      <c r="Q1073" s="62" t="n">
        <v>0</v>
      </c>
      <c r="R1073" s="62" t="n">
        <v>0</v>
      </c>
      <c r="S1073" s="62" t="n">
        <v>0</v>
      </c>
      <c r="T1073" s="62" t="n">
        <v>0</v>
      </c>
      <c r="U1073" s="62" t="s">
        <v>2056</v>
      </c>
      <c r="V1073" s="62" t="s">
        <v>2057</v>
      </c>
      <c r="W1073" s="62" t="s">
        <v>15</v>
      </c>
      <c r="X1073" s="62" t="s">
        <v>2058</v>
      </c>
      <c r="Y1073" s="62" t="s">
        <v>2059</v>
      </c>
      <c r="Z1073" s="62" t="s">
        <v>2099</v>
      </c>
      <c r="AA1073" s="62" t="s">
        <v>2100</v>
      </c>
      <c r="AB1073" s="62" t="n">
        <v>1</v>
      </c>
      <c r="AC1073" s="62" t="n">
        <v>0</v>
      </c>
      <c r="AD1073" s="62" t="n">
        <v>1</v>
      </c>
      <c r="AE1073" s="62" t="n">
        <f aca="false">IF(AND(Dashboard!$C$9="Yes",AC1073=1),0,1)</f>
        <v>1</v>
      </c>
      <c r="AF1073" s="62" t="n">
        <v>1</v>
      </c>
    </row>
    <row r="1074" customFormat="false" ht="15" hidden="false" customHeight="false" outlineLevel="0" collapsed="false">
      <c r="A1074" s="62" t="n">
        <v>1073</v>
      </c>
      <c r="B1074" s="63" t="n">
        <v>46262.7585185185</v>
      </c>
      <c r="C1074" s="64" t="n">
        <v>46262</v>
      </c>
      <c r="D1074" s="62" t="s">
        <v>288</v>
      </c>
      <c r="E1074" s="62" t="s">
        <v>2101</v>
      </c>
      <c r="F1074" s="62" t="s">
        <v>2101</v>
      </c>
      <c r="G1074" s="62" t="s">
        <v>2102</v>
      </c>
      <c r="H1074" s="62" t="s">
        <v>52</v>
      </c>
      <c r="I1074" s="62" t="s">
        <v>47</v>
      </c>
      <c r="J1074" s="62" t="s">
        <v>146</v>
      </c>
      <c r="K1074" s="62" t="s">
        <v>147</v>
      </c>
      <c r="L1074" s="62" t="s">
        <v>4</v>
      </c>
      <c r="M1074" s="62" t="n">
        <v>1</v>
      </c>
      <c r="N1074" s="62" t="n">
        <v>0</v>
      </c>
      <c r="O1074" s="62" t="n">
        <v>1</v>
      </c>
      <c r="P1074" s="62" t="n">
        <v>0</v>
      </c>
      <c r="Q1074" s="62" t="n">
        <v>0</v>
      </c>
      <c r="R1074" s="62" t="n">
        <v>0</v>
      </c>
      <c r="S1074" s="62" t="n">
        <v>0</v>
      </c>
      <c r="T1074" s="62" t="n">
        <v>0</v>
      </c>
      <c r="U1074" s="62" t="s">
        <v>2056</v>
      </c>
      <c r="V1074" s="62" t="s">
        <v>2057</v>
      </c>
      <c r="W1074" s="62" t="s">
        <v>15</v>
      </c>
      <c r="X1074" s="62" t="s">
        <v>2058</v>
      </c>
      <c r="Y1074" s="62" t="s">
        <v>2103</v>
      </c>
      <c r="Z1074" s="62" t="s">
        <v>2104</v>
      </c>
      <c r="AA1074" s="62" t="s">
        <v>2105</v>
      </c>
      <c r="AB1074" s="62" t="n">
        <v>1</v>
      </c>
      <c r="AC1074" s="62" t="n">
        <v>0</v>
      </c>
      <c r="AD1074" s="62" t="n">
        <v>1</v>
      </c>
      <c r="AE1074" s="62" t="n">
        <f aca="false">IF(AND(Dashboard!$C$9="Yes",AC1074=1),0,1)</f>
        <v>1</v>
      </c>
      <c r="AF1074" s="62" t="n">
        <v>1</v>
      </c>
    </row>
    <row r="1075" customFormat="false" ht="15" hidden="false" customHeight="false" outlineLevel="0" collapsed="false">
      <c r="A1075" s="62" t="n">
        <v>1074</v>
      </c>
      <c r="B1075" s="63" t="n">
        <v>46262.8123032407</v>
      </c>
      <c r="C1075" s="64" t="n">
        <v>46262</v>
      </c>
      <c r="D1075" s="62" t="s">
        <v>288</v>
      </c>
      <c r="E1075" s="62" t="s">
        <v>218</v>
      </c>
      <c r="F1075" s="62" t="s">
        <v>218</v>
      </c>
      <c r="G1075" s="62" t="s">
        <v>219</v>
      </c>
      <c r="H1075" s="62" t="s">
        <v>51</v>
      </c>
      <c r="I1075" s="62" t="s">
        <v>47</v>
      </c>
      <c r="J1075" s="62" t="s">
        <v>146</v>
      </c>
      <c r="K1075" s="62" t="s">
        <v>147</v>
      </c>
      <c r="L1075" s="62" t="s">
        <v>148</v>
      </c>
      <c r="M1075" s="62" t="n">
        <v>0</v>
      </c>
      <c r="N1075" s="62" t="n">
        <v>1</v>
      </c>
      <c r="O1075" s="62" t="n">
        <v>1</v>
      </c>
      <c r="P1075" s="62" t="n">
        <v>1</v>
      </c>
      <c r="Q1075" s="62" t="n">
        <v>0</v>
      </c>
      <c r="R1075" s="62" t="n">
        <v>0</v>
      </c>
      <c r="S1075" s="62" t="n">
        <v>0</v>
      </c>
      <c r="T1075" s="62" t="n">
        <v>0</v>
      </c>
      <c r="U1075" s="62"/>
      <c r="V1075" s="62"/>
      <c r="W1075" s="62"/>
      <c r="X1075" s="62"/>
      <c r="Y1075" s="62"/>
      <c r="Z1075" s="62" t="s">
        <v>2106</v>
      </c>
      <c r="AA1075" s="62" t="s">
        <v>2107</v>
      </c>
      <c r="AB1075" s="62" t="n">
        <v>1</v>
      </c>
      <c r="AC1075" s="62" t="n">
        <v>0</v>
      </c>
      <c r="AD1075" s="62" t="n">
        <v>1</v>
      </c>
      <c r="AE1075" s="62" t="n">
        <f aca="false">IF(AND(Dashboard!$C$9="Yes",AC1075=1),0,1)</f>
        <v>1</v>
      </c>
      <c r="AF1075" s="62" t="n">
        <v>1</v>
      </c>
    </row>
    <row r="1076" customFormat="false" ht="15" hidden="false" customHeight="false" outlineLevel="0" collapsed="false">
      <c r="A1076" s="62" t="n">
        <v>1075</v>
      </c>
      <c r="B1076" s="63" t="n">
        <v>46262.8421527778</v>
      </c>
      <c r="C1076" s="64" t="n">
        <v>46262</v>
      </c>
      <c r="D1076" s="62" t="s">
        <v>288</v>
      </c>
      <c r="E1076" s="62" t="s">
        <v>371</v>
      </c>
      <c r="F1076" s="62" t="s">
        <v>371</v>
      </c>
      <c r="G1076" s="62" t="s">
        <v>372</v>
      </c>
      <c r="H1076" s="62" t="s">
        <v>59</v>
      </c>
      <c r="I1076" s="62" t="s">
        <v>47</v>
      </c>
      <c r="J1076" s="62" t="s">
        <v>146</v>
      </c>
      <c r="K1076" s="62" t="s">
        <v>147</v>
      </c>
      <c r="L1076" s="62" t="s">
        <v>4</v>
      </c>
      <c r="M1076" s="62" t="n">
        <v>1</v>
      </c>
      <c r="N1076" s="62" t="n">
        <v>0</v>
      </c>
      <c r="O1076" s="62" t="n">
        <v>1</v>
      </c>
      <c r="P1076" s="62" t="n">
        <v>0</v>
      </c>
      <c r="Q1076" s="62" t="n">
        <v>0</v>
      </c>
      <c r="R1076" s="62" t="n">
        <v>0</v>
      </c>
      <c r="S1076" s="62" t="n">
        <v>0</v>
      </c>
      <c r="T1076" s="62" t="n">
        <v>0</v>
      </c>
      <c r="U1076" s="62" t="s">
        <v>2056</v>
      </c>
      <c r="V1076" s="62" t="s">
        <v>2057</v>
      </c>
      <c r="W1076" s="62" t="s">
        <v>15</v>
      </c>
      <c r="X1076" s="62" t="s">
        <v>2058</v>
      </c>
      <c r="Y1076" s="62" t="s">
        <v>2059</v>
      </c>
      <c r="Z1076" s="62" t="s">
        <v>2108</v>
      </c>
      <c r="AA1076" s="62" t="s">
        <v>2109</v>
      </c>
      <c r="AB1076" s="62" t="n">
        <v>1</v>
      </c>
      <c r="AC1076" s="62" t="n">
        <v>0</v>
      </c>
      <c r="AD1076" s="62" t="n">
        <v>1</v>
      </c>
      <c r="AE1076" s="62" t="n">
        <f aca="false">IF(AND(Dashboard!$C$9="Yes",AC1076=1),0,1)</f>
        <v>1</v>
      </c>
      <c r="AF1076" s="62" t="n">
        <v>1</v>
      </c>
    </row>
    <row r="1077" customFormat="false" ht="15" hidden="false" customHeight="false" outlineLevel="0" collapsed="false">
      <c r="A1077" s="62" t="n">
        <v>1076</v>
      </c>
      <c r="B1077" s="63" t="n">
        <v>46262.9241550926</v>
      </c>
      <c r="C1077" s="64" t="n">
        <v>46262</v>
      </c>
      <c r="D1077" s="62" t="s">
        <v>288</v>
      </c>
      <c r="E1077" s="62" t="s">
        <v>2110</v>
      </c>
      <c r="F1077" s="62" t="s">
        <v>2111</v>
      </c>
      <c r="G1077" s="62" t="s">
        <v>153</v>
      </c>
      <c r="H1077" s="62" t="s">
        <v>153</v>
      </c>
      <c r="I1077" s="62" t="s">
        <v>153</v>
      </c>
      <c r="J1077" s="62" t="s">
        <v>64</v>
      </c>
      <c r="K1077" s="62" t="s">
        <v>64</v>
      </c>
      <c r="L1077" s="62" t="s">
        <v>4</v>
      </c>
      <c r="M1077" s="62" t="n">
        <v>1</v>
      </c>
      <c r="N1077" s="62" t="n">
        <v>0</v>
      </c>
      <c r="O1077" s="62" t="n">
        <v>1</v>
      </c>
      <c r="P1077" s="62" t="n">
        <v>0</v>
      </c>
      <c r="Q1077" s="62" t="n">
        <v>0</v>
      </c>
      <c r="R1077" s="62" t="n">
        <v>0</v>
      </c>
      <c r="S1077" s="62" t="n">
        <v>0</v>
      </c>
      <c r="T1077" s="62" t="n">
        <v>0</v>
      </c>
      <c r="U1077" s="62" t="s">
        <v>15</v>
      </c>
      <c r="V1077" s="62" t="s">
        <v>2057</v>
      </c>
      <c r="W1077" s="62" t="s">
        <v>15</v>
      </c>
      <c r="X1077" s="62" t="s">
        <v>2058</v>
      </c>
      <c r="Y1077" s="62" t="s">
        <v>2103</v>
      </c>
      <c r="Z1077" s="62" t="s">
        <v>2112</v>
      </c>
      <c r="AA1077" s="62" t="s">
        <v>2113</v>
      </c>
      <c r="AB1077" s="62" t="n">
        <v>1</v>
      </c>
      <c r="AC1077" s="62" t="n">
        <v>0</v>
      </c>
      <c r="AD1077" s="62" t="n">
        <v>0</v>
      </c>
      <c r="AE1077" s="62" t="n">
        <f aca="false">IF(AND(Dashboard!$C$9="Yes",AC1077=1),0,1)</f>
        <v>1</v>
      </c>
      <c r="AF1077" s="62" t="n">
        <v>1</v>
      </c>
    </row>
    <row r="1078" customFormat="false" ht="15" hidden="false" customHeight="false" outlineLevel="0" collapsed="false">
      <c r="A1078" s="62" t="n">
        <v>1077</v>
      </c>
      <c r="B1078" s="63" t="n">
        <v>46262.931087963</v>
      </c>
      <c r="C1078" s="64" t="n">
        <v>46262</v>
      </c>
      <c r="D1078" s="62" t="s">
        <v>288</v>
      </c>
      <c r="E1078" s="62" t="s">
        <v>2110</v>
      </c>
      <c r="F1078" s="62" t="s">
        <v>2111</v>
      </c>
      <c r="G1078" s="62" t="s">
        <v>153</v>
      </c>
      <c r="H1078" s="62" t="s">
        <v>153</v>
      </c>
      <c r="I1078" s="62" t="s">
        <v>153</v>
      </c>
      <c r="J1078" s="62" t="s">
        <v>64</v>
      </c>
      <c r="K1078" s="62" t="s">
        <v>64</v>
      </c>
      <c r="L1078" s="62" t="s">
        <v>4</v>
      </c>
      <c r="M1078" s="62" t="n">
        <v>1</v>
      </c>
      <c r="N1078" s="62" t="n">
        <v>0</v>
      </c>
      <c r="O1078" s="62" t="n">
        <v>1</v>
      </c>
      <c r="P1078" s="62" t="n">
        <v>0</v>
      </c>
      <c r="Q1078" s="62" t="n">
        <v>0</v>
      </c>
      <c r="R1078" s="62" t="n">
        <v>0</v>
      </c>
      <c r="S1078" s="62" t="n">
        <v>0</v>
      </c>
      <c r="T1078" s="62" t="n">
        <v>0</v>
      </c>
      <c r="U1078" s="62" t="s">
        <v>2056</v>
      </c>
      <c r="V1078" s="62" t="s">
        <v>2057</v>
      </c>
      <c r="W1078" s="62" t="s">
        <v>15</v>
      </c>
      <c r="X1078" s="62" t="s">
        <v>2058</v>
      </c>
      <c r="Y1078" s="62" t="s">
        <v>2103</v>
      </c>
      <c r="Z1078" s="62" t="s">
        <v>2114</v>
      </c>
      <c r="AA1078" s="62" t="s">
        <v>2114</v>
      </c>
      <c r="AB1078" s="62" t="n">
        <v>1</v>
      </c>
      <c r="AC1078" s="62" t="n">
        <v>0</v>
      </c>
      <c r="AD1078" s="62" t="n">
        <v>0</v>
      </c>
      <c r="AE1078" s="62" t="n">
        <f aca="false">IF(AND(Dashboard!$C$9="Yes",AC1078=1),0,1)</f>
        <v>1</v>
      </c>
      <c r="AF1078" s="62" t="n">
        <v>0</v>
      </c>
    </row>
    <row r="1079" customFormat="false" ht="15" hidden="false" customHeight="false" outlineLevel="0" collapsed="false">
      <c r="A1079" s="62" t="n">
        <v>1078</v>
      </c>
      <c r="B1079" s="63" t="n">
        <v>46262.9346296296</v>
      </c>
      <c r="C1079" s="64" t="n">
        <v>46262</v>
      </c>
      <c r="D1079" s="62" t="s">
        <v>288</v>
      </c>
      <c r="E1079" s="62" t="s">
        <v>1590</v>
      </c>
      <c r="F1079" s="62" t="s">
        <v>1590</v>
      </c>
      <c r="G1079" s="62" t="s">
        <v>1591</v>
      </c>
      <c r="H1079" s="62" t="s">
        <v>52</v>
      </c>
      <c r="I1079" s="62" t="s">
        <v>47</v>
      </c>
      <c r="J1079" s="62" t="s">
        <v>146</v>
      </c>
      <c r="K1079" s="62" t="s">
        <v>209</v>
      </c>
      <c r="L1079" s="62" t="s">
        <v>148</v>
      </c>
      <c r="M1079" s="62" t="n">
        <v>0</v>
      </c>
      <c r="N1079" s="62" t="n">
        <v>1</v>
      </c>
      <c r="O1079" s="62" t="n">
        <v>1</v>
      </c>
      <c r="P1079" s="62" t="n">
        <v>0</v>
      </c>
      <c r="Q1079" s="62" t="n">
        <v>0</v>
      </c>
      <c r="R1079" s="62" t="n">
        <v>1</v>
      </c>
      <c r="S1079" s="62" t="n">
        <v>0</v>
      </c>
      <c r="T1079" s="62" t="n">
        <v>0</v>
      </c>
      <c r="U1079" s="62"/>
      <c r="V1079" s="62"/>
      <c r="W1079" s="62"/>
      <c r="X1079" s="62"/>
      <c r="Y1079" s="62"/>
      <c r="Z1079" s="62" t="s">
        <v>2115</v>
      </c>
      <c r="AA1079" s="62" t="s">
        <v>2116</v>
      </c>
      <c r="AB1079" s="62" t="n">
        <v>1</v>
      </c>
      <c r="AC1079" s="62" t="n">
        <v>0</v>
      </c>
      <c r="AD1079" s="62" t="n">
        <v>1</v>
      </c>
      <c r="AE1079" s="62" t="n">
        <f aca="false">IF(AND(Dashboard!$C$9="Yes",AC1079=1),0,1)</f>
        <v>1</v>
      </c>
      <c r="AF1079" s="62" t="n">
        <v>1</v>
      </c>
    </row>
    <row r="1080" customFormat="false" ht="15" hidden="false" customHeight="false" outlineLevel="0" collapsed="false">
      <c r="A1080" s="62" t="n">
        <v>1079</v>
      </c>
      <c r="B1080" s="63" t="n">
        <v>46262.9496296296</v>
      </c>
      <c r="C1080" s="64" t="n">
        <v>46262</v>
      </c>
      <c r="D1080" s="62" t="s">
        <v>288</v>
      </c>
      <c r="E1080" s="62" t="s">
        <v>218</v>
      </c>
      <c r="F1080" s="62" t="s">
        <v>218</v>
      </c>
      <c r="G1080" s="62" t="s">
        <v>219</v>
      </c>
      <c r="H1080" s="62" t="s">
        <v>51</v>
      </c>
      <c r="I1080" s="62" t="s">
        <v>47</v>
      </c>
      <c r="J1080" s="62" t="s">
        <v>146</v>
      </c>
      <c r="K1080" s="62" t="s">
        <v>147</v>
      </c>
      <c r="L1080" s="62" t="s">
        <v>148</v>
      </c>
      <c r="M1080" s="62" t="n">
        <v>0</v>
      </c>
      <c r="N1080" s="62" t="n">
        <v>1</v>
      </c>
      <c r="O1080" s="62" t="n">
        <v>1</v>
      </c>
      <c r="P1080" s="62" t="n">
        <v>0</v>
      </c>
      <c r="Q1080" s="62" t="n">
        <v>0</v>
      </c>
      <c r="R1080" s="62" t="n">
        <v>1</v>
      </c>
      <c r="S1080" s="62" t="n">
        <v>0</v>
      </c>
      <c r="T1080" s="62" t="n">
        <v>0</v>
      </c>
      <c r="U1080" s="62"/>
      <c r="V1080" s="62"/>
      <c r="W1080" s="62"/>
      <c r="X1080" s="62"/>
      <c r="Y1080" s="62"/>
      <c r="Z1080" s="62" t="s">
        <v>2117</v>
      </c>
      <c r="AA1080" s="62" t="s">
        <v>2118</v>
      </c>
      <c r="AB1080" s="62" t="n">
        <v>1</v>
      </c>
      <c r="AC1080" s="62" t="n">
        <v>0</v>
      </c>
      <c r="AD1080" s="62" t="n">
        <v>1</v>
      </c>
      <c r="AE1080" s="62" t="n">
        <f aca="false">IF(AND(Dashboard!$C$9="Yes",AC1080=1),0,1)</f>
        <v>1</v>
      </c>
      <c r="AF1080" s="62" t="n">
        <v>0</v>
      </c>
    </row>
    <row r="1081" customFormat="false" ht="15" hidden="false" customHeight="false" outlineLevel="0" collapsed="false">
      <c r="A1081" s="62" t="n">
        <v>1080</v>
      </c>
      <c r="B1081" s="63" t="n">
        <v>46262.9554282407</v>
      </c>
      <c r="C1081" s="64" t="n">
        <v>46262</v>
      </c>
      <c r="D1081" s="62" t="s">
        <v>288</v>
      </c>
      <c r="E1081" s="62" t="s">
        <v>2119</v>
      </c>
      <c r="F1081" s="62" t="s">
        <v>2119</v>
      </c>
      <c r="G1081" s="62" t="s">
        <v>2120</v>
      </c>
      <c r="H1081" s="62" t="s">
        <v>52</v>
      </c>
      <c r="I1081" s="62" t="s">
        <v>47</v>
      </c>
      <c r="J1081" s="62" t="s">
        <v>146</v>
      </c>
      <c r="K1081" s="62" t="s">
        <v>147</v>
      </c>
      <c r="L1081" s="62" t="s">
        <v>148</v>
      </c>
      <c r="M1081" s="62" t="n">
        <v>0</v>
      </c>
      <c r="N1081" s="62" t="n">
        <v>1</v>
      </c>
      <c r="O1081" s="62" t="n">
        <v>1</v>
      </c>
      <c r="P1081" s="62" t="n">
        <v>0</v>
      </c>
      <c r="Q1081" s="62" t="n">
        <v>1</v>
      </c>
      <c r="R1081" s="62" t="n">
        <v>0</v>
      </c>
      <c r="S1081" s="62" t="n">
        <v>0</v>
      </c>
      <c r="T1081" s="62" t="n">
        <v>0</v>
      </c>
      <c r="U1081" s="62"/>
      <c r="V1081" s="62"/>
      <c r="W1081" s="62"/>
      <c r="X1081" s="62"/>
      <c r="Y1081" s="62"/>
      <c r="Z1081" s="62" t="s">
        <v>2121</v>
      </c>
      <c r="AA1081" s="62" t="s">
        <v>2122</v>
      </c>
      <c r="AB1081" s="62" t="n">
        <v>1</v>
      </c>
      <c r="AC1081" s="62" t="n">
        <v>0</v>
      </c>
      <c r="AD1081" s="62" t="n">
        <v>1</v>
      </c>
      <c r="AE1081" s="62" t="n">
        <f aca="false">IF(AND(Dashboard!$C$9="Yes",AC1081=1),0,1)</f>
        <v>1</v>
      </c>
      <c r="AF1081" s="62" t="n">
        <v>1</v>
      </c>
    </row>
    <row r="1082" customFormat="false" ht="15" hidden="false" customHeight="false" outlineLevel="0" collapsed="false">
      <c r="A1082" s="62" t="n">
        <v>1081</v>
      </c>
      <c r="B1082" s="63" t="n">
        <v>46262.9633449074</v>
      </c>
      <c r="C1082" s="64" t="n">
        <v>46262</v>
      </c>
      <c r="D1082" s="62" t="s">
        <v>288</v>
      </c>
      <c r="E1082" s="62" t="s">
        <v>144</v>
      </c>
      <c r="F1082" s="62" t="s">
        <v>144</v>
      </c>
      <c r="G1082" s="62" t="s">
        <v>145</v>
      </c>
      <c r="H1082" s="62" t="s">
        <v>59</v>
      </c>
      <c r="I1082" s="62" t="s">
        <v>47</v>
      </c>
      <c r="J1082" s="62" t="s">
        <v>146</v>
      </c>
      <c r="K1082" s="62" t="s">
        <v>147</v>
      </c>
      <c r="L1082" s="62" t="s">
        <v>4</v>
      </c>
      <c r="M1082" s="62" t="n">
        <v>1</v>
      </c>
      <c r="N1082" s="62" t="n">
        <v>0</v>
      </c>
      <c r="O1082" s="62" t="n">
        <v>1</v>
      </c>
      <c r="P1082" s="62" t="n">
        <v>0</v>
      </c>
      <c r="Q1082" s="62" t="n">
        <v>0</v>
      </c>
      <c r="R1082" s="62" t="n">
        <v>0</v>
      </c>
      <c r="S1082" s="62" t="n">
        <v>0</v>
      </c>
      <c r="T1082" s="62" t="n">
        <v>0</v>
      </c>
      <c r="U1082" s="62" t="s">
        <v>2056</v>
      </c>
      <c r="V1082" s="62" t="s">
        <v>2057</v>
      </c>
      <c r="W1082" s="62" t="s">
        <v>15</v>
      </c>
      <c r="X1082" s="62" t="s">
        <v>2058</v>
      </c>
      <c r="Y1082" s="62" t="s">
        <v>2059</v>
      </c>
      <c r="Z1082" s="62" t="s">
        <v>2123</v>
      </c>
      <c r="AA1082" s="62" t="s">
        <v>2124</v>
      </c>
      <c r="AB1082" s="62" t="n">
        <v>1</v>
      </c>
      <c r="AC1082" s="62" t="n">
        <v>0</v>
      </c>
      <c r="AD1082" s="62" t="n">
        <v>1</v>
      </c>
      <c r="AE1082" s="62" t="n">
        <f aca="false">IF(AND(Dashboard!$C$9="Yes",AC1082=1),0,1)</f>
        <v>1</v>
      </c>
      <c r="AF1082" s="62" t="n">
        <v>1</v>
      </c>
    </row>
    <row r="1083" customFormat="false" ht="15" hidden="false" customHeight="false" outlineLevel="0" collapsed="false">
      <c r="A1083" s="62" t="n">
        <v>1082</v>
      </c>
      <c r="B1083" s="63" t="n">
        <v>46262.9647685185</v>
      </c>
      <c r="C1083" s="64" t="n">
        <v>46262</v>
      </c>
      <c r="D1083" s="62" t="s">
        <v>288</v>
      </c>
      <c r="E1083" s="62" t="s">
        <v>144</v>
      </c>
      <c r="F1083" s="62" t="s">
        <v>144</v>
      </c>
      <c r="G1083" s="62" t="s">
        <v>145</v>
      </c>
      <c r="H1083" s="62" t="s">
        <v>59</v>
      </c>
      <c r="I1083" s="62" t="s">
        <v>47</v>
      </c>
      <c r="J1083" s="62" t="s">
        <v>146</v>
      </c>
      <c r="K1083" s="62" t="s">
        <v>147</v>
      </c>
      <c r="L1083" s="62" t="s">
        <v>4</v>
      </c>
      <c r="M1083" s="62" t="n">
        <v>1</v>
      </c>
      <c r="N1083" s="62" t="n">
        <v>0</v>
      </c>
      <c r="O1083" s="62" t="n">
        <v>1</v>
      </c>
      <c r="P1083" s="62" t="n">
        <v>0</v>
      </c>
      <c r="Q1083" s="62" t="n">
        <v>0</v>
      </c>
      <c r="R1083" s="62" t="n">
        <v>0</v>
      </c>
      <c r="S1083" s="62" t="n">
        <v>0</v>
      </c>
      <c r="T1083" s="62" t="n">
        <v>0</v>
      </c>
      <c r="U1083" s="62" t="s">
        <v>2056</v>
      </c>
      <c r="V1083" s="62" t="s">
        <v>2057</v>
      </c>
      <c r="W1083" s="62" t="s">
        <v>15</v>
      </c>
      <c r="X1083" s="62" t="s">
        <v>2058</v>
      </c>
      <c r="Y1083" s="62" t="s">
        <v>2059</v>
      </c>
      <c r="Z1083" s="62" t="s">
        <v>2123</v>
      </c>
      <c r="AA1083" s="62" t="s">
        <v>2124</v>
      </c>
      <c r="AB1083" s="62" t="n">
        <v>1</v>
      </c>
      <c r="AC1083" s="62" t="n">
        <v>1</v>
      </c>
      <c r="AD1083" s="62" t="n">
        <v>1</v>
      </c>
      <c r="AE1083" s="62" t="n">
        <f aca="false">IF(AND(Dashboard!$C$9="Yes",AC1083=1),0,1)</f>
        <v>0</v>
      </c>
      <c r="AF1083" s="62" t="n">
        <v>0</v>
      </c>
    </row>
    <row r="1084" customFormat="false" ht="15" hidden="false" customHeight="false" outlineLevel="0" collapsed="false">
      <c r="A1084" s="62" t="n">
        <v>1083</v>
      </c>
      <c r="B1084" s="63" t="n">
        <v>46262.9881944444</v>
      </c>
      <c r="C1084" s="64" t="n">
        <v>46262</v>
      </c>
      <c r="D1084" s="62" t="s">
        <v>288</v>
      </c>
      <c r="E1084" s="62" t="s">
        <v>164</v>
      </c>
      <c r="F1084" s="62" t="s">
        <v>164</v>
      </c>
      <c r="G1084" s="62" t="s">
        <v>165</v>
      </c>
      <c r="H1084" s="62" t="s">
        <v>51</v>
      </c>
      <c r="I1084" s="62" t="s">
        <v>47</v>
      </c>
      <c r="J1084" s="62" t="s">
        <v>146</v>
      </c>
      <c r="K1084" s="62" t="s">
        <v>147</v>
      </c>
      <c r="L1084" s="62" t="s">
        <v>4</v>
      </c>
      <c r="M1084" s="62" t="n">
        <v>1</v>
      </c>
      <c r="N1084" s="62" t="n">
        <v>0</v>
      </c>
      <c r="O1084" s="62" t="n">
        <v>1</v>
      </c>
      <c r="P1084" s="62" t="n">
        <v>0</v>
      </c>
      <c r="Q1084" s="62" t="n">
        <v>0</v>
      </c>
      <c r="R1084" s="62" t="n">
        <v>0</v>
      </c>
      <c r="S1084" s="62" t="n">
        <v>0</v>
      </c>
      <c r="T1084" s="62" t="n">
        <v>0</v>
      </c>
      <c r="U1084" s="62" t="s">
        <v>2056</v>
      </c>
      <c r="V1084" s="62" t="s">
        <v>2057</v>
      </c>
      <c r="W1084" s="62" t="s">
        <v>15</v>
      </c>
      <c r="X1084" s="62" t="s">
        <v>2125</v>
      </c>
      <c r="Y1084" s="62" t="s">
        <v>2059</v>
      </c>
      <c r="Z1084" s="62" t="s">
        <v>2126</v>
      </c>
      <c r="AA1084" s="62" t="s">
        <v>2127</v>
      </c>
      <c r="AB1084" s="62" t="n">
        <v>1</v>
      </c>
      <c r="AC1084" s="62" t="n">
        <v>0</v>
      </c>
      <c r="AD1084" s="62" t="n">
        <v>1</v>
      </c>
      <c r="AE1084" s="62" t="n">
        <f aca="false">IF(AND(Dashboard!$C$9="Yes",AC1084=1),0,1)</f>
        <v>1</v>
      </c>
      <c r="AF1084" s="62" t="n">
        <v>1</v>
      </c>
    </row>
    <row r="1085" customFormat="false" ht="15" hidden="false" customHeight="false" outlineLevel="0" collapsed="false">
      <c r="A1085" s="62" t="n">
        <v>1084</v>
      </c>
      <c r="B1085" s="63" t="n">
        <v>46263.0182638889</v>
      </c>
      <c r="C1085" s="64" t="n">
        <v>46262</v>
      </c>
      <c r="D1085" s="62" t="s">
        <v>288</v>
      </c>
      <c r="E1085" s="62" t="s">
        <v>371</v>
      </c>
      <c r="F1085" s="62" t="s">
        <v>371</v>
      </c>
      <c r="G1085" s="62" t="s">
        <v>372</v>
      </c>
      <c r="H1085" s="62" t="s">
        <v>59</v>
      </c>
      <c r="I1085" s="62" t="s">
        <v>47</v>
      </c>
      <c r="J1085" s="62" t="s">
        <v>146</v>
      </c>
      <c r="K1085" s="62" t="s">
        <v>147</v>
      </c>
      <c r="L1085" s="62" t="s">
        <v>148</v>
      </c>
      <c r="M1085" s="62" t="n">
        <v>0</v>
      </c>
      <c r="N1085" s="62" t="n">
        <v>1</v>
      </c>
      <c r="O1085" s="62" t="n">
        <v>1</v>
      </c>
      <c r="P1085" s="62" t="n">
        <v>1</v>
      </c>
      <c r="Q1085" s="62" t="n">
        <v>0</v>
      </c>
      <c r="R1085" s="62" t="n">
        <v>0</v>
      </c>
      <c r="S1085" s="62" t="n">
        <v>0</v>
      </c>
      <c r="T1085" s="62" t="n">
        <v>0</v>
      </c>
      <c r="U1085" s="62"/>
      <c r="V1085" s="62"/>
      <c r="W1085" s="62"/>
      <c r="X1085" s="62"/>
      <c r="Y1085" s="62"/>
      <c r="Z1085" s="62" t="s">
        <v>2128</v>
      </c>
      <c r="AA1085" s="62" t="s">
        <v>2129</v>
      </c>
      <c r="AB1085" s="62" t="n">
        <v>1</v>
      </c>
      <c r="AC1085" s="62" t="n">
        <v>0</v>
      </c>
      <c r="AD1085" s="62" t="n">
        <v>1</v>
      </c>
      <c r="AE1085" s="62" t="n">
        <f aca="false">IF(AND(Dashboard!$C$9="Yes",AC1085=1),0,1)</f>
        <v>1</v>
      </c>
      <c r="AF1085" s="62" t="n">
        <v>0</v>
      </c>
    </row>
    <row r="1086" customFormat="false" ht="15" hidden="false" customHeight="false" outlineLevel="0" collapsed="false">
      <c r="A1086" s="62" t="n">
        <v>1085</v>
      </c>
      <c r="B1086" s="63" t="n">
        <v>46263.0225</v>
      </c>
      <c r="C1086" s="64" t="n">
        <v>46262</v>
      </c>
      <c r="D1086" s="62" t="s">
        <v>288</v>
      </c>
      <c r="E1086" s="62" t="s">
        <v>1616</v>
      </c>
      <c r="F1086" s="62" t="s">
        <v>1616</v>
      </c>
      <c r="G1086" s="62" t="s">
        <v>1617</v>
      </c>
      <c r="H1086" s="62" t="s">
        <v>51</v>
      </c>
      <c r="I1086" s="62" t="s">
        <v>47</v>
      </c>
      <c r="J1086" s="62" t="s">
        <v>146</v>
      </c>
      <c r="K1086" s="62" t="s">
        <v>175</v>
      </c>
      <c r="L1086" s="62" t="s">
        <v>4</v>
      </c>
      <c r="M1086" s="62" t="n">
        <v>1</v>
      </c>
      <c r="N1086" s="62" t="n">
        <v>0</v>
      </c>
      <c r="O1086" s="62" t="n">
        <v>1</v>
      </c>
      <c r="P1086" s="62" t="n">
        <v>0</v>
      </c>
      <c r="Q1086" s="62" t="n">
        <v>0</v>
      </c>
      <c r="R1086" s="62" t="n">
        <v>0</v>
      </c>
      <c r="S1086" s="62" t="n">
        <v>0</v>
      </c>
      <c r="T1086" s="62" t="n">
        <v>0</v>
      </c>
      <c r="U1086" s="62" t="s">
        <v>2056</v>
      </c>
      <c r="V1086" s="62" t="s">
        <v>2057</v>
      </c>
      <c r="W1086" s="62" t="s">
        <v>15</v>
      </c>
      <c r="X1086" s="62" t="s">
        <v>2103</v>
      </c>
      <c r="Y1086" s="62" t="s">
        <v>2059</v>
      </c>
      <c r="Z1086" s="62" t="s">
        <v>2130</v>
      </c>
      <c r="AA1086" s="62" t="s">
        <v>2131</v>
      </c>
      <c r="AB1086" s="62" t="n">
        <v>1</v>
      </c>
      <c r="AC1086" s="62" t="n">
        <v>0</v>
      </c>
      <c r="AD1086" s="62" t="n">
        <v>1</v>
      </c>
      <c r="AE1086" s="62" t="n">
        <f aca="false">IF(AND(Dashboard!$C$9="Yes",AC1086=1),0,1)</f>
        <v>1</v>
      </c>
      <c r="AF1086" s="62" t="n">
        <v>1</v>
      </c>
    </row>
    <row r="1087" customFormat="false" ht="15" hidden="false" customHeight="false" outlineLevel="0" collapsed="false">
      <c r="A1087" s="62" t="n">
        <v>1086</v>
      </c>
      <c r="B1087" s="63" t="n">
        <v>46263.0339814815</v>
      </c>
      <c r="C1087" s="64" t="n">
        <v>46262</v>
      </c>
      <c r="D1087" s="62" t="s">
        <v>288</v>
      </c>
      <c r="E1087" s="62" t="s">
        <v>1652</v>
      </c>
      <c r="F1087" s="62" t="s">
        <v>1652</v>
      </c>
      <c r="G1087" s="62" t="s">
        <v>1653</v>
      </c>
      <c r="H1087" s="62" t="s">
        <v>57</v>
      </c>
      <c r="I1087" s="62" t="s">
        <v>47</v>
      </c>
      <c r="J1087" s="62" t="s">
        <v>146</v>
      </c>
      <c r="K1087" s="62" t="s">
        <v>175</v>
      </c>
      <c r="L1087" s="62" t="s">
        <v>4</v>
      </c>
      <c r="M1087" s="62" t="n">
        <v>1</v>
      </c>
      <c r="N1087" s="62" t="n">
        <v>0</v>
      </c>
      <c r="O1087" s="62" t="n">
        <v>1</v>
      </c>
      <c r="P1087" s="62" t="n">
        <v>0</v>
      </c>
      <c r="Q1087" s="62" t="n">
        <v>0</v>
      </c>
      <c r="R1087" s="62" t="n">
        <v>0</v>
      </c>
      <c r="S1087" s="62" t="n">
        <v>0</v>
      </c>
      <c r="T1087" s="62" t="n">
        <v>0</v>
      </c>
      <c r="U1087" s="62" t="s">
        <v>2056</v>
      </c>
      <c r="V1087" s="62" t="s">
        <v>2057</v>
      </c>
      <c r="W1087" s="62" t="s">
        <v>15</v>
      </c>
      <c r="X1087" s="62" t="s">
        <v>2058</v>
      </c>
      <c r="Y1087" s="62" t="s">
        <v>2059</v>
      </c>
      <c r="Z1087" s="62" t="s">
        <v>2132</v>
      </c>
      <c r="AA1087" s="62" t="s">
        <v>2133</v>
      </c>
      <c r="AB1087" s="62" t="n">
        <v>1</v>
      </c>
      <c r="AC1087" s="62" t="n">
        <v>0</v>
      </c>
      <c r="AD1087" s="62" t="n">
        <v>1</v>
      </c>
      <c r="AE1087" s="62" t="n">
        <f aca="false">IF(AND(Dashboard!$C$9="Yes",AC1087=1),0,1)</f>
        <v>1</v>
      </c>
      <c r="AF1087" s="62" t="n">
        <v>1</v>
      </c>
    </row>
    <row r="1088" customFormat="false" ht="15" hidden="false" customHeight="false" outlineLevel="0" collapsed="false">
      <c r="A1088" s="62" t="n">
        <v>1087</v>
      </c>
      <c r="B1088" s="63" t="n">
        <v>46263.0653240741</v>
      </c>
      <c r="C1088" s="64" t="n">
        <v>46262</v>
      </c>
      <c r="D1088" s="62" t="s">
        <v>288</v>
      </c>
      <c r="E1088" s="62" t="s">
        <v>2134</v>
      </c>
      <c r="F1088" s="62" t="s">
        <v>2134</v>
      </c>
      <c r="G1088" s="62" t="s">
        <v>2135</v>
      </c>
      <c r="H1088" s="62" t="s">
        <v>57</v>
      </c>
      <c r="I1088" s="62" t="s">
        <v>47</v>
      </c>
      <c r="J1088" s="62" t="s">
        <v>146</v>
      </c>
      <c r="K1088" s="62" t="s">
        <v>147</v>
      </c>
      <c r="L1088" s="62" t="s">
        <v>4</v>
      </c>
      <c r="M1088" s="62" t="n">
        <v>1</v>
      </c>
      <c r="N1088" s="62" t="n">
        <v>0</v>
      </c>
      <c r="O1088" s="62" t="n">
        <v>1</v>
      </c>
      <c r="P1088" s="62" t="n">
        <v>0</v>
      </c>
      <c r="Q1088" s="62" t="n">
        <v>0</v>
      </c>
      <c r="R1088" s="62" t="n">
        <v>0</v>
      </c>
      <c r="S1088" s="62" t="n">
        <v>0</v>
      </c>
      <c r="T1088" s="62" t="n">
        <v>0</v>
      </c>
      <c r="U1088" s="62" t="s">
        <v>2056</v>
      </c>
      <c r="V1088" s="62" t="s">
        <v>2057</v>
      </c>
      <c r="W1088" s="62" t="s">
        <v>15</v>
      </c>
      <c r="X1088" s="62" t="s">
        <v>2103</v>
      </c>
      <c r="Y1088" s="62" t="s">
        <v>2103</v>
      </c>
      <c r="Z1088" s="62" t="s">
        <v>2136</v>
      </c>
      <c r="AA1088" s="62" t="s">
        <v>2137</v>
      </c>
      <c r="AB1088" s="62" t="n">
        <v>1</v>
      </c>
      <c r="AC1088" s="62" t="n">
        <v>0</v>
      </c>
      <c r="AD1088" s="62" t="n">
        <v>1</v>
      </c>
      <c r="AE1088" s="62" t="n">
        <f aca="false">IF(AND(Dashboard!$C$9="Yes",AC1088=1),0,1)</f>
        <v>1</v>
      </c>
      <c r="AF1088" s="62" t="n">
        <v>1</v>
      </c>
    </row>
    <row r="1089" customFormat="false" ht="15" hidden="false" customHeight="false" outlineLevel="0" collapsed="false">
      <c r="A1089" s="62" t="n">
        <v>1088</v>
      </c>
      <c r="B1089" s="63" t="n">
        <v>46263.0846527778</v>
      </c>
      <c r="C1089" s="64" t="n">
        <v>46262</v>
      </c>
      <c r="D1089" s="62" t="s">
        <v>288</v>
      </c>
      <c r="E1089" s="62" t="s">
        <v>2134</v>
      </c>
      <c r="F1089" s="62" t="s">
        <v>2134</v>
      </c>
      <c r="G1089" s="62" t="s">
        <v>2135</v>
      </c>
      <c r="H1089" s="62" t="s">
        <v>57</v>
      </c>
      <c r="I1089" s="62" t="s">
        <v>47</v>
      </c>
      <c r="J1089" s="62" t="s">
        <v>146</v>
      </c>
      <c r="K1089" s="62" t="s">
        <v>147</v>
      </c>
      <c r="L1089" s="62" t="s">
        <v>148</v>
      </c>
      <c r="M1089" s="62" t="n">
        <v>0</v>
      </c>
      <c r="N1089" s="62" t="n">
        <v>1</v>
      </c>
      <c r="O1089" s="62" t="n">
        <v>1</v>
      </c>
      <c r="P1089" s="62" t="n">
        <v>1</v>
      </c>
      <c r="Q1089" s="62" t="n">
        <v>0</v>
      </c>
      <c r="R1089" s="62" t="n">
        <v>0</v>
      </c>
      <c r="S1089" s="62" t="n">
        <v>0</v>
      </c>
      <c r="T1089" s="62" t="n">
        <v>0</v>
      </c>
      <c r="U1089" s="62"/>
      <c r="V1089" s="62"/>
      <c r="W1089" s="62"/>
      <c r="X1089" s="62"/>
      <c r="Y1089" s="62"/>
      <c r="Z1089" s="62" t="s">
        <v>2138</v>
      </c>
      <c r="AA1089" s="62" t="s">
        <v>2139</v>
      </c>
      <c r="AB1089" s="62" t="n">
        <v>1</v>
      </c>
      <c r="AC1089" s="62" t="n">
        <v>0</v>
      </c>
      <c r="AD1089" s="62" t="n">
        <v>1</v>
      </c>
      <c r="AE1089" s="62" t="n">
        <f aca="false">IF(AND(Dashboard!$C$9="Yes",AC1089=1),0,1)</f>
        <v>1</v>
      </c>
      <c r="AF1089" s="62" t="n">
        <v>0</v>
      </c>
    </row>
    <row r="1090" customFormat="false" ht="15" hidden="false" customHeight="false" outlineLevel="0" collapsed="false">
      <c r="A1090" s="62" t="n">
        <v>1089</v>
      </c>
      <c r="B1090" s="63" t="n">
        <v>46263.1080902778</v>
      </c>
      <c r="C1090" s="64" t="n">
        <v>46262</v>
      </c>
      <c r="D1090" s="62" t="s">
        <v>288</v>
      </c>
      <c r="E1090" s="62" t="s">
        <v>884</v>
      </c>
      <c r="F1090" s="62" t="s">
        <v>884</v>
      </c>
      <c r="G1090" s="62" t="s">
        <v>885</v>
      </c>
      <c r="H1090" s="62" t="s">
        <v>46</v>
      </c>
      <c r="I1090" s="62" t="s">
        <v>47</v>
      </c>
      <c r="J1090" s="62" t="s">
        <v>146</v>
      </c>
      <c r="K1090" s="62" t="s">
        <v>209</v>
      </c>
      <c r="L1090" s="62" t="s">
        <v>4</v>
      </c>
      <c r="M1090" s="62" t="n">
        <v>1</v>
      </c>
      <c r="N1090" s="62" t="n">
        <v>0</v>
      </c>
      <c r="O1090" s="62" t="n">
        <v>1</v>
      </c>
      <c r="P1090" s="62" t="n">
        <v>0</v>
      </c>
      <c r="Q1090" s="62" t="n">
        <v>0</v>
      </c>
      <c r="R1090" s="62" t="n">
        <v>0</v>
      </c>
      <c r="S1090" s="62" t="n">
        <v>0</v>
      </c>
      <c r="T1090" s="62" t="n">
        <v>0</v>
      </c>
      <c r="U1090" s="62" t="s">
        <v>2056</v>
      </c>
      <c r="V1090" s="62" t="s">
        <v>2057</v>
      </c>
      <c r="W1090" s="62" t="s">
        <v>15</v>
      </c>
      <c r="X1090" s="62" t="s">
        <v>2058</v>
      </c>
      <c r="Y1090" s="62" t="s">
        <v>2059</v>
      </c>
      <c r="Z1090" s="62" t="s">
        <v>2140</v>
      </c>
      <c r="AA1090" s="62" t="s">
        <v>2141</v>
      </c>
      <c r="AB1090" s="62" t="n">
        <v>1</v>
      </c>
      <c r="AC1090" s="62" t="n">
        <v>0</v>
      </c>
      <c r="AD1090" s="62" t="n">
        <v>1</v>
      </c>
      <c r="AE1090" s="62" t="n">
        <f aca="false">IF(AND(Dashboard!$C$9="Yes",AC1090=1),0,1)</f>
        <v>1</v>
      </c>
      <c r="AF1090" s="62" t="n">
        <v>1</v>
      </c>
    </row>
    <row r="1091" customFormat="false" ht="15" hidden="false" customHeight="false" outlineLevel="0" collapsed="false">
      <c r="A1091" s="62" t="n">
        <v>1090</v>
      </c>
      <c r="B1091" s="63" t="n">
        <v>46263.1437152778</v>
      </c>
      <c r="C1091" s="64" t="n">
        <v>46262</v>
      </c>
      <c r="D1091" s="62" t="s">
        <v>288</v>
      </c>
      <c r="E1091" s="62" t="s">
        <v>884</v>
      </c>
      <c r="F1091" s="62" t="s">
        <v>884</v>
      </c>
      <c r="G1091" s="62" t="s">
        <v>885</v>
      </c>
      <c r="H1091" s="62" t="s">
        <v>46</v>
      </c>
      <c r="I1091" s="62" t="s">
        <v>47</v>
      </c>
      <c r="J1091" s="62" t="s">
        <v>146</v>
      </c>
      <c r="K1091" s="62" t="s">
        <v>209</v>
      </c>
      <c r="L1091" s="62" t="s">
        <v>4</v>
      </c>
      <c r="M1091" s="62" t="n">
        <v>1</v>
      </c>
      <c r="N1091" s="62" t="n">
        <v>0</v>
      </c>
      <c r="O1091" s="62" t="n">
        <v>1</v>
      </c>
      <c r="P1091" s="62" t="n">
        <v>0</v>
      </c>
      <c r="Q1091" s="62" t="n">
        <v>0</v>
      </c>
      <c r="R1091" s="62" t="n">
        <v>0</v>
      </c>
      <c r="S1091" s="62" t="n">
        <v>0</v>
      </c>
      <c r="T1091" s="62" t="n">
        <v>0</v>
      </c>
      <c r="U1091" s="62" t="s">
        <v>2056</v>
      </c>
      <c r="V1091" s="62" t="s">
        <v>2057</v>
      </c>
      <c r="W1091" s="62" t="s">
        <v>15</v>
      </c>
      <c r="X1091" s="62" t="s">
        <v>2058</v>
      </c>
      <c r="Y1091" s="62" t="s">
        <v>2059</v>
      </c>
      <c r="Z1091" s="62" t="s">
        <v>2142</v>
      </c>
      <c r="AA1091" s="62" t="s">
        <v>2143</v>
      </c>
      <c r="AB1091" s="62" t="n">
        <v>1</v>
      </c>
      <c r="AC1091" s="62" t="n">
        <v>0</v>
      </c>
      <c r="AD1091" s="62" t="n">
        <v>1</v>
      </c>
      <c r="AE1091" s="62" t="n">
        <f aca="false">IF(AND(Dashboard!$C$9="Yes",AC1091=1),0,1)</f>
        <v>1</v>
      </c>
      <c r="AF1091" s="62" t="n">
        <v>0</v>
      </c>
    </row>
    <row r="1092" customFormat="false" ht="15" hidden="false" customHeight="false" outlineLevel="0" collapsed="false">
      <c r="A1092" s="62" t="n">
        <v>1091</v>
      </c>
      <c r="B1092" s="63" t="n">
        <v>46263.1478125</v>
      </c>
      <c r="C1092" s="64" t="n">
        <v>46262</v>
      </c>
      <c r="D1092" s="62" t="s">
        <v>288</v>
      </c>
      <c r="E1092" s="62" t="s">
        <v>2144</v>
      </c>
      <c r="F1092" s="62" t="s">
        <v>2144</v>
      </c>
      <c r="G1092" s="62" t="s">
        <v>2145</v>
      </c>
      <c r="H1092" s="62" t="s">
        <v>46</v>
      </c>
      <c r="I1092" s="62" t="s">
        <v>47</v>
      </c>
      <c r="J1092" s="62" t="s">
        <v>146</v>
      </c>
      <c r="K1092" s="62" t="s">
        <v>209</v>
      </c>
      <c r="L1092" s="62" t="s">
        <v>4</v>
      </c>
      <c r="M1092" s="62" t="n">
        <v>2</v>
      </c>
      <c r="N1092" s="62" t="n">
        <v>0</v>
      </c>
      <c r="O1092" s="62" t="n">
        <v>2</v>
      </c>
      <c r="P1092" s="62" t="n">
        <v>0</v>
      </c>
      <c r="Q1092" s="62" t="n">
        <v>0</v>
      </c>
      <c r="R1092" s="62" t="n">
        <v>0</v>
      </c>
      <c r="S1092" s="62" t="n">
        <v>0</v>
      </c>
      <c r="T1092" s="62" t="n">
        <v>0</v>
      </c>
      <c r="U1092" s="62" t="s">
        <v>2056</v>
      </c>
      <c r="V1092" s="62" t="s">
        <v>2057</v>
      </c>
      <c r="W1092" s="62" t="s">
        <v>15</v>
      </c>
      <c r="X1092" s="62" t="s">
        <v>2058</v>
      </c>
      <c r="Y1092" s="62" t="s">
        <v>2059</v>
      </c>
      <c r="Z1092" s="62" t="s">
        <v>2146</v>
      </c>
      <c r="AA1092" s="62" t="s">
        <v>546</v>
      </c>
      <c r="AB1092" s="62" t="n">
        <v>0</v>
      </c>
      <c r="AC1092" s="62" t="n">
        <v>0</v>
      </c>
      <c r="AD1092" s="62" t="n">
        <v>1</v>
      </c>
      <c r="AE1092" s="62" t="n">
        <f aca="false">IF(AND(Dashboard!$C$9="Yes",AC1092=1),0,1)</f>
        <v>1</v>
      </c>
      <c r="AF1092" s="62" t="n">
        <v>1</v>
      </c>
    </row>
    <row r="1093" customFormat="false" ht="15" hidden="false" customHeight="false" outlineLevel="0" collapsed="false">
      <c r="A1093" s="62" t="n">
        <v>1092</v>
      </c>
      <c r="B1093" s="63" t="n">
        <v>46263.1617476852</v>
      </c>
      <c r="C1093" s="64" t="n">
        <v>46262</v>
      </c>
      <c r="D1093" s="62" t="s">
        <v>288</v>
      </c>
      <c r="E1093" s="62" t="s">
        <v>1616</v>
      </c>
      <c r="F1093" s="62" t="s">
        <v>1616</v>
      </c>
      <c r="G1093" s="62" t="s">
        <v>1617</v>
      </c>
      <c r="H1093" s="62" t="s">
        <v>51</v>
      </c>
      <c r="I1093" s="62" t="s">
        <v>47</v>
      </c>
      <c r="J1093" s="62" t="s">
        <v>146</v>
      </c>
      <c r="K1093" s="62" t="s">
        <v>175</v>
      </c>
      <c r="L1093" s="62" t="s">
        <v>4</v>
      </c>
      <c r="M1093" s="62" t="n">
        <v>1</v>
      </c>
      <c r="N1093" s="62" t="n">
        <v>0</v>
      </c>
      <c r="O1093" s="62" t="n">
        <v>1</v>
      </c>
      <c r="P1093" s="62" t="n">
        <v>0</v>
      </c>
      <c r="Q1093" s="62" t="n">
        <v>0</v>
      </c>
      <c r="R1093" s="62" t="n">
        <v>0</v>
      </c>
      <c r="S1093" s="62" t="n">
        <v>0</v>
      </c>
      <c r="T1093" s="62" t="n">
        <v>0</v>
      </c>
      <c r="U1093" s="62" t="s">
        <v>2056</v>
      </c>
      <c r="V1093" s="62" t="s">
        <v>2057</v>
      </c>
      <c r="W1093" s="62" t="s">
        <v>15</v>
      </c>
      <c r="X1093" s="62" t="s">
        <v>2103</v>
      </c>
      <c r="Y1093" s="62" t="s">
        <v>2059</v>
      </c>
      <c r="Z1093" s="62" t="s">
        <v>2147</v>
      </c>
      <c r="AA1093" s="62" t="s">
        <v>2148</v>
      </c>
      <c r="AB1093" s="62" t="n">
        <v>1</v>
      </c>
      <c r="AC1093" s="62" t="n">
        <v>0</v>
      </c>
      <c r="AD1093" s="62" t="n">
        <v>1</v>
      </c>
      <c r="AE1093" s="62" t="n">
        <f aca="false">IF(AND(Dashboard!$C$9="Yes",AC1093=1),0,1)</f>
        <v>1</v>
      </c>
      <c r="AF1093" s="62" t="n">
        <v>0</v>
      </c>
    </row>
    <row r="1094" customFormat="false" ht="15" hidden="false" customHeight="false" outlineLevel="0" collapsed="false">
      <c r="A1094" s="62" t="n">
        <v>1093</v>
      </c>
      <c r="B1094" s="63" t="n">
        <v>46263.1735648148</v>
      </c>
      <c r="C1094" s="64" t="n">
        <v>46262</v>
      </c>
      <c r="D1094" s="62" t="s">
        <v>288</v>
      </c>
      <c r="E1094" s="62" t="s">
        <v>1539</v>
      </c>
      <c r="F1094" s="62" t="s">
        <v>1539</v>
      </c>
      <c r="G1094" s="62" t="s">
        <v>1540</v>
      </c>
      <c r="H1094" s="62" t="s">
        <v>52</v>
      </c>
      <c r="I1094" s="62" t="s">
        <v>47</v>
      </c>
      <c r="J1094" s="62" t="s">
        <v>146</v>
      </c>
      <c r="K1094" s="62" t="s">
        <v>147</v>
      </c>
      <c r="L1094" s="62" t="s">
        <v>4</v>
      </c>
      <c r="M1094" s="62" t="n">
        <v>1</v>
      </c>
      <c r="N1094" s="62" t="n">
        <v>0</v>
      </c>
      <c r="O1094" s="62" t="n">
        <v>1</v>
      </c>
      <c r="P1094" s="62" t="n">
        <v>0</v>
      </c>
      <c r="Q1094" s="62" t="n">
        <v>0</v>
      </c>
      <c r="R1094" s="62" t="n">
        <v>0</v>
      </c>
      <c r="S1094" s="62" t="n">
        <v>0</v>
      </c>
      <c r="T1094" s="62" t="n">
        <v>0</v>
      </c>
      <c r="U1094" s="62" t="s">
        <v>2056</v>
      </c>
      <c r="V1094" s="62" t="s">
        <v>2057</v>
      </c>
      <c r="W1094" s="62" t="s">
        <v>15</v>
      </c>
      <c r="X1094" s="62" t="s">
        <v>2058</v>
      </c>
      <c r="Y1094" s="62" t="s">
        <v>2059</v>
      </c>
      <c r="Z1094" s="62" t="s">
        <v>2149</v>
      </c>
      <c r="AA1094" s="62" t="s">
        <v>2150</v>
      </c>
      <c r="AB1094" s="62" t="n">
        <v>1</v>
      </c>
      <c r="AC1094" s="62" t="n">
        <v>0</v>
      </c>
      <c r="AD1094" s="62" t="n">
        <v>1</v>
      </c>
      <c r="AE1094" s="62" t="n">
        <f aca="false">IF(AND(Dashboard!$C$9="Yes",AC1094=1),0,1)</f>
        <v>1</v>
      </c>
      <c r="AF1094" s="62" t="n">
        <v>1</v>
      </c>
    </row>
    <row r="1095" customFormat="false" ht="15" hidden="false" customHeight="false" outlineLevel="0" collapsed="false">
      <c r="A1095" s="62" t="n">
        <v>1094</v>
      </c>
      <c r="B1095" s="63" t="n">
        <v>46263.294537037</v>
      </c>
      <c r="C1095" s="64" t="n">
        <v>46262</v>
      </c>
      <c r="D1095" s="62" t="s">
        <v>288</v>
      </c>
      <c r="E1095" s="62" t="s">
        <v>790</v>
      </c>
      <c r="F1095" s="62" t="s">
        <v>791</v>
      </c>
      <c r="G1095" s="62" t="s">
        <v>153</v>
      </c>
      <c r="H1095" s="62" t="s">
        <v>153</v>
      </c>
      <c r="I1095" s="62" t="s">
        <v>153</v>
      </c>
      <c r="J1095" s="62" t="s">
        <v>64</v>
      </c>
      <c r="K1095" s="62" t="s">
        <v>64</v>
      </c>
      <c r="L1095" s="62" t="s">
        <v>148</v>
      </c>
      <c r="M1095" s="62" t="n">
        <v>0</v>
      </c>
      <c r="N1095" s="62" t="n">
        <v>1</v>
      </c>
      <c r="O1095" s="62" t="n">
        <v>1</v>
      </c>
      <c r="P1095" s="62" t="n">
        <v>1</v>
      </c>
      <c r="Q1095" s="62" t="n">
        <v>0</v>
      </c>
      <c r="R1095" s="62" t="n">
        <v>0</v>
      </c>
      <c r="S1095" s="62" t="n">
        <v>0</v>
      </c>
      <c r="T1095" s="62" t="n">
        <v>0</v>
      </c>
      <c r="U1095" s="62"/>
      <c r="V1095" s="62"/>
      <c r="W1095" s="62"/>
      <c r="X1095" s="62"/>
      <c r="Y1095" s="62"/>
      <c r="Z1095" s="62" t="s">
        <v>2151</v>
      </c>
      <c r="AA1095" s="62" t="s">
        <v>2152</v>
      </c>
      <c r="AB1095" s="62" t="n">
        <v>1</v>
      </c>
      <c r="AC1095" s="62" t="n">
        <v>0</v>
      </c>
      <c r="AD1095" s="62" t="n">
        <v>0</v>
      </c>
      <c r="AE1095" s="62" t="n">
        <f aca="false">IF(AND(Dashboard!$C$9="Yes",AC1095=1),0,1)</f>
        <v>1</v>
      </c>
      <c r="AF1095" s="62" t="n">
        <v>1</v>
      </c>
    </row>
    <row r="1096" customFormat="false" ht="15" hidden="false" customHeight="false" outlineLevel="0" collapsed="false">
      <c r="A1096" s="62" t="n">
        <v>1095</v>
      </c>
      <c r="B1096" s="63" t="n">
        <v>46263.6770023148</v>
      </c>
      <c r="C1096" s="64" t="n">
        <v>46263</v>
      </c>
      <c r="D1096" s="62" t="s">
        <v>358</v>
      </c>
      <c r="E1096" s="62" t="s">
        <v>650</v>
      </c>
      <c r="F1096" s="62" t="s">
        <v>650</v>
      </c>
      <c r="G1096" s="62" t="s">
        <v>651</v>
      </c>
      <c r="H1096" s="62" t="s">
        <v>59</v>
      </c>
      <c r="I1096" s="62" t="s">
        <v>47</v>
      </c>
      <c r="J1096" s="62" t="s">
        <v>146</v>
      </c>
      <c r="K1096" s="62" t="s">
        <v>209</v>
      </c>
      <c r="L1096" s="62" t="s">
        <v>148</v>
      </c>
      <c r="M1096" s="62" t="n">
        <v>0</v>
      </c>
      <c r="N1096" s="62" t="n">
        <v>1</v>
      </c>
      <c r="O1096" s="62" t="n">
        <v>1</v>
      </c>
      <c r="P1096" s="62" t="n">
        <v>1</v>
      </c>
      <c r="Q1096" s="62" t="n">
        <v>0</v>
      </c>
      <c r="R1096" s="62" t="n">
        <v>0</v>
      </c>
      <c r="S1096" s="62" t="n">
        <v>0</v>
      </c>
      <c r="T1096" s="62" t="n">
        <v>0</v>
      </c>
      <c r="U1096" s="62"/>
      <c r="V1096" s="62"/>
      <c r="W1096" s="62"/>
      <c r="X1096" s="62"/>
      <c r="Y1096" s="62"/>
      <c r="Z1096" s="62" t="s">
        <v>2153</v>
      </c>
      <c r="AA1096" s="62" t="s">
        <v>2154</v>
      </c>
      <c r="AB1096" s="62" t="n">
        <v>1</v>
      </c>
      <c r="AC1096" s="62" t="n">
        <v>0</v>
      </c>
      <c r="AD1096" s="62" t="n">
        <v>1</v>
      </c>
      <c r="AE1096" s="62" t="n">
        <f aca="false">IF(AND(Dashboard!$C$9="Yes",AC1096=1),0,1)</f>
        <v>1</v>
      </c>
      <c r="AF1096" s="62" t="n">
        <v>1</v>
      </c>
    </row>
    <row r="1097" customFormat="false" ht="15" hidden="false" customHeight="false" outlineLevel="0" collapsed="false">
      <c r="A1097" s="62" t="n">
        <v>1096</v>
      </c>
      <c r="B1097" s="63" t="n">
        <v>46263.680150463</v>
      </c>
      <c r="C1097" s="64" t="n">
        <v>46263</v>
      </c>
      <c r="D1097" s="62" t="s">
        <v>358</v>
      </c>
      <c r="E1097" s="62" t="s">
        <v>2110</v>
      </c>
      <c r="F1097" s="62" t="s">
        <v>2111</v>
      </c>
      <c r="G1097" s="62" t="s">
        <v>153</v>
      </c>
      <c r="H1097" s="62" t="s">
        <v>153</v>
      </c>
      <c r="I1097" s="62" t="s">
        <v>153</v>
      </c>
      <c r="J1097" s="62" t="s">
        <v>64</v>
      </c>
      <c r="K1097" s="62" t="s">
        <v>64</v>
      </c>
      <c r="L1097" s="62" t="s">
        <v>148</v>
      </c>
      <c r="M1097" s="62" t="n">
        <v>0</v>
      </c>
      <c r="N1097" s="62" t="n">
        <v>2</v>
      </c>
      <c r="O1097" s="62" t="n">
        <v>2</v>
      </c>
      <c r="P1097" s="62" t="n">
        <v>0</v>
      </c>
      <c r="Q1097" s="62" t="n">
        <v>0</v>
      </c>
      <c r="R1097" s="62" t="n">
        <v>2</v>
      </c>
      <c r="S1097" s="62" t="n">
        <v>0</v>
      </c>
      <c r="T1097" s="62" t="n">
        <v>0</v>
      </c>
      <c r="U1097" s="62"/>
      <c r="V1097" s="62"/>
      <c r="W1097" s="62"/>
      <c r="X1097" s="62"/>
      <c r="Y1097" s="62"/>
      <c r="Z1097" s="62" t="s">
        <v>2155</v>
      </c>
      <c r="AA1097" s="62" t="s">
        <v>2155</v>
      </c>
      <c r="AB1097" s="62" t="n">
        <v>1</v>
      </c>
      <c r="AC1097" s="62" t="n">
        <v>0</v>
      </c>
      <c r="AD1097" s="62" t="n">
        <v>0</v>
      </c>
      <c r="AE1097" s="62" t="n">
        <f aca="false">IF(AND(Dashboard!$C$9="Yes",AC1097=1),0,1)</f>
        <v>1</v>
      </c>
      <c r="AF1097" s="62" t="n">
        <v>1</v>
      </c>
    </row>
    <row r="1098" customFormat="false" ht="15" hidden="false" customHeight="false" outlineLevel="0" collapsed="false">
      <c r="A1098" s="62" t="n">
        <v>1097</v>
      </c>
      <c r="B1098" s="63" t="n">
        <v>46263.714525463</v>
      </c>
      <c r="C1098" s="64" t="n">
        <v>46263</v>
      </c>
      <c r="D1098" s="62" t="s">
        <v>358</v>
      </c>
      <c r="E1098" s="62" t="s">
        <v>2156</v>
      </c>
      <c r="F1098" s="62" t="s">
        <v>2156</v>
      </c>
      <c r="G1098" s="62" t="s">
        <v>2157</v>
      </c>
      <c r="H1098" s="62" t="s">
        <v>52</v>
      </c>
      <c r="I1098" s="62" t="s">
        <v>47</v>
      </c>
      <c r="J1098" s="62" t="s">
        <v>146</v>
      </c>
      <c r="K1098" s="62" t="s">
        <v>209</v>
      </c>
      <c r="L1098" s="62" t="s">
        <v>4</v>
      </c>
      <c r="M1098" s="62" t="n">
        <v>1</v>
      </c>
      <c r="N1098" s="62" t="n">
        <v>0</v>
      </c>
      <c r="O1098" s="62" t="n">
        <v>1</v>
      </c>
      <c r="P1098" s="62" t="n">
        <v>0</v>
      </c>
      <c r="Q1098" s="62" t="n">
        <v>0</v>
      </c>
      <c r="R1098" s="62" t="n">
        <v>0</v>
      </c>
      <c r="S1098" s="62" t="n">
        <v>0</v>
      </c>
      <c r="T1098" s="62" t="n">
        <v>0</v>
      </c>
      <c r="U1098" s="62" t="s">
        <v>2056</v>
      </c>
      <c r="V1098" s="62" t="s">
        <v>2057</v>
      </c>
      <c r="W1098" s="62" t="s">
        <v>15</v>
      </c>
      <c r="X1098" s="62" t="s">
        <v>2125</v>
      </c>
      <c r="Y1098" s="62" t="s">
        <v>2059</v>
      </c>
      <c r="Z1098" s="62" t="s">
        <v>2158</v>
      </c>
      <c r="AA1098" s="62" t="s">
        <v>2159</v>
      </c>
      <c r="AB1098" s="62" t="n">
        <v>1</v>
      </c>
      <c r="AC1098" s="62" t="n">
        <v>0</v>
      </c>
      <c r="AD1098" s="62" t="n">
        <v>1</v>
      </c>
      <c r="AE1098" s="62" t="n">
        <f aca="false">IF(AND(Dashboard!$C$9="Yes",AC1098=1),0,1)</f>
        <v>1</v>
      </c>
      <c r="AF1098" s="62" t="n">
        <v>1</v>
      </c>
    </row>
    <row r="1099" customFormat="false" ht="15" hidden="false" customHeight="false" outlineLevel="0" collapsed="false">
      <c r="A1099" s="62" t="n">
        <v>1098</v>
      </c>
      <c r="B1099" s="63" t="n">
        <v>46263.7271643519</v>
      </c>
      <c r="C1099" s="64" t="n">
        <v>46263</v>
      </c>
      <c r="D1099" s="62" t="s">
        <v>358</v>
      </c>
      <c r="E1099" s="62" t="s">
        <v>164</v>
      </c>
      <c r="F1099" s="62" t="s">
        <v>164</v>
      </c>
      <c r="G1099" s="62" t="s">
        <v>165</v>
      </c>
      <c r="H1099" s="62" t="s">
        <v>51</v>
      </c>
      <c r="I1099" s="62" t="s">
        <v>47</v>
      </c>
      <c r="J1099" s="62" t="s">
        <v>146</v>
      </c>
      <c r="K1099" s="62" t="s">
        <v>147</v>
      </c>
      <c r="L1099" s="62" t="s">
        <v>148</v>
      </c>
      <c r="M1099" s="62" t="n">
        <v>0</v>
      </c>
      <c r="N1099" s="62" t="n">
        <v>1</v>
      </c>
      <c r="O1099" s="62" t="n">
        <v>1</v>
      </c>
      <c r="P1099" s="62" t="n">
        <v>1</v>
      </c>
      <c r="Q1099" s="62" t="n">
        <v>0</v>
      </c>
      <c r="R1099" s="62" t="n">
        <v>0</v>
      </c>
      <c r="S1099" s="62" t="n">
        <v>0</v>
      </c>
      <c r="T1099" s="62" t="n">
        <v>0</v>
      </c>
      <c r="U1099" s="62"/>
      <c r="V1099" s="62"/>
      <c r="W1099" s="62"/>
      <c r="X1099" s="62"/>
      <c r="Y1099" s="62"/>
      <c r="Z1099" s="62" t="s">
        <v>2160</v>
      </c>
      <c r="AA1099" s="62" t="s">
        <v>2161</v>
      </c>
      <c r="AB1099" s="62" t="n">
        <v>1</v>
      </c>
      <c r="AC1099" s="62" t="n">
        <v>0</v>
      </c>
      <c r="AD1099" s="62" t="n">
        <v>1</v>
      </c>
      <c r="AE1099" s="62" t="n">
        <f aca="false">IF(AND(Dashboard!$C$9="Yes",AC1099=1),0,1)</f>
        <v>1</v>
      </c>
      <c r="AF1099" s="62" t="n">
        <v>1</v>
      </c>
    </row>
    <row r="1100" customFormat="false" ht="15" hidden="false" customHeight="false" outlineLevel="0" collapsed="false">
      <c r="A1100" s="62" t="n">
        <v>1099</v>
      </c>
      <c r="B1100" s="63" t="n">
        <v>46263.7513310185</v>
      </c>
      <c r="C1100" s="64" t="n">
        <v>46263</v>
      </c>
      <c r="D1100" s="62" t="s">
        <v>358</v>
      </c>
      <c r="E1100" s="62" t="s">
        <v>586</v>
      </c>
      <c r="F1100" s="62" t="s">
        <v>586</v>
      </c>
      <c r="G1100" s="62" t="s">
        <v>587</v>
      </c>
      <c r="H1100" s="62" t="s">
        <v>57</v>
      </c>
      <c r="I1100" s="62" t="s">
        <v>47</v>
      </c>
      <c r="J1100" s="62" t="s">
        <v>146</v>
      </c>
      <c r="K1100" s="62" t="s">
        <v>175</v>
      </c>
      <c r="L1100" s="62" t="s">
        <v>148</v>
      </c>
      <c r="M1100" s="62" t="n">
        <v>0</v>
      </c>
      <c r="N1100" s="62" t="n">
        <v>1</v>
      </c>
      <c r="O1100" s="62" t="n">
        <v>1</v>
      </c>
      <c r="P1100" s="62" t="n">
        <v>1</v>
      </c>
      <c r="Q1100" s="62" t="n">
        <v>0</v>
      </c>
      <c r="R1100" s="62" t="n">
        <v>0</v>
      </c>
      <c r="S1100" s="62" t="n">
        <v>0</v>
      </c>
      <c r="T1100" s="62" t="n">
        <v>0</v>
      </c>
      <c r="U1100" s="62"/>
      <c r="V1100" s="62"/>
      <c r="W1100" s="62"/>
      <c r="X1100" s="62"/>
      <c r="Y1100" s="62"/>
      <c r="Z1100" s="62" t="s">
        <v>2162</v>
      </c>
      <c r="AA1100" s="62" t="s">
        <v>2163</v>
      </c>
      <c r="AB1100" s="62" t="n">
        <v>1</v>
      </c>
      <c r="AC1100" s="62" t="n">
        <v>0</v>
      </c>
      <c r="AD1100" s="62" t="n">
        <v>1</v>
      </c>
      <c r="AE1100" s="62" t="n">
        <f aca="false">IF(AND(Dashboard!$C$9="Yes",AC1100=1),0,1)</f>
        <v>1</v>
      </c>
      <c r="AF1100" s="62" t="n">
        <v>1</v>
      </c>
    </row>
    <row r="1101" customFormat="false" ht="15" hidden="false" customHeight="false" outlineLevel="0" collapsed="false">
      <c r="A1101" s="62" t="n">
        <v>1100</v>
      </c>
      <c r="B1101" s="63" t="n">
        <v>46263.7881018519</v>
      </c>
      <c r="C1101" s="64" t="n">
        <v>46263</v>
      </c>
      <c r="D1101" s="62" t="s">
        <v>358</v>
      </c>
      <c r="E1101" s="62" t="s">
        <v>586</v>
      </c>
      <c r="F1101" s="62" t="s">
        <v>586</v>
      </c>
      <c r="G1101" s="62" t="s">
        <v>587</v>
      </c>
      <c r="H1101" s="62" t="s">
        <v>57</v>
      </c>
      <c r="I1101" s="62" t="s">
        <v>47</v>
      </c>
      <c r="J1101" s="62" t="s">
        <v>146</v>
      </c>
      <c r="K1101" s="62" t="s">
        <v>175</v>
      </c>
      <c r="L1101" s="62" t="s">
        <v>4</v>
      </c>
      <c r="M1101" s="62" t="n">
        <v>1</v>
      </c>
      <c r="N1101" s="62" t="n">
        <v>0</v>
      </c>
      <c r="O1101" s="62" t="n">
        <v>1</v>
      </c>
      <c r="P1101" s="62" t="n">
        <v>0</v>
      </c>
      <c r="Q1101" s="62" t="n">
        <v>0</v>
      </c>
      <c r="R1101" s="62" t="n">
        <v>0</v>
      </c>
      <c r="S1101" s="62" t="n">
        <v>0</v>
      </c>
      <c r="T1101" s="62" t="n">
        <v>0</v>
      </c>
      <c r="U1101" s="62" t="s">
        <v>2056</v>
      </c>
      <c r="V1101" s="62" t="s">
        <v>2057</v>
      </c>
      <c r="W1101" s="62" t="s">
        <v>2056</v>
      </c>
      <c r="X1101" s="62" t="s">
        <v>2164</v>
      </c>
      <c r="Y1101" s="62" t="s">
        <v>2165</v>
      </c>
      <c r="Z1101" s="62" t="s">
        <v>2162</v>
      </c>
      <c r="AA1101" s="62" t="s">
        <v>2166</v>
      </c>
      <c r="AB1101" s="62" t="n">
        <v>1</v>
      </c>
      <c r="AC1101" s="62" t="n">
        <v>0</v>
      </c>
      <c r="AD1101" s="62" t="n">
        <v>1</v>
      </c>
      <c r="AE1101" s="62" t="n">
        <f aca="false">IF(AND(Dashboard!$C$9="Yes",AC1101=1),0,1)</f>
        <v>1</v>
      </c>
      <c r="AF1101" s="62" t="n">
        <v>0</v>
      </c>
    </row>
    <row r="1102" customFormat="false" ht="15" hidden="false" customHeight="false" outlineLevel="0" collapsed="false">
      <c r="A1102" s="62" t="n">
        <v>1101</v>
      </c>
      <c r="B1102" s="63" t="n">
        <v>46263.8041435185</v>
      </c>
      <c r="C1102" s="64" t="n">
        <v>46263</v>
      </c>
      <c r="D1102" s="62" t="s">
        <v>358</v>
      </c>
      <c r="E1102" s="62" t="s">
        <v>1749</v>
      </c>
      <c r="F1102" s="62" t="s">
        <v>1749</v>
      </c>
      <c r="G1102" s="62" t="s">
        <v>1750</v>
      </c>
      <c r="H1102" s="62" t="s">
        <v>57</v>
      </c>
      <c r="I1102" s="62" t="s">
        <v>47</v>
      </c>
      <c r="J1102" s="62" t="s">
        <v>146</v>
      </c>
      <c r="K1102" s="62" t="s">
        <v>209</v>
      </c>
      <c r="L1102" s="62" t="s">
        <v>148</v>
      </c>
      <c r="M1102" s="62" t="n">
        <v>0</v>
      </c>
      <c r="N1102" s="62" t="n">
        <v>1</v>
      </c>
      <c r="O1102" s="62" t="n">
        <v>1</v>
      </c>
      <c r="P1102" s="62" t="n">
        <v>0</v>
      </c>
      <c r="Q1102" s="62" t="n">
        <v>1</v>
      </c>
      <c r="R1102" s="62" t="n">
        <v>0</v>
      </c>
      <c r="S1102" s="62" t="n">
        <v>0</v>
      </c>
      <c r="T1102" s="62" t="n">
        <v>0</v>
      </c>
      <c r="U1102" s="62"/>
      <c r="V1102" s="62"/>
      <c r="W1102" s="62"/>
      <c r="X1102" s="62"/>
      <c r="Y1102" s="62"/>
      <c r="Z1102" s="62" t="s">
        <v>2167</v>
      </c>
      <c r="AA1102" s="62" t="s">
        <v>2168</v>
      </c>
      <c r="AB1102" s="62" t="n">
        <v>1</v>
      </c>
      <c r="AC1102" s="62" t="n">
        <v>0</v>
      </c>
      <c r="AD1102" s="62" t="n">
        <v>1</v>
      </c>
      <c r="AE1102" s="62" t="n">
        <f aca="false">IF(AND(Dashboard!$C$9="Yes",AC1102=1),0,1)</f>
        <v>1</v>
      </c>
      <c r="AF1102" s="62" t="n">
        <v>1</v>
      </c>
    </row>
    <row r="1103" customFormat="false" ht="15" hidden="false" customHeight="false" outlineLevel="0" collapsed="false">
      <c r="A1103" s="62" t="n">
        <v>1102</v>
      </c>
      <c r="B1103" s="63" t="n">
        <v>46263.8336458333</v>
      </c>
      <c r="C1103" s="64" t="n">
        <v>46263</v>
      </c>
      <c r="D1103" s="62" t="s">
        <v>358</v>
      </c>
      <c r="E1103" s="62" t="s">
        <v>1005</v>
      </c>
      <c r="F1103" s="62" t="s">
        <v>1005</v>
      </c>
      <c r="G1103" s="62" t="s">
        <v>1006</v>
      </c>
      <c r="H1103" s="62" t="s">
        <v>46</v>
      </c>
      <c r="I1103" s="62" t="s">
        <v>47</v>
      </c>
      <c r="J1103" s="62" t="s">
        <v>146</v>
      </c>
      <c r="K1103" s="62" t="s">
        <v>209</v>
      </c>
      <c r="L1103" s="62" t="s">
        <v>148</v>
      </c>
      <c r="M1103" s="62" t="n">
        <v>0</v>
      </c>
      <c r="N1103" s="62" t="n">
        <v>4</v>
      </c>
      <c r="O1103" s="62" t="n">
        <v>4</v>
      </c>
      <c r="P1103" s="62" t="n">
        <v>0</v>
      </c>
      <c r="Q1103" s="62" t="n">
        <v>0</v>
      </c>
      <c r="R1103" s="62" t="n">
        <v>0</v>
      </c>
      <c r="S1103" s="62" t="n">
        <v>1</v>
      </c>
      <c r="T1103" s="62" t="n">
        <v>1</v>
      </c>
      <c r="U1103" s="62"/>
      <c r="V1103" s="62"/>
      <c r="W1103" s="62"/>
      <c r="X1103" s="62"/>
      <c r="Y1103" s="62"/>
      <c r="Z1103" s="62" t="s">
        <v>2169</v>
      </c>
      <c r="AA1103" s="62" t="s">
        <v>485</v>
      </c>
      <c r="AB1103" s="62" t="n">
        <v>0</v>
      </c>
      <c r="AC1103" s="62" t="n">
        <v>0</v>
      </c>
      <c r="AD1103" s="62" t="n">
        <v>1</v>
      </c>
      <c r="AE1103" s="62" t="n">
        <f aca="false">IF(AND(Dashboard!$C$9="Yes",AC1103=1),0,1)</f>
        <v>1</v>
      </c>
      <c r="AF1103" s="62" t="n">
        <v>1</v>
      </c>
    </row>
    <row r="1104" customFormat="false" ht="15" hidden="false" customHeight="false" outlineLevel="0" collapsed="false">
      <c r="A1104" s="62" t="n">
        <v>1103</v>
      </c>
      <c r="B1104" s="63" t="n">
        <v>46263.8403240741</v>
      </c>
      <c r="C1104" s="64" t="n">
        <v>46263</v>
      </c>
      <c r="D1104" s="62" t="s">
        <v>358</v>
      </c>
      <c r="E1104" s="62" t="s">
        <v>212</v>
      </c>
      <c r="F1104" s="62" t="s">
        <v>212</v>
      </c>
      <c r="G1104" s="62" t="s">
        <v>213</v>
      </c>
      <c r="H1104" s="62" t="s">
        <v>58</v>
      </c>
      <c r="I1104" s="62" t="s">
        <v>49</v>
      </c>
      <c r="J1104" s="62" t="s">
        <v>146</v>
      </c>
      <c r="K1104" s="62" t="s">
        <v>175</v>
      </c>
      <c r="L1104" s="62" t="s">
        <v>4</v>
      </c>
      <c r="M1104" s="62" t="n">
        <v>1</v>
      </c>
      <c r="N1104" s="62" t="n">
        <v>0</v>
      </c>
      <c r="O1104" s="62" t="n">
        <v>1</v>
      </c>
      <c r="P1104" s="62" t="n">
        <v>0</v>
      </c>
      <c r="Q1104" s="62" t="n">
        <v>0</v>
      </c>
      <c r="R1104" s="62" t="n">
        <v>0</v>
      </c>
      <c r="S1104" s="62" t="n">
        <v>0</v>
      </c>
      <c r="T1104" s="62" t="n">
        <v>0</v>
      </c>
      <c r="U1104" s="62" t="s">
        <v>2056</v>
      </c>
      <c r="V1104" s="62" t="s">
        <v>2057</v>
      </c>
      <c r="W1104" s="62" t="s">
        <v>15</v>
      </c>
      <c r="X1104" s="62" t="s">
        <v>2058</v>
      </c>
      <c r="Y1104" s="62" t="s">
        <v>2059</v>
      </c>
      <c r="Z1104" s="62" t="s">
        <v>2170</v>
      </c>
      <c r="AA1104" s="62" t="s">
        <v>2171</v>
      </c>
      <c r="AB1104" s="62" t="n">
        <v>1</v>
      </c>
      <c r="AC1104" s="62" t="n">
        <v>0</v>
      </c>
      <c r="AD1104" s="62" t="n">
        <v>1</v>
      </c>
      <c r="AE1104" s="62" t="n">
        <f aca="false">IF(AND(Dashboard!$C$9="Yes",AC1104=1),0,1)</f>
        <v>1</v>
      </c>
      <c r="AF1104" s="62" t="n">
        <v>1</v>
      </c>
    </row>
    <row r="1105" customFormat="false" ht="15" hidden="false" customHeight="false" outlineLevel="0" collapsed="false">
      <c r="A1105" s="62" t="n">
        <v>1104</v>
      </c>
      <c r="B1105" s="63" t="n">
        <v>46263.8420949074</v>
      </c>
      <c r="C1105" s="64" t="n">
        <v>46263</v>
      </c>
      <c r="D1105" s="62" t="s">
        <v>358</v>
      </c>
      <c r="E1105" s="62" t="s">
        <v>228</v>
      </c>
      <c r="F1105" s="62" t="s">
        <v>229</v>
      </c>
      <c r="G1105" s="62" t="s">
        <v>153</v>
      </c>
      <c r="H1105" s="62" t="s">
        <v>153</v>
      </c>
      <c r="I1105" s="62" t="s">
        <v>153</v>
      </c>
      <c r="J1105" s="62" t="s">
        <v>64</v>
      </c>
      <c r="K1105" s="62" t="s">
        <v>64</v>
      </c>
      <c r="L1105" s="62" t="s">
        <v>148</v>
      </c>
      <c r="M1105" s="62" t="n">
        <v>0</v>
      </c>
      <c r="N1105" s="62" t="n">
        <v>1</v>
      </c>
      <c r="O1105" s="62" t="n">
        <v>1</v>
      </c>
      <c r="P1105" s="62" t="n">
        <v>0</v>
      </c>
      <c r="Q1105" s="62" t="n">
        <v>1</v>
      </c>
      <c r="R1105" s="62" t="n">
        <v>0</v>
      </c>
      <c r="S1105" s="62" t="n">
        <v>0</v>
      </c>
      <c r="T1105" s="62" t="n">
        <v>0</v>
      </c>
      <c r="U1105" s="62"/>
      <c r="V1105" s="62"/>
      <c r="W1105" s="62"/>
      <c r="X1105" s="62"/>
      <c r="Y1105" s="62"/>
      <c r="Z1105" s="62" t="s">
        <v>2172</v>
      </c>
      <c r="AA1105" s="62" t="s">
        <v>2173</v>
      </c>
      <c r="AB1105" s="62" t="n">
        <v>1</v>
      </c>
      <c r="AC1105" s="62" t="n">
        <v>0</v>
      </c>
      <c r="AD1105" s="62" t="n">
        <v>0</v>
      </c>
      <c r="AE1105" s="62" t="n">
        <f aca="false">IF(AND(Dashboard!$C$9="Yes",AC1105=1),0,1)</f>
        <v>1</v>
      </c>
      <c r="AF1105" s="62" t="n">
        <v>1</v>
      </c>
    </row>
    <row r="1106" customFormat="false" ht="15" hidden="false" customHeight="false" outlineLevel="0" collapsed="false">
      <c r="A1106" s="62" t="n">
        <v>1105</v>
      </c>
      <c r="B1106" s="63" t="n">
        <v>46263.8623263889</v>
      </c>
      <c r="C1106" s="64" t="n">
        <v>46263</v>
      </c>
      <c r="D1106" s="62" t="s">
        <v>358</v>
      </c>
      <c r="E1106" s="62" t="s">
        <v>160</v>
      </c>
      <c r="F1106" s="62" t="s">
        <v>160</v>
      </c>
      <c r="G1106" s="62" t="s">
        <v>161</v>
      </c>
      <c r="H1106" s="62" t="s">
        <v>51</v>
      </c>
      <c r="I1106" s="62" t="s">
        <v>47</v>
      </c>
      <c r="J1106" s="62" t="s">
        <v>146</v>
      </c>
      <c r="K1106" s="62" t="s">
        <v>147</v>
      </c>
      <c r="L1106" s="62" t="s">
        <v>148</v>
      </c>
      <c r="M1106" s="62" t="n">
        <v>0</v>
      </c>
      <c r="N1106" s="62" t="n">
        <v>1</v>
      </c>
      <c r="O1106" s="62" t="n">
        <v>1</v>
      </c>
      <c r="P1106" s="62" t="n">
        <v>0</v>
      </c>
      <c r="Q1106" s="62" t="n">
        <v>1</v>
      </c>
      <c r="R1106" s="62" t="n">
        <v>0</v>
      </c>
      <c r="S1106" s="62" t="n">
        <v>0</v>
      </c>
      <c r="T1106" s="62" t="n">
        <v>0</v>
      </c>
      <c r="U1106" s="62"/>
      <c r="V1106" s="62"/>
      <c r="W1106" s="62"/>
      <c r="X1106" s="62"/>
      <c r="Y1106" s="62"/>
      <c r="Z1106" s="62" t="s">
        <v>2174</v>
      </c>
      <c r="AA1106" s="62" t="s">
        <v>2175</v>
      </c>
      <c r="AB1106" s="62" t="n">
        <v>1</v>
      </c>
      <c r="AC1106" s="62" t="n">
        <v>0</v>
      </c>
      <c r="AD1106" s="62" t="n">
        <v>1</v>
      </c>
      <c r="AE1106" s="62" t="n">
        <f aca="false">IF(AND(Dashboard!$C$9="Yes",AC1106=1),0,1)</f>
        <v>1</v>
      </c>
      <c r="AF1106" s="62" t="n">
        <v>1</v>
      </c>
    </row>
    <row r="1107" customFormat="false" ht="15" hidden="false" customHeight="false" outlineLevel="0" collapsed="false">
      <c r="A1107" s="62" t="n">
        <v>1106</v>
      </c>
      <c r="B1107" s="63" t="n">
        <v>46263.8628240741</v>
      </c>
      <c r="C1107" s="64" t="n">
        <v>46263</v>
      </c>
      <c r="D1107" s="62" t="s">
        <v>358</v>
      </c>
      <c r="E1107" s="62" t="s">
        <v>160</v>
      </c>
      <c r="F1107" s="62" t="s">
        <v>160</v>
      </c>
      <c r="G1107" s="62" t="s">
        <v>161</v>
      </c>
      <c r="H1107" s="62" t="s">
        <v>51</v>
      </c>
      <c r="I1107" s="62" t="s">
        <v>47</v>
      </c>
      <c r="J1107" s="62" t="s">
        <v>146</v>
      </c>
      <c r="K1107" s="62" t="s">
        <v>147</v>
      </c>
      <c r="L1107" s="62" t="s">
        <v>148</v>
      </c>
      <c r="M1107" s="62" t="n">
        <v>0</v>
      </c>
      <c r="N1107" s="62" t="n">
        <v>1</v>
      </c>
      <c r="O1107" s="62" t="n">
        <v>1</v>
      </c>
      <c r="P1107" s="62" t="n">
        <v>1</v>
      </c>
      <c r="Q1107" s="62" t="n">
        <v>0</v>
      </c>
      <c r="R1107" s="62" t="n">
        <v>0</v>
      </c>
      <c r="S1107" s="62" t="n">
        <v>0</v>
      </c>
      <c r="T1107" s="62" t="n">
        <v>0</v>
      </c>
      <c r="U1107" s="62"/>
      <c r="V1107" s="62"/>
      <c r="W1107" s="62"/>
      <c r="X1107" s="62"/>
      <c r="Y1107" s="62"/>
      <c r="Z1107" s="62" t="s">
        <v>2176</v>
      </c>
      <c r="AA1107" s="62" t="s">
        <v>2177</v>
      </c>
      <c r="AB1107" s="62" t="n">
        <v>1</v>
      </c>
      <c r="AC1107" s="62" t="n">
        <v>0</v>
      </c>
      <c r="AD1107" s="62" t="n">
        <v>1</v>
      </c>
      <c r="AE1107" s="62" t="n">
        <f aca="false">IF(AND(Dashboard!$C$9="Yes",AC1107=1),0,1)</f>
        <v>1</v>
      </c>
      <c r="AF1107" s="62" t="n">
        <v>0</v>
      </c>
    </row>
    <row r="1108" customFormat="false" ht="15" hidden="false" customHeight="false" outlineLevel="0" collapsed="false">
      <c r="A1108" s="62" t="n">
        <v>1107</v>
      </c>
      <c r="B1108" s="63" t="n">
        <v>46263.8753819445</v>
      </c>
      <c r="C1108" s="64" t="n">
        <v>46263</v>
      </c>
      <c r="D1108" s="62" t="s">
        <v>358</v>
      </c>
      <c r="E1108" s="62" t="s">
        <v>939</v>
      </c>
      <c r="F1108" s="62" t="s">
        <v>939</v>
      </c>
      <c r="G1108" s="62" t="s">
        <v>940</v>
      </c>
      <c r="H1108" s="62" t="s">
        <v>57</v>
      </c>
      <c r="I1108" s="62" t="s">
        <v>47</v>
      </c>
      <c r="J1108" s="62" t="s">
        <v>146</v>
      </c>
      <c r="K1108" s="62" t="s">
        <v>147</v>
      </c>
      <c r="L1108" s="62" t="s">
        <v>148</v>
      </c>
      <c r="M1108" s="62" t="n">
        <v>0</v>
      </c>
      <c r="N1108" s="62" t="n">
        <v>1</v>
      </c>
      <c r="O1108" s="62" t="n">
        <v>1</v>
      </c>
      <c r="P1108" s="62" t="n">
        <v>1</v>
      </c>
      <c r="Q1108" s="62" t="n">
        <v>0</v>
      </c>
      <c r="R1108" s="62" t="n">
        <v>0</v>
      </c>
      <c r="S1108" s="62" t="n">
        <v>0</v>
      </c>
      <c r="T1108" s="62" t="n">
        <v>0</v>
      </c>
      <c r="U1108" s="62"/>
      <c r="V1108" s="62"/>
      <c r="W1108" s="62"/>
      <c r="X1108" s="62"/>
      <c r="Y1108" s="62"/>
      <c r="Z1108" s="62" t="s">
        <v>2178</v>
      </c>
      <c r="AA1108" s="62" t="s">
        <v>2179</v>
      </c>
      <c r="AB1108" s="62" t="n">
        <v>1</v>
      </c>
      <c r="AC1108" s="62" t="n">
        <v>0</v>
      </c>
      <c r="AD1108" s="62" t="n">
        <v>1</v>
      </c>
      <c r="AE1108" s="62" t="n">
        <f aca="false">IF(AND(Dashboard!$C$9="Yes",AC1108=1),0,1)</f>
        <v>1</v>
      </c>
      <c r="AF1108" s="62" t="n">
        <v>1</v>
      </c>
    </row>
    <row r="1109" customFormat="false" ht="15" hidden="false" customHeight="false" outlineLevel="0" collapsed="false">
      <c r="A1109" s="62" t="n">
        <v>1108</v>
      </c>
      <c r="B1109" s="63" t="n">
        <v>46263.8813078704</v>
      </c>
      <c r="C1109" s="64" t="n">
        <v>46263</v>
      </c>
      <c r="D1109" s="62" t="s">
        <v>358</v>
      </c>
      <c r="E1109" s="62" t="s">
        <v>1749</v>
      </c>
      <c r="F1109" s="62" t="s">
        <v>1749</v>
      </c>
      <c r="G1109" s="62" t="s">
        <v>1750</v>
      </c>
      <c r="H1109" s="62" t="s">
        <v>57</v>
      </c>
      <c r="I1109" s="62" t="s">
        <v>47</v>
      </c>
      <c r="J1109" s="62" t="s">
        <v>146</v>
      </c>
      <c r="K1109" s="62" t="s">
        <v>209</v>
      </c>
      <c r="L1109" s="62" t="s">
        <v>4</v>
      </c>
      <c r="M1109" s="62" t="n">
        <v>5</v>
      </c>
      <c r="N1109" s="62" t="n">
        <v>0</v>
      </c>
      <c r="O1109" s="62" t="n">
        <v>5</v>
      </c>
      <c r="P1109" s="62" t="n">
        <v>0</v>
      </c>
      <c r="Q1109" s="62" t="n">
        <v>0</v>
      </c>
      <c r="R1109" s="62" t="n">
        <v>0</v>
      </c>
      <c r="S1109" s="62" t="n">
        <v>0</v>
      </c>
      <c r="T1109" s="62" t="n">
        <v>0</v>
      </c>
      <c r="U1109" s="62" t="s">
        <v>15</v>
      </c>
      <c r="V1109" s="62" t="s">
        <v>2057</v>
      </c>
      <c r="W1109" s="62" t="s">
        <v>15</v>
      </c>
      <c r="X1109" s="62" t="s">
        <v>2180</v>
      </c>
      <c r="Y1109" s="62" t="s">
        <v>2181</v>
      </c>
      <c r="Z1109" s="62" t="s">
        <v>2167</v>
      </c>
      <c r="AA1109" s="62" t="s">
        <v>2182</v>
      </c>
      <c r="AB1109" s="62" t="n">
        <v>1</v>
      </c>
      <c r="AC1109" s="62" t="n">
        <v>0</v>
      </c>
      <c r="AD1109" s="62" t="n">
        <v>1</v>
      </c>
      <c r="AE1109" s="62" t="n">
        <f aca="false">IF(AND(Dashboard!$C$9="Yes",AC1109=1),0,1)</f>
        <v>1</v>
      </c>
      <c r="AF1109" s="62" t="n">
        <v>0</v>
      </c>
    </row>
    <row r="1110" customFormat="false" ht="15" hidden="false" customHeight="false" outlineLevel="0" collapsed="false">
      <c r="A1110" s="62" t="n">
        <v>1109</v>
      </c>
      <c r="B1110" s="63" t="n">
        <v>46263.8878587963</v>
      </c>
      <c r="C1110" s="64" t="n">
        <v>46263</v>
      </c>
      <c r="D1110" s="62" t="s">
        <v>358</v>
      </c>
      <c r="E1110" s="62" t="s">
        <v>2183</v>
      </c>
      <c r="F1110" s="62" t="s">
        <v>2183</v>
      </c>
      <c r="G1110" s="62" t="s">
        <v>2184</v>
      </c>
      <c r="H1110" s="62" t="s">
        <v>59</v>
      </c>
      <c r="I1110" s="62" t="s">
        <v>47</v>
      </c>
      <c r="J1110" s="62" t="s">
        <v>146</v>
      </c>
      <c r="K1110" s="62" t="s">
        <v>209</v>
      </c>
      <c r="L1110" s="62" t="s">
        <v>148</v>
      </c>
      <c r="M1110" s="62" t="n">
        <v>0</v>
      </c>
      <c r="N1110" s="62" t="n">
        <v>1</v>
      </c>
      <c r="O1110" s="62" t="n">
        <v>1</v>
      </c>
      <c r="P1110" s="62" t="n">
        <v>1</v>
      </c>
      <c r="Q1110" s="62" t="n">
        <v>0</v>
      </c>
      <c r="R1110" s="62" t="n">
        <v>0</v>
      </c>
      <c r="S1110" s="62" t="n">
        <v>0</v>
      </c>
      <c r="T1110" s="62" t="n">
        <v>0</v>
      </c>
      <c r="U1110" s="62"/>
      <c r="V1110" s="62"/>
      <c r="W1110" s="62"/>
      <c r="X1110" s="62"/>
      <c r="Y1110" s="62"/>
      <c r="Z1110" s="62" t="s">
        <v>2185</v>
      </c>
      <c r="AA1110" s="62" t="s">
        <v>2186</v>
      </c>
      <c r="AB1110" s="62" t="n">
        <v>1</v>
      </c>
      <c r="AC1110" s="62" t="n">
        <v>0</v>
      </c>
      <c r="AD1110" s="62" t="n">
        <v>1</v>
      </c>
      <c r="AE1110" s="62" t="n">
        <f aca="false">IF(AND(Dashboard!$C$9="Yes",AC1110=1),0,1)</f>
        <v>1</v>
      </c>
      <c r="AF1110" s="62" t="n">
        <v>1</v>
      </c>
    </row>
    <row r="1111" customFormat="false" ht="15" hidden="false" customHeight="false" outlineLevel="0" collapsed="false">
      <c r="A1111" s="62" t="n">
        <v>1110</v>
      </c>
      <c r="B1111" s="63" t="n">
        <v>46263.8888310185</v>
      </c>
      <c r="C1111" s="64" t="n">
        <v>46263</v>
      </c>
      <c r="D1111" s="62" t="s">
        <v>358</v>
      </c>
      <c r="E1111" s="62" t="s">
        <v>884</v>
      </c>
      <c r="F1111" s="62" t="s">
        <v>884</v>
      </c>
      <c r="G1111" s="62" t="s">
        <v>885</v>
      </c>
      <c r="H1111" s="62" t="s">
        <v>46</v>
      </c>
      <c r="I1111" s="62" t="s">
        <v>47</v>
      </c>
      <c r="J1111" s="62" t="s">
        <v>146</v>
      </c>
      <c r="K1111" s="62" t="s">
        <v>209</v>
      </c>
      <c r="L1111" s="62" t="s">
        <v>4</v>
      </c>
      <c r="M1111" s="62" t="n">
        <v>1</v>
      </c>
      <c r="N1111" s="62" t="n">
        <v>0</v>
      </c>
      <c r="O1111" s="62" t="n">
        <v>1</v>
      </c>
      <c r="P1111" s="62" t="n">
        <v>0</v>
      </c>
      <c r="Q1111" s="62" t="n">
        <v>0</v>
      </c>
      <c r="R1111" s="62" t="n">
        <v>0</v>
      </c>
      <c r="S1111" s="62" t="n">
        <v>0</v>
      </c>
      <c r="T1111" s="62" t="n">
        <v>0</v>
      </c>
      <c r="U1111" s="62" t="s">
        <v>2056</v>
      </c>
      <c r="V1111" s="62" t="s">
        <v>2057</v>
      </c>
      <c r="W1111" s="62" t="s">
        <v>15</v>
      </c>
      <c r="X1111" s="62" t="s">
        <v>2058</v>
      </c>
      <c r="Y1111" s="62" t="s">
        <v>2059</v>
      </c>
      <c r="Z1111" s="62" t="s">
        <v>2187</v>
      </c>
      <c r="AA1111" s="62" t="s">
        <v>2188</v>
      </c>
      <c r="AB1111" s="62" t="n">
        <v>1</v>
      </c>
      <c r="AC1111" s="62" t="n">
        <v>0</v>
      </c>
      <c r="AD1111" s="62" t="n">
        <v>1</v>
      </c>
      <c r="AE1111" s="62" t="n">
        <f aca="false">IF(AND(Dashboard!$C$9="Yes",AC1111=1),0,1)</f>
        <v>1</v>
      </c>
      <c r="AF1111" s="62" t="n">
        <v>1</v>
      </c>
    </row>
    <row r="1112" customFormat="false" ht="15" hidden="false" customHeight="false" outlineLevel="0" collapsed="false">
      <c r="A1112" s="62" t="n">
        <v>1111</v>
      </c>
      <c r="B1112" s="63" t="n">
        <v>46263.8890625</v>
      </c>
      <c r="C1112" s="64" t="n">
        <v>46263</v>
      </c>
      <c r="D1112" s="62" t="s">
        <v>358</v>
      </c>
      <c r="E1112" s="62" t="s">
        <v>1224</v>
      </c>
      <c r="F1112" s="62" t="s">
        <v>1225</v>
      </c>
      <c r="G1112" s="62" t="s">
        <v>153</v>
      </c>
      <c r="H1112" s="62" t="s">
        <v>153</v>
      </c>
      <c r="I1112" s="62" t="s">
        <v>153</v>
      </c>
      <c r="J1112" s="62" t="s">
        <v>64</v>
      </c>
      <c r="K1112" s="62" t="s">
        <v>64</v>
      </c>
      <c r="L1112" s="62" t="s">
        <v>4</v>
      </c>
      <c r="M1112" s="62" t="n">
        <v>1</v>
      </c>
      <c r="N1112" s="62" t="n">
        <v>0</v>
      </c>
      <c r="O1112" s="62" t="n">
        <v>1</v>
      </c>
      <c r="P1112" s="62" t="n">
        <v>0</v>
      </c>
      <c r="Q1112" s="62" t="n">
        <v>0</v>
      </c>
      <c r="R1112" s="62" t="n">
        <v>0</v>
      </c>
      <c r="S1112" s="62" t="n">
        <v>0</v>
      </c>
      <c r="T1112" s="62" t="n">
        <v>0</v>
      </c>
      <c r="U1112" s="62" t="s">
        <v>2056</v>
      </c>
      <c r="V1112" s="62" t="s">
        <v>2057</v>
      </c>
      <c r="W1112" s="62" t="s">
        <v>15</v>
      </c>
      <c r="X1112" s="62" t="s">
        <v>2180</v>
      </c>
      <c r="Y1112" s="62" t="s">
        <v>2059</v>
      </c>
      <c r="Z1112" s="62" t="s">
        <v>2189</v>
      </c>
      <c r="AA1112" s="62" t="s">
        <v>2190</v>
      </c>
      <c r="AB1112" s="62" t="n">
        <v>1</v>
      </c>
      <c r="AC1112" s="62" t="n">
        <v>0</v>
      </c>
      <c r="AD1112" s="62" t="n">
        <v>0</v>
      </c>
      <c r="AE1112" s="62" t="n">
        <f aca="false">IF(AND(Dashboard!$C$9="Yes",AC1112=1),0,1)</f>
        <v>1</v>
      </c>
      <c r="AF1112" s="62" t="n">
        <v>1</v>
      </c>
    </row>
    <row r="1113" customFormat="false" ht="15" hidden="false" customHeight="false" outlineLevel="0" collapsed="false">
      <c r="A1113" s="62" t="n">
        <v>1112</v>
      </c>
      <c r="B1113" s="63" t="n">
        <v>46263.8894212963</v>
      </c>
      <c r="C1113" s="64" t="n">
        <v>46263</v>
      </c>
      <c r="D1113" s="62" t="s">
        <v>358</v>
      </c>
      <c r="E1113" s="62" t="s">
        <v>1749</v>
      </c>
      <c r="F1113" s="62" t="s">
        <v>1749</v>
      </c>
      <c r="G1113" s="62" t="s">
        <v>1750</v>
      </c>
      <c r="H1113" s="62" t="s">
        <v>57</v>
      </c>
      <c r="I1113" s="62" t="s">
        <v>47</v>
      </c>
      <c r="J1113" s="62" t="s">
        <v>146</v>
      </c>
      <c r="K1113" s="62" t="s">
        <v>209</v>
      </c>
      <c r="L1113" s="62" t="s">
        <v>4</v>
      </c>
      <c r="M1113" s="62" t="n">
        <v>3</v>
      </c>
      <c r="N1113" s="62" t="n">
        <v>0</v>
      </c>
      <c r="O1113" s="62" t="n">
        <v>3</v>
      </c>
      <c r="P1113" s="62" t="n">
        <v>0</v>
      </c>
      <c r="Q1113" s="62" t="n">
        <v>0</v>
      </c>
      <c r="R1113" s="62" t="n">
        <v>0</v>
      </c>
      <c r="S1113" s="62" t="n">
        <v>0</v>
      </c>
      <c r="T1113" s="62" t="n">
        <v>0</v>
      </c>
      <c r="U1113" s="62" t="s">
        <v>15</v>
      </c>
      <c r="V1113" s="62" t="s">
        <v>2057</v>
      </c>
      <c r="W1113" s="62" t="s">
        <v>15</v>
      </c>
      <c r="X1113" s="62" t="s">
        <v>2180</v>
      </c>
      <c r="Y1113" s="62" t="s">
        <v>2181</v>
      </c>
      <c r="Z1113" s="62" t="s">
        <v>2167</v>
      </c>
      <c r="AA1113" s="62" t="s">
        <v>2191</v>
      </c>
      <c r="AB1113" s="62" t="n">
        <v>1</v>
      </c>
      <c r="AC1113" s="62" t="n">
        <v>0</v>
      </c>
      <c r="AD1113" s="62" t="n">
        <v>1</v>
      </c>
      <c r="AE1113" s="62" t="n">
        <f aca="false">IF(AND(Dashboard!$C$9="Yes",AC1113=1),0,1)</f>
        <v>1</v>
      </c>
      <c r="AF1113" s="62" t="n">
        <v>0</v>
      </c>
    </row>
    <row r="1114" customFormat="false" ht="15" hidden="false" customHeight="false" outlineLevel="0" collapsed="false">
      <c r="A1114" s="62" t="n">
        <v>1113</v>
      </c>
      <c r="B1114" s="63" t="n">
        <v>46263.8963541667</v>
      </c>
      <c r="C1114" s="64" t="n">
        <v>46263</v>
      </c>
      <c r="D1114" s="62" t="s">
        <v>358</v>
      </c>
      <c r="E1114" s="62" t="s">
        <v>144</v>
      </c>
      <c r="F1114" s="62" t="s">
        <v>144</v>
      </c>
      <c r="G1114" s="62" t="s">
        <v>145</v>
      </c>
      <c r="H1114" s="62" t="s">
        <v>59</v>
      </c>
      <c r="I1114" s="62" t="s">
        <v>47</v>
      </c>
      <c r="J1114" s="62" t="s">
        <v>146</v>
      </c>
      <c r="K1114" s="62" t="s">
        <v>147</v>
      </c>
      <c r="L1114" s="62" t="s">
        <v>148</v>
      </c>
      <c r="M1114" s="62" t="n">
        <v>0</v>
      </c>
      <c r="N1114" s="62" t="n">
        <v>2</v>
      </c>
      <c r="O1114" s="62" t="n">
        <v>2</v>
      </c>
      <c r="P1114" s="62" t="n">
        <v>1</v>
      </c>
      <c r="Q1114" s="62" t="n">
        <v>1</v>
      </c>
      <c r="R1114" s="62" t="n">
        <v>0</v>
      </c>
      <c r="S1114" s="62" t="n">
        <v>0</v>
      </c>
      <c r="T1114" s="62" t="n">
        <v>0</v>
      </c>
      <c r="U1114" s="62"/>
      <c r="V1114" s="62"/>
      <c r="W1114" s="62"/>
      <c r="X1114" s="62"/>
      <c r="Y1114" s="62"/>
      <c r="Z1114" s="62" t="s">
        <v>2192</v>
      </c>
      <c r="AA1114" s="62" t="s">
        <v>2193</v>
      </c>
      <c r="AB1114" s="62" t="n">
        <v>0</v>
      </c>
      <c r="AC1114" s="62" t="n">
        <v>0</v>
      </c>
      <c r="AD1114" s="62" t="n">
        <v>1</v>
      </c>
      <c r="AE1114" s="62" t="n">
        <f aca="false">IF(AND(Dashboard!$C$9="Yes",AC1114=1),0,1)</f>
        <v>1</v>
      </c>
      <c r="AF1114" s="62" t="n">
        <v>1</v>
      </c>
    </row>
    <row r="1115" customFormat="false" ht="15" hidden="false" customHeight="false" outlineLevel="0" collapsed="false">
      <c r="A1115" s="62" t="n">
        <v>1114</v>
      </c>
      <c r="B1115" s="63" t="n">
        <v>46263.8965509259</v>
      </c>
      <c r="C1115" s="64" t="n">
        <v>46263</v>
      </c>
      <c r="D1115" s="62" t="s">
        <v>358</v>
      </c>
      <c r="E1115" s="62" t="s">
        <v>144</v>
      </c>
      <c r="F1115" s="62" t="s">
        <v>144</v>
      </c>
      <c r="G1115" s="62" t="s">
        <v>145</v>
      </c>
      <c r="H1115" s="62" t="s">
        <v>59</v>
      </c>
      <c r="I1115" s="62" t="s">
        <v>47</v>
      </c>
      <c r="J1115" s="62" t="s">
        <v>146</v>
      </c>
      <c r="K1115" s="62" t="s">
        <v>147</v>
      </c>
      <c r="L1115" s="62" t="s">
        <v>148</v>
      </c>
      <c r="M1115" s="62" t="n">
        <v>0</v>
      </c>
      <c r="N1115" s="62" t="n">
        <v>2</v>
      </c>
      <c r="O1115" s="62" t="n">
        <v>2</v>
      </c>
      <c r="P1115" s="62" t="n">
        <v>1</v>
      </c>
      <c r="Q1115" s="62" t="n">
        <v>1</v>
      </c>
      <c r="R1115" s="62" t="n">
        <v>0</v>
      </c>
      <c r="S1115" s="62" t="n">
        <v>0</v>
      </c>
      <c r="T1115" s="62" t="n">
        <v>0</v>
      </c>
      <c r="U1115" s="62"/>
      <c r="V1115" s="62"/>
      <c r="W1115" s="62"/>
      <c r="X1115" s="62"/>
      <c r="Y1115" s="62"/>
      <c r="Z1115" s="62" t="s">
        <v>2192</v>
      </c>
      <c r="AA1115" s="62" t="s">
        <v>2193</v>
      </c>
      <c r="AB1115" s="62" t="n">
        <v>0</v>
      </c>
      <c r="AC1115" s="62" t="n">
        <v>0</v>
      </c>
      <c r="AD1115" s="62" t="n">
        <v>1</v>
      </c>
      <c r="AE1115" s="62" t="n">
        <f aca="false">IF(AND(Dashboard!$C$9="Yes",AC1115=1),0,1)</f>
        <v>1</v>
      </c>
      <c r="AF1115" s="62" t="n">
        <v>0</v>
      </c>
    </row>
    <row r="1116" customFormat="false" ht="15" hidden="false" customHeight="false" outlineLevel="0" collapsed="false">
      <c r="A1116" s="62" t="n">
        <v>1115</v>
      </c>
      <c r="B1116" s="63" t="n">
        <v>46263.8968055556</v>
      </c>
      <c r="C1116" s="64" t="n">
        <v>46263</v>
      </c>
      <c r="D1116" s="62" t="s">
        <v>358</v>
      </c>
      <c r="E1116" s="62" t="s">
        <v>144</v>
      </c>
      <c r="F1116" s="62" t="s">
        <v>144</v>
      </c>
      <c r="G1116" s="62" t="s">
        <v>145</v>
      </c>
      <c r="H1116" s="62" t="s">
        <v>59</v>
      </c>
      <c r="I1116" s="62" t="s">
        <v>47</v>
      </c>
      <c r="J1116" s="62" t="s">
        <v>146</v>
      </c>
      <c r="K1116" s="62" t="s">
        <v>147</v>
      </c>
      <c r="L1116" s="62" t="s">
        <v>148</v>
      </c>
      <c r="M1116" s="62" t="n">
        <v>0</v>
      </c>
      <c r="N1116" s="62" t="n">
        <v>1</v>
      </c>
      <c r="O1116" s="62" t="n">
        <v>1</v>
      </c>
      <c r="P1116" s="62" t="n">
        <v>0</v>
      </c>
      <c r="Q1116" s="62" t="n">
        <v>1</v>
      </c>
      <c r="R1116" s="62" t="n">
        <v>0</v>
      </c>
      <c r="S1116" s="62" t="n">
        <v>0</v>
      </c>
      <c r="T1116" s="62" t="n">
        <v>0</v>
      </c>
      <c r="U1116" s="62"/>
      <c r="V1116" s="62"/>
      <c r="W1116" s="62"/>
      <c r="X1116" s="62"/>
      <c r="Y1116" s="62"/>
      <c r="Z1116" s="62" t="s">
        <v>2192</v>
      </c>
      <c r="AA1116" s="62" t="s">
        <v>2193</v>
      </c>
      <c r="AB1116" s="62" t="n">
        <v>0</v>
      </c>
      <c r="AC1116" s="62" t="n">
        <v>0</v>
      </c>
      <c r="AD1116" s="62" t="n">
        <v>1</v>
      </c>
      <c r="AE1116" s="62" t="n">
        <f aca="false">IF(AND(Dashboard!$C$9="Yes",AC1116=1),0,1)</f>
        <v>1</v>
      </c>
      <c r="AF1116" s="62" t="n">
        <v>0</v>
      </c>
    </row>
    <row r="1117" customFormat="false" ht="15" hidden="false" customHeight="false" outlineLevel="0" collapsed="false">
      <c r="A1117" s="62" t="n">
        <v>1116</v>
      </c>
      <c r="B1117" s="63" t="n">
        <v>46263.8970486111</v>
      </c>
      <c r="C1117" s="64" t="n">
        <v>46263</v>
      </c>
      <c r="D1117" s="62" t="s">
        <v>358</v>
      </c>
      <c r="E1117" s="62" t="s">
        <v>144</v>
      </c>
      <c r="F1117" s="62" t="s">
        <v>144</v>
      </c>
      <c r="G1117" s="62" t="s">
        <v>145</v>
      </c>
      <c r="H1117" s="62" t="s">
        <v>59</v>
      </c>
      <c r="I1117" s="62" t="s">
        <v>47</v>
      </c>
      <c r="J1117" s="62" t="s">
        <v>146</v>
      </c>
      <c r="K1117" s="62" t="s">
        <v>147</v>
      </c>
      <c r="L1117" s="62" t="s">
        <v>148</v>
      </c>
      <c r="M1117" s="62" t="n">
        <v>0</v>
      </c>
      <c r="N1117" s="62" t="n">
        <v>1</v>
      </c>
      <c r="O1117" s="62" t="n">
        <v>1</v>
      </c>
      <c r="P1117" s="62" t="n">
        <v>0</v>
      </c>
      <c r="Q1117" s="62" t="n">
        <v>1</v>
      </c>
      <c r="R1117" s="62" t="n">
        <v>0</v>
      </c>
      <c r="S1117" s="62" t="n">
        <v>0</v>
      </c>
      <c r="T1117" s="62" t="n">
        <v>0</v>
      </c>
      <c r="U1117" s="62"/>
      <c r="V1117" s="62"/>
      <c r="W1117" s="62"/>
      <c r="X1117" s="62"/>
      <c r="Y1117" s="62"/>
      <c r="Z1117" s="62" t="s">
        <v>2192</v>
      </c>
      <c r="AA1117" s="62" t="s">
        <v>2193</v>
      </c>
      <c r="AB1117" s="62" t="n">
        <v>0</v>
      </c>
      <c r="AC1117" s="62" t="n">
        <v>0</v>
      </c>
      <c r="AD1117" s="62" t="n">
        <v>1</v>
      </c>
      <c r="AE1117" s="62" t="n">
        <f aca="false">IF(AND(Dashboard!$C$9="Yes",AC1117=1),0,1)</f>
        <v>1</v>
      </c>
      <c r="AF1117" s="62" t="n">
        <v>0</v>
      </c>
    </row>
    <row r="1118" customFormat="false" ht="15" hidden="false" customHeight="false" outlineLevel="0" collapsed="false">
      <c r="A1118" s="62" t="n">
        <v>1117</v>
      </c>
      <c r="B1118" s="63" t="n">
        <v>46263.9044675926</v>
      </c>
      <c r="C1118" s="64" t="n">
        <v>46263</v>
      </c>
      <c r="D1118" s="62" t="s">
        <v>358</v>
      </c>
      <c r="E1118" s="62" t="s">
        <v>1155</v>
      </c>
      <c r="F1118" s="62" t="s">
        <v>1155</v>
      </c>
      <c r="G1118" s="62" t="s">
        <v>1156</v>
      </c>
      <c r="H1118" s="62" t="s">
        <v>59</v>
      </c>
      <c r="I1118" s="62" t="s">
        <v>47</v>
      </c>
      <c r="J1118" s="62" t="s">
        <v>146</v>
      </c>
      <c r="K1118" s="62" t="s">
        <v>209</v>
      </c>
      <c r="L1118" s="62" t="s">
        <v>148</v>
      </c>
      <c r="M1118" s="62" t="n">
        <v>0</v>
      </c>
      <c r="N1118" s="62" t="n">
        <v>1</v>
      </c>
      <c r="O1118" s="62" t="n">
        <v>1</v>
      </c>
      <c r="P1118" s="62" t="n">
        <v>0</v>
      </c>
      <c r="Q1118" s="62" t="n">
        <v>1</v>
      </c>
      <c r="R1118" s="62" t="n">
        <v>0</v>
      </c>
      <c r="S1118" s="62" t="n">
        <v>0</v>
      </c>
      <c r="T1118" s="62" t="n">
        <v>0</v>
      </c>
      <c r="U1118" s="62"/>
      <c r="V1118" s="62"/>
      <c r="W1118" s="62"/>
      <c r="X1118" s="62"/>
      <c r="Y1118" s="62"/>
      <c r="Z1118" s="62" t="s">
        <v>2194</v>
      </c>
      <c r="AA1118" s="62" t="s">
        <v>2195</v>
      </c>
      <c r="AB1118" s="62" t="n">
        <v>1</v>
      </c>
      <c r="AC1118" s="62" t="n">
        <v>0</v>
      </c>
      <c r="AD1118" s="62" t="n">
        <v>1</v>
      </c>
      <c r="AE1118" s="62" t="n">
        <f aca="false">IF(AND(Dashboard!$C$9="Yes",AC1118=1),0,1)</f>
        <v>1</v>
      </c>
      <c r="AF1118" s="62" t="n">
        <v>1</v>
      </c>
    </row>
    <row r="1119" customFormat="false" ht="15" hidden="false" customHeight="false" outlineLevel="0" collapsed="false">
      <c r="A1119" s="62" t="n">
        <v>1118</v>
      </c>
      <c r="B1119" s="63" t="n">
        <v>46263.9161574074</v>
      </c>
      <c r="C1119" s="64" t="n">
        <v>46263</v>
      </c>
      <c r="D1119" s="62" t="s">
        <v>358</v>
      </c>
      <c r="E1119" s="62" t="s">
        <v>144</v>
      </c>
      <c r="F1119" s="62" t="s">
        <v>144</v>
      </c>
      <c r="G1119" s="62" t="s">
        <v>145</v>
      </c>
      <c r="H1119" s="62" t="s">
        <v>59</v>
      </c>
      <c r="I1119" s="62" t="s">
        <v>47</v>
      </c>
      <c r="J1119" s="62" t="s">
        <v>146</v>
      </c>
      <c r="K1119" s="62" t="s">
        <v>147</v>
      </c>
      <c r="L1119" s="62" t="s">
        <v>4</v>
      </c>
      <c r="M1119" s="62" t="n">
        <v>1</v>
      </c>
      <c r="N1119" s="62" t="n">
        <v>0</v>
      </c>
      <c r="O1119" s="62" t="n">
        <v>1</v>
      </c>
      <c r="P1119" s="62" t="n">
        <v>0</v>
      </c>
      <c r="Q1119" s="62" t="n">
        <v>0</v>
      </c>
      <c r="R1119" s="62" t="n">
        <v>0</v>
      </c>
      <c r="S1119" s="62" t="n">
        <v>0</v>
      </c>
      <c r="T1119" s="62" t="n">
        <v>0</v>
      </c>
      <c r="U1119" s="62" t="s">
        <v>2056</v>
      </c>
      <c r="V1119" s="62" t="s">
        <v>2057</v>
      </c>
      <c r="W1119" s="62" t="s">
        <v>15</v>
      </c>
      <c r="X1119" s="62" t="s">
        <v>2058</v>
      </c>
      <c r="Y1119" s="62" t="s">
        <v>2059</v>
      </c>
      <c r="Z1119" s="62" t="s">
        <v>2196</v>
      </c>
      <c r="AA1119" s="62" t="s">
        <v>2197</v>
      </c>
      <c r="AB1119" s="62" t="n">
        <v>1</v>
      </c>
      <c r="AC1119" s="62" t="n">
        <v>0</v>
      </c>
      <c r="AD1119" s="62" t="n">
        <v>1</v>
      </c>
      <c r="AE1119" s="62" t="n">
        <f aca="false">IF(AND(Dashboard!$C$9="Yes",AC1119=1),0,1)</f>
        <v>1</v>
      </c>
      <c r="AF1119" s="62" t="n">
        <v>0</v>
      </c>
    </row>
    <row r="1120" customFormat="false" ht="15" hidden="false" customHeight="false" outlineLevel="0" collapsed="false">
      <c r="A1120" s="62" t="n">
        <v>1119</v>
      </c>
      <c r="B1120" s="63" t="n">
        <v>46263.9164814815</v>
      </c>
      <c r="C1120" s="64" t="n">
        <v>46263</v>
      </c>
      <c r="D1120" s="62" t="s">
        <v>358</v>
      </c>
      <c r="E1120" s="62" t="s">
        <v>144</v>
      </c>
      <c r="F1120" s="62" t="s">
        <v>144</v>
      </c>
      <c r="G1120" s="62" t="s">
        <v>145</v>
      </c>
      <c r="H1120" s="62" t="s">
        <v>59</v>
      </c>
      <c r="I1120" s="62" t="s">
        <v>47</v>
      </c>
      <c r="J1120" s="62" t="s">
        <v>146</v>
      </c>
      <c r="K1120" s="62" t="s">
        <v>147</v>
      </c>
      <c r="L1120" s="62" t="s">
        <v>4</v>
      </c>
      <c r="M1120" s="62" t="n">
        <v>1</v>
      </c>
      <c r="N1120" s="62" t="n">
        <v>0</v>
      </c>
      <c r="O1120" s="62" t="n">
        <v>1</v>
      </c>
      <c r="P1120" s="62" t="n">
        <v>0</v>
      </c>
      <c r="Q1120" s="62" t="n">
        <v>0</v>
      </c>
      <c r="R1120" s="62" t="n">
        <v>0</v>
      </c>
      <c r="S1120" s="62" t="n">
        <v>0</v>
      </c>
      <c r="T1120" s="62" t="n">
        <v>0</v>
      </c>
      <c r="U1120" s="62" t="s">
        <v>2056</v>
      </c>
      <c r="V1120" s="62" t="s">
        <v>2057</v>
      </c>
      <c r="W1120" s="62" t="s">
        <v>15</v>
      </c>
      <c r="X1120" s="62" t="s">
        <v>2058</v>
      </c>
      <c r="Y1120" s="62" t="s">
        <v>2059</v>
      </c>
      <c r="Z1120" s="62" t="s">
        <v>2196</v>
      </c>
      <c r="AA1120" s="62" t="s">
        <v>2197</v>
      </c>
      <c r="AB1120" s="62" t="n">
        <v>1</v>
      </c>
      <c r="AC1120" s="62" t="n">
        <v>1</v>
      </c>
      <c r="AD1120" s="62" t="n">
        <v>1</v>
      </c>
      <c r="AE1120" s="62" t="n">
        <f aca="false">IF(AND(Dashboard!$C$9="Yes",AC1120=1),0,1)</f>
        <v>0</v>
      </c>
      <c r="AF1120" s="62" t="n">
        <v>0</v>
      </c>
    </row>
    <row r="1121" customFormat="false" ht="15" hidden="false" customHeight="false" outlineLevel="0" collapsed="false">
      <c r="A1121" s="62" t="n">
        <v>1120</v>
      </c>
      <c r="B1121" s="63" t="n">
        <v>46263.9337384259</v>
      </c>
      <c r="C1121" s="64" t="n">
        <v>46263</v>
      </c>
      <c r="D1121" s="62" t="s">
        <v>358</v>
      </c>
      <c r="E1121" s="62" t="s">
        <v>1827</v>
      </c>
      <c r="F1121" s="62" t="s">
        <v>1827</v>
      </c>
      <c r="G1121" s="62" t="s">
        <v>1828</v>
      </c>
      <c r="H1121" s="62" t="s">
        <v>59</v>
      </c>
      <c r="I1121" s="62" t="s">
        <v>47</v>
      </c>
      <c r="J1121" s="62" t="s">
        <v>146</v>
      </c>
      <c r="K1121" s="62" t="s">
        <v>209</v>
      </c>
      <c r="L1121" s="62" t="s">
        <v>148</v>
      </c>
      <c r="M1121" s="62" t="n">
        <v>0</v>
      </c>
      <c r="N1121" s="62" t="n">
        <v>2</v>
      </c>
      <c r="O1121" s="62" t="n">
        <v>2</v>
      </c>
      <c r="P1121" s="62" t="n">
        <v>1</v>
      </c>
      <c r="Q1121" s="62" t="n">
        <v>1</v>
      </c>
      <c r="R1121" s="62" t="n">
        <v>0</v>
      </c>
      <c r="S1121" s="62" t="n">
        <v>0</v>
      </c>
      <c r="T1121" s="62" t="n">
        <v>0</v>
      </c>
      <c r="U1121" s="62"/>
      <c r="V1121" s="62"/>
      <c r="W1121" s="62"/>
      <c r="X1121" s="62"/>
      <c r="Y1121" s="62"/>
      <c r="Z1121" s="62" t="s">
        <v>2198</v>
      </c>
      <c r="AA1121" s="62" t="s">
        <v>2199</v>
      </c>
      <c r="AB1121" s="62" t="n">
        <v>1</v>
      </c>
      <c r="AC1121" s="62" t="n">
        <v>0</v>
      </c>
      <c r="AD1121" s="62" t="n">
        <v>1</v>
      </c>
      <c r="AE1121" s="62" t="n">
        <f aca="false">IF(AND(Dashboard!$C$9="Yes",AC1121=1),0,1)</f>
        <v>1</v>
      </c>
      <c r="AF1121" s="62" t="n">
        <v>1</v>
      </c>
    </row>
    <row r="1122" customFormat="false" ht="15" hidden="false" customHeight="false" outlineLevel="0" collapsed="false">
      <c r="A1122" s="62" t="n">
        <v>1121</v>
      </c>
      <c r="B1122" s="63" t="n">
        <v>46263.9411689815</v>
      </c>
      <c r="C1122" s="64" t="n">
        <v>46263</v>
      </c>
      <c r="D1122" s="62" t="s">
        <v>358</v>
      </c>
      <c r="E1122" s="62" t="s">
        <v>2110</v>
      </c>
      <c r="F1122" s="62" t="s">
        <v>2111</v>
      </c>
      <c r="G1122" s="62" t="s">
        <v>153</v>
      </c>
      <c r="H1122" s="62" t="s">
        <v>153</v>
      </c>
      <c r="I1122" s="62" t="s">
        <v>153</v>
      </c>
      <c r="J1122" s="62" t="s">
        <v>64</v>
      </c>
      <c r="K1122" s="62" t="s">
        <v>64</v>
      </c>
      <c r="L1122" s="62" t="s">
        <v>148</v>
      </c>
      <c r="M1122" s="62" t="n">
        <v>0</v>
      </c>
      <c r="N1122" s="62" t="n">
        <v>1</v>
      </c>
      <c r="O1122" s="62" t="n">
        <v>1</v>
      </c>
      <c r="P1122" s="62" t="n">
        <v>0</v>
      </c>
      <c r="Q1122" s="62" t="n">
        <v>0</v>
      </c>
      <c r="R1122" s="62" t="n">
        <v>1</v>
      </c>
      <c r="S1122" s="62" t="n">
        <v>0</v>
      </c>
      <c r="T1122" s="62" t="n">
        <v>0</v>
      </c>
      <c r="U1122" s="62"/>
      <c r="V1122" s="62"/>
      <c r="W1122" s="62"/>
      <c r="X1122" s="62"/>
      <c r="Y1122" s="62"/>
      <c r="Z1122" s="62" t="s">
        <v>2200</v>
      </c>
      <c r="AA1122" s="62" t="s">
        <v>2200</v>
      </c>
      <c r="AB1122" s="62" t="n">
        <v>1</v>
      </c>
      <c r="AC1122" s="62" t="n">
        <v>0</v>
      </c>
      <c r="AD1122" s="62" t="n">
        <v>0</v>
      </c>
      <c r="AE1122" s="62" t="n">
        <f aca="false">IF(AND(Dashboard!$C$9="Yes",AC1122=1),0,1)</f>
        <v>1</v>
      </c>
      <c r="AF1122" s="62" t="n">
        <v>0</v>
      </c>
    </row>
    <row r="1123" customFormat="false" ht="15" hidden="false" customHeight="false" outlineLevel="0" collapsed="false">
      <c r="A1123" s="62" t="n">
        <v>1122</v>
      </c>
      <c r="B1123" s="63" t="n">
        <v>46263.9482175926</v>
      </c>
      <c r="C1123" s="64" t="n">
        <v>46263</v>
      </c>
      <c r="D1123" s="62" t="s">
        <v>358</v>
      </c>
      <c r="E1123" s="62" t="s">
        <v>255</v>
      </c>
      <c r="F1123" s="62" t="s">
        <v>255</v>
      </c>
      <c r="G1123" s="62" t="s">
        <v>256</v>
      </c>
      <c r="H1123" s="62" t="s">
        <v>57</v>
      </c>
      <c r="I1123" s="62" t="s">
        <v>47</v>
      </c>
      <c r="J1123" s="62" t="s">
        <v>146</v>
      </c>
      <c r="K1123" s="62" t="s">
        <v>147</v>
      </c>
      <c r="L1123" s="62" t="s">
        <v>4</v>
      </c>
      <c r="M1123" s="62" t="n">
        <v>1</v>
      </c>
      <c r="N1123" s="62" t="n">
        <v>0</v>
      </c>
      <c r="O1123" s="62" t="n">
        <v>1</v>
      </c>
      <c r="P1123" s="62" t="n">
        <v>0</v>
      </c>
      <c r="Q1123" s="62" t="n">
        <v>0</v>
      </c>
      <c r="R1123" s="62" t="n">
        <v>0</v>
      </c>
      <c r="S1123" s="62" t="n">
        <v>0</v>
      </c>
      <c r="T1123" s="62" t="n">
        <v>0</v>
      </c>
      <c r="U1123" s="62" t="s">
        <v>2056</v>
      </c>
      <c r="V1123" s="62" t="s">
        <v>2057</v>
      </c>
      <c r="W1123" s="62" t="s">
        <v>15</v>
      </c>
      <c r="X1123" s="62" t="s">
        <v>2058</v>
      </c>
      <c r="Y1123" s="62" t="s">
        <v>2059</v>
      </c>
      <c r="Z1123" s="62" t="s">
        <v>2201</v>
      </c>
      <c r="AA1123" s="62" t="s">
        <v>2202</v>
      </c>
      <c r="AB1123" s="62" t="n">
        <v>1</v>
      </c>
      <c r="AC1123" s="62" t="n">
        <v>0</v>
      </c>
      <c r="AD1123" s="62" t="n">
        <v>1</v>
      </c>
      <c r="AE1123" s="62" t="n">
        <f aca="false">IF(AND(Dashboard!$C$9="Yes",AC1123=1),0,1)</f>
        <v>1</v>
      </c>
      <c r="AF1123" s="62" t="n">
        <v>1</v>
      </c>
    </row>
    <row r="1124" customFormat="false" ht="15" hidden="false" customHeight="false" outlineLevel="0" collapsed="false">
      <c r="A1124" s="62" t="n">
        <v>1123</v>
      </c>
      <c r="B1124" s="63" t="n">
        <v>46263.9528935185</v>
      </c>
      <c r="C1124" s="64" t="n">
        <v>46263</v>
      </c>
      <c r="D1124" s="62" t="s">
        <v>358</v>
      </c>
      <c r="E1124" s="62" t="s">
        <v>1616</v>
      </c>
      <c r="F1124" s="62" t="s">
        <v>1616</v>
      </c>
      <c r="G1124" s="62" t="s">
        <v>1617</v>
      </c>
      <c r="H1124" s="62" t="s">
        <v>51</v>
      </c>
      <c r="I1124" s="62" t="s">
        <v>47</v>
      </c>
      <c r="J1124" s="62" t="s">
        <v>146</v>
      </c>
      <c r="K1124" s="62" t="s">
        <v>175</v>
      </c>
      <c r="L1124" s="62" t="s">
        <v>4</v>
      </c>
      <c r="M1124" s="62" t="n">
        <v>1</v>
      </c>
      <c r="N1124" s="62" t="n">
        <v>0</v>
      </c>
      <c r="O1124" s="62" t="n">
        <v>1</v>
      </c>
      <c r="P1124" s="62" t="n">
        <v>0</v>
      </c>
      <c r="Q1124" s="62" t="n">
        <v>0</v>
      </c>
      <c r="R1124" s="62" t="n">
        <v>0</v>
      </c>
      <c r="S1124" s="62" t="n">
        <v>0</v>
      </c>
      <c r="T1124" s="62" t="n">
        <v>0</v>
      </c>
      <c r="U1124" s="62" t="s">
        <v>15</v>
      </c>
      <c r="V1124" s="62" t="s">
        <v>2057</v>
      </c>
      <c r="W1124" s="62" t="s">
        <v>15</v>
      </c>
      <c r="X1124" s="62" t="s">
        <v>2103</v>
      </c>
      <c r="Y1124" s="62" t="s">
        <v>2064</v>
      </c>
      <c r="Z1124" s="62" t="s">
        <v>2203</v>
      </c>
      <c r="AA1124" s="62" t="s">
        <v>2204</v>
      </c>
      <c r="AB1124" s="62" t="n">
        <v>1</v>
      </c>
      <c r="AC1124" s="62" t="n">
        <v>0</v>
      </c>
      <c r="AD1124" s="62" t="n">
        <v>1</v>
      </c>
      <c r="AE1124" s="62" t="n">
        <f aca="false">IF(AND(Dashboard!$C$9="Yes",AC1124=1),0,1)</f>
        <v>1</v>
      </c>
      <c r="AF1124" s="62" t="n">
        <v>1</v>
      </c>
    </row>
    <row r="1125" customFormat="false" ht="15" hidden="false" customHeight="false" outlineLevel="0" collapsed="false">
      <c r="A1125" s="62" t="n">
        <v>1124</v>
      </c>
      <c r="B1125" s="63" t="n">
        <v>46263.9626967593</v>
      </c>
      <c r="C1125" s="64" t="n">
        <v>46263</v>
      </c>
      <c r="D1125" s="62" t="s">
        <v>358</v>
      </c>
      <c r="E1125" s="62" t="s">
        <v>212</v>
      </c>
      <c r="F1125" s="62" t="s">
        <v>212</v>
      </c>
      <c r="G1125" s="62" t="s">
        <v>213</v>
      </c>
      <c r="H1125" s="62" t="s">
        <v>58</v>
      </c>
      <c r="I1125" s="62" t="s">
        <v>49</v>
      </c>
      <c r="J1125" s="62" t="s">
        <v>146</v>
      </c>
      <c r="K1125" s="62" t="s">
        <v>175</v>
      </c>
      <c r="L1125" s="62" t="s">
        <v>4</v>
      </c>
      <c r="M1125" s="62" t="n">
        <v>1</v>
      </c>
      <c r="N1125" s="62" t="n">
        <v>0</v>
      </c>
      <c r="O1125" s="62" t="n">
        <v>1</v>
      </c>
      <c r="P1125" s="62" t="n">
        <v>0</v>
      </c>
      <c r="Q1125" s="62" t="n">
        <v>0</v>
      </c>
      <c r="R1125" s="62" t="n">
        <v>0</v>
      </c>
      <c r="S1125" s="62" t="n">
        <v>0</v>
      </c>
      <c r="T1125" s="62" t="n">
        <v>0</v>
      </c>
      <c r="U1125" s="62" t="s">
        <v>2056</v>
      </c>
      <c r="V1125" s="62" t="s">
        <v>2057</v>
      </c>
      <c r="W1125" s="62" t="s">
        <v>15</v>
      </c>
      <c r="X1125" s="62" t="s">
        <v>2058</v>
      </c>
      <c r="Y1125" s="62" t="s">
        <v>2059</v>
      </c>
      <c r="Z1125" s="62" t="s">
        <v>2205</v>
      </c>
      <c r="AA1125" s="62" t="s">
        <v>2206</v>
      </c>
      <c r="AB1125" s="62" t="n">
        <v>1</v>
      </c>
      <c r="AC1125" s="62" t="n">
        <v>0</v>
      </c>
      <c r="AD1125" s="62" t="n">
        <v>1</v>
      </c>
      <c r="AE1125" s="62" t="n">
        <f aca="false">IF(AND(Dashboard!$C$9="Yes",AC1125=1),0,1)</f>
        <v>1</v>
      </c>
      <c r="AF1125" s="62" t="n">
        <v>0</v>
      </c>
    </row>
    <row r="1126" customFormat="false" ht="15" hidden="false" customHeight="false" outlineLevel="0" collapsed="false">
      <c r="A1126" s="62" t="n">
        <v>1125</v>
      </c>
      <c r="B1126" s="63" t="n">
        <v>46263.9639467593</v>
      </c>
      <c r="C1126" s="64" t="n">
        <v>46263</v>
      </c>
      <c r="D1126" s="62" t="s">
        <v>358</v>
      </c>
      <c r="E1126" s="62" t="s">
        <v>518</v>
      </c>
      <c r="F1126" s="62" t="s">
        <v>518</v>
      </c>
      <c r="G1126" s="62" t="s">
        <v>519</v>
      </c>
      <c r="H1126" s="62" t="s">
        <v>52</v>
      </c>
      <c r="I1126" s="62" t="s">
        <v>47</v>
      </c>
      <c r="J1126" s="62" t="s">
        <v>146</v>
      </c>
      <c r="K1126" s="62" t="s">
        <v>147</v>
      </c>
      <c r="L1126" s="62" t="s">
        <v>4</v>
      </c>
      <c r="M1126" s="62" t="n">
        <v>1</v>
      </c>
      <c r="N1126" s="62" t="n">
        <v>0</v>
      </c>
      <c r="O1126" s="62" t="n">
        <v>1</v>
      </c>
      <c r="P1126" s="62" t="n">
        <v>0</v>
      </c>
      <c r="Q1126" s="62" t="n">
        <v>0</v>
      </c>
      <c r="R1126" s="62" t="n">
        <v>0</v>
      </c>
      <c r="S1126" s="62" t="n">
        <v>0</v>
      </c>
      <c r="T1126" s="62" t="n">
        <v>0</v>
      </c>
      <c r="U1126" s="62" t="s">
        <v>15</v>
      </c>
      <c r="V1126" s="62" t="s">
        <v>2057</v>
      </c>
      <c r="W1126" s="62" t="s">
        <v>2056</v>
      </c>
      <c r="X1126" s="62" t="s">
        <v>2058</v>
      </c>
      <c r="Y1126" s="62" t="s">
        <v>2064</v>
      </c>
      <c r="Z1126" s="62" t="s">
        <v>2207</v>
      </c>
      <c r="AA1126" s="62" t="s">
        <v>2208</v>
      </c>
      <c r="AB1126" s="62" t="n">
        <v>1</v>
      </c>
      <c r="AC1126" s="62" t="n">
        <v>0</v>
      </c>
      <c r="AD1126" s="62" t="n">
        <v>1</v>
      </c>
      <c r="AE1126" s="62" t="n">
        <f aca="false">IF(AND(Dashboard!$C$9="Yes",AC1126=1),0,1)</f>
        <v>1</v>
      </c>
      <c r="AF1126" s="62" t="n">
        <v>1</v>
      </c>
    </row>
    <row r="1127" customFormat="false" ht="15" hidden="false" customHeight="false" outlineLevel="0" collapsed="false">
      <c r="A1127" s="62" t="n">
        <v>1126</v>
      </c>
      <c r="B1127" s="63" t="n">
        <v>46263.9656481482</v>
      </c>
      <c r="C1127" s="64" t="n">
        <v>46263</v>
      </c>
      <c r="D1127" s="62" t="s">
        <v>358</v>
      </c>
      <c r="E1127" s="62" t="s">
        <v>1749</v>
      </c>
      <c r="F1127" s="62" t="s">
        <v>1749</v>
      </c>
      <c r="G1127" s="62" t="s">
        <v>1750</v>
      </c>
      <c r="H1127" s="62" t="s">
        <v>57</v>
      </c>
      <c r="I1127" s="62" t="s">
        <v>47</v>
      </c>
      <c r="J1127" s="62" t="s">
        <v>146</v>
      </c>
      <c r="K1127" s="62" t="s">
        <v>209</v>
      </c>
      <c r="L1127" s="62" t="s">
        <v>4</v>
      </c>
      <c r="M1127" s="62" t="n">
        <v>4</v>
      </c>
      <c r="N1127" s="62" t="n">
        <v>0</v>
      </c>
      <c r="O1127" s="62" t="n">
        <v>4</v>
      </c>
      <c r="P1127" s="62" t="n">
        <v>0</v>
      </c>
      <c r="Q1127" s="62" t="n">
        <v>0</v>
      </c>
      <c r="R1127" s="62" t="n">
        <v>0</v>
      </c>
      <c r="S1127" s="62" t="n">
        <v>0</v>
      </c>
      <c r="T1127" s="62" t="n">
        <v>0</v>
      </c>
      <c r="U1127" s="62" t="s">
        <v>15</v>
      </c>
      <c r="V1127" s="62" t="s">
        <v>2057</v>
      </c>
      <c r="W1127" s="62" t="s">
        <v>2056</v>
      </c>
      <c r="X1127" s="62" t="s">
        <v>2180</v>
      </c>
      <c r="Y1127" s="62" t="s">
        <v>2181</v>
      </c>
      <c r="Z1127" s="62" t="s">
        <v>2167</v>
      </c>
      <c r="AA1127" s="62" t="s">
        <v>2209</v>
      </c>
      <c r="AB1127" s="62" t="n">
        <v>1</v>
      </c>
      <c r="AC1127" s="62" t="n">
        <v>0</v>
      </c>
      <c r="AD1127" s="62" t="n">
        <v>1</v>
      </c>
      <c r="AE1127" s="62" t="n">
        <f aca="false">IF(AND(Dashboard!$C$9="Yes",AC1127=1),0,1)</f>
        <v>1</v>
      </c>
      <c r="AF1127" s="62" t="n">
        <v>0</v>
      </c>
    </row>
    <row r="1128" customFormat="false" ht="15" hidden="false" customHeight="false" outlineLevel="0" collapsed="false">
      <c r="A1128" s="62" t="n">
        <v>1127</v>
      </c>
      <c r="B1128" s="63" t="n">
        <v>46263.9703240741</v>
      </c>
      <c r="C1128" s="64" t="n">
        <v>46263</v>
      </c>
      <c r="D1128" s="62" t="s">
        <v>358</v>
      </c>
      <c r="E1128" s="62" t="s">
        <v>2156</v>
      </c>
      <c r="F1128" s="62" t="s">
        <v>2156</v>
      </c>
      <c r="G1128" s="62" t="s">
        <v>2157</v>
      </c>
      <c r="H1128" s="62" t="s">
        <v>52</v>
      </c>
      <c r="I1128" s="62" t="s">
        <v>47</v>
      </c>
      <c r="J1128" s="62" t="s">
        <v>146</v>
      </c>
      <c r="K1128" s="62" t="s">
        <v>209</v>
      </c>
      <c r="L1128" s="62" t="s">
        <v>4</v>
      </c>
      <c r="M1128" s="62" t="n">
        <v>1</v>
      </c>
      <c r="N1128" s="62" t="n">
        <v>0</v>
      </c>
      <c r="O1128" s="62" t="n">
        <v>1</v>
      </c>
      <c r="P1128" s="62" t="n">
        <v>0</v>
      </c>
      <c r="Q1128" s="62" t="n">
        <v>0</v>
      </c>
      <c r="R1128" s="62" t="n">
        <v>0</v>
      </c>
      <c r="S1128" s="62" t="n">
        <v>0</v>
      </c>
      <c r="T1128" s="62" t="n">
        <v>0</v>
      </c>
      <c r="U1128" s="62" t="s">
        <v>2056</v>
      </c>
      <c r="V1128" s="62" t="s">
        <v>2057</v>
      </c>
      <c r="W1128" s="62" t="s">
        <v>15</v>
      </c>
      <c r="X1128" s="62" t="s">
        <v>2125</v>
      </c>
      <c r="Y1128" s="62" t="s">
        <v>2059</v>
      </c>
      <c r="Z1128" s="62" t="s">
        <v>2210</v>
      </c>
      <c r="AA1128" s="62" t="s">
        <v>2211</v>
      </c>
      <c r="AB1128" s="62" t="n">
        <v>1</v>
      </c>
      <c r="AC1128" s="62" t="n">
        <v>0</v>
      </c>
      <c r="AD1128" s="62" t="n">
        <v>1</v>
      </c>
      <c r="AE1128" s="62" t="n">
        <f aca="false">IF(AND(Dashboard!$C$9="Yes",AC1128=1),0,1)</f>
        <v>1</v>
      </c>
      <c r="AF1128" s="62" t="n">
        <v>0</v>
      </c>
    </row>
    <row r="1129" customFormat="false" ht="15" hidden="false" customHeight="false" outlineLevel="0" collapsed="false">
      <c r="A1129" s="62" t="n">
        <v>1128</v>
      </c>
      <c r="B1129" s="63" t="n">
        <v>46264.0028935185</v>
      </c>
      <c r="C1129" s="64" t="n">
        <v>46263</v>
      </c>
      <c r="D1129" s="62" t="s">
        <v>358</v>
      </c>
      <c r="E1129" s="62" t="s">
        <v>196</v>
      </c>
      <c r="F1129" s="62" t="s">
        <v>196</v>
      </c>
      <c r="G1129" s="62" t="s">
        <v>197</v>
      </c>
      <c r="H1129" s="62" t="s">
        <v>57</v>
      </c>
      <c r="I1129" s="62" t="s">
        <v>47</v>
      </c>
      <c r="J1129" s="62" t="s">
        <v>146</v>
      </c>
      <c r="K1129" s="62" t="s">
        <v>175</v>
      </c>
      <c r="L1129" s="62" t="s">
        <v>148</v>
      </c>
      <c r="M1129" s="62" t="n">
        <v>0</v>
      </c>
      <c r="N1129" s="62" t="n">
        <v>1</v>
      </c>
      <c r="O1129" s="62" t="n">
        <v>1</v>
      </c>
      <c r="P1129" s="62" t="n">
        <v>1</v>
      </c>
      <c r="Q1129" s="62" t="n">
        <v>0</v>
      </c>
      <c r="R1129" s="62" t="n">
        <v>0</v>
      </c>
      <c r="S1129" s="62" t="n">
        <v>0</v>
      </c>
      <c r="T1129" s="62" t="n">
        <v>0</v>
      </c>
      <c r="U1129" s="62"/>
      <c r="V1129" s="62"/>
      <c r="W1129" s="62"/>
      <c r="X1129" s="62"/>
      <c r="Y1129" s="62"/>
      <c r="Z1129" s="62" t="s">
        <v>2212</v>
      </c>
      <c r="AA1129" s="62" t="s">
        <v>2213</v>
      </c>
      <c r="AB1129" s="62" t="n">
        <v>1</v>
      </c>
      <c r="AC1129" s="62" t="n">
        <v>0</v>
      </c>
      <c r="AD1129" s="62" t="n">
        <v>1</v>
      </c>
      <c r="AE1129" s="62" t="n">
        <f aca="false">IF(AND(Dashboard!$C$9="Yes",AC1129=1),0,1)</f>
        <v>1</v>
      </c>
      <c r="AF1129" s="62" t="n">
        <v>1</v>
      </c>
    </row>
    <row r="1130" customFormat="false" ht="15" hidden="false" customHeight="false" outlineLevel="0" collapsed="false">
      <c r="A1130" s="62" t="n">
        <v>1129</v>
      </c>
      <c r="B1130" s="63" t="n">
        <v>46264.027650463</v>
      </c>
      <c r="C1130" s="64" t="n">
        <v>46263</v>
      </c>
      <c r="D1130" s="62" t="s">
        <v>358</v>
      </c>
      <c r="E1130" s="62" t="s">
        <v>1005</v>
      </c>
      <c r="F1130" s="62" t="s">
        <v>1005</v>
      </c>
      <c r="G1130" s="62" t="s">
        <v>1006</v>
      </c>
      <c r="H1130" s="62" t="s">
        <v>46</v>
      </c>
      <c r="I1130" s="62" t="s">
        <v>47</v>
      </c>
      <c r="J1130" s="62" t="s">
        <v>146</v>
      </c>
      <c r="K1130" s="62" t="s">
        <v>209</v>
      </c>
      <c r="L1130" s="62" t="s">
        <v>148</v>
      </c>
      <c r="M1130" s="62" t="n">
        <v>0</v>
      </c>
      <c r="N1130" s="62" t="n">
        <v>1</v>
      </c>
      <c r="O1130" s="62" t="n">
        <v>1</v>
      </c>
      <c r="P1130" s="62" t="n">
        <v>0</v>
      </c>
      <c r="Q1130" s="62" t="n">
        <v>0</v>
      </c>
      <c r="R1130" s="62" t="n">
        <v>1</v>
      </c>
      <c r="S1130" s="62" t="n">
        <v>0</v>
      </c>
      <c r="T1130" s="62" t="n">
        <v>0</v>
      </c>
      <c r="U1130" s="62"/>
      <c r="V1130" s="62"/>
      <c r="W1130" s="62"/>
      <c r="X1130" s="62"/>
      <c r="Y1130" s="62"/>
      <c r="Z1130" s="62" t="s">
        <v>2214</v>
      </c>
      <c r="AA1130" s="62" t="s">
        <v>485</v>
      </c>
      <c r="AB1130" s="62" t="n">
        <v>0</v>
      </c>
      <c r="AC1130" s="62" t="n">
        <v>0</v>
      </c>
      <c r="AD1130" s="62" t="n">
        <v>1</v>
      </c>
      <c r="AE1130" s="62" t="n">
        <f aca="false">IF(AND(Dashboard!$C$9="Yes",AC1130=1),0,1)</f>
        <v>1</v>
      </c>
      <c r="AF1130" s="62" t="n">
        <v>0</v>
      </c>
    </row>
    <row r="1131" customFormat="false" ht="15" hidden="false" customHeight="false" outlineLevel="0" collapsed="false">
      <c r="A1131" s="62" t="n">
        <v>1130</v>
      </c>
      <c r="B1131" s="63" t="n">
        <v>46264.0362962963</v>
      </c>
      <c r="C1131" s="64" t="n">
        <v>46263</v>
      </c>
      <c r="D1131" s="62" t="s">
        <v>358</v>
      </c>
      <c r="E1131" s="62" t="s">
        <v>414</v>
      </c>
      <c r="F1131" s="62" t="s">
        <v>414</v>
      </c>
      <c r="G1131" s="62" t="s">
        <v>415</v>
      </c>
      <c r="H1131" s="62" t="s">
        <v>57</v>
      </c>
      <c r="I1131" s="62" t="s">
        <v>47</v>
      </c>
      <c r="J1131" s="62" t="s">
        <v>146</v>
      </c>
      <c r="K1131" s="62" t="s">
        <v>147</v>
      </c>
      <c r="L1131" s="62" t="s">
        <v>148</v>
      </c>
      <c r="M1131" s="62" t="n">
        <v>0</v>
      </c>
      <c r="N1131" s="62" t="n">
        <v>1</v>
      </c>
      <c r="O1131" s="62" t="n">
        <v>1</v>
      </c>
      <c r="P1131" s="62" t="n">
        <v>1</v>
      </c>
      <c r="Q1131" s="62" t="n">
        <v>0</v>
      </c>
      <c r="R1131" s="62" t="n">
        <v>0</v>
      </c>
      <c r="S1131" s="62" t="n">
        <v>0</v>
      </c>
      <c r="T1131" s="62" t="n">
        <v>0</v>
      </c>
      <c r="U1131" s="62"/>
      <c r="V1131" s="62"/>
      <c r="W1131" s="62"/>
      <c r="X1131" s="62"/>
      <c r="Y1131" s="62"/>
      <c r="Z1131" s="62" t="s">
        <v>2215</v>
      </c>
      <c r="AA1131" s="62" t="s">
        <v>2216</v>
      </c>
      <c r="AB1131" s="62" t="n">
        <v>1</v>
      </c>
      <c r="AC1131" s="62" t="n">
        <v>0</v>
      </c>
      <c r="AD1131" s="62" t="n">
        <v>1</v>
      </c>
      <c r="AE1131" s="62" t="n">
        <f aca="false">IF(AND(Dashboard!$C$9="Yes",AC1131=1),0,1)</f>
        <v>1</v>
      </c>
      <c r="AF1131" s="62" t="n">
        <v>1</v>
      </c>
    </row>
    <row r="1132" customFormat="false" ht="15" hidden="false" customHeight="false" outlineLevel="0" collapsed="false">
      <c r="A1132" s="62" t="n">
        <v>1131</v>
      </c>
      <c r="B1132" s="63" t="n">
        <v>46264.0383333333</v>
      </c>
      <c r="C1132" s="64" t="n">
        <v>46263</v>
      </c>
      <c r="D1132" s="62" t="s">
        <v>358</v>
      </c>
      <c r="E1132" s="62" t="s">
        <v>144</v>
      </c>
      <c r="F1132" s="62" t="s">
        <v>144</v>
      </c>
      <c r="G1132" s="62" t="s">
        <v>145</v>
      </c>
      <c r="H1132" s="62" t="s">
        <v>59</v>
      </c>
      <c r="I1132" s="62" t="s">
        <v>47</v>
      </c>
      <c r="J1132" s="62" t="s">
        <v>146</v>
      </c>
      <c r="K1132" s="62" t="s">
        <v>147</v>
      </c>
      <c r="L1132" s="62" t="s">
        <v>4</v>
      </c>
      <c r="M1132" s="62" t="n">
        <v>1</v>
      </c>
      <c r="N1132" s="62" t="n">
        <v>0</v>
      </c>
      <c r="O1132" s="62" t="n">
        <v>1</v>
      </c>
      <c r="P1132" s="62" t="n">
        <v>0</v>
      </c>
      <c r="Q1132" s="62" t="n">
        <v>0</v>
      </c>
      <c r="R1132" s="62" t="n">
        <v>0</v>
      </c>
      <c r="S1132" s="62" t="n">
        <v>0</v>
      </c>
      <c r="T1132" s="62" t="n">
        <v>0</v>
      </c>
      <c r="U1132" s="62" t="s">
        <v>2056</v>
      </c>
      <c r="V1132" s="62" t="s">
        <v>2057</v>
      </c>
      <c r="W1132" s="62" t="s">
        <v>15</v>
      </c>
      <c r="X1132" s="62" t="s">
        <v>2058</v>
      </c>
      <c r="Y1132" s="62" t="s">
        <v>2059</v>
      </c>
      <c r="Z1132" s="62" t="s">
        <v>2217</v>
      </c>
      <c r="AA1132" s="62" t="s">
        <v>2218</v>
      </c>
      <c r="AB1132" s="62" t="n">
        <v>1</v>
      </c>
      <c r="AC1132" s="62" t="n">
        <v>0</v>
      </c>
      <c r="AD1132" s="62" t="n">
        <v>1</v>
      </c>
      <c r="AE1132" s="62" t="n">
        <f aca="false">IF(AND(Dashboard!$C$9="Yes",AC1132=1),0,1)</f>
        <v>1</v>
      </c>
      <c r="AF1132" s="62" t="n">
        <v>0</v>
      </c>
    </row>
    <row r="1133" customFormat="false" ht="15" hidden="false" customHeight="false" outlineLevel="0" collapsed="false">
      <c r="A1133" s="62" t="n">
        <v>1132</v>
      </c>
      <c r="B1133" s="63" t="n">
        <v>46264.0386689815</v>
      </c>
      <c r="C1133" s="64" t="n">
        <v>46263</v>
      </c>
      <c r="D1133" s="62" t="s">
        <v>358</v>
      </c>
      <c r="E1133" s="62" t="s">
        <v>144</v>
      </c>
      <c r="F1133" s="62" t="s">
        <v>144</v>
      </c>
      <c r="G1133" s="62" t="s">
        <v>145</v>
      </c>
      <c r="H1133" s="62" t="s">
        <v>59</v>
      </c>
      <c r="I1133" s="62" t="s">
        <v>47</v>
      </c>
      <c r="J1133" s="62" t="s">
        <v>146</v>
      </c>
      <c r="K1133" s="62" t="s">
        <v>147</v>
      </c>
      <c r="L1133" s="62" t="s">
        <v>4</v>
      </c>
      <c r="M1133" s="62" t="n">
        <v>1</v>
      </c>
      <c r="N1133" s="62" t="n">
        <v>0</v>
      </c>
      <c r="O1133" s="62" t="n">
        <v>1</v>
      </c>
      <c r="P1133" s="62" t="n">
        <v>0</v>
      </c>
      <c r="Q1133" s="62" t="n">
        <v>0</v>
      </c>
      <c r="R1133" s="62" t="n">
        <v>0</v>
      </c>
      <c r="S1133" s="62" t="n">
        <v>0</v>
      </c>
      <c r="T1133" s="62" t="n">
        <v>0</v>
      </c>
      <c r="U1133" s="62" t="s">
        <v>2056</v>
      </c>
      <c r="V1133" s="62" t="s">
        <v>2057</v>
      </c>
      <c r="W1133" s="62" t="s">
        <v>15</v>
      </c>
      <c r="X1133" s="62" t="s">
        <v>2058</v>
      </c>
      <c r="Y1133" s="62" t="s">
        <v>2059</v>
      </c>
      <c r="Z1133" s="62" t="s">
        <v>2217</v>
      </c>
      <c r="AA1133" s="62" t="s">
        <v>2218</v>
      </c>
      <c r="AB1133" s="62" t="n">
        <v>1</v>
      </c>
      <c r="AC1133" s="62" t="n">
        <v>1</v>
      </c>
      <c r="AD1133" s="62" t="n">
        <v>1</v>
      </c>
      <c r="AE1133" s="62" t="n">
        <f aca="false">IF(AND(Dashboard!$C$9="Yes",AC1133=1),0,1)</f>
        <v>0</v>
      </c>
      <c r="AF1133" s="62" t="n">
        <v>0</v>
      </c>
    </row>
    <row r="1134" customFormat="false" ht="15" hidden="false" customHeight="false" outlineLevel="0" collapsed="false">
      <c r="A1134" s="62" t="n">
        <v>1133</v>
      </c>
      <c r="B1134" s="63" t="n">
        <v>46264.0389467593</v>
      </c>
      <c r="C1134" s="64" t="n">
        <v>46263</v>
      </c>
      <c r="D1134" s="62" t="s">
        <v>358</v>
      </c>
      <c r="E1134" s="62" t="s">
        <v>144</v>
      </c>
      <c r="F1134" s="62" t="s">
        <v>144</v>
      </c>
      <c r="G1134" s="62" t="s">
        <v>145</v>
      </c>
      <c r="H1134" s="62" t="s">
        <v>59</v>
      </c>
      <c r="I1134" s="62" t="s">
        <v>47</v>
      </c>
      <c r="J1134" s="62" t="s">
        <v>146</v>
      </c>
      <c r="K1134" s="62" t="s">
        <v>147</v>
      </c>
      <c r="L1134" s="62" t="s">
        <v>4</v>
      </c>
      <c r="M1134" s="62" t="n">
        <v>1</v>
      </c>
      <c r="N1134" s="62" t="n">
        <v>0</v>
      </c>
      <c r="O1134" s="62" t="n">
        <v>1</v>
      </c>
      <c r="P1134" s="62" t="n">
        <v>0</v>
      </c>
      <c r="Q1134" s="62" t="n">
        <v>0</v>
      </c>
      <c r="R1134" s="62" t="n">
        <v>0</v>
      </c>
      <c r="S1134" s="62" t="n">
        <v>0</v>
      </c>
      <c r="T1134" s="62" t="n">
        <v>0</v>
      </c>
      <c r="U1134" s="62" t="s">
        <v>2056</v>
      </c>
      <c r="V1134" s="62" t="s">
        <v>2057</v>
      </c>
      <c r="W1134" s="62" t="s">
        <v>15</v>
      </c>
      <c r="X1134" s="62" t="s">
        <v>2058</v>
      </c>
      <c r="Y1134" s="62" t="s">
        <v>2059</v>
      </c>
      <c r="Z1134" s="62" t="s">
        <v>2217</v>
      </c>
      <c r="AA1134" s="62" t="s">
        <v>2218</v>
      </c>
      <c r="AB1134" s="62" t="n">
        <v>1</v>
      </c>
      <c r="AC1134" s="62" t="n">
        <v>1</v>
      </c>
      <c r="AD1134" s="62" t="n">
        <v>1</v>
      </c>
      <c r="AE1134" s="62" t="n">
        <f aca="false">IF(AND(Dashboard!$C$9="Yes",AC1134=1),0,1)</f>
        <v>0</v>
      </c>
      <c r="AF1134" s="62" t="n">
        <v>0</v>
      </c>
    </row>
    <row r="1135" customFormat="false" ht="15" hidden="false" customHeight="false" outlineLevel="0" collapsed="false">
      <c r="A1135" s="62" t="n">
        <v>1134</v>
      </c>
      <c r="B1135" s="63" t="n">
        <v>46264.0534143519</v>
      </c>
      <c r="C1135" s="64" t="n">
        <v>46263</v>
      </c>
      <c r="D1135" s="62" t="s">
        <v>358</v>
      </c>
      <c r="E1135" s="62" t="s">
        <v>1827</v>
      </c>
      <c r="F1135" s="62" t="s">
        <v>1827</v>
      </c>
      <c r="G1135" s="62" t="s">
        <v>1828</v>
      </c>
      <c r="H1135" s="62" t="s">
        <v>59</v>
      </c>
      <c r="I1135" s="62" t="s">
        <v>47</v>
      </c>
      <c r="J1135" s="62" t="s">
        <v>146</v>
      </c>
      <c r="K1135" s="62" t="s">
        <v>209</v>
      </c>
      <c r="L1135" s="62" t="s">
        <v>148</v>
      </c>
      <c r="M1135" s="62" t="n">
        <v>0</v>
      </c>
      <c r="N1135" s="62" t="n">
        <v>1</v>
      </c>
      <c r="O1135" s="62" t="n">
        <v>1</v>
      </c>
      <c r="P1135" s="62" t="n">
        <v>1</v>
      </c>
      <c r="Q1135" s="62" t="n">
        <v>0</v>
      </c>
      <c r="R1135" s="62" t="n">
        <v>0</v>
      </c>
      <c r="S1135" s="62" t="n">
        <v>0</v>
      </c>
      <c r="T1135" s="62" t="n">
        <v>0</v>
      </c>
      <c r="U1135" s="62"/>
      <c r="V1135" s="62"/>
      <c r="W1135" s="62"/>
      <c r="X1135" s="62"/>
      <c r="Y1135" s="62"/>
      <c r="Z1135" s="62" t="s">
        <v>2219</v>
      </c>
      <c r="AA1135" s="62" t="s">
        <v>2220</v>
      </c>
      <c r="AB1135" s="62" t="n">
        <v>1</v>
      </c>
      <c r="AC1135" s="62" t="n">
        <v>0</v>
      </c>
      <c r="AD1135" s="62" t="n">
        <v>1</v>
      </c>
      <c r="AE1135" s="62" t="n">
        <f aca="false">IF(AND(Dashboard!$C$9="Yes",AC1135=1),0,1)</f>
        <v>1</v>
      </c>
      <c r="AF1135" s="62" t="n">
        <v>0</v>
      </c>
    </row>
    <row r="1136" customFormat="false" ht="15" hidden="false" customHeight="false" outlineLevel="0" collapsed="false">
      <c r="A1136" s="62" t="n">
        <v>1135</v>
      </c>
      <c r="B1136" s="63" t="n">
        <v>46264.0559143519</v>
      </c>
      <c r="C1136" s="64" t="n">
        <v>46263</v>
      </c>
      <c r="D1136" s="62" t="s">
        <v>358</v>
      </c>
      <c r="E1136" s="62" t="s">
        <v>790</v>
      </c>
      <c r="F1136" s="62" t="s">
        <v>791</v>
      </c>
      <c r="G1136" s="62" t="s">
        <v>153</v>
      </c>
      <c r="H1136" s="62" t="s">
        <v>153</v>
      </c>
      <c r="I1136" s="62" t="s">
        <v>153</v>
      </c>
      <c r="J1136" s="62" t="s">
        <v>64</v>
      </c>
      <c r="K1136" s="62" t="s">
        <v>64</v>
      </c>
      <c r="L1136" s="62" t="s">
        <v>148</v>
      </c>
      <c r="M1136" s="62" t="n">
        <v>0</v>
      </c>
      <c r="N1136" s="62" t="n">
        <v>1</v>
      </c>
      <c r="O1136" s="62" t="n">
        <v>1</v>
      </c>
      <c r="P1136" s="62" t="n">
        <v>0</v>
      </c>
      <c r="Q1136" s="62" t="n">
        <v>1</v>
      </c>
      <c r="R1136" s="62" t="n">
        <v>0</v>
      </c>
      <c r="S1136" s="62" t="n">
        <v>0</v>
      </c>
      <c r="T1136" s="62" t="n">
        <v>0</v>
      </c>
      <c r="U1136" s="62"/>
      <c r="V1136" s="62"/>
      <c r="W1136" s="62"/>
      <c r="X1136" s="62"/>
      <c r="Y1136" s="62"/>
      <c r="Z1136" s="62" t="s">
        <v>2221</v>
      </c>
      <c r="AA1136" s="62" t="s">
        <v>2222</v>
      </c>
      <c r="AB1136" s="62" t="n">
        <v>1</v>
      </c>
      <c r="AC1136" s="62" t="n">
        <v>0</v>
      </c>
      <c r="AD1136" s="62" t="n">
        <v>0</v>
      </c>
      <c r="AE1136" s="62" t="n">
        <f aca="false">IF(AND(Dashboard!$C$9="Yes",AC1136=1),0,1)</f>
        <v>1</v>
      </c>
      <c r="AF1136" s="62" t="n">
        <v>1</v>
      </c>
    </row>
    <row r="1137" customFormat="false" ht="15" hidden="false" customHeight="false" outlineLevel="0" collapsed="false">
      <c r="A1137" s="62" t="n">
        <v>1136</v>
      </c>
      <c r="B1137" s="63" t="n">
        <v>46264.0682523148</v>
      </c>
      <c r="C1137" s="64" t="n">
        <v>46263</v>
      </c>
      <c r="D1137" s="62" t="s">
        <v>358</v>
      </c>
      <c r="E1137" s="62" t="s">
        <v>207</v>
      </c>
      <c r="F1137" s="62" t="s">
        <v>207</v>
      </c>
      <c r="G1137" s="62" t="s">
        <v>208</v>
      </c>
      <c r="H1137" s="62" t="s">
        <v>48</v>
      </c>
      <c r="I1137" s="62" t="s">
        <v>49</v>
      </c>
      <c r="J1137" s="62" t="s">
        <v>146</v>
      </c>
      <c r="K1137" s="62" t="s">
        <v>209</v>
      </c>
      <c r="L1137" s="62" t="s">
        <v>4</v>
      </c>
      <c r="M1137" s="62" t="n">
        <v>1</v>
      </c>
      <c r="N1137" s="62" t="n">
        <v>0</v>
      </c>
      <c r="O1137" s="62" t="n">
        <v>1</v>
      </c>
      <c r="P1137" s="62" t="n">
        <v>0</v>
      </c>
      <c r="Q1137" s="62" t="n">
        <v>0</v>
      </c>
      <c r="R1137" s="62" t="n">
        <v>0</v>
      </c>
      <c r="S1137" s="62" t="n">
        <v>0</v>
      </c>
      <c r="T1137" s="62" t="n">
        <v>0</v>
      </c>
      <c r="U1137" s="62" t="s">
        <v>2056</v>
      </c>
      <c r="V1137" s="62" t="s">
        <v>2057</v>
      </c>
      <c r="W1137" s="62" t="s">
        <v>15</v>
      </c>
      <c r="X1137" s="62" t="s">
        <v>2058</v>
      </c>
      <c r="Y1137" s="62" t="s">
        <v>2059</v>
      </c>
      <c r="Z1137" s="62" t="s">
        <v>2223</v>
      </c>
      <c r="AA1137" s="62" t="s">
        <v>2224</v>
      </c>
      <c r="AB1137" s="62" t="n">
        <v>1</v>
      </c>
      <c r="AC1137" s="62" t="n">
        <v>0</v>
      </c>
      <c r="AD1137" s="62" t="n">
        <v>1</v>
      </c>
      <c r="AE1137" s="62" t="n">
        <f aca="false">IF(AND(Dashboard!$C$9="Yes",AC1137=1),0,1)</f>
        <v>1</v>
      </c>
      <c r="AF1137" s="62" t="n">
        <v>1</v>
      </c>
    </row>
    <row r="1138" customFormat="false" ht="15" hidden="false" customHeight="false" outlineLevel="0" collapsed="false">
      <c r="A1138" s="62" t="n">
        <v>1137</v>
      </c>
      <c r="B1138" s="63" t="n">
        <v>46264.0864236111</v>
      </c>
      <c r="C1138" s="64" t="n">
        <v>46263</v>
      </c>
      <c r="D1138" s="62" t="s">
        <v>358</v>
      </c>
      <c r="E1138" s="62" t="s">
        <v>207</v>
      </c>
      <c r="F1138" s="62" t="s">
        <v>207</v>
      </c>
      <c r="G1138" s="62" t="s">
        <v>208</v>
      </c>
      <c r="H1138" s="62" t="s">
        <v>48</v>
      </c>
      <c r="I1138" s="62" t="s">
        <v>49</v>
      </c>
      <c r="J1138" s="62" t="s">
        <v>146</v>
      </c>
      <c r="K1138" s="62" t="s">
        <v>209</v>
      </c>
      <c r="L1138" s="62" t="s">
        <v>148</v>
      </c>
      <c r="M1138" s="62" t="n">
        <v>0</v>
      </c>
      <c r="N1138" s="62" t="n">
        <v>1</v>
      </c>
      <c r="O1138" s="62" t="n">
        <v>1</v>
      </c>
      <c r="P1138" s="62" t="n">
        <v>1</v>
      </c>
      <c r="Q1138" s="62" t="n">
        <v>0</v>
      </c>
      <c r="R1138" s="62" t="n">
        <v>0</v>
      </c>
      <c r="S1138" s="62" t="n">
        <v>0</v>
      </c>
      <c r="T1138" s="62" t="n">
        <v>0</v>
      </c>
      <c r="U1138" s="62"/>
      <c r="V1138" s="62"/>
      <c r="W1138" s="62"/>
      <c r="X1138" s="62"/>
      <c r="Y1138" s="62"/>
      <c r="Z1138" s="62" t="s">
        <v>2225</v>
      </c>
      <c r="AA1138" s="62" t="s">
        <v>2226</v>
      </c>
      <c r="AB1138" s="62" t="n">
        <v>1</v>
      </c>
      <c r="AC1138" s="62" t="n">
        <v>0</v>
      </c>
      <c r="AD1138" s="62" t="n">
        <v>1</v>
      </c>
      <c r="AE1138" s="62" t="n">
        <f aca="false">IF(AND(Dashboard!$C$9="Yes",AC1138=1),0,1)</f>
        <v>1</v>
      </c>
      <c r="AF1138" s="62" t="n">
        <v>0</v>
      </c>
    </row>
    <row r="1139" customFormat="false" ht="15" hidden="false" customHeight="false" outlineLevel="0" collapsed="false">
      <c r="A1139" s="62" t="n">
        <v>1138</v>
      </c>
      <c r="B1139" s="63" t="n">
        <v>46264.0961342593</v>
      </c>
      <c r="C1139" s="64" t="n">
        <v>46263</v>
      </c>
      <c r="D1139" s="62" t="s">
        <v>358</v>
      </c>
      <c r="E1139" s="62" t="s">
        <v>1005</v>
      </c>
      <c r="F1139" s="62" t="s">
        <v>1005</v>
      </c>
      <c r="G1139" s="62" t="s">
        <v>1006</v>
      </c>
      <c r="H1139" s="62" t="s">
        <v>46</v>
      </c>
      <c r="I1139" s="62" t="s">
        <v>47</v>
      </c>
      <c r="J1139" s="62" t="s">
        <v>146</v>
      </c>
      <c r="K1139" s="62" t="s">
        <v>209</v>
      </c>
      <c r="L1139" s="62" t="s">
        <v>148</v>
      </c>
      <c r="M1139" s="62" t="n">
        <v>0</v>
      </c>
      <c r="N1139" s="62" t="n">
        <v>1</v>
      </c>
      <c r="O1139" s="62" t="n">
        <v>1</v>
      </c>
      <c r="P1139" s="62" t="n">
        <v>0</v>
      </c>
      <c r="Q1139" s="62" t="n">
        <v>1</v>
      </c>
      <c r="R1139" s="62" t="n">
        <v>0</v>
      </c>
      <c r="S1139" s="62" t="n">
        <v>0</v>
      </c>
      <c r="T1139" s="62" t="n">
        <v>0</v>
      </c>
      <c r="U1139" s="62"/>
      <c r="V1139" s="62"/>
      <c r="W1139" s="62"/>
      <c r="X1139" s="62"/>
      <c r="Y1139" s="62"/>
      <c r="Z1139" s="62" t="s">
        <v>2227</v>
      </c>
      <c r="AA1139" s="62" t="s">
        <v>237</v>
      </c>
      <c r="AB1139" s="62" t="n">
        <v>0</v>
      </c>
      <c r="AC1139" s="62" t="n">
        <v>0</v>
      </c>
      <c r="AD1139" s="62" t="n">
        <v>1</v>
      </c>
      <c r="AE1139" s="62" t="n">
        <f aca="false">IF(AND(Dashboard!$C$9="Yes",AC1139=1),0,1)</f>
        <v>1</v>
      </c>
      <c r="AF1139" s="62" t="n">
        <v>0</v>
      </c>
    </row>
    <row r="1140" customFormat="false" ht="15" hidden="false" customHeight="false" outlineLevel="0" collapsed="false">
      <c r="A1140" s="62" t="n">
        <v>1139</v>
      </c>
      <c r="B1140" s="63" t="n">
        <v>46264.1251273148</v>
      </c>
      <c r="C1140" s="64" t="n">
        <v>46263</v>
      </c>
      <c r="D1140" s="62" t="s">
        <v>358</v>
      </c>
      <c r="E1140" s="62" t="s">
        <v>2228</v>
      </c>
      <c r="F1140" s="62" t="s">
        <v>2228</v>
      </c>
      <c r="G1140" s="62" t="s">
        <v>2229</v>
      </c>
      <c r="H1140" s="62" t="s">
        <v>58</v>
      </c>
      <c r="I1140" s="62" t="s">
        <v>49</v>
      </c>
      <c r="J1140" s="62" t="s">
        <v>146</v>
      </c>
      <c r="K1140" s="62" t="s">
        <v>209</v>
      </c>
      <c r="L1140" s="62" t="s">
        <v>4</v>
      </c>
      <c r="M1140" s="62" t="n">
        <v>1</v>
      </c>
      <c r="N1140" s="62" t="n">
        <v>0</v>
      </c>
      <c r="O1140" s="62" t="n">
        <v>1</v>
      </c>
      <c r="P1140" s="62" t="n">
        <v>0</v>
      </c>
      <c r="Q1140" s="62" t="n">
        <v>0</v>
      </c>
      <c r="R1140" s="62" t="n">
        <v>0</v>
      </c>
      <c r="S1140" s="62" t="n">
        <v>0</v>
      </c>
      <c r="T1140" s="62" t="n">
        <v>0</v>
      </c>
      <c r="U1140" s="62" t="s">
        <v>2056</v>
      </c>
      <c r="V1140" s="62" t="s">
        <v>2057</v>
      </c>
      <c r="W1140" s="62" t="s">
        <v>15</v>
      </c>
      <c r="X1140" s="62" t="s">
        <v>2058</v>
      </c>
      <c r="Y1140" s="62" t="s">
        <v>2059</v>
      </c>
      <c r="Z1140" s="62" t="s">
        <v>2230</v>
      </c>
      <c r="AA1140" s="62" t="s">
        <v>2231</v>
      </c>
      <c r="AB1140" s="62" t="n">
        <v>1</v>
      </c>
      <c r="AC1140" s="62" t="n">
        <v>0</v>
      </c>
      <c r="AD1140" s="62" t="n">
        <v>1</v>
      </c>
      <c r="AE1140" s="62" t="n">
        <f aca="false">IF(AND(Dashboard!$C$9="Yes",AC1140=1),0,1)</f>
        <v>1</v>
      </c>
      <c r="AF1140" s="62" t="n">
        <v>1</v>
      </c>
    </row>
    <row r="1141" customFormat="false" ht="15" hidden="false" customHeight="false" outlineLevel="0" collapsed="false">
      <c r="A1141" s="62" t="n">
        <v>1140</v>
      </c>
      <c r="B1141" s="63" t="n">
        <v>46264.1256481482</v>
      </c>
      <c r="C1141" s="64" t="n">
        <v>46263</v>
      </c>
      <c r="D1141" s="62" t="s">
        <v>358</v>
      </c>
      <c r="E1141" s="62" t="s">
        <v>2183</v>
      </c>
      <c r="F1141" s="62" t="s">
        <v>2183</v>
      </c>
      <c r="G1141" s="62" t="s">
        <v>2184</v>
      </c>
      <c r="H1141" s="62" t="s">
        <v>59</v>
      </c>
      <c r="I1141" s="62" t="s">
        <v>47</v>
      </c>
      <c r="J1141" s="62" t="s">
        <v>146</v>
      </c>
      <c r="K1141" s="62" t="s">
        <v>209</v>
      </c>
      <c r="L1141" s="62" t="s">
        <v>148</v>
      </c>
      <c r="M1141" s="62" t="n">
        <v>0</v>
      </c>
      <c r="N1141" s="62" t="n">
        <v>1</v>
      </c>
      <c r="O1141" s="62" t="n">
        <v>1</v>
      </c>
      <c r="P1141" s="62" t="n">
        <v>0</v>
      </c>
      <c r="Q1141" s="62" t="n">
        <v>1</v>
      </c>
      <c r="R1141" s="62" t="n">
        <v>0</v>
      </c>
      <c r="S1141" s="62" t="n">
        <v>0</v>
      </c>
      <c r="T1141" s="62" t="n">
        <v>0</v>
      </c>
      <c r="U1141" s="62"/>
      <c r="V1141" s="62"/>
      <c r="W1141" s="62"/>
      <c r="X1141" s="62"/>
      <c r="Y1141" s="62"/>
      <c r="Z1141" s="62" t="s">
        <v>2232</v>
      </c>
      <c r="AA1141" s="62" t="s">
        <v>2233</v>
      </c>
      <c r="AB1141" s="62" t="n">
        <v>1</v>
      </c>
      <c r="AC1141" s="62" t="n">
        <v>0</v>
      </c>
      <c r="AD1141" s="62" t="n">
        <v>1</v>
      </c>
      <c r="AE1141" s="62" t="n">
        <f aca="false">IF(AND(Dashboard!$C$9="Yes",AC1141=1),0,1)</f>
        <v>1</v>
      </c>
      <c r="AF1141" s="62" t="n">
        <v>0</v>
      </c>
    </row>
    <row r="1142" customFormat="false" ht="15" hidden="false" customHeight="false" outlineLevel="0" collapsed="false">
      <c r="A1142" s="62" t="n">
        <v>1141</v>
      </c>
      <c r="B1142" s="63" t="n">
        <v>46264.1586574074</v>
      </c>
      <c r="C1142" s="64" t="n">
        <v>46263</v>
      </c>
      <c r="D1142" s="62" t="s">
        <v>358</v>
      </c>
      <c r="E1142" s="62" t="s">
        <v>312</v>
      </c>
      <c r="F1142" s="62" t="s">
        <v>312</v>
      </c>
      <c r="G1142" s="62" t="s">
        <v>313</v>
      </c>
      <c r="H1142" s="62" t="s">
        <v>51</v>
      </c>
      <c r="I1142" s="62" t="s">
        <v>47</v>
      </c>
      <c r="J1142" s="62" t="s">
        <v>146</v>
      </c>
      <c r="K1142" s="62" t="s">
        <v>147</v>
      </c>
      <c r="L1142" s="62" t="s">
        <v>4</v>
      </c>
      <c r="M1142" s="62" t="n">
        <v>1</v>
      </c>
      <c r="N1142" s="62" t="n">
        <v>0</v>
      </c>
      <c r="O1142" s="62" t="n">
        <v>1</v>
      </c>
      <c r="P1142" s="62" t="n">
        <v>0</v>
      </c>
      <c r="Q1142" s="62" t="n">
        <v>0</v>
      </c>
      <c r="R1142" s="62" t="n">
        <v>0</v>
      </c>
      <c r="S1142" s="62" t="n">
        <v>0</v>
      </c>
      <c r="T1142" s="62" t="n">
        <v>0</v>
      </c>
      <c r="U1142" s="62" t="s">
        <v>2056</v>
      </c>
      <c r="V1142" s="62" t="s">
        <v>2057</v>
      </c>
      <c r="W1142" s="62" t="s">
        <v>15</v>
      </c>
      <c r="X1142" s="62" t="s">
        <v>2234</v>
      </c>
      <c r="Y1142" s="62" t="s">
        <v>2103</v>
      </c>
      <c r="Z1142" s="62" t="s">
        <v>2235</v>
      </c>
      <c r="AA1142" s="62" t="s">
        <v>2236</v>
      </c>
      <c r="AB1142" s="62" t="n">
        <v>0</v>
      </c>
      <c r="AC1142" s="62" t="n">
        <v>0</v>
      </c>
      <c r="AD1142" s="62" t="n">
        <v>1</v>
      </c>
      <c r="AE1142" s="62" t="n">
        <f aca="false">IF(AND(Dashboard!$C$9="Yes",AC1142=1),0,1)</f>
        <v>1</v>
      </c>
      <c r="AF1142" s="62" t="n">
        <v>1</v>
      </c>
    </row>
    <row r="1143" customFormat="false" ht="15" hidden="false" customHeight="false" outlineLevel="0" collapsed="false">
      <c r="A1143" s="62" t="n">
        <v>1142</v>
      </c>
      <c r="B1143" s="63" t="n">
        <v>46264.1734259259</v>
      </c>
      <c r="C1143" s="64" t="n">
        <v>46263</v>
      </c>
      <c r="D1143" s="62" t="s">
        <v>358</v>
      </c>
      <c r="E1143" s="62" t="s">
        <v>1005</v>
      </c>
      <c r="F1143" s="62" t="s">
        <v>1005</v>
      </c>
      <c r="G1143" s="62" t="s">
        <v>1006</v>
      </c>
      <c r="H1143" s="62" t="s">
        <v>46</v>
      </c>
      <c r="I1143" s="62" t="s">
        <v>47</v>
      </c>
      <c r="J1143" s="62" t="s">
        <v>146</v>
      </c>
      <c r="K1143" s="62" t="s">
        <v>209</v>
      </c>
      <c r="L1143" s="62" t="s">
        <v>148</v>
      </c>
      <c r="M1143" s="62" t="n">
        <v>0</v>
      </c>
      <c r="N1143" s="62" t="n">
        <v>1</v>
      </c>
      <c r="O1143" s="62" t="n">
        <v>1</v>
      </c>
      <c r="P1143" s="62" t="n">
        <v>0</v>
      </c>
      <c r="Q1143" s="62" t="n">
        <v>0</v>
      </c>
      <c r="R1143" s="62" t="n">
        <v>1</v>
      </c>
      <c r="S1143" s="62" t="n">
        <v>0</v>
      </c>
      <c r="T1143" s="62" t="n">
        <v>0</v>
      </c>
      <c r="U1143" s="62"/>
      <c r="V1143" s="62"/>
      <c r="W1143" s="62"/>
      <c r="X1143" s="62"/>
      <c r="Y1143" s="62"/>
      <c r="Z1143" s="62" t="s">
        <v>2237</v>
      </c>
      <c r="AA1143" s="62" t="s">
        <v>485</v>
      </c>
      <c r="AB1143" s="62" t="n">
        <v>0</v>
      </c>
      <c r="AC1143" s="62" t="n">
        <v>0</v>
      </c>
      <c r="AD1143" s="62" t="n">
        <v>1</v>
      </c>
      <c r="AE1143" s="62" t="n">
        <f aca="false">IF(AND(Dashboard!$C$9="Yes",AC1143=1),0,1)</f>
        <v>1</v>
      </c>
      <c r="AF1143" s="62" t="n">
        <v>0</v>
      </c>
    </row>
    <row r="1144" customFormat="false" ht="15" hidden="false" customHeight="false" outlineLevel="0" collapsed="false">
      <c r="A1144" s="62" t="n">
        <v>1143</v>
      </c>
      <c r="B1144" s="63" t="n">
        <v>46264.1938425926</v>
      </c>
      <c r="C1144" s="64" t="n">
        <v>46263</v>
      </c>
      <c r="D1144" s="62" t="s">
        <v>358</v>
      </c>
      <c r="E1144" s="62" t="s">
        <v>2228</v>
      </c>
      <c r="F1144" s="62" t="s">
        <v>2228</v>
      </c>
      <c r="G1144" s="62" t="s">
        <v>2229</v>
      </c>
      <c r="H1144" s="62" t="s">
        <v>58</v>
      </c>
      <c r="I1144" s="62" t="s">
        <v>49</v>
      </c>
      <c r="J1144" s="62" t="s">
        <v>146</v>
      </c>
      <c r="K1144" s="62" t="s">
        <v>209</v>
      </c>
      <c r="L1144" s="62" t="s">
        <v>4</v>
      </c>
      <c r="M1144" s="62" t="n">
        <v>1</v>
      </c>
      <c r="N1144" s="62" t="n">
        <v>0</v>
      </c>
      <c r="O1144" s="62" t="n">
        <v>1</v>
      </c>
      <c r="P1144" s="62" t="n">
        <v>0</v>
      </c>
      <c r="Q1144" s="62" t="n">
        <v>0</v>
      </c>
      <c r="R1144" s="62" t="n">
        <v>0</v>
      </c>
      <c r="S1144" s="62" t="n">
        <v>0</v>
      </c>
      <c r="T1144" s="62" t="n">
        <v>0</v>
      </c>
      <c r="U1144" s="62" t="s">
        <v>2056</v>
      </c>
      <c r="V1144" s="62" t="s">
        <v>2057</v>
      </c>
      <c r="W1144" s="62" t="s">
        <v>15</v>
      </c>
      <c r="X1144" s="62" t="s">
        <v>2058</v>
      </c>
      <c r="Y1144" s="62" t="s">
        <v>2064</v>
      </c>
      <c r="Z1144" s="62" t="s">
        <v>2238</v>
      </c>
      <c r="AA1144" s="62" t="s">
        <v>2239</v>
      </c>
      <c r="AB1144" s="62" t="n">
        <v>1</v>
      </c>
      <c r="AC1144" s="62" t="n">
        <v>0</v>
      </c>
      <c r="AD1144" s="62" t="n">
        <v>1</v>
      </c>
      <c r="AE1144" s="62" t="n">
        <f aca="false">IF(AND(Dashboard!$C$9="Yes",AC1144=1),0,1)</f>
        <v>1</v>
      </c>
      <c r="AF1144" s="62" t="n">
        <v>0</v>
      </c>
    </row>
    <row r="1145" customFormat="false" ht="15" hidden="false" customHeight="false" outlineLevel="0" collapsed="false">
      <c r="A1145" s="62" t="n">
        <v>1144</v>
      </c>
      <c r="B1145" s="63" t="n">
        <v>46264.7064236111</v>
      </c>
      <c r="C1145" s="64" t="n">
        <v>46264</v>
      </c>
      <c r="D1145" s="62" t="s">
        <v>393</v>
      </c>
      <c r="E1145" s="62" t="s">
        <v>1005</v>
      </c>
      <c r="F1145" s="62" t="s">
        <v>1005</v>
      </c>
      <c r="G1145" s="62" t="s">
        <v>1006</v>
      </c>
      <c r="H1145" s="62" t="s">
        <v>46</v>
      </c>
      <c r="I1145" s="62" t="s">
        <v>47</v>
      </c>
      <c r="J1145" s="62" t="s">
        <v>146</v>
      </c>
      <c r="K1145" s="62" t="s">
        <v>209</v>
      </c>
      <c r="L1145" s="62" t="s">
        <v>148</v>
      </c>
      <c r="M1145" s="62" t="n">
        <v>0</v>
      </c>
      <c r="N1145" s="62" t="n">
        <v>1</v>
      </c>
      <c r="O1145" s="62" t="n">
        <v>1</v>
      </c>
      <c r="P1145" s="62" t="n">
        <v>0</v>
      </c>
      <c r="Q1145" s="62" t="n">
        <v>0</v>
      </c>
      <c r="R1145" s="62" t="n">
        <v>0</v>
      </c>
      <c r="S1145" s="62" t="n">
        <v>1</v>
      </c>
      <c r="T1145" s="62" t="n">
        <v>1</v>
      </c>
      <c r="U1145" s="62"/>
      <c r="V1145" s="62"/>
      <c r="W1145" s="62"/>
      <c r="X1145" s="62"/>
      <c r="Y1145" s="62"/>
      <c r="Z1145" s="62" t="s">
        <v>2240</v>
      </c>
      <c r="AA1145" s="62" t="s">
        <v>485</v>
      </c>
      <c r="AB1145" s="62" t="n">
        <v>0</v>
      </c>
      <c r="AC1145" s="62" t="n">
        <v>0</v>
      </c>
      <c r="AD1145" s="62" t="n">
        <v>1</v>
      </c>
      <c r="AE1145" s="62" t="n">
        <f aca="false">IF(AND(Dashboard!$C$9="Yes",AC1145=1),0,1)</f>
        <v>1</v>
      </c>
      <c r="AF1145" s="62" t="n">
        <v>1</v>
      </c>
    </row>
    <row r="1146" customFormat="false" ht="15" hidden="false" customHeight="false" outlineLevel="0" collapsed="false">
      <c r="A1146" s="62" t="n">
        <v>1145</v>
      </c>
      <c r="B1146" s="63" t="n">
        <v>46264.755462963</v>
      </c>
      <c r="C1146" s="64" t="n">
        <v>46264</v>
      </c>
      <c r="D1146" s="62" t="s">
        <v>393</v>
      </c>
      <c r="E1146" s="62" t="s">
        <v>865</v>
      </c>
      <c r="F1146" s="62" t="s">
        <v>865</v>
      </c>
      <c r="G1146" s="62" t="s">
        <v>866</v>
      </c>
      <c r="H1146" s="62" t="s">
        <v>46</v>
      </c>
      <c r="I1146" s="62" t="s">
        <v>47</v>
      </c>
      <c r="J1146" s="62" t="s">
        <v>146</v>
      </c>
      <c r="K1146" s="62" t="s">
        <v>209</v>
      </c>
      <c r="L1146" s="62" t="s">
        <v>148</v>
      </c>
      <c r="M1146" s="62" t="n">
        <v>0</v>
      </c>
      <c r="N1146" s="62" t="n">
        <v>1</v>
      </c>
      <c r="O1146" s="62" t="n">
        <v>1</v>
      </c>
      <c r="P1146" s="62" t="n">
        <v>0</v>
      </c>
      <c r="Q1146" s="62" t="n">
        <v>0</v>
      </c>
      <c r="R1146" s="62" t="n">
        <v>1</v>
      </c>
      <c r="S1146" s="62" t="n">
        <v>0</v>
      </c>
      <c r="T1146" s="62" t="n">
        <v>0</v>
      </c>
      <c r="U1146" s="62"/>
      <c r="V1146" s="62"/>
      <c r="W1146" s="62"/>
      <c r="X1146" s="62"/>
      <c r="Y1146" s="62"/>
      <c r="Z1146" s="62" t="s">
        <v>2241</v>
      </c>
      <c r="AA1146" s="62" t="s">
        <v>2242</v>
      </c>
      <c r="AB1146" s="62" t="n">
        <v>1</v>
      </c>
      <c r="AC1146" s="62" t="n">
        <v>0</v>
      </c>
      <c r="AD1146" s="62" t="n">
        <v>1</v>
      </c>
      <c r="AE1146" s="62" t="n">
        <f aca="false">IF(AND(Dashboard!$C$9="Yes",AC1146=1),0,1)</f>
        <v>1</v>
      </c>
      <c r="AF1146" s="62" t="n">
        <v>1</v>
      </c>
    </row>
    <row r="1147" customFormat="false" ht="15" hidden="false" customHeight="false" outlineLevel="0" collapsed="false">
      <c r="A1147" s="62" t="n">
        <v>1146</v>
      </c>
      <c r="B1147" s="63" t="n">
        <v>46264.8197916667</v>
      </c>
      <c r="C1147" s="64" t="n">
        <v>46264</v>
      </c>
      <c r="D1147" s="62" t="s">
        <v>393</v>
      </c>
      <c r="E1147" s="62" t="s">
        <v>371</v>
      </c>
      <c r="F1147" s="62" t="s">
        <v>371</v>
      </c>
      <c r="G1147" s="62" t="s">
        <v>372</v>
      </c>
      <c r="H1147" s="62" t="s">
        <v>59</v>
      </c>
      <c r="I1147" s="62" t="s">
        <v>47</v>
      </c>
      <c r="J1147" s="62" t="s">
        <v>146</v>
      </c>
      <c r="K1147" s="62" t="s">
        <v>147</v>
      </c>
      <c r="L1147" s="62" t="s">
        <v>148</v>
      </c>
      <c r="M1147" s="62" t="n">
        <v>0</v>
      </c>
      <c r="N1147" s="62" t="n">
        <v>1</v>
      </c>
      <c r="O1147" s="62" t="n">
        <v>1</v>
      </c>
      <c r="P1147" s="62" t="n">
        <v>1</v>
      </c>
      <c r="Q1147" s="62" t="n">
        <v>0</v>
      </c>
      <c r="R1147" s="62" t="n">
        <v>0</v>
      </c>
      <c r="S1147" s="62" t="n">
        <v>0</v>
      </c>
      <c r="T1147" s="62" t="n">
        <v>0</v>
      </c>
      <c r="U1147" s="62"/>
      <c r="V1147" s="62"/>
      <c r="W1147" s="62"/>
      <c r="X1147" s="62"/>
      <c r="Y1147" s="62"/>
      <c r="Z1147" s="62" t="s">
        <v>2243</v>
      </c>
      <c r="AA1147" s="62" t="s">
        <v>2244</v>
      </c>
      <c r="AB1147" s="62" t="n">
        <v>1</v>
      </c>
      <c r="AC1147" s="62" t="n">
        <v>0</v>
      </c>
      <c r="AD1147" s="62" t="n">
        <v>1</v>
      </c>
      <c r="AE1147" s="62" t="n">
        <f aca="false">IF(AND(Dashboard!$C$9="Yes",AC1147=1),0,1)</f>
        <v>1</v>
      </c>
      <c r="AF1147" s="62" t="n">
        <v>1</v>
      </c>
    </row>
    <row r="1148" customFormat="false" ht="15" hidden="false" customHeight="false" outlineLevel="0" collapsed="false">
      <c r="A1148" s="62" t="n">
        <v>1147</v>
      </c>
      <c r="B1148" s="63" t="n">
        <v>46264.8313078704</v>
      </c>
      <c r="C1148" s="64" t="n">
        <v>46264</v>
      </c>
      <c r="D1148" s="62" t="s">
        <v>393</v>
      </c>
      <c r="E1148" s="62" t="s">
        <v>1326</v>
      </c>
      <c r="F1148" s="62" t="s">
        <v>1326</v>
      </c>
      <c r="G1148" s="62" t="s">
        <v>1327</v>
      </c>
      <c r="H1148" s="62" t="s">
        <v>57</v>
      </c>
      <c r="I1148" s="62" t="s">
        <v>47</v>
      </c>
      <c r="J1148" s="62" t="s">
        <v>146</v>
      </c>
      <c r="K1148" s="62" t="s">
        <v>175</v>
      </c>
      <c r="L1148" s="62" t="s">
        <v>4</v>
      </c>
      <c r="M1148" s="62" t="n">
        <v>1</v>
      </c>
      <c r="N1148" s="62" t="n">
        <v>0</v>
      </c>
      <c r="O1148" s="62" t="n">
        <v>1</v>
      </c>
      <c r="P1148" s="62" t="n">
        <v>0</v>
      </c>
      <c r="Q1148" s="62" t="n">
        <v>0</v>
      </c>
      <c r="R1148" s="62" t="n">
        <v>0</v>
      </c>
      <c r="S1148" s="62" t="n">
        <v>0</v>
      </c>
      <c r="T1148" s="62" t="n">
        <v>0</v>
      </c>
      <c r="U1148" s="62" t="s">
        <v>2056</v>
      </c>
      <c r="V1148" s="62" t="s">
        <v>2057</v>
      </c>
      <c r="W1148" s="62" t="s">
        <v>15</v>
      </c>
      <c r="X1148" s="62" t="s">
        <v>2125</v>
      </c>
      <c r="Y1148" s="62" t="s">
        <v>2059</v>
      </c>
      <c r="Z1148" s="62" t="s">
        <v>2245</v>
      </c>
      <c r="AA1148" s="62" t="s">
        <v>2246</v>
      </c>
      <c r="AB1148" s="62" t="n">
        <v>1</v>
      </c>
      <c r="AC1148" s="62" t="n">
        <v>0</v>
      </c>
      <c r="AD1148" s="62" t="n">
        <v>1</v>
      </c>
      <c r="AE1148" s="62" t="n">
        <f aca="false">IF(AND(Dashboard!$C$9="Yes",AC1148=1),0,1)</f>
        <v>1</v>
      </c>
      <c r="AF1148" s="62" t="n">
        <v>1</v>
      </c>
    </row>
    <row r="1149" customFormat="false" ht="15" hidden="false" customHeight="false" outlineLevel="0" collapsed="false">
      <c r="A1149" s="62" t="n">
        <v>1148</v>
      </c>
      <c r="B1149" s="63" t="n">
        <v>46264.8316666667</v>
      </c>
      <c r="C1149" s="64" t="n">
        <v>46264</v>
      </c>
      <c r="D1149" s="62" t="s">
        <v>393</v>
      </c>
      <c r="E1149" s="62" t="s">
        <v>1326</v>
      </c>
      <c r="F1149" s="62" t="s">
        <v>1326</v>
      </c>
      <c r="G1149" s="62" t="s">
        <v>1327</v>
      </c>
      <c r="H1149" s="62" t="s">
        <v>57</v>
      </c>
      <c r="I1149" s="62" t="s">
        <v>47</v>
      </c>
      <c r="J1149" s="62" t="s">
        <v>146</v>
      </c>
      <c r="K1149" s="62" t="s">
        <v>175</v>
      </c>
      <c r="L1149" s="62" t="s">
        <v>148</v>
      </c>
      <c r="M1149" s="62" t="n">
        <v>0</v>
      </c>
      <c r="N1149" s="62" t="n">
        <v>1</v>
      </c>
      <c r="O1149" s="62" t="n">
        <v>1</v>
      </c>
      <c r="P1149" s="62" t="n">
        <v>0</v>
      </c>
      <c r="Q1149" s="62" t="n">
        <v>1</v>
      </c>
      <c r="R1149" s="62" t="n">
        <v>0</v>
      </c>
      <c r="S1149" s="62" t="n">
        <v>0</v>
      </c>
      <c r="T1149" s="62" t="n">
        <v>0</v>
      </c>
      <c r="U1149" s="62"/>
      <c r="V1149" s="62"/>
      <c r="W1149" s="62"/>
      <c r="X1149" s="62"/>
      <c r="Y1149" s="62"/>
      <c r="Z1149" s="62" t="s">
        <v>1923</v>
      </c>
      <c r="AA1149" s="62" t="s">
        <v>237</v>
      </c>
      <c r="AB1149" s="62" t="n">
        <v>0</v>
      </c>
      <c r="AC1149" s="62" t="n">
        <v>0</v>
      </c>
      <c r="AD1149" s="62" t="n">
        <v>1</v>
      </c>
      <c r="AE1149" s="62" t="n">
        <f aca="false">IF(AND(Dashboard!$C$9="Yes",AC1149=1),0,1)</f>
        <v>1</v>
      </c>
      <c r="AF1149" s="62" t="n">
        <v>0</v>
      </c>
    </row>
    <row r="1150" customFormat="false" ht="15" hidden="false" customHeight="false" outlineLevel="0" collapsed="false">
      <c r="A1150" s="62" t="n">
        <v>1149</v>
      </c>
      <c r="B1150" s="63" t="n">
        <v>46264.8326388889</v>
      </c>
      <c r="C1150" s="64" t="n">
        <v>46264</v>
      </c>
      <c r="D1150" s="62" t="s">
        <v>393</v>
      </c>
      <c r="E1150" s="62" t="s">
        <v>1326</v>
      </c>
      <c r="F1150" s="62" t="s">
        <v>1326</v>
      </c>
      <c r="G1150" s="62" t="s">
        <v>1327</v>
      </c>
      <c r="H1150" s="62" t="s">
        <v>57</v>
      </c>
      <c r="I1150" s="62" t="s">
        <v>47</v>
      </c>
      <c r="J1150" s="62" t="s">
        <v>146</v>
      </c>
      <c r="K1150" s="62" t="s">
        <v>175</v>
      </c>
      <c r="L1150" s="62" t="s">
        <v>4</v>
      </c>
      <c r="M1150" s="62" t="n">
        <v>1</v>
      </c>
      <c r="N1150" s="62" t="n">
        <v>0</v>
      </c>
      <c r="O1150" s="62" t="n">
        <v>1</v>
      </c>
      <c r="P1150" s="62" t="n">
        <v>0</v>
      </c>
      <c r="Q1150" s="62" t="n">
        <v>0</v>
      </c>
      <c r="R1150" s="62" t="n">
        <v>0</v>
      </c>
      <c r="S1150" s="62" t="n">
        <v>0</v>
      </c>
      <c r="T1150" s="62" t="n">
        <v>0</v>
      </c>
      <c r="U1150" s="62" t="s">
        <v>2056</v>
      </c>
      <c r="V1150" s="62" t="s">
        <v>2057</v>
      </c>
      <c r="W1150" s="62" t="s">
        <v>15</v>
      </c>
      <c r="X1150" s="62" t="s">
        <v>2058</v>
      </c>
      <c r="Y1150" s="62" t="s">
        <v>2059</v>
      </c>
      <c r="Z1150" s="62" t="s">
        <v>1923</v>
      </c>
      <c r="AA1150" s="62" t="s">
        <v>1924</v>
      </c>
      <c r="AB1150" s="62" t="n">
        <v>1</v>
      </c>
      <c r="AC1150" s="62" t="n">
        <v>1</v>
      </c>
      <c r="AD1150" s="62" t="n">
        <v>1</v>
      </c>
      <c r="AE1150" s="62" t="n">
        <f aca="false">IF(AND(Dashboard!$C$9="Yes",AC1150=1),0,1)</f>
        <v>0</v>
      </c>
      <c r="AF1150" s="62" t="n">
        <v>0</v>
      </c>
    </row>
    <row r="1151" customFormat="false" ht="15" hidden="false" customHeight="false" outlineLevel="0" collapsed="false">
      <c r="A1151" s="62" t="n">
        <v>1150</v>
      </c>
      <c r="B1151" s="63" t="n">
        <v>46264.8329398148</v>
      </c>
      <c r="C1151" s="64" t="n">
        <v>46264</v>
      </c>
      <c r="D1151" s="62" t="s">
        <v>393</v>
      </c>
      <c r="E1151" s="62" t="s">
        <v>1326</v>
      </c>
      <c r="F1151" s="62" t="s">
        <v>1326</v>
      </c>
      <c r="G1151" s="62" t="s">
        <v>1327</v>
      </c>
      <c r="H1151" s="62" t="s">
        <v>57</v>
      </c>
      <c r="I1151" s="62" t="s">
        <v>47</v>
      </c>
      <c r="J1151" s="62" t="s">
        <v>146</v>
      </c>
      <c r="K1151" s="62" t="s">
        <v>175</v>
      </c>
      <c r="L1151" s="62" t="s">
        <v>148</v>
      </c>
      <c r="M1151" s="62" t="n">
        <v>0</v>
      </c>
      <c r="N1151" s="62" t="n">
        <v>1</v>
      </c>
      <c r="O1151" s="62" t="n">
        <v>1</v>
      </c>
      <c r="P1151" s="62" t="n">
        <v>1</v>
      </c>
      <c r="Q1151" s="62" t="n">
        <v>0</v>
      </c>
      <c r="R1151" s="62" t="n">
        <v>0</v>
      </c>
      <c r="S1151" s="62" t="n">
        <v>0</v>
      </c>
      <c r="T1151" s="62" t="n">
        <v>0</v>
      </c>
      <c r="U1151" s="62"/>
      <c r="V1151" s="62"/>
      <c r="W1151" s="62"/>
      <c r="X1151" s="62"/>
      <c r="Y1151" s="62"/>
      <c r="Z1151" s="62" t="s">
        <v>1328</v>
      </c>
      <c r="AA1151" s="62" t="s">
        <v>237</v>
      </c>
      <c r="AB1151" s="62" t="n">
        <v>0</v>
      </c>
      <c r="AC1151" s="62" t="n">
        <v>0</v>
      </c>
      <c r="AD1151" s="62" t="n">
        <v>1</v>
      </c>
      <c r="AE1151" s="62" t="n">
        <f aca="false">IF(AND(Dashboard!$C$9="Yes",AC1151=1),0,1)</f>
        <v>1</v>
      </c>
      <c r="AF1151" s="62" t="n">
        <v>0</v>
      </c>
    </row>
    <row r="1152" customFormat="false" ht="15" hidden="false" customHeight="false" outlineLevel="0" collapsed="false">
      <c r="A1152" s="62" t="n">
        <v>1151</v>
      </c>
      <c r="B1152" s="63" t="n">
        <v>46264.8331828704</v>
      </c>
      <c r="C1152" s="64" t="n">
        <v>46264</v>
      </c>
      <c r="D1152" s="62" t="s">
        <v>393</v>
      </c>
      <c r="E1152" s="62" t="s">
        <v>1326</v>
      </c>
      <c r="F1152" s="62" t="s">
        <v>1326</v>
      </c>
      <c r="G1152" s="62" t="s">
        <v>1327</v>
      </c>
      <c r="H1152" s="62" t="s">
        <v>57</v>
      </c>
      <c r="I1152" s="62" t="s">
        <v>47</v>
      </c>
      <c r="J1152" s="62" t="s">
        <v>146</v>
      </c>
      <c r="K1152" s="62" t="s">
        <v>175</v>
      </c>
      <c r="L1152" s="62" t="s">
        <v>148</v>
      </c>
      <c r="M1152" s="62" t="n">
        <v>0</v>
      </c>
      <c r="N1152" s="62" t="n">
        <v>1</v>
      </c>
      <c r="O1152" s="62" t="n">
        <v>1</v>
      </c>
      <c r="P1152" s="62" t="n">
        <v>1</v>
      </c>
      <c r="Q1152" s="62" t="n">
        <v>0</v>
      </c>
      <c r="R1152" s="62" t="n">
        <v>0</v>
      </c>
      <c r="S1152" s="62" t="n">
        <v>0</v>
      </c>
      <c r="T1152" s="62" t="n">
        <v>0</v>
      </c>
      <c r="U1152" s="62"/>
      <c r="V1152" s="62"/>
      <c r="W1152" s="62"/>
      <c r="X1152" s="62"/>
      <c r="Y1152" s="62"/>
      <c r="Z1152" s="62" t="s">
        <v>2247</v>
      </c>
      <c r="AA1152" s="62" t="s">
        <v>237</v>
      </c>
      <c r="AB1152" s="62" t="n">
        <v>0</v>
      </c>
      <c r="AC1152" s="62" t="n">
        <v>0</v>
      </c>
      <c r="AD1152" s="62" t="n">
        <v>1</v>
      </c>
      <c r="AE1152" s="62" t="n">
        <f aca="false">IF(AND(Dashboard!$C$9="Yes",AC1152=1),0,1)</f>
        <v>1</v>
      </c>
      <c r="AF1152" s="62" t="n">
        <v>0</v>
      </c>
    </row>
    <row r="1153" customFormat="false" ht="15" hidden="false" customHeight="false" outlineLevel="0" collapsed="false">
      <c r="A1153" s="62" t="n">
        <v>1152</v>
      </c>
      <c r="B1153" s="63" t="n">
        <v>46264.8359606482</v>
      </c>
      <c r="C1153" s="64" t="n">
        <v>46264</v>
      </c>
      <c r="D1153" s="62" t="s">
        <v>393</v>
      </c>
      <c r="E1153" s="62" t="s">
        <v>1326</v>
      </c>
      <c r="F1153" s="62" t="s">
        <v>1326</v>
      </c>
      <c r="G1153" s="62" t="s">
        <v>1327</v>
      </c>
      <c r="H1153" s="62" t="s">
        <v>57</v>
      </c>
      <c r="I1153" s="62" t="s">
        <v>47</v>
      </c>
      <c r="J1153" s="62" t="s">
        <v>146</v>
      </c>
      <c r="K1153" s="62" t="s">
        <v>175</v>
      </c>
      <c r="L1153" s="62" t="s">
        <v>148</v>
      </c>
      <c r="M1153" s="62" t="n">
        <v>0</v>
      </c>
      <c r="N1153" s="62" t="n">
        <v>1</v>
      </c>
      <c r="O1153" s="62" t="n">
        <v>1</v>
      </c>
      <c r="P1153" s="62" t="n">
        <v>1</v>
      </c>
      <c r="Q1153" s="62" t="n">
        <v>0</v>
      </c>
      <c r="R1153" s="62" t="n">
        <v>0</v>
      </c>
      <c r="S1153" s="62" t="n">
        <v>0</v>
      </c>
      <c r="T1153" s="62" t="n">
        <v>0</v>
      </c>
      <c r="U1153" s="62"/>
      <c r="V1153" s="62"/>
      <c r="W1153" s="62"/>
      <c r="X1153" s="62"/>
      <c r="Y1153" s="62"/>
      <c r="Z1153" s="62" t="s">
        <v>2248</v>
      </c>
      <c r="AA1153" s="62" t="s">
        <v>237</v>
      </c>
      <c r="AB1153" s="62" t="n">
        <v>0</v>
      </c>
      <c r="AC1153" s="62" t="n">
        <v>0</v>
      </c>
      <c r="AD1153" s="62" t="n">
        <v>1</v>
      </c>
      <c r="AE1153" s="62" t="n">
        <f aca="false">IF(AND(Dashboard!$C$9="Yes",AC1153=1),0,1)</f>
        <v>1</v>
      </c>
      <c r="AF1153" s="62" t="n">
        <v>0</v>
      </c>
    </row>
    <row r="1154" customFormat="false" ht="15" hidden="false" customHeight="false" outlineLevel="0" collapsed="false">
      <c r="A1154" s="62" t="n">
        <v>1153</v>
      </c>
      <c r="B1154" s="63" t="n">
        <v>46264.8362268519</v>
      </c>
      <c r="C1154" s="64" t="n">
        <v>46264</v>
      </c>
      <c r="D1154" s="62" t="s">
        <v>393</v>
      </c>
      <c r="E1154" s="62" t="s">
        <v>1326</v>
      </c>
      <c r="F1154" s="62" t="s">
        <v>1326</v>
      </c>
      <c r="G1154" s="62" t="s">
        <v>1327</v>
      </c>
      <c r="H1154" s="62" t="s">
        <v>57</v>
      </c>
      <c r="I1154" s="62" t="s">
        <v>47</v>
      </c>
      <c r="J1154" s="62" t="s">
        <v>146</v>
      </c>
      <c r="K1154" s="62" t="s">
        <v>175</v>
      </c>
      <c r="L1154" s="62" t="s">
        <v>148</v>
      </c>
      <c r="M1154" s="62" t="n">
        <v>0</v>
      </c>
      <c r="N1154" s="62" t="n">
        <v>1</v>
      </c>
      <c r="O1154" s="62" t="n">
        <v>1</v>
      </c>
      <c r="P1154" s="62" t="n">
        <v>1</v>
      </c>
      <c r="Q1154" s="62" t="n">
        <v>0</v>
      </c>
      <c r="R1154" s="62" t="n">
        <v>0</v>
      </c>
      <c r="S1154" s="62" t="n">
        <v>0</v>
      </c>
      <c r="T1154" s="62" t="n">
        <v>0</v>
      </c>
      <c r="U1154" s="62"/>
      <c r="V1154" s="62"/>
      <c r="W1154" s="62"/>
      <c r="X1154" s="62"/>
      <c r="Y1154" s="62"/>
      <c r="Z1154" s="62" t="s">
        <v>2249</v>
      </c>
      <c r="AA1154" s="62" t="s">
        <v>237</v>
      </c>
      <c r="AB1154" s="62" t="n">
        <v>0</v>
      </c>
      <c r="AC1154" s="62" t="n">
        <v>0</v>
      </c>
      <c r="AD1154" s="62" t="n">
        <v>1</v>
      </c>
      <c r="AE1154" s="62" t="n">
        <f aca="false">IF(AND(Dashboard!$C$9="Yes",AC1154=1),0,1)</f>
        <v>1</v>
      </c>
      <c r="AF1154" s="62" t="n">
        <v>0</v>
      </c>
    </row>
    <row r="1155" customFormat="false" ht="15" hidden="false" customHeight="false" outlineLevel="0" collapsed="false">
      <c r="A1155" s="62" t="n">
        <v>1154</v>
      </c>
      <c r="B1155" s="63" t="n">
        <v>46264.8368865741</v>
      </c>
      <c r="C1155" s="64" t="n">
        <v>46264</v>
      </c>
      <c r="D1155" s="62" t="s">
        <v>393</v>
      </c>
      <c r="E1155" s="62" t="s">
        <v>1326</v>
      </c>
      <c r="F1155" s="62" t="s">
        <v>1326</v>
      </c>
      <c r="G1155" s="62" t="s">
        <v>1327</v>
      </c>
      <c r="H1155" s="62" t="s">
        <v>57</v>
      </c>
      <c r="I1155" s="62" t="s">
        <v>47</v>
      </c>
      <c r="J1155" s="62" t="s">
        <v>146</v>
      </c>
      <c r="K1155" s="62" t="s">
        <v>175</v>
      </c>
      <c r="L1155" s="62" t="s">
        <v>4</v>
      </c>
      <c r="M1155" s="62" t="n">
        <v>1</v>
      </c>
      <c r="N1155" s="62" t="n">
        <v>0</v>
      </c>
      <c r="O1155" s="62" t="n">
        <v>1</v>
      </c>
      <c r="P1155" s="62" t="n">
        <v>0</v>
      </c>
      <c r="Q1155" s="62" t="n">
        <v>0</v>
      </c>
      <c r="R1155" s="62" t="n">
        <v>0</v>
      </c>
      <c r="S1155" s="62" t="n">
        <v>0</v>
      </c>
      <c r="T1155" s="62" t="n">
        <v>0</v>
      </c>
      <c r="U1155" s="62" t="s">
        <v>2056</v>
      </c>
      <c r="V1155" s="62" t="s">
        <v>2057</v>
      </c>
      <c r="W1155" s="62" t="s">
        <v>15</v>
      </c>
      <c r="X1155" s="62" t="s">
        <v>2125</v>
      </c>
      <c r="Y1155" s="62" t="s">
        <v>2059</v>
      </c>
      <c r="Z1155" s="62" t="s">
        <v>2250</v>
      </c>
      <c r="AA1155" s="62" t="s">
        <v>2251</v>
      </c>
      <c r="AB1155" s="62" t="n">
        <v>1</v>
      </c>
      <c r="AC1155" s="62" t="n">
        <v>0</v>
      </c>
      <c r="AD1155" s="62" t="n">
        <v>1</v>
      </c>
      <c r="AE1155" s="62" t="n">
        <f aca="false">IF(AND(Dashboard!$C$9="Yes",AC1155=1),0,1)</f>
        <v>1</v>
      </c>
      <c r="AF1155" s="62" t="n">
        <v>0</v>
      </c>
    </row>
    <row r="1156" customFormat="false" ht="15" hidden="false" customHeight="false" outlineLevel="0" collapsed="false">
      <c r="A1156" s="62" t="n">
        <v>1155</v>
      </c>
      <c r="B1156" s="63" t="n">
        <v>46264.8371180556</v>
      </c>
      <c r="C1156" s="64" t="n">
        <v>46264</v>
      </c>
      <c r="D1156" s="62" t="s">
        <v>393</v>
      </c>
      <c r="E1156" s="62" t="s">
        <v>1326</v>
      </c>
      <c r="F1156" s="62" t="s">
        <v>1326</v>
      </c>
      <c r="G1156" s="62" t="s">
        <v>1327</v>
      </c>
      <c r="H1156" s="62" t="s">
        <v>57</v>
      </c>
      <c r="I1156" s="62" t="s">
        <v>47</v>
      </c>
      <c r="J1156" s="62" t="s">
        <v>146</v>
      </c>
      <c r="K1156" s="62" t="s">
        <v>175</v>
      </c>
      <c r="L1156" s="62" t="s">
        <v>148</v>
      </c>
      <c r="M1156" s="62" t="n">
        <v>0</v>
      </c>
      <c r="N1156" s="62" t="n">
        <v>1</v>
      </c>
      <c r="O1156" s="62" t="n">
        <v>1</v>
      </c>
      <c r="P1156" s="62" t="n">
        <v>1</v>
      </c>
      <c r="Q1156" s="62" t="n">
        <v>0</v>
      </c>
      <c r="R1156" s="62" t="n">
        <v>0</v>
      </c>
      <c r="S1156" s="62" t="n">
        <v>0</v>
      </c>
      <c r="T1156" s="62" t="n">
        <v>0</v>
      </c>
      <c r="U1156" s="62"/>
      <c r="V1156" s="62"/>
      <c r="W1156" s="62"/>
      <c r="X1156" s="62"/>
      <c r="Y1156" s="62"/>
      <c r="Z1156" s="62" t="s">
        <v>2252</v>
      </c>
      <c r="AA1156" s="62" t="s">
        <v>237</v>
      </c>
      <c r="AB1156" s="62" t="n">
        <v>0</v>
      </c>
      <c r="AC1156" s="62" t="n">
        <v>0</v>
      </c>
      <c r="AD1156" s="62" t="n">
        <v>1</v>
      </c>
      <c r="AE1156" s="62" t="n">
        <f aca="false">IF(AND(Dashboard!$C$9="Yes",AC1156=1),0,1)</f>
        <v>1</v>
      </c>
      <c r="AF1156" s="62" t="n">
        <v>0</v>
      </c>
    </row>
    <row r="1157" customFormat="false" ht="15" hidden="false" customHeight="false" outlineLevel="0" collapsed="false">
      <c r="A1157" s="62" t="n">
        <v>1156</v>
      </c>
      <c r="B1157" s="63" t="n">
        <v>46264.8380787037</v>
      </c>
      <c r="C1157" s="64" t="n">
        <v>46264</v>
      </c>
      <c r="D1157" s="62" t="s">
        <v>393</v>
      </c>
      <c r="E1157" s="62" t="s">
        <v>1326</v>
      </c>
      <c r="F1157" s="62" t="s">
        <v>1326</v>
      </c>
      <c r="G1157" s="62" t="s">
        <v>1327</v>
      </c>
      <c r="H1157" s="62" t="s">
        <v>57</v>
      </c>
      <c r="I1157" s="62" t="s">
        <v>47</v>
      </c>
      <c r="J1157" s="62" t="s">
        <v>146</v>
      </c>
      <c r="K1157" s="62" t="s">
        <v>175</v>
      </c>
      <c r="L1157" s="62" t="s">
        <v>4</v>
      </c>
      <c r="M1157" s="62" t="n">
        <v>1</v>
      </c>
      <c r="N1157" s="62" t="n">
        <v>0</v>
      </c>
      <c r="O1157" s="62" t="n">
        <v>1</v>
      </c>
      <c r="P1157" s="62" t="n">
        <v>0</v>
      </c>
      <c r="Q1157" s="62" t="n">
        <v>0</v>
      </c>
      <c r="R1157" s="62" t="n">
        <v>0</v>
      </c>
      <c r="S1157" s="62" t="n">
        <v>0</v>
      </c>
      <c r="T1157" s="62" t="n">
        <v>0</v>
      </c>
      <c r="U1157" s="62" t="s">
        <v>2056</v>
      </c>
      <c r="V1157" s="62" t="s">
        <v>2057</v>
      </c>
      <c r="W1157" s="62" t="s">
        <v>15</v>
      </c>
      <c r="X1157" s="62" t="s">
        <v>2125</v>
      </c>
      <c r="Y1157" s="62" t="s">
        <v>2059</v>
      </c>
      <c r="Z1157" s="62" t="s">
        <v>2245</v>
      </c>
      <c r="AA1157" s="62" t="s">
        <v>2246</v>
      </c>
      <c r="AB1157" s="62" t="n">
        <v>1</v>
      </c>
      <c r="AC1157" s="62" t="n">
        <v>1</v>
      </c>
      <c r="AD1157" s="62" t="n">
        <v>1</v>
      </c>
      <c r="AE1157" s="62" t="n">
        <f aca="false">IF(AND(Dashboard!$C$9="Yes",AC1157=1),0,1)</f>
        <v>0</v>
      </c>
      <c r="AF1157" s="62" t="n">
        <v>0</v>
      </c>
    </row>
    <row r="1158" customFormat="false" ht="15" hidden="false" customHeight="false" outlineLevel="0" collapsed="false">
      <c r="A1158" s="62" t="n">
        <v>1157</v>
      </c>
      <c r="B1158" s="63" t="n">
        <v>46264.8704050926</v>
      </c>
      <c r="C1158" s="64" t="n">
        <v>46264</v>
      </c>
      <c r="D1158" s="62" t="s">
        <v>393</v>
      </c>
      <c r="E1158" s="62" t="s">
        <v>2110</v>
      </c>
      <c r="F1158" s="62" t="s">
        <v>2111</v>
      </c>
      <c r="G1158" s="62" t="s">
        <v>153</v>
      </c>
      <c r="H1158" s="62" t="s">
        <v>153</v>
      </c>
      <c r="I1158" s="62" t="s">
        <v>153</v>
      </c>
      <c r="J1158" s="62" t="s">
        <v>64</v>
      </c>
      <c r="K1158" s="62" t="s">
        <v>64</v>
      </c>
      <c r="L1158" s="62" t="s">
        <v>4</v>
      </c>
      <c r="M1158" s="62" t="n">
        <v>1</v>
      </c>
      <c r="N1158" s="62" t="n">
        <v>0</v>
      </c>
      <c r="O1158" s="62" t="n">
        <v>1</v>
      </c>
      <c r="P1158" s="62" t="n">
        <v>0</v>
      </c>
      <c r="Q1158" s="62" t="n">
        <v>0</v>
      </c>
      <c r="R1158" s="62" t="n">
        <v>0</v>
      </c>
      <c r="S1158" s="62" t="n">
        <v>0</v>
      </c>
      <c r="T1158" s="62" t="n">
        <v>0</v>
      </c>
      <c r="U1158" s="62" t="s">
        <v>2056</v>
      </c>
      <c r="V1158" s="62" t="s">
        <v>2057</v>
      </c>
      <c r="W1158" s="62" t="s">
        <v>2056</v>
      </c>
      <c r="X1158" s="62" t="s">
        <v>2164</v>
      </c>
      <c r="Y1158" s="62" t="s">
        <v>2253</v>
      </c>
      <c r="Z1158" s="62" t="s">
        <v>2254</v>
      </c>
      <c r="AA1158" s="62" t="s">
        <v>2254</v>
      </c>
      <c r="AB1158" s="62" t="n">
        <v>1</v>
      </c>
      <c r="AC1158" s="62" t="n">
        <v>0</v>
      </c>
      <c r="AD1158" s="62" t="n">
        <v>0</v>
      </c>
      <c r="AE1158" s="62" t="n">
        <f aca="false">IF(AND(Dashboard!$C$9="Yes",AC1158=1),0,1)</f>
        <v>1</v>
      </c>
      <c r="AF1158" s="62" t="n">
        <v>1</v>
      </c>
    </row>
    <row r="1159" customFormat="false" ht="15" hidden="false" customHeight="false" outlineLevel="0" collapsed="false">
      <c r="A1159" s="62" t="n">
        <v>1158</v>
      </c>
      <c r="B1159" s="63" t="n">
        <v>46264.8803356482</v>
      </c>
      <c r="C1159" s="64" t="n">
        <v>46264</v>
      </c>
      <c r="D1159" s="62" t="s">
        <v>393</v>
      </c>
      <c r="E1159" s="62" t="s">
        <v>1005</v>
      </c>
      <c r="F1159" s="62" t="s">
        <v>1005</v>
      </c>
      <c r="G1159" s="62" t="s">
        <v>1006</v>
      </c>
      <c r="H1159" s="62" t="s">
        <v>46</v>
      </c>
      <c r="I1159" s="62" t="s">
        <v>47</v>
      </c>
      <c r="J1159" s="62" t="s">
        <v>146</v>
      </c>
      <c r="K1159" s="62" t="s">
        <v>209</v>
      </c>
      <c r="L1159" s="62" t="s">
        <v>148</v>
      </c>
      <c r="M1159" s="62" t="n">
        <v>0</v>
      </c>
      <c r="N1159" s="62" t="n">
        <v>1</v>
      </c>
      <c r="O1159" s="62" t="n">
        <v>1</v>
      </c>
      <c r="P1159" s="62" t="n">
        <v>1</v>
      </c>
      <c r="Q1159" s="62" t="n">
        <v>0</v>
      </c>
      <c r="R1159" s="62" t="n">
        <v>0</v>
      </c>
      <c r="S1159" s="62" t="n">
        <v>0</v>
      </c>
      <c r="T1159" s="62" t="n">
        <v>0</v>
      </c>
      <c r="U1159" s="62"/>
      <c r="V1159" s="62"/>
      <c r="W1159" s="62"/>
      <c r="X1159" s="62"/>
      <c r="Y1159" s="62"/>
      <c r="Z1159" s="62" t="s">
        <v>2255</v>
      </c>
      <c r="AA1159" s="62" t="s">
        <v>2256</v>
      </c>
      <c r="AB1159" s="62" t="n">
        <v>1</v>
      </c>
      <c r="AC1159" s="62" t="n">
        <v>0</v>
      </c>
      <c r="AD1159" s="62" t="n">
        <v>1</v>
      </c>
      <c r="AE1159" s="62" t="n">
        <f aca="false">IF(AND(Dashboard!$C$9="Yes",AC1159=1),0,1)</f>
        <v>1</v>
      </c>
      <c r="AF1159" s="62" t="n">
        <v>0</v>
      </c>
    </row>
    <row r="1160" customFormat="false" ht="15" hidden="false" customHeight="false" outlineLevel="0" collapsed="false">
      <c r="A1160" s="62" t="n">
        <v>1159</v>
      </c>
      <c r="B1160" s="63" t="n">
        <v>46264.892962963</v>
      </c>
      <c r="C1160" s="64" t="n">
        <v>46264</v>
      </c>
      <c r="D1160" s="62" t="s">
        <v>393</v>
      </c>
      <c r="E1160" s="62" t="s">
        <v>1382</v>
      </c>
      <c r="F1160" s="62" t="s">
        <v>1382</v>
      </c>
      <c r="G1160" s="62" t="s">
        <v>1383</v>
      </c>
      <c r="H1160" s="62" t="s">
        <v>58</v>
      </c>
      <c r="I1160" s="62" t="s">
        <v>49</v>
      </c>
      <c r="J1160" s="62" t="s">
        <v>146</v>
      </c>
      <c r="K1160" s="62" t="s">
        <v>175</v>
      </c>
      <c r="L1160" s="62" t="s">
        <v>4</v>
      </c>
      <c r="M1160" s="62" t="n">
        <v>1</v>
      </c>
      <c r="N1160" s="62" t="n">
        <v>0</v>
      </c>
      <c r="O1160" s="62" t="n">
        <v>1</v>
      </c>
      <c r="P1160" s="62" t="n">
        <v>0</v>
      </c>
      <c r="Q1160" s="62" t="n">
        <v>0</v>
      </c>
      <c r="R1160" s="62" t="n">
        <v>0</v>
      </c>
      <c r="S1160" s="62" t="n">
        <v>0</v>
      </c>
      <c r="T1160" s="62" t="n">
        <v>0</v>
      </c>
      <c r="U1160" s="62" t="s">
        <v>2056</v>
      </c>
      <c r="V1160" s="62" t="s">
        <v>2057</v>
      </c>
      <c r="W1160" s="62" t="s">
        <v>15</v>
      </c>
      <c r="X1160" s="62" t="s">
        <v>2058</v>
      </c>
      <c r="Y1160" s="62" t="s">
        <v>2103</v>
      </c>
      <c r="Z1160" s="62" t="s">
        <v>2257</v>
      </c>
      <c r="AA1160" s="62" t="s">
        <v>2258</v>
      </c>
      <c r="AB1160" s="62" t="n">
        <v>1</v>
      </c>
      <c r="AC1160" s="62" t="n">
        <v>0</v>
      </c>
      <c r="AD1160" s="62" t="n">
        <v>1</v>
      </c>
      <c r="AE1160" s="62" t="n">
        <f aca="false">IF(AND(Dashboard!$C$9="Yes",AC1160=1),0,1)</f>
        <v>1</v>
      </c>
      <c r="AF1160" s="62" t="n">
        <v>1</v>
      </c>
    </row>
    <row r="1161" customFormat="false" ht="15" hidden="false" customHeight="false" outlineLevel="0" collapsed="false">
      <c r="A1161" s="62" t="n">
        <v>1160</v>
      </c>
      <c r="B1161" s="63" t="n">
        <v>46264.8946527778</v>
      </c>
      <c r="C1161" s="64" t="n">
        <v>46264</v>
      </c>
      <c r="D1161" s="62" t="s">
        <v>393</v>
      </c>
      <c r="E1161" s="62" t="s">
        <v>160</v>
      </c>
      <c r="F1161" s="62" t="s">
        <v>160</v>
      </c>
      <c r="G1161" s="62" t="s">
        <v>161</v>
      </c>
      <c r="H1161" s="62" t="s">
        <v>51</v>
      </c>
      <c r="I1161" s="62" t="s">
        <v>47</v>
      </c>
      <c r="J1161" s="62" t="s">
        <v>146</v>
      </c>
      <c r="K1161" s="62" t="s">
        <v>147</v>
      </c>
      <c r="L1161" s="62" t="s">
        <v>148</v>
      </c>
      <c r="M1161" s="62" t="n">
        <v>0</v>
      </c>
      <c r="N1161" s="62" t="n">
        <v>1</v>
      </c>
      <c r="O1161" s="62" t="n">
        <v>1</v>
      </c>
      <c r="P1161" s="62" t="n">
        <v>0</v>
      </c>
      <c r="Q1161" s="62" t="n">
        <v>1</v>
      </c>
      <c r="R1161" s="62" t="n">
        <v>0</v>
      </c>
      <c r="S1161" s="62" t="n">
        <v>0</v>
      </c>
      <c r="T1161" s="62" t="n">
        <v>0</v>
      </c>
      <c r="U1161" s="62"/>
      <c r="V1161" s="62"/>
      <c r="W1161" s="62"/>
      <c r="X1161" s="62"/>
      <c r="Y1161" s="62"/>
      <c r="Z1161" s="62" t="s">
        <v>2259</v>
      </c>
      <c r="AA1161" s="62" t="s">
        <v>2260</v>
      </c>
      <c r="AB1161" s="62" t="n">
        <v>1</v>
      </c>
      <c r="AC1161" s="62" t="n">
        <v>0</v>
      </c>
      <c r="AD1161" s="62" t="n">
        <v>1</v>
      </c>
      <c r="AE1161" s="62" t="n">
        <f aca="false">IF(AND(Dashboard!$C$9="Yes",AC1161=1),0,1)</f>
        <v>1</v>
      </c>
      <c r="AF1161" s="62" t="n">
        <v>1</v>
      </c>
    </row>
    <row r="1162" customFormat="false" ht="15" hidden="false" customHeight="false" outlineLevel="0" collapsed="false">
      <c r="A1162" s="62" t="n">
        <v>1161</v>
      </c>
      <c r="B1162" s="63" t="n">
        <v>46264.9111342593</v>
      </c>
      <c r="C1162" s="64" t="n">
        <v>46264</v>
      </c>
      <c r="D1162" s="62" t="s">
        <v>393</v>
      </c>
      <c r="E1162" s="62" t="s">
        <v>2110</v>
      </c>
      <c r="F1162" s="62" t="s">
        <v>2111</v>
      </c>
      <c r="G1162" s="62" t="s">
        <v>153</v>
      </c>
      <c r="H1162" s="62" t="s">
        <v>153</v>
      </c>
      <c r="I1162" s="62" t="s">
        <v>153</v>
      </c>
      <c r="J1162" s="62" t="s">
        <v>64</v>
      </c>
      <c r="K1162" s="62" t="s">
        <v>64</v>
      </c>
      <c r="L1162" s="62" t="s">
        <v>4</v>
      </c>
      <c r="M1162" s="62" t="n">
        <v>1</v>
      </c>
      <c r="N1162" s="62" t="n">
        <v>0</v>
      </c>
      <c r="O1162" s="62" t="n">
        <v>1</v>
      </c>
      <c r="P1162" s="62" t="n">
        <v>0</v>
      </c>
      <c r="Q1162" s="62" t="n">
        <v>0</v>
      </c>
      <c r="R1162" s="62" t="n">
        <v>0</v>
      </c>
      <c r="S1162" s="62" t="n">
        <v>0</v>
      </c>
      <c r="T1162" s="62" t="n">
        <v>0</v>
      </c>
      <c r="U1162" s="62" t="s">
        <v>2056</v>
      </c>
      <c r="V1162" s="62" t="s">
        <v>2057</v>
      </c>
      <c r="W1162" s="62" t="s">
        <v>15</v>
      </c>
      <c r="X1162" s="62" t="s">
        <v>2058</v>
      </c>
      <c r="Y1162" s="62" t="s">
        <v>2059</v>
      </c>
      <c r="Z1162" s="62" t="s">
        <v>2261</v>
      </c>
      <c r="AA1162" s="62" t="s">
        <v>2261</v>
      </c>
      <c r="AB1162" s="62" t="n">
        <v>1</v>
      </c>
      <c r="AC1162" s="62" t="n">
        <v>0</v>
      </c>
      <c r="AD1162" s="62" t="n">
        <v>0</v>
      </c>
      <c r="AE1162" s="62" t="n">
        <f aca="false">IF(AND(Dashboard!$C$9="Yes",AC1162=1),0,1)</f>
        <v>1</v>
      </c>
      <c r="AF1162" s="62" t="n">
        <v>0</v>
      </c>
    </row>
    <row r="1163" customFormat="false" ht="15" hidden="false" customHeight="false" outlineLevel="0" collapsed="false">
      <c r="A1163" s="62" t="n">
        <v>1162</v>
      </c>
      <c r="B1163" s="63" t="n">
        <v>46264.9147222222</v>
      </c>
      <c r="C1163" s="64" t="n">
        <v>46264</v>
      </c>
      <c r="D1163" s="62" t="s">
        <v>393</v>
      </c>
      <c r="E1163" s="62" t="s">
        <v>1326</v>
      </c>
      <c r="F1163" s="62" t="s">
        <v>1326</v>
      </c>
      <c r="G1163" s="62" t="s">
        <v>1327</v>
      </c>
      <c r="H1163" s="62" t="s">
        <v>57</v>
      </c>
      <c r="I1163" s="62" t="s">
        <v>47</v>
      </c>
      <c r="J1163" s="62" t="s">
        <v>146</v>
      </c>
      <c r="K1163" s="62" t="s">
        <v>175</v>
      </c>
      <c r="L1163" s="62" t="s">
        <v>4</v>
      </c>
      <c r="M1163" s="62" t="n">
        <v>1</v>
      </c>
      <c r="N1163" s="62" t="n">
        <v>0</v>
      </c>
      <c r="O1163" s="62" t="n">
        <v>1</v>
      </c>
      <c r="P1163" s="62" t="n">
        <v>0</v>
      </c>
      <c r="Q1163" s="62" t="n">
        <v>0</v>
      </c>
      <c r="R1163" s="62" t="n">
        <v>0</v>
      </c>
      <c r="S1163" s="62" t="n">
        <v>0</v>
      </c>
      <c r="T1163" s="62" t="n">
        <v>0</v>
      </c>
      <c r="U1163" s="62" t="s">
        <v>2056</v>
      </c>
      <c r="V1163" s="62" t="s">
        <v>2057</v>
      </c>
      <c r="W1163" s="62" t="s">
        <v>15</v>
      </c>
      <c r="X1163" s="62" t="s">
        <v>2125</v>
      </c>
      <c r="Y1163" s="62" t="s">
        <v>2059</v>
      </c>
      <c r="Z1163" s="62" t="s">
        <v>2262</v>
      </c>
      <c r="AA1163" s="62" t="s">
        <v>2263</v>
      </c>
      <c r="AB1163" s="62" t="n">
        <v>1</v>
      </c>
      <c r="AC1163" s="62" t="n">
        <v>0</v>
      </c>
      <c r="AD1163" s="62" t="n">
        <v>1</v>
      </c>
      <c r="AE1163" s="62" t="n">
        <f aca="false">IF(AND(Dashboard!$C$9="Yes",AC1163=1),0,1)</f>
        <v>1</v>
      </c>
      <c r="AF1163" s="62" t="n">
        <v>0</v>
      </c>
    </row>
    <row r="1164" customFormat="false" ht="15" hidden="false" customHeight="false" outlineLevel="0" collapsed="false">
      <c r="A1164" s="62" t="n">
        <v>1163</v>
      </c>
      <c r="B1164" s="63" t="n">
        <v>46264.9539236111</v>
      </c>
      <c r="C1164" s="64" t="n">
        <v>46264</v>
      </c>
      <c r="D1164" s="62" t="s">
        <v>393</v>
      </c>
      <c r="E1164" s="62" t="s">
        <v>156</v>
      </c>
      <c r="F1164" s="62" t="s">
        <v>156</v>
      </c>
      <c r="G1164" s="62" t="s">
        <v>157</v>
      </c>
      <c r="H1164" s="62" t="s">
        <v>51</v>
      </c>
      <c r="I1164" s="62" t="s">
        <v>47</v>
      </c>
      <c r="J1164" s="62" t="s">
        <v>146</v>
      </c>
      <c r="K1164" s="62" t="s">
        <v>147</v>
      </c>
      <c r="L1164" s="62" t="s">
        <v>148</v>
      </c>
      <c r="M1164" s="62" t="n">
        <v>0</v>
      </c>
      <c r="N1164" s="62" t="n">
        <v>1</v>
      </c>
      <c r="O1164" s="62" t="n">
        <v>1</v>
      </c>
      <c r="P1164" s="62" t="n">
        <v>1</v>
      </c>
      <c r="Q1164" s="62" t="n">
        <v>0</v>
      </c>
      <c r="R1164" s="62" t="n">
        <v>0</v>
      </c>
      <c r="S1164" s="62" t="n">
        <v>0</v>
      </c>
      <c r="T1164" s="62" t="n">
        <v>0</v>
      </c>
      <c r="U1164" s="62"/>
      <c r="V1164" s="62"/>
      <c r="W1164" s="62"/>
      <c r="X1164" s="62"/>
      <c r="Y1164" s="62"/>
      <c r="Z1164" s="62" t="s">
        <v>2264</v>
      </c>
      <c r="AA1164" s="62" t="s">
        <v>2265</v>
      </c>
      <c r="AB1164" s="62" t="n">
        <v>1</v>
      </c>
      <c r="AC1164" s="62" t="n">
        <v>0</v>
      </c>
      <c r="AD1164" s="62" t="n">
        <v>1</v>
      </c>
      <c r="AE1164" s="62" t="n">
        <f aca="false">IF(AND(Dashboard!$C$9="Yes",AC1164=1),0,1)</f>
        <v>1</v>
      </c>
      <c r="AF1164" s="62" t="n">
        <v>1</v>
      </c>
    </row>
    <row r="1165" customFormat="false" ht="15" hidden="false" customHeight="false" outlineLevel="0" collapsed="false">
      <c r="A1165" s="62" t="n">
        <v>1164</v>
      </c>
      <c r="B1165" s="63" t="n">
        <v>46264.9595717593</v>
      </c>
      <c r="C1165" s="64" t="n">
        <v>46264</v>
      </c>
      <c r="D1165" s="62" t="s">
        <v>393</v>
      </c>
      <c r="E1165" s="62" t="s">
        <v>1326</v>
      </c>
      <c r="F1165" s="62" t="s">
        <v>1326</v>
      </c>
      <c r="G1165" s="62" t="s">
        <v>1327</v>
      </c>
      <c r="H1165" s="62" t="s">
        <v>57</v>
      </c>
      <c r="I1165" s="62" t="s">
        <v>47</v>
      </c>
      <c r="J1165" s="62" t="s">
        <v>146</v>
      </c>
      <c r="K1165" s="62" t="s">
        <v>175</v>
      </c>
      <c r="L1165" s="62" t="s">
        <v>4</v>
      </c>
      <c r="M1165" s="62" t="n">
        <v>1</v>
      </c>
      <c r="N1165" s="62" t="n">
        <v>0</v>
      </c>
      <c r="O1165" s="62" t="n">
        <v>1</v>
      </c>
      <c r="P1165" s="62" t="n">
        <v>0</v>
      </c>
      <c r="Q1165" s="62" t="n">
        <v>0</v>
      </c>
      <c r="R1165" s="62" t="n">
        <v>0</v>
      </c>
      <c r="S1165" s="62" t="n">
        <v>0</v>
      </c>
      <c r="T1165" s="62" t="n">
        <v>0</v>
      </c>
      <c r="U1165" s="62" t="s">
        <v>2056</v>
      </c>
      <c r="V1165" s="62" t="s">
        <v>2057</v>
      </c>
      <c r="W1165" s="62" t="s">
        <v>15</v>
      </c>
      <c r="X1165" s="62" t="s">
        <v>2058</v>
      </c>
      <c r="Y1165" s="62" t="s">
        <v>2059</v>
      </c>
      <c r="Z1165" s="62" t="s">
        <v>2266</v>
      </c>
      <c r="AA1165" s="62" t="s">
        <v>2267</v>
      </c>
      <c r="AB1165" s="62" t="n">
        <v>1</v>
      </c>
      <c r="AC1165" s="62" t="n">
        <v>0</v>
      </c>
      <c r="AD1165" s="62" t="n">
        <v>1</v>
      </c>
      <c r="AE1165" s="62" t="n">
        <f aca="false">IF(AND(Dashboard!$C$9="Yes",AC1165=1),0,1)</f>
        <v>1</v>
      </c>
      <c r="AF1165" s="62" t="n">
        <v>0</v>
      </c>
    </row>
    <row r="1166" customFormat="false" ht="15" hidden="false" customHeight="false" outlineLevel="0" collapsed="false">
      <c r="A1166" s="62" t="n">
        <v>1165</v>
      </c>
      <c r="B1166" s="63" t="n">
        <v>46264.964224537</v>
      </c>
      <c r="C1166" s="64" t="n">
        <v>46264</v>
      </c>
      <c r="D1166" s="62" t="s">
        <v>393</v>
      </c>
      <c r="E1166" s="62" t="s">
        <v>2268</v>
      </c>
      <c r="F1166" s="62" t="s">
        <v>2269</v>
      </c>
      <c r="G1166" s="62" t="s">
        <v>153</v>
      </c>
      <c r="H1166" s="62" t="s">
        <v>153</v>
      </c>
      <c r="I1166" s="62" t="s">
        <v>153</v>
      </c>
      <c r="J1166" s="62" t="s">
        <v>64</v>
      </c>
      <c r="K1166" s="62" t="s">
        <v>64</v>
      </c>
      <c r="L1166" s="62" t="s">
        <v>148</v>
      </c>
      <c r="M1166" s="62" t="n">
        <v>0</v>
      </c>
      <c r="N1166" s="62" t="n">
        <v>1</v>
      </c>
      <c r="O1166" s="62" t="n">
        <v>1</v>
      </c>
      <c r="P1166" s="62" t="n">
        <v>1</v>
      </c>
      <c r="Q1166" s="62" t="n">
        <v>0</v>
      </c>
      <c r="R1166" s="62" t="n">
        <v>0</v>
      </c>
      <c r="S1166" s="62" t="n">
        <v>0</v>
      </c>
      <c r="T1166" s="62" t="n">
        <v>0</v>
      </c>
      <c r="U1166" s="62"/>
      <c r="V1166" s="62"/>
      <c r="W1166" s="62"/>
      <c r="X1166" s="62"/>
      <c r="Y1166" s="62"/>
      <c r="Z1166" s="62" t="s">
        <v>2270</v>
      </c>
      <c r="AA1166" s="62" t="s">
        <v>2271</v>
      </c>
      <c r="AB1166" s="62" t="n">
        <v>1</v>
      </c>
      <c r="AC1166" s="62" t="n">
        <v>0</v>
      </c>
      <c r="AD1166" s="62" t="n">
        <v>0</v>
      </c>
      <c r="AE1166" s="62" t="n">
        <f aca="false">IF(AND(Dashboard!$C$9="Yes",AC1166=1),0,1)</f>
        <v>1</v>
      </c>
      <c r="AF1166" s="62" t="n">
        <v>1</v>
      </c>
    </row>
    <row r="1167" customFormat="false" ht="15" hidden="false" customHeight="false" outlineLevel="0" collapsed="false">
      <c r="A1167" s="62" t="n">
        <v>1166</v>
      </c>
      <c r="B1167" s="63" t="n">
        <v>46264.9734606482</v>
      </c>
      <c r="C1167" s="64" t="n">
        <v>46264</v>
      </c>
      <c r="D1167" s="62" t="s">
        <v>393</v>
      </c>
      <c r="E1167" s="62" t="s">
        <v>160</v>
      </c>
      <c r="F1167" s="62" t="s">
        <v>160</v>
      </c>
      <c r="G1167" s="62" t="s">
        <v>161</v>
      </c>
      <c r="H1167" s="62" t="s">
        <v>51</v>
      </c>
      <c r="I1167" s="62" t="s">
        <v>47</v>
      </c>
      <c r="J1167" s="62" t="s">
        <v>146</v>
      </c>
      <c r="K1167" s="62" t="s">
        <v>147</v>
      </c>
      <c r="L1167" s="62" t="s">
        <v>148</v>
      </c>
      <c r="M1167" s="62" t="n">
        <v>0</v>
      </c>
      <c r="N1167" s="62" t="n">
        <v>1</v>
      </c>
      <c r="O1167" s="62" t="n">
        <v>1</v>
      </c>
      <c r="P1167" s="62" t="n">
        <v>1</v>
      </c>
      <c r="Q1167" s="62" t="n">
        <v>0</v>
      </c>
      <c r="R1167" s="62" t="n">
        <v>0</v>
      </c>
      <c r="S1167" s="62" t="n">
        <v>0</v>
      </c>
      <c r="T1167" s="62" t="n">
        <v>0</v>
      </c>
      <c r="U1167" s="62"/>
      <c r="V1167" s="62"/>
      <c r="W1167" s="62"/>
      <c r="X1167" s="62"/>
      <c r="Y1167" s="62"/>
      <c r="Z1167" s="62" t="s">
        <v>2272</v>
      </c>
      <c r="AA1167" s="62" t="s">
        <v>2273</v>
      </c>
      <c r="AB1167" s="62" t="n">
        <v>1</v>
      </c>
      <c r="AC1167" s="62" t="n">
        <v>0</v>
      </c>
      <c r="AD1167" s="62" t="n">
        <v>1</v>
      </c>
      <c r="AE1167" s="62" t="n">
        <f aca="false">IF(AND(Dashboard!$C$9="Yes",AC1167=1),0,1)</f>
        <v>1</v>
      </c>
      <c r="AF1167" s="62" t="n">
        <v>0</v>
      </c>
    </row>
    <row r="1168" customFormat="false" ht="15" hidden="false" customHeight="false" outlineLevel="0" collapsed="false">
      <c r="A1168" s="62" t="n">
        <v>1167</v>
      </c>
      <c r="B1168" s="63" t="n">
        <v>46264.9818865741</v>
      </c>
      <c r="C1168" s="64" t="n">
        <v>46264</v>
      </c>
      <c r="D1168" s="62" t="s">
        <v>393</v>
      </c>
      <c r="E1168" s="62" t="s">
        <v>865</v>
      </c>
      <c r="F1168" s="62" t="s">
        <v>865</v>
      </c>
      <c r="G1168" s="62" t="s">
        <v>866</v>
      </c>
      <c r="H1168" s="62" t="s">
        <v>46</v>
      </c>
      <c r="I1168" s="62" t="s">
        <v>47</v>
      </c>
      <c r="J1168" s="62" t="s">
        <v>146</v>
      </c>
      <c r="K1168" s="62" t="s">
        <v>209</v>
      </c>
      <c r="L1168" s="62" t="s">
        <v>4</v>
      </c>
      <c r="M1168" s="62" t="n">
        <v>1</v>
      </c>
      <c r="N1168" s="62" t="n">
        <v>0</v>
      </c>
      <c r="O1168" s="62" t="n">
        <v>1</v>
      </c>
      <c r="P1168" s="62" t="n">
        <v>0</v>
      </c>
      <c r="Q1168" s="62" t="n">
        <v>0</v>
      </c>
      <c r="R1168" s="62" t="n">
        <v>0</v>
      </c>
      <c r="S1168" s="62" t="n">
        <v>0</v>
      </c>
      <c r="T1168" s="62" t="n">
        <v>0</v>
      </c>
      <c r="U1168" s="62" t="s">
        <v>2056</v>
      </c>
      <c r="V1168" s="62" t="s">
        <v>2057</v>
      </c>
      <c r="W1168" s="62" t="s">
        <v>15</v>
      </c>
      <c r="X1168" s="62" t="s">
        <v>2058</v>
      </c>
      <c r="Y1168" s="62" t="s">
        <v>2059</v>
      </c>
      <c r="Z1168" s="62" t="s">
        <v>2274</v>
      </c>
      <c r="AA1168" s="62" t="s">
        <v>2275</v>
      </c>
      <c r="AB1168" s="62" t="n">
        <v>1</v>
      </c>
      <c r="AC1168" s="62" t="n">
        <v>0</v>
      </c>
      <c r="AD1168" s="62" t="n">
        <v>1</v>
      </c>
      <c r="AE1168" s="62" t="n">
        <f aca="false">IF(AND(Dashboard!$C$9="Yes",AC1168=1),0,1)</f>
        <v>1</v>
      </c>
      <c r="AF1168" s="62" t="n">
        <v>0</v>
      </c>
    </row>
    <row r="1169" customFormat="false" ht="15" hidden="false" customHeight="false" outlineLevel="0" collapsed="false">
      <c r="A1169" s="62" t="n">
        <v>1168</v>
      </c>
      <c r="B1169" s="63" t="n">
        <v>46264.9933217593</v>
      </c>
      <c r="C1169" s="64" t="n">
        <v>46264</v>
      </c>
      <c r="D1169" s="62" t="s">
        <v>393</v>
      </c>
      <c r="E1169" s="62" t="s">
        <v>1827</v>
      </c>
      <c r="F1169" s="62" t="s">
        <v>1827</v>
      </c>
      <c r="G1169" s="62" t="s">
        <v>1828</v>
      </c>
      <c r="H1169" s="62" t="s">
        <v>59</v>
      </c>
      <c r="I1169" s="62" t="s">
        <v>47</v>
      </c>
      <c r="J1169" s="62" t="s">
        <v>146</v>
      </c>
      <c r="K1169" s="62" t="s">
        <v>209</v>
      </c>
      <c r="L1169" s="62" t="s">
        <v>148</v>
      </c>
      <c r="M1169" s="62" t="n">
        <v>0</v>
      </c>
      <c r="N1169" s="62" t="n">
        <v>1</v>
      </c>
      <c r="O1169" s="62" t="n">
        <v>1</v>
      </c>
      <c r="P1169" s="62" t="n">
        <v>0</v>
      </c>
      <c r="Q1169" s="62" t="n">
        <v>1</v>
      </c>
      <c r="R1169" s="62" t="n">
        <v>0</v>
      </c>
      <c r="S1169" s="62" t="n">
        <v>0</v>
      </c>
      <c r="T1169" s="62" t="n">
        <v>0</v>
      </c>
      <c r="U1169" s="62"/>
      <c r="V1169" s="62"/>
      <c r="W1169" s="62"/>
      <c r="X1169" s="62"/>
      <c r="Y1169" s="62"/>
      <c r="Z1169" s="62" t="s">
        <v>2276</v>
      </c>
      <c r="AA1169" s="62" t="s">
        <v>2277</v>
      </c>
      <c r="AB1169" s="62" t="n">
        <v>1</v>
      </c>
      <c r="AC1169" s="62" t="n">
        <v>0</v>
      </c>
      <c r="AD1169" s="62" t="n">
        <v>1</v>
      </c>
      <c r="AE1169" s="62" t="n">
        <f aca="false">IF(AND(Dashboard!$C$9="Yes",AC1169=1),0,1)</f>
        <v>1</v>
      </c>
      <c r="AF1169" s="62" t="n">
        <v>1</v>
      </c>
    </row>
    <row r="1170" customFormat="false" ht="15" hidden="false" customHeight="false" outlineLevel="0" collapsed="false">
      <c r="A1170" s="62" t="n">
        <v>1169</v>
      </c>
      <c r="B1170" s="63" t="n">
        <v>46265.0143865741</v>
      </c>
      <c r="C1170" s="64" t="n">
        <v>46264</v>
      </c>
      <c r="D1170" s="62" t="s">
        <v>393</v>
      </c>
      <c r="E1170" s="62" t="s">
        <v>212</v>
      </c>
      <c r="F1170" s="62" t="s">
        <v>212</v>
      </c>
      <c r="G1170" s="62" t="s">
        <v>213</v>
      </c>
      <c r="H1170" s="62" t="s">
        <v>58</v>
      </c>
      <c r="I1170" s="62" t="s">
        <v>49</v>
      </c>
      <c r="J1170" s="62" t="s">
        <v>146</v>
      </c>
      <c r="K1170" s="62" t="s">
        <v>175</v>
      </c>
      <c r="L1170" s="62" t="s">
        <v>4</v>
      </c>
      <c r="M1170" s="62" t="n">
        <v>1</v>
      </c>
      <c r="N1170" s="62" t="n">
        <v>0</v>
      </c>
      <c r="O1170" s="62" t="n">
        <v>1</v>
      </c>
      <c r="P1170" s="62" t="n">
        <v>0</v>
      </c>
      <c r="Q1170" s="62" t="n">
        <v>0</v>
      </c>
      <c r="R1170" s="62" t="n">
        <v>0</v>
      </c>
      <c r="S1170" s="62" t="n">
        <v>0</v>
      </c>
      <c r="T1170" s="62" t="n">
        <v>0</v>
      </c>
      <c r="U1170" s="62" t="s">
        <v>2056</v>
      </c>
      <c r="V1170" s="62" t="s">
        <v>2057</v>
      </c>
      <c r="W1170" s="62" t="s">
        <v>15</v>
      </c>
      <c r="X1170" s="62" t="s">
        <v>2058</v>
      </c>
      <c r="Y1170" s="62" t="s">
        <v>2059</v>
      </c>
      <c r="Z1170" s="62" t="s">
        <v>2278</v>
      </c>
      <c r="AA1170" s="62" t="s">
        <v>2279</v>
      </c>
      <c r="AB1170" s="62" t="n">
        <v>1</v>
      </c>
      <c r="AC1170" s="62" t="n">
        <v>0</v>
      </c>
      <c r="AD1170" s="62" t="n">
        <v>1</v>
      </c>
      <c r="AE1170" s="62" t="n">
        <f aca="false">IF(AND(Dashboard!$C$9="Yes",AC1170=1),0,1)</f>
        <v>1</v>
      </c>
      <c r="AF1170" s="62" t="n">
        <v>1</v>
      </c>
    </row>
    <row r="1171" customFormat="false" ht="15" hidden="false" customHeight="false" outlineLevel="0" collapsed="false">
      <c r="A1171" s="62" t="n">
        <v>1170</v>
      </c>
      <c r="B1171" s="63" t="n">
        <v>46265.0384837963</v>
      </c>
      <c r="C1171" s="64" t="n">
        <v>46264</v>
      </c>
      <c r="D1171" s="62" t="s">
        <v>393</v>
      </c>
      <c r="E1171" s="62" t="s">
        <v>312</v>
      </c>
      <c r="F1171" s="62" t="s">
        <v>312</v>
      </c>
      <c r="G1171" s="62" t="s">
        <v>313</v>
      </c>
      <c r="H1171" s="62" t="s">
        <v>51</v>
      </c>
      <c r="I1171" s="62" t="s">
        <v>47</v>
      </c>
      <c r="J1171" s="62" t="s">
        <v>146</v>
      </c>
      <c r="K1171" s="62" t="s">
        <v>147</v>
      </c>
      <c r="L1171" s="62" t="s">
        <v>148</v>
      </c>
      <c r="M1171" s="62" t="n">
        <v>0</v>
      </c>
      <c r="N1171" s="62" t="n">
        <v>1</v>
      </c>
      <c r="O1171" s="62" t="n">
        <v>1</v>
      </c>
      <c r="P1171" s="62" t="n">
        <v>1</v>
      </c>
      <c r="Q1171" s="62" t="n">
        <v>0</v>
      </c>
      <c r="R1171" s="62" t="n">
        <v>0</v>
      </c>
      <c r="S1171" s="62" t="n">
        <v>0</v>
      </c>
      <c r="T1171" s="62" t="n">
        <v>0</v>
      </c>
      <c r="U1171" s="62"/>
      <c r="V1171" s="62"/>
      <c r="W1171" s="62"/>
      <c r="X1171" s="62"/>
      <c r="Y1171" s="62"/>
      <c r="Z1171" s="62" t="s">
        <v>2280</v>
      </c>
      <c r="AA1171" s="62" t="s">
        <v>2281</v>
      </c>
      <c r="AB1171" s="62" t="n">
        <v>1</v>
      </c>
      <c r="AC1171" s="62" t="n">
        <v>0</v>
      </c>
      <c r="AD1171" s="62" t="n">
        <v>1</v>
      </c>
      <c r="AE1171" s="62" t="n">
        <f aca="false">IF(AND(Dashboard!$C$9="Yes",AC1171=1),0,1)</f>
        <v>1</v>
      </c>
      <c r="AF1171" s="62" t="n">
        <v>1</v>
      </c>
    </row>
    <row r="1172" customFormat="false" ht="15" hidden="false" customHeight="false" outlineLevel="0" collapsed="false">
      <c r="A1172" s="62" t="n">
        <v>1171</v>
      </c>
      <c r="B1172" s="63" t="n">
        <v>46265.065775463</v>
      </c>
      <c r="C1172" s="64" t="n">
        <v>46264</v>
      </c>
      <c r="D1172" s="62" t="s">
        <v>393</v>
      </c>
      <c r="E1172" s="62" t="s">
        <v>2183</v>
      </c>
      <c r="F1172" s="62" t="s">
        <v>2183</v>
      </c>
      <c r="G1172" s="62" t="s">
        <v>2184</v>
      </c>
      <c r="H1172" s="62" t="s">
        <v>59</v>
      </c>
      <c r="I1172" s="62" t="s">
        <v>47</v>
      </c>
      <c r="J1172" s="62" t="s">
        <v>146</v>
      </c>
      <c r="K1172" s="62" t="s">
        <v>209</v>
      </c>
      <c r="L1172" s="62" t="s">
        <v>148</v>
      </c>
      <c r="M1172" s="62" t="n">
        <v>0</v>
      </c>
      <c r="N1172" s="62" t="n">
        <v>1</v>
      </c>
      <c r="O1172" s="62" t="n">
        <v>1</v>
      </c>
      <c r="P1172" s="62" t="n">
        <v>0</v>
      </c>
      <c r="Q1172" s="62" t="n">
        <v>1</v>
      </c>
      <c r="R1172" s="62" t="n">
        <v>0</v>
      </c>
      <c r="S1172" s="62" t="n">
        <v>0</v>
      </c>
      <c r="T1172" s="62" t="n">
        <v>0</v>
      </c>
      <c r="U1172" s="62"/>
      <c r="V1172" s="62"/>
      <c r="W1172" s="62"/>
      <c r="X1172" s="62"/>
      <c r="Y1172" s="62"/>
      <c r="Z1172" s="62" t="s">
        <v>2282</v>
      </c>
      <c r="AA1172" s="62" t="s">
        <v>2283</v>
      </c>
      <c r="AB1172" s="62" t="n">
        <v>1</v>
      </c>
      <c r="AC1172" s="62" t="n">
        <v>0</v>
      </c>
      <c r="AD1172" s="62" t="n">
        <v>1</v>
      </c>
      <c r="AE1172" s="62" t="n">
        <f aca="false">IF(AND(Dashboard!$C$9="Yes",AC1172=1),0,1)</f>
        <v>1</v>
      </c>
      <c r="AF1172" s="62" t="n">
        <v>1</v>
      </c>
    </row>
    <row r="1173" customFormat="false" ht="15" hidden="false" customHeight="false" outlineLevel="0" collapsed="false">
      <c r="A1173" s="62" t="n">
        <v>1172</v>
      </c>
      <c r="B1173" s="63" t="n">
        <v>46265.0776967593</v>
      </c>
      <c r="C1173" s="64" t="n">
        <v>46264</v>
      </c>
      <c r="D1173" s="62" t="s">
        <v>393</v>
      </c>
      <c r="E1173" s="62" t="s">
        <v>1172</v>
      </c>
      <c r="F1173" s="62" t="s">
        <v>1172</v>
      </c>
      <c r="G1173" s="62" t="s">
        <v>1173</v>
      </c>
      <c r="H1173" s="62" t="s">
        <v>59</v>
      </c>
      <c r="I1173" s="62" t="s">
        <v>47</v>
      </c>
      <c r="J1173" s="62" t="s">
        <v>146</v>
      </c>
      <c r="K1173" s="62" t="s">
        <v>209</v>
      </c>
      <c r="L1173" s="62" t="s">
        <v>4</v>
      </c>
      <c r="M1173" s="62" t="n">
        <v>1</v>
      </c>
      <c r="N1173" s="62" t="n">
        <v>0</v>
      </c>
      <c r="O1173" s="62" t="n">
        <v>1</v>
      </c>
      <c r="P1173" s="62" t="n">
        <v>0</v>
      </c>
      <c r="Q1173" s="62" t="n">
        <v>0</v>
      </c>
      <c r="R1173" s="62" t="n">
        <v>0</v>
      </c>
      <c r="S1173" s="62" t="n">
        <v>0</v>
      </c>
      <c r="T1173" s="62" t="n">
        <v>0</v>
      </c>
      <c r="U1173" s="62" t="s">
        <v>15</v>
      </c>
      <c r="V1173" s="62" t="s">
        <v>2057</v>
      </c>
      <c r="W1173" s="62" t="s">
        <v>15</v>
      </c>
      <c r="X1173" s="62" t="s">
        <v>2058</v>
      </c>
      <c r="Y1173" s="62" t="s">
        <v>2059</v>
      </c>
      <c r="Z1173" s="62" t="s">
        <v>2284</v>
      </c>
      <c r="AA1173" s="62" t="s">
        <v>2285</v>
      </c>
      <c r="AB1173" s="62" t="n">
        <v>1</v>
      </c>
      <c r="AC1173" s="62" t="n">
        <v>0</v>
      </c>
      <c r="AD1173" s="62" t="n">
        <v>1</v>
      </c>
      <c r="AE1173" s="62" t="n">
        <f aca="false">IF(AND(Dashboard!$C$9="Yes",AC1173=1),0,1)</f>
        <v>1</v>
      </c>
      <c r="AF1173" s="62" t="n">
        <v>1</v>
      </c>
    </row>
    <row r="1174" customFormat="false" ht="15" hidden="false" customHeight="false" outlineLevel="0" collapsed="false">
      <c r="A1174" s="62" t="n">
        <v>1173</v>
      </c>
      <c r="B1174" s="63" t="n">
        <v>46265.1032407407</v>
      </c>
      <c r="C1174" s="64" t="n">
        <v>46264</v>
      </c>
      <c r="D1174" s="62" t="s">
        <v>393</v>
      </c>
      <c r="E1174" s="62" t="s">
        <v>1539</v>
      </c>
      <c r="F1174" s="62" t="s">
        <v>1539</v>
      </c>
      <c r="G1174" s="62" t="s">
        <v>1540</v>
      </c>
      <c r="H1174" s="62" t="s">
        <v>52</v>
      </c>
      <c r="I1174" s="62" t="s">
        <v>47</v>
      </c>
      <c r="J1174" s="62" t="s">
        <v>146</v>
      </c>
      <c r="K1174" s="62" t="s">
        <v>147</v>
      </c>
      <c r="L1174" s="62" t="s">
        <v>148</v>
      </c>
      <c r="M1174" s="62" t="n">
        <v>0</v>
      </c>
      <c r="N1174" s="62" t="n">
        <v>1</v>
      </c>
      <c r="O1174" s="62" t="n">
        <v>1</v>
      </c>
      <c r="P1174" s="62" t="n">
        <v>1</v>
      </c>
      <c r="Q1174" s="62" t="n">
        <v>0</v>
      </c>
      <c r="R1174" s="62" t="n">
        <v>0</v>
      </c>
      <c r="S1174" s="62" t="n">
        <v>0</v>
      </c>
      <c r="T1174" s="62" t="n">
        <v>0</v>
      </c>
      <c r="U1174" s="62"/>
      <c r="V1174" s="62"/>
      <c r="W1174" s="62"/>
      <c r="X1174" s="62"/>
      <c r="Y1174" s="62"/>
      <c r="Z1174" s="62" t="s">
        <v>2286</v>
      </c>
      <c r="AA1174" s="62" t="s">
        <v>2287</v>
      </c>
      <c r="AB1174" s="62" t="n">
        <v>1</v>
      </c>
      <c r="AC1174" s="62" t="n">
        <v>0</v>
      </c>
      <c r="AD1174" s="62" t="n">
        <v>1</v>
      </c>
      <c r="AE1174" s="62" t="n">
        <f aca="false">IF(AND(Dashboard!$C$9="Yes",AC1174=1),0,1)</f>
        <v>1</v>
      </c>
      <c r="AF1174" s="62" t="n">
        <v>1</v>
      </c>
    </row>
    <row r="1175" customFormat="false" ht="15" hidden="false" customHeight="false" outlineLevel="0" collapsed="false">
      <c r="A1175" s="62" t="n">
        <v>1174</v>
      </c>
      <c r="B1175" s="63" t="n">
        <v>46265.105150463</v>
      </c>
      <c r="C1175" s="64" t="n">
        <v>46264</v>
      </c>
      <c r="D1175" s="62" t="s">
        <v>393</v>
      </c>
      <c r="E1175" s="62" t="s">
        <v>518</v>
      </c>
      <c r="F1175" s="62" t="s">
        <v>518</v>
      </c>
      <c r="G1175" s="62" t="s">
        <v>519</v>
      </c>
      <c r="H1175" s="62" t="s">
        <v>52</v>
      </c>
      <c r="I1175" s="62" t="s">
        <v>47</v>
      </c>
      <c r="J1175" s="62" t="s">
        <v>146</v>
      </c>
      <c r="K1175" s="62" t="s">
        <v>147</v>
      </c>
      <c r="L1175" s="62" t="s">
        <v>148</v>
      </c>
      <c r="M1175" s="62" t="n">
        <v>0</v>
      </c>
      <c r="N1175" s="62" t="n">
        <v>1</v>
      </c>
      <c r="O1175" s="62" t="n">
        <v>1</v>
      </c>
      <c r="P1175" s="62" t="n">
        <v>0</v>
      </c>
      <c r="Q1175" s="62" t="n">
        <v>1</v>
      </c>
      <c r="R1175" s="62" t="n">
        <v>0</v>
      </c>
      <c r="S1175" s="62" t="n">
        <v>0</v>
      </c>
      <c r="T1175" s="62" t="n">
        <v>0</v>
      </c>
      <c r="U1175" s="62"/>
      <c r="V1175" s="62"/>
      <c r="W1175" s="62"/>
      <c r="X1175" s="62"/>
      <c r="Y1175" s="62"/>
      <c r="Z1175" s="62" t="s">
        <v>2288</v>
      </c>
      <c r="AA1175" s="62" t="s">
        <v>2289</v>
      </c>
      <c r="AB1175" s="62" t="n">
        <v>1</v>
      </c>
      <c r="AC1175" s="62" t="n">
        <v>0</v>
      </c>
      <c r="AD1175" s="62" t="n">
        <v>1</v>
      </c>
      <c r="AE1175" s="62" t="n">
        <f aca="false">IF(AND(Dashboard!$C$9="Yes",AC1175=1),0,1)</f>
        <v>1</v>
      </c>
      <c r="AF1175" s="62" t="n">
        <v>1</v>
      </c>
    </row>
    <row r="1176" customFormat="false" ht="15" hidden="false" customHeight="false" outlineLevel="0" collapsed="false">
      <c r="A1176" s="62" t="n">
        <v>1175</v>
      </c>
      <c r="B1176" s="63" t="n">
        <v>46265.1156712963</v>
      </c>
      <c r="C1176" s="64" t="n">
        <v>46264</v>
      </c>
      <c r="D1176" s="62" t="s">
        <v>393</v>
      </c>
      <c r="E1176" s="62" t="s">
        <v>790</v>
      </c>
      <c r="F1176" s="62" t="s">
        <v>791</v>
      </c>
      <c r="G1176" s="62" t="s">
        <v>153</v>
      </c>
      <c r="H1176" s="62" t="s">
        <v>153</v>
      </c>
      <c r="I1176" s="62" t="s">
        <v>153</v>
      </c>
      <c r="J1176" s="62" t="s">
        <v>64</v>
      </c>
      <c r="K1176" s="62" t="s">
        <v>64</v>
      </c>
      <c r="L1176" s="62" t="s">
        <v>148</v>
      </c>
      <c r="M1176" s="62" t="n">
        <v>0</v>
      </c>
      <c r="N1176" s="62" t="n">
        <v>1</v>
      </c>
      <c r="O1176" s="62" t="n">
        <v>1</v>
      </c>
      <c r="P1176" s="62" t="n">
        <v>1</v>
      </c>
      <c r="Q1176" s="62" t="n">
        <v>0</v>
      </c>
      <c r="R1176" s="62" t="n">
        <v>0</v>
      </c>
      <c r="S1176" s="62" t="n">
        <v>0</v>
      </c>
      <c r="T1176" s="62" t="n">
        <v>0</v>
      </c>
      <c r="U1176" s="62"/>
      <c r="V1176" s="62"/>
      <c r="W1176" s="62"/>
      <c r="X1176" s="62"/>
      <c r="Y1176" s="62"/>
      <c r="Z1176" s="62" t="s">
        <v>2290</v>
      </c>
      <c r="AA1176" s="62" t="s">
        <v>2291</v>
      </c>
      <c r="AB1176" s="62" t="n">
        <v>1</v>
      </c>
      <c r="AC1176" s="62" t="n">
        <v>0</v>
      </c>
      <c r="AD1176" s="62" t="n">
        <v>0</v>
      </c>
      <c r="AE1176" s="62" t="n">
        <f aca="false">IF(AND(Dashboard!$C$9="Yes",AC1176=1),0,1)</f>
        <v>1</v>
      </c>
      <c r="AF1176" s="62" t="n">
        <v>1</v>
      </c>
    </row>
    <row r="1177" customFormat="false" ht="15" hidden="false" customHeight="false" outlineLevel="0" collapsed="false">
      <c r="A1177" s="62" t="n">
        <v>1176</v>
      </c>
      <c r="B1177" s="63" t="n">
        <v>46265.1163888889</v>
      </c>
      <c r="C1177" s="64" t="n">
        <v>46264</v>
      </c>
      <c r="D1177" s="62" t="s">
        <v>393</v>
      </c>
      <c r="E1177" s="62" t="s">
        <v>1172</v>
      </c>
      <c r="F1177" s="62" t="s">
        <v>1172</v>
      </c>
      <c r="G1177" s="62" t="s">
        <v>1173</v>
      </c>
      <c r="H1177" s="62" t="s">
        <v>59</v>
      </c>
      <c r="I1177" s="62" t="s">
        <v>47</v>
      </c>
      <c r="J1177" s="62" t="s">
        <v>146</v>
      </c>
      <c r="K1177" s="62" t="s">
        <v>209</v>
      </c>
      <c r="L1177" s="62" t="s">
        <v>4</v>
      </c>
      <c r="M1177" s="62" t="n">
        <v>1</v>
      </c>
      <c r="N1177" s="62" t="n">
        <v>0</v>
      </c>
      <c r="O1177" s="62" t="n">
        <v>1</v>
      </c>
      <c r="P1177" s="62" t="n">
        <v>0</v>
      </c>
      <c r="Q1177" s="62" t="n">
        <v>0</v>
      </c>
      <c r="R1177" s="62" t="n">
        <v>0</v>
      </c>
      <c r="S1177" s="62" t="n">
        <v>0</v>
      </c>
      <c r="T1177" s="62" t="n">
        <v>0</v>
      </c>
      <c r="U1177" s="62" t="s">
        <v>15</v>
      </c>
      <c r="V1177" s="62" t="s">
        <v>2057</v>
      </c>
      <c r="W1177" s="62" t="s">
        <v>15</v>
      </c>
      <c r="X1177" s="62" t="s">
        <v>2058</v>
      </c>
      <c r="Y1177" s="62" t="s">
        <v>2059</v>
      </c>
      <c r="Z1177" s="62" t="s">
        <v>2292</v>
      </c>
      <c r="AA1177" s="62" t="s">
        <v>2285</v>
      </c>
      <c r="AB1177" s="62" t="n">
        <v>1</v>
      </c>
      <c r="AC1177" s="62" t="n">
        <v>0</v>
      </c>
      <c r="AD1177" s="62" t="n">
        <v>1</v>
      </c>
      <c r="AE1177" s="62" t="n">
        <f aca="false">IF(AND(Dashboard!$C$9="Yes",AC1177=1),0,1)</f>
        <v>1</v>
      </c>
      <c r="AF1177" s="62" t="n">
        <v>0</v>
      </c>
    </row>
    <row r="1178" customFormat="false" ht="15" hidden="false" customHeight="false" outlineLevel="0" collapsed="false">
      <c r="A1178" s="62" t="n">
        <v>1177</v>
      </c>
      <c r="B1178" s="63" t="n">
        <v>46265.1177083333</v>
      </c>
      <c r="C1178" s="64" t="n">
        <v>46264</v>
      </c>
      <c r="D1178" s="62" t="s">
        <v>393</v>
      </c>
      <c r="E1178" s="62" t="s">
        <v>207</v>
      </c>
      <c r="F1178" s="62" t="s">
        <v>207</v>
      </c>
      <c r="G1178" s="62" t="s">
        <v>208</v>
      </c>
      <c r="H1178" s="62" t="s">
        <v>48</v>
      </c>
      <c r="I1178" s="62" t="s">
        <v>49</v>
      </c>
      <c r="J1178" s="62" t="s">
        <v>146</v>
      </c>
      <c r="K1178" s="62" t="s">
        <v>209</v>
      </c>
      <c r="L1178" s="62" t="s">
        <v>148</v>
      </c>
      <c r="M1178" s="62" t="n">
        <v>0</v>
      </c>
      <c r="N1178" s="62" t="n">
        <v>1</v>
      </c>
      <c r="O1178" s="62" t="n">
        <v>1</v>
      </c>
      <c r="P1178" s="62" t="n">
        <v>1</v>
      </c>
      <c r="Q1178" s="62" t="n">
        <v>0</v>
      </c>
      <c r="R1178" s="62" t="n">
        <v>0</v>
      </c>
      <c r="S1178" s="62" t="n">
        <v>0</v>
      </c>
      <c r="T1178" s="62" t="n">
        <v>0</v>
      </c>
      <c r="U1178" s="62"/>
      <c r="V1178" s="62"/>
      <c r="W1178" s="62"/>
      <c r="X1178" s="62"/>
      <c r="Y1178" s="62"/>
      <c r="Z1178" s="62" t="s">
        <v>2293</v>
      </c>
      <c r="AA1178" s="62" t="s">
        <v>2294</v>
      </c>
      <c r="AB1178" s="62" t="n">
        <v>1</v>
      </c>
      <c r="AC1178" s="62" t="n">
        <v>0</v>
      </c>
      <c r="AD1178" s="62" t="n">
        <v>1</v>
      </c>
      <c r="AE1178" s="62" t="n">
        <f aca="false">IF(AND(Dashboard!$C$9="Yes",AC1178=1),0,1)</f>
        <v>1</v>
      </c>
      <c r="AF1178" s="62" t="n">
        <v>1</v>
      </c>
    </row>
    <row r="1179" customFormat="false" ht="15" hidden="false" customHeight="false" outlineLevel="0" collapsed="false">
      <c r="A1179" s="62" t="n">
        <v>1178</v>
      </c>
      <c r="B1179" s="63" t="n">
        <v>46265.1532638889</v>
      </c>
      <c r="C1179" s="64" t="n">
        <v>46264</v>
      </c>
      <c r="D1179" s="62" t="s">
        <v>393</v>
      </c>
      <c r="E1179" s="62" t="s">
        <v>239</v>
      </c>
      <c r="F1179" s="62" t="s">
        <v>240</v>
      </c>
      <c r="G1179" s="62" t="s">
        <v>153</v>
      </c>
      <c r="H1179" s="62" t="s">
        <v>153</v>
      </c>
      <c r="I1179" s="62" t="s">
        <v>153</v>
      </c>
      <c r="J1179" s="62" t="s">
        <v>64</v>
      </c>
      <c r="K1179" s="62" t="s">
        <v>64</v>
      </c>
      <c r="L1179" s="62" t="s">
        <v>148</v>
      </c>
      <c r="M1179" s="62" t="n">
        <v>0</v>
      </c>
      <c r="N1179" s="62" t="n">
        <v>2</v>
      </c>
      <c r="O1179" s="62" t="n">
        <v>2</v>
      </c>
      <c r="P1179" s="62" t="n">
        <v>1</v>
      </c>
      <c r="Q1179" s="62" t="n">
        <v>1</v>
      </c>
      <c r="R1179" s="62" t="n">
        <v>0</v>
      </c>
      <c r="S1179" s="62" t="n">
        <v>0</v>
      </c>
      <c r="T1179" s="62" t="n">
        <v>0</v>
      </c>
      <c r="U1179" s="62"/>
      <c r="V1179" s="62"/>
      <c r="W1179" s="62"/>
      <c r="X1179" s="62"/>
      <c r="Y1179" s="62"/>
      <c r="Z1179" s="62" t="s">
        <v>2295</v>
      </c>
      <c r="AA1179" s="62" t="s">
        <v>2296</v>
      </c>
      <c r="AB1179" s="62" t="n">
        <v>1</v>
      </c>
      <c r="AC1179" s="62" t="n">
        <v>0</v>
      </c>
      <c r="AD1179" s="62" t="n">
        <v>0</v>
      </c>
      <c r="AE1179" s="62" t="n">
        <f aca="false">IF(AND(Dashboard!$C$9="Yes",AC1179=1),0,1)</f>
        <v>1</v>
      </c>
      <c r="AF1179" s="62" t="n">
        <v>1</v>
      </c>
    </row>
    <row r="1180" customFormat="false" ht="15" hidden="false" customHeight="false" outlineLevel="0" collapsed="false">
      <c r="A1180" s="62" t="n">
        <v>1179</v>
      </c>
      <c r="B1180" s="63" t="n">
        <v>46265.1535416667</v>
      </c>
      <c r="C1180" s="64" t="n">
        <v>46264</v>
      </c>
      <c r="D1180" s="62" t="s">
        <v>393</v>
      </c>
      <c r="E1180" s="62" t="s">
        <v>239</v>
      </c>
      <c r="F1180" s="62" t="s">
        <v>240</v>
      </c>
      <c r="G1180" s="62" t="s">
        <v>153</v>
      </c>
      <c r="H1180" s="62" t="s">
        <v>153</v>
      </c>
      <c r="I1180" s="62" t="s">
        <v>153</v>
      </c>
      <c r="J1180" s="62" t="s">
        <v>64</v>
      </c>
      <c r="K1180" s="62" t="s">
        <v>64</v>
      </c>
      <c r="L1180" s="62" t="s">
        <v>148</v>
      </c>
      <c r="M1180" s="62" t="n">
        <v>0</v>
      </c>
      <c r="N1180" s="62" t="n">
        <v>2</v>
      </c>
      <c r="O1180" s="62" t="n">
        <v>2</v>
      </c>
      <c r="P1180" s="62" t="n">
        <v>1</v>
      </c>
      <c r="Q1180" s="62" t="n">
        <v>1</v>
      </c>
      <c r="R1180" s="62" t="n">
        <v>0</v>
      </c>
      <c r="S1180" s="62" t="n">
        <v>0</v>
      </c>
      <c r="T1180" s="62" t="n">
        <v>0</v>
      </c>
      <c r="U1180" s="62"/>
      <c r="V1180" s="62"/>
      <c r="W1180" s="62"/>
      <c r="X1180" s="62"/>
      <c r="Y1180" s="62"/>
      <c r="Z1180" s="62" t="s">
        <v>2295</v>
      </c>
      <c r="AA1180" s="62" t="s">
        <v>2296</v>
      </c>
      <c r="AB1180" s="62" t="n">
        <v>1</v>
      </c>
      <c r="AC1180" s="62" t="n">
        <v>1</v>
      </c>
      <c r="AD1180" s="62" t="n">
        <v>0</v>
      </c>
      <c r="AE1180" s="62" t="n">
        <f aca="false">IF(AND(Dashboard!$C$9="Yes",AC1180=1),0,1)</f>
        <v>0</v>
      </c>
      <c r="AF1180" s="62" t="n">
        <v>0</v>
      </c>
    </row>
    <row r="1181" customFormat="false" ht="15" hidden="false" customHeight="false" outlineLevel="0" collapsed="false">
      <c r="A1181" s="62" t="n">
        <v>1180</v>
      </c>
      <c r="B1181" s="63" t="n">
        <v>46265.1537962963</v>
      </c>
      <c r="C1181" s="64" t="n">
        <v>46264</v>
      </c>
      <c r="D1181" s="62" t="s">
        <v>393</v>
      </c>
      <c r="E1181" s="62" t="s">
        <v>239</v>
      </c>
      <c r="F1181" s="62" t="s">
        <v>240</v>
      </c>
      <c r="G1181" s="62" t="s">
        <v>153</v>
      </c>
      <c r="H1181" s="62" t="s">
        <v>153</v>
      </c>
      <c r="I1181" s="62" t="s">
        <v>153</v>
      </c>
      <c r="J1181" s="62" t="s">
        <v>64</v>
      </c>
      <c r="K1181" s="62" t="s">
        <v>64</v>
      </c>
      <c r="L1181" s="62" t="s">
        <v>148</v>
      </c>
      <c r="M1181" s="62" t="n">
        <v>0</v>
      </c>
      <c r="N1181" s="62" t="n">
        <v>2</v>
      </c>
      <c r="O1181" s="62" t="n">
        <v>2</v>
      </c>
      <c r="P1181" s="62" t="n">
        <v>1</v>
      </c>
      <c r="Q1181" s="62" t="n">
        <v>1</v>
      </c>
      <c r="R1181" s="62" t="n">
        <v>0</v>
      </c>
      <c r="S1181" s="62" t="n">
        <v>0</v>
      </c>
      <c r="T1181" s="62" t="n">
        <v>0</v>
      </c>
      <c r="U1181" s="62"/>
      <c r="V1181" s="62"/>
      <c r="W1181" s="62"/>
      <c r="X1181" s="62"/>
      <c r="Y1181" s="62"/>
      <c r="Z1181" s="62" t="s">
        <v>2295</v>
      </c>
      <c r="AA1181" s="62" t="s">
        <v>2296</v>
      </c>
      <c r="AB1181" s="62" t="n">
        <v>1</v>
      </c>
      <c r="AC1181" s="62" t="n">
        <v>1</v>
      </c>
      <c r="AD1181" s="62" t="n">
        <v>0</v>
      </c>
      <c r="AE1181" s="62" t="n">
        <f aca="false">IF(AND(Dashboard!$C$9="Yes",AC1181=1),0,1)</f>
        <v>0</v>
      </c>
      <c r="AF1181" s="62" t="n">
        <v>0</v>
      </c>
    </row>
    <row r="1182" customFormat="false" ht="15" hidden="false" customHeight="false" outlineLevel="0" collapsed="false">
      <c r="A1182" s="62" t="n">
        <v>1181</v>
      </c>
      <c r="B1182" s="63" t="n">
        <v>46265.1578472222</v>
      </c>
      <c r="C1182" s="64" t="n">
        <v>46264</v>
      </c>
      <c r="D1182" s="62" t="s">
        <v>393</v>
      </c>
      <c r="E1182" s="62" t="s">
        <v>1749</v>
      </c>
      <c r="F1182" s="62" t="s">
        <v>1749</v>
      </c>
      <c r="G1182" s="62" t="s">
        <v>1750</v>
      </c>
      <c r="H1182" s="62" t="s">
        <v>57</v>
      </c>
      <c r="I1182" s="62" t="s">
        <v>47</v>
      </c>
      <c r="J1182" s="62" t="s">
        <v>146</v>
      </c>
      <c r="K1182" s="62" t="s">
        <v>209</v>
      </c>
      <c r="L1182" s="62" t="s">
        <v>148</v>
      </c>
      <c r="M1182" s="62" t="n">
        <v>0</v>
      </c>
      <c r="N1182" s="62" t="n">
        <v>1</v>
      </c>
      <c r="O1182" s="62" t="n">
        <v>1</v>
      </c>
      <c r="P1182" s="62" t="n">
        <v>0</v>
      </c>
      <c r="Q1182" s="62" t="n">
        <v>0</v>
      </c>
      <c r="R1182" s="62" t="n">
        <v>1</v>
      </c>
      <c r="S1182" s="62" t="n">
        <v>0</v>
      </c>
      <c r="T1182" s="62" t="n">
        <v>0</v>
      </c>
      <c r="U1182" s="62"/>
      <c r="V1182" s="62"/>
      <c r="W1182" s="62"/>
      <c r="X1182" s="62"/>
      <c r="Y1182" s="62"/>
      <c r="Z1182" s="62" t="s">
        <v>2297</v>
      </c>
      <c r="AA1182" s="62" t="s">
        <v>2298</v>
      </c>
      <c r="AB1182" s="62" t="n">
        <v>1</v>
      </c>
      <c r="AC1182" s="62" t="n">
        <v>0</v>
      </c>
      <c r="AD1182" s="62" t="n">
        <v>1</v>
      </c>
      <c r="AE1182" s="62" t="n">
        <f aca="false">IF(AND(Dashboard!$C$9="Yes",AC1182=1),0,1)</f>
        <v>1</v>
      </c>
      <c r="AF1182" s="62" t="n">
        <v>1</v>
      </c>
    </row>
    <row r="1183" customFormat="false" ht="15" hidden="false" customHeight="false" outlineLevel="0" collapsed="false">
      <c r="A1183" s="62" t="n">
        <v>1182</v>
      </c>
      <c r="B1183" s="63" t="n">
        <v>46265.2028703704</v>
      </c>
      <c r="C1183" s="64" t="n">
        <v>46264</v>
      </c>
      <c r="D1183" s="62" t="s">
        <v>393</v>
      </c>
      <c r="E1183" s="62" t="s">
        <v>180</v>
      </c>
      <c r="F1183" s="62" t="s">
        <v>180</v>
      </c>
      <c r="G1183" s="62" t="s">
        <v>181</v>
      </c>
      <c r="H1183" s="62" t="s">
        <v>58</v>
      </c>
      <c r="I1183" s="62" t="s">
        <v>49</v>
      </c>
      <c r="J1183" s="62" t="s">
        <v>146</v>
      </c>
      <c r="K1183" s="62" t="s">
        <v>175</v>
      </c>
      <c r="L1183" s="62" t="s">
        <v>148</v>
      </c>
      <c r="M1183" s="62" t="n">
        <v>0</v>
      </c>
      <c r="N1183" s="62" t="n">
        <v>2</v>
      </c>
      <c r="O1183" s="62" t="n">
        <v>2</v>
      </c>
      <c r="P1183" s="62" t="n">
        <v>1</v>
      </c>
      <c r="Q1183" s="62" t="n">
        <v>1</v>
      </c>
      <c r="R1183" s="62" t="n">
        <v>0</v>
      </c>
      <c r="S1183" s="62" t="n">
        <v>0</v>
      </c>
      <c r="T1183" s="62" t="n">
        <v>0</v>
      </c>
      <c r="U1183" s="62"/>
      <c r="V1183" s="62"/>
      <c r="W1183" s="62"/>
      <c r="X1183" s="62"/>
      <c r="Y1183" s="62"/>
      <c r="Z1183" s="62" t="s">
        <v>2299</v>
      </c>
      <c r="AA1183" s="62" t="s">
        <v>2299</v>
      </c>
      <c r="AB1183" s="62" t="n">
        <v>1</v>
      </c>
      <c r="AC1183" s="62" t="n">
        <v>0</v>
      </c>
      <c r="AD1183" s="62" t="n">
        <v>1</v>
      </c>
      <c r="AE1183" s="62" t="n">
        <f aca="false">IF(AND(Dashboard!$C$9="Yes",AC1183=1),0,1)</f>
        <v>1</v>
      </c>
      <c r="AF1183" s="62" t="n">
        <v>1</v>
      </c>
    </row>
    <row r="1184" customFormat="false" ht="15" hidden="false" customHeight="false" outlineLevel="0" collapsed="false">
      <c r="A1184" s="62" t="n">
        <v>1183</v>
      </c>
      <c r="B1184" s="63" t="n">
        <v>46265.2354050926</v>
      </c>
      <c r="C1184" s="64" t="n">
        <v>46264</v>
      </c>
      <c r="D1184" s="62" t="s">
        <v>393</v>
      </c>
      <c r="E1184" s="62" t="s">
        <v>1224</v>
      </c>
      <c r="F1184" s="62" t="s">
        <v>1225</v>
      </c>
      <c r="G1184" s="62" t="s">
        <v>153</v>
      </c>
      <c r="H1184" s="62" t="s">
        <v>153</v>
      </c>
      <c r="I1184" s="62" t="s">
        <v>153</v>
      </c>
      <c r="J1184" s="62" t="s">
        <v>64</v>
      </c>
      <c r="K1184" s="62" t="s">
        <v>64</v>
      </c>
      <c r="L1184" s="62" t="s">
        <v>148</v>
      </c>
      <c r="M1184" s="62" t="n">
        <v>0</v>
      </c>
      <c r="N1184" s="62" t="n">
        <v>1</v>
      </c>
      <c r="O1184" s="62" t="n">
        <v>1</v>
      </c>
      <c r="P1184" s="62" t="n">
        <v>0</v>
      </c>
      <c r="Q1184" s="62" t="n">
        <v>0</v>
      </c>
      <c r="R1184" s="62" t="n">
        <v>1</v>
      </c>
      <c r="S1184" s="62" t="n">
        <v>0</v>
      </c>
      <c r="T1184" s="62" t="n">
        <v>0</v>
      </c>
      <c r="U1184" s="62"/>
      <c r="V1184" s="62"/>
      <c r="W1184" s="62"/>
      <c r="X1184" s="62"/>
      <c r="Y1184" s="62"/>
      <c r="Z1184" s="62" t="s">
        <v>2300</v>
      </c>
      <c r="AA1184" s="62" t="s">
        <v>2301</v>
      </c>
      <c r="AB1184" s="62" t="n">
        <v>1</v>
      </c>
      <c r="AC1184" s="62" t="n">
        <v>0</v>
      </c>
      <c r="AD1184" s="62" t="n">
        <v>0</v>
      </c>
      <c r="AE1184" s="62" t="n">
        <f aca="false">IF(AND(Dashboard!$C$9="Yes",AC1184=1),0,1)</f>
        <v>1</v>
      </c>
      <c r="AF1184" s="62" t="n">
        <v>1</v>
      </c>
    </row>
    <row r="1185" customFormat="false" ht="15" hidden="false" customHeight="false" outlineLevel="0" collapsed="false">
      <c r="A1185" s="62" t="n">
        <v>1184</v>
      </c>
      <c r="B1185" s="63" t="n">
        <v>46265.5930902778</v>
      </c>
      <c r="C1185" s="64" t="n">
        <v>46265</v>
      </c>
      <c r="D1185" s="62" t="s">
        <v>429</v>
      </c>
      <c r="E1185" s="62" t="s">
        <v>2156</v>
      </c>
      <c r="F1185" s="62" t="s">
        <v>2156</v>
      </c>
      <c r="G1185" s="62" t="s">
        <v>2157</v>
      </c>
      <c r="H1185" s="62" t="s">
        <v>52</v>
      </c>
      <c r="I1185" s="62" t="s">
        <v>47</v>
      </c>
      <c r="J1185" s="62" t="s">
        <v>146</v>
      </c>
      <c r="K1185" s="62" t="s">
        <v>209</v>
      </c>
      <c r="L1185" s="62" t="s">
        <v>148</v>
      </c>
      <c r="M1185" s="62" t="n">
        <v>0</v>
      </c>
      <c r="N1185" s="62" t="n">
        <v>1</v>
      </c>
      <c r="O1185" s="62" t="n">
        <v>1</v>
      </c>
      <c r="P1185" s="62" t="n">
        <v>1</v>
      </c>
      <c r="Q1185" s="62" t="n">
        <v>0</v>
      </c>
      <c r="R1185" s="62" t="n">
        <v>0</v>
      </c>
      <c r="S1185" s="62" t="n">
        <v>0</v>
      </c>
      <c r="T1185" s="62" t="n">
        <v>0</v>
      </c>
      <c r="U1185" s="62"/>
      <c r="V1185" s="62"/>
      <c r="W1185" s="62"/>
      <c r="X1185" s="62"/>
      <c r="Y1185" s="62"/>
      <c r="Z1185" s="62" t="s">
        <v>2302</v>
      </c>
      <c r="AA1185" s="62" t="s">
        <v>2303</v>
      </c>
      <c r="AB1185" s="62" t="n">
        <v>1</v>
      </c>
      <c r="AC1185" s="62" t="n">
        <v>0</v>
      </c>
      <c r="AD1185" s="62" t="n">
        <v>1</v>
      </c>
      <c r="AE1185" s="62" t="n">
        <f aca="false">IF(AND(Dashboard!$C$9="Yes",AC1185=1),0,1)</f>
        <v>1</v>
      </c>
      <c r="AF1185" s="62" t="n">
        <v>1</v>
      </c>
    </row>
    <row r="1186" customFormat="false" ht="15" hidden="false" customHeight="false" outlineLevel="0" collapsed="false">
      <c r="A1186" s="62" t="n">
        <v>1185</v>
      </c>
      <c r="B1186" s="63" t="n">
        <v>46265.6070023148</v>
      </c>
      <c r="C1186" s="64" t="n">
        <v>46265</v>
      </c>
      <c r="D1186" s="62" t="s">
        <v>429</v>
      </c>
      <c r="E1186" s="62" t="s">
        <v>650</v>
      </c>
      <c r="F1186" s="62" t="s">
        <v>650</v>
      </c>
      <c r="G1186" s="62" t="s">
        <v>651</v>
      </c>
      <c r="H1186" s="62" t="s">
        <v>59</v>
      </c>
      <c r="I1186" s="62" t="s">
        <v>47</v>
      </c>
      <c r="J1186" s="62" t="s">
        <v>146</v>
      </c>
      <c r="K1186" s="62" t="s">
        <v>209</v>
      </c>
      <c r="L1186" s="62" t="s">
        <v>148</v>
      </c>
      <c r="M1186" s="62" t="n">
        <v>0</v>
      </c>
      <c r="N1186" s="62" t="n">
        <v>1</v>
      </c>
      <c r="O1186" s="62" t="n">
        <v>1</v>
      </c>
      <c r="P1186" s="62" t="n">
        <v>0</v>
      </c>
      <c r="Q1186" s="62" t="n">
        <v>1</v>
      </c>
      <c r="R1186" s="62" t="n">
        <v>0</v>
      </c>
      <c r="S1186" s="62" t="n">
        <v>0</v>
      </c>
      <c r="T1186" s="62" t="n">
        <v>0</v>
      </c>
      <c r="U1186" s="62"/>
      <c r="V1186" s="62"/>
      <c r="W1186" s="62"/>
      <c r="X1186" s="62"/>
      <c r="Y1186" s="62"/>
      <c r="Z1186" s="62" t="s">
        <v>2304</v>
      </c>
      <c r="AA1186" s="62" t="s">
        <v>2305</v>
      </c>
      <c r="AB1186" s="62" t="n">
        <v>1</v>
      </c>
      <c r="AC1186" s="62" t="n">
        <v>0</v>
      </c>
      <c r="AD1186" s="62" t="n">
        <v>1</v>
      </c>
      <c r="AE1186" s="62" t="n">
        <f aca="false">IF(AND(Dashboard!$C$9="Yes",AC1186=1),0,1)</f>
        <v>1</v>
      </c>
      <c r="AF1186" s="62" t="n">
        <v>1</v>
      </c>
    </row>
    <row r="1187" customFormat="false" ht="15" hidden="false" customHeight="false" outlineLevel="0" collapsed="false">
      <c r="A1187" s="62" t="n">
        <v>1186</v>
      </c>
      <c r="B1187" s="63" t="n">
        <v>46265.7545949074</v>
      </c>
      <c r="C1187" s="64" t="n">
        <v>46265</v>
      </c>
      <c r="D1187" s="62" t="s">
        <v>429</v>
      </c>
      <c r="E1187" s="62" t="s">
        <v>212</v>
      </c>
      <c r="F1187" s="62" t="s">
        <v>212</v>
      </c>
      <c r="G1187" s="62" t="s">
        <v>213</v>
      </c>
      <c r="H1187" s="62" t="s">
        <v>58</v>
      </c>
      <c r="I1187" s="62" t="s">
        <v>49</v>
      </c>
      <c r="J1187" s="62" t="s">
        <v>146</v>
      </c>
      <c r="K1187" s="62" t="s">
        <v>175</v>
      </c>
      <c r="L1187" s="62" t="s">
        <v>148</v>
      </c>
      <c r="M1187" s="62" t="n">
        <v>0</v>
      </c>
      <c r="N1187" s="62" t="n">
        <v>2</v>
      </c>
      <c r="O1187" s="62" t="n">
        <v>2</v>
      </c>
      <c r="P1187" s="62" t="n">
        <v>1</v>
      </c>
      <c r="Q1187" s="62" t="n">
        <v>1</v>
      </c>
      <c r="R1187" s="62" t="n">
        <v>0</v>
      </c>
      <c r="S1187" s="62" t="n">
        <v>0</v>
      </c>
      <c r="T1187" s="62" t="n">
        <v>0</v>
      </c>
      <c r="U1187" s="62"/>
      <c r="V1187" s="62"/>
      <c r="W1187" s="62"/>
      <c r="X1187" s="62"/>
      <c r="Y1187" s="62"/>
      <c r="Z1187" s="62" t="s">
        <v>2306</v>
      </c>
      <c r="AA1187" s="62" t="s">
        <v>2307</v>
      </c>
      <c r="AB1187" s="62" t="n">
        <v>1</v>
      </c>
      <c r="AC1187" s="62" t="n">
        <v>0</v>
      </c>
      <c r="AD1187" s="62" t="n">
        <v>1</v>
      </c>
      <c r="AE1187" s="62" t="n">
        <f aca="false">IF(AND(Dashboard!$C$9="Yes",AC1187=1),0,1)</f>
        <v>1</v>
      </c>
      <c r="AF1187" s="62" t="n">
        <v>1</v>
      </c>
    </row>
    <row r="1188" customFormat="false" ht="15" hidden="false" customHeight="false" outlineLevel="0" collapsed="false">
      <c r="A1188" s="62" t="n">
        <v>1187</v>
      </c>
      <c r="B1188" s="63" t="n">
        <v>46265.8149305556</v>
      </c>
      <c r="C1188" s="64" t="n">
        <v>46265</v>
      </c>
      <c r="D1188" s="62" t="s">
        <v>429</v>
      </c>
      <c r="E1188" s="62" t="s">
        <v>160</v>
      </c>
      <c r="F1188" s="62" t="s">
        <v>160</v>
      </c>
      <c r="G1188" s="62" t="s">
        <v>161</v>
      </c>
      <c r="H1188" s="62" t="s">
        <v>51</v>
      </c>
      <c r="I1188" s="62" t="s">
        <v>47</v>
      </c>
      <c r="J1188" s="62" t="s">
        <v>146</v>
      </c>
      <c r="K1188" s="62" t="s">
        <v>147</v>
      </c>
      <c r="L1188" s="62" t="s">
        <v>148</v>
      </c>
      <c r="M1188" s="62" t="n">
        <v>0</v>
      </c>
      <c r="N1188" s="62" t="n">
        <v>1</v>
      </c>
      <c r="O1188" s="62" t="n">
        <v>1</v>
      </c>
      <c r="P1188" s="62" t="n">
        <v>0</v>
      </c>
      <c r="Q1188" s="62" t="n">
        <v>1</v>
      </c>
      <c r="R1188" s="62" t="n">
        <v>0</v>
      </c>
      <c r="S1188" s="62" t="n">
        <v>0</v>
      </c>
      <c r="T1188" s="62" t="n">
        <v>0</v>
      </c>
      <c r="U1188" s="62"/>
      <c r="V1188" s="62"/>
      <c r="W1188" s="62"/>
      <c r="X1188" s="62"/>
      <c r="Y1188" s="62"/>
      <c r="Z1188" s="62" t="s">
        <v>2308</v>
      </c>
      <c r="AA1188" s="62" t="s">
        <v>2309</v>
      </c>
      <c r="AB1188" s="62" t="n">
        <v>1</v>
      </c>
      <c r="AC1188" s="62" t="n">
        <v>0</v>
      </c>
      <c r="AD1188" s="62" t="n">
        <v>1</v>
      </c>
      <c r="AE1188" s="62" t="n">
        <f aca="false">IF(AND(Dashboard!$C$9="Yes",AC1188=1),0,1)</f>
        <v>1</v>
      </c>
      <c r="AF1188" s="62" t="n">
        <v>1</v>
      </c>
    </row>
    <row r="1189" customFormat="false" ht="15" hidden="false" customHeight="false" outlineLevel="0" collapsed="false">
      <c r="A1189" s="62" t="n">
        <v>1188</v>
      </c>
      <c r="B1189" s="63" t="n">
        <v>46265.8238888889</v>
      </c>
      <c r="C1189" s="64" t="n">
        <v>46265</v>
      </c>
      <c r="D1189" s="62" t="s">
        <v>429</v>
      </c>
      <c r="E1189" s="62" t="s">
        <v>164</v>
      </c>
      <c r="F1189" s="62" t="s">
        <v>164</v>
      </c>
      <c r="G1189" s="62" t="s">
        <v>165</v>
      </c>
      <c r="H1189" s="62" t="s">
        <v>51</v>
      </c>
      <c r="I1189" s="62" t="s">
        <v>47</v>
      </c>
      <c r="J1189" s="62" t="s">
        <v>146</v>
      </c>
      <c r="K1189" s="62" t="s">
        <v>147</v>
      </c>
      <c r="L1189" s="62" t="s">
        <v>4</v>
      </c>
      <c r="M1189" s="62" t="n">
        <v>1</v>
      </c>
      <c r="N1189" s="62" t="n">
        <v>0</v>
      </c>
      <c r="O1189" s="62" t="n">
        <v>1</v>
      </c>
      <c r="P1189" s="62" t="n">
        <v>0</v>
      </c>
      <c r="Q1189" s="62" t="n">
        <v>0</v>
      </c>
      <c r="R1189" s="62" t="n">
        <v>0</v>
      </c>
      <c r="S1189" s="62" t="n">
        <v>0</v>
      </c>
      <c r="T1189" s="62" t="n">
        <v>0</v>
      </c>
      <c r="U1189" s="62" t="s">
        <v>2056</v>
      </c>
      <c r="V1189" s="62" t="s">
        <v>2057</v>
      </c>
      <c r="W1189" s="62" t="s">
        <v>15</v>
      </c>
      <c r="X1189" s="62" t="s">
        <v>2058</v>
      </c>
      <c r="Y1189" s="62" t="s">
        <v>2059</v>
      </c>
      <c r="Z1189" s="62" t="s">
        <v>2310</v>
      </c>
      <c r="AA1189" s="62" t="s">
        <v>2311</v>
      </c>
      <c r="AB1189" s="62" t="n">
        <v>1</v>
      </c>
      <c r="AC1189" s="62" t="n">
        <v>0</v>
      </c>
      <c r="AD1189" s="62" t="n">
        <v>1</v>
      </c>
      <c r="AE1189" s="62" t="n">
        <f aca="false">IF(AND(Dashboard!$C$9="Yes",AC1189=1),0,1)</f>
        <v>1</v>
      </c>
      <c r="AF1189" s="62" t="n">
        <v>1</v>
      </c>
    </row>
    <row r="1190" customFormat="false" ht="15" hidden="false" customHeight="false" outlineLevel="0" collapsed="false">
      <c r="A1190" s="62" t="n">
        <v>1189</v>
      </c>
      <c r="B1190" s="63" t="n">
        <v>46265.827962963</v>
      </c>
      <c r="C1190" s="64" t="n">
        <v>46265</v>
      </c>
      <c r="D1190" s="62" t="s">
        <v>429</v>
      </c>
      <c r="E1190" s="62" t="s">
        <v>2097</v>
      </c>
      <c r="F1190" s="62" t="s">
        <v>2097</v>
      </c>
      <c r="G1190" s="62" t="s">
        <v>2098</v>
      </c>
      <c r="H1190" s="62" t="s">
        <v>51</v>
      </c>
      <c r="I1190" s="62" t="s">
        <v>47</v>
      </c>
      <c r="J1190" s="62" t="s">
        <v>146</v>
      </c>
      <c r="K1190" s="62" t="s">
        <v>147</v>
      </c>
      <c r="L1190" s="62" t="s">
        <v>148</v>
      </c>
      <c r="M1190" s="62" t="n">
        <v>0</v>
      </c>
      <c r="N1190" s="62" t="n">
        <v>1</v>
      </c>
      <c r="O1190" s="62" t="n">
        <v>1</v>
      </c>
      <c r="P1190" s="62" t="n">
        <v>0</v>
      </c>
      <c r="Q1190" s="62" t="n">
        <v>0</v>
      </c>
      <c r="R1190" s="62" t="n">
        <v>0</v>
      </c>
      <c r="S1190" s="62" t="n">
        <v>1</v>
      </c>
      <c r="T1190" s="62" t="n">
        <v>0</v>
      </c>
      <c r="U1190" s="62"/>
      <c r="V1190" s="62"/>
      <c r="W1190" s="62"/>
      <c r="X1190" s="62"/>
      <c r="Y1190" s="62"/>
      <c r="Z1190" s="62" t="s">
        <v>2312</v>
      </c>
      <c r="AA1190" s="62" t="s">
        <v>2313</v>
      </c>
      <c r="AB1190" s="62" t="n">
        <v>1</v>
      </c>
      <c r="AC1190" s="62" t="n">
        <v>0</v>
      </c>
      <c r="AD1190" s="62" t="n">
        <v>1</v>
      </c>
      <c r="AE1190" s="62" t="n">
        <f aca="false">IF(AND(Dashboard!$C$9="Yes",AC1190=1),0,1)</f>
        <v>1</v>
      </c>
      <c r="AF1190" s="62" t="n">
        <v>1</v>
      </c>
    </row>
    <row r="1191" customFormat="false" ht="15" hidden="false" customHeight="false" outlineLevel="0" collapsed="false">
      <c r="A1191" s="62" t="n">
        <v>1190</v>
      </c>
      <c r="B1191" s="63" t="n">
        <v>46265.8390393519</v>
      </c>
      <c r="C1191" s="64" t="n">
        <v>46265</v>
      </c>
      <c r="D1191" s="62" t="s">
        <v>429</v>
      </c>
      <c r="E1191" s="62" t="s">
        <v>207</v>
      </c>
      <c r="F1191" s="62" t="s">
        <v>207</v>
      </c>
      <c r="G1191" s="62" t="s">
        <v>208</v>
      </c>
      <c r="H1191" s="62" t="s">
        <v>48</v>
      </c>
      <c r="I1191" s="62" t="s">
        <v>49</v>
      </c>
      <c r="J1191" s="62" t="s">
        <v>146</v>
      </c>
      <c r="K1191" s="62" t="s">
        <v>209</v>
      </c>
      <c r="L1191" s="62" t="s">
        <v>148</v>
      </c>
      <c r="M1191" s="62" t="n">
        <v>0</v>
      </c>
      <c r="N1191" s="62" t="n">
        <v>2</v>
      </c>
      <c r="O1191" s="62" t="n">
        <v>2</v>
      </c>
      <c r="P1191" s="62" t="n">
        <v>0</v>
      </c>
      <c r="Q1191" s="62" t="n">
        <v>1</v>
      </c>
      <c r="R1191" s="62" t="n">
        <v>1</v>
      </c>
      <c r="S1191" s="62" t="n">
        <v>0</v>
      </c>
      <c r="T1191" s="62" t="n">
        <v>0</v>
      </c>
      <c r="U1191" s="62"/>
      <c r="V1191" s="62"/>
      <c r="W1191" s="62"/>
      <c r="X1191" s="62"/>
      <c r="Y1191" s="62"/>
      <c r="Z1191" s="62" t="s">
        <v>2314</v>
      </c>
      <c r="AA1191" s="62" t="s">
        <v>2315</v>
      </c>
      <c r="AB1191" s="62" t="n">
        <v>1</v>
      </c>
      <c r="AC1191" s="62" t="n">
        <v>0</v>
      </c>
      <c r="AD1191" s="62" t="n">
        <v>1</v>
      </c>
      <c r="AE1191" s="62" t="n">
        <f aca="false">IF(AND(Dashboard!$C$9="Yes",AC1191=1),0,1)</f>
        <v>1</v>
      </c>
      <c r="AF1191" s="62" t="n">
        <v>1</v>
      </c>
    </row>
    <row r="1192" customFormat="false" ht="15" hidden="false" customHeight="false" outlineLevel="0" collapsed="false">
      <c r="A1192" s="62" t="n">
        <v>1191</v>
      </c>
      <c r="B1192" s="63" t="n">
        <v>46265.8394560185</v>
      </c>
      <c r="C1192" s="64" t="n">
        <v>46265</v>
      </c>
      <c r="D1192" s="62" t="s">
        <v>429</v>
      </c>
      <c r="E1192" s="62" t="s">
        <v>203</v>
      </c>
      <c r="F1192" s="62" t="s">
        <v>203</v>
      </c>
      <c r="G1192" s="62" t="s">
        <v>204</v>
      </c>
      <c r="H1192" s="62" t="s">
        <v>51</v>
      </c>
      <c r="I1192" s="62" t="s">
        <v>47</v>
      </c>
      <c r="J1192" s="62" t="s">
        <v>146</v>
      </c>
      <c r="K1192" s="62" t="s">
        <v>147</v>
      </c>
      <c r="L1192" s="62" t="s">
        <v>148</v>
      </c>
      <c r="M1192" s="62" t="n">
        <v>0</v>
      </c>
      <c r="N1192" s="62" t="n">
        <v>1</v>
      </c>
      <c r="O1192" s="62" t="n">
        <v>1</v>
      </c>
      <c r="P1192" s="62" t="n">
        <v>1</v>
      </c>
      <c r="Q1192" s="62" t="n">
        <v>0</v>
      </c>
      <c r="R1192" s="62" t="n">
        <v>0</v>
      </c>
      <c r="S1192" s="62" t="n">
        <v>0</v>
      </c>
      <c r="T1192" s="62" t="n">
        <v>0</v>
      </c>
      <c r="U1192" s="62"/>
      <c r="V1192" s="62"/>
      <c r="W1192" s="62"/>
      <c r="X1192" s="62"/>
      <c r="Y1192" s="62"/>
      <c r="Z1192" s="62" t="s">
        <v>2316</v>
      </c>
      <c r="AA1192" s="62" t="s">
        <v>485</v>
      </c>
      <c r="AB1192" s="62" t="n">
        <v>0</v>
      </c>
      <c r="AC1192" s="62" t="n">
        <v>0</v>
      </c>
      <c r="AD1192" s="62" t="n">
        <v>1</v>
      </c>
      <c r="AE1192" s="62" t="n">
        <f aca="false">IF(AND(Dashboard!$C$9="Yes",AC1192=1),0,1)</f>
        <v>1</v>
      </c>
      <c r="AF1192" s="62" t="n">
        <v>1</v>
      </c>
    </row>
    <row r="1193" customFormat="false" ht="15" hidden="false" customHeight="false" outlineLevel="0" collapsed="false">
      <c r="A1193" s="62" t="n">
        <v>1192</v>
      </c>
      <c r="B1193" s="63" t="n">
        <v>46265.8455208333</v>
      </c>
      <c r="C1193" s="64" t="n">
        <v>46265</v>
      </c>
      <c r="D1193" s="62" t="s">
        <v>429</v>
      </c>
      <c r="E1193" s="62" t="s">
        <v>2317</v>
      </c>
      <c r="F1193" s="62" t="s">
        <v>196</v>
      </c>
      <c r="G1193" s="62" t="s">
        <v>197</v>
      </c>
      <c r="H1193" s="62" t="s">
        <v>57</v>
      </c>
      <c r="I1193" s="62" t="s">
        <v>47</v>
      </c>
      <c r="J1193" s="62" t="s">
        <v>146</v>
      </c>
      <c r="K1193" s="62" t="s">
        <v>175</v>
      </c>
      <c r="L1193" s="62" t="s">
        <v>4</v>
      </c>
      <c r="M1193" s="62" t="n">
        <v>1</v>
      </c>
      <c r="N1193" s="62" t="n">
        <v>0</v>
      </c>
      <c r="O1193" s="62" t="n">
        <v>1</v>
      </c>
      <c r="P1193" s="62" t="n">
        <v>0</v>
      </c>
      <c r="Q1193" s="62" t="n">
        <v>0</v>
      </c>
      <c r="R1193" s="62" t="n">
        <v>0</v>
      </c>
      <c r="S1193" s="62" t="n">
        <v>0</v>
      </c>
      <c r="T1193" s="62" t="n">
        <v>0</v>
      </c>
      <c r="U1193" s="62" t="s">
        <v>2056</v>
      </c>
      <c r="V1193" s="62" t="s">
        <v>2057</v>
      </c>
      <c r="W1193" s="62" t="s">
        <v>15</v>
      </c>
      <c r="X1193" s="62" t="s">
        <v>2058</v>
      </c>
      <c r="Y1193" s="62" t="s">
        <v>2059</v>
      </c>
      <c r="Z1193" s="62" t="s">
        <v>2318</v>
      </c>
      <c r="AA1193" s="62" t="s">
        <v>2319</v>
      </c>
      <c r="AB1193" s="62" t="n">
        <v>1</v>
      </c>
      <c r="AC1193" s="62" t="n">
        <v>0</v>
      </c>
      <c r="AD1193" s="62" t="n">
        <v>1</v>
      </c>
      <c r="AE1193" s="62" t="n">
        <f aca="false">IF(AND(Dashboard!$C$9="Yes",AC1193=1),0,1)</f>
        <v>1</v>
      </c>
      <c r="AF1193" s="62" t="n">
        <v>1</v>
      </c>
    </row>
    <row r="1194" customFormat="false" ht="15" hidden="false" customHeight="false" outlineLevel="0" collapsed="false">
      <c r="A1194" s="62" t="n">
        <v>1193</v>
      </c>
      <c r="B1194" s="63" t="n">
        <v>46265.8494097222</v>
      </c>
      <c r="C1194" s="64" t="n">
        <v>46265</v>
      </c>
      <c r="D1194" s="62" t="s">
        <v>429</v>
      </c>
      <c r="E1194" s="62" t="s">
        <v>255</v>
      </c>
      <c r="F1194" s="62" t="s">
        <v>255</v>
      </c>
      <c r="G1194" s="62" t="s">
        <v>256</v>
      </c>
      <c r="H1194" s="62" t="s">
        <v>57</v>
      </c>
      <c r="I1194" s="62" t="s">
        <v>47</v>
      </c>
      <c r="J1194" s="62" t="s">
        <v>146</v>
      </c>
      <c r="K1194" s="62" t="s">
        <v>147</v>
      </c>
      <c r="L1194" s="62" t="s">
        <v>148</v>
      </c>
      <c r="M1194" s="62" t="n">
        <v>0</v>
      </c>
      <c r="N1194" s="62" t="n">
        <v>1</v>
      </c>
      <c r="O1194" s="62" t="n">
        <v>1</v>
      </c>
      <c r="P1194" s="62" t="n">
        <v>1</v>
      </c>
      <c r="Q1194" s="62" t="n">
        <v>0</v>
      </c>
      <c r="R1194" s="62" t="n">
        <v>0</v>
      </c>
      <c r="S1194" s="62" t="n">
        <v>0</v>
      </c>
      <c r="T1194" s="62" t="n">
        <v>0</v>
      </c>
      <c r="U1194" s="62"/>
      <c r="V1194" s="62"/>
      <c r="W1194" s="62"/>
      <c r="X1194" s="62"/>
      <c r="Y1194" s="62"/>
      <c r="Z1194" s="62" t="s">
        <v>2320</v>
      </c>
      <c r="AA1194" s="62" t="s">
        <v>2321</v>
      </c>
      <c r="AB1194" s="62" t="n">
        <v>1</v>
      </c>
      <c r="AC1194" s="62" t="n">
        <v>0</v>
      </c>
      <c r="AD1194" s="62" t="n">
        <v>1</v>
      </c>
      <c r="AE1194" s="62" t="n">
        <f aca="false">IF(AND(Dashboard!$C$9="Yes",AC1194=1),0,1)</f>
        <v>1</v>
      </c>
      <c r="AF1194" s="62" t="n">
        <v>1</v>
      </c>
    </row>
    <row r="1195" customFormat="false" ht="15" hidden="false" customHeight="false" outlineLevel="0" collapsed="false">
      <c r="A1195" s="62" t="n">
        <v>1194</v>
      </c>
      <c r="B1195" s="63" t="n">
        <v>46265.8514467593</v>
      </c>
      <c r="C1195" s="64" t="n">
        <v>46265</v>
      </c>
      <c r="D1195" s="62" t="s">
        <v>429</v>
      </c>
      <c r="E1195" s="62" t="s">
        <v>164</v>
      </c>
      <c r="F1195" s="62" t="s">
        <v>164</v>
      </c>
      <c r="G1195" s="62" t="s">
        <v>165</v>
      </c>
      <c r="H1195" s="62" t="s">
        <v>51</v>
      </c>
      <c r="I1195" s="62" t="s">
        <v>47</v>
      </c>
      <c r="J1195" s="62" t="s">
        <v>146</v>
      </c>
      <c r="K1195" s="62" t="s">
        <v>147</v>
      </c>
      <c r="L1195" s="62" t="s">
        <v>4</v>
      </c>
      <c r="M1195" s="62" t="n">
        <v>1</v>
      </c>
      <c r="N1195" s="62" t="n">
        <v>0</v>
      </c>
      <c r="O1195" s="62" t="n">
        <v>1</v>
      </c>
      <c r="P1195" s="62" t="n">
        <v>0</v>
      </c>
      <c r="Q1195" s="62" t="n">
        <v>0</v>
      </c>
      <c r="R1195" s="62" t="n">
        <v>0</v>
      </c>
      <c r="S1195" s="62" t="n">
        <v>0</v>
      </c>
      <c r="T1195" s="62" t="n">
        <v>0</v>
      </c>
      <c r="U1195" s="62" t="s">
        <v>2056</v>
      </c>
      <c r="V1195" s="62" t="s">
        <v>2057</v>
      </c>
      <c r="W1195" s="62" t="s">
        <v>15</v>
      </c>
      <c r="X1195" s="62" t="s">
        <v>2058</v>
      </c>
      <c r="Y1195" s="62" t="s">
        <v>2059</v>
      </c>
      <c r="Z1195" s="62" t="s">
        <v>2310</v>
      </c>
      <c r="AA1195" s="62" t="s">
        <v>2311</v>
      </c>
      <c r="AB1195" s="62" t="n">
        <v>1</v>
      </c>
      <c r="AC1195" s="62" t="n">
        <v>1</v>
      </c>
      <c r="AD1195" s="62" t="n">
        <v>1</v>
      </c>
      <c r="AE1195" s="62" t="n">
        <f aca="false">IF(AND(Dashboard!$C$9="Yes",AC1195=1),0,1)</f>
        <v>0</v>
      </c>
      <c r="AF1195" s="62" t="n">
        <v>0</v>
      </c>
    </row>
    <row r="1196" customFormat="false" ht="15" hidden="false" customHeight="false" outlineLevel="0" collapsed="false">
      <c r="A1196" s="62" t="n">
        <v>1195</v>
      </c>
      <c r="B1196" s="63" t="n">
        <v>46265.8723611111</v>
      </c>
      <c r="C1196" s="64" t="n">
        <v>46265</v>
      </c>
      <c r="D1196" s="62" t="s">
        <v>429</v>
      </c>
      <c r="E1196" s="62" t="s">
        <v>2110</v>
      </c>
      <c r="F1196" s="62" t="s">
        <v>2111</v>
      </c>
      <c r="G1196" s="62" t="s">
        <v>153</v>
      </c>
      <c r="H1196" s="62" t="s">
        <v>153</v>
      </c>
      <c r="I1196" s="62" t="s">
        <v>153</v>
      </c>
      <c r="J1196" s="62" t="s">
        <v>64</v>
      </c>
      <c r="K1196" s="62" t="s">
        <v>64</v>
      </c>
      <c r="L1196" s="62" t="s">
        <v>148</v>
      </c>
      <c r="M1196" s="62" t="n">
        <v>0</v>
      </c>
      <c r="N1196" s="62" t="n">
        <v>1</v>
      </c>
      <c r="O1196" s="62" t="n">
        <v>1</v>
      </c>
      <c r="P1196" s="62" t="n">
        <v>1</v>
      </c>
      <c r="Q1196" s="62" t="n">
        <v>0</v>
      </c>
      <c r="R1196" s="62" t="n">
        <v>0</v>
      </c>
      <c r="S1196" s="62" t="n">
        <v>0</v>
      </c>
      <c r="T1196" s="62" t="n">
        <v>0</v>
      </c>
      <c r="U1196" s="62"/>
      <c r="V1196" s="62"/>
      <c r="W1196" s="62"/>
      <c r="X1196" s="62"/>
      <c r="Y1196" s="62"/>
      <c r="Z1196" s="62" t="s">
        <v>2322</v>
      </c>
      <c r="AA1196" s="62" t="s">
        <v>2322</v>
      </c>
      <c r="AB1196" s="62" t="n">
        <v>1</v>
      </c>
      <c r="AC1196" s="62" t="n">
        <v>0</v>
      </c>
      <c r="AD1196" s="62" t="n">
        <v>0</v>
      </c>
      <c r="AE1196" s="62" t="n">
        <f aca="false">IF(AND(Dashboard!$C$9="Yes",AC1196=1),0,1)</f>
        <v>1</v>
      </c>
      <c r="AF1196" s="62" t="n">
        <v>1</v>
      </c>
    </row>
    <row r="1197" customFormat="false" ht="15" hidden="false" customHeight="false" outlineLevel="0" collapsed="false">
      <c r="A1197" s="62" t="n">
        <v>1196</v>
      </c>
      <c r="B1197" s="63" t="n">
        <v>46265.8777662037</v>
      </c>
      <c r="C1197" s="64" t="n">
        <v>46265</v>
      </c>
      <c r="D1197" s="62" t="s">
        <v>429</v>
      </c>
      <c r="E1197" s="62" t="s">
        <v>1155</v>
      </c>
      <c r="F1197" s="62" t="s">
        <v>1155</v>
      </c>
      <c r="G1197" s="62" t="s">
        <v>1156</v>
      </c>
      <c r="H1197" s="62" t="s">
        <v>59</v>
      </c>
      <c r="I1197" s="62" t="s">
        <v>47</v>
      </c>
      <c r="J1197" s="62" t="s">
        <v>146</v>
      </c>
      <c r="K1197" s="62" t="s">
        <v>209</v>
      </c>
      <c r="L1197" s="62" t="s">
        <v>148</v>
      </c>
      <c r="M1197" s="62" t="n">
        <v>0</v>
      </c>
      <c r="N1197" s="62" t="n">
        <v>1</v>
      </c>
      <c r="O1197" s="62" t="n">
        <v>1</v>
      </c>
      <c r="P1197" s="62" t="n">
        <v>1</v>
      </c>
      <c r="Q1197" s="62" t="n">
        <v>0</v>
      </c>
      <c r="R1197" s="62" t="n">
        <v>0</v>
      </c>
      <c r="S1197" s="62" t="n">
        <v>0</v>
      </c>
      <c r="T1197" s="62" t="n">
        <v>0</v>
      </c>
      <c r="U1197" s="62"/>
      <c r="V1197" s="62"/>
      <c r="W1197" s="62"/>
      <c r="X1197" s="62"/>
      <c r="Y1197" s="62"/>
      <c r="Z1197" s="62" t="s">
        <v>2323</v>
      </c>
      <c r="AA1197" s="62" t="s">
        <v>2324</v>
      </c>
      <c r="AB1197" s="62" t="n">
        <v>1</v>
      </c>
      <c r="AC1197" s="62" t="n">
        <v>0</v>
      </c>
      <c r="AD1197" s="62" t="n">
        <v>1</v>
      </c>
      <c r="AE1197" s="62" t="n">
        <f aca="false">IF(AND(Dashboard!$C$9="Yes",AC1197=1),0,1)</f>
        <v>1</v>
      </c>
      <c r="AF1197" s="62" t="n">
        <v>1</v>
      </c>
    </row>
    <row r="1198" customFormat="false" ht="15" hidden="false" customHeight="false" outlineLevel="0" collapsed="false">
      <c r="A1198" s="62" t="n">
        <v>1197</v>
      </c>
      <c r="B1198" s="63" t="n">
        <v>46265.8825</v>
      </c>
      <c r="C1198" s="64" t="n">
        <v>46265</v>
      </c>
      <c r="D1198" s="62" t="s">
        <v>429</v>
      </c>
      <c r="E1198" s="62" t="s">
        <v>203</v>
      </c>
      <c r="F1198" s="62" t="s">
        <v>203</v>
      </c>
      <c r="G1198" s="62" t="s">
        <v>204</v>
      </c>
      <c r="H1198" s="62" t="s">
        <v>51</v>
      </c>
      <c r="I1198" s="62" t="s">
        <v>47</v>
      </c>
      <c r="J1198" s="62" t="s">
        <v>146</v>
      </c>
      <c r="K1198" s="62" t="s">
        <v>147</v>
      </c>
      <c r="L1198" s="62" t="s">
        <v>148</v>
      </c>
      <c r="M1198" s="62" t="n">
        <v>0</v>
      </c>
      <c r="N1198" s="62" t="n">
        <v>1</v>
      </c>
      <c r="O1198" s="62" t="n">
        <v>1</v>
      </c>
      <c r="P1198" s="62" t="n">
        <v>0</v>
      </c>
      <c r="Q1198" s="62" t="n">
        <v>1</v>
      </c>
      <c r="R1198" s="62" t="n">
        <v>0</v>
      </c>
      <c r="S1198" s="62" t="n">
        <v>0</v>
      </c>
      <c r="T1198" s="62" t="n">
        <v>0</v>
      </c>
      <c r="U1198" s="62"/>
      <c r="V1198" s="62"/>
      <c r="W1198" s="62"/>
      <c r="X1198" s="62"/>
      <c r="Y1198" s="62"/>
      <c r="Z1198" s="62" t="s">
        <v>2325</v>
      </c>
      <c r="AA1198" s="62" t="s">
        <v>485</v>
      </c>
      <c r="AB1198" s="62" t="n">
        <v>0</v>
      </c>
      <c r="AC1198" s="62" t="n">
        <v>0</v>
      </c>
      <c r="AD1198" s="62" t="n">
        <v>1</v>
      </c>
      <c r="AE1198" s="62" t="n">
        <f aca="false">IF(AND(Dashboard!$C$9="Yes",AC1198=1),0,1)</f>
        <v>1</v>
      </c>
      <c r="AF1198" s="62" t="n">
        <v>0</v>
      </c>
    </row>
    <row r="1199" customFormat="false" ht="15" hidden="false" customHeight="false" outlineLevel="0" collapsed="false">
      <c r="A1199" s="62" t="n">
        <v>1198</v>
      </c>
      <c r="B1199" s="63" t="n">
        <v>46265.8967476852</v>
      </c>
      <c r="C1199" s="64" t="n">
        <v>46265</v>
      </c>
      <c r="D1199" s="62" t="s">
        <v>429</v>
      </c>
      <c r="E1199" s="62" t="s">
        <v>255</v>
      </c>
      <c r="F1199" s="62" t="s">
        <v>255</v>
      </c>
      <c r="G1199" s="62" t="s">
        <v>256</v>
      </c>
      <c r="H1199" s="62" t="s">
        <v>57</v>
      </c>
      <c r="I1199" s="62" t="s">
        <v>47</v>
      </c>
      <c r="J1199" s="62" t="s">
        <v>146</v>
      </c>
      <c r="K1199" s="62" t="s">
        <v>147</v>
      </c>
      <c r="L1199" s="62" t="s">
        <v>148</v>
      </c>
      <c r="M1199" s="62" t="n">
        <v>0</v>
      </c>
      <c r="N1199" s="62" t="n">
        <v>1</v>
      </c>
      <c r="O1199" s="62" t="n">
        <v>1</v>
      </c>
      <c r="P1199" s="62" t="n">
        <v>1</v>
      </c>
      <c r="Q1199" s="62" t="n">
        <v>0</v>
      </c>
      <c r="R1199" s="62" t="n">
        <v>0</v>
      </c>
      <c r="S1199" s="62" t="n">
        <v>0</v>
      </c>
      <c r="T1199" s="62" t="n">
        <v>0</v>
      </c>
      <c r="U1199" s="62"/>
      <c r="V1199" s="62"/>
      <c r="W1199" s="62"/>
      <c r="X1199" s="62"/>
      <c r="Y1199" s="62"/>
      <c r="Z1199" s="62" t="s">
        <v>2326</v>
      </c>
      <c r="AA1199" s="62" t="s">
        <v>2327</v>
      </c>
      <c r="AB1199" s="62" t="n">
        <v>1</v>
      </c>
      <c r="AC1199" s="62" t="n">
        <v>0</v>
      </c>
      <c r="AD1199" s="62" t="n">
        <v>1</v>
      </c>
      <c r="AE1199" s="62" t="n">
        <f aca="false">IF(AND(Dashboard!$C$9="Yes",AC1199=1),0,1)</f>
        <v>1</v>
      </c>
      <c r="AF1199" s="62" t="n">
        <v>0</v>
      </c>
    </row>
    <row r="1200" customFormat="false" ht="15" hidden="false" customHeight="false" outlineLevel="0" collapsed="false">
      <c r="A1200" s="62" t="n">
        <v>1199</v>
      </c>
      <c r="B1200" s="63" t="n">
        <v>46265.9050231482</v>
      </c>
      <c r="C1200" s="64" t="n">
        <v>46265</v>
      </c>
      <c r="D1200" s="62" t="s">
        <v>429</v>
      </c>
      <c r="E1200" s="62" t="s">
        <v>2328</v>
      </c>
      <c r="F1200" s="62" t="s">
        <v>2328</v>
      </c>
      <c r="G1200" s="62" t="s">
        <v>2329</v>
      </c>
      <c r="H1200" s="62" t="s">
        <v>58</v>
      </c>
      <c r="I1200" s="62" t="s">
        <v>49</v>
      </c>
      <c r="J1200" s="62" t="s">
        <v>146</v>
      </c>
      <c r="K1200" s="62" t="s">
        <v>209</v>
      </c>
      <c r="L1200" s="62" t="s">
        <v>148</v>
      </c>
      <c r="M1200" s="62" t="n">
        <v>0</v>
      </c>
      <c r="N1200" s="62" t="n">
        <v>1</v>
      </c>
      <c r="O1200" s="62" t="n">
        <v>1</v>
      </c>
      <c r="P1200" s="62" t="n">
        <v>0</v>
      </c>
      <c r="Q1200" s="62" t="n">
        <v>0</v>
      </c>
      <c r="R1200" s="62" t="n">
        <v>1</v>
      </c>
      <c r="S1200" s="62" t="n">
        <v>0</v>
      </c>
      <c r="T1200" s="62" t="n">
        <v>0</v>
      </c>
      <c r="U1200" s="62"/>
      <c r="V1200" s="62"/>
      <c r="W1200" s="62"/>
      <c r="X1200" s="62"/>
      <c r="Y1200" s="62"/>
      <c r="Z1200" s="62" t="s">
        <v>2330</v>
      </c>
      <c r="AA1200" s="62" t="s">
        <v>2331</v>
      </c>
      <c r="AB1200" s="62" t="n">
        <v>1</v>
      </c>
      <c r="AC1200" s="62" t="n">
        <v>0</v>
      </c>
      <c r="AD1200" s="62" t="n">
        <v>1</v>
      </c>
      <c r="AE1200" s="62" t="n">
        <f aca="false">IF(AND(Dashboard!$C$9="Yes",AC1200=1),0,1)</f>
        <v>1</v>
      </c>
      <c r="AF1200" s="62" t="n">
        <v>1</v>
      </c>
    </row>
    <row r="1201" customFormat="false" ht="15" hidden="false" customHeight="false" outlineLevel="0" collapsed="false">
      <c r="A1201" s="62" t="n">
        <v>1200</v>
      </c>
      <c r="B1201" s="63" t="n">
        <v>46265.9074305556</v>
      </c>
      <c r="C1201" s="64" t="n">
        <v>46265</v>
      </c>
      <c r="D1201" s="62" t="s">
        <v>429</v>
      </c>
      <c r="E1201" s="62" t="s">
        <v>180</v>
      </c>
      <c r="F1201" s="62" t="s">
        <v>180</v>
      </c>
      <c r="G1201" s="62" t="s">
        <v>181</v>
      </c>
      <c r="H1201" s="62" t="s">
        <v>58</v>
      </c>
      <c r="I1201" s="62" t="s">
        <v>49</v>
      </c>
      <c r="J1201" s="62" t="s">
        <v>146</v>
      </c>
      <c r="K1201" s="62" t="s">
        <v>175</v>
      </c>
      <c r="L1201" s="62" t="s">
        <v>4</v>
      </c>
      <c r="M1201" s="62" t="n">
        <v>1</v>
      </c>
      <c r="N1201" s="62" t="n">
        <v>0</v>
      </c>
      <c r="O1201" s="62" t="n">
        <v>1</v>
      </c>
      <c r="P1201" s="62" t="n">
        <v>0</v>
      </c>
      <c r="Q1201" s="62" t="n">
        <v>0</v>
      </c>
      <c r="R1201" s="62" t="n">
        <v>0</v>
      </c>
      <c r="S1201" s="62" t="n">
        <v>0</v>
      </c>
      <c r="T1201" s="62" t="n">
        <v>0</v>
      </c>
      <c r="U1201" s="62" t="s">
        <v>2056</v>
      </c>
      <c r="V1201" s="62" t="s">
        <v>2057</v>
      </c>
      <c r="W1201" s="62" t="s">
        <v>15</v>
      </c>
      <c r="X1201" s="62" t="s">
        <v>2058</v>
      </c>
      <c r="Y1201" s="62" t="s">
        <v>2059</v>
      </c>
      <c r="Z1201" s="62" t="s">
        <v>2332</v>
      </c>
      <c r="AA1201" s="62" t="s">
        <v>2333</v>
      </c>
      <c r="AB1201" s="62" t="n">
        <v>1</v>
      </c>
      <c r="AC1201" s="62" t="n">
        <v>0</v>
      </c>
      <c r="AD1201" s="62" t="n">
        <v>1</v>
      </c>
      <c r="AE1201" s="62" t="n">
        <f aca="false">IF(AND(Dashboard!$C$9="Yes",AC1201=1),0,1)</f>
        <v>1</v>
      </c>
      <c r="AF1201" s="62" t="n">
        <v>1</v>
      </c>
    </row>
    <row r="1202" customFormat="false" ht="15" hidden="false" customHeight="false" outlineLevel="0" collapsed="false">
      <c r="A1202" s="62" t="n">
        <v>1201</v>
      </c>
      <c r="B1202" s="63" t="n">
        <v>46265.9158680556</v>
      </c>
      <c r="C1202" s="64" t="n">
        <v>46265</v>
      </c>
      <c r="D1202" s="62" t="s">
        <v>429</v>
      </c>
      <c r="E1202" s="62" t="s">
        <v>650</v>
      </c>
      <c r="F1202" s="62" t="s">
        <v>650</v>
      </c>
      <c r="G1202" s="62" t="s">
        <v>651</v>
      </c>
      <c r="H1202" s="62" t="s">
        <v>59</v>
      </c>
      <c r="I1202" s="62" t="s">
        <v>47</v>
      </c>
      <c r="J1202" s="62" t="s">
        <v>146</v>
      </c>
      <c r="K1202" s="62" t="s">
        <v>209</v>
      </c>
      <c r="L1202" s="62" t="s">
        <v>148</v>
      </c>
      <c r="M1202" s="62" t="n">
        <v>0</v>
      </c>
      <c r="N1202" s="62" t="n">
        <v>1</v>
      </c>
      <c r="O1202" s="62" t="n">
        <v>1</v>
      </c>
      <c r="P1202" s="62" t="n">
        <v>1</v>
      </c>
      <c r="Q1202" s="62" t="n">
        <v>0</v>
      </c>
      <c r="R1202" s="62" t="n">
        <v>0</v>
      </c>
      <c r="S1202" s="62" t="n">
        <v>0</v>
      </c>
      <c r="T1202" s="62" t="n">
        <v>0</v>
      </c>
      <c r="U1202" s="62"/>
      <c r="V1202" s="62"/>
      <c r="W1202" s="62"/>
      <c r="X1202" s="62"/>
      <c r="Y1202" s="62"/>
      <c r="Z1202" s="62" t="s">
        <v>2334</v>
      </c>
      <c r="AA1202" s="62" t="s">
        <v>2335</v>
      </c>
      <c r="AB1202" s="62" t="n">
        <v>1</v>
      </c>
      <c r="AC1202" s="62" t="n">
        <v>0</v>
      </c>
      <c r="AD1202" s="62" t="n">
        <v>1</v>
      </c>
      <c r="AE1202" s="62" t="n">
        <f aca="false">IF(AND(Dashboard!$C$9="Yes",AC1202=1),0,1)</f>
        <v>1</v>
      </c>
      <c r="AF1202" s="62" t="n">
        <v>0</v>
      </c>
    </row>
    <row r="1203" customFormat="false" ht="15" hidden="false" customHeight="false" outlineLevel="0" collapsed="false">
      <c r="A1203" s="62" t="n">
        <v>1202</v>
      </c>
      <c r="B1203" s="63" t="n">
        <v>46265.9268865741</v>
      </c>
      <c r="C1203" s="64" t="n">
        <v>46265</v>
      </c>
      <c r="D1203" s="62" t="s">
        <v>429</v>
      </c>
      <c r="E1203" s="62" t="s">
        <v>650</v>
      </c>
      <c r="F1203" s="62" t="s">
        <v>650</v>
      </c>
      <c r="G1203" s="62" t="s">
        <v>651</v>
      </c>
      <c r="H1203" s="62" t="s">
        <v>59</v>
      </c>
      <c r="I1203" s="62" t="s">
        <v>47</v>
      </c>
      <c r="J1203" s="62" t="s">
        <v>146</v>
      </c>
      <c r="K1203" s="62" t="s">
        <v>209</v>
      </c>
      <c r="L1203" s="62" t="s">
        <v>148</v>
      </c>
      <c r="M1203" s="62" t="n">
        <v>0</v>
      </c>
      <c r="N1203" s="62" t="n">
        <v>2</v>
      </c>
      <c r="O1203" s="62" t="n">
        <v>2</v>
      </c>
      <c r="P1203" s="62" t="n">
        <v>1</v>
      </c>
      <c r="Q1203" s="62" t="n">
        <v>1</v>
      </c>
      <c r="R1203" s="62" t="n">
        <v>0</v>
      </c>
      <c r="S1203" s="62" t="n">
        <v>0</v>
      </c>
      <c r="T1203" s="62" t="n">
        <v>0</v>
      </c>
      <c r="U1203" s="62"/>
      <c r="V1203" s="62"/>
      <c r="W1203" s="62"/>
      <c r="X1203" s="62"/>
      <c r="Y1203" s="62"/>
      <c r="Z1203" s="62" t="s">
        <v>2336</v>
      </c>
      <c r="AA1203" s="62" t="s">
        <v>2337</v>
      </c>
      <c r="AB1203" s="62" t="n">
        <v>1</v>
      </c>
      <c r="AC1203" s="62" t="n">
        <v>0</v>
      </c>
      <c r="AD1203" s="62" t="n">
        <v>1</v>
      </c>
      <c r="AE1203" s="62" t="n">
        <f aca="false">IF(AND(Dashboard!$C$9="Yes",AC1203=1),0,1)</f>
        <v>1</v>
      </c>
      <c r="AF1203" s="62" t="n">
        <v>0</v>
      </c>
    </row>
    <row r="1204" customFormat="false" ht="15" hidden="false" customHeight="false" outlineLevel="0" collapsed="false">
      <c r="A1204" s="62" t="n">
        <v>1203</v>
      </c>
      <c r="B1204" s="63" t="n">
        <v>46265.9466898148</v>
      </c>
      <c r="C1204" s="64" t="n">
        <v>46265</v>
      </c>
      <c r="D1204" s="62" t="s">
        <v>429</v>
      </c>
      <c r="E1204" s="62" t="s">
        <v>203</v>
      </c>
      <c r="F1204" s="62" t="s">
        <v>203</v>
      </c>
      <c r="G1204" s="62" t="s">
        <v>204</v>
      </c>
      <c r="H1204" s="62" t="s">
        <v>51</v>
      </c>
      <c r="I1204" s="62" t="s">
        <v>47</v>
      </c>
      <c r="J1204" s="62" t="s">
        <v>146</v>
      </c>
      <c r="K1204" s="62" t="s">
        <v>147</v>
      </c>
      <c r="L1204" s="62" t="s">
        <v>148</v>
      </c>
      <c r="M1204" s="62" t="n">
        <v>0</v>
      </c>
      <c r="N1204" s="62" t="n">
        <v>1</v>
      </c>
      <c r="O1204" s="62" t="n">
        <v>1</v>
      </c>
      <c r="P1204" s="62" t="n">
        <v>1</v>
      </c>
      <c r="Q1204" s="62" t="n">
        <v>0</v>
      </c>
      <c r="R1204" s="62" t="n">
        <v>0</v>
      </c>
      <c r="S1204" s="62" t="n">
        <v>0</v>
      </c>
      <c r="T1204" s="62" t="n">
        <v>0</v>
      </c>
      <c r="U1204" s="62"/>
      <c r="V1204" s="62"/>
      <c r="W1204" s="62"/>
      <c r="X1204" s="62"/>
      <c r="Y1204" s="62"/>
      <c r="Z1204" s="62" t="s">
        <v>2338</v>
      </c>
      <c r="AA1204" s="62" t="s">
        <v>2339</v>
      </c>
      <c r="AB1204" s="62" t="n">
        <v>1</v>
      </c>
      <c r="AC1204" s="62" t="n">
        <v>0</v>
      </c>
      <c r="AD1204" s="62" t="n">
        <v>1</v>
      </c>
      <c r="AE1204" s="62" t="n">
        <f aca="false">IF(AND(Dashboard!$C$9="Yes",AC1204=1),0,1)</f>
        <v>1</v>
      </c>
      <c r="AF1204" s="62" t="n">
        <v>0</v>
      </c>
    </row>
    <row r="1205" customFormat="false" ht="15" hidden="false" customHeight="false" outlineLevel="0" collapsed="false">
      <c r="A1205" s="62" t="n">
        <v>1204</v>
      </c>
      <c r="B1205" s="63" t="n">
        <v>46265.947662037</v>
      </c>
      <c r="C1205" s="64" t="n">
        <v>46265</v>
      </c>
      <c r="D1205" s="62" t="s">
        <v>429</v>
      </c>
      <c r="E1205" s="62" t="s">
        <v>2340</v>
      </c>
      <c r="F1205" s="62" t="s">
        <v>2340</v>
      </c>
      <c r="G1205" s="62" t="s">
        <v>2341</v>
      </c>
      <c r="H1205" s="62" t="s">
        <v>57</v>
      </c>
      <c r="I1205" s="62" t="s">
        <v>47</v>
      </c>
      <c r="J1205" s="62" t="s">
        <v>146</v>
      </c>
      <c r="K1205" s="62" t="s">
        <v>175</v>
      </c>
      <c r="L1205" s="62" t="s">
        <v>148</v>
      </c>
      <c r="M1205" s="62" t="n">
        <v>0</v>
      </c>
      <c r="N1205" s="62" t="n">
        <v>1</v>
      </c>
      <c r="O1205" s="62" t="n">
        <v>1</v>
      </c>
      <c r="P1205" s="62" t="n">
        <v>0</v>
      </c>
      <c r="Q1205" s="62" t="n">
        <v>1</v>
      </c>
      <c r="R1205" s="62" t="n">
        <v>0</v>
      </c>
      <c r="S1205" s="62" t="n">
        <v>0</v>
      </c>
      <c r="T1205" s="62" t="n">
        <v>0</v>
      </c>
      <c r="U1205" s="62"/>
      <c r="V1205" s="62"/>
      <c r="W1205" s="62"/>
      <c r="X1205" s="62"/>
      <c r="Y1205" s="62"/>
      <c r="Z1205" s="62" t="s">
        <v>2342</v>
      </c>
      <c r="AA1205" s="62" t="s">
        <v>2343</v>
      </c>
      <c r="AB1205" s="62" t="n">
        <v>1</v>
      </c>
      <c r="AC1205" s="62" t="n">
        <v>0</v>
      </c>
      <c r="AD1205" s="62" t="n">
        <v>1</v>
      </c>
      <c r="AE1205" s="62" t="n">
        <f aca="false">IF(AND(Dashboard!$C$9="Yes",AC1205=1),0,1)</f>
        <v>1</v>
      </c>
      <c r="AF1205" s="62" t="n">
        <v>1</v>
      </c>
    </row>
    <row r="1206" customFormat="false" ht="15" hidden="false" customHeight="false" outlineLevel="0" collapsed="false">
      <c r="A1206" s="62" t="n">
        <v>1205</v>
      </c>
      <c r="B1206" s="63" t="n">
        <v>46265.9524652778</v>
      </c>
      <c r="C1206" s="64" t="n">
        <v>46265</v>
      </c>
      <c r="D1206" s="62" t="s">
        <v>429</v>
      </c>
      <c r="E1206" s="62" t="s">
        <v>207</v>
      </c>
      <c r="F1206" s="62" t="s">
        <v>207</v>
      </c>
      <c r="G1206" s="62" t="s">
        <v>208</v>
      </c>
      <c r="H1206" s="62" t="s">
        <v>48</v>
      </c>
      <c r="I1206" s="62" t="s">
        <v>49</v>
      </c>
      <c r="J1206" s="62" t="s">
        <v>146</v>
      </c>
      <c r="K1206" s="62" t="s">
        <v>209</v>
      </c>
      <c r="L1206" s="62" t="s">
        <v>148</v>
      </c>
      <c r="M1206" s="62" t="n">
        <v>0</v>
      </c>
      <c r="N1206" s="62" t="n">
        <v>1</v>
      </c>
      <c r="O1206" s="62" t="n">
        <v>1</v>
      </c>
      <c r="P1206" s="62" t="n">
        <v>1</v>
      </c>
      <c r="Q1206" s="62" t="n">
        <v>0</v>
      </c>
      <c r="R1206" s="62" t="n">
        <v>0</v>
      </c>
      <c r="S1206" s="62" t="n">
        <v>0</v>
      </c>
      <c r="T1206" s="62" t="n">
        <v>0</v>
      </c>
      <c r="U1206" s="62"/>
      <c r="V1206" s="62"/>
      <c r="W1206" s="62"/>
      <c r="X1206" s="62"/>
      <c r="Y1206" s="62"/>
      <c r="Z1206" s="62" t="s">
        <v>2344</v>
      </c>
      <c r="AA1206" s="62" t="s">
        <v>2345</v>
      </c>
      <c r="AB1206" s="62" t="n">
        <v>1</v>
      </c>
      <c r="AC1206" s="62" t="n">
        <v>0</v>
      </c>
      <c r="AD1206" s="62" t="n">
        <v>1</v>
      </c>
      <c r="AE1206" s="62" t="n">
        <f aca="false">IF(AND(Dashboard!$C$9="Yes",AC1206=1),0,1)</f>
        <v>1</v>
      </c>
      <c r="AF1206" s="62" t="n">
        <v>0</v>
      </c>
    </row>
    <row r="1207" customFormat="false" ht="15" hidden="false" customHeight="false" outlineLevel="0" collapsed="false">
      <c r="A1207" s="62" t="n">
        <v>1206</v>
      </c>
      <c r="B1207" s="63" t="n">
        <v>46265.9552893519</v>
      </c>
      <c r="C1207" s="64" t="n">
        <v>46265</v>
      </c>
      <c r="D1207" s="62" t="s">
        <v>429</v>
      </c>
      <c r="E1207" s="62" t="s">
        <v>228</v>
      </c>
      <c r="F1207" s="62" t="s">
        <v>229</v>
      </c>
      <c r="G1207" s="62" t="s">
        <v>153</v>
      </c>
      <c r="H1207" s="62" t="s">
        <v>153</v>
      </c>
      <c r="I1207" s="62" t="s">
        <v>153</v>
      </c>
      <c r="J1207" s="62" t="s">
        <v>64</v>
      </c>
      <c r="K1207" s="62" t="s">
        <v>64</v>
      </c>
      <c r="L1207" s="62" t="s">
        <v>148</v>
      </c>
      <c r="M1207" s="62" t="n">
        <v>0</v>
      </c>
      <c r="N1207" s="62" t="n">
        <v>1</v>
      </c>
      <c r="O1207" s="62" t="n">
        <v>1</v>
      </c>
      <c r="P1207" s="62" t="n">
        <v>1</v>
      </c>
      <c r="Q1207" s="62" t="n">
        <v>0</v>
      </c>
      <c r="R1207" s="62" t="n">
        <v>0</v>
      </c>
      <c r="S1207" s="62" t="n">
        <v>0</v>
      </c>
      <c r="T1207" s="62" t="n">
        <v>0</v>
      </c>
      <c r="U1207" s="62"/>
      <c r="V1207" s="62"/>
      <c r="W1207" s="62"/>
      <c r="X1207" s="62"/>
      <c r="Y1207" s="62"/>
      <c r="Z1207" s="62" t="s">
        <v>2346</v>
      </c>
      <c r="AA1207" s="62" t="s">
        <v>2347</v>
      </c>
      <c r="AB1207" s="62" t="n">
        <v>1</v>
      </c>
      <c r="AC1207" s="62" t="n">
        <v>0</v>
      </c>
      <c r="AD1207" s="62" t="n">
        <v>0</v>
      </c>
      <c r="AE1207" s="62" t="n">
        <f aca="false">IF(AND(Dashboard!$C$9="Yes",AC1207=1),0,1)</f>
        <v>1</v>
      </c>
      <c r="AF1207" s="62" t="n">
        <v>1</v>
      </c>
    </row>
    <row r="1208" customFormat="false" ht="15" hidden="false" customHeight="false" outlineLevel="0" collapsed="false">
      <c r="A1208" s="62" t="n">
        <v>1207</v>
      </c>
      <c r="B1208" s="63" t="n">
        <v>46265.9569675926</v>
      </c>
      <c r="C1208" s="64" t="n">
        <v>46265</v>
      </c>
      <c r="D1208" s="62" t="s">
        <v>429</v>
      </c>
      <c r="E1208" s="62" t="s">
        <v>144</v>
      </c>
      <c r="F1208" s="62" t="s">
        <v>144</v>
      </c>
      <c r="G1208" s="62" t="s">
        <v>145</v>
      </c>
      <c r="H1208" s="62" t="s">
        <v>59</v>
      </c>
      <c r="I1208" s="62" t="s">
        <v>47</v>
      </c>
      <c r="J1208" s="62" t="s">
        <v>146</v>
      </c>
      <c r="K1208" s="62" t="s">
        <v>147</v>
      </c>
      <c r="L1208" s="62" t="s">
        <v>4</v>
      </c>
      <c r="M1208" s="62" t="n">
        <v>1</v>
      </c>
      <c r="N1208" s="62" t="n">
        <v>0</v>
      </c>
      <c r="O1208" s="62" t="n">
        <v>1</v>
      </c>
      <c r="P1208" s="62" t="n">
        <v>0</v>
      </c>
      <c r="Q1208" s="62" t="n">
        <v>0</v>
      </c>
      <c r="R1208" s="62" t="n">
        <v>0</v>
      </c>
      <c r="S1208" s="62" t="n">
        <v>0</v>
      </c>
      <c r="T1208" s="62" t="n">
        <v>0</v>
      </c>
      <c r="U1208" s="62" t="s">
        <v>15</v>
      </c>
      <c r="V1208" s="62" t="s">
        <v>2057</v>
      </c>
      <c r="W1208" s="62" t="s">
        <v>15</v>
      </c>
      <c r="X1208" s="62" t="s">
        <v>2058</v>
      </c>
      <c r="Y1208" s="62" t="s">
        <v>2059</v>
      </c>
      <c r="Z1208" s="62" t="s">
        <v>2348</v>
      </c>
      <c r="AA1208" s="62" t="s">
        <v>2349</v>
      </c>
      <c r="AB1208" s="62" t="n">
        <v>1</v>
      </c>
      <c r="AC1208" s="62" t="n">
        <v>0</v>
      </c>
      <c r="AD1208" s="62" t="n">
        <v>1</v>
      </c>
      <c r="AE1208" s="62" t="n">
        <f aca="false">IF(AND(Dashboard!$C$9="Yes",AC1208=1),0,1)</f>
        <v>1</v>
      </c>
      <c r="AF1208" s="62" t="n">
        <v>1</v>
      </c>
    </row>
    <row r="1209" customFormat="false" ht="15" hidden="false" customHeight="false" outlineLevel="0" collapsed="false">
      <c r="A1209" s="62" t="n">
        <v>1208</v>
      </c>
      <c r="B1209" s="63" t="n">
        <v>46265.9573958333</v>
      </c>
      <c r="C1209" s="64" t="n">
        <v>46265</v>
      </c>
      <c r="D1209" s="62" t="s">
        <v>429</v>
      </c>
      <c r="E1209" s="62" t="s">
        <v>144</v>
      </c>
      <c r="F1209" s="62" t="s">
        <v>144</v>
      </c>
      <c r="G1209" s="62" t="s">
        <v>145</v>
      </c>
      <c r="H1209" s="62" t="s">
        <v>59</v>
      </c>
      <c r="I1209" s="62" t="s">
        <v>47</v>
      </c>
      <c r="J1209" s="62" t="s">
        <v>146</v>
      </c>
      <c r="K1209" s="62" t="s">
        <v>147</v>
      </c>
      <c r="L1209" s="62" t="s">
        <v>4</v>
      </c>
      <c r="M1209" s="62" t="n">
        <v>1</v>
      </c>
      <c r="N1209" s="62" t="n">
        <v>0</v>
      </c>
      <c r="O1209" s="62" t="n">
        <v>1</v>
      </c>
      <c r="P1209" s="62" t="n">
        <v>0</v>
      </c>
      <c r="Q1209" s="62" t="n">
        <v>0</v>
      </c>
      <c r="R1209" s="62" t="n">
        <v>0</v>
      </c>
      <c r="S1209" s="62" t="n">
        <v>0</v>
      </c>
      <c r="T1209" s="62" t="n">
        <v>0</v>
      </c>
      <c r="U1209" s="62" t="s">
        <v>2056</v>
      </c>
      <c r="V1209" s="62" t="s">
        <v>2057</v>
      </c>
      <c r="W1209" s="62" t="s">
        <v>15</v>
      </c>
      <c r="X1209" s="62" t="s">
        <v>2058</v>
      </c>
      <c r="Y1209" s="62" t="s">
        <v>2059</v>
      </c>
      <c r="Z1209" s="62" t="s">
        <v>2348</v>
      </c>
      <c r="AA1209" s="62" t="s">
        <v>2349</v>
      </c>
      <c r="AB1209" s="62" t="n">
        <v>1</v>
      </c>
      <c r="AC1209" s="62" t="n">
        <v>1</v>
      </c>
      <c r="AD1209" s="62" t="n">
        <v>1</v>
      </c>
      <c r="AE1209" s="62" t="n">
        <f aca="false">IF(AND(Dashboard!$C$9="Yes",AC1209=1),0,1)</f>
        <v>0</v>
      </c>
      <c r="AF1209" s="62" t="n">
        <v>0</v>
      </c>
    </row>
    <row r="1210" customFormat="false" ht="15" hidden="false" customHeight="false" outlineLevel="0" collapsed="false">
      <c r="A1210" s="62" t="n">
        <v>1209</v>
      </c>
      <c r="B1210" s="63" t="n">
        <v>46265.9578009259</v>
      </c>
      <c r="C1210" s="64" t="n">
        <v>46265</v>
      </c>
      <c r="D1210" s="62" t="s">
        <v>429</v>
      </c>
      <c r="E1210" s="62" t="s">
        <v>144</v>
      </c>
      <c r="F1210" s="62" t="s">
        <v>144</v>
      </c>
      <c r="G1210" s="62" t="s">
        <v>145</v>
      </c>
      <c r="H1210" s="62" t="s">
        <v>59</v>
      </c>
      <c r="I1210" s="62" t="s">
        <v>47</v>
      </c>
      <c r="J1210" s="62" t="s">
        <v>146</v>
      </c>
      <c r="K1210" s="62" t="s">
        <v>147</v>
      </c>
      <c r="L1210" s="62" t="s">
        <v>4</v>
      </c>
      <c r="M1210" s="62" t="n">
        <v>1</v>
      </c>
      <c r="N1210" s="62" t="n">
        <v>0</v>
      </c>
      <c r="O1210" s="62" t="n">
        <v>1</v>
      </c>
      <c r="P1210" s="62" t="n">
        <v>0</v>
      </c>
      <c r="Q1210" s="62" t="n">
        <v>0</v>
      </c>
      <c r="R1210" s="62" t="n">
        <v>0</v>
      </c>
      <c r="S1210" s="62" t="n">
        <v>0</v>
      </c>
      <c r="T1210" s="62" t="n">
        <v>0</v>
      </c>
      <c r="U1210" s="62" t="s">
        <v>2056</v>
      </c>
      <c r="V1210" s="62" t="s">
        <v>2057</v>
      </c>
      <c r="W1210" s="62" t="s">
        <v>15</v>
      </c>
      <c r="X1210" s="62" t="s">
        <v>2058</v>
      </c>
      <c r="Y1210" s="62" t="s">
        <v>2059</v>
      </c>
      <c r="Z1210" s="62" t="s">
        <v>2348</v>
      </c>
      <c r="AA1210" s="62" t="s">
        <v>2349</v>
      </c>
      <c r="AB1210" s="62" t="n">
        <v>1</v>
      </c>
      <c r="AC1210" s="62" t="n">
        <v>1</v>
      </c>
      <c r="AD1210" s="62" t="n">
        <v>1</v>
      </c>
      <c r="AE1210" s="62" t="n">
        <f aca="false">IF(AND(Dashboard!$C$9="Yes",AC1210=1),0,1)</f>
        <v>0</v>
      </c>
      <c r="AF1210" s="62" t="n">
        <v>0</v>
      </c>
    </row>
    <row r="1211" customFormat="false" ht="15" hidden="false" customHeight="false" outlineLevel="0" collapsed="false">
      <c r="A1211" s="62" t="n">
        <v>1210</v>
      </c>
      <c r="B1211" s="63" t="n">
        <v>46265.9600231482</v>
      </c>
      <c r="C1211" s="64" t="n">
        <v>46265</v>
      </c>
      <c r="D1211" s="62" t="s">
        <v>429</v>
      </c>
      <c r="E1211" s="62" t="s">
        <v>203</v>
      </c>
      <c r="F1211" s="62" t="s">
        <v>203</v>
      </c>
      <c r="G1211" s="62" t="s">
        <v>204</v>
      </c>
      <c r="H1211" s="62" t="s">
        <v>51</v>
      </c>
      <c r="I1211" s="62" t="s">
        <v>47</v>
      </c>
      <c r="J1211" s="62" t="s">
        <v>146</v>
      </c>
      <c r="K1211" s="62" t="s">
        <v>147</v>
      </c>
      <c r="L1211" s="62" t="s">
        <v>148</v>
      </c>
      <c r="M1211" s="62" t="n">
        <v>0</v>
      </c>
      <c r="N1211" s="62" t="n">
        <v>1</v>
      </c>
      <c r="O1211" s="62" t="n">
        <v>1</v>
      </c>
      <c r="P1211" s="62" t="n">
        <v>1</v>
      </c>
      <c r="Q1211" s="62" t="n">
        <v>0</v>
      </c>
      <c r="R1211" s="62" t="n">
        <v>0</v>
      </c>
      <c r="S1211" s="62" t="n">
        <v>0</v>
      </c>
      <c r="T1211" s="62" t="n">
        <v>0</v>
      </c>
      <c r="U1211" s="62"/>
      <c r="V1211" s="62"/>
      <c r="W1211" s="62"/>
      <c r="X1211" s="62"/>
      <c r="Y1211" s="62"/>
      <c r="Z1211" s="62" t="s">
        <v>2338</v>
      </c>
      <c r="AA1211" s="62" t="s">
        <v>485</v>
      </c>
      <c r="AB1211" s="62" t="n">
        <v>0</v>
      </c>
      <c r="AC1211" s="62" t="n">
        <v>0</v>
      </c>
      <c r="AD1211" s="62" t="n">
        <v>1</v>
      </c>
      <c r="AE1211" s="62" t="n">
        <f aca="false">IF(AND(Dashboard!$C$9="Yes",AC1211=1),0,1)</f>
        <v>1</v>
      </c>
      <c r="AF1211" s="62" t="n">
        <v>0</v>
      </c>
    </row>
    <row r="1212" customFormat="false" ht="15" hidden="false" customHeight="false" outlineLevel="0" collapsed="false">
      <c r="A1212" s="62" t="n">
        <v>1211</v>
      </c>
      <c r="B1212" s="63" t="n">
        <v>46265.9619675926</v>
      </c>
      <c r="C1212" s="64" t="n">
        <v>46265</v>
      </c>
      <c r="D1212" s="62" t="s">
        <v>429</v>
      </c>
      <c r="E1212" s="62" t="s">
        <v>650</v>
      </c>
      <c r="F1212" s="62" t="s">
        <v>650</v>
      </c>
      <c r="G1212" s="62" t="s">
        <v>651</v>
      </c>
      <c r="H1212" s="62" t="s">
        <v>59</v>
      </c>
      <c r="I1212" s="62" t="s">
        <v>47</v>
      </c>
      <c r="J1212" s="62" t="s">
        <v>146</v>
      </c>
      <c r="K1212" s="62" t="s">
        <v>209</v>
      </c>
      <c r="L1212" s="62" t="s">
        <v>148</v>
      </c>
      <c r="M1212" s="62" t="n">
        <v>0</v>
      </c>
      <c r="N1212" s="62" t="n">
        <v>1</v>
      </c>
      <c r="O1212" s="62" t="n">
        <v>1</v>
      </c>
      <c r="P1212" s="62" t="n">
        <v>1</v>
      </c>
      <c r="Q1212" s="62" t="n">
        <v>0</v>
      </c>
      <c r="R1212" s="62" t="n">
        <v>0</v>
      </c>
      <c r="S1212" s="62" t="n">
        <v>0</v>
      </c>
      <c r="T1212" s="62" t="n">
        <v>0</v>
      </c>
      <c r="U1212" s="62"/>
      <c r="V1212" s="62"/>
      <c r="W1212" s="62"/>
      <c r="X1212" s="62"/>
      <c r="Y1212" s="62"/>
      <c r="Z1212" s="62" t="s">
        <v>2350</v>
      </c>
      <c r="AA1212" s="62" t="s">
        <v>2351</v>
      </c>
      <c r="AB1212" s="62" t="n">
        <v>1</v>
      </c>
      <c r="AC1212" s="62" t="n">
        <v>0</v>
      </c>
      <c r="AD1212" s="62" t="n">
        <v>1</v>
      </c>
      <c r="AE1212" s="62" t="n">
        <f aca="false">IF(AND(Dashboard!$C$9="Yes",AC1212=1),0,1)</f>
        <v>1</v>
      </c>
      <c r="AF1212" s="62" t="n">
        <v>0</v>
      </c>
    </row>
    <row r="1213" customFormat="false" ht="15" hidden="false" customHeight="false" outlineLevel="0" collapsed="false">
      <c r="A1213" s="62" t="n">
        <v>1212</v>
      </c>
      <c r="B1213" s="63" t="n">
        <v>46265.9718287037</v>
      </c>
      <c r="C1213" s="64" t="n">
        <v>46265</v>
      </c>
      <c r="D1213" s="62" t="s">
        <v>429</v>
      </c>
      <c r="E1213" s="62" t="s">
        <v>207</v>
      </c>
      <c r="F1213" s="62" t="s">
        <v>207</v>
      </c>
      <c r="G1213" s="62" t="s">
        <v>208</v>
      </c>
      <c r="H1213" s="62" t="s">
        <v>48</v>
      </c>
      <c r="I1213" s="62" t="s">
        <v>49</v>
      </c>
      <c r="J1213" s="62" t="s">
        <v>146</v>
      </c>
      <c r="K1213" s="62" t="s">
        <v>209</v>
      </c>
      <c r="L1213" s="62" t="s">
        <v>148</v>
      </c>
      <c r="M1213" s="62" t="n">
        <v>0</v>
      </c>
      <c r="N1213" s="62" t="n">
        <v>1</v>
      </c>
      <c r="O1213" s="62" t="n">
        <v>1</v>
      </c>
      <c r="P1213" s="62" t="n">
        <v>1</v>
      </c>
      <c r="Q1213" s="62" t="n">
        <v>0</v>
      </c>
      <c r="R1213" s="62" t="n">
        <v>0</v>
      </c>
      <c r="S1213" s="62" t="n">
        <v>0</v>
      </c>
      <c r="T1213" s="62" t="n">
        <v>0</v>
      </c>
      <c r="U1213" s="62"/>
      <c r="V1213" s="62"/>
      <c r="W1213" s="62"/>
      <c r="X1213" s="62"/>
      <c r="Y1213" s="62"/>
      <c r="Z1213" s="62" t="s">
        <v>2352</v>
      </c>
      <c r="AA1213" s="62" t="s">
        <v>2353</v>
      </c>
      <c r="AB1213" s="62" t="n">
        <v>1</v>
      </c>
      <c r="AC1213" s="62" t="n">
        <v>0</v>
      </c>
      <c r="AD1213" s="62" t="n">
        <v>1</v>
      </c>
      <c r="AE1213" s="62" t="n">
        <f aca="false">IF(AND(Dashboard!$C$9="Yes",AC1213=1),0,1)</f>
        <v>1</v>
      </c>
      <c r="AF1213" s="62" t="n">
        <v>0</v>
      </c>
    </row>
    <row r="1214" customFormat="false" ht="15" hidden="false" customHeight="false" outlineLevel="0" collapsed="false">
      <c r="A1214" s="62" t="n">
        <v>1213</v>
      </c>
      <c r="B1214" s="63" t="n">
        <v>46265.9770717593</v>
      </c>
      <c r="C1214" s="64" t="n">
        <v>46265</v>
      </c>
      <c r="D1214" s="62" t="s">
        <v>429</v>
      </c>
      <c r="E1214" s="62" t="s">
        <v>228</v>
      </c>
      <c r="F1214" s="62" t="s">
        <v>229</v>
      </c>
      <c r="G1214" s="62" t="s">
        <v>153</v>
      </c>
      <c r="H1214" s="62" t="s">
        <v>153</v>
      </c>
      <c r="I1214" s="62" t="s">
        <v>153</v>
      </c>
      <c r="J1214" s="62" t="s">
        <v>64</v>
      </c>
      <c r="K1214" s="62" t="s">
        <v>64</v>
      </c>
      <c r="L1214" s="62" t="s">
        <v>148</v>
      </c>
      <c r="M1214" s="62" t="n">
        <v>0</v>
      </c>
      <c r="N1214" s="62" t="n">
        <v>1</v>
      </c>
      <c r="O1214" s="62" t="n">
        <v>1</v>
      </c>
      <c r="P1214" s="62" t="n">
        <v>1</v>
      </c>
      <c r="Q1214" s="62" t="n">
        <v>0</v>
      </c>
      <c r="R1214" s="62" t="n">
        <v>0</v>
      </c>
      <c r="S1214" s="62" t="n">
        <v>0</v>
      </c>
      <c r="T1214" s="62" t="n">
        <v>0</v>
      </c>
      <c r="U1214" s="62"/>
      <c r="V1214" s="62"/>
      <c r="W1214" s="62"/>
      <c r="X1214" s="62"/>
      <c r="Y1214" s="62"/>
      <c r="Z1214" s="62" t="s">
        <v>2354</v>
      </c>
      <c r="AA1214" s="62" t="s">
        <v>2355</v>
      </c>
      <c r="AB1214" s="62" t="n">
        <v>1</v>
      </c>
      <c r="AC1214" s="62" t="n">
        <v>0</v>
      </c>
      <c r="AD1214" s="62" t="n">
        <v>0</v>
      </c>
      <c r="AE1214" s="62" t="n">
        <f aca="false">IF(AND(Dashboard!$C$9="Yes",AC1214=1),0,1)</f>
        <v>1</v>
      </c>
      <c r="AF1214" s="62" t="n">
        <v>0</v>
      </c>
    </row>
    <row r="1215" customFormat="false" ht="15" hidden="false" customHeight="false" outlineLevel="0" collapsed="false">
      <c r="A1215" s="62" t="n">
        <v>1214</v>
      </c>
      <c r="B1215" s="63" t="n">
        <v>46265.9840509259</v>
      </c>
      <c r="C1215" s="64" t="n">
        <v>46265</v>
      </c>
      <c r="D1215" s="62" t="s">
        <v>429</v>
      </c>
      <c r="E1215" s="62" t="s">
        <v>518</v>
      </c>
      <c r="F1215" s="62" t="s">
        <v>518</v>
      </c>
      <c r="G1215" s="62" t="s">
        <v>519</v>
      </c>
      <c r="H1215" s="62" t="s">
        <v>52</v>
      </c>
      <c r="I1215" s="62" t="s">
        <v>47</v>
      </c>
      <c r="J1215" s="62" t="s">
        <v>146</v>
      </c>
      <c r="K1215" s="62" t="s">
        <v>147</v>
      </c>
      <c r="L1215" s="62" t="s">
        <v>148</v>
      </c>
      <c r="M1215" s="62" t="n">
        <v>0</v>
      </c>
      <c r="N1215" s="62" t="n">
        <v>1</v>
      </c>
      <c r="O1215" s="62" t="n">
        <v>1</v>
      </c>
      <c r="P1215" s="62" t="n">
        <v>1</v>
      </c>
      <c r="Q1215" s="62" t="n">
        <v>0</v>
      </c>
      <c r="R1215" s="62" t="n">
        <v>0</v>
      </c>
      <c r="S1215" s="62" t="n">
        <v>0</v>
      </c>
      <c r="T1215" s="62" t="n">
        <v>0</v>
      </c>
      <c r="U1215" s="62"/>
      <c r="V1215" s="62"/>
      <c r="W1215" s="62"/>
      <c r="X1215" s="62"/>
      <c r="Y1215" s="62"/>
      <c r="Z1215" s="62" t="s">
        <v>2356</v>
      </c>
      <c r="AA1215" s="62" t="s">
        <v>2357</v>
      </c>
      <c r="AB1215" s="62" t="n">
        <v>1</v>
      </c>
      <c r="AC1215" s="62" t="n">
        <v>0</v>
      </c>
      <c r="AD1215" s="62" t="n">
        <v>1</v>
      </c>
      <c r="AE1215" s="62" t="n">
        <f aca="false">IF(AND(Dashboard!$C$9="Yes",AC1215=1),0,1)</f>
        <v>1</v>
      </c>
      <c r="AF1215" s="62" t="n">
        <v>1</v>
      </c>
    </row>
    <row r="1216" customFormat="false" ht="15" hidden="false" customHeight="false" outlineLevel="0" collapsed="false">
      <c r="A1216" s="62" t="n">
        <v>1215</v>
      </c>
      <c r="B1216" s="63" t="n">
        <v>46265.9899768519</v>
      </c>
      <c r="C1216" s="64" t="n">
        <v>46265</v>
      </c>
      <c r="D1216" s="62" t="s">
        <v>429</v>
      </c>
      <c r="E1216" s="62" t="s">
        <v>203</v>
      </c>
      <c r="F1216" s="62" t="s">
        <v>203</v>
      </c>
      <c r="G1216" s="62" t="s">
        <v>204</v>
      </c>
      <c r="H1216" s="62" t="s">
        <v>51</v>
      </c>
      <c r="I1216" s="62" t="s">
        <v>47</v>
      </c>
      <c r="J1216" s="62" t="s">
        <v>146</v>
      </c>
      <c r="K1216" s="62" t="s">
        <v>147</v>
      </c>
      <c r="L1216" s="62" t="s">
        <v>148</v>
      </c>
      <c r="M1216" s="62" t="n">
        <v>0</v>
      </c>
      <c r="N1216" s="62" t="n">
        <v>1</v>
      </c>
      <c r="O1216" s="62" t="n">
        <v>1</v>
      </c>
      <c r="P1216" s="62" t="n">
        <v>0</v>
      </c>
      <c r="Q1216" s="62" t="n">
        <v>1</v>
      </c>
      <c r="R1216" s="62" t="n">
        <v>0</v>
      </c>
      <c r="S1216" s="62" t="n">
        <v>0</v>
      </c>
      <c r="T1216" s="62" t="n">
        <v>0</v>
      </c>
      <c r="U1216" s="62"/>
      <c r="V1216" s="62"/>
      <c r="W1216" s="62"/>
      <c r="X1216" s="62"/>
      <c r="Y1216" s="62"/>
      <c r="Z1216" s="62" t="s">
        <v>2325</v>
      </c>
      <c r="AA1216" s="62" t="s">
        <v>2358</v>
      </c>
      <c r="AB1216" s="62" t="n">
        <v>1</v>
      </c>
      <c r="AC1216" s="62" t="n">
        <v>0</v>
      </c>
      <c r="AD1216" s="62" t="n">
        <v>1</v>
      </c>
      <c r="AE1216" s="62" t="n">
        <f aca="false">IF(AND(Dashboard!$C$9="Yes",AC1216=1),0,1)</f>
        <v>1</v>
      </c>
      <c r="AF1216" s="62" t="n">
        <v>0</v>
      </c>
    </row>
    <row r="1217" customFormat="false" ht="15" hidden="false" customHeight="false" outlineLevel="0" collapsed="false">
      <c r="A1217" s="62" t="n">
        <v>1216</v>
      </c>
      <c r="B1217" s="63" t="n">
        <v>46266.0027430556</v>
      </c>
      <c r="C1217" s="64" t="n">
        <v>46265</v>
      </c>
      <c r="D1217" s="62" t="s">
        <v>429</v>
      </c>
      <c r="E1217" s="62" t="s">
        <v>1749</v>
      </c>
      <c r="F1217" s="62" t="s">
        <v>1749</v>
      </c>
      <c r="G1217" s="62" t="s">
        <v>1750</v>
      </c>
      <c r="H1217" s="62" t="s">
        <v>57</v>
      </c>
      <c r="I1217" s="62" t="s">
        <v>47</v>
      </c>
      <c r="J1217" s="62" t="s">
        <v>146</v>
      </c>
      <c r="K1217" s="62" t="s">
        <v>209</v>
      </c>
      <c r="L1217" s="62" t="s">
        <v>148</v>
      </c>
      <c r="M1217" s="62" t="n">
        <v>0</v>
      </c>
      <c r="N1217" s="62" t="n">
        <v>1</v>
      </c>
      <c r="O1217" s="62" t="n">
        <v>1</v>
      </c>
      <c r="P1217" s="62" t="n">
        <v>0</v>
      </c>
      <c r="Q1217" s="62" t="n">
        <v>1</v>
      </c>
      <c r="R1217" s="62" t="n">
        <v>0</v>
      </c>
      <c r="S1217" s="62" t="n">
        <v>0</v>
      </c>
      <c r="T1217" s="62" t="n">
        <v>0</v>
      </c>
      <c r="U1217" s="62"/>
      <c r="V1217" s="62"/>
      <c r="W1217" s="62"/>
      <c r="X1217" s="62"/>
      <c r="Y1217" s="62"/>
      <c r="Z1217" s="62" t="s">
        <v>2359</v>
      </c>
      <c r="AA1217" s="62" t="s">
        <v>2360</v>
      </c>
      <c r="AB1217" s="62" t="n">
        <v>1</v>
      </c>
      <c r="AC1217" s="62" t="n">
        <v>0</v>
      </c>
      <c r="AD1217" s="62" t="n">
        <v>1</v>
      </c>
      <c r="AE1217" s="62" t="n">
        <f aca="false">IF(AND(Dashboard!$C$9="Yes",AC1217=1),0,1)</f>
        <v>1</v>
      </c>
      <c r="AF1217" s="62" t="n">
        <v>1</v>
      </c>
    </row>
    <row r="1218" customFormat="false" ht="15" hidden="false" customHeight="false" outlineLevel="0" collapsed="false">
      <c r="A1218" s="62" t="n">
        <v>1217</v>
      </c>
      <c r="B1218" s="63" t="n">
        <v>46266.0171180556</v>
      </c>
      <c r="C1218" s="64" t="n">
        <v>46265</v>
      </c>
      <c r="D1218" s="62" t="s">
        <v>429</v>
      </c>
      <c r="E1218" s="62" t="s">
        <v>1652</v>
      </c>
      <c r="F1218" s="62" t="s">
        <v>1652</v>
      </c>
      <c r="G1218" s="62" t="s">
        <v>1653</v>
      </c>
      <c r="H1218" s="62" t="s">
        <v>57</v>
      </c>
      <c r="I1218" s="62" t="s">
        <v>47</v>
      </c>
      <c r="J1218" s="62" t="s">
        <v>146</v>
      </c>
      <c r="K1218" s="62" t="s">
        <v>175</v>
      </c>
      <c r="L1218" s="62" t="s">
        <v>148</v>
      </c>
      <c r="M1218" s="62" t="n">
        <v>0</v>
      </c>
      <c r="N1218" s="62" t="n">
        <v>1</v>
      </c>
      <c r="O1218" s="62" t="n">
        <v>1</v>
      </c>
      <c r="P1218" s="62" t="n">
        <v>0</v>
      </c>
      <c r="Q1218" s="62" t="n">
        <v>0</v>
      </c>
      <c r="R1218" s="62" t="n">
        <v>1</v>
      </c>
      <c r="S1218" s="62" t="n">
        <v>0</v>
      </c>
      <c r="T1218" s="62" t="n">
        <v>0</v>
      </c>
      <c r="U1218" s="62"/>
      <c r="V1218" s="62"/>
      <c r="W1218" s="62"/>
      <c r="X1218" s="62"/>
      <c r="Y1218" s="62"/>
      <c r="Z1218" s="62" t="s">
        <v>2361</v>
      </c>
      <c r="AA1218" s="62" t="s">
        <v>2362</v>
      </c>
      <c r="AB1218" s="62" t="n">
        <v>1</v>
      </c>
      <c r="AC1218" s="62" t="n">
        <v>0</v>
      </c>
      <c r="AD1218" s="62" t="n">
        <v>1</v>
      </c>
      <c r="AE1218" s="62" t="n">
        <f aca="false">IF(AND(Dashboard!$C$9="Yes",AC1218=1),0,1)</f>
        <v>1</v>
      </c>
      <c r="AF1218" s="62" t="n">
        <v>1</v>
      </c>
    </row>
    <row r="1219" customFormat="false" ht="15" hidden="false" customHeight="false" outlineLevel="0" collapsed="false">
      <c r="A1219" s="62" t="n">
        <v>1218</v>
      </c>
      <c r="B1219" s="63" t="n">
        <v>46266.0370486111</v>
      </c>
      <c r="C1219" s="64" t="n">
        <v>46265</v>
      </c>
      <c r="D1219" s="62" t="s">
        <v>429</v>
      </c>
      <c r="E1219" s="62" t="s">
        <v>239</v>
      </c>
      <c r="F1219" s="62" t="s">
        <v>240</v>
      </c>
      <c r="G1219" s="62" t="s">
        <v>153</v>
      </c>
      <c r="H1219" s="62" t="s">
        <v>153</v>
      </c>
      <c r="I1219" s="62" t="s">
        <v>153</v>
      </c>
      <c r="J1219" s="62" t="s">
        <v>64</v>
      </c>
      <c r="K1219" s="62" t="s">
        <v>64</v>
      </c>
      <c r="L1219" s="62" t="s">
        <v>148</v>
      </c>
      <c r="M1219" s="62" t="n">
        <v>0</v>
      </c>
      <c r="N1219" s="62" t="n">
        <v>1</v>
      </c>
      <c r="O1219" s="62" t="n">
        <v>1</v>
      </c>
      <c r="P1219" s="62" t="n">
        <v>0</v>
      </c>
      <c r="Q1219" s="62" t="n">
        <v>0</v>
      </c>
      <c r="R1219" s="62" t="n">
        <v>1</v>
      </c>
      <c r="S1219" s="62" t="n">
        <v>0</v>
      </c>
      <c r="T1219" s="62" t="n">
        <v>0</v>
      </c>
      <c r="U1219" s="62"/>
      <c r="V1219" s="62"/>
      <c r="W1219" s="62"/>
      <c r="X1219" s="62"/>
      <c r="Y1219" s="62"/>
      <c r="Z1219" s="62" t="s">
        <v>2363</v>
      </c>
      <c r="AA1219" s="62" t="s">
        <v>2364</v>
      </c>
      <c r="AB1219" s="62" t="n">
        <v>1</v>
      </c>
      <c r="AC1219" s="62" t="n">
        <v>0</v>
      </c>
      <c r="AD1219" s="62" t="n">
        <v>0</v>
      </c>
      <c r="AE1219" s="62" t="n">
        <f aca="false">IF(AND(Dashboard!$C$9="Yes",AC1219=1),0,1)</f>
        <v>1</v>
      </c>
      <c r="AF1219" s="62" t="n">
        <v>1</v>
      </c>
    </row>
    <row r="1220" customFormat="false" ht="15" hidden="false" customHeight="false" outlineLevel="0" collapsed="false">
      <c r="A1220" s="62" t="n">
        <v>1219</v>
      </c>
      <c r="B1220" s="63" t="n">
        <v>46266.0372685185</v>
      </c>
      <c r="C1220" s="64" t="n">
        <v>46265</v>
      </c>
      <c r="D1220" s="62" t="s">
        <v>429</v>
      </c>
      <c r="E1220" s="62" t="s">
        <v>239</v>
      </c>
      <c r="F1220" s="62" t="s">
        <v>240</v>
      </c>
      <c r="G1220" s="62" t="s">
        <v>153</v>
      </c>
      <c r="H1220" s="62" t="s">
        <v>153</v>
      </c>
      <c r="I1220" s="62" t="s">
        <v>153</v>
      </c>
      <c r="J1220" s="62" t="s">
        <v>64</v>
      </c>
      <c r="K1220" s="62" t="s">
        <v>64</v>
      </c>
      <c r="L1220" s="62" t="s">
        <v>148</v>
      </c>
      <c r="M1220" s="62" t="n">
        <v>0</v>
      </c>
      <c r="N1220" s="62" t="n">
        <v>1</v>
      </c>
      <c r="O1220" s="62" t="n">
        <v>1</v>
      </c>
      <c r="P1220" s="62" t="n">
        <v>0</v>
      </c>
      <c r="Q1220" s="62" t="n">
        <v>0</v>
      </c>
      <c r="R1220" s="62" t="n">
        <v>1</v>
      </c>
      <c r="S1220" s="62" t="n">
        <v>0</v>
      </c>
      <c r="T1220" s="62" t="n">
        <v>0</v>
      </c>
      <c r="U1220" s="62"/>
      <c r="V1220" s="62"/>
      <c r="W1220" s="62"/>
      <c r="X1220" s="62"/>
      <c r="Y1220" s="62"/>
      <c r="Z1220" s="62" t="s">
        <v>2363</v>
      </c>
      <c r="AA1220" s="62" t="s">
        <v>2364</v>
      </c>
      <c r="AB1220" s="62" t="n">
        <v>1</v>
      </c>
      <c r="AC1220" s="62" t="n">
        <v>1</v>
      </c>
      <c r="AD1220" s="62" t="n">
        <v>0</v>
      </c>
      <c r="AE1220" s="62" t="n">
        <f aca="false">IF(AND(Dashboard!$C$9="Yes",AC1220=1),0,1)</f>
        <v>0</v>
      </c>
      <c r="AF1220" s="62" t="n">
        <v>0</v>
      </c>
    </row>
    <row r="1221" customFormat="false" ht="15" hidden="false" customHeight="false" outlineLevel="0" collapsed="false">
      <c r="A1221" s="62" t="n">
        <v>1220</v>
      </c>
      <c r="B1221" s="63" t="n">
        <v>46266.0390393519</v>
      </c>
      <c r="C1221" s="64" t="n">
        <v>46265</v>
      </c>
      <c r="D1221" s="62" t="s">
        <v>429</v>
      </c>
      <c r="E1221" s="62" t="s">
        <v>2365</v>
      </c>
      <c r="F1221" s="62" t="s">
        <v>2365</v>
      </c>
      <c r="G1221" s="62" t="s">
        <v>2366</v>
      </c>
      <c r="H1221" s="62" t="s">
        <v>52</v>
      </c>
      <c r="I1221" s="62" t="s">
        <v>47</v>
      </c>
      <c r="J1221" s="62" t="s">
        <v>146</v>
      </c>
      <c r="K1221" s="62" t="s">
        <v>147</v>
      </c>
      <c r="L1221" s="62" t="s">
        <v>148</v>
      </c>
      <c r="M1221" s="62" t="n">
        <v>0</v>
      </c>
      <c r="N1221" s="62" t="n">
        <v>1</v>
      </c>
      <c r="O1221" s="62" t="n">
        <v>1</v>
      </c>
      <c r="P1221" s="62" t="n">
        <v>0</v>
      </c>
      <c r="Q1221" s="62" t="n">
        <v>1</v>
      </c>
      <c r="R1221" s="62" t="n">
        <v>0</v>
      </c>
      <c r="S1221" s="62" t="n">
        <v>0</v>
      </c>
      <c r="T1221" s="62" t="n">
        <v>0</v>
      </c>
      <c r="U1221" s="62"/>
      <c r="V1221" s="62"/>
      <c r="W1221" s="62"/>
      <c r="X1221" s="62"/>
      <c r="Y1221" s="62"/>
      <c r="Z1221" s="62" t="s">
        <v>2367</v>
      </c>
      <c r="AA1221" s="62" t="s">
        <v>2368</v>
      </c>
      <c r="AB1221" s="62" t="n">
        <v>1</v>
      </c>
      <c r="AC1221" s="62" t="n">
        <v>0</v>
      </c>
      <c r="AD1221" s="62" t="n">
        <v>1</v>
      </c>
      <c r="AE1221" s="62" t="n">
        <f aca="false">IF(AND(Dashboard!$C$9="Yes",AC1221=1),0,1)</f>
        <v>1</v>
      </c>
      <c r="AF1221" s="62" t="n">
        <v>1</v>
      </c>
    </row>
    <row r="1222" customFormat="false" ht="15" hidden="false" customHeight="false" outlineLevel="0" collapsed="false">
      <c r="A1222" s="62" t="n">
        <v>1221</v>
      </c>
      <c r="B1222" s="63" t="n">
        <v>46266.0393287037</v>
      </c>
      <c r="C1222" s="64" t="n">
        <v>46265</v>
      </c>
      <c r="D1222" s="62" t="s">
        <v>429</v>
      </c>
      <c r="E1222" s="62" t="s">
        <v>144</v>
      </c>
      <c r="F1222" s="62" t="s">
        <v>144</v>
      </c>
      <c r="G1222" s="62" t="s">
        <v>145</v>
      </c>
      <c r="H1222" s="62" t="s">
        <v>59</v>
      </c>
      <c r="I1222" s="62" t="s">
        <v>47</v>
      </c>
      <c r="J1222" s="62" t="s">
        <v>146</v>
      </c>
      <c r="K1222" s="62" t="s">
        <v>147</v>
      </c>
      <c r="L1222" s="62" t="s">
        <v>4</v>
      </c>
      <c r="M1222" s="62" t="n">
        <v>1</v>
      </c>
      <c r="N1222" s="62" t="n">
        <v>0</v>
      </c>
      <c r="O1222" s="62" t="n">
        <v>1</v>
      </c>
      <c r="P1222" s="62" t="n">
        <v>0</v>
      </c>
      <c r="Q1222" s="62" t="n">
        <v>0</v>
      </c>
      <c r="R1222" s="62" t="n">
        <v>0</v>
      </c>
      <c r="S1222" s="62" t="n">
        <v>0</v>
      </c>
      <c r="T1222" s="62" t="n">
        <v>0</v>
      </c>
      <c r="U1222" s="62" t="s">
        <v>2056</v>
      </c>
      <c r="V1222" s="62" t="s">
        <v>2057</v>
      </c>
      <c r="W1222" s="62" t="s">
        <v>15</v>
      </c>
      <c r="X1222" s="62" t="s">
        <v>2058</v>
      </c>
      <c r="Y1222" s="62" t="s">
        <v>2059</v>
      </c>
      <c r="Z1222" s="62" t="s">
        <v>2369</v>
      </c>
      <c r="AA1222" s="62" t="s">
        <v>2370</v>
      </c>
      <c r="AB1222" s="62" t="n">
        <v>1</v>
      </c>
      <c r="AC1222" s="62" t="n">
        <v>0</v>
      </c>
      <c r="AD1222" s="62" t="n">
        <v>1</v>
      </c>
      <c r="AE1222" s="62" t="n">
        <f aca="false">IF(AND(Dashboard!$C$9="Yes",AC1222=1),0,1)</f>
        <v>1</v>
      </c>
      <c r="AF1222" s="62" t="n">
        <v>0</v>
      </c>
    </row>
    <row r="1223" customFormat="false" ht="15" hidden="false" customHeight="false" outlineLevel="0" collapsed="false">
      <c r="A1223" s="62" t="n">
        <v>1222</v>
      </c>
      <c r="B1223" s="63" t="n">
        <v>46266.0408333333</v>
      </c>
      <c r="C1223" s="64" t="n">
        <v>46265</v>
      </c>
      <c r="D1223" s="62" t="s">
        <v>429</v>
      </c>
      <c r="E1223" s="62" t="s">
        <v>144</v>
      </c>
      <c r="F1223" s="62" t="s">
        <v>144</v>
      </c>
      <c r="G1223" s="62" t="s">
        <v>145</v>
      </c>
      <c r="H1223" s="62" t="s">
        <v>59</v>
      </c>
      <c r="I1223" s="62" t="s">
        <v>47</v>
      </c>
      <c r="J1223" s="62" t="s">
        <v>146</v>
      </c>
      <c r="K1223" s="62" t="s">
        <v>147</v>
      </c>
      <c r="L1223" s="62" t="s">
        <v>4</v>
      </c>
      <c r="M1223" s="62" t="n">
        <v>1</v>
      </c>
      <c r="N1223" s="62" t="n">
        <v>0</v>
      </c>
      <c r="O1223" s="62" t="n">
        <v>1</v>
      </c>
      <c r="P1223" s="62" t="n">
        <v>0</v>
      </c>
      <c r="Q1223" s="62" t="n">
        <v>0</v>
      </c>
      <c r="R1223" s="62" t="n">
        <v>0</v>
      </c>
      <c r="S1223" s="62" t="n">
        <v>0</v>
      </c>
      <c r="T1223" s="62" t="n">
        <v>0</v>
      </c>
      <c r="U1223" s="62" t="s">
        <v>2056</v>
      </c>
      <c r="V1223" s="62" t="s">
        <v>2057</v>
      </c>
      <c r="W1223" s="62" t="s">
        <v>15</v>
      </c>
      <c r="X1223" s="62" t="s">
        <v>2058</v>
      </c>
      <c r="Y1223" s="62" t="s">
        <v>2059</v>
      </c>
      <c r="Z1223" s="62" t="s">
        <v>2369</v>
      </c>
      <c r="AA1223" s="62" t="s">
        <v>2370</v>
      </c>
      <c r="AB1223" s="62" t="n">
        <v>1</v>
      </c>
      <c r="AC1223" s="62" t="n">
        <v>1</v>
      </c>
      <c r="AD1223" s="62" t="n">
        <v>1</v>
      </c>
      <c r="AE1223" s="62" t="n">
        <f aca="false">IF(AND(Dashboard!$C$9="Yes",AC1223=1),0,1)</f>
        <v>0</v>
      </c>
      <c r="AF1223" s="62" t="n">
        <v>0</v>
      </c>
    </row>
    <row r="1224" customFormat="false" ht="15" hidden="false" customHeight="false" outlineLevel="0" collapsed="false">
      <c r="A1224" s="62" t="n">
        <v>1223</v>
      </c>
      <c r="B1224" s="63" t="n">
        <v>46266.0421412037</v>
      </c>
      <c r="C1224" s="64" t="n">
        <v>46265</v>
      </c>
      <c r="D1224" s="62" t="s">
        <v>429</v>
      </c>
      <c r="E1224" s="62" t="s">
        <v>255</v>
      </c>
      <c r="F1224" s="62" t="s">
        <v>255</v>
      </c>
      <c r="G1224" s="62" t="s">
        <v>256</v>
      </c>
      <c r="H1224" s="62" t="s">
        <v>57</v>
      </c>
      <c r="I1224" s="62" t="s">
        <v>47</v>
      </c>
      <c r="J1224" s="62" t="s">
        <v>146</v>
      </c>
      <c r="K1224" s="62" t="s">
        <v>147</v>
      </c>
      <c r="L1224" s="62" t="s">
        <v>4</v>
      </c>
      <c r="M1224" s="62" t="n">
        <v>1</v>
      </c>
      <c r="N1224" s="62" t="n">
        <v>0</v>
      </c>
      <c r="O1224" s="62" t="n">
        <v>1</v>
      </c>
      <c r="P1224" s="62" t="n">
        <v>0</v>
      </c>
      <c r="Q1224" s="62" t="n">
        <v>0</v>
      </c>
      <c r="R1224" s="62" t="n">
        <v>0</v>
      </c>
      <c r="S1224" s="62" t="n">
        <v>0</v>
      </c>
      <c r="T1224" s="62" t="n">
        <v>0</v>
      </c>
      <c r="U1224" s="62" t="s">
        <v>2056</v>
      </c>
      <c r="V1224" s="62" t="s">
        <v>2057</v>
      </c>
      <c r="W1224" s="62" t="s">
        <v>15</v>
      </c>
      <c r="X1224" s="62" t="s">
        <v>2058</v>
      </c>
      <c r="Y1224" s="62" t="s">
        <v>2059</v>
      </c>
      <c r="Z1224" s="62" t="s">
        <v>2371</v>
      </c>
      <c r="AA1224" s="62" t="s">
        <v>2372</v>
      </c>
      <c r="AB1224" s="62" t="n">
        <v>1</v>
      </c>
      <c r="AC1224" s="62" t="n">
        <v>0</v>
      </c>
      <c r="AD1224" s="62" t="n">
        <v>1</v>
      </c>
      <c r="AE1224" s="62" t="n">
        <f aca="false">IF(AND(Dashboard!$C$9="Yes",AC1224=1),0,1)</f>
        <v>1</v>
      </c>
      <c r="AF1224" s="62" t="n">
        <v>0</v>
      </c>
    </row>
    <row r="1225" customFormat="false" ht="15" hidden="false" customHeight="false" outlineLevel="0" collapsed="false">
      <c r="A1225" s="62" t="n">
        <v>1224</v>
      </c>
      <c r="B1225" s="63" t="n">
        <v>46266.0481018519</v>
      </c>
      <c r="C1225" s="64" t="n">
        <v>46265</v>
      </c>
      <c r="D1225" s="62" t="s">
        <v>429</v>
      </c>
      <c r="E1225" s="62" t="s">
        <v>518</v>
      </c>
      <c r="F1225" s="62" t="s">
        <v>518</v>
      </c>
      <c r="G1225" s="62" t="s">
        <v>519</v>
      </c>
      <c r="H1225" s="62" t="s">
        <v>52</v>
      </c>
      <c r="I1225" s="62" t="s">
        <v>47</v>
      </c>
      <c r="J1225" s="62" t="s">
        <v>146</v>
      </c>
      <c r="K1225" s="62" t="s">
        <v>147</v>
      </c>
      <c r="L1225" s="62" t="s">
        <v>148</v>
      </c>
      <c r="M1225" s="62" t="n">
        <v>0</v>
      </c>
      <c r="N1225" s="62" t="n">
        <v>1</v>
      </c>
      <c r="O1225" s="62" t="n">
        <v>1</v>
      </c>
      <c r="P1225" s="62" t="n">
        <v>1</v>
      </c>
      <c r="Q1225" s="62" t="n">
        <v>0</v>
      </c>
      <c r="R1225" s="62" t="n">
        <v>0</v>
      </c>
      <c r="S1225" s="62" t="n">
        <v>0</v>
      </c>
      <c r="T1225" s="62" t="n">
        <v>0</v>
      </c>
      <c r="U1225" s="62"/>
      <c r="V1225" s="62"/>
      <c r="W1225" s="62"/>
      <c r="X1225" s="62"/>
      <c r="Y1225" s="62"/>
      <c r="Z1225" s="62" t="s">
        <v>2373</v>
      </c>
      <c r="AA1225" s="62" t="s">
        <v>2374</v>
      </c>
      <c r="AB1225" s="62" t="n">
        <v>1</v>
      </c>
      <c r="AC1225" s="62" t="n">
        <v>0</v>
      </c>
      <c r="AD1225" s="62" t="n">
        <v>1</v>
      </c>
      <c r="AE1225" s="62" t="n">
        <f aca="false">IF(AND(Dashboard!$C$9="Yes",AC1225=1),0,1)</f>
        <v>1</v>
      </c>
      <c r="AF1225" s="62" t="n">
        <v>0</v>
      </c>
    </row>
    <row r="1226" customFormat="false" ht="15" hidden="false" customHeight="false" outlineLevel="0" collapsed="false">
      <c r="A1226" s="62" t="n">
        <v>1225</v>
      </c>
      <c r="B1226" s="63" t="n">
        <v>46266.0595023148</v>
      </c>
      <c r="C1226" s="64" t="n">
        <v>46265</v>
      </c>
      <c r="D1226" s="62" t="s">
        <v>429</v>
      </c>
      <c r="E1226" s="62" t="s">
        <v>1155</v>
      </c>
      <c r="F1226" s="62" t="s">
        <v>1155</v>
      </c>
      <c r="G1226" s="62" t="s">
        <v>1156</v>
      </c>
      <c r="H1226" s="62" t="s">
        <v>59</v>
      </c>
      <c r="I1226" s="62" t="s">
        <v>47</v>
      </c>
      <c r="J1226" s="62" t="s">
        <v>146</v>
      </c>
      <c r="K1226" s="62" t="s">
        <v>209</v>
      </c>
      <c r="L1226" s="62" t="s">
        <v>148</v>
      </c>
      <c r="M1226" s="62" t="n">
        <v>0</v>
      </c>
      <c r="N1226" s="62" t="n">
        <v>1</v>
      </c>
      <c r="O1226" s="62" t="n">
        <v>1</v>
      </c>
      <c r="P1226" s="62" t="n">
        <v>0</v>
      </c>
      <c r="Q1226" s="62" t="n">
        <v>1</v>
      </c>
      <c r="R1226" s="62" t="n">
        <v>0</v>
      </c>
      <c r="S1226" s="62" t="n">
        <v>0</v>
      </c>
      <c r="T1226" s="62" t="n">
        <v>0</v>
      </c>
      <c r="U1226" s="62"/>
      <c r="V1226" s="62"/>
      <c r="W1226" s="62"/>
      <c r="X1226" s="62"/>
      <c r="Y1226" s="62"/>
      <c r="Z1226" s="62" t="s">
        <v>2375</v>
      </c>
      <c r="AA1226" s="62" t="s">
        <v>2376</v>
      </c>
      <c r="AB1226" s="62" t="n">
        <v>1</v>
      </c>
      <c r="AC1226" s="62" t="n">
        <v>0</v>
      </c>
      <c r="AD1226" s="62" t="n">
        <v>1</v>
      </c>
      <c r="AE1226" s="62" t="n">
        <f aca="false">IF(AND(Dashboard!$C$9="Yes",AC1226=1),0,1)</f>
        <v>1</v>
      </c>
      <c r="AF1226" s="62" t="n">
        <v>0</v>
      </c>
    </row>
    <row r="1227" customFormat="false" ht="15" hidden="false" customHeight="false" outlineLevel="0" collapsed="false">
      <c r="A1227" s="62" t="n">
        <v>1226</v>
      </c>
      <c r="B1227" s="63" t="n">
        <v>46266.0898032407</v>
      </c>
      <c r="C1227" s="64" t="n">
        <v>46265</v>
      </c>
      <c r="D1227" s="62" t="s">
        <v>429</v>
      </c>
      <c r="E1227" s="62" t="s">
        <v>1155</v>
      </c>
      <c r="F1227" s="62" t="s">
        <v>1155</v>
      </c>
      <c r="G1227" s="62" t="s">
        <v>1156</v>
      </c>
      <c r="H1227" s="62" t="s">
        <v>59</v>
      </c>
      <c r="I1227" s="62" t="s">
        <v>47</v>
      </c>
      <c r="J1227" s="62" t="s">
        <v>146</v>
      </c>
      <c r="K1227" s="62" t="s">
        <v>209</v>
      </c>
      <c r="L1227" s="62" t="s">
        <v>148</v>
      </c>
      <c r="M1227" s="62" t="n">
        <v>0</v>
      </c>
      <c r="N1227" s="62" t="n">
        <v>1</v>
      </c>
      <c r="O1227" s="62" t="n">
        <v>1</v>
      </c>
      <c r="P1227" s="62" t="n">
        <v>1</v>
      </c>
      <c r="Q1227" s="62" t="n">
        <v>0</v>
      </c>
      <c r="R1227" s="62" t="n">
        <v>0</v>
      </c>
      <c r="S1227" s="62" t="n">
        <v>0</v>
      </c>
      <c r="T1227" s="62" t="n">
        <v>0</v>
      </c>
      <c r="U1227" s="62"/>
      <c r="V1227" s="62"/>
      <c r="W1227" s="62"/>
      <c r="X1227" s="62"/>
      <c r="Y1227" s="62"/>
      <c r="Z1227" s="62" t="s">
        <v>2377</v>
      </c>
      <c r="AA1227" s="62" t="s">
        <v>2378</v>
      </c>
      <c r="AB1227" s="62" t="n">
        <v>1</v>
      </c>
      <c r="AC1227" s="62" t="n">
        <v>0</v>
      </c>
      <c r="AD1227" s="62" t="n">
        <v>1</v>
      </c>
      <c r="AE1227" s="62" t="n">
        <f aca="false">IF(AND(Dashboard!$C$9="Yes",AC1227=1),0,1)</f>
        <v>1</v>
      </c>
      <c r="AF1227" s="62" t="n">
        <v>0</v>
      </c>
    </row>
    <row r="1228" customFormat="false" ht="15" hidden="false" customHeight="false" outlineLevel="0" collapsed="false">
      <c r="A1228" s="62" t="n">
        <v>1227</v>
      </c>
      <c r="B1228" s="63" t="n">
        <v>46266.0944560185</v>
      </c>
      <c r="C1228" s="64" t="n">
        <v>46265</v>
      </c>
      <c r="D1228" s="62" t="s">
        <v>429</v>
      </c>
      <c r="E1228" s="62" t="s">
        <v>414</v>
      </c>
      <c r="F1228" s="62" t="s">
        <v>414</v>
      </c>
      <c r="G1228" s="62" t="s">
        <v>415</v>
      </c>
      <c r="H1228" s="62" t="s">
        <v>57</v>
      </c>
      <c r="I1228" s="62" t="s">
        <v>47</v>
      </c>
      <c r="J1228" s="62" t="s">
        <v>146</v>
      </c>
      <c r="K1228" s="62" t="s">
        <v>147</v>
      </c>
      <c r="L1228" s="62" t="s">
        <v>148</v>
      </c>
      <c r="M1228" s="62" t="n">
        <v>0</v>
      </c>
      <c r="N1228" s="62" t="n">
        <v>2</v>
      </c>
      <c r="O1228" s="62" t="n">
        <v>2</v>
      </c>
      <c r="P1228" s="62" t="n">
        <v>1</v>
      </c>
      <c r="Q1228" s="62" t="n">
        <v>0</v>
      </c>
      <c r="R1228" s="62" t="n">
        <v>1</v>
      </c>
      <c r="S1228" s="62" t="n">
        <v>0</v>
      </c>
      <c r="T1228" s="62" t="n">
        <v>0</v>
      </c>
      <c r="U1228" s="62"/>
      <c r="V1228" s="62"/>
      <c r="W1228" s="62"/>
      <c r="X1228" s="62"/>
      <c r="Y1228" s="62"/>
      <c r="Z1228" s="62" t="s">
        <v>2379</v>
      </c>
      <c r="AA1228" s="62" t="s">
        <v>2380</v>
      </c>
      <c r="AB1228" s="62" t="n">
        <v>1</v>
      </c>
      <c r="AC1228" s="62" t="n">
        <v>0</v>
      </c>
      <c r="AD1228" s="62" t="n">
        <v>1</v>
      </c>
      <c r="AE1228" s="62" t="n">
        <f aca="false">IF(AND(Dashboard!$C$9="Yes",AC1228=1),0,1)</f>
        <v>1</v>
      </c>
      <c r="AF1228" s="62" t="n">
        <v>1</v>
      </c>
    </row>
    <row r="1229" customFormat="false" ht="15" hidden="false" customHeight="false" outlineLevel="0" collapsed="false">
      <c r="A1229" s="62" t="n">
        <v>1228</v>
      </c>
      <c r="B1229" s="63" t="n">
        <v>46266.1185648148</v>
      </c>
      <c r="C1229" s="64" t="n">
        <v>46265</v>
      </c>
      <c r="D1229" s="62" t="s">
        <v>429</v>
      </c>
      <c r="E1229" s="62" t="s">
        <v>2183</v>
      </c>
      <c r="F1229" s="62" t="s">
        <v>2183</v>
      </c>
      <c r="G1229" s="62" t="s">
        <v>2184</v>
      </c>
      <c r="H1229" s="62" t="s">
        <v>59</v>
      </c>
      <c r="I1229" s="62" t="s">
        <v>47</v>
      </c>
      <c r="J1229" s="62" t="s">
        <v>146</v>
      </c>
      <c r="K1229" s="62" t="s">
        <v>209</v>
      </c>
      <c r="L1229" s="62" t="s">
        <v>148</v>
      </c>
      <c r="M1229" s="62" t="n">
        <v>0</v>
      </c>
      <c r="N1229" s="62" t="n">
        <v>1</v>
      </c>
      <c r="O1229" s="62" t="n">
        <v>1</v>
      </c>
      <c r="P1229" s="62" t="n">
        <v>0</v>
      </c>
      <c r="Q1229" s="62" t="n">
        <v>0</v>
      </c>
      <c r="R1229" s="62" t="n">
        <v>1</v>
      </c>
      <c r="S1229" s="62" t="n">
        <v>0</v>
      </c>
      <c r="T1229" s="62" t="n">
        <v>0</v>
      </c>
      <c r="U1229" s="62"/>
      <c r="V1229" s="62"/>
      <c r="W1229" s="62"/>
      <c r="X1229" s="62"/>
      <c r="Y1229" s="62"/>
      <c r="Z1229" s="62" t="s">
        <v>2381</v>
      </c>
      <c r="AA1229" s="62" t="s">
        <v>2382</v>
      </c>
      <c r="AB1229" s="62" t="n">
        <v>1</v>
      </c>
      <c r="AC1229" s="62" t="n">
        <v>0</v>
      </c>
      <c r="AD1229" s="62" t="n">
        <v>1</v>
      </c>
      <c r="AE1229" s="62" t="n">
        <f aca="false">IF(AND(Dashboard!$C$9="Yes",AC1229=1),0,1)</f>
        <v>1</v>
      </c>
      <c r="AF1229" s="62" t="n">
        <v>1</v>
      </c>
    </row>
    <row r="1230" customFormat="false" ht="15" hidden="false" customHeight="false" outlineLevel="0" collapsed="false">
      <c r="A1230" s="62" t="n">
        <v>1229</v>
      </c>
      <c r="B1230" s="63" t="n">
        <v>46266.131087963</v>
      </c>
      <c r="C1230" s="64" t="n">
        <v>46265</v>
      </c>
      <c r="D1230" s="62" t="s">
        <v>429</v>
      </c>
      <c r="E1230" s="62" t="s">
        <v>239</v>
      </c>
      <c r="F1230" s="62" t="s">
        <v>240</v>
      </c>
      <c r="G1230" s="62" t="s">
        <v>153</v>
      </c>
      <c r="H1230" s="62" t="s">
        <v>153</v>
      </c>
      <c r="I1230" s="62" t="s">
        <v>153</v>
      </c>
      <c r="J1230" s="62" t="s">
        <v>64</v>
      </c>
      <c r="K1230" s="62" t="s">
        <v>64</v>
      </c>
      <c r="L1230" s="62" t="s">
        <v>148</v>
      </c>
      <c r="M1230" s="62" t="n">
        <v>0</v>
      </c>
      <c r="N1230" s="62" t="n">
        <v>1</v>
      </c>
      <c r="O1230" s="62" t="n">
        <v>1</v>
      </c>
      <c r="P1230" s="62" t="n">
        <v>1</v>
      </c>
      <c r="Q1230" s="62" t="n">
        <v>0</v>
      </c>
      <c r="R1230" s="62" t="n">
        <v>0</v>
      </c>
      <c r="S1230" s="62" t="n">
        <v>0</v>
      </c>
      <c r="T1230" s="62" t="n">
        <v>0</v>
      </c>
      <c r="U1230" s="62"/>
      <c r="V1230" s="62"/>
      <c r="W1230" s="62"/>
      <c r="X1230" s="62"/>
      <c r="Y1230" s="62"/>
      <c r="Z1230" s="62" t="s">
        <v>2383</v>
      </c>
      <c r="AA1230" s="62" t="s">
        <v>2384</v>
      </c>
      <c r="AB1230" s="62" t="n">
        <v>1</v>
      </c>
      <c r="AC1230" s="62" t="n">
        <v>0</v>
      </c>
      <c r="AD1230" s="62" t="n">
        <v>0</v>
      </c>
      <c r="AE1230" s="62" t="n">
        <f aca="false">IF(AND(Dashboard!$C$9="Yes",AC1230=1),0,1)</f>
        <v>1</v>
      </c>
      <c r="AF1230" s="62" t="n">
        <v>0</v>
      </c>
    </row>
    <row r="1231" customFormat="false" ht="15" hidden="false" customHeight="false" outlineLevel="0" collapsed="false">
      <c r="A1231" s="62" t="n">
        <v>1230</v>
      </c>
      <c r="B1231" s="63" t="n">
        <v>46266.1365162037</v>
      </c>
      <c r="C1231" s="64" t="n">
        <v>46265</v>
      </c>
      <c r="D1231" s="62" t="s">
        <v>429</v>
      </c>
      <c r="E1231" s="62" t="s">
        <v>2385</v>
      </c>
      <c r="F1231" s="62" t="s">
        <v>2385</v>
      </c>
      <c r="G1231" s="62" t="s">
        <v>2386</v>
      </c>
      <c r="H1231" s="62" t="s">
        <v>59</v>
      </c>
      <c r="I1231" s="62" t="s">
        <v>47</v>
      </c>
      <c r="J1231" s="62" t="s">
        <v>146</v>
      </c>
      <c r="K1231" s="62" t="s">
        <v>209</v>
      </c>
      <c r="L1231" s="62" t="s">
        <v>4</v>
      </c>
      <c r="M1231" s="62" t="n">
        <v>1</v>
      </c>
      <c r="N1231" s="62" t="n">
        <v>0</v>
      </c>
      <c r="O1231" s="62" t="n">
        <v>1</v>
      </c>
      <c r="P1231" s="62" t="n">
        <v>0</v>
      </c>
      <c r="Q1231" s="62" t="n">
        <v>0</v>
      </c>
      <c r="R1231" s="62" t="n">
        <v>0</v>
      </c>
      <c r="S1231" s="62" t="n">
        <v>0</v>
      </c>
      <c r="T1231" s="62" t="n">
        <v>0</v>
      </c>
      <c r="U1231" s="62" t="s">
        <v>15</v>
      </c>
      <c r="V1231" s="62" t="s">
        <v>2057</v>
      </c>
      <c r="W1231" s="62" t="s">
        <v>15</v>
      </c>
      <c r="X1231" s="62" t="s">
        <v>2058</v>
      </c>
      <c r="Y1231" s="62" t="s">
        <v>2181</v>
      </c>
      <c r="Z1231" s="62" t="s">
        <v>2387</v>
      </c>
      <c r="AA1231" s="62" t="s">
        <v>1969</v>
      </c>
      <c r="AB1231" s="62" t="n">
        <v>0</v>
      </c>
      <c r="AC1231" s="62" t="n">
        <v>0</v>
      </c>
      <c r="AD1231" s="62" t="n">
        <v>1</v>
      </c>
      <c r="AE1231" s="62" t="n">
        <f aca="false">IF(AND(Dashboard!$C$9="Yes",AC1231=1),0,1)</f>
        <v>1</v>
      </c>
      <c r="AF1231" s="62" t="n">
        <v>1</v>
      </c>
    </row>
    <row r="1232" customFormat="false" ht="15" hidden="false" customHeight="false" outlineLevel="0" collapsed="false">
      <c r="A1232" s="62" t="n">
        <v>1231</v>
      </c>
      <c r="B1232" s="63" t="n">
        <v>46266.1375694444</v>
      </c>
      <c r="C1232" s="64" t="n">
        <v>46265</v>
      </c>
      <c r="D1232" s="62" t="s">
        <v>429</v>
      </c>
      <c r="E1232" s="62" t="s">
        <v>2385</v>
      </c>
      <c r="F1232" s="62" t="s">
        <v>2385</v>
      </c>
      <c r="G1232" s="62" t="s">
        <v>2386</v>
      </c>
      <c r="H1232" s="62" t="s">
        <v>59</v>
      </c>
      <c r="I1232" s="62" t="s">
        <v>47</v>
      </c>
      <c r="J1232" s="62" t="s">
        <v>146</v>
      </c>
      <c r="K1232" s="62" t="s">
        <v>209</v>
      </c>
      <c r="L1232" s="62" t="s">
        <v>4</v>
      </c>
      <c r="M1232" s="62" t="n">
        <v>1</v>
      </c>
      <c r="N1232" s="62" t="n">
        <v>0</v>
      </c>
      <c r="O1232" s="62" t="n">
        <v>1</v>
      </c>
      <c r="P1232" s="62" t="n">
        <v>0</v>
      </c>
      <c r="Q1232" s="62" t="n">
        <v>0</v>
      </c>
      <c r="R1232" s="62" t="n">
        <v>0</v>
      </c>
      <c r="S1232" s="62" t="n">
        <v>0</v>
      </c>
      <c r="T1232" s="62" t="n">
        <v>0</v>
      </c>
      <c r="U1232" s="62" t="s">
        <v>2056</v>
      </c>
      <c r="V1232" s="62" t="s">
        <v>2057</v>
      </c>
      <c r="W1232" s="62" t="s">
        <v>15</v>
      </c>
      <c r="X1232" s="62" t="s">
        <v>2058</v>
      </c>
      <c r="Y1232" s="62" t="s">
        <v>2059</v>
      </c>
      <c r="Z1232" s="62" t="s">
        <v>2388</v>
      </c>
      <c r="AA1232" s="62" t="s">
        <v>1920</v>
      </c>
      <c r="AB1232" s="62" t="n">
        <v>0</v>
      </c>
      <c r="AC1232" s="62" t="n">
        <v>0</v>
      </c>
      <c r="AD1232" s="62" t="n">
        <v>1</v>
      </c>
      <c r="AE1232" s="62" t="n">
        <f aca="false">IF(AND(Dashboard!$C$9="Yes",AC1232=1),0,1)</f>
        <v>1</v>
      </c>
      <c r="AF1232" s="62" t="n">
        <v>0</v>
      </c>
    </row>
    <row r="1233" customFormat="false" ht="15" hidden="false" customHeight="false" outlineLevel="0" collapsed="false">
      <c r="A1233" s="62" t="n">
        <v>1232</v>
      </c>
      <c r="B1233" s="63" t="n">
        <v>46266.1378356482</v>
      </c>
      <c r="C1233" s="64" t="n">
        <v>46265</v>
      </c>
      <c r="D1233" s="62" t="s">
        <v>429</v>
      </c>
      <c r="E1233" s="62" t="s">
        <v>239</v>
      </c>
      <c r="F1233" s="62" t="s">
        <v>240</v>
      </c>
      <c r="G1233" s="62" t="s">
        <v>153</v>
      </c>
      <c r="H1233" s="62" t="s">
        <v>153</v>
      </c>
      <c r="I1233" s="62" t="s">
        <v>153</v>
      </c>
      <c r="J1233" s="62" t="s">
        <v>64</v>
      </c>
      <c r="K1233" s="62" t="s">
        <v>64</v>
      </c>
      <c r="L1233" s="62" t="s">
        <v>148</v>
      </c>
      <c r="M1233" s="62" t="n">
        <v>0</v>
      </c>
      <c r="N1233" s="62" t="n">
        <v>1</v>
      </c>
      <c r="O1233" s="62" t="n">
        <v>1</v>
      </c>
      <c r="P1233" s="62" t="n">
        <v>1</v>
      </c>
      <c r="Q1233" s="62" t="n">
        <v>0</v>
      </c>
      <c r="R1233" s="62" t="n">
        <v>0</v>
      </c>
      <c r="S1233" s="62" t="n">
        <v>0</v>
      </c>
      <c r="T1233" s="62" t="n">
        <v>0</v>
      </c>
      <c r="U1233" s="62"/>
      <c r="V1233" s="62"/>
      <c r="W1233" s="62"/>
      <c r="X1233" s="62"/>
      <c r="Y1233" s="62"/>
      <c r="Z1233" s="62" t="s">
        <v>2383</v>
      </c>
      <c r="AA1233" s="62" t="s">
        <v>2384</v>
      </c>
      <c r="AB1233" s="62" t="n">
        <v>1</v>
      </c>
      <c r="AC1233" s="62" t="n">
        <v>1</v>
      </c>
      <c r="AD1233" s="62" t="n">
        <v>0</v>
      </c>
      <c r="AE1233" s="62" t="n">
        <f aca="false">IF(AND(Dashboard!$C$9="Yes",AC1233=1),0,1)</f>
        <v>0</v>
      </c>
      <c r="AF1233" s="62" t="n">
        <v>0</v>
      </c>
    </row>
    <row r="1234" customFormat="false" ht="15" hidden="false" customHeight="false" outlineLevel="0" collapsed="false">
      <c r="A1234" s="62" t="n">
        <v>1233</v>
      </c>
      <c r="B1234" s="63" t="n">
        <v>46266.1405555556</v>
      </c>
      <c r="C1234" s="64" t="n">
        <v>46265</v>
      </c>
      <c r="D1234" s="62" t="s">
        <v>429</v>
      </c>
      <c r="E1234" s="62" t="s">
        <v>2389</v>
      </c>
      <c r="F1234" s="62" t="s">
        <v>2389</v>
      </c>
      <c r="G1234" s="62" t="s">
        <v>2390</v>
      </c>
      <c r="H1234" s="62" t="s">
        <v>57</v>
      </c>
      <c r="I1234" s="62" t="s">
        <v>47</v>
      </c>
      <c r="J1234" s="62" t="s">
        <v>146</v>
      </c>
      <c r="K1234" s="62" t="s">
        <v>147</v>
      </c>
      <c r="L1234" s="62" t="s">
        <v>4</v>
      </c>
      <c r="M1234" s="62" t="n">
        <v>1</v>
      </c>
      <c r="N1234" s="62" t="n">
        <v>0</v>
      </c>
      <c r="O1234" s="62" t="n">
        <v>1</v>
      </c>
      <c r="P1234" s="62" t="n">
        <v>0</v>
      </c>
      <c r="Q1234" s="62" t="n">
        <v>0</v>
      </c>
      <c r="R1234" s="62" t="n">
        <v>0</v>
      </c>
      <c r="S1234" s="62" t="n">
        <v>0</v>
      </c>
      <c r="T1234" s="62" t="n">
        <v>0</v>
      </c>
      <c r="U1234" s="62" t="s">
        <v>2056</v>
      </c>
      <c r="V1234" s="62" t="s">
        <v>2068</v>
      </c>
      <c r="W1234" s="62"/>
      <c r="X1234" s="62" t="s">
        <v>2180</v>
      </c>
      <c r="Y1234" s="62" t="s">
        <v>2059</v>
      </c>
      <c r="Z1234" s="62" t="s">
        <v>2391</v>
      </c>
      <c r="AA1234" s="62" t="s">
        <v>2392</v>
      </c>
      <c r="AB1234" s="62" t="n">
        <v>1</v>
      </c>
      <c r="AC1234" s="62" t="n">
        <v>0</v>
      </c>
      <c r="AD1234" s="62" t="n">
        <v>1</v>
      </c>
      <c r="AE1234" s="62" t="n">
        <f aca="false">IF(AND(Dashboard!$C$9="Yes",AC1234=1),0,1)</f>
        <v>1</v>
      </c>
      <c r="AF1234" s="62" t="n">
        <v>1</v>
      </c>
    </row>
    <row r="1235" customFormat="false" ht="15" hidden="false" customHeight="false" outlineLevel="0" collapsed="false">
      <c r="A1235" s="62" t="n">
        <v>1234</v>
      </c>
      <c r="B1235" s="63" t="n">
        <v>46266.1412268519</v>
      </c>
      <c r="C1235" s="64" t="n">
        <v>46265</v>
      </c>
      <c r="D1235" s="62" t="s">
        <v>429</v>
      </c>
      <c r="E1235" s="62" t="s">
        <v>2385</v>
      </c>
      <c r="F1235" s="62" t="s">
        <v>2385</v>
      </c>
      <c r="G1235" s="62" t="s">
        <v>2386</v>
      </c>
      <c r="H1235" s="62" t="s">
        <v>59</v>
      </c>
      <c r="I1235" s="62" t="s">
        <v>47</v>
      </c>
      <c r="J1235" s="62" t="s">
        <v>146</v>
      </c>
      <c r="K1235" s="62" t="s">
        <v>209</v>
      </c>
      <c r="L1235" s="62" t="s">
        <v>148</v>
      </c>
      <c r="M1235" s="62" t="n">
        <v>0</v>
      </c>
      <c r="N1235" s="62" t="n">
        <v>1</v>
      </c>
      <c r="O1235" s="62" t="n">
        <v>1</v>
      </c>
      <c r="P1235" s="62" t="n">
        <v>0</v>
      </c>
      <c r="Q1235" s="62" t="n">
        <v>1</v>
      </c>
      <c r="R1235" s="62" t="n">
        <v>0</v>
      </c>
      <c r="S1235" s="62" t="n">
        <v>0</v>
      </c>
      <c r="T1235" s="62" t="n">
        <v>0</v>
      </c>
      <c r="U1235" s="62"/>
      <c r="V1235" s="62"/>
      <c r="W1235" s="62"/>
      <c r="X1235" s="62"/>
      <c r="Y1235" s="62"/>
      <c r="Z1235" s="62" t="s">
        <v>2393</v>
      </c>
      <c r="AA1235" s="62" t="s">
        <v>2394</v>
      </c>
      <c r="AB1235" s="62" t="n">
        <v>1</v>
      </c>
      <c r="AC1235" s="62" t="n">
        <v>0</v>
      </c>
      <c r="AD1235" s="62" t="n">
        <v>1</v>
      </c>
      <c r="AE1235" s="62" t="n">
        <f aca="false">IF(AND(Dashboard!$C$9="Yes",AC1235=1),0,1)</f>
        <v>1</v>
      </c>
      <c r="AF1235" s="62" t="n">
        <v>0</v>
      </c>
    </row>
    <row r="1236" customFormat="false" ht="15" hidden="false" customHeight="false" outlineLevel="0" collapsed="false">
      <c r="A1236" s="62" t="n">
        <v>1235</v>
      </c>
      <c r="B1236" s="63" t="n">
        <v>46266.1424074074</v>
      </c>
      <c r="C1236" s="64" t="n">
        <v>46265</v>
      </c>
      <c r="D1236" s="62" t="s">
        <v>429</v>
      </c>
      <c r="E1236" s="62" t="s">
        <v>2395</v>
      </c>
      <c r="F1236" s="62" t="s">
        <v>2395</v>
      </c>
      <c r="G1236" s="62" t="s">
        <v>2396</v>
      </c>
      <c r="H1236" s="62" t="s">
        <v>59</v>
      </c>
      <c r="I1236" s="62" t="s">
        <v>47</v>
      </c>
      <c r="J1236" s="62" t="s">
        <v>146</v>
      </c>
      <c r="K1236" s="62" t="s">
        <v>209</v>
      </c>
      <c r="L1236" s="62" t="s">
        <v>148</v>
      </c>
      <c r="M1236" s="62" t="n">
        <v>0</v>
      </c>
      <c r="N1236" s="62" t="n">
        <v>1</v>
      </c>
      <c r="O1236" s="62" t="n">
        <v>1</v>
      </c>
      <c r="P1236" s="62" t="n">
        <v>0</v>
      </c>
      <c r="Q1236" s="62" t="n">
        <v>0</v>
      </c>
      <c r="R1236" s="62" t="n">
        <v>0</v>
      </c>
      <c r="S1236" s="62" t="n">
        <v>1</v>
      </c>
      <c r="T1236" s="62" t="n">
        <v>0</v>
      </c>
      <c r="U1236" s="62"/>
      <c r="V1236" s="62"/>
      <c r="W1236" s="62"/>
      <c r="X1236" s="62"/>
      <c r="Y1236" s="62"/>
      <c r="Z1236" s="62" t="s">
        <v>2397</v>
      </c>
      <c r="AA1236" s="62" t="s">
        <v>2398</v>
      </c>
      <c r="AB1236" s="62" t="n">
        <v>0</v>
      </c>
      <c r="AC1236" s="62" t="n">
        <v>0</v>
      </c>
      <c r="AD1236" s="62" t="n">
        <v>1</v>
      </c>
      <c r="AE1236" s="62" t="n">
        <f aca="false">IF(AND(Dashboard!$C$9="Yes",AC1236=1),0,1)</f>
        <v>1</v>
      </c>
      <c r="AF1236" s="62" t="n">
        <v>1</v>
      </c>
    </row>
    <row r="1237" customFormat="false" ht="15" hidden="false" customHeight="false" outlineLevel="0" collapsed="false">
      <c r="A1237" s="62" t="n">
        <v>1236</v>
      </c>
      <c r="B1237" s="63" t="n">
        <v>46266.1447569444</v>
      </c>
      <c r="C1237" s="64" t="n">
        <v>46265</v>
      </c>
      <c r="D1237" s="62" t="s">
        <v>429</v>
      </c>
      <c r="E1237" s="62" t="s">
        <v>2081</v>
      </c>
      <c r="F1237" s="62" t="s">
        <v>2081</v>
      </c>
      <c r="G1237" s="62" t="s">
        <v>2082</v>
      </c>
      <c r="H1237" s="62" t="s">
        <v>57</v>
      </c>
      <c r="I1237" s="62" t="s">
        <v>47</v>
      </c>
      <c r="J1237" s="62" t="s">
        <v>146</v>
      </c>
      <c r="K1237" s="62" t="s">
        <v>147</v>
      </c>
      <c r="L1237" s="62" t="s">
        <v>4</v>
      </c>
      <c r="M1237" s="62" t="n">
        <v>1</v>
      </c>
      <c r="N1237" s="62" t="n">
        <v>0</v>
      </c>
      <c r="O1237" s="62" t="n">
        <v>1</v>
      </c>
      <c r="P1237" s="62" t="n">
        <v>0</v>
      </c>
      <c r="Q1237" s="62" t="n">
        <v>0</v>
      </c>
      <c r="R1237" s="62" t="n">
        <v>0</v>
      </c>
      <c r="S1237" s="62" t="n">
        <v>0</v>
      </c>
      <c r="T1237" s="62" t="n">
        <v>0</v>
      </c>
      <c r="U1237" s="62" t="s">
        <v>15</v>
      </c>
      <c r="V1237" s="62" t="s">
        <v>2057</v>
      </c>
      <c r="W1237" s="62" t="s">
        <v>2056</v>
      </c>
      <c r="X1237" s="62" t="s">
        <v>2058</v>
      </c>
      <c r="Y1237" s="62" t="s">
        <v>2399</v>
      </c>
      <c r="Z1237" s="62" t="s">
        <v>2400</v>
      </c>
      <c r="AA1237" s="62" t="s">
        <v>2401</v>
      </c>
      <c r="AB1237" s="62" t="n">
        <v>1</v>
      </c>
      <c r="AC1237" s="62" t="n">
        <v>0</v>
      </c>
      <c r="AD1237" s="62" t="n">
        <v>1</v>
      </c>
      <c r="AE1237" s="62" t="n">
        <f aca="false">IF(AND(Dashboard!$C$9="Yes",AC1237=1),0,1)</f>
        <v>1</v>
      </c>
      <c r="AF1237" s="62" t="n">
        <v>1</v>
      </c>
    </row>
    <row r="1238" customFormat="false" ht="15" hidden="false" customHeight="false" outlineLevel="0" collapsed="false">
      <c r="A1238" s="62" t="n">
        <v>1237</v>
      </c>
      <c r="B1238" s="63" t="n">
        <v>46266.1491782407</v>
      </c>
      <c r="C1238" s="64" t="n">
        <v>46265</v>
      </c>
      <c r="D1238" s="62" t="s">
        <v>429</v>
      </c>
      <c r="E1238" s="62" t="s">
        <v>144</v>
      </c>
      <c r="F1238" s="62" t="s">
        <v>144</v>
      </c>
      <c r="G1238" s="62" t="s">
        <v>145</v>
      </c>
      <c r="H1238" s="62" t="s">
        <v>59</v>
      </c>
      <c r="I1238" s="62" t="s">
        <v>47</v>
      </c>
      <c r="J1238" s="62" t="s">
        <v>146</v>
      </c>
      <c r="K1238" s="62" t="s">
        <v>147</v>
      </c>
      <c r="L1238" s="62" t="s">
        <v>4</v>
      </c>
      <c r="M1238" s="62" t="n">
        <v>1</v>
      </c>
      <c r="N1238" s="62" t="n">
        <v>0</v>
      </c>
      <c r="O1238" s="62" t="n">
        <v>1</v>
      </c>
      <c r="P1238" s="62" t="n">
        <v>0</v>
      </c>
      <c r="Q1238" s="62" t="n">
        <v>0</v>
      </c>
      <c r="R1238" s="62" t="n">
        <v>0</v>
      </c>
      <c r="S1238" s="62" t="n">
        <v>0</v>
      </c>
      <c r="T1238" s="62" t="n">
        <v>0</v>
      </c>
      <c r="U1238" s="62" t="s">
        <v>2056</v>
      </c>
      <c r="V1238" s="62" t="s">
        <v>2057</v>
      </c>
      <c r="W1238" s="62" t="s">
        <v>15</v>
      </c>
      <c r="X1238" s="62" t="s">
        <v>2058</v>
      </c>
      <c r="Y1238" s="62" t="s">
        <v>2059</v>
      </c>
      <c r="Z1238" s="62" t="s">
        <v>2402</v>
      </c>
      <c r="AA1238" s="62" t="s">
        <v>2403</v>
      </c>
      <c r="AB1238" s="62" t="n">
        <v>1</v>
      </c>
      <c r="AC1238" s="62" t="n">
        <v>0</v>
      </c>
      <c r="AD1238" s="62" t="n">
        <v>1</v>
      </c>
      <c r="AE1238" s="62" t="n">
        <f aca="false">IF(AND(Dashboard!$C$9="Yes",AC1238=1),0,1)</f>
        <v>1</v>
      </c>
      <c r="AF1238" s="62" t="n">
        <v>0</v>
      </c>
    </row>
    <row r="1239" customFormat="false" ht="15" hidden="false" customHeight="false" outlineLevel="0" collapsed="false">
      <c r="A1239" s="62" t="n">
        <v>1238</v>
      </c>
      <c r="B1239" s="63" t="n">
        <v>46266.1497800926</v>
      </c>
      <c r="C1239" s="64" t="n">
        <v>46265</v>
      </c>
      <c r="D1239" s="62" t="s">
        <v>429</v>
      </c>
      <c r="E1239" s="62" t="s">
        <v>144</v>
      </c>
      <c r="F1239" s="62" t="s">
        <v>144</v>
      </c>
      <c r="G1239" s="62" t="s">
        <v>145</v>
      </c>
      <c r="H1239" s="62" t="s">
        <v>59</v>
      </c>
      <c r="I1239" s="62" t="s">
        <v>47</v>
      </c>
      <c r="J1239" s="62" t="s">
        <v>146</v>
      </c>
      <c r="K1239" s="62" t="s">
        <v>147</v>
      </c>
      <c r="L1239" s="62" t="s">
        <v>4</v>
      </c>
      <c r="M1239" s="62" t="n">
        <v>1</v>
      </c>
      <c r="N1239" s="62" t="n">
        <v>0</v>
      </c>
      <c r="O1239" s="62" t="n">
        <v>1</v>
      </c>
      <c r="P1239" s="62" t="n">
        <v>0</v>
      </c>
      <c r="Q1239" s="62" t="n">
        <v>0</v>
      </c>
      <c r="R1239" s="62" t="n">
        <v>0</v>
      </c>
      <c r="S1239" s="62" t="n">
        <v>0</v>
      </c>
      <c r="T1239" s="62" t="n">
        <v>0</v>
      </c>
      <c r="U1239" s="62" t="s">
        <v>2056</v>
      </c>
      <c r="V1239" s="62" t="s">
        <v>2057</v>
      </c>
      <c r="W1239" s="62" t="s">
        <v>15</v>
      </c>
      <c r="X1239" s="62" t="s">
        <v>2058</v>
      </c>
      <c r="Y1239" s="62" t="s">
        <v>2059</v>
      </c>
      <c r="Z1239" s="62" t="s">
        <v>2402</v>
      </c>
      <c r="AA1239" s="62" t="s">
        <v>2403</v>
      </c>
      <c r="AB1239" s="62" t="n">
        <v>1</v>
      </c>
      <c r="AC1239" s="62" t="n">
        <v>1</v>
      </c>
      <c r="AD1239" s="62" t="n">
        <v>1</v>
      </c>
      <c r="AE1239" s="62" t="n">
        <f aca="false">IF(AND(Dashboard!$C$9="Yes",AC1239=1),0,1)</f>
        <v>0</v>
      </c>
      <c r="AF1239" s="62" t="n">
        <v>0</v>
      </c>
    </row>
    <row r="1240" customFormat="false" ht="15" hidden="false" customHeight="false" outlineLevel="0" collapsed="false">
      <c r="A1240" s="62" t="n">
        <v>1239</v>
      </c>
      <c r="B1240" s="63" t="n">
        <v>46266.1603125</v>
      </c>
      <c r="C1240" s="64" t="n">
        <v>46265</v>
      </c>
      <c r="D1240" s="62" t="s">
        <v>429</v>
      </c>
      <c r="E1240" s="62" t="s">
        <v>2365</v>
      </c>
      <c r="F1240" s="62" t="s">
        <v>2365</v>
      </c>
      <c r="G1240" s="62" t="s">
        <v>2366</v>
      </c>
      <c r="H1240" s="62" t="s">
        <v>52</v>
      </c>
      <c r="I1240" s="62" t="s">
        <v>47</v>
      </c>
      <c r="J1240" s="62" t="s">
        <v>146</v>
      </c>
      <c r="K1240" s="62" t="s">
        <v>147</v>
      </c>
      <c r="L1240" s="62" t="s">
        <v>148</v>
      </c>
      <c r="M1240" s="62" t="n">
        <v>0</v>
      </c>
      <c r="N1240" s="62" t="n">
        <v>1</v>
      </c>
      <c r="O1240" s="62" t="n">
        <v>1</v>
      </c>
      <c r="P1240" s="62" t="n">
        <v>0</v>
      </c>
      <c r="Q1240" s="62" t="n">
        <v>1</v>
      </c>
      <c r="R1240" s="62" t="n">
        <v>0</v>
      </c>
      <c r="S1240" s="62" t="n">
        <v>0</v>
      </c>
      <c r="T1240" s="62" t="n">
        <v>0</v>
      </c>
      <c r="U1240" s="62"/>
      <c r="V1240" s="62"/>
      <c r="W1240" s="62"/>
      <c r="X1240" s="62"/>
      <c r="Y1240" s="62"/>
      <c r="Z1240" s="62" t="s">
        <v>2367</v>
      </c>
      <c r="AA1240" s="62" t="s">
        <v>2368</v>
      </c>
      <c r="AB1240" s="62" t="n">
        <v>1</v>
      </c>
      <c r="AC1240" s="62" t="n">
        <v>1</v>
      </c>
      <c r="AD1240" s="62" t="n">
        <v>1</v>
      </c>
      <c r="AE1240" s="62" t="n">
        <f aca="false">IF(AND(Dashboard!$C$9="Yes",AC1240=1),0,1)</f>
        <v>0</v>
      </c>
      <c r="AF1240" s="62" t="n">
        <v>0</v>
      </c>
    </row>
    <row r="1241" customFormat="false" ht="15" hidden="false" customHeight="false" outlineLevel="0" collapsed="false">
      <c r="A1241" s="62" t="n">
        <v>1240</v>
      </c>
      <c r="B1241" s="63" t="n">
        <v>46266.183275463</v>
      </c>
      <c r="C1241" s="64" t="n">
        <v>46265</v>
      </c>
      <c r="D1241" s="62" t="s">
        <v>429</v>
      </c>
      <c r="E1241" s="62" t="s">
        <v>1314</v>
      </c>
      <c r="F1241" s="62" t="s">
        <v>1314</v>
      </c>
      <c r="G1241" s="62" t="s">
        <v>1315</v>
      </c>
      <c r="H1241" s="62" t="s">
        <v>51</v>
      </c>
      <c r="I1241" s="62" t="s">
        <v>47</v>
      </c>
      <c r="J1241" s="62" t="s">
        <v>146</v>
      </c>
      <c r="K1241" s="62" t="s">
        <v>209</v>
      </c>
      <c r="L1241" s="62" t="s">
        <v>148</v>
      </c>
      <c r="M1241" s="62" t="n">
        <v>0</v>
      </c>
      <c r="N1241" s="62" t="n">
        <v>1</v>
      </c>
      <c r="O1241" s="62" t="n">
        <v>1</v>
      </c>
      <c r="P1241" s="62" t="n">
        <v>0</v>
      </c>
      <c r="Q1241" s="62" t="n">
        <v>0</v>
      </c>
      <c r="R1241" s="62" t="n">
        <v>1</v>
      </c>
      <c r="S1241" s="62" t="n">
        <v>0</v>
      </c>
      <c r="T1241" s="62" t="n">
        <v>0</v>
      </c>
      <c r="U1241" s="62"/>
      <c r="V1241" s="62"/>
      <c r="W1241" s="62"/>
      <c r="X1241" s="62"/>
      <c r="Y1241" s="62"/>
      <c r="Z1241" s="62" t="s">
        <v>2404</v>
      </c>
      <c r="AA1241" s="62" t="s">
        <v>2405</v>
      </c>
      <c r="AB1241" s="62" t="n">
        <v>1</v>
      </c>
      <c r="AC1241" s="62" t="n">
        <v>0</v>
      </c>
      <c r="AD1241" s="62" t="n">
        <v>1</v>
      </c>
      <c r="AE1241" s="62" t="n">
        <f aca="false">IF(AND(Dashboard!$C$9="Yes",AC1241=1),0,1)</f>
        <v>1</v>
      </c>
      <c r="AF1241" s="62" t="n">
        <v>1</v>
      </c>
    </row>
    <row r="1242" customFormat="false" ht="15" hidden="false" customHeight="false" outlineLevel="0" collapsed="false">
      <c r="A1242" s="62" t="n">
        <v>1241</v>
      </c>
      <c r="B1242" s="63" t="n">
        <v>46266.1853587963</v>
      </c>
      <c r="C1242" s="64" t="n">
        <v>46265</v>
      </c>
      <c r="D1242" s="62" t="s">
        <v>429</v>
      </c>
      <c r="E1242" s="62" t="s">
        <v>2385</v>
      </c>
      <c r="F1242" s="62" t="s">
        <v>2385</v>
      </c>
      <c r="G1242" s="62" t="s">
        <v>2386</v>
      </c>
      <c r="H1242" s="62" t="s">
        <v>59</v>
      </c>
      <c r="I1242" s="62" t="s">
        <v>47</v>
      </c>
      <c r="J1242" s="62" t="s">
        <v>146</v>
      </c>
      <c r="K1242" s="62" t="s">
        <v>209</v>
      </c>
      <c r="L1242" s="62" t="s">
        <v>148</v>
      </c>
      <c r="M1242" s="62" t="n">
        <v>0</v>
      </c>
      <c r="N1242" s="62" t="n">
        <v>1</v>
      </c>
      <c r="O1242" s="62" t="n">
        <v>1</v>
      </c>
      <c r="P1242" s="62" t="n">
        <v>0</v>
      </c>
      <c r="Q1242" s="62" t="n">
        <v>1</v>
      </c>
      <c r="R1242" s="62" t="n">
        <v>0</v>
      </c>
      <c r="S1242" s="62" t="n">
        <v>0</v>
      </c>
      <c r="T1242" s="62" t="n">
        <v>0</v>
      </c>
      <c r="U1242" s="62"/>
      <c r="V1242" s="62"/>
      <c r="W1242" s="62"/>
      <c r="X1242" s="62"/>
      <c r="Y1242" s="62"/>
      <c r="Z1242" s="62" t="s">
        <v>2406</v>
      </c>
      <c r="AA1242" s="62" t="s">
        <v>2407</v>
      </c>
      <c r="AB1242" s="62" t="n">
        <v>1</v>
      </c>
      <c r="AC1242" s="62" t="n">
        <v>0</v>
      </c>
      <c r="AD1242" s="62" t="n">
        <v>1</v>
      </c>
      <c r="AE1242" s="62" t="n">
        <f aca="false">IF(AND(Dashboard!$C$9="Yes",AC1242=1),0,1)</f>
        <v>1</v>
      </c>
      <c r="AF1242" s="62" t="n">
        <v>0</v>
      </c>
    </row>
    <row r="1243" customFormat="false" ht="15" hidden="false" customHeight="false" outlineLevel="0" collapsed="false">
      <c r="A1243" s="62" t="n">
        <v>1242</v>
      </c>
      <c r="B1243" s="63" t="n">
        <v>46266.2010416667</v>
      </c>
      <c r="C1243" s="64" t="n">
        <v>46265</v>
      </c>
      <c r="D1243" s="62" t="s">
        <v>429</v>
      </c>
      <c r="E1243" s="62" t="s">
        <v>1652</v>
      </c>
      <c r="F1243" s="62" t="s">
        <v>1652</v>
      </c>
      <c r="G1243" s="62" t="s">
        <v>1653</v>
      </c>
      <c r="H1243" s="62" t="s">
        <v>57</v>
      </c>
      <c r="I1243" s="62" t="s">
        <v>47</v>
      </c>
      <c r="J1243" s="62" t="s">
        <v>146</v>
      </c>
      <c r="K1243" s="62" t="s">
        <v>175</v>
      </c>
      <c r="L1243" s="62" t="s">
        <v>148</v>
      </c>
      <c r="M1243" s="62" t="n">
        <v>0</v>
      </c>
      <c r="N1243" s="62" t="n">
        <v>1</v>
      </c>
      <c r="O1243" s="62" t="n">
        <v>1</v>
      </c>
      <c r="P1243" s="62" t="n">
        <v>1</v>
      </c>
      <c r="Q1243" s="62" t="n">
        <v>0</v>
      </c>
      <c r="R1243" s="62" t="n">
        <v>0</v>
      </c>
      <c r="S1243" s="62" t="n">
        <v>0</v>
      </c>
      <c r="T1243" s="62" t="n">
        <v>0</v>
      </c>
      <c r="U1243" s="62"/>
      <c r="V1243" s="62"/>
      <c r="W1243" s="62"/>
      <c r="X1243" s="62"/>
      <c r="Y1243" s="62"/>
      <c r="Z1243" s="62" t="s">
        <v>2408</v>
      </c>
      <c r="AA1243" s="62" t="s">
        <v>2409</v>
      </c>
      <c r="AB1243" s="62" t="n">
        <v>1</v>
      </c>
      <c r="AC1243" s="62" t="n">
        <v>0</v>
      </c>
      <c r="AD1243" s="62" t="n">
        <v>1</v>
      </c>
      <c r="AE1243" s="62" t="n">
        <f aca="false">IF(AND(Dashboard!$C$9="Yes",AC1243=1),0,1)</f>
        <v>1</v>
      </c>
      <c r="AF1243" s="62" t="n">
        <v>0</v>
      </c>
    </row>
    <row r="1244" customFormat="false" ht="15" hidden="false" customHeight="false" outlineLevel="0" collapsed="false">
      <c r="A1244" s="62" t="n">
        <v>1243</v>
      </c>
      <c r="B1244" s="63" t="n">
        <v>46266.2015393519</v>
      </c>
      <c r="C1244" s="64" t="n">
        <v>46265</v>
      </c>
      <c r="D1244" s="62" t="s">
        <v>429</v>
      </c>
      <c r="E1244" s="62" t="s">
        <v>1652</v>
      </c>
      <c r="F1244" s="62" t="s">
        <v>1652</v>
      </c>
      <c r="G1244" s="62" t="s">
        <v>1653</v>
      </c>
      <c r="H1244" s="62" t="s">
        <v>57</v>
      </c>
      <c r="I1244" s="62" t="s">
        <v>47</v>
      </c>
      <c r="J1244" s="62" t="s">
        <v>146</v>
      </c>
      <c r="K1244" s="62" t="s">
        <v>175</v>
      </c>
      <c r="L1244" s="62" t="s">
        <v>4</v>
      </c>
      <c r="M1244" s="62" t="n">
        <v>1</v>
      </c>
      <c r="N1244" s="62" t="n">
        <v>0</v>
      </c>
      <c r="O1244" s="62" t="n">
        <v>1</v>
      </c>
      <c r="P1244" s="62" t="n">
        <v>0</v>
      </c>
      <c r="Q1244" s="62" t="n">
        <v>0</v>
      </c>
      <c r="R1244" s="62" t="n">
        <v>0</v>
      </c>
      <c r="S1244" s="62" t="n">
        <v>0</v>
      </c>
      <c r="T1244" s="62" t="n">
        <v>0</v>
      </c>
      <c r="U1244" s="62" t="s">
        <v>2056</v>
      </c>
      <c r="V1244" s="62" t="s">
        <v>2057</v>
      </c>
      <c r="W1244" s="62" t="s">
        <v>15</v>
      </c>
      <c r="X1244" s="62" t="s">
        <v>2058</v>
      </c>
      <c r="Y1244" s="62" t="s">
        <v>2059</v>
      </c>
      <c r="Z1244" s="62" t="s">
        <v>2408</v>
      </c>
      <c r="AA1244" s="62" t="s">
        <v>2410</v>
      </c>
      <c r="AB1244" s="62" t="n">
        <v>1</v>
      </c>
      <c r="AC1244" s="62" t="n">
        <v>0</v>
      </c>
      <c r="AD1244" s="62" t="n">
        <v>1</v>
      </c>
      <c r="AE1244" s="62" t="n">
        <f aca="false">IF(AND(Dashboard!$C$9="Yes",AC1244=1),0,1)</f>
        <v>1</v>
      </c>
      <c r="AF1244" s="62" t="n">
        <v>0</v>
      </c>
    </row>
    <row r="1245" customFormat="false" ht="15" hidden="false" customHeight="false" outlineLevel="0" collapsed="false">
      <c r="A1245" s="62" t="n">
        <v>1244</v>
      </c>
      <c r="B1245" s="63" t="n">
        <v>46266.2028125</v>
      </c>
      <c r="C1245" s="64" t="n">
        <v>46265</v>
      </c>
      <c r="D1245" s="62" t="s">
        <v>429</v>
      </c>
      <c r="E1245" s="62" t="s">
        <v>1652</v>
      </c>
      <c r="F1245" s="62" t="s">
        <v>1652</v>
      </c>
      <c r="G1245" s="62" t="s">
        <v>1653</v>
      </c>
      <c r="H1245" s="62" t="s">
        <v>57</v>
      </c>
      <c r="I1245" s="62" t="s">
        <v>47</v>
      </c>
      <c r="J1245" s="62" t="s">
        <v>146</v>
      </c>
      <c r="K1245" s="62" t="s">
        <v>175</v>
      </c>
      <c r="L1245" s="62" t="s">
        <v>148</v>
      </c>
      <c r="M1245" s="62" t="n">
        <v>0</v>
      </c>
      <c r="N1245" s="62" t="n">
        <v>1</v>
      </c>
      <c r="O1245" s="62" t="n">
        <v>1</v>
      </c>
      <c r="P1245" s="62" t="n">
        <v>0</v>
      </c>
      <c r="Q1245" s="62" t="n">
        <v>0</v>
      </c>
      <c r="R1245" s="62" t="n">
        <v>0</v>
      </c>
      <c r="S1245" s="62" t="n">
        <v>1</v>
      </c>
      <c r="T1245" s="62" t="n">
        <v>0</v>
      </c>
      <c r="U1245" s="62"/>
      <c r="V1245" s="62"/>
      <c r="W1245" s="62"/>
      <c r="X1245" s="62"/>
      <c r="Y1245" s="62"/>
      <c r="Z1245" s="62" t="s">
        <v>2411</v>
      </c>
      <c r="AA1245" s="62" t="s">
        <v>2410</v>
      </c>
      <c r="AB1245" s="62" t="n">
        <v>1</v>
      </c>
      <c r="AC1245" s="62" t="n">
        <v>0</v>
      </c>
      <c r="AD1245" s="62" t="n">
        <v>1</v>
      </c>
      <c r="AE1245" s="62" t="n">
        <f aca="false">IF(AND(Dashboard!$C$9="Yes",AC1245=1),0,1)</f>
        <v>1</v>
      </c>
      <c r="AF1245" s="62" t="n">
        <v>0</v>
      </c>
    </row>
    <row r="1246" customFormat="false" ht="15" hidden="false" customHeight="false" outlineLevel="0" collapsed="false">
      <c r="A1246" s="62" t="n">
        <v>1245</v>
      </c>
      <c r="B1246" s="63" t="n">
        <v>46266.2202430556</v>
      </c>
      <c r="C1246" s="64" t="n">
        <v>46265</v>
      </c>
      <c r="D1246" s="62" t="s">
        <v>429</v>
      </c>
      <c r="E1246" s="62" t="s">
        <v>144</v>
      </c>
      <c r="F1246" s="62" t="s">
        <v>144</v>
      </c>
      <c r="G1246" s="62" t="s">
        <v>145</v>
      </c>
      <c r="H1246" s="62" t="s">
        <v>59</v>
      </c>
      <c r="I1246" s="62" t="s">
        <v>47</v>
      </c>
      <c r="J1246" s="62" t="s">
        <v>146</v>
      </c>
      <c r="K1246" s="62" t="s">
        <v>147</v>
      </c>
      <c r="L1246" s="62" t="s">
        <v>148</v>
      </c>
      <c r="M1246" s="62" t="n">
        <v>0</v>
      </c>
      <c r="N1246" s="62" t="n">
        <v>1</v>
      </c>
      <c r="O1246" s="62" t="n">
        <v>1</v>
      </c>
      <c r="P1246" s="62" t="n">
        <v>0</v>
      </c>
      <c r="Q1246" s="62" t="n">
        <v>0</v>
      </c>
      <c r="R1246" s="62" t="n">
        <v>1</v>
      </c>
      <c r="S1246" s="62" t="n">
        <v>0</v>
      </c>
      <c r="T1246" s="62" t="n">
        <v>0</v>
      </c>
      <c r="U1246" s="62"/>
      <c r="V1246" s="62"/>
      <c r="W1246" s="62"/>
      <c r="X1246" s="62"/>
      <c r="Y1246" s="62"/>
      <c r="Z1246" s="62" t="s">
        <v>2412</v>
      </c>
      <c r="AA1246" s="62" t="s">
        <v>237</v>
      </c>
      <c r="AB1246" s="62" t="n">
        <v>0</v>
      </c>
      <c r="AC1246" s="62" t="n">
        <v>0</v>
      </c>
      <c r="AD1246" s="62" t="n">
        <v>1</v>
      </c>
      <c r="AE1246" s="62" t="n">
        <f aca="false">IF(AND(Dashboard!$C$9="Yes",AC1246=1),0,1)</f>
        <v>1</v>
      </c>
      <c r="AF1246" s="62" t="n">
        <v>0</v>
      </c>
    </row>
    <row r="1247" customFormat="false" ht="15" hidden="false" customHeight="false" outlineLevel="0" collapsed="false">
      <c r="A1247" s="62" t="n">
        <v>1246</v>
      </c>
      <c r="B1247" s="63" t="n">
        <v>46266.2225578704</v>
      </c>
      <c r="C1247" s="64" t="n">
        <v>46265</v>
      </c>
      <c r="D1247" s="62" t="s">
        <v>429</v>
      </c>
      <c r="E1247" s="62" t="s">
        <v>2385</v>
      </c>
      <c r="F1247" s="62" t="s">
        <v>2385</v>
      </c>
      <c r="G1247" s="62" t="s">
        <v>2386</v>
      </c>
      <c r="H1247" s="62" t="s">
        <v>59</v>
      </c>
      <c r="I1247" s="62" t="s">
        <v>47</v>
      </c>
      <c r="J1247" s="62" t="s">
        <v>146</v>
      </c>
      <c r="K1247" s="62" t="s">
        <v>209</v>
      </c>
      <c r="L1247" s="62" t="s">
        <v>148</v>
      </c>
      <c r="M1247" s="62" t="n">
        <v>0</v>
      </c>
      <c r="N1247" s="62" t="n">
        <v>1</v>
      </c>
      <c r="O1247" s="62" t="n">
        <v>1</v>
      </c>
      <c r="P1247" s="62" t="n">
        <v>1</v>
      </c>
      <c r="Q1247" s="62" t="n">
        <v>0</v>
      </c>
      <c r="R1247" s="62" t="n">
        <v>0</v>
      </c>
      <c r="S1247" s="62" t="n">
        <v>0</v>
      </c>
      <c r="T1247" s="62" t="n">
        <v>0</v>
      </c>
      <c r="U1247" s="62"/>
      <c r="V1247" s="62"/>
      <c r="W1247" s="62"/>
      <c r="X1247" s="62"/>
      <c r="Y1247" s="62"/>
      <c r="Z1247" s="62" t="s">
        <v>2413</v>
      </c>
      <c r="AA1247" s="62" t="s">
        <v>2414</v>
      </c>
      <c r="AB1247" s="62" t="n">
        <v>1</v>
      </c>
      <c r="AC1247" s="62" t="n">
        <v>0</v>
      </c>
      <c r="AD1247" s="62" t="n">
        <v>1</v>
      </c>
      <c r="AE1247" s="62" t="n">
        <f aca="false">IF(AND(Dashboard!$C$9="Yes",AC1247=1),0,1)</f>
        <v>1</v>
      </c>
      <c r="AF1247" s="62" t="n">
        <v>0</v>
      </c>
    </row>
    <row r="1248" customFormat="false" ht="15" hidden="false" customHeight="false" outlineLevel="0" collapsed="false">
      <c r="A1248" s="62" t="n">
        <v>1247</v>
      </c>
      <c r="B1248" s="63" t="n">
        <v>46266.2284027778</v>
      </c>
      <c r="C1248" s="64" t="n">
        <v>46265</v>
      </c>
      <c r="D1248" s="62" t="s">
        <v>429</v>
      </c>
      <c r="E1248" s="62" t="s">
        <v>144</v>
      </c>
      <c r="F1248" s="62" t="s">
        <v>144</v>
      </c>
      <c r="G1248" s="62" t="s">
        <v>145</v>
      </c>
      <c r="H1248" s="62" t="s">
        <v>59</v>
      </c>
      <c r="I1248" s="62" t="s">
        <v>47</v>
      </c>
      <c r="J1248" s="62" t="s">
        <v>146</v>
      </c>
      <c r="K1248" s="62" t="s">
        <v>147</v>
      </c>
      <c r="L1248" s="62" t="s">
        <v>148</v>
      </c>
      <c r="M1248" s="62" t="n">
        <v>0</v>
      </c>
      <c r="N1248" s="62" t="n">
        <v>1</v>
      </c>
      <c r="O1248" s="62" t="n">
        <v>1</v>
      </c>
      <c r="P1248" s="62" t="n">
        <v>0</v>
      </c>
      <c r="Q1248" s="62" t="n">
        <v>0</v>
      </c>
      <c r="R1248" s="62" t="n">
        <v>1</v>
      </c>
      <c r="S1248" s="62" t="n">
        <v>0</v>
      </c>
      <c r="T1248" s="62" t="n">
        <v>0</v>
      </c>
      <c r="U1248" s="62"/>
      <c r="V1248" s="62"/>
      <c r="W1248" s="62"/>
      <c r="X1248" s="62"/>
      <c r="Y1248" s="62"/>
      <c r="Z1248" s="62" t="s">
        <v>2412</v>
      </c>
      <c r="AA1248" s="62" t="s">
        <v>2412</v>
      </c>
      <c r="AB1248" s="62" t="n">
        <v>1</v>
      </c>
      <c r="AC1248" s="62" t="n">
        <v>0</v>
      </c>
      <c r="AD1248" s="62" t="n">
        <v>1</v>
      </c>
      <c r="AE1248" s="62" t="n">
        <f aca="false">IF(AND(Dashboard!$C$9="Yes",AC1248=1),0,1)</f>
        <v>1</v>
      </c>
      <c r="AF1248" s="62" t="n">
        <v>0</v>
      </c>
    </row>
    <row r="1249" customFormat="false" ht="15" hidden="false" customHeight="false" outlineLevel="0" collapsed="false">
      <c r="A1249" s="62" t="n">
        <v>1248</v>
      </c>
      <c r="B1249" s="63" t="n">
        <v>46266.2286342593</v>
      </c>
      <c r="C1249" s="64" t="n">
        <v>46265</v>
      </c>
      <c r="D1249" s="62" t="s">
        <v>429</v>
      </c>
      <c r="E1249" s="62" t="s">
        <v>144</v>
      </c>
      <c r="F1249" s="62" t="s">
        <v>144</v>
      </c>
      <c r="G1249" s="62" t="s">
        <v>145</v>
      </c>
      <c r="H1249" s="62" t="s">
        <v>59</v>
      </c>
      <c r="I1249" s="62" t="s">
        <v>47</v>
      </c>
      <c r="J1249" s="62" t="s">
        <v>146</v>
      </c>
      <c r="K1249" s="62" t="s">
        <v>147</v>
      </c>
      <c r="L1249" s="62" t="s">
        <v>148</v>
      </c>
      <c r="M1249" s="62" t="n">
        <v>0</v>
      </c>
      <c r="N1249" s="62" t="n">
        <v>1</v>
      </c>
      <c r="O1249" s="62" t="n">
        <v>1</v>
      </c>
      <c r="P1249" s="62" t="n">
        <v>0</v>
      </c>
      <c r="Q1249" s="62" t="n">
        <v>0</v>
      </c>
      <c r="R1249" s="62" t="n">
        <v>1</v>
      </c>
      <c r="S1249" s="62" t="n">
        <v>0</v>
      </c>
      <c r="T1249" s="62" t="n">
        <v>0</v>
      </c>
      <c r="U1249" s="62"/>
      <c r="V1249" s="62"/>
      <c r="W1249" s="62"/>
      <c r="X1249" s="62"/>
      <c r="Y1249" s="62"/>
      <c r="Z1249" s="62" t="s">
        <v>2412</v>
      </c>
      <c r="AA1249" s="62" t="s">
        <v>2415</v>
      </c>
      <c r="AB1249" s="62" t="n">
        <v>1</v>
      </c>
      <c r="AC1249" s="62" t="n">
        <v>0</v>
      </c>
      <c r="AD1249" s="62" t="n">
        <v>1</v>
      </c>
      <c r="AE1249" s="62" t="n">
        <f aca="false">IF(AND(Dashboard!$C$9="Yes",AC1249=1),0,1)</f>
        <v>1</v>
      </c>
      <c r="AF1249" s="62" t="n">
        <v>0</v>
      </c>
    </row>
    <row r="1250" customFormat="false" ht="15" hidden="false" customHeight="false" outlineLevel="0" collapsed="false">
      <c r="A1250" s="62" t="n">
        <v>1249</v>
      </c>
      <c r="B1250" s="63" t="n">
        <v>46266.2288425926</v>
      </c>
      <c r="C1250" s="64" t="n">
        <v>46265</v>
      </c>
      <c r="D1250" s="62" t="s">
        <v>429</v>
      </c>
      <c r="E1250" s="62" t="s">
        <v>144</v>
      </c>
      <c r="F1250" s="62" t="s">
        <v>144</v>
      </c>
      <c r="G1250" s="62" t="s">
        <v>145</v>
      </c>
      <c r="H1250" s="62" t="s">
        <v>59</v>
      </c>
      <c r="I1250" s="62" t="s">
        <v>47</v>
      </c>
      <c r="J1250" s="62" t="s">
        <v>146</v>
      </c>
      <c r="K1250" s="62" t="s">
        <v>147</v>
      </c>
      <c r="L1250" s="62" t="s">
        <v>148</v>
      </c>
      <c r="M1250" s="62" t="n">
        <v>0</v>
      </c>
      <c r="N1250" s="62" t="n">
        <v>1</v>
      </c>
      <c r="O1250" s="62" t="n">
        <v>1</v>
      </c>
      <c r="P1250" s="62" t="n">
        <v>0</v>
      </c>
      <c r="Q1250" s="62" t="n">
        <v>0</v>
      </c>
      <c r="R1250" s="62" t="n">
        <v>1</v>
      </c>
      <c r="S1250" s="62" t="n">
        <v>0</v>
      </c>
      <c r="T1250" s="62" t="n">
        <v>0</v>
      </c>
      <c r="U1250" s="62"/>
      <c r="V1250" s="62"/>
      <c r="W1250" s="62"/>
      <c r="X1250" s="62"/>
      <c r="Y1250" s="62"/>
      <c r="Z1250" s="62" t="s">
        <v>2412</v>
      </c>
      <c r="AA1250" s="62" t="s">
        <v>2415</v>
      </c>
      <c r="AB1250" s="62" t="n">
        <v>1</v>
      </c>
      <c r="AC1250" s="62" t="n">
        <v>1</v>
      </c>
      <c r="AD1250" s="62" t="n">
        <v>1</v>
      </c>
      <c r="AE1250" s="62" t="n">
        <f aca="false">IF(AND(Dashboard!$C$9="Yes",AC1250=1),0,1)</f>
        <v>0</v>
      </c>
      <c r="AF1250" s="62" t="n">
        <v>0</v>
      </c>
    </row>
    <row r="1251" customFormat="false" ht="15" hidden="false" customHeight="false" outlineLevel="0" collapsed="false">
      <c r="A1251" s="62" t="n">
        <v>1250</v>
      </c>
      <c r="B1251" s="63" t="n">
        <v>46266.2303240741</v>
      </c>
      <c r="C1251" s="64" t="n">
        <v>46265</v>
      </c>
      <c r="D1251" s="62" t="s">
        <v>429</v>
      </c>
      <c r="E1251" s="62" t="s">
        <v>239</v>
      </c>
      <c r="F1251" s="62" t="s">
        <v>240</v>
      </c>
      <c r="G1251" s="62" t="s">
        <v>153</v>
      </c>
      <c r="H1251" s="62" t="s">
        <v>153</v>
      </c>
      <c r="I1251" s="62" t="s">
        <v>153</v>
      </c>
      <c r="J1251" s="62" t="s">
        <v>64</v>
      </c>
      <c r="K1251" s="62" t="s">
        <v>64</v>
      </c>
      <c r="L1251" s="62" t="s">
        <v>148</v>
      </c>
      <c r="M1251" s="62" t="n">
        <v>0</v>
      </c>
      <c r="N1251" s="62" t="n">
        <v>1</v>
      </c>
      <c r="O1251" s="62" t="n">
        <v>1</v>
      </c>
      <c r="P1251" s="62" t="n">
        <v>0</v>
      </c>
      <c r="Q1251" s="62" t="n">
        <v>0</v>
      </c>
      <c r="R1251" s="62" t="n">
        <v>1</v>
      </c>
      <c r="S1251" s="62" t="n">
        <v>0</v>
      </c>
      <c r="T1251" s="62" t="n">
        <v>0</v>
      </c>
      <c r="U1251" s="62"/>
      <c r="V1251" s="62"/>
      <c r="W1251" s="62"/>
      <c r="X1251" s="62"/>
      <c r="Y1251" s="62"/>
      <c r="Z1251" s="62" t="s">
        <v>2416</v>
      </c>
      <c r="AA1251" s="62" t="s">
        <v>2417</v>
      </c>
      <c r="AB1251" s="62" t="n">
        <v>1</v>
      </c>
      <c r="AC1251" s="62" t="n">
        <v>0</v>
      </c>
      <c r="AD1251" s="62" t="n">
        <v>0</v>
      </c>
      <c r="AE1251" s="62" t="n">
        <f aca="false">IF(AND(Dashboard!$C$9="Yes",AC1251=1),0,1)</f>
        <v>1</v>
      </c>
      <c r="AF1251" s="62" t="n">
        <v>0</v>
      </c>
    </row>
    <row r="1252" customFormat="false" ht="15" hidden="false" customHeight="false" outlineLevel="0" collapsed="false">
      <c r="A1252" s="62" t="n">
        <v>1251</v>
      </c>
      <c r="B1252" s="63" t="n">
        <v>46266.2305208333</v>
      </c>
      <c r="C1252" s="64" t="n">
        <v>46265</v>
      </c>
      <c r="D1252" s="62" t="s">
        <v>429</v>
      </c>
      <c r="E1252" s="62" t="s">
        <v>239</v>
      </c>
      <c r="F1252" s="62" t="s">
        <v>240</v>
      </c>
      <c r="G1252" s="62" t="s">
        <v>153</v>
      </c>
      <c r="H1252" s="62" t="s">
        <v>153</v>
      </c>
      <c r="I1252" s="62" t="s">
        <v>153</v>
      </c>
      <c r="J1252" s="62" t="s">
        <v>64</v>
      </c>
      <c r="K1252" s="62" t="s">
        <v>64</v>
      </c>
      <c r="L1252" s="62" t="s">
        <v>148</v>
      </c>
      <c r="M1252" s="62" t="n">
        <v>0</v>
      </c>
      <c r="N1252" s="62" t="n">
        <v>1</v>
      </c>
      <c r="O1252" s="62" t="n">
        <v>1</v>
      </c>
      <c r="P1252" s="62" t="n">
        <v>0</v>
      </c>
      <c r="Q1252" s="62" t="n">
        <v>0</v>
      </c>
      <c r="R1252" s="62" t="n">
        <v>1</v>
      </c>
      <c r="S1252" s="62" t="n">
        <v>0</v>
      </c>
      <c r="T1252" s="62" t="n">
        <v>0</v>
      </c>
      <c r="U1252" s="62"/>
      <c r="V1252" s="62"/>
      <c r="W1252" s="62"/>
      <c r="X1252" s="62"/>
      <c r="Y1252" s="62"/>
      <c r="Z1252" s="62" t="s">
        <v>2416</v>
      </c>
      <c r="AA1252" s="62" t="s">
        <v>2417</v>
      </c>
      <c r="AB1252" s="62" t="n">
        <v>1</v>
      </c>
      <c r="AC1252" s="62" t="n">
        <v>1</v>
      </c>
      <c r="AD1252" s="62" t="n">
        <v>0</v>
      </c>
      <c r="AE1252" s="62" t="n">
        <f aca="false">IF(AND(Dashboard!$C$9="Yes",AC1252=1),0,1)</f>
        <v>0</v>
      </c>
      <c r="AF1252" s="62" t="n">
        <v>0</v>
      </c>
    </row>
    <row r="1253" customFormat="false" ht="15" hidden="false" customHeight="false" outlineLevel="0" collapsed="false">
      <c r="A1253" s="62" t="n">
        <v>1252</v>
      </c>
      <c r="B1253" s="63" t="n">
        <v>46266.230787037</v>
      </c>
      <c r="C1253" s="64" t="n">
        <v>46265</v>
      </c>
      <c r="D1253" s="62" t="s">
        <v>429</v>
      </c>
      <c r="E1253" s="62" t="s">
        <v>239</v>
      </c>
      <c r="F1253" s="62" t="s">
        <v>240</v>
      </c>
      <c r="G1253" s="62" t="s">
        <v>153</v>
      </c>
      <c r="H1253" s="62" t="s">
        <v>153</v>
      </c>
      <c r="I1253" s="62" t="s">
        <v>153</v>
      </c>
      <c r="J1253" s="62" t="s">
        <v>64</v>
      </c>
      <c r="K1253" s="62" t="s">
        <v>64</v>
      </c>
      <c r="L1253" s="62" t="s">
        <v>148</v>
      </c>
      <c r="M1253" s="62" t="n">
        <v>0</v>
      </c>
      <c r="N1253" s="62" t="n">
        <v>1</v>
      </c>
      <c r="O1253" s="62" t="n">
        <v>1</v>
      </c>
      <c r="P1253" s="62" t="n">
        <v>0</v>
      </c>
      <c r="Q1253" s="62" t="n">
        <v>0</v>
      </c>
      <c r="R1253" s="62" t="n">
        <v>1</v>
      </c>
      <c r="S1253" s="62" t="n">
        <v>0</v>
      </c>
      <c r="T1253" s="62" t="n">
        <v>0</v>
      </c>
      <c r="U1253" s="62"/>
      <c r="V1253" s="62"/>
      <c r="W1253" s="62"/>
      <c r="X1253" s="62"/>
      <c r="Y1253" s="62"/>
      <c r="Z1253" s="62" t="s">
        <v>2416</v>
      </c>
      <c r="AA1253" s="62" t="s">
        <v>2417</v>
      </c>
      <c r="AB1253" s="62" t="n">
        <v>1</v>
      </c>
      <c r="AC1253" s="62" t="n">
        <v>1</v>
      </c>
      <c r="AD1253" s="62" t="n">
        <v>0</v>
      </c>
      <c r="AE1253" s="62" t="n">
        <f aca="false">IF(AND(Dashboard!$C$9="Yes",AC1253=1),0,1)</f>
        <v>0</v>
      </c>
      <c r="AF1253" s="62" t="n">
        <v>0</v>
      </c>
    </row>
    <row r="1254" customFormat="false" ht="15" hidden="false" customHeight="false" outlineLevel="0" collapsed="false">
      <c r="A1254" s="62" t="n">
        <v>1253</v>
      </c>
      <c r="B1254" s="63" t="n">
        <v>46266.2310069444</v>
      </c>
      <c r="C1254" s="64" t="n">
        <v>46265</v>
      </c>
      <c r="D1254" s="62" t="s">
        <v>429</v>
      </c>
      <c r="E1254" s="62" t="s">
        <v>239</v>
      </c>
      <c r="F1254" s="62" t="s">
        <v>240</v>
      </c>
      <c r="G1254" s="62" t="s">
        <v>153</v>
      </c>
      <c r="H1254" s="62" t="s">
        <v>153</v>
      </c>
      <c r="I1254" s="62" t="s">
        <v>153</v>
      </c>
      <c r="J1254" s="62" t="s">
        <v>64</v>
      </c>
      <c r="K1254" s="62" t="s">
        <v>64</v>
      </c>
      <c r="L1254" s="62" t="s">
        <v>148</v>
      </c>
      <c r="M1254" s="62" t="n">
        <v>0</v>
      </c>
      <c r="N1254" s="62" t="n">
        <v>1</v>
      </c>
      <c r="O1254" s="62" t="n">
        <v>1</v>
      </c>
      <c r="P1254" s="62" t="n">
        <v>0</v>
      </c>
      <c r="Q1254" s="62" t="n">
        <v>0</v>
      </c>
      <c r="R1254" s="62" t="n">
        <v>1</v>
      </c>
      <c r="S1254" s="62" t="n">
        <v>0</v>
      </c>
      <c r="T1254" s="62" t="n">
        <v>0</v>
      </c>
      <c r="U1254" s="62"/>
      <c r="V1254" s="62"/>
      <c r="W1254" s="62"/>
      <c r="X1254" s="62"/>
      <c r="Y1254" s="62"/>
      <c r="Z1254" s="62" t="s">
        <v>2416</v>
      </c>
      <c r="AA1254" s="62" t="s">
        <v>2417</v>
      </c>
      <c r="AB1254" s="62" t="n">
        <v>1</v>
      </c>
      <c r="AC1254" s="62" t="n">
        <v>1</v>
      </c>
      <c r="AD1254" s="62" t="n">
        <v>0</v>
      </c>
      <c r="AE1254" s="62" t="n">
        <f aca="false">IF(AND(Dashboard!$C$9="Yes",AC1254=1),0,1)</f>
        <v>0</v>
      </c>
      <c r="AF1254" s="62" t="n">
        <v>0</v>
      </c>
    </row>
    <row r="1255" customFormat="false" ht="15" hidden="false" customHeight="false" outlineLevel="0" collapsed="false">
      <c r="A1255" s="62" t="n">
        <v>1254</v>
      </c>
      <c r="B1255" s="63" t="n">
        <v>46266.232662037</v>
      </c>
      <c r="C1255" s="64" t="n">
        <v>46265</v>
      </c>
      <c r="D1255" s="62" t="s">
        <v>429</v>
      </c>
      <c r="E1255" s="62" t="s">
        <v>144</v>
      </c>
      <c r="F1255" s="62" t="s">
        <v>144</v>
      </c>
      <c r="G1255" s="62" t="s">
        <v>145</v>
      </c>
      <c r="H1255" s="62" t="s">
        <v>59</v>
      </c>
      <c r="I1255" s="62" t="s">
        <v>47</v>
      </c>
      <c r="J1255" s="62" t="s">
        <v>146</v>
      </c>
      <c r="K1255" s="62" t="s">
        <v>147</v>
      </c>
      <c r="L1255" s="62" t="s">
        <v>148</v>
      </c>
      <c r="M1255" s="62" t="n">
        <v>0</v>
      </c>
      <c r="N1255" s="62" t="n">
        <v>1</v>
      </c>
      <c r="O1255" s="62" t="n">
        <v>1</v>
      </c>
      <c r="P1255" s="62" t="n">
        <v>0</v>
      </c>
      <c r="Q1255" s="62" t="n">
        <v>0</v>
      </c>
      <c r="R1255" s="62" t="n">
        <v>1</v>
      </c>
      <c r="S1255" s="62" t="n">
        <v>0</v>
      </c>
      <c r="T1255" s="62" t="n">
        <v>0</v>
      </c>
      <c r="U1255" s="62"/>
      <c r="V1255" s="62"/>
      <c r="W1255" s="62"/>
      <c r="X1255" s="62"/>
      <c r="Y1255" s="62"/>
      <c r="Z1255" s="62" t="s">
        <v>2412</v>
      </c>
      <c r="AA1255" s="62" t="s">
        <v>2412</v>
      </c>
      <c r="AB1255" s="62" t="n">
        <v>1</v>
      </c>
      <c r="AC1255" s="62" t="n">
        <v>1</v>
      </c>
      <c r="AD1255" s="62" t="n">
        <v>1</v>
      </c>
      <c r="AE1255" s="62" t="n">
        <f aca="false">IF(AND(Dashboard!$C$9="Yes",AC1255=1),0,1)</f>
        <v>0</v>
      </c>
      <c r="AF1255" s="62" t="n">
        <v>0</v>
      </c>
    </row>
    <row r="1256" customFormat="false" ht="15" hidden="false" customHeight="false" outlineLevel="0" collapsed="false">
      <c r="A1256" s="62" t="n">
        <v>1255</v>
      </c>
      <c r="B1256" s="63" t="n">
        <v>46266.2428125</v>
      </c>
      <c r="C1256" s="64" t="n">
        <v>46265</v>
      </c>
      <c r="D1256" s="62" t="s">
        <v>429</v>
      </c>
      <c r="E1256" s="62" t="s">
        <v>144</v>
      </c>
      <c r="F1256" s="62" t="s">
        <v>144</v>
      </c>
      <c r="G1256" s="62" t="s">
        <v>145</v>
      </c>
      <c r="H1256" s="62" t="s">
        <v>59</v>
      </c>
      <c r="I1256" s="62" t="s">
        <v>47</v>
      </c>
      <c r="J1256" s="62" t="s">
        <v>146</v>
      </c>
      <c r="K1256" s="62" t="s">
        <v>147</v>
      </c>
      <c r="L1256" s="62" t="s">
        <v>4</v>
      </c>
      <c r="M1256" s="62" t="n">
        <v>1</v>
      </c>
      <c r="N1256" s="62" t="n">
        <v>0</v>
      </c>
      <c r="O1256" s="62" t="n">
        <v>1</v>
      </c>
      <c r="P1256" s="62" t="n">
        <v>0</v>
      </c>
      <c r="Q1256" s="62" t="n">
        <v>0</v>
      </c>
      <c r="R1256" s="62" t="n">
        <v>0</v>
      </c>
      <c r="S1256" s="62" t="n">
        <v>0</v>
      </c>
      <c r="T1256" s="62" t="n">
        <v>0</v>
      </c>
      <c r="U1256" s="62" t="s">
        <v>2056</v>
      </c>
      <c r="V1256" s="62" t="s">
        <v>2057</v>
      </c>
      <c r="W1256" s="62" t="s">
        <v>15</v>
      </c>
      <c r="X1256" s="62" t="s">
        <v>2058</v>
      </c>
      <c r="Y1256" s="62" t="s">
        <v>2059</v>
      </c>
      <c r="Z1256" s="62" t="s">
        <v>2412</v>
      </c>
      <c r="AA1256" s="62" t="s">
        <v>2418</v>
      </c>
      <c r="AB1256" s="62" t="n">
        <v>1</v>
      </c>
      <c r="AC1256" s="62" t="n">
        <v>0</v>
      </c>
      <c r="AD1256" s="62" t="n">
        <v>1</v>
      </c>
      <c r="AE1256" s="62" t="n">
        <f aca="false">IF(AND(Dashboard!$C$9="Yes",AC1256=1),0,1)</f>
        <v>1</v>
      </c>
      <c r="AF1256" s="62" t="n">
        <v>0</v>
      </c>
    </row>
    <row r="1257" customFormat="false" ht="15" hidden="false" customHeight="false" outlineLevel="0" collapsed="false">
      <c r="A1257" s="62" t="n">
        <v>1256</v>
      </c>
      <c r="B1257" s="63" t="n">
        <v>46266.2431018519</v>
      </c>
      <c r="C1257" s="64" t="n">
        <v>46265</v>
      </c>
      <c r="D1257" s="62" t="s">
        <v>429</v>
      </c>
      <c r="E1257" s="62" t="s">
        <v>144</v>
      </c>
      <c r="F1257" s="62" t="s">
        <v>144</v>
      </c>
      <c r="G1257" s="62" t="s">
        <v>145</v>
      </c>
      <c r="H1257" s="62" t="s">
        <v>59</v>
      </c>
      <c r="I1257" s="62" t="s">
        <v>47</v>
      </c>
      <c r="J1257" s="62" t="s">
        <v>146</v>
      </c>
      <c r="K1257" s="62" t="s">
        <v>147</v>
      </c>
      <c r="L1257" s="62" t="s">
        <v>4</v>
      </c>
      <c r="M1257" s="62" t="n">
        <v>1</v>
      </c>
      <c r="N1257" s="62" t="n">
        <v>0</v>
      </c>
      <c r="O1257" s="62" t="n">
        <v>1</v>
      </c>
      <c r="P1257" s="62" t="n">
        <v>0</v>
      </c>
      <c r="Q1257" s="62" t="n">
        <v>0</v>
      </c>
      <c r="R1257" s="62" t="n">
        <v>0</v>
      </c>
      <c r="S1257" s="62" t="n">
        <v>0</v>
      </c>
      <c r="T1257" s="62" t="n">
        <v>0</v>
      </c>
      <c r="U1257" s="62" t="s">
        <v>2056</v>
      </c>
      <c r="V1257" s="62" t="s">
        <v>2057</v>
      </c>
      <c r="W1257" s="62" t="s">
        <v>15</v>
      </c>
      <c r="X1257" s="62" t="s">
        <v>2058</v>
      </c>
      <c r="Y1257" s="62" t="s">
        <v>2059</v>
      </c>
      <c r="Z1257" s="62" t="s">
        <v>2412</v>
      </c>
      <c r="AA1257" s="62" t="s">
        <v>2418</v>
      </c>
      <c r="AB1257" s="62" t="n">
        <v>1</v>
      </c>
      <c r="AC1257" s="62" t="n">
        <v>1</v>
      </c>
      <c r="AD1257" s="62" t="n">
        <v>1</v>
      </c>
      <c r="AE1257" s="62" t="n">
        <f aca="false">IF(AND(Dashboard!$C$9="Yes",AC1257=1),0,1)</f>
        <v>0</v>
      </c>
      <c r="AF1257" s="62" t="n">
        <v>0</v>
      </c>
    </row>
    <row r="1258" customFormat="false" ht="15" hidden="false" customHeight="false" outlineLevel="0" collapsed="false">
      <c r="A1258" s="62" t="n">
        <v>1257</v>
      </c>
      <c r="B1258" s="63" t="n">
        <v>46266.2433564815</v>
      </c>
      <c r="C1258" s="64" t="n">
        <v>46265</v>
      </c>
      <c r="D1258" s="62" t="s">
        <v>429</v>
      </c>
      <c r="E1258" s="62" t="s">
        <v>144</v>
      </c>
      <c r="F1258" s="62" t="s">
        <v>144</v>
      </c>
      <c r="G1258" s="62" t="s">
        <v>145</v>
      </c>
      <c r="H1258" s="62" t="s">
        <v>59</v>
      </c>
      <c r="I1258" s="62" t="s">
        <v>47</v>
      </c>
      <c r="J1258" s="62" t="s">
        <v>146</v>
      </c>
      <c r="K1258" s="62" t="s">
        <v>147</v>
      </c>
      <c r="L1258" s="62" t="s">
        <v>4</v>
      </c>
      <c r="M1258" s="62" t="n">
        <v>1</v>
      </c>
      <c r="N1258" s="62" t="n">
        <v>0</v>
      </c>
      <c r="O1258" s="62" t="n">
        <v>1</v>
      </c>
      <c r="P1258" s="62" t="n">
        <v>0</v>
      </c>
      <c r="Q1258" s="62" t="n">
        <v>0</v>
      </c>
      <c r="R1258" s="62" t="n">
        <v>0</v>
      </c>
      <c r="S1258" s="62" t="n">
        <v>0</v>
      </c>
      <c r="T1258" s="62" t="n">
        <v>0</v>
      </c>
      <c r="U1258" s="62" t="s">
        <v>2056</v>
      </c>
      <c r="V1258" s="62" t="s">
        <v>2057</v>
      </c>
      <c r="W1258" s="62" t="s">
        <v>15</v>
      </c>
      <c r="X1258" s="62" t="s">
        <v>2058</v>
      </c>
      <c r="Y1258" s="62" t="s">
        <v>2059</v>
      </c>
      <c r="Z1258" s="62" t="s">
        <v>2412</v>
      </c>
      <c r="AA1258" s="62" t="s">
        <v>2418</v>
      </c>
      <c r="AB1258" s="62" t="n">
        <v>1</v>
      </c>
      <c r="AC1258" s="62" t="n">
        <v>1</v>
      </c>
      <c r="AD1258" s="62" t="n">
        <v>1</v>
      </c>
      <c r="AE1258" s="62" t="n">
        <f aca="false">IF(AND(Dashboard!$C$9="Yes",AC1258=1),0,1)</f>
        <v>0</v>
      </c>
      <c r="AF1258" s="62" t="n">
        <v>0</v>
      </c>
    </row>
    <row r="1259" customFormat="false" ht="15" hidden="false" customHeight="false" outlineLevel="0" collapsed="false">
      <c r="A1259" s="62" t="n">
        <v>1258</v>
      </c>
      <c r="B1259" s="63" t="n">
        <v>46266.2562731481</v>
      </c>
      <c r="C1259" s="64" t="n">
        <v>46265</v>
      </c>
      <c r="D1259" s="62" t="s">
        <v>429</v>
      </c>
      <c r="E1259" s="62" t="s">
        <v>1314</v>
      </c>
      <c r="F1259" s="62" t="s">
        <v>1314</v>
      </c>
      <c r="G1259" s="62" t="s">
        <v>1315</v>
      </c>
      <c r="H1259" s="62" t="s">
        <v>51</v>
      </c>
      <c r="I1259" s="62" t="s">
        <v>47</v>
      </c>
      <c r="J1259" s="62" t="s">
        <v>146</v>
      </c>
      <c r="K1259" s="62" t="s">
        <v>209</v>
      </c>
      <c r="L1259" s="62" t="s">
        <v>4</v>
      </c>
      <c r="M1259" s="62" t="n">
        <v>1</v>
      </c>
      <c r="N1259" s="62" t="n">
        <v>0</v>
      </c>
      <c r="O1259" s="62" t="n">
        <v>1</v>
      </c>
      <c r="P1259" s="62" t="n">
        <v>0</v>
      </c>
      <c r="Q1259" s="62" t="n">
        <v>0</v>
      </c>
      <c r="R1259" s="62" t="n">
        <v>0</v>
      </c>
      <c r="S1259" s="62" t="n">
        <v>0</v>
      </c>
      <c r="T1259" s="62" t="n">
        <v>0</v>
      </c>
      <c r="U1259" s="62" t="s">
        <v>2056</v>
      </c>
      <c r="V1259" s="62" t="s">
        <v>2057</v>
      </c>
      <c r="W1259" s="62" t="s">
        <v>15</v>
      </c>
      <c r="X1259" s="62" t="s">
        <v>2180</v>
      </c>
      <c r="Y1259" s="62" t="s">
        <v>2059</v>
      </c>
      <c r="Z1259" s="62" t="s">
        <v>2419</v>
      </c>
      <c r="AA1259" s="62" t="s">
        <v>2420</v>
      </c>
      <c r="AB1259" s="62" t="n">
        <v>1</v>
      </c>
      <c r="AC1259" s="62" t="n">
        <v>0</v>
      </c>
      <c r="AD1259" s="62" t="n">
        <v>1</v>
      </c>
      <c r="AE1259" s="62" t="n">
        <f aca="false">IF(AND(Dashboard!$C$9="Yes",AC1259=1),0,1)</f>
        <v>1</v>
      </c>
      <c r="AF1259" s="62" t="n">
        <v>0</v>
      </c>
    </row>
    <row r="1260" customFormat="false" ht="15" hidden="false" customHeight="false" outlineLevel="0" collapsed="false">
      <c r="A1260" s="62" t="n">
        <v>1259</v>
      </c>
      <c r="B1260" s="63" t="n">
        <v>46266.2603125</v>
      </c>
      <c r="C1260" s="64" t="n">
        <v>46265</v>
      </c>
      <c r="D1260" s="62" t="s">
        <v>429</v>
      </c>
      <c r="E1260" s="62" t="s">
        <v>2228</v>
      </c>
      <c r="F1260" s="62" t="s">
        <v>2228</v>
      </c>
      <c r="G1260" s="62" t="s">
        <v>2229</v>
      </c>
      <c r="H1260" s="62" t="s">
        <v>58</v>
      </c>
      <c r="I1260" s="62" t="s">
        <v>49</v>
      </c>
      <c r="J1260" s="62" t="s">
        <v>146</v>
      </c>
      <c r="K1260" s="62" t="s">
        <v>209</v>
      </c>
      <c r="L1260" s="62" t="s">
        <v>4</v>
      </c>
      <c r="M1260" s="62" t="n">
        <v>1</v>
      </c>
      <c r="N1260" s="62" t="n">
        <v>0</v>
      </c>
      <c r="O1260" s="62" t="n">
        <v>1</v>
      </c>
      <c r="P1260" s="62" t="n">
        <v>0</v>
      </c>
      <c r="Q1260" s="62" t="n">
        <v>0</v>
      </c>
      <c r="R1260" s="62" t="n">
        <v>0</v>
      </c>
      <c r="S1260" s="62" t="n">
        <v>0</v>
      </c>
      <c r="T1260" s="62" t="n">
        <v>0</v>
      </c>
      <c r="U1260" s="62" t="s">
        <v>2056</v>
      </c>
      <c r="V1260" s="62" t="s">
        <v>2057</v>
      </c>
      <c r="W1260" s="62" t="s">
        <v>15</v>
      </c>
      <c r="X1260" s="62" t="s">
        <v>2058</v>
      </c>
      <c r="Y1260" s="62" t="s">
        <v>2059</v>
      </c>
      <c r="Z1260" s="62" t="s">
        <v>2421</v>
      </c>
      <c r="AA1260" s="62" t="s">
        <v>2422</v>
      </c>
      <c r="AB1260" s="62" t="n">
        <v>1</v>
      </c>
      <c r="AC1260" s="62" t="n">
        <v>0</v>
      </c>
      <c r="AD1260" s="62" t="n">
        <v>1</v>
      </c>
      <c r="AE1260" s="62" t="n">
        <f aca="false">IF(AND(Dashboard!$C$9="Yes",AC1260=1),0,1)</f>
        <v>1</v>
      </c>
      <c r="AF1260" s="62" t="n">
        <v>1</v>
      </c>
    </row>
    <row r="1261" customFormat="false" ht="15" hidden="false" customHeight="false" outlineLevel="0" collapsed="false">
      <c r="A1261" s="62" t="n">
        <v>1260</v>
      </c>
      <c r="B1261" s="63" t="n">
        <v>46266.2961805556</v>
      </c>
      <c r="C1261" s="64" t="n">
        <v>46265</v>
      </c>
      <c r="D1261" s="62" t="s">
        <v>429</v>
      </c>
      <c r="E1261" s="62" t="s">
        <v>2385</v>
      </c>
      <c r="F1261" s="62" t="s">
        <v>2385</v>
      </c>
      <c r="G1261" s="62" t="s">
        <v>2386</v>
      </c>
      <c r="H1261" s="62" t="s">
        <v>59</v>
      </c>
      <c r="I1261" s="62" t="s">
        <v>47</v>
      </c>
      <c r="J1261" s="62" t="s">
        <v>146</v>
      </c>
      <c r="K1261" s="62" t="s">
        <v>209</v>
      </c>
      <c r="L1261" s="62" t="s">
        <v>148</v>
      </c>
      <c r="M1261" s="62" t="n">
        <v>0</v>
      </c>
      <c r="N1261" s="62" t="n">
        <v>1</v>
      </c>
      <c r="O1261" s="62" t="n">
        <v>1</v>
      </c>
      <c r="P1261" s="62" t="n">
        <v>0</v>
      </c>
      <c r="Q1261" s="62" t="n">
        <v>1</v>
      </c>
      <c r="R1261" s="62" t="n">
        <v>0</v>
      </c>
      <c r="S1261" s="62" t="n">
        <v>0</v>
      </c>
      <c r="T1261" s="62" t="n">
        <v>0</v>
      </c>
      <c r="U1261" s="62"/>
      <c r="V1261" s="62"/>
      <c r="W1261" s="62"/>
      <c r="X1261" s="62"/>
      <c r="Y1261" s="62"/>
      <c r="Z1261" s="62" t="s">
        <v>2423</v>
      </c>
      <c r="AA1261" s="62" t="s">
        <v>2424</v>
      </c>
      <c r="AB1261" s="62" t="n">
        <v>1</v>
      </c>
      <c r="AC1261" s="62" t="n">
        <v>0</v>
      </c>
      <c r="AD1261" s="62" t="n">
        <v>1</v>
      </c>
      <c r="AE1261" s="62" t="n">
        <f aca="false">IF(AND(Dashboard!$C$9="Yes",AC1261=1),0,1)</f>
        <v>1</v>
      </c>
      <c r="AF1261" s="62" t="n">
        <v>0</v>
      </c>
    </row>
    <row r="1262" customFormat="false" ht="15" hidden="false" customHeight="false" outlineLevel="0" collapsed="false">
      <c r="A1262" s="62" t="n">
        <v>1261</v>
      </c>
      <c r="B1262" s="63" t="n">
        <v>46266.6309837963</v>
      </c>
      <c r="C1262" s="64" t="n">
        <v>46266</v>
      </c>
      <c r="D1262" s="62" t="s">
        <v>501</v>
      </c>
      <c r="E1262" s="62" t="s">
        <v>2425</v>
      </c>
      <c r="F1262" s="62" t="s">
        <v>2426</v>
      </c>
      <c r="G1262" s="62" t="s">
        <v>153</v>
      </c>
      <c r="H1262" s="62" t="s">
        <v>153</v>
      </c>
      <c r="I1262" s="62" t="s">
        <v>153</v>
      </c>
      <c r="J1262" s="62" t="s">
        <v>64</v>
      </c>
      <c r="K1262" s="62" t="s">
        <v>64</v>
      </c>
      <c r="L1262" s="62" t="s">
        <v>4</v>
      </c>
      <c r="M1262" s="62" t="n">
        <v>1</v>
      </c>
      <c r="N1262" s="62" t="n">
        <v>0</v>
      </c>
      <c r="O1262" s="62" t="n">
        <v>1</v>
      </c>
      <c r="P1262" s="62" t="n">
        <v>0</v>
      </c>
      <c r="Q1262" s="62" t="n">
        <v>0</v>
      </c>
      <c r="R1262" s="62" t="n">
        <v>0</v>
      </c>
      <c r="S1262" s="62" t="n">
        <v>0</v>
      </c>
      <c r="T1262" s="62" t="n">
        <v>0</v>
      </c>
      <c r="U1262" s="62" t="s">
        <v>2056</v>
      </c>
      <c r="V1262" s="62" t="s">
        <v>2057</v>
      </c>
      <c r="W1262" s="62" t="s">
        <v>2056</v>
      </c>
      <c r="X1262" s="62" t="s">
        <v>2164</v>
      </c>
      <c r="Y1262" s="62" t="s">
        <v>2165</v>
      </c>
      <c r="Z1262" s="62" t="s">
        <v>2425</v>
      </c>
      <c r="AA1262" s="62" t="s">
        <v>2425</v>
      </c>
      <c r="AB1262" s="62" t="n">
        <v>1</v>
      </c>
      <c r="AC1262" s="62" t="n">
        <v>0</v>
      </c>
      <c r="AD1262" s="62" t="n">
        <v>0</v>
      </c>
      <c r="AE1262" s="62" t="n">
        <f aca="false">IF(AND(Dashboard!$C$9="Yes",AC1262=1),0,1)</f>
        <v>1</v>
      </c>
      <c r="AF1262" s="62" t="n">
        <v>1</v>
      </c>
    </row>
    <row r="1263" customFormat="false" ht="15" hidden="false" customHeight="false" outlineLevel="0" collapsed="false">
      <c r="A1263" s="62" t="n">
        <v>1262</v>
      </c>
      <c r="B1263" s="63" t="n">
        <v>46266.6378240741</v>
      </c>
      <c r="C1263" s="64" t="n">
        <v>46266</v>
      </c>
      <c r="D1263" s="62" t="s">
        <v>501</v>
      </c>
      <c r="E1263" s="62" t="s">
        <v>586</v>
      </c>
      <c r="F1263" s="62" t="s">
        <v>586</v>
      </c>
      <c r="G1263" s="62" t="s">
        <v>587</v>
      </c>
      <c r="H1263" s="62" t="s">
        <v>57</v>
      </c>
      <c r="I1263" s="62" t="s">
        <v>47</v>
      </c>
      <c r="J1263" s="62" t="s">
        <v>146</v>
      </c>
      <c r="K1263" s="62" t="s">
        <v>175</v>
      </c>
      <c r="L1263" s="62" t="s">
        <v>148</v>
      </c>
      <c r="M1263" s="62" t="n">
        <v>0</v>
      </c>
      <c r="N1263" s="62" t="n">
        <v>1</v>
      </c>
      <c r="O1263" s="62" t="n">
        <v>1</v>
      </c>
      <c r="P1263" s="62" t="n">
        <v>1</v>
      </c>
      <c r="Q1263" s="62" t="n">
        <v>0</v>
      </c>
      <c r="R1263" s="62" t="n">
        <v>0</v>
      </c>
      <c r="S1263" s="62" t="n">
        <v>0</v>
      </c>
      <c r="T1263" s="62" t="n">
        <v>0</v>
      </c>
      <c r="U1263" s="62"/>
      <c r="V1263" s="62"/>
      <c r="W1263" s="62"/>
      <c r="X1263" s="62"/>
      <c r="Y1263" s="62"/>
      <c r="Z1263" s="62" t="s">
        <v>2427</v>
      </c>
      <c r="AA1263" s="62" t="s">
        <v>2428</v>
      </c>
      <c r="AB1263" s="62" t="n">
        <v>1</v>
      </c>
      <c r="AC1263" s="62" t="n">
        <v>0</v>
      </c>
      <c r="AD1263" s="62" t="n">
        <v>1</v>
      </c>
      <c r="AE1263" s="62" t="n">
        <f aca="false">IF(AND(Dashboard!$C$9="Yes",AC1263=1),0,1)</f>
        <v>1</v>
      </c>
      <c r="AF1263" s="62" t="n">
        <v>1</v>
      </c>
    </row>
    <row r="1264" customFormat="false" ht="15" hidden="false" customHeight="false" outlineLevel="0" collapsed="false">
      <c r="A1264" s="62" t="n">
        <v>1263</v>
      </c>
      <c r="B1264" s="63" t="n">
        <v>46266.6613078704</v>
      </c>
      <c r="C1264" s="64" t="n">
        <v>46266</v>
      </c>
      <c r="D1264" s="62" t="s">
        <v>501</v>
      </c>
      <c r="E1264" s="62" t="s">
        <v>164</v>
      </c>
      <c r="F1264" s="62" t="s">
        <v>164</v>
      </c>
      <c r="G1264" s="62" t="s">
        <v>165</v>
      </c>
      <c r="H1264" s="62" t="s">
        <v>51</v>
      </c>
      <c r="I1264" s="62" t="s">
        <v>47</v>
      </c>
      <c r="J1264" s="62" t="s">
        <v>146</v>
      </c>
      <c r="K1264" s="62" t="s">
        <v>147</v>
      </c>
      <c r="L1264" s="62" t="s">
        <v>148</v>
      </c>
      <c r="M1264" s="62" t="n">
        <v>0</v>
      </c>
      <c r="N1264" s="62" t="n">
        <v>1</v>
      </c>
      <c r="O1264" s="62" t="n">
        <v>1</v>
      </c>
      <c r="P1264" s="62" t="n">
        <v>1</v>
      </c>
      <c r="Q1264" s="62" t="n">
        <v>0</v>
      </c>
      <c r="R1264" s="62" t="n">
        <v>0</v>
      </c>
      <c r="S1264" s="62" t="n">
        <v>0</v>
      </c>
      <c r="T1264" s="62" t="n">
        <v>0</v>
      </c>
      <c r="U1264" s="62"/>
      <c r="V1264" s="62"/>
      <c r="W1264" s="62"/>
      <c r="X1264" s="62"/>
      <c r="Y1264" s="62"/>
      <c r="Z1264" s="62" t="s">
        <v>2429</v>
      </c>
      <c r="AA1264" s="62" t="s">
        <v>2430</v>
      </c>
      <c r="AB1264" s="62" t="n">
        <v>1</v>
      </c>
      <c r="AC1264" s="62" t="n">
        <v>0</v>
      </c>
      <c r="AD1264" s="62" t="n">
        <v>1</v>
      </c>
      <c r="AE1264" s="62" t="n">
        <f aca="false">IF(AND(Dashboard!$C$9="Yes",AC1264=1),0,1)</f>
        <v>1</v>
      </c>
      <c r="AF1264" s="62" t="n">
        <v>1</v>
      </c>
    </row>
    <row r="1265" customFormat="false" ht="15" hidden="false" customHeight="false" outlineLevel="0" collapsed="false">
      <c r="A1265" s="62" t="n">
        <v>1264</v>
      </c>
      <c r="B1265" s="63" t="n">
        <v>46266.6615393519</v>
      </c>
      <c r="C1265" s="64" t="n">
        <v>46266</v>
      </c>
      <c r="D1265" s="62" t="s">
        <v>501</v>
      </c>
      <c r="E1265" s="62" t="s">
        <v>228</v>
      </c>
      <c r="F1265" s="62" t="s">
        <v>229</v>
      </c>
      <c r="G1265" s="62" t="s">
        <v>153</v>
      </c>
      <c r="H1265" s="62" t="s">
        <v>153</v>
      </c>
      <c r="I1265" s="62" t="s">
        <v>153</v>
      </c>
      <c r="J1265" s="62" t="s">
        <v>64</v>
      </c>
      <c r="K1265" s="62" t="s">
        <v>64</v>
      </c>
      <c r="L1265" s="62" t="s">
        <v>148</v>
      </c>
      <c r="M1265" s="62" t="n">
        <v>0</v>
      </c>
      <c r="N1265" s="62" t="n">
        <v>1</v>
      </c>
      <c r="O1265" s="62" t="n">
        <v>1</v>
      </c>
      <c r="P1265" s="62" t="n">
        <v>0</v>
      </c>
      <c r="Q1265" s="62" t="n">
        <v>0</v>
      </c>
      <c r="R1265" s="62" t="n">
        <v>1</v>
      </c>
      <c r="S1265" s="62" t="n">
        <v>0</v>
      </c>
      <c r="T1265" s="62" t="n">
        <v>0</v>
      </c>
      <c r="U1265" s="62"/>
      <c r="V1265" s="62"/>
      <c r="W1265" s="62"/>
      <c r="X1265" s="62"/>
      <c r="Y1265" s="62"/>
      <c r="Z1265" s="62" t="s">
        <v>2431</v>
      </c>
      <c r="AA1265" s="62" t="s">
        <v>2432</v>
      </c>
      <c r="AB1265" s="62" t="n">
        <v>1</v>
      </c>
      <c r="AC1265" s="62" t="n">
        <v>0</v>
      </c>
      <c r="AD1265" s="62" t="n">
        <v>0</v>
      </c>
      <c r="AE1265" s="62" t="n">
        <f aca="false">IF(AND(Dashboard!$C$9="Yes",AC1265=1),0,1)</f>
        <v>1</v>
      </c>
      <c r="AF1265" s="62" t="n">
        <v>1</v>
      </c>
    </row>
    <row r="1266" customFormat="false" ht="15" hidden="false" customHeight="false" outlineLevel="0" collapsed="false">
      <c r="A1266" s="62" t="n">
        <v>1265</v>
      </c>
      <c r="B1266" s="63" t="n">
        <v>46266.6761921296</v>
      </c>
      <c r="C1266" s="64" t="n">
        <v>46266</v>
      </c>
      <c r="D1266" s="62" t="s">
        <v>501</v>
      </c>
      <c r="E1266" s="62" t="s">
        <v>228</v>
      </c>
      <c r="F1266" s="62" t="s">
        <v>229</v>
      </c>
      <c r="G1266" s="62" t="s">
        <v>153</v>
      </c>
      <c r="H1266" s="62" t="s">
        <v>153</v>
      </c>
      <c r="I1266" s="62" t="s">
        <v>153</v>
      </c>
      <c r="J1266" s="62" t="s">
        <v>64</v>
      </c>
      <c r="K1266" s="62" t="s">
        <v>64</v>
      </c>
      <c r="L1266" s="62" t="s">
        <v>4</v>
      </c>
      <c r="M1266" s="62" t="n">
        <v>1</v>
      </c>
      <c r="N1266" s="62" t="n">
        <v>0</v>
      </c>
      <c r="O1266" s="62" t="n">
        <v>1</v>
      </c>
      <c r="P1266" s="62" t="n">
        <v>0</v>
      </c>
      <c r="Q1266" s="62" t="n">
        <v>0</v>
      </c>
      <c r="R1266" s="62" t="n">
        <v>0</v>
      </c>
      <c r="S1266" s="62" t="n">
        <v>0</v>
      </c>
      <c r="T1266" s="62" t="n">
        <v>0</v>
      </c>
      <c r="U1266" s="62" t="s">
        <v>2056</v>
      </c>
      <c r="V1266" s="62" t="s">
        <v>2057</v>
      </c>
      <c r="W1266" s="62" t="s">
        <v>15</v>
      </c>
      <c r="X1266" s="62" t="s">
        <v>2125</v>
      </c>
      <c r="Y1266" s="62" t="s">
        <v>2059</v>
      </c>
      <c r="Z1266" s="62" t="s">
        <v>2433</v>
      </c>
      <c r="AA1266" s="62" t="s">
        <v>2434</v>
      </c>
      <c r="AB1266" s="62" t="n">
        <v>1</v>
      </c>
      <c r="AC1266" s="62" t="n">
        <v>0</v>
      </c>
      <c r="AD1266" s="62" t="n">
        <v>0</v>
      </c>
      <c r="AE1266" s="62" t="n">
        <f aca="false">IF(AND(Dashboard!$C$9="Yes",AC1266=1),0,1)</f>
        <v>1</v>
      </c>
      <c r="AF1266" s="62" t="n">
        <v>0</v>
      </c>
    </row>
    <row r="1267" customFormat="false" ht="15" hidden="false" customHeight="false" outlineLevel="0" collapsed="false">
      <c r="A1267" s="62" t="n">
        <v>1266</v>
      </c>
      <c r="B1267" s="63" t="n">
        <v>46266.6927546296</v>
      </c>
      <c r="C1267" s="64" t="n">
        <v>46266</v>
      </c>
      <c r="D1267" s="62" t="s">
        <v>501</v>
      </c>
      <c r="E1267" s="62" t="s">
        <v>2156</v>
      </c>
      <c r="F1267" s="62" t="s">
        <v>2156</v>
      </c>
      <c r="G1267" s="62" t="s">
        <v>2157</v>
      </c>
      <c r="H1267" s="62" t="s">
        <v>52</v>
      </c>
      <c r="I1267" s="62" t="s">
        <v>47</v>
      </c>
      <c r="J1267" s="62" t="s">
        <v>146</v>
      </c>
      <c r="K1267" s="62" t="s">
        <v>209</v>
      </c>
      <c r="L1267" s="62" t="s">
        <v>148</v>
      </c>
      <c r="M1267" s="62" t="n">
        <v>0</v>
      </c>
      <c r="N1267" s="62" t="n">
        <v>1</v>
      </c>
      <c r="O1267" s="62" t="n">
        <v>1</v>
      </c>
      <c r="P1267" s="62" t="n">
        <v>1</v>
      </c>
      <c r="Q1267" s="62" t="n">
        <v>0</v>
      </c>
      <c r="R1267" s="62" t="n">
        <v>0</v>
      </c>
      <c r="S1267" s="62" t="n">
        <v>0</v>
      </c>
      <c r="T1267" s="62" t="n">
        <v>0</v>
      </c>
      <c r="U1267" s="62"/>
      <c r="V1267" s="62"/>
      <c r="W1267" s="62"/>
      <c r="X1267" s="62"/>
      <c r="Y1267" s="62"/>
      <c r="Z1267" s="62" t="s">
        <v>2435</v>
      </c>
      <c r="AA1267" s="62" t="s">
        <v>2436</v>
      </c>
      <c r="AB1267" s="62" t="n">
        <v>1</v>
      </c>
      <c r="AC1267" s="62" t="n">
        <v>0</v>
      </c>
      <c r="AD1267" s="62" t="n">
        <v>1</v>
      </c>
      <c r="AE1267" s="62" t="n">
        <f aca="false">IF(AND(Dashboard!$C$9="Yes",AC1267=1),0,1)</f>
        <v>1</v>
      </c>
      <c r="AF1267" s="62" t="n">
        <v>1</v>
      </c>
    </row>
    <row r="1268" customFormat="false" ht="15" hidden="false" customHeight="false" outlineLevel="0" collapsed="false">
      <c r="A1268" s="62" t="n">
        <v>1267</v>
      </c>
      <c r="B1268" s="63" t="n">
        <v>46266.7014930556</v>
      </c>
      <c r="C1268" s="64" t="n">
        <v>46266</v>
      </c>
      <c r="D1268" s="62" t="s">
        <v>501</v>
      </c>
      <c r="E1268" s="62" t="s">
        <v>1344</v>
      </c>
      <c r="F1268" s="62" t="s">
        <v>1344</v>
      </c>
      <c r="G1268" s="62" t="s">
        <v>1345</v>
      </c>
      <c r="H1268" s="62" t="s">
        <v>48</v>
      </c>
      <c r="I1268" s="62" t="s">
        <v>49</v>
      </c>
      <c r="J1268" s="62" t="s">
        <v>146</v>
      </c>
      <c r="K1268" s="62" t="s">
        <v>209</v>
      </c>
      <c r="L1268" s="62" t="s">
        <v>4</v>
      </c>
      <c r="M1268" s="62" t="n">
        <v>4</v>
      </c>
      <c r="N1268" s="62" t="n">
        <v>0</v>
      </c>
      <c r="O1268" s="62" t="n">
        <v>4</v>
      </c>
      <c r="P1268" s="62" t="n">
        <v>0</v>
      </c>
      <c r="Q1268" s="62" t="n">
        <v>0</v>
      </c>
      <c r="R1268" s="62" t="n">
        <v>0</v>
      </c>
      <c r="S1268" s="62" t="n">
        <v>0</v>
      </c>
      <c r="T1268" s="62" t="n">
        <v>0</v>
      </c>
      <c r="U1268" s="62" t="s">
        <v>2056</v>
      </c>
      <c r="V1268" s="62" t="s">
        <v>2057</v>
      </c>
      <c r="W1268" s="62" t="s">
        <v>15</v>
      </c>
      <c r="X1268" s="62" t="s">
        <v>2058</v>
      </c>
      <c r="Y1268" s="62" t="s">
        <v>2059</v>
      </c>
      <c r="Z1268" s="62" t="s">
        <v>2437</v>
      </c>
      <c r="AA1268" s="62" t="s">
        <v>2438</v>
      </c>
      <c r="AB1268" s="62" t="n">
        <v>1</v>
      </c>
      <c r="AC1268" s="62" t="n">
        <v>0</v>
      </c>
      <c r="AD1268" s="62" t="n">
        <v>1</v>
      </c>
      <c r="AE1268" s="62" t="n">
        <f aca="false">IF(AND(Dashboard!$C$9="Yes",AC1268=1),0,1)</f>
        <v>1</v>
      </c>
      <c r="AF1268" s="62" t="n">
        <v>1</v>
      </c>
    </row>
    <row r="1269" customFormat="false" ht="15" hidden="false" customHeight="false" outlineLevel="0" collapsed="false">
      <c r="A1269" s="62" t="n">
        <v>1268</v>
      </c>
      <c r="B1269" s="63" t="n">
        <v>46266.7099305556</v>
      </c>
      <c r="C1269" s="64" t="n">
        <v>46266</v>
      </c>
      <c r="D1269" s="62" t="s">
        <v>501</v>
      </c>
      <c r="E1269" s="62" t="s">
        <v>2081</v>
      </c>
      <c r="F1269" s="62" t="s">
        <v>2081</v>
      </c>
      <c r="G1269" s="62" t="s">
        <v>2082</v>
      </c>
      <c r="H1269" s="62" t="s">
        <v>57</v>
      </c>
      <c r="I1269" s="62" t="s">
        <v>47</v>
      </c>
      <c r="J1269" s="62" t="s">
        <v>146</v>
      </c>
      <c r="K1269" s="62" t="s">
        <v>147</v>
      </c>
      <c r="L1269" s="62" t="s">
        <v>4</v>
      </c>
      <c r="M1269" s="62" t="n">
        <v>1</v>
      </c>
      <c r="N1269" s="62" t="n">
        <v>0</v>
      </c>
      <c r="O1269" s="62" t="n">
        <v>1</v>
      </c>
      <c r="P1269" s="62" t="n">
        <v>0</v>
      </c>
      <c r="Q1269" s="62" t="n">
        <v>0</v>
      </c>
      <c r="R1269" s="62" t="n">
        <v>0</v>
      </c>
      <c r="S1269" s="62" t="n">
        <v>0</v>
      </c>
      <c r="T1269" s="62" t="n">
        <v>0</v>
      </c>
      <c r="U1269" s="62" t="s">
        <v>2056</v>
      </c>
      <c r="V1269" s="62" t="s">
        <v>2057</v>
      </c>
      <c r="W1269" s="62" t="s">
        <v>15</v>
      </c>
      <c r="X1269" s="62" t="s">
        <v>2180</v>
      </c>
      <c r="Y1269" s="62" t="s">
        <v>2059</v>
      </c>
      <c r="Z1269" s="62" t="s">
        <v>2439</v>
      </c>
      <c r="AA1269" s="62" t="s">
        <v>1056</v>
      </c>
      <c r="AB1269" s="62" t="n">
        <v>0</v>
      </c>
      <c r="AC1269" s="62" t="n">
        <v>0</v>
      </c>
      <c r="AD1269" s="62" t="n">
        <v>1</v>
      </c>
      <c r="AE1269" s="62" t="n">
        <f aca="false">IF(AND(Dashboard!$C$9="Yes",AC1269=1),0,1)</f>
        <v>1</v>
      </c>
      <c r="AF1269" s="62" t="n">
        <v>1</v>
      </c>
    </row>
    <row r="1270" customFormat="false" ht="15" hidden="false" customHeight="false" outlineLevel="0" collapsed="false">
      <c r="A1270" s="62" t="n">
        <v>1269</v>
      </c>
      <c r="B1270" s="63" t="n">
        <v>46266.7201967593</v>
      </c>
      <c r="C1270" s="64" t="n">
        <v>46266</v>
      </c>
      <c r="D1270" s="62" t="s">
        <v>501</v>
      </c>
      <c r="E1270" s="62" t="s">
        <v>228</v>
      </c>
      <c r="F1270" s="62" t="s">
        <v>229</v>
      </c>
      <c r="G1270" s="62" t="s">
        <v>153</v>
      </c>
      <c r="H1270" s="62" t="s">
        <v>153</v>
      </c>
      <c r="I1270" s="62" t="s">
        <v>153</v>
      </c>
      <c r="J1270" s="62" t="s">
        <v>64</v>
      </c>
      <c r="K1270" s="62" t="s">
        <v>64</v>
      </c>
      <c r="L1270" s="62" t="s">
        <v>4</v>
      </c>
      <c r="M1270" s="62" t="n">
        <v>1</v>
      </c>
      <c r="N1270" s="62" t="n">
        <v>0</v>
      </c>
      <c r="O1270" s="62" t="n">
        <v>1</v>
      </c>
      <c r="P1270" s="62" t="n">
        <v>0</v>
      </c>
      <c r="Q1270" s="62" t="n">
        <v>0</v>
      </c>
      <c r="R1270" s="62" t="n">
        <v>0</v>
      </c>
      <c r="S1270" s="62" t="n">
        <v>0</v>
      </c>
      <c r="T1270" s="62" t="n">
        <v>0</v>
      </c>
      <c r="U1270" s="62" t="s">
        <v>2056</v>
      </c>
      <c r="V1270" s="62" t="s">
        <v>2057</v>
      </c>
      <c r="W1270" s="62" t="s">
        <v>15</v>
      </c>
      <c r="X1270" s="62" t="s">
        <v>2058</v>
      </c>
      <c r="Y1270" s="62" t="s">
        <v>2059</v>
      </c>
      <c r="Z1270" s="62" t="s">
        <v>2440</v>
      </c>
      <c r="AA1270" s="62" t="s">
        <v>2441</v>
      </c>
      <c r="AB1270" s="62" t="n">
        <v>1</v>
      </c>
      <c r="AC1270" s="62" t="n">
        <v>0</v>
      </c>
      <c r="AD1270" s="62" t="n">
        <v>0</v>
      </c>
      <c r="AE1270" s="62" t="n">
        <f aca="false">IF(AND(Dashboard!$C$9="Yes",AC1270=1),0,1)</f>
        <v>1</v>
      </c>
      <c r="AF1270" s="62" t="n">
        <v>0</v>
      </c>
    </row>
    <row r="1271" customFormat="false" ht="15" hidden="false" customHeight="false" outlineLevel="0" collapsed="false">
      <c r="A1271" s="62" t="n">
        <v>1270</v>
      </c>
      <c r="B1271" s="63" t="n">
        <v>46266.795150463</v>
      </c>
      <c r="C1271" s="64" t="n">
        <v>46266</v>
      </c>
      <c r="D1271" s="62" t="s">
        <v>501</v>
      </c>
      <c r="E1271" s="62" t="s">
        <v>1382</v>
      </c>
      <c r="F1271" s="62" t="s">
        <v>1382</v>
      </c>
      <c r="G1271" s="62" t="s">
        <v>1383</v>
      </c>
      <c r="H1271" s="62" t="s">
        <v>58</v>
      </c>
      <c r="I1271" s="62" t="s">
        <v>49</v>
      </c>
      <c r="J1271" s="62" t="s">
        <v>146</v>
      </c>
      <c r="K1271" s="62" t="s">
        <v>175</v>
      </c>
      <c r="L1271" s="62" t="s">
        <v>4</v>
      </c>
      <c r="M1271" s="62" t="n">
        <v>1</v>
      </c>
      <c r="N1271" s="62" t="n">
        <v>0</v>
      </c>
      <c r="O1271" s="62" t="n">
        <v>1</v>
      </c>
      <c r="P1271" s="62" t="n">
        <v>0</v>
      </c>
      <c r="Q1271" s="62" t="n">
        <v>0</v>
      </c>
      <c r="R1271" s="62" t="n">
        <v>0</v>
      </c>
      <c r="S1271" s="62" t="n">
        <v>0</v>
      </c>
      <c r="T1271" s="62" t="n">
        <v>0</v>
      </c>
      <c r="U1271" s="62" t="s">
        <v>2056</v>
      </c>
      <c r="V1271" s="62" t="s">
        <v>2057</v>
      </c>
      <c r="W1271" s="62" t="s">
        <v>15</v>
      </c>
      <c r="X1271" s="62" t="s">
        <v>2058</v>
      </c>
      <c r="Y1271" s="62" t="s">
        <v>2103</v>
      </c>
      <c r="Z1271" s="62" t="s">
        <v>2442</v>
      </c>
      <c r="AA1271" s="62" t="s">
        <v>2443</v>
      </c>
      <c r="AB1271" s="62" t="n">
        <v>1</v>
      </c>
      <c r="AC1271" s="62" t="n">
        <v>0</v>
      </c>
      <c r="AD1271" s="62" t="n">
        <v>1</v>
      </c>
      <c r="AE1271" s="62" t="n">
        <f aca="false">IF(AND(Dashboard!$C$9="Yes",AC1271=1),0,1)</f>
        <v>1</v>
      </c>
      <c r="AF1271" s="62" t="n">
        <v>1</v>
      </c>
    </row>
    <row r="1272" customFormat="false" ht="15" hidden="false" customHeight="false" outlineLevel="0" collapsed="false">
      <c r="A1272" s="62" t="n">
        <v>1271</v>
      </c>
      <c r="B1272" s="63" t="n">
        <v>46266.8501041667</v>
      </c>
      <c r="C1272" s="64" t="n">
        <v>46266</v>
      </c>
      <c r="D1272" s="62" t="s">
        <v>501</v>
      </c>
      <c r="E1272" s="62" t="s">
        <v>203</v>
      </c>
      <c r="F1272" s="62" t="s">
        <v>203</v>
      </c>
      <c r="G1272" s="62" t="s">
        <v>204</v>
      </c>
      <c r="H1272" s="62" t="s">
        <v>51</v>
      </c>
      <c r="I1272" s="62" t="s">
        <v>47</v>
      </c>
      <c r="J1272" s="62" t="s">
        <v>146</v>
      </c>
      <c r="K1272" s="62" t="s">
        <v>147</v>
      </c>
      <c r="L1272" s="62" t="s">
        <v>148</v>
      </c>
      <c r="M1272" s="62" t="n">
        <v>0</v>
      </c>
      <c r="N1272" s="62" t="n">
        <v>1</v>
      </c>
      <c r="O1272" s="62" t="n">
        <v>1</v>
      </c>
      <c r="P1272" s="62" t="n">
        <v>0</v>
      </c>
      <c r="Q1272" s="62" t="n">
        <v>0</v>
      </c>
      <c r="R1272" s="62" t="n">
        <v>1</v>
      </c>
      <c r="S1272" s="62" t="n">
        <v>0</v>
      </c>
      <c r="T1272" s="62" t="n">
        <v>0</v>
      </c>
      <c r="U1272" s="62"/>
      <c r="V1272" s="62"/>
      <c r="W1272" s="62"/>
      <c r="X1272" s="62"/>
      <c r="Y1272" s="62"/>
      <c r="Z1272" s="62" t="s">
        <v>2444</v>
      </c>
      <c r="AA1272" s="62" t="s">
        <v>2445</v>
      </c>
      <c r="AB1272" s="62" t="n">
        <v>1</v>
      </c>
      <c r="AC1272" s="62" t="n">
        <v>0</v>
      </c>
      <c r="AD1272" s="62" t="n">
        <v>1</v>
      </c>
      <c r="AE1272" s="62" t="n">
        <f aca="false">IF(AND(Dashboard!$C$9="Yes",AC1272=1),0,1)</f>
        <v>1</v>
      </c>
      <c r="AF1272" s="62" t="n">
        <v>1</v>
      </c>
    </row>
    <row r="1273" customFormat="false" ht="15" hidden="false" customHeight="false" outlineLevel="0" collapsed="false">
      <c r="A1273" s="62" t="n">
        <v>1272</v>
      </c>
      <c r="B1273" s="63" t="n">
        <v>46266.8569444444</v>
      </c>
      <c r="C1273" s="64" t="n">
        <v>46266</v>
      </c>
      <c r="D1273" s="62" t="s">
        <v>501</v>
      </c>
      <c r="E1273" s="62" t="s">
        <v>228</v>
      </c>
      <c r="F1273" s="62" t="s">
        <v>229</v>
      </c>
      <c r="G1273" s="62" t="s">
        <v>153</v>
      </c>
      <c r="H1273" s="62" t="s">
        <v>153</v>
      </c>
      <c r="I1273" s="62" t="s">
        <v>153</v>
      </c>
      <c r="J1273" s="62" t="s">
        <v>64</v>
      </c>
      <c r="K1273" s="62" t="s">
        <v>64</v>
      </c>
      <c r="L1273" s="62" t="s">
        <v>148</v>
      </c>
      <c r="M1273" s="62" t="n">
        <v>0</v>
      </c>
      <c r="N1273" s="62" t="n">
        <v>1</v>
      </c>
      <c r="O1273" s="62" t="n">
        <v>1</v>
      </c>
      <c r="P1273" s="62" t="n">
        <v>1</v>
      </c>
      <c r="Q1273" s="62" t="n">
        <v>0</v>
      </c>
      <c r="R1273" s="62" t="n">
        <v>0</v>
      </c>
      <c r="S1273" s="62" t="n">
        <v>0</v>
      </c>
      <c r="T1273" s="62" t="n">
        <v>0</v>
      </c>
      <c r="U1273" s="62"/>
      <c r="V1273" s="62"/>
      <c r="W1273" s="62"/>
      <c r="X1273" s="62"/>
      <c r="Y1273" s="62"/>
      <c r="Z1273" s="62" t="s">
        <v>2446</v>
      </c>
      <c r="AA1273" s="62" t="s">
        <v>2447</v>
      </c>
      <c r="AB1273" s="62" t="n">
        <v>1</v>
      </c>
      <c r="AC1273" s="62" t="n">
        <v>0</v>
      </c>
      <c r="AD1273" s="62" t="n">
        <v>0</v>
      </c>
      <c r="AE1273" s="62" t="n">
        <f aca="false">IF(AND(Dashboard!$C$9="Yes",AC1273=1),0,1)</f>
        <v>1</v>
      </c>
      <c r="AF1273" s="62" t="n">
        <v>0</v>
      </c>
    </row>
    <row r="1274" customFormat="false" ht="15" hidden="false" customHeight="false" outlineLevel="0" collapsed="false">
      <c r="A1274" s="62" t="n">
        <v>1273</v>
      </c>
      <c r="B1274" s="63" t="n">
        <v>46266.8598611111</v>
      </c>
      <c r="C1274" s="64" t="n">
        <v>46266</v>
      </c>
      <c r="D1274" s="62" t="s">
        <v>501</v>
      </c>
      <c r="E1274" s="62" t="s">
        <v>2228</v>
      </c>
      <c r="F1274" s="62" t="s">
        <v>2228</v>
      </c>
      <c r="G1274" s="62" t="s">
        <v>2229</v>
      </c>
      <c r="H1274" s="62" t="s">
        <v>58</v>
      </c>
      <c r="I1274" s="62" t="s">
        <v>49</v>
      </c>
      <c r="J1274" s="62" t="s">
        <v>146</v>
      </c>
      <c r="K1274" s="62" t="s">
        <v>209</v>
      </c>
      <c r="L1274" s="62" t="s">
        <v>148</v>
      </c>
      <c r="M1274" s="62" t="n">
        <v>0</v>
      </c>
      <c r="N1274" s="62" t="n">
        <v>1</v>
      </c>
      <c r="O1274" s="62" t="n">
        <v>1</v>
      </c>
      <c r="P1274" s="62" t="n">
        <v>1</v>
      </c>
      <c r="Q1274" s="62" t="n">
        <v>0</v>
      </c>
      <c r="R1274" s="62" t="n">
        <v>0</v>
      </c>
      <c r="S1274" s="62" t="n">
        <v>0</v>
      </c>
      <c r="T1274" s="62" t="n">
        <v>0</v>
      </c>
      <c r="U1274" s="62"/>
      <c r="V1274" s="62"/>
      <c r="W1274" s="62"/>
      <c r="X1274" s="62"/>
      <c r="Y1274" s="62"/>
      <c r="Z1274" s="62" t="s">
        <v>2448</v>
      </c>
      <c r="AA1274" s="62" t="s">
        <v>2449</v>
      </c>
      <c r="AB1274" s="62" t="n">
        <v>1</v>
      </c>
      <c r="AC1274" s="62" t="n">
        <v>0</v>
      </c>
      <c r="AD1274" s="62" t="n">
        <v>1</v>
      </c>
      <c r="AE1274" s="62" t="n">
        <f aca="false">IF(AND(Dashboard!$C$9="Yes",AC1274=1),0,1)</f>
        <v>1</v>
      </c>
      <c r="AF1274" s="62" t="n">
        <v>1</v>
      </c>
    </row>
    <row r="1275" customFormat="false" ht="15" hidden="false" customHeight="false" outlineLevel="0" collapsed="false">
      <c r="A1275" s="62" t="n">
        <v>1274</v>
      </c>
      <c r="B1275" s="63" t="n">
        <v>46266.9000810185</v>
      </c>
      <c r="C1275" s="64" t="n">
        <v>46266</v>
      </c>
      <c r="D1275" s="62" t="s">
        <v>501</v>
      </c>
      <c r="E1275" s="62" t="s">
        <v>224</v>
      </c>
      <c r="F1275" s="62" t="s">
        <v>225</v>
      </c>
      <c r="G1275" s="62" t="s">
        <v>153</v>
      </c>
      <c r="H1275" s="62" t="s">
        <v>153</v>
      </c>
      <c r="I1275" s="62" t="s">
        <v>153</v>
      </c>
      <c r="J1275" s="62" t="s">
        <v>64</v>
      </c>
      <c r="K1275" s="62" t="s">
        <v>64</v>
      </c>
      <c r="L1275" s="62" t="s">
        <v>4</v>
      </c>
      <c r="M1275" s="62" t="n">
        <v>1</v>
      </c>
      <c r="N1275" s="62" t="n">
        <v>0</v>
      </c>
      <c r="O1275" s="62" t="n">
        <v>1</v>
      </c>
      <c r="P1275" s="62" t="n">
        <v>0</v>
      </c>
      <c r="Q1275" s="62" t="n">
        <v>0</v>
      </c>
      <c r="R1275" s="62" t="n">
        <v>0</v>
      </c>
      <c r="S1275" s="62" t="n">
        <v>0</v>
      </c>
      <c r="T1275" s="62" t="n">
        <v>0</v>
      </c>
      <c r="U1275" s="62" t="s">
        <v>2056</v>
      </c>
      <c r="V1275" s="62" t="s">
        <v>2057</v>
      </c>
      <c r="W1275" s="62" t="s">
        <v>15</v>
      </c>
      <c r="X1275" s="62" t="s">
        <v>2058</v>
      </c>
      <c r="Y1275" s="62" t="s">
        <v>2103</v>
      </c>
      <c r="Z1275" s="62" t="s">
        <v>2450</v>
      </c>
      <c r="AA1275" s="62" t="s">
        <v>237</v>
      </c>
      <c r="AB1275" s="62" t="n">
        <v>0</v>
      </c>
      <c r="AC1275" s="62" t="n">
        <v>0</v>
      </c>
      <c r="AD1275" s="62" t="n">
        <v>0</v>
      </c>
      <c r="AE1275" s="62" t="n">
        <f aca="false">IF(AND(Dashboard!$C$9="Yes",AC1275=1),0,1)</f>
        <v>1</v>
      </c>
      <c r="AF1275" s="62" t="n">
        <v>1</v>
      </c>
    </row>
    <row r="1276" customFormat="false" ht="15" hidden="false" customHeight="false" outlineLevel="0" collapsed="false">
      <c r="A1276" s="62" t="n">
        <v>1275</v>
      </c>
      <c r="B1276" s="63" t="n">
        <v>46266.9023263889</v>
      </c>
      <c r="C1276" s="64" t="n">
        <v>46266</v>
      </c>
      <c r="D1276" s="62" t="s">
        <v>501</v>
      </c>
      <c r="E1276" s="62" t="s">
        <v>2081</v>
      </c>
      <c r="F1276" s="62" t="s">
        <v>2081</v>
      </c>
      <c r="G1276" s="62" t="s">
        <v>2082</v>
      </c>
      <c r="H1276" s="62" t="s">
        <v>57</v>
      </c>
      <c r="I1276" s="62" t="s">
        <v>47</v>
      </c>
      <c r="J1276" s="62" t="s">
        <v>146</v>
      </c>
      <c r="K1276" s="62" t="s">
        <v>147</v>
      </c>
      <c r="L1276" s="62" t="s">
        <v>4</v>
      </c>
      <c r="M1276" s="62" t="n">
        <v>4</v>
      </c>
      <c r="N1276" s="62" t="n">
        <v>0</v>
      </c>
      <c r="O1276" s="62" t="n">
        <v>4</v>
      </c>
      <c r="P1276" s="62" t="n">
        <v>0</v>
      </c>
      <c r="Q1276" s="62" t="n">
        <v>0</v>
      </c>
      <c r="R1276" s="62" t="n">
        <v>0</v>
      </c>
      <c r="S1276" s="62" t="n">
        <v>0</v>
      </c>
      <c r="T1276" s="62" t="n">
        <v>0</v>
      </c>
      <c r="U1276" s="62" t="s">
        <v>2056</v>
      </c>
      <c r="V1276" s="62" t="s">
        <v>2068</v>
      </c>
      <c r="W1276" s="62"/>
      <c r="X1276" s="62" t="s">
        <v>2058</v>
      </c>
      <c r="Y1276" s="62" t="s">
        <v>2059</v>
      </c>
      <c r="Z1276" s="62" t="s">
        <v>2451</v>
      </c>
      <c r="AA1276" s="62" t="s">
        <v>2452</v>
      </c>
      <c r="AB1276" s="62" t="n">
        <v>1</v>
      </c>
      <c r="AC1276" s="62" t="n">
        <v>0</v>
      </c>
      <c r="AD1276" s="62" t="n">
        <v>1</v>
      </c>
      <c r="AE1276" s="62" t="n">
        <f aca="false">IF(AND(Dashboard!$C$9="Yes",AC1276=1),0,1)</f>
        <v>1</v>
      </c>
      <c r="AF1276" s="62" t="n">
        <v>0</v>
      </c>
    </row>
    <row r="1277" customFormat="false" ht="15" hidden="false" customHeight="false" outlineLevel="0" collapsed="false">
      <c r="A1277" s="62" t="n">
        <v>1276</v>
      </c>
      <c r="B1277" s="63" t="n">
        <v>46266.9034837963</v>
      </c>
      <c r="C1277" s="64" t="n">
        <v>46266</v>
      </c>
      <c r="D1277" s="62" t="s">
        <v>501</v>
      </c>
      <c r="E1277" s="62" t="s">
        <v>2081</v>
      </c>
      <c r="F1277" s="62" t="s">
        <v>2081</v>
      </c>
      <c r="G1277" s="62" t="s">
        <v>2082</v>
      </c>
      <c r="H1277" s="62" t="s">
        <v>57</v>
      </c>
      <c r="I1277" s="62" t="s">
        <v>47</v>
      </c>
      <c r="J1277" s="62" t="s">
        <v>146</v>
      </c>
      <c r="K1277" s="62" t="s">
        <v>147</v>
      </c>
      <c r="L1277" s="62" t="s">
        <v>148</v>
      </c>
      <c r="M1277" s="62" t="n">
        <v>0</v>
      </c>
      <c r="N1277" s="62" t="n">
        <v>2</v>
      </c>
      <c r="O1277" s="62" t="n">
        <v>2</v>
      </c>
      <c r="P1277" s="62" t="n">
        <v>1</v>
      </c>
      <c r="Q1277" s="62" t="n">
        <v>1</v>
      </c>
      <c r="R1277" s="62" t="n">
        <v>0</v>
      </c>
      <c r="S1277" s="62" t="n">
        <v>0</v>
      </c>
      <c r="T1277" s="62" t="n">
        <v>0</v>
      </c>
      <c r="U1277" s="62"/>
      <c r="V1277" s="62"/>
      <c r="W1277" s="62"/>
      <c r="X1277" s="62"/>
      <c r="Y1277" s="62"/>
      <c r="Z1277" s="62" t="s">
        <v>2451</v>
      </c>
      <c r="AA1277" s="62" t="s">
        <v>2453</v>
      </c>
      <c r="AB1277" s="62" t="n">
        <v>1</v>
      </c>
      <c r="AC1277" s="62" t="n">
        <v>0</v>
      </c>
      <c r="AD1277" s="62" t="n">
        <v>1</v>
      </c>
      <c r="AE1277" s="62" t="n">
        <f aca="false">IF(AND(Dashboard!$C$9="Yes",AC1277=1),0,1)</f>
        <v>1</v>
      </c>
      <c r="AF1277" s="62" t="n">
        <v>0</v>
      </c>
    </row>
    <row r="1278" customFormat="false" ht="15" hidden="false" customHeight="false" outlineLevel="0" collapsed="false">
      <c r="A1278" s="62" t="n">
        <v>1277</v>
      </c>
      <c r="B1278" s="63" t="n">
        <v>46266.9053935185</v>
      </c>
      <c r="C1278" s="64" t="n">
        <v>46266</v>
      </c>
      <c r="D1278" s="62" t="s">
        <v>501</v>
      </c>
      <c r="E1278" s="62" t="s">
        <v>224</v>
      </c>
      <c r="F1278" s="62" t="s">
        <v>225</v>
      </c>
      <c r="G1278" s="62" t="s">
        <v>153</v>
      </c>
      <c r="H1278" s="62" t="s">
        <v>153</v>
      </c>
      <c r="I1278" s="62" t="s">
        <v>153</v>
      </c>
      <c r="J1278" s="62" t="s">
        <v>64</v>
      </c>
      <c r="K1278" s="62" t="s">
        <v>64</v>
      </c>
      <c r="L1278" s="62" t="s">
        <v>4</v>
      </c>
      <c r="M1278" s="62" t="n">
        <v>1</v>
      </c>
      <c r="N1278" s="62" t="n">
        <v>0</v>
      </c>
      <c r="O1278" s="62" t="n">
        <v>1</v>
      </c>
      <c r="P1278" s="62" t="n">
        <v>0</v>
      </c>
      <c r="Q1278" s="62" t="n">
        <v>0</v>
      </c>
      <c r="R1278" s="62" t="n">
        <v>0</v>
      </c>
      <c r="S1278" s="62" t="n">
        <v>0</v>
      </c>
      <c r="T1278" s="62" t="n">
        <v>0</v>
      </c>
      <c r="U1278" s="62" t="s">
        <v>2056</v>
      </c>
      <c r="V1278" s="62" t="s">
        <v>2057</v>
      </c>
      <c r="W1278" s="62" t="s">
        <v>15</v>
      </c>
      <c r="X1278" s="62" t="s">
        <v>2058</v>
      </c>
      <c r="Y1278" s="62" t="s">
        <v>2103</v>
      </c>
      <c r="Z1278" s="62" t="s">
        <v>2454</v>
      </c>
      <c r="AA1278" s="62" t="s">
        <v>237</v>
      </c>
      <c r="AB1278" s="62" t="n">
        <v>0</v>
      </c>
      <c r="AC1278" s="62" t="n">
        <v>0</v>
      </c>
      <c r="AD1278" s="62" t="n">
        <v>0</v>
      </c>
      <c r="AE1278" s="62" t="n">
        <f aca="false">IF(AND(Dashboard!$C$9="Yes",AC1278=1),0,1)</f>
        <v>1</v>
      </c>
      <c r="AF1278" s="62" t="n">
        <v>0</v>
      </c>
    </row>
    <row r="1279" customFormat="false" ht="15" hidden="false" customHeight="false" outlineLevel="0" collapsed="false">
      <c r="A1279" s="62" t="n">
        <v>1278</v>
      </c>
      <c r="B1279" s="63" t="n">
        <v>46266.9079398148</v>
      </c>
      <c r="C1279" s="64" t="n">
        <v>46266</v>
      </c>
      <c r="D1279" s="62" t="s">
        <v>501</v>
      </c>
      <c r="E1279" s="62" t="s">
        <v>164</v>
      </c>
      <c r="F1279" s="62" t="s">
        <v>164</v>
      </c>
      <c r="G1279" s="62" t="s">
        <v>165</v>
      </c>
      <c r="H1279" s="62" t="s">
        <v>51</v>
      </c>
      <c r="I1279" s="62" t="s">
        <v>47</v>
      </c>
      <c r="J1279" s="62" t="s">
        <v>146</v>
      </c>
      <c r="K1279" s="62" t="s">
        <v>147</v>
      </c>
      <c r="L1279" s="62" t="s">
        <v>4</v>
      </c>
      <c r="M1279" s="62" t="n">
        <v>1</v>
      </c>
      <c r="N1279" s="62" t="n">
        <v>0</v>
      </c>
      <c r="O1279" s="62" t="n">
        <v>1</v>
      </c>
      <c r="P1279" s="62" t="n">
        <v>0</v>
      </c>
      <c r="Q1279" s="62" t="n">
        <v>0</v>
      </c>
      <c r="R1279" s="62" t="n">
        <v>0</v>
      </c>
      <c r="S1279" s="62" t="n">
        <v>0</v>
      </c>
      <c r="T1279" s="62" t="n">
        <v>0</v>
      </c>
      <c r="U1279" s="62" t="s">
        <v>2056</v>
      </c>
      <c r="V1279" s="62" t="s">
        <v>2057</v>
      </c>
      <c r="W1279" s="62" t="s">
        <v>15</v>
      </c>
      <c r="X1279" s="62" t="s">
        <v>2058</v>
      </c>
      <c r="Y1279" s="62" t="s">
        <v>2059</v>
      </c>
      <c r="Z1279" s="62" t="s">
        <v>2455</v>
      </c>
      <c r="AA1279" s="62" t="s">
        <v>2456</v>
      </c>
      <c r="AB1279" s="62" t="n">
        <v>1</v>
      </c>
      <c r="AC1279" s="62" t="n">
        <v>0</v>
      </c>
      <c r="AD1279" s="62" t="n">
        <v>1</v>
      </c>
      <c r="AE1279" s="62" t="n">
        <f aca="false">IF(AND(Dashboard!$C$9="Yes",AC1279=1),0,1)</f>
        <v>1</v>
      </c>
      <c r="AF1279" s="62" t="n">
        <v>0</v>
      </c>
    </row>
    <row r="1280" customFormat="false" ht="15" hidden="false" customHeight="false" outlineLevel="0" collapsed="false">
      <c r="A1280" s="62" t="n">
        <v>1279</v>
      </c>
      <c r="B1280" s="63" t="n">
        <v>46266.9090972222</v>
      </c>
      <c r="C1280" s="64" t="n">
        <v>46266</v>
      </c>
      <c r="D1280" s="62" t="s">
        <v>501</v>
      </c>
      <c r="E1280" s="62" t="s">
        <v>164</v>
      </c>
      <c r="F1280" s="62" t="s">
        <v>164</v>
      </c>
      <c r="G1280" s="62" t="s">
        <v>165</v>
      </c>
      <c r="H1280" s="62" t="s">
        <v>51</v>
      </c>
      <c r="I1280" s="62" t="s">
        <v>47</v>
      </c>
      <c r="J1280" s="62" t="s">
        <v>146</v>
      </c>
      <c r="K1280" s="62" t="s">
        <v>147</v>
      </c>
      <c r="L1280" s="62" t="s">
        <v>4</v>
      </c>
      <c r="M1280" s="62" t="n">
        <v>1</v>
      </c>
      <c r="N1280" s="62" t="n">
        <v>0</v>
      </c>
      <c r="O1280" s="62" t="n">
        <v>1</v>
      </c>
      <c r="P1280" s="62" t="n">
        <v>0</v>
      </c>
      <c r="Q1280" s="62" t="n">
        <v>0</v>
      </c>
      <c r="R1280" s="62" t="n">
        <v>0</v>
      </c>
      <c r="S1280" s="62" t="n">
        <v>0</v>
      </c>
      <c r="T1280" s="62" t="n">
        <v>0</v>
      </c>
      <c r="U1280" s="62" t="s">
        <v>2056</v>
      </c>
      <c r="V1280" s="62" t="s">
        <v>2057</v>
      </c>
      <c r="W1280" s="62" t="s">
        <v>15</v>
      </c>
      <c r="X1280" s="62" t="s">
        <v>2058</v>
      </c>
      <c r="Y1280" s="62" t="s">
        <v>2059</v>
      </c>
      <c r="Z1280" s="62" t="s">
        <v>2455</v>
      </c>
      <c r="AA1280" s="62" t="s">
        <v>2456</v>
      </c>
      <c r="AB1280" s="62" t="n">
        <v>1</v>
      </c>
      <c r="AC1280" s="62" t="n">
        <v>1</v>
      </c>
      <c r="AD1280" s="62" t="n">
        <v>1</v>
      </c>
      <c r="AE1280" s="62" t="n">
        <f aca="false">IF(AND(Dashboard!$C$9="Yes",AC1280=1),0,1)</f>
        <v>0</v>
      </c>
      <c r="AF1280" s="62" t="n">
        <v>0</v>
      </c>
    </row>
    <row r="1281" customFormat="false" ht="15" hidden="false" customHeight="false" outlineLevel="0" collapsed="false">
      <c r="A1281" s="62" t="n">
        <v>1280</v>
      </c>
      <c r="B1281" s="63" t="n">
        <v>46266.9258680556</v>
      </c>
      <c r="C1281" s="64" t="n">
        <v>46266</v>
      </c>
      <c r="D1281" s="62" t="s">
        <v>501</v>
      </c>
      <c r="E1281" s="62" t="s">
        <v>586</v>
      </c>
      <c r="F1281" s="62" t="s">
        <v>586</v>
      </c>
      <c r="G1281" s="62" t="s">
        <v>587</v>
      </c>
      <c r="H1281" s="62" t="s">
        <v>57</v>
      </c>
      <c r="I1281" s="62" t="s">
        <v>47</v>
      </c>
      <c r="J1281" s="62" t="s">
        <v>146</v>
      </c>
      <c r="K1281" s="62" t="s">
        <v>175</v>
      </c>
      <c r="L1281" s="62" t="s">
        <v>4</v>
      </c>
      <c r="M1281" s="62" t="n">
        <v>1</v>
      </c>
      <c r="N1281" s="62" t="n">
        <v>0</v>
      </c>
      <c r="O1281" s="62" t="n">
        <v>1</v>
      </c>
      <c r="P1281" s="62" t="n">
        <v>0</v>
      </c>
      <c r="Q1281" s="62" t="n">
        <v>0</v>
      </c>
      <c r="R1281" s="62" t="n">
        <v>0</v>
      </c>
      <c r="S1281" s="62" t="n">
        <v>0</v>
      </c>
      <c r="T1281" s="62" t="n">
        <v>0</v>
      </c>
      <c r="U1281" s="62" t="s">
        <v>2056</v>
      </c>
      <c r="V1281" s="62" t="s">
        <v>2057</v>
      </c>
      <c r="W1281" s="62" t="s">
        <v>15</v>
      </c>
      <c r="X1281" s="62" t="s">
        <v>2164</v>
      </c>
      <c r="Y1281" s="62" t="s">
        <v>2103</v>
      </c>
      <c r="Z1281" s="62" t="s">
        <v>2457</v>
      </c>
      <c r="AA1281" s="62" t="s">
        <v>2458</v>
      </c>
      <c r="AB1281" s="62" t="n">
        <v>1</v>
      </c>
      <c r="AC1281" s="62" t="n">
        <v>0</v>
      </c>
      <c r="AD1281" s="62" t="n">
        <v>1</v>
      </c>
      <c r="AE1281" s="62" t="n">
        <f aca="false">IF(AND(Dashboard!$C$9="Yes",AC1281=1),0,1)</f>
        <v>1</v>
      </c>
      <c r="AF1281" s="62" t="n">
        <v>0</v>
      </c>
    </row>
    <row r="1282" customFormat="false" ht="15" hidden="false" customHeight="false" outlineLevel="0" collapsed="false">
      <c r="A1282" s="62" t="n">
        <v>1281</v>
      </c>
      <c r="B1282" s="63" t="n">
        <v>46266.9262268519</v>
      </c>
      <c r="C1282" s="64" t="n">
        <v>46266</v>
      </c>
      <c r="D1282" s="62" t="s">
        <v>501</v>
      </c>
      <c r="E1282" s="62" t="s">
        <v>586</v>
      </c>
      <c r="F1282" s="62" t="s">
        <v>586</v>
      </c>
      <c r="G1282" s="62" t="s">
        <v>587</v>
      </c>
      <c r="H1282" s="62" t="s">
        <v>57</v>
      </c>
      <c r="I1282" s="62" t="s">
        <v>47</v>
      </c>
      <c r="J1282" s="62" t="s">
        <v>146</v>
      </c>
      <c r="K1282" s="62" t="s">
        <v>175</v>
      </c>
      <c r="L1282" s="62" t="s">
        <v>4</v>
      </c>
      <c r="M1282" s="62" t="n">
        <v>1</v>
      </c>
      <c r="N1282" s="62" t="n">
        <v>0</v>
      </c>
      <c r="O1282" s="62" t="n">
        <v>1</v>
      </c>
      <c r="P1282" s="62" t="n">
        <v>0</v>
      </c>
      <c r="Q1282" s="62" t="n">
        <v>0</v>
      </c>
      <c r="R1282" s="62" t="n">
        <v>0</v>
      </c>
      <c r="S1282" s="62" t="n">
        <v>0</v>
      </c>
      <c r="T1282" s="62" t="n">
        <v>0</v>
      </c>
      <c r="U1282" s="62" t="s">
        <v>2056</v>
      </c>
      <c r="V1282" s="62" t="s">
        <v>2057</v>
      </c>
      <c r="W1282" s="62" t="s">
        <v>15</v>
      </c>
      <c r="X1282" s="62" t="s">
        <v>2164</v>
      </c>
      <c r="Y1282" s="62" t="s">
        <v>2103</v>
      </c>
      <c r="Z1282" s="62" t="s">
        <v>2457</v>
      </c>
      <c r="AA1282" s="62" t="s">
        <v>2459</v>
      </c>
      <c r="AB1282" s="62" t="n">
        <v>1</v>
      </c>
      <c r="AC1282" s="62" t="n">
        <v>0</v>
      </c>
      <c r="AD1282" s="62" t="n">
        <v>1</v>
      </c>
      <c r="AE1282" s="62" t="n">
        <f aca="false">IF(AND(Dashboard!$C$9="Yes",AC1282=1),0,1)</f>
        <v>1</v>
      </c>
      <c r="AF1282" s="62" t="n">
        <v>0</v>
      </c>
    </row>
    <row r="1283" customFormat="false" ht="15" hidden="false" customHeight="false" outlineLevel="0" collapsed="false">
      <c r="A1283" s="62" t="n">
        <v>1282</v>
      </c>
      <c r="B1283" s="63" t="n">
        <v>46266.9471990741</v>
      </c>
      <c r="C1283" s="64" t="n">
        <v>46266</v>
      </c>
      <c r="D1283" s="62" t="s">
        <v>501</v>
      </c>
      <c r="E1283" s="62" t="s">
        <v>1382</v>
      </c>
      <c r="F1283" s="62" t="s">
        <v>1382</v>
      </c>
      <c r="G1283" s="62" t="s">
        <v>1383</v>
      </c>
      <c r="H1283" s="62" t="s">
        <v>58</v>
      </c>
      <c r="I1283" s="62" t="s">
        <v>49</v>
      </c>
      <c r="J1283" s="62" t="s">
        <v>146</v>
      </c>
      <c r="K1283" s="62" t="s">
        <v>175</v>
      </c>
      <c r="L1283" s="62" t="s">
        <v>148</v>
      </c>
      <c r="M1283" s="62" t="n">
        <v>0</v>
      </c>
      <c r="N1283" s="62" t="n">
        <v>1</v>
      </c>
      <c r="O1283" s="62" t="n">
        <v>1</v>
      </c>
      <c r="P1283" s="62" t="n">
        <v>0</v>
      </c>
      <c r="Q1283" s="62" t="n">
        <v>1</v>
      </c>
      <c r="R1283" s="62" t="n">
        <v>0</v>
      </c>
      <c r="S1283" s="62" t="n">
        <v>0</v>
      </c>
      <c r="T1283" s="62" t="n">
        <v>0</v>
      </c>
      <c r="U1283" s="62"/>
      <c r="V1283" s="62"/>
      <c r="W1283" s="62"/>
      <c r="X1283" s="62"/>
      <c r="Y1283" s="62"/>
      <c r="Z1283" s="62" t="s">
        <v>2460</v>
      </c>
      <c r="AA1283" s="62" t="s">
        <v>2461</v>
      </c>
      <c r="AB1283" s="62" t="n">
        <v>1</v>
      </c>
      <c r="AC1283" s="62" t="n">
        <v>0</v>
      </c>
      <c r="AD1283" s="62" t="n">
        <v>1</v>
      </c>
      <c r="AE1283" s="62" t="n">
        <f aca="false">IF(AND(Dashboard!$C$9="Yes",AC1283=1),0,1)</f>
        <v>1</v>
      </c>
      <c r="AF1283" s="62" t="n">
        <v>0</v>
      </c>
    </row>
    <row r="1284" customFormat="false" ht="15" hidden="false" customHeight="false" outlineLevel="0" collapsed="false">
      <c r="A1284" s="62" t="n">
        <v>1283</v>
      </c>
      <c r="B1284" s="63" t="n">
        <v>46266.9606365741</v>
      </c>
      <c r="C1284" s="64" t="n">
        <v>46266</v>
      </c>
      <c r="D1284" s="62" t="s">
        <v>501</v>
      </c>
      <c r="E1284" s="62" t="s">
        <v>203</v>
      </c>
      <c r="F1284" s="62" t="s">
        <v>203</v>
      </c>
      <c r="G1284" s="62" t="s">
        <v>204</v>
      </c>
      <c r="H1284" s="62" t="s">
        <v>51</v>
      </c>
      <c r="I1284" s="62" t="s">
        <v>47</v>
      </c>
      <c r="J1284" s="62" t="s">
        <v>146</v>
      </c>
      <c r="K1284" s="62" t="s">
        <v>147</v>
      </c>
      <c r="L1284" s="62" t="s">
        <v>148</v>
      </c>
      <c r="M1284" s="62" t="n">
        <v>0</v>
      </c>
      <c r="N1284" s="62" t="n">
        <v>1</v>
      </c>
      <c r="O1284" s="62" t="n">
        <v>1</v>
      </c>
      <c r="P1284" s="62" t="n">
        <v>0</v>
      </c>
      <c r="Q1284" s="62" t="n">
        <v>1</v>
      </c>
      <c r="R1284" s="62" t="n">
        <v>0</v>
      </c>
      <c r="S1284" s="62" t="n">
        <v>0</v>
      </c>
      <c r="T1284" s="62" t="n">
        <v>0</v>
      </c>
      <c r="U1284" s="62"/>
      <c r="V1284" s="62"/>
      <c r="W1284" s="62"/>
      <c r="X1284" s="62"/>
      <c r="Y1284" s="62"/>
      <c r="Z1284" s="62" t="s">
        <v>2462</v>
      </c>
      <c r="AA1284" s="62" t="s">
        <v>2463</v>
      </c>
      <c r="AB1284" s="62" t="n">
        <v>1</v>
      </c>
      <c r="AC1284" s="62" t="n">
        <v>0</v>
      </c>
      <c r="AD1284" s="62" t="n">
        <v>1</v>
      </c>
      <c r="AE1284" s="62" t="n">
        <f aca="false">IF(AND(Dashboard!$C$9="Yes",AC1284=1),0,1)</f>
        <v>1</v>
      </c>
      <c r="AF1284" s="62" t="n">
        <v>0</v>
      </c>
    </row>
    <row r="1285" customFormat="false" ht="15" hidden="false" customHeight="false" outlineLevel="0" collapsed="false">
      <c r="A1285" s="62" t="n">
        <v>1284</v>
      </c>
      <c r="B1285" s="63" t="n">
        <v>46266.9643402778</v>
      </c>
      <c r="C1285" s="64" t="n">
        <v>46266</v>
      </c>
      <c r="D1285" s="62" t="s">
        <v>501</v>
      </c>
      <c r="E1285" s="62" t="s">
        <v>2464</v>
      </c>
      <c r="F1285" s="62" t="s">
        <v>2464</v>
      </c>
      <c r="G1285" s="62" t="s">
        <v>2465</v>
      </c>
      <c r="H1285" s="62" t="s">
        <v>59</v>
      </c>
      <c r="I1285" s="62" t="s">
        <v>47</v>
      </c>
      <c r="J1285" s="62" t="s">
        <v>146</v>
      </c>
      <c r="K1285" s="62" t="s">
        <v>175</v>
      </c>
      <c r="L1285" s="62" t="s">
        <v>4</v>
      </c>
      <c r="M1285" s="62" t="n">
        <v>1</v>
      </c>
      <c r="N1285" s="62" t="n">
        <v>0</v>
      </c>
      <c r="O1285" s="62" t="n">
        <v>1</v>
      </c>
      <c r="P1285" s="62" t="n">
        <v>0</v>
      </c>
      <c r="Q1285" s="62" t="n">
        <v>0</v>
      </c>
      <c r="R1285" s="62" t="n">
        <v>0</v>
      </c>
      <c r="S1285" s="62" t="n">
        <v>0</v>
      </c>
      <c r="T1285" s="62" t="n">
        <v>0</v>
      </c>
      <c r="U1285" s="62" t="s">
        <v>2056</v>
      </c>
      <c r="V1285" s="62" t="s">
        <v>2057</v>
      </c>
      <c r="W1285" s="62" t="s">
        <v>15</v>
      </c>
      <c r="X1285" s="62" t="s">
        <v>2058</v>
      </c>
      <c r="Y1285" s="62" t="s">
        <v>2103</v>
      </c>
      <c r="Z1285" s="62" t="s">
        <v>2466</v>
      </c>
      <c r="AA1285" s="62" t="s">
        <v>2467</v>
      </c>
      <c r="AB1285" s="62" t="n">
        <v>1</v>
      </c>
      <c r="AC1285" s="62" t="n">
        <v>0</v>
      </c>
      <c r="AD1285" s="62" t="n">
        <v>1</v>
      </c>
      <c r="AE1285" s="62" t="n">
        <f aca="false">IF(AND(Dashboard!$C$9="Yes",AC1285=1),0,1)</f>
        <v>1</v>
      </c>
      <c r="AF1285" s="62" t="n">
        <v>1</v>
      </c>
    </row>
    <row r="1286" customFormat="false" ht="15" hidden="false" customHeight="false" outlineLevel="0" collapsed="false">
      <c r="A1286" s="62" t="n">
        <v>1285</v>
      </c>
      <c r="B1286" s="63" t="n">
        <v>46266.9662615741</v>
      </c>
      <c r="C1286" s="64" t="n">
        <v>46266</v>
      </c>
      <c r="D1286" s="62" t="s">
        <v>501</v>
      </c>
      <c r="E1286" s="62" t="s">
        <v>2385</v>
      </c>
      <c r="F1286" s="62" t="s">
        <v>2385</v>
      </c>
      <c r="G1286" s="62" t="s">
        <v>2386</v>
      </c>
      <c r="H1286" s="62" t="s">
        <v>59</v>
      </c>
      <c r="I1286" s="62" t="s">
        <v>47</v>
      </c>
      <c r="J1286" s="62" t="s">
        <v>146</v>
      </c>
      <c r="K1286" s="62" t="s">
        <v>209</v>
      </c>
      <c r="L1286" s="62" t="s">
        <v>148</v>
      </c>
      <c r="M1286" s="62" t="n">
        <v>0</v>
      </c>
      <c r="N1286" s="62" t="n">
        <v>1</v>
      </c>
      <c r="O1286" s="62" t="n">
        <v>1</v>
      </c>
      <c r="P1286" s="62" t="n">
        <v>1</v>
      </c>
      <c r="Q1286" s="62" t="n">
        <v>0</v>
      </c>
      <c r="R1286" s="62" t="n">
        <v>0</v>
      </c>
      <c r="S1286" s="62" t="n">
        <v>0</v>
      </c>
      <c r="T1286" s="62" t="n">
        <v>0</v>
      </c>
      <c r="U1286" s="62"/>
      <c r="V1286" s="62"/>
      <c r="W1286" s="62"/>
      <c r="X1286" s="62"/>
      <c r="Y1286" s="62"/>
      <c r="Z1286" s="62" t="s">
        <v>2468</v>
      </c>
      <c r="AA1286" s="62" t="s">
        <v>64</v>
      </c>
      <c r="AB1286" s="62" t="n">
        <v>0</v>
      </c>
      <c r="AC1286" s="62" t="n">
        <v>0</v>
      </c>
      <c r="AD1286" s="62" t="n">
        <v>1</v>
      </c>
      <c r="AE1286" s="62" t="n">
        <f aca="false">IF(AND(Dashboard!$C$9="Yes",AC1286=1),0,1)</f>
        <v>1</v>
      </c>
      <c r="AF1286" s="62" t="n">
        <v>1</v>
      </c>
    </row>
    <row r="1287" customFormat="false" ht="15" hidden="false" customHeight="false" outlineLevel="0" collapsed="false">
      <c r="A1287" s="62" t="n">
        <v>1286</v>
      </c>
      <c r="B1287" s="63" t="n">
        <v>46266.9835763889</v>
      </c>
      <c r="C1287" s="64" t="n">
        <v>46266</v>
      </c>
      <c r="D1287" s="62" t="s">
        <v>501</v>
      </c>
      <c r="E1287" s="62" t="s">
        <v>228</v>
      </c>
      <c r="F1287" s="62" t="s">
        <v>229</v>
      </c>
      <c r="G1287" s="62" t="s">
        <v>153</v>
      </c>
      <c r="H1287" s="62" t="s">
        <v>153</v>
      </c>
      <c r="I1287" s="62" t="s">
        <v>153</v>
      </c>
      <c r="J1287" s="62" t="s">
        <v>64</v>
      </c>
      <c r="K1287" s="62" t="s">
        <v>64</v>
      </c>
      <c r="L1287" s="62" t="s">
        <v>148</v>
      </c>
      <c r="M1287" s="62" t="n">
        <v>0</v>
      </c>
      <c r="N1287" s="62" t="n">
        <v>1</v>
      </c>
      <c r="O1287" s="62" t="n">
        <v>1</v>
      </c>
      <c r="P1287" s="62" t="n">
        <v>0</v>
      </c>
      <c r="Q1287" s="62" t="n">
        <v>0</v>
      </c>
      <c r="R1287" s="62" t="n">
        <v>1</v>
      </c>
      <c r="S1287" s="62" t="n">
        <v>0</v>
      </c>
      <c r="T1287" s="62" t="n">
        <v>0</v>
      </c>
      <c r="U1287" s="62"/>
      <c r="V1287" s="62"/>
      <c r="W1287" s="62"/>
      <c r="X1287" s="62"/>
      <c r="Y1287" s="62"/>
      <c r="Z1287" s="62" t="s">
        <v>2469</v>
      </c>
      <c r="AA1287" s="62" t="s">
        <v>2470</v>
      </c>
      <c r="AB1287" s="62" t="n">
        <v>1</v>
      </c>
      <c r="AC1287" s="62" t="n">
        <v>0</v>
      </c>
      <c r="AD1287" s="62" t="n">
        <v>0</v>
      </c>
      <c r="AE1287" s="62" t="n">
        <f aca="false">IF(AND(Dashboard!$C$9="Yes",AC1287=1),0,1)</f>
        <v>1</v>
      </c>
      <c r="AF1287" s="62" t="n">
        <v>0</v>
      </c>
    </row>
    <row r="1288" customFormat="false" ht="15" hidden="false" customHeight="false" outlineLevel="0" collapsed="false">
      <c r="A1288" s="62" t="n">
        <v>1287</v>
      </c>
      <c r="B1288" s="63" t="n">
        <v>46266.9855787037</v>
      </c>
      <c r="C1288" s="64" t="n">
        <v>46266</v>
      </c>
      <c r="D1288" s="62" t="s">
        <v>501</v>
      </c>
      <c r="E1288" s="62" t="s">
        <v>228</v>
      </c>
      <c r="F1288" s="62" t="s">
        <v>229</v>
      </c>
      <c r="G1288" s="62" t="s">
        <v>153</v>
      </c>
      <c r="H1288" s="62" t="s">
        <v>153</v>
      </c>
      <c r="I1288" s="62" t="s">
        <v>153</v>
      </c>
      <c r="J1288" s="62" t="s">
        <v>64</v>
      </c>
      <c r="K1288" s="62" t="s">
        <v>64</v>
      </c>
      <c r="L1288" s="62" t="s">
        <v>148</v>
      </c>
      <c r="M1288" s="62" t="n">
        <v>0</v>
      </c>
      <c r="N1288" s="62" t="n">
        <v>1</v>
      </c>
      <c r="O1288" s="62" t="n">
        <v>1</v>
      </c>
      <c r="P1288" s="62" t="n">
        <v>0</v>
      </c>
      <c r="Q1288" s="62" t="n">
        <v>0</v>
      </c>
      <c r="R1288" s="62" t="n">
        <v>1</v>
      </c>
      <c r="S1288" s="62" t="n">
        <v>0</v>
      </c>
      <c r="T1288" s="62" t="n">
        <v>0</v>
      </c>
      <c r="U1288" s="62"/>
      <c r="V1288" s="62"/>
      <c r="W1288" s="62"/>
      <c r="X1288" s="62"/>
      <c r="Y1288" s="62"/>
      <c r="Z1288" s="62" t="s">
        <v>2469</v>
      </c>
      <c r="AA1288" s="62" t="s">
        <v>2471</v>
      </c>
      <c r="AB1288" s="62" t="n">
        <v>1</v>
      </c>
      <c r="AC1288" s="62" t="n">
        <v>0</v>
      </c>
      <c r="AD1288" s="62" t="n">
        <v>0</v>
      </c>
      <c r="AE1288" s="62" t="n">
        <f aca="false">IF(AND(Dashboard!$C$9="Yes",AC1288=1),0,1)</f>
        <v>1</v>
      </c>
      <c r="AF1288" s="62" t="n">
        <v>0</v>
      </c>
    </row>
    <row r="1289" customFormat="false" ht="15" hidden="false" customHeight="false" outlineLevel="0" collapsed="false">
      <c r="A1289" s="62" t="n">
        <v>1288</v>
      </c>
      <c r="B1289" s="63" t="n">
        <v>46266.9874884259</v>
      </c>
      <c r="C1289" s="64" t="n">
        <v>46266</v>
      </c>
      <c r="D1289" s="62" t="s">
        <v>501</v>
      </c>
      <c r="E1289" s="62" t="s">
        <v>1652</v>
      </c>
      <c r="F1289" s="62" t="s">
        <v>1652</v>
      </c>
      <c r="G1289" s="62" t="s">
        <v>1653</v>
      </c>
      <c r="H1289" s="62" t="s">
        <v>57</v>
      </c>
      <c r="I1289" s="62" t="s">
        <v>47</v>
      </c>
      <c r="J1289" s="62" t="s">
        <v>146</v>
      </c>
      <c r="K1289" s="62" t="s">
        <v>175</v>
      </c>
      <c r="L1289" s="62" t="s">
        <v>148</v>
      </c>
      <c r="M1289" s="62" t="n">
        <v>0</v>
      </c>
      <c r="N1289" s="62" t="n">
        <v>2</v>
      </c>
      <c r="O1289" s="62" t="n">
        <v>2</v>
      </c>
      <c r="P1289" s="62" t="n">
        <v>0</v>
      </c>
      <c r="Q1289" s="62" t="n">
        <v>0</v>
      </c>
      <c r="R1289" s="62" t="n">
        <v>0</v>
      </c>
      <c r="S1289" s="62" t="n">
        <v>1</v>
      </c>
      <c r="T1289" s="62" t="n">
        <v>1</v>
      </c>
      <c r="U1289" s="62"/>
      <c r="V1289" s="62"/>
      <c r="W1289" s="62"/>
      <c r="X1289" s="62"/>
      <c r="Y1289" s="62"/>
      <c r="Z1289" s="62" t="s">
        <v>2472</v>
      </c>
      <c r="AA1289" s="62" t="s">
        <v>2473</v>
      </c>
      <c r="AB1289" s="62" t="n">
        <v>1</v>
      </c>
      <c r="AC1289" s="62" t="n">
        <v>0</v>
      </c>
      <c r="AD1289" s="62" t="n">
        <v>1</v>
      </c>
      <c r="AE1289" s="62" t="n">
        <f aca="false">IF(AND(Dashboard!$C$9="Yes",AC1289=1),0,1)</f>
        <v>1</v>
      </c>
      <c r="AF1289" s="62" t="n">
        <v>1</v>
      </c>
    </row>
    <row r="1290" customFormat="false" ht="15" hidden="false" customHeight="false" outlineLevel="0" collapsed="false">
      <c r="A1290" s="62" t="n">
        <v>1289</v>
      </c>
      <c r="B1290" s="63" t="n">
        <v>46266.9984490741</v>
      </c>
      <c r="C1290" s="64" t="n">
        <v>46266</v>
      </c>
      <c r="D1290" s="62" t="s">
        <v>501</v>
      </c>
      <c r="E1290" s="62" t="s">
        <v>2464</v>
      </c>
      <c r="F1290" s="62" t="s">
        <v>2464</v>
      </c>
      <c r="G1290" s="62" t="s">
        <v>2465</v>
      </c>
      <c r="H1290" s="62" t="s">
        <v>59</v>
      </c>
      <c r="I1290" s="62" t="s">
        <v>47</v>
      </c>
      <c r="J1290" s="62" t="s">
        <v>146</v>
      </c>
      <c r="K1290" s="62" t="s">
        <v>175</v>
      </c>
      <c r="L1290" s="62" t="s">
        <v>148</v>
      </c>
      <c r="M1290" s="62" t="n">
        <v>0</v>
      </c>
      <c r="N1290" s="62" t="n">
        <v>1</v>
      </c>
      <c r="O1290" s="62" t="n">
        <v>1</v>
      </c>
      <c r="P1290" s="62" t="n">
        <v>1</v>
      </c>
      <c r="Q1290" s="62" t="n">
        <v>0</v>
      </c>
      <c r="R1290" s="62" t="n">
        <v>0</v>
      </c>
      <c r="S1290" s="62" t="n">
        <v>0</v>
      </c>
      <c r="T1290" s="62" t="n">
        <v>0</v>
      </c>
      <c r="U1290" s="62"/>
      <c r="V1290" s="62"/>
      <c r="W1290" s="62"/>
      <c r="X1290" s="62"/>
      <c r="Y1290" s="62"/>
      <c r="Z1290" s="62" t="s">
        <v>2474</v>
      </c>
      <c r="AA1290" s="62" t="s">
        <v>2475</v>
      </c>
      <c r="AB1290" s="62" t="n">
        <v>1</v>
      </c>
      <c r="AC1290" s="62" t="n">
        <v>0</v>
      </c>
      <c r="AD1290" s="62" t="n">
        <v>1</v>
      </c>
      <c r="AE1290" s="62" t="n">
        <f aca="false">IF(AND(Dashboard!$C$9="Yes",AC1290=1),0,1)</f>
        <v>1</v>
      </c>
      <c r="AF1290" s="62" t="n">
        <v>0</v>
      </c>
    </row>
    <row r="1291" customFormat="false" ht="15" hidden="false" customHeight="false" outlineLevel="0" collapsed="false">
      <c r="A1291" s="62" t="n">
        <v>1290</v>
      </c>
      <c r="B1291" s="63" t="n">
        <v>46267.0087847222</v>
      </c>
      <c r="C1291" s="64" t="n">
        <v>46266</v>
      </c>
      <c r="D1291" s="62" t="s">
        <v>501</v>
      </c>
      <c r="E1291" s="62" t="s">
        <v>2476</v>
      </c>
      <c r="F1291" s="62" t="s">
        <v>2476</v>
      </c>
      <c r="G1291" s="62" t="s">
        <v>2477</v>
      </c>
      <c r="H1291" s="62" t="s">
        <v>51</v>
      </c>
      <c r="I1291" s="62" t="s">
        <v>47</v>
      </c>
      <c r="J1291" s="62" t="s">
        <v>146</v>
      </c>
      <c r="K1291" s="62" t="s">
        <v>209</v>
      </c>
      <c r="L1291" s="62" t="s">
        <v>4</v>
      </c>
      <c r="M1291" s="62" t="n">
        <v>1</v>
      </c>
      <c r="N1291" s="62" t="n">
        <v>0</v>
      </c>
      <c r="O1291" s="62" t="n">
        <v>1</v>
      </c>
      <c r="P1291" s="62" t="n">
        <v>0</v>
      </c>
      <c r="Q1291" s="62" t="n">
        <v>0</v>
      </c>
      <c r="R1291" s="62" t="n">
        <v>0</v>
      </c>
      <c r="S1291" s="62" t="n">
        <v>0</v>
      </c>
      <c r="T1291" s="62" t="n">
        <v>0</v>
      </c>
      <c r="U1291" s="62" t="s">
        <v>2056</v>
      </c>
      <c r="V1291" s="62" t="s">
        <v>2057</v>
      </c>
      <c r="W1291" s="62" t="s">
        <v>2056</v>
      </c>
      <c r="X1291" s="62" t="s">
        <v>2180</v>
      </c>
      <c r="Y1291" s="62" t="s">
        <v>2253</v>
      </c>
      <c r="Z1291" s="62" t="s">
        <v>2478</v>
      </c>
      <c r="AA1291" s="62" t="s">
        <v>2479</v>
      </c>
      <c r="AB1291" s="62" t="n">
        <v>1</v>
      </c>
      <c r="AC1291" s="62" t="n">
        <v>0</v>
      </c>
      <c r="AD1291" s="62" t="n">
        <v>1</v>
      </c>
      <c r="AE1291" s="62" t="n">
        <f aca="false">IF(AND(Dashboard!$C$9="Yes",AC1291=1),0,1)</f>
        <v>1</v>
      </c>
      <c r="AF1291" s="62" t="n">
        <v>1</v>
      </c>
    </row>
    <row r="1292" customFormat="false" ht="15" hidden="false" customHeight="false" outlineLevel="0" collapsed="false">
      <c r="A1292" s="62" t="n">
        <v>1291</v>
      </c>
      <c r="B1292" s="63" t="n">
        <v>46267.0107523148</v>
      </c>
      <c r="C1292" s="64" t="n">
        <v>46266</v>
      </c>
      <c r="D1292" s="62" t="s">
        <v>501</v>
      </c>
      <c r="E1292" s="62" t="s">
        <v>2476</v>
      </c>
      <c r="F1292" s="62" t="s">
        <v>2476</v>
      </c>
      <c r="G1292" s="62" t="s">
        <v>2477</v>
      </c>
      <c r="H1292" s="62" t="s">
        <v>51</v>
      </c>
      <c r="I1292" s="62" t="s">
        <v>47</v>
      </c>
      <c r="J1292" s="62" t="s">
        <v>146</v>
      </c>
      <c r="K1292" s="62" t="s">
        <v>209</v>
      </c>
      <c r="L1292" s="62" t="s">
        <v>4</v>
      </c>
      <c r="M1292" s="62" t="n">
        <v>1</v>
      </c>
      <c r="N1292" s="62" t="n">
        <v>0</v>
      </c>
      <c r="O1292" s="62" t="n">
        <v>1</v>
      </c>
      <c r="P1292" s="62" t="n">
        <v>0</v>
      </c>
      <c r="Q1292" s="62" t="n">
        <v>0</v>
      </c>
      <c r="R1292" s="62" t="n">
        <v>0</v>
      </c>
      <c r="S1292" s="62" t="n">
        <v>0</v>
      </c>
      <c r="T1292" s="62" t="n">
        <v>0</v>
      </c>
      <c r="U1292" s="62" t="s">
        <v>2056</v>
      </c>
      <c r="V1292" s="62" t="s">
        <v>2057</v>
      </c>
      <c r="W1292" s="62" t="s">
        <v>2056</v>
      </c>
      <c r="X1292" s="62" t="s">
        <v>2180</v>
      </c>
      <c r="Y1292" s="62" t="s">
        <v>2253</v>
      </c>
      <c r="Z1292" s="62" t="s">
        <v>2480</v>
      </c>
      <c r="AA1292" s="62" t="s">
        <v>2481</v>
      </c>
      <c r="AB1292" s="62" t="n">
        <v>1</v>
      </c>
      <c r="AC1292" s="62" t="n">
        <v>0</v>
      </c>
      <c r="AD1292" s="62" t="n">
        <v>1</v>
      </c>
      <c r="AE1292" s="62" t="n">
        <f aca="false">IF(AND(Dashboard!$C$9="Yes",AC1292=1),0,1)</f>
        <v>1</v>
      </c>
      <c r="AF1292" s="62" t="n">
        <v>0</v>
      </c>
    </row>
    <row r="1293" customFormat="false" ht="15" hidden="false" customHeight="false" outlineLevel="0" collapsed="false">
      <c r="A1293" s="62" t="n">
        <v>1292</v>
      </c>
      <c r="B1293" s="63" t="n">
        <v>46267.0133449074</v>
      </c>
      <c r="C1293" s="64" t="n">
        <v>46266</v>
      </c>
      <c r="D1293" s="62" t="s">
        <v>501</v>
      </c>
      <c r="E1293" s="62" t="s">
        <v>2476</v>
      </c>
      <c r="F1293" s="62" t="s">
        <v>2476</v>
      </c>
      <c r="G1293" s="62" t="s">
        <v>2477</v>
      </c>
      <c r="H1293" s="62" t="s">
        <v>51</v>
      </c>
      <c r="I1293" s="62" t="s">
        <v>47</v>
      </c>
      <c r="J1293" s="62" t="s">
        <v>146</v>
      </c>
      <c r="K1293" s="62" t="s">
        <v>209</v>
      </c>
      <c r="L1293" s="62" t="s">
        <v>4</v>
      </c>
      <c r="M1293" s="62" t="n">
        <v>1</v>
      </c>
      <c r="N1293" s="62" t="n">
        <v>0</v>
      </c>
      <c r="O1293" s="62" t="n">
        <v>1</v>
      </c>
      <c r="P1293" s="62" t="n">
        <v>0</v>
      </c>
      <c r="Q1293" s="62" t="n">
        <v>0</v>
      </c>
      <c r="R1293" s="62" t="n">
        <v>0</v>
      </c>
      <c r="S1293" s="62" t="n">
        <v>0</v>
      </c>
      <c r="T1293" s="62" t="n">
        <v>0</v>
      </c>
      <c r="U1293" s="62" t="s">
        <v>2056</v>
      </c>
      <c r="V1293" s="62" t="s">
        <v>2057</v>
      </c>
      <c r="W1293" s="62" t="s">
        <v>2056</v>
      </c>
      <c r="X1293" s="62" t="s">
        <v>2180</v>
      </c>
      <c r="Y1293" s="62" t="s">
        <v>2253</v>
      </c>
      <c r="Z1293" s="62" t="s">
        <v>2482</v>
      </c>
      <c r="AA1293" s="62" t="s">
        <v>2483</v>
      </c>
      <c r="AB1293" s="62" t="n">
        <v>1</v>
      </c>
      <c r="AC1293" s="62" t="n">
        <v>0</v>
      </c>
      <c r="AD1293" s="62" t="n">
        <v>1</v>
      </c>
      <c r="AE1293" s="62" t="n">
        <f aca="false">IF(AND(Dashboard!$C$9="Yes",AC1293=1),0,1)</f>
        <v>1</v>
      </c>
      <c r="AF1293" s="62" t="n">
        <v>0</v>
      </c>
    </row>
    <row r="1294" customFormat="false" ht="15" hidden="false" customHeight="false" outlineLevel="0" collapsed="false">
      <c r="A1294" s="62" t="n">
        <v>1293</v>
      </c>
      <c r="B1294" s="63" t="n">
        <v>46267.0185532407</v>
      </c>
      <c r="C1294" s="64" t="n">
        <v>46266</v>
      </c>
      <c r="D1294" s="62" t="s">
        <v>501</v>
      </c>
      <c r="E1294" s="62" t="s">
        <v>2050</v>
      </c>
      <c r="F1294" s="62" t="s">
        <v>2050</v>
      </c>
      <c r="G1294" s="62" t="s">
        <v>2051</v>
      </c>
      <c r="H1294" s="62" t="s">
        <v>46</v>
      </c>
      <c r="I1294" s="62" t="s">
        <v>47</v>
      </c>
      <c r="J1294" s="62" t="s">
        <v>146</v>
      </c>
      <c r="K1294" s="62" t="s">
        <v>209</v>
      </c>
      <c r="L1294" s="62" t="s">
        <v>148</v>
      </c>
      <c r="M1294" s="62" t="n">
        <v>0</v>
      </c>
      <c r="N1294" s="62" t="n">
        <v>1</v>
      </c>
      <c r="O1294" s="62" t="n">
        <v>1</v>
      </c>
      <c r="P1294" s="62" t="n">
        <v>0</v>
      </c>
      <c r="Q1294" s="62" t="n">
        <v>1</v>
      </c>
      <c r="R1294" s="62" t="n">
        <v>0</v>
      </c>
      <c r="S1294" s="62" t="n">
        <v>0</v>
      </c>
      <c r="T1294" s="62" t="n">
        <v>0</v>
      </c>
      <c r="U1294" s="62"/>
      <c r="V1294" s="62"/>
      <c r="W1294" s="62"/>
      <c r="X1294" s="62"/>
      <c r="Y1294" s="62"/>
      <c r="Z1294" s="62" t="s">
        <v>2484</v>
      </c>
      <c r="AA1294" s="62" t="s">
        <v>2076</v>
      </c>
      <c r="AB1294" s="62" t="n">
        <v>0</v>
      </c>
      <c r="AC1294" s="62" t="n">
        <v>0</v>
      </c>
      <c r="AD1294" s="62" t="n">
        <v>1</v>
      </c>
      <c r="AE1294" s="62" t="n">
        <f aca="false">IF(AND(Dashboard!$C$9="Yes",AC1294=1),0,1)</f>
        <v>1</v>
      </c>
      <c r="AF1294" s="62" t="n">
        <v>1</v>
      </c>
    </row>
    <row r="1295" customFormat="false" ht="15" hidden="false" customHeight="false" outlineLevel="0" collapsed="false">
      <c r="A1295" s="62" t="n">
        <v>1294</v>
      </c>
      <c r="B1295" s="63" t="n">
        <v>46267.029525463</v>
      </c>
      <c r="C1295" s="64" t="n">
        <v>46266</v>
      </c>
      <c r="D1295" s="62" t="s">
        <v>501</v>
      </c>
      <c r="E1295" s="62" t="s">
        <v>2464</v>
      </c>
      <c r="F1295" s="62" t="s">
        <v>2464</v>
      </c>
      <c r="G1295" s="62" t="s">
        <v>2465</v>
      </c>
      <c r="H1295" s="62" t="s">
        <v>59</v>
      </c>
      <c r="I1295" s="62" t="s">
        <v>47</v>
      </c>
      <c r="J1295" s="62" t="s">
        <v>146</v>
      </c>
      <c r="K1295" s="62" t="s">
        <v>175</v>
      </c>
      <c r="L1295" s="62" t="s">
        <v>148</v>
      </c>
      <c r="M1295" s="62" t="n">
        <v>0</v>
      </c>
      <c r="N1295" s="62" t="n">
        <v>1</v>
      </c>
      <c r="O1295" s="62" t="n">
        <v>1</v>
      </c>
      <c r="P1295" s="62" t="n">
        <v>1</v>
      </c>
      <c r="Q1295" s="62" t="n">
        <v>0</v>
      </c>
      <c r="R1295" s="62" t="n">
        <v>0</v>
      </c>
      <c r="S1295" s="62" t="n">
        <v>0</v>
      </c>
      <c r="T1295" s="62" t="n">
        <v>0</v>
      </c>
      <c r="U1295" s="62"/>
      <c r="V1295" s="62"/>
      <c r="W1295" s="62"/>
      <c r="X1295" s="62"/>
      <c r="Y1295" s="62"/>
      <c r="Z1295" s="62" t="s">
        <v>2474</v>
      </c>
      <c r="AA1295" s="62" t="s">
        <v>2485</v>
      </c>
      <c r="AB1295" s="62" t="n">
        <v>1</v>
      </c>
      <c r="AC1295" s="62" t="n">
        <v>0</v>
      </c>
      <c r="AD1295" s="62" t="n">
        <v>1</v>
      </c>
      <c r="AE1295" s="62" t="n">
        <f aca="false">IF(AND(Dashboard!$C$9="Yes",AC1295=1),0,1)</f>
        <v>1</v>
      </c>
      <c r="AF1295" s="62" t="n">
        <v>0</v>
      </c>
    </row>
    <row r="1296" customFormat="false" ht="15" hidden="false" customHeight="false" outlineLevel="0" collapsed="false">
      <c r="A1296" s="62" t="n">
        <v>1295</v>
      </c>
      <c r="B1296" s="63" t="n">
        <v>46267.0308333333</v>
      </c>
      <c r="C1296" s="64" t="n">
        <v>46266</v>
      </c>
      <c r="D1296" s="62" t="s">
        <v>501</v>
      </c>
      <c r="E1296" s="62" t="s">
        <v>1314</v>
      </c>
      <c r="F1296" s="62" t="s">
        <v>1314</v>
      </c>
      <c r="G1296" s="62" t="s">
        <v>1315</v>
      </c>
      <c r="H1296" s="62" t="s">
        <v>51</v>
      </c>
      <c r="I1296" s="62" t="s">
        <v>47</v>
      </c>
      <c r="J1296" s="62" t="s">
        <v>146</v>
      </c>
      <c r="K1296" s="62" t="s">
        <v>209</v>
      </c>
      <c r="L1296" s="62" t="s">
        <v>4</v>
      </c>
      <c r="M1296" s="62" t="n">
        <v>1</v>
      </c>
      <c r="N1296" s="62" t="n">
        <v>0</v>
      </c>
      <c r="O1296" s="62" t="n">
        <v>1</v>
      </c>
      <c r="P1296" s="62" t="n">
        <v>0</v>
      </c>
      <c r="Q1296" s="62" t="n">
        <v>0</v>
      </c>
      <c r="R1296" s="62" t="n">
        <v>0</v>
      </c>
      <c r="S1296" s="62" t="n">
        <v>0</v>
      </c>
      <c r="T1296" s="62" t="n">
        <v>0</v>
      </c>
      <c r="U1296" s="62" t="s">
        <v>2056</v>
      </c>
      <c r="V1296" s="62" t="s">
        <v>2057</v>
      </c>
      <c r="W1296" s="62" t="s">
        <v>15</v>
      </c>
      <c r="X1296" s="62" t="s">
        <v>2180</v>
      </c>
      <c r="Y1296" s="62" t="s">
        <v>2059</v>
      </c>
      <c r="Z1296" s="62" t="s">
        <v>2486</v>
      </c>
      <c r="AA1296" s="62" t="s">
        <v>2487</v>
      </c>
      <c r="AB1296" s="62" t="n">
        <v>1</v>
      </c>
      <c r="AC1296" s="62" t="n">
        <v>0</v>
      </c>
      <c r="AD1296" s="62" t="n">
        <v>1</v>
      </c>
      <c r="AE1296" s="62" t="n">
        <f aca="false">IF(AND(Dashboard!$C$9="Yes",AC1296=1),0,1)</f>
        <v>1</v>
      </c>
      <c r="AF1296" s="62" t="n">
        <v>1</v>
      </c>
    </row>
    <row r="1297" customFormat="false" ht="15" hidden="false" customHeight="false" outlineLevel="0" collapsed="false">
      <c r="A1297" s="62" t="n">
        <v>1296</v>
      </c>
      <c r="B1297" s="63" t="n">
        <v>46267.0343402778</v>
      </c>
      <c r="C1297" s="64" t="n">
        <v>46266</v>
      </c>
      <c r="D1297" s="62" t="s">
        <v>501</v>
      </c>
      <c r="E1297" s="62" t="s">
        <v>1326</v>
      </c>
      <c r="F1297" s="62" t="s">
        <v>1326</v>
      </c>
      <c r="G1297" s="62" t="s">
        <v>1327</v>
      </c>
      <c r="H1297" s="62" t="s">
        <v>57</v>
      </c>
      <c r="I1297" s="62" t="s">
        <v>47</v>
      </c>
      <c r="J1297" s="62" t="s">
        <v>146</v>
      </c>
      <c r="K1297" s="62" t="s">
        <v>175</v>
      </c>
      <c r="L1297" s="62" t="s">
        <v>148</v>
      </c>
      <c r="M1297" s="62" t="n">
        <v>0</v>
      </c>
      <c r="N1297" s="62" t="n">
        <v>1</v>
      </c>
      <c r="O1297" s="62" t="n">
        <v>1</v>
      </c>
      <c r="P1297" s="62" t="n">
        <v>1</v>
      </c>
      <c r="Q1297" s="62" t="n">
        <v>0</v>
      </c>
      <c r="R1297" s="62" t="n">
        <v>0</v>
      </c>
      <c r="S1297" s="62" t="n">
        <v>0</v>
      </c>
      <c r="T1297" s="62" t="n">
        <v>0</v>
      </c>
      <c r="U1297" s="62"/>
      <c r="V1297" s="62"/>
      <c r="W1297" s="62"/>
      <c r="X1297" s="62"/>
      <c r="Y1297" s="62"/>
      <c r="Z1297" s="62" t="s">
        <v>2488</v>
      </c>
      <c r="AA1297" s="62" t="s">
        <v>237</v>
      </c>
      <c r="AB1297" s="62" t="n">
        <v>0</v>
      </c>
      <c r="AC1297" s="62" t="n">
        <v>0</v>
      </c>
      <c r="AD1297" s="62" t="n">
        <v>1</v>
      </c>
      <c r="AE1297" s="62" t="n">
        <f aca="false">IF(AND(Dashboard!$C$9="Yes",AC1297=1),0,1)</f>
        <v>1</v>
      </c>
      <c r="AF1297" s="62" t="n">
        <v>1</v>
      </c>
    </row>
    <row r="1298" customFormat="false" ht="15" hidden="false" customHeight="false" outlineLevel="0" collapsed="false">
      <c r="A1298" s="62" t="n">
        <v>1297</v>
      </c>
      <c r="B1298" s="63" t="n">
        <v>46267.0378587963</v>
      </c>
      <c r="C1298" s="64" t="n">
        <v>46266</v>
      </c>
      <c r="D1298" s="62" t="s">
        <v>501</v>
      </c>
      <c r="E1298" s="62" t="s">
        <v>1827</v>
      </c>
      <c r="F1298" s="62" t="s">
        <v>1827</v>
      </c>
      <c r="G1298" s="62" t="s">
        <v>1828</v>
      </c>
      <c r="H1298" s="62" t="s">
        <v>59</v>
      </c>
      <c r="I1298" s="62" t="s">
        <v>47</v>
      </c>
      <c r="J1298" s="62" t="s">
        <v>146</v>
      </c>
      <c r="K1298" s="62" t="s">
        <v>209</v>
      </c>
      <c r="L1298" s="62" t="s">
        <v>148</v>
      </c>
      <c r="M1298" s="62" t="n">
        <v>0</v>
      </c>
      <c r="N1298" s="62" t="n">
        <v>2</v>
      </c>
      <c r="O1298" s="62" t="n">
        <v>2</v>
      </c>
      <c r="P1298" s="62" t="n">
        <v>1</v>
      </c>
      <c r="Q1298" s="62" t="n">
        <v>1</v>
      </c>
      <c r="R1298" s="62" t="n">
        <v>0</v>
      </c>
      <c r="S1298" s="62" t="n">
        <v>0</v>
      </c>
      <c r="T1298" s="62" t="n">
        <v>0</v>
      </c>
      <c r="U1298" s="62"/>
      <c r="V1298" s="62"/>
      <c r="W1298" s="62"/>
      <c r="X1298" s="62"/>
      <c r="Y1298" s="62"/>
      <c r="Z1298" s="62" t="s">
        <v>2489</v>
      </c>
      <c r="AA1298" s="62" t="s">
        <v>2490</v>
      </c>
      <c r="AB1298" s="62" t="n">
        <v>1</v>
      </c>
      <c r="AC1298" s="62" t="n">
        <v>0</v>
      </c>
      <c r="AD1298" s="62" t="n">
        <v>1</v>
      </c>
      <c r="AE1298" s="62" t="n">
        <f aca="false">IF(AND(Dashboard!$C$9="Yes",AC1298=1),0,1)</f>
        <v>1</v>
      </c>
      <c r="AF1298" s="62" t="n">
        <v>1</v>
      </c>
    </row>
    <row r="1299" customFormat="false" ht="15" hidden="false" customHeight="false" outlineLevel="0" collapsed="false">
      <c r="A1299" s="62" t="n">
        <v>1298</v>
      </c>
      <c r="B1299" s="63" t="n">
        <v>46267.0392592593</v>
      </c>
      <c r="C1299" s="64" t="n">
        <v>46266</v>
      </c>
      <c r="D1299" s="62" t="s">
        <v>501</v>
      </c>
      <c r="E1299" s="62" t="s">
        <v>1827</v>
      </c>
      <c r="F1299" s="62" t="s">
        <v>1827</v>
      </c>
      <c r="G1299" s="62" t="s">
        <v>1828</v>
      </c>
      <c r="H1299" s="62" t="s">
        <v>59</v>
      </c>
      <c r="I1299" s="62" t="s">
        <v>47</v>
      </c>
      <c r="J1299" s="62" t="s">
        <v>146</v>
      </c>
      <c r="K1299" s="62" t="s">
        <v>209</v>
      </c>
      <c r="L1299" s="62" t="s">
        <v>148</v>
      </c>
      <c r="M1299" s="62" t="n">
        <v>0</v>
      </c>
      <c r="N1299" s="62" t="n">
        <v>2</v>
      </c>
      <c r="O1299" s="62" t="n">
        <v>2</v>
      </c>
      <c r="P1299" s="62" t="n">
        <v>1</v>
      </c>
      <c r="Q1299" s="62" t="n">
        <v>1</v>
      </c>
      <c r="R1299" s="62" t="n">
        <v>0</v>
      </c>
      <c r="S1299" s="62" t="n">
        <v>0</v>
      </c>
      <c r="T1299" s="62" t="n">
        <v>0</v>
      </c>
      <c r="U1299" s="62"/>
      <c r="V1299" s="62"/>
      <c r="W1299" s="62"/>
      <c r="X1299" s="62"/>
      <c r="Y1299" s="62"/>
      <c r="Z1299" s="62" t="s">
        <v>2489</v>
      </c>
      <c r="AA1299" s="62" t="s">
        <v>2490</v>
      </c>
      <c r="AB1299" s="62" t="n">
        <v>1</v>
      </c>
      <c r="AC1299" s="62" t="n">
        <v>1</v>
      </c>
      <c r="AD1299" s="62" t="n">
        <v>1</v>
      </c>
      <c r="AE1299" s="62" t="n">
        <f aca="false">IF(AND(Dashboard!$C$9="Yes",AC1299=1),0,1)</f>
        <v>0</v>
      </c>
      <c r="AF1299" s="62" t="n">
        <v>0</v>
      </c>
    </row>
    <row r="1300" customFormat="false" ht="15" hidden="false" customHeight="false" outlineLevel="0" collapsed="false">
      <c r="A1300" s="62" t="n">
        <v>1299</v>
      </c>
      <c r="B1300" s="63" t="n">
        <v>46267.0430208333</v>
      </c>
      <c r="C1300" s="64" t="n">
        <v>46266</v>
      </c>
      <c r="D1300" s="62" t="s">
        <v>501</v>
      </c>
      <c r="E1300" s="62" t="s">
        <v>939</v>
      </c>
      <c r="F1300" s="62" t="s">
        <v>939</v>
      </c>
      <c r="G1300" s="62" t="s">
        <v>940</v>
      </c>
      <c r="H1300" s="62" t="s">
        <v>57</v>
      </c>
      <c r="I1300" s="62" t="s">
        <v>47</v>
      </c>
      <c r="J1300" s="62" t="s">
        <v>146</v>
      </c>
      <c r="K1300" s="62" t="s">
        <v>147</v>
      </c>
      <c r="L1300" s="62" t="s">
        <v>148</v>
      </c>
      <c r="M1300" s="62" t="n">
        <v>0</v>
      </c>
      <c r="N1300" s="62" t="n">
        <v>1</v>
      </c>
      <c r="O1300" s="62" t="n">
        <v>1</v>
      </c>
      <c r="P1300" s="62" t="n">
        <v>1</v>
      </c>
      <c r="Q1300" s="62" t="n">
        <v>0</v>
      </c>
      <c r="R1300" s="62" t="n">
        <v>0</v>
      </c>
      <c r="S1300" s="62" t="n">
        <v>0</v>
      </c>
      <c r="T1300" s="62" t="n">
        <v>0</v>
      </c>
      <c r="U1300" s="62"/>
      <c r="V1300" s="62"/>
      <c r="W1300" s="62"/>
      <c r="X1300" s="62"/>
      <c r="Y1300" s="62"/>
      <c r="Z1300" s="62" t="s">
        <v>2491</v>
      </c>
      <c r="AA1300" s="62" t="s">
        <v>2492</v>
      </c>
      <c r="AB1300" s="62" t="n">
        <v>1</v>
      </c>
      <c r="AC1300" s="62" t="n">
        <v>0</v>
      </c>
      <c r="AD1300" s="62" t="n">
        <v>1</v>
      </c>
      <c r="AE1300" s="62" t="n">
        <f aca="false">IF(AND(Dashboard!$C$9="Yes",AC1300=1),0,1)</f>
        <v>1</v>
      </c>
      <c r="AF1300" s="62" t="n">
        <v>1</v>
      </c>
    </row>
    <row r="1301" customFormat="false" ht="15" hidden="false" customHeight="false" outlineLevel="0" collapsed="false">
      <c r="A1301" s="62" t="n">
        <v>1300</v>
      </c>
      <c r="B1301" s="63" t="n">
        <v>46267.0608564815</v>
      </c>
      <c r="C1301" s="64" t="n">
        <v>46266</v>
      </c>
      <c r="D1301" s="62" t="s">
        <v>501</v>
      </c>
      <c r="E1301" s="62" t="s">
        <v>1314</v>
      </c>
      <c r="F1301" s="62" t="s">
        <v>1314</v>
      </c>
      <c r="G1301" s="62" t="s">
        <v>1315</v>
      </c>
      <c r="H1301" s="62" t="s">
        <v>51</v>
      </c>
      <c r="I1301" s="62" t="s">
        <v>47</v>
      </c>
      <c r="J1301" s="62" t="s">
        <v>146</v>
      </c>
      <c r="K1301" s="62" t="s">
        <v>209</v>
      </c>
      <c r="L1301" s="62" t="s">
        <v>148</v>
      </c>
      <c r="M1301" s="62" t="n">
        <v>0</v>
      </c>
      <c r="N1301" s="62" t="n">
        <v>1</v>
      </c>
      <c r="O1301" s="62" t="n">
        <v>1</v>
      </c>
      <c r="P1301" s="62" t="n">
        <v>0</v>
      </c>
      <c r="Q1301" s="62" t="n">
        <v>0</v>
      </c>
      <c r="R1301" s="62" t="n">
        <v>0</v>
      </c>
      <c r="S1301" s="62" t="n">
        <v>1</v>
      </c>
      <c r="T1301" s="62" t="n">
        <v>0</v>
      </c>
      <c r="U1301" s="62"/>
      <c r="V1301" s="62"/>
      <c r="W1301" s="62"/>
      <c r="X1301" s="62"/>
      <c r="Y1301" s="62"/>
      <c r="Z1301" s="62" t="s">
        <v>2486</v>
      </c>
      <c r="AA1301" s="62" t="s">
        <v>2487</v>
      </c>
      <c r="AB1301" s="62" t="n">
        <v>1</v>
      </c>
      <c r="AC1301" s="62" t="n">
        <v>0</v>
      </c>
      <c r="AD1301" s="62" t="n">
        <v>1</v>
      </c>
      <c r="AE1301" s="62" t="n">
        <f aca="false">IF(AND(Dashboard!$C$9="Yes",AC1301=1),0,1)</f>
        <v>1</v>
      </c>
      <c r="AF1301" s="62" t="n">
        <v>0</v>
      </c>
    </row>
    <row r="1302" customFormat="false" ht="15" hidden="false" customHeight="false" outlineLevel="0" collapsed="false">
      <c r="A1302" s="62" t="n">
        <v>1301</v>
      </c>
      <c r="B1302" s="63" t="n">
        <v>46267.0633217593</v>
      </c>
      <c r="C1302" s="64" t="n">
        <v>46266</v>
      </c>
      <c r="D1302" s="62" t="s">
        <v>501</v>
      </c>
      <c r="E1302" s="62" t="s">
        <v>371</v>
      </c>
      <c r="F1302" s="62" t="s">
        <v>371</v>
      </c>
      <c r="G1302" s="62" t="s">
        <v>372</v>
      </c>
      <c r="H1302" s="62" t="s">
        <v>59</v>
      </c>
      <c r="I1302" s="62" t="s">
        <v>47</v>
      </c>
      <c r="J1302" s="62" t="s">
        <v>146</v>
      </c>
      <c r="K1302" s="62" t="s">
        <v>147</v>
      </c>
      <c r="L1302" s="62" t="s">
        <v>148</v>
      </c>
      <c r="M1302" s="62" t="n">
        <v>0</v>
      </c>
      <c r="N1302" s="62" t="n">
        <v>1</v>
      </c>
      <c r="O1302" s="62" t="n">
        <v>1</v>
      </c>
      <c r="P1302" s="62" t="n">
        <v>1</v>
      </c>
      <c r="Q1302" s="62" t="n">
        <v>0</v>
      </c>
      <c r="R1302" s="62" t="n">
        <v>0</v>
      </c>
      <c r="S1302" s="62" t="n">
        <v>0</v>
      </c>
      <c r="T1302" s="62" t="n">
        <v>0</v>
      </c>
      <c r="U1302" s="62"/>
      <c r="V1302" s="62"/>
      <c r="W1302" s="62"/>
      <c r="X1302" s="62"/>
      <c r="Y1302" s="62"/>
      <c r="Z1302" s="62" t="s">
        <v>2493</v>
      </c>
      <c r="AA1302" s="62" t="s">
        <v>2494</v>
      </c>
      <c r="AB1302" s="62" t="n">
        <v>1</v>
      </c>
      <c r="AC1302" s="62" t="n">
        <v>0</v>
      </c>
      <c r="AD1302" s="62" t="n">
        <v>1</v>
      </c>
      <c r="AE1302" s="62" t="n">
        <f aca="false">IF(AND(Dashboard!$C$9="Yes",AC1302=1),0,1)</f>
        <v>1</v>
      </c>
      <c r="AF1302" s="62" t="n">
        <v>1</v>
      </c>
    </row>
    <row r="1303" customFormat="false" ht="15" hidden="false" customHeight="false" outlineLevel="0" collapsed="false">
      <c r="A1303" s="62" t="n">
        <v>1302</v>
      </c>
      <c r="B1303" s="63" t="n">
        <v>46267.0688425926</v>
      </c>
      <c r="C1303" s="64" t="n">
        <v>46266</v>
      </c>
      <c r="D1303" s="62" t="s">
        <v>501</v>
      </c>
      <c r="E1303" s="62" t="s">
        <v>2385</v>
      </c>
      <c r="F1303" s="62" t="s">
        <v>2385</v>
      </c>
      <c r="G1303" s="62" t="s">
        <v>2386</v>
      </c>
      <c r="H1303" s="62" t="s">
        <v>59</v>
      </c>
      <c r="I1303" s="62" t="s">
        <v>47</v>
      </c>
      <c r="J1303" s="62" t="s">
        <v>146</v>
      </c>
      <c r="K1303" s="62" t="s">
        <v>209</v>
      </c>
      <c r="L1303" s="62" t="s">
        <v>148</v>
      </c>
      <c r="M1303" s="62" t="n">
        <v>0</v>
      </c>
      <c r="N1303" s="62" t="n">
        <v>2</v>
      </c>
      <c r="O1303" s="62" t="n">
        <v>2</v>
      </c>
      <c r="P1303" s="62" t="n">
        <v>1</v>
      </c>
      <c r="Q1303" s="62" t="n">
        <v>1</v>
      </c>
      <c r="R1303" s="62" t="n">
        <v>0</v>
      </c>
      <c r="S1303" s="62" t="n">
        <v>0</v>
      </c>
      <c r="T1303" s="62" t="n">
        <v>0</v>
      </c>
      <c r="U1303" s="62"/>
      <c r="V1303" s="62"/>
      <c r="W1303" s="62"/>
      <c r="X1303" s="62"/>
      <c r="Y1303" s="62"/>
      <c r="Z1303" s="62" t="s">
        <v>2495</v>
      </c>
      <c r="AA1303" s="62" t="s">
        <v>2496</v>
      </c>
      <c r="AB1303" s="62" t="n">
        <v>1</v>
      </c>
      <c r="AC1303" s="62" t="n">
        <v>0</v>
      </c>
      <c r="AD1303" s="62" t="n">
        <v>1</v>
      </c>
      <c r="AE1303" s="62" t="n">
        <f aca="false">IF(AND(Dashboard!$C$9="Yes",AC1303=1),0,1)</f>
        <v>1</v>
      </c>
      <c r="AF1303" s="62" t="n">
        <v>0</v>
      </c>
    </row>
    <row r="1304" customFormat="false" ht="15" hidden="false" customHeight="false" outlineLevel="0" collapsed="false">
      <c r="A1304" s="62" t="n">
        <v>1303</v>
      </c>
      <c r="B1304" s="63" t="n">
        <v>46267.0862152778</v>
      </c>
      <c r="C1304" s="64" t="n">
        <v>46266</v>
      </c>
      <c r="D1304" s="62" t="s">
        <v>501</v>
      </c>
      <c r="E1304" s="62" t="s">
        <v>2228</v>
      </c>
      <c r="F1304" s="62" t="s">
        <v>2228</v>
      </c>
      <c r="G1304" s="62" t="s">
        <v>2229</v>
      </c>
      <c r="H1304" s="62" t="s">
        <v>58</v>
      </c>
      <c r="I1304" s="62" t="s">
        <v>49</v>
      </c>
      <c r="J1304" s="62" t="s">
        <v>146</v>
      </c>
      <c r="K1304" s="62" t="s">
        <v>209</v>
      </c>
      <c r="L1304" s="62" t="s">
        <v>148</v>
      </c>
      <c r="M1304" s="62" t="n">
        <v>0</v>
      </c>
      <c r="N1304" s="62" t="n">
        <v>1</v>
      </c>
      <c r="O1304" s="62" t="n">
        <v>1</v>
      </c>
      <c r="P1304" s="62" t="n">
        <v>0</v>
      </c>
      <c r="Q1304" s="62" t="n">
        <v>1</v>
      </c>
      <c r="R1304" s="62" t="n">
        <v>0</v>
      </c>
      <c r="S1304" s="62" t="n">
        <v>0</v>
      </c>
      <c r="T1304" s="62" t="n">
        <v>0</v>
      </c>
      <c r="U1304" s="62"/>
      <c r="V1304" s="62"/>
      <c r="W1304" s="62"/>
      <c r="X1304" s="62"/>
      <c r="Y1304" s="62"/>
      <c r="Z1304" s="62" t="s">
        <v>2497</v>
      </c>
      <c r="AA1304" s="62" t="s">
        <v>2498</v>
      </c>
      <c r="AB1304" s="62" t="n">
        <v>1</v>
      </c>
      <c r="AC1304" s="62" t="n">
        <v>0</v>
      </c>
      <c r="AD1304" s="62" t="n">
        <v>1</v>
      </c>
      <c r="AE1304" s="62" t="n">
        <f aca="false">IF(AND(Dashboard!$C$9="Yes",AC1304=1),0,1)</f>
        <v>1</v>
      </c>
      <c r="AF1304" s="62" t="n">
        <v>0</v>
      </c>
    </row>
    <row r="1305" customFormat="false" ht="15" hidden="false" customHeight="false" outlineLevel="0" collapsed="false">
      <c r="A1305" s="62" t="n">
        <v>1304</v>
      </c>
      <c r="B1305" s="63" t="n">
        <v>46267.0937731482</v>
      </c>
      <c r="C1305" s="64" t="n">
        <v>46266</v>
      </c>
      <c r="D1305" s="62" t="s">
        <v>501</v>
      </c>
      <c r="E1305" s="62" t="s">
        <v>2228</v>
      </c>
      <c r="F1305" s="62" t="s">
        <v>2228</v>
      </c>
      <c r="G1305" s="62" t="s">
        <v>2229</v>
      </c>
      <c r="H1305" s="62" t="s">
        <v>58</v>
      </c>
      <c r="I1305" s="62" t="s">
        <v>49</v>
      </c>
      <c r="J1305" s="62" t="s">
        <v>146</v>
      </c>
      <c r="K1305" s="62" t="s">
        <v>209</v>
      </c>
      <c r="L1305" s="62" t="s">
        <v>4</v>
      </c>
      <c r="M1305" s="62" t="n">
        <v>1</v>
      </c>
      <c r="N1305" s="62" t="n">
        <v>0</v>
      </c>
      <c r="O1305" s="62" t="n">
        <v>1</v>
      </c>
      <c r="P1305" s="62" t="n">
        <v>0</v>
      </c>
      <c r="Q1305" s="62" t="n">
        <v>0</v>
      </c>
      <c r="R1305" s="62" t="n">
        <v>0</v>
      </c>
      <c r="S1305" s="62" t="n">
        <v>0</v>
      </c>
      <c r="T1305" s="62" t="n">
        <v>0</v>
      </c>
      <c r="U1305" s="62" t="s">
        <v>2056</v>
      </c>
      <c r="V1305" s="62" t="s">
        <v>2057</v>
      </c>
      <c r="W1305" s="62" t="s">
        <v>15</v>
      </c>
      <c r="X1305" s="62" t="s">
        <v>2058</v>
      </c>
      <c r="Y1305" s="62" t="s">
        <v>2181</v>
      </c>
      <c r="Z1305" s="62" t="s">
        <v>2499</v>
      </c>
      <c r="AA1305" s="62" t="s">
        <v>2500</v>
      </c>
      <c r="AB1305" s="62" t="n">
        <v>1</v>
      </c>
      <c r="AC1305" s="62" t="n">
        <v>0</v>
      </c>
      <c r="AD1305" s="62" t="n">
        <v>1</v>
      </c>
      <c r="AE1305" s="62" t="n">
        <f aca="false">IF(AND(Dashboard!$C$9="Yes",AC1305=1),0,1)</f>
        <v>1</v>
      </c>
      <c r="AF1305" s="62" t="n">
        <v>0</v>
      </c>
    </row>
    <row r="1306" customFormat="false" ht="15" hidden="false" customHeight="false" outlineLevel="0" collapsed="false">
      <c r="A1306" s="62" t="n">
        <v>1305</v>
      </c>
      <c r="B1306" s="63" t="n">
        <v>46267.1572569445</v>
      </c>
      <c r="C1306" s="64" t="n">
        <v>46266</v>
      </c>
      <c r="D1306" s="62" t="s">
        <v>501</v>
      </c>
      <c r="E1306" s="62" t="s">
        <v>2228</v>
      </c>
      <c r="F1306" s="62" t="s">
        <v>2228</v>
      </c>
      <c r="G1306" s="62" t="s">
        <v>2229</v>
      </c>
      <c r="H1306" s="62" t="s">
        <v>58</v>
      </c>
      <c r="I1306" s="62" t="s">
        <v>49</v>
      </c>
      <c r="J1306" s="62" t="s">
        <v>146</v>
      </c>
      <c r="K1306" s="62" t="s">
        <v>209</v>
      </c>
      <c r="L1306" s="62" t="s">
        <v>4</v>
      </c>
      <c r="M1306" s="62" t="n">
        <v>1</v>
      </c>
      <c r="N1306" s="62" t="n">
        <v>0</v>
      </c>
      <c r="O1306" s="62" t="n">
        <v>1</v>
      </c>
      <c r="P1306" s="62" t="n">
        <v>0</v>
      </c>
      <c r="Q1306" s="62" t="n">
        <v>0</v>
      </c>
      <c r="R1306" s="62" t="n">
        <v>0</v>
      </c>
      <c r="S1306" s="62" t="n">
        <v>0</v>
      </c>
      <c r="T1306" s="62" t="n">
        <v>0</v>
      </c>
      <c r="U1306" s="62" t="s">
        <v>2056</v>
      </c>
      <c r="V1306" s="62" t="s">
        <v>2057</v>
      </c>
      <c r="W1306" s="62" t="s">
        <v>15</v>
      </c>
      <c r="X1306" s="62" t="s">
        <v>2125</v>
      </c>
      <c r="Y1306" s="62" t="s">
        <v>2059</v>
      </c>
      <c r="Z1306" s="62" t="s">
        <v>2501</v>
      </c>
      <c r="AA1306" s="62" t="s">
        <v>2502</v>
      </c>
      <c r="AB1306" s="62" t="n">
        <v>1</v>
      </c>
      <c r="AC1306" s="62" t="n">
        <v>0</v>
      </c>
      <c r="AD1306" s="62" t="n">
        <v>1</v>
      </c>
      <c r="AE1306" s="62" t="n">
        <f aca="false">IF(AND(Dashboard!$C$9="Yes",AC1306=1),0,1)</f>
        <v>1</v>
      </c>
      <c r="AF1306" s="62" t="n">
        <v>0</v>
      </c>
    </row>
    <row r="1307" customFormat="false" ht="15" hidden="false" customHeight="false" outlineLevel="0" collapsed="false">
      <c r="A1307" s="62" t="n">
        <v>1306</v>
      </c>
      <c r="B1307" s="63" t="n">
        <v>46267.1638541667</v>
      </c>
      <c r="C1307" s="64" t="n">
        <v>46266</v>
      </c>
      <c r="D1307" s="62" t="s">
        <v>501</v>
      </c>
      <c r="E1307" s="62" t="s">
        <v>1827</v>
      </c>
      <c r="F1307" s="62" t="s">
        <v>1827</v>
      </c>
      <c r="G1307" s="62" t="s">
        <v>1828</v>
      </c>
      <c r="H1307" s="62" t="s">
        <v>59</v>
      </c>
      <c r="I1307" s="62" t="s">
        <v>47</v>
      </c>
      <c r="J1307" s="62" t="s">
        <v>146</v>
      </c>
      <c r="K1307" s="62" t="s">
        <v>209</v>
      </c>
      <c r="L1307" s="62" t="s">
        <v>148</v>
      </c>
      <c r="M1307" s="62" t="n">
        <v>0</v>
      </c>
      <c r="N1307" s="62" t="n">
        <v>1</v>
      </c>
      <c r="O1307" s="62" t="n">
        <v>1</v>
      </c>
      <c r="P1307" s="62" t="n">
        <v>1</v>
      </c>
      <c r="Q1307" s="62" t="n">
        <v>0</v>
      </c>
      <c r="R1307" s="62" t="n">
        <v>0</v>
      </c>
      <c r="S1307" s="62" t="n">
        <v>0</v>
      </c>
      <c r="T1307" s="62" t="n">
        <v>0</v>
      </c>
      <c r="U1307" s="62"/>
      <c r="V1307" s="62"/>
      <c r="W1307" s="62"/>
      <c r="X1307" s="62"/>
      <c r="Y1307" s="62"/>
      <c r="Z1307" s="62" t="s">
        <v>2503</v>
      </c>
      <c r="AA1307" s="62" t="s">
        <v>2504</v>
      </c>
      <c r="AB1307" s="62" t="n">
        <v>1</v>
      </c>
      <c r="AC1307" s="62" t="n">
        <v>0</v>
      </c>
      <c r="AD1307" s="62" t="n">
        <v>1</v>
      </c>
      <c r="AE1307" s="62" t="n">
        <f aca="false">IF(AND(Dashboard!$C$9="Yes",AC1307=1),0,1)</f>
        <v>1</v>
      </c>
      <c r="AF1307" s="62" t="n">
        <v>0</v>
      </c>
    </row>
    <row r="1308" customFormat="false" ht="15" hidden="false" customHeight="false" outlineLevel="0" collapsed="false">
      <c r="A1308" s="62" t="n">
        <v>1307</v>
      </c>
      <c r="B1308" s="63" t="n">
        <v>46267.1642013889</v>
      </c>
      <c r="C1308" s="64" t="n">
        <v>46266</v>
      </c>
      <c r="D1308" s="62" t="s">
        <v>501</v>
      </c>
      <c r="E1308" s="62" t="s">
        <v>2050</v>
      </c>
      <c r="F1308" s="62" t="s">
        <v>2050</v>
      </c>
      <c r="G1308" s="62" t="s">
        <v>2051</v>
      </c>
      <c r="H1308" s="62" t="s">
        <v>46</v>
      </c>
      <c r="I1308" s="62" t="s">
        <v>47</v>
      </c>
      <c r="J1308" s="62" t="s">
        <v>146</v>
      </c>
      <c r="K1308" s="62" t="s">
        <v>209</v>
      </c>
      <c r="L1308" s="62" t="s">
        <v>148</v>
      </c>
      <c r="M1308" s="62" t="n">
        <v>0</v>
      </c>
      <c r="N1308" s="62" t="n">
        <v>2</v>
      </c>
      <c r="O1308" s="62" t="n">
        <v>2</v>
      </c>
      <c r="P1308" s="62" t="n">
        <v>0</v>
      </c>
      <c r="Q1308" s="62" t="n">
        <v>0</v>
      </c>
      <c r="R1308" s="62" t="n">
        <v>0</v>
      </c>
      <c r="S1308" s="62" t="n">
        <v>2</v>
      </c>
      <c r="T1308" s="62" t="n">
        <v>0</v>
      </c>
      <c r="U1308" s="62"/>
      <c r="V1308" s="62"/>
      <c r="W1308" s="62"/>
      <c r="X1308" s="62"/>
      <c r="Y1308" s="62"/>
      <c r="Z1308" s="62" t="s">
        <v>2505</v>
      </c>
      <c r="AA1308" s="62" t="s">
        <v>2076</v>
      </c>
      <c r="AB1308" s="62" t="n">
        <v>0</v>
      </c>
      <c r="AC1308" s="62" t="n">
        <v>0</v>
      </c>
      <c r="AD1308" s="62" t="n">
        <v>1</v>
      </c>
      <c r="AE1308" s="62" t="n">
        <f aca="false">IF(AND(Dashboard!$C$9="Yes",AC1308=1),0,1)</f>
        <v>1</v>
      </c>
      <c r="AF1308" s="62" t="n">
        <v>0</v>
      </c>
    </row>
    <row r="1309" customFormat="false" ht="15" hidden="false" customHeight="false" outlineLevel="0" collapsed="false">
      <c r="A1309" s="62" t="n">
        <v>1308</v>
      </c>
      <c r="B1309" s="63" t="n">
        <v>46267.2058912037</v>
      </c>
      <c r="C1309" s="64" t="n">
        <v>46266</v>
      </c>
      <c r="D1309" s="62" t="s">
        <v>501</v>
      </c>
      <c r="E1309" s="62" t="s">
        <v>144</v>
      </c>
      <c r="F1309" s="62" t="s">
        <v>144</v>
      </c>
      <c r="G1309" s="62" t="s">
        <v>145</v>
      </c>
      <c r="H1309" s="62" t="s">
        <v>59</v>
      </c>
      <c r="I1309" s="62" t="s">
        <v>47</v>
      </c>
      <c r="J1309" s="62" t="s">
        <v>146</v>
      </c>
      <c r="K1309" s="62" t="s">
        <v>147</v>
      </c>
      <c r="L1309" s="62" t="s">
        <v>4</v>
      </c>
      <c r="M1309" s="62" t="n">
        <v>1</v>
      </c>
      <c r="N1309" s="62" t="n">
        <v>0</v>
      </c>
      <c r="O1309" s="62" t="n">
        <v>1</v>
      </c>
      <c r="P1309" s="62" t="n">
        <v>0</v>
      </c>
      <c r="Q1309" s="62" t="n">
        <v>0</v>
      </c>
      <c r="R1309" s="62" t="n">
        <v>0</v>
      </c>
      <c r="S1309" s="62" t="n">
        <v>0</v>
      </c>
      <c r="T1309" s="62" t="n">
        <v>0</v>
      </c>
      <c r="U1309" s="62" t="s">
        <v>2056</v>
      </c>
      <c r="V1309" s="62" t="s">
        <v>2057</v>
      </c>
      <c r="W1309" s="62" t="s">
        <v>15</v>
      </c>
      <c r="X1309" s="62" t="s">
        <v>2058</v>
      </c>
      <c r="Y1309" s="62" t="s">
        <v>2059</v>
      </c>
      <c r="Z1309" s="62" t="s">
        <v>2506</v>
      </c>
      <c r="AA1309" s="62" t="s">
        <v>2507</v>
      </c>
      <c r="AB1309" s="62" t="n">
        <v>1</v>
      </c>
      <c r="AC1309" s="62" t="n">
        <v>0</v>
      </c>
      <c r="AD1309" s="62" t="n">
        <v>1</v>
      </c>
      <c r="AE1309" s="62" t="n">
        <f aca="false">IF(AND(Dashboard!$C$9="Yes",AC1309=1),0,1)</f>
        <v>1</v>
      </c>
      <c r="AF1309" s="62" t="n">
        <v>1</v>
      </c>
    </row>
    <row r="1310" customFormat="false" ht="15" hidden="false" customHeight="false" outlineLevel="0" collapsed="false">
      <c r="A1310" s="62" t="n">
        <v>1309</v>
      </c>
      <c r="B1310" s="63" t="n">
        <v>46267.2062037037</v>
      </c>
      <c r="C1310" s="64" t="n">
        <v>46266</v>
      </c>
      <c r="D1310" s="62" t="s">
        <v>501</v>
      </c>
      <c r="E1310" s="62" t="s">
        <v>144</v>
      </c>
      <c r="F1310" s="62" t="s">
        <v>144</v>
      </c>
      <c r="G1310" s="62" t="s">
        <v>145</v>
      </c>
      <c r="H1310" s="62" t="s">
        <v>59</v>
      </c>
      <c r="I1310" s="62" t="s">
        <v>47</v>
      </c>
      <c r="J1310" s="62" t="s">
        <v>146</v>
      </c>
      <c r="K1310" s="62" t="s">
        <v>147</v>
      </c>
      <c r="L1310" s="62" t="s">
        <v>4</v>
      </c>
      <c r="M1310" s="62" t="n">
        <v>1</v>
      </c>
      <c r="N1310" s="62" t="n">
        <v>0</v>
      </c>
      <c r="O1310" s="62" t="n">
        <v>1</v>
      </c>
      <c r="P1310" s="62" t="n">
        <v>0</v>
      </c>
      <c r="Q1310" s="62" t="n">
        <v>0</v>
      </c>
      <c r="R1310" s="62" t="n">
        <v>0</v>
      </c>
      <c r="S1310" s="62" t="n">
        <v>0</v>
      </c>
      <c r="T1310" s="62" t="n">
        <v>0</v>
      </c>
      <c r="U1310" s="62" t="s">
        <v>2056</v>
      </c>
      <c r="V1310" s="62" t="s">
        <v>2057</v>
      </c>
      <c r="W1310" s="62" t="s">
        <v>15</v>
      </c>
      <c r="X1310" s="62" t="s">
        <v>2058</v>
      </c>
      <c r="Y1310" s="62" t="s">
        <v>2059</v>
      </c>
      <c r="Z1310" s="62" t="s">
        <v>2506</v>
      </c>
      <c r="AA1310" s="62" t="s">
        <v>2507</v>
      </c>
      <c r="AB1310" s="62" t="n">
        <v>1</v>
      </c>
      <c r="AC1310" s="62" t="n">
        <v>1</v>
      </c>
      <c r="AD1310" s="62" t="n">
        <v>1</v>
      </c>
      <c r="AE1310" s="62" t="n">
        <f aca="false">IF(AND(Dashboard!$C$9="Yes",AC1310=1),0,1)</f>
        <v>0</v>
      </c>
      <c r="AF1310" s="62" t="n">
        <v>0</v>
      </c>
    </row>
    <row r="1311" customFormat="false" ht="15" hidden="false" customHeight="false" outlineLevel="0" collapsed="false">
      <c r="A1311" s="62" t="n">
        <v>1310</v>
      </c>
      <c r="B1311" s="63" t="n">
        <v>46267.2064467593</v>
      </c>
      <c r="C1311" s="64" t="n">
        <v>46266</v>
      </c>
      <c r="D1311" s="62" t="s">
        <v>501</v>
      </c>
      <c r="E1311" s="62" t="s">
        <v>144</v>
      </c>
      <c r="F1311" s="62" t="s">
        <v>144</v>
      </c>
      <c r="G1311" s="62" t="s">
        <v>145</v>
      </c>
      <c r="H1311" s="62" t="s">
        <v>59</v>
      </c>
      <c r="I1311" s="62" t="s">
        <v>47</v>
      </c>
      <c r="J1311" s="62" t="s">
        <v>146</v>
      </c>
      <c r="K1311" s="62" t="s">
        <v>147</v>
      </c>
      <c r="L1311" s="62" t="s">
        <v>4</v>
      </c>
      <c r="M1311" s="62" t="n">
        <v>1</v>
      </c>
      <c r="N1311" s="62" t="n">
        <v>0</v>
      </c>
      <c r="O1311" s="62" t="n">
        <v>1</v>
      </c>
      <c r="P1311" s="62" t="n">
        <v>0</v>
      </c>
      <c r="Q1311" s="62" t="n">
        <v>0</v>
      </c>
      <c r="R1311" s="62" t="n">
        <v>0</v>
      </c>
      <c r="S1311" s="62" t="n">
        <v>0</v>
      </c>
      <c r="T1311" s="62" t="n">
        <v>0</v>
      </c>
      <c r="U1311" s="62" t="s">
        <v>2056</v>
      </c>
      <c r="V1311" s="62" t="s">
        <v>2057</v>
      </c>
      <c r="W1311" s="62" t="s">
        <v>15</v>
      </c>
      <c r="X1311" s="62" t="s">
        <v>2058</v>
      </c>
      <c r="Y1311" s="62" t="s">
        <v>2059</v>
      </c>
      <c r="Z1311" s="62" t="s">
        <v>2506</v>
      </c>
      <c r="AA1311" s="62" t="s">
        <v>2507</v>
      </c>
      <c r="AB1311" s="62" t="n">
        <v>1</v>
      </c>
      <c r="AC1311" s="62" t="n">
        <v>1</v>
      </c>
      <c r="AD1311" s="62" t="n">
        <v>1</v>
      </c>
      <c r="AE1311" s="62" t="n">
        <f aca="false">IF(AND(Dashboard!$C$9="Yes",AC1311=1),0,1)</f>
        <v>0</v>
      </c>
      <c r="AF1311" s="62" t="n">
        <v>0</v>
      </c>
    </row>
    <row r="1312" customFormat="false" ht="15" hidden="false" customHeight="false" outlineLevel="0" collapsed="false">
      <c r="A1312" s="62" t="n">
        <v>1311</v>
      </c>
      <c r="B1312" s="63" t="n">
        <v>46267.2235185185</v>
      </c>
      <c r="C1312" s="64" t="n">
        <v>46266</v>
      </c>
      <c r="D1312" s="62" t="s">
        <v>501</v>
      </c>
      <c r="E1312" s="62" t="s">
        <v>2228</v>
      </c>
      <c r="F1312" s="62" t="s">
        <v>2228</v>
      </c>
      <c r="G1312" s="62" t="s">
        <v>2229</v>
      </c>
      <c r="H1312" s="62" t="s">
        <v>58</v>
      </c>
      <c r="I1312" s="62" t="s">
        <v>49</v>
      </c>
      <c r="J1312" s="62" t="s">
        <v>146</v>
      </c>
      <c r="K1312" s="62" t="s">
        <v>209</v>
      </c>
      <c r="L1312" s="62" t="s">
        <v>148</v>
      </c>
      <c r="M1312" s="62" t="n">
        <v>0</v>
      </c>
      <c r="N1312" s="62" t="n">
        <v>1</v>
      </c>
      <c r="O1312" s="62" t="n">
        <v>1</v>
      </c>
      <c r="P1312" s="62" t="n">
        <v>1</v>
      </c>
      <c r="Q1312" s="62" t="n">
        <v>0</v>
      </c>
      <c r="R1312" s="62" t="n">
        <v>0</v>
      </c>
      <c r="S1312" s="62" t="n">
        <v>0</v>
      </c>
      <c r="T1312" s="62" t="n">
        <v>0</v>
      </c>
      <c r="U1312" s="62"/>
      <c r="V1312" s="62"/>
      <c r="W1312" s="62"/>
      <c r="X1312" s="62"/>
      <c r="Y1312" s="62"/>
      <c r="Z1312" s="62" t="s">
        <v>2508</v>
      </c>
      <c r="AA1312" s="62" t="s">
        <v>2509</v>
      </c>
      <c r="AB1312" s="62" t="n">
        <v>1</v>
      </c>
      <c r="AC1312" s="62" t="n">
        <v>0</v>
      </c>
      <c r="AD1312" s="62" t="n">
        <v>1</v>
      </c>
      <c r="AE1312" s="62" t="n">
        <f aca="false">IF(AND(Dashboard!$C$9="Yes",AC1312=1),0,1)</f>
        <v>1</v>
      </c>
      <c r="AF1312" s="62" t="n">
        <v>0</v>
      </c>
    </row>
    <row r="1313" customFormat="false" ht="15" hidden="false" customHeight="false" outlineLevel="0" collapsed="false">
      <c r="A1313" s="62" t="n">
        <v>1312</v>
      </c>
      <c r="B1313" s="63" t="n">
        <v>46267.2533101852</v>
      </c>
      <c r="C1313" s="64" t="n">
        <v>46266</v>
      </c>
      <c r="D1313" s="62" t="s">
        <v>501</v>
      </c>
      <c r="E1313" s="62" t="s">
        <v>2228</v>
      </c>
      <c r="F1313" s="62" t="s">
        <v>2228</v>
      </c>
      <c r="G1313" s="62" t="s">
        <v>2229</v>
      </c>
      <c r="H1313" s="62" t="s">
        <v>58</v>
      </c>
      <c r="I1313" s="62" t="s">
        <v>49</v>
      </c>
      <c r="J1313" s="62" t="s">
        <v>146</v>
      </c>
      <c r="K1313" s="62" t="s">
        <v>209</v>
      </c>
      <c r="L1313" s="62" t="s">
        <v>148</v>
      </c>
      <c r="M1313" s="62" t="n">
        <v>0</v>
      </c>
      <c r="N1313" s="62" t="n">
        <v>1</v>
      </c>
      <c r="O1313" s="62" t="n">
        <v>1</v>
      </c>
      <c r="P1313" s="62" t="n">
        <v>1</v>
      </c>
      <c r="Q1313" s="62" t="n">
        <v>0</v>
      </c>
      <c r="R1313" s="62" t="n">
        <v>0</v>
      </c>
      <c r="S1313" s="62" t="n">
        <v>0</v>
      </c>
      <c r="T1313" s="62" t="n">
        <v>0</v>
      </c>
      <c r="U1313" s="62"/>
      <c r="V1313" s="62"/>
      <c r="W1313" s="62"/>
      <c r="X1313" s="62"/>
      <c r="Y1313" s="62"/>
      <c r="Z1313" s="62" t="s">
        <v>2510</v>
      </c>
      <c r="AA1313" s="62" t="s">
        <v>2511</v>
      </c>
      <c r="AB1313" s="62" t="n">
        <v>1</v>
      </c>
      <c r="AC1313" s="62" t="n">
        <v>0</v>
      </c>
      <c r="AD1313" s="62" t="n">
        <v>1</v>
      </c>
      <c r="AE1313" s="62" t="n">
        <f aca="false">IF(AND(Dashboard!$C$9="Yes",AC1313=1),0,1)</f>
        <v>1</v>
      </c>
      <c r="AF1313" s="62" t="n">
        <v>0</v>
      </c>
    </row>
    <row r="1314" customFormat="false" ht="15" hidden="false" customHeight="false" outlineLevel="0" collapsed="false">
      <c r="A1314" s="62" t="n">
        <v>1313</v>
      </c>
      <c r="B1314" s="63" t="n">
        <v>46267.2623148148</v>
      </c>
      <c r="C1314" s="64" t="n">
        <v>46266</v>
      </c>
      <c r="D1314" s="62" t="s">
        <v>501</v>
      </c>
      <c r="E1314" s="62" t="s">
        <v>239</v>
      </c>
      <c r="F1314" s="62" t="s">
        <v>240</v>
      </c>
      <c r="G1314" s="62" t="s">
        <v>153</v>
      </c>
      <c r="H1314" s="62" t="s">
        <v>153</v>
      </c>
      <c r="I1314" s="62" t="s">
        <v>153</v>
      </c>
      <c r="J1314" s="62" t="s">
        <v>64</v>
      </c>
      <c r="K1314" s="62" t="s">
        <v>64</v>
      </c>
      <c r="L1314" s="62" t="s">
        <v>4</v>
      </c>
      <c r="M1314" s="62" t="n">
        <v>1</v>
      </c>
      <c r="N1314" s="62" t="n">
        <v>0</v>
      </c>
      <c r="O1314" s="62" t="n">
        <v>1</v>
      </c>
      <c r="P1314" s="62" t="n">
        <v>0</v>
      </c>
      <c r="Q1314" s="62" t="n">
        <v>0</v>
      </c>
      <c r="R1314" s="62" t="n">
        <v>0</v>
      </c>
      <c r="S1314" s="62" t="n">
        <v>0</v>
      </c>
      <c r="T1314" s="62" t="n">
        <v>0</v>
      </c>
      <c r="U1314" s="62" t="s">
        <v>2056</v>
      </c>
      <c r="V1314" s="62" t="s">
        <v>2057</v>
      </c>
      <c r="W1314" s="62" t="s">
        <v>15</v>
      </c>
      <c r="X1314" s="62" t="s">
        <v>2180</v>
      </c>
      <c r="Y1314" s="62" t="s">
        <v>2059</v>
      </c>
      <c r="Z1314" s="62" t="s">
        <v>2512</v>
      </c>
      <c r="AA1314" s="62" t="s">
        <v>2513</v>
      </c>
      <c r="AB1314" s="62" t="n">
        <v>1</v>
      </c>
      <c r="AC1314" s="62" t="n">
        <v>0</v>
      </c>
      <c r="AD1314" s="62" t="n">
        <v>0</v>
      </c>
      <c r="AE1314" s="62" t="n">
        <f aca="false">IF(AND(Dashboard!$C$9="Yes",AC1314=1),0,1)</f>
        <v>1</v>
      </c>
      <c r="AF1314" s="62" t="n">
        <v>1</v>
      </c>
    </row>
    <row r="1315" customFormat="false" ht="15" hidden="false" customHeight="false" outlineLevel="0" collapsed="false">
      <c r="A1315" s="62" t="n">
        <v>1314</v>
      </c>
      <c r="B1315" s="63" t="n">
        <v>46267.2638773148</v>
      </c>
      <c r="C1315" s="64" t="n">
        <v>46266</v>
      </c>
      <c r="D1315" s="62" t="s">
        <v>501</v>
      </c>
      <c r="E1315" s="62" t="s">
        <v>239</v>
      </c>
      <c r="F1315" s="62" t="s">
        <v>240</v>
      </c>
      <c r="G1315" s="62" t="s">
        <v>153</v>
      </c>
      <c r="H1315" s="62" t="s">
        <v>153</v>
      </c>
      <c r="I1315" s="62" t="s">
        <v>153</v>
      </c>
      <c r="J1315" s="62" t="s">
        <v>64</v>
      </c>
      <c r="K1315" s="62" t="s">
        <v>64</v>
      </c>
      <c r="L1315" s="62" t="s">
        <v>4</v>
      </c>
      <c r="M1315" s="62" t="n">
        <v>1</v>
      </c>
      <c r="N1315" s="62" t="n">
        <v>0</v>
      </c>
      <c r="O1315" s="62" t="n">
        <v>1</v>
      </c>
      <c r="P1315" s="62" t="n">
        <v>0</v>
      </c>
      <c r="Q1315" s="62" t="n">
        <v>0</v>
      </c>
      <c r="R1315" s="62" t="n">
        <v>0</v>
      </c>
      <c r="S1315" s="62" t="n">
        <v>0</v>
      </c>
      <c r="T1315" s="62" t="n">
        <v>0</v>
      </c>
      <c r="U1315" s="62" t="s">
        <v>2056</v>
      </c>
      <c r="V1315" s="62" t="s">
        <v>2057</v>
      </c>
      <c r="W1315" s="62" t="s">
        <v>15</v>
      </c>
      <c r="X1315" s="62" t="s">
        <v>2058</v>
      </c>
      <c r="Y1315" s="62" t="s">
        <v>2059</v>
      </c>
      <c r="Z1315" s="62" t="s">
        <v>2512</v>
      </c>
      <c r="AA1315" s="62" t="s">
        <v>2513</v>
      </c>
      <c r="AB1315" s="62" t="n">
        <v>1</v>
      </c>
      <c r="AC1315" s="62" t="n">
        <v>1</v>
      </c>
      <c r="AD1315" s="62" t="n">
        <v>0</v>
      </c>
      <c r="AE1315" s="62" t="n">
        <f aca="false">IF(AND(Dashboard!$C$9="Yes",AC1315=1),0,1)</f>
        <v>0</v>
      </c>
      <c r="AF1315" s="62" t="n">
        <v>0</v>
      </c>
    </row>
    <row r="1316" customFormat="false" ht="15" hidden="false" customHeight="false" outlineLevel="0" collapsed="false">
      <c r="A1316" s="62" t="n">
        <v>1315</v>
      </c>
      <c r="B1316" s="63" t="n">
        <v>46267.2642592593</v>
      </c>
      <c r="C1316" s="64" t="n">
        <v>46266</v>
      </c>
      <c r="D1316" s="62" t="s">
        <v>501</v>
      </c>
      <c r="E1316" s="62" t="s">
        <v>239</v>
      </c>
      <c r="F1316" s="62" t="s">
        <v>240</v>
      </c>
      <c r="G1316" s="62" t="s">
        <v>153</v>
      </c>
      <c r="H1316" s="62" t="s">
        <v>153</v>
      </c>
      <c r="I1316" s="62" t="s">
        <v>153</v>
      </c>
      <c r="J1316" s="62" t="s">
        <v>64</v>
      </c>
      <c r="K1316" s="62" t="s">
        <v>64</v>
      </c>
      <c r="L1316" s="62" t="s">
        <v>4</v>
      </c>
      <c r="M1316" s="62" t="n">
        <v>1</v>
      </c>
      <c r="N1316" s="62" t="n">
        <v>0</v>
      </c>
      <c r="O1316" s="62" t="n">
        <v>1</v>
      </c>
      <c r="P1316" s="62" t="n">
        <v>0</v>
      </c>
      <c r="Q1316" s="62" t="n">
        <v>0</v>
      </c>
      <c r="R1316" s="62" t="n">
        <v>0</v>
      </c>
      <c r="S1316" s="62" t="n">
        <v>0</v>
      </c>
      <c r="T1316" s="62" t="n">
        <v>0</v>
      </c>
      <c r="U1316" s="62" t="s">
        <v>2056</v>
      </c>
      <c r="V1316" s="62" t="s">
        <v>2057</v>
      </c>
      <c r="W1316" s="62" t="s">
        <v>15</v>
      </c>
      <c r="X1316" s="62" t="s">
        <v>2058</v>
      </c>
      <c r="Y1316" s="62" t="s">
        <v>2059</v>
      </c>
      <c r="Z1316" s="62" t="s">
        <v>2512</v>
      </c>
      <c r="AA1316" s="62" t="s">
        <v>2513</v>
      </c>
      <c r="AB1316" s="62" t="n">
        <v>1</v>
      </c>
      <c r="AC1316" s="62" t="n">
        <v>1</v>
      </c>
      <c r="AD1316" s="62" t="n">
        <v>0</v>
      </c>
      <c r="AE1316" s="62" t="n">
        <f aca="false">IF(AND(Dashboard!$C$9="Yes",AC1316=1),0,1)</f>
        <v>0</v>
      </c>
      <c r="AF1316" s="62" t="n">
        <v>0</v>
      </c>
    </row>
    <row r="1317" customFormat="false" ht="15" hidden="false" customHeight="false" outlineLevel="0" collapsed="false">
      <c r="A1317" s="62" t="n">
        <v>1316</v>
      </c>
      <c r="B1317" s="63" t="n">
        <v>46267.2706597222</v>
      </c>
      <c r="C1317" s="64" t="n">
        <v>46266</v>
      </c>
      <c r="D1317" s="62" t="s">
        <v>501</v>
      </c>
      <c r="E1317" s="62" t="s">
        <v>2385</v>
      </c>
      <c r="F1317" s="62" t="s">
        <v>2385</v>
      </c>
      <c r="G1317" s="62" t="s">
        <v>2386</v>
      </c>
      <c r="H1317" s="62" t="s">
        <v>59</v>
      </c>
      <c r="I1317" s="62" t="s">
        <v>47</v>
      </c>
      <c r="J1317" s="62" t="s">
        <v>146</v>
      </c>
      <c r="K1317" s="62" t="s">
        <v>209</v>
      </c>
      <c r="L1317" s="62" t="s">
        <v>148</v>
      </c>
      <c r="M1317" s="62" t="n">
        <v>0</v>
      </c>
      <c r="N1317" s="62" t="n">
        <v>1</v>
      </c>
      <c r="O1317" s="62" t="n">
        <v>1</v>
      </c>
      <c r="P1317" s="62" t="n">
        <v>0</v>
      </c>
      <c r="Q1317" s="62" t="n">
        <v>1</v>
      </c>
      <c r="R1317" s="62" t="n">
        <v>0</v>
      </c>
      <c r="S1317" s="62" t="n">
        <v>0</v>
      </c>
      <c r="T1317" s="62" t="n">
        <v>0</v>
      </c>
      <c r="U1317" s="62"/>
      <c r="V1317" s="62"/>
      <c r="W1317" s="62"/>
      <c r="X1317" s="62"/>
      <c r="Y1317" s="62"/>
      <c r="Z1317" s="62" t="s">
        <v>2514</v>
      </c>
      <c r="AA1317" s="62" t="s">
        <v>2515</v>
      </c>
      <c r="AB1317" s="62" t="n">
        <v>1</v>
      </c>
      <c r="AC1317" s="62" t="n">
        <v>0</v>
      </c>
      <c r="AD1317" s="62" t="n">
        <v>1</v>
      </c>
      <c r="AE1317" s="62" t="n">
        <f aca="false">IF(AND(Dashboard!$C$9="Yes",AC1317=1),0,1)</f>
        <v>1</v>
      </c>
      <c r="AF1317" s="62" t="n">
        <v>0</v>
      </c>
    </row>
    <row r="1318" customFormat="false" ht="15" hidden="false" customHeight="false" outlineLevel="0" collapsed="false">
      <c r="A1318" s="62" t="n">
        <v>1317</v>
      </c>
      <c r="B1318" s="63" t="n">
        <v>46267.3009606482</v>
      </c>
      <c r="C1318" s="64" t="n">
        <v>46266</v>
      </c>
      <c r="D1318" s="62" t="s">
        <v>501</v>
      </c>
      <c r="E1318" s="62" t="s">
        <v>2183</v>
      </c>
      <c r="F1318" s="62" t="s">
        <v>2183</v>
      </c>
      <c r="G1318" s="62" t="s">
        <v>2184</v>
      </c>
      <c r="H1318" s="62" t="s">
        <v>59</v>
      </c>
      <c r="I1318" s="62" t="s">
        <v>47</v>
      </c>
      <c r="J1318" s="62" t="s">
        <v>146</v>
      </c>
      <c r="K1318" s="62" t="s">
        <v>209</v>
      </c>
      <c r="L1318" s="62" t="s">
        <v>4</v>
      </c>
      <c r="M1318" s="62" t="n">
        <v>1</v>
      </c>
      <c r="N1318" s="62" t="n">
        <v>0</v>
      </c>
      <c r="O1318" s="62" t="n">
        <v>1</v>
      </c>
      <c r="P1318" s="62" t="n">
        <v>0</v>
      </c>
      <c r="Q1318" s="62" t="n">
        <v>0</v>
      </c>
      <c r="R1318" s="62" t="n">
        <v>0</v>
      </c>
      <c r="S1318" s="62" t="n">
        <v>0</v>
      </c>
      <c r="T1318" s="62" t="n">
        <v>0</v>
      </c>
      <c r="U1318" s="62" t="s">
        <v>2056</v>
      </c>
      <c r="V1318" s="62" t="s">
        <v>2057</v>
      </c>
      <c r="W1318" s="62" t="s">
        <v>15</v>
      </c>
      <c r="X1318" s="62" t="s">
        <v>2058</v>
      </c>
      <c r="Y1318" s="62" t="s">
        <v>2059</v>
      </c>
      <c r="Z1318" s="62" t="s">
        <v>2516</v>
      </c>
      <c r="AA1318" s="62" t="s">
        <v>2517</v>
      </c>
      <c r="AB1318" s="62" t="n">
        <v>1</v>
      </c>
      <c r="AC1318" s="62" t="n">
        <v>0</v>
      </c>
      <c r="AD1318" s="62" t="n">
        <v>1</v>
      </c>
      <c r="AE1318" s="62" t="n">
        <f aca="false">IF(AND(Dashboard!$C$9="Yes",AC1318=1),0,1)</f>
        <v>1</v>
      </c>
      <c r="AF1318" s="62" t="n">
        <v>1</v>
      </c>
    </row>
    <row r="1319" customFormat="false" ht="15" hidden="false" customHeight="false" outlineLevel="0" collapsed="false">
      <c r="A1319" s="62" t="n">
        <v>1318</v>
      </c>
      <c r="B1319" s="63" t="n">
        <v>46267.7002083333</v>
      </c>
      <c r="C1319" s="64" t="n">
        <v>46267</v>
      </c>
      <c r="D1319" s="62" t="s">
        <v>143</v>
      </c>
      <c r="E1319" s="62" t="s">
        <v>586</v>
      </c>
      <c r="F1319" s="62" t="s">
        <v>586</v>
      </c>
      <c r="G1319" s="62" t="s">
        <v>587</v>
      </c>
      <c r="H1319" s="62" t="s">
        <v>57</v>
      </c>
      <c r="I1319" s="62" t="s">
        <v>47</v>
      </c>
      <c r="J1319" s="62" t="s">
        <v>146</v>
      </c>
      <c r="K1319" s="62" t="s">
        <v>175</v>
      </c>
      <c r="L1319" s="62" t="s">
        <v>148</v>
      </c>
      <c r="M1319" s="62" t="n">
        <v>0</v>
      </c>
      <c r="N1319" s="62" t="n">
        <v>1</v>
      </c>
      <c r="O1319" s="62" t="n">
        <v>1</v>
      </c>
      <c r="P1319" s="62" t="n">
        <v>1</v>
      </c>
      <c r="Q1319" s="62" t="n">
        <v>0</v>
      </c>
      <c r="R1319" s="62" t="n">
        <v>0</v>
      </c>
      <c r="S1319" s="62" t="n">
        <v>0</v>
      </c>
      <c r="T1319" s="62" t="n">
        <v>0</v>
      </c>
      <c r="U1319" s="62"/>
      <c r="V1319" s="62"/>
      <c r="W1319" s="62"/>
      <c r="X1319" s="62"/>
      <c r="Y1319" s="62"/>
      <c r="Z1319" s="62" t="s">
        <v>2518</v>
      </c>
      <c r="AA1319" s="62" t="s">
        <v>2519</v>
      </c>
      <c r="AB1319" s="62" t="n">
        <v>1</v>
      </c>
      <c r="AC1319" s="62" t="n">
        <v>0</v>
      </c>
      <c r="AD1319" s="62" t="n">
        <v>1</v>
      </c>
      <c r="AE1319" s="62" t="n">
        <f aca="false">IF(AND(Dashboard!$C$9="Yes",AC1319=1),0,1)</f>
        <v>1</v>
      </c>
      <c r="AF1319" s="62" t="n">
        <v>1</v>
      </c>
    </row>
    <row r="1320" customFormat="false" ht="15" hidden="false" customHeight="false" outlineLevel="0" collapsed="false">
      <c r="A1320" s="62" t="n">
        <v>1319</v>
      </c>
      <c r="B1320" s="63" t="n">
        <v>46267.7508912037</v>
      </c>
      <c r="C1320" s="64" t="n">
        <v>46267</v>
      </c>
      <c r="D1320" s="62" t="s">
        <v>143</v>
      </c>
      <c r="E1320" s="62" t="s">
        <v>892</v>
      </c>
      <c r="F1320" s="62" t="s">
        <v>892</v>
      </c>
      <c r="G1320" s="62" t="s">
        <v>893</v>
      </c>
      <c r="H1320" s="62" t="s">
        <v>46</v>
      </c>
      <c r="I1320" s="62" t="s">
        <v>47</v>
      </c>
      <c r="J1320" s="62" t="s">
        <v>146</v>
      </c>
      <c r="K1320" s="62" t="s">
        <v>209</v>
      </c>
      <c r="L1320" s="62" t="s">
        <v>4</v>
      </c>
      <c r="M1320" s="62" t="n">
        <v>1</v>
      </c>
      <c r="N1320" s="62" t="n">
        <v>0</v>
      </c>
      <c r="O1320" s="62" t="n">
        <v>1</v>
      </c>
      <c r="P1320" s="62" t="n">
        <v>0</v>
      </c>
      <c r="Q1320" s="62" t="n">
        <v>0</v>
      </c>
      <c r="R1320" s="62" t="n">
        <v>0</v>
      </c>
      <c r="S1320" s="62" t="n">
        <v>0</v>
      </c>
      <c r="T1320" s="62" t="n">
        <v>0</v>
      </c>
      <c r="U1320" s="62" t="s">
        <v>2056</v>
      </c>
      <c r="V1320" s="62" t="s">
        <v>2057</v>
      </c>
      <c r="W1320" s="62" t="s">
        <v>2056</v>
      </c>
      <c r="X1320" s="62" t="s">
        <v>2234</v>
      </c>
      <c r="Y1320" s="62" t="s">
        <v>2165</v>
      </c>
      <c r="Z1320" s="62" t="s">
        <v>2520</v>
      </c>
      <c r="AA1320" s="62" t="s">
        <v>2521</v>
      </c>
      <c r="AB1320" s="62" t="n">
        <v>0</v>
      </c>
      <c r="AC1320" s="62" t="n">
        <v>0</v>
      </c>
      <c r="AD1320" s="62" t="n">
        <v>1</v>
      </c>
      <c r="AE1320" s="62" t="n">
        <f aca="false">IF(AND(Dashboard!$C$9="Yes",AC1320=1),0,1)</f>
        <v>1</v>
      </c>
      <c r="AF1320" s="62" t="n">
        <v>1</v>
      </c>
    </row>
    <row r="1321" customFormat="false" ht="15" hidden="false" customHeight="false" outlineLevel="0" collapsed="false">
      <c r="A1321" s="62" t="n">
        <v>1320</v>
      </c>
      <c r="B1321" s="63" t="n">
        <v>46267.8013541667</v>
      </c>
      <c r="C1321" s="64" t="n">
        <v>46267</v>
      </c>
      <c r="D1321" s="62" t="s">
        <v>143</v>
      </c>
      <c r="E1321" s="62" t="s">
        <v>218</v>
      </c>
      <c r="F1321" s="62" t="s">
        <v>218</v>
      </c>
      <c r="G1321" s="62" t="s">
        <v>219</v>
      </c>
      <c r="H1321" s="62" t="s">
        <v>51</v>
      </c>
      <c r="I1321" s="62" t="s">
        <v>47</v>
      </c>
      <c r="J1321" s="62" t="s">
        <v>146</v>
      </c>
      <c r="K1321" s="62" t="s">
        <v>147</v>
      </c>
      <c r="L1321" s="62" t="s">
        <v>4</v>
      </c>
      <c r="M1321" s="62" t="n">
        <v>1</v>
      </c>
      <c r="N1321" s="62" t="n">
        <v>0</v>
      </c>
      <c r="O1321" s="62" t="n">
        <v>1</v>
      </c>
      <c r="P1321" s="62" t="n">
        <v>0</v>
      </c>
      <c r="Q1321" s="62" t="n">
        <v>0</v>
      </c>
      <c r="R1321" s="62" t="n">
        <v>0</v>
      </c>
      <c r="S1321" s="62" t="n">
        <v>0</v>
      </c>
      <c r="T1321" s="62" t="n">
        <v>0</v>
      </c>
      <c r="U1321" s="62" t="s">
        <v>2056</v>
      </c>
      <c r="V1321" s="62" t="s">
        <v>2057</v>
      </c>
      <c r="W1321" s="62" t="s">
        <v>15</v>
      </c>
      <c r="X1321" s="62" t="s">
        <v>2058</v>
      </c>
      <c r="Y1321" s="62" t="s">
        <v>2059</v>
      </c>
      <c r="Z1321" s="62" t="s">
        <v>2522</v>
      </c>
      <c r="AA1321" s="62" t="s">
        <v>2523</v>
      </c>
      <c r="AB1321" s="62" t="n">
        <v>1</v>
      </c>
      <c r="AC1321" s="62" t="n">
        <v>0</v>
      </c>
      <c r="AD1321" s="62" t="n">
        <v>1</v>
      </c>
      <c r="AE1321" s="62" t="n">
        <f aca="false">IF(AND(Dashboard!$C$9="Yes",AC1321=1),0,1)</f>
        <v>1</v>
      </c>
      <c r="AF1321" s="62" t="n">
        <v>1</v>
      </c>
    </row>
    <row r="1322" customFormat="false" ht="15" hidden="false" customHeight="false" outlineLevel="0" collapsed="false">
      <c r="A1322" s="62" t="n">
        <v>1321</v>
      </c>
      <c r="B1322" s="63" t="n">
        <v>46267.8151851852</v>
      </c>
      <c r="C1322" s="64" t="n">
        <v>46267</v>
      </c>
      <c r="D1322" s="62" t="s">
        <v>143</v>
      </c>
      <c r="E1322" s="62" t="s">
        <v>2228</v>
      </c>
      <c r="F1322" s="62" t="s">
        <v>2228</v>
      </c>
      <c r="G1322" s="62" t="s">
        <v>2229</v>
      </c>
      <c r="H1322" s="62" t="s">
        <v>58</v>
      </c>
      <c r="I1322" s="62" t="s">
        <v>49</v>
      </c>
      <c r="J1322" s="62" t="s">
        <v>146</v>
      </c>
      <c r="K1322" s="62" t="s">
        <v>209</v>
      </c>
      <c r="L1322" s="62" t="s">
        <v>148</v>
      </c>
      <c r="M1322" s="62" t="n">
        <v>0</v>
      </c>
      <c r="N1322" s="62" t="n">
        <v>1</v>
      </c>
      <c r="O1322" s="62" t="n">
        <v>1</v>
      </c>
      <c r="P1322" s="62" t="n">
        <v>1</v>
      </c>
      <c r="Q1322" s="62" t="n">
        <v>0</v>
      </c>
      <c r="R1322" s="62" t="n">
        <v>0</v>
      </c>
      <c r="S1322" s="62" t="n">
        <v>0</v>
      </c>
      <c r="T1322" s="62" t="n">
        <v>0</v>
      </c>
      <c r="U1322" s="62"/>
      <c r="V1322" s="62"/>
      <c r="W1322" s="62"/>
      <c r="X1322" s="62"/>
      <c r="Y1322" s="62"/>
      <c r="Z1322" s="62" t="s">
        <v>2524</v>
      </c>
      <c r="AA1322" s="62" t="s">
        <v>2525</v>
      </c>
      <c r="AB1322" s="62" t="n">
        <v>1</v>
      </c>
      <c r="AC1322" s="62" t="n">
        <v>0</v>
      </c>
      <c r="AD1322" s="62" t="n">
        <v>1</v>
      </c>
      <c r="AE1322" s="62" t="n">
        <f aca="false">IF(AND(Dashboard!$C$9="Yes",AC1322=1),0,1)</f>
        <v>1</v>
      </c>
      <c r="AF1322" s="62" t="n">
        <v>1</v>
      </c>
    </row>
    <row r="1323" customFormat="false" ht="15" hidden="false" customHeight="false" outlineLevel="0" collapsed="false">
      <c r="A1323" s="62" t="n">
        <v>1322</v>
      </c>
      <c r="B1323" s="63" t="n">
        <v>46267.8178587963</v>
      </c>
      <c r="C1323" s="64" t="n">
        <v>46267</v>
      </c>
      <c r="D1323" s="62" t="s">
        <v>143</v>
      </c>
      <c r="E1323" s="62" t="s">
        <v>1539</v>
      </c>
      <c r="F1323" s="62" t="s">
        <v>1539</v>
      </c>
      <c r="G1323" s="62" t="s">
        <v>1540</v>
      </c>
      <c r="H1323" s="62" t="s">
        <v>52</v>
      </c>
      <c r="I1323" s="62" t="s">
        <v>47</v>
      </c>
      <c r="J1323" s="62" t="s">
        <v>146</v>
      </c>
      <c r="K1323" s="62" t="s">
        <v>147</v>
      </c>
      <c r="L1323" s="62" t="s">
        <v>148</v>
      </c>
      <c r="M1323" s="62" t="n">
        <v>0</v>
      </c>
      <c r="N1323" s="62" t="n">
        <v>1</v>
      </c>
      <c r="O1323" s="62" t="n">
        <v>1</v>
      </c>
      <c r="P1323" s="62" t="n">
        <v>1</v>
      </c>
      <c r="Q1323" s="62" t="n">
        <v>0</v>
      </c>
      <c r="R1323" s="62" t="n">
        <v>0</v>
      </c>
      <c r="S1323" s="62" t="n">
        <v>0</v>
      </c>
      <c r="T1323" s="62" t="n">
        <v>0</v>
      </c>
      <c r="U1323" s="62"/>
      <c r="V1323" s="62"/>
      <c r="W1323" s="62"/>
      <c r="X1323" s="62"/>
      <c r="Y1323" s="62"/>
      <c r="Z1323" s="62" t="s">
        <v>2526</v>
      </c>
      <c r="AA1323" s="62" t="s">
        <v>2527</v>
      </c>
      <c r="AB1323" s="62" t="n">
        <v>1</v>
      </c>
      <c r="AC1323" s="62" t="n">
        <v>0</v>
      </c>
      <c r="AD1323" s="62" t="n">
        <v>1</v>
      </c>
      <c r="AE1323" s="62" t="n">
        <f aca="false">IF(AND(Dashboard!$C$9="Yes",AC1323=1),0,1)</f>
        <v>1</v>
      </c>
      <c r="AF1323" s="62" t="n">
        <v>1</v>
      </c>
    </row>
    <row r="1324" customFormat="false" ht="15" hidden="false" customHeight="false" outlineLevel="0" collapsed="false">
      <c r="A1324" s="62" t="n">
        <v>1323</v>
      </c>
      <c r="B1324" s="63" t="n">
        <v>46267.8324768519</v>
      </c>
      <c r="C1324" s="64" t="n">
        <v>46267</v>
      </c>
      <c r="D1324" s="62" t="s">
        <v>143</v>
      </c>
      <c r="E1324" s="62" t="s">
        <v>1382</v>
      </c>
      <c r="F1324" s="62" t="s">
        <v>1382</v>
      </c>
      <c r="G1324" s="62" t="s">
        <v>1383</v>
      </c>
      <c r="H1324" s="62" t="s">
        <v>58</v>
      </c>
      <c r="I1324" s="62" t="s">
        <v>49</v>
      </c>
      <c r="J1324" s="62" t="s">
        <v>146</v>
      </c>
      <c r="K1324" s="62" t="s">
        <v>175</v>
      </c>
      <c r="L1324" s="62" t="s">
        <v>148</v>
      </c>
      <c r="M1324" s="62" t="n">
        <v>0</v>
      </c>
      <c r="N1324" s="62" t="n">
        <v>1</v>
      </c>
      <c r="O1324" s="62" t="n">
        <v>1</v>
      </c>
      <c r="P1324" s="62" t="n">
        <v>0</v>
      </c>
      <c r="Q1324" s="62" t="n">
        <v>0</v>
      </c>
      <c r="R1324" s="62" t="n">
        <v>1</v>
      </c>
      <c r="S1324" s="62" t="n">
        <v>0</v>
      </c>
      <c r="T1324" s="62" t="n">
        <v>0</v>
      </c>
      <c r="U1324" s="62"/>
      <c r="V1324" s="62"/>
      <c r="W1324" s="62"/>
      <c r="X1324" s="62"/>
      <c r="Y1324" s="62"/>
      <c r="Z1324" s="62" t="s">
        <v>2528</v>
      </c>
      <c r="AA1324" s="62" t="s">
        <v>2529</v>
      </c>
      <c r="AB1324" s="62" t="n">
        <v>1</v>
      </c>
      <c r="AC1324" s="62" t="n">
        <v>0</v>
      </c>
      <c r="AD1324" s="62" t="n">
        <v>1</v>
      </c>
      <c r="AE1324" s="62" t="n">
        <f aca="false">IF(AND(Dashboard!$C$9="Yes",AC1324=1),0,1)</f>
        <v>1</v>
      </c>
      <c r="AF1324" s="62" t="n">
        <v>1</v>
      </c>
    </row>
    <row r="1325" customFormat="false" ht="15" hidden="false" customHeight="false" outlineLevel="0" collapsed="false">
      <c r="A1325" s="62" t="n">
        <v>1324</v>
      </c>
      <c r="B1325" s="63" t="n">
        <v>46267.8472222222</v>
      </c>
      <c r="C1325" s="64" t="n">
        <v>46267</v>
      </c>
      <c r="D1325" s="62" t="s">
        <v>143</v>
      </c>
      <c r="E1325" s="62" t="s">
        <v>2530</v>
      </c>
      <c r="F1325" s="62" t="s">
        <v>2530</v>
      </c>
      <c r="G1325" s="62" t="s">
        <v>2531</v>
      </c>
      <c r="H1325" s="62" t="s">
        <v>48</v>
      </c>
      <c r="I1325" s="62" t="s">
        <v>49</v>
      </c>
      <c r="J1325" s="62" t="s">
        <v>146</v>
      </c>
      <c r="K1325" s="62" t="s">
        <v>209</v>
      </c>
      <c r="L1325" s="62" t="s">
        <v>148</v>
      </c>
      <c r="M1325" s="62" t="n">
        <v>0</v>
      </c>
      <c r="N1325" s="62" t="n">
        <v>1</v>
      </c>
      <c r="O1325" s="62" t="n">
        <v>1</v>
      </c>
      <c r="P1325" s="62" t="n">
        <v>1</v>
      </c>
      <c r="Q1325" s="62" t="n">
        <v>0</v>
      </c>
      <c r="R1325" s="62" t="n">
        <v>0</v>
      </c>
      <c r="S1325" s="62" t="n">
        <v>0</v>
      </c>
      <c r="T1325" s="62" t="n">
        <v>0</v>
      </c>
      <c r="U1325" s="62"/>
      <c r="V1325" s="62"/>
      <c r="W1325" s="62"/>
      <c r="X1325" s="62"/>
      <c r="Y1325" s="62"/>
      <c r="Z1325" s="62" t="s">
        <v>2532</v>
      </c>
      <c r="AA1325" s="62" t="s">
        <v>2533</v>
      </c>
      <c r="AB1325" s="62" t="n">
        <v>1</v>
      </c>
      <c r="AC1325" s="62" t="n">
        <v>0</v>
      </c>
      <c r="AD1325" s="62" t="n">
        <v>1</v>
      </c>
      <c r="AE1325" s="62" t="n">
        <f aca="false">IF(AND(Dashboard!$C$9="Yes",AC1325=1),0,1)</f>
        <v>1</v>
      </c>
      <c r="AF1325" s="62" t="n">
        <v>1</v>
      </c>
    </row>
    <row r="1326" customFormat="false" ht="15" hidden="false" customHeight="false" outlineLevel="0" collapsed="false">
      <c r="A1326" s="62" t="n">
        <v>1325</v>
      </c>
      <c r="B1326" s="63" t="n">
        <v>46267.8479513889</v>
      </c>
      <c r="C1326" s="64" t="n">
        <v>46267</v>
      </c>
      <c r="D1326" s="62" t="s">
        <v>143</v>
      </c>
      <c r="E1326" s="62" t="s">
        <v>2530</v>
      </c>
      <c r="F1326" s="62" t="s">
        <v>2530</v>
      </c>
      <c r="G1326" s="62" t="s">
        <v>2531</v>
      </c>
      <c r="H1326" s="62" t="s">
        <v>48</v>
      </c>
      <c r="I1326" s="62" t="s">
        <v>49</v>
      </c>
      <c r="J1326" s="62" t="s">
        <v>146</v>
      </c>
      <c r="K1326" s="62" t="s">
        <v>209</v>
      </c>
      <c r="L1326" s="62" t="s">
        <v>148</v>
      </c>
      <c r="M1326" s="62" t="n">
        <v>0</v>
      </c>
      <c r="N1326" s="62" t="n">
        <v>1</v>
      </c>
      <c r="O1326" s="62" t="n">
        <v>1</v>
      </c>
      <c r="P1326" s="62" t="n">
        <v>1</v>
      </c>
      <c r="Q1326" s="62" t="n">
        <v>0</v>
      </c>
      <c r="R1326" s="62" t="n">
        <v>0</v>
      </c>
      <c r="S1326" s="62" t="n">
        <v>0</v>
      </c>
      <c r="T1326" s="62" t="n">
        <v>0</v>
      </c>
      <c r="U1326" s="62"/>
      <c r="V1326" s="62"/>
      <c r="W1326" s="62"/>
      <c r="X1326" s="62"/>
      <c r="Y1326" s="62"/>
      <c r="Z1326" s="62" t="s">
        <v>2534</v>
      </c>
      <c r="AA1326" s="62" t="s">
        <v>2535</v>
      </c>
      <c r="AB1326" s="62" t="n">
        <v>1</v>
      </c>
      <c r="AC1326" s="62" t="n">
        <v>0</v>
      </c>
      <c r="AD1326" s="62" t="n">
        <v>1</v>
      </c>
      <c r="AE1326" s="62" t="n">
        <f aca="false">IF(AND(Dashboard!$C$9="Yes",AC1326=1),0,1)</f>
        <v>1</v>
      </c>
      <c r="AF1326" s="62" t="n">
        <v>0</v>
      </c>
    </row>
    <row r="1327" customFormat="false" ht="15" hidden="false" customHeight="false" outlineLevel="0" collapsed="false">
      <c r="A1327" s="62" t="n">
        <v>1326</v>
      </c>
      <c r="B1327" s="63" t="n">
        <v>46267.8502430556</v>
      </c>
      <c r="C1327" s="64" t="n">
        <v>46267</v>
      </c>
      <c r="D1327" s="62" t="s">
        <v>143</v>
      </c>
      <c r="E1327" s="62" t="s">
        <v>228</v>
      </c>
      <c r="F1327" s="62" t="s">
        <v>229</v>
      </c>
      <c r="G1327" s="62" t="s">
        <v>153</v>
      </c>
      <c r="H1327" s="62" t="s">
        <v>153</v>
      </c>
      <c r="I1327" s="62" t="s">
        <v>153</v>
      </c>
      <c r="J1327" s="62" t="s">
        <v>64</v>
      </c>
      <c r="K1327" s="62" t="s">
        <v>64</v>
      </c>
      <c r="L1327" s="62" t="s">
        <v>4</v>
      </c>
      <c r="M1327" s="62" t="n">
        <v>1</v>
      </c>
      <c r="N1327" s="62" t="n">
        <v>0</v>
      </c>
      <c r="O1327" s="62" t="n">
        <v>1</v>
      </c>
      <c r="P1327" s="62" t="n">
        <v>0</v>
      </c>
      <c r="Q1327" s="62" t="n">
        <v>0</v>
      </c>
      <c r="R1327" s="62" t="n">
        <v>0</v>
      </c>
      <c r="S1327" s="62" t="n">
        <v>0</v>
      </c>
      <c r="T1327" s="62" t="n">
        <v>0</v>
      </c>
      <c r="U1327" s="62" t="s">
        <v>2056</v>
      </c>
      <c r="V1327" s="62" t="s">
        <v>2057</v>
      </c>
      <c r="W1327" s="62" t="s">
        <v>15</v>
      </c>
      <c r="X1327" s="62" t="s">
        <v>2058</v>
      </c>
      <c r="Y1327" s="62" t="s">
        <v>2059</v>
      </c>
      <c r="Z1327" s="62" t="s">
        <v>2536</v>
      </c>
      <c r="AA1327" s="62" t="s">
        <v>2537</v>
      </c>
      <c r="AB1327" s="62" t="n">
        <v>1</v>
      </c>
      <c r="AC1327" s="62" t="n">
        <v>0</v>
      </c>
      <c r="AD1327" s="62" t="n">
        <v>0</v>
      </c>
      <c r="AE1327" s="62" t="n">
        <f aca="false">IF(AND(Dashboard!$C$9="Yes",AC1327=1),0,1)</f>
        <v>1</v>
      </c>
      <c r="AF1327" s="62" t="n">
        <v>1</v>
      </c>
    </row>
    <row r="1328" customFormat="false" ht="15" hidden="false" customHeight="false" outlineLevel="0" collapsed="false">
      <c r="A1328" s="62" t="n">
        <v>1327</v>
      </c>
      <c r="B1328" s="63" t="n">
        <v>46267.8594907407</v>
      </c>
      <c r="C1328" s="64" t="n">
        <v>46267</v>
      </c>
      <c r="D1328" s="62" t="s">
        <v>143</v>
      </c>
      <c r="E1328" s="62" t="s">
        <v>228</v>
      </c>
      <c r="F1328" s="62" t="s">
        <v>229</v>
      </c>
      <c r="G1328" s="62" t="s">
        <v>153</v>
      </c>
      <c r="H1328" s="62" t="s">
        <v>153</v>
      </c>
      <c r="I1328" s="62" t="s">
        <v>153</v>
      </c>
      <c r="J1328" s="62" t="s">
        <v>64</v>
      </c>
      <c r="K1328" s="62" t="s">
        <v>64</v>
      </c>
      <c r="L1328" s="62" t="s">
        <v>4</v>
      </c>
      <c r="M1328" s="62" t="n">
        <v>1</v>
      </c>
      <c r="N1328" s="62" t="n">
        <v>0</v>
      </c>
      <c r="O1328" s="62" t="n">
        <v>1</v>
      </c>
      <c r="P1328" s="62" t="n">
        <v>0</v>
      </c>
      <c r="Q1328" s="62" t="n">
        <v>0</v>
      </c>
      <c r="R1328" s="62" t="n">
        <v>0</v>
      </c>
      <c r="S1328" s="62" t="n">
        <v>0</v>
      </c>
      <c r="T1328" s="62" t="n">
        <v>0</v>
      </c>
      <c r="U1328" s="62" t="s">
        <v>2056</v>
      </c>
      <c r="V1328" s="62" t="s">
        <v>2057</v>
      </c>
      <c r="W1328" s="62" t="s">
        <v>2056</v>
      </c>
      <c r="X1328" s="62" t="s">
        <v>2058</v>
      </c>
      <c r="Y1328" s="62" t="s">
        <v>2059</v>
      </c>
      <c r="Z1328" s="62" t="s">
        <v>2538</v>
      </c>
      <c r="AA1328" s="62" t="s">
        <v>2539</v>
      </c>
      <c r="AB1328" s="62" t="n">
        <v>1</v>
      </c>
      <c r="AC1328" s="62" t="n">
        <v>0</v>
      </c>
      <c r="AD1328" s="62" t="n">
        <v>0</v>
      </c>
      <c r="AE1328" s="62" t="n">
        <f aca="false">IF(AND(Dashboard!$C$9="Yes",AC1328=1),0,1)</f>
        <v>1</v>
      </c>
      <c r="AF1328" s="62" t="n">
        <v>0</v>
      </c>
    </row>
    <row r="1329" customFormat="false" ht="15" hidden="false" customHeight="false" outlineLevel="0" collapsed="false">
      <c r="A1329" s="62" t="n">
        <v>1328</v>
      </c>
      <c r="B1329" s="63" t="n">
        <v>46267.8757060185</v>
      </c>
      <c r="C1329" s="64" t="n">
        <v>46267</v>
      </c>
      <c r="D1329" s="62" t="s">
        <v>143</v>
      </c>
      <c r="E1329" s="62" t="s">
        <v>2540</v>
      </c>
      <c r="F1329" s="62" t="s">
        <v>2540</v>
      </c>
      <c r="G1329" s="62" t="s">
        <v>2541</v>
      </c>
      <c r="H1329" s="62" t="s">
        <v>48</v>
      </c>
      <c r="I1329" s="62" t="s">
        <v>49</v>
      </c>
      <c r="J1329" s="62" t="s">
        <v>146</v>
      </c>
      <c r="K1329" s="62" t="s">
        <v>209</v>
      </c>
      <c r="L1329" s="62" t="s">
        <v>148</v>
      </c>
      <c r="M1329" s="62" t="n">
        <v>0</v>
      </c>
      <c r="N1329" s="62" t="n">
        <v>1</v>
      </c>
      <c r="O1329" s="62" t="n">
        <v>1</v>
      </c>
      <c r="P1329" s="62" t="n">
        <v>1</v>
      </c>
      <c r="Q1329" s="62" t="n">
        <v>0</v>
      </c>
      <c r="R1329" s="62" t="n">
        <v>0</v>
      </c>
      <c r="S1329" s="62" t="n">
        <v>0</v>
      </c>
      <c r="T1329" s="62" t="n">
        <v>0</v>
      </c>
      <c r="U1329" s="62"/>
      <c r="V1329" s="62"/>
      <c r="W1329" s="62"/>
      <c r="X1329" s="62"/>
      <c r="Y1329" s="62"/>
      <c r="Z1329" s="62" t="s">
        <v>2542</v>
      </c>
      <c r="AA1329" s="62" t="s">
        <v>2543</v>
      </c>
      <c r="AB1329" s="62" t="n">
        <v>1</v>
      </c>
      <c r="AC1329" s="62" t="n">
        <v>0</v>
      </c>
      <c r="AD1329" s="62" t="n">
        <v>1</v>
      </c>
      <c r="AE1329" s="62" t="n">
        <f aca="false">IF(AND(Dashboard!$C$9="Yes",AC1329=1),0,1)</f>
        <v>1</v>
      </c>
      <c r="AF1329" s="62" t="n">
        <v>1</v>
      </c>
    </row>
    <row r="1330" customFormat="false" ht="15" hidden="false" customHeight="false" outlineLevel="0" collapsed="false">
      <c r="A1330" s="62" t="n">
        <v>1329</v>
      </c>
      <c r="B1330" s="63" t="n">
        <v>46267.8862037037</v>
      </c>
      <c r="C1330" s="64" t="n">
        <v>46267</v>
      </c>
      <c r="D1330" s="62" t="s">
        <v>143</v>
      </c>
      <c r="E1330" s="62" t="s">
        <v>586</v>
      </c>
      <c r="F1330" s="62" t="s">
        <v>586</v>
      </c>
      <c r="G1330" s="62" t="s">
        <v>587</v>
      </c>
      <c r="H1330" s="62" t="s">
        <v>57</v>
      </c>
      <c r="I1330" s="62" t="s">
        <v>47</v>
      </c>
      <c r="J1330" s="62" t="s">
        <v>146</v>
      </c>
      <c r="K1330" s="62" t="s">
        <v>175</v>
      </c>
      <c r="L1330" s="62" t="s">
        <v>148</v>
      </c>
      <c r="M1330" s="62" t="n">
        <v>0</v>
      </c>
      <c r="N1330" s="62" t="n">
        <v>1</v>
      </c>
      <c r="O1330" s="62" t="n">
        <v>1</v>
      </c>
      <c r="P1330" s="62" t="n">
        <v>0</v>
      </c>
      <c r="Q1330" s="62" t="n">
        <v>1</v>
      </c>
      <c r="R1330" s="62" t="n">
        <v>0</v>
      </c>
      <c r="S1330" s="62" t="n">
        <v>0</v>
      </c>
      <c r="T1330" s="62" t="n">
        <v>0</v>
      </c>
      <c r="U1330" s="62"/>
      <c r="V1330" s="62"/>
      <c r="W1330" s="62"/>
      <c r="X1330" s="62"/>
      <c r="Y1330" s="62"/>
      <c r="Z1330" s="62" t="s">
        <v>2544</v>
      </c>
      <c r="AA1330" s="62" t="s">
        <v>2545</v>
      </c>
      <c r="AB1330" s="62" t="n">
        <v>1</v>
      </c>
      <c r="AC1330" s="62" t="n">
        <v>0</v>
      </c>
      <c r="AD1330" s="62" t="n">
        <v>1</v>
      </c>
      <c r="AE1330" s="62" t="n">
        <f aca="false">IF(AND(Dashboard!$C$9="Yes",AC1330=1),0,1)</f>
        <v>1</v>
      </c>
      <c r="AF1330" s="62" t="n">
        <v>0</v>
      </c>
    </row>
    <row r="1331" customFormat="false" ht="15" hidden="false" customHeight="false" outlineLevel="0" collapsed="false">
      <c r="A1331" s="62" t="n">
        <v>1330</v>
      </c>
      <c r="B1331" s="63" t="n">
        <v>46267.8895717593</v>
      </c>
      <c r="C1331" s="64" t="n">
        <v>46267</v>
      </c>
      <c r="D1331" s="62" t="s">
        <v>143</v>
      </c>
      <c r="E1331" s="62" t="s">
        <v>228</v>
      </c>
      <c r="F1331" s="62" t="s">
        <v>229</v>
      </c>
      <c r="G1331" s="62" t="s">
        <v>153</v>
      </c>
      <c r="H1331" s="62" t="s">
        <v>153</v>
      </c>
      <c r="I1331" s="62" t="s">
        <v>153</v>
      </c>
      <c r="J1331" s="62" t="s">
        <v>64</v>
      </c>
      <c r="K1331" s="62" t="s">
        <v>64</v>
      </c>
      <c r="L1331" s="62" t="s">
        <v>4</v>
      </c>
      <c r="M1331" s="62" t="n">
        <v>1</v>
      </c>
      <c r="N1331" s="62" t="n">
        <v>0</v>
      </c>
      <c r="O1331" s="62" t="n">
        <v>1</v>
      </c>
      <c r="P1331" s="62" t="n">
        <v>0</v>
      </c>
      <c r="Q1331" s="62" t="n">
        <v>0</v>
      </c>
      <c r="R1331" s="62" t="n">
        <v>0</v>
      </c>
      <c r="S1331" s="62" t="n">
        <v>0</v>
      </c>
      <c r="T1331" s="62" t="n">
        <v>0</v>
      </c>
      <c r="U1331" s="62" t="s">
        <v>2056</v>
      </c>
      <c r="V1331" s="62" t="s">
        <v>2057</v>
      </c>
      <c r="W1331" s="62" t="s">
        <v>15</v>
      </c>
      <c r="X1331" s="62" t="s">
        <v>2125</v>
      </c>
      <c r="Y1331" s="62" t="s">
        <v>2059</v>
      </c>
      <c r="Z1331" s="62" t="s">
        <v>2546</v>
      </c>
      <c r="AA1331" s="62" t="s">
        <v>2547</v>
      </c>
      <c r="AB1331" s="62" t="n">
        <v>1</v>
      </c>
      <c r="AC1331" s="62" t="n">
        <v>0</v>
      </c>
      <c r="AD1331" s="62" t="n">
        <v>0</v>
      </c>
      <c r="AE1331" s="62" t="n">
        <f aca="false">IF(AND(Dashboard!$C$9="Yes",AC1331=1),0,1)</f>
        <v>1</v>
      </c>
      <c r="AF1331" s="62" t="n">
        <v>0</v>
      </c>
    </row>
    <row r="1332" customFormat="false" ht="15" hidden="false" customHeight="false" outlineLevel="0" collapsed="false">
      <c r="A1332" s="62" t="n">
        <v>1331</v>
      </c>
      <c r="B1332" s="63" t="n">
        <v>46267.8900810185</v>
      </c>
      <c r="C1332" s="64" t="n">
        <v>46267</v>
      </c>
      <c r="D1332" s="62" t="s">
        <v>143</v>
      </c>
      <c r="E1332" s="62" t="s">
        <v>2385</v>
      </c>
      <c r="F1332" s="62" t="s">
        <v>2385</v>
      </c>
      <c r="G1332" s="62" t="s">
        <v>2386</v>
      </c>
      <c r="H1332" s="62" t="s">
        <v>59</v>
      </c>
      <c r="I1332" s="62" t="s">
        <v>47</v>
      </c>
      <c r="J1332" s="62" t="s">
        <v>146</v>
      </c>
      <c r="K1332" s="62" t="s">
        <v>209</v>
      </c>
      <c r="L1332" s="62" t="s">
        <v>148</v>
      </c>
      <c r="M1332" s="62" t="n">
        <v>0</v>
      </c>
      <c r="N1332" s="62" t="n">
        <v>1</v>
      </c>
      <c r="O1332" s="62" t="n">
        <v>1</v>
      </c>
      <c r="P1332" s="62" t="n">
        <v>1</v>
      </c>
      <c r="Q1332" s="62" t="n">
        <v>0</v>
      </c>
      <c r="R1332" s="62" t="n">
        <v>0</v>
      </c>
      <c r="S1332" s="62" t="n">
        <v>0</v>
      </c>
      <c r="T1332" s="62" t="n">
        <v>0</v>
      </c>
      <c r="U1332" s="62"/>
      <c r="V1332" s="62"/>
      <c r="W1332" s="62"/>
      <c r="X1332" s="62"/>
      <c r="Y1332" s="62"/>
      <c r="Z1332" s="62" t="s">
        <v>2548</v>
      </c>
      <c r="AA1332" s="62" t="s">
        <v>2549</v>
      </c>
      <c r="AB1332" s="62" t="n">
        <v>1</v>
      </c>
      <c r="AC1332" s="62" t="n">
        <v>0</v>
      </c>
      <c r="AD1332" s="62" t="n">
        <v>1</v>
      </c>
      <c r="AE1332" s="62" t="n">
        <f aca="false">IF(AND(Dashboard!$C$9="Yes",AC1332=1),0,1)</f>
        <v>1</v>
      </c>
      <c r="AF1332" s="62" t="n">
        <v>1</v>
      </c>
    </row>
    <row r="1333" customFormat="false" ht="15" hidden="false" customHeight="false" outlineLevel="0" collapsed="false">
      <c r="A1333" s="62" t="n">
        <v>1332</v>
      </c>
      <c r="B1333" s="63" t="n">
        <v>46267.8925810185</v>
      </c>
      <c r="C1333" s="64" t="n">
        <v>46267</v>
      </c>
      <c r="D1333" s="62" t="s">
        <v>143</v>
      </c>
      <c r="E1333" s="62" t="s">
        <v>207</v>
      </c>
      <c r="F1333" s="62" t="s">
        <v>207</v>
      </c>
      <c r="G1333" s="62" t="s">
        <v>208</v>
      </c>
      <c r="H1333" s="62" t="s">
        <v>48</v>
      </c>
      <c r="I1333" s="62" t="s">
        <v>49</v>
      </c>
      <c r="J1333" s="62" t="s">
        <v>146</v>
      </c>
      <c r="K1333" s="62" t="s">
        <v>209</v>
      </c>
      <c r="L1333" s="62" t="s">
        <v>148</v>
      </c>
      <c r="M1333" s="62" t="n">
        <v>0</v>
      </c>
      <c r="N1333" s="62" t="n">
        <v>1</v>
      </c>
      <c r="O1333" s="62" t="n">
        <v>1</v>
      </c>
      <c r="P1333" s="62" t="n">
        <v>0</v>
      </c>
      <c r="Q1333" s="62" t="n">
        <v>1</v>
      </c>
      <c r="R1333" s="62" t="n">
        <v>0</v>
      </c>
      <c r="S1333" s="62" t="n">
        <v>0</v>
      </c>
      <c r="T1333" s="62" t="n">
        <v>0</v>
      </c>
      <c r="U1333" s="62"/>
      <c r="V1333" s="62"/>
      <c r="W1333" s="62"/>
      <c r="X1333" s="62"/>
      <c r="Y1333" s="62"/>
      <c r="Z1333" s="62" t="s">
        <v>2550</v>
      </c>
      <c r="AA1333" s="62" t="s">
        <v>2551</v>
      </c>
      <c r="AB1333" s="62" t="n">
        <v>1</v>
      </c>
      <c r="AC1333" s="62" t="n">
        <v>0</v>
      </c>
      <c r="AD1333" s="62" t="n">
        <v>1</v>
      </c>
      <c r="AE1333" s="62" t="n">
        <f aca="false">IF(AND(Dashboard!$C$9="Yes",AC1333=1),0,1)</f>
        <v>1</v>
      </c>
      <c r="AF1333" s="62" t="n">
        <v>1</v>
      </c>
    </row>
    <row r="1334" customFormat="false" ht="15" hidden="false" customHeight="false" outlineLevel="0" collapsed="false">
      <c r="A1334" s="62" t="n">
        <v>1333</v>
      </c>
      <c r="B1334" s="63" t="n">
        <v>46267.8994212963</v>
      </c>
      <c r="C1334" s="64" t="n">
        <v>46267</v>
      </c>
      <c r="D1334" s="62" t="s">
        <v>143</v>
      </c>
      <c r="E1334" s="62" t="s">
        <v>1749</v>
      </c>
      <c r="F1334" s="62" t="s">
        <v>1749</v>
      </c>
      <c r="G1334" s="62" t="s">
        <v>1750</v>
      </c>
      <c r="H1334" s="62" t="s">
        <v>57</v>
      </c>
      <c r="I1334" s="62" t="s">
        <v>47</v>
      </c>
      <c r="J1334" s="62" t="s">
        <v>146</v>
      </c>
      <c r="K1334" s="62" t="s">
        <v>209</v>
      </c>
      <c r="L1334" s="62" t="s">
        <v>148</v>
      </c>
      <c r="M1334" s="62" t="n">
        <v>0</v>
      </c>
      <c r="N1334" s="62" t="n">
        <v>1</v>
      </c>
      <c r="O1334" s="62" t="n">
        <v>1</v>
      </c>
      <c r="P1334" s="62" t="n">
        <v>0</v>
      </c>
      <c r="Q1334" s="62" t="n">
        <v>0</v>
      </c>
      <c r="R1334" s="62" t="n">
        <v>1</v>
      </c>
      <c r="S1334" s="62" t="n">
        <v>0</v>
      </c>
      <c r="T1334" s="62" t="n">
        <v>0</v>
      </c>
      <c r="U1334" s="62"/>
      <c r="V1334" s="62"/>
      <c r="W1334" s="62"/>
      <c r="X1334" s="62"/>
      <c r="Y1334" s="62"/>
      <c r="Z1334" s="62" t="s">
        <v>2552</v>
      </c>
      <c r="AA1334" s="62" t="s">
        <v>2553</v>
      </c>
      <c r="AB1334" s="62" t="n">
        <v>1</v>
      </c>
      <c r="AC1334" s="62" t="n">
        <v>0</v>
      </c>
      <c r="AD1334" s="62" t="n">
        <v>1</v>
      </c>
      <c r="AE1334" s="62" t="n">
        <f aca="false">IF(AND(Dashboard!$C$9="Yes",AC1334=1),0,1)</f>
        <v>1</v>
      </c>
      <c r="AF1334" s="62" t="n">
        <v>1</v>
      </c>
    </row>
    <row r="1335" customFormat="false" ht="15" hidden="false" customHeight="false" outlineLevel="0" collapsed="false">
      <c r="A1335" s="62" t="n">
        <v>1334</v>
      </c>
      <c r="B1335" s="63" t="n">
        <v>46267.9073958333</v>
      </c>
      <c r="C1335" s="64" t="n">
        <v>46267</v>
      </c>
      <c r="D1335" s="62" t="s">
        <v>143</v>
      </c>
      <c r="E1335" s="62" t="s">
        <v>2464</v>
      </c>
      <c r="F1335" s="62" t="s">
        <v>2464</v>
      </c>
      <c r="G1335" s="62" t="s">
        <v>2465</v>
      </c>
      <c r="H1335" s="62" t="s">
        <v>59</v>
      </c>
      <c r="I1335" s="62" t="s">
        <v>47</v>
      </c>
      <c r="J1335" s="62" t="s">
        <v>146</v>
      </c>
      <c r="K1335" s="62" t="s">
        <v>175</v>
      </c>
      <c r="L1335" s="62" t="s">
        <v>4</v>
      </c>
      <c r="M1335" s="62" t="n">
        <v>1</v>
      </c>
      <c r="N1335" s="62" t="n">
        <v>0</v>
      </c>
      <c r="O1335" s="62" t="n">
        <v>1</v>
      </c>
      <c r="P1335" s="62" t="n">
        <v>0</v>
      </c>
      <c r="Q1335" s="62" t="n">
        <v>0</v>
      </c>
      <c r="R1335" s="62" t="n">
        <v>0</v>
      </c>
      <c r="S1335" s="62" t="n">
        <v>0</v>
      </c>
      <c r="T1335" s="62" t="n">
        <v>0</v>
      </c>
      <c r="U1335" s="62" t="s">
        <v>2056</v>
      </c>
      <c r="V1335" s="62" t="s">
        <v>2057</v>
      </c>
      <c r="W1335" s="62" t="s">
        <v>15</v>
      </c>
      <c r="X1335" s="62" t="s">
        <v>2058</v>
      </c>
      <c r="Y1335" s="62" t="s">
        <v>2103</v>
      </c>
      <c r="Z1335" s="62" t="s">
        <v>2554</v>
      </c>
      <c r="AA1335" s="62" t="s">
        <v>2555</v>
      </c>
      <c r="AB1335" s="62" t="n">
        <v>1</v>
      </c>
      <c r="AC1335" s="62" t="n">
        <v>0</v>
      </c>
      <c r="AD1335" s="62" t="n">
        <v>1</v>
      </c>
      <c r="AE1335" s="62" t="n">
        <f aca="false">IF(AND(Dashboard!$C$9="Yes",AC1335=1),0,1)</f>
        <v>1</v>
      </c>
      <c r="AF1335" s="62" t="n">
        <v>1</v>
      </c>
    </row>
    <row r="1336" customFormat="false" ht="15" hidden="false" customHeight="false" outlineLevel="0" collapsed="false">
      <c r="A1336" s="62" t="n">
        <v>1335</v>
      </c>
      <c r="B1336" s="63" t="n">
        <v>46267.9321990741</v>
      </c>
      <c r="C1336" s="64" t="n">
        <v>46267</v>
      </c>
      <c r="D1336" s="62" t="s">
        <v>143</v>
      </c>
      <c r="E1336" s="62" t="s">
        <v>1314</v>
      </c>
      <c r="F1336" s="62" t="s">
        <v>1314</v>
      </c>
      <c r="G1336" s="62" t="s">
        <v>1315</v>
      </c>
      <c r="H1336" s="62" t="s">
        <v>51</v>
      </c>
      <c r="I1336" s="62" t="s">
        <v>47</v>
      </c>
      <c r="J1336" s="62" t="s">
        <v>146</v>
      </c>
      <c r="K1336" s="62" t="s">
        <v>209</v>
      </c>
      <c r="L1336" s="62" t="s">
        <v>148</v>
      </c>
      <c r="M1336" s="62" t="n">
        <v>0</v>
      </c>
      <c r="N1336" s="62" t="n">
        <v>1</v>
      </c>
      <c r="O1336" s="62" t="n">
        <v>1</v>
      </c>
      <c r="P1336" s="62" t="n">
        <v>0</v>
      </c>
      <c r="Q1336" s="62" t="n">
        <v>1</v>
      </c>
      <c r="R1336" s="62" t="n">
        <v>0</v>
      </c>
      <c r="S1336" s="62" t="n">
        <v>0</v>
      </c>
      <c r="T1336" s="62" t="n">
        <v>0</v>
      </c>
      <c r="U1336" s="62"/>
      <c r="V1336" s="62"/>
      <c r="W1336" s="62"/>
      <c r="X1336" s="62"/>
      <c r="Y1336" s="62"/>
      <c r="Z1336" s="62" t="s">
        <v>2556</v>
      </c>
      <c r="AA1336" s="62" t="s">
        <v>2557</v>
      </c>
      <c r="AB1336" s="62" t="n">
        <v>1</v>
      </c>
      <c r="AC1336" s="62" t="n">
        <v>0</v>
      </c>
      <c r="AD1336" s="62" t="n">
        <v>1</v>
      </c>
      <c r="AE1336" s="62" t="n">
        <f aca="false">IF(AND(Dashboard!$C$9="Yes",AC1336=1),0,1)</f>
        <v>1</v>
      </c>
      <c r="AF1336" s="62" t="n">
        <v>1</v>
      </c>
    </row>
    <row r="1337" customFormat="false" ht="15" hidden="false" customHeight="false" outlineLevel="0" collapsed="false">
      <c r="A1337" s="62" t="n">
        <v>1336</v>
      </c>
      <c r="B1337" s="63" t="n">
        <v>46267.9368055556</v>
      </c>
      <c r="C1337" s="64" t="n">
        <v>46267</v>
      </c>
      <c r="D1337" s="62" t="s">
        <v>143</v>
      </c>
      <c r="E1337" s="62" t="s">
        <v>2385</v>
      </c>
      <c r="F1337" s="62" t="s">
        <v>2385</v>
      </c>
      <c r="G1337" s="62" t="s">
        <v>2386</v>
      </c>
      <c r="H1337" s="62" t="s">
        <v>59</v>
      </c>
      <c r="I1337" s="62" t="s">
        <v>47</v>
      </c>
      <c r="J1337" s="62" t="s">
        <v>146</v>
      </c>
      <c r="K1337" s="62" t="s">
        <v>209</v>
      </c>
      <c r="L1337" s="62" t="s">
        <v>148</v>
      </c>
      <c r="M1337" s="62" t="n">
        <v>0</v>
      </c>
      <c r="N1337" s="62" t="n">
        <v>1</v>
      </c>
      <c r="O1337" s="62" t="n">
        <v>1</v>
      </c>
      <c r="P1337" s="62" t="n">
        <v>1</v>
      </c>
      <c r="Q1337" s="62" t="n">
        <v>0</v>
      </c>
      <c r="R1337" s="62" t="n">
        <v>0</v>
      </c>
      <c r="S1337" s="62" t="n">
        <v>0</v>
      </c>
      <c r="T1337" s="62" t="n">
        <v>0</v>
      </c>
      <c r="U1337" s="62"/>
      <c r="V1337" s="62"/>
      <c r="W1337" s="62"/>
      <c r="X1337" s="62"/>
      <c r="Y1337" s="62"/>
      <c r="Z1337" s="62" t="s">
        <v>2558</v>
      </c>
      <c r="AA1337" s="62" t="s">
        <v>2559</v>
      </c>
      <c r="AB1337" s="62" t="n">
        <v>1</v>
      </c>
      <c r="AC1337" s="62" t="n">
        <v>0</v>
      </c>
      <c r="AD1337" s="62" t="n">
        <v>1</v>
      </c>
      <c r="AE1337" s="62" t="n">
        <f aca="false">IF(AND(Dashboard!$C$9="Yes",AC1337=1),0,1)</f>
        <v>1</v>
      </c>
      <c r="AF1337" s="62" t="n">
        <v>0</v>
      </c>
    </row>
    <row r="1338" customFormat="false" ht="15" hidden="false" customHeight="false" outlineLevel="0" collapsed="false">
      <c r="A1338" s="62" t="n">
        <v>1337</v>
      </c>
      <c r="B1338" s="63" t="n">
        <v>46267.9421990741</v>
      </c>
      <c r="C1338" s="64" t="n">
        <v>46267</v>
      </c>
      <c r="D1338" s="62" t="s">
        <v>143</v>
      </c>
      <c r="E1338" s="62" t="s">
        <v>207</v>
      </c>
      <c r="F1338" s="62" t="s">
        <v>207</v>
      </c>
      <c r="G1338" s="62" t="s">
        <v>208</v>
      </c>
      <c r="H1338" s="62" t="s">
        <v>48</v>
      </c>
      <c r="I1338" s="62" t="s">
        <v>49</v>
      </c>
      <c r="J1338" s="62" t="s">
        <v>146</v>
      </c>
      <c r="K1338" s="62" t="s">
        <v>209</v>
      </c>
      <c r="L1338" s="62" t="s">
        <v>148</v>
      </c>
      <c r="M1338" s="62" t="n">
        <v>0</v>
      </c>
      <c r="N1338" s="62" t="n">
        <v>2</v>
      </c>
      <c r="O1338" s="62" t="n">
        <v>2</v>
      </c>
      <c r="P1338" s="62" t="n">
        <v>1</v>
      </c>
      <c r="Q1338" s="62" t="n">
        <v>1</v>
      </c>
      <c r="R1338" s="62" t="n">
        <v>0</v>
      </c>
      <c r="S1338" s="62" t="n">
        <v>0</v>
      </c>
      <c r="T1338" s="62" t="n">
        <v>0</v>
      </c>
      <c r="U1338" s="62"/>
      <c r="V1338" s="62"/>
      <c r="W1338" s="62"/>
      <c r="X1338" s="62"/>
      <c r="Y1338" s="62"/>
      <c r="Z1338" s="62" t="s">
        <v>2560</v>
      </c>
      <c r="AA1338" s="62" t="s">
        <v>2561</v>
      </c>
      <c r="AB1338" s="62" t="n">
        <v>1</v>
      </c>
      <c r="AC1338" s="62" t="n">
        <v>0</v>
      </c>
      <c r="AD1338" s="62" t="n">
        <v>1</v>
      </c>
      <c r="AE1338" s="62" t="n">
        <f aca="false">IF(AND(Dashboard!$C$9="Yes",AC1338=1),0,1)</f>
        <v>1</v>
      </c>
      <c r="AF1338" s="62" t="n">
        <v>0</v>
      </c>
    </row>
    <row r="1339" customFormat="false" ht="15" hidden="false" customHeight="false" outlineLevel="0" collapsed="false">
      <c r="A1339" s="62" t="n">
        <v>1338</v>
      </c>
      <c r="B1339" s="63" t="n">
        <v>46267.9478587963</v>
      </c>
      <c r="C1339" s="64" t="n">
        <v>46267</v>
      </c>
      <c r="D1339" s="62" t="s">
        <v>143</v>
      </c>
      <c r="E1339" s="62" t="s">
        <v>2228</v>
      </c>
      <c r="F1339" s="62" t="s">
        <v>2228</v>
      </c>
      <c r="G1339" s="62" t="s">
        <v>2229</v>
      </c>
      <c r="H1339" s="62" t="s">
        <v>58</v>
      </c>
      <c r="I1339" s="62" t="s">
        <v>49</v>
      </c>
      <c r="J1339" s="62" t="s">
        <v>146</v>
      </c>
      <c r="K1339" s="62" t="s">
        <v>209</v>
      </c>
      <c r="L1339" s="62" t="s">
        <v>148</v>
      </c>
      <c r="M1339" s="62" t="n">
        <v>0</v>
      </c>
      <c r="N1339" s="62" t="n">
        <v>1</v>
      </c>
      <c r="O1339" s="62" t="n">
        <v>1</v>
      </c>
      <c r="P1339" s="62" t="n">
        <v>1</v>
      </c>
      <c r="Q1339" s="62" t="n">
        <v>0</v>
      </c>
      <c r="R1339" s="62" t="n">
        <v>0</v>
      </c>
      <c r="S1339" s="62" t="n">
        <v>0</v>
      </c>
      <c r="T1339" s="62" t="n">
        <v>0</v>
      </c>
      <c r="U1339" s="62"/>
      <c r="V1339" s="62"/>
      <c r="W1339" s="62"/>
      <c r="X1339" s="62"/>
      <c r="Y1339" s="62"/>
      <c r="Z1339" s="62" t="s">
        <v>2562</v>
      </c>
      <c r="AA1339" s="62" t="s">
        <v>2563</v>
      </c>
      <c r="AB1339" s="62" t="n">
        <v>1</v>
      </c>
      <c r="AC1339" s="62" t="n">
        <v>0</v>
      </c>
      <c r="AD1339" s="62" t="n">
        <v>1</v>
      </c>
      <c r="AE1339" s="62" t="n">
        <f aca="false">IF(AND(Dashboard!$C$9="Yes",AC1339=1),0,1)</f>
        <v>1</v>
      </c>
      <c r="AF1339" s="62" t="n">
        <v>0</v>
      </c>
    </row>
    <row r="1340" customFormat="false" ht="15" hidden="false" customHeight="false" outlineLevel="0" collapsed="false">
      <c r="A1340" s="62" t="n">
        <v>1339</v>
      </c>
      <c r="B1340" s="63" t="n">
        <v>46267.9872800926</v>
      </c>
      <c r="C1340" s="64" t="n">
        <v>46267</v>
      </c>
      <c r="D1340" s="62" t="s">
        <v>143</v>
      </c>
      <c r="E1340" s="62" t="s">
        <v>1539</v>
      </c>
      <c r="F1340" s="62" t="s">
        <v>1539</v>
      </c>
      <c r="G1340" s="62" t="s">
        <v>1540</v>
      </c>
      <c r="H1340" s="62" t="s">
        <v>52</v>
      </c>
      <c r="I1340" s="62" t="s">
        <v>47</v>
      </c>
      <c r="J1340" s="62" t="s">
        <v>146</v>
      </c>
      <c r="K1340" s="62" t="s">
        <v>147</v>
      </c>
      <c r="L1340" s="62" t="s">
        <v>148</v>
      </c>
      <c r="M1340" s="62" t="n">
        <v>0</v>
      </c>
      <c r="N1340" s="62" t="n">
        <v>1</v>
      </c>
      <c r="O1340" s="62" t="n">
        <v>1</v>
      </c>
      <c r="P1340" s="62" t="n">
        <v>1</v>
      </c>
      <c r="Q1340" s="62" t="n">
        <v>0</v>
      </c>
      <c r="R1340" s="62" t="n">
        <v>0</v>
      </c>
      <c r="S1340" s="62" t="n">
        <v>0</v>
      </c>
      <c r="T1340" s="62" t="n">
        <v>0</v>
      </c>
      <c r="U1340" s="62"/>
      <c r="V1340" s="62"/>
      <c r="W1340" s="62"/>
      <c r="X1340" s="62"/>
      <c r="Y1340" s="62"/>
      <c r="Z1340" s="62" t="s">
        <v>2564</v>
      </c>
      <c r="AA1340" s="62" t="s">
        <v>2565</v>
      </c>
      <c r="AB1340" s="62" t="n">
        <v>1</v>
      </c>
      <c r="AC1340" s="62" t="n">
        <v>0</v>
      </c>
      <c r="AD1340" s="62" t="n">
        <v>1</v>
      </c>
      <c r="AE1340" s="62" t="n">
        <f aca="false">IF(AND(Dashboard!$C$9="Yes",AC1340=1),0,1)</f>
        <v>1</v>
      </c>
      <c r="AF1340" s="62" t="n">
        <v>0</v>
      </c>
    </row>
    <row r="1341" customFormat="false" ht="15" hidden="false" customHeight="false" outlineLevel="0" collapsed="false">
      <c r="A1341" s="62" t="n">
        <v>1340</v>
      </c>
      <c r="B1341" s="63" t="n">
        <v>46268.0186805556</v>
      </c>
      <c r="C1341" s="64" t="n">
        <v>46267</v>
      </c>
      <c r="D1341" s="62" t="s">
        <v>143</v>
      </c>
      <c r="E1341" s="62" t="s">
        <v>2183</v>
      </c>
      <c r="F1341" s="62" t="s">
        <v>2183</v>
      </c>
      <c r="G1341" s="62" t="s">
        <v>2184</v>
      </c>
      <c r="H1341" s="62" t="s">
        <v>59</v>
      </c>
      <c r="I1341" s="62" t="s">
        <v>47</v>
      </c>
      <c r="J1341" s="62" t="s">
        <v>146</v>
      </c>
      <c r="K1341" s="62" t="s">
        <v>209</v>
      </c>
      <c r="L1341" s="62" t="s">
        <v>148</v>
      </c>
      <c r="M1341" s="62" t="n">
        <v>0</v>
      </c>
      <c r="N1341" s="62" t="n">
        <v>1</v>
      </c>
      <c r="O1341" s="62" t="n">
        <v>1</v>
      </c>
      <c r="P1341" s="62" t="n">
        <v>0</v>
      </c>
      <c r="Q1341" s="62" t="n">
        <v>1</v>
      </c>
      <c r="R1341" s="62" t="n">
        <v>0</v>
      </c>
      <c r="S1341" s="62" t="n">
        <v>0</v>
      </c>
      <c r="T1341" s="62" t="n">
        <v>0</v>
      </c>
      <c r="U1341" s="62"/>
      <c r="V1341" s="62"/>
      <c r="W1341" s="62"/>
      <c r="X1341" s="62"/>
      <c r="Y1341" s="62"/>
      <c r="Z1341" s="62" t="s">
        <v>2566</v>
      </c>
      <c r="AA1341" s="62" t="s">
        <v>2567</v>
      </c>
      <c r="AB1341" s="62" t="n">
        <v>1</v>
      </c>
      <c r="AC1341" s="62" t="n">
        <v>0</v>
      </c>
      <c r="AD1341" s="62" t="n">
        <v>1</v>
      </c>
      <c r="AE1341" s="62" t="n">
        <f aca="false">IF(AND(Dashboard!$C$9="Yes",AC1341=1),0,1)</f>
        <v>1</v>
      </c>
      <c r="AF1341" s="62" t="n">
        <v>1</v>
      </c>
    </row>
    <row r="1342" customFormat="false" ht="15" hidden="false" customHeight="false" outlineLevel="0" collapsed="false">
      <c r="A1342" s="62" t="n">
        <v>1341</v>
      </c>
      <c r="B1342" s="63" t="n">
        <v>46268.0268634259</v>
      </c>
      <c r="C1342" s="64" t="n">
        <v>46267</v>
      </c>
      <c r="D1342" s="62" t="s">
        <v>143</v>
      </c>
      <c r="E1342" s="62" t="s">
        <v>2081</v>
      </c>
      <c r="F1342" s="62" t="s">
        <v>2081</v>
      </c>
      <c r="G1342" s="62" t="s">
        <v>2082</v>
      </c>
      <c r="H1342" s="62" t="s">
        <v>57</v>
      </c>
      <c r="I1342" s="62" t="s">
        <v>47</v>
      </c>
      <c r="J1342" s="62" t="s">
        <v>146</v>
      </c>
      <c r="K1342" s="62" t="s">
        <v>147</v>
      </c>
      <c r="L1342" s="62" t="s">
        <v>148</v>
      </c>
      <c r="M1342" s="62" t="n">
        <v>0</v>
      </c>
      <c r="N1342" s="62" t="n">
        <v>1</v>
      </c>
      <c r="O1342" s="62" t="n">
        <v>1</v>
      </c>
      <c r="P1342" s="62" t="n">
        <v>0</v>
      </c>
      <c r="Q1342" s="62" t="n">
        <v>0</v>
      </c>
      <c r="R1342" s="62" t="n">
        <v>1</v>
      </c>
      <c r="S1342" s="62" t="n">
        <v>0</v>
      </c>
      <c r="T1342" s="62" t="n">
        <v>0</v>
      </c>
      <c r="U1342" s="62"/>
      <c r="V1342" s="62"/>
      <c r="W1342" s="62"/>
      <c r="X1342" s="62"/>
      <c r="Y1342" s="62"/>
      <c r="Z1342" s="62" t="s">
        <v>2568</v>
      </c>
      <c r="AA1342" s="62"/>
      <c r="AB1342" s="62" t="n">
        <v>0</v>
      </c>
      <c r="AC1342" s="62" t="n">
        <v>0</v>
      </c>
      <c r="AD1342" s="62" t="n">
        <v>1</v>
      </c>
      <c r="AE1342" s="62" t="n">
        <f aca="false">IF(AND(Dashboard!$C$9="Yes",AC1342=1),0,1)</f>
        <v>1</v>
      </c>
      <c r="AF1342" s="62" t="n">
        <v>1</v>
      </c>
    </row>
    <row r="1343" customFormat="false" ht="15" hidden="false" customHeight="false" outlineLevel="0" collapsed="false">
      <c r="A1343" s="62" t="n">
        <v>1342</v>
      </c>
      <c r="B1343" s="63" t="n">
        <v>46268.0276851852</v>
      </c>
      <c r="C1343" s="64" t="n">
        <v>46267</v>
      </c>
      <c r="D1343" s="62" t="s">
        <v>143</v>
      </c>
      <c r="E1343" s="62" t="s">
        <v>2081</v>
      </c>
      <c r="F1343" s="62" t="s">
        <v>2081</v>
      </c>
      <c r="G1343" s="62" t="s">
        <v>2082</v>
      </c>
      <c r="H1343" s="62" t="s">
        <v>57</v>
      </c>
      <c r="I1343" s="62" t="s">
        <v>47</v>
      </c>
      <c r="J1343" s="62" t="s">
        <v>146</v>
      </c>
      <c r="K1343" s="62" t="s">
        <v>147</v>
      </c>
      <c r="L1343" s="62" t="s">
        <v>4</v>
      </c>
      <c r="M1343" s="62" t="n">
        <v>2</v>
      </c>
      <c r="N1343" s="62" t="n">
        <v>0</v>
      </c>
      <c r="O1343" s="62" t="n">
        <v>2</v>
      </c>
      <c r="P1343" s="62" t="n">
        <v>0</v>
      </c>
      <c r="Q1343" s="62" t="n">
        <v>0</v>
      </c>
      <c r="R1343" s="62" t="n">
        <v>0</v>
      </c>
      <c r="S1343" s="62" t="n">
        <v>0</v>
      </c>
      <c r="T1343" s="62" t="n">
        <v>0</v>
      </c>
      <c r="U1343" s="62" t="s">
        <v>2056</v>
      </c>
      <c r="V1343" s="62" t="s">
        <v>2057</v>
      </c>
      <c r="W1343" s="62" t="s">
        <v>2056</v>
      </c>
      <c r="X1343" s="62" t="s">
        <v>2164</v>
      </c>
      <c r="Y1343" s="62" t="s">
        <v>2165</v>
      </c>
      <c r="Z1343" s="62" t="s">
        <v>2569</v>
      </c>
      <c r="AA1343" s="62" t="s">
        <v>2570</v>
      </c>
      <c r="AB1343" s="62" t="n">
        <v>1</v>
      </c>
      <c r="AC1343" s="62" t="n">
        <v>0</v>
      </c>
      <c r="AD1343" s="62" t="n">
        <v>1</v>
      </c>
      <c r="AE1343" s="62" t="n">
        <f aca="false">IF(AND(Dashboard!$C$9="Yes",AC1343=1),0,1)</f>
        <v>1</v>
      </c>
      <c r="AF1343" s="62" t="n">
        <v>0</v>
      </c>
    </row>
    <row r="1344" customFormat="false" ht="15" hidden="false" customHeight="false" outlineLevel="0" collapsed="false">
      <c r="A1344" s="62" t="n">
        <v>1343</v>
      </c>
      <c r="B1344" s="63" t="n">
        <v>46268.0293634259</v>
      </c>
      <c r="C1344" s="64" t="n">
        <v>46267</v>
      </c>
      <c r="D1344" s="62" t="s">
        <v>143</v>
      </c>
      <c r="E1344" s="62" t="s">
        <v>2077</v>
      </c>
      <c r="F1344" s="62" t="s">
        <v>2077</v>
      </c>
      <c r="G1344" s="62" t="s">
        <v>2078</v>
      </c>
      <c r="H1344" s="62" t="s">
        <v>52</v>
      </c>
      <c r="I1344" s="62" t="s">
        <v>47</v>
      </c>
      <c r="J1344" s="62" t="s">
        <v>146</v>
      </c>
      <c r="K1344" s="62" t="s">
        <v>147</v>
      </c>
      <c r="L1344" s="62" t="s">
        <v>148</v>
      </c>
      <c r="M1344" s="62" t="n">
        <v>0</v>
      </c>
      <c r="N1344" s="62" t="n">
        <v>1</v>
      </c>
      <c r="O1344" s="62" t="n">
        <v>1</v>
      </c>
      <c r="P1344" s="62" t="n">
        <v>0</v>
      </c>
      <c r="Q1344" s="62" t="n">
        <v>1</v>
      </c>
      <c r="R1344" s="62" t="n">
        <v>0</v>
      </c>
      <c r="S1344" s="62" t="n">
        <v>0</v>
      </c>
      <c r="T1344" s="62" t="n">
        <v>0</v>
      </c>
      <c r="U1344" s="62"/>
      <c r="V1344" s="62"/>
      <c r="W1344" s="62"/>
      <c r="X1344" s="62"/>
      <c r="Y1344" s="62"/>
      <c r="Z1344" s="62" t="s">
        <v>2571</v>
      </c>
      <c r="AA1344" s="62" t="s">
        <v>2572</v>
      </c>
      <c r="AB1344" s="62" t="n">
        <v>1</v>
      </c>
      <c r="AC1344" s="62" t="n">
        <v>0</v>
      </c>
      <c r="AD1344" s="62" t="n">
        <v>1</v>
      </c>
      <c r="AE1344" s="62" t="n">
        <f aca="false">IF(AND(Dashboard!$C$9="Yes",AC1344=1),0,1)</f>
        <v>1</v>
      </c>
      <c r="AF1344" s="62" t="n">
        <v>1</v>
      </c>
    </row>
    <row r="1345" customFormat="false" ht="15" hidden="false" customHeight="false" outlineLevel="0" collapsed="false">
      <c r="A1345" s="62" t="n">
        <v>1344</v>
      </c>
      <c r="B1345" s="63" t="n">
        <v>46268.0406134259</v>
      </c>
      <c r="C1345" s="64" t="n">
        <v>46267</v>
      </c>
      <c r="D1345" s="62" t="s">
        <v>143</v>
      </c>
      <c r="E1345" s="62" t="s">
        <v>239</v>
      </c>
      <c r="F1345" s="62" t="s">
        <v>240</v>
      </c>
      <c r="G1345" s="62" t="s">
        <v>153</v>
      </c>
      <c r="H1345" s="62" t="s">
        <v>153</v>
      </c>
      <c r="I1345" s="62" t="s">
        <v>153</v>
      </c>
      <c r="J1345" s="62" t="s">
        <v>64</v>
      </c>
      <c r="K1345" s="62" t="s">
        <v>64</v>
      </c>
      <c r="L1345" s="62" t="s">
        <v>148</v>
      </c>
      <c r="M1345" s="62" t="n">
        <v>0</v>
      </c>
      <c r="N1345" s="62" t="n">
        <v>1</v>
      </c>
      <c r="O1345" s="62" t="n">
        <v>1</v>
      </c>
      <c r="P1345" s="62" t="n">
        <v>0</v>
      </c>
      <c r="Q1345" s="62" t="n">
        <v>1</v>
      </c>
      <c r="R1345" s="62" t="n">
        <v>0</v>
      </c>
      <c r="S1345" s="62" t="n">
        <v>0</v>
      </c>
      <c r="T1345" s="62" t="n">
        <v>0</v>
      </c>
      <c r="U1345" s="62"/>
      <c r="V1345" s="62"/>
      <c r="W1345" s="62"/>
      <c r="X1345" s="62"/>
      <c r="Y1345" s="62"/>
      <c r="Z1345" s="62" t="s">
        <v>2573</v>
      </c>
      <c r="AA1345" s="62" t="s">
        <v>2574</v>
      </c>
      <c r="AB1345" s="62" t="n">
        <v>1</v>
      </c>
      <c r="AC1345" s="62" t="n">
        <v>0</v>
      </c>
      <c r="AD1345" s="62" t="n">
        <v>0</v>
      </c>
      <c r="AE1345" s="62" t="n">
        <f aca="false">IF(AND(Dashboard!$C$9="Yes",AC1345=1),0,1)</f>
        <v>1</v>
      </c>
      <c r="AF1345" s="62" t="n">
        <v>1</v>
      </c>
    </row>
    <row r="1346" customFormat="false" ht="15" hidden="false" customHeight="false" outlineLevel="0" collapsed="false">
      <c r="A1346" s="62" t="n">
        <v>1345</v>
      </c>
      <c r="B1346" s="63" t="n">
        <v>46268.0410532407</v>
      </c>
      <c r="C1346" s="64" t="n">
        <v>46267</v>
      </c>
      <c r="D1346" s="62" t="s">
        <v>143</v>
      </c>
      <c r="E1346" s="62" t="s">
        <v>2575</v>
      </c>
      <c r="F1346" s="62" t="s">
        <v>2576</v>
      </c>
      <c r="G1346" s="62" t="s">
        <v>153</v>
      </c>
      <c r="H1346" s="62" t="s">
        <v>153</v>
      </c>
      <c r="I1346" s="62" t="s">
        <v>153</v>
      </c>
      <c r="J1346" s="62" t="s">
        <v>64</v>
      </c>
      <c r="K1346" s="62" t="s">
        <v>64</v>
      </c>
      <c r="L1346" s="62" t="s">
        <v>148</v>
      </c>
      <c r="M1346" s="62" t="n">
        <v>0</v>
      </c>
      <c r="N1346" s="62" t="n">
        <v>1</v>
      </c>
      <c r="O1346" s="62" t="n">
        <v>1</v>
      </c>
      <c r="P1346" s="62" t="n">
        <v>0</v>
      </c>
      <c r="Q1346" s="62" t="n">
        <v>1</v>
      </c>
      <c r="R1346" s="62" t="n">
        <v>0</v>
      </c>
      <c r="S1346" s="62" t="n">
        <v>0</v>
      </c>
      <c r="T1346" s="62" t="n">
        <v>0</v>
      </c>
      <c r="U1346" s="62"/>
      <c r="V1346" s="62"/>
      <c r="W1346" s="62"/>
      <c r="X1346" s="62"/>
      <c r="Y1346" s="62"/>
      <c r="Z1346" s="62" t="s">
        <v>2573</v>
      </c>
      <c r="AA1346" s="62" t="s">
        <v>2574</v>
      </c>
      <c r="AB1346" s="62" t="n">
        <v>1</v>
      </c>
      <c r="AC1346" s="62" t="n">
        <v>0</v>
      </c>
      <c r="AD1346" s="62" t="n">
        <v>0</v>
      </c>
      <c r="AE1346" s="62" t="n">
        <f aca="false">IF(AND(Dashboard!$C$9="Yes",AC1346=1),0,1)</f>
        <v>1</v>
      </c>
      <c r="AF1346" s="62" t="n">
        <v>1</v>
      </c>
    </row>
    <row r="1347" customFormat="false" ht="15" hidden="false" customHeight="false" outlineLevel="0" collapsed="false">
      <c r="A1347" s="62" t="n">
        <v>1346</v>
      </c>
      <c r="B1347" s="63" t="n">
        <v>46268.0416550926</v>
      </c>
      <c r="C1347" s="64" t="n">
        <v>46267</v>
      </c>
      <c r="D1347" s="62" t="s">
        <v>143</v>
      </c>
      <c r="E1347" s="62" t="s">
        <v>239</v>
      </c>
      <c r="F1347" s="62" t="s">
        <v>240</v>
      </c>
      <c r="G1347" s="62" t="s">
        <v>153</v>
      </c>
      <c r="H1347" s="62" t="s">
        <v>153</v>
      </c>
      <c r="I1347" s="62" t="s">
        <v>153</v>
      </c>
      <c r="J1347" s="62" t="s">
        <v>64</v>
      </c>
      <c r="K1347" s="62" t="s">
        <v>64</v>
      </c>
      <c r="L1347" s="62" t="s">
        <v>148</v>
      </c>
      <c r="M1347" s="62" t="n">
        <v>0</v>
      </c>
      <c r="N1347" s="62" t="n">
        <v>1</v>
      </c>
      <c r="O1347" s="62" t="n">
        <v>1</v>
      </c>
      <c r="P1347" s="62" t="n">
        <v>0</v>
      </c>
      <c r="Q1347" s="62" t="n">
        <v>1</v>
      </c>
      <c r="R1347" s="62" t="n">
        <v>0</v>
      </c>
      <c r="S1347" s="62" t="n">
        <v>0</v>
      </c>
      <c r="T1347" s="62" t="n">
        <v>0</v>
      </c>
      <c r="U1347" s="62"/>
      <c r="V1347" s="62"/>
      <c r="W1347" s="62"/>
      <c r="X1347" s="62"/>
      <c r="Y1347" s="62"/>
      <c r="Z1347" s="62" t="s">
        <v>2573</v>
      </c>
      <c r="AA1347" s="62" t="s">
        <v>2574</v>
      </c>
      <c r="AB1347" s="62" t="n">
        <v>1</v>
      </c>
      <c r="AC1347" s="62" t="n">
        <v>1</v>
      </c>
      <c r="AD1347" s="62" t="n">
        <v>0</v>
      </c>
      <c r="AE1347" s="62" t="n">
        <f aca="false">IF(AND(Dashboard!$C$9="Yes",AC1347=1),0,1)</f>
        <v>0</v>
      </c>
      <c r="AF1347" s="62" t="n">
        <v>0</v>
      </c>
    </row>
    <row r="1348" customFormat="false" ht="15" hidden="false" customHeight="false" outlineLevel="0" collapsed="false">
      <c r="A1348" s="62" t="n">
        <v>1347</v>
      </c>
      <c r="B1348" s="63" t="n">
        <v>46268.0645949074</v>
      </c>
      <c r="C1348" s="64" t="n">
        <v>46267</v>
      </c>
      <c r="D1348" s="62" t="s">
        <v>143</v>
      </c>
      <c r="E1348" s="62" t="s">
        <v>239</v>
      </c>
      <c r="F1348" s="62" t="s">
        <v>240</v>
      </c>
      <c r="G1348" s="62" t="s">
        <v>153</v>
      </c>
      <c r="H1348" s="62" t="s">
        <v>153</v>
      </c>
      <c r="I1348" s="62" t="s">
        <v>153</v>
      </c>
      <c r="J1348" s="62" t="s">
        <v>64</v>
      </c>
      <c r="K1348" s="62" t="s">
        <v>64</v>
      </c>
      <c r="L1348" s="62" t="s">
        <v>148</v>
      </c>
      <c r="M1348" s="62" t="n">
        <v>0</v>
      </c>
      <c r="N1348" s="62" t="n">
        <v>1</v>
      </c>
      <c r="O1348" s="62" t="n">
        <v>1</v>
      </c>
      <c r="P1348" s="62" t="n">
        <v>1</v>
      </c>
      <c r="Q1348" s="62" t="n">
        <v>0</v>
      </c>
      <c r="R1348" s="62" t="n">
        <v>0</v>
      </c>
      <c r="S1348" s="62" t="n">
        <v>0</v>
      </c>
      <c r="T1348" s="62" t="n">
        <v>0</v>
      </c>
      <c r="U1348" s="62"/>
      <c r="V1348" s="62"/>
      <c r="W1348" s="62"/>
      <c r="X1348" s="62"/>
      <c r="Y1348" s="62"/>
      <c r="Z1348" s="62" t="s">
        <v>2577</v>
      </c>
      <c r="AA1348" s="62" t="s">
        <v>2578</v>
      </c>
      <c r="AB1348" s="62" t="n">
        <v>1</v>
      </c>
      <c r="AC1348" s="62" t="n">
        <v>0</v>
      </c>
      <c r="AD1348" s="62" t="n">
        <v>0</v>
      </c>
      <c r="AE1348" s="62" t="n">
        <f aca="false">IF(AND(Dashboard!$C$9="Yes",AC1348=1),0,1)</f>
        <v>1</v>
      </c>
      <c r="AF1348" s="62" t="n">
        <v>0</v>
      </c>
    </row>
    <row r="1349" customFormat="false" ht="15" hidden="false" customHeight="false" outlineLevel="0" collapsed="false">
      <c r="A1349" s="62" t="n">
        <v>1348</v>
      </c>
      <c r="B1349" s="63" t="n">
        <v>46268.0648263889</v>
      </c>
      <c r="C1349" s="64" t="n">
        <v>46267</v>
      </c>
      <c r="D1349" s="62" t="s">
        <v>143</v>
      </c>
      <c r="E1349" s="62" t="s">
        <v>239</v>
      </c>
      <c r="F1349" s="62" t="s">
        <v>240</v>
      </c>
      <c r="G1349" s="62" t="s">
        <v>153</v>
      </c>
      <c r="H1349" s="62" t="s">
        <v>153</v>
      </c>
      <c r="I1349" s="62" t="s">
        <v>153</v>
      </c>
      <c r="J1349" s="62" t="s">
        <v>64</v>
      </c>
      <c r="K1349" s="62" t="s">
        <v>64</v>
      </c>
      <c r="L1349" s="62" t="s">
        <v>148</v>
      </c>
      <c r="M1349" s="62" t="n">
        <v>0</v>
      </c>
      <c r="N1349" s="62" t="n">
        <v>1</v>
      </c>
      <c r="O1349" s="62" t="n">
        <v>1</v>
      </c>
      <c r="P1349" s="62" t="n">
        <v>1</v>
      </c>
      <c r="Q1349" s="62" t="n">
        <v>0</v>
      </c>
      <c r="R1349" s="62" t="n">
        <v>0</v>
      </c>
      <c r="S1349" s="62" t="n">
        <v>0</v>
      </c>
      <c r="T1349" s="62" t="n">
        <v>0</v>
      </c>
      <c r="U1349" s="62"/>
      <c r="V1349" s="62"/>
      <c r="W1349" s="62"/>
      <c r="X1349" s="62"/>
      <c r="Y1349" s="62"/>
      <c r="Z1349" s="62" t="s">
        <v>2577</v>
      </c>
      <c r="AA1349" s="62" t="s">
        <v>2578</v>
      </c>
      <c r="AB1349" s="62" t="n">
        <v>1</v>
      </c>
      <c r="AC1349" s="62" t="n">
        <v>1</v>
      </c>
      <c r="AD1349" s="62" t="n">
        <v>0</v>
      </c>
      <c r="AE1349" s="62" t="n">
        <f aca="false">IF(AND(Dashboard!$C$9="Yes",AC1349=1),0,1)</f>
        <v>0</v>
      </c>
      <c r="AF1349" s="62" t="n">
        <v>0</v>
      </c>
    </row>
    <row r="1350" customFormat="false" ht="15" hidden="false" customHeight="false" outlineLevel="0" collapsed="false">
      <c r="A1350" s="62" t="n">
        <v>1349</v>
      </c>
      <c r="B1350" s="63" t="n">
        <v>46268.0663657407</v>
      </c>
      <c r="C1350" s="64" t="n">
        <v>46267</v>
      </c>
      <c r="D1350" s="62" t="s">
        <v>143</v>
      </c>
      <c r="E1350" s="62" t="s">
        <v>2228</v>
      </c>
      <c r="F1350" s="62" t="s">
        <v>2228</v>
      </c>
      <c r="G1350" s="62" t="s">
        <v>2229</v>
      </c>
      <c r="H1350" s="62" t="s">
        <v>58</v>
      </c>
      <c r="I1350" s="62" t="s">
        <v>49</v>
      </c>
      <c r="J1350" s="62" t="s">
        <v>146</v>
      </c>
      <c r="K1350" s="62" t="s">
        <v>209</v>
      </c>
      <c r="L1350" s="62" t="s">
        <v>148</v>
      </c>
      <c r="M1350" s="62" t="n">
        <v>0</v>
      </c>
      <c r="N1350" s="62" t="n">
        <v>1</v>
      </c>
      <c r="O1350" s="62" t="n">
        <v>1</v>
      </c>
      <c r="P1350" s="62" t="n">
        <v>0</v>
      </c>
      <c r="Q1350" s="62" t="n">
        <v>1</v>
      </c>
      <c r="R1350" s="62" t="n">
        <v>0</v>
      </c>
      <c r="S1350" s="62" t="n">
        <v>0</v>
      </c>
      <c r="T1350" s="62" t="n">
        <v>0</v>
      </c>
      <c r="U1350" s="62"/>
      <c r="V1350" s="62"/>
      <c r="W1350" s="62"/>
      <c r="X1350" s="62"/>
      <c r="Y1350" s="62"/>
      <c r="Z1350" s="62" t="s">
        <v>2579</v>
      </c>
      <c r="AA1350" s="62" t="s">
        <v>2580</v>
      </c>
      <c r="AB1350" s="62" t="n">
        <v>1</v>
      </c>
      <c r="AC1350" s="62" t="n">
        <v>0</v>
      </c>
      <c r="AD1350" s="62" t="n">
        <v>1</v>
      </c>
      <c r="AE1350" s="62" t="n">
        <f aca="false">IF(AND(Dashboard!$C$9="Yes",AC1350=1),0,1)</f>
        <v>1</v>
      </c>
      <c r="AF1350" s="62" t="n">
        <v>0</v>
      </c>
    </row>
    <row r="1351" customFormat="false" ht="15" hidden="false" customHeight="false" outlineLevel="0" collapsed="false">
      <c r="A1351" s="62" t="n">
        <v>1350</v>
      </c>
      <c r="B1351" s="63" t="n">
        <v>46268.076087963</v>
      </c>
      <c r="C1351" s="64" t="n">
        <v>46267</v>
      </c>
      <c r="D1351" s="62" t="s">
        <v>143</v>
      </c>
      <c r="E1351" s="62" t="s">
        <v>865</v>
      </c>
      <c r="F1351" s="62" t="s">
        <v>865</v>
      </c>
      <c r="G1351" s="62" t="s">
        <v>866</v>
      </c>
      <c r="H1351" s="62" t="s">
        <v>46</v>
      </c>
      <c r="I1351" s="62" t="s">
        <v>47</v>
      </c>
      <c r="J1351" s="62" t="s">
        <v>146</v>
      </c>
      <c r="K1351" s="62" t="s">
        <v>209</v>
      </c>
      <c r="L1351" s="62" t="s">
        <v>148</v>
      </c>
      <c r="M1351" s="62" t="n">
        <v>0</v>
      </c>
      <c r="N1351" s="62" t="n">
        <v>1</v>
      </c>
      <c r="O1351" s="62" t="n">
        <v>1</v>
      </c>
      <c r="P1351" s="62" t="n">
        <v>1</v>
      </c>
      <c r="Q1351" s="62" t="n">
        <v>0</v>
      </c>
      <c r="R1351" s="62" t="n">
        <v>0</v>
      </c>
      <c r="S1351" s="62" t="n">
        <v>0</v>
      </c>
      <c r="T1351" s="62" t="n">
        <v>0</v>
      </c>
      <c r="U1351" s="62"/>
      <c r="V1351" s="62"/>
      <c r="W1351" s="62"/>
      <c r="X1351" s="62"/>
      <c r="Y1351" s="62"/>
      <c r="Z1351" s="62" t="s">
        <v>2581</v>
      </c>
      <c r="AA1351" s="62" t="s">
        <v>2582</v>
      </c>
      <c r="AB1351" s="62" t="n">
        <v>1</v>
      </c>
      <c r="AC1351" s="62" t="n">
        <v>0</v>
      </c>
      <c r="AD1351" s="62" t="n">
        <v>1</v>
      </c>
      <c r="AE1351" s="62" t="n">
        <f aca="false">IF(AND(Dashboard!$C$9="Yes",AC1351=1),0,1)</f>
        <v>1</v>
      </c>
      <c r="AF1351" s="62" t="n">
        <v>1</v>
      </c>
    </row>
    <row r="1352" customFormat="false" ht="15" hidden="false" customHeight="false" outlineLevel="0" collapsed="false">
      <c r="A1352" s="62" t="n">
        <v>1351</v>
      </c>
      <c r="B1352" s="63" t="n">
        <v>46268.1028587963</v>
      </c>
      <c r="C1352" s="64" t="n">
        <v>46267</v>
      </c>
      <c r="D1352" s="62" t="s">
        <v>143</v>
      </c>
      <c r="E1352" s="62" t="s">
        <v>2583</v>
      </c>
      <c r="F1352" s="62" t="s">
        <v>2583</v>
      </c>
      <c r="G1352" s="62" t="s">
        <v>2584</v>
      </c>
      <c r="H1352" s="62" t="s">
        <v>59</v>
      </c>
      <c r="I1352" s="62" t="s">
        <v>47</v>
      </c>
      <c r="J1352" s="62" t="s">
        <v>146</v>
      </c>
      <c r="K1352" s="62" t="s">
        <v>147</v>
      </c>
      <c r="L1352" s="62" t="s">
        <v>4</v>
      </c>
      <c r="M1352" s="62" t="n">
        <v>2</v>
      </c>
      <c r="N1352" s="62" t="n">
        <v>0</v>
      </c>
      <c r="O1352" s="62" t="n">
        <v>2</v>
      </c>
      <c r="P1352" s="62" t="n">
        <v>0</v>
      </c>
      <c r="Q1352" s="62" t="n">
        <v>0</v>
      </c>
      <c r="R1352" s="62" t="n">
        <v>0</v>
      </c>
      <c r="S1352" s="62" t="n">
        <v>0</v>
      </c>
      <c r="T1352" s="62" t="n">
        <v>0</v>
      </c>
      <c r="U1352" s="62" t="s">
        <v>15</v>
      </c>
      <c r="V1352" s="62" t="s">
        <v>2057</v>
      </c>
      <c r="W1352" s="62" t="s">
        <v>2056</v>
      </c>
      <c r="X1352" s="62" t="s">
        <v>2164</v>
      </c>
      <c r="Y1352" s="62" t="s">
        <v>2165</v>
      </c>
      <c r="Z1352" s="62" t="s">
        <v>2585</v>
      </c>
      <c r="AA1352" s="62" t="s">
        <v>2586</v>
      </c>
      <c r="AB1352" s="62" t="n">
        <v>1</v>
      </c>
      <c r="AC1352" s="62" t="n">
        <v>0</v>
      </c>
      <c r="AD1352" s="62" t="n">
        <v>1</v>
      </c>
      <c r="AE1352" s="62" t="n">
        <f aca="false">IF(AND(Dashboard!$C$9="Yes",AC1352=1),0,1)</f>
        <v>1</v>
      </c>
      <c r="AF1352" s="62" t="n">
        <v>1</v>
      </c>
    </row>
    <row r="1353" customFormat="false" ht="15" hidden="false" customHeight="false" outlineLevel="0" collapsed="false">
      <c r="A1353" s="62" t="n">
        <v>1352</v>
      </c>
      <c r="B1353" s="63" t="n">
        <v>46268.1042013889</v>
      </c>
      <c r="C1353" s="64" t="n">
        <v>46267</v>
      </c>
      <c r="D1353" s="62" t="s">
        <v>143</v>
      </c>
      <c r="E1353" s="62" t="s">
        <v>2228</v>
      </c>
      <c r="F1353" s="62" t="s">
        <v>2228</v>
      </c>
      <c r="G1353" s="62" t="s">
        <v>2229</v>
      </c>
      <c r="H1353" s="62" t="s">
        <v>58</v>
      </c>
      <c r="I1353" s="62" t="s">
        <v>49</v>
      </c>
      <c r="J1353" s="62" t="s">
        <v>146</v>
      </c>
      <c r="K1353" s="62" t="s">
        <v>209</v>
      </c>
      <c r="L1353" s="62" t="s">
        <v>148</v>
      </c>
      <c r="M1353" s="62" t="n">
        <v>0</v>
      </c>
      <c r="N1353" s="62" t="n">
        <v>1</v>
      </c>
      <c r="O1353" s="62" t="n">
        <v>1</v>
      </c>
      <c r="P1353" s="62" t="n">
        <v>0</v>
      </c>
      <c r="Q1353" s="62" t="n">
        <v>1</v>
      </c>
      <c r="R1353" s="62" t="n">
        <v>0</v>
      </c>
      <c r="S1353" s="62" t="n">
        <v>0</v>
      </c>
      <c r="T1353" s="62" t="n">
        <v>0</v>
      </c>
      <c r="U1353" s="62"/>
      <c r="V1353" s="62"/>
      <c r="W1353" s="62"/>
      <c r="X1353" s="62"/>
      <c r="Y1353" s="62"/>
      <c r="Z1353" s="62" t="s">
        <v>2587</v>
      </c>
      <c r="AA1353" s="62" t="s">
        <v>2588</v>
      </c>
      <c r="AB1353" s="62" t="n">
        <v>1</v>
      </c>
      <c r="AC1353" s="62" t="n">
        <v>0</v>
      </c>
      <c r="AD1353" s="62" t="n">
        <v>1</v>
      </c>
      <c r="AE1353" s="62" t="n">
        <f aca="false">IF(AND(Dashboard!$C$9="Yes",AC1353=1),0,1)</f>
        <v>1</v>
      </c>
      <c r="AF1353" s="62" t="n">
        <v>0</v>
      </c>
    </row>
    <row r="1354" customFormat="false" ht="15" hidden="false" customHeight="false" outlineLevel="0" collapsed="false">
      <c r="A1354" s="62" t="n">
        <v>1353</v>
      </c>
      <c r="B1354" s="63" t="n">
        <v>46268.1065625</v>
      </c>
      <c r="C1354" s="64" t="n">
        <v>46267</v>
      </c>
      <c r="D1354" s="62" t="s">
        <v>143</v>
      </c>
      <c r="E1354" s="62" t="s">
        <v>865</v>
      </c>
      <c r="F1354" s="62" t="s">
        <v>865</v>
      </c>
      <c r="G1354" s="62" t="s">
        <v>866</v>
      </c>
      <c r="H1354" s="62" t="s">
        <v>46</v>
      </c>
      <c r="I1354" s="62" t="s">
        <v>47</v>
      </c>
      <c r="J1354" s="62" t="s">
        <v>146</v>
      </c>
      <c r="K1354" s="62" t="s">
        <v>209</v>
      </c>
      <c r="L1354" s="62" t="s">
        <v>148</v>
      </c>
      <c r="M1354" s="62" t="n">
        <v>0</v>
      </c>
      <c r="N1354" s="62" t="n">
        <v>1</v>
      </c>
      <c r="O1354" s="62" t="n">
        <v>1</v>
      </c>
      <c r="P1354" s="62" t="n">
        <v>1</v>
      </c>
      <c r="Q1354" s="62" t="n">
        <v>0</v>
      </c>
      <c r="R1354" s="62" t="n">
        <v>0</v>
      </c>
      <c r="S1354" s="62" t="n">
        <v>0</v>
      </c>
      <c r="T1354" s="62" t="n">
        <v>0</v>
      </c>
      <c r="U1354" s="62"/>
      <c r="V1354" s="62"/>
      <c r="W1354" s="62"/>
      <c r="X1354" s="62"/>
      <c r="Y1354" s="62"/>
      <c r="Z1354" s="62" t="s">
        <v>2589</v>
      </c>
      <c r="AA1354" s="62" t="s">
        <v>2590</v>
      </c>
      <c r="AB1354" s="62" t="n">
        <v>1</v>
      </c>
      <c r="AC1354" s="62" t="n">
        <v>0</v>
      </c>
      <c r="AD1354" s="62" t="n">
        <v>1</v>
      </c>
      <c r="AE1354" s="62" t="n">
        <f aca="false">IF(AND(Dashboard!$C$9="Yes",AC1354=1),0,1)</f>
        <v>1</v>
      </c>
      <c r="AF1354" s="62" t="n">
        <v>0</v>
      </c>
    </row>
    <row r="1355" customFormat="false" ht="15" hidden="false" customHeight="false" outlineLevel="0" collapsed="false">
      <c r="A1355" s="62" t="n">
        <v>1354</v>
      </c>
      <c r="B1355" s="63" t="n">
        <v>46268.1144097222</v>
      </c>
      <c r="C1355" s="64" t="n">
        <v>46267</v>
      </c>
      <c r="D1355" s="62" t="s">
        <v>143</v>
      </c>
      <c r="E1355" s="62" t="s">
        <v>239</v>
      </c>
      <c r="F1355" s="62" t="s">
        <v>240</v>
      </c>
      <c r="G1355" s="62" t="s">
        <v>153</v>
      </c>
      <c r="H1355" s="62" t="s">
        <v>153</v>
      </c>
      <c r="I1355" s="62" t="s">
        <v>153</v>
      </c>
      <c r="J1355" s="62" t="s">
        <v>64</v>
      </c>
      <c r="K1355" s="62" t="s">
        <v>64</v>
      </c>
      <c r="L1355" s="62" t="s">
        <v>4</v>
      </c>
      <c r="M1355" s="62" t="n">
        <v>1</v>
      </c>
      <c r="N1355" s="62" t="n">
        <v>0</v>
      </c>
      <c r="O1355" s="62" t="n">
        <v>1</v>
      </c>
      <c r="P1355" s="62" t="n">
        <v>0</v>
      </c>
      <c r="Q1355" s="62" t="n">
        <v>0</v>
      </c>
      <c r="R1355" s="62" t="n">
        <v>0</v>
      </c>
      <c r="S1355" s="62" t="n">
        <v>0</v>
      </c>
      <c r="T1355" s="62" t="n">
        <v>0</v>
      </c>
      <c r="U1355" s="62" t="s">
        <v>2056</v>
      </c>
      <c r="V1355" s="62" t="s">
        <v>2068</v>
      </c>
      <c r="W1355" s="62"/>
      <c r="X1355" s="62" t="s">
        <v>2058</v>
      </c>
      <c r="Y1355" s="62" t="s">
        <v>2059</v>
      </c>
      <c r="Z1355" s="62" t="s">
        <v>2591</v>
      </c>
      <c r="AA1355" s="62" t="s">
        <v>2592</v>
      </c>
      <c r="AB1355" s="62" t="n">
        <v>1</v>
      </c>
      <c r="AC1355" s="62" t="n">
        <v>0</v>
      </c>
      <c r="AD1355" s="62" t="n">
        <v>0</v>
      </c>
      <c r="AE1355" s="62" t="n">
        <f aca="false">IF(AND(Dashboard!$C$9="Yes",AC1355=1),0,1)</f>
        <v>1</v>
      </c>
      <c r="AF1355" s="62" t="n">
        <v>0</v>
      </c>
    </row>
    <row r="1356" customFormat="false" ht="15" hidden="false" customHeight="false" outlineLevel="0" collapsed="false">
      <c r="A1356" s="62" t="n">
        <v>1355</v>
      </c>
      <c r="B1356" s="63" t="n">
        <v>46268.114849537</v>
      </c>
      <c r="C1356" s="64" t="n">
        <v>46267</v>
      </c>
      <c r="D1356" s="62" t="s">
        <v>143</v>
      </c>
      <c r="E1356" s="62" t="s">
        <v>239</v>
      </c>
      <c r="F1356" s="62" t="s">
        <v>240</v>
      </c>
      <c r="G1356" s="62" t="s">
        <v>153</v>
      </c>
      <c r="H1356" s="62" t="s">
        <v>153</v>
      </c>
      <c r="I1356" s="62" t="s">
        <v>153</v>
      </c>
      <c r="J1356" s="62" t="s">
        <v>64</v>
      </c>
      <c r="K1356" s="62" t="s">
        <v>64</v>
      </c>
      <c r="L1356" s="62" t="s">
        <v>4</v>
      </c>
      <c r="M1356" s="62" t="n">
        <v>1</v>
      </c>
      <c r="N1356" s="62" t="n">
        <v>0</v>
      </c>
      <c r="O1356" s="62" t="n">
        <v>1</v>
      </c>
      <c r="P1356" s="62" t="n">
        <v>0</v>
      </c>
      <c r="Q1356" s="62" t="n">
        <v>0</v>
      </c>
      <c r="R1356" s="62" t="n">
        <v>0</v>
      </c>
      <c r="S1356" s="62" t="n">
        <v>0</v>
      </c>
      <c r="T1356" s="62" t="n">
        <v>0</v>
      </c>
      <c r="U1356" s="62" t="s">
        <v>2056</v>
      </c>
      <c r="V1356" s="62" t="s">
        <v>2068</v>
      </c>
      <c r="W1356" s="62"/>
      <c r="X1356" s="62" t="s">
        <v>2058</v>
      </c>
      <c r="Y1356" s="62" t="s">
        <v>2059</v>
      </c>
      <c r="Z1356" s="62" t="s">
        <v>2591</v>
      </c>
      <c r="AA1356" s="62" t="s">
        <v>2592</v>
      </c>
      <c r="AB1356" s="62" t="n">
        <v>1</v>
      </c>
      <c r="AC1356" s="62" t="n">
        <v>1</v>
      </c>
      <c r="AD1356" s="62" t="n">
        <v>0</v>
      </c>
      <c r="AE1356" s="62" t="n">
        <f aca="false">IF(AND(Dashboard!$C$9="Yes",AC1356=1),0,1)</f>
        <v>0</v>
      </c>
      <c r="AF1356" s="62" t="n">
        <v>0</v>
      </c>
    </row>
    <row r="1357" customFormat="false" ht="15" hidden="false" customHeight="false" outlineLevel="0" collapsed="false">
      <c r="A1357" s="62" t="n">
        <v>1356</v>
      </c>
      <c r="B1357" s="63" t="n">
        <v>46268.1169212963</v>
      </c>
      <c r="C1357" s="64" t="n">
        <v>46267</v>
      </c>
      <c r="D1357" s="62" t="s">
        <v>143</v>
      </c>
      <c r="E1357" s="62" t="s">
        <v>1314</v>
      </c>
      <c r="F1357" s="62" t="s">
        <v>1314</v>
      </c>
      <c r="G1357" s="62" t="s">
        <v>1315</v>
      </c>
      <c r="H1357" s="62" t="s">
        <v>51</v>
      </c>
      <c r="I1357" s="62" t="s">
        <v>47</v>
      </c>
      <c r="J1357" s="62" t="s">
        <v>146</v>
      </c>
      <c r="K1357" s="62" t="s">
        <v>209</v>
      </c>
      <c r="L1357" s="62" t="s">
        <v>4</v>
      </c>
      <c r="M1357" s="62" t="n">
        <v>1</v>
      </c>
      <c r="N1357" s="62" t="n">
        <v>0</v>
      </c>
      <c r="O1357" s="62" t="n">
        <v>1</v>
      </c>
      <c r="P1357" s="62" t="n">
        <v>0</v>
      </c>
      <c r="Q1357" s="62" t="n">
        <v>0</v>
      </c>
      <c r="R1357" s="62" t="n">
        <v>0</v>
      </c>
      <c r="S1357" s="62" t="n">
        <v>0</v>
      </c>
      <c r="T1357" s="62" t="n">
        <v>0</v>
      </c>
      <c r="U1357" s="62" t="s">
        <v>2056</v>
      </c>
      <c r="V1357" s="62" t="s">
        <v>2057</v>
      </c>
      <c r="W1357" s="62" t="s">
        <v>15</v>
      </c>
      <c r="X1357" s="62" t="s">
        <v>2180</v>
      </c>
      <c r="Y1357" s="62" t="s">
        <v>2059</v>
      </c>
      <c r="Z1357" s="62" t="s">
        <v>2593</v>
      </c>
      <c r="AA1357" s="62" t="s">
        <v>2594</v>
      </c>
      <c r="AB1357" s="62" t="n">
        <v>1</v>
      </c>
      <c r="AC1357" s="62" t="n">
        <v>0</v>
      </c>
      <c r="AD1357" s="62" t="n">
        <v>1</v>
      </c>
      <c r="AE1357" s="62" t="n">
        <f aca="false">IF(AND(Dashboard!$C$9="Yes",AC1357=1),0,1)</f>
        <v>1</v>
      </c>
      <c r="AF1357" s="62" t="n">
        <v>0</v>
      </c>
    </row>
    <row r="1358" customFormat="false" ht="15" hidden="false" customHeight="false" outlineLevel="0" collapsed="false">
      <c r="A1358" s="62" t="n">
        <v>1357</v>
      </c>
      <c r="B1358" s="63" t="n">
        <v>46268.1212152778</v>
      </c>
      <c r="C1358" s="64" t="n">
        <v>46267</v>
      </c>
      <c r="D1358" s="62" t="s">
        <v>143</v>
      </c>
      <c r="E1358" s="62" t="s">
        <v>1314</v>
      </c>
      <c r="F1358" s="62" t="s">
        <v>1314</v>
      </c>
      <c r="G1358" s="62" t="s">
        <v>1315</v>
      </c>
      <c r="H1358" s="62" t="s">
        <v>51</v>
      </c>
      <c r="I1358" s="62" t="s">
        <v>47</v>
      </c>
      <c r="J1358" s="62" t="s">
        <v>146</v>
      </c>
      <c r="K1358" s="62" t="s">
        <v>209</v>
      </c>
      <c r="L1358" s="62" t="s">
        <v>4</v>
      </c>
      <c r="M1358" s="62" t="n">
        <v>1</v>
      </c>
      <c r="N1358" s="62" t="n">
        <v>0</v>
      </c>
      <c r="O1358" s="62" t="n">
        <v>1</v>
      </c>
      <c r="P1358" s="62" t="n">
        <v>0</v>
      </c>
      <c r="Q1358" s="62" t="n">
        <v>0</v>
      </c>
      <c r="R1358" s="62" t="n">
        <v>0</v>
      </c>
      <c r="S1358" s="62" t="n">
        <v>0</v>
      </c>
      <c r="T1358" s="62" t="n">
        <v>0</v>
      </c>
      <c r="U1358" s="62" t="s">
        <v>2056</v>
      </c>
      <c r="V1358" s="62" t="s">
        <v>2057</v>
      </c>
      <c r="W1358" s="62" t="s">
        <v>15</v>
      </c>
      <c r="X1358" s="62" t="s">
        <v>2180</v>
      </c>
      <c r="Y1358" s="62" t="s">
        <v>2059</v>
      </c>
      <c r="Z1358" s="62" t="s">
        <v>2593</v>
      </c>
      <c r="AA1358" s="62" t="s">
        <v>2594</v>
      </c>
      <c r="AB1358" s="62" t="n">
        <v>1</v>
      </c>
      <c r="AC1358" s="62" t="n">
        <v>1</v>
      </c>
      <c r="AD1358" s="62" t="n">
        <v>1</v>
      </c>
      <c r="AE1358" s="62" t="n">
        <f aca="false">IF(AND(Dashboard!$C$9="Yes",AC1358=1),0,1)</f>
        <v>0</v>
      </c>
      <c r="AF1358" s="62" t="n">
        <v>0</v>
      </c>
    </row>
    <row r="1359" customFormat="false" ht="15" hidden="false" customHeight="false" outlineLevel="0" collapsed="false">
      <c r="A1359" s="62" t="n">
        <v>1358</v>
      </c>
      <c r="B1359" s="63" t="n">
        <v>46268.1217361111</v>
      </c>
      <c r="C1359" s="64" t="n">
        <v>46267</v>
      </c>
      <c r="D1359" s="62" t="s">
        <v>143</v>
      </c>
      <c r="E1359" s="62" t="s">
        <v>1314</v>
      </c>
      <c r="F1359" s="62" t="s">
        <v>1314</v>
      </c>
      <c r="G1359" s="62" t="s">
        <v>1315</v>
      </c>
      <c r="H1359" s="62" t="s">
        <v>51</v>
      </c>
      <c r="I1359" s="62" t="s">
        <v>47</v>
      </c>
      <c r="J1359" s="62" t="s">
        <v>146</v>
      </c>
      <c r="K1359" s="62" t="s">
        <v>209</v>
      </c>
      <c r="L1359" s="62" t="s">
        <v>148</v>
      </c>
      <c r="M1359" s="62" t="n">
        <v>0</v>
      </c>
      <c r="N1359" s="62" t="n">
        <v>1</v>
      </c>
      <c r="O1359" s="62" t="n">
        <v>1</v>
      </c>
      <c r="P1359" s="62" t="n">
        <v>0</v>
      </c>
      <c r="Q1359" s="62" t="n">
        <v>0</v>
      </c>
      <c r="R1359" s="62" t="n">
        <v>0</v>
      </c>
      <c r="S1359" s="62" t="n">
        <v>1</v>
      </c>
      <c r="T1359" s="62" t="n">
        <v>0</v>
      </c>
      <c r="U1359" s="62"/>
      <c r="V1359" s="62"/>
      <c r="W1359" s="62"/>
      <c r="X1359" s="62"/>
      <c r="Y1359" s="62"/>
      <c r="Z1359" s="62" t="s">
        <v>2593</v>
      </c>
      <c r="AA1359" s="62" t="s">
        <v>2594</v>
      </c>
      <c r="AB1359" s="62" t="n">
        <v>1</v>
      </c>
      <c r="AC1359" s="62" t="n">
        <v>0</v>
      </c>
      <c r="AD1359" s="62" t="n">
        <v>1</v>
      </c>
      <c r="AE1359" s="62" t="n">
        <f aca="false">IF(AND(Dashboard!$C$9="Yes",AC1359=1),0,1)</f>
        <v>1</v>
      </c>
      <c r="AF1359" s="62" t="n">
        <v>0</v>
      </c>
    </row>
    <row r="1360" customFormat="false" ht="15" hidden="false" customHeight="false" outlineLevel="0" collapsed="false">
      <c r="A1360" s="62" t="n">
        <v>1359</v>
      </c>
      <c r="B1360" s="63" t="n">
        <v>46268.1224537037</v>
      </c>
      <c r="C1360" s="64" t="n">
        <v>46267</v>
      </c>
      <c r="D1360" s="62" t="s">
        <v>143</v>
      </c>
      <c r="E1360" s="62" t="s">
        <v>273</v>
      </c>
      <c r="F1360" s="62" t="s">
        <v>273</v>
      </c>
      <c r="G1360" s="62" t="s">
        <v>274</v>
      </c>
      <c r="H1360" s="62" t="s">
        <v>59</v>
      </c>
      <c r="I1360" s="62" t="s">
        <v>47</v>
      </c>
      <c r="J1360" s="62" t="s">
        <v>146</v>
      </c>
      <c r="K1360" s="62" t="s">
        <v>147</v>
      </c>
      <c r="L1360" s="62" t="s">
        <v>148</v>
      </c>
      <c r="M1360" s="62" t="n">
        <v>0</v>
      </c>
      <c r="N1360" s="62" t="n">
        <v>1</v>
      </c>
      <c r="O1360" s="62" t="n">
        <v>1</v>
      </c>
      <c r="P1360" s="62" t="n">
        <v>1</v>
      </c>
      <c r="Q1360" s="62" t="n">
        <v>0</v>
      </c>
      <c r="R1360" s="62" t="n">
        <v>0</v>
      </c>
      <c r="S1360" s="62" t="n">
        <v>0</v>
      </c>
      <c r="T1360" s="62" t="n">
        <v>0</v>
      </c>
      <c r="U1360" s="62"/>
      <c r="V1360" s="62"/>
      <c r="W1360" s="62"/>
      <c r="X1360" s="62"/>
      <c r="Y1360" s="62"/>
      <c r="Z1360" s="62" t="s">
        <v>2595</v>
      </c>
      <c r="AA1360" s="62" t="s">
        <v>2596</v>
      </c>
      <c r="AB1360" s="62" t="n">
        <v>1</v>
      </c>
      <c r="AC1360" s="62" t="n">
        <v>0</v>
      </c>
      <c r="AD1360" s="62" t="n">
        <v>1</v>
      </c>
      <c r="AE1360" s="62" t="n">
        <f aca="false">IF(AND(Dashboard!$C$9="Yes",AC1360=1),0,1)</f>
        <v>1</v>
      </c>
      <c r="AF1360" s="62" t="n">
        <v>1</v>
      </c>
    </row>
    <row r="1361" customFormat="false" ht="15" hidden="false" customHeight="false" outlineLevel="0" collapsed="false">
      <c r="A1361" s="62" t="n">
        <v>1360</v>
      </c>
      <c r="B1361" s="63" t="n">
        <v>46268.123125</v>
      </c>
      <c r="C1361" s="64" t="n">
        <v>46267</v>
      </c>
      <c r="D1361" s="62" t="s">
        <v>143</v>
      </c>
      <c r="E1361" s="62" t="s">
        <v>218</v>
      </c>
      <c r="F1361" s="62" t="s">
        <v>218</v>
      </c>
      <c r="G1361" s="62" t="s">
        <v>219</v>
      </c>
      <c r="H1361" s="62" t="s">
        <v>51</v>
      </c>
      <c r="I1361" s="62" t="s">
        <v>47</v>
      </c>
      <c r="J1361" s="62" t="s">
        <v>146</v>
      </c>
      <c r="K1361" s="62" t="s">
        <v>147</v>
      </c>
      <c r="L1361" s="62" t="s">
        <v>148</v>
      </c>
      <c r="M1361" s="62" t="n">
        <v>0</v>
      </c>
      <c r="N1361" s="62" t="n">
        <v>1</v>
      </c>
      <c r="O1361" s="62" t="n">
        <v>1</v>
      </c>
      <c r="P1361" s="62" t="n">
        <v>1</v>
      </c>
      <c r="Q1361" s="62" t="n">
        <v>0</v>
      </c>
      <c r="R1361" s="62" t="n">
        <v>0</v>
      </c>
      <c r="S1361" s="62" t="n">
        <v>0</v>
      </c>
      <c r="T1361" s="62" t="n">
        <v>0</v>
      </c>
      <c r="U1361" s="62"/>
      <c r="V1361" s="62"/>
      <c r="W1361" s="62"/>
      <c r="X1361" s="62"/>
      <c r="Y1361" s="62"/>
      <c r="Z1361" s="62" t="s">
        <v>2597</v>
      </c>
      <c r="AA1361" s="62" t="s">
        <v>2598</v>
      </c>
      <c r="AB1361" s="62" t="n">
        <v>1</v>
      </c>
      <c r="AC1361" s="62" t="n">
        <v>0</v>
      </c>
      <c r="AD1361" s="62" t="n">
        <v>1</v>
      </c>
      <c r="AE1361" s="62" t="n">
        <f aca="false">IF(AND(Dashboard!$C$9="Yes",AC1361=1),0,1)</f>
        <v>1</v>
      </c>
      <c r="AF1361" s="62" t="n">
        <v>0</v>
      </c>
    </row>
    <row r="1362" customFormat="false" ht="15" hidden="false" customHeight="false" outlineLevel="0" collapsed="false">
      <c r="A1362" s="62" t="n">
        <v>1361</v>
      </c>
      <c r="B1362" s="63" t="n">
        <v>46268.130474537</v>
      </c>
      <c r="C1362" s="64" t="n">
        <v>46267</v>
      </c>
      <c r="D1362" s="62" t="s">
        <v>143</v>
      </c>
      <c r="E1362" s="62" t="s">
        <v>2599</v>
      </c>
      <c r="F1362" s="62" t="s">
        <v>2050</v>
      </c>
      <c r="G1362" s="62" t="s">
        <v>2051</v>
      </c>
      <c r="H1362" s="62" t="s">
        <v>46</v>
      </c>
      <c r="I1362" s="62" t="s">
        <v>47</v>
      </c>
      <c r="J1362" s="62" t="s">
        <v>146</v>
      </c>
      <c r="K1362" s="62" t="s">
        <v>209</v>
      </c>
      <c r="L1362" s="62" t="s">
        <v>148</v>
      </c>
      <c r="M1362" s="62" t="n">
        <v>0</v>
      </c>
      <c r="N1362" s="62" t="n">
        <v>1</v>
      </c>
      <c r="O1362" s="62" t="n">
        <v>1</v>
      </c>
      <c r="P1362" s="62" t="n">
        <v>1</v>
      </c>
      <c r="Q1362" s="62" t="n">
        <v>0</v>
      </c>
      <c r="R1362" s="62" t="n">
        <v>0</v>
      </c>
      <c r="S1362" s="62" t="n">
        <v>0</v>
      </c>
      <c r="T1362" s="62" t="n">
        <v>0</v>
      </c>
      <c r="U1362" s="62"/>
      <c r="V1362" s="62"/>
      <c r="W1362" s="62"/>
      <c r="X1362" s="62"/>
      <c r="Y1362" s="62"/>
      <c r="Z1362" s="62" t="s">
        <v>2600</v>
      </c>
      <c r="AA1362" s="62" t="s">
        <v>2076</v>
      </c>
      <c r="AB1362" s="62" t="n">
        <v>0</v>
      </c>
      <c r="AC1362" s="62" t="n">
        <v>0</v>
      </c>
      <c r="AD1362" s="62" t="n">
        <v>1</v>
      </c>
      <c r="AE1362" s="62" t="n">
        <f aca="false">IF(AND(Dashboard!$C$9="Yes",AC1362=1),0,1)</f>
        <v>1</v>
      </c>
      <c r="AF1362" s="62" t="n">
        <v>1</v>
      </c>
    </row>
    <row r="1363" customFormat="false" ht="15" hidden="false" customHeight="false" outlineLevel="0" collapsed="false">
      <c r="A1363" s="62" t="n">
        <v>1362</v>
      </c>
      <c r="B1363" s="63" t="n">
        <v>46268.1425925926</v>
      </c>
      <c r="C1363" s="64" t="n">
        <v>46267</v>
      </c>
      <c r="D1363" s="62" t="s">
        <v>143</v>
      </c>
      <c r="E1363" s="62" t="s">
        <v>207</v>
      </c>
      <c r="F1363" s="62" t="s">
        <v>207</v>
      </c>
      <c r="G1363" s="62" t="s">
        <v>208</v>
      </c>
      <c r="H1363" s="62" t="s">
        <v>48</v>
      </c>
      <c r="I1363" s="62" t="s">
        <v>49</v>
      </c>
      <c r="J1363" s="62" t="s">
        <v>146</v>
      </c>
      <c r="K1363" s="62" t="s">
        <v>209</v>
      </c>
      <c r="L1363" s="62" t="s">
        <v>148</v>
      </c>
      <c r="M1363" s="62" t="n">
        <v>0</v>
      </c>
      <c r="N1363" s="62" t="n">
        <v>1</v>
      </c>
      <c r="O1363" s="62" t="n">
        <v>1</v>
      </c>
      <c r="P1363" s="62" t="n">
        <v>0</v>
      </c>
      <c r="Q1363" s="62" t="n">
        <v>0</v>
      </c>
      <c r="R1363" s="62" t="n">
        <v>1</v>
      </c>
      <c r="S1363" s="62" t="n">
        <v>0</v>
      </c>
      <c r="T1363" s="62" t="n">
        <v>0</v>
      </c>
      <c r="U1363" s="62"/>
      <c r="V1363" s="62"/>
      <c r="W1363" s="62"/>
      <c r="X1363" s="62"/>
      <c r="Y1363" s="62"/>
      <c r="Z1363" s="62" t="s">
        <v>2601</v>
      </c>
      <c r="AA1363" s="62" t="s">
        <v>2602</v>
      </c>
      <c r="AB1363" s="62" t="n">
        <v>1</v>
      </c>
      <c r="AC1363" s="62" t="n">
        <v>0</v>
      </c>
      <c r="AD1363" s="62" t="n">
        <v>1</v>
      </c>
      <c r="AE1363" s="62" t="n">
        <f aca="false">IF(AND(Dashboard!$C$9="Yes",AC1363=1),0,1)</f>
        <v>1</v>
      </c>
      <c r="AF1363" s="62" t="n">
        <v>0</v>
      </c>
    </row>
    <row r="1364" customFormat="false" ht="15" hidden="false" customHeight="false" outlineLevel="0" collapsed="false">
      <c r="A1364" s="62" t="n">
        <v>1363</v>
      </c>
      <c r="B1364" s="63" t="n">
        <v>46268.1728703704</v>
      </c>
      <c r="C1364" s="64" t="n">
        <v>46267</v>
      </c>
      <c r="D1364" s="62" t="s">
        <v>143</v>
      </c>
      <c r="E1364" s="62" t="s">
        <v>273</v>
      </c>
      <c r="F1364" s="62" t="s">
        <v>273</v>
      </c>
      <c r="G1364" s="62" t="s">
        <v>274</v>
      </c>
      <c r="H1364" s="62" t="s">
        <v>59</v>
      </c>
      <c r="I1364" s="62" t="s">
        <v>47</v>
      </c>
      <c r="J1364" s="62" t="s">
        <v>146</v>
      </c>
      <c r="K1364" s="62" t="s">
        <v>147</v>
      </c>
      <c r="L1364" s="62" t="s">
        <v>148</v>
      </c>
      <c r="M1364" s="62" t="n">
        <v>0</v>
      </c>
      <c r="N1364" s="62" t="n">
        <v>1</v>
      </c>
      <c r="O1364" s="62" t="n">
        <v>1</v>
      </c>
      <c r="P1364" s="62" t="n">
        <v>0</v>
      </c>
      <c r="Q1364" s="62" t="n">
        <v>0</v>
      </c>
      <c r="R1364" s="62" t="n">
        <v>1</v>
      </c>
      <c r="S1364" s="62" t="n">
        <v>0</v>
      </c>
      <c r="T1364" s="62" t="n">
        <v>0</v>
      </c>
      <c r="U1364" s="62"/>
      <c r="V1364" s="62"/>
      <c r="W1364" s="62"/>
      <c r="X1364" s="62"/>
      <c r="Y1364" s="62"/>
      <c r="Z1364" s="62" t="s">
        <v>2603</v>
      </c>
      <c r="AA1364" s="62" t="s">
        <v>2604</v>
      </c>
      <c r="AB1364" s="62" t="n">
        <v>1</v>
      </c>
      <c r="AC1364" s="62" t="n">
        <v>0</v>
      </c>
      <c r="AD1364" s="62" t="n">
        <v>1</v>
      </c>
      <c r="AE1364" s="62" t="n">
        <f aca="false">IF(AND(Dashboard!$C$9="Yes",AC1364=1),0,1)</f>
        <v>1</v>
      </c>
      <c r="AF1364" s="62" t="n">
        <v>0</v>
      </c>
    </row>
    <row r="1365" customFormat="false" ht="15" hidden="false" customHeight="false" outlineLevel="0" collapsed="false">
      <c r="A1365" s="62" t="n">
        <v>1364</v>
      </c>
      <c r="B1365" s="63" t="n">
        <v>46268.1779166667</v>
      </c>
      <c r="C1365" s="64" t="n">
        <v>46267</v>
      </c>
      <c r="D1365" s="62" t="s">
        <v>143</v>
      </c>
      <c r="E1365" s="62" t="s">
        <v>2050</v>
      </c>
      <c r="F1365" s="62" t="s">
        <v>2050</v>
      </c>
      <c r="G1365" s="62" t="s">
        <v>2051</v>
      </c>
      <c r="H1365" s="62" t="s">
        <v>46</v>
      </c>
      <c r="I1365" s="62" t="s">
        <v>47</v>
      </c>
      <c r="J1365" s="62" t="s">
        <v>146</v>
      </c>
      <c r="K1365" s="62" t="s">
        <v>209</v>
      </c>
      <c r="L1365" s="62" t="s">
        <v>148</v>
      </c>
      <c r="M1365" s="62" t="n">
        <v>0</v>
      </c>
      <c r="N1365" s="62" t="n">
        <v>1</v>
      </c>
      <c r="O1365" s="62" t="n">
        <v>1</v>
      </c>
      <c r="P1365" s="62" t="n">
        <v>1</v>
      </c>
      <c r="Q1365" s="62" t="n">
        <v>0</v>
      </c>
      <c r="R1365" s="62" t="n">
        <v>0</v>
      </c>
      <c r="S1365" s="62" t="n">
        <v>0</v>
      </c>
      <c r="T1365" s="62" t="n">
        <v>0</v>
      </c>
      <c r="U1365" s="62"/>
      <c r="V1365" s="62"/>
      <c r="W1365" s="62"/>
      <c r="X1365" s="62"/>
      <c r="Y1365" s="62"/>
      <c r="Z1365" s="62" t="s">
        <v>2605</v>
      </c>
      <c r="AA1365" s="62" t="s">
        <v>2076</v>
      </c>
      <c r="AB1365" s="62" t="n">
        <v>0</v>
      </c>
      <c r="AC1365" s="62" t="n">
        <v>0</v>
      </c>
      <c r="AD1365" s="62" t="n">
        <v>1</v>
      </c>
      <c r="AE1365" s="62" t="n">
        <f aca="false">IF(AND(Dashboard!$C$9="Yes",AC1365=1),0,1)</f>
        <v>1</v>
      </c>
      <c r="AF1365" s="62" t="n">
        <v>0</v>
      </c>
    </row>
    <row r="1366" customFormat="false" ht="15" hidden="false" customHeight="false" outlineLevel="0" collapsed="false">
      <c r="A1366" s="62" t="n">
        <v>1365</v>
      </c>
      <c r="B1366" s="63" t="n">
        <v>46268.2008564815</v>
      </c>
      <c r="C1366" s="64" t="n">
        <v>46267</v>
      </c>
      <c r="D1366" s="62" t="s">
        <v>143</v>
      </c>
      <c r="E1366" s="62" t="s">
        <v>1827</v>
      </c>
      <c r="F1366" s="62" t="s">
        <v>1827</v>
      </c>
      <c r="G1366" s="62" t="s">
        <v>1828</v>
      </c>
      <c r="H1366" s="62" t="s">
        <v>59</v>
      </c>
      <c r="I1366" s="62" t="s">
        <v>47</v>
      </c>
      <c r="J1366" s="62" t="s">
        <v>146</v>
      </c>
      <c r="K1366" s="62" t="s">
        <v>209</v>
      </c>
      <c r="L1366" s="62" t="s">
        <v>148</v>
      </c>
      <c r="M1366" s="62" t="n">
        <v>0</v>
      </c>
      <c r="N1366" s="62" t="n">
        <v>1</v>
      </c>
      <c r="O1366" s="62" t="n">
        <v>1</v>
      </c>
      <c r="P1366" s="62" t="n">
        <v>1</v>
      </c>
      <c r="Q1366" s="62" t="n">
        <v>0</v>
      </c>
      <c r="R1366" s="62" t="n">
        <v>0</v>
      </c>
      <c r="S1366" s="62" t="n">
        <v>0</v>
      </c>
      <c r="T1366" s="62" t="n">
        <v>0</v>
      </c>
      <c r="U1366" s="62"/>
      <c r="V1366" s="62"/>
      <c r="W1366" s="62"/>
      <c r="X1366" s="62"/>
      <c r="Y1366" s="62"/>
      <c r="Z1366" s="62" t="s">
        <v>2606</v>
      </c>
      <c r="AA1366" s="62" t="s">
        <v>2607</v>
      </c>
      <c r="AB1366" s="62" t="n">
        <v>1</v>
      </c>
      <c r="AC1366" s="62" t="n">
        <v>0</v>
      </c>
      <c r="AD1366" s="62" t="n">
        <v>1</v>
      </c>
      <c r="AE1366" s="62" t="n">
        <f aca="false">IF(AND(Dashboard!$C$9="Yes",AC1366=1),0,1)</f>
        <v>1</v>
      </c>
      <c r="AF1366" s="62" t="n">
        <v>1</v>
      </c>
    </row>
    <row r="1367" customFormat="false" ht="15" hidden="false" customHeight="false" outlineLevel="0" collapsed="false">
      <c r="A1367" s="62" t="n">
        <v>1366</v>
      </c>
      <c r="B1367" s="63" t="n">
        <v>46268.2122106482</v>
      </c>
      <c r="C1367" s="64" t="n">
        <v>46267</v>
      </c>
      <c r="D1367" s="62" t="s">
        <v>143</v>
      </c>
      <c r="E1367" s="62" t="s">
        <v>2385</v>
      </c>
      <c r="F1367" s="62" t="s">
        <v>2385</v>
      </c>
      <c r="G1367" s="62" t="s">
        <v>2386</v>
      </c>
      <c r="H1367" s="62" t="s">
        <v>59</v>
      </c>
      <c r="I1367" s="62" t="s">
        <v>47</v>
      </c>
      <c r="J1367" s="62" t="s">
        <v>146</v>
      </c>
      <c r="K1367" s="62" t="s">
        <v>209</v>
      </c>
      <c r="L1367" s="62" t="s">
        <v>148</v>
      </c>
      <c r="M1367" s="62" t="n">
        <v>0</v>
      </c>
      <c r="N1367" s="62" t="n">
        <v>1</v>
      </c>
      <c r="O1367" s="62" t="n">
        <v>1</v>
      </c>
      <c r="P1367" s="62" t="n">
        <v>1</v>
      </c>
      <c r="Q1367" s="62" t="n">
        <v>0</v>
      </c>
      <c r="R1367" s="62" t="n">
        <v>0</v>
      </c>
      <c r="S1367" s="62" t="n">
        <v>0</v>
      </c>
      <c r="T1367" s="62" t="n">
        <v>0</v>
      </c>
      <c r="U1367" s="62"/>
      <c r="V1367" s="62"/>
      <c r="W1367" s="62"/>
      <c r="X1367" s="62"/>
      <c r="Y1367" s="62"/>
      <c r="Z1367" s="62" t="s">
        <v>2608</v>
      </c>
      <c r="AA1367" s="62" t="s">
        <v>2609</v>
      </c>
      <c r="AB1367" s="62" t="n">
        <v>1</v>
      </c>
      <c r="AC1367" s="62" t="n">
        <v>0</v>
      </c>
      <c r="AD1367" s="62" t="n">
        <v>1</v>
      </c>
      <c r="AE1367" s="62" t="n">
        <f aca="false">IF(AND(Dashboard!$C$9="Yes",AC1367=1),0,1)</f>
        <v>1</v>
      </c>
      <c r="AF1367" s="62" t="n">
        <v>0</v>
      </c>
    </row>
    <row r="1368" customFormat="false" ht="15" hidden="false" customHeight="false" outlineLevel="0" collapsed="false">
      <c r="A1368" s="62" t="n">
        <v>1367</v>
      </c>
      <c r="B1368" s="63" t="n">
        <v>46268.2445717593</v>
      </c>
      <c r="C1368" s="64" t="n">
        <v>46267</v>
      </c>
      <c r="D1368" s="62" t="s">
        <v>143</v>
      </c>
      <c r="E1368" s="62" t="s">
        <v>2050</v>
      </c>
      <c r="F1368" s="62" t="s">
        <v>2050</v>
      </c>
      <c r="G1368" s="62" t="s">
        <v>2051</v>
      </c>
      <c r="H1368" s="62" t="s">
        <v>46</v>
      </c>
      <c r="I1368" s="62" t="s">
        <v>47</v>
      </c>
      <c r="J1368" s="62" t="s">
        <v>146</v>
      </c>
      <c r="K1368" s="62" t="s">
        <v>209</v>
      </c>
      <c r="L1368" s="62" t="s">
        <v>4</v>
      </c>
      <c r="M1368" s="62" t="n">
        <v>1</v>
      </c>
      <c r="N1368" s="62" t="n">
        <v>0</v>
      </c>
      <c r="O1368" s="62" t="n">
        <v>1</v>
      </c>
      <c r="P1368" s="62" t="n">
        <v>0</v>
      </c>
      <c r="Q1368" s="62" t="n">
        <v>0</v>
      </c>
      <c r="R1368" s="62" t="n">
        <v>0</v>
      </c>
      <c r="S1368" s="62" t="n">
        <v>0</v>
      </c>
      <c r="T1368" s="62" t="n">
        <v>0</v>
      </c>
      <c r="U1368" s="62" t="s">
        <v>2056</v>
      </c>
      <c r="V1368" s="62" t="s">
        <v>2057</v>
      </c>
      <c r="W1368" s="62" t="s">
        <v>2056</v>
      </c>
      <c r="X1368" s="62" t="s">
        <v>2164</v>
      </c>
      <c r="Y1368" s="62" t="s">
        <v>2165</v>
      </c>
      <c r="Z1368" s="62" t="s">
        <v>2610</v>
      </c>
      <c r="AA1368" s="62" t="s">
        <v>2611</v>
      </c>
      <c r="AB1368" s="62" t="n">
        <v>1</v>
      </c>
      <c r="AC1368" s="62" t="n">
        <v>0</v>
      </c>
      <c r="AD1368" s="62" t="n">
        <v>1</v>
      </c>
      <c r="AE1368" s="62" t="n">
        <f aca="false">IF(AND(Dashboard!$C$9="Yes",AC1368=1),0,1)</f>
        <v>1</v>
      </c>
      <c r="AF1368" s="62" t="n">
        <v>0</v>
      </c>
    </row>
    <row r="1369" customFormat="false" ht="15" hidden="false" customHeight="false" outlineLevel="0" collapsed="false">
      <c r="A1369" s="62" t="n">
        <v>1368</v>
      </c>
      <c r="B1369" s="63" t="n">
        <v>46268.2574652778</v>
      </c>
      <c r="C1369" s="64" t="n">
        <v>46267</v>
      </c>
      <c r="D1369" s="62" t="s">
        <v>143</v>
      </c>
      <c r="E1369" s="62" t="s">
        <v>273</v>
      </c>
      <c r="F1369" s="62" t="s">
        <v>273</v>
      </c>
      <c r="G1369" s="62" t="s">
        <v>274</v>
      </c>
      <c r="H1369" s="62" t="s">
        <v>59</v>
      </c>
      <c r="I1369" s="62" t="s">
        <v>47</v>
      </c>
      <c r="J1369" s="62" t="s">
        <v>146</v>
      </c>
      <c r="K1369" s="62" t="s">
        <v>147</v>
      </c>
      <c r="L1369" s="62" t="s">
        <v>148</v>
      </c>
      <c r="M1369" s="62" t="n">
        <v>0</v>
      </c>
      <c r="N1369" s="62" t="n">
        <v>1</v>
      </c>
      <c r="O1369" s="62" t="n">
        <v>1</v>
      </c>
      <c r="P1369" s="62" t="n">
        <v>0</v>
      </c>
      <c r="Q1369" s="62" t="n">
        <v>1</v>
      </c>
      <c r="R1369" s="62" t="n">
        <v>0</v>
      </c>
      <c r="S1369" s="62" t="n">
        <v>0</v>
      </c>
      <c r="T1369" s="62" t="n">
        <v>0</v>
      </c>
      <c r="U1369" s="62"/>
      <c r="V1369" s="62"/>
      <c r="W1369" s="62"/>
      <c r="X1369" s="62"/>
      <c r="Y1369" s="62"/>
      <c r="Z1369" s="62" t="s">
        <v>2612</v>
      </c>
      <c r="AA1369" s="62" t="s">
        <v>2613</v>
      </c>
      <c r="AB1369" s="62" t="n">
        <v>1</v>
      </c>
      <c r="AC1369" s="62" t="n">
        <v>0</v>
      </c>
      <c r="AD1369" s="62" t="n">
        <v>1</v>
      </c>
      <c r="AE1369" s="62" t="n">
        <f aca="false">IF(AND(Dashboard!$C$9="Yes",AC1369=1),0,1)</f>
        <v>1</v>
      </c>
      <c r="AF1369" s="62" t="n">
        <v>0</v>
      </c>
    </row>
    <row r="1370" customFormat="false" ht="15" hidden="false" customHeight="false" outlineLevel="0" collapsed="false">
      <c r="A1370" s="62" t="n">
        <v>1369</v>
      </c>
      <c r="B1370" s="63" t="n">
        <v>46268.7430208333</v>
      </c>
      <c r="C1370" s="64" t="n">
        <v>46268</v>
      </c>
      <c r="D1370" s="62" t="s">
        <v>202</v>
      </c>
      <c r="E1370" s="62" t="s">
        <v>1005</v>
      </c>
      <c r="F1370" s="62" t="s">
        <v>1005</v>
      </c>
      <c r="G1370" s="62" t="s">
        <v>1006</v>
      </c>
      <c r="H1370" s="62" t="s">
        <v>46</v>
      </c>
      <c r="I1370" s="62" t="s">
        <v>47</v>
      </c>
      <c r="J1370" s="62" t="s">
        <v>146</v>
      </c>
      <c r="K1370" s="62" t="s">
        <v>209</v>
      </c>
      <c r="L1370" s="62" t="s">
        <v>4</v>
      </c>
      <c r="M1370" s="62" t="n">
        <v>1</v>
      </c>
      <c r="N1370" s="62" t="n">
        <v>0</v>
      </c>
      <c r="O1370" s="62" t="n">
        <v>1</v>
      </c>
      <c r="P1370" s="62" t="n">
        <v>0</v>
      </c>
      <c r="Q1370" s="62" t="n">
        <v>0</v>
      </c>
      <c r="R1370" s="62" t="n">
        <v>0</v>
      </c>
      <c r="S1370" s="62" t="n">
        <v>0</v>
      </c>
      <c r="T1370" s="62" t="n">
        <v>0</v>
      </c>
      <c r="U1370" s="62" t="s">
        <v>2056</v>
      </c>
      <c r="V1370" s="62" t="s">
        <v>2057</v>
      </c>
      <c r="W1370" s="62" t="s">
        <v>15</v>
      </c>
      <c r="X1370" s="62" t="s">
        <v>2180</v>
      </c>
      <c r="Y1370" s="62" t="s">
        <v>2059</v>
      </c>
      <c r="Z1370" s="62" t="s">
        <v>2614</v>
      </c>
      <c r="AA1370" s="62" t="s">
        <v>2615</v>
      </c>
      <c r="AB1370" s="62" t="n">
        <v>1</v>
      </c>
      <c r="AC1370" s="62" t="n">
        <v>0</v>
      </c>
      <c r="AD1370" s="62" t="n">
        <v>1</v>
      </c>
      <c r="AE1370" s="62" t="n">
        <f aca="false">IF(AND(Dashboard!$C$9="Yes",AC1370=1),0,1)</f>
        <v>1</v>
      </c>
      <c r="AF1370" s="62" t="n">
        <v>1</v>
      </c>
    </row>
    <row r="1371" customFormat="false" ht="15" hidden="false" customHeight="false" outlineLevel="0" collapsed="false">
      <c r="A1371" s="62" t="n">
        <v>1370</v>
      </c>
      <c r="B1371" s="63" t="n">
        <v>46268.7515046296</v>
      </c>
      <c r="C1371" s="64" t="n">
        <v>46268</v>
      </c>
      <c r="D1371" s="62" t="s">
        <v>202</v>
      </c>
      <c r="E1371" s="62" t="s">
        <v>2530</v>
      </c>
      <c r="F1371" s="62" t="s">
        <v>2530</v>
      </c>
      <c r="G1371" s="62" t="s">
        <v>2531</v>
      </c>
      <c r="H1371" s="62" t="s">
        <v>48</v>
      </c>
      <c r="I1371" s="62" t="s">
        <v>49</v>
      </c>
      <c r="J1371" s="62" t="s">
        <v>146</v>
      </c>
      <c r="K1371" s="62" t="s">
        <v>209</v>
      </c>
      <c r="L1371" s="62" t="s">
        <v>4</v>
      </c>
      <c r="M1371" s="62" t="n">
        <v>1</v>
      </c>
      <c r="N1371" s="62" t="n">
        <v>0</v>
      </c>
      <c r="O1371" s="62" t="n">
        <v>1</v>
      </c>
      <c r="P1371" s="62" t="n">
        <v>0</v>
      </c>
      <c r="Q1371" s="62" t="n">
        <v>0</v>
      </c>
      <c r="R1371" s="62" t="n">
        <v>0</v>
      </c>
      <c r="S1371" s="62" t="n">
        <v>0</v>
      </c>
      <c r="T1371" s="62" t="n">
        <v>0</v>
      </c>
      <c r="U1371" s="62" t="s">
        <v>2056</v>
      </c>
      <c r="V1371" s="62" t="s">
        <v>2057</v>
      </c>
      <c r="W1371" s="62" t="s">
        <v>2056</v>
      </c>
      <c r="X1371" s="62" t="s">
        <v>2058</v>
      </c>
      <c r="Y1371" s="62" t="s">
        <v>2165</v>
      </c>
      <c r="Z1371" s="62" t="s">
        <v>2616</v>
      </c>
      <c r="AA1371" s="62" t="s">
        <v>2617</v>
      </c>
      <c r="AB1371" s="62" t="n">
        <v>1</v>
      </c>
      <c r="AC1371" s="62" t="n">
        <v>0</v>
      </c>
      <c r="AD1371" s="62" t="n">
        <v>1</v>
      </c>
      <c r="AE1371" s="62" t="n">
        <f aca="false">IF(AND(Dashboard!$C$9="Yes",AC1371=1),0,1)</f>
        <v>1</v>
      </c>
      <c r="AF1371" s="62" t="n">
        <v>1</v>
      </c>
    </row>
    <row r="1372" customFormat="false" ht="15" hidden="false" customHeight="false" outlineLevel="0" collapsed="false">
      <c r="A1372" s="62" t="n">
        <v>1371</v>
      </c>
      <c r="B1372" s="63" t="n">
        <v>46268.7530324074</v>
      </c>
      <c r="C1372" s="64" t="n">
        <v>46268</v>
      </c>
      <c r="D1372" s="62" t="s">
        <v>202</v>
      </c>
      <c r="E1372" s="62" t="s">
        <v>2530</v>
      </c>
      <c r="F1372" s="62" t="s">
        <v>2530</v>
      </c>
      <c r="G1372" s="62" t="s">
        <v>2531</v>
      </c>
      <c r="H1372" s="62" t="s">
        <v>48</v>
      </c>
      <c r="I1372" s="62" t="s">
        <v>49</v>
      </c>
      <c r="J1372" s="62" t="s">
        <v>146</v>
      </c>
      <c r="K1372" s="62" t="s">
        <v>209</v>
      </c>
      <c r="L1372" s="62" t="s">
        <v>4</v>
      </c>
      <c r="M1372" s="62" t="n">
        <v>1</v>
      </c>
      <c r="N1372" s="62" t="n">
        <v>0</v>
      </c>
      <c r="O1372" s="62" t="n">
        <v>1</v>
      </c>
      <c r="P1372" s="62" t="n">
        <v>0</v>
      </c>
      <c r="Q1372" s="62" t="n">
        <v>0</v>
      </c>
      <c r="R1372" s="62" t="n">
        <v>0</v>
      </c>
      <c r="S1372" s="62" t="n">
        <v>0</v>
      </c>
      <c r="T1372" s="62" t="n">
        <v>0</v>
      </c>
      <c r="U1372" s="62" t="s">
        <v>2056</v>
      </c>
      <c r="V1372" s="62" t="s">
        <v>2057</v>
      </c>
      <c r="W1372" s="62" t="s">
        <v>15</v>
      </c>
      <c r="X1372" s="62" t="s">
        <v>2058</v>
      </c>
      <c r="Y1372" s="62" t="s">
        <v>2059</v>
      </c>
      <c r="Z1372" s="62" t="s">
        <v>2616</v>
      </c>
      <c r="AA1372" s="62" t="s">
        <v>2618</v>
      </c>
      <c r="AB1372" s="62" t="n">
        <v>1</v>
      </c>
      <c r="AC1372" s="62" t="n">
        <v>0</v>
      </c>
      <c r="AD1372" s="62" t="n">
        <v>1</v>
      </c>
      <c r="AE1372" s="62" t="n">
        <f aca="false">IF(AND(Dashboard!$C$9="Yes",AC1372=1),0,1)</f>
        <v>1</v>
      </c>
      <c r="AF1372" s="62" t="n">
        <v>0</v>
      </c>
    </row>
    <row r="1373" customFormat="false" ht="15" hidden="false" customHeight="false" outlineLevel="0" collapsed="false">
      <c r="A1373" s="62" t="n">
        <v>1372</v>
      </c>
      <c r="B1373" s="63" t="n">
        <v>46268.7537268519</v>
      </c>
      <c r="C1373" s="64" t="n">
        <v>46268</v>
      </c>
      <c r="D1373" s="62" t="s">
        <v>202</v>
      </c>
      <c r="E1373" s="62" t="s">
        <v>1005</v>
      </c>
      <c r="F1373" s="62" t="s">
        <v>1005</v>
      </c>
      <c r="G1373" s="62" t="s">
        <v>1006</v>
      </c>
      <c r="H1373" s="62" t="s">
        <v>46</v>
      </c>
      <c r="I1373" s="62" t="s">
        <v>47</v>
      </c>
      <c r="J1373" s="62" t="s">
        <v>146</v>
      </c>
      <c r="K1373" s="62" t="s">
        <v>209</v>
      </c>
      <c r="L1373" s="62" t="s">
        <v>148</v>
      </c>
      <c r="M1373" s="62" t="n">
        <v>0</v>
      </c>
      <c r="N1373" s="62" t="n">
        <v>1</v>
      </c>
      <c r="O1373" s="62" t="n">
        <v>1</v>
      </c>
      <c r="P1373" s="62" t="n">
        <v>0</v>
      </c>
      <c r="Q1373" s="62" t="n">
        <v>1</v>
      </c>
      <c r="R1373" s="62" t="n">
        <v>0</v>
      </c>
      <c r="S1373" s="62" t="n">
        <v>0</v>
      </c>
      <c r="T1373" s="62" t="n">
        <v>0</v>
      </c>
      <c r="U1373" s="62"/>
      <c r="V1373" s="62"/>
      <c r="W1373" s="62"/>
      <c r="X1373" s="62"/>
      <c r="Y1373" s="62"/>
      <c r="Z1373" s="62" t="s">
        <v>2619</v>
      </c>
      <c r="AA1373" s="62" t="s">
        <v>485</v>
      </c>
      <c r="AB1373" s="62" t="n">
        <v>0</v>
      </c>
      <c r="AC1373" s="62" t="n">
        <v>0</v>
      </c>
      <c r="AD1373" s="62" t="n">
        <v>1</v>
      </c>
      <c r="AE1373" s="62" t="n">
        <f aca="false">IF(AND(Dashboard!$C$9="Yes",AC1373=1),0,1)</f>
        <v>1</v>
      </c>
      <c r="AF1373" s="62" t="n">
        <v>0</v>
      </c>
    </row>
    <row r="1374" customFormat="false" ht="15" hidden="false" customHeight="false" outlineLevel="0" collapsed="false">
      <c r="A1374" s="62" t="n">
        <v>1373</v>
      </c>
      <c r="B1374" s="63" t="n">
        <v>46268.762037037</v>
      </c>
      <c r="C1374" s="64" t="n">
        <v>46268</v>
      </c>
      <c r="D1374" s="62" t="s">
        <v>202</v>
      </c>
      <c r="E1374" s="62" t="s">
        <v>2620</v>
      </c>
      <c r="F1374" s="62" t="s">
        <v>2620</v>
      </c>
      <c r="G1374" s="62" t="s">
        <v>2621</v>
      </c>
      <c r="H1374" s="62" t="s">
        <v>48</v>
      </c>
      <c r="I1374" s="62" t="s">
        <v>49</v>
      </c>
      <c r="J1374" s="62" t="s">
        <v>146</v>
      </c>
      <c r="K1374" s="62" t="s">
        <v>209</v>
      </c>
      <c r="L1374" s="62" t="s">
        <v>4</v>
      </c>
      <c r="M1374" s="62" t="n">
        <v>1</v>
      </c>
      <c r="N1374" s="62" t="n">
        <v>0</v>
      </c>
      <c r="O1374" s="62" t="n">
        <v>1</v>
      </c>
      <c r="P1374" s="62" t="n">
        <v>0</v>
      </c>
      <c r="Q1374" s="62" t="n">
        <v>0</v>
      </c>
      <c r="R1374" s="62" t="n">
        <v>0</v>
      </c>
      <c r="S1374" s="62" t="n">
        <v>0</v>
      </c>
      <c r="T1374" s="62" t="n">
        <v>0</v>
      </c>
      <c r="U1374" s="62" t="s">
        <v>2056</v>
      </c>
      <c r="V1374" s="62" t="s">
        <v>2057</v>
      </c>
      <c r="W1374" s="62" t="s">
        <v>15</v>
      </c>
      <c r="X1374" s="62" t="s">
        <v>2058</v>
      </c>
      <c r="Y1374" s="62" t="s">
        <v>2059</v>
      </c>
      <c r="Z1374" s="62" t="s">
        <v>2622</v>
      </c>
      <c r="AA1374" s="62" t="s">
        <v>2623</v>
      </c>
      <c r="AB1374" s="62" t="n">
        <v>1</v>
      </c>
      <c r="AC1374" s="62" t="n">
        <v>0</v>
      </c>
      <c r="AD1374" s="62" t="n">
        <v>1</v>
      </c>
      <c r="AE1374" s="62" t="n">
        <f aca="false">IF(AND(Dashboard!$C$9="Yes",AC1374=1),0,1)</f>
        <v>1</v>
      </c>
      <c r="AF1374" s="62" t="n">
        <v>1</v>
      </c>
    </row>
    <row r="1375" customFormat="false" ht="15" hidden="false" customHeight="false" outlineLevel="0" collapsed="false">
      <c r="A1375" s="62" t="n">
        <v>1374</v>
      </c>
      <c r="B1375" s="63" t="n">
        <v>46268.7678935185</v>
      </c>
      <c r="C1375" s="64" t="n">
        <v>46268</v>
      </c>
      <c r="D1375" s="62" t="s">
        <v>202</v>
      </c>
      <c r="E1375" s="62" t="s">
        <v>1005</v>
      </c>
      <c r="F1375" s="62" t="s">
        <v>1005</v>
      </c>
      <c r="G1375" s="62" t="s">
        <v>1006</v>
      </c>
      <c r="H1375" s="62" t="s">
        <v>46</v>
      </c>
      <c r="I1375" s="62" t="s">
        <v>47</v>
      </c>
      <c r="J1375" s="62" t="s">
        <v>146</v>
      </c>
      <c r="K1375" s="62" t="s">
        <v>209</v>
      </c>
      <c r="L1375" s="62" t="s">
        <v>148</v>
      </c>
      <c r="M1375" s="62" t="n">
        <v>0</v>
      </c>
      <c r="N1375" s="62" t="n">
        <v>1</v>
      </c>
      <c r="O1375" s="62" t="n">
        <v>1</v>
      </c>
      <c r="P1375" s="62" t="n">
        <v>0</v>
      </c>
      <c r="Q1375" s="62" t="n">
        <v>1</v>
      </c>
      <c r="R1375" s="62" t="n">
        <v>0</v>
      </c>
      <c r="S1375" s="62" t="n">
        <v>0</v>
      </c>
      <c r="T1375" s="62" t="n">
        <v>0</v>
      </c>
      <c r="U1375" s="62"/>
      <c r="V1375" s="62"/>
      <c r="W1375" s="62"/>
      <c r="X1375" s="62"/>
      <c r="Y1375" s="62"/>
      <c r="Z1375" s="62" t="s">
        <v>2624</v>
      </c>
      <c r="AA1375" s="62" t="s">
        <v>485</v>
      </c>
      <c r="AB1375" s="62" t="n">
        <v>0</v>
      </c>
      <c r="AC1375" s="62" t="n">
        <v>0</v>
      </c>
      <c r="AD1375" s="62" t="n">
        <v>1</v>
      </c>
      <c r="AE1375" s="62" t="n">
        <f aca="false">IF(AND(Dashboard!$C$9="Yes",AC1375=1),0,1)</f>
        <v>1</v>
      </c>
      <c r="AF1375" s="62" t="n">
        <v>0</v>
      </c>
    </row>
    <row r="1376" customFormat="false" ht="15" hidden="false" customHeight="false" outlineLevel="0" collapsed="false">
      <c r="A1376" s="62" t="n">
        <v>1375</v>
      </c>
      <c r="B1376" s="63" t="n">
        <v>46268.7807407407</v>
      </c>
      <c r="C1376" s="64" t="n">
        <v>46268</v>
      </c>
      <c r="D1376" s="62" t="s">
        <v>202</v>
      </c>
      <c r="E1376" s="62" t="s">
        <v>1005</v>
      </c>
      <c r="F1376" s="62" t="s">
        <v>1005</v>
      </c>
      <c r="G1376" s="62" t="s">
        <v>1006</v>
      </c>
      <c r="H1376" s="62" t="s">
        <v>46</v>
      </c>
      <c r="I1376" s="62" t="s">
        <v>47</v>
      </c>
      <c r="J1376" s="62" t="s">
        <v>146</v>
      </c>
      <c r="K1376" s="62" t="s">
        <v>209</v>
      </c>
      <c r="L1376" s="62" t="s">
        <v>148</v>
      </c>
      <c r="M1376" s="62" t="n">
        <v>0</v>
      </c>
      <c r="N1376" s="62" t="n">
        <v>1</v>
      </c>
      <c r="O1376" s="62" t="n">
        <v>1</v>
      </c>
      <c r="P1376" s="62" t="n">
        <v>0</v>
      </c>
      <c r="Q1376" s="62" t="n">
        <v>1</v>
      </c>
      <c r="R1376" s="62" t="n">
        <v>0</v>
      </c>
      <c r="S1376" s="62" t="n">
        <v>0</v>
      </c>
      <c r="T1376" s="62" t="n">
        <v>0</v>
      </c>
      <c r="U1376" s="62"/>
      <c r="V1376" s="62"/>
      <c r="W1376" s="62"/>
      <c r="X1376" s="62"/>
      <c r="Y1376" s="62"/>
      <c r="Z1376" s="62" t="s">
        <v>2625</v>
      </c>
      <c r="AA1376" s="62" t="s">
        <v>485</v>
      </c>
      <c r="AB1376" s="62" t="n">
        <v>0</v>
      </c>
      <c r="AC1376" s="62" t="n">
        <v>0</v>
      </c>
      <c r="AD1376" s="62" t="n">
        <v>1</v>
      </c>
      <c r="AE1376" s="62" t="n">
        <f aca="false">IF(AND(Dashboard!$C$9="Yes",AC1376=1),0,1)</f>
        <v>1</v>
      </c>
      <c r="AF1376" s="62" t="n">
        <v>0</v>
      </c>
    </row>
    <row r="1377" customFormat="false" ht="15" hidden="false" customHeight="false" outlineLevel="0" collapsed="false">
      <c r="A1377" s="62" t="n">
        <v>1376</v>
      </c>
      <c r="B1377" s="63" t="n">
        <v>46268.8049884259</v>
      </c>
      <c r="C1377" s="64" t="n">
        <v>46268</v>
      </c>
      <c r="D1377" s="62" t="s">
        <v>202</v>
      </c>
      <c r="E1377" s="62" t="s">
        <v>255</v>
      </c>
      <c r="F1377" s="62" t="s">
        <v>255</v>
      </c>
      <c r="G1377" s="62" t="s">
        <v>256</v>
      </c>
      <c r="H1377" s="62" t="s">
        <v>57</v>
      </c>
      <c r="I1377" s="62" t="s">
        <v>47</v>
      </c>
      <c r="J1377" s="62" t="s">
        <v>146</v>
      </c>
      <c r="K1377" s="62" t="s">
        <v>147</v>
      </c>
      <c r="L1377" s="62" t="s">
        <v>4</v>
      </c>
      <c r="M1377" s="62" t="n">
        <v>1</v>
      </c>
      <c r="N1377" s="62" t="n">
        <v>0</v>
      </c>
      <c r="O1377" s="62" t="n">
        <v>1</v>
      </c>
      <c r="P1377" s="62" t="n">
        <v>0</v>
      </c>
      <c r="Q1377" s="62" t="n">
        <v>0</v>
      </c>
      <c r="R1377" s="62" t="n">
        <v>0</v>
      </c>
      <c r="S1377" s="62" t="n">
        <v>0</v>
      </c>
      <c r="T1377" s="62" t="n">
        <v>0</v>
      </c>
      <c r="U1377" s="62" t="s">
        <v>2056</v>
      </c>
      <c r="V1377" s="62" t="s">
        <v>2057</v>
      </c>
      <c r="W1377" s="62" t="s">
        <v>15</v>
      </c>
      <c r="X1377" s="62" t="s">
        <v>2058</v>
      </c>
      <c r="Y1377" s="62" t="s">
        <v>2059</v>
      </c>
      <c r="Z1377" s="62" t="s">
        <v>2626</v>
      </c>
      <c r="AA1377" s="62" t="s">
        <v>2627</v>
      </c>
      <c r="AB1377" s="62" t="n">
        <v>1</v>
      </c>
      <c r="AC1377" s="62" t="n">
        <v>0</v>
      </c>
      <c r="AD1377" s="62" t="n">
        <v>1</v>
      </c>
      <c r="AE1377" s="62" t="n">
        <f aca="false">IF(AND(Dashboard!$C$9="Yes",AC1377=1),0,1)</f>
        <v>1</v>
      </c>
      <c r="AF1377" s="62" t="n">
        <v>1</v>
      </c>
    </row>
    <row r="1378" customFormat="false" ht="15" hidden="false" customHeight="false" outlineLevel="0" collapsed="false">
      <c r="A1378" s="62" t="n">
        <v>1377</v>
      </c>
      <c r="B1378" s="63" t="n">
        <v>46268.8340856481</v>
      </c>
      <c r="C1378" s="64" t="n">
        <v>46268</v>
      </c>
      <c r="D1378" s="62" t="s">
        <v>202</v>
      </c>
      <c r="E1378" s="62" t="s">
        <v>414</v>
      </c>
      <c r="F1378" s="62" t="s">
        <v>414</v>
      </c>
      <c r="G1378" s="62" t="s">
        <v>415</v>
      </c>
      <c r="H1378" s="62" t="s">
        <v>57</v>
      </c>
      <c r="I1378" s="62" t="s">
        <v>47</v>
      </c>
      <c r="J1378" s="62" t="s">
        <v>146</v>
      </c>
      <c r="K1378" s="62" t="s">
        <v>147</v>
      </c>
      <c r="L1378" s="62" t="s">
        <v>148</v>
      </c>
      <c r="M1378" s="62" t="n">
        <v>0</v>
      </c>
      <c r="N1378" s="62" t="n">
        <v>1</v>
      </c>
      <c r="O1378" s="62" t="n">
        <v>1</v>
      </c>
      <c r="P1378" s="62" t="n">
        <v>1</v>
      </c>
      <c r="Q1378" s="62" t="n">
        <v>0</v>
      </c>
      <c r="R1378" s="62" t="n">
        <v>0</v>
      </c>
      <c r="S1378" s="62" t="n">
        <v>0</v>
      </c>
      <c r="T1378" s="62" t="n">
        <v>0</v>
      </c>
      <c r="U1378" s="62"/>
      <c r="V1378" s="62"/>
      <c r="W1378" s="62"/>
      <c r="X1378" s="62"/>
      <c r="Y1378" s="62"/>
      <c r="Z1378" s="62" t="s">
        <v>2628</v>
      </c>
      <c r="AA1378" s="62" t="s">
        <v>2629</v>
      </c>
      <c r="AB1378" s="62" t="n">
        <v>1</v>
      </c>
      <c r="AC1378" s="62" t="n">
        <v>0</v>
      </c>
      <c r="AD1378" s="62" t="n">
        <v>1</v>
      </c>
      <c r="AE1378" s="62" t="n">
        <f aca="false">IF(AND(Dashboard!$C$9="Yes",AC1378=1),0,1)</f>
        <v>1</v>
      </c>
      <c r="AF1378" s="62" t="n">
        <v>1</v>
      </c>
    </row>
    <row r="1379" customFormat="false" ht="15" hidden="false" customHeight="false" outlineLevel="0" collapsed="false">
      <c r="A1379" s="62" t="n">
        <v>1378</v>
      </c>
      <c r="B1379" s="63" t="n">
        <v>46268.8415625</v>
      </c>
      <c r="C1379" s="64" t="n">
        <v>46268</v>
      </c>
      <c r="D1379" s="62" t="s">
        <v>202</v>
      </c>
      <c r="E1379" s="62" t="s">
        <v>212</v>
      </c>
      <c r="F1379" s="62" t="s">
        <v>212</v>
      </c>
      <c r="G1379" s="62" t="s">
        <v>213</v>
      </c>
      <c r="H1379" s="62" t="s">
        <v>58</v>
      </c>
      <c r="I1379" s="62" t="s">
        <v>49</v>
      </c>
      <c r="J1379" s="62" t="s">
        <v>146</v>
      </c>
      <c r="K1379" s="62" t="s">
        <v>175</v>
      </c>
      <c r="L1379" s="62" t="s">
        <v>148</v>
      </c>
      <c r="M1379" s="62" t="n">
        <v>0</v>
      </c>
      <c r="N1379" s="62" t="n">
        <v>1</v>
      </c>
      <c r="O1379" s="62" t="n">
        <v>1</v>
      </c>
      <c r="P1379" s="62" t="n">
        <v>0</v>
      </c>
      <c r="Q1379" s="62" t="n">
        <v>1</v>
      </c>
      <c r="R1379" s="62" t="n">
        <v>0</v>
      </c>
      <c r="S1379" s="62" t="n">
        <v>0</v>
      </c>
      <c r="T1379" s="62" t="n">
        <v>0</v>
      </c>
      <c r="U1379" s="62"/>
      <c r="V1379" s="62"/>
      <c r="W1379" s="62"/>
      <c r="X1379" s="62"/>
      <c r="Y1379" s="62"/>
      <c r="Z1379" s="62" t="s">
        <v>2630</v>
      </c>
      <c r="AA1379" s="62" t="s">
        <v>2631</v>
      </c>
      <c r="AB1379" s="62" t="n">
        <v>1</v>
      </c>
      <c r="AC1379" s="62" t="n">
        <v>0</v>
      </c>
      <c r="AD1379" s="62" t="n">
        <v>1</v>
      </c>
      <c r="AE1379" s="62" t="n">
        <f aca="false">IF(AND(Dashboard!$C$9="Yes",AC1379=1),0,1)</f>
        <v>1</v>
      </c>
      <c r="AF1379" s="62" t="n">
        <v>1</v>
      </c>
    </row>
    <row r="1380" customFormat="false" ht="15" hidden="false" customHeight="false" outlineLevel="0" collapsed="false">
      <c r="A1380" s="62" t="n">
        <v>1379</v>
      </c>
      <c r="B1380" s="63" t="n">
        <v>46268.8434606482</v>
      </c>
      <c r="C1380" s="64" t="n">
        <v>46268</v>
      </c>
      <c r="D1380" s="62" t="s">
        <v>202</v>
      </c>
      <c r="E1380" s="62" t="s">
        <v>2081</v>
      </c>
      <c r="F1380" s="62" t="s">
        <v>2081</v>
      </c>
      <c r="G1380" s="62" t="s">
        <v>2082</v>
      </c>
      <c r="H1380" s="62" t="s">
        <v>57</v>
      </c>
      <c r="I1380" s="62" t="s">
        <v>47</v>
      </c>
      <c r="J1380" s="62" t="s">
        <v>146</v>
      </c>
      <c r="K1380" s="62" t="s">
        <v>147</v>
      </c>
      <c r="L1380" s="62" t="s">
        <v>148</v>
      </c>
      <c r="M1380" s="62" t="n">
        <v>0</v>
      </c>
      <c r="N1380" s="62" t="n">
        <v>1</v>
      </c>
      <c r="O1380" s="62" t="n">
        <v>1</v>
      </c>
      <c r="P1380" s="62" t="n">
        <v>0</v>
      </c>
      <c r="Q1380" s="62" t="n">
        <v>1</v>
      </c>
      <c r="R1380" s="62" t="n">
        <v>0</v>
      </c>
      <c r="S1380" s="62" t="n">
        <v>0</v>
      </c>
      <c r="T1380" s="62" t="n">
        <v>0</v>
      </c>
      <c r="U1380" s="62"/>
      <c r="V1380" s="62"/>
      <c r="W1380" s="62"/>
      <c r="X1380" s="62"/>
      <c r="Y1380" s="62"/>
      <c r="Z1380" s="62" t="s">
        <v>2632</v>
      </c>
      <c r="AA1380" s="62" t="s">
        <v>2633</v>
      </c>
      <c r="AB1380" s="62" t="n">
        <v>1</v>
      </c>
      <c r="AC1380" s="62" t="n">
        <v>0</v>
      </c>
      <c r="AD1380" s="62" t="n">
        <v>1</v>
      </c>
      <c r="AE1380" s="62" t="n">
        <f aca="false">IF(AND(Dashboard!$C$9="Yes",AC1380=1),0,1)</f>
        <v>1</v>
      </c>
      <c r="AF1380" s="62" t="n">
        <v>1</v>
      </c>
    </row>
    <row r="1381" customFormat="false" ht="15" hidden="false" customHeight="false" outlineLevel="0" collapsed="false">
      <c r="A1381" s="62" t="n">
        <v>1380</v>
      </c>
      <c r="B1381" s="63" t="n">
        <v>46268.8453472222</v>
      </c>
      <c r="C1381" s="64" t="n">
        <v>46268</v>
      </c>
      <c r="D1381" s="62" t="s">
        <v>202</v>
      </c>
      <c r="E1381" s="62" t="s">
        <v>650</v>
      </c>
      <c r="F1381" s="62" t="s">
        <v>650</v>
      </c>
      <c r="G1381" s="62" t="s">
        <v>651</v>
      </c>
      <c r="H1381" s="62" t="s">
        <v>59</v>
      </c>
      <c r="I1381" s="62" t="s">
        <v>47</v>
      </c>
      <c r="J1381" s="62" t="s">
        <v>146</v>
      </c>
      <c r="K1381" s="62" t="s">
        <v>209</v>
      </c>
      <c r="L1381" s="62" t="s">
        <v>4</v>
      </c>
      <c r="M1381" s="62" t="n">
        <v>1</v>
      </c>
      <c r="N1381" s="62" t="n">
        <v>0</v>
      </c>
      <c r="O1381" s="62" t="n">
        <v>1</v>
      </c>
      <c r="P1381" s="62" t="n">
        <v>0</v>
      </c>
      <c r="Q1381" s="62" t="n">
        <v>0</v>
      </c>
      <c r="R1381" s="62" t="n">
        <v>0</v>
      </c>
      <c r="S1381" s="62" t="n">
        <v>0</v>
      </c>
      <c r="T1381" s="62" t="n">
        <v>0</v>
      </c>
      <c r="U1381" s="62" t="s">
        <v>2056</v>
      </c>
      <c r="V1381" s="62" t="s">
        <v>2057</v>
      </c>
      <c r="W1381" s="62" t="s">
        <v>15</v>
      </c>
      <c r="X1381" s="62" t="s">
        <v>2058</v>
      </c>
      <c r="Y1381" s="62" t="s">
        <v>2059</v>
      </c>
      <c r="Z1381" s="62" t="s">
        <v>2634</v>
      </c>
      <c r="AA1381" s="62" t="s">
        <v>2635</v>
      </c>
      <c r="AB1381" s="62" t="n">
        <v>1</v>
      </c>
      <c r="AC1381" s="62" t="n">
        <v>0</v>
      </c>
      <c r="AD1381" s="62" t="n">
        <v>1</v>
      </c>
      <c r="AE1381" s="62" t="n">
        <f aca="false">IF(AND(Dashboard!$C$9="Yes",AC1381=1),0,1)</f>
        <v>1</v>
      </c>
      <c r="AF1381" s="62" t="n">
        <v>1</v>
      </c>
    </row>
    <row r="1382" customFormat="false" ht="15" hidden="false" customHeight="false" outlineLevel="0" collapsed="false">
      <c r="A1382" s="62" t="n">
        <v>1381</v>
      </c>
      <c r="B1382" s="63" t="n">
        <v>46268.8455671296</v>
      </c>
      <c r="C1382" s="64" t="n">
        <v>46268</v>
      </c>
      <c r="D1382" s="62" t="s">
        <v>202</v>
      </c>
      <c r="E1382" s="62" t="s">
        <v>1005</v>
      </c>
      <c r="F1382" s="62" t="s">
        <v>1005</v>
      </c>
      <c r="G1382" s="62" t="s">
        <v>1006</v>
      </c>
      <c r="H1382" s="62" t="s">
        <v>46</v>
      </c>
      <c r="I1382" s="62" t="s">
        <v>47</v>
      </c>
      <c r="J1382" s="62" t="s">
        <v>146</v>
      </c>
      <c r="K1382" s="62" t="s">
        <v>209</v>
      </c>
      <c r="L1382" s="62" t="s">
        <v>148</v>
      </c>
      <c r="M1382" s="62" t="n">
        <v>0</v>
      </c>
      <c r="N1382" s="62" t="n">
        <v>1</v>
      </c>
      <c r="O1382" s="62" t="n">
        <v>1</v>
      </c>
      <c r="P1382" s="62" t="n">
        <v>0</v>
      </c>
      <c r="Q1382" s="62" t="n">
        <v>1</v>
      </c>
      <c r="R1382" s="62" t="n">
        <v>0</v>
      </c>
      <c r="S1382" s="62" t="n">
        <v>0</v>
      </c>
      <c r="T1382" s="62" t="n">
        <v>0</v>
      </c>
      <c r="U1382" s="62"/>
      <c r="V1382" s="62"/>
      <c r="W1382" s="62"/>
      <c r="X1382" s="62"/>
      <c r="Y1382" s="62"/>
      <c r="Z1382" s="62" t="s">
        <v>2636</v>
      </c>
      <c r="AA1382" s="62" t="s">
        <v>485</v>
      </c>
      <c r="AB1382" s="62" t="n">
        <v>0</v>
      </c>
      <c r="AC1382" s="62" t="n">
        <v>0</v>
      </c>
      <c r="AD1382" s="62" t="n">
        <v>1</v>
      </c>
      <c r="AE1382" s="62" t="n">
        <f aca="false">IF(AND(Dashboard!$C$9="Yes",AC1382=1),0,1)</f>
        <v>1</v>
      </c>
      <c r="AF1382" s="62" t="n">
        <v>0</v>
      </c>
    </row>
    <row r="1383" customFormat="false" ht="15" hidden="false" customHeight="false" outlineLevel="0" collapsed="false">
      <c r="A1383" s="62" t="n">
        <v>1382</v>
      </c>
      <c r="B1383" s="63" t="n">
        <v>46268.8470138889</v>
      </c>
      <c r="C1383" s="64" t="n">
        <v>46268</v>
      </c>
      <c r="D1383" s="62" t="s">
        <v>202</v>
      </c>
      <c r="E1383" s="62" t="s">
        <v>1005</v>
      </c>
      <c r="F1383" s="62" t="s">
        <v>1005</v>
      </c>
      <c r="G1383" s="62" t="s">
        <v>1006</v>
      </c>
      <c r="H1383" s="62" t="s">
        <v>46</v>
      </c>
      <c r="I1383" s="62" t="s">
        <v>47</v>
      </c>
      <c r="J1383" s="62" t="s">
        <v>146</v>
      </c>
      <c r="K1383" s="62" t="s">
        <v>209</v>
      </c>
      <c r="L1383" s="62" t="s">
        <v>148</v>
      </c>
      <c r="M1383" s="62" t="n">
        <v>0</v>
      </c>
      <c r="N1383" s="62" t="n">
        <v>1</v>
      </c>
      <c r="O1383" s="62" t="n">
        <v>1</v>
      </c>
      <c r="P1383" s="62" t="n">
        <v>0</v>
      </c>
      <c r="Q1383" s="62" t="n">
        <v>1</v>
      </c>
      <c r="R1383" s="62" t="n">
        <v>0</v>
      </c>
      <c r="S1383" s="62" t="n">
        <v>0</v>
      </c>
      <c r="T1383" s="62" t="n">
        <v>0</v>
      </c>
      <c r="U1383" s="62"/>
      <c r="V1383" s="62"/>
      <c r="W1383" s="62"/>
      <c r="X1383" s="62"/>
      <c r="Y1383" s="62"/>
      <c r="Z1383" s="62" t="s">
        <v>2636</v>
      </c>
      <c r="AA1383" s="62" t="s">
        <v>485</v>
      </c>
      <c r="AB1383" s="62" t="n">
        <v>0</v>
      </c>
      <c r="AC1383" s="62" t="n">
        <v>0</v>
      </c>
      <c r="AD1383" s="62" t="n">
        <v>1</v>
      </c>
      <c r="AE1383" s="62" t="n">
        <f aca="false">IF(AND(Dashboard!$C$9="Yes",AC1383=1),0,1)</f>
        <v>1</v>
      </c>
      <c r="AF1383" s="62" t="n">
        <v>0</v>
      </c>
    </row>
    <row r="1384" customFormat="false" ht="15" hidden="false" customHeight="false" outlineLevel="0" collapsed="false">
      <c r="A1384" s="62" t="n">
        <v>1383</v>
      </c>
      <c r="B1384" s="63" t="n">
        <v>46268.8487268519</v>
      </c>
      <c r="C1384" s="64" t="n">
        <v>46268</v>
      </c>
      <c r="D1384" s="62" t="s">
        <v>202</v>
      </c>
      <c r="E1384" s="62" t="s">
        <v>2637</v>
      </c>
      <c r="F1384" s="62" t="s">
        <v>2637</v>
      </c>
      <c r="G1384" s="62" t="s">
        <v>2638</v>
      </c>
      <c r="H1384" s="62" t="s">
        <v>52</v>
      </c>
      <c r="I1384" s="62" t="s">
        <v>47</v>
      </c>
      <c r="J1384" s="62" t="s">
        <v>146</v>
      </c>
      <c r="K1384" s="62" t="s">
        <v>147</v>
      </c>
      <c r="L1384" s="62" t="s">
        <v>148</v>
      </c>
      <c r="M1384" s="62" t="n">
        <v>0</v>
      </c>
      <c r="N1384" s="62" t="n">
        <v>2</v>
      </c>
      <c r="O1384" s="62" t="n">
        <v>2</v>
      </c>
      <c r="P1384" s="62" t="n">
        <v>0</v>
      </c>
      <c r="Q1384" s="62" t="n">
        <v>0</v>
      </c>
      <c r="R1384" s="62" t="n">
        <v>2</v>
      </c>
      <c r="S1384" s="62" t="n">
        <v>0</v>
      </c>
      <c r="T1384" s="62" t="n">
        <v>0</v>
      </c>
      <c r="U1384" s="62"/>
      <c r="V1384" s="62"/>
      <c r="W1384" s="62"/>
      <c r="X1384" s="62"/>
      <c r="Y1384" s="62"/>
      <c r="Z1384" s="62" t="s">
        <v>2639</v>
      </c>
      <c r="AA1384" s="62" t="s">
        <v>2640</v>
      </c>
      <c r="AB1384" s="62" t="n">
        <v>1</v>
      </c>
      <c r="AC1384" s="62" t="n">
        <v>0</v>
      </c>
      <c r="AD1384" s="62" t="n">
        <v>1</v>
      </c>
      <c r="AE1384" s="62" t="n">
        <f aca="false">IF(AND(Dashboard!$C$9="Yes",AC1384=1),0,1)</f>
        <v>1</v>
      </c>
      <c r="AF1384" s="62" t="n">
        <v>1</v>
      </c>
    </row>
    <row r="1385" customFormat="false" ht="15" hidden="false" customHeight="false" outlineLevel="0" collapsed="false">
      <c r="A1385" s="62" t="n">
        <v>1384</v>
      </c>
      <c r="B1385" s="63" t="n">
        <v>46268.858900463</v>
      </c>
      <c r="C1385" s="64" t="n">
        <v>46268</v>
      </c>
      <c r="D1385" s="62" t="s">
        <v>202</v>
      </c>
      <c r="E1385" s="62" t="s">
        <v>939</v>
      </c>
      <c r="F1385" s="62" t="s">
        <v>939</v>
      </c>
      <c r="G1385" s="62" t="s">
        <v>940</v>
      </c>
      <c r="H1385" s="62" t="s">
        <v>57</v>
      </c>
      <c r="I1385" s="62" t="s">
        <v>47</v>
      </c>
      <c r="J1385" s="62" t="s">
        <v>146</v>
      </c>
      <c r="K1385" s="62" t="s">
        <v>147</v>
      </c>
      <c r="L1385" s="62" t="s">
        <v>148</v>
      </c>
      <c r="M1385" s="62" t="n">
        <v>0</v>
      </c>
      <c r="N1385" s="62" t="n">
        <v>1</v>
      </c>
      <c r="O1385" s="62" t="n">
        <v>1</v>
      </c>
      <c r="P1385" s="62" t="n">
        <v>0</v>
      </c>
      <c r="Q1385" s="62" t="n">
        <v>1</v>
      </c>
      <c r="R1385" s="62" t="n">
        <v>0</v>
      </c>
      <c r="S1385" s="62" t="n">
        <v>0</v>
      </c>
      <c r="T1385" s="62" t="n">
        <v>0</v>
      </c>
      <c r="U1385" s="62"/>
      <c r="V1385" s="62"/>
      <c r="W1385" s="62"/>
      <c r="X1385" s="62"/>
      <c r="Y1385" s="62"/>
      <c r="Z1385" s="62" t="s">
        <v>2641</v>
      </c>
      <c r="AA1385" s="62" t="s">
        <v>2642</v>
      </c>
      <c r="AB1385" s="62" t="n">
        <v>1</v>
      </c>
      <c r="AC1385" s="62" t="n">
        <v>0</v>
      </c>
      <c r="AD1385" s="62" t="n">
        <v>1</v>
      </c>
      <c r="AE1385" s="62" t="n">
        <f aca="false">IF(AND(Dashboard!$C$9="Yes",AC1385=1),0,1)</f>
        <v>1</v>
      </c>
      <c r="AF1385" s="62" t="n">
        <v>1</v>
      </c>
    </row>
    <row r="1386" customFormat="false" ht="15" hidden="false" customHeight="false" outlineLevel="0" collapsed="false">
      <c r="A1386" s="62" t="n">
        <v>1385</v>
      </c>
      <c r="B1386" s="63" t="n">
        <v>46268.860474537</v>
      </c>
      <c r="C1386" s="64" t="n">
        <v>46268</v>
      </c>
      <c r="D1386" s="62" t="s">
        <v>202</v>
      </c>
      <c r="E1386" s="62" t="s">
        <v>203</v>
      </c>
      <c r="F1386" s="62" t="s">
        <v>203</v>
      </c>
      <c r="G1386" s="62" t="s">
        <v>204</v>
      </c>
      <c r="H1386" s="62" t="s">
        <v>51</v>
      </c>
      <c r="I1386" s="62" t="s">
        <v>47</v>
      </c>
      <c r="J1386" s="62" t="s">
        <v>146</v>
      </c>
      <c r="K1386" s="62" t="s">
        <v>147</v>
      </c>
      <c r="L1386" s="62" t="s">
        <v>4</v>
      </c>
      <c r="M1386" s="62" t="n">
        <v>1</v>
      </c>
      <c r="N1386" s="62" t="n">
        <v>0</v>
      </c>
      <c r="O1386" s="62" t="n">
        <v>1</v>
      </c>
      <c r="P1386" s="62" t="n">
        <v>0</v>
      </c>
      <c r="Q1386" s="62" t="n">
        <v>0</v>
      </c>
      <c r="R1386" s="62" t="n">
        <v>0</v>
      </c>
      <c r="S1386" s="62" t="n">
        <v>0</v>
      </c>
      <c r="T1386" s="62" t="n">
        <v>0</v>
      </c>
      <c r="U1386" s="62" t="s">
        <v>2056</v>
      </c>
      <c r="V1386" s="62" t="s">
        <v>2068</v>
      </c>
      <c r="W1386" s="62"/>
      <c r="X1386" s="62" t="s">
        <v>2164</v>
      </c>
      <c r="Y1386" s="62" t="s">
        <v>2165</v>
      </c>
      <c r="Z1386" s="62" t="s">
        <v>2643</v>
      </c>
      <c r="AA1386" s="62" t="s">
        <v>2644</v>
      </c>
      <c r="AB1386" s="62" t="n">
        <v>1</v>
      </c>
      <c r="AC1386" s="62" t="n">
        <v>0</v>
      </c>
      <c r="AD1386" s="62" t="n">
        <v>1</v>
      </c>
      <c r="AE1386" s="62" t="n">
        <f aca="false">IF(AND(Dashboard!$C$9="Yes",AC1386=1),0,1)</f>
        <v>1</v>
      </c>
      <c r="AF1386" s="62" t="n">
        <v>1</v>
      </c>
    </row>
    <row r="1387" customFormat="false" ht="15" hidden="false" customHeight="false" outlineLevel="0" collapsed="false">
      <c r="A1387" s="62" t="n">
        <v>1386</v>
      </c>
      <c r="B1387" s="63" t="n">
        <v>46268.8656944444</v>
      </c>
      <c r="C1387" s="64" t="n">
        <v>46268</v>
      </c>
      <c r="D1387" s="62" t="s">
        <v>202</v>
      </c>
      <c r="E1387" s="62" t="s">
        <v>2645</v>
      </c>
      <c r="F1387" s="62" t="s">
        <v>2645</v>
      </c>
      <c r="G1387" s="62" t="s">
        <v>2646</v>
      </c>
      <c r="H1387" s="62" t="s">
        <v>57</v>
      </c>
      <c r="I1387" s="62" t="s">
        <v>47</v>
      </c>
      <c r="J1387" s="62" t="s">
        <v>146</v>
      </c>
      <c r="K1387" s="62" t="s">
        <v>175</v>
      </c>
      <c r="L1387" s="62" t="s">
        <v>148</v>
      </c>
      <c r="M1387" s="62" t="n">
        <v>0</v>
      </c>
      <c r="N1387" s="62" t="n">
        <v>1</v>
      </c>
      <c r="O1387" s="62" t="n">
        <v>1</v>
      </c>
      <c r="P1387" s="62" t="n">
        <v>0</v>
      </c>
      <c r="Q1387" s="62" t="n">
        <v>0</v>
      </c>
      <c r="R1387" s="62" t="n">
        <v>0</v>
      </c>
      <c r="S1387" s="62" t="n">
        <v>1</v>
      </c>
      <c r="T1387" s="62" t="n">
        <v>0</v>
      </c>
      <c r="U1387" s="62"/>
      <c r="V1387" s="62"/>
      <c r="W1387" s="62"/>
      <c r="X1387" s="62"/>
      <c r="Y1387" s="62"/>
      <c r="Z1387" s="62" t="s">
        <v>2647</v>
      </c>
      <c r="AA1387" s="62" t="s">
        <v>2648</v>
      </c>
      <c r="AB1387" s="62" t="n">
        <v>1</v>
      </c>
      <c r="AC1387" s="62" t="n">
        <v>0</v>
      </c>
      <c r="AD1387" s="62" t="n">
        <v>1</v>
      </c>
      <c r="AE1387" s="62" t="n">
        <f aca="false">IF(AND(Dashboard!$C$9="Yes",AC1387=1),0,1)</f>
        <v>1</v>
      </c>
      <c r="AF1387" s="62" t="n">
        <v>1</v>
      </c>
    </row>
    <row r="1388" customFormat="false" ht="15" hidden="false" customHeight="false" outlineLevel="0" collapsed="false">
      <c r="A1388" s="62" t="n">
        <v>1387</v>
      </c>
      <c r="B1388" s="63" t="n">
        <v>46268.8712962963</v>
      </c>
      <c r="C1388" s="64" t="n">
        <v>46268</v>
      </c>
      <c r="D1388" s="62" t="s">
        <v>202</v>
      </c>
      <c r="E1388" s="62" t="s">
        <v>2583</v>
      </c>
      <c r="F1388" s="62" t="s">
        <v>2583</v>
      </c>
      <c r="G1388" s="62" t="s">
        <v>2584</v>
      </c>
      <c r="H1388" s="62" t="s">
        <v>59</v>
      </c>
      <c r="I1388" s="62" t="s">
        <v>47</v>
      </c>
      <c r="J1388" s="62" t="s">
        <v>146</v>
      </c>
      <c r="K1388" s="62" t="s">
        <v>147</v>
      </c>
      <c r="L1388" s="62" t="s">
        <v>4</v>
      </c>
      <c r="M1388" s="62" t="n">
        <v>1</v>
      </c>
      <c r="N1388" s="62" t="n">
        <v>0</v>
      </c>
      <c r="O1388" s="62" t="n">
        <v>1</v>
      </c>
      <c r="P1388" s="62" t="n">
        <v>0</v>
      </c>
      <c r="Q1388" s="62" t="n">
        <v>0</v>
      </c>
      <c r="R1388" s="62" t="n">
        <v>0</v>
      </c>
      <c r="S1388" s="62" t="n">
        <v>0</v>
      </c>
      <c r="T1388" s="62" t="n">
        <v>0</v>
      </c>
      <c r="U1388" s="62" t="s">
        <v>2056</v>
      </c>
      <c r="V1388" s="62" t="s">
        <v>2057</v>
      </c>
      <c r="W1388" s="62" t="s">
        <v>2056</v>
      </c>
      <c r="X1388" s="62" t="s">
        <v>2069</v>
      </c>
      <c r="Y1388" s="62" t="s">
        <v>2064</v>
      </c>
      <c r="Z1388" s="62" t="s">
        <v>2649</v>
      </c>
      <c r="AA1388" s="62" t="s">
        <v>2650</v>
      </c>
      <c r="AB1388" s="62" t="n">
        <v>1</v>
      </c>
      <c r="AC1388" s="62" t="n">
        <v>0</v>
      </c>
      <c r="AD1388" s="62" t="n">
        <v>1</v>
      </c>
      <c r="AE1388" s="62" t="n">
        <f aca="false">IF(AND(Dashboard!$C$9="Yes",AC1388=1),0,1)</f>
        <v>1</v>
      </c>
      <c r="AF1388" s="62" t="n">
        <v>1</v>
      </c>
    </row>
    <row r="1389" customFormat="false" ht="15" hidden="false" customHeight="false" outlineLevel="0" collapsed="false">
      <c r="A1389" s="62" t="n">
        <v>1388</v>
      </c>
      <c r="B1389" s="63" t="n">
        <v>46268.8815509259</v>
      </c>
      <c r="C1389" s="64" t="n">
        <v>46268</v>
      </c>
      <c r="D1389" s="62" t="s">
        <v>202</v>
      </c>
      <c r="E1389" s="62" t="s">
        <v>2645</v>
      </c>
      <c r="F1389" s="62" t="s">
        <v>2645</v>
      </c>
      <c r="G1389" s="62" t="s">
        <v>2646</v>
      </c>
      <c r="H1389" s="62" t="s">
        <v>57</v>
      </c>
      <c r="I1389" s="62" t="s">
        <v>47</v>
      </c>
      <c r="J1389" s="62" t="s">
        <v>146</v>
      </c>
      <c r="K1389" s="62" t="s">
        <v>175</v>
      </c>
      <c r="L1389" s="62" t="s">
        <v>4</v>
      </c>
      <c r="M1389" s="62" t="n">
        <v>1</v>
      </c>
      <c r="N1389" s="62" t="n">
        <v>0</v>
      </c>
      <c r="O1389" s="62" t="n">
        <v>1</v>
      </c>
      <c r="P1389" s="62" t="n">
        <v>0</v>
      </c>
      <c r="Q1389" s="62" t="n">
        <v>0</v>
      </c>
      <c r="R1389" s="62" t="n">
        <v>0</v>
      </c>
      <c r="S1389" s="62" t="n">
        <v>0</v>
      </c>
      <c r="T1389" s="62" t="n">
        <v>0</v>
      </c>
      <c r="U1389" s="62" t="s">
        <v>15</v>
      </c>
      <c r="V1389" s="62" t="s">
        <v>2057</v>
      </c>
      <c r="W1389" s="62" t="s">
        <v>2056</v>
      </c>
      <c r="X1389" s="62" t="s">
        <v>2058</v>
      </c>
      <c r="Y1389" s="62" t="s">
        <v>2181</v>
      </c>
      <c r="Z1389" s="62" t="s">
        <v>2651</v>
      </c>
      <c r="AA1389" s="62" t="s">
        <v>2652</v>
      </c>
      <c r="AB1389" s="62" t="n">
        <v>1</v>
      </c>
      <c r="AC1389" s="62" t="n">
        <v>0</v>
      </c>
      <c r="AD1389" s="62" t="n">
        <v>1</v>
      </c>
      <c r="AE1389" s="62" t="n">
        <f aca="false">IF(AND(Dashboard!$C$9="Yes",AC1389=1),0,1)</f>
        <v>1</v>
      </c>
      <c r="AF1389" s="62" t="n">
        <v>0</v>
      </c>
    </row>
    <row r="1390" customFormat="false" ht="15" hidden="false" customHeight="false" outlineLevel="0" collapsed="false">
      <c r="A1390" s="62" t="n">
        <v>1389</v>
      </c>
      <c r="B1390" s="63" t="n">
        <v>46268.884375</v>
      </c>
      <c r="C1390" s="64" t="n">
        <v>46268</v>
      </c>
      <c r="D1390" s="62" t="s">
        <v>202</v>
      </c>
      <c r="E1390" s="62" t="s">
        <v>2653</v>
      </c>
      <c r="F1390" s="62" t="s">
        <v>2620</v>
      </c>
      <c r="G1390" s="62" t="s">
        <v>2621</v>
      </c>
      <c r="H1390" s="62" t="s">
        <v>48</v>
      </c>
      <c r="I1390" s="62" t="s">
        <v>49</v>
      </c>
      <c r="J1390" s="62" t="s">
        <v>146</v>
      </c>
      <c r="K1390" s="62" t="s">
        <v>209</v>
      </c>
      <c r="L1390" s="62" t="s">
        <v>148</v>
      </c>
      <c r="M1390" s="62" t="n">
        <v>0</v>
      </c>
      <c r="N1390" s="62" t="n">
        <v>1</v>
      </c>
      <c r="O1390" s="62" t="n">
        <v>1</v>
      </c>
      <c r="P1390" s="62" t="n">
        <v>0</v>
      </c>
      <c r="Q1390" s="62" t="n">
        <v>0</v>
      </c>
      <c r="R1390" s="62" t="n">
        <v>1</v>
      </c>
      <c r="S1390" s="62" t="n">
        <v>0</v>
      </c>
      <c r="T1390" s="62" t="n">
        <v>0</v>
      </c>
      <c r="U1390" s="62"/>
      <c r="V1390" s="62"/>
      <c r="W1390" s="62"/>
      <c r="X1390" s="62"/>
      <c r="Y1390" s="62"/>
      <c r="Z1390" s="62" t="s">
        <v>2654</v>
      </c>
      <c r="AA1390" s="62" t="s">
        <v>2655</v>
      </c>
      <c r="AB1390" s="62" t="n">
        <v>1</v>
      </c>
      <c r="AC1390" s="62" t="n">
        <v>0</v>
      </c>
      <c r="AD1390" s="62" t="n">
        <v>1</v>
      </c>
      <c r="AE1390" s="62" t="n">
        <f aca="false">IF(AND(Dashboard!$C$9="Yes",AC1390=1),0,1)</f>
        <v>1</v>
      </c>
      <c r="AF1390" s="62" t="n">
        <v>0</v>
      </c>
    </row>
    <row r="1391" customFormat="false" ht="15" hidden="false" customHeight="false" outlineLevel="0" collapsed="false">
      <c r="A1391" s="62" t="n">
        <v>1390</v>
      </c>
      <c r="B1391" s="63" t="n">
        <v>46268.9096064815</v>
      </c>
      <c r="C1391" s="64" t="n">
        <v>46268</v>
      </c>
      <c r="D1391" s="62" t="s">
        <v>202</v>
      </c>
      <c r="E1391" s="62" t="s">
        <v>1652</v>
      </c>
      <c r="F1391" s="62" t="s">
        <v>1652</v>
      </c>
      <c r="G1391" s="62" t="s">
        <v>1653</v>
      </c>
      <c r="H1391" s="62" t="s">
        <v>57</v>
      </c>
      <c r="I1391" s="62" t="s">
        <v>47</v>
      </c>
      <c r="J1391" s="62" t="s">
        <v>146</v>
      </c>
      <c r="K1391" s="62" t="s">
        <v>175</v>
      </c>
      <c r="L1391" s="62" t="s">
        <v>148</v>
      </c>
      <c r="M1391" s="62" t="n">
        <v>0</v>
      </c>
      <c r="N1391" s="62" t="n">
        <v>1</v>
      </c>
      <c r="O1391" s="62" t="n">
        <v>1</v>
      </c>
      <c r="P1391" s="62" t="n">
        <v>1</v>
      </c>
      <c r="Q1391" s="62" t="n">
        <v>0</v>
      </c>
      <c r="R1391" s="62" t="n">
        <v>0</v>
      </c>
      <c r="S1391" s="62" t="n">
        <v>0</v>
      </c>
      <c r="T1391" s="62" t="n">
        <v>0</v>
      </c>
      <c r="U1391" s="62"/>
      <c r="V1391" s="62"/>
      <c r="W1391" s="62"/>
      <c r="X1391" s="62"/>
      <c r="Y1391" s="62"/>
      <c r="Z1391" s="62" t="s">
        <v>2656</v>
      </c>
      <c r="AA1391" s="62" t="s">
        <v>2657</v>
      </c>
      <c r="AB1391" s="62" t="n">
        <v>1</v>
      </c>
      <c r="AC1391" s="62" t="n">
        <v>0</v>
      </c>
      <c r="AD1391" s="62" t="n">
        <v>1</v>
      </c>
      <c r="AE1391" s="62" t="n">
        <f aca="false">IF(AND(Dashboard!$C$9="Yes",AC1391=1),0,1)</f>
        <v>1</v>
      </c>
      <c r="AF1391" s="62" t="n">
        <v>1</v>
      </c>
    </row>
    <row r="1392" customFormat="false" ht="15" hidden="false" customHeight="false" outlineLevel="0" collapsed="false">
      <c r="A1392" s="62" t="n">
        <v>1391</v>
      </c>
      <c r="B1392" s="63" t="n">
        <v>46268.9185185185</v>
      </c>
      <c r="C1392" s="64" t="n">
        <v>46268</v>
      </c>
      <c r="D1392" s="62" t="s">
        <v>202</v>
      </c>
      <c r="E1392" s="62" t="s">
        <v>212</v>
      </c>
      <c r="F1392" s="62" t="s">
        <v>212</v>
      </c>
      <c r="G1392" s="62" t="s">
        <v>213</v>
      </c>
      <c r="H1392" s="62" t="s">
        <v>58</v>
      </c>
      <c r="I1392" s="62" t="s">
        <v>49</v>
      </c>
      <c r="J1392" s="62" t="s">
        <v>146</v>
      </c>
      <c r="K1392" s="62" t="s">
        <v>175</v>
      </c>
      <c r="L1392" s="62" t="s">
        <v>4</v>
      </c>
      <c r="M1392" s="62" t="n">
        <v>1</v>
      </c>
      <c r="N1392" s="62" t="n">
        <v>0</v>
      </c>
      <c r="O1392" s="62" t="n">
        <v>1</v>
      </c>
      <c r="P1392" s="62" t="n">
        <v>0</v>
      </c>
      <c r="Q1392" s="62" t="n">
        <v>0</v>
      </c>
      <c r="R1392" s="62" t="n">
        <v>0</v>
      </c>
      <c r="S1392" s="62" t="n">
        <v>0</v>
      </c>
      <c r="T1392" s="62" t="n">
        <v>0</v>
      </c>
      <c r="U1392" s="62" t="s">
        <v>2056</v>
      </c>
      <c r="V1392" s="62" t="s">
        <v>2057</v>
      </c>
      <c r="W1392" s="62" t="s">
        <v>15</v>
      </c>
      <c r="X1392" s="62" t="s">
        <v>2058</v>
      </c>
      <c r="Y1392" s="62" t="s">
        <v>2059</v>
      </c>
      <c r="Z1392" s="62" t="s">
        <v>2658</v>
      </c>
      <c r="AA1392" s="62" t="s">
        <v>2659</v>
      </c>
      <c r="AB1392" s="62" t="n">
        <v>1</v>
      </c>
      <c r="AC1392" s="62" t="n">
        <v>0</v>
      </c>
      <c r="AD1392" s="62" t="n">
        <v>1</v>
      </c>
      <c r="AE1392" s="62" t="n">
        <f aca="false">IF(AND(Dashboard!$C$9="Yes",AC1392=1),0,1)</f>
        <v>1</v>
      </c>
      <c r="AF1392" s="62" t="n">
        <v>0</v>
      </c>
    </row>
    <row r="1393" customFormat="false" ht="15" hidden="false" customHeight="false" outlineLevel="0" collapsed="false">
      <c r="A1393" s="62" t="n">
        <v>1392</v>
      </c>
      <c r="B1393" s="63" t="n">
        <v>46268.9243518519</v>
      </c>
      <c r="C1393" s="64" t="n">
        <v>46268</v>
      </c>
      <c r="D1393" s="62" t="s">
        <v>202</v>
      </c>
      <c r="E1393" s="62" t="s">
        <v>2540</v>
      </c>
      <c r="F1393" s="62" t="s">
        <v>2540</v>
      </c>
      <c r="G1393" s="62" t="s">
        <v>2541</v>
      </c>
      <c r="H1393" s="62" t="s">
        <v>48</v>
      </c>
      <c r="I1393" s="62" t="s">
        <v>49</v>
      </c>
      <c r="J1393" s="62" t="s">
        <v>146</v>
      </c>
      <c r="K1393" s="62" t="s">
        <v>209</v>
      </c>
      <c r="L1393" s="62" t="s">
        <v>148</v>
      </c>
      <c r="M1393" s="62" t="n">
        <v>0</v>
      </c>
      <c r="N1393" s="62" t="n">
        <v>6</v>
      </c>
      <c r="O1393" s="62" t="n">
        <v>6</v>
      </c>
      <c r="P1393" s="62" t="n">
        <v>0</v>
      </c>
      <c r="Q1393" s="62" t="n">
        <v>0</v>
      </c>
      <c r="R1393" s="62" t="n">
        <v>0</v>
      </c>
      <c r="S1393" s="62" t="n">
        <v>0</v>
      </c>
      <c r="T1393" s="62" t="n">
        <v>6</v>
      </c>
      <c r="U1393" s="62"/>
      <c r="V1393" s="62"/>
      <c r="W1393" s="62"/>
      <c r="X1393" s="62"/>
      <c r="Y1393" s="62"/>
      <c r="Z1393" s="62" t="s">
        <v>2660</v>
      </c>
      <c r="AA1393" s="62" t="s">
        <v>2533</v>
      </c>
      <c r="AB1393" s="62" t="n">
        <v>1</v>
      </c>
      <c r="AC1393" s="62" t="n">
        <v>0</v>
      </c>
      <c r="AD1393" s="62" t="n">
        <v>1</v>
      </c>
      <c r="AE1393" s="62" t="n">
        <f aca="false">IF(AND(Dashboard!$C$9="Yes",AC1393=1),0,1)</f>
        <v>1</v>
      </c>
      <c r="AF1393" s="62" t="n">
        <v>1</v>
      </c>
    </row>
    <row r="1394" customFormat="false" ht="15" hidden="false" customHeight="false" outlineLevel="0" collapsed="false">
      <c r="A1394" s="62" t="n">
        <v>1393</v>
      </c>
      <c r="B1394" s="63" t="n">
        <v>46268.9309143519</v>
      </c>
      <c r="C1394" s="64" t="n">
        <v>46268</v>
      </c>
      <c r="D1394" s="62" t="s">
        <v>202</v>
      </c>
      <c r="E1394" s="62" t="s">
        <v>2645</v>
      </c>
      <c r="F1394" s="62" t="s">
        <v>2645</v>
      </c>
      <c r="G1394" s="62" t="s">
        <v>2646</v>
      </c>
      <c r="H1394" s="62" t="s">
        <v>57</v>
      </c>
      <c r="I1394" s="62" t="s">
        <v>47</v>
      </c>
      <c r="J1394" s="62" t="s">
        <v>146</v>
      </c>
      <c r="K1394" s="62" t="s">
        <v>175</v>
      </c>
      <c r="L1394" s="62" t="s">
        <v>148</v>
      </c>
      <c r="M1394" s="62" t="n">
        <v>0</v>
      </c>
      <c r="N1394" s="62" t="n">
        <v>1</v>
      </c>
      <c r="O1394" s="62" t="n">
        <v>1</v>
      </c>
      <c r="P1394" s="62" t="n">
        <v>1</v>
      </c>
      <c r="Q1394" s="62" t="n">
        <v>0</v>
      </c>
      <c r="R1394" s="62" t="n">
        <v>0</v>
      </c>
      <c r="S1394" s="62" t="n">
        <v>0</v>
      </c>
      <c r="T1394" s="62" t="n">
        <v>0</v>
      </c>
      <c r="U1394" s="62"/>
      <c r="V1394" s="62"/>
      <c r="W1394" s="62"/>
      <c r="X1394" s="62"/>
      <c r="Y1394" s="62"/>
      <c r="Z1394" s="62" t="s">
        <v>2661</v>
      </c>
      <c r="AA1394" s="62" t="s">
        <v>2662</v>
      </c>
      <c r="AB1394" s="62" t="n">
        <v>1</v>
      </c>
      <c r="AC1394" s="62" t="n">
        <v>0</v>
      </c>
      <c r="AD1394" s="62" t="n">
        <v>1</v>
      </c>
      <c r="AE1394" s="62" t="n">
        <f aca="false">IF(AND(Dashboard!$C$9="Yes",AC1394=1),0,1)</f>
        <v>1</v>
      </c>
      <c r="AF1394" s="62" t="n">
        <v>0</v>
      </c>
    </row>
    <row r="1395" customFormat="false" ht="15" hidden="false" customHeight="false" outlineLevel="0" collapsed="false">
      <c r="A1395" s="62" t="n">
        <v>1394</v>
      </c>
      <c r="B1395" s="63" t="n">
        <v>46268.9375810185</v>
      </c>
      <c r="C1395" s="64" t="n">
        <v>46268</v>
      </c>
      <c r="D1395" s="62" t="s">
        <v>202</v>
      </c>
      <c r="E1395" s="62" t="s">
        <v>1539</v>
      </c>
      <c r="F1395" s="62" t="s">
        <v>1539</v>
      </c>
      <c r="G1395" s="62" t="s">
        <v>1540</v>
      </c>
      <c r="H1395" s="62" t="s">
        <v>52</v>
      </c>
      <c r="I1395" s="62" t="s">
        <v>47</v>
      </c>
      <c r="J1395" s="62" t="s">
        <v>146</v>
      </c>
      <c r="K1395" s="62" t="s">
        <v>147</v>
      </c>
      <c r="L1395" s="62" t="s">
        <v>148</v>
      </c>
      <c r="M1395" s="62" t="n">
        <v>0</v>
      </c>
      <c r="N1395" s="62" t="n">
        <v>1</v>
      </c>
      <c r="O1395" s="62" t="n">
        <v>1</v>
      </c>
      <c r="P1395" s="62" t="n">
        <v>1</v>
      </c>
      <c r="Q1395" s="62" t="n">
        <v>0</v>
      </c>
      <c r="R1395" s="62" t="n">
        <v>0</v>
      </c>
      <c r="S1395" s="62" t="n">
        <v>0</v>
      </c>
      <c r="T1395" s="62" t="n">
        <v>0</v>
      </c>
      <c r="U1395" s="62"/>
      <c r="V1395" s="62"/>
      <c r="W1395" s="62"/>
      <c r="X1395" s="62"/>
      <c r="Y1395" s="62"/>
      <c r="Z1395" s="62" t="s">
        <v>2663</v>
      </c>
      <c r="AA1395" s="62" t="s">
        <v>2664</v>
      </c>
      <c r="AB1395" s="62" t="n">
        <v>1</v>
      </c>
      <c r="AC1395" s="62" t="n">
        <v>0</v>
      </c>
      <c r="AD1395" s="62" t="n">
        <v>1</v>
      </c>
      <c r="AE1395" s="62" t="n">
        <f aca="false">IF(AND(Dashboard!$C$9="Yes",AC1395=1),0,1)</f>
        <v>1</v>
      </c>
      <c r="AF1395" s="62" t="n">
        <v>1</v>
      </c>
    </row>
    <row r="1396" customFormat="false" ht="15" hidden="false" customHeight="false" outlineLevel="0" collapsed="false">
      <c r="A1396" s="62" t="n">
        <v>1395</v>
      </c>
      <c r="B1396" s="63" t="n">
        <v>46268.957962963</v>
      </c>
      <c r="C1396" s="64" t="n">
        <v>46268</v>
      </c>
      <c r="D1396" s="62" t="s">
        <v>202</v>
      </c>
      <c r="E1396" s="62" t="s">
        <v>1616</v>
      </c>
      <c r="F1396" s="62" t="s">
        <v>1616</v>
      </c>
      <c r="G1396" s="62" t="s">
        <v>1617</v>
      </c>
      <c r="H1396" s="62" t="s">
        <v>51</v>
      </c>
      <c r="I1396" s="62" t="s">
        <v>47</v>
      </c>
      <c r="J1396" s="62" t="s">
        <v>146</v>
      </c>
      <c r="K1396" s="62" t="s">
        <v>175</v>
      </c>
      <c r="L1396" s="62" t="s">
        <v>4</v>
      </c>
      <c r="M1396" s="62" t="n">
        <v>1</v>
      </c>
      <c r="N1396" s="62" t="n">
        <v>0</v>
      </c>
      <c r="O1396" s="62" t="n">
        <v>1</v>
      </c>
      <c r="P1396" s="62" t="n">
        <v>0</v>
      </c>
      <c r="Q1396" s="62" t="n">
        <v>0</v>
      </c>
      <c r="R1396" s="62" t="n">
        <v>0</v>
      </c>
      <c r="S1396" s="62" t="n">
        <v>0</v>
      </c>
      <c r="T1396" s="62" t="n">
        <v>0</v>
      </c>
      <c r="U1396" s="62" t="s">
        <v>2056</v>
      </c>
      <c r="V1396" s="62" t="s">
        <v>2057</v>
      </c>
      <c r="W1396" s="62" t="s">
        <v>15</v>
      </c>
      <c r="X1396" s="62" t="s">
        <v>2103</v>
      </c>
      <c r="Y1396" s="62" t="s">
        <v>2059</v>
      </c>
      <c r="Z1396" s="62" t="s">
        <v>2665</v>
      </c>
      <c r="AA1396" s="62" t="s">
        <v>2666</v>
      </c>
      <c r="AB1396" s="62" t="n">
        <v>1</v>
      </c>
      <c r="AC1396" s="62" t="n">
        <v>0</v>
      </c>
      <c r="AD1396" s="62" t="n">
        <v>1</v>
      </c>
      <c r="AE1396" s="62" t="n">
        <f aca="false">IF(AND(Dashboard!$C$9="Yes",AC1396=1),0,1)</f>
        <v>1</v>
      </c>
      <c r="AF1396" s="62" t="n">
        <v>1</v>
      </c>
    </row>
    <row r="1397" customFormat="false" ht="15" hidden="false" customHeight="false" outlineLevel="0" collapsed="false">
      <c r="A1397" s="62" t="n">
        <v>1396</v>
      </c>
      <c r="B1397" s="63" t="n">
        <v>46268.9633680556</v>
      </c>
      <c r="C1397" s="64" t="n">
        <v>46268</v>
      </c>
      <c r="D1397" s="62" t="s">
        <v>202</v>
      </c>
      <c r="E1397" s="62" t="s">
        <v>228</v>
      </c>
      <c r="F1397" s="62" t="s">
        <v>229</v>
      </c>
      <c r="G1397" s="62" t="s">
        <v>153</v>
      </c>
      <c r="H1397" s="62" t="s">
        <v>153</v>
      </c>
      <c r="I1397" s="62" t="s">
        <v>153</v>
      </c>
      <c r="J1397" s="62" t="s">
        <v>64</v>
      </c>
      <c r="K1397" s="62" t="s">
        <v>64</v>
      </c>
      <c r="L1397" s="62" t="s">
        <v>148</v>
      </c>
      <c r="M1397" s="62" t="n">
        <v>0</v>
      </c>
      <c r="N1397" s="62" t="n">
        <v>1</v>
      </c>
      <c r="O1397" s="62" t="n">
        <v>1</v>
      </c>
      <c r="P1397" s="62" t="n">
        <v>1</v>
      </c>
      <c r="Q1397" s="62" t="n">
        <v>1</v>
      </c>
      <c r="R1397" s="62" t="n">
        <v>0</v>
      </c>
      <c r="S1397" s="62" t="n">
        <v>0</v>
      </c>
      <c r="T1397" s="62" t="n">
        <v>0</v>
      </c>
      <c r="U1397" s="62"/>
      <c r="V1397" s="62"/>
      <c r="W1397" s="62"/>
      <c r="X1397" s="62"/>
      <c r="Y1397" s="62"/>
      <c r="Z1397" s="62" t="s">
        <v>2667</v>
      </c>
      <c r="AA1397" s="62" t="s">
        <v>2668</v>
      </c>
      <c r="AB1397" s="62" t="n">
        <v>1</v>
      </c>
      <c r="AC1397" s="62" t="n">
        <v>0</v>
      </c>
      <c r="AD1397" s="62" t="n">
        <v>0</v>
      </c>
      <c r="AE1397" s="62" t="n">
        <f aca="false">IF(AND(Dashboard!$C$9="Yes",AC1397=1),0,1)</f>
        <v>1</v>
      </c>
      <c r="AF1397" s="62" t="n">
        <v>1</v>
      </c>
    </row>
    <row r="1398" customFormat="false" ht="15" hidden="false" customHeight="false" outlineLevel="0" collapsed="false">
      <c r="A1398" s="62" t="n">
        <v>1397</v>
      </c>
      <c r="B1398" s="63" t="n">
        <v>46268.978287037</v>
      </c>
      <c r="C1398" s="64" t="n">
        <v>46268</v>
      </c>
      <c r="D1398" s="62" t="s">
        <v>202</v>
      </c>
      <c r="E1398" s="62" t="s">
        <v>212</v>
      </c>
      <c r="F1398" s="62" t="s">
        <v>212</v>
      </c>
      <c r="G1398" s="62" t="s">
        <v>213</v>
      </c>
      <c r="H1398" s="62" t="s">
        <v>58</v>
      </c>
      <c r="I1398" s="62" t="s">
        <v>49</v>
      </c>
      <c r="J1398" s="62" t="s">
        <v>146</v>
      </c>
      <c r="K1398" s="62" t="s">
        <v>175</v>
      </c>
      <c r="L1398" s="62" t="s">
        <v>148</v>
      </c>
      <c r="M1398" s="62" t="n">
        <v>0</v>
      </c>
      <c r="N1398" s="62" t="n">
        <v>1</v>
      </c>
      <c r="O1398" s="62" t="n">
        <v>1</v>
      </c>
      <c r="P1398" s="62" t="n">
        <v>0</v>
      </c>
      <c r="Q1398" s="62" t="n">
        <v>1</v>
      </c>
      <c r="R1398" s="62" t="n">
        <v>0</v>
      </c>
      <c r="S1398" s="62" t="n">
        <v>0</v>
      </c>
      <c r="T1398" s="62" t="n">
        <v>0</v>
      </c>
      <c r="U1398" s="62"/>
      <c r="V1398" s="62"/>
      <c r="W1398" s="62"/>
      <c r="X1398" s="62"/>
      <c r="Y1398" s="62"/>
      <c r="Z1398" s="62" t="s">
        <v>2669</v>
      </c>
      <c r="AA1398" s="62" t="s">
        <v>2670</v>
      </c>
      <c r="AB1398" s="62" t="n">
        <v>1</v>
      </c>
      <c r="AC1398" s="62" t="n">
        <v>0</v>
      </c>
      <c r="AD1398" s="62" t="n">
        <v>1</v>
      </c>
      <c r="AE1398" s="62" t="n">
        <f aca="false">IF(AND(Dashboard!$C$9="Yes",AC1398=1),0,1)</f>
        <v>1</v>
      </c>
      <c r="AF1398" s="62" t="n">
        <v>0</v>
      </c>
    </row>
    <row r="1399" customFormat="false" ht="15" hidden="false" customHeight="false" outlineLevel="0" collapsed="false">
      <c r="A1399" s="62" t="n">
        <v>1398</v>
      </c>
      <c r="B1399" s="63" t="n">
        <v>46268.9863541667</v>
      </c>
      <c r="C1399" s="64" t="n">
        <v>46268</v>
      </c>
      <c r="D1399" s="62" t="s">
        <v>202</v>
      </c>
      <c r="E1399" s="62" t="s">
        <v>865</v>
      </c>
      <c r="F1399" s="62" t="s">
        <v>865</v>
      </c>
      <c r="G1399" s="62" t="s">
        <v>866</v>
      </c>
      <c r="H1399" s="62" t="s">
        <v>46</v>
      </c>
      <c r="I1399" s="62" t="s">
        <v>47</v>
      </c>
      <c r="J1399" s="62" t="s">
        <v>146</v>
      </c>
      <c r="K1399" s="62" t="s">
        <v>209</v>
      </c>
      <c r="L1399" s="62" t="s">
        <v>148</v>
      </c>
      <c r="M1399" s="62" t="n">
        <v>0</v>
      </c>
      <c r="N1399" s="62" t="n">
        <v>1</v>
      </c>
      <c r="O1399" s="62" t="n">
        <v>1</v>
      </c>
      <c r="P1399" s="62" t="n">
        <v>1</v>
      </c>
      <c r="Q1399" s="62" t="n">
        <v>0</v>
      </c>
      <c r="R1399" s="62" t="n">
        <v>0</v>
      </c>
      <c r="S1399" s="62" t="n">
        <v>0</v>
      </c>
      <c r="T1399" s="62" t="n">
        <v>0</v>
      </c>
      <c r="U1399" s="62"/>
      <c r="V1399" s="62"/>
      <c r="W1399" s="62"/>
      <c r="X1399" s="62"/>
      <c r="Y1399" s="62"/>
      <c r="Z1399" s="62" t="s">
        <v>2671</v>
      </c>
      <c r="AA1399" s="62" t="s">
        <v>2672</v>
      </c>
      <c r="AB1399" s="62" t="n">
        <v>1</v>
      </c>
      <c r="AC1399" s="62" t="n">
        <v>0</v>
      </c>
      <c r="AD1399" s="62" t="n">
        <v>1</v>
      </c>
      <c r="AE1399" s="62" t="n">
        <f aca="false">IF(AND(Dashboard!$C$9="Yes",AC1399=1),0,1)</f>
        <v>1</v>
      </c>
      <c r="AF1399" s="62" t="n">
        <v>1</v>
      </c>
    </row>
    <row r="1400" customFormat="false" ht="15" hidden="false" customHeight="false" outlineLevel="0" collapsed="false">
      <c r="A1400" s="62" t="n">
        <v>1399</v>
      </c>
      <c r="B1400" s="63" t="n">
        <v>46268.9867824074</v>
      </c>
      <c r="C1400" s="64" t="n">
        <v>46268</v>
      </c>
      <c r="D1400" s="62" t="s">
        <v>202</v>
      </c>
      <c r="E1400" s="62" t="s">
        <v>865</v>
      </c>
      <c r="F1400" s="62" t="s">
        <v>865</v>
      </c>
      <c r="G1400" s="62" t="s">
        <v>866</v>
      </c>
      <c r="H1400" s="62" t="s">
        <v>46</v>
      </c>
      <c r="I1400" s="62" t="s">
        <v>47</v>
      </c>
      <c r="J1400" s="62" t="s">
        <v>146</v>
      </c>
      <c r="K1400" s="62" t="s">
        <v>209</v>
      </c>
      <c r="L1400" s="62" t="s">
        <v>148</v>
      </c>
      <c r="M1400" s="62" t="n">
        <v>0</v>
      </c>
      <c r="N1400" s="62" t="n">
        <v>1</v>
      </c>
      <c r="O1400" s="62" t="n">
        <v>1</v>
      </c>
      <c r="P1400" s="62" t="n">
        <v>1</v>
      </c>
      <c r="Q1400" s="62" t="n">
        <v>0</v>
      </c>
      <c r="R1400" s="62" t="n">
        <v>0</v>
      </c>
      <c r="S1400" s="62" t="n">
        <v>0</v>
      </c>
      <c r="T1400" s="62" t="n">
        <v>0</v>
      </c>
      <c r="U1400" s="62"/>
      <c r="V1400" s="62"/>
      <c r="W1400" s="62"/>
      <c r="X1400" s="62"/>
      <c r="Y1400" s="62"/>
      <c r="Z1400" s="62" t="s">
        <v>2673</v>
      </c>
      <c r="AA1400" s="62" t="s">
        <v>2582</v>
      </c>
      <c r="AB1400" s="62" t="n">
        <v>1</v>
      </c>
      <c r="AC1400" s="62" t="n">
        <v>0</v>
      </c>
      <c r="AD1400" s="62" t="n">
        <v>1</v>
      </c>
      <c r="AE1400" s="62" t="n">
        <f aca="false">IF(AND(Dashboard!$C$9="Yes",AC1400=1),0,1)</f>
        <v>1</v>
      </c>
      <c r="AF1400" s="62" t="n">
        <v>0</v>
      </c>
    </row>
    <row r="1401" customFormat="false" ht="15" hidden="false" customHeight="false" outlineLevel="0" collapsed="false">
      <c r="A1401" s="62" t="n">
        <v>1400</v>
      </c>
      <c r="B1401" s="63" t="n">
        <v>46268.9995138889</v>
      </c>
      <c r="C1401" s="64" t="n">
        <v>46268</v>
      </c>
      <c r="D1401" s="62" t="s">
        <v>202</v>
      </c>
      <c r="E1401" s="62" t="s">
        <v>203</v>
      </c>
      <c r="F1401" s="62" t="s">
        <v>203</v>
      </c>
      <c r="G1401" s="62" t="s">
        <v>204</v>
      </c>
      <c r="H1401" s="62" t="s">
        <v>51</v>
      </c>
      <c r="I1401" s="62" t="s">
        <v>47</v>
      </c>
      <c r="J1401" s="62" t="s">
        <v>146</v>
      </c>
      <c r="K1401" s="62" t="s">
        <v>147</v>
      </c>
      <c r="L1401" s="62" t="s">
        <v>4</v>
      </c>
      <c r="M1401" s="62" t="n">
        <v>1</v>
      </c>
      <c r="N1401" s="62" t="n">
        <v>0</v>
      </c>
      <c r="O1401" s="62" t="n">
        <v>1</v>
      </c>
      <c r="P1401" s="62" t="n">
        <v>0</v>
      </c>
      <c r="Q1401" s="62" t="n">
        <v>0</v>
      </c>
      <c r="R1401" s="62" t="n">
        <v>0</v>
      </c>
      <c r="S1401" s="62" t="n">
        <v>0</v>
      </c>
      <c r="T1401" s="62" t="n">
        <v>0</v>
      </c>
      <c r="U1401" s="62" t="s">
        <v>2056</v>
      </c>
      <c r="V1401" s="62" t="s">
        <v>2068</v>
      </c>
      <c r="W1401" s="62"/>
      <c r="X1401" s="62" t="s">
        <v>2164</v>
      </c>
      <c r="Y1401" s="62" t="s">
        <v>2064</v>
      </c>
      <c r="Z1401" s="62" t="s">
        <v>2674</v>
      </c>
      <c r="AA1401" s="62" t="s">
        <v>2675</v>
      </c>
      <c r="AB1401" s="62" t="n">
        <v>1</v>
      </c>
      <c r="AC1401" s="62" t="n">
        <v>0</v>
      </c>
      <c r="AD1401" s="62" t="n">
        <v>1</v>
      </c>
      <c r="AE1401" s="62" t="n">
        <f aca="false">IF(AND(Dashboard!$C$9="Yes",AC1401=1),0,1)</f>
        <v>1</v>
      </c>
      <c r="AF1401" s="62" t="n">
        <v>0</v>
      </c>
    </row>
    <row r="1402" customFormat="false" ht="15" hidden="false" customHeight="false" outlineLevel="0" collapsed="false">
      <c r="A1402" s="62" t="n">
        <v>1401</v>
      </c>
      <c r="B1402" s="63" t="n">
        <v>46269.0001851852</v>
      </c>
      <c r="C1402" s="64" t="n">
        <v>46268</v>
      </c>
      <c r="D1402" s="62" t="s">
        <v>202</v>
      </c>
      <c r="E1402" s="62" t="s">
        <v>2097</v>
      </c>
      <c r="F1402" s="62" t="s">
        <v>2097</v>
      </c>
      <c r="G1402" s="62" t="s">
        <v>2098</v>
      </c>
      <c r="H1402" s="62" t="s">
        <v>51</v>
      </c>
      <c r="I1402" s="62" t="s">
        <v>47</v>
      </c>
      <c r="J1402" s="62" t="s">
        <v>146</v>
      </c>
      <c r="K1402" s="62" t="s">
        <v>147</v>
      </c>
      <c r="L1402" s="62" t="s">
        <v>4</v>
      </c>
      <c r="M1402" s="62" t="n">
        <v>1</v>
      </c>
      <c r="N1402" s="62" t="n">
        <v>0</v>
      </c>
      <c r="O1402" s="62" t="n">
        <v>1</v>
      </c>
      <c r="P1402" s="62" t="n">
        <v>0</v>
      </c>
      <c r="Q1402" s="62" t="n">
        <v>0</v>
      </c>
      <c r="R1402" s="62" t="n">
        <v>0</v>
      </c>
      <c r="S1402" s="62" t="n">
        <v>0</v>
      </c>
      <c r="T1402" s="62" t="n">
        <v>0</v>
      </c>
      <c r="U1402" s="62" t="s">
        <v>15</v>
      </c>
      <c r="V1402" s="62" t="s">
        <v>2057</v>
      </c>
      <c r="W1402" s="62" t="s">
        <v>15</v>
      </c>
      <c r="X1402" s="62" t="s">
        <v>2058</v>
      </c>
      <c r="Y1402" s="62" t="s">
        <v>2059</v>
      </c>
      <c r="Z1402" s="62" t="s">
        <v>2676</v>
      </c>
      <c r="AA1402" s="62" t="s">
        <v>2677</v>
      </c>
      <c r="AB1402" s="62" t="n">
        <v>1</v>
      </c>
      <c r="AC1402" s="62" t="n">
        <v>0</v>
      </c>
      <c r="AD1402" s="62" t="n">
        <v>1</v>
      </c>
      <c r="AE1402" s="62" t="n">
        <f aca="false">IF(AND(Dashboard!$C$9="Yes",AC1402=1),0,1)</f>
        <v>1</v>
      </c>
      <c r="AF1402" s="62" t="n">
        <v>1</v>
      </c>
    </row>
    <row r="1403" customFormat="false" ht="15" hidden="false" customHeight="false" outlineLevel="0" collapsed="false">
      <c r="A1403" s="62" t="n">
        <v>1402</v>
      </c>
      <c r="B1403" s="63" t="n">
        <v>46269.0005902778</v>
      </c>
      <c r="C1403" s="64" t="n">
        <v>46268</v>
      </c>
      <c r="D1403" s="62" t="s">
        <v>202</v>
      </c>
      <c r="E1403" s="62" t="s">
        <v>196</v>
      </c>
      <c r="F1403" s="62" t="s">
        <v>196</v>
      </c>
      <c r="G1403" s="62" t="s">
        <v>197</v>
      </c>
      <c r="H1403" s="62" t="s">
        <v>57</v>
      </c>
      <c r="I1403" s="62" t="s">
        <v>47</v>
      </c>
      <c r="J1403" s="62" t="s">
        <v>146</v>
      </c>
      <c r="K1403" s="62" t="s">
        <v>175</v>
      </c>
      <c r="L1403" s="62" t="s">
        <v>4</v>
      </c>
      <c r="M1403" s="62" t="n">
        <v>1</v>
      </c>
      <c r="N1403" s="62" t="n">
        <v>0</v>
      </c>
      <c r="O1403" s="62" t="n">
        <v>1</v>
      </c>
      <c r="P1403" s="62" t="n">
        <v>0</v>
      </c>
      <c r="Q1403" s="62" t="n">
        <v>0</v>
      </c>
      <c r="R1403" s="62" t="n">
        <v>0</v>
      </c>
      <c r="S1403" s="62" t="n">
        <v>0</v>
      </c>
      <c r="T1403" s="62" t="n">
        <v>0</v>
      </c>
      <c r="U1403" s="62" t="s">
        <v>2056</v>
      </c>
      <c r="V1403" s="62" t="s">
        <v>2057</v>
      </c>
      <c r="W1403" s="62" t="s">
        <v>15</v>
      </c>
      <c r="X1403" s="62" t="s">
        <v>2058</v>
      </c>
      <c r="Y1403" s="62" t="s">
        <v>2059</v>
      </c>
      <c r="Z1403" s="62" t="s">
        <v>2678</v>
      </c>
      <c r="AA1403" s="62" t="s">
        <v>2679</v>
      </c>
      <c r="AB1403" s="62" t="n">
        <v>1</v>
      </c>
      <c r="AC1403" s="62" t="n">
        <v>0</v>
      </c>
      <c r="AD1403" s="62" t="n">
        <v>1</v>
      </c>
      <c r="AE1403" s="62" t="n">
        <f aca="false">IF(AND(Dashboard!$C$9="Yes",AC1403=1),0,1)</f>
        <v>1</v>
      </c>
      <c r="AF1403" s="62" t="n">
        <v>1</v>
      </c>
    </row>
    <row r="1404" customFormat="false" ht="15" hidden="false" customHeight="false" outlineLevel="0" collapsed="false">
      <c r="A1404" s="62" t="n">
        <v>1403</v>
      </c>
      <c r="B1404" s="63" t="n">
        <v>46269.0008564815</v>
      </c>
      <c r="C1404" s="64" t="n">
        <v>46268</v>
      </c>
      <c r="D1404" s="62" t="s">
        <v>202</v>
      </c>
      <c r="E1404" s="62" t="s">
        <v>2097</v>
      </c>
      <c r="F1404" s="62" t="s">
        <v>2097</v>
      </c>
      <c r="G1404" s="62" t="s">
        <v>2098</v>
      </c>
      <c r="H1404" s="62" t="s">
        <v>51</v>
      </c>
      <c r="I1404" s="62" t="s">
        <v>47</v>
      </c>
      <c r="J1404" s="62" t="s">
        <v>146</v>
      </c>
      <c r="K1404" s="62" t="s">
        <v>147</v>
      </c>
      <c r="L1404" s="62" t="s">
        <v>4</v>
      </c>
      <c r="M1404" s="62" t="n">
        <v>3</v>
      </c>
      <c r="N1404" s="62" t="n">
        <v>0</v>
      </c>
      <c r="O1404" s="62" t="n">
        <v>3</v>
      </c>
      <c r="P1404" s="62" t="n">
        <v>0</v>
      </c>
      <c r="Q1404" s="62" t="n">
        <v>0</v>
      </c>
      <c r="R1404" s="62" t="n">
        <v>0</v>
      </c>
      <c r="S1404" s="62" t="n">
        <v>0</v>
      </c>
      <c r="T1404" s="62" t="n">
        <v>0</v>
      </c>
      <c r="U1404" s="62" t="s">
        <v>2056</v>
      </c>
      <c r="V1404" s="62" t="s">
        <v>2057</v>
      </c>
      <c r="W1404" s="62" t="s">
        <v>15</v>
      </c>
      <c r="X1404" s="62" t="s">
        <v>2058</v>
      </c>
      <c r="Y1404" s="62" t="s">
        <v>2064</v>
      </c>
      <c r="Z1404" s="62" t="s">
        <v>2680</v>
      </c>
      <c r="AA1404" s="62" t="s">
        <v>2681</v>
      </c>
      <c r="AB1404" s="62" t="n">
        <v>1</v>
      </c>
      <c r="AC1404" s="62" t="n">
        <v>0</v>
      </c>
      <c r="AD1404" s="62" t="n">
        <v>1</v>
      </c>
      <c r="AE1404" s="62" t="n">
        <f aca="false">IF(AND(Dashboard!$C$9="Yes",AC1404=1),0,1)</f>
        <v>1</v>
      </c>
      <c r="AF1404" s="62" t="n">
        <v>0</v>
      </c>
    </row>
    <row r="1405" customFormat="false" ht="15" hidden="false" customHeight="false" outlineLevel="0" collapsed="false">
      <c r="A1405" s="62" t="n">
        <v>1404</v>
      </c>
      <c r="B1405" s="63" t="n">
        <v>46269.0030671296</v>
      </c>
      <c r="C1405" s="64" t="n">
        <v>46268</v>
      </c>
      <c r="D1405" s="62" t="s">
        <v>202</v>
      </c>
      <c r="E1405" s="62" t="s">
        <v>1616</v>
      </c>
      <c r="F1405" s="62" t="s">
        <v>1616</v>
      </c>
      <c r="G1405" s="62" t="s">
        <v>1617</v>
      </c>
      <c r="H1405" s="62" t="s">
        <v>51</v>
      </c>
      <c r="I1405" s="62" t="s">
        <v>47</v>
      </c>
      <c r="J1405" s="62" t="s">
        <v>146</v>
      </c>
      <c r="K1405" s="62" t="s">
        <v>175</v>
      </c>
      <c r="L1405" s="62" t="s">
        <v>4</v>
      </c>
      <c r="M1405" s="62" t="n">
        <v>1</v>
      </c>
      <c r="N1405" s="62" t="n">
        <v>0</v>
      </c>
      <c r="O1405" s="62" t="n">
        <v>1</v>
      </c>
      <c r="P1405" s="62" t="n">
        <v>0</v>
      </c>
      <c r="Q1405" s="62" t="n">
        <v>0</v>
      </c>
      <c r="R1405" s="62" t="n">
        <v>0</v>
      </c>
      <c r="S1405" s="62" t="n">
        <v>0</v>
      </c>
      <c r="T1405" s="62" t="n">
        <v>0</v>
      </c>
      <c r="U1405" s="62" t="s">
        <v>2056</v>
      </c>
      <c r="V1405" s="62" t="s">
        <v>2057</v>
      </c>
      <c r="W1405" s="62" t="s">
        <v>15</v>
      </c>
      <c r="X1405" s="62" t="s">
        <v>2103</v>
      </c>
      <c r="Y1405" s="62" t="s">
        <v>2059</v>
      </c>
      <c r="Z1405" s="62" t="s">
        <v>2682</v>
      </c>
      <c r="AA1405" s="62" t="s">
        <v>2683</v>
      </c>
      <c r="AB1405" s="62" t="n">
        <v>1</v>
      </c>
      <c r="AC1405" s="62" t="n">
        <v>0</v>
      </c>
      <c r="AD1405" s="62" t="n">
        <v>1</v>
      </c>
      <c r="AE1405" s="62" t="n">
        <f aca="false">IF(AND(Dashboard!$C$9="Yes",AC1405=1),0,1)</f>
        <v>1</v>
      </c>
      <c r="AF1405" s="62" t="n">
        <v>0</v>
      </c>
    </row>
    <row r="1406" customFormat="false" ht="15" hidden="false" customHeight="false" outlineLevel="0" collapsed="false">
      <c r="A1406" s="62" t="n">
        <v>1405</v>
      </c>
      <c r="B1406" s="63" t="n">
        <v>46269.0127777778</v>
      </c>
      <c r="C1406" s="64" t="n">
        <v>46268</v>
      </c>
      <c r="D1406" s="62" t="s">
        <v>202</v>
      </c>
      <c r="E1406" s="62" t="s">
        <v>273</v>
      </c>
      <c r="F1406" s="62" t="s">
        <v>273</v>
      </c>
      <c r="G1406" s="62" t="s">
        <v>274</v>
      </c>
      <c r="H1406" s="62" t="s">
        <v>59</v>
      </c>
      <c r="I1406" s="62" t="s">
        <v>47</v>
      </c>
      <c r="J1406" s="62" t="s">
        <v>146</v>
      </c>
      <c r="K1406" s="62" t="s">
        <v>147</v>
      </c>
      <c r="L1406" s="62" t="s">
        <v>148</v>
      </c>
      <c r="M1406" s="62" t="n">
        <v>0</v>
      </c>
      <c r="N1406" s="62" t="n">
        <v>1</v>
      </c>
      <c r="O1406" s="62" t="n">
        <v>1</v>
      </c>
      <c r="P1406" s="62" t="n">
        <v>1</v>
      </c>
      <c r="Q1406" s="62" t="n">
        <v>0</v>
      </c>
      <c r="R1406" s="62" t="n">
        <v>0</v>
      </c>
      <c r="S1406" s="62" t="n">
        <v>0</v>
      </c>
      <c r="T1406" s="62" t="n">
        <v>0</v>
      </c>
      <c r="U1406" s="62"/>
      <c r="V1406" s="62"/>
      <c r="W1406" s="62"/>
      <c r="X1406" s="62"/>
      <c r="Y1406" s="62"/>
      <c r="Z1406" s="62" t="s">
        <v>2684</v>
      </c>
      <c r="AA1406" s="62" t="s">
        <v>2685</v>
      </c>
      <c r="AB1406" s="62" t="n">
        <v>1</v>
      </c>
      <c r="AC1406" s="62" t="n">
        <v>0</v>
      </c>
      <c r="AD1406" s="62" t="n">
        <v>1</v>
      </c>
      <c r="AE1406" s="62" t="n">
        <f aca="false">IF(AND(Dashboard!$C$9="Yes",AC1406=1),0,1)</f>
        <v>1</v>
      </c>
      <c r="AF1406" s="62" t="n">
        <v>1</v>
      </c>
    </row>
    <row r="1407" customFormat="false" ht="15" hidden="false" customHeight="false" outlineLevel="0" collapsed="false">
      <c r="A1407" s="62" t="n">
        <v>1406</v>
      </c>
      <c r="B1407" s="63" t="n">
        <v>46269.0353240741</v>
      </c>
      <c r="C1407" s="64" t="n">
        <v>46268</v>
      </c>
      <c r="D1407" s="62" t="s">
        <v>202</v>
      </c>
      <c r="E1407" s="62" t="s">
        <v>2583</v>
      </c>
      <c r="F1407" s="62" t="s">
        <v>2583</v>
      </c>
      <c r="G1407" s="62" t="s">
        <v>2584</v>
      </c>
      <c r="H1407" s="62" t="s">
        <v>59</v>
      </c>
      <c r="I1407" s="62" t="s">
        <v>47</v>
      </c>
      <c r="J1407" s="62" t="s">
        <v>146</v>
      </c>
      <c r="K1407" s="62" t="s">
        <v>147</v>
      </c>
      <c r="L1407" s="62" t="s">
        <v>4</v>
      </c>
      <c r="M1407" s="62" t="n">
        <v>1</v>
      </c>
      <c r="N1407" s="62" t="n">
        <v>0</v>
      </c>
      <c r="O1407" s="62" t="n">
        <v>1</v>
      </c>
      <c r="P1407" s="62" t="n">
        <v>0</v>
      </c>
      <c r="Q1407" s="62" t="n">
        <v>0</v>
      </c>
      <c r="R1407" s="62" t="n">
        <v>0</v>
      </c>
      <c r="S1407" s="62" t="n">
        <v>0</v>
      </c>
      <c r="T1407" s="62" t="n">
        <v>0</v>
      </c>
      <c r="U1407" s="62" t="s">
        <v>2056</v>
      </c>
      <c r="V1407" s="62" t="s">
        <v>2068</v>
      </c>
      <c r="W1407" s="62"/>
      <c r="X1407" s="62"/>
      <c r="Y1407" s="62" t="s">
        <v>2103</v>
      </c>
      <c r="Z1407" s="62" t="s">
        <v>2686</v>
      </c>
      <c r="AA1407" s="62" t="s">
        <v>2687</v>
      </c>
      <c r="AB1407" s="62" t="n">
        <v>1</v>
      </c>
      <c r="AC1407" s="62" t="n">
        <v>0</v>
      </c>
      <c r="AD1407" s="62" t="n">
        <v>1</v>
      </c>
      <c r="AE1407" s="62" t="n">
        <f aca="false">IF(AND(Dashboard!$C$9="Yes",AC1407=1),0,1)</f>
        <v>1</v>
      </c>
      <c r="AF1407" s="62" t="n">
        <v>0</v>
      </c>
    </row>
    <row r="1408" customFormat="false" ht="15" hidden="false" customHeight="false" outlineLevel="0" collapsed="false">
      <c r="A1408" s="62" t="n">
        <v>1407</v>
      </c>
      <c r="B1408" s="63" t="n">
        <v>46269.0357060185</v>
      </c>
      <c r="C1408" s="64" t="n">
        <v>46268</v>
      </c>
      <c r="D1408" s="62" t="s">
        <v>202</v>
      </c>
      <c r="E1408" s="62" t="s">
        <v>2583</v>
      </c>
      <c r="F1408" s="62" t="s">
        <v>2583</v>
      </c>
      <c r="G1408" s="62" t="s">
        <v>2584</v>
      </c>
      <c r="H1408" s="62" t="s">
        <v>59</v>
      </c>
      <c r="I1408" s="62" t="s">
        <v>47</v>
      </c>
      <c r="J1408" s="62" t="s">
        <v>146</v>
      </c>
      <c r="K1408" s="62" t="s">
        <v>147</v>
      </c>
      <c r="L1408" s="62" t="s">
        <v>148</v>
      </c>
      <c r="M1408" s="62" t="n">
        <v>0</v>
      </c>
      <c r="N1408" s="62" t="n">
        <v>1</v>
      </c>
      <c r="O1408" s="62" t="n">
        <v>1</v>
      </c>
      <c r="P1408" s="62" t="n">
        <v>1</v>
      </c>
      <c r="Q1408" s="62" t="n">
        <v>0</v>
      </c>
      <c r="R1408" s="62" t="n">
        <v>0</v>
      </c>
      <c r="S1408" s="62" t="n">
        <v>0</v>
      </c>
      <c r="T1408" s="62" t="n">
        <v>0</v>
      </c>
      <c r="U1408" s="62"/>
      <c r="V1408" s="62"/>
      <c r="W1408" s="62"/>
      <c r="X1408" s="62"/>
      <c r="Y1408" s="62"/>
      <c r="Z1408" s="62" t="s">
        <v>2688</v>
      </c>
      <c r="AA1408" s="62" t="s">
        <v>2689</v>
      </c>
      <c r="AB1408" s="62" t="n">
        <v>1</v>
      </c>
      <c r="AC1408" s="62" t="n">
        <v>0</v>
      </c>
      <c r="AD1408" s="62" t="n">
        <v>1</v>
      </c>
      <c r="AE1408" s="62" t="n">
        <f aca="false">IF(AND(Dashboard!$C$9="Yes",AC1408=1),0,1)</f>
        <v>1</v>
      </c>
      <c r="AF1408" s="62" t="n">
        <v>0</v>
      </c>
    </row>
    <row r="1409" customFormat="false" ht="15" hidden="false" customHeight="false" outlineLevel="0" collapsed="false">
      <c r="A1409" s="62" t="n">
        <v>1408</v>
      </c>
      <c r="B1409" s="63" t="n">
        <v>46269.0575231482</v>
      </c>
      <c r="C1409" s="64" t="n">
        <v>46268</v>
      </c>
      <c r="D1409" s="62" t="s">
        <v>202</v>
      </c>
      <c r="E1409" s="62" t="s">
        <v>144</v>
      </c>
      <c r="F1409" s="62" t="s">
        <v>144</v>
      </c>
      <c r="G1409" s="62" t="s">
        <v>145</v>
      </c>
      <c r="H1409" s="62" t="s">
        <v>59</v>
      </c>
      <c r="I1409" s="62" t="s">
        <v>47</v>
      </c>
      <c r="J1409" s="62" t="s">
        <v>146</v>
      </c>
      <c r="K1409" s="62" t="s">
        <v>147</v>
      </c>
      <c r="L1409" s="62" t="s">
        <v>148</v>
      </c>
      <c r="M1409" s="62" t="n">
        <v>0</v>
      </c>
      <c r="N1409" s="62" t="n">
        <v>2</v>
      </c>
      <c r="O1409" s="62" t="n">
        <v>2</v>
      </c>
      <c r="P1409" s="62" t="n">
        <v>1</v>
      </c>
      <c r="Q1409" s="62" t="n">
        <v>0</v>
      </c>
      <c r="R1409" s="62" t="n">
        <v>1</v>
      </c>
      <c r="S1409" s="62" t="n">
        <v>0</v>
      </c>
      <c r="T1409" s="62" t="n">
        <v>0</v>
      </c>
      <c r="U1409" s="62"/>
      <c r="V1409" s="62"/>
      <c r="W1409" s="62"/>
      <c r="X1409" s="62"/>
      <c r="Y1409" s="62"/>
      <c r="Z1409" s="62" t="s">
        <v>2690</v>
      </c>
      <c r="AA1409" s="62" t="s">
        <v>2691</v>
      </c>
      <c r="AB1409" s="62" t="n">
        <v>1</v>
      </c>
      <c r="AC1409" s="62" t="n">
        <v>0</v>
      </c>
      <c r="AD1409" s="62" t="n">
        <v>1</v>
      </c>
      <c r="AE1409" s="62" t="n">
        <f aca="false">IF(AND(Dashboard!$C$9="Yes",AC1409=1),0,1)</f>
        <v>1</v>
      </c>
      <c r="AF1409" s="62" t="n">
        <v>1</v>
      </c>
    </row>
    <row r="1410" customFormat="false" ht="15" hidden="false" customHeight="false" outlineLevel="0" collapsed="false">
      <c r="A1410" s="62" t="n">
        <v>1409</v>
      </c>
      <c r="B1410" s="63" t="n">
        <v>46269.0577777778</v>
      </c>
      <c r="C1410" s="64" t="n">
        <v>46268</v>
      </c>
      <c r="D1410" s="62" t="s">
        <v>202</v>
      </c>
      <c r="E1410" s="62" t="s">
        <v>144</v>
      </c>
      <c r="F1410" s="62" t="s">
        <v>144</v>
      </c>
      <c r="G1410" s="62" t="s">
        <v>145</v>
      </c>
      <c r="H1410" s="62" t="s">
        <v>59</v>
      </c>
      <c r="I1410" s="62" t="s">
        <v>47</v>
      </c>
      <c r="J1410" s="62" t="s">
        <v>146</v>
      </c>
      <c r="K1410" s="62" t="s">
        <v>147</v>
      </c>
      <c r="L1410" s="62" t="s">
        <v>148</v>
      </c>
      <c r="M1410" s="62" t="n">
        <v>0</v>
      </c>
      <c r="N1410" s="62" t="n">
        <v>2</v>
      </c>
      <c r="O1410" s="62" t="n">
        <v>2</v>
      </c>
      <c r="P1410" s="62" t="n">
        <v>1</v>
      </c>
      <c r="Q1410" s="62" t="n">
        <v>0</v>
      </c>
      <c r="R1410" s="62" t="n">
        <v>1</v>
      </c>
      <c r="S1410" s="62" t="n">
        <v>0</v>
      </c>
      <c r="T1410" s="62" t="n">
        <v>0</v>
      </c>
      <c r="U1410" s="62"/>
      <c r="V1410" s="62"/>
      <c r="W1410" s="62"/>
      <c r="X1410" s="62"/>
      <c r="Y1410" s="62"/>
      <c r="Z1410" s="62" t="s">
        <v>2690</v>
      </c>
      <c r="AA1410" s="62" t="s">
        <v>2691</v>
      </c>
      <c r="AB1410" s="62" t="n">
        <v>1</v>
      </c>
      <c r="AC1410" s="62" t="n">
        <v>1</v>
      </c>
      <c r="AD1410" s="62" t="n">
        <v>1</v>
      </c>
      <c r="AE1410" s="62" t="n">
        <f aca="false">IF(AND(Dashboard!$C$9="Yes",AC1410=1),0,1)</f>
        <v>0</v>
      </c>
      <c r="AF1410" s="62" t="n">
        <v>0</v>
      </c>
    </row>
    <row r="1411" customFormat="false" ht="15" hidden="false" customHeight="false" outlineLevel="0" collapsed="false">
      <c r="A1411" s="62" t="n">
        <v>1410</v>
      </c>
      <c r="B1411" s="63" t="n">
        <v>46269.0580902778</v>
      </c>
      <c r="C1411" s="64" t="n">
        <v>46268</v>
      </c>
      <c r="D1411" s="62" t="s">
        <v>202</v>
      </c>
      <c r="E1411" s="62" t="s">
        <v>144</v>
      </c>
      <c r="F1411" s="62" t="s">
        <v>144</v>
      </c>
      <c r="G1411" s="62" t="s">
        <v>145</v>
      </c>
      <c r="H1411" s="62" t="s">
        <v>59</v>
      </c>
      <c r="I1411" s="62" t="s">
        <v>47</v>
      </c>
      <c r="J1411" s="62" t="s">
        <v>146</v>
      </c>
      <c r="K1411" s="62" t="s">
        <v>147</v>
      </c>
      <c r="L1411" s="62" t="s">
        <v>148</v>
      </c>
      <c r="M1411" s="62" t="n">
        <v>0</v>
      </c>
      <c r="N1411" s="62" t="n">
        <v>2</v>
      </c>
      <c r="O1411" s="62" t="n">
        <v>2</v>
      </c>
      <c r="P1411" s="62" t="n">
        <v>1</v>
      </c>
      <c r="Q1411" s="62" t="n">
        <v>0</v>
      </c>
      <c r="R1411" s="62" t="n">
        <v>1</v>
      </c>
      <c r="S1411" s="62" t="n">
        <v>0</v>
      </c>
      <c r="T1411" s="62" t="n">
        <v>0</v>
      </c>
      <c r="U1411" s="62"/>
      <c r="V1411" s="62"/>
      <c r="W1411" s="62"/>
      <c r="X1411" s="62"/>
      <c r="Y1411" s="62"/>
      <c r="Z1411" s="62" t="s">
        <v>2690</v>
      </c>
      <c r="AA1411" s="62" t="s">
        <v>2691</v>
      </c>
      <c r="AB1411" s="62" t="n">
        <v>1</v>
      </c>
      <c r="AC1411" s="62" t="n">
        <v>1</v>
      </c>
      <c r="AD1411" s="62" t="n">
        <v>1</v>
      </c>
      <c r="AE1411" s="62" t="n">
        <f aca="false">IF(AND(Dashboard!$C$9="Yes",AC1411=1),0,1)</f>
        <v>0</v>
      </c>
      <c r="AF1411" s="62" t="n">
        <v>0</v>
      </c>
    </row>
    <row r="1412" customFormat="false" ht="15" hidden="false" customHeight="false" outlineLevel="0" collapsed="false">
      <c r="A1412" s="62" t="n">
        <v>1411</v>
      </c>
      <c r="B1412" s="63" t="n">
        <v>46269.0582638889</v>
      </c>
      <c r="C1412" s="64" t="n">
        <v>46268</v>
      </c>
      <c r="D1412" s="62" t="s">
        <v>202</v>
      </c>
      <c r="E1412" s="62" t="s">
        <v>144</v>
      </c>
      <c r="F1412" s="62" t="s">
        <v>144</v>
      </c>
      <c r="G1412" s="62" t="s">
        <v>145</v>
      </c>
      <c r="H1412" s="62" t="s">
        <v>59</v>
      </c>
      <c r="I1412" s="62" t="s">
        <v>47</v>
      </c>
      <c r="J1412" s="62" t="s">
        <v>146</v>
      </c>
      <c r="K1412" s="62" t="s">
        <v>147</v>
      </c>
      <c r="L1412" s="62" t="s">
        <v>148</v>
      </c>
      <c r="M1412" s="62" t="n">
        <v>0</v>
      </c>
      <c r="N1412" s="62" t="n">
        <v>2</v>
      </c>
      <c r="O1412" s="62" t="n">
        <v>2</v>
      </c>
      <c r="P1412" s="62" t="n">
        <v>1</v>
      </c>
      <c r="Q1412" s="62" t="n">
        <v>0</v>
      </c>
      <c r="R1412" s="62" t="n">
        <v>1</v>
      </c>
      <c r="S1412" s="62" t="n">
        <v>0</v>
      </c>
      <c r="T1412" s="62" t="n">
        <v>0</v>
      </c>
      <c r="U1412" s="62"/>
      <c r="V1412" s="62"/>
      <c r="W1412" s="62"/>
      <c r="X1412" s="62"/>
      <c r="Y1412" s="62"/>
      <c r="Z1412" s="62" t="s">
        <v>2690</v>
      </c>
      <c r="AA1412" s="62" t="s">
        <v>2691</v>
      </c>
      <c r="AB1412" s="62" t="n">
        <v>1</v>
      </c>
      <c r="AC1412" s="62" t="n">
        <v>1</v>
      </c>
      <c r="AD1412" s="62" t="n">
        <v>1</v>
      </c>
      <c r="AE1412" s="62" t="n">
        <f aca="false">IF(AND(Dashboard!$C$9="Yes",AC1412=1),0,1)</f>
        <v>0</v>
      </c>
      <c r="AF1412" s="62" t="n">
        <v>0</v>
      </c>
    </row>
    <row r="1413" customFormat="false" ht="15" hidden="false" customHeight="false" outlineLevel="0" collapsed="false">
      <c r="A1413" s="62" t="n">
        <v>1412</v>
      </c>
      <c r="B1413" s="63" t="n">
        <v>46269.0782523148</v>
      </c>
      <c r="C1413" s="64" t="n">
        <v>46268</v>
      </c>
      <c r="D1413" s="62" t="s">
        <v>202</v>
      </c>
      <c r="E1413" s="62" t="s">
        <v>160</v>
      </c>
      <c r="F1413" s="62" t="s">
        <v>160</v>
      </c>
      <c r="G1413" s="62" t="s">
        <v>161</v>
      </c>
      <c r="H1413" s="62" t="s">
        <v>51</v>
      </c>
      <c r="I1413" s="62" t="s">
        <v>47</v>
      </c>
      <c r="J1413" s="62" t="s">
        <v>146</v>
      </c>
      <c r="K1413" s="62" t="s">
        <v>147</v>
      </c>
      <c r="L1413" s="62" t="s">
        <v>4</v>
      </c>
      <c r="M1413" s="62" t="n">
        <v>1</v>
      </c>
      <c r="N1413" s="62" t="n">
        <v>0</v>
      </c>
      <c r="O1413" s="62" t="n">
        <v>1</v>
      </c>
      <c r="P1413" s="62" t="n">
        <v>0</v>
      </c>
      <c r="Q1413" s="62" t="n">
        <v>0</v>
      </c>
      <c r="R1413" s="62" t="n">
        <v>0</v>
      </c>
      <c r="S1413" s="62" t="n">
        <v>0</v>
      </c>
      <c r="T1413" s="62" t="n">
        <v>0</v>
      </c>
      <c r="U1413" s="62" t="s">
        <v>2056</v>
      </c>
      <c r="V1413" s="62" t="s">
        <v>2057</v>
      </c>
      <c r="W1413" s="62" t="s">
        <v>15</v>
      </c>
      <c r="X1413" s="62" t="s">
        <v>2058</v>
      </c>
      <c r="Y1413" s="62" t="s">
        <v>2103</v>
      </c>
      <c r="Z1413" s="62" t="s">
        <v>2692</v>
      </c>
      <c r="AA1413" s="62" t="s">
        <v>2693</v>
      </c>
      <c r="AB1413" s="62" t="n">
        <v>1</v>
      </c>
      <c r="AC1413" s="62" t="n">
        <v>0</v>
      </c>
      <c r="AD1413" s="62" t="n">
        <v>1</v>
      </c>
      <c r="AE1413" s="62" t="n">
        <f aca="false">IF(AND(Dashboard!$C$9="Yes",AC1413=1),0,1)</f>
        <v>1</v>
      </c>
      <c r="AF1413" s="62" t="n">
        <v>1</v>
      </c>
    </row>
    <row r="1414" customFormat="false" ht="15" hidden="false" customHeight="false" outlineLevel="0" collapsed="false">
      <c r="A1414" s="62" t="n">
        <v>1413</v>
      </c>
      <c r="B1414" s="63" t="n">
        <v>46269.0927546296</v>
      </c>
      <c r="C1414" s="64" t="n">
        <v>46268</v>
      </c>
      <c r="D1414" s="62" t="s">
        <v>202</v>
      </c>
      <c r="E1414" s="62" t="s">
        <v>273</v>
      </c>
      <c r="F1414" s="62" t="s">
        <v>273</v>
      </c>
      <c r="G1414" s="62" t="s">
        <v>274</v>
      </c>
      <c r="H1414" s="62" t="s">
        <v>59</v>
      </c>
      <c r="I1414" s="62" t="s">
        <v>47</v>
      </c>
      <c r="J1414" s="62" t="s">
        <v>146</v>
      </c>
      <c r="K1414" s="62" t="s">
        <v>147</v>
      </c>
      <c r="L1414" s="62" t="s">
        <v>148</v>
      </c>
      <c r="M1414" s="62" t="n">
        <v>0</v>
      </c>
      <c r="N1414" s="62" t="n">
        <v>1</v>
      </c>
      <c r="O1414" s="62" t="n">
        <v>1</v>
      </c>
      <c r="P1414" s="62" t="n">
        <v>1</v>
      </c>
      <c r="Q1414" s="62" t="n">
        <v>0</v>
      </c>
      <c r="R1414" s="62" t="n">
        <v>0</v>
      </c>
      <c r="S1414" s="62" t="n">
        <v>0</v>
      </c>
      <c r="T1414" s="62" t="n">
        <v>0</v>
      </c>
      <c r="U1414" s="62"/>
      <c r="V1414" s="62"/>
      <c r="W1414" s="62"/>
      <c r="X1414" s="62"/>
      <c r="Y1414" s="62"/>
      <c r="Z1414" s="62" t="s">
        <v>2694</v>
      </c>
      <c r="AA1414" s="62" t="s">
        <v>2695</v>
      </c>
      <c r="AB1414" s="62" t="n">
        <v>1</v>
      </c>
      <c r="AC1414" s="62" t="n">
        <v>0</v>
      </c>
      <c r="AD1414" s="62" t="n">
        <v>1</v>
      </c>
      <c r="AE1414" s="62" t="n">
        <f aca="false">IF(AND(Dashboard!$C$9="Yes",AC1414=1),0,1)</f>
        <v>1</v>
      </c>
      <c r="AF1414" s="62" t="n">
        <v>0</v>
      </c>
    </row>
    <row r="1415" customFormat="false" ht="15" hidden="false" customHeight="false" outlineLevel="0" collapsed="false">
      <c r="A1415" s="62" t="n">
        <v>1414</v>
      </c>
      <c r="B1415" s="63" t="n">
        <v>46269.094224537</v>
      </c>
      <c r="C1415" s="64" t="n">
        <v>46268</v>
      </c>
      <c r="D1415" s="62" t="s">
        <v>202</v>
      </c>
      <c r="E1415" s="62" t="s">
        <v>2077</v>
      </c>
      <c r="F1415" s="62" t="s">
        <v>2077</v>
      </c>
      <c r="G1415" s="62" t="s">
        <v>2078</v>
      </c>
      <c r="H1415" s="62" t="s">
        <v>52</v>
      </c>
      <c r="I1415" s="62" t="s">
        <v>47</v>
      </c>
      <c r="J1415" s="62" t="s">
        <v>146</v>
      </c>
      <c r="K1415" s="62" t="s">
        <v>147</v>
      </c>
      <c r="L1415" s="62" t="s">
        <v>148</v>
      </c>
      <c r="M1415" s="62" t="n">
        <v>0</v>
      </c>
      <c r="N1415" s="62" t="n">
        <v>1</v>
      </c>
      <c r="O1415" s="62" t="n">
        <v>1</v>
      </c>
      <c r="P1415" s="62" t="n">
        <v>0</v>
      </c>
      <c r="Q1415" s="62" t="n">
        <v>1</v>
      </c>
      <c r="R1415" s="62" t="n">
        <v>0</v>
      </c>
      <c r="S1415" s="62" t="n">
        <v>0</v>
      </c>
      <c r="T1415" s="62" t="n">
        <v>0</v>
      </c>
      <c r="U1415" s="62"/>
      <c r="V1415" s="62"/>
      <c r="W1415" s="62"/>
      <c r="X1415" s="62"/>
      <c r="Y1415" s="62"/>
      <c r="Z1415" s="62" t="s">
        <v>2696</v>
      </c>
      <c r="AA1415" s="62" t="s">
        <v>2697</v>
      </c>
      <c r="AB1415" s="62" t="n">
        <v>1</v>
      </c>
      <c r="AC1415" s="62" t="n">
        <v>0</v>
      </c>
      <c r="AD1415" s="62" t="n">
        <v>1</v>
      </c>
      <c r="AE1415" s="62" t="n">
        <f aca="false">IF(AND(Dashboard!$C$9="Yes",AC1415=1),0,1)</f>
        <v>1</v>
      </c>
      <c r="AF1415" s="62" t="n">
        <v>1</v>
      </c>
    </row>
    <row r="1416" customFormat="false" ht="15" hidden="false" customHeight="false" outlineLevel="0" collapsed="false">
      <c r="A1416" s="62" t="n">
        <v>1415</v>
      </c>
      <c r="B1416" s="63" t="n">
        <v>46269.1062731482</v>
      </c>
      <c r="C1416" s="64" t="n">
        <v>46268</v>
      </c>
      <c r="D1416" s="62" t="s">
        <v>202</v>
      </c>
      <c r="E1416" s="62" t="s">
        <v>414</v>
      </c>
      <c r="F1416" s="62" t="s">
        <v>414</v>
      </c>
      <c r="G1416" s="62" t="s">
        <v>415</v>
      </c>
      <c r="H1416" s="62" t="s">
        <v>57</v>
      </c>
      <c r="I1416" s="62" t="s">
        <v>47</v>
      </c>
      <c r="J1416" s="62" t="s">
        <v>146</v>
      </c>
      <c r="K1416" s="62" t="s">
        <v>147</v>
      </c>
      <c r="L1416" s="62" t="s">
        <v>148</v>
      </c>
      <c r="M1416" s="62" t="n">
        <v>0</v>
      </c>
      <c r="N1416" s="62" t="n">
        <v>1</v>
      </c>
      <c r="O1416" s="62" t="n">
        <v>1</v>
      </c>
      <c r="P1416" s="62" t="n">
        <v>1</v>
      </c>
      <c r="Q1416" s="62" t="n">
        <v>0</v>
      </c>
      <c r="R1416" s="62" t="n">
        <v>0</v>
      </c>
      <c r="S1416" s="62" t="n">
        <v>0</v>
      </c>
      <c r="T1416" s="62" t="n">
        <v>0</v>
      </c>
      <c r="U1416" s="62"/>
      <c r="V1416" s="62"/>
      <c r="W1416" s="62"/>
      <c r="X1416" s="62"/>
      <c r="Y1416" s="62"/>
      <c r="Z1416" s="62" t="s">
        <v>2698</v>
      </c>
      <c r="AA1416" s="62" t="s">
        <v>2699</v>
      </c>
      <c r="AB1416" s="62" t="n">
        <v>1</v>
      </c>
      <c r="AC1416" s="62" t="n">
        <v>0</v>
      </c>
      <c r="AD1416" s="62" t="n">
        <v>1</v>
      </c>
      <c r="AE1416" s="62" t="n">
        <f aca="false">IF(AND(Dashboard!$C$9="Yes",AC1416=1),0,1)</f>
        <v>1</v>
      </c>
      <c r="AF1416" s="62" t="n">
        <v>0</v>
      </c>
    </row>
    <row r="1417" customFormat="false" ht="15" hidden="false" customHeight="false" outlineLevel="0" collapsed="false">
      <c r="A1417" s="62" t="n">
        <v>1416</v>
      </c>
      <c r="B1417" s="63" t="n">
        <v>46269.1068981482</v>
      </c>
      <c r="C1417" s="64" t="n">
        <v>46268</v>
      </c>
      <c r="D1417" s="62" t="s">
        <v>202</v>
      </c>
      <c r="E1417" s="62" t="s">
        <v>2637</v>
      </c>
      <c r="F1417" s="62" t="s">
        <v>2637</v>
      </c>
      <c r="G1417" s="62" t="s">
        <v>2638</v>
      </c>
      <c r="H1417" s="62" t="s">
        <v>52</v>
      </c>
      <c r="I1417" s="62" t="s">
        <v>47</v>
      </c>
      <c r="J1417" s="62" t="s">
        <v>146</v>
      </c>
      <c r="K1417" s="62" t="s">
        <v>147</v>
      </c>
      <c r="L1417" s="62" t="s">
        <v>148</v>
      </c>
      <c r="M1417" s="62" t="n">
        <v>0</v>
      </c>
      <c r="N1417" s="62" t="n">
        <v>1</v>
      </c>
      <c r="O1417" s="62" t="n">
        <v>1</v>
      </c>
      <c r="P1417" s="62" t="n">
        <v>1</v>
      </c>
      <c r="Q1417" s="62" t="n">
        <v>0</v>
      </c>
      <c r="R1417" s="62" t="n">
        <v>0</v>
      </c>
      <c r="S1417" s="62" t="n">
        <v>0</v>
      </c>
      <c r="T1417" s="62" t="n">
        <v>0</v>
      </c>
      <c r="U1417" s="62"/>
      <c r="V1417" s="62"/>
      <c r="W1417" s="62"/>
      <c r="X1417" s="62"/>
      <c r="Y1417" s="62"/>
      <c r="Z1417" s="62" t="s">
        <v>2700</v>
      </c>
      <c r="AA1417" s="62" t="s">
        <v>2701</v>
      </c>
      <c r="AB1417" s="62" t="n">
        <v>1</v>
      </c>
      <c r="AC1417" s="62" t="n">
        <v>0</v>
      </c>
      <c r="AD1417" s="62" t="n">
        <v>1</v>
      </c>
      <c r="AE1417" s="62" t="n">
        <f aca="false">IF(AND(Dashboard!$C$9="Yes",AC1417=1),0,1)</f>
        <v>1</v>
      </c>
      <c r="AF1417" s="62" t="n">
        <v>0</v>
      </c>
    </row>
    <row r="1418" customFormat="false" ht="15" hidden="false" customHeight="false" outlineLevel="0" collapsed="false">
      <c r="A1418" s="62" t="n">
        <v>1417</v>
      </c>
      <c r="B1418" s="63" t="n">
        <v>46269.1192361111</v>
      </c>
      <c r="C1418" s="64" t="n">
        <v>46268</v>
      </c>
      <c r="D1418" s="62" t="s">
        <v>202</v>
      </c>
      <c r="E1418" s="62" t="s">
        <v>1155</v>
      </c>
      <c r="F1418" s="62" t="s">
        <v>1155</v>
      </c>
      <c r="G1418" s="62" t="s">
        <v>1156</v>
      </c>
      <c r="H1418" s="62" t="s">
        <v>59</v>
      </c>
      <c r="I1418" s="62" t="s">
        <v>47</v>
      </c>
      <c r="J1418" s="62" t="s">
        <v>146</v>
      </c>
      <c r="K1418" s="62" t="s">
        <v>209</v>
      </c>
      <c r="L1418" s="62" t="s">
        <v>148</v>
      </c>
      <c r="M1418" s="62" t="n">
        <v>0</v>
      </c>
      <c r="N1418" s="62" t="n">
        <v>1</v>
      </c>
      <c r="O1418" s="62" t="n">
        <v>1</v>
      </c>
      <c r="P1418" s="62" t="n">
        <v>0</v>
      </c>
      <c r="Q1418" s="62" t="n">
        <v>0</v>
      </c>
      <c r="R1418" s="62" t="n">
        <v>1</v>
      </c>
      <c r="S1418" s="62" t="n">
        <v>0</v>
      </c>
      <c r="T1418" s="62" t="n">
        <v>0</v>
      </c>
      <c r="U1418" s="62"/>
      <c r="V1418" s="62"/>
      <c r="W1418" s="62"/>
      <c r="X1418" s="62"/>
      <c r="Y1418" s="62"/>
      <c r="Z1418" s="62" t="s">
        <v>2702</v>
      </c>
      <c r="AA1418" s="62" t="s">
        <v>2703</v>
      </c>
      <c r="AB1418" s="62" t="n">
        <v>1</v>
      </c>
      <c r="AC1418" s="62" t="n">
        <v>0</v>
      </c>
      <c r="AD1418" s="62" t="n">
        <v>1</v>
      </c>
      <c r="AE1418" s="62" t="n">
        <f aca="false">IF(AND(Dashboard!$C$9="Yes",AC1418=1),0,1)</f>
        <v>1</v>
      </c>
      <c r="AF1418" s="62" t="n">
        <v>1</v>
      </c>
    </row>
    <row r="1419" customFormat="false" ht="15" hidden="false" customHeight="false" outlineLevel="0" collapsed="false">
      <c r="A1419" s="62" t="n">
        <v>1418</v>
      </c>
      <c r="B1419" s="63" t="n">
        <v>46269.1569097222</v>
      </c>
      <c r="C1419" s="64" t="n">
        <v>46268</v>
      </c>
      <c r="D1419" s="62" t="s">
        <v>202</v>
      </c>
      <c r="E1419" s="62" t="s">
        <v>2183</v>
      </c>
      <c r="F1419" s="62" t="s">
        <v>2183</v>
      </c>
      <c r="G1419" s="62" t="s">
        <v>2184</v>
      </c>
      <c r="H1419" s="62" t="s">
        <v>59</v>
      </c>
      <c r="I1419" s="62" t="s">
        <v>47</v>
      </c>
      <c r="J1419" s="62" t="s">
        <v>146</v>
      </c>
      <c r="K1419" s="62" t="s">
        <v>209</v>
      </c>
      <c r="L1419" s="62" t="s">
        <v>148</v>
      </c>
      <c r="M1419" s="62" t="n">
        <v>0</v>
      </c>
      <c r="N1419" s="62" t="n">
        <v>1</v>
      </c>
      <c r="O1419" s="62" t="n">
        <v>1</v>
      </c>
      <c r="P1419" s="62" t="n">
        <v>1</v>
      </c>
      <c r="Q1419" s="62" t="n">
        <v>0</v>
      </c>
      <c r="R1419" s="62" t="n">
        <v>0</v>
      </c>
      <c r="S1419" s="62" t="n">
        <v>0</v>
      </c>
      <c r="T1419" s="62" t="n">
        <v>0</v>
      </c>
      <c r="U1419" s="62"/>
      <c r="V1419" s="62"/>
      <c r="W1419" s="62"/>
      <c r="X1419" s="62"/>
      <c r="Y1419" s="62"/>
      <c r="Z1419" s="62" t="s">
        <v>2704</v>
      </c>
      <c r="AA1419" s="62" t="s">
        <v>2705</v>
      </c>
      <c r="AB1419" s="62" t="n">
        <v>1</v>
      </c>
      <c r="AC1419" s="62" t="n">
        <v>0</v>
      </c>
      <c r="AD1419" s="62" t="n">
        <v>1</v>
      </c>
      <c r="AE1419" s="62" t="n">
        <f aca="false">IF(AND(Dashboard!$C$9="Yes",AC1419=1),0,1)</f>
        <v>1</v>
      </c>
      <c r="AF1419" s="62" t="n">
        <v>1</v>
      </c>
    </row>
    <row r="1420" customFormat="false" ht="15" hidden="false" customHeight="false" outlineLevel="0" collapsed="false">
      <c r="A1420" s="62" t="n">
        <v>1419</v>
      </c>
      <c r="B1420" s="63" t="n">
        <v>46269.1625231481</v>
      </c>
      <c r="C1420" s="64" t="n">
        <v>46268</v>
      </c>
      <c r="D1420" s="62" t="s">
        <v>202</v>
      </c>
      <c r="E1420" s="62" t="s">
        <v>2645</v>
      </c>
      <c r="F1420" s="62" t="s">
        <v>2645</v>
      </c>
      <c r="G1420" s="62" t="s">
        <v>2646</v>
      </c>
      <c r="H1420" s="62" t="s">
        <v>57</v>
      </c>
      <c r="I1420" s="62" t="s">
        <v>47</v>
      </c>
      <c r="J1420" s="62" t="s">
        <v>146</v>
      </c>
      <c r="K1420" s="62" t="s">
        <v>175</v>
      </c>
      <c r="L1420" s="62" t="s">
        <v>148</v>
      </c>
      <c r="M1420" s="62" t="n">
        <v>0</v>
      </c>
      <c r="N1420" s="62" t="n">
        <v>1</v>
      </c>
      <c r="O1420" s="62" t="n">
        <v>1</v>
      </c>
      <c r="P1420" s="62" t="n">
        <v>1</v>
      </c>
      <c r="Q1420" s="62" t="n">
        <v>0</v>
      </c>
      <c r="R1420" s="62" t="n">
        <v>0</v>
      </c>
      <c r="S1420" s="62" t="n">
        <v>0</v>
      </c>
      <c r="T1420" s="62" t="n">
        <v>0</v>
      </c>
      <c r="U1420" s="62"/>
      <c r="V1420" s="62"/>
      <c r="W1420" s="62"/>
      <c r="X1420" s="62"/>
      <c r="Y1420" s="62"/>
      <c r="Z1420" s="62" t="s">
        <v>2706</v>
      </c>
      <c r="AA1420" s="62" t="s">
        <v>2707</v>
      </c>
      <c r="AB1420" s="62" t="n">
        <v>1</v>
      </c>
      <c r="AC1420" s="62" t="n">
        <v>0</v>
      </c>
      <c r="AD1420" s="62" t="n">
        <v>1</v>
      </c>
      <c r="AE1420" s="62" t="n">
        <f aca="false">IF(AND(Dashboard!$C$9="Yes",AC1420=1),0,1)</f>
        <v>1</v>
      </c>
      <c r="AF1420" s="62" t="n">
        <v>0</v>
      </c>
    </row>
    <row r="1421" customFormat="false" ht="15" hidden="false" customHeight="false" outlineLevel="0" collapsed="false">
      <c r="A1421" s="62" t="n">
        <v>1420</v>
      </c>
      <c r="B1421" s="63" t="n">
        <v>46269.1778935185</v>
      </c>
      <c r="C1421" s="64" t="n">
        <v>46268</v>
      </c>
      <c r="D1421" s="62" t="s">
        <v>202</v>
      </c>
      <c r="E1421" s="62" t="s">
        <v>1314</v>
      </c>
      <c r="F1421" s="62" t="s">
        <v>1314</v>
      </c>
      <c r="G1421" s="62" t="s">
        <v>1315</v>
      </c>
      <c r="H1421" s="62" t="s">
        <v>51</v>
      </c>
      <c r="I1421" s="62" t="s">
        <v>47</v>
      </c>
      <c r="J1421" s="62" t="s">
        <v>146</v>
      </c>
      <c r="K1421" s="62" t="s">
        <v>209</v>
      </c>
      <c r="L1421" s="62" t="s">
        <v>4</v>
      </c>
      <c r="M1421" s="62" t="n">
        <v>1</v>
      </c>
      <c r="N1421" s="62" t="n">
        <v>0</v>
      </c>
      <c r="O1421" s="62" t="n">
        <v>1</v>
      </c>
      <c r="P1421" s="62" t="n">
        <v>0</v>
      </c>
      <c r="Q1421" s="62" t="n">
        <v>0</v>
      </c>
      <c r="R1421" s="62" t="n">
        <v>0</v>
      </c>
      <c r="S1421" s="62" t="n">
        <v>0</v>
      </c>
      <c r="T1421" s="62" t="n">
        <v>0</v>
      </c>
      <c r="U1421" s="62" t="s">
        <v>2056</v>
      </c>
      <c r="V1421" s="62" t="s">
        <v>2057</v>
      </c>
      <c r="W1421" s="62" t="s">
        <v>15</v>
      </c>
      <c r="X1421" s="62" t="s">
        <v>2180</v>
      </c>
      <c r="Y1421" s="62" t="s">
        <v>2059</v>
      </c>
      <c r="Z1421" s="62" t="s">
        <v>2708</v>
      </c>
      <c r="AA1421" s="62" t="s">
        <v>2709</v>
      </c>
      <c r="AB1421" s="62" t="n">
        <v>1</v>
      </c>
      <c r="AC1421" s="62" t="n">
        <v>0</v>
      </c>
      <c r="AD1421" s="62" t="n">
        <v>1</v>
      </c>
      <c r="AE1421" s="62" t="n">
        <f aca="false">IF(AND(Dashboard!$C$9="Yes",AC1421=1),0,1)</f>
        <v>1</v>
      </c>
      <c r="AF1421" s="62" t="n">
        <v>1</v>
      </c>
    </row>
    <row r="1422" customFormat="false" ht="15" hidden="false" customHeight="false" outlineLevel="0" collapsed="false">
      <c r="A1422" s="62" t="n">
        <v>1421</v>
      </c>
      <c r="B1422" s="63" t="n">
        <v>46269.1781944444</v>
      </c>
      <c r="C1422" s="64" t="n">
        <v>46268</v>
      </c>
      <c r="D1422" s="62" t="s">
        <v>202</v>
      </c>
      <c r="E1422" s="62" t="s">
        <v>2183</v>
      </c>
      <c r="F1422" s="62" t="s">
        <v>2183</v>
      </c>
      <c r="G1422" s="62" t="s">
        <v>2184</v>
      </c>
      <c r="H1422" s="62" t="s">
        <v>59</v>
      </c>
      <c r="I1422" s="62" t="s">
        <v>47</v>
      </c>
      <c r="J1422" s="62" t="s">
        <v>146</v>
      </c>
      <c r="K1422" s="62" t="s">
        <v>209</v>
      </c>
      <c r="L1422" s="62" t="s">
        <v>148</v>
      </c>
      <c r="M1422" s="62" t="n">
        <v>0</v>
      </c>
      <c r="N1422" s="62" t="n">
        <v>1</v>
      </c>
      <c r="O1422" s="62" t="n">
        <v>1</v>
      </c>
      <c r="P1422" s="62" t="n">
        <v>0</v>
      </c>
      <c r="Q1422" s="62" t="n">
        <v>1</v>
      </c>
      <c r="R1422" s="62" t="n">
        <v>0</v>
      </c>
      <c r="S1422" s="62" t="n">
        <v>0</v>
      </c>
      <c r="T1422" s="62" t="n">
        <v>0</v>
      </c>
      <c r="U1422" s="62"/>
      <c r="V1422" s="62"/>
      <c r="W1422" s="62"/>
      <c r="X1422" s="62"/>
      <c r="Y1422" s="62"/>
      <c r="Z1422" s="62" t="s">
        <v>2710</v>
      </c>
      <c r="AA1422" s="62" t="s">
        <v>2711</v>
      </c>
      <c r="AB1422" s="62" t="n">
        <v>1</v>
      </c>
      <c r="AC1422" s="62" t="n">
        <v>0</v>
      </c>
      <c r="AD1422" s="62" t="n">
        <v>1</v>
      </c>
      <c r="AE1422" s="62" t="n">
        <f aca="false">IF(AND(Dashboard!$C$9="Yes",AC1422=1),0,1)</f>
        <v>1</v>
      </c>
      <c r="AF1422" s="62" t="n">
        <v>0</v>
      </c>
    </row>
    <row r="1423" customFormat="false" ht="15" hidden="false" customHeight="false" outlineLevel="0" collapsed="false">
      <c r="A1423" s="62" t="n">
        <v>1422</v>
      </c>
      <c r="B1423" s="63" t="n">
        <v>46269.1784143519</v>
      </c>
      <c r="C1423" s="64" t="n">
        <v>46268</v>
      </c>
      <c r="D1423" s="62" t="s">
        <v>202</v>
      </c>
      <c r="E1423" s="62" t="s">
        <v>1314</v>
      </c>
      <c r="F1423" s="62" t="s">
        <v>1314</v>
      </c>
      <c r="G1423" s="62" t="s">
        <v>1315</v>
      </c>
      <c r="H1423" s="62" t="s">
        <v>51</v>
      </c>
      <c r="I1423" s="62" t="s">
        <v>47</v>
      </c>
      <c r="J1423" s="62" t="s">
        <v>146</v>
      </c>
      <c r="K1423" s="62" t="s">
        <v>209</v>
      </c>
      <c r="L1423" s="62" t="s">
        <v>148</v>
      </c>
      <c r="M1423" s="62" t="n">
        <v>0</v>
      </c>
      <c r="N1423" s="62" t="n">
        <v>1</v>
      </c>
      <c r="O1423" s="62" t="n">
        <v>1</v>
      </c>
      <c r="P1423" s="62" t="n">
        <v>0</v>
      </c>
      <c r="Q1423" s="62" t="n">
        <v>0</v>
      </c>
      <c r="R1423" s="62" t="n">
        <v>0</v>
      </c>
      <c r="S1423" s="62" t="n">
        <v>1</v>
      </c>
      <c r="T1423" s="62" t="n">
        <v>0</v>
      </c>
      <c r="U1423" s="62"/>
      <c r="V1423" s="62"/>
      <c r="W1423" s="62"/>
      <c r="X1423" s="62"/>
      <c r="Y1423" s="62"/>
      <c r="Z1423" s="62" t="s">
        <v>2708</v>
      </c>
      <c r="AA1423" s="62" t="s">
        <v>2709</v>
      </c>
      <c r="AB1423" s="62" t="n">
        <v>1</v>
      </c>
      <c r="AC1423" s="62" t="n">
        <v>0</v>
      </c>
      <c r="AD1423" s="62" t="n">
        <v>1</v>
      </c>
      <c r="AE1423" s="62" t="n">
        <f aca="false">IF(AND(Dashboard!$C$9="Yes",AC1423=1),0,1)</f>
        <v>1</v>
      </c>
      <c r="AF1423" s="62" t="n">
        <v>0</v>
      </c>
    </row>
    <row r="1424" customFormat="false" ht="15" hidden="false" customHeight="false" outlineLevel="0" collapsed="false">
      <c r="A1424" s="62" t="n">
        <v>1423</v>
      </c>
      <c r="B1424" s="63" t="n">
        <v>46269.1902083333</v>
      </c>
      <c r="C1424" s="64" t="n">
        <v>46268</v>
      </c>
      <c r="D1424" s="62" t="s">
        <v>202</v>
      </c>
      <c r="E1424" s="62" t="s">
        <v>144</v>
      </c>
      <c r="F1424" s="62" t="s">
        <v>144</v>
      </c>
      <c r="G1424" s="62" t="s">
        <v>145</v>
      </c>
      <c r="H1424" s="62" t="s">
        <v>59</v>
      </c>
      <c r="I1424" s="62" t="s">
        <v>47</v>
      </c>
      <c r="J1424" s="62" t="s">
        <v>146</v>
      </c>
      <c r="K1424" s="62" t="s">
        <v>147</v>
      </c>
      <c r="L1424" s="62" t="s">
        <v>148</v>
      </c>
      <c r="M1424" s="62" t="n">
        <v>0</v>
      </c>
      <c r="N1424" s="62" t="n">
        <v>1</v>
      </c>
      <c r="O1424" s="62" t="n">
        <v>1</v>
      </c>
      <c r="P1424" s="62" t="n">
        <v>1</v>
      </c>
      <c r="Q1424" s="62" t="n">
        <v>0</v>
      </c>
      <c r="R1424" s="62" t="n">
        <v>0</v>
      </c>
      <c r="S1424" s="62" t="n">
        <v>0</v>
      </c>
      <c r="T1424" s="62" t="n">
        <v>0</v>
      </c>
      <c r="U1424" s="62"/>
      <c r="V1424" s="62"/>
      <c r="W1424" s="62"/>
      <c r="X1424" s="62"/>
      <c r="Y1424" s="62"/>
      <c r="Z1424" s="62" t="s">
        <v>2712</v>
      </c>
      <c r="AA1424" s="62" t="s">
        <v>2713</v>
      </c>
      <c r="AB1424" s="62" t="n">
        <v>1</v>
      </c>
      <c r="AC1424" s="62" t="n">
        <v>0</v>
      </c>
      <c r="AD1424" s="62" t="n">
        <v>1</v>
      </c>
      <c r="AE1424" s="62" t="n">
        <f aca="false">IF(AND(Dashboard!$C$9="Yes",AC1424=1),0,1)</f>
        <v>1</v>
      </c>
      <c r="AF1424" s="62" t="n">
        <v>0</v>
      </c>
    </row>
    <row r="1425" customFormat="false" ht="15" hidden="false" customHeight="false" outlineLevel="0" collapsed="false">
      <c r="A1425" s="62" t="n">
        <v>1424</v>
      </c>
      <c r="B1425" s="63" t="n">
        <v>46269.1903935185</v>
      </c>
      <c r="C1425" s="64" t="n">
        <v>46268</v>
      </c>
      <c r="D1425" s="62" t="s">
        <v>202</v>
      </c>
      <c r="E1425" s="62" t="s">
        <v>144</v>
      </c>
      <c r="F1425" s="62" t="s">
        <v>144</v>
      </c>
      <c r="G1425" s="62" t="s">
        <v>145</v>
      </c>
      <c r="H1425" s="62" t="s">
        <v>59</v>
      </c>
      <c r="I1425" s="62" t="s">
        <v>47</v>
      </c>
      <c r="J1425" s="62" t="s">
        <v>146</v>
      </c>
      <c r="K1425" s="62" t="s">
        <v>147</v>
      </c>
      <c r="L1425" s="62" t="s">
        <v>148</v>
      </c>
      <c r="M1425" s="62" t="n">
        <v>0</v>
      </c>
      <c r="N1425" s="62" t="n">
        <v>1</v>
      </c>
      <c r="O1425" s="62" t="n">
        <v>1</v>
      </c>
      <c r="P1425" s="62" t="n">
        <v>1</v>
      </c>
      <c r="Q1425" s="62" t="n">
        <v>0</v>
      </c>
      <c r="R1425" s="62" t="n">
        <v>0</v>
      </c>
      <c r="S1425" s="62" t="n">
        <v>0</v>
      </c>
      <c r="T1425" s="62" t="n">
        <v>0</v>
      </c>
      <c r="U1425" s="62"/>
      <c r="V1425" s="62"/>
      <c r="W1425" s="62"/>
      <c r="X1425" s="62"/>
      <c r="Y1425" s="62"/>
      <c r="Z1425" s="62" t="s">
        <v>2712</v>
      </c>
      <c r="AA1425" s="62" t="s">
        <v>2713</v>
      </c>
      <c r="AB1425" s="62" t="n">
        <v>1</v>
      </c>
      <c r="AC1425" s="62" t="n">
        <v>1</v>
      </c>
      <c r="AD1425" s="62" t="n">
        <v>1</v>
      </c>
      <c r="AE1425" s="62" t="n">
        <f aca="false">IF(AND(Dashboard!$C$9="Yes",AC1425=1),0,1)</f>
        <v>0</v>
      </c>
      <c r="AF1425" s="62" t="n">
        <v>0</v>
      </c>
    </row>
    <row r="1426" customFormat="false" ht="15" hidden="false" customHeight="false" outlineLevel="0" collapsed="false">
      <c r="A1426" s="62" t="n">
        <v>1425</v>
      </c>
      <c r="B1426" s="63" t="n">
        <v>46269.1906597222</v>
      </c>
      <c r="C1426" s="64" t="n">
        <v>46268</v>
      </c>
      <c r="D1426" s="62" t="s">
        <v>202</v>
      </c>
      <c r="E1426" s="62" t="s">
        <v>144</v>
      </c>
      <c r="F1426" s="62" t="s">
        <v>144</v>
      </c>
      <c r="G1426" s="62" t="s">
        <v>145</v>
      </c>
      <c r="H1426" s="62" t="s">
        <v>59</v>
      </c>
      <c r="I1426" s="62" t="s">
        <v>47</v>
      </c>
      <c r="J1426" s="62" t="s">
        <v>146</v>
      </c>
      <c r="K1426" s="62" t="s">
        <v>147</v>
      </c>
      <c r="L1426" s="62" t="s">
        <v>148</v>
      </c>
      <c r="M1426" s="62" t="n">
        <v>0</v>
      </c>
      <c r="N1426" s="62" t="n">
        <v>1</v>
      </c>
      <c r="O1426" s="62" t="n">
        <v>1</v>
      </c>
      <c r="P1426" s="62" t="n">
        <v>1</v>
      </c>
      <c r="Q1426" s="62" t="n">
        <v>0</v>
      </c>
      <c r="R1426" s="62" t="n">
        <v>0</v>
      </c>
      <c r="S1426" s="62" t="n">
        <v>0</v>
      </c>
      <c r="T1426" s="62" t="n">
        <v>0</v>
      </c>
      <c r="U1426" s="62"/>
      <c r="V1426" s="62"/>
      <c r="W1426" s="62"/>
      <c r="X1426" s="62"/>
      <c r="Y1426" s="62"/>
      <c r="Z1426" s="62" t="s">
        <v>2712</v>
      </c>
      <c r="AA1426" s="62" t="s">
        <v>2713</v>
      </c>
      <c r="AB1426" s="62" t="n">
        <v>1</v>
      </c>
      <c r="AC1426" s="62" t="n">
        <v>1</v>
      </c>
      <c r="AD1426" s="62" t="n">
        <v>1</v>
      </c>
      <c r="AE1426" s="62" t="n">
        <f aca="false">IF(AND(Dashboard!$C$9="Yes",AC1426=1),0,1)</f>
        <v>0</v>
      </c>
      <c r="AF1426" s="62" t="n">
        <v>0</v>
      </c>
    </row>
    <row r="1427" customFormat="false" ht="15" hidden="false" customHeight="false" outlineLevel="0" collapsed="false">
      <c r="A1427" s="62" t="n">
        <v>1426</v>
      </c>
      <c r="B1427" s="63" t="n">
        <v>46269.1908217593</v>
      </c>
      <c r="C1427" s="64" t="n">
        <v>46268</v>
      </c>
      <c r="D1427" s="62" t="s">
        <v>202</v>
      </c>
      <c r="E1427" s="62" t="s">
        <v>144</v>
      </c>
      <c r="F1427" s="62" t="s">
        <v>144</v>
      </c>
      <c r="G1427" s="62" t="s">
        <v>145</v>
      </c>
      <c r="H1427" s="62" t="s">
        <v>59</v>
      </c>
      <c r="I1427" s="62" t="s">
        <v>47</v>
      </c>
      <c r="J1427" s="62" t="s">
        <v>146</v>
      </c>
      <c r="K1427" s="62" t="s">
        <v>147</v>
      </c>
      <c r="L1427" s="62" t="s">
        <v>148</v>
      </c>
      <c r="M1427" s="62" t="n">
        <v>0</v>
      </c>
      <c r="N1427" s="62" t="n">
        <v>1</v>
      </c>
      <c r="O1427" s="62" t="n">
        <v>1</v>
      </c>
      <c r="P1427" s="62" t="n">
        <v>1</v>
      </c>
      <c r="Q1427" s="62" t="n">
        <v>0</v>
      </c>
      <c r="R1427" s="62" t="n">
        <v>0</v>
      </c>
      <c r="S1427" s="62" t="n">
        <v>0</v>
      </c>
      <c r="T1427" s="62" t="n">
        <v>0</v>
      </c>
      <c r="U1427" s="62"/>
      <c r="V1427" s="62"/>
      <c r="W1427" s="62"/>
      <c r="X1427" s="62"/>
      <c r="Y1427" s="62"/>
      <c r="Z1427" s="62" t="s">
        <v>2712</v>
      </c>
      <c r="AA1427" s="62" t="s">
        <v>2713</v>
      </c>
      <c r="AB1427" s="62" t="n">
        <v>1</v>
      </c>
      <c r="AC1427" s="62" t="n">
        <v>1</v>
      </c>
      <c r="AD1427" s="62" t="n">
        <v>1</v>
      </c>
      <c r="AE1427" s="62" t="n">
        <f aca="false">IF(AND(Dashboard!$C$9="Yes",AC1427=1),0,1)</f>
        <v>0</v>
      </c>
      <c r="AF1427" s="62" t="n">
        <v>0</v>
      </c>
    </row>
    <row r="1428" customFormat="false" ht="15" hidden="false" customHeight="false" outlineLevel="0" collapsed="false">
      <c r="A1428" s="62" t="n">
        <v>1427</v>
      </c>
      <c r="B1428" s="63" t="n">
        <v>46269.2006828704</v>
      </c>
      <c r="C1428" s="64" t="n">
        <v>46268</v>
      </c>
      <c r="D1428" s="62" t="s">
        <v>202</v>
      </c>
      <c r="E1428" s="62" t="s">
        <v>1314</v>
      </c>
      <c r="F1428" s="62" t="s">
        <v>1314</v>
      </c>
      <c r="G1428" s="62" t="s">
        <v>1315</v>
      </c>
      <c r="H1428" s="62" t="s">
        <v>51</v>
      </c>
      <c r="I1428" s="62" t="s">
        <v>47</v>
      </c>
      <c r="J1428" s="62" t="s">
        <v>146</v>
      </c>
      <c r="K1428" s="62" t="s">
        <v>209</v>
      </c>
      <c r="L1428" s="62" t="s">
        <v>148</v>
      </c>
      <c r="M1428" s="62" t="n">
        <v>0</v>
      </c>
      <c r="N1428" s="62" t="n">
        <v>1</v>
      </c>
      <c r="O1428" s="62" t="n">
        <v>1</v>
      </c>
      <c r="P1428" s="62" t="n">
        <v>0</v>
      </c>
      <c r="Q1428" s="62" t="n">
        <v>1</v>
      </c>
      <c r="R1428" s="62" t="n">
        <v>0</v>
      </c>
      <c r="S1428" s="62" t="n">
        <v>0</v>
      </c>
      <c r="T1428" s="62" t="n">
        <v>0</v>
      </c>
      <c r="U1428" s="62"/>
      <c r="V1428" s="62"/>
      <c r="W1428" s="62"/>
      <c r="X1428" s="62"/>
      <c r="Y1428" s="62"/>
      <c r="Z1428" s="62" t="s">
        <v>2708</v>
      </c>
      <c r="AA1428" s="62" t="s">
        <v>2714</v>
      </c>
      <c r="AB1428" s="62" t="n">
        <v>1</v>
      </c>
      <c r="AC1428" s="62" t="n">
        <v>0</v>
      </c>
      <c r="AD1428" s="62" t="n">
        <v>1</v>
      </c>
      <c r="AE1428" s="62" t="n">
        <f aca="false">IF(AND(Dashboard!$C$9="Yes",AC1428=1),0,1)</f>
        <v>1</v>
      </c>
      <c r="AF1428" s="62" t="n">
        <v>0</v>
      </c>
    </row>
    <row r="1429" customFormat="false" ht="15" hidden="false" customHeight="false" outlineLevel="0" collapsed="false">
      <c r="A1429" s="62" t="n">
        <v>1428</v>
      </c>
      <c r="B1429" s="63" t="n">
        <v>46269.2063541667</v>
      </c>
      <c r="C1429" s="64" t="n">
        <v>46268</v>
      </c>
      <c r="D1429" s="62" t="s">
        <v>202</v>
      </c>
      <c r="E1429" s="62" t="s">
        <v>1539</v>
      </c>
      <c r="F1429" s="62" t="s">
        <v>1539</v>
      </c>
      <c r="G1429" s="62" t="s">
        <v>1540</v>
      </c>
      <c r="H1429" s="62" t="s">
        <v>52</v>
      </c>
      <c r="I1429" s="62" t="s">
        <v>47</v>
      </c>
      <c r="J1429" s="62" t="s">
        <v>146</v>
      </c>
      <c r="K1429" s="62" t="s">
        <v>147</v>
      </c>
      <c r="L1429" s="62" t="s">
        <v>148</v>
      </c>
      <c r="M1429" s="62" t="n">
        <v>0</v>
      </c>
      <c r="N1429" s="62" t="n">
        <v>1</v>
      </c>
      <c r="O1429" s="62" t="n">
        <v>1</v>
      </c>
      <c r="P1429" s="62" t="n">
        <v>1</v>
      </c>
      <c r="Q1429" s="62" t="n">
        <v>0</v>
      </c>
      <c r="R1429" s="62" t="n">
        <v>0</v>
      </c>
      <c r="S1429" s="62" t="n">
        <v>0</v>
      </c>
      <c r="T1429" s="62" t="n">
        <v>0</v>
      </c>
      <c r="U1429" s="62"/>
      <c r="V1429" s="62"/>
      <c r="W1429" s="62"/>
      <c r="X1429" s="62"/>
      <c r="Y1429" s="62"/>
      <c r="Z1429" s="62" t="s">
        <v>2715</v>
      </c>
      <c r="AA1429" s="62" t="s">
        <v>2716</v>
      </c>
      <c r="AB1429" s="62" t="n">
        <v>1</v>
      </c>
      <c r="AC1429" s="62" t="n">
        <v>0</v>
      </c>
      <c r="AD1429" s="62" t="n">
        <v>1</v>
      </c>
      <c r="AE1429" s="62" t="n">
        <f aca="false">IF(AND(Dashboard!$C$9="Yes",AC1429=1),0,1)</f>
        <v>1</v>
      </c>
      <c r="AF1429" s="62" t="n">
        <v>0</v>
      </c>
    </row>
    <row r="1430" customFormat="false" ht="15" hidden="false" customHeight="false" outlineLevel="0" collapsed="false">
      <c r="A1430" s="62" t="n">
        <v>1429</v>
      </c>
      <c r="B1430" s="63" t="n">
        <v>46269.2152546296</v>
      </c>
      <c r="C1430" s="64" t="n">
        <v>46268</v>
      </c>
      <c r="D1430" s="62" t="s">
        <v>202</v>
      </c>
      <c r="E1430" s="62" t="s">
        <v>144</v>
      </c>
      <c r="F1430" s="62" t="s">
        <v>144</v>
      </c>
      <c r="G1430" s="62" t="s">
        <v>145</v>
      </c>
      <c r="H1430" s="62" t="s">
        <v>59</v>
      </c>
      <c r="I1430" s="62" t="s">
        <v>47</v>
      </c>
      <c r="J1430" s="62" t="s">
        <v>146</v>
      </c>
      <c r="K1430" s="62" t="s">
        <v>147</v>
      </c>
      <c r="L1430" s="62" t="s">
        <v>148</v>
      </c>
      <c r="M1430" s="62" t="n">
        <v>0</v>
      </c>
      <c r="N1430" s="62" t="n">
        <v>1</v>
      </c>
      <c r="O1430" s="62" t="n">
        <v>1</v>
      </c>
      <c r="P1430" s="62" t="n">
        <v>1</v>
      </c>
      <c r="Q1430" s="62" t="n">
        <v>0</v>
      </c>
      <c r="R1430" s="62" t="n">
        <v>0</v>
      </c>
      <c r="S1430" s="62" t="n">
        <v>0</v>
      </c>
      <c r="T1430" s="62" t="n">
        <v>0</v>
      </c>
      <c r="U1430" s="62"/>
      <c r="V1430" s="62"/>
      <c r="W1430" s="62"/>
      <c r="X1430" s="62"/>
      <c r="Y1430" s="62"/>
      <c r="Z1430" s="62" t="s">
        <v>2717</v>
      </c>
      <c r="AA1430" s="62" t="s">
        <v>2718</v>
      </c>
      <c r="AB1430" s="62" t="n">
        <v>1</v>
      </c>
      <c r="AC1430" s="62" t="n">
        <v>0</v>
      </c>
      <c r="AD1430" s="62" t="n">
        <v>1</v>
      </c>
      <c r="AE1430" s="62" t="n">
        <f aca="false">IF(AND(Dashboard!$C$9="Yes",AC1430=1),0,1)</f>
        <v>1</v>
      </c>
      <c r="AF1430" s="62" t="n">
        <v>0</v>
      </c>
    </row>
    <row r="1431" customFormat="false" ht="15" hidden="false" customHeight="false" outlineLevel="0" collapsed="false">
      <c r="A1431" s="62" t="n">
        <v>1430</v>
      </c>
      <c r="B1431" s="63" t="n">
        <v>46269.2154166667</v>
      </c>
      <c r="C1431" s="64" t="n">
        <v>46268</v>
      </c>
      <c r="D1431" s="62" t="s">
        <v>202</v>
      </c>
      <c r="E1431" s="62" t="s">
        <v>144</v>
      </c>
      <c r="F1431" s="62" t="s">
        <v>144</v>
      </c>
      <c r="G1431" s="62" t="s">
        <v>145</v>
      </c>
      <c r="H1431" s="62" t="s">
        <v>59</v>
      </c>
      <c r="I1431" s="62" t="s">
        <v>47</v>
      </c>
      <c r="J1431" s="62" t="s">
        <v>146</v>
      </c>
      <c r="K1431" s="62" t="s">
        <v>147</v>
      </c>
      <c r="L1431" s="62" t="s">
        <v>148</v>
      </c>
      <c r="M1431" s="62" t="n">
        <v>0</v>
      </c>
      <c r="N1431" s="62" t="n">
        <v>1</v>
      </c>
      <c r="O1431" s="62" t="n">
        <v>1</v>
      </c>
      <c r="P1431" s="62" t="n">
        <v>1</v>
      </c>
      <c r="Q1431" s="62" t="n">
        <v>0</v>
      </c>
      <c r="R1431" s="62" t="n">
        <v>0</v>
      </c>
      <c r="S1431" s="62" t="n">
        <v>0</v>
      </c>
      <c r="T1431" s="62" t="n">
        <v>0</v>
      </c>
      <c r="U1431" s="62"/>
      <c r="V1431" s="62"/>
      <c r="W1431" s="62"/>
      <c r="X1431" s="62"/>
      <c r="Y1431" s="62"/>
      <c r="Z1431" s="62" t="s">
        <v>2717</v>
      </c>
      <c r="AA1431" s="62" t="s">
        <v>2718</v>
      </c>
      <c r="AB1431" s="62" t="n">
        <v>1</v>
      </c>
      <c r="AC1431" s="62" t="n">
        <v>1</v>
      </c>
      <c r="AD1431" s="62" t="n">
        <v>1</v>
      </c>
      <c r="AE1431" s="62" t="n">
        <f aca="false">IF(AND(Dashboard!$C$9="Yes",AC1431=1),0,1)</f>
        <v>0</v>
      </c>
      <c r="AF1431" s="62" t="n">
        <v>0</v>
      </c>
    </row>
    <row r="1432" customFormat="false" ht="15" hidden="false" customHeight="false" outlineLevel="0" collapsed="false">
      <c r="A1432" s="62" t="n">
        <v>1431</v>
      </c>
      <c r="B1432" s="63" t="n">
        <v>46269.2156944444</v>
      </c>
      <c r="C1432" s="64" t="n">
        <v>46268</v>
      </c>
      <c r="D1432" s="62" t="s">
        <v>202</v>
      </c>
      <c r="E1432" s="62" t="s">
        <v>144</v>
      </c>
      <c r="F1432" s="62" t="s">
        <v>144</v>
      </c>
      <c r="G1432" s="62" t="s">
        <v>145</v>
      </c>
      <c r="H1432" s="62" t="s">
        <v>59</v>
      </c>
      <c r="I1432" s="62" t="s">
        <v>47</v>
      </c>
      <c r="J1432" s="62" t="s">
        <v>146</v>
      </c>
      <c r="K1432" s="62" t="s">
        <v>147</v>
      </c>
      <c r="L1432" s="62" t="s">
        <v>148</v>
      </c>
      <c r="M1432" s="62" t="n">
        <v>0</v>
      </c>
      <c r="N1432" s="62" t="n">
        <v>1</v>
      </c>
      <c r="O1432" s="62" t="n">
        <v>1</v>
      </c>
      <c r="P1432" s="62" t="n">
        <v>1</v>
      </c>
      <c r="Q1432" s="62" t="n">
        <v>0</v>
      </c>
      <c r="R1432" s="62" t="n">
        <v>0</v>
      </c>
      <c r="S1432" s="62" t="n">
        <v>0</v>
      </c>
      <c r="T1432" s="62" t="n">
        <v>0</v>
      </c>
      <c r="U1432" s="62"/>
      <c r="V1432" s="62"/>
      <c r="W1432" s="62"/>
      <c r="X1432" s="62"/>
      <c r="Y1432" s="62"/>
      <c r="Z1432" s="62" t="s">
        <v>2717</v>
      </c>
      <c r="AA1432" s="62" t="s">
        <v>2718</v>
      </c>
      <c r="AB1432" s="62" t="n">
        <v>1</v>
      </c>
      <c r="AC1432" s="62" t="n">
        <v>1</v>
      </c>
      <c r="AD1432" s="62" t="n">
        <v>1</v>
      </c>
      <c r="AE1432" s="62" t="n">
        <f aca="false">IF(AND(Dashboard!$C$9="Yes",AC1432=1),0,1)</f>
        <v>0</v>
      </c>
      <c r="AF1432" s="62" t="n">
        <v>0</v>
      </c>
    </row>
    <row r="1433" customFormat="false" ht="15" hidden="false" customHeight="false" outlineLevel="0" collapsed="false">
      <c r="A1433" s="62" t="n">
        <v>1432</v>
      </c>
      <c r="B1433" s="63" t="n">
        <v>46269.2158796296</v>
      </c>
      <c r="C1433" s="64" t="n">
        <v>46268</v>
      </c>
      <c r="D1433" s="62" t="s">
        <v>202</v>
      </c>
      <c r="E1433" s="62" t="s">
        <v>144</v>
      </c>
      <c r="F1433" s="62" t="s">
        <v>144</v>
      </c>
      <c r="G1433" s="62" t="s">
        <v>145</v>
      </c>
      <c r="H1433" s="62" t="s">
        <v>59</v>
      </c>
      <c r="I1433" s="62" t="s">
        <v>47</v>
      </c>
      <c r="J1433" s="62" t="s">
        <v>146</v>
      </c>
      <c r="K1433" s="62" t="s">
        <v>147</v>
      </c>
      <c r="L1433" s="62" t="s">
        <v>148</v>
      </c>
      <c r="M1433" s="62" t="n">
        <v>0</v>
      </c>
      <c r="N1433" s="62" t="n">
        <v>1</v>
      </c>
      <c r="O1433" s="62" t="n">
        <v>1</v>
      </c>
      <c r="P1433" s="62" t="n">
        <v>1</v>
      </c>
      <c r="Q1433" s="62" t="n">
        <v>0</v>
      </c>
      <c r="R1433" s="62" t="n">
        <v>0</v>
      </c>
      <c r="S1433" s="62" t="n">
        <v>0</v>
      </c>
      <c r="T1433" s="62" t="n">
        <v>0</v>
      </c>
      <c r="U1433" s="62"/>
      <c r="V1433" s="62"/>
      <c r="W1433" s="62"/>
      <c r="X1433" s="62"/>
      <c r="Y1433" s="62"/>
      <c r="Z1433" s="62" t="s">
        <v>2717</v>
      </c>
      <c r="AA1433" s="62" t="s">
        <v>2718</v>
      </c>
      <c r="AB1433" s="62" t="n">
        <v>1</v>
      </c>
      <c r="AC1433" s="62" t="n">
        <v>1</v>
      </c>
      <c r="AD1433" s="62" t="n">
        <v>1</v>
      </c>
      <c r="AE1433" s="62" t="n">
        <f aca="false">IF(AND(Dashboard!$C$9="Yes",AC1433=1),0,1)</f>
        <v>0</v>
      </c>
      <c r="AF1433" s="62" t="n">
        <v>0</v>
      </c>
    </row>
    <row r="1434" customFormat="false" ht="15" hidden="false" customHeight="false" outlineLevel="0" collapsed="false">
      <c r="A1434" s="62" t="n">
        <v>1433</v>
      </c>
      <c r="B1434" s="63" t="n">
        <v>46269.2193055556</v>
      </c>
      <c r="C1434" s="64" t="n">
        <v>46268</v>
      </c>
      <c r="D1434" s="62" t="s">
        <v>202</v>
      </c>
      <c r="E1434" s="62" t="s">
        <v>1155</v>
      </c>
      <c r="F1434" s="62" t="s">
        <v>1155</v>
      </c>
      <c r="G1434" s="62" t="s">
        <v>1156</v>
      </c>
      <c r="H1434" s="62" t="s">
        <v>59</v>
      </c>
      <c r="I1434" s="62" t="s">
        <v>47</v>
      </c>
      <c r="J1434" s="62" t="s">
        <v>146</v>
      </c>
      <c r="K1434" s="62" t="s">
        <v>209</v>
      </c>
      <c r="L1434" s="62" t="s">
        <v>148</v>
      </c>
      <c r="M1434" s="62" t="n">
        <v>0</v>
      </c>
      <c r="N1434" s="62" t="n">
        <v>1</v>
      </c>
      <c r="O1434" s="62" t="n">
        <v>1</v>
      </c>
      <c r="P1434" s="62" t="n">
        <v>1</v>
      </c>
      <c r="Q1434" s="62" t="n">
        <v>0</v>
      </c>
      <c r="R1434" s="62" t="n">
        <v>0</v>
      </c>
      <c r="S1434" s="62" t="n">
        <v>0</v>
      </c>
      <c r="T1434" s="62" t="n">
        <v>0</v>
      </c>
      <c r="U1434" s="62"/>
      <c r="V1434" s="62"/>
      <c r="W1434" s="62"/>
      <c r="X1434" s="62"/>
      <c r="Y1434" s="62"/>
      <c r="Z1434" s="62" t="s">
        <v>2719</v>
      </c>
      <c r="AA1434" s="62" t="s">
        <v>2720</v>
      </c>
      <c r="AB1434" s="62" t="n">
        <v>1</v>
      </c>
      <c r="AC1434" s="62" t="n">
        <v>0</v>
      </c>
      <c r="AD1434" s="62" t="n">
        <v>1</v>
      </c>
      <c r="AE1434" s="62" t="n">
        <f aca="false">IF(AND(Dashboard!$C$9="Yes",AC1434=1),0,1)</f>
        <v>1</v>
      </c>
      <c r="AF1434" s="62" t="n">
        <v>0</v>
      </c>
    </row>
    <row r="1435" customFormat="false" ht="15" hidden="false" customHeight="false" outlineLevel="0" collapsed="false">
      <c r="A1435" s="62" t="n">
        <v>1434</v>
      </c>
      <c r="B1435" s="63" t="n">
        <v>46269.2222800926</v>
      </c>
      <c r="C1435" s="64" t="n">
        <v>46268</v>
      </c>
      <c r="D1435" s="62" t="s">
        <v>202</v>
      </c>
      <c r="E1435" s="62" t="s">
        <v>203</v>
      </c>
      <c r="F1435" s="62" t="s">
        <v>203</v>
      </c>
      <c r="G1435" s="62" t="s">
        <v>204</v>
      </c>
      <c r="H1435" s="62" t="s">
        <v>51</v>
      </c>
      <c r="I1435" s="62" t="s">
        <v>47</v>
      </c>
      <c r="J1435" s="62" t="s">
        <v>146</v>
      </c>
      <c r="K1435" s="62" t="s">
        <v>147</v>
      </c>
      <c r="L1435" s="62" t="s">
        <v>148</v>
      </c>
      <c r="M1435" s="62" t="n">
        <v>0</v>
      </c>
      <c r="N1435" s="62" t="n">
        <v>1</v>
      </c>
      <c r="O1435" s="62" t="n">
        <v>1</v>
      </c>
      <c r="P1435" s="62" t="n">
        <v>1</v>
      </c>
      <c r="Q1435" s="62" t="n">
        <v>0</v>
      </c>
      <c r="R1435" s="62" t="n">
        <v>0</v>
      </c>
      <c r="S1435" s="62" t="n">
        <v>0</v>
      </c>
      <c r="T1435" s="62" t="n">
        <v>0</v>
      </c>
      <c r="U1435" s="62"/>
      <c r="V1435" s="62"/>
      <c r="W1435" s="62"/>
      <c r="X1435" s="62"/>
      <c r="Y1435" s="62"/>
      <c r="Z1435" s="62" t="s">
        <v>2721</v>
      </c>
      <c r="AA1435" s="62" t="s">
        <v>485</v>
      </c>
      <c r="AB1435" s="62" t="n">
        <v>0</v>
      </c>
      <c r="AC1435" s="62" t="n">
        <v>0</v>
      </c>
      <c r="AD1435" s="62" t="n">
        <v>1</v>
      </c>
      <c r="AE1435" s="62" t="n">
        <f aca="false">IF(AND(Dashboard!$C$9="Yes",AC1435=1),0,1)</f>
        <v>1</v>
      </c>
      <c r="AF1435" s="62" t="n">
        <v>0</v>
      </c>
    </row>
    <row r="1436" customFormat="false" ht="15" hidden="false" customHeight="false" outlineLevel="0" collapsed="false">
      <c r="A1436" s="62" t="n">
        <v>1435</v>
      </c>
      <c r="B1436" s="63" t="n">
        <v>46269.6721412037</v>
      </c>
      <c r="C1436" s="64" t="n">
        <v>46269</v>
      </c>
      <c r="D1436" s="62" t="s">
        <v>288</v>
      </c>
      <c r="E1436" s="62" t="s">
        <v>2722</v>
      </c>
      <c r="F1436" s="62" t="s">
        <v>2722</v>
      </c>
      <c r="G1436" s="62" t="s">
        <v>2723</v>
      </c>
      <c r="H1436" s="62" t="s">
        <v>55</v>
      </c>
      <c r="I1436" s="62" t="s">
        <v>49</v>
      </c>
      <c r="J1436" s="62" t="s">
        <v>146</v>
      </c>
      <c r="K1436" s="62" t="s">
        <v>209</v>
      </c>
      <c r="L1436" s="62" t="s">
        <v>148</v>
      </c>
      <c r="M1436" s="62" t="n">
        <v>0</v>
      </c>
      <c r="N1436" s="62" t="n">
        <v>2</v>
      </c>
      <c r="O1436" s="62" t="n">
        <v>2</v>
      </c>
      <c r="P1436" s="62" t="n">
        <v>1</v>
      </c>
      <c r="Q1436" s="62" t="n">
        <v>0</v>
      </c>
      <c r="R1436" s="62" t="n">
        <v>1</v>
      </c>
      <c r="S1436" s="62" t="n">
        <v>0</v>
      </c>
      <c r="T1436" s="62" t="n">
        <v>0</v>
      </c>
      <c r="U1436" s="62"/>
      <c r="V1436" s="62"/>
      <c r="W1436" s="62"/>
      <c r="X1436" s="62"/>
      <c r="Y1436" s="62"/>
      <c r="Z1436" s="62" t="s">
        <v>2724</v>
      </c>
      <c r="AA1436" s="62" t="s">
        <v>2725</v>
      </c>
      <c r="AB1436" s="62" t="n">
        <v>1</v>
      </c>
      <c r="AC1436" s="62" t="n">
        <v>0</v>
      </c>
      <c r="AD1436" s="62" t="n">
        <v>1</v>
      </c>
      <c r="AE1436" s="62" t="n">
        <f aca="false">IF(AND(Dashboard!$C$9="Yes",AC1436=1),0,1)</f>
        <v>1</v>
      </c>
      <c r="AF1436" s="62" t="n">
        <v>1</v>
      </c>
    </row>
    <row r="1437" customFormat="false" ht="15" hidden="false" customHeight="false" outlineLevel="0" collapsed="false">
      <c r="A1437" s="62" t="n">
        <v>1436</v>
      </c>
      <c r="B1437" s="63" t="n">
        <v>46269.6802546296</v>
      </c>
      <c r="C1437" s="64" t="n">
        <v>46269</v>
      </c>
      <c r="D1437" s="62" t="s">
        <v>288</v>
      </c>
      <c r="E1437" s="62" t="s">
        <v>2722</v>
      </c>
      <c r="F1437" s="62" t="s">
        <v>2722</v>
      </c>
      <c r="G1437" s="62" t="s">
        <v>2723</v>
      </c>
      <c r="H1437" s="62" t="s">
        <v>55</v>
      </c>
      <c r="I1437" s="62" t="s">
        <v>49</v>
      </c>
      <c r="J1437" s="62" t="s">
        <v>146</v>
      </c>
      <c r="K1437" s="62" t="s">
        <v>209</v>
      </c>
      <c r="L1437" s="62" t="s">
        <v>4</v>
      </c>
      <c r="M1437" s="62" t="n">
        <v>2</v>
      </c>
      <c r="N1437" s="62" t="n">
        <v>0</v>
      </c>
      <c r="O1437" s="62" t="n">
        <v>2</v>
      </c>
      <c r="P1437" s="62" t="n">
        <v>0</v>
      </c>
      <c r="Q1437" s="62" t="n">
        <v>0</v>
      </c>
      <c r="R1437" s="62" t="n">
        <v>0</v>
      </c>
      <c r="S1437" s="62" t="n">
        <v>0</v>
      </c>
      <c r="T1437" s="62" t="n">
        <v>0</v>
      </c>
      <c r="U1437" s="62" t="s">
        <v>2056</v>
      </c>
      <c r="V1437" s="62" t="s">
        <v>2057</v>
      </c>
      <c r="W1437" s="62" t="s">
        <v>2056</v>
      </c>
      <c r="X1437" s="62" t="s">
        <v>2234</v>
      </c>
      <c r="Y1437" s="62" t="s">
        <v>2165</v>
      </c>
      <c r="Z1437" s="62" t="s">
        <v>2726</v>
      </c>
      <c r="AA1437" s="62" t="s">
        <v>2727</v>
      </c>
      <c r="AB1437" s="62" t="n">
        <v>1</v>
      </c>
      <c r="AC1437" s="62" t="n">
        <v>0</v>
      </c>
      <c r="AD1437" s="62" t="n">
        <v>1</v>
      </c>
      <c r="AE1437" s="62" t="n">
        <f aca="false">IF(AND(Dashboard!$C$9="Yes",AC1437=1),0,1)</f>
        <v>1</v>
      </c>
      <c r="AF1437" s="62" t="n">
        <v>0</v>
      </c>
    </row>
    <row r="1438" customFormat="false" ht="15" hidden="false" customHeight="false" outlineLevel="0" collapsed="false">
      <c r="A1438" s="62" t="n">
        <v>1437</v>
      </c>
      <c r="B1438" s="63" t="n">
        <v>46269.6805439815</v>
      </c>
      <c r="C1438" s="64" t="n">
        <v>46269</v>
      </c>
      <c r="D1438" s="62" t="s">
        <v>288</v>
      </c>
      <c r="E1438" s="62" t="s">
        <v>2722</v>
      </c>
      <c r="F1438" s="62" t="s">
        <v>2722</v>
      </c>
      <c r="G1438" s="62" t="s">
        <v>2723</v>
      </c>
      <c r="H1438" s="62" t="s">
        <v>55</v>
      </c>
      <c r="I1438" s="62" t="s">
        <v>49</v>
      </c>
      <c r="J1438" s="62" t="s">
        <v>146</v>
      </c>
      <c r="K1438" s="62" t="s">
        <v>209</v>
      </c>
      <c r="L1438" s="62" t="s">
        <v>148</v>
      </c>
      <c r="M1438" s="62" t="n">
        <v>0</v>
      </c>
      <c r="N1438" s="62" t="n">
        <v>1</v>
      </c>
      <c r="O1438" s="62" t="n">
        <v>1</v>
      </c>
      <c r="P1438" s="62" t="n">
        <v>1</v>
      </c>
      <c r="Q1438" s="62" t="n">
        <v>0</v>
      </c>
      <c r="R1438" s="62" t="n">
        <v>0</v>
      </c>
      <c r="S1438" s="62" t="n">
        <v>0</v>
      </c>
      <c r="T1438" s="62" t="n">
        <v>0</v>
      </c>
      <c r="U1438" s="62"/>
      <c r="V1438" s="62"/>
      <c r="W1438" s="62"/>
      <c r="X1438" s="62"/>
      <c r="Y1438" s="62"/>
      <c r="Z1438" s="62" t="s">
        <v>2728</v>
      </c>
      <c r="AA1438" s="62" t="s">
        <v>1056</v>
      </c>
      <c r="AB1438" s="62" t="n">
        <v>0</v>
      </c>
      <c r="AC1438" s="62" t="n">
        <v>0</v>
      </c>
      <c r="AD1438" s="62" t="n">
        <v>1</v>
      </c>
      <c r="AE1438" s="62" t="n">
        <f aca="false">IF(AND(Dashboard!$C$9="Yes",AC1438=1),0,1)</f>
        <v>1</v>
      </c>
      <c r="AF1438" s="62" t="n">
        <v>0</v>
      </c>
    </row>
    <row r="1439" customFormat="false" ht="15" hidden="false" customHeight="false" outlineLevel="0" collapsed="false">
      <c r="A1439" s="62" t="n">
        <v>1438</v>
      </c>
      <c r="B1439" s="63" t="n">
        <v>46269.6810069445</v>
      </c>
      <c r="C1439" s="64" t="n">
        <v>46269</v>
      </c>
      <c r="D1439" s="62" t="s">
        <v>288</v>
      </c>
      <c r="E1439" s="62" t="s">
        <v>2722</v>
      </c>
      <c r="F1439" s="62" t="s">
        <v>2722</v>
      </c>
      <c r="G1439" s="62" t="s">
        <v>2723</v>
      </c>
      <c r="H1439" s="62" t="s">
        <v>55</v>
      </c>
      <c r="I1439" s="62" t="s">
        <v>49</v>
      </c>
      <c r="J1439" s="62" t="s">
        <v>146</v>
      </c>
      <c r="K1439" s="62" t="s">
        <v>209</v>
      </c>
      <c r="L1439" s="62" t="s">
        <v>4</v>
      </c>
      <c r="M1439" s="62" t="n">
        <v>1</v>
      </c>
      <c r="N1439" s="62" t="n">
        <v>0</v>
      </c>
      <c r="O1439" s="62" t="n">
        <v>1</v>
      </c>
      <c r="P1439" s="62" t="n">
        <v>0</v>
      </c>
      <c r="Q1439" s="62" t="n">
        <v>0</v>
      </c>
      <c r="R1439" s="62" t="n">
        <v>0</v>
      </c>
      <c r="S1439" s="62" t="n">
        <v>0</v>
      </c>
      <c r="T1439" s="62" t="n">
        <v>0</v>
      </c>
      <c r="U1439" s="62" t="s">
        <v>2056</v>
      </c>
      <c r="V1439" s="62" t="s">
        <v>2057</v>
      </c>
      <c r="W1439" s="62" t="s">
        <v>15</v>
      </c>
      <c r="X1439" s="62" t="s">
        <v>2180</v>
      </c>
      <c r="Y1439" s="62" t="s">
        <v>2103</v>
      </c>
      <c r="Z1439" s="62" t="s">
        <v>2729</v>
      </c>
      <c r="AA1439" s="62" t="s">
        <v>1056</v>
      </c>
      <c r="AB1439" s="62" t="n">
        <v>0</v>
      </c>
      <c r="AC1439" s="62" t="n">
        <v>0</v>
      </c>
      <c r="AD1439" s="62" t="n">
        <v>1</v>
      </c>
      <c r="AE1439" s="62" t="n">
        <f aca="false">IF(AND(Dashboard!$C$9="Yes",AC1439=1),0,1)</f>
        <v>1</v>
      </c>
      <c r="AF1439" s="62" t="n">
        <v>0</v>
      </c>
    </row>
    <row r="1440" customFormat="false" ht="15" hidden="false" customHeight="false" outlineLevel="0" collapsed="false">
      <c r="A1440" s="62" t="n">
        <v>1439</v>
      </c>
      <c r="B1440" s="63" t="n">
        <v>46269.7159259259</v>
      </c>
      <c r="C1440" s="64" t="n">
        <v>46269</v>
      </c>
      <c r="D1440" s="62" t="s">
        <v>288</v>
      </c>
      <c r="E1440" s="62" t="s">
        <v>1005</v>
      </c>
      <c r="F1440" s="62" t="s">
        <v>1005</v>
      </c>
      <c r="G1440" s="62" t="s">
        <v>1006</v>
      </c>
      <c r="H1440" s="62" t="s">
        <v>46</v>
      </c>
      <c r="I1440" s="62" t="s">
        <v>47</v>
      </c>
      <c r="J1440" s="62" t="s">
        <v>146</v>
      </c>
      <c r="K1440" s="62" t="s">
        <v>209</v>
      </c>
      <c r="L1440" s="62" t="s">
        <v>4</v>
      </c>
      <c r="M1440" s="62" t="n">
        <v>1</v>
      </c>
      <c r="N1440" s="62" t="n">
        <v>0</v>
      </c>
      <c r="O1440" s="62" t="n">
        <v>1</v>
      </c>
      <c r="P1440" s="62" t="n">
        <v>0</v>
      </c>
      <c r="Q1440" s="62" t="n">
        <v>0</v>
      </c>
      <c r="R1440" s="62" t="n">
        <v>0</v>
      </c>
      <c r="S1440" s="62" t="n">
        <v>0</v>
      </c>
      <c r="T1440" s="62" t="n">
        <v>0</v>
      </c>
      <c r="U1440" s="62" t="s">
        <v>2056</v>
      </c>
      <c r="V1440" s="62" t="s">
        <v>2057</v>
      </c>
      <c r="W1440" s="62" t="s">
        <v>15</v>
      </c>
      <c r="X1440" s="62" t="s">
        <v>2058</v>
      </c>
      <c r="Y1440" s="62" t="s">
        <v>2059</v>
      </c>
      <c r="Z1440" s="62" t="s">
        <v>2730</v>
      </c>
      <c r="AA1440" s="62" t="s">
        <v>2731</v>
      </c>
      <c r="AB1440" s="62" t="n">
        <v>1</v>
      </c>
      <c r="AC1440" s="62" t="n">
        <v>0</v>
      </c>
      <c r="AD1440" s="62" t="n">
        <v>1</v>
      </c>
      <c r="AE1440" s="62" t="n">
        <f aca="false">IF(AND(Dashboard!$C$9="Yes",AC1440=1),0,1)</f>
        <v>1</v>
      </c>
      <c r="AF1440" s="62" t="n">
        <v>1</v>
      </c>
    </row>
    <row r="1441" customFormat="false" ht="15" hidden="false" customHeight="false" outlineLevel="0" collapsed="false">
      <c r="A1441" s="62" t="n">
        <v>1440</v>
      </c>
      <c r="B1441" s="63" t="n">
        <v>46269.7562962963</v>
      </c>
      <c r="C1441" s="64" t="n">
        <v>46269</v>
      </c>
      <c r="D1441" s="62" t="s">
        <v>288</v>
      </c>
      <c r="E1441" s="62" t="s">
        <v>650</v>
      </c>
      <c r="F1441" s="62" t="s">
        <v>650</v>
      </c>
      <c r="G1441" s="62" t="s">
        <v>651</v>
      </c>
      <c r="H1441" s="62" t="s">
        <v>59</v>
      </c>
      <c r="I1441" s="62" t="s">
        <v>47</v>
      </c>
      <c r="J1441" s="62" t="s">
        <v>146</v>
      </c>
      <c r="K1441" s="62" t="s">
        <v>209</v>
      </c>
      <c r="L1441" s="62" t="s">
        <v>4</v>
      </c>
      <c r="M1441" s="62" t="n">
        <v>1</v>
      </c>
      <c r="N1441" s="62" t="n">
        <v>0</v>
      </c>
      <c r="O1441" s="62" t="n">
        <v>1</v>
      </c>
      <c r="P1441" s="62" t="n">
        <v>0</v>
      </c>
      <c r="Q1441" s="62" t="n">
        <v>0</v>
      </c>
      <c r="R1441" s="62" t="n">
        <v>0</v>
      </c>
      <c r="S1441" s="62" t="n">
        <v>0</v>
      </c>
      <c r="T1441" s="62" t="n">
        <v>0</v>
      </c>
      <c r="U1441" s="62" t="s">
        <v>2056</v>
      </c>
      <c r="V1441" s="62" t="s">
        <v>2068</v>
      </c>
      <c r="W1441" s="62"/>
      <c r="X1441" s="62" t="s">
        <v>2125</v>
      </c>
      <c r="Y1441" s="62" t="s">
        <v>2181</v>
      </c>
      <c r="Z1441" s="62" t="s">
        <v>2732</v>
      </c>
      <c r="AA1441" s="62" t="s">
        <v>2733</v>
      </c>
      <c r="AB1441" s="62" t="n">
        <v>1</v>
      </c>
      <c r="AC1441" s="62" t="n">
        <v>0</v>
      </c>
      <c r="AD1441" s="62" t="n">
        <v>1</v>
      </c>
      <c r="AE1441" s="62" t="n">
        <f aca="false">IF(AND(Dashboard!$C$9="Yes",AC1441=1),0,1)</f>
        <v>1</v>
      </c>
      <c r="AF1441" s="62" t="n">
        <v>1</v>
      </c>
    </row>
    <row r="1442" customFormat="false" ht="15" hidden="false" customHeight="false" outlineLevel="0" collapsed="false">
      <c r="A1442" s="62" t="n">
        <v>1441</v>
      </c>
      <c r="B1442" s="63" t="n">
        <v>46269.7653935185</v>
      </c>
      <c r="C1442" s="64" t="n">
        <v>46269</v>
      </c>
      <c r="D1442" s="62" t="s">
        <v>288</v>
      </c>
      <c r="E1442" s="62" t="s">
        <v>1005</v>
      </c>
      <c r="F1442" s="62" t="s">
        <v>1005</v>
      </c>
      <c r="G1442" s="62" t="s">
        <v>1006</v>
      </c>
      <c r="H1442" s="62" t="s">
        <v>46</v>
      </c>
      <c r="I1442" s="62" t="s">
        <v>47</v>
      </c>
      <c r="J1442" s="62" t="s">
        <v>146</v>
      </c>
      <c r="K1442" s="62" t="s">
        <v>209</v>
      </c>
      <c r="L1442" s="62" t="s">
        <v>148</v>
      </c>
      <c r="M1442" s="62" t="n">
        <v>0</v>
      </c>
      <c r="N1442" s="62" t="n">
        <v>1</v>
      </c>
      <c r="O1442" s="62" t="n">
        <v>1</v>
      </c>
      <c r="P1442" s="62" t="n">
        <v>0</v>
      </c>
      <c r="Q1442" s="62" t="n">
        <v>1</v>
      </c>
      <c r="R1442" s="62" t="n">
        <v>0</v>
      </c>
      <c r="S1442" s="62" t="n">
        <v>0</v>
      </c>
      <c r="T1442" s="62" t="n">
        <v>0</v>
      </c>
      <c r="U1442" s="62"/>
      <c r="V1442" s="62"/>
      <c r="W1442" s="62"/>
      <c r="X1442" s="62"/>
      <c r="Y1442" s="62"/>
      <c r="Z1442" s="62" t="s">
        <v>2734</v>
      </c>
      <c r="AA1442" s="62" t="s">
        <v>485</v>
      </c>
      <c r="AB1442" s="62" t="n">
        <v>0</v>
      </c>
      <c r="AC1442" s="62" t="n">
        <v>0</v>
      </c>
      <c r="AD1442" s="62" t="n">
        <v>1</v>
      </c>
      <c r="AE1442" s="62" t="n">
        <f aca="false">IF(AND(Dashboard!$C$9="Yes",AC1442=1),0,1)</f>
        <v>1</v>
      </c>
      <c r="AF1442" s="62" t="n">
        <v>0</v>
      </c>
    </row>
    <row r="1443" customFormat="false" ht="15" hidden="false" customHeight="false" outlineLevel="0" collapsed="false">
      <c r="A1443" s="62" t="n">
        <v>1442</v>
      </c>
      <c r="B1443" s="63" t="n">
        <v>46269.7962962963</v>
      </c>
      <c r="C1443" s="64" t="n">
        <v>46269</v>
      </c>
      <c r="D1443" s="62" t="s">
        <v>288</v>
      </c>
      <c r="E1443" s="62" t="s">
        <v>1005</v>
      </c>
      <c r="F1443" s="62" t="s">
        <v>1005</v>
      </c>
      <c r="G1443" s="62" t="s">
        <v>1006</v>
      </c>
      <c r="H1443" s="62" t="s">
        <v>46</v>
      </c>
      <c r="I1443" s="62" t="s">
        <v>47</v>
      </c>
      <c r="J1443" s="62" t="s">
        <v>146</v>
      </c>
      <c r="K1443" s="62" t="s">
        <v>209</v>
      </c>
      <c r="L1443" s="62" t="s">
        <v>148</v>
      </c>
      <c r="M1443" s="62" t="n">
        <v>0</v>
      </c>
      <c r="N1443" s="62" t="n">
        <v>1</v>
      </c>
      <c r="O1443" s="62" t="n">
        <v>1</v>
      </c>
      <c r="P1443" s="62" t="n">
        <v>0</v>
      </c>
      <c r="Q1443" s="62" t="n">
        <v>1</v>
      </c>
      <c r="R1443" s="62" t="n">
        <v>0</v>
      </c>
      <c r="S1443" s="62" t="n">
        <v>0</v>
      </c>
      <c r="T1443" s="62" t="n">
        <v>0</v>
      </c>
      <c r="U1443" s="62"/>
      <c r="V1443" s="62"/>
      <c r="W1443" s="62"/>
      <c r="X1443" s="62"/>
      <c r="Y1443" s="62"/>
      <c r="Z1443" s="62" t="s">
        <v>2735</v>
      </c>
      <c r="AA1443" s="62" t="s">
        <v>485</v>
      </c>
      <c r="AB1443" s="62" t="n">
        <v>0</v>
      </c>
      <c r="AC1443" s="62" t="n">
        <v>0</v>
      </c>
      <c r="AD1443" s="62" t="n">
        <v>1</v>
      </c>
      <c r="AE1443" s="62" t="n">
        <f aca="false">IF(AND(Dashboard!$C$9="Yes",AC1443=1),0,1)</f>
        <v>1</v>
      </c>
      <c r="AF1443" s="62" t="n">
        <v>0</v>
      </c>
    </row>
    <row r="1444" customFormat="false" ht="15" hidden="false" customHeight="false" outlineLevel="0" collapsed="false">
      <c r="A1444" s="62" t="n">
        <v>1443</v>
      </c>
      <c r="B1444" s="63" t="n">
        <v>46269.7976041667</v>
      </c>
      <c r="C1444" s="64" t="n">
        <v>46269</v>
      </c>
      <c r="D1444" s="62" t="s">
        <v>288</v>
      </c>
      <c r="E1444" s="62" t="s">
        <v>2722</v>
      </c>
      <c r="F1444" s="62" t="s">
        <v>2722</v>
      </c>
      <c r="G1444" s="62" t="s">
        <v>2723</v>
      </c>
      <c r="H1444" s="62" t="s">
        <v>55</v>
      </c>
      <c r="I1444" s="62" t="s">
        <v>49</v>
      </c>
      <c r="J1444" s="62" t="s">
        <v>146</v>
      </c>
      <c r="K1444" s="62" t="s">
        <v>209</v>
      </c>
      <c r="L1444" s="62" t="s">
        <v>148</v>
      </c>
      <c r="M1444" s="62" t="n">
        <v>0</v>
      </c>
      <c r="N1444" s="62" t="n">
        <v>1</v>
      </c>
      <c r="O1444" s="62" t="n">
        <v>1</v>
      </c>
      <c r="P1444" s="62" t="n">
        <v>1</v>
      </c>
      <c r="Q1444" s="62" t="n">
        <v>0</v>
      </c>
      <c r="R1444" s="62" t="n">
        <v>0</v>
      </c>
      <c r="S1444" s="62" t="n">
        <v>0</v>
      </c>
      <c r="T1444" s="62" t="n">
        <v>0</v>
      </c>
      <c r="U1444" s="62"/>
      <c r="V1444" s="62"/>
      <c r="W1444" s="62"/>
      <c r="X1444" s="62"/>
      <c r="Y1444" s="62"/>
      <c r="Z1444" s="62" t="s">
        <v>2736</v>
      </c>
      <c r="AA1444" s="62" t="s">
        <v>2737</v>
      </c>
      <c r="AB1444" s="62" t="n">
        <v>1</v>
      </c>
      <c r="AC1444" s="62" t="n">
        <v>0</v>
      </c>
      <c r="AD1444" s="62" t="n">
        <v>1</v>
      </c>
      <c r="AE1444" s="62" t="n">
        <f aca="false">IF(AND(Dashboard!$C$9="Yes",AC1444=1),0,1)</f>
        <v>1</v>
      </c>
      <c r="AF1444" s="62" t="n">
        <v>0</v>
      </c>
    </row>
    <row r="1445" customFormat="false" ht="15" hidden="false" customHeight="false" outlineLevel="0" collapsed="false">
      <c r="A1445" s="62" t="n">
        <v>1444</v>
      </c>
      <c r="B1445" s="63" t="n">
        <v>46269.8014351852</v>
      </c>
      <c r="C1445" s="64" t="n">
        <v>46269</v>
      </c>
      <c r="D1445" s="62" t="s">
        <v>288</v>
      </c>
      <c r="E1445" s="62" t="s">
        <v>212</v>
      </c>
      <c r="F1445" s="62" t="s">
        <v>212</v>
      </c>
      <c r="G1445" s="62" t="s">
        <v>213</v>
      </c>
      <c r="H1445" s="62" t="s">
        <v>58</v>
      </c>
      <c r="I1445" s="62" t="s">
        <v>49</v>
      </c>
      <c r="J1445" s="62" t="s">
        <v>146</v>
      </c>
      <c r="K1445" s="62" t="s">
        <v>175</v>
      </c>
      <c r="L1445" s="62" t="s">
        <v>148</v>
      </c>
      <c r="M1445" s="62" t="n">
        <v>0</v>
      </c>
      <c r="N1445" s="62" t="n">
        <v>2</v>
      </c>
      <c r="O1445" s="62" t="n">
        <v>2</v>
      </c>
      <c r="P1445" s="62" t="n">
        <v>0</v>
      </c>
      <c r="Q1445" s="62" t="n">
        <v>1</v>
      </c>
      <c r="R1445" s="62" t="n">
        <v>1</v>
      </c>
      <c r="S1445" s="62" t="n">
        <v>0</v>
      </c>
      <c r="T1445" s="62" t="n">
        <v>0</v>
      </c>
      <c r="U1445" s="62"/>
      <c r="V1445" s="62"/>
      <c r="W1445" s="62"/>
      <c r="X1445" s="62"/>
      <c r="Y1445" s="62"/>
      <c r="Z1445" s="62" t="s">
        <v>2738</v>
      </c>
      <c r="AA1445" s="62" t="s">
        <v>2739</v>
      </c>
      <c r="AB1445" s="62" t="n">
        <v>1</v>
      </c>
      <c r="AC1445" s="62" t="n">
        <v>0</v>
      </c>
      <c r="AD1445" s="62" t="n">
        <v>1</v>
      </c>
      <c r="AE1445" s="62" t="n">
        <f aca="false">IF(AND(Dashboard!$C$9="Yes",AC1445=1),0,1)</f>
        <v>1</v>
      </c>
      <c r="AF1445" s="62" t="n">
        <v>1</v>
      </c>
    </row>
    <row r="1446" customFormat="false" ht="15" hidden="false" customHeight="false" outlineLevel="0" collapsed="false">
      <c r="A1446" s="62" t="n">
        <v>1445</v>
      </c>
      <c r="B1446" s="63" t="n">
        <v>46269.8041319445</v>
      </c>
      <c r="C1446" s="64" t="n">
        <v>46269</v>
      </c>
      <c r="D1446" s="62" t="s">
        <v>288</v>
      </c>
      <c r="E1446" s="62" t="s">
        <v>1005</v>
      </c>
      <c r="F1446" s="62" t="s">
        <v>1005</v>
      </c>
      <c r="G1446" s="62" t="s">
        <v>1006</v>
      </c>
      <c r="H1446" s="62" t="s">
        <v>46</v>
      </c>
      <c r="I1446" s="62" t="s">
        <v>47</v>
      </c>
      <c r="J1446" s="62" t="s">
        <v>146</v>
      </c>
      <c r="K1446" s="62" t="s">
        <v>209</v>
      </c>
      <c r="L1446" s="62" t="s">
        <v>148</v>
      </c>
      <c r="M1446" s="62" t="n">
        <v>0</v>
      </c>
      <c r="N1446" s="62" t="n">
        <v>2</v>
      </c>
      <c r="O1446" s="62" t="n">
        <v>2</v>
      </c>
      <c r="P1446" s="62" t="n">
        <v>1</v>
      </c>
      <c r="Q1446" s="62" t="n">
        <v>1</v>
      </c>
      <c r="R1446" s="62" t="n">
        <v>0</v>
      </c>
      <c r="S1446" s="62" t="n">
        <v>0</v>
      </c>
      <c r="T1446" s="62" t="n">
        <v>0</v>
      </c>
      <c r="U1446" s="62"/>
      <c r="V1446" s="62"/>
      <c r="W1446" s="62"/>
      <c r="X1446" s="62"/>
      <c r="Y1446" s="62"/>
      <c r="Z1446" s="62" t="s">
        <v>2735</v>
      </c>
      <c r="AA1446" s="62" t="s">
        <v>485</v>
      </c>
      <c r="AB1446" s="62" t="n">
        <v>0</v>
      </c>
      <c r="AC1446" s="62" t="n">
        <v>0</v>
      </c>
      <c r="AD1446" s="62" t="n">
        <v>1</v>
      </c>
      <c r="AE1446" s="62" t="n">
        <f aca="false">IF(AND(Dashboard!$C$9="Yes",AC1446=1),0,1)</f>
        <v>1</v>
      </c>
      <c r="AF1446" s="62" t="n">
        <v>0</v>
      </c>
    </row>
    <row r="1447" customFormat="false" ht="15" hidden="false" customHeight="false" outlineLevel="0" collapsed="false">
      <c r="A1447" s="62" t="n">
        <v>1446</v>
      </c>
      <c r="B1447" s="63" t="n">
        <v>46269.8322106482</v>
      </c>
      <c r="C1447" s="64" t="n">
        <v>46269</v>
      </c>
      <c r="D1447" s="62" t="s">
        <v>288</v>
      </c>
      <c r="E1447" s="62" t="s">
        <v>212</v>
      </c>
      <c r="F1447" s="62" t="s">
        <v>212</v>
      </c>
      <c r="G1447" s="62" t="s">
        <v>213</v>
      </c>
      <c r="H1447" s="62" t="s">
        <v>58</v>
      </c>
      <c r="I1447" s="62" t="s">
        <v>49</v>
      </c>
      <c r="J1447" s="62" t="s">
        <v>146</v>
      </c>
      <c r="K1447" s="62" t="s">
        <v>175</v>
      </c>
      <c r="L1447" s="62" t="s">
        <v>148</v>
      </c>
      <c r="M1447" s="62" t="n">
        <v>0</v>
      </c>
      <c r="N1447" s="62" t="n">
        <v>1</v>
      </c>
      <c r="O1447" s="62" t="n">
        <v>1</v>
      </c>
      <c r="P1447" s="62" t="n">
        <v>0</v>
      </c>
      <c r="Q1447" s="62" t="n">
        <v>1</v>
      </c>
      <c r="R1447" s="62" t="n">
        <v>0</v>
      </c>
      <c r="S1447" s="62" t="n">
        <v>0</v>
      </c>
      <c r="T1447" s="62" t="n">
        <v>0</v>
      </c>
      <c r="U1447" s="62"/>
      <c r="V1447" s="62"/>
      <c r="W1447" s="62"/>
      <c r="X1447" s="62"/>
      <c r="Y1447" s="62"/>
      <c r="Z1447" s="62" t="s">
        <v>2740</v>
      </c>
      <c r="AA1447" s="62" t="s">
        <v>2741</v>
      </c>
      <c r="AB1447" s="62" t="n">
        <v>1</v>
      </c>
      <c r="AC1447" s="62" t="n">
        <v>0</v>
      </c>
      <c r="AD1447" s="62" t="n">
        <v>1</v>
      </c>
      <c r="AE1447" s="62" t="n">
        <f aca="false">IF(AND(Dashboard!$C$9="Yes",AC1447=1),0,1)</f>
        <v>1</v>
      </c>
      <c r="AF1447" s="62" t="n">
        <v>0</v>
      </c>
    </row>
    <row r="1448" customFormat="false" ht="15" hidden="false" customHeight="false" outlineLevel="0" collapsed="false">
      <c r="A1448" s="62" t="n">
        <v>1447</v>
      </c>
      <c r="B1448" s="63" t="n">
        <v>46269.8325231482</v>
      </c>
      <c r="C1448" s="64" t="n">
        <v>46269</v>
      </c>
      <c r="D1448" s="62" t="s">
        <v>288</v>
      </c>
      <c r="E1448" s="62" t="s">
        <v>212</v>
      </c>
      <c r="F1448" s="62" t="s">
        <v>212</v>
      </c>
      <c r="G1448" s="62" t="s">
        <v>213</v>
      </c>
      <c r="H1448" s="62" t="s">
        <v>58</v>
      </c>
      <c r="I1448" s="62" t="s">
        <v>49</v>
      </c>
      <c r="J1448" s="62" t="s">
        <v>146</v>
      </c>
      <c r="K1448" s="62" t="s">
        <v>175</v>
      </c>
      <c r="L1448" s="62" t="s">
        <v>148</v>
      </c>
      <c r="M1448" s="62" t="n">
        <v>0</v>
      </c>
      <c r="N1448" s="62" t="n">
        <v>1</v>
      </c>
      <c r="O1448" s="62" t="n">
        <v>1</v>
      </c>
      <c r="P1448" s="62" t="n">
        <v>0</v>
      </c>
      <c r="Q1448" s="62" t="n">
        <v>0</v>
      </c>
      <c r="R1448" s="62" t="n">
        <v>1</v>
      </c>
      <c r="S1448" s="62" t="n">
        <v>0</v>
      </c>
      <c r="T1448" s="62" t="n">
        <v>0</v>
      </c>
      <c r="U1448" s="62"/>
      <c r="V1448" s="62"/>
      <c r="W1448" s="62"/>
      <c r="X1448" s="62"/>
      <c r="Y1448" s="62"/>
      <c r="Z1448" s="62" t="s">
        <v>2740</v>
      </c>
      <c r="AA1448" s="62" t="s">
        <v>2739</v>
      </c>
      <c r="AB1448" s="62" t="n">
        <v>1</v>
      </c>
      <c r="AC1448" s="62" t="n">
        <v>0</v>
      </c>
      <c r="AD1448" s="62" t="n">
        <v>1</v>
      </c>
      <c r="AE1448" s="62" t="n">
        <f aca="false">IF(AND(Dashboard!$C$9="Yes",AC1448=1),0,1)</f>
        <v>1</v>
      </c>
      <c r="AF1448" s="62" t="n">
        <v>0</v>
      </c>
    </row>
    <row r="1449" customFormat="false" ht="15" hidden="false" customHeight="false" outlineLevel="0" collapsed="false">
      <c r="A1449" s="62" t="n">
        <v>1448</v>
      </c>
      <c r="B1449" s="63" t="n">
        <v>46269.8508333333</v>
      </c>
      <c r="C1449" s="64" t="n">
        <v>46269</v>
      </c>
      <c r="D1449" s="62" t="s">
        <v>288</v>
      </c>
      <c r="E1449" s="62" t="s">
        <v>203</v>
      </c>
      <c r="F1449" s="62" t="s">
        <v>203</v>
      </c>
      <c r="G1449" s="62" t="s">
        <v>204</v>
      </c>
      <c r="H1449" s="62" t="s">
        <v>51</v>
      </c>
      <c r="I1449" s="62" t="s">
        <v>47</v>
      </c>
      <c r="J1449" s="62" t="s">
        <v>146</v>
      </c>
      <c r="K1449" s="62" t="s">
        <v>147</v>
      </c>
      <c r="L1449" s="62" t="s">
        <v>148</v>
      </c>
      <c r="M1449" s="62" t="n">
        <v>0</v>
      </c>
      <c r="N1449" s="62" t="n">
        <v>1</v>
      </c>
      <c r="O1449" s="62" t="n">
        <v>1</v>
      </c>
      <c r="P1449" s="62" t="n">
        <v>1</v>
      </c>
      <c r="Q1449" s="62" t="n">
        <v>0</v>
      </c>
      <c r="R1449" s="62" t="n">
        <v>0</v>
      </c>
      <c r="S1449" s="62" t="n">
        <v>0</v>
      </c>
      <c r="T1449" s="62" t="n">
        <v>0</v>
      </c>
      <c r="U1449" s="62"/>
      <c r="V1449" s="62"/>
      <c r="W1449" s="62"/>
      <c r="X1449" s="62"/>
      <c r="Y1449" s="62"/>
      <c r="Z1449" s="62" t="s">
        <v>2742</v>
      </c>
      <c r="AA1449" s="62" t="s">
        <v>485</v>
      </c>
      <c r="AB1449" s="62" t="n">
        <v>0</v>
      </c>
      <c r="AC1449" s="62" t="n">
        <v>0</v>
      </c>
      <c r="AD1449" s="62" t="n">
        <v>1</v>
      </c>
      <c r="AE1449" s="62" t="n">
        <f aca="false">IF(AND(Dashboard!$C$9="Yes",AC1449=1),0,1)</f>
        <v>1</v>
      </c>
      <c r="AF1449" s="62" t="n">
        <v>1</v>
      </c>
    </row>
    <row r="1450" customFormat="false" ht="15" hidden="false" customHeight="false" outlineLevel="0" collapsed="false">
      <c r="A1450" s="62" t="n">
        <v>1449</v>
      </c>
      <c r="B1450" s="63" t="n">
        <v>46269.8707060185</v>
      </c>
      <c r="C1450" s="64" t="n">
        <v>46269</v>
      </c>
      <c r="D1450" s="62" t="s">
        <v>288</v>
      </c>
      <c r="E1450" s="62" t="s">
        <v>180</v>
      </c>
      <c r="F1450" s="62" t="s">
        <v>180</v>
      </c>
      <c r="G1450" s="62" t="s">
        <v>181</v>
      </c>
      <c r="H1450" s="62" t="s">
        <v>58</v>
      </c>
      <c r="I1450" s="62" t="s">
        <v>49</v>
      </c>
      <c r="J1450" s="62" t="s">
        <v>146</v>
      </c>
      <c r="K1450" s="62" t="s">
        <v>175</v>
      </c>
      <c r="L1450" s="62" t="s">
        <v>148</v>
      </c>
      <c r="M1450" s="62" t="n">
        <v>0</v>
      </c>
      <c r="N1450" s="62" t="n">
        <v>1</v>
      </c>
      <c r="O1450" s="62" t="n">
        <v>1</v>
      </c>
      <c r="P1450" s="62" t="n">
        <v>0</v>
      </c>
      <c r="Q1450" s="62" t="n">
        <v>0</v>
      </c>
      <c r="R1450" s="62" t="n">
        <v>0</v>
      </c>
      <c r="S1450" s="62" t="n">
        <v>1</v>
      </c>
      <c r="T1450" s="62" t="n">
        <v>0</v>
      </c>
      <c r="U1450" s="62"/>
      <c r="V1450" s="62"/>
      <c r="W1450" s="62"/>
      <c r="X1450" s="62"/>
      <c r="Y1450" s="62"/>
      <c r="Z1450" s="62" t="s">
        <v>2743</v>
      </c>
      <c r="AA1450" s="62" t="s">
        <v>2743</v>
      </c>
      <c r="AB1450" s="62" t="n">
        <v>1</v>
      </c>
      <c r="AC1450" s="62" t="n">
        <v>0</v>
      </c>
      <c r="AD1450" s="62" t="n">
        <v>1</v>
      </c>
      <c r="AE1450" s="62" t="n">
        <f aca="false">IF(AND(Dashboard!$C$9="Yes",AC1450=1),0,1)</f>
        <v>1</v>
      </c>
      <c r="AF1450" s="62" t="n">
        <v>1</v>
      </c>
    </row>
    <row r="1451" customFormat="false" ht="15" hidden="false" customHeight="false" outlineLevel="0" collapsed="false">
      <c r="A1451" s="62" t="n">
        <v>1450</v>
      </c>
      <c r="B1451" s="63" t="n">
        <v>46269.8785532407</v>
      </c>
      <c r="C1451" s="64" t="n">
        <v>46269</v>
      </c>
      <c r="D1451" s="62" t="s">
        <v>288</v>
      </c>
      <c r="E1451" s="62" t="s">
        <v>212</v>
      </c>
      <c r="F1451" s="62" t="s">
        <v>212</v>
      </c>
      <c r="G1451" s="62" t="s">
        <v>213</v>
      </c>
      <c r="H1451" s="62" t="s">
        <v>58</v>
      </c>
      <c r="I1451" s="62" t="s">
        <v>49</v>
      </c>
      <c r="J1451" s="62" t="s">
        <v>146</v>
      </c>
      <c r="K1451" s="62" t="s">
        <v>175</v>
      </c>
      <c r="L1451" s="62" t="s">
        <v>4</v>
      </c>
      <c r="M1451" s="62" t="n">
        <v>1</v>
      </c>
      <c r="N1451" s="62" t="n">
        <v>0</v>
      </c>
      <c r="O1451" s="62" t="n">
        <v>1</v>
      </c>
      <c r="P1451" s="62" t="n">
        <v>0</v>
      </c>
      <c r="Q1451" s="62" t="n">
        <v>0</v>
      </c>
      <c r="R1451" s="62" t="n">
        <v>0</v>
      </c>
      <c r="S1451" s="62" t="n">
        <v>0</v>
      </c>
      <c r="T1451" s="62" t="n">
        <v>0</v>
      </c>
      <c r="U1451" s="62" t="s">
        <v>2056</v>
      </c>
      <c r="V1451" s="62" t="s">
        <v>2057</v>
      </c>
      <c r="W1451" s="62" t="s">
        <v>15</v>
      </c>
      <c r="X1451" s="62" t="s">
        <v>2058</v>
      </c>
      <c r="Y1451" s="62" t="s">
        <v>2059</v>
      </c>
      <c r="Z1451" s="62" t="s">
        <v>2744</v>
      </c>
      <c r="AA1451" s="62" t="s">
        <v>2745</v>
      </c>
      <c r="AB1451" s="62" t="n">
        <v>1</v>
      </c>
      <c r="AC1451" s="62" t="n">
        <v>0</v>
      </c>
      <c r="AD1451" s="62" t="n">
        <v>1</v>
      </c>
      <c r="AE1451" s="62" t="n">
        <f aca="false">IF(AND(Dashboard!$C$9="Yes",AC1451=1),0,1)</f>
        <v>1</v>
      </c>
      <c r="AF1451" s="62" t="n">
        <v>0</v>
      </c>
    </row>
    <row r="1452" customFormat="false" ht="15" hidden="false" customHeight="false" outlineLevel="0" collapsed="false">
      <c r="A1452" s="62" t="n">
        <v>1451</v>
      </c>
      <c r="B1452" s="63" t="n">
        <v>46269.8834490741</v>
      </c>
      <c r="C1452" s="64" t="n">
        <v>46269</v>
      </c>
      <c r="D1452" s="62" t="s">
        <v>288</v>
      </c>
      <c r="E1452" s="62" t="s">
        <v>2389</v>
      </c>
      <c r="F1452" s="62" t="s">
        <v>2389</v>
      </c>
      <c r="G1452" s="62" t="s">
        <v>2390</v>
      </c>
      <c r="H1452" s="62" t="s">
        <v>57</v>
      </c>
      <c r="I1452" s="62" t="s">
        <v>47</v>
      </c>
      <c r="J1452" s="62" t="s">
        <v>146</v>
      </c>
      <c r="K1452" s="62" t="s">
        <v>147</v>
      </c>
      <c r="L1452" s="62" t="s">
        <v>4</v>
      </c>
      <c r="M1452" s="62" t="n">
        <v>1</v>
      </c>
      <c r="N1452" s="62" t="n">
        <v>0</v>
      </c>
      <c r="O1452" s="62" t="n">
        <v>1</v>
      </c>
      <c r="P1452" s="62" t="n">
        <v>0</v>
      </c>
      <c r="Q1452" s="62" t="n">
        <v>0</v>
      </c>
      <c r="R1452" s="62" t="n">
        <v>0</v>
      </c>
      <c r="S1452" s="62" t="n">
        <v>0</v>
      </c>
      <c r="T1452" s="62" t="n">
        <v>0</v>
      </c>
      <c r="U1452" s="62" t="s">
        <v>2056</v>
      </c>
      <c r="V1452" s="62" t="s">
        <v>2057</v>
      </c>
      <c r="W1452" s="62" t="s">
        <v>2056</v>
      </c>
      <c r="X1452" s="62" t="s">
        <v>2180</v>
      </c>
      <c r="Y1452" s="62" t="s">
        <v>2059</v>
      </c>
      <c r="Z1452" s="62" t="s">
        <v>2746</v>
      </c>
      <c r="AA1452" s="62" t="s">
        <v>2747</v>
      </c>
      <c r="AB1452" s="62" t="n">
        <v>1</v>
      </c>
      <c r="AC1452" s="62" t="n">
        <v>0</v>
      </c>
      <c r="AD1452" s="62" t="n">
        <v>1</v>
      </c>
      <c r="AE1452" s="62" t="n">
        <f aca="false">IF(AND(Dashboard!$C$9="Yes",AC1452=1),0,1)</f>
        <v>1</v>
      </c>
      <c r="AF1452" s="62" t="n">
        <v>1</v>
      </c>
    </row>
    <row r="1453" customFormat="false" ht="15" hidden="false" customHeight="false" outlineLevel="0" collapsed="false">
      <c r="A1453" s="62" t="n">
        <v>1452</v>
      </c>
      <c r="B1453" s="63" t="n">
        <v>46269.9105324074</v>
      </c>
      <c r="C1453" s="64" t="n">
        <v>46269</v>
      </c>
      <c r="D1453" s="62" t="s">
        <v>288</v>
      </c>
      <c r="E1453" s="62" t="s">
        <v>414</v>
      </c>
      <c r="F1453" s="62" t="s">
        <v>414</v>
      </c>
      <c r="G1453" s="62" t="s">
        <v>415</v>
      </c>
      <c r="H1453" s="62" t="s">
        <v>57</v>
      </c>
      <c r="I1453" s="62" t="s">
        <v>47</v>
      </c>
      <c r="J1453" s="62" t="s">
        <v>146</v>
      </c>
      <c r="K1453" s="62" t="s">
        <v>147</v>
      </c>
      <c r="L1453" s="62" t="s">
        <v>148</v>
      </c>
      <c r="M1453" s="62" t="n">
        <v>0</v>
      </c>
      <c r="N1453" s="62" t="n">
        <v>1</v>
      </c>
      <c r="O1453" s="62" t="n">
        <v>1</v>
      </c>
      <c r="P1453" s="62" t="n">
        <v>1</v>
      </c>
      <c r="Q1453" s="62" t="n">
        <v>0</v>
      </c>
      <c r="R1453" s="62" t="n">
        <v>0</v>
      </c>
      <c r="S1453" s="62" t="n">
        <v>0</v>
      </c>
      <c r="T1453" s="62" t="n">
        <v>0</v>
      </c>
      <c r="U1453" s="62"/>
      <c r="V1453" s="62"/>
      <c r="W1453" s="62"/>
      <c r="X1453" s="62"/>
      <c r="Y1453" s="62"/>
      <c r="Z1453" s="62" t="s">
        <v>2748</v>
      </c>
      <c r="AA1453" s="62" t="s">
        <v>2749</v>
      </c>
      <c r="AB1453" s="62" t="n">
        <v>1</v>
      </c>
      <c r="AC1453" s="62" t="n">
        <v>0</v>
      </c>
      <c r="AD1453" s="62" t="n">
        <v>1</v>
      </c>
      <c r="AE1453" s="62" t="n">
        <f aca="false">IF(AND(Dashboard!$C$9="Yes",AC1453=1),0,1)</f>
        <v>1</v>
      </c>
      <c r="AF1453" s="62" t="n">
        <v>1</v>
      </c>
    </row>
    <row r="1454" customFormat="false" ht="15" hidden="false" customHeight="false" outlineLevel="0" collapsed="false">
      <c r="A1454" s="62" t="n">
        <v>1453</v>
      </c>
      <c r="B1454" s="63" t="n">
        <v>46269.9133217593</v>
      </c>
      <c r="C1454" s="64" t="n">
        <v>46269</v>
      </c>
      <c r="D1454" s="62" t="s">
        <v>288</v>
      </c>
      <c r="E1454" s="62" t="s">
        <v>2050</v>
      </c>
      <c r="F1454" s="62" t="s">
        <v>2050</v>
      </c>
      <c r="G1454" s="62" t="s">
        <v>2051</v>
      </c>
      <c r="H1454" s="62" t="s">
        <v>46</v>
      </c>
      <c r="I1454" s="62" t="s">
        <v>47</v>
      </c>
      <c r="J1454" s="62" t="s">
        <v>146</v>
      </c>
      <c r="K1454" s="62" t="s">
        <v>209</v>
      </c>
      <c r="L1454" s="62" t="s">
        <v>148</v>
      </c>
      <c r="M1454" s="62" t="n">
        <v>0</v>
      </c>
      <c r="N1454" s="62" t="n">
        <v>1</v>
      </c>
      <c r="O1454" s="62" t="n">
        <v>1</v>
      </c>
      <c r="P1454" s="62" t="n">
        <v>1</v>
      </c>
      <c r="Q1454" s="62" t="n">
        <v>0</v>
      </c>
      <c r="R1454" s="62" t="n">
        <v>0</v>
      </c>
      <c r="S1454" s="62" t="n">
        <v>0</v>
      </c>
      <c r="T1454" s="62" t="n">
        <v>0</v>
      </c>
      <c r="U1454" s="62"/>
      <c r="V1454" s="62"/>
      <c r="W1454" s="62"/>
      <c r="X1454" s="62"/>
      <c r="Y1454" s="62"/>
      <c r="Z1454" s="62" t="s">
        <v>2750</v>
      </c>
      <c r="AA1454" s="62" t="s">
        <v>2076</v>
      </c>
      <c r="AB1454" s="62" t="n">
        <v>0</v>
      </c>
      <c r="AC1454" s="62" t="n">
        <v>0</v>
      </c>
      <c r="AD1454" s="62" t="n">
        <v>1</v>
      </c>
      <c r="AE1454" s="62" t="n">
        <f aca="false">IF(AND(Dashboard!$C$9="Yes",AC1454=1),0,1)</f>
        <v>1</v>
      </c>
      <c r="AF1454" s="62" t="n">
        <v>1</v>
      </c>
    </row>
    <row r="1455" customFormat="false" ht="15" hidden="false" customHeight="false" outlineLevel="0" collapsed="false">
      <c r="A1455" s="62" t="n">
        <v>1454</v>
      </c>
      <c r="B1455" s="63" t="n">
        <v>46269.9216898148</v>
      </c>
      <c r="C1455" s="64" t="n">
        <v>46269</v>
      </c>
      <c r="D1455" s="62" t="s">
        <v>288</v>
      </c>
      <c r="E1455" s="62" t="s">
        <v>2183</v>
      </c>
      <c r="F1455" s="62" t="s">
        <v>2183</v>
      </c>
      <c r="G1455" s="62" t="s">
        <v>2184</v>
      </c>
      <c r="H1455" s="62" t="s">
        <v>59</v>
      </c>
      <c r="I1455" s="62" t="s">
        <v>47</v>
      </c>
      <c r="J1455" s="62" t="s">
        <v>146</v>
      </c>
      <c r="K1455" s="62" t="s">
        <v>209</v>
      </c>
      <c r="L1455" s="62" t="s">
        <v>148</v>
      </c>
      <c r="M1455" s="62" t="n">
        <v>0</v>
      </c>
      <c r="N1455" s="62" t="n">
        <v>1</v>
      </c>
      <c r="O1455" s="62" t="n">
        <v>1</v>
      </c>
      <c r="P1455" s="62" t="n">
        <v>1</v>
      </c>
      <c r="Q1455" s="62" t="n">
        <v>0</v>
      </c>
      <c r="R1455" s="62" t="n">
        <v>0</v>
      </c>
      <c r="S1455" s="62" t="n">
        <v>0</v>
      </c>
      <c r="T1455" s="62" t="n">
        <v>0</v>
      </c>
      <c r="U1455" s="62"/>
      <c r="V1455" s="62"/>
      <c r="W1455" s="62"/>
      <c r="X1455" s="62"/>
      <c r="Y1455" s="62"/>
      <c r="Z1455" s="62" t="s">
        <v>2751</v>
      </c>
      <c r="AA1455" s="62" t="s">
        <v>2752</v>
      </c>
      <c r="AB1455" s="62" t="n">
        <v>1</v>
      </c>
      <c r="AC1455" s="62" t="n">
        <v>0</v>
      </c>
      <c r="AD1455" s="62" t="n">
        <v>1</v>
      </c>
      <c r="AE1455" s="62" t="n">
        <f aca="false">IF(AND(Dashboard!$C$9="Yes",AC1455=1),0,1)</f>
        <v>1</v>
      </c>
      <c r="AF1455" s="62" t="n">
        <v>1</v>
      </c>
    </row>
    <row r="1456" customFormat="false" ht="15" hidden="false" customHeight="false" outlineLevel="0" collapsed="false">
      <c r="A1456" s="62" t="n">
        <v>1455</v>
      </c>
      <c r="B1456" s="63" t="n">
        <v>46269.9231944445</v>
      </c>
      <c r="C1456" s="64" t="n">
        <v>46269</v>
      </c>
      <c r="D1456" s="62" t="s">
        <v>288</v>
      </c>
      <c r="E1456" s="62" t="s">
        <v>144</v>
      </c>
      <c r="F1456" s="62" t="s">
        <v>144</v>
      </c>
      <c r="G1456" s="62" t="s">
        <v>145</v>
      </c>
      <c r="H1456" s="62" t="s">
        <v>59</v>
      </c>
      <c r="I1456" s="62" t="s">
        <v>47</v>
      </c>
      <c r="J1456" s="62" t="s">
        <v>146</v>
      </c>
      <c r="K1456" s="62" t="s">
        <v>147</v>
      </c>
      <c r="L1456" s="62" t="s">
        <v>148</v>
      </c>
      <c r="M1456" s="62" t="n">
        <v>0</v>
      </c>
      <c r="N1456" s="62" t="n">
        <v>1</v>
      </c>
      <c r="O1456" s="62" t="n">
        <v>1</v>
      </c>
      <c r="P1456" s="62" t="n">
        <v>0</v>
      </c>
      <c r="Q1456" s="62" t="n">
        <v>1</v>
      </c>
      <c r="R1456" s="62" t="n">
        <v>0</v>
      </c>
      <c r="S1456" s="62" t="n">
        <v>0</v>
      </c>
      <c r="T1456" s="62" t="n">
        <v>0</v>
      </c>
      <c r="U1456" s="62"/>
      <c r="V1456" s="62"/>
      <c r="W1456" s="62"/>
      <c r="X1456" s="62"/>
      <c r="Y1456" s="62"/>
      <c r="Z1456" s="62" t="s">
        <v>2753</v>
      </c>
      <c r="AA1456" s="62" t="s">
        <v>2753</v>
      </c>
      <c r="AB1456" s="62" t="n">
        <v>1</v>
      </c>
      <c r="AC1456" s="62" t="n">
        <v>0</v>
      </c>
      <c r="AD1456" s="62" t="n">
        <v>1</v>
      </c>
      <c r="AE1456" s="62" t="n">
        <f aca="false">IF(AND(Dashboard!$C$9="Yes",AC1456=1),0,1)</f>
        <v>1</v>
      </c>
      <c r="AF1456" s="62" t="n">
        <v>1</v>
      </c>
    </row>
    <row r="1457" customFormat="false" ht="15" hidden="false" customHeight="false" outlineLevel="0" collapsed="false">
      <c r="A1457" s="62" t="n">
        <v>1456</v>
      </c>
      <c r="B1457" s="63" t="n">
        <v>46269.9233912037</v>
      </c>
      <c r="C1457" s="64" t="n">
        <v>46269</v>
      </c>
      <c r="D1457" s="62" t="s">
        <v>288</v>
      </c>
      <c r="E1457" s="62" t="s">
        <v>144</v>
      </c>
      <c r="F1457" s="62" t="s">
        <v>144</v>
      </c>
      <c r="G1457" s="62" t="s">
        <v>145</v>
      </c>
      <c r="H1457" s="62" t="s">
        <v>59</v>
      </c>
      <c r="I1457" s="62" t="s">
        <v>47</v>
      </c>
      <c r="J1457" s="62" t="s">
        <v>146</v>
      </c>
      <c r="K1457" s="62" t="s">
        <v>147</v>
      </c>
      <c r="L1457" s="62" t="s">
        <v>148</v>
      </c>
      <c r="M1457" s="62" t="n">
        <v>0</v>
      </c>
      <c r="N1457" s="62" t="n">
        <v>1</v>
      </c>
      <c r="O1457" s="62" t="n">
        <v>1</v>
      </c>
      <c r="P1457" s="62" t="n">
        <v>0</v>
      </c>
      <c r="Q1457" s="62" t="n">
        <v>1</v>
      </c>
      <c r="R1457" s="62" t="n">
        <v>0</v>
      </c>
      <c r="S1457" s="62" t="n">
        <v>0</v>
      </c>
      <c r="T1457" s="62" t="n">
        <v>0</v>
      </c>
      <c r="U1457" s="62"/>
      <c r="V1457" s="62"/>
      <c r="W1457" s="62"/>
      <c r="X1457" s="62"/>
      <c r="Y1457" s="62"/>
      <c r="Z1457" s="62" t="s">
        <v>2753</v>
      </c>
      <c r="AA1457" s="62" t="s">
        <v>2754</v>
      </c>
      <c r="AB1457" s="62" t="n">
        <v>1</v>
      </c>
      <c r="AC1457" s="62" t="n">
        <v>0</v>
      </c>
      <c r="AD1457" s="62" t="n">
        <v>1</v>
      </c>
      <c r="AE1457" s="62" t="n">
        <f aca="false">IF(AND(Dashboard!$C$9="Yes",AC1457=1),0,1)</f>
        <v>1</v>
      </c>
      <c r="AF1457" s="62" t="n">
        <v>0</v>
      </c>
    </row>
    <row r="1458" customFormat="false" ht="15" hidden="false" customHeight="false" outlineLevel="0" collapsed="false">
      <c r="A1458" s="62" t="n">
        <v>1457</v>
      </c>
      <c r="B1458" s="63" t="n">
        <v>46269.9236805556</v>
      </c>
      <c r="C1458" s="64" t="n">
        <v>46269</v>
      </c>
      <c r="D1458" s="62" t="s">
        <v>288</v>
      </c>
      <c r="E1458" s="62" t="s">
        <v>144</v>
      </c>
      <c r="F1458" s="62" t="s">
        <v>144</v>
      </c>
      <c r="G1458" s="62" t="s">
        <v>145</v>
      </c>
      <c r="H1458" s="62" t="s">
        <v>59</v>
      </c>
      <c r="I1458" s="62" t="s">
        <v>47</v>
      </c>
      <c r="J1458" s="62" t="s">
        <v>146</v>
      </c>
      <c r="K1458" s="62" t="s">
        <v>147</v>
      </c>
      <c r="L1458" s="62" t="s">
        <v>148</v>
      </c>
      <c r="M1458" s="62" t="n">
        <v>0</v>
      </c>
      <c r="N1458" s="62" t="n">
        <v>1</v>
      </c>
      <c r="O1458" s="62" t="n">
        <v>1</v>
      </c>
      <c r="P1458" s="62" t="n">
        <v>0</v>
      </c>
      <c r="Q1458" s="62" t="n">
        <v>1</v>
      </c>
      <c r="R1458" s="62" t="n">
        <v>0</v>
      </c>
      <c r="S1458" s="62" t="n">
        <v>0</v>
      </c>
      <c r="T1458" s="62" t="n">
        <v>0</v>
      </c>
      <c r="U1458" s="62"/>
      <c r="V1458" s="62"/>
      <c r="W1458" s="62"/>
      <c r="X1458" s="62"/>
      <c r="Y1458" s="62"/>
      <c r="Z1458" s="62" t="s">
        <v>2753</v>
      </c>
      <c r="AA1458" s="62" t="s">
        <v>2753</v>
      </c>
      <c r="AB1458" s="62" t="n">
        <v>1</v>
      </c>
      <c r="AC1458" s="62" t="n">
        <v>1</v>
      </c>
      <c r="AD1458" s="62" t="n">
        <v>1</v>
      </c>
      <c r="AE1458" s="62" t="n">
        <f aca="false">IF(AND(Dashboard!$C$9="Yes",AC1458=1),0,1)</f>
        <v>0</v>
      </c>
      <c r="AF1458" s="62" t="n">
        <v>0</v>
      </c>
    </row>
    <row r="1459" customFormat="false" ht="15" hidden="false" customHeight="false" outlineLevel="0" collapsed="false">
      <c r="A1459" s="62" t="n">
        <v>1458</v>
      </c>
      <c r="B1459" s="63" t="n">
        <v>46269.9238541667</v>
      </c>
      <c r="C1459" s="64" t="n">
        <v>46269</v>
      </c>
      <c r="D1459" s="62" t="s">
        <v>288</v>
      </c>
      <c r="E1459" s="62" t="s">
        <v>144</v>
      </c>
      <c r="F1459" s="62" t="s">
        <v>144</v>
      </c>
      <c r="G1459" s="62" t="s">
        <v>145</v>
      </c>
      <c r="H1459" s="62" t="s">
        <v>59</v>
      </c>
      <c r="I1459" s="62" t="s">
        <v>47</v>
      </c>
      <c r="J1459" s="62" t="s">
        <v>146</v>
      </c>
      <c r="K1459" s="62" t="s">
        <v>147</v>
      </c>
      <c r="L1459" s="62" t="s">
        <v>148</v>
      </c>
      <c r="M1459" s="62" t="n">
        <v>0</v>
      </c>
      <c r="N1459" s="62" t="n">
        <v>1</v>
      </c>
      <c r="O1459" s="62" t="n">
        <v>1</v>
      </c>
      <c r="P1459" s="62" t="n">
        <v>0</v>
      </c>
      <c r="Q1459" s="62" t="n">
        <v>1</v>
      </c>
      <c r="R1459" s="62" t="n">
        <v>0</v>
      </c>
      <c r="S1459" s="62" t="n">
        <v>0</v>
      </c>
      <c r="T1459" s="62" t="n">
        <v>0</v>
      </c>
      <c r="U1459" s="62"/>
      <c r="V1459" s="62"/>
      <c r="W1459" s="62"/>
      <c r="X1459" s="62"/>
      <c r="Y1459" s="62"/>
      <c r="Z1459" s="62" t="s">
        <v>2753</v>
      </c>
      <c r="AA1459" s="62" t="s">
        <v>2754</v>
      </c>
      <c r="AB1459" s="62" t="n">
        <v>1</v>
      </c>
      <c r="AC1459" s="62" t="n">
        <v>1</v>
      </c>
      <c r="AD1459" s="62" t="n">
        <v>1</v>
      </c>
      <c r="AE1459" s="62" t="n">
        <f aca="false">IF(AND(Dashboard!$C$9="Yes",AC1459=1),0,1)</f>
        <v>0</v>
      </c>
      <c r="AF1459" s="62" t="n">
        <v>0</v>
      </c>
    </row>
    <row r="1460" customFormat="false" ht="15" hidden="false" customHeight="false" outlineLevel="0" collapsed="false">
      <c r="A1460" s="62" t="n">
        <v>1459</v>
      </c>
      <c r="B1460" s="63" t="n">
        <v>46269.9281481481</v>
      </c>
      <c r="C1460" s="64" t="n">
        <v>46269</v>
      </c>
      <c r="D1460" s="62" t="s">
        <v>288</v>
      </c>
      <c r="E1460" s="62" t="s">
        <v>203</v>
      </c>
      <c r="F1460" s="62" t="s">
        <v>203</v>
      </c>
      <c r="G1460" s="62" t="s">
        <v>204</v>
      </c>
      <c r="H1460" s="62" t="s">
        <v>51</v>
      </c>
      <c r="I1460" s="62" t="s">
        <v>47</v>
      </c>
      <c r="J1460" s="62" t="s">
        <v>146</v>
      </c>
      <c r="K1460" s="62" t="s">
        <v>147</v>
      </c>
      <c r="L1460" s="62" t="s">
        <v>148</v>
      </c>
      <c r="M1460" s="62" t="n">
        <v>0</v>
      </c>
      <c r="N1460" s="62" t="n">
        <v>1</v>
      </c>
      <c r="O1460" s="62" t="n">
        <v>1</v>
      </c>
      <c r="P1460" s="62" t="n">
        <v>1</v>
      </c>
      <c r="Q1460" s="62" t="n">
        <v>0</v>
      </c>
      <c r="R1460" s="62" t="n">
        <v>0</v>
      </c>
      <c r="S1460" s="62" t="n">
        <v>0</v>
      </c>
      <c r="T1460" s="62" t="n">
        <v>0</v>
      </c>
      <c r="U1460" s="62"/>
      <c r="V1460" s="62"/>
      <c r="W1460" s="62"/>
      <c r="X1460" s="62"/>
      <c r="Y1460" s="62"/>
      <c r="Z1460" s="62" t="s">
        <v>2755</v>
      </c>
      <c r="AA1460" s="62" t="s">
        <v>485</v>
      </c>
      <c r="AB1460" s="62" t="n">
        <v>0</v>
      </c>
      <c r="AC1460" s="62" t="n">
        <v>0</v>
      </c>
      <c r="AD1460" s="62" t="n">
        <v>1</v>
      </c>
      <c r="AE1460" s="62" t="n">
        <f aca="false">IF(AND(Dashboard!$C$9="Yes",AC1460=1),0,1)</f>
        <v>1</v>
      </c>
      <c r="AF1460" s="62" t="n">
        <v>0</v>
      </c>
    </row>
    <row r="1461" customFormat="false" ht="15" hidden="false" customHeight="false" outlineLevel="0" collapsed="false">
      <c r="A1461" s="62" t="n">
        <v>1460</v>
      </c>
      <c r="B1461" s="63" t="n">
        <v>46269.9486574074</v>
      </c>
      <c r="C1461" s="64" t="n">
        <v>46269</v>
      </c>
      <c r="D1461" s="62" t="s">
        <v>288</v>
      </c>
      <c r="E1461" s="62" t="s">
        <v>790</v>
      </c>
      <c r="F1461" s="62" t="s">
        <v>791</v>
      </c>
      <c r="G1461" s="62" t="s">
        <v>153</v>
      </c>
      <c r="H1461" s="62" t="s">
        <v>153</v>
      </c>
      <c r="I1461" s="62" t="s">
        <v>153</v>
      </c>
      <c r="J1461" s="62" t="s">
        <v>64</v>
      </c>
      <c r="K1461" s="62" t="s">
        <v>64</v>
      </c>
      <c r="L1461" s="62" t="s">
        <v>4</v>
      </c>
      <c r="M1461" s="62" t="n">
        <v>1</v>
      </c>
      <c r="N1461" s="62" t="n">
        <v>0</v>
      </c>
      <c r="O1461" s="62" t="n">
        <v>1</v>
      </c>
      <c r="P1461" s="62" t="n">
        <v>0</v>
      </c>
      <c r="Q1461" s="62" t="n">
        <v>0</v>
      </c>
      <c r="R1461" s="62" t="n">
        <v>0</v>
      </c>
      <c r="S1461" s="62" t="n">
        <v>0</v>
      </c>
      <c r="T1461" s="62" t="n">
        <v>0</v>
      </c>
      <c r="U1461" s="62" t="s">
        <v>2056</v>
      </c>
      <c r="V1461" s="62" t="s">
        <v>2068</v>
      </c>
      <c r="W1461" s="62"/>
      <c r="X1461" s="62" t="s">
        <v>2125</v>
      </c>
      <c r="Y1461" s="62" t="s">
        <v>2059</v>
      </c>
      <c r="Z1461" s="62" t="s">
        <v>2756</v>
      </c>
      <c r="AA1461" s="62" t="s">
        <v>2757</v>
      </c>
      <c r="AB1461" s="62" t="n">
        <v>1</v>
      </c>
      <c r="AC1461" s="62" t="n">
        <v>0</v>
      </c>
      <c r="AD1461" s="62" t="n">
        <v>0</v>
      </c>
      <c r="AE1461" s="62" t="n">
        <f aca="false">IF(AND(Dashboard!$C$9="Yes",AC1461=1),0,1)</f>
        <v>1</v>
      </c>
      <c r="AF1461" s="62" t="n">
        <v>1</v>
      </c>
    </row>
    <row r="1462" customFormat="false" ht="15" hidden="false" customHeight="false" outlineLevel="0" collapsed="false">
      <c r="A1462" s="62" t="n">
        <v>1461</v>
      </c>
      <c r="B1462" s="63" t="n">
        <v>46269.9553125</v>
      </c>
      <c r="C1462" s="64" t="n">
        <v>46269</v>
      </c>
      <c r="D1462" s="62" t="s">
        <v>288</v>
      </c>
      <c r="E1462" s="62" t="s">
        <v>164</v>
      </c>
      <c r="F1462" s="62" t="s">
        <v>164</v>
      </c>
      <c r="G1462" s="62" t="s">
        <v>165</v>
      </c>
      <c r="H1462" s="62" t="s">
        <v>51</v>
      </c>
      <c r="I1462" s="62" t="s">
        <v>47</v>
      </c>
      <c r="J1462" s="62" t="s">
        <v>146</v>
      </c>
      <c r="K1462" s="62" t="s">
        <v>147</v>
      </c>
      <c r="L1462" s="62" t="s">
        <v>148</v>
      </c>
      <c r="M1462" s="62" t="n">
        <v>0</v>
      </c>
      <c r="N1462" s="62" t="n">
        <v>1</v>
      </c>
      <c r="O1462" s="62" t="n">
        <v>1</v>
      </c>
      <c r="P1462" s="62" t="n">
        <v>1</v>
      </c>
      <c r="Q1462" s="62" t="n">
        <v>0</v>
      </c>
      <c r="R1462" s="62" t="n">
        <v>0</v>
      </c>
      <c r="S1462" s="62" t="n">
        <v>0</v>
      </c>
      <c r="T1462" s="62" t="n">
        <v>0</v>
      </c>
      <c r="U1462" s="62"/>
      <c r="V1462" s="62"/>
      <c r="W1462" s="62"/>
      <c r="X1462" s="62"/>
      <c r="Y1462" s="62"/>
      <c r="Z1462" s="62" t="s">
        <v>2758</v>
      </c>
      <c r="AA1462" s="62" t="s">
        <v>2759</v>
      </c>
      <c r="AB1462" s="62" t="n">
        <v>1</v>
      </c>
      <c r="AC1462" s="62" t="n">
        <v>0</v>
      </c>
      <c r="AD1462" s="62" t="n">
        <v>1</v>
      </c>
      <c r="AE1462" s="62" t="n">
        <f aca="false">IF(AND(Dashboard!$C$9="Yes",AC1462=1),0,1)</f>
        <v>1</v>
      </c>
      <c r="AF1462" s="62" t="n">
        <v>1</v>
      </c>
    </row>
    <row r="1463" customFormat="false" ht="15" hidden="false" customHeight="false" outlineLevel="0" collapsed="false">
      <c r="A1463" s="62" t="n">
        <v>1462</v>
      </c>
      <c r="B1463" s="63" t="n">
        <v>46269.9559606482</v>
      </c>
      <c r="C1463" s="64" t="n">
        <v>46269</v>
      </c>
      <c r="D1463" s="62" t="s">
        <v>288</v>
      </c>
      <c r="E1463" s="62" t="s">
        <v>164</v>
      </c>
      <c r="F1463" s="62" t="s">
        <v>164</v>
      </c>
      <c r="G1463" s="62" t="s">
        <v>165</v>
      </c>
      <c r="H1463" s="62" t="s">
        <v>51</v>
      </c>
      <c r="I1463" s="62" t="s">
        <v>47</v>
      </c>
      <c r="J1463" s="62" t="s">
        <v>146</v>
      </c>
      <c r="K1463" s="62" t="s">
        <v>147</v>
      </c>
      <c r="L1463" s="62" t="s">
        <v>148</v>
      </c>
      <c r="M1463" s="62" t="n">
        <v>0</v>
      </c>
      <c r="N1463" s="62" t="n">
        <v>1</v>
      </c>
      <c r="O1463" s="62" t="n">
        <v>1</v>
      </c>
      <c r="P1463" s="62" t="n">
        <v>1</v>
      </c>
      <c r="Q1463" s="62" t="n">
        <v>0</v>
      </c>
      <c r="R1463" s="62" t="n">
        <v>0</v>
      </c>
      <c r="S1463" s="62" t="n">
        <v>0</v>
      </c>
      <c r="T1463" s="62" t="n">
        <v>0</v>
      </c>
      <c r="U1463" s="62"/>
      <c r="V1463" s="62"/>
      <c r="W1463" s="62"/>
      <c r="X1463" s="62"/>
      <c r="Y1463" s="62"/>
      <c r="Z1463" s="62" t="s">
        <v>2758</v>
      </c>
      <c r="AA1463" s="62" t="s">
        <v>2759</v>
      </c>
      <c r="AB1463" s="62" t="n">
        <v>1</v>
      </c>
      <c r="AC1463" s="62" t="n">
        <v>1</v>
      </c>
      <c r="AD1463" s="62" t="n">
        <v>1</v>
      </c>
      <c r="AE1463" s="62" t="n">
        <f aca="false">IF(AND(Dashboard!$C$9="Yes",AC1463=1),0,1)</f>
        <v>0</v>
      </c>
      <c r="AF1463" s="62" t="n">
        <v>0</v>
      </c>
    </row>
    <row r="1464" customFormat="false" ht="15" hidden="false" customHeight="false" outlineLevel="0" collapsed="false">
      <c r="A1464" s="62" t="n">
        <v>1463</v>
      </c>
      <c r="B1464" s="63" t="n">
        <v>46269.9611805556</v>
      </c>
      <c r="C1464" s="64" t="n">
        <v>46269</v>
      </c>
      <c r="D1464" s="62" t="s">
        <v>288</v>
      </c>
      <c r="E1464" s="62" t="s">
        <v>203</v>
      </c>
      <c r="F1464" s="62" t="s">
        <v>203</v>
      </c>
      <c r="G1464" s="62" t="s">
        <v>204</v>
      </c>
      <c r="H1464" s="62" t="s">
        <v>51</v>
      </c>
      <c r="I1464" s="62" t="s">
        <v>47</v>
      </c>
      <c r="J1464" s="62" t="s">
        <v>146</v>
      </c>
      <c r="K1464" s="62" t="s">
        <v>147</v>
      </c>
      <c r="L1464" s="62" t="s">
        <v>148</v>
      </c>
      <c r="M1464" s="62" t="n">
        <v>0</v>
      </c>
      <c r="N1464" s="62" t="n">
        <v>1</v>
      </c>
      <c r="O1464" s="62" t="n">
        <v>1</v>
      </c>
      <c r="P1464" s="62" t="n">
        <v>1</v>
      </c>
      <c r="Q1464" s="62" t="n">
        <v>0</v>
      </c>
      <c r="R1464" s="62" t="n">
        <v>0</v>
      </c>
      <c r="S1464" s="62" t="n">
        <v>0</v>
      </c>
      <c r="T1464" s="62" t="n">
        <v>0</v>
      </c>
      <c r="U1464" s="62"/>
      <c r="V1464" s="62"/>
      <c r="W1464" s="62"/>
      <c r="X1464" s="62"/>
      <c r="Y1464" s="62"/>
      <c r="Z1464" s="62" t="s">
        <v>2760</v>
      </c>
      <c r="AA1464" s="62" t="s">
        <v>2761</v>
      </c>
      <c r="AB1464" s="62" t="n">
        <v>1</v>
      </c>
      <c r="AC1464" s="62" t="n">
        <v>0</v>
      </c>
      <c r="AD1464" s="62" t="n">
        <v>1</v>
      </c>
      <c r="AE1464" s="62" t="n">
        <f aca="false">IF(AND(Dashboard!$C$9="Yes",AC1464=1),0,1)</f>
        <v>1</v>
      </c>
      <c r="AF1464" s="62" t="n">
        <v>0</v>
      </c>
    </row>
    <row r="1465" customFormat="false" ht="15" hidden="false" customHeight="false" outlineLevel="0" collapsed="false">
      <c r="A1465" s="62" t="n">
        <v>1464</v>
      </c>
      <c r="B1465" s="63" t="n">
        <v>46269.9684953704</v>
      </c>
      <c r="C1465" s="64" t="n">
        <v>46269</v>
      </c>
      <c r="D1465" s="62" t="s">
        <v>288</v>
      </c>
      <c r="E1465" s="62" t="s">
        <v>1155</v>
      </c>
      <c r="F1465" s="62" t="s">
        <v>1155</v>
      </c>
      <c r="G1465" s="62" t="s">
        <v>1156</v>
      </c>
      <c r="H1465" s="62" t="s">
        <v>59</v>
      </c>
      <c r="I1465" s="62" t="s">
        <v>47</v>
      </c>
      <c r="J1465" s="62" t="s">
        <v>146</v>
      </c>
      <c r="K1465" s="62" t="s">
        <v>209</v>
      </c>
      <c r="L1465" s="62" t="s">
        <v>148</v>
      </c>
      <c r="M1465" s="62" t="n">
        <v>0</v>
      </c>
      <c r="N1465" s="62" t="n">
        <v>1</v>
      </c>
      <c r="O1465" s="62" t="n">
        <v>1</v>
      </c>
      <c r="P1465" s="62" t="n">
        <v>0</v>
      </c>
      <c r="Q1465" s="62" t="n">
        <v>0</v>
      </c>
      <c r="R1465" s="62" t="n">
        <v>1</v>
      </c>
      <c r="S1465" s="62" t="n">
        <v>0</v>
      </c>
      <c r="T1465" s="62" t="n">
        <v>0</v>
      </c>
      <c r="U1465" s="62"/>
      <c r="V1465" s="62"/>
      <c r="W1465" s="62"/>
      <c r="X1465" s="62"/>
      <c r="Y1465" s="62"/>
      <c r="Z1465" s="62" t="s">
        <v>2762</v>
      </c>
      <c r="AA1465" s="62" t="s">
        <v>2763</v>
      </c>
      <c r="AB1465" s="62" t="n">
        <v>1</v>
      </c>
      <c r="AC1465" s="62" t="n">
        <v>0</v>
      </c>
      <c r="AD1465" s="62" t="n">
        <v>1</v>
      </c>
      <c r="AE1465" s="62" t="n">
        <f aca="false">IF(AND(Dashboard!$C$9="Yes",AC1465=1),0,1)</f>
        <v>1</v>
      </c>
      <c r="AF1465" s="62" t="n">
        <v>1</v>
      </c>
    </row>
    <row r="1466" customFormat="false" ht="15" hidden="false" customHeight="false" outlineLevel="0" collapsed="false">
      <c r="A1466" s="62" t="n">
        <v>1465</v>
      </c>
      <c r="B1466" s="63" t="n">
        <v>46269.9699652778</v>
      </c>
      <c r="C1466" s="64" t="n">
        <v>46269</v>
      </c>
      <c r="D1466" s="62" t="s">
        <v>288</v>
      </c>
      <c r="E1466" s="62" t="s">
        <v>518</v>
      </c>
      <c r="F1466" s="62" t="s">
        <v>518</v>
      </c>
      <c r="G1466" s="62" t="s">
        <v>519</v>
      </c>
      <c r="H1466" s="62" t="s">
        <v>52</v>
      </c>
      <c r="I1466" s="62" t="s">
        <v>47</v>
      </c>
      <c r="J1466" s="62" t="s">
        <v>146</v>
      </c>
      <c r="K1466" s="62" t="s">
        <v>147</v>
      </c>
      <c r="L1466" s="62" t="s">
        <v>148</v>
      </c>
      <c r="M1466" s="62" t="n">
        <v>0</v>
      </c>
      <c r="N1466" s="62" t="n">
        <v>1</v>
      </c>
      <c r="O1466" s="62" t="n">
        <v>1</v>
      </c>
      <c r="P1466" s="62" t="n">
        <v>0</v>
      </c>
      <c r="Q1466" s="62" t="n">
        <v>0</v>
      </c>
      <c r="R1466" s="62" t="n">
        <v>1</v>
      </c>
      <c r="S1466" s="62" t="n">
        <v>0</v>
      </c>
      <c r="T1466" s="62" t="n">
        <v>0</v>
      </c>
      <c r="U1466" s="62"/>
      <c r="V1466" s="62"/>
      <c r="W1466" s="62"/>
      <c r="X1466" s="62"/>
      <c r="Y1466" s="62"/>
      <c r="Z1466" s="62" t="s">
        <v>2764</v>
      </c>
      <c r="AA1466" s="62" t="s">
        <v>2765</v>
      </c>
      <c r="AB1466" s="62" t="n">
        <v>1</v>
      </c>
      <c r="AC1466" s="62" t="n">
        <v>0</v>
      </c>
      <c r="AD1466" s="62" t="n">
        <v>1</v>
      </c>
      <c r="AE1466" s="62" t="n">
        <f aca="false">IF(AND(Dashboard!$C$9="Yes",AC1466=1),0,1)</f>
        <v>1</v>
      </c>
      <c r="AF1466" s="62" t="n">
        <v>1</v>
      </c>
    </row>
    <row r="1467" customFormat="false" ht="15" hidden="false" customHeight="false" outlineLevel="0" collapsed="false">
      <c r="A1467" s="62" t="n">
        <v>1466</v>
      </c>
      <c r="B1467" s="63" t="n">
        <v>46269.9702893519</v>
      </c>
      <c r="C1467" s="64" t="n">
        <v>46269</v>
      </c>
      <c r="D1467" s="62" t="s">
        <v>288</v>
      </c>
      <c r="E1467" s="62" t="s">
        <v>2620</v>
      </c>
      <c r="F1467" s="62" t="s">
        <v>2620</v>
      </c>
      <c r="G1467" s="62" t="s">
        <v>2621</v>
      </c>
      <c r="H1467" s="62" t="s">
        <v>48</v>
      </c>
      <c r="I1467" s="62" t="s">
        <v>49</v>
      </c>
      <c r="J1467" s="62" t="s">
        <v>146</v>
      </c>
      <c r="K1467" s="62" t="s">
        <v>209</v>
      </c>
      <c r="L1467" s="62" t="s">
        <v>148</v>
      </c>
      <c r="M1467" s="62" t="n">
        <v>0</v>
      </c>
      <c r="N1467" s="62" t="n">
        <v>1</v>
      </c>
      <c r="O1467" s="62" t="n">
        <v>1</v>
      </c>
      <c r="P1467" s="62" t="n">
        <v>0</v>
      </c>
      <c r="Q1467" s="62" t="n">
        <v>1</v>
      </c>
      <c r="R1467" s="62" t="n">
        <v>0</v>
      </c>
      <c r="S1467" s="62" t="n">
        <v>0</v>
      </c>
      <c r="T1467" s="62" t="n">
        <v>0</v>
      </c>
      <c r="U1467" s="62"/>
      <c r="V1467" s="62"/>
      <c r="W1467" s="62"/>
      <c r="X1467" s="62"/>
      <c r="Y1467" s="62"/>
      <c r="Z1467" s="62" t="s">
        <v>2766</v>
      </c>
      <c r="AA1467" s="62" t="s">
        <v>2767</v>
      </c>
      <c r="AB1467" s="62" t="n">
        <v>1</v>
      </c>
      <c r="AC1467" s="62" t="n">
        <v>0</v>
      </c>
      <c r="AD1467" s="62" t="n">
        <v>1</v>
      </c>
      <c r="AE1467" s="62" t="n">
        <f aca="false">IF(AND(Dashboard!$C$9="Yes",AC1467=1),0,1)</f>
        <v>1</v>
      </c>
      <c r="AF1467" s="62" t="n">
        <v>1</v>
      </c>
    </row>
    <row r="1468" customFormat="false" ht="15" hidden="false" customHeight="false" outlineLevel="0" collapsed="false">
      <c r="A1468" s="62" t="n">
        <v>1467</v>
      </c>
      <c r="B1468" s="63" t="n">
        <v>46269.9711226852</v>
      </c>
      <c r="C1468" s="64" t="n">
        <v>46269</v>
      </c>
      <c r="D1468" s="62" t="s">
        <v>288</v>
      </c>
      <c r="E1468" s="62" t="s">
        <v>255</v>
      </c>
      <c r="F1468" s="62" t="s">
        <v>255</v>
      </c>
      <c r="G1468" s="62" t="s">
        <v>256</v>
      </c>
      <c r="H1468" s="62" t="s">
        <v>57</v>
      </c>
      <c r="I1468" s="62" t="s">
        <v>47</v>
      </c>
      <c r="J1468" s="62" t="s">
        <v>146</v>
      </c>
      <c r="K1468" s="62" t="s">
        <v>147</v>
      </c>
      <c r="L1468" s="62" t="s">
        <v>148</v>
      </c>
      <c r="M1468" s="62" t="n">
        <v>0</v>
      </c>
      <c r="N1468" s="62" t="n">
        <v>1</v>
      </c>
      <c r="O1468" s="62" t="n">
        <v>1</v>
      </c>
      <c r="P1468" s="62" t="n">
        <v>0</v>
      </c>
      <c r="Q1468" s="62" t="n">
        <v>0</v>
      </c>
      <c r="R1468" s="62" t="n">
        <v>1</v>
      </c>
      <c r="S1468" s="62" t="n">
        <v>0</v>
      </c>
      <c r="T1468" s="62" t="n">
        <v>0</v>
      </c>
      <c r="U1468" s="62"/>
      <c r="V1468" s="62"/>
      <c r="W1468" s="62"/>
      <c r="X1468" s="62"/>
      <c r="Y1468" s="62"/>
      <c r="Z1468" s="62" t="s">
        <v>2768</v>
      </c>
      <c r="AA1468" s="62" t="s">
        <v>2769</v>
      </c>
      <c r="AB1468" s="62" t="n">
        <v>1</v>
      </c>
      <c r="AC1468" s="62" t="n">
        <v>0</v>
      </c>
      <c r="AD1468" s="62" t="n">
        <v>1</v>
      </c>
      <c r="AE1468" s="62" t="n">
        <f aca="false">IF(AND(Dashboard!$C$9="Yes",AC1468=1),0,1)</f>
        <v>1</v>
      </c>
      <c r="AF1468" s="62" t="n">
        <v>1</v>
      </c>
    </row>
    <row r="1469" customFormat="false" ht="15" hidden="false" customHeight="false" outlineLevel="0" collapsed="false">
      <c r="A1469" s="62" t="n">
        <v>1468</v>
      </c>
      <c r="B1469" s="63" t="n">
        <v>46269.9741550926</v>
      </c>
      <c r="C1469" s="64" t="n">
        <v>46269</v>
      </c>
      <c r="D1469" s="62" t="s">
        <v>288</v>
      </c>
      <c r="E1469" s="62" t="s">
        <v>1749</v>
      </c>
      <c r="F1469" s="62" t="s">
        <v>1749</v>
      </c>
      <c r="G1469" s="62" t="s">
        <v>1750</v>
      </c>
      <c r="H1469" s="62" t="s">
        <v>57</v>
      </c>
      <c r="I1469" s="62" t="s">
        <v>47</v>
      </c>
      <c r="J1469" s="62" t="s">
        <v>146</v>
      </c>
      <c r="K1469" s="62" t="s">
        <v>209</v>
      </c>
      <c r="L1469" s="62" t="s">
        <v>148</v>
      </c>
      <c r="M1469" s="62" t="n">
        <v>0</v>
      </c>
      <c r="N1469" s="62" t="n">
        <v>1</v>
      </c>
      <c r="O1469" s="62" t="n">
        <v>1</v>
      </c>
      <c r="P1469" s="62" t="n">
        <v>1</v>
      </c>
      <c r="Q1469" s="62" t="n">
        <v>0</v>
      </c>
      <c r="R1469" s="62" t="n">
        <v>0</v>
      </c>
      <c r="S1469" s="62" t="n">
        <v>0</v>
      </c>
      <c r="T1469" s="62" t="n">
        <v>0</v>
      </c>
      <c r="U1469" s="62"/>
      <c r="V1469" s="62"/>
      <c r="W1469" s="62"/>
      <c r="X1469" s="62"/>
      <c r="Y1469" s="62"/>
      <c r="Z1469" s="62" t="s">
        <v>2770</v>
      </c>
      <c r="AA1469" s="62" t="s">
        <v>2771</v>
      </c>
      <c r="AB1469" s="62" t="n">
        <v>1</v>
      </c>
      <c r="AC1469" s="62" t="n">
        <v>0</v>
      </c>
      <c r="AD1469" s="62" t="n">
        <v>1</v>
      </c>
      <c r="AE1469" s="62" t="n">
        <f aca="false">IF(AND(Dashboard!$C$9="Yes",AC1469=1),0,1)</f>
        <v>1</v>
      </c>
      <c r="AF1469" s="62" t="n">
        <v>1</v>
      </c>
    </row>
    <row r="1470" customFormat="false" ht="15" hidden="false" customHeight="false" outlineLevel="0" collapsed="false">
      <c r="A1470" s="62" t="n">
        <v>1469</v>
      </c>
      <c r="B1470" s="63" t="n">
        <v>46269.9796990741</v>
      </c>
      <c r="C1470" s="64" t="n">
        <v>46269</v>
      </c>
      <c r="D1470" s="62" t="s">
        <v>288</v>
      </c>
      <c r="E1470" s="62" t="s">
        <v>2620</v>
      </c>
      <c r="F1470" s="62" t="s">
        <v>2620</v>
      </c>
      <c r="G1470" s="62" t="s">
        <v>2621</v>
      </c>
      <c r="H1470" s="62" t="s">
        <v>48</v>
      </c>
      <c r="I1470" s="62" t="s">
        <v>49</v>
      </c>
      <c r="J1470" s="62" t="s">
        <v>146</v>
      </c>
      <c r="K1470" s="62" t="s">
        <v>209</v>
      </c>
      <c r="L1470" s="62" t="s">
        <v>4</v>
      </c>
      <c r="M1470" s="62" t="n">
        <v>1</v>
      </c>
      <c r="N1470" s="62" t="n">
        <v>0</v>
      </c>
      <c r="O1470" s="62" t="n">
        <v>1</v>
      </c>
      <c r="P1470" s="62" t="n">
        <v>0</v>
      </c>
      <c r="Q1470" s="62" t="n">
        <v>0</v>
      </c>
      <c r="R1470" s="62" t="n">
        <v>0</v>
      </c>
      <c r="S1470" s="62" t="n">
        <v>0</v>
      </c>
      <c r="T1470" s="62" t="n">
        <v>0</v>
      </c>
      <c r="U1470" s="62" t="s">
        <v>2056</v>
      </c>
      <c r="V1470" s="62" t="s">
        <v>2057</v>
      </c>
      <c r="W1470" s="62" t="s">
        <v>15</v>
      </c>
      <c r="X1470" s="62" t="s">
        <v>2058</v>
      </c>
      <c r="Y1470" s="62" t="s">
        <v>2103</v>
      </c>
      <c r="Z1470" s="62" t="s">
        <v>2772</v>
      </c>
      <c r="AA1470" s="62" t="s">
        <v>2773</v>
      </c>
      <c r="AB1470" s="62" t="n">
        <v>0</v>
      </c>
      <c r="AC1470" s="62" t="n">
        <v>0</v>
      </c>
      <c r="AD1470" s="62" t="n">
        <v>1</v>
      </c>
      <c r="AE1470" s="62" t="n">
        <f aca="false">IF(AND(Dashboard!$C$9="Yes",AC1470=1),0,1)</f>
        <v>1</v>
      </c>
      <c r="AF1470" s="62" t="n">
        <v>0</v>
      </c>
    </row>
    <row r="1471" customFormat="false" ht="15" hidden="false" customHeight="false" outlineLevel="0" collapsed="false">
      <c r="A1471" s="62" t="n">
        <v>1470</v>
      </c>
      <c r="B1471" s="63" t="n">
        <v>46269.9821527778</v>
      </c>
      <c r="C1471" s="64" t="n">
        <v>46269</v>
      </c>
      <c r="D1471" s="62" t="s">
        <v>288</v>
      </c>
      <c r="E1471" s="62" t="s">
        <v>865</v>
      </c>
      <c r="F1471" s="62" t="s">
        <v>865</v>
      </c>
      <c r="G1471" s="62" t="s">
        <v>866</v>
      </c>
      <c r="H1471" s="62" t="s">
        <v>46</v>
      </c>
      <c r="I1471" s="62" t="s">
        <v>47</v>
      </c>
      <c r="J1471" s="62" t="s">
        <v>146</v>
      </c>
      <c r="K1471" s="62" t="s">
        <v>209</v>
      </c>
      <c r="L1471" s="62" t="s">
        <v>148</v>
      </c>
      <c r="M1471" s="62" t="n">
        <v>0</v>
      </c>
      <c r="N1471" s="62" t="n">
        <v>1</v>
      </c>
      <c r="O1471" s="62" t="n">
        <v>1</v>
      </c>
      <c r="P1471" s="62" t="n">
        <v>1</v>
      </c>
      <c r="Q1471" s="62" t="n">
        <v>0</v>
      </c>
      <c r="R1471" s="62" t="n">
        <v>0</v>
      </c>
      <c r="S1471" s="62" t="n">
        <v>0</v>
      </c>
      <c r="T1471" s="62" t="n">
        <v>0</v>
      </c>
      <c r="U1471" s="62"/>
      <c r="V1471" s="62"/>
      <c r="W1471" s="62"/>
      <c r="X1471" s="62"/>
      <c r="Y1471" s="62"/>
      <c r="Z1471" s="62" t="s">
        <v>2774</v>
      </c>
      <c r="AA1471" s="62" t="s">
        <v>2483</v>
      </c>
      <c r="AB1471" s="62" t="n">
        <v>1</v>
      </c>
      <c r="AC1471" s="62" t="n">
        <v>0</v>
      </c>
      <c r="AD1471" s="62" t="n">
        <v>1</v>
      </c>
      <c r="AE1471" s="62" t="n">
        <f aca="false">IF(AND(Dashboard!$C$9="Yes",AC1471=1),0,1)</f>
        <v>1</v>
      </c>
      <c r="AF1471" s="62" t="n">
        <v>1</v>
      </c>
    </row>
    <row r="1472" customFormat="false" ht="15" hidden="false" customHeight="false" outlineLevel="0" collapsed="false">
      <c r="A1472" s="62" t="n">
        <v>1471</v>
      </c>
      <c r="B1472" s="63" t="n">
        <v>46269.9836805556</v>
      </c>
      <c r="C1472" s="64" t="n">
        <v>46269</v>
      </c>
      <c r="D1472" s="62" t="s">
        <v>288</v>
      </c>
      <c r="E1472" s="62" t="s">
        <v>1539</v>
      </c>
      <c r="F1472" s="62" t="s">
        <v>1539</v>
      </c>
      <c r="G1472" s="62" t="s">
        <v>1540</v>
      </c>
      <c r="H1472" s="62" t="s">
        <v>52</v>
      </c>
      <c r="I1472" s="62" t="s">
        <v>47</v>
      </c>
      <c r="J1472" s="62" t="s">
        <v>146</v>
      </c>
      <c r="K1472" s="62" t="s">
        <v>147</v>
      </c>
      <c r="L1472" s="62" t="s">
        <v>148</v>
      </c>
      <c r="M1472" s="62" t="n">
        <v>0</v>
      </c>
      <c r="N1472" s="62" t="n">
        <v>1</v>
      </c>
      <c r="O1472" s="62" t="n">
        <v>1</v>
      </c>
      <c r="P1472" s="62" t="n">
        <v>1</v>
      </c>
      <c r="Q1472" s="62" t="n">
        <v>0</v>
      </c>
      <c r="R1472" s="62" t="n">
        <v>0</v>
      </c>
      <c r="S1472" s="62" t="n">
        <v>0</v>
      </c>
      <c r="T1472" s="62" t="n">
        <v>0</v>
      </c>
      <c r="U1472" s="62"/>
      <c r="V1472" s="62"/>
      <c r="W1472" s="62"/>
      <c r="X1472" s="62"/>
      <c r="Y1472" s="62"/>
      <c r="Z1472" s="62" t="s">
        <v>2775</v>
      </c>
      <c r="AA1472" s="62" t="s">
        <v>2776</v>
      </c>
      <c r="AB1472" s="62" t="n">
        <v>1</v>
      </c>
      <c r="AC1472" s="62" t="n">
        <v>0</v>
      </c>
      <c r="AD1472" s="62" t="n">
        <v>1</v>
      </c>
      <c r="AE1472" s="62" t="n">
        <f aca="false">IF(AND(Dashboard!$C$9="Yes",AC1472=1),0,1)</f>
        <v>1</v>
      </c>
      <c r="AF1472" s="62" t="n">
        <v>1</v>
      </c>
    </row>
    <row r="1473" customFormat="false" ht="15" hidden="false" customHeight="false" outlineLevel="0" collapsed="false">
      <c r="A1473" s="62" t="n">
        <v>1472</v>
      </c>
      <c r="B1473" s="63" t="n">
        <v>46270.0031481482</v>
      </c>
      <c r="C1473" s="64" t="n">
        <v>46269</v>
      </c>
      <c r="D1473" s="62" t="s">
        <v>288</v>
      </c>
      <c r="E1473" s="62" t="s">
        <v>2777</v>
      </c>
      <c r="F1473" s="62" t="s">
        <v>2777</v>
      </c>
      <c r="G1473" s="62" t="s">
        <v>2778</v>
      </c>
      <c r="H1473" s="62" t="s">
        <v>48</v>
      </c>
      <c r="I1473" s="62" t="s">
        <v>49</v>
      </c>
      <c r="J1473" s="62" t="s">
        <v>146</v>
      </c>
      <c r="K1473" s="62" t="s">
        <v>209</v>
      </c>
      <c r="L1473" s="62" t="s">
        <v>4</v>
      </c>
      <c r="M1473" s="62" t="n">
        <v>1</v>
      </c>
      <c r="N1473" s="62" t="n">
        <v>0</v>
      </c>
      <c r="O1473" s="62" t="n">
        <v>1</v>
      </c>
      <c r="P1473" s="62" t="n">
        <v>0</v>
      </c>
      <c r="Q1473" s="62" t="n">
        <v>0</v>
      </c>
      <c r="R1473" s="62" t="n">
        <v>0</v>
      </c>
      <c r="S1473" s="62" t="n">
        <v>0</v>
      </c>
      <c r="T1473" s="62" t="n">
        <v>0</v>
      </c>
      <c r="U1473" s="62" t="s">
        <v>2056</v>
      </c>
      <c r="V1473" s="62" t="s">
        <v>2057</v>
      </c>
      <c r="W1473" s="62" t="s">
        <v>15</v>
      </c>
      <c r="X1473" s="62" t="s">
        <v>2125</v>
      </c>
      <c r="Y1473" s="62" t="s">
        <v>2103</v>
      </c>
      <c r="Z1473" s="62" t="s">
        <v>2779</v>
      </c>
      <c r="AA1473" s="62" t="s">
        <v>2780</v>
      </c>
      <c r="AB1473" s="62" t="n">
        <v>1</v>
      </c>
      <c r="AC1473" s="62" t="n">
        <v>0</v>
      </c>
      <c r="AD1473" s="62" t="n">
        <v>1</v>
      </c>
      <c r="AE1473" s="62" t="n">
        <f aca="false">IF(AND(Dashboard!$C$9="Yes",AC1473=1),0,1)</f>
        <v>1</v>
      </c>
      <c r="AF1473" s="62" t="n">
        <v>1</v>
      </c>
    </row>
    <row r="1474" customFormat="false" ht="15" hidden="false" customHeight="false" outlineLevel="0" collapsed="false">
      <c r="A1474" s="62" t="n">
        <v>1473</v>
      </c>
      <c r="B1474" s="63" t="n">
        <v>46270.0195949074</v>
      </c>
      <c r="C1474" s="64" t="n">
        <v>46269</v>
      </c>
      <c r="D1474" s="62" t="s">
        <v>288</v>
      </c>
      <c r="E1474" s="62" t="s">
        <v>414</v>
      </c>
      <c r="F1474" s="62" t="s">
        <v>414</v>
      </c>
      <c r="G1474" s="62" t="s">
        <v>415</v>
      </c>
      <c r="H1474" s="62" t="s">
        <v>57</v>
      </c>
      <c r="I1474" s="62" t="s">
        <v>47</v>
      </c>
      <c r="J1474" s="62" t="s">
        <v>146</v>
      </c>
      <c r="K1474" s="62" t="s">
        <v>147</v>
      </c>
      <c r="L1474" s="62" t="s">
        <v>4</v>
      </c>
      <c r="M1474" s="62" t="n">
        <v>1</v>
      </c>
      <c r="N1474" s="62" t="n">
        <v>0</v>
      </c>
      <c r="O1474" s="62" t="n">
        <v>1</v>
      </c>
      <c r="P1474" s="62" t="n">
        <v>0</v>
      </c>
      <c r="Q1474" s="62" t="n">
        <v>0</v>
      </c>
      <c r="R1474" s="62" t="n">
        <v>0</v>
      </c>
      <c r="S1474" s="62" t="n">
        <v>0</v>
      </c>
      <c r="T1474" s="62" t="n">
        <v>0</v>
      </c>
      <c r="U1474" s="62" t="s">
        <v>2056</v>
      </c>
      <c r="V1474" s="62" t="s">
        <v>2057</v>
      </c>
      <c r="W1474" s="62" t="s">
        <v>15</v>
      </c>
      <c r="X1474" s="62" t="s">
        <v>2058</v>
      </c>
      <c r="Y1474" s="62" t="s">
        <v>2059</v>
      </c>
      <c r="Z1474" s="62" t="s">
        <v>2781</v>
      </c>
      <c r="AA1474" s="62" t="s">
        <v>2782</v>
      </c>
      <c r="AB1474" s="62" t="n">
        <v>1</v>
      </c>
      <c r="AC1474" s="62" t="n">
        <v>0</v>
      </c>
      <c r="AD1474" s="62" t="n">
        <v>1</v>
      </c>
      <c r="AE1474" s="62" t="n">
        <f aca="false">IF(AND(Dashboard!$C$9="Yes",AC1474=1),0,1)</f>
        <v>1</v>
      </c>
      <c r="AF1474" s="62" t="n">
        <v>0</v>
      </c>
    </row>
    <row r="1475" customFormat="false" ht="15" hidden="false" customHeight="false" outlineLevel="0" collapsed="false">
      <c r="A1475" s="62" t="n">
        <v>1474</v>
      </c>
      <c r="B1475" s="63" t="n">
        <v>46270.0309259259</v>
      </c>
      <c r="C1475" s="64" t="n">
        <v>46269</v>
      </c>
      <c r="D1475" s="62" t="s">
        <v>288</v>
      </c>
      <c r="E1475" s="62" t="s">
        <v>144</v>
      </c>
      <c r="F1475" s="62" t="s">
        <v>144</v>
      </c>
      <c r="G1475" s="62" t="s">
        <v>145</v>
      </c>
      <c r="H1475" s="62" t="s">
        <v>59</v>
      </c>
      <c r="I1475" s="62" t="s">
        <v>47</v>
      </c>
      <c r="J1475" s="62" t="s">
        <v>146</v>
      </c>
      <c r="K1475" s="62" t="s">
        <v>147</v>
      </c>
      <c r="L1475" s="62" t="s">
        <v>148</v>
      </c>
      <c r="M1475" s="62" t="n">
        <v>0</v>
      </c>
      <c r="N1475" s="62" t="n">
        <v>1</v>
      </c>
      <c r="O1475" s="62" t="n">
        <v>1</v>
      </c>
      <c r="P1475" s="62" t="n">
        <v>0</v>
      </c>
      <c r="Q1475" s="62" t="n">
        <v>0</v>
      </c>
      <c r="R1475" s="62" t="n">
        <v>1</v>
      </c>
      <c r="S1475" s="62" t="n">
        <v>0</v>
      </c>
      <c r="T1475" s="62" t="n">
        <v>0</v>
      </c>
      <c r="U1475" s="62"/>
      <c r="V1475" s="62"/>
      <c r="W1475" s="62"/>
      <c r="X1475" s="62"/>
      <c r="Y1475" s="62"/>
      <c r="Z1475" s="62" t="s">
        <v>2783</v>
      </c>
      <c r="AA1475" s="62" t="s">
        <v>2784</v>
      </c>
      <c r="AB1475" s="62" t="n">
        <v>1</v>
      </c>
      <c r="AC1475" s="62" t="n">
        <v>0</v>
      </c>
      <c r="AD1475" s="62" t="n">
        <v>1</v>
      </c>
      <c r="AE1475" s="62" t="n">
        <f aca="false">IF(AND(Dashboard!$C$9="Yes",AC1475=1),0,1)</f>
        <v>1</v>
      </c>
      <c r="AF1475" s="62" t="n">
        <v>0</v>
      </c>
    </row>
    <row r="1476" customFormat="false" ht="15" hidden="false" customHeight="false" outlineLevel="0" collapsed="false">
      <c r="A1476" s="62" t="n">
        <v>1475</v>
      </c>
      <c r="B1476" s="63" t="n">
        <v>46270.0311689815</v>
      </c>
      <c r="C1476" s="64" t="n">
        <v>46269</v>
      </c>
      <c r="D1476" s="62" t="s">
        <v>288</v>
      </c>
      <c r="E1476" s="62" t="s">
        <v>144</v>
      </c>
      <c r="F1476" s="62" t="s">
        <v>144</v>
      </c>
      <c r="G1476" s="62" t="s">
        <v>145</v>
      </c>
      <c r="H1476" s="62" t="s">
        <v>59</v>
      </c>
      <c r="I1476" s="62" t="s">
        <v>47</v>
      </c>
      <c r="J1476" s="62" t="s">
        <v>146</v>
      </c>
      <c r="K1476" s="62" t="s">
        <v>147</v>
      </c>
      <c r="L1476" s="62" t="s">
        <v>148</v>
      </c>
      <c r="M1476" s="62" t="n">
        <v>0</v>
      </c>
      <c r="N1476" s="62" t="n">
        <v>1</v>
      </c>
      <c r="O1476" s="62" t="n">
        <v>1</v>
      </c>
      <c r="P1476" s="62" t="n">
        <v>0</v>
      </c>
      <c r="Q1476" s="62" t="n">
        <v>0</v>
      </c>
      <c r="R1476" s="62" t="n">
        <v>1</v>
      </c>
      <c r="S1476" s="62" t="n">
        <v>0</v>
      </c>
      <c r="T1476" s="62" t="n">
        <v>0</v>
      </c>
      <c r="U1476" s="62"/>
      <c r="V1476" s="62"/>
      <c r="W1476" s="62"/>
      <c r="X1476" s="62"/>
      <c r="Y1476" s="62"/>
      <c r="Z1476" s="62" t="s">
        <v>2783</v>
      </c>
      <c r="AA1476" s="62" t="s">
        <v>2784</v>
      </c>
      <c r="AB1476" s="62" t="n">
        <v>1</v>
      </c>
      <c r="AC1476" s="62" t="n">
        <v>1</v>
      </c>
      <c r="AD1476" s="62" t="n">
        <v>1</v>
      </c>
      <c r="AE1476" s="62" t="n">
        <f aca="false">IF(AND(Dashboard!$C$9="Yes",AC1476=1),0,1)</f>
        <v>0</v>
      </c>
      <c r="AF1476" s="62" t="n">
        <v>0</v>
      </c>
    </row>
    <row r="1477" customFormat="false" ht="15" hidden="false" customHeight="false" outlineLevel="0" collapsed="false">
      <c r="A1477" s="62" t="n">
        <v>1476</v>
      </c>
      <c r="B1477" s="63" t="n">
        <v>46270.0313888889</v>
      </c>
      <c r="C1477" s="64" t="n">
        <v>46269</v>
      </c>
      <c r="D1477" s="62" t="s">
        <v>288</v>
      </c>
      <c r="E1477" s="62" t="s">
        <v>144</v>
      </c>
      <c r="F1477" s="62" t="s">
        <v>144</v>
      </c>
      <c r="G1477" s="62" t="s">
        <v>145</v>
      </c>
      <c r="H1477" s="62" t="s">
        <v>59</v>
      </c>
      <c r="I1477" s="62" t="s">
        <v>47</v>
      </c>
      <c r="J1477" s="62" t="s">
        <v>146</v>
      </c>
      <c r="K1477" s="62" t="s">
        <v>147</v>
      </c>
      <c r="L1477" s="62" t="s">
        <v>148</v>
      </c>
      <c r="M1477" s="62" t="n">
        <v>0</v>
      </c>
      <c r="N1477" s="62" t="n">
        <v>1</v>
      </c>
      <c r="O1477" s="62" t="n">
        <v>1</v>
      </c>
      <c r="P1477" s="62" t="n">
        <v>0</v>
      </c>
      <c r="Q1477" s="62" t="n">
        <v>0</v>
      </c>
      <c r="R1477" s="62" t="n">
        <v>1</v>
      </c>
      <c r="S1477" s="62" t="n">
        <v>0</v>
      </c>
      <c r="T1477" s="62" t="n">
        <v>0</v>
      </c>
      <c r="U1477" s="62"/>
      <c r="V1477" s="62"/>
      <c r="W1477" s="62"/>
      <c r="X1477" s="62"/>
      <c r="Y1477" s="62"/>
      <c r="Z1477" s="62" t="s">
        <v>2783</v>
      </c>
      <c r="AA1477" s="62" t="s">
        <v>2784</v>
      </c>
      <c r="AB1477" s="62" t="n">
        <v>1</v>
      </c>
      <c r="AC1477" s="62" t="n">
        <v>1</v>
      </c>
      <c r="AD1477" s="62" t="n">
        <v>1</v>
      </c>
      <c r="AE1477" s="62" t="n">
        <f aca="false">IF(AND(Dashboard!$C$9="Yes",AC1477=1),0,1)</f>
        <v>0</v>
      </c>
      <c r="AF1477" s="62" t="n">
        <v>0</v>
      </c>
    </row>
    <row r="1478" customFormat="false" ht="15" hidden="false" customHeight="false" outlineLevel="0" collapsed="false">
      <c r="A1478" s="62" t="n">
        <v>1477</v>
      </c>
      <c r="B1478" s="63" t="n">
        <v>46270.0405324074</v>
      </c>
      <c r="C1478" s="64" t="n">
        <v>46269</v>
      </c>
      <c r="D1478" s="62" t="s">
        <v>288</v>
      </c>
      <c r="E1478" s="62" t="s">
        <v>1155</v>
      </c>
      <c r="F1478" s="62" t="s">
        <v>1155</v>
      </c>
      <c r="G1478" s="62" t="s">
        <v>1156</v>
      </c>
      <c r="H1478" s="62" t="s">
        <v>59</v>
      </c>
      <c r="I1478" s="62" t="s">
        <v>47</v>
      </c>
      <c r="J1478" s="62" t="s">
        <v>146</v>
      </c>
      <c r="K1478" s="62" t="s">
        <v>209</v>
      </c>
      <c r="L1478" s="62" t="s">
        <v>148</v>
      </c>
      <c r="M1478" s="62" t="n">
        <v>0</v>
      </c>
      <c r="N1478" s="62" t="n">
        <v>1</v>
      </c>
      <c r="O1478" s="62" t="n">
        <v>1</v>
      </c>
      <c r="P1478" s="62" t="n">
        <v>1</v>
      </c>
      <c r="Q1478" s="62" t="n">
        <v>0</v>
      </c>
      <c r="R1478" s="62" t="n">
        <v>0</v>
      </c>
      <c r="S1478" s="62" t="n">
        <v>0</v>
      </c>
      <c r="T1478" s="62" t="n">
        <v>0</v>
      </c>
      <c r="U1478" s="62"/>
      <c r="V1478" s="62"/>
      <c r="W1478" s="62"/>
      <c r="X1478" s="62"/>
      <c r="Y1478" s="62"/>
      <c r="Z1478" s="62" t="s">
        <v>2785</v>
      </c>
      <c r="AA1478" s="62" t="s">
        <v>2786</v>
      </c>
      <c r="AB1478" s="62" t="n">
        <v>1</v>
      </c>
      <c r="AC1478" s="62" t="n">
        <v>0</v>
      </c>
      <c r="AD1478" s="62" t="n">
        <v>1</v>
      </c>
      <c r="AE1478" s="62" t="n">
        <f aca="false">IF(AND(Dashboard!$C$9="Yes",AC1478=1),0,1)</f>
        <v>1</v>
      </c>
      <c r="AF1478" s="62" t="n">
        <v>0</v>
      </c>
    </row>
    <row r="1479" customFormat="false" ht="15" hidden="false" customHeight="false" outlineLevel="0" collapsed="false">
      <c r="A1479" s="62" t="n">
        <v>1478</v>
      </c>
      <c r="B1479" s="63" t="n">
        <v>46270.0472222222</v>
      </c>
      <c r="C1479" s="64" t="n">
        <v>46269</v>
      </c>
      <c r="D1479" s="62" t="s">
        <v>288</v>
      </c>
      <c r="E1479" s="62" t="s">
        <v>144</v>
      </c>
      <c r="F1479" s="62" t="s">
        <v>144</v>
      </c>
      <c r="G1479" s="62" t="s">
        <v>145</v>
      </c>
      <c r="H1479" s="62" t="s">
        <v>59</v>
      </c>
      <c r="I1479" s="62" t="s">
        <v>47</v>
      </c>
      <c r="J1479" s="62" t="s">
        <v>146</v>
      </c>
      <c r="K1479" s="62" t="s">
        <v>147</v>
      </c>
      <c r="L1479" s="62" t="s">
        <v>148</v>
      </c>
      <c r="M1479" s="62" t="n">
        <v>0</v>
      </c>
      <c r="N1479" s="62" t="n">
        <v>1</v>
      </c>
      <c r="O1479" s="62" t="n">
        <v>1</v>
      </c>
      <c r="P1479" s="62" t="n">
        <v>0</v>
      </c>
      <c r="Q1479" s="62" t="n">
        <v>0</v>
      </c>
      <c r="R1479" s="62" t="n">
        <v>1</v>
      </c>
      <c r="S1479" s="62" t="n">
        <v>0</v>
      </c>
      <c r="T1479" s="62" t="n">
        <v>0</v>
      </c>
      <c r="U1479" s="62"/>
      <c r="V1479" s="62"/>
      <c r="W1479" s="62"/>
      <c r="X1479" s="62"/>
      <c r="Y1479" s="62"/>
      <c r="Z1479" s="62" t="s">
        <v>2787</v>
      </c>
      <c r="AA1479" s="62" t="s">
        <v>2788</v>
      </c>
      <c r="AB1479" s="62" t="n">
        <v>1</v>
      </c>
      <c r="AC1479" s="62" t="n">
        <v>0</v>
      </c>
      <c r="AD1479" s="62" t="n">
        <v>1</v>
      </c>
      <c r="AE1479" s="62" t="n">
        <f aca="false">IF(AND(Dashboard!$C$9="Yes",AC1479=1),0,1)</f>
        <v>1</v>
      </c>
      <c r="AF1479" s="62" t="n">
        <v>0</v>
      </c>
    </row>
    <row r="1480" customFormat="false" ht="15" hidden="false" customHeight="false" outlineLevel="0" collapsed="false">
      <c r="A1480" s="62" t="n">
        <v>1479</v>
      </c>
      <c r="B1480" s="63" t="n">
        <v>46270.0473958333</v>
      </c>
      <c r="C1480" s="64" t="n">
        <v>46269</v>
      </c>
      <c r="D1480" s="62" t="s">
        <v>288</v>
      </c>
      <c r="E1480" s="62" t="s">
        <v>144</v>
      </c>
      <c r="F1480" s="62" t="s">
        <v>144</v>
      </c>
      <c r="G1480" s="62" t="s">
        <v>145</v>
      </c>
      <c r="H1480" s="62" t="s">
        <v>59</v>
      </c>
      <c r="I1480" s="62" t="s">
        <v>47</v>
      </c>
      <c r="J1480" s="62" t="s">
        <v>146</v>
      </c>
      <c r="K1480" s="62" t="s">
        <v>147</v>
      </c>
      <c r="L1480" s="62" t="s">
        <v>148</v>
      </c>
      <c r="M1480" s="62" t="n">
        <v>0</v>
      </c>
      <c r="N1480" s="62" t="n">
        <v>1</v>
      </c>
      <c r="O1480" s="62" t="n">
        <v>1</v>
      </c>
      <c r="P1480" s="62" t="n">
        <v>0</v>
      </c>
      <c r="Q1480" s="62" t="n">
        <v>0</v>
      </c>
      <c r="R1480" s="62" t="n">
        <v>1</v>
      </c>
      <c r="S1480" s="62" t="n">
        <v>0</v>
      </c>
      <c r="T1480" s="62" t="n">
        <v>0</v>
      </c>
      <c r="U1480" s="62"/>
      <c r="V1480" s="62"/>
      <c r="W1480" s="62"/>
      <c r="X1480" s="62"/>
      <c r="Y1480" s="62"/>
      <c r="Z1480" s="62" t="s">
        <v>2787</v>
      </c>
      <c r="AA1480" s="62" t="s">
        <v>2788</v>
      </c>
      <c r="AB1480" s="62" t="n">
        <v>1</v>
      </c>
      <c r="AC1480" s="62" t="n">
        <v>1</v>
      </c>
      <c r="AD1480" s="62" t="n">
        <v>1</v>
      </c>
      <c r="AE1480" s="62" t="n">
        <f aca="false">IF(AND(Dashboard!$C$9="Yes",AC1480=1),0,1)</f>
        <v>0</v>
      </c>
      <c r="AF1480" s="62" t="n">
        <v>0</v>
      </c>
    </row>
    <row r="1481" customFormat="false" ht="15" hidden="false" customHeight="false" outlineLevel="0" collapsed="false">
      <c r="A1481" s="62" t="n">
        <v>1480</v>
      </c>
      <c r="B1481" s="63" t="n">
        <v>46270.0476967593</v>
      </c>
      <c r="C1481" s="64" t="n">
        <v>46269</v>
      </c>
      <c r="D1481" s="62" t="s">
        <v>288</v>
      </c>
      <c r="E1481" s="62" t="s">
        <v>144</v>
      </c>
      <c r="F1481" s="62" t="s">
        <v>144</v>
      </c>
      <c r="G1481" s="62" t="s">
        <v>145</v>
      </c>
      <c r="H1481" s="62" t="s">
        <v>59</v>
      </c>
      <c r="I1481" s="62" t="s">
        <v>47</v>
      </c>
      <c r="J1481" s="62" t="s">
        <v>146</v>
      </c>
      <c r="K1481" s="62" t="s">
        <v>147</v>
      </c>
      <c r="L1481" s="62" t="s">
        <v>148</v>
      </c>
      <c r="M1481" s="62" t="n">
        <v>0</v>
      </c>
      <c r="N1481" s="62" t="n">
        <v>1</v>
      </c>
      <c r="O1481" s="62" t="n">
        <v>1</v>
      </c>
      <c r="P1481" s="62" t="n">
        <v>0</v>
      </c>
      <c r="Q1481" s="62" t="n">
        <v>0</v>
      </c>
      <c r="R1481" s="62" t="n">
        <v>1</v>
      </c>
      <c r="S1481" s="62" t="n">
        <v>0</v>
      </c>
      <c r="T1481" s="62" t="n">
        <v>0</v>
      </c>
      <c r="U1481" s="62"/>
      <c r="V1481" s="62"/>
      <c r="W1481" s="62"/>
      <c r="X1481" s="62"/>
      <c r="Y1481" s="62"/>
      <c r="Z1481" s="62" t="s">
        <v>2787</v>
      </c>
      <c r="AA1481" s="62" t="s">
        <v>2788</v>
      </c>
      <c r="AB1481" s="62" t="n">
        <v>1</v>
      </c>
      <c r="AC1481" s="62" t="n">
        <v>1</v>
      </c>
      <c r="AD1481" s="62" t="n">
        <v>1</v>
      </c>
      <c r="AE1481" s="62" t="n">
        <f aca="false">IF(AND(Dashboard!$C$9="Yes",AC1481=1),0,1)</f>
        <v>0</v>
      </c>
      <c r="AF1481" s="62" t="n">
        <v>0</v>
      </c>
    </row>
    <row r="1482" customFormat="false" ht="15" hidden="false" customHeight="false" outlineLevel="0" collapsed="false">
      <c r="A1482" s="62" t="n">
        <v>1481</v>
      </c>
      <c r="B1482" s="63" t="n">
        <v>46270.0598726852</v>
      </c>
      <c r="C1482" s="64" t="n">
        <v>46269</v>
      </c>
      <c r="D1482" s="62" t="s">
        <v>288</v>
      </c>
      <c r="E1482" s="62" t="s">
        <v>790</v>
      </c>
      <c r="F1482" s="62" t="s">
        <v>791</v>
      </c>
      <c r="G1482" s="62" t="s">
        <v>153</v>
      </c>
      <c r="H1482" s="62" t="s">
        <v>153</v>
      </c>
      <c r="I1482" s="62" t="s">
        <v>153</v>
      </c>
      <c r="J1482" s="62" t="s">
        <v>64</v>
      </c>
      <c r="K1482" s="62" t="s">
        <v>64</v>
      </c>
      <c r="L1482" s="62" t="s">
        <v>148</v>
      </c>
      <c r="M1482" s="62" t="n">
        <v>0</v>
      </c>
      <c r="N1482" s="62" t="n">
        <v>1</v>
      </c>
      <c r="O1482" s="62" t="n">
        <v>1</v>
      </c>
      <c r="P1482" s="62" t="n">
        <v>1</v>
      </c>
      <c r="Q1482" s="62" t="n">
        <v>0</v>
      </c>
      <c r="R1482" s="62" t="n">
        <v>0</v>
      </c>
      <c r="S1482" s="62" t="n">
        <v>0</v>
      </c>
      <c r="T1482" s="62" t="n">
        <v>0</v>
      </c>
      <c r="U1482" s="62"/>
      <c r="V1482" s="62"/>
      <c r="W1482" s="62"/>
      <c r="X1482" s="62"/>
      <c r="Y1482" s="62"/>
      <c r="Z1482" s="62" t="s">
        <v>2789</v>
      </c>
      <c r="AA1482" s="62" t="s">
        <v>2790</v>
      </c>
      <c r="AB1482" s="62" t="n">
        <v>1</v>
      </c>
      <c r="AC1482" s="62" t="n">
        <v>0</v>
      </c>
      <c r="AD1482" s="62" t="n">
        <v>0</v>
      </c>
      <c r="AE1482" s="62" t="n">
        <f aca="false">IF(AND(Dashboard!$C$9="Yes",AC1482=1),0,1)</f>
        <v>1</v>
      </c>
      <c r="AF1482" s="62" t="n">
        <v>0</v>
      </c>
    </row>
    <row r="1483" customFormat="false" ht="15" hidden="false" customHeight="false" outlineLevel="0" collapsed="false">
      <c r="A1483" s="62" t="n">
        <v>1482</v>
      </c>
      <c r="B1483" s="63" t="n">
        <v>46270.0677893519</v>
      </c>
      <c r="C1483" s="64" t="n">
        <v>46269</v>
      </c>
      <c r="D1483" s="62" t="s">
        <v>288</v>
      </c>
      <c r="E1483" s="62" t="s">
        <v>2599</v>
      </c>
      <c r="F1483" s="62" t="s">
        <v>2050</v>
      </c>
      <c r="G1483" s="62" t="s">
        <v>2051</v>
      </c>
      <c r="H1483" s="62" t="s">
        <v>46</v>
      </c>
      <c r="I1483" s="62" t="s">
        <v>47</v>
      </c>
      <c r="J1483" s="62" t="s">
        <v>146</v>
      </c>
      <c r="K1483" s="62" t="s">
        <v>209</v>
      </c>
      <c r="L1483" s="62" t="s">
        <v>148</v>
      </c>
      <c r="M1483" s="62" t="n">
        <v>0</v>
      </c>
      <c r="N1483" s="62" t="n">
        <v>1</v>
      </c>
      <c r="O1483" s="62" t="n">
        <v>1</v>
      </c>
      <c r="P1483" s="62" t="n">
        <v>1</v>
      </c>
      <c r="Q1483" s="62" t="n">
        <v>0</v>
      </c>
      <c r="R1483" s="62" t="n">
        <v>0</v>
      </c>
      <c r="S1483" s="62" t="n">
        <v>0</v>
      </c>
      <c r="T1483" s="62" t="n">
        <v>0</v>
      </c>
      <c r="U1483" s="62"/>
      <c r="V1483" s="62"/>
      <c r="W1483" s="62"/>
      <c r="X1483" s="62"/>
      <c r="Y1483" s="62"/>
      <c r="Z1483" s="62" t="s">
        <v>2791</v>
      </c>
      <c r="AA1483" s="62" t="s">
        <v>2076</v>
      </c>
      <c r="AB1483" s="62" t="n">
        <v>0</v>
      </c>
      <c r="AC1483" s="62" t="n">
        <v>0</v>
      </c>
      <c r="AD1483" s="62" t="n">
        <v>1</v>
      </c>
      <c r="AE1483" s="62" t="n">
        <f aca="false">IF(AND(Dashboard!$C$9="Yes",AC1483=1),0,1)</f>
        <v>1</v>
      </c>
      <c r="AF1483" s="62" t="n">
        <v>0</v>
      </c>
    </row>
    <row r="1484" customFormat="false" ht="15" hidden="false" customHeight="false" outlineLevel="0" collapsed="false">
      <c r="A1484" s="62" t="n">
        <v>1483</v>
      </c>
      <c r="B1484" s="63" t="n">
        <v>46270.0910416667</v>
      </c>
      <c r="C1484" s="64" t="n">
        <v>46269</v>
      </c>
      <c r="D1484" s="62" t="s">
        <v>288</v>
      </c>
      <c r="E1484" s="62" t="s">
        <v>1314</v>
      </c>
      <c r="F1484" s="62" t="s">
        <v>1314</v>
      </c>
      <c r="G1484" s="62" t="s">
        <v>1315</v>
      </c>
      <c r="H1484" s="62" t="s">
        <v>51</v>
      </c>
      <c r="I1484" s="62" t="s">
        <v>47</v>
      </c>
      <c r="J1484" s="62" t="s">
        <v>146</v>
      </c>
      <c r="K1484" s="62" t="s">
        <v>209</v>
      </c>
      <c r="L1484" s="62" t="s">
        <v>4</v>
      </c>
      <c r="M1484" s="62" t="n">
        <v>1</v>
      </c>
      <c r="N1484" s="62" t="n">
        <v>0</v>
      </c>
      <c r="O1484" s="62" t="n">
        <v>1</v>
      </c>
      <c r="P1484" s="62" t="n">
        <v>0</v>
      </c>
      <c r="Q1484" s="62" t="n">
        <v>0</v>
      </c>
      <c r="R1484" s="62" t="n">
        <v>0</v>
      </c>
      <c r="S1484" s="62" t="n">
        <v>0</v>
      </c>
      <c r="T1484" s="62" t="n">
        <v>0</v>
      </c>
      <c r="U1484" s="62" t="s">
        <v>2056</v>
      </c>
      <c r="V1484" s="62" t="s">
        <v>2057</v>
      </c>
      <c r="W1484" s="62" t="s">
        <v>15</v>
      </c>
      <c r="X1484" s="62" t="s">
        <v>2180</v>
      </c>
      <c r="Y1484" s="62" t="s">
        <v>2059</v>
      </c>
      <c r="Z1484" s="62" t="s">
        <v>2792</v>
      </c>
      <c r="AA1484" s="62" t="s">
        <v>2793</v>
      </c>
      <c r="AB1484" s="62" t="n">
        <v>1</v>
      </c>
      <c r="AC1484" s="62" t="n">
        <v>0</v>
      </c>
      <c r="AD1484" s="62" t="n">
        <v>1</v>
      </c>
      <c r="AE1484" s="62" t="n">
        <f aca="false">IF(AND(Dashboard!$C$9="Yes",AC1484=1),0,1)</f>
        <v>1</v>
      </c>
      <c r="AF1484" s="62" t="n">
        <v>1</v>
      </c>
    </row>
    <row r="1485" customFormat="false" ht="15" hidden="false" customHeight="false" outlineLevel="0" collapsed="false">
      <c r="A1485" s="62" t="n">
        <v>1484</v>
      </c>
      <c r="B1485" s="63" t="n">
        <v>46270.0916087963</v>
      </c>
      <c r="C1485" s="64" t="n">
        <v>46269</v>
      </c>
      <c r="D1485" s="62" t="s">
        <v>288</v>
      </c>
      <c r="E1485" s="62" t="s">
        <v>160</v>
      </c>
      <c r="F1485" s="62" t="s">
        <v>160</v>
      </c>
      <c r="G1485" s="62" t="s">
        <v>161</v>
      </c>
      <c r="H1485" s="62" t="s">
        <v>51</v>
      </c>
      <c r="I1485" s="62" t="s">
        <v>47</v>
      </c>
      <c r="J1485" s="62" t="s">
        <v>146</v>
      </c>
      <c r="K1485" s="62" t="s">
        <v>147</v>
      </c>
      <c r="L1485" s="62" t="s">
        <v>4</v>
      </c>
      <c r="M1485" s="62" t="n">
        <v>1</v>
      </c>
      <c r="N1485" s="62" t="n">
        <v>0</v>
      </c>
      <c r="O1485" s="62" t="n">
        <v>1</v>
      </c>
      <c r="P1485" s="62" t="n">
        <v>0</v>
      </c>
      <c r="Q1485" s="62" t="n">
        <v>0</v>
      </c>
      <c r="R1485" s="62" t="n">
        <v>0</v>
      </c>
      <c r="S1485" s="62" t="n">
        <v>0</v>
      </c>
      <c r="T1485" s="62" t="n">
        <v>0</v>
      </c>
      <c r="U1485" s="62" t="s">
        <v>2056</v>
      </c>
      <c r="V1485" s="62" t="s">
        <v>2068</v>
      </c>
      <c r="W1485" s="62"/>
      <c r="X1485" s="62" t="s">
        <v>2058</v>
      </c>
      <c r="Y1485" s="62" t="s">
        <v>2103</v>
      </c>
      <c r="Z1485" s="62" t="s">
        <v>2794</v>
      </c>
      <c r="AA1485" s="62" t="s">
        <v>2795</v>
      </c>
      <c r="AB1485" s="62" t="n">
        <v>1</v>
      </c>
      <c r="AC1485" s="62" t="n">
        <v>0</v>
      </c>
      <c r="AD1485" s="62" t="n">
        <v>1</v>
      </c>
      <c r="AE1485" s="62" t="n">
        <f aca="false">IF(AND(Dashboard!$C$9="Yes",AC1485=1),0,1)</f>
        <v>1</v>
      </c>
      <c r="AF1485" s="62" t="n">
        <v>1</v>
      </c>
    </row>
    <row r="1486" customFormat="false" ht="15" hidden="false" customHeight="false" outlineLevel="0" collapsed="false">
      <c r="A1486" s="62" t="n">
        <v>1485</v>
      </c>
      <c r="B1486" s="63" t="n">
        <v>46270.0929166667</v>
      </c>
      <c r="C1486" s="64" t="n">
        <v>46269</v>
      </c>
      <c r="D1486" s="62" t="s">
        <v>288</v>
      </c>
      <c r="E1486" s="62" t="s">
        <v>1314</v>
      </c>
      <c r="F1486" s="62" t="s">
        <v>1314</v>
      </c>
      <c r="G1486" s="62" t="s">
        <v>1315</v>
      </c>
      <c r="H1486" s="62" t="s">
        <v>51</v>
      </c>
      <c r="I1486" s="62" t="s">
        <v>47</v>
      </c>
      <c r="J1486" s="62" t="s">
        <v>146</v>
      </c>
      <c r="K1486" s="62" t="s">
        <v>209</v>
      </c>
      <c r="L1486" s="62" t="s">
        <v>4</v>
      </c>
      <c r="M1486" s="62" t="n">
        <v>1</v>
      </c>
      <c r="N1486" s="62" t="n">
        <v>0</v>
      </c>
      <c r="O1486" s="62" t="n">
        <v>1</v>
      </c>
      <c r="P1486" s="62" t="n">
        <v>0</v>
      </c>
      <c r="Q1486" s="62" t="n">
        <v>0</v>
      </c>
      <c r="R1486" s="62" t="n">
        <v>0</v>
      </c>
      <c r="S1486" s="62" t="n">
        <v>0</v>
      </c>
      <c r="T1486" s="62" t="n">
        <v>0</v>
      </c>
      <c r="U1486" s="62" t="s">
        <v>2056</v>
      </c>
      <c r="V1486" s="62" t="s">
        <v>2057</v>
      </c>
      <c r="W1486" s="62" t="s">
        <v>15</v>
      </c>
      <c r="X1486" s="62" t="s">
        <v>2180</v>
      </c>
      <c r="Y1486" s="62" t="s">
        <v>2059</v>
      </c>
      <c r="Z1486" s="62" t="s">
        <v>2792</v>
      </c>
      <c r="AA1486" s="62" t="s">
        <v>2793</v>
      </c>
      <c r="AB1486" s="62" t="n">
        <v>1</v>
      </c>
      <c r="AC1486" s="62" t="n">
        <v>1</v>
      </c>
      <c r="AD1486" s="62" t="n">
        <v>1</v>
      </c>
      <c r="AE1486" s="62" t="n">
        <f aca="false">IF(AND(Dashboard!$C$9="Yes",AC1486=1),0,1)</f>
        <v>0</v>
      </c>
      <c r="AF1486" s="62" t="n">
        <v>0</v>
      </c>
    </row>
    <row r="1487" customFormat="false" ht="15" hidden="false" customHeight="false" outlineLevel="0" collapsed="false">
      <c r="A1487" s="62" t="n">
        <v>1486</v>
      </c>
      <c r="B1487" s="63" t="n">
        <v>46270.1291550926</v>
      </c>
      <c r="C1487" s="64" t="n">
        <v>46269</v>
      </c>
      <c r="D1487" s="62" t="s">
        <v>288</v>
      </c>
      <c r="E1487" s="62" t="s">
        <v>865</v>
      </c>
      <c r="F1487" s="62" t="s">
        <v>865</v>
      </c>
      <c r="G1487" s="62" t="s">
        <v>866</v>
      </c>
      <c r="H1487" s="62" t="s">
        <v>46</v>
      </c>
      <c r="I1487" s="62" t="s">
        <v>47</v>
      </c>
      <c r="J1487" s="62" t="s">
        <v>146</v>
      </c>
      <c r="K1487" s="62" t="s">
        <v>209</v>
      </c>
      <c r="L1487" s="62" t="s">
        <v>4</v>
      </c>
      <c r="M1487" s="62" t="n">
        <v>1</v>
      </c>
      <c r="N1487" s="62" t="n">
        <v>0</v>
      </c>
      <c r="O1487" s="62" t="n">
        <v>1</v>
      </c>
      <c r="P1487" s="62" t="n">
        <v>0</v>
      </c>
      <c r="Q1487" s="62" t="n">
        <v>0</v>
      </c>
      <c r="R1487" s="62" t="n">
        <v>0</v>
      </c>
      <c r="S1487" s="62" t="n">
        <v>0</v>
      </c>
      <c r="T1487" s="62" t="n">
        <v>0</v>
      </c>
      <c r="U1487" s="62" t="s">
        <v>15</v>
      </c>
      <c r="V1487" s="62" t="s">
        <v>2057</v>
      </c>
      <c r="W1487" s="62" t="s">
        <v>15</v>
      </c>
      <c r="X1487" s="62" t="s">
        <v>2058</v>
      </c>
      <c r="Y1487" s="62" t="s">
        <v>2103</v>
      </c>
      <c r="Z1487" s="62" t="s">
        <v>2796</v>
      </c>
      <c r="AA1487" s="62" t="s">
        <v>2797</v>
      </c>
      <c r="AB1487" s="62" t="n">
        <v>1</v>
      </c>
      <c r="AC1487" s="62" t="n">
        <v>0</v>
      </c>
      <c r="AD1487" s="62" t="n">
        <v>1</v>
      </c>
      <c r="AE1487" s="62" t="n">
        <f aca="false">IF(AND(Dashboard!$C$9="Yes",AC1487=1),0,1)</f>
        <v>1</v>
      </c>
      <c r="AF1487" s="62" t="n">
        <v>0</v>
      </c>
    </row>
    <row r="1488" customFormat="false" ht="15" hidden="false" customHeight="false" outlineLevel="0" collapsed="false">
      <c r="A1488" s="62" t="n">
        <v>1487</v>
      </c>
      <c r="B1488" s="63" t="n">
        <v>46270.1354282407</v>
      </c>
      <c r="C1488" s="64" t="n">
        <v>46269</v>
      </c>
      <c r="D1488" s="62" t="s">
        <v>288</v>
      </c>
      <c r="E1488" s="62" t="s">
        <v>2081</v>
      </c>
      <c r="F1488" s="62" t="s">
        <v>2081</v>
      </c>
      <c r="G1488" s="62" t="s">
        <v>2082</v>
      </c>
      <c r="H1488" s="62" t="s">
        <v>57</v>
      </c>
      <c r="I1488" s="62" t="s">
        <v>47</v>
      </c>
      <c r="J1488" s="62" t="s">
        <v>146</v>
      </c>
      <c r="K1488" s="62" t="s">
        <v>147</v>
      </c>
      <c r="L1488" s="62" t="s">
        <v>4</v>
      </c>
      <c r="M1488" s="62" t="n">
        <v>1</v>
      </c>
      <c r="N1488" s="62" t="n">
        <v>0</v>
      </c>
      <c r="O1488" s="62" t="n">
        <v>1</v>
      </c>
      <c r="P1488" s="62" t="n">
        <v>0</v>
      </c>
      <c r="Q1488" s="62" t="n">
        <v>0</v>
      </c>
      <c r="R1488" s="62" t="n">
        <v>0</v>
      </c>
      <c r="S1488" s="62" t="n">
        <v>0</v>
      </c>
      <c r="T1488" s="62" t="n">
        <v>0</v>
      </c>
      <c r="U1488" s="62" t="s">
        <v>2056</v>
      </c>
      <c r="V1488" s="62" t="s">
        <v>2057</v>
      </c>
      <c r="W1488" s="62" t="s">
        <v>15</v>
      </c>
      <c r="X1488" s="62" t="s">
        <v>2103</v>
      </c>
      <c r="Y1488" s="62" t="s">
        <v>2059</v>
      </c>
      <c r="Z1488" s="62" t="s">
        <v>2798</v>
      </c>
      <c r="AA1488" s="62" t="s">
        <v>2799</v>
      </c>
      <c r="AB1488" s="62" t="n">
        <v>1</v>
      </c>
      <c r="AC1488" s="62" t="n">
        <v>0</v>
      </c>
      <c r="AD1488" s="62" t="n">
        <v>1</v>
      </c>
      <c r="AE1488" s="62" t="n">
        <f aca="false">IF(AND(Dashboard!$C$9="Yes",AC1488=1),0,1)</f>
        <v>1</v>
      </c>
      <c r="AF1488" s="62" t="n">
        <v>1</v>
      </c>
    </row>
    <row r="1489" customFormat="false" ht="15" hidden="false" customHeight="false" outlineLevel="0" collapsed="false">
      <c r="A1489" s="62" t="n">
        <v>1488</v>
      </c>
      <c r="B1489" s="63" t="n">
        <v>46270.1419328704</v>
      </c>
      <c r="C1489" s="64" t="n">
        <v>46269</v>
      </c>
      <c r="D1489" s="62" t="s">
        <v>288</v>
      </c>
      <c r="E1489" s="62" t="s">
        <v>2228</v>
      </c>
      <c r="F1489" s="62" t="s">
        <v>2228</v>
      </c>
      <c r="G1489" s="62" t="s">
        <v>2229</v>
      </c>
      <c r="H1489" s="62" t="s">
        <v>58</v>
      </c>
      <c r="I1489" s="62" t="s">
        <v>49</v>
      </c>
      <c r="J1489" s="62" t="s">
        <v>146</v>
      </c>
      <c r="K1489" s="62" t="s">
        <v>209</v>
      </c>
      <c r="L1489" s="62" t="s">
        <v>4</v>
      </c>
      <c r="M1489" s="62" t="n">
        <v>1</v>
      </c>
      <c r="N1489" s="62" t="n">
        <v>0</v>
      </c>
      <c r="O1489" s="62" t="n">
        <v>1</v>
      </c>
      <c r="P1489" s="62" t="n">
        <v>0</v>
      </c>
      <c r="Q1489" s="62" t="n">
        <v>0</v>
      </c>
      <c r="R1489" s="62" t="n">
        <v>0</v>
      </c>
      <c r="S1489" s="62" t="n">
        <v>0</v>
      </c>
      <c r="T1489" s="62" t="n">
        <v>0</v>
      </c>
      <c r="U1489" s="62" t="s">
        <v>2056</v>
      </c>
      <c r="V1489" s="62" t="s">
        <v>2057</v>
      </c>
      <c r="W1489" s="62" t="s">
        <v>15</v>
      </c>
      <c r="X1489" s="62" t="s">
        <v>2058</v>
      </c>
      <c r="Y1489" s="62" t="s">
        <v>2059</v>
      </c>
      <c r="Z1489" s="62" t="s">
        <v>2800</v>
      </c>
      <c r="AA1489" s="62" t="s">
        <v>2801</v>
      </c>
      <c r="AB1489" s="62" t="n">
        <v>1</v>
      </c>
      <c r="AC1489" s="62" t="n">
        <v>0</v>
      </c>
      <c r="AD1489" s="62" t="n">
        <v>1</v>
      </c>
      <c r="AE1489" s="62" t="n">
        <f aca="false">IF(AND(Dashboard!$C$9="Yes",AC1489=1),0,1)</f>
        <v>1</v>
      </c>
      <c r="AF1489" s="62" t="n">
        <v>1</v>
      </c>
    </row>
    <row r="1490" customFormat="false" ht="15" hidden="false" customHeight="false" outlineLevel="0" collapsed="false">
      <c r="A1490" s="62" t="n">
        <v>1489</v>
      </c>
      <c r="B1490" s="63" t="n">
        <v>46270.1440740741</v>
      </c>
      <c r="C1490" s="64" t="n">
        <v>46269</v>
      </c>
      <c r="D1490" s="62" t="s">
        <v>288</v>
      </c>
      <c r="E1490" s="62" t="s">
        <v>2183</v>
      </c>
      <c r="F1490" s="62" t="s">
        <v>2183</v>
      </c>
      <c r="G1490" s="62" t="s">
        <v>2184</v>
      </c>
      <c r="H1490" s="62" t="s">
        <v>59</v>
      </c>
      <c r="I1490" s="62" t="s">
        <v>47</v>
      </c>
      <c r="J1490" s="62" t="s">
        <v>146</v>
      </c>
      <c r="K1490" s="62" t="s">
        <v>209</v>
      </c>
      <c r="L1490" s="62" t="s">
        <v>4</v>
      </c>
      <c r="M1490" s="62" t="n">
        <v>1</v>
      </c>
      <c r="N1490" s="62" t="n">
        <v>0</v>
      </c>
      <c r="O1490" s="62" t="n">
        <v>1</v>
      </c>
      <c r="P1490" s="62" t="n">
        <v>0</v>
      </c>
      <c r="Q1490" s="62" t="n">
        <v>0</v>
      </c>
      <c r="R1490" s="62" t="n">
        <v>0</v>
      </c>
      <c r="S1490" s="62" t="n">
        <v>0</v>
      </c>
      <c r="T1490" s="62" t="n">
        <v>0</v>
      </c>
      <c r="U1490" s="62" t="s">
        <v>2056</v>
      </c>
      <c r="V1490" s="62" t="s">
        <v>2057</v>
      </c>
      <c r="W1490" s="62" t="s">
        <v>15</v>
      </c>
      <c r="X1490" s="62" t="s">
        <v>2058</v>
      </c>
      <c r="Y1490" s="62" t="s">
        <v>2059</v>
      </c>
      <c r="Z1490" s="62" t="s">
        <v>2802</v>
      </c>
      <c r="AA1490" s="62" t="s">
        <v>2803</v>
      </c>
      <c r="AB1490" s="62" t="n">
        <v>1</v>
      </c>
      <c r="AC1490" s="62" t="n">
        <v>0</v>
      </c>
      <c r="AD1490" s="62" t="n">
        <v>1</v>
      </c>
      <c r="AE1490" s="62" t="n">
        <f aca="false">IF(AND(Dashboard!$C$9="Yes",AC1490=1),0,1)</f>
        <v>1</v>
      </c>
      <c r="AF1490" s="62" t="n">
        <v>0</v>
      </c>
    </row>
    <row r="1491" customFormat="false" ht="15" hidden="false" customHeight="false" outlineLevel="0" collapsed="false">
      <c r="A1491" s="62" t="n">
        <v>1490</v>
      </c>
      <c r="B1491" s="63" t="n">
        <v>46270.1651157407</v>
      </c>
      <c r="C1491" s="64" t="n">
        <v>46269</v>
      </c>
      <c r="D1491" s="62" t="s">
        <v>288</v>
      </c>
      <c r="E1491" s="62" t="s">
        <v>1749</v>
      </c>
      <c r="F1491" s="62" t="s">
        <v>1749</v>
      </c>
      <c r="G1491" s="62" t="s">
        <v>1750</v>
      </c>
      <c r="H1491" s="62" t="s">
        <v>57</v>
      </c>
      <c r="I1491" s="62" t="s">
        <v>47</v>
      </c>
      <c r="J1491" s="62" t="s">
        <v>146</v>
      </c>
      <c r="K1491" s="62" t="s">
        <v>209</v>
      </c>
      <c r="L1491" s="62" t="s">
        <v>148</v>
      </c>
      <c r="M1491" s="62" t="n">
        <v>0</v>
      </c>
      <c r="N1491" s="62" t="n">
        <v>1</v>
      </c>
      <c r="O1491" s="62" t="n">
        <v>1</v>
      </c>
      <c r="P1491" s="62" t="n">
        <v>0</v>
      </c>
      <c r="Q1491" s="62" t="n">
        <v>0</v>
      </c>
      <c r="R1491" s="62" t="n">
        <v>1</v>
      </c>
      <c r="S1491" s="62" t="n">
        <v>0</v>
      </c>
      <c r="T1491" s="62" t="n">
        <v>0</v>
      </c>
      <c r="U1491" s="62"/>
      <c r="V1491" s="62"/>
      <c r="W1491" s="62"/>
      <c r="X1491" s="62"/>
      <c r="Y1491" s="62"/>
      <c r="Z1491" s="62" t="s">
        <v>2804</v>
      </c>
      <c r="AA1491" s="62" t="s">
        <v>2805</v>
      </c>
      <c r="AB1491" s="62" t="n">
        <v>1</v>
      </c>
      <c r="AC1491" s="62" t="n">
        <v>0</v>
      </c>
      <c r="AD1491" s="62" t="n">
        <v>1</v>
      </c>
      <c r="AE1491" s="62" t="n">
        <f aca="false">IF(AND(Dashboard!$C$9="Yes",AC1491=1),0,1)</f>
        <v>1</v>
      </c>
      <c r="AF1491" s="62" t="n">
        <v>0</v>
      </c>
    </row>
    <row r="1492" customFormat="false" ht="15" hidden="false" customHeight="false" outlineLevel="0" collapsed="false">
      <c r="A1492" s="62" t="n">
        <v>1491</v>
      </c>
      <c r="B1492" s="63" t="n">
        <v>46270.1651736111</v>
      </c>
      <c r="C1492" s="64" t="n">
        <v>46269</v>
      </c>
      <c r="D1492" s="62" t="s">
        <v>288</v>
      </c>
      <c r="E1492" s="62" t="s">
        <v>1749</v>
      </c>
      <c r="F1492" s="62" t="s">
        <v>1749</v>
      </c>
      <c r="G1492" s="62" t="s">
        <v>1750</v>
      </c>
      <c r="H1492" s="62" t="s">
        <v>57</v>
      </c>
      <c r="I1492" s="62" t="s">
        <v>47</v>
      </c>
      <c r="J1492" s="62" t="s">
        <v>146</v>
      </c>
      <c r="K1492" s="62" t="s">
        <v>209</v>
      </c>
      <c r="L1492" s="62" t="s">
        <v>148</v>
      </c>
      <c r="M1492" s="62" t="n">
        <v>0</v>
      </c>
      <c r="N1492" s="62" t="n">
        <v>1</v>
      </c>
      <c r="O1492" s="62" t="n">
        <v>1</v>
      </c>
      <c r="P1492" s="62" t="n">
        <v>0</v>
      </c>
      <c r="Q1492" s="62" t="n">
        <v>0</v>
      </c>
      <c r="R1492" s="62" t="n">
        <v>1</v>
      </c>
      <c r="S1492" s="62" t="n">
        <v>0</v>
      </c>
      <c r="T1492" s="62" t="n">
        <v>0</v>
      </c>
      <c r="U1492" s="62"/>
      <c r="V1492" s="62"/>
      <c r="W1492" s="62"/>
      <c r="X1492" s="62"/>
      <c r="Y1492" s="62"/>
      <c r="Z1492" s="62" t="s">
        <v>2804</v>
      </c>
      <c r="AA1492" s="62" t="s">
        <v>2805</v>
      </c>
      <c r="AB1492" s="62" t="n">
        <v>1</v>
      </c>
      <c r="AC1492" s="62" t="n">
        <v>1</v>
      </c>
      <c r="AD1492" s="62" t="n">
        <v>1</v>
      </c>
      <c r="AE1492" s="62" t="n">
        <f aca="false">IF(AND(Dashboard!$C$9="Yes",AC1492=1),0,1)</f>
        <v>0</v>
      </c>
      <c r="AF1492" s="62" t="n">
        <v>0</v>
      </c>
    </row>
    <row r="1493" customFormat="false" ht="15" hidden="false" customHeight="false" outlineLevel="0" collapsed="false">
      <c r="A1493" s="62" t="n">
        <v>1492</v>
      </c>
      <c r="B1493" s="63" t="n">
        <v>46270.1651967593</v>
      </c>
      <c r="C1493" s="64" t="n">
        <v>46269</v>
      </c>
      <c r="D1493" s="62" t="s">
        <v>288</v>
      </c>
      <c r="E1493" s="62" t="s">
        <v>1749</v>
      </c>
      <c r="F1493" s="62" t="s">
        <v>1749</v>
      </c>
      <c r="G1493" s="62" t="s">
        <v>1750</v>
      </c>
      <c r="H1493" s="62" t="s">
        <v>57</v>
      </c>
      <c r="I1493" s="62" t="s">
        <v>47</v>
      </c>
      <c r="J1493" s="62" t="s">
        <v>146</v>
      </c>
      <c r="K1493" s="62" t="s">
        <v>209</v>
      </c>
      <c r="L1493" s="62" t="s">
        <v>148</v>
      </c>
      <c r="M1493" s="62" t="n">
        <v>0</v>
      </c>
      <c r="N1493" s="62" t="n">
        <v>1</v>
      </c>
      <c r="O1493" s="62" t="n">
        <v>1</v>
      </c>
      <c r="P1493" s="62" t="n">
        <v>0</v>
      </c>
      <c r="Q1493" s="62" t="n">
        <v>1</v>
      </c>
      <c r="R1493" s="62" t="n">
        <v>0</v>
      </c>
      <c r="S1493" s="62" t="n">
        <v>0</v>
      </c>
      <c r="T1493" s="62" t="n">
        <v>0</v>
      </c>
      <c r="U1493" s="62"/>
      <c r="V1493" s="62"/>
      <c r="W1493" s="62"/>
      <c r="X1493" s="62"/>
      <c r="Y1493" s="62"/>
      <c r="Z1493" s="62" t="s">
        <v>2804</v>
      </c>
      <c r="AA1493" s="62" t="s">
        <v>2805</v>
      </c>
      <c r="AB1493" s="62" t="n">
        <v>1</v>
      </c>
      <c r="AC1493" s="62" t="n">
        <v>1</v>
      </c>
      <c r="AD1493" s="62" t="n">
        <v>1</v>
      </c>
      <c r="AE1493" s="62" t="n">
        <f aca="false">IF(AND(Dashboard!$C$9="Yes",AC1493=1),0,1)</f>
        <v>0</v>
      </c>
      <c r="AF1493" s="62" t="n">
        <v>0</v>
      </c>
    </row>
    <row r="1494" customFormat="false" ht="15" hidden="false" customHeight="false" outlineLevel="0" collapsed="false">
      <c r="A1494" s="62" t="n">
        <v>1493</v>
      </c>
      <c r="B1494" s="63" t="n">
        <v>46270.2005439815</v>
      </c>
      <c r="C1494" s="64" t="n">
        <v>46269</v>
      </c>
      <c r="D1494" s="62" t="s">
        <v>288</v>
      </c>
      <c r="E1494" s="62" t="s">
        <v>2081</v>
      </c>
      <c r="F1494" s="62" t="s">
        <v>2081</v>
      </c>
      <c r="G1494" s="62" t="s">
        <v>2082</v>
      </c>
      <c r="H1494" s="62" t="s">
        <v>57</v>
      </c>
      <c r="I1494" s="62" t="s">
        <v>47</v>
      </c>
      <c r="J1494" s="62" t="s">
        <v>146</v>
      </c>
      <c r="K1494" s="62" t="s">
        <v>147</v>
      </c>
      <c r="L1494" s="62" t="s">
        <v>4</v>
      </c>
      <c r="M1494" s="62" t="n">
        <v>3</v>
      </c>
      <c r="N1494" s="62" t="n">
        <v>0</v>
      </c>
      <c r="O1494" s="62" t="n">
        <v>3</v>
      </c>
      <c r="P1494" s="62" t="n">
        <v>0</v>
      </c>
      <c r="Q1494" s="62" t="n">
        <v>0</v>
      </c>
      <c r="R1494" s="62" t="n">
        <v>0</v>
      </c>
      <c r="S1494" s="62" t="n">
        <v>0</v>
      </c>
      <c r="T1494" s="62" t="n">
        <v>0</v>
      </c>
      <c r="U1494" s="62" t="s">
        <v>2056</v>
      </c>
      <c r="V1494" s="62" t="s">
        <v>2057</v>
      </c>
      <c r="W1494" s="62" t="s">
        <v>2056</v>
      </c>
      <c r="X1494" s="62" t="s">
        <v>2058</v>
      </c>
      <c r="Y1494" s="62" t="s">
        <v>2059</v>
      </c>
      <c r="Z1494" s="62" t="s">
        <v>2806</v>
      </c>
      <c r="AA1494" s="62" t="s">
        <v>2807</v>
      </c>
      <c r="AB1494" s="62" t="n">
        <v>1</v>
      </c>
      <c r="AC1494" s="62" t="n">
        <v>0</v>
      </c>
      <c r="AD1494" s="62" t="n">
        <v>1</v>
      </c>
      <c r="AE1494" s="62" t="n">
        <f aca="false">IF(AND(Dashboard!$C$9="Yes",AC1494=1),0,1)</f>
        <v>1</v>
      </c>
      <c r="AF1494" s="62" t="n">
        <v>0</v>
      </c>
    </row>
    <row r="1495" customFormat="false" ht="15" hidden="false" customHeight="false" outlineLevel="0" collapsed="false">
      <c r="A1495" s="62" t="n">
        <v>1494</v>
      </c>
      <c r="B1495" s="63" t="n">
        <v>46270.2357291667</v>
      </c>
      <c r="C1495" s="64" t="n">
        <v>46269</v>
      </c>
      <c r="D1495" s="62" t="s">
        <v>288</v>
      </c>
      <c r="E1495" s="62" t="s">
        <v>2645</v>
      </c>
      <c r="F1495" s="62" t="s">
        <v>2645</v>
      </c>
      <c r="G1495" s="62" t="s">
        <v>2646</v>
      </c>
      <c r="H1495" s="62" t="s">
        <v>57</v>
      </c>
      <c r="I1495" s="62" t="s">
        <v>47</v>
      </c>
      <c r="J1495" s="62" t="s">
        <v>146</v>
      </c>
      <c r="K1495" s="62" t="s">
        <v>175</v>
      </c>
      <c r="L1495" s="62" t="s">
        <v>148</v>
      </c>
      <c r="M1495" s="62" t="n">
        <v>0</v>
      </c>
      <c r="N1495" s="62" t="n">
        <v>1</v>
      </c>
      <c r="O1495" s="62" t="n">
        <v>1</v>
      </c>
      <c r="P1495" s="62" t="n">
        <v>1</v>
      </c>
      <c r="Q1495" s="62" t="n">
        <v>0</v>
      </c>
      <c r="R1495" s="62" t="n">
        <v>0</v>
      </c>
      <c r="S1495" s="62" t="n">
        <v>0</v>
      </c>
      <c r="T1495" s="62" t="n">
        <v>0</v>
      </c>
      <c r="U1495" s="62"/>
      <c r="V1495" s="62"/>
      <c r="W1495" s="62"/>
      <c r="X1495" s="62"/>
      <c r="Y1495" s="62"/>
      <c r="Z1495" s="62" t="s">
        <v>2808</v>
      </c>
      <c r="AA1495" s="62" t="s">
        <v>2809</v>
      </c>
      <c r="AB1495" s="62" t="n">
        <v>1</v>
      </c>
      <c r="AC1495" s="62" t="n">
        <v>0</v>
      </c>
      <c r="AD1495" s="62" t="n">
        <v>1</v>
      </c>
      <c r="AE1495" s="62" t="n">
        <f aca="false">IF(AND(Dashboard!$C$9="Yes",AC1495=1),0,1)</f>
        <v>1</v>
      </c>
      <c r="AF1495" s="62" t="n">
        <v>1</v>
      </c>
    </row>
    <row r="1496" customFormat="false" ht="15" hidden="false" customHeight="false" outlineLevel="0" collapsed="false">
      <c r="A1496" s="62" t="n">
        <v>1495</v>
      </c>
      <c r="B1496" s="63" t="n">
        <v>46270.2547222222</v>
      </c>
      <c r="C1496" s="64" t="n">
        <v>46269</v>
      </c>
      <c r="D1496" s="62" t="s">
        <v>288</v>
      </c>
      <c r="E1496" s="62" t="s">
        <v>1539</v>
      </c>
      <c r="F1496" s="62" t="s">
        <v>1539</v>
      </c>
      <c r="G1496" s="62" t="s">
        <v>1540</v>
      </c>
      <c r="H1496" s="62" t="s">
        <v>52</v>
      </c>
      <c r="I1496" s="62" t="s">
        <v>47</v>
      </c>
      <c r="J1496" s="62" t="s">
        <v>146</v>
      </c>
      <c r="K1496" s="62" t="s">
        <v>147</v>
      </c>
      <c r="L1496" s="62" t="s">
        <v>148</v>
      </c>
      <c r="M1496" s="62" t="n">
        <v>0</v>
      </c>
      <c r="N1496" s="62" t="n">
        <v>1</v>
      </c>
      <c r="O1496" s="62" t="n">
        <v>1</v>
      </c>
      <c r="P1496" s="62" t="n">
        <v>1</v>
      </c>
      <c r="Q1496" s="62" t="n">
        <v>0</v>
      </c>
      <c r="R1496" s="62" t="n">
        <v>0</v>
      </c>
      <c r="S1496" s="62" t="n">
        <v>0</v>
      </c>
      <c r="T1496" s="62" t="n">
        <v>0</v>
      </c>
      <c r="U1496" s="62"/>
      <c r="V1496" s="62"/>
      <c r="W1496" s="62"/>
      <c r="X1496" s="62"/>
      <c r="Y1496" s="62"/>
      <c r="Z1496" s="62" t="s">
        <v>2810</v>
      </c>
      <c r="AA1496" s="62" t="s">
        <v>2811</v>
      </c>
      <c r="AB1496" s="62" t="n">
        <v>1</v>
      </c>
      <c r="AC1496" s="62" t="n">
        <v>0</v>
      </c>
      <c r="AD1496" s="62" t="n">
        <v>1</v>
      </c>
      <c r="AE1496" s="62" t="n">
        <f aca="false">IF(AND(Dashboard!$C$9="Yes",AC1496=1),0,1)</f>
        <v>1</v>
      </c>
      <c r="AF1496" s="62" t="n">
        <v>0</v>
      </c>
    </row>
    <row r="1497" customFormat="false" ht="15" hidden="false" customHeight="false" outlineLevel="0" collapsed="false">
      <c r="A1497" s="62" t="n">
        <v>1496</v>
      </c>
      <c r="B1497" s="63" t="n">
        <v>46270.3122685185</v>
      </c>
      <c r="C1497" s="64" t="n">
        <v>46269</v>
      </c>
      <c r="D1497" s="62" t="s">
        <v>288</v>
      </c>
      <c r="E1497" s="62" t="s">
        <v>2228</v>
      </c>
      <c r="F1497" s="62" t="s">
        <v>2228</v>
      </c>
      <c r="G1497" s="62" t="s">
        <v>2229</v>
      </c>
      <c r="H1497" s="62" t="s">
        <v>58</v>
      </c>
      <c r="I1497" s="62" t="s">
        <v>49</v>
      </c>
      <c r="J1497" s="62" t="s">
        <v>146</v>
      </c>
      <c r="K1497" s="62" t="s">
        <v>209</v>
      </c>
      <c r="L1497" s="62" t="s">
        <v>148</v>
      </c>
      <c r="M1497" s="62" t="n">
        <v>0</v>
      </c>
      <c r="N1497" s="62" t="n">
        <v>2</v>
      </c>
      <c r="O1497" s="62" t="n">
        <v>2</v>
      </c>
      <c r="P1497" s="62" t="n">
        <v>1</v>
      </c>
      <c r="Q1497" s="62" t="n">
        <v>1</v>
      </c>
      <c r="R1497" s="62" t="n">
        <v>0</v>
      </c>
      <c r="S1497" s="62" t="n">
        <v>0</v>
      </c>
      <c r="T1497" s="62" t="n">
        <v>0</v>
      </c>
      <c r="U1497" s="62"/>
      <c r="V1497" s="62"/>
      <c r="W1497" s="62"/>
      <c r="X1497" s="62"/>
      <c r="Y1497" s="62"/>
      <c r="Z1497" s="62" t="s">
        <v>2812</v>
      </c>
      <c r="AA1497" s="62" t="s">
        <v>2813</v>
      </c>
      <c r="AB1497" s="62" t="n">
        <v>1</v>
      </c>
      <c r="AC1497" s="62" t="n">
        <v>0</v>
      </c>
      <c r="AD1497" s="62" t="n">
        <v>1</v>
      </c>
      <c r="AE1497" s="62" t="n">
        <f aca="false">IF(AND(Dashboard!$C$9="Yes",AC1497=1),0,1)</f>
        <v>1</v>
      </c>
      <c r="AF1497" s="62" t="n">
        <v>0</v>
      </c>
    </row>
    <row r="1498" customFormat="false" ht="15" hidden="false" customHeight="false" outlineLevel="0" collapsed="false">
      <c r="A1498" s="62" t="n">
        <v>1497</v>
      </c>
      <c r="B1498" s="63" t="n">
        <v>46270.7743402778</v>
      </c>
      <c r="C1498" s="64" t="n">
        <v>46270</v>
      </c>
      <c r="D1498" s="62" t="s">
        <v>358</v>
      </c>
      <c r="E1498" s="62" t="s">
        <v>212</v>
      </c>
      <c r="F1498" s="62" t="s">
        <v>212</v>
      </c>
      <c r="G1498" s="62" t="s">
        <v>213</v>
      </c>
      <c r="H1498" s="62" t="s">
        <v>58</v>
      </c>
      <c r="I1498" s="62" t="s">
        <v>49</v>
      </c>
      <c r="J1498" s="62" t="s">
        <v>146</v>
      </c>
      <c r="K1498" s="62" t="s">
        <v>175</v>
      </c>
      <c r="L1498" s="62" t="s">
        <v>148</v>
      </c>
      <c r="M1498" s="62" t="n">
        <v>0</v>
      </c>
      <c r="N1498" s="62" t="n">
        <v>2</v>
      </c>
      <c r="O1498" s="62" t="n">
        <v>2</v>
      </c>
      <c r="P1498" s="62" t="n">
        <v>1</v>
      </c>
      <c r="Q1498" s="62" t="n">
        <v>1</v>
      </c>
      <c r="R1498" s="62" t="n">
        <v>0</v>
      </c>
      <c r="S1498" s="62" t="n">
        <v>0</v>
      </c>
      <c r="T1498" s="62" t="n">
        <v>0</v>
      </c>
      <c r="U1498" s="62"/>
      <c r="V1498" s="62"/>
      <c r="W1498" s="62"/>
      <c r="X1498" s="62"/>
      <c r="Y1498" s="62"/>
      <c r="Z1498" s="62" t="s">
        <v>2814</v>
      </c>
      <c r="AA1498" s="62" t="s">
        <v>2815</v>
      </c>
      <c r="AB1498" s="62" t="n">
        <v>1</v>
      </c>
      <c r="AC1498" s="62" t="n">
        <v>0</v>
      </c>
      <c r="AD1498" s="62" t="n">
        <v>1</v>
      </c>
      <c r="AE1498" s="62" t="n">
        <f aca="false">IF(AND(Dashboard!$C$9="Yes",AC1498=1),0,1)</f>
        <v>1</v>
      </c>
      <c r="AF1498" s="62" t="n">
        <v>1</v>
      </c>
    </row>
    <row r="1499" customFormat="false" ht="15" hidden="false" customHeight="false" outlineLevel="0" collapsed="false">
      <c r="A1499" s="62" t="n">
        <v>1498</v>
      </c>
      <c r="B1499" s="63" t="n">
        <v>46270.8129861111</v>
      </c>
      <c r="C1499" s="64" t="n">
        <v>46270</v>
      </c>
      <c r="D1499" s="62" t="s">
        <v>358</v>
      </c>
      <c r="E1499" s="62" t="s">
        <v>999</v>
      </c>
      <c r="F1499" s="62" t="s">
        <v>999</v>
      </c>
      <c r="G1499" s="62" t="s">
        <v>1000</v>
      </c>
      <c r="H1499" s="62" t="s">
        <v>46</v>
      </c>
      <c r="I1499" s="62" t="s">
        <v>47</v>
      </c>
      <c r="J1499" s="62" t="s">
        <v>146</v>
      </c>
      <c r="K1499" s="62" t="s">
        <v>209</v>
      </c>
      <c r="L1499" s="62" t="s">
        <v>4</v>
      </c>
      <c r="M1499" s="62" t="n">
        <v>1</v>
      </c>
      <c r="N1499" s="62" t="n">
        <v>0</v>
      </c>
      <c r="O1499" s="62" t="n">
        <v>1</v>
      </c>
      <c r="P1499" s="62" t="n">
        <v>0</v>
      </c>
      <c r="Q1499" s="62" t="n">
        <v>0</v>
      </c>
      <c r="R1499" s="62" t="n">
        <v>0</v>
      </c>
      <c r="S1499" s="62" t="n">
        <v>0</v>
      </c>
      <c r="T1499" s="62" t="n">
        <v>0</v>
      </c>
      <c r="U1499" s="62" t="s">
        <v>2056</v>
      </c>
      <c r="V1499" s="62" t="s">
        <v>2068</v>
      </c>
      <c r="W1499" s="62"/>
      <c r="X1499" s="62" t="s">
        <v>2125</v>
      </c>
      <c r="Y1499" s="62" t="s">
        <v>2059</v>
      </c>
      <c r="Z1499" s="62" t="s">
        <v>2816</v>
      </c>
      <c r="AA1499" s="62" t="s">
        <v>2817</v>
      </c>
      <c r="AB1499" s="62" t="n">
        <v>1</v>
      </c>
      <c r="AC1499" s="62" t="n">
        <v>0</v>
      </c>
      <c r="AD1499" s="62" t="n">
        <v>1</v>
      </c>
      <c r="AE1499" s="62" t="n">
        <f aca="false">IF(AND(Dashboard!$C$9="Yes",AC1499=1),0,1)</f>
        <v>1</v>
      </c>
      <c r="AF1499" s="62" t="n">
        <v>1</v>
      </c>
    </row>
    <row r="1500" customFormat="false" ht="15" hidden="false" customHeight="false" outlineLevel="0" collapsed="false">
      <c r="A1500" s="62" t="n">
        <v>1499</v>
      </c>
      <c r="B1500" s="63" t="n">
        <v>46270.8218865741</v>
      </c>
      <c r="C1500" s="64" t="n">
        <v>46270</v>
      </c>
      <c r="D1500" s="62" t="s">
        <v>358</v>
      </c>
      <c r="E1500" s="62" t="s">
        <v>207</v>
      </c>
      <c r="F1500" s="62" t="s">
        <v>207</v>
      </c>
      <c r="G1500" s="62" t="s">
        <v>208</v>
      </c>
      <c r="H1500" s="62" t="s">
        <v>48</v>
      </c>
      <c r="I1500" s="62" t="s">
        <v>49</v>
      </c>
      <c r="J1500" s="62" t="s">
        <v>146</v>
      </c>
      <c r="K1500" s="62" t="s">
        <v>209</v>
      </c>
      <c r="L1500" s="62" t="s">
        <v>4</v>
      </c>
      <c r="M1500" s="62" t="n">
        <v>1</v>
      </c>
      <c r="N1500" s="62" t="n">
        <v>0</v>
      </c>
      <c r="O1500" s="62" t="n">
        <v>1</v>
      </c>
      <c r="P1500" s="62" t="n">
        <v>0</v>
      </c>
      <c r="Q1500" s="62" t="n">
        <v>0</v>
      </c>
      <c r="R1500" s="62" t="n">
        <v>0</v>
      </c>
      <c r="S1500" s="62" t="n">
        <v>0</v>
      </c>
      <c r="T1500" s="62" t="n">
        <v>0</v>
      </c>
      <c r="U1500" s="62" t="s">
        <v>2056</v>
      </c>
      <c r="V1500" s="62" t="s">
        <v>2057</v>
      </c>
      <c r="W1500" s="62" t="s">
        <v>15</v>
      </c>
      <c r="X1500" s="62" t="s">
        <v>2125</v>
      </c>
      <c r="Y1500" s="62" t="s">
        <v>2059</v>
      </c>
      <c r="Z1500" s="62" t="s">
        <v>2818</v>
      </c>
      <c r="AA1500" s="62" t="s">
        <v>2819</v>
      </c>
      <c r="AB1500" s="62" t="n">
        <v>1</v>
      </c>
      <c r="AC1500" s="62" t="n">
        <v>0</v>
      </c>
      <c r="AD1500" s="62" t="n">
        <v>1</v>
      </c>
      <c r="AE1500" s="62" t="n">
        <f aca="false">IF(AND(Dashboard!$C$9="Yes",AC1500=1),0,1)</f>
        <v>1</v>
      </c>
      <c r="AF1500" s="62" t="n">
        <v>1</v>
      </c>
    </row>
    <row r="1501" customFormat="false" ht="15" hidden="false" customHeight="false" outlineLevel="0" collapsed="false">
      <c r="A1501" s="62" t="n">
        <v>1500</v>
      </c>
      <c r="B1501" s="63" t="n">
        <v>46270.8251273148</v>
      </c>
      <c r="C1501" s="64" t="n">
        <v>46270</v>
      </c>
      <c r="D1501" s="62" t="s">
        <v>358</v>
      </c>
      <c r="E1501" s="62" t="s">
        <v>2464</v>
      </c>
      <c r="F1501" s="62" t="s">
        <v>2464</v>
      </c>
      <c r="G1501" s="62" t="s">
        <v>2465</v>
      </c>
      <c r="H1501" s="62" t="s">
        <v>59</v>
      </c>
      <c r="I1501" s="62" t="s">
        <v>47</v>
      </c>
      <c r="J1501" s="62" t="s">
        <v>146</v>
      </c>
      <c r="K1501" s="62" t="s">
        <v>175</v>
      </c>
      <c r="L1501" s="62" t="s">
        <v>4</v>
      </c>
      <c r="M1501" s="62" t="n">
        <v>1</v>
      </c>
      <c r="N1501" s="62" t="n">
        <v>0</v>
      </c>
      <c r="O1501" s="62" t="n">
        <v>1</v>
      </c>
      <c r="P1501" s="62" t="n">
        <v>0</v>
      </c>
      <c r="Q1501" s="62" t="n">
        <v>0</v>
      </c>
      <c r="R1501" s="62" t="n">
        <v>0</v>
      </c>
      <c r="S1501" s="62" t="n">
        <v>0</v>
      </c>
      <c r="T1501" s="62" t="n">
        <v>0</v>
      </c>
      <c r="U1501" s="62" t="s">
        <v>2056</v>
      </c>
      <c r="V1501" s="62" t="s">
        <v>2057</v>
      </c>
      <c r="W1501" s="62" t="s">
        <v>15</v>
      </c>
      <c r="X1501" s="62" t="s">
        <v>2058</v>
      </c>
      <c r="Y1501" s="62" t="s">
        <v>2103</v>
      </c>
      <c r="Z1501" s="62" t="s">
        <v>2820</v>
      </c>
      <c r="AA1501" s="62" t="s">
        <v>2821</v>
      </c>
      <c r="AB1501" s="62" t="n">
        <v>1</v>
      </c>
      <c r="AC1501" s="62" t="n">
        <v>0</v>
      </c>
      <c r="AD1501" s="62" t="n">
        <v>1</v>
      </c>
      <c r="AE1501" s="62" t="n">
        <f aca="false">IF(AND(Dashboard!$C$9="Yes",AC1501=1),0,1)</f>
        <v>1</v>
      </c>
      <c r="AF1501" s="62" t="n">
        <v>1</v>
      </c>
    </row>
    <row r="1502" customFormat="false" ht="15" hidden="false" customHeight="false" outlineLevel="0" collapsed="false">
      <c r="A1502" s="62" t="n">
        <v>1501</v>
      </c>
      <c r="B1502" s="63" t="n">
        <v>46270.8411689815</v>
      </c>
      <c r="C1502" s="64" t="n">
        <v>46270</v>
      </c>
      <c r="D1502" s="62" t="s">
        <v>358</v>
      </c>
      <c r="E1502" s="62" t="s">
        <v>2464</v>
      </c>
      <c r="F1502" s="62" t="s">
        <v>2464</v>
      </c>
      <c r="G1502" s="62" t="s">
        <v>2465</v>
      </c>
      <c r="H1502" s="62" t="s">
        <v>59</v>
      </c>
      <c r="I1502" s="62" t="s">
        <v>47</v>
      </c>
      <c r="J1502" s="62" t="s">
        <v>146</v>
      </c>
      <c r="K1502" s="62" t="s">
        <v>175</v>
      </c>
      <c r="L1502" s="62" t="s">
        <v>148</v>
      </c>
      <c r="M1502" s="62" t="n">
        <v>0</v>
      </c>
      <c r="N1502" s="62" t="n">
        <v>1</v>
      </c>
      <c r="O1502" s="62" t="n">
        <v>1</v>
      </c>
      <c r="P1502" s="62" t="n">
        <v>1</v>
      </c>
      <c r="Q1502" s="62" t="n">
        <v>0</v>
      </c>
      <c r="R1502" s="62" t="n">
        <v>0</v>
      </c>
      <c r="S1502" s="62" t="n">
        <v>0</v>
      </c>
      <c r="T1502" s="62" t="n">
        <v>0</v>
      </c>
      <c r="U1502" s="62"/>
      <c r="V1502" s="62"/>
      <c r="W1502" s="62"/>
      <c r="X1502" s="62"/>
      <c r="Y1502" s="62"/>
      <c r="Z1502" s="62" t="s">
        <v>2822</v>
      </c>
      <c r="AA1502" s="62" t="s">
        <v>2823</v>
      </c>
      <c r="AB1502" s="62" t="n">
        <v>1</v>
      </c>
      <c r="AC1502" s="62" t="n">
        <v>0</v>
      </c>
      <c r="AD1502" s="62" t="n">
        <v>1</v>
      </c>
      <c r="AE1502" s="62" t="n">
        <f aca="false">IF(AND(Dashboard!$C$9="Yes",AC1502=1),0,1)</f>
        <v>1</v>
      </c>
      <c r="AF1502" s="62" t="n">
        <v>0</v>
      </c>
    </row>
    <row r="1503" customFormat="false" ht="15" hidden="false" customHeight="false" outlineLevel="0" collapsed="false">
      <c r="A1503" s="62" t="n">
        <v>1502</v>
      </c>
      <c r="B1503" s="63" t="n">
        <v>46270.8432060185</v>
      </c>
      <c r="C1503" s="64" t="n">
        <v>46270</v>
      </c>
      <c r="D1503" s="62" t="s">
        <v>358</v>
      </c>
      <c r="E1503" s="62" t="s">
        <v>2464</v>
      </c>
      <c r="F1503" s="62" t="s">
        <v>2464</v>
      </c>
      <c r="G1503" s="62" t="s">
        <v>2465</v>
      </c>
      <c r="H1503" s="62" t="s">
        <v>59</v>
      </c>
      <c r="I1503" s="62" t="s">
        <v>47</v>
      </c>
      <c r="J1503" s="62" t="s">
        <v>146</v>
      </c>
      <c r="K1503" s="62" t="s">
        <v>175</v>
      </c>
      <c r="L1503" s="62" t="s">
        <v>4</v>
      </c>
      <c r="M1503" s="62" t="n">
        <v>1</v>
      </c>
      <c r="N1503" s="62" t="n">
        <v>0</v>
      </c>
      <c r="O1503" s="62" t="n">
        <v>1</v>
      </c>
      <c r="P1503" s="62" t="n">
        <v>0</v>
      </c>
      <c r="Q1503" s="62" t="n">
        <v>0</v>
      </c>
      <c r="R1503" s="62" t="n">
        <v>0</v>
      </c>
      <c r="S1503" s="62" t="n">
        <v>0</v>
      </c>
      <c r="T1503" s="62" t="n">
        <v>0</v>
      </c>
      <c r="U1503" s="62" t="s">
        <v>2056</v>
      </c>
      <c r="V1503" s="62" t="s">
        <v>2057</v>
      </c>
      <c r="W1503" s="62" t="s">
        <v>15</v>
      </c>
      <c r="X1503" s="62" t="s">
        <v>2058</v>
      </c>
      <c r="Y1503" s="62" t="s">
        <v>2103</v>
      </c>
      <c r="Z1503" s="62" t="s">
        <v>2822</v>
      </c>
      <c r="AA1503" s="62" t="s">
        <v>2824</v>
      </c>
      <c r="AB1503" s="62" t="n">
        <v>1</v>
      </c>
      <c r="AC1503" s="62" t="n">
        <v>0</v>
      </c>
      <c r="AD1503" s="62" t="n">
        <v>1</v>
      </c>
      <c r="AE1503" s="62" t="n">
        <f aca="false">IF(AND(Dashboard!$C$9="Yes",AC1503=1),0,1)</f>
        <v>1</v>
      </c>
      <c r="AF1503" s="62" t="n">
        <v>0</v>
      </c>
    </row>
    <row r="1504" customFormat="false" ht="15" hidden="false" customHeight="false" outlineLevel="0" collapsed="false">
      <c r="A1504" s="62" t="n">
        <v>1503</v>
      </c>
      <c r="B1504" s="63" t="n">
        <v>46270.8458564815</v>
      </c>
      <c r="C1504" s="64" t="n">
        <v>46270</v>
      </c>
      <c r="D1504" s="62" t="s">
        <v>358</v>
      </c>
      <c r="E1504" s="62" t="s">
        <v>371</v>
      </c>
      <c r="F1504" s="62" t="s">
        <v>371</v>
      </c>
      <c r="G1504" s="62" t="s">
        <v>372</v>
      </c>
      <c r="H1504" s="62" t="s">
        <v>59</v>
      </c>
      <c r="I1504" s="62" t="s">
        <v>47</v>
      </c>
      <c r="J1504" s="62" t="s">
        <v>146</v>
      </c>
      <c r="K1504" s="62" t="s">
        <v>147</v>
      </c>
      <c r="L1504" s="62" t="s">
        <v>148</v>
      </c>
      <c r="M1504" s="62" t="n">
        <v>0</v>
      </c>
      <c r="N1504" s="62" t="n">
        <v>2</v>
      </c>
      <c r="O1504" s="62" t="n">
        <v>2</v>
      </c>
      <c r="P1504" s="62" t="n">
        <v>1</v>
      </c>
      <c r="Q1504" s="62" t="n">
        <v>0</v>
      </c>
      <c r="R1504" s="62" t="n">
        <v>1</v>
      </c>
      <c r="S1504" s="62" t="n">
        <v>0</v>
      </c>
      <c r="T1504" s="62" t="n">
        <v>0</v>
      </c>
      <c r="U1504" s="62"/>
      <c r="V1504" s="62"/>
      <c r="W1504" s="62"/>
      <c r="X1504" s="62"/>
      <c r="Y1504" s="62"/>
      <c r="Z1504" s="62" t="s">
        <v>2825</v>
      </c>
      <c r="AA1504" s="62" t="s">
        <v>2826</v>
      </c>
      <c r="AB1504" s="62" t="n">
        <v>1</v>
      </c>
      <c r="AC1504" s="62" t="n">
        <v>0</v>
      </c>
      <c r="AD1504" s="62" t="n">
        <v>1</v>
      </c>
      <c r="AE1504" s="62" t="n">
        <f aca="false">IF(AND(Dashboard!$C$9="Yes",AC1504=1),0,1)</f>
        <v>1</v>
      </c>
      <c r="AF1504" s="62" t="n">
        <v>1</v>
      </c>
    </row>
    <row r="1505" customFormat="false" ht="15" hidden="false" customHeight="false" outlineLevel="0" collapsed="false">
      <c r="A1505" s="62" t="n">
        <v>1504</v>
      </c>
      <c r="B1505" s="63" t="n">
        <v>46270.8488657407</v>
      </c>
      <c r="C1505" s="64" t="n">
        <v>46270</v>
      </c>
      <c r="D1505" s="62" t="s">
        <v>358</v>
      </c>
      <c r="E1505" s="62" t="s">
        <v>1326</v>
      </c>
      <c r="F1505" s="62" t="s">
        <v>1326</v>
      </c>
      <c r="G1505" s="62" t="s">
        <v>1327</v>
      </c>
      <c r="H1505" s="62" t="s">
        <v>57</v>
      </c>
      <c r="I1505" s="62" t="s">
        <v>47</v>
      </c>
      <c r="J1505" s="62" t="s">
        <v>146</v>
      </c>
      <c r="K1505" s="62" t="s">
        <v>175</v>
      </c>
      <c r="L1505" s="62" t="s">
        <v>148</v>
      </c>
      <c r="M1505" s="62" t="n">
        <v>0</v>
      </c>
      <c r="N1505" s="62" t="n">
        <v>1</v>
      </c>
      <c r="O1505" s="62" t="n">
        <v>1</v>
      </c>
      <c r="P1505" s="62" t="n">
        <v>1</v>
      </c>
      <c r="Q1505" s="62" t="n">
        <v>0</v>
      </c>
      <c r="R1505" s="62" t="n">
        <v>0</v>
      </c>
      <c r="S1505" s="62" t="n">
        <v>0</v>
      </c>
      <c r="T1505" s="62" t="n">
        <v>0</v>
      </c>
      <c r="U1505" s="62"/>
      <c r="V1505" s="62"/>
      <c r="W1505" s="62"/>
      <c r="X1505" s="62"/>
      <c r="Y1505" s="62"/>
      <c r="Z1505" s="62" t="s">
        <v>2827</v>
      </c>
      <c r="AA1505" s="62" t="s">
        <v>237</v>
      </c>
      <c r="AB1505" s="62" t="n">
        <v>0</v>
      </c>
      <c r="AC1505" s="62" t="n">
        <v>0</v>
      </c>
      <c r="AD1505" s="62" t="n">
        <v>1</v>
      </c>
      <c r="AE1505" s="62" t="n">
        <f aca="false">IF(AND(Dashboard!$C$9="Yes",AC1505=1),0,1)</f>
        <v>1</v>
      </c>
      <c r="AF1505" s="62" t="n">
        <v>1</v>
      </c>
    </row>
    <row r="1506" customFormat="false" ht="15" hidden="false" customHeight="false" outlineLevel="0" collapsed="false">
      <c r="A1506" s="62" t="n">
        <v>1505</v>
      </c>
      <c r="B1506" s="63" t="n">
        <v>46270.8496990741</v>
      </c>
      <c r="C1506" s="64" t="n">
        <v>46270</v>
      </c>
      <c r="D1506" s="62" t="s">
        <v>358</v>
      </c>
      <c r="E1506" s="62" t="s">
        <v>1326</v>
      </c>
      <c r="F1506" s="62" t="s">
        <v>1326</v>
      </c>
      <c r="G1506" s="62" t="s">
        <v>1327</v>
      </c>
      <c r="H1506" s="62" t="s">
        <v>57</v>
      </c>
      <c r="I1506" s="62" t="s">
        <v>47</v>
      </c>
      <c r="J1506" s="62" t="s">
        <v>146</v>
      </c>
      <c r="K1506" s="62" t="s">
        <v>175</v>
      </c>
      <c r="L1506" s="62" t="s">
        <v>148</v>
      </c>
      <c r="M1506" s="62" t="n">
        <v>0</v>
      </c>
      <c r="N1506" s="62" t="n">
        <v>2</v>
      </c>
      <c r="O1506" s="62" t="n">
        <v>2</v>
      </c>
      <c r="P1506" s="62" t="n">
        <v>1</v>
      </c>
      <c r="Q1506" s="62" t="n">
        <v>1</v>
      </c>
      <c r="R1506" s="62" t="n">
        <v>0</v>
      </c>
      <c r="S1506" s="62" t="n">
        <v>0</v>
      </c>
      <c r="T1506" s="62" t="n">
        <v>0</v>
      </c>
      <c r="U1506" s="62"/>
      <c r="V1506" s="62"/>
      <c r="W1506" s="62"/>
      <c r="X1506" s="62"/>
      <c r="Y1506" s="62"/>
      <c r="Z1506" s="62" t="s">
        <v>2828</v>
      </c>
      <c r="AA1506" s="62" t="s">
        <v>237</v>
      </c>
      <c r="AB1506" s="62" t="n">
        <v>0</v>
      </c>
      <c r="AC1506" s="62" t="n">
        <v>0</v>
      </c>
      <c r="AD1506" s="62" t="n">
        <v>1</v>
      </c>
      <c r="AE1506" s="62" t="n">
        <f aca="false">IF(AND(Dashboard!$C$9="Yes",AC1506=1),0,1)</f>
        <v>1</v>
      </c>
      <c r="AF1506" s="62" t="n">
        <v>0</v>
      </c>
    </row>
    <row r="1507" customFormat="false" ht="15" hidden="false" customHeight="false" outlineLevel="0" collapsed="false">
      <c r="A1507" s="62" t="n">
        <v>1506</v>
      </c>
      <c r="B1507" s="63" t="n">
        <v>46270.8513194445</v>
      </c>
      <c r="C1507" s="64" t="n">
        <v>46270</v>
      </c>
      <c r="D1507" s="62" t="s">
        <v>358</v>
      </c>
      <c r="E1507" s="62" t="s">
        <v>1326</v>
      </c>
      <c r="F1507" s="62" t="s">
        <v>1326</v>
      </c>
      <c r="G1507" s="62" t="s">
        <v>1327</v>
      </c>
      <c r="H1507" s="62" t="s">
        <v>57</v>
      </c>
      <c r="I1507" s="62" t="s">
        <v>47</v>
      </c>
      <c r="J1507" s="62" t="s">
        <v>146</v>
      </c>
      <c r="K1507" s="62" t="s">
        <v>175</v>
      </c>
      <c r="L1507" s="62" t="s">
        <v>148</v>
      </c>
      <c r="M1507" s="62" t="n">
        <v>0</v>
      </c>
      <c r="N1507" s="62" t="n">
        <v>1</v>
      </c>
      <c r="O1507" s="62" t="n">
        <v>1</v>
      </c>
      <c r="P1507" s="62" t="n">
        <v>1</v>
      </c>
      <c r="Q1507" s="62" t="n">
        <v>0</v>
      </c>
      <c r="R1507" s="62" t="n">
        <v>0</v>
      </c>
      <c r="S1507" s="62" t="n">
        <v>0</v>
      </c>
      <c r="T1507" s="62" t="n">
        <v>0</v>
      </c>
      <c r="U1507" s="62"/>
      <c r="V1507" s="62"/>
      <c r="W1507" s="62"/>
      <c r="X1507" s="62"/>
      <c r="Y1507" s="62"/>
      <c r="Z1507" s="62" t="s">
        <v>2488</v>
      </c>
      <c r="AA1507" s="62" t="s">
        <v>237</v>
      </c>
      <c r="AB1507" s="62" t="n">
        <v>0</v>
      </c>
      <c r="AC1507" s="62" t="n">
        <v>0</v>
      </c>
      <c r="AD1507" s="62" t="n">
        <v>1</v>
      </c>
      <c r="AE1507" s="62" t="n">
        <f aca="false">IF(AND(Dashboard!$C$9="Yes",AC1507=1),0,1)</f>
        <v>1</v>
      </c>
      <c r="AF1507" s="62" t="n">
        <v>0</v>
      </c>
    </row>
    <row r="1508" customFormat="false" ht="15" hidden="false" customHeight="false" outlineLevel="0" collapsed="false">
      <c r="A1508" s="62" t="n">
        <v>1507</v>
      </c>
      <c r="B1508" s="63" t="n">
        <v>46270.8540625</v>
      </c>
      <c r="C1508" s="64" t="n">
        <v>46270</v>
      </c>
      <c r="D1508" s="62" t="s">
        <v>358</v>
      </c>
      <c r="E1508" s="62" t="s">
        <v>1326</v>
      </c>
      <c r="F1508" s="62" t="s">
        <v>1326</v>
      </c>
      <c r="G1508" s="62" t="s">
        <v>1327</v>
      </c>
      <c r="H1508" s="62" t="s">
        <v>57</v>
      </c>
      <c r="I1508" s="62" t="s">
        <v>47</v>
      </c>
      <c r="J1508" s="62" t="s">
        <v>146</v>
      </c>
      <c r="K1508" s="62" t="s">
        <v>175</v>
      </c>
      <c r="L1508" s="62" t="s">
        <v>148</v>
      </c>
      <c r="M1508" s="62" t="n">
        <v>0</v>
      </c>
      <c r="N1508" s="62" t="n">
        <v>1</v>
      </c>
      <c r="O1508" s="62" t="n">
        <v>1</v>
      </c>
      <c r="P1508" s="62" t="n">
        <v>1</v>
      </c>
      <c r="Q1508" s="62" t="n">
        <v>0</v>
      </c>
      <c r="R1508" s="62" t="n">
        <v>0</v>
      </c>
      <c r="S1508" s="62" t="n">
        <v>0</v>
      </c>
      <c r="T1508" s="62" t="n">
        <v>0</v>
      </c>
      <c r="U1508" s="62"/>
      <c r="V1508" s="62"/>
      <c r="W1508" s="62"/>
      <c r="X1508" s="62"/>
      <c r="Y1508" s="62"/>
      <c r="Z1508" s="62" t="s">
        <v>2829</v>
      </c>
      <c r="AA1508" s="62" t="s">
        <v>237</v>
      </c>
      <c r="AB1508" s="62" t="n">
        <v>0</v>
      </c>
      <c r="AC1508" s="62" t="n">
        <v>0</v>
      </c>
      <c r="AD1508" s="62" t="n">
        <v>1</v>
      </c>
      <c r="AE1508" s="62" t="n">
        <f aca="false">IF(AND(Dashboard!$C$9="Yes",AC1508=1),0,1)</f>
        <v>1</v>
      </c>
      <c r="AF1508" s="62" t="n">
        <v>0</v>
      </c>
    </row>
    <row r="1509" customFormat="false" ht="15" hidden="false" customHeight="false" outlineLevel="0" collapsed="false">
      <c r="A1509" s="62" t="n">
        <v>1508</v>
      </c>
      <c r="B1509" s="63" t="n">
        <v>46270.8754166667</v>
      </c>
      <c r="C1509" s="64" t="n">
        <v>46270</v>
      </c>
      <c r="D1509" s="62" t="s">
        <v>358</v>
      </c>
      <c r="E1509" s="62" t="s">
        <v>2830</v>
      </c>
      <c r="F1509" s="62" t="s">
        <v>2831</v>
      </c>
      <c r="G1509" s="62" t="s">
        <v>153</v>
      </c>
      <c r="H1509" s="62" t="s">
        <v>153</v>
      </c>
      <c r="I1509" s="62" t="s">
        <v>153</v>
      </c>
      <c r="J1509" s="62" t="s">
        <v>64</v>
      </c>
      <c r="K1509" s="62" t="s">
        <v>64</v>
      </c>
      <c r="L1509" s="62" t="s">
        <v>4</v>
      </c>
      <c r="M1509" s="62" t="n">
        <v>1</v>
      </c>
      <c r="N1509" s="62" t="n">
        <v>0</v>
      </c>
      <c r="O1509" s="62" t="n">
        <v>1</v>
      </c>
      <c r="P1509" s="62" t="n">
        <v>0</v>
      </c>
      <c r="Q1509" s="62" t="n">
        <v>0</v>
      </c>
      <c r="R1509" s="62" t="n">
        <v>0</v>
      </c>
      <c r="S1509" s="62" t="n">
        <v>0</v>
      </c>
      <c r="T1509" s="62" t="n">
        <v>0</v>
      </c>
      <c r="U1509" s="62" t="s">
        <v>2056</v>
      </c>
      <c r="V1509" s="62" t="s">
        <v>2057</v>
      </c>
      <c r="W1509" s="62" t="s">
        <v>15</v>
      </c>
      <c r="X1509" s="62" t="s">
        <v>2058</v>
      </c>
      <c r="Y1509" s="62" t="s">
        <v>2059</v>
      </c>
      <c r="Z1509" s="62" t="s">
        <v>2832</v>
      </c>
      <c r="AA1509" s="62" t="s">
        <v>2833</v>
      </c>
      <c r="AB1509" s="62" t="n">
        <v>1</v>
      </c>
      <c r="AC1509" s="62" t="n">
        <v>0</v>
      </c>
      <c r="AD1509" s="62" t="n">
        <v>0</v>
      </c>
      <c r="AE1509" s="62" t="n">
        <f aca="false">IF(AND(Dashboard!$C$9="Yes",AC1509=1),0,1)</f>
        <v>1</v>
      </c>
      <c r="AF1509" s="62" t="n">
        <v>1</v>
      </c>
    </row>
    <row r="1510" customFormat="false" ht="15" hidden="false" customHeight="false" outlineLevel="0" collapsed="false">
      <c r="A1510" s="62" t="n">
        <v>1509</v>
      </c>
      <c r="B1510" s="63" t="n">
        <v>46270.9068055556</v>
      </c>
      <c r="C1510" s="64" t="n">
        <v>46270</v>
      </c>
      <c r="D1510" s="62" t="s">
        <v>358</v>
      </c>
      <c r="E1510" s="62" t="s">
        <v>207</v>
      </c>
      <c r="F1510" s="62" t="s">
        <v>207</v>
      </c>
      <c r="G1510" s="62" t="s">
        <v>208</v>
      </c>
      <c r="H1510" s="62" t="s">
        <v>48</v>
      </c>
      <c r="I1510" s="62" t="s">
        <v>49</v>
      </c>
      <c r="J1510" s="62" t="s">
        <v>146</v>
      </c>
      <c r="K1510" s="62" t="s">
        <v>209</v>
      </c>
      <c r="L1510" s="62" t="s">
        <v>148</v>
      </c>
      <c r="M1510" s="62" t="n">
        <v>0</v>
      </c>
      <c r="N1510" s="62" t="n">
        <v>1</v>
      </c>
      <c r="O1510" s="62" t="n">
        <v>1</v>
      </c>
      <c r="P1510" s="62" t="n">
        <v>1</v>
      </c>
      <c r="Q1510" s="62" t="n">
        <v>0</v>
      </c>
      <c r="R1510" s="62" t="n">
        <v>0</v>
      </c>
      <c r="S1510" s="62" t="n">
        <v>0</v>
      </c>
      <c r="T1510" s="62" t="n">
        <v>0</v>
      </c>
      <c r="U1510" s="62"/>
      <c r="V1510" s="62"/>
      <c r="W1510" s="62"/>
      <c r="X1510" s="62"/>
      <c r="Y1510" s="62"/>
      <c r="Z1510" s="62" t="s">
        <v>2834</v>
      </c>
      <c r="AA1510" s="62" t="s">
        <v>2835</v>
      </c>
      <c r="AB1510" s="62" t="n">
        <v>1</v>
      </c>
      <c r="AC1510" s="62" t="n">
        <v>0</v>
      </c>
      <c r="AD1510" s="62" t="n">
        <v>1</v>
      </c>
      <c r="AE1510" s="62" t="n">
        <f aca="false">IF(AND(Dashboard!$C$9="Yes",AC1510=1),0,1)</f>
        <v>1</v>
      </c>
      <c r="AF1510" s="62" t="n">
        <v>0</v>
      </c>
    </row>
    <row r="1511" customFormat="false" ht="15" hidden="false" customHeight="false" outlineLevel="0" collapsed="false">
      <c r="A1511" s="62" t="n">
        <v>1510</v>
      </c>
      <c r="B1511" s="63" t="n">
        <v>46270.9254976852</v>
      </c>
      <c r="C1511" s="64" t="n">
        <v>46270</v>
      </c>
      <c r="D1511" s="62" t="s">
        <v>358</v>
      </c>
      <c r="E1511" s="62" t="s">
        <v>2540</v>
      </c>
      <c r="F1511" s="62" t="s">
        <v>2540</v>
      </c>
      <c r="G1511" s="62" t="s">
        <v>2541</v>
      </c>
      <c r="H1511" s="62" t="s">
        <v>48</v>
      </c>
      <c r="I1511" s="62" t="s">
        <v>49</v>
      </c>
      <c r="J1511" s="62" t="s">
        <v>146</v>
      </c>
      <c r="K1511" s="62" t="s">
        <v>209</v>
      </c>
      <c r="L1511" s="62" t="s">
        <v>148</v>
      </c>
      <c r="M1511" s="62" t="n">
        <v>0</v>
      </c>
      <c r="N1511" s="62" t="n">
        <v>1</v>
      </c>
      <c r="O1511" s="62" t="n">
        <v>1</v>
      </c>
      <c r="P1511" s="62" t="n">
        <v>1</v>
      </c>
      <c r="Q1511" s="62" t="n">
        <v>0</v>
      </c>
      <c r="R1511" s="62" t="n">
        <v>0</v>
      </c>
      <c r="S1511" s="62" t="n">
        <v>0</v>
      </c>
      <c r="T1511" s="62" t="n">
        <v>0</v>
      </c>
      <c r="U1511" s="62"/>
      <c r="V1511" s="62"/>
      <c r="W1511" s="62"/>
      <c r="X1511" s="62"/>
      <c r="Y1511" s="62"/>
      <c r="Z1511" s="62" t="s">
        <v>2836</v>
      </c>
      <c r="AA1511" s="62" t="s">
        <v>2837</v>
      </c>
      <c r="AB1511" s="62" t="n">
        <v>1</v>
      </c>
      <c r="AC1511" s="62" t="n">
        <v>0</v>
      </c>
      <c r="AD1511" s="62" t="n">
        <v>1</v>
      </c>
      <c r="AE1511" s="62" t="n">
        <f aca="false">IF(AND(Dashboard!$C$9="Yes",AC1511=1),0,1)</f>
        <v>1</v>
      </c>
      <c r="AF1511" s="62" t="n">
        <v>1</v>
      </c>
    </row>
    <row r="1512" customFormat="false" ht="15" hidden="false" customHeight="false" outlineLevel="0" collapsed="false">
      <c r="A1512" s="62" t="n">
        <v>1511</v>
      </c>
      <c r="B1512" s="63" t="n">
        <v>46270.9405787037</v>
      </c>
      <c r="C1512" s="64" t="n">
        <v>46270</v>
      </c>
      <c r="D1512" s="62" t="s">
        <v>358</v>
      </c>
      <c r="E1512" s="62" t="s">
        <v>586</v>
      </c>
      <c r="F1512" s="62" t="s">
        <v>586</v>
      </c>
      <c r="G1512" s="62" t="s">
        <v>587</v>
      </c>
      <c r="H1512" s="62" t="s">
        <v>57</v>
      </c>
      <c r="I1512" s="62" t="s">
        <v>47</v>
      </c>
      <c r="J1512" s="62" t="s">
        <v>146</v>
      </c>
      <c r="K1512" s="62" t="s">
        <v>175</v>
      </c>
      <c r="L1512" s="62" t="s">
        <v>4</v>
      </c>
      <c r="M1512" s="62" t="n">
        <v>1</v>
      </c>
      <c r="N1512" s="62" t="n">
        <v>0</v>
      </c>
      <c r="O1512" s="62" t="n">
        <v>1</v>
      </c>
      <c r="P1512" s="62" t="n">
        <v>0</v>
      </c>
      <c r="Q1512" s="62" t="n">
        <v>0</v>
      </c>
      <c r="R1512" s="62" t="n">
        <v>0</v>
      </c>
      <c r="S1512" s="62" t="n">
        <v>0</v>
      </c>
      <c r="T1512" s="62" t="n">
        <v>0</v>
      </c>
      <c r="U1512" s="62" t="s">
        <v>2056</v>
      </c>
      <c r="V1512" s="62" t="s">
        <v>2057</v>
      </c>
      <c r="W1512" s="62" t="s">
        <v>15</v>
      </c>
      <c r="X1512" s="62" t="s">
        <v>2058</v>
      </c>
      <c r="Y1512" s="62" t="s">
        <v>2059</v>
      </c>
      <c r="Z1512" s="62" t="s">
        <v>2838</v>
      </c>
      <c r="AA1512" s="62" t="s">
        <v>2839</v>
      </c>
      <c r="AB1512" s="62" t="n">
        <v>1</v>
      </c>
      <c r="AC1512" s="62" t="n">
        <v>0</v>
      </c>
      <c r="AD1512" s="62" t="n">
        <v>1</v>
      </c>
      <c r="AE1512" s="62" t="n">
        <f aca="false">IF(AND(Dashboard!$C$9="Yes",AC1512=1),0,1)</f>
        <v>1</v>
      </c>
      <c r="AF1512" s="62" t="n">
        <v>1</v>
      </c>
    </row>
    <row r="1513" customFormat="false" ht="15" hidden="false" customHeight="false" outlineLevel="0" collapsed="false">
      <c r="A1513" s="62" t="n">
        <v>1512</v>
      </c>
      <c r="B1513" s="63" t="n">
        <v>46270.9491203704</v>
      </c>
      <c r="C1513" s="64" t="n">
        <v>46270</v>
      </c>
      <c r="D1513" s="62" t="s">
        <v>358</v>
      </c>
      <c r="E1513" s="62" t="s">
        <v>1155</v>
      </c>
      <c r="F1513" s="62" t="s">
        <v>1155</v>
      </c>
      <c r="G1513" s="62" t="s">
        <v>1156</v>
      </c>
      <c r="H1513" s="62" t="s">
        <v>59</v>
      </c>
      <c r="I1513" s="62" t="s">
        <v>47</v>
      </c>
      <c r="J1513" s="62" t="s">
        <v>146</v>
      </c>
      <c r="K1513" s="62" t="s">
        <v>209</v>
      </c>
      <c r="L1513" s="62" t="s">
        <v>148</v>
      </c>
      <c r="M1513" s="62" t="n">
        <v>0</v>
      </c>
      <c r="N1513" s="62" t="n">
        <v>1</v>
      </c>
      <c r="O1513" s="62" t="n">
        <v>1</v>
      </c>
      <c r="P1513" s="62" t="n">
        <v>0</v>
      </c>
      <c r="Q1513" s="62" t="n">
        <v>0</v>
      </c>
      <c r="R1513" s="62" t="n">
        <v>0</v>
      </c>
      <c r="S1513" s="62" t="n">
        <v>1</v>
      </c>
      <c r="T1513" s="62" t="n">
        <v>0</v>
      </c>
      <c r="U1513" s="62"/>
      <c r="V1513" s="62"/>
      <c r="W1513" s="62"/>
      <c r="X1513" s="62"/>
      <c r="Y1513" s="62"/>
      <c r="Z1513" s="62" t="s">
        <v>2840</v>
      </c>
      <c r="AA1513" s="62" t="s">
        <v>1969</v>
      </c>
      <c r="AB1513" s="62" t="n">
        <v>0</v>
      </c>
      <c r="AC1513" s="62" t="n">
        <v>0</v>
      </c>
      <c r="AD1513" s="62" t="n">
        <v>1</v>
      </c>
      <c r="AE1513" s="62" t="n">
        <f aca="false">IF(AND(Dashboard!$C$9="Yes",AC1513=1),0,1)</f>
        <v>1</v>
      </c>
      <c r="AF1513" s="62" t="n">
        <v>1</v>
      </c>
    </row>
    <row r="1514" customFormat="false" ht="15" hidden="false" customHeight="false" outlineLevel="0" collapsed="false">
      <c r="A1514" s="62" t="n">
        <v>1513</v>
      </c>
      <c r="B1514" s="63" t="n">
        <v>46270.9581712963</v>
      </c>
      <c r="C1514" s="64" t="n">
        <v>46270</v>
      </c>
      <c r="D1514" s="62" t="s">
        <v>358</v>
      </c>
      <c r="E1514" s="62" t="s">
        <v>1005</v>
      </c>
      <c r="F1514" s="62" t="s">
        <v>1005</v>
      </c>
      <c r="G1514" s="62" t="s">
        <v>1006</v>
      </c>
      <c r="H1514" s="62" t="s">
        <v>46</v>
      </c>
      <c r="I1514" s="62" t="s">
        <v>47</v>
      </c>
      <c r="J1514" s="62" t="s">
        <v>146</v>
      </c>
      <c r="K1514" s="62" t="s">
        <v>209</v>
      </c>
      <c r="L1514" s="62" t="s">
        <v>148</v>
      </c>
      <c r="M1514" s="62" t="n">
        <v>0</v>
      </c>
      <c r="N1514" s="62" t="n">
        <v>2</v>
      </c>
      <c r="O1514" s="62" t="n">
        <v>2</v>
      </c>
      <c r="P1514" s="62" t="n">
        <v>1</v>
      </c>
      <c r="Q1514" s="62" t="n">
        <v>1</v>
      </c>
      <c r="R1514" s="62" t="n">
        <v>0</v>
      </c>
      <c r="S1514" s="62" t="n">
        <v>0</v>
      </c>
      <c r="T1514" s="62" t="n">
        <v>0</v>
      </c>
      <c r="U1514" s="62"/>
      <c r="V1514" s="62"/>
      <c r="W1514" s="62"/>
      <c r="X1514" s="62"/>
      <c r="Y1514" s="62"/>
      <c r="Z1514" s="62" t="s">
        <v>2841</v>
      </c>
      <c r="AA1514" s="62" t="s">
        <v>485</v>
      </c>
      <c r="AB1514" s="62" t="n">
        <v>0</v>
      </c>
      <c r="AC1514" s="62" t="n">
        <v>0</v>
      </c>
      <c r="AD1514" s="62" t="n">
        <v>1</v>
      </c>
      <c r="AE1514" s="62" t="n">
        <f aca="false">IF(AND(Dashboard!$C$9="Yes",AC1514=1),0,1)</f>
        <v>1</v>
      </c>
      <c r="AF1514" s="62" t="n">
        <v>1</v>
      </c>
    </row>
    <row r="1515" customFormat="false" ht="15" hidden="false" customHeight="false" outlineLevel="0" collapsed="false">
      <c r="A1515" s="62" t="n">
        <v>1514</v>
      </c>
      <c r="B1515" s="63" t="n">
        <v>46270.9583796296</v>
      </c>
      <c r="C1515" s="64" t="n">
        <v>46270</v>
      </c>
      <c r="D1515" s="62" t="s">
        <v>358</v>
      </c>
      <c r="E1515" s="62" t="s">
        <v>1005</v>
      </c>
      <c r="F1515" s="62" t="s">
        <v>1005</v>
      </c>
      <c r="G1515" s="62" t="s">
        <v>1006</v>
      </c>
      <c r="H1515" s="62" t="s">
        <v>46</v>
      </c>
      <c r="I1515" s="62" t="s">
        <v>47</v>
      </c>
      <c r="J1515" s="62" t="s">
        <v>146</v>
      </c>
      <c r="K1515" s="62" t="s">
        <v>209</v>
      </c>
      <c r="L1515" s="62" t="s">
        <v>148</v>
      </c>
      <c r="M1515" s="62" t="n">
        <v>0</v>
      </c>
      <c r="N1515" s="62" t="n">
        <v>1</v>
      </c>
      <c r="O1515" s="62" t="n">
        <v>1</v>
      </c>
      <c r="P1515" s="62" t="n">
        <v>0</v>
      </c>
      <c r="Q1515" s="62" t="n">
        <v>1</v>
      </c>
      <c r="R1515" s="62" t="n">
        <v>0</v>
      </c>
      <c r="S1515" s="62" t="n">
        <v>0</v>
      </c>
      <c r="T1515" s="62" t="n">
        <v>0</v>
      </c>
      <c r="U1515" s="62"/>
      <c r="V1515" s="62"/>
      <c r="W1515" s="62"/>
      <c r="X1515" s="62"/>
      <c r="Y1515" s="62"/>
      <c r="Z1515" s="62" t="s">
        <v>2842</v>
      </c>
      <c r="AA1515" s="62" t="s">
        <v>485</v>
      </c>
      <c r="AB1515" s="62" t="n">
        <v>0</v>
      </c>
      <c r="AC1515" s="62" t="n">
        <v>0</v>
      </c>
      <c r="AD1515" s="62" t="n">
        <v>1</v>
      </c>
      <c r="AE1515" s="62" t="n">
        <f aca="false">IF(AND(Dashboard!$C$9="Yes",AC1515=1),0,1)</f>
        <v>1</v>
      </c>
      <c r="AF1515" s="62" t="n">
        <v>0</v>
      </c>
    </row>
    <row r="1516" customFormat="false" ht="15" hidden="false" customHeight="false" outlineLevel="0" collapsed="false">
      <c r="A1516" s="62" t="n">
        <v>1515</v>
      </c>
      <c r="B1516" s="63" t="n">
        <v>46270.961400463</v>
      </c>
      <c r="C1516" s="64" t="n">
        <v>46270</v>
      </c>
      <c r="D1516" s="62" t="s">
        <v>358</v>
      </c>
      <c r="E1516" s="62" t="s">
        <v>164</v>
      </c>
      <c r="F1516" s="62" t="s">
        <v>164</v>
      </c>
      <c r="G1516" s="62" t="s">
        <v>165</v>
      </c>
      <c r="H1516" s="62" t="s">
        <v>51</v>
      </c>
      <c r="I1516" s="62" t="s">
        <v>47</v>
      </c>
      <c r="J1516" s="62" t="s">
        <v>146</v>
      </c>
      <c r="K1516" s="62" t="s">
        <v>147</v>
      </c>
      <c r="L1516" s="62" t="s">
        <v>148</v>
      </c>
      <c r="M1516" s="62" t="n">
        <v>0</v>
      </c>
      <c r="N1516" s="62" t="n">
        <v>1</v>
      </c>
      <c r="O1516" s="62" t="n">
        <v>1</v>
      </c>
      <c r="P1516" s="62" t="n">
        <v>0</v>
      </c>
      <c r="Q1516" s="62" t="n">
        <v>0</v>
      </c>
      <c r="R1516" s="62" t="n">
        <v>1</v>
      </c>
      <c r="S1516" s="62" t="n">
        <v>0</v>
      </c>
      <c r="T1516" s="62" t="n">
        <v>0</v>
      </c>
      <c r="U1516" s="62"/>
      <c r="V1516" s="62"/>
      <c r="W1516" s="62"/>
      <c r="X1516" s="62"/>
      <c r="Y1516" s="62"/>
      <c r="Z1516" s="62" t="s">
        <v>2843</v>
      </c>
      <c r="AA1516" s="62" t="s">
        <v>2844</v>
      </c>
      <c r="AB1516" s="62" t="n">
        <v>1</v>
      </c>
      <c r="AC1516" s="62" t="n">
        <v>0</v>
      </c>
      <c r="AD1516" s="62" t="n">
        <v>1</v>
      </c>
      <c r="AE1516" s="62" t="n">
        <f aca="false">IF(AND(Dashboard!$C$9="Yes",AC1516=1),0,1)</f>
        <v>1</v>
      </c>
      <c r="AF1516" s="62" t="n">
        <v>1</v>
      </c>
    </row>
    <row r="1517" customFormat="false" ht="15" hidden="false" customHeight="false" outlineLevel="0" collapsed="false">
      <c r="A1517" s="62" t="n">
        <v>1516</v>
      </c>
      <c r="B1517" s="63" t="n">
        <v>46270.9661689815</v>
      </c>
      <c r="C1517" s="64" t="n">
        <v>46270</v>
      </c>
      <c r="D1517" s="62" t="s">
        <v>358</v>
      </c>
      <c r="E1517" s="62" t="s">
        <v>2845</v>
      </c>
      <c r="F1517" s="62" t="s">
        <v>2845</v>
      </c>
      <c r="G1517" s="62" t="s">
        <v>181</v>
      </c>
      <c r="H1517" s="62" t="s">
        <v>48</v>
      </c>
      <c r="I1517" s="62" t="s">
        <v>49</v>
      </c>
      <c r="J1517" s="62" t="s">
        <v>146</v>
      </c>
      <c r="K1517" s="62" t="s">
        <v>209</v>
      </c>
      <c r="L1517" s="62" t="s">
        <v>4</v>
      </c>
      <c r="M1517" s="62" t="n">
        <v>1</v>
      </c>
      <c r="N1517" s="62" t="n">
        <v>0</v>
      </c>
      <c r="O1517" s="62" t="n">
        <v>1</v>
      </c>
      <c r="P1517" s="62" t="n">
        <v>0</v>
      </c>
      <c r="Q1517" s="62" t="n">
        <v>0</v>
      </c>
      <c r="R1517" s="62" t="n">
        <v>0</v>
      </c>
      <c r="S1517" s="62" t="n">
        <v>0</v>
      </c>
      <c r="T1517" s="62" t="n">
        <v>0</v>
      </c>
      <c r="U1517" s="62" t="s">
        <v>2056</v>
      </c>
      <c r="V1517" s="62" t="s">
        <v>2068</v>
      </c>
      <c r="W1517" s="62"/>
      <c r="X1517" s="62" t="s">
        <v>2103</v>
      </c>
      <c r="Y1517" s="62" t="s">
        <v>2059</v>
      </c>
      <c r="Z1517" s="62" t="s">
        <v>2846</v>
      </c>
      <c r="AA1517" s="62" t="s">
        <v>237</v>
      </c>
      <c r="AB1517" s="62" t="n">
        <v>0</v>
      </c>
      <c r="AC1517" s="62" t="n">
        <v>0</v>
      </c>
      <c r="AD1517" s="62" t="n">
        <v>1</v>
      </c>
      <c r="AE1517" s="62" t="n">
        <f aca="false">IF(AND(Dashboard!$C$9="Yes",AC1517=1),0,1)</f>
        <v>1</v>
      </c>
      <c r="AF1517" s="62" t="n">
        <v>1</v>
      </c>
    </row>
    <row r="1518" customFormat="false" ht="15" hidden="false" customHeight="false" outlineLevel="0" collapsed="false">
      <c r="A1518" s="62" t="n">
        <v>1517</v>
      </c>
      <c r="B1518" s="63" t="n">
        <v>46270.9678819445</v>
      </c>
      <c r="C1518" s="64" t="n">
        <v>46270</v>
      </c>
      <c r="D1518" s="62" t="s">
        <v>358</v>
      </c>
      <c r="E1518" s="62" t="s">
        <v>2845</v>
      </c>
      <c r="F1518" s="62" t="s">
        <v>2845</v>
      </c>
      <c r="G1518" s="62" t="s">
        <v>181</v>
      </c>
      <c r="H1518" s="62" t="s">
        <v>48</v>
      </c>
      <c r="I1518" s="62" t="s">
        <v>49</v>
      </c>
      <c r="J1518" s="62" t="s">
        <v>146</v>
      </c>
      <c r="K1518" s="62" t="s">
        <v>209</v>
      </c>
      <c r="L1518" s="62" t="s">
        <v>4</v>
      </c>
      <c r="M1518" s="62" t="n">
        <v>1</v>
      </c>
      <c r="N1518" s="62" t="n">
        <v>0</v>
      </c>
      <c r="O1518" s="62" t="n">
        <v>1</v>
      </c>
      <c r="P1518" s="62" t="n">
        <v>0</v>
      </c>
      <c r="Q1518" s="62" t="n">
        <v>0</v>
      </c>
      <c r="R1518" s="62" t="n">
        <v>0</v>
      </c>
      <c r="S1518" s="62" t="n">
        <v>0</v>
      </c>
      <c r="T1518" s="62" t="n">
        <v>0</v>
      </c>
      <c r="U1518" s="62" t="s">
        <v>2056</v>
      </c>
      <c r="V1518" s="62" t="s">
        <v>2068</v>
      </c>
      <c r="W1518" s="62"/>
      <c r="X1518" s="62" t="s">
        <v>2103</v>
      </c>
      <c r="Y1518" s="62" t="s">
        <v>2059</v>
      </c>
      <c r="Z1518" s="62" t="s">
        <v>2846</v>
      </c>
      <c r="AA1518" s="62" t="s">
        <v>2847</v>
      </c>
      <c r="AB1518" s="62" t="n">
        <v>1</v>
      </c>
      <c r="AC1518" s="62" t="n">
        <v>0</v>
      </c>
      <c r="AD1518" s="62" t="n">
        <v>1</v>
      </c>
      <c r="AE1518" s="62" t="n">
        <f aca="false">IF(AND(Dashboard!$C$9="Yes",AC1518=1),0,1)</f>
        <v>1</v>
      </c>
      <c r="AF1518" s="62" t="n">
        <v>0</v>
      </c>
    </row>
    <row r="1519" customFormat="false" ht="15" hidden="false" customHeight="false" outlineLevel="0" collapsed="false">
      <c r="A1519" s="62" t="n">
        <v>1518</v>
      </c>
      <c r="B1519" s="63" t="n">
        <v>46270.9702546296</v>
      </c>
      <c r="C1519" s="64" t="n">
        <v>46270</v>
      </c>
      <c r="D1519" s="62" t="s">
        <v>358</v>
      </c>
      <c r="E1519" s="62" t="s">
        <v>2848</v>
      </c>
      <c r="F1519" s="62" t="s">
        <v>2849</v>
      </c>
      <c r="G1519" s="62" t="s">
        <v>153</v>
      </c>
      <c r="H1519" s="62" t="s">
        <v>153</v>
      </c>
      <c r="I1519" s="62" t="s">
        <v>153</v>
      </c>
      <c r="J1519" s="62" t="s">
        <v>64</v>
      </c>
      <c r="K1519" s="62" t="s">
        <v>64</v>
      </c>
      <c r="L1519" s="62" t="s">
        <v>148</v>
      </c>
      <c r="M1519" s="62" t="n">
        <v>0</v>
      </c>
      <c r="N1519" s="62" t="n">
        <v>1</v>
      </c>
      <c r="O1519" s="62" t="n">
        <v>1</v>
      </c>
      <c r="P1519" s="62" t="n">
        <v>1</v>
      </c>
      <c r="Q1519" s="62" t="n">
        <v>0</v>
      </c>
      <c r="R1519" s="62" t="n">
        <v>0</v>
      </c>
      <c r="S1519" s="62" t="n">
        <v>0</v>
      </c>
      <c r="T1519" s="62" t="n">
        <v>0</v>
      </c>
      <c r="U1519" s="62"/>
      <c r="V1519" s="62"/>
      <c r="W1519" s="62"/>
      <c r="X1519" s="62"/>
      <c r="Y1519" s="62"/>
      <c r="Z1519" s="62" t="s">
        <v>2850</v>
      </c>
      <c r="AA1519" s="62" t="s">
        <v>2851</v>
      </c>
      <c r="AB1519" s="62" t="n">
        <v>1</v>
      </c>
      <c r="AC1519" s="62" t="n">
        <v>0</v>
      </c>
      <c r="AD1519" s="62" t="n">
        <v>0</v>
      </c>
      <c r="AE1519" s="62" t="n">
        <f aca="false">IF(AND(Dashboard!$C$9="Yes",AC1519=1),0,1)</f>
        <v>1</v>
      </c>
      <c r="AF1519" s="62" t="n">
        <v>1</v>
      </c>
    </row>
    <row r="1520" customFormat="false" ht="15" hidden="false" customHeight="false" outlineLevel="0" collapsed="false">
      <c r="A1520" s="62" t="n">
        <v>1519</v>
      </c>
      <c r="B1520" s="63" t="n">
        <v>46270.9831134259</v>
      </c>
      <c r="C1520" s="64" t="n">
        <v>46270</v>
      </c>
      <c r="D1520" s="62" t="s">
        <v>358</v>
      </c>
      <c r="E1520" s="62" t="s">
        <v>160</v>
      </c>
      <c r="F1520" s="62" t="s">
        <v>160</v>
      </c>
      <c r="G1520" s="62" t="s">
        <v>161</v>
      </c>
      <c r="H1520" s="62" t="s">
        <v>51</v>
      </c>
      <c r="I1520" s="62" t="s">
        <v>47</v>
      </c>
      <c r="J1520" s="62" t="s">
        <v>146</v>
      </c>
      <c r="K1520" s="62" t="s">
        <v>147</v>
      </c>
      <c r="L1520" s="62" t="s">
        <v>4</v>
      </c>
      <c r="M1520" s="62" t="n">
        <v>1</v>
      </c>
      <c r="N1520" s="62" t="n">
        <v>0</v>
      </c>
      <c r="O1520" s="62" t="n">
        <v>1</v>
      </c>
      <c r="P1520" s="62" t="n">
        <v>0</v>
      </c>
      <c r="Q1520" s="62" t="n">
        <v>0</v>
      </c>
      <c r="R1520" s="62" t="n">
        <v>0</v>
      </c>
      <c r="S1520" s="62" t="n">
        <v>0</v>
      </c>
      <c r="T1520" s="62" t="n">
        <v>0</v>
      </c>
      <c r="U1520" s="62" t="s">
        <v>2056</v>
      </c>
      <c r="V1520" s="62" t="s">
        <v>2057</v>
      </c>
      <c r="W1520" s="62" t="s">
        <v>2056</v>
      </c>
      <c r="X1520" s="62" t="s">
        <v>2164</v>
      </c>
      <c r="Y1520" s="62" t="s">
        <v>2165</v>
      </c>
      <c r="Z1520" s="62" t="s">
        <v>2852</v>
      </c>
      <c r="AA1520" s="62" t="s">
        <v>2853</v>
      </c>
      <c r="AB1520" s="62" t="n">
        <v>1</v>
      </c>
      <c r="AC1520" s="62" t="n">
        <v>0</v>
      </c>
      <c r="AD1520" s="62" t="n">
        <v>1</v>
      </c>
      <c r="AE1520" s="62" t="n">
        <f aca="false">IF(AND(Dashboard!$C$9="Yes",AC1520=1),0,1)</f>
        <v>1</v>
      </c>
      <c r="AF1520" s="62" t="n">
        <v>1</v>
      </c>
    </row>
    <row r="1521" customFormat="false" ht="15" hidden="false" customHeight="false" outlineLevel="0" collapsed="false">
      <c r="A1521" s="62" t="n">
        <v>1520</v>
      </c>
      <c r="B1521" s="63" t="n">
        <v>46270.9967592593</v>
      </c>
      <c r="C1521" s="64" t="n">
        <v>46270</v>
      </c>
      <c r="D1521" s="62" t="s">
        <v>358</v>
      </c>
      <c r="E1521" s="62" t="s">
        <v>180</v>
      </c>
      <c r="F1521" s="62" t="s">
        <v>180</v>
      </c>
      <c r="G1521" s="62" t="s">
        <v>181</v>
      </c>
      <c r="H1521" s="62" t="s">
        <v>58</v>
      </c>
      <c r="I1521" s="62" t="s">
        <v>49</v>
      </c>
      <c r="J1521" s="62" t="s">
        <v>146</v>
      </c>
      <c r="K1521" s="62" t="s">
        <v>175</v>
      </c>
      <c r="L1521" s="62" t="s">
        <v>148</v>
      </c>
      <c r="M1521" s="62" t="n">
        <v>0</v>
      </c>
      <c r="N1521" s="62" t="n">
        <v>2</v>
      </c>
      <c r="O1521" s="62" t="n">
        <v>2</v>
      </c>
      <c r="P1521" s="62" t="n">
        <v>1</v>
      </c>
      <c r="Q1521" s="62" t="n">
        <v>0</v>
      </c>
      <c r="R1521" s="62" t="n">
        <v>1</v>
      </c>
      <c r="S1521" s="62" t="n">
        <v>0</v>
      </c>
      <c r="T1521" s="62" t="n">
        <v>0</v>
      </c>
      <c r="U1521" s="62"/>
      <c r="V1521" s="62"/>
      <c r="W1521" s="62"/>
      <c r="X1521" s="62"/>
      <c r="Y1521" s="62"/>
      <c r="Z1521" s="62" t="s">
        <v>2854</v>
      </c>
      <c r="AA1521" s="62" t="s">
        <v>2854</v>
      </c>
      <c r="AB1521" s="62" t="n">
        <v>1</v>
      </c>
      <c r="AC1521" s="62" t="n">
        <v>0</v>
      </c>
      <c r="AD1521" s="62" t="n">
        <v>1</v>
      </c>
      <c r="AE1521" s="62" t="n">
        <f aca="false">IF(AND(Dashboard!$C$9="Yes",AC1521=1),0,1)</f>
        <v>1</v>
      </c>
      <c r="AF1521" s="62" t="n">
        <v>1</v>
      </c>
    </row>
    <row r="1522" customFormat="false" ht="15" hidden="false" customHeight="false" outlineLevel="0" collapsed="false">
      <c r="A1522" s="62" t="n">
        <v>1521</v>
      </c>
      <c r="B1522" s="63" t="n">
        <v>46271.0097916667</v>
      </c>
      <c r="C1522" s="64" t="n">
        <v>46270</v>
      </c>
      <c r="D1522" s="62" t="s">
        <v>358</v>
      </c>
      <c r="E1522" s="62" t="s">
        <v>790</v>
      </c>
      <c r="F1522" s="62" t="s">
        <v>791</v>
      </c>
      <c r="G1522" s="62" t="s">
        <v>153</v>
      </c>
      <c r="H1522" s="62" t="s">
        <v>153</v>
      </c>
      <c r="I1522" s="62" t="s">
        <v>153</v>
      </c>
      <c r="J1522" s="62" t="s">
        <v>64</v>
      </c>
      <c r="K1522" s="62" t="s">
        <v>64</v>
      </c>
      <c r="L1522" s="62" t="s">
        <v>148</v>
      </c>
      <c r="M1522" s="62" t="n">
        <v>0</v>
      </c>
      <c r="N1522" s="62" t="n">
        <v>1</v>
      </c>
      <c r="O1522" s="62" t="n">
        <v>1</v>
      </c>
      <c r="P1522" s="62" t="n">
        <v>1</v>
      </c>
      <c r="Q1522" s="62" t="n">
        <v>0</v>
      </c>
      <c r="R1522" s="62" t="n">
        <v>0</v>
      </c>
      <c r="S1522" s="62" t="n">
        <v>0</v>
      </c>
      <c r="T1522" s="62" t="n">
        <v>0</v>
      </c>
      <c r="U1522" s="62"/>
      <c r="V1522" s="62"/>
      <c r="W1522" s="62"/>
      <c r="X1522" s="62"/>
      <c r="Y1522" s="62"/>
      <c r="Z1522" s="62" t="s">
        <v>2855</v>
      </c>
      <c r="AA1522" s="62" t="s">
        <v>2856</v>
      </c>
      <c r="AB1522" s="62" t="n">
        <v>1</v>
      </c>
      <c r="AC1522" s="62" t="n">
        <v>0</v>
      </c>
      <c r="AD1522" s="62" t="n">
        <v>0</v>
      </c>
      <c r="AE1522" s="62" t="n">
        <f aca="false">IF(AND(Dashboard!$C$9="Yes",AC1522=1),0,1)</f>
        <v>1</v>
      </c>
      <c r="AF1522" s="62" t="n">
        <v>1</v>
      </c>
    </row>
    <row r="1523" customFormat="false" ht="15" hidden="false" customHeight="false" outlineLevel="0" collapsed="false">
      <c r="A1523" s="62" t="n">
        <v>1522</v>
      </c>
      <c r="B1523" s="63" t="n">
        <v>46271.0147800926</v>
      </c>
      <c r="C1523" s="64" t="n">
        <v>46270</v>
      </c>
      <c r="D1523" s="62" t="s">
        <v>358</v>
      </c>
      <c r="E1523" s="62" t="s">
        <v>144</v>
      </c>
      <c r="F1523" s="62" t="s">
        <v>144</v>
      </c>
      <c r="G1523" s="62" t="s">
        <v>145</v>
      </c>
      <c r="H1523" s="62" t="s">
        <v>59</v>
      </c>
      <c r="I1523" s="62" t="s">
        <v>47</v>
      </c>
      <c r="J1523" s="62" t="s">
        <v>146</v>
      </c>
      <c r="K1523" s="62" t="s">
        <v>147</v>
      </c>
      <c r="L1523" s="62" t="s">
        <v>148</v>
      </c>
      <c r="M1523" s="62" t="n">
        <v>0</v>
      </c>
      <c r="N1523" s="62" t="n">
        <v>1</v>
      </c>
      <c r="O1523" s="62" t="n">
        <v>1</v>
      </c>
      <c r="P1523" s="62" t="n">
        <v>0</v>
      </c>
      <c r="Q1523" s="62" t="n">
        <v>0</v>
      </c>
      <c r="R1523" s="62" t="n">
        <v>1</v>
      </c>
      <c r="S1523" s="62" t="n">
        <v>0</v>
      </c>
      <c r="T1523" s="62" t="n">
        <v>0</v>
      </c>
      <c r="U1523" s="62"/>
      <c r="V1523" s="62"/>
      <c r="W1523" s="62"/>
      <c r="X1523" s="62"/>
      <c r="Y1523" s="62"/>
      <c r="Z1523" s="62" t="s">
        <v>2857</v>
      </c>
      <c r="AA1523" s="62" t="s">
        <v>2857</v>
      </c>
      <c r="AB1523" s="62" t="n">
        <v>1</v>
      </c>
      <c r="AC1523" s="62" t="n">
        <v>0</v>
      </c>
      <c r="AD1523" s="62" t="n">
        <v>1</v>
      </c>
      <c r="AE1523" s="62" t="n">
        <f aca="false">IF(AND(Dashboard!$C$9="Yes",AC1523=1),0,1)</f>
        <v>1</v>
      </c>
      <c r="AF1523" s="62" t="n">
        <v>1</v>
      </c>
    </row>
    <row r="1524" customFormat="false" ht="15" hidden="false" customHeight="false" outlineLevel="0" collapsed="false">
      <c r="A1524" s="62" t="n">
        <v>1523</v>
      </c>
      <c r="B1524" s="63" t="n">
        <v>46271.0149074074</v>
      </c>
      <c r="C1524" s="64" t="n">
        <v>46270</v>
      </c>
      <c r="D1524" s="62" t="s">
        <v>358</v>
      </c>
      <c r="E1524" s="62" t="s">
        <v>790</v>
      </c>
      <c r="F1524" s="62" t="s">
        <v>791</v>
      </c>
      <c r="G1524" s="62" t="s">
        <v>153</v>
      </c>
      <c r="H1524" s="62" t="s">
        <v>153</v>
      </c>
      <c r="I1524" s="62" t="s">
        <v>153</v>
      </c>
      <c r="J1524" s="62" t="s">
        <v>64</v>
      </c>
      <c r="K1524" s="62" t="s">
        <v>64</v>
      </c>
      <c r="L1524" s="62" t="s">
        <v>148</v>
      </c>
      <c r="M1524" s="62" t="n">
        <v>0</v>
      </c>
      <c r="N1524" s="62" t="n">
        <v>1</v>
      </c>
      <c r="O1524" s="62" t="n">
        <v>1</v>
      </c>
      <c r="P1524" s="62" t="n">
        <v>1</v>
      </c>
      <c r="Q1524" s="62" t="n">
        <v>0</v>
      </c>
      <c r="R1524" s="62" t="n">
        <v>0</v>
      </c>
      <c r="S1524" s="62" t="n">
        <v>0</v>
      </c>
      <c r="T1524" s="62" t="n">
        <v>0</v>
      </c>
      <c r="U1524" s="62"/>
      <c r="V1524" s="62"/>
      <c r="W1524" s="62"/>
      <c r="X1524" s="62"/>
      <c r="Y1524" s="62"/>
      <c r="Z1524" s="62" t="s">
        <v>2855</v>
      </c>
      <c r="AA1524" s="62" t="s">
        <v>2858</v>
      </c>
      <c r="AB1524" s="62" t="n">
        <v>1</v>
      </c>
      <c r="AC1524" s="62" t="n">
        <v>0</v>
      </c>
      <c r="AD1524" s="62" t="n">
        <v>0</v>
      </c>
      <c r="AE1524" s="62" t="n">
        <f aca="false">IF(AND(Dashboard!$C$9="Yes",AC1524=1),0,1)</f>
        <v>1</v>
      </c>
      <c r="AF1524" s="62" t="n">
        <v>0</v>
      </c>
    </row>
    <row r="1525" customFormat="false" ht="15" hidden="false" customHeight="false" outlineLevel="0" collapsed="false">
      <c r="A1525" s="62" t="n">
        <v>1524</v>
      </c>
      <c r="B1525" s="63" t="n">
        <v>46271.0149537037</v>
      </c>
      <c r="C1525" s="64" t="n">
        <v>46270</v>
      </c>
      <c r="D1525" s="62" t="s">
        <v>358</v>
      </c>
      <c r="E1525" s="62" t="s">
        <v>144</v>
      </c>
      <c r="F1525" s="62" t="s">
        <v>144</v>
      </c>
      <c r="G1525" s="62" t="s">
        <v>145</v>
      </c>
      <c r="H1525" s="62" t="s">
        <v>59</v>
      </c>
      <c r="I1525" s="62" t="s">
        <v>47</v>
      </c>
      <c r="J1525" s="62" t="s">
        <v>146</v>
      </c>
      <c r="K1525" s="62" t="s">
        <v>147</v>
      </c>
      <c r="L1525" s="62" t="s">
        <v>148</v>
      </c>
      <c r="M1525" s="62" t="n">
        <v>0</v>
      </c>
      <c r="N1525" s="62" t="n">
        <v>1</v>
      </c>
      <c r="O1525" s="62" t="n">
        <v>1</v>
      </c>
      <c r="P1525" s="62" t="n">
        <v>0</v>
      </c>
      <c r="Q1525" s="62" t="n">
        <v>0</v>
      </c>
      <c r="R1525" s="62" t="n">
        <v>1</v>
      </c>
      <c r="S1525" s="62" t="n">
        <v>0</v>
      </c>
      <c r="T1525" s="62" t="n">
        <v>0</v>
      </c>
      <c r="U1525" s="62"/>
      <c r="V1525" s="62"/>
      <c r="W1525" s="62"/>
      <c r="X1525" s="62"/>
      <c r="Y1525" s="62"/>
      <c r="Z1525" s="62" t="s">
        <v>2857</v>
      </c>
      <c r="AA1525" s="62" t="s">
        <v>2859</v>
      </c>
      <c r="AB1525" s="62" t="n">
        <v>1</v>
      </c>
      <c r="AC1525" s="62" t="n">
        <v>0</v>
      </c>
      <c r="AD1525" s="62" t="n">
        <v>1</v>
      </c>
      <c r="AE1525" s="62" t="n">
        <f aca="false">IF(AND(Dashboard!$C$9="Yes",AC1525=1),0,1)</f>
        <v>1</v>
      </c>
      <c r="AF1525" s="62" t="n">
        <v>0</v>
      </c>
    </row>
    <row r="1526" customFormat="false" ht="15" hidden="false" customHeight="false" outlineLevel="0" collapsed="false">
      <c r="A1526" s="62" t="n">
        <v>1525</v>
      </c>
      <c r="B1526" s="63" t="n">
        <v>46271.0153125</v>
      </c>
      <c r="C1526" s="64" t="n">
        <v>46270</v>
      </c>
      <c r="D1526" s="62" t="s">
        <v>358</v>
      </c>
      <c r="E1526" s="62" t="s">
        <v>144</v>
      </c>
      <c r="F1526" s="62" t="s">
        <v>144</v>
      </c>
      <c r="G1526" s="62" t="s">
        <v>145</v>
      </c>
      <c r="H1526" s="62" t="s">
        <v>59</v>
      </c>
      <c r="I1526" s="62" t="s">
        <v>47</v>
      </c>
      <c r="J1526" s="62" t="s">
        <v>146</v>
      </c>
      <c r="K1526" s="62" t="s">
        <v>147</v>
      </c>
      <c r="L1526" s="62" t="s">
        <v>148</v>
      </c>
      <c r="M1526" s="62" t="n">
        <v>0</v>
      </c>
      <c r="N1526" s="62" t="n">
        <v>1</v>
      </c>
      <c r="O1526" s="62" t="n">
        <v>1</v>
      </c>
      <c r="P1526" s="62" t="n">
        <v>0</v>
      </c>
      <c r="Q1526" s="62" t="n">
        <v>0</v>
      </c>
      <c r="R1526" s="62" t="n">
        <v>1</v>
      </c>
      <c r="S1526" s="62" t="n">
        <v>0</v>
      </c>
      <c r="T1526" s="62" t="n">
        <v>0</v>
      </c>
      <c r="U1526" s="62"/>
      <c r="V1526" s="62"/>
      <c r="W1526" s="62"/>
      <c r="X1526" s="62"/>
      <c r="Y1526" s="62"/>
      <c r="Z1526" s="62" t="s">
        <v>2857</v>
      </c>
      <c r="AA1526" s="62" t="s">
        <v>2859</v>
      </c>
      <c r="AB1526" s="62" t="n">
        <v>1</v>
      </c>
      <c r="AC1526" s="62" t="n">
        <v>1</v>
      </c>
      <c r="AD1526" s="62" t="n">
        <v>1</v>
      </c>
      <c r="AE1526" s="62" t="n">
        <f aca="false">IF(AND(Dashboard!$C$9="Yes",AC1526=1),0,1)</f>
        <v>0</v>
      </c>
      <c r="AF1526" s="62" t="n">
        <v>0</v>
      </c>
    </row>
    <row r="1527" customFormat="false" ht="15" hidden="false" customHeight="false" outlineLevel="0" collapsed="false">
      <c r="A1527" s="62" t="n">
        <v>1526</v>
      </c>
      <c r="B1527" s="63" t="n">
        <v>46271.0210648148</v>
      </c>
      <c r="C1527" s="64" t="n">
        <v>46270</v>
      </c>
      <c r="D1527" s="62" t="s">
        <v>358</v>
      </c>
      <c r="E1527" s="62" t="s">
        <v>1749</v>
      </c>
      <c r="F1527" s="62" t="s">
        <v>1749</v>
      </c>
      <c r="G1527" s="62" t="s">
        <v>1750</v>
      </c>
      <c r="H1527" s="62" t="s">
        <v>57</v>
      </c>
      <c r="I1527" s="62" t="s">
        <v>47</v>
      </c>
      <c r="J1527" s="62" t="s">
        <v>146</v>
      </c>
      <c r="K1527" s="62" t="s">
        <v>209</v>
      </c>
      <c r="L1527" s="62" t="s">
        <v>148</v>
      </c>
      <c r="M1527" s="62" t="n">
        <v>0</v>
      </c>
      <c r="N1527" s="62" t="n">
        <v>1</v>
      </c>
      <c r="O1527" s="62" t="n">
        <v>1</v>
      </c>
      <c r="P1527" s="62" t="n">
        <v>0</v>
      </c>
      <c r="Q1527" s="62" t="n">
        <v>1</v>
      </c>
      <c r="R1527" s="62" t="n">
        <v>0</v>
      </c>
      <c r="S1527" s="62" t="n">
        <v>0</v>
      </c>
      <c r="T1527" s="62" t="n">
        <v>0</v>
      </c>
      <c r="U1527" s="62"/>
      <c r="V1527" s="62"/>
      <c r="W1527" s="62"/>
      <c r="X1527" s="62"/>
      <c r="Y1527" s="62"/>
      <c r="Z1527" s="62" t="s">
        <v>2860</v>
      </c>
      <c r="AA1527" s="62" t="s">
        <v>2861</v>
      </c>
      <c r="AB1527" s="62" t="n">
        <v>1</v>
      </c>
      <c r="AC1527" s="62" t="n">
        <v>0</v>
      </c>
      <c r="AD1527" s="62" t="n">
        <v>1</v>
      </c>
      <c r="AE1527" s="62" t="n">
        <f aca="false">IF(AND(Dashboard!$C$9="Yes",AC1527=1),0,1)</f>
        <v>1</v>
      </c>
      <c r="AF1527" s="62" t="n">
        <v>1</v>
      </c>
    </row>
    <row r="1528" customFormat="false" ht="15" hidden="false" customHeight="false" outlineLevel="0" collapsed="false">
      <c r="A1528" s="62" t="n">
        <v>1527</v>
      </c>
      <c r="B1528" s="63" t="n">
        <v>46271.021099537</v>
      </c>
      <c r="C1528" s="64" t="n">
        <v>46270</v>
      </c>
      <c r="D1528" s="62" t="s">
        <v>358</v>
      </c>
      <c r="E1528" s="62" t="s">
        <v>1749</v>
      </c>
      <c r="F1528" s="62" t="s">
        <v>1749</v>
      </c>
      <c r="G1528" s="62" t="s">
        <v>1750</v>
      </c>
      <c r="H1528" s="62" t="s">
        <v>57</v>
      </c>
      <c r="I1528" s="62" t="s">
        <v>47</v>
      </c>
      <c r="J1528" s="62" t="s">
        <v>146</v>
      </c>
      <c r="K1528" s="62" t="s">
        <v>209</v>
      </c>
      <c r="L1528" s="62" t="s">
        <v>148</v>
      </c>
      <c r="M1528" s="62" t="n">
        <v>0</v>
      </c>
      <c r="N1528" s="62" t="n">
        <v>1</v>
      </c>
      <c r="O1528" s="62" t="n">
        <v>1</v>
      </c>
      <c r="P1528" s="62" t="n">
        <v>1</v>
      </c>
      <c r="Q1528" s="62" t="n">
        <v>0</v>
      </c>
      <c r="R1528" s="62" t="n">
        <v>0</v>
      </c>
      <c r="S1528" s="62" t="n">
        <v>0</v>
      </c>
      <c r="T1528" s="62" t="n">
        <v>0</v>
      </c>
      <c r="U1528" s="62"/>
      <c r="V1528" s="62"/>
      <c r="W1528" s="62"/>
      <c r="X1528" s="62"/>
      <c r="Y1528" s="62"/>
      <c r="Z1528" s="62" t="s">
        <v>2860</v>
      </c>
      <c r="AA1528" s="62" t="s">
        <v>2861</v>
      </c>
      <c r="AB1528" s="62" t="n">
        <v>1</v>
      </c>
      <c r="AC1528" s="62" t="n">
        <v>1</v>
      </c>
      <c r="AD1528" s="62" t="n">
        <v>1</v>
      </c>
      <c r="AE1528" s="62" t="n">
        <f aca="false">IF(AND(Dashboard!$C$9="Yes",AC1528=1),0,1)</f>
        <v>0</v>
      </c>
      <c r="AF1528" s="62" t="n">
        <v>0</v>
      </c>
    </row>
    <row r="1529" customFormat="false" ht="15" hidden="false" customHeight="false" outlineLevel="0" collapsed="false">
      <c r="A1529" s="62" t="n">
        <v>1528</v>
      </c>
      <c r="B1529" s="63" t="n">
        <v>46271.0238425926</v>
      </c>
      <c r="C1529" s="64" t="n">
        <v>46270</v>
      </c>
      <c r="D1529" s="62" t="s">
        <v>358</v>
      </c>
      <c r="E1529" s="62" t="s">
        <v>2645</v>
      </c>
      <c r="F1529" s="62" t="s">
        <v>2645</v>
      </c>
      <c r="G1529" s="62" t="s">
        <v>2646</v>
      </c>
      <c r="H1529" s="62" t="s">
        <v>57</v>
      </c>
      <c r="I1529" s="62" t="s">
        <v>47</v>
      </c>
      <c r="J1529" s="62" t="s">
        <v>146</v>
      </c>
      <c r="K1529" s="62" t="s">
        <v>175</v>
      </c>
      <c r="L1529" s="62" t="s">
        <v>148</v>
      </c>
      <c r="M1529" s="62" t="n">
        <v>0</v>
      </c>
      <c r="N1529" s="62" t="n">
        <v>1</v>
      </c>
      <c r="O1529" s="62" t="n">
        <v>1</v>
      </c>
      <c r="P1529" s="62" t="n">
        <v>1</v>
      </c>
      <c r="Q1529" s="62" t="n">
        <v>0</v>
      </c>
      <c r="R1529" s="62" t="n">
        <v>0</v>
      </c>
      <c r="S1529" s="62" t="n">
        <v>0</v>
      </c>
      <c r="T1529" s="62" t="n">
        <v>0</v>
      </c>
      <c r="U1529" s="62"/>
      <c r="V1529" s="62"/>
      <c r="W1529" s="62"/>
      <c r="X1529" s="62"/>
      <c r="Y1529" s="62"/>
      <c r="Z1529" s="62" t="s">
        <v>2862</v>
      </c>
      <c r="AA1529" s="62" t="s">
        <v>2863</v>
      </c>
      <c r="AB1529" s="62" t="n">
        <v>1</v>
      </c>
      <c r="AC1529" s="62" t="n">
        <v>0</v>
      </c>
      <c r="AD1529" s="62" t="n">
        <v>1</v>
      </c>
      <c r="AE1529" s="62" t="n">
        <f aca="false">IF(AND(Dashboard!$C$9="Yes",AC1529=1),0,1)</f>
        <v>1</v>
      </c>
      <c r="AF1529" s="62" t="n">
        <v>1</v>
      </c>
    </row>
    <row r="1530" customFormat="false" ht="15" hidden="false" customHeight="false" outlineLevel="0" collapsed="false">
      <c r="A1530" s="62" t="n">
        <v>1529</v>
      </c>
      <c r="B1530" s="63" t="n">
        <v>46271.0253125</v>
      </c>
      <c r="C1530" s="64" t="n">
        <v>46270</v>
      </c>
      <c r="D1530" s="62" t="s">
        <v>358</v>
      </c>
      <c r="E1530" s="62" t="s">
        <v>2476</v>
      </c>
      <c r="F1530" s="62" t="s">
        <v>2476</v>
      </c>
      <c r="G1530" s="62" t="s">
        <v>2477</v>
      </c>
      <c r="H1530" s="62" t="s">
        <v>51</v>
      </c>
      <c r="I1530" s="62" t="s">
        <v>47</v>
      </c>
      <c r="J1530" s="62" t="s">
        <v>146</v>
      </c>
      <c r="K1530" s="62" t="s">
        <v>209</v>
      </c>
      <c r="L1530" s="62" t="s">
        <v>148</v>
      </c>
      <c r="M1530" s="62" t="n">
        <v>0</v>
      </c>
      <c r="N1530" s="62" t="n">
        <v>1</v>
      </c>
      <c r="O1530" s="62" t="n">
        <v>1</v>
      </c>
      <c r="P1530" s="62" t="n">
        <v>1</v>
      </c>
      <c r="Q1530" s="62" t="n">
        <v>0</v>
      </c>
      <c r="R1530" s="62" t="n">
        <v>0</v>
      </c>
      <c r="S1530" s="62" t="n">
        <v>0</v>
      </c>
      <c r="T1530" s="62" t="n">
        <v>0</v>
      </c>
      <c r="U1530" s="62"/>
      <c r="V1530" s="62"/>
      <c r="W1530" s="62"/>
      <c r="X1530" s="62"/>
      <c r="Y1530" s="62"/>
      <c r="Z1530" s="62" t="s">
        <v>2864</v>
      </c>
      <c r="AA1530" s="62" t="s">
        <v>2865</v>
      </c>
      <c r="AB1530" s="62" t="n">
        <v>1</v>
      </c>
      <c r="AC1530" s="62" t="n">
        <v>0</v>
      </c>
      <c r="AD1530" s="62" t="n">
        <v>1</v>
      </c>
      <c r="AE1530" s="62" t="n">
        <f aca="false">IF(AND(Dashboard!$C$9="Yes",AC1530=1),0,1)</f>
        <v>1</v>
      </c>
      <c r="AF1530" s="62" t="n">
        <v>1</v>
      </c>
    </row>
    <row r="1531" customFormat="false" ht="15" hidden="false" customHeight="false" outlineLevel="0" collapsed="false">
      <c r="A1531" s="62" t="n">
        <v>1530</v>
      </c>
      <c r="B1531" s="63" t="n">
        <v>46271.0255555556</v>
      </c>
      <c r="C1531" s="64" t="n">
        <v>46270</v>
      </c>
      <c r="D1531" s="62" t="s">
        <v>358</v>
      </c>
      <c r="E1531" s="62" t="s">
        <v>212</v>
      </c>
      <c r="F1531" s="62" t="s">
        <v>212</v>
      </c>
      <c r="G1531" s="62" t="s">
        <v>213</v>
      </c>
      <c r="H1531" s="62" t="s">
        <v>58</v>
      </c>
      <c r="I1531" s="62" t="s">
        <v>49</v>
      </c>
      <c r="J1531" s="62" t="s">
        <v>146</v>
      </c>
      <c r="K1531" s="62" t="s">
        <v>175</v>
      </c>
      <c r="L1531" s="62" t="s">
        <v>148</v>
      </c>
      <c r="M1531" s="62" t="n">
        <v>0</v>
      </c>
      <c r="N1531" s="62" t="n">
        <v>1</v>
      </c>
      <c r="O1531" s="62" t="n">
        <v>1</v>
      </c>
      <c r="P1531" s="62" t="n">
        <v>1</v>
      </c>
      <c r="Q1531" s="62" t="n">
        <v>0</v>
      </c>
      <c r="R1531" s="62" t="n">
        <v>0</v>
      </c>
      <c r="S1531" s="62" t="n">
        <v>0</v>
      </c>
      <c r="T1531" s="62" t="n">
        <v>0</v>
      </c>
      <c r="U1531" s="62"/>
      <c r="V1531" s="62"/>
      <c r="W1531" s="62"/>
      <c r="X1531" s="62"/>
      <c r="Y1531" s="62"/>
      <c r="Z1531" s="62" t="s">
        <v>2866</v>
      </c>
      <c r="AA1531" s="62" t="s">
        <v>2867</v>
      </c>
      <c r="AB1531" s="62" t="n">
        <v>1</v>
      </c>
      <c r="AC1531" s="62" t="n">
        <v>0</v>
      </c>
      <c r="AD1531" s="62" t="n">
        <v>1</v>
      </c>
      <c r="AE1531" s="62" t="n">
        <f aca="false">IF(AND(Dashboard!$C$9="Yes",AC1531=1),0,1)</f>
        <v>1</v>
      </c>
      <c r="AF1531" s="62" t="n">
        <v>0</v>
      </c>
    </row>
    <row r="1532" customFormat="false" ht="15" hidden="false" customHeight="false" outlineLevel="0" collapsed="false">
      <c r="A1532" s="62" t="n">
        <v>1531</v>
      </c>
      <c r="B1532" s="63" t="n">
        <v>46271.0592824074</v>
      </c>
      <c r="C1532" s="64" t="n">
        <v>46270</v>
      </c>
      <c r="D1532" s="62" t="s">
        <v>358</v>
      </c>
      <c r="E1532" s="62" t="s">
        <v>2385</v>
      </c>
      <c r="F1532" s="62" t="s">
        <v>2385</v>
      </c>
      <c r="G1532" s="62" t="s">
        <v>2386</v>
      </c>
      <c r="H1532" s="62" t="s">
        <v>59</v>
      </c>
      <c r="I1532" s="62" t="s">
        <v>47</v>
      </c>
      <c r="J1532" s="62" t="s">
        <v>146</v>
      </c>
      <c r="K1532" s="62" t="s">
        <v>209</v>
      </c>
      <c r="L1532" s="62" t="s">
        <v>4</v>
      </c>
      <c r="M1532" s="62" t="n">
        <v>1</v>
      </c>
      <c r="N1532" s="62" t="n">
        <v>0</v>
      </c>
      <c r="O1532" s="62" t="n">
        <v>1</v>
      </c>
      <c r="P1532" s="62" t="n">
        <v>0</v>
      </c>
      <c r="Q1532" s="62" t="n">
        <v>0</v>
      </c>
      <c r="R1532" s="62" t="n">
        <v>0</v>
      </c>
      <c r="S1532" s="62" t="n">
        <v>0</v>
      </c>
      <c r="T1532" s="62" t="n">
        <v>0</v>
      </c>
      <c r="U1532" s="62" t="s">
        <v>2056</v>
      </c>
      <c r="V1532" s="62" t="s">
        <v>2057</v>
      </c>
      <c r="W1532" s="62" t="s">
        <v>2056</v>
      </c>
      <c r="X1532" s="62" t="s">
        <v>2058</v>
      </c>
      <c r="Y1532" s="62" t="s">
        <v>2059</v>
      </c>
      <c r="Z1532" s="62" t="s">
        <v>2868</v>
      </c>
      <c r="AA1532" s="62" t="s">
        <v>2869</v>
      </c>
      <c r="AB1532" s="62" t="n">
        <v>1</v>
      </c>
      <c r="AC1532" s="62" t="n">
        <v>0</v>
      </c>
      <c r="AD1532" s="62" t="n">
        <v>1</v>
      </c>
      <c r="AE1532" s="62" t="n">
        <f aca="false">IF(AND(Dashboard!$C$9="Yes",AC1532=1),0,1)</f>
        <v>1</v>
      </c>
      <c r="AF1532" s="62" t="n">
        <v>1</v>
      </c>
    </row>
    <row r="1533" customFormat="false" ht="15" hidden="false" customHeight="false" outlineLevel="0" collapsed="false">
      <c r="A1533" s="62" t="n">
        <v>1532</v>
      </c>
      <c r="B1533" s="63" t="n">
        <v>46271.0595601852</v>
      </c>
      <c r="C1533" s="64" t="n">
        <v>46270</v>
      </c>
      <c r="D1533" s="62" t="s">
        <v>358</v>
      </c>
      <c r="E1533" s="62" t="s">
        <v>2385</v>
      </c>
      <c r="F1533" s="62" t="s">
        <v>2385</v>
      </c>
      <c r="G1533" s="62" t="s">
        <v>2386</v>
      </c>
      <c r="H1533" s="62" t="s">
        <v>59</v>
      </c>
      <c r="I1533" s="62" t="s">
        <v>47</v>
      </c>
      <c r="J1533" s="62" t="s">
        <v>146</v>
      </c>
      <c r="K1533" s="62" t="s">
        <v>209</v>
      </c>
      <c r="L1533" s="62" t="s">
        <v>148</v>
      </c>
      <c r="M1533" s="62" t="n">
        <v>0</v>
      </c>
      <c r="N1533" s="62" t="n">
        <v>1</v>
      </c>
      <c r="O1533" s="62" t="n">
        <v>1</v>
      </c>
      <c r="P1533" s="62" t="n">
        <v>1</v>
      </c>
      <c r="Q1533" s="62" t="n">
        <v>0</v>
      </c>
      <c r="R1533" s="62" t="n">
        <v>0</v>
      </c>
      <c r="S1533" s="62" t="n">
        <v>0</v>
      </c>
      <c r="T1533" s="62" t="n">
        <v>0</v>
      </c>
      <c r="U1533" s="62"/>
      <c r="V1533" s="62"/>
      <c r="W1533" s="62"/>
      <c r="X1533" s="62"/>
      <c r="Y1533" s="62"/>
      <c r="Z1533" s="62" t="s">
        <v>2870</v>
      </c>
      <c r="AA1533" s="62" t="s">
        <v>64</v>
      </c>
      <c r="AB1533" s="62" t="n">
        <v>0</v>
      </c>
      <c r="AC1533" s="62" t="n">
        <v>0</v>
      </c>
      <c r="AD1533" s="62" t="n">
        <v>1</v>
      </c>
      <c r="AE1533" s="62" t="n">
        <f aca="false">IF(AND(Dashboard!$C$9="Yes",AC1533=1),0,1)</f>
        <v>1</v>
      </c>
      <c r="AF1533" s="62" t="n">
        <v>0</v>
      </c>
    </row>
    <row r="1534" customFormat="false" ht="15" hidden="false" customHeight="false" outlineLevel="0" collapsed="false">
      <c r="A1534" s="62" t="n">
        <v>1533</v>
      </c>
      <c r="B1534" s="63" t="n">
        <v>46271.0849768519</v>
      </c>
      <c r="C1534" s="64" t="n">
        <v>46270</v>
      </c>
      <c r="D1534" s="62" t="s">
        <v>358</v>
      </c>
      <c r="E1534" s="62" t="s">
        <v>1155</v>
      </c>
      <c r="F1534" s="62" t="s">
        <v>1155</v>
      </c>
      <c r="G1534" s="62" t="s">
        <v>1156</v>
      </c>
      <c r="H1534" s="62" t="s">
        <v>59</v>
      </c>
      <c r="I1534" s="62" t="s">
        <v>47</v>
      </c>
      <c r="J1534" s="62" t="s">
        <v>146</v>
      </c>
      <c r="K1534" s="62" t="s">
        <v>209</v>
      </c>
      <c r="L1534" s="62" t="s">
        <v>148</v>
      </c>
      <c r="M1534" s="62" t="n">
        <v>0</v>
      </c>
      <c r="N1534" s="62" t="n">
        <v>1</v>
      </c>
      <c r="O1534" s="62" t="n">
        <v>1</v>
      </c>
      <c r="P1534" s="62" t="n">
        <v>1</v>
      </c>
      <c r="Q1534" s="62" t="n">
        <v>0</v>
      </c>
      <c r="R1534" s="62" t="n">
        <v>0</v>
      </c>
      <c r="S1534" s="62" t="n">
        <v>0</v>
      </c>
      <c r="T1534" s="62" t="n">
        <v>0</v>
      </c>
      <c r="U1534" s="62"/>
      <c r="V1534" s="62"/>
      <c r="W1534" s="62"/>
      <c r="X1534" s="62"/>
      <c r="Y1534" s="62"/>
      <c r="Z1534" s="62" t="s">
        <v>2871</v>
      </c>
      <c r="AA1534" s="62" t="s">
        <v>2872</v>
      </c>
      <c r="AB1534" s="62" t="n">
        <v>1</v>
      </c>
      <c r="AC1534" s="62" t="n">
        <v>0</v>
      </c>
      <c r="AD1534" s="62" t="n">
        <v>1</v>
      </c>
      <c r="AE1534" s="62" t="n">
        <f aca="false">IF(AND(Dashboard!$C$9="Yes",AC1534=1),0,1)</f>
        <v>1</v>
      </c>
      <c r="AF1534" s="62" t="n">
        <v>0</v>
      </c>
    </row>
    <row r="1535" customFormat="false" ht="15" hidden="false" customHeight="false" outlineLevel="0" collapsed="false">
      <c r="A1535" s="62" t="n">
        <v>1534</v>
      </c>
      <c r="B1535" s="63" t="n">
        <v>46271.0948032407</v>
      </c>
      <c r="C1535" s="64" t="n">
        <v>46270</v>
      </c>
      <c r="D1535" s="62" t="s">
        <v>358</v>
      </c>
      <c r="E1535" s="62" t="s">
        <v>2464</v>
      </c>
      <c r="F1535" s="62" t="s">
        <v>2464</v>
      </c>
      <c r="G1535" s="62" t="s">
        <v>2465</v>
      </c>
      <c r="H1535" s="62" t="s">
        <v>59</v>
      </c>
      <c r="I1535" s="62" t="s">
        <v>47</v>
      </c>
      <c r="J1535" s="62" t="s">
        <v>146</v>
      </c>
      <c r="K1535" s="62" t="s">
        <v>175</v>
      </c>
      <c r="L1535" s="62" t="s">
        <v>148</v>
      </c>
      <c r="M1535" s="62" t="n">
        <v>0</v>
      </c>
      <c r="N1535" s="62" t="n">
        <v>1</v>
      </c>
      <c r="O1535" s="62" t="n">
        <v>1</v>
      </c>
      <c r="P1535" s="62" t="n">
        <v>1</v>
      </c>
      <c r="Q1535" s="62" t="n">
        <v>0</v>
      </c>
      <c r="R1535" s="62" t="n">
        <v>0</v>
      </c>
      <c r="S1535" s="62" t="n">
        <v>0</v>
      </c>
      <c r="T1535" s="62" t="n">
        <v>0</v>
      </c>
      <c r="U1535" s="62"/>
      <c r="V1535" s="62"/>
      <c r="W1535" s="62"/>
      <c r="X1535" s="62"/>
      <c r="Y1535" s="62"/>
      <c r="Z1535" s="62" t="s">
        <v>2873</v>
      </c>
      <c r="AA1535" s="62" t="s">
        <v>2874</v>
      </c>
      <c r="AB1535" s="62" t="n">
        <v>1</v>
      </c>
      <c r="AC1535" s="62" t="n">
        <v>0</v>
      </c>
      <c r="AD1535" s="62" t="n">
        <v>1</v>
      </c>
      <c r="AE1535" s="62" t="n">
        <f aca="false">IF(AND(Dashboard!$C$9="Yes",AC1535=1),0,1)</f>
        <v>1</v>
      </c>
      <c r="AF1535" s="62" t="n">
        <v>0</v>
      </c>
    </row>
    <row r="1536" customFormat="false" ht="15" hidden="false" customHeight="false" outlineLevel="0" collapsed="false">
      <c r="A1536" s="62" t="n">
        <v>1535</v>
      </c>
      <c r="B1536" s="63" t="n">
        <v>46271.1096875</v>
      </c>
      <c r="C1536" s="64" t="n">
        <v>46270</v>
      </c>
      <c r="D1536" s="62" t="s">
        <v>358</v>
      </c>
      <c r="E1536" s="62" t="s">
        <v>180</v>
      </c>
      <c r="F1536" s="62" t="s">
        <v>180</v>
      </c>
      <c r="G1536" s="62" t="s">
        <v>181</v>
      </c>
      <c r="H1536" s="62" t="s">
        <v>58</v>
      </c>
      <c r="I1536" s="62" t="s">
        <v>49</v>
      </c>
      <c r="J1536" s="62" t="s">
        <v>146</v>
      </c>
      <c r="K1536" s="62" t="s">
        <v>175</v>
      </c>
      <c r="L1536" s="62" t="s">
        <v>4</v>
      </c>
      <c r="M1536" s="62" t="n">
        <v>1</v>
      </c>
      <c r="N1536" s="62" t="n">
        <v>0</v>
      </c>
      <c r="O1536" s="62" t="n">
        <v>1</v>
      </c>
      <c r="P1536" s="62" t="n">
        <v>0</v>
      </c>
      <c r="Q1536" s="62" t="n">
        <v>0</v>
      </c>
      <c r="R1536" s="62" t="n">
        <v>0</v>
      </c>
      <c r="S1536" s="62" t="n">
        <v>0</v>
      </c>
      <c r="T1536" s="62" t="n">
        <v>0</v>
      </c>
      <c r="U1536" s="62" t="s">
        <v>2056</v>
      </c>
      <c r="V1536" s="62" t="s">
        <v>2057</v>
      </c>
      <c r="W1536" s="62" t="s">
        <v>15</v>
      </c>
      <c r="X1536" s="62" t="s">
        <v>2058</v>
      </c>
      <c r="Y1536" s="62" t="s">
        <v>2059</v>
      </c>
      <c r="Z1536" s="62" t="s">
        <v>2875</v>
      </c>
      <c r="AA1536" s="62" t="s">
        <v>2876</v>
      </c>
      <c r="AB1536" s="62" t="n">
        <v>1</v>
      </c>
      <c r="AC1536" s="62" t="n">
        <v>0</v>
      </c>
      <c r="AD1536" s="62" t="n">
        <v>1</v>
      </c>
      <c r="AE1536" s="62" t="n">
        <f aca="false">IF(AND(Dashboard!$C$9="Yes",AC1536=1),0,1)</f>
        <v>1</v>
      </c>
      <c r="AF1536" s="62" t="n">
        <v>0</v>
      </c>
    </row>
    <row r="1537" customFormat="false" ht="15" hidden="false" customHeight="false" outlineLevel="0" collapsed="false">
      <c r="A1537" s="62" t="n">
        <v>1536</v>
      </c>
      <c r="B1537" s="63" t="n">
        <v>46271.1362615741</v>
      </c>
      <c r="C1537" s="64" t="n">
        <v>46270</v>
      </c>
      <c r="D1537" s="62" t="s">
        <v>358</v>
      </c>
      <c r="E1537" s="62" t="s">
        <v>212</v>
      </c>
      <c r="F1537" s="62" t="s">
        <v>212</v>
      </c>
      <c r="G1537" s="62" t="s">
        <v>213</v>
      </c>
      <c r="H1537" s="62" t="s">
        <v>58</v>
      </c>
      <c r="I1537" s="62" t="s">
        <v>49</v>
      </c>
      <c r="J1537" s="62" t="s">
        <v>146</v>
      </c>
      <c r="K1537" s="62" t="s">
        <v>175</v>
      </c>
      <c r="L1537" s="62" t="s">
        <v>148</v>
      </c>
      <c r="M1537" s="62" t="n">
        <v>0</v>
      </c>
      <c r="N1537" s="62" t="n">
        <v>1</v>
      </c>
      <c r="O1537" s="62" t="n">
        <v>1</v>
      </c>
      <c r="P1537" s="62" t="n">
        <v>1</v>
      </c>
      <c r="Q1537" s="62" t="n">
        <v>0</v>
      </c>
      <c r="R1537" s="62" t="n">
        <v>0</v>
      </c>
      <c r="S1537" s="62" t="n">
        <v>0</v>
      </c>
      <c r="T1537" s="62" t="n">
        <v>0</v>
      </c>
      <c r="U1537" s="62"/>
      <c r="V1537" s="62"/>
      <c r="W1537" s="62"/>
      <c r="X1537" s="62"/>
      <c r="Y1537" s="62"/>
      <c r="Z1537" s="62" t="s">
        <v>2877</v>
      </c>
      <c r="AA1537" s="62" t="s">
        <v>2878</v>
      </c>
      <c r="AB1537" s="62" t="n">
        <v>1</v>
      </c>
      <c r="AC1537" s="62" t="n">
        <v>0</v>
      </c>
      <c r="AD1537" s="62" t="n">
        <v>1</v>
      </c>
      <c r="AE1537" s="62" t="n">
        <f aca="false">IF(AND(Dashboard!$C$9="Yes",AC1537=1),0,1)</f>
        <v>1</v>
      </c>
      <c r="AF1537" s="62" t="n">
        <v>0</v>
      </c>
    </row>
    <row r="1538" customFormat="false" ht="15" hidden="false" customHeight="false" outlineLevel="0" collapsed="false">
      <c r="A1538" s="62" t="n">
        <v>1537</v>
      </c>
      <c r="B1538" s="63" t="n">
        <v>46271.1448032407</v>
      </c>
      <c r="C1538" s="64" t="n">
        <v>46270</v>
      </c>
      <c r="D1538" s="62" t="s">
        <v>358</v>
      </c>
      <c r="E1538" s="62" t="s">
        <v>2385</v>
      </c>
      <c r="F1538" s="62" t="s">
        <v>2385</v>
      </c>
      <c r="G1538" s="62" t="s">
        <v>2386</v>
      </c>
      <c r="H1538" s="62" t="s">
        <v>59</v>
      </c>
      <c r="I1538" s="62" t="s">
        <v>47</v>
      </c>
      <c r="J1538" s="62" t="s">
        <v>146</v>
      </c>
      <c r="K1538" s="62" t="s">
        <v>209</v>
      </c>
      <c r="L1538" s="62" t="s">
        <v>148</v>
      </c>
      <c r="M1538" s="62" t="n">
        <v>0</v>
      </c>
      <c r="N1538" s="62" t="n">
        <v>1</v>
      </c>
      <c r="O1538" s="62" t="n">
        <v>1</v>
      </c>
      <c r="P1538" s="62" t="n">
        <v>0</v>
      </c>
      <c r="Q1538" s="62" t="n">
        <v>0</v>
      </c>
      <c r="R1538" s="62" t="n">
        <v>1</v>
      </c>
      <c r="S1538" s="62" t="n">
        <v>0</v>
      </c>
      <c r="T1538" s="62" t="n">
        <v>0</v>
      </c>
      <c r="U1538" s="62"/>
      <c r="V1538" s="62"/>
      <c r="W1538" s="62"/>
      <c r="X1538" s="62"/>
      <c r="Y1538" s="62"/>
      <c r="Z1538" s="62" t="s">
        <v>2879</v>
      </c>
      <c r="AA1538" s="62" t="s">
        <v>2880</v>
      </c>
      <c r="AB1538" s="62" t="n">
        <v>1</v>
      </c>
      <c r="AC1538" s="62" t="n">
        <v>0</v>
      </c>
      <c r="AD1538" s="62" t="n">
        <v>1</v>
      </c>
      <c r="AE1538" s="62" t="n">
        <f aca="false">IF(AND(Dashboard!$C$9="Yes",AC1538=1),0,1)</f>
        <v>1</v>
      </c>
      <c r="AF1538" s="62" t="n">
        <v>0</v>
      </c>
    </row>
    <row r="1539" customFormat="false" ht="15" hidden="false" customHeight="false" outlineLevel="0" collapsed="false">
      <c r="A1539" s="62" t="n">
        <v>1538</v>
      </c>
      <c r="B1539" s="63" t="n">
        <v>46271.151724537</v>
      </c>
      <c r="C1539" s="64" t="n">
        <v>46270</v>
      </c>
      <c r="D1539" s="62" t="s">
        <v>358</v>
      </c>
      <c r="E1539" s="62" t="s">
        <v>144</v>
      </c>
      <c r="F1539" s="62" t="s">
        <v>144</v>
      </c>
      <c r="G1539" s="62" t="s">
        <v>145</v>
      </c>
      <c r="H1539" s="62" t="s">
        <v>59</v>
      </c>
      <c r="I1539" s="62" t="s">
        <v>47</v>
      </c>
      <c r="J1539" s="62" t="s">
        <v>146</v>
      </c>
      <c r="K1539" s="62" t="s">
        <v>147</v>
      </c>
      <c r="L1539" s="62" t="s">
        <v>4</v>
      </c>
      <c r="M1539" s="62" t="n">
        <v>1</v>
      </c>
      <c r="N1539" s="62" t="n">
        <v>0</v>
      </c>
      <c r="O1539" s="62" t="n">
        <v>1</v>
      </c>
      <c r="P1539" s="62" t="n">
        <v>0</v>
      </c>
      <c r="Q1539" s="62" t="n">
        <v>0</v>
      </c>
      <c r="R1539" s="62" t="n">
        <v>0</v>
      </c>
      <c r="S1539" s="62" t="n">
        <v>0</v>
      </c>
      <c r="T1539" s="62" t="n">
        <v>0</v>
      </c>
      <c r="U1539" s="62" t="s">
        <v>2056</v>
      </c>
      <c r="V1539" s="62" t="s">
        <v>2057</v>
      </c>
      <c r="W1539" s="62" t="s">
        <v>15</v>
      </c>
      <c r="X1539" s="62" t="s">
        <v>2058</v>
      </c>
      <c r="Y1539" s="62" t="s">
        <v>2059</v>
      </c>
      <c r="Z1539" s="62" t="s">
        <v>2881</v>
      </c>
      <c r="AA1539" s="62" t="s">
        <v>2882</v>
      </c>
      <c r="AB1539" s="62" t="n">
        <v>1</v>
      </c>
      <c r="AC1539" s="62" t="n">
        <v>0</v>
      </c>
      <c r="AD1539" s="62" t="n">
        <v>1</v>
      </c>
      <c r="AE1539" s="62" t="n">
        <f aca="false">IF(AND(Dashboard!$C$9="Yes",AC1539=1),0,1)</f>
        <v>1</v>
      </c>
      <c r="AF1539" s="62" t="n">
        <v>0</v>
      </c>
    </row>
    <row r="1540" customFormat="false" ht="15" hidden="false" customHeight="false" outlineLevel="0" collapsed="false">
      <c r="A1540" s="62" t="n">
        <v>1539</v>
      </c>
      <c r="B1540" s="63" t="n">
        <v>46271.1520717593</v>
      </c>
      <c r="C1540" s="64" t="n">
        <v>46270</v>
      </c>
      <c r="D1540" s="62" t="s">
        <v>358</v>
      </c>
      <c r="E1540" s="62" t="s">
        <v>144</v>
      </c>
      <c r="F1540" s="62" t="s">
        <v>144</v>
      </c>
      <c r="G1540" s="62" t="s">
        <v>145</v>
      </c>
      <c r="H1540" s="62" t="s">
        <v>59</v>
      </c>
      <c r="I1540" s="62" t="s">
        <v>47</v>
      </c>
      <c r="J1540" s="62" t="s">
        <v>146</v>
      </c>
      <c r="K1540" s="62" t="s">
        <v>147</v>
      </c>
      <c r="L1540" s="62" t="s">
        <v>4</v>
      </c>
      <c r="M1540" s="62" t="n">
        <v>1</v>
      </c>
      <c r="N1540" s="62" t="n">
        <v>0</v>
      </c>
      <c r="O1540" s="62" t="n">
        <v>1</v>
      </c>
      <c r="P1540" s="62" t="n">
        <v>0</v>
      </c>
      <c r="Q1540" s="62" t="n">
        <v>0</v>
      </c>
      <c r="R1540" s="62" t="n">
        <v>0</v>
      </c>
      <c r="S1540" s="62" t="n">
        <v>0</v>
      </c>
      <c r="T1540" s="62" t="n">
        <v>0</v>
      </c>
      <c r="U1540" s="62" t="s">
        <v>2056</v>
      </c>
      <c r="V1540" s="62" t="s">
        <v>2057</v>
      </c>
      <c r="W1540" s="62" t="s">
        <v>15</v>
      </c>
      <c r="X1540" s="62" t="s">
        <v>2058</v>
      </c>
      <c r="Y1540" s="62" t="s">
        <v>2059</v>
      </c>
      <c r="Z1540" s="62" t="s">
        <v>2881</v>
      </c>
      <c r="AA1540" s="62" t="s">
        <v>2882</v>
      </c>
      <c r="AB1540" s="62" t="n">
        <v>1</v>
      </c>
      <c r="AC1540" s="62" t="n">
        <v>1</v>
      </c>
      <c r="AD1540" s="62" t="n">
        <v>1</v>
      </c>
      <c r="AE1540" s="62" t="n">
        <f aca="false">IF(AND(Dashboard!$C$9="Yes",AC1540=1),0,1)</f>
        <v>0</v>
      </c>
      <c r="AF1540" s="62" t="n">
        <v>0</v>
      </c>
    </row>
    <row r="1541" customFormat="false" ht="15" hidden="false" customHeight="false" outlineLevel="0" collapsed="false">
      <c r="A1541" s="62" t="n">
        <v>1540</v>
      </c>
      <c r="B1541" s="63" t="n">
        <v>46271.152337963</v>
      </c>
      <c r="C1541" s="64" t="n">
        <v>46270</v>
      </c>
      <c r="D1541" s="62" t="s">
        <v>358</v>
      </c>
      <c r="E1541" s="62" t="s">
        <v>144</v>
      </c>
      <c r="F1541" s="62" t="s">
        <v>144</v>
      </c>
      <c r="G1541" s="62" t="s">
        <v>145</v>
      </c>
      <c r="H1541" s="62" t="s">
        <v>59</v>
      </c>
      <c r="I1541" s="62" t="s">
        <v>47</v>
      </c>
      <c r="J1541" s="62" t="s">
        <v>146</v>
      </c>
      <c r="K1541" s="62" t="s">
        <v>147</v>
      </c>
      <c r="L1541" s="62" t="s">
        <v>4</v>
      </c>
      <c r="M1541" s="62" t="n">
        <v>1</v>
      </c>
      <c r="N1541" s="62" t="n">
        <v>0</v>
      </c>
      <c r="O1541" s="62" t="n">
        <v>1</v>
      </c>
      <c r="P1541" s="62" t="n">
        <v>0</v>
      </c>
      <c r="Q1541" s="62" t="n">
        <v>0</v>
      </c>
      <c r="R1541" s="62" t="n">
        <v>0</v>
      </c>
      <c r="S1541" s="62" t="n">
        <v>0</v>
      </c>
      <c r="T1541" s="62" t="n">
        <v>0</v>
      </c>
      <c r="U1541" s="62" t="s">
        <v>2056</v>
      </c>
      <c r="V1541" s="62" t="s">
        <v>2057</v>
      </c>
      <c r="W1541" s="62" t="s">
        <v>15</v>
      </c>
      <c r="X1541" s="62" t="s">
        <v>2058</v>
      </c>
      <c r="Y1541" s="62" t="s">
        <v>2059</v>
      </c>
      <c r="Z1541" s="62" t="s">
        <v>2881</v>
      </c>
      <c r="AA1541" s="62" t="s">
        <v>2882</v>
      </c>
      <c r="AB1541" s="62" t="n">
        <v>1</v>
      </c>
      <c r="AC1541" s="62" t="n">
        <v>1</v>
      </c>
      <c r="AD1541" s="62" t="n">
        <v>1</v>
      </c>
      <c r="AE1541" s="62" t="n">
        <f aca="false">IF(AND(Dashboard!$C$9="Yes",AC1541=1),0,1)</f>
        <v>0</v>
      </c>
      <c r="AF1541" s="62" t="n">
        <v>0</v>
      </c>
    </row>
    <row r="1542" customFormat="false" ht="15" hidden="false" customHeight="false" outlineLevel="0" collapsed="false">
      <c r="A1542" s="62" t="n">
        <v>1541</v>
      </c>
      <c r="B1542" s="63" t="n">
        <v>46271.1641666667</v>
      </c>
      <c r="C1542" s="64" t="n">
        <v>46270</v>
      </c>
      <c r="D1542" s="62" t="s">
        <v>358</v>
      </c>
      <c r="E1542" s="62" t="s">
        <v>1827</v>
      </c>
      <c r="F1542" s="62" t="s">
        <v>1827</v>
      </c>
      <c r="G1542" s="62" t="s">
        <v>1828</v>
      </c>
      <c r="H1542" s="62" t="s">
        <v>59</v>
      </c>
      <c r="I1542" s="62" t="s">
        <v>47</v>
      </c>
      <c r="J1542" s="62" t="s">
        <v>146</v>
      </c>
      <c r="K1542" s="62" t="s">
        <v>209</v>
      </c>
      <c r="L1542" s="62" t="s">
        <v>148</v>
      </c>
      <c r="M1542" s="62" t="n">
        <v>0</v>
      </c>
      <c r="N1542" s="62" t="n">
        <v>1</v>
      </c>
      <c r="O1542" s="62" t="n">
        <v>1</v>
      </c>
      <c r="P1542" s="62" t="n">
        <v>0</v>
      </c>
      <c r="Q1542" s="62" t="n">
        <v>1</v>
      </c>
      <c r="R1542" s="62" t="n">
        <v>0</v>
      </c>
      <c r="S1542" s="62" t="n">
        <v>0</v>
      </c>
      <c r="T1542" s="62" t="n">
        <v>0</v>
      </c>
      <c r="U1542" s="62"/>
      <c r="V1542" s="62"/>
      <c r="W1542" s="62"/>
      <c r="X1542" s="62"/>
      <c r="Y1542" s="62"/>
      <c r="Z1542" s="62" t="s">
        <v>2883</v>
      </c>
      <c r="AA1542" s="62" t="s">
        <v>2884</v>
      </c>
      <c r="AB1542" s="62" t="n">
        <v>1</v>
      </c>
      <c r="AC1542" s="62" t="n">
        <v>0</v>
      </c>
      <c r="AD1542" s="62" t="n">
        <v>1</v>
      </c>
      <c r="AE1542" s="62" t="n">
        <f aca="false">IF(AND(Dashboard!$C$9="Yes",AC1542=1),0,1)</f>
        <v>1</v>
      </c>
      <c r="AF1542" s="62" t="n">
        <v>1</v>
      </c>
    </row>
    <row r="1543" customFormat="false" ht="15" hidden="false" customHeight="false" outlineLevel="0" collapsed="false">
      <c r="A1543" s="62" t="n">
        <v>1542</v>
      </c>
      <c r="B1543" s="63" t="n">
        <v>46271.1721180556</v>
      </c>
      <c r="C1543" s="64" t="n">
        <v>46270</v>
      </c>
      <c r="D1543" s="62" t="s">
        <v>358</v>
      </c>
      <c r="E1543" s="62" t="s">
        <v>1539</v>
      </c>
      <c r="F1543" s="62" t="s">
        <v>1539</v>
      </c>
      <c r="G1543" s="62" t="s">
        <v>1540</v>
      </c>
      <c r="H1543" s="62" t="s">
        <v>52</v>
      </c>
      <c r="I1543" s="62" t="s">
        <v>47</v>
      </c>
      <c r="J1543" s="62" t="s">
        <v>146</v>
      </c>
      <c r="K1543" s="62" t="s">
        <v>147</v>
      </c>
      <c r="L1543" s="62" t="s">
        <v>4</v>
      </c>
      <c r="M1543" s="62" t="n">
        <v>1</v>
      </c>
      <c r="N1543" s="62" t="n">
        <v>0</v>
      </c>
      <c r="O1543" s="62" t="n">
        <v>1</v>
      </c>
      <c r="P1543" s="62" t="n">
        <v>0</v>
      </c>
      <c r="Q1543" s="62" t="n">
        <v>0</v>
      </c>
      <c r="R1543" s="62" t="n">
        <v>0</v>
      </c>
      <c r="S1543" s="62" t="n">
        <v>0</v>
      </c>
      <c r="T1543" s="62" t="n">
        <v>0</v>
      </c>
      <c r="U1543" s="62" t="s">
        <v>2056</v>
      </c>
      <c r="V1543" s="62" t="s">
        <v>2057</v>
      </c>
      <c r="W1543" s="62" t="s">
        <v>15</v>
      </c>
      <c r="X1543" s="62" t="s">
        <v>2058</v>
      </c>
      <c r="Y1543" s="62" t="s">
        <v>2059</v>
      </c>
      <c r="Z1543" s="62" t="s">
        <v>2885</v>
      </c>
      <c r="AA1543" s="62" t="s">
        <v>2886</v>
      </c>
      <c r="AB1543" s="62" t="n">
        <v>1</v>
      </c>
      <c r="AC1543" s="62" t="n">
        <v>0</v>
      </c>
      <c r="AD1543" s="62" t="n">
        <v>1</v>
      </c>
      <c r="AE1543" s="62" t="n">
        <f aca="false">IF(AND(Dashboard!$C$9="Yes",AC1543=1),0,1)</f>
        <v>1</v>
      </c>
      <c r="AF1543" s="62" t="n">
        <v>1</v>
      </c>
    </row>
    <row r="1544" customFormat="false" ht="15" hidden="false" customHeight="false" outlineLevel="0" collapsed="false">
      <c r="A1544" s="62" t="n">
        <v>1543</v>
      </c>
      <c r="B1544" s="63" t="n">
        <v>46271.174212963</v>
      </c>
      <c r="C1544" s="64" t="n">
        <v>46270</v>
      </c>
      <c r="D1544" s="62" t="s">
        <v>358</v>
      </c>
      <c r="E1544" s="62" t="s">
        <v>2228</v>
      </c>
      <c r="F1544" s="62" t="s">
        <v>2228</v>
      </c>
      <c r="G1544" s="62" t="s">
        <v>2229</v>
      </c>
      <c r="H1544" s="62" t="s">
        <v>58</v>
      </c>
      <c r="I1544" s="62" t="s">
        <v>49</v>
      </c>
      <c r="J1544" s="62" t="s">
        <v>146</v>
      </c>
      <c r="K1544" s="62" t="s">
        <v>209</v>
      </c>
      <c r="L1544" s="62" t="s">
        <v>4</v>
      </c>
      <c r="M1544" s="62" t="n">
        <v>1</v>
      </c>
      <c r="N1544" s="62" t="n">
        <v>0</v>
      </c>
      <c r="O1544" s="62" t="n">
        <v>1</v>
      </c>
      <c r="P1544" s="62" t="n">
        <v>0</v>
      </c>
      <c r="Q1544" s="62" t="n">
        <v>0</v>
      </c>
      <c r="R1544" s="62" t="n">
        <v>0</v>
      </c>
      <c r="S1544" s="62" t="n">
        <v>0</v>
      </c>
      <c r="T1544" s="62" t="n">
        <v>0</v>
      </c>
      <c r="U1544" s="62" t="s">
        <v>2056</v>
      </c>
      <c r="V1544" s="62" t="s">
        <v>2057</v>
      </c>
      <c r="W1544" s="62" t="s">
        <v>15</v>
      </c>
      <c r="X1544" s="62" t="s">
        <v>2058</v>
      </c>
      <c r="Y1544" s="62" t="s">
        <v>2059</v>
      </c>
      <c r="Z1544" s="62" t="s">
        <v>2887</v>
      </c>
      <c r="AA1544" s="62" t="s">
        <v>2888</v>
      </c>
      <c r="AB1544" s="62" t="n">
        <v>1</v>
      </c>
      <c r="AC1544" s="62" t="n">
        <v>0</v>
      </c>
      <c r="AD1544" s="62" t="n">
        <v>1</v>
      </c>
      <c r="AE1544" s="62" t="n">
        <f aca="false">IF(AND(Dashboard!$C$9="Yes",AC1544=1),0,1)</f>
        <v>1</v>
      </c>
      <c r="AF1544" s="62" t="n">
        <v>1</v>
      </c>
    </row>
    <row r="1545" customFormat="false" ht="15" hidden="false" customHeight="false" outlineLevel="0" collapsed="false">
      <c r="A1545" s="62" t="n">
        <v>1544</v>
      </c>
      <c r="B1545" s="63" t="n">
        <v>46271.2242361111</v>
      </c>
      <c r="C1545" s="64" t="n">
        <v>46270</v>
      </c>
      <c r="D1545" s="62" t="s">
        <v>358</v>
      </c>
      <c r="E1545" s="62" t="s">
        <v>144</v>
      </c>
      <c r="F1545" s="62" t="s">
        <v>144</v>
      </c>
      <c r="G1545" s="62" t="s">
        <v>145</v>
      </c>
      <c r="H1545" s="62" t="s">
        <v>59</v>
      </c>
      <c r="I1545" s="62" t="s">
        <v>47</v>
      </c>
      <c r="J1545" s="62" t="s">
        <v>146</v>
      </c>
      <c r="K1545" s="62" t="s">
        <v>147</v>
      </c>
      <c r="L1545" s="62" t="s">
        <v>148</v>
      </c>
      <c r="M1545" s="62" t="n">
        <v>0</v>
      </c>
      <c r="N1545" s="62" t="n">
        <v>2</v>
      </c>
      <c r="O1545" s="62" t="n">
        <v>2</v>
      </c>
      <c r="P1545" s="62" t="n">
        <v>1</v>
      </c>
      <c r="Q1545" s="62" t="n">
        <v>1</v>
      </c>
      <c r="R1545" s="62" t="n">
        <v>0</v>
      </c>
      <c r="S1545" s="62" t="n">
        <v>0</v>
      </c>
      <c r="T1545" s="62" t="n">
        <v>0</v>
      </c>
      <c r="U1545" s="62"/>
      <c r="V1545" s="62"/>
      <c r="W1545" s="62"/>
      <c r="X1545" s="62"/>
      <c r="Y1545" s="62"/>
      <c r="Z1545" s="62" t="s">
        <v>2889</v>
      </c>
      <c r="AA1545" s="62" t="s">
        <v>2890</v>
      </c>
      <c r="AB1545" s="62" t="n">
        <v>1</v>
      </c>
      <c r="AC1545" s="62" t="n">
        <v>0</v>
      </c>
      <c r="AD1545" s="62" t="n">
        <v>1</v>
      </c>
      <c r="AE1545" s="62" t="n">
        <f aca="false">IF(AND(Dashboard!$C$9="Yes",AC1545=1),0,1)</f>
        <v>1</v>
      </c>
      <c r="AF1545" s="62" t="n">
        <v>0</v>
      </c>
    </row>
    <row r="1546" customFormat="false" ht="15" hidden="false" customHeight="false" outlineLevel="0" collapsed="false">
      <c r="A1546" s="62" t="n">
        <v>1545</v>
      </c>
      <c r="B1546" s="63" t="n">
        <v>46271.2245138889</v>
      </c>
      <c r="C1546" s="64" t="n">
        <v>46270</v>
      </c>
      <c r="D1546" s="62" t="s">
        <v>358</v>
      </c>
      <c r="E1546" s="62" t="s">
        <v>144</v>
      </c>
      <c r="F1546" s="62" t="s">
        <v>144</v>
      </c>
      <c r="G1546" s="62" t="s">
        <v>145</v>
      </c>
      <c r="H1546" s="62" t="s">
        <v>59</v>
      </c>
      <c r="I1546" s="62" t="s">
        <v>47</v>
      </c>
      <c r="J1546" s="62" t="s">
        <v>146</v>
      </c>
      <c r="K1546" s="62" t="s">
        <v>147</v>
      </c>
      <c r="L1546" s="62" t="s">
        <v>148</v>
      </c>
      <c r="M1546" s="62" t="n">
        <v>0</v>
      </c>
      <c r="N1546" s="62" t="n">
        <v>2</v>
      </c>
      <c r="O1546" s="62" t="n">
        <v>2</v>
      </c>
      <c r="P1546" s="62" t="n">
        <v>1</v>
      </c>
      <c r="Q1546" s="62" t="n">
        <v>1</v>
      </c>
      <c r="R1546" s="62" t="n">
        <v>0</v>
      </c>
      <c r="S1546" s="62" t="n">
        <v>0</v>
      </c>
      <c r="T1546" s="62" t="n">
        <v>0</v>
      </c>
      <c r="U1546" s="62"/>
      <c r="V1546" s="62"/>
      <c r="W1546" s="62"/>
      <c r="X1546" s="62"/>
      <c r="Y1546" s="62"/>
      <c r="Z1546" s="62" t="s">
        <v>2889</v>
      </c>
      <c r="AA1546" s="62" t="s">
        <v>2890</v>
      </c>
      <c r="AB1546" s="62" t="n">
        <v>1</v>
      </c>
      <c r="AC1546" s="62" t="n">
        <v>1</v>
      </c>
      <c r="AD1546" s="62" t="n">
        <v>1</v>
      </c>
      <c r="AE1546" s="62" t="n">
        <f aca="false">IF(AND(Dashboard!$C$9="Yes",AC1546=1),0,1)</f>
        <v>0</v>
      </c>
      <c r="AF1546" s="62" t="n">
        <v>0</v>
      </c>
    </row>
    <row r="1547" customFormat="false" ht="15" hidden="false" customHeight="false" outlineLevel="0" collapsed="false">
      <c r="A1547" s="62" t="n">
        <v>1546</v>
      </c>
      <c r="B1547" s="63" t="n">
        <v>46271.2247916667</v>
      </c>
      <c r="C1547" s="64" t="n">
        <v>46270</v>
      </c>
      <c r="D1547" s="62" t="s">
        <v>358</v>
      </c>
      <c r="E1547" s="62" t="s">
        <v>144</v>
      </c>
      <c r="F1547" s="62" t="s">
        <v>144</v>
      </c>
      <c r="G1547" s="62" t="s">
        <v>145</v>
      </c>
      <c r="H1547" s="62" t="s">
        <v>59</v>
      </c>
      <c r="I1547" s="62" t="s">
        <v>47</v>
      </c>
      <c r="J1547" s="62" t="s">
        <v>146</v>
      </c>
      <c r="K1547" s="62" t="s">
        <v>147</v>
      </c>
      <c r="L1547" s="62" t="s">
        <v>148</v>
      </c>
      <c r="M1547" s="62" t="n">
        <v>0</v>
      </c>
      <c r="N1547" s="62" t="n">
        <v>2</v>
      </c>
      <c r="O1547" s="62" t="n">
        <v>2</v>
      </c>
      <c r="P1547" s="62" t="n">
        <v>1</v>
      </c>
      <c r="Q1547" s="62" t="n">
        <v>1</v>
      </c>
      <c r="R1547" s="62" t="n">
        <v>0</v>
      </c>
      <c r="S1547" s="62" t="n">
        <v>0</v>
      </c>
      <c r="T1547" s="62" t="n">
        <v>0</v>
      </c>
      <c r="U1547" s="62"/>
      <c r="V1547" s="62"/>
      <c r="W1547" s="62"/>
      <c r="X1547" s="62"/>
      <c r="Y1547" s="62"/>
      <c r="Z1547" s="62" t="s">
        <v>2889</v>
      </c>
      <c r="AA1547" s="62" t="s">
        <v>2889</v>
      </c>
      <c r="AB1547" s="62" t="n">
        <v>1</v>
      </c>
      <c r="AC1547" s="62" t="n">
        <v>0</v>
      </c>
      <c r="AD1547" s="62" t="n">
        <v>1</v>
      </c>
      <c r="AE1547" s="62" t="n">
        <f aca="false">IF(AND(Dashboard!$C$9="Yes",AC1547=1),0,1)</f>
        <v>1</v>
      </c>
      <c r="AF1547" s="62" t="n">
        <v>0</v>
      </c>
    </row>
    <row r="1548" customFormat="false" ht="15" hidden="false" customHeight="false" outlineLevel="0" collapsed="false">
      <c r="A1548" s="62" t="n">
        <v>1547</v>
      </c>
      <c r="B1548" s="63" t="n">
        <v>46271.2396064815</v>
      </c>
      <c r="C1548" s="64" t="n">
        <v>46270</v>
      </c>
      <c r="D1548" s="62" t="s">
        <v>358</v>
      </c>
      <c r="E1548" s="62" t="s">
        <v>144</v>
      </c>
      <c r="F1548" s="62" t="s">
        <v>144</v>
      </c>
      <c r="G1548" s="62" t="s">
        <v>145</v>
      </c>
      <c r="H1548" s="62" t="s">
        <v>59</v>
      </c>
      <c r="I1548" s="62" t="s">
        <v>47</v>
      </c>
      <c r="J1548" s="62" t="s">
        <v>146</v>
      </c>
      <c r="K1548" s="62" t="s">
        <v>147</v>
      </c>
      <c r="L1548" s="62" t="s">
        <v>148</v>
      </c>
      <c r="M1548" s="62" t="n">
        <v>0</v>
      </c>
      <c r="N1548" s="62" t="n">
        <v>1</v>
      </c>
      <c r="O1548" s="62" t="n">
        <v>1</v>
      </c>
      <c r="P1548" s="62" t="n">
        <v>1</v>
      </c>
      <c r="Q1548" s="62" t="n">
        <v>0</v>
      </c>
      <c r="R1548" s="62" t="n">
        <v>0</v>
      </c>
      <c r="S1548" s="62" t="n">
        <v>0</v>
      </c>
      <c r="T1548" s="62" t="n">
        <v>0</v>
      </c>
      <c r="U1548" s="62"/>
      <c r="V1548" s="62"/>
      <c r="W1548" s="62"/>
      <c r="X1548" s="62"/>
      <c r="Y1548" s="62"/>
      <c r="Z1548" s="62" t="s">
        <v>2891</v>
      </c>
      <c r="AA1548" s="62" t="s">
        <v>2891</v>
      </c>
      <c r="AB1548" s="62" t="n">
        <v>1</v>
      </c>
      <c r="AC1548" s="62" t="n">
        <v>0</v>
      </c>
      <c r="AD1548" s="62" t="n">
        <v>1</v>
      </c>
      <c r="AE1548" s="62" t="n">
        <f aca="false">IF(AND(Dashboard!$C$9="Yes",AC1548=1),0,1)</f>
        <v>1</v>
      </c>
      <c r="AF1548" s="62" t="n">
        <v>0</v>
      </c>
    </row>
    <row r="1549" customFormat="false" ht="15" hidden="false" customHeight="false" outlineLevel="0" collapsed="false">
      <c r="A1549" s="62" t="n">
        <v>1548</v>
      </c>
      <c r="B1549" s="63" t="n">
        <v>46271.2397685185</v>
      </c>
      <c r="C1549" s="64" t="n">
        <v>46270</v>
      </c>
      <c r="D1549" s="62" t="s">
        <v>358</v>
      </c>
      <c r="E1549" s="62" t="s">
        <v>144</v>
      </c>
      <c r="F1549" s="62" t="s">
        <v>144</v>
      </c>
      <c r="G1549" s="62" t="s">
        <v>145</v>
      </c>
      <c r="H1549" s="62" t="s">
        <v>59</v>
      </c>
      <c r="I1549" s="62" t="s">
        <v>47</v>
      </c>
      <c r="J1549" s="62" t="s">
        <v>146</v>
      </c>
      <c r="K1549" s="62" t="s">
        <v>147</v>
      </c>
      <c r="L1549" s="62" t="s">
        <v>148</v>
      </c>
      <c r="M1549" s="62" t="n">
        <v>0</v>
      </c>
      <c r="N1549" s="62" t="n">
        <v>1</v>
      </c>
      <c r="O1549" s="62" t="n">
        <v>1</v>
      </c>
      <c r="P1549" s="62" t="n">
        <v>1</v>
      </c>
      <c r="Q1549" s="62" t="n">
        <v>0</v>
      </c>
      <c r="R1549" s="62" t="n">
        <v>0</v>
      </c>
      <c r="S1549" s="62" t="n">
        <v>0</v>
      </c>
      <c r="T1549" s="62" t="n">
        <v>0</v>
      </c>
      <c r="U1549" s="62"/>
      <c r="V1549" s="62"/>
      <c r="W1549" s="62"/>
      <c r="X1549" s="62"/>
      <c r="Y1549" s="62"/>
      <c r="Z1549" s="62" t="s">
        <v>2891</v>
      </c>
      <c r="AA1549" s="62" t="s">
        <v>2891</v>
      </c>
      <c r="AB1549" s="62" t="n">
        <v>1</v>
      </c>
      <c r="AC1549" s="62" t="n">
        <v>1</v>
      </c>
      <c r="AD1549" s="62" t="n">
        <v>1</v>
      </c>
      <c r="AE1549" s="62" t="n">
        <f aca="false">IF(AND(Dashboard!$C$9="Yes",AC1549=1),0,1)</f>
        <v>0</v>
      </c>
      <c r="AF1549" s="62" t="n">
        <v>0</v>
      </c>
    </row>
    <row r="1550" customFormat="false" ht="15" hidden="false" customHeight="false" outlineLevel="0" collapsed="false">
      <c r="A1550" s="62" t="n">
        <v>1549</v>
      </c>
      <c r="B1550" s="63" t="n">
        <v>46271.2399421296</v>
      </c>
      <c r="C1550" s="64" t="n">
        <v>46270</v>
      </c>
      <c r="D1550" s="62" t="s">
        <v>358</v>
      </c>
      <c r="E1550" s="62" t="s">
        <v>144</v>
      </c>
      <c r="F1550" s="62" t="s">
        <v>144</v>
      </c>
      <c r="G1550" s="62" t="s">
        <v>145</v>
      </c>
      <c r="H1550" s="62" t="s">
        <v>59</v>
      </c>
      <c r="I1550" s="62" t="s">
        <v>47</v>
      </c>
      <c r="J1550" s="62" t="s">
        <v>146</v>
      </c>
      <c r="K1550" s="62" t="s">
        <v>147</v>
      </c>
      <c r="L1550" s="62" t="s">
        <v>148</v>
      </c>
      <c r="M1550" s="62" t="n">
        <v>0</v>
      </c>
      <c r="N1550" s="62" t="n">
        <v>1</v>
      </c>
      <c r="O1550" s="62" t="n">
        <v>1</v>
      </c>
      <c r="P1550" s="62" t="n">
        <v>1</v>
      </c>
      <c r="Q1550" s="62" t="n">
        <v>0</v>
      </c>
      <c r="R1550" s="62" t="n">
        <v>0</v>
      </c>
      <c r="S1550" s="62" t="n">
        <v>0</v>
      </c>
      <c r="T1550" s="62" t="n">
        <v>0</v>
      </c>
      <c r="U1550" s="62"/>
      <c r="V1550" s="62"/>
      <c r="W1550" s="62"/>
      <c r="X1550" s="62"/>
      <c r="Y1550" s="62"/>
      <c r="Z1550" s="62" t="s">
        <v>2891</v>
      </c>
      <c r="AA1550" s="62" t="s">
        <v>2891</v>
      </c>
      <c r="AB1550" s="62" t="n">
        <v>1</v>
      </c>
      <c r="AC1550" s="62" t="n">
        <v>1</v>
      </c>
      <c r="AD1550" s="62" t="n">
        <v>1</v>
      </c>
      <c r="AE1550" s="62" t="n">
        <f aca="false">IF(AND(Dashboard!$C$9="Yes",AC1550=1),0,1)</f>
        <v>0</v>
      </c>
      <c r="AF1550" s="62" t="n">
        <v>0</v>
      </c>
    </row>
    <row r="1551" customFormat="false" ht="15" hidden="false" customHeight="false" outlineLevel="0" collapsed="false">
      <c r="A1551" s="62" t="n">
        <v>1550</v>
      </c>
      <c r="B1551" s="63" t="n">
        <v>46271.2728935185</v>
      </c>
      <c r="C1551" s="64" t="n">
        <v>46270</v>
      </c>
      <c r="D1551" s="62" t="s">
        <v>358</v>
      </c>
      <c r="E1551" s="62" t="s">
        <v>790</v>
      </c>
      <c r="F1551" s="62" t="s">
        <v>791</v>
      </c>
      <c r="G1551" s="62" t="s">
        <v>153</v>
      </c>
      <c r="H1551" s="62" t="s">
        <v>153</v>
      </c>
      <c r="I1551" s="62" t="s">
        <v>153</v>
      </c>
      <c r="J1551" s="62" t="s">
        <v>64</v>
      </c>
      <c r="K1551" s="62" t="s">
        <v>64</v>
      </c>
      <c r="L1551" s="62" t="s">
        <v>4</v>
      </c>
      <c r="M1551" s="62" t="n">
        <v>1</v>
      </c>
      <c r="N1551" s="62" t="n">
        <v>0</v>
      </c>
      <c r="O1551" s="62" t="n">
        <v>1</v>
      </c>
      <c r="P1551" s="62" t="n">
        <v>0</v>
      </c>
      <c r="Q1551" s="62" t="n">
        <v>0</v>
      </c>
      <c r="R1551" s="62" t="n">
        <v>0</v>
      </c>
      <c r="S1551" s="62" t="n">
        <v>0</v>
      </c>
      <c r="T1551" s="62" t="n">
        <v>0</v>
      </c>
      <c r="U1551" s="62" t="s">
        <v>2056</v>
      </c>
      <c r="V1551" s="62" t="s">
        <v>2057</v>
      </c>
      <c r="W1551" s="62" t="s">
        <v>15</v>
      </c>
      <c r="X1551" s="62" t="s">
        <v>2058</v>
      </c>
      <c r="Y1551" s="62" t="s">
        <v>2059</v>
      </c>
      <c r="Z1551" s="62" t="s">
        <v>2892</v>
      </c>
      <c r="AA1551" s="62" t="s">
        <v>2893</v>
      </c>
      <c r="AB1551" s="62" t="n">
        <v>1</v>
      </c>
      <c r="AC1551" s="62" t="n">
        <v>0</v>
      </c>
      <c r="AD1551" s="62" t="n">
        <v>0</v>
      </c>
      <c r="AE1551" s="62" t="n">
        <f aca="false">IF(AND(Dashboard!$C$9="Yes",AC1551=1),0,1)</f>
        <v>1</v>
      </c>
      <c r="AF1551" s="62" t="n">
        <v>0</v>
      </c>
    </row>
    <row r="1552" customFormat="false" ht="15" hidden="false" customHeight="false" outlineLevel="0" collapsed="false">
      <c r="A1552" s="62" t="n">
        <v>1551</v>
      </c>
      <c r="B1552" s="63" t="n">
        <v>46271.2952777778</v>
      </c>
      <c r="C1552" s="64" t="n">
        <v>46270</v>
      </c>
      <c r="D1552" s="62" t="s">
        <v>358</v>
      </c>
      <c r="E1552" s="62" t="s">
        <v>518</v>
      </c>
      <c r="F1552" s="62" t="s">
        <v>518</v>
      </c>
      <c r="G1552" s="62" t="s">
        <v>519</v>
      </c>
      <c r="H1552" s="62" t="s">
        <v>52</v>
      </c>
      <c r="I1552" s="62" t="s">
        <v>47</v>
      </c>
      <c r="J1552" s="62" t="s">
        <v>146</v>
      </c>
      <c r="K1552" s="62" t="s">
        <v>147</v>
      </c>
      <c r="L1552" s="62" t="s">
        <v>148</v>
      </c>
      <c r="M1552" s="62" t="n">
        <v>0</v>
      </c>
      <c r="N1552" s="62" t="n">
        <v>1</v>
      </c>
      <c r="O1552" s="62" t="n">
        <v>1</v>
      </c>
      <c r="P1552" s="62" t="n">
        <v>0</v>
      </c>
      <c r="Q1552" s="62" t="n">
        <v>0</v>
      </c>
      <c r="R1552" s="62" t="n">
        <v>1</v>
      </c>
      <c r="S1552" s="62" t="n">
        <v>0</v>
      </c>
      <c r="T1552" s="62" t="n">
        <v>0</v>
      </c>
      <c r="U1552" s="62"/>
      <c r="V1552" s="62"/>
      <c r="W1552" s="62"/>
      <c r="X1552" s="62"/>
      <c r="Y1552" s="62"/>
      <c r="Z1552" s="62" t="s">
        <v>2894</v>
      </c>
      <c r="AA1552" s="62" t="s">
        <v>2895</v>
      </c>
      <c r="AB1552" s="62" t="n">
        <v>1</v>
      </c>
      <c r="AC1552" s="62" t="n">
        <v>0</v>
      </c>
      <c r="AD1552" s="62" t="n">
        <v>1</v>
      </c>
      <c r="AE1552" s="62" t="n">
        <f aca="false">IF(AND(Dashboard!$C$9="Yes",AC1552=1),0,1)</f>
        <v>1</v>
      </c>
      <c r="AF1552" s="62" t="n">
        <v>1</v>
      </c>
    </row>
    <row r="1553" customFormat="false" ht="15" hidden="false" customHeight="false" outlineLevel="0" collapsed="false">
      <c r="A1553" s="62" t="n">
        <v>1552</v>
      </c>
      <c r="B1553" s="63" t="n">
        <v>46271.295625</v>
      </c>
      <c r="C1553" s="64" t="n">
        <v>46270</v>
      </c>
      <c r="D1553" s="62" t="s">
        <v>358</v>
      </c>
      <c r="E1553" s="62" t="s">
        <v>518</v>
      </c>
      <c r="F1553" s="62" t="s">
        <v>518</v>
      </c>
      <c r="G1553" s="62" t="s">
        <v>519</v>
      </c>
      <c r="H1553" s="62" t="s">
        <v>52</v>
      </c>
      <c r="I1553" s="62" t="s">
        <v>47</v>
      </c>
      <c r="J1553" s="62" t="s">
        <v>146</v>
      </c>
      <c r="K1553" s="62" t="s">
        <v>147</v>
      </c>
      <c r="L1553" s="62" t="s">
        <v>148</v>
      </c>
      <c r="M1553" s="62" t="n">
        <v>0</v>
      </c>
      <c r="N1553" s="62" t="n">
        <v>1</v>
      </c>
      <c r="O1553" s="62" t="n">
        <v>1</v>
      </c>
      <c r="P1553" s="62" t="n">
        <v>0</v>
      </c>
      <c r="Q1553" s="62" t="n">
        <v>1</v>
      </c>
      <c r="R1553" s="62" t="n">
        <v>0</v>
      </c>
      <c r="S1553" s="62" t="n">
        <v>0</v>
      </c>
      <c r="T1553" s="62" t="n">
        <v>0</v>
      </c>
      <c r="U1553" s="62"/>
      <c r="V1553" s="62"/>
      <c r="W1553" s="62"/>
      <c r="X1553" s="62"/>
      <c r="Y1553" s="62"/>
      <c r="Z1553" s="62" t="s">
        <v>2894</v>
      </c>
      <c r="AA1553" s="62" t="s">
        <v>2896</v>
      </c>
      <c r="AB1553" s="62" t="n">
        <v>1</v>
      </c>
      <c r="AC1553" s="62" t="n">
        <v>0</v>
      </c>
      <c r="AD1553" s="62" t="n">
        <v>1</v>
      </c>
      <c r="AE1553" s="62" t="n">
        <f aca="false">IF(AND(Dashboard!$C$9="Yes",AC1553=1),0,1)</f>
        <v>1</v>
      </c>
      <c r="AF1553" s="62" t="n">
        <v>0</v>
      </c>
    </row>
    <row r="1554" customFormat="false" ht="15" hidden="false" customHeight="false" outlineLevel="0" collapsed="false">
      <c r="A1554" s="62" t="n">
        <v>1553</v>
      </c>
      <c r="B1554" s="63" t="n">
        <v>46271.6371759259</v>
      </c>
      <c r="C1554" s="64" t="n">
        <v>46271</v>
      </c>
      <c r="D1554" s="62" t="s">
        <v>393</v>
      </c>
      <c r="E1554" s="62" t="s">
        <v>2540</v>
      </c>
      <c r="F1554" s="62" t="s">
        <v>2540</v>
      </c>
      <c r="G1554" s="62" t="s">
        <v>2541</v>
      </c>
      <c r="H1554" s="62" t="s">
        <v>48</v>
      </c>
      <c r="I1554" s="62" t="s">
        <v>49</v>
      </c>
      <c r="J1554" s="62" t="s">
        <v>146</v>
      </c>
      <c r="K1554" s="62" t="s">
        <v>209</v>
      </c>
      <c r="L1554" s="62" t="s">
        <v>148</v>
      </c>
      <c r="M1554" s="62" t="n">
        <v>0</v>
      </c>
      <c r="N1554" s="62" t="n">
        <v>1</v>
      </c>
      <c r="O1554" s="62" t="n">
        <v>1</v>
      </c>
      <c r="P1554" s="62" t="n">
        <v>1</v>
      </c>
      <c r="Q1554" s="62" t="n">
        <v>0</v>
      </c>
      <c r="R1554" s="62" t="n">
        <v>0</v>
      </c>
      <c r="S1554" s="62" t="n">
        <v>0</v>
      </c>
      <c r="T1554" s="62" t="n">
        <v>0</v>
      </c>
      <c r="U1554" s="62"/>
      <c r="V1554" s="62"/>
      <c r="W1554" s="62"/>
      <c r="X1554" s="62"/>
      <c r="Y1554" s="62"/>
      <c r="Z1554" s="62" t="s">
        <v>2897</v>
      </c>
      <c r="AA1554" s="62" t="s">
        <v>2483</v>
      </c>
      <c r="AB1554" s="62" t="n">
        <v>1</v>
      </c>
      <c r="AC1554" s="62" t="n">
        <v>0</v>
      </c>
      <c r="AD1554" s="62" t="n">
        <v>1</v>
      </c>
      <c r="AE1554" s="62" t="n">
        <f aca="false">IF(AND(Dashboard!$C$9="Yes",AC1554=1),0,1)</f>
        <v>1</v>
      </c>
      <c r="AF1554" s="62" t="n">
        <v>1</v>
      </c>
    </row>
    <row r="1555" customFormat="false" ht="15" hidden="false" customHeight="false" outlineLevel="0" collapsed="false">
      <c r="A1555" s="62" t="n">
        <v>1554</v>
      </c>
      <c r="B1555" s="63" t="n">
        <v>46271.6816435185</v>
      </c>
      <c r="C1555" s="64" t="n">
        <v>46271</v>
      </c>
      <c r="D1555" s="62" t="s">
        <v>393</v>
      </c>
      <c r="E1555" s="62" t="s">
        <v>586</v>
      </c>
      <c r="F1555" s="62" t="s">
        <v>586</v>
      </c>
      <c r="G1555" s="62" t="s">
        <v>587</v>
      </c>
      <c r="H1555" s="62" t="s">
        <v>57</v>
      </c>
      <c r="I1555" s="62" t="s">
        <v>47</v>
      </c>
      <c r="J1555" s="62" t="s">
        <v>146</v>
      </c>
      <c r="K1555" s="62" t="s">
        <v>175</v>
      </c>
      <c r="L1555" s="62" t="s">
        <v>148</v>
      </c>
      <c r="M1555" s="62" t="n">
        <v>0</v>
      </c>
      <c r="N1555" s="62" t="n">
        <v>1</v>
      </c>
      <c r="O1555" s="62" t="n">
        <v>1</v>
      </c>
      <c r="P1555" s="62" t="n">
        <v>0</v>
      </c>
      <c r="Q1555" s="62" t="n">
        <v>0</v>
      </c>
      <c r="R1555" s="62" t="n">
        <v>1</v>
      </c>
      <c r="S1555" s="62" t="n">
        <v>0</v>
      </c>
      <c r="T1555" s="62" t="n">
        <v>0</v>
      </c>
      <c r="U1555" s="62"/>
      <c r="V1555" s="62"/>
      <c r="W1555" s="62"/>
      <c r="X1555" s="62"/>
      <c r="Y1555" s="62"/>
      <c r="Z1555" s="62" t="s">
        <v>2898</v>
      </c>
      <c r="AA1555" s="62" t="s">
        <v>2899</v>
      </c>
      <c r="AB1555" s="62" t="n">
        <v>1</v>
      </c>
      <c r="AC1555" s="62" t="n">
        <v>0</v>
      </c>
      <c r="AD1555" s="62" t="n">
        <v>1</v>
      </c>
      <c r="AE1555" s="62" t="n">
        <f aca="false">IF(AND(Dashboard!$C$9="Yes",AC1555=1),0,1)</f>
        <v>1</v>
      </c>
      <c r="AF1555" s="62" t="n">
        <v>1</v>
      </c>
    </row>
    <row r="1556" customFormat="false" ht="15" hidden="false" customHeight="false" outlineLevel="0" collapsed="false">
      <c r="A1556" s="62" t="n">
        <v>1555</v>
      </c>
      <c r="B1556" s="63" t="n">
        <v>46271.7165393519</v>
      </c>
      <c r="C1556" s="64" t="n">
        <v>46271</v>
      </c>
      <c r="D1556" s="62" t="s">
        <v>393</v>
      </c>
      <c r="E1556" s="62" t="s">
        <v>2228</v>
      </c>
      <c r="F1556" s="62" t="s">
        <v>2228</v>
      </c>
      <c r="G1556" s="62" t="s">
        <v>2229</v>
      </c>
      <c r="H1556" s="62" t="s">
        <v>58</v>
      </c>
      <c r="I1556" s="62" t="s">
        <v>49</v>
      </c>
      <c r="J1556" s="62" t="s">
        <v>146</v>
      </c>
      <c r="K1556" s="62" t="s">
        <v>209</v>
      </c>
      <c r="L1556" s="62" t="s">
        <v>148</v>
      </c>
      <c r="M1556" s="62" t="n">
        <v>0</v>
      </c>
      <c r="N1556" s="62" t="n">
        <v>1</v>
      </c>
      <c r="O1556" s="62" t="n">
        <v>1</v>
      </c>
      <c r="P1556" s="62" t="n">
        <v>0</v>
      </c>
      <c r="Q1556" s="62" t="n">
        <v>1</v>
      </c>
      <c r="R1556" s="62" t="n">
        <v>0</v>
      </c>
      <c r="S1556" s="62" t="n">
        <v>0</v>
      </c>
      <c r="T1556" s="62" t="n">
        <v>0</v>
      </c>
      <c r="U1556" s="62"/>
      <c r="V1556" s="62"/>
      <c r="W1556" s="62"/>
      <c r="X1556" s="62"/>
      <c r="Y1556" s="62"/>
      <c r="Z1556" s="62" t="s">
        <v>2900</v>
      </c>
      <c r="AA1556" s="62" t="s">
        <v>2901</v>
      </c>
      <c r="AB1556" s="62" t="n">
        <v>1</v>
      </c>
      <c r="AC1556" s="62" t="n">
        <v>0</v>
      </c>
      <c r="AD1556" s="62" t="n">
        <v>1</v>
      </c>
      <c r="AE1556" s="62" t="n">
        <f aca="false">IF(AND(Dashboard!$C$9="Yes",AC1556=1),0,1)</f>
        <v>1</v>
      </c>
      <c r="AF1556" s="62" t="n">
        <v>1</v>
      </c>
    </row>
    <row r="1557" customFormat="false" ht="15" hidden="false" customHeight="false" outlineLevel="0" collapsed="false">
      <c r="A1557" s="62" t="n">
        <v>1556</v>
      </c>
      <c r="B1557" s="63" t="n">
        <v>46271.7168287037</v>
      </c>
      <c r="C1557" s="64" t="n">
        <v>46271</v>
      </c>
      <c r="D1557" s="62" t="s">
        <v>393</v>
      </c>
      <c r="E1557" s="62" t="s">
        <v>2228</v>
      </c>
      <c r="F1557" s="62" t="s">
        <v>2228</v>
      </c>
      <c r="G1557" s="62" t="s">
        <v>2229</v>
      </c>
      <c r="H1557" s="62" t="s">
        <v>58</v>
      </c>
      <c r="I1557" s="62" t="s">
        <v>49</v>
      </c>
      <c r="J1557" s="62" t="s">
        <v>146</v>
      </c>
      <c r="K1557" s="62" t="s">
        <v>209</v>
      </c>
      <c r="L1557" s="62" t="s">
        <v>148</v>
      </c>
      <c r="M1557" s="62" t="n">
        <v>0</v>
      </c>
      <c r="N1557" s="62" t="n">
        <v>1</v>
      </c>
      <c r="O1557" s="62" t="n">
        <v>1</v>
      </c>
      <c r="P1557" s="62" t="n">
        <v>0</v>
      </c>
      <c r="Q1557" s="62" t="n">
        <v>1</v>
      </c>
      <c r="R1557" s="62" t="n">
        <v>0</v>
      </c>
      <c r="S1557" s="62" t="n">
        <v>0</v>
      </c>
      <c r="T1557" s="62" t="n">
        <v>0</v>
      </c>
      <c r="U1557" s="62"/>
      <c r="V1557" s="62"/>
      <c r="W1557" s="62"/>
      <c r="X1557" s="62"/>
      <c r="Y1557" s="62"/>
      <c r="Z1557" s="62" t="s">
        <v>2902</v>
      </c>
      <c r="AA1557" s="62" t="s">
        <v>2903</v>
      </c>
      <c r="AB1557" s="62" t="n">
        <v>1</v>
      </c>
      <c r="AC1557" s="62" t="n">
        <v>0</v>
      </c>
      <c r="AD1557" s="62" t="n">
        <v>1</v>
      </c>
      <c r="AE1557" s="62" t="n">
        <f aca="false">IF(AND(Dashboard!$C$9="Yes",AC1557=1),0,1)</f>
        <v>1</v>
      </c>
      <c r="AF1557" s="62" t="n">
        <v>0</v>
      </c>
    </row>
    <row r="1558" customFormat="false" ht="15" hidden="false" customHeight="false" outlineLevel="0" collapsed="false">
      <c r="A1558" s="62" t="n">
        <v>1557</v>
      </c>
      <c r="B1558" s="63" t="n">
        <v>46271.7697453704</v>
      </c>
      <c r="C1558" s="64" t="n">
        <v>46271</v>
      </c>
      <c r="D1558" s="62" t="s">
        <v>393</v>
      </c>
      <c r="E1558" s="62" t="s">
        <v>212</v>
      </c>
      <c r="F1558" s="62" t="s">
        <v>212</v>
      </c>
      <c r="G1558" s="62" t="s">
        <v>213</v>
      </c>
      <c r="H1558" s="62" t="s">
        <v>58</v>
      </c>
      <c r="I1558" s="62" t="s">
        <v>49</v>
      </c>
      <c r="J1558" s="62" t="s">
        <v>146</v>
      </c>
      <c r="K1558" s="62" t="s">
        <v>175</v>
      </c>
      <c r="L1558" s="62" t="s">
        <v>148</v>
      </c>
      <c r="M1558" s="62" t="n">
        <v>0</v>
      </c>
      <c r="N1558" s="62" t="n">
        <v>1</v>
      </c>
      <c r="O1558" s="62" t="n">
        <v>1</v>
      </c>
      <c r="P1558" s="62" t="n">
        <v>1</v>
      </c>
      <c r="Q1558" s="62" t="n">
        <v>0</v>
      </c>
      <c r="R1558" s="62" t="n">
        <v>0</v>
      </c>
      <c r="S1558" s="62" t="n">
        <v>0</v>
      </c>
      <c r="T1558" s="62" t="n">
        <v>0</v>
      </c>
      <c r="U1558" s="62"/>
      <c r="V1558" s="62"/>
      <c r="W1558" s="62"/>
      <c r="X1558" s="62"/>
      <c r="Y1558" s="62"/>
      <c r="Z1558" s="62" t="s">
        <v>2904</v>
      </c>
      <c r="AA1558" s="62" t="s">
        <v>2905</v>
      </c>
      <c r="AB1558" s="62" t="n">
        <v>1</v>
      </c>
      <c r="AC1558" s="62" t="n">
        <v>0</v>
      </c>
      <c r="AD1558" s="62" t="n">
        <v>1</v>
      </c>
      <c r="AE1558" s="62" t="n">
        <f aca="false">IF(AND(Dashboard!$C$9="Yes",AC1558=1),0,1)</f>
        <v>1</v>
      </c>
      <c r="AF1558" s="62" t="n">
        <v>1</v>
      </c>
    </row>
    <row r="1559" customFormat="false" ht="15" hidden="false" customHeight="false" outlineLevel="0" collapsed="false">
      <c r="A1559" s="62" t="n">
        <v>1558</v>
      </c>
      <c r="B1559" s="63" t="n">
        <v>46271.7823958333</v>
      </c>
      <c r="C1559" s="64" t="n">
        <v>46271</v>
      </c>
      <c r="D1559" s="62" t="s">
        <v>393</v>
      </c>
      <c r="E1559" s="62" t="s">
        <v>2620</v>
      </c>
      <c r="F1559" s="62" t="s">
        <v>2620</v>
      </c>
      <c r="G1559" s="62" t="s">
        <v>2621</v>
      </c>
      <c r="H1559" s="62" t="s">
        <v>48</v>
      </c>
      <c r="I1559" s="62" t="s">
        <v>49</v>
      </c>
      <c r="J1559" s="62" t="s">
        <v>146</v>
      </c>
      <c r="K1559" s="62" t="s">
        <v>209</v>
      </c>
      <c r="L1559" s="62" t="s">
        <v>4</v>
      </c>
      <c r="M1559" s="62" t="n">
        <v>1</v>
      </c>
      <c r="N1559" s="62" t="n">
        <v>0</v>
      </c>
      <c r="O1559" s="62" t="n">
        <v>1</v>
      </c>
      <c r="P1559" s="62" t="n">
        <v>0</v>
      </c>
      <c r="Q1559" s="62" t="n">
        <v>0</v>
      </c>
      <c r="R1559" s="62" t="n">
        <v>0</v>
      </c>
      <c r="S1559" s="62" t="n">
        <v>0</v>
      </c>
      <c r="T1559" s="62" t="n">
        <v>0</v>
      </c>
      <c r="U1559" s="62" t="s">
        <v>2056</v>
      </c>
      <c r="V1559" s="62" t="s">
        <v>2057</v>
      </c>
      <c r="W1559" s="62" t="s">
        <v>15</v>
      </c>
      <c r="X1559" s="62" t="s">
        <v>2058</v>
      </c>
      <c r="Y1559" s="62" t="s">
        <v>2059</v>
      </c>
      <c r="Z1559" s="62" t="s">
        <v>2906</v>
      </c>
      <c r="AA1559" s="62" t="s">
        <v>2907</v>
      </c>
      <c r="AB1559" s="62" t="n">
        <v>1</v>
      </c>
      <c r="AC1559" s="62" t="n">
        <v>0</v>
      </c>
      <c r="AD1559" s="62" t="n">
        <v>1</v>
      </c>
      <c r="AE1559" s="62" t="n">
        <f aca="false">IF(AND(Dashboard!$C$9="Yes",AC1559=1),0,1)</f>
        <v>1</v>
      </c>
      <c r="AF1559" s="62" t="n">
        <v>1</v>
      </c>
    </row>
    <row r="1560" customFormat="false" ht="15" hidden="false" customHeight="false" outlineLevel="0" collapsed="false">
      <c r="A1560" s="62" t="n">
        <v>1559</v>
      </c>
      <c r="B1560" s="63" t="n">
        <v>46271.7954976852</v>
      </c>
      <c r="C1560" s="64" t="n">
        <v>46271</v>
      </c>
      <c r="D1560" s="62" t="s">
        <v>393</v>
      </c>
      <c r="E1560" s="62" t="s">
        <v>2228</v>
      </c>
      <c r="F1560" s="62" t="s">
        <v>2228</v>
      </c>
      <c r="G1560" s="62" t="s">
        <v>2229</v>
      </c>
      <c r="H1560" s="62" t="s">
        <v>58</v>
      </c>
      <c r="I1560" s="62" t="s">
        <v>49</v>
      </c>
      <c r="J1560" s="62" t="s">
        <v>146</v>
      </c>
      <c r="K1560" s="62" t="s">
        <v>209</v>
      </c>
      <c r="L1560" s="62" t="s">
        <v>148</v>
      </c>
      <c r="M1560" s="62" t="n">
        <v>0</v>
      </c>
      <c r="N1560" s="62" t="n">
        <v>2</v>
      </c>
      <c r="O1560" s="62" t="n">
        <v>2</v>
      </c>
      <c r="P1560" s="62" t="n">
        <v>1</v>
      </c>
      <c r="Q1560" s="62" t="n">
        <v>1</v>
      </c>
      <c r="R1560" s="62" t="n">
        <v>0</v>
      </c>
      <c r="S1560" s="62" t="n">
        <v>0</v>
      </c>
      <c r="T1560" s="62" t="n">
        <v>0</v>
      </c>
      <c r="U1560" s="62"/>
      <c r="V1560" s="62"/>
      <c r="W1560" s="62"/>
      <c r="X1560" s="62"/>
      <c r="Y1560" s="62"/>
      <c r="Z1560" s="62" t="s">
        <v>2908</v>
      </c>
      <c r="AA1560" s="62" t="s">
        <v>2909</v>
      </c>
      <c r="AB1560" s="62" t="n">
        <v>1</v>
      </c>
      <c r="AC1560" s="62" t="n">
        <v>0</v>
      </c>
      <c r="AD1560" s="62" t="n">
        <v>1</v>
      </c>
      <c r="AE1560" s="62" t="n">
        <f aca="false">IF(AND(Dashboard!$C$9="Yes",AC1560=1),0,1)</f>
        <v>1</v>
      </c>
      <c r="AF1560" s="62" t="n">
        <v>0</v>
      </c>
    </row>
    <row r="1561" customFormat="false" ht="15" hidden="false" customHeight="false" outlineLevel="0" collapsed="false">
      <c r="A1561" s="62" t="n">
        <v>1560</v>
      </c>
      <c r="B1561" s="63" t="n">
        <v>46271.806087963</v>
      </c>
      <c r="C1561" s="64" t="n">
        <v>46271</v>
      </c>
      <c r="D1561" s="62" t="s">
        <v>393</v>
      </c>
      <c r="E1561" s="62" t="s">
        <v>2910</v>
      </c>
      <c r="F1561" s="62" t="s">
        <v>2910</v>
      </c>
      <c r="G1561" s="62" t="s">
        <v>2911</v>
      </c>
      <c r="H1561" s="62" t="s">
        <v>48</v>
      </c>
      <c r="I1561" s="62" t="s">
        <v>49</v>
      </c>
      <c r="J1561" s="62" t="s">
        <v>146</v>
      </c>
      <c r="K1561" s="62" t="s">
        <v>209</v>
      </c>
      <c r="L1561" s="62" t="s">
        <v>148</v>
      </c>
      <c r="M1561" s="62" t="n">
        <v>0</v>
      </c>
      <c r="N1561" s="62" t="n">
        <v>1</v>
      </c>
      <c r="O1561" s="62" t="n">
        <v>1</v>
      </c>
      <c r="P1561" s="62" t="n">
        <v>1</v>
      </c>
      <c r="Q1561" s="62" t="n">
        <v>0</v>
      </c>
      <c r="R1561" s="62" t="n">
        <v>0</v>
      </c>
      <c r="S1561" s="62" t="n">
        <v>0</v>
      </c>
      <c r="T1561" s="62" t="n">
        <v>0</v>
      </c>
      <c r="U1561" s="62"/>
      <c r="V1561" s="62"/>
      <c r="W1561" s="62"/>
      <c r="X1561" s="62"/>
      <c r="Y1561" s="62"/>
      <c r="Z1561" s="62" t="s">
        <v>2912</v>
      </c>
      <c r="AA1561" s="62" t="s">
        <v>237</v>
      </c>
      <c r="AB1561" s="62" t="n">
        <v>0</v>
      </c>
      <c r="AC1561" s="62" t="n">
        <v>0</v>
      </c>
      <c r="AD1561" s="62" t="n">
        <v>1</v>
      </c>
      <c r="AE1561" s="62" t="n">
        <f aca="false">IF(AND(Dashboard!$C$9="Yes",AC1561=1),0,1)</f>
        <v>1</v>
      </c>
      <c r="AF1561" s="62" t="n">
        <v>1</v>
      </c>
    </row>
    <row r="1562" customFormat="false" ht="15" hidden="false" customHeight="false" outlineLevel="0" collapsed="false">
      <c r="A1562" s="62" t="n">
        <v>1561</v>
      </c>
      <c r="B1562" s="63" t="n">
        <v>46271.8080324074</v>
      </c>
      <c r="C1562" s="64" t="n">
        <v>46271</v>
      </c>
      <c r="D1562" s="62" t="s">
        <v>393</v>
      </c>
      <c r="E1562" s="62" t="s">
        <v>212</v>
      </c>
      <c r="F1562" s="62" t="s">
        <v>212</v>
      </c>
      <c r="G1562" s="62" t="s">
        <v>213</v>
      </c>
      <c r="H1562" s="62" t="s">
        <v>58</v>
      </c>
      <c r="I1562" s="62" t="s">
        <v>49</v>
      </c>
      <c r="J1562" s="62" t="s">
        <v>146</v>
      </c>
      <c r="K1562" s="62" t="s">
        <v>175</v>
      </c>
      <c r="L1562" s="62" t="s">
        <v>4</v>
      </c>
      <c r="M1562" s="62" t="n">
        <v>1</v>
      </c>
      <c r="N1562" s="62" t="n">
        <v>0</v>
      </c>
      <c r="O1562" s="62" t="n">
        <v>1</v>
      </c>
      <c r="P1562" s="62" t="n">
        <v>0</v>
      </c>
      <c r="Q1562" s="62" t="n">
        <v>0</v>
      </c>
      <c r="R1562" s="62" t="n">
        <v>0</v>
      </c>
      <c r="S1562" s="62" t="n">
        <v>0</v>
      </c>
      <c r="T1562" s="62" t="n">
        <v>0</v>
      </c>
      <c r="U1562" s="62" t="s">
        <v>2056</v>
      </c>
      <c r="V1562" s="62" t="s">
        <v>2057</v>
      </c>
      <c r="W1562" s="62" t="s">
        <v>15</v>
      </c>
      <c r="X1562" s="62" t="s">
        <v>2058</v>
      </c>
      <c r="Y1562" s="62" t="s">
        <v>2059</v>
      </c>
      <c r="Z1562" s="62" t="s">
        <v>2904</v>
      </c>
      <c r="AA1562" s="62" t="s">
        <v>2913</v>
      </c>
      <c r="AB1562" s="62" t="n">
        <v>1</v>
      </c>
      <c r="AC1562" s="62" t="n">
        <v>0</v>
      </c>
      <c r="AD1562" s="62" t="n">
        <v>1</v>
      </c>
      <c r="AE1562" s="62" t="n">
        <f aca="false">IF(AND(Dashboard!$C$9="Yes",AC1562=1),0,1)</f>
        <v>1</v>
      </c>
      <c r="AF1562" s="62" t="n">
        <v>0</v>
      </c>
    </row>
    <row r="1563" customFormat="false" ht="15" hidden="false" customHeight="false" outlineLevel="0" collapsed="false">
      <c r="A1563" s="62" t="n">
        <v>1562</v>
      </c>
      <c r="B1563" s="63" t="n">
        <v>46271.8267708333</v>
      </c>
      <c r="C1563" s="64" t="n">
        <v>46271</v>
      </c>
      <c r="D1563" s="62" t="s">
        <v>393</v>
      </c>
      <c r="E1563" s="62" t="s">
        <v>212</v>
      </c>
      <c r="F1563" s="62" t="s">
        <v>212</v>
      </c>
      <c r="G1563" s="62" t="s">
        <v>213</v>
      </c>
      <c r="H1563" s="62" t="s">
        <v>58</v>
      </c>
      <c r="I1563" s="62" t="s">
        <v>49</v>
      </c>
      <c r="J1563" s="62" t="s">
        <v>146</v>
      </c>
      <c r="K1563" s="62" t="s">
        <v>175</v>
      </c>
      <c r="L1563" s="62" t="s">
        <v>4</v>
      </c>
      <c r="M1563" s="62" t="n">
        <v>1</v>
      </c>
      <c r="N1563" s="62" t="n">
        <v>0</v>
      </c>
      <c r="O1563" s="62" t="n">
        <v>1</v>
      </c>
      <c r="P1563" s="62" t="n">
        <v>0</v>
      </c>
      <c r="Q1563" s="62" t="n">
        <v>0</v>
      </c>
      <c r="R1563" s="62" t="n">
        <v>0</v>
      </c>
      <c r="S1563" s="62" t="n">
        <v>0</v>
      </c>
      <c r="T1563" s="62" t="n">
        <v>0</v>
      </c>
      <c r="U1563" s="62" t="s">
        <v>2056</v>
      </c>
      <c r="V1563" s="62" t="s">
        <v>2057</v>
      </c>
      <c r="W1563" s="62" t="s">
        <v>15</v>
      </c>
      <c r="X1563" s="62" t="s">
        <v>2125</v>
      </c>
      <c r="Y1563" s="62" t="s">
        <v>2059</v>
      </c>
      <c r="Z1563" s="62" t="s">
        <v>2914</v>
      </c>
      <c r="AA1563" s="62" t="s">
        <v>2915</v>
      </c>
      <c r="AB1563" s="62" t="n">
        <v>1</v>
      </c>
      <c r="AC1563" s="62" t="n">
        <v>0</v>
      </c>
      <c r="AD1563" s="62" t="n">
        <v>1</v>
      </c>
      <c r="AE1563" s="62" t="n">
        <f aca="false">IF(AND(Dashboard!$C$9="Yes",AC1563=1),0,1)</f>
        <v>1</v>
      </c>
      <c r="AF1563" s="62" t="n">
        <v>0</v>
      </c>
    </row>
    <row r="1564" customFormat="false" ht="15" hidden="false" customHeight="false" outlineLevel="0" collapsed="false">
      <c r="A1564" s="62" t="n">
        <v>1563</v>
      </c>
      <c r="B1564" s="63" t="n">
        <v>46271.8291435185</v>
      </c>
      <c r="C1564" s="64" t="n">
        <v>46271</v>
      </c>
      <c r="D1564" s="62" t="s">
        <v>393</v>
      </c>
      <c r="E1564" s="62" t="s">
        <v>2540</v>
      </c>
      <c r="F1564" s="62" t="s">
        <v>2540</v>
      </c>
      <c r="G1564" s="62" t="s">
        <v>2541</v>
      </c>
      <c r="H1564" s="62" t="s">
        <v>48</v>
      </c>
      <c r="I1564" s="62" t="s">
        <v>49</v>
      </c>
      <c r="J1564" s="62" t="s">
        <v>146</v>
      </c>
      <c r="K1564" s="62" t="s">
        <v>209</v>
      </c>
      <c r="L1564" s="62" t="s">
        <v>148</v>
      </c>
      <c r="M1564" s="62" t="n">
        <v>0</v>
      </c>
      <c r="N1564" s="62" t="n">
        <v>1</v>
      </c>
      <c r="O1564" s="62" t="n">
        <v>1</v>
      </c>
      <c r="P1564" s="62" t="n">
        <v>1</v>
      </c>
      <c r="Q1564" s="62" t="n">
        <v>0</v>
      </c>
      <c r="R1564" s="62" t="n">
        <v>0</v>
      </c>
      <c r="S1564" s="62" t="n">
        <v>0</v>
      </c>
      <c r="T1564" s="62" t="n">
        <v>0</v>
      </c>
      <c r="U1564" s="62"/>
      <c r="V1564" s="62"/>
      <c r="W1564" s="62"/>
      <c r="X1564" s="62"/>
      <c r="Y1564" s="62"/>
      <c r="Z1564" s="62" t="s">
        <v>2916</v>
      </c>
      <c r="AA1564" s="62" t="s">
        <v>237</v>
      </c>
      <c r="AB1564" s="62" t="n">
        <v>0</v>
      </c>
      <c r="AC1564" s="62" t="n">
        <v>0</v>
      </c>
      <c r="AD1564" s="62" t="n">
        <v>1</v>
      </c>
      <c r="AE1564" s="62" t="n">
        <f aca="false">IF(AND(Dashboard!$C$9="Yes",AC1564=1),0,1)</f>
        <v>1</v>
      </c>
      <c r="AF1564" s="62" t="n">
        <v>0</v>
      </c>
    </row>
    <row r="1565" customFormat="false" ht="15" hidden="false" customHeight="false" outlineLevel="0" collapsed="false">
      <c r="A1565" s="62" t="n">
        <v>1564</v>
      </c>
      <c r="B1565" s="63" t="n">
        <v>46271.845787037</v>
      </c>
      <c r="C1565" s="64" t="n">
        <v>46271</v>
      </c>
      <c r="D1565" s="62" t="s">
        <v>393</v>
      </c>
      <c r="E1565" s="62" t="s">
        <v>2464</v>
      </c>
      <c r="F1565" s="62" t="s">
        <v>2464</v>
      </c>
      <c r="G1565" s="62" t="s">
        <v>2465</v>
      </c>
      <c r="H1565" s="62" t="s">
        <v>59</v>
      </c>
      <c r="I1565" s="62" t="s">
        <v>47</v>
      </c>
      <c r="J1565" s="62" t="s">
        <v>146</v>
      </c>
      <c r="K1565" s="62" t="s">
        <v>175</v>
      </c>
      <c r="L1565" s="62" t="s">
        <v>148</v>
      </c>
      <c r="M1565" s="62" t="n">
        <v>0</v>
      </c>
      <c r="N1565" s="62" t="n">
        <v>1</v>
      </c>
      <c r="O1565" s="62" t="n">
        <v>1</v>
      </c>
      <c r="P1565" s="62" t="n">
        <v>1</v>
      </c>
      <c r="Q1565" s="62" t="n">
        <v>0</v>
      </c>
      <c r="R1565" s="62" t="n">
        <v>0</v>
      </c>
      <c r="S1565" s="62" t="n">
        <v>0</v>
      </c>
      <c r="T1565" s="62" t="n">
        <v>0</v>
      </c>
      <c r="U1565" s="62"/>
      <c r="V1565" s="62"/>
      <c r="W1565" s="62"/>
      <c r="X1565" s="62"/>
      <c r="Y1565" s="62"/>
      <c r="Z1565" s="62" t="s">
        <v>2917</v>
      </c>
      <c r="AA1565" s="62" t="s">
        <v>2918</v>
      </c>
      <c r="AB1565" s="62" t="n">
        <v>1</v>
      </c>
      <c r="AC1565" s="62" t="n">
        <v>0</v>
      </c>
      <c r="AD1565" s="62" t="n">
        <v>1</v>
      </c>
      <c r="AE1565" s="62" t="n">
        <f aca="false">IF(AND(Dashboard!$C$9="Yes",AC1565=1),0,1)</f>
        <v>1</v>
      </c>
      <c r="AF1565" s="62" t="n">
        <v>1</v>
      </c>
    </row>
    <row r="1566" customFormat="false" ht="15" hidden="false" customHeight="false" outlineLevel="0" collapsed="false">
      <c r="A1566" s="62" t="n">
        <v>1565</v>
      </c>
      <c r="B1566" s="63" t="n">
        <v>46271.9099305556</v>
      </c>
      <c r="C1566" s="64" t="n">
        <v>46271</v>
      </c>
      <c r="D1566" s="62" t="s">
        <v>393</v>
      </c>
      <c r="E1566" s="62" t="s">
        <v>212</v>
      </c>
      <c r="F1566" s="62" t="s">
        <v>212</v>
      </c>
      <c r="G1566" s="62" t="s">
        <v>213</v>
      </c>
      <c r="H1566" s="62" t="s">
        <v>58</v>
      </c>
      <c r="I1566" s="62" t="s">
        <v>49</v>
      </c>
      <c r="J1566" s="62" t="s">
        <v>146</v>
      </c>
      <c r="K1566" s="62" t="s">
        <v>175</v>
      </c>
      <c r="L1566" s="62" t="s">
        <v>148</v>
      </c>
      <c r="M1566" s="62" t="n">
        <v>0</v>
      </c>
      <c r="N1566" s="62" t="n">
        <v>2</v>
      </c>
      <c r="O1566" s="62" t="n">
        <v>2</v>
      </c>
      <c r="P1566" s="62" t="n">
        <v>1</v>
      </c>
      <c r="Q1566" s="62" t="n">
        <v>1</v>
      </c>
      <c r="R1566" s="62" t="n">
        <v>0</v>
      </c>
      <c r="S1566" s="62" t="n">
        <v>0</v>
      </c>
      <c r="T1566" s="62" t="n">
        <v>0</v>
      </c>
      <c r="U1566" s="62"/>
      <c r="V1566" s="62"/>
      <c r="W1566" s="62"/>
      <c r="X1566" s="62"/>
      <c r="Y1566" s="62"/>
      <c r="Z1566" s="62" t="s">
        <v>2919</v>
      </c>
      <c r="AA1566" s="62" t="s">
        <v>2920</v>
      </c>
      <c r="AB1566" s="62" t="n">
        <v>1</v>
      </c>
      <c r="AC1566" s="62" t="n">
        <v>0</v>
      </c>
      <c r="AD1566" s="62" t="n">
        <v>1</v>
      </c>
      <c r="AE1566" s="62" t="n">
        <f aca="false">IF(AND(Dashboard!$C$9="Yes",AC1566=1),0,1)</f>
        <v>1</v>
      </c>
      <c r="AF1566" s="62" t="n">
        <v>0</v>
      </c>
    </row>
    <row r="1567" customFormat="false" ht="15" hidden="false" customHeight="false" outlineLevel="0" collapsed="false">
      <c r="A1567" s="62" t="n">
        <v>1566</v>
      </c>
      <c r="B1567" s="63" t="n">
        <v>46271.9146875</v>
      </c>
      <c r="C1567" s="64" t="n">
        <v>46271</v>
      </c>
      <c r="D1567" s="62" t="s">
        <v>393</v>
      </c>
      <c r="E1567" s="62" t="s">
        <v>2910</v>
      </c>
      <c r="F1567" s="62" t="s">
        <v>2910</v>
      </c>
      <c r="G1567" s="62" t="s">
        <v>2911</v>
      </c>
      <c r="H1567" s="62" t="s">
        <v>48</v>
      </c>
      <c r="I1567" s="62" t="s">
        <v>49</v>
      </c>
      <c r="J1567" s="62" t="s">
        <v>146</v>
      </c>
      <c r="K1567" s="62" t="s">
        <v>209</v>
      </c>
      <c r="L1567" s="62" t="s">
        <v>4</v>
      </c>
      <c r="M1567" s="62" t="n">
        <v>1</v>
      </c>
      <c r="N1567" s="62" t="n">
        <v>0</v>
      </c>
      <c r="O1567" s="62" t="n">
        <v>1</v>
      </c>
      <c r="P1567" s="62" t="n">
        <v>0</v>
      </c>
      <c r="Q1567" s="62" t="n">
        <v>0</v>
      </c>
      <c r="R1567" s="62" t="n">
        <v>0</v>
      </c>
      <c r="S1567" s="62" t="n">
        <v>0</v>
      </c>
      <c r="T1567" s="62" t="n">
        <v>0</v>
      </c>
      <c r="U1567" s="62" t="s">
        <v>2056</v>
      </c>
      <c r="V1567" s="62" t="s">
        <v>2057</v>
      </c>
      <c r="W1567" s="62" t="s">
        <v>15</v>
      </c>
      <c r="X1567" s="62" t="s">
        <v>2180</v>
      </c>
      <c r="Y1567" s="62" t="s">
        <v>2059</v>
      </c>
      <c r="Z1567" s="62" t="s">
        <v>2921</v>
      </c>
      <c r="AA1567" s="62" t="s">
        <v>2922</v>
      </c>
      <c r="AB1567" s="62" t="n">
        <v>1</v>
      </c>
      <c r="AC1567" s="62" t="n">
        <v>0</v>
      </c>
      <c r="AD1567" s="62" t="n">
        <v>1</v>
      </c>
      <c r="AE1567" s="62" t="n">
        <f aca="false">IF(AND(Dashboard!$C$9="Yes",AC1567=1),0,1)</f>
        <v>1</v>
      </c>
      <c r="AF1567" s="62" t="n">
        <v>0</v>
      </c>
    </row>
    <row r="1568" customFormat="false" ht="15" hidden="false" customHeight="false" outlineLevel="0" collapsed="false">
      <c r="A1568" s="62" t="n">
        <v>1567</v>
      </c>
      <c r="B1568" s="63" t="n">
        <v>46271.9159722222</v>
      </c>
      <c r="C1568" s="64" t="n">
        <v>46271</v>
      </c>
      <c r="D1568" s="62" t="s">
        <v>393</v>
      </c>
      <c r="E1568" s="62" t="s">
        <v>2228</v>
      </c>
      <c r="F1568" s="62" t="s">
        <v>2228</v>
      </c>
      <c r="G1568" s="62" t="s">
        <v>2229</v>
      </c>
      <c r="H1568" s="62" t="s">
        <v>58</v>
      </c>
      <c r="I1568" s="62" t="s">
        <v>49</v>
      </c>
      <c r="J1568" s="62" t="s">
        <v>146</v>
      </c>
      <c r="K1568" s="62" t="s">
        <v>209</v>
      </c>
      <c r="L1568" s="62" t="s">
        <v>148</v>
      </c>
      <c r="M1568" s="62" t="n">
        <v>0</v>
      </c>
      <c r="N1568" s="62" t="n">
        <v>1</v>
      </c>
      <c r="O1568" s="62" t="n">
        <v>1</v>
      </c>
      <c r="P1568" s="62" t="n">
        <v>0</v>
      </c>
      <c r="Q1568" s="62" t="n">
        <v>1</v>
      </c>
      <c r="R1568" s="62" t="n">
        <v>0</v>
      </c>
      <c r="S1568" s="62" t="n">
        <v>0</v>
      </c>
      <c r="T1568" s="62" t="n">
        <v>0</v>
      </c>
      <c r="U1568" s="62"/>
      <c r="V1568" s="62"/>
      <c r="W1568" s="62"/>
      <c r="X1568" s="62"/>
      <c r="Y1568" s="62"/>
      <c r="Z1568" s="62" t="s">
        <v>2923</v>
      </c>
      <c r="AA1568" s="62" t="s">
        <v>2924</v>
      </c>
      <c r="AB1568" s="62" t="n">
        <v>1</v>
      </c>
      <c r="AC1568" s="62" t="n">
        <v>0</v>
      </c>
      <c r="AD1568" s="62" t="n">
        <v>1</v>
      </c>
      <c r="AE1568" s="62" t="n">
        <f aca="false">IF(AND(Dashboard!$C$9="Yes",AC1568=1),0,1)</f>
        <v>1</v>
      </c>
      <c r="AF1568" s="62" t="n">
        <v>0</v>
      </c>
    </row>
    <row r="1569" customFormat="false" ht="15" hidden="false" customHeight="false" outlineLevel="0" collapsed="false">
      <c r="A1569" s="62" t="n">
        <v>1568</v>
      </c>
      <c r="B1569" s="63" t="n">
        <v>46271.9233101852</v>
      </c>
      <c r="C1569" s="64" t="n">
        <v>46271</v>
      </c>
      <c r="D1569" s="62" t="s">
        <v>393</v>
      </c>
      <c r="E1569" s="62" t="s">
        <v>1827</v>
      </c>
      <c r="F1569" s="62" t="s">
        <v>1827</v>
      </c>
      <c r="G1569" s="62" t="s">
        <v>1828</v>
      </c>
      <c r="H1569" s="62" t="s">
        <v>59</v>
      </c>
      <c r="I1569" s="62" t="s">
        <v>47</v>
      </c>
      <c r="J1569" s="62" t="s">
        <v>146</v>
      </c>
      <c r="K1569" s="62" t="s">
        <v>209</v>
      </c>
      <c r="L1569" s="62" t="s">
        <v>148</v>
      </c>
      <c r="M1569" s="62" t="n">
        <v>0</v>
      </c>
      <c r="N1569" s="62" t="n">
        <v>1</v>
      </c>
      <c r="O1569" s="62" t="n">
        <v>1</v>
      </c>
      <c r="P1569" s="62" t="n">
        <v>0</v>
      </c>
      <c r="Q1569" s="62" t="n">
        <v>1</v>
      </c>
      <c r="R1569" s="62" t="n">
        <v>0</v>
      </c>
      <c r="S1569" s="62" t="n">
        <v>0</v>
      </c>
      <c r="T1569" s="62" t="n">
        <v>0</v>
      </c>
      <c r="U1569" s="62"/>
      <c r="V1569" s="62"/>
      <c r="W1569" s="62"/>
      <c r="X1569" s="62"/>
      <c r="Y1569" s="62"/>
      <c r="Z1569" s="62" t="s">
        <v>2925</v>
      </c>
      <c r="AA1569" s="62" t="s">
        <v>2926</v>
      </c>
      <c r="AB1569" s="62" t="n">
        <v>1</v>
      </c>
      <c r="AC1569" s="62" t="n">
        <v>0</v>
      </c>
      <c r="AD1569" s="62" t="n">
        <v>1</v>
      </c>
      <c r="AE1569" s="62" t="n">
        <f aca="false">IF(AND(Dashboard!$C$9="Yes",AC1569=1),0,1)</f>
        <v>1</v>
      </c>
      <c r="AF1569" s="62" t="n">
        <v>1</v>
      </c>
    </row>
    <row r="1570" customFormat="false" ht="15" hidden="false" customHeight="false" outlineLevel="0" collapsed="false">
      <c r="A1570" s="62" t="n">
        <v>1569</v>
      </c>
      <c r="B1570" s="63" t="n">
        <v>46271.9414814815</v>
      </c>
      <c r="C1570" s="64" t="n">
        <v>46271</v>
      </c>
      <c r="D1570" s="62" t="s">
        <v>393</v>
      </c>
      <c r="E1570" s="62" t="s">
        <v>160</v>
      </c>
      <c r="F1570" s="62" t="s">
        <v>160</v>
      </c>
      <c r="G1570" s="62" t="s">
        <v>161</v>
      </c>
      <c r="H1570" s="62" t="s">
        <v>51</v>
      </c>
      <c r="I1570" s="62" t="s">
        <v>47</v>
      </c>
      <c r="J1570" s="62" t="s">
        <v>146</v>
      </c>
      <c r="K1570" s="62" t="s">
        <v>147</v>
      </c>
      <c r="L1570" s="62" t="s">
        <v>148</v>
      </c>
      <c r="M1570" s="62" t="n">
        <v>0</v>
      </c>
      <c r="N1570" s="62" t="n">
        <v>1</v>
      </c>
      <c r="O1570" s="62" t="n">
        <v>1</v>
      </c>
      <c r="P1570" s="62" t="n">
        <v>1</v>
      </c>
      <c r="Q1570" s="62" t="n">
        <v>0</v>
      </c>
      <c r="R1570" s="62" t="n">
        <v>0</v>
      </c>
      <c r="S1570" s="62" t="n">
        <v>0</v>
      </c>
      <c r="T1570" s="62" t="n">
        <v>0</v>
      </c>
      <c r="U1570" s="62"/>
      <c r="V1570" s="62"/>
      <c r="W1570" s="62"/>
      <c r="X1570" s="62"/>
      <c r="Y1570" s="62"/>
      <c r="Z1570" s="62" t="s">
        <v>2927</v>
      </c>
      <c r="AA1570" s="62" t="s">
        <v>2928</v>
      </c>
      <c r="AB1570" s="62" t="n">
        <v>1</v>
      </c>
      <c r="AC1570" s="62" t="n">
        <v>0</v>
      </c>
      <c r="AD1570" s="62" t="n">
        <v>1</v>
      </c>
      <c r="AE1570" s="62" t="n">
        <f aca="false">IF(AND(Dashboard!$C$9="Yes",AC1570=1),0,1)</f>
        <v>1</v>
      </c>
      <c r="AF1570" s="62" t="n">
        <v>1</v>
      </c>
    </row>
    <row r="1571" customFormat="false" ht="15" hidden="false" customHeight="false" outlineLevel="0" collapsed="false">
      <c r="A1571" s="62" t="n">
        <v>1570</v>
      </c>
      <c r="B1571" s="63" t="n">
        <v>46271.9492476852</v>
      </c>
      <c r="C1571" s="64" t="n">
        <v>46271</v>
      </c>
      <c r="D1571" s="62" t="s">
        <v>393</v>
      </c>
      <c r="E1571" s="62" t="s">
        <v>790</v>
      </c>
      <c r="F1571" s="62" t="s">
        <v>791</v>
      </c>
      <c r="G1571" s="62" t="s">
        <v>153</v>
      </c>
      <c r="H1571" s="62" t="s">
        <v>153</v>
      </c>
      <c r="I1571" s="62" t="s">
        <v>153</v>
      </c>
      <c r="J1571" s="62" t="s">
        <v>64</v>
      </c>
      <c r="K1571" s="62" t="s">
        <v>64</v>
      </c>
      <c r="L1571" s="62" t="s">
        <v>4</v>
      </c>
      <c r="M1571" s="62" t="n">
        <v>1</v>
      </c>
      <c r="N1571" s="62" t="n">
        <v>0</v>
      </c>
      <c r="O1571" s="62" t="n">
        <v>1</v>
      </c>
      <c r="P1571" s="62" t="n">
        <v>0</v>
      </c>
      <c r="Q1571" s="62" t="n">
        <v>0</v>
      </c>
      <c r="R1571" s="62" t="n">
        <v>0</v>
      </c>
      <c r="S1571" s="62" t="n">
        <v>0</v>
      </c>
      <c r="T1571" s="62" t="n">
        <v>0</v>
      </c>
      <c r="U1571" s="62" t="s">
        <v>2056</v>
      </c>
      <c r="V1571" s="62" t="s">
        <v>2057</v>
      </c>
      <c r="W1571" s="62" t="s">
        <v>2056</v>
      </c>
      <c r="X1571" s="62" t="s">
        <v>2164</v>
      </c>
      <c r="Y1571" s="62" t="s">
        <v>2165</v>
      </c>
      <c r="Z1571" s="62" t="s">
        <v>2929</v>
      </c>
      <c r="AA1571" s="62" t="s">
        <v>2930</v>
      </c>
      <c r="AB1571" s="62" t="n">
        <v>1</v>
      </c>
      <c r="AC1571" s="62" t="n">
        <v>0</v>
      </c>
      <c r="AD1571" s="62" t="n">
        <v>0</v>
      </c>
      <c r="AE1571" s="62" t="n">
        <f aca="false">IF(AND(Dashboard!$C$9="Yes",AC1571=1),0,1)</f>
        <v>1</v>
      </c>
      <c r="AF1571" s="62" t="n">
        <v>1</v>
      </c>
    </row>
    <row r="1572" customFormat="false" ht="15" hidden="false" customHeight="false" outlineLevel="0" collapsed="false">
      <c r="A1572" s="62" t="n">
        <v>1571</v>
      </c>
      <c r="B1572" s="63" t="n">
        <v>46271.9558217593</v>
      </c>
      <c r="C1572" s="64" t="n">
        <v>46271</v>
      </c>
      <c r="D1572" s="62" t="s">
        <v>393</v>
      </c>
      <c r="E1572" s="62" t="s">
        <v>207</v>
      </c>
      <c r="F1572" s="62" t="s">
        <v>207</v>
      </c>
      <c r="G1572" s="62" t="s">
        <v>208</v>
      </c>
      <c r="H1572" s="62" t="s">
        <v>48</v>
      </c>
      <c r="I1572" s="62" t="s">
        <v>49</v>
      </c>
      <c r="J1572" s="62" t="s">
        <v>146</v>
      </c>
      <c r="K1572" s="62" t="s">
        <v>209</v>
      </c>
      <c r="L1572" s="62" t="s">
        <v>4</v>
      </c>
      <c r="M1572" s="62" t="n">
        <v>1</v>
      </c>
      <c r="N1572" s="62" t="n">
        <v>0</v>
      </c>
      <c r="O1572" s="62" t="n">
        <v>1</v>
      </c>
      <c r="P1572" s="62" t="n">
        <v>0</v>
      </c>
      <c r="Q1572" s="62" t="n">
        <v>0</v>
      </c>
      <c r="R1572" s="62" t="n">
        <v>0</v>
      </c>
      <c r="S1572" s="62" t="n">
        <v>0</v>
      </c>
      <c r="T1572" s="62" t="n">
        <v>0</v>
      </c>
      <c r="U1572" s="62" t="s">
        <v>2056</v>
      </c>
      <c r="V1572" s="62" t="s">
        <v>2057</v>
      </c>
      <c r="W1572" s="62" t="s">
        <v>15</v>
      </c>
      <c r="X1572" s="62" t="s">
        <v>2058</v>
      </c>
      <c r="Y1572" s="62" t="s">
        <v>2059</v>
      </c>
      <c r="Z1572" s="62" t="s">
        <v>2931</v>
      </c>
      <c r="AA1572" s="62" t="s">
        <v>2932</v>
      </c>
      <c r="AB1572" s="62" t="n">
        <v>1</v>
      </c>
      <c r="AC1572" s="62" t="n">
        <v>0</v>
      </c>
      <c r="AD1572" s="62" t="n">
        <v>1</v>
      </c>
      <c r="AE1572" s="62" t="n">
        <f aca="false">IF(AND(Dashboard!$C$9="Yes",AC1572=1),0,1)</f>
        <v>1</v>
      </c>
      <c r="AF1572" s="62" t="n">
        <v>1</v>
      </c>
    </row>
    <row r="1573" customFormat="false" ht="15" hidden="false" customHeight="false" outlineLevel="0" collapsed="false">
      <c r="A1573" s="62" t="n">
        <v>1572</v>
      </c>
      <c r="B1573" s="63" t="n">
        <v>46271.958275463</v>
      </c>
      <c r="C1573" s="64" t="n">
        <v>46271</v>
      </c>
      <c r="D1573" s="62" t="s">
        <v>393</v>
      </c>
      <c r="E1573" s="62" t="s">
        <v>1732</v>
      </c>
      <c r="F1573" s="62" t="s">
        <v>1732</v>
      </c>
      <c r="G1573" s="62" t="s">
        <v>1733</v>
      </c>
      <c r="H1573" s="62" t="s">
        <v>58</v>
      </c>
      <c r="I1573" s="62" t="s">
        <v>49</v>
      </c>
      <c r="J1573" s="62" t="s">
        <v>146</v>
      </c>
      <c r="K1573" s="62" t="s">
        <v>209</v>
      </c>
      <c r="L1573" s="62" t="s">
        <v>148</v>
      </c>
      <c r="M1573" s="62" t="n">
        <v>0</v>
      </c>
      <c r="N1573" s="62" t="n">
        <v>1</v>
      </c>
      <c r="O1573" s="62" t="n">
        <v>1</v>
      </c>
      <c r="P1573" s="62" t="n">
        <v>0</v>
      </c>
      <c r="Q1573" s="62" t="n">
        <v>1</v>
      </c>
      <c r="R1573" s="62" t="n">
        <v>0</v>
      </c>
      <c r="S1573" s="62" t="n">
        <v>0</v>
      </c>
      <c r="T1573" s="62" t="n">
        <v>0</v>
      </c>
      <c r="U1573" s="62"/>
      <c r="V1573" s="62"/>
      <c r="W1573" s="62"/>
      <c r="X1573" s="62"/>
      <c r="Y1573" s="62"/>
      <c r="Z1573" s="62" t="s">
        <v>2933</v>
      </c>
      <c r="AA1573" s="62" t="s">
        <v>2934</v>
      </c>
      <c r="AB1573" s="62" t="n">
        <v>1</v>
      </c>
      <c r="AC1573" s="62" t="n">
        <v>0</v>
      </c>
      <c r="AD1573" s="62" t="n">
        <v>1</v>
      </c>
      <c r="AE1573" s="62" t="n">
        <f aca="false">IF(AND(Dashboard!$C$9="Yes",AC1573=1),0,1)</f>
        <v>1</v>
      </c>
      <c r="AF1573" s="62" t="n">
        <v>1</v>
      </c>
    </row>
    <row r="1574" customFormat="false" ht="15" hidden="false" customHeight="false" outlineLevel="0" collapsed="false">
      <c r="A1574" s="62" t="n">
        <v>1573</v>
      </c>
      <c r="B1574" s="63" t="n">
        <v>46271.9769675926</v>
      </c>
      <c r="C1574" s="64" t="n">
        <v>46271</v>
      </c>
      <c r="D1574" s="62" t="s">
        <v>393</v>
      </c>
      <c r="E1574" s="62" t="s">
        <v>2228</v>
      </c>
      <c r="F1574" s="62" t="s">
        <v>2228</v>
      </c>
      <c r="G1574" s="62" t="s">
        <v>2229</v>
      </c>
      <c r="H1574" s="62" t="s">
        <v>58</v>
      </c>
      <c r="I1574" s="62" t="s">
        <v>49</v>
      </c>
      <c r="J1574" s="62" t="s">
        <v>146</v>
      </c>
      <c r="K1574" s="62" t="s">
        <v>209</v>
      </c>
      <c r="L1574" s="62" t="s">
        <v>148</v>
      </c>
      <c r="M1574" s="62" t="n">
        <v>0</v>
      </c>
      <c r="N1574" s="62" t="n">
        <v>1</v>
      </c>
      <c r="O1574" s="62" t="n">
        <v>1</v>
      </c>
      <c r="P1574" s="62" t="n">
        <v>0</v>
      </c>
      <c r="Q1574" s="62" t="n">
        <v>1</v>
      </c>
      <c r="R1574" s="62" t="n">
        <v>0</v>
      </c>
      <c r="S1574" s="62" t="n">
        <v>0</v>
      </c>
      <c r="T1574" s="62" t="n">
        <v>0</v>
      </c>
      <c r="U1574" s="62"/>
      <c r="V1574" s="62"/>
      <c r="W1574" s="62"/>
      <c r="X1574" s="62"/>
      <c r="Y1574" s="62"/>
      <c r="Z1574" s="62" t="s">
        <v>2935</v>
      </c>
      <c r="AA1574" s="62" t="s">
        <v>2936</v>
      </c>
      <c r="AB1574" s="62" t="n">
        <v>1</v>
      </c>
      <c r="AC1574" s="62" t="n">
        <v>0</v>
      </c>
      <c r="AD1574" s="62" t="n">
        <v>1</v>
      </c>
      <c r="AE1574" s="62" t="n">
        <f aca="false">IF(AND(Dashboard!$C$9="Yes",AC1574=1),0,1)</f>
        <v>1</v>
      </c>
      <c r="AF1574" s="62" t="n">
        <v>0</v>
      </c>
    </row>
    <row r="1575" customFormat="false" ht="15" hidden="false" customHeight="false" outlineLevel="0" collapsed="false">
      <c r="A1575" s="62" t="n">
        <v>1574</v>
      </c>
      <c r="B1575" s="63" t="n">
        <v>46272.0008217593</v>
      </c>
      <c r="C1575" s="64" t="n">
        <v>46271</v>
      </c>
      <c r="D1575" s="62" t="s">
        <v>393</v>
      </c>
      <c r="E1575" s="62" t="s">
        <v>2910</v>
      </c>
      <c r="F1575" s="62" t="s">
        <v>2910</v>
      </c>
      <c r="G1575" s="62" t="s">
        <v>2911</v>
      </c>
      <c r="H1575" s="62" t="s">
        <v>48</v>
      </c>
      <c r="I1575" s="62" t="s">
        <v>49</v>
      </c>
      <c r="J1575" s="62" t="s">
        <v>146</v>
      </c>
      <c r="K1575" s="62" t="s">
        <v>209</v>
      </c>
      <c r="L1575" s="62" t="s">
        <v>4</v>
      </c>
      <c r="M1575" s="62" t="n">
        <v>1</v>
      </c>
      <c r="N1575" s="62" t="n">
        <v>0</v>
      </c>
      <c r="O1575" s="62" t="n">
        <v>1</v>
      </c>
      <c r="P1575" s="62" t="n">
        <v>0</v>
      </c>
      <c r="Q1575" s="62" t="n">
        <v>0</v>
      </c>
      <c r="R1575" s="62" t="n">
        <v>0</v>
      </c>
      <c r="S1575" s="62" t="n">
        <v>0</v>
      </c>
      <c r="T1575" s="62" t="n">
        <v>0</v>
      </c>
      <c r="U1575" s="62" t="s">
        <v>2056</v>
      </c>
      <c r="V1575" s="62" t="s">
        <v>2057</v>
      </c>
      <c r="W1575" s="62" t="s">
        <v>15</v>
      </c>
      <c r="X1575" s="62" t="s">
        <v>2180</v>
      </c>
      <c r="Y1575" s="62" t="s">
        <v>2103</v>
      </c>
      <c r="Z1575" s="62" t="s">
        <v>2937</v>
      </c>
      <c r="AA1575" s="62" t="s">
        <v>2938</v>
      </c>
      <c r="AB1575" s="62" t="n">
        <v>1</v>
      </c>
      <c r="AC1575" s="62" t="n">
        <v>0</v>
      </c>
      <c r="AD1575" s="62" t="n">
        <v>1</v>
      </c>
      <c r="AE1575" s="62" t="n">
        <f aca="false">IF(AND(Dashboard!$C$9="Yes",AC1575=1),0,1)</f>
        <v>1</v>
      </c>
      <c r="AF1575" s="62" t="n">
        <v>0</v>
      </c>
    </row>
    <row r="1576" customFormat="false" ht="15" hidden="false" customHeight="false" outlineLevel="0" collapsed="false">
      <c r="A1576" s="62" t="n">
        <v>1575</v>
      </c>
      <c r="B1576" s="63" t="n">
        <v>46272.0094907407</v>
      </c>
      <c r="C1576" s="64" t="n">
        <v>46271</v>
      </c>
      <c r="D1576" s="62" t="s">
        <v>393</v>
      </c>
      <c r="E1576" s="62" t="s">
        <v>2228</v>
      </c>
      <c r="F1576" s="62" t="s">
        <v>2228</v>
      </c>
      <c r="G1576" s="62" t="s">
        <v>2229</v>
      </c>
      <c r="H1576" s="62" t="s">
        <v>58</v>
      </c>
      <c r="I1576" s="62" t="s">
        <v>49</v>
      </c>
      <c r="J1576" s="62" t="s">
        <v>146</v>
      </c>
      <c r="K1576" s="62" t="s">
        <v>209</v>
      </c>
      <c r="L1576" s="62" t="s">
        <v>4</v>
      </c>
      <c r="M1576" s="62" t="n">
        <v>1</v>
      </c>
      <c r="N1576" s="62" t="n">
        <v>0</v>
      </c>
      <c r="O1576" s="62" t="n">
        <v>1</v>
      </c>
      <c r="P1576" s="62" t="n">
        <v>0</v>
      </c>
      <c r="Q1576" s="62" t="n">
        <v>0</v>
      </c>
      <c r="R1576" s="62" t="n">
        <v>0</v>
      </c>
      <c r="S1576" s="62" t="n">
        <v>0</v>
      </c>
      <c r="T1576" s="62" t="n">
        <v>0</v>
      </c>
      <c r="U1576" s="62" t="s">
        <v>2056</v>
      </c>
      <c r="V1576" s="62" t="s">
        <v>2057</v>
      </c>
      <c r="W1576" s="62" t="s">
        <v>15</v>
      </c>
      <c r="X1576" s="62" t="s">
        <v>2125</v>
      </c>
      <c r="Y1576" s="62" t="s">
        <v>2059</v>
      </c>
      <c r="Z1576" s="62" t="s">
        <v>2935</v>
      </c>
      <c r="AA1576" s="62" t="s">
        <v>2939</v>
      </c>
      <c r="AB1576" s="62" t="n">
        <v>1</v>
      </c>
      <c r="AC1576" s="62" t="n">
        <v>0</v>
      </c>
      <c r="AD1576" s="62" t="n">
        <v>1</v>
      </c>
      <c r="AE1576" s="62" t="n">
        <f aca="false">IF(AND(Dashboard!$C$9="Yes",AC1576=1),0,1)</f>
        <v>1</v>
      </c>
      <c r="AF1576" s="62" t="n">
        <v>0</v>
      </c>
    </row>
    <row r="1577" customFormat="false" ht="15" hidden="false" customHeight="false" outlineLevel="0" collapsed="false">
      <c r="A1577" s="62" t="n">
        <v>1576</v>
      </c>
      <c r="B1577" s="63" t="n">
        <v>46272.0122222222</v>
      </c>
      <c r="C1577" s="64" t="n">
        <v>46271</v>
      </c>
      <c r="D1577" s="62" t="s">
        <v>393</v>
      </c>
      <c r="E1577" s="62" t="s">
        <v>1224</v>
      </c>
      <c r="F1577" s="62" t="s">
        <v>1225</v>
      </c>
      <c r="G1577" s="62" t="s">
        <v>153</v>
      </c>
      <c r="H1577" s="62" t="s">
        <v>153</v>
      </c>
      <c r="I1577" s="62" t="s">
        <v>153</v>
      </c>
      <c r="J1577" s="62" t="s">
        <v>64</v>
      </c>
      <c r="K1577" s="62" t="s">
        <v>64</v>
      </c>
      <c r="L1577" s="62" t="s">
        <v>148</v>
      </c>
      <c r="M1577" s="62" t="n">
        <v>0</v>
      </c>
      <c r="N1577" s="62" t="n">
        <v>1</v>
      </c>
      <c r="O1577" s="62" t="n">
        <v>1</v>
      </c>
      <c r="P1577" s="62" t="n">
        <v>1</v>
      </c>
      <c r="Q1577" s="62" t="n">
        <v>0</v>
      </c>
      <c r="R1577" s="62" t="n">
        <v>0</v>
      </c>
      <c r="S1577" s="62" t="n">
        <v>0</v>
      </c>
      <c r="T1577" s="62" t="n">
        <v>0</v>
      </c>
      <c r="U1577" s="62"/>
      <c r="V1577" s="62"/>
      <c r="W1577" s="62"/>
      <c r="X1577" s="62"/>
      <c r="Y1577" s="62"/>
      <c r="Z1577" s="62" t="s">
        <v>2940</v>
      </c>
      <c r="AA1577" s="62" t="s">
        <v>2941</v>
      </c>
      <c r="AB1577" s="62" t="n">
        <v>1</v>
      </c>
      <c r="AC1577" s="62" t="n">
        <v>0</v>
      </c>
      <c r="AD1577" s="62" t="n">
        <v>0</v>
      </c>
      <c r="AE1577" s="62" t="n">
        <f aca="false">IF(AND(Dashboard!$C$9="Yes",AC1577=1),0,1)</f>
        <v>1</v>
      </c>
      <c r="AF1577" s="62" t="n">
        <v>1</v>
      </c>
    </row>
    <row r="1578" customFormat="false" ht="15" hidden="false" customHeight="false" outlineLevel="0" collapsed="false">
      <c r="A1578" s="62" t="n">
        <v>1577</v>
      </c>
      <c r="B1578" s="63" t="n">
        <v>46272.0159606482</v>
      </c>
      <c r="C1578" s="64" t="n">
        <v>46271</v>
      </c>
      <c r="D1578" s="62" t="s">
        <v>393</v>
      </c>
      <c r="E1578" s="62" t="s">
        <v>2050</v>
      </c>
      <c r="F1578" s="62" t="s">
        <v>2050</v>
      </c>
      <c r="G1578" s="62" t="s">
        <v>2051</v>
      </c>
      <c r="H1578" s="62" t="s">
        <v>46</v>
      </c>
      <c r="I1578" s="62" t="s">
        <v>47</v>
      </c>
      <c r="J1578" s="62" t="s">
        <v>146</v>
      </c>
      <c r="K1578" s="62" t="s">
        <v>209</v>
      </c>
      <c r="L1578" s="62" t="s">
        <v>148</v>
      </c>
      <c r="M1578" s="62" t="n">
        <v>0</v>
      </c>
      <c r="N1578" s="62" t="n">
        <v>1</v>
      </c>
      <c r="O1578" s="62" t="n">
        <v>1</v>
      </c>
      <c r="P1578" s="62" t="n">
        <v>1</v>
      </c>
      <c r="Q1578" s="62" t="n">
        <v>0</v>
      </c>
      <c r="R1578" s="62" t="n">
        <v>0</v>
      </c>
      <c r="S1578" s="62" t="n">
        <v>0</v>
      </c>
      <c r="T1578" s="62" t="n">
        <v>0</v>
      </c>
      <c r="U1578" s="62"/>
      <c r="V1578" s="62"/>
      <c r="W1578" s="62"/>
      <c r="X1578" s="62"/>
      <c r="Y1578" s="62"/>
      <c r="Z1578" s="62" t="s">
        <v>2942</v>
      </c>
      <c r="AA1578" s="62" t="s">
        <v>2076</v>
      </c>
      <c r="AB1578" s="62" t="n">
        <v>0</v>
      </c>
      <c r="AC1578" s="62" t="n">
        <v>0</v>
      </c>
      <c r="AD1578" s="62" t="n">
        <v>1</v>
      </c>
      <c r="AE1578" s="62" t="n">
        <f aca="false">IF(AND(Dashboard!$C$9="Yes",AC1578=1),0,1)</f>
        <v>1</v>
      </c>
      <c r="AF1578" s="62" t="n">
        <v>1</v>
      </c>
    </row>
    <row r="1579" customFormat="false" ht="15" hidden="false" customHeight="false" outlineLevel="0" collapsed="false">
      <c r="A1579" s="62" t="n">
        <v>1578</v>
      </c>
      <c r="B1579" s="63" t="n">
        <v>46272.0306597222</v>
      </c>
      <c r="C1579" s="64" t="n">
        <v>46271</v>
      </c>
      <c r="D1579" s="62" t="s">
        <v>393</v>
      </c>
      <c r="E1579" s="62" t="s">
        <v>2943</v>
      </c>
      <c r="F1579" s="62" t="s">
        <v>2943</v>
      </c>
      <c r="G1579" s="62" t="s">
        <v>2944</v>
      </c>
      <c r="H1579" s="62" t="s">
        <v>48</v>
      </c>
      <c r="I1579" s="62" t="s">
        <v>49</v>
      </c>
      <c r="J1579" s="62" t="s">
        <v>146</v>
      </c>
      <c r="K1579" s="62" t="s">
        <v>209</v>
      </c>
      <c r="L1579" s="62" t="s">
        <v>148</v>
      </c>
      <c r="M1579" s="62" t="n">
        <v>0</v>
      </c>
      <c r="N1579" s="62" t="n">
        <v>1</v>
      </c>
      <c r="O1579" s="62" t="n">
        <v>1</v>
      </c>
      <c r="P1579" s="62" t="n">
        <v>1</v>
      </c>
      <c r="Q1579" s="62" t="n">
        <v>0</v>
      </c>
      <c r="R1579" s="62" t="n">
        <v>0</v>
      </c>
      <c r="S1579" s="62" t="n">
        <v>0</v>
      </c>
      <c r="T1579" s="62" t="n">
        <v>0</v>
      </c>
      <c r="U1579" s="62"/>
      <c r="V1579" s="62"/>
      <c r="W1579" s="62"/>
      <c r="X1579" s="62"/>
      <c r="Y1579" s="62"/>
      <c r="Z1579" s="62" t="s">
        <v>2945</v>
      </c>
      <c r="AA1579" s="62" t="s">
        <v>2946</v>
      </c>
      <c r="AB1579" s="62" t="n">
        <v>1</v>
      </c>
      <c r="AC1579" s="62" t="n">
        <v>0</v>
      </c>
      <c r="AD1579" s="62" t="n">
        <v>1</v>
      </c>
      <c r="AE1579" s="62" t="n">
        <f aca="false">IF(AND(Dashboard!$C$9="Yes",AC1579=1),0,1)</f>
        <v>1</v>
      </c>
      <c r="AF1579" s="62" t="n">
        <v>1</v>
      </c>
    </row>
    <row r="1580" customFormat="false" ht="15" hidden="false" customHeight="false" outlineLevel="0" collapsed="false">
      <c r="A1580" s="62" t="n">
        <v>1579</v>
      </c>
      <c r="B1580" s="63" t="n">
        <v>46272.0322916667</v>
      </c>
      <c r="C1580" s="64" t="n">
        <v>46271</v>
      </c>
      <c r="D1580" s="62" t="s">
        <v>393</v>
      </c>
      <c r="E1580" s="62" t="s">
        <v>1326</v>
      </c>
      <c r="F1580" s="62" t="s">
        <v>1326</v>
      </c>
      <c r="G1580" s="62" t="s">
        <v>1327</v>
      </c>
      <c r="H1580" s="62" t="s">
        <v>57</v>
      </c>
      <c r="I1580" s="62" t="s">
        <v>47</v>
      </c>
      <c r="J1580" s="62" t="s">
        <v>146</v>
      </c>
      <c r="K1580" s="62" t="s">
        <v>175</v>
      </c>
      <c r="L1580" s="62" t="s">
        <v>4</v>
      </c>
      <c r="M1580" s="62" t="n">
        <v>1</v>
      </c>
      <c r="N1580" s="62" t="n">
        <v>0</v>
      </c>
      <c r="O1580" s="62" t="n">
        <v>1</v>
      </c>
      <c r="P1580" s="62" t="n">
        <v>0</v>
      </c>
      <c r="Q1580" s="62" t="n">
        <v>0</v>
      </c>
      <c r="R1580" s="62" t="n">
        <v>0</v>
      </c>
      <c r="S1580" s="62" t="n">
        <v>0</v>
      </c>
      <c r="T1580" s="62" t="n">
        <v>0</v>
      </c>
      <c r="U1580" s="62" t="s">
        <v>2056</v>
      </c>
      <c r="V1580" s="62" t="s">
        <v>2057</v>
      </c>
      <c r="W1580" s="62" t="s">
        <v>15</v>
      </c>
      <c r="X1580" s="62" t="s">
        <v>2058</v>
      </c>
      <c r="Y1580" s="62" t="s">
        <v>2059</v>
      </c>
      <c r="Z1580" s="62" t="s">
        <v>2947</v>
      </c>
      <c r="AA1580" s="62" t="s">
        <v>2948</v>
      </c>
      <c r="AB1580" s="62" t="n">
        <v>1</v>
      </c>
      <c r="AC1580" s="62" t="n">
        <v>0</v>
      </c>
      <c r="AD1580" s="62" t="n">
        <v>1</v>
      </c>
      <c r="AE1580" s="62" t="n">
        <f aca="false">IF(AND(Dashboard!$C$9="Yes",AC1580=1),0,1)</f>
        <v>1</v>
      </c>
      <c r="AF1580" s="62" t="n">
        <v>1</v>
      </c>
    </row>
    <row r="1581" customFormat="false" ht="15" hidden="false" customHeight="false" outlineLevel="0" collapsed="false">
      <c r="A1581" s="62" t="n">
        <v>1580</v>
      </c>
      <c r="B1581" s="63" t="n">
        <v>46272.0448726852</v>
      </c>
      <c r="C1581" s="64" t="n">
        <v>46271</v>
      </c>
      <c r="D1581" s="62" t="s">
        <v>393</v>
      </c>
      <c r="E1581" s="62" t="s">
        <v>1827</v>
      </c>
      <c r="F1581" s="62" t="s">
        <v>1827</v>
      </c>
      <c r="G1581" s="62" t="s">
        <v>1828</v>
      </c>
      <c r="H1581" s="62" t="s">
        <v>59</v>
      </c>
      <c r="I1581" s="62" t="s">
        <v>47</v>
      </c>
      <c r="J1581" s="62" t="s">
        <v>146</v>
      </c>
      <c r="K1581" s="62" t="s">
        <v>209</v>
      </c>
      <c r="L1581" s="62" t="s">
        <v>148</v>
      </c>
      <c r="M1581" s="62" t="n">
        <v>0</v>
      </c>
      <c r="N1581" s="62" t="n">
        <v>1</v>
      </c>
      <c r="O1581" s="62" t="n">
        <v>1</v>
      </c>
      <c r="P1581" s="62" t="n">
        <v>1</v>
      </c>
      <c r="Q1581" s="62" t="n">
        <v>0</v>
      </c>
      <c r="R1581" s="62" t="n">
        <v>0</v>
      </c>
      <c r="S1581" s="62" t="n">
        <v>0</v>
      </c>
      <c r="T1581" s="62" t="n">
        <v>0</v>
      </c>
      <c r="U1581" s="62"/>
      <c r="V1581" s="62"/>
      <c r="W1581" s="62"/>
      <c r="X1581" s="62"/>
      <c r="Y1581" s="62"/>
      <c r="Z1581" s="62" t="s">
        <v>2949</v>
      </c>
      <c r="AA1581" s="62" t="s">
        <v>2950</v>
      </c>
      <c r="AB1581" s="62" t="n">
        <v>1</v>
      </c>
      <c r="AC1581" s="62" t="n">
        <v>0</v>
      </c>
      <c r="AD1581" s="62" t="n">
        <v>1</v>
      </c>
      <c r="AE1581" s="62" t="n">
        <f aca="false">IF(AND(Dashboard!$C$9="Yes",AC1581=1),0,1)</f>
        <v>1</v>
      </c>
      <c r="AF1581" s="62" t="n">
        <v>0</v>
      </c>
    </row>
    <row r="1582" customFormat="false" ht="15" hidden="false" customHeight="false" outlineLevel="0" collapsed="false">
      <c r="A1582" s="62" t="n">
        <v>1581</v>
      </c>
      <c r="B1582" s="63" t="n">
        <v>46272.0692592593</v>
      </c>
      <c r="C1582" s="64" t="n">
        <v>46271</v>
      </c>
      <c r="D1582" s="62" t="s">
        <v>393</v>
      </c>
      <c r="E1582" s="62" t="s">
        <v>207</v>
      </c>
      <c r="F1582" s="62" t="s">
        <v>207</v>
      </c>
      <c r="G1582" s="62" t="s">
        <v>208</v>
      </c>
      <c r="H1582" s="62" t="s">
        <v>48</v>
      </c>
      <c r="I1582" s="62" t="s">
        <v>49</v>
      </c>
      <c r="J1582" s="62" t="s">
        <v>146</v>
      </c>
      <c r="K1582" s="62" t="s">
        <v>209</v>
      </c>
      <c r="L1582" s="62" t="s">
        <v>148</v>
      </c>
      <c r="M1582" s="62" t="n">
        <v>0</v>
      </c>
      <c r="N1582" s="62" t="n">
        <v>1</v>
      </c>
      <c r="O1582" s="62" t="n">
        <v>1</v>
      </c>
      <c r="P1582" s="62" t="n">
        <v>0</v>
      </c>
      <c r="Q1582" s="62" t="n">
        <v>0</v>
      </c>
      <c r="R1582" s="62" t="n">
        <v>1</v>
      </c>
      <c r="S1582" s="62" t="n">
        <v>0</v>
      </c>
      <c r="T1582" s="62" t="n">
        <v>0</v>
      </c>
      <c r="U1582" s="62"/>
      <c r="V1582" s="62"/>
      <c r="W1582" s="62"/>
      <c r="X1582" s="62"/>
      <c r="Y1582" s="62"/>
      <c r="Z1582" s="62" t="s">
        <v>2951</v>
      </c>
      <c r="AA1582" s="62" t="s">
        <v>2952</v>
      </c>
      <c r="AB1582" s="62" t="n">
        <v>1</v>
      </c>
      <c r="AC1582" s="62" t="n">
        <v>0</v>
      </c>
      <c r="AD1582" s="62" t="n">
        <v>1</v>
      </c>
      <c r="AE1582" s="62" t="n">
        <f aca="false">IF(AND(Dashboard!$C$9="Yes",AC1582=1),0,1)</f>
        <v>1</v>
      </c>
      <c r="AF1582" s="62" t="n">
        <v>0</v>
      </c>
    </row>
    <row r="1583" customFormat="false" ht="15" hidden="false" customHeight="false" outlineLevel="0" collapsed="false">
      <c r="A1583" s="62" t="n">
        <v>1582</v>
      </c>
      <c r="B1583" s="63" t="n">
        <v>46272.0985069444</v>
      </c>
      <c r="C1583" s="64" t="n">
        <v>46271</v>
      </c>
      <c r="D1583" s="62" t="s">
        <v>393</v>
      </c>
      <c r="E1583" s="62" t="s">
        <v>2228</v>
      </c>
      <c r="F1583" s="62" t="s">
        <v>2228</v>
      </c>
      <c r="G1583" s="62" t="s">
        <v>2229</v>
      </c>
      <c r="H1583" s="62" t="s">
        <v>58</v>
      </c>
      <c r="I1583" s="62" t="s">
        <v>49</v>
      </c>
      <c r="J1583" s="62" t="s">
        <v>146</v>
      </c>
      <c r="K1583" s="62" t="s">
        <v>209</v>
      </c>
      <c r="L1583" s="62" t="s">
        <v>148</v>
      </c>
      <c r="M1583" s="62" t="n">
        <v>0</v>
      </c>
      <c r="N1583" s="62" t="n">
        <v>1</v>
      </c>
      <c r="O1583" s="62" t="n">
        <v>1</v>
      </c>
      <c r="P1583" s="62" t="n">
        <v>1</v>
      </c>
      <c r="Q1583" s="62" t="n">
        <v>0</v>
      </c>
      <c r="R1583" s="62" t="n">
        <v>0</v>
      </c>
      <c r="S1583" s="62" t="n">
        <v>0</v>
      </c>
      <c r="T1583" s="62" t="n">
        <v>0</v>
      </c>
      <c r="U1583" s="62"/>
      <c r="V1583" s="62"/>
      <c r="W1583" s="62"/>
      <c r="X1583" s="62"/>
      <c r="Y1583" s="62"/>
      <c r="Z1583" s="62" t="s">
        <v>2953</v>
      </c>
      <c r="AA1583" s="62" t="s">
        <v>2954</v>
      </c>
      <c r="AB1583" s="62" t="n">
        <v>1</v>
      </c>
      <c r="AC1583" s="62" t="n">
        <v>0</v>
      </c>
      <c r="AD1583" s="62" t="n">
        <v>1</v>
      </c>
      <c r="AE1583" s="62" t="n">
        <f aca="false">IF(AND(Dashboard!$C$9="Yes",AC1583=1),0,1)</f>
        <v>1</v>
      </c>
      <c r="AF1583" s="62" t="n">
        <v>0</v>
      </c>
    </row>
    <row r="1584" customFormat="false" ht="15" hidden="false" customHeight="false" outlineLevel="0" collapsed="false">
      <c r="A1584" s="62" t="n">
        <v>1583</v>
      </c>
      <c r="B1584" s="63" t="n">
        <v>46272.1052314815</v>
      </c>
      <c r="C1584" s="64" t="n">
        <v>46271</v>
      </c>
      <c r="D1584" s="62" t="s">
        <v>393</v>
      </c>
      <c r="E1584" s="62" t="s">
        <v>160</v>
      </c>
      <c r="F1584" s="62" t="s">
        <v>160</v>
      </c>
      <c r="G1584" s="62" t="s">
        <v>161</v>
      </c>
      <c r="H1584" s="62" t="s">
        <v>51</v>
      </c>
      <c r="I1584" s="62" t="s">
        <v>47</v>
      </c>
      <c r="J1584" s="62" t="s">
        <v>146</v>
      </c>
      <c r="K1584" s="62" t="s">
        <v>147</v>
      </c>
      <c r="L1584" s="62" t="s">
        <v>4</v>
      </c>
      <c r="M1584" s="62" t="n">
        <v>1</v>
      </c>
      <c r="N1584" s="62" t="n">
        <v>0</v>
      </c>
      <c r="O1584" s="62" t="n">
        <v>1</v>
      </c>
      <c r="P1584" s="62" t="n">
        <v>0</v>
      </c>
      <c r="Q1584" s="62" t="n">
        <v>0</v>
      </c>
      <c r="R1584" s="62" t="n">
        <v>0</v>
      </c>
      <c r="S1584" s="62" t="n">
        <v>0</v>
      </c>
      <c r="T1584" s="62" t="n">
        <v>0</v>
      </c>
      <c r="U1584" s="62" t="s">
        <v>2056</v>
      </c>
      <c r="V1584" s="62" t="s">
        <v>2057</v>
      </c>
      <c r="W1584" s="62" t="s">
        <v>15</v>
      </c>
      <c r="X1584" s="62" t="s">
        <v>2103</v>
      </c>
      <c r="Y1584" s="62" t="s">
        <v>2059</v>
      </c>
      <c r="Z1584" s="62" t="s">
        <v>2955</v>
      </c>
      <c r="AA1584" s="62" t="s">
        <v>2956</v>
      </c>
      <c r="AB1584" s="62" t="n">
        <v>1</v>
      </c>
      <c r="AC1584" s="62" t="n">
        <v>0</v>
      </c>
      <c r="AD1584" s="62" t="n">
        <v>1</v>
      </c>
      <c r="AE1584" s="62" t="n">
        <f aca="false">IF(AND(Dashboard!$C$9="Yes",AC1584=1),0,1)</f>
        <v>1</v>
      </c>
      <c r="AF1584" s="62" t="n">
        <v>0</v>
      </c>
    </row>
    <row r="1585" customFormat="false" ht="15" hidden="false" customHeight="false" outlineLevel="0" collapsed="false">
      <c r="A1585" s="62" t="n">
        <v>1584</v>
      </c>
      <c r="B1585" s="63" t="n">
        <v>46272.1396412037</v>
      </c>
      <c r="C1585" s="64" t="n">
        <v>46271</v>
      </c>
      <c r="D1585" s="62" t="s">
        <v>393</v>
      </c>
      <c r="E1585" s="62" t="s">
        <v>2385</v>
      </c>
      <c r="F1585" s="62" t="s">
        <v>2385</v>
      </c>
      <c r="G1585" s="62" t="s">
        <v>2386</v>
      </c>
      <c r="H1585" s="62" t="s">
        <v>59</v>
      </c>
      <c r="I1585" s="62" t="s">
        <v>47</v>
      </c>
      <c r="J1585" s="62" t="s">
        <v>146</v>
      </c>
      <c r="K1585" s="62" t="s">
        <v>209</v>
      </c>
      <c r="L1585" s="62" t="s">
        <v>148</v>
      </c>
      <c r="M1585" s="62" t="n">
        <v>0</v>
      </c>
      <c r="N1585" s="62" t="n">
        <v>1</v>
      </c>
      <c r="O1585" s="62" t="n">
        <v>1</v>
      </c>
      <c r="P1585" s="62" t="n">
        <v>0</v>
      </c>
      <c r="Q1585" s="62" t="n">
        <v>0</v>
      </c>
      <c r="R1585" s="62" t="n">
        <v>1</v>
      </c>
      <c r="S1585" s="62" t="n">
        <v>0</v>
      </c>
      <c r="T1585" s="62" t="n">
        <v>0</v>
      </c>
      <c r="U1585" s="62"/>
      <c r="V1585" s="62"/>
      <c r="W1585" s="62"/>
      <c r="X1585" s="62"/>
      <c r="Y1585" s="62"/>
      <c r="Z1585" s="62" t="s">
        <v>2957</v>
      </c>
      <c r="AA1585" s="62" t="s">
        <v>2958</v>
      </c>
      <c r="AB1585" s="62" t="n">
        <v>1</v>
      </c>
      <c r="AC1585" s="62" t="n">
        <v>0</v>
      </c>
      <c r="AD1585" s="62" t="n">
        <v>1</v>
      </c>
      <c r="AE1585" s="62" t="n">
        <f aca="false">IF(AND(Dashboard!$C$9="Yes",AC1585=1),0,1)</f>
        <v>1</v>
      </c>
      <c r="AF1585" s="62" t="n">
        <v>1</v>
      </c>
    </row>
    <row r="1586" customFormat="false" ht="15" hidden="false" customHeight="false" outlineLevel="0" collapsed="false">
      <c r="A1586" s="62" t="n">
        <v>1585</v>
      </c>
      <c r="B1586" s="63" t="n">
        <v>46272.1490277778</v>
      </c>
      <c r="C1586" s="64" t="n">
        <v>46271</v>
      </c>
      <c r="D1586" s="62" t="s">
        <v>393</v>
      </c>
      <c r="E1586" s="62" t="s">
        <v>2959</v>
      </c>
      <c r="F1586" s="62" t="s">
        <v>2959</v>
      </c>
      <c r="G1586" s="62" t="s">
        <v>2960</v>
      </c>
      <c r="H1586" s="62" t="s">
        <v>58</v>
      </c>
      <c r="I1586" s="62" t="s">
        <v>49</v>
      </c>
      <c r="J1586" s="62" t="s">
        <v>146</v>
      </c>
      <c r="K1586" s="62" t="s">
        <v>175</v>
      </c>
      <c r="L1586" s="62" t="s">
        <v>4</v>
      </c>
      <c r="M1586" s="62" t="n">
        <v>1</v>
      </c>
      <c r="N1586" s="62" t="n">
        <v>0</v>
      </c>
      <c r="O1586" s="62" t="n">
        <v>1</v>
      </c>
      <c r="P1586" s="62" t="n">
        <v>0</v>
      </c>
      <c r="Q1586" s="62" t="n">
        <v>0</v>
      </c>
      <c r="R1586" s="62" t="n">
        <v>0</v>
      </c>
      <c r="S1586" s="62" t="n">
        <v>0</v>
      </c>
      <c r="T1586" s="62" t="n">
        <v>0</v>
      </c>
      <c r="U1586" s="62" t="s">
        <v>2056</v>
      </c>
      <c r="V1586" s="62" t="s">
        <v>2057</v>
      </c>
      <c r="W1586" s="62" t="s">
        <v>15</v>
      </c>
      <c r="X1586" s="62" t="s">
        <v>2125</v>
      </c>
      <c r="Y1586" s="62" t="s">
        <v>2059</v>
      </c>
      <c r="Z1586" s="62" t="s">
        <v>2961</v>
      </c>
      <c r="AA1586" s="62" t="s">
        <v>2962</v>
      </c>
      <c r="AB1586" s="62" t="n">
        <v>1</v>
      </c>
      <c r="AC1586" s="62" t="n">
        <v>0</v>
      </c>
      <c r="AD1586" s="62" t="n">
        <v>1</v>
      </c>
      <c r="AE1586" s="62" t="n">
        <f aca="false">IF(AND(Dashboard!$C$9="Yes",AC1586=1),0,1)</f>
        <v>1</v>
      </c>
      <c r="AF1586" s="62" t="n">
        <v>1</v>
      </c>
    </row>
    <row r="1587" customFormat="false" ht="15" hidden="false" customHeight="false" outlineLevel="0" collapsed="false">
      <c r="A1587" s="62" t="n">
        <v>1586</v>
      </c>
      <c r="B1587" s="63" t="n">
        <v>46272.1936574074</v>
      </c>
      <c r="C1587" s="64" t="n">
        <v>46271</v>
      </c>
      <c r="D1587" s="62" t="s">
        <v>393</v>
      </c>
      <c r="E1587" s="62" t="s">
        <v>1155</v>
      </c>
      <c r="F1587" s="62" t="s">
        <v>1155</v>
      </c>
      <c r="G1587" s="62" t="s">
        <v>1156</v>
      </c>
      <c r="H1587" s="62" t="s">
        <v>59</v>
      </c>
      <c r="I1587" s="62" t="s">
        <v>47</v>
      </c>
      <c r="J1587" s="62" t="s">
        <v>146</v>
      </c>
      <c r="K1587" s="62" t="s">
        <v>209</v>
      </c>
      <c r="L1587" s="62" t="s">
        <v>4</v>
      </c>
      <c r="M1587" s="62" t="n">
        <v>1</v>
      </c>
      <c r="N1587" s="62" t="n">
        <v>0</v>
      </c>
      <c r="O1587" s="62" t="n">
        <v>1</v>
      </c>
      <c r="P1587" s="62" t="n">
        <v>0</v>
      </c>
      <c r="Q1587" s="62" t="n">
        <v>0</v>
      </c>
      <c r="R1587" s="62" t="n">
        <v>0</v>
      </c>
      <c r="S1587" s="62" t="n">
        <v>0</v>
      </c>
      <c r="T1587" s="62" t="n">
        <v>0</v>
      </c>
      <c r="U1587" s="62" t="s">
        <v>2056</v>
      </c>
      <c r="V1587" s="62" t="s">
        <v>2057</v>
      </c>
      <c r="W1587" s="62" t="s">
        <v>15</v>
      </c>
      <c r="X1587" s="62" t="s">
        <v>2125</v>
      </c>
      <c r="Y1587" s="62" t="s">
        <v>2059</v>
      </c>
      <c r="Z1587" s="62" t="s">
        <v>2963</v>
      </c>
      <c r="AA1587" s="62" t="s">
        <v>2964</v>
      </c>
      <c r="AB1587" s="62" t="n">
        <v>1</v>
      </c>
      <c r="AC1587" s="62" t="n">
        <v>0</v>
      </c>
      <c r="AD1587" s="62" t="n">
        <v>1</v>
      </c>
      <c r="AE1587" s="62" t="n">
        <f aca="false">IF(AND(Dashboard!$C$9="Yes",AC1587=1),0,1)</f>
        <v>1</v>
      </c>
      <c r="AF1587" s="62" t="n">
        <v>1</v>
      </c>
    </row>
    <row r="1588" customFormat="false" ht="15" hidden="false" customHeight="false" outlineLevel="0" collapsed="false">
      <c r="A1588" s="62" t="n">
        <v>1587</v>
      </c>
      <c r="B1588" s="63" t="n">
        <v>46272.1998842593</v>
      </c>
      <c r="C1588" s="64" t="n">
        <v>46271</v>
      </c>
      <c r="D1588" s="62" t="s">
        <v>393</v>
      </c>
      <c r="E1588" s="62" t="s">
        <v>180</v>
      </c>
      <c r="F1588" s="62" t="s">
        <v>180</v>
      </c>
      <c r="G1588" s="62" t="s">
        <v>181</v>
      </c>
      <c r="H1588" s="62" t="s">
        <v>58</v>
      </c>
      <c r="I1588" s="62" t="s">
        <v>49</v>
      </c>
      <c r="J1588" s="62" t="s">
        <v>146</v>
      </c>
      <c r="K1588" s="62" t="s">
        <v>175</v>
      </c>
      <c r="L1588" s="62" t="s">
        <v>4</v>
      </c>
      <c r="M1588" s="62" t="n">
        <v>1</v>
      </c>
      <c r="N1588" s="62" t="n">
        <v>0</v>
      </c>
      <c r="O1588" s="62" t="n">
        <v>1</v>
      </c>
      <c r="P1588" s="62" t="n">
        <v>0</v>
      </c>
      <c r="Q1588" s="62" t="n">
        <v>0</v>
      </c>
      <c r="R1588" s="62" t="n">
        <v>0</v>
      </c>
      <c r="S1588" s="62" t="n">
        <v>0</v>
      </c>
      <c r="T1588" s="62" t="n">
        <v>0</v>
      </c>
      <c r="U1588" s="62" t="s">
        <v>2056</v>
      </c>
      <c r="V1588" s="62" t="s">
        <v>2057</v>
      </c>
      <c r="W1588" s="62" t="s">
        <v>15</v>
      </c>
      <c r="X1588" s="62" t="s">
        <v>2058</v>
      </c>
      <c r="Y1588" s="62" t="s">
        <v>2059</v>
      </c>
      <c r="Z1588" s="62" t="s">
        <v>2965</v>
      </c>
      <c r="AA1588" s="62" t="s">
        <v>2965</v>
      </c>
      <c r="AB1588" s="62" t="n">
        <v>1</v>
      </c>
      <c r="AC1588" s="62" t="n">
        <v>0</v>
      </c>
      <c r="AD1588" s="62" t="n">
        <v>1</v>
      </c>
      <c r="AE1588" s="62" t="n">
        <f aca="false">IF(AND(Dashboard!$C$9="Yes",AC1588=1),0,1)</f>
        <v>1</v>
      </c>
      <c r="AF1588" s="62" t="n">
        <v>1</v>
      </c>
    </row>
    <row r="1589" customFormat="false" ht="15" hidden="false" customHeight="false" outlineLevel="0" collapsed="false">
      <c r="A1589" s="62" t="n">
        <v>1588</v>
      </c>
      <c r="B1589" s="63" t="n">
        <v>46272.2219560185</v>
      </c>
      <c r="C1589" s="64" t="n">
        <v>46271</v>
      </c>
      <c r="D1589" s="62" t="s">
        <v>393</v>
      </c>
      <c r="E1589" s="62" t="s">
        <v>273</v>
      </c>
      <c r="F1589" s="62" t="s">
        <v>273</v>
      </c>
      <c r="G1589" s="62" t="s">
        <v>274</v>
      </c>
      <c r="H1589" s="62" t="s">
        <v>59</v>
      </c>
      <c r="I1589" s="62" t="s">
        <v>47</v>
      </c>
      <c r="J1589" s="62" t="s">
        <v>146</v>
      </c>
      <c r="K1589" s="62" t="s">
        <v>147</v>
      </c>
      <c r="L1589" s="62" t="s">
        <v>4</v>
      </c>
      <c r="M1589" s="62" t="n">
        <v>1</v>
      </c>
      <c r="N1589" s="62" t="n">
        <v>0</v>
      </c>
      <c r="O1589" s="62" t="n">
        <v>1</v>
      </c>
      <c r="P1589" s="62" t="n">
        <v>0</v>
      </c>
      <c r="Q1589" s="62" t="n">
        <v>0</v>
      </c>
      <c r="R1589" s="62" t="n">
        <v>0</v>
      </c>
      <c r="S1589" s="62" t="n">
        <v>0</v>
      </c>
      <c r="T1589" s="62" t="n">
        <v>0</v>
      </c>
      <c r="U1589" s="62" t="s">
        <v>2056</v>
      </c>
      <c r="V1589" s="62" t="s">
        <v>2057</v>
      </c>
      <c r="W1589" s="62" t="s">
        <v>15</v>
      </c>
      <c r="X1589" s="62" t="s">
        <v>2253</v>
      </c>
      <c r="Y1589" s="62" t="s">
        <v>2059</v>
      </c>
      <c r="Z1589" s="62" t="s">
        <v>2966</v>
      </c>
      <c r="AA1589" s="62" t="s">
        <v>2967</v>
      </c>
      <c r="AB1589" s="62" t="n">
        <v>1</v>
      </c>
      <c r="AC1589" s="62" t="n">
        <v>0</v>
      </c>
      <c r="AD1589" s="62" t="n">
        <v>1</v>
      </c>
      <c r="AE1589" s="62" t="n">
        <f aca="false">IF(AND(Dashboard!$C$9="Yes",AC1589=1),0,1)</f>
        <v>1</v>
      </c>
      <c r="AF1589" s="62" t="n">
        <v>1</v>
      </c>
    </row>
    <row r="1590" customFormat="false" ht="15" hidden="false" customHeight="false" outlineLevel="0" collapsed="false">
      <c r="A1590" s="62" t="n">
        <v>1589</v>
      </c>
      <c r="B1590" s="63" t="n">
        <v>46272.2433680556</v>
      </c>
      <c r="C1590" s="64" t="n">
        <v>46271</v>
      </c>
      <c r="D1590" s="62" t="s">
        <v>393</v>
      </c>
      <c r="E1590" s="62" t="s">
        <v>2385</v>
      </c>
      <c r="F1590" s="62" t="s">
        <v>2385</v>
      </c>
      <c r="G1590" s="62" t="s">
        <v>2386</v>
      </c>
      <c r="H1590" s="62" t="s">
        <v>59</v>
      </c>
      <c r="I1590" s="62" t="s">
        <v>47</v>
      </c>
      <c r="J1590" s="62" t="s">
        <v>146</v>
      </c>
      <c r="K1590" s="62" t="s">
        <v>209</v>
      </c>
      <c r="L1590" s="62" t="s">
        <v>148</v>
      </c>
      <c r="M1590" s="62" t="n">
        <v>0</v>
      </c>
      <c r="N1590" s="62" t="n">
        <v>1</v>
      </c>
      <c r="O1590" s="62" t="n">
        <v>1</v>
      </c>
      <c r="P1590" s="62" t="n">
        <v>1</v>
      </c>
      <c r="Q1590" s="62" t="n">
        <v>0</v>
      </c>
      <c r="R1590" s="62" t="n">
        <v>0</v>
      </c>
      <c r="S1590" s="62" t="n">
        <v>0</v>
      </c>
      <c r="T1590" s="62" t="n">
        <v>0</v>
      </c>
      <c r="U1590" s="62"/>
      <c r="V1590" s="62"/>
      <c r="W1590" s="62"/>
      <c r="X1590" s="62"/>
      <c r="Y1590" s="62"/>
      <c r="Z1590" s="62" t="s">
        <v>2968</v>
      </c>
      <c r="AA1590" s="62" t="s">
        <v>64</v>
      </c>
      <c r="AB1590" s="62" t="n">
        <v>0</v>
      </c>
      <c r="AC1590" s="62" t="n">
        <v>0</v>
      </c>
      <c r="AD1590" s="62" t="n">
        <v>1</v>
      </c>
      <c r="AE1590" s="62" t="n">
        <f aca="false">IF(AND(Dashboard!$C$9="Yes",AC1590=1),0,1)</f>
        <v>1</v>
      </c>
      <c r="AF1590" s="62" t="n">
        <v>0</v>
      </c>
    </row>
    <row r="1591" customFormat="false" ht="15" hidden="false" customHeight="false" outlineLevel="0" collapsed="false">
      <c r="A1591" s="62" t="n">
        <v>1590</v>
      </c>
      <c r="B1591" s="63" t="n">
        <v>46272.3187847222</v>
      </c>
      <c r="C1591" s="64" t="n">
        <v>46271</v>
      </c>
      <c r="D1591" s="62" t="s">
        <v>393</v>
      </c>
      <c r="E1591" s="62" t="s">
        <v>2385</v>
      </c>
      <c r="F1591" s="62" t="s">
        <v>2385</v>
      </c>
      <c r="G1591" s="62" t="s">
        <v>2386</v>
      </c>
      <c r="H1591" s="62" t="s">
        <v>59</v>
      </c>
      <c r="I1591" s="62" t="s">
        <v>47</v>
      </c>
      <c r="J1591" s="62" t="s">
        <v>146</v>
      </c>
      <c r="K1591" s="62" t="s">
        <v>209</v>
      </c>
      <c r="L1591" s="62" t="s">
        <v>148</v>
      </c>
      <c r="M1591" s="62" t="n">
        <v>0</v>
      </c>
      <c r="N1591" s="62" t="n">
        <v>1</v>
      </c>
      <c r="O1591" s="62" t="n">
        <v>1</v>
      </c>
      <c r="P1591" s="62" t="n">
        <v>1</v>
      </c>
      <c r="Q1591" s="62" t="n">
        <v>0</v>
      </c>
      <c r="R1591" s="62" t="n">
        <v>0</v>
      </c>
      <c r="S1591" s="62" t="n">
        <v>0</v>
      </c>
      <c r="T1591" s="62" t="n">
        <v>0</v>
      </c>
      <c r="U1591" s="62"/>
      <c r="V1591" s="62"/>
      <c r="W1591" s="62"/>
      <c r="X1591" s="62"/>
      <c r="Y1591" s="62"/>
      <c r="Z1591" s="62" t="s">
        <v>2969</v>
      </c>
      <c r="AA1591" s="62" t="s">
        <v>2970</v>
      </c>
      <c r="AB1591" s="62" t="n">
        <v>1</v>
      </c>
      <c r="AC1591" s="62" t="n">
        <v>0</v>
      </c>
      <c r="AD1591" s="62" t="n">
        <v>1</v>
      </c>
      <c r="AE1591" s="62" t="n">
        <f aca="false">IF(AND(Dashboard!$C$9="Yes",AC1591=1),0,1)</f>
        <v>1</v>
      </c>
      <c r="AF1591" s="62" t="n">
        <v>0</v>
      </c>
    </row>
    <row r="1592" customFormat="false" ht="15" hidden="false" customHeight="false" outlineLevel="0" collapsed="false">
      <c r="A1592" s="62" t="n">
        <v>1591</v>
      </c>
      <c r="B1592" s="63" t="n">
        <v>46272.7439930556</v>
      </c>
      <c r="C1592" s="64" t="n">
        <v>46272</v>
      </c>
      <c r="D1592" s="62" t="s">
        <v>429</v>
      </c>
      <c r="E1592" s="62" t="s">
        <v>2530</v>
      </c>
      <c r="F1592" s="62" t="s">
        <v>2530</v>
      </c>
      <c r="G1592" s="62" t="s">
        <v>2531</v>
      </c>
      <c r="H1592" s="62" t="s">
        <v>48</v>
      </c>
      <c r="I1592" s="62" t="s">
        <v>49</v>
      </c>
      <c r="J1592" s="62" t="s">
        <v>146</v>
      </c>
      <c r="K1592" s="62" t="s">
        <v>209</v>
      </c>
      <c r="L1592" s="62" t="s">
        <v>148</v>
      </c>
      <c r="M1592" s="62" t="n">
        <v>0</v>
      </c>
      <c r="N1592" s="62" t="n">
        <v>1</v>
      </c>
      <c r="O1592" s="62" t="n">
        <v>1</v>
      </c>
      <c r="P1592" s="62" t="n">
        <v>1</v>
      </c>
      <c r="Q1592" s="62" t="n">
        <v>0</v>
      </c>
      <c r="R1592" s="62" t="n">
        <v>0</v>
      </c>
      <c r="S1592" s="62" t="n">
        <v>0</v>
      </c>
      <c r="T1592" s="62" t="n">
        <v>0</v>
      </c>
      <c r="U1592" s="62"/>
      <c r="V1592" s="62"/>
      <c r="W1592" s="62"/>
      <c r="X1592" s="62"/>
      <c r="Y1592" s="62"/>
      <c r="Z1592" s="62" t="s">
        <v>2971</v>
      </c>
      <c r="AA1592" s="62" t="s">
        <v>2972</v>
      </c>
      <c r="AB1592" s="62" t="n">
        <v>1</v>
      </c>
      <c r="AC1592" s="62" t="n">
        <v>0</v>
      </c>
      <c r="AD1592" s="62" t="n">
        <v>1</v>
      </c>
      <c r="AE1592" s="62" t="n">
        <f aca="false">IF(AND(Dashboard!$C$9="Yes",AC1592=1),0,1)</f>
        <v>1</v>
      </c>
      <c r="AF1592" s="62" t="n">
        <v>1</v>
      </c>
    </row>
    <row r="1593" customFormat="false" ht="15" hidden="false" customHeight="false" outlineLevel="0" collapsed="false">
      <c r="A1593" s="62" t="n">
        <v>1592</v>
      </c>
      <c r="B1593" s="63" t="n">
        <v>46272.7886574074</v>
      </c>
      <c r="C1593" s="64" t="n">
        <v>46272</v>
      </c>
      <c r="D1593" s="62" t="s">
        <v>429</v>
      </c>
      <c r="E1593" s="62" t="s">
        <v>910</v>
      </c>
      <c r="F1593" s="62" t="s">
        <v>910</v>
      </c>
      <c r="G1593" s="62" t="s">
        <v>911</v>
      </c>
      <c r="H1593" s="62" t="s">
        <v>59</v>
      </c>
      <c r="I1593" s="62" t="s">
        <v>47</v>
      </c>
      <c r="J1593" s="62" t="s">
        <v>146</v>
      </c>
      <c r="K1593" s="62" t="s">
        <v>175</v>
      </c>
      <c r="L1593" s="62" t="s">
        <v>4</v>
      </c>
      <c r="M1593" s="62" t="n">
        <v>1</v>
      </c>
      <c r="N1593" s="62" t="n">
        <v>0</v>
      </c>
      <c r="O1593" s="62" t="n">
        <v>1</v>
      </c>
      <c r="P1593" s="62" t="n">
        <v>0</v>
      </c>
      <c r="Q1593" s="62" t="n">
        <v>0</v>
      </c>
      <c r="R1593" s="62" t="n">
        <v>0</v>
      </c>
      <c r="S1593" s="62" t="n">
        <v>0</v>
      </c>
      <c r="T1593" s="62" t="n">
        <v>0</v>
      </c>
      <c r="U1593" s="62" t="s">
        <v>2056</v>
      </c>
      <c r="V1593" s="62" t="s">
        <v>2057</v>
      </c>
      <c r="W1593" s="62" t="s">
        <v>15</v>
      </c>
      <c r="X1593" s="62" t="s">
        <v>2058</v>
      </c>
      <c r="Y1593" s="62" t="s">
        <v>2059</v>
      </c>
      <c r="Z1593" s="62" t="s">
        <v>2973</v>
      </c>
      <c r="AA1593" s="62" t="s">
        <v>2974</v>
      </c>
      <c r="AB1593" s="62" t="n">
        <v>1</v>
      </c>
      <c r="AC1593" s="62" t="n">
        <v>0</v>
      </c>
      <c r="AD1593" s="62" t="n">
        <v>1</v>
      </c>
      <c r="AE1593" s="62" t="n">
        <f aca="false">IF(AND(Dashboard!$C$9="Yes",AC1593=1),0,1)</f>
        <v>1</v>
      </c>
      <c r="AF1593" s="62" t="n">
        <v>1</v>
      </c>
    </row>
    <row r="1594" customFormat="false" ht="15" hidden="false" customHeight="false" outlineLevel="0" collapsed="false">
      <c r="A1594" s="62" t="n">
        <v>1593</v>
      </c>
      <c r="B1594" s="63" t="n">
        <v>46272.7905787037</v>
      </c>
      <c r="C1594" s="64" t="n">
        <v>46272</v>
      </c>
      <c r="D1594" s="62" t="s">
        <v>429</v>
      </c>
      <c r="E1594" s="62" t="s">
        <v>910</v>
      </c>
      <c r="F1594" s="62" t="s">
        <v>910</v>
      </c>
      <c r="G1594" s="62" t="s">
        <v>911</v>
      </c>
      <c r="H1594" s="62" t="s">
        <v>59</v>
      </c>
      <c r="I1594" s="62" t="s">
        <v>47</v>
      </c>
      <c r="J1594" s="62" t="s">
        <v>146</v>
      </c>
      <c r="K1594" s="62" t="s">
        <v>175</v>
      </c>
      <c r="L1594" s="62" t="s">
        <v>4</v>
      </c>
      <c r="M1594" s="62" t="n">
        <v>1</v>
      </c>
      <c r="N1594" s="62" t="n">
        <v>0</v>
      </c>
      <c r="O1594" s="62" t="n">
        <v>1</v>
      </c>
      <c r="P1594" s="62" t="n">
        <v>0</v>
      </c>
      <c r="Q1594" s="62" t="n">
        <v>0</v>
      </c>
      <c r="R1594" s="62" t="n">
        <v>0</v>
      </c>
      <c r="S1594" s="62" t="n">
        <v>0</v>
      </c>
      <c r="T1594" s="62" t="n">
        <v>0</v>
      </c>
      <c r="U1594" s="62" t="s">
        <v>2056</v>
      </c>
      <c r="V1594" s="62" t="s">
        <v>2057</v>
      </c>
      <c r="W1594" s="62" t="s">
        <v>15</v>
      </c>
      <c r="X1594" s="62" t="s">
        <v>2058</v>
      </c>
      <c r="Y1594" s="62" t="s">
        <v>2059</v>
      </c>
      <c r="Z1594" s="62" t="s">
        <v>2975</v>
      </c>
      <c r="AA1594" s="62" t="s">
        <v>2582</v>
      </c>
      <c r="AB1594" s="62" t="n">
        <v>1</v>
      </c>
      <c r="AC1594" s="62" t="n">
        <v>0</v>
      </c>
      <c r="AD1594" s="62" t="n">
        <v>1</v>
      </c>
      <c r="AE1594" s="62" t="n">
        <f aca="false">IF(AND(Dashboard!$C$9="Yes",AC1594=1),0,1)</f>
        <v>1</v>
      </c>
      <c r="AF1594" s="62" t="n">
        <v>0</v>
      </c>
    </row>
    <row r="1595" customFormat="false" ht="15" hidden="false" customHeight="false" outlineLevel="0" collapsed="false">
      <c r="A1595" s="62" t="n">
        <v>1594</v>
      </c>
      <c r="B1595" s="63" t="n">
        <v>46272.7910069445</v>
      </c>
      <c r="C1595" s="64" t="n">
        <v>46272</v>
      </c>
      <c r="D1595" s="62" t="s">
        <v>429</v>
      </c>
      <c r="E1595" s="62" t="s">
        <v>910</v>
      </c>
      <c r="F1595" s="62" t="s">
        <v>910</v>
      </c>
      <c r="G1595" s="62" t="s">
        <v>911</v>
      </c>
      <c r="H1595" s="62" t="s">
        <v>59</v>
      </c>
      <c r="I1595" s="62" t="s">
        <v>47</v>
      </c>
      <c r="J1595" s="62" t="s">
        <v>146</v>
      </c>
      <c r="K1595" s="62" t="s">
        <v>175</v>
      </c>
      <c r="L1595" s="62" t="s">
        <v>4</v>
      </c>
      <c r="M1595" s="62" t="n">
        <v>1</v>
      </c>
      <c r="N1595" s="62" t="n">
        <v>0</v>
      </c>
      <c r="O1595" s="62" t="n">
        <v>1</v>
      </c>
      <c r="P1595" s="62" t="n">
        <v>0</v>
      </c>
      <c r="Q1595" s="62" t="n">
        <v>0</v>
      </c>
      <c r="R1595" s="62" t="n">
        <v>0</v>
      </c>
      <c r="S1595" s="62" t="n">
        <v>0</v>
      </c>
      <c r="T1595" s="62" t="n">
        <v>0</v>
      </c>
      <c r="U1595" s="62" t="s">
        <v>2056</v>
      </c>
      <c r="V1595" s="62" t="s">
        <v>2057</v>
      </c>
      <c r="W1595" s="62" t="s">
        <v>15</v>
      </c>
      <c r="X1595" s="62" t="s">
        <v>2058</v>
      </c>
      <c r="Y1595" s="62" t="s">
        <v>2059</v>
      </c>
      <c r="Z1595" s="62" t="s">
        <v>2976</v>
      </c>
      <c r="AA1595" s="62" t="s">
        <v>2483</v>
      </c>
      <c r="AB1595" s="62" t="n">
        <v>1</v>
      </c>
      <c r="AC1595" s="62" t="n">
        <v>0</v>
      </c>
      <c r="AD1595" s="62" t="n">
        <v>1</v>
      </c>
      <c r="AE1595" s="62" t="n">
        <f aca="false">IF(AND(Dashboard!$C$9="Yes",AC1595=1),0,1)</f>
        <v>1</v>
      </c>
      <c r="AF1595" s="62" t="n">
        <v>0</v>
      </c>
    </row>
    <row r="1596" customFormat="false" ht="15" hidden="false" customHeight="false" outlineLevel="0" collapsed="false">
      <c r="A1596" s="62" t="n">
        <v>1595</v>
      </c>
      <c r="B1596" s="63" t="n">
        <v>46272.801400463</v>
      </c>
      <c r="C1596" s="64" t="n">
        <v>46272</v>
      </c>
      <c r="D1596" s="62" t="s">
        <v>429</v>
      </c>
      <c r="E1596" s="62" t="s">
        <v>2464</v>
      </c>
      <c r="F1596" s="62" t="s">
        <v>2464</v>
      </c>
      <c r="G1596" s="62" t="s">
        <v>2465</v>
      </c>
      <c r="H1596" s="62" t="s">
        <v>59</v>
      </c>
      <c r="I1596" s="62" t="s">
        <v>47</v>
      </c>
      <c r="J1596" s="62" t="s">
        <v>146</v>
      </c>
      <c r="K1596" s="62" t="s">
        <v>175</v>
      </c>
      <c r="L1596" s="62" t="s">
        <v>4</v>
      </c>
      <c r="M1596" s="62" t="n">
        <v>1</v>
      </c>
      <c r="N1596" s="62" t="n">
        <v>0</v>
      </c>
      <c r="O1596" s="62" t="n">
        <v>1</v>
      </c>
      <c r="P1596" s="62" t="n">
        <v>0</v>
      </c>
      <c r="Q1596" s="62" t="n">
        <v>0</v>
      </c>
      <c r="R1596" s="62" t="n">
        <v>0</v>
      </c>
      <c r="S1596" s="62" t="n">
        <v>0</v>
      </c>
      <c r="T1596" s="62" t="n">
        <v>0</v>
      </c>
      <c r="U1596" s="62" t="s">
        <v>2056</v>
      </c>
      <c r="V1596" s="62" t="s">
        <v>2057</v>
      </c>
      <c r="W1596" s="62" t="s">
        <v>15</v>
      </c>
      <c r="X1596" s="62" t="s">
        <v>2058</v>
      </c>
      <c r="Y1596" s="62" t="s">
        <v>2103</v>
      </c>
      <c r="Z1596" s="62" t="s">
        <v>2977</v>
      </c>
      <c r="AA1596" s="62" t="s">
        <v>2977</v>
      </c>
      <c r="AB1596" s="62" t="n">
        <v>1</v>
      </c>
      <c r="AC1596" s="62" t="n">
        <v>0</v>
      </c>
      <c r="AD1596" s="62" t="n">
        <v>1</v>
      </c>
      <c r="AE1596" s="62" t="n">
        <f aca="false">IF(AND(Dashboard!$C$9="Yes",AC1596=1),0,1)</f>
        <v>1</v>
      </c>
      <c r="AF1596" s="62" t="n">
        <v>1</v>
      </c>
    </row>
    <row r="1597" customFormat="false" ht="15" hidden="false" customHeight="false" outlineLevel="0" collapsed="false">
      <c r="A1597" s="62" t="n">
        <v>1596</v>
      </c>
      <c r="B1597" s="63" t="n">
        <v>46272.8065740741</v>
      </c>
      <c r="C1597" s="64" t="n">
        <v>46272</v>
      </c>
      <c r="D1597" s="62" t="s">
        <v>429</v>
      </c>
      <c r="E1597" s="62" t="s">
        <v>203</v>
      </c>
      <c r="F1597" s="62" t="s">
        <v>203</v>
      </c>
      <c r="G1597" s="62" t="s">
        <v>204</v>
      </c>
      <c r="H1597" s="62" t="s">
        <v>51</v>
      </c>
      <c r="I1597" s="62" t="s">
        <v>47</v>
      </c>
      <c r="J1597" s="62" t="s">
        <v>146</v>
      </c>
      <c r="K1597" s="62" t="s">
        <v>147</v>
      </c>
      <c r="L1597" s="62" t="s">
        <v>148</v>
      </c>
      <c r="M1597" s="62" t="n">
        <v>0</v>
      </c>
      <c r="N1597" s="62" t="n">
        <v>1</v>
      </c>
      <c r="O1597" s="62" t="n">
        <v>1</v>
      </c>
      <c r="P1597" s="62" t="n">
        <v>1</v>
      </c>
      <c r="Q1597" s="62" t="n">
        <v>0</v>
      </c>
      <c r="R1597" s="62" t="n">
        <v>0</v>
      </c>
      <c r="S1597" s="62" t="n">
        <v>0</v>
      </c>
      <c r="T1597" s="62" t="n">
        <v>0</v>
      </c>
      <c r="U1597" s="62"/>
      <c r="V1597" s="62"/>
      <c r="W1597" s="62"/>
      <c r="X1597" s="62"/>
      <c r="Y1597" s="62"/>
      <c r="Z1597" s="62" t="s">
        <v>2978</v>
      </c>
      <c r="AA1597" s="62" t="s">
        <v>485</v>
      </c>
      <c r="AB1597" s="62" t="n">
        <v>0</v>
      </c>
      <c r="AC1597" s="62" t="n">
        <v>0</v>
      </c>
      <c r="AD1597" s="62" t="n">
        <v>1</v>
      </c>
      <c r="AE1597" s="62" t="n">
        <f aca="false">IF(AND(Dashboard!$C$9="Yes",AC1597=1),0,1)</f>
        <v>1</v>
      </c>
      <c r="AF1597" s="62" t="n">
        <v>1</v>
      </c>
    </row>
    <row r="1598" customFormat="false" ht="15" hidden="false" customHeight="false" outlineLevel="0" collapsed="false">
      <c r="A1598" s="62" t="n">
        <v>1597</v>
      </c>
      <c r="B1598" s="63" t="n">
        <v>46272.8135648148</v>
      </c>
      <c r="C1598" s="64" t="n">
        <v>46272</v>
      </c>
      <c r="D1598" s="62" t="s">
        <v>429</v>
      </c>
      <c r="E1598" s="62" t="s">
        <v>2777</v>
      </c>
      <c r="F1598" s="62" t="s">
        <v>2777</v>
      </c>
      <c r="G1598" s="62" t="s">
        <v>2778</v>
      </c>
      <c r="H1598" s="62" t="s">
        <v>48</v>
      </c>
      <c r="I1598" s="62" t="s">
        <v>49</v>
      </c>
      <c r="J1598" s="62" t="s">
        <v>146</v>
      </c>
      <c r="K1598" s="62" t="s">
        <v>209</v>
      </c>
      <c r="L1598" s="62" t="s">
        <v>4</v>
      </c>
      <c r="M1598" s="62" t="n">
        <v>1</v>
      </c>
      <c r="N1598" s="62" t="n">
        <v>0</v>
      </c>
      <c r="O1598" s="62" t="n">
        <v>1</v>
      </c>
      <c r="P1598" s="62" t="n">
        <v>0</v>
      </c>
      <c r="Q1598" s="62" t="n">
        <v>0</v>
      </c>
      <c r="R1598" s="62" t="n">
        <v>0</v>
      </c>
      <c r="S1598" s="62" t="n">
        <v>0</v>
      </c>
      <c r="T1598" s="62" t="n">
        <v>0</v>
      </c>
      <c r="U1598" s="62" t="s">
        <v>2056</v>
      </c>
      <c r="V1598" s="62" t="s">
        <v>2057</v>
      </c>
      <c r="W1598" s="62" t="s">
        <v>15</v>
      </c>
      <c r="X1598" s="62" t="s">
        <v>2058</v>
      </c>
      <c r="Y1598" s="62" t="s">
        <v>2103</v>
      </c>
      <c r="Z1598" s="62" t="s">
        <v>2979</v>
      </c>
      <c r="AA1598" s="62" t="s">
        <v>2980</v>
      </c>
      <c r="AB1598" s="62" t="n">
        <v>1</v>
      </c>
      <c r="AC1598" s="62" t="n">
        <v>0</v>
      </c>
      <c r="AD1598" s="62" t="n">
        <v>1</v>
      </c>
      <c r="AE1598" s="62" t="n">
        <f aca="false">IF(AND(Dashboard!$C$9="Yes",AC1598=1),0,1)</f>
        <v>1</v>
      </c>
      <c r="AF1598" s="62" t="n">
        <v>1</v>
      </c>
    </row>
    <row r="1599" customFormat="false" ht="15" hidden="false" customHeight="false" outlineLevel="0" collapsed="false">
      <c r="A1599" s="62" t="n">
        <v>1598</v>
      </c>
      <c r="B1599" s="63" t="n">
        <v>46272.82625</v>
      </c>
      <c r="C1599" s="64" t="n">
        <v>46272</v>
      </c>
      <c r="D1599" s="62" t="s">
        <v>429</v>
      </c>
      <c r="E1599" s="62" t="s">
        <v>2464</v>
      </c>
      <c r="F1599" s="62" t="s">
        <v>2464</v>
      </c>
      <c r="G1599" s="62" t="s">
        <v>2465</v>
      </c>
      <c r="H1599" s="62" t="s">
        <v>59</v>
      </c>
      <c r="I1599" s="62" t="s">
        <v>47</v>
      </c>
      <c r="J1599" s="62" t="s">
        <v>146</v>
      </c>
      <c r="K1599" s="62" t="s">
        <v>175</v>
      </c>
      <c r="L1599" s="62" t="s">
        <v>148</v>
      </c>
      <c r="M1599" s="62" t="n">
        <v>0</v>
      </c>
      <c r="N1599" s="62" t="n">
        <v>2</v>
      </c>
      <c r="O1599" s="62" t="n">
        <v>2</v>
      </c>
      <c r="P1599" s="62" t="n">
        <v>1</v>
      </c>
      <c r="Q1599" s="62" t="n">
        <v>1</v>
      </c>
      <c r="R1599" s="62" t="n">
        <v>0</v>
      </c>
      <c r="S1599" s="62" t="n">
        <v>0</v>
      </c>
      <c r="T1599" s="62" t="n">
        <v>0</v>
      </c>
      <c r="U1599" s="62"/>
      <c r="V1599" s="62"/>
      <c r="W1599" s="62"/>
      <c r="X1599" s="62"/>
      <c r="Y1599" s="62"/>
      <c r="Z1599" s="62" t="s">
        <v>2981</v>
      </c>
      <c r="AA1599" s="62" t="s">
        <v>2982</v>
      </c>
      <c r="AB1599" s="62" t="n">
        <v>1</v>
      </c>
      <c r="AC1599" s="62" t="n">
        <v>0</v>
      </c>
      <c r="AD1599" s="62" t="n">
        <v>1</v>
      </c>
      <c r="AE1599" s="62" t="n">
        <f aca="false">IF(AND(Dashboard!$C$9="Yes",AC1599=1),0,1)</f>
        <v>1</v>
      </c>
      <c r="AF1599" s="62" t="n">
        <v>0</v>
      </c>
    </row>
    <row r="1600" customFormat="false" ht="15" hidden="false" customHeight="false" outlineLevel="0" collapsed="false">
      <c r="A1600" s="62" t="n">
        <v>1599</v>
      </c>
      <c r="B1600" s="63" t="n">
        <v>46272.8368981482</v>
      </c>
      <c r="C1600" s="64" t="n">
        <v>46272</v>
      </c>
      <c r="D1600" s="62" t="s">
        <v>429</v>
      </c>
      <c r="E1600" s="62" t="s">
        <v>1382</v>
      </c>
      <c r="F1600" s="62" t="s">
        <v>1382</v>
      </c>
      <c r="G1600" s="62" t="s">
        <v>1383</v>
      </c>
      <c r="H1600" s="62" t="s">
        <v>58</v>
      </c>
      <c r="I1600" s="62" t="s">
        <v>49</v>
      </c>
      <c r="J1600" s="62" t="s">
        <v>146</v>
      </c>
      <c r="K1600" s="62" t="s">
        <v>175</v>
      </c>
      <c r="L1600" s="62" t="s">
        <v>148</v>
      </c>
      <c r="M1600" s="62" t="n">
        <v>0</v>
      </c>
      <c r="N1600" s="62" t="n">
        <v>1</v>
      </c>
      <c r="O1600" s="62" t="n">
        <v>1</v>
      </c>
      <c r="P1600" s="62" t="n">
        <v>1</v>
      </c>
      <c r="Q1600" s="62" t="n">
        <v>0</v>
      </c>
      <c r="R1600" s="62" t="n">
        <v>0</v>
      </c>
      <c r="S1600" s="62" t="n">
        <v>0</v>
      </c>
      <c r="T1600" s="62" t="n">
        <v>0</v>
      </c>
      <c r="U1600" s="62"/>
      <c r="V1600" s="62"/>
      <c r="W1600" s="62"/>
      <c r="X1600" s="62"/>
      <c r="Y1600" s="62"/>
      <c r="Z1600" s="62" t="s">
        <v>2983</v>
      </c>
      <c r="AA1600" s="62" t="s">
        <v>2984</v>
      </c>
      <c r="AB1600" s="62" t="n">
        <v>1</v>
      </c>
      <c r="AC1600" s="62" t="n">
        <v>0</v>
      </c>
      <c r="AD1600" s="62" t="n">
        <v>1</v>
      </c>
      <c r="AE1600" s="62" t="n">
        <f aca="false">IF(AND(Dashboard!$C$9="Yes",AC1600=1),0,1)</f>
        <v>1</v>
      </c>
      <c r="AF1600" s="62" t="n">
        <v>1</v>
      </c>
    </row>
    <row r="1601" customFormat="false" ht="15" hidden="false" customHeight="false" outlineLevel="0" collapsed="false">
      <c r="A1601" s="62" t="n">
        <v>1600</v>
      </c>
      <c r="B1601" s="63" t="n">
        <v>46272.8403240741</v>
      </c>
      <c r="C1601" s="64" t="n">
        <v>46272</v>
      </c>
      <c r="D1601" s="62" t="s">
        <v>429</v>
      </c>
      <c r="E1601" s="62" t="s">
        <v>160</v>
      </c>
      <c r="F1601" s="62" t="s">
        <v>160</v>
      </c>
      <c r="G1601" s="62" t="s">
        <v>161</v>
      </c>
      <c r="H1601" s="62" t="s">
        <v>51</v>
      </c>
      <c r="I1601" s="62" t="s">
        <v>47</v>
      </c>
      <c r="J1601" s="62" t="s">
        <v>146</v>
      </c>
      <c r="K1601" s="62" t="s">
        <v>147</v>
      </c>
      <c r="L1601" s="62" t="s">
        <v>148</v>
      </c>
      <c r="M1601" s="62" t="n">
        <v>0</v>
      </c>
      <c r="N1601" s="62" t="n">
        <v>2</v>
      </c>
      <c r="O1601" s="62" t="n">
        <v>2</v>
      </c>
      <c r="P1601" s="62" t="n">
        <v>1</v>
      </c>
      <c r="Q1601" s="62" t="n">
        <v>1</v>
      </c>
      <c r="R1601" s="62" t="n">
        <v>0</v>
      </c>
      <c r="S1601" s="62" t="n">
        <v>0</v>
      </c>
      <c r="T1601" s="62" t="n">
        <v>0</v>
      </c>
      <c r="U1601" s="62"/>
      <c r="V1601" s="62"/>
      <c r="W1601" s="62"/>
      <c r="X1601" s="62"/>
      <c r="Y1601" s="62"/>
      <c r="Z1601" s="62" t="s">
        <v>2985</v>
      </c>
      <c r="AA1601" s="62" t="s">
        <v>2986</v>
      </c>
      <c r="AB1601" s="62" t="n">
        <v>1</v>
      </c>
      <c r="AC1601" s="62" t="n">
        <v>0</v>
      </c>
      <c r="AD1601" s="62" t="n">
        <v>1</v>
      </c>
      <c r="AE1601" s="62" t="n">
        <f aca="false">IF(AND(Dashboard!$C$9="Yes",AC1601=1),0,1)</f>
        <v>1</v>
      </c>
      <c r="AF1601" s="62" t="n">
        <v>1</v>
      </c>
    </row>
    <row r="1602" customFormat="false" ht="15" hidden="false" customHeight="false" outlineLevel="0" collapsed="false">
      <c r="A1602" s="62" t="n">
        <v>1601</v>
      </c>
      <c r="B1602" s="63" t="n">
        <v>46272.8503125</v>
      </c>
      <c r="C1602" s="64" t="n">
        <v>46272</v>
      </c>
      <c r="D1602" s="62" t="s">
        <v>429</v>
      </c>
      <c r="E1602" s="62" t="s">
        <v>910</v>
      </c>
      <c r="F1602" s="62" t="s">
        <v>910</v>
      </c>
      <c r="G1602" s="62" t="s">
        <v>911</v>
      </c>
      <c r="H1602" s="62" t="s">
        <v>59</v>
      </c>
      <c r="I1602" s="62" t="s">
        <v>47</v>
      </c>
      <c r="J1602" s="62" t="s">
        <v>146</v>
      </c>
      <c r="K1602" s="62" t="s">
        <v>175</v>
      </c>
      <c r="L1602" s="62" t="s">
        <v>4</v>
      </c>
      <c r="M1602" s="62" t="n">
        <v>1</v>
      </c>
      <c r="N1602" s="62" t="n">
        <v>0</v>
      </c>
      <c r="O1602" s="62" t="n">
        <v>1</v>
      </c>
      <c r="P1602" s="62" t="n">
        <v>0</v>
      </c>
      <c r="Q1602" s="62" t="n">
        <v>0</v>
      </c>
      <c r="R1602" s="62" t="n">
        <v>0</v>
      </c>
      <c r="S1602" s="62" t="n">
        <v>0</v>
      </c>
      <c r="T1602" s="62" t="n">
        <v>0</v>
      </c>
      <c r="U1602" s="62" t="s">
        <v>2056</v>
      </c>
      <c r="V1602" s="62" t="s">
        <v>2057</v>
      </c>
      <c r="W1602" s="62" t="s">
        <v>15</v>
      </c>
      <c r="X1602" s="62" t="s">
        <v>2058</v>
      </c>
      <c r="Y1602" s="62" t="s">
        <v>2059</v>
      </c>
      <c r="Z1602" s="62" t="s">
        <v>2987</v>
      </c>
      <c r="AA1602" s="62" t="s">
        <v>2483</v>
      </c>
      <c r="AB1602" s="62" t="n">
        <v>1</v>
      </c>
      <c r="AC1602" s="62" t="n">
        <v>0</v>
      </c>
      <c r="AD1602" s="62" t="n">
        <v>1</v>
      </c>
      <c r="AE1602" s="62" t="n">
        <f aca="false">IF(AND(Dashboard!$C$9="Yes",AC1602=1),0,1)</f>
        <v>1</v>
      </c>
      <c r="AF1602" s="62" t="n">
        <v>0</v>
      </c>
    </row>
    <row r="1603" customFormat="false" ht="15" hidden="false" customHeight="false" outlineLevel="0" collapsed="false">
      <c r="A1603" s="62" t="n">
        <v>1602</v>
      </c>
      <c r="B1603" s="63" t="n">
        <v>46272.8931365741</v>
      </c>
      <c r="C1603" s="64" t="n">
        <v>46272</v>
      </c>
      <c r="D1603" s="62" t="s">
        <v>429</v>
      </c>
      <c r="E1603" s="62" t="s">
        <v>1590</v>
      </c>
      <c r="F1603" s="62" t="s">
        <v>1590</v>
      </c>
      <c r="G1603" s="62" t="s">
        <v>1591</v>
      </c>
      <c r="H1603" s="62" t="s">
        <v>52</v>
      </c>
      <c r="I1603" s="62" t="s">
        <v>47</v>
      </c>
      <c r="J1603" s="62" t="s">
        <v>146</v>
      </c>
      <c r="K1603" s="62" t="s">
        <v>209</v>
      </c>
      <c r="L1603" s="62" t="s">
        <v>148</v>
      </c>
      <c r="M1603" s="62" t="n">
        <v>0</v>
      </c>
      <c r="N1603" s="62" t="n">
        <v>1</v>
      </c>
      <c r="O1603" s="62" t="n">
        <v>1</v>
      </c>
      <c r="P1603" s="62" t="n">
        <v>0</v>
      </c>
      <c r="Q1603" s="62" t="n">
        <v>1</v>
      </c>
      <c r="R1603" s="62" t="n">
        <v>0</v>
      </c>
      <c r="S1603" s="62" t="n">
        <v>0</v>
      </c>
      <c r="T1603" s="62" t="n">
        <v>0</v>
      </c>
      <c r="U1603" s="62"/>
      <c r="V1603" s="62"/>
      <c r="W1603" s="62"/>
      <c r="X1603" s="62"/>
      <c r="Y1603" s="62"/>
      <c r="Z1603" s="62" t="s">
        <v>2988</v>
      </c>
      <c r="AA1603" s="62" t="s">
        <v>2989</v>
      </c>
      <c r="AB1603" s="62" t="n">
        <v>1</v>
      </c>
      <c r="AC1603" s="62" t="n">
        <v>0</v>
      </c>
      <c r="AD1603" s="62" t="n">
        <v>1</v>
      </c>
      <c r="AE1603" s="62" t="n">
        <f aca="false">IF(AND(Dashboard!$C$9="Yes",AC1603=1),0,1)</f>
        <v>1</v>
      </c>
      <c r="AF1603" s="62" t="n">
        <v>1</v>
      </c>
    </row>
    <row r="1604" customFormat="false" ht="15" hidden="false" customHeight="false" outlineLevel="0" collapsed="false">
      <c r="A1604" s="62" t="n">
        <v>1603</v>
      </c>
      <c r="B1604" s="63" t="n">
        <v>46272.9008796296</v>
      </c>
      <c r="C1604" s="64" t="n">
        <v>46272</v>
      </c>
      <c r="D1604" s="62" t="s">
        <v>429</v>
      </c>
      <c r="E1604" s="62" t="s">
        <v>1749</v>
      </c>
      <c r="F1604" s="62" t="s">
        <v>1749</v>
      </c>
      <c r="G1604" s="62" t="s">
        <v>1750</v>
      </c>
      <c r="H1604" s="62" t="s">
        <v>57</v>
      </c>
      <c r="I1604" s="62" t="s">
        <v>47</v>
      </c>
      <c r="J1604" s="62" t="s">
        <v>146</v>
      </c>
      <c r="K1604" s="62" t="s">
        <v>209</v>
      </c>
      <c r="L1604" s="62" t="s">
        <v>4</v>
      </c>
      <c r="M1604" s="62" t="n">
        <v>1</v>
      </c>
      <c r="N1604" s="62" t="n">
        <v>0</v>
      </c>
      <c r="O1604" s="62" t="n">
        <v>1</v>
      </c>
      <c r="P1604" s="62" t="n">
        <v>0</v>
      </c>
      <c r="Q1604" s="62" t="n">
        <v>0</v>
      </c>
      <c r="R1604" s="62" t="n">
        <v>0</v>
      </c>
      <c r="S1604" s="62" t="n">
        <v>0</v>
      </c>
      <c r="T1604" s="62" t="n">
        <v>0</v>
      </c>
      <c r="U1604" s="62" t="s">
        <v>15</v>
      </c>
      <c r="V1604" s="62" t="s">
        <v>2057</v>
      </c>
      <c r="W1604" s="62" t="s">
        <v>15</v>
      </c>
      <c r="X1604" s="62" t="s">
        <v>2058</v>
      </c>
      <c r="Y1604" s="62" t="s">
        <v>2181</v>
      </c>
      <c r="Z1604" s="62" t="s">
        <v>2990</v>
      </c>
      <c r="AA1604" s="62" t="s">
        <v>2991</v>
      </c>
      <c r="AB1604" s="62" t="n">
        <v>1</v>
      </c>
      <c r="AC1604" s="62" t="n">
        <v>0</v>
      </c>
      <c r="AD1604" s="62" t="n">
        <v>1</v>
      </c>
      <c r="AE1604" s="62" t="n">
        <f aca="false">IF(AND(Dashboard!$C$9="Yes",AC1604=1),0,1)</f>
        <v>1</v>
      </c>
      <c r="AF1604" s="62" t="n">
        <v>1</v>
      </c>
    </row>
    <row r="1605" customFormat="false" ht="15" hidden="false" customHeight="false" outlineLevel="0" collapsed="false">
      <c r="A1605" s="62" t="n">
        <v>1604</v>
      </c>
      <c r="B1605" s="63" t="n">
        <v>46272.9009027778</v>
      </c>
      <c r="C1605" s="64" t="n">
        <v>46272</v>
      </c>
      <c r="D1605" s="62" t="s">
        <v>429</v>
      </c>
      <c r="E1605" s="62" t="s">
        <v>1749</v>
      </c>
      <c r="F1605" s="62" t="s">
        <v>1749</v>
      </c>
      <c r="G1605" s="62" t="s">
        <v>1750</v>
      </c>
      <c r="H1605" s="62" t="s">
        <v>57</v>
      </c>
      <c r="I1605" s="62" t="s">
        <v>47</v>
      </c>
      <c r="J1605" s="62" t="s">
        <v>146</v>
      </c>
      <c r="K1605" s="62" t="s">
        <v>209</v>
      </c>
      <c r="L1605" s="62" t="s">
        <v>4</v>
      </c>
      <c r="M1605" s="62" t="n">
        <v>1</v>
      </c>
      <c r="N1605" s="62" t="n">
        <v>0</v>
      </c>
      <c r="O1605" s="62" t="n">
        <v>1</v>
      </c>
      <c r="P1605" s="62" t="n">
        <v>0</v>
      </c>
      <c r="Q1605" s="62" t="n">
        <v>0</v>
      </c>
      <c r="R1605" s="62" t="n">
        <v>0</v>
      </c>
      <c r="S1605" s="62" t="n">
        <v>0</v>
      </c>
      <c r="T1605" s="62" t="n">
        <v>0</v>
      </c>
      <c r="U1605" s="62" t="s">
        <v>15</v>
      </c>
      <c r="V1605" s="62" t="s">
        <v>2057</v>
      </c>
      <c r="W1605" s="62" t="s">
        <v>15</v>
      </c>
      <c r="X1605" s="62" t="s">
        <v>2058</v>
      </c>
      <c r="Y1605" s="62" t="s">
        <v>2181</v>
      </c>
      <c r="Z1605" s="62" t="s">
        <v>2990</v>
      </c>
      <c r="AA1605" s="62" t="s">
        <v>2991</v>
      </c>
      <c r="AB1605" s="62" t="n">
        <v>1</v>
      </c>
      <c r="AC1605" s="62" t="n">
        <v>1</v>
      </c>
      <c r="AD1605" s="62" t="n">
        <v>1</v>
      </c>
      <c r="AE1605" s="62" t="n">
        <f aca="false">IF(AND(Dashboard!$C$9="Yes",AC1605=1),0,1)</f>
        <v>0</v>
      </c>
      <c r="AF1605" s="62" t="n">
        <v>0</v>
      </c>
    </row>
    <row r="1606" customFormat="false" ht="15" hidden="false" customHeight="false" outlineLevel="0" collapsed="false">
      <c r="A1606" s="62" t="n">
        <v>1605</v>
      </c>
      <c r="B1606" s="63" t="n">
        <v>46272.9011342593</v>
      </c>
      <c r="C1606" s="64" t="n">
        <v>46272</v>
      </c>
      <c r="D1606" s="62" t="s">
        <v>429</v>
      </c>
      <c r="E1606" s="62" t="s">
        <v>1749</v>
      </c>
      <c r="F1606" s="62" t="s">
        <v>1749</v>
      </c>
      <c r="G1606" s="62" t="s">
        <v>1750</v>
      </c>
      <c r="H1606" s="62" t="s">
        <v>57</v>
      </c>
      <c r="I1606" s="62" t="s">
        <v>47</v>
      </c>
      <c r="J1606" s="62" t="s">
        <v>146</v>
      </c>
      <c r="K1606" s="62" t="s">
        <v>209</v>
      </c>
      <c r="L1606" s="62" t="s">
        <v>148</v>
      </c>
      <c r="M1606" s="62" t="n">
        <v>0</v>
      </c>
      <c r="N1606" s="62" t="n">
        <v>1</v>
      </c>
      <c r="O1606" s="62" t="n">
        <v>1</v>
      </c>
      <c r="P1606" s="62" t="n">
        <v>0</v>
      </c>
      <c r="Q1606" s="62" t="n">
        <v>1</v>
      </c>
      <c r="R1606" s="62" t="n">
        <v>0</v>
      </c>
      <c r="S1606" s="62" t="n">
        <v>0</v>
      </c>
      <c r="T1606" s="62" t="n">
        <v>0</v>
      </c>
      <c r="U1606" s="62"/>
      <c r="V1606" s="62"/>
      <c r="W1606" s="62"/>
      <c r="X1606" s="62"/>
      <c r="Y1606" s="62"/>
      <c r="Z1606" s="62" t="s">
        <v>2990</v>
      </c>
      <c r="AA1606" s="62" t="s">
        <v>2991</v>
      </c>
      <c r="AB1606" s="62" t="n">
        <v>1</v>
      </c>
      <c r="AC1606" s="62" t="n">
        <v>0</v>
      </c>
      <c r="AD1606" s="62" t="n">
        <v>1</v>
      </c>
      <c r="AE1606" s="62" t="n">
        <f aca="false">IF(AND(Dashboard!$C$9="Yes",AC1606=1),0,1)</f>
        <v>1</v>
      </c>
      <c r="AF1606" s="62" t="n">
        <v>0</v>
      </c>
    </row>
    <row r="1607" customFormat="false" ht="15" hidden="false" customHeight="false" outlineLevel="0" collapsed="false">
      <c r="A1607" s="62" t="n">
        <v>1606</v>
      </c>
      <c r="B1607" s="63" t="n">
        <v>46272.9013657407</v>
      </c>
      <c r="C1607" s="64" t="n">
        <v>46272</v>
      </c>
      <c r="D1607" s="62" t="s">
        <v>429</v>
      </c>
      <c r="E1607" s="62" t="s">
        <v>164</v>
      </c>
      <c r="F1607" s="62" t="s">
        <v>164</v>
      </c>
      <c r="G1607" s="62" t="s">
        <v>165</v>
      </c>
      <c r="H1607" s="62" t="s">
        <v>51</v>
      </c>
      <c r="I1607" s="62" t="s">
        <v>47</v>
      </c>
      <c r="J1607" s="62" t="s">
        <v>146</v>
      </c>
      <c r="K1607" s="62" t="s">
        <v>147</v>
      </c>
      <c r="L1607" s="62" t="s">
        <v>148</v>
      </c>
      <c r="M1607" s="62" t="n">
        <v>0</v>
      </c>
      <c r="N1607" s="62" t="n">
        <v>1</v>
      </c>
      <c r="O1607" s="62" t="n">
        <v>1</v>
      </c>
      <c r="P1607" s="62" t="n">
        <v>1</v>
      </c>
      <c r="Q1607" s="62" t="n">
        <v>0</v>
      </c>
      <c r="R1607" s="62" t="n">
        <v>0</v>
      </c>
      <c r="S1607" s="62" t="n">
        <v>0</v>
      </c>
      <c r="T1607" s="62" t="n">
        <v>0</v>
      </c>
      <c r="U1607" s="62"/>
      <c r="V1607" s="62"/>
      <c r="W1607" s="62"/>
      <c r="X1607" s="62"/>
      <c r="Y1607" s="62"/>
      <c r="Z1607" s="62" t="s">
        <v>2992</v>
      </c>
      <c r="AA1607" s="62" t="s">
        <v>2993</v>
      </c>
      <c r="AB1607" s="62" t="n">
        <v>1</v>
      </c>
      <c r="AC1607" s="62" t="n">
        <v>0</v>
      </c>
      <c r="AD1607" s="62" t="n">
        <v>1</v>
      </c>
      <c r="AE1607" s="62" t="n">
        <f aca="false">IF(AND(Dashboard!$C$9="Yes",AC1607=1),0,1)</f>
        <v>1</v>
      </c>
      <c r="AF1607" s="62" t="n">
        <v>1</v>
      </c>
    </row>
    <row r="1608" customFormat="false" ht="15" hidden="false" customHeight="false" outlineLevel="0" collapsed="false">
      <c r="A1608" s="62" t="n">
        <v>1608</v>
      </c>
      <c r="B1608" s="63" t="n">
        <v>46272.901875</v>
      </c>
      <c r="C1608" s="64" t="n">
        <v>46272</v>
      </c>
      <c r="D1608" s="62" t="s">
        <v>429</v>
      </c>
      <c r="E1608" s="62" t="s">
        <v>1749</v>
      </c>
      <c r="F1608" s="62" t="s">
        <v>1749</v>
      </c>
      <c r="G1608" s="62" t="s">
        <v>1750</v>
      </c>
      <c r="H1608" s="62" t="s">
        <v>57</v>
      </c>
      <c r="I1608" s="62" t="s">
        <v>47</v>
      </c>
      <c r="J1608" s="62" t="s">
        <v>146</v>
      </c>
      <c r="K1608" s="62" t="s">
        <v>209</v>
      </c>
      <c r="L1608" s="62" t="s">
        <v>148</v>
      </c>
      <c r="M1608" s="62" t="n">
        <v>0</v>
      </c>
      <c r="N1608" s="62" t="n">
        <v>2</v>
      </c>
      <c r="O1608" s="62" t="n">
        <v>2</v>
      </c>
      <c r="P1608" s="62" t="n">
        <v>0</v>
      </c>
      <c r="Q1608" s="62" t="n">
        <v>0</v>
      </c>
      <c r="R1608" s="62" t="n">
        <v>0</v>
      </c>
      <c r="S1608" s="62" t="n">
        <v>0</v>
      </c>
      <c r="T1608" s="62" t="n">
        <v>2</v>
      </c>
      <c r="U1608" s="62"/>
      <c r="V1608" s="62"/>
      <c r="W1608" s="62"/>
      <c r="X1608" s="62"/>
      <c r="Y1608" s="62"/>
      <c r="Z1608" s="62" t="s">
        <v>2990</v>
      </c>
      <c r="AA1608" s="62" t="s">
        <v>2994</v>
      </c>
      <c r="AB1608" s="62" t="n">
        <v>1</v>
      </c>
      <c r="AC1608" s="62" t="n">
        <v>0</v>
      </c>
      <c r="AD1608" s="62" t="n">
        <v>1</v>
      </c>
      <c r="AE1608" s="62" t="n">
        <f aca="false">IF(AND(Dashboard!$C$9="Yes",AC1608=1),0,1)</f>
        <v>1</v>
      </c>
      <c r="AF1608" s="62" t="n">
        <v>0</v>
      </c>
    </row>
    <row r="1609" customFormat="false" ht="15" hidden="false" customHeight="false" outlineLevel="0" collapsed="false">
      <c r="A1609" s="62" t="n">
        <v>1607</v>
      </c>
      <c r="B1609" s="63" t="n">
        <v>46272.901875</v>
      </c>
      <c r="C1609" s="64" t="n">
        <v>46272</v>
      </c>
      <c r="D1609" s="62" t="s">
        <v>429</v>
      </c>
      <c r="E1609" s="62" t="s">
        <v>164</v>
      </c>
      <c r="F1609" s="62" t="s">
        <v>164</v>
      </c>
      <c r="G1609" s="62" t="s">
        <v>165</v>
      </c>
      <c r="H1609" s="62" t="s">
        <v>51</v>
      </c>
      <c r="I1609" s="62" t="s">
        <v>47</v>
      </c>
      <c r="J1609" s="62" t="s">
        <v>146</v>
      </c>
      <c r="K1609" s="62" t="s">
        <v>147</v>
      </c>
      <c r="L1609" s="62" t="s">
        <v>148</v>
      </c>
      <c r="M1609" s="62" t="n">
        <v>0</v>
      </c>
      <c r="N1609" s="62" t="n">
        <v>1</v>
      </c>
      <c r="O1609" s="62" t="n">
        <v>1</v>
      </c>
      <c r="P1609" s="62" t="n">
        <v>1</v>
      </c>
      <c r="Q1609" s="62" t="n">
        <v>0</v>
      </c>
      <c r="R1609" s="62" t="n">
        <v>0</v>
      </c>
      <c r="S1609" s="62" t="n">
        <v>0</v>
      </c>
      <c r="T1609" s="62" t="n">
        <v>0</v>
      </c>
      <c r="U1609" s="62"/>
      <c r="V1609" s="62"/>
      <c r="W1609" s="62"/>
      <c r="X1609" s="62"/>
      <c r="Y1609" s="62"/>
      <c r="Z1609" s="62" t="s">
        <v>2992</v>
      </c>
      <c r="AA1609" s="62" t="s">
        <v>2993</v>
      </c>
      <c r="AB1609" s="62" t="n">
        <v>1</v>
      </c>
      <c r="AC1609" s="62" t="n">
        <v>1</v>
      </c>
      <c r="AD1609" s="62" t="n">
        <v>1</v>
      </c>
      <c r="AE1609" s="62" t="n">
        <f aca="false">IF(AND(Dashboard!$C$9="Yes",AC1609=1),0,1)</f>
        <v>0</v>
      </c>
      <c r="AF1609" s="62" t="n">
        <v>0</v>
      </c>
    </row>
    <row r="1610" customFormat="false" ht="15" hidden="false" customHeight="false" outlineLevel="0" collapsed="false">
      <c r="A1610" s="62" t="n">
        <v>1609</v>
      </c>
      <c r="B1610" s="63" t="n">
        <v>46272.9021527778</v>
      </c>
      <c r="C1610" s="64" t="n">
        <v>46272</v>
      </c>
      <c r="D1610" s="62" t="s">
        <v>429</v>
      </c>
      <c r="E1610" s="62" t="s">
        <v>203</v>
      </c>
      <c r="F1610" s="62" t="s">
        <v>203</v>
      </c>
      <c r="G1610" s="62" t="s">
        <v>204</v>
      </c>
      <c r="H1610" s="62" t="s">
        <v>51</v>
      </c>
      <c r="I1610" s="62" t="s">
        <v>47</v>
      </c>
      <c r="J1610" s="62" t="s">
        <v>146</v>
      </c>
      <c r="K1610" s="62" t="s">
        <v>147</v>
      </c>
      <c r="L1610" s="62" t="s">
        <v>4</v>
      </c>
      <c r="M1610" s="62" t="n">
        <v>1</v>
      </c>
      <c r="N1610" s="62" t="n">
        <v>0</v>
      </c>
      <c r="O1610" s="62" t="n">
        <v>1</v>
      </c>
      <c r="P1610" s="62" t="n">
        <v>0</v>
      </c>
      <c r="Q1610" s="62" t="n">
        <v>0</v>
      </c>
      <c r="R1610" s="62" t="n">
        <v>0</v>
      </c>
      <c r="S1610" s="62" t="n">
        <v>0</v>
      </c>
      <c r="T1610" s="62" t="n">
        <v>0</v>
      </c>
      <c r="U1610" s="62" t="s">
        <v>2056</v>
      </c>
      <c r="V1610" s="62" t="s">
        <v>2057</v>
      </c>
      <c r="W1610" s="62" t="s">
        <v>15</v>
      </c>
      <c r="X1610" s="62" t="s">
        <v>2058</v>
      </c>
      <c r="Y1610" s="62" t="s">
        <v>2103</v>
      </c>
      <c r="Z1610" s="62" t="s">
        <v>2995</v>
      </c>
      <c r="AA1610" s="62" t="s">
        <v>2996</v>
      </c>
      <c r="AB1610" s="62" t="n">
        <v>1</v>
      </c>
      <c r="AC1610" s="62" t="n">
        <v>0</v>
      </c>
      <c r="AD1610" s="62" t="n">
        <v>1</v>
      </c>
      <c r="AE1610" s="62" t="n">
        <f aca="false">IF(AND(Dashboard!$C$9="Yes",AC1610=1),0,1)</f>
        <v>1</v>
      </c>
      <c r="AF1610" s="62" t="n">
        <v>0</v>
      </c>
    </row>
    <row r="1611" customFormat="false" ht="15" hidden="false" customHeight="false" outlineLevel="0" collapsed="false">
      <c r="A1611" s="62" t="n">
        <v>1610</v>
      </c>
      <c r="B1611" s="63" t="n">
        <v>46272.9023958333</v>
      </c>
      <c r="C1611" s="64" t="n">
        <v>46272</v>
      </c>
      <c r="D1611" s="62" t="s">
        <v>429</v>
      </c>
      <c r="E1611" s="62" t="s">
        <v>203</v>
      </c>
      <c r="F1611" s="62" t="s">
        <v>203</v>
      </c>
      <c r="G1611" s="62" t="s">
        <v>204</v>
      </c>
      <c r="H1611" s="62" t="s">
        <v>51</v>
      </c>
      <c r="I1611" s="62" t="s">
        <v>47</v>
      </c>
      <c r="J1611" s="62" t="s">
        <v>146</v>
      </c>
      <c r="K1611" s="62" t="s">
        <v>147</v>
      </c>
      <c r="L1611" s="62" t="s">
        <v>148</v>
      </c>
      <c r="M1611" s="62" t="n">
        <v>0</v>
      </c>
      <c r="N1611" s="62" t="n">
        <v>1</v>
      </c>
      <c r="O1611" s="62" t="n">
        <v>1</v>
      </c>
      <c r="P1611" s="62" t="n">
        <v>1</v>
      </c>
      <c r="Q1611" s="62" t="n">
        <v>0</v>
      </c>
      <c r="R1611" s="62" t="n">
        <v>0</v>
      </c>
      <c r="S1611" s="62" t="n">
        <v>0</v>
      </c>
      <c r="T1611" s="62" t="n">
        <v>0</v>
      </c>
      <c r="U1611" s="62"/>
      <c r="V1611" s="62"/>
      <c r="W1611" s="62"/>
      <c r="X1611" s="62"/>
      <c r="Y1611" s="62"/>
      <c r="Z1611" s="62" t="s">
        <v>2995</v>
      </c>
      <c r="AA1611" s="62" t="s">
        <v>485</v>
      </c>
      <c r="AB1611" s="62" t="n">
        <v>0</v>
      </c>
      <c r="AC1611" s="62" t="n">
        <v>0</v>
      </c>
      <c r="AD1611" s="62" t="n">
        <v>1</v>
      </c>
      <c r="AE1611" s="62" t="n">
        <f aca="false">IF(AND(Dashboard!$C$9="Yes",AC1611=1),0,1)</f>
        <v>1</v>
      </c>
      <c r="AF1611" s="62" t="n">
        <v>0</v>
      </c>
    </row>
    <row r="1612" customFormat="false" ht="15" hidden="false" customHeight="false" outlineLevel="0" collapsed="false">
      <c r="A1612" s="62" t="n">
        <v>1611</v>
      </c>
      <c r="B1612" s="63" t="n">
        <v>46272.9142476852</v>
      </c>
      <c r="C1612" s="64" t="n">
        <v>46272</v>
      </c>
      <c r="D1612" s="62" t="s">
        <v>429</v>
      </c>
      <c r="E1612" s="62" t="s">
        <v>207</v>
      </c>
      <c r="F1612" s="62" t="s">
        <v>207</v>
      </c>
      <c r="G1612" s="62" t="s">
        <v>208</v>
      </c>
      <c r="H1612" s="62" t="s">
        <v>48</v>
      </c>
      <c r="I1612" s="62" t="s">
        <v>49</v>
      </c>
      <c r="J1612" s="62" t="s">
        <v>146</v>
      </c>
      <c r="K1612" s="62" t="s">
        <v>209</v>
      </c>
      <c r="L1612" s="62" t="s">
        <v>148</v>
      </c>
      <c r="M1612" s="62" t="n">
        <v>0</v>
      </c>
      <c r="N1612" s="62" t="n">
        <v>1</v>
      </c>
      <c r="O1612" s="62" t="n">
        <v>1</v>
      </c>
      <c r="P1612" s="62" t="n">
        <v>1</v>
      </c>
      <c r="Q1612" s="62" t="n">
        <v>0</v>
      </c>
      <c r="R1612" s="62" t="n">
        <v>0</v>
      </c>
      <c r="S1612" s="62" t="n">
        <v>0</v>
      </c>
      <c r="T1612" s="62" t="n">
        <v>0</v>
      </c>
      <c r="U1612" s="62"/>
      <c r="V1612" s="62"/>
      <c r="W1612" s="62"/>
      <c r="X1612" s="62"/>
      <c r="Y1612" s="62"/>
      <c r="Z1612" s="62" t="s">
        <v>2997</v>
      </c>
      <c r="AA1612" s="62" t="s">
        <v>2998</v>
      </c>
      <c r="AB1612" s="62" t="n">
        <v>1</v>
      </c>
      <c r="AC1612" s="62" t="n">
        <v>0</v>
      </c>
      <c r="AD1612" s="62" t="n">
        <v>1</v>
      </c>
      <c r="AE1612" s="62" t="n">
        <f aca="false">IF(AND(Dashboard!$C$9="Yes",AC1612=1),0,1)</f>
        <v>1</v>
      </c>
      <c r="AF1612" s="62" t="n">
        <v>1</v>
      </c>
    </row>
    <row r="1613" customFormat="false" ht="15" hidden="false" customHeight="false" outlineLevel="0" collapsed="false">
      <c r="A1613" s="62" t="n">
        <v>1612</v>
      </c>
      <c r="B1613" s="63" t="n">
        <v>46272.9185532407</v>
      </c>
      <c r="C1613" s="64" t="n">
        <v>46272</v>
      </c>
      <c r="D1613" s="62" t="s">
        <v>429</v>
      </c>
      <c r="E1613" s="62" t="s">
        <v>1382</v>
      </c>
      <c r="F1613" s="62" t="s">
        <v>1382</v>
      </c>
      <c r="G1613" s="62" t="s">
        <v>1383</v>
      </c>
      <c r="H1613" s="62" t="s">
        <v>58</v>
      </c>
      <c r="I1613" s="62" t="s">
        <v>49</v>
      </c>
      <c r="J1613" s="62" t="s">
        <v>146</v>
      </c>
      <c r="K1613" s="62" t="s">
        <v>175</v>
      </c>
      <c r="L1613" s="62" t="s">
        <v>4</v>
      </c>
      <c r="M1613" s="62" t="n">
        <v>1</v>
      </c>
      <c r="N1613" s="62" t="n">
        <v>0</v>
      </c>
      <c r="O1613" s="62" t="n">
        <v>1</v>
      </c>
      <c r="P1613" s="62" t="n">
        <v>0</v>
      </c>
      <c r="Q1613" s="62" t="n">
        <v>0</v>
      </c>
      <c r="R1613" s="62" t="n">
        <v>0</v>
      </c>
      <c r="S1613" s="62" t="n">
        <v>0</v>
      </c>
      <c r="T1613" s="62" t="n">
        <v>0</v>
      </c>
      <c r="U1613" s="62" t="s">
        <v>2056</v>
      </c>
      <c r="V1613" s="62" t="s">
        <v>2057</v>
      </c>
      <c r="W1613" s="62" t="s">
        <v>15</v>
      </c>
      <c r="X1613" s="62" t="s">
        <v>2058</v>
      </c>
      <c r="Y1613" s="62" t="s">
        <v>2103</v>
      </c>
      <c r="Z1613" s="62" t="s">
        <v>2999</v>
      </c>
      <c r="AA1613" s="62" t="s">
        <v>3000</v>
      </c>
      <c r="AB1613" s="62" t="n">
        <v>1</v>
      </c>
      <c r="AC1613" s="62" t="n">
        <v>0</v>
      </c>
      <c r="AD1613" s="62" t="n">
        <v>1</v>
      </c>
      <c r="AE1613" s="62" t="n">
        <f aca="false">IF(AND(Dashboard!$C$9="Yes",AC1613=1),0,1)</f>
        <v>1</v>
      </c>
      <c r="AF1613" s="62" t="n">
        <v>0</v>
      </c>
    </row>
    <row r="1614" customFormat="false" ht="15" hidden="false" customHeight="false" outlineLevel="0" collapsed="false">
      <c r="A1614" s="62" t="n">
        <v>1613</v>
      </c>
      <c r="B1614" s="63" t="n">
        <v>46272.9250347222</v>
      </c>
      <c r="C1614" s="64" t="n">
        <v>46272</v>
      </c>
      <c r="D1614" s="62" t="s">
        <v>429</v>
      </c>
      <c r="E1614" s="62" t="s">
        <v>1732</v>
      </c>
      <c r="F1614" s="62" t="s">
        <v>1732</v>
      </c>
      <c r="G1614" s="62" t="s">
        <v>1733</v>
      </c>
      <c r="H1614" s="62" t="s">
        <v>58</v>
      </c>
      <c r="I1614" s="62" t="s">
        <v>49</v>
      </c>
      <c r="J1614" s="62" t="s">
        <v>146</v>
      </c>
      <c r="K1614" s="62" t="s">
        <v>209</v>
      </c>
      <c r="L1614" s="62" t="s">
        <v>148</v>
      </c>
      <c r="M1614" s="62" t="n">
        <v>0</v>
      </c>
      <c r="N1614" s="62" t="n">
        <v>1</v>
      </c>
      <c r="O1614" s="62" t="n">
        <v>1</v>
      </c>
      <c r="P1614" s="62" t="n">
        <v>1</v>
      </c>
      <c r="Q1614" s="62" t="n">
        <v>0</v>
      </c>
      <c r="R1614" s="62" t="n">
        <v>0</v>
      </c>
      <c r="S1614" s="62" t="n">
        <v>0</v>
      </c>
      <c r="T1614" s="62" t="n">
        <v>0</v>
      </c>
      <c r="U1614" s="62"/>
      <c r="V1614" s="62"/>
      <c r="W1614" s="62"/>
      <c r="X1614" s="62"/>
      <c r="Y1614" s="62"/>
      <c r="Z1614" s="62" t="s">
        <v>3001</v>
      </c>
      <c r="AA1614" s="62" t="s">
        <v>3002</v>
      </c>
      <c r="AB1614" s="62" t="n">
        <v>1</v>
      </c>
      <c r="AC1614" s="62" t="n">
        <v>0</v>
      </c>
      <c r="AD1614" s="62" t="n">
        <v>1</v>
      </c>
      <c r="AE1614" s="62" t="n">
        <f aca="false">IF(AND(Dashboard!$C$9="Yes",AC1614=1),0,1)</f>
        <v>1</v>
      </c>
      <c r="AF1614" s="62" t="n">
        <v>1</v>
      </c>
    </row>
    <row r="1615" customFormat="false" ht="15" hidden="false" customHeight="false" outlineLevel="0" collapsed="false">
      <c r="A1615" s="62" t="n">
        <v>1614</v>
      </c>
      <c r="B1615" s="63" t="n">
        <v>46272.9303240741</v>
      </c>
      <c r="C1615" s="64" t="n">
        <v>46272</v>
      </c>
      <c r="D1615" s="62" t="s">
        <v>429</v>
      </c>
      <c r="E1615" s="62" t="s">
        <v>2228</v>
      </c>
      <c r="F1615" s="62" t="s">
        <v>2228</v>
      </c>
      <c r="G1615" s="62" t="s">
        <v>2229</v>
      </c>
      <c r="H1615" s="62" t="s">
        <v>58</v>
      </c>
      <c r="I1615" s="62" t="s">
        <v>49</v>
      </c>
      <c r="J1615" s="62" t="s">
        <v>146</v>
      </c>
      <c r="K1615" s="62" t="s">
        <v>209</v>
      </c>
      <c r="L1615" s="62" t="s">
        <v>4</v>
      </c>
      <c r="M1615" s="62" t="n">
        <v>1</v>
      </c>
      <c r="N1615" s="62" t="n">
        <v>0</v>
      </c>
      <c r="O1615" s="62" t="n">
        <v>1</v>
      </c>
      <c r="P1615" s="62" t="n">
        <v>0</v>
      </c>
      <c r="Q1615" s="62" t="n">
        <v>0</v>
      </c>
      <c r="R1615" s="62" t="n">
        <v>0</v>
      </c>
      <c r="S1615" s="62" t="n">
        <v>0</v>
      </c>
      <c r="T1615" s="62" t="n">
        <v>0</v>
      </c>
      <c r="U1615" s="62" t="s">
        <v>2056</v>
      </c>
      <c r="V1615" s="62" t="s">
        <v>2057</v>
      </c>
      <c r="W1615" s="62" t="s">
        <v>15</v>
      </c>
      <c r="X1615" s="62" t="s">
        <v>2058</v>
      </c>
      <c r="Y1615" s="62" t="s">
        <v>2059</v>
      </c>
      <c r="Z1615" s="62" t="s">
        <v>3003</v>
      </c>
      <c r="AA1615" s="62" t="s">
        <v>3004</v>
      </c>
      <c r="AB1615" s="62" t="n">
        <v>1</v>
      </c>
      <c r="AC1615" s="62" t="n">
        <v>0</v>
      </c>
      <c r="AD1615" s="62" t="n">
        <v>1</v>
      </c>
      <c r="AE1615" s="62" t="n">
        <f aca="false">IF(AND(Dashboard!$C$9="Yes",AC1615=1),0,1)</f>
        <v>1</v>
      </c>
      <c r="AF1615" s="62" t="n">
        <v>1</v>
      </c>
    </row>
    <row r="1616" customFormat="false" ht="15" hidden="false" customHeight="false" outlineLevel="0" collapsed="false">
      <c r="A1616" s="62" t="n">
        <v>1615</v>
      </c>
      <c r="B1616" s="63" t="n">
        <v>46272.9354050926</v>
      </c>
      <c r="C1616" s="64" t="n">
        <v>46272</v>
      </c>
      <c r="D1616" s="62" t="s">
        <v>429</v>
      </c>
      <c r="E1616" s="62" t="s">
        <v>1326</v>
      </c>
      <c r="F1616" s="62" t="s">
        <v>1326</v>
      </c>
      <c r="G1616" s="62" t="s">
        <v>1327</v>
      </c>
      <c r="H1616" s="62" t="s">
        <v>57</v>
      </c>
      <c r="I1616" s="62" t="s">
        <v>47</v>
      </c>
      <c r="J1616" s="62" t="s">
        <v>146</v>
      </c>
      <c r="K1616" s="62" t="s">
        <v>175</v>
      </c>
      <c r="L1616" s="62" t="s">
        <v>148</v>
      </c>
      <c r="M1616" s="62" t="n">
        <v>0</v>
      </c>
      <c r="N1616" s="62" t="n">
        <v>1</v>
      </c>
      <c r="O1616" s="62" t="n">
        <v>1</v>
      </c>
      <c r="P1616" s="62" t="n">
        <v>1</v>
      </c>
      <c r="Q1616" s="62" t="n">
        <v>0</v>
      </c>
      <c r="R1616" s="62" t="n">
        <v>0</v>
      </c>
      <c r="S1616" s="62" t="n">
        <v>0</v>
      </c>
      <c r="T1616" s="62" t="n">
        <v>0</v>
      </c>
      <c r="U1616" s="62"/>
      <c r="V1616" s="62"/>
      <c r="W1616" s="62"/>
      <c r="X1616" s="62"/>
      <c r="Y1616" s="62"/>
      <c r="Z1616" s="62" t="s">
        <v>3005</v>
      </c>
      <c r="AA1616" s="62" t="s">
        <v>237</v>
      </c>
      <c r="AB1616" s="62" t="n">
        <v>0</v>
      </c>
      <c r="AC1616" s="62" t="n">
        <v>0</v>
      </c>
      <c r="AD1616" s="62" t="n">
        <v>1</v>
      </c>
      <c r="AE1616" s="62" t="n">
        <f aca="false">IF(AND(Dashboard!$C$9="Yes",AC1616=1),0,1)</f>
        <v>1</v>
      </c>
      <c r="AF1616" s="62" t="n">
        <v>1</v>
      </c>
    </row>
    <row r="1617" customFormat="false" ht="15" hidden="false" customHeight="false" outlineLevel="0" collapsed="false">
      <c r="A1617" s="62" t="n">
        <v>1616</v>
      </c>
      <c r="B1617" s="63" t="n">
        <v>46272.9358217593</v>
      </c>
      <c r="C1617" s="64" t="n">
        <v>46272</v>
      </c>
      <c r="D1617" s="62" t="s">
        <v>429</v>
      </c>
      <c r="E1617" s="62" t="s">
        <v>1326</v>
      </c>
      <c r="F1617" s="62" t="s">
        <v>1326</v>
      </c>
      <c r="G1617" s="62" t="s">
        <v>1327</v>
      </c>
      <c r="H1617" s="62" t="s">
        <v>57</v>
      </c>
      <c r="I1617" s="62" t="s">
        <v>47</v>
      </c>
      <c r="J1617" s="62" t="s">
        <v>146</v>
      </c>
      <c r="K1617" s="62" t="s">
        <v>175</v>
      </c>
      <c r="L1617" s="62" t="s">
        <v>148</v>
      </c>
      <c r="M1617" s="62" t="n">
        <v>0</v>
      </c>
      <c r="N1617" s="62" t="n">
        <v>1</v>
      </c>
      <c r="O1617" s="62" t="n">
        <v>1</v>
      </c>
      <c r="P1617" s="62" t="n">
        <v>1</v>
      </c>
      <c r="Q1617" s="62" t="n">
        <v>0</v>
      </c>
      <c r="R1617" s="62" t="n">
        <v>0</v>
      </c>
      <c r="S1617" s="62" t="n">
        <v>0</v>
      </c>
      <c r="T1617" s="62" t="n">
        <v>0</v>
      </c>
      <c r="U1617" s="62"/>
      <c r="V1617" s="62"/>
      <c r="W1617" s="62"/>
      <c r="X1617" s="62"/>
      <c r="Y1617" s="62"/>
      <c r="Z1617" s="62" t="s">
        <v>3006</v>
      </c>
      <c r="AA1617" s="62" t="s">
        <v>237</v>
      </c>
      <c r="AB1617" s="62" t="n">
        <v>0</v>
      </c>
      <c r="AC1617" s="62" t="n">
        <v>0</v>
      </c>
      <c r="AD1617" s="62" t="n">
        <v>1</v>
      </c>
      <c r="AE1617" s="62" t="n">
        <f aca="false">IF(AND(Dashboard!$C$9="Yes",AC1617=1),0,1)</f>
        <v>1</v>
      </c>
      <c r="AF1617" s="62" t="n">
        <v>0</v>
      </c>
    </row>
    <row r="1618" customFormat="false" ht="15" hidden="false" customHeight="false" outlineLevel="0" collapsed="false">
      <c r="A1618" s="62" t="n">
        <v>1617</v>
      </c>
      <c r="B1618" s="63" t="n">
        <v>46272.9361342593</v>
      </c>
      <c r="C1618" s="64" t="n">
        <v>46272</v>
      </c>
      <c r="D1618" s="62" t="s">
        <v>429</v>
      </c>
      <c r="E1618" s="62" t="s">
        <v>1326</v>
      </c>
      <c r="F1618" s="62" t="s">
        <v>1326</v>
      </c>
      <c r="G1618" s="62" t="s">
        <v>1327</v>
      </c>
      <c r="H1618" s="62" t="s">
        <v>57</v>
      </c>
      <c r="I1618" s="62" t="s">
        <v>47</v>
      </c>
      <c r="J1618" s="62" t="s">
        <v>146</v>
      </c>
      <c r="K1618" s="62" t="s">
        <v>175</v>
      </c>
      <c r="L1618" s="62" t="s">
        <v>148</v>
      </c>
      <c r="M1618" s="62" t="n">
        <v>0</v>
      </c>
      <c r="N1618" s="62" t="n">
        <v>1</v>
      </c>
      <c r="O1618" s="62" t="n">
        <v>1</v>
      </c>
      <c r="P1618" s="62" t="n">
        <v>1</v>
      </c>
      <c r="Q1618" s="62" t="n">
        <v>0</v>
      </c>
      <c r="R1618" s="62" t="n">
        <v>0</v>
      </c>
      <c r="S1618" s="62" t="n">
        <v>0</v>
      </c>
      <c r="T1618" s="62" t="n">
        <v>0</v>
      </c>
      <c r="U1618" s="62"/>
      <c r="V1618" s="62"/>
      <c r="W1618" s="62"/>
      <c r="X1618" s="62"/>
      <c r="Y1618" s="62"/>
      <c r="Z1618" s="62" t="s">
        <v>3007</v>
      </c>
      <c r="AA1618" s="62" t="s">
        <v>237</v>
      </c>
      <c r="AB1618" s="62" t="n">
        <v>0</v>
      </c>
      <c r="AC1618" s="62" t="n">
        <v>0</v>
      </c>
      <c r="AD1618" s="62" t="n">
        <v>1</v>
      </c>
      <c r="AE1618" s="62" t="n">
        <f aca="false">IF(AND(Dashboard!$C$9="Yes",AC1618=1),0,1)</f>
        <v>1</v>
      </c>
      <c r="AF1618" s="62" t="n">
        <v>0</v>
      </c>
    </row>
    <row r="1619" customFormat="false" ht="15" hidden="false" customHeight="false" outlineLevel="0" collapsed="false">
      <c r="A1619" s="62" t="n">
        <v>1618</v>
      </c>
      <c r="B1619" s="63" t="n">
        <v>46272.9426273148</v>
      </c>
      <c r="C1619" s="64" t="n">
        <v>46272</v>
      </c>
      <c r="D1619" s="62" t="s">
        <v>429</v>
      </c>
      <c r="E1619" s="62" t="s">
        <v>2464</v>
      </c>
      <c r="F1619" s="62" t="s">
        <v>2464</v>
      </c>
      <c r="G1619" s="62" t="s">
        <v>2465</v>
      </c>
      <c r="H1619" s="62" t="s">
        <v>59</v>
      </c>
      <c r="I1619" s="62" t="s">
        <v>47</v>
      </c>
      <c r="J1619" s="62" t="s">
        <v>146</v>
      </c>
      <c r="K1619" s="62" t="s">
        <v>175</v>
      </c>
      <c r="L1619" s="62" t="s">
        <v>4</v>
      </c>
      <c r="M1619" s="62" t="n">
        <v>1</v>
      </c>
      <c r="N1619" s="62" t="n">
        <v>0</v>
      </c>
      <c r="O1619" s="62" t="n">
        <v>1</v>
      </c>
      <c r="P1619" s="62" t="n">
        <v>0</v>
      </c>
      <c r="Q1619" s="62" t="n">
        <v>0</v>
      </c>
      <c r="R1619" s="62" t="n">
        <v>0</v>
      </c>
      <c r="S1619" s="62" t="n">
        <v>0</v>
      </c>
      <c r="T1619" s="62" t="n">
        <v>0</v>
      </c>
      <c r="U1619" s="62" t="s">
        <v>2056</v>
      </c>
      <c r="V1619" s="62" t="s">
        <v>2057</v>
      </c>
      <c r="W1619" s="62" t="s">
        <v>2056</v>
      </c>
      <c r="X1619" s="62" t="s">
        <v>2058</v>
      </c>
      <c r="Y1619" s="62" t="s">
        <v>2181</v>
      </c>
      <c r="Z1619" s="62" t="s">
        <v>3008</v>
      </c>
      <c r="AA1619" s="62" t="s">
        <v>3009</v>
      </c>
      <c r="AB1619" s="62" t="n">
        <v>1</v>
      </c>
      <c r="AC1619" s="62" t="n">
        <v>0</v>
      </c>
      <c r="AD1619" s="62" t="n">
        <v>1</v>
      </c>
      <c r="AE1619" s="62" t="n">
        <f aca="false">IF(AND(Dashboard!$C$9="Yes",AC1619=1),0,1)</f>
        <v>1</v>
      </c>
      <c r="AF1619" s="62" t="n">
        <v>0</v>
      </c>
    </row>
    <row r="1620" customFormat="false" ht="15" hidden="false" customHeight="false" outlineLevel="0" collapsed="false">
      <c r="A1620" s="62" t="n">
        <v>1619</v>
      </c>
      <c r="B1620" s="63" t="n">
        <v>46272.9478819444</v>
      </c>
      <c r="C1620" s="64" t="n">
        <v>46272</v>
      </c>
      <c r="D1620" s="62" t="s">
        <v>429</v>
      </c>
      <c r="E1620" s="62" t="s">
        <v>1732</v>
      </c>
      <c r="F1620" s="62" t="s">
        <v>1732</v>
      </c>
      <c r="G1620" s="62" t="s">
        <v>1733</v>
      </c>
      <c r="H1620" s="62" t="s">
        <v>58</v>
      </c>
      <c r="I1620" s="62" t="s">
        <v>49</v>
      </c>
      <c r="J1620" s="62" t="s">
        <v>146</v>
      </c>
      <c r="K1620" s="62" t="s">
        <v>209</v>
      </c>
      <c r="L1620" s="62" t="s">
        <v>148</v>
      </c>
      <c r="M1620" s="62" t="n">
        <v>0</v>
      </c>
      <c r="N1620" s="62" t="n">
        <v>1</v>
      </c>
      <c r="O1620" s="62" t="n">
        <v>1</v>
      </c>
      <c r="P1620" s="62" t="n">
        <v>0</v>
      </c>
      <c r="Q1620" s="62" t="n">
        <v>1</v>
      </c>
      <c r="R1620" s="62" t="n">
        <v>0</v>
      </c>
      <c r="S1620" s="62" t="n">
        <v>0</v>
      </c>
      <c r="T1620" s="62" t="n">
        <v>0</v>
      </c>
      <c r="U1620" s="62"/>
      <c r="V1620" s="62"/>
      <c r="W1620" s="62"/>
      <c r="X1620" s="62"/>
      <c r="Y1620" s="62"/>
      <c r="Z1620" s="62" t="s">
        <v>3010</v>
      </c>
      <c r="AA1620" s="62" t="s">
        <v>3011</v>
      </c>
      <c r="AB1620" s="62" t="n">
        <v>1</v>
      </c>
      <c r="AC1620" s="62" t="n">
        <v>0</v>
      </c>
      <c r="AD1620" s="62" t="n">
        <v>1</v>
      </c>
      <c r="AE1620" s="62" t="n">
        <f aca="false">IF(AND(Dashboard!$C$9="Yes",AC1620=1),0,1)</f>
        <v>1</v>
      </c>
      <c r="AF1620" s="62" t="n">
        <v>0</v>
      </c>
    </row>
    <row r="1621" customFormat="false" ht="15" hidden="false" customHeight="false" outlineLevel="0" collapsed="false">
      <c r="A1621" s="62" t="n">
        <v>1620</v>
      </c>
      <c r="B1621" s="63" t="n">
        <v>46272.9585763889</v>
      </c>
      <c r="C1621" s="64" t="n">
        <v>46272</v>
      </c>
      <c r="D1621" s="62" t="s">
        <v>429</v>
      </c>
      <c r="E1621" s="62" t="s">
        <v>650</v>
      </c>
      <c r="F1621" s="62" t="s">
        <v>650</v>
      </c>
      <c r="G1621" s="62" t="s">
        <v>651</v>
      </c>
      <c r="H1621" s="62" t="s">
        <v>59</v>
      </c>
      <c r="I1621" s="62" t="s">
        <v>47</v>
      </c>
      <c r="J1621" s="62" t="s">
        <v>146</v>
      </c>
      <c r="K1621" s="62" t="s">
        <v>209</v>
      </c>
      <c r="L1621" s="62" t="s">
        <v>4</v>
      </c>
      <c r="M1621" s="62" t="n">
        <v>1</v>
      </c>
      <c r="N1621" s="62" t="n">
        <v>0</v>
      </c>
      <c r="O1621" s="62" t="n">
        <v>1</v>
      </c>
      <c r="P1621" s="62" t="n">
        <v>0</v>
      </c>
      <c r="Q1621" s="62" t="n">
        <v>0</v>
      </c>
      <c r="R1621" s="62" t="n">
        <v>0</v>
      </c>
      <c r="S1621" s="62" t="n">
        <v>0</v>
      </c>
      <c r="T1621" s="62" t="n">
        <v>0</v>
      </c>
      <c r="U1621" s="62" t="s">
        <v>2056</v>
      </c>
      <c r="V1621" s="62" t="s">
        <v>2057</v>
      </c>
      <c r="W1621" s="62" t="s">
        <v>2056</v>
      </c>
      <c r="X1621" s="62" t="s">
        <v>2164</v>
      </c>
      <c r="Y1621" s="62" t="s">
        <v>2165</v>
      </c>
      <c r="Z1621" s="62" t="s">
        <v>3012</v>
      </c>
      <c r="AA1621" s="62" t="s">
        <v>3013</v>
      </c>
      <c r="AB1621" s="62" t="n">
        <v>1</v>
      </c>
      <c r="AC1621" s="62" t="n">
        <v>0</v>
      </c>
      <c r="AD1621" s="62" t="n">
        <v>1</v>
      </c>
      <c r="AE1621" s="62" t="n">
        <f aca="false">IF(AND(Dashboard!$C$9="Yes",AC1621=1),0,1)</f>
        <v>1</v>
      </c>
      <c r="AF1621" s="62" t="n">
        <v>1</v>
      </c>
    </row>
    <row r="1622" customFormat="false" ht="15" hidden="false" customHeight="false" outlineLevel="0" collapsed="false">
      <c r="A1622" s="62" t="n">
        <v>1621</v>
      </c>
      <c r="B1622" s="63" t="n">
        <v>46272.958912037</v>
      </c>
      <c r="C1622" s="64" t="n">
        <v>46272</v>
      </c>
      <c r="D1622" s="62" t="s">
        <v>429</v>
      </c>
      <c r="E1622" s="62" t="s">
        <v>650</v>
      </c>
      <c r="F1622" s="62" t="s">
        <v>650</v>
      </c>
      <c r="G1622" s="62" t="s">
        <v>651</v>
      </c>
      <c r="H1622" s="62" t="s">
        <v>59</v>
      </c>
      <c r="I1622" s="62" t="s">
        <v>47</v>
      </c>
      <c r="J1622" s="62" t="s">
        <v>146</v>
      </c>
      <c r="K1622" s="62" t="s">
        <v>209</v>
      </c>
      <c r="L1622" s="62" t="s">
        <v>4</v>
      </c>
      <c r="M1622" s="62" t="n">
        <v>1</v>
      </c>
      <c r="N1622" s="62" t="n">
        <v>0</v>
      </c>
      <c r="O1622" s="62" t="n">
        <v>1</v>
      </c>
      <c r="P1622" s="62" t="n">
        <v>0</v>
      </c>
      <c r="Q1622" s="62" t="n">
        <v>0</v>
      </c>
      <c r="R1622" s="62" t="n">
        <v>0</v>
      </c>
      <c r="S1622" s="62" t="n">
        <v>0</v>
      </c>
      <c r="T1622" s="62" t="n">
        <v>0</v>
      </c>
      <c r="U1622" s="62" t="s">
        <v>2056</v>
      </c>
      <c r="V1622" s="62" t="s">
        <v>2057</v>
      </c>
      <c r="W1622" s="62" t="s">
        <v>2056</v>
      </c>
      <c r="X1622" s="62" t="s">
        <v>2164</v>
      </c>
      <c r="Y1622" s="62" t="s">
        <v>2165</v>
      </c>
      <c r="Z1622" s="62" t="s">
        <v>3012</v>
      </c>
      <c r="AA1622" s="62" t="s">
        <v>3013</v>
      </c>
      <c r="AB1622" s="62" t="n">
        <v>1</v>
      </c>
      <c r="AC1622" s="62" t="n">
        <v>1</v>
      </c>
      <c r="AD1622" s="62" t="n">
        <v>1</v>
      </c>
      <c r="AE1622" s="62" t="n">
        <f aca="false">IF(AND(Dashboard!$C$9="Yes",AC1622=1),0,1)</f>
        <v>0</v>
      </c>
      <c r="AF1622" s="62" t="n">
        <v>0</v>
      </c>
    </row>
    <row r="1623" customFormat="false" ht="15" hidden="false" customHeight="false" outlineLevel="0" collapsed="false">
      <c r="A1623" s="62" t="n">
        <v>1622</v>
      </c>
      <c r="B1623" s="63" t="n">
        <v>46272.9627893519</v>
      </c>
      <c r="C1623" s="64" t="n">
        <v>46272</v>
      </c>
      <c r="D1623" s="62" t="s">
        <v>429</v>
      </c>
      <c r="E1623" s="62" t="s">
        <v>2101</v>
      </c>
      <c r="F1623" s="62" t="s">
        <v>2101</v>
      </c>
      <c r="G1623" s="62" t="s">
        <v>2102</v>
      </c>
      <c r="H1623" s="62" t="s">
        <v>52</v>
      </c>
      <c r="I1623" s="62" t="s">
        <v>47</v>
      </c>
      <c r="J1623" s="62" t="s">
        <v>146</v>
      </c>
      <c r="K1623" s="62" t="s">
        <v>147</v>
      </c>
      <c r="L1623" s="62" t="s">
        <v>148</v>
      </c>
      <c r="M1623" s="62" t="n">
        <v>0</v>
      </c>
      <c r="N1623" s="62" t="n">
        <v>1</v>
      </c>
      <c r="O1623" s="62" t="n">
        <v>1</v>
      </c>
      <c r="P1623" s="62" t="n">
        <v>1</v>
      </c>
      <c r="Q1623" s="62" t="n">
        <v>0</v>
      </c>
      <c r="R1623" s="62" t="n">
        <v>0</v>
      </c>
      <c r="S1623" s="62" t="n">
        <v>0</v>
      </c>
      <c r="T1623" s="62" t="n">
        <v>0</v>
      </c>
      <c r="U1623" s="62"/>
      <c r="V1623" s="62"/>
      <c r="W1623" s="62"/>
      <c r="X1623" s="62"/>
      <c r="Y1623" s="62"/>
      <c r="Z1623" s="62" t="s">
        <v>3014</v>
      </c>
      <c r="AA1623" s="62" t="s">
        <v>3015</v>
      </c>
      <c r="AB1623" s="62" t="n">
        <v>1</v>
      </c>
      <c r="AC1623" s="62" t="n">
        <v>0</v>
      </c>
      <c r="AD1623" s="62" t="n">
        <v>1</v>
      </c>
      <c r="AE1623" s="62" t="n">
        <f aca="false">IF(AND(Dashboard!$C$9="Yes",AC1623=1),0,1)</f>
        <v>1</v>
      </c>
      <c r="AF1623" s="62" t="n">
        <v>1</v>
      </c>
    </row>
    <row r="1624" customFormat="false" ht="15" hidden="false" customHeight="false" outlineLevel="0" collapsed="false">
      <c r="A1624" s="62" t="n">
        <v>1623</v>
      </c>
      <c r="B1624" s="63" t="n">
        <v>46272.9775578704</v>
      </c>
      <c r="C1624" s="64" t="n">
        <v>46272</v>
      </c>
      <c r="D1624" s="62" t="s">
        <v>429</v>
      </c>
      <c r="E1624" s="62" t="s">
        <v>2959</v>
      </c>
      <c r="F1624" s="62" t="s">
        <v>2959</v>
      </c>
      <c r="G1624" s="62" t="s">
        <v>2960</v>
      </c>
      <c r="H1624" s="62" t="s">
        <v>58</v>
      </c>
      <c r="I1624" s="62" t="s">
        <v>49</v>
      </c>
      <c r="J1624" s="62" t="s">
        <v>146</v>
      </c>
      <c r="K1624" s="62" t="s">
        <v>175</v>
      </c>
      <c r="L1624" s="62" t="s">
        <v>4</v>
      </c>
      <c r="M1624" s="62" t="n">
        <v>1</v>
      </c>
      <c r="N1624" s="62" t="n">
        <v>0</v>
      </c>
      <c r="O1624" s="62" t="n">
        <v>1</v>
      </c>
      <c r="P1624" s="62" t="n">
        <v>0</v>
      </c>
      <c r="Q1624" s="62" t="n">
        <v>0</v>
      </c>
      <c r="R1624" s="62" t="n">
        <v>0</v>
      </c>
      <c r="S1624" s="62" t="n">
        <v>0</v>
      </c>
      <c r="T1624" s="62" t="n">
        <v>0</v>
      </c>
      <c r="U1624" s="62" t="s">
        <v>2056</v>
      </c>
      <c r="V1624" s="62" t="s">
        <v>2057</v>
      </c>
      <c r="W1624" s="62" t="s">
        <v>15</v>
      </c>
      <c r="X1624" s="62" t="s">
        <v>2058</v>
      </c>
      <c r="Y1624" s="62" t="s">
        <v>2059</v>
      </c>
      <c r="Z1624" s="62" t="s">
        <v>3016</v>
      </c>
      <c r="AA1624" s="62" t="s">
        <v>3017</v>
      </c>
      <c r="AB1624" s="62" t="n">
        <v>1</v>
      </c>
      <c r="AC1624" s="62" t="n">
        <v>0</v>
      </c>
      <c r="AD1624" s="62" t="n">
        <v>1</v>
      </c>
      <c r="AE1624" s="62" t="n">
        <f aca="false">IF(AND(Dashboard!$C$9="Yes",AC1624=1),0,1)</f>
        <v>1</v>
      </c>
      <c r="AF1624" s="62" t="n">
        <v>1</v>
      </c>
    </row>
    <row r="1625" customFormat="false" ht="15" hidden="false" customHeight="false" outlineLevel="0" collapsed="false">
      <c r="A1625" s="62" t="n">
        <v>1624</v>
      </c>
      <c r="B1625" s="63" t="n">
        <v>46272.9797222222</v>
      </c>
      <c r="C1625" s="64" t="n">
        <v>46272</v>
      </c>
      <c r="D1625" s="62" t="s">
        <v>429</v>
      </c>
      <c r="E1625" s="62" t="s">
        <v>3018</v>
      </c>
      <c r="F1625" s="62" t="s">
        <v>3018</v>
      </c>
      <c r="G1625" s="62" t="s">
        <v>3019</v>
      </c>
      <c r="H1625" s="62" t="s">
        <v>58</v>
      </c>
      <c r="I1625" s="62" t="s">
        <v>49</v>
      </c>
      <c r="J1625" s="62" t="s">
        <v>146</v>
      </c>
      <c r="K1625" s="62" t="s">
        <v>175</v>
      </c>
      <c r="L1625" s="62" t="s">
        <v>148</v>
      </c>
      <c r="M1625" s="62" t="n">
        <v>0</v>
      </c>
      <c r="N1625" s="62" t="n">
        <v>1</v>
      </c>
      <c r="O1625" s="62" t="n">
        <v>1</v>
      </c>
      <c r="P1625" s="62" t="n">
        <v>1</v>
      </c>
      <c r="Q1625" s="62" t="n">
        <v>0</v>
      </c>
      <c r="R1625" s="62" t="n">
        <v>0</v>
      </c>
      <c r="S1625" s="62" t="n">
        <v>0</v>
      </c>
      <c r="T1625" s="62" t="n">
        <v>0</v>
      </c>
      <c r="U1625" s="62"/>
      <c r="V1625" s="62"/>
      <c r="W1625" s="62"/>
      <c r="X1625" s="62"/>
      <c r="Y1625" s="62"/>
      <c r="Z1625" s="62" t="s">
        <v>3020</v>
      </c>
      <c r="AA1625" s="62" t="s">
        <v>3021</v>
      </c>
      <c r="AB1625" s="62" t="n">
        <v>1</v>
      </c>
      <c r="AC1625" s="62" t="n">
        <v>0</v>
      </c>
      <c r="AD1625" s="62" t="n">
        <v>1</v>
      </c>
      <c r="AE1625" s="62" t="n">
        <f aca="false">IF(AND(Dashboard!$C$9="Yes",AC1625=1),0,1)</f>
        <v>1</v>
      </c>
      <c r="AF1625" s="62" t="n">
        <v>1</v>
      </c>
    </row>
    <row r="1626" customFormat="false" ht="15" hidden="false" customHeight="false" outlineLevel="0" collapsed="false">
      <c r="A1626" s="62" t="n">
        <v>1625</v>
      </c>
      <c r="B1626" s="63" t="n">
        <v>46272.9918287037</v>
      </c>
      <c r="C1626" s="64" t="n">
        <v>46272</v>
      </c>
      <c r="D1626" s="62" t="s">
        <v>429</v>
      </c>
      <c r="E1626" s="62" t="s">
        <v>3022</v>
      </c>
      <c r="F1626" s="62" t="s">
        <v>3022</v>
      </c>
      <c r="G1626" s="62" t="s">
        <v>3023</v>
      </c>
      <c r="H1626" s="62" t="s">
        <v>46</v>
      </c>
      <c r="I1626" s="62" t="s">
        <v>47</v>
      </c>
      <c r="J1626" s="62" t="s">
        <v>146</v>
      </c>
      <c r="K1626" s="62" t="s">
        <v>209</v>
      </c>
      <c r="L1626" s="62" t="s">
        <v>4</v>
      </c>
      <c r="M1626" s="62" t="n">
        <v>1</v>
      </c>
      <c r="N1626" s="62" t="n">
        <v>0</v>
      </c>
      <c r="O1626" s="62" t="n">
        <v>1</v>
      </c>
      <c r="P1626" s="62" t="n">
        <v>0</v>
      </c>
      <c r="Q1626" s="62" t="n">
        <v>0</v>
      </c>
      <c r="R1626" s="62" t="n">
        <v>0</v>
      </c>
      <c r="S1626" s="62" t="n">
        <v>0</v>
      </c>
      <c r="T1626" s="62" t="n">
        <v>0</v>
      </c>
      <c r="U1626" s="62" t="s">
        <v>2056</v>
      </c>
      <c r="V1626" s="62" t="s">
        <v>2057</v>
      </c>
      <c r="W1626" s="62" t="s">
        <v>15</v>
      </c>
      <c r="X1626" s="62" t="s">
        <v>2253</v>
      </c>
      <c r="Y1626" s="62" t="s">
        <v>2059</v>
      </c>
      <c r="Z1626" s="62" t="s">
        <v>3024</v>
      </c>
      <c r="AA1626" s="62" t="s">
        <v>3025</v>
      </c>
      <c r="AB1626" s="62" t="n">
        <v>1</v>
      </c>
      <c r="AC1626" s="62" t="n">
        <v>0</v>
      </c>
      <c r="AD1626" s="62" t="n">
        <v>1</v>
      </c>
      <c r="AE1626" s="62" t="n">
        <f aca="false">IF(AND(Dashboard!$C$9="Yes",AC1626=1),0,1)</f>
        <v>1</v>
      </c>
      <c r="AF1626" s="62" t="n">
        <v>1</v>
      </c>
    </row>
    <row r="1627" customFormat="false" ht="15" hidden="false" customHeight="false" outlineLevel="0" collapsed="false">
      <c r="A1627" s="62" t="n">
        <v>1626</v>
      </c>
      <c r="B1627" s="63" t="n">
        <v>46272.9956712963</v>
      </c>
      <c r="C1627" s="64" t="n">
        <v>46272</v>
      </c>
      <c r="D1627" s="62" t="s">
        <v>429</v>
      </c>
      <c r="E1627" s="62" t="s">
        <v>2119</v>
      </c>
      <c r="F1627" s="62" t="s">
        <v>2119</v>
      </c>
      <c r="G1627" s="62" t="s">
        <v>2120</v>
      </c>
      <c r="H1627" s="62" t="s">
        <v>52</v>
      </c>
      <c r="I1627" s="62" t="s">
        <v>47</v>
      </c>
      <c r="J1627" s="62" t="s">
        <v>146</v>
      </c>
      <c r="K1627" s="62" t="s">
        <v>147</v>
      </c>
      <c r="L1627" s="62" t="s">
        <v>148</v>
      </c>
      <c r="M1627" s="62" t="n">
        <v>0</v>
      </c>
      <c r="N1627" s="62" t="n">
        <v>1</v>
      </c>
      <c r="O1627" s="62" t="n">
        <v>1</v>
      </c>
      <c r="P1627" s="62" t="n">
        <v>1</v>
      </c>
      <c r="Q1627" s="62" t="n">
        <v>0</v>
      </c>
      <c r="R1627" s="62" t="n">
        <v>0</v>
      </c>
      <c r="S1627" s="62" t="n">
        <v>0</v>
      </c>
      <c r="T1627" s="62" t="n">
        <v>0</v>
      </c>
      <c r="U1627" s="62"/>
      <c r="V1627" s="62"/>
      <c r="W1627" s="62"/>
      <c r="X1627" s="62"/>
      <c r="Y1627" s="62"/>
      <c r="Z1627" s="62" t="s">
        <v>3026</v>
      </c>
      <c r="AA1627" s="62" t="s">
        <v>3027</v>
      </c>
      <c r="AB1627" s="62" t="n">
        <v>0</v>
      </c>
      <c r="AC1627" s="62" t="n">
        <v>0</v>
      </c>
      <c r="AD1627" s="62" t="n">
        <v>1</v>
      </c>
      <c r="AE1627" s="62" t="n">
        <f aca="false">IF(AND(Dashboard!$C$9="Yes",AC1627=1),0,1)</f>
        <v>1</v>
      </c>
      <c r="AF1627" s="62" t="n">
        <v>1</v>
      </c>
    </row>
    <row r="1628" customFormat="false" ht="15" hidden="false" customHeight="false" outlineLevel="0" collapsed="false">
      <c r="A1628" s="62" t="n">
        <v>1627</v>
      </c>
      <c r="B1628" s="63" t="n">
        <v>46272.9965393519</v>
      </c>
      <c r="C1628" s="64" t="n">
        <v>46272</v>
      </c>
      <c r="D1628" s="62" t="s">
        <v>429</v>
      </c>
      <c r="E1628" s="62" t="s">
        <v>1749</v>
      </c>
      <c r="F1628" s="62" t="s">
        <v>1749</v>
      </c>
      <c r="G1628" s="62" t="s">
        <v>1750</v>
      </c>
      <c r="H1628" s="62" t="s">
        <v>57</v>
      </c>
      <c r="I1628" s="62" t="s">
        <v>47</v>
      </c>
      <c r="J1628" s="62" t="s">
        <v>146</v>
      </c>
      <c r="K1628" s="62" t="s">
        <v>209</v>
      </c>
      <c r="L1628" s="62" t="s">
        <v>4</v>
      </c>
      <c r="M1628" s="62" t="n">
        <v>2</v>
      </c>
      <c r="N1628" s="62" t="n">
        <v>0</v>
      </c>
      <c r="O1628" s="62" t="n">
        <v>2</v>
      </c>
      <c r="P1628" s="62" t="n">
        <v>0</v>
      </c>
      <c r="Q1628" s="62" t="n">
        <v>0</v>
      </c>
      <c r="R1628" s="62" t="n">
        <v>0</v>
      </c>
      <c r="S1628" s="62" t="n">
        <v>0</v>
      </c>
      <c r="T1628" s="62" t="n">
        <v>0</v>
      </c>
      <c r="U1628" s="62" t="s">
        <v>15</v>
      </c>
      <c r="V1628" s="62" t="s">
        <v>2057</v>
      </c>
      <c r="W1628" s="62" t="s">
        <v>2056</v>
      </c>
      <c r="X1628" s="62" t="s">
        <v>2058</v>
      </c>
      <c r="Y1628" s="62" t="s">
        <v>2181</v>
      </c>
      <c r="Z1628" s="62" t="s">
        <v>2990</v>
      </c>
      <c r="AA1628" s="62" t="s">
        <v>2991</v>
      </c>
      <c r="AB1628" s="62" t="n">
        <v>1</v>
      </c>
      <c r="AC1628" s="62" t="n">
        <v>1</v>
      </c>
      <c r="AD1628" s="62" t="n">
        <v>1</v>
      </c>
      <c r="AE1628" s="62" t="n">
        <f aca="false">IF(AND(Dashboard!$C$9="Yes",AC1628=1),0,1)</f>
        <v>0</v>
      </c>
      <c r="AF1628" s="62" t="n">
        <v>0</v>
      </c>
    </row>
    <row r="1629" customFormat="false" ht="15" hidden="false" customHeight="false" outlineLevel="0" collapsed="false">
      <c r="A1629" s="62" t="n">
        <v>1628</v>
      </c>
      <c r="B1629" s="63" t="n">
        <v>46272.9967824074</v>
      </c>
      <c r="C1629" s="64" t="n">
        <v>46272</v>
      </c>
      <c r="D1629" s="62" t="s">
        <v>429</v>
      </c>
      <c r="E1629" s="62" t="s">
        <v>1749</v>
      </c>
      <c r="F1629" s="62" t="s">
        <v>1749</v>
      </c>
      <c r="G1629" s="62" t="s">
        <v>1750</v>
      </c>
      <c r="H1629" s="62" t="s">
        <v>57</v>
      </c>
      <c r="I1629" s="62" t="s">
        <v>47</v>
      </c>
      <c r="J1629" s="62" t="s">
        <v>146</v>
      </c>
      <c r="K1629" s="62" t="s">
        <v>209</v>
      </c>
      <c r="L1629" s="62" t="s">
        <v>148</v>
      </c>
      <c r="M1629" s="62" t="n">
        <v>0</v>
      </c>
      <c r="N1629" s="62" t="n">
        <v>1</v>
      </c>
      <c r="O1629" s="62" t="n">
        <v>1</v>
      </c>
      <c r="P1629" s="62" t="n">
        <v>0</v>
      </c>
      <c r="Q1629" s="62" t="n">
        <v>1</v>
      </c>
      <c r="R1629" s="62" t="n">
        <v>0</v>
      </c>
      <c r="S1629" s="62" t="n">
        <v>0</v>
      </c>
      <c r="T1629" s="62" t="n">
        <v>0</v>
      </c>
      <c r="U1629" s="62"/>
      <c r="V1629" s="62"/>
      <c r="W1629" s="62"/>
      <c r="X1629" s="62"/>
      <c r="Y1629" s="62"/>
      <c r="Z1629" s="62" t="s">
        <v>2990</v>
      </c>
      <c r="AA1629" s="62" t="s">
        <v>2994</v>
      </c>
      <c r="AB1629" s="62" t="n">
        <v>1</v>
      </c>
      <c r="AC1629" s="62" t="n">
        <v>1</v>
      </c>
      <c r="AD1629" s="62" t="n">
        <v>1</v>
      </c>
      <c r="AE1629" s="62" t="n">
        <f aca="false">IF(AND(Dashboard!$C$9="Yes",AC1629=1),0,1)</f>
        <v>0</v>
      </c>
      <c r="AF1629" s="62" t="n">
        <v>0</v>
      </c>
    </row>
    <row r="1630" customFormat="false" ht="15" hidden="false" customHeight="false" outlineLevel="0" collapsed="false">
      <c r="A1630" s="62" t="n">
        <v>1629</v>
      </c>
      <c r="B1630" s="63" t="n">
        <v>46273.0018287037</v>
      </c>
      <c r="C1630" s="64" t="n">
        <v>46272</v>
      </c>
      <c r="D1630" s="62" t="s">
        <v>429</v>
      </c>
      <c r="E1630" s="62" t="s">
        <v>2119</v>
      </c>
      <c r="F1630" s="62" t="s">
        <v>2119</v>
      </c>
      <c r="G1630" s="62" t="s">
        <v>2120</v>
      </c>
      <c r="H1630" s="62" t="s">
        <v>52</v>
      </c>
      <c r="I1630" s="62" t="s">
        <v>47</v>
      </c>
      <c r="J1630" s="62" t="s">
        <v>146</v>
      </c>
      <c r="K1630" s="62" t="s">
        <v>147</v>
      </c>
      <c r="L1630" s="62" t="s">
        <v>4</v>
      </c>
      <c r="M1630" s="62" t="n">
        <v>1</v>
      </c>
      <c r="N1630" s="62" t="n">
        <v>0</v>
      </c>
      <c r="O1630" s="62" t="n">
        <v>1</v>
      </c>
      <c r="P1630" s="62" t="n">
        <v>0</v>
      </c>
      <c r="Q1630" s="62" t="n">
        <v>0</v>
      </c>
      <c r="R1630" s="62" t="n">
        <v>0</v>
      </c>
      <c r="S1630" s="62" t="n">
        <v>0</v>
      </c>
      <c r="T1630" s="62" t="n">
        <v>0</v>
      </c>
      <c r="U1630" s="62" t="s">
        <v>2056</v>
      </c>
      <c r="V1630" s="62" t="s">
        <v>2057</v>
      </c>
      <c r="W1630" s="62" t="s">
        <v>15</v>
      </c>
      <c r="X1630" s="62" t="s">
        <v>2058</v>
      </c>
      <c r="Y1630" s="62" t="s">
        <v>2059</v>
      </c>
      <c r="Z1630" s="62" t="s">
        <v>3028</v>
      </c>
      <c r="AA1630" s="62" t="s">
        <v>3015</v>
      </c>
      <c r="AB1630" s="62" t="n">
        <v>1</v>
      </c>
      <c r="AC1630" s="62" t="n">
        <v>0</v>
      </c>
      <c r="AD1630" s="62" t="n">
        <v>1</v>
      </c>
      <c r="AE1630" s="62" t="n">
        <f aca="false">IF(AND(Dashboard!$C$9="Yes",AC1630=1),0,1)</f>
        <v>1</v>
      </c>
      <c r="AF1630" s="62" t="n">
        <v>0</v>
      </c>
    </row>
    <row r="1631" customFormat="false" ht="15" hidden="false" customHeight="false" outlineLevel="0" collapsed="false">
      <c r="A1631" s="62" t="n">
        <v>1630</v>
      </c>
      <c r="B1631" s="63" t="n">
        <v>46273.0022106482</v>
      </c>
      <c r="C1631" s="64" t="n">
        <v>46272</v>
      </c>
      <c r="D1631" s="62" t="s">
        <v>429</v>
      </c>
      <c r="E1631" s="62" t="s">
        <v>2119</v>
      </c>
      <c r="F1631" s="62" t="s">
        <v>2119</v>
      </c>
      <c r="G1631" s="62" t="s">
        <v>2120</v>
      </c>
      <c r="H1631" s="62" t="s">
        <v>52</v>
      </c>
      <c r="I1631" s="62" t="s">
        <v>47</v>
      </c>
      <c r="J1631" s="62" t="s">
        <v>146</v>
      </c>
      <c r="K1631" s="62" t="s">
        <v>147</v>
      </c>
      <c r="L1631" s="62" t="s">
        <v>148</v>
      </c>
      <c r="M1631" s="62" t="n">
        <v>0</v>
      </c>
      <c r="N1631" s="62" t="n">
        <v>1</v>
      </c>
      <c r="O1631" s="62" t="n">
        <v>1</v>
      </c>
      <c r="P1631" s="62" t="n">
        <v>1</v>
      </c>
      <c r="Q1631" s="62" t="n">
        <v>0</v>
      </c>
      <c r="R1631" s="62" t="n">
        <v>0</v>
      </c>
      <c r="S1631" s="62" t="n">
        <v>0</v>
      </c>
      <c r="T1631" s="62" t="n">
        <v>0</v>
      </c>
      <c r="U1631" s="62"/>
      <c r="V1631" s="62"/>
      <c r="W1631" s="62"/>
      <c r="X1631" s="62"/>
      <c r="Y1631" s="62"/>
      <c r="Z1631" s="62" t="s">
        <v>3028</v>
      </c>
      <c r="AA1631" s="62" t="s">
        <v>3015</v>
      </c>
      <c r="AB1631" s="62" t="n">
        <v>1</v>
      </c>
      <c r="AC1631" s="62" t="n">
        <v>0</v>
      </c>
      <c r="AD1631" s="62" t="n">
        <v>1</v>
      </c>
      <c r="AE1631" s="62" t="n">
        <f aca="false">IF(AND(Dashboard!$C$9="Yes",AC1631=1),0,1)</f>
        <v>1</v>
      </c>
      <c r="AF1631" s="62" t="n">
        <v>0</v>
      </c>
    </row>
    <row r="1632" customFormat="false" ht="15" hidden="false" customHeight="false" outlineLevel="0" collapsed="false">
      <c r="A1632" s="62" t="n">
        <v>1631</v>
      </c>
      <c r="B1632" s="63" t="n">
        <v>46273.0104976852</v>
      </c>
      <c r="C1632" s="64" t="n">
        <v>46272</v>
      </c>
      <c r="D1632" s="62" t="s">
        <v>429</v>
      </c>
      <c r="E1632" s="62" t="s">
        <v>3029</v>
      </c>
      <c r="F1632" s="62" t="s">
        <v>3030</v>
      </c>
      <c r="G1632" s="62" t="s">
        <v>153</v>
      </c>
      <c r="H1632" s="62" t="s">
        <v>153</v>
      </c>
      <c r="I1632" s="62" t="s">
        <v>153</v>
      </c>
      <c r="J1632" s="62" t="s">
        <v>64</v>
      </c>
      <c r="K1632" s="62" t="s">
        <v>64</v>
      </c>
      <c r="L1632" s="62" t="s">
        <v>148</v>
      </c>
      <c r="M1632" s="62" t="n">
        <v>0</v>
      </c>
      <c r="N1632" s="62" t="n">
        <v>1</v>
      </c>
      <c r="O1632" s="62" t="n">
        <v>1</v>
      </c>
      <c r="P1632" s="62" t="n">
        <v>1</v>
      </c>
      <c r="Q1632" s="62" t="n">
        <v>0</v>
      </c>
      <c r="R1632" s="62" t="n">
        <v>0</v>
      </c>
      <c r="S1632" s="62" t="n">
        <v>0</v>
      </c>
      <c r="T1632" s="62" t="n">
        <v>0</v>
      </c>
      <c r="U1632" s="62"/>
      <c r="V1632" s="62"/>
      <c r="W1632" s="62"/>
      <c r="X1632" s="62"/>
      <c r="Y1632" s="62"/>
      <c r="Z1632" s="62" t="s">
        <v>3031</v>
      </c>
      <c r="AA1632" s="62" t="s">
        <v>3032</v>
      </c>
      <c r="AB1632" s="62" t="n">
        <v>1</v>
      </c>
      <c r="AC1632" s="62" t="n">
        <v>0</v>
      </c>
      <c r="AD1632" s="62" t="n">
        <v>0</v>
      </c>
      <c r="AE1632" s="62" t="n">
        <f aca="false">IF(AND(Dashboard!$C$9="Yes",AC1632=1),0,1)</f>
        <v>1</v>
      </c>
      <c r="AF1632" s="62" t="n">
        <v>1</v>
      </c>
    </row>
    <row r="1633" customFormat="false" ht="15" hidden="false" customHeight="false" outlineLevel="0" collapsed="false">
      <c r="A1633" s="62" t="n">
        <v>1632</v>
      </c>
      <c r="B1633" s="63" t="n">
        <v>46273.0118634259</v>
      </c>
      <c r="C1633" s="64" t="n">
        <v>46272</v>
      </c>
      <c r="D1633" s="62" t="s">
        <v>429</v>
      </c>
      <c r="E1633" s="62" t="s">
        <v>3029</v>
      </c>
      <c r="F1633" s="62" t="s">
        <v>3030</v>
      </c>
      <c r="G1633" s="62" t="s">
        <v>153</v>
      </c>
      <c r="H1633" s="62" t="s">
        <v>153</v>
      </c>
      <c r="I1633" s="62" t="s">
        <v>153</v>
      </c>
      <c r="J1633" s="62" t="s">
        <v>64</v>
      </c>
      <c r="K1633" s="62" t="s">
        <v>64</v>
      </c>
      <c r="L1633" s="62" t="s">
        <v>148</v>
      </c>
      <c r="M1633" s="62" t="n">
        <v>0</v>
      </c>
      <c r="N1633" s="62" t="n">
        <v>1</v>
      </c>
      <c r="O1633" s="62" t="n">
        <v>1</v>
      </c>
      <c r="P1633" s="62" t="n">
        <v>0</v>
      </c>
      <c r="Q1633" s="62" t="n">
        <v>0</v>
      </c>
      <c r="R1633" s="62" t="n">
        <v>1</v>
      </c>
      <c r="S1633" s="62" t="n">
        <v>0</v>
      </c>
      <c r="T1633" s="62" t="n">
        <v>0</v>
      </c>
      <c r="U1633" s="62"/>
      <c r="V1633" s="62"/>
      <c r="W1633" s="62"/>
      <c r="X1633" s="62"/>
      <c r="Y1633" s="62"/>
      <c r="Z1633" s="62" t="s">
        <v>3033</v>
      </c>
      <c r="AA1633" s="62" t="s">
        <v>3034</v>
      </c>
      <c r="AB1633" s="62" t="n">
        <v>1</v>
      </c>
      <c r="AC1633" s="62" t="n">
        <v>0</v>
      </c>
      <c r="AD1633" s="62" t="n">
        <v>0</v>
      </c>
      <c r="AE1633" s="62" t="n">
        <f aca="false">IF(AND(Dashboard!$C$9="Yes",AC1633=1),0,1)</f>
        <v>1</v>
      </c>
      <c r="AF1633" s="62" t="n">
        <v>0</v>
      </c>
    </row>
    <row r="1634" customFormat="false" ht="15" hidden="false" customHeight="false" outlineLevel="0" collapsed="false">
      <c r="A1634" s="62" t="n">
        <v>1633</v>
      </c>
      <c r="B1634" s="63" t="n">
        <v>46273.0138657407</v>
      </c>
      <c r="C1634" s="64" t="n">
        <v>46272</v>
      </c>
      <c r="D1634" s="62" t="s">
        <v>429</v>
      </c>
      <c r="E1634" s="62" t="s">
        <v>3029</v>
      </c>
      <c r="F1634" s="62" t="s">
        <v>3030</v>
      </c>
      <c r="G1634" s="62" t="s">
        <v>153</v>
      </c>
      <c r="H1634" s="62" t="s">
        <v>153</v>
      </c>
      <c r="I1634" s="62" t="s">
        <v>153</v>
      </c>
      <c r="J1634" s="62" t="s">
        <v>64</v>
      </c>
      <c r="K1634" s="62" t="s">
        <v>64</v>
      </c>
      <c r="L1634" s="62" t="s">
        <v>148</v>
      </c>
      <c r="M1634" s="62" t="n">
        <v>0</v>
      </c>
      <c r="N1634" s="62" t="n">
        <v>1</v>
      </c>
      <c r="O1634" s="62" t="n">
        <v>1</v>
      </c>
      <c r="P1634" s="62" t="n">
        <v>0</v>
      </c>
      <c r="Q1634" s="62" t="n">
        <v>0</v>
      </c>
      <c r="R1634" s="62" t="n">
        <v>1</v>
      </c>
      <c r="S1634" s="62" t="n">
        <v>0</v>
      </c>
      <c r="T1634" s="62" t="n">
        <v>0</v>
      </c>
      <c r="U1634" s="62"/>
      <c r="V1634" s="62"/>
      <c r="W1634" s="62"/>
      <c r="X1634" s="62"/>
      <c r="Y1634" s="62"/>
      <c r="Z1634" s="62" t="s">
        <v>3035</v>
      </c>
      <c r="AA1634" s="62" t="s">
        <v>3036</v>
      </c>
      <c r="AB1634" s="62" t="n">
        <v>1</v>
      </c>
      <c r="AC1634" s="62" t="n">
        <v>0</v>
      </c>
      <c r="AD1634" s="62" t="n">
        <v>0</v>
      </c>
      <c r="AE1634" s="62" t="n">
        <f aca="false">IF(AND(Dashboard!$C$9="Yes",AC1634=1),0,1)</f>
        <v>1</v>
      </c>
      <c r="AF1634" s="62" t="n">
        <v>0</v>
      </c>
    </row>
    <row r="1635" customFormat="false" ht="15" hidden="false" customHeight="false" outlineLevel="0" collapsed="false">
      <c r="A1635" s="62" t="n">
        <v>1634</v>
      </c>
      <c r="B1635" s="63" t="n">
        <v>46273.0249189815</v>
      </c>
      <c r="C1635" s="64" t="n">
        <v>46272</v>
      </c>
      <c r="D1635" s="62" t="s">
        <v>429</v>
      </c>
      <c r="E1635" s="62" t="s">
        <v>1732</v>
      </c>
      <c r="F1635" s="62" t="s">
        <v>1732</v>
      </c>
      <c r="G1635" s="62" t="s">
        <v>1733</v>
      </c>
      <c r="H1635" s="62" t="s">
        <v>58</v>
      </c>
      <c r="I1635" s="62" t="s">
        <v>49</v>
      </c>
      <c r="J1635" s="62" t="s">
        <v>146</v>
      </c>
      <c r="K1635" s="62" t="s">
        <v>209</v>
      </c>
      <c r="L1635" s="62" t="s">
        <v>148</v>
      </c>
      <c r="M1635" s="62" t="n">
        <v>0</v>
      </c>
      <c r="N1635" s="62" t="n">
        <v>1</v>
      </c>
      <c r="O1635" s="62" t="n">
        <v>1</v>
      </c>
      <c r="P1635" s="62" t="n">
        <v>0</v>
      </c>
      <c r="Q1635" s="62" t="n">
        <v>1</v>
      </c>
      <c r="R1635" s="62" t="n">
        <v>0</v>
      </c>
      <c r="S1635" s="62" t="n">
        <v>0</v>
      </c>
      <c r="T1635" s="62" t="n">
        <v>0</v>
      </c>
      <c r="U1635" s="62"/>
      <c r="V1635" s="62"/>
      <c r="W1635" s="62"/>
      <c r="X1635" s="62"/>
      <c r="Y1635" s="62"/>
      <c r="Z1635" s="62" t="s">
        <v>3037</v>
      </c>
      <c r="AA1635" s="62" t="s">
        <v>3038</v>
      </c>
      <c r="AB1635" s="62" t="n">
        <v>1</v>
      </c>
      <c r="AC1635" s="62" t="n">
        <v>0</v>
      </c>
      <c r="AD1635" s="62" t="n">
        <v>1</v>
      </c>
      <c r="AE1635" s="62" t="n">
        <f aca="false">IF(AND(Dashboard!$C$9="Yes",AC1635=1),0,1)</f>
        <v>1</v>
      </c>
      <c r="AF1635" s="62" t="n">
        <v>0</v>
      </c>
    </row>
    <row r="1636" customFormat="false" ht="15" hidden="false" customHeight="false" outlineLevel="0" collapsed="false">
      <c r="A1636" s="62" t="n">
        <v>1635</v>
      </c>
      <c r="B1636" s="63" t="n">
        <v>46273.0323726852</v>
      </c>
      <c r="C1636" s="64" t="n">
        <v>46272</v>
      </c>
      <c r="D1636" s="62" t="s">
        <v>429</v>
      </c>
      <c r="E1636" s="62" t="s">
        <v>414</v>
      </c>
      <c r="F1636" s="62" t="s">
        <v>414</v>
      </c>
      <c r="G1636" s="62" t="s">
        <v>415</v>
      </c>
      <c r="H1636" s="62" t="s">
        <v>57</v>
      </c>
      <c r="I1636" s="62" t="s">
        <v>47</v>
      </c>
      <c r="J1636" s="62" t="s">
        <v>146</v>
      </c>
      <c r="K1636" s="62" t="s">
        <v>147</v>
      </c>
      <c r="L1636" s="62" t="s">
        <v>4</v>
      </c>
      <c r="M1636" s="62" t="n">
        <v>1</v>
      </c>
      <c r="N1636" s="62" t="n">
        <v>0</v>
      </c>
      <c r="O1636" s="62" t="n">
        <v>1</v>
      </c>
      <c r="P1636" s="62" t="n">
        <v>0</v>
      </c>
      <c r="Q1636" s="62" t="n">
        <v>0</v>
      </c>
      <c r="R1636" s="62" t="n">
        <v>0</v>
      </c>
      <c r="S1636" s="62" t="n">
        <v>0</v>
      </c>
      <c r="T1636" s="62" t="n">
        <v>0</v>
      </c>
      <c r="U1636" s="62" t="s">
        <v>2056</v>
      </c>
      <c r="V1636" s="62" t="s">
        <v>2057</v>
      </c>
      <c r="W1636" s="62" t="s">
        <v>15</v>
      </c>
      <c r="X1636" s="62" t="s">
        <v>2058</v>
      </c>
      <c r="Y1636" s="62" t="s">
        <v>2059</v>
      </c>
      <c r="Z1636" s="62" t="s">
        <v>3039</v>
      </c>
      <c r="AA1636" s="62" t="s">
        <v>3040</v>
      </c>
      <c r="AB1636" s="62" t="n">
        <v>1</v>
      </c>
      <c r="AC1636" s="62" t="n">
        <v>0</v>
      </c>
      <c r="AD1636" s="62" t="n">
        <v>1</v>
      </c>
      <c r="AE1636" s="62" t="n">
        <f aca="false">IF(AND(Dashboard!$C$9="Yes",AC1636=1),0,1)</f>
        <v>1</v>
      </c>
      <c r="AF1636" s="62" t="n">
        <v>1</v>
      </c>
    </row>
    <row r="1637" customFormat="false" ht="15" hidden="false" customHeight="false" outlineLevel="0" collapsed="false">
      <c r="A1637" s="62" t="n">
        <v>1636</v>
      </c>
      <c r="B1637" s="63" t="n">
        <v>46273.0338078704</v>
      </c>
      <c r="C1637" s="64" t="n">
        <v>46272</v>
      </c>
      <c r="D1637" s="62" t="s">
        <v>429</v>
      </c>
      <c r="E1637" s="62" t="s">
        <v>414</v>
      </c>
      <c r="F1637" s="62" t="s">
        <v>414</v>
      </c>
      <c r="G1637" s="62" t="s">
        <v>415</v>
      </c>
      <c r="H1637" s="62" t="s">
        <v>57</v>
      </c>
      <c r="I1637" s="62" t="s">
        <v>47</v>
      </c>
      <c r="J1637" s="62" t="s">
        <v>146</v>
      </c>
      <c r="K1637" s="62" t="s">
        <v>147</v>
      </c>
      <c r="L1637" s="62" t="s">
        <v>4</v>
      </c>
      <c r="M1637" s="62" t="n">
        <v>1</v>
      </c>
      <c r="N1637" s="62" t="n">
        <v>0</v>
      </c>
      <c r="O1637" s="62" t="n">
        <v>1</v>
      </c>
      <c r="P1637" s="62" t="n">
        <v>0</v>
      </c>
      <c r="Q1637" s="62" t="n">
        <v>0</v>
      </c>
      <c r="R1637" s="62" t="n">
        <v>0</v>
      </c>
      <c r="S1637" s="62" t="n">
        <v>0</v>
      </c>
      <c r="T1637" s="62" t="n">
        <v>0</v>
      </c>
      <c r="U1637" s="62" t="s">
        <v>2056</v>
      </c>
      <c r="V1637" s="62" t="s">
        <v>2057</v>
      </c>
      <c r="W1637" s="62" t="s">
        <v>15</v>
      </c>
      <c r="X1637" s="62" t="s">
        <v>2058</v>
      </c>
      <c r="Y1637" s="62" t="s">
        <v>2253</v>
      </c>
      <c r="Z1637" s="62" t="s">
        <v>3041</v>
      </c>
      <c r="AA1637" s="62" t="s">
        <v>3042</v>
      </c>
      <c r="AB1637" s="62" t="n">
        <v>1</v>
      </c>
      <c r="AC1637" s="62" t="n">
        <v>0</v>
      </c>
      <c r="AD1637" s="62" t="n">
        <v>1</v>
      </c>
      <c r="AE1637" s="62" t="n">
        <f aca="false">IF(AND(Dashboard!$C$9="Yes",AC1637=1),0,1)</f>
        <v>1</v>
      </c>
      <c r="AF1637" s="62" t="n">
        <v>0</v>
      </c>
    </row>
    <row r="1638" customFormat="false" ht="15" hidden="false" customHeight="false" outlineLevel="0" collapsed="false">
      <c r="A1638" s="62" t="n">
        <v>1637</v>
      </c>
      <c r="B1638" s="63" t="n">
        <v>46273.0346527778</v>
      </c>
      <c r="C1638" s="64" t="n">
        <v>46272</v>
      </c>
      <c r="D1638" s="62" t="s">
        <v>429</v>
      </c>
      <c r="E1638" s="62" t="s">
        <v>196</v>
      </c>
      <c r="F1638" s="62" t="s">
        <v>196</v>
      </c>
      <c r="G1638" s="62" t="s">
        <v>197</v>
      </c>
      <c r="H1638" s="62" t="s">
        <v>57</v>
      </c>
      <c r="I1638" s="62" t="s">
        <v>47</v>
      </c>
      <c r="J1638" s="62" t="s">
        <v>146</v>
      </c>
      <c r="K1638" s="62" t="s">
        <v>175</v>
      </c>
      <c r="L1638" s="62" t="s">
        <v>4</v>
      </c>
      <c r="M1638" s="62" t="n">
        <v>1</v>
      </c>
      <c r="N1638" s="62" t="n">
        <v>0</v>
      </c>
      <c r="O1638" s="62" t="n">
        <v>1</v>
      </c>
      <c r="P1638" s="62" t="n">
        <v>0</v>
      </c>
      <c r="Q1638" s="62" t="n">
        <v>0</v>
      </c>
      <c r="R1638" s="62" t="n">
        <v>0</v>
      </c>
      <c r="S1638" s="62" t="n">
        <v>0</v>
      </c>
      <c r="T1638" s="62" t="n">
        <v>0</v>
      </c>
      <c r="U1638" s="62" t="s">
        <v>2056</v>
      </c>
      <c r="V1638" s="62" t="s">
        <v>2057</v>
      </c>
      <c r="W1638" s="62" t="s">
        <v>15</v>
      </c>
      <c r="X1638" s="62" t="s">
        <v>2125</v>
      </c>
      <c r="Y1638" s="62" t="s">
        <v>2059</v>
      </c>
      <c r="Z1638" s="62" t="s">
        <v>3043</v>
      </c>
      <c r="AA1638" s="62" t="s">
        <v>3044</v>
      </c>
      <c r="AB1638" s="62" t="n">
        <v>1</v>
      </c>
      <c r="AC1638" s="62" t="n">
        <v>0</v>
      </c>
      <c r="AD1638" s="62" t="n">
        <v>1</v>
      </c>
      <c r="AE1638" s="62" t="n">
        <f aca="false">IF(AND(Dashboard!$C$9="Yes",AC1638=1),0,1)</f>
        <v>1</v>
      </c>
      <c r="AF1638" s="62" t="n">
        <v>1</v>
      </c>
    </row>
    <row r="1639" customFormat="false" ht="15" hidden="false" customHeight="false" outlineLevel="0" collapsed="false">
      <c r="A1639" s="62" t="n">
        <v>1638</v>
      </c>
      <c r="B1639" s="63" t="n">
        <v>46273.0411458333</v>
      </c>
      <c r="C1639" s="64" t="n">
        <v>46272</v>
      </c>
      <c r="D1639" s="62" t="s">
        <v>429</v>
      </c>
      <c r="E1639" s="62" t="s">
        <v>1457</v>
      </c>
      <c r="F1639" s="62" t="s">
        <v>1458</v>
      </c>
      <c r="G1639" s="62" t="s">
        <v>153</v>
      </c>
      <c r="H1639" s="62" t="s">
        <v>153</v>
      </c>
      <c r="I1639" s="62" t="s">
        <v>153</v>
      </c>
      <c r="J1639" s="62" t="s">
        <v>64</v>
      </c>
      <c r="K1639" s="62" t="s">
        <v>64</v>
      </c>
      <c r="L1639" s="62" t="s">
        <v>148</v>
      </c>
      <c r="M1639" s="62" t="n">
        <v>0</v>
      </c>
      <c r="N1639" s="62" t="n">
        <v>1</v>
      </c>
      <c r="O1639" s="62" t="n">
        <v>1</v>
      </c>
      <c r="P1639" s="62" t="n">
        <v>0</v>
      </c>
      <c r="Q1639" s="62" t="n">
        <v>1</v>
      </c>
      <c r="R1639" s="62" t="n">
        <v>0</v>
      </c>
      <c r="S1639" s="62" t="n">
        <v>0</v>
      </c>
      <c r="T1639" s="62" t="n">
        <v>0</v>
      </c>
      <c r="U1639" s="62"/>
      <c r="V1639" s="62"/>
      <c r="W1639" s="62"/>
      <c r="X1639" s="62"/>
      <c r="Y1639" s="62"/>
      <c r="Z1639" s="62" t="s">
        <v>3045</v>
      </c>
      <c r="AA1639" s="62" t="s">
        <v>3046</v>
      </c>
      <c r="AB1639" s="62" t="n">
        <v>1</v>
      </c>
      <c r="AC1639" s="62" t="n">
        <v>0</v>
      </c>
      <c r="AD1639" s="62" t="n">
        <v>0</v>
      </c>
      <c r="AE1639" s="62" t="n">
        <f aca="false">IF(AND(Dashboard!$C$9="Yes",AC1639=1),0,1)</f>
        <v>1</v>
      </c>
      <c r="AF1639" s="62" t="n">
        <v>1</v>
      </c>
    </row>
    <row r="1640" customFormat="false" ht="15" hidden="false" customHeight="false" outlineLevel="0" collapsed="false">
      <c r="A1640" s="62" t="n">
        <v>1639</v>
      </c>
      <c r="B1640" s="63" t="n">
        <v>46273.0416203704</v>
      </c>
      <c r="C1640" s="64" t="n">
        <v>46272</v>
      </c>
      <c r="D1640" s="62" t="s">
        <v>429</v>
      </c>
      <c r="E1640" s="62" t="s">
        <v>1457</v>
      </c>
      <c r="F1640" s="62" t="s">
        <v>1458</v>
      </c>
      <c r="G1640" s="62" t="s">
        <v>153</v>
      </c>
      <c r="H1640" s="62" t="s">
        <v>153</v>
      </c>
      <c r="I1640" s="62" t="s">
        <v>153</v>
      </c>
      <c r="J1640" s="62" t="s">
        <v>64</v>
      </c>
      <c r="K1640" s="62" t="s">
        <v>64</v>
      </c>
      <c r="L1640" s="62" t="s">
        <v>148</v>
      </c>
      <c r="M1640" s="62" t="n">
        <v>0</v>
      </c>
      <c r="N1640" s="62" t="n">
        <v>1</v>
      </c>
      <c r="O1640" s="62" t="n">
        <v>1</v>
      </c>
      <c r="P1640" s="62" t="n">
        <v>0</v>
      </c>
      <c r="Q1640" s="62" t="n">
        <v>1</v>
      </c>
      <c r="R1640" s="62" t="n">
        <v>0</v>
      </c>
      <c r="S1640" s="62" t="n">
        <v>0</v>
      </c>
      <c r="T1640" s="62" t="n">
        <v>0</v>
      </c>
      <c r="U1640" s="62"/>
      <c r="V1640" s="62"/>
      <c r="W1640" s="62"/>
      <c r="X1640" s="62"/>
      <c r="Y1640" s="62"/>
      <c r="Z1640" s="62" t="s">
        <v>3045</v>
      </c>
      <c r="AA1640" s="62" t="s">
        <v>3046</v>
      </c>
      <c r="AB1640" s="62" t="n">
        <v>1</v>
      </c>
      <c r="AC1640" s="62" t="n">
        <v>1</v>
      </c>
      <c r="AD1640" s="62" t="n">
        <v>0</v>
      </c>
      <c r="AE1640" s="62" t="n">
        <f aca="false">IF(AND(Dashboard!$C$9="Yes",AC1640=1),0,1)</f>
        <v>0</v>
      </c>
      <c r="AF1640" s="62" t="n">
        <v>0</v>
      </c>
    </row>
    <row r="1641" customFormat="false" ht="15" hidden="false" customHeight="false" outlineLevel="0" collapsed="false">
      <c r="A1641" s="62" t="n">
        <v>1640</v>
      </c>
      <c r="B1641" s="63" t="n">
        <v>46273.0438541667</v>
      </c>
      <c r="C1641" s="64" t="n">
        <v>46272</v>
      </c>
      <c r="D1641" s="62" t="s">
        <v>429</v>
      </c>
      <c r="E1641" s="62" t="s">
        <v>1326</v>
      </c>
      <c r="F1641" s="62" t="s">
        <v>1326</v>
      </c>
      <c r="G1641" s="62" t="s">
        <v>1327</v>
      </c>
      <c r="H1641" s="62" t="s">
        <v>57</v>
      </c>
      <c r="I1641" s="62" t="s">
        <v>47</v>
      </c>
      <c r="J1641" s="62" t="s">
        <v>146</v>
      </c>
      <c r="K1641" s="62" t="s">
        <v>175</v>
      </c>
      <c r="L1641" s="62" t="s">
        <v>4</v>
      </c>
      <c r="M1641" s="62" t="n">
        <v>1</v>
      </c>
      <c r="N1641" s="62" t="n">
        <v>0</v>
      </c>
      <c r="O1641" s="62" t="n">
        <v>1</v>
      </c>
      <c r="P1641" s="62" t="n">
        <v>0</v>
      </c>
      <c r="Q1641" s="62" t="n">
        <v>0</v>
      </c>
      <c r="R1641" s="62" t="n">
        <v>0</v>
      </c>
      <c r="S1641" s="62" t="n">
        <v>0</v>
      </c>
      <c r="T1641" s="62" t="n">
        <v>0</v>
      </c>
      <c r="U1641" s="62" t="s">
        <v>2056</v>
      </c>
      <c r="V1641" s="62" t="s">
        <v>2057</v>
      </c>
      <c r="W1641" s="62" t="s">
        <v>15</v>
      </c>
      <c r="X1641" s="62" t="s">
        <v>2058</v>
      </c>
      <c r="Y1641" s="62" t="s">
        <v>2059</v>
      </c>
      <c r="Z1641" s="62" t="s">
        <v>3047</v>
      </c>
      <c r="AA1641" s="62" t="s">
        <v>3048</v>
      </c>
      <c r="AB1641" s="62" t="n">
        <v>1</v>
      </c>
      <c r="AC1641" s="62" t="n">
        <v>0</v>
      </c>
      <c r="AD1641" s="62" t="n">
        <v>1</v>
      </c>
      <c r="AE1641" s="62" t="n">
        <f aca="false">IF(AND(Dashboard!$C$9="Yes",AC1641=1),0,1)</f>
        <v>1</v>
      </c>
      <c r="AF1641" s="62" t="n">
        <v>0</v>
      </c>
    </row>
    <row r="1642" customFormat="false" ht="15" hidden="false" customHeight="false" outlineLevel="0" collapsed="false">
      <c r="A1642" s="62" t="n">
        <v>1641</v>
      </c>
      <c r="B1642" s="63" t="n">
        <v>46273.0548148148</v>
      </c>
      <c r="C1642" s="64" t="n">
        <v>46272</v>
      </c>
      <c r="D1642" s="62" t="s">
        <v>429</v>
      </c>
      <c r="E1642" s="62" t="s">
        <v>414</v>
      </c>
      <c r="F1642" s="62" t="s">
        <v>414</v>
      </c>
      <c r="G1642" s="62" t="s">
        <v>415</v>
      </c>
      <c r="H1642" s="62" t="s">
        <v>57</v>
      </c>
      <c r="I1642" s="62" t="s">
        <v>47</v>
      </c>
      <c r="J1642" s="62" t="s">
        <v>146</v>
      </c>
      <c r="K1642" s="62" t="s">
        <v>147</v>
      </c>
      <c r="L1642" s="62" t="s">
        <v>148</v>
      </c>
      <c r="M1642" s="62" t="n">
        <v>0</v>
      </c>
      <c r="N1642" s="62" t="n">
        <v>1</v>
      </c>
      <c r="O1642" s="62" t="n">
        <v>1</v>
      </c>
      <c r="P1642" s="62" t="n">
        <v>1</v>
      </c>
      <c r="Q1642" s="62" t="n">
        <v>0</v>
      </c>
      <c r="R1642" s="62" t="n">
        <v>0</v>
      </c>
      <c r="S1642" s="62" t="n">
        <v>0</v>
      </c>
      <c r="T1642" s="62" t="n">
        <v>0</v>
      </c>
      <c r="U1642" s="62"/>
      <c r="V1642" s="62"/>
      <c r="W1642" s="62"/>
      <c r="X1642" s="62"/>
      <c r="Y1642" s="62"/>
      <c r="Z1642" s="62" t="s">
        <v>3049</v>
      </c>
      <c r="AA1642" s="62" t="s">
        <v>3050</v>
      </c>
      <c r="AB1642" s="62" t="n">
        <v>1</v>
      </c>
      <c r="AC1642" s="62" t="n">
        <v>0</v>
      </c>
      <c r="AD1642" s="62" t="n">
        <v>1</v>
      </c>
      <c r="AE1642" s="62" t="n">
        <f aca="false">IF(AND(Dashboard!$C$9="Yes",AC1642=1),0,1)</f>
        <v>1</v>
      </c>
      <c r="AF1642" s="62" t="n">
        <v>0</v>
      </c>
    </row>
    <row r="1643" customFormat="false" ht="15" hidden="false" customHeight="false" outlineLevel="0" collapsed="false">
      <c r="A1643" s="62" t="n">
        <v>1642</v>
      </c>
      <c r="B1643" s="63" t="n">
        <v>46273.0637962963</v>
      </c>
      <c r="C1643" s="64" t="n">
        <v>46272</v>
      </c>
      <c r="D1643" s="62" t="s">
        <v>429</v>
      </c>
      <c r="E1643" s="62" t="s">
        <v>255</v>
      </c>
      <c r="F1643" s="62" t="s">
        <v>255</v>
      </c>
      <c r="G1643" s="62" t="s">
        <v>256</v>
      </c>
      <c r="H1643" s="62" t="s">
        <v>57</v>
      </c>
      <c r="I1643" s="62" t="s">
        <v>47</v>
      </c>
      <c r="J1643" s="62" t="s">
        <v>146</v>
      </c>
      <c r="K1643" s="62" t="s">
        <v>147</v>
      </c>
      <c r="L1643" s="62" t="s">
        <v>4</v>
      </c>
      <c r="M1643" s="62" t="n">
        <v>1</v>
      </c>
      <c r="N1643" s="62" t="n">
        <v>0</v>
      </c>
      <c r="O1643" s="62" t="n">
        <v>1</v>
      </c>
      <c r="P1643" s="62" t="n">
        <v>0</v>
      </c>
      <c r="Q1643" s="62" t="n">
        <v>0</v>
      </c>
      <c r="R1643" s="62" t="n">
        <v>0</v>
      </c>
      <c r="S1643" s="62" t="n">
        <v>0</v>
      </c>
      <c r="T1643" s="62" t="n">
        <v>0</v>
      </c>
      <c r="U1643" s="62" t="s">
        <v>2056</v>
      </c>
      <c r="V1643" s="62" t="s">
        <v>2057</v>
      </c>
      <c r="W1643" s="62" t="s">
        <v>15</v>
      </c>
      <c r="X1643" s="62" t="s">
        <v>2058</v>
      </c>
      <c r="Y1643" s="62" t="s">
        <v>2059</v>
      </c>
      <c r="Z1643" s="62" t="s">
        <v>3051</v>
      </c>
      <c r="AA1643" s="62" t="s">
        <v>3052</v>
      </c>
      <c r="AB1643" s="62" t="n">
        <v>1</v>
      </c>
      <c r="AC1643" s="62" t="n">
        <v>0</v>
      </c>
      <c r="AD1643" s="62" t="n">
        <v>1</v>
      </c>
      <c r="AE1643" s="62" t="n">
        <f aca="false">IF(AND(Dashboard!$C$9="Yes",AC1643=1),0,1)</f>
        <v>1</v>
      </c>
      <c r="AF1643" s="62" t="n">
        <v>1</v>
      </c>
    </row>
    <row r="1644" customFormat="false" ht="15" hidden="false" customHeight="false" outlineLevel="0" collapsed="false">
      <c r="A1644" s="62" t="n">
        <v>1643</v>
      </c>
      <c r="B1644" s="63" t="n">
        <v>46273.0662384259</v>
      </c>
      <c r="C1644" s="64" t="n">
        <v>46272</v>
      </c>
      <c r="D1644" s="62" t="s">
        <v>429</v>
      </c>
      <c r="E1644" s="62" t="s">
        <v>1155</v>
      </c>
      <c r="F1644" s="62" t="s">
        <v>1155</v>
      </c>
      <c r="G1644" s="62" t="s">
        <v>1156</v>
      </c>
      <c r="H1644" s="62" t="s">
        <v>59</v>
      </c>
      <c r="I1644" s="62" t="s">
        <v>47</v>
      </c>
      <c r="J1644" s="62" t="s">
        <v>146</v>
      </c>
      <c r="K1644" s="62" t="s">
        <v>209</v>
      </c>
      <c r="L1644" s="62" t="s">
        <v>148</v>
      </c>
      <c r="M1644" s="62" t="n">
        <v>0</v>
      </c>
      <c r="N1644" s="62" t="n">
        <v>1</v>
      </c>
      <c r="O1644" s="62" t="n">
        <v>1</v>
      </c>
      <c r="P1644" s="62" t="n">
        <v>1</v>
      </c>
      <c r="Q1644" s="62" t="n">
        <v>0</v>
      </c>
      <c r="R1644" s="62" t="n">
        <v>0</v>
      </c>
      <c r="S1644" s="62" t="n">
        <v>0</v>
      </c>
      <c r="T1644" s="62" t="n">
        <v>0</v>
      </c>
      <c r="U1644" s="62"/>
      <c r="V1644" s="62"/>
      <c r="W1644" s="62"/>
      <c r="X1644" s="62"/>
      <c r="Y1644" s="62"/>
      <c r="Z1644" s="62" t="s">
        <v>3053</v>
      </c>
      <c r="AA1644" s="62" t="s">
        <v>3054</v>
      </c>
      <c r="AB1644" s="62" t="n">
        <v>1</v>
      </c>
      <c r="AC1644" s="62" t="n">
        <v>0</v>
      </c>
      <c r="AD1644" s="62" t="n">
        <v>1</v>
      </c>
      <c r="AE1644" s="62" t="n">
        <f aca="false">IF(AND(Dashboard!$C$9="Yes",AC1644=1),0,1)</f>
        <v>1</v>
      </c>
      <c r="AF1644" s="62" t="n">
        <v>1</v>
      </c>
    </row>
    <row r="1645" customFormat="false" ht="15" hidden="false" customHeight="false" outlineLevel="0" collapsed="false">
      <c r="A1645" s="62" t="n">
        <v>1644</v>
      </c>
      <c r="B1645" s="63" t="n">
        <v>46273.0966898148</v>
      </c>
      <c r="C1645" s="64" t="n">
        <v>46272</v>
      </c>
      <c r="D1645" s="62" t="s">
        <v>429</v>
      </c>
      <c r="E1645" s="62" t="s">
        <v>2050</v>
      </c>
      <c r="F1645" s="62" t="s">
        <v>2050</v>
      </c>
      <c r="G1645" s="62" t="s">
        <v>2051</v>
      </c>
      <c r="H1645" s="62" t="s">
        <v>46</v>
      </c>
      <c r="I1645" s="62" t="s">
        <v>47</v>
      </c>
      <c r="J1645" s="62" t="s">
        <v>146</v>
      </c>
      <c r="K1645" s="62" t="s">
        <v>209</v>
      </c>
      <c r="L1645" s="62" t="s">
        <v>4</v>
      </c>
      <c r="M1645" s="62" t="n">
        <v>1</v>
      </c>
      <c r="N1645" s="62" t="n">
        <v>0</v>
      </c>
      <c r="O1645" s="62" t="n">
        <v>1</v>
      </c>
      <c r="P1645" s="62" t="n">
        <v>0</v>
      </c>
      <c r="Q1645" s="62" t="n">
        <v>0</v>
      </c>
      <c r="R1645" s="62" t="n">
        <v>0</v>
      </c>
      <c r="S1645" s="62" t="n">
        <v>0</v>
      </c>
      <c r="T1645" s="62" t="n">
        <v>0</v>
      </c>
      <c r="U1645" s="62" t="s">
        <v>2056</v>
      </c>
      <c r="V1645" s="62" t="s">
        <v>2057</v>
      </c>
      <c r="W1645" s="62" t="s">
        <v>15</v>
      </c>
      <c r="X1645" s="62" t="s">
        <v>2058</v>
      </c>
      <c r="Y1645" s="62" t="s">
        <v>2103</v>
      </c>
      <c r="Z1645" s="62" t="s">
        <v>3055</v>
      </c>
      <c r="AA1645" s="62" t="s">
        <v>2076</v>
      </c>
      <c r="AB1645" s="62" t="n">
        <v>0</v>
      </c>
      <c r="AC1645" s="62" t="n">
        <v>0</v>
      </c>
      <c r="AD1645" s="62" t="n">
        <v>1</v>
      </c>
      <c r="AE1645" s="62" t="n">
        <f aca="false">IF(AND(Dashboard!$C$9="Yes",AC1645=1),0,1)</f>
        <v>1</v>
      </c>
      <c r="AF1645" s="62" t="n">
        <v>1</v>
      </c>
    </row>
    <row r="1646" customFormat="false" ht="15" hidden="false" customHeight="false" outlineLevel="0" collapsed="false">
      <c r="A1646" s="62" t="n">
        <v>1645</v>
      </c>
      <c r="B1646" s="63" t="n">
        <v>46273.1087268519</v>
      </c>
      <c r="C1646" s="64" t="n">
        <v>46272</v>
      </c>
      <c r="D1646" s="62" t="s">
        <v>429</v>
      </c>
      <c r="E1646" s="62" t="s">
        <v>180</v>
      </c>
      <c r="F1646" s="62" t="s">
        <v>180</v>
      </c>
      <c r="G1646" s="62" t="s">
        <v>181</v>
      </c>
      <c r="H1646" s="62" t="s">
        <v>58</v>
      </c>
      <c r="I1646" s="62" t="s">
        <v>49</v>
      </c>
      <c r="J1646" s="62" t="s">
        <v>146</v>
      </c>
      <c r="K1646" s="62" t="s">
        <v>175</v>
      </c>
      <c r="L1646" s="62" t="s">
        <v>148</v>
      </c>
      <c r="M1646" s="62" t="n">
        <v>0</v>
      </c>
      <c r="N1646" s="62" t="n">
        <v>3</v>
      </c>
      <c r="O1646" s="62" t="n">
        <v>3</v>
      </c>
      <c r="P1646" s="62" t="n">
        <v>1</v>
      </c>
      <c r="Q1646" s="62" t="n">
        <v>1</v>
      </c>
      <c r="R1646" s="62" t="n">
        <v>1</v>
      </c>
      <c r="S1646" s="62" t="n">
        <v>0</v>
      </c>
      <c r="T1646" s="62" t="n">
        <v>0</v>
      </c>
      <c r="U1646" s="62"/>
      <c r="V1646" s="62"/>
      <c r="W1646" s="62"/>
      <c r="X1646" s="62"/>
      <c r="Y1646" s="62"/>
      <c r="Z1646" s="62" t="s">
        <v>3056</v>
      </c>
      <c r="AA1646" s="62" t="s">
        <v>3056</v>
      </c>
      <c r="AB1646" s="62" t="n">
        <v>1</v>
      </c>
      <c r="AC1646" s="62" t="n">
        <v>0</v>
      </c>
      <c r="AD1646" s="62" t="n">
        <v>1</v>
      </c>
      <c r="AE1646" s="62" t="n">
        <f aca="false">IF(AND(Dashboard!$C$9="Yes",AC1646=1),0,1)</f>
        <v>1</v>
      </c>
      <c r="AF1646" s="62" t="n">
        <v>1</v>
      </c>
    </row>
    <row r="1647" customFormat="false" ht="15" hidden="false" customHeight="false" outlineLevel="0" collapsed="false">
      <c r="A1647" s="62" t="n">
        <v>1646</v>
      </c>
      <c r="B1647" s="63" t="n">
        <v>46273.1404861111</v>
      </c>
      <c r="C1647" s="64" t="n">
        <v>46272</v>
      </c>
      <c r="D1647" s="62" t="s">
        <v>429</v>
      </c>
      <c r="E1647" s="62" t="s">
        <v>2476</v>
      </c>
      <c r="F1647" s="62" t="s">
        <v>2476</v>
      </c>
      <c r="G1647" s="62" t="s">
        <v>2477</v>
      </c>
      <c r="H1647" s="62" t="s">
        <v>51</v>
      </c>
      <c r="I1647" s="62" t="s">
        <v>47</v>
      </c>
      <c r="J1647" s="62" t="s">
        <v>146</v>
      </c>
      <c r="K1647" s="62" t="s">
        <v>209</v>
      </c>
      <c r="L1647" s="62" t="s">
        <v>4</v>
      </c>
      <c r="M1647" s="62" t="n">
        <v>1</v>
      </c>
      <c r="N1647" s="62" t="n">
        <v>0</v>
      </c>
      <c r="O1647" s="62" t="n">
        <v>1</v>
      </c>
      <c r="P1647" s="62" t="n">
        <v>0</v>
      </c>
      <c r="Q1647" s="62" t="n">
        <v>0</v>
      </c>
      <c r="R1647" s="62" t="n">
        <v>0</v>
      </c>
      <c r="S1647" s="62" t="n">
        <v>0</v>
      </c>
      <c r="T1647" s="62" t="n">
        <v>0</v>
      </c>
      <c r="U1647" s="62" t="s">
        <v>2056</v>
      </c>
      <c r="V1647" s="62" t="s">
        <v>2057</v>
      </c>
      <c r="W1647" s="62" t="s">
        <v>15</v>
      </c>
      <c r="X1647" s="62"/>
      <c r="Y1647" s="62" t="s">
        <v>2059</v>
      </c>
      <c r="Z1647" s="62" t="s">
        <v>3057</v>
      </c>
      <c r="AA1647" s="62" t="s">
        <v>3058</v>
      </c>
      <c r="AB1647" s="62" t="n">
        <v>1</v>
      </c>
      <c r="AC1647" s="62" t="n">
        <v>0</v>
      </c>
      <c r="AD1647" s="62" t="n">
        <v>1</v>
      </c>
      <c r="AE1647" s="62" t="n">
        <f aca="false">IF(AND(Dashboard!$C$9="Yes",AC1647=1),0,1)</f>
        <v>1</v>
      </c>
      <c r="AF1647" s="62" t="n">
        <v>1</v>
      </c>
    </row>
    <row r="1648" customFormat="false" ht="15" hidden="false" customHeight="false" outlineLevel="0" collapsed="false">
      <c r="A1648" s="62" t="n">
        <v>1647</v>
      </c>
      <c r="B1648" s="63" t="n">
        <v>46273.211724537</v>
      </c>
      <c r="C1648" s="64" t="n">
        <v>46272</v>
      </c>
      <c r="D1648" s="62" t="s">
        <v>429</v>
      </c>
      <c r="E1648" s="62" t="s">
        <v>1827</v>
      </c>
      <c r="F1648" s="62" t="s">
        <v>1827</v>
      </c>
      <c r="G1648" s="62" t="s">
        <v>1828</v>
      </c>
      <c r="H1648" s="62" t="s">
        <v>59</v>
      </c>
      <c r="I1648" s="62" t="s">
        <v>47</v>
      </c>
      <c r="J1648" s="62" t="s">
        <v>146</v>
      </c>
      <c r="K1648" s="62" t="s">
        <v>209</v>
      </c>
      <c r="L1648" s="62" t="s">
        <v>4</v>
      </c>
      <c r="M1648" s="62" t="n">
        <v>1</v>
      </c>
      <c r="N1648" s="62" t="n">
        <v>0</v>
      </c>
      <c r="O1648" s="62" t="n">
        <v>1</v>
      </c>
      <c r="P1648" s="62" t="n">
        <v>0</v>
      </c>
      <c r="Q1648" s="62" t="n">
        <v>0</v>
      </c>
      <c r="R1648" s="62" t="n">
        <v>0</v>
      </c>
      <c r="S1648" s="62" t="n">
        <v>0</v>
      </c>
      <c r="T1648" s="62" t="n">
        <v>0</v>
      </c>
      <c r="U1648" s="62" t="s">
        <v>2056</v>
      </c>
      <c r="V1648" s="62" t="s">
        <v>2057</v>
      </c>
      <c r="W1648" s="62" t="s">
        <v>15</v>
      </c>
      <c r="X1648" s="62" t="s">
        <v>2103</v>
      </c>
      <c r="Y1648" s="62" t="s">
        <v>2059</v>
      </c>
      <c r="Z1648" s="62" t="s">
        <v>3059</v>
      </c>
      <c r="AA1648" s="62" t="s">
        <v>3060</v>
      </c>
      <c r="AB1648" s="62" t="n">
        <v>1</v>
      </c>
      <c r="AC1648" s="62" t="n">
        <v>0</v>
      </c>
      <c r="AD1648" s="62" t="n">
        <v>1</v>
      </c>
      <c r="AE1648" s="62" t="n">
        <f aca="false">IF(AND(Dashboard!$C$9="Yes",AC1648=1),0,1)</f>
        <v>1</v>
      </c>
      <c r="AF1648" s="62" t="n">
        <v>1</v>
      </c>
    </row>
    <row r="1649" customFormat="false" ht="15" hidden="false" customHeight="false" outlineLevel="0" collapsed="false">
      <c r="A1649" s="62" t="n">
        <v>1648</v>
      </c>
      <c r="B1649" s="63" t="n">
        <v>46273.230787037</v>
      </c>
      <c r="C1649" s="64" t="n">
        <v>46272</v>
      </c>
      <c r="D1649" s="62" t="s">
        <v>429</v>
      </c>
      <c r="E1649" s="62" t="s">
        <v>3061</v>
      </c>
      <c r="F1649" s="62" t="s">
        <v>3061</v>
      </c>
      <c r="G1649" s="62" t="s">
        <v>3062</v>
      </c>
      <c r="H1649" s="62" t="s">
        <v>44</v>
      </c>
      <c r="I1649" s="62" t="s">
        <v>49</v>
      </c>
      <c r="J1649" s="62" t="s">
        <v>146</v>
      </c>
      <c r="K1649" s="62" t="s">
        <v>147</v>
      </c>
      <c r="L1649" s="62" t="s">
        <v>148</v>
      </c>
      <c r="M1649" s="62" t="n">
        <v>0</v>
      </c>
      <c r="N1649" s="62" t="n">
        <v>2</v>
      </c>
      <c r="O1649" s="62" t="n">
        <v>2</v>
      </c>
      <c r="P1649" s="62" t="n">
        <v>1</v>
      </c>
      <c r="Q1649" s="62" t="n">
        <v>1</v>
      </c>
      <c r="R1649" s="62" t="n">
        <v>0</v>
      </c>
      <c r="S1649" s="62" t="n">
        <v>0</v>
      </c>
      <c r="T1649" s="62" t="n">
        <v>0</v>
      </c>
      <c r="U1649" s="62"/>
      <c r="V1649" s="62"/>
      <c r="W1649" s="62"/>
      <c r="X1649" s="62"/>
      <c r="Y1649" s="62"/>
      <c r="Z1649" s="62" t="s">
        <v>3063</v>
      </c>
      <c r="AA1649" s="62" t="s">
        <v>3064</v>
      </c>
      <c r="AB1649" s="62" t="n">
        <v>1</v>
      </c>
      <c r="AC1649" s="62" t="n">
        <v>0</v>
      </c>
      <c r="AD1649" s="62" t="n">
        <v>1</v>
      </c>
      <c r="AE1649" s="62" t="n">
        <f aca="false">IF(AND(Dashboard!$C$9="Yes",AC1649=1),0,1)</f>
        <v>1</v>
      </c>
      <c r="AF1649" s="62" t="n">
        <v>1</v>
      </c>
    </row>
    <row r="1650" customFormat="false" ht="15" hidden="false" customHeight="false" outlineLevel="0" collapsed="false">
      <c r="A1650" s="62" t="n">
        <v>1649</v>
      </c>
      <c r="B1650" s="63" t="n">
        <v>46273.2665509259</v>
      </c>
      <c r="C1650" s="64" t="n">
        <v>46272</v>
      </c>
      <c r="D1650" s="62" t="s">
        <v>429</v>
      </c>
      <c r="E1650" s="62" t="s">
        <v>2385</v>
      </c>
      <c r="F1650" s="62" t="s">
        <v>2385</v>
      </c>
      <c r="G1650" s="62" t="s">
        <v>2386</v>
      </c>
      <c r="H1650" s="62" t="s">
        <v>59</v>
      </c>
      <c r="I1650" s="62" t="s">
        <v>47</v>
      </c>
      <c r="J1650" s="62" t="s">
        <v>146</v>
      </c>
      <c r="K1650" s="62" t="s">
        <v>209</v>
      </c>
      <c r="L1650" s="62" t="s">
        <v>148</v>
      </c>
      <c r="M1650" s="62" t="n">
        <v>0</v>
      </c>
      <c r="N1650" s="62" t="n">
        <v>2</v>
      </c>
      <c r="O1650" s="62" t="n">
        <v>2</v>
      </c>
      <c r="P1650" s="62" t="n">
        <v>1</v>
      </c>
      <c r="Q1650" s="62" t="n">
        <v>1</v>
      </c>
      <c r="R1650" s="62" t="n">
        <v>0</v>
      </c>
      <c r="S1650" s="62" t="n">
        <v>0</v>
      </c>
      <c r="T1650" s="62" t="n">
        <v>0</v>
      </c>
      <c r="U1650" s="62"/>
      <c r="V1650" s="62"/>
      <c r="W1650" s="62"/>
      <c r="X1650" s="62"/>
      <c r="Y1650" s="62"/>
      <c r="Z1650" s="62" t="s">
        <v>3065</v>
      </c>
      <c r="AA1650" s="62" t="s">
        <v>3066</v>
      </c>
      <c r="AB1650" s="62" t="n">
        <v>1</v>
      </c>
      <c r="AC1650" s="62" t="n">
        <v>0</v>
      </c>
      <c r="AD1650" s="62" t="n">
        <v>1</v>
      </c>
      <c r="AE1650" s="62" t="n">
        <f aca="false">IF(AND(Dashboard!$C$9="Yes",AC1650=1),0,1)</f>
        <v>1</v>
      </c>
      <c r="AF1650" s="62" t="n">
        <v>1</v>
      </c>
    </row>
    <row r="1651" customFormat="false" ht="15" hidden="false" customHeight="false" outlineLevel="0" collapsed="false">
      <c r="A1651" s="62" t="n">
        <v>1650</v>
      </c>
      <c r="B1651" s="63" t="n">
        <v>46273.6352314815</v>
      </c>
      <c r="C1651" s="64" t="n">
        <v>46273</v>
      </c>
      <c r="D1651" s="62" t="s">
        <v>501</v>
      </c>
      <c r="E1651" s="62" t="s">
        <v>164</v>
      </c>
      <c r="F1651" s="62" t="s">
        <v>164</v>
      </c>
      <c r="G1651" s="62" t="s">
        <v>165</v>
      </c>
      <c r="H1651" s="62" t="s">
        <v>51</v>
      </c>
      <c r="I1651" s="62" t="s">
        <v>47</v>
      </c>
      <c r="J1651" s="62" t="s">
        <v>146</v>
      </c>
      <c r="K1651" s="62" t="s">
        <v>147</v>
      </c>
      <c r="L1651" s="62" t="s">
        <v>148</v>
      </c>
      <c r="M1651" s="62" t="n">
        <v>0</v>
      </c>
      <c r="N1651" s="62" t="n">
        <v>1</v>
      </c>
      <c r="O1651" s="62" t="n">
        <v>1</v>
      </c>
      <c r="P1651" s="62" t="n">
        <v>1</v>
      </c>
      <c r="Q1651" s="62" t="n">
        <v>0</v>
      </c>
      <c r="R1651" s="62" t="n">
        <v>0</v>
      </c>
      <c r="S1651" s="62" t="n">
        <v>0</v>
      </c>
      <c r="T1651" s="62" t="n">
        <v>0</v>
      </c>
      <c r="U1651" s="62"/>
      <c r="V1651" s="62"/>
      <c r="W1651" s="62"/>
      <c r="X1651" s="62"/>
      <c r="Y1651" s="62"/>
      <c r="Z1651" s="62" t="s">
        <v>3067</v>
      </c>
      <c r="AA1651" s="62" t="s">
        <v>3068</v>
      </c>
      <c r="AB1651" s="62" t="n">
        <v>1</v>
      </c>
      <c r="AC1651" s="62" t="n">
        <v>0</v>
      </c>
      <c r="AD1651" s="62" t="n">
        <v>1</v>
      </c>
      <c r="AE1651" s="62" t="n">
        <f aca="false">IF(AND(Dashboard!$C$9="Yes",AC1651=1),0,1)</f>
        <v>1</v>
      </c>
      <c r="AF1651" s="62" t="n">
        <v>1</v>
      </c>
    </row>
    <row r="1652" customFormat="false" ht="15" hidden="false" customHeight="false" outlineLevel="0" collapsed="false">
      <c r="A1652" s="62" t="n">
        <v>1651</v>
      </c>
      <c r="B1652" s="63" t="n">
        <v>46273.6607638889</v>
      </c>
      <c r="C1652" s="64" t="n">
        <v>46273</v>
      </c>
      <c r="D1652" s="62" t="s">
        <v>501</v>
      </c>
      <c r="E1652" s="62" t="s">
        <v>3018</v>
      </c>
      <c r="F1652" s="62" t="s">
        <v>3018</v>
      </c>
      <c r="G1652" s="62" t="s">
        <v>3019</v>
      </c>
      <c r="H1652" s="62" t="s">
        <v>58</v>
      </c>
      <c r="I1652" s="62" t="s">
        <v>49</v>
      </c>
      <c r="J1652" s="62" t="s">
        <v>146</v>
      </c>
      <c r="K1652" s="62" t="s">
        <v>175</v>
      </c>
      <c r="L1652" s="62" t="s">
        <v>4</v>
      </c>
      <c r="M1652" s="62" t="n">
        <v>1</v>
      </c>
      <c r="N1652" s="62" t="n">
        <v>0</v>
      </c>
      <c r="O1652" s="62" t="n">
        <v>1</v>
      </c>
      <c r="P1652" s="62" t="n">
        <v>0</v>
      </c>
      <c r="Q1652" s="62" t="n">
        <v>0</v>
      </c>
      <c r="R1652" s="62" t="n">
        <v>0</v>
      </c>
      <c r="S1652" s="62" t="n">
        <v>0</v>
      </c>
      <c r="T1652" s="62" t="n">
        <v>0</v>
      </c>
      <c r="U1652" s="62" t="s">
        <v>2056</v>
      </c>
      <c r="V1652" s="62" t="s">
        <v>2057</v>
      </c>
      <c r="W1652" s="62" t="s">
        <v>15</v>
      </c>
      <c r="X1652" s="62" t="s">
        <v>2058</v>
      </c>
      <c r="Y1652" s="62" t="s">
        <v>2059</v>
      </c>
      <c r="Z1652" s="62" t="s">
        <v>3069</v>
      </c>
      <c r="AA1652" s="62" t="s">
        <v>3070</v>
      </c>
      <c r="AB1652" s="62" t="n">
        <v>1</v>
      </c>
      <c r="AC1652" s="62" t="n">
        <v>0</v>
      </c>
      <c r="AD1652" s="62" t="n">
        <v>1</v>
      </c>
      <c r="AE1652" s="62" t="n">
        <f aca="false">IF(AND(Dashboard!$C$9="Yes",AC1652=1),0,1)</f>
        <v>1</v>
      </c>
      <c r="AF1652" s="62" t="n">
        <v>1</v>
      </c>
    </row>
    <row r="1653" customFormat="false" ht="15" hidden="false" customHeight="false" outlineLevel="0" collapsed="false">
      <c r="A1653" s="62" t="n">
        <v>1652</v>
      </c>
      <c r="B1653" s="63" t="n">
        <v>46273.6988541667</v>
      </c>
      <c r="C1653" s="64" t="n">
        <v>46273</v>
      </c>
      <c r="D1653" s="62" t="s">
        <v>501</v>
      </c>
      <c r="E1653" s="62" t="s">
        <v>203</v>
      </c>
      <c r="F1653" s="62" t="s">
        <v>203</v>
      </c>
      <c r="G1653" s="62" t="s">
        <v>204</v>
      </c>
      <c r="H1653" s="62" t="s">
        <v>51</v>
      </c>
      <c r="I1653" s="62" t="s">
        <v>47</v>
      </c>
      <c r="J1653" s="62" t="s">
        <v>146</v>
      </c>
      <c r="K1653" s="62" t="s">
        <v>147</v>
      </c>
      <c r="L1653" s="62" t="s">
        <v>4</v>
      </c>
      <c r="M1653" s="62" t="n">
        <v>1</v>
      </c>
      <c r="N1653" s="62" t="n">
        <v>0</v>
      </c>
      <c r="O1653" s="62" t="n">
        <v>1</v>
      </c>
      <c r="P1653" s="62" t="n">
        <v>0</v>
      </c>
      <c r="Q1653" s="62" t="n">
        <v>0</v>
      </c>
      <c r="R1653" s="62" t="n">
        <v>0</v>
      </c>
      <c r="S1653" s="62" t="n">
        <v>0</v>
      </c>
      <c r="T1653" s="62" t="n">
        <v>0</v>
      </c>
      <c r="U1653" s="62" t="s">
        <v>2056</v>
      </c>
      <c r="V1653" s="62" t="s">
        <v>2057</v>
      </c>
      <c r="W1653" s="62" t="s">
        <v>15</v>
      </c>
      <c r="X1653" s="62" t="s">
        <v>2125</v>
      </c>
      <c r="Y1653" s="62" t="s">
        <v>2103</v>
      </c>
      <c r="Z1653" s="62" t="s">
        <v>3071</v>
      </c>
      <c r="AA1653" s="62" t="s">
        <v>3072</v>
      </c>
      <c r="AB1653" s="62" t="n">
        <v>1</v>
      </c>
      <c r="AC1653" s="62" t="n">
        <v>0</v>
      </c>
      <c r="AD1653" s="62" t="n">
        <v>1</v>
      </c>
      <c r="AE1653" s="62" t="n">
        <f aca="false">IF(AND(Dashboard!$C$9="Yes",AC1653=1),0,1)</f>
        <v>1</v>
      </c>
      <c r="AF1653" s="62" t="n">
        <v>1</v>
      </c>
    </row>
    <row r="1654" customFormat="false" ht="15" hidden="false" customHeight="false" outlineLevel="0" collapsed="false">
      <c r="A1654" s="62" t="n">
        <v>1653</v>
      </c>
      <c r="B1654" s="63" t="n">
        <v>46273.7054976852</v>
      </c>
      <c r="C1654" s="64" t="n">
        <v>46273</v>
      </c>
      <c r="D1654" s="62" t="s">
        <v>501</v>
      </c>
      <c r="E1654" s="62" t="s">
        <v>3073</v>
      </c>
      <c r="F1654" s="62" t="s">
        <v>2097</v>
      </c>
      <c r="G1654" s="62" t="s">
        <v>2098</v>
      </c>
      <c r="H1654" s="62" t="s">
        <v>51</v>
      </c>
      <c r="I1654" s="62" t="s">
        <v>47</v>
      </c>
      <c r="J1654" s="62" t="s">
        <v>146</v>
      </c>
      <c r="K1654" s="62" t="s">
        <v>147</v>
      </c>
      <c r="L1654" s="62" t="s">
        <v>148</v>
      </c>
      <c r="M1654" s="62" t="n">
        <v>0</v>
      </c>
      <c r="N1654" s="62" t="n">
        <v>1</v>
      </c>
      <c r="O1654" s="62" t="n">
        <v>1</v>
      </c>
      <c r="P1654" s="62" t="n">
        <v>1</v>
      </c>
      <c r="Q1654" s="62" t="n">
        <v>0</v>
      </c>
      <c r="R1654" s="62" t="n">
        <v>0</v>
      </c>
      <c r="S1654" s="62" t="n">
        <v>0</v>
      </c>
      <c r="T1654" s="62" t="n">
        <v>0</v>
      </c>
      <c r="U1654" s="62"/>
      <c r="V1654" s="62"/>
      <c r="W1654" s="62"/>
      <c r="X1654" s="62"/>
      <c r="Y1654" s="62"/>
      <c r="Z1654" s="62" t="s">
        <v>3074</v>
      </c>
      <c r="AA1654" s="62" t="s">
        <v>3075</v>
      </c>
      <c r="AB1654" s="62" t="n">
        <v>0</v>
      </c>
      <c r="AC1654" s="62" t="n">
        <v>0</v>
      </c>
      <c r="AD1654" s="62" t="n">
        <v>1</v>
      </c>
      <c r="AE1654" s="62" t="n">
        <f aca="false">IF(AND(Dashboard!$C$9="Yes",AC1654=1),0,1)</f>
        <v>1</v>
      </c>
      <c r="AF1654" s="62" t="n">
        <v>1</v>
      </c>
    </row>
    <row r="1655" customFormat="false" ht="15" hidden="false" customHeight="false" outlineLevel="0" collapsed="false">
      <c r="A1655" s="62" t="n">
        <v>1654</v>
      </c>
      <c r="B1655" s="63" t="n">
        <v>46273.7088078704</v>
      </c>
      <c r="C1655" s="64" t="n">
        <v>46273</v>
      </c>
      <c r="D1655" s="62" t="s">
        <v>501</v>
      </c>
      <c r="E1655" s="62" t="s">
        <v>2156</v>
      </c>
      <c r="F1655" s="62" t="s">
        <v>2156</v>
      </c>
      <c r="G1655" s="62" t="s">
        <v>2157</v>
      </c>
      <c r="H1655" s="62" t="s">
        <v>52</v>
      </c>
      <c r="I1655" s="62" t="s">
        <v>47</v>
      </c>
      <c r="J1655" s="62" t="s">
        <v>146</v>
      </c>
      <c r="K1655" s="62" t="s">
        <v>209</v>
      </c>
      <c r="L1655" s="62" t="s">
        <v>148</v>
      </c>
      <c r="M1655" s="62" t="n">
        <v>0</v>
      </c>
      <c r="N1655" s="62" t="n">
        <v>2</v>
      </c>
      <c r="O1655" s="62" t="n">
        <v>2</v>
      </c>
      <c r="P1655" s="62" t="n">
        <v>1</v>
      </c>
      <c r="Q1655" s="62" t="n">
        <v>1</v>
      </c>
      <c r="R1655" s="62" t="n">
        <v>0</v>
      </c>
      <c r="S1655" s="62" t="n">
        <v>0</v>
      </c>
      <c r="T1655" s="62" t="n">
        <v>0</v>
      </c>
      <c r="U1655" s="62"/>
      <c r="V1655" s="62"/>
      <c r="W1655" s="62"/>
      <c r="X1655" s="62"/>
      <c r="Y1655" s="62"/>
      <c r="Z1655" s="62" t="s">
        <v>3076</v>
      </c>
      <c r="AA1655" s="62" t="s">
        <v>3077</v>
      </c>
      <c r="AB1655" s="62" t="n">
        <v>1</v>
      </c>
      <c r="AC1655" s="62" t="n">
        <v>0</v>
      </c>
      <c r="AD1655" s="62" t="n">
        <v>1</v>
      </c>
      <c r="AE1655" s="62" t="n">
        <f aca="false">IF(AND(Dashboard!$C$9="Yes",AC1655=1),0,1)</f>
        <v>1</v>
      </c>
      <c r="AF1655" s="62" t="n">
        <v>1</v>
      </c>
    </row>
    <row r="1656" customFormat="false" ht="15" hidden="false" customHeight="false" outlineLevel="0" collapsed="false">
      <c r="A1656" s="62" t="n">
        <v>1655</v>
      </c>
      <c r="B1656" s="63" t="n">
        <v>46273.7251851852</v>
      </c>
      <c r="C1656" s="64" t="n">
        <v>46273</v>
      </c>
      <c r="D1656" s="62" t="s">
        <v>501</v>
      </c>
      <c r="E1656" s="62" t="s">
        <v>1382</v>
      </c>
      <c r="F1656" s="62" t="s">
        <v>1382</v>
      </c>
      <c r="G1656" s="62" t="s">
        <v>1383</v>
      </c>
      <c r="H1656" s="62" t="s">
        <v>58</v>
      </c>
      <c r="I1656" s="62" t="s">
        <v>49</v>
      </c>
      <c r="J1656" s="62" t="s">
        <v>146</v>
      </c>
      <c r="K1656" s="62" t="s">
        <v>175</v>
      </c>
      <c r="L1656" s="62" t="s">
        <v>148</v>
      </c>
      <c r="M1656" s="62" t="n">
        <v>0</v>
      </c>
      <c r="N1656" s="62" t="n">
        <v>1</v>
      </c>
      <c r="O1656" s="62" t="n">
        <v>1</v>
      </c>
      <c r="P1656" s="62" t="n">
        <v>1</v>
      </c>
      <c r="Q1656" s="62" t="n">
        <v>0</v>
      </c>
      <c r="R1656" s="62" t="n">
        <v>0</v>
      </c>
      <c r="S1656" s="62" t="n">
        <v>0</v>
      </c>
      <c r="T1656" s="62" t="n">
        <v>0</v>
      </c>
      <c r="U1656" s="62"/>
      <c r="V1656" s="62"/>
      <c r="W1656" s="62"/>
      <c r="X1656" s="62"/>
      <c r="Y1656" s="62"/>
      <c r="Z1656" s="62" t="s">
        <v>3078</v>
      </c>
      <c r="AA1656" s="62" t="s">
        <v>3079</v>
      </c>
      <c r="AB1656" s="62" t="n">
        <v>1</v>
      </c>
      <c r="AC1656" s="62" t="n">
        <v>0</v>
      </c>
      <c r="AD1656" s="62" t="n">
        <v>1</v>
      </c>
      <c r="AE1656" s="62" t="n">
        <f aca="false">IF(AND(Dashboard!$C$9="Yes",AC1656=1),0,1)</f>
        <v>1</v>
      </c>
      <c r="AF1656" s="62" t="n">
        <v>1</v>
      </c>
    </row>
    <row r="1657" customFormat="false" ht="15" hidden="false" customHeight="false" outlineLevel="0" collapsed="false">
      <c r="A1657" s="62" t="n">
        <v>1656</v>
      </c>
      <c r="B1657" s="63" t="n">
        <v>46273.7372106482</v>
      </c>
      <c r="C1657" s="64" t="n">
        <v>46273</v>
      </c>
      <c r="D1657" s="62" t="s">
        <v>501</v>
      </c>
      <c r="E1657" s="62" t="s">
        <v>586</v>
      </c>
      <c r="F1657" s="62" t="s">
        <v>586</v>
      </c>
      <c r="G1657" s="62" t="s">
        <v>587</v>
      </c>
      <c r="H1657" s="62" t="s">
        <v>57</v>
      </c>
      <c r="I1657" s="62" t="s">
        <v>47</v>
      </c>
      <c r="J1657" s="62" t="s">
        <v>146</v>
      </c>
      <c r="K1657" s="62" t="s">
        <v>175</v>
      </c>
      <c r="L1657" s="62" t="s">
        <v>4</v>
      </c>
      <c r="M1657" s="62" t="n">
        <v>1</v>
      </c>
      <c r="N1657" s="62" t="n">
        <v>0</v>
      </c>
      <c r="O1657" s="62" t="n">
        <v>1</v>
      </c>
      <c r="P1657" s="62" t="n">
        <v>0</v>
      </c>
      <c r="Q1657" s="62" t="n">
        <v>0</v>
      </c>
      <c r="R1657" s="62" t="n">
        <v>0</v>
      </c>
      <c r="S1657" s="62" t="n">
        <v>0</v>
      </c>
      <c r="T1657" s="62" t="n">
        <v>0</v>
      </c>
      <c r="U1657" s="62" t="s">
        <v>15</v>
      </c>
      <c r="V1657" s="62" t="s">
        <v>2057</v>
      </c>
      <c r="W1657" s="62" t="s">
        <v>2056</v>
      </c>
      <c r="X1657" s="62" t="s">
        <v>2058</v>
      </c>
      <c r="Y1657" s="62" t="s">
        <v>2064</v>
      </c>
      <c r="Z1657" s="62" t="s">
        <v>3080</v>
      </c>
      <c r="AA1657" s="62" t="s">
        <v>3081</v>
      </c>
      <c r="AB1657" s="62" t="n">
        <v>1</v>
      </c>
      <c r="AC1657" s="62" t="n">
        <v>0</v>
      </c>
      <c r="AD1657" s="62" t="n">
        <v>1</v>
      </c>
      <c r="AE1657" s="62" t="n">
        <f aca="false">IF(AND(Dashboard!$C$9="Yes",AC1657=1),0,1)</f>
        <v>1</v>
      </c>
      <c r="AF1657" s="62" t="n">
        <v>1</v>
      </c>
    </row>
    <row r="1658" customFormat="false" ht="15" hidden="false" customHeight="false" outlineLevel="0" collapsed="false">
      <c r="A1658" s="62" t="n">
        <v>1657</v>
      </c>
      <c r="B1658" s="63" t="n">
        <v>46273.7394212963</v>
      </c>
      <c r="C1658" s="64" t="n">
        <v>46273</v>
      </c>
      <c r="D1658" s="62" t="s">
        <v>501</v>
      </c>
      <c r="E1658" s="62" t="s">
        <v>586</v>
      </c>
      <c r="F1658" s="62" t="s">
        <v>586</v>
      </c>
      <c r="G1658" s="62" t="s">
        <v>587</v>
      </c>
      <c r="H1658" s="62" t="s">
        <v>57</v>
      </c>
      <c r="I1658" s="62" t="s">
        <v>47</v>
      </c>
      <c r="J1658" s="62" t="s">
        <v>146</v>
      </c>
      <c r="K1658" s="62" t="s">
        <v>175</v>
      </c>
      <c r="L1658" s="62" t="s">
        <v>148</v>
      </c>
      <c r="M1658" s="62" t="n">
        <v>0</v>
      </c>
      <c r="N1658" s="62" t="n">
        <v>1</v>
      </c>
      <c r="O1658" s="62" t="n">
        <v>1</v>
      </c>
      <c r="P1658" s="62" t="n">
        <v>0</v>
      </c>
      <c r="Q1658" s="62" t="n">
        <v>0</v>
      </c>
      <c r="R1658" s="62" t="n">
        <v>0</v>
      </c>
      <c r="S1658" s="62" t="n">
        <v>0</v>
      </c>
      <c r="T1658" s="62" t="n">
        <v>1</v>
      </c>
      <c r="U1658" s="62"/>
      <c r="V1658" s="62"/>
      <c r="W1658" s="62"/>
      <c r="X1658" s="62"/>
      <c r="Y1658" s="62"/>
      <c r="Z1658" s="62" t="s">
        <v>3080</v>
      </c>
      <c r="AA1658" s="62" t="s">
        <v>3081</v>
      </c>
      <c r="AB1658" s="62" t="n">
        <v>1</v>
      </c>
      <c r="AC1658" s="62" t="n">
        <v>0</v>
      </c>
      <c r="AD1658" s="62" t="n">
        <v>1</v>
      </c>
      <c r="AE1658" s="62" t="n">
        <f aca="false">IF(AND(Dashboard!$C$9="Yes",AC1658=1),0,1)</f>
        <v>1</v>
      </c>
      <c r="AF1658" s="62" t="n">
        <v>0</v>
      </c>
    </row>
    <row r="1659" customFormat="false" ht="15" hidden="false" customHeight="false" outlineLevel="0" collapsed="false">
      <c r="A1659" s="62" t="n">
        <v>1658</v>
      </c>
      <c r="B1659" s="63" t="n">
        <v>46273.7531365741</v>
      </c>
      <c r="C1659" s="64" t="n">
        <v>46273</v>
      </c>
      <c r="D1659" s="62" t="s">
        <v>501</v>
      </c>
      <c r="E1659" s="62" t="s">
        <v>2097</v>
      </c>
      <c r="F1659" s="62" t="s">
        <v>2097</v>
      </c>
      <c r="G1659" s="62" t="s">
        <v>2098</v>
      </c>
      <c r="H1659" s="62" t="s">
        <v>51</v>
      </c>
      <c r="I1659" s="62" t="s">
        <v>47</v>
      </c>
      <c r="J1659" s="62" t="s">
        <v>146</v>
      </c>
      <c r="K1659" s="62" t="s">
        <v>147</v>
      </c>
      <c r="L1659" s="62" t="s">
        <v>4</v>
      </c>
      <c r="M1659" s="62" t="n">
        <v>1</v>
      </c>
      <c r="N1659" s="62" t="n">
        <v>0</v>
      </c>
      <c r="O1659" s="62" t="n">
        <v>1</v>
      </c>
      <c r="P1659" s="62" t="n">
        <v>0</v>
      </c>
      <c r="Q1659" s="62" t="n">
        <v>0</v>
      </c>
      <c r="R1659" s="62" t="n">
        <v>0</v>
      </c>
      <c r="S1659" s="62" t="n">
        <v>0</v>
      </c>
      <c r="T1659" s="62" t="n">
        <v>0</v>
      </c>
      <c r="U1659" s="62" t="s">
        <v>15</v>
      </c>
      <c r="V1659" s="62" t="s">
        <v>2057</v>
      </c>
      <c r="W1659" s="62" t="s">
        <v>15</v>
      </c>
      <c r="X1659" s="62" t="s">
        <v>2058</v>
      </c>
      <c r="Y1659" s="62" t="s">
        <v>2059</v>
      </c>
      <c r="Z1659" s="62" t="s">
        <v>3082</v>
      </c>
      <c r="AA1659" s="62" t="s">
        <v>3083</v>
      </c>
      <c r="AB1659" s="62" t="n">
        <v>1</v>
      </c>
      <c r="AC1659" s="62" t="n">
        <v>0</v>
      </c>
      <c r="AD1659" s="62" t="n">
        <v>1</v>
      </c>
      <c r="AE1659" s="62" t="n">
        <f aca="false">IF(AND(Dashboard!$C$9="Yes",AC1659=1),0,1)</f>
        <v>1</v>
      </c>
      <c r="AF1659" s="62" t="n">
        <v>0</v>
      </c>
    </row>
    <row r="1660" customFormat="false" ht="15" hidden="false" customHeight="false" outlineLevel="0" collapsed="false">
      <c r="A1660" s="62" t="n">
        <v>1659</v>
      </c>
      <c r="B1660" s="63" t="n">
        <v>46273.7699537037</v>
      </c>
      <c r="C1660" s="64" t="n">
        <v>46273</v>
      </c>
      <c r="D1660" s="62" t="s">
        <v>501</v>
      </c>
      <c r="E1660" s="62" t="s">
        <v>156</v>
      </c>
      <c r="F1660" s="62" t="s">
        <v>156</v>
      </c>
      <c r="G1660" s="62" t="s">
        <v>157</v>
      </c>
      <c r="H1660" s="62" t="s">
        <v>51</v>
      </c>
      <c r="I1660" s="62" t="s">
        <v>47</v>
      </c>
      <c r="J1660" s="62" t="s">
        <v>146</v>
      </c>
      <c r="K1660" s="62" t="s">
        <v>147</v>
      </c>
      <c r="L1660" s="62" t="s">
        <v>148</v>
      </c>
      <c r="M1660" s="62" t="n">
        <v>0</v>
      </c>
      <c r="N1660" s="62" t="n">
        <v>1</v>
      </c>
      <c r="O1660" s="62" t="n">
        <v>1</v>
      </c>
      <c r="P1660" s="62" t="n">
        <v>1</v>
      </c>
      <c r="Q1660" s="62" t="n">
        <v>0</v>
      </c>
      <c r="R1660" s="62" t="n">
        <v>0</v>
      </c>
      <c r="S1660" s="62" t="n">
        <v>0</v>
      </c>
      <c r="T1660" s="62" t="n">
        <v>0</v>
      </c>
      <c r="U1660" s="62"/>
      <c r="V1660" s="62"/>
      <c r="W1660" s="62"/>
      <c r="X1660" s="62"/>
      <c r="Y1660" s="62"/>
      <c r="Z1660" s="62" t="s">
        <v>3084</v>
      </c>
      <c r="AA1660" s="62" t="s">
        <v>3085</v>
      </c>
      <c r="AB1660" s="62" t="n">
        <v>1</v>
      </c>
      <c r="AC1660" s="62" t="n">
        <v>0</v>
      </c>
      <c r="AD1660" s="62" t="n">
        <v>1</v>
      </c>
      <c r="AE1660" s="62" t="n">
        <f aca="false">IF(AND(Dashboard!$C$9="Yes",AC1660=1),0,1)</f>
        <v>1</v>
      </c>
      <c r="AF1660" s="62" t="n">
        <v>1</v>
      </c>
    </row>
    <row r="1661" customFormat="false" ht="15" hidden="false" customHeight="false" outlineLevel="0" collapsed="false">
      <c r="A1661" s="62" t="n">
        <v>1660</v>
      </c>
      <c r="B1661" s="63" t="n">
        <v>46273.7737384259</v>
      </c>
      <c r="C1661" s="64" t="n">
        <v>46273</v>
      </c>
      <c r="D1661" s="62" t="s">
        <v>501</v>
      </c>
      <c r="E1661" s="62" t="s">
        <v>203</v>
      </c>
      <c r="F1661" s="62" t="s">
        <v>203</v>
      </c>
      <c r="G1661" s="62" t="s">
        <v>204</v>
      </c>
      <c r="H1661" s="62" t="s">
        <v>51</v>
      </c>
      <c r="I1661" s="62" t="s">
        <v>47</v>
      </c>
      <c r="J1661" s="62" t="s">
        <v>146</v>
      </c>
      <c r="K1661" s="62" t="s">
        <v>147</v>
      </c>
      <c r="L1661" s="62" t="s">
        <v>4</v>
      </c>
      <c r="M1661" s="62" t="n">
        <v>1</v>
      </c>
      <c r="N1661" s="62" t="n">
        <v>0</v>
      </c>
      <c r="O1661" s="62" t="n">
        <v>1</v>
      </c>
      <c r="P1661" s="62" t="n">
        <v>0</v>
      </c>
      <c r="Q1661" s="62" t="n">
        <v>0</v>
      </c>
      <c r="R1661" s="62" t="n">
        <v>0</v>
      </c>
      <c r="S1661" s="62" t="n">
        <v>0</v>
      </c>
      <c r="T1661" s="62" t="n">
        <v>0</v>
      </c>
      <c r="U1661" s="62" t="s">
        <v>2056</v>
      </c>
      <c r="V1661" s="62" t="s">
        <v>2057</v>
      </c>
      <c r="W1661" s="62" t="s">
        <v>15</v>
      </c>
      <c r="X1661" s="62" t="s">
        <v>2058</v>
      </c>
      <c r="Y1661" s="62" t="s">
        <v>2103</v>
      </c>
      <c r="Z1661" s="62" t="s">
        <v>3086</v>
      </c>
      <c r="AA1661" s="62" t="s">
        <v>3087</v>
      </c>
      <c r="AB1661" s="62" t="n">
        <v>1</v>
      </c>
      <c r="AC1661" s="62" t="n">
        <v>0</v>
      </c>
      <c r="AD1661" s="62" t="n">
        <v>1</v>
      </c>
      <c r="AE1661" s="62" t="n">
        <f aca="false">IF(AND(Dashboard!$C$9="Yes",AC1661=1),0,1)</f>
        <v>1</v>
      </c>
      <c r="AF1661" s="62" t="n">
        <v>0</v>
      </c>
    </row>
    <row r="1662" customFormat="false" ht="15" hidden="false" customHeight="false" outlineLevel="0" collapsed="false">
      <c r="A1662" s="62" t="n">
        <v>1661</v>
      </c>
      <c r="B1662" s="63" t="n">
        <v>46273.7806712963</v>
      </c>
      <c r="C1662" s="64" t="n">
        <v>46273</v>
      </c>
      <c r="D1662" s="62" t="s">
        <v>501</v>
      </c>
      <c r="E1662" s="62" t="s">
        <v>164</v>
      </c>
      <c r="F1662" s="62" t="s">
        <v>164</v>
      </c>
      <c r="G1662" s="62" t="s">
        <v>165</v>
      </c>
      <c r="H1662" s="62" t="s">
        <v>51</v>
      </c>
      <c r="I1662" s="62" t="s">
        <v>47</v>
      </c>
      <c r="J1662" s="62" t="s">
        <v>146</v>
      </c>
      <c r="K1662" s="62" t="s">
        <v>147</v>
      </c>
      <c r="L1662" s="62" t="s">
        <v>4</v>
      </c>
      <c r="M1662" s="62" t="n">
        <v>1</v>
      </c>
      <c r="N1662" s="62" t="n">
        <v>0</v>
      </c>
      <c r="O1662" s="62" t="n">
        <v>1</v>
      </c>
      <c r="P1662" s="62" t="n">
        <v>0</v>
      </c>
      <c r="Q1662" s="62" t="n">
        <v>0</v>
      </c>
      <c r="R1662" s="62" t="n">
        <v>0</v>
      </c>
      <c r="S1662" s="62" t="n">
        <v>0</v>
      </c>
      <c r="T1662" s="62" t="n">
        <v>0</v>
      </c>
      <c r="U1662" s="62" t="s">
        <v>2056</v>
      </c>
      <c r="V1662" s="62" t="s">
        <v>2057</v>
      </c>
      <c r="W1662" s="62" t="s">
        <v>15</v>
      </c>
      <c r="X1662" s="62" t="s">
        <v>2058</v>
      </c>
      <c r="Y1662" s="62" t="s">
        <v>2059</v>
      </c>
      <c r="Z1662" s="62" t="s">
        <v>3088</v>
      </c>
      <c r="AA1662" s="62" t="s">
        <v>3089</v>
      </c>
      <c r="AB1662" s="62" t="n">
        <v>1</v>
      </c>
      <c r="AC1662" s="62" t="n">
        <v>0</v>
      </c>
      <c r="AD1662" s="62" t="n">
        <v>1</v>
      </c>
      <c r="AE1662" s="62" t="n">
        <f aca="false">IF(AND(Dashboard!$C$9="Yes",AC1662=1),0,1)</f>
        <v>1</v>
      </c>
      <c r="AF1662" s="62" t="n">
        <v>0</v>
      </c>
    </row>
    <row r="1663" customFormat="false" ht="15" hidden="false" customHeight="false" outlineLevel="0" collapsed="false">
      <c r="A1663" s="62" t="n">
        <v>1662</v>
      </c>
      <c r="B1663" s="63" t="n">
        <v>46273.7819791667</v>
      </c>
      <c r="C1663" s="64" t="n">
        <v>46273</v>
      </c>
      <c r="D1663" s="62" t="s">
        <v>501</v>
      </c>
      <c r="E1663" s="62" t="s">
        <v>164</v>
      </c>
      <c r="F1663" s="62" t="s">
        <v>164</v>
      </c>
      <c r="G1663" s="62" t="s">
        <v>165</v>
      </c>
      <c r="H1663" s="62" t="s">
        <v>51</v>
      </c>
      <c r="I1663" s="62" t="s">
        <v>47</v>
      </c>
      <c r="J1663" s="62" t="s">
        <v>146</v>
      </c>
      <c r="K1663" s="62" t="s">
        <v>147</v>
      </c>
      <c r="L1663" s="62" t="s">
        <v>4</v>
      </c>
      <c r="M1663" s="62" t="n">
        <v>1</v>
      </c>
      <c r="N1663" s="62" t="n">
        <v>0</v>
      </c>
      <c r="O1663" s="62" t="n">
        <v>1</v>
      </c>
      <c r="P1663" s="62" t="n">
        <v>0</v>
      </c>
      <c r="Q1663" s="62" t="n">
        <v>0</v>
      </c>
      <c r="R1663" s="62" t="n">
        <v>0</v>
      </c>
      <c r="S1663" s="62" t="n">
        <v>0</v>
      </c>
      <c r="T1663" s="62" t="n">
        <v>0</v>
      </c>
      <c r="U1663" s="62" t="s">
        <v>2056</v>
      </c>
      <c r="V1663" s="62" t="s">
        <v>2057</v>
      </c>
      <c r="W1663" s="62" t="s">
        <v>15</v>
      </c>
      <c r="X1663" s="62" t="s">
        <v>2058</v>
      </c>
      <c r="Y1663" s="62" t="s">
        <v>2059</v>
      </c>
      <c r="Z1663" s="62" t="s">
        <v>3088</v>
      </c>
      <c r="AA1663" s="62" t="s">
        <v>3089</v>
      </c>
      <c r="AB1663" s="62" t="n">
        <v>1</v>
      </c>
      <c r="AC1663" s="62" t="n">
        <v>1</v>
      </c>
      <c r="AD1663" s="62" t="n">
        <v>1</v>
      </c>
      <c r="AE1663" s="62" t="n">
        <f aca="false">IF(AND(Dashboard!$C$9="Yes",AC1663=1),0,1)</f>
        <v>0</v>
      </c>
      <c r="AF1663" s="62" t="n">
        <v>0</v>
      </c>
    </row>
    <row r="1664" customFormat="false" ht="15" hidden="false" customHeight="false" outlineLevel="0" collapsed="false">
      <c r="A1664" s="62" t="n">
        <v>1663</v>
      </c>
      <c r="B1664" s="63" t="n">
        <v>46273.7843981482</v>
      </c>
      <c r="C1664" s="64" t="n">
        <v>46273</v>
      </c>
      <c r="D1664" s="62" t="s">
        <v>501</v>
      </c>
      <c r="E1664" s="62" t="s">
        <v>586</v>
      </c>
      <c r="F1664" s="62" t="s">
        <v>586</v>
      </c>
      <c r="G1664" s="62" t="s">
        <v>587</v>
      </c>
      <c r="H1664" s="62" t="s">
        <v>57</v>
      </c>
      <c r="I1664" s="62" t="s">
        <v>47</v>
      </c>
      <c r="J1664" s="62" t="s">
        <v>146</v>
      </c>
      <c r="K1664" s="62" t="s">
        <v>175</v>
      </c>
      <c r="L1664" s="62" t="s">
        <v>148</v>
      </c>
      <c r="M1664" s="62" t="n">
        <v>0</v>
      </c>
      <c r="N1664" s="62" t="n">
        <v>1</v>
      </c>
      <c r="O1664" s="62" t="n">
        <v>1</v>
      </c>
      <c r="P1664" s="62" t="n">
        <v>1</v>
      </c>
      <c r="Q1664" s="62" t="n">
        <v>0</v>
      </c>
      <c r="R1664" s="62" t="n">
        <v>0</v>
      </c>
      <c r="S1664" s="62" t="n">
        <v>0</v>
      </c>
      <c r="T1664" s="62" t="n">
        <v>0</v>
      </c>
      <c r="U1664" s="62"/>
      <c r="V1664" s="62"/>
      <c r="W1664" s="62"/>
      <c r="X1664" s="62"/>
      <c r="Y1664" s="62"/>
      <c r="Z1664" s="62" t="s">
        <v>3090</v>
      </c>
      <c r="AA1664" s="62" t="s">
        <v>3091</v>
      </c>
      <c r="AB1664" s="62" t="n">
        <v>1</v>
      </c>
      <c r="AC1664" s="62" t="n">
        <v>0</v>
      </c>
      <c r="AD1664" s="62" t="n">
        <v>1</v>
      </c>
      <c r="AE1664" s="62" t="n">
        <f aca="false">IF(AND(Dashboard!$C$9="Yes",AC1664=1),0,1)</f>
        <v>1</v>
      </c>
      <c r="AF1664" s="62" t="n">
        <v>0</v>
      </c>
    </row>
    <row r="1665" customFormat="false" ht="15" hidden="false" customHeight="false" outlineLevel="0" collapsed="false">
      <c r="A1665" s="62" t="n">
        <v>1664</v>
      </c>
      <c r="B1665" s="63" t="n">
        <v>46273.7851967593</v>
      </c>
      <c r="C1665" s="64" t="n">
        <v>46273</v>
      </c>
      <c r="D1665" s="62" t="s">
        <v>501</v>
      </c>
      <c r="E1665" s="62" t="s">
        <v>1749</v>
      </c>
      <c r="F1665" s="62" t="s">
        <v>1749</v>
      </c>
      <c r="G1665" s="62" t="s">
        <v>1750</v>
      </c>
      <c r="H1665" s="62" t="s">
        <v>57</v>
      </c>
      <c r="I1665" s="62" t="s">
        <v>47</v>
      </c>
      <c r="J1665" s="62" t="s">
        <v>146</v>
      </c>
      <c r="K1665" s="62" t="s">
        <v>209</v>
      </c>
      <c r="L1665" s="62" t="s">
        <v>4</v>
      </c>
      <c r="M1665" s="62" t="n">
        <v>1</v>
      </c>
      <c r="N1665" s="62" t="n">
        <v>0</v>
      </c>
      <c r="O1665" s="62" t="n">
        <v>1</v>
      </c>
      <c r="P1665" s="62" t="n">
        <v>0</v>
      </c>
      <c r="Q1665" s="62" t="n">
        <v>0</v>
      </c>
      <c r="R1665" s="62" t="n">
        <v>0</v>
      </c>
      <c r="S1665" s="62" t="n">
        <v>0</v>
      </c>
      <c r="T1665" s="62" t="n">
        <v>0</v>
      </c>
      <c r="U1665" s="62" t="s">
        <v>2056</v>
      </c>
      <c r="V1665" s="62" t="s">
        <v>2057</v>
      </c>
      <c r="W1665" s="62" t="s">
        <v>15</v>
      </c>
      <c r="X1665" s="62"/>
      <c r="Y1665" s="62" t="s">
        <v>2059</v>
      </c>
      <c r="Z1665" s="62" t="s">
        <v>3092</v>
      </c>
      <c r="AA1665" s="62" t="s">
        <v>3093</v>
      </c>
      <c r="AB1665" s="62" t="n">
        <v>1</v>
      </c>
      <c r="AC1665" s="62" t="n">
        <v>0</v>
      </c>
      <c r="AD1665" s="62" t="n">
        <v>1</v>
      </c>
      <c r="AE1665" s="62" t="n">
        <f aca="false">IF(AND(Dashboard!$C$9="Yes",AC1665=1),0,1)</f>
        <v>1</v>
      </c>
      <c r="AF1665" s="62" t="n">
        <v>1</v>
      </c>
    </row>
    <row r="1666" customFormat="false" ht="15" hidden="false" customHeight="false" outlineLevel="0" collapsed="false">
      <c r="A1666" s="62" t="n">
        <v>1665</v>
      </c>
      <c r="B1666" s="63" t="n">
        <v>46273.7868518519</v>
      </c>
      <c r="C1666" s="64" t="n">
        <v>46273</v>
      </c>
      <c r="D1666" s="62" t="s">
        <v>501</v>
      </c>
      <c r="E1666" s="62" t="s">
        <v>3018</v>
      </c>
      <c r="F1666" s="62" t="s">
        <v>3018</v>
      </c>
      <c r="G1666" s="62" t="s">
        <v>3019</v>
      </c>
      <c r="H1666" s="62" t="s">
        <v>58</v>
      </c>
      <c r="I1666" s="62" t="s">
        <v>49</v>
      </c>
      <c r="J1666" s="62" t="s">
        <v>146</v>
      </c>
      <c r="K1666" s="62" t="s">
        <v>175</v>
      </c>
      <c r="L1666" s="62" t="s">
        <v>148</v>
      </c>
      <c r="M1666" s="62" t="n">
        <v>0</v>
      </c>
      <c r="N1666" s="62" t="n">
        <v>1</v>
      </c>
      <c r="O1666" s="62" t="n">
        <v>1</v>
      </c>
      <c r="P1666" s="62" t="n">
        <v>0</v>
      </c>
      <c r="Q1666" s="62" t="n">
        <v>1</v>
      </c>
      <c r="R1666" s="62" t="n">
        <v>0</v>
      </c>
      <c r="S1666" s="62" t="n">
        <v>0</v>
      </c>
      <c r="T1666" s="62" t="n">
        <v>0</v>
      </c>
      <c r="U1666" s="62"/>
      <c r="V1666" s="62"/>
      <c r="W1666" s="62"/>
      <c r="X1666" s="62"/>
      <c r="Y1666" s="62"/>
      <c r="Z1666" s="62" t="s">
        <v>3094</v>
      </c>
      <c r="AA1666" s="62" t="s">
        <v>3095</v>
      </c>
      <c r="AB1666" s="62" t="n">
        <v>1</v>
      </c>
      <c r="AC1666" s="62" t="n">
        <v>0</v>
      </c>
      <c r="AD1666" s="62" t="n">
        <v>1</v>
      </c>
      <c r="AE1666" s="62" t="n">
        <f aca="false">IF(AND(Dashboard!$C$9="Yes",AC1666=1),0,1)</f>
        <v>1</v>
      </c>
      <c r="AF1666" s="62" t="n">
        <v>0</v>
      </c>
    </row>
    <row r="1667" customFormat="false" ht="15" hidden="false" customHeight="false" outlineLevel="0" collapsed="false">
      <c r="A1667" s="62" t="n">
        <v>1666</v>
      </c>
      <c r="B1667" s="63" t="n">
        <v>46273.7933564815</v>
      </c>
      <c r="C1667" s="64" t="n">
        <v>46273</v>
      </c>
      <c r="D1667" s="62" t="s">
        <v>501</v>
      </c>
      <c r="E1667" s="62" t="s">
        <v>3096</v>
      </c>
      <c r="F1667" s="62" t="s">
        <v>3097</v>
      </c>
      <c r="G1667" s="62" t="s">
        <v>153</v>
      </c>
      <c r="H1667" s="62" t="s">
        <v>153</v>
      </c>
      <c r="I1667" s="62" t="s">
        <v>153</v>
      </c>
      <c r="J1667" s="62" t="s">
        <v>64</v>
      </c>
      <c r="K1667" s="62" t="s">
        <v>64</v>
      </c>
      <c r="L1667" s="62" t="s">
        <v>4</v>
      </c>
      <c r="M1667" s="62" t="n">
        <v>10</v>
      </c>
      <c r="N1667" s="62" t="n">
        <v>0</v>
      </c>
      <c r="O1667" s="62" t="n">
        <v>10</v>
      </c>
      <c r="P1667" s="62" t="n">
        <v>0</v>
      </c>
      <c r="Q1667" s="62" t="n">
        <v>0</v>
      </c>
      <c r="R1667" s="62" t="n">
        <v>0</v>
      </c>
      <c r="S1667" s="62" t="n">
        <v>0</v>
      </c>
      <c r="T1667" s="62" t="n">
        <v>0</v>
      </c>
      <c r="U1667" s="62" t="s">
        <v>15</v>
      </c>
      <c r="V1667" s="62" t="s">
        <v>2057</v>
      </c>
      <c r="W1667" s="62" t="s">
        <v>15</v>
      </c>
      <c r="X1667" s="62" t="s">
        <v>2058</v>
      </c>
      <c r="Y1667" s="62" t="s">
        <v>2059</v>
      </c>
      <c r="Z1667" s="62" t="s">
        <v>237</v>
      </c>
      <c r="AA1667" s="62" t="s">
        <v>3098</v>
      </c>
      <c r="AB1667" s="62" t="n">
        <v>0</v>
      </c>
      <c r="AC1667" s="62" t="n">
        <v>0</v>
      </c>
      <c r="AD1667" s="62" t="n">
        <v>0</v>
      </c>
      <c r="AE1667" s="62" t="n">
        <f aca="false">IF(AND(Dashboard!$C$9="Yes",AC1667=1),0,1)</f>
        <v>1</v>
      </c>
      <c r="AF1667" s="62" t="n">
        <v>1</v>
      </c>
    </row>
    <row r="1668" customFormat="false" ht="15" hidden="false" customHeight="false" outlineLevel="0" collapsed="false">
      <c r="A1668" s="62" t="n">
        <v>1667</v>
      </c>
      <c r="B1668" s="63" t="n">
        <v>46273.8064467593</v>
      </c>
      <c r="C1668" s="64" t="n">
        <v>46273</v>
      </c>
      <c r="D1668" s="62" t="s">
        <v>501</v>
      </c>
      <c r="E1668" s="62" t="s">
        <v>586</v>
      </c>
      <c r="F1668" s="62" t="s">
        <v>586</v>
      </c>
      <c r="G1668" s="62" t="s">
        <v>587</v>
      </c>
      <c r="H1668" s="62" t="s">
        <v>57</v>
      </c>
      <c r="I1668" s="62" t="s">
        <v>47</v>
      </c>
      <c r="J1668" s="62" t="s">
        <v>146</v>
      </c>
      <c r="K1668" s="62" t="s">
        <v>175</v>
      </c>
      <c r="L1668" s="62" t="s">
        <v>148</v>
      </c>
      <c r="M1668" s="62" t="n">
        <v>0</v>
      </c>
      <c r="N1668" s="62" t="n">
        <v>1</v>
      </c>
      <c r="O1668" s="62" t="n">
        <v>1</v>
      </c>
      <c r="P1668" s="62" t="n">
        <v>1</v>
      </c>
      <c r="Q1668" s="62" t="n">
        <v>0</v>
      </c>
      <c r="R1668" s="62" t="n">
        <v>0</v>
      </c>
      <c r="S1668" s="62" t="n">
        <v>0</v>
      </c>
      <c r="T1668" s="62" t="n">
        <v>0</v>
      </c>
      <c r="U1668" s="62"/>
      <c r="V1668" s="62"/>
      <c r="W1668" s="62"/>
      <c r="X1668" s="62"/>
      <c r="Y1668" s="62"/>
      <c r="Z1668" s="62" t="s">
        <v>3099</v>
      </c>
      <c r="AA1668" s="62" t="s">
        <v>3100</v>
      </c>
      <c r="AB1668" s="62" t="n">
        <v>1</v>
      </c>
      <c r="AC1668" s="62" t="n">
        <v>0</v>
      </c>
      <c r="AD1668" s="62" t="n">
        <v>1</v>
      </c>
      <c r="AE1668" s="62" t="n">
        <f aca="false">IF(AND(Dashboard!$C$9="Yes",AC1668=1),0,1)</f>
        <v>1</v>
      </c>
      <c r="AF1668" s="62" t="n">
        <v>0</v>
      </c>
    </row>
    <row r="1669" customFormat="false" ht="15" hidden="false" customHeight="false" outlineLevel="0" collapsed="false">
      <c r="A1669" s="62" t="n">
        <v>1668</v>
      </c>
      <c r="B1669" s="63" t="n">
        <v>46273.8125</v>
      </c>
      <c r="C1669" s="64" t="n">
        <v>46273</v>
      </c>
      <c r="D1669" s="62" t="s">
        <v>501</v>
      </c>
      <c r="E1669" s="62" t="s">
        <v>999</v>
      </c>
      <c r="F1669" s="62" t="s">
        <v>999</v>
      </c>
      <c r="G1669" s="62" t="s">
        <v>1000</v>
      </c>
      <c r="H1669" s="62" t="s">
        <v>46</v>
      </c>
      <c r="I1669" s="62" t="s">
        <v>47</v>
      </c>
      <c r="J1669" s="62" t="s">
        <v>146</v>
      </c>
      <c r="K1669" s="62" t="s">
        <v>209</v>
      </c>
      <c r="L1669" s="62" t="s">
        <v>148</v>
      </c>
      <c r="M1669" s="62" t="n">
        <v>0</v>
      </c>
      <c r="N1669" s="62" t="n">
        <v>1</v>
      </c>
      <c r="O1669" s="62" t="n">
        <v>1</v>
      </c>
      <c r="P1669" s="62" t="n">
        <v>1</v>
      </c>
      <c r="Q1669" s="62" t="n">
        <v>0</v>
      </c>
      <c r="R1669" s="62" t="n">
        <v>0</v>
      </c>
      <c r="S1669" s="62" t="n">
        <v>0</v>
      </c>
      <c r="T1669" s="62" t="n">
        <v>0</v>
      </c>
      <c r="U1669" s="62"/>
      <c r="V1669" s="62"/>
      <c r="W1669" s="62"/>
      <c r="X1669" s="62"/>
      <c r="Y1669" s="62"/>
      <c r="Z1669" s="62" t="s">
        <v>3101</v>
      </c>
      <c r="AA1669" s="62" t="s">
        <v>3102</v>
      </c>
      <c r="AB1669" s="62" t="n">
        <v>1</v>
      </c>
      <c r="AC1669" s="62" t="n">
        <v>0</v>
      </c>
      <c r="AD1669" s="62" t="n">
        <v>1</v>
      </c>
      <c r="AE1669" s="62" t="n">
        <f aca="false">IF(AND(Dashboard!$C$9="Yes",AC1669=1),0,1)</f>
        <v>1</v>
      </c>
      <c r="AF1669" s="62" t="n">
        <v>1</v>
      </c>
    </row>
    <row r="1670" customFormat="false" ht="15" hidden="false" customHeight="false" outlineLevel="0" collapsed="false">
      <c r="A1670" s="62" t="n">
        <v>1669</v>
      </c>
      <c r="B1670" s="63" t="n">
        <v>46273.8262962963</v>
      </c>
      <c r="C1670" s="64" t="n">
        <v>46273</v>
      </c>
      <c r="D1670" s="62" t="s">
        <v>501</v>
      </c>
      <c r="E1670" s="62" t="s">
        <v>2050</v>
      </c>
      <c r="F1670" s="62" t="s">
        <v>2050</v>
      </c>
      <c r="G1670" s="62" t="s">
        <v>2051</v>
      </c>
      <c r="H1670" s="62" t="s">
        <v>46</v>
      </c>
      <c r="I1670" s="62" t="s">
        <v>47</v>
      </c>
      <c r="J1670" s="62" t="s">
        <v>146</v>
      </c>
      <c r="K1670" s="62" t="s">
        <v>209</v>
      </c>
      <c r="L1670" s="62" t="s">
        <v>148</v>
      </c>
      <c r="M1670" s="62" t="n">
        <v>0</v>
      </c>
      <c r="N1670" s="62" t="n">
        <v>1</v>
      </c>
      <c r="O1670" s="62" t="n">
        <v>1</v>
      </c>
      <c r="P1670" s="62" t="n">
        <v>1</v>
      </c>
      <c r="Q1670" s="62" t="n">
        <v>0</v>
      </c>
      <c r="R1670" s="62" t="n">
        <v>0</v>
      </c>
      <c r="S1670" s="62" t="n">
        <v>0</v>
      </c>
      <c r="T1670" s="62" t="n">
        <v>0</v>
      </c>
      <c r="U1670" s="62"/>
      <c r="V1670" s="62"/>
      <c r="W1670" s="62"/>
      <c r="X1670" s="62"/>
      <c r="Y1670" s="62"/>
      <c r="Z1670" s="62" t="s">
        <v>3103</v>
      </c>
      <c r="AA1670" s="62" t="s">
        <v>2076</v>
      </c>
      <c r="AB1670" s="62" t="n">
        <v>0</v>
      </c>
      <c r="AC1670" s="62" t="n">
        <v>0</v>
      </c>
      <c r="AD1670" s="62" t="n">
        <v>1</v>
      </c>
      <c r="AE1670" s="62" t="n">
        <f aca="false">IF(AND(Dashboard!$C$9="Yes",AC1670=1),0,1)</f>
        <v>1</v>
      </c>
      <c r="AF1670" s="62" t="n">
        <v>1</v>
      </c>
    </row>
    <row r="1671" customFormat="false" ht="15" hidden="false" customHeight="false" outlineLevel="0" collapsed="false">
      <c r="A1671" s="62" t="n">
        <v>1670</v>
      </c>
      <c r="B1671" s="63" t="n">
        <v>46273.836099537</v>
      </c>
      <c r="C1671" s="64" t="n">
        <v>46273</v>
      </c>
      <c r="D1671" s="62" t="s">
        <v>501</v>
      </c>
      <c r="E1671" s="62" t="s">
        <v>1155</v>
      </c>
      <c r="F1671" s="62" t="s">
        <v>1155</v>
      </c>
      <c r="G1671" s="62" t="s">
        <v>1156</v>
      </c>
      <c r="H1671" s="62" t="s">
        <v>59</v>
      </c>
      <c r="I1671" s="62" t="s">
        <v>47</v>
      </c>
      <c r="J1671" s="62" t="s">
        <v>146</v>
      </c>
      <c r="K1671" s="62" t="s">
        <v>209</v>
      </c>
      <c r="L1671" s="62" t="s">
        <v>148</v>
      </c>
      <c r="M1671" s="62" t="n">
        <v>0</v>
      </c>
      <c r="N1671" s="62" t="n">
        <v>1</v>
      </c>
      <c r="O1671" s="62" t="n">
        <v>1</v>
      </c>
      <c r="P1671" s="62" t="n">
        <v>0</v>
      </c>
      <c r="Q1671" s="62" t="n">
        <v>0</v>
      </c>
      <c r="R1671" s="62" t="n">
        <v>1</v>
      </c>
      <c r="S1671" s="62" t="n">
        <v>0</v>
      </c>
      <c r="T1671" s="62" t="n">
        <v>0</v>
      </c>
      <c r="U1671" s="62"/>
      <c r="V1671" s="62"/>
      <c r="W1671" s="62"/>
      <c r="X1671" s="62"/>
      <c r="Y1671" s="62"/>
      <c r="Z1671" s="62" t="s">
        <v>3104</v>
      </c>
      <c r="AA1671" s="62" t="s">
        <v>3105</v>
      </c>
      <c r="AB1671" s="62" t="n">
        <v>1</v>
      </c>
      <c r="AC1671" s="62" t="n">
        <v>0</v>
      </c>
      <c r="AD1671" s="62" t="n">
        <v>1</v>
      </c>
      <c r="AE1671" s="62" t="n">
        <f aca="false">IF(AND(Dashboard!$C$9="Yes",AC1671=1),0,1)</f>
        <v>1</v>
      </c>
      <c r="AF1671" s="62" t="n">
        <v>1</v>
      </c>
    </row>
    <row r="1672" customFormat="false" ht="15" hidden="false" customHeight="false" outlineLevel="0" collapsed="false">
      <c r="A1672" s="62" t="n">
        <v>1671</v>
      </c>
      <c r="B1672" s="63" t="n">
        <v>46273.8438657407</v>
      </c>
      <c r="C1672" s="64" t="n">
        <v>46273</v>
      </c>
      <c r="D1672" s="62" t="s">
        <v>501</v>
      </c>
      <c r="E1672" s="62" t="s">
        <v>1732</v>
      </c>
      <c r="F1672" s="62" t="s">
        <v>1732</v>
      </c>
      <c r="G1672" s="62" t="s">
        <v>1733</v>
      </c>
      <c r="H1672" s="62" t="s">
        <v>58</v>
      </c>
      <c r="I1672" s="62" t="s">
        <v>49</v>
      </c>
      <c r="J1672" s="62" t="s">
        <v>146</v>
      </c>
      <c r="K1672" s="62" t="s">
        <v>209</v>
      </c>
      <c r="L1672" s="62" t="s">
        <v>148</v>
      </c>
      <c r="M1672" s="62" t="n">
        <v>0</v>
      </c>
      <c r="N1672" s="62" t="n">
        <v>1</v>
      </c>
      <c r="O1672" s="62" t="n">
        <v>1</v>
      </c>
      <c r="P1672" s="62" t="n">
        <v>0</v>
      </c>
      <c r="Q1672" s="62" t="n">
        <v>1</v>
      </c>
      <c r="R1672" s="62" t="n">
        <v>0</v>
      </c>
      <c r="S1672" s="62" t="n">
        <v>0</v>
      </c>
      <c r="T1672" s="62" t="n">
        <v>0</v>
      </c>
      <c r="U1672" s="62"/>
      <c r="V1672" s="62"/>
      <c r="W1672" s="62"/>
      <c r="X1672" s="62"/>
      <c r="Y1672" s="62"/>
      <c r="Z1672" s="62" t="s">
        <v>3106</v>
      </c>
      <c r="AA1672" s="62" t="s">
        <v>3107</v>
      </c>
      <c r="AB1672" s="62" t="n">
        <v>1</v>
      </c>
      <c r="AC1672" s="62" t="n">
        <v>0</v>
      </c>
      <c r="AD1672" s="62" t="n">
        <v>1</v>
      </c>
      <c r="AE1672" s="62" t="n">
        <f aca="false">IF(AND(Dashboard!$C$9="Yes",AC1672=1),0,1)</f>
        <v>1</v>
      </c>
      <c r="AF1672" s="62" t="n">
        <v>1</v>
      </c>
    </row>
    <row r="1673" customFormat="false" ht="15" hidden="false" customHeight="false" outlineLevel="0" collapsed="false">
      <c r="A1673" s="62" t="n">
        <v>1672</v>
      </c>
      <c r="B1673" s="63" t="n">
        <v>46273.8445486111</v>
      </c>
      <c r="C1673" s="64" t="n">
        <v>46273</v>
      </c>
      <c r="D1673" s="62" t="s">
        <v>501</v>
      </c>
      <c r="E1673" s="62" t="s">
        <v>203</v>
      </c>
      <c r="F1673" s="62" t="s">
        <v>203</v>
      </c>
      <c r="G1673" s="62" t="s">
        <v>204</v>
      </c>
      <c r="H1673" s="62" t="s">
        <v>51</v>
      </c>
      <c r="I1673" s="62" t="s">
        <v>47</v>
      </c>
      <c r="J1673" s="62" t="s">
        <v>146</v>
      </c>
      <c r="K1673" s="62" t="s">
        <v>147</v>
      </c>
      <c r="L1673" s="62" t="s">
        <v>148</v>
      </c>
      <c r="M1673" s="62" t="n">
        <v>0</v>
      </c>
      <c r="N1673" s="62" t="n">
        <v>1</v>
      </c>
      <c r="O1673" s="62" t="n">
        <v>1</v>
      </c>
      <c r="P1673" s="62" t="n">
        <v>1</v>
      </c>
      <c r="Q1673" s="62" t="n">
        <v>0</v>
      </c>
      <c r="R1673" s="62" t="n">
        <v>0</v>
      </c>
      <c r="S1673" s="62" t="n">
        <v>0</v>
      </c>
      <c r="T1673" s="62" t="n">
        <v>0</v>
      </c>
      <c r="U1673" s="62"/>
      <c r="V1673" s="62"/>
      <c r="W1673" s="62"/>
      <c r="X1673" s="62"/>
      <c r="Y1673" s="62"/>
      <c r="Z1673" s="62" t="s">
        <v>3108</v>
      </c>
      <c r="AA1673" s="62" t="s">
        <v>485</v>
      </c>
      <c r="AB1673" s="62" t="n">
        <v>0</v>
      </c>
      <c r="AC1673" s="62" t="n">
        <v>0</v>
      </c>
      <c r="AD1673" s="62" t="n">
        <v>1</v>
      </c>
      <c r="AE1673" s="62" t="n">
        <f aca="false">IF(AND(Dashboard!$C$9="Yes",AC1673=1),0,1)</f>
        <v>1</v>
      </c>
      <c r="AF1673" s="62" t="n">
        <v>0</v>
      </c>
    </row>
    <row r="1674" customFormat="false" ht="15" hidden="false" customHeight="false" outlineLevel="0" collapsed="false">
      <c r="A1674" s="62" t="n">
        <v>1673</v>
      </c>
      <c r="B1674" s="63" t="n">
        <v>46273.8588310185</v>
      </c>
      <c r="C1674" s="64" t="n">
        <v>46273</v>
      </c>
      <c r="D1674" s="62" t="s">
        <v>501</v>
      </c>
      <c r="E1674" s="62" t="s">
        <v>2228</v>
      </c>
      <c r="F1674" s="62" t="s">
        <v>2228</v>
      </c>
      <c r="G1674" s="62" t="s">
        <v>2229</v>
      </c>
      <c r="H1674" s="62" t="s">
        <v>58</v>
      </c>
      <c r="I1674" s="62" t="s">
        <v>49</v>
      </c>
      <c r="J1674" s="62" t="s">
        <v>146</v>
      </c>
      <c r="K1674" s="62" t="s">
        <v>209</v>
      </c>
      <c r="L1674" s="62" t="s">
        <v>148</v>
      </c>
      <c r="M1674" s="62" t="n">
        <v>0</v>
      </c>
      <c r="N1674" s="62" t="n">
        <v>1</v>
      </c>
      <c r="O1674" s="62" t="n">
        <v>1</v>
      </c>
      <c r="P1674" s="62" t="n">
        <v>0</v>
      </c>
      <c r="Q1674" s="62" t="n">
        <v>1</v>
      </c>
      <c r="R1674" s="62" t="n">
        <v>0</v>
      </c>
      <c r="S1674" s="62" t="n">
        <v>0</v>
      </c>
      <c r="T1674" s="62" t="n">
        <v>0</v>
      </c>
      <c r="U1674" s="62"/>
      <c r="V1674" s="62"/>
      <c r="W1674" s="62"/>
      <c r="X1674" s="62"/>
      <c r="Y1674" s="62"/>
      <c r="Z1674" s="62" t="s">
        <v>3109</v>
      </c>
      <c r="AA1674" s="62" t="s">
        <v>3110</v>
      </c>
      <c r="AB1674" s="62" t="n">
        <v>1</v>
      </c>
      <c r="AC1674" s="62" t="n">
        <v>0</v>
      </c>
      <c r="AD1674" s="62" t="n">
        <v>1</v>
      </c>
      <c r="AE1674" s="62" t="n">
        <f aca="false">IF(AND(Dashboard!$C$9="Yes",AC1674=1),0,1)</f>
        <v>1</v>
      </c>
      <c r="AF1674" s="62" t="n">
        <v>1</v>
      </c>
    </row>
    <row r="1675" customFormat="false" ht="15" hidden="false" customHeight="false" outlineLevel="0" collapsed="false">
      <c r="A1675" s="62" t="n">
        <v>1674</v>
      </c>
      <c r="B1675" s="63" t="n">
        <v>46273.8623032407</v>
      </c>
      <c r="C1675" s="64" t="n">
        <v>46273</v>
      </c>
      <c r="D1675" s="62" t="s">
        <v>501</v>
      </c>
      <c r="E1675" s="62" t="s">
        <v>2848</v>
      </c>
      <c r="F1675" s="62" t="s">
        <v>2849</v>
      </c>
      <c r="G1675" s="62" t="s">
        <v>153</v>
      </c>
      <c r="H1675" s="62" t="s">
        <v>153</v>
      </c>
      <c r="I1675" s="62" t="s">
        <v>153</v>
      </c>
      <c r="J1675" s="62" t="s">
        <v>64</v>
      </c>
      <c r="K1675" s="62" t="s">
        <v>64</v>
      </c>
      <c r="L1675" s="62" t="s">
        <v>148</v>
      </c>
      <c r="M1675" s="62" t="n">
        <v>0</v>
      </c>
      <c r="N1675" s="62" t="n">
        <v>1</v>
      </c>
      <c r="O1675" s="62" t="n">
        <v>1</v>
      </c>
      <c r="P1675" s="62" t="n">
        <v>0</v>
      </c>
      <c r="Q1675" s="62" t="n">
        <v>1</v>
      </c>
      <c r="R1675" s="62" t="n">
        <v>0</v>
      </c>
      <c r="S1675" s="62" t="n">
        <v>0</v>
      </c>
      <c r="T1675" s="62" t="n">
        <v>0</v>
      </c>
      <c r="U1675" s="62"/>
      <c r="V1675" s="62"/>
      <c r="W1675" s="62"/>
      <c r="X1675" s="62"/>
      <c r="Y1675" s="62"/>
      <c r="Z1675" s="62" t="s">
        <v>3111</v>
      </c>
      <c r="AA1675" s="62" t="s">
        <v>3112</v>
      </c>
      <c r="AB1675" s="62" t="n">
        <v>1</v>
      </c>
      <c r="AC1675" s="62" t="n">
        <v>0</v>
      </c>
      <c r="AD1675" s="62" t="n">
        <v>0</v>
      </c>
      <c r="AE1675" s="62" t="n">
        <f aca="false">IF(AND(Dashboard!$C$9="Yes",AC1675=1),0,1)</f>
        <v>1</v>
      </c>
      <c r="AF1675" s="62" t="n">
        <v>1</v>
      </c>
    </row>
    <row r="1676" customFormat="false" ht="15" hidden="false" customHeight="false" outlineLevel="0" collapsed="false">
      <c r="A1676" s="62" t="n">
        <v>1675</v>
      </c>
      <c r="B1676" s="63" t="n">
        <v>46273.8649884259</v>
      </c>
      <c r="C1676" s="64" t="n">
        <v>46273</v>
      </c>
      <c r="D1676" s="62" t="s">
        <v>501</v>
      </c>
      <c r="E1676" s="62" t="s">
        <v>218</v>
      </c>
      <c r="F1676" s="62" t="s">
        <v>218</v>
      </c>
      <c r="G1676" s="62" t="s">
        <v>219</v>
      </c>
      <c r="H1676" s="62" t="s">
        <v>51</v>
      </c>
      <c r="I1676" s="62" t="s">
        <v>47</v>
      </c>
      <c r="J1676" s="62" t="s">
        <v>146</v>
      </c>
      <c r="K1676" s="62" t="s">
        <v>147</v>
      </c>
      <c r="L1676" s="62" t="s">
        <v>148</v>
      </c>
      <c r="M1676" s="62" t="n">
        <v>0</v>
      </c>
      <c r="N1676" s="62" t="n">
        <v>1</v>
      </c>
      <c r="O1676" s="62" t="n">
        <v>1</v>
      </c>
      <c r="P1676" s="62" t="n">
        <v>1</v>
      </c>
      <c r="Q1676" s="62" t="n">
        <v>0</v>
      </c>
      <c r="R1676" s="62" t="n">
        <v>0</v>
      </c>
      <c r="S1676" s="62" t="n">
        <v>0</v>
      </c>
      <c r="T1676" s="62" t="n">
        <v>0</v>
      </c>
      <c r="U1676" s="62"/>
      <c r="V1676" s="62"/>
      <c r="W1676" s="62"/>
      <c r="X1676" s="62"/>
      <c r="Y1676" s="62"/>
      <c r="Z1676" s="62" t="s">
        <v>3113</v>
      </c>
      <c r="AA1676" s="62" t="s">
        <v>3114</v>
      </c>
      <c r="AB1676" s="62" t="n">
        <v>1</v>
      </c>
      <c r="AC1676" s="62" t="n">
        <v>0</v>
      </c>
      <c r="AD1676" s="62" t="n">
        <v>1</v>
      </c>
      <c r="AE1676" s="62" t="n">
        <f aca="false">IF(AND(Dashboard!$C$9="Yes",AC1676=1),0,1)</f>
        <v>1</v>
      </c>
      <c r="AF1676" s="62" t="n">
        <v>1</v>
      </c>
    </row>
    <row r="1677" customFormat="false" ht="15" hidden="false" customHeight="false" outlineLevel="0" collapsed="false">
      <c r="A1677" s="62" t="n">
        <v>1676</v>
      </c>
      <c r="B1677" s="63" t="n">
        <v>46273.8663310185</v>
      </c>
      <c r="C1677" s="64" t="n">
        <v>46273</v>
      </c>
      <c r="D1677" s="62" t="s">
        <v>501</v>
      </c>
      <c r="E1677" s="62" t="s">
        <v>2101</v>
      </c>
      <c r="F1677" s="62" t="s">
        <v>2101</v>
      </c>
      <c r="G1677" s="62" t="s">
        <v>2102</v>
      </c>
      <c r="H1677" s="62" t="s">
        <v>52</v>
      </c>
      <c r="I1677" s="62" t="s">
        <v>47</v>
      </c>
      <c r="J1677" s="62" t="s">
        <v>146</v>
      </c>
      <c r="K1677" s="62" t="s">
        <v>147</v>
      </c>
      <c r="L1677" s="62" t="s">
        <v>148</v>
      </c>
      <c r="M1677" s="62" t="n">
        <v>0</v>
      </c>
      <c r="N1677" s="62" t="n">
        <v>1</v>
      </c>
      <c r="O1677" s="62" t="n">
        <v>1</v>
      </c>
      <c r="P1677" s="62" t="n">
        <v>1</v>
      </c>
      <c r="Q1677" s="62" t="n">
        <v>0</v>
      </c>
      <c r="R1677" s="62" t="n">
        <v>0</v>
      </c>
      <c r="S1677" s="62" t="n">
        <v>0</v>
      </c>
      <c r="T1677" s="62" t="n">
        <v>0</v>
      </c>
      <c r="U1677" s="62"/>
      <c r="V1677" s="62"/>
      <c r="W1677" s="62"/>
      <c r="X1677" s="62"/>
      <c r="Y1677" s="62"/>
      <c r="Z1677" s="62" t="s">
        <v>3115</v>
      </c>
      <c r="AA1677" s="62" t="s">
        <v>3116</v>
      </c>
      <c r="AB1677" s="62" t="n">
        <v>1</v>
      </c>
      <c r="AC1677" s="62" t="n">
        <v>0</v>
      </c>
      <c r="AD1677" s="62" t="n">
        <v>1</v>
      </c>
      <c r="AE1677" s="62" t="n">
        <f aca="false">IF(AND(Dashboard!$C$9="Yes",AC1677=1),0,1)</f>
        <v>1</v>
      </c>
      <c r="AF1677" s="62" t="n">
        <v>1</v>
      </c>
    </row>
    <row r="1678" customFormat="false" ht="15" hidden="false" customHeight="false" outlineLevel="0" collapsed="false">
      <c r="A1678" s="62" t="n">
        <v>1677</v>
      </c>
      <c r="B1678" s="63" t="n">
        <v>46273.8802893519</v>
      </c>
      <c r="C1678" s="64" t="n">
        <v>46273</v>
      </c>
      <c r="D1678" s="62" t="s">
        <v>501</v>
      </c>
      <c r="E1678" s="62" t="s">
        <v>1551</v>
      </c>
      <c r="F1678" s="62" t="s">
        <v>1551</v>
      </c>
      <c r="G1678" s="62" t="s">
        <v>1552</v>
      </c>
      <c r="H1678" s="62" t="s">
        <v>52</v>
      </c>
      <c r="I1678" s="62" t="s">
        <v>47</v>
      </c>
      <c r="J1678" s="62" t="s">
        <v>146</v>
      </c>
      <c r="K1678" s="62" t="s">
        <v>209</v>
      </c>
      <c r="L1678" s="62" t="s">
        <v>4</v>
      </c>
      <c r="M1678" s="62" t="n">
        <v>1</v>
      </c>
      <c r="N1678" s="62" t="n">
        <v>0</v>
      </c>
      <c r="O1678" s="62" t="n">
        <v>1</v>
      </c>
      <c r="P1678" s="62" t="n">
        <v>0</v>
      </c>
      <c r="Q1678" s="62" t="n">
        <v>0</v>
      </c>
      <c r="R1678" s="62" t="n">
        <v>0</v>
      </c>
      <c r="S1678" s="62" t="n">
        <v>0</v>
      </c>
      <c r="T1678" s="62" t="n">
        <v>0</v>
      </c>
      <c r="U1678" s="62" t="s">
        <v>2056</v>
      </c>
      <c r="V1678" s="62" t="s">
        <v>2057</v>
      </c>
      <c r="W1678" s="62" t="s">
        <v>15</v>
      </c>
      <c r="X1678" s="62" t="s">
        <v>2058</v>
      </c>
      <c r="Y1678" s="62" t="s">
        <v>2103</v>
      </c>
      <c r="Z1678" s="62" t="s">
        <v>3117</v>
      </c>
      <c r="AA1678" s="62" t="s">
        <v>3118</v>
      </c>
      <c r="AB1678" s="62" t="n">
        <v>1</v>
      </c>
      <c r="AC1678" s="62" t="n">
        <v>0</v>
      </c>
      <c r="AD1678" s="62" t="n">
        <v>1</v>
      </c>
      <c r="AE1678" s="62" t="n">
        <f aca="false">IF(AND(Dashboard!$C$9="Yes",AC1678=1),0,1)</f>
        <v>1</v>
      </c>
      <c r="AF1678" s="62" t="n">
        <v>1</v>
      </c>
    </row>
    <row r="1679" customFormat="false" ht="15" hidden="false" customHeight="false" outlineLevel="0" collapsed="false">
      <c r="A1679" s="62" t="n">
        <v>1678</v>
      </c>
      <c r="B1679" s="63" t="n">
        <v>46273.9181018519</v>
      </c>
      <c r="C1679" s="64" t="n">
        <v>46273</v>
      </c>
      <c r="D1679" s="62" t="s">
        <v>501</v>
      </c>
      <c r="E1679" s="62" t="s">
        <v>1827</v>
      </c>
      <c r="F1679" s="62" t="s">
        <v>1827</v>
      </c>
      <c r="G1679" s="62" t="s">
        <v>1828</v>
      </c>
      <c r="H1679" s="62" t="s">
        <v>59</v>
      </c>
      <c r="I1679" s="62" t="s">
        <v>47</v>
      </c>
      <c r="J1679" s="62" t="s">
        <v>146</v>
      </c>
      <c r="K1679" s="62" t="s">
        <v>209</v>
      </c>
      <c r="L1679" s="62" t="s">
        <v>148</v>
      </c>
      <c r="M1679" s="62" t="n">
        <v>0</v>
      </c>
      <c r="N1679" s="62" t="n">
        <v>1</v>
      </c>
      <c r="O1679" s="62" t="n">
        <v>1</v>
      </c>
      <c r="P1679" s="62" t="n">
        <v>0</v>
      </c>
      <c r="Q1679" s="62" t="n">
        <v>1</v>
      </c>
      <c r="R1679" s="62" t="n">
        <v>0</v>
      </c>
      <c r="S1679" s="62" t="n">
        <v>0</v>
      </c>
      <c r="T1679" s="62" t="n">
        <v>0</v>
      </c>
      <c r="U1679" s="62"/>
      <c r="V1679" s="62"/>
      <c r="W1679" s="62"/>
      <c r="X1679" s="62"/>
      <c r="Y1679" s="62"/>
      <c r="Z1679" s="62" t="s">
        <v>3119</v>
      </c>
      <c r="AA1679" s="62" t="s">
        <v>3120</v>
      </c>
      <c r="AB1679" s="62" t="n">
        <v>1</v>
      </c>
      <c r="AC1679" s="62" t="n">
        <v>0</v>
      </c>
      <c r="AD1679" s="62" t="n">
        <v>1</v>
      </c>
      <c r="AE1679" s="62" t="n">
        <f aca="false">IF(AND(Dashboard!$C$9="Yes",AC1679=1),0,1)</f>
        <v>1</v>
      </c>
      <c r="AF1679" s="62" t="n">
        <v>1</v>
      </c>
    </row>
    <row r="1680" customFormat="false" ht="15" hidden="false" customHeight="false" outlineLevel="0" collapsed="false">
      <c r="A1680" s="62" t="n">
        <v>1679</v>
      </c>
      <c r="B1680" s="63" t="n">
        <v>46273.9280092593</v>
      </c>
      <c r="C1680" s="64" t="n">
        <v>46273</v>
      </c>
      <c r="D1680" s="62" t="s">
        <v>501</v>
      </c>
      <c r="E1680" s="62" t="s">
        <v>1827</v>
      </c>
      <c r="F1680" s="62" t="s">
        <v>1827</v>
      </c>
      <c r="G1680" s="62" t="s">
        <v>1828</v>
      </c>
      <c r="H1680" s="62" t="s">
        <v>59</v>
      </c>
      <c r="I1680" s="62" t="s">
        <v>47</v>
      </c>
      <c r="J1680" s="62" t="s">
        <v>146</v>
      </c>
      <c r="K1680" s="62" t="s">
        <v>209</v>
      </c>
      <c r="L1680" s="62" t="s">
        <v>4</v>
      </c>
      <c r="M1680" s="62" t="n">
        <v>1</v>
      </c>
      <c r="N1680" s="62" t="n">
        <v>0</v>
      </c>
      <c r="O1680" s="62" t="n">
        <v>1</v>
      </c>
      <c r="P1680" s="62" t="n">
        <v>0</v>
      </c>
      <c r="Q1680" s="62" t="n">
        <v>0</v>
      </c>
      <c r="R1680" s="62" t="n">
        <v>0</v>
      </c>
      <c r="S1680" s="62" t="n">
        <v>0</v>
      </c>
      <c r="T1680" s="62" t="n">
        <v>0</v>
      </c>
      <c r="U1680" s="62" t="s">
        <v>2056</v>
      </c>
      <c r="V1680" s="62" t="s">
        <v>2057</v>
      </c>
      <c r="W1680" s="62" t="s">
        <v>15</v>
      </c>
      <c r="X1680" s="62" t="s">
        <v>2103</v>
      </c>
      <c r="Y1680" s="62" t="s">
        <v>2059</v>
      </c>
      <c r="Z1680" s="62" t="s">
        <v>3059</v>
      </c>
      <c r="AA1680" s="62" t="s">
        <v>3060</v>
      </c>
      <c r="AB1680" s="62" t="n">
        <v>1</v>
      </c>
      <c r="AC1680" s="62" t="n">
        <v>1</v>
      </c>
      <c r="AD1680" s="62" t="n">
        <v>1</v>
      </c>
      <c r="AE1680" s="62" t="n">
        <f aca="false">IF(AND(Dashboard!$C$9="Yes",AC1680=1),0,1)</f>
        <v>0</v>
      </c>
      <c r="AF1680" s="62" t="n">
        <v>0</v>
      </c>
    </row>
    <row r="1681" customFormat="false" ht="15" hidden="false" customHeight="false" outlineLevel="0" collapsed="false">
      <c r="A1681" s="62" t="n">
        <v>1680</v>
      </c>
      <c r="B1681" s="63" t="n">
        <v>46273.9288541667</v>
      </c>
      <c r="C1681" s="64" t="n">
        <v>46273</v>
      </c>
      <c r="D1681" s="62" t="s">
        <v>501</v>
      </c>
      <c r="E1681" s="62" t="s">
        <v>1749</v>
      </c>
      <c r="F1681" s="62" t="s">
        <v>1749</v>
      </c>
      <c r="G1681" s="62" t="s">
        <v>1750</v>
      </c>
      <c r="H1681" s="62" t="s">
        <v>57</v>
      </c>
      <c r="I1681" s="62" t="s">
        <v>47</v>
      </c>
      <c r="J1681" s="62" t="s">
        <v>146</v>
      </c>
      <c r="K1681" s="62" t="s">
        <v>209</v>
      </c>
      <c r="L1681" s="62" t="s">
        <v>148</v>
      </c>
      <c r="M1681" s="62" t="n">
        <v>0</v>
      </c>
      <c r="N1681" s="62" t="n">
        <v>1</v>
      </c>
      <c r="O1681" s="62" t="n">
        <v>1</v>
      </c>
      <c r="P1681" s="62" t="n">
        <v>0</v>
      </c>
      <c r="Q1681" s="62" t="n">
        <v>1</v>
      </c>
      <c r="R1681" s="62" t="n">
        <v>0</v>
      </c>
      <c r="S1681" s="62" t="n">
        <v>0</v>
      </c>
      <c r="T1681" s="62" t="n">
        <v>0</v>
      </c>
      <c r="U1681" s="62"/>
      <c r="V1681" s="62"/>
      <c r="W1681" s="62"/>
      <c r="X1681" s="62"/>
      <c r="Y1681" s="62"/>
      <c r="Z1681" s="62" t="s">
        <v>3121</v>
      </c>
      <c r="AA1681" s="62" t="s">
        <v>3122</v>
      </c>
      <c r="AB1681" s="62" t="n">
        <v>1</v>
      </c>
      <c r="AC1681" s="62" t="n">
        <v>0</v>
      </c>
      <c r="AD1681" s="62" t="n">
        <v>1</v>
      </c>
      <c r="AE1681" s="62" t="n">
        <f aca="false">IF(AND(Dashboard!$C$9="Yes",AC1681=1),0,1)</f>
        <v>1</v>
      </c>
      <c r="AF1681" s="62" t="n">
        <v>0</v>
      </c>
    </row>
    <row r="1682" customFormat="false" ht="15" hidden="false" customHeight="false" outlineLevel="0" collapsed="false">
      <c r="A1682" s="62" t="n">
        <v>1681</v>
      </c>
      <c r="B1682" s="63" t="n">
        <v>46273.9365509259</v>
      </c>
      <c r="C1682" s="64" t="n">
        <v>46273</v>
      </c>
      <c r="D1682" s="62" t="s">
        <v>501</v>
      </c>
      <c r="E1682" s="62" t="s">
        <v>2097</v>
      </c>
      <c r="F1682" s="62" t="s">
        <v>2097</v>
      </c>
      <c r="G1682" s="62" t="s">
        <v>2098</v>
      </c>
      <c r="H1682" s="62" t="s">
        <v>51</v>
      </c>
      <c r="I1682" s="62" t="s">
        <v>47</v>
      </c>
      <c r="J1682" s="62" t="s">
        <v>146</v>
      </c>
      <c r="K1682" s="62" t="s">
        <v>147</v>
      </c>
      <c r="L1682" s="62" t="s">
        <v>148</v>
      </c>
      <c r="M1682" s="62" t="n">
        <v>0</v>
      </c>
      <c r="N1682" s="62" t="n">
        <v>1</v>
      </c>
      <c r="O1682" s="62" t="n">
        <v>1</v>
      </c>
      <c r="P1682" s="62" t="n">
        <v>1</v>
      </c>
      <c r="Q1682" s="62" t="n">
        <v>0</v>
      </c>
      <c r="R1682" s="62" t="n">
        <v>0</v>
      </c>
      <c r="S1682" s="62" t="n">
        <v>0</v>
      </c>
      <c r="T1682" s="62" t="n">
        <v>0</v>
      </c>
      <c r="U1682" s="62"/>
      <c r="V1682" s="62"/>
      <c r="W1682" s="62"/>
      <c r="X1682" s="62"/>
      <c r="Y1682" s="62"/>
      <c r="Z1682" s="62" t="s">
        <v>3123</v>
      </c>
      <c r="AA1682" s="62" t="s">
        <v>1649</v>
      </c>
      <c r="AB1682" s="62" t="n">
        <v>0</v>
      </c>
      <c r="AC1682" s="62" t="n">
        <v>0</v>
      </c>
      <c r="AD1682" s="62" t="n">
        <v>1</v>
      </c>
      <c r="AE1682" s="62" t="n">
        <f aca="false">IF(AND(Dashboard!$C$9="Yes",AC1682=1),0,1)</f>
        <v>1</v>
      </c>
      <c r="AF1682" s="62" t="n">
        <v>0</v>
      </c>
    </row>
    <row r="1683" customFormat="false" ht="15" hidden="false" customHeight="false" outlineLevel="0" collapsed="false">
      <c r="A1683" s="62" t="n">
        <v>1682</v>
      </c>
      <c r="B1683" s="63" t="n">
        <v>46273.9445717593</v>
      </c>
      <c r="C1683" s="64" t="n">
        <v>46273</v>
      </c>
      <c r="D1683" s="62" t="s">
        <v>501</v>
      </c>
      <c r="E1683" s="62" t="s">
        <v>203</v>
      </c>
      <c r="F1683" s="62" t="s">
        <v>203</v>
      </c>
      <c r="G1683" s="62" t="s">
        <v>204</v>
      </c>
      <c r="H1683" s="62" t="s">
        <v>51</v>
      </c>
      <c r="I1683" s="62" t="s">
        <v>47</v>
      </c>
      <c r="J1683" s="62" t="s">
        <v>146</v>
      </c>
      <c r="K1683" s="62" t="s">
        <v>147</v>
      </c>
      <c r="L1683" s="62" t="s">
        <v>148</v>
      </c>
      <c r="M1683" s="62" t="n">
        <v>0</v>
      </c>
      <c r="N1683" s="62" t="n">
        <v>1</v>
      </c>
      <c r="O1683" s="62" t="n">
        <v>1</v>
      </c>
      <c r="P1683" s="62" t="n">
        <v>1</v>
      </c>
      <c r="Q1683" s="62" t="n">
        <v>0</v>
      </c>
      <c r="R1683" s="62" t="n">
        <v>0</v>
      </c>
      <c r="S1683" s="62" t="n">
        <v>0</v>
      </c>
      <c r="T1683" s="62" t="n">
        <v>0</v>
      </c>
      <c r="U1683" s="62"/>
      <c r="V1683" s="62"/>
      <c r="W1683" s="62"/>
      <c r="X1683" s="62"/>
      <c r="Y1683" s="62"/>
      <c r="Z1683" s="62" t="s">
        <v>3124</v>
      </c>
      <c r="AA1683" s="62" t="s">
        <v>3125</v>
      </c>
      <c r="AB1683" s="62" t="n">
        <v>1</v>
      </c>
      <c r="AC1683" s="62" t="n">
        <v>0</v>
      </c>
      <c r="AD1683" s="62" t="n">
        <v>1</v>
      </c>
      <c r="AE1683" s="62" t="n">
        <f aca="false">IF(AND(Dashboard!$C$9="Yes",AC1683=1),0,1)</f>
        <v>1</v>
      </c>
      <c r="AF1683" s="62" t="n">
        <v>0</v>
      </c>
    </row>
    <row r="1684" customFormat="false" ht="15" hidden="false" customHeight="false" outlineLevel="0" collapsed="false">
      <c r="A1684" s="62" t="n">
        <v>1683</v>
      </c>
      <c r="B1684" s="63" t="n">
        <v>46273.9446759259</v>
      </c>
      <c r="C1684" s="64" t="n">
        <v>46273</v>
      </c>
      <c r="D1684" s="62" t="s">
        <v>501</v>
      </c>
      <c r="E1684" s="62" t="s">
        <v>2228</v>
      </c>
      <c r="F1684" s="62" t="s">
        <v>2228</v>
      </c>
      <c r="G1684" s="62" t="s">
        <v>2229</v>
      </c>
      <c r="H1684" s="62" t="s">
        <v>58</v>
      </c>
      <c r="I1684" s="62" t="s">
        <v>49</v>
      </c>
      <c r="J1684" s="62" t="s">
        <v>146</v>
      </c>
      <c r="K1684" s="62" t="s">
        <v>209</v>
      </c>
      <c r="L1684" s="62" t="s">
        <v>148</v>
      </c>
      <c r="M1684" s="62" t="n">
        <v>0</v>
      </c>
      <c r="N1684" s="62" t="n">
        <v>1</v>
      </c>
      <c r="O1684" s="62" t="n">
        <v>1</v>
      </c>
      <c r="P1684" s="62" t="n">
        <v>0</v>
      </c>
      <c r="Q1684" s="62" t="n">
        <v>1</v>
      </c>
      <c r="R1684" s="62" t="n">
        <v>0</v>
      </c>
      <c r="S1684" s="62" t="n">
        <v>0</v>
      </c>
      <c r="T1684" s="62" t="n">
        <v>0</v>
      </c>
      <c r="U1684" s="62"/>
      <c r="V1684" s="62"/>
      <c r="W1684" s="62"/>
      <c r="X1684" s="62"/>
      <c r="Y1684" s="62"/>
      <c r="Z1684" s="62" t="s">
        <v>3126</v>
      </c>
      <c r="AA1684" s="62" t="s">
        <v>3127</v>
      </c>
      <c r="AB1684" s="62" t="n">
        <v>1</v>
      </c>
      <c r="AC1684" s="62" t="n">
        <v>0</v>
      </c>
      <c r="AD1684" s="62" t="n">
        <v>1</v>
      </c>
      <c r="AE1684" s="62" t="n">
        <f aca="false">IF(AND(Dashboard!$C$9="Yes",AC1684=1),0,1)</f>
        <v>1</v>
      </c>
      <c r="AF1684" s="62" t="n">
        <v>0</v>
      </c>
    </row>
    <row r="1685" customFormat="false" ht="15" hidden="false" customHeight="false" outlineLevel="0" collapsed="false">
      <c r="A1685" s="62" t="n">
        <v>1684</v>
      </c>
      <c r="B1685" s="63" t="n">
        <v>46273.9472222222</v>
      </c>
      <c r="C1685" s="64" t="n">
        <v>46273</v>
      </c>
      <c r="D1685" s="62" t="s">
        <v>501</v>
      </c>
      <c r="E1685" s="62" t="s">
        <v>3128</v>
      </c>
      <c r="F1685" s="62" t="s">
        <v>3129</v>
      </c>
      <c r="G1685" s="62" t="s">
        <v>153</v>
      </c>
      <c r="H1685" s="62" t="s">
        <v>153</v>
      </c>
      <c r="I1685" s="62" t="s">
        <v>153</v>
      </c>
      <c r="J1685" s="62" t="s">
        <v>64</v>
      </c>
      <c r="K1685" s="62" t="s">
        <v>64</v>
      </c>
      <c r="L1685" s="62" t="s">
        <v>4</v>
      </c>
      <c r="M1685" s="62" t="n">
        <v>10</v>
      </c>
      <c r="N1685" s="62" t="n">
        <v>0</v>
      </c>
      <c r="O1685" s="62" t="n">
        <v>10</v>
      </c>
      <c r="P1685" s="62" t="n">
        <v>0</v>
      </c>
      <c r="Q1685" s="62" t="n">
        <v>0</v>
      </c>
      <c r="R1685" s="62" t="n">
        <v>0</v>
      </c>
      <c r="S1685" s="62" t="n">
        <v>0</v>
      </c>
      <c r="T1685" s="62" t="n">
        <v>0</v>
      </c>
      <c r="U1685" s="62" t="s">
        <v>15</v>
      </c>
      <c r="V1685" s="62" t="s">
        <v>2057</v>
      </c>
      <c r="W1685" s="62" t="s">
        <v>15</v>
      </c>
      <c r="X1685" s="62" t="s">
        <v>2058</v>
      </c>
      <c r="Y1685" s="62" t="s">
        <v>2103</v>
      </c>
      <c r="Z1685" s="62" t="s">
        <v>3130</v>
      </c>
      <c r="AA1685" s="62" t="s">
        <v>1649</v>
      </c>
      <c r="AB1685" s="62" t="n">
        <v>0</v>
      </c>
      <c r="AC1685" s="62" t="n">
        <v>0</v>
      </c>
      <c r="AD1685" s="62" t="n">
        <v>0</v>
      </c>
      <c r="AE1685" s="62" t="n">
        <f aca="false">IF(AND(Dashboard!$C$9="Yes",AC1685=1),0,1)</f>
        <v>1</v>
      </c>
      <c r="AF1685" s="62" t="n">
        <v>1</v>
      </c>
    </row>
    <row r="1686" customFormat="false" ht="15" hidden="false" customHeight="false" outlineLevel="0" collapsed="false">
      <c r="A1686" s="62" t="n">
        <v>1685</v>
      </c>
      <c r="B1686" s="63" t="n">
        <v>46273.947662037</v>
      </c>
      <c r="C1686" s="64" t="n">
        <v>46273</v>
      </c>
      <c r="D1686" s="62" t="s">
        <v>501</v>
      </c>
      <c r="E1686" s="62" t="s">
        <v>3131</v>
      </c>
      <c r="F1686" s="62" t="s">
        <v>3132</v>
      </c>
      <c r="G1686" s="62" t="s">
        <v>153</v>
      </c>
      <c r="H1686" s="62" t="s">
        <v>153</v>
      </c>
      <c r="I1686" s="62" t="s">
        <v>153</v>
      </c>
      <c r="J1686" s="62" t="s">
        <v>64</v>
      </c>
      <c r="K1686" s="62" t="s">
        <v>64</v>
      </c>
      <c r="L1686" s="62" t="s">
        <v>4</v>
      </c>
      <c r="M1686" s="62" t="n">
        <v>10</v>
      </c>
      <c r="N1686" s="62" t="n">
        <v>0</v>
      </c>
      <c r="O1686" s="62" t="n">
        <v>10</v>
      </c>
      <c r="P1686" s="62" t="n">
        <v>0</v>
      </c>
      <c r="Q1686" s="62" t="n">
        <v>0</v>
      </c>
      <c r="R1686" s="62" t="n">
        <v>0</v>
      </c>
      <c r="S1686" s="62" t="n">
        <v>0</v>
      </c>
      <c r="T1686" s="62" t="n">
        <v>0</v>
      </c>
      <c r="U1686" s="62" t="s">
        <v>15</v>
      </c>
      <c r="V1686" s="62" t="s">
        <v>2057</v>
      </c>
      <c r="W1686" s="62" t="s">
        <v>15</v>
      </c>
      <c r="X1686" s="62" t="s">
        <v>2058</v>
      </c>
      <c r="Y1686" s="62" t="s">
        <v>2103</v>
      </c>
      <c r="Z1686" s="62" t="s">
        <v>3133</v>
      </c>
      <c r="AA1686" s="62" t="s">
        <v>3134</v>
      </c>
      <c r="AB1686" s="62" t="n">
        <v>1</v>
      </c>
      <c r="AC1686" s="62" t="n">
        <v>0</v>
      </c>
      <c r="AD1686" s="62" t="n">
        <v>0</v>
      </c>
      <c r="AE1686" s="62" t="n">
        <f aca="false">IF(AND(Dashboard!$C$9="Yes",AC1686=1),0,1)</f>
        <v>1</v>
      </c>
      <c r="AF1686" s="62" t="n">
        <v>1</v>
      </c>
    </row>
    <row r="1687" customFormat="false" ht="15" hidden="false" customHeight="false" outlineLevel="0" collapsed="false">
      <c r="A1687" s="62" t="n">
        <v>1686</v>
      </c>
      <c r="B1687" s="63" t="n">
        <v>46273.9601851852</v>
      </c>
      <c r="C1687" s="64" t="n">
        <v>46273</v>
      </c>
      <c r="D1687" s="62" t="s">
        <v>501</v>
      </c>
      <c r="E1687" s="62" t="s">
        <v>1732</v>
      </c>
      <c r="F1687" s="62" t="s">
        <v>1732</v>
      </c>
      <c r="G1687" s="62" t="s">
        <v>1733</v>
      </c>
      <c r="H1687" s="62" t="s">
        <v>58</v>
      </c>
      <c r="I1687" s="62" t="s">
        <v>49</v>
      </c>
      <c r="J1687" s="62" t="s">
        <v>146</v>
      </c>
      <c r="K1687" s="62" t="s">
        <v>209</v>
      </c>
      <c r="L1687" s="62" t="s">
        <v>148</v>
      </c>
      <c r="M1687" s="62" t="n">
        <v>0</v>
      </c>
      <c r="N1687" s="62" t="n">
        <v>1</v>
      </c>
      <c r="O1687" s="62" t="n">
        <v>1</v>
      </c>
      <c r="P1687" s="62" t="n">
        <v>1</v>
      </c>
      <c r="Q1687" s="62" t="n">
        <v>0</v>
      </c>
      <c r="R1687" s="62" t="n">
        <v>0</v>
      </c>
      <c r="S1687" s="62" t="n">
        <v>0</v>
      </c>
      <c r="T1687" s="62" t="n">
        <v>0</v>
      </c>
      <c r="U1687" s="62"/>
      <c r="V1687" s="62"/>
      <c r="W1687" s="62"/>
      <c r="X1687" s="62"/>
      <c r="Y1687" s="62"/>
      <c r="Z1687" s="62" t="s">
        <v>3135</v>
      </c>
      <c r="AA1687" s="62" t="s">
        <v>3136</v>
      </c>
      <c r="AB1687" s="62" t="n">
        <v>1</v>
      </c>
      <c r="AC1687" s="62" t="n">
        <v>0</v>
      </c>
      <c r="AD1687" s="62" t="n">
        <v>1</v>
      </c>
      <c r="AE1687" s="62" t="n">
        <f aca="false">IF(AND(Dashboard!$C$9="Yes",AC1687=1),0,1)</f>
        <v>1</v>
      </c>
      <c r="AF1687" s="62" t="n">
        <v>0</v>
      </c>
    </row>
    <row r="1688" customFormat="false" ht="15" hidden="false" customHeight="false" outlineLevel="0" collapsed="false">
      <c r="A1688" s="62" t="n">
        <v>1687</v>
      </c>
      <c r="B1688" s="63" t="n">
        <v>46273.9666319444</v>
      </c>
      <c r="C1688" s="64" t="n">
        <v>46273</v>
      </c>
      <c r="D1688" s="62" t="s">
        <v>501</v>
      </c>
      <c r="E1688" s="62" t="s">
        <v>586</v>
      </c>
      <c r="F1688" s="62" t="s">
        <v>586</v>
      </c>
      <c r="G1688" s="62" t="s">
        <v>587</v>
      </c>
      <c r="H1688" s="62" t="s">
        <v>57</v>
      </c>
      <c r="I1688" s="62" t="s">
        <v>47</v>
      </c>
      <c r="J1688" s="62" t="s">
        <v>146</v>
      </c>
      <c r="K1688" s="62" t="s">
        <v>175</v>
      </c>
      <c r="L1688" s="62" t="s">
        <v>148</v>
      </c>
      <c r="M1688" s="62" t="n">
        <v>0</v>
      </c>
      <c r="N1688" s="62" t="n">
        <v>1</v>
      </c>
      <c r="O1688" s="62" t="n">
        <v>1</v>
      </c>
      <c r="P1688" s="62" t="n">
        <v>0</v>
      </c>
      <c r="Q1688" s="62" t="n">
        <v>1</v>
      </c>
      <c r="R1688" s="62" t="n">
        <v>0</v>
      </c>
      <c r="S1688" s="62" t="n">
        <v>0</v>
      </c>
      <c r="T1688" s="62" t="n">
        <v>0</v>
      </c>
      <c r="U1688" s="62"/>
      <c r="V1688" s="62"/>
      <c r="W1688" s="62"/>
      <c r="X1688" s="62"/>
      <c r="Y1688" s="62"/>
      <c r="Z1688" s="62" t="s">
        <v>3137</v>
      </c>
      <c r="AA1688" s="62" t="s">
        <v>3138</v>
      </c>
      <c r="AB1688" s="62" t="n">
        <v>1</v>
      </c>
      <c r="AC1688" s="62" t="n">
        <v>0</v>
      </c>
      <c r="AD1688" s="62" t="n">
        <v>1</v>
      </c>
      <c r="AE1688" s="62" t="n">
        <f aca="false">IF(AND(Dashboard!$C$9="Yes",AC1688=1),0,1)</f>
        <v>1</v>
      </c>
      <c r="AF1688" s="62" t="n">
        <v>0</v>
      </c>
    </row>
    <row r="1689" customFormat="false" ht="15" hidden="false" customHeight="false" outlineLevel="0" collapsed="false">
      <c r="A1689" s="62" t="n">
        <v>1688</v>
      </c>
      <c r="B1689" s="63" t="n">
        <v>46273.9704976852</v>
      </c>
      <c r="C1689" s="64" t="n">
        <v>46273</v>
      </c>
      <c r="D1689" s="62" t="s">
        <v>501</v>
      </c>
      <c r="E1689" s="62" t="s">
        <v>1382</v>
      </c>
      <c r="F1689" s="62" t="s">
        <v>1382</v>
      </c>
      <c r="G1689" s="62" t="s">
        <v>1383</v>
      </c>
      <c r="H1689" s="62" t="s">
        <v>58</v>
      </c>
      <c r="I1689" s="62" t="s">
        <v>49</v>
      </c>
      <c r="J1689" s="62" t="s">
        <v>146</v>
      </c>
      <c r="K1689" s="62" t="s">
        <v>175</v>
      </c>
      <c r="L1689" s="62" t="s">
        <v>4</v>
      </c>
      <c r="M1689" s="62" t="n">
        <v>1</v>
      </c>
      <c r="N1689" s="62" t="n">
        <v>0</v>
      </c>
      <c r="O1689" s="62" t="n">
        <v>1</v>
      </c>
      <c r="P1689" s="62" t="n">
        <v>0</v>
      </c>
      <c r="Q1689" s="62" t="n">
        <v>0</v>
      </c>
      <c r="R1689" s="62" t="n">
        <v>0</v>
      </c>
      <c r="S1689" s="62" t="n">
        <v>0</v>
      </c>
      <c r="T1689" s="62" t="n">
        <v>0</v>
      </c>
      <c r="U1689" s="62" t="s">
        <v>2056</v>
      </c>
      <c r="V1689" s="62" t="s">
        <v>2057</v>
      </c>
      <c r="W1689" s="62" t="s">
        <v>15</v>
      </c>
      <c r="X1689" s="62" t="s">
        <v>2164</v>
      </c>
      <c r="Y1689" s="62" t="s">
        <v>2165</v>
      </c>
      <c r="Z1689" s="62" t="s">
        <v>3139</v>
      </c>
      <c r="AA1689" s="62" t="s">
        <v>3140</v>
      </c>
      <c r="AB1689" s="62" t="n">
        <v>1</v>
      </c>
      <c r="AC1689" s="62" t="n">
        <v>0</v>
      </c>
      <c r="AD1689" s="62" t="n">
        <v>1</v>
      </c>
      <c r="AE1689" s="62" t="n">
        <f aca="false">IF(AND(Dashboard!$C$9="Yes",AC1689=1),0,1)</f>
        <v>1</v>
      </c>
      <c r="AF1689" s="62" t="n">
        <v>0</v>
      </c>
    </row>
    <row r="1690" customFormat="false" ht="15" hidden="false" customHeight="false" outlineLevel="0" collapsed="false">
      <c r="A1690" s="62" t="n">
        <v>1689</v>
      </c>
      <c r="B1690" s="63" t="n">
        <v>46273.9842824074</v>
      </c>
      <c r="C1690" s="64" t="n">
        <v>46273</v>
      </c>
      <c r="D1690" s="62" t="s">
        <v>501</v>
      </c>
      <c r="E1690" s="62" t="s">
        <v>2119</v>
      </c>
      <c r="F1690" s="62" t="s">
        <v>2119</v>
      </c>
      <c r="G1690" s="62" t="s">
        <v>2120</v>
      </c>
      <c r="H1690" s="62" t="s">
        <v>52</v>
      </c>
      <c r="I1690" s="62" t="s">
        <v>47</v>
      </c>
      <c r="J1690" s="62" t="s">
        <v>146</v>
      </c>
      <c r="K1690" s="62" t="s">
        <v>147</v>
      </c>
      <c r="L1690" s="62" t="s">
        <v>148</v>
      </c>
      <c r="M1690" s="62" t="n">
        <v>0</v>
      </c>
      <c r="N1690" s="62" t="n">
        <v>1</v>
      </c>
      <c r="O1690" s="62" t="n">
        <v>1</v>
      </c>
      <c r="P1690" s="62" t="n">
        <v>1</v>
      </c>
      <c r="Q1690" s="62" t="n">
        <v>0</v>
      </c>
      <c r="R1690" s="62" t="n">
        <v>0</v>
      </c>
      <c r="S1690" s="62" t="n">
        <v>0</v>
      </c>
      <c r="T1690" s="62" t="n">
        <v>0</v>
      </c>
      <c r="U1690" s="62"/>
      <c r="V1690" s="62"/>
      <c r="W1690" s="62"/>
      <c r="X1690" s="62"/>
      <c r="Y1690" s="62"/>
      <c r="Z1690" s="62" t="s">
        <v>3141</v>
      </c>
      <c r="AA1690" s="62" t="s">
        <v>3142</v>
      </c>
      <c r="AB1690" s="62" t="n">
        <v>1</v>
      </c>
      <c r="AC1690" s="62" t="n">
        <v>0</v>
      </c>
      <c r="AD1690" s="62" t="n">
        <v>1</v>
      </c>
      <c r="AE1690" s="62" t="n">
        <f aca="false">IF(AND(Dashboard!$C$9="Yes",AC1690=1),0,1)</f>
        <v>1</v>
      </c>
      <c r="AF1690" s="62" t="n">
        <v>1</v>
      </c>
    </row>
    <row r="1691" customFormat="false" ht="15" hidden="false" customHeight="false" outlineLevel="0" collapsed="false">
      <c r="A1691" s="62" t="n">
        <v>1690</v>
      </c>
      <c r="B1691" s="63" t="n">
        <v>46273.9908680556</v>
      </c>
      <c r="C1691" s="64" t="n">
        <v>46273</v>
      </c>
      <c r="D1691" s="62" t="s">
        <v>501</v>
      </c>
      <c r="E1691" s="62" t="s">
        <v>3143</v>
      </c>
      <c r="F1691" s="62" t="s">
        <v>3144</v>
      </c>
      <c r="G1691" s="62" t="s">
        <v>153</v>
      </c>
      <c r="H1691" s="62" t="s">
        <v>153</v>
      </c>
      <c r="I1691" s="62" t="s">
        <v>153</v>
      </c>
      <c r="J1691" s="62" t="s">
        <v>64</v>
      </c>
      <c r="K1691" s="62" t="s">
        <v>64</v>
      </c>
      <c r="L1691" s="62" t="s">
        <v>148</v>
      </c>
      <c r="M1691" s="62" t="n">
        <v>0</v>
      </c>
      <c r="N1691" s="62" t="n">
        <v>1</v>
      </c>
      <c r="O1691" s="62" t="n">
        <v>1</v>
      </c>
      <c r="P1691" s="62" t="n">
        <v>0</v>
      </c>
      <c r="Q1691" s="62" t="n">
        <v>0</v>
      </c>
      <c r="R1691" s="62" t="n">
        <v>0</v>
      </c>
      <c r="S1691" s="62" t="n">
        <v>1</v>
      </c>
      <c r="T1691" s="62" t="n">
        <v>0</v>
      </c>
      <c r="U1691" s="62"/>
      <c r="V1691" s="62"/>
      <c r="W1691" s="62"/>
      <c r="X1691" s="62"/>
      <c r="Y1691" s="62"/>
      <c r="Z1691" s="62" t="s">
        <v>3145</v>
      </c>
      <c r="AA1691" s="62" t="s">
        <v>237</v>
      </c>
      <c r="AB1691" s="62" t="n">
        <v>0</v>
      </c>
      <c r="AC1691" s="62" t="n">
        <v>0</v>
      </c>
      <c r="AD1691" s="62" t="n">
        <v>0</v>
      </c>
      <c r="AE1691" s="62" t="n">
        <f aca="false">IF(AND(Dashboard!$C$9="Yes",AC1691=1),0,1)</f>
        <v>1</v>
      </c>
      <c r="AF1691" s="62" t="n">
        <v>1</v>
      </c>
    </row>
    <row r="1692" customFormat="false" ht="15" hidden="false" customHeight="false" outlineLevel="0" collapsed="false">
      <c r="A1692" s="62" t="n">
        <v>1691</v>
      </c>
      <c r="B1692" s="63" t="n">
        <v>46273.9948958333</v>
      </c>
      <c r="C1692" s="64" t="n">
        <v>46273</v>
      </c>
      <c r="D1692" s="62" t="s">
        <v>501</v>
      </c>
      <c r="E1692" s="62" t="s">
        <v>1551</v>
      </c>
      <c r="F1692" s="62" t="s">
        <v>1551</v>
      </c>
      <c r="G1692" s="62" t="s">
        <v>1552</v>
      </c>
      <c r="H1692" s="62" t="s">
        <v>52</v>
      </c>
      <c r="I1692" s="62" t="s">
        <v>47</v>
      </c>
      <c r="J1692" s="62" t="s">
        <v>146</v>
      </c>
      <c r="K1692" s="62" t="s">
        <v>209</v>
      </c>
      <c r="L1692" s="62" t="s">
        <v>4</v>
      </c>
      <c r="M1692" s="62" t="n">
        <v>1</v>
      </c>
      <c r="N1692" s="62" t="n">
        <v>0</v>
      </c>
      <c r="O1692" s="62" t="n">
        <v>1</v>
      </c>
      <c r="P1692" s="62" t="n">
        <v>0</v>
      </c>
      <c r="Q1692" s="62" t="n">
        <v>0</v>
      </c>
      <c r="R1692" s="62" t="n">
        <v>0</v>
      </c>
      <c r="S1692" s="62" t="n">
        <v>0</v>
      </c>
      <c r="T1692" s="62" t="n">
        <v>0</v>
      </c>
      <c r="U1692" s="62" t="s">
        <v>2056</v>
      </c>
      <c r="V1692" s="62" t="s">
        <v>2057</v>
      </c>
      <c r="W1692" s="62" t="s">
        <v>15</v>
      </c>
      <c r="X1692" s="62" t="s">
        <v>2058</v>
      </c>
      <c r="Y1692" s="62" t="s">
        <v>2103</v>
      </c>
      <c r="Z1692" s="62" t="s">
        <v>3146</v>
      </c>
      <c r="AA1692" s="62" t="s">
        <v>3147</v>
      </c>
      <c r="AB1692" s="62" t="n">
        <v>1</v>
      </c>
      <c r="AC1692" s="62" t="n">
        <v>0</v>
      </c>
      <c r="AD1692" s="62" t="n">
        <v>1</v>
      </c>
      <c r="AE1692" s="62" t="n">
        <f aca="false">IF(AND(Dashboard!$C$9="Yes",AC1692=1),0,1)</f>
        <v>1</v>
      </c>
      <c r="AF1692" s="62" t="n">
        <v>0</v>
      </c>
    </row>
    <row r="1693" customFormat="false" ht="15" hidden="false" customHeight="false" outlineLevel="0" collapsed="false">
      <c r="A1693" s="62" t="n">
        <v>1692</v>
      </c>
      <c r="B1693" s="63" t="n">
        <v>46273.9962847222</v>
      </c>
      <c r="C1693" s="64" t="n">
        <v>46273</v>
      </c>
      <c r="D1693" s="62" t="s">
        <v>501</v>
      </c>
      <c r="E1693" s="62" t="s">
        <v>3148</v>
      </c>
      <c r="F1693" s="62" t="s">
        <v>3148</v>
      </c>
      <c r="G1693" s="62" t="s">
        <v>3149</v>
      </c>
      <c r="H1693" s="62" t="s">
        <v>46</v>
      </c>
      <c r="I1693" s="62" t="s">
        <v>47</v>
      </c>
      <c r="J1693" s="62" t="s">
        <v>146</v>
      </c>
      <c r="K1693" s="62" t="s">
        <v>209</v>
      </c>
      <c r="L1693" s="62" t="s">
        <v>4</v>
      </c>
      <c r="M1693" s="62" t="n">
        <v>1</v>
      </c>
      <c r="N1693" s="62" t="n">
        <v>0</v>
      </c>
      <c r="O1693" s="62" t="n">
        <v>1</v>
      </c>
      <c r="P1693" s="62" t="n">
        <v>0</v>
      </c>
      <c r="Q1693" s="62" t="n">
        <v>0</v>
      </c>
      <c r="R1693" s="62" t="n">
        <v>0</v>
      </c>
      <c r="S1693" s="62" t="n">
        <v>0</v>
      </c>
      <c r="T1693" s="62" t="n">
        <v>0</v>
      </c>
      <c r="U1693" s="62" t="s">
        <v>2056</v>
      </c>
      <c r="V1693" s="62" t="s">
        <v>2057</v>
      </c>
      <c r="W1693" s="62" t="s">
        <v>15</v>
      </c>
      <c r="X1693" s="62" t="s">
        <v>2058</v>
      </c>
      <c r="Y1693" s="62" t="s">
        <v>2059</v>
      </c>
      <c r="Z1693" s="62" t="s">
        <v>3150</v>
      </c>
      <c r="AA1693" s="62" t="s">
        <v>3151</v>
      </c>
      <c r="AB1693" s="62" t="n">
        <v>1</v>
      </c>
      <c r="AC1693" s="62" t="n">
        <v>0</v>
      </c>
      <c r="AD1693" s="62" t="n">
        <v>1</v>
      </c>
      <c r="AE1693" s="62" t="n">
        <f aca="false">IF(AND(Dashboard!$C$9="Yes",AC1693=1),0,1)</f>
        <v>1</v>
      </c>
      <c r="AF1693" s="62" t="n">
        <v>1</v>
      </c>
    </row>
    <row r="1694" customFormat="false" ht="15" hidden="false" customHeight="false" outlineLevel="0" collapsed="false">
      <c r="A1694" s="62" t="n">
        <v>1693</v>
      </c>
      <c r="B1694" s="63" t="n">
        <v>46274.0149189815</v>
      </c>
      <c r="C1694" s="64" t="n">
        <v>46273</v>
      </c>
      <c r="D1694" s="62" t="s">
        <v>501</v>
      </c>
      <c r="E1694" s="62" t="s">
        <v>3029</v>
      </c>
      <c r="F1694" s="62" t="s">
        <v>3030</v>
      </c>
      <c r="G1694" s="62" t="s">
        <v>153</v>
      </c>
      <c r="H1694" s="62" t="s">
        <v>153</v>
      </c>
      <c r="I1694" s="62" t="s">
        <v>153</v>
      </c>
      <c r="J1694" s="62" t="s">
        <v>64</v>
      </c>
      <c r="K1694" s="62" t="s">
        <v>64</v>
      </c>
      <c r="L1694" s="62" t="s">
        <v>148</v>
      </c>
      <c r="M1694" s="62" t="n">
        <v>0</v>
      </c>
      <c r="N1694" s="62" t="n">
        <v>1</v>
      </c>
      <c r="O1694" s="62" t="n">
        <v>1</v>
      </c>
      <c r="P1694" s="62" t="n">
        <v>1</v>
      </c>
      <c r="Q1694" s="62" t="n">
        <v>0</v>
      </c>
      <c r="R1694" s="62" t="n">
        <v>0</v>
      </c>
      <c r="S1694" s="62" t="n">
        <v>0</v>
      </c>
      <c r="T1694" s="62" t="n">
        <v>0</v>
      </c>
      <c r="U1694" s="62"/>
      <c r="V1694" s="62"/>
      <c r="W1694" s="62"/>
      <c r="X1694" s="62"/>
      <c r="Y1694" s="62"/>
      <c r="Z1694" s="62" t="s">
        <v>3152</v>
      </c>
      <c r="AA1694" s="62" t="s">
        <v>3153</v>
      </c>
      <c r="AB1694" s="62" t="n">
        <v>1</v>
      </c>
      <c r="AC1694" s="62" t="n">
        <v>0</v>
      </c>
      <c r="AD1694" s="62" t="n">
        <v>0</v>
      </c>
      <c r="AE1694" s="62" t="n">
        <f aca="false">IF(AND(Dashboard!$C$9="Yes",AC1694=1),0,1)</f>
        <v>1</v>
      </c>
      <c r="AF1694" s="62" t="n">
        <v>1</v>
      </c>
    </row>
    <row r="1695" customFormat="false" ht="15" hidden="false" customHeight="false" outlineLevel="0" collapsed="false">
      <c r="A1695" s="62" t="n">
        <v>1694</v>
      </c>
      <c r="B1695" s="63" t="n">
        <v>46274.0177314815</v>
      </c>
      <c r="C1695" s="64" t="n">
        <v>46273</v>
      </c>
      <c r="D1695" s="62" t="s">
        <v>501</v>
      </c>
      <c r="E1695" s="62" t="s">
        <v>910</v>
      </c>
      <c r="F1695" s="62" t="s">
        <v>910</v>
      </c>
      <c r="G1695" s="62" t="s">
        <v>911</v>
      </c>
      <c r="H1695" s="62" t="s">
        <v>59</v>
      </c>
      <c r="I1695" s="62" t="s">
        <v>47</v>
      </c>
      <c r="J1695" s="62" t="s">
        <v>146</v>
      </c>
      <c r="K1695" s="62" t="s">
        <v>175</v>
      </c>
      <c r="L1695" s="62" t="s">
        <v>148</v>
      </c>
      <c r="M1695" s="62" t="n">
        <v>0</v>
      </c>
      <c r="N1695" s="62" t="n">
        <v>1</v>
      </c>
      <c r="O1695" s="62" t="n">
        <v>1</v>
      </c>
      <c r="P1695" s="62" t="n">
        <v>1</v>
      </c>
      <c r="Q1695" s="62" t="n">
        <v>0</v>
      </c>
      <c r="R1695" s="62" t="n">
        <v>0</v>
      </c>
      <c r="S1695" s="62" t="n">
        <v>0</v>
      </c>
      <c r="T1695" s="62" t="n">
        <v>0</v>
      </c>
      <c r="U1695" s="62"/>
      <c r="V1695" s="62"/>
      <c r="W1695" s="62"/>
      <c r="X1695" s="62"/>
      <c r="Y1695" s="62"/>
      <c r="Z1695" s="62" t="s">
        <v>3154</v>
      </c>
      <c r="AA1695" s="62" t="s">
        <v>3155</v>
      </c>
      <c r="AB1695" s="62" t="n">
        <v>1</v>
      </c>
      <c r="AC1695" s="62" t="n">
        <v>0</v>
      </c>
      <c r="AD1695" s="62" t="n">
        <v>1</v>
      </c>
      <c r="AE1695" s="62" t="n">
        <f aca="false">IF(AND(Dashboard!$C$9="Yes",AC1695=1),0,1)</f>
        <v>1</v>
      </c>
      <c r="AF1695" s="62" t="n">
        <v>1</v>
      </c>
    </row>
    <row r="1696" customFormat="false" ht="15" hidden="false" customHeight="false" outlineLevel="0" collapsed="false">
      <c r="A1696" s="62" t="n">
        <v>1695</v>
      </c>
      <c r="B1696" s="63" t="n">
        <v>46274.0193634259</v>
      </c>
      <c r="C1696" s="64" t="n">
        <v>46273</v>
      </c>
      <c r="D1696" s="62" t="s">
        <v>501</v>
      </c>
      <c r="E1696" s="62" t="s">
        <v>1827</v>
      </c>
      <c r="F1696" s="62" t="s">
        <v>1827</v>
      </c>
      <c r="G1696" s="62" t="s">
        <v>1828</v>
      </c>
      <c r="H1696" s="62" t="s">
        <v>59</v>
      </c>
      <c r="I1696" s="62" t="s">
        <v>47</v>
      </c>
      <c r="J1696" s="62" t="s">
        <v>146</v>
      </c>
      <c r="K1696" s="62" t="s">
        <v>209</v>
      </c>
      <c r="L1696" s="62" t="s">
        <v>148</v>
      </c>
      <c r="M1696" s="62" t="n">
        <v>0</v>
      </c>
      <c r="N1696" s="62" t="n">
        <v>1</v>
      </c>
      <c r="O1696" s="62" t="n">
        <v>1</v>
      </c>
      <c r="P1696" s="62" t="n">
        <v>0</v>
      </c>
      <c r="Q1696" s="62" t="n">
        <v>1</v>
      </c>
      <c r="R1696" s="62" t="n">
        <v>0</v>
      </c>
      <c r="S1696" s="62" t="n">
        <v>0</v>
      </c>
      <c r="T1696" s="62" t="n">
        <v>0</v>
      </c>
      <c r="U1696" s="62"/>
      <c r="V1696" s="62"/>
      <c r="W1696" s="62"/>
      <c r="X1696" s="62"/>
      <c r="Y1696" s="62"/>
      <c r="Z1696" s="62" t="s">
        <v>3156</v>
      </c>
      <c r="AA1696" s="62" t="s">
        <v>3157</v>
      </c>
      <c r="AB1696" s="62" t="n">
        <v>1</v>
      </c>
      <c r="AC1696" s="62" t="n">
        <v>0</v>
      </c>
      <c r="AD1696" s="62" t="n">
        <v>1</v>
      </c>
      <c r="AE1696" s="62" t="n">
        <f aca="false">IF(AND(Dashboard!$C$9="Yes",AC1696=1),0,1)</f>
        <v>1</v>
      </c>
      <c r="AF1696" s="62" t="n">
        <v>0</v>
      </c>
    </row>
    <row r="1697" customFormat="false" ht="15" hidden="false" customHeight="false" outlineLevel="0" collapsed="false">
      <c r="A1697" s="62" t="n">
        <v>1696</v>
      </c>
      <c r="B1697" s="63" t="n">
        <v>46274.0281365741</v>
      </c>
      <c r="C1697" s="64" t="n">
        <v>46273</v>
      </c>
      <c r="D1697" s="62" t="s">
        <v>501</v>
      </c>
      <c r="E1697" s="62" t="s">
        <v>892</v>
      </c>
      <c r="F1697" s="62" t="s">
        <v>892</v>
      </c>
      <c r="G1697" s="62" t="s">
        <v>893</v>
      </c>
      <c r="H1697" s="62" t="s">
        <v>46</v>
      </c>
      <c r="I1697" s="62" t="s">
        <v>47</v>
      </c>
      <c r="J1697" s="62" t="s">
        <v>146</v>
      </c>
      <c r="K1697" s="62" t="s">
        <v>209</v>
      </c>
      <c r="L1697" s="62" t="s">
        <v>148</v>
      </c>
      <c r="M1697" s="62" t="n">
        <v>0</v>
      </c>
      <c r="N1697" s="62" t="n">
        <v>1</v>
      </c>
      <c r="O1697" s="62" t="n">
        <v>1</v>
      </c>
      <c r="P1697" s="62" t="n">
        <v>0</v>
      </c>
      <c r="Q1697" s="62" t="n">
        <v>0</v>
      </c>
      <c r="R1697" s="62" t="n">
        <v>1</v>
      </c>
      <c r="S1697" s="62" t="n">
        <v>0</v>
      </c>
      <c r="T1697" s="62" t="n">
        <v>0</v>
      </c>
      <c r="U1697" s="62"/>
      <c r="V1697" s="62"/>
      <c r="W1697" s="62"/>
      <c r="X1697" s="62"/>
      <c r="Y1697" s="62"/>
      <c r="Z1697" s="62" t="s">
        <v>3158</v>
      </c>
      <c r="AA1697" s="62" t="s">
        <v>337</v>
      </c>
      <c r="AB1697" s="62" t="n">
        <v>0</v>
      </c>
      <c r="AC1697" s="62" t="n">
        <v>0</v>
      </c>
      <c r="AD1697" s="62" t="n">
        <v>1</v>
      </c>
      <c r="AE1697" s="62" t="n">
        <f aca="false">IF(AND(Dashboard!$C$9="Yes",AC1697=1),0,1)</f>
        <v>1</v>
      </c>
      <c r="AF1697" s="62" t="n">
        <v>1</v>
      </c>
    </row>
    <row r="1698" customFormat="false" ht="15" hidden="false" customHeight="false" outlineLevel="0" collapsed="false">
      <c r="A1698" s="62" t="n">
        <v>1697</v>
      </c>
      <c r="B1698" s="63" t="n">
        <v>46274.0416666667</v>
      </c>
      <c r="C1698" s="64" t="n">
        <v>46273</v>
      </c>
      <c r="D1698" s="62" t="s">
        <v>501</v>
      </c>
      <c r="E1698" s="62" t="s">
        <v>1827</v>
      </c>
      <c r="F1698" s="62" t="s">
        <v>1827</v>
      </c>
      <c r="G1698" s="62" t="s">
        <v>1828</v>
      </c>
      <c r="H1698" s="62" t="s">
        <v>59</v>
      </c>
      <c r="I1698" s="62" t="s">
        <v>47</v>
      </c>
      <c r="J1698" s="62" t="s">
        <v>146</v>
      </c>
      <c r="K1698" s="62" t="s">
        <v>209</v>
      </c>
      <c r="L1698" s="62" t="s">
        <v>148</v>
      </c>
      <c r="M1698" s="62" t="n">
        <v>0</v>
      </c>
      <c r="N1698" s="62" t="n">
        <v>1</v>
      </c>
      <c r="O1698" s="62" t="n">
        <v>1</v>
      </c>
      <c r="P1698" s="62" t="n">
        <v>0</v>
      </c>
      <c r="Q1698" s="62" t="n">
        <v>1</v>
      </c>
      <c r="R1698" s="62" t="n">
        <v>0</v>
      </c>
      <c r="S1698" s="62" t="n">
        <v>0</v>
      </c>
      <c r="T1698" s="62" t="n">
        <v>0</v>
      </c>
      <c r="U1698" s="62"/>
      <c r="V1698" s="62"/>
      <c r="W1698" s="62"/>
      <c r="X1698" s="62"/>
      <c r="Y1698" s="62"/>
      <c r="Z1698" s="62" t="s">
        <v>3159</v>
      </c>
      <c r="AA1698" s="62" t="s">
        <v>3160</v>
      </c>
      <c r="AB1698" s="62" t="n">
        <v>1</v>
      </c>
      <c r="AC1698" s="62" t="n">
        <v>0</v>
      </c>
      <c r="AD1698" s="62" t="n">
        <v>1</v>
      </c>
      <c r="AE1698" s="62" t="n">
        <f aca="false">IF(AND(Dashboard!$C$9="Yes",AC1698=1),0,1)</f>
        <v>1</v>
      </c>
      <c r="AF1698" s="62" t="n">
        <v>0</v>
      </c>
    </row>
    <row r="1699" customFormat="false" ht="15" hidden="false" customHeight="false" outlineLevel="0" collapsed="false">
      <c r="A1699" s="62" t="n">
        <v>1698</v>
      </c>
      <c r="B1699" s="63" t="n">
        <v>46274.0441319444</v>
      </c>
      <c r="C1699" s="64" t="n">
        <v>46273</v>
      </c>
      <c r="D1699" s="62" t="s">
        <v>501</v>
      </c>
      <c r="E1699" s="62" t="s">
        <v>3061</v>
      </c>
      <c r="F1699" s="62" t="s">
        <v>3061</v>
      </c>
      <c r="G1699" s="62" t="s">
        <v>3062</v>
      </c>
      <c r="H1699" s="62" t="s">
        <v>44</v>
      </c>
      <c r="I1699" s="62" t="s">
        <v>49</v>
      </c>
      <c r="J1699" s="62" t="s">
        <v>146</v>
      </c>
      <c r="K1699" s="62" t="s">
        <v>147</v>
      </c>
      <c r="L1699" s="62" t="s">
        <v>4</v>
      </c>
      <c r="M1699" s="62" t="n">
        <v>1</v>
      </c>
      <c r="N1699" s="62" t="n">
        <v>0</v>
      </c>
      <c r="O1699" s="62" t="n">
        <v>1</v>
      </c>
      <c r="P1699" s="62" t="n">
        <v>0</v>
      </c>
      <c r="Q1699" s="62" t="n">
        <v>0</v>
      </c>
      <c r="R1699" s="62" t="n">
        <v>0</v>
      </c>
      <c r="S1699" s="62" t="n">
        <v>0</v>
      </c>
      <c r="T1699" s="62" t="n">
        <v>0</v>
      </c>
      <c r="U1699" s="62" t="s">
        <v>2056</v>
      </c>
      <c r="V1699" s="62" t="s">
        <v>2057</v>
      </c>
      <c r="W1699" s="62" t="s">
        <v>2056</v>
      </c>
      <c r="X1699" s="62" t="s">
        <v>2058</v>
      </c>
      <c r="Y1699" s="62" t="s">
        <v>2059</v>
      </c>
      <c r="Z1699" s="62" t="s">
        <v>3161</v>
      </c>
      <c r="AA1699" s="62" t="s">
        <v>3162</v>
      </c>
      <c r="AB1699" s="62" t="n">
        <v>1</v>
      </c>
      <c r="AC1699" s="62" t="n">
        <v>0</v>
      </c>
      <c r="AD1699" s="62" t="n">
        <v>1</v>
      </c>
      <c r="AE1699" s="62" t="n">
        <f aca="false">IF(AND(Dashboard!$C$9="Yes",AC1699=1),0,1)</f>
        <v>1</v>
      </c>
      <c r="AF1699" s="62" t="n">
        <v>1</v>
      </c>
    </row>
    <row r="1700" customFormat="false" ht="15" hidden="false" customHeight="false" outlineLevel="0" collapsed="false">
      <c r="A1700" s="62" t="n">
        <v>1699</v>
      </c>
      <c r="B1700" s="63" t="n">
        <v>46274.0508796296</v>
      </c>
      <c r="C1700" s="64" t="n">
        <v>46273</v>
      </c>
      <c r="D1700" s="62" t="s">
        <v>501</v>
      </c>
      <c r="E1700" s="62" t="s">
        <v>1005</v>
      </c>
      <c r="F1700" s="62" t="s">
        <v>1005</v>
      </c>
      <c r="G1700" s="62" t="s">
        <v>1006</v>
      </c>
      <c r="H1700" s="62" t="s">
        <v>46</v>
      </c>
      <c r="I1700" s="62" t="s">
        <v>47</v>
      </c>
      <c r="J1700" s="62" t="s">
        <v>146</v>
      </c>
      <c r="K1700" s="62" t="s">
        <v>209</v>
      </c>
      <c r="L1700" s="62" t="s">
        <v>4</v>
      </c>
      <c r="M1700" s="62" t="n">
        <v>1</v>
      </c>
      <c r="N1700" s="62" t="n">
        <v>0</v>
      </c>
      <c r="O1700" s="62" t="n">
        <v>1</v>
      </c>
      <c r="P1700" s="62" t="n">
        <v>0</v>
      </c>
      <c r="Q1700" s="62" t="n">
        <v>0</v>
      </c>
      <c r="R1700" s="62" t="n">
        <v>0</v>
      </c>
      <c r="S1700" s="62" t="n">
        <v>0</v>
      </c>
      <c r="T1700" s="62" t="n">
        <v>0</v>
      </c>
      <c r="U1700" s="62" t="s">
        <v>2056</v>
      </c>
      <c r="V1700" s="62" t="s">
        <v>2068</v>
      </c>
      <c r="W1700" s="62"/>
      <c r="X1700" s="62" t="s">
        <v>2103</v>
      </c>
      <c r="Y1700" s="62" t="s">
        <v>2059</v>
      </c>
      <c r="Z1700" s="62" t="s">
        <v>3163</v>
      </c>
      <c r="AA1700" s="62" t="s">
        <v>3164</v>
      </c>
      <c r="AB1700" s="62" t="n">
        <v>1</v>
      </c>
      <c r="AC1700" s="62" t="n">
        <v>0</v>
      </c>
      <c r="AD1700" s="62" t="n">
        <v>1</v>
      </c>
      <c r="AE1700" s="62" t="n">
        <f aca="false">IF(AND(Dashboard!$C$9="Yes",AC1700=1),0,1)</f>
        <v>1</v>
      </c>
      <c r="AF1700" s="62" t="n">
        <v>1</v>
      </c>
    </row>
    <row r="1701" customFormat="false" ht="15" hidden="false" customHeight="false" outlineLevel="0" collapsed="false">
      <c r="A1701" s="62" t="n">
        <v>1700</v>
      </c>
      <c r="B1701" s="63" t="n">
        <v>46274.0523611111</v>
      </c>
      <c r="C1701" s="64" t="n">
        <v>46273</v>
      </c>
      <c r="D1701" s="62" t="s">
        <v>501</v>
      </c>
      <c r="E1701" s="62" t="s">
        <v>2050</v>
      </c>
      <c r="F1701" s="62" t="s">
        <v>2050</v>
      </c>
      <c r="G1701" s="62" t="s">
        <v>2051</v>
      </c>
      <c r="H1701" s="62" t="s">
        <v>46</v>
      </c>
      <c r="I1701" s="62" t="s">
        <v>47</v>
      </c>
      <c r="J1701" s="62" t="s">
        <v>146</v>
      </c>
      <c r="K1701" s="62" t="s">
        <v>209</v>
      </c>
      <c r="L1701" s="62" t="s">
        <v>148</v>
      </c>
      <c r="M1701" s="62" t="n">
        <v>0</v>
      </c>
      <c r="N1701" s="62" t="n">
        <v>1</v>
      </c>
      <c r="O1701" s="62" t="n">
        <v>1</v>
      </c>
      <c r="P1701" s="62" t="n">
        <v>1</v>
      </c>
      <c r="Q1701" s="62" t="n">
        <v>0</v>
      </c>
      <c r="R1701" s="62" t="n">
        <v>0</v>
      </c>
      <c r="S1701" s="62" t="n">
        <v>0</v>
      </c>
      <c r="T1701" s="62" t="n">
        <v>0</v>
      </c>
      <c r="U1701" s="62"/>
      <c r="V1701" s="62"/>
      <c r="W1701" s="62"/>
      <c r="X1701" s="62"/>
      <c r="Y1701" s="62"/>
      <c r="Z1701" s="62" t="s">
        <v>3165</v>
      </c>
      <c r="AA1701" s="62" t="s">
        <v>2076</v>
      </c>
      <c r="AB1701" s="62" t="n">
        <v>0</v>
      </c>
      <c r="AC1701" s="62" t="n">
        <v>0</v>
      </c>
      <c r="AD1701" s="62" t="n">
        <v>1</v>
      </c>
      <c r="AE1701" s="62" t="n">
        <f aca="false">IF(AND(Dashboard!$C$9="Yes",AC1701=1),0,1)</f>
        <v>1</v>
      </c>
      <c r="AF1701" s="62" t="n">
        <v>0</v>
      </c>
    </row>
    <row r="1702" customFormat="false" ht="15" hidden="false" customHeight="false" outlineLevel="0" collapsed="false">
      <c r="A1702" s="62" t="n">
        <v>1701</v>
      </c>
      <c r="B1702" s="63" t="n">
        <v>46274.0531365741</v>
      </c>
      <c r="C1702" s="64" t="n">
        <v>46273</v>
      </c>
      <c r="D1702" s="62" t="s">
        <v>501</v>
      </c>
      <c r="E1702" s="62" t="s">
        <v>2476</v>
      </c>
      <c r="F1702" s="62" t="s">
        <v>2476</v>
      </c>
      <c r="G1702" s="62" t="s">
        <v>2477</v>
      </c>
      <c r="H1702" s="62" t="s">
        <v>51</v>
      </c>
      <c r="I1702" s="62" t="s">
        <v>47</v>
      </c>
      <c r="J1702" s="62" t="s">
        <v>146</v>
      </c>
      <c r="K1702" s="62" t="s">
        <v>209</v>
      </c>
      <c r="L1702" s="62" t="s">
        <v>148</v>
      </c>
      <c r="M1702" s="62" t="n">
        <v>0</v>
      </c>
      <c r="N1702" s="62" t="n">
        <v>1</v>
      </c>
      <c r="O1702" s="62" t="n">
        <v>1</v>
      </c>
      <c r="P1702" s="62" t="n">
        <v>0</v>
      </c>
      <c r="Q1702" s="62" t="n">
        <v>0</v>
      </c>
      <c r="R1702" s="62" t="n">
        <v>1</v>
      </c>
      <c r="S1702" s="62" t="n">
        <v>0</v>
      </c>
      <c r="T1702" s="62" t="n">
        <v>0</v>
      </c>
      <c r="U1702" s="62"/>
      <c r="V1702" s="62"/>
      <c r="W1702" s="62"/>
      <c r="X1702" s="62"/>
      <c r="Y1702" s="62"/>
      <c r="Z1702" s="62" t="s">
        <v>3166</v>
      </c>
      <c r="AA1702" s="62" t="s">
        <v>3167</v>
      </c>
      <c r="AB1702" s="62" t="n">
        <v>1</v>
      </c>
      <c r="AC1702" s="62" t="n">
        <v>0</v>
      </c>
      <c r="AD1702" s="62" t="n">
        <v>1</v>
      </c>
      <c r="AE1702" s="62" t="n">
        <f aca="false">IF(AND(Dashboard!$C$9="Yes",AC1702=1),0,1)</f>
        <v>1</v>
      </c>
      <c r="AF1702" s="62" t="n">
        <v>1</v>
      </c>
    </row>
    <row r="1703" customFormat="false" ht="15" hidden="false" customHeight="false" outlineLevel="0" collapsed="false">
      <c r="A1703" s="62" t="n">
        <v>1702</v>
      </c>
      <c r="B1703" s="63" t="n">
        <v>46274.0638310185</v>
      </c>
      <c r="C1703" s="64" t="n">
        <v>46273</v>
      </c>
      <c r="D1703" s="62" t="s">
        <v>501</v>
      </c>
      <c r="E1703" s="62" t="s">
        <v>1749</v>
      </c>
      <c r="F1703" s="62" t="s">
        <v>1749</v>
      </c>
      <c r="G1703" s="62" t="s">
        <v>1750</v>
      </c>
      <c r="H1703" s="62" t="s">
        <v>57</v>
      </c>
      <c r="I1703" s="62" t="s">
        <v>47</v>
      </c>
      <c r="J1703" s="62" t="s">
        <v>146</v>
      </c>
      <c r="K1703" s="62" t="s">
        <v>209</v>
      </c>
      <c r="L1703" s="62" t="s">
        <v>148</v>
      </c>
      <c r="M1703" s="62" t="n">
        <v>0</v>
      </c>
      <c r="N1703" s="62" t="n">
        <v>1</v>
      </c>
      <c r="O1703" s="62" t="n">
        <v>1</v>
      </c>
      <c r="P1703" s="62" t="n">
        <v>0</v>
      </c>
      <c r="Q1703" s="62" t="n">
        <v>0</v>
      </c>
      <c r="R1703" s="62" t="n">
        <v>1</v>
      </c>
      <c r="S1703" s="62" t="n">
        <v>0</v>
      </c>
      <c r="T1703" s="62" t="n">
        <v>0</v>
      </c>
      <c r="U1703" s="62"/>
      <c r="V1703" s="62"/>
      <c r="W1703" s="62"/>
      <c r="X1703" s="62"/>
      <c r="Y1703" s="62"/>
      <c r="Z1703" s="62" t="s">
        <v>3168</v>
      </c>
      <c r="AA1703" s="62" t="s">
        <v>3169</v>
      </c>
      <c r="AB1703" s="62" t="n">
        <v>1</v>
      </c>
      <c r="AC1703" s="62" t="n">
        <v>0</v>
      </c>
      <c r="AD1703" s="62" t="n">
        <v>1</v>
      </c>
      <c r="AE1703" s="62" t="n">
        <f aca="false">IF(AND(Dashboard!$C$9="Yes",AC1703=1),0,1)</f>
        <v>1</v>
      </c>
      <c r="AF1703" s="62" t="n">
        <v>0</v>
      </c>
    </row>
    <row r="1704" customFormat="false" ht="15" hidden="false" customHeight="false" outlineLevel="0" collapsed="false">
      <c r="A1704" s="62" t="n">
        <v>1703</v>
      </c>
      <c r="B1704" s="63" t="n">
        <v>46274.074375</v>
      </c>
      <c r="C1704" s="64" t="n">
        <v>46273</v>
      </c>
      <c r="D1704" s="62" t="s">
        <v>501</v>
      </c>
      <c r="E1704" s="62" t="s">
        <v>2228</v>
      </c>
      <c r="F1704" s="62" t="s">
        <v>2228</v>
      </c>
      <c r="G1704" s="62" t="s">
        <v>2229</v>
      </c>
      <c r="H1704" s="62" t="s">
        <v>58</v>
      </c>
      <c r="I1704" s="62" t="s">
        <v>49</v>
      </c>
      <c r="J1704" s="62" t="s">
        <v>146</v>
      </c>
      <c r="K1704" s="62" t="s">
        <v>209</v>
      </c>
      <c r="L1704" s="62" t="s">
        <v>148</v>
      </c>
      <c r="M1704" s="62" t="n">
        <v>0</v>
      </c>
      <c r="N1704" s="62" t="n">
        <v>1</v>
      </c>
      <c r="O1704" s="62" t="n">
        <v>1</v>
      </c>
      <c r="P1704" s="62" t="n">
        <v>1</v>
      </c>
      <c r="Q1704" s="62" t="n">
        <v>0</v>
      </c>
      <c r="R1704" s="62" t="n">
        <v>0</v>
      </c>
      <c r="S1704" s="62" t="n">
        <v>0</v>
      </c>
      <c r="T1704" s="62" t="n">
        <v>0</v>
      </c>
      <c r="U1704" s="62"/>
      <c r="V1704" s="62"/>
      <c r="W1704" s="62"/>
      <c r="X1704" s="62"/>
      <c r="Y1704" s="62"/>
      <c r="Z1704" s="62" t="s">
        <v>3170</v>
      </c>
      <c r="AA1704" s="62" t="s">
        <v>3171</v>
      </c>
      <c r="AB1704" s="62" t="n">
        <v>1</v>
      </c>
      <c r="AC1704" s="62" t="n">
        <v>0</v>
      </c>
      <c r="AD1704" s="62" t="n">
        <v>1</v>
      </c>
      <c r="AE1704" s="62" t="n">
        <f aca="false">IF(AND(Dashboard!$C$9="Yes",AC1704=1),0,1)</f>
        <v>1</v>
      </c>
      <c r="AF1704" s="62" t="n">
        <v>0</v>
      </c>
    </row>
    <row r="1705" customFormat="false" ht="15" hidden="false" customHeight="false" outlineLevel="0" collapsed="false">
      <c r="A1705" s="62" t="n">
        <v>1704</v>
      </c>
      <c r="B1705" s="63" t="n">
        <v>46274.0833101852</v>
      </c>
      <c r="C1705" s="64" t="n">
        <v>46273</v>
      </c>
      <c r="D1705" s="62" t="s">
        <v>501</v>
      </c>
      <c r="E1705" s="62" t="s">
        <v>2183</v>
      </c>
      <c r="F1705" s="62" t="s">
        <v>2183</v>
      </c>
      <c r="G1705" s="62" t="s">
        <v>2184</v>
      </c>
      <c r="H1705" s="62" t="s">
        <v>59</v>
      </c>
      <c r="I1705" s="62" t="s">
        <v>47</v>
      </c>
      <c r="J1705" s="62" t="s">
        <v>146</v>
      </c>
      <c r="K1705" s="62" t="s">
        <v>209</v>
      </c>
      <c r="L1705" s="62" t="s">
        <v>4</v>
      </c>
      <c r="M1705" s="62" t="n">
        <v>1</v>
      </c>
      <c r="N1705" s="62" t="n">
        <v>0</v>
      </c>
      <c r="O1705" s="62" t="n">
        <v>1</v>
      </c>
      <c r="P1705" s="62" t="n">
        <v>0</v>
      </c>
      <c r="Q1705" s="62" t="n">
        <v>0</v>
      </c>
      <c r="R1705" s="62" t="n">
        <v>0</v>
      </c>
      <c r="S1705" s="62" t="n">
        <v>0</v>
      </c>
      <c r="T1705" s="62" t="n">
        <v>0</v>
      </c>
      <c r="U1705" s="62" t="s">
        <v>2056</v>
      </c>
      <c r="V1705" s="62" t="s">
        <v>2068</v>
      </c>
      <c r="W1705" s="62"/>
      <c r="X1705" s="62" t="s">
        <v>2125</v>
      </c>
      <c r="Y1705" s="62" t="s">
        <v>2059</v>
      </c>
      <c r="Z1705" s="62" t="s">
        <v>3172</v>
      </c>
      <c r="AA1705" s="62" t="s">
        <v>3173</v>
      </c>
      <c r="AB1705" s="62" t="n">
        <v>1</v>
      </c>
      <c r="AC1705" s="62" t="n">
        <v>0</v>
      </c>
      <c r="AD1705" s="62" t="n">
        <v>1</v>
      </c>
      <c r="AE1705" s="62" t="n">
        <f aca="false">IF(AND(Dashboard!$C$9="Yes",AC1705=1),0,1)</f>
        <v>1</v>
      </c>
      <c r="AF1705" s="62" t="n">
        <v>1</v>
      </c>
    </row>
    <row r="1706" customFormat="false" ht="15" hidden="false" customHeight="false" outlineLevel="0" collapsed="false">
      <c r="A1706" s="62" t="n">
        <v>1705</v>
      </c>
      <c r="B1706" s="63" t="n">
        <v>46274.0845717593</v>
      </c>
      <c r="C1706" s="64" t="n">
        <v>46273</v>
      </c>
      <c r="D1706" s="62" t="s">
        <v>501</v>
      </c>
      <c r="E1706" s="62" t="s">
        <v>2183</v>
      </c>
      <c r="F1706" s="62" t="s">
        <v>2183</v>
      </c>
      <c r="G1706" s="62" t="s">
        <v>2184</v>
      </c>
      <c r="H1706" s="62" t="s">
        <v>59</v>
      </c>
      <c r="I1706" s="62" t="s">
        <v>47</v>
      </c>
      <c r="J1706" s="62" t="s">
        <v>146</v>
      </c>
      <c r="K1706" s="62" t="s">
        <v>209</v>
      </c>
      <c r="L1706" s="62" t="s">
        <v>148</v>
      </c>
      <c r="M1706" s="62" t="n">
        <v>0</v>
      </c>
      <c r="N1706" s="62" t="n">
        <v>1</v>
      </c>
      <c r="O1706" s="62" t="n">
        <v>1</v>
      </c>
      <c r="P1706" s="62" t="n">
        <v>1</v>
      </c>
      <c r="Q1706" s="62" t="n">
        <v>0</v>
      </c>
      <c r="R1706" s="62" t="n">
        <v>0</v>
      </c>
      <c r="S1706" s="62" t="n">
        <v>0</v>
      </c>
      <c r="T1706" s="62" t="n">
        <v>0</v>
      </c>
      <c r="U1706" s="62"/>
      <c r="V1706" s="62"/>
      <c r="W1706" s="62"/>
      <c r="X1706" s="62"/>
      <c r="Y1706" s="62"/>
      <c r="Z1706" s="62" t="s">
        <v>3172</v>
      </c>
      <c r="AA1706" s="62" t="s">
        <v>3174</v>
      </c>
      <c r="AB1706" s="62" t="n">
        <v>1</v>
      </c>
      <c r="AC1706" s="62" t="n">
        <v>0</v>
      </c>
      <c r="AD1706" s="62" t="n">
        <v>1</v>
      </c>
      <c r="AE1706" s="62" t="n">
        <f aca="false">IF(AND(Dashboard!$C$9="Yes",AC1706=1),0,1)</f>
        <v>1</v>
      </c>
      <c r="AF1706" s="62" t="n">
        <v>0</v>
      </c>
    </row>
    <row r="1707" customFormat="false" ht="15" hidden="false" customHeight="false" outlineLevel="0" collapsed="false">
      <c r="A1707" s="62" t="n">
        <v>1706</v>
      </c>
      <c r="B1707" s="63" t="n">
        <v>46274.099537037</v>
      </c>
      <c r="C1707" s="64" t="n">
        <v>46273</v>
      </c>
      <c r="D1707" s="62" t="s">
        <v>501</v>
      </c>
      <c r="E1707" s="62" t="s">
        <v>3061</v>
      </c>
      <c r="F1707" s="62" t="s">
        <v>3061</v>
      </c>
      <c r="G1707" s="62" t="s">
        <v>3062</v>
      </c>
      <c r="H1707" s="62" t="s">
        <v>44</v>
      </c>
      <c r="I1707" s="62" t="s">
        <v>49</v>
      </c>
      <c r="J1707" s="62" t="s">
        <v>146</v>
      </c>
      <c r="K1707" s="62" t="s">
        <v>147</v>
      </c>
      <c r="L1707" s="62" t="s">
        <v>4</v>
      </c>
      <c r="M1707" s="62" t="n">
        <v>1</v>
      </c>
      <c r="N1707" s="62" t="n">
        <v>0</v>
      </c>
      <c r="O1707" s="62" t="n">
        <v>1</v>
      </c>
      <c r="P1707" s="62" t="n">
        <v>0</v>
      </c>
      <c r="Q1707" s="62" t="n">
        <v>0</v>
      </c>
      <c r="R1707" s="62" t="n">
        <v>0</v>
      </c>
      <c r="S1707" s="62" t="n">
        <v>0</v>
      </c>
      <c r="T1707" s="62" t="n">
        <v>0</v>
      </c>
      <c r="U1707" s="62" t="s">
        <v>2056</v>
      </c>
      <c r="V1707" s="62" t="s">
        <v>2057</v>
      </c>
      <c r="W1707" s="62" t="s">
        <v>15</v>
      </c>
      <c r="X1707" s="62" t="s">
        <v>2253</v>
      </c>
      <c r="Y1707" s="62" t="s">
        <v>2059</v>
      </c>
      <c r="Z1707" s="62" t="s">
        <v>3175</v>
      </c>
      <c r="AA1707" s="62" t="s">
        <v>3176</v>
      </c>
      <c r="AB1707" s="62" t="n">
        <v>1</v>
      </c>
      <c r="AC1707" s="62" t="n">
        <v>0</v>
      </c>
      <c r="AD1707" s="62" t="n">
        <v>1</v>
      </c>
      <c r="AE1707" s="62" t="n">
        <f aca="false">IF(AND(Dashboard!$C$9="Yes",AC1707=1),0,1)</f>
        <v>1</v>
      </c>
      <c r="AF1707" s="62" t="n">
        <v>0</v>
      </c>
    </row>
    <row r="1708" customFormat="false" ht="15" hidden="false" customHeight="false" outlineLevel="0" collapsed="false">
      <c r="A1708" s="62" t="n">
        <v>1707</v>
      </c>
      <c r="B1708" s="63" t="n">
        <v>46274.1086342593</v>
      </c>
      <c r="C1708" s="64" t="n">
        <v>46273</v>
      </c>
      <c r="D1708" s="62" t="s">
        <v>501</v>
      </c>
      <c r="E1708" s="62" t="s">
        <v>1155</v>
      </c>
      <c r="F1708" s="62" t="s">
        <v>1155</v>
      </c>
      <c r="G1708" s="62" t="s">
        <v>1156</v>
      </c>
      <c r="H1708" s="62" t="s">
        <v>59</v>
      </c>
      <c r="I1708" s="62" t="s">
        <v>47</v>
      </c>
      <c r="J1708" s="62" t="s">
        <v>146</v>
      </c>
      <c r="K1708" s="62" t="s">
        <v>209</v>
      </c>
      <c r="L1708" s="62" t="s">
        <v>148</v>
      </c>
      <c r="M1708" s="62" t="n">
        <v>0</v>
      </c>
      <c r="N1708" s="62" t="n">
        <v>2</v>
      </c>
      <c r="O1708" s="62" t="n">
        <v>2</v>
      </c>
      <c r="P1708" s="62" t="n">
        <v>0</v>
      </c>
      <c r="Q1708" s="62" t="n">
        <v>0</v>
      </c>
      <c r="R1708" s="62" t="n">
        <v>2</v>
      </c>
      <c r="S1708" s="62" t="n">
        <v>0</v>
      </c>
      <c r="T1708" s="62" t="n">
        <v>0</v>
      </c>
      <c r="U1708" s="62"/>
      <c r="V1708" s="62"/>
      <c r="W1708" s="62"/>
      <c r="X1708" s="62"/>
      <c r="Y1708" s="62"/>
      <c r="Z1708" s="62" t="s">
        <v>3177</v>
      </c>
      <c r="AA1708" s="62" t="s">
        <v>3178</v>
      </c>
      <c r="AB1708" s="62" t="n">
        <v>1</v>
      </c>
      <c r="AC1708" s="62" t="n">
        <v>0</v>
      </c>
      <c r="AD1708" s="62" t="n">
        <v>1</v>
      </c>
      <c r="AE1708" s="62" t="n">
        <f aca="false">IF(AND(Dashboard!$C$9="Yes",AC1708=1),0,1)</f>
        <v>1</v>
      </c>
      <c r="AF1708" s="62" t="n">
        <v>0</v>
      </c>
    </row>
    <row r="1709" customFormat="false" ht="15" hidden="false" customHeight="false" outlineLevel="0" collapsed="false">
      <c r="A1709" s="62" t="n">
        <v>1708</v>
      </c>
      <c r="B1709" s="63" t="n">
        <v>46274.1091782407</v>
      </c>
      <c r="C1709" s="64" t="n">
        <v>46273</v>
      </c>
      <c r="D1709" s="62" t="s">
        <v>501</v>
      </c>
      <c r="E1709" s="62" t="s">
        <v>865</v>
      </c>
      <c r="F1709" s="62" t="s">
        <v>865</v>
      </c>
      <c r="G1709" s="62" t="s">
        <v>866</v>
      </c>
      <c r="H1709" s="62" t="s">
        <v>46</v>
      </c>
      <c r="I1709" s="62" t="s">
        <v>47</v>
      </c>
      <c r="J1709" s="62" t="s">
        <v>146</v>
      </c>
      <c r="K1709" s="62" t="s">
        <v>209</v>
      </c>
      <c r="L1709" s="62" t="s">
        <v>148</v>
      </c>
      <c r="M1709" s="62" t="n">
        <v>0</v>
      </c>
      <c r="N1709" s="62" t="n">
        <v>3</v>
      </c>
      <c r="O1709" s="62" t="n">
        <v>3</v>
      </c>
      <c r="P1709" s="62" t="n">
        <v>1</v>
      </c>
      <c r="Q1709" s="62" t="n">
        <v>1</v>
      </c>
      <c r="R1709" s="62" t="n">
        <v>0</v>
      </c>
      <c r="S1709" s="62" t="n">
        <v>0</v>
      </c>
      <c r="T1709" s="62" t="n">
        <v>1</v>
      </c>
      <c r="U1709" s="62"/>
      <c r="V1709" s="62"/>
      <c r="W1709" s="62"/>
      <c r="X1709" s="62"/>
      <c r="Y1709" s="62"/>
      <c r="Z1709" s="62" t="s">
        <v>3179</v>
      </c>
      <c r="AA1709" s="62" t="s">
        <v>3180</v>
      </c>
      <c r="AB1709" s="62" t="n">
        <v>1</v>
      </c>
      <c r="AC1709" s="62" t="n">
        <v>0</v>
      </c>
      <c r="AD1709" s="62" t="n">
        <v>1</v>
      </c>
      <c r="AE1709" s="62" t="n">
        <f aca="false">IF(AND(Dashboard!$C$9="Yes",AC1709=1),0,1)</f>
        <v>1</v>
      </c>
      <c r="AF1709" s="62" t="n">
        <v>1</v>
      </c>
    </row>
    <row r="1710" customFormat="false" ht="15" hidden="false" customHeight="false" outlineLevel="0" collapsed="false">
      <c r="A1710" s="62" t="n">
        <v>1709</v>
      </c>
      <c r="B1710" s="63" t="n">
        <v>46274.1150694444</v>
      </c>
      <c r="C1710" s="64" t="n">
        <v>46273</v>
      </c>
      <c r="D1710" s="62" t="s">
        <v>501</v>
      </c>
      <c r="E1710" s="62" t="s">
        <v>3181</v>
      </c>
      <c r="F1710" s="62" t="s">
        <v>3181</v>
      </c>
      <c r="G1710" s="62" t="s">
        <v>3182</v>
      </c>
      <c r="H1710" s="62" t="s">
        <v>58</v>
      </c>
      <c r="I1710" s="62" t="s">
        <v>49</v>
      </c>
      <c r="J1710" s="62" t="s">
        <v>146</v>
      </c>
      <c r="K1710" s="62" t="s">
        <v>209</v>
      </c>
      <c r="L1710" s="62" t="s">
        <v>148</v>
      </c>
      <c r="M1710" s="62" t="n">
        <v>0</v>
      </c>
      <c r="N1710" s="62" t="n">
        <v>2</v>
      </c>
      <c r="O1710" s="62" t="n">
        <v>2</v>
      </c>
      <c r="P1710" s="62" t="n">
        <v>1</v>
      </c>
      <c r="Q1710" s="62" t="n">
        <v>1</v>
      </c>
      <c r="R1710" s="62" t="n">
        <v>0</v>
      </c>
      <c r="S1710" s="62" t="n">
        <v>0</v>
      </c>
      <c r="T1710" s="62" t="n">
        <v>0</v>
      </c>
      <c r="U1710" s="62"/>
      <c r="V1710" s="62"/>
      <c r="W1710" s="62"/>
      <c r="X1710" s="62"/>
      <c r="Y1710" s="62"/>
      <c r="Z1710" s="62" t="s">
        <v>3183</v>
      </c>
      <c r="AA1710" s="62" t="s">
        <v>3184</v>
      </c>
      <c r="AB1710" s="62" t="n">
        <v>1</v>
      </c>
      <c r="AC1710" s="62" t="n">
        <v>0</v>
      </c>
      <c r="AD1710" s="62" t="n">
        <v>1</v>
      </c>
      <c r="AE1710" s="62" t="n">
        <f aca="false">IF(AND(Dashboard!$C$9="Yes",AC1710=1),0,1)</f>
        <v>1</v>
      </c>
      <c r="AF1710" s="62" t="n">
        <v>1</v>
      </c>
    </row>
    <row r="1711" customFormat="false" ht="15" hidden="false" customHeight="false" outlineLevel="0" collapsed="false">
      <c r="A1711" s="62" t="n">
        <v>1710</v>
      </c>
      <c r="B1711" s="63" t="n">
        <v>46274.1164467593</v>
      </c>
      <c r="C1711" s="64" t="n">
        <v>46273</v>
      </c>
      <c r="D1711" s="62" t="s">
        <v>501</v>
      </c>
      <c r="E1711" s="62" t="s">
        <v>1732</v>
      </c>
      <c r="F1711" s="62" t="s">
        <v>1732</v>
      </c>
      <c r="G1711" s="62" t="s">
        <v>1733</v>
      </c>
      <c r="H1711" s="62" t="s">
        <v>58</v>
      </c>
      <c r="I1711" s="62" t="s">
        <v>49</v>
      </c>
      <c r="J1711" s="62" t="s">
        <v>146</v>
      </c>
      <c r="K1711" s="62" t="s">
        <v>209</v>
      </c>
      <c r="L1711" s="62" t="s">
        <v>148</v>
      </c>
      <c r="M1711" s="62" t="n">
        <v>0</v>
      </c>
      <c r="N1711" s="62" t="n">
        <v>1</v>
      </c>
      <c r="O1711" s="62" t="n">
        <v>1</v>
      </c>
      <c r="P1711" s="62" t="n">
        <v>1</v>
      </c>
      <c r="Q1711" s="62" t="n">
        <v>0</v>
      </c>
      <c r="R1711" s="62" t="n">
        <v>0</v>
      </c>
      <c r="S1711" s="62" t="n">
        <v>0</v>
      </c>
      <c r="T1711" s="62" t="n">
        <v>0</v>
      </c>
      <c r="U1711" s="62"/>
      <c r="V1711" s="62"/>
      <c r="W1711" s="62"/>
      <c r="X1711" s="62"/>
      <c r="Y1711" s="62"/>
      <c r="Z1711" s="62" t="s">
        <v>3185</v>
      </c>
      <c r="AA1711" s="62" t="s">
        <v>3186</v>
      </c>
      <c r="AB1711" s="62" t="n">
        <v>1</v>
      </c>
      <c r="AC1711" s="62" t="n">
        <v>0</v>
      </c>
      <c r="AD1711" s="62" t="n">
        <v>1</v>
      </c>
      <c r="AE1711" s="62" t="n">
        <f aca="false">IF(AND(Dashboard!$C$9="Yes",AC1711=1),0,1)</f>
        <v>1</v>
      </c>
      <c r="AF1711" s="62" t="n">
        <v>0</v>
      </c>
    </row>
    <row r="1712" customFormat="false" ht="15" hidden="false" customHeight="false" outlineLevel="0" collapsed="false">
      <c r="A1712" s="62" t="n">
        <v>1711</v>
      </c>
      <c r="B1712" s="63" t="n">
        <v>46274.1203587963</v>
      </c>
      <c r="C1712" s="64" t="n">
        <v>46273</v>
      </c>
      <c r="D1712" s="62" t="s">
        <v>501</v>
      </c>
      <c r="E1712" s="62" t="s">
        <v>144</v>
      </c>
      <c r="F1712" s="62" t="s">
        <v>144</v>
      </c>
      <c r="G1712" s="62" t="s">
        <v>145</v>
      </c>
      <c r="H1712" s="62" t="s">
        <v>59</v>
      </c>
      <c r="I1712" s="62" t="s">
        <v>47</v>
      </c>
      <c r="J1712" s="62" t="s">
        <v>146</v>
      </c>
      <c r="K1712" s="62" t="s">
        <v>147</v>
      </c>
      <c r="L1712" s="62" t="s">
        <v>4</v>
      </c>
      <c r="M1712" s="62" t="n">
        <v>1</v>
      </c>
      <c r="N1712" s="62" t="n">
        <v>0</v>
      </c>
      <c r="O1712" s="62" t="n">
        <v>1</v>
      </c>
      <c r="P1712" s="62" t="n">
        <v>0</v>
      </c>
      <c r="Q1712" s="62" t="n">
        <v>0</v>
      </c>
      <c r="R1712" s="62" t="n">
        <v>0</v>
      </c>
      <c r="S1712" s="62" t="n">
        <v>0</v>
      </c>
      <c r="T1712" s="62" t="n">
        <v>0</v>
      </c>
      <c r="U1712" s="62" t="s">
        <v>2056</v>
      </c>
      <c r="V1712" s="62" t="s">
        <v>2057</v>
      </c>
      <c r="W1712" s="62" t="s">
        <v>15</v>
      </c>
      <c r="X1712" s="62" t="s">
        <v>2058</v>
      </c>
      <c r="Y1712" s="62" t="s">
        <v>2059</v>
      </c>
      <c r="Z1712" s="62" t="s">
        <v>3187</v>
      </c>
      <c r="AA1712" s="62" t="s">
        <v>3188</v>
      </c>
      <c r="AB1712" s="62" t="n">
        <v>1</v>
      </c>
      <c r="AC1712" s="62" t="n">
        <v>0</v>
      </c>
      <c r="AD1712" s="62" t="n">
        <v>1</v>
      </c>
      <c r="AE1712" s="62" t="n">
        <f aca="false">IF(AND(Dashboard!$C$9="Yes",AC1712=1),0,1)</f>
        <v>1</v>
      </c>
      <c r="AF1712" s="62" t="n">
        <v>1</v>
      </c>
    </row>
    <row r="1713" customFormat="false" ht="15" hidden="false" customHeight="false" outlineLevel="0" collapsed="false">
      <c r="A1713" s="62" t="n">
        <v>1712</v>
      </c>
      <c r="B1713" s="63" t="n">
        <v>46274.1206828704</v>
      </c>
      <c r="C1713" s="64" t="n">
        <v>46273</v>
      </c>
      <c r="D1713" s="62" t="s">
        <v>501</v>
      </c>
      <c r="E1713" s="62" t="s">
        <v>144</v>
      </c>
      <c r="F1713" s="62" t="s">
        <v>144</v>
      </c>
      <c r="G1713" s="62" t="s">
        <v>145</v>
      </c>
      <c r="H1713" s="62" t="s">
        <v>59</v>
      </c>
      <c r="I1713" s="62" t="s">
        <v>47</v>
      </c>
      <c r="J1713" s="62" t="s">
        <v>146</v>
      </c>
      <c r="K1713" s="62" t="s">
        <v>147</v>
      </c>
      <c r="L1713" s="62" t="s">
        <v>4</v>
      </c>
      <c r="M1713" s="62" t="n">
        <v>1</v>
      </c>
      <c r="N1713" s="62" t="n">
        <v>0</v>
      </c>
      <c r="O1713" s="62" t="n">
        <v>1</v>
      </c>
      <c r="P1713" s="62" t="n">
        <v>0</v>
      </c>
      <c r="Q1713" s="62" t="n">
        <v>0</v>
      </c>
      <c r="R1713" s="62" t="n">
        <v>0</v>
      </c>
      <c r="S1713" s="62" t="n">
        <v>0</v>
      </c>
      <c r="T1713" s="62" t="n">
        <v>0</v>
      </c>
      <c r="U1713" s="62" t="s">
        <v>2056</v>
      </c>
      <c r="V1713" s="62" t="s">
        <v>2057</v>
      </c>
      <c r="W1713" s="62" t="s">
        <v>15</v>
      </c>
      <c r="X1713" s="62" t="s">
        <v>2058</v>
      </c>
      <c r="Y1713" s="62" t="s">
        <v>2059</v>
      </c>
      <c r="Z1713" s="62" t="s">
        <v>3187</v>
      </c>
      <c r="AA1713" s="62" t="s">
        <v>3188</v>
      </c>
      <c r="AB1713" s="62" t="n">
        <v>1</v>
      </c>
      <c r="AC1713" s="62" t="n">
        <v>1</v>
      </c>
      <c r="AD1713" s="62" t="n">
        <v>1</v>
      </c>
      <c r="AE1713" s="62" t="n">
        <f aca="false">IF(AND(Dashboard!$C$9="Yes",AC1713=1),0,1)</f>
        <v>0</v>
      </c>
      <c r="AF1713" s="62" t="n">
        <v>0</v>
      </c>
    </row>
    <row r="1714" customFormat="false" ht="15" hidden="false" customHeight="false" outlineLevel="0" collapsed="false">
      <c r="A1714" s="62" t="n">
        <v>1713</v>
      </c>
      <c r="B1714" s="63" t="n">
        <v>46274.1210416667</v>
      </c>
      <c r="C1714" s="64" t="n">
        <v>46273</v>
      </c>
      <c r="D1714" s="62" t="s">
        <v>501</v>
      </c>
      <c r="E1714" s="62" t="s">
        <v>144</v>
      </c>
      <c r="F1714" s="62" t="s">
        <v>144</v>
      </c>
      <c r="G1714" s="62" t="s">
        <v>145</v>
      </c>
      <c r="H1714" s="62" t="s">
        <v>59</v>
      </c>
      <c r="I1714" s="62" t="s">
        <v>47</v>
      </c>
      <c r="J1714" s="62" t="s">
        <v>146</v>
      </c>
      <c r="K1714" s="62" t="s">
        <v>147</v>
      </c>
      <c r="L1714" s="62" t="s">
        <v>4</v>
      </c>
      <c r="M1714" s="62" t="n">
        <v>1</v>
      </c>
      <c r="N1714" s="62" t="n">
        <v>0</v>
      </c>
      <c r="O1714" s="62" t="n">
        <v>1</v>
      </c>
      <c r="P1714" s="62" t="n">
        <v>0</v>
      </c>
      <c r="Q1714" s="62" t="n">
        <v>0</v>
      </c>
      <c r="R1714" s="62" t="n">
        <v>0</v>
      </c>
      <c r="S1714" s="62" t="n">
        <v>0</v>
      </c>
      <c r="T1714" s="62" t="n">
        <v>0</v>
      </c>
      <c r="U1714" s="62" t="s">
        <v>2056</v>
      </c>
      <c r="V1714" s="62" t="s">
        <v>2057</v>
      </c>
      <c r="W1714" s="62" t="s">
        <v>15</v>
      </c>
      <c r="X1714" s="62" t="s">
        <v>2058</v>
      </c>
      <c r="Y1714" s="62" t="s">
        <v>2059</v>
      </c>
      <c r="Z1714" s="62" t="s">
        <v>3187</v>
      </c>
      <c r="AA1714" s="62" t="s">
        <v>3188</v>
      </c>
      <c r="AB1714" s="62" t="n">
        <v>1</v>
      </c>
      <c r="AC1714" s="62" t="n">
        <v>1</v>
      </c>
      <c r="AD1714" s="62" t="n">
        <v>1</v>
      </c>
      <c r="AE1714" s="62" t="n">
        <f aca="false">IF(AND(Dashboard!$C$9="Yes",AC1714=1),0,1)</f>
        <v>0</v>
      </c>
      <c r="AF1714" s="62" t="n">
        <v>0</v>
      </c>
    </row>
    <row r="1715" customFormat="false" ht="15" hidden="false" customHeight="false" outlineLevel="0" collapsed="false">
      <c r="A1715" s="62" t="n">
        <v>1714</v>
      </c>
      <c r="B1715" s="63" t="n">
        <v>46274.1261689815</v>
      </c>
      <c r="C1715" s="64" t="n">
        <v>46273</v>
      </c>
      <c r="D1715" s="62" t="s">
        <v>501</v>
      </c>
      <c r="E1715" s="62" t="s">
        <v>1155</v>
      </c>
      <c r="F1715" s="62" t="s">
        <v>1155</v>
      </c>
      <c r="G1715" s="62" t="s">
        <v>1156</v>
      </c>
      <c r="H1715" s="62" t="s">
        <v>59</v>
      </c>
      <c r="I1715" s="62" t="s">
        <v>47</v>
      </c>
      <c r="J1715" s="62" t="s">
        <v>146</v>
      </c>
      <c r="K1715" s="62" t="s">
        <v>209</v>
      </c>
      <c r="L1715" s="62" t="s">
        <v>4</v>
      </c>
      <c r="M1715" s="62" t="n">
        <v>1</v>
      </c>
      <c r="N1715" s="62" t="n">
        <v>0</v>
      </c>
      <c r="O1715" s="62" t="n">
        <v>1</v>
      </c>
      <c r="P1715" s="62" t="n">
        <v>0</v>
      </c>
      <c r="Q1715" s="62" t="n">
        <v>0</v>
      </c>
      <c r="R1715" s="62" t="n">
        <v>0</v>
      </c>
      <c r="S1715" s="62" t="n">
        <v>0</v>
      </c>
      <c r="T1715" s="62" t="n">
        <v>0</v>
      </c>
      <c r="U1715" s="62" t="s">
        <v>2056</v>
      </c>
      <c r="V1715" s="62" t="s">
        <v>2057</v>
      </c>
      <c r="W1715" s="62" t="s">
        <v>15</v>
      </c>
      <c r="X1715" s="62" t="s">
        <v>2058</v>
      </c>
      <c r="Y1715" s="62" t="s">
        <v>2059</v>
      </c>
      <c r="Z1715" s="62" t="s">
        <v>3177</v>
      </c>
      <c r="AA1715" s="62" t="s">
        <v>3189</v>
      </c>
      <c r="AB1715" s="62" t="n">
        <v>1</v>
      </c>
      <c r="AC1715" s="62" t="n">
        <v>0</v>
      </c>
      <c r="AD1715" s="62" t="n">
        <v>1</v>
      </c>
      <c r="AE1715" s="62" t="n">
        <f aca="false">IF(AND(Dashboard!$C$9="Yes",AC1715=1),0,1)</f>
        <v>1</v>
      </c>
      <c r="AF1715" s="62" t="n">
        <v>0</v>
      </c>
    </row>
    <row r="1716" customFormat="false" ht="15" hidden="false" customHeight="false" outlineLevel="0" collapsed="false">
      <c r="A1716" s="62" t="n">
        <v>1715</v>
      </c>
      <c r="B1716" s="63" t="n">
        <v>46274.1380439815</v>
      </c>
      <c r="C1716" s="64" t="n">
        <v>46273</v>
      </c>
      <c r="D1716" s="62" t="s">
        <v>501</v>
      </c>
      <c r="E1716" s="62" t="s">
        <v>3061</v>
      </c>
      <c r="F1716" s="62" t="s">
        <v>3061</v>
      </c>
      <c r="G1716" s="62" t="s">
        <v>3062</v>
      </c>
      <c r="H1716" s="62" t="s">
        <v>44</v>
      </c>
      <c r="I1716" s="62" t="s">
        <v>49</v>
      </c>
      <c r="J1716" s="62" t="s">
        <v>146</v>
      </c>
      <c r="K1716" s="62" t="s">
        <v>147</v>
      </c>
      <c r="L1716" s="62" t="s">
        <v>148</v>
      </c>
      <c r="M1716" s="62" t="n">
        <v>0</v>
      </c>
      <c r="N1716" s="62" t="n">
        <v>1</v>
      </c>
      <c r="O1716" s="62" t="n">
        <v>1</v>
      </c>
      <c r="P1716" s="62" t="n">
        <v>1</v>
      </c>
      <c r="Q1716" s="62" t="n">
        <v>0</v>
      </c>
      <c r="R1716" s="62" t="n">
        <v>0</v>
      </c>
      <c r="S1716" s="62" t="n">
        <v>0</v>
      </c>
      <c r="T1716" s="62" t="n">
        <v>0</v>
      </c>
      <c r="U1716" s="62"/>
      <c r="V1716" s="62"/>
      <c r="W1716" s="62"/>
      <c r="X1716" s="62"/>
      <c r="Y1716" s="62"/>
      <c r="Z1716" s="62" t="s">
        <v>3175</v>
      </c>
      <c r="AA1716" s="62" t="s">
        <v>3190</v>
      </c>
      <c r="AB1716" s="62" t="n">
        <v>1</v>
      </c>
      <c r="AC1716" s="62" t="n">
        <v>0</v>
      </c>
      <c r="AD1716" s="62" t="n">
        <v>1</v>
      </c>
      <c r="AE1716" s="62" t="n">
        <f aca="false">IF(AND(Dashboard!$C$9="Yes",AC1716=1),0,1)</f>
        <v>1</v>
      </c>
      <c r="AF1716" s="62" t="n">
        <v>0</v>
      </c>
    </row>
    <row r="1717" customFormat="false" ht="15" hidden="false" customHeight="false" outlineLevel="0" collapsed="false">
      <c r="A1717" s="62" t="n">
        <v>1716</v>
      </c>
      <c r="B1717" s="63" t="n">
        <v>46274.1724305556</v>
      </c>
      <c r="C1717" s="64" t="n">
        <v>46273</v>
      </c>
      <c r="D1717" s="62" t="s">
        <v>501</v>
      </c>
      <c r="E1717" s="62" t="s">
        <v>2645</v>
      </c>
      <c r="F1717" s="62" t="s">
        <v>2645</v>
      </c>
      <c r="G1717" s="62" t="s">
        <v>2646</v>
      </c>
      <c r="H1717" s="62" t="s">
        <v>57</v>
      </c>
      <c r="I1717" s="62" t="s">
        <v>47</v>
      </c>
      <c r="J1717" s="62" t="s">
        <v>146</v>
      </c>
      <c r="K1717" s="62" t="s">
        <v>175</v>
      </c>
      <c r="L1717" s="62" t="s">
        <v>148</v>
      </c>
      <c r="M1717" s="62" t="n">
        <v>0</v>
      </c>
      <c r="N1717" s="62" t="n">
        <v>1</v>
      </c>
      <c r="O1717" s="62" t="n">
        <v>1</v>
      </c>
      <c r="P1717" s="62" t="n">
        <v>1</v>
      </c>
      <c r="Q1717" s="62" t="n">
        <v>0</v>
      </c>
      <c r="R1717" s="62" t="n">
        <v>0</v>
      </c>
      <c r="S1717" s="62" t="n">
        <v>0</v>
      </c>
      <c r="T1717" s="62" t="n">
        <v>0</v>
      </c>
      <c r="U1717" s="62"/>
      <c r="V1717" s="62"/>
      <c r="W1717" s="62"/>
      <c r="X1717" s="62"/>
      <c r="Y1717" s="62"/>
      <c r="Z1717" s="62" t="s">
        <v>3191</v>
      </c>
      <c r="AA1717" s="62" t="s">
        <v>3192</v>
      </c>
      <c r="AB1717" s="62" t="n">
        <v>1</v>
      </c>
      <c r="AC1717" s="62" t="n">
        <v>0</v>
      </c>
      <c r="AD1717" s="62" t="n">
        <v>1</v>
      </c>
      <c r="AE1717" s="62" t="n">
        <f aca="false">IF(AND(Dashboard!$C$9="Yes",AC1717=1),0,1)</f>
        <v>1</v>
      </c>
      <c r="AF1717" s="62" t="n">
        <v>1</v>
      </c>
    </row>
    <row r="1718" customFormat="false" ht="15" hidden="false" customHeight="false" outlineLevel="0" collapsed="false">
      <c r="A1718" s="62" t="n">
        <v>1717</v>
      </c>
      <c r="B1718" s="63" t="n">
        <v>46274.1828819444</v>
      </c>
      <c r="C1718" s="64" t="n">
        <v>46273</v>
      </c>
      <c r="D1718" s="62" t="s">
        <v>501</v>
      </c>
      <c r="E1718" s="62" t="s">
        <v>2228</v>
      </c>
      <c r="F1718" s="62" t="s">
        <v>2228</v>
      </c>
      <c r="G1718" s="62" t="s">
        <v>2229</v>
      </c>
      <c r="H1718" s="62" t="s">
        <v>58</v>
      </c>
      <c r="I1718" s="62" t="s">
        <v>49</v>
      </c>
      <c r="J1718" s="62" t="s">
        <v>146</v>
      </c>
      <c r="K1718" s="62" t="s">
        <v>209</v>
      </c>
      <c r="L1718" s="62" t="s">
        <v>148</v>
      </c>
      <c r="M1718" s="62" t="n">
        <v>0</v>
      </c>
      <c r="N1718" s="62" t="n">
        <v>2</v>
      </c>
      <c r="O1718" s="62" t="n">
        <v>2</v>
      </c>
      <c r="P1718" s="62" t="n">
        <v>1</v>
      </c>
      <c r="Q1718" s="62" t="n">
        <v>1</v>
      </c>
      <c r="R1718" s="62" t="n">
        <v>0</v>
      </c>
      <c r="S1718" s="62" t="n">
        <v>0</v>
      </c>
      <c r="T1718" s="62" t="n">
        <v>0</v>
      </c>
      <c r="U1718" s="62"/>
      <c r="V1718" s="62"/>
      <c r="W1718" s="62"/>
      <c r="X1718" s="62"/>
      <c r="Y1718" s="62"/>
      <c r="Z1718" s="62" t="s">
        <v>3193</v>
      </c>
      <c r="AA1718" s="62" t="s">
        <v>3194</v>
      </c>
      <c r="AB1718" s="62" t="n">
        <v>1</v>
      </c>
      <c r="AC1718" s="62" t="n">
        <v>0</v>
      </c>
      <c r="AD1718" s="62" t="n">
        <v>1</v>
      </c>
      <c r="AE1718" s="62" t="n">
        <f aca="false">IF(AND(Dashboard!$C$9="Yes",AC1718=1),0,1)</f>
        <v>1</v>
      </c>
      <c r="AF1718" s="62" t="n">
        <v>0</v>
      </c>
    </row>
    <row r="1719" customFormat="false" ht="15" hidden="false" customHeight="false" outlineLevel="0" collapsed="false">
      <c r="A1719" s="62" t="n">
        <v>1718</v>
      </c>
      <c r="B1719" s="63" t="n">
        <v>46274.2166087963</v>
      </c>
      <c r="C1719" s="64" t="n">
        <v>46273</v>
      </c>
      <c r="D1719" s="62" t="s">
        <v>501</v>
      </c>
      <c r="E1719" s="62" t="s">
        <v>2476</v>
      </c>
      <c r="F1719" s="62" t="s">
        <v>2476</v>
      </c>
      <c r="G1719" s="62" t="s">
        <v>2477</v>
      </c>
      <c r="H1719" s="62" t="s">
        <v>51</v>
      </c>
      <c r="I1719" s="62" t="s">
        <v>47</v>
      </c>
      <c r="J1719" s="62" t="s">
        <v>146</v>
      </c>
      <c r="K1719" s="62" t="s">
        <v>209</v>
      </c>
      <c r="L1719" s="62" t="s">
        <v>4</v>
      </c>
      <c r="M1719" s="62" t="n">
        <v>1</v>
      </c>
      <c r="N1719" s="62" t="n">
        <v>0</v>
      </c>
      <c r="O1719" s="62" t="n">
        <v>1</v>
      </c>
      <c r="P1719" s="62" t="n">
        <v>0</v>
      </c>
      <c r="Q1719" s="62" t="n">
        <v>0</v>
      </c>
      <c r="R1719" s="62" t="n">
        <v>0</v>
      </c>
      <c r="S1719" s="62" t="n">
        <v>0</v>
      </c>
      <c r="T1719" s="62" t="n">
        <v>0</v>
      </c>
      <c r="U1719" s="62" t="s">
        <v>2056</v>
      </c>
      <c r="V1719" s="62" t="s">
        <v>2057</v>
      </c>
      <c r="W1719" s="62" t="s">
        <v>15</v>
      </c>
      <c r="X1719" s="62"/>
      <c r="Y1719" s="62" t="s">
        <v>2059</v>
      </c>
      <c r="Z1719" s="62" t="s">
        <v>3195</v>
      </c>
      <c r="AA1719" s="62" t="s">
        <v>3196</v>
      </c>
      <c r="AB1719" s="62" t="n">
        <v>1</v>
      </c>
      <c r="AC1719" s="62" t="n">
        <v>0</v>
      </c>
      <c r="AD1719" s="62" t="n">
        <v>1</v>
      </c>
      <c r="AE1719" s="62" t="n">
        <f aca="false">IF(AND(Dashboard!$C$9="Yes",AC1719=1),0,1)</f>
        <v>1</v>
      </c>
      <c r="AF1719" s="62" t="n">
        <v>0</v>
      </c>
    </row>
    <row r="1720" customFormat="false" ht="15" hidden="false" customHeight="false" outlineLevel="0" collapsed="false">
      <c r="A1720" s="62" t="n">
        <v>1719</v>
      </c>
      <c r="B1720" s="63" t="n">
        <v>46274.2255208333</v>
      </c>
      <c r="C1720" s="64" t="n">
        <v>46273</v>
      </c>
      <c r="D1720" s="62" t="s">
        <v>501</v>
      </c>
      <c r="E1720" s="62" t="s">
        <v>3197</v>
      </c>
      <c r="F1720" s="62" t="s">
        <v>3197</v>
      </c>
      <c r="G1720" s="62" t="s">
        <v>3198</v>
      </c>
      <c r="H1720" s="62" t="s">
        <v>44</v>
      </c>
      <c r="I1720" s="62" t="s">
        <v>49</v>
      </c>
      <c r="J1720" s="62" t="s">
        <v>146</v>
      </c>
      <c r="K1720" s="62" t="s">
        <v>147</v>
      </c>
      <c r="L1720" s="62" t="s">
        <v>148</v>
      </c>
      <c r="M1720" s="62" t="n">
        <v>0</v>
      </c>
      <c r="N1720" s="62" t="n">
        <v>1</v>
      </c>
      <c r="O1720" s="62" t="n">
        <v>1</v>
      </c>
      <c r="P1720" s="62" t="n">
        <v>0</v>
      </c>
      <c r="Q1720" s="62" t="n">
        <v>0</v>
      </c>
      <c r="R1720" s="62" t="n">
        <v>1</v>
      </c>
      <c r="S1720" s="62" t="n">
        <v>0</v>
      </c>
      <c r="T1720" s="62" t="n">
        <v>0</v>
      </c>
      <c r="U1720" s="62"/>
      <c r="V1720" s="62"/>
      <c r="W1720" s="62"/>
      <c r="X1720" s="62"/>
      <c r="Y1720" s="62"/>
      <c r="Z1720" s="62" t="s">
        <v>3199</v>
      </c>
      <c r="AA1720" s="62" t="s">
        <v>3200</v>
      </c>
      <c r="AB1720" s="62" t="n">
        <v>1</v>
      </c>
      <c r="AC1720" s="62" t="n">
        <v>0</v>
      </c>
      <c r="AD1720" s="62" t="n">
        <v>1</v>
      </c>
      <c r="AE1720" s="62" t="n">
        <f aca="false">IF(AND(Dashboard!$C$9="Yes",AC1720=1),0,1)</f>
        <v>1</v>
      </c>
      <c r="AF1720" s="62" t="n">
        <v>1</v>
      </c>
    </row>
    <row r="1721" customFormat="false" ht="15" hidden="false" customHeight="false" outlineLevel="0" collapsed="false">
      <c r="A1721" s="62" t="n">
        <v>1720</v>
      </c>
      <c r="B1721" s="63" t="n">
        <v>46274.2258912037</v>
      </c>
      <c r="C1721" s="64" t="n">
        <v>46273</v>
      </c>
      <c r="D1721" s="62" t="s">
        <v>501</v>
      </c>
      <c r="E1721" s="62" t="s">
        <v>1827</v>
      </c>
      <c r="F1721" s="62" t="s">
        <v>1827</v>
      </c>
      <c r="G1721" s="62" t="s">
        <v>1828</v>
      </c>
      <c r="H1721" s="62" t="s">
        <v>59</v>
      </c>
      <c r="I1721" s="62" t="s">
        <v>47</v>
      </c>
      <c r="J1721" s="62" t="s">
        <v>146</v>
      </c>
      <c r="K1721" s="62" t="s">
        <v>209</v>
      </c>
      <c r="L1721" s="62" t="s">
        <v>4</v>
      </c>
      <c r="M1721" s="62" t="n">
        <v>1</v>
      </c>
      <c r="N1721" s="62" t="n">
        <v>0</v>
      </c>
      <c r="O1721" s="62" t="n">
        <v>1</v>
      </c>
      <c r="P1721" s="62" t="n">
        <v>0</v>
      </c>
      <c r="Q1721" s="62" t="n">
        <v>0</v>
      </c>
      <c r="R1721" s="62" t="n">
        <v>0</v>
      </c>
      <c r="S1721" s="62" t="n">
        <v>0</v>
      </c>
      <c r="T1721" s="62" t="n">
        <v>0</v>
      </c>
      <c r="U1721" s="62" t="s">
        <v>2056</v>
      </c>
      <c r="V1721" s="62" t="s">
        <v>2057</v>
      </c>
      <c r="W1721" s="62" t="s">
        <v>15</v>
      </c>
      <c r="X1721" s="62" t="s">
        <v>2103</v>
      </c>
      <c r="Y1721" s="62" t="s">
        <v>2059</v>
      </c>
      <c r="Z1721" s="62" t="s">
        <v>3201</v>
      </c>
      <c r="AA1721" s="62" t="s">
        <v>3202</v>
      </c>
      <c r="AB1721" s="62" t="n">
        <v>1</v>
      </c>
      <c r="AC1721" s="62" t="n">
        <v>0</v>
      </c>
      <c r="AD1721" s="62" t="n">
        <v>1</v>
      </c>
      <c r="AE1721" s="62" t="n">
        <f aca="false">IF(AND(Dashboard!$C$9="Yes",AC1721=1),0,1)</f>
        <v>1</v>
      </c>
      <c r="AF1721" s="62" t="n">
        <v>0</v>
      </c>
    </row>
    <row r="1722" customFormat="false" ht="15" hidden="false" customHeight="false" outlineLevel="0" collapsed="false">
      <c r="A1722" s="62" t="n">
        <v>1721</v>
      </c>
      <c r="B1722" s="63" t="n">
        <v>46274.2292592593</v>
      </c>
      <c r="C1722" s="64" t="n">
        <v>46273</v>
      </c>
      <c r="D1722" s="62" t="s">
        <v>501</v>
      </c>
      <c r="E1722" s="62" t="s">
        <v>3197</v>
      </c>
      <c r="F1722" s="62" t="s">
        <v>3197</v>
      </c>
      <c r="G1722" s="62" t="s">
        <v>3198</v>
      </c>
      <c r="H1722" s="62" t="s">
        <v>44</v>
      </c>
      <c r="I1722" s="62" t="s">
        <v>49</v>
      </c>
      <c r="J1722" s="62" t="s">
        <v>146</v>
      </c>
      <c r="K1722" s="62" t="s">
        <v>147</v>
      </c>
      <c r="L1722" s="62" t="s">
        <v>148</v>
      </c>
      <c r="M1722" s="62" t="n">
        <v>0</v>
      </c>
      <c r="N1722" s="62" t="n">
        <v>1</v>
      </c>
      <c r="O1722" s="62" t="n">
        <v>1</v>
      </c>
      <c r="P1722" s="62" t="n">
        <v>1</v>
      </c>
      <c r="Q1722" s="62" t="n">
        <v>0</v>
      </c>
      <c r="R1722" s="62" t="n">
        <v>0</v>
      </c>
      <c r="S1722" s="62" t="n">
        <v>0</v>
      </c>
      <c r="T1722" s="62" t="n">
        <v>0</v>
      </c>
      <c r="U1722" s="62"/>
      <c r="V1722" s="62"/>
      <c r="W1722" s="62"/>
      <c r="X1722" s="62"/>
      <c r="Y1722" s="62"/>
      <c r="Z1722" s="62" t="s">
        <v>3203</v>
      </c>
      <c r="AA1722" s="62" t="s">
        <v>3204</v>
      </c>
      <c r="AB1722" s="62" t="n">
        <v>1</v>
      </c>
      <c r="AC1722" s="62" t="n">
        <v>0</v>
      </c>
      <c r="AD1722" s="62" t="n">
        <v>1</v>
      </c>
      <c r="AE1722" s="62" t="n">
        <f aca="false">IF(AND(Dashboard!$C$9="Yes",AC1722=1),0,1)</f>
        <v>1</v>
      </c>
      <c r="AF1722" s="62" t="n">
        <v>0</v>
      </c>
    </row>
    <row r="1723" customFormat="false" ht="15" hidden="false" customHeight="false" outlineLevel="0" collapsed="false">
      <c r="A1723" s="62" t="n">
        <v>1722</v>
      </c>
      <c r="B1723" s="63" t="n">
        <v>46274.2567708333</v>
      </c>
      <c r="C1723" s="64" t="n">
        <v>46273</v>
      </c>
      <c r="D1723" s="62" t="s">
        <v>501</v>
      </c>
      <c r="E1723" s="62" t="s">
        <v>2395</v>
      </c>
      <c r="F1723" s="62" t="s">
        <v>2395</v>
      </c>
      <c r="G1723" s="62" t="s">
        <v>2396</v>
      </c>
      <c r="H1723" s="62" t="s">
        <v>59</v>
      </c>
      <c r="I1723" s="62" t="s">
        <v>47</v>
      </c>
      <c r="J1723" s="62" t="s">
        <v>146</v>
      </c>
      <c r="K1723" s="62" t="s">
        <v>209</v>
      </c>
      <c r="L1723" s="62" t="s">
        <v>4</v>
      </c>
      <c r="M1723" s="62" t="n">
        <v>1</v>
      </c>
      <c r="N1723" s="62" t="n">
        <v>0</v>
      </c>
      <c r="O1723" s="62" t="n">
        <v>1</v>
      </c>
      <c r="P1723" s="62" t="n">
        <v>0</v>
      </c>
      <c r="Q1723" s="62" t="n">
        <v>0</v>
      </c>
      <c r="R1723" s="62" t="n">
        <v>0</v>
      </c>
      <c r="S1723" s="62" t="n">
        <v>0</v>
      </c>
      <c r="T1723" s="62" t="n">
        <v>0</v>
      </c>
      <c r="U1723" s="62" t="s">
        <v>2056</v>
      </c>
      <c r="V1723" s="62" t="s">
        <v>2057</v>
      </c>
      <c r="W1723" s="62" t="s">
        <v>15</v>
      </c>
      <c r="X1723" s="62" t="s">
        <v>2058</v>
      </c>
      <c r="Y1723" s="62" t="s">
        <v>2103</v>
      </c>
      <c r="Z1723" s="62" t="s">
        <v>3205</v>
      </c>
      <c r="AA1723" s="62" t="s">
        <v>3206</v>
      </c>
      <c r="AB1723" s="62" t="n">
        <v>1</v>
      </c>
      <c r="AC1723" s="62" t="n">
        <v>0</v>
      </c>
      <c r="AD1723" s="62" t="n">
        <v>1</v>
      </c>
      <c r="AE1723" s="62" t="n">
        <f aca="false">IF(AND(Dashboard!$C$9="Yes",AC1723=1),0,1)</f>
        <v>1</v>
      </c>
      <c r="AF1723" s="62" t="n">
        <v>1</v>
      </c>
    </row>
    <row r="1724" customFormat="false" ht="15" hidden="false" customHeight="false" outlineLevel="0" collapsed="false">
      <c r="A1724" s="62" t="n">
        <v>1723</v>
      </c>
      <c r="B1724" s="63" t="n">
        <v>46274.275625</v>
      </c>
      <c r="C1724" s="64" t="n">
        <v>46273</v>
      </c>
      <c r="D1724" s="62" t="s">
        <v>501</v>
      </c>
      <c r="E1724" s="62" t="s">
        <v>3207</v>
      </c>
      <c r="F1724" s="62" t="s">
        <v>3208</v>
      </c>
      <c r="G1724" s="62" t="s">
        <v>153</v>
      </c>
      <c r="H1724" s="62" t="s">
        <v>153</v>
      </c>
      <c r="I1724" s="62" t="s">
        <v>153</v>
      </c>
      <c r="J1724" s="62" t="s">
        <v>64</v>
      </c>
      <c r="K1724" s="62" t="s">
        <v>64</v>
      </c>
      <c r="L1724" s="62" t="s">
        <v>4</v>
      </c>
      <c r="M1724" s="62" t="n">
        <v>1</v>
      </c>
      <c r="N1724" s="62" t="n">
        <v>0</v>
      </c>
      <c r="O1724" s="62" t="n">
        <v>1</v>
      </c>
      <c r="P1724" s="62" t="n">
        <v>0</v>
      </c>
      <c r="Q1724" s="62" t="n">
        <v>0</v>
      </c>
      <c r="R1724" s="62" t="n">
        <v>0</v>
      </c>
      <c r="S1724" s="62" t="n">
        <v>0</v>
      </c>
      <c r="T1724" s="62" t="n">
        <v>0</v>
      </c>
      <c r="U1724" s="62" t="s">
        <v>15</v>
      </c>
      <c r="V1724" s="62" t="s">
        <v>2057</v>
      </c>
      <c r="W1724" s="62" t="s">
        <v>15</v>
      </c>
      <c r="X1724" s="62" t="s">
        <v>2058</v>
      </c>
      <c r="Y1724" s="62" t="s">
        <v>2103</v>
      </c>
      <c r="Z1724" s="62" t="s">
        <v>3207</v>
      </c>
      <c r="AA1724" s="62" t="s">
        <v>3209</v>
      </c>
      <c r="AB1724" s="62" t="n">
        <v>1</v>
      </c>
      <c r="AC1724" s="62" t="n">
        <v>0</v>
      </c>
      <c r="AD1724" s="62" t="n">
        <v>0</v>
      </c>
      <c r="AE1724" s="62" t="n">
        <f aca="false">IF(AND(Dashboard!$C$9="Yes",AC1724=1),0,1)</f>
        <v>1</v>
      </c>
      <c r="AF1724" s="62" t="n">
        <v>1</v>
      </c>
    </row>
    <row r="1725" customFormat="false" ht="15" hidden="false" customHeight="false" outlineLevel="0" collapsed="false">
      <c r="A1725" s="62" t="n">
        <v>1724</v>
      </c>
      <c r="B1725" s="63" t="n">
        <v>46274.6355208333</v>
      </c>
      <c r="C1725" s="64" t="n">
        <v>46274</v>
      </c>
      <c r="D1725" s="62" t="s">
        <v>143</v>
      </c>
      <c r="E1725" s="62" t="s">
        <v>586</v>
      </c>
      <c r="F1725" s="62" t="s">
        <v>586</v>
      </c>
      <c r="G1725" s="62" t="s">
        <v>587</v>
      </c>
      <c r="H1725" s="62" t="s">
        <v>57</v>
      </c>
      <c r="I1725" s="62" t="s">
        <v>47</v>
      </c>
      <c r="J1725" s="62" t="s">
        <v>146</v>
      </c>
      <c r="K1725" s="62" t="s">
        <v>175</v>
      </c>
      <c r="L1725" s="62" t="s">
        <v>148</v>
      </c>
      <c r="M1725" s="62" t="n">
        <v>0</v>
      </c>
      <c r="N1725" s="62" t="n">
        <v>1</v>
      </c>
      <c r="O1725" s="62" t="n">
        <v>1</v>
      </c>
      <c r="P1725" s="62" t="n">
        <v>0</v>
      </c>
      <c r="Q1725" s="62" t="n">
        <v>1</v>
      </c>
      <c r="R1725" s="62" t="n">
        <v>0</v>
      </c>
      <c r="S1725" s="62" t="n">
        <v>0</v>
      </c>
      <c r="T1725" s="62" t="n">
        <v>0</v>
      </c>
      <c r="U1725" s="62"/>
      <c r="V1725" s="62"/>
      <c r="W1725" s="62"/>
      <c r="X1725" s="62"/>
      <c r="Y1725" s="62"/>
      <c r="Z1725" s="62" t="s">
        <v>3210</v>
      </c>
      <c r="AA1725" s="62" t="s">
        <v>3211</v>
      </c>
      <c r="AB1725" s="62" t="n">
        <v>1</v>
      </c>
      <c r="AC1725" s="62" t="n">
        <v>0</v>
      </c>
      <c r="AD1725" s="62" t="n">
        <v>1</v>
      </c>
      <c r="AE1725" s="62" t="n">
        <f aca="false">IF(AND(Dashboard!$C$9="Yes",AC1725=1),0,1)</f>
        <v>1</v>
      </c>
      <c r="AF1725" s="62" t="n">
        <v>1</v>
      </c>
    </row>
    <row r="1726" customFormat="false" ht="15" hidden="false" customHeight="false" outlineLevel="0" collapsed="false">
      <c r="A1726" s="62" t="n">
        <v>1725</v>
      </c>
      <c r="B1726" s="63" t="n">
        <v>46274.7226967593</v>
      </c>
      <c r="C1726" s="64" t="n">
        <v>46274</v>
      </c>
      <c r="D1726" s="62" t="s">
        <v>143</v>
      </c>
      <c r="E1726" s="62" t="s">
        <v>203</v>
      </c>
      <c r="F1726" s="62" t="s">
        <v>203</v>
      </c>
      <c r="G1726" s="62" t="s">
        <v>204</v>
      </c>
      <c r="H1726" s="62" t="s">
        <v>51</v>
      </c>
      <c r="I1726" s="62" t="s">
        <v>47</v>
      </c>
      <c r="J1726" s="62" t="s">
        <v>146</v>
      </c>
      <c r="K1726" s="62" t="s">
        <v>147</v>
      </c>
      <c r="L1726" s="62" t="s">
        <v>4</v>
      </c>
      <c r="M1726" s="62" t="n">
        <v>1</v>
      </c>
      <c r="N1726" s="62" t="n">
        <v>0</v>
      </c>
      <c r="O1726" s="62" t="n">
        <v>1</v>
      </c>
      <c r="P1726" s="62" t="n">
        <v>0</v>
      </c>
      <c r="Q1726" s="62" t="n">
        <v>0</v>
      </c>
      <c r="R1726" s="62" t="n">
        <v>0</v>
      </c>
      <c r="S1726" s="62" t="n">
        <v>0</v>
      </c>
      <c r="T1726" s="62" t="n">
        <v>0</v>
      </c>
      <c r="U1726" s="62" t="s">
        <v>2056</v>
      </c>
      <c r="V1726" s="62" t="s">
        <v>2068</v>
      </c>
      <c r="W1726" s="62"/>
      <c r="X1726" s="62" t="s">
        <v>2164</v>
      </c>
      <c r="Y1726" s="62" t="s">
        <v>2165</v>
      </c>
      <c r="Z1726" s="62" t="s">
        <v>3212</v>
      </c>
      <c r="AA1726" s="62" t="s">
        <v>3213</v>
      </c>
      <c r="AB1726" s="62" t="n">
        <v>1</v>
      </c>
      <c r="AC1726" s="62" t="n">
        <v>0</v>
      </c>
      <c r="AD1726" s="62" t="n">
        <v>1</v>
      </c>
      <c r="AE1726" s="62" t="n">
        <f aca="false">IF(AND(Dashboard!$C$9="Yes",AC1726=1),0,1)</f>
        <v>1</v>
      </c>
      <c r="AF1726" s="62" t="n">
        <v>1</v>
      </c>
    </row>
    <row r="1727" customFormat="false" ht="15" hidden="false" customHeight="false" outlineLevel="0" collapsed="false">
      <c r="A1727" s="62" t="n">
        <v>1726</v>
      </c>
      <c r="B1727" s="63" t="n">
        <v>46274.7313888889</v>
      </c>
      <c r="C1727" s="64" t="n">
        <v>46274</v>
      </c>
      <c r="D1727" s="62" t="s">
        <v>143</v>
      </c>
      <c r="E1727" s="62" t="s">
        <v>1382</v>
      </c>
      <c r="F1727" s="62" t="s">
        <v>1382</v>
      </c>
      <c r="G1727" s="62" t="s">
        <v>1383</v>
      </c>
      <c r="H1727" s="62" t="s">
        <v>58</v>
      </c>
      <c r="I1727" s="62" t="s">
        <v>49</v>
      </c>
      <c r="J1727" s="62" t="s">
        <v>146</v>
      </c>
      <c r="K1727" s="62" t="s">
        <v>175</v>
      </c>
      <c r="L1727" s="62" t="s">
        <v>4</v>
      </c>
      <c r="M1727" s="62" t="n">
        <v>3</v>
      </c>
      <c r="N1727" s="62" t="n">
        <v>0</v>
      </c>
      <c r="O1727" s="62" t="n">
        <v>3</v>
      </c>
      <c r="P1727" s="62" t="n">
        <v>0</v>
      </c>
      <c r="Q1727" s="62" t="n">
        <v>0</v>
      </c>
      <c r="R1727" s="62" t="n">
        <v>0</v>
      </c>
      <c r="S1727" s="62" t="n">
        <v>0</v>
      </c>
      <c r="T1727" s="62" t="n">
        <v>0</v>
      </c>
      <c r="U1727" s="62" t="s">
        <v>2056</v>
      </c>
      <c r="V1727" s="62" t="s">
        <v>2057</v>
      </c>
      <c r="W1727" s="62" t="s">
        <v>15</v>
      </c>
      <c r="X1727" s="62" t="s">
        <v>3214</v>
      </c>
      <c r="Y1727" s="62" t="s">
        <v>2103</v>
      </c>
      <c r="Z1727" s="62" t="s">
        <v>3215</v>
      </c>
      <c r="AA1727" s="62" t="s">
        <v>3216</v>
      </c>
      <c r="AB1727" s="62" t="n">
        <v>1</v>
      </c>
      <c r="AC1727" s="62" t="n">
        <v>0</v>
      </c>
      <c r="AD1727" s="62" t="n">
        <v>1</v>
      </c>
      <c r="AE1727" s="62" t="n">
        <f aca="false">IF(AND(Dashboard!$C$9="Yes",AC1727=1),0,1)</f>
        <v>1</v>
      </c>
      <c r="AF1727" s="62" t="n">
        <v>1</v>
      </c>
    </row>
    <row r="1728" customFormat="false" ht="15" hidden="false" customHeight="false" outlineLevel="0" collapsed="false">
      <c r="A1728" s="62" t="n">
        <v>1727</v>
      </c>
      <c r="B1728" s="63" t="n">
        <v>46274.7321296296</v>
      </c>
      <c r="C1728" s="64" t="n">
        <v>46274</v>
      </c>
      <c r="D1728" s="62" t="s">
        <v>143</v>
      </c>
      <c r="E1728" s="62" t="s">
        <v>1382</v>
      </c>
      <c r="F1728" s="62" t="s">
        <v>1382</v>
      </c>
      <c r="G1728" s="62" t="s">
        <v>1383</v>
      </c>
      <c r="H1728" s="62" t="s">
        <v>58</v>
      </c>
      <c r="I1728" s="62" t="s">
        <v>49</v>
      </c>
      <c r="J1728" s="62" t="s">
        <v>146</v>
      </c>
      <c r="K1728" s="62" t="s">
        <v>175</v>
      </c>
      <c r="L1728" s="62" t="s">
        <v>4</v>
      </c>
      <c r="M1728" s="62" t="n">
        <v>1</v>
      </c>
      <c r="N1728" s="62" t="n">
        <v>0</v>
      </c>
      <c r="O1728" s="62" t="n">
        <v>1</v>
      </c>
      <c r="P1728" s="62" t="n">
        <v>0</v>
      </c>
      <c r="Q1728" s="62" t="n">
        <v>0</v>
      </c>
      <c r="R1728" s="62" t="n">
        <v>0</v>
      </c>
      <c r="S1728" s="62" t="n">
        <v>0</v>
      </c>
      <c r="T1728" s="62" t="n">
        <v>0</v>
      </c>
      <c r="U1728" s="62" t="s">
        <v>2056</v>
      </c>
      <c r="V1728" s="62" t="s">
        <v>2057</v>
      </c>
      <c r="W1728" s="62" t="s">
        <v>15</v>
      </c>
      <c r="X1728" s="62" t="s">
        <v>3214</v>
      </c>
      <c r="Y1728" s="62" t="s">
        <v>2103</v>
      </c>
      <c r="Z1728" s="62" t="s">
        <v>3215</v>
      </c>
      <c r="AA1728" s="62" t="s">
        <v>3217</v>
      </c>
      <c r="AB1728" s="62" t="n">
        <v>1</v>
      </c>
      <c r="AC1728" s="62" t="n">
        <v>0</v>
      </c>
      <c r="AD1728" s="62" t="n">
        <v>1</v>
      </c>
      <c r="AE1728" s="62" t="n">
        <f aca="false">IF(AND(Dashboard!$C$9="Yes",AC1728=1),0,1)</f>
        <v>1</v>
      </c>
      <c r="AF1728" s="62" t="n">
        <v>0</v>
      </c>
    </row>
    <row r="1729" customFormat="false" ht="15" hidden="false" customHeight="false" outlineLevel="0" collapsed="false">
      <c r="A1729" s="62" t="n">
        <v>1728</v>
      </c>
      <c r="B1729" s="63" t="n">
        <v>46274.7326388889</v>
      </c>
      <c r="C1729" s="64" t="n">
        <v>46274</v>
      </c>
      <c r="D1729" s="62" t="s">
        <v>143</v>
      </c>
      <c r="E1729" s="62" t="s">
        <v>1382</v>
      </c>
      <c r="F1729" s="62" t="s">
        <v>1382</v>
      </c>
      <c r="G1729" s="62" t="s">
        <v>1383</v>
      </c>
      <c r="H1729" s="62" t="s">
        <v>58</v>
      </c>
      <c r="I1729" s="62" t="s">
        <v>49</v>
      </c>
      <c r="J1729" s="62" t="s">
        <v>146</v>
      </c>
      <c r="K1729" s="62" t="s">
        <v>175</v>
      </c>
      <c r="L1729" s="62" t="s">
        <v>4</v>
      </c>
      <c r="M1729" s="62" t="n">
        <v>1</v>
      </c>
      <c r="N1729" s="62" t="n">
        <v>0</v>
      </c>
      <c r="O1729" s="62" t="n">
        <v>1</v>
      </c>
      <c r="P1729" s="62" t="n">
        <v>0</v>
      </c>
      <c r="Q1729" s="62" t="n">
        <v>0</v>
      </c>
      <c r="R1729" s="62" t="n">
        <v>0</v>
      </c>
      <c r="S1729" s="62" t="n">
        <v>0</v>
      </c>
      <c r="T1729" s="62" t="n">
        <v>0</v>
      </c>
      <c r="U1729" s="62" t="s">
        <v>2056</v>
      </c>
      <c r="V1729" s="62" t="s">
        <v>2068</v>
      </c>
      <c r="W1729" s="62"/>
      <c r="X1729" s="62" t="s">
        <v>2125</v>
      </c>
      <c r="Y1729" s="62" t="s">
        <v>2103</v>
      </c>
      <c r="Z1729" s="62" t="s">
        <v>3215</v>
      </c>
      <c r="AA1729" s="62" t="s">
        <v>3218</v>
      </c>
      <c r="AB1729" s="62" t="n">
        <v>1</v>
      </c>
      <c r="AC1729" s="62" t="n">
        <v>0</v>
      </c>
      <c r="AD1729" s="62" t="n">
        <v>1</v>
      </c>
      <c r="AE1729" s="62" t="n">
        <f aca="false">IF(AND(Dashboard!$C$9="Yes",AC1729=1),0,1)</f>
        <v>1</v>
      </c>
      <c r="AF1729" s="62" t="n">
        <v>0</v>
      </c>
    </row>
    <row r="1730" customFormat="false" ht="15" hidden="false" customHeight="false" outlineLevel="0" collapsed="false">
      <c r="A1730" s="62" t="n">
        <v>1729</v>
      </c>
      <c r="B1730" s="63" t="n">
        <v>46274.7391087963</v>
      </c>
      <c r="C1730" s="64" t="n">
        <v>46274</v>
      </c>
      <c r="D1730" s="62" t="s">
        <v>143</v>
      </c>
      <c r="E1730" s="62" t="s">
        <v>1382</v>
      </c>
      <c r="F1730" s="62" t="s">
        <v>1382</v>
      </c>
      <c r="G1730" s="62" t="s">
        <v>1383</v>
      </c>
      <c r="H1730" s="62" t="s">
        <v>58</v>
      </c>
      <c r="I1730" s="62" t="s">
        <v>49</v>
      </c>
      <c r="J1730" s="62" t="s">
        <v>146</v>
      </c>
      <c r="K1730" s="62" t="s">
        <v>175</v>
      </c>
      <c r="L1730" s="62" t="s">
        <v>4</v>
      </c>
      <c r="M1730" s="62" t="n">
        <v>1</v>
      </c>
      <c r="N1730" s="62" t="n">
        <v>0</v>
      </c>
      <c r="O1730" s="62" t="n">
        <v>1</v>
      </c>
      <c r="P1730" s="62" t="n">
        <v>0</v>
      </c>
      <c r="Q1730" s="62" t="n">
        <v>0</v>
      </c>
      <c r="R1730" s="62" t="n">
        <v>0</v>
      </c>
      <c r="S1730" s="62" t="n">
        <v>0</v>
      </c>
      <c r="T1730" s="62" t="n">
        <v>0</v>
      </c>
      <c r="U1730" s="62" t="s">
        <v>2056</v>
      </c>
      <c r="V1730" s="62" t="s">
        <v>2057</v>
      </c>
      <c r="W1730" s="62" t="s">
        <v>15</v>
      </c>
      <c r="X1730" s="62" t="s">
        <v>3214</v>
      </c>
      <c r="Y1730" s="62" t="s">
        <v>2103</v>
      </c>
      <c r="Z1730" s="62" t="s">
        <v>3215</v>
      </c>
      <c r="AA1730" s="62" t="s">
        <v>3216</v>
      </c>
      <c r="AB1730" s="62" t="n">
        <v>1</v>
      </c>
      <c r="AC1730" s="62" t="n">
        <v>1</v>
      </c>
      <c r="AD1730" s="62" t="n">
        <v>1</v>
      </c>
      <c r="AE1730" s="62" t="n">
        <f aca="false">IF(AND(Dashboard!$C$9="Yes",AC1730=1),0,1)</f>
        <v>0</v>
      </c>
      <c r="AF1730" s="62" t="n">
        <v>0</v>
      </c>
    </row>
    <row r="1731" customFormat="false" ht="15" hidden="false" customHeight="false" outlineLevel="0" collapsed="false">
      <c r="A1731" s="62" t="n">
        <v>1730</v>
      </c>
      <c r="B1731" s="63" t="n">
        <v>46274.772037037</v>
      </c>
      <c r="C1731" s="64" t="n">
        <v>46274</v>
      </c>
      <c r="D1731" s="62" t="s">
        <v>143</v>
      </c>
      <c r="E1731" s="62" t="s">
        <v>203</v>
      </c>
      <c r="F1731" s="62" t="s">
        <v>203</v>
      </c>
      <c r="G1731" s="62" t="s">
        <v>204</v>
      </c>
      <c r="H1731" s="62" t="s">
        <v>51</v>
      </c>
      <c r="I1731" s="62" t="s">
        <v>47</v>
      </c>
      <c r="J1731" s="62" t="s">
        <v>146</v>
      </c>
      <c r="K1731" s="62" t="s">
        <v>147</v>
      </c>
      <c r="L1731" s="62" t="s">
        <v>148</v>
      </c>
      <c r="M1731" s="62" t="n">
        <v>0</v>
      </c>
      <c r="N1731" s="62" t="n">
        <v>1</v>
      </c>
      <c r="O1731" s="62" t="n">
        <v>1</v>
      </c>
      <c r="P1731" s="62" t="n">
        <v>1</v>
      </c>
      <c r="Q1731" s="62" t="n">
        <v>0</v>
      </c>
      <c r="R1731" s="62" t="n">
        <v>0</v>
      </c>
      <c r="S1731" s="62" t="n">
        <v>0</v>
      </c>
      <c r="T1731" s="62" t="n">
        <v>0</v>
      </c>
      <c r="U1731" s="62"/>
      <c r="V1731" s="62"/>
      <c r="W1731" s="62"/>
      <c r="X1731" s="62"/>
      <c r="Y1731" s="62"/>
      <c r="Z1731" s="62" t="s">
        <v>3219</v>
      </c>
      <c r="AA1731" s="62" t="s">
        <v>485</v>
      </c>
      <c r="AB1731" s="62" t="n">
        <v>0</v>
      </c>
      <c r="AC1731" s="62" t="n">
        <v>0</v>
      </c>
      <c r="AD1731" s="62" t="n">
        <v>1</v>
      </c>
      <c r="AE1731" s="62" t="n">
        <f aca="false">IF(AND(Dashboard!$C$9="Yes",AC1731=1),0,1)</f>
        <v>1</v>
      </c>
      <c r="AF1731" s="62" t="n">
        <v>0</v>
      </c>
    </row>
    <row r="1732" customFormat="false" ht="15" hidden="false" customHeight="false" outlineLevel="0" collapsed="false">
      <c r="A1732" s="62" t="n">
        <v>1731</v>
      </c>
      <c r="B1732" s="63" t="n">
        <v>46274.8333449074</v>
      </c>
      <c r="C1732" s="64" t="n">
        <v>46274</v>
      </c>
      <c r="D1732" s="62" t="s">
        <v>143</v>
      </c>
      <c r="E1732" s="62" t="s">
        <v>2540</v>
      </c>
      <c r="F1732" s="62" t="s">
        <v>2540</v>
      </c>
      <c r="G1732" s="62" t="s">
        <v>2541</v>
      </c>
      <c r="H1732" s="62" t="s">
        <v>48</v>
      </c>
      <c r="I1732" s="62" t="s">
        <v>49</v>
      </c>
      <c r="J1732" s="62" t="s">
        <v>146</v>
      </c>
      <c r="K1732" s="62" t="s">
        <v>209</v>
      </c>
      <c r="L1732" s="62" t="s">
        <v>148</v>
      </c>
      <c r="M1732" s="62" t="n">
        <v>0</v>
      </c>
      <c r="N1732" s="62" t="n">
        <v>1</v>
      </c>
      <c r="O1732" s="62" t="n">
        <v>1</v>
      </c>
      <c r="P1732" s="62" t="n">
        <v>1</v>
      </c>
      <c r="Q1732" s="62" t="n">
        <v>0</v>
      </c>
      <c r="R1732" s="62" t="n">
        <v>0</v>
      </c>
      <c r="S1732" s="62" t="n">
        <v>0</v>
      </c>
      <c r="T1732" s="62" t="n">
        <v>0</v>
      </c>
      <c r="U1732" s="62"/>
      <c r="V1732" s="62"/>
      <c r="W1732" s="62"/>
      <c r="X1732" s="62"/>
      <c r="Y1732" s="62"/>
      <c r="Z1732" s="62" t="s">
        <v>3220</v>
      </c>
      <c r="AA1732" s="62" t="s">
        <v>237</v>
      </c>
      <c r="AB1732" s="62" t="n">
        <v>0</v>
      </c>
      <c r="AC1732" s="62" t="n">
        <v>0</v>
      </c>
      <c r="AD1732" s="62" t="n">
        <v>1</v>
      </c>
      <c r="AE1732" s="62" t="n">
        <f aca="false">IF(AND(Dashboard!$C$9="Yes",AC1732=1),0,1)</f>
        <v>1</v>
      </c>
      <c r="AF1732" s="62" t="n">
        <v>1</v>
      </c>
    </row>
    <row r="1733" customFormat="false" ht="15" hidden="false" customHeight="false" outlineLevel="0" collapsed="false">
      <c r="A1733" s="62" t="n">
        <v>1732</v>
      </c>
      <c r="B1733" s="63" t="n">
        <v>46274.8348842593</v>
      </c>
      <c r="C1733" s="64" t="n">
        <v>46274</v>
      </c>
      <c r="D1733" s="62" t="s">
        <v>143</v>
      </c>
      <c r="E1733" s="62" t="s">
        <v>3022</v>
      </c>
      <c r="F1733" s="62" t="s">
        <v>3022</v>
      </c>
      <c r="G1733" s="62" t="s">
        <v>3023</v>
      </c>
      <c r="H1733" s="62" t="s">
        <v>46</v>
      </c>
      <c r="I1733" s="62" t="s">
        <v>47</v>
      </c>
      <c r="J1733" s="62" t="s">
        <v>146</v>
      </c>
      <c r="K1733" s="62" t="s">
        <v>209</v>
      </c>
      <c r="L1733" s="62" t="s">
        <v>148</v>
      </c>
      <c r="M1733" s="62" t="n">
        <v>0</v>
      </c>
      <c r="N1733" s="62" t="n">
        <v>1</v>
      </c>
      <c r="O1733" s="62" t="n">
        <v>1</v>
      </c>
      <c r="P1733" s="62" t="n">
        <v>0</v>
      </c>
      <c r="Q1733" s="62" t="n">
        <v>0</v>
      </c>
      <c r="R1733" s="62" t="n">
        <v>0</v>
      </c>
      <c r="S1733" s="62" t="n">
        <v>0</v>
      </c>
      <c r="T1733" s="62" t="n">
        <v>1</v>
      </c>
      <c r="U1733" s="62"/>
      <c r="V1733" s="62"/>
      <c r="W1733" s="62"/>
      <c r="X1733" s="62"/>
      <c r="Y1733" s="62"/>
      <c r="Z1733" s="62" t="s">
        <v>3221</v>
      </c>
      <c r="AA1733" s="62" t="s">
        <v>337</v>
      </c>
      <c r="AB1733" s="62" t="n">
        <v>0</v>
      </c>
      <c r="AC1733" s="62" t="n">
        <v>0</v>
      </c>
      <c r="AD1733" s="62" t="n">
        <v>1</v>
      </c>
      <c r="AE1733" s="62" t="n">
        <f aca="false">IF(AND(Dashboard!$C$9="Yes",AC1733=1),0,1)</f>
        <v>1</v>
      </c>
      <c r="AF1733" s="62" t="n">
        <v>1</v>
      </c>
    </row>
    <row r="1734" customFormat="false" ht="15" hidden="false" customHeight="false" outlineLevel="0" collapsed="false">
      <c r="A1734" s="62" t="n">
        <v>1733</v>
      </c>
      <c r="B1734" s="63" t="n">
        <v>46274.853125</v>
      </c>
      <c r="C1734" s="64" t="n">
        <v>46274</v>
      </c>
      <c r="D1734" s="62" t="s">
        <v>143</v>
      </c>
      <c r="E1734" s="62" t="s">
        <v>2228</v>
      </c>
      <c r="F1734" s="62" t="s">
        <v>2228</v>
      </c>
      <c r="G1734" s="62" t="s">
        <v>2229</v>
      </c>
      <c r="H1734" s="62" t="s">
        <v>58</v>
      </c>
      <c r="I1734" s="62" t="s">
        <v>49</v>
      </c>
      <c r="J1734" s="62" t="s">
        <v>146</v>
      </c>
      <c r="K1734" s="62" t="s">
        <v>209</v>
      </c>
      <c r="L1734" s="62" t="s">
        <v>4</v>
      </c>
      <c r="M1734" s="62" t="n">
        <v>1</v>
      </c>
      <c r="N1734" s="62" t="n">
        <v>0</v>
      </c>
      <c r="O1734" s="62" t="n">
        <v>1</v>
      </c>
      <c r="P1734" s="62" t="n">
        <v>0</v>
      </c>
      <c r="Q1734" s="62" t="n">
        <v>0</v>
      </c>
      <c r="R1734" s="62" t="n">
        <v>0</v>
      </c>
      <c r="S1734" s="62" t="n">
        <v>0</v>
      </c>
      <c r="T1734" s="62" t="n">
        <v>0</v>
      </c>
      <c r="U1734" s="62" t="s">
        <v>2056</v>
      </c>
      <c r="V1734" s="62" t="s">
        <v>2057</v>
      </c>
      <c r="W1734" s="62" t="s">
        <v>15</v>
      </c>
      <c r="X1734" s="62" t="s">
        <v>2125</v>
      </c>
      <c r="Y1734" s="62" t="s">
        <v>2181</v>
      </c>
      <c r="Z1734" s="62" t="s">
        <v>3222</v>
      </c>
      <c r="AA1734" s="62" t="s">
        <v>3223</v>
      </c>
      <c r="AB1734" s="62" t="n">
        <v>1</v>
      </c>
      <c r="AC1734" s="62" t="n">
        <v>0</v>
      </c>
      <c r="AD1734" s="62" t="n">
        <v>1</v>
      </c>
      <c r="AE1734" s="62" t="n">
        <f aca="false">IF(AND(Dashboard!$C$9="Yes",AC1734=1),0,1)</f>
        <v>1</v>
      </c>
      <c r="AF1734" s="62" t="n">
        <v>1</v>
      </c>
    </row>
    <row r="1735" customFormat="false" ht="15" hidden="false" customHeight="false" outlineLevel="0" collapsed="false">
      <c r="A1735" s="62" t="n">
        <v>1734</v>
      </c>
      <c r="B1735" s="63" t="n">
        <v>46274.8585648148</v>
      </c>
      <c r="C1735" s="64" t="n">
        <v>46274</v>
      </c>
      <c r="D1735" s="62" t="s">
        <v>143</v>
      </c>
      <c r="E1735" s="62" t="s">
        <v>1732</v>
      </c>
      <c r="F1735" s="62" t="s">
        <v>1732</v>
      </c>
      <c r="G1735" s="62" t="s">
        <v>1733</v>
      </c>
      <c r="H1735" s="62" t="s">
        <v>58</v>
      </c>
      <c r="I1735" s="62" t="s">
        <v>49</v>
      </c>
      <c r="J1735" s="62" t="s">
        <v>146</v>
      </c>
      <c r="K1735" s="62" t="s">
        <v>209</v>
      </c>
      <c r="L1735" s="62" t="s">
        <v>148</v>
      </c>
      <c r="M1735" s="62" t="n">
        <v>0</v>
      </c>
      <c r="N1735" s="62" t="n">
        <v>1</v>
      </c>
      <c r="O1735" s="62" t="n">
        <v>1</v>
      </c>
      <c r="P1735" s="62" t="n">
        <v>1</v>
      </c>
      <c r="Q1735" s="62" t="n">
        <v>0</v>
      </c>
      <c r="R1735" s="62" t="n">
        <v>0</v>
      </c>
      <c r="S1735" s="62" t="n">
        <v>0</v>
      </c>
      <c r="T1735" s="62" t="n">
        <v>0</v>
      </c>
      <c r="U1735" s="62"/>
      <c r="V1735" s="62"/>
      <c r="W1735" s="62"/>
      <c r="X1735" s="62"/>
      <c r="Y1735" s="62"/>
      <c r="Z1735" s="62" t="s">
        <v>3224</v>
      </c>
      <c r="AA1735" s="62" t="s">
        <v>3225</v>
      </c>
      <c r="AB1735" s="62" t="n">
        <v>1</v>
      </c>
      <c r="AC1735" s="62" t="n">
        <v>0</v>
      </c>
      <c r="AD1735" s="62" t="n">
        <v>1</v>
      </c>
      <c r="AE1735" s="62" t="n">
        <f aca="false">IF(AND(Dashboard!$C$9="Yes",AC1735=1),0,1)</f>
        <v>1</v>
      </c>
      <c r="AF1735" s="62" t="n">
        <v>1</v>
      </c>
    </row>
    <row r="1736" customFormat="false" ht="15" hidden="false" customHeight="false" outlineLevel="0" collapsed="false">
      <c r="A1736" s="62" t="n">
        <v>1735</v>
      </c>
      <c r="B1736" s="63" t="n">
        <v>46274.8612962963</v>
      </c>
      <c r="C1736" s="64" t="n">
        <v>46274</v>
      </c>
      <c r="D1736" s="62" t="s">
        <v>143</v>
      </c>
      <c r="E1736" s="62" t="s">
        <v>3226</v>
      </c>
      <c r="F1736" s="62" t="s">
        <v>3226</v>
      </c>
      <c r="G1736" s="62" t="s">
        <v>3227</v>
      </c>
      <c r="H1736" s="62" t="s">
        <v>46</v>
      </c>
      <c r="I1736" s="62" t="s">
        <v>47</v>
      </c>
      <c r="J1736" s="62" t="s">
        <v>146</v>
      </c>
      <c r="K1736" s="62" t="s">
        <v>209</v>
      </c>
      <c r="L1736" s="62" t="s">
        <v>148</v>
      </c>
      <c r="M1736" s="62" t="n">
        <v>0</v>
      </c>
      <c r="N1736" s="62" t="n">
        <v>1</v>
      </c>
      <c r="O1736" s="62" t="n">
        <v>1</v>
      </c>
      <c r="P1736" s="62" t="n">
        <v>0</v>
      </c>
      <c r="Q1736" s="62" t="n">
        <v>0</v>
      </c>
      <c r="R1736" s="62" t="n">
        <v>1</v>
      </c>
      <c r="S1736" s="62" t="n">
        <v>0</v>
      </c>
      <c r="T1736" s="62" t="n">
        <v>0</v>
      </c>
      <c r="U1736" s="62"/>
      <c r="V1736" s="62"/>
      <c r="W1736" s="62"/>
      <c r="X1736" s="62"/>
      <c r="Y1736" s="62"/>
      <c r="Z1736" s="62" t="s">
        <v>3228</v>
      </c>
      <c r="AA1736" s="62" t="s">
        <v>3229</v>
      </c>
      <c r="AB1736" s="62" t="n">
        <v>1</v>
      </c>
      <c r="AC1736" s="62" t="n">
        <v>0</v>
      </c>
      <c r="AD1736" s="62" t="n">
        <v>1</v>
      </c>
      <c r="AE1736" s="62" t="n">
        <f aca="false">IF(AND(Dashboard!$C$9="Yes",AC1736=1),0,1)</f>
        <v>1</v>
      </c>
      <c r="AF1736" s="62" t="n">
        <v>1</v>
      </c>
    </row>
    <row r="1737" customFormat="false" ht="15" hidden="false" customHeight="false" outlineLevel="0" collapsed="false">
      <c r="A1737" s="62" t="n">
        <v>1736</v>
      </c>
      <c r="B1737" s="63" t="n">
        <v>46274.8622569444</v>
      </c>
      <c r="C1737" s="64" t="n">
        <v>46274</v>
      </c>
      <c r="D1737" s="62" t="s">
        <v>143</v>
      </c>
      <c r="E1737" s="62" t="s">
        <v>586</v>
      </c>
      <c r="F1737" s="62" t="s">
        <v>586</v>
      </c>
      <c r="G1737" s="62" t="s">
        <v>587</v>
      </c>
      <c r="H1737" s="62" t="s">
        <v>57</v>
      </c>
      <c r="I1737" s="62" t="s">
        <v>47</v>
      </c>
      <c r="J1737" s="62" t="s">
        <v>146</v>
      </c>
      <c r="K1737" s="62" t="s">
        <v>175</v>
      </c>
      <c r="L1737" s="62" t="s">
        <v>4</v>
      </c>
      <c r="M1737" s="62" t="n">
        <v>1</v>
      </c>
      <c r="N1737" s="62" t="n">
        <v>0</v>
      </c>
      <c r="O1737" s="62" t="n">
        <v>1</v>
      </c>
      <c r="P1737" s="62" t="n">
        <v>0</v>
      </c>
      <c r="Q1737" s="62" t="n">
        <v>0</v>
      </c>
      <c r="R1737" s="62" t="n">
        <v>0</v>
      </c>
      <c r="S1737" s="62" t="n">
        <v>0</v>
      </c>
      <c r="T1737" s="62" t="n">
        <v>0</v>
      </c>
      <c r="U1737" s="62" t="s">
        <v>2056</v>
      </c>
      <c r="V1737" s="62" t="s">
        <v>2068</v>
      </c>
      <c r="W1737" s="62"/>
      <c r="X1737" s="62" t="s">
        <v>2125</v>
      </c>
      <c r="Y1737" s="62" t="s">
        <v>2059</v>
      </c>
      <c r="Z1737" s="62" t="s">
        <v>3230</v>
      </c>
      <c r="AA1737" s="62" t="s">
        <v>3231</v>
      </c>
      <c r="AB1737" s="62" t="n">
        <v>1</v>
      </c>
      <c r="AC1737" s="62" t="n">
        <v>0</v>
      </c>
      <c r="AD1737" s="62" t="n">
        <v>1</v>
      </c>
      <c r="AE1737" s="62" t="n">
        <f aca="false">IF(AND(Dashboard!$C$9="Yes",AC1737=1),0,1)</f>
        <v>1</v>
      </c>
      <c r="AF1737" s="62" t="n">
        <v>0</v>
      </c>
    </row>
    <row r="1738" customFormat="false" ht="15" hidden="false" customHeight="false" outlineLevel="0" collapsed="false">
      <c r="A1738" s="62" t="n">
        <v>1737</v>
      </c>
      <c r="B1738" s="63" t="n">
        <v>46274.8741782407</v>
      </c>
      <c r="C1738" s="64" t="n">
        <v>46274</v>
      </c>
      <c r="D1738" s="62" t="s">
        <v>143</v>
      </c>
      <c r="E1738" s="62" t="s">
        <v>1005</v>
      </c>
      <c r="F1738" s="62" t="s">
        <v>1005</v>
      </c>
      <c r="G1738" s="62" t="s">
        <v>1006</v>
      </c>
      <c r="H1738" s="62" t="s">
        <v>46</v>
      </c>
      <c r="I1738" s="62" t="s">
        <v>47</v>
      </c>
      <c r="J1738" s="62" t="s">
        <v>146</v>
      </c>
      <c r="K1738" s="62" t="s">
        <v>209</v>
      </c>
      <c r="L1738" s="62" t="s">
        <v>4</v>
      </c>
      <c r="M1738" s="62" t="n">
        <v>1</v>
      </c>
      <c r="N1738" s="62" t="n">
        <v>0</v>
      </c>
      <c r="O1738" s="62" t="n">
        <v>1</v>
      </c>
      <c r="P1738" s="62" t="n">
        <v>0</v>
      </c>
      <c r="Q1738" s="62" t="n">
        <v>0</v>
      </c>
      <c r="R1738" s="62" t="n">
        <v>0</v>
      </c>
      <c r="S1738" s="62" t="n">
        <v>0</v>
      </c>
      <c r="T1738" s="62" t="n">
        <v>0</v>
      </c>
      <c r="U1738" s="62" t="s">
        <v>2056</v>
      </c>
      <c r="V1738" s="62" t="s">
        <v>2057</v>
      </c>
      <c r="W1738" s="62" t="s">
        <v>15</v>
      </c>
      <c r="X1738" s="62" t="s">
        <v>2253</v>
      </c>
      <c r="Y1738" s="62" t="s">
        <v>2059</v>
      </c>
      <c r="Z1738" s="62" t="s">
        <v>3232</v>
      </c>
      <c r="AA1738" s="62" t="s">
        <v>3233</v>
      </c>
      <c r="AB1738" s="62" t="n">
        <v>1</v>
      </c>
      <c r="AC1738" s="62" t="n">
        <v>0</v>
      </c>
      <c r="AD1738" s="62" t="n">
        <v>1</v>
      </c>
      <c r="AE1738" s="62" t="n">
        <f aca="false">IF(AND(Dashboard!$C$9="Yes",AC1738=1),0,1)</f>
        <v>1</v>
      </c>
      <c r="AF1738" s="62" t="n">
        <v>1</v>
      </c>
    </row>
    <row r="1739" customFormat="false" ht="15" hidden="false" customHeight="false" outlineLevel="0" collapsed="false">
      <c r="A1739" s="62" t="n">
        <v>1738</v>
      </c>
      <c r="B1739" s="63" t="n">
        <v>46274.8975694445</v>
      </c>
      <c r="C1739" s="64" t="n">
        <v>46274</v>
      </c>
      <c r="D1739" s="62" t="s">
        <v>143</v>
      </c>
      <c r="E1739" s="62" t="s">
        <v>3226</v>
      </c>
      <c r="F1739" s="62" t="s">
        <v>3226</v>
      </c>
      <c r="G1739" s="62" t="s">
        <v>3227</v>
      </c>
      <c r="H1739" s="62" t="s">
        <v>46</v>
      </c>
      <c r="I1739" s="62" t="s">
        <v>47</v>
      </c>
      <c r="J1739" s="62" t="s">
        <v>146</v>
      </c>
      <c r="K1739" s="62" t="s">
        <v>209</v>
      </c>
      <c r="L1739" s="62" t="s">
        <v>4</v>
      </c>
      <c r="M1739" s="62" t="n">
        <v>1</v>
      </c>
      <c r="N1739" s="62" t="n">
        <v>0</v>
      </c>
      <c r="O1739" s="62" t="n">
        <v>1</v>
      </c>
      <c r="P1739" s="62" t="n">
        <v>0</v>
      </c>
      <c r="Q1739" s="62" t="n">
        <v>0</v>
      </c>
      <c r="R1739" s="62" t="n">
        <v>0</v>
      </c>
      <c r="S1739" s="62" t="n">
        <v>0</v>
      </c>
      <c r="T1739" s="62" t="n">
        <v>0</v>
      </c>
      <c r="U1739" s="62" t="s">
        <v>2056</v>
      </c>
      <c r="V1739" s="62" t="s">
        <v>2057</v>
      </c>
      <c r="W1739" s="62" t="s">
        <v>15</v>
      </c>
      <c r="X1739" s="62" t="s">
        <v>2103</v>
      </c>
      <c r="Y1739" s="62" t="s">
        <v>2059</v>
      </c>
      <c r="Z1739" s="62" t="s">
        <v>3234</v>
      </c>
      <c r="AA1739" s="62" t="s">
        <v>3235</v>
      </c>
      <c r="AB1739" s="62" t="n">
        <v>1</v>
      </c>
      <c r="AC1739" s="62" t="n">
        <v>0</v>
      </c>
      <c r="AD1739" s="62" t="n">
        <v>1</v>
      </c>
      <c r="AE1739" s="62" t="n">
        <f aca="false">IF(AND(Dashboard!$C$9="Yes",AC1739=1),0,1)</f>
        <v>1</v>
      </c>
      <c r="AF1739" s="62" t="n">
        <v>0</v>
      </c>
    </row>
    <row r="1740" customFormat="false" ht="15" hidden="false" customHeight="false" outlineLevel="0" collapsed="false">
      <c r="A1740" s="62" t="n">
        <v>1739</v>
      </c>
      <c r="B1740" s="63" t="n">
        <v>46274.9087152778</v>
      </c>
      <c r="C1740" s="64" t="n">
        <v>46274</v>
      </c>
      <c r="D1740" s="62" t="s">
        <v>143</v>
      </c>
      <c r="E1740" s="62" t="s">
        <v>2156</v>
      </c>
      <c r="F1740" s="62" t="s">
        <v>2156</v>
      </c>
      <c r="G1740" s="62" t="s">
        <v>2157</v>
      </c>
      <c r="H1740" s="62" t="s">
        <v>52</v>
      </c>
      <c r="I1740" s="62" t="s">
        <v>47</v>
      </c>
      <c r="J1740" s="62" t="s">
        <v>146</v>
      </c>
      <c r="K1740" s="62" t="s">
        <v>209</v>
      </c>
      <c r="L1740" s="62" t="s">
        <v>148</v>
      </c>
      <c r="M1740" s="62" t="n">
        <v>0</v>
      </c>
      <c r="N1740" s="62" t="n">
        <v>1</v>
      </c>
      <c r="O1740" s="62" t="n">
        <v>1</v>
      </c>
      <c r="P1740" s="62" t="n">
        <v>1</v>
      </c>
      <c r="Q1740" s="62" t="n">
        <v>0</v>
      </c>
      <c r="R1740" s="62" t="n">
        <v>0</v>
      </c>
      <c r="S1740" s="62" t="n">
        <v>0</v>
      </c>
      <c r="T1740" s="62" t="n">
        <v>0</v>
      </c>
      <c r="U1740" s="62"/>
      <c r="V1740" s="62"/>
      <c r="W1740" s="62"/>
      <c r="X1740" s="62"/>
      <c r="Y1740" s="62"/>
      <c r="Z1740" s="62" t="s">
        <v>3236</v>
      </c>
      <c r="AA1740" s="62" t="s">
        <v>3237</v>
      </c>
      <c r="AB1740" s="62" t="n">
        <v>1</v>
      </c>
      <c r="AC1740" s="62" t="n">
        <v>0</v>
      </c>
      <c r="AD1740" s="62" t="n">
        <v>1</v>
      </c>
      <c r="AE1740" s="62" t="n">
        <f aca="false">IF(AND(Dashboard!$C$9="Yes",AC1740=1),0,1)</f>
        <v>1</v>
      </c>
      <c r="AF1740" s="62" t="n">
        <v>1</v>
      </c>
    </row>
    <row r="1741" customFormat="false" ht="15" hidden="false" customHeight="false" outlineLevel="0" collapsed="false">
      <c r="A1741" s="62" t="n">
        <v>1740</v>
      </c>
      <c r="B1741" s="63" t="n">
        <v>46274.947662037</v>
      </c>
      <c r="C1741" s="64" t="n">
        <v>46274</v>
      </c>
      <c r="D1741" s="62" t="s">
        <v>143</v>
      </c>
      <c r="E1741" s="62" t="s">
        <v>2340</v>
      </c>
      <c r="F1741" s="62" t="s">
        <v>2340</v>
      </c>
      <c r="G1741" s="62" t="s">
        <v>2341</v>
      </c>
      <c r="H1741" s="62" t="s">
        <v>57</v>
      </c>
      <c r="I1741" s="62" t="s">
        <v>47</v>
      </c>
      <c r="J1741" s="62" t="s">
        <v>146</v>
      </c>
      <c r="K1741" s="62" t="s">
        <v>175</v>
      </c>
      <c r="L1741" s="62" t="s">
        <v>148</v>
      </c>
      <c r="M1741" s="62" t="n">
        <v>0</v>
      </c>
      <c r="N1741" s="62" t="n">
        <v>1</v>
      </c>
      <c r="O1741" s="62" t="n">
        <v>1</v>
      </c>
      <c r="P1741" s="62" t="n">
        <v>1</v>
      </c>
      <c r="Q1741" s="62" t="n">
        <v>0</v>
      </c>
      <c r="R1741" s="62" t="n">
        <v>0</v>
      </c>
      <c r="S1741" s="62" t="n">
        <v>0</v>
      </c>
      <c r="T1741" s="62" t="n">
        <v>0</v>
      </c>
      <c r="U1741" s="62"/>
      <c r="V1741" s="62"/>
      <c r="W1741" s="62"/>
      <c r="X1741" s="62"/>
      <c r="Y1741" s="62"/>
      <c r="Z1741" s="62" t="s">
        <v>3238</v>
      </c>
      <c r="AA1741" s="62" t="s">
        <v>3239</v>
      </c>
      <c r="AB1741" s="62" t="n">
        <v>1</v>
      </c>
      <c r="AC1741" s="62" t="n">
        <v>0</v>
      </c>
      <c r="AD1741" s="62" t="n">
        <v>1</v>
      </c>
      <c r="AE1741" s="62" t="n">
        <f aca="false">IF(AND(Dashboard!$C$9="Yes",AC1741=1),0,1)</f>
        <v>1</v>
      </c>
      <c r="AF1741" s="62" t="n">
        <v>1</v>
      </c>
    </row>
    <row r="1742" customFormat="false" ht="15" hidden="false" customHeight="false" outlineLevel="0" collapsed="false">
      <c r="A1742" s="62" t="n">
        <v>1741</v>
      </c>
      <c r="B1742" s="63" t="n">
        <v>46274.9537731482</v>
      </c>
      <c r="C1742" s="64" t="n">
        <v>46274</v>
      </c>
      <c r="D1742" s="62" t="s">
        <v>143</v>
      </c>
      <c r="E1742" s="62" t="s">
        <v>144</v>
      </c>
      <c r="F1742" s="62" t="s">
        <v>144</v>
      </c>
      <c r="G1742" s="62" t="s">
        <v>145</v>
      </c>
      <c r="H1742" s="62" t="s">
        <v>59</v>
      </c>
      <c r="I1742" s="62" t="s">
        <v>47</v>
      </c>
      <c r="J1742" s="62" t="s">
        <v>146</v>
      </c>
      <c r="K1742" s="62" t="s">
        <v>147</v>
      </c>
      <c r="L1742" s="62" t="s">
        <v>148</v>
      </c>
      <c r="M1742" s="62" t="n">
        <v>0</v>
      </c>
      <c r="N1742" s="62" t="n">
        <v>1</v>
      </c>
      <c r="O1742" s="62" t="n">
        <v>1</v>
      </c>
      <c r="P1742" s="62" t="n">
        <v>0</v>
      </c>
      <c r="Q1742" s="62" t="n">
        <v>1</v>
      </c>
      <c r="R1742" s="62" t="n">
        <v>0</v>
      </c>
      <c r="S1742" s="62" t="n">
        <v>0</v>
      </c>
      <c r="T1742" s="62" t="n">
        <v>0</v>
      </c>
      <c r="U1742" s="62"/>
      <c r="V1742" s="62"/>
      <c r="W1742" s="62"/>
      <c r="X1742" s="62"/>
      <c r="Y1742" s="62"/>
      <c r="Z1742" s="62" t="s">
        <v>3240</v>
      </c>
      <c r="AA1742" s="62" t="s">
        <v>3240</v>
      </c>
      <c r="AB1742" s="62" t="n">
        <v>1</v>
      </c>
      <c r="AC1742" s="62" t="n">
        <v>0</v>
      </c>
      <c r="AD1742" s="62" t="n">
        <v>1</v>
      </c>
      <c r="AE1742" s="62" t="n">
        <f aca="false">IF(AND(Dashboard!$C$9="Yes",AC1742=1),0,1)</f>
        <v>1</v>
      </c>
      <c r="AF1742" s="62" t="n">
        <v>1</v>
      </c>
    </row>
    <row r="1743" customFormat="false" ht="15" hidden="false" customHeight="false" outlineLevel="0" collapsed="false">
      <c r="A1743" s="62" t="n">
        <v>1742</v>
      </c>
      <c r="B1743" s="63" t="n">
        <v>46274.9539699074</v>
      </c>
      <c r="C1743" s="64" t="n">
        <v>46274</v>
      </c>
      <c r="D1743" s="62" t="s">
        <v>143</v>
      </c>
      <c r="E1743" s="62" t="s">
        <v>144</v>
      </c>
      <c r="F1743" s="62" t="s">
        <v>144</v>
      </c>
      <c r="G1743" s="62" t="s">
        <v>145</v>
      </c>
      <c r="H1743" s="62" t="s">
        <v>59</v>
      </c>
      <c r="I1743" s="62" t="s">
        <v>47</v>
      </c>
      <c r="J1743" s="62" t="s">
        <v>146</v>
      </c>
      <c r="K1743" s="62" t="s">
        <v>147</v>
      </c>
      <c r="L1743" s="62" t="s">
        <v>148</v>
      </c>
      <c r="M1743" s="62" t="n">
        <v>0</v>
      </c>
      <c r="N1743" s="62" t="n">
        <v>1</v>
      </c>
      <c r="O1743" s="62" t="n">
        <v>1</v>
      </c>
      <c r="P1743" s="62" t="n">
        <v>0</v>
      </c>
      <c r="Q1743" s="62" t="n">
        <v>1</v>
      </c>
      <c r="R1743" s="62" t="n">
        <v>0</v>
      </c>
      <c r="S1743" s="62" t="n">
        <v>0</v>
      </c>
      <c r="T1743" s="62" t="n">
        <v>0</v>
      </c>
      <c r="U1743" s="62"/>
      <c r="V1743" s="62"/>
      <c r="W1743" s="62"/>
      <c r="X1743" s="62"/>
      <c r="Y1743" s="62"/>
      <c r="Z1743" s="62" t="s">
        <v>3240</v>
      </c>
      <c r="AA1743" s="62" t="s">
        <v>3240</v>
      </c>
      <c r="AB1743" s="62" t="n">
        <v>1</v>
      </c>
      <c r="AC1743" s="62" t="n">
        <v>1</v>
      </c>
      <c r="AD1743" s="62" t="n">
        <v>1</v>
      </c>
      <c r="AE1743" s="62" t="n">
        <f aca="false">IF(AND(Dashboard!$C$9="Yes",AC1743=1),0,1)</f>
        <v>0</v>
      </c>
      <c r="AF1743" s="62" t="n">
        <v>0</v>
      </c>
    </row>
    <row r="1744" customFormat="false" ht="15" hidden="false" customHeight="false" outlineLevel="0" collapsed="false">
      <c r="A1744" s="62" t="n">
        <v>1743</v>
      </c>
      <c r="B1744" s="63" t="n">
        <v>46274.9541203704</v>
      </c>
      <c r="C1744" s="64" t="n">
        <v>46274</v>
      </c>
      <c r="D1744" s="62" t="s">
        <v>143</v>
      </c>
      <c r="E1744" s="62" t="s">
        <v>144</v>
      </c>
      <c r="F1744" s="62" t="s">
        <v>144</v>
      </c>
      <c r="G1744" s="62" t="s">
        <v>145</v>
      </c>
      <c r="H1744" s="62" t="s">
        <v>59</v>
      </c>
      <c r="I1744" s="62" t="s">
        <v>47</v>
      </c>
      <c r="J1744" s="62" t="s">
        <v>146</v>
      </c>
      <c r="K1744" s="62" t="s">
        <v>147</v>
      </c>
      <c r="L1744" s="62" t="s">
        <v>148</v>
      </c>
      <c r="M1744" s="62" t="n">
        <v>0</v>
      </c>
      <c r="N1744" s="62" t="n">
        <v>1</v>
      </c>
      <c r="O1744" s="62" t="n">
        <v>1</v>
      </c>
      <c r="P1744" s="62" t="n">
        <v>0</v>
      </c>
      <c r="Q1744" s="62" t="n">
        <v>1</v>
      </c>
      <c r="R1744" s="62" t="n">
        <v>0</v>
      </c>
      <c r="S1744" s="62" t="n">
        <v>0</v>
      </c>
      <c r="T1744" s="62" t="n">
        <v>0</v>
      </c>
      <c r="U1744" s="62"/>
      <c r="V1744" s="62"/>
      <c r="W1744" s="62"/>
      <c r="X1744" s="62"/>
      <c r="Y1744" s="62"/>
      <c r="Z1744" s="62" t="s">
        <v>3240</v>
      </c>
      <c r="AA1744" s="62" t="s">
        <v>3240</v>
      </c>
      <c r="AB1744" s="62" t="n">
        <v>1</v>
      </c>
      <c r="AC1744" s="62" t="n">
        <v>1</v>
      </c>
      <c r="AD1744" s="62" t="n">
        <v>1</v>
      </c>
      <c r="AE1744" s="62" t="n">
        <f aca="false">IF(AND(Dashboard!$C$9="Yes",AC1744=1),0,1)</f>
        <v>0</v>
      </c>
      <c r="AF1744" s="62" t="n">
        <v>0</v>
      </c>
    </row>
    <row r="1745" customFormat="false" ht="15" hidden="false" customHeight="false" outlineLevel="0" collapsed="false">
      <c r="A1745" s="62" t="n">
        <v>1744</v>
      </c>
      <c r="B1745" s="63" t="n">
        <v>46274.9542824074</v>
      </c>
      <c r="C1745" s="64" t="n">
        <v>46274</v>
      </c>
      <c r="D1745" s="62" t="s">
        <v>143</v>
      </c>
      <c r="E1745" s="62" t="s">
        <v>144</v>
      </c>
      <c r="F1745" s="62" t="s">
        <v>144</v>
      </c>
      <c r="G1745" s="62" t="s">
        <v>145</v>
      </c>
      <c r="H1745" s="62" t="s">
        <v>59</v>
      </c>
      <c r="I1745" s="62" t="s">
        <v>47</v>
      </c>
      <c r="J1745" s="62" t="s">
        <v>146</v>
      </c>
      <c r="K1745" s="62" t="s">
        <v>147</v>
      </c>
      <c r="L1745" s="62" t="s">
        <v>148</v>
      </c>
      <c r="M1745" s="62" t="n">
        <v>0</v>
      </c>
      <c r="N1745" s="62" t="n">
        <v>1</v>
      </c>
      <c r="O1745" s="62" t="n">
        <v>1</v>
      </c>
      <c r="P1745" s="62" t="n">
        <v>0</v>
      </c>
      <c r="Q1745" s="62" t="n">
        <v>1</v>
      </c>
      <c r="R1745" s="62" t="n">
        <v>0</v>
      </c>
      <c r="S1745" s="62" t="n">
        <v>0</v>
      </c>
      <c r="T1745" s="62" t="n">
        <v>0</v>
      </c>
      <c r="U1745" s="62"/>
      <c r="V1745" s="62"/>
      <c r="W1745" s="62"/>
      <c r="X1745" s="62"/>
      <c r="Y1745" s="62"/>
      <c r="Z1745" s="62" t="s">
        <v>3240</v>
      </c>
      <c r="AA1745" s="62" t="s">
        <v>3241</v>
      </c>
      <c r="AB1745" s="62" t="n">
        <v>1</v>
      </c>
      <c r="AC1745" s="62" t="n">
        <v>0</v>
      </c>
      <c r="AD1745" s="62" t="n">
        <v>1</v>
      </c>
      <c r="AE1745" s="62" t="n">
        <f aca="false">IF(AND(Dashboard!$C$9="Yes",AC1745=1),0,1)</f>
        <v>1</v>
      </c>
      <c r="AF1745" s="62" t="n">
        <v>0</v>
      </c>
    </row>
    <row r="1746" customFormat="false" ht="15" hidden="false" customHeight="false" outlineLevel="0" collapsed="false">
      <c r="A1746" s="62" t="n">
        <v>1745</v>
      </c>
      <c r="B1746" s="63" t="n">
        <v>46274.9620486111</v>
      </c>
      <c r="C1746" s="64" t="n">
        <v>46274</v>
      </c>
      <c r="D1746" s="62" t="s">
        <v>143</v>
      </c>
      <c r="E1746" s="62" t="s">
        <v>2476</v>
      </c>
      <c r="F1746" s="62" t="s">
        <v>2476</v>
      </c>
      <c r="G1746" s="62" t="s">
        <v>2477</v>
      </c>
      <c r="H1746" s="62" t="s">
        <v>51</v>
      </c>
      <c r="I1746" s="62" t="s">
        <v>47</v>
      </c>
      <c r="J1746" s="62" t="s">
        <v>146</v>
      </c>
      <c r="K1746" s="62" t="s">
        <v>209</v>
      </c>
      <c r="L1746" s="62" t="s">
        <v>4</v>
      </c>
      <c r="M1746" s="62" t="n">
        <v>1</v>
      </c>
      <c r="N1746" s="62" t="n">
        <v>0</v>
      </c>
      <c r="O1746" s="62" t="n">
        <v>1</v>
      </c>
      <c r="P1746" s="62" t="n">
        <v>0</v>
      </c>
      <c r="Q1746" s="62" t="n">
        <v>0</v>
      </c>
      <c r="R1746" s="62" t="n">
        <v>0</v>
      </c>
      <c r="S1746" s="62" t="n">
        <v>0</v>
      </c>
      <c r="T1746" s="62" t="n">
        <v>0</v>
      </c>
      <c r="U1746" s="62" t="s">
        <v>2056</v>
      </c>
      <c r="V1746" s="62" t="s">
        <v>2057</v>
      </c>
      <c r="W1746" s="62" t="s">
        <v>15</v>
      </c>
      <c r="X1746" s="62"/>
      <c r="Y1746" s="62" t="s">
        <v>2059</v>
      </c>
      <c r="Z1746" s="62" t="s">
        <v>3242</v>
      </c>
      <c r="AA1746" s="62" t="s">
        <v>3243</v>
      </c>
      <c r="AB1746" s="62" t="n">
        <v>1</v>
      </c>
      <c r="AC1746" s="62" t="n">
        <v>0</v>
      </c>
      <c r="AD1746" s="62" t="n">
        <v>1</v>
      </c>
      <c r="AE1746" s="62" t="n">
        <f aca="false">IF(AND(Dashboard!$C$9="Yes",AC1746=1),0,1)</f>
        <v>1</v>
      </c>
      <c r="AF1746" s="62" t="n">
        <v>1</v>
      </c>
    </row>
    <row r="1747" customFormat="false" ht="15" hidden="false" customHeight="false" outlineLevel="0" collapsed="false">
      <c r="A1747" s="62" t="n">
        <v>1746</v>
      </c>
      <c r="B1747" s="63" t="n">
        <v>46274.9668055556</v>
      </c>
      <c r="C1747" s="64" t="n">
        <v>46274</v>
      </c>
      <c r="D1747" s="62" t="s">
        <v>143</v>
      </c>
      <c r="E1747" s="62" t="s">
        <v>2228</v>
      </c>
      <c r="F1747" s="62" t="s">
        <v>2228</v>
      </c>
      <c r="G1747" s="62" t="s">
        <v>2229</v>
      </c>
      <c r="H1747" s="62" t="s">
        <v>58</v>
      </c>
      <c r="I1747" s="62" t="s">
        <v>49</v>
      </c>
      <c r="J1747" s="62" t="s">
        <v>146</v>
      </c>
      <c r="K1747" s="62" t="s">
        <v>209</v>
      </c>
      <c r="L1747" s="62" t="s">
        <v>148</v>
      </c>
      <c r="M1747" s="62" t="n">
        <v>0</v>
      </c>
      <c r="N1747" s="62" t="n">
        <v>2</v>
      </c>
      <c r="O1747" s="62" t="n">
        <v>2</v>
      </c>
      <c r="P1747" s="62" t="n">
        <v>1</v>
      </c>
      <c r="Q1747" s="62" t="n">
        <v>1</v>
      </c>
      <c r="R1747" s="62" t="n">
        <v>0</v>
      </c>
      <c r="S1747" s="62" t="n">
        <v>0</v>
      </c>
      <c r="T1747" s="62" t="n">
        <v>0</v>
      </c>
      <c r="U1747" s="62"/>
      <c r="V1747" s="62"/>
      <c r="W1747" s="62"/>
      <c r="X1747" s="62"/>
      <c r="Y1747" s="62"/>
      <c r="Z1747" s="62" t="s">
        <v>3244</v>
      </c>
      <c r="AA1747" s="62" t="s">
        <v>3245</v>
      </c>
      <c r="AB1747" s="62" t="n">
        <v>1</v>
      </c>
      <c r="AC1747" s="62" t="n">
        <v>0</v>
      </c>
      <c r="AD1747" s="62" t="n">
        <v>1</v>
      </c>
      <c r="AE1747" s="62" t="n">
        <f aca="false">IF(AND(Dashboard!$C$9="Yes",AC1747=1),0,1)</f>
        <v>1</v>
      </c>
      <c r="AF1747" s="62" t="n">
        <v>0</v>
      </c>
    </row>
    <row r="1748" customFormat="false" ht="15" hidden="false" customHeight="false" outlineLevel="0" collapsed="false">
      <c r="A1748" s="62" t="n">
        <v>1747</v>
      </c>
      <c r="B1748" s="63" t="n">
        <v>46274.9884027778</v>
      </c>
      <c r="C1748" s="64" t="n">
        <v>46274</v>
      </c>
      <c r="D1748" s="62" t="s">
        <v>143</v>
      </c>
      <c r="E1748" s="62" t="s">
        <v>2050</v>
      </c>
      <c r="F1748" s="62" t="s">
        <v>2050</v>
      </c>
      <c r="G1748" s="62" t="s">
        <v>2051</v>
      </c>
      <c r="H1748" s="62" t="s">
        <v>46</v>
      </c>
      <c r="I1748" s="62" t="s">
        <v>47</v>
      </c>
      <c r="J1748" s="62" t="s">
        <v>146</v>
      </c>
      <c r="K1748" s="62" t="s">
        <v>209</v>
      </c>
      <c r="L1748" s="62" t="s">
        <v>148</v>
      </c>
      <c r="M1748" s="62" t="n">
        <v>0</v>
      </c>
      <c r="N1748" s="62" t="n">
        <v>1</v>
      </c>
      <c r="O1748" s="62" t="n">
        <v>1</v>
      </c>
      <c r="P1748" s="62" t="n">
        <v>0</v>
      </c>
      <c r="Q1748" s="62" t="n">
        <v>1</v>
      </c>
      <c r="R1748" s="62" t="n">
        <v>0</v>
      </c>
      <c r="S1748" s="62" t="n">
        <v>0</v>
      </c>
      <c r="T1748" s="62" t="n">
        <v>0</v>
      </c>
      <c r="U1748" s="62"/>
      <c r="V1748" s="62"/>
      <c r="W1748" s="62"/>
      <c r="X1748" s="62"/>
      <c r="Y1748" s="62"/>
      <c r="Z1748" s="62" t="s">
        <v>3246</v>
      </c>
      <c r="AA1748" s="62" t="s">
        <v>2076</v>
      </c>
      <c r="AB1748" s="62" t="n">
        <v>0</v>
      </c>
      <c r="AC1748" s="62" t="n">
        <v>0</v>
      </c>
      <c r="AD1748" s="62" t="n">
        <v>1</v>
      </c>
      <c r="AE1748" s="62" t="n">
        <f aca="false">IF(AND(Dashboard!$C$9="Yes",AC1748=1),0,1)</f>
        <v>1</v>
      </c>
      <c r="AF1748" s="62" t="n">
        <v>1</v>
      </c>
    </row>
    <row r="1749" customFormat="false" ht="15" hidden="false" customHeight="false" outlineLevel="0" collapsed="false">
      <c r="A1749" s="62" t="n">
        <v>1748</v>
      </c>
      <c r="B1749" s="63" t="n">
        <v>46274.9903125</v>
      </c>
      <c r="C1749" s="64" t="n">
        <v>46274</v>
      </c>
      <c r="D1749" s="62" t="s">
        <v>143</v>
      </c>
      <c r="E1749" s="62" t="s">
        <v>3181</v>
      </c>
      <c r="F1749" s="62" t="s">
        <v>3181</v>
      </c>
      <c r="G1749" s="62" t="s">
        <v>3182</v>
      </c>
      <c r="H1749" s="62" t="s">
        <v>58</v>
      </c>
      <c r="I1749" s="62" t="s">
        <v>49</v>
      </c>
      <c r="J1749" s="62" t="s">
        <v>146</v>
      </c>
      <c r="K1749" s="62" t="s">
        <v>209</v>
      </c>
      <c r="L1749" s="62" t="s">
        <v>148</v>
      </c>
      <c r="M1749" s="62" t="n">
        <v>0</v>
      </c>
      <c r="N1749" s="62" t="n">
        <v>2</v>
      </c>
      <c r="O1749" s="62" t="n">
        <v>2</v>
      </c>
      <c r="P1749" s="62" t="n">
        <v>0</v>
      </c>
      <c r="Q1749" s="62" t="n">
        <v>1</v>
      </c>
      <c r="R1749" s="62" t="n">
        <v>1</v>
      </c>
      <c r="S1749" s="62" t="n">
        <v>0</v>
      </c>
      <c r="T1749" s="62" t="n">
        <v>0</v>
      </c>
      <c r="U1749" s="62"/>
      <c r="V1749" s="62"/>
      <c r="W1749" s="62"/>
      <c r="X1749" s="62"/>
      <c r="Y1749" s="62"/>
      <c r="Z1749" s="62" t="s">
        <v>3247</v>
      </c>
      <c r="AA1749" s="62" t="s">
        <v>3248</v>
      </c>
      <c r="AB1749" s="62" t="n">
        <v>1</v>
      </c>
      <c r="AC1749" s="62" t="n">
        <v>0</v>
      </c>
      <c r="AD1749" s="62" t="n">
        <v>1</v>
      </c>
      <c r="AE1749" s="62" t="n">
        <f aca="false">IF(AND(Dashboard!$C$9="Yes",AC1749=1),0,1)</f>
        <v>1</v>
      </c>
      <c r="AF1749" s="62" t="n">
        <v>1</v>
      </c>
    </row>
    <row r="1750" customFormat="false" ht="15" hidden="false" customHeight="false" outlineLevel="0" collapsed="false">
      <c r="A1750" s="62" t="n">
        <v>1749</v>
      </c>
      <c r="B1750" s="63" t="n">
        <v>46274.990775463</v>
      </c>
      <c r="C1750" s="64" t="n">
        <v>46274</v>
      </c>
      <c r="D1750" s="62" t="s">
        <v>143</v>
      </c>
      <c r="E1750" s="62" t="s">
        <v>910</v>
      </c>
      <c r="F1750" s="62" t="s">
        <v>910</v>
      </c>
      <c r="G1750" s="62" t="s">
        <v>911</v>
      </c>
      <c r="H1750" s="62" t="s">
        <v>59</v>
      </c>
      <c r="I1750" s="62" t="s">
        <v>47</v>
      </c>
      <c r="J1750" s="62" t="s">
        <v>146</v>
      </c>
      <c r="K1750" s="62" t="s">
        <v>175</v>
      </c>
      <c r="L1750" s="62" t="s">
        <v>148</v>
      </c>
      <c r="M1750" s="62" t="n">
        <v>0</v>
      </c>
      <c r="N1750" s="62" t="n">
        <v>1</v>
      </c>
      <c r="O1750" s="62" t="n">
        <v>1</v>
      </c>
      <c r="P1750" s="62" t="n">
        <v>0</v>
      </c>
      <c r="Q1750" s="62" t="n">
        <v>1</v>
      </c>
      <c r="R1750" s="62" t="n">
        <v>0</v>
      </c>
      <c r="S1750" s="62" t="n">
        <v>0</v>
      </c>
      <c r="T1750" s="62" t="n">
        <v>0</v>
      </c>
      <c r="U1750" s="62"/>
      <c r="V1750" s="62"/>
      <c r="W1750" s="62"/>
      <c r="X1750" s="62"/>
      <c r="Y1750" s="62"/>
      <c r="Z1750" s="62" t="s">
        <v>3249</v>
      </c>
      <c r="AA1750" s="62" t="s">
        <v>2483</v>
      </c>
      <c r="AB1750" s="62" t="n">
        <v>1</v>
      </c>
      <c r="AC1750" s="62" t="n">
        <v>0</v>
      </c>
      <c r="AD1750" s="62" t="n">
        <v>1</v>
      </c>
      <c r="AE1750" s="62" t="n">
        <f aca="false">IF(AND(Dashboard!$C$9="Yes",AC1750=1),0,1)</f>
        <v>1</v>
      </c>
      <c r="AF1750" s="62" t="n">
        <v>1</v>
      </c>
    </row>
    <row r="1751" customFormat="false" ht="15" hidden="false" customHeight="false" outlineLevel="0" collapsed="false">
      <c r="A1751" s="62" t="n">
        <v>1750</v>
      </c>
      <c r="B1751" s="63" t="n">
        <v>46275.0343518519</v>
      </c>
      <c r="C1751" s="64" t="n">
        <v>46274</v>
      </c>
      <c r="D1751" s="62" t="s">
        <v>143</v>
      </c>
      <c r="E1751" s="62" t="s">
        <v>1005</v>
      </c>
      <c r="F1751" s="62" t="s">
        <v>1005</v>
      </c>
      <c r="G1751" s="62" t="s">
        <v>1006</v>
      </c>
      <c r="H1751" s="62" t="s">
        <v>46</v>
      </c>
      <c r="I1751" s="62" t="s">
        <v>47</v>
      </c>
      <c r="J1751" s="62" t="s">
        <v>146</v>
      </c>
      <c r="K1751" s="62" t="s">
        <v>209</v>
      </c>
      <c r="L1751" s="62" t="s">
        <v>148</v>
      </c>
      <c r="M1751" s="62" t="n">
        <v>0</v>
      </c>
      <c r="N1751" s="62" t="n">
        <v>2</v>
      </c>
      <c r="O1751" s="62" t="n">
        <v>2</v>
      </c>
      <c r="P1751" s="62" t="n">
        <v>1</v>
      </c>
      <c r="Q1751" s="62" t="n">
        <v>1</v>
      </c>
      <c r="R1751" s="62" t="n">
        <v>0</v>
      </c>
      <c r="S1751" s="62" t="n">
        <v>0</v>
      </c>
      <c r="T1751" s="62" t="n">
        <v>0</v>
      </c>
      <c r="U1751" s="62"/>
      <c r="V1751" s="62"/>
      <c r="W1751" s="62"/>
      <c r="X1751" s="62"/>
      <c r="Y1751" s="62"/>
      <c r="Z1751" s="62" t="s">
        <v>3250</v>
      </c>
      <c r="AA1751" s="62" t="s">
        <v>485</v>
      </c>
      <c r="AB1751" s="62" t="n">
        <v>0</v>
      </c>
      <c r="AC1751" s="62" t="n">
        <v>0</v>
      </c>
      <c r="AD1751" s="62" t="n">
        <v>1</v>
      </c>
      <c r="AE1751" s="62" t="n">
        <f aca="false">IF(AND(Dashboard!$C$9="Yes",AC1751=1),0,1)</f>
        <v>1</v>
      </c>
      <c r="AF1751" s="62" t="n">
        <v>0</v>
      </c>
    </row>
    <row r="1752" customFormat="false" ht="15" hidden="false" customHeight="false" outlineLevel="0" collapsed="false">
      <c r="A1752" s="62" t="n">
        <v>1751</v>
      </c>
      <c r="B1752" s="63" t="n">
        <v>46275.0353935185</v>
      </c>
      <c r="C1752" s="64" t="n">
        <v>46274</v>
      </c>
      <c r="D1752" s="62" t="s">
        <v>143</v>
      </c>
      <c r="E1752" s="62" t="s">
        <v>2385</v>
      </c>
      <c r="F1752" s="62" t="s">
        <v>2385</v>
      </c>
      <c r="G1752" s="62" t="s">
        <v>2386</v>
      </c>
      <c r="H1752" s="62" t="s">
        <v>59</v>
      </c>
      <c r="I1752" s="62" t="s">
        <v>47</v>
      </c>
      <c r="J1752" s="62" t="s">
        <v>146</v>
      </c>
      <c r="K1752" s="62" t="s">
        <v>209</v>
      </c>
      <c r="L1752" s="62" t="s">
        <v>148</v>
      </c>
      <c r="M1752" s="62" t="n">
        <v>0</v>
      </c>
      <c r="N1752" s="62" t="n">
        <v>1</v>
      </c>
      <c r="O1752" s="62" t="n">
        <v>1</v>
      </c>
      <c r="P1752" s="62" t="n">
        <v>0</v>
      </c>
      <c r="Q1752" s="62" t="n">
        <v>0</v>
      </c>
      <c r="R1752" s="62" t="n">
        <v>1</v>
      </c>
      <c r="S1752" s="62" t="n">
        <v>0</v>
      </c>
      <c r="T1752" s="62" t="n">
        <v>0</v>
      </c>
      <c r="U1752" s="62"/>
      <c r="V1752" s="62"/>
      <c r="W1752" s="62"/>
      <c r="X1752" s="62"/>
      <c r="Y1752" s="62"/>
      <c r="Z1752" s="62" t="s">
        <v>3251</v>
      </c>
      <c r="AA1752" s="62" t="s">
        <v>64</v>
      </c>
      <c r="AB1752" s="62" t="n">
        <v>0</v>
      </c>
      <c r="AC1752" s="62" t="n">
        <v>0</v>
      </c>
      <c r="AD1752" s="62" t="n">
        <v>1</v>
      </c>
      <c r="AE1752" s="62" t="n">
        <f aca="false">IF(AND(Dashboard!$C$9="Yes",AC1752=1),0,1)</f>
        <v>1</v>
      </c>
      <c r="AF1752" s="62" t="n">
        <v>1</v>
      </c>
    </row>
    <row r="1753" customFormat="false" ht="15" hidden="false" customHeight="false" outlineLevel="0" collapsed="false">
      <c r="A1753" s="62" t="n">
        <v>1752</v>
      </c>
      <c r="B1753" s="63" t="n">
        <v>46275.0360763889</v>
      </c>
      <c r="C1753" s="64" t="n">
        <v>46274</v>
      </c>
      <c r="D1753" s="62" t="s">
        <v>143</v>
      </c>
      <c r="E1753" s="62" t="s">
        <v>2340</v>
      </c>
      <c r="F1753" s="62" t="s">
        <v>2340</v>
      </c>
      <c r="G1753" s="62" t="s">
        <v>2341</v>
      </c>
      <c r="H1753" s="62" t="s">
        <v>57</v>
      </c>
      <c r="I1753" s="62" t="s">
        <v>47</v>
      </c>
      <c r="J1753" s="62" t="s">
        <v>146</v>
      </c>
      <c r="K1753" s="62" t="s">
        <v>175</v>
      </c>
      <c r="L1753" s="62" t="s">
        <v>148</v>
      </c>
      <c r="M1753" s="62" t="n">
        <v>0</v>
      </c>
      <c r="N1753" s="62" t="n">
        <v>1</v>
      </c>
      <c r="O1753" s="62" t="n">
        <v>1</v>
      </c>
      <c r="P1753" s="62" t="n">
        <v>0</v>
      </c>
      <c r="Q1753" s="62" t="n">
        <v>1</v>
      </c>
      <c r="R1753" s="62" t="n">
        <v>0</v>
      </c>
      <c r="S1753" s="62" t="n">
        <v>0</v>
      </c>
      <c r="T1753" s="62" t="n">
        <v>0</v>
      </c>
      <c r="U1753" s="62"/>
      <c r="V1753" s="62"/>
      <c r="W1753" s="62"/>
      <c r="X1753" s="62"/>
      <c r="Y1753" s="62"/>
      <c r="Z1753" s="62" t="s">
        <v>3252</v>
      </c>
      <c r="AA1753" s="62" t="s">
        <v>3253</v>
      </c>
      <c r="AB1753" s="62" t="n">
        <v>1</v>
      </c>
      <c r="AC1753" s="62" t="n">
        <v>0</v>
      </c>
      <c r="AD1753" s="62" t="n">
        <v>1</v>
      </c>
      <c r="AE1753" s="62" t="n">
        <f aca="false">IF(AND(Dashboard!$C$9="Yes",AC1753=1),0,1)</f>
        <v>1</v>
      </c>
      <c r="AF1753" s="62" t="n">
        <v>0</v>
      </c>
    </row>
    <row r="1754" customFormat="false" ht="15" hidden="false" customHeight="false" outlineLevel="0" collapsed="false">
      <c r="A1754" s="62" t="n">
        <v>1753</v>
      </c>
      <c r="B1754" s="63" t="n">
        <v>46275.0577430556</v>
      </c>
      <c r="C1754" s="64" t="n">
        <v>46274</v>
      </c>
      <c r="D1754" s="62" t="s">
        <v>143</v>
      </c>
      <c r="E1754" s="62" t="s">
        <v>212</v>
      </c>
      <c r="F1754" s="62" t="s">
        <v>212</v>
      </c>
      <c r="G1754" s="62" t="s">
        <v>213</v>
      </c>
      <c r="H1754" s="62" t="s">
        <v>58</v>
      </c>
      <c r="I1754" s="62" t="s">
        <v>49</v>
      </c>
      <c r="J1754" s="62" t="s">
        <v>146</v>
      </c>
      <c r="K1754" s="62" t="s">
        <v>175</v>
      </c>
      <c r="L1754" s="62" t="s">
        <v>148</v>
      </c>
      <c r="M1754" s="62" t="n">
        <v>0</v>
      </c>
      <c r="N1754" s="62" t="n">
        <v>2</v>
      </c>
      <c r="O1754" s="62" t="n">
        <v>2</v>
      </c>
      <c r="P1754" s="62" t="n">
        <v>1</v>
      </c>
      <c r="Q1754" s="62" t="n">
        <v>1</v>
      </c>
      <c r="R1754" s="62" t="n">
        <v>0</v>
      </c>
      <c r="S1754" s="62" t="n">
        <v>0</v>
      </c>
      <c r="T1754" s="62" t="n">
        <v>0</v>
      </c>
      <c r="U1754" s="62"/>
      <c r="V1754" s="62"/>
      <c r="W1754" s="62"/>
      <c r="X1754" s="62"/>
      <c r="Y1754" s="62"/>
      <c r="Z1754" s="62" t="s">
        <v>3254</v>
      </c>
      <c r="AA1754" s="62" t="s">
        <v>3255</v>
      </c>
      <c r="AB1754" s="62" t="n">
        <v>1</v>
      </c>
      <c r="AC1754" s="62" t="n">
        <v>0</v>
      </c>
      <c r="AD1754" s="62" t="n">
        <v>1</v>
      </c>
      <c r="AE1754" s="62" t="n">
        <f aca="false">IF(AND(Dashboard!$C$9="Yes",AC1754=1),0,1)</f>
        <v>1</v>
      </c>
      <c r="AF1754" s="62" t="n">
        <v>1</v>
      </c>
    </row>
    <row r="1755" customFormat="false" ht="15" hidden="false" customHeight="false" outlineLevel="0" collapsed="false">
      <c r="A1755" s="62" t="n">
        <v>1754</v>
      </c>
      <c r="B1755" s="63" t="n">
        <v>46275.084537037</v>
      </c>
      <c r="C1755" s="64" t="n">
        <v>46274</v>
      </c>
      <c r="D1755" s="62" t="s">
        <v>143</v>
      </c>
      <c r="E1755" s="62" t="s">
        <v>2845</v>
      </c>
      <c r="F1755" s="62" t="s">
        <v>2845</v>
      </c>
      <c r="G1755" s="62" t="s">
        <v>181</v>
      </c>
      <c r="H1755" s="62" t="s">
        <v>48</v>
      </c>
      <c r="I1755" s="62" t="s">
        <v>49</v>
      </c>
      <c r="J1755" s="62" t="s">
        <v>146</v>
      </c>
      <c r="K1755" s="62" t="s">
        <v>209</v>
      </c>
      <c r="L1755" s="62" t="s">
        <v>4</v>
      </c>
      <c r="M1755" s="62" t="n">
        <v>1</v>
      </c>
      <c r="N1755" s="62" t="n">
        <v>0</v>
      </c>
      <c r="O1755" s="62" t="n">
        <v>1</v>
      </c>
      <c r="P1755" s="62" t="n">
        <v>0</v>
      </c>
      <c r="Q1755" s="62" t="n">
        <v>0</v>
      </c>
      <c r="R1755" s="62" t="n">
        <v>0</v>
      </c>
      <c r="S1755" s="62" t="n">
        <v>0</v>
      </c>
      <c r="T1755" s="62" t="n">
        <v>0</v>
      </c>
      <c r="U1755" s="62" t="s">
        <v>15</v>
      </c>
      <c r="V1755" s="62" t="s">
        <v>2057</v>
      </c>
      <c r="W1755" s="62" t="s">
        <v>2056</v>
      </c>
      <c r="X1755" s="62" t="s">
        <v>2125</v>
      </c>
      <c r="Y1755" s="62" t="s">
        <v>2181</v>
      </c>
      <c r="Z1755" s="62" t="s">
        <v>3256</v>
      </c>
      <c r="AA1755" s="62" t="s">
        <v>3257</v>
      </c>
      <c r="AB1755" s="62" t="n">
        <v>0</v>
      </c>
      <c r="AC1755" s="62" t="n">
        <v>0</v>
      </c>
      <c r="AD1755" s="62" t="n">
        <v>1</v>
      </c>
      <c r="AE1755" s="62" t="n">
        <f aca="false">IF(AND(Dashboard!$C$9="Yes",AC1755=1),0,1)</f>
        <v>1</v>
      </c>
      <c r="AF1755" s="62" t="n">
        <v>1</v>
      </c>
    </row>
    <row r="1756" customFormat="false" ht="15" hidden="false" customHeight="false" outlineLevel="0" collapsed="false">
      <c r="A1756" s="62" t="n">
        <v>1755</v>
      </c>
      <c r="B1756" s="63" t="n">
        <v>46275.0943634259</v>
      </c>
      <c r="C1756" s="64" t="n">
        <v>46274</v>
      </c>
      <c r="D1756" s="62" t="s">
        <v>143</v>
      </c>
      <c r="E1756" s="62" t="s">
        <v>1155</v>
      </c>
      <c r="F1756" s="62" t="s">
        <v>1155</v>
      </c>
      <c r="G1756" s="62" t="s">
        <v>1156</v>
      </c>
      <c r="H1756" s="62" t="s">
        <v>59</v>
      </c>
      <c r="I1756" s="62" t="s">
        <v>47</v>
      </c>
      <c r="J1756" s="62" t="s">
        <v>146</v>
      </c>
      <c r="K1756" s="62" t="s">
        <v>209</v>
      </c>
      <c r="L1756" s="62" t="s">
        <v>148</v>
      </c>
      <c r="M1756" s="62" t="n">
        <v>0</v>
      </c>
      <c r="N1756" s="62" t="n">
        <v>1</v>
      </c>
      <c r="O1756" s="62" t="n">
        <v>1</v>
      </c>
      <c r="P1756" s="62" t="n">
        <v>0</v>
      </c>
      <c r="Q1756" s="62" t="n">
        <v>0</v>
      </c>
      <c r="R1756" s="62" t="n">
        <v>1</v>
      </c>
      <c r="S1756" s="62" t="n">
        <v>0</v>
      </c>
      <c r="T1756" s="62" t="n">
        <v>0</v>
      </c>
      <c r="U1756" s="62"/>
      <c r="V1756" s="62"/>
      <c r="W1756" s="62"/>
      <c r="X1756" s="62"/>
      <c r="Y1756" s="62"/>
      <c r="Z1756" s="62" t="s">
        <v>3258</v>
      </c>
      <c r="AA1756" s="62" t="s">
        <v>3259</v>
      </c>
      <c r="AB1756" s="62" t="n">
        <v>1</v>
      </c>
      <c r="AC1756" s="62" t="n">
        <v>0</v>
      </c>
      <c r="AD1756" s="62" t="n">
        <v>1</v>
      </c>
      <c r="AE1756" s="62" t="n">
        <f aca="false">IF(AND(Dashboard!$C$9="Yes",AC1756=1),0,1)</f>
        <v>1</v>
      </c>
      <c r="AF1756" s="62" t="n">
        <v>1</v>
      </c>
    </row>
    <row r="1757" customFormat="false" ht="15" hidden="false" customHeight="false" outlineLevel="0" collapsed="false">
      <c r="A1757" s="62" t="n">
        <v>1756</v>
      </c>
      <c r="B1757" s="63" t="n">
        <v>46275.1023726852</v>
      </c>
      <c r="C1757" s="64" t="n">
        <v>46274</v>
      </c>
      <c r="D1757" s="62" t="s">
        <v>143</v>
      </c>
      <c r="E1757" s="62" t="s">
        <v>144</v>
      </c>
      <c r="F1757" s="62" t="s">
        <v>144</v>
      </c>
      <c r="G1757" s="62" t="s">
        <v>145</v>
      </c>
      <c r="H1757" s="62" t="s">
        <v>59</v>
      </c>
      <c r="I1757" s="62" t="s">
        <v>47</v>
      </c>
      <c r="J1757" s="62" t="s">
        <v>146</v>
      </c>
      <c r="K1757" s="62" t="s">
        <v>147</v>
      </c>
      <c r="L1757" s="62" t="s">
        <v>148</v>
      </c>
      <c r="M1757" s="62" t="n">
        <v>0</v>
      </c>
      <c r="N1757" s="62" t="n">
        <v>1</v>
      </c>
      <c r="O1757" s="62" t="n">
        <v>1</v>
      </c>
      <c r="P1757" s="62" t="n">
        <v>1</v>
      </c>
      <c r="Q1757" s="62" t="n">
        <v>0</v>
      </c>
      <c r="R1757" s="62" t="n">
        <v>0</v>
      </c>
      <c r="S1757" s="62" t="n">
        <v>0</v>
      </c>
      <c r="T1757" s="62" t="n">
        <v>0</v>
      </c>
      <c r="U1757" s="62"/>
      <c r="V1757" s="62"/>
      <c r="W1757" s="62"/>
      <c r="X1757" s="62"/>
      <c r="Y1757" s="62"/>
      <c r="Z1757" s="62" t="s">
        <v>3260</v>
      </c>
      <c r="AA1757" s="62" t="s">
        <v>3261</v>
      </c>
      <c r="AB1757" s="62" t="n">
        <v>1</v>
      </c>
      <c r="AC1757" s="62" t="n">
        <v>0</v>
      </c>
      <c r="AD1757" s="62" t="n">
        <v>1</v>
      </c>
      <c r="AE1757" s="62" t="n">
        <f aca="false">IF(AND(Dashboard!$C$9="Yes",AC1757=1),0,1)</f>
        <v>1</v>
      </c>
      <c r="AF1757" s="62" t="n">
        <v>0</v>
      </c>
    </row>
    <row r="1758" customFormat="false" ht="15" hidden="false" customHeight="false" outlineLevel="0" collapsed="false">
      <c r="A1758" s="62" t="n">
        <v>1757</v>
      </c>
      <c r="B1758" s="63" t="n">
        <v>46275.1025231482</v>
      </c>
      <c r="C1758" s="64" t="n">
        <v>46274</v>
      </c>
      <c r="D1758" s="62" t="s">
        <v>143</v>
      </c>
      <c r="E1758" s="62" t="s">
        <v>144</v>
      </c>
      <c r="F1758" s="62" t="s">
        <v>144</v>
      </c>
      <c r="G1758" s="62" t="s">
        <v>145</v>
      </c>
      <c r="H1758" s="62" t="s">
        <v>59</v>
      </c>
      <c r="I1758" s="62" t="s">
        <v>47</v>
      </c>
      <c r="J1758" s="62" t="s">
        <v>146</v>
      </c>
      <c r="K1758" s="62" t="s">
        <v>147</v>
      </c>
      <c r="L1758" s="62" t="s">
        <v>148</v>
      </c>
      <c r="M1758" s="62" t="n">
        <v>0</v>
      </c>
      <c r="N1758" s="62" t="n">
        <v>1</v>
      </c>
      <c r="O1758" s="62" t="n">
        <v>1</v>
      </c>
      <c r="P1758" s="62" t="n">
        <v>1</v>
      </c>
      <c r="Q1758" s="62" t="n">
        <v>0</v>
      </c>
      <c r="R1758" s="62" t="n">
        <v>0</v>
      </c>
      <c r="S1758" s="62" t="n">
        <v>0</v>
      </c>
      <c r="T1758" s="62" t="n">
        <v>0</v>
      </c>
      <c r="U1758" s="62"/>
      <c r="V1758" s="62"/>
      <c r="W1758" s="62"/>
      <c r="X1758" s="62"/>
      <c r="Y1758" s="62"/>
      <c r="Z1758" s="62" t="s">
        <v>3260</v>
      </c>
      <c r="AA1758" s="62" t="s">
        <v>3261</v>
      </c>
      <c r="AB1758" s="62" t="n">
        <v>1</v>
      </c>
      <c r="AC1758" s="62" t="n">
        <v>1</v>
      </c>
      <c r="AD1758" s="62" t="n">
        <v>1</v>
      </c>
      <c r="AE1758" s="62" t="n">
        <f aca="false">IF(AND(Dashboard!$C$9="Yes",AC1758=1),0,1)</f>
        <v>0</v>
      </c>
      <c r="AF1758" s="62" t="n">
        <v>0</v>
      </c>
    </row>
    <row r="1759" customFormat="false" ht="15" hidden="false" customHeight="false" outlineLevel="0" collapsed="false">
      <c r="A1759" s="62" t="n">
        <v>1758</v>
      </c>
      <c r="B1759" s="63" t="n">
        <v>46275.1027199074</v>
      </c>
      <c r="C1759" s="64" t="n">
        <v>46274</v>
      </c>
      <c r="D1759" s="62" t="s">
        <v>143</v>
      </c>
      <c r="E1759" s="62" t="s">
        <v>144</v>
      </c>
      <c r="F1759" s="62" t="s">
        <v>144</v>
      </c>
      <c r="G1759" s="62" t="s">
        <v>145</v>
      </c>
      <c r="H1759" s="62" t="s">
        <v>59</v>
      </c>
      <c r="I1759" s="62" t="s">
        <v>47</v>
      </c>
      <c r="J1759" s="62" t="s">
        <v>146</v>
      </c>
      <c r="K1759" s="62" t="s">
        <v>147</v>
      </c>
      <c r="L1759" s="62" t="s">
        <v>148</v>
      </c>
      <c r="M1759" s="62" t="n">
        <v>0</v>
      </c>
      <c r="N1759" s="62" t="n">
        <v>1</v>
      </c>
      <c r="O1759" s="62" t="n">
        <v>1</v>
      </c>
      <c r="P1759" s="62" t="n">
        <v>1</v>
      </c>
      <c r="Q1759" s="62" t="n">
        <v>0</v>
      </c>
      <c r="R1759" s="62" t="n">
        <v>0</v>
      </c>
      <c r="S1759" s="62" t="n">
        <v>0</v>
      </c>
      <c r="T1759" s="62" t="n">
        <v>0</v>
      </c>
      <c r="U1759" s="62"/>
      <c r="V1759" s="62"/>
      <c r="W1759" s="62"/>
      <c r="X1759" s="62"/>
      <c r="Y1759" s="62"/>
      <c r="Z1759" s="62" t="s">
        <v>3260</v>
      </c>
      <c r="AA1759" s="62" t="s">
        <v>3260</v>
      </c>
      <c r="AB1759" s="62" t="n">
        <v>1</v>
      </c>
      <c r="AC1759" s="62" t="n">
        <v>0</v>
      </c>
      <c r="AD1759" s="62" t="n">
        <v>1</v>
      </c>
      <c r="AE1759" s="62" t="n">
        <f aca="false">IF(AND(Dashboard!$C$9="Yes",AC1759=1),0,1)</f>
        <v>1</v>
      </c>
      <c r="AF1759" s="62" t="n">
        <v>0</v>
      </c>
    </row>
    <row r="1760" customFormat="false" ht="15" hidden="false" customHeight="false" outlineLevel="0" collapsed="false">
      <c r="A1760" s="62" t="n">
        <v>1759</v>
      </c>
      <c r="B1760" s="63" t="n">
        <v>46275.1028819445</v>
      </c>
      <c r="C1760" s="64" t="n">
        <v>46274</v>
      </c>
      <c r="D1760" s="62" t="s">
        <v>143</v>
      </c>
      <c r="E1760" s="62" t="s">
        <v>144</v>
      </c>
      <c r="F1760" s="62" t="s">
        <v>144</v>
      </c>
      <c r="G1760" s="62" t="s">
        <v>145</v>
      </c>
      <c r="H1760" s="62" t="s">
        <v>59</v>
      </c>
      <c r="I1760" s="62" t="s">
        <v>47</v>
      </c>
      <c r="J1760" s="62" t="s">
        <v>146</v>
      </c>
      <c r="K1760" s="62" t="s">
        <v>147</v>
      </c>
      <c r="L1760" s="62" t="s">
        <v>148</v>
      </c>
      <c r="M1760" s="62" t="n">
        <v>0</v>
      </c>
      <c r="N1760" s="62" t="n">
        <v>1</v>
      </c>
      <c r="O1760" s="62" t="n">
        <v>1</v>
      </c>
      <c r="P1760" s="62" t="n">
        <v>1</v>
      </c>
      <c r="Q1760" s="62" t="n">
        <v>0</v>
      </c>
      <c r="R1760" s="62" t="n">
        <v>0</v>
      </c>
      <c r="S1760" s="62" t="n">
        <v>0</v>
      </c>
      <c r="T1760" s="62" t="n">
        <v>0</v>
      </c>
      <c r="U1760" s="62"/>
      <c r="V1760" s="62"/>
      <c r="W1760" s="62"/>
      <c r="X1760" s="62"/>
      <c r="Y1760" s="62"/>
      <c r="Z1760" s="62" t="s">
        <v>3260</v>
      </c>
      <c r="AA1760" s="62" t="s">
        <v>3261</v>
      </c>
      <c r="AB1760" s="62" t="n">
        <v>1</v>
      </c>
      <c r="AC1760" s="62" t="n">
        <v>1</v>
      </c>
      <c r="AD1760" s="62" t="n">
        <v>1</v>
      </c>
      <c r="AE1760" s="62" t="n">
        <f aca="false">IF(AND(Dashboard!$C$9="Yes",AC1760=1),0,1)</f>
        <v>0</v>
      </c>
      <c r="AF1760" s="62" t="n">
        <v>0</v>
      </c>
    </row>
    <row r="1761" customFormat="false" ht="15" hidden="false" customHeight="false" outlineLevel="0" collapsed="false">
      <c r="A1761" s="62" t="n">
        <v>1760</v>
      </c>
      <c r="B1761" s="63" t="n">
        <v>46275.1931597222</v>
      </c>
      <c r="C1761" s="64" t="n">
        <v>46274</v>
      </c>
      <c r="D1761" s="62" t="s">
        <v>143</v>
      </c>
      <c r="E1761" s="62" t="s">
        <v>1590</v>
      </c>
      <c r="F1761" s="62" t="s">
        <v>1590</v>
      </c>
      <c r="G1761" s="62" t="s">
        <v>1591</v>
      </c>
      <c r="H1761" s="62" t="s">
        <v>52</v>
      </c>
      <c r="I1761" s="62" t="s">
        <v>47</v>
      </c>
      <c r="J1761" s="62" t="s">
        <v>146</v>
      </c>
      <c r="K1761" s="62" t="s">
        <v>209</v>
      </c>
      <c r="L1761" s="62" t="s">
        <v>148</v>
      </c>
      <c r="M1761" s="62" t="n">
        <v>0</v>
      </c>
      <c r="N1761" s="62" t="n">
        <v>1</v>
      </c>
      <c r="O1761" s="62" t="n">
        <v>1</v>
      </c>
      <c r="P1761" s="62" t="n">
        <v>0</v>
      </c>
      <c r="Q1761" s="62" t="n">
        <v>1</v>
      </c>
      <c r="R1761" s="62" t="n">
        <v>0</v>
      </c>
      <c r="S1761" s="62" t="n">
        <v>0</v>
      </c>
      <c r="T1761" s="62" t="n">
        <v>0</v>
      </c>
      <c r="U1761" s="62"/>
      <c r="V1761" s="62"/>
      <c r="W1761" s="62"/>
      <c r="X1761" s="62"/>
      <c r="Y1761" s="62"/>
      <c r="Z1761" s="62" t="s">
        <v>3262</v>
      </c>
      <c r="AA1761" s="62" t="s">
        <v>3263</v>
      </c>
      <c r="AB1761" s="62" t="n">
        <v>1</v>
      </c>
      <c r="AC1761" s="62" t="n">
        <v>0</v>
      </c>
      <c r="AD1761" s="62" t="n">
        <v>1</v>
      </c>
      <c r="AE1761" s="62" t="n">
        <f aca="false">IF(AND(Dashboard!$C$9="Yes",AC1761=1),0,1)</f>
        <v>1</v>
      </c>
      <c r="AF1761" s="62" t="n">
        <v>1</v>
      </c>
    </row>
    <row r="1762" customFormat="false" ht="15" hidden="false" customHeight="false" outlineLevel="0" collapsed="false">
      <c r="A1762" s="62" t="n">
        <v>1761</v>
      </c>
      <c r="B1762" s="63" t="n">
        <v>46275.232962963</v>
      </c>
      <c r="C1762" s="64" t="n">
        <v>46274</v>
      </c>
      <c r="D1762" s="62" t="s">
        <v>143</v>
      </c>
      <c r="E1762" s="62" t="s">
        <v>144</v>
      </c>
      <c r="F1762" s="62" t="s">
        <v>144</v>
      </c>
      <c r="G1762" s="62" t="s">
        <v>145</v>
      </c>
      <c r="H1762" s="62" t="s">
        <v>59</v>
      </c>
      <c r="I1762" s="62" t="s">
        <v>47</v>
      </c>
      <c r="J1762" s="62" t="s">
        <v>146</v>
      </c>
      <c r="K1762" s="62" t="s">
        <v>147</v>
      </c>
      <c r="L1762" s="62" t="s">
        <v>4</v>
      </c>
      <c r="M1762" s="62" t="n">
        <v>1</v>
      </c>
      <c r="N1762" s="62" t="n">
        <v>0</v>
      </c>
      <c r="O1762" s="62" t="n">
        <v>1</v>
      </c>
      <c r="P1762" s="62" t="n">
        <v>0</v>
      </c>
      <c r="Q1762" s="62" t="n">
        <v>0</v>
      </c>
      <c r="R1762" s="62" t="n">
        <v>0</v>
      </c>
      <c r="S1762" s="62" t="n">
        <v>0</v>
      </c>
      <c r="T1762" s="62" t="n">
        <v>0</v>
      </c>
      <c r="U1762" s="62" t="s">
        <v>2056</v>
      </c>
      <c r="V1762" s="62" t="s">
        <v>2057</v>
      </c>
      <c r="W1762" s="62" t="s">
        <v>15</v>
      </c>
      <c r="X1762" s="62" t="s">
        <v>2058</v>
      </c>
      <c r="Y1762" s="62" t="s">
        <v>2059</v>
      </c>
      <c r="Z1762" s="62" t="s">
        <v>3264</v>
      </c>
      <c r="AA1762" s="62" t="s">
        <v>3265</v>
      </c>
      <c r="AB1762" s="62" t="n">
        <v>1</v>
      </c>
      <c r="AC1762" s="62" t="n">
        <v>0</v>
      </c>
      <c r="AD1762" s="62" t="n">
        <v>1</v>
      </c>
      <c r="AE1762" s="62" t="n">
        <f aca="false">IF(AND(Dashboard!$C$9="Yes",AC1762=1),0,1)</f>
        <v>1</v>
      </c>
      <c r="AF1762" s="62" t="n">
        <v>0</v>
      </c>
    </row>
    <row r="1763" customFormat="false" ht="15" hidden="false" customHeight="false" outlineLevel="0" collapsed="false">
      <c r="A1763" s="62" t="n">
        <v>1762</v>
      </c>
      <c r="B1763" s="63" t="n">
        <v>46275.2333333333</v>
      </c>
      <c r="C1763" s="64" t="n">
        <v>46274</v>
      </c>
      <c r="D1763" s="62" t="s">
        <v>143</v>
      </c>
      <c r="E1763" s="62" t="s">
        <v>144</v>
      </c>
      <c r="F1763" s="62" t="s">
        <v>144</v>
      </c>
      <c r="G1763" s="62" t="s">
        <v>145</v>
      </c>
      <c r="H1763" s="62" t="s">
        <v>59</v>
      </c>
      <c r="I1763" s="62" t="s">
        <v>47</v>
      </c>
      <c r="J1763" s="62" t="s">
        <v>146</v>
      </c>
      <c r="K1763" s="62" t="s">
        <v>147</v>
      </c>
      <c r="L1763" s="62" t="s">
        <v>4</v>
      </c>
      <c r="M1763" s="62" t="n">
        <v>1</v>
      </c>
      <c r="N1763" s="62" t="n">
        <v>0</v>
      </c>
      <c r="O1763" s="62" t="n">
        <v>1</v>
      </c>
      <c r="P1763" s="62" t="n">
        <v>0</v>
      </c>
      <c r="Q1763" s="62" t="n">
        <v>0</v>
      </c>
      <c r="R1763" s="62" t="n">
        <v>0</v>
      </c>
      <c r="S1763" s="62" t="n">
        <v>0</v>
      </c>
      <c r="T1763" s="62" t="n">
        <v>0</v>
      </c>
      <c r="U1763" s="62" t="s">
        <v>2056</v>
      </c>
      <c r="V1763" s="62" t="s">
        <v>2057</v>
      </c>
      <c r="W1763" s="62" t="s">
        <v>15</v>
      </c>
      <c r="X1763" s="62" t="s">
        <v>2058</v>
      </c>
      <c r="Y1763" s="62" t="s">
        <v>2059</v>
      </c>
      <c r="Z1763" s="62" t="s">
        <v>3264</v>
      </c>
      <c r="AA1763" s="62" t="s">
        <v>3265</v>
      </c>
      <c r="AB1763" s="62" t="n">
        <v>1</v>
      </c>
      <c r="AC1763" s="62" t="n">
        <v>1</v>
      </c>
      <c r="AD1763" s="62" t="n">
        <v>1</v>
      </c>
      <c r="AE1763" s="62" t="n">
        <f aca="false">IF(AND(Dashboard!$C$9="Yes",AC1763=1),0,1)</f>
        <v>0</v>
      </c>
      <c r="AF1763" s="62" t="n">
        <v>0</v>
      </c>
    </row>
    <row r="1764" customFormat="false" ht="15" hidden="false" customHeight="false" outlineLevel="0" collapsed="false">
      <c r="A1764" s="62" t="n">
        <v>1763</v>
      </c>
      <c r="B1764" s="63" t="n">
        <v>46275.2447685185</v>
      </c>
      <c r="C1764" s="64" t="n">
        <v>46274</v>
      </c>
      <c r="D1764" s="62" t="s">
        <v>143</v>
      </c>
      <c r="E1764" s="62" t="s">
        <v>144</v>
      </c>
      <c r="F1764" s="62" t="s">
        <v>144</v>
      </c>
      <c r="G1764" s="62" t="s">
        <v>145</v>
      </c>
      <c r="H1764" s="62" t="s">
        <v>59</v>
      </c>
      <c r="I1764" s="62" t="s">
        <v>47</v>
      </c>
      <c r="J1764" s="62" t="s">
        <v>146</v>
      </c>
      <c r="K1764" s="62" t="s">
        <v>147</v>
      </c>
      <c r="L1764" s="62" t="s">
        <v>4</v>
      </c>
      <c r="M1764" s="62" t="n">
        <v>1</v>
      </c>
      <c r="N1764" s="62" t="n">
        <v>0</v>
      </c>
      <c r="O1764" s="62" t="n">
        <v>1</v>
      </c>
      <c r="P1764" s="62" t="n">
        <v>0</v>
      </c>
      <c r="Q1764" s="62" t="n">
        <v>0</v>
      </c>
      <c r="R1764" s="62" t="n">
        <v>0</v>
      </c>
      <c r="S1764" s="62" t="n">
        <v>0</v>
      </c>
      <c r="T1764" s="62" t="n">
        <v>0</v>
      </c>
      <c r="U1764" s="62" t="s">
        <v>2056</v>
      </c>
      <c r="V1764" s="62" t="s">
        <v>2057</v>
      </c>
      <c r="W1764" s="62" t="s">
        <v>15</v>
      </c>
      <c r="X1764" s="62" t="s">
        <v>2058</v>
      </c>
      <c r="Y1764" s="62" t="s">
        <v>2059</v>
      </c>
      <c r="Z1764" s="62" t="s">
        <v>3266</v>
      </c>
      <c r="AA1764" s="62" t="s">
        <v>3267</v>
      </c>
      <c r="AB1764" s="62" t="n">
        <v>1</v>
      </c>
      <c r="AC1764" s="62" t="n">
        <v>0</v>
      </c>
      <c r="AD1764" s="62" t="n">
        <v>1</v>
      </c>
      <c r="AE1764" s="62" t="n">
        <f aca="false">IF(AND(Dashboard!$C$9="Yes",AC1764=1),0,1)</f>
        <v>1</v>
      </c>
      <c r="AF1764" s="62" t="n">
        <v>0</v>
      </c>
    </row>
    <row r="1765" customFormat="false" ht="15" hidden="false" customHeight="false" outlineLevel="0" collapsed="false">
      <c r="A1765" s="62" t="n">
        <v>1764</v>
      </c>
      <c r="B1765" s="63" t="n">
        <v>46275.2452430556</v>
      </c>
      <c r="C1765" s="64" t="n">
        <v>46274</v>
      </c>
      <c r="D1765" s="62" t="s">
        <v>143</v>
      </c>
      <c r="E1765" s="62" t="s">
        <v>144</v>
      </c>
      <c r="F1765" s="62" t="s">
        <v>144</v>
      </c>
      <c r="G1765" s="62" t="s">
        <v>145</v>
      </c>
      <c r="H1765" s="62" t="s">
        <v>59</v>
      </c>
      <c r="I1765" s="62" t="s">
        <v>47</v>
      </c>
      <c r="J1765" s="62" t="s">
        <v>146</v>
      </c>
      <c r="K1765" s="62" t="s">
        <v>147</v>
      </c>
      <c r="L1765" s="62" t="s">
        <v>4</v>
      </c>
      <c r="M1765" s="62" t="n">
        <v>1</v>
      </c>
      <c r="N1765" s="62" t="n">
        <v>0</v>
      </c>
      <c r="O1765" s="62" t="n">
        <v>1</v>
      </c>
      <c r="P1765" s="62" t="n">
        <v>0</v>
      </c>
      <c r="Q1765" s="62" t="n">
        <v>0</v>
      </c>
      <c r="R1765" s="62" t="n">
        <v>0</v>
      </c>
      <c r="S1765" s="62" t="n">
        <v>0</v>
      </c>
      <c r="T1765" s="62" t="n">
        <v>0</v>
      </c>
      <c r="U1765" s="62" t="s">
        <v>2056</v>
      </c>
      <c r="V1765" s="62" t="s">
        <v>2057</v>
      </c>
      <c r="W1765" s="62" t="s">
        <v>15</v>
      </c>
      <c r="X1765" s="62" t="s">
        <v>2058</v>
      </c>
      <c r="Y1765" s="62" t="s">
        <v>2059</v>
      </c>
      <c r="Z1765" s="62" t="s">
        <v>3266</v>
      </c>
      <c r="AA1765" s="62" t="s">
        <v>3267</v>
      </c>
      <c r="AB1765" s="62" t="n">
        <v>1</v>
      </c>
      <c r="AC1765" s="62" t="n">
        <v>1</v>
      </c>
      <c r="AD1765" s="62" t="n">
        <v>1</v>
      </c>
      <c r="AE1765" s="62" t="n">
        <f aca="false">IF(AND(Dashboard!$C$9="Yes",AC1765=1),0,1)</f>
        <v>0</v>
      </c>
      <c r="AF1765" s="62" t="n">
        <v>0</v>
      </c>
    </row>
    <row r="1766" customFormat="false" ht="15" hidden="false" customHeight="false" outlineLevel="0" collapsed="false">
      <c r="A1766" s="62" t="n">
        <v>1765</v>
      </c>
      <c r="B1766" s="63" t="n">
        <v>46275.6040625</v>
      </c>
      <c r="C1766" s="64" t="n">
        <v>46275</v>
      </c>
      <c r="D1766" s="62" t="s">
        <v>202</v>
      </c>
      <c r="E1766" s="62" t="s">
        <v>939</v>
      </c>
      <c r="F1766" s="62" t="s">
        <v>939</v>
      </c>
      <c r="G1766" s="62" t="s">
        <v>940</v>
      </c>
      <c r="H1766" s="62" t="s">
        <v>57</v>
      </c>
      <c r="I1766" s="62" t="s">
        <v>47</v>
      </c>
      <c r="J1766" s="62" t="s">
        <v>146</v>
      </c>
      <c r="K1766" s="62" t="s">
        <v>147</v>
      </c>
      <c r="L1766" s="62" t="s">
        <v>148</v>
      </c>
      <c r="M1766" s="62" t="n">
        <v>0</v>
      </c>
      <c r="N1766" s="62" t="n">
        <v>1</v>
      </c>
      <c r="O1766" s="62" t="n">
        <v>1</v>
      </c>
      <c r="P1766" s="62" t="n">
        <v>0</v>
      </c>
      <c r="Q1766" s="62" t="n">
        <v>0</v>
      </c>
      <c r="R1766" s="62" t="n">
        <v>1</v>
      </c>
      <c r="S1766" s="62" t="n">
        <v>0</v>
      </c>
      <c r="T1766" s="62" t="n">
        <v>0</v>
      </c>
      <c r="U1766" s="62"/>
      <c r="V1766" s="62"/>
      <c r="W1766" s="62"/>
      <c r="X1766" s="62"/>
      <c r="Y1766" s="62"/>
      <c r="Z1766" s="62" t="s">
        <v>3268</v>
      </c>
      <c r="AA1766" s="62" t="s">
        <v>3269</v>
      </c>
      <c r="AB1766" s="62" t="n">
        <v>1</v>
      </c>
      <c r="AC1766" s="62" t="n">
        <v>0</v>
      </c>
      <c r="AD1766" s="62" t="n">
        <v>1</v>
      </c>
      <c r="AE1766" s="62" t="n">
        <f aca="false">IF(AND(Dashboard!$C$9="Yes",AC1766=1),0,1)</f>
        <v>1</v>
      </c>
      <c r="AF1766" s="62" t="n">
        <v>1</v>
      </c>
    </row>
    <row r="1767" customFormat="false" ht="15" hidden="false" customHeight="false" outlineLevel="0" collapsed="false">
      <c r="A1767" s="62" t="n">
        <v>1766</v>
      </c>
      <c r="B1767" s="63" t="n">
        <v>46275.6379282407</v>
      </c>
      <c r="C1767" s="64" t="n">
        <v>46275</v>
      </c>
      <c r="D1767" s="62" t="s">
        <v>202</v>
      </c>
      <c r="E1767" s="62" t="s">
        <v>2620</v>
      </c>
      <c r="F1767" s="62" t="s">
        <v>2620</v>
      </c>
      <c r="G1767" s="62" t="s">
        <v>2621</v>
      </c>
      <c r="H1767" s="62" t="s">
        <v>48</v>
      </c>
      <c r="I1767" s="62" t="s">
        <v>49</v>
      </c>
      <c r="J1767" s="62" t="s">
        <v>146</v>
      </c>
      <c r="K1767" s="62" t="s">
        <v>209</v>
      </c>
      <c r="L1767" s="62" t="s">
        <v>148</v>
      </c>
      <c r="M1767" s="62" t="n">
        <v>0</v>
      </c>
      <c r="N1767" s="62" t="n">
        <v>1</v>
      </c>
      <c r="O1767" s="62" t="n">
        <v>1</v>
      </c>
      <c r="P1767" s="62" t="n">
        <v>1</v>
      </c>
      <c r="Q1767" s="62" t="n">
        <v>0</v>
      </c>
      <c r="R1767" s="62" t="n">
        <v>0</v>
      </c>
      <c r="S1767" s="62" t="n">
        <v>0</v>
      </c>
      <c r="T1767" s="62" t="n">
        <v>0</v>
      </c>
      <c r="U1767" s="62"/>
      <c r="V1767" s="62"/>
      <c r="W1767" s="62"/>
      <c r="X1767" s="62"/>
      <c r="Y1767" s="62"/>
      <c r="Z1767" s="62" t="s">
        <v>3270</v>
      </c>
      <c r="AA1767" s="62" t="s">
        <v>3271</v>
      </c>
      <c r="AB1767" s="62" t="n">
        <v>1</v>
      </c>
      <c r="AC1767" s="62" t="n">
        <v>0</v>
      </c>
      <c r="AD1767" s="62" t="n">
        <v>1</v>
      </c>
      <c r="AE1767" s="62" t="n">
        <f aca="false">IF(AND(Dashboard!$C$9="Yes",AC1767=1),0,1)</f>
        <v>1</v>
      </c>
      <c r="AF1767" s="62" t="n">
        <v>1</v>
      </c>
    </row>
    <row r="1768" customFormat="false" ht="15" hidden="false" customHeight="false" outlineLevel="0" collapsed="false">
      <c r="A1768" s="62" t="n">
        <v>1767</v>
      </c>
      <c r="B1768" s="63" t="n">
        <v>46275.6869097222</v>
      </c>
      <c r="C1768" s="64" t="n">
        <v>46275</v>
      </c>
      <c r="D1768" s="62" t="s">
        <v>202</v>
      </c>
      <c r="E1768" s="62" t="s">
        <v>3272</v>
      </c>
      <c r="F1768" s="62" t="s">
        <v>3272</v>
      </c>
      <c r="G1768" s="62" t="s">
        <v>3273</v>
      </c>
      <c r="H1768" s="62" t="s">
        <v>48</v>
      </c>
      <c r="I1768" s="62" t="s">
        <v>49</v>
      </c>
      <c r="J1768" s="62" t="s">
        <v>146</v>
      </c>
      <c r="K1768" s="62" t="s">
        <v>209</v>
      </c>
      <c r="L1768" s="62" t="s">
        <v>4</v>
      </c>
      <c r="M1768" s="62" t="n">
        <v>1</v>
      </c>
      <c r="N1768" s="62" t="n">
        <v>0</v>
      </c>
      <c r="O1768" s="62" t="n">
        <v>1</v>
      </c>
      <c r="P1768" s="62" t="n">
        <v>0</v>
      </c>
      <c r="Q1768" s="62" t="n">
        <v>0</v>
      </c>
      <c r="R1768" s="62" t="n">
        <v>0</v>
      </c>
      <c r="S1768" s="62" t="n">
        <v>0</v>
      </c>
      <c r="T1768" s="62" t="n">
        <v>0</v>
      </c>
      <c r="U1768" s="62" t="s">
        <v>15</v>
      </c>
      <c r="V1768" s="62" t="s">
        <v>2057</v>
      </c>
      <c r="W1768" s="62" t="s">
        <v>15</v>
      </c>
      <c r="X1768" s="62" t="s">
        <v>2058</v>
      </c>
      <c r="Y1768" s="62" t="s">
        <v>2059</v>
      </c>
      <c r="Z1768" s="62" t="s">
        <v>3274</v>
      </c>
      <c r="AA1768" s="62" t="s">
        <v>3275</v>
      </c>
      <c r="AB1768" s="62" t="n">
        <v>0</v>
      </c>
      <c r="AC1768" s="62" t="n">
        <v>0</v>
      </c>
      <c r="AD1768" s="62" t="n">
        <v>1</v>
      </c>
      <c r="AE1768" s="62" t="n">
        <f aca="false">IF(AND(Dashboard!$C$9="Yes",AC1768=1),0,1)</f>
        <v>1</v>
      </c>
      <c r="AF1768" s="62" t="n">
        <v>1</v>
      </c>
    </row>
    <row r="1769" customFormat="false" ht="15" hidden="false" customHeight="false" outlineLevel="0" collapsed="false">
      <c r="A1769" s="62" t="n">
        <v>1768</v>
      </c>
      <c r="B1769" s="63" t="n">
        <v>46275.758125</v>
      </c>
      <c r="C1769" s="64" t="n">
        <v>46275</v>
      </c>
      <c r="D1769" s="62" t="s">
        <v>202</v>
      </c>
      <c r="E1769" s="62" t="s">
        <v>156</v>
      </c>
      <c r="F1769" s="62" t="s">
        <v>156</v>
      </c>
      <c r="G1769" s="62" t="s">
        <v>157</v>
      </c>
      <c r="H1769" s="62" t="s">
        <v>51</v>
      </c>
      <c r="I1769" s="62" t="s">
        <v>47</v>
      </c>
      <c r="J1769" s="62" t="s">
        <v>146</v>
      </c>
      <c r="K1769" s="62" t="s">
        <v>147</v>
      </c>
      <c r="L1769" s="62" t="s">
        <v>148</v>
      </c>
      <c r="M1769" s="62" t="n">
        <v>0</v>
      </c>
      <c r="N1769" s="62" t="n">
        <v>2</v>
      </c>
      <c r="O1769" s="62" t="n">
        <v>2</v>
      </c>
      <c r="P1769" s="62" t="n">
        <v>0</v>
      </c>
      <c r="Q1769" s="62" t="n">
        <v>0</v>
      </c>
      <c r="R1769" s="62" t="n">
        <v>2</v>
      </c>
      <c r="S1769" s="62" t="n">
        <v>0</v>
      </c>
      <c r="T1769" s="62" t="n">
        <v>0</v>
      </c>
      <c r="U1769" s="62"/>
      <c r="V1769" s="62"/>
      <c r="W1769" s="62"/>
      <c r="X1769" s="62"/>
      <c r="Y1769" s="62"/>
      <c r="Z1769" s="62" t="s">
        <v>3276</v>
      </c>
      <c r="AA1769" s="62" t="s">
        <v>3277</v>
      </c>
      <c r="AB1769" s="62" t="n">
        <v>1</v>
      </c>
      <c r="AC1769" s="62" t="n">
        <v>0</v>
      </c>
      <c r="AD1769" s="62" t="n">
        <v>1</v>
      </c>
      <c r="AE1769" s="62" t="n">
        <f aca="false">IF(AND(Dashboard!$C$9="Yes",AC1769=1),0,1)</f>
        <v>1</v>
      </c>
      <c r="AF1769" s="62" t="n">
        <v>1</v>
      </c>
    </row>
    <row r="1770" customFormat="false" ht="15" hidden="false" customHeight="false" outlineLevel="0" collapsed="false">
      <c r="A1770" s="62" t="n">
        <v>1769</v>
      </c>
      <c r="B1770" s="63" t="n">
        <v>46275.7969444445</v>
      </c>
      <c r="C1770" s="64" t="n">
        <v>46275</v>
      </c>
      <c r="D1770" s="62" t="s">
        <v>202</v>
      </c>
      <c r="E1770" s="62" t="s">
        <v>156</v>
      </c>
      <c r="F1770" s="62" t="s">
        <v>156</v>
      </c>
      <c r="G1770" s="62" t="s">
        <v>157</v>
      </c>
      <c r="H1770" s="62" t="s">
        <v>51</v>
      </c>
      <c r="I1770" s="62" t="s">
        <v>47</v>
      </c>
      <c r="J1770" s="62" t="s">
        <v>146</v>
      </c>
      <c r="K1770" s="62" t="s">
        <v>147</v>
      </c>
      <c r="L1770" s="62" t="s">
        <v>148</v>
      </c>
      <c r="M1770" s="62" t="n">
        <v>0</v>
      </c>
      <c r="N1770" s="62" t="n">
        <v>1</v>
      </c>
      <c r="O1770" s="62" t="n">
        <v>1</v>
      </c>
      <c r="P1770" s="62" t="n">
        <v>1</v>
      </c>
      <c r="Q1770" s="62" t="n">
        <v>0</v>
      </c>
      <c r="R1770" s="62" t="n">
        <v>0</v>
      </c>
      <c r="S1770" s="62" t="n">
        <v>0</v>
      </c>
      <c r="T1770" s="62" t="n">
        <v>0</v>
      </c>
      <c r="U1770" s="62"/>
      <c r="V1770" s="62"/>
      <c r="W1770" s="62"/>
      <c r="X1770" s="62"/>
      <c r="Y1770" s="62"/>
      <c r="Z1770" s="62" t="s">
        <v>3278</v>
      </c>
      <c r="AA1770" s="62" t="s">
        <v>3279</v>
      </c>
      <c r="AB1770" s="62" t="n">
        <v>1</v>
      </c>
      <c r="AC1770" s="62" t="n">
        <v>0</v>
      </c>
      <c r="AD1770" s="62" t="n">
        <v>1</v>
      </c>
      <c r="AE1770" s="62" t="n">
        <f aca="false">IF(AND(Dashboard!$C$9="Yes",AC1770=1),0,1)</f>
        <v>1</v>
      </c>
      <c r="AF1770" s="62" t="n">
        <v>0</v>
      </c>
    </row>
    <row r="1771" customFormat="false" ht="15" hidden="false" customHeight="false" outlineLevel="0" collapsed="false">
      <c r="A1771" s="62" t="n">
        <v>1770</v>
      </c>
      <c r="B1771" s="63" t="n">
        <v>46275.7971875</v>
      </c>
      <c r="C1771" s="64" t="n">
        <v>46275</v>
      </c>
      <c r="D1771" s="62" t="s">
        <v>202</v>
      </c>
      <c r="E1771" s="62" t="s">
        <v>3280</v>
      </c>
      <c r="F1771" s="62" t="s">
        <v>3281</v>
      </c>
      <c r="G1771" s="62" t="s">
        <v>153</v>
      </c>
      <c r="H1771" s="62" t="s">
        <v>153</v>
      </c>
      <c r="I1771" s="62" t="s">
        <v>153</v>
      </c>
      <c r="J1771" s="62" t="s">
        <v>64</v>
      </c>
      <c r="K1771" s="62" t="s">
        <v>64</v>
      </c>
      <c r="L1771" s="62" t="s">
        <v>148</v>
      </c>
      <c r="M1771" s="62" t="n">
        <v>0</v>
      </c>
      <c r="N1771" s="62" t="n">
        <v>2</v>
      </c>
      <c r="O1771" s="62" t="n">
        <v>2</v>
      </c>
      <c r="P1771" s="62" t="n">
        <v>1</v>
      </c>
      <c r="Q1771" s="62" t="n">
        <v>1</v>
      </c>
      <c r="R1771" s="62" t="n">
        <v>0</v>
      </c>
      <c r="S1771" s="62" t="n">
        <v>0</v>
      </c>
      <c r="T1771" s="62" t="n">
        <v>0</v>
      </c>
      <c r="U1771" s="62"/>
      <c r="V1771" s="62"/>
      <c r="W1771" s="62"/>
      <c r="X1771" s="62"/>
      <c r="Y1771" s="62"/>
      <c r="Z1771" s="62" t="s">
        <v>3282</v>
      </c>
      <c r="AA1771" s="62" t="s">
        <v>3015</v>
      </c>
      <c r="AB1771" s="62" t="n">
        <v>1</v>
      </c>
      <c r="AC1771" s="62" t="n">
        <v>0</v>
      </c>
      <c r="AD1771" s="62" t="n">
        <v>0</v>
      </c>
      <c r="AE1771" s="62" t="n">
        <f aca="false">IF(AND(Dashboard!$C$9="Yes",AC1771=1),0,1)</f>
        <v>1</v>
      </c>
      <c r="AF1771" s="62" t="n">
        <v>1</v>
      </c>
    </row>
    <row r="1772" customFormat="false" ht="15" hidden="false" customHeight="false" outlineLevel="0" collapsed="false">
      <c r="A1772" s="62" t="n">
        <v>1771</v>
      </c>
      <c r="B1772" s="63" t="n">
        <v>46275.8112962963</v>
      </c>
      <c r="C1772" s="64" t="n">
        <v>46275</v>
      </c>
      <c r="D1772" s="62" t="s">
        <v>202</v>
      </c>
      <c r="E1772" s="62" t="s">
        <v>3226</v>
      </c>
      <c r="F1772" s="62" t="s">
        <v>3226</v>
      </c>
      <c r="G1772" s="62" t="s">
        <v>3227</v>
      </c>
      <c r="H1772" s="62" t="s">
        <v>46</v>
      </c>
      <c r="I1772" s="62" t="s">
        <v>47</v>
      </c>
      <c r="J1772" s="62" t="s">
        <v>146</v>
      </c>
      <c r="K1772" s="62" t="s">
        <v>209</v>
      </c>
      <c r="L1772" s="62" t="s">
        <v>148</v>
      </c>
      <c r="M1772" s="62" t="n">
        <v>0</v>
      </c>
      <c r="N1772" s="62" t="n">
        <v>4</v>
      </c>
      <c r="O1772" s="62" t="n">
        <v>4</v>
      </c>
      <c r="P1772" s="62" t="n">
        <v>1</v>
      </c>
      <c r="Q1772" s="62" t="n">
        <v>1</v>
      </c>
      <c r="R1772" s="62" t="n">
        <v>0</v>
      </c>
      <c r="S1772" s="62" t="n">
        <v>1</v>
      </c>
      <c r="T1772" s="62" t="n">
        <v>1</v>
      </c>
      <c r="U1772" s="62"/>
      <c r="V1772" s="62"/>
      <c r="W1772" s="62"/>
      <c r="X1772" s="62"/>
      <c r="Y1772" s="62"/>
      <c r="Z1772" s="62" t="s">
        <v>3283</v>
      </c>
      <c r="AA1772" s="62" t="s">
        <v>3284</v>
      </c>
      <c r="AB1772" s="62" t="n">
        <v>0</v>
      </c>
      <c r="AC1772" s="62" t="n">
        <v>0</v>
      </c>
      <c r="AD1772" s="62" t="n">
        <v>1</v>
      </c>
      <c r="AE1772" s="62" t="n">
        <f aca="false">IF(AND(Dashboard!$C$9="Yes",AC1772=1),0,1)</f>
        <v>1</v>
      </c>
      <c r="AF1772" s="62" t="n">
        <v>1</v>
      </c>
    </row>
    <row r="1773" customFormat="false" ht="15" hidden="false" customHeight="false" outlineLevel="0" collapsed="false">
      <c r="A1773" s="62" t="n">
        <v>1772</v>
      </c>
      <c r="B1773" s="63" t="n">
        <v>46275.8505555556</v>
      </c>
      <c r="C1773" s="64" t="n">
        <v>46275</v>
      </c>
      <c r="D1773" s="62" t="s">
        <v>202</v>
      </c>
      <c r="E1773" s="62" t="s">
        <v>156</v>
      </c>
      <c r="F1773" s="62" t="s">
        <v>156</v>
      </c>
      <c r="G1773" s="62" t="s">
        <v>157</v>
      </c>
      <c r="H1773" s="62" t="s">
        <v>51</v>
      </c>
      <c r="I1773" s="62" t="s">
        <v>47</v>
      </c>
      <c r="J1773" s="62" t="s">
        <v>146</v>
      </c>
      <c r="K1773" s="62" t="s">
        <v>147</v>
      </c>
      <c r="L1773" s="62" t="s">
        <v>4</v>
      </c>
      <c r="M1773" s="62" t="n">
        <v>1</v>
      </c>
      <c r="N1773" s="62" t="n">
        <v>0</v>
      </c>
      <c r="O1773" s="62" t="n">
        <v>1</v>
      </c>
      <c r="P1773" s="62" t="n">
        <v>0</v>
      </c>
      <c r="Q1773" s="62" t="n">
        <v>0</v>
      </c>
      <c r="R1773" s="62" t="n">
        <v>0</v>
      </c>
      <c r="S1773" s="62" t="n">
        <v>0</v>
      </c>
      <c r="T1773" s="62" t="n">
        <v>0</v>
      </c>
      <c r="U1773" s="62" t="s">
        <v>2056</v>
      </c>
      <c r="V1773" s="62" t="s">
        <v>2057</v>
      </c>
      <c r="W1773" s="62" t="s">
        <v>15</v>
      </c>
      <c r="X1773" s="62" t="s">
        <v>2058</v>
      </c>
      <c r="Y1773" s="62" t="s">
        <v>2059</v>
      </c>
      <c r="Z1773" s="62" t="s">
        <v>3285</v>
      </c>
      <c r="AA1773" s="62" t="s">
        <v>3286</v>
      </c>
      <c r="AB1773" s="62" t="n">
        <v>0</v>
      </c>
      <c r="AC1773" s="62" t="n">
        <v>0</v>
      </c>
      <c r="AD1773" s="62" t="n">
        <v>1</v>
      </c>
      <c r="AE1773" s="62" t="n">
        <f aca="false">IF(AND(Dashboard!$C$9="Yes",AC1773=1),0,1)</f>
        <v>1</v>
      </c>
      <c r="AF1773" s="62" t="n">
        <v>0</v>
      </c>
    </row>
    <row r="1774" customFormat="false" ht="15" hidden="false" customHeight="false" outlineLevel="0" collapsed="false">
      <c r="A1774" s="62" t="n">
        <v>1773</v>
      </c>
      <c r="B1774" s="63" t="n">
        <v>46275.8556365741</v>
      </c>
      <c r="C1774" s="64" t="n">
        <v>46275</v>
      </c>
      <c r="D1774" s="62" t="s">
        <v>202</v>
      </c>
      <c r="E1774" s="62" t="s">
        <v>2540</v>
      </c>
      <c r="F1774" s="62" t="s">
        <v>2540</v>
      </c>
      <c r="G1774" s="62" t="s">
        <v>2541</v>
      </c>
      <c r="H1774" s="62" t="s">
        <v>48</v>
      </c>
      <c r="I1774" s="62" t="s">
        <v>49</v>
      </c>
      <c r="J1774" s="62" t="s">
        <v>146</v>
      </c>
      <c r="K1774" s="62" t="s">
        <v>209</v>
      </c>
      <c r="L1774" s="62" t="s">
        <v>148</v>
      </c>
      <c r="M1774" s="62" t="n">
        <v>0</v>
      </c>
      <c r="N1774" s="62" t="n">
        <v>1</v>
      </c>
      <c r="O1774" s="62" t="n">
        <v>1</v>
      </c>
      <c r="P1774" s="62" t="n">
        <v>1</v>
      </c>
      <c r="Q1774" s="62" t="n">
        <v>0</v>
      </c>
      <c r="R1774" s="62" t="n">
        <v>0</v>
      </c>
      <c r="S1774" s="62" t="n">
        <v>0</v>
      </c>
      <c r="T1774" s="62" t="n">
        <v>0</v>
      </c>
      <c r="U1774" s="62"/>
      <c r="V1774" s="62"/>
      <c r="W1774" s="62"/>
      <c r="X1774" s="62"/>
      <c r="Y1774" s="62"/>
      <c r="Z1774" s="62" t="s">
        <v>3287</v>
      </c>
      <c r="AA1774" s="62" t="s">
        <v>237</v>
      </c>
      <c r="AB1774" s="62" t="n">
        <v>0</v>
      </c>
      <c r="AC1774" s="62" t="n">
        <v>0</v>
      </c>
      <c r="AD1774" s="62" t="n">
        <v>1</v>
      </c>
      <c r="AE1774" s="62" t="n">
        <f aca="false">IF(AND(Dashboard!$C$9="Yes",AC1774=1),0,1)</f>
        <v>1</v>
      </c>
      <c r="AF1774" s="62" t="n">
        <v>1</v>
      </c>
    </row>
    <row r="1775" customFormat="false" ht="15" hidden="false" customHeight="false" outlineLevel="0" collapsed="false">
      <c r="A1775" s="62" t="n">
        <v>1774</v>
      </c>
      <c r="B1775" s="63" t="n">
        <v>46275.8637037037</v>
      </c>
      <c r="C1775" s="64" t="n">
        <v>46275</v>
      </c>
      <c r="D1775" s="62" t="s">
        <v>202</v>
      </c>
      <c r="E1775" s="62" t="s">
        <v>2119</v>
      </c>
      <c r="F1775" s="62" t="s">
        <v>2119</v>
      </c>
      <c r="G1775" s="62" t="s">
        <v>2120</v>
      </c>
      <c r="H1775" s="62" t="s">
        <v>52</v>
      </c>
      <c r="I1775" s="62" t="s">
        <v>47</v>
      </c>
      <c r="J1775" s="62" t="s">
        <v>146</v>
      </c>
      <c r="K1775" s="62" t="s">
        <v>147</v>
      </c>
      <c r="L1775" s="62" t="s">
        <v>148</v>
      </c>
      <c r="M1775" s="62" t="n">
        <v>0</v>
      </c>
      <c r="N1775" s="62" t="n">
        <v>1</v>
      </c>
      <c r="O1775" s="62" t="n">
        <v>1</v>
      </c>
      <c r="P1775" s="62" t="n">
        <v>1</v>
      </c>
      <c r="Q1775" s="62" t="n">
        <v>0</v>
      </c>
      <c r="R1775" s="62" t="n">
        <v>0</v>
      </c>
      <c r="S1775" s="62" t="n">
        <v>0</v>
      </c>
      <c r="T1775" s="62" t="n">
        <v>0</v>
      </c>
      <c r="U1775" s="62"/>
      <c r="V1775" s="62"/>
      <c r="W1775" s="62"/>
      <c r="X1775" s="62"/>
      <c r="Y1775" s="62"/>
      <c r="Z1775" s="62" t="s">
        <v>3288</v>
      </c>
      <c r="AA1775" s="62" t="s">
        <v>3015</v>
      </c>
      <c r="AB1775" s="62" t="n">
        <v>1</v>
      </c>
      <c r="AC1775" s="62" t="n">
        <v>0</v>
      </c>
      <c r="AD1775" s="62" t="n">
        <v>1</v>
      </c>
      <c r="AE1775" s="62" t="n">
        <f aca="false">IF(AND(Dashboard!$C$9="Yes",AC1775=1),0,1)</f>
        <v>1</v>
      </c>
      <c r="AF1775" s="62" t="n">
        <v>1</v>
      </c>
    </row>
    <row r="1776" customFormat="false" ht="15" hidden="false" customHeight="false" outlineLevel="0" collapsed="false">
      <c r="A1776" s="62" t="n">
        <v>1775</v>
      </c>
      <c r="B1776" s="63" t="n">
        <v>46275.8637962963</v>
      </c>
      <c r="C1776" s="64" t="n">
        <v>46275</v>
      </c>
      <c r="D1776" s="62" t="s">
        <v>202</v>
      </c>
      <c r="E1776" s="62" t="s">
        <v>3181</v>
      </c>
      <c r="F1776" s="62" t="s">
        <v>3181</v>
      </c>
      <c r="G1776" s="62" t="s">
        <v>3182</v>
      </c>
      <c r="H1776" s="62" t="s">
        <v>58</v>
      </c>
      <c r="I1776" s="62" t="s">
        <v>49</v>
      </c>
      <c r="J1776" s="62" t="s">
        <v>146</v>
      </c>
      <c r="K1776" s="62" t="s">
        <v>209</v>
      </c>
      <c r="L1776" s="62" t="s">
        <v>148</v>
      </c>
      <c r="M1776" s="62" t="n">
        <v>0</v>
      </c>
      <c r="N1776" s="62" t="n">
        <v>1</v>
      </c>
      <c r="O1776" s="62" t="n">
        <v>1</v>
      </c>
      <c r="P1776" s="62" t="n">
        <v>1</v>
      </c>
      <c r="Q1776" s="62" t="n">
        <v>0</v>
      </c>
      <c r="R1776" s="62" t="n">
        <v>0</v>
      </c>
      <c r="S1776" s="62" t="n">
        <v>0</v>
      </c>
      <c r="T1776" s="62" t="n">
        <v>0</v>
      </c>
      <c r="U1776" s="62"/>
      <c r="V1776" s="62"/>
      <c r="W1776" s="62"/>
      <c r="X1776" s="62"/>
      <c r="Y1776" s="62"/>
      <c r="Z1776" s="62" t="s">
        <v>3289</v>
      </c>
      <c r="AA1776" s="62" t="s">
        <v>3290</v>
      </c>
      <c r="AB1776" s="62" t="n">
        <v>1</v>
      </c>
      <c r="AC1776" s="62" t="n">
        <v>0</v>
      </c>
      <c r="AD1776" s="62" t="n">
        <v>1</v>
      </c>
      <c r="AE1776" s="62" t="n">
        <f aca="false">IF(AND(Dashboard!$C$9="Yes",AC1776=1),0,1)</f>
        <v>1</v>
      </c>
      <c r="AF1776" s="62" t="n">
        <v>1</v>
      </c>
    </row>
    <row r="1777" customFormat="false" ht="15" hidden="false" customHeight="false" outlineLevel="0" collapsed="false">
      <c r="A1777" s="62" t="n">
        <v>1776</v>
      </c>
      <c r="B1777" s="63" t="n">
        <v>46275.8696180556</v>
      </c>
      <c r="C1777" s="64" t="n">
        <v>46275</v>
      </c>
      <c r="D1777" s="62" t="s">
        <v>202</v>
      </c>
      <c r="E1777" s="62" t="s">
        <v>2228</v>
      </c>
      <c r="F1777" s="62" t="s">
        <v>2228</v>
      </c>
      <c r="G1777" s="62" t="s">
        <v>2229</v>
      </c>
      <c r="H1777" s="62" t="s">
        <v>58</v>
      </c>
      <c r="I1777" s="62" t="s">
        <v>49</v>
      </c>
      <c r="J1777" s="62" t="s">
        <v>146</v>
      </c>
      <c r="K1777" s="62" t="s">
        <v>209</v>
      </c>
      <c r="L1777" s="62" t="s">
        <v>148</v>
      </c>
      <c r="M1777" s="62" t="n">
        <v>0</v>
      </c>
      <c r="N1777" s="62" t="n">
        <v>1</v>
      </c>
      <c r="O1777" s="62" t="n">
        <v>1</v>
      </c>
      <c r="P1777" s="62" t="n">
        <v>0</v>
      </c>
      <c r="Q1777" s="62" t="n">
        <v>1</v>
      </c>
      <c r="R1777" s="62" t="n">
        <v>0</v>
      </c>
      <c r="S1777" s="62" t="n">
        <v>0</v>
      </c>
      <c r="T1777" s="62" t="n">
        <v>0</v>
      </c>
      <c r="U1777" s="62"/>
      <c r="V1777" s="62"/>
      <c r="W1777" s="62"/>
      <c r="X1777" s="62"/>
      <c r="Y1777" s="62"/>
      <c r="Z1777" s="62" t="s">
        <v>3291</v>
      </c>
      <c r="AA1777" s="62" t="s">
        <v>3292</v>
      </c>
      <c r="AB1777" s="62" t="n">
        <v>1</v>
      </c>
      <c r="AC1777" s="62" t="n">
        <v>0</v>
      </c>
      <c r="AD1777" s="62" t="n">
        <v>1</v>
      </c>
      <c r="AE1777" s="62" t="n">
        <f aca="false">IF(AND(Dashboard!$C$9="Yes",AC1777=1),0,1)</f>
        <v>1</v>
      </c>
      <c r="AF1777" s="62" t="n">
        <v>1</v>
      </c>
    </row>
    <row r="1778" customFormat="false" ht="15" hidden="false" customHeight="false" outlineLevel="0" collapsed="false">
      <c r="A1778" s="62" t="n">
        <v>1777</v>
      </c>
      <c r="B1778" s="63" t="n">
        <v>46275.8743402778</v>
      </c>
      <c r="C1778" s="64" t="n">
        <v>46275</v>
      </c>
      <c r="D1778" s="62" t="s">
        <v>202</v>
      </c>
      <c r="E1778" s="62" t="s">
        <v>1445</v>
      </c>
      <c r="F1778" s="62" t="s">
        <v>1445</v>
      </c>
      <c r="G1778" s="62" t="s">
        <v>1446</v>
      </c>
      <c r="H1778" s="62" t="s">
        <v>58</v>
      </c>
      <c r="I1778" s="62" t="s">
        <v>49</v>
      </c>
      <c r="J1778" s="62" t="s">
        <v>146</v>
      </c>
      <c r="K1778" s="62" t="s">
        <v>175</v>
      </c>
      <c r="L1778" s="62" t="s">
        <v>4</v>
      </c>
      <c r="M1778" s="62" t="n">
        <v>1</v>
      </c>
      <c r="N1778" s="62" t="n">
        <v>0</v>
      </c>
      <c r="O1778" s="62" t="n">
        <v>1</v>
      </c>
      <c r="P1778" s="62" t="n">
        <v>0</v>
      </c>
      <c r="Q1778" s="62" t="n">
        <v>0</v>
      </c>
      <c r="R1778" s="62" t="n">
        <v>0</v>
      </c>
      <c r="S1778" s="62" t="n">
        <v>0</v>
      </c>
      <c r="T1778" s="62" t="n">
        <v>0</v>
      </c>
      <c r="U1778" s="62" t="s">
        <v>2056</v>
      </c>
      <c r="V1778" s="62" t="s">
        <v>2057</v>
      </c>
      <c r="W1778" s="62" t="s">
        <v>15</v>
      </c>
      <c r="X1778" s="62" t="s">
        <v>2058</v>
      </c>
      <c r="Y1778" s="62" t="s">
        <v>2059</v>
      </c>
      <c r="Z1778" s="62" t="s">
        <v>3293</v>
      </c>
      <c r="AA1778" s="62" t="s">
        <v>3294</v>
      </c>
      <c r="AB1778" s="62" t="n">
        <v>1</v>
      </c>
      <c r="AC1778" s="62" t="n">
        <v>0</v>
      </c>
      <c r="AD1778" s="62" t="n">
        <v>1</v>
      </c>
      <c r="AE1778" s="62" t="n">
        <f aca="false">IF(AND(Dashboard!$C$9="Yes",AC1778=1),0,1)</f>
        <v>1</v>
      </c>
      <c r="AF1778" s="62" t="n">
        <v>1</v>
      </c>
    </row>
    <row r="1779" customFormat="false" ht="15" hidden="false" customHeight="false" outlineLevel="0" collapsed="false">
      <c r="A1779" s="62" t="n">
        <v>1778</v>
      </c>
      <c r="B1779" s="63" t="n">
        <v>46275.8846064815</v>
      </c>
      <c r="C1779" s="64" t="n">
        <v>46275</v>
      </c>
      <c r="D1779" s="62" t="s">
        <v>202</v>
      </c>
      <c r="E1779" s="62" t="s">
        <v>2540</v>
      </c>
      <c r="F1779" s="62" t="s">
        <v>2540</v>
      </c>
      <c r="G1779" s="62" t="s">
        <v>2541</v>
      </c>
      <c r="H1779" s="62" t="s">
        <v>48</v>
      </c>
      <c r="I1779" s="62" t="s">
        <v>49</v>
      </c>
      <c r="J1779" s="62" t="s">
        <v>146</v>
      </c>
      <c r="K1779" s="62" t="s">
        <v>209</v>
      </c>
      <c r="L1779" s="62" t="s">
        <v>4</v>
      </c>
      <c r="M1779" s="62" t="n">
        <v>1</v>
      </c>
      <c r="N1779" s="62" t="n">
        <v>0</v>
      </c>
      <c r="O1779" s="62" t="n">
        <v>1</v>
      </c>
      <c r="P1779" s="62" t="n">
        <v>0</v>
      </c>
      <c r="Q1779" s="62" t="n">
        <v>0</v>
      </c>
      <c r="R1779" s="62" t="n">
        <v>0</v>
      </c>
      <c r="S1779" s="62" t="n">
        <v>0</v>
      </c>
      <c r="T1779" s="62" t="n">
        <v>0</v>
      </c>
      <c r="U1779" s="62" t="s">
        <v>2056</v>
      </c>
      <c r="V1779" s="62" t="s">
        <v>2057</v>
      </c>
      <c r="W1779" s="62" t="s">
        <v>15</v>
      </c>
      <c r="X1779" s="62" t="s">
        <v>2058</v>
      </c>
      <c r="Y1779" s="62" t="s">
        <v>2059</v>
      </c>
      <c r="Z1779" s="62" t="s">
        <v>3287</v>
      </c>
      <c r="AA1779" s="62" t="s">
        <v>3295</v>
      </c>
      <c r="AB1779" s="62" t="n">
        <v>1</v>
      </c>
      <c r="AC1779" s="62" t="n">
        <v>0</v>
      </c>
      <c r="AD1779" s="62" t="n">
        <v>1</v>
      </c>
      <c r="AE1779" s="62" t="n">
        <f aca="false">IF(AND(Dashboard!$C$9="Yes",AC1779=1),0,1)</f>
        <v>1</v>
      </c>
      <c r="AF1779" s="62" t="n">
        <v>0</v>
      </c>
    </row>
    <row r="1780" customFormat="false" ht="15" hidden="false" customHeight="false" outlineLevel="0" collapsed="false">
      <c r="A1780" s="62" t="n">
        <v>1779</v>
      </c>
      <c r="B1780" s="63" t="n">
        <v>46275.8901157407</v>
      </c>
      <c r="C1780" s="64" t="n">
        <v>46275</v>
      </c>
      <c r="D1780" s="62" t="s">
        <v>202</v>
      </c>
      <c r="E1780" s="62" t="s">
        <v>1445</v>
      </c>
      <c r="F1780" s="62" t="s">
        <v>1445</v>
      </c>
      <c r="G1780" s="62" t="s">
        <v>1446</v>
      </c>
      <c r="H1780" s="62" t="s">
        <v>58</v>
      </c>
      <c r="I1780" s="62" t="s">
        <v>49</v>
      </c>
      <c r="J1780" s="62" t="s">
        <v>146</v>
      </c>
      <c r="K1780" s="62" t="s">
        <v>175</v>
      </c>
      <c r="L1780" s="62" t="s">
        <v>4</v>
      </c>
      <c r="M1780" s="62" t="n">
        <v>1</v>
      </c>
      <c r="N1780" s="62" t="n">
        <v>0</v>
      </c>
      <c r="O1780" s="62" t="n">
        <v>1</v>
      </c>
      <c r="P1780" s="62" t="n">
        <v>0</v>
      </c>
      <c r="Q1780" s="62" t="n">
        <v>0</v>
      </c>
      <c r="R1780" s="62" t="n">
        <v>0</v>
      </c>
      <c r="S1780" s="62" t="n">
        <v>0</v>
      </c>
      <c r="T1780" s="62" t="n">
        <v>0</v>
      </c>
      <c r="U1780" s="62" t="s">
        <v>2056</v>
      </c>
      <c r="V1780" s="62" t="s">
        <v>2057</v>
      </c>
      <c r="W1780" s="62" t="s">
        <v>2056</v>
      </c>
      <c r="X1780" s="62" t="s">
        <v>2164</v>
      </c>
      <c r="Y1780" s="62" t="s">
        <v>2165</v>
      </c>
      <c r="Z1780" s="62" t="s">
        <v>3293</v>
      </c>
      <c r="AA1780" s="62" t="s">
        <v>3296</v>
      </c>
      <c r="AB1780" s="62" t="n">
        <v>1</v>
      </c>
      <c r="AC1780" s="62" t="n">
        <v>0</v>
      </c>
      <c r="AD1780" s="62" t="n">
        <v>1</v>
      </c>
      <c r="AE1780" s="62" t="n">
        <f aca="false">IF(AND(Dashboard!$C$9="Yes",AC1780=1),0,1)</f>
        <v>1</v>
      </c>
      <c r="AF1780" s="62" t="n">
        <v>0</v>
      </c>
    </row>
    <row r="1781" customFormat="false" ht="15" hidden="false" customHeight="false" outlineLevel="0" collapsed="false">
      <c r="A1781" s="62" t="n">
        <v>1780</v>
      </c>
      <c r="B1781" s="63" t="n">
        <v>46275.8975578704</v>
      </c>
      <c r="C1781" s="64" t="n">
        <v>46275</v>
      </c>
      <c r="D1781" s="62" t="s">
        <v>202</v>
      </c>
      <c r="E1781" s="62" t="s">
        <v>1445</v>
      </c>
      <c r="F1781" s="62" t="s">
        <v>1445</v>
      </c>
      <c r="G1781" s="62" t="s">
        <v>1446</v>
      </c>
      <c r="H1781" s="62" t="s">
        <v>58</v>
      </c>
      <c r="I1781" s="62" t="s">
        <v>49</v>
      </c>
      <c r="J1781" s="62" t="s">
        <v>146</v>
      </c>
      <c r="K1781" s="62" t="s">
        <v>175</v>
      </c>
      <c r="L1781" s="62" t="s">
        <v>4</v>
      </c>
      <c r="M1781" s="62" t="n">
        <v>1</v>
      </c>
      <c r="N1781" s="62" t="n">
        <v>0</v>
      </c>
      <c r="O1781" s="62" t="n">
        <v>1</v>
      </c>
      <c r="P1781" s="62" t="n">
        <v>0</v>
      </c>
      <c r="Q1781" s="62" t="n">
        <v>0</v>
      </c>
      <c r="R1781" s="62" t="n">
        <v>0</v>
      </c>
      <c r="S1781" s="62" t="n">
        <v>0</v>
      </c>
      <c r="T1781" s="62" t="n">
        <v>0</v>
      </c>
      <c r="U1781" s="62" t="s">
        <v>2056</v>
      </c>
      <c r="V1781" s="62" t="s">
        <v>2057</v>
      </c>
      <c r="W1781" s="62" t="s">
        <v>2056</v>
      </c>
      <c r="X1781" s="62" t="s">
        <v>2164</v>
      </c>
      <c r="Y1781" s="62" t="s">
        <v>2165</v>
      </c>
      <c r="Z1781" s="62" t="s">
        <v>3293</v>
      </c>
      <c r="AA1781" s="62" t="s">
        <v>3297</v>
      </c>
      <c r="AB1781" s="62" t="n">
        <v>1</v>
      </c>
      <c r="AC1781" s="62" t="n">
        <v>0</v>
      </c>
      <c r="AD1781" s="62" t="n">
        <v>1</v>
      </c>
      <c r="AE1781" s="62" t="n">
        <f aca="false">IF(AND(Dashboard!$C$9="Yes",AC1781=1),0,1)</f>
        <v>1</v>
      </c>
      <c r="AF1781" s="62" t="n">
        <v>0</v>
      </c>
    </row>
    <row r="1782" customFormat="false" ht="15" hidden="false" customHeight="false" outlineLevel="0" collapsed="false">
      <c r="A1782" s="62" t="n">
        <v>1781</v>
      </c>
      <c r="B1782" s="63" t="n">
        <v>46275.9044560185</v>
      </c>
      <c r="C1782" s="64" t="n">
        <v>46275</v>
      </c>
      <c r="D1782" s="62" t="s">
        <v>202</v>
      </c>
      <c r="E1782" s="62" t="s">
        <v>3298</v>
      </c>
      <c r="F1782" s="62" t="s">
        <v>212</v>
      </c>
      <c r="G1782" s="62" t="s">
        <v>213</v>
      </c>
      <c r="H1782" s="62" t="s">
        <v>58</v>
      </c>
      <c r="I1782" s="62" t="s">
        <v>49</v>
      </c>
      <c r="J1782" s="62" t="s">
        <v>146</v>
      </c>
      <c r="K1782" s="62" t="s">
        <v>175</v>
      </c>
      <c r="L1782" s="62" t="s">
        <v>148</v>
      </c>
      <c r="M1782" s="62" t="n">
        <v>0</v>
      </c>
      <c r="N1782" s="62" t="n">
        <v>2</v>
      </c>
      <c r="O1782" s="62" t="n">
        <v>2</v>
      </c>
      <c r="P1782" s="62" t="n">
        <v>1</v>
      </c>
      <c r="Q1782" s="62" t="n">
        <v>1</v>
      </c>
      <c r="R1782" s="62" t="n">
        <v>0</v>
      </c>
      <c r="S1782" s="62" t="n">
        <v>0</v>
      </c>
      <c r="T1782" s="62" t="n">
        <v>0</v>
      </c>
      <c r="U1782" s="62"/>
      <c r="V1782" s="62"/>
      <c r="W1782" s="62"/>
      <c r="X1782" s="62"/>
      <c r="Y1782" s="62"/>
      <c r="Z1782" s="62" t="s">
        <v>3299</v>
      </c>
      <c r="AA1782" s="62" t="s">
        <v>3300</v>
      </c>
      <c r="AB1782" s="62" t="n">
        <v>1</v>
      </c>
      <c r="AC1782" s="62" t="n">
        <v>0</v>
      </c>
      <c r="AD1782" s="62" t="n">
        <v>1</v>
      </c>
      <c r="AE1782" s="62" t="n">
        <f aca="false">IF(AND(Dashboard!$C$9="Yes",AC1782=1),0,1)</f>
        <v>1</v>
      </c>
      <c r="AF1782" s="62" t="n">
        <v>1</v>
      </c>
    </row>
    <row r="1783" customFormat="false" ht="15" hidden="false" customHeight="false" outlineLevel="0" collapsed="false">
      <c r="A1783" s="62" t="n">
        <v>1782</v>
      </c>
      <c r="B1783" s="63" t="n">
        <v>46275.9090856482</v>
      </c>
      <c r="C1783" s="64" t="n">
        <v>46275</v>
      </c>
      <c r="D1783" s="62" t="s">
        <v>202</v>
      </c>
      <c r="E1783" s="62" t="s">
        <v>1255</v>
      </c>
      <c r="F1783" s="62" t="s">
        <v>1255</v>
      </c>
      <c r="G1783" s="62" t="s">
        <v>1256</v>
      </c>
      <c r="H1783" s="62" t="s">
        <v>52</v>
      </c>
      <c r="I1783" s="62" t="s">
        <v>47</v>
      </c>
      <c r="J1783" s="62" t="s">
        <v>146</v>
      </c>
      <c r="K1783" s="62" t="s">
        <v>147</v>
      </c>
      <c r="L1783" s="62" t="s">
        <v>148</v>
      </c>
      <c r="M1783" s="62" t="n">
        <v>0</v>
      </c>
      <c r="N1783" s="62" t="n">
        <v>1</v>
      </c>
      <c r="O1783" s="62" t="n">
        <v>1</v>
      </c>
      <c r="P1783" s="62" t="n">
        <v>1</v>
      </c>
      <c r="Q1783" s="62" t="n">
        <v>0</v>
      </c>
      <c r="R1783" s="62" t="n">
        <v>0</v>
      </c>
      <c r="S1783" s="62" t="n">
        <v>0</v>
      </c>
      <c r="T1783" s="62" t="n">
        <v>0</v>
      </c>
      <c r="U1783" s="62"/>
      <c r="V1783" s="62"/>
      <c r="W1783" s="62"/>
      <c r="X1783" s="62"/>
      <c r="Y1783" s="62"/>
      <c r="Z1783" s="62" t="s">
        <v>3301</v>
      </c>
      <c r="AA1783" s="62" t="s">
        <v>3302</v>
      </c>
      <c r="AB1783" s="62" t="n">
        <v>1</v>
      </c>
      <c r="AC1783" s="62" t="n">
        <v>0</v>
      </c>
      <c r="AD1783" s="62" t="n">
        <v>1</v>
      </c>
      <c r="AE1783" s="62" t="n">
        <f aca="false">IF(AND(Dashboard!$C$9="Yes",AC1783=1),0,1)</f>
        <v>1</v>
      </c>
      <c r="AF1783" s="62" t="n">
        <v>1</v>
      </c>
    </row>
    <row r="1784" customFormat="false" ht="15" hidden="false" customHeight="false" outlineLevel="0" collapsed="false">
      <c r="A1784" s="62" t="n">
        <v>1783</v>
      </c>
      <c r="B1784" s="63" t="n">
        <v>46275.909375</v>
      </c>
      <c r="C1784" s="64" t="n">
        <v>46275</v>
      </c>
      <c r="D1784" s="62" t="s">
        <v>202</v>
      </c>
      <c r="E1784" s="62" t="s">
        <v>2620</v>
      </c>
      <c r="F1784" s="62" t="s">
        <v>2620</v>
      </c>
      <c r="G1784" s="62" t="s">
        <v>2621</v>
      </c>
      <c r="H1784" s="62" t="s">
        <v>48</v>
      </c>
      <c r="I1784" s="62" t="s">
        <v>49</v>
      </c>
      <c r="J1784" s="62" t="s">
        <v>146</v>
      </c>
      <c r="K1784" s="62" t="s">
        <v>209</v>
      </c>
      <c r="L1784" s="62" t="s">
        <v>148</v>
      </c>
      <c r="M1784" s="62" t="n">
        <v>0</v>
      </c>
      <c r="N1784" s="62" t="n">
        <v>1</v>
      </c>
      <c r="O1784" s="62" t="n">
        <v>1</v>
      </c>
      <c r="P1784" s="62" t="n">
        <v>0</v>
      </c>
      <c r="Q1784" s="62" t="n">
        <v>0</v>
      </c>
      <c r="R1784" s="62" t="n">
        <v>1</v>
      </c>
      <c r="S1784" s="62" t="n">
        <v>0</v>
      </c>
      <c r="T1784" s="62" t="n">
        <v>0</v>
      </c>
      <c r="U1784" s="62"/>
      <c r="V1784" s="62"/>
      <c r="W1784" s="62"/>
      <c r="X1784" s="62"/>
      <c r="Y1784" s="62"/>
      <c r="Z1784" s="62" t="s">
        <v>3303</v>
      </c>
      <c r="AA1784" s="62" t="s">
        <v>3304</v>
      </c>
      <c r="AB1784" s="62" t="n">
        <v>0</v>
      </c>
      <c r="AC1784" s="62" t="n">
        <v>0</v>
      </c>
      <c r="AD1784" s="62" t="n">
        <v>1</v>
      </c>
      <c r="AE1784" s="62" t="n">
        <f aca="false">IF(AND(Dashboard!$C$9="Yes",AC1784=1),0,1)</f>
        <v>1</v>
      </c>
      <c r="AF1784" s="62" t="n">
        <v>0</v>
      </c>
    </row>
    <row r="1785" customFormat="false" ht="15" hidden="false" customHeight="false" outlineLevel="0" collapsed="false">
      <c r="A1785" s="62" t="n">
        <v>1784</v>
      </c>
      <c r="B1785" s="63" t="n">
        <v>46275.9414583333</v>
      </c>
      <c r="C1785" s="64" t="n">
        <v>46275</v>
      </c>
      <c r="D1785" s="62" t="s">
        <v>202</v>
      </c>
      <c r="E1785" s="62" t="s">
        <v>518</v>
      </c>
      <c r="F1785" s="62" t="s">
        <v>518</v>
      </c>
      <c r="G1785" s="62" t="s">
        <v>519</v>
      </c>
      <c r="H1785" s="62" t="s">
        <v>52</v>
      </c>
      <c r="I1785" s="62" t="s">
        <v>47</v>
      </c>
      <c r="J1785" s="62" t="s">
        <v>146</v>
      </c>
      <c r="K1785" s="62" t="s">
        <v>147</v>
      </c>
      <c r="L1785" s="62" t="s">
        <v>148</v>
      </c>
      <c r="M1785" s="62" t="n">
        <v>0</v>
      </c>
      <c r="N1785" s="62" t="n">
        <v>1</v>
      </c>
      <c r="O1785" s="62" t="n">
        <v>1</v>
      </c>
      <c r="P1785" s="62" t="n">
        <v>1</v>
      </c>
      <c r="Q1785" s="62" t="n">
        <v>0</v>
      </c>
      <c r="R1785" s="62" t="n">
        <v>0</v>
      </c>
      <c r="S1785" s="62" t="n">
        <v>0</v>
      </c>
      <c r="T1785" s="62" t="n">
        <v>0</v>
      </c>
      <c r="U1785" s="62"/>
      <c r="V1785" s="62"/>
      <c r="W1785" s="62"/>
      <c r="X1785" s="62"/>
      <c r="Y1785" s="62"/>
      <c r="Z1785" s="62" t="s">
        <v>3305</v>
      </c>
      <c r="AA1785" s="62" t="s">
        <v>3306</v>
      </c>
      <c r="AB1785" s="62" t="n">
        <v>1</v>
      </c>
      <c r="AC1785" s="62" t="n">
        <v>0</v>
      </c>
      <c r="AD1785" s="62" t="n">
        <v>1</v>
      </c>
      <c r="AE1785" s="62" t="n">
        <f aca="false">IF(AND(Dashboard!$C$9="Yes",AC1785=1),0,1)</f>
        <v>1</v>
      </c>
      <c r="AF1785" s="62" t="n">
        <v>1</v>
      </c>
    </row>
    <row r="1786" customFormat="false" ht="15" hidden="false" customHeight="false" outlineLevel="0" collapsed="false">
      <c r="A1786" s="62" t="n">
        <v>1785</v>
      </c>
      <c r="B1786" s="63" t="n">
        <v>46275.9415046296</v>
      </c>
      <c r="C1786" s="64" t="n">
        <v>46275</v>
      </c>
      <c r="D1786" s="62" t="s">
        <v>202</v>
      </c>
      <c r="E1786" s="62" t="s">
        <v>144</v>
      </c>
      <c r="F1786" s="62" t="s">
        <v>144</v>
      </c>
      <c r="G1786" s="62" t="s">
        <v>145</v>
      </c>
      <c r="H1786" s="62" t="s">
        <v>59</v>
      </c>
      <c r="I1786" s="62" t="s">
        <v>47</v>
      </c>
      <c r="J1786" s="62" t="s">
        <v>146</v>
      </c>
      <c r="K1786" s="62" t="s">
        <v>147</v>
      </c>
      <c r="L1786" s="62" t="s">
        <v>148</v>
      </c>
      <c r="M1786" s="62" t="n">
        <v>0</v>
      </c>
      <c r="N1786" s="62" t="n">
        <v>2</v>
      </c>
      <c r="O1786" s="62" t="n">
        <v>2</v>
      </c>
      <c r="P1786" s="62" t="n">
        <v>1</v>
      </c>
      <c r="Q1786" s="62" t="n">
        <v>1</v>
      </c>
      <c r="R1786" s="62" t="n">
        <v>0</v>
      </c>
      <c r="S1786" s="62" t="n">
        <v>0</v>
      </c>
      <c r="T1786" s="62" t="n">
        <v>0</v>
      </c>
      <c r="U1786" s="62"/>
      <c r="V1786" s="62"/>
      <c r="W1786" s="62"/>
      <c r="X1786" s="62"/>
      <c r="Y1786" s="62"/>
      <c r="Z1786" s="62" t="s">
        <v>3307</v>
      </c>
      <c r="AA1786" s="62" t="s">
        <v>3307</v>
      </c>
      <c r="AB1786" s="62" t="n">
        <v>1</v>
      </c>
      <c r="AC1786" s="62" t="n">
        <v>0</v>
      </c>
      <c r="AD1786" s="62" t="n">
        <v>1</v>
      </c>
      <c r="AE1786" s="62" t="n">
        <f aca="false">IF(AND(Dashboard!$C$9="Yes",AC1786=1),0,1)</f>
        <v>1</v>
      </c>
      <c r="AF1786" s="62" t="n">
        <v>1</v>
      </c>
    </row>
    <row r="1787" customFormat="false" ht="15" hidden="false" customHeight="false" outlineLevel="0" collapsed="false">
      <c r="A1787" s="62" t="n">
        <v>1786</v>
      </c>
      <c r="B1787" s="63" t="n">
        <v>46275.941712963</v>
      </c>
      <c r="C1787" s="64" t="n">
        <v>46275</v>
      </c>
      <c r="D1787" s="62" t="s">
        <v>202</v>
      </c>
      <c r="E1787" s="62" t="s">
        <v>144</v>
      </c>
      <c r="F1787" s="62" t="s">
        <v>144</v>
      </c>
      <c r="G1787" s="62" t="s">
        <v>145</v>
      </c>
      <c r="H1787" s="62" t="s">
        <v>59</v>
      </c>
      <c r="I1787" s="62" t="s">
        <v>47</v>
      </c>
      <c r="J1787" s="62" t="s">
        <v>146</v>
      </c>
      <c r="K1787" s="62" t="s">
        <v>147</v>
      </c>
      <c r="L1787" s="62" t="s">
        <v>148</v>
      </c>
      <c r="M1787" s="62" t="n">
        <v>0</v>
      </c>
      <c r="N1787" s="62" t="n">
        <v>2</v>
      </c>
      <c r="O1787" s="62" t="n">
        <v>2</v>
      </c>
      <c r="P1787" s="62" t="n">
        <v>1</v>
      </c>
      <c r="Q1787" s="62" t="n">
        <v>1</v>
      </c>
      <c r="R1787" s="62" t="n">
        <v>0</v>
      </c>
      <c r="S1787" s="62" t="n">
        <v>0</v>
      </c>
      <c r="T1787" s="62" t="n">
        <v>0</v>
      </c>
      <c r="U1787" s="62"/>
      <c r="V1787" s="62"/>
      <c r="W1787" s="62"/>
      <c r="X1787" s="62"/>
      <c r="Y1787" s="62"/>
      <c r="Z1787" s="62" t="s">
        <v>3307</v>
      </c>
      <c r="AA1787" s="62" t="s">
        <v>3308</v>
      </c>
      <c r="AB1787" s="62" t="n">
        <v>1</v>
      </c>
      <c r="AC1787" s="62" t="n">
        <v>0</v>
      </c>
      <c r="AD1787" s="62" t="n">
        <v>1</v>
      </c>
      <c r="AE1787" s="62" t="n">
        <f aca="false">IF(AND(Dashboard!$C$9="Yes",AC1787=1),0,1)</f>
        <v>1</v>
      </c>
      <c r="AF1787" s="62" t="n">
        <v>0</v>
      </c>
    </row>
    <row r="1788" customFormat="false" ht="15" hidden="false" customHeight="false" outlineLevel="0" collapsed="false">
      <c r="A1788" s="62" t="n">
        <v>1787</v>
      </c>
      <c r="B1788" s="63" t="n">
        <v>46275.9478935185</v>
      </c>
      <c r="C1788" s="64" t="n">
        <v>46275</v>
      </c>
      <c r="D1788" s="62" t="s">
        <v>202</v>
      </c>
      <c r="E1788" s="62" t="s">
        <v>1539</v>
      </c>
      <c r="F1788" s="62" t="s">
        <v>1539</v>
      </c>
      <c r="G1788" s="62" t="s">
        <v>1540</v>
      </c>
      <c r="H1788" s="62" t="s">
        <v>52</v>
      </c>
      <c r="I1788" s="62" t="s">
        <v>47</v>
      </c>
      <c r="J1788" s="62" t="s">
        <v>146</v>
      </c>
      <c r="K1788" s="62" t="s">
        <v>147</v>
      </c>
      <c r="L1788" s="62" t="s">
        <v>148</v>
      </c>
      <c r="M1788" s="62" t="n">
        <v>0</v>
      </c>
      <c r="N1788" s="62" t="n">
        <v>1</v>
      </c>
      <c r="O1788" s="62" t="n">
        <v>1</v>
      </c>
      <c r="P1788" s="62" t="n">
        <v>1</v>
      </c>
      <c r="Q1788" s="62" t="n">
        <v>0</v>
      </c>
      <c r="R1788" s="62" t="n">
        <v>0</v>
      </c>
      <c r="S1788" s="62" t="n">
        <v>0</v>
      </c>
      <c r="T1788" s="62" t="n">
        <v>0</v>
      </c>
      <c r="U1788" s="62"/>
      <c r="V1788" s="62"/>
      <c r="W1788" s="62"/>
      <c r="X1788" s="62"/>
      <c r="Y1788" s="62"/>
      <c r="Z1788" s="62" t="s">
        <v>3309</v>
      </c>
      <c r="AA1788" s="62" t="s">
        <v>3310</v>
      </c>
      <c r="AB1788" s="62" t="n">
        <v>1</v>
      </c>
      <c r="AC1788" s="62" t="n">
        <v>0</v>
      </c>
      <c r="AD1788" s="62" t="n">
        <v>1</v>
      </c>
      <c r="AE1788" s="62" t="n">
        <f aca="false">IF(AND(Dashboard!$C$9="Yes",AC1788=1),0,1)</f>
        <v>1</v>
      </c>
      <c r="AF1788" s="62" t="n">
        <v>1</v>
      </c>
    </row>
    <row r="1789" customFormat="false" ht="15" hidden="false" customHeight="false" outlineLevel="0" collapsed="false">
      <c r="A1789" s="62" t="n">
        <v>1788</v>
      </c>
      <c r="B1789" s="63" t="n">
        <v>46275.9575115741</v>
      </c>
      <c r="C1789" s="64" t="n">
        <v>46275</v>
      </c>
      <c r="D1789" s="62" t="s">
        <v>202</v>
      </c>
      <c r="E1789" s="62" t="s">
        <v>650</v>
      </c>
      <c r="F1789" s="62" t="s">
        <v>650</v>
      </c>
      <c r="G1789" s="62" t="s">
        <v>651</v>
      </c>
      <c r="H1789" s="62" t="s">
        <v>59</v>
      </c>
      <c r="I1789" s="62" t="s">
        <v>47</v>
      </c>
      <c r="J1789" s="62" t="s">
        <v>146</v>
      </c>
      <c r="K1789" s="62" t="s">
        <v>209</v>
      </c>
      <c r="L1789" s="62" t="s">
        <v>148</v>
      </c>
      <c r="M1789" s="62" t="n">
        <v>0</v>
      </c>
      <c r="N1789" s="62" t="n">
        <v>2</v>
      </c>
      <c r="O1789" s="62" t="n">
        <v>2</v>
      </c>
      <c r="P1789" s="62" t="n">
        <v>1</v>
      </c>
      <c r="Q1789" s="62" t="n">
        <v>1</v>
      </c>
      <c r="R1789" s="62" t="n">
        <v>0</v>
      </c>
      <c r="S1789" s="62" t="n">
        <v>0</v>
      </c>
      <c r="T1789" s="62" t="n">
        <v>0</v>
      </c>
      <c r="U1789" s="62"/>
      <c r="V1789" s="62"/>
      <c r="W1789" s="62"/>
      <c r="X1789" s="62"/>
      <c r="Y1789" s="62"/>
      <c r="Z1789" s="62" t="s">
        <v>3311</v>
      </c>
      <c r="AA1789" s="62" t="s">
        <v>3312</v>
      </c>
      <c r="AB1789" s="62" t="n">
        <v>1</v>
      </c>
      <c r="AC1789" s="62" t="n">
        <v>0</v>
      </c>
      <c r="AD1789" s="62" t="n">
        <v>1</v>
      </c>
      <c r="AE1789" s="62" t="n">
        <f aca="false">IF(AND(Dashboard!$C$9="Yes",AC1789=1),0,1)</f>
        <v>1</v>
      </c>
      <c r="AF1789" s="62" t="n">
        <v>1</v>
      </c>
    </row>
    <row r="1790" customFormat="false" ht="15" hidden="false" customHeight="false" outlineLevel="0" collapsed="false">
      <c r="A1790" s="62" t="n">
        <v>1789</v>
      </c>
      <c r="B1790" s="63" t="n">
        <v>46275.9716319444</v>
      </c>
      <c r="C1790" s="64" t="n">
        <v>46275</v>
      </c>
      <c r="D1790" s="62" t="s">
        <v>202</v>
      </c>
      <c r="E1790" s="62" t="s">
        <v>790</v>
      </c>
      <c r="F1790" s="62" t="s">
        <v>791</v>
      </c>
      <c r="G1790" s="62" t="s">
        <v>153</v>
      </c>
      <c r="H1790" s="62" t="s">
        <v>153</v>
      </c>
      <c r="I1790" s="62" t="s">
        <v>153</v>
      </c>
      <c r="J1790" s="62" t="s">
        <v>64</v>
      </c>
      <c r="K1790" s="62" t="s">
        <v>64</v>
      </c>
      <c r="L1790" s="62" t="s">
        <v>4</v>
      </c>
      <c r="M1790" s="62" t="n">
        <v>1</v>
      </c>
      <c r="N1790" s="62" t="n">
        <v>0</v>
      </c>
      <c r="O1790" s="62" t="n">
        <v>1</v>
      </c>
      <c r="P1790" s="62" t="n">
        <v>0</v>
      </c>
      <c r="Q1790" s="62" t="n">
        <v>0</v>
      </c>
      <c r="R1790" s="62" t="n">
        <v>0</v>
      </c>
      <c r="S1790" s="62" t="n">
        <v>0</v>
      </c>
      <c r="T1790" s="62" t="n">
        <v>0</v>
      </c>
      <c r="U1790" s="62" t="s">
        <v>2056</v>
      </c>
      <c r="V1790" s="62" t="s">
        <v>2057</v>
      </c>
      <c r="W1790" s="62" t="s">
        <v>15</v>
      </c>
      <c r="X1790" s="62" t="s">
        <v>2058</v>
      </c>
      <c r="Y1790" s="62" t="s">
        <v>2059</v>
      </c>
      <c r="Z1790" s="62" t="s">
        <v>3313</v>
      </c>
      <c r="AA1790" s="62" t="s">
        <v>3314</v>
      </c>
      <c r="AB1790" s="62" t="n">
        <v>1</v>
      </c>
      <c r="AC1790" s="62" t="n">
        <v>0</v>
      </c>
      <c r="AD1790" s="62" t="n">
        <v>0</v>
      </c>
      <c r="AE1790" s="62" t="n">
        <f aca="false">IF(AND(Dashboard!$C$9="Yes",AC1790=1),0,1)</f>
        <v>1</v>
      </c>
      <c r="AF1790" s="62" t="n">
        <v>1</v>
      </c>
    </row>
    <row r="1791" customFormat="false" ht="15" hidden="false" customHeight="false" outlineLevel="0" collapsed="false">
      <c r="A1791" s="62" t="n">
        <v>1790</v>
      </c>
      <c r="B1791" s="63" t="n">
        <v>46275.9811342593</v>
      </c>
      <c r="C1791" s="64" t="n">
        <v>46275</v>
      </c>
      <c r="D1791" s="62" t="s">
        <v>202</v>
      </c>
      <c r="E1791" s="62" t="s">
        <v>414</v>
      </c>
      <c r="F1791" s="62" t="s">
        <v>414</v>
      </c>
      <c r="G1791" s="62" t="s">
        <v>415</v>
      </c>
      <c r="H1791" s="62" t="s">
        <v>57</v>
      </c>
      <c r="I1791" s="62" t="s">
        <v>47</v>
      </c>
      <c r="J1791" s="62" t="s">
        <v>146</v>
      </c>
      <c r="K1791" s="62" t="s">
        <v>147</v>
      </c>
      <c r="L1791" s="62" t="s">
        <v>148</v>
      </c>
      <c r="M1791" s="62" t="n">
        <v>0</v>
      </c>
      <c r="N1791" s="62" t="n">
        <v>1</v>
      </c>
      <c r="O1791" s="62" t="n">
        <v>1</v>
      </c>
      <c r="P1791" s="62" t="n">
        <v>1</v>
      </c>
      <c r="Q1791" s="62" t="n">
        <v>0</v>
      </c>
      <c r="R1791" s="62" t="n">
        <v>0</v>
      </c>
      <c r="S1791" s="62" t="n">
        <v>0</v>
      </c>
      <c r="T1791" s="62" t="n">
        <v>0</v>
      </c>
      <c r="U1791" s="62"/>
      <c r="V1791" s="62"/>
      <c r="W1791" s="62"/>
      <c r="X1791" s="62"/>
      <c r="Y1791" s="62"/>
      <c r="Z1791" s="62" t="s">
        <v>3315</v>
      </c>
      <c r="AA1791" s="62" t="s">
        <v>3316</v>
      </c>
      <c r="AB1791" s="62" t="n">
        <v>1</v>
      </c>
      <c r="AC1791" s="62" t="n">
        <v>0</v>
      </c>
      <c r="AD1791" s="62" t="n">
        <v>1</v>
      </c>
      <c r="AE1791" s="62" t="n">
        <f aca="false">IF(AND(Dashboard!$C$9="Yes",AC1791=1),0,1)</f>
        <v>1</v>
      </c>
      <c r="AF1791" s="62" t="n">
        <v>1</v>
      </c>
    </row>
    <row r="1792" customFormat="false" ht="15" hidden="false" customHeight="false" outlineLevel="0" collapsed="false">
      <c r="A1792" s="62" t="n">
        <v>1791</v>
      </c>
      <c r="B1792" s="63" t="n">
        <v>46275.997025463</v>
      </c>
      <c r="C1792" s="64" t="n">
        <v>46275</v>
      </c>
      <c r="D1792" s="62" t="s">
        <v>202</v>
      </c>
      <c r="E1792" s="62" t="s">
        <v>218</v>
      </c>
      <c r="F1792" s="62" t="s">
        <v>218</v>
      </c>
      <c r="G1792" s="62" t="s">
        <v>219</v>
      </c>
      <c r="H1792" s="62" t="s">
        <v>51</v>
      </c>
      <c r="I1792" s="62" t="s">
        <v>47</v>
      </c>
      <c r="J1792" s="62" t="s">
        <v>146</v>
      </c>
      <c r="K1792" s="62" t="s">
        <v>147</v>
      </c>
      <c r="L1792" s="62" t="s">
        <v>148</v>
      </c>
      <c r="M1792" s="62" t="n">
        <v>0</v>
      </c>
      <c r="N1792" s="62" t="n">
        <v>1</v>
      </c>
      <c r="O1792" s="62" t="n">
        <v>1</v>
      </c>
      <c r="P1792" s="62" t="n">
        <v>1</v>
      </c>
      <c r="Q1792" s="62" t="n">
        <v>0</v>
      </c>
      <c r="R1792" s="62" t="n">
        <v>0</v>
      </c>
      <c r="S1792" s="62" t="n">
        <v>0</v>
      </c>
      <c r="T1792" s="62" t="n">
        <v>0</v>
      </c>
      <c r="U1792" s="62"/>
      <c r="V1792" s="62"/>
      <c r="W1792" s="62"/>
      <c r="X1792" s="62"/>
      <c r="Y1792" s="62"/>
      <c r="Z1792" s="62" t="s">
        <v>3317</v>
      </c>
      <c r="AA1792" s="62" t="s">
        <v>3318</v>
      </c>
      <c r="AB1792" s="62" t="n">
        <v>1</v>
      </c>
      <c r="AC1792" s="62" t="n">
        <v>0</v>
      </c>
      <c r="AD1792" s="62" t="n">
        <v>1</v>
      </c>
      <c r="AE1792" s="62" t="n">
        <f aca="false">IF(AND(Dashboard!$C$9="Yes",AC1792=1),0,1)</f>
        <v>1</v>
      </c>
      <c r="AF1792" s="62" t="n">
        <v>1</v>
      </c>
    </row>
    <row r="1793" customFormat="false" ht="15" hidden="false" customHeight="false" outlineLevel="0" collapsed="false">
      <c r="A1793" s="62" t="n">
        <v>1792</v>
      </c>
      <c r="B1793" s="63" t="n">
        <v>46276.0005208333</v>
      </c>
      <c r="C1793" s="64" t="n">
        <v>46275</v>
      </c>
      <c r="D1793" s="62" t="s">
        <v>202</v>
      </c>
      <c r="E1793" s="62" t="s">
        <v>3319</v>
      </c>
      <c r="F1793" s="62" t="s">
        <v>2119</v>
      </c>
      <c r="G1793" s="62" t="s">
        <v>2120</v>
      </c>
      <c r="H1793" s="62" t="s">
        <v>52</v>
      </c>
      <c r="I1793" s="62" t="s">
        <v>47</v>
      </c>
      <c r="J1793" s="62" t="s">
        <v>146</v>
      </c>
      <c r="K1793" s="62" t="s">
        <v>147</v>
      </c>
      <c r="L1793" s="62" t="s">
        <v>148</v>
      </c>
      <c r="M1793" s="62" t="n">
        <v>0</v>
      </c>
      <c r="N1793" s="62" t="n">
        <v>1</v>
      </c>
      <c r="O1793" s="62" t="n">
        <v>1</v>
      </c>
      <c r="P1793" s="62" t="n">
        <v>1</v>
      </c>
      <c r="Q1793" s="62" t="n">
        <v>0</v>
      </c>
      <c r="R1793" s="62" t="n">
        <v>0</v>
      </c>
      <c r="S1793" s="62" t="n">
        <v>0</v>
      </c>
      <c r="T1793" s="62" t="n">
        <v>0</v>
      </c>
      <c r="U1793" s="62"/>
      <c r="V1793" s="62"/>
      <c r="W1793" s="62"/>
      <c r="X1793" s="62"/>
      <c r="Y1793" s="62"/>
      <c r="Z1793" s="62" t="s">
        <v>3320</v>
      </c>
      <c r="AA1793" s="62" t="s">
        <v>3027</v>
      </c>
      <c r="AB1793" s="62" t="n">
        <v>0</v>
      </c>
      <c r="AC1793" s="62" t="n">
        <v>0</v>
      </c>
      <c r="AD1793" s="62" t="n">
        <v>1</v>
      </c>
      <c r="AE1793" s="62" t="n">
        <f aca="false">IF(AND(Dashboard!$C$9="Yes",AC1793=1),0,1)</f>
        <v>1</v>
      </c>
      <c r="AF1793" s="62" t="n">
        <v>0</v>
      </c>
    </row>
    <row r="1794" customFormat="false" ht="15" hidden="false" customHeight="false" outlineLevel="0" collapsed="false">
      <c r="A1794" s="62" t="n">
        <v>1793</v>
      </c>
      <c r="B1794" s="63" t="n">
        <v>46276.0076388889</v>
      </c>
      <c r="C1794" s="64" t="n">
        <v>46275</v>
      </c>
      <c r="D1794" s="62" t="s">
        <v>202</v>
      </c>
      <c r="E1794" s="62" t="s">
        <v>2228</v>
      </c>
      <c r="F1794" s="62" t="s">
        <v>2228</v>
      </c>
      <c r="G1794" s="62" t="s">
        <v>2229</v>
      </c>
      <c r="H1794" s="62" t="s">
        <v>58</v>
      </c>
      <c r="I1794" s="62" t="s">
        <v>49</v>
      </c>
      <c r="J1794" s="62" t="s">
        <v>146</v>
      </c>
      <c r="K1794" s="62" t="s">
        <v>209</v>
      </c>
      <c r="L1794" s="62" t="s">
        <v>4</v>
      </c>
      <c r="M1794" s="62" t="n">
        <v>1</v>
      </c>
      <c r="N1794" s="62" t="n">
        <v>0</v>
      </c>
      <c r="O1794" s="62" t="n">
        <v>1</v>
      </c>
      <c r="P1794" s="62" t="n">
        <v>0</v>
      </c>
      <c r="Q1794" s="62" t="n">
        <v>0</v>
      </c>
      <c r="R1794" s="62" t="n">
        <v>0</v>
      </c>
      <c r="S1794" s="62" t="n">
        <v>0</v>
      </c>
      <c r="T1794" s="62" t="n">
        <v>0</v>
      </c>
      <c r="U1794" s="62" t="s">
        <v>2056</v>
      </c>
      <c r="V1794" s="62" t="s">
        <v>2057</v>
      </c>
      <c r="W1794" s="62" t="s">
        <v>15</v>
      </c>
      <c r="X1794" s="62" t="s">
        <v>2058</v>
      </c>
      <c r="Y1794" s="62" t="s">
        <v>2059</v>
      </c>
      <c r="Z1794" s="62" t="s">
        <v>3321</v>
      </c>
      <c r="AA1794" s="62" t="s">
        <v>3322</v>
      </c>
      <c r="AB1794" s="62" t="n">
        <v>1</v>
      </c>
      <c r="AC1794" s="62" t="n">
        <v>0</v>
      </c>
      <c r="AD1794" s="62" t="n">
        <v>1</v>
      </c>
      <c r="AE1794" s="62" t="n">
        <f aca="false">IF(AND(Dashboard!$C$9="Yes",AC1794=1),0,1)</f>
        <v>1</v>
      </c>
      <c r="AF1794" s="62" t="n">
        <v>0</v>
      </c>
    </row>
    <row r="1795" customFormat="false" ht="15" hidden="false" customHeight="false" outlineLevel="0" collapsed="false">
      <c r="A1795" s="62" t="n">
        <v>1794</v>
      </c>
      <c r="B1795" s="63" t="n">
        <v>46276.0663888889</v>
      </c>
      <c r="C1795" s="64" t="n">
        <v>46275</v>
      </c>
      <c r="D1795" s="62" t="s">
        <v>202</v>
      </c>
      <c r="E1795" s="62" t="s">
        <v>1539</v>
      </c>
      <c r="F1795" s="62" t="s">
        <v>1539</v>
      </c>
      <c r="G1795" s="62" t="s">
        <v>1540</v>
      </c>
      <c r="H1795" s="62" t="s">
        <v>52</v>
      </c>
      <c r="I1795" s="62" t="s">
        <v>47</v>
      </c>
      <c r="J1795" s="62" t="s">
        <v>146</v>
      </c>
      <c r="K1795" s="62" t="s">
        <v>147</v>
      </c>
      <c r="L1795" s="62" t="s">
        <v>148</v>
      </c>
      <c r="M1795" s="62" t="n">
        <v>0</v>
      </c>
      <c r="N1795" s="62" t="n">
        <v>1</v>
      </c>
      <c r="O1795" s="62" t="n">
        <v>1</v>
      </c>
      <c r="P1795" s="62" t="n">
        <v>1</v>
      </c>
      <c r="Q1795" s="62" t="n">
        <v>0</v>
      </c>
      <c r="R1795" s="62" t="n">
        <v>0</v>
      </c>
      <c r="S1795" s="62" t="n">
        <v>0</v>
      </c>
      <c r="T1795" s="62" t="n">
        <v>0</v>
      </c>
      <c r="U1795" s="62"/>
      <c r="V1795" s="62"/>
      <c r="W1795" s="62"/>
      <c r="X1795" s="62"/>
      <c r="Y1795" s="62"/>
      <c r="Z1795" s="62" t="s">
        <v>3323</v>
      </c>
      <c r="AA1795" s="62" t="s">
        <v>3324</v>
      </c>
      <c r="AB1795" s="62" t="n">
        <v>1</v>
      </c>
      <c r="AC1795" s="62" t="n">
        <v>0</v>
      </c>
      <c r="AD1795" s="62" t="n">
        <v>1</v>
      </c>
      <c r="AE1795" s="62" t="n">
        <f aca="false">IF(AND(Dashboard!$C$9="Yes",AC1795=1),0,1)</f>
        <v>1</v>
      </c>
      <c r="AF1795" s="62" t="n">
        <v>0</v>
      </c>
    </row>
    <row r="1796" customFormat="false" ht="15" hidden="false" customHeight="false" outlineLevel="0" collapsed="false">
      <c r="A1796" s="62" t="n">
        <v>1795</v>
      </c>
      <c r="B1796" s="63" t="n">
        <v>46276.0802083333</v>
      </c>
      <c r="C1796" s="64" t="n">
        <v>46275</v>
      </c>
      <c r="D1796" s="62" t="s">
        <v>202</v>
      </c>
      <c r="E1796" s="62" t="s">
        <v>790</v>
      </c>
      <c r="F1796" s="62" t="s">
        <v>791</v>
      </c>
      <c r="G1796" s="62" t="s">
        <v>153</v>
      </c>
      <c r="H1796" s="62" t="s">
        <v>153</v>
      </c>
      <c r="I1796" s="62" t="s">
        <v>153</v>
      </c>
      <c r="J1796" s="62" t="s">
        <v>64</v>
      </c>
      <c r="K1796" s="62" t="s">
        <v>64</v>
      </c>
      <c r="L1796" s="62" t="s">
        <v>148</v>
      </c>
      <c r="M1796" s="62" t="n">
        <v>0</v>
      </c>
      <c r="N1796" s="62" t="n">
        <v>2</v>
      </c>
      <c r="O1796" s="62" t="n">
        <v>2</v>
      </c>
      <c r="P1796" s="62" t="n">
        <v>0</v>
      </c>
      <c r="Q1796" s="62" t="n">
        <v>0</v>
      </c>
      <c r="R1796" s="62" t="n">
        <v>2</v>
      </c>
      <c r="S1796" s="62" t="n">
        <v>0</v>
      </c>
      <c r="T1796" s="62" t="n">
        <v>0</v>
      </c>
      <c r="U1796" s="62"/>
      <c r="V1796" s="62"/>
      <c r="W1796" s="62"/>
      <c r="X1796" s="62"/>
      <c r="Y1796" s="62"/>
      <c r="Z1796" s="62" t="s">
        <v>3325</v>
      </c>
      <c r="AA1796" s="62" t="s">
        <v>3326</v>
      </c>
      <c r="AB1796" s="62" t="n">
        <v>1</v>
      </c>
      <c r="AC1796" s="62" t="n">
        <v>0</v>
      </c>
      <c r="AD1796" s="62" t="n">
        <v>0</v>
      </c>
      <c r="AE1796" s="62" t="n">
        <f aca="false">IF(AND(Dashboard!$C$9="Yes",AC1796=1),0,1)</f>
        <v>1</v>
      </c>
      <c r="AF1796" s="62" t="n">
        <v>0</v>
      </c>
    </row>
    <row r="1797" customFormat="false" ht="15" hidden="false" customHeight="false" outlineLevel="0" collapsed="false">
      <c r="A1797" s="62" t="n">
        <v>1796</v>
      </c>
      <c r="B1797" s="63" t="n">
        <v>46276.0840046296</v>
      </c>
      <c r="C1797" s="64" t="n">
        <v>46275</v>
      </c>
      <c r="D1797" s="62" t="s">
        <v>202</v>
      </c>
      <c r="E1797" s="62" t="s">
        <v>3061</v>
      </c>
      <c r="F1797" s="62" t="s">
        <v>3061</v>
      </c>
      <c r="G1797" s="62" t="s">
        <v>3062</v>
      </c>
      <c r="H1797" s="62" t="s">
        <v>44</v>
      </c>
      <c r="I1797" s="62" t="s">
        <v>49</v>
      </c>
      <c r="J1797" s="62" t="s">
        <v>146</v>
      </c>
      <c r="K1797" s="62" t="s">
        <v>147</v>
      </c>
      <c r="L1797" s="62" t="s">
        <v>148</v>
      </c>
      <c r="M1797" s="62" t="n">
        <v>0</v>
      </c>
      <c r="N1797" s="62" t="n">
        <v>1</v>
      </c>
      <c r="O1797" s="62" t="n">
        <v>1</v>
      </c>
      <c r="P1797" s="62" t="n">
        <v>1</v>
      </c>
      <c r="Q1797" s="62" t="n">
        <v>0</v>
      </c>
      <c r="R1797" s="62" t="n">
        <v>0</v>
      </c>
      <c r="S1797" s="62" t="n">
        <v>0</v>
      </c>
      <c r="T1797" s="62" t="n">
        <v>0</v>
      </c>
      <c r="U1797" s="62"/>
      <c r="V1797" s="62"/>
      <c r="W1797" s="62"/>
      <c r="X1797" s="62"/>
      <c r="Y1797" s="62"/>
      <c r="Z1797" s="62" t="s">
        <v>3327</v>
      </c>
      <c r="AA1797" s="62" t="s">
        <v>2483</v>
      </c>
      <c r="AB1797" s="62" t="n">
        <v>1</v>
      </c>
      <c r="AC1797" s="62" t="n">
        <v>0</v>
      </c>
      <c r="AD1797" s="62" t="n">
        <v>1</v>
      </c>
      <c r="AE1797" s="62" t="n">
        <f aca="false">IF(AND(Dashboard!$C$9="Yes",AC1797=1),0,1)</f>
        <v>1</v>
      </c>
      <c r="AF1797" s="62" t="n">
        <v>1</v>
      </c>
    </row>
    <row r="1798" customFormat="false" ht="15" hidden="false" customHeight="false" outlineLevel="0" collapsed="false">
      <c r="A1798" s="62" t="n">
        <v>1797</v>
      </c>
      <c r="B1798" s="63" t="n">
        <v>46276.0843287037</v>
      </c>
      <c r="C1798" s="64" t="n">
        <v>46275</v>
      </c>
      <c r="D1798" s="62" t="s">
        <v>202</v>
      </c>
      <c r="E1798" s="62" t="s">
        <v>212</v>
      </c>
      <c r="F1798" s="62" t="s">
        <v>212</v>
      </c>
      <c r="G1798" s="62" t="s">
        <v>213</v>
      </c>
      <c r="H1798" s="62" t="s">
        <v>58</v>
      </c>
      <c r="I1798" s="62" t="s">
        <v>49</v>
      </c>
      <c r="J1798" s="62" t="s">
        <v>146</v>
      </c>
      <c r="K1798" s="62" t="s">
        <v>175</v>
      </c>
      <c r="L1798" s="62" t="s">
        <v>4</v>
      </c>
      <c r="M1798" s="62" t="n">
        <v>1</v>
      </c>
      <c r="N1798" s="62" t="n">
        <v>0</v>
      </c>
      <c r="O1798" s="62" t="n">
        <v>1</v>
      </c>
      <c r="P1798" s="62" t="n">
        <v>0</v>
      </c>
      <c r="Q1798" s="62" t="n">
        <v>0</v>
      </c>
      <c r="R1798" s="62" t="n">
        <v>0</v>
      </c>
      <c r="S1798" s="62" t="n">
        <v>0</v>
      </c>
      <c r="T1798" s="62" t="n">
        <v>0</v>
      </c>
      <c r="U1798" s="62" t="s">
        <v>2056</v>
      </c>
      <c r="V1798" s="62" t="s">
        <v>2057</v>
      </c>
      <c r="W1798" s="62" t="s">
        <v>15</v>
      </c>
      <c r="X1798" s="62" t="s">
        <v>2058</v>
      </c>
      <c r="Y1798" s="62" t="s">
        <v>2059</v>
      </c>
      <c r="Z1798" s="62" t="s">
        <v>3328</v>
      </c>
      <c r="AA1798" s="62" t="s">
        <v>3329</v>
      </c>
      <c r="AB1798" s="62" t="n">
        <v>1</v>
      </c>
      <c r="AC1798" s="62" t="n">
        <v>0</v>
      </c>
      <c r="AD1798" s="62" t="n">
        <v>1</v>
      </c>
      <c r="AE1798" s="62" t="n">
        <f aca="false">IF(AND(Dashboard!$C$9="Yes",AC1798=1),0,1)</f>
        <v>1</v>
      </c>
      <c r="AF1798" s="62" t="n">
        <v>0</v>
      </c>
    </row>
    <row r="1799" customFormat="false" ht="15" hidden="false" customHeight="false" outlineLevel="0" collapsed="false">
      <c r="A1799" s="62" t="n">
        <v>1798</v>
      </c>
      <c r="B1799" s="63" t="n">
        <v>46276.1024768519</v>
      </c>
      <c r="C1799" s="64" t="n">
        <v>46275</v>
      </c>
      <c r="D1799" s="62" t="s">
        <v>202</v>
      </c>
      <c r="E1799" s="62" t="s">
        <v>3061</v>
      </c>
      <c r="F1799" s="62" t="s">
        <v>3061</v>
      </c>
      <c r="G1799" s="62" t="s">
        <v>3062</v>
      </c>
      <c r="H1799" s="62" t="s">
        <v>44</v>
      </c>
      <c r="I1799" s="62" t="s">
        <v>49</v>
      </c>
      <c r="J1799" s="62" t="s">
        <v>146</v>
      </c>
      <c r="K1799" s="62" t="s">
        <v>147</v>
      </c>
      <c r="L1799" s="62" t="s">
        <v>148</v>
      </c>
      <c r="M1799" s="62" t="n">
        <v>0</v>
      </c>
      <c r="N1799" s="62" t="n">
        <v>1</v>
      </c>
      <c r="O1799" s="62" t="n">
        <v>1</v>
      </c>
      <c r="P1799" s="62" t="n">
        <v>1</v>
      </c>
      <c r="Q1799" s="62" t="n">
        <v>0</v>
      </c>
      <c r="R1799" s="62" t="n">
        <v>0</v>
      </c>
      <c r="S1799" s="62" t="n">
        <v>0</v>
      </c>
      <c r="T1799" s="62" t="n">
        <v>0</v>
      </c>
      <c r="U1799" s="62"/>
      <c r="V1799" s="62"/>
      <c r="W1799" s="62"/>
      <c r="X1799" s="62"/>
      <c r="Y1799" s="62"/>
      <c r="Z1799" s="62" t="s">
        <v>3330</v>
      </c>
      <c r="AA1799" s="62" t="s">
        <v>3331</v>
      </c>
      <c r="AB1799" s="62" t="n">
        <v>1</v>
      </c>
      <c r="AC1799" s="62" t="n">
        <v>0</v>
      </c>
      <c r="AD1799" s="62" t="n">
        <v>1</v>
      </c>
      <c r="AE1799" s="62" t="n">
        <f aca="false">IF(AND(Dashboard!$C$9="Yes",AC1799=1),0,1)</f>
        <v>1</v>
      </c>
      <c r="AF1799" s="62" t="n">
        <v>0</v>
      </c>
    </row>
    <row r="1800" customFormat="false" ht="15" hidden="false" customHeight="false" outlineLevel="0" collapsed="false">
      <c r="A1800" s="62" t="n">
        <v>1799</v>
      </c>
      <c r="B1800" s="63" t="n">
        <v>46276.1214930556</v>
      </c>
      <c r="C1800" s="64" t="n">
        <v>46275</v>
      </c>
      <c r="D1800" s="62" t="s">
        <v>202</v>
      </c>
      <c r="E1800" s="62" t="s">
        <v>518</v>
      </c>
      <c r="F1800" s="62" t="s">
        <v>518</v>
      </c>
      <c r="G1800" s="62" t="s">
        <v>519</v>
      </c>
      <c r="H1800" s="62" t="s">
        <v>52</v>
      </c>
      <c r="I1800" s="62" t="s">
        <v>47</v>
      </c>
      <c r="J1800" s="62" t="s">
        <v>146</v>
      </c>
      <c r="K1800" s="62" t="s">
        <v>147</v>
      </c>
      <c r="L1800" s="62" t="s">
        <v>148</v>
      </c>
      <c r="M1800" s="62" t="n">
        <v>0</v>
      </c>
      <c r="N1800" s="62" t="n">
        <v>1</v>
      </c>
      <c r="O1800" s="62" t="n">
        <v>1</v>
      </c>
      <c r="P1800" s="62" t="n">
        <v>0</v>
      </c>
      <c r="Q1800" s="62" t="n">
        <v>1</v>
      </c>
      <c r="R1800" s="62" t="n">
        <v>0</v>
      </c>
      <c r="S1800" s="62" t="n">
        <v>0</v>
      </c>
      <c r="T1800" s="62" t="n">
        <v>0</v>
      </c>
      <c r="U1800" s="62"/>
      <c r="V1800" s="62"/>
      <c r="W1800" s="62"/>
      <c r="X1800" s="62"/>
      <c r="Y1800" s="62"/>
      <c r="Z1800" s="62" t="s">
        <v>3332</v>
      </c>
      <c r="AA1800" s="62" t="s">
        <v>3333</v>
      </c>
      <c r="AB1800" s="62" t="n">
        <v>1</v>
      </c>
      <c r="AC1800" s="62" t="n">
        <v>0</v>
      </c>
      <c r="AD1800" s="62" t="n">
        <v>1</v>
      </c>
      <c r="AE1800" s="62" t="n">
        <f aca="false">IF(AND(Dashboard!$C$9="Yes",AC1800=1),0,1)</f>
        <v>1</v>
      </c>
      <c r="AF1800" s="62" t="n">
        <v>0</v>
      </c>
    </row>
    <row r="1801" customFormat="false" ht="15" hidden="false" customHeight="false" outlineLevel="0" collapsed="false">
      <c r="A1801" s="62" t="n">
        <v>1800</v>
      </c>
      <c r="B1801" s="63" t="n">
        <v>46276.1222916667</v>
      </c>
      <c r="C1801" s="64" t="n">
        <v>46275</v>
      </c>
      <c r="D1801" s="62" t="s">
        <v>202</v>
      </c>
      <c r="E1801" s="62" t="s">
        <v>1616</v>
      </c>
      <c r="F1801" s="62" t="s">
        <v>1616</v>
      </c>
      <c r="G1801" s="62" t="s">
        <v>1617</v>
      </c>
      <c r="H1801" s="62" t="s">
        <v>51</v>
      </c>
      <c r="I1801" s="62" t="s">
        <v>47</v>
      </c>
      <c r="J1801" s="62" t="s">
        <v>146</v>
      </c>
      <c r="K1801" s="62" t="s">
        <v>175</v>
      </c>
      <c r="L1801" s="62" t="s">
        <v>4</v>
      </c>
      <c r="M1801" s="62" t="n">
        <v>1</v>
      </c>
      <c r="N1801" s="62" t="n">
        <v>0</v>
      </c>
      <c r="O1801" s="62" t="n">
        <v>1</v>
      </c>
      <c r="P1801" s="62" t="n">
        <v>0</v>
      </c>
      <c r="Q1801" s="62" t="n">
        <v>0</v>
      </c>
      <c r="R1801" s="62" t="n">
        <v>0</v>
      </c>
      <c r="S1801" s="62" t="n">
        <v>0</v>
      </c>
      <c r="T1801" s="62" t="n">
        <v>0</v>
      </c>
      <c r="U1801" s="62" t="s">
        <v>2056</v>
      </c>
      <c r="V1801" s="62" t="s">
        <v>2057</v>
      </c>
      <c r="W1801" s="62" t="s">
        <v>15</v>
      </c>
      <c r="X1801" s="62" t="s">
        <v>2103</v>
      </c>
      <c r="Y1801" s="62" t="s">
        <v>2059</v>
      </c>
      <c r="Z1801" s="62" t="s">
        <v>3334</v>
      </c>
      <c r="AA1801" s="62" t="s">
        <v>3335</v>
      </c>
      <c r="AB1801" s="62" t="n">
        <v>1</v>
      </c>
      <c r="AC1801" s="62" t="n">
        <v>0</v>
      </c>
      <c r="AD1801" s="62" t="n">
        <v>1</v>
      </c>
      <c r="AE1801" s="62" t="n">
        <f aca="false">IF(AND(Dashboard!$C$9="Yes",AC1801=1),0,1)</f>
        <v>1</v>
      </c>
      <c r="AF1801" s="62" t="n">
        <v>1</v>
      </c>
    </row>
    <row r="1802" customFormat="false" ht="15" hidden="false" customHeight="false" outlineLevel="0" collapsed="false">
      <c r="A1802" s="62" t="n">
        <v>1801</v>
      </c>
      <c r="B1802" s="63" t="n">
        <v>46276.1425462963</v>
      </c>
      <c r="C1802" s="64" t="n">
        <v>46275</v>
      </c>
      <c r="D1802" s="62" t="s">
        <v>202</v>
      </c>
      <c r="E1802" s="62" t="s">
        <v>2845</v>
      </c>
      <c r="F1802" s="62" t="s">
        <v>2845</v>
      </c>
      <c r="G1802" s="62" t="s">
        <v>181</v>
      </c>
      <c r="H1802" s="62" t="s">
        <v>48</v>
      </c>
      <c r="I1802" s="62" t="s">
        <v>49</v>
      </c>
      <c r="J1802" s="62" t="s">
        <v>146</v>
      </c>
      <c r="K1802" s="62" t="s">
        <v>209</v>
      </c>
      <c r="L1802" s="62" t="s">
        <v>4</v>
      </c>
      <c r="M1802" s="62" t="n">
        <v>1</v>
      </c>
      <c r="N1802" s="62" t="n">
        <v>0</v>
      </c>
      <c r="O1802" s="62" t="n">
        <v>1</v>
      </c>
      <c r="P1802" s="62" t="n">
        <v>0</v>
      </c>
      <c r="Q1802" s="62" t="n">
        <v>0</v>
      </c>
      <c r="R1802" s="62" t="n">
        <v>0</v>
      </c>
      <c r="S1802" s="62" t="n">
        <v>0</v>
      </c>
      <c r="T1802" s="62" t="n">
        <v>0</v>
      </c>
      <c r="U1802" s="62" t="s">
        <v>2056</v>
      </c>
      <c r="V1802" s="62" t="s">
        <v>2057</v>
      </c>
      <c r="W1802" s="62" t="s">
        <v>15</v>
      </c>
      <c r="X1802" s="62"/>
      <c r="Y1802" s="62" t="s">
        <v>2059</v>
      </c>
      <c r="Z1802" s="62" t="s">
        <v>3336</v>
      </c>
      <c r="AA1802" s="62" t="s">
        <v>3337</v>
      </c>
      <c r="AB1802" s="62" t="n">
        <v>1</v>
      </c>
      <c r="AC1802" s="62" t="n">
        <v>0</v>
      </c>
      <c r="AD1802" s="62" t="n">
        <v>1</v>
      </c>
      <c r="AE1802" s="62" t="n">
        <f aca="false">IF(AND(Dashboard!$C$9="Yes",AC1802=1),0,1)</f>
        <v>1</v>
      </c>
      <c r="AF1802" s="62" t="n">
        <v>1</v>
      </c>
    </row>
    <row r="1803" customFormat="false" ht="15" hidden="false" customHeight="false" outlineLevel="0" collapsed="false">
      <c r="A1803" s="62" t="n">
        <v>1802</v>
      </c>
      <c r="B1803" s="63" t="n">
        <v>46276.1490046296</v>
      </c>
      <c r="C1803" s="64" t="n">
        <v>46275</v>
      </c>
      <c r="D1803" s="62" t="s">
        <v>202</v>
      </c>
      <c r="E1803" s="62" t="s">
        <v>2959</v>
      </c>
      <c r="F1803" s="62" t="s">
        <v>2959</v>
      </c>
      <c r="G1803" s="62" t="s">
        <v>2960</v>
      </c>
      <c r="H1803" s="62" t="s">
        <v>58</v>
      </c>
      <c r="I1803" s="62" t="s">
        <v>49</v>
      </c>
      <c r="J1803" s="62" t="s">
        <v>146</v>
      </c>
      <c r="K1803" s="62" t="s">
        <v>175</v>
      </c>
      <c r="L1803" s="62" t="s">
        <v>4</v>
      </c>
      <c r="M1803" s="62" t="n">
        <v>1</v>
      </c>
      <c r="N1803" s="62" t="n">
        <v>0</v>
      </c>
      <c r="O1803" s="62" t="n">
        <v>1</v>
      </c>
      <c r="P1803" s="62" t="n">
        <v>0</v>
      </c>
      <c r="Q1803" s="62" t="n">
        <v>0</v>
      </c>
      <c r="R1803" s="62" t="n">
        <v>0</v>
      </c>
      <c r="S1803" s="62" t="n">
        <v>0</v>
      </c>
      <c r="T1803" s="62" t="n">
        <v>0</v>
      </c>
      <c r="U1803" s="62" t="s">
        <v>2056</v>
      </c>
      <c r="V1803" s="62" t="s">
        <v>2057</v>
      </c>
      <c r="W1803" s="62" t="s">
        <v>2056</v>
      </c>
      <c r="X1803" s="62" t="s">
        <v>2164</v>
      </c>
      <c r="Y1803" s="62" t="s">
        <v>2165</v>
      </c>
      <c r="Z1803" s="62" t="s">
        <v>3338</v>
      </c>
      <c r="AA1803" s="62" t="s">
        <v>3339</v>
      </c>
      <c r="AB1803" s="62" t="n">
        <v>1</v>
      </c>
      <c r="AC1803" s="62" t="n">
        <v>0</v>
      </c>
      <c r="AD1803" s="62" t="n">
        <v>1</v>
      </c>
      <c r="AE1803" s="62" t="n">
        <f aca="false">IF(AND(Dashboard!$C$9="Yes",AC1803=1),0,1)</f>
        <v>1</v>
      </c>
      <c r="AF1803" s="62" t="n">
        <v>1</v>
      </c>
    </row>
    <row r="1804" customFormat="false" ht="15" hidden="false" customHeight="false" outlineLevel="0" collapsed="false">
      <c r="A1804" s="62" t="n">
        <v>1803</v>
      </c>
      <c r="B1804" s="63" t="n">
        <v>46276.1497453704</v>
      </c>
      <c r="C1804" s="64" t="n">
        <v>46275</v>
      </c>
      <c r="D1804" s="62" t="s">
        <v>202</v>
      </c>
      <c r="E1804" s="62" t="s">
        <v>2959</v>
      </c>
      <c r="F1804" s="62" t="s">
        <v>2959</v>
      </c>
      <c r="G1804" s="62" t="s">
        <v>2960</v>
      </c>
      <c r="H1804" s="62" t="s">
        <v>58</v>
      </c>
      <c r="I1804" s="62" t="s">
        <v>49</v>
      </c>
      <c r="J1804" s="62" t="s">
        <v>146</v>
      </c>
      <c r="K1804" s="62" t="s">
        <v>175</v>
      </c>
      <c r="L1804" s="62" t="s">
        <v>148</v>
      </c>
      <c r="M1804" s="62" t="n">
        <v>0</v>
      </c>
      <c r="N1804" s="62" t="n">
        <v>1</v>
      </c>
      <c r="O1804" s="62" t="n">
        <v>1</v>
      </c>
      <c r="P1804" s="62" t="n">
        <v>1</v>
      </c>
      <c r="Q1804" s="62" t="n">
        <v>0</v>
      </c>
      <c r="R1804" s="62" t="n">
        <v>0</v>
      </c>
      <c r="S1804" s="62" t="n">
        <v>0</v>
      </c>
      <c r="T1804" s="62" t="n">
        <v>0</v>
      </c>
      <c r="U1804" s="62"/>
      <c r="V1804" s="62"/>
      <c r="W1804" s="62"/>
      <c r="X1804" s="62"/>
      <c r="Y1804" s="62"/>
      <c r="Z1804" s="62" t="s">
        <v>3339</v>
      </c>
      <c r="AA1804" s="62" t="s">
        <v>3340</v>
      </c>
      <c r="AB1804" s="62" t="n">
        <v>1</v>
      </c>
      <c r="AC1804" s="62" t="n">
        <v>0</v>
      </c>
      <c r="AD1804" s="62" t="n">
        <v>1</v>
      </c>
      <c r="AE1804" s="62" t="n">
        <f aca="false">IF(AND(Dashboard!$C$9="Yes",AC1804=1),0,1)</f>
        <v>1</v>
      </c>
      <c r="AF1804" s="62" t="n">
        <v>0</v>
      </c>
    </row>
    <row r="1805" customFormat="false" ht="15" hidden="false" customHeight="false" outlineLevel="0" collapsed="false">
      <c r="A1805" s="62" t="n">
        <v>1804</v>
      </c>
      <c r="B1805" s="63" t="n">
        <v>46276.1665625</v>
      </c>
      <c r="C1805" s="64" t="n">
        <v>46275</v>
      </c>
      <c r="D1805" s="62" t="s">
        <v>202</v>
      </c>
      <c r="E1805" s="62" t="s">
        <v>3022</v>
      </c>
      <c r="F1805" s="62" t="s">
        <v>3022</v>
      </c>
      <c r="G1805" s="62" t="s">
        <v>3023</v>
      </c>
      <c r="H1805" s="62" t="s">
        <v>46</v>
      </c>
      <c r="I1805" s="62" t="s">
        <v>47</v>
      </c>
      <c r="J1805" s="62" t="s">
        <v>146</v>
      </c>
      <c r="K1805" s="62" t="s">
        <v>209</v>
      </c>
      <c r="L1805" s="62" t="s">
        <v>148</v>
      </c>
      <c r="M1805" s="62" t="n">
        <v>0</v>
      </c>
      <c r="N1805" s="62" t="n">
        <v>1</v>
      </c>
      <c r="O1805" s="62" t="n">
        <v>1</v>
      </c>
      <c r="P1805" s="62" t="n">
        <v>1</v>
      </c>
      <c r="Q1805" s="62" t="n">
        <v>0</v>
      </c>
      <c r="R1805" s="62" t="n">
        <v>0</v>
      </c>
      <c r="S1805" s="62" t="n">
        <v>0</v>
      </c>
      <c r="T1805" s="62" t="n">
        <v>0</v>
      </c>
      <c r="U1805" s="62"/>
      <c r="V1805" s="62"/>
      <c r="W1805" s="62"/>
      <c r="X1805" s="62"/>
      <c r="Y1805" s="62"/>
      <c r="Z1805" s="62" t="s">
        <v>3341</v>
      </c>
      <c r="AA1805" s="62" t="s">
        <v>337</v>
      </c>
      <c r="AB1805" s="62" t="n">
        <v>0</v>
      </c>
      <c r="AC1805" s="62" t="n">
        <v>0</v>
      </c>
      <c r="AD1805" s="62" t="n">
        <v>1</v>
      </c>
      <c r="AE1805" s="62" t="n">
        <f aca="false">IF(AND(Dashboard!$C$9="Yes",AC1805=1),0,1)</f>
        <v>1</v>
      </c>
      <c r="AF1805" s="62" t="n">
        <v>1</v>
      </c>
    </row>
    <row r="1806" customFormat="false" ht="15" hidden="false" customHeight="false" outlineLevel="0" collapsed="false">
      <c r="A1806" s="62" t="n">
        <v>1805</v>
      </c>
      <c r="B1806" s="63" t="n">
        <v>46276.1971875</v>
      </c>
      <c r="C1806" s="64" t="n">
        <v>46275</v>
      </c>
      <c r="D1806" s="62" t="s">
        <v>202</v>
      </c>
      <c r="E1806" s="62" t="s">
        <v>790</v>
      </c>
      <c r="F1806" s="62" t="s">
        <v>791</v>
      </c>
      <c r="G1806" s="62" t="s">
        <v>153</v>
      </c>
      <c r="H1806" s="62" t="s">
        <v>153</v>
      </c>
      <c r="I1806" s="62" t="s">
        <v>153</v>
      </c>
      <c r="J1806" s="62" t="s">
        <v>64</v>
      </c>
      <c r="K1806" s="62" t="s">
        <v>64</v>
      </c>
      <c r="L1806" s="62" t="s">
        <v>148</v>
      </c>
      <c r="M1806" s="62" t="n">
        <v>0</v>
      </c>
      <c r="N1806" s="62" t="n">
        <v>1</v>
      </c>
      <c r="O1806" s="62" t="n">
        <v>1</v>
      </c>
      <c r="P1806" s="62" t="n">
        <v>1</v>
      </c>
      <c r="Q1806" s="62" t="n">
        <v>0</v>
      </c>
      <c r="R1806" s="62" t="n">
        <v>0</v>
      </c>
      <c r="S1806" s="62" t="n">
        <v>0</v>
      </c>
      <c r="T1806" s="62" t="n">
        <v>0</v>
      </c>
      <c r="U1806" s="62"/>
      <c r="V1806" s="62"/>
      <c r="W1806" s="62"/>
      <c r="X1806" s="62"/>
      <c r="Y1806" s="62"/>
      <c r="Z1806" s="62" t="s">
        <v>3342</v>
      </c>
      <c r="AA1806" s="62" t="s">
        <v>3343</v>
      </c>
      <c r="AB1806" s="62" t="n">
        <v>1</v>
      </c>
      <c r="AC1806" s="62" t="n">
        <v>0</v>
      </c>
      <c r="AD1806" s="62" t="n">
        <v>0</v>
      </c>
      <c r="AE1806" s="62" t="n">
        <f aca="false">IF(AND(Dashboard!$C$9="Yes",AC1806=1),0,1)</f>
        <v>1</v>
      </c>
      <c r="AF1806" s="62" t="n">
        <v>0</v>
      </c>
    </row>
    <row r="1807" customFormat="false" ht="15" hidden="false" customHeight="false" outlineLevel="0" collapsed="false">
      <c r="A1807" s="62" t="n">
        <v>1806</v>
      </c>
      <c r="B1807" s="63" t="n">
        <v>46276.2333101852</v>
      </c>
      <c r="C1807" s="64" t="n">
        <v>46275</v>
      </c>
      <c r="D1807" s="62" t="s">
        <v>202</v>
      </c>
      <c r="E1807" s="62" t="s">
        <v>414</v>
      </c>
      <c r="F1807" s="62" t="s">
        <v>414</v>
      </c>
      <c r="G1807" s="62" t="s">
        <v>415</v>
      </c>
      <c r="H1807" s="62" t="s">
        <v>57</v>
      </c>
      <c r="I1807" s="62" t="s">
        <v>47</v>
      </c>
      <c r="J1807" s="62" t="s">
        <v>146</v>
      </c>
      <c r="K1807" s="62" t="s">
        <v>147</v>
      </c>
      <c r="L1807" s="62" t="s">
        <v>4</v>
      </c>
      <c r="M1807" s="62" t="n">
        <v>1</v>
      </c>
      <c r="N1807" s="62" t="n">
        <v>0</v>
      </c>
      <c r="O1807" s="62" t="n">
        <v>1</v>
      </c>
      <c r="P1807" s="62" t="n">
        <v>0</v>
      </c>
      <c r="Q1807" s="62" t="n">
        <v>0</v>
      </c>
      <c r="R1807" s="62" t="n">
        <v>0</v>
      </c>
      <c r="S1807" s="62" t="n">
        <v>0</v>
      </c>
      <c r="T1807" s="62" t="n">
        <v>0</v>
      </c>
      <c r="U1807" s="62" t="s">
        <v>2056</v>
      </c>
      <c r="V1807" s="62" t="s">
        <v>2057</v>
      </c>
      <c r="W1807" s="62" t="s">
        <v>15</v>
      </c>
      <c r="X1807" s="62" t="s">
        <v>2125</v>
      </c>
      <c r="Y1807" s="62" t="s">
        <v>2103</v>
      </c>
      <c r="Z1807" s="62" t="s">
        <v>3344</v>
      </c>
      <c r="AA1807" s="62" t="s">
        <v>3345</v>
      </c>
      <c r="AB1807" s="62" t="n">
        <v>1</v>
      </c>
      <c r="AC1807" s="62" t="n">
        <v>0</v>
      </c>
      <c r="AD1807" s="62" t="n">
        <v>1</v>
      </c>
      <c r="AE1807" s="62" t="n">
        <f aca="false">IF(AND(Dashboard!$C$9="Yes",AC1807=1),0,1)</f>
        <v>1</v>
      </c>
      <c r="AF1807" s="62" t="n">
        <v>0</v>
      </c>
    </row>
    <row r="1808" customFormat="false" ht="15" hidden="false" customHeight="false" outlineLevel="0" collapsed="false">
      <c r="A1808" s="62" t="n">
        <v>1807</v>
      </c>
      <c r="B1808" s="63" t="n">
        <v>46276.2342361111</v>
      </c>
      <c r="C1808" s="64" t="n">
        <v>46275</v>
      </c>
      <c r="D1808" s="62" t="s">
        <v>202</v>
      </c>
      <c r="E1808" s="62" t="s">
        <v>414</v>
      </c>
      <c r="F1808" s="62" t="s">
        <v>414</v>
      </c>
      <c r="G1808" s="62" t="s">
        <v>415</v>
      </c>
      <c r="H1808" s="62" t="s">
        <v>57</v>
      </c>
      <c r="I1808" s="62" t="s">
        <v>47</v>
      </c>
      <c r="J1808" s="62" t="s">
        <v>146</v>
      </c>
      <c r="K1808" s="62" t="s">
        <v>147</v>
      </c>
      <c r="L1808" s="62" t="s">
        <v>4</v>
      </c>
      <c r="M1808" s="62" t="n">
        <v>1</v>
      </c>
      <c r="N1808" s="62" t="n">
        <v>0</v>
      </c>
      <c r="O1808" s="62" t="n">
        <v>1</v>
      </c>
      <c r="P1808" s="62" t="n">
        <v>0</v>
      </c>
      <c r="Q1808" s="62" t="n">
        <v>0</v>
      </c>
      <c r="R1808" s="62" t="n">
        <v>0</v>
      </c>
      <c r="S1808" s="62" t="n">
        <v>0</v>
      </c>
      <c r="T1808" s="62" t="n">
        <v>0</v>
      </c>
      <c r="U1808" s="62" t="s">
        <v>2056</v>
      </c>
      <c r="V1808" s="62" t="s">
        <v>2057</v>
      </c>
      <c r="W1808" s="62" t="s">
        <v>15</v>
      </c>
      <c r="X1808" s="62" t="s">
        <v>2125</v>
      </c>
      <c r="Y1808" s="62" t="s">
        <v>2103</v>
      </c>
      <c r="Z1808" s="62" t="s">
        <v>3344</v>
      </c>
      <c r="AA1808" s="62" t="s">
        <v>3345</v>
      </c>
      <c r="AB1808" s="62" t="n">
        <v>1</v>
      </c>
      <c r="AC1808" s="62" t="n">
        <v>1</v>
      </c>
      <c r="AD1808" s="62" t="n">
        <v>1</v>
      </c>
      <c r="AE1808" s="62" t="n">
        <f aca="false">IF(AND(Dashboard!$C$9="Yes",AC1808=1),0,1)</f>
        <v>0</v>
      </c>
      <c r="AF1808" s="62" t="n">
        <v>0</v>
      </c>
    </row>
    <row r="1809" customFormat="false" ht="15" hidden="false" customHeight="false" outlineLevel="0" collapsed="false">
      <c r="A1809" s="62" t="n">
        <v>1808</v>
      </c>
      <c r="B1809" s="63" t="n">
        <v>46276.2587037037</v>
      </c>
      <c r="C1809" s="64" t="n">
        <v>46275</v>
      </c>
      <c r="D1809" s="62" t="s">
        <v>202</v>
      </c>
      <c r="E1809" s="62" t="s">
        <v>790</v>
      </c>
      <c r="F1809" s="62" t="s">
        <v>791</v>
      </c>
      <c r="G1809" s="62" t="s">
        <v>153</v>
      </c>
      <c r="H1809" s="62" t="s">
        <v>153</v>
      </c>
      <c r="I1809" s="62" t="s">
        <v>153</v>
      </c>
      <c r="J1809" s="62" t="s">
        <v>64</v>
      </c>
      <c r="K1809" s="62" t="s">
        <v>64</v>
      </c>
      <c r="L1809" s="62" t="s">
        <v>148</v>
      </c>
      <c r="M1809" s="62" t="n">
        <v>0</v>
      </c>
      <c r="N1809" s="62" t="n">
        <v>1</v>
      </c>
      <c r="O1809" s="62" t="n">
        <v>1</v>
      </c>
      <c r="P1809" s="62" t="n">
        <v>1</v>
      </c>
      <c r="Q1809" s="62" t="n">
        <v>0</v>
      </c>
      <c r="R1809" s="62" t="n">
        <v>0</v>
      </c>
      <c r="S1809" s="62" t="n">
        <v>0</v>
      </c>
      <c r="T1809" s="62" t="n">
        <v>0</v>
      </c>
      <c r="U1809" s="62"/>
      <c r="V1809" s="62"/>
      <c r="W1809" s="62"/>
      <c r="X1809" s="62"/>
      <c r="Y1809" s="62"/>
      <c r="Z1809" s="62" t="s">
        <v>3346</v>
      </c>
      <c r="AA1809" s="62" t="s">
        <v>3347</v>
      </c>
      <c r="AB1809" s="62" t="n">
        <v>1</v>
      </c>
      <c r="AC1809" s="62" t="n">
        <v>0</v>
      </c>
      <c r="AD1809" s="62" t="n">
        <v>0</v>
      </c>
      <c r="AE1809" s="62" t="n">
        <f aca="false">IF(AND(Dashboard!$C$9="Yes",AC1809=1),0,1)</f>
        <v>1</v>
      </c>
      <c r="AF1809" s="62" t="n">
        <v>0</v>
      </c>
    </row>
    <row r="1810" customFormat="false" ht="15" hidden="false" customHeight="false" outlineLevel="0" collapsed="false">
      <c r="A1810" s="62" t="n">
        <v>1809</v>
      </c>
      <c r="B1810" s="63" t="n">
        <v>46276.2670138889</v>
      </c>
      <c r="C1810" s="64" t="n">
        <v>46275</v>
      </c>
      <c r="D1810" s="62" t="s">
        <v>202</v>
      </c>
      <c r="E1810" s="62" t="s">
        <v>518</v>
      </c>
      <c r="F1810" s="62" t="s">
        <v>518</v>
      </c>
      <c r="G1810" s="62" t="s">
        <v>519</v>
      </c>
      <c r="H1810" s="62" t="s">
        <v>52</v>
      </c>
      <c r="I1810" s="62" t="s">
        <v>47</v>
      </c>
      <c r="J1810" s="62" t="s">
        <v>146</v>
      </c>
      <c r="K1810" s="62" t="s">
        <v>147</v>
      </c>
      <c r="L1810" s="62" t="s">
        <v>148</v>
      </c>
      <c r="M1810" s="62" t="n">
        <v>0</v>
      </c>
      <c r="N1810" s="62" t="n">
        <v>1</v>
      </c>
      <c r="O1810" s="62" t="n">
        <v>1</v>
      </c>
      <c r="P1810" s="62" t="n">
        <v>1</v>
      </c>
      <c r="Q1810" s="62" t="n">
        <v>0</v>
      </c>
      <c r="R1810" s="62" t="n">
        <v>0</v>
      </c>
      <c r="S1810" s="62" t="n">
        <v>0</v>
      </c>
      <c r="T1810" s="62" t="n">
        <v>0</v>
      </c>
      <c r="U1810" s="62"/>
      <c r="V1810" s="62"/>
      <c r="W1810" s="62"/>
      <c r="X1810" s="62"/>
      <c r="Y1810" s="62"/>
      <c r="Z1810" s="62" t="s">
        <v>3348</v>
      </c>
      <c r="AA1810" s="62" t="s">
        <v>3349</v>
      </c>
      <c r="AB1810" s="62" t="n">
        <v>1</v>
      </c>
      <c r="AC1810" s="62" t="n">
        <v>0</v>
      </c>
      <c r="AD1810" s="62" t="n">
        <v>1</v>
      </c>
      <c r="AE1810" s="62" t="n">
        <f aca="false">IF(AND(Dashboard!$C$9="Yes",AC1810=1),0,1)</f>
        <v>1</v>
      </c>
      <c r="AF1810" s="62" t="n">
        <v>0</v>
      </c>
    </row>
    <row r="1811" customFormat="false" ht="15" hidden="false" customHeight="false" outlineLevel="0" collapsed="false">
      <c r="A1811" s="62" t="n">
        <v>1810</v>
      </c>
      <c r="B1811" s="63" t="n">
        <v>46276.2782291667</v>
      </c>
      <c r="C1811" s="64" t="n">
        <v>46275</v>
      </c>
      <c r="D1811" s="62" t="s">
        <v>202</v>
      </c>
      <c r="E1811" s="62" t="s">
        <v>790</v>
      </c>
      <c r="F1811" s="62" t="s">
        <v>791</v>
      </c>
      <c r="G1811" s="62" t="s">
        <v>153</v>
      </c>
      <c r="H1811" s="62" t="s">
        <v>153</v>
      </c>
      <c r="I1811" s="62" t="s">
        <v>153</v>
      </c>
      <c r="J1811" s="62" t="s">
        <v>64</v>
      </c>
      <c r="K1811" s="62" t="s">
        <v>64</v>
      </c>
      <c r="L1811" s="62" t="s">
        <v>4</v>
      </c>
      <c r="M1811" s="62" t="n">
        <v>1</v>
      </c>
      <c r="N1811" s="62" t="n">
        <v>0</v>
      </c>
      <c r="O1811" s="62" t="n">
        <v>1</v>
      </c>
      <c r="P1811" s="62" t="n">
        <v>0</v>
      </c>
      <c r="Q1811" s="62" t="n">
        <v>0</v>
      </c>
      <c r="R1811" s="62" t="n">
        <v>0</v>
      </c>
      <c r="S1811" s="62" t="n">
        <v>0</v>
      </c>
      <c r="T1811" s="62" t="n">
        <v>0</v>
      </c>
      <c r="U1811" s="62" t="s">
        <v>2056</v>
      </c>
      <c r="V1811" s="62" t="s">
        <v>2057</v>
      </c>
      <c r="W1811" s="62" t="s">
        <v>15</v>
      </c>
      <c r="X1811" s="62" t="s">
        <v>2058</v>
      </c>
      <c r="Y1811" s="62" t="s">
        <v>2059</v>
      </c>
      <c r="Z1811" s="62" t="s">
        <v>3346</v>
      </c>
      <c r="AA1811" s="62" t="s">
        <v>3350</v>
      </c>
      <c r="AB1811" s="62" t="n">
        <v>1</v>
      </c>
      <c r="AC1811" s="62" t="n">
        <v>0</v>
      </c>
      <c r="AD1811" s="62" t="n">
        <v>0</v>
      </c>
      <c r="AE1811" s="62" t="n">
        <f aca="false">IF(AND(Dashboard!$C$9="Yes",AC1811=1),0,1)</f>
        <v>1</v>
      </c>
      <c r="AF1811" s="62" t="n">
        <v>0</v>
      </c>
    </row>
    <row r="1812" customFormat="false" ht="15" hidden="false" customHeight="false" outlineLevel="0" collapsed="false">
      <c r="A1812" s="62" t="n">
        <v>1811</v>
      </c>
      <c r="B1812" s="63" t="n">
        <v>46276.6069907407</v>
      </c>
      <c r="C1812" s="64" t="n">
        <v>46276</v>
      </c>
      <c r="D1812" s="62" t="s">
        <v>288</v>
      </c>
      <c r="E1812" s="62" t="s">
        <v>939</v>
      </c>
      <c r="F1812" s="62" t="s">
        <v>939</v>
      </c>
      <c r="G1812" s="62" t="s">
        <v>940</v>
      </c>
      <c r="H1812" s="62" t="s">
        <v>57</v>
      </c>
      <c r="I1812" s="62" t="s">
        <v>47</v>
      </c>
      <c r="J1812" s="62" t="s">
        <v>146</v>
      </c>
      <c r="K1812" s="62" t="s">
        <v>147</v>
      </c>
      <c r="L1812" s="62" t="s">
        <v>148</v>
      </c>
      <c r="M1812" s="62" t="n">
        <v>0</v>
      </c>
      <c r="N1812" s="62" t="n">
        <v>1</v>
      </c>
      <c r="O1812" s="62" t="n">
        <v>1</v>
      </c>
      <c r="P1812" s="62" t="n">
        <v>0</v>
      </c>
      <c r="Q1812" s="62" t="n">
        <v>1</v>
      </c>
      <c r="R1812" s="62" t="n">
        <v>0</v>
      </c>
      <c r="S1812" s="62" t="n">
        <v>0</v>
      </c>
      <c r="T1812" s="62" t="n">
        <v>0</v>
      </c>
      <c r="U1812" s="62"/>
      <c r="V1812" s="62"/>
      <c r="W1812" s="62"/>
      <c r="X1812" s="62"/>
      <c r="Y1812" s="62"/>
      <c r="Z1812" s="62" t="s">
        <v>3351</v>
      </c>
      <c r="AA1812" s="62" t="s">
        <v>3352</v>
      </c>
      <c r="AB1812" s="62" t="n">
        <v>1</v>
      </c>
      <c r="AC1812" s="62" t="n">
        <v>0</v>
      </c>
      <c r="AD1812" s="62" t="n">
        <v>1</v>
      </c>
      <c r="AE1812" s="62" t="n">
        <f aca="false">IF(AND(Dashboard!$C$9="Yes",AC1812=1),0,1)</f>
        <v>1</v>
      </c>
      <c r="AF1812" s="62" t="n">
        <v>1</v>
      </c>
    </row>
    <row r="1813" customFormat="false" ht="15" hidden="false" customHeight="false" outlineLevel="0" collapsed="false">
      <c r="A1813" s="62" t="n">
        <v>1812</v>
      </c>
      <c r="B1813" s="63" t="n">
        <v>46276.6846527778</v>
      </c>
      <c r="C1813" s="64" t="n">
        <v>46276</v>
      </c>
      <c r="D1813" s="62" t="s">
        <v>288</v>
      </c>
      <c r="E1813" s="62" t="s">
        <v>2530</v>
      </c>
      <c r="F1813" s="62" t="s">
        <v>2530</v>
      </c>
      <c r="G1813" s="62" t="s">
        <v>2531</v>
      </c>
      <c r="H1813" s="62" t="s">
        <v>48</v>
      </c>
      <c r="I1813" s="62" t="s">
        <v>49</v>
      </c>
      <c r="J1813" s="62" t="s">
        <v>146</v>
      </c>
      <c r="K1813" s="62" t="s">
        <v>209</v>
      </c>
      <c r="L1813" s="62" t="s">
        <v>4</v>
      </c>
      <c r="M1813" s="62" t="n">
        <v>1</v>
      </c>
      <c r="N1813" s="62" t="n">
        <v>0</v>
      </c>
      <c r="O1813" s="62" t="n">
        <v>1</v>
      </c>
      <c r="P1813" s="62" t="n">
        <v>0</v>
      </c>
      <c r="Q1813" s="62" t="n">
        <v>0</v>
      </c>
      <c r="R1813" s="62" t="n">
        <v>0</v>
      </c>
      <c r="S1813" s="62" t="n">
        <v>0</v>
      </c>
      <c r="T1813" s="62" t="n">
        <v>0</v>
      </c>
      <c r="U1813" s="62" t="s">
        <v>2056</v>
      </c>
      <c r="V1813" s="62" t="s">
        <v>2057</v>
      </c>
      <c r="W1813" s="62" t="s">
        <v>15</v>
      </c>
      <c r="X1813" s="62" t="s">
        <v>2058</v>
      </c>
      <c r="Y1813" s="62" t="s">
        <v>2059</v>
      </c>
      <c r="Z1813" s="62" t="s">
        <v>3353</v>
      </c>
      <c r="AA1813" s="62" t="s">
        <v>3354</v>
      </c>
      <c r="AB1813" s="62" t="n">
        <v>1</v>
      </c>
      <c r="AC1813" s="62" t="n">
        <v>0</v>
      </c>
      <c r="AD1813" s="62" t="n">
        <v>1</v>
      </c>
      <c r="AE1813" s="62" t="n">
        <f aca="false">IF(AND(Dashboard!$C$9="Yes",AC1813=1),0,1)</f>
        <v>1</v>
      </c>
      <c r="AF1813" s="62" t="n">
        <v>1</v>
      </c>
    </row>
    <row r="1814" customFormat="false" ht="15" hidden="false" customHeight="false" outlineLevel="0" collapsed="false">
      <c r="A1814" s="62" t="n">
        <v>1813</v>
      </c>
      <c r="B1814" s="63" t="n">
        <v>46276.6855208333</v>
      </c>
      <c r="C1814" s="64" t="n">
        <v>46276</v>
      </c>
      <c r="D1814" s="62" t="s">
        <v>288</v>
      </c>
      <c r="E1814" s="62" t="s">
        <v>2910</v>
      </c>
      <c r="F1814" s="62" t="s">
        <v>2910</v>
      </c>
      <c r="G1814" s="62" t="s">
        <v>2911</v>
      </c>
      <c r="H1814" s="62" t="s">
        <v>48</v>
      </c>
      <c r="I1814" s="62" t="s">
        <v>49</v>
      </c>
      <c r="J1814" s="62" t="s">
        <v>146</v>
      </c>
      <c r="K1814" s="62" t="s">
        <v>209</v>
      </c>
      <c r="L1814" s="62" t="s">
        <v>4</v>
      </c>
      <c r="M1814" s="62" t="n">
        <v>1</v>
      </c>
      <c r="N1814" s="62" t="n">
        <v>0</v>
      </c>
      <c r="O1814" s="62" t="n">
        <v>1</v>
      </c>
      <c r="P1814" s="62" t="n">
        <v>0</v>
      </c>
      <c r="Q1814" s="62" t="n">
        <v>0</v>
      </c>
      <c r="R1814" s="62" t="n">
        <v>0</v>
      </c>
      <c r="S1814" s="62" t="n">
        <v>0</v>
      </c>
      <c r="T1814" s="62" t="n">
        <v>0</v>
      </c>
      <c r="U1814" s="62" t="s">
        <v>2056</v>
      </c>
      <c r="V1814" s="62" t="s">
        <v>2057</v>
      </c>
      <c r="W1814" s="62" t="s">
        <v>15</v>
      </c>
      <c r="X1814" s="62" t="s">
        <v>2164</v>
      </c>
      <c r="Y1814" s="62" t="s">
        <v>2165</v>
      </c>
      <c r="Z1814" s="62" t="s">
        <v>3355</v>
      </c>
      <c r="AA1814" s="62" t="s">
        <v>3356</v>
      </c>
      <c r="AB1814" s="62" t="n">
        <v>1</v>
      </c>
      <c r="AC1814" s="62" t="n">
        <v>0</v>
      </c>
      <c r="AD1814" s="62" t="n">
        <v>1</v>
      </c>
      <c r="AE1814" s="62" t="n">
        <f aca="false">IF(AND(Dashboard!$C$9="Yes",AC1814=1),0,1)</f>
        <v>1</v>
      </c>
      <c r="AF1814" s="62" t="n">
        <v>1</v>
      </c>
    </row>
    <row r="1815" customFormat="false" ht="15" hidden="false" customHeight="false" outlineLevel="0" collapsed="false">
      <c r="A1815" s="62" t="n">
        <v>1814</v>
      </c>
      <c r="B1815" s="63" t="n">
        <v>46276.6860300926</v>
      </c>
      <c r="C1815" s="64" t="n">
        <v>46276</v>
      </c>
      <c r="D1815" s="62" t="s">
        <v>288</v>
      </c>
      <c r="E1815" s="62" t="s">
        <v>2228</v>
      </c>
      <c r="F1815" s="62" t="s">
        <v>2228</v>
      </c>
      <c r="G1815" s="62" t="s">
        <v>2229</v>
      </c>
      <c r="H1815" s="62" t="s">
        <v>58</v>
      </c>
      <c r="I1815" s="62" t="s">
        <v>49</v>
      </c>
      <c r="J1815" s="62" t="s">
        <v>146</v>
      </c>
      <c r="K1815" s="62" t="s">
        <v>209</v>
      </c>
      <c r="L1815" s="62" t="s">
        <v>148</v>
      </c>
      <c r="M1815" s="62" t="n">
        <v>0</v>
      </c>
      <c r="N1815" s="62" t="n">
        <v>1</v>
      </c>
      <c r="O1815" s="62" t="n">
        <v>1</v>
      </c>
      <c r="P1815" s="62" t="n">
        <v>1</v>
      </c>
      <c r="Q1815" s="62" t="n">
        <v>0</v>
      </c>
      <c r="R1815" s="62" t="n">
        <v>0</v>
      </c>
      <c r="S1815" s="62" t="n">
        <v>0</v>
      </c>
      <c r="T1815" s="62" t="n">
        <v>0</v>
      </c>
      <c r="U1815" s="62"/>
      <c r="V1815" s="62"/>
      <c r="W1815" s="62"/>
      <c r="X1815" s="62"/>
      <c r="Y1815" s="62"/>
      <c r="Z1815" s="62" t="s">
        <v>3357</v>
      </c>
      <c r="AA1815" s="62" t="s">
        <v>3358</v>
      </c>
      <c r="AB1815" s="62" t="n">
        <v>1</v>
      </c>
      <c r="AC1815" s="62" t="n">
        <v>0</v>
      </c>
      <c r="AD1815" s="62" t="n">
        <v>1</v>
      </c>
      <c r="AE1815" s="62" t="n">
        <f aca="false">IF(AND(Dashboard!$C$9="Yes",AC1815=1),0,1)</f>
        <v>1</v>
      </c>
      <c r="AF1815" s="62" t="n">
        <v>1</v>
      </c>
    </row>
    <row r="1816" customFormat="false" ht="15" hidden="false" customHeight="false" outlineLevel="0" collapsed="false">
      <c r="A1816" s="62" t="n">
        <v>1815</v>
      </c>
      <c r="B1816" s="63" t="n">
        <v>46276.7308912037</v>
      </c>
      <c r="C1816" s="64" t="n">
        <v>46276</v>
      </c>
      <c r="D1816" s="62" t="s">
        <v>288</v>
      </c>
      <c r="E1816" s="62" t="s">
        <v>2910</v>
      </c>
      <c r="F1816" s="62" t="s">
        <v>2910</v>
      </c>
      <c r="G1816" s="62" t="s">
        <v>2911</v>
      </c>
      <c r="H1816" s="62" t="s">
        <v>48</v>
      </c>
      <c r="I1816" s="62" t="s">
        <v>49</v>
      </c>
      <c r="J1816" s="62" t="s">
        <v>146</v>
      </c>
      <c r="K1816" s="62" t="s">
        <v>209</v>
      </c>
      <c r="L1816" s="62" t="s">
        <v>4</v>
      </c>
      <c r="M1816" s="62" t="n">
        <v>1</v>
      </c>
      <c r="N1816" s="62" t="n">
        <v>0</v>
      </c>
      <c r="O1816" s="62" t="n">
        <v>1</v>
      </c>
      <c r="P1816" s="62" t="n">
        <v>0</v>
      </c>
      <c r="Q1816" s="62" t="n">
        <v>0</v>
      </c>
      <c r="R1816" s="62" t="n">
        <v>0</v>
      </c>
      <c r="S1816" s="62" t="n">
        <v>0</v>
      </c>
      <c r="T1816" s="62" t="n">
        <v>0</v>
      </c>
      <c r="U1816" s="62" t="s">
        <v>2056</v>
      </c>
      <c r="V1816" s="62" t="s">
        <v>2057</v>
      </c>
      <c r="W1816" s="62" t="s">
        <v>15</v>
      </c>
      <c r="X1816" s="62" t="s">
        <v>2180</v>
      </c>
      <c r="Y1816" s="62" t="s">
        <v>2059</v>
      </c>
      <c r="Z1816" s="62" t="s">
        <v>3355</v>
      </c>
      <c r="AA1816" s="62" t="s">
        <v>237</v>
      </c>
      <c r="AB1816" s="62" t="n">
        <v>0</v>
      </c>
      <c r="AC1816" s="62" t="n">
        <v>0</v>
      </c>
      <c r="AD1816" s="62" t="n">
        <v>1</v>
      </c>
      <c r="AE1816" s="62" t="n">
        <f aca="false">IF(AND(Dashboard!$C$9="Yes",AC1816=1),0,1)</f>
        <v>1</v>
      </c>
      <c r="AF1816" s="62" t="n">
        <v>0</v>
      </c>
    </row>
    <row r="1817" customFormat="false" ht="15" hidden="false" customHeight="false" outlineLevel="0" collapsed="false">
      <c r="A1817" s="62" t="n">
        <v>1816</v>
      </c>
      <c r="B1817" s="63" t="n">
        <v>46276.7364814815</v>
      </c>
      <c r="C1817" s="64" t="n">
        <v>46276</v>
      </c>
      <c r="D1817" s="62" t="s">
        <v>288</v>
      </c>
      <c r="E1817" s="62" t="s">
        <v>1445</v>
      </c>
      <c r="F1817" s="62" t="s">
        <v>1445</v>
      </c>
      <c r="G1817" s="62" t="s">
        <v>1446</v>
      </c>
      <c r="H1817" s="62" t="s">
        <v>58</v>
      </c>
      <c r="I1817" s="62" t="s">
        <v>49</v>
      </c>
      <c r="J1817" s="62" t="s">
        <v>146</v>
      </c>
      <c r="K1817" s="62" t="s">
        <v>175</v>
      </c>
      <c r="L1817" s="62" t="s">
        <v>148</v>
      </c>
      <c r="M1817" s="62" t="n">
        <v>0</v>
      </c>
      <c r="N1817" s="62" t="n">
        <v>1</v>
      </c>
      <c r="O1817" s="62" t="n">
        <v>1</v>
      </c>
      <c r="P1817" s="62" t="n">
        <v>1</v>
      </c>
      <c r="Q1817" s="62" t="n">
        <v>0</v>
      </c>
      <c r="R1817" s="62" t="n">
        <v>0</v>
      </c>
      <c r="S1817" s="62" t="n">
        <v>0</v>
      </c>
      <c r="T1817" s="62" t="n">
        <v>0</v>
      </c>
      <c r="U1817" s="62"/>
      <c r="V1817" s="62"/>
      <c r="W1817" s="62"/>
      <c r="X1817" s="62"/>
      <c r="Y1817" s="62"/>
      <c r="Z1817" s="62" t="s">
        <v>3359</v>
      </c>
      <c r="AA1817" s="62" t="s">
        <v>3360</v>
      </c>
      <c r="AB1817" s="62" t="n">
        <v>1</v>
      </c>
      <c r="AC1817" s="62" t="n">
        <v>0</v>
      </c>
      <c r="AD1817" s="62" t="n">
        <v>1</v>
      </c>
      <c r="AE1817" s="62" t="n">
        <f aca="false">IF(AND(Dashboard!$C$9="Yes",AC1817=1),0,1)</f>
        <v>1</v>
      </c>
      <c r="AF1817" s="62" t="n">
        <v>1</v>
      </c>
    </row>
    <row r="1818" customFormat="false" ht="15" hidden="false" customHeight="false" outlineLevel="0" collapsed="false">
      <c r="A1818" s="62" t="n">
        <v>1817</v>
      </c>
      <c r="B1818" s="63" t="n">
        <v>46276.7421759259</v>
      </c>
      <c r="C1818" s="64" t="n">
        <v>46276</v>
      </c>
      <c r="D1818" s="62" t="s">
        <v>288</v>
      </c>
      <c r="E1818" s="62" t="s">
        <v>164</v>
      </c>
      <c r="F1818" s="62" t="s">
        <v>164</v>
      </c>
      <c r="G1818" s="62" t="s">
        <v>165</v>
      </c>
      <c r="H1818" s="62" t="s">
        <v>51</v>
      </c>
      <c r="I1818" s="62" t="s">
        <v>47</v>
      </c>
      <c r="J1818" s="62" t="s">
        <v>146</v>
      </c>
      <c r="K1818" s="62" t="s">
        <v>147</v>
      </c>
      <c r="L1818" s="62" t="s">
        <v>148</v>
      </c>
      <c r="M1818" s="62" t="n">
        <v>0</v>
      </c>
      <c r="N1818" s="62" t="n">
        <v>1</v>
      </c>
      <c r="O1818" s="62" t="n">
        <v>1</v>
      </c>
      <c r="P1818" s="62" t="n">
        <v>0</v>
      </c>
      <c r="Q1818" s="62" t="n">
        <v>1</v>
      </c>
      <c r="R1818" s="62" t="n">
        <v>0</v>
      </c>
      <c r="S1818" s="62" t="n">
        <v>0</v>
      </c>
      <c r="T1818" s="62" t="n">
        <v>0</v>
      </c>
      <c r="U1818" s="62"/>
      <c r="V1818" s="62"/>
      <c r="W1818" s="62"/>
      <c r="X1818" s="62"/>
      <c r="Y1818" s="62"/>
      <c r="Z1818" s="62" t="s">
        <v>3361</v>
      </c>
      <c r="AA1818" s="62" t="s">
        <v>3362</v>
      </c>
      <c r="AB1818" s="62" t="n">
        <v>1</v>
      </c>
      <c r="AC1818" s="62" t="n">
        <v>0</v>
      </c>
      <c r="AD1818" s="62" t="n">
        <v>1</v>
      </c>
      <c r="AE1818" s="62" t="n">
        <f aca="false">IF(AND(Dashboard!$C$9="Yes",AC1818=1),0,1)</f>
        <v>1</v>
      </c>
      <c r="AF1818" s="62" t="n">
        <v>1</v>
      </c>
    </row>
    <row r="1819" customFormat="false" ht="15" hidden="false" customHeight="false" outlineLevel="0" collapsed="false">
      <c r="A1819" s="62" t="n">
        <v>1818</v>
      </c>
      <c r="B1819" s="63" t="n">
        <v>46276.7429398148</v>
      </c>
      <c r="C1819" s="64" t="n">
        <v>46276</v>
      </c>
      <c r="D1819" s="62" t="s">
        <v>288</v>
      </c>
      <c r="E1819" s="62" t="s">
        <v>164</v>
      </c>
      <c r="F1819" s="62" t="s">
        <v>164</v>
      </c>
      <c r="G1819" s="62" t="s">
        <v>165</v>
      </c>
      <c r="H1819" s="62" t="s">
        <v>51</v>
      </c>
      <c r="I1819" s="62" t="s">
        <v>47</v>
      </c>
      <c r="J1819" s="62" t="s">
        <v>146</v>
      </c>
      <c r="K1819" s="62" t="s">
        <v>147</v>
      </c>
      <c r="L1819" s="62" t="s">
        <v>148</v>
      </c>
      <c r="M1819" s="62" t="n">
        <v>0</v>
      </c>
      <c r="N1819" s="62" t="n">
        <v>1</v>
      </c>
      <c r="O1819" s="62" t="n">
        <v>1</v>
      </c>
      <c r="P1819" s="62" t="n">
        <v>0</v>
      </c>
      <c r="Q1819" s="62" t="n">
        <v>1</v>
      </c>
      <c r="R1819" s="62" t="n">
        <v>0</v>
      </c>
      <c r="S1819" s="62" t="n">
        <v>0</v>
      </c>
      <c r="T1819" s="62" t="n">
        <v>0</v>
      </c>
      <c r="U1819" s="62"/>
      <c r="V1819" s="62"/>
      <c r="W1819" s="62"/>
      <c r="X1819" s="62"/>
      <c r="Y1819" s="62"/>
      <c r="Z1819" s="62" t="s">
        <v>3361</v>
      </c>
      <c r="AA1819" s="62" t="s">
        <v>3362</v>
      </c>
      <c r="AB1819" s="62" t="n">
        <v>1</v>
      </c>
      <c r="AC1819" s="62" t="n">
        <v>1</v>
      </c>
      <c r="AD1819" s="62" t="n">
        <v>1</v>
      </c>
      <c r="AE1819" s="62" t="n">
        <f aca="false">IF(AND(Dashboard!$C$9="Yes",AC1819=1),0,1)</f>
        <v>0</v>
      </c>
      <c r="AF1819" s="62" t="n">
        <v>0</v>
      </c>
    </row>
    <row r="1820" customFormat="false" ht="15" hidden="false" customHeight="false" outlineLevel="0" collapsed="false">
      <c r="A1820" s="62" t="n">
        <v>1819</v>
      </c>
      <c r="B1820" s="63" t="n">
        <v>46276.744224537</v>
      </c>
      <c r="C1820" s="64" t="n">
        <v>46276</v>
      </c>
      <c r="D1820" s="62" t="s">
        <v>288</v>
      </c>
      <c r="E1820" s="62" t="s">
        <v>3018</v>
      </c>
      <c r="F1820" s="62" t="s">
        <v>3018</v>
      </c>
      <c r="G1820" s="62" t="s">
        <v>3019</v>
      </c>
      <c r="H1820" s="62" t="s">
        <v>58</v>
      </c>
      <c r="I1820" s="62" t="s">
        <v>49</v>
      </c>
      <c r="J1820" s="62" t="s">
        <v>146</v>
      </c>
      <c r="K1820" s="62" t="s">
        <v>175</v>
      </c>
      <c r="L1820" s="62" t="s">
        <v>148</v>
      </c>
      <c r="M1820" s="62" t="n">
        <v>0</v>
      </c>
      <c r="N1820" s="62" t="n">
        <v>1</v>
      </c>
      <c r="O1820" s="62" t="n">
        <v>1</v>
      </c>
      <c r="P1820" s="62" t="n">
        <v>1</v>
      </c>
      <c r="Q1820" s="62" t="n">
        <v>0</v>
      </c>
      <c r="R1820" s="62" t="n">
        <v>0</v>
      </c>
      <c r="S1820" s="62" t="n">
        <v>0</v>
      </c>
      <c r="T1820" s="62" t="n">
        <v>0</v>
      </c>
      <c r="U1820" s="62"/>
      <c r="V1820" s="62"/>
      <c r="W1820" s="62"/>
      <c r="X1820" s="62"/>
      <c r="Y1820" s="62"/>
      <c r="Z1820" s="62" t="s">
        <v>3363</v>
      </c>
      <c r="AA1820" s="62" t="s">
        <v>3364</v>
      </c>
      <c r="AB1820" s="62" t="n">
        <v>1</v>
      </c>
      <c r="AC1820" s="62" t="n">
        <v>0</v>
      </c>
      <c r="AD1820" s="62" t="n">
        <v>1</v>
      </c>
      <c r="AE1820" s="62" t="n">
        <f aca="false">IF(AND(Dashboard!$C$9="Yes",AC1820=1),0,1)</f>
        <v>1</v>
      </c>
      <c r="AF1820" s="62" t="n">
        <v>1</v>
      </c>
    </row>
    <row r="1821" customFormat="false" ht="15" hidden="false" customHeight="false" outlineLevel="0" collapsed="false">
      <c r="A1821" s="62" t="n">
        <v>1820</v>
      </c>
      <c r="B1821" s="63" t="n">
        <v>46276.7759490741</v>
      </c>
      <c r="C1821" s="64" t="n">
        <v>46276</v>
      </c>
      <c r="D1821" s="62" t="s">
        <v>288</v>
      </c>
      <c r="E1821" s="62" t="s">
        <v>2540</v>
      </c>
      <c r="F1821" s="62" t="s">
        <v>2540</v>
      </c>
      <c r="G1821" s="62" t="s">
        <v>2541</v>
      </c>
      <c r="H1821" s="62" t="s">
        <v>48</v>
      </c>
      <c r="I1821" s="62" t="s">
        <v>49</v>
      </c>
      <c r="J1821" s="62" t="s">
        <v>146</v>
      </c>
      <c r="K1821" s="62" t="s">
        <v>209</v>
      </c>
      <c r="L1821" s="62" t="s">
        <v>148</v>
      </c>
      <c r="M1821" s="62" t="n">
        <v>0</v>
      </c>
      <c r="N1821" s="62" t="n">
        <v>1</v>
      </c>
      <c r="O1821" s="62" t="n">
        <v>1</v>
      </c>
      <c r="P1821" s="62" t="n">
        <v>1</v>
      </c>
      <c r="Q1821" s="62" t="n">
        <v>0</v>
      </c>
      <c r="R1821" s="62" t="n">
        <v>0</v>
      </c>
      <c r="S1821" s="62" t="n">
        <v>0</v>
      </c>
      <c r="T1821" s="62" t="n">
        <v>0</v>
      </c>
      <c r="U1821" s="62"/>
      <c r="V1821" s="62"/>
      <c r="W1821" s="62"/>
      <c r="X1821" s="62"/>
      <c r="Y1821" s="62"/>
      <c r="Z1821" s="62" t="s">
        <v>3365</v>
      </c>
      <c r="AA1821" s="62" t="s">
        <v>237</v>
      </c>
      <c r="AB1821" s="62" t="n">
        <v>0</v>
      </c>
      <c r="AC1821" s="62" t="n">
        <v>0</v>
      </c>
      <c r="AD1821" s="62" t="n">
        <v>1</v>
      </c>
      <c r="AE1821" s="62" t="n">
        <f aca="false">IF(AND(Dashboard!$C$9="Yes",AC1821=1),0,1)</f>
        <v>1</v>
      </c>
      <c r="AF1821" s="62" t="n">
        <v>1</v>
      </c>
    </row>
    <row r="1822" customFormat="false" ht="15" hidden="false" customHeight="false" outlineLevel="0" collapsed="false">
      <c r="A1822" s="62" t="n">
        <v>1821</v>
      </c>
      <c r="B1822" s="63" t="n">
        <v>46276.7895601852</v>
      </c>
      <c r="C1822" s="64" t="n">
        <v>46276</v>
      </c>
      <c r="D1822" s="62" t="s">
        <v>288</v>
      </c>
      <c r="E1822" s="62" t="s">
        <v>1005</v>
      </c>
      <c r="F1822" s="62" t="s">
        <v>1005</v>
      </c>
      <c r="G1822" s="62" t="s">
        <v>1006</v>
      </c>
      <c r="H1822" s="62" t="s">
        <v>46</v>
      </c>
      <c r="I1822" s="62" t="s">
        <v>47</v>
      </c>
      <c r="J1822" s="62" t="s">
        <v>146</v>
      </c>
      <c r="K1822" s="62" t="s">
        <v>209</v>
      </c>
      <c r="L1822" s="62" t="s">
        <v>148</v>
      </c>
      <c r="M1822" s="62" t="n">
        <v>0</v>
      </c>
      <c r="N1822" s="62" t="n">
        <v>1</v>
      </c>
      <c r="O1822" s="62" t="n">
        <v>1</v>
      </c>
      <c r="P1822" s="62" t="n">
        <v>1</v>
      </c>
      <c r="Q1822" s="62" t="n">
        <v>0</v>
      </c>
      <c r="R1822" s="62" t="n">
        <v>0</v>
      </c>
      <c r="S1822" s="62" t="n">
        <v>0</v>
      </c>
      <c r="T1822" s="62" t="n">
        <v>0</v>
      </c>
      <c r="U1822" s="62"/>
      <c r="V1822" s="62"/>
      <c r="W1822" s="62"/>
      <c r="X1822" s="62"/>
      <c r="Y1822" s="62"/>
      <c r="Z1822" s="62" t="s">
        <v>3366</v>
      </c>
      <c r="AA1822" s="62" t="s">
        <v>485</v>
      </c>
      <c r="AB1822" s="62" t="n">
        <v>0</v>
      </c>
      <c r="AC1822" s="62" t="n">
        <v>0</v>
      </c>
      <c r="AD1822" s="62" t="n">
        <v>1</v>
      </c>
      <c r="AE1822" s="62" t="n">
        <f aca="false">IF(AND(Dashboard!$C$9="Yes",AC1822=1),0,1)</f>
        <v>1</v>
      </c>
      <c r="AF1822" s="62" t="n">
        <v>1</v>
      </c>
    </row>
    <row r="1823" customFormat="false" ht="15" hidden="false" customHeight="false" outlineLevel="0" collapsed="false">
      <c r="A1823" s="62" t="n">
        <v>1822</v>
      </c>
      <c r="B1823" s="63" t="n">
        <v>46276.8004050926</v>
      </c>
      <c r="C1823" s="64" t="n">
        <v>46276</v>
      </c>
      <c r="D1823" s="62" t="s">
        <v>288</v>
      </c>
      <c r="E1823" s="62" t="s">
        <v>3181</v>
      </c>
      <c r="F1823" s="62" t="s">
        <v>3181</v>
      </c>
      <c r="G1823" s="62" t="s">
        <v>3182</v>
      </c>
      <c r="H1823" s="62" t="s">
        <v>58</v>
      </c>
      <c r="I1823" s="62" t="s">
        <v>49</v>
      </c>
      <c r="J1823" s="62" t="s">
        <v>146</v>
      </c>
      <c r="K1823" s="62" t="s">
        <v>209</v>
      </c>
      <c r="L1823" s="62" t="s">
        <v>148</v>
      </c>
      <c r="M1823" s="62" t="n">
        <v>0</v>
      </c>
      <c r="N1823" s="62" t="n">
        <v>1</v>
      </c>
      <c r="O1823" s="62" t="n">
        <v>1</v>
      </c>
      <c r="P1823" s="62" t="n">
        <v>1</v>
      </c>
      <c r="Q1823" s="62" t="n">
        <v>0</v>
      </c>
      <c r="R1823" s="62" t="n">
        <v>0</v>
      </c>
      <c r="S1823" s="62" t="n">
        <v>0</v>
      </c>
      <c r="T1823" s="62" t="n">
        <v>0</v>
      </c>
      <c r="U1823" s="62"/>
      <c r="V1823" s="62"/>
      <c r="W1823" s="62"/>
      <c r="X1823" s="62"/>
      <c r="Y1823" s="62"/>
      <c r="Z1823" s="62" t="s">
        <v>3367</v>
      </c>
      <c r="AA1823" s="62" t="s">
        <v>237</v>
      </c>
      <c r="AB1823" s="62" t="n">
        <v>0</v>
      </c>
      <c r="AC1823" s="62" t="n">
        <v>0</v>
      </c>
      <c r="AD1823" s="62" t="n">
        <v>1</v>
      </c>
      <c r="AE1823" s="62" t="n">
        <f aca="false">IF(AND(Dashboard!$C$9="Yes",AC1823=1),0,1)</f>
        <v>1</v>
      </c>
      <c r="AF1823" s="62" t="n">
        <v>1</v>
      </c>
    </row>
    <row r="1824" customFormat="false" ht="15" hidden="false" customHeight="false" outlineLevel="0" collapsed="false">
      <c r="A1824" s="62" t="n">
        <v>1823</v>
      </c>
      <c r="B1824" s="63" t="n">
        <v>46276.8123263889</v>
      </c>
      <c r="C1824" s="64" t="n">
        <v>46276</v>
      </c>
      <c r="D1824" s="62" t="s">
        <v>288</v>
      </c>
      <c r="E1824" s="62" t="s">
        <v>892</v>
      </c>
      <c r="F1824" s="62" t="s">
        <v>892</v>
      </c>
      <c r="G1824" s="62" t="s">
        <v>893</v>
      </c>
      <c r="H1824" s="62" t="s">
        <v>46</v>
      </c>
      <c r="I1824" s="62" t="s">
        <v>47</v>
      </c>
      <c r="J1824" s="62" t="s">
        <v>146</v>
      </c>
      <c r="K1824" s="62" t="s">
        <v>209</v>
      </c>
      <c r="L1824" s="62" t="s">
        <v>4</v>
      </c>
      <c r="M1824" s="62" t="n">
        <v>1</v>
      </c>
      <c r="N1824" s="62" t="n">
        <v>0</v>
      </c>
      <c r="O1824" s="62" t="n">
        <v>1</v>
      </c>
      <c r="P1824" s="62" t="n">
        <v>0</v>
      </c>
      <c r="Q1824" s="62" t="n">
        <v>0</v>
      </c>
      <c r="R1824" s="62" t="n">
        <v>0</v>
      </c>
      <c r="S1824" s="62" t="n">
        <v>0</v>
      </c>
      <c r="T1824" s="62" t="n">
        <v>0</v>
      </c>
      <c r="U1824" s="62" t="s">
        <v>2056</v>
      </c>
      <c r="V1824" s="62" t="s">
        <v>2057</v>
      </c>
      <c r="W1824" s="62" t="s">
        <v>15</v>
      </c>
      <c r="X1824" s="62" t="s">
        <v>2058</v>
      </c>
      <c r="Y1824" s="62" t="s">
        <v>2059</v>
      </c>
      <c r="Z1824" s="62" t="s">
        <v>3368</v>
      </c>
      <c r="AA1824" s="62" t="s">
        <v>337</v>
      </c>
      <c r="AB1824" s="62" t="n">
        <v>0</v>
      </c>
      <c r="AC1824" s="62" t="n">
        <v>0</v>
      </c>
      <c r="AD1824" s="62" t="n">
        <v>1</v>
      </c>
      <c r="AE1824" s="62" t="n">
        <f aca="false">IF(AND(Dashboard!$C$9="Yes",AC1824=1),0,1)</f>
        <v>1</v>
      </c>
      <c r="AF1824" s="62" t="n">
        <v>1</v>
      </c>
    </row>
    <row r="1825" customFormat="false" ht="15" hidden="false" customHeight="false" outlineLevel="0" collapsed="false">
      <c r="A1825" s="62" t="n">
        <v>1824</v>
      </c>
      <c r="B1825" s="63" t="n">
        <v>46276.8245949074</v>
      </c>
      <c r="C1825" s="64" t="n">
        <v>46276</v>
      </c>
      <c r="D1825" s="62" t="s">
        <v>288</v>
      </c>
      <c r="E1825" s="62" t="s">
        <v>2228</v>
      </c>
      <c r="F1825" s="62" t="s">
        <v>2228</v>
      </c>
      <c r="G1825" s="62" t="s">
        <v>2229</v>
      </c>
      <c r="H1825" s="62" t="s">
        <v>58</v>
      </c>
      <c r="I1825" s="62" t="s">
        <v>49</v>
      </c>
      <c r="J1825" s="62" t="s">
        <v>146</v>
      </c>
      <c r="K1825" s="62" t="s">
        <v>209</v>
      </c>
      <c r="L1825" s="62" t="s">
        <v>148</v>
      </c>
      <c r="M1825" s="62" t="n">
        <v>0</v>
      </c>
      <c r="N1825" s="62" t="n">
        <v>1</v>
      </c>
      <c r="O1825" s="62" t="n">
        <v>1</v>
      </c>
      <c r="P1825" s="62" t="n">
        <v>1</v>
      </c>
      <c r="Q1825" s="62" t="n">
        <v>0</v>
      </c>
      <c r="R1825" s="62" t="n">
        <v>0</v>
      </c>
      <c r="S1825" s="62" t="n">
        <v>0</v>
      </c>
      <c r="T1825" s="62" t="n">
        <v>0</v>
      </c>
      <c r="U1825" s="62"/>
      <c r="V1825" s="62"/>
      <c r="W1825" s="62"/>
      <c r="X1825" s="62"/>
      <c r="Y1825" s="62"/>
      <c r="Z1825" s="62" t="s">
        <v>3369</v>
      </c>
      <c r="AA1825" s="62" t="s">
        <v>3370</v>
      </c>
      <c r="AB1825" s="62" t="n">
        <v>1</v>
      </c>
      <c r="AC1825" s="62" t="n">
        <v>0</v>
      </c>
      <c r="AD1825" s="62" t="n">
        <v>1</v>
      </c>
      <c r="AE1825" s="62" t="n">
        <f aca="false">IF(AND(Dashboard!$C$9="Yes",AC1825=1),0,1)</f>
        <v>1</v>
      </c>
      <c r="AF1825" s="62" t="n">
        <v>0</v>
      </c>
    </row>
    <row r="1826" customFormat="false" ht="15" hidden="false" customHeight="false" outlineLevel="0" collapsed="false">
      <c r="A1826" s="62" t="n">
        <v>1825</v>
      </c>
      <c r="B1826" s="63" t="n">
        <v>46276.8336226852</v>
      </c>
      <c r="C1826" s="64" t="n">
        <v>46276</v>
      </c>
      <c r="D1826" s="62" t="s">
        <v>288</v>
      </c>
      <c r="E1826" s="62" t="s">
        <v>3371</v>
      </c>
      <c r="F1826" s="62" t="s">
        <v>3371</v>
      </c>
      <c r="G1826" s="62" t="s">
        <v>3372</v>
      </c>
      <c r="H1826" s="62" t="s">
        <v>48</v>
      </c>
      <c r="I1826" s="62" t="s">
        <v>49</v>
      </c>
      <c r="J1826" s="62" t="s">
        <v>146</v>
      </c>
      <c r="K1826" s="62" t="s">
        <v>209</v>
      </c>
      <c r="L1826" s="62" t="s">
        <v>148</v>
      </c>
      <c r="M1826" s="62" t="n">
        <v>0</v>
      </c>
      <c r="N1826" s="62" t="n">
        <v>1</v>
      </c>
      <c r="O1826" s="62" t="n">
        <v>1</v>
      </c>
      <c r="P1826" s="62" t="n">
        <v>1</v>
      </c>
      <c r="Q1826" s="62" t="n">
        <v>0</v>
      </c>
      <c r="R1826" s="62" t="n">
        <v>0</v>
      </c>
      <c r="S1826" s="62" t="n">
        <v>0</v>
      </c>
      <c r="T1826" s="62" t="n">
        <v>0</v>
      </c>
      <c r="U1826" s="62"/>
      <c r="V1826" s="62"/>
      <c r="W1826" s="62"/>
      <c r="X1826" s="62"/>
      <c r="Y1826" s="62"/>
      <c r="Z1826" s="62" t="s">
        <v>3373</v>
      </c>
      <c r="AA1826" s="62" t="s">
        <v>3374</v>
      </c>
      <c r="AB1826" s="62" t="n">
        <v>1</v>
      </c>
      <c r="AC1826" s="62" t="n">
        <v>0</v>
      </c>
      <c r="AD1826" s="62" t="n">
        <v>1</v>
      </c>
      <c r="AE1826" s="62" t="n">
        <f aca="false">IF(AND(Dashboard!$C$9="Yes",AC1826=1),0,1)</f>
        <v>1</v>
      </c>
      <c r="AF1826" s="62" t="n">
        <v>1</v>
      </c>
    </row>
    <row r="1827" customFormat="false" ht="15" hidden="false" customHeight="false" outlineLevel="0" collapsed="false">
      <c r="A1827" s="62" t="n">
        <v>1826</v>
      </c>
      <c r="B1827" s="63" t="n">
        <v>46276.8425578704</v>
      </c>
      <c r="C1827" s="64" t="n">
        <v>46276</v>
      </c>
      <c r="D1827" s="62" t="s">
        <v>288</v>
      </c>
      <c r="E1827" s="62" t="s">
        <v>2540</v>
      </c>
      <c r="F1827" s="62" t="s">
        <v>2540</v>
      </c>
      <c r="G1827" s="62" t="s">
        <v>2541</v>
      </c>
      <c r="H1827" s="62" t="s">
        <v>48</v>
      </c>
      <c r="I1827" s="62" t="s">
        <v>49</v>
      </c>
      <c r="J1827" s="62" t="s">
        <v>146</v>
      </c>
      <c r="K1827" s="62" t="s">
        <v>209</v>
      </c>
      <c r="L1827" s="62" t="s">
        <v>148</v>
      </c>
      <c r="M1827" s="62" t="n">
        <v>0</v>
      </c>
      <c r="N1827" s="62" t="n">
        <v>1</v>
      </c>
      <c r="O1827" s="62" t="n">
        <v>1</v>
      </c>
      <c r="P1827" s="62" t="n">
        <v>1</v>
      </c>
      <c r="Q1827" s="62" t="n">
        <v>0</v>
      </c>
      <c r="R1827" s="62" t="n">
        <v>0</v>
      </c>
      <c r="S1827" s="62" t="n">
        <v>0</v>
      </c>
      <c r="T1827" s="62" t="n">
        <v>0</v>
      </c>
      <c r="U1827" s="62"/>
      <c r="V1827" s="62"/>
      <c r="W1827" s="62"/>
      <c r="X1827" s="62"/>
      <c r="Y1827" s="62"/>
      <c r="Z1827" s="62" t="s">
        <v>3375</v>
      </c>
      <c r="AA1827" s="62" t="s">
        <v>237</v>
      </c>
      <c r="AB1827" s="62" t="n">
        <v>0</v>
      </c>
      <c r="AC1827" s="62" t="n">
        <v>0</v>
      </c>
      <c r="AD1827" s="62" t="n">
        <v>1</v>
      </c>
      <c r="AE1827" s="62" t="n">
        <f aca="false">IF(AND(Dashboard!$C$9="Yes",AC1827=1),0,1)</f>
        <v>1</v>
      </c>
      <c r="AF1827" s="62" t="n">
        <v>0</v>
      </c>
    </row>
    <row r="1828" customFormat="false" ht="15" hidden="false" customHeight="false" outlineLevel="0" collapsed="false">
      <c r="A1828" s="62" t="n">
        <v>1827</v>
      </c>
      <c r="B1828" s="63" t="n">
        <v>46276.8440740741</v>
      </c>
      <c r="C1828" s="64" t="n">
        <v>46276</v>
      </c>
      <c r="D1828" s="62" t="s">
        <v>288</v>
      </c>
      <c r="E1828" s="62" t="s">
        <v>2228</v>
      </c>
      <c r="F1828" s="62" t="s">
        <v>2228</v>
      </c>
      <c r="G1828" s="62" t="s">
        <v>2229</v>
      </c>
      <c r="H1828" s="62" t="s">
        <v>58</v>
      </c>
      <c r="I1828" s="62" t="s">
        <v>49</v>
      </c>
      <c r="J1828" s="62" t="s">
        <v>146</v>
      </c>
      <c r="K1828" s="62" t="s">
        <v>209</v>
      </c>
      <c r="L1828" s="62" t="s">
        <v>148</v>
      </c>
      <c r="M1828" s="62" t="n">
        <v>0</v>
      </c>
      <c r="N1828" s="62" t="n">
        <v>1</v>
      </c>
      <c r="O1828" s="62" t="n">
        <v>1</v>
      </c>
      <c r="P1828" s="62" t="n">
        <v>0</v>
      </c>
      <c r="Q1828" s="62" t="n">
        <v>0</v>
      </c>
      <c r="R1828" s="62" t="n">
        <v>1</v>
      </c>
      <c r="S1828" s="62" t="n">
        <v>0</v>
      </c>
      <c r="T1828" s="62" t="n">
        <v>0</v>
      </c>
      <c r="U1828" s="62"/>
      <c r="V1828" s="62"/>
      <c r="W1828" s="62"/>
      <c r="X1828" s="62"/>
      <c r="Y1828" s="62"/>
      <c r="Z1828" s="62" t="s">
        <v>3376</v>
      </c>
      <c r="AA1828" s="62" t="s">
        <v>3377</v>
      </c>
      <c r="AB1828" s="62" t="n">
        <v>1</v>
      </c>
      <c r="AC1828" s="62" t="n">
        <v>0</v>
      </c>
      <c r="AD1828" s="62" t="n">
        <v>1</v>
      </c>
      <c r="AE1828" s="62" t="n">
        <f aca="false">IF(AND(Dashboard!$C$9="Yes",AC1828=1),0,1)</f>
        <v>1</v>
      </c>
      <c r="AF1828" s="62" t="n">
        <v>0</v>
      </c>
    </row>
    <row r="1829" customFormat="false" ht="15" hidden="false" customHeight="false" outlineLevel="0" collapsed="false">
      <c r="A1829" s="62" t="n">
        <v>1828</v>
      </c>
      <c r="B1829" s="63" t="n">
        <v>46276.8569791667</v>
      </c>
      <c r="C1829" s="64" t="n">
        <v>46276</v>
      </c>
      <c r="D1829" s="62" t="s">
        <v>288</v>
      </c>
      <c r="E1829" s="62" t="s">
        <v>1172</v>
      </c>
      <c r="F1829" s="62" t="s">
        <v>1172</v>
      </c>
      <c r="G1829" s="62" t="s">
        <v>1173</v>
      </c>
      <c r="H1829" s="62" t="s">
        <v>59</v>
      </c>
      <c r="I1829" s="62" t="s">
        <v>47</v>
      </c>
      <c r="J1829" s="62" t="s">
        <v>146</v>
      </c>
      <c r="K1829" s="62" t="s">
        <v>209</v>
      </c>
      <c r="L1829" s="62" t="s">
        <v>148</v>
      </c>
      <c r="M1829" s="62" t="n">
        <v>0</v>
      </c>
      <c r="N1829" s="62" t="n">
        <v>1</v>
      </c>
      <c r="O1829" s="62" t="n">
        <v>1</v>
      </c>
      <c r="P1829" s="62" t="n">
        <v>1</v>
      </c>
      <c r="Q1829" s="62" t="n">
        <v>0</v>
      </c>
      <c r="R1829" s="62" t="n">
        <v>0</v>
      </c>
      <c r="S1829" s="62" t="n">
        <v>0</v>
      </c>
      <c r="T1829" s="62" t="n">
        <v>0</v>
      </c>
      <c r="U1829" s="62"/>
      <c r="V1829" s="62"/>
      <c r="W1829" s="62"/>
      <c r="X1829" s="62"/>
      <c r="Y1829" s="62"/>
      <c r="Z1829" s="62" t="s">
        <v>3378</v>
      </c>
      <c r="AA1829" s="62" t="s">
        <v>3331</v>
      </c>
      <c r="AB1829" s="62" t="n">
        <v>1</v>
      </c>
      <c r="AC1829" s="62" t="n">
        <v>0</v>
      </c>
      <c r="AD1829" s="62" t="n">
        <v>1</v>
      </c>
      <c r="AE1829" s="62" t="n">
        <f aca="false">IF(AND(Dashboard!$C$9="Yes",AC1829=1),0,1)</f>
        <v>1</v>
      </c>
      <c r="AF1829" s="62" t="n">
        <v>1</v>
      </c>
    </row>
    <row r="1830" customFormat="false" ht="15" hidden="false" customHeight="false" outlineLevel="0" collapsed="false">
      <c r="A1830" s="62" t="n">
        <v>1829</v>
      </c>
      <c r="B1830" s="63" t="n">
        <v>46276.8699884259</v>
      </c>
      <c r="C1830" s="64" t="n">
        <v>46276</v>
      </c>
      <c r="D1830" s="62" t="s">
        <v>288</v>
      </c>
      <c r="E1830" s="62" t="s">
        <v>892</v>
      </c>
      <c r="F1830" s="62" t="s">
        <v>892</v>
      </c>
      <c r="G1830" s="62" t="s">
        <v>893</v>
      </c>
      <c r="H1830" s="62" t="s">
        <v>46</v>
      </c>
      <c r="I1830" s="62" t="s">
        <v>47</v>
      </c>
      <c r="J1830" s="62" t="s">
        <v>146</v>
      </c>
      <c r="K1830" s="62" t="s">
        <v>209</v>
      </c>
      <c r="L1830" s="62" t="s">
        <v>148</v>
      </c>
      <c r="M1830" s="62" t="n">
        <v>0</v>
      </c>
      <c r="N1830" s="62" t="n">
        <v>1</v>
      </c>
      <c r="O1830" s="62" t="n">
        <v>1</v>
      </c>
      <c r="P1830" s="62" t="n">
        <v>1</v>
      </c>
      <c r="Q1830" s="62" t="n">
        <v>0</v>
      </c>
      <c r="R1830" s="62" t="n">
        <v>0</v>
      </c>
      <c r="S1830" s="62" t="n">
        <v>0</v>
      </c>
      <c r="T1830" s="62" t="n">
        <v>0</v>
      </c>
      <c r="U1830" s="62"/>
      <c r="V1830" s="62"/>
      <c r="W1830" s="62"/>
      <c r="X1830" s="62"/>
      <c r="Y1830" s="62"/>
      <c r="Z1830" s="62" t="s">
        <v>3379</v>
      </c>
      <c r="AA1830" s="62" t="s">
        <v>337</v>
      </c>
      <c r="AB1830" s="62" t="n">
        <v>0</v>
      </c>
      <c r="AC1830" s="62" t="n">
        <v>0</v>
      </c>
      <c r="AD1830" s="62" t="n">
        <v>1</v>
      </c>
      <c r="AE1830" s="62" t="n">
        <f aca="false">IF(AND(Dashboard!$C$9="Yes",AC1830=1),0,1)</f>
        <v>1</v>
      </c>
      <c r="AF1830" s="62" t="n">
        <v>0</v>
      </c>
    </row>
    <row r="1831" customFormat="false" ht="15" hidden="false" customHeight="false" outlineLevel="0" collapsed="false">
      <c r="A1831" s="62" t="n">
        <v>1830</v>
      </c>
      <c r="B1831" s="63" t="n">
        <v>46276.8783912037</v>
      </c>
      <c r="C1831" s="64" t="n">
        <v>46276</v>
      </c>
      <c r="D1831" s="62" t="s">
        <v>288</v>
      </c>
      <c r="E1831" s="62" t="s">
        <v>1112</v>
      </c>
      <c r="F1831" s="62" t="s">
        <v>865</v>
      </c>
      <c r="G1831" s="62" t="s">
        <v>866</v>
      </c>
      <c r="H1831" s="62" t="s">
        <v>46</v>
      </c>
      <c r="I1831" s="62" t="s">
        <v>47</v>
      </c>
      <c r="J1831" s="62" t="s">
        <v>146</v>
      </c>
      <c r="K1831" s="62" t="s">
        <v>209</v>
      </c>
      <c r="L1831" s="62" t="s">
        <v>148</v>
      </c>
      <c r="M1831" s="62" t="n">
        <v>0</v>
      </c>
      <c r="N1831" s="62" t="n">
        <v>2</v>
      </c>
      <c r="O1831" s="62" t="n">
        <v>2</v>
      </c>
      <c r="P1831" s="62" t="n">
        <v>1</v>
      </c>
      <c r="Q1831" s="62" t="n">
        <v>1</v>
      </c>
      <c r="R1831" s="62" t="n">
        <v>0</v>
      </c>
      <c r="S1831" s="62" t="n">
        <v>0</v>
      </c>
      <c r="T1831" s="62" t="n">
        <v>0</v>
      </c>
      <c r="U1831" s="62"/>
      <c r="V1831" s="62"/>
      <c r="W1831" s="62"/>
      <c r="X1831" s="62"/>
      <c r="Y1831" s="62"/>
      <c r="Z1831" s="62" t="s">
        <v>3380</v>
      </c>
      <c r="AA1831" s="62" t="s">
        <v>3381</v>
      </c>
      <c r="AB1831" s="62" t="n">
        <v>1</v>
      </c>
      <c r="AC1831" s="62" t="n">
        <v>0</v>
      </c>
      <c r="AD1831" s="62" t="n">
        <v>1</v>
      </c>
      <c r="AE1831" s="62" t="n">
        <f aca="false">IF(AND(Dashboard!$C$9="Yes",AC1831=1),0,1)</f>
        <v>1</v>
      </c>
      <c r="AF1831" s="62" t="n">
        <v>1</v>
      </c>
    </row>
    <row r="1832" customFormat="false" ht="15" hidden="false" customHeight="false" outlineLevel="0" collapsed="false">
      <c r="A1832" s="62" t="n">
        <v>1831</v>
      </c>
      <c r="B1832" s="63" t="n">
        <v>46276.884212963</v>
      </c>
      <c r="C1832" s="64" t="n">
        <v>46276</v>
      </c>
      <c r="D1832" s="62" t="s">
        <v>288</v>
      </c>
      <c r="E1832" s="62" t="s">
        <v>892</v>
      </c>
      <c r="F1832" s="62" t="s">
        <v>892</v>
      </c>
      <c r="G1832" s="62" t="s">
        <v>893</v>
      </c>
      <c r="H1832" s="62" t="s">
        <v>46</v>
      </c>
      <c r="I1832" s="62" t="s">
        <v>47</v>
      </c>
      <c r="J1832" s="62" t="s">
        <v>146</v>
      </c>
      <c r="K1832" s="62" t="s">
        <v>209</v>
      </c>
      <c r="L1832" s="62" t="s">
        <v>148</v>
      </c>
      <c r="M1832" s="62" t="n">
        <v>0</v>
      </c>
      <c r="N1832" s="62" t="n">
        <v>1</v>
      </c>
      <c r="O1832" s="62" t="n">
        <v>1</v>
      </c>
      <c r="P1832" s="62" t="n">
        <v>1</v>
      </c>
      <c r="Q1832" s="62" t="n">
        <v>0</v>
      </c>
      <c r="R1832" s="62" t="n">
        <v>0</v>
      </c>
      <c r="S1832" s="62" t="n">
        <v>0</v>
      </c>
      <c r="T1832" s="62" t="n">
        <v>0</v>
      </c>
      <c r="U1832" s="62"/>
      <c r="V1832" s="62"/>
      <c r="W1832" s="62"/>
      <c r="X1832" s="62"/>
      <c r="Y1832" s="62"/>
      <c r="Z1832" s="62" t="s">
        <v>3382</v>
      </c>
      <c r="AA1832" s="62" t="s">
        <v>337</v>
      </c>
      <c r="AB1832" s="62" t="n">
        <v>0</v>
      </c>
      <c r="AC1832" s="62" t="n">
        <v>0</v>
      </c>
      <c r="AD1832" s="62" t="n">
        <v>1</v>
      </c>
      <c r="AE1832" s="62" t="n">
        <f aca="false">IF(AND(Dashboard!$C$9="Yes",AC1832=1),0,1)</f>
        <v>1</v>
      </c>
      <c r="AF1832" s="62" t="n">
        <v>0</v>
      </c>
    </row>
    <row r="1833" customFormat="false" ht="15" hidden="false" customHeight="false" outlineLevel="0" collapsed="false">
      <c r="A1833" s="62" t="n">
        <v>1832</v>
      </c>
      <c r="B1833" s="63" t="n">
        <v>46276.8879282407</v>
      </c>
      <c r="C1833" s="64" t="n">
        <v>46276</v>
      </c>
      <c r="D1833" s="62" t="s">
        <v>288</v>
      </c>
      <c r="E1833" s="62" t="s">
        <v>2071</v>
      </c>
      <c r="F1833" s="62" t="s">
        <v>2071</v>
      </c>
      <c r="G1833" s="62" t="s">
        <v>2072</v>
      </c>
      <c r="H1833" s="62" t="s">
        <v>58</v>
      </c>
      <c r="I1833" s="62" t="s">
        <v>49</v>
      </c>
      <c r="J1833" s="62" t="s">
        <v>146</v>
      </c>
      <c r="K1833" s="62" t="s">
        <v>175</v>
      </c>
      <c r="L1833" s="62" t="s">
        <v>148</v>
      </c>
      <c r="M1833" s="62" t="n">
        <v>0</v>
      </c>
      <c r="N1833" s="62" t="n">
        <v>1</v>
      </c>
      <c r="O1833" s="62" t="n">
        <v>1</v>
      </c>
      <c r="P1833" s="62" t="n">
        <v>1</v>
      </c>
      <c r="Q1833" s="62" t="n">
        <v>0</v>
      </c>
      <c r="R1833" s="62" t="n">
        <v>0</v>
      </c>
      <c r="S1833" s="62" t="n">
        <v>0</v>
      </c>
      <c r="T1833" s="62" t="n">
        <v>0</v>
      </c>
      <c r="U1833" s="62"/>
      <c r="V1833" s="62"/>
      <c r="W1833" s="62"/>
      <c r="X1833" s="62"/>
      <c r="Y1833" s="62"/>
      <c r="Z1833" s="62" t="s">
        <v>3383</v>
      </c>
      <c r="AA1833" s="62" t="s">
        <v>3384</v>
      </c>
      <c r="AB1833" s="62" t="n">
        <v>1</v>
      </c>
      <c r="AC1833" s="62" t="n">
        <v>0</v>
      </c>
      <c r="AD1833" s="62" t="n">
        <v>1</v>
      </c>
      <c r="AE1833" s="62" t="n">
        <f aca="false">IF(AND(Dashboard!$C$9="Yes",AC1833=1),0,1)</f>
        <v>1</v>
      </c>
      <c r="AF1833" s="62" t="n">
        <v>1</v>
      </c>
    </row>
    <row r="1834" customFormat="false" ht="15" hidden="false" customHeight="false" outlineLevel="0" collapsed="false">
      <c r="A1834" s="62" t="n">
        <v>1833</v>
      </c>
      <c r="B1834" s="63" t="n">
        <v>46276.8892592593</v>
      </c>
      <c r="C1834" s="64" t="n">
        <v>46276</v>
      </c>
      <c r="D1834" s="62" t="s">
        <v>288</v>
      </c>
      <c r="E1834" s="62" t="s">
        <v>160</v>
      </c>
      <c r="F1834" s="62" t="s">
        <v>160</v>
      </c>
      <c r="G1834" s="62" t="s">
        <v>161</v>
      </c>
      <c r="H1834" s="62" t="s">
        <v>51</v>
      </c>
      <c r="I1834" s="62" t="s">
        <v>47</v>
      </c>
      <c r="J1834" s="62" t="s">
        <v>146</v>
      </c>
      <c r="K1834" s="62" t="s">
        <v>147</v>
      </c>
      <c r="L1834" s="62" t="s">
        <v>148</v>
      </c>
      <c r="M1834" s="62" t="n">
        <v>0</v>
      </c>
      <c r="N1834" s="62" t="n">
        <v>1</v>
      </c>
      <c r="O1834" s="62" t="n">
        <v>1</v>
      </c>
      <c r="P1834" s="62" t="n">
        <v>0</v>
      </c>
      <c r="Q1834" s="62" t="n">
        <v>1</v>
      </c>
      <c r="R1834" s="62" t="n">
        <v>0</v>
      </c>
      <c r="S1834" s="62" t="n">
        <v>0</v>
      </c>
      <c r="T1834" s="62" t="n">
        <v>0</v>
      </c>
      <c r="U1834" s="62"/>
      <c r="V1834" s="62"/>
      <c r="W1834" s="62"/>
      <c r="X1834" s="62"/>
      <c r="Y1834" s="62"/>
      <c r="Z1834" s="62" t="s">
        <v>3385</v>
      </c>
      <c r="AA1834" s="62" t="s">
        <v>3386</v>
      </c>
      <c r="AB1834" s="62" t="n">
        <v>1</v>
      </c>
      <c r="AC1834" s="62" t="n">
        <v>0</v>
      </c>
      <c r="AD1834" s="62" t="n">
        <v>1</v>
      </c>
      <c r="AE1834" s="62" t="n">
        <f aca="false">IF(AND(Dashboard!$C$9="Yes",AC1834=1),0,1)</f>
        <v>1</v>
      </c>
      <c r="AF1834" s="62" t="n">
        <v>1</v>
      </c>
    </row>
    <row r="1835" customFormat="false" ht="15" hidden="false" customHeight="false" outlineLevel="0" collapsed="false">
      <c r="A1835" s="62" t="n">
        <v>1834</v>
      </c>
      <c r="B1835" s="63" t="n">
        <v>46276.9140625</v>
      </c>
      <c r="C1835" s="64" t="n">
        <v>46276</v>
      </c>
      <c r="D1835" s="62" t="s">
        <v>288</v>
      </c>
      <c r="E1835" s="62" t="s">
        <v>156</v>
      </c>
      <c r="F1835" s="62" t="s">
        <v>156</v>
      </c>
      <c r="G1835" s="62" t="s">
        <v>157</v>
      </c>
      <c r="H1835" s="62" t="s">
        <v>51</v>
      </c>
      <c r="I1835" s="62" t="s">
        <v>47</v>
      </c>
      <c r="J1835" s="62" t="s">
        <v>146</v>
      </c>
      <c r="K1835" s="62" t="s">
        <v>147</v>
      </c>
      <c r="L1835" s="62" t="s">
        <v>148</v>
      </c>
      <c r="M1835" s="62" t="n">
        <v>0</v>
      </c>
      <c r="N1835" s="62" t="n">
        <v>1</v>
      </c>
      <c r="O1835" s="62" t="n">
        <v>1</v>
      </c>
      <c r="P1835" s="62" t="n">
        <v>1</v>
      </c>
      <c r="Q1835" s="62" t="n">
        <v>0</v>
      </c>
      <c r="R1835" s="62" t="n">
        <v>0</v>
      </c>
      <c r="S1835" s="62" t="n">
        <v>0</v>
      </c>
      <c r="T1835" s="62" t="n">
        <v>0</v>
      </c>
      <c r="U1835" s="62"/>
      <c r="V1835" s="62"/>
      <c r="W1835" s="62"/>
      <c r="X1835" s="62"/>
      <c r="Y1835" s="62"/>
      <c r="Z1835" s="62" t="s">
        <v>3387</v>
      </c>
      <c r="AA1835" s="62" t="s">
        <v>3388</v>
      </c>
      <c r="AB1835" s="62" t="n">
        <v>1</v>
      </c>
      <c r="AC1835" s="62" t="n">
        <v>0</v>
      </c>
      <c r="AD1835" s="62" t="n">
        <v>1</v>
      </c>
      <c r="AE1835" s="62" t="n">
        <f aca="false">IF(AND(Dashboard!$C$9="Yes",AC1835=1),0,1)</f>
        <v>1</v>
      </c>
      <c r="AF1835" s="62" t="n">
        <v>1</v>
      </c>
    </row>
    <row r="1836" customFormat="false" ht="15" hidden="false" customHeight="false" outlineLevel="0" collapsed="false">
      <c r="A1836" s="62" t="n">
        <v>1835</v>
      </c>
      <c r="B1836" s="63" t="n">
        <v>46276.9211689815</v>
      </c>
      <c r="C1836" s="64" t="n">
        <v>46276</v>
      </c>
      <c r="D1836" s="62" t="s">
        <v>288</v>
      </c>
      <c r="E1836" s="62" t="s">
        <v>160</v>
      </c>
      <c r="F1836" s="62" t="s">
        <v>160</v>
      </c>
      <c r="G1836" s="62" t="s">
        <v>161</v>
      </c>
      <c r="H1836" s="62" t="s">
        <v>51</v>
      </c>
      <c r="I1836" s="62" t="s">
        <v>47</v>
      </c>
      <c r="J1836" s="62" t="s">
        <v>146</v>
      </c>
      <c r="K1836" s="62" t="s">
        <v>147</v>
      </c>
      <c r="L1836" s="62" t="s">
        <v>4</v>
      </c>
      <c r="M1836" s="62" t="n">
        <v>1</v>
      </c>
      <c r="N1836" s="62" t="n">
        <v>0</v>
      </c>
      <c r="O1836" s="62" t="n">
        <v>1</v>
      </c>
      <c r="P1836" s="62" t="n">
        <v>0</v>
      </c>
      <c r="Q1836" s="62" t="n">
        <v>0</v>
      </c>
      <c r="R1836" s="62" t="n">
        <v>0</v>
      </c>
      <c r="S1836" s="62" t="n">
        <v>0</v>
      </c>
      <c r="T1836" s="62" t="n">
        <v>0</v>
      </c>
      <c r="U1836" s="62" t="s">
        <v>2056</v>
      </c>
      <c r="V1836" s="62" t="s">
        <v>2057</v>
      </c>
      <c r="W1836" s="62" t="s">
        <v>2056</v>
      </c>
      <c r="X1836" s="62" t="s">
        <v>2164</v>
      </c>
      <c r="Y1836" s="62" t="s">
        <v>2165</v>
      </c>
      <c r="Z1836" s="62" t="s">
        <v>3385</v>
      </c>
      <c r="AA1836" s="62" t="s">
        <v>3389</v>
      </c>
      <c r="AB1836" s="62" t="n">
        <v>1</v>
      </c>
      <c r="AC1836" s="62" t="n">
        <v>0</v>
      </c>
      <c r="AD1836" s="62" t="n">
        <v>1</v>
      </c>
      <c r="AE1836" s="62" t="n">
        <f aca="false">IF(AND(Dashboard!$C$9="Yes",AC1836=1),0,1)</f>
        <v>1</v>
      </c>
      <c r="AF1836" s="62" t="n">
        <v>0</v>
      </c>
    </row>
    <row r="1837" customFormat="false" ht="15" hidden="false" customHeight="false" outlineLevel="0" collapsed="false">
      <c r="A1837" s="62" t="n">
        <v>1836</v>
      </c>
      <c r="B1837" s="63" t="n">
        <v>46276.9279976852</v>
      </c>
      <c r="C1837" s="64" t="n">
        <v>46276</v>
      </c>
      <c r="D1837" s="62" t="s">
        <v>288</v>
      </c>
      <c r="E1837" s="62" t="s">
        <v>218</v>
      </c>
      <c r="F1837" s="62" t="s">
        <v>218</v>
      </c>
      <c r="G1837" s="62" t="s">
        <v>219</v>
      </c>
      <c r="H1837" s="62" t="s">
        <v>51</v>
      </c>
      <c r="I1837" s="62" t="s">
        <v>47</v>
      </c>
      <c r="J1837" s="62" t="s">
        <v>146</v>
      </c>
      <c r="K1837" s="62" t="s">
        <v>147</v>
      </c>
      <c r="L1837" s="62" t="s">
        <v>148</v>
      </c>
      <c r="M1837" s="62" t="n">
        <v>0</v>
      </c>
      <c r="N1837" s="62" t="n">
        <v>1</v>
      </c>
      <c r="O1837" s="62" t="n">
        <v>1</v>
      </c>
      <c r="P1837" s="62" t="n">
        <v>1</v>
      </c>
      <c r="Q1837" s="62" t="n">
        <v>0</v>
      </c>
      <c r="R1837" s="62" t="n">
        <v>0</v>
      </c>
      <c r="S1837" s="62" t="n">
        <v>0</v>
      </c>
      <c r="T1837" s="62" t="n">
        <v>0</v>
      </c>
      <c r="U1837" s="62"/>
      <c r="V1837" s="62"/>
      <c r="W1837" s="62"/>
      <c r="X1837" s="62"/>
      <c r="Y1837" s="62"/>
      <c r="Z1837" s="62" t="s">
        <v>3390</v>
      </c>
      <c r="AA1837" s="62" t="s">
        <v>3391</v>
      </c>
      <c r="AB1837" s="62" t="n">
        <v>1</v>
      </c>
      <c r="AC1837" s="62" t="n">
        <v>0</v>
      </c>
      <c r="AD1837" s="62" t="n">
        <v>1</v>
      </c>
      <c r="AE1837" s="62" t="n">
        <f aca="false">IF(AND(Dashboard!$C$9="Yes",AC1837=1),0,1)</f>
        <v>1</v>
      </c>
      <c r="AF1837" s="62" t="n">
        <v>1</v>
      </c>
    </row>
    <row r="1838" customFormat="false" ht="15" hidden="false" customHeight="false" outlineLevel="0" collapsed="false">
      <c r="A1838" s="62" t="n">
        <v>1837</v>
      </c>
      <c r="B1838" s="63" t="n">
        <v>46276.9335300926</v>
      </c>
      <c r="C1838" s="64" t="n">
        <v>46276</v>
      </c>
      <c r="D1838" s="62" t="s">
        <v>288</v>
      </c>
      <c r="E1838" s="62" t="s">
        <v>3392</v>
      </c>
      <c r="F1838" s="62" t="s">
        <v>3393</v>
      </c>
      <c r="G1838" s="62" t="s">
        <v>153</v>
      </c>
      <c r="H1838" s="62" t="s">
        <v>153</v>
      </c>
      <c r="I1838" s="62" t="s">
        <v>153</v>
      </c>
      <c r="J1838" s="62" t="s">
        <v>64</v>
      </c>
      <c r="K1838" s="62" t="s">
        <v>64</v>
      </c>
      <c r="L1838" s="62" t="s">
        <v>148</v>
      </c>
      <c r="M1838" s="62" t="n">
        <v>0</v>
      </c>
      <c r="N1838" s="62" t="n">
        <v>1</v>
      </c>
      <c r="O1838" s="62" t="n">
        <v>1</v>
      </c>
      <c r="P1838" s="62" t="n">
        <v>1</v>
      </c>
      <c r="Q1838" s="62" t="n">
        <v>0</v>
      </c>
      <c r="R1838" s="62" t="n">
        <v>1</v>
      </c>
      <c r="S1838" s="62" t="n">
        <v>0</v>
      </c>
      <c r="T1838" s="62" t="n">
        <v>0</v>
      </c>
      <c r="U1838" s="62"/>
      <c r="V1838" s="62"/>
      <c r="W1838" s="62"/>
      <c r="X1838" s="62"/>
      <c r="Y1838" s="62"/>
      <c r="Z1838" s="62" t="s">
        <v>3394</v>
      </c>
      <c r="AA1838" s="62" t="s">
        <v>237</v>
      </c>
      <c r="AB1838" s="62" t="n">
        <v>0</v>
      </c>
      <c r="AC1838" s="62" t="n">
        <v>0</v>
      </c>
      <c r="AD1838" s="62" t="n">
        <v>0</v>
      </c>
      <c r="AE1838" s="62" t="n">
        <f aca="false">IF(AND(Dashboard!$C$9="Yes",AC1838=1),0,1)</f>
        <v>1</v>
      </c>
      <c r="AF1838" s="62" t="n">
        <v>1</v>
      </c>
    </row>
    <row r="1839" customFormat="false" ht="15" hidden="false" customHeight="false" outlineLevel="0" collapsed="false">
      <c r="A1839" s="62" t="n">
        <v>1838</v>
      </c>
      <c r="B1839" s="63" t="n">
        <v>46276.9340162037</v>
      </c>
      <c r="C1839" s="64" t="n">
        <v>46276</v>
      </c>
      <c r="D1839" s="62" t="s">
        <v>288</v>
      </c>
      <c r="E1839" s="62" t="s">
        <v>1326</v>
      </c>
      <c r="F1839" s="62" t="s">
        <v>1326</v>
      </c>
      <c r="G1839" s="62" t="s">
        <v>1327</v>
      </c>
      <c r="H1839" s="62" t="s">
        <v>57</v>
      </c>
      <c r="I1839" s="62" t="s">
        <v>47</v>
      </c>
      <c r="J1839" s="62" t="s">
        <v>146</v>
      </c>
      <c r="K1839" s="62" t="s">
        <v>175</v>
      </c>
      <c r="L1839" s="62" t="s">
        <v>148</v>
      </c>
      <c r="M1839" s="62" t="n">
        <v>0</v>
      </c>
      <c r="N1839" s="62" t="n">
        <v>2</v>
      </c>
      <c r="O1839" s="62" t="n">
        <v>2</v>
      </c>
      <c r="P1839" s="62" t="n">
        <v>1</v>
      </c>
      <c r="Q1839" s="62" t="n">
        <v>1</v>
      </c>
      <c r="R1839" s="62" t="n">
        <v>0</v>
      </c>
      <c r="S1839" s="62" t="n">
        <v>0</v>
      </c>
      <c r="T1839" s="62" t="n">
        <v>0</v>
      </c>
      <c r="U1839" s="62"/>
      <c r="V1839" s="62"/>
      <c r="W1839" s="62"/>
      <c r="X1839" s="62"/>
      <c r="Y1839" s="62"/>
      <c r="Z1839" s="62" t="s">
        <v>3395</v>
      </c>
      <c r="AA1839" s="62" t="s">
        <v>237</v>
      </c>
      <c r="AB1839" s="62" t="n">
        <v>0</v>
      </c>
      <c r="AC1839" s="62" t="n">
        <v>0</v>
      </c>
      <c r="AD1839" s="62" t="n">
        <v>1</v>
      </c>
      <c r="AE1839" s="62" t="n">
        <f aca="false">IF(AND(Dashboard!$C$9="Yes",AC1839=1),0,1)</f>
        <v>1</v>
      </c>
      <c r="AF1839" s="62" t="n">
        <v>1</v>
      </c>
    </row>
    <row r="1840" customFormat="false" ht="15" hidden="false" customHeight="false" outlineLevel="0" collapsed="false">
      <c r="A1840" s="62" t="n">
        <v>1839</v>
      </c>
      <c r="B1840" s="63" t="n">
        <v>46276.9342708333</v>
      </c>
      <c r="C1840" s="64" t="n">
        <v>46276</v>
      </c>
      <c r="D1840" s="62" t="s">
        <v>288</v>
      </c>
      <c r="E1840" s="62" t="s">
        <v>1326</v>
      </c>
      <c r="F1840" s="62" t="s">
        <v>1326</v>
      </c>
      <c r="G1840" s="62" t="s">
        <v>1327</v>
      </c>
      <c r="H1840" s="62" t="s">
        <v>57</v>
      </c>
      <c r="I1840" s="62" t="s">
        <v>47</v>
      </c>
      <c r="J1840" s="62" t="s">
        <v>146</v>
      </c>
      <c r="K1840" s="62" t="s">
        <v>175</v>
      </c>
      <c r="L1840" s="62" t="s">
        <v>148</v>
      </c>
      <c r="M1840" s="62" t="n">
        <v>0</v>
      </c>
      <c r="N1840" s="62" t="n">
        <v>2</v>
      </c>
      <c r="O1840" s="62" t="n">
        <v>2</v>
      </c>
      <c r="P1840" s="62" t="n">
        <v>1</v>
      </c>
      <c r="Q1840" s="62" t="n">
        <v>0</v>
      </c>
      <c r="R1840" s="62" t="n">
        <v>1</v>
      </c>
      <c r="S1840" s="62" t="n">
        <v>0</v>
      </c>
      <c r="T1840" s="62" t="n">
        <v>0</v>
      </c>
      <c r="U1840" s="62"/>
      <c r="V1840" s="62"/>
      <c r="W1840" s="62"/>
      <c r="X1840" s="62"/>
      <c r="Y1840" s="62"/>
      <c r="Z1840" s="62" t="s">
        <v>3394</v>
      </c>
      <c r="AA1840" s="62" t="s">
        <v>237</v>
      </c>
      <c r="AB1840" s="62" t="n">
        <v>0</v>
      </c>
      <c r="AC1840" s="62" t="n">
        <v>0</v>
      </c>
      <c r="AD1840" s="62" t="n">
        <v>1</v>
      </c>
      <c r="AE1840" s="62" t="n">
        <f aca="false">IF(AND(Dashboard!$C$9="Yes",AC1840=1),0,1)</f>
        <v>1</v>
      </c>
      <c r="AF1840" s="62" t="n">
        <v>0</v>
      </c>
    </row>
    <row r="1841" customFormat="false" ht="15" hidden="false" customHeight="false" outlineLevel="0" collapsed="false">
      <c r="A1841" s="62" t="n">
        <v>1840</v>
      </c>
      <c r="B1841" s="63" t="n">
        <v>46276.9345601852</v>
      </c>
      <c r="C1841" s="64" t="n">
        <v>46276</v>
      </c>
      <c r="D1841" s="62" t="s">
        <v>288</v>
      </c>
      <c r="E1841" s="62" t="s">
        <v>1326</v>
      </c>
      <c r="F1841" s="62" t="s">
        <v>1326</v>
      </c>
      <c r="G1841" s="62" t="s">
        <v>1327</v>
      </c>
      <c r="H1841" s="62" t="s">
        <v>57</v>
      </c>
      <c r="I1841" s="62" t="s">
        <v>47</v>
      </c>
      <c r="J1841" s="62" t="s">
        <v>146</v>
      </c>
      <c r="K1841" s="62" t="s">
        <v>175</v>
      </c>
      <c r="L1841" s="62" t="s">
        <v>148</v>
      </c>
      <c r="M1841" s="62" t="n">
        <v>0</v>
      </c>
      <c r="N1841" s="62" t="n">
        <v>1</v>
      </c>
      <c r="O1841" s="62" t="n">
        <v>1</v>
      </c>
      <c r="P1841" s="62" t="n">
        <v>1</v>
      </c>
      <c r="Q1841" s="62" t="n">
        <v>0</v>
      </c>
      <c r="R1841" s="62" t="n">
        <v>0</v>
      </c>
      <c r="S1841" s="62" t="n">
        <v>0</v>
      </c>
      <c r="T1841" s="62" t="n">
        <v>0</v>
      </c>
      <c r="U1841" s="62"/>
      <c r="V1841" s="62"/>
      <c r="W1841" s="62"/>
      <c r="X1841" s="62"/>
      <c r="Y1841" s="62"/>
      <c r="Z1841" s="62" t="s">
        <v>2827</v>
      </c>
      <c r="AA1841" s="62" t="s">
        <v>237</v>
      </c>
      <c r="AB1841" s="62" t="n">
        <v>0</v>
      </c>
      <c r="AC1841" s="62" t="n">
        <v>0</v>
      </c>
      <c r="AD1841" s="62" t="n">
        <v>1</v>
      </c>
      <c r="AE1841" s="62" t="n">
        <f aca="false">IF(AND(Dashboard!$C$9="Yes",AC1841=1),0,1)</f>
        <v>1</v>
      </c>
      <c r="AF1841" s="62" t="n">
        <v>0</v>
      </c>
    </row>
    <row r="1842" customFormat="false" ht="15" hidden="false" customHeight="false" outlineLevel="0" collapsed="false">
      <c r="A1842" s="62" t="n">
        <v>1841</v>
      </c>
      <c r="B1842" s="63" t="n">
        <v>46276.9379861111</v>
      </c>
      <c r="C1842" s="64" t="n">
        <v>46276</v>
      </c>
      <c r="D1842" s="62" t="s">
        <v>288</v>
      </c>
      <c r="E1842" s="62" t="s">
        <v>1326</v>
      </c>
      <c r="F1842" s="62" t="s">
        <v>1326</v>
      </c>
      <c r="G1842" s="62" t="s">
        <v>1327</v>
      </c>
      <c r="H1842" s="62" t="s">
        <v>57</v>
      </c>
      <c r="I1842" s="62" t="s">
        <v>47</v>
      </c>
      <c r="J1842" s="62" t="s">
        <v>146</v>
      </c>
      <c r="K1842" s="62" t="s">
        <v>175</v>
      </c>
      <c r="L1842" s="62" t="s">
        <v>148</v>
      </c>
      <c r="M1842" s="62" t="n">
        <v>0</v>
      </c>
      <c r="N1842" s="62" t="n">
        <v>1</v>
      </c>
      <c r="O1842" s="62" t="n">
        <v>1</v>
      </c>
      <c r="P1842" s="62" t="n">
        <v>1</v>
      </c>
      <c r="Q1842" s="62" t="n">
        <v>0</v>
      </c>
      <c r="R1842" s="62" t="n">
        <v>0</v>
      </c>
      <c r="S1842" s="62" t="n">
        <v>0</v>
      </c>
      <c r="T1842" s="62" t="n">
        <v>0</v>
      </c>
      <c r="U1842" s="62"/>
      <c r="V1842" s="62"/>
      <c r="W1842" s="62"/>
      <c r="X1842" s="62"/>
      <c r="Y1842" s="62"/>
      <c r="Z1842" s="62" t="s">
        <v>2828</v>
      </c>
      <c r="AA1842" s="62" t="s">
        <v>237</v>
      </c>
      <c r="AB1842" s="62" t="n">
        <v>0</v>
      </c>
      <c r="AC1842" s="62" t="n">
        <v>0</v>
      </c>
      <c r="AD1842" s="62" t="n">
        <v>1</v>
      </c>
      <c r="AE1842" s="62" t="n">
        <f aca="false">IF(AND(Dashboard!$C$9="Yes",AC1842=1),0,1)</f>
        <v>1</v>
      </c>
      <c r="AF1842" s="62" t="n">
        <v>0</v>
      </c>
    </row>
    <row r="1843" customFormat="false" ht="15" hidden="false" customHeight="false" outlineLevel="0" collapsed="false">
      <c r="A1843" s="62" t="n">
        <v>1842</v>
      </c>
      <c r="B1843" s="63" t="n">
        <v>46276.9381828704</v>
      </c>
      <c r="C1843" s="64" t="n">
        <v>46276</v>
      </c>
      <c r="D1843" s="62" t="s">
        <v>288</v>
      </c>
      <c r="E1843" s="62" t="s">
        <v>518</v>
      </c>
      <c r="F1843" s="62" t="s">
        <v>518</v>
      </c>
      <c r="G1843" s="62" t="s">
        <v>519</v>
      </c>
      <c r="H1843" s="62" t="s">
        <v>52</v>
      </c>
      <c r="I1843" s="62" t="s">
        <v>47</v>
      </c>
      <c r="J1843" s="62" t="s">
        <v>146</v>
      </c>
      <c r="K1843" s="62" t="s">
        <v>147</v>
      </c>
      <c r="L1843" s="62" t="s">
        <v>148</v>
      </c>
      <c r="M1843" s="62" t="n">
        <v>0</v>
      </c>
      <c r="N1843" s="62" t="n">
        <v>1</v>
      </c>
      <c r="O1843" s="62" t="n">
        <v>1</v>
      </c>
      <c r="P1843" s="62" t="n">
        <v>0</v>
      </c>
      <c r="Q1843" s="62" t="n">
        <v>1</v>
      </c>
      <c r="R1843" s="62" t="n">
        <v>0</v>
      </c>
      <c r="S1843" s="62" t="n">
        <v>0</v>
      </c>
      <c r="T1843" s="62" t="n">
        <v>0</v>
      </c>
      <c r="U1843" s="62"/>
      <c r="V1843" s="62"/>
      <c r="W1843" s="62"/>
      <c r="X1843" s="62"/>
      <c r="Y1843" s="62"/>
      <c r="Z1843" s="62" t="s">
        <v>3396</v>
      </c>
      <c r="AA1843" s="62" t="s">
        <v>3397</v>
      </c>
      <c r="AB1843" s="62" t="n">
        <v>1</v>
      </c>
      <c r="AC1843" s="62" t="n">
        <v>0</v>
      </c>
      <c r="AD1843" s="62" t="n">
        <v>1</v>
      </c>
      <c r="AE1843" s="62" t="n">
        <f aca="false">IF(AND(Dashboard!$C$9="Yes",AC1843=1),0,1)</f>
        <v>1</v>
      </c>
      <c r="AF1843" s="62" t="n">
        <v>1</v>
      </c>
    </row>
    <row r="1844" customFormat="false" ht="15" hidden="false" customHeight="false" outlineLevel="0" collapsed="false">
      <c r="A1844" s="62" t="n">
        <v>1843</v>
      </c>
      <c r="B1844" s="63" t="n">
        <v>46276.9386111111</v>
      </c>
      <c r="C1844" s="64" t="n">
        <v>46276</v>
      </c>
      <c r="D1844" s="62" t="s">
        <v>288</v>
      </c>
      <c r="E1844" s="62" t="s">
        <v>1326</v>
      </c>
      <c r="F1844" s="62" t="s">
        <v>1326</v>
      </c>
      <c r="G1844" s="62" t="s">
        <v>1327</v>
      </c>
      <c r="H1844" s="62" t="s">
        <v>57</v>
      </c>
      <c r="I1844" s="62" t="s">
        <v>47</v>
      </c>
      <c r="J1844" s="62" t="s">
        <v>146</v>
      </c>
      <c r="K1844" s="62" t="s">
        <v>175</v>
      </c>
      <c r="L1844" s="62" t="s">
        <v>148</v>
      </c>
      <c r="M1844" s="62" t="n">
        <v>0</v>
      </c>
      <c r="N1844" s="62" t="n">
        <v>1</v>
      </c>
      <c r="O1844" s="62" t="n">
        <v>1</v>
      </c>
      <c r="P1844" s="62" t="n">
        <v>1</v>
      </c>
      <c r="Q1844" s="62" t="n">
        <v>0</v>
      </c>
      <c r="R1844" s="62" t="n">
        <v>0</v>
      </c>
      <c r="S1844" s="62" t="n">
        <v>0</v>
      </c>
      <c r="T1844" s="62" t="n">
        <v>0</v>
      </c>
      <c r="U1844" s="62"/>
      <c r="V1844" s="62"/>
      <c r="W1844" s="62"/>
      <c r="X1844" s="62"/>
      <c r="Y1844" s="62"/>
      <c r="Z1844" s="62" t="s">
        <v>2488</v>
      </c>
      <c r="AA1844" s="62" t="s">
        <v>237</v>
      </c>
      <c r="AB1844" s="62" t="n">
        <v>0</v>
      </c>
      <c r="AC1844" s="62" t="n">
        <v>0</v>
      </c>
      <c r="AD1844" s="62" t="n">
        <v>1</v>
      </c>
      <c r="AE1844" s="62" t="n">
        <f aca="false">IF(AND(Dashboard!$C$9="Yes",AC1844=1),0,1)</f>
        <v>1</v>
      </c>
      <c r="AF1844" s="62" t="n">
        <v>0</v>
      </c>
    </row>
    <row r="1845" customFormat="false" ht="15" hidden="false" customHeight="false" outlineLevel="0" collapsed="false">
      <c r="A1845" s="62" t="n">
        <v>1844</v>
      </c>
      <c r="B1845" s="63" t="n">
        <v>46276.9859027778</v>
      </c>
      <c r="C1845" s="64" t="n">
        <v>46276</v>
      </c>
      <c r="D1845" s="62" t="s">
        <v>288</v>
      </c>
      <c r="E1845" s="62" t="s">
        <v>1172</v>
      </c>
      <c r="F1845" s="62" t="s">
        <v>1172</v>
      </c>
      <c r="G1845" s="62" t="s">
        <v>1173</v>
      </c>
      <c r="H1845" s="62" t="s">
        <v>59</v>
      </c>
      <c r="I1845" s="62" t="s">
        <v>47</v>
      </c>
      <c r="J1845" s="62" t="s">
        <v>146</v>
      </c>
      <c r="K1845" s="62" t="s">
        <v>209</v>
      </c>
      <c r="L1845" s="62" t="s">
        <v>148</v>
      </c>
      <c r="M1845" s="62" t="n">
        <v>0</v>
      </c>
      <c r="N1845" s="62" t="n">
        <v>1</v>
      </c>
      <c r="O1845" s="62" t="n">
        <v>1</v>
      </c>
      <c r="P1845" s="62" t="n">
        <v>0</v>
      </c>
      <c r="Q1845" s="62" t="n">
        <v>1</v>
      </c>
      <c r="R1845" s="62" t="n">
        <v>0</v>
      </c>
      <c r="S1845" s="62" t="n">
        <v>0</v>
      </c>
      <c r="T1845" s="62" t="n">
        <v>0</v>
      </c>
      <c r="U1845" s="62"/>
      <c r="V1845" s="62"/>
      <c r="W1845" s="62"/>
      <c r="X1845" s="62"/>
      <c r="Y1845" s="62"/>
      <c r="Z1845" s="62" t="s">
        <v>3398</v>
      </c>
      <c r="AA1845" s="62" t="s">
        <v>2483</v>
      </c>
      <c r="AB1845" s="62" t="n">
        <v>1</v>
      </c>
      <c r="AC1845" s="62" t="n">
        <v>0</v>
      </c>
      <c r="AD1845" s="62" t="n">
        <v>1</v>
      </c>
      <c r="AE1845" s="62" t="n">
        <f aca="false">IF(AND(Dashboard!$C$9="Yes",AC1845=1),0,1)</f>
        <v>1</v>
      </c>
      <c r="AF1845" s="62" t="n">
        <v>0</v>
      </c>
    </row>
    <row r="1846" customFormat="false" ht="15" hidden="false" customHeight="false" outlineLevel="0" collapsed="false">
      <c r="A1846" s="62" t="n">
        <v>1845</v>
      </c>
      <c r="B1846" s="63" t="n">
        <v>46276.9962152778</v>
      </c>
      <c r="C1846" s="64" t="n">
        <v>46276</v>
      </c>
      <c r="D1846" s="62" t="s">
        <v>288</v>
      </c>
      <c r="E1846" s="62" t="s">
        <v>3399</v>
      </c>
      <c r="F1846" s="62" t="s">
        <v>3399</v>
      </c>
      <c r="G1846" s="62" t="s">
        <v>3400</v>
      </c>
      <c r="H1846" s="62" t="s">
        <v>58</v>
      </c>
      <c r="I1846" s="62" t="s">
        <v>49</v>
      </c>
      <c r="J1846" s="62" t="s">
        <v>146</v>
      </c>
      <c r="K1846" s="62" t="s">
        <v>209</v>
      </c>
      <c r="L1846" s="62" t="s">
        <v>4</v>
      </c>
      <c r="M1846" s="62" t="n">
        <v>1</v>
      </c>
      <c r="N1846" s="62" t="n">
        <v>0</v>
      </c>
      <c r="O1846" s="62" t="n">
        <v>1</v>
      </c>
      <c r="P1846" s="62" t="n">
        <v>0</v>
      </c>
      <c r="Q1846" s="62" t="n">
        <v>0</v>
      </c>
      <c r="R1846" s="62" t="n">
        <v>0</v>
      </c>
      <c r="S1846" s="62" t="n">
        <v>0</v>
      </c>
      <c r="T1846" s="62" t="n">
        <v>0</v>
      </c>
      <c r="U1846" s="62" t="s">
        <v>2056</v>
      </c>
      <c r="V1846" s="62" t="s">
        <v>2068</v>
      </c>
      <c r="W1846" s="62"/>
      <c r="X1846" s="62" t="s">
        <v>2125</v>
      </c>
      <c r="Y1846" s="62" t="s">
        <v>2064</v>
      </c>
      <c r="Z1846" s="62" t="s">
        <v>3401</v>
      </c>
      <c r="AA1846" s="62" t="s">
        <v>3402</v>
      </c>
      <c r="AB1846" s="62" t="n">
        <v>1</v>
      </c>
      <c r="AC1846" s="62" t="n">
        <v>0</v>
      </c>
      <c r="AD1846" s="62" t="n">
        <v>1</v>
      </c>
      <c r="AE1846" s="62" t="n">
        <f aca="false">IF(AND(Dashboard!$C$9="Yes",AC1846=1),0,1)</f>
        <v>1</v>
      </c>
      <c r="AF1846" s="62" t="n">
        <v>1</v>
      </c>
    </row>
    <row r="1847" customFormat="false" ht="15" hidden="false" customHeight="false" outlineLevel="0" collapsed="false">
      <c r="A1847" s="62" t="n">
        <v>1846</v>
      </c>
      <c r="B1847" s="63" t="n">
        <v>46276.9976736111</v>
      </c>
      <c r="C1847" s="64" t="n">
        <v>46276</v>
      </c>
      <c r="D1847" s="62" t="s">
        <v>288</v>
      </c>
      <c r="E1847" s="62" t="s">
        <v>3399</v>
      </c>
      <c r="F1847" s="62" t="s">
        <v>3399</v>
      </c>
      <c r="G1847" s="62" t="s">
        <v>3400</v>
      </c>
      <c r="H1847" s="62" t="s">
        <v>58</v>
      </c>
      <c r="I1847" s="62" t="s">
        <v>49</v>
      </c>
      <c r="J1847" s="62" t="s">
        <v>146</v>
      </c>
      <c r="K1847" s="62" t="s">
        <v>209</v>
      </c>
      <c r="L1847" s="62" t="s">
        <v>148</v>
      </c>
      <c r="M1847" s="62" t="n">
        <v>0</v>
      </c>
      <c r="N1847" s="62" t="n">
        <v>1</v>
      </c>
      <c r="O1847" s="62" t="n">
        <v>1</v>
      </c>
      <c r="P1847" s="62" t="n">
        <v>1</v>
      </c>
      <c r="Q1847" s="62" t="n">
        <v>0</v>
      </c>
      <c r="R1847" s="62" t="n">
        <v>0</v>
      </c>
      <c r="S1847" s="62" t="n">
        <v>0</v>
      </c>
      <c r="T1847" s="62" t="n">
        <v>0</v>
      </c>
      <c r="U1847" s="62"/>
      <c r="V1847" s="62"/>
      <c r="W1847" s="62"/>
      <c r="X1847" s="62"/>
      <c r="Y1847" s="62"/>
      <c r="Z1847" s="62" t="s">
        <v>3402</v>
      </c>
      <c r="AA1847" s="62" t="s">
        <v>3403</v>
      </c>
      <c r="AB1847" s="62" t="n">
        <v>1</v>
      </c>
      <c r="AC1847" s="62" t="n">
        <v>0</v>
      </c>
      <c r="AD1847" s="62" t="n">
        <v>1</v>
      </c>
      <c r="AE1847" s="62" t="n">
        <f aca="false">IF(AND(Dashboard!$C$9="Yes",AC1847=1),0,1)</f>
        <v>1</v>
      </c>
      <c r="AF1847" s="62" t="n">
        <v>0</v>
      </c>
    </row>
    <row r="1848" customFormat="false" ht="15" hidden="false" customHeight="false" outlineLevel="0" collapsed="false">
      <c r="A1848" s="62" t="n">
        <v>1847</v>
      </c>
      <c r="B1848" s="63" t="n">
        <v>46276.9991666667</v>
      </c>
      <c r="C1848" s="64" t="n">
        <v>46276</v>
      </c>
      <c r="D1848" s="62" t="s">
        <v>288</v>
      </c>
      <c r="E1848" s="62" t="s">
        <v>2395</v>
      </c>
      <c r="F1848" s="62" t="s">
        <v>2395</v>
      </c>
      <c r="G1848" s="62" t="s">
        <v>2396</v>
      </c>
      <c r="H1848" s="62" t="s">
        <v>59</v>
      </c>
      <c r="I1848" s="62" t="s">
        <v>47</v>
      </c>
      <c r="J1848" s="62" t="s">
        <v>146</v>
      </c>
      <c r="K1848" s="62" t="s">
        <v>209</v>
      </c>
      <c r="L1848" s="62" t="s">
        <v>148</v>
      </c>
      <c r="M1848" s="62" t="n">
        <v>0</v>
      </c>
      <c r="N1848" s="62" t="n">
        <v>1</v>
      </c>
      <c r="O1848" s="62" t="n">
        <v>1</v>
      </c>
      <c r="P1848" s="62" t="n">
        <v>1</v>
      </c>
      <c r="Q1848" s="62" t="n">
        <v>0</v>
      </c>
      <c r="R1848" s="62" t="n">
        <v>0</v>
      </c>
      <c r="S1848" s="62" t="n">
        <v>0</v>
      </c>
      <c r="T1848" s="62" t="n">
        <v>0</v>
      </c>
      <c r="U1848" s="62"/>
      <c r="V1848" s="62"/>
      <c r="W1848" s="62"/>
      <c r="X1848" s="62"/>
      <c r="Y1848" s="62"/>
      <c r="Z1848" s="62" t="s">
        <v>3404</v>
      </c>
      <c r="AA1848" s="62" t="s">
        <v>3405</v>
      </c>
      <c r="AB1848" s="62" t="n">
        <v>1</v>
      </c>
      <c r="AC1848" s="62" t="n">
        <v>0</v>
      </c>
      <c r="AD1848" s="62" t="n">
        <v>1</v>
      </c>
      <c r="AE1848" s="62" t="n">
        <f aca="false">IF(AND(Dashboard!$C$9="Yes",AC1848=1),0,1)</f>
        <v>1</v>
      </c>
      <c r="AF1848" s="62" t="n">
        <v>1</v>
      </c>
    </row>
    <row r="1849" customFormat="false" ht="15" hidden="false" customHeight="false" outlineLevel="0" collapsed="false">
      <c r="A1849" s="62" t="n">
        <v>1848</v>
      </c>
      <c r="B1849" s="63" t="n">
        <v>46277.0000694445</v>
      </c>
      <c r="C1849" s="64" t="n">
        <v>46276</v>
      </c>
      <c r="D1849" s="62" t="s">
        <v>288</v>
      </c>
      <c r="E1849" s="62" t="s">
        <v>3272</v>
      </c>
      <c r="F1849" s="62" t="s">
        <v>3272</v>
      </c>
      <c r="G1849" s="62" t="s">
        <v>3273</v>
      </c>
      <c r="H1849" s="62" t="s">
        <v>48</v>
      </c>
      <c r="I1849" s="62" t="s">
        <v>49</v>
      </c>
      <c r="J1849" s="62" t="s">
        <v>146</v>
      </c>
      <c r="K1849" s="62" t="s">
        <v>209</v>
      </c>
      <c r="L1849" s="62" t="s">
        <v>4</v>
      </c>
      <c r="M1849" s="62" t="n">
        <v>2</v>
      </c>
      <c r="N1849" s="62" t="n">
        <v>0</v>
      </c>
      <c r="O1849" s="62" t="n">
        <v>2</v>
      </c>
      <c r="P1849" s="62" t="n">
        <v>0</v>
      </c>
      <c r="Q1849" s="62" t="n">
        <v>0</v>
      </c>
      <c r="R1849" s="62" t="n">
        <v>0</v>
      </c>
      <c r="S1849" s="62" t="n">
        <v>0</v>
      </c>
      <c r="T1849" s="62" t="n">
        <v>0</v>
      </c>
      <c r="U1849" s="62" t="s">
        <v>2056</v>
      </c>
      <c r="V1849" s="62" t="s">
        <v>2057</v>
      </c>
      <c r="W1849" s="62" t="s">
        <v>2056</v>
      </c>
      <c r="X1849" s="62" t="s">
        <v>2069</v>
      </c>
      <c r="Y1849" s="62" t="s">
        <v>2064</v>
      </c>
      <c r="Z1849" s="62" t="s">
        <v>3406</v>
      </c>
      <c r="AA1849" s="62" t="s">
        <v>3407</v>
      </c>
      <c r="AB1849" s="62" t="n">
        <v>1</v>
      </c>
      <c r="AC1849" s="62" t="n">
        <v>0</v>
      </c>
      <c r="AD1849" s="62" t="n">
        <v>1</v>
      </c>
      <c r="AE1849" s="62" t="n">
        <f aca="false">IF(AND(Dashboard!$C$9="Yes",AC1849=1),0,1)</f>
        <v>1</v>
      </c>
      <c r="AF1849" s="62" t="n">
        <v>1</v>
      </c>
    </row>
    <row r="1850" customFormat="false" ht="15" hidden="false" customHeight="false" outlineLevel="0" collapsed="false">
      <c r="A1850" s="62" t="n">
        <v>1849</v>
      </c>
      <c r="B1850" s="63" t="n">
        <v>46277.0023032407</v>
      </c>
      <c r="C1850" s="64" t="n">
        <v>46276</v>
      </c>
      <c r="D1850" s="62" t="s">
        <v>288</v>
      </c>
      <c r="E1850" s="62" t="s">
        <v>255</v>
      </c>
      <c r="F1850" s="62" t="s">
        <v>255</v>
      </c>
      <c r="G1850" s="62" t="s">
        <v>256</v>
      </c>
      <c r="H1850" s="62" t="s">
        <v>57</v>
      </c>
      <c r="I1850" s="62" t="s">
        <v>47</v>
      </c>
      <c r="J1850" s="62" t="s">
        <v>146</v>
      </c>
      <c r="K1850" s="62" t="s">
        <v>147</v>
      </c>
      <c r="L1850" s="62" t="s">
        <v>148</v>
      </c>
      <c r="M1850" s="62" t="n">
        <v>0</v>
      </c>
      <c r="N1850" s="62" t="n">
        <v>1</v>
      </c>
      <c r="O1850" s="62" t="n">
        <v>1</v>
      </c>
      <c r="P1850" s="62" t="n">
        <v>1</v>
      </c>
      <c r="Q1850" s="62" t="n">
        <v>0</v>
      </c>
      <c r="R1850" s="62" t="n">
        <v>0</v>
      </c>
      <c r="S1850" s="62" t="n">
        <v>0</v>
      </c>
      <c r="T1850" s="62" t="n">
        <v>0</v>
      </c>
      <c r="U1850" s="62"/>
      <c r="V1850" s="62"/>
      <c r="W1850" s="62"/>
      <c r="X1850" s="62"/>
      <c r="Y1850" s="62"/>
      <c r="Z1850" s="62" t="s">
        <v>3408</v>
      </c>
      <c r="AA1850" s="62" t="s">
        <v>3409</v>
      </c>
      <c r="AB1850" s="62" t="n">
        <v>1</v>
      </c>
      <c r="AC1850" s="62" t="n">
        <v>0</v>
      </c>
      <c r="AD1850" s="62" t="n">
        <v>1</v>
      </c>
      <c r="AE1850" s="62" t="n">
        <f aca="false">IF(AND(Dashboard!$C$9="Yes",AC1850=1),0,1)</f>
        <v>1</v>
      </c>
      <c r="AF1850" s="62" t="n">
        <v>1</v>
      </c>
    </row>
    <row r="1851" customFormat="false" ht="15" hidden="false" customHeight="false" outlineLevel="0" collapsed="false">
      <c r="A1851" s="62" t="n">
        <v>1850</v>
      </c>
      <c r="B1851" s="63" t="n">
        <v>46277.0160300926</v>
      </c>
      <c r="C1851" s="64" t="n">
        <v>46276</v>
      </c>
      <c r="D1851" s="62" t="s">
        <v>288</v>
      </c>
      <c r="E1851" s="62" t="s">
        <v>2340</v>
      </c>
      <c r="F1851" s="62" t="s">
        <v>2340</v>
      </c>
      <c r="G1851" s="62" t="s">
        <v>2341</v>
      </c>
      <c r="H1851" s="62" t="s">
        <v>57</v>
      </c>
      <c r="I1851" s="62" t="s">
        <v>47</v>
      </c>
      <c r="J1851" s="62" t="s">
        <v>146</v>
      </c>
      <c r="K1851" s="62" t="s">
        <v>175</v>
      </c>
      <c r="L1851" s="62" t="s">
        <v>148</v>
      </c>
      <c r="M1851" s="62" t="n">
        <v>0</v>
      </c>
      <c r="N1851" s="62" t="n">
        <v>1</v>
      </c>
      <c r="O1851" s="62" t="n">
        <v>1</v>
      </c>
      <c r="P1851" s="62" t="n">
        <v>1</v>
      </c>
      <c r="Q1851" s="62" t="n">
        <v>0</v>
      </c>
      <c r="R1851" s="62" t="n">
        <v>0</v>
      </c>
      <c r="S1851" s="62" t="n">
        <v>0</v>
      </c>
      <c r="T1851" s="62" t="n">
        <v>0</v>
      </c>
      <c r="U1851" s="62"/>
      <c r="V1851" s="62"/>
      <c r="W1851" s="62"/>
      <c r="X1851" s="62"/>
      <c r="Y1851" s="62"/>
      <c r="Z1851" s="62" t="s">
        <v>3410</v>
      </c>
      <c r="AA1851" s="62" t="s">
        <v>3411</v>
      </c>
      <c r="AB1851" s="62" t="n">
        <v>1</v>
      </c>
      <c r="AC1851" s="62" t="n">
        <v>0</v>
      </c>
      <c r="AD1851" s="62" t="n">
        <v>1</v>
      </c>
      <c r="AE1851" s="62" t="n">
        <f aca="false">IF(AND(Dashboard!$C$9="Yes",AC1851=1),0,1)</f>
        <v>1</v>
      </c>
      <c r="AF1851" s="62" t="n">
        <v>1</v>
      </c>
    </row>
    <row r="1852" customFormat="false" ht="15" hidden="false" customHeight="false" outlineLevel="0" collapsed="false">
      <c r="A1852" s="62" t="n">
        <v>1851</v>
      </c>
      <c r="B1852" s="63" t="n">
        <v>46277.0192592593</v>
      </c>
      <c r="C1852" s="64" t="n">
        <v>46276</v>
      </c>
      <c r="D1852" s="62" t="s">
        <v>288</v>
      </c>
      <c r="E1852" s="62" t="s">
        <v>212</v>
      </c>
      <c r="F1852" s="62" t="s">
        <v>212</v>
      </c>
      <c r="G1852" s="62" t="s">
        <v>213</v>
      </c>
      <c r="H1852" s="62" t="s">
        <v>58</v>
      </c>
      <c r="I1852" s="62" t="s">
        <v>49</v>
      </c>
      <c r="J1852" s="62" t="s">
        <v>146</v>
      </c>
      <c r="K1852" s="62" t="s">
        <v>175</v>
      </c>
      <c r="L1852" s="62" t="s">
        <v>148</v>
      </c>
      <c r="M1852" s="62" t="n">
        <v>0</v>
      </c>
      <c r="N1852" s="62" t="n">
        <v>2</v>
      </c>
      <c r="O1852" s="62" t="n">
        <v>2</v>
      </c>
      <c r="P1852" s="62" t="n">
        <v>1</v>
      </c>
      <c r="Q1852" s="62" t="n">
        <v>1</v>
      </c>
      <c r="R1852" s="62" t="n">
        <v>0</v>
      </c>
      <c r="S1852" s="62" t="n">
        <v>0</v>
      </c>
      <c r="T1852" s="62" t="n">
        <v>0</v>
      </c>
      <c r="U1852" s="62"/>
      <c r="V1852" s="62"/>
      <c r="W1852" s="62"/>
      <c r="X1852" s="62"/>
      <c r="Y1852" s="62"/>
      <c r="Z1852" s="62" t="s">
        <v>3412</v>
      </c>
      <c r="AA1852" s="62" t="s">
        <v>3413</v>
      </c>
      <c r="AB1852" s="62" t="n">
        <v>1</v>
      </c>
      <c r="AC1852" s="62" t="n">
        <v>0</v>
      </c>
      <c r="AD1852" s="62" t="n">
        <v>1</v>
      </c>
      <c r="AE1852" s="62" t="n">
        <f aca="false">IF(AND(Dashboard!$C$9="Yes",AC1852=1),0,1)</f>
        <v>1</v>
      </c>
      <c r="AF1852" s="62" t="n">
        <v>1</v>
      </c>
    </row>
    <row r="1853" customFormat="false" ht="15" hidden="false" customHeight="false" outlineLevel="0" collapsed="false">
      <c r="A1853" s="62" t="n">
        <v>1852</v>
      </c>
      <c r="B1853" s="63" t="n">
        <v>46277.0232175926</v>
      </c>
      <c r="C1853" s="64" t="n">
        <v>46276</v>
      </c>
      <c r="D1853" s="62" t="s">
        <v>288</v>
      </c>
      <c r="E1853" s="62" t="s">
        <v>3399</v>
      </c>
      <c r="F1853" s="62" t="s">
        <v>3399</v>
      </c>
      <c r="G1853" s="62" t="s">
        <v>3400</v>
      </c>
      <c r="H1853" s="62" t="s">
        <v>58</v>
      </c>
      <c r="I1853" s="62" t="s">
        <v>49</v>
      </c>
      <c r="J1853" s="62" t="s">
        <v>146</v>
      </c>
      <c r="K1853" s="62" t="s">
        <v>209</v>
      </c>
      <c r="L1853" s="62" t="s">
        <v>4</v>
      </c>
      <c r="M1853" s="62" t="n">
        <v>1</v>
      </c>
      <c r="N1853" s="62" t="n">
        <v>0</v>
      </c>
      <c r="O1853" s="62" t="n">
        <v>1</v>
      </c>
      <c r="P1853" s="62" t="n">
        <v>0</v>
      </c>
      <c r="Q1853" s="62" t="n">
        <v>0</v>
      </c>
      <c r="R1853" s="62" t="n">
        <v>0</v>
      </c>
      <c r="S1853" s="62" t="n">
        <v>0</v>
      </c>
      <c r="T1853" s="62" t="n">
        <v>0</v>
      </c>
      <c r="U1853" s="62" t="s">
        <v>2056</v>
      </c>
      <c r="V1853" s="62" t="s">
        <v>2057</v>
      </c>
      <c r="W1853" s="62" t="s">
        <v>15</v>
      </c>
      <c r="X1853" s="62" t="s">
        <v>2103</v>
      </c>
      <c r="Y1853" s="62" t="s">
        <v>2103</v>
      </c>
      <c r="Z1853" s="62" t="s">
        <v>3414</v>
      </c>
      <c r="AA1853" s="62" t="s">
        <v>3415</v>
      </c>
      <c r="AB1853" s="62" t="n">
        <v>1</v>
      </c>
      <c r="AC1853" s="62" t="n">
        <v>0</v>
      </c>
      <c r="AD1853" s="62" t="n">
        <v>1</v>
      </c>
      <c r="AE1853" s="62" t="n">
        <f aca="false">IF(AND(Dashboard!$C$9="Yes",AC1853=1),0,1)</f>
        <v>1</v>
      </c>
      <c r="AF1853" s="62" t="n">
        <v>0</v>
      </c>
    </row>
    <row r="1854" customFormat="false" ht="15" hidden="false" customHeight="false" outlineLevel="0" collapsed="false">
      <c r="A1854" s="62" t="n">
        <v>1853</v>
      </c>
      <c r="B1854" s="63" t="n">
        <v>46277.0332986111</v>
      </c>
      <c r="C1854" s="64" t="n">
        <v>46276</v>
      </c>
      <c r="D1854" s="62" t="s">
        <v>288</v>
      </c>
      <c r="E1854" s="62" t="s">
        <v>790</v>
      </c>
      <c r="F1854" s="62" t="s">
        <v>791</v>
      </c>
      <c r="G1854" s="62" t="s">
        <v>153</v>
      </c>
      <c r="H1854" s="62" t="s">
        <v>153</v>
      </c>
      <c r="I1854" s="62" t="s">
        <v>153</v>
      </c>
      <c r="J1854" s="62" t="s">
        <v>64</v>
      </c>
      <c r="K1854" s="62" t="s">
        <v>64</v>
      </c>
      <c r="L1854" s="62" t="s">
        <v>4</v>
      </c>
      <c r="M1854" s="62" t="n">
        <v>1</v>
      </c>
      <c r="N1854" s="62" t="n">
        <v>0</v>
      </c>
      <c r="O1854" s="62" t="n">
        <v>1</v>
      </c>
      <c r="P1854" s="62" t="n">
        <v>0</v>
      </c>
      <c r="Q1854" s="62" t="n">
        <v>0</v>
      </c>
      <c r="R1854" s="62" t="n">
        <v>0</v>
      </c>
      <c r="S1854" s="62" t="n">
        <v>0</v>
      </c>
      <c r="T1854" s="62" t="n">
        <v>0</v>
      </c>
      <c r="U1854" s="62" t="s">
        <v>2056</v>
      </c>
      <c r="V1854" s="62" t="s">
        <v>2057</v>
      </c>
      <c r="W1854" s="62" t="s">
        <v>15</v>
      </c>
      <c r="X1854" s="62" t="s">
        <v>2058</v>
      </c>
      <c r="Y1854" s="62" t="s">
        <v>2059</v>
      </c>
      <c r="Z1854" s="62" t="s">
        <v>3416</v>
      </c>
      <c r="AA1854" s="62" t="s">
        <v>3417</v>
      </c>
      <c r="AB1854" s="62" t="n">
        <v>1</v>
      </c>
      <c r="AC1854" s="62" t="n">
        <v>0</v>
      </c>
      <c r="AD1854" s="62" t="n">
        <v>0</v>
      </c>
      <c r="AE1854" s="62" t="n">
        <f aca="false">IF(AND(Dashboard!$C$9="Yes",AC1854=1),0,1)</f>
        <v>1</v>
      </c>
      <c r="AF1854" s="62" t="n">
        <v>1</v>
      </c>
    </row>
    <row r="1855" customFormat="false" ht="15" hidden="false" customHeight="false" outlineLevel="0" collapsed="false">
      <c r="A1855" s="62" t="n">
        <v>1854</v>
      </c>
      <c r="B1855" s="63" t="n">
        <v>46277.0466319445</v>
      </c>
      <c r="C1855" s="64" t="n">
        <v>46276</v>
      </c>
      <c r="D1855" s="62" t="s">
        <v>288</v>
      </c>
      <c r="E1855" s="62" t="s">
        <v>2476</v>
      </c>
      <c r="F1855" s="62" t="s">
        <v>2476</v>
      </c>
      <c r="G1855" s="62" t="s">
        <v>2477</v>
      </c>
      <c r="H1855" s="62" t="s">
        <v>51</v>
      </c>
      <c r="I1855" s="62" t="s">
        <v>47</v>
      </c>
      <c r="J1855" s="62" t="s">
        <v>146</v>
      </c>
      <c r="K1855" s="62" t="s">
        <v>209</v>
      </c>
      <c r="L1855" s="62" t="s">
        <v>148</v>
      </c>
      <c r="M1855" s="62" t="n">
        <v>0</v>
      </c>
      <c r="N1855" s="62" t="n">
        <v>2</v>
      </c>
      <c r="O1855" s="62" t="n">
        <v>2</v>
      </c>
      <c r="P1855" s="62" t="n">
        <v>0</v>
      </c>
      <c r="Q1855" s="62" t="n">
        <v>0</v>
      </c>
      <c r="R1855" s="62" t="n">
        <v>2</v>
      </c>
      <c r="S1855" s="62" t="n">
        <v>0</v>
      </c>
      <c r="T1855" s="62" t="n">
        <v>0</v>
      </c>
      <c r="U1855" s="62"/>
      <c r="V1855" s="62"/>
      <c r="W1855" s="62"/>
      <c r="X1855" s="62"/>
      <c r="Y1855" s="62"/>
      <c r="Z1855" s="62" t="s">
        <v>3418</v>
      </c>
      <c r="AA1855" s="62" t="s">
        <v>3419</v>
      </c>
      <c r="AB1855" s="62" t="n">
        <v>1</v>
      </c>
      <c r="AC1855" s="62" t="n">
        <v>0</v>
      </c>
      <c r="AD1855" s="62" t="n">
        <v>1</v>
      </c>
      <c r="AE1855" s="62" t="n">
        <f aca="false">IF(AND(Dashboard!$C$9="Yes",AC1855=1),0,1)</f>
        <v>1</v>
      </c>
      <c r="AF1855" s="62" t="n">
        <v>1</v>
      </c>
    </row>
    <row r="1856" customFormat="false" ht="15" hidden="false" customHeight="false" outlineLevel="0" collapsed="false">
      <c r="A1856" s="62" t="n">
        <v>1855</v>
      </c>
      <c r="B1856" s="63" t="n">
        <v>46277.0565509259</v>
      </c>
      <c r="C1856" s="64" t="n">
        <v>46276</v>
      </c>
      <c r="D1856" s="62" t="s">
        <v>288</v>
      </c>
      <c r="E1856" s="62" t="s">
        <v>2959</v>
      </c>
      <c r="F1856" s="62" t="s">
        <v>2959</v>
      </c>
      <c r="G1856" s="62" t="s">
        <v>2960</v>
      </c>
      <c r="H1856" s="62" t="s">
        <v>58</v>
      </c>
      <c r="I1856" s="62" t="s">
        <v>49</v>
      </c>
      <c r="J1856" s="62" t="s">
        <v>146</v>
      </c>
      <c r="K1856" s="62" t="s">
        <v>175</v>
      </c>
      <c r="L1856" s="62" t="s">
        <v>148</v>
      </c>
      <c r="M1856" s="62" t="n">
        <v>0</v>
      </c>
      <c r="N1856" s="62" t="n">
        <v>1</v>
      </c>
      <c r="O1856" s="62" t="n">
        <v>1</v>
      </c>
      <c r="P1856" s="62" t="n">
        <v>1</v>
      </c>
      <c r="Q1856" s="62" t="n">
        <v>0</v>
      </c>
      <c r="R1856" s="62" t="n">
        <v>0</v>
      </c>
      <c r="S1856" s="62" t="n">
        <v>0</v>
      </c>
      <c r="T1856" s="62" t="n">
        <v>0</v>
      </c>
      <c r="U1856" s="62"/>
      <c r="V1856" s="62"/>
      <c r="W1856" s="62"/>
      <c r="X1856" s="62"/>
      <c r="Y1856" s="62"/>
      <c r="Z1856" s="62" t="s">
        <v>3420</v>
      </c>
      <c r="AA1856" s="62" t="s">
        <v>3421</v>
      </c>
      <c r="AB1856" s="62" t="n">
        <v>0</v>
      </c>
      <c r="AC1856" s="62" t="n">
        <v>0</v>
      </c>
      <c r="AD1856" s="62" t="n">
        <v>1</v>
      </c>
      <c r="AE1856" s="62" t="n">
        <f aca="false">IF(AND(Dashboard!$C$9="Yes",AC1856=1),0,1)</f>
        <v>1</v>
      </c>
      <c r="AF1856" s="62" t="n">
        <v>1</v>
      </c>
    </row>
    <row r="1857" customFormat="false" ht="15" hidden="false" customHeight="false" outlineLevel="0" collapsed="false">
      <c r="A1857" s="62" t="n">
        <v>1856</v>
      </c>
      <c r="B1857" s="63" t="n">
        <v>46277.0568865741</v>
      </c>
      <c r="C1857" s="64" t="n">
        <v>46276</v>
      </c>
      <c r="D1857" s="62" t="s">
        <v>288</v>
      </c>
      <c r="E1857" s="62" t="s">
        <v>1005</v>
      </c>
      <c r="F1857" s="62" t="s">
        <v>1005</v>
      </c>
      <c r="G1857" s="62" t="s">
        <v>1006</v>
      </c>
      <c r="H1857" s="62" t="s">
        <v>46</v>
      </c>
      <c r="I1857" s="62" t="s">
        <v>47</v>
      </c>
      <c r="J1857" s="62" t="s">
        <v>146</v>
      </c>
      <c r="K1857" s="62" t="s">
        <v>209</v>
      </c>
      <c r="L1857" s="62" t="s">
        <v>4</v>
      </c>
      <c r="M1857" s="62" t="n">
        <v>1</v>
      </c>
      <c r="N1857" s="62" t="n">
        <v>0</v>
      </c>
      <c r="O1857" s="62" t="n">
        <v>1</v>
      </c>
      <c r="P1857" s="62" t="n">
        <v>0</v>
      </c>
      <c r="Q1857" s="62" t="n">
        <v>0</v>
      </c>
      <c r="R1857" s="62" t="n">
        <v>0</v>
      </c>
      <c r="S1857" s="62" t="n">
        <v>0</v>
      </c>
      <c r="T1857" s="62" t="n">
        <v>0</v>
      </c>
      <c r="U1857" s="62" t="s">
        <v>2056</v>
      </c>
      <c r="V1857" s="62" t="s">
        <v>2057</v>
      </c>
      <c r="W1857" s="62" t="s">
        <v>15</v>
      </c>
      <c r="X1857" s="62" t="s">
        <v>2180</v>
      </c>
      <c r="Y1857" s="62" t="s">
        <v>2059</v>
      </c>
      <c r="Z1857" s="62" t="s">
        <v>3422</v>
      </c>
      <c r="AA1857" s="62" t="s">
        <v>3423</v>
      </c>
      <c r="AB1857" s="62" t="n">
        <v>1</v>
      </c>
      <c r="AC1857" s="62" t="n">
        <v>0</v>
      </c>
      <c r="AD1857" s="62" t="n">
        <v>1</v>
      </c>
      <c r="AE1857" s="62" t="n">
        <f aca="false">IF(AND(Dashboard!$C$9="Yes",AC1857=1),0,1)</f>
        <v>1</v>
      </c>
      <c r="AF1857" s="62" t="n">
        <v>0</v>
      </c>
    </row>
    <row r="1858" customFormat="false" ht="15" hidden="false" customHeight="false" outlineLevel="0" collapsed="false">
      <c r="A1858" s="62" t="n">
        <v>1857</v>
      </c>
      <c r="B1858" s="63" t="n">
        <v>46277.0570949074</v>
      </c>
      <c r="C1858" s="64" t="n">
        <v>46276</v>
      </c>
      <c r="D1858" s="62" t="s">
        <v>288</v>
      </c>
      <c r="E1858" s="62" t="s">
        <v>1314</v>
      </c>
      <c r="F1858" s="62" t="s">
        <v>1314</v>
      </c>
      <c r="G1858" s="62" t="s">
        <v>1315</v>
      </c>
      <c r="H1858" s="62" t="s">
        <v>51</v>
      </c>
      <c r="I1858" s="62" t="s">
        <v>47</v>
      </c>
      <c r="J1858" s="62" t="s">
        <v>146</v>
      </c>
      <c r="K1858" s="62" t="s">
        <v>209</v>
      </c>
      <c r="L1858" s="62" t="s">
        <v>4</v>
      </c>
      <c r="M1858" s="62" t="n">
        <v>1</v>
      </c>
      <c r="N1858" s="62" t="n">
        <v>0</v>
      </c>
      <c r="O1858" s="62" t="n">
        <v>1</v>
      </c>
      <c r="P1858" s="62" t="n">
        <v>0</v>
      </c>
      <c r="Q1858" s="62" t="n">
        <v>0</v>
      </c>
      <c r="R1858" s="62" t="n">
        <v>0</v>
      </c>
      <c r="S1858" s="62" t="n">
        <v>0</v>
      </c>
      <c r="T1858" s="62" t="n">
        <v>0</v>
      </c>
      <c r="U1858" s="62" t="s">
        <v>2056</v>
      </c>
      <c r="V1858" s="62" t="s">
        <v>2057</v>
      </c>
      <c r="W1858" s="62" t="s">
        <v>15</v>
      </c>
      <c r="X1858" s="62" t="s">
        <v>2180</v>
      </c>
      <c r="Y1858" s="62" t="s">
        <v>2059</v>
      </c>
      <c r="Z1858" s="62" t="s">
        <v>3424</v>
      </c>
      <c r="AA1858" s="62" t="s">
        <v>3425</v>
      </c>
      <c r="AB1858" s="62" t="n">
        <v>1</v>
      </c>
      <c r="AC1858" s="62" t="n">
        <v>0</v>
      </c>
      <c r="AD1858" s="62" t="n">
        <v>1</v>
      </c>
      <c r="AE1858" s="62" t="n">
        <f aca="false">IF(AND(Dashboard!$C$9="Yes",AC1858=1),0,1)</f>
        <v>1</v>
      </c>
      <c r="AF1858" s="62" t="n">
        <v>1</v>
      </c>
    </row>
    <row r="1859" customFormat="false" ht="15" hidden="false" customHeight="false" outlineLevel="0" collapsed="false">
      <c r="A1859" s="62" t="n">
        <v>1858</v>
      </c>
      <c r="B1859" s="63" t="n">
        <v>46277.0602777778</v>
      </c>
      <c r="C1859" s="64" t="n">
        <v>46276</v>
      </c>
      <c r="D1859" s="62" t="s">
        <v>288</v>
      </c>
      <c r="E1859" s="62" t="s">
        <v>3426</v>
      </c>
      <c r="F1859" s="62" t="s">
        <v>3426</v>
      </c>
      <c r="G1859" s="62" t="s">
        <v>3427</v>
      </c>
      <c r="H1859" s="62" t="s">
        <v>46</v>
      </c>
      <c r="I1859" s="62" t="s">
        <v>47</v>
      </c>
      <c r="J1859" s="62" t="s">
        <v>146</v>
      </c>
      <c r="K1859" s="62" t="s">
        <v>147</v>
      </c>
      <c r="L1859" s="62" t="s">
        <v>4</v>
      </c>
      <c r="M1859" s="62" t="n">
        <v>1</v>
      </c>
      <c r="N1859" s="62" t="n">
        <v>0</v>
      </c>
      <c r="O1859" s="62" t="n">
        <v>1</v>
      </c>
      <c r="P1859" s="62" t="n">
        <v>0</v>
      </c>
      <c r="Q1859" s="62" t="n">
        <v>0</v>
      </c>
      <c r="R1859" s="62" t="n">
        <v>0</v>
      </c>
      <c r="S1859" s="62" t="n">
        <v>0</v>
      </c>
      <c r="T1859" s="62" t="n">
        <v>0</v>
      </c>
      <c r="U1859" s="62" t="s">
        <v>2056</v>
      </c>
      <c r="V1859" s="62" t="s">
        <v>2057</v>
      </c>
      <c r="W1859" s="62" t="s">
        <v>2056</v>
      </c>
      <c r="X1859" s="62" t="s">
        <v>2164</v>
      </c>
      <c r="Y1859" s="62" t="s">
        <v>2165</v>
      </c>
      <c r="Z1859" s="62" t="s">
        <v>3428</v>
      </c>
      <c r="AA1859" s="62" t="s">
        <v>3429</v>
      </c>
      <c r="AB1859" s="62" t="n">
        <v>1</v>
      </c>
      <c r="AC1859" s="62" t="n">
        <v>0</v>
      </c>
      <c r="AD1859" s="62" t="n">
        <v>1</v>
      </c>
      <c r="AE1859" s="62" t="n">
        <f aca="false">IF(AND(Dashboard!$C$9="Yes",AC1859=1),0,1)</f>
        <v>1</v>
      </c>
      <c r="AF1859" s="62" t="n">
        <v>1</v>
      </c>
    </row>
    <row r="1860" customFormat="false" ht="15" hidden="false" customHeight="false" outlineLevel="0" collapsed="false">
      <c r="A1860" s="62" t="n">
        <v>1859</v>
      </c>
      <c r="B1860" s="63" t="n">
        <v>46277.1292824074</v>
      </c>
      <c r="C1860" s="64" t="n">
        <v>46276</v>
      </c>
      <c r="D1860" s="62" t="s">
        <v>288</v>
      </c>
      <c r="E1860" s="62" t="s">
        <v>1539</v>
      </c>
      <c r="F1860" s="62" t="s">
        <v>1539</v>
      </c>
      <c r="G1860" s="62" t="s">
        <v>1540</v>
      </c>
      <c r="H1860" s="62" t="s">
        <v>52</v>
      </c>
      <c r="I1860" s="62" t="s">
        <v>47</v>
      </c>
      <c r="J1860" s="62" t="s">
        <v>146</v>
      </c>
      <c r="K1860" s="62" t="s">
        <v>147</v>
      </c>
      <c r="L1860" s="62" t="s">
        <v>148</v>
      </c>
      <c r="M1860" s="62" t="n">
        <v>0</v>
      </c>
      <c r="N1860" s="62" t="n">
        <v>1</v>
      </c>
      <c r="O1860" s="62" t="n">
        <v>1</v>
      </c>
      <c r="P1860" s="62" t="n">
        <v>0</v>
      </c>
      <c r="Q1860" s="62" t="n">
        <v>1</v>
      </c>
      <c r="R1860" s="62" t="n">
        <v>0</v>
      </c>
      <c r="S1860" s="62" t="n">
        <v>0</v>
      </c>
      <c r="T1860" s="62" t="n">
        <v>0</v>
      </c>
      <c r="U1860" s="62"/>
      <c r="V1860" s="62"/>
      <c r="W1860" s="62"/>
      <c r="X1860" s="62"/>
      <c r="Y1860" s="62"/>
      <c r="Z1860" s="62" t="s">
        <v>3430</v>
      </c>
      <c r="AA1860" s="62" t="s">
        <v>3431</v>
      </c>
      <c r="AB1860" s="62" t="n">
        <v>1</v>
      </c>
      <c r="AC1860" s="62" t="n">
        <v>0</v>
      </c>
      <c r="AD1860" s="62" t="n">
        <v>1</v>
      </c>
      <c r="AE1860" s="62" t="n">
        <f aca="false">IF(AND(Dashboard!$C$9="Yes",AC1860=1),0,1)</f>
        <v>1</v>
      </c>
      <c r="AF1860" s="62" t="n">
        <v>1</v>
      </c>
    </row>
    <row r="1861" customFormat="false" ht="15" hidden="false" customHeight="false" outlineLevel="0" collapsed="false">
      <c r="A1861" s="62" t="n">
        <v>1860</v>
      </c>
      <c r="B1861" s="63" t="n">
        <v>46277.1341550926</v>
      </c>
      <c r="C1861" s="64" t="n">
        <v>46276</v>
      </c>
      <c r="D1861" s="62" t="s">
        <v>288</v>
      </c>
      <c r="E1861" s="62" t="s">
        <v>3022</v>
      </c>
      <c r="F1861" s="62" t="s">
        <v>3022</v>
      </c>
      <c r="G1861" s="62" t="s">
        <v>3023</v>
      </c>
      <c r="H1861" s="62" t="s">
        <v>46</v>
      </c>
      <c r="I1861" s="62" t="s">
        <v>47</v>
      </c>
      <c r="J1861" s="62" t="s">
        <v>146</v>
      </c>
      <c r="K1861" s="62" t="s">
        <v>209</v>
      </c>
      <c r="L1861" s="62" t="s">
        <v>148</v>
      </c>
      <c r="M1861" s="62" t="n">
        <v>0</v>
      </c>
      <c r="N1861" s="62" t="n">
        <v>2</v>
      </c>
      <c r="O1861" s="62" t="n">
        <v>2</v>
      </c>
      <c r="P1861" s="62" t="n">
        <v>0</v>
      </c>
      <c r="Q1861" s="62" t="n">
        <v>0</v>
      </c>
      <c r="R1861" s="62" t="n">
        <v>0</v>
      </c>
      <c r="S1861" s="62" t="n">
        <v>0</v>
      </c>
      <c r="T1861" s="62" t="n">
        <v>2</v>
      </c>
      <c r="U1861" s="62"/>
      <c r="V1861" s="62"/>
      <c r="W1861" s="62"/>
      <c r="X1861" s="62"/>
      <c r="Y1861" s="62"/>
      <c r="Z1861" s="62" t="s">
        <v>3432</v>
      </c>
      <c r="AA1861" s="62" t="s">
        <v>3433</v>
      </c>
      <c r="AB1861" s="62" t="n">
        <v>1</v>
      </c>
      <c r="AC1861" s="62" t="n">
        <v>0</v>
      </c>
      <c r="AD1861" s="62" t="n">
        <v>1</v>
      </c>
      <c r="AE1861" s="62" t="n">
        <f aca="false">IF(AND(Dashboard!$C$9="Yes",AC1861=1),0,1)</f>
        <v>1</v>
      </c>
      <c r="AF1861" s="62" t="n">
        <v>1</v>
      </c>
    </row>
    <row r="1862" customFormat="false" ht="15" hidden="false" customHeight="false" outlineLevel="0" collapsed="false">
      <c r="A1862" s="62" t="n">
        <v>1861</v>
      </c>
      <c r="B1862" s="63" t="n">
        <v>46277.1422800926</v>
      </c>
      <c r="C1862" s="64" t="n">
        <v>46276</v>
      </c>
      <c r="D1862" s="62" t="s">
        <v>288</v>
      </c>
      <c r="E1862" s="62" t="s">
        <v>518</v>
      </c>
      <c r="F1862" s="62" t="s">
        <v>518</v>
      </c>
      <c r="G1862" s="62" t="s">
        <v>519</v>
      </c>
      <c r="H1862" s="62" t="s">
        <v>52</v>
      </c>
      <c r="I1862" s="62" t="s">
        <v>47</v>
      </c>
      <c r="J1862" s="62" t="s">
        <v>146</v>
      </c>
      <c r="K1862" s="62" t="s">
        <v>147</v>
      </c>
      <c r="L1862" s="62" t="s">
        <v>148</v>
      </c>
      <c r="M1862" s="62" t="n">
        <v>0</v>
      </c>
      <c r="N1862" s="62" t="n">
        <v>1</v>
      </c>
      <c r="O1862" s="62" t="n">
        <v>1</v>
      </c>
      <c r="P1862" s="62" t="n">
        <v>1</v>
      </c>
      <c r="Q1862" s="62" t="n">
        <v>0</v>
      </c>
      <c r="R1862" s="62" t="n">
        <v>0</v>
      </c>
      <c r="S1862" s="62" t="n">
        <v>0</v>
      </c>
      <c r="T1862" s="62" t="n">
        <v>0</v>
      </c>
      <c r="U1862" s="62"/>
      <c r="V1862" s="62"/>
      <c r="W1862" s="62"/>
      <c r="X1862" s="62"/>
      <c r="Y1862" s="62"/>
      <c r="Z1862" s="62" t="s">
        <v>3434</v>
      </c>
      <c r="AA1862" s="62" t="s">
        <v>3435</v>
      </c>
      <c r="AB1862" s="62" t="n">
        <v>1</v>
      </c>
      <c r="AC1862" s="62" t="n">
        <v>0</v>
      </c>
      <c r="AD1862" s="62" t="n">
        <v>1</v>
      </c>
      <c r="AE1862" s="62" t="n">
        <f aca="false">IF(AND(Dashboard!$C$9="Yes",AC1862=1),0,1)</f>
        <v>1</v>
      </c>
      <c r="AF1862" s="62" t="n">
        <v>0</v>
      </c>
    </row>
    <row r="1863" customFormat="false" ht="15" hidden="false" customHeight="false" outlineLevel="0" collapsed="false">
      <c r="A1863" s="62" t="n">
        <v>1862</v>
      </c>
      <c r="B1863" s="63" t="n">
        <v>46277.1463541667</v>
      </c>
      <c r="C1863" s="64" t="n">
        <v>46276</v>
      </c>
      <c r="D1863" s="62" t="s">
        <v>288</v>
      </c>
      <c r="E1863" s="62" t="s">
        <v>1112</v>
      </c>
      <c r="F1863" s="62" t="s">
        <v>865</v>
      </c>
      <c r="G1863" s="62" t="s">
        <v>866</v>
      </c>
      <c r="H1863" s="62" t="s">
        <v>46</v>
      </c>
      <c r="I1863" s="62" t="s">
        <v>47</v>
      </c>
      <c r="J1863" s="62" t="s">
        <v>146</v>
      </c>
      <c r="K1863" s="62" t="s">
        <v>209</v>
      </c>
      <c r="L1863" s="62" t="s">
        <v>148</v>
      </c>
      <c r="M1863" s="62" t="n">
        <v>0</v>
      </c>
      <c r="N1863" s="62" t="n">
        <v>2</v>
      </c>
      <c r="O1863" s="62" t="n">
        <v>2</v>
      </c>
      <c r="P1863" s="62" t="n">
        <v>0</v>
      </c>
      <c r="Q1863" s="62" t="n">
        <v>0</v>
      </c>
      <c r="R1863" s="62" t="n">
        <v>0</v>
      </c>
      <c r="S1863" s="62" t="n">
        <v>0</v>
      </c>
      <c r="T1863" s="62" t="n">
        <v>2</v>
      </c>
      <c r="U1863" s="62"/>
      <c r="V1863" s="62"/>
      <c r="W1863" s="62"/>
      <c r="X1863" s="62"/>
      <c r="Y1863" s="62"/>
      <c r="Z1863" s="62" t="s">
        <v>3436</v>
      </c>
      <c r="AA1863" s="62" t="s">
        <v>3331</v>
      </c>
      <c r="AB1863" s="62" t="n">
        <v>1</v>
      </c>
      <c r="AC1863" s="62" t="n">
        <v>0</v>
      </c>
      <c r="AD1863" s="62" t="n">
        <v>1</v>
      </c>
      <c r="AE1863" s="62" t="n">
        <f aca="false">IF(AND(Dashboard!$C$9="Yes",AC1863=1),0,1)</f>
        <v>1</v>
      </c>
      <c r="AF1863" s="62" t="n">
        <v>0</v>
      </c>
    </row>
    <row r="1864" customFormat="false" ht="15" hidden="false" customHeight="false" outlineLevel="0" collapsed="false">
      <c r="A1864" s="62" t="n">
        <v>1863</v>
      </c>
      <c r="B1864" s="63" t="n">
        <v>46277.1465509259</v>
      </c>
      <c r="C1864" s="64" t="n">
        <v>46276</v>
      </c>
      <c r="D1864" s="62" t="s">
        <v>288</v>
      </c>
      <c r="E1864" s="62" t="s">
        <v>865</v>
      </c>
      <c r="F1864" s="62" t="s">
        <v>865</v>
      </c>
      <c r="G1864" s="62" t="s">
        <v>866</v>
      </c>
      <c r="H1864" s="62" t="s">
        <v>46</v>
      </c>
      <c r="I1864" s="62" t="s">
        <v>47</v>
      </c>
      <c r="J1864" s="62" t="s">
        <v>146</v>
      </c>
      <c r="K1864" s="62" t="s">
        <v>209</v>
      </c>
      <c r="L1864" s="62" t="s">
        <v>148</v>
      </c>
      <c r="M1864" s="62" t="n">
        <v>0</v>
      </c>
      <c r="N1864" s="62" t="n">
        <v>2</v>
      </c>
      <c r="O1864" s="62" t="n">
        <v>2</v>
      </c>
      <c r="P1864" s="62" t="n">
        <v>0</v>
      </c>
      <c r="Q1864" s="62" t="n">
        <v>0</v>
      </c>
      <c r="R1864" s="62" t="n">
        <v>0</v>
      </c>
      <c r="S1864" s="62" t="n">
        <v>2</v>
      </c>
      <c r="T1864" s="62" t="n">
        <v>0</v>
      </c>
      <c r="U1864" s="62"/>
      <c r="V1864" s="62"/>
      <c r="W1864" s="62"/>
      <c r="X1864" s="62"/>
      <c r="Y1864" s="62"/>
      <c r="Z1864" s="62" t="s">
        <v>3436</v>
      </c>
      <c r="AA1864" s="62" t="s">
        <v>2483</v>
      </c>
      <c r="AB1864" s="62" t="n">
        <v>1</v>
      </c>
      <c r="AC1864" s="62" t="n">
        <v>0</v>
      </c>
      <c r="AD1864" s="62" t="n">
        <v>1</v>
      </c>
      <c r="AE1864" s="62" t="n">
        <f aca="false">IF(AND(Dashboard!$C$9="Yes",AC1864=1),0,1)</f>
        <v>1</v>
      </c>
      <c r="AF1864" s="62" t="n">
        <v>0</v>
      </c>
    </row>
    <row r="1865" customFormat="false" ht="15" hidden="false" customHeight="false" outlineLevel="0" collapsed="false">
      <c r="A1865" s="62" t="n">
        <v>1864</v>
      </c>
      <c r="B1865" s="63" t="n">
        <v>46277.1700578704</v>
      </c>
      <c r="C1865" s="64" t="n">
        <v>46276</v>
      </c>
      <c r="D1865" s="62" t="s">
        <v>288</v>
      </c>
      <c r="E1865" s="62" t="s">
        <v>518</v>
      </c>
      <c r="F1865" s="62" t="s">
        <v>518</v>
      </c>
      <c r="G1865" s="62" t="s">
        <v>519</v>
      </c>
      <c r="H1865" s="62" t="s">
        <v>52</v>
      </c>
      <c r="I1865" s="62" t="s">
        <v>47</v>
      </c>
      <c r="J1865" s="62" t="s">
        <v>146</v>
      </c>
      <c r="K1865" s="62" t="s">
        <v>147</v>
      </c>
      <c r="L1865" s="62" t="s">
        <v>148</v>
      </c>
      <c r="M1865" s="62" t="n">
        <v>0</v>
      </c>
      <c r="N1865" s="62" t="n">
        <v>1</v>
      </c>
      <c r="O1865" s="62" t="n">
        <v>1</v>
      </c>
      <c r="P1865" s="62" t="n">
        <v>0</v>
      </c>
      <c r="Q1865" s="62" t="n">
        <v>1</v>
      </c>
      <c r="R1865" s="62" t="n">
        <v>0</v>
      </c>
      <c r="S1865" s="62" t="n">
        <v>0</v>
      </c>
      <c r="T1865" s="62" t="n">
        <v>0</v>
      </c>
      <c r="U1865" s="62"/>
      <c r="V1865" s="62"/>
      <c r="W1865" s="62"/>
      <c r="X1865" s="62"/>
      <c r="Y1865" s="62"/>
      <c r="Z1865" s="62" t="s">
        <v>3437</v>
      </c>
      <c r="AA1865" s="62" t="s">
        <v>3438</v>
      </c>
      <c r="AB1865" s="62" t="n">
        <v>1</v>
      </c>
      <c r="AC1865" s="62" t="n">
        <v>0</v>
      </c>
      <c r="AD1865" s="62" t="n">
        <v>1</v>
      </c>
      <c r="AE1865" s="62" t="n">
        <f aca="false">IF(AND(Dashboard!$C$9="Yes",AC1865=1),0,1)</f>
        <v>1</v>
      </c>
      <c r="AF1865" s="62" t="n">
        <v>0</v>
      </c>
    </row>
    <row r="1866" customFormat="false" ht="15" hidden="false" customHeight="false" outlineLevel="0" collapsed="false">
      <c r="A1866" s="62" t="n">
        <v>1865</v>
      </c>
      <c r="B1866" s="63" t="n">
        <v>46277.1741435185</v>
      </c>
      <c r="C1866" s="64" t="n">
        <v>46276</v>
      </c>
      <c r="D1866" s="62" t="s">
        <v>288</v>
      </c>
      <c r="E1866" s="62" t="s">
        <v>2476</v>
      </c>
      <c r="F1866" s="62" t="s">
        <v>2476</v>
      </c>
      <c r="G1866" s="62" t="s">
        <v>2477</v>
      </c>
      <c r="H1866" s="62" t="s">
        <v>51</v>
      </c>
      <c r="I1866" s="62" t="s">
        <v>47</v>
      </c>
      <c r="J1866" s="62" t="s">
        <v>146</v>
      </c>
      <c r="K1866" s="62" t="s">
        <v>209</v>
      </c>
      <c r="L1866" s="62" t="s">
        <v>4</v>
      </c>
      <c r="M1866" s="62" t="n">
        <v>1</v>
      </c>
      <c r="N1866" s="62" t="n">
        <v>0</v>
      </c>
      <c r="O1866" s="62" t="n">
        <v>1</v>
      </c>
      <c r="P1866" s="62" t="n">
        <v>0</v>
      </c>
      <c r="Q1866" s="62" t="n">
        <v>0</v>
      </c>
      <c r="R1866" s="62" t="n">
        <v>0</v>
      </c>
      <c r="S1866" s="62" t="n">
        <v>0</v>
      </c>
      <c r="T1866" s="62" t="n">
        <v>0</v>
      </c>
      <c r="U1866" s="62" t="s">
        <v>2056</v>
      </c>
      <c r="V1866" s="62" t="s">
        <v>2057</v>
      </c>
      <c r="W1866" s="62" t="s">
        <v>15</v>
      </c>
      <c r="X1866" s="62" t="s">
        <v>2164</v>
      </c>
      <c r="Y1866" s="62" t="s">
        <v>2165</v>
      </c>
      <c r="Z1866" s="62" t="s">
        <v>3439</v>
      </c>
      <c r="AA1866" s="62" t="s">
        <v>3440</v>
      </c>
      <c r="AB1866" s="62" t="n">
        <v>1</v>
      </c>
      <c r="AC1866" s="62" t="n">
        <v>0</v>
      </c>
      <c r="AD1866" s="62" t="n">
        <v>1</v>
      </c>
      <c r="AE1866" s="62" t="n">
        <f aca="false">IF(AND(Dashboard!$C$9="Yes",AC1866=1),0,1)</f>
        <v>1</v>
      </c>
      <c r="AF1866" s="62" t="n">
        <v>0</v>
      </c>
    </row>
    <row r="1867" customFormat="false" ht="15" hidden="false" customHeight="false" outlineLevel="0" collapsed="false">
      <c r="A1867" s="62" t="n">
        <v>1866</v>
      </c>
      <c r="B1867" s="63" t="n">
        <v>46277.1759375</v>
      </c>
      <c r="C1867" s="64" t="n">
        <v>46276</v>
      </c>
      <c r="D1867" s="62" t="s">
        <v>288</v>
      </c>
      <c r="E1867" s="62" t="s">
        <v>999</v>
      </c>
      <c r="F1867" s="62" t="s">
        <v>999</v>
      </c>
      <c r="G1867" s="62" t="s">
        <v>1000</v>
      </c>
      <c r="H1867" s="62" t="s">
        <v>46</v>
      </c>
      <c r="I1867" s="62" t="s">
        <v>47</v>
      </c>
      <c r="J1867" s="62" t="s">
        <v>146</v>
      </c>
      <c r="K1867" s="62" t="s">
        <v>209</v>
      </c>
      <c r="L1867" s="62" t="s">
        <v>4</v>
      </c>
      <c r="M1867" s="62" t="n">
        <v>1</v>
      </c>
      <c r="N1867" s="62" t="n">
        <v>0</v>
      </c>
      <c r="O1867" s="62" t="n">
        <v>1</v>
      </c>
      <c r="P1867" s="62" t="n">
        <v>0</v>
      </c>
      <c r="Q1867" s="62" t="n">
        <v>0</v>
      </c>
      <c r="R1867" s="62" t="n">
        <v>0</v>
      </c>
      <c r="S1867" s="62" t="n">
        <v>0</v>
      </c>
      <c r="T1867" s="62" t="n">
        <v>0</v>
      </c>
      <c r="U1867" s="62" t="s">
        <v>2056</v>
      </c>
      <c r="V1867" s="62" t="s">
        <v>2057</v>
      </c>
      <c r="W1867" s="62" t="s">
        <v>15</v>
      </c>
      <c r="X1867" s="62" t="s">
        <v>2058</v>
      </c>
      <c r="Y1867" s="62" t="s">
        <v>2059</v>
      </c>
      <c r="Z1867" s="62" t="s">
        <v>3441</v>
      </c>
      <c r="AA1867" s="62" t="s">
        <v>3442</v>
      </c>
      <c r="AB1867" s="62" t="n">
        <v>1</v>
      </c>
      <c r="AC1867" s="62" t="n">
        <v>0</v>
      </c>
      <c r="AD1867" s="62" t="n">
        <v>1</v>
      </c>
      <c r="AE1867" s="62" t="n">
        <f aca="false">IF(AND(Dashboard!$C$9="Yes",AC1867=1),0,1)</f>
        <v>1</v>
      </c>
      <c r="AF1867" s="62" t="n">
        <v>1</v>
      </c>
    </row>
    <row r="1868" customFormat="false" ht="15" hidden="false" customHeight="false" outlineLevel="0" collapsed="false">
      <c r="A1868" s="62" t="n">
        <v>1867</v>
      </c>
      <c r="B1868" s="63" t="n">
        <v>46277.2047800926</v>
      </c>
      <c r="C1868" s="64" t="n">
        <v>46276</v>
      </c>
      <c r="D1868" s="62" t="s">
        <v>288</v>
      </c>
      <c r="E1868" s="62" t="s">
        <v>2959</v>
      </c>
      <c r="F1868" s="62" t="s">
        <v>2959</v>
      </c>
      <c r="G1868" s="62" t="s">
        <v>2960</v>
      </c>
      <c r="H1868" s="62" t="s">
        <v>58</v>
      </c>
      <c r="I1868" s="62" t="s">
        <v>49</v>
      </c>
      <c r="J1868" s="62" t="s">
        <v>146</v>
      </c>
      <c r="K1868" s="62" t="s">
        <v>175</v>
      </c>
      <c r="L1868" s="62" t="s">
        <v>148</v>
      </c>
      <c r="M1868" s="62" t="n">
        <v>0</v>
      </c>
      <c r="N1868" s="62" t="n">
        <v>1</v>
      </c>
      <c r="O1868" s="62" t="n">
        <v>1</v>
      </c>
      <c r="P1868" s="62" t="n">
        <v>0</v>
      </c>
      <c r="Q1868" s="62" t="n">
        <v>1</v>
      </c>
      <c r="R1868" s="62" t="n">
        <v>0</v>
      </c>
      <c r="S1868" s="62" t="n">
        <v>0</v>
      </c>
      <c r="T1868" s="62" t="n">
        <v>0</v>
      </c>
      <c r="U1868" s="62"/>
      <c r="V1868" s="62"/>
      <c r="W1868" s="62"/>
      <c r="X1868" s="62"/>
      <c r="Y1868" s="62"/>
      <c r="Z1868" s="62" t="s">
        <v>3443</v>
      </c>
      <c r="AA1868" s="62" t="s">
        <v>3444</v>
      </c>
      <c r="AB1868" s="62" t="n">
        <v>0</v>
      </c>
      <c r="AC1868" s="62" t="n">
        <v>0</v>
      </c>
      <c r="AD1868" s="62" t="n">
        <v>1</v>
      </c>
      <c r="AE1868" s="62" t="n">
        <f aca="false">IF(AND(Dashboard!$C$9="Yes",AC1868=1),0,1)</f>
        <v>1</v>
      </c>
      <c r="AF1868" s="62" t="n">
        <v>0</v>
      </c>
    </row>
    <row r="1869" customFormat="false" ht="15" hidden="false" customHeight="false" outlineLevel="0" collapsed="false">
      <c r="A1869" s="62" t="n">
        <v>1868</v>
      </c>
      <c r="B1869" s="63" t="n">
        <v>46277.2053240741</v>
      </c>
      <c r="C1869" s="64" t="n">
        <v>46276</v>
      </c>
      <c r="D1869" s="62" t="s">
        <v>288</v>
      </c>
      <c r="E1869" s="62" t="s">
        <v>2395</v>
      </c>
      <c r="F1869" s="62" t="s">
        <v>2395</v>
      </c>
      <c r="G1869" s="62" t="s">
        <v>2396</v>
      </c>
      <c r="H1869" s="62" t="s">
        <v>59</v>
      </c>
      <c r="I1869" s="62" t="s">
        <v>47</v>
      </c>
      <c r="J1869" s="62" t="s">
        <v>146</v>
      </c>
      <c r="K1869" s="62" t="s">
        <v>209</v>
      </c>
      <c r="L1869" s="62" t="s">
        <v>4</v>
      </c>
      <c r="M1869" s="62" t="n">
        <v>1</v>
      </c>
      <c r="N1869" s="62" t="n">
        <v>0</v>
      </c>
      <c r="O1869" s="62" t="n">
        <v>1</v>
      </c>
      <c r="P1869" s="62" t="n">
        <v>0</v>
      </c>
      <c r="Q1869" s="62" t="n">
        <v>0</v>
      </c>
      <c r="R1869" s="62" t="n">
        <v>0</v>
      </c>
      <c r="S1869" s="62" t="n">
        <v>0</v>
      </c>
      <c r="T1869" s="62" t="n">
        <v>0</v>
      </c>
      <c r="U1869" s="62" t="s">
        <v>2056</v>
      </c>
      <c r="V1869" s="62" t="s">
        <v>2057</v>
      </c>
      <c r="W1869" s="62" t="s">
        <v>15</v>
      </c>
      <c r="X1869" s="62" t="s">
        <v>2058</v>
      </c>
      <c r="Y1869" s="62" t="s">
        <v>2103</v>
      </c>
      <c r="Z1869" s="62" t="s">
        <v>3445</v>
      </c>
      <c r="AA1869" s="62" t="s">
        <v>3446</v>
      </c>
      <c r="AB1869" s="62" t="n">
        <v>1</v>
      </c>
      <c r="AC1869" s="62" t="n">
        <v>0</v>
      </c>
      <c r="AD1869" s="62" t="n">
        <v>1</v>
      </c>
      <c r="AE1869" s="62" t="n">
        <f aca="false">IF(AND(Dashboard!$C$9="Yes",AC1869=1),0,1)</f>
        <v>1</v>
      </c>
      <c r="AF1869" s="62" t="n">
        <v>0</v>
      </c>
    </row>
    <row r="1870" customFormat="false" ht="15" hidden="false" customHeight="false" outlineLevel="0" collapsed="false">
      <c r="A1870" s="62" t="n">
        <v>1869</v>
      </c>
      <c r="B1870" s="63" t="n">
        <v>46277.2141087963</v>
      </c>
      <c r="C1870" s="64" t="n">
        <v>46276</v>
      </c>
      <c r="D1870" s="62" t="s">
        <v>288</v>
      </c>
      <c r="E1870" s="62" t="s">
        <v>3447</v>
      </c>
      <c r="F1870" s="62" t="s">
        <v>3447</v>
      </c>
      <c r="G1870" s="62" t="s">
        <v>3448</v>
      </c>
      <c r="H1870" s="62" t="s">
        <v>46</v>
      </c>
      <c r="I1870" s="62" t="s">
        <v>47</v>
      </c>
      <c r="J1870" s="62" t="s">
        <v>146</v>
      </c>
      <c r="K1870" s="62" t="s">
        <v>209</v>
      </c>
      <c r="L1870" s="62" t="s">
        <v>4</v>
      </c>
      <c r="M1870" s="62" t="n">
        <v>1</v>
      </c>
      <c r="N1870" s="62" t="n">
        <v>0</v>
      </c>
      <c r="O1870" s="62" t="n">
        <v>1</v>
      </c>
      <c r="P1870" s="62" t="n">
        <v>0</v>
      </c>
      <c r="Q1870" s="62" t="n">
        <v>0</v>
      </c>
      <c r="R1870" s="62" t="n">
        <v>0</v>
      </c>
      <c r="S1870" s="62" t="n">
        <v>0</v>
      </c>
      <c r="T1870" s="62" t="n">
        <v>0</v>
      </c>
      <c r="U1870" s="62" t="s">
        <v>15</v>
      </c>
      <c r="V1870" s="62" t="s">
        <v>2057</v>
      </c>
      <c r="W1870" s="62" t="s">
        <v>15</v>
      </c>
      <c r="X1870" s="62" t="s">
        <v>2058</v>
      </c>
      <c r="Y1870" s="62" t="s">
        <v>2103</v>
      </c>
      <c r="Z1870" s="62" t="s">
        <v>3449</v>
      </c>
      <c r="AA1870" s="62" t="s">
        <v>3450</v>
      </c>
      <c r="AB1870" s="62" t="n">
        <v>1</v>
      </c>
      <c r="AC1870" s="62" t="n">
        <v>0</v>
      </c>
      <c r="AD1870" s="62" t="n">
        <v>1</v>
      </c>
      <c r="AE1870" s="62" t="n">
        <f aca="false">IF(AND(Dashboard!$C$9="Yes",AC1870=1),0,1)</f>
        <v>1</v>
      </c>
      <c r="AF1870" s="62" t="n">
        <v>1</v>
      </c>
    </row>
    <row r="1871" customFormat="false" ht="15" hidden="false" customHeight="false" outlineLevel="0" collapsed="false">
      <c r="A1871" s="62" t="n">
        <v>1870</v>
      </c>
      <c r="B1871" s="63" t="n">
        <v>46277.2231597222</v>
      </c>
      <c r="C1871" s="64" t="n">
        <v>46276</v>
      </c>
      <c r="D1871" s="62" t="s">
        <v>288</v>
      </c>
      <c r="E1871" s="62" t="s">
        <v>2119</v>
      </c>
      <c r="F1871" s="62" t="s">
        <v>2119</v>
      </c>
      <c r="G1871" s="62" t="s">
        <v>2120</v>
      </c>
      <c r="H1871" s="62" t="s">
        <v>52</v>
      </c>
      <c r="I1871" s="62" t="s">
        <v>47</v>
      </c>
      <c r="J1871" s="62" t="s">
        <v>146</v>
      </c>
      <c r="K1871" s="62" t="s">
        <v>147</v>
      </c>
      <c r="L1871" s="62" t="s">
        <v>148</v>
      </c>
      <c r="M1871" s="62" t="n">
        <v>0</v>
      </c>
      <c r="N1871" s="62" t="n">
        <v>2</v>
      </c>
      <c r="O1871" s="62" t="n">
        <v>2</v>
      </c>
      <c r="P1871" s="62" t="n">
        <v>1</v>
      </c>
      <c r="Q1871" s="62" t="n">
        <v>1</v>
      </c>
      <c r="R1871" s="62" t="n">
        <v>0</v>
      </c>
      <c r="S1871" s="62" t="n">
        <v>0</v>
      </c>
      <c r="T1871" s="62" t="n">
        <v>0</v>
      </c>
      <c r="U1871" s="62"/>
      <c r="V1871" s="62"/>
      <c r="W1871" s="62"/>
      <c r="X1871" s="62"/>
      <c r="Y1871" s="62"/>
      <c r="Z1871" s="62" t="s">
        <v>3451</v>
      </c>
      <c r="AA1871" s="62" t="s">
        <v>3027</v>
      </c>
      <c r="AB1871" s="62" t="n">
        <v>0</v>
      </c>
      <c r="AC1871" s="62" t="n">
        <v>0</v>
      </c>
      <c r="AD1871" s="62" t="n">
        <v>1</v>
      </c>
      <c r="AE1871" s="62" t="n">
        <f aca="false">IF(AND(Dashboard!$C$9="Yes",AC1871=1),0,1)</f>
        <v>1</v>
      </c>
      <c r="AF1871" s="62" t="n">
        <v>1</v>
      </c>
    </row>
    <row r="1872" customFormat="false" ht="15" hidden="false" customHeight="false" outlineLevel="0" collapsed="false">
      <c r="A1872" s="62" t="n">
        <v>1871</v>
      </c>
      <c r="B1872" s="63" t="n">
        <v>46277.2655439815</v>
      </c>
      <c r="C1872" s="64" t="n">
        <v>46276</v>
      </c>
      <c r="D1872" s="62" t="s">
        <v>288</v>
      </c>
      <c r="E1872" s="62" t="s">
        <v>790</v>
      </c>
      <c r="F1872" s="62" t="s">
        <v>791</v>
      </c>
      <c r="G1872" s="62" t="s">
        <v>153</v>
      </c>
      <c r="H1872" s="62" t="s">
        <v>153</v>
      </c>
      <c r="I1872" s="62" t="s">
        <v>153</v>
      </c>
      <c r="J1872" s="62" t="s">
        <v>64</v>
      </c>
      <c r="K1872" s="62" t="s">
        <v>64</v>
      </c>
      <c r="L1872" s="62" t="s">
        <v>148</v>
      </c>
      <c r="M1872" s="62" t="n">
        <v>0</v>
      </c>
      <c r="N1872" s="62" t="n">
        <v>1</v>
      </c>
      <c r="O1872" s="62" t="n">
        <v>1</v>
      </c>
      <c r="P1872" s="62" t="n">
        <v>1</v>
      </c>
      <c r="Q1872" s="62" t="n">
        <v>0</v>
      </c>
      <c r="R1872" s="62" t="n">
        <v>0</v>
      </c>
      <c r="S1872" s="62" t="n">
        <v>0</v>
      </c>
      <c r="T1872" s="62" t="n">
        <v>0</v>
      </c>
      <c r="U1872" s="62"/>
      <c r="V1872" s="62"/>
      <c r="W1872" s="62"/>
      <c r="X1872" s="62"/>
      <c r="Y1872" s="62"/>
      <c r="Z1872" s="62" t="s">
        <v>3452</v>
      </c>
      <c r="AA1872" s="62" t="s">
        <v>3453</v>
      </c>
      <c r="AB1872" s="62" t="n">
        <v>1</v>
      </c>
      <c r="AC1872" s="62" t="n">
        <v>0</v>
      </c>
      <c r="AD1872" s="62" t="n">
        <v>0</v>
      </c>
      <c r="AE1872" s="62" t="n">
        <f aca="false">IF(AND(Dashboard!$C$9="Yes",AC1872=1),0,1)</f>
        <v>1</v>
      </c>
      <c r="AF1872" s="62" t="n">
        <v>0</v>
      </c>
    </row>
    <row r="1873" customFormat="false" ht="15" hidden="false" customHeight="false" outlineLevel="0" collapsed="false">
      <c r="A1873" s="62" t="n">
        <v>1872</v>
      </c>
      <c r="B1873" s="63" t="n">
        <v>46277.6323611111</v>
      </c>
      <c r="C1873" s="64" t="n">
        <v>46277</v>
      </c>
      <c r="D1873" s="62" t="s">
        <v>358</v>
      </c>
      <c r="E1873" s="62" t="s">
        <v>586</v>
      </c>
      <c r="F1873" s="62" t="s">
        <v>586</v>
      </c>
      <c r="G1873" s="62" t="s">
        <v>587</v>
      </c>
      <c r="H1873" s="62" t="s">
        <v>57</v>
      </c>
      <c r="I1873" s="62" t="s">
        <v>47</v>
      </c>
      <c r="J1873" s="62" t="s">
        <v>146</v>
      </c>
      <c r="K1873" s="62" t="s">
        <v>175</v>
      </c>
      <c r="L1873" s="62" t="s">
        <v>148</v>
      </c>
      <c r="M1873" s="62" t="n">
        <v>0</v>
      </c>
      <c r="N1873" s="62" t="n">
        <v>1</v>
      </c>
      <c r="O1873" s="62" t="n">
        <v>1</v>
      </c>
      <c r="P1873" s="62" t="n">
        <v>0</v>
      </c>
      <c r="Q1873" s="62" t="n">
        <v>0</v>
      </c>
      <c r="R1873" s="62" t="n">
        <v>1</v>
      </c>
      <c r="S1873" s="62" t="n">
        <v>0</v>
      </c>
      <c r="T1873" s="62" t="n">
        <v>0</v>
      </c>
      <c r="U1873" s="62"/>
      <c r="V1873" s="62"/>
      <c r="W1873" s="62"/>
      <c r="X1873" s="62"/>
      <c r="Y1873" s="62"/>
      <c r="Z1873" s="62" t="s">
        <v>3454</v>
      </c>
      <c r="AA1873" s="62" t="s">
        <v>3455</v>
      </c>
      <c r="AB1873" s="62" t="n">
        <v>1</v>
      </c>
      <c r="AC1873" s="62" t="n">
        <v>0</v>
      </c>
      <c r="AD1873" s="62" t="n">
        <v>1</v>
      </c>
      <c r="AE1873" s="62" t="n">
        <f aca="false">IF(AND(Dashboard!$C$9="Yes",AC1873=1),0,1)</f>
        <v>1</v>
      </c>
      <c r="AF1873" s="62" t="n">
        <v>1</v>
      </c>
    </row>
    <row r="1874" customFormat="false" ht="15" hidden="false" customHeight="false" outlineLevel="0" collapsed="false">
      <c r="A1874" s="62" t="n">
        <v>1873</v>
      </c>
      <c r="B1874" s="63" t="n">
        <v>46277.6372800926</v>
      </c>
      <c r="C1874" s="64" t="n">
        <v>46277</v>
      </c>
      <c r="D1874" s="62" t="s">
        <v>358</v>
      </c>
      <c r="E1874" s="62" t="s">
        <v>2943</v>
      </c>
      <c r="F1874" s="62" t="s">
        <v>2943</v>
      </c>
      <c r="G1874" s="62" t="s">
        <v>2944</v>
      </c>
      <c r="H1874" s="62" t="s">
        <v>48</v>
      </c>
      <c r="I1874" s="62" t="s">
        <v>49</v>
      </c>
      <c r="J1874" s="62" t="s">
        <v>146</v>
      </c>
      <c r="K1874" s="62" t="s">
        <v>209</v>
      </c>
      <c r="L1874" s="62" t="s">
        <v>148</v>
      </c>
      <c r="M1874" s="62" t="n">
        <v>0</v>
      </c>
      <c r="N1874" s="62" t="n">
        <v>1</v>
      </c>
      <c r="O1874" s="62" t="n">
        <v>1</v>
      </c>
      <c r="P1874" s="62" t="n">
        <v>1</v>
      </c>
      <c r="Q1874" s="62" t="n">
        <v>0</v>
      </c>
      <c r="R1874" s="62" t="n">
        <v>0</v>
      </c>
      <c r="S1874" s="62" t="n">
        <v>0</v>
      </c>
      <c r="T1874" s="62" t="n">
        <v>0</v>
      </c>
      <c r="U1874" s="62"/>
      <c r="V1874" s="62"/>
      <c r="W1874" s="62"/>
      <c r="X1874" s="62"/>
      <c r="Y1874" s="62"/>
      <c r="Z1874" s="62" t="s">
        <v>3456</v>
      </c>
      <c r="AA1874" s="62" t="s">
        <v>3457</v>
      </c>
      <c r="AB1874" s="62" t="n">
        <v>1</v>
      </c>
      <c r="AC1874" s="62" t="n">
        <v>0</v>
      </c>
      <c r="AD1874" s="62" t="n">
        <v>1</v>
      </c>
      <c r="AE1874" s="62" t="n">
        <f aca="false">IF(AND(Dashboard!$C$9="Yes",AC1874=1),0,1)</f>
        <v>1</v>
      </c>
      <c r="AF1874" s="62" t="n">
        <v>1</v>
      </c>
    </row>
    <row r="1875" customFormat="false" ht="15" hidden="false" customHeight="false" outlineLevel="0" collapsed="false">
      <c r="A1875" s="62" t="n">
        <v>1874</v>
      </c>
      <c r="B1875" s="63" t="n">
        <v>46277.6596527778</v>
      </c>
      <c r="C1875" s="64" t="n">
        <v>46277</v>
      </c>
      <c r="D1875" s="62" t="s">
        <v>358</v>
      </c>
      <c r="E1875" s="62" t="s">
        <v>2228</v>
      </c>
      <c r="F1875" s="62" t="s">
        <v>2228</v>
      </c>
      <c r="G1875" s="62" t="s">
        <v>2229</v>
      </c>
      <c r="H1875" s="62" t="s">
        <v>58</v>
      </c>
      <c r="I1875" s="62" t="s">
        <v>49</v>
      </c>
      <c r="J1875" s="62" t="s">
        <v>146</v>
      </c>
      <c r="K1875" s="62" t="s">
        <v>209</v>
      </c>
      <c r="L1875" s="62" t="s">
        <v>4</v>
      </c>
      <c r="M1875" s="62" t="n">
        <v>1</v>
      </c>
      <c r="N1875" s="62" t="n">
        <v>0</v>
      </c>
      <c r="O1875" s="62" t="n">
        <v>1</v>
      </c>
      <c r="P1875" s="62" t="n">
        <v>0</v>
      </c>
      <c r="Q1875" s="62" t="n">
        <v>0</v>
      </c>
      <c r="R1875" s="62" t="n">
        <v>0</v>
      </c>
      <c r="S1875" s="62" t="n">
        <v>0</v>
      </c>
      <c r="T1875" s="62" t="n">
        <v>0</v>
      </c>
      <c r="U1875" s="62" t="s">
        <v>2056</v>
      </c>
      <c r="V1875" s="62" t="s">
        <v>2057</v>
      </c>
      <c r="W1875" s="62" t="s">
        <v>2056</v>
      </c>
      <c r="X1875" s="62" t="s">
        <v>2058</v>
      </c>
      <c r="Y1875" s="62" t="s">
        <v>2253</v>
      </c>
      <c r="Z1875" s="62" t="s">
        <v>3458</v>
      </c>
      <c r="AA1875" s="62" t="s">
        <v>3459</v>
      </c>
      <c r="AB1875" s="62" t="n">
        <v>1</v>
      </c>
      <c r="AC1875" s="62" t="n">
        <v>0</v>
      </c>
      <c r="AD1875" s="62" t="n">
        <v>1</v>
      </c>
      <c r="AE1875" s="62" t="n">
        <f aca="false">IF(AND(Dashboard!$C$9="Yes",AC1875=1),0,1)</f>
        <v>1</v>
      </c>
      <c r="AF1875" s="62" t="n">
        <v>1</v>
      </c>
    </row>
    <row r="1876" customFormat="false" ht="15" hidden="false" customHeight="false" outlineLevel="0" collapsed="false">
      <c r="A1876" s="62" t="n">
        <v>1875</v>
      </c>
      <c r="B1876" s="63" t="n">
        <v>46277.6946643519</v>
      </c>
      <c r="C1876" s="64" t="n">
        <v>46277</v>
      </c>
      <c r="D1876" s="62" t="s">
        <v>358</v>
      </c>
      <c r="E1876" s="62" t="s">
        <v>203</v>
      </c>
      <c r="F1876" s="62" t="s">
        <v>203</v>
      </c>
      <c r="G1876" s="62" t="s">
        <v>204</v>
      </c>
      <c r="H1876" s="62" t="s">
        <v>51</v>
      </c>
      <c r="I1876" s="62" t="s">
        <v>47</v>
      </c>
      <c r="J1876" s="62" t="s">
        <v>146</v>
      </c>
      <c r="K1876" s="62" t="s">
        <v>147</v>
      </c>
      <c r="L1876" s="62" t="s">
        <v>148</v>
      </c>
      <c r="M1876" s="62" t="n">
        <v>0</v>
      </c>
      <c r="N1876" s="62" t="n">
        <v>1</v>
      </c>
      <c r="O1876" s="62" t="n">
        <v>1</v>
      </c>
      <c r="P1876" s="62" t="n">
        <v>1</v>
      </c>
      <c r="Q1876" s="62" t="n">
        <v>0</v>
      </c>
      <c r="R1876" s="62" t="n">
        <v>0</v>
      </c>
      <c r="S1876" s="62" t="n">
        <v>0</v>
      </c>
      <c r="T1876" s="62" t="n">
        <v>0</v>
      </c>
      <c r="U1876" s="62"/>
      <c r="V1876" s="62"/>
      <c r="W1876" s="62"/>
      <c r="X1876" s="62"/>
      <c r="Y1876" s="62"/>
      <c r="Z1876" s="62" t="s">
        <v>3460</v>
      </c>
      <c r="AA1876" s="62" t="s">
        <v>485</v>
      </c>
      <c r="AB1876" s="62" t="n">
        <v>0</v>
      </c>
      <c r="AC1876" s="62" t="n">
        <v>0</v>
      </c>
      <c r="AD1876" s="62" t="n">
        <v>1</v>
      </c>
      <c r="AE1876" s="62" t="n">
        <f aca="false">IF(AND(Dashboard!$C$9="Yes",AC1876=1),0,1)</f>
        <v>1</v>
      </c>
      <c r="AF1876" s="62" t="n">
        <v>1</v>
      </c>
    </row>
    <row r="1877" customFormat="false" ht="15" hidden="false" customHeight="false" outlineLevel="0" collapsed="false">
      <c r="A1877" s="62" t="n">
        <v>1876</v>
      </c>
      <c r="B1877" s="63" t="n">
        <v>46277.698287037</v>
      </c>
      <c r="C1877" s="64" t="n">
        <v>46277</v>
      </c>
      <c r="D1877" s="62" t="s">
        <v>358</v>
      </c>
      <c r="E1877" s="62" t="s">
        <v>2943</v>
      </c>
      <c r="F1877" s="62" t="s">
        <v>2943</v>
      </c>
      <c r="G1877" s="62" t="s">
        <v>2944</v>
      </c>
      <c r="H1877" s="62" t="s">
        <v>48</v>
      </c>
      <c r="I1877" s="62" t="s">
        <v>49</v>
      </c>
      <c r="J1877" s="62" t="s">
        <v>146</v>
      </c>
      <c r="K1877" s="62" t="s">
        <v>209</v>
      </c>
      <c r="L1877" s="62" t="s">
        <v>148</v>
      </c>
      <c r="M1877" s="62" t="n">
        <v>0</v>
      </c>
      <c r="N1877" s="62" t="n">
        <v>1</v>
      </c>
      <c r="O1877" s="62" t="n">
        <v>1</v>
      </c>
      <c r="P1877" s="62" t="n">
        <v>1</v>
      </c>
      <c r="Q1877" s="62" t="n">
        <v>0</v>
      </c>
      <c r="R1877" s="62" t="n">
        <v>0</v>
      </c>
      <c r="S1877" s="62" t="n">
        <v>0</v>
      </c>
      <c r="T1877" s="62" t="n">
        <v>0</v>
      </c>
      <c r="U1877" s="62"/>
      <c r="V1877" s="62"/>
      <c r="W1877" s="62"/>
      <c r="X1877" s="62"/>
      <c r="Y1877" s="62"/>
      <c r="Z1877" s="62" t="s">
        <v>3461</v>
      </c>
      <c r="AA1877" s="62" t="s">
        <v>3462</v>
      </c>
      <c r="AB1877" s="62" t="n">
        <v>1</v>
      </c>
      <c r="AC1877" s="62" t="n">
        <v>0</v>
      </c>
      <c r="AD1877" s="62" t="n">
        <v>1</v>
      </c>
      <c r="AE1877" s="62" t="n">
        <f aca="false">IF(AND(Dashboard!$C$9="Yes",AC1877=1),0,1)</f>
        <v>1</v>
      </c>
      <c r="AF1877" s="62" t="n">
        <v>0</v>
      </c>
    </row>
    <row r="1878" customFormat="false" ht="15" hidden="false" customHeight="false" outlineLevel="0" collapsed="false">
      <c r="A1878" s="62" t="n">
        <v>1877</v>
      </c>
      <c r="B1878" s="63" t="n">
        <v>46277.7058217593</v>
      </c>
      <c r="C1878" s="64" t="n">
        <v>46277</v>
      </c>
      <c r="D1878" s="62" t="s">
        <v>358</v>
      </c>
      <c r="E1878" s="62" t="s">
        <v>2228</v>
      </c>
      <c r="F1878" s="62" t="s">
        <v>2228</v>
      </c>
      <c r="G1878" s="62" t="s">
        <v>2229</v>
      </c>
      <c r="H1878" s="62" t="s">
        <v>58</v>
      </c>
      <c r="I1878" s="62" t="s">
        <v>49</v>
      </c>
      <c r="J1878" s="62" t="s">
        <v>146</v>
      </c>
      <c r="K1878" s="62" t="s">
        <v>209</v>
      </c>
      <c r="L1878" s="62" t="s">
        <v>148</v>
      </c>
      <c r="M1878" s="62" t="n">
        <v>0</v>
      </c>
      <c r="N1878" s="62" t="n">
        <v>1</v>
      </c>
      <c r="O1878" s="62" t="n">
        <v>1</v>
      </c>
      <c r="P1878" s="62" t="n">
        <v>0</v>
      </c>
      <c r="Q1878" s="62" t="n">
        <v>0</v>
      </c>
      <c r="R1878" s="62" t="n">
        <v>1</v>
      </c>
      <c r="S1878" s="62" t="n">
        <v>0</v>
      </c>
      <c r="T1878" s="62" t="n">
        <v>0</v>
      </c>
      <c r="U1878" s="62"/>
      <c r="V1878" s="62"/>
      <c r="W1878" s="62"/>
      <c r="X1878" s="62"/>
      <c r="Y1878" s="62"/>
      <c r="Z1878" s="62" t="s">
        <v>3463</v>
      </c>
      <c r="AA1878" s="62" t="s">
        <v>3464</v>
      </c>
      <c r="AB1878" s="62" t="n">
        <v>1</v>
      </c>
      <c r="AC1878" s="62" t="n">
        <v>0</v>
      </c>
      <c r="AD1878" s="62" t="n">
        <v>1</v>
      </c>
      <c r="AE1878" s="62" t="n">
        <f aca="false">IF(AND(Dashboard!$C$9="Yes",AC1878=1),0,1)</f>
        <v>1</v>
      </c>
      <c r="AF1878" s="62" t="n">
        <v>0</v>
      </c>
    </row>
    <row r="1879" customFormat="false" ht="15" hidden="false" customHeight="false" outlineLevel="0" collapsed="false">
      <c r="A1879" s="62" t="n">
        <v>1878</v>
      </c>
      <c r="B1879" s="63" t="n">
        <v>46277.7623148148</v>
      </c>
      <c r="C1879" s="64" t="n">
        <v>46277</v>
      </c>
      <c r="D1879" s="62" t="s">
        <v>358</v>
      </c>
      <c r="E1879" s="62" t="s">
        <v>2101</v>
      </c>
      <c r="F1879" s="62" t="s">
        <v>2101</v>
      </c>
      <c r="G1879" s="62" t="s">
        <v>2102</v>
      </c>
      <c r="H1879" s="62" t="s">
        <v>52</v>
      </c>
      <c r="I1879" s="62" t="s">
        <v>47</v>
      </c>
      <c r="J1879" s="62" t="s">
        <v>146</v>
      </c>
      <c r="K1879" s="62" t="s">
        <v>147</v>
      </c>
      <c r="L1879" s="62" t="s">
        <v>148</v>
      </c>
      <c r="M1879" s="62" t="n">
        <v>0</v>
      </c>
      <c r="N1879" s="62" t="n">
        <v>1</v>
      </c>
      <c r="O1879" s="62" t="n">
        <v>1</v>
      </c>
      <c r="P1879" s="62" t="n">
        <v>0</v>
      </c>
      <c r="Q1879" s="62" t="n">
        <v>1</v>
      </c>
      <c r="R1879" s="62" t="n">
        <v>0</v>
      </c>
      <c r="S1879" s="62" t="n">
        <v>0</v>
      </c>
      <c r="T1879" s="62" t="n">
        <v>0</v>
      </c>
      <c r="U1879" s="62"/>
      <c r="V1879" s="62"/>
      <c r="W1879" s="62"/>
      <c r="X1879" s="62"/>
      <c r="Y1879" s="62"/>
      <c r="Z1879" s="62" t="s">
        <v>3465</v>
      </c>
      <c r="AA1879" s="62" t="s">
        <v>3116</v>
      </c>
      <c r="AB1879" s="62" t="n">
        <v>1</v>
      </c>
      <c r="AC1879" s="62" t="n">
        <v>0</v>
      </c>
      <c r="AD1879" s="62" t="n">
        <v>1</v>
      </c>
      <c r="AE1879" s="62" t="n">
        <f aca="false">IF(AND(Dashboard!$C$9="Yes",AC1879=1),0,1)</f>
        <v>1</v>
      </c>
      <c r="AF1879" s="62" t="n">
        <v>1</v>
      </c>
    </row>
    <row r="1880" customFormat="false" ht="15" hidden="false" customHeight="false" outlineLevel="0" collapsed="false">
      <c r="A1880" s="62" t="n">
        <v>1879</v>
      </c>
      <c r="B1880" s="63" t="n">
        <v>46277.7687847222</v>
      </c>
      <c r="C1880" s="64" t="n">
        <v>46277</v>
      </c>
      <c r="D1880" s="62" t="s">
        <v>358</v>
      </c>
      <c r="E1880" s="62" t="s">
        <v>586</v>
      </c>
      <c r="F1880" s="62" t="s">
        <v>586</v>
      </c>
      <c r="G1880" s="62" t="s">
        <v>587</v>
      </c>
      <c r="H1880" s="62" t="s">
        <v>57</v>
      </c>
      <c r="I1880" s="62" t="s">
        <v>47</v>
      </c>
      <c r="J1880" s="62" t="s">
        <v>146</v>
      </c>
      <c r="K1880" s="62" t="s">
        <v>175</v>
      </c>
      <c r="L1880" s="62" t="s">
        <v>148</v>
      </c>
      <c r="M1880" s="62" t="n">
        <v>0</v>
      </c>
      <c r="N1880" s="62" t="n">
        <v>1</v>
      </c>
      <c r="O1880" s="62" t="n">
        <v>1</v>
      </c>
      <c r="P1880" s="62" t="n">
        <v>1</v>
      </c>
      <c r="Q1880" s="62" t="n">
        <v>0</v>
      </c>
      <c r="R1880" s="62" t="n">
        <v>0</v>
      </c>
      <c r="S1880" s="62" t="n">
        <v>0</v>
      </c>
      <c r="T1880" s="62" t="n">
        <v>0</v>
      </c>
      <c r="U1880" s="62"/>
      <c r="V1880" s="62"/>
      <c r="W1880" s="62"/>
      <c r="X1880" s="62"/>
      <c r="Y1880" s="62"/>
      <c r="Z1880" s="62" t="s">
        <v>3466</v>
      </c>
      <c r="AA1880" s="62" t="s">
        <v>3467</v>
      </c>
      <c r="AB1880" s="62" t="n">
        <v>1</v>
      </c>
      <c r="AC1880" s="62" t="n">
        <v>0</v>
      </c>
      <c r="AD1880" s="62" t="n">
        <v>1</v>
      </c>
      <c r="AE1880" s="62" t="n">
        <f aca="false">IF(AND(Dashboard!$C$9="Yes",AC1880=1),0,1)</f>
        <v>1</v>
      </c>
      <c r="AF1880" s="62" t="n">
        <v>0</v>
      </c>
    </row>
    <row r="1881" customFormat="false" ht="15" hidden="false" customHeight="false" outlineLevel="0" collapsed="false">
      <c r="A1881" s="62" t="n">
        <v>1880</v>
      </c>
      <c r="B1881" s="63" t="n">
        <v>46277.7741319445</v>
      </c>
      <c r="C1881" s="64" t="n">
        <v>46277</v>
      </c>
      <c r="D1881" s="62" t="s">
        <v>358</v>
      </c>
      <c r="E1881" s="62" t="s">
        <v>2101</v>
      </c>
      <c r="F1881" s="62" t="s">
        <v>2101</v>
      </c>
      <c r="G1881" s="62" t="s">
        <v>2102</v>
      </c>
      <c r="H1881" s="62" t="s">
        <v>52</v>
      </c>
      <c r="I1881" s="62" t="s">
        <v>47</v>
      </c>
      <c r="J1881" s="62" t="s">
        <v>146</v>
      </c>
      <c r="K1881" s="62" t="s">
        <v>147</v>
      </c>
      <c r="L1881" s="62" t="s">
        <v>148</v>
      </c>
      <c r="M1881" s="62" t="n">
        <v>0</v>
      </c>
      <c r="N1881" s="62" t="n">
        <v>1</v>
      </c>
      <c r="O1881" s="62" t="n">
        <v>1</v>
      </c>
      <c r="P1881" s="62" t="n">
        <v>1</v>
      </c>
      <c r="Q1881" s="62" t="n">
        <v>0</v>
      </c>
      <c r="R1881" s="62" t="n">
        <v>0</v>
      </c>
      <c r="S1881" s="62" t="n">
        <v>0</v>
      </c>
      <c r="T1881" s="62" t="n">
        <v>0</v>
      </c>
      <c r="U1881" s="62"/>
      <c r="V1881" s="62"/>
      <c r="W1881" s="62"/>
      <c r="X1881" s="62"/>
      <c r="Y1881" s="62"/>
      <c r="Z1881" s="62" t="s">
        <v>3468</v>
      </c>
      <c r="AA1881" s="62" t="s">
        <v>3116</v>
      </c>
      <c r="AB1881" s="62" t="n">
        <v>1</v>
      </c>
      <c r="AC1881" s="62" t="n">
        <v>0</v>
      </c>
      <c r="AD1881" s="62" t="n">
        <v>1</v>
      </c>
      <c r="AE1881" s="62" t="n">
        <f aca="false">IF(AND(Dashboard!$C$9="Yes",AC1881=1),0,1)</f>
        <v>1</v>
      </c>
      <c r="AF1881" s="62" t="n">
        <v>0</v>
      </c>
    </row>
    <row r="1882" customFormat="false" ht="15" hidden="false" customHeight="false" outlineLevel="0" collapsed="false">
      <c r="A1882" s="62" t="n">
        <v>1881</v>
      </c>
      <c r="B1882" s="63" t="n">
        <v>46277.7743055556</v>
      </c>
      <c r="C1882" s="64" t="n">
        <v>46277</v>
      </c>
      <c r="D1882" s="62" t="s">
        <v>358</v>
      </c>
      <c r="E1882" s="62" t="s">
        <v>910</v>
      </c>
      <c r="F1882" s="62" t="s">
        <v>910</v>
      </c>
      <c r="G1882" s="62" t="s">
        <v>911</v>
      </c>
      <c r="H1882" s="62" t="s">
        <v>59</v>
      </c>
      <c r="I1882" s="62" t="s">
        <v>47</v>
      </c>
      <c r="J1882" s="62" t="s">
        <v>146</v>
      </c>
      <c r="K1882" s="62" t="s">
        <v>175</v>
      </c>
      <c r="L1882" s="62" t="s">
        <v>4</v>
      </c>
      <c r="M1882" s="62" t="n">
        <v>1</v>
      </c>
      <c r="N1882" s="62" t="n">
        <v>0</v>
      </c>
      <c r="O1882" s="62" t="n">
        <v>1</v>
      </c>
      <c r="P1882" s="62" t="n">
        <v>0</v>
      </c>
      <c r="Q1882" s="62" t="n">
        <v>0</v>
      </c>
      <c r="R1882" s="62" t="n">
        <v>0</v>
      </c>
      <c r="S1882" s="62" t="n">
        <v>0</v>
      </c>
      <c r="T1882" s="62" t="n">
        <v>0</v>
      </c>
      <c r="U1882" s="62" t="s">
        <v>15</v>
      </c>
      <c r="V1882" s="62" t="s">
        <v>2057</v>
      </c>
      <c r="W1882" s="62" t="s">
        <v>15</v>
      </c>
      <c r="X1882" s="62" t="s">
        <v>2125</v>
      </c>
      <c r="Y1882" s="62" t="s">
        <v>2059</v>
      </c>
      <c r="Z1882" s="62" t="s">
        <v>3469</v>
      </c>
      <c r="AA1882" s="62" t="s">
        <v>3470</v>
      </c>
      <c r="AB1882" s="62" t="n">
        <v>1</v>
      </c>
      <c r="AC1882" s="62" t="n">
        <v>0</v>
      </c>
      <c r="AD1882" s="62" t="n">
        <v>1</v>
      </c>
      <c r="AE1882" s="62" t="n">
        <f aca="false">IF(AND(Dashboard!$C$9="Yes",AC1882=1),0,1)</f>
        <v>1</v>
      </c>
      <c r="AF1882" s="62" t="n">
        <v>1</v>
      </c>
    </row>
    <row r="1883" customFormat="false" ht="15" hidden="false" customHeight="false" outlineLevel="0" collapsed="false">
      <c r="A1883" s="62" t="n">
        <v>1882</v>
      </c>
      <c r="B1883" s="63" t="n">
        <v>46277.7745717593</v>
      </c>
      <c r="C1883" s="64" t="n">
        <v>46277</v>
      </c>
      <c r="D1883" s="62" t="s">
        <v>358</v>
      </c>
      <c r="E1883" s="62" t="s">
        <v>3018</v>
      </c>
      <c r="F1883" s="62" t="s">
        <v>3018</v>
      </c>
      <c r="G1883" s="62" t="s">
        <v>3019</v>
      </c>
      <c r="H1883" s="62" t="s">
        <v>58</v>
      </c>
      <c r="I1883" s="62" t="s">
        <v>49</v>
      </c>
      <c r="J1883" s="62" t="s">
        <v>146</v>
      </c>
      <c r="K1883" s="62" t="s">
        <v>175</v>
      </c>
      <c r="L1883" s="62" t="s">
        <v>148</v>
      </c>
      <c r="M1883" s="62" t="n">
        <v>0</v>
      </c>
      <c r="N1883" s="62" t="n">
        <v>1</v>
      </c>
      <c r="O1883" s="62" t="n">
        <v>1</v>
      </c>
      <c r="P1883" s="62" t="n">
        <v>0</v>
      </c>
      <c r="Q1883" s="62" t="n">
        <v>1</v>
      </c>
      <c r="R1883" s="62" t="n">
        <v>0</v>
      </c>
      <c r="S1883" s="62" t="n">
        <v>0</v>
      </c>
      <c r="T1883" s="62" t="n">
        <v>0</v>
      </c>
      <c r="U1883" s="62"/>
      <c r="V1883" s="62"/>
      <c r="W1883" s="62"/>
      <c r="X1883" s="62"/>
      <c r="Y1883" s="62"/>
      <c r="Z1883" s="62" t="s">
        <v>3471</v>
      </c>
      <c r="AA1883" s="62" t="s">
        <v>3472</v>
      </c>
      <c r="AB1883" s="62" t="n">
        <v>1</v>
      </c>
      <c r="AC1883" s="62" t="n">
        <v>0</v>
      </c>
      <c r="AD1883" s="62" t="n">
        <v>1</v>
      </c>
      <c r="AE1883" s="62" t="n">
        <f aca="false">IF(AND(Dashboard!$C$9="Yes",AC1883=1),0,1)</f>
        <v>1</v>
      </c>
      <c r="AF1883" s="62" t="n">
        <v>1</v>
      </c>
    </row>
    <row r="1884" customFormat="false" ht="15" hidden="false" customHeight="false" outlineLevel="0" collapsed="false">
      <c r="A1884" s="62" t="n">
        <v>1883</v>
      </c>
      <c r="B1884" s="63" t="n">
        <v>46277.7756018519</v>
      </c>
      <c r="C1884" s="64" t="n">
        <v>46277</v>
      </c>
      <c r="D1884" s="62" t="s">
        <v>358</v>
      </c>
      <c r="E1884" s="62" t="s">
        <v>3371</v>
      </c>
      <c r="F1884" s="62" t="s">
        <v>3371</v>
      </c>
      <c r="G1884" s="62" t="s">
        <v>3372</v>
      </c>
      <c r="H1884" s="62" t="s">
        <v>48</v>
      </c>
      <c r="I1884" s="62" t="s">
        <v>49</v>
      </c>
      <c r="J1884" s="62" t="s">
        <v>146</v>
      </c>
      <c r="K1884" s="62" t="s">
        <v>209</v>
      </c>
      <c r="L1884" s="62" t="s">
        <v>148</v>
      </c>
      <c r="M1884" s="62" t="n">
        <v>0</v>
      </c>
      <c r="N1884" s="62" t="n">
        <v>1</v>
      </c>
      <c r="O1884" s="62" t="n">
        <v>1</v>
      </c>
      <c r="P1884" s="62" t="n">
        <v>1</v>
      </c>
      <c r="Q1884" s="62" t="n">
        <v>0</v>
      </c>
      <c r="R1884" s="62" t="n">
        <v>0</v>
      </c>
      <c r="S1884" s="62" t="n">
        <v>0</v>
      </c>
      <c r="T1884" s="62" t="n">
        <v>0</v>
      </c>
      <c r="U1884" s="62"/>
      <c r="V1884" s="62"/>
      <c r="W1884" s="62"/>
      <c r="X1884" s="62"/>
      <c r="Y1884" s="62"/>
      <c r="Z1884" s="62" t="s">
        <v>3473</v>
      </c>
      <c r="AA1884" s="62" t="s">
        <v>3474</v>
      </c>
      <c r="AB1884" s="62" t="n">
        <v>1</v>
      </c>
      <c r="AC1884" s="62" t="n">
        <v>0</v>
      </c>
      <c r="AD1884" s="62" t="n">
        <v>1</v>
      </c>
      <c r="AE1884" s="62" t="n">
        <f aca="false">IF(AND(Dashboard!$C$9="Yes",AC1884=1),0,1)</f>
        <v>1</v>
      </c>
      <c r="AF1884" s="62" t="n">
        <v>1</v>
      </c>
    </row>
    <row r="1885" customFormat="false" ht="15" hidden="false" customHeight="false" outlineLevel="0" collapsed="false">
      <c r="A1885" s="62" t="n">
        <v>1884</v>
      </c>
      <c r="B1885" s="63" t="n">
        <v>46277.8073148148</v>
      </c>
      <c r="C1885" s="64" t="n">
        <v>46277</v>
      </c>
      <c r="D1885" s="62" t="s">
        <v>358</v>
      </c>
      <c r="E1885" s="62" t="s">
        <v>2540</v>
      </c>
      <c r="F1885" s="62" t="s">
        <v>2540</v>
      </c>
      <c r="G1885" s="62" t="s">
        <v>2541</v>
      </c>
      <c r="H1885" s="62" t="s">
        <v>48</v>
      </c>
      <c r="I1885" s="62" t="s">
        <v>49</v>
      </c>
      <c r="J1885" s="62" t="s">
        <v>146</v>
      </c>
      <c r="K1885" s="62" t="s">
        <v>209</v>
      </c>
      <c r="L1885" s="62" t="s">
        <v>148</v>
      </c>
      <c r="M1885" s="62" t="n">
        <v>0</v>
      </c>
      <c r="N1885" s="62" t="n">
        <v>1</v>
      </c>
      <c r="O1885" s="62" t="n">
        <v>1</v>
      </c>
      <c r="P1885" s="62" t="n">
        <v>0</v>
      </c>
      <c r="Q1885" s="62" t="n">
        <v>0</v>
      </c>
      <c r="R1885" s="62" t="n">
        <v>0</v>
      </c>
      <c r="S1885" s="62" t="n">
        <v>0</v>
      </c>
      <c r="T1885" s="62" t="n">
        <v>1</v>
      </c>
      <c r="U1885" s="62"/>
      <c r="V1885" s="62"/>
      <c r="W1885" s="62"/>
      <c r="X1885" s="62"/>
      <c r="Y1885" s="62"/>
      <c r="Z1885" s="62" t="s">
        <v>3475</v>
      </c>
      <c r="AA1885" s="62" t="s">
        <v>237</v>
      </c>
      <c r="AB1885" s="62" t="n">
        <v>0</v>
      </c>
      <c r="AC1885" s="62" t="n">
        <v>0</v>
      </c>
      <c r="AD1885" s="62" t="n">
        <v>1</v>
      </c>
      <c r="AE1885" s="62" t="n">
        <f aca="false">IF(AND(Dashboard!$C$9="Yes",AC1885=1),0,1)</f>
        <v>1</v>
      </c>
      <c r="AF1885" s="62" t="n">
        <v>1</v>
      </c>
    </row>
    <row r="1886" customFormat="false" ht="15" hidden="false" customHeight="false" outlineLevel="0" collapsed="false">
      <c r="A1886" s="62" t="n">
        <v>1885</v>
      </c>
      <c r="B1886" s="63" t="n">
        <v>46277.8109259259</v>
      </c>
      <c r="C1886" s="64" t="n">
        <v>46277</v>
      </c>
      <c r="D1886" s="62" t="s">
        <v>358</v>
      </c>
      <c r="E1886" s="62" t="s">
        <v>255</v>
      </c>
      <c r="F1886" s="62" t="s">
        <v>255</v>
      </c>
      <c r="G1886" s="62" t="s">
        <v>256</v>
      </c>
      <c r="H1886" s="62" t="s">
        <v>57</v>
      </c>
      <c r="I1886" s="62" t="s">
        <v>47</v>
      </c>
      <c r="J1886" s="62" t="s">
        <v>146</v>
      </c>
      <c r="K1886" s="62" t="s">
        <v>147</v>
      </c>
      <c r="L1886" s="62" t="s">
        <v>148</v>
      </c>
      <c r="M1886" s="62" t="n">
        <v>0</v>
      </c>
      <c r="N1886" s="62" t="n">
        <v>1</v>
      </c>
      <c r="O1886" s="62" t="n">
        <v>1</v>
      </c>
      <c r="P1886" s="62" t="n">
        <v>1</v>
      </c>
      <c r="Q1886" s="62" t="n">
        <v>0</v>
      </c>
      <c r="R1886" s="62" t="n">
        <v>0</v>
      </c>
      <c r="S1886" s="62" t="n">
        <v>0</v>
      </c>
      <c r="T1886" s="62" t="n">
        <v>0</v>
      </c>
      <c r="U1886" s="62"/>
      <c r="V1886" s="62"/>
      <c r="W1886" s="62"/>
      <c r="X1886" s="62"/>
      <c r="Y1886" s="62"/>
      <c r="Z1886" s="62" t="s">
        <v>3476</v>
      </c>
      <c r="AA1886" s="62" t="s">
        <v>3477</v>
      </c>
      <c r="AB1886" s="62" t="n">
        <v>1</v>
      </c>
      <c r="AC1886" s="62" t="n">
        <v>0</v>
      </c>
      <c r="AD1886" s="62" t="n">
        <v>1</v>
      </c>
      <c r="AE1886" s="62" t="n">
        <f aca="false">IF(AND(Dashboard!$C$9="Yes",AC1886=1),0,1)</f>
        <v>1</v>
      </c>
      <c r="AF1886" s="62" t="n">
        <v>1</v>
      </c>
    </row>
    <row r="1887" customFormat="false" ht="15" hidden="false" customHeight="false" outlineLevel="0" collapsed="false">
      <c r="A1887" s="62" t="n">
        <v>1886</v>
      </c>
      <c r="B1887" s="63" t="n">
        <v>46277.8251967593</v>
      </c>
      <c r="C1887" s="64" t="n">
        <v>46277</v>
      </c>
      <c r="D1887" s="62" t="s">
        <v>358</v>
      </c>
      <c r="E1887" s="62" t="s">
        <v>650</v>
      </c>
      <c r="F1887" s="62" t="s">
        <v>650</v>
      </c>
      <c r="G1887" s="62" t="s">
        <v>651</v>
      </c>
      <c r="H1887" s="62" t="s">
        <v>59</v>
      </c>
      <c r="I1887" s="62" t="s">
        <v>47</v>
      </c>
      <c r="J1887" s="62" t="s">
        <v>146</v>
      </c>
      <c r="K1887" s="62" t="s">
        <v>209</v>
      </c>
      <c r="L1887" s="62" t="s">
        <v>4</v>
      </c>
      <c r="M1887" s="62" t="n">
        <v>1</v>
      </c>
      <c r="N1887" s="62" t="n">
        <v>0</v>
      </c>
      <c r="O1887" s="62" t="n">
        <v>1</v>
      </c>
      <c r="P1887" s="62" t="n">
        <v>0</v>
      </c>
      <c r="Q1887" s="62" t="n">
        <v>0</v>
      </c>
      <c r="R1887" s="62" t="n">
        <v>0</v>
      </c>
      <c r="S1887" s="62" t="n">
        <v>0</v>
      </c>
      <c r="T1887" s="62" t="n">
        <v>0</v>
      </c>
      <c r="U1887" s="62" t="s">
        <v>2056</v>
      </c>
      <c r="V1887" s="62" t="s">
        <v>2057</v>
      </c>
      <c r="W1887" s="62" t="s">
        <v>2056</v>
      </c>
      <c r="X1887" s="62" t="s">
        <v>2125</v>
      </c>
      <c r="Y1887" s="62" t="s">
        <v>2181</v>
      </c>
      <c r="Z1887" s="62" t="s">
        <v>3478</v>
      </c>
      <c r="AA1887" s="62" t="s">
        <v>3479</v>
      </c>
      <c r="AB1887" s="62" t="n">
        <v>1</v>
      </c>
      <c r="AC1887" s="62" t="n">
        <v>0</v>
      </c>
      <c r="AD1887" s="62" t="n">
        <v>1</v>
      </c>
      <c r="AE1887" s="62" t="n">
        <f aca="false">IF(AND(Dashboard!$C$9="Yes",AC1887=1),0,1)</f>
        <v>1</v>
      </c>
      <c r="AF1887" s="62" t="n">
        <v>1</v>
      </c>
    </row>
    <row r="1888" customFormat="false" ht="15" hidden="false" customHeight="false" outlineLevel="0" collapsed="false">
      <c r="A1888" s="62" t="n">
        <v>1887</v>
      </c>
      <c r="B1888" s="63" t="n">
        <v>46277.8259837963</v>
      </c>
      <c r="C1888" s="64" t="n">
        <v>46277</v>
      </c>
      <c r="D1888" s="62" t="s">
        <v>358</v>
      </c>
      <c r="E1888" s="62" t="s">
        <v>892</v>
      </c>
      <c r="F1888" s="62" t="s">
        <v>892</v>
      </c>
      <c r="G1888" s="62" t="s">
        <v>893</v>
      </c>
      <c r="H1888" s="62" t="s">
        <v>46</v>
      </c>
      <c r="I1888" s="62" t="s">
        <v>47</v>
      </c>
      <c r="J1888" s="62" t="s">
        <v>146</v>
      </c>
      <c r="K1888" s="62" t="s">
        <v>209</v>
      </c>
      <c r="L1888" s="62" t="s">
        <v>148</v>
      </c>
      <c r="M1888" s="62" t="n">
        <v>0</v>
      </c>
      <c r="N1888" s="62" t="n">
        <v>1</v>
      </c>
      <c r="O1888" s="62" t="n">
        <v>1</v>
      </c>
      <c r="P1888" s="62" t="n">
        <v>1</v>
      </c>
      <c r="Q1888" s="62" t="n">
        <v>0</v>
      </c>
      <c r="R1888" s="62" t="n">
        <v>0</v>
      </c>
      <c r="S1888" s="62" t="n">
        <v>0</v>
      </c>
      <c r="T1888" s="62" t="n">
        <v>0</v>
      </c>
      <c r="U1888" s="62"/>
      <c r="V1888" s="62"/>
      <c r="W1888" s="62"/>
      <c r="X1888" s="62"/>
      <c r="Y1888" s="62"/>
      <c r="Z1888" s="62" t="s">
        <v>3480</v>
      </c>
      <c r="AA1888" s="62" t="s">
        <v>337</v>
      </c>
      <c r="AB1888" s="62" t="n">
        <v>0</v>
      </c>
      <c r="AC1888" s="62" t="n">
        <v>0</v>
      </c>
      <c r="AD1888" s="62" t="n">
        <v>1</v>
      </c>
      <c r="AE1888" s="62" t="n">
        <f aca="false">IF(AND(Dashboard!$C$9="Yes",AC1888=1),0,1)</f>
        <v>1</v>
      </c>
      <c r="AF1888" s="62" t="n">
        <v>1</v>
      </c>
    </row>
    <row r="1889" customFormat="false" ht="15" hidden="false" customHeight="false" outlineLevel="0" collapsed="false">
      <c r="A1889" s="62" t="n">
        <v>1888</v>
      </c>
      <c r="B1889" s="63" t="n">
        <v>46277.8269907407</v>
      </c>
      <c r="C1889" s="64" t="n">
        <v>46277</v>
      </c>
      <c r="D1889" s="62" t="s">
        <v>358</v>
      </c>
      <c r="E1889" s="62" t="s">
        <v>3181</v>
      </c>
      <c r="F1889" s="62" t="s">
        <v>3181</v>
      </c>
      <c r="G1889" s="62" t="s">
        <v>3182</v>
      </c>
      <c r="H1889" s="62" t="s">
        <v>58</v>
      </c>
      <c r="I1889" s="62" t="s">
        <v>49</v>
      </c>
      <c r="J1889" s="62" t="s">
        <v>146</v>
      </c>
      <c r="K1889" s="62" t="s">
        <v>209</v>
      </c>
      <c r="L1889" s="62" t="s">
        <v>148</v>
      </c>
      <c r="M1889" s="62" t="n">
        <v>0</v>
      </c>
      <c r="N1889" s="62" t="n">
        <v>1</v>
      </c>
      <c r="O1889" s="62" t="n">
        <v>1</v>
      </c>
      <c r="P1889" s="62" t="n">
        <v>0</v>
      </c>
      <c r="Q1889" s="62" t="n">
        <v>1</v>
      </c>
      <c r="R1889" s="62" t="n">
        <v>0</v>
      </c>
      <c r="S1889" s="62" t="n">
        <v>0</v>
      </c>
      <c r="T1889" s="62" t="n">
        <v>0</v>
      </c>
      <c r="U1889" s="62"/>
      <c r="V1889" s="62"/>
      <c r="W1889" s="62"/>
      <c r="X1889" s="62"/>
      <c r="Y1889" s="62"/>
      <c r="Z1889" s="62" t="s">
        <v>3481</v>
      </c>
      <c r="AA1889" s="62" t="s">
        <v>3482</v>
      </c>
      <c r="AB1889" s="62" t="n">
        <v>0</v>
      </c>
      <c r="AC1889" s="62" t="n">
        <v>0</v>
      </c>
      <c r="AD1889" s="62" t="n">
        <v>1</v>
      </c>
      <c r="AE1889" s="62" t="n">
        <f aca="false">IF(AND(Dashboard!$C$9="Yes",AC1889=1),0,1)</f>
        <v>1</v>
      </c>
      <c r="AF1889" s="62" t="n">
        <v>1</v>
      </c>
    </row>
    <row r="1890" customFormat="false" ht="15" hidden="false" customHeight="false" outlineLevel="0" collapsed="false">
      <c r="A1890" s="62" t="n">
        <v>1889</v>
      </c>
      <c r="B1890" s="63" t="n">
        <v>46277.8403472222</v>
      </c>
      <c r="C1890" s="64" t="n">
        <v>46277</v>
      </c>
      <c r="D1890" s="62" t="s">
        <v>358</v>
      </c>
      <c r="E1890" s="62" t="s">
        <v>2101</v>
      </c>
      <c r="F1890" s="62" t="s">
        <v>2101</v>
      </c>
      <c r="G1890" s="62" t="s">
        <v>2102</v>
      </c>
      <c r="H1890" s="62" t="s">
        <v>52</v>
      </c>
      <c r="I1890" s="62" t="s">
        <v>47</v>
      </c>
      <c r="J1890" s="62" t="s">
        <v>146</v>
      </c>
      <c r="K1890" s="62" t="s">
        <v>147</v>
      </c>
      <c r="L1890" s="62" t="s">
        <v>148</v>
      </c>
      <c r="M1890" s="62" t="n">
        <v>0</v>
      </c>
      <c r="N1890" s="62" t="n">
        <v>2</v>
      </c>
      <c r="O1890" s="62" t="n">
        <v>2</v>
      </c>
      <c r="P1890" s="62" t="n">
        <v>1</v>
      </c>
      <c r="Q1890" s="62" t="n">
        <v>1</v>
      </c>
      <c r="R1890" s="62" t="n">
        <v>0</v>
      </c>
      <c r="S1890" s="62" t="n">
        <v>0</v>
      </c>
      <c r="T1890" s="62" t="n">
        <v>0</v>
      </c>
      <c r="U1890" s="62"/>
      <c r="V1890" s="62"/>
      <c r="W1890" s="62"/>
      <c r="X1890" s="62"/>
      <c r="Y1890" s="62"/>
      <c r="Z1890" s="62" t="s">
        <v>3483</v>
      </c>
      <c r="AA1890" s="62" t="s">
        <v>3116</v>
      </c>
      <c r="AB1890" s="62" t="n">
        <v>1</v>
      </c>
      <c r="AC1890" s="62" t="n">
        <v>0</v>
      </c>
      <c r="AD1890" s="62" t="n">
        <v>1</v>
      </c>
      <c r="AE1890" s="62" t="n">
        <f aca="false">IF(AND(Dashboard!$C$9="Yes",AC1890=1),0,1)</f>
        <v>1</v>
      </c>
      <c r="AF1890" s="62" t="n">
        <v>0</v>
      </c>
    </row>
    <row r="1891" customFormat="false" ht="15" hidden="false" customHeight="false" outlineLevel="0" collapsed="false">
      <c r="A1891" s="62" t="n">
        <v>1890</v>
      </c>
      <c r="B1891" s="63" t="n">
        <v>46277.8418402778</v>
      </c>
      <c r="C1891" s="64" t="n">
        <v>46277</v>
      </c>
      <c r="D1891" s="62" t="s">
        <v>358</v>
      </c>
      <c r="E1891" s="62" t="s">
        <v>1155</v>
      </c>
      <c r="F1891" s="62" t="s">
        <v>1155</v>
      </c>
      <c r="G1891" s="62" t="s">
        <v>1156</v>
      </c>
      <c r="H1891" s="62" t="s">
        <v>59</v>
      </c>
      <c r="I1891" s="62" t="s">
        <v>47</v>
      </c>
      <c r="J1891" s="62" t="s">
        <v>146</v>
      </c>
      <c r="K1891" s="62" t="s">
        <v>209</v>
      </c>
      <c r="L1891" s="62" t="s">
        <v>148</v>
      </c>
      <c r="M1891" s="62" t="n">
        <v>0</v>
      </c>
      <c r="N1891" s="62" t="n">
        <v>1</v>
      </c>
      <c r="O1891" s="62" t="n">
        <v>1</v>
      </c>
      <c r="P1891" s="62" t="n">
        <v>0</v>
      </c>
      <c r="Q1891" s="62" t="n">
        <v>0</v>
      </c>
      <c r="R1891" s="62" t="n">
        <v>0</v>
      </c>
      <c r="S1891" s="62" t="n">
        <v>1</v>
      </c>
      <c r="T1891" s="62" t="n">
        <v>0</v>
      </c>
      <c r="U1891" s="62"/>
      <c r="V1891" s="62"/>
      <c r="W1891" s="62"/>
      <c r="X1891" s="62"/>
      <c r="Y1891" s="62"/>
      <c r="Z1891" s="62" t="s">
        <v>3484</v>
      </c>
      <c r="AA1891" s="62" t="s">
        <v>3485</v>
      </c>
      <c r="AB1891" s="62" t="n">
        <v>0</v>
      </c>
      <c r="AC1891" s="62" t="n">
        <v>0</v>
      </c>
      <c r="AD1891" s="62" t="n">
        <v>1</v>
      </c>
      <c r="AE1891" s="62" t="n">
        <f aca="false">IF(AND(Dashboard!$C$9="Yes",AC1891=1),0,1)</f>
        <v>1</v>
      </c>
      <c r="AF1891" s="62" t="n">
        <v>1</v>
      </c>
    </row>
    <row r="1892" customFormat="false" ht="15" hidden="false" customHeight="false" outlineLevel="0" collapsed="false">
      <c r="A1892" s="62" t="n">
        <v>1891</v>
      </c>
      <c r="B1892" s="63" t="n">
        <v>46277.8438657407</v>
      </c>
      <c r="C1892" s="64" t="n">
        <v>46277</v>
      </c>
      <c r="D1892" s="62" t="s">
        <v>358</v>
      </c>
      <c r="E1892" s="62" t="s">
        <v>3226</v>
      </c>
      <c r="F1892" s="62" t="s">
        <v>3226</v>
      </c>
      <c r="G1892" s="62" t="s">
        <v>3227</v>
      </c>
      <c r="H1892" s="62" t="s">
        <v>46</v>
      </c>
      <c r="I1892" s="62" t="s">
        <v>47</v>
      </c>
      <c r="J1892" s="62" t="s">
        <v>146</v>
      </c>
      <c r="K1892" s="62" t="s">
        <v>209</v>
      </c>
      <c r="L1892" s="62" t="s">
        <v>4</v>
      </c>
      <c r="M1892" s="62" t="n">
        <v>1</v>
      </c>
      <c r="N1892" s="62" t="n">
        <v>0</v>
      </c>
      <c r="O1892" s="62" t="n">
        <v>1</v>
      </c>
      <c r="P1892" s="62" t="n">
        <v>0</v>
      </c>
      <c r="Q1892" s="62" t="n">
        <v>0</v>
      </c>
      <c r="R1892" s="62" t="n">
        <v>0</v>
      </c>
      <c r="S1892" s="62" t="n">
        <v>0</v>
      </c>
      <c r="T1892" s="62" t="n">
        <v>0</v>
      </c>
      <c r="U1892" s="62" t="s">
        <v>15</v>
      </c>
      <c r="V1892" s="62" t="s">
        <v>2057</v>
      </c>
      <c r="W1892" s="62" t="s">
        <v>2056</v>
      </c>
      <c r="X1892" s="62" t="s">
        <v>2058</v>
      </c>
      <c r="Y1892" s="62" t="s">
        <v>2059</v>
      </c>
      <c r="Z1892" s="62" t="s">
        <v>3486</v>
      </c>
      <c r="AA1892" s="62" t="s">
        <v>3487</v>
      </c>
      <c r="AB1892" s="62" t="n">
        <v>1</v>
      </c>
      <c r="AC1892" s="62" t="n">
        <v>0</v>
      </c>
      <c r="AD1892" s="62" t="n">
        <v>1</v>
      </c>
      <c r="AE1892" s="62" t="n">
        <f aca="false">IF(AND(Dashboard!$C$9="Yes",AC1892=1),0,1)</f>
        <v>1</v>
      </c>
      <c r="AF1892" s="62" t="n">
        <v>1</v>
      </c>
    </row>
    <row r="1893" customFormat="false" ht="15" hidden="false" customHeight="false" outlineLevel="0" collapsed="false">
      <c r="A1893" s="62" t="n">
        <v>1892</v>
      </c>
      <c r="B1893" s="63" t="n">
        <v>46277.8507407407</v>
      </c>
      <c r="C1893" s="64" t="n">
        <v>46277</v>
      </c>
      <c r="D1893" s="62" t="s">
        <v>358</v>
      </c>
      <c r="E1893" s="62" t="s">
        <v>3226</v>
      </c>
      <c r="F1893" s="62" t="s">
        <v>3226</v>
      </c>
      <c r="G1893" s="62" t="s">
        <v>3227</v>
      </c>
      <c r="H1893" s="62" t="s">
        <v>46</v>
      </c>
      <c r="I1893" s="62" t="s">
        <v>47</v>
      </c>
      <c r="J1893" s="62" t="s">
        <v>146</v>
      </c>
      <c r="K1893" s="62" t="s">
        <v>209</v>
      </c>
      <c r="L1893" s="62" t="s">
        <v>148</v>
      </c>
      <c r="M1893" s="62" t="n">
        <v>0</v>
      </c>
      <c r="N1893" s="62" t="n">
        <v>1</v>
      </c>
      <c r="O1893" s="62" t="n">
        <v>1</v>
      </c>
      <c r="P1893" s="62" t="n">
        <v>0</v>
      </c>
      <c r="Q1893" s="62" t="n">
        <v>1</v>
      </c>
      <c r="R1893" s="62" t="n">
        <v>0</v>
      </c>
      <c r="S1893" s="62" t="n">
        <v>0</v>
      </c>
      <c r="T1893" s="62" t="n">
        <v>0</v>
      </c>
      <c r="U1893" s="62"/>
      <c r="V1893" s="62"/>
      <c r="W1893" s="62"/>
      <c r="X1893" s="62"/>
      <c r="Y1893" s="62"/>
      <c r="Z1893" s="62" t="s">
        <v>3486</v>
      </c>
      <c r="AA1893" s="62" t="s">
        <v>3488</v>
      </c>
      <c r="AB1893" s="62" t="n">
        <v>1</v>
      </c>
      <c r="AC1893" s="62" t="n">
        <v>0</v>
      </c>
      <c r="AD1893" s="62" t="n">
        <v>1</v>
      </c>
      <c r="AE1893" s="62" t="n">
        <f aca="false">IF(AND(Dashboard!$C$9="Yes",AC1893=1),0,1)</f>
        <v>1</v>
      </c>
      <c r="AF1893" s="62" t="n">
        <v>0</v>
      </c>
    </row>
    <row r="1894" customFormat="false" ht="15" hidden="false" customHeight="false" outlineLevel="0" collapsed="false">
      <c r="A1894" s="62" t="n">
        <v>1893</v>
      </c>
      <c r="B1894" s="63" t="n">
        <v>46277.8598958333</v>
      </c>
      <c r="C1894" s="64" t="n">
        <v>46277</v>
      </c>
      <c r="D1894" s="62" t="s">
        <v>358</v>
      </c>
      <c r="E1894" s="62" t="s">
        <v>2101</v>
      </c>
      <c r="F1894" s="62" t="s">
        <v>2101</v>
      </c>
      <c r="G1894" s="62" t="s">
        <v>2102</v>
      </c>
      <c r="H1894" s="62" t="s">
        <v>52</v>
      </c>
      <c r="I1894" s="62" t="s">
        <v>47</v>
      </c>
      <c r="J1894" s="62" t="s">
        <v>146</v>
      </c>
      <c r="K1894" s="62" t="s">
        <v>147</v>
      </c>
      <c r="L1894" s="62" t="s">
        <v>148</v>
      </c>
      <c r="M1894" s="62" t="n">
        <v>0</v>
      </c>
      <c r="N1894" s="62" t="n">
        <v>2</v>
      </c>
      <c r="O1894" s="62" t="n">
        <v>2</v>
      </c>
      <c r="P1894" s="62" t="n">
        <v>1</v>
      </c>
      <c r="Q1894" s="62" t="n">
        <v>1</v>
      </c>
      <c r="R1894" s="62" t="n">
        <v>0</v>
      </c>
      <c r="S1894" s="62" t="n">
        <v>0</v>
      </c>
      <c r="T1894" s="62" t="n">
        <v>0</v>
      </c>
      <c r="U1894" s="62"/>
      <c r="V1894" s="62"/>
      <c r="W1894" s="62"/>
      <c r="X1894" s="62"/>
      <c r="Y1894" s="62"/>
      <c r="Z1894" s="62" t="s">
        <v>3489</v>
      </c>
      <c r="AA1894" s="62" t="s">
        <v>3116</v>
      </c>
      <c r="AB1894" s="62" t="n">
        <v>1</v>
      </c>
      <c r="AC1894" s="62" t="n">
        <v>0</v>
      </c>
      <c r="AD1894" s="62" t="n">
        <v>1</v>
      </c>
      <c r="AE1894" s="62" t="n">
        <f aca="false">IF(AND(Dashboard!$C$9="Yes",AC1894=1),0,1)</f>
        <v>1</v>
      </c>
      <c r="AF1894" s="62" t="n">
        <v>0</v>
      </c>
    </row>
    <row r="1895" customFormat="false" ht="15" hidden="false" customHeight="false" outlineLevel="0" collapsed="false">
      <c r="A1895" s="62" t="n">
        <v>1894</v>
      </c>
      <c r="B1895" s="63" t="n">
        <v>46277.8600810185</v>
      </c>
      <c r="C1895" s="64" t="n">
        <v>46277</v>
      </c>
      <c r="D1895" s="62" t="s">
        <v>358</v>
      </c>
      <c r="E1895" s="62" t="s">
        <v>1445</v>
      </c>
      <c r="F1895" s="62" t="s">
        <v>1445</v>
      </c>
      <c r="G1895" s="62" t="s">
        <v>1446</v>
      </c>
      <c r="H1895" s="62" t="s">
        <v>58</v>
      </c>
      <c r="I1895" s="62" t="s">
        <v>49</v>
      </c>
      <c r="J1895" s="62" t="s">
        <v>146</v>
      </c>
      <c r="K1895" s="62" t="s">
        <v>175</v>
      </c>
      <c r="L1895" s="62" t="s">
        <v>4</v>
      </c>
      <c r="M1895" s="62" t="n">
        <v>1</v>
      </c>
      <c r="N1895" s="62" t="n">
        <v>0</v>
      </c>
      <c r="O1895" s="62" t="n">
        <v>1</v>
      </c>
      <c r="P1895" s="62" t="n">
        <v>0</v>
      </c>
      <c r="Q1895" s="62" t="n">
        <v>0</v>
      </c>
      <c r="R1895" s="62" t="n">
        <v>0</v>
      </c>
      <c r="S1895" s="62" t="n">
        <v>0</v>
      </c>
      <c r="T1895" s="62" t="n">
        <v>0</v>
      </c>
      <c r="U1895" s="62" t="s">
        <v>2056</v>
      </c>
      <c r="V1895" s="62" t="s">
        <v>2057</v>
      </c>
      <c r="W1895" s="62" t="s">
        <v>15</v>
      </c>
      <c r="X1895" s="62" t="s">
        <v>2058</v>
      </c>
      <c r="Y1895" s="62" t="s">
        <v>2059</v>
      </c>
      <c r="Z1895" s="62" t="s">
        <v>3490</v>
      </c>
      <c r="AA1895" s="62" t="s">
        <v>3491</v>
      </c>
      <c r="AB1895" s="62" t="n">
        <v>1</v>
      </c>
      <c r="AC1895" s="62" t="n">
        <v>0</v>
      </c>
      <c r="AD1895" s="62" t="n">
        <v>1</v>
      </c>
      <c r="AE1895" s="62" t="n">
        <f aca="false">IF(AND(Dashboard!$C$9="Yes",AC1895=1),0,1)</f>
        <v>1</v>
      </c>
      <c r="AF1895" s="62" t="n">
        <v>1</v>
      </c>
    </row>
    <row r="1896" customFormat="false" ht="15" hidden="false" customHeight="false" outlineLevel="0" collapsed="false">
      <c r="A1896" s="62" t="n">
        <v>1895</v>
      </c>
      <c r="B1896" s="63" t="n">
        <v>46277.8608796296</v>
      </c>
      <c r="C1896" s="64" t="n">
        <v>46277</v>
      </c>
      <c r="D1896" s="62" t="s">
        <v>358</v>
      </c>
      <c r="E1896" s="62" t="s">
        <v>3492</v>
      </c>
      <c r="F1896" s="62" t="s">
        <v>3493</v>
      </c>
      <c r="G1896" s="62" t="s">
        <v>153</v>
      </c>
      <c r="H1896" s="62" t="s">
        <v>153</v>
      </c>
      <c r="I1896" s="62" t="s">
        <v>153</v>
      </c>
      <c r="J1896" s="62" t="s">
        <v>64</v>
      </c>
      <c r="K1896" s="62" t="s">
        <v>64</v>
      </c>
      <c r="L1896" s="62" t="s">
        <v>148</v>
      </c>
      <c r="M1896" s="62" t="n">
        <v>0</v>
      </c>
      <c r="N1896" s="62" t="n">
        <v>1</v>
      </c>
      <c r="O1896" s="62" t="n">
        <v>1</v>
      </c>
      <c r="P1896" s="62" t="n">
        <v>1</v>
      </c>
      <c r="Q1896" s="62" t="n">
        <v>0</v>
      </c>
      <c r="R1896" s="62" t="n">
        <v>0</v>
      </c>
      <c r="S1896" s="62" t="n">
        <v>0</v>
      </c>
      <c r="T1896" s="62" t="n">
        <v>0</v>
      </c>
      <c r="U1896" s="62"/>
      <c r="V1896" s="62"/>
      <c r="W1896" s="62"/>
      <c r="X1896" s="62"/>
      <c r="Y1896" s="62"/>
      <c r="Z1896" s="62" t="s">
        <v>3494</v>
      </c>
      <c r="AA1896" s="62" t="s">
        <v>3495</v>
      </c>
      <c r="AB1896" s="62" t="n">
        <v>1</v>
      </c>
      <c r="AC1896" s="62" t="n">
        <v>0</v>
      </c>
      <c r="AD1896" s="62" t="n">
        <v>0</v>
      </c>
      <c r="AE1896" s="62" t="n">
        <f aca="false">IF(AND(Dashboard!$C$9="Yes",AC1896=1),0,1)</f>
        <v>1</v>
      </c>
      <c r="AF1896" s="62" t="n">
        <v>1</v>
      </c>
    </row>
    <row r="1897" customFormat="false" ht="15" hidden="false" customHeight="false" outlineLevel="0" collapsed="false">
      <c r="A1897" s="62" t="n">
        <v>1896</v>
      </c>
      <c r="B1897" s="63" t="n">
        <v>46277.8615393519</v>
      </c>
      <c r="C1897" s="64" t="n">
        <v>46277</v>
      </c>
      <c r="D1897" s="62" t="s">
        <v>358</v>
      </c>
      <c r="E1897" s="62" t="s">
        <v>3371</v>
      </c>
      <c r="F1897" s="62" t="s">
        <v>3371</v>
      </c>
      <c r="G1897" s="62" t="s">
        <v>3372</v>
      </c>
      <c r="H1897" s="62" t="s">
        <v>48</v>
      </c>
      <c r="I1897" s="62" t="s">
        <v>49</v>
      </c>
      <c r="J1897" s="62" t="s">
        <v>146</v>
      </c>
      <c r="K1897" s="62" t="s">
        <v>209</v>
      </c>
      <c r="L1897" s="62" t="s">
        <v>148</v>
      </c>
      <c r="M1897" s="62" t="n">
        <v>0</v>
      </c>
      <c r="N1897" s="62" t="n">
        <v>1</v>
      </c>
      <c r="O1897" s="62" t="n">
        <v>1</v>
      </c>
      <c r="P1897" s="62" t="n">
        <v>1</v>
      </c>
      <c r="Q1897" s="62" t="n">
        <v>0</v>
      </c>
      <c r="R1897" s="62" t="n">
        <v>0</v>
      </c>
      <c r="S1897" s="62" t="n">
        <v>0</v>
      </c>
      <c r="T1897" s="62" t="n">
        <v>0</v>
      </c>
      <c r="U1897" s="62"/>
      <c r="V1897" s="62"/>
      <c r="W1897" s="62"/>
      <c r="X1897" s="62"/>
      <c r="Y1897" s="62"/>
      <c r="Z1897" s="62" t="s">
        <v>3496</v>
      </c>
      <c r="AA1897" s="62" t="s">
        <v>3497</v>
      </c>
      <c r="AB1897" s="62" t="n">
        <v>1</v>
      </c>
      <c r="AC1897" s="62" t="n">
        <v>0</v>
      </c>
      <c r="AD1897" s="62" t="n">
        <v>1</v>
      </c>
      <c r="AE1897" s="62" t="n">
        <f aca="false">IF(AND(Dashboard!$C$9="Yes",AC1897=1),0,1)</f>
        <v>1</v>
      </c>
      <c r="AF1897" s="62" t="n">
        <v>0</v>
      </c>
    </row>
    <row r="1898" customFormat="false" ht="15" hidden="false" customHeight="false" outlineLevel="0" collapsed="false">
      <c r="A1898" s="62" t="n">
        <v>1897</v>
      </c>
      <c r="B1898" s="63" t="n">
        <v>46277.8631597222</v>
      </c>
      <c r="C1898" s="64" t="n">
        <v>46277</v>
      </c>
      <c r="D1898" s="62" t="s">
        <v>358</v>
      </c>
      <c r="E1898" s="62" t="s">
        <v>2228</v>
      </c>
      <c r="F1898" s="62" t="s">
        <v>2228</v>
      </c>
      <c r="G1898" s="62" t="s">
        <v>2229</v>
      </c>
      <c r="H1898" s="62" t="s">
        <v>58</v>
      </c>
      <c r="I1898" s="62" t="s">
        <v>49</v>
      </c>
      <c r="J1898" s="62" t="s">
        <v>146</v>
      </c>
      <c r="K1898" s="62" t="s">
        <v>209</v>
      </c>
      <c r="L1898" s="62" t="s">
        <v>148</v>
      </c>
      <c r="M1898" s="62" t="n">
        <v>0</v>
      </c>
      <c r="N1898" s="62" t="n">
        <v>1</v>
      </c>
      <c r="O1898" s="62" t="n">
        <v>1</v>
      </c>
      <c r="P1898" s="62" t="n">
        <v>0</v>
      </c>
      <c r="Q1898" s="62" t="n">
        <v>1</v>
      </c>
      <c r="R1898" s="62" t="n">
        <v>0</v>
      </c>
      <c r="S1898" s="62" t="n">
        <v>0</v>
      </c>
      <c r="T1898" s="62" t="n">
        <v>0</v>
      </c>
      <c r="U1898" s="62"/>
      <c r="V1898" s="62"/>
      <c r="W1898" s="62"/>
      <c r="X1898" s="62"/>
      <c r="Y1898" s="62"/>
      <c r="Z1898" s="62" t="s">
        <v>3498</v>
      </c>
      <c r="AA1898" s="62" t="s">
        <v>3499</v>
      </c>
      <c r="AB1898" s="62" t="n">
        <v>1</v>
      </c>
      <c r="AC1898" s="62" t="n">
        <v>0</v>
      </c>
      <c r="AD1898" s="62" t="n">
        <v>1</v>
      </c>
      <c r="AE1898" s="62" t="n">
        <f aca="false">IF(AND(Dashboard!$C$9="Yes",AC1898=1),0,1)</f>
        <v>1</v>
      </c>
      <c r="AF1898" s="62" t="n">
        <v>0</v>
      </c>
    </row>
    <row r="1899" customFormat="false" ht="15" hidden="false" customHeight="false" outlineLevel="0" collapsed="false">
      <c r="A1899" s="62" t="n">
        <v>1898</v>
      </c>
      <c r="B1899" s="63" t="n">
        <v>46277.8633101852</v>
      </c>
      <c r="C1899" s="64" t="n">
        <v>46277</v>
      </c>
      <c r="D1899" s="62" t="s">
        <v>358</v>
      </c>
      <c r="E1899" s="62" t="s">
        <v>2722</v>
      </c>
      <c r="F1899" s="62" t="s">
        <v>2722</v>
      </c>
      <c r="G1899" s="62" t="s">
        <v>2723</v>
      </c>
      <c r="H1899" s="62" t="s">
        <v>55</v>
      </c>
      <c r="I1899" s="62" t="s">
        <v>49</v>
      </c>
      <c r="J1899" s="62" t="s">
        <v>146</v>
      </c>
      <c r="K1899" s="62" t="s">
        <v>209</v>
      </c>
      <c r="L1899" s="62" t="s">
        <v>148</v>
      </c>
      <c r="M1899" s="62" t="n">
        <v>0</v>
      </c>
      <c r="N1899" s="62" t="n">
        <v>1</v>
      </c>
      <c r="O1899" s="62" t="n">
        <v>1</v>
      </c>
      <c r="P1899" s="62" t="n">
        <v>1</v>
      </c>
      <c r="Q1899" s="62" t="n">
        <v>0</v>
      </c>
      <c r="R1899" s="62" t="n">
        <v>0</v>
      </c>
      <c r="S1899" s="62" t="n">
        <v>0</v>
      </c>
      <c r="T1899" s="62" t="n">
        <v>0</v>
      </c>
      <c r="U1899" s="62"/>
      <c r="V1899" s="62"/>
      <c r="W1899" s="62"/>
      <c r="X1899" s="62"/>
      <c r="Y1899" s="62"/>
      <c r="Z1899" s="62" t="s">
        <v>3500</v>
      </c>
      <c r="AA1899" s="62" t="s">
        <v>3501</v>
      </c>
      <c r="AB1899" s="62" t="n">
        <v>1</v>
      </c>
      <c r="AC1899" s="62" t="n">
        <v>0</v>
      </c>
      <c r="AD1899" s="62" t="n">
        <v>1</v>
      </c>
      <c r="AE1899" s="62" t="n">
        <f aca="false">IF(AND(Dashboard!$C$9="Yes",AC1899=1),0,1)</f>
        <v>1</v>
      </c>
      <c r="AF1899" s="62" t="n">
        <v>1</v>
      </c>
    </row>
    <row r="1900" customFormat="false" ht="15" hidden="false" customHeight="false" outlineLevel="0" collapsed="false">
      <c r="A1900" s="62" t="n">
        <v>1899</v>
      </c>
      <c r="B1900" s="63" t="n">
        <v>46277.8685648148</v>
      </c>
      <c r="C1900" s="64" t="n">
        <v>46277</v>
      </c>
      <c r="D1900" s="62" t="s">
        <v>358</v>
      </c>
      <c r="E1900" s="62" t="s">
        <v>3226</v>
      </c>
      <c r="F1900" s="62" t="s">
        <v>3226</v>
      </c>
      <c r="G1900" s="62" t="s">
        <v>3227</v>
      </c>
      <c r="H1900" s="62" t="s">
        <v>46</v>
      </c>
      <c r="I1900" s="62" t="s">
        <v>47</v>
      </c>
      <c r="J1900" s="62" t="s">
        <v>146</v>
      </c>
      <c r="K1900" s="62" t="s">
        <v>209</v>
      </c>
      <c r="L1900" s="62" t="s">
        <v>148</v>
      </c>
      <c r="M1900" s="62" t="n">
        <v>0</v>
      </c>
      <c r="N1900" s="62" t="n">
        <v>1</v>
      </c>
      <c r="O1900" s="62" t="n">
        <v>1</v>
      </c>
      <c r="P1900" s="62" t="n">
        <v>1</v>
      </c>
      <c r="Q1900" s="62" t="n">
        <v>0</v>
      </c>
      <c r="R1900" s="62" t="n">
        <v>0</v>
      </c>
      <c r="S1900" s="62" t="n">
        <v>0</v>
      </c>
      <c r="T1900" s="62" t="n">
        <v>0</v>
      </c>
      <c r="U1900" s="62"/>
      <c r="V1900" s="62"/>
      <c r="W1900" s="62"/>
      <c r="X1900" s="62"/>
      <c r="Y1900" s="62"/>
      <c r="Z1900" s="62" t="s">
        <v>3502</v>
      </c>
      <c r="AA1900" s="62" t="s">
        <v>3502</v>
      </c>
      <c r="AB1900" s="62" t="n">
        <v>1</v>
      </c>
      <c r="AC1900" s="62" t="n">
        <v>0</v>
      </c>
      <c r="AD1900" s="62" t="n">
        <v>1</v>
      </c>
      <c r="AE1900" s="62" t="n">
        <f aca="false">IF(AND(Dashboard!$C$9="Yes",AC1900=1),0,1)</f>
        <v>1</v>
      </c>
      <c r="AF1900" s="62" t="n">
        <v>0</v>
      </c>
    </row>
    <row r="1901" customFormat="false" ht="15" hidden="false" customHeight="false" outlineLevel="0" collapsed="false">
      <c r="A1901" s="62" t="n">
        <v>1900</v>
      </c>
      <c r="B1901" s="63" t="n">
        <v>46277.869537037</v>
      </c>
      <c r="C1901" s="64" t="n">
        <v>46277</v>
      </c>
      <c r="D1901" s="62" t="s">
        <v>358</v>
      </c>
      <c r="E1901" s="62" t="s">
        <v>2071</v>
      </c>
      <c r="F1901" s="62" t="s">
        <v>2071</v>
      </c>
      <c r="G1901" s="62" t="s">
        <v>2072</v>
      </c>
      <c r="H1901" s="62" t="s">
        <v>58</v>
      </c>
      <c r="I1901" s="62" t="s">
        <v>49</v>
      </c>
      <c r="J1901" s="62" t="s">
        <v>146</v>
      </c>
      <c r="K1901" s="62" t="s">
        <v>175</v>
      </c>
      <c r="L1901" s="62" t="s">
        <v>148</v>
      </c>
      <c r="M1901" s="62" t="n">
        <v>0</v>
      </c>
      <c r="N1901" s="62" t="n">
        <v>1</v>
      </c>
      <c r="O1901" s="62" t="n">
        <v>1</v>
      </c>
      <c r="P1901" s="62" t="n">
        <v>1</v>
      </c>
      <c r="Q1901" s="62" t="n">
        <v>0</v>
      </c>
      <c r="R1901" s="62" t="n">
        <v>0</v>
      </c>
      <c r="S1901" s="62" t="n">
        <v>0</v>
      </c>
      <c r="T1901" s="62" t="n">
        <v>0</v>
      </c>
      <c r="U1901" s="62"/>
      <c r="V1901" s="62"/>
      <c r="W1901" s="62"/>
      <c r="X1901" s="62"/>
      <c r="Y1901" s="62"/>
      <c r="Z1901" s="62" t="s">
        <v>3503</v>
      </c>
      <c r="AA1901" s="62" t="s">
        <v>3504</v>
      </c>
      <c r="AB1901" s="62" t="n">
        <v>1</v>
      </c>
      <c r="AC1901" s="62" t="n">
        <v>0</v>
      </c>
      <c r="AD1901" s="62" t="n">
        <v>1</v>
      </c>
      <c r="AE1901" s="62" t="n">
        <f aca="false">IF(AND(Dashboard!$C$9="Yes",AC1901=1),0,1)</f>
        <v>1</v>
      </c>
      <c r="AF1901" s="62" t="n">
        <v>1</v>
      </c>
    </row>
    <row r="1902" customFormat="false" ht="15" hidden="false" customHeight="false" outlineLevel="0" collapsed="false">
      <c r="A1902" s="62" t="n">
        <v>1901</v>
      </c>
      <c r="B1902" s="63" t="n">
        <v>46277.8748958333</v>
      </c>
      <c r="C1902" s="64" t="n">
        <v>46277</v>
      </c>
      <c r="D1902" s="62" t="s">
        <v>358</v>
      </c>
      <c r="E1902" s="62" t="s">
        <v>207</v>
      </c>
      <c r="F1902" s="62" t="s">
        <v>207</v>
      </c>
      <c r="G1902" s="62" t="s">
        <v>208</v>
      </c>
      <c r="H1902" s="62" t="s">
        <v>48</v>
      </c>
      <c r="I1902" s="62" t="s">
        <v>49</v>
      </c>
      <c r="J1902" s="62" t="s">
        <v>146</v>
      </c>
      <c r="K1902" s="62" t="s">
        <v>209</v>
      </c>
      <c r="L1902" s="62" t="s">
        <v>148</v>
      </c>
      <c r="M1902" s="62" t="n">
        <v>0</v>
      </c>
      <c r="N1902" s="62" t="n">
        <v>1</v>
      </c>
      <c r="O1902" s="62" t="n">
        <v>1</v>
      </c>
      <c r="P1902" s="62" t="n">
        <v>0</v>
      </c>
      <c r="Q1902" s="62" t="n">
        <v>0</v>
      </c>
      <c r="R1902" s="62" t="n">
        <v>0</v>
      </c>
      <c r="S1902" s="62" t="n">
        <v>0</v>
      </c>
      <c r="T1902" s="62" t="n">
        <v>1</v>
      </c>
      <c r="U1902" s="62"/>
      <c r="V1902" s="62"/>
      <c r="W1902" s="62"/>
      <c r="X1902" s="62"/>
      <c r="Y1902" s="62"/>
      <c r="Z1902" s="62" t="s">
        <v>3505</v>
      </c>
      <c r="AA1902" s="62" t="s">
        <v>3506</v>
      </c>
      <c r="AB1902" s="62" t="n">
        <v>1</v>
      </c>
      <c r="AC1902" s="62" t="n">
        <v>0</v>
      </c>
      <c r="AD1902" s="62" t="n">
        <v>1</v>
      </c>
      <c r="AE1902" s="62" t="n">
        <f aca="false">IF(AND(Dashboard!$C$9="Yes",AC1902=1),0,1)</f>
        <v>1</v>
      </c>
      <c r="AF1902" s="62" t="n">
        <v>1</v>
      </c>
    </row>
    <row r="1903" customFormat="false" ht="15" hidden="false" customHeight="false" outlineLevel="0" collapsed="false">
      <c r="A1903" s="62" t="n">
        <v>1902</v>
      </c>
      <c r="B1903" s="63" t="n">
        <v>46277.8967361111</v>
      </c>
      <c r="C1903" s="64" t="n">
        <v>46277</v>
      </c>
      <c r="D1903" s="62" t="s">
        <v>358</v>
      </c>
      <c r="E1903" s="62" t="s">
        <v>2101</v>
      </c>
      <c r="F1903" s="62" t="s">
        <v>2101</v>
      </c>
      <c r="G1903" s="62" t="s">
        <v>2102</v>
      </c>
      <c r="H1903" s="62" t="s">
        <v>52</v>
      </c>
      <c r="I1903" s="62" t="s">
        <v>47</v>
      </c>
      <c r="J1903" s="62" t="s">
        <v>146</v>
      </c>
      <c r="K1903" s="62" t="s">
        <v>147</v>
      </c>
      <c r="L1903" s="62" t="s">
        <v>148</v>
      </c>
      <c r="M1903" s="62" t="n">
        <v>0</v>
      </c>
      <c r="N1903" s="62" t="n">
        <v>1</v>
      </c>
      <c r="O1903" s="62" t="n">
        <v>1</v>
      </c>
      <c r="P1903" s="62" t="n">
        <v>1</v>
      </c>
      <c r="Q1903" s="62" t="n">
        <v>0</v>
      </c>
      <c r="R1903" s="62" t="n">
        <v>0</v>
      </c>
      <c r="S1903" s="62" t="n">
        <v>0</v>
      </c>
      <c r="T1903" s="62" t="n">
        <v>0</v>
      </c>
      <c r="U1903" s="62"/>
      <c r="V1903" s="62"/>
      <c r="W1903" s="62"/>
      <c r="X1903" s="62"/>
      <c r="Y1903" s="62"/>
      <c r="Z1903" s="62" t="s">
        <v>3507</v>
      </c>
      <c r="AA1903" s="62" t="s">
        <v>3116</v>
      </c>
      <c r="AB1903" s="62" t="n">
        <v>1</v>
      </c>
      <c r="AC1903" s="62" t="n">
        <v>0</v>
      </c>
      <c r="AD1903" s="62" t="n">
        <v>1</v>
      </c>
      <c r="AE1903" s="62" t="n">
        <f aca="false">IF(AND(Dashboard!$C$9="Yes",AC1903=1),0,1)</f>
        <v>1</v>
      </c>
      <c r="AF1903" s="62" t="n">
        <v>0</v>
      </c>
    </row>
    <row r="1904" customFormat="false" ht="15" hidden="false" customHeight="false" outlineLevel="0" collapsed="false">
      <c r="A1904" s="62" t="n">
        <v>1903</v>
      </c>
      <c r="B1904" s="63" t="n">
        <v>46277.9001736111</v>
      </c>
      <c r="C1904" s="64" t="n">
        <v>46277</v>
      </c>
      <c r="D1904" s="62" t="s">
        <v>358</v>
      </c>
      <c r="E1904" s="62" t="s">
        <v>1005</v>
      </c>
      <c r="F1904" s="62" t="s">
        <v>1005</v>
      </c>
      <c r="G1904" s="62" t="s">
        <v>1006</v>
      </c>
      <c r="H1904" s="62" t="s">
        <v>46</v>
      </c>
      <c r="I1904" s="62" t="s">
        <v>47</v>
      </c>
      <c r="J1904" s="62" t="s">
        <v>146</v>
      </c>
      <c r="K1904" s="62" t="s">
        <v>209</v>
      </c>
      <c r="L1904" s="62" t="s">
        <v>4</v>
      </c>
      <c r="M1904" s="62" t="n">
        <v>1</v>
      </c>
      <c r="N1904" s="62" t="n">
        <v>0</v>
      </c>
      <c r="O1904" s="62" t="n">
        <v>1</v>
      </c>
      <c r="P1904" s="62" t="n">
        <v>0</v>
      </c>
      <c r="Q1904" s="62" t="n">
        <v>0</v>
      </c>
      <c r="R1904" s="62" t="n">
        <v>0</v>
      </c>
      <c r="S1904" s="62" t="n">
        <v>0</v>
      </c>
      <c r="T1904" s="62" t="n">
        <v>0</v>
      </c>
      <c r="U1904" s="62" t="s">
        <v>15</v>
      </c>
      <c r="V1904" s="62" t="s">
        <v>2068</v>
      </c>
      <c r="W1904" s="62"/>
      <c r="X1904" s="62" t="s">
        <v>2253</v>
      </c>
      <c r="Y1904" s="62" t="s">
        <v>2181</v>
      </c>
      <c r="Z1904" s="62" t="s">
        <v>3508</v>
      </c>
      <c r="AA1904" s="62" t="s">
        <v>3509</v>
      </c>
      <c r="AB1904" s="62" t="n">
        <v>1</v>
      </c>
      <c r="AC1904" s="62" t="n">
        <v>0</v>
      </c>
      <c r="AD1904" s="62" t="n">
        <v>1</v>
      </c>
      <c r="AE1904" s="62" t="n">
        <f aca="false">IF(AND(Dashboard!$C$9="Yes",AC1904=1),0,1)</f>
        <v>1</v>
      </c>
      <c r="AF1904" s="62" t="n">
        <v>1</v>
      </c>
    </row>
    <row r="1905" customFormat="false" ht="15" hidden="false" customHeight="false" outlineLevel="0" collapsed="false">
      <c r="A1905" s="62" t="n">
        <v>1904</v>
      </c>
      <c r="B1905" s="63" t="n">
        <v>46277.9063194445</v>
      </c>
      <c r="C1905" s="64" t="n">
        <v>46277</v>
      </c>
      <c r="D1905" s="62" t="s">
        <v>358</v>
      </c>
      <c r="E1905" s="62" t="s">
        <v>2464</v>
      </c>
      <c r="F1905" s="62" t="s">
        <v>2464</v>
      </c>
      <c r="G1905" s="62" t="s">
        <v>2465</v>
      </c>
      <c r="H1905" s="62" t="s">
        <v>59</v>
      </c>
      <c r="I1905" s="62" t="s">
        <v>47</v>
      </c>
      <c r="J1905" s="62" t="s">
        <v>146</v>
      </c>
      <c r="K1905" s="62" t="s">
        <v>175</v>
      </c>
      <c r="L1905" s="62" t="s">
        <v>4</v>
      </c>
      <c r="M1905" s="62" t="n">
        <v>1</v>
      </c>
      <c r="N1905" s="62" t="n">
        <v>0</v>
      </c>
      <c r="O1905" s="62" t="n">
        <v>1</v>
      </c>
      <c r="P1905" s="62" t="n">
        <v>0</v>
      </c>
      <c r="Q1905" s="62" t="n">
        <v>0</v>
      </c>
      <c r="R1905" s="62" t="n">
        <v>0</v>
      </c>
      <c r="S1905" s="62" t="n">
        <v>0</v>
      </c>
      <c r="T1905" s="62" t="n">
        <v>0</v>
      </c>
      <c r="U1905" s="62" t="s">
        <v>2056</v>
      </c>
      <c r="V1905" s="62" t="s">
        <v>2057</v>
      </c>
      <c r="W1905" s="62" t="s">
        <v>15</v>
      </c>
      <c r="X1905" s="62" t="s">
        <v>2058</v>
      </c>
      <c r="Y1905" s="62" t="s">
        <v>2103</v>
      </c>
      <c r="Z1905" s="62" t="s">
        <v>3510</v>
      </c>
      <c r="AA1905" s="62" t="s">
        <v>3511</v>
      </c>
      <c r="AB1905" s="62" t="n">
        <v>1</v>
      </c>
      <c r="AC1905" s="62" t="n">
        <v>0</v>
      </c>
      <c r="AD1905" s="62" t="n">
        <v>1</v>
      </c>
      <c r="AE1905" s="62" t="n">
        <f aca="false">IF(AND(Dashboard!$C$9="Yes",AC1905=1),0,1)</f>
        <v>1</v>
      </c>
      <c r="AF1905" s="62" t="n">
        <v>1</v>
      </c>
    </row>
    <row r="1906" customFormat="false" ht="15" hidden="false" customHeight="false" outlineLevel="0" collapsed="false">
      <c r="A1906" s="62" t="n">
        <v>1905</v>
      </c>
      <c r="B1906" s="63" t="n">
        <v>46277.913275463</v>
      </c>
      <c r="C1906" s="64" t="n">
        <v>46277</v>
      </c>
      <c r="D1906" s="62" t="s">
        <v>358</v>
      </c>
      <c r="E1906" s="62" t="s">
        <v>371</v>
      </c>
      <c r="F1906" s="62" t="s">
        <v>371</v>
      </c>
      <c r="G1906" s="62" t="s">
        <v>372</v>
      </c>
      <c r="H1906" s="62" t="s">
        <v>59</v>
      </c>
      <c r="I1906" s="62" t="s">
        <v>47</v>
      </c>
      <c r="J1906" s="62" t="s">
        <v>146</v>
      </c>
      <c r="K1906" s="62" t="s">
        <v>147</v>
      </c>
      <c r="L1906" s="62" t="s">
        <v>148</v>
      </c>
      <c r="M1906" s="62" t="n">
        <v>0</v>
      </c>
      <c r="N1906" s="62" t="n">
        <v>1</v>
      </c>
      <c r="O1906" s="62" t="n">
        <v>1</v>
      </c>
      <c r="P1906" s="62" t="n">
        <v>0</v>
      </c>
      <c r="Q1906" s="62" t="n">
        <v>1</v>
      </c>
      <c r="R1906" s="62" t="n">
        <v>0</v>
      </c>
      <c r="S1906" s="62" t="n">
        <v>0</v>
      </c>
      <c r="T1906" s="62" t="n">
        <v>0</v>
      </c>
      <c r="U1906" s="62"/>
      <c r="V1906" s="62"/>
      <c r="W1906" s="62"/>
      <c r="X1906" s="62"/>
      <c r="Y1906" s="62"/>
      <c r="Z1906" s="62" t="s">
        <v>3512</v>
      </c>
      <c r="AA1906" s="62" t="s">
        <v>3513</v>
      </c>
      <c r="AB1906" s="62" t="n">
        <v>1</v>
      </c>
      <c r="AC1906" s="62" t="n">
        <v>0</v>
      </c>
      <c r="AD1906" s="62" t="n">
        <v>1</v>
      </c>
      <c r="AE1906" s="62" t="n">
        <f aca="false">IF(AND(Dashboard!$C$9="Yes",AC1906=1),0,1)</f>
        <v>1</v>
      </c>
      <c r="AF1906" s="62" t="n">
        <v>1</v>
      </c>
    </row>
    <row r="1907" customFormat="false" ht="15" hidden="false" customHeight="false" outlineLevel="0" collapsed="false">
      <c r="A1907" s="62" t="n">
        <v>1906</v>
      </c>
      <c r="B1907" s="63" t="n">
        <v>46277.9141782407</v>
      </c>
      <c r="C1907" s="64" t="n">
        <v>46277</v>
      </c>
      <c r="D1907" s="62" t="s">
        <v>358</v>
      </c>
      <c r="E1907" s="62" t="s">
        <v>2848</v>
      </c>
      <c r="F1907" s="62" t="s">
        <v>2849</v>
      </c>
      <c r="G1907" s="62" t="s">
        <v>153</v>
      </c>
      <c r="H1907" s="62" t="s">
        <v>153</v>
      </c>
      <c r="I1907" s="62" t="s">
        <v>153</v>
      </c>
      <c r="J1907" s="62" t="s">
        <v>64</v>
      </c>
      <c r="K1907" s="62" t="s">
        <v>64</v>
      </c>
      <c r="L1907" s="62" t="s">
        <v>148</v>
      </c>
      <c r="M1907" s="62" t="n">
        <v>0</v>
      </c>
      <c r="N1907" s="62" t="n">
        <v>1</v>
      </c>
      <c r="O1907" s="62" t="n">
        <v>1</v>
      </c>
      <c r="P1907" s="62" t="n">
        <v>0</v>
      </c>
      <c r="Q1907" s="62" t="n">
        <v>1</v>
      </c>
      <c r="R1907" s="62" t="n">
        <v>0</v>
      </c>
      <c r="S1907" s="62" t="n">
        <v>0</v>
      </c>
      <c r="T1907" s="62" t="n">
        <v>0</v>
      </c>
      <c r="U1907" s="62"/>
      <c r="V1907" s="62"/>
      <c r="W1907" s="62"/>
      <c r="X1907" s="62"/>
      <c r="Y1907" s="62"/>
      <c r="Z1907" s="62" t="s">
        <v>3514</v>
      </c>
      <c r="AA1907" s="62" t="s">
        <v>3515</v>
      </c>
      <c r="AB1907" s="62" t="n">
        <v>1</v>
      </c>
      <c r="AC1907" s="62" t="n">
        <v>0</v>
      </c>
      <c r="AD1907" s="62" t="n">
        <v>0</v>
      </c>
      <c r="AE1907" s="62" t="n">
        <f aca="false">IF(AND(Dashboard!$C$9="Yes",AC1907=1),0,1)</f>
        <v>1</v>
      </c>
      <c r="AF1907" s="62" t="n">
        <v>1</v>
      </c>
    </row>
    <row r="1908" customFormat="false" ht="15" hidden="false" customHeight="false" outlineLevel="0" collapsed="false">
      <c r="A1908" s="62" t="n">
        <v>1907</v>
      </c>
      <c r="B1908" s="63" t="n">
        <v>46277.9175462963</v>
      </c>
      <c r="C1908" s="64" t="n">
        <v>46277</v>
      </c>
      <c r="D1908" s="62" t="s">
        <v>358</v>
      </c>
      <c r="E1908" s="62" t="s">
        <v>3022</v>
      </c>
      <c r="F1908" s="62" t="s">
        <v>3022</v>
      </c>
      <c r="G1908" s="62" t="s">
        <v>3023</v>
      </c>
      <c r="H1908" s="62" t="s">
        <v>46</v>
      </c>
      <c r="I1908" s="62" t="s">
        <v>47</v>
      </c>
      <c r="J1908" s="62" t="s">
        <v>146</v>
      </c>
      <c r="K1908" s="62" t="s">
        <v>209</v>
      </c>
      <c r="L1908" s="62" t="s">
        <v>148</v>
      </c>
      <c r="M1908" s="62" t="n">
        <v>0</v>
      </c>
      <c r="N1908" s="62" t="n">
        <v>1</v>
      </c>
      <c r="O1908" s="62" t="n">
        <v>1</v>
      </c>
      <c r="P1908" s="62" t="n">
        <v>0</v>
      </c>
      <c r="Q1908" s="62" t="n">
        <v>1</v>
      </c>
      <c r="R1908" s="62" t="n">
        <v>0</v>
      </c>
      <c r="S1908" s="62" t="n">
        <v>0</v>
      </c>
      <c r="T1908" s="62" t="n">
        <v>0</v>
      </c>
      <c r="U1908" s="62"/>
      <c r="V1908" s="62"/>
      <c r="W1908" s="62"/>
      <c r="X1908" s="62"/>
      <c r="Y1908" s="62"/>
      <c r="Z1908" s="62" t="s">
        <v>3516</v>
      </c>
      <c r="AA1908" s="62" t="s">
        <v>337</v>
      </c>
      <c r="AB1908" s="62" t="n">
        <v>0</v>
      </c>
      <c r="AC1908" s="62" t="n">
        <v>0</v>
      </c>
      <c r="AD1908" s="62" t="n">
        <v>1</v>
      </c>
      <c r="AE1908" s="62" t="n">
        <f aca="false">IF(AND(Dashboard!$C$9="Yes",AC1908=1),0,1)</f>
        <v>1</v>
      </c>
      <c r="AF1908" s="62" t="n">
        <v>1</v>
      </c>
    </row>
    <row r="1909" customFormat="false" ht="15" hidden="false" customHeight="false" outlineLevel="0" collapsed="false">
      <c r="A1909" s="62" t="n">
        <v>1908</v>
      </c>
      <c r="B1909" s="63" t="n">
        <v>46277.9211805556</v>
      </c>
      <c r="C1909" s="64" t="n">
        <v>46277</v>
      </c>
      <c r="D1909" s="62" t="s">
        <v>358</v>
      </c>
      <c r="E1909" s="62" t="s">
        <v>2101</v>
      </c>
      <c r="F1909" s="62" t="s">
        <v>2101</v>
      </c>
      <c r="G1909" s="62" t="s">
        <v>2102</v>
      </c>
      <c r="H1909" s="62" t="s">
        <v>52</v>
      </c>
      <c r="I1909" s="62" t="s">
        <v>47</v>
      </c>
      <c r="J1909" s="62" t="s">
        <v>146</v>
      </c>
      <c r="K1909" s="62" t="s">
        <v>147</v>
      </c>
      <c r="L1909" s="62" t="s">
        <v>4</v>
      </c>
      <c r="M1909" s="62" t="n">
        <v>1</v>
      </c>
      <c r="N1909" s="62" t="n">
        <v>0</v>
      </c>
      <c r="O1909" s="62" t="n">
        <v>1</v>
      </c>
      <c r="P1909" s="62" t="n">
        <v>0</v>
      </c>
      <c r="Q1909" s="62" t="n">
        <v>0</v>
      </c>
      <c r="R1909" s="62" t="n">
        <v>0</v>
      </c>
      <c r="S1909" s="62" t="n">
        <v>0</v>
      </c>
      <c r="T1909" s="62" t="n">
        <v>0</v>
      </c>
      <c r="U1909" s="62" t="s">
        <v>2056</v>
      </c>
      <c r="V1909" s="62" t="s">
        <v>2057</v>
      </c>
      <c r="W1909" s="62" t="s">
        <v>15</v>
      </c>
      <c r="X1909" s="62" t="s">
        <v>2058</v>
      </c>
      <c r="Y1909" s="62" t="s">
        <v>2059</v>
      </c>
      <c r="Z1909" s="62" t="s">
        <v>3507</v>
      </c>
      <c r="AA1909" s="62" t="s">
        <v>3116</v>
      </c>
      <c r="AB1909" s="62" t="n">
        <v>1</v>
      </c>
      <c r="AC1909" s="62" t="n">
        <v>0</v>
      </c>
      <c r="AD1909" s="62" t="n">
        <v>1</v>
      </c>
      <c r="AE1909" s="62" t="n">
        <f aca="false">IF(AND(Dashboard!$C$9="Yes",AC1909=1),0,1)</f>
        <v>1</v>
      </c>
      <c r="AF1909" s="62" t="n">
        <v>0</v>
      </c>
    </row>
    <row r="1910" customFormat="false" ht="15" hidden="false" customHeight="false" outlineLevel="0" collapsed="false">
      <c r="A1910" s="62" t="n">
        <v>1909</v>
      </c>
      <c r="B1910" s="63" t="n">
        <v>46277.9213425926</v>
      </c>
      <c r="C1910" s="64" t="n">
        <v>46277</v>
      </c>
      <c r="D1910" s="62" t="s">
        <v>358</v>
      </c>
      <c r="E1910" s="62" t="s">
        <v>2101</v>
      </c>
      <c r="F1910" s="62" t="s">
        <v>2101</v>
      </c>
      <c r="G1910" s="62" t="s">
        <v>2102</v>
      </c>
      <c r="H1910" s="62" t="s">
        <v>52</v>
      </c>
      <c r="I1910" s="62" t="s">
        <v>47</v>
      </c>
      <c r="J1910" s="62" t="s">
        <v>146</v>
      </c>
      <c r="K1910" s="62" t="s">
        <v>147</v>
      </c>
      <c r="L1910" s="62" t="s">
        <v>148</v>
      </c>
      <c r="M1910" s="62" t="n">
        <v>0</v>
      </c>
      <c r="N1910" s="62" t="n">
        <v>1</v>
      </c>
      <c r="O1910" s="62" t="n">
        <v>1</v>
      </c>
      <c r="P1910" s="62" t="n">
        <v>1</v>
      </c>
      <c r="Q1910" s="62" t="n">
        <v>0</v>
      </c>
      <c r="R1910" s="62" t="n">
        <v>0</v>
      </c>
      <c r="S1910" s="62" t="n">
        <v>0</v>
      </c>
      <c r="T1910" s="62" t="n">
        <v>0</v>
      </c>
      <c r="U1910" s="62"/>
      <c r="V1910" s="62"/>
      <c r="W1910" s="62"/>
      <c r="X1910" s="62"/>
      <c r="Y1910" s="62"/>
      <c r="Z1910" s="62" t="s">
        <v>3507</v>
      </c>
      <c r="AA1910" s="62" t="s">
        <v>3015</v>
      </c>
      <c r="AB1910" s="62" t="n">
        <v>1</v>
      </c>
      <c r="AC1910" s="62" t="n">
        <v>0</v>
      </c>
      <c r="AD1910" s="62" t="n">
        <v>1</v>
      </c>
      <c r="AE1910" s="62" t="n">
        <f aca="false">IF(AND(Dashboard!$C$9="Yes",AC1910=1),0,1)</f>
        <v>1</v>
      </c>
      <c r="AF1910" s="62" t="n">
        <v>0</v>
      </c>
    </row>
    <row r="1911" customFormat="false" ht="15" hidden="false" customHeight="false" outlineLevel="0" collapsed="false">
      <c r="A1911" s="62" t="n">
        <v>1910</v>
      </c>
      <c r="B1911" s="63" t="n">
        <v>46277.9252314815</v>
      </c>
      <c r="C1911" s="64" t="n">
        <v>46277</v>
      </c>
      <c r="D1911" s="62" t="s">
        <v>358</v>
      </c>
      <c r="E1911" s="62" t="s">
        <v>3018</v>
      </c>
      <c r="F1911" s="62" t="s">
        <v>3018</v>
      </c>
      <c r="G1911" s="62" t="s">
        <v>3019</v>
      </c>
      <c r="H1911" s="62" t="s">
        <v>58</v>
      </c>
      <c r="I1911" s="62" t="s">
        <v>49</v>
      </c>
      <c r="J1911" s="62" t="s">
        <v>146</v>
      </c>
      <c r="K1911" s="62" t="s">
        <v>175</v>
      </c>
      <c r="L1911" s="62" t="s">
        <v>4</v>
      </c>
      <c r="M1911" s="62" t="n">
        <v>1</v>
      </c>
      <c r="N1911" s="62" t="n">
        <v>0</v>
      </c>
      <c r="O1911" s="62" t="n">
        <v>1</v>
      </c>
      <c r="P1911" s="62" t="n">
        <v>0</v>
      </c>
      <c r="Q1911" s="62" t="n">
        <v>0</v>
      </c>
      <c r="R1911" s="62" t="n">
        <v>0</v>
      </c>
      <c r="S1911" s="62" t="n">
        <v>0</v>
      </c>
      <c r="T1911" s="62" t="n">
        <v>0</v>
      </c>
      <c r="U1911" s="62" t="s">
        <v>2056</v>
      </c>
      <c r="V1911" s="62" t="s">
        <v>2057</v>
      </c>
      <c r="W1911" s="62" t="s">
        <v>15</v>
      </c>
      <c r="X1911" s="62" t="s">
        <v>2058</v>
      </c>
      <c r="Y1911" s="62" t="s">
        <v>2059</v>
      </c>
      <c r="Z1911" s="62" t="s">
        <v>3517</v>
      </c>
      <c r="AA1911" s="62" t="s">
        <v>3518</v>
      </c>
      <c r="AB1911" s="62" t="n">
        <v>1</v>
      </c>
      <c r="AC1911" s="62" t="n">
        <v>0</v>
      </c>
      <c r="AD1911" s="62" t="n">
        <v>1</v>
      </c>
      <c r="AE1911" s="62" t="n">
        <f aca="false">IF(AND(Dashboard!$C$9="Yes",AC1911=1),0,1)</f>
        <v>1</v>
      </c>
      <c r="AF1911" s="62" t="n">
        <v>0</v>
      </c>
    </row>
    <row r="1912" customFormat="false" ht="15" hidden="false" customHeight="false" outlineLevel="0" collapsed="false">
      <c r="A1912" s="62" t="n">
        <v>1911</v>
      </c>
      <c r="B1912" s="63" t="n">
        <v>46277.9275810185</v>
      </c>
      <c r="C1912" s="64" t="n">
        <v>46277</v>
      </c>
      <c r="D1912" s="62" t="s">
        <v>358</v>
      </c>
      <c r="E1912" s="62" t="s">
        <v>1155</v>
      </c>
      <c r="F1912" s="62" t="s">
        <v>1155</v>
      </c>
      <c r="G1912" s="62" t="s">
        <v>1156</v>
      </c>
      <c r="H1912" s="62" t="s">
        <v>59</v>
      </c>
      <c r="I1912" s="62" t="s">
        <v>47</v>
      </c>
      <c r="J1912" s="62" t="s">
        <v>146</v>
      </c>
      <c r="K1912" s="62" t="s">
        <v>209</v>
      </c>
      <c r="L1912" s="62" t="s">
        <v>4</v>
      </c>
      <c r="M1912" s="62" t="n">
        <v>1</v>
      </c>
      <c r="N1912" s="62" t="n">
        <v>0</v>
      </c>
      <c r="O1912" s="62" t="n">
        <v>1</v>
      </c>
      <c r="P1912" s="62" t="n">
        <v>0</v>
      </c>
      <c r="Q1912" s="62" t="n">
        <v>0</v>
      </c>
      <c r="R1912" s="62" t="n">
        <v>0</v>
      </c>
      <c r="S1912" s="62" t="n">
        <v>0</v>
      </c>
      <c r="T1912" s="62" t="n">
        <v>0</v>
      </c>
      <c r="U1912" s="62" t="s">
        <v>2056</v>
      </c>
      <c r="V1912" s="62" t="s">
        <v>2057</v>
      </c>
      <c r="W1912" s="62" t="s">
        <v>15</v>
      </c>
      <c r="X1912" s="62" t="s">
        <v>2125</v>
      </c>
      <c r="Y1912" s="62" t="s">
        <v>2059</v>
      </c>
      <c r="Z1912" s="62" t="s">
        <v>3519</v>
      </c>
      <c r="AA1912" s="62" t="s">
        <v>3520</v>
      </c>
      <c r="AB1912" s="62" t="n">
        <v>1</v>
      </c>
      <c r="AC1912" s="62" t="n">
        <v>0</v>
      </c>
      <c r="AD1912" s="62" t="n">
        <v>1</v>
      </c>
      <c r="AE1912" s="62" t="n">
        <f aca="false">IF(AND(Dashboard!$C$9="Yes",AC1912=1),0,1)</f>
        <v>1</v>
      </c>
      <c r="AF1912" s="62" t="n">
        <v>0</v>
      </c>
    </row>
    <row r="1913" customFormat="false" ht="15" hidden="false" customHeight="false" outlineLevel="0" collapsed="false">
      <c r="A1913" s="62" t="n">
        <v>1912</v>
      </c>
      <c r="B1913" s="63" t="n">
        <v>46277.929537037</v>
      </c>
      <c r="C1913" s="64" t="n">
        <v>46277</v>
      </c>
      <c r="D1913" s="62" t="s">
        <v>358</v>
      </c>
      <c r="E1913" s="62" t="s">
        <v>1827</v>
      </c>
      <c r="F1913" s="62" t="s">
        <v>1827</v>
      </c>
      <c r="G1913" s="62" t="s">
        <v>1828</v>
      </c>
      <c r="H1913" s="62" t="s">
        <v>59</v>
      </c>
      <c r="I1913" s="62" t="s">
        <v>47</v>
      </c>
      <c r="J1913" s="62" t="s">
        <v>146</v>
      </c>
      <c r="K1913" s="62" t="s">
        <v>209</v>
      </c>
      <c r="L1913" s="62" t="s">
        <v>148</v>
      </c>
      <c r="M1913" s="62" t="n">
        <v>0</v>
      </c>
      <c r="N1913" s="62" t="n">
        <v>1</v>
      </c>
      <c r="O1913" s="62" t="n">
        <v>1</v>
      </c>
      <c r="P1913" s="62" t="n">
        <v>1</v>
      </c>
      <c r="Q1913" s="62" t="n">
        <v>0</v>
      </c>
      <c r="R1913" s="62" t="n">
        <v>0</v>
      </c>
      <c r="S1913" s="62" t="n">
        <v>0</v>
      </c>
      <c r="T1913" s="62" t="n">
        <v>0</v>
      </c>
      <c r="U1913" s="62"/>
      <c r="V1913" s="62"/>
      <c r="W1913" s="62"/>
      <c r="X1913" s="62"/>
      <c r="Y1913" s="62"/>
      <c r="Z1913" s="62" t="s">
        <v>3521</v>
      </c>
      <c r="AA1913" s="62" t="s">
        <v>3522</v>
      </c>
      <c r="AB1913" s="62" t="n">
        <v>1</v>
      </c>
      <c r="AC1913" s="62" t="n">
        <v>0</v>
      </c>
      <c r="AD1913" s="62" t="n">
        <v>1</v>
      </c>
      <c r="AE1913" s="62" t="n">
        <f aca="false">IF(AND(Dashboard!$C$9="Yes",AC1913=1),0,1)</f>
        <v>1</v>
      </c>
      <c r="AF1913" s="62" t="n">
        <v>1</v>
      </c>
    </row>
    <row r="1914" customFormat="false" ht="15" hidden="false" customHeight="false" outlineLevel="0" collapsed="false">
      <c r="A1914" s="62" t="n">
        <v>1913</v>
      </c>
      <c r="B1914" s="63" t="n">
        <v>46277.9339236111</v>
      </c>
      <c r="C1914" s="64" t="n">
        <v>46277</v>
      </c>
      <c r="D1914" s="62" t="s">
        <v>358</v>
      </c>
      <c r="E1914" s="62" t="s">
        <v>414</v>
      </c>
      <c r="F1914" s="62" t="s">
        <v>414</v>
      </c>
      <c r="G1914" s="62" t="s">
        <v>415</v>
      </c>
      <c r="H1914" s="62" t="s">
        <v>57</v>
      </c>
      <c r="I1914" s="62" t="s">
        <v>47</v>
      </c>
      <c r="J1914" s="62" t="s">
        <v>146</v>
      </c>
      <c r="K1914" s="62" t="s">
        <v>147</v>
      </c>
      <c r="L1914" s="62" t="s">
        <v>4</v>
      </c>
      <c r="M1914" s="62" t="n">
        <v>1</v>
      </c>
      <c r="N1914" s="62" t="n">
        <v>0</v>
      </c>
      <c r="O1914" s="62" t="n">
        <v>1</v>
      </c>
      <c r="P1914" s="62" t="n">
        <v>0</v>
      </c>
      <c r="Q1914" s="62" t="n">
        <v>0</v>
      </c>
      <c r="R1914" s="62" t="n">
        <v>0</v>
      </c>
      <c r="S1914" s="62" t="n">
        <v>0</v>
      </c>
      <c r="T1914" s="62" t="n">
        <v>0</v>
      </c>
      <c r="U1914" s="62" t="s">
        <v>2056</v>
      </c>
      <c r="V1914" s="62" t="s">
        <v>2057</v>
      </c>
      <c r="W1914" s="62" t="s">
        <v>15</v>
      </c>
      <c r="X1914" s="62" t="s">
        <v>2058</v>
      </c>
      <c r="Y1914" s="62" t="s">
        <v>2059</v>
      </c>
      <c r="Z1914" s="62" t="s">
        <v>3523</v>
      </c>
      <c r="AA1914" s="62" t="s">
        <v>3524</v>
      </c>
      <c r="AB1914" s="62" t="n">
        <v>1</v>
      </c>
      <c r="AC1914" s="62" t="n">
        <v>0</v>
      </c>
      <c r="AD1914" s="62" t="n">
        <v>1</v>
      </c>
      <c r="AE1914" s="62" t="n">
        <f aca="false">IF(AND(Dashboard!$C$9="Yes",AC1914=1),0,1)</f>
        <v>1</v>
      </c>
      <c r="AF1914" s="62" t="n">
        <v>1</v>
      </c>
    </row>
    <row r="1915" customFormat="false" ht="15" hidden="false" customHeight="false" outlineLevel="0" collapsed="false">
      <c r="A1915" s="62" t="n">
        <v>1914</v>
      </c>
      <c r="B1915" s="63" t="n">
        <v>46277.9415162037</v>
      </c>
      <c r="C1915" s="64" t="n">
        <v>46277</v>
      </c>
      <c r="D1915" s="62" t="s">
        <v>358</v>
      </c>
      <c r="E1915" s="62" t="s">
        <v>2620</v>
      </c>
      <c r="F1915" s="62" t="s">
        <v>2620</v>
      </c>
      <c r="G1915" s="62" t="s">
        <v>2621</v>
      </c>
      <c r="H1915" s="62" t="s">
        <v>48</v>
      </c>
      <c r="I1915" s="62" t="s">
        <v>49</v>
      </c>
      <c r="J1915" s="62" t="s">
        <v>146</v>
      </c>
      <c r="K1915" s="62" t="s">
        <v>209</v>
      </c>
      <c r="L1915" s="62" t="s">
        <v>4</v>
      </c>
      <c r="M1915" s="62" t="n">
        <v>1</v>
      </c>
      <c r="N1915" s="62" t="n">
        <v>0</v>
      </c>
      <c r="O1915" s="62" t="n">
        <v>1</v>
      </c>
      <c r="P1915" s="62" t="n">
        <v>0</v>
      </c>
      <c r="Q1915" s="62" t="n">
        <v>0</v>
      </c>
      <c r="R1915" s="62" t="n">
        <v>0</v>
      </c>
      <c r="S1915" s="62" t="n">
        <v>0</v>
      </c>
      <c r="T1915" s="62" t="n">
        <v>0</v>
      </c>
      <c r="U1915" s="62" t="s">
        <v>2056</v>
      </c>
      <c r="V1915" s="62" t="s">
        <v>2057</v>
      </c>
      <c r="W1915" s="62" t="s">
        <v>15</v>
      </c>
      <c r="X1915" s="62" t="s">
        <v>2058</v>
      </c>
      <c r="Y1915" s="62" t="s">
        <v>2059</v>
      </c>
      <c r="Z1915" s="62" t="s">
        <v>3525</v>
      </c>
      <c r="AA1915" s="62" t="s">
        <v>3526</v>
      </c>
      <c r="AB1915" s="62" t="n">
        <v>1</v>
      </c>
      <c r="AC1915" s="62" t="n">
        <v>0</v>
      </c>
      <c r="AD1915" s="62" t="n">
        <v>1</v>
      </c>
      <c r="AE1915" s="62" t="n">
        <f aca="false">IF(AND(Dashboard!$C$9="Yes",AC1915=1),0,1)</f>
        <v>1</v>
      </c>
      <c r="AF1915" s="62" t="n">
        <v>1</v>
      </c>
    </row>
    <row r="1916" customFormat="false" ht="15" hidden="false" customHeight="false" outlineLevel="0" collapsed="false">
      <c r="A1916" s="62" t="n">
        <v>1915</v>
      </c>
      <c r="B1916" s="63" t="n">
        <v>46277.9422106482</v>
      </c>
      <c r="C1916" s="64" t="n">
        <v>46277</v>
      </c>
      <c r="D1916" s="62" t="s">
        <v>358</v>
      </c>
      <c r="E1916" s="62" t="s">
        <v>2476</v>
      </c>
      <c r="F1916" s="62" t="s">
        <v>2476</v>
      </c>
      <c r="G1916" s="62" t="s">
        <v>2477</v>
      </c>
      <c r="H1916" s="62" t="s">
        <v>51</v>
      </c>
      <c r="I1916" s="62" t="s">
        <v>47</v>
      </c>
      <c r="J1916" s="62" t="s">
        <v>146</v>
      </c>
      <c r="K1916" s="62" t="s">
        <v>209</v>
      </c>
      <c r="L1916" s="62" t="s">
        <v>148</v>
      </c>
      <c r="M1916" s="62" t="n">
        <v>0</v>
      </c>
      <c r="N1916" s="62" t="n">
        <v>1</v>
      </c>
      <c r="O1916" s="62" t="n">
        <v>1</v>
      </c>
      <c r="P1916" s="62" t="n">
        <v>1</v>
      </c>
      <c r="Q1916" s="62" t="n">
        <v>0</v>
      </c>
      <c r="R1916" s="62" t="n">
        <v>0</v>
      </c>
      <c r="S1916" s="62" t="n">
        <v>0</v>
      </c>
      <c r="T1916" s="62" t="n">
        <v>0</v>
      </c>
      <c r="U1916" s="62"/>
      <c r="V1916" s="62"/>
      <c r="W1916" s="62"/>
      <c r="X1916" s="62"/>
      <c r="Y1916" s="62"/>
      <c r="Z1916" s="62" t="s">
        <v>3527</v>
      </c>
      <c r="AA1916" s="62" t="s">
        <v>3528</v>
      </c>
      <c r="AB1916" s="62" t="n">
        <v>1</v>
      </c>
      <c r="AC1916" s="62" t="n">
        <v>0</v>
      </c>
      <c r="AD1916" s="62" t="n">
        <v>1</v>
      </c>
      <c r="AE1916" s="62" t="n">
        <f aca="false">IF(AND(Dashboard!$C$9="Yes",AC1916=1),0,1)</f>
        <v>1</v>
      </c>
      <c r="AF1916" s="62" t="n">
        <v>1</v>
      </c>
    </row>
    <row r="1917" customFormat="false" ht="15" hidden="false" customHeight="false" outlineLevel="0" collapsed="false">
      <c r="A1917" s="62" t="n">
        <v>1916</v>
      </c>
      <c r="B1917" s="63" t="n">
        <v>46277.9432638889</v>
      </c>
      <c r="C1917" s="64" t="n">
        <v>46277</v>
      </c>
      <c r="D1917" s="62" t="s">
        <v>358</v>
      </c>
      <c r="E1917" s="62" t="s">
        <v>144</v>
      </c>
      <c r="F1917" s="62" t="s">
        <v>144</v>
      </c>
      <c r="G1917" s="62" t="s">
        <v>145</v>
      </c>
      <c r="H1917" s="62" t="s">
        <v>59</v>
      </c>
      <c r="I1917" s="62" t="s">
        <v>47</v>
      </c>
      <c r="J1917" s="62" t="s">
        <v>146</v>
      </c>
      <c r="K1917" s="62" t="s">
        <v>147</v>
      </c>
      <c r="L1917" s="62" t="s">
        <v>4</v>
      </c>
      <c r="M1917" s="62" t="n">
        <v>1</v>
      </c>
      <c r="N1917" s="62" t="n">
        <v>0</v>
      </c>
      <c r="O1917" s="62" t="n">
        <v>1</v>
      </c>
      <c r="P1917" s="62" t="n">
        <v>0</v>
      </c>
      <c r="Q1917" s="62" t="n">
        <v>0</v>
      </c>
      <c r="R1917" s="62" t="n">
        <v>0</v>
      </c>
      <c r="S1917" s="62" t="n">
        <v>0</v>
      </c>
      <c r="T1917" s="62" t="n">
        <v>0</v>
      </c>
      <c r="U1917" s="62" t="s">
        <v>2056</v>
      </c>
      <c r="V1917" s="62" t="s">
        <v>2057</v>
      </c>
      <c r="W1917" s="62" t="s">
        <v>15</v>
      </c>
      <c r="X1917" s="62" t="s">
        <v>2058</v>
      </c>
      <c r="Y1917" s="62" t="s">
        <v>2059</v>
      </c>
      <c r="Z1917" s="62" t="s">
        <v>3529</v>
      </c>
      <c r="AA1917" s="62" t="s">
        <v>3530</v>
      </c>
      <c r="AB1917" s="62" t="n">
        <v>1</v>
      </c>
      <c r="AC1917" s="62" t="n">
        <v>0</v>
      </c>
      <c r="AD1917" s="62" t="n">
        <v>1</v>
      </c>
      <c r="AE1917" s="62" t="n">
        <f aca="false">IF(AND(Dashboard!$C$9="Yes",AC1917=1),0,1)</f>
        <v>1</v>
      </c>
      <c r="AF1917" s="62" t="n">
        <v>1</v>
      </c>
    </row>
    <row r="1918" customFormat="false" ht="15" hidden="false" customHeight="false" outlineLevel="0" collapsed="false">
      <c r="A1918" s="62" t="n">
        <v>1917</v>
      </c>
      <c r="B1918" s="63" t="n">
        <v>46277.9435416667</v>
      </c>
      <c r="C1918" s="64" t="n">
        <v>46277</v>
      </c>
      <c r="D1918" s="62" t="s">
        <v>358</v>
      </c>
      <c r="E1918" s="62" t="s">
        <v>144</v>
      </c>
      <c r="F1918" s="62" t="s">
        <v>144</v>
      </c>
      <c r="G1918" s="62" t="s">
        <v>145</v>
      </c>
      <c r="H1918" s="62" t="s">
        <v>59</v>
      </c>
      <c r="I1918" s="62" t="s">
        <v>47</v>
      </c>
      <c r="J1918" s="62" t="s">
        <v>146</v>
      </c>
      <c r="K1918" s="62" t="s">
        <v>147</v>
      </c>
      <c r="L1918" s="62" t="s">
        <v>4</v>
      </c>
      <c r="M1918" s="62" t="n">
        <v>1</v>
      </c>
      <c r="N1918" s="62" t="n">
        <v>0</v>
      </c>
      <c r="O1918" s="62" t="n">
        <v>1</v>
      </c>
      <c r="P1918" s="62" t="n">
        <v>0</v>
      </c>
      <c r="Q1918" s="62" t="n">
        <v>0</v>
      </c>
      <c r="R1918" s="62" t="n">
        <v>0</v>
      </c>
      <c r="S1918" s="62" t="n">
        <v>0</v>
      </c>
      <c r="T1918" s="62" t="n">
        <v>0</v>
      </c>
      <c r="U1918" s="62" t="s">
        <v>2056</v>
      </c>
      <c r="V1918" s="62" t="s">
        <v>2057</v>
      </c>
      <c r="W1918" s="62" t="s">
        <v>15</v>
      </c>
      <c r="X1918" s="62" t="s">
        <v>2058</v>
      </c>
      <c r="Y1918" s="62" t="s">
        <v>2059</v>
      </c>
      <c r="Z1918" s="62" t="s">
        <v>3529</v>
      </c>
      <c r="AA1918" s="62" t="s">
        <v>3530</v>
      </c>
      <c r="AB1918" s="62" t="n">
        <v>1</v>
      </c>
      <c r="AC1918" s="62" t="n">
        <v>1</v>
      </c>
      <c r="AD1918" s="62" t="n">
        <v>1</v>
      </c>
      <c r="AE1918" s="62" t="n">
        <f aca="false">IF(AND(Dashboard!$C$9="Yes",AC1918=1),0,1)</f>
        <v>0</v>
      </c>
      <c r="AF1918" s="62" t="n">
        <v>0</v>
      </c>
    </row>
    <row r="1919" customFormat="false" ht="15" hidden="false" customHeight="false" outlineLevel="0" collapsed="false">
      <c r="A1919" s="62" t="n">
        <v>1918</v>
      </c>
      <c r="B1919" s="63" t="n">
        <v>46277.9447916667</v>
      </c>
      <c r="C1919" s="64" t="n">
        <v>46277</v>
      </c>
      <c r="D1919" s="62" t="s">
        <v>358</v>
      </c>
      <c r="E1919" s="62" t="s">
        <v>518</v>
      </c>
      <c r="F1919" s="62" t="s">
        <v>518</v>
      </c>
      <c r="G1919" s="62" t="s">
        <v>519</v>
      </c>
      <c r="H1919" s="62" t="s">
        <v>52</v>
      </c>
      <c r="I1919" s="62" t="s">
        <v>47</v>
      </c>
      <c r="J1919" s="62" t="s">
        <v>146</v>
      </c>
      <c r="K1919" s="62" t="s">
        <v>147</v>
      </c>
      <c r="L1919" s="62" t="s">
        <v>4</v>
      </c>
      <c r="M1919" s="62" t="n">
        <v>1</v>
      </c>
      <c r="N1919" s="62" t="n">
        <v>0</v>
      </c>
      <c r="O1919" s="62" t="n">
        <v>1</v>
      </c>
      <c r="P1919" s="62" t="n">
        <v>0</v>
      </c>
      <c r="Q1919" s="62" t="n">
        <v>0</v>
      </c>
      <c r="R1919" s="62" t="n">
        <v>0</v>
      </c>
      <c r="S1919" s="62" t="n">
        <v>0</v>
      </c>
      <c r="T1919" s="62" t="n">
        <v>0</v>
      </c>
      <c r="U1919" s="62" t="s">
        <v>2056</v>
      </c>
      <c r="V1919" s="62" t="s">
        <v>2068</v>
      </c>
      <c r="W1919" s="62"/>
      <c r="X1919" s="62" t="s">
        <v>2058</v>
      </c>
      <c r="Y1919" s="62" t="s">
        <v>2103</v>
      </c>
      <c r="Z1919" s="62" t="s">
        <v>3531</v>
      </c>
      <c r="AA1919" s="62" t="s">
        <v>3532</v>
      </c>
      <c r="AB1919" s="62" t="n">
        <v>1</v>
      </c>
      <c r="AC1919" s="62" t="n">
        <v>0</v>
      </c>
      <c r="AD1919" s="62" t="n">
        <v>1</v>
      </c>
      <c r="AE1919" s="62" t="n">
        <f aca="false">IF(AND(Dashboard!$C$9="Yes",AC1919=1),0,1)</f>
        <v>1</v>
      </c>
      <c r="AF1919" s="62" t="n">
        <v>1</v>
      </c>
    </row>
    <row r="1920" customFormat="false" ht="15" hidden="false" customHeight="false" outlineLevel="0" collapsed="false">
      <c r="A1920" s="62" t="n">
        <v>1919</v>
      </c>
      <c r="B1920" s="63" t="n">
        <v>46277.9453009259</v>
      </c>
      <c r="C1920" s="64" t="n">
        <v>46277</v>
      </c>
      <c r="D1920" s="62" t="s">
        <v>358</v>
      </c>
      <c r="E1920" s="62" t="s">
        <v>273</v>
      </c>
      <c r="F1920" s="62" t="s">
        <v>273</v>
      </c>
      <c r="G1920" s="62" t="s">
        <v>274</v>
      </c>
      <c r="H1920" s="62" t="s">
        <v>59</v>
      </c>
      <c r="I1920" s="62" t="s">
        <v>47</v>
      </c>
      <c r="J1920" s="62" t="s">
        <v>146</v>
      </c>
      <c r="K1920" s="62" t="s">
        <v>147</v>
      </c>
      <c r="L1920" s="62" t="s">
        <v>148</v>
      </c>
      <c r="M1920" s="62" t="n">
        <v>0</v>
      </c>
      <c r="N1920" s="62" t="n">
        <v>1</v>
      </c>
      <c r="O1920" s="62" t="n">
        <v>1</v>
      </c>
      <c r="P1920" s="62" t="n">
        <v>1</v>
      </c>
      <c r="Q1920" s="62" t="n">
        <v>0</v>
      </c>
      <c r="R1920" s="62" t="n">
        <v>0</v>
      </c>
      <c r="S1920" s="62" t="n">
        <v>0</v>
      </c>
      <c r="T1920" s="62" t="n">
        <v>0</v>
      </c>
      <c r="U1920" s="62"/>
      <c r="V1920" s="62"/>
      <c r="W1920" s="62"/>
      <c r="X1920" s="62"/>
      <c r="Y1920" s="62"/>
      <c r="Z1920" s="62" t="s">
        <v>3533</v>
      </c>
      <c r="AA1920" s="62" t="s">
        <v>3534</v>
      </c>
      <c r="AB1920" s="62" t="n">
        <v>1</v>
      </c>
      <c r="AC1920" s="62" t="n">
        <v>0</v>
      </c>
      <c r="AD1920" s="62" t="n">
        <v>1</v>
      </c>
      <c r="AE1920" s="62" t="n">
        <f aca="false">IF(AND(Dashboard!$C$9="Yes",AC1920=1),0,1)</f>
        <v>1</v>
      </c>
      <c r="AF1920" s="62" t="n">
        <v>1</v>
      </c>
    </row>
    <row r="1921" customFormat="false" ht="15" hidden="false" customHeight="false" outlineLevel="0" collapsed="false">
      <c r="A1921" s="62" t="n">
        <v>1920</v>
      </c>
      <c r="B1921" s="63" t="n">
        <v>46277.9592824074</v>
      </c>
      <c r="C1921" s="64" t="n">
        <v>46277</v>
      </c>
      <c r="D1921" s="62" t="s">
        <v>358</v>
      </c>
      <c r="E1921" s="62" t="s">
        <v>3022</v>
      </c>
      <c r="F1921" s="62" t="s">
        <v>3022</v>
      </c>
      <c r="G1921" s="62" t="s">
        <v>3023</v>
      </c>
      <c r="H1921" s="62" t="s">
        <v>46</v>
      </c>
      <c r="I1921" s="62" t="s">
        <v>47</v>
      </c>
      <c r="J1921" s="62" t="s">
        <v>146</v>
      </c>
      <c r="K1921" s="62" t="s">
        <v>209</v>
      </c>
      <c r="L1921" s="62" t="s">
        <v>148</v>
      </c>
      <c r="M1921" s="62" t="n">
        <v>0</v>
      </c>
      <c r="N1921" s="62" t="n">
        <v>1</v>
      </c>
      <c r="O1921" s="62" t="n">
        <v>1</v>
      </c>
      <c r="P1921" s="62" t="n">
        <v>0</v>
      </c>
      <c r="Q1921" s="62" t="n">
        <v>0</v>
      </c>
      <c r="R1921" s="62" t="n">
        <v>0</v>
      </c>
      <c r="S1921" s="62" t="n">
        <v>0</v>
      </c>
      <c r="T1921" s="62" t="n">
        <v>1</v>
      </c>
      <c r="U1921" s="62"/>
      <c r="V1921" s="62"/>
      <c r="W1921" s="62"/>
      <c r="X1921" s="62"/>
      <c r="Y1921" s="62"/>
      <c r="Z1921" s="62" t="s">
        <v>3535</v>
      </c>
      <c r="AA1921" s="62" t="s">
        <v>337</v>
      </c>
      <c r="AB1921" s="62" t="n">
        <v>0</v>
      </c>
      <c r="AC1921" s="62" t="n">
        <v>0</v>
      </c>
      <c r="AD1921" s="62" t="n">
        <v>1</v>
      </c>
      <c r="AE1921" s="62" t="n">
        <f aca="false">IF(AND(Dashboard!$C$9="Yes",AC1921=1),0,1)</f>
        <v>1</v>
      </c>
      <c r="AF1921" s="62" t="n">
        <v>0</v>
      </c>
    </row>
    <row r="1922" customFormat="false" ht="15" hidden="false" customHeight="false" outlineLevel="0" collapsed="false">
      <c r="A1922" s="62" t="n">
        <v>1921</v>
      </c>
      <c r="B1922" s="63" t="n">
        <v>46277.9676388889</v>
      </c>
      <c r="C1922" s="64" t="n">
        <v>46277</v>
      </c>
      <c r="D1922" s="62" t="s">
        <v>358</v>
      </c>
      <c r="E1922" s="62" t="s">
        <v>573</v>
      </c>
      <c r="F1922" s="62" t="s">
        <v>573</v>
      </c>
      <c r="G1922" s="62" t="s">
        <v>574</v>
      </c>
      <c r="H1922" s="62" t="s">
        <v>51</v>
      </c>
      <c r="I1922" s="62" t="s">
        <v>47</v>
      </c>
      <c r="J1922" s="62" t="s">
        <v>146</v>
      </c>
      <c r="K1922" s="62" t="s">
        <v>147</v>
      </c>
      <c r="L1922" s="62" t="s">
        <v>148</v>
      </c>
      <c r="M1922" s="62" t="n">
        <v>0</v>
      </c>
      <c r="N1922" s="62" t="n">
        <v>2</v>
      </c>
      <c r="O1922" s="62" t="n">
        <v>2</v>
      </c>
      <c r="P1922" s="62" t="n">
        <v>1</v>
      </c>
      <c r="Q1922" s="62" t="n">
        <v>1</v>
      </c>
      <c r="R1922" s="62" t="n">
        <v>0</v>
      </c>
      <c r="S1922" s="62" t="n">
        <v>0</v>
      </c>
      <c r="T1922" s="62" t="n">
        <v>0</v>
      </c>
      <c r="U1922" s="62"/>
      <c r="V1922" s="62"/>
      <c r="W1922" s="62"/>
      <c r="X1922" s="62"/>
      <c r="Y1922" s="62"/>
      <c r="Z1922" s="62" t="s">
        <v>3536</v>
      </c>
      <c r="AA1922" s="62" t="s">
        <v>3537</v>
      </c>
      <c r="AB1922" s="62" t="n">
        <v>1</v>
      </c>
      <c r="AC1922" s="62" t="n">
        <v>0</v>
      </c>
      <c r="AD1922" s="62" t="n">
        <v>1</v>
      </c>
      <c r="AE1922" s="62" t="n">
        <f aca="false">IF(AND(Dashboard!$C$9="Yes",AC1922=1),0,1)</f>
        <v>1</v>
      </c>
      <c r="AF1922" s="62" t="n">
        <v>1</v>
      </c>
    </row>
    <row r="1923" customFormat="false" ht="15" hidden="false" customHeight="false" outlineLevel="0" collapsed="false">
      <c r="A1923" s="62" t="n">
        <v>1922</v>
      </c>
      <c r="B1923" s="63" t="n">
        <v>46277.97875</v>
      </c>
      <c r="C1923" s="64" t="n">
        <v>46277</v>
      </c>
      <c r="D1923" s="62" t="s">
        <v>358</v>
      </c>
      <c r="E1923" s="62" t="s">
        <v>2395</v>
      </c>
      <c r="F1923" s="62" t="s">
        <v>2395</v>
      </c>
      <c r="G1923" s="62" t="s">
        <v>2396</v>
      </c>
      <c r="H1923" s="62" t="s">
        <v>59</v>
      </c>
      <c r="I1923" s="62" t="s">
        <v>47</v>
      </c>
      <c r="J1923" s="62" t="s">
        <v>146</v>
      </c>
      <c r="K1923" s="62" t="s">
        <v>209</v>
      </c>
      <c r="L1923" s="62" t="s">
        <v>4</v>
      </c>
      <c r="M1923" s="62" t="n">
        <v>1</v>
      </c>
      <c r="N1923" s="62" t="n">
        <v>0</v>
      </c>
      <c r="O1923" s="62" t="n">
        <v>1</v>
      </c>
      <c r="P1923" s="62" t="n">
        <v>0</v>
      </c>
      <c r="Q1923" s="62" t="n">
        <v>0</v>
      </c>
      <c r="R1923" s="62" t="n">
        <v>0</v>
      </c>
      <c r="S1923" s="62" t="n">
        <v>0</v>
      </c>
      <c r="T1923" s="62" t="n">
        <v>0</v>
      </c>
      <c r="U1923" s="62" t="s">
        <v>15</v>
      </c>
      <c r="V1923" s="62" t="s">
        <v>2057</v>
      </c>
      <c r="W1923" s="62" t="s">
        <v>15</v>
      </c>
      <c r="X1923" s="62" t="s">
        <v>2058</v>
      </c>
      <c r="Y1923" s="62" t="s">
        <v>2103</v>
      </c>
      <c r="Z1923" s="62" t="s">
        <v>3538</v>
      </c>
      <c r="AA1923" s="62" t="s">
        <v>3539</v>
      </c>
      <c r="AB1923" s="62" t="n">
        <v>1</v>
      </c>
      <c r="AC1923" s="62" t="n">
        <v>0</v>
      </c>
      <c r="AD1923" s="62" t="n">
        <v>1</v>
      </c>
      <c r="AE1923" s="62" t="n">
        <f aca="false">IF(AND(Dashboard!$C$9="Yes",AC1923=1),0,1)</f>
        <v>1</v>
      </c>
      <c r="AF1923" s="62" t="n">
        <v>1</v>
      </c>
    </row>
    <row r="1924" customFormat="false" ht="15" hidden="false" customHeight="false" outlineLevel="0" collapsed="false">
      <c r="A1924" s="62" t="n">
        <v>1923</v>
      </c>
      <c r="B1924" s="63" t="n">
        <v>46277.9798032407</v>
      </c>
      <c r="C1924" s="64" t="n">
        <v>46277</v>
      </c>
      <c r="D1924" s="62" t="s">
        <v>358</v>
      </c>
      <c r="E1924" s="62" t="s">
        <v>164</v>
      </c>
      <c r="F1924" s="62" t="s">
        <v>164</v>
      </c>
      <c r="G1924" s="62" t="s">
        <v>165</v>
      </c>
      <c r="H1924" s="62" t="s">
        <v>51</v>
      </c>
      <c r="I1924" s="62" t="s">
        <v>47</v>
      </c>
      <c r="J1924" s="62" t="s">
        <v>146</v>
      </c>
      <c r="K1924" s="62" t="s">
        <v>147</v>
      </c>
      <c r="L1924" s="62" t="s">
        <v>148</v>
      </c>
      <c r="M1924" s="62" t="n">
        <v>0</v>
      </c>
      <c r="N1924" s="62" t="n">
        <v>1</v>
      </c>
      <c r="O1924" s="62" t="n">
        <v>1</v>
      </c>
      <c r="P1924" s="62" t="n">
        <v>1</v>
      </c>
      <c r="Q1924" s="62" t="n">
        <v>0</v>
      </c>
      <c r="R1924" s="62" t="n">
        <v>0</v>
      </c>
      <c r="S1924" s="62" t="n">
        <v>0</v>
      </c>
      <c r="T1924" s="62" t="n">
        <v>0</v>
      </c>
      <c r="U1924" s="62"/>
      <c r="V1924" s="62"/>
      <c r="W1924" s="62"/>
      <c r="X1924" s="62"/>
      <c r="Y1924" s="62"/>
      <c r="Z1924" s="62" t="s">
        <v>3540</v>
      </c>
      <c r="AA1924" s="62" t="s">
        <v>3541</v>
      </c>
      <c r="AB1924" s="62" t="n">
        <v>1</v>
      </c>
      <c r="AC1924" s="62" t="n">
        <v>0</v>
      </c>
      <c r="AD1924" s="62" t="n">
        <v>1</v>
      </c>
      <c r="AE1924" s="62" t="n">
        <f aca="false">IF(AND(Dashboard!$C$9="Yes",AC1924=1),0,1)</f>
        <v>1</v>
      </c>
      <c r="AF1924" s="62" t="n">
        <v>1</v>
      </c>
    </row>
    <row r="1925" customFormat="false" ht="15" hidden="false" customHeight="false" outlineLevel="0" collapsed="false">
      <c r="A1925" s="62" t="n">
        <v>1924</v>
      </c>
      <c r="B1925" s="63" t="n">
        <v>46277.9802662037</v>
      </c>
      <c r="C1925" s="64" t="n">
        <v>46277</v>
      </c>
      <c r="D1925" s="62" t="s">
        <v>358</v>
      </c>
      <c r="E1925" s="62" t="s">
        <v>1539</v>
      </c>
      <c r="F1925" s="62" t="s">
        <v>1539</v>
      </c>
      <c r="G1925" s="62" t="s">
        <v>1540</v>
      </c>
      <c r="H1925" s="62" t="s">
        <v>52</v>
      </c>
      <c r="I1925" s="62" t="s">
        <v>47</v>
      </c>
      <c r="J1925" s="62" t="s">
        <v>146</v>
      </c>
      <c r="K1925" s="62" t="s">
        <v>147</v>
      </c>
      <c r="L1925" s="62" t="s">
        <v>148</v>
      </c>
      <c r="M1925" s="62" t="n">
        <v>0</v>
      </c>
      <c r="N1925" s="62" t="n">
        <v>1</v>
      </c>
      <c r="O1925" s="62" t="n">
        <v>1</v>
      </c>
      <c r="P1925" s="62" t="n">
        <v>1</v>
      </c>
      <c r="Q1925" s="62" t="n">
        <v>0</v>
      </c>
      <c r="R1925" s="62" t="n">
        <v>0</v>
      </c>
      <c r="S1925" s="62" t="n">
        <v>0</v>
      </c>
      <c r="T1925" s="62" t="n">
        <v>0</v>
      </c>
      <c r="U1925" s="62"/>
      <c r="V1925" s="62"/>
      <c r="W1925" s="62"/>
      <c r="X1925" s="62"/>
      <c r="Y1925" s="62"/>
      <c r="Z1925" s="62" t="s">
        <v>3542</v>
      </c>
      <c r="AA1925" s="62" t="s">
        <v>3543</v>
      </c>
      <c r="AB1925" s="62" t="n">
        <v>1</v>
      </c>
      <c r="AC1925" s="62" t="n">
        <v>0</v>
      </c>
      <c r="AD1925" s="62" t="n">
        <v>1</v>
      </c>
      <c r="AE1925" s="62" t="n">
        <f aca="false">IF(AND(Dashboard!$C$9="Yes",AC1925=1),0,1)</f>
        <v>1</v>
      </c>
      <c r="AF1925" s="62" t="n">
        <v>1</v>
      </c>
    </row>
    <row r="1926" customFormat="false" ht="15" hidden="false" customHeight="false" outlineLevel="0" collapsed="false">
      <c r="A1926" s="62" t="n">
        <v>1925</v>
      </c>
      <c r="B1926" s="63" t="n">
        <v>46277.9806018519</v>
      </c>
      <c r="C1926" s="64" t="n">
        <v>46277</v>
      </c>
      <c r="D1926" s="62" t="s">
        <v>358</v>
      </c>
      <c r="E1926" s="62" t="s">
        <v>164</v>
      </c>
      <c r="F1926" s="62" t="s">
        <v>164</v>
      </c>
      <c r="G1926" s="62" t="s">
        <v>165</v>
      </c>
      <c r="H1926" s="62" t="s">
        <v>51</v>
      </c>
      <c r="I1926" s="62" t="s">
        <v>47</v>
      </c>
      <c r="J1926" s="62" t="s">
        <v>146</v>
      </c>
      <c r="K1926" s="62" t="s">
        <v>147</v>
      </c>
      <c r="L1926" s="62" t="s">
        <v>148</v>
      </c>
      <c r="M1926" s="62" t="n">
        <v>0</v>
      </c>
      <c r="N1926" s="62" t="n">
        <v>1</v>
      </c>
      <c r="O1926" s="62" t="n">
        <v>1</v>
      </c>
      <c r="P1926" s="62" t="n">
        <v>1</v>
      </c>
      <c r="Q1926" s="62" t="n">
        <v>0</v>
      </c>
      <c r="R1926" s="62" t="n">
        <v>0</v>
      </c>
      <c r="S1926" s="62" t="n">
        <v>0</v>
      </c>
      <c r="T1926" s="62" t="n">
        <v>0</v>
      </c>
      <c r="U1926" s="62"/>
      <c r="V1926" s="62"/>
      <c r="W1926" s="62"/>
      <c r="X1926" s="62"/>
      <c r="Y1926" s="62"/>
      <c r="Z1926" s="62" t="s">
        <v>3540</v>
      </c>
      <c r="AA1926" s="62" t="s">
        <v>3541</v>
      </c>
      <c r="AB1926" s="62" t="n">
        <v>1</v>
      </c>
      <c r="AC1926" s="62" t="n">
        <v>1</v>
      </c>
      <c r="AD1926" s="62" t="n">
        <v>1</v>
      </c>
      <c r="AE1926" s="62" t="n">
        <f aca="false">IF(AND(Dashboard!$C$9="Yes",AC1926=1),0,1)</f>
        <v>0</v>
      </c>
      <c r="AF1926" s="62" t="n">
        <v>0</v>
      </c>
    </row>
    <row r="1927" customFormat="false" ht="15" hidden="false" customHeight="false" outlineLevel="0" collapsed="false">
      <c r="A1927" s="62" t="n">
        <v>1926</v>
      </c>
      <c r="B1927" s="63" t="n">
        <v>46277.984837963</v>
      </c>
      <c r="C1927" s="64" t="n">
        <v>46277</v>
      </c>
      <c r="D1927" s="62" t="s">
        <v>358</v>
      </c>
      <c r="E1927" s="62" t="s">
        <v>573</v>
      </c>
      <c r="F1927" s="62" t="s">
        <v>573</v>
      </c>
      <c r="G1927" s="62" t="s">
        <v>574</v>
      </c>
      <c r="H1927" s="62" t="s">
        <v>51</v>
      </c>
      <c r="I1927" s="62" t="s">
        <v>47</v>
      </c>
      <c r="J1927" s="62" t="s">
        <v>146</v>
      </c>
      <c r="K1927" s="62" t="s">
        <v>147</v>
      </c>
      <c r="L1927" s="62" t="s">
        <v>148</v>
      </c>
      <c r="M1927" s="62" t="n">
        <v>0</v>
      </c>
      <c r="N1927" s="62" t="n">
        <v>1</v>
      </c>
      <c r="O1927" s="62" t="n">
        <v>1</v>
      </c>
      <c r="P1927" s="62" t="n">
        <v>0</v>
      </c>
      <c r="Q1927" s="62" t="n">
        <v>1</v>
      </c>
      <c r="R1927" s="62" t="n">
        <v>0</v>
      </c>
      <c r="S1927" s="62" t="n">
        <v>0</v>
      </c>
      <c r="T1927" s="62" t="n">
        <v>0</v>
      </c>
      <c r="U1927" s="62"/>
      <c r="V1927" s="62"/>
      <c r="W1927" s="62"/>
      <c r="X1927" s="62"/>
      <c r="Y1927" s="62"/>
      <c r="Z1927" s="62" t="s">
        <v>3544</v>
      </c>
      <c r="AA1927" s="62" t="s">
        <v>3545</v>
      </c>
      <c r="AB1927" s="62" t="n">
        <v>1</v>
      </c>
      <c r="AC1927" s="62" t="n">
        <v>0</v>
      </c>
      <c r="AD1927" s="62" t="n">
        <v>1</v>
      </c>
      <c r="AE1927" s="62" t="n">
        <f aca="false">IF(AND(Dashboard!$C$9="Yes",AC1927=1),0,1)</f>
        <v>1</v>
      </c>
      <c r="AF1927" s="62" t="n">
        <v>0</v>
      </c>
    </row>
    <row r="1928" customFormat="false" ht="15" hidden="false" customHeight="false" outlineLevel="0" collapsed="false">
      <c r="A1928" s="62" t="n">
        <v>1927</v>
      </c>
      <c r="B1928" s="63" t="n">
        <v>46278.0021875</v>
      </c>
      <c r="C1928" s="64" t="n">
        <v>46277</v>
      </c>
      <c r="D1928" s="62" t="s">
        <v>358</v>
      </c>
      <c r="E1928" s="62" t="s">
        <v>2620</v>
      </c>
      <c r="F1928" s="62" t="s">
        <v>2620</v>
      </c>
      <c r="G1928" s="62" t="s">
        <v>2621</v>
      </c>
      <c r="H1928" s="62" t="s">
        <v>48</v>
      </c>
      <c r="I1928" s="62" t="s">
        <v>49</v>
      </c>
      <c r="J1928" s="62" t="s">
        <v>146</v>
      </c>
      <c r="K1928" s="62" t="s">
        <v>209</v>
      </c>
      <c r="L1928" s="62" t="s">
        <v>148</v>
      </c>
      <c r="M1928" s="62" t="n">
        <v>0</v>
      </c>
      <c r="N1928" s="62" t="n">
        <v>1</v>
      </c>
      <c r="O1928" s="62" t="n">
        <v>1</v>
      </c>
      <c r="P1928" s="62" t="n">
        <v>1</v>
      </c>
      <c r="Q1928" s="62" t="n">
        <v>0</v>
      </c>
      <c r="R1928" s="62" t="n">
        <v>0</v>
      </c>
      <c r="S1928" s="62" t="n">
        <v>0</v>
      </c>
      <c r="T1928" s="62" t="n">
        <v>0</v>
      </c>
      <c r="U1928" s="62"/>
      <c r="V1928" s="62"/>
      <c r="W1928" s="62"/>
      <c r="X1928" s="62"/>
      <c r="Y1928" s="62"/>
      <c r="Z1928" s="62" t="s">
        <v>3546</v>
      </c>
      <c r="AA1928" s="62" t="s">
        <v>3547</v>
      </c>
      <c r="AB1928" s="62" t="n">
        <v>1</v>
      </c>
      <c r="AC1928" s="62" t="n">
        <v>0</v>
      </c>
      <c r="AD1928" s="62" t="n">
        <v>1</v>
      </c>
      <c r="AE1928" s="62" t="n">
        <f aca="false">IF(AND(Dashboard!$C$9="Yes",AC1928=1),0,1)</f>
        <v>1</v>
      </c>
      <c r="AF1928" s="62" t="n">
        <v>0</v>
      </c>
    </row>
    <row r="1929" customFormat="false" ht="15" hidden="false" customHeight="false" outlineLevel="0" collapsed="false">
      <c r="A1929" s="62" t="n">
        <v>1928</v>
      </c>
      <c r="B1929" s="63" t="n">
        <v>46278.0051273148</v>
      </c>
      <c r="C1929" s="64" t="n">
        <v>46277</v>
      </c>
      <c r="D1929" s="62" t="s">
        <v>358</v>
      </c>
      <c r="E1929" s="62" t="s">
        <v>207</v>
      </c>
      <c r="F1929" s="62" t="s">
        <v>207</v>
      </c>
      <c r="G1929" s="62" t="s">
        <v>208</v>
      </c>
      <c r="H1929" s="62" t="s">
        <v>48</v>
      </c>
      <c r="I1929" s="62" t="s">
        <v>49</v>
      </c>
      <c r="J1929" s="62" t="s">
        <v>146</v>
      </c>
      <c r="K1929" s="62" t="s">
        <v>209</v>
      </c>
      <c r="L1929" s="62" t="s">
        <v>148</v>
      </c>
      <c r="M1929" s="62" t="n">
        <v>0</v>
      </c>
      <c r="N1929" s="62" t="n">
        <v>2</v>
      </c>
      <c r="O1929" s="62" t="n">
        <v>2</v>
      </c>
      <c r="P1929" s="62" t="n">
        <v>1</v>
      </c>
      <c r="Q1929" s="62" t="n">
        <v>1</v>
      </c>
      <c r="R1929" s="62" t="n">
        <v>0</v>
      </c>
      <c r="S1929" s="62" t="n">
        <v>0</v>
      </c>
      <c r="T1929" s="62" t="n">
        <v>0</v>
      </c>
      <c r="U1929" s="62"/>
      <c r="V1929" s="62"/>
      <c r="W1929" s="62"/>
      <c r="X1929" s="62"/>
      <c r="Y1929" s="62"/>
      <c r="Z1929" s="62" t="s">
        <v>3548</v>
      </c>
      <c r="AA1929" s="62" t="s">
        <v>3549</v>
      </c>
      <c r="AB1929" s="62" t="n">
        <v>1</v>
      </c>
      <c r="AC1929" s="62" t="n">
        <v>0</v>
      </c>
      <c r="AD1929" s="62" t="n">
        <v>1</v>
      </c>
      <c r="AE1929" s="62" t="n">
        <f aca="false">IF(AND(Dashboard!$C$9="Yes",AC1929=1),0,1)</f>
        <v>1</v>
      </c>
      <c r="AF1929" s="62" t="n">
        <v>0</v>
      </c>
    </row>
    <row r="1930" customFormat="false" ht="15" hidden="false" customHeight="false" outlineLevel="0" collapsed="false">
      <c r="A1930" s="62" t="n">
        <v>1929</v>
      </c>
      <c r="B1930" s="63" t="n">
        <v>46278.0363541667</v>
      </c>
      <c r="C1930" s="64" t="n">
        <v>46277</v>
      </c>
      <c r="D1930" s="62" t="s">
        <v>358</v>
      </c>
      <c r="E1930" s="62" t="s">
        <v>3022</v>
      </c>
      <c r="F1930" s="62" t="s">
        <v>3022</v>
      </c>
      <c r="G1930" s="62" t="s">
        <v>3023</v>
      </c>
      <c r="H1930" s="62" t="s">
        <v>46</v>
      </c>
      <c r="I1930" s="62" t="s">
        <v>47</v>
      </c>
      <c r="J1930" s="62" t="s">
        <v>146</v>
      </c>
      <c r="K1930" s="62" t="s">
        <v>209</v>
      </c>
      <c r="L1930" s="62" t="s">
        <v>148</v>
      </c>
      <c r="M1930" s="62" t="n">
        <v>0</v>
      </c>
      <c r="N1930" s="62" t="n">
        <v>1</v>
      </c>
      <c r="O1930" s="62" t="n">
        <v>1</v>
      </c>
      <c r="P1930" s="62" t="n">
        <v>0</v>
      </c>
      <c r="Q1930" s="62" t="n">
        <v>0</v>
      </c>
      <c r="R1930" s="62" t="n">
        <v>0</v>
      </c>
      <c r="S1930" s="62" t="n">
        <v>1</v>
      </c>
      <c r="T1930" s="62" t="n">
        <v>0</v>
      </c>
      <c r="U1930" s="62"/>
      <c r="V1930" s="62"/>
      <c r="W1930" s="62"/>
      <c r="X1930" s="62"/>
      <c r="Y1930" s="62"/>
      <c r="Z1930" s="62" t="s">
        <v>3550</v>
      </c>
      <c r="AA1930" s="62" t="s">
        <v>337</v>
      </c>
      <c r="AB1930" s="62" t="n">
        <v>0</v>
      </c>
      <c r="AC1930" s="62" t="n">
        <v>0</v>
      </c>
      <c r="AD1930" s="62" t="n">
        <v>1</v>
      </c>
      <c r="AE1930" s="62" t="n">
        <f aca="false">IF(AND(Dashboard!$C$9="Yes",AC1930=1),0,1)</f>
        <v>1</v>
      </c>
      <c r="AF1930" s="62" t="n">
        <v>0</v>
      </c>
    </row>
    <row r="1931" customFormat="false" ht="15" hidden="false" customHeight="false" outlineLevel="0" collapsed="false">
      <c r="A1931" s="62" t="n">
        <v>1930</v>
      </c>
      <c r="B1931" s="63" t="n">
        <v>46278.0383333333</v>
      </c>
      <c r="C1931" s="64" t="n">
        <v>46277</v>
      </c>
      <c r="D1931" s="62" t="s">
        <v>358</v>
      </c>
      <c r="E1931" s="62" t="s">
        <v>1255</v>
      </c>
      <c r="F1931" s="62" t="s">
        <v>1255</v>
      </c>
      <c r="G1931" s="62" t="s">
        <v>1256</v>
      </c>
      <c r="H1931" s="62" t="s">
        <v>52</v>
      </c>
      <c r="I1931" s="62" t="s">
        <v>47</v>
      </c>
      <c r="J1931" s="62" t="s">
        <v>146</v>
      </c>
      <c r="K1931" s="62" t="s">
        <v>147</v>
      </c>
      <c r="L1931" s="62" t="s">
        <v>148</v>
      </c>
      <c r="M1931" s="62" t="n">
        <v>0</v>
      </c>
      <c r="N1931" s="62" t="n">
        <v>1</v>
      </c>
      <c r="O1931" s="62" t="n">
        <v>1</v>
      </c>
      <c r="P1931" s="62" t="n">
        <v>1</v>
      </c>
      <c r="Q1931" s="62" t="n">
        <v>0</v>
      </c>
      <c r="R1931" s="62" t="n">
        <v>0</v>
      </c>
      <c r="S1931" s="62" t="n">
        <v>0</v>
      </c>
      <c r="T1931" s="62" t="n">
        <v>0</v>
      </c>
      <c r="U1931" s="62"/>
      <c r="V1931" s="62"/>
      <c r="W1931" s="62"/>
      <c r="X1931" s="62"/>
      <c r="Y1931" s="62"/>
      <c r="Z1931" s="62" t="s">
        <v>3551</v>
      </c>
      <c r="AA1931" s="62" t="s">
        <v>3552</v>
      </c>
      <c r="AB1931" s="62" t="n">
        <v>1</v>
      </c>
      <c r="AC1931" s="62" t="n">
        <v>0</v>
      </c>
      <c r="AD1931" s="62" t="n">
        <v>1</v>
      </c>
      <c r="AE1931" s="62" t="n">
        <f aca="false">IF(AND(Dashboard!$C$9="Yes",AC1931=1),0,1)</f>
        <v>1</v>
      </c>
      <c r="AF1931" s="62" t="n">
        <v>1</v>
      </c>
    </row>
    <row r="1932" customFormat="false" ht="15" hidden="false" customHeight="false" outlineLevel="0" collapsed="false">
      <c r="A1932" s="62" t="n">
        <v>1931</v>
      </c>
      <c r="B1932" s="63" t="n">
        <v>46278.041087963</v>
      </c>
      <c r="C1932" s="64" t="n">
        <v>46277</v>
      </c>
      <c r="D1932" s="62" t="s">
        <v>358</v>
      </c>
      <c r="E1932" s="62" t="s">
        <v>156</v>
      </c>
      <c r="F1932" s="62" t="s">
        <v>156</v>
      </c>
      <c r="G1932" s="62" t="s">
        <v>157</v>
      </c>
      <c r="H1932" s="62" t="s">
        <v>51</v>
      </c>
      <c r="I1932" s="62" t="s">
        <v>47</v>
      </c>
      <c r="J1932" s="62" t="s">
        <v>146</v>
      </c>
      <c r="K1932" s="62" t="s">
        <v>147</v>
      </c>
      <c r="L1932" s="62" t="s">
        <v>148</v>
      </c>
      <c r="M1932" s="62" t="n">
        <v>0</v>
      </c>
      <c r="N1932" s="62" t="n">
        <v>1</v>
      </c>
      <c r="O1932" s="62" t="n">
        <v>1</v>
      </c>
      <c r="P1932" s="62" t="n">
        <v>1</v>
      </c>
      <c r="Q1932" s="62" t="n">
        <v>0</v>
      </c>
      <c r="R1932" s="62" t="n">
        <v>0</v>
      </c>
      <c r="S1932" s="62" t="n">
        <v>0</v>
      </c>
      <c r="T1932" s="62" t="n">
        <v>0</v>
      </c>
      <c r="U1932" s="62"/>
      <c r="V1932" s="62"/>
      <c r="W1932" s="62"/>
      <c r="X1932" s="62"/>
      <c r="Y1932" s="62"/>
      <c r="Z1932" s="62" t="s">
        <v>3553</v>
      </c>
      <c r="AA1932" s="62" t="s">
        <v>3554</v>
      </c>
      <c r="AB1932" s="62" t="n">
        <v>1</v>
      </c>
      <c r="AC1932" s="62" t="n">
        <v>0</v>
      </c>
      <c r="AD1932" s="62" t="n">
        <v>1</v>
      </c>
      <c r="AE1932" s="62" t="n">
        <f aca="false">IF(AND(Dashboard!$C$9="Yes",AC1932=1),0,1)</f>
        <v>1</v>
      </c>
      <c r="AF1932" s="62" t="n">
        <v>1</v>
      </c>
    </row>
    <row r="1933" customFormat="false" ht="15" hidden="false" customHeight="false" outlineLevel="0" collapsed="false">
      <c r="A1933" s="62" t="n">
        <v>1932</v>
      </c>
      <c r="B1933" s="63" t="n">
        <v>46278.0572569444</v>
      </c>
      <c r="C1933" s="64" t="n">
        <v>46277</v>
      </c>
      <c r="D1933" s="62" t="s">
        <v>358</v>
      </c>
      <c r="E1933" s="62" t="s">
        <v>2395</v>
      </c>
      <c r="F1933" s="62" t="s">
        <v>2395</v>
      </c>
      <c r="G1933" s="62" t="s">
        <v>2396</v>
      </c>
      <c r="H1933" s="62" t="s">
        <v>59</v>
      </c>
      <c r="I1933" s="62" t="s">
        <v>47</v>
      </c>
      <c r="J1933" s="62" t="s">
        <v>146</v>
      </c>
      <c r="K1933" s="62" t="s">
        <v>209</v>
      </c>
      <c r="L1933" s="62" t="s">
        <v>4</v>
      </c>
      <c r="M1933" s="62" t="n">
        <v>1</v>
      </c>
      <c r="N1933" s="62" t="n">
        <v>0</v>
      </c>
      <c r="O1933" s="62" t="n">
        <v>1</v>
      </c>
      <c r="P1933" s="62" t="n">
        <v>0</v>
      </c>
      <c r="Q1933" s="62" t="n">
        <v>0</v>
      </c>
      <c r="R1933" s="62" t="n">
        <v>0</v>
      </c>
      <c r="S1933" s="62" t="n">
        <v>0</v>
      </c>
      <c r="T1933" s="62" t="n">
        <v>0</v>
      </c>
      <c r="U1933" s="62" t="s">
        <v>2056</v>
      </c>
      <c r="V1933" s="62" t="s">
        <v>2057</v>
      </c>
      <c r="W1933" s="62" t="s">
        <v>15</v>
      </c>
      <c r="X1933" s="62" t="s">
        <v>2058</v>
      </c>
      <c r="Y1933" s="62" t="s">
        <v>2103</v>
      </c>
      <c r="Z1933" s="62" t="s">
        <v>3555</v>
      </c>
      <c r="AA1933" s="62" t="s">
        <v>2398</v>
      </c>
      <c r="AB1933" s="62" t="n">
        <v>0</v>
      </c>
      <c r="AC1933" s="62" t="n">
        <v>0</v>
      </c>
      <c r="AD1933" s="62" t="n">
        <v>1</v>
      </c>
      <c r="AE1933" s="62" t="n">
        <f aca="false">IF(AND(Dashboard!$C$9="Yes",AC1933=1),0,1)</f>
        <v>1</v>
      </c>
      <c r="AF1933" s="62" t="n">
        <v>0</v>
      </c>
    </row>
    <row r="1934" customFormat="false" ht="15" hidden="false" customHeight="false" outlineLevel="0" collapsed="false">
      <c r="A1934" s="62" t="n">
        <v>1933</v>
      </c>
      <c r="B1934" s="63" t="n">
        <v>46278.0667824074</v>
      </c>
      <c r="C1934" s="64" t="n">
        <v>46277</v>
      </c>
      <c r="D1934" s="62" t="s">
        <v>358</v>
      </c>
      <c r="E1934" s="62" t="s">
        <v>144</v>
      </c>
      <c r="F1934" s="62" t="s">
        <v>144</v>
      </c>
      <c r="G1934" s="62" t="s">
        <v>145</v>
      </c>
      <c r="H1934" s="62" t="s">
        <v>59</v>
      </c>
      <c r="I1934" s="62" t="s">
        <v>47</v>
      </c>
      <c r="J1934" s="62" t="s">
        <v>146</v>
      </c>
      <c r="K1934" s="62" t="s">
        <v>147</v>
      </c>
      <c r="L1934" s="62" t="s">
        <v>148</v>
      </c>
      <c r="M1934" s="62" t="n">
        <v>0</v>
      </c>
      <c r="N1934" s="62" t="n">
        <v>1</v>
      </c>
      <c r="O1934" s="62" t="n">
        <v>1</v>
      </c>
      <c r="P1934" s="62" t="n">
        <v>1</v>
      </c>
      <c r="Q1934" s="62" t="n">
        <v>0</v>
      </c>
      <c r="R1934" s="62" t="n">
        <v>0</v>
      </c>
      <c r="S1934" s="62" t="n">
        <v>0</v>
      </c>
      <c r="T1934" s="62" t="n">
        <v>0</v>
      </c>
      <c r="U1934" s="62"/>
      <c r="V1934" s="62"/>
      <c r="W1934" s="62"/>
      <c r="X1934" s="62"/>
      <c r="Y1934" s="62"/>
      <c r="Z1934" s="62" t="s">
        <v>3556</v>
      </c>
      <c r="AA1934" s="62" t="s">
        <v>3556</v>
      </c>
      <c r="AB1934" s="62" t="n">
        <v>1</v>
      </c>
      <c r="AC1934" s="62" t="n">
        <v>0</v>
      </c>
      <c r="AD1934" s="62" t="n">
        <v>1</v>
      </c>
      <c r="AE1934" s="62" t="n">
        <f aca="false">IF(AND(Dashboard!$C$9="Yes",AC1934=1),0,1)</f>
        <v>1</v>
      </c>
      <c r="AF1934" s="62" t="n">
        <v>0</v>
      </c>
    </row>
    <row r="1935" customFormat="false" ht="15" hidden="false" customHeight="false" outlineLevel="0" collapsed="false">
      <c r="A1935" s="62" t="n">
        <v>1934</v>
      </c>
      <c r="B1935" s="63" t="n">
        <v>46278.0670138889</v>
      </c>
      <c r="C1935" s="64" t="n">
        <v>46277</v>
      </c>
      <c r="D1935" s="62" t="s">
        <v>358</v>
      </c>
      <c r="E1935" s="62" t="s">
        <v>144</v>
      </c>
      <c r="F1935" s="62" t="s">
        <v>144</v>
      </c>
      <c r="G1935" s="62" t="s">
        <v>145</v>
      </c>
      <c r="H1935" s="62" t="s">
        <v>59</v>
      </c>
      <c r="I1935" s="62" t="s">
        <v>47</v>
      </c>
      <c r="J1935" s="62" t="s">
        <v>146</v>
      </c>
      <c r="K1935" s="62" t="s">
        <v>147</v>
      </c>
      <c r="L1935" s="62" t="s">
        <v>148</v>
      </c>
      <c r="M1935" s="62" t="n">
        <v>0</v>
      </c>
      <c r="N1935" s="62" t="n">
        <v>1</v>
      </c>
      <c r="O1935" s="62" t="n">
        <v>1</v>
      </c>
      <c r="P1935" s="62" t="n">
        <v>1</v>
      </c>
      <c r="Q1935" s="62" t="n">
        <v>0</v>
      </c>
      <c r="R1935" s="62" t="n">
        <v>0</v>
      </c>
      <c r="S1935" s="62" t="n">
        <v>0</v>
      </c>
      <c r="T1935" s="62" t="n">
        <v>0</v>
      </c>
      <c r="U1935" s="62"/>
      <c r="V1935" s="62"/>
      <c r="W1935" s="62"/>
      <c r="X1935" s="62"/>
      <c r="Y1935" s="62"/>
      <c r="Z1935" s="62" t="s">
        <v>3556</v>
      </c>
      <c r="AA1935" s="62" t="s">
        <v>3557</v>
      </c>
      <c r="AB1935" s="62" t="n">
        <v>1</v>
      </c>
      <c r="AC1935" s="62" t="n">
        <v>0</v>
      </c>
      <c r="AD1935" s="62" t="n">
        <v>1</v>
      </c>
      <c r="AE1935" s="62" t="n">
        <f aca="false">IF(AND(Dashboard!$C$9="Yes",AC1935=1),0,1)</f>
        <v>1</v>
      </c>
      <c r="AF1935" s="62" t="n">
        <v>0</v>
      </c>
    </row>
    <row r="1936" customFormat="false" ht="15" hidden="false" customHeight="false" outlineLevel="0" collapsed="false">
      <c r="A1936" s="62" t="n">
        <v>1935</v>
      </c>
      <c r="B1936" s="63" t="n">
        <v>46278.0675231482</v>
      </c>
      <c r="C1936" s="64" t="n">
        <v>46277</v>
      </c>
      <c r="D1936" s="62" t="s">
        <v>358</v>
      </c>
      <c r="E1936" s="62" t="s">
        <v>144</v>
      </c>
      <c r="F1936" s="62" t="s">
        <v>144</v>
      </c>
      <c r="G1936" s="62" t="s">
        <v>145</v>
      </c>
      <c r="H1936" s="62" t="s">
        <v>59</v>
      </c>
      <c r="I1936" s="62" t="s">
        <v>47</v>
      </c>
      <c r="J1936" s="62" t="s">
        <v>146</v>
      </c>
      <c r="K1936" s="62" t="s">
        <v>147</v>
      </c>
      <c r="L1936" s="62" t="s">
        <v>148</v>
      </c>
      <c r="M1936" s="62" t="n">
        <v>0</v>
      </c>
      <c r="N1936" s="62" t="n">
        <v>1</v>
      </c>
      <c r="O1936" s="62" t="n">
        <v>1</v>
      </c>
      <c r="P1936" s="62" t="n">
        <v>1</v>
      </c>
      <c r="Q1936" s="62" t="n">
        <v>0</v>
      </c>
      <c r="R1936" s="62" t="n">
        <v>0</v>
      </c>
      <c r="S1936" s="62" t="n">
        <v>0</v>
      </c>
      <c r="T1936" s="62" t="n">
        <v>0</v>
      </c>
      <c r="U1936" s="62"/>
      <c r="V1936" s="62"/>
      <c r="W1936" s="62"/>
      <c r="X1936" s="62"/>
      <c r="Y1936" s="62"/>
      <c r="Z1936" s="62" t="s">
        <v>3556</v>
      </c>
      <c r="AA1936" s="62" t="s">
        <v>3556</v>
      </c>
      <c r="AB1936" s="62" t="n">
        <v>1</v>
      </c>
      <c r="AC1936" s="62" t="n">
        <v>1</v>
      </c>
      <c r="AD1936" s="62" t="n">
        <v>1</v>
      </c>
      <c r="AE1936" s="62" t="n">
        <f aca="false">IF(AND(Dashboard!$C$9="Yes",AC1936=1),0,1)</f>
        <v>0</v>
      </c>
      <c r="AF1936" s="62" t="n">
        <v>0</v>
      </c>
    </row>
    <row r="1937" customFormat="false" ht="15" hidden="false" customHeight="false" outlineLevel="0" collapsed="false">
      <c r="A1937" s="62" t="n">
        <v>1936</v>
      </c>
      <c r="B1937" s="63" t="n">
        <v>46278.0677430556</v>
      </c>
      <c r="C1937" s="64" t="n">
        <v>46277</v>
      </c>
      <c r="D1937" s="62" t="s">
        <v>358</v>
      </c>
      <c r="E1937" s="62" t="s">
        <v>3558</v>
      </c>
      <c r="F1937" s="62" t="s">
        <v>144</v>
      </c>
      <c r="G1937" s="62" t="s">
        <v>145</v>
      </c>
      <c r="H1937" s="62" t="s">
        <v>59</v>
      </c>
      <c r="I1937" s="62" t="s">
        <v>47</v>
      </c>
      <c r="J1937" s="62" t="s">
        <v>146</v>
      </c>
      <c r="K1937" s="62" t="s">
        <v>147</v>
      </c>
      <c r="L1937" s="62" t="s">
        <v>148</v>
      </c>
      <c r="M1937" s="62" t="n">
        <v>0</v>
      </c>
      <c r="N1937" s="62" t="n">
        <v>1</v>
      </c>
      <c r="O1937" s="62" t="n">
        <v>1</v>
      </c>
      <c r="P1937" s="62" t="n">
        <v>1</v>
      </c>
      <c r="Q1937" s="62" t="n">
        <v>0</v>
      </c>
      <c r="R1937" s="62" t="n">
        <v>0</v>
      </c>
      <c r="S1937" s="62" t="n">
        <v>0</v>
      </c>
      <c r="T1937" s="62" t="n">
        <v>0</v>
      </c>
      <c r="U1937" s="62"/>
      <c r="V1937" s="62"/>
      <c r="W1937" s="62"/>
      <c r="X1937" s="62"/>
      <c r="Y1937" s="62"/>
      <c r="Z1937" s="62" t="s">
        <v>3556</v>
      </c>
      <c r="AA1937" s="62" t="s">
        <v>3557</v>
      </c>
      <c r="AB1937" s="62" t="n">
        <v>1</v>
      </c>
      <c r="AC1937" s="62" t="n">
        <v>1</v>
      </c>
      <c r="AD1937" s="62" t="n">
        <v>1</v>
      </c>
      <c r="AE1937" s="62" t="n">
        <f aca="false">IF(AND(Dashboard!$C$9="Yes",AC1937=1),0,1)</f>
        <v>0</v>
      </c>
      <c r="AF1937" s="62" t="n">
        <v>0</v>
      </c>
    </row>
    <row r="1938" customFormat="false" ht="15" hidden="false" customHeight="false" outlineLevel="0" collapsed="false">
      <c r="A1938" s="62" t="n">
        <v>1937</v>
      </c>
      <c r="B1938" s="63" t="n">
        <v>46278.0688194444</v>
      </c>
      <c r="C1938" s="64" t="n">
        <v>46277</v>
      </c>
      <c r="D1938" s="62" t="s">
        <v>358</v>
      </c>
      <c r="E1938" s="62" t="s">
        <v>196</v>
      </c>
      <c r="F1938" s="62" t="s">
        <v>196</v>
      </c>
      <c r="G1938" s="62" t="s">
        <v>197</v>
      </c>
      <c r="H1938" s="62" t="s">
        <v>57</v>
      </c>
      <c r="I1938" s="62" t="s">
        <v>47</v>
      </c>
      <c r="J1938" s="62" t="s">
        <v>146</v>
      </c>
      <c r="K1938" s="62" t="s">
        <v>175</v>
      </c>
      <c r="L1938" s="62" t="s">
        <v>148</v>
      </c>
      <c r="M1938" s="62" t="n">
        <v>0</v>
      </c>
      <c r="N1938" s="62" t="n">
        <v>1</v>
      </c>
      <c r="O1938" s="62" t="n">
        <v>1</v>
      </c>
      <c r="P1938" s="62" t="n">
        <v>0</v>
      </c>
      <c r="Q1938" s="62" t="n">
        <v>0</v>
      </c>
      <c r="R1938" s="62" t="n">
        <v>1</v>
      </c>
      <c r="S1938" s="62" t="n">
        <v>0</v>
      </c>
      <c r="T1938" s="62" t="n">
        <v>0</v>
      </c>
      <c r="U1938" s="62"/>
      <c r="V1938" s="62"/>
      <c r="W1938" s="62"/>
      <c r="X1938" s="62"/>
      <c r="Y1938" s="62"/>
      <c r="Z1938" s="62" t="s">
        <v>3559</v>
      </c>
      <c r="AA1938" s="62" t="s">
        <v>3560</v>
      </c>
      <c r="AB1938" s="62" t="n">
        <v>1</v>
      </c>
      <c r="AC1938" s="62" t="n">
        <v>0</v>
      </c>
      <c r="AD1938" s="62" t="n">
        <v>1</v>
      </c>
      <c r="AE1938" s="62" t="n">
        <f aca="false">IF(AND(Dashboard!$C$9="Yes",AC1938=1),0,1)</f>
        <v>1</v>
      </c>
      <c r="AF1938" s="62" t="n">
        <v>1</v>
      </c>
    </row>
    <row r="1939" customFormat="false" ht="15" hidden="false" customHeight="false" outlineLevel="0" collapsed="false">
      <c r="A1939" s="62" t="n">
        <v>1938</v>
      </c>
      <c r="B1939" s="63" t="n">
        <v>46278.0750462963</v>
      </c>
      <c r="C1939" s="64" t="n">
        <v>46277</v>
      </c>
      <c r="D1939" s="62" t="s">
        <v>358</v>
      </c>
      <c r="E1939" s="62" t="s">
        <v>273</v>
      </c>
      <c r="F1939" s="62" t="s">
        <v>273</v>
      </c>
      <c r="G1939" s="62" t="s">
        <v>274</v>
      </c>
      <c r="H1939" s="62" t="s">
        <v>59</v>
      </c>
      <c r="I1939" s="62" t="s">
        <v>47</v>
      </c>
      <c r="J1939" s="62" t="s">
        <v>146</v>
      </c>
      <c r="K1939" s="62" t="s">
        <v>147</v>
      </c>
      <c r="L1939" s="62" t="s">
        <v>4</v>
      </c>
      <c r="M1939" s="62" t="n">
        <v>1</v>
      </c>
      <c r="N1939" s="62" t="n">
        <v>0</v>
      </c>
      <c r="O1939" s="62" t="n">
        <v>1</v>
      </c>
      <c r="P1939" s="62" t="n">
        <v>0</v>
      </c>
      <c r="Q1939" s="62" t="n">
        <v>0</v>
      </c>
      <c r="R1939" s="62" t="n">
        <v>0</v>
      </c>
      <c r="S1939" s="62" t="n">
        <v>0</v>
      </c>
      <c r="T1939" s="62" t="n">
        <v>0</v>
      </c>
      <c r="U1939" s="62" t="s">
        <v>15</v>
      </c>
      <c r="V1939" s="62" t="s">
        <v>2057</v>
      </c>
      <c r="W1939" s="62" t="s">
        <v>15</v>
      </c>
      <c r="X1939" s="62" t="s">
        <v>2058</v>
      </c>
      <c r="Y1939" s="62" t="s">
        <v>2059</v>
      </c>
      <c r="Z1939" s="62" t="s">
        <v>3561</v>
      </c>
      <c r="AA1939" s="62" t="s">
        <v>3562</v>
      </c>
      <c r="AB1939" s="62" t="n">
        <v>1</v>
      </c>
      <c r="AC1939" s="62" t="n">
        <v>0</v>
      </c>
      <c r="AD1939" s="62" t="n">
        <v>1</v>
      </c>
      <c r="AE1939" s="62" t="n">
        <f aca="false">IF(AND(Dashboard!$C$9="Yes",AC1939=1),0,1)</f>
        <v>1</v>
      </c>
      <c r="AF1939" s="62" t="n">
        <v>0</v>
      </c>
    </row>
    <row r="1940" customFormat="false" ht="15" hidden="false" customHeight="false" outlineLevel="0" collapsed="false">
      <c r="A1940" s="62" t="n">
        <v>1939</v>
      </c>
      <c r="B1940" s="63" t="n">
        <v>46278.092974537</v>
      </c>
      <c r="C1940" s="64" t="n">
        <v>46277</v>
      </c>
      <c r="D1940" s="62" t="s">
        <v>358</v>
      </c>
      <c r="E1940" s="62" t="s">
        <v>3226</v>
      </c>
      <c r="F1940" s="62" t="s">
        <v>3226</v>
      </c>
      <c r="G1940" s="62" t="s">
        <v>3227</v>
      </c>
      <c r="H1940" s="62" t="s">
        <v>46</v>
      </c>
      <c r="I1940" s="62" t="s">
        <v>47</v>
      </c>
      <c r="J1940" s="62" t="s">
        <v>146</v>
      </c>
      <c r="K1940" s="62" t="s">
        <v>209</v>
      </c>
      <c r="L1940" s="62" t="s">
        <v>148</v>
      </c>
      <c r="M1940" s="62" t="n">
        <v>0</v>
      </c>
      <c r="N1940" s="62" t="n">
        <v>1</v>
      </c>
      <c r="O1940" s="62" t="n">
        <v>1</v>
      </c>
      <c r="P1940" s="62" t="n">
        <v>1</v>
      </c>
      <c r="Q1940" s="62" t="n">
        <v>0</v>
      </c>
      <c r="R1940" s="62" t="n">
        <v>0</v>
      </c>
      <c r="S1940" s="62" t="n">
        <v>0</v>
      </c>
      <c r="T1940" s="62" t="n">
        <v>0</v>
      </c>
      <c r="U1940" s="62"/>
      <c r="V1940" s="62"/>
      <c r="W1940" s="62"/>
      <c r="X1940" s="62"/>
      <c r="Y1940" s="62"/>
      <c r="Z1940" s="62" t="s">
        <v>3563</v>
      </c>
      <c r="AA1940" s="62" t="s">
        <v>3564</v>
      </c>
      <c r="AB1940" s="62" t="n">
        <v>1</v>
      </c>
      <c r="AC1940" s="62" t="n">
        <v>0</v>
      </c>
      <c r="AD1940" s="62" t="n">
        <v>1</v>
      </c>
      <c r="AE1940" s="62" t="n">
        <f aca="false">IF(AND(Dashboard!$C$9="Yes",AC1940=1),0,1)</f>
        <v>1</v>
      </c>
      <c r="AF1940" s="62" t="n">
        <v>0</v>
      </c>
    </row>
    <row r="1941" customFormat="false" ht="15" hidden="false" customHeight="false" outlineLevel="0" collapsed="false">
      <c r="A1941" s="62" t="n">
        <v>1940</v>
      </c>
      <c r="B1941" s="63" t="n">
        <v>46278.096724537</v>
      </c>
      <c r="C1941" s="64" t="n">
        <v>46277</v>
      </c>
      <c r="D1941" s="62" t="s">
        <v>358</v>
      </c>
      <c r="E1941" s="62" t="s">
        <v>892</v>
      </c>
      <c r="F1941" s="62" t="s">
        <v>892</v>
      </c>
      <c r="G1941" s="62" t="s">
        <v>893</v>
      </c>
      <c r="H1941" s="62" t="s">
        <v>46</v>
      </c>
      <c r="I1941" s="62" t="s">
        <v>47</v>
      </c>
      <c r="J1941" s="62" t="s">
        <v>146</v>
      </c>
      <c r="K1941" s="62" t="s">
        <v>209</v>
      </c>
      <c r="L1941" s="62" t="s">
        <v>4</v>
      </c>
      <c r="M1941" s="62" t="n">
        <v>1</v>
      </c>
      <c r="N1941" s="62" t="n">
        <v>0</v>
      </c>
      <c r="O1941" s="62" t="n">
        <v>1</v>
      </c>
      <c r="P1941" s="62" t="n">
        <v>0</v>
      </c>
      <c r="Q1941" s="62" t="n">
        <v>0</v>
      </c>
      <c r="R1941" s="62" t="n">
        <v>0</v>
      </c>
      <c r="S1941" s="62" t="n">
        <v>0</v>
      </c>
      <c r="T1941" s="62" t="n">
        <v>0</v>
      </c>
      <c r="U1941" s="62" t="s">
        <v>2056</v>
      </c>
      <c r="V1941" s="62" t="s">
        <v>2057</v>
      </c>
      <c r="W1941" s="62" t="s">
        <v>15</v>
      </c>
      <c r="X1941" s="62" t="s">
        <v>2058</v>
      </c>
      <c r="Y1941" s="62" t="s">
        <v>2059</v>
      </c>
      <c r="Z1941" s="62" t="s">
        <v>3565</v>
      </c>
      <c r="AA1941" s="62" t="s">
        <v>337</v>
      </c>
      <c r="AB1941" s="62" t="n">
        <v>0</v>
      </c>
      <c r="AC1941" s="62" t="n">
        <v>0</v>
      </c>
      <c r="AD1941" s="62" t="n">
        <v>1</v>
      </c>
      <c r="AE1941" s="62" t="n">
        <f aca="false">IF(AND(Dashboard!$C$9="Yes",AC1941=1),0,1)</f>
        <v>1</v>
      </c>
      <c r="AF1941" s="62" t="n">
        <v>0</v>
      </c>
    </row>
    <row r="1942" customFormat="false" ht="15" hidden="false" customHeight="false" outlineLevel="0" collapsed="false">
      <c r="A1942" s="62" t="n">
        <v>1941</v>
      </c>
      <c r="B1942" s="63" t="n">
        <v>46278.0999537037</v>
      </c>
      <c r="C1942" s="64" t="n">
        <v>46277</v>
      </c>
      <c r="D1942" s="62" t="s">
        <v>358</v>
      </c>
      <c r="E1942" s="62" t="s">
        <v>2959</v>
      </c>
      <c r="F1942" s="62" t="s">
        <v>2959</v>
      </c>
      <c r="G1942" s="62" t="s">
        <v>2960</v>
      </c>
      <c r="H1942" s="62" t="s">
        <v>58</v>
      </c>
      <c r="I1942" s="62" t="s">
        <v>49</v>
      </c>
      <c r="J1942" s="62" t="s">
        <v>146</v>
      </c>
      <c r="K1942" s="62" t="s">
        <v>175</v>
      </c>
      <c r="L1942" s="62" t="s">
        <v>4</v>
      </c>
      <c r="M1942" s="62" t="n">
        <v>1</v>
      </c>
      <c r="N1942" s="62" t="n">
        <v>0</v>
      </c>
      <c r="O1942" s="62" t="n">
        <v>1</v>
      </c>
      <c r="P1942" s="62" t="n">
        <v>0</v>
      </c>
      <c r="Q1942" s="62" t="n">
        <v>0</v>
      </c>
      <c r="R1942" s="62" t="n">
        <v>0</v>
      </c>
      <c r="S1942" s="62" t="n">
        <v>0</v>
      </c>
      <c r="T1942" s="62" t="n">
        <v>0</v>
      </c>
      <c r="U1942" s="62" t="s">
        <v>2056</v>
      </c>
      <c r="V1942" s="62" t="s">
        <v>2057</v>
      </c>
      <c r="W1942" s="62" t="s">
        <v>15</v>
      </c>
      <c r="X1942" s="62" t="s">
        <v>2125</v>
      </c>
      <c r="Y1942" s="62" t="s">
        <v>2059</v>
      </c>
      <c r="Z1942" s="62" t="s">
        <v>3566</v>
      </c>
      <c r="AA1942" s="62" t="s">
        <v>3567</v>
      </c>
      <c r="AB1942" s="62" t="n">
        <v>1</v>
      </c>
      <c r="AC1942" s="62" t="n">
        <v>0</v>
      </c>
      <c r="AD1942" s="62" t="n">
        <v>1</v>
      </c>
      <c r="AE1942" s="62" t="n">
        <f aca="false">IF(AND(Dashboard!$C$9="Yes",AC1942=1),0,1)</f>
        <v>1</v>
      </c>
      <c r="AF1942" s="62" t="n">
        <v>1</v>
      </c>
    </row>
    <row r="1943" customFormat="false" ht="15" hidden="false" customHeight="false" outlineLevel="0" collapsed="false">
      <c r="A1943" s="62" t="n">
        <v>1942</v>
      </c>
      <c r="B1943" s="63" t="n">
        <v>46278.1086921296</v>
      </c>
      <c r="C1943" s="64" t="n">
        <v>46277</v>
      </c>
      <c r="D1943" s="62" t="s">
        <v>358</v>
      </c>
      <c r="E1943" s="62" t="s">
        <v>2071</v>
      </c>
      <c r="F1943" s="62" t="s">
        <v>2071</v>
      </c>
      <c r="G1943" s="62" t="s">
        <v>2072</v>
      </c>
      <c r="H1943" s="62" t="s">
        <v>58</v>
      </c>
      <c r="I1943" s="62" t="s">
        <v>49</v>
      </c>
      <c r="J1943" s="62" t="s">
        <v>146</v>
      </c>
      <c r="K1943" s="62" t="s">
        <v>175</v>
      </c>
      <c r="L1943" s="62" t="s">
        <v>148</v>
      </c>
      <c r="M1943" s="62" t="n">
        <v>0</v>
      </c>
      <c r="N1943" s="62" t="n">
        <v>1</v>
      </c>
      <c r="O1943" s="62" t="n">
        <v>1</v>
      </c>
      <c r="P1943" s="62" t="n">
        <v>0</v>
      </c>
      <c r="Q1943" s="62" t="n">
        <v>0</v>
      </c>
      <c r="R1943" s="62" t="n">
        <v>1</v>
      </c>
      <c r="S1943" s="62" t="n">
        <v>0</v>
      </c>
      <c r="T1943" s="62" t="n">
        <v>0</v>
      </c>
      <c r="U1943" s="62"/>
      <c r="V1943" s="62"/>
      <c r="W1943" s="62"/>
      <c r="X1943" s="62"/>
      <c r="Y1943" s="62"/>
      <c r="Z1943" s="62" t="s">
        <v>3568</v>
      </c>
      <c r="AA1943" s="62" t="s">
        <v>3569</v>
      </c>
      <c r="AB1943" s="62" t="n">
        <v>1</v>
      </c>
      <c r="AC1943" s="62" t="n">
        <v>0</v>
      </c>
      <c r="AD1943" s="62" t="n">
        <v>1</v>
      </c>
      <c r="AE1943" s="62" t="n">
        <f aca="false">IF(AND(Dashboard!$C$9="Yes",AC1943=1),0,1)</f>
        <v>1</v>
      </c>
      <c r="AF1943" s="62" t="n">
        <v>0</v>
      </c>
    </row>
    <row r="1944" customFormat="false" ht="15" hidden="false" customHeight="false" outlineLevel="0" collapsed="false">
      <c r="A1944" s="62" t="n">
        <v>1943</v>
      </c>
      <c r="B1944" s="63" t="n">
        <v>46278.1293865741</v>
      </c>
      <c r="C1944" s="64" t="n">
        <v>46277</v>
      </c>
      <c r="D1944" s="62" t="s">
        <v>358</v>
      </c>
      <c r="E1944" s="62" t="s">
        <v>2722</v>
      </c>
      <c r="F1944" s="62" t="s">
        <v>2722</v>
      </c>
      <c r="G1944" s="62" t="s">
        <v>2723</v>
      </c>
      <c r="H1944" s="62" t="s">
        <v>55</v>
      </c>
      <c r="I1944" s="62" t="s">
        <v>49</v>
      </c>
      <c r="J1944" s="62" t="s">
        <v>146</v>
      </c>
      <c r="K1944" s="62" t="s">
        <v>209</v>
      </c>
      <c r="L1944" s="62" t="s">
        <v>4</v>
      </c>
      <c r="M1944" s="62" t="n">
        <v>1</v>
      </c>
      <c r="N1944" s="62" t="n">
        <v>0</v>
      </c>
      <c r="O1944" s="62" t="n">
        <v>1</v>
      </c>
      <c r="P1944" s="62" t="n">
        <v>0</v>
      </c>
      <c r="Q1944" s="62" t="n">
        <v>0</v>
      </c>
      <c r="R1944" s="62" t="n">
        <v>0</v>
      </c>
      <c r="S1944" s="62" t="n">
        <v>0</v>
      </c>
      <c r="T1944" s="62" t="n">
        <v>0</v>
      </c>
      <c r="U1944" s="62" t="s">
        <v>2056</v>
      </c>
      <c r="V1944" s="62" t="s">
        <v>2057</v>
      </c>
      <c r="W1944" s="62" t="s">
        <v>15</v>
      </c>
      <c r="X1944" s="62" t="s">
        <v>2058</v>
      </c>
      <c r="Y1944" s="62" t="s">
        <v>2059</v>
      </c>
      <c r="Z1944" s="62" t="s">
        <v>3570</v>
      </c>
      <c r="AA1944" s="62" t="s">
        <v>3571</v>
      </c>
      <c r="AB1944" s="62" t="n">
        <v>1</v>
      </c>
      <c r="AC1944" s="62" t="n">
        <v>0</v>
      </c>
      <c r="AD1944" s="62" t="n">
        <v>1</v>
      </c>
      <c r="AE1944" s="62" t="n">
        <f aca="false">IF(AND(Dashboard!$C$9="Yes",AC1944=1),0,1)</f>
        <v>1</v>
      </c>
      <c r="AF1944" s="62" t="n">
        <v>0</v>
      </c>
    </row>
    <row r="1945" customFormat="false" ht="15" hidden="false" customHeight="false" outlineLevel="0" collapsed="false">
      <c r="A1945" s="62" t="n">
        <v>1944</v>
      </c>
      <c r="B1945" s="63" t="n">
        <v>46278.1300578704</v>
      </c>
      <c r="C1945" s="64" t="n">
        <v>46277</v>
      </c>
      <c r="D1945" s="62" t="s">
        <v>358</v>
      </c>
      <c r="E1945" s="62" t="s">
        <v>1590</v>
      </c>
      <c r="F1945" s="62" t="s">
        <v>1590</v>
      </c>
      <c r="G1945" s="62" t="s">
        <v>1591</v>
      </c>
      <c r="H1945" s="62" t="s">
        <v>52</v>
      </c>
      <c r="I1945" s="62" t="s">
        <v>47</v>
      </c>
      <c r="J1945" s="62" t="s">
        <v>146</v>
      </c>
      <c r="K1945" s="62" t="s">
        <v>209</v>
      </c>
      <c r="L1945" s="62" t="s">
        <v>148</v>
      </c>
      <c r="M1945" s="62" t="n">
        <v>0</v>
      </c>
      <c r="N1945" s="62" t="n">
        <v>1</v>
      </c>
      <c r="O1945" s="62" t="n">
        <v>1</v>
      </c>
      <c r="P1945" s="62" t="n">
        <v>1</v>
      </c>
      <c r="Q1945" s="62" t="n">
        <v>0</v>
      </c>
      <c r="R1945" s="62" t="n">
        <v>0</v>
      </c>
      <c r="S1945" s="62" t="n">
        <v>0</v>
      </c>
      <c r="T1945" s="62" t="n">
        <v>0</v>
      </c>
      <c r="U1945" s="62"/>
      <c r="V1945" s="62"/>
      <c r="W1945" s="62"/>
      <c r="X1945" s="62"/>
      <c r="Y1945" s="62"/>
      <c r="Z1945" s="62" t="s">
        <v>3572</v>
      </c>
      <c r="AA1945" s="62" t="s">
        <v>3573</v>
      </c>
      <c r="AB1945" s="62" t="n">
        <v>1</v>
      </c>
      <c r="AC1945" s="62" t="n">
        <v>0</v>
      </c>
      <c r="AD1945" s="62" t="n">
        <v>1</v>
      </c>
      <c r="AE1945" s="62" t="n">
        <f aca="false">IF(AND(Dashboard!$C$9="Yes",AC1945=1),0,1)</f>
        <v>1</v>
      </c>
      <c r="AF1945" s="62" t="n">
        <v>1</v>
      </c>
    </row>
    <row r="1946" customFormat="false" ht="15" hidden="false" customHeight="false" outlineLevel="0" collapsed="false">
      <c r="A1946" s="62" t="n">
        <v>1945</v>
      </c>
      <c r="B1946" s="63" t="n">
        <v>46278.1315393519</v>
      </c>
      <c r="C1946" s="64" t="n">
        <v>46277</v>
      </c>
      <c r="D1946" s="62" t="s">
        <v>358</v>
      </c>
      <c r="E1946" s="62" t="s">
        <v>1590</v>
      </c>
      <c r="F1946" s="62" t="s">
        <v>1590</v>
      </c>
      <c r="G1946" s="62" t="s">
        <v>1591</v>
      </c>
      <c r="H1946" s="62" t="s">
        <v>52</v>
      </c>
      <c r="I1946" s="62" t="s">
        <v>47</v>
      </c>
      <c r="J1946" s="62" t="s">
        <v>146</v>
      </c>
      <c r="K1946" s="62" t="s">
        <v>209</v>
      </c>
      <c r="L1946" s="62" t="s">
        <v>4</v>
      </c>
      <c r="M1946" s="62" t="n">
        <v>1</v>
      </c>
      <c r="N1946" s="62" t="n">
        <v>0</v>
      </c>
      <c r="O1946" s="62" t="n">
        <v>1</v>
      </c>
      <c r="P1946" s="62" t="n">
        <v>0</v>
      </c>
      <c r="Q1946" s="62" t="n">
        <v>0</v>
      </c>
      <c r="R1946" s="62" t="n">
        <v>0</v>
      </c>
      <c r="S1946" s="62" t="n">
        <v>0</v>
      </c>
      <c r="T1946" s="62" t="n">
        <v>0</v>
      </c>
      <c r="U1946" s="62" t="s">
        <v>2056</v>
      </c>
      <c r="V1946" s="62" t="s">
        <v>2057</v>
      </c>
      <c r="W1946" s="62" t="s">
        <v>15</v>
      </c>
      <c r="X1946" s="62" t="s">
        <v>2058</v>
      </c>
      <c r="Y1946" s="62" t="s">
        <v>2059</v>
      </c>
      <c r="Z1946" s="62" t="s">
        <v>3574</v>
      </c>
      <c r="AA1946" s="62" t="s">
        <v>3575</v>
      </c>
      <c r="AB1946" s="62" t="n">
        <v>1</v>
      </c>
      <c r="AC1946" s="62" t="n">
        <v>0</v>
      </c>
      <c r="AD1946" s="62" t="n">
        <v>1</v>
      </c>
      <c r="AE1946" s="62" t="n">
        <f aca="false">IF(AND(Dashboard!$C$9="Yes",AC1946=1),0,1)</f>
        <v>1</v>
      </c>
      <c r="AF1946" s="62" t="n">
        <v>0</v>
      </c>
    </row>
    <row r="1947" customFormat="false" ht="15" hidden="false" customHeight="false" outlineLevel="0" collapsed="false">
      <c r="A1947" s="62" t="n">
        <v>1946</v>
      </c>
      <c r="B1947" s="63" t="n">
        <v>46278.1425694445</v>
      </c>
      <c r="C1947" s="64" t="n">
        <v>46277</v>
      </c>
      <c r="D1947" s="62" t="s">
        <v>358</v>
      </c>
      <c r="E1947" s="62" t="s">
        <v>2722</v>
      </c>
      <c r="F1947" s="62" t="s">
        <v>2722</v>
      </c>
      <c r="G1947" s="62" t="s">
        <v>2723</v>
      </c>
      <c r="H1947" s="62" t="s">
        <v>55</v>
      </c>
      <c r="I1947" s="62" t="s">
        <v>49</v>
      </c>
      <c r="J1947" s="62" t="s">
        <v>146</v>
      </c>
      <c r="K1947" s="62" t="s">
        <v>209</v>
      </c>
      <c r="L1947" s="62" t="s">
        <v>148</v>
      </c>
      <c r="M1947" s="62" t="n">
        <v>0</v>
      </c>
      <c r="N1947" s="62" t="n">
        <v>1</v>
      </c>
      <c r="O1947" s="62" t="n">
        <v>1</v>
      </c>
      <c r="P1947" s="62" t="n">
        <v>1</v>
      </c>
      <c r="Q1947" s="62" t="n">
        <v>0</v>
      </c>
      <c r="R1947" s="62" t="n">
        <v>0</v>
      </c>
      <c r="S1947" s="62" t="n">
        <v>0</v>
      </c>
      <c r="T1947" s="62" t="n">
        <v>0</v>
      </c>
      <c r="U1947" s="62"/>
      <c r="V1947" s="62"/>
      <c r="W1947" s="62"/>
      <c r="X1947" s="62"/>
      <c r="Y1947" s="62"/>
      <c r="Z1947" s="62" t="s">
        <v>3576</v>
      </c>
      <c r="AA1947" s="62" t="s">
        <v>3577</v>
      </c>
      <c r="AB1947" s="62" t="n">
        <v>1</v>
      </c>
      <c r="AC1947" s="62" t="n">
        <v>0</v>
      </c>
      <c r="AD1947" s="62" t="n">
        <v>1</v>
      </c>
      <c r="AE1947" s="62" t="n">
        <f aca="false">IF(AND(Dashboard!$C$9="Yes",AC1947=1),0,1)</f>
        <v>1</v>
      </c>
      <c r="AF1947" s="62" t="n">
        <v>0</v>
      </c>
    </row>
    <row r="1948" customFormat="false" ht="15" hidden="false" customHeight="false" outlineLevel="0" collapsed="false">
      <c r="A1948" s="62" t="n">
        <v>1947</v>
      </c>
      <c r="B1948" s="63" t="n">
        <v>46278.1463657407</v>
      </c>
      <c r="C1948" s="64" t="n">
        <v>46277</v>
      </c>
      <c r="D1948" s="62" t="s">
        <v>358</v>
      </c>
      <c r="E1948" s="62" t="s">
        <v>1005</v>
      </c>
      <c r="F1948" s="62" t="s">
        <v>1005</v>
      </c>
      <c r="G1948" s="62" t="s">
        <v>1006</v>
      </c>
      <c r="H1948" s="62" t="s">
        <v>46</v>
      </c>
      <c r="I1948" s="62" t="s">
        <v>47</v>
      </c>
      <c r="J1948" s="62" t="s">
        <v>146</v>
      </c>
      <c r="K1948" s="62" t="s">
        <v>209</v>
      </c>
      <c r="L1948" s="62" t="s">
        <v>148</v>
      </c>
      <c r="M1948" s="62" t="n">
        <v>0</v>
      </c>
      <c r="N1948" s="62" t="n">
        <v>1</v>
      </c>
      <c r="O1948" s="62" t="n">
        <v>1</v>
      </c>
      <c r="P1948" s="62" t="n">
        <v>1</v>
      </c>
      <c r="Q1948" s="62" t="n">
        <v>0</v>
      </c>
      <c r="R1948" s="62" t="n">
        <v>0</v>
      </c>
      <c r="S1948" s="62" t="n">
        <v>0</v>
      </c>
      <c r="T1948" s="62" t="n">
        <v>0</v>
      </c>
      <c r="U1948" s="62"/>
      <c r="V1948" s="62"/>
      <c r="W1948" s="62"/>
      <c r="X1948" s="62"/>
      <c r="Y1948" s="62"/>
      <c r="Z1948" s="62" t="s">
        <v>3578</v>
      </c>
      <c r="AA1948" s="62" t="s">
        <v>485</v>
      </c>
      <c r="AB1948" s="62" t="n">
        <v>0</v>
      </c>
      <c r="AC1948" s="62" t="n">
        <v>0</v>
      </c>
      <c r="AD1948" s="62" t="n">
        <v>1</v>
      </c>
      <c r="AE1948" s="62" t="n">
        <f aca="false">IF(AND(Dashboard!$C$9="Yes",AC1948=1),0,1)</f>
        <v>1</v>
      </c>
      <c r="AF1948" s="62" t="n">
        <v>0</v>
      </c>
    </row>
    <row r="1949" customFormat="false" ht="15" hidden="false" customHeight="false" outlineLevel="0" collapsed="false">
      <c r="A1949" s="62" t="n">
        <v>1948</v>
      </c>
      <c r="B1949" s="63" t="n">
        <v>46278.1645023148</v>
      </c>
      <c r="C1949" s="64" t="n">
        <v>46277</v>
      </c>
      <c r="D1949" s="62" t="s">
        <v>358</v>
      </c>
      <c r="E1949" s="62" t="s">
        <v>2722</v>
      </c>
      <c r="F1949" s="62" t="s">
        <v>2722</v>
      </c>
      <c r="G1949" s="62" t="s">
        <v>2723</v>
      </c>
      <c r="H1949" s="62" t="s">
        <v>55</v>
      </c>
      <c r="I1949" s="62" t="s">
        <v>49</v>
      </c>
      <c r="J1949" s="62" t="s">
        <v>146</v>
      </c>
      <c r="K1949" s="62" t="s">
        <v>209</v>
      </c>
      <c r="L1949" s="62" t="s">
        <v>148</v>
      </c>
      <c r="M1949" s="62" t="n">
        <v>0</v>
      </c>
      <c r="N1949" s="62" t="n">
        <v>1</v>
      </c>
      <c r="O1949" s="62" t="n">
        <v>1</v>
      </c>
      <c r="P1949" s="62" t="n">
        <v>1</v>
      </c>
      <c r="Q1949" s="62" t="n">
        <v>0</v>
      </c>
      <c r="R1949" s="62" t="n">
        <v>0</v>
      </c>
      <c r="S1949" s="62" t="n">
        <v>0</v>
      </c>
      <c r="T1949" s="62" t="n">
        <v>0</v>
      </c>
      <c r="U1949" s="62"/>
      <c r="V1949" s="62"/>
      <c r="W1949" s="62"/>
      <c r="X1949" s="62"/>
      <c r="Y1949" s="62"/>
      <c r="Z1949" s="62" t="s">
        <v>3576</v>
      </c>
      <c r="AA1949" s="62" t="s">
        <v>3577</v>
      </c>
      <c r="AB1949" s="62" t="n">
        <v>1</v>
      </c>
      <c r="AC1949" s="62" t="n">
        <v>1</v>
      </c>
      <c r="AD1949" s="62" t="n">
        <v>1</v>
      </c>
      <c r="AE1949" s="62" t="n">
        <f aca="false">IF(AND(Dashboard!$C$9="Yes",AC1949=1),0,1)</f>
        <v>0</v>
      </c>
      <c r="AF1949" s="62" t="n">
        <v>0</v>
      </c>
    </row>
    <row r="1950" customFormat="false" ht="15" hidden="false" customHeight="false" outlineLevel="0" collapsed="false">
      <c r="A1950" s="62" t="n">
        <v>1949</v>
      </c>
      <c r="B1950" s="63" t="n">
        <v>46278.1730092593</v>
      </c>
      <c r="C1950" s="64" t="n">
        <v>46277</v>
      </c>
      <c r="D1950" s="62" t="s">
        <v>358</v>
      </c>
      <c r="E1950" s="62" t="s">
        <v>2722</v>
      </c>
      <c r="F1950" s="62" t="s">
        <v>2722</v>
      </c>
      <c r="G1950" s="62" t="s">
        <v>2723</v>
      </c>
      <c r="H1950" s="62" t="s">
        <v>55</v>
      </c>
      <c r="I1950" s="62" t="s">
        <v>49</v>
      </c>
      <c r="J1950" s="62" t="s">
        <v>146</v>
      </c>
      <c r="K1950" s="62" t="s">
        <v>209</v>
      </c>
      <c r="L1950" s="62" t="s">
        <v>4</v>
      </c>
      <c r="M1950" s="62" t="n">
        <v>1</v>
      </c>
      <c r="N1950" s="62" t="n">
        <v>0</v>
      </c>
      <c r="O1950" s="62" t="n">
        <v>1</v>
      </c>
      <c r="P1950" s="62" t="n">
        <v>0</v>
      </c>
      <c r="Q1950" s="62" t="n">
        <v>0</v>
      </c>
      <c r="R1950" s="62" t="n">
        <v>0</v>
      </c>
      <c r="S1950" s="62" t="n">
        <v>0</v>
      </c>
      <c r="T1950" s="62" t="n">
        <v>0</v>
      </c>
      <c r="U1950" s="62" t="s">
        <v>2056</v>
      </c>
      <c r="V1950" s="62" t="s">
        <v>2057</v>
      </c>
      <c r="W1950" s="62" t="s">
        <v>15</v>
      </c>
      <c r="X1950" s="62" t="s">
        <v>2058</v>
      </c>
      <c r="Y1950" s="62" t="s">
        <v>2059</v>
      </c>
      <c r="Z1950" s="62" t="s">
        <v>3576</v>
      </c>
      <c r="AA1950" s="62" t="s">
        <v>3579</v>
      </c>
      <c r="AB1950" s="62" t="n">
        <v>1</v>
      </c>
      <c r="AC1950" s="62" t="n">
        <v>0</v>
      </c>
      <c r="AD1950" s="62" t="n">
        <v>1</v>
      </c>
      <c r="AE1950" s="62" t="n">
        <f aca="false">IF(AND(Dashboard!$C$9="Yes",AC1950=1),0,1)</f>
        <v>1</v>
      </c>
      <c r="AF1950" s="62" t="n">
        <v>0</v>
      </c>
    </row>
    <row r="1951" customFormat="false" ht="15" hidden="false" customHeight="false" outlineLevel="0" collapsed="false">
      <c r="A1951" s="62" t="n">
        <v>1950</v>
      </c>
      <c r="B1951" s="63" t="n">
        <v>46278.1734490741</v>
      </c>
      <c r="C1951" s="64" t="n">
        <v>46277</v>
      </c>
      <c r="D1951" s="62" t="s">
        <v>358</v>
      </c>
      <c r="E1951" s="62" t="s">
        <v>2722</v>
      </c>
      <c r="F1951" s="62" t="s">
        <v>2722</v>
      </c>
      <c r="G1951" s="62" t="s">
        <v>2723</v>
      </c>
      <c r="H1951" s="62" t="s">
        <v>55</v>
      </c>
      <c r="I1951" s="62" t="s">
        <v>49</v>
      </c>
      <c r="J1951" s="62" t="s">
        <v>146</v>
      </c>
      <c r="K1951" s="62" t="s">
        <v>209</v>
      </c>
      <c r="L1951" s="62" t="s">
        <v>4</v>
      </c>
      <c r="M1951" s="62" t="n">
        <v>1</v>
      </c>
      <c r="N1951" s="62" t="n">
        <v>0</v>
      </c>
      <c r="O1951" s="62" t="n">
        <v>1</v>
      </c>
      <c r="P1951" s="62" t="n">
        <v>0</v>
      </c>
      <c r="Q1951" s="62" t="n">
        <v>0</v>
      </c>
      <c r="R1951" s="62" t="n">
        <v>0</v>
      </c>
      <c r="S1951" s="62" t="n">
        <v>0</v>
      </c>
      <c r="T1951" s="62" t="n">
        <v>0</v>
      </c>
      <c r="U1951" s="62" t="s">
        <v>2056</v>
      </c>
      <c r="V1951" s="62" t="s">
        <v>2057</v>
      </c>
      <c r="W1951" s="62" t="s">
        <v>15</v>
      </c>
      <c r="X1951" s="62" t="s">
        <v>2058</v>
      </c>
      <c r="Y1951" s="62" t="s">
        <v>2059</v>
      </c>
      <c r="Z1951" s="62" t="s">
        <v>3570</v>
      </c>
      <c r="AA1951" s="62" t="s">
        <v>1056</v>
      </c>
      <c r="AB1951" s="62" t="n">
        <v>0</v>
      </c>
      <c r="AC1951" s="62" t="n">
        <v>0</v>
      </c>
      <c r="AD1951" s="62" t="n">
        <v>1</v>
      </c>
      <c r="AE1951" s="62" t="n">
        <f aca="false">IF(AND(Dashboard!$C$9="Yes",AC1951=1),0,1)</f>
        <v>1</v>
      </c>
      <c r="AF1951" s="62" t="n">
        <v>0</v>
      </c>
    </row>
    <row r="1952" customFormat="false" ht="15" hidden="false" customHeight="false" outlineLevel="0" collapsed="false">
      <c r="A1952" s="62" t="n">
        <v>1951</v>
      </c>
      <c r="B1952" s="63" t="n">
        <v>46278.1912847222</v>
      </c>
      <c r="C1952" s="64" t="n">
        <v>46277</v>
      </c>
      <c r="D1952" s="62" t="s">
        <v>358</v>
      </c>
      <c r="E1952" s="62" t="s">
        <v>3580</v>
      </c>
      <c r="F1952" s="62" t="s">
        <v>3580</v>
      </c>
      <c r="G1952" s="62" t="s">
        <v>3581</v>
      </c>
      <c r="H1952" s="62" t="s">
        <v>51</v>
      </c>
      <c r="I1952" s="62" t="s">
        <v>47</v>
      </c>
      <c r="J1952" s="62" t="s">
        <v>146</v>
      </c>
      <c r="K1952" s="62" t="s">
        <v>209</v>
      </c>
      <c r="L1952" s="62" t="s">
        <v>148</v>
      </c>
      <c r="M1952" s="62" t="n">
        <v>0</v>
      </c>
      <c r="N1952" s="62" t="n">
        <v>1</v>
      </c>
      <c r="O1952" s="62" t="n">
        <v>1</v>
      </c>
      <c r="P1952" s="62" t="n">
        <v>1</v>
      </c>
      <c r="Q1952" s="62" t="n">
        <v>0</v>
      </c>
      <c r="R1952" s="62" t="n">
        <v>0</v>
      </c>
      <c r="S1952" s="62" t="n">
        <v>0</v>
      </c>
      <c r="T1952" s="62" t="n">
        <v>0</v>
      </c>
      <c r="U1952" s="62"/>
      <c r="V1952" s="62"/>
      <c r="W1952" s="62"/>
      <c r="X1952" s="62"/>
      <c r="Y1952" s="62"/>
      <c r="Z1952" s="62" t="s">
        <v>3582</v>
      </c>
      <c r="AA1952" s="62" t="s">
        <v>3583</v>
      </c>
      <c r="AB1952" s="62" t="n">
        <v>1</v>
      </c>
      <c r="AC1952" s="62" t="n">
        <v>0</v>
      </c>
      <c r="AD1952" s="62" t="n">
        <v>1</v>
      </c>
      <c r="AE1952" s="62" t="n">
        <f aca="false">IF(AND(Dashboard!$C$9="Yes",AC1952=1),0,1)</f>
        <v>1</v>
      </c>
      <c r="AF1952" s="62" t="n">
        <v>1</v>
      </c>
    </row>
    <row r="1953" customFormat="false" ht="15" hidden="false" customHeight="false" outlineLevel="0" collapsed="false">
      <c r="A1953" s="62" t="n">
        <v>1952</v>
      </c>
      <c r="B1953" s="63" t="n">
        <v>46278.2415856482</v>
      </c>
      <c r="C1953" s="64" t="n">
        <v>46277</v>
      </c>
      <c r="D1953" s="62" t="s">
        <v>358</v>
      </c>
      <c r="E1953" s="62" t="s">
        <v>196</v>
      </c>
      <c r="F1953" s="62" t="s">
        <v>196</v>
      </c>
      <c r="G1953" s="62" t="s">
        <v>197</v>
      </c>
      <c r="H1953" s="62" t="s">
        <v>57</v>
      </c>
      <c r="I1953" s="62" t="s">
        <v>47</v>
      </c>
      <c r="J1953" s="62" t="s">
        <v>146</v>
      </c>
      <c r="K1953" s="62" t="s">
        <v>175</v>
      </c>
      <c r="L1953" s="62" t="s">
        <v>148</v>
      </c>
      <c r="M1953" s="62" t="n">
        <v>0</v>
      </c>
      <c r="N1953" s="62" t="n">
        <v>1</v>
      </c>
      <c r="O1953" s="62" t="n">
        <v>1</v>
      </c>
      <c r="P1953" s="62" t="n">
        <v>1</v>
      </c>
      <c r="Q1953" s="62" t="n">
        <v>0</v>
      </c>
      <c r="R1953" s="62" t="n">
        <v>0</v>
      </c>
      <c r="S1953" s="62" t="n">
        <v>0</v>
      </c>
      <c r="T1953" s="62" t="n">
        <v>0</v>
      </c>
      <c r="U1953" s="62"/>
      <c r="V1953" s="62"/>
      <c r="W1953" s="62"/>
      <c r="X1953" s="62"/>
      <c r="Y1953" s="62"/>
      <c r="Z1953" s="62" t="s">
        <v>3584</v>
      </c>
      <c r="AA1953" s="62" t="s">
        <v>3585</v>
      </c>
      <c r="AB1953" s="62" t="n">
        <v>1</v>
      </c>
      <c r="AC1953" s="62" t="n">
        <v>0</v>
      </c>
      <c r="AD1953" s="62" t="n">
        <v>1</v>
      </c>
      <c r="AE1953" s="62" t="n">
        <f aca="false">IF(AND(Dashboard!$C$9="Yes",AC1953=1),0,1)</f>
        <v>1</v>
      </c>
      <c r="AF1953" s="62" t="n">
        <v>0</v>
      </c>
    </row>
    <row r="1954" customFormat="false" ht="15" hidden="false" customHeight="false" outlineLevel="0" collapsed="false">
      <c r="A1954" s="62" t="n">
        <v>1953</v>
      </c>
      <c r="B1954" s="63" t="n">
        <v>46278.2518981482</v>
      </c>
      <c r="C1954" s="64" t="n">
        <v>46277</v>
      </c>
      <c r="D1954" s="62" t="s">
        <v>358</v>
      </c>
      <c r="E1954" s="62" t="s">
        <v>2395</v>
      </c>
      <c r="F1954" s="62" t="s">
        <v>2395</v>
      </c>
      <c r="G1954" s="62" t="s">
        <v>2396</v>
      </c>
      <c r="H1954" s="62" t="s">
        <v>59</v>
      </c>
      <c r="I1954" s="62" t="s">
        <v>47</v>
      </c>
      <c r="J1954" s="62" t="s">
        <v>146</v>
      </c>
      <c r="K1954" s="62" t="s">
        <v>209</v>
      </c>
      <c r="L1954" s="62" t="s">
        <v>4</v>
      </c>
      <c r="M1954" s="62" t="n">
        <v>1</v>
      </c>
      <c r="N1954" s="62" t="n">
        <v>0</v>
      </c>
      <c r="O1954" s="62" t="n">
        <v>1</v>
      </c>
      <c r="P1954" s="62" t="n">
        <v>0</v>
      </c>
      <c r="Q1954" s="62" t="n">
        <v>0</v>
      </c>
      <c r="R1954" s="62" t="n">
        <v>0</v>
      </c>
      <c r="S1954" s="62" t="n">
        <v>0</v>
      </c>
      <c r="T1954" s="62" t="n">
        <v>0</v>
      </c>
      <c r="U1954" s="62" t="s">
        <v>15</v>
      </c>
      <c r="V1954" s="62" t="s">
        <v>2057</v>
      </c>
      <c r="W1954" s="62" t="s">
        <v>15</v>
      </c>
      <c r="X1954" s="62" t="s">
        <v>2058</v>
      </c>
      <c r="Y1954" s="62" t="s">
        <v>2103</v>
      </c>
      <c r="Z1954" s="62" t="s">
        <v>3586</v>
      </c>
      <c r="AA1954" s="62" t="s">
        <v>3587</v>
      </c>
      <c r="AB1954" s="62" t="n">
        <v>1</v>
      </c>
      <c r="AC1954" s="62" t="n">
        <v>0</v>
      </c>
      <c r="AD1954" s="62" t="n">
        <v>1</v>
      </c>
      <c r="AE1954" s="62" t="n">
        <f aca="false">IF(AND(Dashboard!$C$9="Yes",AC1954=1),0,1)</f>
        <v>1</v>
      </c>
      <c r="AF1954" s="62" t="n">
        <v>0</v>
      </c>
    </row>
    <row r="1955" customFormat="false" ht="15" hidden="false" customHeight="false" outlineLevel="0" collapsed="false">
      <c r="A1955" s="62" t="n">
        <v>1954</v>
      </c>
      <c r="B1955" s="63" t="n">
        <v>46278.252662037</v>
      </c>
      <c r="C1955" s="64" t="n">
        <v>46277</v>
      </c>
      <c r="D1955" s="62" t="s">
        <v>358</v>
      </c>
      <c r="E1955" s="62" t="s">
        <v>2395</v>
      </c>
      <c r="F1955" s="62" t="s">
        <v>2395</v>
      </c>
      <c r="G1955" s="62" t="s">
        <v>2396</v>
      </c>
      <c r="H1955" s="62" t="s">
        <v>59</v>
      </c>
      <c r="I1955" s="62" t="s">
        <v>47</v>
      </c>
      <c r="J1955" s="62" t="s">
        <v>146</v>
      </c>
      <c r="K1955" s="62" t="s">
        <v>209</v>
      </c>
      <c r="L1955" s="62" t="s">
        <v>4</v>
      </c>
      <c r="M1955" s="62" t="n">
        <v>1</v>
      </c>
      <c r="N1955" s="62" t="n">
        <v>0</v>
      </c>
      <c r="O1955" s="62" t="n">
        <v>1</v>
      </c>
      <c r="P1955" s="62" t="n">
        <v>0</v>
      </c>
      <c r="Q1955" s="62" t="n">
        <v>0</v>
      </c>
      <c r="R1955" s="62" t="n">
        <v>0</v>
      </c>
      <c r="S1955" s="62" t="n">
        <v>0</v>
      </c>
      <c r="T1955" s="62" t="n">
        <v>0</v>
      </c>
      <c r="U1955" s="62" t="s">
        <v>15</v>
      </c>
      <c r="V1955" s="62" t="s">
        <v>2057</v>
      </c>
      <c r="W1955" s="62" t="s">
        <v>15</v>
      </c>
      <c r="X1955" s="62" t="s">
        <v>2058</v>
      </c>
      <c r="Y1955" s="62" t="s">
        <v>2103</v>
      </c>
      <c r="Z1955" s="62" t="s">
        <v>3586</v>
      </c>
      <c r="AA1955" s="62" t="s">
        <v>3588</v>
      </c>
      <c r="AB1955" s="62" t="n">
        <v>1</v>
      </c>
      <c r="AC1955" s="62" t="n">
        <v>0</v>
      </c>
      <c r="AD1955" s="62" t="n">
        <v>1</v>
      </c>
      <c r="AE1955" s="62" t="n">
        <f aca="false">IF(AND(Dashboard!$C$9="Yes",AC1955=1),0,1)</f>
        <v>1</v>
      </c>
      <c r="AF1955" s="62" t="n">
        <v>0</v>
      </c>
    </row>
    <row r="1956" customFormat="false" ht="15" hidden="false" customHeight="false" outlineLevel="0" collapsed="false">
      <c r="A1956" s="62" t="n">
        <v>1955</v>
      </c>
      <c r="B1956" s="63" t="n">
        <v>46278.2533912037</v>
      </c>
      <c r="C1956" s="64" t="n">
        <v>46277</v>
      </c>
      <c r="D1956" s="62" t="s">
        <v>358</v>
      </c>
      <c r="E1956" s="62" t="s">
        <v>2395</v>
      </c>
      <c r="F1956" s="62" t="s">
        <v>2395</v>
      </c>
      <c r="G1956" s="62" t="s">
        <v>2396</v>
      </c>
      <c r="H1956" s="62" t="s">
        <v>59</v>
      </c>
      <c r="I1956" s="62" t="s">
        <v>47</v>
      </c>
      <c r="J1956" s="62" t="s">
        <v>146</v>
      </c>
      <c r="K1956" s="62" t="s">
        <v>209</v>
      </c>
      <c r="L1956" s="62" t="s">
        <v>4</v>
      </c>
      <c r="M1956" s="62" t="n">
        <v>1</v>
      </c>
      <c r="N1956" s="62" t="n">
        <v>0</v>
      </c>
      <c r="O1956" s="62" t="n">
        <v>1</v>
      </c>
      <c r="P1956" s="62" t="n">
        <v>0</v>
      </c>
      <c r="Q1956" s="62" t="n">
        <v>0</v>
      </c>
      <c r="R1956" s="62" t="n">
        <v>0</v>
      </c>
      <c r="S1956" s="62" t="n">
        <v>0</v>
      </c>
      <c r="T1956" s="62" t="n">
        <v>0</v>
      </c>
      <c r="U1956" s="62" t="s">
        <v>2056</v>
      </c>
      <c r="V1956" s="62" t="s">
        <v>2057</v>
      </c>
      <c r="W1956" s="62" t="s">
        <v>15</v>
      </c>
      <c r="X1956" s="62" t="s">
        <v>2058</v>
      </c>
      <c r="Y1956" s="62" t="s">
        <v>2103</v>
      </c>
      <c r="Z1956" s="62" t="s">
        <v>3586</v>
      </c>
      <c r="AA1956" s="62" t="s">
        <v>3589</v>
      </c>
      <c r="AB1956" s="62" t="n">
        <v>1</v>
      </c>
      <c r="AC1956" s="62" t="n">
        <v>0</v>
      </c>
      <c r="AD1956" s="62" t="n">
        <v>1</v>
      </c>
      <c r="AE1956" s="62" t="n">
        <f aca="false">IF(AND(Dashboard!$C$9="Yes",AC1956=1),0,1)</f>
        <v>1</v>
      </c>
      <c r="AF1956" s="62" t="n">
        <v>0</v>
      </c>
    </row>
    <row r="1957" customFormat="false" ht="15" hidden="false" customHeight="false" outlineLevel="0" collapsed="false">
      <c r="A1957" s="62" t="n">
        <v>1956</v>
      </c>
      <c r="B1957" s="63" t="n">
        <v>46278.2590277778</v>
      </c>
      <c r="C1957" s="64" t="n">
        <v>46277</v>
      </c>
      <c r="D1957" s="62" t="s">
        <v>358</v>
      </c>
      <c r="E1957" s="62" t="s">
        <v>2645</v>
      </c>
      <c r="F1957" s="62" t="s">
        <v>2645</v>
      </c>
      <c r="G1957" s="62" t="s">
        <v>2646</v>
      </c>
      <c r="H1957" s="62" t="s">
        <v>57</v>
      </c>
      <c r="I1957" s="62" t="s">
        <v>47</v>
      </c>
      <c r="J1957" s="62" t="s">
        <v>146</v>
      </c>
      <c r="K1957" s="62" t="s">
        <v>175</v>
      </c>
      <c r="L1957" s="62" t="s">
        <v>4</v>
      </c>
      <c r="M1957" s="62" t="n">
        <v>1</v>
      </c>
      <c r="N1957" s="62" t="n">
        <v>0</v>
      </c>
      <c r="O1957" s="62" t="n">
        <v>1</v>
      </c>
      <c r="P1957" s="62" t="n">
        <v>0</v>
      </c>
      <c r="Q1957" s="62" t="n">
        <v>0</v>
      </c>
      <c r="R1957" s="62" t="n">
        <v>0</v>
      </c>
      <c r="S1957" s="62" t="n">
        <v>0</v>
      </c>
      <c r="T1957" s="62" t="n">
        <v>0</v>
      </c>
      <c r="U1957" s="62" t="s">
        <v>2056</v>
      </c>
      <c r="V1957" s="62" t="s">
        <v>2068</v>
      </c>
      <c r="W1957" s="62"/>
      <c r="X1957" s="62" t="s">
        <v>2125</v>
      </c>
      <c r="Y1957" s="62" t="s">
        <v>2059</v>
      </c>
      <c r="Z1957" s="62" t="s">
        <v>3590</v>
      </c>
      <c r="AA1957" s="62" t="s">
        <v>3591</v>
      </c>
      <c r="AB1957" s="62" t="n">
        <v>1</v>
      </c>
      <c r="AC1957" s="62" t="n">
        <v>0</v>
      </c>
      <c r="AD1957" s="62" t="n">
        <v>1</v>
      </c>
      <c r="AE1957" s="62" t="n">
        <f aca="false">IF(AND(Dashboard!$C$9="Yes",AC1957=1),0,1)</f>
        <v>1</v>
      </c>
      <c r="AF1957" s="62" t="n">
        <v>1</v>
      </c>
    </row>
    <row r="1958" customFormat="false" ht="15" hidden="false" customHeight="false" outlineLevel="0" collapsed="false">
      <c r="A1958" s="62" t="n">
        <v>1957</v>
      </c>
      <c r="B1958" s="63" t="n">
        <v>46278.2620023148</v>
      </c>
      <c r="C1958" s="64" t="n">
        <v>46277</v>
      </c>
      <c r="D1958" s="62" t="s">
        <v>358</v>
      </c>
      <c r="E1958" s="62" t="s">
        <v>2722</v>
      </c>
      <c r="F1958" s="62" t="s">
        <v>2722</v>
      </c>
      <c r="G1958" s="62" t="s">
        <v>2723</v>
      </c>
      <c r="H1958" s="62" t="s">
        <v>55</v>
      </c>
      <c r="I1958" s="62" t="s">
        <v>49</v>
      </c>
      <c r="J1958" s="62" t="s">
        <v>146</v>
      </c>
      <c r="K1958" s="62" t="s">
        <v>209</v>
      </c>
      <c r="L1958" s="62" t="s">
        <v>148</v>
      </c>
      <c r="M1958" s="62" t="n">
        <v>0</v>
      </c>
      <c r="N1958" s="62" t="n">
        <v>1</v>
      </c>
      <c r="O1958" s="62" t="n">
        <v>1</v>
      </c>
      <c r="P1958" s="62" t="n">
        <v>1</v>
      </c>
      <c r="Q1958" s="62" t="n">
        <v>0</v>
      </c>
      <c r="R1958" s="62" t="n">
        <v>0</v>
      </c>
      <c r="S1958" s="62" t="n">
        <v>0</v>
      </c>
      <c r="T1958" s="62" t="n">
        <v>0</v>
      </c>
      <c r="U1958" s="62"/>
      <c r="V1958" s="62"/>
      <c r="W1958" s="62"/>
      <c r="X1958" s="62"/>
      <c r="Y1958" s="62"/>
      <c r="Z1958" s="62" t="s">
        <v>3576</v>
      </c>
      <c r="AA1958" s="62" t="s">
        <v>3577</v>
      </c>
      <c r="AB1958" s="62" t="n">
        <v>1</v>
      </c>
      <c r="AC1958" s="62" t="n">
        <v>1</v>
      </c>
      <c r="AD1958" s="62" t="n">
        <v>1</v>
      </c>
      <c r="AE1958" s="62" t="n">
        <f aca="false">IF(AND(Dashboard!$C$9="Yes",AC1958=1),0,1)</f>
        <v>0</v>
      </c>
      <c r="AF1958" s="62" t="n">
        <v>0</v>
      </c>
    </row>
    <row r="1959" customFormat="false" ht="15" hidden="false" customHeight="false" outlineLevel="0" collapsed="false">
      <c r="A1959" s="62" t="n">
        <v>1958</v>
      </c>
      <c r="B1959" s="63" t="n">
        <v>46278.2622916667</v>
      </c>
      <c r="C1959" s="64" t="n">
        <v>46277</v>
      </c>
      <c r="D1959" s="62" t="s">
        <v>358</v>
      </c>
      <c r="E1959" s="62" t="s">
        <v>2722</v>
      </c>
      <c r="F1959" s="62" t="s">
        <v>2722</v>
      </c>
      <c r="G1959" s="62" t="s">
        <v>2723</v>
      </c>
      <c r="H1959" s="62" t="s">
        <v>55</v>
      </c>
      <c r="I1959" s="62" t="s">
        <v>49</v>
      </c>
      <c r="J1959" s="62" t="s">
        <v>146</v>
      </c>
      <c r="K1959" s="62" t="s">
        <v>209</v>
      </c>
      <c r="L1959" s="62" t="s">
        <v>4</v>
      </c>
      <c r="M1959" s="62" t="n">
        <v>1</v>
      </c>
      <c r="N1959" s="62" t="n">
        <v>0</v>
      </c>
      <c r="O1959" s="62" t="n">
        <v>1</v>
      </c>
      <c r="P1959" s="62" t="n">
        <v>0</v>
      </c>
      <c r="Q1959" s="62" t="n">
        <v>0</v>
      </c>
      <c r="R1959" s="62" t="n">
        <v>0</v>
      </c>
      <c r="S1959" s="62" t="n">
        <v>0</v>
      </c>
      <c r="T1959" s="62" t="n">
        <v>0</v>
      </c>
      <c r="U1959" s="62" t="s">
        <v>2056</v>
      </c>
      <c r="V1959" s="62" t="s">
        <v>2057</v>
      </c>
      <c r="W1959" s="62" t="s">
        <v>15</v>
      </c>
      <c r="X1959" s="62" t="s">
        <v>2058</v>
      </c>
      <c r="Y1959" s="62" t="s">
        <v>2059</v>
      </c>
      <c r="Z1959" s="62" t="s">
        <v>3570</v>
      </c>
      <c r="AA1959" s="62" t="s">
        <v>3571</v>
      </c>
      <c r="AB1959" s="62" t="n">
        <v>1</v>
      </c>
      <c r="AC1959" s="62" t="n">
        <v>1</v>
      </c>
      <c r="AD1959" s="62" t="n">
        <v>1</v>
      </c>
      <c r="AE1959" s="62" t="n">
        <f aca="false">IF(AND(Dashboard!$C$9="Yes",AC1959=1),0,1)</f>
        <v>0</v>
      </c>
      <c r="AF1959" s="62" t="n">
        <v>0</v>
      </c>
    </row>
    <row r="1960" customFormat="false" ht="15" hidden="false" customHeight="false" outlineLevel="0" collapsed="false">
      <c r="A1960" s="62" t="n">
        <v>1959</v>
      </c>
      <c r="B1960" s="63" t="n">
        <v>46278.2635532407</v>
      </c>
      <c r="C1960" s="64" t="n">
        <v>46277</v>
      </c>
      <c r="D1960" s="62" t="s">
        <v>358</v>
      </c>
      <c r="E1960" s="62" t="s">
        <v>2722</v>
      </c>
      <c r="F1960" s="62" t="s">
        <v>2722</v>
      </c>
      <c r="G1960" s="62" t="s">
        <v>2723</v>
      </c>
      <c r="H1960" s="62" t="s">
        <v>55</v>
      </c>
      <c r="I1960" s="62" t="s">
        <v>49</v>
      </c>
      <c r="J1960" s="62" t="s">
        <v>146</v>
      </c>
      <c r="K1960" s="62" t="s">
        <v>209</v>
      </c>
      <c r="L1960" s="62" t="s">
        <v>4</v>
      </c>
      <c r="M1960" s="62" t="n">
        <v>1</v>
      </c>
      <c r="N1960" s="62" t="n">
        <v>0</v>
      </c>
      <c r="O1960" s="62" t="n">
        <v>1</v>
      </c>
      <c r="P1960" s="62" t="n">
        <v>0</v>
      </c>
      <c r="Q1960" s="62" t="n">
        <v>0</v>
      </c>
      <c r="R1960" s="62" t="n">
        <v>0</v>
      </c>
      <c r="S1960" s="62" t="n">
        <v>0</v>
      </c>
      <c r="T1960" s="62" t="n">
        <v>0</v>
      </c>
      <c r="U1960" s="62" t="s">
        <v>2056</v>
      </c>
      <c r="V1960" s="62" t="s">
        <v>2057</v>
      </c>
      <c r="W1960" s="62" t="s">
        <v>15</v>
      </c>
      <c r="X1960" s="62" t="s">
        <v>2058</v>
      </c>
      <c r="Y1960" s="62" t="s">
        <v>2059</v>
      </c>
      <c r="Z1960" s="62" t="s">
        <v>3576</v>
      </c>
      <c r="AA1960" s="62" t="s">
        <v>1056</v>
      </c>
      <c r="AB1960" s="62" t="n">
        <v>0</v>
      </c>
      <c r="AC1960" s="62" t="n">
        <v>0</v>
      </c>
      <c r="AD1960" s="62" t="n">
        <v>1</v>
      </c>
      <c r="AE1960" s="62" t="n">
        <f aca="false">IF(AND(Dashboard!$C$9="Yes",AC1960=1),0,1)</f>
        <v>1</v>
      </c>
      <c r="AF1960" s="62" t="n">
        <v>0</v>
      </c>
    </row>
    <row r="1961" customFormat="false" ht="15" hidden="false" customHeight="false" outlineLevel="0" collapsed="false">
      <c r="A1961" s="62" t="n">
        <v>1960</v>
      </c>
      <c r="B1961" s="63" t="n">
        <v>46278.6357407407</v>
      </c>
      <c r="C1961" s="64" t="n">
        <v>46278</v>
      </c>
      <c r="D1961" s="62" t="s">
        <v>393</v>
      </c>
      <c r="E1961" s="62" t="s">
        <v>2156</v>
      </c>
      <c r="F1961" s="62" t="s">
        <v>2156</v>
      </c>
      <c r="G1961" s="62" t="s">
        <v>2157</v>
      </c>
      <c r="H1961" s="62" t="s">
        <v>52</v>
      </c>
      <c r="I1961" s="62" t="s">
        <v>47</v>
      </c>
      <c r="J1961" s="62" t="s">
        <v>146</v>
      </c>
      <c r="K1961" s="62" t="s">
        <v>209</v>
      </c>
      <c r="L1961" s="62" t="s">
        <v>148</v>
      </c>
      <c r="M1961" s="62" t="n">
        <v>0</v>
      </c>
      <c r="N1961" s="62" t="n">
        <v>2</v>
      </c>
      <c r="O1961" s="62" t="n">
        <v>2</v>
      </c>
      <c r="P1961" s="62" t="n">
        <v>1</v>
      </c>
      <c r="Q1961" s="62" t="n">
        <v>1</v>
      </c>
      <c r="R1961" s="62" t="n">
        <v>0</v>
      </c>
      <c r="S1961" s="62" t="n">
        <v>0</v>
      </c>
      <c r="T1961" s="62" t="n">
        <v>0</v>
      </c>
      <c r="U1961" s="62"/>
      <c r="V1961" s="62"/>
      <c r="W1961" s="62"/>
      <c r="X1961" s="62"/>
      <c r="Y1961" s="62"/>
      <c r="Z1961" s="62" t="s">
        <v>3592</v>
      </c>
      <c r="AA1961" s="62" t="s">
        <v>3593</v>
      </c>
      <c r="AB1961" s="62" t="n">
        <v>1</v>
      </c>
      <c r="AC1961" s="62" t="n">
        <v>0</v>
      </c>
      <c r="AD1961" s="62" t="n">
        <v>1</v>
      </c>
      <c r="AE1961" s="62" t="n">
        <f aca="false">IF(AND(Dashboard!$C$9="Yes",AC1961=1),0,1)</f>
        <v>1</v>
      </c>
      <c r="AF1961" s="62" t="n">
        <v>1</v>
      </c>
    </row>
    <row r="1962" customFormat="false" ht="15" hidden="false" customHeight="false" outlineLevel="0" collapsed="false">
      <c r="A1962" s="62" t="n">
        <v>1961</v>
      </c>
      <c r="B1962" s="63" t="n">
        <v>46278.6889930556</v>
      </c>
      <c r="C1962" s="64" t="n">
        <v>46278</v>
      </c>
      <c r="D1962" s="62" t="s">
        <v>393</v>
      </c>
      <c r="E1962" s="62" t="s">
        <v>586</v>
      </c>
      <c r="F1962" s="62" t="s">
        <v>586</v>
      </c>
      <c r="G1962" s="62" t="s">
        <v>587</v>
      </c>
      <c r="H1962" s="62" t="s">
        <v>57</v>
      </c>
      <c r="I1962" s="62" t="s">
        <v>47</v>
      </c>
      <c r="J1962" s="62" t="s">
        <v>146</v>
      </c>
      <c r="K1962" s="62" t="s">
        <v>175</v>
      </c>
      <c r="L1962" s="62" t="s">
        <v>148</v>
      </c>
      <c r="M1962" s="62" t="n">
        <v>0</v>
      </c>
      <c r="N1962" s="62" t="n">
        <v>1</v>
      </c>
      <c r="O1962" s="62" t="n">
        <v>1</v>
      </c>
      <c r="P1962" s="62" t="n">
        <v>1</v>
      </c>
      <c r="Q1962" s="62" t="n">
        <v>0</v>
      </c>
      <c r="R1962" s="62" t="n">
        <v>0</v>
      </c>
      <c r="S1962" s="62" t="n">
        <v>0</v>
      </c>
      <c r="T1962" s="62" t="n">
        <v>0</v>
      </c>
      <c r="U1962" s="62"/>
      <c r="V1962" s="62"/>
      <c r="W1962" s="62"/>
      <c r="X1962" s="62"/>
      <c r="Y1962" s="62"/>
      <c r="Z1962" s="62" t="s">
        <v>3594</v>
      </c>
      <c r="AA1962" s="62" t="s">
        <v>3595</v>
      </c>
      <c r="AB1962" s="62" t="n">
        <v>1</v>
      </c>
      <c r="AC1962" s="62" t="n">
        <v>0</v>
      </c>
      <c r="AD1962" s="62" t="n">
        <v>1</v>
      </c>
      <c r="AE1962" s="62" t="n">
        <f aca="false">IF(AND(Dashboard!$C$9="Yes",AC1962=1),0,1)</f>
        <v>1</v>
      </c>
      <c r="AF1962" s="62" t="n">
        <v>1</v>
      </c>
    </row>
    <row r="1963" customFormat="false" ht="15" hidden="false" customHeight="false" outlineLevel="0" collapsed="false">
      <c r="A1963" s="62" t="n">
        <v>1962</v>
      </c>
      <c r="B1963" s="63" t="n">
        <v>46278.7033449074</v>
      </c>
      <c r="C1963" s="64" t="n">
        <v>46278</v>
      </c>
      <c r="D1963" s="62" t="s">
        <v>393</v>
      </c>
      <c r="E1963" s="62" t="s">
        <v>203</v>
      </c>
      <c r="F1963" s="62" t="s">
        <v>203</v>
      </c>
      <c r="G1963" s="62" t="s">
        <v>204</v>
      </c>
      <c r="H1963" s="62" t="s">
        <v>51</v>
      </c>
      <c r="I1963" s="62" t="s">
        <v>47</v>
      </c>
      <c r="J1963" s="62" t="s">
        <v>146</v>
      </c>
      <c r="K1963" s="62" t="s">
        <v>147</v>
      </c>
      <c r="L1963" s="62" t="s">
        <v>148</v>
      </c>
      <c r="M1963" s="62" t="n">
        <v>0</v>
      </c>
      <c r="N1963" s="62" t="n">
        <v>1</v>
      </c>
      <c r="O1963" s="62" t="n">
        <v>1</v>
      </c>
      <c r="P1963" s="62" t="n">
        <v>1</v>
      </c>
      <c r="Q1963" s="62" t="n">
        <v>0</v>
      </c>
      <c r="R1963" s="62" t="n">
        <v>0</v>
      </c>
      <c r="S1963" s="62" t="n">
        <v>0</v>
      </c>
      <c r="T1963" s="62" t="n">
        <v>0</v>
      </c>
      <c r="U1963" s="62"/>
      <c r="V1963" s="62"/>
      <c r="W1963" s="62"/>
      <c r="X1963" s="62"/>
      <c r="Y1963" s="62"/>
      <c r="Z1963" s="62" t="s">
        <v>3596</v>
      </c>
      <c r="AA1963" s="62" t="s">
        <v>485</v>
      </c>
      <c r="AB1963" s="62" t="n">
        <v>0</v>
      </c>
      <c r="AC1963" s="62" t="n">
        <v>0</v>
      </c>
      <c r="AD1963" s="62" t="n">
        <v>1</v>
      </c>
      <c r="AE1963" s="62" t="n">
        <f aca="false">IF(AND(Dashboard!$C$9="Yes",AC1963=1),0,1)</f>
        <v>1</v>
      </c>
      <c r="AF1963" s="62" t="n">
        <v>1</v>
      </c>
    </row>
    <row r="1964" customFormat="false" ht="15" hidden="false" customHeight="false" outlineLevel="0" collapsed="false">
      <c r="A1964" s="62" t="n">
        <v>1963</v>
      </c>
      <c r="B1964" s="63" t="n">
        <v>46278.7037384259</v>
      </c>
      <c r="C1964" s="64" t="n">
        <v>46278</v>
      </c>
      <c r="D1964" s="62" t="s">
        <v>393</v>
      </c>
      <c r="E1964" s="62" t="s">
        <v>2101</v>
      </c>
      <c r="F1964" s="62" t="s">
        <v>2101</v>
      </c>
      <c r="G1964" s="62" t="s">
        <v>2102</v>
      </c>
      <c r="H1964" s="62" t="s">
        <v>52</v>
      </c>
      <c r="I1964" s="62" t="s">
        <v>47</v>
      </c>
      <c r="J1964" s="62" t="s">
        <v>146</v>
      </c>
      <c r="K1964" s="62" t="s">
        <v>147</v>
      </c>
      <c r="L1964" s="62" t="s">
        <v>148</v>
      </c>
      <c r="M1964" s="62" t="n">
        <v>0</v>
      </c>
      <c r="N1964" s="62" t="n">
        <v>2</v>
      </c>
      <c r="O1964" s="62" t="n">
        <v>2</v>
      </c>
      <c r="P1964" s="62" t="n">
        <v>1</v>
      </c>
      <c r="Q1964" s="62" t="n">
        <v>1</v>
      </c>
      <c r="R1964" s="62" t="n">
        <v>0</v>
      </c>
      <c r="S1964" s="62" t="n">
        <v>0</v>
      </c>
      <c r="T1964" s="62" t="n">
        <v>0</v>
      </c>
      <c r="U1964" s="62"/>
      <c r="V1964" s="62"/>
      <c r="W1964" s="62"/>
      <c r="X1964" s="62"/>
      <c r="Y1964" s="62"/>
      <c r="Z1964" s="62" t="s">
        <v>3597</v>
      </c>
      <c r="AA1964" s="62" t="s">
        <v>3116</v>
      </c>
      <c r="AB1964" s="62" t="n">
        <v>1</v>
      </c>
      <c r="AC1964" s="62" t="n">
        <v>0</v>
      </c>
      <c r="AD1964" s="62" t="n">
        <v>1</v>
      </c>
      <c r="AE1964" s="62" t="n">
        <f aca="false">IF(AND(Dashboard!$C$9="Yes",AC1964=1),0,1)</f>
        <v>1</v>
      </c>
      <c r="AF1964" s="62" t="n">
        <v>1</v>
      </c>
    </row>
    <row r="1965" customFormat="false" ht="15" hidden="false" customHeight="false" outlineLevel="0" collapsed="false">
      <c r="A1965" s="62" t="n">
        <v>1964</v>
      </c>
      <c r="B1965" s="63" t="n">
        <v>46278.712037037</v>
      </c>
      <c r="C1965" s="64" t="n">
        <v>46278</v>
      </c>
      <c r="D1965" s="62" t="s">
        <v>393</v>
      </c>
      <c r="E1965" s="62" t="s">
        <v>2540</v>
      </c>
      <c r="F1965" s="62" t="s">
        <v>2540</v>
      </c>
      <c r="G1965" s="62" t="s">
        <v>2541</v>
      </c>
      <c r="H1965" s="62" t="s">
        <v>48</v>
      </c>
      <c r="I1965" s="62" t="s">
        <v>49</v>
      </c>
      <c r="J1965" s="62" t="s">
        <v>146</v>
      </c>
      <c r="K1965" s="62" t="s">
        <v>209</v>
      </c>
      <c r="L1965" s="62" t="s">
        <v>148</v>
      </c>
      <c r="M1965" s="62" t="n">
        <v>0</v>
      </c>
      <c r="N1965" s="62" t="n">
        <v>1</v>
      </c>
      <c r="O1965" s="62" t="n">
        <v>1</v>
      </c>
      <c r="P1965" s="62" t="n">
        <v>0</v>
      </c>
      <c r="Q1965" s="62" t="n">
        <v>0</v>
      </c>
      <c r="R1965" s="62" t="n">
        <v>1</v>
      </c>
      <c r="S1965" s="62" t="n">
        <v>0</v>
      </c>
      <c r="T1965" s="62" t="n">
        <v>0</v>
      </c>
      <c r="U1965" s="62"/>
      <c r="V1965" s="62"/>
      <c r="W1965" s="62"/>
      <c r="X1965" s="62"/>
      <c r="Y1965" s="62"/>
      <c r="Z1965" s="62" t="s">
        <v>3598</v>
      </c>
      <c r="AA1965" s="62" t="s">
        <v>237</v>
      </c>
      <c r="AB1965" s="62" t="n">
        <v>0</v>
      </c>
      <c r="AC1965" s="62" t="n">
        <v>0</v>
      </c>
      <c r="AD1965" s="62" t="n">
        <v>1</v>
      </c>
      <c r="AE1965" s="62" t="n">
        <f aca="false">IF(AND(Dashboard!$C$9="Yes",AC1965=1),0,1)</f>
        <v>1</v>
      </c>
      <c r="AF1965" s="62" t="n">
        <v>1</v>
      </c>
    </row>
    <row r="1966" customFormat="false" ht="15" hidden="false" customHeight="false" outlineLevel="0" collapsed="false">
      <c r="A1966" s="62" t="n">
        <v>1965</v>
      </c>
      <c r="B1966" s="63" t="n">
        <v>46278.7415856482</v>
      </c>
      <c r="C1966" s="64" t="n">
        <v>46278</v>
      </c>
      <c r="D1966" s="62" t="s">
        <v>393</v>
      </c>
      <c r="E1966" s="62" t="s">
        <v>3599</v>
      </c>
      <c r="F1966" s="62" t="s">
        <v>3599</v>
      </c>
      <c r="G1966" s="62" t="s">
        <v>3600</v>
      </c>
      <c r="H1966" s="62" t="s">
        <v>51</v>
      </c>
      <c r="I1966" s="62" t="s">
        <v>47</v>
      </c>
      <c r="J1966" s="62" t="s">
        <v>146</v>
      </c>
      <c r="K1966" s="62" t="s">
        <v>209</v>
      </c>
      <c r="L1966" s="62" t="s">
        <v>148</v>
      </c>
      <c r="M1966" s="62" t="n">
        <v>0</v>
      </c>
      <c r="N1966" s="62" t="n">
        <v>1</v>
      </c>
      <c r="O1966" s="62" t="n">
        <v>1</v>
      </c>
      <c r="P1966" s="62" t="n">
        <v>1</v>
      </c>
      <c r="Q1966" s="62" t="n">
        <v>0</v>
      </c>
      <c r="R1966" s="62" t="n">
        <v>0</v>
      </c>
      <c r="S1966" s="62" t="n">
        <v>0</v>
      </c>
      <c r="T1966" s="62" t="n">
        <v>0</v>
      </c>
      <c r="U1966" s="62"/>
      <c r="V1966" s="62"/>
      <c r="W1966" s="62"/>
      <c r="X1966" s="62"/>
      <c r="Y1966" s="62"/>
      <c r="Z1966" s="62" t="s">
        <v>3601</v>
      </c>
      <c r="AA1966" s="62" t="s">
        <v>3602</v>
      </c>
      <c r="AB1966" s="62" t="n">
        <v>1</v>
      </c>
      <c r="AC1966" s="62" t="n">
        <v>0</v>
      </c>
      <c r="AD1966" s="62" t="n">
        <v>1</v>
      </c>
      <c r="AE1966" s="62" t="n">
        <f aca="false">IF(AND(Dashboard!$C$9="Yes",AC1966=1),0,1)</f>
        <v>1</v>
      </c>
      <c r="AF1966" s="62" t="n">
        <v>1</v>
      </c>
    </row>
    <row r="1967" customFormat="false" ht="15" hidden="false" customHeight="false" outlineLevel="0" collapsed="false">
      <c r="A1967" s="62" t="n">
        <v>1966</v>
      </c>
      <c r="B1967" s="63" t="n">
        <v>46278.7463541667</v>
      </c>
      <c r="C1967" s="64" t="n">
        <v>46278</v>
      </c>
      <c r="D1967" s="62" t="s">
        <v>393</v>
      </c>
      <c r="E1967" s="62" t="s">
        <v>2943</v>
      </c>
      <c r="F1967" s="62" t="s">
        <v>2943</v>
      </c>
      <c r="G1967" s="62" t="s">
        <v>2944</v>
      </c>
      <c r="H1967" s="62" t="s">
        <v>48</v>
      </c>
      <c r="I1967" s="62" t="s">
        <v>49</v>
      </c>
      <c r="J1967" s="62" t="s">
        <v>146</v>
      </c>
      <c r="K1967" s="62" t="s">
        <v>209</v>
      </c>
      <c r="L1967" s="62" t="s">
        <v>148</v>
      </c>
      <c r="M1967" s="62" t="n">
        <v>0</v>
      </c>
      <c r="N1967" s="62" t="n">
        <v>1</v>
      </c>
      <c r="O1967" s="62" t="n">
        <v>1</v>
      </c>
      <c r="P1967" s="62" t="n">
        <v>1</v>
      </c>
      <c r="Q1967" s="62" t="n">
        <v>0</v>
      </c>
      <c r="R1967" s="62" t="n">
        <v>0</v>
      </c>
      <c r="S1967" s="62" t="n">
        <v>0</v>
      </c>
      <c r="T1967" s="62" t="n">
        <v>0</v>
      </c>
      <c r="U1967" s="62"/>
      <c r="V1967" s="62"/>
      <c r="W1967" s="62"/>
      <c r="X1967" s="62"/>
      <c r="Y1967" s="62"/>
      <c r="Z1967" s="62" t="s">
        <v>3603</v>
      </c>
      <c r="AA1967" s="62" t="s">
        <v>3604</v>
      </c>
      <c r="AB1967" s="62" t="n">
        <v>1</v>
      </c>
      <c r="AC1967" s="62" t="n">
        <v>0</v>
      </c>
      <c r="AD1967" s="62" t="n">
        <v>1</v>
      </c>
      <c r="AE1967" s="62" t="n">
        <f aca="false">IF(AND(Dashboard!$C$9="Yes",AC1967=1),0,1)</f>
        <v>1</v>
      </c>
      <c r="AF1967" s="62" t="n">
        <v>1</v>
      </c>
    </row>
    <row r="1968" customFormat="false" ht="15" hidden="false" customHeight="false" outlineLevel="0" collapsed="false">
      <c r="A1968" s="62" t="n">
        <v>1967</v>
      </c>
      <c r="B1968" s="63" t="n">
        <v>46278.747037037</v>
      </c>
      <c r="C1968" s="64" t="n">
        <v>46278</v>
      </c>
      <c r="D1968" s="62" t="s">
        <v>393</v>
      </c>
      <c r="E1968" s="62" t="s">
        <v>586</v>
      </c>
      <c r="F1968" s="62" t="s">
        <v>586</v>
      </c>
      <c r="G1968" s="62" t="s">
        <v>587</v>
      </c>
      <c r="H1968" s="62" t="s">
        <v>57</v>
      </c>
      <c r="I1968" s="62" t="s">
        <v>47</v>
      </c>
      <c r="J1968" s="62" t="s">
        <v>146</v>
      </c>
      <c r="K1968" s="62" t="s">
        <v>175</v>
      </c>
      <c r="L1968" s="62" t="s">
        <v>148</v>
      </c>
      <c r="M1968" s="62" t="n">
        <v>0</v>
      </c>
      <c r="N1968" s="62" t="n">
        <v>1</v>
      </c>
      <c r="O1968" s="62" t="n">
        <v>1</v>
      </c>
      <c r="P1968" s="62" t="n">
        <v>1</v>
      </c>
      <c r="Q1968" s="62" t="n">
        <v>0</v>
      </c>
      <c r="R1968" s="62" t="n">
        <v>0</v>
      </c>
      <c r="S1968" s="62" t="n">
        <v>0</v>
      </c>
      <c r="T1968" s="62" t="n">
        <v>0</v>
      </c>
      <c r="U1968" s="62"/>
      <c r="V1968" s="62"/>
      <c r="W1968" s="62"/>
      <c r="X1968" s="62"/>
      <c r="Y1968" s="62"/>
      <c r="Z1968" s="62" t="s">
        <v>3605</v>
      </c>
      <c r="AA1968" s="62" t="s">
        <v>3606</v>
      </c>
      <c r="AB1968" s="62" t="n">
        <v>1</v>
      </c>
      <c r="AC1968" s="62" t="n">
        <v>0</v>
      </c>
      <c r="AD1968" s="62" t="n">
        <v>1</v>
      </c>
      <c r="AE1968" s="62" t="n">
        <f aca="false">IF(AND(Dashboard!$C$9="Yes",AC1968=1),0,1)</f>
        <v>1</v>
      </c>
      <c r="AF1968" s="62" t="n">
        <v>0</v>
      </c>
    </row>
    <row r="1969" customFormat="false" ht="15" hidden="false" customHeight="false" outlineLevel="0" collapsed="false">
      <c r="A1969" s="62" t="n">
        <v>1968</v>
      </c>
      <c r="B1969" s="63" t="n">
        <v>46278.7532638889</v>
      </c>
      <c r="C1969" s="64" t="n">
        <v>46278</v>
      </c>
      <c r="D1969" s="62" t="s">
        <v>393</v>
      </c>
      <c r="E1969" s="62" t="s">
        <v>2156</v>
      </c>
      <c r="F1969" s="62" t="s">
        <v>2156</v>
      </c>
      <c r="G1969" s="62" t="s">
        <v>2157</v>
      </c>
      <c r="H1969" s="62" t="s">
        <v>52</v>
      </c>
      <c r="I1969" s="62" t="s">
        <v>47</v>
      </c>
      <c r="J1969" s="62" t="s">
        <v>146</v>
      </c>
      <c r="K1969" s="62" t="s">
        <v>209</v>
      </c>
      <c r="L1969" s="62" t="s">
        <v>148</v>
      </c>
      <c r="M1969" s="62" t="n">
        <v>0</v>
      </c>
      <c r="N1969" s="62" t="n">
        <v>1</v>
      </c>
      <c r="O1969" s="62" t="n">
        <v>1</v>
      </c>
      <c r="P1969" s="62" t="n">
        <v>1</v>
      </c>
      <c r="Q1969" s="62" t="n">
        <v>0</v>
      </c>
      <c r="R1969" s="62" t="n">
        <v>0</v>
      </c>
      <c r="S1969" s="62" t="n">
        <v>0</v>
      </c>
      <c r="T1969" s="62" t="n">
        <v>0</v>
      </c>
      <c r="U1969" s="62"/>
      <c r="V1969" s="62"/>
      <c r="W1969" s="62"/>
      <c r="X1969" s="62"/>
      <c r="Y1969" s="62"/>
      <c r="Z1969" s="62" t="s">
        <v>3607</v>
      </c>
      <c r="AA1969" s="62" t="s">
        <v>3608</v>
      </c>
      <c r="AB1969" s="62" t="n">
        <v>1</v>
      </c>
      <c r="AC1969" s="62" t="n">
        <v>0</v>
      </c>
      <c r="AD1969" s="62" t="n">
        <v>1</v>
      </c>
      <c r="AE1969" s="62" t="n">
        <f aca="false">IF(AND(Dashboard!$C$9="Yes",AC1969=1),0,1)</f>
        <v>1</v>
      </c>
      <c r="AF1969" s="62" t="n">
        <v>0</v>
      </c>
    </row>
    <row r="1970" customFormat="false" ht="15" hidden="false" customHeight="false" outlineLevel="0" collapsed="false">
      <c r="A1970" s="62" t="n">
        <v>1969</v>
      </c>
      <c r="B1970" s="63" t="n">
        <v>46278.7694212963</v>
      </c>
      <c r="C1970" s="64" t="n">
        <v>46278</v>
      </c>
      <c r="D1970" s="62" t="s">
        <v>393</v>
      </c>
      <c r="E1970" s="62" t="s">
        <v>2228</v>
      </c>
      <c r="F1970" s="62" t="s">
        <v>2228</v>
      </c>
      <c r="G1970" s="62" t="s">
        <v>2229</v>
      </c>
      <c r="H1970" s="62" t="s">
        <v>58</v>
      </c>
      <c r="I1970" s="62" t="s">
        <v>49</v>
      </c>
      <c r="J1970" s="62" t="s">
        <v>146</v>
      </c>
      <c r="K1970" s="62" t="s">
        <v>209</v>
      </c>
      <c r="L1970" s="62" t="s">
        <v>4</v>
      </c>
      <c r="M1970" s="62" t="n">
        <v>1</v>
      </c>
      <c r="N1970" s="62" t="n">
        <v>0</v>
      </c>
      <c r="O1970" s="62" t="n">
        <v>1</v>
      </c>
      <c r="P1970" s="62" t="n">
        <v>0</v>
      </c>
      <c r="Q1970" s="62" t="n">
        <v>0</v>
      </c>
      <c r="R1970" s="62" t="n">
        <v>0</v>
      </c>
      <c r="S1970" s="62" t="n">
        <v>0</v>
      </c>
      <c r="T1970" s="62" t="n">
        <v>0</v>
      </c>
      <c r="U1970" s="62" t="s">
        <v>2056</v>
      </c>
      <c r="V1970" s="62" t="s">
        <v>2057</v>
      </c>
      <c r="W1970" s="62" t="s">
        <v>15</v>
      </c>
      <c r="X1970" s="62" t="s">
        <v>2058</v>
      </c>
      <c r="Y1970" s="62" t="s">
        <v>2059</v>
      </c>
      <c r="Z1970" s="62" t="s">
        <v>3609</v>
      </c>
      <c r="AA1970" s="62" t="s">
        <v>3610</v>
      </c>
      <c r="AB1970" s="62" t="n">
        <v>1</v>
      </c>
      <c r="AC1970" s="62" t="n">
        <v>0</v>
      </c>
      <c r="AD1970" s="62" t="n">
        <v>1</v>
      </c>
      <c r="AE1970" s="62" t="n">
        <f aca="false">IF(AND(Dashboard!$C$9="Yes",AC1970=1),0,1)</f>
        <v>1</v>
      </c>
      <c r="AF1970" s="62" t="n">
        <v>1</v>
      </c>
    </row>
    <row r="1971" customFormat="false" ht="15" hidden="false" customHeight="false" outlineLevel="0" collapsed="false">
      <c r="A1971" s="62" t="n">
        <v>1970</v>
      </c>
      <c r="B1971" s="63" t="n">
        <v>46278.7790856482</v>
      </c>
      <c r="C1971" s="64" t="n">
        <v>46278</v>
      </c>
      <c r="D1971" s="62" t="s">
        <v>393</v>
      </c>
      <c r="E1971" s="62" t="s">
        <v>3181</v>
      </c>
      <c r="F1971" s="62" t="s">
        <v>3181</v>
      </c>
      <c r="G1971" s="62" t="s">
        <v>3182</v>
      </c>
      <c r="H1971" s="62" t="s">
        <v>58</v>
      </c>
      <c r="I1971" s="62" t="s">
        <v>49</v>
      </c>
      <c r="J1971" s="62" t="s">
        <v>146</v>
      </c>
      <c r="K1971" s="62" t="s">
        <v>209</v>
      </c>
      <c r="L1971" s="62" t="s">
        <v>148</v>
      </c>
      <c r="M1971" s="62" t="n">
        <v>0</v>
      </c>
      <c r="N1971" s="62" t="n">
        <v>1</v>
      </c>
      <c r="O1971" s="62" t="n">
        <v>1</v>
      </c>
      <c r="P1971" s="62" t="n">
        <v>1</v>
      </c>
      <c r="Q1971" s="62" t="n">
        <v>0</v>
      </c>
      <c r="R1971" s="62" t="n">
        <v>0</v>
      </c>
      <c r="S1971" s="62" t="n">
        <v>0</v>
      </c>
      <c r="T1971" s="62" t="n">
        <v>0</v>
      </c>
      <c r="U1971" s="62"/>
      <c r="V1971" s="62"/>
      <c r="W1971" s="62"/>
      <c r="X1971" s="62"/>
      <c r="Y1971" s="62"/>
      <c r="Z1971" s="62" t="s">
        <v>3611</v>
      </c>
      <c r="AA1971" s="62"/>
      <c r="AB1971" s="62" t="n">
        <v>0</v>
      </c>
      <c r="AC1971" s="62" t="n">
        <v>0</v>
      </c>
      <c r="AD1971" s="62" t="n">
        <v>1</v>
      </c>
      <c r="AE1971" s="62" t="n">
        <f aca="false">IF(AND(Dashboard!$C$9="Yes",AC1971=1),0,1)</f>
        <v>1</v>
      </c>
      <c r="AF1971" s="62" t="n">
        <v>1</v>
      </c>
    </row>
    <row r="1972" customFormat="false" ht="15" hidden="false" customHeight="false" outlineLevel="0" collapsed="false">
      <c r="A1972" s="62" t="n">
        <v>1971</v>
      </c>
      <c r="B1972" s="63" t="n">
        <v>46278.7969560185</v>
      </c>
      <c r="C1972" s="64" t="n">
        <v>46278</v>
      </c>
      <c r="D1972" s="62" t="s">
        <v>393</v>
      </c>
      <c r="E1972" s="62" t="s">
        <v>2156</v>
      </c>
      <c r="F1972" s="62" t="s">
        <v>2156</v>
      </c>
      <c r="G1972" s="62" t="s">
        <v>2157</v>
      </c>
      <c r="H1972" s="62" t="s">
        <v>52</v>
      </c>
      <c r="I1972" s="62" t="s">
        <v>47</v>
      </c>
      <c r="J1972" s="62" t="s">
        <v>146</v>
      </c>
      <c r="K1972" s="62" t="s">
        <v>209</v>
      </c>
      <c r="L1972" s="62" t="s">
        <v>4</v>
      </c>
      <c r="M1972" s="62" t="n">
        <v>1</v>
      </c>
      <c r="N1972" s="62" t="n">
        <v>0</v>
      </c>
      <c r="O1972" s="62" t="n">
        <v>1</v>
      </c>
      <c r="P1972" s="62" t="n">
        <v>0</v>
      </c>
      <c r="Q1972" s="62" t="n">
        <v>0</v>
      </c>
      <c r="R1972" s="62" t="n">
        <v>0</v>
      </c>
      <c r="S1972" s="62" t="n">
        <v>0</v>
      </c>
      <c r="T1972" s="62" t="n">
        <v>0</v>
      </c>
      <c r="U1972" s="62" t="s">
        <v>2056</v>
      </c>
      <c r="V1972" s="62" t="s">
        <v>2057</v>
      </c>
      <c r="W1972" s="62" t="s">
        <v>15</v>
      </c>
      <c r="X1972" s="62" t="s">
        <v>2058</v>
      </c>
      <c r="Y1972" s="62" t="s">
        <v>2059</v>
      </c>
      <c r="Z1972" s="62" t="s">
        <v>3607</v>
      </c>
      <c r="AA1972" s="62" t="s">
        <v>3612</v>
      </c>
      <c r="AB1972" s="62" t="n">
        <v>1</v>
      </c>
      <c r="AC1972" s="62" t="n">
        <v>0</v>
      </c>
      <c r="AD1972" s="62" t="n">
        <v>1</v>
      </c>
      <c r="AE1972" s="62" t="n">
        <f aca="false">IF(AND(Dashboard!$C$9="Yes",AC1972=1),0,1)</f>
        <v>1</v>
      </c>
      <c r="AF1972" s="62" t="n">
        <v>0</v>
      </c>
    </row>
    <row r="1973" customFormat="false" ht="15" hidden="false" customHeight="false" outlineLevel="0" collapsed="false">
      <c r="A1973" s="62" t="n">
        <v>1972</v>
      </c>
      <c r="B1973" s="63" t="n">
        <v>46278.798275463</v>
      </c>
      <c r="C1973" s="64" t="n">
        <v>46278</v>
      </c>
      <c r="D1973" s="62" t="s">
        <v>393</v>
      </c>
      <c r="E1973" s="62" t="s">
        <v>2943</v>
      </c>
      <c r="F1973" s="62" t="s">
        <v>2943</v>
      </c>
      <c r="G1973" s="62" t="s">
        <v>2944</v>
      </c>
      <c r="H1973" s="62" t="s">
        <v>48</v>
      </c>
      <c r="I1973" s="62" t="s">
        <v>49</v>
      </c>
      <c r="J1973" s="62" t="s">
        <v>146</v>
      </c>
      <c r="K1973" s="62" t="s">
        <v>209</v>
      </c>
      <c r="L1973" s="62" t="s">
        <v>148</v>
      </c>
      <c r="M1973" s="62" t="n">
        <v>0</v>
      </c>
      <c r="N1973" s="62" t="n">
        <v>1</v>
      </c>
      <c r="O1973" s="62" t="n">
        <v>1</v>
      </c>
      <c r="P1973" s="62" t="n">
        <v>1</v>
      </c>
      <c r="Q1973" s="62" t="n">
        <v>0</v>
      </c>
      <c r="R1973" s="62" t="n">
        <v>0</v>
      </c>
      <c r="S1973" s="62" t="n">
        <v>0</v>
      </c>
      <c r="T1973" s="62" t="n">
        <v>0</v>
      </c>
      <c r="U1973" s="62"/>
      <c r="V1973" s="62"/>
      <c r="W1973" s="62"/>
      <c r="X1973" s="62"/>
      <c r="Y1973" s="62"/>
      <c r="Z1973" s="62" t="s">
        <v>3613</v>
      </c>
      <c r="AA1973" s="62" t="s">
        <v>3614</v>
      </c>
      <c r="AB1973" s="62" t="n">
        <v>1</v>
      </c>
      <c r="AC1973" s="62" t="n">
        <v>0</v>
      </c>
      <c r="AD1973" s="62" t="n">
        <v>1</v>
      </c>
      <c r="AE1973" s="62" t="n">
        <f aca="false">IF(AND(Dashboard!$C$9="Yes",AC1973=1),0,1)</f>
        <v>1</v>
      </c>
      <c r="AF1973" s="62" t="n">
        <v>0</v>
      </c>
    </row>
    <row r="1974" customFormat="false" ht="15" hidden="false" customHeight="false" outlineLevel="0" collapsed="false">
      <c r="A1974" s="62" t="n">
        <v>1973</v>
      </c>
      <c r="B1974" s="63" t="n">
        <v>46278.8038541667</v>
      </c>
      <c r="C1974" s="64" t="n">
        <v>46278</v>
      </c>
      <c r="D1974" s="62" t="s">
        <v>393</v>
      </c>
      <c r="E1974" s="62" t="s">
        <v>2156</v>
      </c>
      <c r="F1974" s="62" t="s">
        <v>2156</v>
      </c>
      <c r="G1974" s="62" t="s">
        <v>2157</v>
      </c>
      <c r="H1974" s="62" t="s">
        <v>52</v>
      </c>
      <c r="I1974" s="62" t="s">
        <v>47</v>
      </c>
      <c r="J1974" s="62" t="s">
        <v>146</v>
      </c>
      <c r="K1974" s="62" t="s">
        <v>209</v>
      </c>
      <c r="L1974" s="62" t="s">
        <v>4</v>
      </c>
      <c r="M1974" s="62" t="n">
        <v>1</v>
      </c>
      <c r="N1974" s="62" t="n">
        <v>0</v>
      </c>
      <c r="O1974" s="62" t="n">
        <v>1</v>
      </c>
      <c r="P1974" s="62" t="n">
        <v>0</v>
      </c>
      <c r="Q1974" s="62" t="n">
        <v>0</v>
      </c>
      <c r="R1974" s="62" t="n">
        <v>0</v>
      </c>
      <c r="S1974" s="62" t="n">
        <v>0</v>
      </c>
      <c r="T1974" s="62" t="n">
        <v>0</v>
      </c>
      <c r="U1974" s="62" t="s">
        <v>2056</v>
      </c>
      <c r="V1974" s="62" t="s">
        <v>2057</v>
      </c>
      <c r="W1974" s="62" t="s">
        <v>15</v>
      </c>
      <c r="X1974" s="62" t="s">
        <v>2058</v>
      </c>
      <c r="Y1974" s="62" t="s">
        <v>2064</v>
      </c>
      <c r="Z1974" s="62" t="s">
        <v>3607</v>
      </c>
      <c r="AA1974" s="62" t="s">
        <v>3615</v>
      </c>
      <c r="AB1974" s="62" t="n">
        <v>1</v>
      </c>
      <c r="AC1974" s="62" t="n">
        <v>0</v>
      </c>
      <c r="AD1974" s="62" t="n">
        <v>1</v>
      </c>
      <c r="AE1974" s="62" t="n">
        <f aca="false">IF(AND(Dashboard!$C$9="Yes",AC1974=1),0,1)</f>
        <v>1</v>
      </c>
      <c r="AF1974" s="62" t="n">
        <v>0</v>
      </c>
    </row>
    <row r="1975" customFormat="false" ht="15" hidden="false" customHeight="false" outlineLevel="0" collapsed="false">
      <c r="A1975" s="62" t="n">
        <v>1974</v>
      </c>
      <c r="B1975" s="63" t="n">
        <v>46278.8321990741</v>
      </c>
      <c r="C1975" s="64" t="n">
        <v>46278</v>
      </c>
      <c r="D1975" s="62" t="s">
        <v>393</v>
      </c>
      <c r="E1975" s="62" t="s">
        <v>2101</v>
      </c>
      <c r="F1975" s="62" t="s">
        <v>2101</v>
      </c>
      <c r="G1975" s="62" t="s">
        <v>2102</v>
      </c>
      <c r="H1975" s="62" t="s">
        <v>52</v>
      </c>
      <c r="I1975" s="62" t="s">
        <v>47</v>
      </c>
      <c r="J1975" s="62" t="s">
        <v>146</v>
      </c>
      <c r="K1975" s="62" t="s">
        <v>147</v>
      </c>
      <c r="L1975" s="62" t="s">
        <v>148</v>
      </c>
      <c r="M1975" s="62" t="n">
        <v>0</v>
      </c>
      <c r="N1975" s="62" t="n">
        <v>2</v>
      </c>
      <c r="O1975" s="62" t="n">
        <v>2</v>
      </c>
      <c r="P1975" s="62" t="n">
        <v>1</v>
      </c>
      <c r="Q1975" s="62" t="n">
        <v>0</v>
      </c>
      <c r="R1975" s="62" t="n">
        <v>1</v>
      </c>
      <c r="S1975" s="62" t="n">
        <v>0</v>
      </c>
      <c r="T1975" s="62" t="n">
        <v>0</v>
      </c>
      <c r="U1975" s="62"/>
      <c r="V1975" s="62"/>
      <c r="W1975" s="62"/>
      <c r="X1975" s="62"/>
      <c r="Y1975" s="62"/>
      <c r="Z1975" s="62" t="s">
        <v>3616</v>
      </c>
      <c r="AA1975" s="62" t="s">
        <v>3116</v>
      </c>
      <c r="AB1975" s="62" t="n">
        <v>1</v>
      </c>
      <c r="AC1975" s="62" t="n">
        <v>0</v>
      </c>
      <c r="AD1975" s="62" t="n">
        <v>1</v>
      </c>
      <c r="AE1975" s="62" t="n">
        <f aca="false">IF(AND(Dashboard!$C$9="Yes",AC1975=1),0,1)</f>
        <v>1</v>
      </c>
      <c r="AF1975" s="62" t="n">
        <v>0</v>
      </c>
    </row>
    <row r="1976" customFormat="false" ht="15" hidden="false" customHeight="false" outlineLevel="0" collapsed="false">
      <c r="A1976" s="62" t="n">
        <v>1975</v>
      </c>
      <c r="B1976" s="63" t="n">
        <v>46278.8325231482</v>
      </c>
      <c r="C1976" s="64" t="n">
        <v>46278</v>
      </c>
      <c r="D1976" s="62" t="s">
        <v>393</v>
      </c>
      <c r="E1976" s="62" t="s">
        <v>2101</v>
      </c>
      <c r="F1976" s="62" t="s">
        <v>2101</v>
      </c>
      <c r="G1976" s="62" t="s">
        <v>2102</v>
      </c>
      <c r="H1976" s="62" t="s">
        <v>52</v>
      </c>
      <c r="I1976" s="62" t="s">
        <v>47</v>
      </c>
      <c r="J1976" s="62" t="s">
        <v>146</v>
      </c>
      <c r="K1976" s="62" t="s">
        <v>147</v>
      </c>
      <c r="L1976" s="62" t="s">
        <v>148</v>
      </c>
      <c r="M1976" s="62" t="n">
        <v>0</v>
      </c>
      <c r="N1976" s="62" t="n">
        <v>1</v>
      </c>
      <c r="O1976" s="62" t="n">
        <v>1</v>
      </c>
      <c r="P1976" s="62" t="n">
        <v>0</v>
      </c>
      <c r="Q1976" s="62" t="n">
        <v>0</v>
      </c>
      <c r="R1976" s="62" t="n">
        <v>1</v>
      </c>
      <c r="S1976" s="62" t="n">
        <v>0</v>
      </c>
      <c r="T1976" s="62" t="n">
        <v>0</v>
      </c>
      <c r="U1976" s="62"/>
      <c r="V1976" s="62"/>
      <c r="W1976" s="62"/>
      <c r="X1976" s="62"/>
      <c r="Y1976" s="62"/>
      <c r="Z1976" s="62" t="s">
        <v>3617</v>
      </c>
      <c r="AA1976" s="62" t="s">
        <v>3116</v>
      </c>
      <c r="AB1976" s="62" t="n">
        <v>1</v>
      </c>
      <c r="AC1976" s="62" t="n">
        <v>0</v>
      </c>
      <c r="AD1976" s="62" t="n">
        <v>1</v>
      </c>
      <c r="AE1976" s="62" t="n">
        <f aca="false">IF(AND(Dashboard!$C$9="Yes",AC1976=1),0,1)</f>
        <v>1</v>
      </c>
      <c r="AF1976" s="62" t="n">
        <v>0</v>
      </c>
    </row>
    <row r="1977" customFormat="false" ht="15" hidden="false" customHeight="false" outlineLevel="0" collapsed="false">
      <c r="A1977" s="62" t="n">
        <v>1976</v>
      </c>
      <c r="B1977" s="63" t="n">
        <v>46278.8596527778</v>
      </c>
      <c r="C1977" s="64" t="n">
        <v>46278</v>
      </c>
      <c r="D1977" s="62" t="s">
        <v>393</v>
      </c>
      <c r="E1977" s="62" t="s">
        <v>2101</v>
      </c>
      <c r="F1977" s="62" t="s">
        <v>2101</v>
      </c>
      <c r="G1977" s="62" t="s">
        <v>2102</v>
      </c>
      <c r="H1977" s="62" t="s">
        <v>52</v>
      </c>
      <c r="I1977" s="62" t="s">
        <v>47</v>
      </c>
      <c r="J1977" s="62" t="s">
        <v>146</v>
      </c>
      <c r="K1977" s="62" t="s">
        <v>147</v>
      </c>
      <c r="L1977" s="62" t="s">
        <v>148</v>
      </c>
      <c r="M1977" s="62" t="n">
        <v>0</v>
      </c>
      <c r="N1977" s="62" t="n">
        <v>2</v>
      </c>
      <c r="O1977" s="62" t="n">
        <v>2</v>
      </c>
      <c r="P1977" s="62" t="n">
        <v>0</v>
      </c>
      <c r="Q1977" s="62" t="n">
        <v>0</v>
      </c>
      <c r="R1977" s="62" t="n">
        <v>1</v>
      </c>
      <c r="S1977" s="62" t="n">
        <v>1</v>
      </c>
      <c r="T1977" s="62" t="n">
        <v>0</v>
      </c>
      <c r="U1977" s="62"/>
      <c r="V1977" s="62"/>
      <c r="W1977" s="62"/>
      <c r="X1977" s="62"/>
      <c r="Y1977" s="62"/>
      <c r="Z1977" s="62" t="s">
        <v>3617</v>
      </c>
      <c r="AA1977" s="62" t="s">
        <v>3116</v>
      </c>
      <c r="AB1977" s="62" t="n">
        <v>1</v>
      </c>
      <c r="AC1977" s="62" t="n">
        <v>1</v>
      </c>
      <c r="AD1977" s="62" t="n">
        <v>1</v>
      </c>
      <c r="AE1977" s="62" t="n">
        <f aca="false">IF(AND(Dashboard!$C$9="Yes",AC1977=1),0,1)</f>
        <v>0</v>
      </c>
      <c r="AF1977" s="62" t="n">
        <v>0</v>
      </c>
    </row>
    <row r="1978" customFormat="false" ht="15" hidden="false" customHeight="false" outlineLevel="0" collapsed="false">
      <c r="A1978" s="62" t="n">
        <v>1977</v>
      </c>
      <c r="B1978" s="63" t="n">
        <v>46278.8919791667</v>
      </c>
      <c r="C1978" s="64" t="n">
        <v>46278</v>
      </c>
      <c r="D1978" s="62" t="s">
        <v>393</v>
      </c>
      <c r="E1978" s="62" t="s">
        <v>2777</v>
      </c>
      <c r="F1978" s="62" t="s">
        <v>2777</v>
      </c>
      <c r="G1978" s="62" t="s">
        <v>2778</v>
      </c>
      <c r="H1978" s="62" t="s">
        <v>48</v>
      </c>
      <c r="I1978" s="62" t="s">
        <v>49</v>
      </c>
      <c r="J1978" s="62" t="s">
        <v>146</v>
      </c>
      <c r="K1978" s="62" t="s">
        <v>209</v>
      </c>
      <c r="L1978" s="62" t="s">
        <v>148</v>
      </c>
      <c r="M1978" s="62" t="n">
        <v>0</v>
      </c>
      <c r="N1978" s="62" t="n">
        <v>1</v>
      </c>
      <c r="O1978" s="62" t="n">
        <v>1</v>
      </c>
      <c r="P1978" s="62" t="n">
        <v>1</v>
      </c>
      <c r="Q1978" s="62" t="n">
        <v>0</v>
      </c>
      <c r="R1978" s="62" t="n">
        <v>0</v>
      </c>
      <c r="S1978" s="62" t="n">
        <v>0</v>
      </c>
      <c r="T1978" s="62" t="n">
        <v>0</v>
      </c>
      <c r="U1978" s="62"/>
      <c r="V1978" s="62"/>
      <c r="W1978" s="62"/>
      <c r="X1978" s="62"/>
      <c r="Y1978" s="62"/>
      <c r="Z1978" s="62" t="s">
        <v>3618</v>
      </c>
      <c r="AA1978" s="62" t="s">
        <v>3618</v>
      </c>
      <c r="AB1978" s="62" t="n">
        <v>1</v>
      </c>
      <c r="AC1978" s="62" t="n">
        <v>0</v>
      </c>
      <c r="AD1978" s="62" t="n">
        <v>1</v>
      </c>
      <c r="AE1978" s="62" t="n">
        <f aca="false">IF(AND(Dashboard!$C$9="Yes",AC1978=1),0,1)</f>
        <v>1</v>
      </c>
      <c r="AF1978" s="62" t="n">
        <v>1</v>
      </c>
    </row>
    <row r="1979" customFormat="false" ht="15" hidden="false" customHeight="false" outlineLevel="0" collapsed="false">
      <c r="A1979" s="62" t="n">
        <v>1978</v>
      </c>
      <c r="B1979" s="63" t="n">
        <v>46278.9062152778</v>
      </c>
      <c r="C1979" s="64" t="n">
        <v>46278</v>
      </c>
      <c r="D1979" s="62" t="s">
        <v>393</v>
      </c>
      <c r="E1979" s="62" t="s">
        <v>207</v>
      </c>
      <c r="F1979" s="62" t="s">
        <v>207</v>
      </c>
      <c r="G1979" s="62" t="s">
        <v>208</v>
      </c>
      <c r="H1979" s="62" t="s">
        <v>48</v>
      </c>
      <c r="I1979" s="62" t="s">
        <v>49</v>
      </c>
      <c r="J1979" s="62" t="s">
        <v>146</v>
      </c>
      <c r="K1979" s="62" t="s">
        <v>209</v>
      </c>
      <c r="L1979" s="62" t="s">
        <v>148</v>
      </c>
      <c r="M1979" s="62" t="n">
        <v>0</v>
      </c>
      <c r="N1979" s="62" t="n">
        <v>1</v>
      </c>
      <c r="O1979" s="62" t="n">
        <v>1</v>
      </c>
      <c r="P1979" s="62" t="n">
        <v>1</v>
      </c>
      <c r="Q1979" s="62" t="n">
        <v>0</v>
      </c>
      <c r="R1979" s="62" t="n">
        <v>0</v>
      </c>
      <c r="S1979" s="62" t="n">
        <v>0</v>
      </c>
      <c r="T1979" s="62" t="n">
        <v>0</v>
      </c>
      <c r="U1979" s="62"/>
      <c r="V1979" s="62"/>
      <c r="W1979" s="62"/>
      <c r="X1979" s="62"/>
      <c r="Y1979" s="62"/>
      <c r="Z1979" s="62" t="s">
        <v>3619</v>
      </c>
      <c r="AA1979" s="62" t="s">
        <v>3620</v>
      </c>
      <c r="AB1979" s="62" t="n">
        <v>1</v>
      </c>
      <c r="AC1979" s="62" t="n">
        <v>0</v>
      </c>
      <c r="AD1979" s="62" t="n">
        <v>1</v>
      </c>
      <c r="AE1979" s="62" t="n">
        <f aca="false">IF(AND(Dashboard!$C$9="Yes",AC1979=1),0,1)</f>
        <v>1</v>
      </c>
      <c r="AF1979" s="62" t="n">
        <v>1</v>
      </c>
    </row>
    <row r="1980" customFormat="false" ht="15" hidden="false" customHeight="false" outlineLevel="0" collapsed="false">
      <c r="A1980" s="62" t="n">
        <v>1979</v>
      </c>
      <c r="B1980" s="63" t="n">
        <v>46278.9174305556</v>
      </c>
      <c r="C1980" s="64" t="n">
        <v>46278</v>
      </c>
      <c r="D1980" s="62" t="s">
        <v>393</v>
      </c>
      <c r="E1980" s="62" t="s">
        <v>2845</v>
      </c>
      <c r="F1980" s="62" t="s">
        <v>2845</v>
      </c>
      <c r="G1980" s="62" t="s">
        <v>181</v>
      </c>
      <c r="H1980" s="62" t="s">
        <v>48</v>
      </c>
      <c r="I1980" s="62" t="s">
        <v>49</v>
      </c>
      <c r="J1980" s="62" t="s">
        <v>146</v>
      </c>
      <c r="K1980" s="62" t="s">
        <v>209</v>
      </c>
      <c r="L1980" s="62" t="s">
        <v>4</v>
      </c>
      <c r="M1980" s="62" t="n">
        <v>1</v>
      </c>
      <c r="N1980" s="62" t="n">
        <v>0</v>
      </c>
      <c r="O1980" s="62" t="n">
        <v>1</v>
      </c>
      <c r="P1980" s="62" t="n">
        <v>0</v>
      </c>
      <c r="Q1980" s="62" t="n">
        <v>0</v>
      </c>
      <c r="R1980" s="62" t="n">
        <v>0</v>
      </c>
      <c r="S1980" s="62" t="n">
        <v>0</v>
      </c>
      <c r="T1980" s="62" t="n">
        <v>0</v>
      </c>
      <c r="U1980" s="62" t="s">
        <v>2056</v>
      </c>
      <c r="V1980" s="62" t="s">
        <v>2057</v>
      </c>
      <c r="W1980" s="62" t="s">
        <v>15</v>
      </c>
      <c r="X1980" s="62" t="s">
        <v>2125</v>
      </c>
      <c r="Y1980" s="62" t="s">
        <v>2059</v>
      </c>
      <c r="Z1980" s="62" t="s">
        <v>3621</v>
      </c>
      <c r="AA1980" s="62" t="s">
        <v>3622</v>
      </c>
      <c r="AB1980" s="62" t="n">
        <v>1</v>
      </c>
      <c r="AC1980" s="62" t="n">
        <v>0</v>
      </c>
      <c r="AD1980" s="62" t="n">
        <v>1</v>
      </c>
      <c r="AE1980" s="62" t="n">
        <f aca="false">IF(AND(Dashboard!$C$9="Yes",AC1980=1),0,1)</f>
        <v>1</v>
      </c>
      <c r="AF1980" s="62" t="n">
        <v>1</v>
      </c>
    </row>
    <row r="1981" customFormat="false" ht="15" hidden="false" customHeight="false" outlineLevel="0" collapsed="false">
      <c r="A1981" s="62" t="n">
        <v>1980</v>
      </c>
      <c r="B1981" s="63" t="n">
        <v>46278.9203935185</v>
      </c>
      <c r="C1981" s="64" t="n">
        <v>46278</v>
      </c>
      <c r="D1981" s="62" t="s">
        <v>393</v>
      </c>
      <c r="E1981" s="62" t="s">
        <v>2540</v>
      </c>
      <c r="F1981" s="62" t="s">
        <v>2540</v>
      </c>
      <c r="G1981" s="62" t="s">
        <v>2541</v>
      </c>
      <c r="H1981" s="62" t="s">
        <v>48</v>
      </c>
      <c r="I1981" s="62" t="s">
        <v>49</v>
      </c>
      <c r="J1981" s="62" t="s">
        <v>146</v>
      </c>
      <c r="K1981" s="62" t="s">
        <v>209</v>
      </c>
      <c r="L1981" s="62" t="s">
        <v>148</v>
      </c>
      <c r="M1981" s="62" t="n">
        <v>0</v>
      </c>
      <c r="N1981" s="62" t="n">
        <v>1</v>
      </c>
      <c r="O1981" s="62" t="n">
        <v>1</v>
      </c>
      <c r="P1981" s="62" t="n">
        <v>0</v>
      </c>
      <c r="Q1981" s="62" t="n">
        <v>0</v>
      </c>
      <c r="R1981" s="62" t="n">
        <v>0</v>
      </c>
      <c r="S1981" s="62" t="n">
        <v>0</v>
      </c>
      <c r="T1981" s="62" t="n">
        <v>1</v>
      </c>
      <c r="U1981" s="62"/>
      <c r="V1981" s="62"/>
      <c r="W1981" s="62"/>
      <c r="X1981" s="62"/>
      <c r="Y1981" s="62"/>
      <c r="Z1981" s="62" t="s">
        <v>3623</v>
      </c>
      <c r="AA1981" s="62" t="s">
        <v>237</v>
      </c>
      <c r="AB1981" s="62" t="n">
        <v>0</v>
      </c>
      <c r="AC1981" s="62" t="n">
        <v>0</v>
      </c>
      <c r="AD1981" s="62" t="n">
        <v>1</v>
      </c>
      <c r="AE1981" s="62" t="n">
        <f aca="false">IF(AND(Dashboard!$C$9="Yes",AC1981=1),0,1)</f>
        <v>1</v>
      </c>
      <c r="AF1981" s="62" t="n">
        <v>0</v>
      </c>
    </row>
    <row r="1982" customFormat="false" ht="15" hidden="false" customHeight="false" outlineLevel="0" collapsed="false">
      <c r="A1982" s="62" t="n">
        <v>1981</v>
      </c>
      <c r="B1982" s="63" t="n">
        <v>46278.9310648148</v>
      </c>
      <c r="C1982" s="64" t="n">
        <v>46278</v>
      </c>
      <c r="D1982" s="62" t="s">
        <v>393</v>
      </c>
      <c r="E1982" s="62" t="s">
        <v>2722</v>
      </c>
      <c r="F1982" s="62" t="s">
        <v>2722</v>
      </c>
      <c r="G1982" s="62" t="s">
        <v>2723</v>
      </c>
      <c r="H1982" s="62" t="s">
        <v>55</v>
      </c>
      <c r="I1982" s="62" t="s">
        <v>49</v>
      </c>
      <c r="J1982" s="62" t="s">
        <v>146</v>
      </c>
      <c r="K1982" s="62" t="s">
        <v>209</v>
      </c>
      <c r="L1982" s="62" t="s">
        <v>148</v>
      </c>
      <c r="M1982" s="62" t="n">
        <v>0</v>
      </c>
      <c r="N1982" s="62" t="n">
        <v>1</v>
      </c>
      <c r="O1982" s="62" t="n">
        <v>1</v>
      </c>
      <c r="P1982" s="62" t="n">
        <v>0</v>
      </c>
      <c r="Q1982" s="62" t="n">
        <v>1</v>
      </c>
      <c r="R1982" s="62" t="n">
        <v>0</v>
      </c>
      <c r="S1982" s="62" t="n">
        <v>0</v>
      </c>
      <c r="T1982" s="62" t="n">
        <v>0</v>
      </c>
      <c r="U1982" s="62"/>
      <c r="V1982" s="62"/>
      <c r="W1982" s="62"/>
      <c r="X1982" s="62"/>
      <c r="Y1982" s="62"/>
      <c r="Z1982" s="62" t="s">
        <v>3624</v>
      </c>
      <c r="AA1982" s="62" t="s">
        <v>3625</v>
      </c>
      <c r="AB1982" s="62" t="n">
        <v>1</v>
      </c>
      <c r="AC1982" s="62" t="n">
        <v>0</v>
      </c>
      <c r="AD1982" s="62" t="n">
        <v>1</v>
      </c>
      <c r="AE1982" s="62" t="n">
        <f aca="false">IF(AND(Dashboard!$C$9="Yes",AC1982=1),0,1)</f>
        <v>1</v>
      </c>
      <c r="AF1982" s="62" t="n">
        <v>1</v>
      </c>
    </row>
    <row r="1983" customFormat="false" ht="15" hidden="false" customHeight="false" outlineLevel="0" collapsed="false">
      <c r="A1983" s="62" t="n">
        <v>1982</v>
      </c>
      <c r="B1983" s="63" t="n">
        <v>46278.9320601852</v>
      </c>
      <c r="C1983" s="64" t="n">
        <v>46278</v>
      </c>
      <c r="D1983" s="62" t="s">
        <v>393</v>
      </c>
      <c r="E1983" s="62" t="s">
        <v>207</v>
      </c>
      <c r="F1983" s="62" t="s">
        <v>207</v>
      </c>
      <c r="G1983" s="62" t="s">
        <v>208</v>
      </c>
      <c r="H1983" s="62" t="s">
        <v>48</v>
      </c>
      <c r="I1983" s="62" t="s">
        <v>49</v>
      </c>
      <c r="J1983" s="62" t="s">
        <v>146</v>
      </c>
      <c r="K1983" s="62" t="s">
        <v>209</v>
      </c>
      <c r="L1983" s="62" t="s">
        <v>4</v>
      </c>
      <c r="M1983" s="62" t="n">
        <v>1</v>
      </c>
      <c r="N1983" s="62" t="n">
        <v>0</v>
      </c>
      <c r="O1983" s="62" t="n">
        <v>1</v>
      </c>
      <c r="P1983" s="62" t="n">
        <v>0</v>
      </c>
      <c r="Q1983" s="62" t="n">
        <v>0</v>
      </c>
      <c r="R1983" s="62" t="n">
        <v>0</v>
      </c>
      <c r="S1983" s="62" t="n">
        <v>0</v>
      </c>
      <c r="T1983" s="62" t="n">
        <v>0</v>
      </c>
      <c r="U1983" s="62" t="s">
        <v>2056</v>
      </c>
      <c r="V1983" s="62" t="s">
        <v>2057</v>
      </c>
      <c r="W1983" s="62" t="s">
        <v>15</v>
      </c>
      <c r="X1983" s="62" t="s">
        <v>2058</v>
      </c>
      <c r="Y1983" s="62" t="s">
        <v>2059</v>
      </c>
      <c r="Z1983" s="62" t="s">
        <v>3626</v>
      </c>
      <c r="AA1983" s="62" t="s">
        <v>3627</v>
      </c>
      <c r="AB1983" s="62" t="n">
        <v>1</v>
      </c>
      <c r="AC1983" s="62" t="n">
        <v>0</v>
      </c>
      <c r="AD1983" s="62" t="n">
        <v>1</v>
      </c>
      <c r="AE1983" s="62" t="n">
        <f aca="false">IF(AND(Dashboard!$C$9="Yes",AC1983=1),0,1)</f>
        <v>1</v>
      </c>
      <c r="AF1983" s="62" t="n">
        <v>0</v>
      </c>
    </row>
    <row r="1984" customFormat="false" ht="15" hidden="false" customHeight="false" outlineLevel="0" collapsed="false">
      <c r="A1984" s="62" t="n">
        <v>1983</v>
      </c>
      <c r="B1984" s="63" t="n">
        <v>46278.9346990741</v>
      </c>
      <c r="C1984" s="64" t="n">
        <v>46278</v>
      </c>
      <c r="D1984" s="62" t="s">
        <v>393</v>
      </c>
      <c r="E1984" s="62" t="s">
        <v>518</v>
      </c>
      <c r="F1984" s="62" t="s">
        <v>518</v>
      </c>
      <c r="G1984" s="62" t="s">
        <v>519</v>
      </c>
      <c r="H1984" s="62" t="s">
        <v>52</v>
      </c>
      <c r="I1984" s="62" t="s">
        <v>47</v>
      </c>
      <c r="J1984" s="62" t="s">
        <v>146</v>
      </c>
      <c r="K1984" s="62" t="s">
        <v>147</v>
      </c>
      <c r="L1984" s="62" t="s">
        <v>148</v>
      </c>
      <c r="M1984" s="62" t="n">
        <v>0</v>
      </c>
      <c r="N1984" s="62" t="n">
        <v>1</v>
      </c>
      <c r="O1984" s="62" t="n">
        <v>1</v>
      </c>
      <c r="P1984" s="62" t="n">
        <v>0</v>
      </c>
      <c r="Q1984" s="62" t="n">
        <v>0</v>
      </c>
      <c r="R1984" s="62" t="n">
        <v>1</v>
      </c>
      <c r="S1984" s="62" t="n">
        <v>0</v>
      </c>
      <c r="T1984" s="62" t="n">
        <v>0</v>
      </c>
      <c r="U1984" s="62"/>
      <c r="V1984" s="62"/>
      <c r="W1984" s="62"/>
      <c r="X1984" s="62"/>
      <c r="Y1984" s="62"/>
      <c r="Z1984" s="62" t="s">
        <v>3628</v>
      </c>
      <c r="AA1984" s="62" t="s">
        <v>3629</v>
      </c>
      <c r="AB1984" s="62" t="n">
        <v>1</v>
      </c>
      <c r="AC1984" s="62" t="n">
        <v>0</v>
      </c>
      <c r="AD1984" s="62" t="n">
        <v>1</v>
      </c>
      <c r="AE1984" s="62" t="n">
        <f aca="false">IF(AND(Dashboard!$C$9="Yes",AC1984=1),0,1)</f>
        <v>1</v>
      </c>
      <c r="AF1984" s="62" t="n">
        <v>1</v>
      </c>
    </row>
    <row r="1985" customFormat="false" ht="15" hidden="false" customHeight="false" outlineLevel="0" collapsed="false">
      <c r="A1985" s="62" t="n">
        <v>1984</v>
      </c>
      <c r="B1985" s="63" t="n">
        <v>46278.9643171296</v>
      </c>
      <c r="C1985" s="64" t="n">
        <v>46278</v>
      </c>
      <c r="D1985" s="62" t="s">
        <v>393</v>
      </c>
      <c r="E1985" s="62" t="s">
        <v>3599</v>
      </c>
      <c r="F1985" s="62" t="s">
        <v>3599</v>
      </c>
      <c r="G1985" s="62" t="s">
        <v>3600</v>
      </c>
      <c r="H1985" s="62" t="s">
        <v>51</v>
      </c>
      <c r="I1985" s="62" t="s">
        <v>47</v>
      </c>
      <c r="J1985" s="62" t="s">
        <v>146</v>
      </c>
      <c r="K1985" s="62" t="s">
        <v>209</v>
      </c>
      <c r="L1985" s="62" t="s">
        <v>148</v>
      </c>
      <c r="M1985" s="62" t="n">
        <v>0</v>
      </c>
      <c r="N1985" s="62" t="n">
        <v>1</v>
      </c>
      <c r="O1985" s="62" t="n">
        <v>1</v>
      </c>
      <c r="P1985" s="62" t="n">
        <v>1</v>
      </c>
      <c r="Q1985" s="62" t="n">
        <v>0</v>
      </c>
      <c r="R1985" s="62" t="n">
        <v>0</v>
      </c>
      <c r="S1985" s="62" t="n">
        <v>0</v>
      </c>
      <c r="T1985" s="62" t="n">
        <v>0</v>
      </c>
      <c r="U1985" s="62"/>
      <c r="V1985" s="62"/>
      <c r="W1985" s="62"/>
      <c r="X1985" s="62"/>
      <c r="Y1985" s="62"/>
      <c r="Z1985" s="62" t="s">
        <v>3630</v>
      </c>
      <c r="AA1985" s="62" t="s">
        <v>3631</v>
      </c>
      <c r="AB1985" s="62" t="n">
        <v>1</v>
      </c>
      <c r="AC1985" s="62" t="n">
        <v>0</v>
      </c>
      <c r="AD1985" s="62" t="n">
        <v>1</v>
      </c>
      <c r="AE1985" s="62" t="n">
        <f aca="false">IF(AND(Dashboard!$C$9="Yes",AC1985=1),0,1)</f>
        <v>1</v>
      </c>
      <c r="AF1985" s="62" t="n">
        <v>0</v>
      </c>
    </row>
    <row r="1986" customFormat="false" ht="15" hidden="false" customHeight="false" outlineLevel="0" collapsed="false">
      <c r="A1986" s="62" t="n">
        <v>1985</v>
      </c>
      <c r="B1986" s="63" t="n">
        <v>46278.9647106482</v>
      </c>
      <c r="C1986" s="64" t="n">
        <v>46278</v>
      </c>
      <c r="D1986" s="62" t="s">
        <v>393</v>
      </c>
      <c r="E1986" s="62" t="s">
        <v>586</v>
      </c>
      <c r="F1986" s="62" t="s">
        <v>586</v>
      </c>
      <c r="G1986" s="62" t="s">
        <v>587</v>
      </c>
      <c r="H1986" s="62" t="s">
        <v>57</v>
      </c>
      <c r="I1986" s="62" t="s">
        <v>47</v>
      </c>
      <c r="J1986" s="62" t="s">
        <v>146</v>
      </c>
      <c r="K1986" s="62" t="s">
        <v>175</v>
      </c>
      <c r="L1986" s="62" t="s">
        <v>148</v>
      </c>
      <c r="M1986" s="62" t="n">
        <v>0</v>
      </c>
      <c r="N1986" s="62" t="n">
        <v>1</v>
      </c>
      <c r="O1986" s="62" t="n">
        <v>1</v>
      </c>
      <c r="P1986" s="62" t="n">
        <v>0</v>
      </c>
      <c r="Q1986" s="62" t="n">
        <v>0</v>
      </c>
      <c r="R1986" s="62" t="n">
        <v>1</v>
      </c>
      <c r="S1986" s="62" t="n">
        <v>0</v>
      </c>
      <c r="T1986" s="62" t="n">
        <v>0</v>
      </c>
      <c r="U1986" s="62"/>
      <c r="V1986" s="62"/>
      <c r="W1986" s="62"/>
      <c r="X1986" s="62"/>
      <c r="Y1986" s="62"/>
      <c r="Z1986" s="62" t="s">
        <v>3632</v>
      </c>
      <c r="AA1986" s="62" t="s">
        <v>3633</v>
      </c>
      <c r="AB1986" s="62" t="n">
        <v>1</v>
      </c>
      <c r="AC1986" s="62" t="n">
        <v>0</v>
      </c>
      <c r="AD1986" s="62" t="n">
        <v>1</v>
      </c>
      <c r="AE1986" s="62" t="n">
        <f aca="false">IF(AND(Dashboard!$C$9="Yes",AC1986=1),0,1)</f>
        <v>1</v>
      </c>
      <c r="AF1986" s="62" t="n">
        <v>0</v>
      </c>
    </row>
    <row r="1987" customFormat="false" ht="15" hidden="false" customHeight="false" outlineLevel="0" collapsed="false">
      <c r="A1987" s="62" t="n">
        <v>1986</v>
      </c>
      <c r="B1987" s="63" t="n">
        <v>46278.9730555556</v>
      </c>
      <c r="C1987" s="64" t="n">
        <v>46278</v>
      </c>
      <c r="D1987" s="62" t="s">
        <v>393</v>
      </c>
      <c r="E1987" s="62" t="s">
        <v>999</v>
      </c>
      <c r="F1987" s="62" t="s">
        <v>999</v>
      </c>
      <c r="G1987" s="62" t="s">
        <v>1000</v>
      </c>
      <c r="H1987" s="62" t="s">
        <v>46</v>
      </c>
      <c r="I1987" s="62" t="s">
        <v>47</v>
      </c>
      <c r="J1987" s="62" t="s">
        <v>146</v>
      </c>
      <c r="K1987" s="62" t="s">
        <v>209</v>
      </c>
      <c r="L1987" s="62" t="s">
        <v>4</v>
      </c>
      <c r="M1987" s="62" t="n">
        <v>1</v>
      </c>
      <c r="N1987" s="62" t="n">
        <v>0</v>
      </c>
      <c r="O1987" s="62" t="n">
        <v>1</v>
      </c>
      <c r="P1987" s="62" t="n">
        <v>0</v>
      </c>
      <c r="Q1987" s="62" t="n">
        <v>0</v>
      </c>
      <c r="R1987" s="62" t="n">
        <v>0</v>
      </c>
      <c r="S1987" s="62" t="n">
        <v>0</v>
      </c>
      <c r="T1987" s="62" t="n">
        <v>0</v>
      </c>
      <c r="U1987" s="62" t="s">
        <v>2056</v>
      </c>
      <c r="V1987" s="62" t="s">
        <v>2057</v>
      </c>
      <c r="W1987" s="62" t="s">
        <v>15</v>
      </c>
      <c r="X1987" s="62" t="s">
        <v>2058</v>
      </c>
      <c r="Y1987" s="62" t="s">
        <v>2059</v>
      </c>
      <c r="Z1987" s="62" t="s">
        <v>3634</v>
      </c>
      <c r="AA1987" s="62" t="s">
        <v>3635</v>
      </c>
      <c r="AB1987" s="62" t="n">
        <v>1</v>
      </c>
      <c r="AC1987" s="62" t="n">
        <v>0</v>
      </c>
      <c r="AD1987" s="62" t="n">
        <v>1</v>
      </c>
      <c r="AE1987" s="62" t="n">
        <f aca="false">IF(AND(Dashboard!$C$9="Yes",AC1987=1),0,1)</f>
        <v>1</v>
      </c>
      <c r="AF1987" s="62" t="n">
        <v>1</v>
      </c>
    </row>
    <row r="1988" customFormat="false" ht="15" hidden="false" customHeight="false" outlineLevel="0" collapsed="false">
      <c r="A1988" s="62" t="n">
        <v>1987</v>
      </c>
      <c r="B1988" s="63" t="n">
        <v>46278.97875</v>
      </c>
      <c r="C1988" s="64" t="n">
        <v>46278</v>
      </c>
      <c r="D1988" s="62" t="s">
        <v>393</v>
      </c>
      <c r="E1988" s="62" t="s">
        <v>3636</v>
      </c>
      <c r="F1988" s="62" t="s">
        <v>3637</v>
      </c>
      <c r="G1988" s="62" t="s">
        <v>153</v>
      </c>
      <c r="H1988" s="62" t="s">
        <v>153</v>
      </c>
      <c r="I1988" s="62" t="s">
        <v>153</v>
      </c>
      <c r="J1988" s="62" t="s">
        <v>64</v>
      </c>
      <c r="K1988" s="62" t="s">
        <v>64</v>
      </c>
      <c r="L1988" s="62" t="s">
        <v>148</v>
      </c>
      <c r="M1988" s="62" t="n">
        <v>0</v>
      </c>
      <c r="N1988" s="62" t="n">
        <v>1</v>
      </c>
      <c r="O1988" s="62" t="n">
        <v>1</v>
      </c>
      <c r="P1988" s="62" t="n">
        <v>1</v>
      </c>
      <c r="Q1988" s="62" t="n">
        <v>0</v>
      </c>
      <c r="R1988" s="62" t="n">
        <v>0</v>
      </c>
      <c r="S1988" s="62" t="n">
        <v>0</v>
      </c>
      <c r="T1988" s="62" t="n">
        <v>0</v>
      </c>
      <c r="U1988" s="62"/>
      <c r="V1988" s="62"/>
      <c r="W1988" s="62"/>
      <c r="X1988" s="62"/>
      <c r="Y1988" s="62"/>
      <c r="Z1988" s="62" t="s">
        <v>3638</v>
      </c>
      <c r="AA1988" s="62" t="s">
        <v>485</v>
      </c>
      <c r="AB1988" s="62" t="n">
        <v>0</v>
      </c>
      <c r="AC1988" s="62" t="n">
        <v>0</v>
      </c>
      <c r="AD1988" s="62" t="n">
        <v>0</v>
      </c>
      <c r="AE1988" s="62" t="n">
        <f aca="false">IF(AND(Dashboard!$C$9="Yes",AC1988=1),0,1)</f>
        <v>1</v>
      </c>
      <c r="AF1988" s="62" t="n">
        <v>1</v>
      </c>
    </row>
    <row r="1989" customFormat="false" ht="15" hidden="false" customHeight="false" outlineLevel="0" collapsed="false">
      <c r="A1989" s="62" t="n">
        <v>1988</v>
      </c>
      <c r="B1989" s="63" t="n">
        <v>46278.9794097222</v>
      </c>
      <c r="C1989" s="64" t="n">
        <v>46278</v>
      </c>
      <c r="D1989" s="62" t="s">
        <v>393</v>
      </c>
      <c r="E1989" s="62" t="s">
        <v>1005</v>
      </c>
      <c r="F1989" s="62" t="s">
        <v>1005</v>
      </c>
      <c r="G1989" s="62" t="s">
        <v>1006</v>
      </c>
      <c r="H1989" s="62" t="s">
        <v>46</v>
      </c>
      <c r="I1989" s="62" t="s">
        <v>47</v>
      </c>
      <c r="J1989" s="62" t="s">
        <v>146</v>
      </c>
      <c r="K1989" s="62" t="s">
        <v>209</v>
      </c>
      <c r="L1989" s="62" t="s">
        <v>148</v>
      </c>
      <c r="M1989" s="62" t="n">
        <v>0</v>
      </c>
      <c r="N1989" s="62" t="n">
        <v>1</v>
      </c>
      <c r="O1989" s="62" t="n">
        <v>1</v>
      </c>
      <c r="P1989" s="62" t="n">
        <v>0</v>
      </c>
      <c r="Q1989" s="62" t="n">
        <v>0</v>
      </c>
      <c r="R1989" s="62" t="n">
        <v>0</v>
      </c>
      <c r="S1989" s="62" t="n">
        <v>0</v>
      </c>
      <c r="T1989" s="62" t="n">
        <v>1</v>
      </c>
      <c r="U1989" s="62"/>
      <c r="V1989" s="62"/>
      <c r="W1989" s="62"/>
      <c r="X1989" s="62"/>
      <c r="Y1989" s="62"/>
      <c r="Z1989" s="62" t="s">
        <v>3639</v>
      </c>
      <c r="AA1989" s="62" t="s">
        <v>485</v>
      </c>
      <c r="AB1989" s="62" t="n">
        <v>0</v>
      </c>
      <c r="AC1989" s="62" t="n">
        <v>0</v>
      </c>
      <c r="AD1989" s="62" t="n">
        <v>1</v>
      </c>
      <c r="AE1989" s="62" t="n">
        <f aca="false">IF(AND(Dashboard!$C$9="Yes",AC1989=1),0,1)</f>
        <v>1</v>
      </c>
      <c r="AF1989" s="62" t="n">
        <v>1</v>
      </c>
    </row>
    <row r="1990" customFormat="false" ht="15" hidden="false" customHeight="false" outlineLevel="0" collapsed="false">
      <c r="A1990" s="62" t="n">
        <v>1989</v>
      </c>
      <c r="B1990" s="63" t="n">
        <v>46278.9884027778</v>
      </c>
      <c r="C1990" s="64" t="n">
        <v>46278</v>
      </c>
      <c r="D1990" s="62" t="s">
        <v>393</v>
      </c>
      <c r="E1990" s="62" t="s">
        <v>1155</v>
      </c>
      <c r="F1990" s="62" t="s">
        <v>1155</v>
      </c>
      <c r="G1990" s="62" t="s">
        <v>1156</v>
      </c>
      <c r="H1990" s="62" t="s">
        <v>59</v>
      </c>
      <c r="I1990" s="62" t="s">
        <v>47</v>
      </c>
      <c r="J1990" s="62" t="s">
        <v>146</v>
      </c>
      <c r="K1990" s="62" t="s">
        <v>209</v>
      </c>
      <c r="L1990" s="62" t="s">
        <v>4</v>
      </c>
      <c r="M1990" s="62" t="n">
        <v>1</v>
      </c>
      <c r="N1990" s="62" t="n">
        <v>0</v>
      </c>
      <c r="O1990" s="62" t="n">
        <v>1</v>
      </c>
      <c r="P1990" s="62" t="n">
        <v>0</v>
      </c>
      <c r="Q1990" s="62" t="n">
        <v>0</v>
      </c>
      <c r="R1990" s="62" t="n">
        <v>0</v>
      </c>
      <c r="S1990" s="62" t="n">
        <v>0</v>
      </c>
      <c r="T1990" s="62" t="n">
        <v>0</v>
      </c>
      <c r="U1990" s="62" t="s">
        <v>2056</v>
      </c>
      <c r="V1990" s="62" t="s">
        <v>2057</v>
      </c>
      <c r="W1990" s="62" t="s">
        <v>15</v>
      </c>
      <c r="X1990" s="62" t="s">
        <v>2058</v>
      </c>
      <c r="Y1990" s="62" t="s">
        <v>2059</v>
      </c>
      <c r="Z1990" s="62" t="s">
        <v>3640</v>
      </c>
      <c r="AA1990" s="62" t="s">
        <v>3641</v>
      </c>
      <c r="AB1990" s="62" t="n">
        <v>1</v>
      </c>
      <c r="AC1990" s="62" t="n">
        <v>0</v>
      </c>
      <c r="AD1990" s="62" t="n">
        <v>1</v>
      </c>
      <c r="AE1990" s="62" t="n">
        <f aca="false">IF(AND(Dashboard!$C$9="Yes",AC1990=1),0,1)</f>
        <v>1</v>
      </c>
      <c r="AF1990" s="62" t="n">
        <v>1</v>
      </c>
    </row>
    <row r="1991" customFormat="false" ht="15" hidden="false" customHeight="false" outlineLevel="0" collapsed="false">
      <c r="A1991" s="62" t="n">
        <v>1990</v>
      </c>
      <c r="B1991" s="63" t="n">
        <v>46278.9906481481</v>
      </c>
      <c r="C1991" s="64" t="n">
        <v>46278</v>
      </c>
      <c r="D1991" s="62" t="s">
        <v>393</v>
      </c>
      <c r="E1991" s="62" t="s">
        <v>3181</v>
      </c>
      <c r="F1991" s="62" t="s">
        <v>3181</v>
      </c>
      <c r="G1991" s="62" t="s">
        <v>3182</v>
      </c>
      <c r="H1991" s="62" t="s">
        <v>58</v>
      </c>
      <c r="I1991" s="62" t="s">
        <v>49</v>
      </c>
      <c r="J1991" s="62" t="s">
        <v>146</v>
      </c>
      <c r="K1991" s="62" t="s">
        <v>209</v>
      </c>
      <c r="L1991" s="62" t="s">
        <v>148</v>
      </c>
      <c r="M1991" s="62" t="n">
        <v>0</v>
      </c>
      <c r="N1991" s="62" t="n">
        <v>1</v>
      </c>
      <c r="O1991" s="62" t="n">
        <v>1</v>
      </c>
      <c r="P1991" s="62" t="n">
        <v>1</v>
      </c>
      <c r="Q1991" s="62" t="n">
        <v>0</v>
      </c>
      <c r="R1991" s="62" t="n">
        <v>0</v>
      </c>
      <c r="S1991" s="62" t="n">
        <v>0</v>
      </c>
      <c r="T1991" s="62" t="n">
        <v>0</v>
      </c>
      <c r="U1991" s="62"/>
      <c r="V1991" s="62"/>
      <c r="W1991" s="62"/>
      <c r="X1991" s="62"/>
      <c r="Y1991" s="62"/>
      <c r="Z1991" s="62" t="s">
        <v>3642</v>
      </c>
      <c r="AA1991" s="62" t="s">
        <v>492</v>
      </c>
      <c r="AB1991" s="62" t="n">
        <v>0</v>
      </c>
      <c r="AC1991" s="62" t="n">
        <v>0</v>
      </c>
      <c r="AD1991" s="62" t="n">
        <v>1</v>
      </c>
      <c r="AE1991" s="62" t="n">
        <f aca="false">IF(AND(Dashboard!$C$9="Yes",AC1991=1),0,1)</f>
        <v>1</v>
      </c>
      <c r="AF1991" s="62" t="n">
        <v>0</v>
      </c>
    </row>
    <row r="1992" customFormat="false" ht="15" hidden="false" customHeight="false" outlineLevel="0" collapsed="false">
      <c r="A1992" s="62" t="n">
        <v>1991</v>
      </c>
      <c r="B1992" s="63" t="n">
        <v>46279.0046180556</v>
      </c>
      <c r="C1992" s="64" t="n">
        <v>46278</v>
      </c>
      <c r="D1992" s="62" t="s">
        <v>393</v>
      </c>
      <c r="E1992" s="62" t="s">
        <v>2910</v>
      </c>
      <c r="F1992" s="62" t="s">
        <v>2910</v>
      </c>
      <c r="G1992" s="62" t="s">
        <v>2911</v>
      </c>
      <c r="H1992" s="62" t="s">
        <v>48</v>
      </c>
      <c r="I1992" s="62" t="s">
        <v>49</v>
      </c>
      <c r="J1992" s="62" t="s">
        <v>146</v>
      </c>
      <c r="K1992" s="62" t="s">
        <v>209</v>
      </c>
      <c r="L1992" s="62" t="s">
        <v>4</v>
      </c>
      <c r="M1992" s="62" t="n">
        <v>3</v>
      </c>
      <c r="N1992" s="62" t="n">
        <v>0</v>
      </c>
      <c r="O1992" s="62" t="n">
        <v>3</v>
      </c>
      <c r="P1992" s="62" t="n">
        <v>0</v>
      </c>
      <c r="Q1992" s="62" t="n">
        <v>0</v>
      </c>
      <c r="R1992" s="62" t="n">
        <v>0</v>
      </c>
      <c r="S1992" s="62" t="n">
        <v>0</v>
      </c>
      <c r="T1992" s="62" t="n">
        <v>0</v>
      </c>
      <c r="U1992" s="62" t="s">
        <v>2056</v>
      </c>
      <c r="V1992" s="62" t="s">
        <v>2057</v>
      </c>
      <c r="W1992" s="62" t="s">
        <v>15</v>
      </c>
      <c r="X1992" s="62" t="s">
        <v>2180</v>
      </c>
      <c r="Y1992" s="62" t="s">
        <v>2103</v>
      </c>
      <c r="Z1992" s="62" t="s">
        <v>3643</v>
      </c>
      <c r="AA1992" s="62" t="s">
        <v>3644</v>
      </c>
      <c r="AB1992" s="62" t="n">
        <v>1</v>
      </c>
      <c r="AC1992" s="62" t="n">
        <v>0</v>
      </c>
      <c r="AD1992" s="62" t="n">
        <v>1</v>
      </c>
      <c r="AE1992" s="62" t="n">
        <f aca="false">IF(AND(Dashboard!$C$9="Yes",AC1992=1),0,1)</f>
        <v>1</v>
      </c>
      <c r="AF1992" s="62" t="n">
        <v>1</v>
      </c>
    </row>
    <row r="1993" customFormat="false" ht="15" hidden="false" customHeight="false" outlineLevel="0" collapsed="false">
      <c r="A1993" s="62" t="n">
        <v>1992</v>
      </c>
      <c r="B1993" s="63" t="n">
        <v>46279.0080324074</v>
      </c>
      <c r="C1993" s="64" t="n">
        <v>46278</v>
      </c>
      <c r="D1993" s="62" t="s">
        <v>393</v>
      </c>
      <c r="E1993" s="62" t="s">
        <v>1445</v>
      </c>
      <c r="F1993" s="62" t="s">
        <v>1445</v>
      </c>
      <c r="G1993" s="62" t="s">
        <v>1446</v>
      </c>
      <c r="H1993" s="62" t="s">
        <v>58</v>
      </c>
      <c r="I1993" s="62" t="s">
        <v>49</v>
      </c>
      <c r="J1993" s="62" t="s">
        <v>146</v>
      </c>
      <c r="K1993" s="62" t="s">
        <v>175</v>
      </c>
      <c r="L1993" s="62" t="s">
        <v>148</v>
      </c>
      <c r="M1993" s="62" t="n">
        <v>0</v>
      </c>
      <c r="N1993" s="62" t="n">
        <v>1</v>
      </c>
      <c r="O1993" s="62" t="n">
        <v>1</v>
      </c>
      <c r="P1993" s="62" t="n">
        <v>1</v>
      </c>
      <c r="Q1993" s="62" t="n">
        <v>0</v>
      </c>
      <c r="R1993" s="62" t="n">
        <v>1</v>
      </c>
      <c r="S1993" s="62" t="n">
        <v>0</v>
      </c>
      <c r="T1993" s="62" t="n">
        <v>0</v>
      </c>
      <c r="U1993" s="62"/>
      <c r="V1993" s="62"/>
      <c r="W1993" s="62"/>
      <c r="X1993" s="62"/>
      <c r="Y1993" s="62"/>
      <c r="Z1993" s="62" t="s">
        <v>3645</v>
      </c>
      <c r="AA1993" s="62" t="s">
        <v>3646</v>
      </c>
      <c r="AB1993" s="62" t="n">
        <v>1</v>
      </c>
      <c r="AC1993" s="62" t="n">
        <v>0</v>
      </c>
      <c r="AD1993" s="62" t="n">
        <v>1</v>
      </c>
      <c r="AE1993" s="62" t="n">
        <f aca="false">IF(AND(Dashboard!$C$9="Yes",AC1993=1),0,1)</f>
        <v>1</v>
      </c>
      <c r="AF1993" s="62" t="n">
        <v>1</v>
      </c>
    </row>
    <row r="1994" customFormat="false" ht="15" hidden="false" customHeight="false" outlineLevel="0" collapsed="false">
      <c r="A1994" s="62" t="n">
        <v>1993</v>
      </c>
      <c r="B1994" s="63" t="n">
        <v>46279.0320023148</v>
      </c>
      <c r="C1994" s="64" t="n">
        <v>46278</v>
      </c>
      <c r="D1994" s="62" t="s">
        <v>393</v>
      </c>
      <c r="E1994" s="62" t="s">
        <v>203</v>
      </c>
      <c r="F1994" s="62" t="s">
        <v>203</v>
      </c>
      <c r="G1994" s="62" t="s">
        <v>204</v>
      </c>
      <c r="H1994" s="62" t="s">
        <v>51</v>
      </c>
      <c r="I1994" s="62" t="s">
        <v>47</v>
      </c>
      <c r="J1994" s="62" t="s">
        <v>146</v>
      </c>
      <c r="K1994" s="62" t="s">
        <v>147</v>
      </c>
      <c r="L1994" s="62" t="s">
        <v>148</v>
      </c>
      <c r="M1994" s="62" t="n">
        <v>0</v>
      </c>
      <c r="N1994" s="62" t="n">
        <v>1</v>
      </c>
      <c r="O1994" s="62" t="n">
        <v>1</v>
      </c>
      <c r="P1994" s="62" t="n">
        <v>1</v>
      </c>
      <c r="Q1994" s="62" t="n">
        <v>0</v>
      </c>
      <c r="R1994" s="62" t="n">
        <v>0</v>
      </c>
      <c r="S1994" s="62" t="n">
        <v>0</v>
      </c>
      <c r="T1994" s="62" t="n">
        <v>0</v>
      </c>
      <c r="U1994" s="62"/>
      <c r="V1994" s="62"/>
      <c r="W1994" s="62"/>
      <c r="X1994" s="62"/>
      <c r="Y1994" s="62"/>
      <c r="Z1994" s="62" t="s">
        <v>3647</v>
      </c>
      <c r="AA1994" s="62" t="s">
        <v>485</v>
      </c>
      <c r="AB1994" s="62" t="n">
        <v>0</v>
      </c>
      <c r="AC1994" s="62" t="n">
        <v>0</v>
      </c>
      <c r="AD1994" s="62" t="n">
        <v>1</v>
      </c>
      <c r="AE1994" s="62" t="n">
        <f aca="false">IF(AND(Dashboard!$C$9="Yes",AC1994=1),0,1)</f>
        <v>1</v>
      </c>
      <c r="AF1994" s="62" t="n">
        <v>0</v>
      </c>
    </row>
    <row r="1995" customFormat="false" ht="15" hidden="false" customHeight="false" outlineLevel="0" collapsed="false">
      <c r="A1995" s="62" t="n">
        <v>1994</v>
      </c>
      <c r="B1995" s="63" t="n">
        <v>46279.0341550926</v>
      </c>
      <c r="C1995" s="64" t="n">
        <v>46278</v>
      </c>
      <c r="D1995" s="62" t="s">
        <v>393</v>
      </c>
      <c r="E1995" s="62" t="s">
        <v>273</v>
      </c>
      <c r="F1995" s="62" t="s">
        <v>273</v>
      </c>
      <c r="G1995" s="62" t="s">
        <v>274</v>
      </c>
      <c r="H1995" s="62" t="s">
        <v>59</v>
      </c>
      <c r="I1995" s="62" t="s">
        <v>47</v>
      </c>
      <c r="J1995" s="62" t="s">
        <v>146</v>
      </c>
      <c r="K1995" s="62" t="s">
        <v>147</v>
      </c>
      <c r="L1995" s="62" t="s">
        <v>148</v>
      </c>
      <c r="M1995" s="62" t="n">
        <v>0</v>
      </c>
      <c r="N1995" s="62" t="n">
        <v>2</v>
      </c>
      <c r="O1995" s="62" t="n">
        <v>2</v>
      </c>
      <c r="P1995" s="62" t="n">
        <v>1</v>
      </c>
      <c r="Q1995" s="62" t="n">
        <v>0</v>
      </c>
      <c r="R1995" s="62" t="n">
        <v>1</v>
      </c>
      <c r="S1995" s="62" t="n">
        <v>0</v>
      </c>
      <c r="T1995" s="62" t="n">
        <v>0</v>
      </c>
      <c r="U1995" s="62"/>
      <c r="V1995" s="62"/>
      <c r="W1995" s="62"/>
      <c r="X1995" s="62"/>
      <c r="Y1995" s="62"/>
      <c r="Z1995" s="62" t="s">
        <v>3648</v>
      </c>
      <c r="AA1995" s="62" t="s">
        <v>3649</v>
      </c>
      <c r="AB1995" s="62" t="n">
        <v>1</v>
      </c>
      <c r="AC1995" s="62" t="n">
        <v>0</v>
      </c>
      <c r="AD1995" s="62" t="n">
        <v>1</v>
      </c>
      <c r="AE1995" s="62" t="n">
        <f aca="false">IF(AND(Dashboard!$C$9="Yes",AC1995=1),0,1)</f>
        <v>1</v>
      </c>
      <c r="AF1995" s="62" t="n">
        <v>1</v>
      </c>
    </row>
    <row r="1996" customFormat="false" ht="15" hidden="false" customHeight="false" outlineLevel="0" collapsed="false">
      <c r="A1996" s="62" t="n">
        <v>1995</v>
      </c>
      <c r="B1996" s="63" t="n">
        <v>46279.0341898148</v>
      </c>
      <c r="C1996" s="64" t="n">
        <v>46278</v>
      </c>
      <c r="D1996" s="62" t="s">
        <v>393</v>
      </c>
      <c r="E1996" s="62" t="s">
        <v>2722</v>
      </c>
      <c r="F1996" s="62" t="s">
        <v>2722</v>
      </c>
      <c r="G1996" s="62" t="s">
        <v>2723</v>
      </c>
      <c r="H1996" s="62" t="s">
        <v>55</v>
      </c>
      <c r="I1996" s="62" t="s">
        <v>49</v>
      </c>
      <c r="J1996" s="62" t="s">
        <v>146</v>
      </c>
      <c r="K1996" s="62" t="s">
        <v>209</v>
      </c>
      <c r="L1996" s="62" t="s">
        <v>148</v>
      </c>
      <c r="M1996" s="62" t="n">
        <v>0</v>
      </c>
      <c r="N1996" s="62" t="n">
        <v>1</v>
      </c>
      <c r="O1996" s="62" t="n">
        <v>1</v>
      </c>
      <c r="P1996" s="62" t="n">
        <v>1</v>
      </c>
      <c r="Q1996" s="62" t="n">
        <v>0</v>
      </c>
      <c r="R1996" s="62" t="n">
        <v>0</v>
      </c>
      <c r="S1996" s="62" t="n">
        <v>0</v>
      </c>
      <c r="T1996" s="62" t="n">
        <v>0</v>
      </c>
      <c r="U1996" s="62"/>
      <c r="V1996" s="62"/>
      <c r="W1996" s="62"/>
      <c r="X1996" s="62"/>
      <c r="Y1996" s="62"/>
      <c r="Z1996" s="62" t="s">
        <v>3500</v>
      </c>
      <c r="AA1996" s="62" t="s">
        <v>3501</v>
      </c>
      <c r="AB1996" s="62" t="n">
        <v>1</v>
      </c>
      <c r="AC1996" s="62" t="n">
        <v>1</v>
      </c>
      <c r="AD1996" s="62" t="n">
        <v>1</v>
      </c>
      <c r="AE1996" s="62" t="n">
        <f aca="false">IF(AND(Dashboard!$C$9="Yes",AC1996=1),0,1)</f>
        <v>0</v>
      </c>
      <c r="AF1996" s="62" t="n">
        <v>0</v>
      </c>
    </row>
    <row r="1997" customFormat="false" ht="15" hidden="false" customHeight="false" outlineLevel="0" collapsed="false">
      <c r="A1997" s="62" t="n">
        <v>1996</v>
      </c>
      <c r="B1997" s="63" t="n">
        <v>46279.042974537</v>
      </c>
      <c r="C1997" s="64" t="n">
        <v>46278</v>
      </c>
      <c r="D1997" s="62" t="s">
        <v>393</v>
      </c>
      <c r="E1997" s="62" t="s">
        <v>1539</v>
      </c>
      <c r="F1997" s="62" t="s">
        <v>1539</v>
      </c>
      <c r="G1997" s="62" t="s">
        <v>1540</v>
      </c>
      <c r="H1997" s="62" t="s">
        <v>52</v>
      </c>
      <c r="I1997" s="62" t="s">
        <v>47</v>
      </c>
      <c r="J1997" s="62" t="s">
        <v>146</v>
      </c>
      <c r="K1997" s="62" t="s">
        <v>147</v>
      </c>
      <c r="L1997" s="62" t="s">
        <v>148</v>
      </c>
      <c r="M1997" s="62" t="n">
        <v>0</v>
      </c>
      <c r="N1997" s="62" t="n">
        <v>2</v>
      </c>
      <c r="O1997" s="62" t="n">
        <v>2</v>
      </c>
      <c r="P1997" s="62" t="n">
        <v>1</v>
      </c>
      <c r="Q1997" s="62" t="n">
        <v>1</v>
      </c>
      <c r="R1997" s="62" t="n">
        <v>0</v>
      </c>
      <c r="S1997" s="62" t="n">
        <v>0</v>
      </c>
      <c r="T1997" s="62" t="n">
        <v>0</v>
      </c>
      <c r="U1997" s="62"/>
      <c r="V1997" s="62"/>
      <c r="W1997" s="62"/>
      <c r="X1997" s="62"/>
      <c r="Y1997" s="62"/>
      <c r="Z1997" s="62" t="s">
        <v>3650</v>
      </c>
      <c r="AA1997" s="62" t="s">
        <v>3651</v>
      </c>
      <c r="AB1997" s="62" t="n">
        <v>1</v>
      </c>
      <c r="AC1997" s="62" t="n">
        <v>0</v>
      </c>
      <c r="AD1997" s="62" t="n">
        <v>1</v>
      </c>
      <c r="AE1997" s="62" t="n">
        <f aca="false">IF(AND(Dashboard!$C$9="Yes",AC1997=1),0,1)</f>
        <v>1</v>
      </c>
      <c r="AF1997" s="62" t="n">
        <v>1</v>
      </c>
    </row>
    <row r="1998" customFormat="false" ht="15" hidden="false" customHeight="false" outlineLevel="0" collapsed="false">
      <c r="A1998" s="62" t="n">
        <v>1997</v>
      </c>
      <c r="B1998" s="63" t="n">
        <v>46279.0528009259</v>
      </c>
      <c r="C1998" s="64" t="n">
        <v>46278</v>
      </c>
      <c r="D1998" s="62" t="s">
        <v>393</v>
      </c>
      <c r="E1998" s="62" t="s">
        <v>273</v>
      </c>
      <c r="F1998" s="62" t="s">
        <v>273</v>
      </c>
      <c r="G1998" s="62" t="s">
        <v>274</v>
      </c>
      <c r="H1998" s="62" t="s">
        <v>59</v>
      </c>
      <c r="I1998" s="62" t="s">
        <v>47</v>
      </c>
      <c r="J1998" s="62" t="s">
        <v>146</v>
      </c>
      <c r="K1998" s="62" t="s">
        <v>147</v>
      </c>
      <c r="L1998" s="62" t="s">
        <v>148</v>
      </c>
      <c r="M1998" s="62" t="n">
        <v>0</v>
      </c>
      <c r="N1998" s="62" t="n">
        <v>1</v>
      </c>
      <c r="O1998" s="62" t="n">
        <v>1</v>
      </c>
      <c r="P1998" s="62" t="n">
        <v>1</v>
      </c>
      <c r="Q1998" s="62" t="n">
        <v>0</v>
      </c>
      <c r="R1998" s="62" t="n">
        <v>0</v>
      </c>
      <c r="S1998" s="62" t="n">
        <v>0</v>
      </c>
      <c r="T1998" s="62" t="n">
        <v>0</v>
      </c>
      <c r="U1998" s="62"/>
      <c r="V1998" s="62"/>
      <c r="W1998" s="62"/>
      <c r="X1998" s="62"/>
      <c r="Y1998" s="62"/>
      <c r="Z1998" s="62" t="s">
        <v>3652</v>
      </c>
      <c r="AA1998" s="62" t="s">
        <v>3653</v>
      </c>
      <c r="AB1998" s="62" t="n">
        <v>1</v>
      </c>
      <c r="AC1998" s="62" t="n">
        <v>0</v>
      </c>
      <c r="AD1998" s="62" t="n">
        <v>1</v>
      </c>
      <c r="AE1998" s="62" t="n">
        <f aca="false">IF(AND(Dashboard!$C$9="Yes",AC1998=1),0,1)</f>
        <v>1</v>
      </c>
      <c r="AF1998" s="62" t="n">
        <v>0</v>
      </c>
    </row>
    <row r="1999" customFormat="false" ht="15" hidden="false" customHeight="false" outlineLevel="0" collapsed="false">
      <c r="A1999" s="62" t="n">
        <v>1998</v>
      </c>
      <c r="B1999" s="63" t="n">
        <v>46279.0599884259</v>
      </c>
      <c r="C1999" s="64" t="n">
        <v>46278</v>
      </c>
      <c r="D1999" s="62" t="s">
        <v>393</v>
      </c>
      <c r="E1999" s="62" t="s">
        <v>144</v>
      </c>
      <c r="F1999" s="62" t="s">
        <v>144</v>
      </c>
      <c r="G1999" s="62" t="s">
        <v>145</v>
      </c>
      <c r="H1999" s="62" t="s">
        <v>59</v>
      </c>
      <c r="I1999" s="62" t="s">
        <v>47</v>
      </c>
      <c r="J1999" s="62" t="s">
        <v>146</v>
      </c>
      <c r="K1999" s="62" t="s">
        <v>147</v>
      </c>
      <c r="L1999" s="62" t="s">
        <v>148</v>
      </c>
      <c r="M1999" s="62" t="n">
        <v>0</v>
      </c>
      <c r="N1999" s="62" t="n">
        <v>1</v>
      </c>
      <c r="O1999" s="62" t="n">
        <v>1</v>
      </c>
      <c r="P1999" s="62" t="n">
        <v>0</v>
      </c>
      <c r="Q1999" s="62" t="n">
        <v>1</v>
      </c>
      <c r="R1999" s="62" t="n">
        <v>0</v>
      </c>
      <c r="S1999" s="62" t="n">
        <v>0</v>
      </c>
      <c r="T1999" s="62" t="n">
        <v>0</v>
      </c>
      <c r="U1999" s="62"/>
      <c r="V1999" s="62"/>
      <c r="W1999" s="62"/>
      <c r="X1999" s="62"/>
      <c r="Y1999" s="62"/>
      <c r="Z1999" s="62" t="s">
        <v>3654</v>
      </c>
      <c r="AA1999" s="62" t="s">
        <v>3655</v>
      </c>
      <c r="AB1999" s="62" t="n">
        <v>1</v>
      </c>
      <c r="AC1999" s="62" t="n">
        <v>0</v>
      </c>
      <c r="AD1999" s="62" t="n">
        <v>1</v>
      </c>
      <c r="AE1999" s="62" t="n">
        <f aca="false">IF(AND(Dashboard!$C$9="Yes",AC1999=1),0,1)</f>
        <v>1</v>
      </c>
      <c r="AF1999" s="62" t="n">
        <v>1</v>
      </c>
    </row>
    <row r="2000" customFormat="false" ht="15" hidden="false" customHeight="false" outlineLevel="0" collapsed="false">
      <c r="A2000" s="62" t="n">
        <v>1999</v>
      </c>
      <c r="B2000" s="63" t="n">
        <v>46279.0600347222</v>
      </c>
      <c r="C2000" s="64" t="n">
        <v>46278</v>
      </c>
      <c r="D2000" s="62" t="s">
        <v>393</v>
      </c>
      <c r="E2000" s="62" t="s">
        <v>239</v>
      </c>
      <c r="F2000" s="62" t="s">
        <v>240</v>
      </c>
      <c r="G2000" s="62" t="s">
        <v>153</v>
      </c>
      <c r="H2000" s="62" t="s">
        <v>153</v>
      </c>
      <c r="I2000" s="62" t="s">
        <v>153</v>
      </c>
      <c r="J2000" s="62" t="s">
        <v>64</v>
      </c>
      <c r="K2000" s="62" t="s">
        <v>64</v>
      </c>
      <c r="L2000" s="62" t="s">
        <v>148</v>
      </c>
      <c r="M2000" s="62" t="n">
        <v>0</v>
      </c>
      <c r="N2000" s="62" t="n">
        <v>1</v>
      </c>
      <c r="O2000" s="62" t="n">
        <v>1</v>
      </c>
      <c r="P2000" s="62" t="n">
        <v>0</v>
      </c>
      <c r="Q2000" s="62" t="n">
        <v>0</v>
      </c>
      <c r="R2000" s="62" t="n">
        <v>1</v>
      </c>
      <c r="S2000" s="62" t="n">
        <v>0</v>
      </c>
      <c r="T2000" s="62" t="n">
        <v>0</v>
      </c>
      <c r="U2000" s="62"/>
      <c r="V2000" s="62"/>
      <c r="W2000" s="62"/>
      <c r="X2000" s="62"/>
      <c r="Y2000" s="62"/>
      <c r="Z2000" s="62" t="s">
        <v>3656</v>
      </c>
      <c r="AA2000" s="62" t="s">
        <v>3657</v>
      </c>
      <c r="AB2000" s="62" t="n">
        <v>1</v>
      </c>
      <c r="AC2000" s="62" t="n">
        <v>0</v>
      </c>
      <c r="AD2000" s="62" t="n">
        <v>0</v>
      </c>
      <c r="AE2000" s="62" t="n">
        <f aca="false">IF(AND(Dashboard!$C$9="Yes",AC2000=1),0,1)</f>
        <v>1</v>
      </c>
      <c r="AF2000" s="62" t="n">
        <v>1</v>
      </c>
    </row>
    <row r="2001" customFormat="false" ht="15" hidden="false" customHeight="false" outlineLevel="0" collapsed="false">
      <c r="A2001" s="62" t="n">
        <v>2000</v>
      </c>
      <c r="B2001" s="63" t="n">
        <v>46279.0601388889</v>
      </c>
      <c r="C2001" s="64" t="n">
        <v>46278</v>
      </c>
      <c r="D2001" s="62" t="s">
        <v>393</v>
      </c>
      <c r="E2001" s="62" t="s">
        <v>144</v>
      </c>
      <c r="F2001" s="62" t="s">
        <v>144</v>
      </c>
      <c r="G2001" s="62" t="s">
        <v>145</v>
      </c>
      <c r="H2001" s="62" t="s">
        <v>59</v>
      </c>
      <c r="I2001" s="62" t="s">
        <v>47</v>
      </c>
      <c r="J2001" s="62" t="s">
        <v>146</v>
      </c>
      <c r="K2001" s="62" t="s">
        <v>147</v>
      </c>
      <c r="L2001" s="62" t="s">
        <v>148</v>
      </c>
      <c r="M2001" s="62" t="n">
        <v>0</v>
      </c>
      <c r="N2001" s="62" t="n">
        <v>1</v>
      </c>
      <c r="O2001" s="62" t="n">
        <v>1</v>
      </c>
      <c r="P2001" s="62" t="n">
        <v>0</v>
      </c>
      <c r="Q2001" s="62" t="n">
        <v>1</v>
      </c>
      <c r="R2001" s="62" t="n">
        <v>0</v>
      </c>
      <c r="S2001" s="62" t="n">
        <v>0</v>
      </c>
      <c r="T2001" s="62" t="n">
        <v>0</v>
      </c>
      <c r="U2001" s="62"/>
      <c r="V2001" s="62"/>
      <c r="W2001" s="62"/>
      <c r="X2001" s="62"/>
      <c r="Y2001" s="62"/>
      <c r="Z2001" s="62" t="s">
        <v>3654</v>
      </c>
      <c r="AA2001" s="62" t="s">
        <v>3655</v>
      </c>
      <c r="AB2001" s="62" t="n">
        <v>1</v>
      </c>
      <c r="AC2001" s="62" t="n">
        <v>1</v>
      </c>
      <c r="AD2001" s="62" t="n">
        <v>1</v>
      </c>
      <c r="AE2001" s="62" t="n">
        <f aca="false">IF(AND(Dashboard!$C$9="Yes",AC2001=1),0,1)</f>
        <v>0</v>
      </c>
      <c r="AF2001" s="62" t="n">
        <v>0</v>
      </c>
    </row>
    <row r="2002" customFormat="false" ht="15" hidden="false" customHeight="false" outlineLevel="0" collapsed="false">
      <c r="A2002" s="62" t="n">
        <v>2001</v>
      </c>
      <c r="B2002" s="63" t="n">
        <v>46279.0603356482</v>
      </c>
      <c r="C2002" s="64" t="n">
        <v>46278</v>
      </c>
      <c r="D2002" s="62" t="s">
        <v>393</v>
      </c>
      <c r="E2002" s="62" t="s">
        <v>239</v>
      </c>
      <c r="F2002" s="62" t="s">
        <v>240</v>
      </c>
      <c r="G2002" s="62" t="s">
        <v>153</v>
      </c>
      <c r="H2002" s="62" t="s">
        <v>153</v>
      </c>
      <c r="I2002" s="62" t="s">
        <v>153</v>
      </c>
      <c r="J2002" s="62" t="s">
        <v>64</v>
      </c>
      <c r="K2002" s="62" t="s">
        <v>64</v>
      </c>
      <c r="L2002" s="62" t="s">
        <v>148</v>
      </c>
      <c r="M2002" s="62" t="n">
        <v>0</v>
      </c>
      <c r="N2002" s="62" t="n">
        <v>1</v>
      </c>
      <c r="O2002" s="62" t="n">
        <v>1</v>
      </c>
      <c r="P2002" s="62" t="n">
        <v>0</v>
      </c>
      <c r="Q2002" s="62" t="n">
        <v>0</v>
      </c>
      <c r="R2002" s="62" t="n">
        <v>1</v>
      </c>
      <c r="S2002" s="62" t="n">
        <v>0</v>
      </c>
      <c r="T2002" s="62" t="n">
        <v>0</v>
      </c>
      <c r="U2002" s="62"/>
      <c r="V2002" s="62"/>
      <c r="W2002" s="62"/>
      <c r="X2002" s="62"/>
      <c r="Y2002" s="62"/>
      <c r="Z2002" s="62" t="s">
        <v>3656</v>
      </c>
      <c r="AA2002" s="62" t="s">
        <v>3657</v>
      </c>
      <c r="AB2002" s="62" t="n">
        <v>1</v>
      </c>
      <c r="AC2002" s="62" t="n">
        <v>1</v>
      </c>
      <c r="AD2002" s="62" t="n">
        <v>0</v>
      </c>
      <c r="AE2002" s="62" t="n">
        <f aca="false">IF(AND(Dashboard!$C$9="Yes",AC2002=1),0,1)</f>
        <v>0</v>
      </c>
      <c r="AF2002" s="62" t="n">
        <v>0</v>
      </c>
    </row>
    <row r="2003" customFormat="false" ht="15" hidden="false" customHeight="false" outlineLevel="0" collapsed="false">
      <c r="A2003" s="62" t="n">
        <v>2002</v>
      </c>
      <c r="B2003" s="63" t="n">
        <v>46279.0603935185</v>
      </c>
      <c r="C2003" s="64" t="n">
        <v>46278</v>
      </c>
      <c r="D2003" s="62" t="s">
        <v>393</v>
      </c>
      <c r="E2003" s="62" t="s">
        <v>144</v>
      </c>
      <c r="F2003" s="62" t="s">
        <v>144</v>
      </c>
      <c r="G2003" s="62" t="s">
        <v>145</v>
      </c>
      <c r="H2003" s="62" t="s">
        <v>59</v>
      </c>
      <c r="I2003" s="62" t="s">
        <v>47</v>
      </c>
      <c r="J2003" s="62" t="s">
        <v>146</v>
      </c>
      <c r="K2003" s="62" t="s">
        <v>147</v>
      </c>
      <c r="L2003" s="62" t="s">
        <v>148</v>
      </c>
      <c r="M2003" s="62" t="n">
        <v>0</v>
      </c>
      <c r="N2003" s="62" t="n">
        <v>1</v>
      </c>
      <c r="O2003" s="62" t="n">
        <v>1</v>
      </c>
      <c r="P2003" s="62" t="n">
        <v>0</v>
      </c>
      <c r="Q2003" s="62" t="n">
        <v>1</v>
      </c>
      <c r="R2003" s="62" t="n">
        <v>0</v>
      </c>
      <c r="S2003" s="62" t="n">
        <v>0</v>
      </c>
      <c r="T2003" s="62" t="n">
        <v>0</v>
      </c>
      <c r="U2003" s="62"/>
      <c r="V2003" s="62"/>
      <c r="W2003" s="62"/>
      <c r="X2003" s="62"/>
      <c r="Y2003" s="62"/>
      <c r="Z2003" s="62" t="s">
        <v>3654</v>
      </c>
      <c r="AA2003" s="62" t="s">
        <v>3655</v>
      </c>
      <c r="AB2003" s="62" t="n">
        <v>1</v>
      </c>
      <c r="AC2003" s="62" t="n">
        <v>1</v>
      </c>
      <c r="AD2003" s="62" t="n">
        <v>1</v>
      </c>
      <c r="AE2003" s="62" t="n">
        <f aca="false">IF(AND(Dashboard!$C$9="Yes",AC2003=1),0,1)</f>
        <v>0</v>
      </c>
      <c r="AF2003" s="62" t="n">
        <v>0</v>
      </c>
    </row>
    <row r="2004" customFormat="false" ht="15" hidden="false" customHeight="false" outlineLevel="0" collapsed="false">
      <c r="A2004" s="62" t="n">
        <v>2003</v>
      </c>
      <c r="B2004" s="63" t="n">
        <v>46279.0605671296</v>
      </c>
      <c r="C2004" s="64" t="n">
        <v>46278</v>
      </c>
      <c r="D2004" s="62" t="s">
        <v>393</v>
      </c>
      <c r="E2004" s="62" t="s">
        <v>144</v>
      </c>
      <c r="F2004" s="62" t="s">
        <v>144</v>
      </c>
      <c r="G2004" s="62" t="s">
        <v>145</v>
      </c>
      <c r="H2004" s="62" t="s">
        <v>59</v>
      </c>
      <c r="I2004" s="62" t="s">
        <v>47</v>
      </c>
      <c r="J2004" s="62" t="s">
        <v>146</v>
      </c>
      <c r="K2004" s="62" t="s">
        <v>147</v>
      </c>
      <c r="L2004" s="62" t="s">
        <v>148</v>
      </c>
      <c r="M2004" s="62" t="n">
        <v>0</v>
      </c>
      <c r="N2004" s="62" t="n">
        <v>1</v>
      </c>
      <c r="O2004" s="62" t="n">
        <v>1</v>
      </c>
      <c r="P2004" s="62" t="n">
        <v>0</v>
      </c>
      <c r="Q2004" s="62" t="n">
        <v>1</v>
      </c>
      <c r="R2004" s="62" t="n">
        <v>0</v>
      </c>
      <c r="S2004" s="62" t="n">
        <v>0</v>
      </c>
      <c r="T2004" s="62" t="n">
        <v>0</v>
      </c>
      <c r="U2004" s="62"/>
      <c r="V2004" s="62"/>
      <c r="W2004" s="62"/>
      <c r="X2004" s="62"/>
      <c r="Y2004" s="62"/>
      <c r="Z2004" s="62" t="s">
        <v>3654</v>
      </c>
      <c r="AA2004" s="62" t="s">
        <v>3655</v>
      </c>
      <c r="AB2004" s="62" t="n">
        <v>1</v>
      </c>
      <c r="AC2004" s="62" t="n">
        <v>1</v>
      </c>
      <c r="AD2004" s="62" t="n">
        <v>1</v>
      </c>
      <c r="AE2004" s="62" t="n">
        <f aca="false">IF(AND(Dashboard!$C$9="Yes",AC2004=1),0,1)</f>
        <v>0</v>
      </c>
      <c r="AF2004" s="62" t="n">
        <v>0</v>
      </c>
    </row>
    <row r="2005" customFormat="false" ht="15" hidden="false" customHeight="false" outlineLevel="0" collapsed="false">
      <c r="A2005" s="62" t="n">
        <v>2004</v>
      </c>
      <c r="B2005" s="63" t="n">
        <v>46279.0608217593</v>
      </c>
      <c r="C2005" s="64" t="n">
        <v>46278</v>
      </c>
      <c r="D2005" s="62" t="s">
        <v>393</v>
      </c>
      <c r="E2005" s="62" t="s">
        <v>2777</v>
      </c>
      <c r="F2005" s="62" t="s">
        <v>2777</v>
      </c>
      <c r="G2005" s="62" t="s">
        <v>2778</v>
      </c>
      <c r="H2005" s="62" t="s">
        <v>48</v>
      </c>
      <c r="I2005" s="62" t="s">
        <v>49</v>
      </c>
      <c r="J2005" s="62" t="s">
        <v>146</v>
      </c>
      <c r="K2005" s="62" t="s">
        <v>209</v>
      </c>
      <c r="L2005" s="62" t="s">
        <v>148</v>
      </c>
      <c r="M2005" s="62" t="n">
        <v>0</v>
      </c>
      <c r="N2005" s="62" t="n">
        <v>1</v>
      </c>
      <c r="O2005" s="62" t="n">
        <v>1</v>
      </c>
      <c r="P2005" s="62" t="n">
        <v>1</v>
      </c>
      <c r="Q2005" s="62" t="n">
        <v>0</v>
      </c>
      <c r="R2005" s="62" t="n">
        <v>0</v>
      </c>
      <c r="S2005" s="62" t="n">
        <v>0</v>
      </c>
      <c r="T2005" s="62" t="n">
        <v>0</v>
      </c>
      <c r="U2005" s="62"/>
      <c r="V2005" s="62"/>
      <c r="W2005" s="62"/>
      <c r="X2005" s="62"/>
      <c r="Y2005" s="62"/>
      <c r="Z2005" s="62" t="s">
        <v>3658</v>
      </c>
      <c r="AA2005" s="62" t="s">
        <v>3658</v>
      </c>
      <c r="AB2005" s="62" t="n">
        <v>1</v>
      </c>
      <c r="AC2005" s="62" t="n">
        <v>0</v>
      </c>
      <c r="AD2005" s="62" t="n">
        <v>1</v>
      </c>
      <c r="AE2005" s="62" t="n">
        <f aca="false">IF(AND(Dashboard!$C$9="Yes",AC2005=1),0,1)</f>
        <v>1</v>
      </c>
      <c r="AF2005" s="62" t="n">
        <v>0</v>
      </c>
    </row>
    <row r="2006" customFormat="false" ht="15" hidden="false" customHeight="false" outlineLevel="0" collapsed="false">
      <c r="A2006" s="62" t="n">
        <v>2005</v>
      </c>
      <c r="B2006" s="63" t="n">
        <v>46279.0645949074</v>
      </c>
      <c r="C2006" s="64" t="n">
        <v>46278</v>
      </c>
      <c r="D2006" s="62" t="s">
        <v>393</v>
      </c>
      <c r="E2006" s="62" t="s">
        <v>1732</v>
      </c>
      <c r="F2006" s="62" t="s">
        <v>1732</v>
      </c>
      <c r="G2006" s="62" t="s">
        <v>1733</v>
      </c>
      <c r="H2006" s="62" t="s">
        <v>58</v>
      </c>
      <c r="I2006" s="62" t="s">
        <v>49</v>
      </c>
      <c r="J2006" s="62" t="s">
        <v>146</v>
      </c>
      <c r="K2006" s="62" t="s">
        <v>209</v>
      </c>
      <c r="L2006" s="62" t="s">
        <v>148</v>
      </c>
      <c r="M2006" s="62" t="n">
        <v>0</v>
      </c>
      <c r="N2006" s="62" t="n">
        <v>1</v>
      </c>
      <c r="O2006" s="62" t="n">
        <v>1</v>
      </c>
      <c r="P2006" s="62" t="n">
        <v>1</v>
      </c>
      <c r="Q2006" s="62" t="n">
        <v>0</v>
      </c>
      <c r="R2006" s="62" t="n">
        <v>0</v>
      </c>
      <c r="S2006" s="62" t="n">
        <v>0</v>
      </c>
      <c r="T2006" s="62" t="n">
        <v>0</v>
      </c>
      <c r="U2006" s="62"/>
      <c r="V2006" s="62"/>
      <c r="W2006" s="62"/>
      <c r="X2006" s="62"/>
      <c r="Y2006" s="62"/>
      <c r="Z2006" s="62" t="s">
        <v>3659</v>
      </c>
      <c r="AA2006" s="62" t="s">
        <v>3660</v>
      </c>
      <c r="AB2006" s="62" t="n">
        <v>1</v>
      </c>
      <c r="AC2006" s="62" t="n">
        <v>0</v>
      </c>
      <c r="AD2006" s="62" t="n">
        <v>1</v>
      </c>
      <c r="AE2006" s="62" t="n">
        <f aca="false">IF(AND(Dashboard!$C$9="Yes",AC2006=1),0,1)</f>
        <v>1</v>
      </c>
      <c r="AF2006" s="62" t="n">
        <v>1</v>
      </c>
    </row>
    <row r="2007" customFormat="false" ht="15" hidden="false" customHeight="false" outlineLevel="0" collapsed="false">
      <c r="A2007" s="62" t="n">
        <v>2006</v>
      </c>
      <c r="B2007" s="63" t="n">
        <v>46279.0760069444</v>
      </c>
      <c r="C2007" s="64" t="n">
        <v>46278</v>
      </c>
      <c r="D2007" s="62" t="s">
        <v>393</v>
      </c>
      <c r="E2007" s="62" t="s">
        <v>207</v>
      </c>
      <c r="F2007" s="62" t="s">
        <v>207</v>
      </c>
      <c r="G2007" s="62" t="s">
        <v>208</v>
      </c>
      <c r="H2007" s="62" t="s">
        <v>48</v>
      </c>
      <c r="I2007" s="62" t="s">
        <v>49</v>
      </c>
      <c r="J2007" s="62" t="s">
        <v>146</v>
      </c>
      <c r="K2007" s="62" t="s">
        <v>209</v>
      </c>
      <c r="L2007" s="62" t="s">
        <v>148</v>
      </c>
      <c r="M2007" s="62" t="n">
        <v>0</v>
      </c>
      <c r="N2007" s="62" t="n">
        <v>1</v>
      </c>
      <c r="O2007" s="62" t="n">
        <v>1</v>
      </c>
      <c r="P2007" s="62" t="n">
        <v>1</v>
      </c>
      <c r="Q2007" s="62" t="n">
        <v>0</v>
      </c>
      <c r="R2007" s="62" t="n">
        <v>0</v>
      </c>
      <c r="S2007" s="62" t="n">
        <v>0</v>
      </c>
      <c r="T2007" s="62" t="n">
        <v>0</v>
      </c>
      <c r="U2007" s="62"/>
      <c r="V2007" s="62"/>
      <c r="W2007" s="62"/>
      <c r="X2007" s="62"/>
      <c r="Y2007" s="62"/>
      <c r="Z2007" s="62" t="s">
        <v>3661</v>
      </c>
      <c r="AA2007" s="62" t="s">
        <v>3662</v>
      </c>
      <c r="AB2007" s="62" t="n">
        <v>1</v>
      </c>
      <c r="AC2007" s="62" t="n">
        <v>0</v>
      </c>
      <c r="AD2007" s="62" t="n">
        <v>1</v>
      </c>
      <c r="AE2007" s="62" t="n">
        <f aca="false">IF(AND(Dashboard!$C$9="Yes",AC2007=1),0,1)</f>
        <v>1</v>
      </c>
      <c r="AF2007" s="62" t="n">
        <v>0</v>
      </c>
    </row>
    <row r="2008" customFormat="false" ht="15" hidden="false" customHeight="false" outlineLevel="0" collapsed="false">
      <c r="A2008" s="62" t="n">
        <v>2007</v>
      </c>
      <c r="B2008" s="63" t="n">
        <v>46279.1114699074</v>
      </c>
      <c r="C2008" s="64" t="n">
        <v>46278</v>
      </c>
      <c r="D2008" s="62" t="s">
        <v>393</v>
      </c>
      <c r="E2008" s="62" t="s">
        <v>1005</v>
      </c>
      <c r="F2008" s="62" t="s">
        <v>1005</v>
      </c>
      <c r="G2008" s="62" t="s">
        <v>1006</v>
      </c>
      <c r="H2008" s="62" t="s">
        <v>46</v>
      </c>
      <c r="I2008" s="62" t="s">
        <v>47</v>
      </c>
      <c r="J2008" s="62" t="s">
        <v>146</v>
      </c>
      <c r="K2008" s="62" t="s">
        <v>209</v>
      </c>
      <c r="L2008" s="62" t="s">
        <v>148</v>
      </c>
      <c r="M2008" s="62" t="n">
        <v>0</v>
      </c>
      <c r="N2008" s="62" t="n">
        <v>1</v>
      </c>
      <c r="O2008" s="62" t="n">
        <v>1</v>
      </c>
      <c r="P2008" s="62" t="n">
        <v>1</v>
      </c>
      <c r="Q2008" s="62" t="n">
        <v>0</v>
      </c>
      <c r="R2008" s="62" t="n">
        <v>0</v>
      </c>
      <c r="S2008" s="62" t="n">
        <v>0</v>
      </c>
      <c r="T2008" s="62" t="n">
        <v>0</v>
      </c>
      <c r="U2008" s="62"/>
      <c r="V2008" s="62"/>
      <c r="W2008" s="62"/>
      <c r="X2008" s="62"/>
      <c r="Y2008" s="62"/>
      <c r="Z2008" s="62" t="s">
        <v>3663</v>
      </c>
      <c r="AA2008" s="62" t="s">
        <v>485</v>
      </c>
      <c r="AB2008" s="62" t="n">
        <v>0</v>
      </c>
      <c r="AC2008" s="62" t="n">
        <v>0</v>
      </c>
      <c r="AD2008" s="62" t="n">
        <v>1</v>
      </c>
      <c r="AE2008" s="62" t="n">
        <f aca="false">IF(AND(Dashboard!$C$9="Yes",AC2008=1),0,1)</f>
        <v>1</v>
      </c>
      <c r="AF2008" s="62" t="n">
        <v>0</v>
      </c>
    </row>
    <row r="2009" customFormat="false" ht="15" hidden="false" customHeight="false" outlineLevel="0" collapsed="false">
      <c r="A2009" s="62" t="n">
        <v>2008</v>
      </c>
      <c r="B2009" s="63" t="n">
        <v>46279.1184259259</v>
      </c>
      <c r="C2009" s="64" t="n">
        <v>46278</v>
      </c>
      <c r="D2009" s="62" t="s">
        <v>393</v>
      </c>
      <c r="E2009" s="62" t="s">
        <v>1314</v>
      </c>
      <c r="F2009" s="62" t="s">
        <v>1314</v>
      </c>
      <c r="G2009" s="62" t="s">
        <v>1315</v>
      </c>
      <c r="H2009" s="62" t="s">
        <v>51</v>
      </c>
      <c r="I2009" s="62" t="s">
        <v>47</v>
      </c>
      <c r="J2009" s="62" t="s">
        <v>146</v>
      </c>
      <c r="K2009" s="62" t="s">
        <v>209</v>
      </c>
      <c r="L2009" s="62" t="s">
        <v>4</v>
      </c>
      <c r="M2009" s="62" t="n">
        <v>1</v>
      </c>
      <c r="N2009" s="62" t="n">
        <v>0</v>
      </c>
      <c r="O2009" s="62" t="n">
        <v>1</v>
      </c>
      <c r="P2009" s="62" t="n">
        <v>0</v>
      </c>
      <c r="Q2009" s="62" t="n">
        <v>0</v>
      </c>
      <c r="R2009" s="62" t="n">
        <v>0</v>
      </c>
      <c r="S2009" s="62" t="n">
        <v>0</v>
      </c>
      <c r="T2009" s="62" t="n">
        <v>0</v>
      </c>
      <c r="U2009" s="62" t="s">
        <v>2056</v>
      </c>
      <c r="V2009" s="62" t="s">
        <v>2057</v>
      </c>
      <c r="W2009" s="62" t="s">
        <v>15</v>
      </c>
      <c r="X2009" s="62" t="s">
        <v>2180</v>
      </c>
      <c r="Y2009" s="62" t="s">
        <v>2059</v>
      </c>
      <c r="Z2009" s="62" t="s">
        <v>3664</v>
      </c>
      <c r="AA2009" s="62" t="s">
        <v>3665</v>
      </c>
      <c r="AB2009" s="62" t="n">
        <v>1</v>
      </c>
      <c r="AC2009" s="62" t="n">
        <v>0</v>
      </c>
      <c r="AD2009" s="62" t="n">
        <v>1</v>
      </c>
      <c r="AE2009" s="62" t="n">
        <f aca="false">IF(AND(Dashboard!$C$9="Yes",AC2009=1),0,1)</f>
        <v>1</v>
      </c>
      <c r="AF2009" s="62" t="n">
        <v>1</v>
      </c>
    </row>
    <row r="2010" customFormat="false" ht="15" hidden="false" customHeight="false" outlineLevel="0" collapsed="false">
      <c r="A2010" s="62" t="n">
        <v>2009</v>
      </c>
      <c r="B2010" s="63" t="n">
        <v>46279.1270601852</v>
      </c>
      <c r="C2010" s="64" t="n">
        <v>46278</v>
      </c>
      <c r="D2010" s="62" t="s">
        <v>393</v>
      </c>
      <c r="E2010" s="62" t="s">
        <v>144</v>
      </c>
      <c r="F2010" s="62" t="s">
        <v>144</v>
      </c>
      <c r="G2010" s="62" t="s">
        <v>145</v>
      </c>
      <c r="H2010" s="62" t="s">
        <v>59</v>
      </c>
      <c r="I2010" s="62" t="s">
        <v>47</v>
      </c>
      <c r="J2010" s="62" t="s">
        <v>146</v>
      </c>
      <c r="K2010" s="62" t="s">
        <v>147</v>
      </c>
      <c r="L2010" s="62" t="s">
        <v>148</v>
      </c>
      <c r="M2010" s="62" t="n">
        <v>0</v>
      </c>
      <c r="N2010" s="62" t="n">
        <v>1</v>
      </c>
      <c r="O2010" s="62" t="n">
        <v>1</v>
      </c>
      <c r="P2010" s="62" t="n">
        <v>1</v>
      </c>
      <c r="Q2010" s="62" t="n">
        <v>0</v>
      </c>
      <c r="R2010" s="62" t="n">
        <v>0</v>
      </c>
      <c r="S2010" s="62" t="n">
        <v>0</v>
      </c>
      <c r="T2010" s="62" t="n">
        <v>0</v>
      </c>
      <c r="U2010" s="62"/>
      <c r="V2010" s="62"/>
      <c r="W2010" s="62"/>
      <c r="X2010" s="62"/>
      <c r="Y2010" s="62"/>
      <c r="Z2010" s="62" t="s">
        <v>3666</v>
      </c>
      <c r="AA2010" s="62" t="s">
        <v>3666</v>
      </c>
      <c r="AB2010" s="62" t="n">
        <v>1</v>
      </c>
      <c r="AC2010" s="62" t="n">
        <v>0</v>
      </c>
      <c r="AD2010" s="62" t="n">
        <v>1</v>
      </c>
      <c r="AE2010" s="62" t="n">
        <f aca="false">IF(AND(Dashboard!$C$9="Yes",AC2010=1),0,1)</f>
        <v>1</v>
      </c>
      <c r="AF2010" s="62" t="n">
        <v>0</v>
      </c>
    </row>
    <row r="2011" customFormat="false" ht="15" hidden="false" customHeight="false" outlineLevel="0" collapsed="false">
      <c r="A2011" s="62" t="n">
        <v>2010</v>
      </c>
      <c r="B2011" s="63" t="n">
        <v>46279.1272453704</v>
      </c>
      <c r="C2011" s="64" t="n">
        <v>46278</v>
      </c>
      <c r="D2011" s="62" t="s">
        <v>393</v>
      </c>
      <c r="E2011" s="62" t="s">
        <v>144</v>
      </c>
      <c r="F2011" s="62" t="s">
        <v>144</v>
      </c>
      <c r="G2011" s="62" t="s">
        <v>145</v>
      </c>
      <c r="H2011" s="62" t="s">
        <v>59</v>
      </c>
      <c r="I2011" s="62" t="s">
        <v>47</v>
      </c>
      <c r="J2011" s="62" t="s">
        <v>146</v>
      </c>
      <c r="K2011" s="62" t="s">
        <v>147</v>
      </c>
      <c r="L2011" s="62" t="s">
        <v>148</v>
      </c>
      <c r="M2011" s="62" t="n">
        <v>0</v>
      </c>
      <c r="N2011" s="62" t="n">
        <v>1</v>
      </c>
      <c r="O2011" s="62" t="n">
        <v>1</v>
      </c>
      <c r="P2011" s="62" t="n">
        <v>1</v>
      </c>
      <c r="Q2011" s="62" t="n">
        <v>0</v>
      </c>
      <c r="R2011" s="62" t="n">
        <v>0</v>
      </c>
      <c r="S2011" s="62" t="n">
        <v>0</v>
      </c>
      <c r="T2011" s="62" t="n">
        <v>0</v>
      </c>
      <c r="U2011" s="62"/>
      <c r="V2011" s="62"/>
      <c r="W2011" s="62"/>
      <c r="X2011" s="62"/>
      <c r="Y2011" s="62"/>
      <c r="Z2011" s="62" t="s">
        <v>3666</v>
      </c>
      <c r="AA2011" s="62" t="s">
        <v>3666</v>
      </c>
      <c r="AB2011" s="62" t="n">
        <v>1</v>
      </c>
      <c r="AC2011" s="62" t="n">
        <v>1</v>
      </c>
      <c r="AD2011" s="62" t="n">
        <v>1</v>
      </c>
      <c r="AE2011" s="62" t="n">
        <f aca="false">IF(AND(Dashboard!$C$9="Yes",AC2011=1),0,1)</f>
        <v>0</v>
      </c>
      <c r="AF2011" s="62" t="n">
        <v>0</v>
      </c>
    </row>
    <row r="2012" customFormat="false" ht="15" hidden="false" customHeight="false" outlineLevel="0" collapsed="false">
      <c r="A2012" s="62" t="n">
        <v>2011</v>
      </c>
      <c r="B2012" s="63" t="n">
        <v>46279.1274189815</v>
      </c>
      <c r="C2012" s="64" t="n">
        <v>46278</v>
      </c>
      <c r="D2012" s="62" t="s">
        <v>393</v>
      </c>
      <c r="E2012" s="62" t="s">
        <v>144</v>
      </c>
      <c r="F2012" s="62" t="s">
        <v>144</v>
      </c>
      <c r="G2012" s="62" t="s">
        <v>145</v>
      </c>
      <c r="H2012" s="62" t="s">
        <v>59</v>
      </c>
      <c r="I2012" s="62" t="s">
        <v>47</v>
      </c>
      <c r="J2012" s="62" t="s">
        <v>146</v>
      </c>
      <c r="K2012" s="62" t="s">
        <v>147</v>
      </c>
      <c r="L2012" s="62" t="s">
        <v>148</v>
      </c>
      <c r="M2012" s="62" t="n">
        <v>0</v>
      </c>
      <c r="N2012" s="62" t="n">
        <v>1</v>
      </c>
      <c r="O2012" s="62" t="n">
        <v>1</v>
      </c>
      <c r="P2012" s="62" t="n">
        <v>1</v>
      </c>
      <c r="Q2012" s="62" t="n">
        <v>0</v>
      </c>
      <c r="R2012" s="62" t="n">
        <v>0</v>
      </c>
      <c r="S2012" s="62" t="n">
        <v>0</v>
      </c>
      <c r="T2012" s="62" t="n">
        <v>0</v>
      </c>
      <c r="U2012" s="62"/>
      <c r="V2012" s="62"/>
      <c r="W2012" s="62"/>
      <c r="X2012" s="62"/>
      <c r="Y2012" s="62"/>
      <c r="Z2012" s="62" t="s">
        <v>3666</v>
      </c>
      <c r="AA2012" s="62" t="s">
        <v>3666</v>
      </c>
      <c r="AB2012" s="62" t="n">
        <v>1</v>
      </c>
      <c r="AC2012" s="62" t="n">
        <v>1</v>
      </c>
      <c r="AD2012" s="62" t="n">
        <v>1</v>
      </c>
      <c r="AE2012" s="62" t="n">
        <f aca="false">IF(AND(Dashboard!$C$9="Yes",AC2012=1),0,1)</f>
        <v>0</v>
      </c>
      <c r="AF2012" s="62" t="n">
        <v>0</v>
      </c>
    </row>
    <row r="2013" customFormat="false" ht="15" hidden="false" customHeight="false" outlineLevel="0" collapsed="false">
      <c r="A2013" s="62" t="n">
        <v>2012</v>
      </c>
      <c r="B2013" s="63" t="n">
        <v>46279.1283564815</v>
      </c>
      <c r="C2013" s="64" t="n">
        <v>46278</v>
      </c>
      <c r="D2013" s="62" t="s">
        <v>393</v>
      </c>
      <c r="E2013" s="62" t="s">
        <v>1827</v>
      </c>
      <c r="F2013" s="62" t="s">
        <v>1827</v>
      </c>
      <c r="G2013" s="62" t="s">
        <v>1828</v>
      </c>
      <c r="H2013" s="62" t="s">
        <v>59</v>
      </c>
      <c r="I2013" s="62" t="s">
        <v>47</v>
      </c>
      <c r="J2013" s="62" t="s">
        <v>146</v>
      </c>
      <c r="K2013" s="62" t="s">
        <v>209</v>
      </c>
      <c r="L2013" s="62" t="s">
        <v>148</v>
      </c>
      <c r="M2013" s="62" t="n">
        <v>0</v>
      </c>
      <c r="N2013" s="62" t="n">
        <v>1</v>
      </c>
      <c r="O2013" s="62" t="n">
        <v>1</v>
      </c>
      <c r="P2013" s="62" t="n">
        <v>1</v>
      </c>
      <c r="Q2013" s="62" t="n">
        <v>0</v>
      </c>
      <c r="R2013" s="62" t="n">
        <v>0</v>
      </c>
      <c r="S2013" s="62" t="n">
        <v>0</v>
      </c>
      <c r="T2013" s="62" t="n">
        <v>0</v>
      </c>
      <c r="U2013" s="62"/>
      <c r="V2013" s="62"/>
      <c r="W2013" s="62"/>
      <c r="X2013" s="62"/>
      <c r="Y2013" s="62"/>
      <c r="Z2013" s="62" t="s">
        <v>3667</v>
      </c>
      <c r="AA2013" s="62" t="s">
        <v>3668</v>
      </c>
      <c r="AB2013" s="62" t="n">
        <v>1</v>
      </c>
      <c r="AC2013" s="62" t="n">
        <v>0</v>
      </c>
      <c r="AD2013" s="62" t="n">
        <v>1</v>
      </c>
      <c r="AE2013" s="62" t="n">
        <f aca="false">IF(AND(Dashboard!$C$9="Yes",AC2013=1),0,1)</f>
        <v>1</v>
      </c>
      <c r="AF2013" s="62" t="n">
        <v>1</v>
      </c>
    </row>
    <row r="2014" customFormat="false" ht="15" hidden="false" customHeight="false" outlineLevel="0" collapsed="false">
      <c r="A2014" s="62" t="n">
        <v>2013</v>
      </c>
      <c r="B2014" s="63" t="n">
        <v>46279.1476388889</v>
      </c>
      <c r="C2014" s="64" t="n">
        <v>46278</v>
      </c>
      <c r="D2014" s="62" t="s">
        <v>393</v>
      </c>
      <c r="E2014" s="62" t="s">
        <v>144</v>
      </c>
      <c r="F2014" s="62" t="s">
        <v>144</v>
      </c>
      <c r="G2014" s="62" t="s">
        <v>145</v>
      </c>
      <c r="H2014" s="62" t="s">
        <v>59</v>
      </c>
      <c r="I2014" s="62" t="s">
        <v>47</v>
      </c>
      <c r="J2014" s="62" t="s">
        <v>146</v>
      </c>
      <c r="K2014" s="62" t="s">
        <v>147</v>
      </c>
      <c r="L2014" s="62" t="s">
        <v>4</v>
      </c>
      <c r="M2014" s="62" t="n">
        <v>1</v>
      </c>
      <c r="N2014" s="62" t="n">
        <v>0</v>
      </c>
      <c r="O2014" s="62" t="n">
        <v>1</v>
      </c>
      <c r="P2014" s="62" t="n">
        <v>0</v>
      </c>
      <c r="Q2014" s="62" t="n">
        <v>0</v>
      </c>
      <c r="R2014" s="62" t="n">
        <v>0</v>
      </c>
      <c r="S2014" s="62" t="n">
        <v>0</v>
      </c>
      <c r="T2014" s="62" t="n">
        <v>0</v>
      </c>
      <c r="U2014" s="62" t="s">
        <v>2056</v>
      </c>
      <c r="V2014" s="62" t="s">
        <v>2057</v>
      </c>
      <c r="W2014" s="62" t="s">
        <v>15</v>
      </c>
      <c r="X2014" s="62" t="s">
        <v>2058</v>
      </c>
      <c r="Y2014" s="62" t="s">
        <v>2059</v>
      </c>
      <c r="Z2014" s="62" t="s">
        <v>3669</v>
      </c>
      <c r="AA2014" s="62" t="s">
        <v>3670</v>
      </c>
      <c r="AB2014" s="62" t="n">
        <v>1</v>
      </c>
      <c r="AC2014" s="62" t="n">
        <v>0</v>
      </c>
      <c r="AD2014" s="62" t="n">
        <v>1</v>
      </c>
      <c r="AE2014" s="62" t="n">
        <f aca="false">IF(AND(Dashboard!$C$9="Yes",AC2014=1),0,1)</f>
        <v>1</v>
      </c>
      <c r="AF2014" s="62" t="n">
        <v>0</v>
      </c>
    </row>
    <row r="2015" customFormat="false" ht="15" hidden="false" customHeight="false" outlineLevel="0" collapsed="false">
      <c r="A2015" s="62" t="n">
        <v>2014</v>
      </c>
      <c r="B2015" s="63" t="n">
        <v>46279.1479050926</v>
      </c>
      <c r="C2015" s="64" t="n">
        <v>46278</v>
      </c>
      <c r="D2015" s="62" t="s">
        <v>393</v>
      </c>
      <c r="E2015" s="62" t="s">
        <v>144</v>
      </c>
      <c r="F2015" s="62" t="s">
        <v>144</v>
      </c>
      <c r="G2015" s="62" t="s">
        <v>145</v>
      </c>
      <c r="H2015" s="62" t="s">
        <v>59</v>
      </c>
      <c r="I2015" s="62" t="s">
        <v>47</v>
      </c>
      <c r="J2015" s="62" t="s">
        <v>146</v>
      </c>
      <c r="K2015" s="62" t="s">
        <v>147</v>
      </c>
      <c r="L2015" s="62" t="s">
        <v>4</v>
      </c>
      <c r="M2015" s="62" t="n">
        <v>1</v>
      </c>
      <c r="N2015" s="62" t="n">
        <v>0</v>
      </c>
      <c r="O2015" s="62" t="n">
        <v>1</v>
      </c>
      <c r="P2015" s="62" t="n">
        <v>0</v>
      </c>
      <c r="Q2015" s="62" t="n">
        <v>0</v>
      </c>
      <c r="R2015" s="62" t="n">
        <v>0</v>
      </c>
      <c r="S2015" s="62" t="n">
        <v>0</v>
      </c>
      <c r="T2015" s="62" t="n">
        <v>0</v>
      </c>
      <c r="U2015" s="62" t="s">
        <v>2056</v>
      </c>
      <c r="V2015" s="62" t="s">
        <v>2057</v>
      </c>
      <c r="W2015" s="62" t="s">
        <v>15</v>
      </c>
      <c r="X2015" s="62" t="s">
        <v>2058</v>
      </c>
      <c r="Y2015" s="62" t="s">
        <v>2059</v>
      </c>
      <c r="Z2015" s="62" t="s">
        <v>3669</v>
      </c>
      <c r="AA2015" s="62" t="s">
        <v>3670</v>
      </c>
      <c r="AB2015" s="62" t="n">
        <v>1</v>
      </c>
      <c r="AC2015" s="62" t="n">
        <v>1</v>
      </c>
      <c r="AD2015" s="62" t="n">
        <v>1</v>
      </c>
      <c r="AE2015" s="62" t="n">
        <f aca="false">IF(AND(Dashboard!$C$9="Yes",AC2015=1),0,1)</f>
        <v>0</v>
      </c>
      <c r="AF2015" s="62" t="n">
        <v>0</v>
      </c>
    </row>
    <row r="2016" customFormat="false" ht="15" hidden="false" customHeight="false" outlineLevel="0" collapsed="false">
      <c r="A2016" s="62" t="n">
        <v>2015</v>
      </c>
      <c r="B2016" s="63" t="n">
        <v>46279.1510300926</v>
      </c>
      <c r="C2016" s="64" t="n">
        <v>46278</v>
      </c>
      <c r="D2016" s="62" t="s">
        <v>393</v>
      </c>
      <c r="E2016" s="62" t="s">
        <v>1314</v>
      </c>
      <c r="F2016" s="62" t="s">
        <v>1314</v>
      </c>
      <c r="G2016" s="62" t="s">
        <v>1315</v>
      </c>
      <c r="H2016" s="62" t="s">
        <v>51</v>
      </c>
      <c r="I2016" s="62" t="s">
        <v>47</v>
      </c>
      <c r="J2016" s="62" t="s">
        <v>146</v>
      </c>
      <c r="K2016" s="62" t="s">
        <v>209</v>
      </c>
      <c r="L2016" s="62" t="s">
        <v>4</v>
      </c>
      <c r="M2016" s="62" t="n">
        <v>1</v>
      </c>
      <c r="N2016" s="62" t="n">
        <v>0</v>
      </c>
      <c r="O2016" s="62" t="n">
        <v>1</v>
      </c>
      <c r="P2016" s="62" t="n">
        <v>0</v>
      </c>
      <c r="Q2016" s="62" t="n">
        <v>0</v>
      </c>
      <c r="R2016" s="62" t="n">
        <v>0</v>
      </c>
      <c r="S2016" s="62" t="n">
        <v>0</v>
      </c>
      <c r="T2016" s="62" t="n">
        <v>0</v>
      </c>
      <c r="U2016" s="62" t="s">
        <v>2056</v>
      </c>
      <c r="V2016" s="62" t="s">
        <v>2057</v>
      </c>
      <c r="W2016" s="62" t="s">
        <v>15</v>
      </c>
      <c r="X2016" s="62"/>
      <c r="Y2016" s="62" t="s">
        <v>2059</v>
      </c>
      <c r="Z2016" s="62" t="s">
        <v>3664</v>
      </c>
      <c r="AA2016" s="62" t="s">
        <v>3665</v>
      </c>
      <c r="AB2016" s="62" t="n">
        <v>1</v>
      </c>
      <c r="AC2016" s="62" t="n">
        <v>1</v>
      </c>
      <c r="AD2016" s="62" t="n">
        <v>1</v>
      </c>
      <c r="AE2016" s="62" t="n">
        <f aca="false">IF(AND(Dashboard!$C$9="Yes",AC2016=1),0,1)</f>
        <v>0</v>
      </c>
      <c r="AF2016" s="62" t="n">
        <v>0</v>
      </c>
    </row>
    <row r="2017" customFormat="false" ht="15" hidden="false" customHeight="false" outlineLevel="0" collapsed="false">
      <c r="A2017" s="62" t="n">
        <v>2016</v>
      </c>
      <c r="B2017" s="63" t="n">
        <v>46279.2311689815</v>
      </c>
      <c r="C2017" s="64" t="n">
        <v>46278</v>
      </c>
      <c r="D2017" s="62" t="s">
        <v>393</v>
      </c>
      <c r="E2017" s="62" t="s">
        <v>239</v>
      </c>
      <c r="F2017" s="62" t="s">
        <v>240</v>
      </c>
      <c r="G2017" s="62" t="s">
        <v>153</v>
      </c>
      <c r="H2017" s="62" t="s">
        <v>153</v>
      </c>
      <c r="I2017" s="62" t="s">
        <v>153</v>
      </c>
      <c r="J2017" s="62" t="s">
        <v>64</v>
      </c>
      <c r="K2017" s="62" t="s">
        <v>64</v>
      </c>
      <c r="L2017" s="62" t="s">
        <v>148</v>
      </c>
      <c r="M2017" s="62" t="n">
        <v>0</v>
      </c>
      <c r="N2017" s="62" t="n">
        <v>1</v>
      </c>
      <c r="O2017" s="62" t="n">
        <v>1</v>
      </c>
      <c r="P2017" s="62" t="n">
        <v>0</v>
      </c>
      <c r="Q2017" s="62" t="n">
        <v>0</v>
      </c>
      <c r="R2017" s="62" t="n">
        <v>1</v>
      </c>
      <c r="S2017" s="62" t="n">
        <v>0</v>
      </c>
      <c r="T2017" s="62" t="n">
        <v>0</v>
      </c>
      <c r="U2017" s="62"/>
      <c r="V2017" s="62"/>
      <c r="W2017" s="62"/>
      <c r="X2017" s="62"/>
      <c r="Y2017" s="62"/>
      <c r="Z2017" s="62" t="s">
        <v>3671</v>
      </c>
      <c r="AA2017" s="62" t="s">
        <v>3672</v>
      </c>
      <c r="AB2017" s="62" t="n">
        <v>1</v>
      </c>
      <c r="AC2017" s="62" t="n">
        <v>0</v>
      </c>
      <c r="AD2017" s="62" t="n">
        <v>0</v>
      </c>
      <c r="AE2017" s="62" t="n">
        <f aca="false">IF(AND(Dashboard!$C$9="Yes",AC2017=1),0,1)</f>
        <v>1</v>
      </c>
      <c r="AF2017" s="62" t="n">
        <v>0</v>
      </c>
    </row>
    <row r="2018" customFormat="false" ht="15" hidden="false" customHeight="false" outlineLevel="0" collapsed="false">
      <c r="A2018" s="62" t="n">
        <v>2017</v>
      </c>
      <c r="B2018" s="63" t="n">
        <v>46279.2477662037</v>
      </c>
      <c r="C2018" s="64" t="n">
        <v>46278</v>
      </c>
      <c r="D2018" s="62" t="s">
        <v>393</v>
      </c>
      <c r="E2018" s="62" t="s">
        <v>2183</v>
      </c>
      <c r="F2018" s="62" t="s">
        <v>2183</v>
      </c>
      <c r="G2018" s="62" t="s">
        <v>2184</v>
      </c>
      <c r="H2018" s="62" t="s">
        <v>59</v>
      </c>
      <c r="I2018" s="62" t="s">
        <v>47</v>
      </c>
      <c r="J2018" s="62" t="s">
        <v>146</v>
      </c>
      <c r="K2018" s="62" t="s">
        <v>209</v>
      </c>
      <c r="L2018" s="62" t="s">
        <v>148</v>
      </c>
      <c r="M2018" s="62" t="n">
        <v>0</v>
      </c>
      <c r="N2018" s="62" t="n">
        <v>1</v>
      </c>
      <c r="O2018" s="62" t="n">
        <v>1</v>
      </c>
      <c r="P2018" s="62" t="n">
        <v>0</v>
      </c>
      <c r="Q2018" s="62" t="n">
        <v>1</v>
      </c>
      <c r="R2018" s="62" t="n">
        <v>0</v>
      </c>
      <c r="S2018" s="62" t="n">
        <v>0</v>
      </c>
      <c r="T2018" s="62" t="n">
        <v>0</v>
      </c>
      <c r="U2018" s="62"/>
      <c r="V2018" s="62"/>
      <c r="W2018" s="62"/>
      <c r="X2018" s="62"/>
      <c r="Y2018" s="62"/>
      <c r="Z2018" s="62" t="s">
        <v>3673</v>
      </c>
      <c r="AA2018" s="62" t="s">
        <v>3674</v>
      </c>
      <c r="AB2018" s="62" t="n">
        <v>1</v>
      </c>
      <c r="AC2018" s="62" t="n">
        <v>0</v>
      </c>
      <c r="AD2018" s="62" t="n">
        <v>1</v>
      </c>
      <c r="AE2018" s="62" t="n">
        <f aca="false">IF(AND(Dashboard!$C$9="Yes",AC2018=1),0,1)</f>
        <v>1</v>
      </c>
      <c r="AF2018" s="62" t="n">
        <v>1</v>
      </c>
    </row>
    <row r="2019" customFormat="false" ht="15" hidden="false" customHeight="false" outlineLevel="0" collapsed="false">
      <c r="A2019" s="62" t="n">
        <v>2018</v>
      </c>
      <c r="B2019" s="63" t="n">
        <v>46279.2773726852</v>
      </c>
      <c r="C2019" s="64" t="n">
        <v>46278</v>
      </c>
      <c r="D2019" s="62" t="s">
        <v>393</v>
      </c>
      <c r="E2019" s="62" t="s">
        <v>2385</v>
      </c>
      <c r="F2019" s="62" t="s">
        <v>2385</v>
      </c>
      <c r="G2019" s="62" t="s">
        <v>2386</v>
      </c>
      <c r="H2019" s="62" t="s">
        <v>59</v>
      </c>
      <c r="I2019" s="62" t="s">
        <v>47</v>
      </c>
      <c r="J2019" s="62" t="s">
        <v>146</v>
      </c>
      <c r="K2019" s="62" t="s">
        <v>209</v>
      </c>
      <c r="L2019" s="62" t="s">
        <v>148</v>
      </c>
      <c r="M2019" s="62" t="n">
        <v>0</v>
      </c>
      <c r="N2019" s="62" t="n">
        <v>1</v>
      </c>
      <c r="O2019" s="62" t="n">
        <v>1</v>
      </c>
      <c r="P2019" s="62" t="n">
        <v>1</v>
      </c>
      <c r="Q2019" s="62" t="n">
        <v>0</v>
      </c>
      <c r="R2019" s="62" t="n">
        <v>0</v>
      </c>
      <c r="S2019" s="62" t="n">
        <v>0</v>
      </c>
      <c r="T2019" s="62" t="n">
        <v>0</v>
      </c>
      <c r="U2019" s="62"/>
      <c r="V2019" s="62"/>
      <c r="W2019" s="62"/>
      <c r="X2019" s="62"/>
      <c r="Y2019" s="62"/>
      <c r="Z2019" s="62" t="s">
        <v>3675</v>
      </c>
      <c r="AA2019" s="62" t="s">
        <v>64</v>
      </c>
      <c r="AB2019" s="62" t="n">
        <v>0</v>
      </c>
      <c r="AC2019" s="62" t="n">
        <v>0</v>
      </c>
      <c r="AD2019" s="62" t="n">
        <v>1</v>
      </c>
      <c r="AE2019" s="62" t="n">
        <f aca="false">IF(AND(Dashboard!$C$9="Yes",AC2019=1),0,1)</f>
        <v>1</v>
      </c>
      <c r="AF2019" s="62" t="n">
        <v>1</v>
      </c>
    </row>
    <row r="2020" customFormat="false" ht="15" hidden="false" customHeight="false" outlineLevel="0" collapsed="false">
      <c r="A2020" s="62" t="n">
        <v>2019</v>
      </c>
      <c r="B2020" s="63" t="n">
        <v>46279.2926041667</v>
      </c>
      <c r="C2020" s="64" t="n">
        <v>46278</v>
      </c>
      <c r="D2020" s="62" t="s">
        <v>393</v>
      </c>
      <c r="E2020" s="62" t="s">
        <v>1326</v>
      </c>
      <c r="F2020" s="62" t="s">
        <v>1326</v>
      </c>
      <c r="G2020" s="62" t="s">
        <v>1327</v>
      </c>
      <c r="H2020" s="62" t="s">
        <v>57</v>
      </c>
      <c r="I2020" s="62" t="s">
        <v>47</v>
      </c>
      <c r="J2020" s="62" t="s">
        <v>146</v>
      </c>
      <c r="K2020" s="62" t="s">
        <v>175</v>
      </c>
      <c r="L2020" s="62" t="s">
        <v>148</v>
      </c>
      <c r="M2020" s="62" t="n">
        <v>0</v>
      </c>
      <c r="N2020" s="62" t="n">
        <v>1</v>
      </c>
      <c r="O2020" s="62" t="n">
        <v>1</v>
      </c>
      <c r="P2020" s="62" t="n">
        <v>0</v>
      </c>
      <c r="Q2020" s="62" t="n">
        <v>1</v>
      </c>
      <c r="R2020" s="62" t="n">
        <v>0</v>
      </c>
      <c r="S2020" s="62" t="n">
        <v>0</v>
      </c>
      <c r="T2020" s="62" t="n">
        <v>0</v>
      </c>
      <c r="U2020" s="62"/>
      <c r="V2020" s="62"/>
      <c r="W2020" s="62"/>
      <c r="X2020" s="62"/>
      <c r="Y2020" s="62"/>
      <c r="Z2020" s="62" t="s">
        <v>3676</v>
      </c>
      <c r="AA2020" s="62" t="s">
        <v>237</v>
      </c>
      <c r="AB2020" s="62" t="n">
        <v>0</v>
      </c>
      <c r="AC2020" s="62" t="n">
        <v>0</v>
      </c>
      <c r="AD2020" s="62" t="n">
        <v>1</v>
      </c>
      <c r="AE2020" s="62" t="n">
        <f aca="false">IF(AND(Dashboard!$C$9="Yes",AC2020=1),0,1)</f>
        <v>1</v>
      </c>
      <c r="AF2020" s="62" t="n">
        <v>1</v>
      </c>
    </row>
    <row r="2021" customFormat="false" ht="15" hidden="false" customHeight="false" outlineLevel="0" collapsed="false">
      <c r="A2021" s="62" t="n">
        <v>2020</v>
      </c>
      <c r="B2021" s="63" t="n">
        <v>46279.6828009259</v>
      </c>
      <c r="C2021" s="64" t="n">
        <v>46279</v>
      </c>
      <c r="D2021" s="62" t="s">
        <v>429</v>
      </c>
      <c r="E2021" s="62" t="s">
        <v>586</v>
      </c>
      <c r="F2021" s="62" t="s">
        <v>586</v>
      </c>
      <c r="G2021" s="62" t="s">
        <v>587</v>
      </c>
      <c r="H2021" s="62" t="s">
        <v>57</v>
      </c>
      <c r="I2021" s="62" t="s">
        <v>47</v>
      </c>
      <c r="J2021" s="62" t="s">
        <v>146</v>
      </c>
      <c r="K2021" s="62" t="s">
        <v>175</v>
      </c>
      <c r="L2021" s="62" t="s">
        <v>148</v>
      </c>
      <c r="M2021" s="62" t="n">
        <v>0</v>
      </c>
      <c r="N2021" s="62" t="n">
        <v>1</v>
      </c>
      <c r="O2021" s="62" t="n">
        <v>1</v>
      </c>
      <c r="P2021" s="62" t="n">
        <v>1</v>
      </c>
      <c r="Q2021" s="62" t="n">
        <v>0</v>
      </c>
      <c r="R2021" s="62" t="n">
        <v>0</v>
      </c>
      <c r="S2021" s="62" t="n">
        <v>0</v>
      </c>
      <c r="T2021" s="62" t="n">
        <v>0</v>
      </c>
      <c r="U2021" s="62"/>
      <c r="V2021" s="62"/>
      <c r="W2021" s="62"/>
      <c r="X2021" s="62"/>
      <c r="Y2021" s="62"/>
      <c r="Z2021" s="62" t="s">
        <v>3677</v>
      </c>
      <c r="AA2021" s="62" t="s">
        <v>3678</v>
      </c>
      <c r="AB2021" s="62" t="n">
        <v>1</v>
      </c>
      <c r="AC2021" s="62" t="n">
        <v>0</v>
      </c>
      <c r="AD2021" s="62" t="n">
        <v>1</v>
      </c>
      <c r="AE2021" s="62" t="n">
        <f aca="false">IF(AND(Dashboard!$C$9="Yes",AC2021=1),0,1)</f>
        <v>1</v>
      </c>
      <c r="AF2021" s="62" t="n">
        <v>1</v>
      </c>
    </row>
    <row r="2022" customFormat="false" ht="15" hidden="false" customHeight="false" outlineLevel="0" collapsed="false">
      <c r="A2022" s="62" t="n">
        <v>2021</v>
      </c>
      <c r="B2022" s="63" t="n">
        <v>46279.6858101852</v>
      </c>
      <c r="C2022" s="64" t="n">
        <v>46279</v>
      </c>
      <c r="D2022" s="62" t="s">
        <v>429</v>
      </c>
      <c r="E2022" s="62" t="s">
        <v>164</v>
      </c>
      <c r="F2022" s="62" t="s">
        <v>164</v>
      </c>
      <c r="G2022" s="62" t="s">
        <v>165</v>
      </c>
      <c r="H2022" s="62" t="s">
        <v>51</v>
      </c>
      <c r="I2022" s="62" t="s">
        <v>47</v>
      </c>
      <c r="J2022" s="62" t="s">
        <v>146</v>
      </c>
      <c r="K2022" s="62" t="s">
        <v>147</v>
      </c>
      <c r="L2022" s="62" t="s">
        <v>4</v>
      </c>
      <c r="M2022" s="62" t="n">
        <v>1</v>
      </c>
      <c r="N2022" s="62" t="n">
        <v>0</v>
      </c>
      <c r="O2022" s="62" t="n">
        <v>1</v>
      </c>
      <c r="P2022" s="62" t="n">
        <v>0</v>
      </c>
      <c r="Q2022" s="62" t="n">
        <v>0</v>
      </c>
      <c r="R2022" s="62" t="n">
        <v>0</v>
      </c>
      <c r="S2022" s="62" t="n">
        <v>0</v>
      </c>
      <c r="T2022" s="62" t="n">
        <v>0</v>
      </c>
      <c r="U2022" s="62" t="s">
        <v>2056</v>
      </c>
      <c r="V2022" s="62" t="s">
        <v>2057</v>
      </c>
      <c r="W2022" s="62" t="s">
        <v>15</v>
      </c>
      <c r="X2022" s="62" t="s">
        <v>2058</v>
      </c>
      <c r="Y2022" s="62" t="s">
        <v>2059</v>
      </c>
      <c r="Z2022" s="62" t="s">
        <v>3679</v>
      </c>
      <c r="AA2022" s="62" t="s">
        <v>3680</v>
      </c>
      <c r="AB2022" s="62" t="n">
        <v>1</v>
      </c>
      <c r="AC2022" s="62" t="n">
        <v>0</v>
      </c>
      <c r="AD2022" s="62" t="n">
        <v>1</v>
      </c>
      <c r="AE2022" s="62" t="n">
        <f aca="false">IF(AND(Dashboard!$C$9="Yes",AC2022=1),0,1)</f>
        <v>1</v>
      </c>
      <c r="AF2022" s="62" t="n">
        <v>1</v>
      </c>
    </row>
    <row r="2023" customFormat="false" ht="15" hidden="false" customHeight="false" outlineLevel="0" collapsed="false">
      <c r="A2023" s="62" t="n">
        <v>2022</v>
      </c>
      <c r="B2023" s="63" t="n">
        <v>46279.6867824074</v>
      </c>
      <c r="C2023" s="64" t="n">
        <v>46279</v>
      </c>
      <c r="D2023" s="62" t="s">
        <v>429</v>
      </c>
      <c r="E2023" s="62" t="s">
        <v>164</v>
      </c>
      <c r="F2023" s="62" t="s">
        <v>164</v>
      </c>
      <c r="G2023" s="62" t="s">
        <v>165</v>
      </c>
      <c r="H2023" s="62" t="s">
        <v>51</v>
      </c>
      <c r="I2023" s="62" t="s">
        <v>47</v>
      </c>
      <c r="J2023" s="62" t="s">
        <v>146</v>
      </c>
      <c r="K2023" s="62" t="s">
        <v>147</v>
      </c>
      <c r="L2023" s="62" t="s">
        <v>4</v>
      </c>
      <c r="M2023" s="62" t="n">
        <v>1</v>
      </c>
      <c r="N2023" s="62" t="n">
        <v>0</v>
      </c>
      <c r="O2023" s="62" t="n">
        <v>1</v>
      </c>
      <c r="P2023" s="62" t="n">
        <v>0</v>
      </c>
      <c r="Q2023" s="62" t="n">
        <v>0</v>
      </c>
      <c r="R2023" s="62" t="n">
        <v>0</v>
      </c>
      <c r="S2023" s="62" t="n">
        <v>0</v>
      </c>
      <c r="T2023" s="62" t="n">
        <v>0</v>
      </c>
      <c r="U2023" s="62" t="s">
        <v>2056</v>
      </c>
      <c r="V2023" s="62" t="s">
        <v>2057</v>
      </c>
      <c r="W2023" s="62" t="s">
        <v>15</v>
      </c>
      <c r="X2023" s="62" t="s">
        <v>2058</v>
      </c>
      <c r="Y2023" s="62" t="s">
        <v>2059</v>
      </c>
      <c r="Z2023" s="62" t="s">
        <v>3679</v>
      </c>
      <c r="AA2023" s="62" t="s">
        <v>3680</v>
      </c>
      <c r="AB2023" s="62" t="n">
        <v>1</v>
      </c>
      <c r="AC2023" s="62" t="n">
        <v>1</v>
      </c>
      <c r="AD2023" s="62" t="n">
        <v>1</v>
      </c>
      <c r="AE2023" s="62" t="n">
        <f aca="false">IF(AND(Dashboard!$C$9="Yes",AC2023=1),0,1)</f>
        <v>0</v>
      </c>
      <c r="AF2023" s="62" t="n">
        <v>0</v>
      </c>
    </row>
    <row r="2024" customFormat="false" ht="15" hidden="false" customHeight="false" outlineLevel="0" collapsed="false">
      <c r="A2024" s="62" t="n">
        <v>2023</v>
      </c>
      <c r="B2024" s="63" t="n">
        <v>46279.6997800926</v>
      </c>
      <c r="C2024" s="64" t="n">
        <v>46279</v>
      </c>
      <c r="D2024" s="62" t="s">
        <v>429</v>
      </c>
      <c r="E2024" s="62" t="s">
        <v>2228</v>
      </c>
      <c r="F2024" s="62" t="s">
        <v>2228</v>
      </c>
      <c r="G2024" s="62" t="s">
        <v>2229</v>
      </c>
      <c r="H2024" s="62" t="s">
        <v>58</v>
      </c>
      <c r="I2024" s="62" t="s">
        <v>49</v>
      </c>
      <c r="J2024" s="62" t="s">
        <v>146</v>
      </c>
      <c r="K2024" s="62" t="s">
        <v>209</v>
      </c>
      <c r="L2024" s="62" t="s">
        <v>148</v>
      </c>
      <c r="M2024" s="62" t="n">
        <v>0</v>
      </c>
      <c r="N2024" s="62" t="n">
        <v>2</v>
      </c>
      <c r="O2024" s="62" t="n">
        <v>2</v>
      </c>
      <c r="P2024" s="62" t="n">
        <v>1</v>
      </c>
      <c r="Q2024" s="62" t="n">
        <v>1</v>
      </c>
      <c r="R2024" s="62" t="n">
        <v>0</v>
      </c>
      <c r="S2024" s="62" t="n">
        <v>0</v>
      </c>
      <c r="T2024" s="62" t="n">
        <v>0</v>
      </c>
      <c r="U2024" s="62"/>
      <c r="V2024" s="62"/>
      <c r="W2024" s="62"/>
      <c r="X2024" s="62"/>
      <c r="Y2024" s="62"/>
      <c r="Z2024" s="62" t="s">
        <v>3681</v>
      </c>
      <c r="AA2024" s="62" t="s">
        <v>3682</v>
      </c>
      <c r="AB2024" s="62" t="n">
        <v>1</v>
      </c>
      <c r="AC2024" s="62" t="n">
        <v>0</v>
      </c>
      <c r="AD2024" s="62" t="n">
        <v>1</v>
      </c>
      <c r="AE2024" s="62" t="n">
        <f aca="false">IF(AND(Dashboard!$C$9="Yes",AC2024=1),0,1)</f>
        <v>1</v>
      </c>
      <c r="AF2024" s="62" t="n">
        <v>1</v>
      </c>
    </row>
    <row r="2025" customFormat="false" ht="15" hidden="false" customHeight="false" outlineLevel="0" collapsed="false">
      <c r="A2025" s="62" t="n">
        <v>2024</v>
      </c>
      <c r="B2025" s="63" t="n">
        <v>46279.7641203704</v>
      </c>
      <c r="C2025" s="64" t="n">
        <v>46279</v>
      </c>
      <c r="D2025" s="62" t="s">
        <v>429</v>
      </c>
      <c r="E2025" s="62" t="s">
        <v>3599</v>
      </c>
      <c r="F2025" s="62" t="s">
        <v>3599</v>
      </c>
      <c r="G2025" s="62" t="s">
        <v>3600</v>
      </c>
      <c r="H2025" s="62" t="s">
        <v>51</v>
      </c>
      <c r="I2025" s="62" t="s">
        <v>47</v>
      </c>
      <c r="J2025" s="62" t="s">
        <v>146</v>
      </c>
      <c r="K2025" s="62" t="s">
        <v>209</v>
      </c>
      <c r="L2025" s="62" t="s">
        <v>148</v>
      </c>
      <c r="M2025" s="62" t="n">
        <v>0</v>
      </c>
      <c r="N2025" s="62" t="n">
        <v>2</v>
      </c>
      <c r="O2025" s="62" t="n">
        <v>2</v>
      </c>
      <c r="P2025" s="62" t="n">
        <v>1</v>
      </c>
      <c r="Q2025" s="62" t="n">
        <v>1</v>
      </c>
      <c r="R2025" s="62" t="n">
        <v>0</v>
      </c>
      <c r="S2025" s="62" t="n">
        <v>0</v>
      </c>
      <c r="T2025" s="62" t="n">
        <v>0</v>
      </c>
      <c r="U2025" s="62"/>
      <c r="V2025" s="62"/>
      <c r="W2025" s="62"/>
      <c r="X2025" s="62"/>
      <c r="Y2025" s="62"/>
      <c r="Z2025" s="62" t="s">
        <v>3683</v>
      </c>
      <c r="AA2025" s="62" t="s">
        <v>3683</v>
      </c>
      <c r="AB2025" s="62" t="n">
        <v>1</v>
      </c>
      <c r="AC2025" s="62" t="n">
        <v>0</v>
      </c>
      <c r="AD2025" s="62" t="n">
        <v>1</v>
      </c>
      <c r="AE2025" s="62" t="n">
        <f aca="false">IF(AND(Dashboard!$C$9="Yes",AC2025=1),0,1)</f>
        <v>1</v>
      </c>
      <c r="AF2025" s="62" t="n">
        <v>1</v>
      </c>
    </row>
    <row r="2026" customFormat="false" ht="15" hidden="false" customHeight="false" outlineLevel="0" collapsed="false">
      <c r="A2026" s="62" t="n">
        <v>2025</v>
      </c>
      <c r="B2026" s="63" t="n">
        <v>46279.7761689815</v>
      </c>
      <c r="C2026" s="64" t="n">
        <v>46279</v>
      </c>
      <c r="D2026" s="62" t="s">
        <v>429</v>
      </c>
      <c r="E2026" s="62" t="s">
        <v>2228</v>
      </c>
      <c r="F2026" s="62" t="s">
        <v>2228</v>
      </c>
      <c r="G2026" s="62" t="s">
        <v>2229</v>
      </c>
      <c r="H2026" s="62" t="s">
        <v>58</v>
      </c>
      <c r="I2026" s="62" t="s">
        <v>49</v>
      </c>
      <c r="J2026" s="62" t="s">
        <v>146</v>
      </c>
      <c r="K2026" s="62" t="s">
        <v>209</v>
      </c>
      <c r="L2026" s="62" t="s">
        <v>148</v>
      </c>
      <c r="M2026" s="62" t="n">
        <v>0</v>
      </c>
      <c r="N2026" s="62" t="n">
        <v>1</v>
      </c>
      <c r="O2026" s="62" t="n">
        <v>1</v>
      </c>
      <c r="P2026" s="62" t="n">
        <v>1</v>
      </c>
      <c r="Q2026" s="62" t="n">
        <v>0</v>
      </c>
      <c r="R2026" s="62" t="n">
        <v>0</v>
      </c>
      <c r="S2026" s="62" t="n">
        <v>0</v>
      </c>
      <c r="T2026" s="62" t="n">
        <v>0</v>
      </c>
      <c r="U2026" s="62"/>
      <c r="V2026" s="62"/>
      <c r="W2026" s="62"/>
      <c r="X2026" s="62"/>
      <c r="Y2026" s="62"/>
      <c r="Z2026" s="62" t="s">
        <v>3684</v>
      </c>
      <c r="AA2026" s="62" t="s">
        <v>3685</v>
      </c>
      <c r="AB2026" s="62" t="n">
        <v>1</v>
      </c>
      <c r="AC2026" s="62" t="n">
        <v>0</v>
      </c>
      <c r="AD2026" s="62" t="n">
        <v>1</v>
      </c>
      <c r="AE2026" s="62" t="n">
        <f aca="false">IF(AND(Dashboard!$C$9="Yes",AC2026=1),0,1)</f>
        <v>1</v>
      </c>
      <c r="AF2026" s="62" t="n">
        <v>0</v>
      </c>
    </row>
    <row r="2027" customFormat="false" ht="15" hidden="false" customHeight="false" outlineLevel="0" collapsed="false">
      <c r="A2027" s="62" t="n">
        <v>2026</v>
      </c>
      <c r="B2027" s="63" t="n">
        <v>46279.7843865741</v>
      </c>
      <c r="C2027" s="64" t="n">
        <v>46279</v>
      </c>
      <c r="D2027" s="62" t="s">
        <v>429</v>
      </c>
      <c r="E2027" s="62" t="s">
        <v>2119</v>
      </c>
      <c r="F2027" s="62" t="s">
        <v>2119</v>
      </c>
      <c r="G2027" s="62" t="s">
        <v>2120</v>
      </c>
      <c r="H2027" s="62" t="s">
        <v>52</v>
      </c>
      <c r="I2027" s="62" t="s">
        <v>47</v>
      </c>
      <c r="J2027" s="62" t="s">
        <v>146</v>
      </c>
      <c r="K2027" s="62" t="s">
        <v>147</v>
      </c>
      <c r="L2027" s="62" t="s">
        <v>4</v>
      </c>
      <c r="M2027" s="62" t="n">
        <v>1</v>
      </c>
      <c r="N2027" s="62" t="n">
        <v>0</v>
      </c>
      <c r="O2027" s="62" t="n">
        <v>1</v>
      </c>
      <c r="P2027" s="62" t="n">
        <v>0</v>
      </c>
      <c r="Q2027" s="62" t="n">
        <v>0</v>
      </c>
      <c r="R2027" s="62" t="n">
        <v>0</v>
      </c>
      <c r="S2027" s="62" t="n">
        <v>0</v>
      </c>
      <c r="T2027" s="62" t="n">
        <v>0</v>
      </c>
      <c r="U2027" s="62" t="s">
        <v>15</v>
      </c>
      <c r="V2027" s="62" t="s">
        <v>2057</v>
      </c>
      <c r="W2027" s="62" t="s">
        <v>2056</v>
      </c>
      <c r="X2027" s="62" t="s">
        <v>2058</v>
      </c>
      <c r="Y2027" s="62" t="s">
        <v>2399</v>
      </c>
      <c r="Z2027" s="62" t="s">
        <v>3686</v>
      </c>
      <c r="AA2027" s="62" t="s">
        <v>3687</v>
      </c>
      <c r="AB2027" s="62" t="n">
        <v>0</v>
      </c>
      <c r="AC2027" s="62" t="n">
        <v>0</v>
      </c>
      <c r="AD2027" s="62" t="n">
        <v>1</v>
      </c>
      <c r="AE2027" s="62" t="n">
        <f aca="false">IF(AND(Dashboard!$C$9="Yes",AC2027=1),0,1)</f>
        <v>1</v>
      </c>
      <c r="AF2027" s="62" t="n">
        <v>1</v>
      </c>
    </row>
    <row r="2028" customFormat="false" ht="15" hidden="false" customHeight="false" outlineLevel="0" collapsed="false">
      <c r="A2028" s="62" t="n">
        <v>2027</v>
      </c>
      <c r="B2028" s="63" t="n">
        <v>46279.7845601852</v>
      </c>
      <c r="C2028" s="64" t="n">
        <v>46279</v>
      </c>
      <c r="D2028" s="62" t="s">
        <v>429</v>
      </c>
      <c r="E2028" s="62" t="s">
        <v>3599</v>
      </c>
      <c r="F2028" s="62" t="s">
        <v>3599</v>
      </c>
      <c r="G2028" s="62" t="s">
        <v>3600</v>
      </c>
      <c r="H2028" s="62" t="s">
        <v>51</v>
      </c>
      <c r="I2028" s="62" t="s">
        <v>47</v>
      </c>
      <c r="J2028" s="62" t="s">
        <v>146</v>
      </c>
      <c r="K2028" s="62" t="s">
        <v>209</v>
      </c>
      <c r="L2028" s="62" t="s">
        <v>148</v>
      </c>
      <c r="M2028" s="62" t="n">
        <v>0</v>
      </c>
      <c r="N2028" s="62" t="n">
        <v>1</v>
      </c>
      <c r="O2028" s="62" t="n">
        <v>1</v>
      </c>
      <c r="P2028" s="62" t="n">
        <v>1</v>
      </c>
      <c r="Q2028" s="62" t="n">
        <v>0</v>
      </c>
      <c r="R2028" s="62" t="n">
        <v>0</v>
      </c>
      <c r="S2028" s="62" t="n">
        <v>0</v>
      </c>
      <c r="T2028" s="62" t="n">
        <v>0</v>
      </c>
      <c r="U2028" s="62"/>
      <c r="V2028" s="62"/>
      <c r="W2028" s="62"/>
      <c r="X2028" s="62"/>
      <c r="Y2028" s="62"/>
      <c r="Z2028" s="62" t="s">
        <v>3688</v>
      </c>
      <c r="AA2028" s="62" t="s">
        <v>3689</v>
      </c>
      <c r="AB2028" s="62" t="n">
        <v>1</v>
      </c>
      <c r="AC2028" s="62" t="n">
        <v>0</v>
      </c>
      <c r="AD2028" s="62" t="n">
        <v>1</v>
      </c>
      <c r="AE2028" s="62" t="n">
        <f aca="false">IF(AND(Dashboard!$C$9="Yes",AC2028=1),0,1)</f>
        <v>1</v>
      </c>
      <c r="AF2028" s="62" t="n">
        <v>0</v>
      </c>
    </row>
    <row r="2029" customFormat="false" ht="15" hidden="false" customHeight="false" outlineLevel="0" collapsed="false">
      <c r="A2029" s="62" t="n">
        <v>2028</v>
      </c>
      <c r="B2029" s="63" t="n">
        <v>46279.7849768519</v>
      </c>
      <c r="C2029" s="64" t="n">
        <v>46279</v>
      </c>
      <c r="D2029" s="62" t="s">
        <v>429</v>
      </c>
      <c r="E2029" s="62" t="s">
        <v>2119</v>
      </c>
      <c r="F2029" s="62" t="s">
        <v>2119</v>
      </c>
      <c r="G2029" s="62" t="s">
        <v>2120</v>
      </c>
      <c r="H2029" s="62" t="s">
        <v>52</v>
      </c>
      <c r="I2029" s="62" t="s">
        <v>47</v>
      </c>
      <c r="J2029" s="62" t="s">
        <v>146</v>
      </c>
      <c r="K2029" s="62" t="s">
        <v>147</v>
      </c>
      <c r="L2029" s="62" t="s">
        <v>148</v>
      </c>
      <c r="M2029" s="62" t="n">
        <v>0</v>
      </c>
      <c r="N2029" s="62" t="n">
        <v>1</v>
      </c>
      <c r="O2029" s="62" t="n">
        <v>1</v>
      </c>
      <c r="P2029" s="62" t="n">
        <v>0</v>
      </c>
      <c r="Q2029" s="62" t="n">
        <v>0</v>
      </c>
      <c r="R2029" s="62" t="n">
        <v>0</v>
      </c>
      <c r="S2029" s="62" t="n">
        <v>0</v>
      </c>
      <c r="T2029" s="62" t="n">
        <v>1</v>
      </c>
      <c r="U2029" s="62"/>
      <c r="V2029" s="62"/>
      <c r="W2029" s="62"/>
      <c r="X2029" s="62"/>
      <c r="Y2029" s="62"/>
      <c r="Z2029" s="62" t="s">
        <v>3686</v>
      </c>
      <c r="AA2029" s="62" t="s">
        <v>3687</v>
      </c>
      <c r="AB2029" s="62" t="n">
        <v>0</v>
      </c>
      <c r="AC2029" s="62" t="n">
        <v>0</v>
      </c>
      <c r="AD2029" s="62" t="n">
        <v>1</v>
      </c>
      <c r="AE2029" s="62" t="n">
        <f aca="false">IF(AND(Dashboard!$C$9="Yes",AC2029=1),0,1)</f>
        <v>1</v>
      </c>
      <c r="AF2029" s="62" t="n">
        <v>0</v>
      </c>
    </row>
    <row r="2030" customFormat="false" ht="15" hidden="false" customHeight="false" outlineLevel="0" collapsed="false">
      <c r="A2030" s="62" t="n">
        <v>2029</v>
      </c>
      <c r="B2030" s="63" t="n">
        <v>46279.8176157407</v>
      </c>
      <c r="C2030" s="64" t="n">
        <v>46279</v>
      </c>
      <c r="D2030" s="62" t="s">
        <v>429</v>
      </c>
      <c r="E2030" s="62" t="s">
        <v>3690</v>
      </c>
      <c r="F2030" s="62" t="s">
        <v>3691</v>
      </c>
      <c r="G2030" s="62" t="s">
        <v>153</v>
      </c>
      <c r="H2030" s="62" t="s">
        <v>153</v>
      </c>
      <c r="I2030" s="62" t="s">
        <v>153</v>
      </c>
      <c r="J2030" s="62" t="s">
        <v>64</v>
      </c>
      <c r="K2030" s="62" t="s">
        <v>64</v>
      </c>
      <c r="L2030" s="62" t="s">
        <v>148</v>
      </c>
      <c r="M2030" s="62" t="n">
        <v>0</v>
      </c>
      <c r="N2030" s="62" t="n">
        <v>1</v>
      </c>
      <c r="O2030" s="62" t="n">
        <v>1</v>
      </c>
      <c r="P2030" s="62" t="n">
        <v>1</v>
      </c>
      <c r="Q2030" s="62" t="n">
        <v>0</v>
      </c>
      <c r="R2030" s="62" t="n">
        <v>0</v>
      </c>
      <c r="S2030" s="62" t="n">
        <v>0</v>
      </c>
      <c r="T2030" s="62" t="n">
        <v>0</v>
      </c>
      <c r="U2030" s="62"/>
      <c r="V2030" s="62"/>
      <c r="W2030" s="62"/>
      <c r="X2030" s="62"/>
      <c r="Y2030" s="62"/>
      <c r="Z2030" s="62" t="s">
        <v>3692</v>
      </c>
      <c r="AA2030" s="62" t="s">
        <v>3693</v>
      </c>
      <c r="AB2030" s="62" t="n">
        <v>1</v>
      </c>
      <c r="AC2030" s="62" t="n">
        <v>0</v>
      </c>
      <c r="AD2030" s="62" t="n">
        <v>0</v>
      </c>
      <c r="AE2030" s="62" t="n">
        <f aca="false">IF(AND(Dashboard!$C$9="Yes",AC2030=1),0,1)</f>
        <v>1</v>
      </c>
      <c r="AF2030" s="62" t="n">
        <v>1</v>
      </c>
    </row>
    <row r="2031" customFormat="false" ht="15" hidden="false" customHeight="false" outlineLevel="0" collapsed="false">
      <c r="A2031" s="62" t="n">
        <v>2030</v>
      </c>
      <c r="B2031" s="63" t="n">
        <v>46279.8391435185</v>
      </c>
      <c r="C2031" s="64" t="n">
        <v>46279</v>
      </c>
      <c r="D2031" s="62" t="s">
        <v>429</v>
      </c>
      <c r="E2031" s="62" t="s">
        <v>2228</v>
      </c>
      <c r="F2031" s="62" t="s">
        <v>2228</v>
      </c>
      <c r="G2031" s="62" t="s">
        <v>2229</v>
      </c>
      <c r="H2031" s="62" t="s">
        <v>58</v>
      </c>
      <c r="I2031" s="62" t="s">
        <v>49</v>
      </c>
      <c r="J2031" s="62" t="s">
        <v>146</v>
      </c>
      <c r="K2031" s="62" t="s">
        <v>209</v>
      </c>
      <c r="L2031" s="62" t="s">
        <v>148</v>
      </c>
      <c r="M2031" s="62" t="n">
        <v>0</v>
      </c>
      <c r="N2031" s="62" t="n">
        <v>1</v>
      </c>
      <c r="O2031" s="62" t="n">
        <v>1</v>
      </c>
      <c r="P2031" s="62" t="n">
        <v>1</v>
      </c>
      <c r="Q2031" s="62" t="n">
        <v>0</v>
      </c>
      <c r="R2031" s="62" t="n">
        <v>0</v>
      </c>
      <c r="S2031" s="62" t="n">
        <v>0</v>
      </c>
      <c r="T2031" s="62" t="n">
        <v>0</v>
      </c>
      <c r="U2031" s="62"/>
      <c r="V2031" s="62"/>
      <c r="W2031" s="62"/>
      <c r="X2031" s="62"/>
      <c r="Y2031" s="62"/>
      <c r="Z2031" s="62" t="s">
        <v>3694</v>
      </c>
      <c r="AA2031" s="62" t="s">
        <v>3695</v>
      </c>
      <c r="AB2031" s="62" t="n">
        <v>1</v>
      </c>
      <c r="AC2031" s="62" t="n">
        <v>0</v>
      </c>
      <c r="AD2031" s="62" t="n">
        <v>1</v>
      </c>
      <c r="AE2031" s="62" t="n">
        <f aca="false">IF(AND(Dashboard!$C$9="Yes",AC2031=1),0,1)</f>
        <v>1</v>
      </c>
      <c r="AF2031" s="62" t="n">
        <v>0</v>
      </c>
    </row>
    <row r="2032" customFormat="false" ht="15" hidden="false" customHeight="false" outlineLevel="0" collapsed="false">
      <c r="A2032" s="62" t="n">
        <v>2031</v>
      </c>
      <c r="B2032" s="63" t="n">
        <v>46279.8394791667</v>
      </c>
      <c r="C2032" s="64" t="n">
        <v>46279</v>
      </c>
      <c r="D2032" s="62" t="s">
        <v>429</v>
      </c>
      <c r="E2032" s="62" t="s">
        <v>203</v>
      </c>
      <c r="F2032" s="62" t="s">
        <v>203</v>
      </c>
      <c r="G2032" s="62" t="s">
        <v>204</v>
      </c>
      <c r="H2032" s="62" t="s">
        <v>51</v>
      </c>
      <c r="I2032" s="62" t="s">
        <v>47</v>
      </c>
      <c r="J2032" s="62" t="s">
        <v>146</v>
      </c>
      <c r="K2032" s="62" t="s">
        <v>147</v>
      </c>
      <c r="L2032" s="62" t="s">
        <v>148</v>
      </c>
      <c r="M2032" s="62" t="n">
        <v>0</v>
      </c>
      <c r="N2032" s="62" t="n">
        <v>1</v>
      </c>
      <c r="O2032" s="62" t="n">
        <v>1</v>
      </c>
      <c r="P2032" s="62" t="n">
        <v>1</v>
      </c>
      <c r="Q2032" s="62" t="n">
        <v>0</v>
      </c>
      <c r="R2032" s="62" t="n">
        <v>0</v>
      </c>
      <c r="S2032" s="62" t="n">
        <v>0</v>
      </c>
      <c r="T2032" s="62" t="n">
        <v>0</v>
      </c>
      <c r="U2032" s="62"/>
      <c r="V2032" s="62"/>
      <c r="W2032" s="62"/>
      <c r="X2032" s="62"/>
      <c r="Y2032" s="62"/>
      <c r="Z2032" s="62" t="s">
        <v>3696</v>
      </c>
      <c r="AA2032" s="62" t="s">
        <v>485</v>
      </c>
      <c r="AB2032" s="62" t="n">
        <v>0</v>
      </c>
      <c r="AC2032" s="62" t="n">
        <v>0</v>
      </c>
      <c r="AD2032" s="62" t="n">
        <v>1</v>
      </c>
      <c r="AE2032" s="62" t="n">
        <f aca="false">IF(AND(Dashboard!$C$9="Yes",AC2032=1),0,1)</f>
        <v>1</v>
      </c>
      <c r="AF2032" s="62" t="n">
        <v>1</v>
      </c>
    </row>
    <row r="2033" customFormat="false" ht="15" hidden="false" customHeight="false" outlineLevel="0" collapsed="false">
      <c r="A2033" s="62" t="n">
        <v>2032</v>
      </c>
      <c r="B2033" s="63" t="n">
        <v>46279.8563310185</v>
      </c>
      <c r="C2033" s="64" t="n">
        <v>46279</v>
      </c>
      <c r="D2033" s="62" t="s">
        <v>429</v>
      </c>
      <c r="E2033" s="62" t="s">
        <v>1732</v>
      </c>
      <c r="F2033" s="62" t="s">
        <v>1732</v>
      </c>
      <c r="G2033" s="62" t="s">
        <v>1733</v>
      </c>
      <c r="H2033" s="62" t="s">
        <v>58</v>
      </c>
      <c r="I2033" s="62" t="s">
        <v>49</v>
      </c>
      <c r="J2033" s="62" t="s">
        <v>146</v>
      </c>
      <c r="K2033" s="62" t="s">
        <v>209</v>
      </c>
      <c r="L2033" s="62" t="s">
        <v>148</v>
      </c>
      <c r="M2033" s="62" t="n">
        <v>0</v>
      </c>
      <c r="N2033" s="62" t="n">
        <v>1</v>
      </c>
      <c r="O2033" s="62" t="n">
        <v>1</v>
      </c>
      <c r="P2033" s="62" t="n">
        <v>1</v>
      </c>
      <c r="Q2033" s="62" t="n">
        <v>0</v>
      </c>
      <c r="R2033" s="62" t="n">
        <v>0</v>
      </c>
      <c r="S2033" s="62" t="n">
        <v>0</v>
      </c>
      <c r="T2033" s="62" t="n">
        <v>0</v>
      </c>
      <c r="U2033" s="62"/>
      <c r="V2033" s="62"/>
      <c r="W2033" s="62"/>
      <c r="X2033" s="62"/>
      <c r="Y2033" s="62"/>
      <c r="Z2033" s="62" t="s">
        <v>3697</v>
      </c>
      <c r="AA2033" s="62" t="s">
        <v>3698</v>
      </c>
      <c r="AB2033" s="62" t="n">
        <v>1</v>
      </c>
      <c r="AC2033" s="62" t="n">
        <v>0</v>
      </c>
      <c r="AD2033" s="62" t="n">
        <v>1</v>
      </c>
      <c r="AE2033" s="62" t="n">
        <f aca="false">IF(AND(Dashboard!$C$9="Yes",AC2033=1),0,1)</f>
        <v>1</v>
      </c>
      <c r="AF2033" s="62" t="n">
        <v>1</v>
      </c>
    </row>
    <row r="2034" customFormat="false" ht="15" hidden="false" customHeight="false" outlineLevel="0" collapsed="false">
      <c r="A2034" s="62" t="n">
        <v>2033</v>
      </c>
      <c r="B2034" s="63" t="n">
        <v>46279.8625462963</v>
      </c>
      <c r="C2034" s="64" t="n">
        <v>46279</v>
      </c>
      <c r="D2034" s="62" t="s">
        <v>429</v>
      </c>
      <c r="E2034" s="62" t="s">
        <v>3148</v>
      </c>
      <c r="F2034" s="62" t="s">
        <v>3148</v>
      </c>
      <c r="G2034" s="62" t="s">
        <v>3149</v>
      </c>
      <c r="H2034" s="62" t="s">
        <v>46</v>
      </c>
      <c r="I2034" s="62" t="s">
        <v>47</v>
      </c>
      <c r="J2034" s="62" t="s">
        <v>146</v>
      </c>
      <c r="K2034" s="62" t="s">
        <v>209</v>
      </c>
      <c r="L2034" s="62" t="s">
        <v>4</v>
      </c>
      <c r="M2034" s="62" t="n">
        <v>1</v>
      </c>
      <c r="N2034" s="62" t="n">
        <v>0</v>
      </c>
      <c r="O2034" s="62" t="n">
        <v>1</v>
      </c>
      <c r="P2034" s="62" t="n">
        <v>0</v>
      </c>
      <c r="Q2034" s="62" t="n">
        <v>0</v>
      </c>
      <c r="R2034" s="62" t="n">
        <v>0</v>
      </c>
      <c r="S2034" s="62" t="n">
        <v>0</v>
      </c>
      <c r="T2034" s="62" t="n">
        <v>0</v>
      </c>
      <c r="U2034" s="62" t="s">
        <v>2056</v>
      </c>
      <c r="V2034" s="62" t="s">
        <v>2057</v>
      </c>
      <c r="W2034" s="62" t="s">
        <v>15</v>
      </c>
      <c r="X2034" s="62" t="s">
        <v>2058</v>
      </c>
      <c r="Y2034" s="62" t="s">
        <v>2059</v>
      </c>
      <c r="Z2034" s="62" t="s">
        <v>3699</v>
      </c>
      <c r="AA2034" s="62" t="s">
        <v>3700</v>
      </c>
      <c r="AB2034" s="62" t="n">
        <v>1</v>
      </c>
      <c r="AC2034" s="62" t="n">
        <v>0</v>
      </c>
      <c r="AD2034" s="62" t="n">
        <v>1</v>
      </c>
      <c r="AE2034" s="62" t="n">
        <f aca="false">IF(AND(Dashboard!$C$9="Yes",AC2034=1),0,1)</f>
        <v>1</v>
      </c>
      <c r="AF2034" s="62" t="n">
        <v>1</v>
      </c>
    </row>
    <row r="2035" customFormat="false" ht="15" hidden="false" customHeight="false" outlineLevel="0" collapsed="false">
      <c r="A2035" s="62" t="n">
        <v>2034</v>
      </c>
      <c r="B2035" s="63" t="n">
        <v>46279.871400463</v>
      </c>
      <c r="C2035" s="64" t="n">
        <v>46279</v>
      </c>
      <c r="D2035" s="62" t="s">
        <v>429</v>
      </c>
      <c r="E2035" s="62" t="s">
        <v>2464</v>
      </c>
      <c r="F2035" s="62" t="s">
        <v>2464</v>
      </c>
      <c r="G2035" s="62" t="s">
        <v>2465</v>
      </c>
      <c r="H2035" s="62" t="s">
        <v>59</v>
      </c>
      <c r="I2035" s="62" t="s">
        <v>47</v>
      </c>
      <c r="J2035" s="62" t="s">
        <v>146</v>
      </c>
      <c r="K2035" s="62" t="s">
        <v>175</v>
      </c>
      <c r="L2035" s="62" t="s">
        <v>148</v>
      </c>
      <c r="M2035" s="62" t="n">
        <v>0</v>
      </c>
      <c r="N2035" s="62" t="n">
        <v>1</v>
      </c>
      <c r="O2035" s="62" t="n">
        <v>1</v>
      </c>
      <c r="P2035" s="62" t="n">
        <v>0</v>
      </c>
      <c r="Q2035" s="62" t="n">
        <v>1</v>
      </c>
      <c r="R2035" s="62" t="n">
        <v>0</v>
      </c>
      <c r="S2035" s="62" t="n">
        <v>0</v>
      </c>
      <c r="T2035" s="62" t="n">
        <v>0</v>
      </c>
      <c r="U2035" s="62"/>
      <c r="V2035" s="62"/>
      <c r="W2035" s="62"/>
      <c r="X2035" s="62"/>
      <c r="Y2035" s="62"/>
      <c r="Z2035" s="62" t="s">
        <v>3701</v>
      </c>
      <c r="AA2035" s="62" t="s">
        <v>3702</v>
      </c>
      <c r="AB2035" s="62" t="n">
        <v>1</v>
      </c>
      <c r="AC2035" s="62" t="n">
        <v>0</v>
      </c>
      <c r="AD2035" s="62" t="n">
        <v>1</v>
      </c>
      <c r="AE2035" s="62" t="n">
        <f aca="false">IF(AND(Dashboard!$C$9="Yes",AC2035=1),0,1)</f>
        <v>1</v>
      </c>
      <c r="AF2035" s="62" t="n">
        <v>1</v>
      </c>
    </row>
    <row r="2036" customFormat="false" ht="15" hidden="false" customHeight="false" outlineLevel="0" collapsed="false">
      <c r="A2036" s="62" t="n">
        <v>2035</v>
      </c>
      <c r="B2036" s="63" t="n">
        <v>46279.886712963</v>
      </c>
      <c r="C2036" s="64" t="n">
        <v>46279</v>
      </c>
      <c r="D2036" s="62" t="s">
        <v>429</v>
      </c>
      <c r="E2036" s="62" t="s">
        <v>180</v>
      </c>
      <c r="F2036" s="62" t="s">
        <v>180</v>
      </c>
      <c r="G2036" s="62" t="s">
        <v>181</v>
      </c>
      <c r="H2036" s="62" t="s">
        <v>58</v>
      </c>
      <c r="I2036" s="62" t="s">
        <v>49</v>
      </c>
      <c r="J2036" s="62" t="s">
        <v>146</v>
      </c>
      <c r="K2036" s="62" t="s">
        <v>175</v>
      </c>
      <c r="L2036" s="62" t="s">
        <v>148</v>
      </c>
      <c r="M2036" s="62" t="n">
        <v>0</v>
      </c>
      <c r="N2036" s="62" t="n">
        <v>1</v>
      </c>
      <c r="O2036" s="62" t="n">
        <v>1</v>
      </c>
      <c r="P2036" s="62" t="n">
        <v>1</v>
      </c>
      <c r="Q2036" s="62" t="n">
        <v>0</v>
      </c>
      <c r="R2036" s="62" t="n">
        <v>0</v>
      </c>
      <c r="S2036" s="62" t="n">
        <v>0</v>
      </c>
      <c r="T2036" s="62" t="n">
        <v>0</v>
      </c>
      <c r="U2036" s="62"/>
      <c r="V2036" s="62"/>
      <c r="W2036" s="62"/>
      <c r="X2036" s="62"/>
      <c r="Y2036" s="62"/>
      <c r="Z2036" s="62" t="s">
        <v>3703</v>
      </c>
      <c r="AA2036" s="62" t="s">
        <v>3703</v>
      </c>
      <c r="AB2036" s="62" t="n">
        <v>1</v>
      </c>
      <c r="AC2036" s="62" t="n">
        <v>0</v>
      </c>
      <c r="AD2036" s="62" t="n">
        <v>1</v>
      </c>
      <c r="AE2036" s="62" t="n">
        <f aca="false">IF(AND(Dashboard!$C$9="Yes",AC2036=1),0,1)</f>
        <v>1</v>
      </c>
      <c r="AF2036" s="62" t="n">
        <v>1</v>
      </c>
    </row>
    <row r="2037" customFormat="false" ht="15" hidden="false" customHeight="false" outlineLevel="0" collapsed="false">
      <c r="A2037" s="62" t="n">
        <v>2036</v>
      </c>
      <c r="B2037" s="63" t="n">
        <v>46279.90625</v>
      </c>
      <c r="C2037" s="64" t="n">
        <v>46279</v>
      </c>
      <c r="D2037" s="62" t="s">
        <v>429</v>
      </c>
      <c r="E2037" s="62" t="s">
        <v>2530</v>
      </c>
      <c r="F2037" s="62" t="s">
        <v>2530</v>
      </c>
      <c r="G2037" s="62" t="s">
        <v>2531</v>
      </c>
      <c r="H2037" s="62" t="s">
        <v>48</v>
      </c>
      <c r="I2037" s="62" t="s">
        <v>49</v>
      </c>
      <c r="J2037" s="62" t="s">
        <v>146</v>
      </c>
      <c r="K2037" s="62" t="s">
        <v>209</v>
      </c>
      <c r="L2037" s="62" t="s">
        <v>4</v>
      </c>
      <c r="M2037" s="62" t="n">
        <v>1</v>
      </c>
      <c r="N2037" s="62" t="n">
        <v>0</v>
      </c>
      <c r="O2037" s="62" t="n">
        <v>1</v>
      </c>
      <c r="P2037" s="62" t="n">
        <v>0</v>
      </c>
      <c r="Q2037" s="62" t="n">
        <v>0</v>
      </c>
      <c r="R2037" s="62" t="n">
        <v>0</v>
      </c>
      <c r="S2037" s="62" t="n">
        <v>0</v>
      </c>
      <c r="T2037" s="62" t="n">
        <v>0</v>
      </c>
      <c r="U2037" s="62" t="s">
        <v>2056</v>
      </c>
      <c r="V2037" s="62" t="s">
        <v>2057</v>
      </c>
      <c r="W2037" s="62" t="s">
        <v>15</v>
      </c>
      <c r="X2037" s="62" t="s">
        <v>2058</v>
      </c>
      <c r="Y2037" s="62" t="s">
        <v>2059</v>
      </c>
      <c r="Z2037" s="62" t="s">
        <v>3704</v>
      </c>
      <c r="AA2037" s="62" t="s">
        <v>3705</v>
      </c>
      <c r="AB2037" s="62" t="n">
        <v>1</v>
      </c>
      <c r="AC2037" s="62" t="n">
        <v>0</v>
      </c>
      <c r="AD2037" s="62" t="n">
        <v>1</v>
      </c>
      <c r="AE2037" s="62" t="n">
        <f aca="false">IF(AND(Dashboard!$C$9="Yes",AC2037=1),0,1)</f>
        <v>1</v>
      </c>
      <c r="AF2037" s="62" t="n">
        <v>1</v>
      </c>
    </row>
    <row r="2038" customFormat="false" ht="15" hidden="false" customHeight="false" outlineLevel="0" collapsed="false">
      <c r="A2038" s="62" t="n">
        <v>2037</v>
      </c>
      <c r="B2038" s="63" t="n">
        <v>46279.9085185185</v>
      </c>
      <c r="C2038" s="64" t="n">
        <v>46279</v>
      </c>
      <c r="D2038" s="62" t="s">
        <v>429</v>
      </c>
      <c r="E2038" s="62" t="s">
        <v>3706</v>
      </c>
      <c r="F2038" s="62" t="s">
        <v>3706</v>
      </c>
      <c r="G2038" s="62" t="s">
        <v>3707</v>
      </c>
      <c r="H2038" s="62" t="s">
        <v>55</v>
      </c>
      <c r="I2038" s="62" t="s">
        <v>49</v>
      </c>
      <c r="J2038" s="62" t="s">
        <v>3708</v>
      </c>
      <c r="K2038" s="62" t="s">
        <v>209</v>
      </c>
      <c r="L2038" s="62" t="s">
        <v>148</v>
      </c>
      <c r="M2038" s="62" t="n">
        <v>0</v>
      </c>
      <c r="N2038" s="62" t="n">
        <v>1</v>
      </c>
      <c r="O2038" s="62" t="n">
        <v>1</v>
      </c>
      <c r="P2038" s="62" t="n">
        <v>1</v>
      </c>
      <c r="Q2038" s="62" t="n">
        <v>0</v>
      </c>
      <c r="R2038" s="62" t="n">
        <v>0</v>
      </c>
      <c r="S2038" s="62" t="n">
        <v>0</v>
      </c>
      <c r="T2038" s="62" t="n">
        <v>0</v>
      </c>
      <c r="U2038" s="62"/>
      <c r="V2038" s="62"/>
      <c r="W2038" s="62"/>
      <c r="X2038" s="62"/>
      <c r="Y2038" s="62"/>
      <c r="Z2038" s="62" t="s">
        <v>3709</v>
      </c>
      <c r="AA2038" s="62" t="s">
        <v>64</v>
      </c>
      <c r="AB2038" s="62" t="n">
        <v>0</v>
      </c>
      <c r="AC2038" s="62" t="n">
        <v>0</v>
      </c>
      <c r="AD2038" s="62" t="n">
        <v>1</v>
      </c>
      <c r="AE2038" s="62" t="n">
        <f aca="false">IF(AND(Dashboard!$C$9="Yes",AC2038=1),0,1)</f>
        <v>1</v>
      </c>
      <c r="AF2038" s="62" t="n">
        <v>1</v>
      </c>
    </row>
    <row r="2039" customFormat="false" ht="15" hidden="false" customHeight="false" outlineLevel="0" collapsed="false">
      <c r="A2039" s="62" t="n">
        <v>2038</v>
      </c>
      <c r="B2039" s="63" t="n">
        <v>46279.910474537</v>
      </c>
      <c r="C2039" s="64" t="n">
        <v>46279</v>
      </c>
      <c r="D2039" s="62" t="s">
        <v>429</v>
      </c>
      <c r="E2039" s="62" t="s">
        <v>3710</v>
      </c>
      <c r="F2039" s="62" t="s">
        <v>3710</v>
      </c>
      <c r="G2039" s="62" t="s">
        <v>3711</v>
      </c>
      <c r="H2039" s="62" t="s">
        <v>58</v>
      </c>
      <c r="I2039" s="62" t="s">
        <v>49</v>
      </c>
      <c r="J2039" s="62" t="s">
        <v>146</v>
      </c>
      <c r="K2039" s="62" t="s">
        <v>209</v>
      </c>
      <c r="L2039" s="62" t="s">
        <v>4</v>
      </c>
      <c r="M2039" s="62" t="n">
        <v>1</v>
      </c>
      <c r="N2039" s="62" t="n">
        <v>0</v>
      </c>
      <c r="O2039" s="62" t="n">
        <v>1</v>
      </c>
      <c r="P2039" s="62" t="n">
        <v>0</v>
      </c>
      <c r="Q2039" s="62" t="n">
        <v>0</v>
      </c>
      <c r="R2039" s="62" t="n">
        <v>0</v>
      </c>
      <c r="S2039" s="62" t="n">
        <v>0</v>
      </c>
      <c r="T2039" s="62" t="n">
        <v>0</v>
      </c>
      <c r="U2039" s="62" t="s">
        <v>2056</v>
      </c>
      <c r="V2039" s="62" t="s">
        <v>2057</v>
      </c>
      <c r="W2039" s="62" t="s">
        <v>15</v>
      </c>
      <c r="X2039" s="62" t="s">
        <v>2058</v>
      </c>
      <c r="Y2039" s="62" t="s">
        <v>2059</v>
      </c>
      <c r="Z2039" s="62" t="s">
        <v>3712</v>
      </c>
      <c r="AA2039" s="62" t="s">
        <v>3713</v>
      </c>
      <c r="AB2039" s="62" t="n">
        <v>1</v>
      </c>
      <c r="AC2039" s="62" t="n">
        <v>0</v>
      </c>
      <c r="AD2039" s="62" t="n">
        <v>1</v>
      </c>
      <c r="AE2039" s="62" t="n">
        <f aca="false">IF(AND(Dashboard!$C$9="Yes",AC2039=1),0,1)</f>
        <v>1</v>
      </c>
      <c r="AF2039" s="62" t="n">
        <v>1</v>
      </c>
    </row>
    <row r="2040" customFormat="false" ht="15" hidden="false" customHeight="false" outlineLevel="0" collapsed="false">
      <c r="A2040" s="62" t="n">
        <v>2039</v>
      </c>
      <c r="B2040" s="63" t="n">
        <v>46279.9105208333</v>
      </c>
      <c r="C2040" s="64" t="n">
        <v>46279</v>
      </c>
      <c r="D2040" s="62" t="s">
        <v>429</v>
      </c>
      <c r="E2040" s="62" t="s">
        <v>3714</v>
      </c>
      <c r="F2040" s="62" t="s">
        <v>3714</v>
      </c>
      <c r="G2040" s="62" t="s">
        <v>3715</v>
      </c>
      <c r="H2040" s="62" t="s">
        <v>55</v>
      </c>
      <c r="I2040" s="62" t="s">
        <v>49</v>
      </c>
      <c r="J2040" s="62" t="s">
        <v>3708</v>
      </c>
      <c r="K2040" s="62" t="s">
        <v>209</v>
      </c>
      <c r="L2040" s="62" t="s">
        <v>148</v>
      </c>
      <c r="M2040" s="62" t="n">
        <v>0</v>
      </c>
      <c r="N2040" s="62" t="n">
        <v>1</v>
      </c>
      <c r="O2040" s="62" t="n">
        <v>1</v>
      </c>
      <c r="P2040" s="62" t="n">
        <v>1</v>
      </c>
      <c r="Q2040" s="62" t="n">
        <v>0</v>
      </c>
      <c r="R2040" s="62" t="n">
        <v>0</v>
      </c>
      <c r="S2040" s="62" t="n">
        <v>0</v>
      </c>
      <c r="T2040" s="62" t="n">
        <v>0</v>
      </c>
      <c r="U2040" s="62"/>
      <c r="V2040" s="62"/>
      <c r="W2040" s="62"/>
      <c r="X2040" s="62"/>
      <c r="Y2040" s="62"/>
      <c r="Z2040" s="62" t="s">
        <v>3716</v>
      </c>
      <c r="AA2040" s="62" t="s">
        <v>337</v>
      </c>
      <c r="AB2040" s="62" t="n">
        <v>0</v>
      </c>
      <c r="AC2040" s="62" t="n">
        <v>0</v>
      </c>
      <c r="AD2040" s="62" t="n">
        <v>1</v>
      </c>
      <c r="AE2040" s="62" t="n">
        <f aca="false">IF(AND(Dashboard!$C$9="Yes",AC2040=1),0,1)</f>
        <v>1</v>
      </c>
      <c r="AF2040" s="62" t="n">
        <v>1</v>
      </c>
    </row>
    <row r="2041" customFormat="false" ht="15" hidden="false" customHeight="false" outlineLevel="0" collapsed="false">
      <c r="A2041" s="62" t="n">
        <v>2040</v>
      </c>
      <c r="B2041" s="63" t="n">
        <v>46279.9113194444</v>
      </c>
      <c r="C2041" s="64" t="n">
        <v>46279</v>
      </c>
      <c r="D2041" s="62" t="s">
        <v>429</v>
      </c>
      <c r="E2041" s="62" t="s">
        <v>3717</v>
      </c>
      <c r="F2041" s="62" t="s">
        <v>3718</v>
      </c>
      <c r="G2041" s="62" t="s">
        <v>153</v>
      </c>
      <c r="H2041" s="62" t="s">
        <v>153</v>
      </c>
      <c r="I2041" s="62" t="s">
        <v>153</v>
      </c>
      <c r="J2041" s="62" t="s">
        <v>64</v>
      </c>
      <c r="K2041" s="62" t="s">
        <v>64</v>
      </c>
      <c r="L2041" s="62" t="s">
        <v>148</v>
      </c>
      <c r="M2041" s="62" t="n">
        <v>0</v>
      </c>
      <c r="N2041" s="62" t="n">
        <v>1</v>
      </c>
      <c r="O2041" s="62" t="n">
        <v>1</v>
      </c>
      <c r="P2041" s="62" t="n">
        <v>1</v>
      </c>
      <c r="Q2041" s="62" t="n">
        <v>0</v>
      </c>
      <c r="R2041" s="62" t="n">
        <v>0</v>
      </c>
      <c r="S2041" s="62" t="n">
        <v>0</v>
      </c>
      <c r="T2041" s="62" t="n">
        <v>0</v>
      </c>
      <c r="U2041" s="62"/>
      <c r="V2041" s="62"/>
      <c r="W2041" s="62"/>
      <c r="X2041" s="62"/>
      <c r="Y2041" s="62"/>
      <c r="Z2041" s="62" t="s">
        <v>64</v>
      </c>
      <c r="AA2041" s="62" t="s">
        <v>64</v>
      </c>
      <c r="AB2041" s="62" t="n">
        <v>0</v>
      </c>
      <c r="AC2041" s="62" t="n">
        <v>0</v>
      </c>
      <c r="AD2041" s="62" t="n">
        <v>0</v>
      </c>
      <c r="AE2041" s="62" t="n">
        <f aca="false">IF(AND(Dashboard!$C$9="Yes",AC2041=1),0,1)</f>
        <v>1</v>
      </c>
      <c r="AF2041" s="62" t="n">
        <v>1</v>
      </c>
    </row>
    <row r="2042" customFormat="false" ht="15" hidden="false" customHeight="false" outlineLevel="0" collapsed="false">
      <c r="A2042" s="62" t="n">
        <v>2041</v>
      </c>
      <c r="B2042" s="63" t="n">
        <v>46279.9120601852</v>
      </c>
      <c r="C2042" s="64" t="n">
        <v>46279</v>
      </c>
      <c r="D2042" s="62" t="s">
        <v>429</v>
      </c>
      <c r="E2042" s="62" t="s">
        <v>180</v>
      </c>
      <c r="F2042" s="62" t="s">
        <v>180</v>
      </c>
      <c r="G2042" s="62" t="s">
        <v>181</v>
      </c>
      <c r="H2042" s="62" t="s">
        <v>58</v>
      </c>
      <c r="I2042" s="62" t="s">
        <v>49</v>
      </c>
      <c r="J2042" s="62" t="s">
        <v>146</v>
      </c>
      <c r="K2042" s="62" t="s">
        <v>175</v>
      </c>
      <c r="L2042" s="62" t="s">
        <v>148</v>
      </c>
      <c r="M2042" s="62" t="n">
        <v>0</v>
      </c>
      <c r="N2042" s="62" t="n">
        <v>2</v>
      </c>
      <c r="O2042" s="62" t="n">
        <v>2</v>
      </c>
      <c r="P2042" s="62" t="n">
        <v>1</v>
      </c>
      <c r="Q2042" s="62" t="n">
        <v>1</v>
      </c>
      <c r="R2042" s="62" t="n">
        <v>0</v>
      </c>
      <c r="S2042" s="62" t="n">
        <v>0</v>
      </c>
      <c r="T2042" s="62" t="n">
        <v>0</v>
      </c>
      <c r="U2042" s="62"/>
      <c r="V2042" s="62"/>
      <c r="W2042" s="62"/>
      <c r="X2042" s="62"/>
      <c r="Y2042" s="62"/>
      <c r="Z2042" s="62" t="s">
        <v>3719</v>
      </c>
      <c r="AA2042" s="62" t="s">
        <v>3719</v>
      </c>
      <c r="AB2042" s="62" t="n">
        <v>1</v>
      </c>
      <c r="AC2042" s="62" t="n">
        <v>0</v>
      </c>
      <c r="AD2042" s="62" t="n">
        <v>1</v>
      </c>
      <c r="AE2042" s="62" t="n">
        <f aca="false">IF(AND(Dashboard!$C$9="Yes",AC2042=1),0,1)</f>
        <v>1</v>
      </c>
      <c r="AF2042" s="62" t="n">
        <v>0</v>
      </c>
    </row>
    <row r="2043" customFormat="false" ht="15" hidden="false" customHeight="false" outlineLevel="0" collapsed="false">
      <c r="A2043" s="62" t="n">
        <v>2042</v>
      </c>
      <c r="B2043" s="63" t="n">
        <v>46279.9127430556</v>
      </c>
      <c r="C2043" s="64" t="n">
        <v>46279</v>
      </c>
      <c r="D2043" s="62" t="s">
        <v>429</v>
      </c>
      <c r="E2043" s="62" t="s">
        <v>164</v>
      </c>
      <c r="F2043" s="62" t="s">
        <v>164</v>
      </c>
      <c r="G2043" s="62" t="s">
        <v>165</v>
      </c>
      <c r="H2043" s="62" t="s">
        <v>51</v>
      </c>
      <c r="I2043" s="62" t="s">
        <v>47</v>
      </c>
      <c r="J2043" s="62" t="s">
        <v>146</v>
      </c>
      <c r="K2043" s="62" t="s">
        <v>147</v>
      </c>
      <c r="L2043" s="62" t="s">
        <v>148</v>
      </c>
      <c r="M2043" s="62" t="n">
        <v>0</v>
      </c>
      <c r="N2043" s="62" t="n">
        <v>1</v>
      </c>
      <c r="O2043" s="62" t="n">
        <v>1</v>
      </c>
      <c r="P2043" s="62" t="n">
        <v>1</v>
      </c>
      <c r="Q2043" s="62" t="n">
        <v>0</v>
      </c>
      <c r="R2043" s="62" t="n">
        <v>0</v>
      </c>
      <c r="S2043" s="62" t="n">
        <v>0</v>
      </c>
      <c r="T2043" s="62" t="n">
        <v>0</v>
      </c>
      <c r="U2043" s="62"/>
      <c r="V2043" s="62"/>
      <c r="W2043" s="62"/>
      <c r="X2043" s="62"/>
      <c r="Y2043" s="62"/>
      <c r="Z2043" s="62" t="s">
        <v>3720</v>
      </c>
      <c r="AA2043" s="62" t="s">
        <v>3721</v>
      </c>
      <c r="AB2043" s="62" t="n">
        <v>1</v>
      </c>
      <c r="AC2043" s="62" t="n">
        <v>0</v>
      </c>
      <c r="AD2043" s="62" t="n">
        <v>1</v>
      </c>
      <c r="AE2043" s="62" t="n">
        <f aca="false">IF(AND(Dashboard!$C$9="Yes",AC2043=1),0,1)</f>
        <v>1</v>
      </c>
      <c r="AF2043" s="62" t="n">
        <v>0</v>
      </c>
    </row>
    <row r="2044" customFormat="false" ht="15" hidden="false" customHeight="false" outlineLevel="0" collapsed="false">
      <c r="A2044" s="62" t="n">
        <v>2043</v>
      </c>
      <c r="B2044" s="63" t="n">
        <v>46279.9131018519</v>
      </c>
      <c r="C2044" s="64" t="n">
        <v>46279</v>
      </c>
      <c r="D2044" s="62" t="s">
        <v>429</v>
      </c>
      <c r="E2044" s="62" t="s">
        <v>164</v>
      </c>
      <c r="F2044" s="62" t="s">
        <v>164</v>
      </c>
      <c r="G2044" s="62" t="s">
        <v>165</v>
      </c>
      <c r="H2044" s="62" t="s">
        <v>51</v>
      </c>
      <c r="I2044" s="62" t="s">
        <v>47</v>
      </c>
      <c r="J2044" s="62" t="s">
        <v>146</v>
      </c>
      <c r="K2044" s="62" t="s">
        <v>147</v>
      </c>
      <c r="L2044" s="62" t="s">
        <v>148</v>
      </c>
      <c r="M2044" s="62" t="n">
        <v>0</v>
      </c>
      <c r="N2044" s="62" t="n">
        <v>1</v>
      </c>
      <c r="O2044" s="62" t="n">
        <v>1</v>
      </c>
      <c r="P2044" s="62" t="n">
        <v>1</v>
      </c>
      <c r="Q2044" s="62" t="n">
        <v>0</v>
      </c>
      <c r="R2044" s="62" t="n">
        <v>0</v>
      </c>
      <c r="S2044" s="62" t="n">
        <v>0</v>
      </c>
      <c r="T2044" s="62" t="n">
        <v>0</v>
      </c>
      <c r="U2044" s="62"/>
      <c r="V2044" s="62"/>
      <c r="W2044" s="62"/>
      <c r="X2044" s="62"/>
      <c r="Y2044" s="62"/>
      <c r="Z2044" s="62" t="s">
        <v>3720</v>
      </c>
      <c r="AA2044" s="62" t="s">
        <v>3721</v>
      </c>
      <c r="AB2044" s="62" t="n">
        <v>1</v>
      </c>
      <c r="AC2044" s="62" t="n">
        <v>1</v>
      </c>
      <c r="AD2044" s="62" t="n">
        <v>1</v>
      </c>
      <c r="AE2044" s="62" t="n">
        <f aca="false">IF(AND(Dashboard!$C$9="Yes",AC2044=1),0,1)</f>
        <v>0</v>
      </c>
      <c r="AF2044" s="62" t="n">
        <v>0</v>
      </c>
    </row>
    <row r="2045" customFormat="false" ht="15" hidden="false" customHeight="false" outlineLevel="0" collapsed="false">
      <c r="A2045" s="62" t="n">
        <v>2044</v>
      </c>
      <c r="B2045" s="63" t="n">
        <v>46279.9144328704</v>
      </c>
      <c r="C2045" s="64" t="n">
        <v>46279</v>
      </c>
      <c r="D2045" s="62" t="s">
        <v>429</v>
      </c>
      <c r="E2045" s="62" t="s">
        <v>2530</v>
      </c>
      <c r="F2045" s="62" t="s">
        <v>2530</v>
      </c>
      <c r="G2045" s="62" t="s">
        <v>2531</v>
      </c>
      <c r="H2045" s="62" t="s">
        <v>48</v>
      </c>
      <c r="I2045" s="62" t="s">
        <v>49</v>
      </c>
      <c r="J2045" s="62" t="s">
        <v>146</v>
      </c>
      <c r="K2045" s="62" t="s">
        <v>209</v>
      </c>
      <c r="L2045" s="62" t="s">
        <v>148</v>
      </c>
      <c r="M2045" s="62" t="n">
        <v>0</v>
      </c>
      <c r="N2045" s="62" t="n">
        <v>1</v>
      </c>
      <c r="O2045" s="62" t="n">
        <v>1</v>
      </c>
      <c r="P2045" s="62" t="n">
        <v>1</v>
      </c>
      <c r="Q2045" s="62" t="n">
        <v>0</v>
      </c>
      <c r="R2045" s="62" t="n">
        <v>0</v>
      </c>
      <c r="S2045" s="62" t="n">
        <v>0</v>
      </c>
      <c r="T2045" s="62" t="n">
        <v>0</v>
      </c>
      <c r="U2045" s="62"/>
      <c r="V2045" s="62"/>
      <c r="W2045" s="62"/>
      <c r="X2045" s="62"/>
      <c r="Y2045" s="62"/>
      <c r="Z2045" s="62" t="s">
        <v>3722</v>
      </c>
      <c r="AA2045" s="62" t="s">
        <v>3723</v>
      </c>
      <c r="AB2045" s="62" t="n">
        <v>1</v>
      </c>
      <c r="AC2045" s="62" t="n">
        <v>0</v>
      </c>
      <c r="AD2045" s="62" t="n">
        <v>1</v>
      </c>
      <c r="AE2045" s="62" t="n">
        <f aca="false">IF(AND(Dashboard!$C$9="Yes",AC2045=1),0,1)</f>
        <v>1</v>
      </c>
      <c r="AF2045" s="62" t="n">
        <v>0</v>
      </c>
    </row>
    <row r="2046" customFormat="false" ht="15" hidden="false" customHeight="false" outlineLevel="0" collapsed="false">
      <c r="A2046" s="62" t="n">
        <v>2045</v>
      </c>
      <c r="B2046" s="63" t="n">
        <v>46279.91625</v>
      </c>
      <c r="C2046" s="64" t="n">
        <v>46279</v>
      </c>
      <c r="D2046" s="62" t="s">
        <v>429</v>
      </c>
      <c r="E2046" s="62" t="s">
        <v>2101</v>
      </c>
      <c r="F2046" s="62" t="s">
        <v>2101</v>
      </c>
      <c r="G2046" s="62" t="s">
        <v>2102</v>
      </c>
      <c r="H2046" s="62" t="s">
        <v>52</v>
      </c>
      <c r="I2046" s="62" t="s">
        <v>47</v>
      </c>
      <c r="J2046" s="62" t="s">
        <v>146</v>
      </c>
      <c r="K2046" s="62" t="s">
        <v>147</v>
      </c>
      <c r="L2046" s="62" t="s">
        <v>148</v>
      </c>
      <c r="M2046" s="62" t="n">
        <v>0</v>
      </c>
      <c r="N2046" s="62" t="n">
        <v>1</v>
      </c>
      <c r="O2046" s="62" t="n">
        <v>1</v>
      </c>
      <c r="P2046" s="62" t="n">
        <v>1</v>
      </c>
      <c r="Q2046" s="62" t="n">
        <v>0</v>
      </c>
      <c r="R2046" s="62" t="n">
        <v>0</v>
      </c>
      <c r="S2046" s="62" t="n">
        <v>0</v>
      </c>
      <c r="T2046" s="62" t="n">
        <v>0</v>
      </c>
      <c r="U2046" s="62"/>
      <c r="V2046" s="62"/>
      <c r="W2046" s="62"/>
      <c r="X2046" s="62"/>
      <c r="Y2046" s="62"/>
      <c r="Z2046" s="62" t="s">
        <v>3724</v>
      </c>
      <c r="AA2046" s="62" t="s">
        <v>3116</v>
      </c>
      <c r="AB2046" s="62" t="n">
        <v>1</v>
      </c>
      <c r="AC2046" s="62" t="n">
        <v>0</v>
      </c>
      <c r="AD2046" s="62" t="n">
        <v>1</v>
      </c>
      <c r="AE2046" s="62" t="n">
        <f aca="false">IF(AND(Dashboard!$C$9="Yes",AC2046=1),0,1)</f>
        <v>1</v>
      </c>
      <c r="AF2046" s="62" t="n">
        <v>1</v>
      </c>
    </row>
    <row r="2047" customFormat="false" ht="15" hidden="false" customHeight="false" outlineLevel="0" collapsed="false">
      <c r="A2047" s="62" t="n">
        <v>2046</v>
      </c>
      <c r="B2047" s="63" t="n">
        <v>46279.9194560185</v>
      </c>
      <c r="C2047" s="64" t="n">
        <v>46279</v>
      </c>
      <c r="D2047" s="62" t="s">
        <v>429</v>
      </c>
      <c r="E2047" s="62" t="s">
        <v>2228</v>
      </c>
      <c r="F2047" s="62" t="s">
        <v>2228</v>
      </c>
      <c r="G2047" s="62" t="s">
        <v>2229</v>
      </c>
      <c r="H2047" s="62" t="s">
        <v>58</v>
      </c>
      <c r="I2047" s="62" t="s">
        <v>49</v>
      </c>
      <c r="J2047" s="62" t="s">
        <v>146</v>
      </c>
      <c r="K2047" s="62" t="s">
        <v>209</v>
      </c>
      <c r="L2047" s="62" t="s">
        <v>148</v>
      </c>
      <c r="M2047" s="62" t="n">
        <v>0</v>
      </c>
      <c r="N2047" s="62" t="n">
        <v>1</v>
      </c>
      <c r="O2047" s="62" t="n">
        <v>1</v>
      </c>
      <c r="P2047" s="62" t="n">
        <v>1</v>
      </c>
      <c r="Q2047" s="62" t="n">
        <v>0</v>
      </c>
      <c r="R2047" s="62" t="n">
        <v>0</v>
      </c>
      <c r="S2047" s="62" t="n">
        <v>0</v>
      </c>
      <c r="T2047" s="62" t="n">
        <v>0</v>
      </c>
      <c r="U2047" s="62"/>
      <c r="V2047" s="62"/>
      <c r="W2047" s="62"/>
      <c r="X2047" s="62"/>
      <c r="Y2047" s="62"/>
      <c r="Z2047" s="62" t="s">
        <v>3725</v>
      </c>
      <c r="AA2047" s="62" t="s">
        <v>3726</v>
      </c>
      <c r="AB2047" s="62" t="n">
        <v>1</v>
      </c>
      <c r="AC2047" s="62" t="n">
        <v>0</v>
      </c>
      <c r="AD2047" s="62" t="n">
        <v>1</v>
      </c>
      <c r="AE2047" s="62" t="n">
        <f aca="false">IF(AND(Dashboard!$C$9="Yes",AC2047=1),0,1)</f>
        <v>1</v>
      </c>
      <c r="AF2047" s="62" t="n">
        <v>0</v>
      </c>
    </row>
    <row r="2048" customFormat="false" ht="15" hidden="false" customHeight="false" outlineLevel="0" collapsed="false">
      <c r="A2048" s="62" t="n">
        <v>2047</v>
      </c>
      <c r="B2048" s="63" t="n">
        <v>46279.9308912037</v>
      </c>
      <c r="C2048" s="64" t="n">
        <v>46279</v>
      </c>
      <c r="D2048" s="62" t="s">
        <v>429</v>
      </c>
      <c r="E2048" s="62" t="s">
        <v>1590</v>
      </c>
      <c r="F2048" s="62" t="s">
        <v>1590</v>
      </c>
      <c r="G2048" s="62" t="s">
        <v>1591</v>
      </c>
      <c r="H2048" s="62" t="s">
        <v>52</v>
      </c>
      <c r="I2048" s="62" t="s">
        <v>47</v>
      </c>
      <c r="J2048" s="62" t="s">
        <v>146</v>
      </c>
      <c r="K2048" s="62" t="s">
        <v>209</v>
      </c>
      <c r="L2048" s="62" t="s">
        <v>4</v>
      </c>
      <c r="M2048" s="62" t="n">
        <v>1</v>
      </c>
      <c r="N2048" s="62" t="n">
        <v>0</v>
      </c>
      <c r="O2048" s="62" t="n">
        <v>1</v>
      </c>
      <c r="P2048" s="62" t="n">
        <v>0</v>
      </c>
      <c r="Q2048" s="62" t="n">
        <v>0</v>
      </c>
      <c r="R2048" s="62" t="n">
        <v>0</v>
      </c>
      <c r="S2048" s="62" t="n">
        <v>0</v>
      </c>
      <c r="T2048" s="62" t="n">
        <v>0</v>
      </c>
      <c r="U2048" s="62" t="s">
        <v>2056</v>
      </c>
      <c r="V2048" s="62" t="s">
        <v>2057</v>
      </c>
      <c r="W2048" s="62" t="s">
        <v>15</v>
      </c>
      <c r="X2048" s="62" t="s">
        <v>2058</v>
      </c>
      <c r="Y2048" s="62" t="s">
        <v>2059</v>
      </c>
      <c r="Z2048" s="62" t="s">
        <v>3727</v>
      </c>
      <c r="AA2048" s="62" t="s">
        <v>3728</v>
      </c>
      <c r="AB2048" s="62" t="n">
        <v>1</v>
      </c>
      <c r="AC2048" s="62" t="n">
        <v>0</v>
      </c>
      <c r="AD2048" s="62" t="n">
        <v>1</v>
      </c>
      <c r="AE2048" s="62" t="n">
        <f aca="false">IF(AND(Dashboard!$C$9="Yes",AC2048=1),0,1)</f>
        <v>1</v>
      </c>
      <c r="AF2048" s="62" t="n">
        <v>1</v>
      </c>
    </row>
    <row r="2049" customFormat="false" ht="15" hidden="false" customHeight="false" outlineLevel="0" collapsed="false">
      <c r="A2049" s="62" t="n">
        <v>2048</v>
      </c>
      <c r="B2049" s="63" t="n">
        <v>46279.9345138889</v>
      </c>
      <c r="C2049" s="64" t="n">
        <v>46279</v>
      </c>
      <c r="D2049" s="62" t="s">
        <v>429</v>
      </c>
      <c r="E2049" s="62" t="s">
        <v>2119</v>
      </c>
      <c r="F2049" s="62" t="s">
        <v>2119</v>
      </c>
      <c r="G2049" s="62" t="s">
        <v>2120</v>
      </c>
      <c r="H2049" s="62" t="s">
        <v>52</v>
      </c>
      <c r="I2049" s="62" t="s">
        <v>47</v>
      </c>
      <c r="J2049" s="62" t="s">
        <v>146</v>
      </c>
      <c r="K2049" s="62" t="s">
        <v>147</v>
      </c>
      <c r="L2049" s="62" t="s">
        <v>148</v>
      </c>
      <c r="M2049" s="62" t="n">
        <v>0</v>
      </c>
      <c r="N2049" s="62" t="n">
        <v>1</v>
      </c>
      <c r="O2049" s="62" t="n">
        <v>1</v>
      </c>
      <c r="P2049" s="62" t="n">
        <v>1</v>
      </c>
      <c r="Q2049" s="62" t="n">
        <v>0</v>
      </c>
      <c r="R2049" s="62" t="n">
        <v>0</v>
      </c>
      <c r="S2049" s="62" t="n">
        <v>0</v>
      </c>
      <c r="T2049" s="62" t="n">
        <v>0</v>
      </c>
      <c r="U2049" s="62"/>
      <c r="V2049" s="62"/>
      <c r="W2049" s="62"/>
      <c r="X2049" s="62"/>
      <c r="Y2049" s="62"/>
      <c r="Z2049" s="62" t="s">
        <v>3729</v>
      </c>
      <c r="AA2049" s="62" t="s">
        <v>3027</v>
      </c>
      <c r="AB2049" s="62" t="n">
        <v>0</v>
      </c>
      <c r="AC2049" s="62" t="n">
        <v>0</v>
      </c>
      <c r="AD2049" s="62" t="n">
        <v>1</v>
      </c>
      <c r="AE2049" s="62" t="n">
        <f aca="false">IF(AND(Dashboard!$C$9="Yes",AC2049=1),0,1)</f>
        <v>1</v>
      </c>
      <c r="AF2049" s="62" t="n">
        <v>0</v>
      </c>
    </row>
    <row r="2050" customFormat="false" ht="15" hidden="false" customHeight="false" outlineLevel="0" collapsed="false">
      <c r="A2050" s="62" t="n">
        <v>2049</v>
      </c>
      <c r="B2050" s="63" t="n">
        <v>46279.9404166667</v>
      </c>
      <c r="C2050" s="64" t="n">
        <v>46279</v>
      </c>
      <c r="D2050" s="62" t="s">
        <v>429</v>
      </c>
      <c r="E2050" s="62" t="s">
        <v>518</v>
      </c>
      <c r="F2050" s="62" t="s">
        <v>518</v>
      </c>
      <c r="G2050" s="62" t="s">
        <v>519</v>
      </c>
      <c r="H2050" s="62" t="s">
        <v>52</v>
      </c>
      <c r="I2050" s="62" t="s">
        <v>47</v>
      </c>
      <c r="J2050" s="62" t="s">
        <v>146</v>
      </c>
      <c r="K2050" s="62" t="s">
        <v>147</v>
      </c>
      <c r="L2050" s="62" t="s">
        <v>148</v>
      </c>
      <c r="M2050" s="62" t="n">
        <v>0</v>
      </c>
      <c r="N2050" s="62" t="n">
        <v>1</v>
      </c>
      <c r="O2050" s="62" t="n">
        <v>1</v>
      </c>
      <c r="P2050" s="62" t="n">
        <v>1</v>
      </c>
      <c r="Q2050" s="62" t="n">
        <v>0</v>
      </c>
      <c r="R2050" s="62" t="n">
        <v>0</v>
      </c>
      <c r="S2050" s="62" t="n">
        <v>0</v>
      </c>
      <c r="T2050" s="62" t="n">
        <v>0</v>
      </c>
      <c r="U2050" s="62"/>
      <c r="V2050" s="62"/>
      <c r="W2050" s="62"/>
      <c r="X2050" s="62"/>
      <c r="Y2050" s="62"/>
      <c r="Z2050" s="62" t="s">
        <v>3730</v>
      </c>
      <c r="AA2050" s="62" t="s">
        <v>3731</v>
      </c>
      <c r="AB2050" s="62" t="n">
        <v>1</v>
      </c>
      <c r="AC2050" s="62" t="n">
        <v>0</v>
      </c>
      <c r="AD2050" s="62" t="n">
        <v>1</v>
      </c>
      <c r="AE2050" s="62" t="n">
        <f aca="false">IF(AND(Dashboard!$C$9="Yes",AC2050=1),0,1)</f>
        <v>1</v>
      </c>
      <c r="AF2050" s="62" t="n">
        <v>1</v>
      </c>
    </row>
    <row r="2051" customFormat="false" ht="15" hidden="false" customHeight="false" outlineLevel="0" collapsed="false">
      <c r="A2051" s="62" t="n">
        <v>2050</v>
      </c>
      <c r="B2051" s="63" t="n">
        <v>46279.9480555556</v>
      </c>
      <c r="C2051" s="64" t="n">
        <v>46279</v>
      </c>
      <c r="D2051" s="62" t="s">
        <v>429</v>
      </c>
      <c r="E2051" s="62" t="s">
        <v>180</v>
      </c>
      <c r="F2051" s="62" t="s">
        <v>180</v>
      </c>
      <c r="G2051" s="62" t="s">
        <v>181</v>
      </c>
      <c r="H2051" s="62" t="s">
        <v>58</v>
      </c>
      <c r="I2051" s="62" t="s">
        <v>49</v>
      </c>
      <c r="J2051" s="62" t="s">
        <v>146</v>
      </c>
      <c r="K2051" s="62" t="s">
        <v>175</v>
      </c>
      <c r="L2051" s="62" t="s">
        <v>148</v>
      </c>
      <c r="M2051" s="62" t="n">
        <v>0</v>
      </c>
      <c r="N2051" s="62" t="n">
        <v>1</v>
      </c>
      <c r="O2051" s="62" t="n">
        <v>1</v>
      </c>
      <c r="P2051" s="62" t="n">
        <v>1</v>
      </c>
      <c r="Q2051" s="62" t="n">
        <v>0</v>
      </c>
      <c r="R2051" s="62" t="n">
        <v>0</v>
      </c>
      <c r="S2051" s="62" t="n">
        <v>0</v>
      </c>
      <c r="T2051" s="62" t="n">
        <v>0</v>
      </c>
      <c r="U2051" s="62"/>
      <c r="V2051" s="62"/>
      <c r="W2051" s="62"/>
      <c r="X2051" s="62"/>
      <c r="Y2051" s="62"/>
      <c r="Z2051" s="62" t="s">
        <v>3732</v>
      </c>
      <c r="AA2051" s="62" t="s">
        <v>3732</v>
      </c>
      <c r="AB2051" s="62" t="n">
        <v>1</v>
      </c>
      <c r="AC2051" s="62" t="n">
        <v>0</v>
      </c>
      <c r="AD2051" s="62" t="n">
        <v>1</v>
      </c>
      <c r="AE2051" s="62" t="n">
        <f aca="false">IF(AND(Dashboard!$C$9="Yes",AC2051=1),0,1)</f>
        <v>1</v>
      </c>
      <c r="AF2051" s="62" t="n">
        <v>0</v>
      </c>
    </row>
    <row r="2052" customFormat="false" ht="15" hidden="false" customHeight="false" outlineLevel="0" collapsed="false">
      <c r="A2052" s="62" t="n">
        <v>2051</v>
      </c>
      <c r="B2052" s="63" t="n">
        <v>46279.9484606482</v>
      </c>
      <c r="C2052" s="64" t="n">
        <v>46279</v>
      </c>
      <c r="D2052" s="62" t="s">
        <v>429</v>
      </c>
      <c r="E2052" s="62" t="s">
        <v>1732</v>
      </c>
      <c r="F2052" s="62" t="s">
        <v>1732</v>
      </c>
      <c r="G2052" s="62" t="s">
        <v>1733</v>
      </c>
      <c r="H2052" s="62" t="s">
        <v>58</v>
      </c>
      <c r="I2052" s="62" t="s">
        <v>49</v>
      </c>
      <c r="J2052" s="62" t="s">
        <v>146</v>
      </c>
      <c r="K2052" s="62" t="s">
        <v>209</v>
      </c>
      <c r="L2052" s="62" t="s">
        <v>148</v>
      </c>
      <c r="M2052" s="62" t="n">
        <v>0</v>
      </c>
      <c r="N2052" s="62" t="n">
        <v>1</v>
      </c>
      <c r="O2052" s="62" t="n">
        <v>1</v>
      </c>
      <c r="P2052" s="62" t="n">
        <v>0</v>
      </c>
      <c r="Q2052" s="62" t="n">
        <v>1</v>
      </c>
      <c r="R2052" s="62" t="n">
        <v>0</v>
      </c>
      <c r="S2052" s="62" t="n">
        <v>0</v>
      </c>
      <c r="T2052" s="62" t="n">
        <v>0</v>
      </c>
      <c r="U2052" s="62"/>
      <c r="V2052" s="62"/>
      <c r="W2052" s="62"/>
      <c r="X2052" s="62"/>
      <c r="Y2052" s="62"/>
      <c r="Z2052" s="62" t="s">
        <v>3733</v>
      </c>
      <c r="AA2052" s="62" t="s">
        <v>3734</v>
      </c>
      <c r="AB2052" s="62" t="n">
        <v>1</v>
      </c>
      <c r="AC2052" s="62" t="n">
        <v>0</v>
      </c>
      <c r="AD2052" s="62" t="n">
        <v>1</v>
      </c>
      <c r="AE2052" s="62" t="n">
        <f aca="false">IF(AND(Dashboard!$C$9="Yes",AC2052=1),0,1)</f>
        <v>1</v>
      </c>
      <c r="AF2052" s="62" t="n">
        <v>0</v>
      </c>
    </row>
    <row r="2053" customFormat="false" ht="15" hidden="false" customHeight="false" outlineLevel="0" collapsed="false">
      <c r="A2053" s="62" t="n">
        <v>2052</v>
      </c>
      <c r="B2053" s="63" t="n">
        <v>46279.9546064815</v>
      </c>
      <c r="C2053" s="64" t="n">
        <v>46279</v>
      </c>
      <c r="D2053" s="62" t="s">
        <v>429</v>
      </c>
      <c r="E2053" s="62" t="s">
        <v>3735</v>
      </c>
      <c r="F2053" s="62" t="s">
        <v>1445</v>
      </c>
      <c r="G2053" s="62" t="s">
        <v>1446</v>
      </c>
      <c r="H2053" s="62" t="s">
        <v>58</v>
      </c>
      <c r="I2053" s="62" t="s">
        <v>49</v>
      </c>
      <c r="J2053" s="62" t="s">
        <v>146</v>
      </c>
      <c r="K2053" s="62" t="s">
        <v>175</v>
      </c>
      <c r="L2053" s="62" t="s">
        <v>4</v>
      </c>
      <c r="M2053" s="62" t="n">
        <v>1</v>
      </c>
      <c r="N2053" s="62" t="n">
        <v>0</v>
      </c>
      <c r="O2053" s="62" t="n">
        <v>1</v>
      </c>
      <c r="P2053" s="62" t="n">
        <v>0</v>
      </c>
      <c r="Q2053" s="62" t="n">
        <v>0</v>
      </c>
      <c r="R2053" s="62" t="n">
        <v>0</v>
      </c>
      <c r="S2053" s="62" t="n">
        <v>0</v>
      </c>
      <c r="T2053" s="62" t="n">
        <v>0</v>
      </c>
      <c r="U2053" s="62" t="s">
        <v>2056</v>
      </c>
      <c r="V2053" s="62" t="s">
        <v>2057</v>
      </c>
      <c r="W2053" s="62" t="s">
        <v>15</v>
      </c>
      <c r="X2053" s="62" t="s">
        <v>2058</v>
      </c>
      <c r="Y2053" s="62" t="s">
        <v>2059</v>
      </c>
      <c r="Z2053" s="62" t="s">
        <v>3736</v>
      </c>
      <c r="AA2053" s="62" t="s">
        <v>3737</v>
      </c>
      <c r="AB2053" s="62" t="n">
        <v>1</v>
      </c>
      <c r="AC2053" s="62" t="n">
        <v>0</v>
      </c>
      <c r="AD2053" s="62" t="n">
        <v>1</v>
      </c>
      <c r="AE2053" s="62" t="n">
        <f aca="false">IF(AND(Dashboard!$C$9="Yes",AC2053=1),0,1)</f>
        <v>1</v>
      </c>
      <c r="AF2053" s="62" t="n">
        <v>1</v>
      </c>
    </row>
    <row r="2054" customFormat="false" ht="15" hidden="false" customHeight="false" outlineLevel="0" collapsed="false">
      <c r="A2054" s="62" t="n">
        <v>2053</v>
      </c>
      <c r="B2054" s="63" t="n">
        <v>46279.9554513889</v>
      </c>
      <c r="C2054" s="64" t="n">
        <v>46279</v>
      </c>
      <c r="D2054" s="62" t="s">
        <v>429</v>
      </c>
      <c r="E2054" s="62" t="s">
        <v>1652</v>
      </c>
      <c r="F2054" s="62" t="s">
        <v>1652</v>
      </c>
      <c r="G2054" s="62" t="s">
        <v>1653</v>
      </c>
      <c r="H2054" s="62" t="s">
        <v>57</v>
      </c>
      <c r="I2054" s="62" t="s">
        <v>47</v>
      </c>
      <c r="J2054" s="62" t="s">
        <v>146</v>
      </c>
      <c r="K2054" s="62" t="s">
        <v>175</v>
      </c>
      <c r="L2054" s="62" t="s">
        <v>148</v>
      </c>
      <c r="M2054" s="62" t="n">
        <v>0</v>
      </c>
      <c r="N2054" s="62" t="n">
        <v>1</v>
      </c>
      <c r="O2054" s="62" t="n">
        <v>1</v>
      </c>
      <c r="P2054" s="62" t="n">
        <v>1</v>
      </c>
      <c r="Q2054" s="62" t="n">
        <v>0</v>
      </c>
      <c r="R2054" s="62" t="n">
        <v>0</v>
      </c>
      <c r="S2054" s="62" t="n">
        <v>0</v>
      </c>
      <c r="T2054" s="62" t="n">
        <v>0</v>
      </c>
      <c r="U2054" s="62"/>
      <c r="V2054" s="62"/>
      <c r="W2054" s="62"/>
      <c r="X2054" s="62"/>
      <c r="Y2054" s="62"/>
      <c r="Z2054" s="62" t="s">
        <v>3738</v>
      </c>
      <c r="AA2054" s="62" t="s">
        <v>3739</v>
      </c>
      <c r="AB2054" s="62" t="n">
        <v>1</v>
      </c>
      <c r="AC2054" s="62" t="n">
        <v>0</v>
      </c>
      <c r="AD2054" s="62" t="n">
        <v>1</v>
      </c>
      <c r="AE2054" s="62" t="n">
        <f aca="false">IF(AND(Dashboard!$C$9="Yes",AC2054=1),0,1)</f>
        <v>1</v>
      </c>
      <c r="AF2054" s="62" t="n">
        <v>1</v>
      </c>
    </row>
    <row r="2055" customFormat="false" ht="15" hidden="false" customHeight="false" outlineLevel="0" collapsed="false">
      <c r="A2055" s="62" t="n">
        <v>2054</v>
      </c>
      <c r="B2055" s="63" t="n">
        <v>46279.9574421296</v>
      </c>
      <c r="C2055" s="64" t="n">
        <v>46279</v>
      </c>
      <c r="D2055" s="62" t="s">
        <v>429</v>
      </c>
      <c r="E2055" s="62" t="s">
        <v>207</v>
      </c>
      <c r="F2055" s="62" t="s">
        <v>207</v>
      </c>
      <c r="G2055" s="62" t="s">
        <v>208</v>
      </c>
      <c r="H2055" s="62" t="s">
        <v>48</v>
      </c>
      <c r="I2055" s="62" t="s">
        <v>49</v>
      </c>
      <c r="J2055" s="62" t="s">
        <v>146</v>
      </c>
      <c r="K2055" s="62" t="s">
        <v>209</v>
      </c>
      <c r="L2055" s="62" t="s">
        <v>148</v>
      </c>
      <c r="M2055" s="62" t="n">
        <v>0</v>
      </c>
      <c r="N2055" s="62" t="n">
        <v>1</v>
      </c>
      <c r="O2055" s="62" t="n">
        <v>1</v>
      </c>
      <c r="P2055" s="62" t="n">
        <v>1</v>
      </c>
      <c r="Q2055" s="62" t="n">
        <v>0</v>
      </c>
      <c r="R2055" s="62" t="n">
        <v>0</v>
      </c>
      <c r="S2055" s="62" t="n">
        <v>0</v>
      </c>
      <c r="T2055" s="62" t="n">
        <v>0</v>
      </c>
      <c r="U2055" s="62"/>
      <c r="V2055" s="62"/>
      <c r="W2055" s="62"/>
      <c r="X2055" s="62"/>
      <c r="Y2055" s="62"/>
      <c r="Z2055" s="62" t="s">
        <v>3740</v>
      </c>
      <c r="AA2055" s="62" t="s">
        <v>3741</v>
      </c>
      <c r="AB2055" s="62" t="n">
        <v>1</v>
      </c>
      <c r="AC2055" s="62" t="n">
        <v>0</v>
      </c>
      <c r="AD2055" s="62" t="n">
        <v>1</v>
      </c>
      <c r="AE2055" s="62" t="n">
        <f aca="false">IF(AND(Dashboard!$C$9="Yes",AC2055=1),0,1)</f>
        <v>1</v>
      </c>
      <c r="AF2055" s="62" t="n">
        <v>1</v>
      </c>
    </row>
    <row r="2056" customFormat="false" ht="15" hidden="false" customHeight="false" outlineLevel="0" collapsed="false">
      <c r="A2056" s="62" t="n">
        <v>2055</v>
      </c>
      <c r="B2056" s="63" t="n">
        <v>46279.9686574074</v>
      </c>
      <c r="C2056" s="64" t="n">
        <v>46279</v>
      </c>
      <c r="D2056" s="62" t="s">
        <v>429</v>
      </c>
      <c r="E2056" s="62" t="s">
        <v>1652</v>
      </c>
      <c r="F2056" s="62" t="s">
        <v>1652</v>
      </c>
      <c r="G2056" s="62" t="s">
        <v>1653</v>
      </c>
      <c r="H2056" s="62" t="s">
        <v>57</v>
      </c>
      <c r="I2056" s="62" t="s">
        <v>47</v>
      </c>
      <c r="J2056" s="62" t="s">
        <v>146</v>
      </c>
      <c r="K2056" s="62" t="s">
        <v>175</v>
      </c>
      <c r="L2056" s="62" t="s">
        <v>148</v>
      </c>
      <c r="M2056" s="62" t="n">
        <v>0</v>
      </c>
      <c r="N2056" s="62" t="n">
        <v>1</v>
      </c>
      <c r="O2056" s="62" t="n">
        <v>1</v>
      </c>
      <c r="P2056" s="62" t="n">
        <v>1</v>
      </c>
      <c r="Q2056" s="62" t="n">
        <v>0</v>
      </c>
      <c r="R2056" s="62" t="n">
        <v>0</v>
      </c>
      <c r="S2056" s="62" t="n">
        <v>0</v>
      </c>
      <c r="T2056" s="62" t="n">
        <v>0</v>
      </c>
      <c r="U2056" s="62"/>
      <c r="V2056" s="62"/>
      <c r="W2056" s="62"/>
      <c r="X2056" s="62"/>
      <c r="Y2056" s="62"/>
      <c r="Z2056" s="62" t="s">
        <v>3738</v>
      </c>
      <c r="AA2056" s="62" t="s">
        <v>3739</v>
      </c>
      <c r="AB2056" s="62" t="n">
        <v>1</v>
      </c>
      <c r="AC2056" s="62" t="n">
        <v>1</v>
      </c>
      <c r="AD2056" s="62" t="n">
        <v>1</v>
      </c>
      <c r="AE2056" s="62" t="n">
        <f aca="false">IF(AND(Dashboard!$C$9="Yes",AC2056=1),0,1)</f>
        <v>0</v>
      </c>
      <c r="AF2056" s="62" t="n">
        <v>0</v>
      </c>
    </row>
    <row r="2057" customFormat="false" ht="15" hidden="false" customHeight="false" outlineLevel="0" collapsed="false">
      <c r="A2057" s="62" t="n">
        <v>2056</v>
      </c>
      <c r="B2057" s="63" t="n">
        <v>46279.9698958333</v>
      </c>
      <c r="C2057" s="64" t="n">
        <v>46279</v>
      </c>
      <c r="D2057" s="62" t="s">
        <v>429</v>
      </c>
      <c r="E2057" s="62" t="s">
        <v>1749</v>
      </c>
      <c r="F2057" s="62" t="s">
        <v>1749</v>
      </c>
      <c r="G2057" s="62" t="s">
        <v>1750</v>
      </c>
      <c r="H2057" s="62" t="s">
        <v>57</v>
      </c>
      <c r="I2057" s="62" t="s">
        <v>47</v>
      </c>
      <c r="J2057" s="62" t="s">
        <v>146</v>
      </c>
      <c r="K2057" s="62" t="s">
        <v>209</v>
      </c>
      <c r="L2057" s="62" t="s">
        <v>148</v>
      </c>
      <c r="M2057" s="62" t="n">
        <v>0</v>
      </c>
      <c r="N2057" s="62" t="n">
        <v>1</v>
      </c>
      <c r="O2057" s="62" t="n">
        <v>1</v>
      </c>
      <c r="P2057" s="62" t="n">
        <v>1</v>
      </c>
      <c r="Q2057" s="62" t="n">
        <v>0</v>
      </c>
      <c r="R2057" s="62" t="n">
        <v>0</v>
      </c>
      <c r="S2057" s="62" t="n">
        <v>0</v>
      </c>
      <c r="T2057" s="62" t="n">
        <v>0</v>
      </c>
      <c r="U2057" s="62"/>
      <c r="V2057" s="62"/>
      <c r="W2057" s="62"/>
      <c r="X2057" s="62"/>
      <c r="Y2057" s="62"/>
      <c r="Z2057" s="62" t="s">
        <v>3742</v>
      </c>
      <c r="AA2057" s="62" t="s">
        <v>3743</v>
      </c>
      <c r="AB2057" s="62" t="n">
        <v>1</v>
      </c>
      <c r="AC2057" s="62" t="n">
        <v>0</v>
      </c>
      <c r="AD2057" s="62" t="n">
        <v>1</v>
      </c>
      <c r="AE2057" s="62" t="n">
        <f aca="false">IF(AND(Dashboard!$C$9="Yes",AC2057=1),0,1)</f>
        <v>1</v>
      </c>
      <c r="AF2057" s="62" t="n">
        <v>1</v>
      </c>
    </row>
    <row r="2058" customFormat="false" ht="15" hidden="false" customHeight="false" outlineLevel="0" collapsed="false">
      <c r="A2058" s="62" t="n">
        <v>2057</v>
      </c>
      <c r="B2058" s="63" t="n">
        <v>46279.9721412037</v>
      </c>
      <c r="C2058" s="64" t="n">
        <v>46279</v>
      </c>
      <c r="D2058" s="62" t="s">
        <v>429</v>
      </c>
      <c r="E2058" s="62" t="s">
        <v>1827</v>
      </c>
      <c r="F2058" s="62" t="s">
        <v>1827</v>
      </c>
      <c r="G2058" s="62" t="s">
        <v>1828</v>
      </c>
      <c r="H2058" s="62" t="s">
        <v>59</v>
      </c>
      <c r="I2058" s="62" t="s">
        <v>47</v>
      </c>
      <c r="J2058" s="62" t="s">
        <v>146</v>
      </c>
      <c r="K2058" s="62" t="s">
        <v>209</v>
      </c>
      <c r="L2058" s="62" t="s">
        <v>148</v>
      </c>
      <c r="M2058" s="62" t="n">
        <v>0</v>
      </c>
      <c r="N2058" s="62" t="n">
        <v>2</v>
      </c>
      <c r="O2058" s="62" t="n">
        <v>2</v>
      </c>
      <c r="P2058" s="62" t="n">
        <v>1</v>
      </c>
      <c r="Q2058" s="62" t="n">
        <v>1</v>
      </c>
      <c r="R2058" s="62" t="n">
        <v>0</v>
      </c>
      <c r="S2058" s="62" t="n">
        <v>0</v>
      </c>
      <c r="T2058" s="62" t="n">
        <v>0</v>
      </c>
      <c r="U2058" s="62"/>
      <c r="V2058" s="62"/>
      <c r="W2058" s="62"/>
      <c r="X2058" s="62"/>
      <c r="Y2058" s="62"/>
      <c r="Z2058" s="62" t="s">
        <v>3744</v>
      </c>
      <c r="AA2058" s="62" t="s">
        <v>3745</v>
      </c>
      <c r="AB2058" s="62" t="n">
        <v>1</v>
      </c>
      <c r="AC2058" s="62" t="n">
        <v>0</v>
      </c>
      <c r="AD2058" s="62" t="n">
        <v>1</v>
      </c>
      <c r="AE2058" s="62" t="n">
        <f aca="false">IF(AND(Dashboard!$C$9="Yes",AC2058=1),0,1)</f>
        <v>1</v>
      </c>
      <c r="AF2058" s="62" t="n">
        <v>1</v>
      </c>
    </row>
    <row r="2059" customFormat="false" ht="15" hidden="false" customHeight="false" outlineLevel="0" collapsed="false">
      <c r="A2059" s="62" t="n">
        <v>2058</v>
      </c>
      <c r="B2059" s="63" t="n">
        <v>46280.0025231482</v>
      </c>
      <c r="C2059" s="64" t="n">
        <v>46279</v>
      </c>
      <c r="D2059" s="62" t="s">
        <v>429</v>
      </c>
      <c r="E2059" s="62" t="s">
        <v>2385</v>
      </c>
      <c r="F2059" s="62" t="s">
        <v>2385</v>
      </c>
      <c r="G2059" s="62" t="s">
        <v>2386</v>
      </c>
      <c r="H2059" s="62" t="s">
        <v>59</v>
      </c>
      <c r="I2059" s="62" t="s">
        <v>47</v>
      </c>
      <c r="J2059" s="62" t="s">
        <v>146</v>
      </c>
      <c r="K2059" s="62" t="s">
        <v>209</v>
      </c>
      <c r="L2059" s="62" t="s">
        <v>148</v>
      </c>
      <c r="M2059" s="62" t="n">
        <v>0</v>
      </c>
      <c r="N2059" s="62" t="n">
        <v>1</v>
      </c>
      <c r="O2059" s="62" t="n">
        <v>1</v>
      </c>
      <c r="P2059" s="62" t="n">
        <v>1</v>
      </c>
      <c r="Q2059" s="62" t="n">
        <v>0</v>
      </c>
      <c r="R2059" s="62" t="n">
        <v>0</v>
      </c>
      <c r="S2059" s="62" t="n">
        <v>0</v>
      </c>
      <c r="T2059" s="62" t="n">
        <v>0</v>
      </c>
      <c r="U2059" s="62"/>
      <c r="V2059" s="62"/>
      <c r="W2059" s="62"/>
      <c r="X2059" s="62"/>
      <c r="Y2059" s="62"/>
      <c r="Z2059" s="62" t="s">
        <v>3746</v>
      </c>
      <c r="AA2059" s="62" t="s">
        <v>3747</v>
      </c>
      <c r="AB2059" s="62" t="n">
        <v>1</v>
      </c>
      <c r="AC2059" s="62" t="n">
        <v>0</v>
      </c>
      <c r="AD2059" s="62" t="n">
        <v>1</v>
      </c>
      <c r="AE2059" s="62" t="n">
        <f aca="false">IF(AND(Dashboard!$C$9="Yes",AC2059=1),0,1)</f>
        <v>1</v>
      </c>
      <c r="AF2059" s="62" t="n">
        <v>1</v>
      </c>
    </row>
    <row r="2060" customFormat="false" ht="15" hidden="false" customHeight="false" outlineLevel="0" collapsed="false">
      <c r="A2060" s="62" t="n">
        <v>2059</v>
      </c>
      <c r="B2060" s="63" t="n">
        <v>46280.0029513889</v>
      </c>
      <c r="C2060" s="64" t="n">
        <v>46279</v>
      </c>
      <c r="D2060" s="62" t="s">
        <v>429</v>
      </c>
      <c r="E2060" s="62" t="s">
        <v>2385</v>
      </c>
      <c r="F2060" s="62" t="s">
        <v>2385</v>
      </c>
      <c r="G2060" s="62" t="s">
        <v>2386</v>
      </c>
      <c r="H2060" s="62" t="s">
        <v>59</v>
      </c>
      <c r="I2060" s="62" t="s">
        <v>47</v>
      </c>
      <c r="J2060" s="62" t="s">
        <v>146</v>
      </c>
      <c r="K2060" s="62" t="s">
        <v>209</v>
      </c>
      <c r="L2060" s="62" t="s">
        <v>4</v>
      </c>
      <c r="M2060" s="62" t="n">
        <v>1</v>
      </c>
      <c r="N2060" s="62" t="n">
        <v>0</v>
      </c>
      <c r="O2060" s="62" t="n">
        <v>1</v>
      </c>
      <c r="P2060" s="62" t="n">
        <v>0</v>
      </c>
      <c r="Q2060" s="62" t="n">
        <v>0</v>
      </c>
      <c r="R2060" s="62" t="n">
        <v>0</v>
      </c>
      <c r="S2060" s="62" t="n">
        <v>0</v>
      </c>
      <c r="T2060" s="62" t="n">
        <v>0</v>
      </c>
      <c r="U2060" s="62" t="s">
        <v>2056</v>
      </c>
      <c r="V2060" s="62" t="s">
        <v>2057</v>
      </c>
      <c r="W2060" s="62" t="s">
        <v>15</v>
      </c>
      <c r="X2060" s="62" t="s">
        <v>2103</v>
      </c>
      <c r="Y2060" s="62" t="s">
        <v>2059</v>
      </c>
      <c r="Z2060" s="62" t="s">
        <v>3746</v>
      </c>
      <c r="AA2060" s="62" t="s">
        <v>3747</v>
      </c>
      <c r="AB2060" s="62" t="n">
        <v>1</v>
      </c>
      <c r="AC2060" s="62" t="n">
        <v>0</v>
      </c>
      <c r="AD2060" s="62" t="n">
        <v>1</v>
      </c>
      <c r="AE2060" s="62" t="n">
        <f aca="false">IF(AND(Dashboard!$C$9="Yes",AC2060=1),0,1)</f>
        <v>1</v>
      </c>
      <c r="AF2060" s="62" t="n">
        <v>0</v>
      </c>
    </row>
    <row r="2061" customFormat="false" ht="15" hidden="false" customHeight="false" outlineLevel="0" collapsed="false">
      <c r="A2061" s="62" t="n">
        <v>2060</v>
      </c>
      <c r="B2061" s="63" t="n">
        <v>46280.0180555556</v>
      </c>
      <c r="C2061" s="64" t="n">
        <v>46279</v>
      </c>
      <c r="D2061" s="62" t="s">
        <v>429</v>
      </c>
      <c r="E2061" s="62" t="s">
        <v>203</v>
      </c>
      <c r="F2061" s="62" t="s">
        <v>203</v>
      </c>
      <c r="G2061" s="62" t="s">
        <v>204</v>
      </c>
      <c r="H2061" s="62" t="s">
        <v>51</v>
      </c>
      <c r="I2061" s="62" t="s">
        <v>47</v>
      </c>
      <c r="J2061" s="62" t="s">
        <v>146</v>
      </c>
      <c r="K2061" s="62" t="s">
        <v>147</v>
      </c>
      <c r="L2061" s="62" t="s">
        <v>148</v>
      </c>
      <c r="M2061" s="62" t="n">
        <v>0</v>
      </c>
      <c r="N2061" s="62" t="n">
        <v>1</v>
      </c>
      <c r="O2061" s="62" t="n">
        <v>1</v>
      </c>
      <c r="P2061" s="62" t="n">
        <v>1</v>
      </c>
      <c r="Q2061" s="62" t="n">
        <v>0</v>
      </c>
      <c r="R2061" s="62" t="n">
        <v>0</v>
      </c>
      <c r="S2061" s="62" t="n">
        <v>0</v>
      </c>
      <c r="T2061" s="62" t="n">
        <v>0</v>
      </c>
      <c r="U2061" s="62"/>
      <c r="V2061" s="62"/>
      <c r="W2061" s="62"/>
      <c r="X2061" s="62"/>
      <c r="Y2061" s="62"/>
      <c r="Z2061" s="62" t="s">
        <v>3748</v>
      </c>
      <c r="AA2061" s="62" t="s">
        <v>485</v>
      </c>
      <c r="AB2061" s="62" t="n">
        <v>0</v>
      </c>
      <c r="AC2061" s="62" t="n">
        <v>0</v>
      </c>
      <c r="AD2061" s="62" t="n">
        <v>1</v>
      </c>
      <c r="AE2061" s="62" t="n">
        <f aca="false">IF(AND(Dashboard!$C$9="Yes",AC2061=1),0,1)</f>
        <v>1</v>
      </c>
      <c r="AF2061" s="62" t="n">
        <v>0</v>
      </c>
    </row>
    <row r="2062" customFormat="false" ht="15" hidden="false" customHeight="false" outlineLevel="0" collapsed="false">
      <c r="A2062" s="62" t="n">
        <v>2061</v>
      </c>
      <c r="B2062" s="63" t="n">
        <v>46280.0189930556</v>
      </c>
      <c r="C2062" s="64" t="n">
        <v>46279</v>
      </c>
      <c r="D2062" s="62" t="s">
        <v>429</v>
      </c>
      <c r="E2062" s="62" t="s">
        <v>207</v>
      </c>
      <c r="F2062" s="62" t="s">
        <v>207</v>
      </c>
      <c r="G2062" s="62" t="s">
        <v>208</v>
      </c>
      <c r="H2062" s="62" t="s">
        <v>48</v>
      </c>
      <c r="I2062" s="62" t="s">
        <v>49</v>
      </c>
      <c r="J2062" s="62" t="s">
        <v>146</v>
      </c>
      <c r="K2062" s="62" t="s">
        <v>209</v>
      </c>
      <c r="L2062" s="62" t="s">
        <v>148</v>
      </c>
      <c r="M2062" s="62" t="n">
        <v>0</v>
      </c>
      <c r="N2062" s="62" t="n">
        <v>1</v>
      </c>
      <c r="O2062" s="62" t="n">
        <v>1</v>
      </c>
      <c r="P2062" s="62" t="n">
        <v>1</v>
      </c>
      <c r="Q2062" s="62" t="n">
        <v>0</v>
      </c>
      <c r="R2062" s="62" t="n">
        <v>0</v>
      </c>
      <c r="S2062" s="62" t="n">
        <v>0</v>
      </c>
      <c r="T2062" s="62" t="n">
        <v>0</v>
      </c>
      <c r="U2062" s="62"/>
      <c r="V2062" s="62"/>
      <c r="W2062" s="62"/>
      <c r="X2062" s="62"/>
      <c r="Y2062" s="62"/>
      <c r="Z2062" s="62" t="s">
        <v>3749</v>
      </c>
      <c r="AA2062" s="62" t="s">
        <v>3750</v>
      </c>
      <c r="AB2062" s="62" t="n">
        <v>1</v>
      </c>
      <c r="AC2062" s="62" t="n">
        <v>0</v>
      </c>
      <c r="AD2062" s="62" t="n">
        <v>1</v>
      </c>
      <c r="AE2062" s="62" t="n">
        <f aca="false">IF(AND(Dashboard!$C$9="Yes",AC2062=1),0,1)</f>
        <v>1</v>
      </c>
      <c r="AF2062" s="62" t="n">
        <v>0</v>
      </c>
    </row>
    <row r="2063" customFormat="false" ht="15" hidden="false" customHeight="false" outlineLevel="0" collapsed="false">
      <c r="A2063" s="62" t="n">
        <v>2062</v>
      </c>
      <c r="B2063" s="63" t="n">
        <v>46280.0227546296</v>
      </c>
      <c r="C2063" s="64" t="n">
        <v>46279</v>
      </c>
      <c r="D2063" s="62" t="s">
        <v>429</v>
      </c>
      <c r="E2063" s="62" t="s">
        <v>3706</v>
      </c>
      <c r="F2063" s="62" t="s">
        <v>3706</v>
      </c>
      <c r="G2063" s="62" t="s">
        <v>3707</v>
      </c>
      <c r="H2063" s="62" t="s">
        <v>55</v>
      </c>
      <c r="I2063" s="62" t="s">
        <v>49</v>
      </c>
      <c r="J2063" s="62" t="s">
        <v>3708</v>
      </c>
      <c r="K2063" s="62" t="s">
        <v>209</v>
      </c>
      <c r="L2063" s="62" t="s">
        <v>4</v>
      </c>
      <c r="M2063" s="62" t="n">
        <v>1</v>
      </c>
      <c r="N2063" s="62" t="n">
        <v>0</v>
      </c>
      <c r="O2063" s="62" t="n">
        <v>1</v>
      </c>
      <c r="P2063" s="62" t="n">
        <v>0</v>
      </c>
      <c r="Q2063" s="62" t="n">
        <v>0</v>
      </c>
      <c r="R2063" s="62" t="n">
        <v>0</v>
      </c>
      <c r="S2063" s="62" t="n">
        <v>0</v>
      </c>
      <c r="T2063" s="62" t="n">
        <v>0</v>
      </c>
      <c r="U2063" s="62" t="s">
        <v>2056</v>
      </c>
      <c r="V2063" s="62" t="s">
        <v>2057</v>
      </c>
      <c r="W2063" s="62" t="s">
        <v>15</v>
      </c>
      <c r="X2063" s="62" t="s">
        <v>2058</v>
      </c>
      <c r="Y2063" s="62" t="s">
        <v>2059</v>
      </c>
      <c r="Z2063" s="62" t="s">
        <v>3751</v>
      </c>
      <c r="AA2063" s="62" t="s">
        <v>3752</v>
      </c>
      <c r="AB2063" s="62" t="n">
        <v>1</v>
      </c>
      <c r="AC2063" s="62" t="n">
        <v>0</v>
      </c>
      <c r="AD2063" s="62" t="n">
        <v>1</v>
      </c>
      <c r="AE2063" s="62" t="n">
        <f aca="false">IF(AND(Dashboard!$C$9="Yes",AC2063=1),0,1)</f>
        <v>1</v>
      </c>
      <c r="AF2063" s="62" t="n">
        <v>0</v>
      </c>
    </row>
    <row r="2064" customFormat="false" ht="15" hidden="false" customHeight="false" outlineLevel="0" collapsed="false">
      <c r="A2064" s="62" t="n">
        <v>2063</v>
      </c>
      <c r="B2064" s="63" t="n">
        <v>46280.0249768519</v>
      </c>
      <c r="C2064" s="64" t="n">
        <v>46279</v>
      </c>
      <c r="D2064" s="62" t="s">
        <v>429</v>
      </c>
      <c r="E2064" s="62" t="s">
        <v>2722</v>
      </c>
      <c r="F2064" s="62" t="s">
        <v>2722</v>
      </c>
      <c r="G2064" s="62" t="s">
        <v>2723</v>
      </c>
      <c r="H2064" s="62" t="s">
        <v>55</v>
      </c>
      <c r="I2064" s="62" t="s">
        <v>49</v>
      </c>
      <c r="J2064" s="62" t="s">
        <v>146</v>
      </c>
      <c r="K2064" s="62" t="s">
        <v>209</v>
      </c>
      <c r="L2064" s="62" t="s">
        <v>148</v>
      </c>
      <c r="M2064" s="62" t="n">
        <v>0</v>
      </c>
      <c r="N2064" s="62" t="n">
        <v>1</v>
      </c>
      <c r="O2064" s="62" t="n">
        <v>1</v>
      </c>
      <c r="P2064" s="62" t="n">
        <v>1</v>
      </c>
      <c r="Q2064" s="62" t="n">
        <v>0</v>
      </c>
      <c r="R2064" s="62" t="n">
        <v>0</v>
      </c>
      <c r="S2064" s="62" t="n">
        <v>0</v>
      </c>
      <c r="T2064" s="62" t="n">
        <v>0</v>
      </c>
      <c r="U2064" s="62"/>
      <c r="V2064" s="62"/>
      <c r="W2064" s="62"/>
      <c r="X2064" s="62"/>
      <c r="Y2064" s="62"/>
      <c r="Z2064" s="62" t="s">
        <v>3753</v>
      </c>
      <c r="AA2064" s="62" t="s">
        <v>3754</v>
      </c>
      <c r="AB2064" s="62" t="n">
        <v>1</v>
      </c>
      <c r="AC2064" s="62" t="n">
        <v>0</v>
      </c>
      <c r="AD2064" s="62" t="n">
        <v>1</v>
      </c>
      <c r="AE2064" s="62" t="n">
        <f aca="false">IF(AND(Dashboard!$C$9="Yes",AC2064=1),0,1)</f>
        <v>1</v>
      </c>
      <c r="AF2064" s="62" t="n">
        <v>1</v>
      </c>
    </row>
    <row r="2065" customFormat="false" ht="15" hidden="false" customHeight="false" outlineLevel="0" collapsed="false">
      <c r="A2065" s="62" t="n">
        <v>2064</v>
      </c>
      <c r="B2065" s="63" t="n">
        <v>46280.0252083333</v>
      </c>
      <c r="C2065" s="64" t="n">
        <v>46279</v>
      </c>
      <c r="D2065" s="62" t="s">
        <v>429</v>
      </c>
      <c r="E2065" s="62" t="s">
        <v>2722</v>
      </c>
      <c r="F2065" s="62" t="s">
        <v>2722</v>
      </c>
      <c r="G2065" s="62" t="s">
        <v>2723</v>
      </c>
      <c r="H2065" s="62" t="s">
        <v>55</v>
      </c>
      <c r="I2065" s="62" t="s">
        <v>49</v>
      </c>
      <c r="J2065" s="62" t="s">
        <v>146</v>
      </c>
      <c r="K2065" s="62" t="s">
        <v>209</v>
      </c>
      <c r="L2065" s="62" t="s">
        <v>148</v>
      </c>
      <c r="M2065" s="62" t="n">
        <v>0</v>
      </c>
      <c r="N2065" s="62" t="n">
        <v>2</v>
      </c>
      <c r="O2065" s="62" t="n">
        <v>2</v>
      </c>
      <c r="P2065" s="62" t="n">
        <v>1</v>
      </c>
      <c r="Q2065" s="62" t="n">
        <v>1</v>
      </c>
      <c r="R2065" s="62" t="n">
        <v>0</v>
      </c>
      <c r="S2065" s="62" t="n">
        <v>0</v>
      </c>
      <c r="T2065" s="62" t="n">
        <v>0</v>
      </c>
      <c r="U2065" s="62"/>
      <c r="V2065" s="62"/>
      <c r="W2065" s="62"/>
      <c r="X2065" s="62"/>
      <c r="Y2065" s="62"/>
      <c r="Z2065" s="62" t="s">
        <v>3753</v>
      </c>
      <c r="AA2065" s="62" t="s">
        <v>3755</v>
      </c>
      <c r="AB2065" s="62" t="n">
        <v>1</v>
      </c>
      <c r="AC2065" s="62" t="n">
        <v>0</v>
      </c>
      <c r="AD2065" s="62" t="n">
        <v>1</v>
      </c>
      <c r="AE2065" s="62" t="n">
        <f aca="false">IF(AND(Dashboard!$C$9="Yes",AC2065=1),0,1)</f>
        <v>1</v>
      </c>
      <c r="AF2065" s="62" t="n">
        <v>0</v>
      </c>
    </row>
    <row r="2066" customFormat="false" ht="15" hidden="false" customHeight="false" outlineLevel="0" collapsed="false">
      <c r="A2066" s="62" t="n">
        <v>2065</v>
      </c>
      <c r="B2066" s="63" t="n">
        <v>46280.0380092593</v>
      </c>
      <c r="C2066" s="64" t="n">
        <v>46279</v>
      </c>
      <c r="D2066" s="62" t="s">
        <v>429</v>
      </c>
      <c r="E2066" s="62" t="s">
        <v>3756</v>
      </c>
      <c r="F2066" s="62" t="s">
        <v>3756</v>
      </c>
      <c r="G2066" s="62" t="s">
        <v>3757</v>
      </c>
      <c r="H2066" s="62" t="s">
        <v>55</v>
      </c>
      <c r="I2066" s="62" t="s">
        <v>49</v>
      </c>
      <c r="J2066" s="62" t="s">
        <v>3708</v>
      </c>
      <c r="K2066" s="62" t="s">
        <v>209</v>
      </c>
      <c r="L2066" s="62" t="s">
        <v>148</v>
      </c>
      <c r="M2066" s="62" t="n">
        <v>0</v>
      </c>
      <c r="N2066" s="62" t="n">
        <v>1</v>
      </c>
      <c r="O2066" s="62" t="n">
        <v>1</v>
      </c>
      <c r="P2066" s="62" t="n">
        <v>1</v>
      </c>
      <c r="Q2066" s="62" t="n">
        <v>0</v>
      </c>
      <c r="R2066" s="62" t="n">
        <v>0</v>
      </c>
      <c r="S2066" s="62" t="n">
        <v>0</v>
      </c>
      <c r="T2066" s="62" t="n">
        <v>0</v>
      </c>
      <c r="U2066" s="62"/>
      <c r="V2066" s="62"/>
      <c r="W2066" s="62"/>
      <c r="X2066" s="62"/>
      <c r="Y2066" s="62"/>
      <c r="Z2066" s="62" t="s">
        <v>3758</v>
      </c>
      <c r="AA2066" s="62" t="s">
        <v>64</v>
      </c>
      <c r="AB2066" s="62" t="n">
        <v>0</v>
      </c>
      <c r="AC2066" s="62" t="n">
        <v>0</v>
      </c>
      <c r="AD2066" s="62" t="n">
        <v>1</v>
      </c>
      <c r="AE2066" s="62" t="n">
        <f aca="false">IF(AND(Dashboard!$C$9="Yes",AC2066=1),0,1)</f>
        <v>1</v>
      </c>
      <c r="AF2066" s="62" t="n">
        <v>1</v>
      </c>
    </row>
    <row r="2067" customFormat="false" ht="15" hidden="false" customHeight="false" outlineLevel="0" collapsed="false">
      <c r="A2067" s="62" t="n">
        <v>2066</v>
      </c>
      <c r="B2067" s="63" t="n">
        <v>46280.0488425926</v>
      </c>
      <c r="C2067" s="64" t="n">
        <v>46279</v>
      </c>
      <c r="D2067" s="62" t="s">
        <v>429</v>
      </c>
      <c r="E2067" s="62" t="s">
        <v>2081</v>
      </c>
      <c r="F2067" s="62" t="s">
        <v>2081</v>
      </c>
      <c r="G2067" s="62" t="s">
        <v>2082</v>
      </c>
      <c r="H2067" s="62" t="s">
        <v>57</v>
      </c>
      <c r="I2067" s="62" t="s">
        <v>47</v>
      </c>
      <c r="J2067" s="62" t="s">
        <v>146</v>
      </c>
      <c r="K2067" s="62" t="s">
        <v>147</v>
      </c>
      <c r="L2067" s="62" t="s">
        <v>148</v>
      </c>
      <c r="M2067" s="62" t="n">
        <v>0</v>
      </c>
      <c r="N2067" s="62" t="n">
        <v>1</v>
      </c>
      <c r="O2067" s="62" t="n">
        <v>1</v>
      </c>
      <c r="P2067" s="62" t="n">
        <v>1</v>
      </c>
      <c r="Q2067" s="62" t="n">
        <v>0</v>
      </c>
      <c r="R2067" s="62" t="n">
        <v>0</v>
      </c>
      <c r="S2067" s="62" t="n">
        <v>0</v>
      </c>
      <c r="T2067" s="62" t="n">
        <v>0</v>
      </c>
      <c r="U2067" s="62"/>
      <c r="V2067" s="62"/>
      <c r="W2067" s="62"/>
      <c r="X2067" s="62"/>
      <c r="Y2067" s="62"/>
      <c r="Z2067" s="62" t="s">
        <v>3759</v>
      </c>
      <c r="AA2067" s="62" t="s">
        <v>1056</v>
      </c>
      <c r="AB2067" s="62" t="n">
        <v>0</v>
      </c>
      <c r="AC2067" s="62" t="n">
        <v>0</v>
      </c>
      <c r="AD2067" s="62" t="n">
        <v>1</v>
      </c>
      <c r="AE2067" s="62" t="n">
        <f aca="false">IF(AND(Dashboard!$C$9="Yes",AC2067=1),0,1)</f>
        <v>1</v>
      </c>
      <c r="AF2067" s="62" t="n">
        <v>1</v>
      </c>
    </row>
    <row r="2068" customFormat="false" ht="15" hidden="false" customHeight="false" outlineLevel="0" collapsed="false">
      <c r="A2068" s="62" t="n">
        <v>2067</v>
      </c>
      <c r="B2068" s="63" t="n">
        <v>46280.0724537037</v>
      </c>
      <c r="C2068" s="64" t="n">
        <v>46279</v>
      </c>
      <c r="D2068" s="62" t="s">
        <v>429</v>
      </c>
      <c r="E2068" s="62" t="s">
        <v>2385</v>
      </c>
      <c r="F2068" s="62" t="s">
        <v>2385</v>
      </c>
      <c r="G2068" s="62" t="s">
        <v>2386</v>
      </c>
      <c r="H2068" s="62" t="s">
        <v>59</v>
      </c>
      <c r="I2068" s="62" t="s">
        <v>47</v>
      </c>
      <c r="J2068" s="62" t="s">
        <v>146</v>
      </c>
      <c r="K2068" s="62" t="s">
        <v>209</v>
      </c>
      <c r="L2068" s="62" t="s">
        <v>148</v>
      </c>
      <c r="M2068" s="62" t="n">
        <v>0</v>
      </c>
      <c r="N2068" s="62" t="n">
        <v>1</v>
      </c>
      <c r="O2068" s="62" t="n">
        <v>1</v>
      </c>
      <c r="P2068" s="62" t="n">
        <v>0</v>
      </c>
      <c r="Q2068" s="62" t="n">
        <v>1</v>
      </c>
      <c r="R2068" s="62" t="n">
        <v>0</v>
      </c>
      <c r="S2068" s="62" t="n">
        <v>0</v>
      </c>
      <c r="T2068" s="62" t="n">
        <v>0</v>
      </c>
      <c r="U2068" s="62"/>
      <c r="V2068" s="62"/>
      <c r="W2068" s="62"/>
      <c r="X2068" s="62"/>
      <c r="Y2068" s="62"/>
      <c r="Z2068" s="62" t="s">
        <v>3760</v>
      </c>
      <c r="AA2068" s="62" t="s">
        <v>3761</v>
      </c>
      <c r="AB2068" s="62" t="n">
        <v>1</v>
      </c>
      <c r="AC2068" s="62" t="n">
        <v>0</v>
      </c>
      <c r="AD2068" s="62" t="n">
        <v>1</v>
      </c>
      <c r="AE2068" s="62" t="n">
        <f aca="false">IF(AND(Dashboard!$C$9="Yes",AC2068=1),0,1)</f>
        <v>1</v>
      </c>
      <c r="AF2068" s="62" t="n">
        <v>0</v>
      </c>
    </row>
    <row r="2069" customFormat="false" ht="15" hidden="false" customHeight="false" outlineLevel="0" collapsed="false">
      <c r="A2069" s="62" t="n">
        <v>2068</v>
      </c>
      <c r="B2069" s="63" t="n">
        <v>46280.0856365741</v>
      </c>
      <c r="C2069" s="64" t="n">
        <v>46279</v>
      </c>
      <c r="D2069" s="62" t="s">
        <v>429</v>
      </c>
      <c r="E2069" s="62" t="s">
        <v>1155</v>
      </c>
      <c r="F2069" s="62" t="s">
        <v>1155</v>
      </c>
      <c r="G2069" s="62" t="s">
        <v>1156</v>
      </c>
      <c r="H2069" s="62" t="s">
        <v>59</v>
      </c>
      <c r="I2069" s="62" t="s">
        <v>47</v>
      </c>
      <c r="J2069" s="62" t="s">
        <v>146</v>
      </c>
      <c r="K2069" s="62" t="s">
        <v>209</v>
      </c>
      <c r="L2069" s="62" t="s">
        <v>148</v>
      </c>
      <c r="M2069" s="62" t="n">
        <v>0</v>
      </c>
      <c r="N2069" s="62" t="n">
        <v>1</v>
      </c>
      <c r="O2069" s="62" t="n">
        <v>1</v>
      </c>
      <c r="P2069" s="62" t="n">
        <v>1</v>
      </c>
      <c r="Q2069" s="62" t="n">
        <v>0</v>
      </c>
      <c r="R2069" s="62" t="n">
        <v>0</v>
      </c>
      <c r="S2069" s="62" t="n">
        <v>0</v>
      </c>
      <c r="T2069" s="62" t="n">
        <v>0</v>
      </c>
      <c r="U2069" s="62"/>
      <c r="V2069" s="62"/>
      <c r="W2069" s="62"/>
      <c r="X2069" s="62"/>
      <c r="Y2069" s="62"/>
      <c r="Z2069" s="62" t="s">
        <v>3762</v>
      </c>
      <c r="AA2069" s="62" t="s">
        <v>3763</v>
      </c>
      <c r="AB2069" s="62" t="n">
        <v>1</v>
      </c>
      <c r="AC2069" s="62" t="n">
        <v>0</v>
      </c>
      <c r="AD2069" s="62" t="n">
        <v>1</v>
      </c>
      <c r="AE2069" s="62" t="n">
        <f aca="false">IF(AND(Dashboard!$C$9="Yes",AC2069=1),0,1)</f>
        <v>1</v>
      </c>
      <c r="AF2069" s="62" t="n">
        <v>1</v>
      </c>
    </row>
    <row r="2070" customFormat="false" ht="15" hidden="false" customHeight="false" outlineLevel="0" collapsed="false">
      <c r="A2070" s="62" t="n">
        <v>2069</v>
      </c>
      <c r="B2070" s="63" t="n">
        <v>46280.0977083333</v>
      </c>
      <c r="C2070" s="64" t="n">
        <v>46279</v>
      </c>
      <c r="D2070" s="62" t="s">
        <v>429</v>
      </c>
      <c r="E2070" s="62" t="s">
        <v>1590</v>
      </c>
      <c r="F2070" s="62" t="s">
        <v>1590</v>
      </c>
      <c r="G2070" s="62" t="s">
        <v>1591</v>
      </c>
      <c r="H2070" s="62" t="s">
        <v>52</v>
      </c>
      <c r="I2070" s="62" t="s">
        <v>47</v>
      </c>
      <c r="J2070" s="62" t="s">
        <v>146</v>
      </c>
      <c r="K2070" s="62" t="s">
        <v>209</v>
      </c>
      <c r="L2070" s="62" t="s">
        <v>148</v>
      </c>
      <c r="M2070" s="62" t="n">
        <v>0</v>
      </c>
      <c r="N2070" s="62" t="n">
        <v>1</v>
      </c>
      <c r="O2070" s="62" t="n">
        <v>1</v>
      </c>
      <c r="P2070" s="62" t="n">
        <v>1</v>
      </c>
      <c r="Q2070" s="62" t="n">
        <v>0</v>
      </c>
      <c r="R2070" s="62" t="n">
        <v>0</v>
      </c>
      <c r="S2070" s="62" t="n">
        <v>0</v>
      </c>
      <c r="T2070" s="62" t="n">
        <v>0</v>
      </c>
      <c r="U2070" s="62"/>
      <c r="V2070" s="62"/>
      <c r="W2070" s="62"/>
      <c r="X2070" s="62"/>
      <c r="Y2070" s="62"/>
      <c r="Z2070" s="62" t="s">
        <v>3764</v>
      </c>
      <c r="AA2070" s="62" t="s">
        <v>3765</v>
      </c>
      <c r="AB2070" s="62" t="n">
        <v>1</v>
      </c>
      <c r="AC2070" s="62" t="n">
        <v>0</v>
      </c>
      <c r="AD2070" s="62" t="n">
        <v>1</v>
      </c>
      <c r="AE2070" s="62" t="n">
        <f aca="false">IF(AND(Dashboard!$C$9="Yes",AC2070=1),0,1)</f>
        <v>1</v>
      </c>
      <c r="AF2070" s="62" t="n">
        <v>0</v>
      </c>
    </row>
    <row r="2071" customFormat="false" ht="15" hidden="false" customHeight="false" outlineLevel="0" collapsed="false">
      <c r="A2071" s="62" t="n">
        <v>2070</v>
      </c>
      <c r="B2071" s="63" t="n">
        <v>46280.1079513889</v>
      </c>
      <c r="C2071" s="64" t="n">
        <v>46279</v>
      </c>
      <c r="D2071" s="62" t="s">
        <v>429</v>
      </c>
      <c r="E2071" s="62" t="s">
        <v>3766</v>
      </c>
      <c r="F2071" s="62" t="s">
        <v>3766</v>
      </c>
      <c r="G2071" s="62" t="s">
        <v>3767</v>
      </c>
      <c r="H2071" s="62" t="s">
        <v>57</v>
      </c>
      <c r="I2071" s="62" t="s">
        <v>47</v>
      </c>
      <c r="J2071" s="62" t="s">
        <v>146</v>
      </c>
      <c r="K2071" s="62" t="s">
        <v>147</v>
      </c>
      <c r="L2071" s="62" t="s">
        <v>148</v>
      </c>
      <c r="M2071" s="62" t="n">
        <v>0</v>
      </c>
      <c r="N2071" s="62" t="n">
        <v>2</v>
      </c>
      <c r="O2071" s="62" t="n">
        <v>2</v>
      </c>
      <c r="P2071" s="62" t="n">
        <v>2</v>
      </c>
      <c r="Q2071" s="62" t="n">
        <v>0</v>
      </c>
      <c r="R2071" s="62" t="n">
        <v>0</v>
      </c>
      <c r="S2071" s="62" t="n">
        <v>0</v>
      </c>
      <c r="T2071" s="62" t="n">
        <v>0</v>
      </c>
      <c r="U2071" s="62"/>
      <c r="V2071" s="62"/>
      <c r="W2071" s="62"/>
      <c r="X2071" s="62"/>
      <c r="Y2071" s="62"/>
      <c r="Z2071" s="62" t="s">
        <v>3768</v>
      </c>
      <c r="AA2071" s="62" t="s">
        <v>3769</v>
      </c>
      <c r="AB2071" s="62" t="n">
        <v>1</v>
      </c>
      <c r="AC2071" s="62" t="n">
        <v>0</v>
      </c>
      <c r="AD2071" s="62" t="n">
        <v>1</v>
      </c>
      <c r="AE2071" s="62" t="n">
        <f aca="false">IF(AND(Dashboard!$C$9="Yes",AC2071=1),0,1)</f>
        <v>1</v>
      </c>
      <c r="AF2071" s="62" t="n">
        <v>1</v>
      </c>
    </row>
    <row r="2072" customFormat="false" ht="15" hidden="false" customHeight="false" outlineLevel="0" collapsed="false">
      <c r="A2072" s="62" t="n">
        <v>2071</v>
      </c>
      <c r="B2072" s="63" t="n">
        <v>46280.1427893519</v>
      </c>
      <c r="C2072" s="64" t="n">
        <v>46279</v>
      </c>
      <c r="D2072" s="62" t="s">
        <v>429</v>
      </c>
      <c r="E2072" s="62" t="s">
        <v>2183</v>
      </c>
      <c r="F2072" s="62" t="s">
        <v>2183</v>
      </c>
      <c r="G2072" s="62" t="s">
        <v>2184</v>
      </c>
      <c r="H2072" s="62" t="s">
        <v>59</v>
      </c>
      <c r="I2072" s="62" t="s">
        <v>47</v>
      </c>
      <c r="J2072" s="62" t="s">
        <v>146</v>
      </c>
      <c r="K2072" s="62" t="s">
        <v>209</v>
      </c>
      <c r="L2072" s="62" t="s">
        <v>148</v>
      </c>
      <c r="M2072" s="62" t="n">
        <v>0</v>
      </c>
      <c r="N2072" s="62" t="n">
        <v>2</v>
      </c>
      <c r="O2072" s="62" t="n">
        <v>2</v>
      </c>
      <c r="P2072" s="62" t="n">
        <v>1</v>
      </c>
      <c r="Q2072" s="62" t="n">
        <v>1</v>
      </c>
      <c r="R2072" s="62" t="n">
        <v>0</v>
      </c>
      <c r="S2072" s="62" t="n">
        <v>0</v>
      </c>
      <c r="T2072" s="62" t="n">
        <v>0</v>
      </c>
      <c r="U2072" s="62"/>
      <c r="V2072" s="62"/>
      <c r="W2072" s="62"/>
      <c r="X2072" s="62"/>
      <c r="Y2072" s="62"/>
      <c r="Z2072" s="62" t="s">
        <v>3770</v>
      </c>
      <c r="AA2072" s="62" t="s">
        <v>3771</v>
      </c>
      <c r="AB2072" s="62" t="n">
        <v>1</v>
      </c>
      <c r="AC2072" s="62" t="n">
        <v>0</v>
      </c>
      <c r="AD2072" s="62" t="n">
        <v>1</v>
      </c>
      <c r="AE2072" s="62" t="n">
        <f aca="false">IF(AND(Dashboard!$C$9="Yes",AC2072=1),0,1)</f>
        <v>1</v>
      </c>
      <c r="AF2072" s="62" t="n">
        <v>1</v>
      </c>
    </row>
    <row r="2073" customFormat="false" ht="15" hidden="false" customHeight="false" outlineLevel="0" collapsed="false">
      <c r="A2073" s="62" t="n">
        <v>2072</v>
      </c>
      <c r="B2073" s="63" t="n">
        <v>46280.1620138889</v>
      </c>
      <c r="C2073" s="64" t="n">
        <v>46279</v>
      </c>
      <c r="D2073" s="62" t="s">
        <v>429</v>
      </c>
      <c r="E2073" s="62" t="s">
        <v>518</v>
      </c>
      <c r="F2073" s="62" t="s">
        <v>518</v>
      </c>
      <c r="G2073" s="62" t="s">
        <v>519</v>
      </c>
      <c r="H2073" s="62" t="s">
        <v>52</v>
      </c>
      <c r="I2073" s="62" t="s">
        <v>47</v>
      </c>
      <c r="J2073" s="62" t="s">
        <v>146</v>
      </c>
      <c r="K2073" s="62" t="s">
        <v>147</v>
      </c>
      <c r="L2073" s="62" t="s">
        <v>4</v>
      </c>
      <c r="M2073" s="62" t="n">
        <v>1</v>
      </c>
      <c r="N2073" s="62" t="n">
        <v>0</v>
      </c>
      <c r="O2073" s="62" t="n">
        <v>1</v>
      </c>
      <c r="P2073" s="62" t="n">
        <v>0</v>
      </c>
      <c r="Q2073" s="62" t="n">
        <v>0</v>
      </c>
      <c r="R2073" s="62" t="n">
        <v>0</v>
      </c>
      <c r="S2073" s="62" t="n">
        <v>0</v>
      </c>
      <c r="T2073" s="62" t="n">
        <v>0</v>
      </c>
      <c r="U2073" s="62" t="s">
        <v>2056</v>
      </c>
      <c r="V2073" s="62" t="s">
        <v>2057</v>
      </c>
      <c r="W2073" s="62" t="s">
        <v>15</v>
      </c>
      <c r="X2073" s="62" t="s">
        <v>2180</v>
      </c>
      <c r="Y2073" s="62" t="s">
        <v>2059</v>
      </c>
      <c r="Z2073" s="62" t="s">
        <v>3772</v>
      </c>
      <c r="AA2073" s="62" t="s">
        <v>3773</v>
      </c>
      <c r="AB2073" s="62" t="n">
        <v>1</v>
      </c>
      <c r="AC2073" s="62" t="n">
        <v>0</v>
      </c>
      <c r="AD2073" s="62" t="n">
        <v>1</v>
      </c>
      <c r="AE2073" s="62" t="n">
        <f aca="false">IF(AND(Dashboard!$C$9="Yes",AC2073=1),0,1)</f>
        <v>1</v>
      </c>
      <c r="AF2073" s="62" t="n">
        <v>0</v>
      </c>
    </row>
    <row r="2074" customFormat="false" ht="15" hidden="false" customHeight="false" outlineLevel="0" collapsed="false">
      <c r="A2074" s="62" t="n">
        <v>2073</v>
      </c>
      <c r="B2074" s="63" t="n">
        <v>46280.1658796296</v>
      </c>
      <c r="C2074" s="64" t="n">
        <v>46279</v>
      </c>
      <c r="D2074" s="62" t="s">
        <v>429</v>
      </c>
      <c r="E2074" s="62" t="s">
        <v>2845</v>
      </c>
      <c r="F2074" s="62" t="s">
        <v>2845</v>
      </c>
      <c r="G2074" s="62" t="s">
        <v>181</v>
      </c>
      <c r="H2074" s="62" t="s">
        <v>48</v>
      </c>
      <c r="I2074" s="62" t="s">
        <v>49</v>
      </c>
      <c r="J2074" s="62" t="s">
        <v>146</v>
      </c>
      <c r="K2074" s="62" t="s">
        <v>209</v>
      </c>
      <c r="L2074" s="62" t="s">
        <v>148</v>
      </c>
      <c r="M2074" s="62" t="n">
        <v>0</v>
      </c>
      <c r="N2074" s="62" t="n">
        <v>1</v>
      </c>
      <c r="O2074" s="62" t="n">
        <v>1</v>
      </c>
      <c r="P2074" s="62" t="n">
        <v>1</v>
      </c>
      <c r="Q2074" s="62" t="n">
        <v>0</v>
      </c>
      <c r="R2074" s="62" t="n">
        <v>0</v>
      </c>
      <c r="S2074" s="62" t="n">
        <v>0</v>
      </c>
      <c r="T2074" s="62" t="n">
        <v>0</v>
      </c>
      <c r="U2074" s="62"/>
      <c r="V2074" s="62"/>
      <c r="W2074" s="62"/>
      <c r="X2074" s="62"/>
      <c r="Y2074" s="62"/>
      <c r="Z2074" s="62" t="s">
        <v>3774</v>
      </c>
      <c r="AA2074" s="62" t="s">
        <v>3775</v>
      </c>
      <c r="AB2074" s="62" t="n">
        <v>1</v>
      </c>
      <c r="AC2074" s="62" t="n">
        <v>0</v>
      </c>
      <c r="AD2074" s="62" t="n">
        <v>1</v>
      </c>
      <c r="AE2074" s="62" t="n">
        <f aca="false">IF(AND(Dashboard!$C$9="Yes",AC2074=1),0,1)</f>
        <v>1</v>
      </c>
      <c r="AF2074" s="62" t="n">
        <v>1</v>
      </c>
    </row>
    <row r="2075" customFormat="false" ht="15" hidden="false" customHeight="false" outlineLevel="0" collapsed="false">
      <c r="A2075" s="62" t="n">
        <v>2074</v>
      </c>
      <c r="B2075" s="63" t="n">
        <v>46280.2321527778</v>
      </c>
      <c r="C2075" s="64" t="n">
        <v>46279</v>
      </c>
      <c r="D2075" s="62" t="s">
        <v>429</v>
      </c>
      <c r="E2075" s="62" t="s">
        <v>2722</v>
      </c>
      <c r="F2075" s="62" t="s">
        <v>2722</v>
      </c>
      <c r="G2075" s="62" t="s">
        <v>2723</v>
      </c>
      <c r="H2075" s="62" t="s">
        <v>55</v>
      </c>
      <c r="I2075" s="62" t="s">
        <v>49</v>
      </c>
      <c r="J2075" s="62" t="s">
        <v>146</v>
      </c>
      <c r="K2075" s="62" t="s">
        <v>209</v>
      </c>
      <c r="L2075" s="62" t="s">
        <v>4</v>
      </c>
      <c r="M2075" s="62" t="n">
        <v>1</v>
      </c>
      <c r="N2075" s="62" t="n">
        <v>0</v>
      </c>
      <c r="O2075" s="62" t="n">
        <v>1</v>
      </c>
      <c r="P2075" s="62" t="n">
        <v>0</v>
      </c>
      <c r="Q2075" s="62" t="n">
        <v>0</v>
      </c>
      <c r="R2075" s="62" t="n">
        <v>0</v>
      </c>
      <c r="S2075" s="62" t="n">
        <v>0</v>
      </c>
      <c r="T2075" s="62" t="n">
        <v>0</v>
      </c>
      <c r="U2075" s="62" t="s">
        <v>2056</v>
      </c>
      <c r="V2075" s="62" t="s">
        <v>2057</v>
      </c>
      <c r="W2075" s="62" t="s">
        <v>2056</v>
      </c>
      <c r="X2075" s="62" t="s">
        <v>2058</v>
      </c>
      <c r="Y2075" s="62" t="s">
        <v>2059</v>
      </c>
      <c r="Z2075" s="62" t="s">
        <v>3776</v>
      </c>
      <c r="AA2075" s="62" t="s">
        <v>3777</v>
      </c>
      <c r="AB2075" s="62" t="n">
        <v>1</v>
      </c>
      <c r="AC2075" s="62" t="n">
        <v>0</v>
      </c>
      <c r="AD2075" s="62" t="n">
        <v>1</v>
      </c>
      <c r="AE2075" s="62" t="n">
        <f aca="false">IF(AND(Dashboard!$C$9="Yes",AC2075=1),0,1)</f>
        <v>1</v>
      </c>
      <c r="AF2075" s="62" t="n">
        <v>0</v>
      </c>
    </row>
    <row r="2076" customFormat="false" ht="15" hidden="false" customHeight="false" outlineLevel="0" collapsed="false">
      <c r="A2076" s="62" t="n">
        <v>2075</v>
      </c>
      <c r="B2076" s="63" t="n">
        <v>46280.2330092593</v>
      </c>
      <c r="C2076" s="64" t="n">
        <v>46279</v>
      </c>
      <c r="D2076" s="62" t="s">
        <v>429</v>
      </c>
      <c r="E2076" s="62" t="s">
        <v>2722</v>
      </c>
      <c r="F2076" s="62" t="s">
        <v>2722</v>
      </c>
      <c r="G2076" s="62" t="s">
        <v>2723</v>
      </c>
      <c r="H2076" s="62" t="s">
        <v>55</v>
      </c>
      <c r="I2076" s="62" t="s">
        <v>49</v>
      </c>
      <c r="J2076" s="62" t="s">
        <v>146</v>
      </c>
      <c r="K2076" s="62" t="s">
        <v>209</v>
      </c>
      <c r="L2076" s="62" t="s">
        <v>148</v>
      </c>
      <c r="M2076" s="62" t="n">
        <v>0</v>
      </c>
      <c r="N2076" s="62" t="n">
        <v>2</v>
      </c>
      <c r="O2076" s="62" t="n">
        <v>2</v>
      </c>
      <c r="P2076" s="62" t="n">
        <v>1</v>
      </c>
      <c r="Q2076" s="62" t="n">
        <v>1</v>
      </c>
      <c r="R2076" s="62" t="n">
        <v>0</v>
      </c>
      <c r="S2076" s="62" t="n">
        <v>0</v>
      </c>
      <c r="T2076" s="62" t="n">
        <v>0</v>
      </c>
      <c r="U2076" s="62"/>
      <c r="V2076" s="62"/>
      <c r="W2076" s="62"/>
      <c r="X2076" s="62"/>
      <c r="Y2076" s="62"/>
      <c r="Z2076" s="62" t="s">
        <v>3753</v>
      </c>
      <c r="AA2076" s="62" t="s">
        <v>3755</v>
      </c>
      <c r="AB2076" s="62" t="n">
        <v>1</v>
      </c>
      <c r="AC2076" s="62" t="n">
        <v>1</v>
      </c>
      <c r="AD2076" s="62" t="n">
        <v>1</v>
      </c>
      <c r="AE2076" s="62" t="n">
        <f aca="false">IF(AND(Dashboard!$C$9="Yes",AC2076=1),0,1)</f>
        <v>0</v>
      </c>
      <c r="AF2076" s="62" t="n">
        <v>0</v>
      </c>
    </row>
    <row r="2077" customFormat="false" ht="15" hidden="false" customHeight="false" outlineLevel="0" collapsed="false">
      <c r="A2077" s="62" t="n">
        <v>2076</v>
      </c>
      <c r="B2077" s="63" t="n">
        <v>46280.2332407407</v>
      </c>
      <c r="C2077" s="64" t="n">
        <v>46279</v>
      </c>
      <c r="D2077" s="62" t="s">
        <v>429</v>
      </c>
      <c r="E2077" s="62" t="s">
        <v>2722</v>
      </c>
      <c r="F2077" s="62" t="s">
        <v>2722</v>
      </c>
      <c r="G2077" s="62" t="s">
        <v>2723</v>
      </c>
      <c r="H2077" s="62" t="s">
        <v>55</v>
      </c>
      <c r="I2077" s="62" t="s">
        <v>49</v>
      </c>
      <c r="J2077" s="62" t="s">
        <v>146</v>
      </c>
      <c r="K2077" s="62" t="s">
        <v>209</v>
      </c>
      <c r="L2077" s="62" t="s">
        <v>148</v>
      </c>
      <c r="M2077" s="62" t="n">
        <v>0</v>
      </c>
      <c r="N2077" s="62" t="n">
        <v>1</v>
      </c>
      <c r="O2077" s="62" t="n">
        <v>1</v>
      </c>
      <c r="P2077" s="62" t="n">
        <v>1</v>
      </c>
      <c r="Q2077" s="62" t="n">
        <v>0</v>
      </c>
      <c r="R2077" s="62" t="n">
        <v>0</v>
      </c>
      <c r="S2077" s="62" t="n">
        <v>0</v>
      </c>
      <c r="T2077" s="62" t="n">
        <v>0</v>
      </c>
      <c r="U2077" s="62"/>
      <c r="V2077" s="62"/>
      <c r="W2077" s="62"/>
      <c r="X2077" s="62"/>
      <c r="Y2077" s="62"/>
      <c r="Z2077" s="62" t="s">
        <v>3753</v>
      </c>
      <c r="AA2077" s="62" t="s">
        <v>3754</v>
      </c>
      <c r="AB2077" s="62" t="n">
        <v>1</v>
      </c>
      <c r="AC2077" s="62" t="n">
        <v>1</v>
      </c>
      <c r="AD2077" s="62" t="n">
        <v>1</v>
      </c>
      <c r="AE2077" s="62" t="n">
        <f aca="false">IF(AND(Dashboard!$C$9="Yes",AC2077=1),0,1)</f>
        <v>0</v>
      </c>
      <c r="AF2077" s="62" t="n">
        <v>0</v>
      </c>
    </row>
    <row r="2078" customFormat="false" ht="15" hidden="false" customHeight="false" outlineLevel="0" collapsed="false">
      <c r="A2078" s="62" t="n">
        <v>2077</v>
      </c>
      <c r="B2078" s="63" t="n">
        <v>46280.2371296296</v>
      </c>
      <c r="C2078" s="64" t="n">
        <v>46279</v>
      </c>
      <c r="D2078" s="62" t="s">
        <v>429</v>
      </c>
      <c r="E2078" s="62" t="s">
        <v>1827</v>
      </c>
      <c r="F2078" s="62" t="s">
        <v>1827</v>
      </c>
      <c r="G2078" s="62" t="s">
        <v>1828</v>
      </c>
      <c r="H2078" s="62" t="s">
        <v>59</v>
      </c>
      <c r="I2078" s="62" t="s">
        <v>47</v>
      </c>
      <c r="J2078" s="62" t="s">
        <v>146</v>
      </c>
      <c r="K2078" s="62" t="s">
        <v>209</v>
      </c>
      <c r="L2078" s="62" t="s">
        <v>148</v>
      </c>
      <c r="M2078" s="62" t="n">
        <v>0</v>
      </c>
      <c r="N2078" s="62" t="n">
        <v>1</v>
      </c>
      <c r="O2078" s="62" t="n">
        <v>1</v>
      </c>
      <c r="P2078" s="62" t="n">
        <v>1</v>
      </c>
      <c r="Q2078" s="62" t="n">
        <v>0</v>
      </c>
      <c r="R2078" s="62" t="n">
        <v>0</v>
      </c>
      <c r="S2078" s="62" t="n">
        <v>0</v>
      </c>
      <c r="T2078" s="62" t="n">
        <v>0</v>
      </c>
      <c r="U2078" s="62"/>
      <c r="V2078" s="62"/>
      <c r="W2078" s="62"/>
      <c r="X2078" s="62"/>
      <c r="Y2078" s="62"/>
      <c r="Z2078" s="62" t="s">
        <v>3778</v>
      </c>
      <c r="AA2078" s="62" t="s">
        <v>3779</v>
      </c>
      <c r="AB2078" s="62" t="n">
        <v>1</v>
      </c>
      <c r="AC2078" s="62" t="n">
        <v>0</v>
      </c>
      <c r="AD2078" s="62" t="n">
        <v>1</v>
      </c>
      <c r="AE2078" s="62" t="n">
        <f aca="false">IF(AND(Dashboard!$C$9="Yes",AC2078=1),0,1)</f>
        <v>1</v>
      </c>
      <c r="AF2078" s="62" t="n">
        <v>0</v>
      </c>
    </row>
    <row r="2079" customFormat="false" ht="15" hidden="false" customHeight="false" outlineLevel="0" collapsed="false">
      <c r="A2079" s="62" t="n">
        <v>2078</v>
      </c>
      <c r="B2079" s="63" t="n">
        <v>46280.2923032407</v>
      </c>
      <c r="C2079" s="64" t="n">
        <v>46279</v>
      </c>
      <c r="D2079" s="62" t="s">
        <v>429</v>
      </c>
      <c r="E2079" s="62" t="s">
        <v>2385</v>
      </c>
      <c r="F2079" s="62" t="s">
        <v>2385</v>
      </c>
      <c r="G2079" s="62" t="s">
        <v>2386</v>
      </c>
      <c r="H2079" s="62" t="s">
        <v>59</v>
      </c>
      <c r="I2079" s="62" t="s">
        <v>47</v>
      </c>
      <c r="J2079" s="62" t="s">
        <v>146</v>
      </c>
      <c r="K2079" s="62" t="s">
        <v>209</v>
      </c>
      <c r="L2079" s="62" t="s">
        <v>148</v>
      </c>
      <c r="M2079" s="62" t="n">
        <v>0</v>
      </c>
      <c r="N2079" s="62" t="n">
        <v>1</v>
      </c>
      <c r="O2079" s="62" t="n">
        <v>1</v>
      </c>
      <c r="P2079" s="62" t="n">
        <v>1</v>
      </c>
      <c r="Q2079" s="62" t="n">
        <v>0</v>
      </c>
      <c r="R2079" s="62" t="n">
        <v>0</v>
      </c>
      <c r="S2079" s="62" t="n">
        <v>0</v>
      </c>
      <c r="T2079" s="62" t="n">
        <v>0</v>
      </c>
      <c r="U2079" s="62"/>
      <c r="V2079" s="62"/>
      <c r="W2079" s="62"/>
      <c r="X2079" s="62"/>
      <c r="Y2079" s="62"/>
      <c r="Z2079" s="62" t="s">
        <v>3780</v>
      </c>
      <c r="AA2079" s="62" t="s">
        <v>64</v>
      </c>
      <c r="AB2079" s="62" t="n">
        <v>0</v>
      </c>
      <c r="AC2079" s="62" t="n">
        <v>0</v>
      </c>
      <c r="AD2079" s="62" t="n">
        <v>1</v>
      </c>
      <c r="AE2079" s="62" t="n">
        <f aca="false">IF(AND(Dashboard!$C$9="Yes",AC2079=1),0,1)</f>
        <v>1</v>
      </c>
      <c r="AF2079" s="62" t="n">
        <v>0</v>
      </c>
    </row>
    <row r="2080" customFormat="false" ht="15" hidden="false" customHeight="false" outlineLevel="0" collapsed="false">
      <c r="A2080" s="62" t="n">
        <v>2079</v>
      </c>
      <c r="B2080" s="63" t="n">
        <v>46280.3056018519</v>
      </c>
      <c r="C2080" s="64" t="n">
        <v>46279</v>
      </c>
      <c r="D2080" s="62" t="s">
        <v>429</v>
      </c>
      <c r="E2080" s="62" t="s">
        <v>414</v>
      </c>
      <c r="F2080" s="62" t="s">
        <v>414</v>
      </c>
      <c r="G2080" s="62" t="s">
        <v>415</v>
      </c>
      <c r="H2080" s="62" t="s">
        <v>57</v>
      </c>
      <c r="I2080" s="62" t="s">
        <v>47</v>
      </c>
      <c r="J2080" s="62" t="s">
        <v>146</v>
      </c>
      <c r="K2080" s="62" t="s">
        <v>147</v>
      </c>
      <c r="L2080" s="62" t="s">
        <v>148</v>
      </c>
      <c r="M2080" s="62" t="n">
        <v>0</v>
      </c>
      <c r="N2080" s="62" t="n">
        <v>1</v>
      </c>
      <c r="O2080" s="62" t="n">
        <v>1</v>
      </c>
      <c r="P2080" s="62" t="n">
        <v>1</v>
      </c>
      <c r="Q2080" s="62" t="n">
        <v>0</v>
      </c>
      <c r="R2080" s="62" t="n">
        <v>0</v>
      </c>
      <c r="S2080" s="62" t="n">
        <v>0</v>
      </c>
      <c r="T2080" s="62" t="n">
        <v>0</v>
      </c>
      <c r="U2080" s="62"/>
      <c r="V2080" s="62"/>
      <c r="W2080" s="62"/>
      <c r="X2080" s="62"/>
      <c r="Y2080" s="62"/>
      <c r="Z2080" s="62" t="s">
        <v>3781</v>
      </c>
      <c r="AA2080" s="62" t="s">
        <v>3782</v>
      </c>
      <c r="AB2080" s="62" t="n">
        <v>1</v>
      </c>
      <c r="AC2080" s="62" t="n">
        <v>0</v>
      </c>
      <c r="AD2080" s="62" t="n">
        <v>1</v>
      </c>
      <c r="AE2080" s="62" t="n">
        <f aca="false">IF(AND(Dashboard!$C$9="Yes",AC2080=1),0,1)</f>
        <v>1</v>
      </c>
      <c r="AF2080" s="62" t="n">
        <v>1</v>
      </c>
    </row>
    <row r="2081" customFormat="false" ht="15" hidden="false" customHeight="false" outlineLevel="0" collapsed="false">
      <c r="A2081" s="62" t="n">
        <v>2080</v>
      </c>
      <c r="B2081" s="63" t="n">
        <v>46280.6453935185</v>
      </c>
      <c r="C2081" s="64" t="n">
        <v>46280</v>
      </c>
      <c r="D2081" s="62" t="s">
        <v>501</v>
      </c>
      <c r="E2081" s="62" t="s">
        <v>2228</v>
      </c>
      <c r="F2081" s="62" t="s">
        <v>2228</v>
      </c>
      <c r="G2081" s="62" t="s">
        <v>2229</v>
      </c>
      <c r="H2081" s="62" t="s">
        <v>58</v>
      </c>
      <c r="I2081" s="62" t="s">
        <v>49</v>
      </c>
      <c r="J2081" s="62" t="s">
        <v>146</v>
      </c>
      <c r="K2081" s="62" t="s">
        <v>209</v>
      </c>
      <c r="L2081" s="62" t="s">
        <v>148</v>
      </c>
      <c r="M2081" s="62" t="n">
        <v>0</v>
      </c>
      <c r="N2081" s="62" t="n">
        <v>1</v>
      </c>
      <c r="O2081" s="62" t="n">
        <v>1</v>
      </c>
      <c r="P2081" s="62" t="n">
        <v>0</v>
      </c>
      <c r="Q2081" s="62" t="n">
        <v>1</v>
      </c>
      <c r="R2081" s="62" t="n">
        <v>0</v>
      </c>
      <c r="S2081" s="62" t="n">
        <v>0</v>
      </c>
      <c r="T2081" s="62" t="n">
        <v>0</v>
      </c>
      <c r="U2081" s="62"/>
      <c r="V2081" s="62"/>
      <c r="W2081" s="62"/>
      <c r="X2081" s="62"/>
      <c r="Y2081" s="62"/>
      <c r="Z2081" s="62" t="s">
        <v>3783</v>
      </c>
      <c r="AA2081" s="62" t="s">
        <v>3784</v>
      </c>
      <c r="AB2081" s="62" t="n">
        <v>1</v>
      </c>
      <c r="AC2081" s="62" t="n">
        <v>0</v>
      </c>
      <c r="AD2081" s="62" t="n">
        <v>1</v>
      </c>
      <c r="AE2081" s="62" t="n">
        <f aca="false">IF(AND(Dashboard!$C$9="Yes",AC2081=1),0,1)</f>
        <v>1</v>
      </c>
      <c r="AF2081" s="62" t="n">
        <v>1</v>
      </c>
    </row>
    <row r="2082" customFormat="false" ht="15" hidden="false" customHeight="false" outlineLevel="0" collapsed="false">
      <c r="A2082" s="62" t="n">
        <v>2081</v>
      </c>
      <c r="B2082" s="63" t="n">
        <v>46280.6627662037</v>
      </c>
      <c r="C2082" s="64" t="n">
        <v>46280</v>
      </c>
      <c r="D2082" s="62" t="s">
        <v>501</v>
      </c>
      <c r="E2082" s="62" t="s">
        <v>2464</v>
      </c>
      <c r="F2082" s="62" t="s">
        <v>2464</v>
      </c>
      <c r="G2082" s="62" t="s">
        <v>2465</v>
      </c>
      <c r="H2082" s="62" t="s">
        <v>59</v>
      </c>
      <c r="I2082" s="62" t="s">
        <v>47</v>
      </c>
      <c r="J2082" s="62" t="s">
        <v>146</v>
      </c>
      <c r="K2082" s="62" t="s">
        <v>175</v>
      </c>
      <c r="L2082" s="62" t="s">
        <v>148</v>
      </c>
      <c r="M2082" s="62" t="n">
        <v>0</v>
      </c>
      <c r="N2082" s="62" t="n">
        <v>2</v>
      </c>
      <c r="O2082" s="62" t="n">
        <v>2</v>
      </c>
      <c r="P2082" s="62" t="n">
        <v>0</v>
      </c>
      <c r="Q2082" s="62" t="n">
        <v>0</v>
      </c>
      <c r="R2082" s="62" t="n">
        <v>2</v>
      </c>
      <c r="S2082" s="62" t="n">
        <v>0</v>
      </c>
      <c r="T2082" s="62" t="n">
        <v>0</v>
      </c>
      <c r="U2082" s="62"/>
      <c r="V2082" s="62"/>
      <c r="W2082" s="62"/>
      <c r="X2082" s="62"/>
      <c r="Y2082" s="62"/>
      <c r="Z2082" s="62" t="s">
        <v>3785</v>
      </c>
      <c r="AA2082" s="62" t="s">
        <v>3786</v>
      </c>
      <c r="AB2082" s="62" t="n">
        <v>1</v>
      </c>
      <c r="AC2082" s="62" t="n">
        <v>0</v>
      </c>
      <c r="AD2082" s="62" t="n">
        <v>1</v>
      </c>
      <c r="AE2082" s="62" t="n">
        <f aca="false">IF(AND(Dashboard!$C$9="Yes",AC2082=1),0,1)</f>
        <v>1</v>
      </c>
      <c r="AF2082" s="62" t="n">
        <v>1</v>
      </c>
    </row>
    <row r="2083" customFormat="false" ht="15" hidden="false" customHeight="false" outlineLevel="0" collapsed="false">
      <c r="A2083" s="62" t="n">
        <v>2082</v>
      </c>
      <c r="B2083" s="63" t="n">
        <v>46280.6990393519</v>
      </c>
      <c r="C2083" s="64" t="n">
        <v>46280</v>
      </c>
      <c r="D2083" s="62" t="s">
        <v>501</v>
      </c>
      <c r="E2083" s="62" t="s">
        <v>586</v>
      </c>
      <c r="F2083" s="62" t="s">
        <v>586</v>
      </c>
      <c r="G2083" s="62" t="s">
        <v>587</v>
      </c>
      <c r="H2083" s="62" t="s">
        <v>57</v>
      </c>
      <c r="I2083" s="62" t="s">
        <v>47</v>
      </c>
      <c r="J2083" s="62" t="s">
        <v>146</v>
      </c>
      <c r="K2083" s="62" t="s">
        <v>175</v>
      </c>
      <c r="L2083" s="62" t="s">
        <v>148</v>
      </c>
      <c r="M2083" s="62" t="n">
        <v>0</v>
      </c>
      <c r="N2083" s="62" t="n">
        <v>1</v>
      </c>
      <c r="O2083" s="62" t="n">
        <v>1</v>
      </c>
      <c r="P2083" s="62" t="n">
        <v>0</v>
      </c>
      <c r="Q2083" s="62" t="n">
        <v>0</v>
      </c>
      <c r="R2083" s="62" t="n">
        <v>1</v>
      </c>
      <c r="S2083" s="62" t="n">
        <v>0</v>
      </c>
      <c r="T2083" s="62" t="n">
        <v>0</v>
      </c>
      <c r="U2083" s="62"/>
      <c r="V2083" s="62"/>
      <c r="W2083" s="62"/>
      <c r="X2083" s="62"/>
      <c r="Y2083" s="62"/>
      <c r="Z2083" s="62" t="s">
        <v>3787</v>
      </c>
      <c r="AA2083" s="62" t="s">
        <v>3788</v>
      </c>
      <c r="AB2083" s="62" t="n">
        <v>1</v>
      </c>
      <c r="AC2083" s="62" t="n">
        <v>0</v>
      </c>
      <c r="AD2083" s="62" t="n">
        <v>1</v>
      </c>
      <c r="AE2083" s="62" t="n">
        <f aca="false">IF(AND(Dashboard!$C$9="Yes",AC2083=1),0,1)</f>
        <v>1</v>
      </c>
      <c r="AF2083" s="62" t="n">
        <v>1</v>
      </c>
    </row>
    <row r="2084" customFormat="false" ht="15" hidden="false" customHeight="false" outlineLevel="0" collapsed="false">
      <c r="A2084" s="62" t="n">
        <v>2083</v>
      </c>
      <c r="B2084" s="63" t="n">
        <v>46280.7135416667</v>
      </c>
      <c r="C2084" s="64" t="n">
        <v>46280</v>
      </c>
      <c r="D2084" s="62" t="s">
        <v>501</v>
      </c>
      <c r="E2084" s="62" t="s">
        <v>3789</v>
      </c>
      <c r="F2084" s="62" t="s">
        <v>3789</v>
      </c>
      <c r="G2084" s="62" t="s">
        <v>3790</v>
      </c>
      <c r="H2084" s="62" t="s">
        <v>55</v>
      </c>
      <c r="I2084" s="62" t="s">
        <v>49</v>
      </c>
      <c r="J2084" s="62" t="s">
        <v>3708</v>
      </c>
      <c r="K2084" s="62" t="s">
        <v>209</v>
      </c>
      <c r="L2084" s="62" t="s">
        <v>148</v>
      </c>
      <c r="M2084" s="62" t="n">
        <v>0</v>
      </c>
      <c r="N2084" s="62" t="n">
        <v>1</v>
      </c>
      <c r="O2084" s="62" t="n">
        <v>1</v>
      </c>
      <c r="P2084" s="62" t="n">
        <v>0</v>
      </c>
      <c r="Q2084" s="62" t="n">
        <v>1</v>
      </c>
      <c r="R2084" s="62" t="n">
        <v>0</v>
      </c>
      <c r="S2084" s="62" t="n">
        <v>0</v>
      </c>
      <c r="T2084" s="62" t="n">
        <v>0</v>
      </c>
      <c r="U2084" s="62"/>
      <c r="V2084" s="62"/>
      <c r="W2084" s="62"/>
      <c r="X2084" s="62"/>
      <c r="Y2084" s="62"/>
      <c r="Z2084" s="62" t="s">
        <v>3791</v>
      </c>
      <c r="AA2084" s="62" t="s">
        <v>2483</v>
      </c>
      <c r="AB2084" s="62" t="n">
        <v>1</v>
      </c>
      <c r="AC2084" s="62" t="n">
        <v>0</v>
      </c>
      <c r="AD2084" s="62" t="n">
        <v>1</v>
      </c>
      <c r="AE2084" s="62" t="n">
        <f aca="false">IF(AND(Dashboard!$C$9="Yes",AC2084=1),0,1)</f>
        <v>1</v>
      </c>
      <c r="AF2084" s="62" t="n">
        <v>1</v>
      </c>
    </row>
    <row r="2085" customFormat="false" ht="15" hidden="false" customHeight="false" outlineLevel="0" collapsed="false">
      <c r="A2085" s="62" t="n">
        <v>2084</v>
      </c>
      <c r="B2085" s="63" t="n">
        <v>46280.7405439815</v>
      </c>
      <c r="C2085" s="64" t="n">
        <v>46280</v>
      </c>
      <c r="D2085" s="62" t="s">
        <v>501</v>
      </c>
      <c r="E2085" s="62" t="s">
        <v>3792</v>
      </c>
      <c r="F2085" s="62" t="s">
        <v>3792</v>
      </c>
      <c r="G2085" s="62" t="s">
        <v>3793</v>
      </c>
      <c r="H2085" s="62" t="s">
        <v>55</v>
      </c>
      <c r="I2085" s="62" t="s">
        <v>49</v>
      </c>
      <c r="J2085" s="62" t="s">
        <v>3708</v>
      </c>
      <c r="K2085" s="62" t="s">
        <v>209</v>
      </c>
      <c r="L2085" s="62" t="s">
        <v>148</v>
      </c>
      <c r="M2085" s="62" t="n">
        <v>0</v>
      </c>
      <c r="N2085" s="62" t="n">
        <v>1</v>
      </c>
      <c r="O2085" s="62" t="n">
        <v>1</v>
      </c>
      <c r="P2085" s="62" t="n">
        <v>0</v>
      </c>
      <c r="Q2085" s="62" t="n">
        <v>0</v>
      </c>
      <c r="R2085" s="62" t="n">
        <v>1</v>
      </c>
      <c r="S2085" s="62" t="n">
        <v>0</v>
      </c>
      <c r="T2085" s="62" t="n">
        <v>0</v>
      </c>
      <c r="U2085" s="62"/>
      <c r="V2085" s="62"/>
      <c r="W2085" s="62"/>
      <c r="X2085" s="62"/>
      <c r="Y2085" s="62"/>
      <c r="Z2085" s="62" t="s">
        <v>3794</v>
      </c>
      <c r="AA2085" s="62" t="s">
        <v>2582</v>
      </c>
      <c r="AB2085" s="62" t="n">
        <v>1</v>
      </c>
      <c r="AC2085" s="62" t="n">
        <v>0</v>
      </c>
      <c r="AD2085" s="62" t="n">
        <v>1</v>
      </c>
      <c r="AE2085" s="62" t="n">
        <f aca="false">IF(AND(Dashboard!$C$9="Yes",AC2085=1),0,1)</f>
        <v>1</v>
      </c>
      <c r="AF2085" s="62" t="n">
        <v>1</v>
      </c>
    </row>
    <row r="2086" customFormat="false" ht="15" hidden="false" customHeight="false" outlineLevel="0" collapsed="false">
      <c r="A2086" s="62" t="n">
        <v>2085</v>
      </c>
      <c r="B2086" s="63" t="n">
        <v>46280.7463078704</v>
      </c>
      <c r="C2086" s="64" t="n">
        <v>46280</v>
      </c>
      <c r="D2086" s="62" t="s">
        <v>501</v>
      </c>
      <c r="E2086" s="62" t="s">
        <v>3710</v>
      </c>
      <c r="F2086" s="62" t="s">
        <v>3710</v>
      </c>
      <c r="G2086" s="62" t="s">
        <v>3711</v>
      </c>
      <c r="H2086" s="62" t="s">
        <v>58</v>
      </c>
      <c r="I2086" s="62" t="s">
        <v>49</v>
      </c>
      <c r="J2086" s="62" t="s">
        <v>146</v>
      </c>
      <c r="K2086" s="62" t="s">
        <v>209</v>
      </c>
      <c r="L2086" s="62" t="s">
        <v>4</v>
      </c>
      <c r="M2086" s="62" t="n">
        <v>1</v>
      </c>
      <c r="N2086" s="62" t="n">
        <v>0</v>
      </c>
      <c r="O2086" s="62" t="n">
        <v>1</v>
      </c>
      <c r="P2086" s="62" t="n">
        <v>0</v>
      </c>
      <c r="Q2086" s="62" t="n">
        <v>0</v>
      </c>
      <c r="R2086" s="62" t="n">
        <v>0</v>
      </c>
      <c r="S2086" s="62" t="n">
        <v>0</v>
      </c>
      <c r="T2086" s="62" t="n">
        <v>0</v>
      </c>
      <c r="U2086" s="62" t="s">
        <v>2056</v>
      </c>
      <c r="V2086" s="62" t="s">
        <v>2057</v>
      </c>
      <c r="W2086" s="62" t="s">
        <v>15</v>
      </c>
      <c r="X2086" s="62" t="s">
        <v>2058</v>
      </c>
      <c r="Y2086" s="62" t="s">
        <v>2059</v>
      </c>
      <c r="Z2086" s="62" t="s">
        <v>3795</v>
      </c>
      <c r="AA2086" s="62" t="s">
        <v>3796</v>
      </c>
      <c r="AB2086" s="62" t="n">
        <v>1</v>
      </c>
      <c r="AC2086" s="62" t="n">
        <v>0</v>
      </c>
      <c r="AD2086" s="62" t="n">
        <v>1</v>
      </c>
      <c r="AE2086" s="62" t="n">
        <f aca="false">IF(AND(Dashboard!$C$9="Yes",AC2086=1),0,1)</f>
        <v>1</v>
      </c>
      <c r="AF2086" s="62" t="n">
        <v>1</v>
      </c>
    </row>
    <row r="2087" customFormat="false" ht="15" hidden="false" customHeight="false" outlineLevel="0" collapsed="false">
      <c r="A2087" s="62" t="n">
        <v>2086</v>
      </c>
      <c r="B2087" s="63" t="n">
        <v>46280.8189583333</v>
      </c>
      <c r="C2087" s="64" t="n">
        <v>46280</v>
      </c>
      <c r="D2087" s="62" t="s">
        <v>501</v>
      </c>
      <c r="E2087" s="62" t="s">
        <v>586</v>
      </c>
      <c r="F2087" s="62" t="s">
        <v>586</v>
      </c>
      <c r="G2087" s="62" t="s">
        <v>587</v>
      </c>
      <c r="H2087" s="62" t="s">
        <v>57</v>
      </c>
      <c r="I2087" s="62" t="s">
        <v>47</v>
      </c>
      <c r="J2087" s="62" t="s">
        <v>146</v>
      </c>
      <c r="K2087" s="62" t="s">
        <v>175</v>
      </c>
      <c r="L2087" s="62" t="s">
        <v>148</v>
      </c>
      <c r="M2087" s="62" t="n">
        <v>0</v>
      </c>
      <c r="N2087" s="62" t="n">
        <v>1</v>
      </c>
      <c r="O2087" s="62" t="n">
        <v>1</v>
      </c>
      <c r="P2087" s="62" t="n">
        <v>0</v>
      </c>
      <c r="Q2087" s="62" t="n">
        <v>1</v>
      </c>
      <c r="R2087" s="62" t="n">
        <v>0</v>
      </c>
      <c r="S2087" s="62" t="n">
        <v>0</v>
      </c>
      <c r="T2087" s="62" t="n">
        <v>0</v>
      </c>
      <c r="U2087" s="62"/>
      <c r="V2087" s="62"/>
      <c r="W2087" s="62"/>
      <c r="X2087" s="62"/>
      <c r="Y2087" s="62"/>
      <c r="Z2087" s="62" t="s">
        <v>3797</v>
      </c>
      <c r="AA2087" s="62" t="s">
        <v>3798</v>
      </c>
      <c r="AB2087" s="62" t="n">
        <v>1</v>
      </c>
      <c r="AC2087" s="62" t="n">
        <v>0</v>
      </c>
      <c r="AD2087" s="62" t="n">
        <v>1</v>
      </c>
      <c r="AE2087" s="62" t="n">
        <f aca="false">IF(AND(Dashboard!$C$9="Yes",AC2087=1),0,1)</f>
        <v>1</v>
      </c>
      <c r="AF2087" s="62" t="n">
        <v>0</v>
      </c>
    </row>
    <row r="2088" customFormat="false" ht="15" hidden="false" customHeight="false" outlineLevel="0" collapsed="false">
      <c r="A2088" s="62" t="n">
        <v>2087</v>
      </c>
      <c r="B2088" s="63" t="n">
        <v>46280.826400463</v>
      </c>
      <c r="C2088" s="64" t="n">
        <v>46280</v>
      </c>
      <c r="D2088" s="62" t="s">
        <v>501</v>
      </c>
      <c r="E2088" s="62" t="s">
        <v>2156</v>
      </c>
      <c r="F2088" s="62" t="s">
        <v>2156</v>
      </c>
      <c r="G2088" s="62" t="s">
        <v>2157</v>
      </c>
      <c r="H2088" s="62" t="s">
        <v>52</v>
      </c>
      <c r="I2088" s="62" t="s">
        <v>47</v>
      </c>
      <c r="J2088" s="62" t="s">
        <v>146</v>
      </c>
      <c r="K2088" s="62" t="s">
        <v>209</v>
      </c>
      <c r="L2088" s="62" t="s">
        <v>148</v>
      </c>
      <c r="M2088" s="62" t="n">
        <v>0</v>
      </c>
      <c r="N2088" s="62" t="n">
        <v>1</v>
      </c>
      <c r="O2088" s="62" t="n">
        <v>1</v>
      </c>
      <c r="P2088" s="62" t="n">
        <v>0</v>
      </c>
      <c r="Q2088" s="62" t="n">
        <v>1</v>
      </c>
      <c r="R2088" s="62" t="n">
        <v>0</v>
      </c>
      <c r="S2088" s="62" t="n">
        <v>0</v>
      </c>
      <c r="T2088" s="62" t="n">
        <v>0</v>
      </c>
      <c r="U2088" s="62"/>
      <c r="V2088" s="62"/>
      <c r="W2088" s="62"/>
      <c r="X2088" s="62"/>
      <c r="Y2088" s="62"/>
      <c r="Z2088" s="62" t="s">
        <v>3799</v>
      </c>
      <c r="AA2088" s="62" t="s">
        <v>3800</v>
      </c>
      <c r="AB2088" s="62" t="n">
        <v>1</v>
      </c>
      <c r="AC2088" s="62" t="n">
        <v>0</v>
      </c>
      <c r="AD2088" s="62" t="n">
        <v>1</v>
      </c>
      <c r="AE2088" s="62" t="n">
        <f aca="false">IF(AND(Dashboard!$C$9="Yes",AC2088=1),0,1)</f>
        <v>1</v>
      </c>
      <c r="AF2088" s="62" t="n">
        <v>1</v>
      </c>
    </row>
    <row r="2089" customFormat="false" ht="15" hidden="false" customHeight="false" outlineLevel="0" collapsed="false">
      <c r="A2089" s="62" t="n">
        <v>2088</v>
      </c>
      <c r="B2089" s="63" t="n">
        <v>46280.8266435185</v>
      </c>
      <c r="C2089" s="64" t="n">
        <v>46280</v>
      </c>
      <c r="D2089" s="62" t="s">
        <v>501</v>
      </c>
      <c r="E2089" s="62" t="s">
        <v>1382</v>
      </c>
      <c r="F2089" s="62" t="s">
        <v>1382</v>
      </c>
      <c r="G2089" s="62" t="s">
        <v>1383</v>
      </c>
      <c r="H2089" s="62" t="s">
        <v>58</v>
      </c>
      <c r="I2089" s="62" t="s">
        <v>49</v>
      </c>
      <c r="J2089" s="62" t="s">
        <v>146</v>
      </c>
      <c r="K2089" s="62" t="s">
        <v>175</v>
      </c>
      <c r="L2089" s="62" t="s">
        <v>4</v>
      </c>
      <c r="M2089" s="62" t="n">
        <v>1</v>
      </c>
      <c r="N2089" s="62" t="n">
        <v>0</v>
      </c>
      <c r="O2089" s="62" t="n">
        <v>1</v>
      </c>
      <c r="P2089" s="62" t="n">
        <v>0</v>
      </c>
      <c r="Q2089" s="62" t="n">
        <v>0</v>
      </c>
      <c r="R2089" s="62" t="n">
        <v>0</v>
      </c>
      <c r="S2089" s="62" t="n">
        <v>0</v>
      </c>
      <c r="T2089" s="62" t="n">
        <v>0</v>
      </c>
      <c r="U2089" s="62" t="s">
        <v>2056</v>
      </c>
      <c r="V2089" s="62" t="s">
        <v>2057</v>
      </c>
      <c r="W2089" s="62" t="s">
        <v>15</v>
      </c>
      <c r="X2089" s="62" t="s">
        <v>2058</v>
      </c>
      <c r="Y2089" s="62" t="s">
        <v>2103</v>
      </c>
      <c r="Z2089" s="62" t="s">
        <v>3801</v>
      </c>
      <c r="AA2089" s="62" t="s">
        <v>3802</v>
      </c>
      <c r="AB2089" s="62" t="n">
        <v>1</v>
      </c>
      <c r="AC2089" s="62" t="n">
        <v>0</v>
      </c>
      <c r="AD2089" s="62" t="n">
        <v>1</v>
      </c>
      <c r="AE2089" s="62" t="n">
        <f aca="false">IF(AND(Dashboard!$C$9="Yes",AC2089=1),0,1)</f>
        <v>1</v>
      </c>
      <c r="AF2089" s="62" t="n">
        <v>1</v>
      </c>
    </row>
    <row r="2090" customFormat="false" ht="15" hidden="false" customHeight="false" outlineLevel="0" collapsed="false">
      <c r="A2090" s="62" t="n">
        <v>2089</v>
      </c>
      <c r="B2090" s="63" t="n">
        <v>46280.8283333333</v>
      </c>
      <c r="C2090" s="64" t="n">
        <v>46280</v>
      </c>
      <c r="D2090" s="62" t="s">
        <v>501</v>
      </c>
      <c r="E2090" s="62" t="s">
        <v>939</v>
      </c>
      <c r="F2090" s="62" t="s">
        <v>939</v>
      </c>
      <c r="G2090" s="62" t="s">
        <v>940</v>
      </c>
      <c r="H2090" s="62" t="s">
        <v>57</v>
      </c>
      <c r="I2090" s="62" t="s">
        <v>47</v>
      </c>
      <c r="J2090" s="62" t="s">
        <v>146</v>
      </c>
      <c r="K2090" s="62" t="s">
        <v>147</v>
      </c>
      <c r="L2090" s="62" t="s">
        <v>148</v>
      </c>
      <c r="M2090" s="62" t="n">
        <v>0</v>
      </c>
      <c r="N2090" s="62" t="n">
        <v>1</v>
      </c>
      <c r="O2090" s="62" t="n">
        <v>1</v>
      </c>
      <c r="P2090" s="62" t="n">
        <v>1</v>
      </c>
      <c r="Q2090" s="62" t="n">
        <v>0</v>
      </c>
      <c r="R2090" s="62" t="n">
        <v>0</v>
      </c>
      <c r="S2090" s="62" t="n">
        <v>0</v>
      </c>
      <c r="T2090" s="62" t="n">
        <v>0</v>
      </c>
      <c r="U2090" s="62"/>
      <c r="V2090" s="62"/>
      <c r="W2090" s="62"/>
      <c r="X2090" s="62"/>
      <c r="Y2090" s="62"/>
      <c r="Z2090" s="62" t="s">
        <v>3803</v>
      </c>
      <c r="AA2090" s="62" t="s">
        <v>3804</v>
      </c>
      <c r="AB2090" s="62" t="n">
        <v>1</v>
      </c>
      <c r="AC2090" s="62" t="n">
        <v>0</v>
      </c>
      <c r="AD2090" s="62" t="n">
        <v>1</v>
      </c>
      <c r="AE2090" s="62" t="n">
        <f aca="false">IF(AND(Dashboard!$C$9="Yes",AC2090=1),0,1)</f>
        <v>1</v>
      </c>
      <c r="AF2090" s="62" t="n">
        <v>1</v>
      </c>
    </row>
    <row r="2091" customFormat="false" ht="15" hidden="false" customHeight="false" outlineLevel="0" collapsed="false">
      <c r="A2091" s="62" t="n">
        <v>2090</v>
      </c>
      <c r="B2091" s="63" t="n">
        <v>46280.8472222222</v>
      </c>
      <c r="C2091" s="64" t="n">
        <v>46280</v>
      </c>
      <c r="D2091" s="62" t="s">
        <v>501</v>
      </c>
      <c r="E2091" s="62" t="s">
        <v>2620</v>
      </c>
      <c r="F2091" s="62" t="s">
        <v>2620</v>
      </c>
      <c r="G2091" s="62" t="s">
        <v>2621</v>
      </c>
      <c r="H2091" s="62" t="s">
        <v>48</v>
      </c>
      <c r="I2091" s="62" t="s">
        <v>49</v>
      </c>
      <c r="J2091" s="62" t="s">
        <v>146</v>
      </c>
      <c r="K2091" s="62" t="s">
        <v>209</v>
      </c>
      <c r="L2091" s="62" t="s">
        <v>148</v>
      </c>
      <c r="M2091" s="62" t="n">
        <v>0</v>
      </c>
      <c r="N2091" s="62" t="n">
        <v>1</v>
      </c>
      <c r="O2091" s="62" t="n">
        <v>1</v>
      </c>
      <c r="P2091" s="62" t="n">
        <v>1</v>
      </c>
      <c r="Q2091" s="62" t="n">
        <v>0</v>
      </c>
      <c r="R2091" s="62" t="n">
        <v>0</v>
      </c>
      <c r="S2091" s="62" t="n">
        <v>0</v>
      </c>
      <c r="T2091" s="62" t="n">
        <v>0</v>
      </c>
      <c r="U2091" s="62"/>
      <c r="V2091" s="62"/>
      <c r="W2091" s="62"/>
      <c r="X2091" s="62"/>
      <c r="Y2091" s="62"/>
      <c r="Z2091" s="62" t="s">
        <v>3805</v>
      </c>
      <c r="AA2091" s="62" t="s">
        <v>3806</v>
      </c>
      <c r="AB2091" s="62" t="n">
        <v>1</v>
      </c>
      <c r="AC2091" s="62" t="n">
        <v>0</v>
      </c>
      <c r="AD2091" s="62" t="n">
        <v>1</v>
      </c>
      <c r="AE2091" s="62" t="n">
        <f aca="false">IF(AND(Dashboard!$C$9="Yes",AC2091=1),0,1)</f>
        <v>1</v>
      </c>
      <c r="AF2091" s="62" t="n">
        <v>1</v>
      </c>
    </row>
    <row r="2092" customFormat="false" ht="15" hidden="false" customHeight="false" outlineLevel="0" collapsed="false">
      <c r="A2092" s="62" t="n">
        <v>2091</v>
      </c>
      <c r="B2092" s="63" t="n">
        <v>46280.8489236111</v>
      </c>
      <c r="C2092" s="64" t="n">
        <v>46280</v>
      </c>
      <c r="D2092" s="62" t="s">
        <v>501</v>
      </c>
      <c r="E2092" s="62" t="s">
        <v>892</v>
      </c>
      <c r="F2092" s="62" t="s">
        <v>892</v>
      </c>
      <c r="G2092" s="62" t="s">
        <v>893</v>
      </c>
      <c r="H2092" s="62" t="s">
        <v>46</v>
      </c>
      <c r="I2092" s="62" t="s">
        <v>47</v>
      </c>
      <c r="J2092" s="62" t="s">
        <v>146</v>
      </c>
      <c r="K2092" s="62" t="s">
        <v>209</v>
      </c>
      <c r="L2092" s="62" t="s">
        <v>148</v>
      </c>
      <c r="M2092" s="62" t="n">
        <v>0</v>
      </c>
      <c r="N2092" s="62" t="n">
        <v>1</v>
      </c>
      <c r="O2092" s="62" t="n">
        <v>1</v>
      </c>
      <c r="P2092" s="62" t="n">
        <v>1</v>
      </c>
      <c r="Q2092" s="62" t="n">
        <v>0</v>
      </c>
      <c r="R2092" s="62" t="n">
        <v>0</v>
      </c>
      <c r="S2092" s="62" t="n">
        <v>0</v>
      </c>
      <c r="T2092" s="62" t="n">
        <v>0</v>
      </c>
      <c r="U2092" s="62"/>
      <c r="V2092" s="62"/>
      <c r="W2092" s="62"/>
      <c r="X2092" s="62"/>
      <c r="Y2092" s="62"/>
      <c r="Z2092" s="62" t="s">
        <v>3807</v>
      </c>
      <c r="AA2092" s="62" t="s">
        <v>337</v>
      </c>
      <c r="AB2092" s="62" t="n">
        <v>0</v>
      </c>
      <c r="AC2092" s="62" t="n">
        <v>0</v>
      </c>
      <c r="AD2092" s="62" t="n">
        <v>1</v>
      </c>
      <c r="AE2092" s="62" t="n">
        <f aca="false">IF(AND(Dashboard!$C$9="Yes",AC2092=1),0,1)</f>
        <v>1</v>
      </c>
      <c r="AF2092" s="62" t="n">
        <v>1</v>
      </c>
    </row>
    <row r="2093" customFormat="false" ht="15" hidden="false" customHeight="false" outlineLevel="0" collapsed="false">
      <c r="A2093" s="62" t="n">
        <v>2092</v>
      </c>
      <c r="B2093" s="63" t="n">
        <v>46280.8583912037</v>
      </c>
      <c r="C2093" s="64" t="n">
        <v>46280</v>
      </c>
      <c r="D2093" s="62" t="s">
        <v>501</v>
      </c>
      <c r="E2093" s="62" t="s">
        <v>207</v>
      </c>
      <c r="F2093" s="62" t="s">
        <v>207</v>
      </c>
      <c r="G2093" s="62" t="s">
        <v>208</v>
      </c>
      <c r="H2093" s="62" t="s">
        <v>48</v>
      </c>
      <c r="I2093" s="62" t="s">
        <v>49</v>
      </c>
      <c r="J2093" s="62" t="s">
        <v>146</v>
      </c>
      <c r="K2093" s="62" t="s">
        <v>209</v>
      </c>
      <c r="L2093" s="62" t="s">
        <v>4</v>
      </c>
      <c r="M2093" s="62" t="n">
        <v>1</v>
      </c>
      <c r="N2093" s="62" t="n">
        <v>0</v>
      </c>
      <c r="O2093" s="62" t="n">
        <v>1</v>
      </c>
      <c r="P2093" s="62" t="n">
        <v>0</v>
      </c>
      <c r="Q2093" s="62" t="n">
        <v>0</v>
      </c>
      <c r="R2093" s="62" t="n">
        <v>0</v>
      </c>
      <c r="S2093" s="62" t="n">
        <v>0</v>
      </c>
      <c r="T2093" s="62" t="n">
        <v>0</v>
      </c>
      <c r="U2093" s="62" t="s">
        <v>2056</v>
      </c>
      <c r="V2093" s="62" t="s">
        <v>2057</v>
      </c>
      <c r="W2093" s="62" t="s">
        <v>15</v>
      </c>
      <c r="X2093" s="62" t="s">
        <v>2125</v>
      </c>
      <c r="Y2093" s="62" t="s">
        <v>2181</v>
      </c>
      <c r="Z2093" s="62" t="s">
        <v>3808</v>
      </c>
      <c r="AA2093" s="62" t="s">
        <v>3809</v>
      </c>
      <c r="AB2093" s="62" t="n">
        <v>1</v>
      </c>
      <c r="AC2093" s="62" t="n">
        <v>0</v>
      </c>
      <c r="AD2093" s="62" t="n">
        <v>1</v>
      </c>
      <c r="AE2093" s="62" t="n">
        <f aca="false">IF(AND(Dashboard!$C$9="Yes",AC2093=1),0,1)</f>
        <v>1</v>
      </c>
      <c r="AF2093" s="62" t="n">
        <v>1</v>
      </c>
    </row>
    <row r="2094" customFormat="false" ht="15" hidden="false" customHeight="false" outlineLevel="0" collapsed="false">
      <c r="A2094" s="62" t="n">
        <v>2093</v>
      </c>
      <c r="B2094" s="63" t="n">
        <v>46280.8807407407</v>
      </c>
      <c r="C2094" s="64" t="n">
        <v>46280</v>
      </c>
      <c r="D2094" s="62" t="s">
        <v>501</v>
      </c>
      <c r="E2094" s="62" t="s">
        <v>650</v>
      </c>
      <c r="F2094" s="62" t="s">
        <v>650</v>
      </c>
      <c r="G2094" s="62" t="s">
        <v>651</v>
      </c>
      <c r="H2094" s="62" t="s">
        <v>59</v>
      </c>
      <c r="I2094" s="62" t="s">
        <v>47</v>
      </c>
      <c r="J2094" s="62" t="s">
        <v>146</v>
      </c>
      <c r="K2094" s="62" t="s">
        <v>209</v>
      </c>
      <c r="L2094" s="62" t="s">
        <v>148</v>
      </c>
      <c r="M2094" s="62" t="n">
        <v>0</v>
      </c>
      <c r="N2094" s="62" t="n">
        <v>1</v>
      </c>
      <c r="O2094" s="62" t="n">
        <v>1</v>
      </c>
      <c r="P2094" s="62" t="n">
        <v>1</v>
      </c>
      <c r="Q2094" s="62" t="n">
        <v>0</v>
      </c>
      <c r="R2094" s="62" t="n">
        <v>0</v>
      </c>
      <c r="S2094" s="62" t="n">
        <v>0</v>
      </c>
      <c r="T2094" s="62" t="n">
        <v>0</v>
      </c>
      <c r="U2094" s="62"/>
      <c r="V2094" s="62"/>
      <c r="W2094" s="62"/>
      <c r="X2094" s="62"/>
      <c r="Y2094" s="62"/>
      <c r="Z2094" s="62" t="s">
        <v>3810</v>
      </c>
      <c r="AA2094" s="62" t="s">
        <v>3811</v>
      </c>
      <c r="AB2094" s="62" t="n">
        <v>1</v>
      </c>
      <c r="AC2094" s="62" t="n">
        <v>0</v>
      </c>
      <c r="AD2094" s="62" t="n">
        <v>1</v>
      </c>
      <c r="AE2094" s="62" t="n">
        <f aca="false">IF(AND(Dashboard!$C$9="Yes",AC2094=1),0,1)</f>
        <v>1</v>
      </c>
      <c r="AF2094" s="62" t="n">
        <v>1</v>
      </c>
    </row>
    <row r="2095" customFormat="false" ht="15" hidden="false" customHeight="false" outlineLevel="0" collapsed="false">
      <c r="A2095" s="62" t="n">
        <v>2094</v>
      </c>
      <c r="B2095" s="63" t="n">
        <v>46280.8832986111</v>
      </c>
      <c r="C2095" s="64" t="n">
        <v>46280</v>
      </c>
      <c r="D2095" s="62" t="s">
        <v>501</v>
      </c>
      <c r="E2095" s="62" t="s">
        <v>1344</v>
      </c>
      <c r="F2095" s="62" t="s">
        <v>1344</v>
      </c>
      <c r="G2095" s="62" t="s">
        <v>1345</v>
      </c>
      <c r="H2095" s="62" t="s">
        <v>48</v>
      </c>
      <c r="I2095" s="62" t="s">
        <v>49</v>
      </c>
      <c r="J2095" s="62" t="s">
        <v>146</v>
      </c>
      <c r="K2095" s="62" t="s">
        <v>209</v>
      </c>
      <c r="L2095" s="62" t="s">
        <v>4</v>
      </c>
      <c r="M2095" s="62" t="n">
        <v>1</v>
      </c>
      <c r="N2095" s="62" t="n">
        <v>0</v>
      </c>
      <c r="O2095" s="62" t="n">
        <v>1</v>
      </c>
      <c r="P2095" s="62" t="n">
        <v>0</v>
      </c>
      <c r="Q2095" s="62" t="n">
        <v>0</v>
      </c>
      <c r="R2095" s="62" t="n">
        <v>0</v>
      </c>
      <c r="S2095" s="62" t="n">
        <v>0</v>
      </c>
      <c r="T2095" s="62" t="n">
        <v>0</v>
      </c>
      <c r="U2095" s="62" t="s">
        <v>2056</v>
      </c>
      <c r="V2095" s="62" t="s">
        <v>2057</v>
      </c>
      <c r="W2095" s="62" t="s">
        <v>2056</v>
      </c>
      <c r="X2095" s="62" t="s">
        <v>2253</v>
      </c>
      <c r="Y2095" s="62" t="s">
        <v>2165</v>
      </c>
      <c r="Z2095" s="62" t="s">
        <v>3812</v>
      </c>
      <c r="AA2095" s="62" t="s">
        <v>3813</v>
      </c>
      <c r="AB2095" s="62" t="n">
        <v>1</v>
      </c>
      <c r="AC2095" s="62" t="n">
        <v>0</v>
      </c>
      <c r="AD2095" s="62" t="n">
        <v>1</v>
      </c>
      <c r="AE2095" s="62" t="n">
        <f aca="false">IF(AND(Dashboard!$C$9="Yes",AC2095=1),0,1)</f>
        <v>1</v>
      </c>
      <c r="AF2095" s="62" t="n">
        <v>1</v>
      </c>
    </row>
    <row r="2096" customFormat="false" ht="15" hidden="false" customHeight="false" outlineLevel="0" collapsed="false">
      <c r="A2096" s="62" t="n">
        <v>2095</v>
      </c>
      <c r="B2096" s="63" t="n">
        <v>46280.8942013889</v>
      </c>
      <c r="C2096" s="64" t="n">
        <v>46280</v>
      </c>
      <c r="D2096" s="62" t="s">
        <v>501</v>
      </c>
      <c r="E2096" s="62" t="s">
        <v>1344</v>
      </c>
      <c r="F2096" s="62" t="s">
        <v>1344</v>
      </c>
      <c r="G2096" s="62" t="s">
        <v>1345</v>
      </c>
      <c r="H2096" s="62" t="s">
        <v>48</v>
      </c>
      <c r="I2096" s="62" t="s">
        <v>49</v>
      </c>
      <c r="J2096" s="62" t="s">
        <v>146</v>
      </c>
      <c r="K2096" s="62" t="s">
        <v>209</v>
      </c>
      <c r="L2096" s="62" t="s">
        <v>148</v>
      </c>
      <c r="M2096" s="62" t="n">
        <v>0</v>
      </c>
      <c r="N2096" s="62" t="n">
        <v>1</v>
      </c>
      <c r="O2096" s="62" t="n">
        <v>1</v>
      </c>
      <c r="P2096" s="62" t="n">
        <v>1</v>
      </c>
      <c r="Q2096" s="62" t="n">
        <v>0</v>
      </c>
      <c r="R2096" s="62" t="n">
        <v>0</v>
      </c>
      <c r="S2096" s="62" t="n">
        <v>0</v>
      </c>
      <c r="T2096" s="62" t="n">
        <v>0</v>
      </c>
      <c r="U2096" s="62"/>
      <c r="V2096" s="62"/>
      <c r="W2096" s="62"/>
      <c r="X2096" s="62"/>
      <c r="Y2096" s="62"/>
      <c r="Z2096" s="62" t="s">
        <v>3812</v>
      </c>
      <c r="AA2096" s="62" t="s">
        <v>3814</v>
      </c>
      <c r="AB2096" s="62" t="n">
        <v>1</v>
      </c>
      <c r="AC2096" s="62" t="n">
        <v>0</v>
      </c>
      <c r="AD2096" s="62" t="n">
        <v>1</v>
      </c>
      <c r="AE2096" s="62" t="n">
        <f aca="false">IF(AND(Dashboard!$C$9="Yes",AC2096=1),0,1)</f>
        <v>1</v>
      </c>
      <c r="AF2096" s="62" t="n">
        <v>0</v>
      </c>
    </row>
    <row r="2097" customFormat="false" ht="15" hidden="false" customHeight="false" outlineLevel="0" collapsed="false">
      <c r="A2097" s="62" t="n">
        <v>2096</v>
      </c>
      <c r="B2097" s="63" t="n">
        <v>46280.9088310185</v>
      </c>
      <c r="C2097" s="64" t="n">
        <v>46280</v>
      </c>
      <c r="D2097" s="62" t="s">
        <v>501</v>
      </c>
      <c r="E2097" s="62" t="s">
        <v>207</v>
      </c>
      <c r="F2097" s="62" t="s">
        <v>207</v>
      </c>
      <c r="G2097" s="62" t="s">
        <v>208</v>
      </c>
      <c r="H2097" s="62" t="s">
        <v>48</v>
      </c>
      <c r="I2097" s="62" t="s">
        <v>49</v>
      </c>
      <c r="J2097" s="62" t="s">
        <v>146</v>
      </c>
      <c r="K2097" s="62" t="s">
        <v>209</v>
      </c>
      <c r="L2097" s="62" t="s">
        <v>148</v>
      </c>
      <c r="M2097" s="62" t="n">
        <v>0</v>
      </c>
      <c r="N2097" s="62" t="n">
        <v>1</v>
      </c>
      <c r="O2097" s="62" t="n">
        <v>1</v>
      </c>
      <c r="P2097" s="62" t="n">
        <v>1</v>
      </c>
      <c r="Q2097" s="62" t="n">
        <v>0</v>
      </c>
      <c r="R2097" s="62" t="n">
        <v>0</v>
      </c>
      <c r="S2097" s="62" t="n">
        <v>0</v>
      </c>
      <c r="T2097" s="62" t="n">
        <v>0</v>
      </c>
      <c r="U2097" s="62"/>
      <c r="V2097" s="62"/>
      <c r="W2097" s="62"/>
      <c r="X2097" s="62"/>
      <c r="Y2097" s="62"/>
      <c r="Z2097" s="62" t="s">
        <v>3815</v>
      </c>
      <c r="AA2097" s="62" t="s">
        <v>3816</v>
      </c>
      <c r="AB2097" s="62" t="n">
        <v>1</v>
      </c>
      <c r="AC2097" s="62" t="n">
        <v>0</v>
      </c>
      <c r="AD2097" s="62" t="n">
        <v>1</v>
      </c>
      <c r="AE2097" s="62" t="n">
        <f aca="false">IF(AND(Dashboard!$C$9="Yes",AC2097=1),0,1)</f>
        <v>1</v>
      </c>
      <c r="AF2097" s="62" t="n">
        <v>0</v>
      </c>
    </row>
    <row r="2098" customFormat="false" ht="15" hidden="false" customHeight="false" outlineLevel="0" collapsed="false">
      <c r="A2098" s="62" t="n">
        <v>2097</v>
      </c>
      <c r="B2098" s="63" t="n">
        <v>46280.9096759259</v>
      </c>
      <c r="C2098" s="64" t="n">
        <v>46280</v>
      </c>
      <c r="D2098" s="62" t="s">
        <v>501</v>
      </c>
      <c r="E2098" s="62" t="s">
        <v>156</v>
      </c>
      <c r="F2098" s="62" t="s">
        <v>156</v>
      </c>
      <c r="G2098" s="62" t="s">
        <v>157</v>
      </c>
      <c r="H2098" s="62" t="s">
        <v>51</v>
      </c>
      <c r="I2098" s="62" t="s">
        <v>47</v>
      </c>
      <c r="J2098" s="62" t="s">
        <v>146</v>
      </c>
      <c r="K2098" s="62" t="s">
        <v>147</v>
      </c>
      <c r="L2098" s="62" t="s">
        <v>148</v>
      </c>
      <c r="M2098" s="62" t="n">
        <v>0</v>
      </c>
      <c r="N2098" s="62" t="n">
        <v>1</v>
      </c>
      <c r="O2098" s="62" t="n">
        <v>1</v>
      </c>
      <c r="P2098" s="62" t="n">
        <v>1</v>
      </c>
      <c r="Q2098" s="62" t="n">
        <v>0</v>
      </c>
      <c r="R2098" s="62" t="n">
        <v>0</v>
      </c>
      <c r="S2098" s="62" t="n">
        <v>0</v>
      </c>
      <c r="T2098" s="62" t="n">
        <v>0</v>
      </c>
      <c r="U2098" s="62"/>
      <c r="V2098" s="62"/>
      <c r="W2098" s="62"/>
      <c r="X2098" s="62"/>
      <c r="Y2098" s="62"/>
      <c r="Z2098" s="62" t="s">
        <v>3817</v>
      </c>
      <c r="AA2098" s="62" t="s">
        <v>3818</v>
      </c>
      <c r="AB2098" s="62" t="n">
        <v>1</v>
      </c>
      <c r="AC2098" s="62" t="n">
        <v>0</v>
      </c>
      <c r="AD2098" s="62" t="n">
        <v>1</v>
      </c>
      <c r="AE2098" s="62" t="n">
        <f aca="false">IF(AND(Dashboard!$C$9="Yes",AC2098=1),0,1)</f>
        <v>1</v>
      </c>
      <c r="AF2098" s="62" t="n">
        <v>1</v>
      </c>
    </row>
    <row r="2099" customFormat="false" ht="15" hidden="false" customHeight="false" outlineLevel="0" collapsed="false">
      <c r="A2099" s="62" t="n">
        <v>2098</v>
      </c>
      <c r="B2099" s="63" t="n">
        <v>46280.9181944444</v>
      </c>
      <c r="C2099" s="64" t="n">
        <v>46280</v>
      </c>
      <c r="D2099" s="62" t="s">
        <v>501</v>
      </c>
      <c r="E2099" s="62" t="s">
        <v>2845</v>
      </c>
      <c r="F2099" s="62" t="s">
        <v>2845</v>
      </c>
      <c r="G2099" s="62" t="s">
        <v>181</v>
      </c>
      <c r="H2099" s="62" t="s">
        <v>48</v>
      </c>
      <c r="I2099" s="62" t="s">
        <v>49</v>
      </c>
      <c r="J2099" s="62" t="s">
        <v>146</v>
      </c>
      <c r="K2099" s="62" t="s">
        <v>209</v>
      </c>
      <c r="L2099" s="62" t="s">
        <v>148</v>
      </c>
      <c r="M2099" s="62" t="n">
        <v>0</v>
      </c>
      <c r="N2099" s="62" t="n">
        <v>1</v>
      </c>
      <c r="O2099" s="62" t="n">
        <v>1</v>
      </c>
      <c r="P2099" s="62" t="n">
        <v>0</v>
      </c>
      <c r="Q2099" s="62" t="n">
        <v>0</v>
      </c>
      <c r="R2099" s="62" t="n">
        <v>1</v>
      </c>
      <c r="S2099" s="62" t="n">
        <v>0</v>
      </c>
      <c r="T2099" s="62" t="n">
        <v>0</v>
      </c>
      <c r="U2099" s="62"/>
      <c r="V2099" s="62"/>
      <c r="W2099" s="62"/>
      <c r="X2099" s="62"/>
      <c r="Y2099" s="62"/>
      <c r="Z2099" s="62" t="s">
        <v>3819</v>
      </c>
      <c r="AA2099" s="62" t="s">
        <v>3820</v>
      </c>
      <c r="AB2099" s="62" t="n">
        <v>1</v>
      </c>
      <c r="AC2099" s="62" t="n">
        <v>0</v>
      </c>
      <c r="AD2099" s="62" t="n">
        <v>1</v>
      </c>
      <c r="AE2099" s="62" t="n">
        <f aca="false">IF(AND(Dashboard!$C$9="Yes",AC2099=1),0,1)</f>
        <v>1</v>
      </c>
      <c r="AF2099" s="62" t="n">
        <v>1</v>
      </c>
    </row>
    <row r="2100" customFormat="false" ht="15" hidden="false" customHeight="false" outlineLevel="0" collapsed="false">
      <c r="A2100" s="62" t="n">
        <v>2099</v>
      </c>
      <c r="B2100" s="63" t="n">
        <v>46280.9212615741</v>
      </c>
      <c r="C2100" s="64" t="n">
        <v>46280</v>
      </c>
      <c r="D2100" s="62" t="s">
        <v>501</v>
      </c>
      <c r="E2100" s="62" t="s">
        <v>207</v>
      </c>
      <c r="F2100" s="62" t="s">
        <v>207</v>
      </c>
      <c r="G2100" s="62" t="s">
        <v>208</v>
      </c>
      <c r="H2100" s="62" t="s">
        <v>48</v>
      </c>
      <c r="I2100" s="62" t="s">
        <v>49</v>
      </c>
      <c r="J2100" s="62" t="s">
        <v>146</v>
      </c>
      <c r="K2100" s="62" t="s">
        <v>209</v>
      </c>
      <c r="L2100" s="62" t="s">
        <v>4</v>
      </c>
      <c r="M2100" s="62" t="n">
        <v>1</v>
      </c>
      <c r="N2100" s="62" t="n">
        <v>0</v>
      </c>
      <c r="O2100" s="62" t="n">
        <v>1</v>
      </c>
      <c r="P2100" s="62" t="n">
        <v>0</v>
      </c>
      <c r="Q2100" s="62" t="n">
        <v>0</v>
      </c>
      <c r="R2100" s="62" t="n">
        <v>0</v>
      </c>
      <c r="S2100" s="62" t="n">
        <v>0</v>
      </c>
      <c r="T2100" s="62" t="n">
        <v>0</v>
      </c>
      <c r="U2100" s="62" t="s">
        <v>2056</v>
      </c>
      <c r="V2100" s="62" t="s">
        <v>2057</v>
      </c>
      <c r="W2100" s="62" t="s">
        <v>15</v>
      </c>
      <c r="X2100" s="62" t="s">
        <v>2058</v>
      </c>
      <c r="Y2100" s="62" t="s">
        <v>2059</v>
      </c>
      <c r="Z2100" s="62" t="s">
        <v>3815</v>
      </c>
      <c r="AA2100" s="62" t="s">
        <v>3821</v>
      </c>
      <c r="AB2100" s="62" t="n">
        <v>1</v>
      </c>
      <c r="AC2100" s="62" t="n">
        <v>0</v>
      </c>
      <c r="AD2100" s="62" t="n">
        <v>1</v>
      </c>
      <c r="AE2100" s="62" t="n">
        <f aca="false">IF(AND(Dashboard!$C$9="Yes",AC2100=1),0,1)</f>
        <v>1</v>
      </c>
      <c r="AF2100" s="62" t="n">
        <v>0</v>
      </c>
    </row>
    <row r="2101" customFormat="false" ht="15" hidden="false" customHeight="false" outlineLevel="0" collapsed="false">
      <c r="A2101" s="62" t="n">
        <v>2100</v>
      </c>
      <c r="B2101" s="63" t="n">
        <v>46280.9332175926</v>
      </c>
      <c r="C2101" s="64" t="n">
        <v>46280</v>
      </c>
      <c r="D2101" s="62" t="s">
        <v>501</v>
      </c>
      <c r="E2101" s="62" t="s">
        <v>3822</v>
      </c>
      <c r="F2101" s="62" t="s">
        <v>3823</v>
      </c>
      <c r="G2101" s="62" t="s">
        <v>153</v>
      </c>
      <c r="H2101" s="62" t="s">
        <v>153</v>
      </c>
      <c r="I2101" s="62" t="s">
        <v>153</v>
      </c>
      <c r="J2101" s="62" t="s">
        <v>64</v>
      </c>
      <c r="K2101" s="62" t="s">
        <v>64</v>
      </c>
      <c r="L2101" s="62" t="s">
        <v>148</v>
      </c>
      <c r="M2101" s="62" t="n">
        <v>0</v>
      </c>
      <c r="N2101" s="62" t="n">
        <v>1</v>
      </c>
      <c r="O2101" s="62" t="n">
        <v>1</v>
      </c>
      <c r="P2101" s="62" t="n">
        <v>0</v>
      </c>
      <c r="Q2101" s="62" t="n">
        <v>1</v>
      </c>
      <c r="R2101" s="62" t="n">
        <v>0</v>
      </c>
      <c r="S2101" s="62" t="n">
        <v>0</v>
      </c>
      <c r="T2101" s="62" t="n">
        <v>0</v>
      </c>
      <c r="U2101" s="62"/>
      <c r="V2101" s="62"/>
      <c r="W2101" s="62"/>
      <c r="X2101" s="62"/>
      <c r="Y2101" s="62"/>
      <c r="Z2101" s="62" t="s">
        <v>3824</v>
      </c>
      <c r="AA2101" s="62" t="s">
        <v>1056</v>
      </c>
      <c r="AB2101" s="62" t="n">
        <v>0</v>
      </c>
      <c r="AC2101" s="62" t="n">
        <v>0</v>
      </c>
      <c r="AD2101" s="62" t="n">
        <v>0</v>
      </c>
      <c r="AE2101" s="62" t="n">
        <f aca="false">IF(AND(Dashboard!$C$9="Yes",AC2101=1),0,1)</f>
        <v>1</v>
      </c>
      <c r="AF2101" s="62" t="n">
        <v>1</v>
      </c>
    </row>
    <row r="2102" customFormat="false" ht="15" hidden="false" customHeight="false" outlineLevel="0" collapsed="false">
      <c r="A2102" s="62" t="n">
        <v>2101</v>
      </c>
      <c r="B2102" s="63" t="n">
        <v>46280.9748611111</v>
      </c>
      <c r="C2102" s="64" t="n">
        <v>46280</v>
      </c>
      <c r="D2102" s="62" t="s">
        <v>501</v>
      </c>
      <c r="E2102" s="62" t="s">
        <v>3226</v>
      </c>
      <c r="F2102" s="62" t="s">
        <v>3226</v>
      </c>
      <c r="G2102" s="62" t="s">
        <v>3227</v>
      </c>
      <c r="H2102" s="62" t="s">
        <v>46</v>
      </c>
      <c r="I2102" s="62" t="s">
        <v>47</v>
      </c>
      <c r="J2102" s="62" t="s">
        <v>146</v>
      </c>
      <c r="K2102" s="62" t="s">
        <v>209</v>
      </c>
      <c r="L2102" s="62" t="s">
        <v>148</v>
      </c>
      <c r="M2102" s="62" t="n">
        <v>0</v>
      </c>
      <c r="N2102" s="62" t="n">
        <v>1</v>
      </c>
      <c r="O2102" s="62" t="n">
        <v>1</v>
      </c>
      <c r="P2102" s="62" t="n">
        <v>1</v>
      </c>
      <c r="Q2102" s="62" t="n">
        <v>0</v>
      </c>
      <c r="R2102" s="62" t="n">
        <v>0</v>
      </c>
      <c r="S2102" s="62" t="n">
        <v>0</v>
      </c>
      <c r="T2102" s="62" t="n">
        <v>0</v>
      </c>
      <c r="U2102" s="62"/>
      <c r="V2102" s="62"/>
      <c r="W2102" s="62"/>
      <c r="X2102" s="62"/>
      <c r="Y2102" s="62"/>
      <c r="Z2102" s="62" t="s">
        <v>3825</v>
      </c>
      <c r="AA2102" s="62" t="s">
        <v>3826</v>
      </c>
      <c r="AB2102" s="62" t="n">
        <v>1</v>
      </c>
      <c r="AC2102" s="62" t="n">
        <v>0</v>
      </c>
      <c r="AD2102" s="62" t="n">
        <v>1</v>
      </c>
      <c r="AE2102" s="62" t="n">
        <f aca="false">IF(AND(Dashboard!$C$9="Yes",AC2102=1),0,1)</f>
        <v>1</v>
      </c>
      <c r="AF2102" s="62" t="n">
        <v>1</v>
      </c>
    </row>
    <row r="2103" customFormat="false" ht="15" hidden="false" customHeight="false" outlineLevel="0" collapsed="false">
      <c r="A2103" s="62" t="n">
        <v>2102</v>
      </c>
      <c r="B2103" s="63" t="n">
        <v>46280.983275463</v>
      </c>
      <c r="C2103" s="64" t="n">
        <v>46280</v>
      </c>
      <c r="D2103" s="62" t="s">
        <v>501</v>
      </c>
      <c r="E2103" s="62" t="s">
        <v>2845</v>
      </c>
      <c r="F2103" s="62" t="s">
        <v>2845</v>
      </c>
      <c r="G2103" s="62" t="s">
        <v>181</v>
      </c>
      <c r="H2103" s="62" t="s">
        <v>48</v>
      </c>
      <c r="I2103" s="62" t="s">
        <v>49</v>
      </c>
      <c r="J2103" s="62" t="s">
        <v>146</v>
      </c>
      <c r="K2103" s="62" t="s">
        <v>209</v>
      </c>
      <c r="L2103" s="62" t="s">
        <v>148</v>
      </c>
      <c r="M2103" s="62" t="n">
        <v>0</v>
      </c>
      <c r="N2103" s="62" t="n">
        <v>1</v>
      </c>
      <c r="O2103" s="62" t="n">
        <v>1</v>
      </c>
      <c r="P2103" s="62" t="n">
        <v>0</v>
      </c>
      <c r="Q2103" s="62" t="n">
        <v>0</v>
      </c>
      <c r="R2103" s="62" t="n">
        <v>1</v>
      </c>
      <c r="S2103" s="62" t="n">
        <v>0</v>
      </c>
      <c r="T2103" s="62" t="n">
        <v>0</v>
      </c>
      <c r="U2103" s="62"/>
      <c r="V2103" s="62"/>
      <c r="W2103" s="62"/>
      <c r="X2103" s="62"/>
      <c r="Y2103" s="62"/>
      <c r="Z2103" s="62" t="s">
        <v>3827</v>
      </c>
      <c r="AA2103" s="62" t="s">
        <v>3828</v>
      </c>
      <c r="AB2103" s="62" t="n">
        <v>1</v>
      </c>
      <c r="AC2103" s="62" t="n">
        <v>0</v>
      </c>
      <c r="AD2103" s="62" t="n">
        <v>1</v>
      </c>
      <c r="AE2103" s="62" t="n">
        <f aca="false">IF(AND(Dashboard!$C$9="Yes",AC2103=1),0,1)</f>
        <v>1</v>
      </c>
      <c r="AF2103" s="62" t="n">
        <v>0</v>
      </c>
    </row>
    <row r="2104" customFormat="false" ht="15" hidden="false" customHeight="false" outlineLevel="0" collapsed="false">
      <c r="A2104" s="62" t="n">
        <v>2103</v>
      </c>
      <c r="B2104" s="63" t="n">
        <v>46280.9867476852</v>
      </c>
      <c r="C2104" s="64" t="n">
        <v>46280</v>
      </c>
      <c r="D2104" s="62" t="s">
        <v>501</v>
      </c>
      <c r="E2104" s="62" t="s">
        <v>3371</v>
      </c>
      <c r="F2104" s="62" t="s">
        <v>3371</v>
      </c>
      <c r="G2104" s="62" t="s">
        <v>3372</v>
      </c>
      <c r="H2104" s="62" t="s">
        <v>48</v>
      </c>
      <c r="I2104" s="62" t="s">
        <v>49</v>
      </c>
      <c r="J2104" s="62" t="s">
        <v>146</v>
      </c>
      <c r="K2104" s="62" t="s">
        <v>209</v>
      </c>
      <c r="L2104" s="62" t="s">
        <v>4</v>
      </c>
      <c r="M2104" s="62" t="n">
        <v>1</v>
      </c>
      <c r="N2104" s="62" t="n">
        <v>0</v>
      </c>
      <c r="O2104" s="62" t="n">
        <v>1</v>
      </c>
      <c r="P2104" s="62" t="n">
        <v>0</v>
      </c>
      <c r="Q2104" s="62" t="n">
        <v>0</v>
      </c>
      <c r="R2104" s="62" t="n">
        <v>0</v>
      </c>
      <c r="S2104" s="62" t="n">
        <v>0</v>
      </c>
      <c r="T2104" s="62" t="n">
        <v>0</v>
      </c>
      <c r="U2104" s="62" t="s">
        <v>2056</v>
      </c>
      <c r="V2104" s="62" t="s">
        <v>2068</v>
      </c>
      <c r="W2104" s="62"/>
      <c r="X2104" s="62" t="s">
        <v>2125</v>
      </c>
      <c r="Y2104" s="62" t="s">
        <v>2059</v>
      </c>
      <c r="Z2104" s="62" t="s">
        <v>3829</v>
      </c>
      <c r="AA2104" s="62" t="s">
        <v>3830</v>
      </c>
      <c r="AB2104" s="62" t="n">
        <v>1</v>
      </c>
      <c r="AC2104" s="62" t="n">
        <v>0</v>
      </c>
      <c r="AD2104" s="62" t="n">
        <v>1</v>
      </c>
      <c r="AE2104" s="62" t="n">
        <f aca="false">IF(AND(Dashboard!$C$9="Yes",AC2104=1),0,1)</f>
        <v>1</v>
      </c>
      <c r="AF2104" s="62" t="n">
        <v>1</v>
      </c>
    </row>
    <row r="2105" customFormat="false" ht="15" hidden="false" customHeight="false" outlineLevel="0" collapsed="false">
      <c r="A2105" s="62" t="n">
        <v>2104</v>
      </c>
      <c r="B2105" s="63" t="n">
        <v>46281.004837963</v>
      </c>
      <c r="C2105" s="64" t="n">
        <v>46280</v>
      </c>
      <c r="D2105" s="62" t="s">
        <v>501</v>
      </c>
      <c r="E2105" s="62" t="s">
        <v>3399</v>
      </c>
      <c r="F2105" s="62" t="s">
        <v>3399</v>
      </c>
      <c r="G2105" s="62" t="s">
        <v>3400</v>
      </c>
      <c r="H2105" s="62" t="s">
        <v>58</v>
      </c>
      <c r="I2105" s="62" t="s">
        <v>49</v>
      </c>
      <c r="J2105" s="62" t="s">
        <v>146</v>
      </c>
      <c r="K2105" s="62" t="s">
        <v>209</v>
      </c>
      <c r="L2105" s="62" t="s">
        <v>4</v>
      </c>
      <c r="M2105" s="62" t="n">
        <v>1</v>
      </c>
      <c r="N2105" s="62" t="n">
        <v>0</v>
      </c>
      <c r="O2105" s="62" t="n">
        <v>1</v>
      </c>
      <c r="P2105" s="62" t="n">
        <v>0</v>
      </c>
      <c r="Q2105" s="62" t="n">
        <v>0</v>
      </c>
      <c r="R2105" s="62" t="n">
        <v>0</v>
      </c>
      <c r="S2105" s="62" t="n">
        <v>0</v>
      </c>
      <c r="T2105" s="62" t="n">
        <v>0</v>
      </c>
      <c r="U2105" s="62" t="s">
        <v>2056</v>
      </c>
      <c r="V2105" s="62" t="s">
        <v>2057</v>
      </c>
      <c r="W2105" s="62" t="s">
        <v>15</v>
      </c>
      <c r="X2105" s="62" t="s">
        <v>2058</v>
      </c>
      <c r="Y2105" s="62" t="s">
        <v>2103</v>
      </c>
      <c r="Z2105" s="62" t="s">
        <v>3831</v>
      </c>
      <c r="AA2105" s="62" t="s">
        <v>3832</v>
      </c>
      <c r="AB2105" s="62" t="n">
        <v>1</v>
      </c>
      <c r="AC2105" s="62" t="n">
        <v>0</v>
      </c>
      <c r="AD2105" s="62" t="n">
        <v>1</v>
      </c>
      <c r="AE2105" s="62" t="n">
        <f aca="false">IF(AND(Dashboard!$C$9="Yes",AC2105=1),0,1)</f>
        <v>1</v>
      </c>
      <c r="AF2105" s="62" t="n">
        <v>1</v>
      </c>
    </row>
    <row r="2106" customFormat="false" ht="15" hidden="false" customHeight="false" outlineLevel="0" collapsed="false">
      <c r="A2106" s="62" t="n">
        <v>2105</v>
      </c>
      <c r="B2106" s="63" t="n">
        <v>46281.0756597222</v>
      </c>
      <c r="C2106" s="64" t="n">
        <v>46280</v>
      </c>
      <c r="D2106" s="62" t="s">
        <v>501</v>
      </c>
      <c r="E2106" s="62" t="s">
        <v>892</v>
      </c>
      <c r="F2106" s="62" t="s">
        <v>892</v>
      </c>
      <c r="G2106" s="62" t="s">
        <v>893</v>
      </c>
      <c r="H2106" s="62" t="s">
        <v>46</v>
      </c>
      <c r="I2106" s="62" t="s">
        <v>47</v>
      </c>
      <c r="J2106" s="62" t="s">
        <v>146</v>
      </c>
      <c r="K2106" s="62" t="s">
        <v>209</v>
      </c>
      <c r="L2106" s="62" t="s">
        <v>4</v>
      </c>
      <c r="M2106" s="62" t="n">
        <v>1</v>
      </c>
      <c r="N2106" s="62" t="n">
        <v>0</v>
      </c>
      <c r="O2106" s="62" t="n">
        <v>1</v>
      </c>
      <c r="P2106" s="62" t="n">
        <v>0</v>
      </c>
      <c r="Q2106" s="62" t="n">
        <v>0</v>
      </c>
      <c r="R2106" s="62" t="n">
        <v>0</v>
      </c>
      <c r="S2106" s="62" t="n">
        <v>0</v>
      </c>
      <c r="T2106" s="62" t="n">
        <v>0</v>
      </c>
      <c r="U2106" s="62" t="s">
        <v>15</v>
      </c>
      <c r="V2106" s="62" t="s">
        <v>2057</v>
      </c>
      <c r="W2106" s="62" t="s">
        <v>2056</v>
      </c>
      <c r="X2106" s="62" t="s">
        <v>2058</v>
      </c>
      <c r="Y2106" s="62" t="s">
        <v>2059</v>
      </c>
      <c r="Z2106" s="62" t="s">
        <v>3833</v>
      </c>
      <c r="AA2106" s="62" t="s">
        <v>337</v>
      </c>
      <c r="AB2106" s="62" t="n">
        <v>0</v>
      </c>
      <c r="AC2106" s="62" t="n">
        <v>0</v>
      </c>
      <c r="AD2106" s="62" t="n">
        <v>1</v>
      </c>
      <c r="AE2106" s="62" t="n">
        <f aca="false">IF(AND(Dashboard!$C$9="Yes",AC2106=1),0,1)</f>
        <v>1</v>
      </c>
      <c r="AF2106" s="62" t="n">
        <v>0</v>
      </c>
    </row>
    <row r="2107" customFormat="false" ht="15" hidden="false" customHeight="false" outlineLevel="0" collapsed="false">
      <c r="A2107" s="62" t="n">
        <v>2106</v>
      </c>
      <c r="B2107" s="63" t="n">
        <v>46281.077025463</v>
      </c>
      <c r="C2107" s="64" t="n">
        <v>46280</v>
      </c>
      <c r="D2107" s="62" t="s">
        <v>501</v>
      </c>
      <c r="E2107" s="62" t="s">
        <v>2845</v>
      </c>
      <c r="F2107" s="62" t="s">
        <v>2845</v>
      </c>
      <c r="G2107" s="62" t="s">
        <v>181</v>
      </c>
      <c r="H2107" s="62" t="s">
        <v>48</v>
      </c>
      <c r="I2107" s="62" t="s">
        <v>49</v>
      </c>
      <c r="J2107" s="62" t="s">
        <v>146</v>
      </c>
      <c r="K2107" s="62" t="s">
        <v>209</v>
      </c>
      <c r="L2107" s="62" t="s">
        <v>148</v>
      </c>
      <c r="M2107" s="62" t="n">
        <v>0</v>
      </c>
      <c r="N2107" s="62" t="n">
        <v>1</v>
      </c>
      <c r="O2107" s="62" t="n">
        <v>1</v>
      </c>
      <c r="P2107" s="62" t="n">
        <v>1</v>
      </c>
      <c r="Q2107" s="62" t="n">
        <v>0</v>
      </c>
      <c r="R2107" s="62" t="n">
        <v>0</v>
      </c>
      <c r="S2107" s="62" t="n">
        <v>0</v>
      </c>
      <c r="T2107" s="62" t="n">
        <v>0</v>
      </c>
      <c r="U2107" s="62"/>
      <c r="V2107" s="62"/>
      <c r="W2107" s="62"/>
      <c r="X2107" s="62"/>
      <c r="Y2107" s="62"/>
      <c r="Z2107" s="62" t="s">
        <v>3834</v>
      </c>
      <c r="AA2107" s="62" t="s">
        <v>3835</v>
      </c>
      <c r="AB2107" s="62" t="n">
        <v>1</v>
      </c>
      <c r="AC2107" s="62" t="n">
        <v>0</v>
      </c>
      <c r="AD2107" s="62" t="n">
        <v>1</v>
      </c>
      <c r="AE2107" s="62" t="n">
        <f aca="false">IF(AND(Dashboard!$C$9="Yes",AC2107=1),0,1)</f>
        <v>1</v>
      </c>
      <c r="AF2107" s="62" t="n">
        <v>0</v>
      </c>
    </row>
    <row r="2108" customFormat="false" ht="15" hidden="false" customHeight="false" outlineLevel="0" collapsed="false">
      <c r="A2108" s="62" t="n">
        <v>2107</v>
      </c>
      <c r="B2108" s="63" t="n">
        <v>46281.0959143519</v>
      </c>
      <c r="C2108" s="64" t="n">
        <v>46280</v>
      </c>
      <c r="D2108" s="62" t="s">
        <v>501</v>
      </c>
      <c r="E2108" s="62" t="s">
        <v>196</v>
      </c>
      <c r="F2108" s="62" t="s">
        <v>196</v>
      </c>
      <c r="G2108" s="62" t="s">
        <v>197</v>
      </c>
      <c r="H2108" s="62" t="s">
        <v>57</v>
      </c>
      <c r="I2108" s="62" t="s">
        <v>47</v>
      </c>
      <c r="J2108" s="62" t="s">
        <v>146</v>
      </c>
      <c r="K2108" s="62" t="s">
        <v>175</v>
      </c>
      <c r="L2108" s="62" t="s">
        <v>4</v>
      </c>
      <c r="M2108" s="62" t="n">
        <v>1</v>
      </c>
      <c r="N2108" s="62" t="n">
        <v>0</v>
      </c>
      <c r="O2108" s="62" t="n">
        <v>1</v>
      </c>
      <c r="P2108" s="62" t="n">
        <v>0</v>
      </c>
      <c r="Q2108" s="62" t="n">
        <v>0</v>
      </c>
      <c r="R2108" s="62" t="n">
        <v>0</v>
      </c>
      <c r="S2108" s="62" t="n">
        <v>0</v>
      </c>
      <c r="T2108" s="62" t="n">
        <v>0</v>
      </c>
      <c r="U2108" s="62" t="s">
        <v>2056</v>
      </c>
      <c r="V2108" s="62" t="s">
        <v>2057</v>
      </c>
      <c r="W2108" s="62" t="s">
        <v>15</v>
      </c>
      <c r="X2108" s="62" t="s">
        <v>2058</v>
      </c>
      <c r="Y2108" s="62" t="s">
        <v>2059</v>
      </c>
      <c r="Z2108" s="62" t="s">
        <v>3836</v>
      </c>
      <c r="AA2108" s="62" t="s">
        <v>3837</v>
      </c>
      <c r="AB2108" s="62" t="n">
        <v>1</v>
      </c>
      <c r="AC2108" s="62" t="n">
        <v>0</v>
      </c>
      <c r="AD2108" s="62" t="n">
        <v>1</v>
      </c>
      <c r="AE2108" s="62" t="n">
        <f aca="false">IF(AND(Dashboard!$C$9="Yes",AC2108=1),0,1)</f>
        <v>1</v>
      </c>
      <c r="AF2108" s="62" t="n">
        <v>1</v>
      </c>
    </row>
    <row r="2109" customFormat="false" ht="15" hidden="false" customHeight="false" outlineLevel="0" collapsed="false">
      <c r="A2109" s="62" t="n">
        <v>2108</v>
      </c>
      <c r="B2109" s="63" t="n">
        <v>46281.1198611111</v>
      </c>
      <c r="C2109" s="64" t="n">
        <v>46280</v>
      </c>
      <c r="D2109" s="62" t="s">
        <v>501</v>
      </c>
      <c r="E2109" s="62" t="s">
        <v>3399</v>
      </c>
      <c r="F2109" s="62" t="s">
        <v>3399</v>
      </c>
      <c r="G2109" s="62" t="s">
        <v>3400</v>
      </c>
      <c r="H2109" s="62" t="s">
        <v>58</v>
      </c>
      <c r="I2109" s="62" t="s">
        <v>49</v>
      </c>
      <c r="J2109" s="62" t="s">
        <v>146</v>
      </c>
      <c r="K2109" s="62" t="s">
        <v>209</v>
      </c>
      <c r="L2109" s="62" t="s">
        <v>4</v>
      </c>
      <c r="M2109" s="62" t="n">
        <v>1</v>
      </c>
      <c r="N2109" s="62" t="n">
        <v>0</v>
      </c>
      <c r="O2109" s="62" t="n">
        <v>1</v>
      </c>
      <c r="P2109" s="62" t="n">
        <v>0</v>
      </c>
      <c r="Q2109" s="62" t="n">
        <v>0</v>
      </c>
      <c r="R2109" s="62" t="n">
        <v>0</v>
      </c>
      <c r="S2109" s="62" t="n">
        <v>0</v>
      </c>
      <c r="T2109" s="62" t="n">
        <v>0</v>
      </c>
      <c r="U2109" s="62" t="s">
        <v>2056</v>
      </c>
      <c r="V2109" s="62" t="s">
        <v>2057</v>
      </c>
      <c r="W2109" s="62" t="s">
        <v>15</v>
      </c>
      <c r="X2109" s="62" t="s">
        <v>2125</v>
      </c>
      <c r="Y2109" s="62" t="s">
        <v>2059</v>
      </c>
      <c r="Z2109" s="62" t="s">
        <v>3838</v>
      </c>
      <c r="AA2109" s="62" t="s">
        <v>3839</v>
      </c>
      <c r="AB2109" s="62" t="n">
        <v>1</v>
      </c>
      <c r="AC2109" s="62" t="n">
        <v>0</v>
      </c>
      <c r="AD2109" s="62" t="n">
        <v>1</v>
      </c>
      <c r="AE2109" s="62" t="n">
        <f aca="false">IF(AND(Dashboard!$C$9="Yes",AC2109=1),0,1)</f>
        <v>1</v>
      </c>
      <c r="AF2109" s="62" t="n">
        <v>0</v>
      </c>
    </row>
    <row r="2110" customFormat="false" ht="15" hidden="false" customHeight="false" outlineLevel="0" collapsed="false">
      <c r="A2110" s="62" t="n">
        <v>2109</v>
      </c>
      <c r="B2110" s="63" t="n">
        <v>46281.1236921296</v>
      </c>
      <c r="C2110" s="64" t="n">
        <v>46280</v>
      </c>
      <c r="D2110" s="62" t="s">
        <v>501</v>
      </c>
      <c r="E2110" s="62" t="s">
        <v>1827</v>
      </c>
      <c r="F2110" s="62" t="s">
        <v>1827</v>
      </c>
      <c r="G2110" s="62" t="s">
        <v>1828</v>
      </c>
      <c r="H2110" s="62" t="s">
        <v>59</v>
      </c>
      <c r="I2110" s="62" t="s">
        <v>47</v>
      </c>
      <c r="J2110" s="62" t="s">
        <v>146</v>
      </c>
      <c r="K2110" s="62" t="s">
        <v>209</v>
      </c>
      <c r="L2110" s="62" t="s">
        <v>148</v>
      </c>
      <c r="M2110" s="62" t="n">
        <v>0</v>
      </c>
      <c r="N2110" s="62" t="n">
        <v>1</v>
      </c>
      <c r="O2110" s="62" t="n">
        <v>1</v>
      </c>
      <c r="P2110" s="62" t="n">
        <v>1</v>
      </c>
      <c r="Q2110" s="62" t="n">
        <v>0</v>
      </c>
      <c r="R2110" s="62" t="n">
        <v>0</v>
      </c>
      <c r="S2110" s="62" t="n">
        <v>0</v>
      </c>
      <c r="T2110" s="62" t="n">
        <v>0</v>
      </c>
      <c r="U2110" s="62"/>
      <c r="V2110" s="62"/>
      <c r="W2110" s="62"/>
      <c r="X2110" s="62"/>
      <c r="Y2110" s="62"/>
      <c r="Z2110" s="62" t="s">
        <v>3840</v>
      </c>
      <c r="AA2110" s="62" t="s">
        <v>3841</v>
      </c>
      <c r="AB2110" s="62" t="n">
        <v>1</v>
      </c>
      <c r="AC2110" s="62" t="n">
        <v>0</v>
      </c>
      <c r="AD2110" s="62" t="n">
        <v>1</v>
      </c>
      <c r="AE2110" s="62" t="n">
        <f aca="false">IF(AND(Dashboard!$C$9="Yes",AC2110=1),0,1)</f>
        <v>1</v>
      </c>
      <c r="AF2110" s="62" t="n">
        <v>1</v>
      </c>
    </row>
    <row r="2111" customFormat="false" ht="15" hidden="false" customHeight="false" outlineLevel="0" collapsed="false">
      <c r="A2111" s="62" t="n">
        <v>2110</v>
      </c>
      <c r="B2111" s="63" t="n">
        <v>46281.2146759259</v>
      </c>
      <c r="C2111" s="64" t="n">
        <v>46280</v>
      </c>
      <c r="D2111" s="62" t="s">
        <v>501</v>
      </c>
      <c r="E2111" s="62" t="s">
        <v>2395</v>
      </c>
      <c r="F2111" s="62" t="s">
        <v>2395</v>
      </c>
      <c r="G2111" s="62" t="s">
        <v>2396</v>
      </c>
      <c r="H2111" s="62" t="s">
        <v>59</v>
      </c>
      <c r="I2111" s="62" t="s">
        <v>47</v>
      </c>
      <c r="J2111" s="62" t="s">
        <v>146</v>
      </c>
      <c r="K2111" s="62" t="s">
        <v>209</v>
      </c>
      <c r="L2111" s="62" t="s">
        <v>148</v>
      </c>
      <c r="M2111" s="62" t="n">
        <v>0</v>
      </c>
      <c r="N2111" s="62" t="n">
        <v>1</v>
      </c>
      <c r="O2111" s="62" t="n">
        <v>1</v>
      </c>
      <c r="P2111" s="62" t="n">
        <v>1</v>
      </c>
      <c r="Q2111" s="62" t="n">
        <v>0</v>
      </c>
      <c r="R2111" s="62" t="n">
        <v>0</v>
      </c>
      <c r="S2111" s="62" t="n">
        <v>0</v>
      </c>
      <c r="T2111" s="62" t="n">
        <v>0</v>
      </c>
      <c r="U2111" s="62"/>
      <c r="V2111" s="62"/>
      <c r="W2111" s="62"/>
      <c r="X2111" s="62"/>
      <c r="Y2111" s="62"/>
      <c r="Z2111" s="62" t="s">
        <v>3842</v>
      </c>
      <c r="AA2111" s="62" t="s">
        <v>337</v>
      </c>
      <c r="AB2111" s="62" t="n">
        <v>0</v>
      </c>
      <c r="AC2111" s="62" t="n">
        <v>0</v>
      </c>
      <c r="AD2111" s="62" t="n">
        <v>1</v>
      </c>
      <c r="AE2111" s="62" t="n">
        <f aca="false">IF(AND(Dashboard!$C$9="Yes",AC2111=1),0,1)</f>
        <v>1</v>
      </c>
      <c r="AF2111" s="62" t="n">
        <v>1</v>
      </c>
    </row>
    <row r="2112" customFormat="false" ht="15" hidden="false" customHeight="false" outlineLevel="0" collapsed="false">
      <c r="A2112" s="62" t="n">
        <v>2111</v>
      </c>
      <c r="B2112" s="63" t="n">
        <v>46281.6522916667</v>
      </c>
      <c r="C2112" s="64" t="n">
        <v>46281</v>
      </c>
      <c r="D2112" s="62" t="s">
        <v>143</v>
      </c>
      <c r="E2112" s="62" t="s">
        <v>160</v>
      </c>
      <c r="F2112" s="62" t="s">
        <v>160</v>
      </c>
      <c r="G2112" s="62" t="s">
        <v>161</v>
      </c>
      <c r="H2112" s="62" t="s">
        <v>51</v>
      </c>
      <c r="I2112" s="62" t="s">
        <v>47</v>
      </c>
      <c r="J2112" s="62" t="s">
        <v>146</v>
      </c>
      <c r="K2112" s="62" t="s">
        <v>147</v>
      </c>
      <c r="L2112" s="62" t="s">
        <v>148</v>
      </c>
      <c r="M2112" s="62" t="n">
        <v>0</v>
      </c>
      <c r="N2112" s="62" t="n">
        <v>1</v>
      </c>
      <c r="O2112" s="62" t="n">
        <v>1</v>
      </c>
      <c r="P2112" s="62" t="n">
        <v>0</v>
      </c>
      <c r="Q2112" s="62" t="n">
        <v>1</v>
      </c>
      <c r="R2112" s="62" t="n">
        <v>0</v>
      </c>
      <c r="S2112" s="62" t="n">
        <v>0</v>
      </c>
      <c r="T2112" s="62" t="n">
        <v>0</v>
      </c>
      <c r="U2112" s="62"/>
      <c r="V2112" s="62"/>
      <c r="W2112" s="62"/>
      <c r="X2112" s="62"/>
      <c r="Y2112" s="62"/>
      <c r="Z2112" s="62" t="s">
        <v>3843</v>
      </c>
      <c r="AA2112" s="62" t="s">
        <v>3844</v>
      </c>
      <c r="AB2112" s="62" t="n">
        <v>1</v>
      </c>
      <c r="AC2112" s="62" t="n">
        <v>0</v>
      </c>
      <c r="AD2112" s="62" t="n">
        <v>1</v>
      </c>
      <c r="AE2112" s="62" t="n">
        <f aca="false">IF(AND(Dashboard!$C$9="Yes",AC2112=1),0,1)</f>
        <v>1</v>
      </c>
      <c r="AF2112" s="62" t="n">
        <v>1</v>
      </c>
    </row>
    <row r="2113" customFormat="false" ht="15" hidden="false" customHeight="false" outlineLevel="0" collapsed="false">
      <c r="A2113" s="62" t="n">
        <v>2112</v>
      </c>
      <c r="B2113" s="63" t="n">
        <v>46281.7247222222</v>
      </c>
      <c r="C2113" s="64" t="n">
        <v>46281</v>
      </c>
      <c r="D2113" s="62" t="s">
        <v>143</v>
      </c>
      <c r="E2113" s="62" t="s">
        <v>156</v>
      </c>
      <c r="F2113" s="62" t="s">
        <v>156</v>
      </c>
      <c r="G2113" s="62" t="s">
        <v>157</v>
      </c>
      <c r="H2113" s="62" t="s">
        <v>51</v>
      </c>
      <c r="I2113" s="62" t="s">
        <v>47</v>
      </c>
      <c r="J2113" s="62" t="s">
        <v>146</v>
      </c>
      <c r="K2113" s="62" t="s">
        <v>147</v>
      </c>
      <c r="L2113" s="62" t="s">
        <v>4</v>
      </c>
      <c r="M2113" s="62" t="n">
        <v>1</v>
      </c>
      <c r="N2113" s="62" t="n">
        <v>0</v>
      </c>
      <c r="O2113" s="62" t="n">
        <v>1</v>
      </c>
      <c r="P2113" s="62" t="n">
        <v>0</v>
      </c>
      <c r="Q2113" s="62" t="n">
        <v>0</v>
      </c>
      <c r="R2113" s="62" t="n">
        <v>0</v>
      </c>
      <c r="S2113" s="62" t="n">
        <v>0</v>
      </c>
      <c r="T2113" s="62" t="n">
        <v>0</v>
      </c>
      <c r="U2113" s="62" t="s">
        <v>2056</v>
      </c>
      <c r="V2113" s="62" t="s">
        <v>2057</v>
      </c>
      <c r="W2113" s="62" t="s">
        <v>15</v>
      </c>
      <c r="X2113" s="62" t="s">
        <v>2058</v>
      </c>
      <c r="Y2113" s="62" t="s">
        <v>2103</v>
      </c>
      <c r="Z2113" s="62" t="s">
        <v>3845</v>
      </c>
      <c r="AA2113" s="62" t="s">
        <v>3846</v>
      </c>
      <c r="AB2113" s="62" t="n">
        <v>0</v>
      </c>
      <c r="AC2113" s="62" t="n">
        <v>0</v>
      </c>
      <c r="AD2113" s="62" t="n">
        <v>1</v>
      </c>
      <c r="AE2113" s="62" t="n">
        <f aca="false">IF(AND(Dashboard!$C$9="Yes",AC2113=1),0,1)</f>
        <v>1</v>
      </c>
      <c r="AF2113" s="62" t="n">
        <v>1</v>
      </c>
    </row>
    <row r="2114" customFormat="false" ht="15" hidden="false" customHeight="false" outlineLevel="0" collapsed="false">
      <c r="A2114" s="62" t="n">
        <v>2113</v>
      </c>
      <c r="B2114" s="63" t="n">
        <v>46281.7432291667</v>
      </c>
      <c r="C2114" s="64" t="n">
        <v>46281</v>
      </c>
      <c r="D2114" s="62" t="s">
        <v>143</v>
      </c>
      <c r="E2114" s="62" t="s">
        <v>203</v>
      </c>
      <c r="F2114" s="62" t="s">
        <v>203</v>
      </c>
      <c r="G2114" s="62" t="s">
        <v>204</v>
      </c>
      <c r="H2114" s="62" t="s">
        <v>51</v>
      </c>
      <c r="I2114" s="62" t="s">
        <v>47</v>
      </c>
      <c r="J2114" s="62" t="s">
        <v>146</v>
      </c>
      <c r="K2114" s="62" t="s">
        <v>147</v>
      </c>
      <c r="L2114" s="62" t="s">
        <v>148</v>
      </c>
      <c r="M2114" s="62" t="n">
        <v>0</v>
      </c>
      <c r="N2114" s="62" t="n">
        <v>1</v>
      </c>
      <c r="O2114" s="62" t="n">
        <v>1</v>
      </c>
      <c r="P2114" s="62" t="n">
        <v>1</v>
      </c>
      <c r="Q2114" s="62" t="n">
        <v>0</v>
      </c>
      <c r="R2114" s="62" t="n">
        <v>0</v>
      </c>
      <c r="S2114" s="62" t="n">
        <v>0</v>
      </c>
      <c r="T2114" s="62" t="n">
        <v>0</v>
      </c>
      <c r="U2114" s="62"/>
      <c r="V2114" s="62"/>
      <c r="W2114" s="62"/>
      <c r="X2114" s="62"/>
      <c r="Y2114" s="62"/>
      <c r="Z2114" s="62" t="s">
        <v>3847</v>
      </c>
      <c r="AA2114" s="62" t="s">
        <v>485</v>
      </c>
      <c r="AB2114" s="62" t="n">
        <v>0</v>
      </c>
      <c r="AC2114" s="62" t="n">
        <v>0</v>
      </c>
      <c r="AD2114" s="62" t="n">
        <v>1</v>
      </c>
      <c r="AE2114" s="62" t="n">
        <f aca="false">IF(AND(Dashboard!$C$9="Yes",AC2114=1),0,1)</f>
        <v>1</v>
      </c>
      <c r="AF2114" s="62" t="n">
        <v>1</v>
      </c>
    </row>
    <row r="2115" customFormat="false" ht="15" hidden="false" customHeight="false" outlineLevel="0" collapsed="false">
      <c r="A2115" s="62" t="n">
        <v>2114</v>
      </c>
      <c r="B2115" s="63" t="n">
        <v>46281.7893055556</v>
      </c>
      <c r="C2115" s="64" t="n">
        <v>46281</v>
      </c>
      <c r="D2115" s="62" t="s">
        <v>143</v>
      </c>
      <c r="E2115" s="62" t="s">
        <v>650</v>
      </c>
      <c r="F2115" s="62" t="s">
        <v>650</v>
      </c>
      <c r="G2115" s="62" t="s">
        <v>651</v>
      </c>
      <c r="H2115" s="62" t="s">
        <v>59</v>
      </c>
      <c r="I2115" s="62" t="s">
        <v>47</v>
      </c>
      <c r="J2115" s="62" t="s">
        <v>146</v>
      </c>
      <c r="K2115" s="62" t="s">
        <v>209</v>
      </c>
      <c r="L2115" s="62" t="s">
        <v>148</v>
      </c>
      <c r="M2115" s="62" t="n">
        <v>0</v>
      </c>
      <c r="N2115" s="62" t="n">
        <v>1</v>
      </c>
      <c r="O2115" s="62" t="n">
        <v>1</v>
      </c>
      <c r="P2115" s="62" t="n">
        <v>1</v>
      </c>
      <c r="Q2115" s="62" t="n">
        <v>0</v>
      </c>
      <c r="R2115" s="62" t="n">
        <v>0</v>
      </c>
      <c r="S2115" s="62" t="n">
        <v>0</v>
      </c>
      <c r="T2115" s="62" t="n">
        <v>0</v>
      </c>
      <c r="U2115" s="62"/>
      <c r="V2115" s="62"/>
      <c r="W2115" s="62"/>
      <c r="X2115" s="62"/>
      <c r="Y2115" s="62"/>
      <c r="Z2115" s="62" t="s">
        <v>3478</v>
      </c>
      <c r="AA2115" s="62" t="s">
        <v>3848</v>
      </c>
      <c r="AB2115" s="62" t="n">
        <v>1</v>
      </c>
      <c r="AC2115" s="62" t="n">
        <v>0</v>
      </c>
      <c r="AD2115" s="62" t="n">
        <v>1</v>
      </c>
      <c r="AE2115" s="62" t="n">
        <f aca="false">IF(AND(Dashboard!$C$9="Yes",AC2115=1),0,1)</f>
        <v>1</v>
      </c>
      <c r="AF2115" s="62" t="n">
        <v>1</v>
      </c>
    </row>
    <row r="2116" customFormat="false" ht="15" hidden="false" customHeight="false" outlineLevel="0" collapsed="false">
      <c r="A2116" s="62" t="n">
        <v>2115</v>
      </c>
      <c r="B2116" s="63" t="n">
        <v>46281.7905324074</v>
      </c>
      <c r="C2116" s="64" t="n">
        <v>46281</v>
      </c>
      <c r="D2116" s="62" t="s">
        <v>143</v>
      </c>
      <c r="E2116" s="62" t="s">
        <v>650</v>
      </c>
      <c r="F2116" s="62" t="s">
        <v>650</v>
      </c>
      <c r="G2116" s="62" t="s">
        <v>651</v>
      </c>
      <c r="H2116" s="62" t="s">
        <v>59</v>
      </c>
      <c r="I2116" s="62" t="s">
        <v>47</v>
      </c>
      <c r="J2116" s="62" t="s">
        <v>146</v>
      </c>
      <c r="K2116" s="62" t="s">
        <v>209</v>
      </c>
      <c r="L2116" s="62" t="s">
        <v>148</v>
      </c>
      <c r="M2116" s="62" t="n">
        <v>0</v>
      </c>
      <c r="N2116" s="62" t="n">
        <v>1</v>
      </c>
      <c r="O2116" s="62" t="n">
        <v>1</v>
      </c>
      <c r="P2116" s="62" t="n">
        <v>1</v>
      </c>
      <c r="Q2116" s="62" t="n">
        <v>0</v>
      </c>
      <c r="R2116" s="62" t="n">
        <v>0</v>
      </c>
      <c r="S2116" s="62" t="n">
        <v>0</v>
      </c>
      <c r="T2116" s="62" t="n">
        <v>0</v>
      </c>
      <c r="U2116" s="62"/>
      <c r="V2116" s="62"/>
      <c r="W2116" s="62"/>
      <c r="X2116" s="62"/>
      <c r="Y2116" s="62"/>
      <c r="Z2116" s="62" t="s">
        <v>3849</v>
      </c>
      <c r="AA2116" s="62" t="s">
        <v>3848</v>
      </c>
      <c r="AB2116" s="62" t="n">
        <v>1</v>
      </c>
      <c r="AC2116" s="62" t="n">
        <v>0</v>
      </c>
      <c r="AD2116" s="62" t="n">
        <v>1</v>
      </c>
      <c r="AE2116" s="62" t="n">
        <f aca="false">IF(AND(Dashboard!$C$9="Yes",AC2116=1),0,1)</f>
        <v>1</v>
      </c>
      <c r="AF2116" s="62" t="n">
        <v>0</v>
      </c>
    </row>
    <row r="2117" customFormat="false" ht="15" hidden="false" customHeight="false" outlineLevel="0" collapsed="false">
      <c r="A2117" s="62" t="n">
        <v>2116</v>
      </c>
      <c r="B2117" s="63" t="n">
        <v>46281.8043402778</v>
      </c>
      <c r="C2117" s="64" t="n">
        <v>46281</v>
      </c>
      <c r="D2117" s="62" t="s">
        <v>143</v>
      </c>
      <c r="E2117" s="62" t="s">
        <v>1344</v>
      </c>
      <c r="F2117" s="62" t="s">
        <v>1344</v>
      </c>
      <c r="G2117" s="62" t="s">
        <v>1345</v>
      </c>
      <c r="H2117" s="62" t="s">
        <v>48</v>
      </c>
      <c r="I2117" s="62" t="s">
        <v>49</v>
      </c>
      <c r="J2117" s="62" t="s">
        <v>146</v>
      </c>
      <c r="K2117" s="62" t="s">
        <v>209</v>
      </c>
      <c r="L2117" s="62" t="s">
        <v>148</v>
      </c>
      <c r="M2117" s="62" t="n">
        <v>0</v>
      </c>
      <c r="N2117" s="62" t="n">
        <v>1</v>
      </c>
      <c r="O2117" s="62" t="n">
        <v>1</v>
      </c>
      <c r="P2117" s="62" t="n">
        <v>1</v>
      </c>
      <c r="Q2117" s="62" t="n">
        <v>0</v>
      </c>
      <c r="R2117" s="62" t="n">
        <v>0</v>
      </c>
      <c r="S2117" s="62" t="n">
        <v>0</v>
      </c>
      <c r="T2117" s="62" t="n">
        <v>0</v>
      </c>
      <c r="U2117" s="62"/>
      <c r="V2117" s="62"/>
      <c r="W2117" s="62"/>
      <c r="X2117" s="62"/>
      <c r="Y2117" s="62"/>
      <c r="Z2117" s="62" t="s">
        <v>3850</v>
      </c>
      <c r="AA2117" s="62" t="s">
        <v>3851</v>
      </c>
      <c r="AB2117" s="62" t="n">
        <v>1</v>
      </c>
      <c r="AC2117" s="62" t="n">
        <v>0</v>
      </c>
      <c r="AD2117" s="62" t="n">
        <v>1</v>
      </c>
      <c r="AE2117" s="62" t="n">
        <f aca="false">IF(AND(Dashboard!$C$9="Yes",AC2117=1),0,1)</f>
        <v>1</v>
      </c>
      <c r="AF2117" s="62" t="n">
        <v>1</v>
      </c>
    </row>
    <row r="2118" customFormat="false" ht="15" hidden="false" customHeight="false" outlineLevel="0" collapsed="false">
      <c r="A2118" s="62" t="n">
        <v>2117</v>
      </c>
      <c r="B2118" s="63" t="n">
        <v>46281.8230439815</v>
      </c>
      <c r="C2118" s="64" t="n">
        <v>46281</v>
      </c>
      <c r="D2118" s="62" t="s">
        <v>143</v>
      </c>
      <c r="E2118" s="62" t="s">
        <v>650</v>
      </c>
      <c r="F2118" s="62" t="s">
        <v>650</v>
      </c>
      <c r="G2118" s="62" t="s">
        <v>651</v>
      </c>
      <c r="H2118" s="62" t="s">
        <v>59</v>
      </c>
      <c r="I2118" s="62" t="s">
        <v>47</v>
      </c>
      <c r="J2118" s="62" t="s">
        <v>146</v>
      </c>
      <c r="K2118" s="62" t="s">
        <v>209</v>
      </c>
      <c r="L2118" s="62" t="s">
        <v>4</v>
      </c>
      <c r="M2118" s="62" t="n">
        <v>1</v>
      </c>
      <c r="N2118" s="62" t="n">
        <v>0</v>
      </c>
      <c r="O2118" s="62" t="n">
        <v>1</v>
      </c>
      <c r="P2118" s="62" t="n">
        <v>0</v>
      </c>
      <c r="Q2118" s="62" t="n">
        <v>0</v>
      </c>
      <c r="R2118" s="62" t="n">
        <v>0</v>
      </c>
      <c r="S2118" s="62" t="n">
        <v>0</v>
      </c>
      <c r="T2118" s="62" t="n">
        <v>0</v>
      </c>
      <c r="U2118" s="62" t="s">
        <v>2056</v>
      </c>
      <c r="V2118" s="62" t="s">
        <v>2057</v>
      </c>
      <c r="W2118" s="62" t="s">
        <v>15</v>
      </c>
      <c r="X2118" s="62" t="s">
        <v>2058</v>
      </c>
      <c r="Y2118" s="62" t="s">
        <v>2059</v>
      </c>
      <c r="Z2118" s="62" t="s">
        <v>3849</v>
      </c>
      <c r="AA2118" s="62" t="s">
        <v>3852</v>
      </c>
      <c r="AB2118" s="62" t="n">
        <v>1</v>
      </c>
      <c r="AC2118" s="62" t="n">
        <v>0</v>
      </c>
      <c r="AD2118" s="62" t="n">
        <v>1</v>
      </c>
      <c r="AE2118" s="62" t="n">
        <f aca="false">IF(AND(Dashboard!$C$9="Yes",AC2118=1),0,1)</f>
        <v>1</v>
      </c>
      <c r="AF2118" s="62" t="n">
        <v>0</v>
      </c>
    </row>
    <row r="2119" customFormat="false" ht="15" hidden="false" customHeight="false" outlineLevel="0" collapsed="false">
      <c r="A2119" s="62" t="n">
        <v>2118</v>
      </c>
      <c r="B2119" s="63" t="n">
        <v>46281.8241319444</v>
      </c>
      <c r="C2119" s="64" t="n">
        <v>46281</v>
      </c>
      <c r="D2119" s="62" t="s">
        <v>143</v>
      </c>
      <c r="E2119" s="62" t="s">
        <v>2119</v>
      </c>
      <c r="F2119" s="62" t="s">
        <v>2119</v>
      </c>
      <c r="G2119" s="62" t="s">
        <v>2120</v>
      </c>
      <c r="H2119" s="62" t="s">
        <v>52</v>
      </c>
      <c r="I2119" s="62" t="s">
        <v>47</v>
      </c>
      <c r="J2119" s="62" t="s">
        <v>146</v>
      </c>
      <c r="K2119" s="62" t="s">
        <v>147</v>
      </c>
      <c r="L2119" s="62" t="s">
        <v>148</v>
      </c>
      <c r="M2119" s="62" t="n">
        <v>0</v>
      </c>
      <c r="N2119" s="62" t="n">
        <v>2</v>
      </c>
      <c r="O2119" s="62" t="n">
        <v>2</v>
      </c>
      <c r="P2119" s="62" t="n">
        <v>2</v>
      </c>
      <c r="Q2119" s="62" t="n">
        <v>0</v>
      </c>
      <c r="R2119" s="62" t="n">
        <v>0</v>
      </c>
      <c r="S2119" s="62" t="n">
        <v>0</v>
      </c>
      <c r="T2119" s="62" t="n">
        <v>0</v>
      </c>
      <c r="U2119" s="62"/>
      <c r="V2119" s="62"/>
      <c r="W2119" s="62"/>
      <c r="X2119" s="62"/>
      <c r="Y2119" s="62"/>
      <c r="Z2119" s="62" t="s">
        <v>3853</v>
      </c>
      <c r="AA2119" s="62" t="s">
        <v>3015</v>
      </c>
      <c r="AB2119" s="62" t="n">
        <v>1</v>
      </c>
      <c r="AC2119" s="62" t="n">
        <v>0</v>
      </c>
      <c r="AD2119" s="62" t="n">
        <v>1</v>
      </c>
      <c r="AE2119" s="62" t="n">
        <f aca="false">IF(AND(Dashboard!$C$9="Yes",AC2119=1),0,1)</f>
        <v>1</v>
      </c>
      <c r="AF2119" s="62" t="n">
        <v>1</v>
      </c>
    </row>
    <row r="2120" customFormat="false" ht="15" hidden="false" customHeight="false" outlineLevel="0" collapsed="false">
      <c r="A2120" s="62" t="n">
        <v>2119</v>
      </c>
      <c r="B2120" s="63" t="n">
        <v>46281.830474537</v>
      </c>
      <c r="C2120" s="64" t="n">
        <v>46281</v>
      </c>
      <c r="D2120" s="62" t="s">
        <v>143</v>
      </c>
      <c r="E2120" s="62" t="s">
        <v>3854</v>
      </c>
      <c r="F2120" s="62" t="s">
        <v>939</v>
      </c>
      <c r="G2120" s="62" t="s">
        <v>940</v>
      </c>
      <c r="H2120" s="62" t="s">
        <v>57</v>
      </c>
      <c r="I2120" s="62" t="s">
        <v>47</v>
      </c>
      <c r="J2120" s="62" t="s">
        <v>146</v>
      </c>
      <c r="K2120" s="62" t="s">
        <v>147</v>
      </c>
      <c r="L2120" s="62" t="s">
        <v>4</v>
      </c>
      <c r="M2120" s="62" t="n">
        <v>1</v>
      </c>
      <c r="N2120" s="62" t="n">
        <v>0</v>
      </c>
      <c r="O2120" s="62" t="n">
        <v>1</v>
      </c>
      <c r="P2120" s="62" t="n">
        <v>0</v>
      </c>
      <c r="Q2120" s="62" t="n">
        <v>0</v>
      </c>
      <c r="R2120" s="62" t="n">
        <v>0</v>
      </c>
      <c r="S2120" s="62" t="n">
        <v>0</v>
      </c>
      <c r="T2120" s="62" t="n">
        <v>0</v>
      </c>
      <c r="U2120" s="62" t="s">
        <v>15</v>
      </c>
      <c r="V2120" s="62" t="s">
        <v>2057</v>
      </c>
      <c r="W2120" s="62" t="s">
        <v>2056</v>
      </c>
      <c r="X2120" s="62" t="s">
        <v>2058</v>
      </c>
      <c r="Y2120" s="62" t="s">
        <v>2399</v>
      </c>
      <c r="Z2120" s="62" t="s">
        <v>3855</v>
      </c>
      <c r="AA2120" s="62" t="s">
        <v>3856</v>
      </c>
      <c r="AB2120" s="62" t="n">
        <v>1</v>
      </c>
      <c r="AC2120" s="62" t="n">
        <v>0</v>
      </c>
      <c r="AD2120" s="62" t="n">
        <v>1</v>
      </c>
      <c r="AE2120" s="62" t="n">
        <f aca="false">IF(AND(Dashboard!$C$9="Yes",AC2120=1),0,1)</f>
        <v>1</v>
      </c>
      <c r="AF2120" s="62" t="n">
        <v>1</v>
      </c>
    </row>
    <row r="2121" customFormat="false" ht="15" hidden="false" customHeight="false" outlineLevel="0" collapsed="false">
      <c r="A2121" s="62" t="n">
        <v>2120</v>
      </c>
      <c r="B2121" s="63" t="n">
        <v>46281.8309375</v>
      </c>
      <c r="C2121" s="64" t="n">
        <v>46281</v>
      </c>
      <c r="D2121" s="62" t="s">
        <v>143</v>
      </c>
      <c r="E2121" s="62" t="s">
        <v>939</v>
      </c>
      <c r="F2121" s="62" t="s">
        <v>939</v>
      </c>
      <c r="G2121" s="62" t="s">
        <v>940</v>
      </c>
      <c r="H2121" s="62" t="s">
        <v>57</v>
      </c>
      <c r="I2121" s="62" t="s">
        <v>47</v>
      </c>
      <c r="J2121" s="62" t="s">
        <v>146</v>
      </c>
      <c r="K2121" s="62" t="s">
        <v>147</v>
      </c>
      <c r="L2121" s="62" t="s">
        <v>4</v>
      </c>
      <c r="M2121" s="62" t="n">
        <v>1</v>
      </c>
      <c r="N2121" s="62" t="n">
        <v>0</v>
      </c>
      <c r="O2121" s="62" t="n">
        <v>1</v>
      </c>
      <c r="P2121" s="62" t="n">
        <v>0</v>
      </c>
      <c r="Q2121" s="62" t="n">
        <v>0</v>
      </c>
      <c r="R2121" s="62" t="n">
        <v>0</v>
      </c>
      <c r="S2121" s="62" t="n">
        <v>0</v>
      </c>
      <c r="T2121" s="62" t="n">
        <v>0</v>
      </c>
      <c r="U2121" s="62" t="s">
        <v>15</v>
      </c>
      <c r="V2121" s="62" t="s">
        <v>2057</v>
      </c>
      <c r="W2121" s="62" t="s">
        <v>2056</v>
      </c>
      <c r="X2121" s="62" t="s">
        <v>2058</v>
      </c>
      <c r="Y2121" s="62" t="s">
        <v>2399</v>
      </c>
      <c r="Z2121" s="62" t="s">
        <v>3855</v>
      </c>
      <c r="AA2121" s="62" t="s">
        <v>3857</v>
      </c>
      <c r="AB2121" s="62" t="n">
        <v>1</v>
      </c>
      <c r="AC2121" s="62" t="n">
        <v>0</v>
      </c>
      <c r="AD2121" s="62" t="n">
        <v>1</v>
      </c>
      <c r="AE2121" s="62" t="n">
        <f aca="false">IF(AND(Dashboard!$C$9="Yes",AC2121=1),0,1)</f>
        <v>1</v>
      </c>
      <c r="AF2121" s="62" t="n">
        <v>0</v>
      </c>
    </row>
    <row r="2122" customFormat="false" ht="15" hidden="false" customHeight="false" outlineLevel="0" collapsed="false">
      <c r="A2122" s="62" t="n">
        <v>2121</v>
      </c>
      <c r="B2122" s="63" t="n">
        <v>46281.8333217593</v>
      </c>
      <c r="C2122" s="64" t="n">
        <v>46281</v>
      </c>
      <c r="D2122" s="62" t="s">
        <v>143</v>
      </c>
      <c r="E2122" s="62" t="s">
        <v>2156</v>
      </c>
      <c r="F2122" s="62" t="s">
        <v>2156</v>
      </c>
      <c r="G2122" s="62" t="s">
        <v>2157</v>
      </c>
      <c r="H2122" s="62" t="s">
        <v>52</v>
      </c>
      <c r="I2122" s="62" t="s">
        <v>47</v>
      </c>
      <c r="J2122" s="62" t="s">
        <v>146</v>
      </c>
      <c r="K2122" s="62" t="s">
        <v>209</v>
      </c>
      <c r="L2122" s="62" t="s">
        <v>148</v>
      </c>
      <c r="M2122" s="62" t="n">
        <v>0</v>
      </c>
      <c r="N2122" s="62" t="n">
        <v>1</v>
      </c>
      <c r="O2122" s="62" t="n">
        <v>1</v>
      </c>
      <c r="P2122" s="62" t="n">
        <v>0</v>
      </c>
      <c r="Q2122" s="62" t="n">
        <v>1</v>
      </c>
      <c r="R2122" s="62" t="n">
        <v>0</v>
      </c>
      <c r="S2122" s="62" t="n">
        <v>0</v>
      </c>
      <c r="T2122" s="62" t="n">
        <v>0</v>
      </c>
      <c r="U2122" s="62"/>
      <c r="V2122" s="62"/>
      <c r="W2122" s="62"/>
      <c r="X2122" s="62"/>
      <c r="Y2122" s="62"/>
      <c r="Z2122" s="62" t="s">
        <v>3858</v>
      </c>
      <c r="AA2122" s="62" t="s">
        <v>3859</v>
      </c>
      <c r="AB2122" s="62" t="n">
        <v>1</v>
      </c>
      <c r="AC2122" s="62" t="n">
        <v>0</v>
      </c>
      <c r="AD2122" s="62" t="n">
        <v>1</v>
      </c>
      <c r="AE2122" s="62" t="n">
        <f aca="false">IF(AND(Dashboard!$C$9="Yes",AC2122=1),0,1)</f>
        <v>1</v>
      </c>
      <c r="AF2122" s="62" t="n">
        <v>1</v>
      </c>
    </row>
    <row r="2123" customFormat="false" ht="15" hidden="false" customHeight="false" outlineLevel="0" collapsed="false">
      <c r="A2123" s="62" t="n">
        <v>2122</v>
      </c>
      <c r="B2123" s="63" t="n">
        <v>46281.8359606482</v>
      </c>
      <c r="C2123" s="64" t="n">
        <v>46281</v>
      </c>
      <c r="D2123" s="62" t="s">
        <v>143</v>
      </c>
      <c r="E2123" s="62" t="s">
        <v>3371</v>
      </c>
      <c r="F2123" s="62" t="s">
        <v>3371</v>
      </c>
      <c r="G2123" s="62" t="s">
        <v>3372</v>
      </c>
      <c r="H2123" s="62" t="s">
        <v>48</v>
      </c>
      <c r="I2123" s="62" t="s">
        <v>49</v>
      </c>
      <c r="J2123" s="62" t="s">
        <v>146</v>
      </c>
      <c r="K2123" s="62" t="s">
        <v>209</v>
      </c>
      <c r="L2123" s="62" t="s">
        <v>4</v>
      </c>
      <c r="M2123" s="62" t="n">
        <v>1</v>
      </c>
      <c r="N2123" s="62" t="n">
        <v>0</v>
      </c>
      <c r="O2123" s="62" t="n">
        <v>1</v>
      </c>
      <c r="P2123" s="62" t="n">
        <v>0</v>
      </c>
      <c r="Q2123" s="62" t="n">
        <v>0</v>
      </c>
      <c r="R2123" s="62" t="n">
        <v>0</v>
      </c>
      <c r="S2123" s="62" t="n">
        <v>0</v>
      </c>
      <c r="T2123" s="62" t="n">
        <v>0</v>
      </c>
      <c r="U2123" s="62" t="s">
        <v>2056</v>
      </c>
      <c r="V2123" s="62" t="s">
        <v>2057</v>
      </c>
      <c r="W2123" s="62" t="s">
        <v>15</v>
      </c>
      <c r="X2123" s="62" t="s">
        <v>2058</v>
      </c>
      <c r="Y2123" s="62" t="s">
        <v>2059</v>
      </c>
      <c r="Z2123" s="62" t="s">
        <v>3860</v>
      </c>
      <c r="AA2123" s="62" t="s">
        <v>3861</v>
      </c>
      <c r="AB2123" s="62" t="n">
        <v>1</v>
      </c>
      <c r="AC2123" s="62" t="n">
        <v>0</v>
      </c>
      <c r="AD2123" s="62" t="n">
        <v>1</v>
      </c>
      <c r="AE2123" s="62" t="n">
        <f aca="false">IF(AND(Dashboard!$C$9="Yes",AC2123=1),0,1)</f>
        <v>1</v>
      </c>
      <c r="AF2123" s="62" t="n">
        <v>1</v>
      </c>
    </row>
    <row r="2124" customFormat="false" ht="15" hidden="false" customHeight="false" outlineLevel="0" collapsed="false">
      <c r="A2124" s="62" t="n">
        <v>2123</v>
      </c>
      <c r="B2124" s="63" t="n">
        <v>46281.8373148148</v>
      </c>
      <c r="C2124" s="64" t="n">
        <v>46281</v>
      </c>
      <c r="D2124" s="62" t="s">
        <v>143</v>
      </c>
      <c r="E2124" s="62" t="s">
        <v>1382</v>
      </c>
      <c r="F2124" s="62" t="s">
        <v>1382</v>
      </c>
      <c r="G2124" s="62" t="s">
        <v>1383</v>
      </c>
      <c r="H2124" s="62" t="s">
        <v>58</v>
      </c>
      <c r="I2124" s="62" t="s">
        <v>49</v>
      </c>
      <c r="J2124" s="62" t="s">
        <v>146</v>
      </c>
      <c r="K2124" s="62" t="s">
        <v>175</v>
      </c>
      <c r="L2124" s="62" t="s">
        <v>148</v>
      </c>
      <c r="M2124" s="62" t="n">
        <v>0</v>
      </c>
      <c r="N2124" s="62" t="n">
        <v>1</v>
      </c>
      <c r="O2124" s="62" t="n">
        <v>1</v>
      </c>
      <c r="P2124" s="62" t="n">
        <v>1</v>
      </c>
      <c r="Q2124" s="62" t="n">
        <v>0</v>
      </c>
      <c r="R2124" s="62" t="n">
        <v>0</v>
      </c>
      <c r="S2124" s="62" t="n">
        <v>0</v>
      </c>
      <c r="T2124" s="62" t="n">
        <v>0</v>
      </c>
      <c r="U2124" s="62"/>
      <c r="V2124" s="62"/>
      <c r="W2124" s="62"/>
      <c r="X2124" s="62"/>
      <c r="Y2124" s="62"/>
      <c r="Z2124" s="62" t="s">
        <v>3862</v>
      </c>
      <c r="AA2124" s="62" t="s">
        <v>3863</v>
      </c>
      <c r="AB2124" s="62" t="n">
        <v>1</v>
      </c>
      <c r="AC2124" s="62" t="n">
        <v>0</v>
      </c>
      <c r="AD2124" s="62" t="n">
        <v>1</v>
      </c>
      <c r="AE2124" s="62" t="n">
        <f aca="false">IF(AND(Dashboard!$C$9="Yes",AC2124=1),0,1)</f>
        <v>1</v>
      </c>
      <c r="AF2124" s="62" t="n">
        <v>1</v>
      </c>
    </row>
    <row r="2125" customFormat="false" ht="15" hidden="false" customHeight="false" outlineLevel="0" collapsed="false">
      <c r="A2125" s="62" t="n">
        <v>2124</v>
      </c>
      <c r="B2125" s="63" t="n">
        <v>46281.8412152778</v>
      </c>
      <c r="C2125" s="64" t="n">
        <v>46281</v>
      </c>
      <c r="D2125" s="62" t="s">
        <v>143</v>
      </c>
      <c r="E2125" s="62" t="s">
        <v>586</v>
      </c>
      <c r="F2125" s="62" t="s">
        <v>586</v>
      </c>
      <c r="G2125" s="62" t="s">
        <v>587</v>
      </c>
      <c r="H2125" s="62" t="s">
        <v>57</v>
      </c>
      <c r="I2125" s="62" t="s">
        <v>47</v>
      </c>
      <c r="J2125" s="62" t="s">
        <v>146</v>
      </c>
      <c r="K2125" s="62" t="s">
        <v>175</v>
      </c>
      <c r="L2125" s="62" t="s">
        <v>148</v>
      </c>
      <c r="M2125" s="62" t="n">
        <v>0</v>
      </c>
      <c r="N2125" s="62" t="n">
        <v>2</v>
      </c>
      <c r="O2125" s="62" t="n">
        <v>2</v>
      </c>
      <c r="P2125" s="62" t="n">
        <v>0</v>
      </c>
      <c r="Q2125" s="62" t="n">
        <v>1</v>
      </c>
      <c r="R2125" s="62" t="n">
        <v>1</v>
      </c>
      <c r="S2125" s="62" t="n">
        <v>0</v>
      </c>
      <c r="T2125" s="62" t="n">
        <v>0</v>
      </c>
      <c r="U2125" s="62"/>
      <c r="V2125" s="62"/>
      <c r="W2125" s="62"/>
      <c r="X2125" s="62"/>
      <c r="Y2125" s="62"/>
      <c r="Z2125" s="62" t="s">
        <v>3864</v>
      </c>
      <c r="AA2125" s="62" t="s">
        <v>3865</v>
      </c>
      <c r="AB2125" s="62" t="n">
        <v>1</v>
      </c>
      <c r="AC2125" s="62" t="n">
        <v>0</v>
      </c>
      <c r="AD2125" s="62" t="n">
        <v>1</v>
      </c>
      <c r="AE2125" s="62" t="n">
        <f aca="false">IF(AND(Dashboard!$C$9="Yes",AC2125=1),0,1)</f>
        <v>1</v>
      </c>
      <c r="AF2125" s="62" t="n">
        <v>1</v>
      </c>
    </row>
    <row r="2126" customFormat="false" ht="15" hidden="false" customHeight="false" outlineLevel="0" collapsed="false">
      <c r="A2126" s="62" t="n">
        <v>2125</v>
      </c>
      <c r="B2126" s="63" t="n">
        <v>46281.8428125</v>
      </c>
      <c r="C2126" s="64" t="n">
        <v>46281</v>
      </c>
      <c r="D2126" s="62" t="s">
        <v>143</v>
      </c>
      <c r="E2126" s="62" t="s">
        <v>1005</v>
      </c>
      <c r="F2126" s="62" t="s">
        <v>1005</v>
      </c>
      <c r="G2126" s="62" t="s">
        <v>1006</v>
      </c>
      <c r="H2126" s="62" t="s">
        <v>46</v>
      </c>
      <c r="I2126" s="62" t="s">
        <v>47</v>
      </c>
      <c r="J2126" s="62" t="s">
        <v>146</v>
      </c>
      <c r="K2126" s="62" t="s">
        <v>209</v>
      </c>
      <c r="L2126" s="62" t="s">
        <v>148</v>
      </c>
      <c r="M2126" s="62" t="n">
        <v>0</v>
      </c>
      <c r="N2126" s="62" t="n">
        <v>1</v>
      </c>
      <c r="O2126" s="62" t="n">
        <v>1</v>
      </c>
      <c r="P2126" s="62" t="n">
        <v>0</v>
      </c>
      <c r="Q2126" s="62" t="n">
        <v>1</v>
      </c>
      <c r="R2126" s="62" t="n">
        <v>0</v>
      </c>
      <c r="S2126" s="62" t="n">
        <v>0</v>
      </c>
      <c r="T2126" s="62" t="n">
        <v>0</v>
      </c>
      <c r="U2126" s="62"/>
      <c r="V2126" s="62"/>
      <c r="W2126" s="62"/>
      <c r="X2126" s="62"/>
      <c r="Y2126" s="62"/>
      <c r="Z2126" s="62" t="s">
        <v>3866</v>
      </c>
      <c r="AA2126" s="62" t="s">
        <v>485</v>
      </c>
      <c r="AB2126" s="62" t="n">
        <v>0</v>
      </c>
      <c r="AC2126" s="62" t="n">
        <v>0</v>
      </c>
      <c r="AD2126" s="62" t="n">
        <v>1</v>
      </c>
      <c r="AE2126" s="62" t="n">
        <f aca="false">IF(AND(Dashboard!$C$9="Yes",AC2126=1),0,1)</f>
        <v>1</v>
      </c>
      <c r="AF2126" s="62" t="n">
        <v>1</v>
      </c>
    </row>
    <row r="2127" customFormat="false" ht="15" hidden="false" customHeight="false" outlineLevel="0" collapsed="false">
      <c r="A2127" s="62" t="n">
        <v>2126</v>
      </c>
      <c r="B2127" s="63" t="n">
        <v>46281.846412037</v>
      </c>
      <c r="C2127" s="64" t="n">
        <v>46281</v>
      </c>
      <c r="D2127" s="62" t="s">
        <v>143</v>
      </c>
      <c r="E2127" s="62" t="s">
        <v>3181</v>
      </c>
      <c r="F2127" s="62" t="s">
        <v>3181</v>
      </c>
      <c r="G2127" s="62" t="s">
        <v>3182</v>
      </c>
      <c r="H2127" s="62" t="s">
        <v>58</v>
      </c>
      <c r="I2127" s="62" t="s">
        <v>49</v>
      </c>
      <c r="J2127" s="62" t="s">
        <v>146</v>
      </c>
      <c r="K2127" s="62" t="s">
        <v>209</v>
      </c>
      <c r="L2127" s="62" t="s">
        <v>148</v>
      </c>
      <c r="M2127" s="62" t="n">
        <v>0</v>
      </c>
      <c r="N2127" s="62" t="n">
        <v>1</v>
      </c>
      <c r="O2127" s="62" t="n">
        <v>1</v>
      </c>
      <c r="P2127" s="62" t="n">
        <v>1</v>
      </c>
      <c r="Q2127" s="62" t="n">
        <v>0</v>
      </c>
      <c r="R2127" s="62" t="n">
        <v>0</v>
      </c>
      <c r="S2127" s="62" t="n">
        <v>0</v>
      </c>
      <c r="T2127" s="62" t="n">
        <v>0</v>
      </c>
      <c r="U2127" s="62"/>
      <c r="V2127" s="62"/>
      <c r="W2127" s="62"/>
      <c r="X2127" s="62"/>
      <c r="Y2127" s="62"/>
      <c r="Z2127" s="62" t="s">
        <v>3867</v>
      </c>
      <c r="AA2127" s="62" t="s">
        <v>3868</v>
      </c>
      <c r="AB2127" s="62" t="n">
        <v>0</v>
      </c>
      <c r="AC2127" s="62" t="n">
        <v>0</v>
      </c>
      <c r="AD2127" s="62" t="n">
        <v>1</v>
      </c>
      <c r="AE2127" s="62" t="n">
        <f aca="false">IF(AND(Dashboard!$C$9="Yes",AC2127=1),0,1)</f>
        <v>1</v>
      </c>
      <c r="AF2127" s="62" t="n">
        <v>1</v>
      </c>
    </row>
    <row r="2128" customFormat="false" ht="15" hidden="false" customHeight="false" outlineLevel="0" collapsed="false">
      <c r="A2128" s="62" t="n">
        <v>2127</v>
      </c>
      <c r="B2128" s="63" t="n">
        <v>46281.8488425926</v>
      </c>
      <c r="C2128" s="64" t="n">
        <v>46281</v>
      </c>
      <c r="D2128" s="62" t="s">
        <v>143</v>
      </c>
      <c r="E2128" s="62" t="s">
        <v>3869</v>
      </c>
      <c r="F2128" s="62" t="s">
        <v>3869</v>
      </c>
      <c r="G2128" s="62" t="s">
        <v>3870</v>
      </c>
      <c r="H2128" s="62" t="s">
        <v>59</v>
      </c>
      <c r="I2128" s="62" t="s">
        <v>47</v>
      </c>
      <c r="J2128" s="62" t="s">
        <v>146</v>
      </c>
      <c r="K2128" s="62" t="s">
        <v>209</v>
      </c>
      <c r="L2128" s="62" t="s">
        <v>148</v>
      </c>
      <c r="M2128" s="62" t="n">
        <v>0</v>
      </c>
      <c r="N2128" s="62" t="n">
        <v>1</v>
      </c>
      <c r="O2128" s="62" t="n">
        <v>1</v>
      </c>
      <c r="P2128" s="62" t="n">
        <v>1</v>
      </c>
      <c r="Q2128" s="62" t="n">
        <v>0</v>
      </c>
      <c r="R2128" s="62" t="n">
        <v>0</v>
      </c>
      <c r="S2128" s="62" t="n">
        <v>0</v>
      </c>
      <c r="T2128" s="62" t="n">
        <v>0</v>
      </c>
      <c r="U2128" s="62"/>
      <c r="V2128" s="62"/>
      <c r="W2128" s="62"/>
      <c r="X2128" s="62"/>
      <c r="Y2128" s="62"/>
      <c r="Z2128" s="62" t="s">
        <v>3871</v>
      </c>
      <c r="AA2128" s="62" t="s">
        <v>3872</v>
      </c>
      <c r="AB2128" s="62" t="n">
        <v>1</v>
      </c>
      <c r="AC2128" s="62" t="n">
        <v>0</v>
      </c>
      <c r="AD2128" s="62" t="n">
        <v>1</v>
      </c>
      <c r="AE2128" s="62" t="n">
        <f aca="false">IF(AND(Dashboard!$C$9="Yes",AC2128=1),0,1)</f>
        <v>1</v>
      </c>
      <c r="AF2128" s="62" t="n">
        <v>1</v>
      </c>
    </row>
    <row r="2129" customFormat="false" ht="15" hidden="false" customHeight="false" outlineLevel="0" collapsed="false">
      <c r="A2129" s="62" t="n">
        <v>2128</v>
      </c>
      <c r="B2129" s="63" t="n">
        <v>46281.8501736111</v>
      </c>
      <c r="C2129" s="64" t="n">
        <v>46281</v>
      </c>
      <c r="D2129" s="62" t="s">
        <v>143</v>
      </c>
      <c r="E2129" s="62" t="s">
        <v>3849</v>
      </c>
      <c r="F2129" s="62" t="s">
        <v>3873</v>
      </c>
      <c r="G2129" s="62" t="s">
        <v>153</v>
      </c>
      <c r="H2129" s="62" t="s">
        <v>153</v>
      </c>
      <c r="I2129" s="62" t="s">
        <v>153</v>
      </c>
      <c r="J2129" s="62" t="s">
        <v>64</v>
      </c>
      <c r="K2129" s="62" t="s">
        <v>64</v>
      </c>
      <c r="L2129" s="62" t="s">
        <v>148</v>
      </c>
      <c r="M2129" s="62" t="n">
        <v>0</v>
      </c>
      <c r="N2129" s="62" t="n">
        <v>1</v>
      </c>
      <c r="O2129" s="62" t="n">
        <v>1</v>
      </c>
      <c r="P2129" s="62" t="n">
        <v>1</v>
      </c>
      <c r="Q2129" s="62" t="n">
        <v>0</v>
      </c>
      <c r="R2129" s="62" t="n">
        <v>0</v>
      </c>
      <c r="S2129" s="62" t="n">
        <v>0</v>
      </c>
      <c r="T2129" s="62" t="n">
        <v>0</v>
      </c>
      <c r="U2129" s="62"/>
      <c r="V2129" s="62"/>
      <c r="W2129" s="62"/>
      <c r="X2129" s="62"/>
      <c r="Y2129" s="62"/>
      <c r="Z2129" s="62" t="s">
        <v>3849</v>
      </c>
      <c r="AA2129" s="62" t="s">
        <v>3848</v>
      </c>
      <c r="AB2129" s="62" t="n">
        <v>1</v>
      </c>
      <c r="AC2129" s="62" t="n">
        <v>0</v>
      </c>
      <c r="AD2129" s="62" t="n">
        <v>0</v>
      </c>
      <c r="AE2129" s="62" t="n">
        <f aca="false">IF(AND(Dashboard!$C$9="Yes",AC2129=1),0,1)</f>
        <v>1</v>
      </c>
      <c r="AF2129" s="62" t="n">
        <v>1</v>
      </c>
    </row>
    <row r="2130" customFormat="false" ht="15" hidden="false" customHeight="false" outlineLevel="0" collapsed="false">
      <c r="A2130" s="62" t="n">
        <v>2129</v>
      </c>
      <c r="B2130" s="63" t="n">
        <v>46281.8517476852</v>
      </c>
      <c r="C2130" s="64" t="n">
        <v>46281</v>
      </c>
      <c r="D2130" s="62" t="s">
        <v>143</v>
      </c>
      <c r="E2130" s="62" t="s">
        <v>650</v>
      </c>
      <c r="F2130" s="62" t="s">
        <v>650</v>
      </c>
      <c r="G2130" s="62" t="s">
        <v>651</v>
      </c>
      <c r="H2130" s="62" t="s">
        <v>59</v>
      </c>
      <c r="I2130" s="62" t="s">
        <v>47</v>
      </c>
      <c r="J2130" s="62" t="s">
        <v>146</v>
      </c>
      <c r="K2130" s="62" t="s">
        <v>209</v>
      </c>
      <c r="L2130" s="62" t="s">
        <v>4</v>
      </c>
      <c r="M2130" s="62" t="n">
        <v>1</v>
      </c>
      <c r="N2130" s="62" t="n">
        <v>0</v>
      </c>
      <c r="O2130" s="62" t="n">
        <v>1</v>
      </c>
      <c r="P2130" s="62" t="n">
        <v>0</v>
      </c>
      <c r="Q2130" s="62" t="n">
        <v>0</v>
      </c>
      <c r="R2130" s="62" t="n">
        <v>0</v>
      </c>
      <c r="S2130" s="62" t="n">
        <v>0</v>
      </c>
      <c r="T2130" s="62" t="n">
        <v>0</v>
      </c>
      <c r="U2130" s="62" t="s">
        <v>2056</v>
      </c>
      <c r="V2130" s="62" t="s">
        <v>2057</v>
      </c>
      <c r="W2130" s="62" t="s">
        <v>15</v>
      </c>
      <c r="X2130" s="62" t="s">
        <v>2058</v>
      </c>
      <c r="Y2130" s="62" t="s">
        <v>2059</v>
      </c>
      <c r="Z2130" s="62" t="s">
        <v>3849</v>
      </c>
      <c r="AA2130" s="62" t="s">
        <v>3852</v>
      </c>
      <c r="AB2130" s="62" t="n">
        <v>1</v>
      </c>
      <c r="AC2130" s="62" t="n">
        <v>1</v>
      </c>
      <c r="AD2130" s="62" t="n">
        <v>1</v>
      </c>
      <c r="AE2130" s="62" t="n">
        <f aca="false">IF(AND(Dashboard!$C$9="Yes",AC2130=1),0,1)</f>
        <v>0</v>
      </c>
      <c r="AF2130" s="62" t="n">
        <v>0</v>
      </c>
    </row>
    <row r="2131" customFormat="false" ht="15" hidden="false" customHeight="false" outlineLevel="0" collapsed="false">
      <c r="A2131" s="62" t="n">
        <v>2130</v>
      </c>
      <c r="B2131" s="63" t="n">
        <v>46281.8669212963</v>
      </c>
      <c r="C2131" s="64" t="n">
        <v>46281</v>
      </c>
      <c r="D2131" s="62" t="s">
        <v>143</v>
      </c>
      <c r="E2131" s="62" t="s">
        <v>3874</v>
      </c>
      <c r="F2131" s="62" t="s">
        <v>3874</v>
      </c>
      <c r="G2131" s="62" t="s">
        <v>3875</v>
      </c>
      <c r="H2131" s="62" t="s">
        <v>59</v>
      </c>
      <c r="I2131" s="62" t="s">
        <v>47</v>
      </c>
      <c r="J2131" s="62" t="s">
        <v>146</v>
      </c>
      <c r="K2131" s="62" t="s">
        <v>209</v>
      </c>
      <c r="L2131" s="62" t="s">
        <v>148</v>
      </c>
      <c r="M2131" s="62" t="n">
        <v>0</v>
      </c>
      <c r="N2131" s="62" t="n">
        <v>2</v>
      </c>
      <c r="O2131" s="62" t="n">
        <v>2</v>
      </c>
      <c r="P2131" s="62" t="n">
        <v>1</v>
      </c>
      <c r="Q2131" s="62" t="n">
        <v>1</v>
      </c>
      <c r="R2131" s="62" t="n">
        <v>0</v>
      </c>
      <c r="S2131" s="62" t="n">
        <v>0</v>
      </c>
      <c r="T2131" s="62" t="n">
        <v>0</v>
      </c>
      <c r="U2131" s="62"/>
      <c r="V2131" s="62"/>
      <c r="W2131" s="62"/>
      <c r="X2131" s="62"/>
      <c r="Y2131" s="62"/>
      <c r="Z2131" s="62" t="s">
        <v>3876</v>
      </c>
      <c r="AA2131" s="62" t="s">
        <v>3877</v>
      </c>
      <c r="AB2131" s="62" t="n">
        <v>1</v>
      </c>
      <c r="AC2131" s="62" t="n">
        <v>0</v>
      </c>
      <c r="AD2131" s="62" t="n">
        <v>1</v>
      </c>
      <c r="AE2131" s="62" t="n">
        <f aca="false">IF(AND(Dashboard!$C$9="Yes",AC2131=1),0,1)</f>
        <v>1</v>
      </c>
      <c r="AF2131" s="62" t="n">
        <v>1</v>
      </c>
    </row>
    <row r="2132" customFormat="false" ht="15" hidden="false" customHeight="false" outlineLevel="0" collapsed="false">
      <c r="A2132" s="62" t="n">
        <v>2131</v>
      </c>
      <c r="B2132" s="63" t="n">
        <v>46281.8674189815</v>
      </c>
      <c r="C2132" s="64" t="n">
        <v>46281</v>
      </c>
      <c r="D2132" s="62" t="s">
        <v>143</v>
      </c>
      <c r="E2132" s="62" t="s">
        <v>3226</v>
      </c>
      <c r="F2132" s="62" t="s">
        <v>3226</v>
      </c>
      <c r="G2132" s="62" t="s">
        <v>3227</v>
      </c>
      <c r="H2132" s="62" t="s">
        <v>46</v>
      </c>
      <c r="I2132" s="62" t="s">
        <v>47</v>
      </c>
      <c r="J2132" s="62" t="s">
        <v>146</v>
      </c>
      <c r="K2132" s="62" t="s">
        <v>209</v>
      </c>
      <c r="L2132" s="62" t="s">
        <v>148</v>
      </c>
      <c r="M2132" s="62" t="n">
        <v>0</v>
      </c>
      <c r="N2132" s="62" t="n">
        <v>1</v>
      </c>
      <c r="O2132" s="62" t="n">
        <v>1</v>
      </c>
      <c r="P2132" s="62" t="n">
        <v>1</v>
      </c>
      <c r="Q2132" s="62" t="n">
        <v>0</v>
      </c>
      <c r="R2132" s="62" t="n">
        <v>0</v>
      </c>
      <c r="S2132" s="62" t="n">
        <v>0</v>
      </c>
      <c r="T2132" s="62" t="n">
        <v>0</v>
      </c>
      <c r="U2132" s="62"/>
      <c r="V2132" s="62"/>
      <c r="W2132" s="62"/>
      <c r="X2132" s="62"/>
      <c r="Y2132" s="62"/>
      <c r="Z2132" s="62" t="s">
        <v>3878</v>
      </c>
      <c r="AA2132" s="62" t="s">
        <v>3879</v>
      </c>
      <c r="AB2132" s="62" t="n">
        <v>1</v>
      </c>
      <c r="AC2132" s="62" t="n">
        <v>0</v>
      </c>
      <c r="AD2132" s="62" t="n">
        <v>1</v>
      </c>
      <c r="AE2132" s="62" t="n">
        <f aca="false">IF(AND(Dashboard!$C$9="Yes",AC2132=1),0,1)</f>
        <v>1</v>
      </c>
      <c r="AF2132" s="62" t="n">
        <v>1</v>
      </c>
    </row>
    <row r="2133" customFormat="false" ht="15" hidden="false" customHeight="false" outlineLevel="0" collapsed="false">
      <c r="A2133" s="62" t="n">
        <v>2132</v>
      </c>
      <c r="B2133" s="63" t="n">
        <v>46281.8688194445</v>
      </c>
      <c r="C2133" s="64" t="n">
        <v>46281</v>
      </c>
      <c r="D2133" s="62" t="s">
        <v>143</v>
      </c>
      <c r="E2133" s="62" t="s">
        <v>3148</v>
      </c>
      <c r="F2133" s="62" t="s">
        <v>3148</v>
      </c>
      <c r="G2133" s="62" t="s">
        <v>3149</v>
      </c>
      <c r="H2133" s="62" t="s">
        <v>46</v>
      </c>
      <c r="I2133" s="62" t="s">
        <v>47</v>
      </c>
      <c r="J2133" s="62" t="s">
        <v>146</v>
      </c>
      <c r="K2133" s="62" t="s">
        <v>209</v>
      </c>
      <c r="L2133" s="62" t="s">
        <v>4</v>
      </c>
      <c r="M2133" s="62" t="n">
        <v>1</v>
      </c>
      <c r="N2133" s="62" t="n">
        <v>0</v>
      </c>
      <c r="O2133" s="62" t="n">
        <v>1</v>
      </c>
      <c r="P2133" s="62" t="n">
        <v>0</v>
      </c>
      <c r="Q2133" s="62" t="n">
        <v>0</v>
      </c>
      <c r="R2133" s="62" t="n">
        <v>0</v>
      </c>
      <c r="S2133" s="62" t="n">
        <v>0</v>
      </c>
      <c r="T2133" s="62" t="n">
        <v>0</v>
      </c>
      <c r="U2133" s="62" t="s">
        <v>2056</v>
      </c>
      <c r="V2133" s="62" t="s">
        <v>2068</v>
      </c>
      <c r="W2133" s="62"/>
      <c r="X2133" s="62" t="s">
        <v>2103</v>
      </c>
      <c r="Y2133" s="62" t="s">
        <v>2103</v>
      </c>
      <c r="Z2133" s="62" t="s">
        <v>3880</v>
      </c>
      <c r="AA2133" s="62" t="s">
        <v>3881</v>
      </c>
      <c r="AB2133" s="62" t="n">
        <v>1</v>
      </c>
      <c r="AC2133" s="62" t="n">
        <v>0</v>
      </c>
      <c r="AD2133" s="62" t="n">
        <v>1</v>
      </c>
      <c r="AE2133" s="62" t="n">
        <f aca="false">IF(AND(Dashboard!$C$9="Yes",AC2133=1),0,1)</f>
        <v>1</v>
      </c>
      <c r="AF2133" s="62" t="n">
        <v>1</v>
      </c>
    </row>
    <row r="2134" customFormat="false" ht="15" hidden="false" customHeight="false" outlineLevel="0" collapsed="false">
      <c r="A2134" s="62" t="n">
        <v>2133</v>
      </c>
      <c r="B2134" s="63" t="n">
        <v>46281.8998611111</v>
      </c>
      <c r="C2134" s="64" t="n">
        <v>46281</v>
      </c>
      <c r="D2134" s="62" t="s">
        <v>143</v>
      </c>
      <c r="E2134" s="62" t="s">
        <v>939</v>
      </c>
      <c r="F2134" s="62" t="s">
        <v>939</v>
      </c>
      <c r="G2134" s="62" t="s">
        <v>940</v>
      </c>
      <c r="H2134" s="62" t="s">
        <v>57</v>
      </c>
      <c r="I2134" s="62" t="s">
        <v>47</v>
      </c>
      <c r="J2134" s="62" t="s">
        <v>146</v>
      </c>
      <c r="K2134" s="62" t="s">
        <v>147</v>
      </c>
      <c r="L2134" s="62" t="s">
        <v>148</v>
      </c>
      <c r="M2134" s="62" t="n">
        <v>0</v>
      </c>
      <c r="N2134" s="62" t="n">
        <v>1</v>
      </c>
      <c r="O2134" s="62" t="n">
        <v>1</v>
      </c>
      <c r="P2134" s="62" t="n">
        <v>1</v>
      </c>
      <c r="Q2134" s="62" t="n">
        <v>0</v>
      </c>
      <c r="R2134" s="62" t="n">
        <v>0</v>
      </c>
      <c r="S2134" s="62" t="n">
        <v>0</v>
      </c>
      <c r="T2134" s="62" t="n">
        <v>0</v>
      </c>
      <c r="U2134" s="62"/>
      <c r="V2134" s="62"/>
      <c r="W2134" s="62"/>
      <c r="X2134" s="62"/>
      <c r="Y2134" s="62"/>
      <c r="Z2134" s="62" t="s">
        <v>3882</v>
      </c>
      <c r="AA2134" s="62" t="s">
        <v>3116</v>
      </c>
      <c r="AB2134" s="62" t="n">
        <v>1</v>
      </c>
      <c r="AC2134" s="62" t="n">
        <v>0</v>
      </c>
      <c r="AD2134" s="62" t="n">
        <v>1</v>
      </c>
      <c r="AE2134" s="62" t="n">
        <f aca="false">IF(AND(Dashboard!$C$9="Yes",AC2134=1),0,1)</f>
        <v>1</v>
      </c>
      <c r="AF2134" s="62" t="n">
        <v>0</v>
      </c>
    </row>
    <row r="2135" customFormat="false" ht="15" hidden="false" customHeight="false" outlineLevel="0" collapsed="false">
      <c r="A2135" s="62" t="n">
        <v>2134</v>
      </c>
      <c r="B2135" s="63" t="n">
        <v>46281.9301041667</v>
      </c>
      <c r="C2135" s="64" t="n">
        <v>46281</v>
      </c>
      <c r="D2135" s="62" t="s">
        <v>143</v>
      </c>
      <c r="E2135" s="62" t="s">
        <v>939</v>
      </c>
      <c r="F2135" s="62" t="s">
        <v>939</v>
      </c>
      <c r="G2135" s="62" t="s">
        <v>940</v>
      </c>
      <c r="H2135" s="62" t="s">
        <v>57</v>
      </c>
      <c r="I2135" s="62" t="s">
        <v>47</v>
      </c>
      <c r="J2135" s="62" t="s">
        <v>146</v>
      </c>
      <c r="K2135" s="62" t="s">
        <v>147</v>
      </c>
      <c r="L2135" s="62" t="s">
        <v>148</v>
      </c>
      <c r="M2135" s="62" t="n">
        <v>0</v>
      </c>
      <c r="N2135" s="62" t="n">
        <v>1</v>
      </c>
      <c r="O2135" s="62" t="n">
        <v>1</v>
      </c>
      <c r="P2135" s="62" t="n">
        <v>1</v>
      </c>
      <c r="Q2135" s="62" t="n">
        <v>0</v>
      </c>
      <c r="R2135" s="62" t="n">
        <v>0</v>
      </c>
      <c r="S2135" s="62" t="n">
        <v>0</v>
      </c>
      <c r="T2135" s="62" t="n">
        <v>0</v>
      </c>
      <c r="U2135" s="62"/>
      <c r="V2135" s="62"/>
      <c r="W2135" s="62"/>
      <c r="X2135" s="62"/>
      <c r="Y2135" s="62"/>
      <c r="Z2135" s="62" t="s">
        <v>3883</v>
      </c>
      <c r="AA2135" s="62" t="s">
        <v>3884</v>
      </c>
      <c r="AB2135" s="62" t="n">
        <v>1</v>
      </c>
      <c r="AC2135" s="62" t="n">
        <v>0</v>
      </c>
      <c r="AD2135" s="62" t="n">
        <v>1</v>
      </c>
      <c r="AE2135" s="62" t="n">
        <f aca="false">IF(AND(Dashboard!$C$9="Yes",AC2135=1),0,1)</f>
        <v>1</v>
      </c>
      <c r="AF2135" s="62" t="n">
        <v>0</v>
      </c>
    </row>
    <row r="2136" customFormat="false" ht="15" hidden="false" customHeight="false" outlineLevel="0" collapsed="false">
      <c r="A2136" s="62" t="n">
        <v>2135</v>
      </c>
      <c r="B2136" s="63" t="n">
        <v>46281.9453240741</v>
      </c>
      <c r="C2136" s="64" t="n">
        <v>46281</v>
      </c>
      <c r="D2136" s="62" t="s">
        <v>143</v>
      </c>
      <c r="E2136" s="62" t="s">
        <v>144</v>
      </c>
      <c r="F2136" s="62" t="s">
        <v>144</v>
      </c>
      <c r="G2136" s="62" t="s">
        <v>145</v>
      </c>
      <c r="H2136" s="62" t="s">
        <v>59</v>
      </c>
      <c r="I2136" s="62" t="s">
        <v>47</v>
      </c>
      <c r="J2136" s="62" t="s">
        <v>146</v>
      </c>
      <c r="K2136" s="62" t="s">
        <v>147</v>
      </c>
      <c r="L2136" s="62" t="s">
        <v>148</v>
      </c>
      <c r="M2136" s="62" t="n">
        <v>0</v>
      </c>
      <c r="N2136" s="62" t="n">
        <v>1</v>
      </c>
      <c r="O2136" s="62" t="n">
        <v>1</v>
      </c>
      <c r="P2136" s="62" t="n">
        <v>0</v>
      </c>
      <c r="Q2136" s="62" t="n">
        <v>1</v>
      </c>
      <c r="R2136" s="62" t="n">
        <v>0</v>
      </c>
      <c r="S2136" s="62" t="n">
        <v>0</v>
      </c>
      <c r="T2136" s="62" t="n">
        <v>0</v>
      </c>
      <c r="U2136" s="62"/>
      <c r="V2136" s="62"/>
      <c r="W2136" s="62"/>
      <c r="X2136" s="62"/>
      <c r="Y2136" s="62"/>
      <c r="Z2136" s="62" t="s">
        <v>3885</v>
      </c>
      <c r="AA2136" s="62" t="s">
        <v>3886</v>
      </c>
      <c r="AB2136" s="62" t="n">
        <v>0</v>
      </c>
      <c r="AC2136" s="62" t="n">
        <v>0</v>
      </c>
      <c r="AD2136" s="62" t="n">
        <v>1</v>
      </c>
      <c r="AE2136" s="62" t="n">
        <f aca="false">IF(AND(Dashboard!$C$9="Yes",AC2136=1),0,1)</f>
        <v>1</v>
      </c>
      <c r="AF2136" s="62" t="n">
        <v>1</v>
      </c>
    </row>
    <row r="2137" customFormat="false" ht="15" hidden="false" customHeight="false" outlineLevel="0" collapsed="false">
      <c r="A2137" s="62" t="n">
        <v>2136</v>
      </c>
      <c r="B2137" s="63" t="n">
        <v>46281.9455787037</v>
      </c>
      <c r="C2137" s="64" t="n">
        <v>46281</v>
      </c>
      <c r="D2137" s="62" t="s">
        <v>143</v>
      </c>
      <c r="E2137" s="62" t="s">
        <v>144</v>
      </c>
      <c r="F2137" s="62" t="s">
        <v>144</v>
      </c>
      <c r="G2137" s="62" t="s">
        <v>145</v>
      </c>
      <c r="H2137" s="62" t="s">
        <v>59</v>
      </c>
      <c r="I2137" s="62" t="s">
        <v>47</v>
      </c>
      <c r="J2137" s="62" t="s">
        <v>146</v>
      </c>
      <c r="K2137" s="62" t="s">
        <v>147</v>
      </c>
      <c r="L2137" s="62" t="s">
        <v>148</v>
      </c>
      <c r="M2137" s="62" t="n">
        <v>0</v>
      </c>
      <c r="N2137" s="62" t="n">
        <v>1</v>
      </c>
      <c r="O2137" s="62" t="n">
        <v>1</v>
      </c>
      <c r="P2137" s="62" t="n">
        <v>0</v>
      </c>
      <c r="Q2137" s="62" t="n">
        <v>1</v>
      </c>
      <c r="R2137" s="62" t="n">
        <v>0</v>
      </c>
      <c r="S2137" s="62" t="n">
        <v>0</v>
      </c>
      <c r="T2137" s="62" t="n">
        <v>0</v>
      </c>
      <c r="U2137" s="62"/>
      <c r="V2137" s="62"/>
      <c r="W2137" s="62"/>
      <c r="X2137" s="62"/>
      <c r="Y2137" s="62"/>
      <c r="Z2137" s="62" t="s">
        <v>3885</v>
      </c>
      <c r="AA2137" s="62" t="s">
        <v>3886</v>
      </c>
      <c r="AB2137" s="62" t="n">
        <v>0</v>
      </c>
      <c r="AC2137" s="62" t="n">
        <v>0</v>
      </c>
      <c r="AD2137" s="62" t="n">
        <v>1</v>
      </c>
      <c r="AE2137" s="62" t="n">
        <f aca="false">IF(AND(Dashboard!$C$9="Yes",AC2137=1),0,1)</f>
        <v>1</v>
      </c>
      <c r="AF2137" s="62" t="n">
        <v>0</v>
      </c>
    </row>
    <row r="2138" customFormat="false" ht="15" hidden="false" customHeight="false" outlineLevel="0" collapsed="false">
      <c r="A2138" s="62" t="n">
        <v>2137</v>
      </c>
      <c r="B2138" s="63" t="n">
        <v>46281.9464814815</v>
      </c>
      <c r="C2138" s="64" t="n">
        <v>46281</v>
      </c>
      <c r="D2138" s="62" t="s">
        <v>143</v>
      </c>
      <c r="E2138" s="62" t="s">
        <v>144</v>
      </c>
      <c r="F2138" s="62" t="s">
        <v>144</v>
      </c>
      <c r="G2138" s="62" t="s">
        <v>145</v>
      </c>
      <c r="H2138" s="62" t="s">
        <v>59</v>
      </c>
      <c r="I2138" s="62" t="s">
        <v>47</v>
      </c>
      <c r="J2138" s="62" t="s">
        <v>146</v>
      </c>
      <c r="K2138" s="62" t="s">
        <v>147</v>
      </c>
      <c r="L2138" s="62" t="s">
        <v>148</v>
      </c>
      <c r="M2138" s="62" t="n">
        <v>0</v>
      </c>
      <c r="N2138" s="62" t="n">
        <v>1</v>
      </c>
      <c r="O2138" s="62" t="n">
        <v>1</v>
      </c>
      <c r="P2138" s="62" t="n">
        <v>0</v>
      </c>
      <c r="Q2138" s="62" t="n">
        <v>1</v>
      </c>
      <c r="R2138" s="62" t="n">
        <v>0</v>
      </c>
      <c r="S2138" s="62" t="n">
        <v>0</v>
      </c>
      <c r="T2138" s="62" t="n">
        <v>0</v>
      </c>
      <c r="U2138" s="62"/>
      <c r="V2138" s="62"/>
      <c r="W2138" s="62"/>
      <c r="X2138" s="62"/>
      <c r="Y2138" s="62"/>
      <c r="Z2138" s="62" t="s">
        <v>3885</v>
      </c>
      <c r="AA2138" s="62" t="s">
        <v>3886</v>
      </c>
      <c r="AB2138" s="62" t="n">
        <v>0</v>
      </c>
      <c r="AC2138" s="62" t="n">
        <v>0</v>
      </c>
      <c r="AD2138" s="62" t="n">
        <v>1</v>
      </c>
      <c r="AE2138" s="62" t="n">
        <f aca="false">IF(AND(Dashboard!$C$9="Yes",AC2138=1),0,1)</f>
        <v>1</v>
      </c>
      <c r="AF2138" s="62" t="n">
        <v>0</v>
      </c>
    </row>
    <row r="2139" customFormat="false" ht="15" hidden="false" customHeight="false" outlineLevel="0" collapsed="false">
      <c r="A2139" s="62" t="n">
        <v>2138</v>
      </c>
      <c r="B2139" s="63" t="n">
        <v>46281.9596643519</v>
      </c>
      <c r="C2139" s="64" t="n">
        <v>46281</v>
      </c>
      <c r="D2139" s="62" t="s">
        <v>143</v>
      </c>
      <c r="E2139" s="62" t="s">
        <v>3371</v>
      </c>
      <c r="F2139" s="62" t="s">
        <v>3371</v>
      </c>
      <c r="G2139" s="62" t="s">
        <v>3372</v>
      </c>
      <c r="H2139" s="62" t="s">
        <v>48</v>
      </c>
      <c r="I2139" s="62" t="s">
        <v>49</v>
      </c>
      <c r="J2139" s="62" t="s">
        <v>146</v>
      </c>
      <c r="K2139" s="62" t="s">
        <v>209</v>
      </c>
      <c r="L2139" s="62" t="s">
        <v>148</v>
      </c>
      <c r="M2139" s="62" t="n">
        <v>0</v>
      </c>
      <c r="N2139" s="62" t="n">
        <v>1</v>
      </c>
      <c r="O2139" s="62" t="n">
        <v>1</v>
      </c>
      <c r="P2139" s="62" t="n">
        <v>0</v>
      </c>
      <c r="Q2139" s="62" t="n">
        <v>1</v>
      </c>
      <c r="R2139" s="62" t="n">
        <v>0</v>
      </c>
      <c r="S2139" s="62" t="n">
        <v>0</v>
      </c>
      <c r="T2139" s="62" t="n">
        <v>0</v>
      </c>
      <c r="U2139" s="62"/>
      <c r="V2139" s="62"/>
      <c r="W2139" s="62"/>
      <c r="X2139" s="62"/>
      <c r="Y2139" s="62"/>
      <c r="Z2139" s="62" t="s">
        <v>3887</v>
      </c>
      <c r="AA2139" s="62" t="s">
        <v>3888</v>
      </c>
      <c r="AB2139" s="62" t="n">
        <v>1</v>
      </c>
      <c r="AC2139" s="62" t="n">
        <v>0</v>
      </c>
      <c r="AD2139" s="62" t="n">
        <v>1</v>
      </c>
      <c r="AE2139" s="62" t="n">
        <f aca="false">IF(AND(Dashboard!$C$9="Yes",AC2139=1),0,1)</f>
        <v>1</v>
      </c>
      <c r="AF2139" s="62" t="n">
        <v>0</v>
      </c>
    </row>
    <row r="2140" customFormat="false" ht="15" hidden="false" customHeight="false" outlineLevel="0" collapsed="false">
      <c r="A2140" s="62" t="n">
        <v>2139</v>
      </c>
      <c r="B2140" s="63" t="n">
        <v>46281.9669444444</v>
      </c>
      <c r="C2140" s="64" t="n">
        <v>46281</v>
      </c>
      <c r="D2140" s="62" t="s">
        <v>143</v>
      </c>
      <c r="E2140" s="62" t="s">
        <v>2183</v>
      </c>
      <c r="F2140" s="62" t="s">
        <v>2183</v>
      </c>
      <c r="G2140" s="62" t="s">
        <v>2184</v>
      </c>
      <c r="H2140" s="62" t="s">
        <v>59</v>
      </c>
      <c r="I2140" s="62" t="s">
        <v>47</v>
      </c>
      <c r="J2140" s="62" t="s">
        <v>146</v>
      </c>
      <c r="K2140" s="62" t="s">
        <v>209</v>
      </c>
      <c r="L2140" s="62" t="s">
        <v>148</v>
      </c>
      <c r="M2140" s="62" t="n">
        <v>0</v>
      </c>
      <c r="N2140" s="62" t="n">
        <v>2</v>
      </c>
      <c r="O2140" s="62" t="n">
        <v>2</v>
      </c>
      <c r="P2140" s="62" t="n">
        <v>1</v>
      </c>
      <c r="Q2140" s="62" t="n">
        <v>0</v>
      </c>
      <c r="R2140" s="62" t="n">
        <v>1</v>
      </c>
      <c r="S2140" s="62" t="n">
        <v>0</v>
      </c>
      <c r="T2140" s="62" t="n">
        <v>0</v>
      </c>
      <c r="U2140" s="62"/>
      <c r="V2140" s="62"/>
      <c r="W2140" s="62"/>
      <c r="X2140" s="62"/>
      <c r="Y2140" s="62"/>
      <c r="Z2140" s="62" t="s">
        <v>3889</v>
      </c>
      <c r="AA2140" s="62" t="s">
        <v>3890</v>
      </c>
      <c r="AB2140" s="62" t="n">
        <v>1</v>
      </c>
      <c r="AC2140" s="62" t="n">
        <v>0</v>
      </c>
      <c r="AD2140" s="62" t="n">
        <v>1</v>
      </c>
      <c r="AE2140" s="62" t="n">
        <f aca="false">IF(AND(Dashboard!$C$9="Yes",AC2140=1),0,1)</f>
        <v>1</v>
      </c>
      <c r="AF2140" s="62" t="n">
        <v>1</v>
      </c>
    </row>
    <row r="2141" customFormat="false" ht="15" hidden="false" customHeight="false" outlineLevel="0" collapsed="false">
      <c r="A2141" s="62" t="n">
        <v>2140</v>
      </c>
      <c r="B2141" s="63" t="n">
        <v>46281.9959375</v>
      </c>
      <c r="C2141" s="64" t="n">
        <v>46281</v>
      </c>
      <c r="D2141" s="62" t="s">
        <v>143</v>
      </c>
      <c r="E2141" s="62" t="s">
        <v>273</v>
      </c>
      <c r="F2141" s="62" t="s">
        <v>273</v>
      </c>
      <c r="G2141" s="62" t="s">
        <v>274</v>
      </c>
      <c r="H2141" s="62" t="s">
        <v>59</v>
      </c>
      <c r="I2141" s="62" t="s">
        <v>47</v>
      </c>
      <c r="J2141" s="62" t="s">
        <v>146</v>
      </c>
      <c r="K2141" s="62" t="s">
        <v>147</v>
      </c>
      <c r="L2141" s="62" t="s">
        <v>148</v>
      </c>
      <c r="M2141" s="62" t="n">
        <v>0</v>
      </c>
      <c r="N2141" s="62" t="n">
        <v>1</v>
      </c>
      <c r="O2141" s="62" t="n">
        <v>1</v>
      </c>
      <c r="P2141" s="62" t="n">
        <v>1</v>
      </c>
      <c r="Q2141" s="62" t="n">
        <v>0</v>
      </c>
      <c r="R2141" s="62" t="n">
        <v>0</v>
      </c>
      <c r="S2141" s="62" t="n">
        <v>0</v>
      </c>
      <c r="T2141" s="62" t="n">
        <v>0</v>
      </c>
      <c r="U2141" s="62"/>
      <c r="V2141" s="62"/>
      <c r="W2141" s="62"/>
      <c r="X2141" s="62"/>
      <c r="Y2141" s="62"/>
      <c r="Z2141" s="62" t="s">
        <v>3891</v>
      </c>
      <c r="AA2141" s="62" t="s">
        <v>3892</v>
      </c>
      <c r="AB2141" s="62" t="n">
        <v>1</v>
      </c>
      <c r="AC2141" s="62" t="n">
        <v>0</v>
      </c>
      <c r="AD2141" s="62" t="n">
        <v>1</v>
      </c>
      <c r="AE2141" s="62" t="n">
        <f aca="false">IF(AND(Dashboard!$C$9="Yes",AC2141=1),0,1)</f>
        <v>1</v>
      </c>
      <c r="AF2141" s="62" t="n">
        <v>1</v>
      </c>
    </row>
    <row r="2142" customFormat="false" ht="15" hidden="false" customHeight="false" outlineLevel="0" collapsed="false">
      <c r="A2142" s="62" t="n">
        <v>2141</v>
      </c>
      <c r="B2142" s="63" t="n">
        <v>46282.012037037</v>
      </c>
      <c r="C2142" s="64" t="n">
        <v>46281</v>
      </c>
      <c r="D2142" s="62" t="s">
        <v>143</v>
      </c>
      <c r="E2142" s="62" t="s">
        <v>1382</v>
      </c>
      <c r="F2142" s="62" t="s">
        <v>1382</v>
      </c>
      <c r="G2142" s="62" t="s">
        <v>1383</v>
      </c>
      <c r="H2142" s="62" t="s">
        <v>58</v>
      </c>
      <c r="I2142" s="62" t="s">
        <v>49</v>
      </c>
      <c r="J2142" s="62" t="s">
        <v>146</v>
      </c>
      <c r="K2142" s="62" t="s">
        <v>175</v>
      </c>
      <c r="L2142" s="62" t="s">
        <v>148</v>
      </c>
      <c r="M2142" s="62" t="n">
        <v>0</v>
      </c>
      <c r="N2142" s="62" t="n">
        <v>1</v>
      </c>
      <c r="O2142" s="62" t="n">
        <v>1</v>
      </c>
      <c r="P2142" s="62" t="n">
        <v>0</v>
      </c>
      <c r="Q2142" s="62" t="n">
        <v>1</v>
      </c>
      <c r="R2142" s="62" t="n">
        <v>0</v>
      </c>
      <c r="S2142" s="62" t="n">
        <v>0</v>
      </c>
      <c r="T2142" s="62" t="n">
        <v>0</v>
      </c>
      <c r="U2142" s="62"/>
      <c r="V2142" s="62"/>
      <c r="W2142" s="62"/>
      <c r="X2142" s="62"/>
      <c r="Y2142" s="62"/>
      <c r="Z2142" s="62" t="s">
        <v>3893</v>
      </c>
      <c r="AA2142" s="62" t="s">
        <v>3894</v>
      </c>
      <c r="AB2142" s="62" t="n">
        <v>1</v>
      </c>
      <c r="AC2142" s="62" t="n">
        <v>0</v>
      </c>
      <c r="AD2142" s="62" t="n">
        <v>1</v>
      </c>
      <c r="AE2142" s="62" t="n">
        <f aca="false">IF(AND(Dashboard!$C$9="Yes",AC2142=1),0,1)</f>
        <v>1</v>
      </c>
      <c r="AF2142" s="62" t="n">
        <v>0</v>
      </c>
    </row>
    <row r="2143" customFormat="false" ht="15" hidden="false" customHeight="false" outlineLevel="0" collapsed="false">
      <c r="A2143" s="62" t="n">
        <v>2142</v>
      </c>
      <c r="B2143" s="63" t="n">
        <v>46282.0307638889</v>
      </c>
      <c r="C2143" s="64" t="n">
        <v>46281</v>
      </c>
      <c r="D2143" s="62" t="s">
        <v>143</v>
      </c>
      <c r="E2143" s="62" t="s">
        <v>3874</v>
      </c>
      <c r="F2143" s="62" t="s">
        <v>3874</v>
      </c>
      <c r="G2143" s="62" t="s">
        <v>3875</v>
      </c>
      <c r="H2143" s="62" t="s">
        <v>59</v>
      </c>
      <c r="I2143" s="62" t="s">
        <v>47</v>
      </c>
      <c r="J2143" s="62" t="s">
        <v>146</v>
      </c>
      <c r="K2143" s="62" t="s">
        <v>209</v>
      </c>
      <c r="L2143" s="62" t="s">
        <v>4</v>
      </c>
      <c r="M2143" s="62" t="n">
        <v>1</v>
      </c>
      <c r="N2143" s="62" t="n">
        <v>0</v>
      </c>
      <c r="O2143" s="62" t="n">
        <v>1</v>
      </c>
      <c r="P2143" s="62" t="n">
        <v>0</v>
      </c>
      <c r="Q2143" s="62" t="n">
        <v>0</v>
      </c>
      <c r="R2143" s="62" t="n">
        <v>0</v>
      </c>
      <c r="S2143" s="62" t="n">
        <v>0</v>
      </c>
      <c r="T2143" s="62" t="n">
        <v>0</v>
      </c>
      <c r="U2143" s="62" t="s">
        <v>2056</v>
      </c>
      <c r="V2143" s="62" t="s">
        <v>2057</v>
      </c>
      <c r="W2143" s="62" t="s">
        <v>15</v>
      </c>
      <c r="X2143" s="62" t="s">
        <v>2164</v>
      </c>
      <c r="Y2143" s="62" t="s">
        <v>2103</v>
      </c>
      <c r="Z2143" s="62" t="s">
        <v>3895</v>
      </c>
      <c r="AA2143" s="62" t="s">
        <v>3896</v>
      </c>
      <c r="AB2143" s="62" t="n">
        <v>1</v>
      </c>
      <c r="AC2143" s="62" t="n">
        <v>0</v>
      </c>
      <c r="AD2143" s="62" t="n">
        <v>1</v>
      </c>
      <c r="AE2143" s="62" t="n">
        <f aca="false">IF(AND(Dashboard!$C$9="Yes",AC2143=1),0,1)</f>
        <v>1</v>
      </c>
      <c r="AF2143" s="62" t="n">
        <v>0</v>
      </c>
    </row>
    <row r="2144" customFormat="false" ht="15" hidden="false" customHeight="false" outlineLevel="0" collapsed="false">
      <c r="A2144" s="62" t="n">
        <v>2143</v>
      </c>
      <c r="B2144" s="63" t="n">
        <v>46282.056724537</v>
      </c>
      <c r="C2144" s="64" t="n">
        <v>46281</v>
      </c>
      <c r="D2144" s="62" t="s">
        <v>143</v>
      </c>
      <c r="E2144" s="62" t="s">
        <v>2530</v>
      </c>
      <c r="F2144" s="62" t="s">
        <v>2530</v>
      </c>
      <c r="G2144" s="62" t="s">
        <v>2531</v>
      </c>
      <c r="H2144" s="62" t="s">
        <v>48</v>
      </c>
      <c r="I2144" s="62" t="s">
        <v>49</v>
      </c>
      <c r="J2144" s="62" t="s">
        <v>146</v>
      </c>
      <c r="K2144" s="62" t="s">
        <v>209</v>
      </c>
      <c r="L2144" s="62" t="s">
        <v>4</v>
      </c>
      <c r="M2144" s="62" t="n">
        <v>1</v>
      </c>
      <c r="N2144" s="62" t="n">
        <v>0</v>
      </c>
      <c r="O2144" s="62" t="n">
        <v>1</v>
      </c>
      <c r="P2144" s="62" t="n">
        <v>0</v>
      </c>
      <c r="Q2144" s="62" t="n">
        <v>0</v>
      </c>
      <c r="R2144" s="62" t="n">
        <v>0</v>
      </c>
      <c r="S2144" s="62" t="n">
        <v>0</v>
      </c>
      <c r="T2144" s="62" t="n">
        <v>0</v>
      </c>
      <c r="U2144" s="62" t="s">
        <v>2056</v>
      </c>
      <c r="V2144" s="62" t="s">
        <v>2057</v>
      </c>
      <c r="W2144" s="62" t="s">
        <v>15</v>
      </c>
      <c r="X2144" s="62" t="s">
        <v>2058</v>
      </c>
      <c r="Y2144" s="62" t="s">
        <v>2181</v>
      </c>
      <c r="Z2144" s="62" t="s">
        <v>3897</v>
      </c>
      <c r="AA2144" s="62" t="s">
        <v>3898</v>
      </c>
      <c r="AB2144" s="62" t="n">
        <v>1</v>
      </c>
      <c r="AC2144" s="62" t="n">
        <v>0</v>
      </c>
      <c r="AD2144" s="62" t="n">
        <v>1</v>
      </c>
      <c r="AE2144" s="62" t="n">
        <f aca="false">IF(AND(Dashboard!$C$9="Yes",AC2144=1),0,1)</f>
        <v>1</v>
      </c>
      <c r="AF2144" s="62" t="n">
        <v>1</v>
      </c>
    </row>
    <row r="2145" customFormat="false" ht="15" hidden="false" customHeight="false" outlineLevel="0" collapsed="false">
      <c r="A2145" s="62" t="n">
        <v>2144</v>
      </c>
      <c r="B2145" s="63" t="n">
        <v>46282.0703356482</v>
      </c>
      <c r="C2145" s="64" t="n">
        <v>46281</v>
      </c>
      <c r="D2145" s="62" t="s">
        <v>143</v>
      </c>
      <c r="E2145" s="62" t="s">
        <v>1005</v>
      </c>
      <c r="F2145" s="62" t="s">
        <v>1005</v>
      </c>
      <c r="G2145" s="62" t="s">
        <v>1006</v>
      </c>
      <c r="H2145" s="62" t="s">
        <v>46</v>
      </c>
      <c r="I2145" s="62" t="s">
        <v>47</v>
      </c>
      <c r="J2145" s="62" t="s">
        <v>146</v>
      </c>
      <c r="K2145" s="62" t="s">
        <v>209</v>
      </c>
      <c r="L2145" s="62" t="s">
        <v>148</v>
      </c>
      <c r="M2145" s="62" t="n">
        <v>0</v>
      </c>
      <c r="N2145" s="62" t="n">
        <v>1</v>
      </c>
      <c r="O2145" s="62" t="n">
        <v>1</v>
      </c>
      <c r="P2145" s="62" t="n">
        <v>1</v>
      </c>
      <c r="Q2145" s="62" t="n">
        <v>0</v>
      </c>
      <c r="R2145" s="62" t="n">
        <v>0</v>
      </c>
      <c r="S2145" s="62" t="n">
        <v>0</v>
      </c>
      <c r="T2145" s="62" t="n">
        <v>0</v>
      </c>
      <c r="U2145" s="62"/>
      <c r="V2145" s="62"/>
      <c r="W2145" s="62"/>
      <c r="X2145" s="62"/>
      <c r="Y2145" s="62"/>
      <c r="Z2145" s="62" t="s">
        <v>3899</v>
      </c>
      <c r="AA2145" s="62" t="s">
        <v>485</v>
      </c>
      <c r="AB2145" s="62" t="n">
        <v>0</v>
      </c>
      <c r="AC2145" s="62" t="n">
        <v>0</v>
      </c>
      <c r="AD2145" s="62" t="n">
        <v>1</v>
      </c>
      <c r="AE2145" s="62" t="n">
        <f aca="false">IF(AND(Dashboard!$C$9="Yes",AC2145=1),0,1)</f>
        <v>1</v>
      </c>
      <c r="AF2145" s="62" t="n">
        <v>0</v>
      </c>
    </row>
    <row r="2146" customFormat="false" ht="15" hidden="false" customHeight="false" outlineLevel="0" collapsed="false">
      <c r="A2146" s="62" t="n">
        <v>2145</v>
      </c>
      <c r="B2146" s="63" t="n">
        <v>46282.0843171296</v>
      </c>
      <c r="C2146" s="64" t="n">
        <v>46281</v>
      </c>
      <c r="D2146" s="62" t="s">
        <v>143</v>
      </c>
      <c r="E2146" s="62" t="s">
        <v>1155</v>
      </c>
      <c r="F2146" s="62" t="s">
        <v>1155</v>
      </c>
      <c r="G2146" s="62" t="s">
        <v>1156</v>
      </c>
      <c r="H2146" s="62" t="s">
        <v>59</v>
      </c>
      <c r="I2146" s="62" t="s">
        <v>47</v>
      </c>
      <c r="J2146" s="62" t="s">
        <v>146</v>
      </c>
      <c r="K2146" s="62" t="s">
        <v>209</v>
      </c>
      <c r="L2146" s="62" t="s">
        <v>4</v>
      </c>
      <c r="M2146" s="62" t="n">
        <v>1</v>
      </c>
      <c r="N2146" s="62" t="n">
        <v>0</v>
      </c>
      <c r="O2146" s="62" t="n">
        <v>1</v>
      </c>
      <c r="P2146" s="62" t="n">
        <v>0</v>
      </c>
      <c r="Q2146" s="62" t="n">
        <v>0</v>
      </c>
      <c r="R2146" s="62" t="n">
        <v>0</v>
      </c>
      <c r="S2146" s="62" t="n">
        <v>0</v>
      </c>
      <c r="T2146" s="62" t="n">
        <v>0</v>
      </c>
      <c r="U2146" s="62" t="s">
        <v>2056</v>
      </c>
      <c r="V2146" s="62" t="s">
        <v>2057</v>
      </c>
      <c r="W2146" s="62" t="s">
        <v>15</v>
      </c>
      <c r="X2146" s="62" t="s">
        <v>2058</v>
      </c>
      <c r="Y2146" s="62" t="s">
        <v>2059</v>
      </c>
      <c r="Z2146" s="62" t="s">
        <v>3900</v>
      </c>
      <c r="AA2146" s="62" t="s">
        <v>3901</v>
      </c>
      <c r="AB2146" s="62" t="n">
        <v>1</v>
      </c>
      <c r="AC2146" s="62" t="n">
        <v>0</v>
      </c>
      <c r="AD2146" s="62" t="n">
        <v>1</v>
      </c>
      <c r="AE2146" s="62" t="n">
        <f aca="false">IF(AND(Dashboard!$C$9="Yes",AC2146=1),0,1)</f>
        <v>1</v>
      </c>
      <c r="AF2146" s="62" t="n">
        <v>1</v>
      </c>
    </row>
    <row r="2147" customFormat="false" ht="15" hidden="false" customHeight="false" outlineLevel="0" collapsed="false">
      <c r="A2147" s="62" t="n">
        <v>2146</v>
      </c>
      <c r="B2147" s="63" t="n">
        <v>46282.0890046296</v>
      </c>
      <c r="C2147" s="64" t="n">
        <v>46281</v>
      </c>
      <c r="D2147" s="62" t="s">
        <v>143</v>
      </c>
      <c r="E2147" s="62" t="s">
        <v>2183</v>
      </c>
      <c r="F2147" s="62" t="s">
        <v>2183</v>
      </c>
      <c r="G2147" s="62" t="s">
        <v>2184</v>
      </c>
      <c r="H2147" s="62" t="s">
        <v>59</v>
      </c>
      <c r="I2147" s="62" t="s">
        <v>47</v>
      </c>
      <c r="J2147" s="62" t="s">
        <v>146</v>
      </c>
      <c r="K2147" s="62" t="s">
        <v>209</v>
      </c>
      <c r="L2147" s="62" t="s">
        <v>148</v>
      </c>
      <c r="M2147" s="62" t="n">
        <v>0</v>
      </c>
      <c r="N2147" s="62" t="n">
        <v>1</v>
      </c>
      <c r="O2147" s="62" t="n">
        <v>1</v>
      </c>
      <c r="P2147" s="62" t="n">
        <v>1</v>
      </c>
      <c r="Q2147" s="62" t="n">
        <v>0</v>
      </c>
      <c r="R2147" s="62" t="n">
        <v>0</v>
      </c>
      <c r="S2147" s="62" t="n">
        <v>0</v>
      </c>
      <c r="T2147" s="62" t="n">
        <v>0</v>
      </c>
      <c r="U2147" s="62"/>
      <c r="V2147" s="62"/>
      <c r="W2147" s="62"/>
      <c r="X2147" s="62"/>
      <c r="Y2147" s="62"/>
      <c r="Z2147" s="62" t="s">
        <v>3902</v>
      </c>
      <c r="AA2147" s="62" t="s">
        <v>3903</v>
      </c>
      <c r="AB2147" s="62" t="n">
        <v>1</v>
      </c>
      <c r="AC2147" s="62" t="n">
        <v>0</v>
      </c>
      <c r="AD2147" s="62" t="n">
        <v>1</v>
      </c>
      <c r="AE2147" s="62" t="n">
        <f aca="false">IF(AND(Dashboard!$C$9="Yes",AC2147=1),0,1)</f>
        <v>1</v>
      </c>
      <c r="AF2147" s="62" t="n">
        <v>0</v>
      </c>
    </row>
    <row r="2148" customFormat="false" ht="15" hidden="false" customHeight="false" outlineLevel="0" collapsed="false">
      <c r="A2148" s="62" t="n">
        <v>2147</v>
      </c>
      <c r="B2148" s="63" t="n">
        <v>46282.1005787037</v>
      </c>
      <c r="C2148" s="64" t="n">
        <v>46281</v>
      </c>
      <c r="D2148" s="62" t="s">
        <v>143</v>
      </c>
      <c r="E2148" s="62" t="s">
        <v>3226</v>
      </c>
      <c r="F2148" s="62" t="s">
        <v>3226</v>
      </c>
      <c r="G2148" s="62" t="s">
        <v>3227</v>
      </c>
      <c r="H2148" s="62" t="s">
        <v>46</v>
      </c>
      <c r="I2148" s="62" t="s">
        <v>47</v>
      </c>
      <c r="J2148" s="62" t="s">
        <v>146</v>
      </c>
      <c r="K2148" s="62" t="s">
        <v>209</v>
      </c>
      <c r="L2148" s="62" t="s">
        <v>148</v>
      </c>
      <c r="M2148" s="62" t="n">
        <v>0</v>
      </c>
      <c r="N2148" s="62" t="n">
        <v>1</v>
      </c>
      <c r="O2148" s="62" t="n">
        <v>1</v>
      </c>
      <c r="P2148" s="62" t="n">
        <v>0</v>
      </c>
      <c r="Q2148" s="62" t="n">
        <v>0</v>
      </c>
      <c r="R2148" s="62" t="n">
        <v>0</v>
      </c>
      <c r="S2148" s="62" t="n">
        <v>1</v>
      </c>
      <c r="T2148" s="62" t="n">
        <v>0</v>
      </c>
      <c r="U2148" s="62"/>
      <c r="V2148" s="62"/>
      <c r="W2148" s="62"/>
      <c r="X2148" s="62"/>
      <c r="Y2148" s="62"/>
      <c r="Z2148" s="62" t="s">
        <v>3904</v>
      </c>
      <c r="AA2148" s="62" t="s">
        <v>485</v>
      </c>
      <c r="AB2148" s="62" t="n">
        <v>0</v>
      </c>
      <c r="AC2148" s="62" t="n">
        <v>0</v>
      </c>
      <c r="AD2148" s="62" t="n">
        <v>1</v>
      </c>
      <c r="AE2148" s="62" t="n">
        <f aca="false">IF(AND(Dashboard!$C$9="Yes",AC2148=1),0,1)</f>
        <v>1</v>
      </c>
      <c r="AF2148" s="62" t="n">
        <v>0</v>
      </c>
    </row>
    <row r="2149" customFormat="false" ht="15" hidden="false" customHeight="false" outlineLevel="0" collapsed="false">
      <c r="A2149" s="62" t="n">
        <v>2148</v>
      </c>
      <c r="B2149" s="63" t="n">
        <v>46282.1031134259</v>
      </c>
      <c r="C2149" s="64" t="n">
        <v>46281</v>
      </c>
      <c r="D2149" s="62" t="s">
        <v>143</v>
      </c>
      <c r="E2149" s="62" t="s">
        <v>2395</v>
      </c>
      <c r="F2149" s="62" t="s">
        <v>2395</v>
      </c>
      <c r="G2149" s="62" t="s">
        <v>2396</v>
      </c>
      <c r="H2149" s="62" t="s">
        <v>59</v>
      </c>
      <c r="I2149" s="62" t="s">
        <v>47</v>
      </c>
      <c r="J2149" s="62" t="s">
        <v>146</v>
      </c>
      <c r="K2149" s="62" t="s">
        <v>209</v>
      </c>
      <c r="L2149" s="62" t="s">
        <v>148</v>
      </c>
      <c r="M2149" s="62" t="n">
        <v>0</v>
      </c>
      <c r="N2149" s="62" t="n">
        <v>1</v>
      </c>
      <c r="O2149" s="62" t="n">
        <v>1</v>
      </c>
      <c r="P2149" s="62" t="n">
        <v>1</v>
      </c>
      <c r="Q2149" s="62" t="n">
        <v>0</v>
      </c>
      <c r="R2149" s="62" t="n">
        <v>0</v>
      </c>
      <c r="S2149" s="62" t="n">
        <v>0</v>
      </c>
      <c r="T2149" s="62" t="n">
        <v>0</v>
      </c>
      <c r="U2149" s="62"/>
      <c r="V2149" s="62"/>
      <c r="W2149" s="62"/>
      <c r="X2149" s="62"/>
      <c r="Y2149" s="62"/>
      <c r="Z2149" s="62" t="s">
        <v>3905</v>
      </c>
      <c r="AA2149" s="62" t="s">
        <v>3906</v>
      </c>
      <c r="AB2149" s="62" t="n">
        <v>1</v>
      </c>
      <c r="AC2149" s="62" t="n">
        <v>0</v>
      </c>
      <c r="AD2149" s="62" t="n">
        <v>1</v>
      </c>
      <c r="AE2149" s="62" t="n">
        <f aca="false">IF(AND(Dashboard!$C$9="Yes",AC2149=1),0,1)</f>
        <v>1</v>
      </c>
      <c r="AF2149" s="62" t="n">
        <v>1</v>
      </c>
    </row>
    <row r="2150" customFormat="false" ht="15" hidden="false" customHeight="false" outlineLevel="0" collapsed="false">
      <c r="A2150" s="62" t="n">
        <v>2149</v>
      </c>
      <c r="B2150" s="63" t="n">
        <v>46282.1298726852</v>
      </c>
      <c r="C2150" s="64" t="n">
        <v>46281</v>
      </c>
      <c r="D2150" s="62" t="s">
        <v>143</v>
      </c>
      <c r="E2150" s="62" t="s">
        <v>1749</v>
      </c>
      <c r="F2150" s="62" t="s">
        <v>1749</v>
      </c>
      <c r="G2150" s="62" t="s">
        <v>1750</v>
      </c>
      <c r="H2150" s="62" t="s">
        <v>57</v>
      </c>
      <c r="I2150" s="62" t="s">
        <v>47</v>
      </c>
      <c r="J2150" s="62" t="s">
        <v>146</v>
      </c>
      <c r="K2150" s="62" t="s">
        <v>209</v>
      </c>
      <c r="L2150" s="62" t="s">
        <v>148</v>
      </c>
      <c r="M2150" s="62" t="n">
        <v>0</v>
      </c>
      <c r="N2150" s="62" t="n">
        <v>1</v>
      </c>
      <c r="O2150" s="62" t="n">
        <v>1</v>
      </c>
      <c r="P2150" s="62" t="n">
        <v>1</v>
      </c>
      <c r="Q2150" s="62" t="n">
        <v>0</v>
      </c>
      <c r="R2150" s="62" t="n">
        <v>0</v>
      </c>
      <c r="S2150" s="62" t="n">
        <v>0</v>
      </c>
      <c r="T2150" s="62" t="n">
        <v>0</v>
      </c>
      <c r="U2150" s="62"/>
      <c r="V2150" s="62"/>
      <c r="W2150" s="62"/>
      <c r="X2150" s="62"/>
      <c r="Y2150" s="62"/>
      <c r="Z2150" s="62" t="s">
        <v>3907</v>
      </c>
      <c r="AA2150" s="62" t="s">
        <v>3908</v>
      </c>
      <c r="AB2150" s="62" t="n">
        <v>1</v>
      </c>
      <c r="AC2150" s="62" t="n">
        <v>0</v>
      </c>
      <c r="AD2150" s="62" t="n">
        <v>1</v>
      </c>
      <c r="AE2150" s="62" t="n">
        <f aca="false">IF(AND(Dashboard!$C$9="Yes",AC2150=1),0,1)</f>
        <v>1</v>
      </c>
      <c r="AF2150" s="62" t="n">
        <v>1</v>
      </c>
    </row>
    <row r="2151" customFormat="false" ht="15" hidden="false" customHeight="false" outlineLevel="0" collapsed="false">
      <c r="A2151" s="62" t="n">
        <v>2150</v>
      </c>
      <c r="B2151" s="63" t="n">
        <v>46282.1298726852</v>
      </c>
      <c r="C2151" s="64" t="n">
        <v>46281</v>
      </c>
      <c r="D2151" s="62" t="s">
        <v>143</v>
      </c>
      <c r="E2151" s="62" t="s">
        <v>1749</v>
      </c>
      <c r="F2151" s="62" t="s">
        <v>1749</v>
      </c>
      <c r="G2151" s="62" t="s">
        <v>1750</v>
      </c>
      <c r="H2151" s="62" t="s">
        <v>57</v>
      </c>
      <c r="I2151" s="62" t="s">
        <v>47</v>
      </c>
      <c r="J2151" s="62" t="s">
        <v>146</v>
      </c>
      <c r="K2151" s="62" t="s">
        <v>209</v>
      </c>
      <c r="L2151" s="62" t="s">
        <v>148</v>
      </c>
      <c r="M2151" s="62" t="n">
        <v>0</v>
      </c>
      <c r="N2151" s="62" t="n">
        <v>1</v>
      </c>
      <c r="O2151" s="62" t="n">
        <v>1</v>
      </c>
      <c r="P2151" s="62" t="n">
        <v>0</v>
      </c>
      <c r="Q2151" s="62" t="n">
        <v>1</v>
      </c>
      <c r="R2151" s="62" t="n">
        <v>0</v>
      </c>
      <c r="S2151" s="62" t="n">
        <v>0</v>
      </c>
      <c r="T2151" s="62" t="n">
        <v>0</v>
      </c>
      <c r="U2151" s="62"/>
      <c r="V2151" s="62"/>
      <c r="W2151" s="62"/>
      <c r="X2151" s="62"/>
      <c r="Y2151" s="62"/>
      <c r="Z2151" s="62" t="s">
        <v>3907</v>
      </c>
      <c r="AA2151" s="62" t="s">
        <v>3908</v>
      </c>
      <c r="AB2151" s="62" t="n">
        <v>1</v>
      </c>
      <c r="AC2151" s="62" t="n">
        <v>1</v>
      </c>
      <c r="AD2151" s="62" t="n">
        <v>1</v>
      </c>
      <c r="AE2151" s="62" t="n">
        <f aca="false">IF(AND(Dashboard!$C$9="Yes",AC2151=1),0,1)</f>
        <v>0</v>
      </c>
      <c r="AF2151" s="62" t="n">
        <v>0</v>
      </c>
    </row>
    <row r="2152" customFormat="false" ht="15" hidden="false" customHeight="false" outlineLevel="0" collapsed="false">
      <c r="A2152" s="62" t="n">
        <v>2151</v>
      </c>
      <c r="B2152" s="63" t="n">
        <v>46282.1542361111</v>
      </c>
      <c r="C2152" s="64" t="n">
        <v>46281</v>
      </c>
      <c r="D2152" s="62" t="s">
        <v>143</v>
      </c>
      <c r="E2152" s="62" t="s">
        <v>3909</v>
      </c>
      <c r="F2152" s="62" t="s">
        <v>3910</v>
      </c>
      <c r="G2152" s="62" t="s">
        <v>153</v>
      </c>
      <c r="H2152" s="62" t="s">
        <v>153</v>
      </c>
      <c r="I2152" s="62" t="s">
        <v>153</v>
      </c>
      <c r="J2152" s="62" t="s">
        <v>64</v>
      </c>
      <c r="K2152" s="62" t="s">
        <v>64</v>
      </c>
      <c r="L2152" s="62" t="s">
        <v>4</v>
      </c>
      <c r="M2152" s="62" t="n">
        <v>1</v>
      </c>
      <c r="N2152" s="62" t="n">
        <v>0</v>
      </c>
      <c r="O2152" s="62" t="n">
        <v>1</v>
      </c>
      <c r="P2152" s="62" t="n">
        <v>0</v>
      </c>
      <c r="Q2152" s="62" t="n">
        <v>0</v>
      </c>
      <c r="R2152" s="62" t="n">
        <v>0</v>
      </c>
      <c r="S2152" s="62" t="n">
        <v>0</v>
      </c>
      <c r="T2152" s="62" t="n">
        <v>0</v>
      </c>
      <c r="U2152" s="62" t="s">
        <v>2056</v>
      </c>
      <c r="V2152" s="62" t="s">
        <v>2057</v>
      </c>
      <c r="W2152" s="62" t="s">
        <v>15</v>
      </c>
      <c r="X2152" s="62" t="s">
        <v>2058</v>
      </c>
      <c r="Y2152" s="62" t="s">
        <v>2059</v>
      </c>
      <c r="Z2152" s="62" t="s">
        <v>3911</v>
      </c>
      <c r="AA2152" s="62" t="s">
        <v>3912</v>
      </c>
      <c r="AB2152" s="62" t="n">
        <v>1</v>
      </c>
      <c r="AC2152" s="62" t="n">
        <v>0</v>
      </c>
      <c r="AD2152" s="62" t="n">
        <v>0</v>
      </c>
      <c r="AE2152" s="62" t="n">
        <f aca="false">IF(AND(Dashboard!$C$9="Yes",AC2152=1),0,1)</f>
        <v>1</v>
      </c>
      <c r="AF2152" s="62" t="n">
        <v>1</v>
      </c>
    </row>
    <row r="2153" customFormat="false" ht="15" hidden="false" customHeight="false" outlineLevel="0" collapsed="false">
      <c r="A2153" s="62" t="n">
        <v>2152</v>
      </c>
      <c r="B2153" s="63" t="n">
        <v>46282.1544907407</v>
      </c>
      <c r="C2153" s="64" t="n">
        <v>46281</v>
      </c>
      <c r="D2153" s="62" t="s">
        <v>143</v>
      </c>
      <c r="E2153" s="62" t="s">
        <v>144</v>
      </c>
      <c r="F2153" s="62" t="s">
        <v>144</v>
      </c>
      <c r="G2153" s="62" t="s">
        <v>145</v>
      </c>
      <c r="H2153" s="62" t="s">
        <v>59</v>
      </c>
      <c r="I2153" s="62" t="s">
        <v>47</v>
      </c>
      <c r="J2153" s="62" t="s">
        <v>146</v>
      </c>
      <c r="K2153" s="62" t="s">
        <v>147</v>
      </c>
      <c r="L2153" s="62" t="s">
        <v>4</v>
      </c>
      <c r="M2153" s="62" t="n">
        <v>1</v>
      </c>
      <c r="N2153" s="62" t="n">
        <v>0</v>
      </c>
      <c r="O2153" s="62" t="n">
        <v>1</v>
      </c>
      <c r="P2153" s="62" t="n">
        <v>0</v>
      </c>
      <c r="Q2153" s="62" t="n">
        <v>0</v>
      </c>
      <c r="R2153" s="62" t="n">
        <v>0</v>
      </c>
      <c r="S2153" s="62" t="n">
        <v>0</v>
      </c>
      <c r="T2153" s="62" t="n">
        <v>0</v>
      </c>
      <c r="U2153" s="62" t="s">
        <v>2056</v>
      </c>
      <c r="V2153" s="62" t="s">
        <v>2057</v>
      </c>
      <c r="W2153" s="62" t="s">
        <v>15</v>
      </c>
      <c r="X2153" s="62" t="s">
        <v>2058</v>
      </c>
      <c r="Y2153" s="62" t="s">
        <v>2059</v>
      </c>
      <c r="Z2153" s="62" t="s">
        <v>3911</v>
      </c>
      <c r="AA2153" s="62" t="s">
        <v>3912</v>
      </c>
      <c r="AB2153" s="62" t="n">
        <v>1</v>
      </c>
      <c r="AC2153" s="62" t="n">
        <v>0</v>
      </c>
      <c r="AD2153" s="62" t="n">
        <v>1</v>
      </c>
      <c r="AE2153" s="62" t="n">
        <f aca="false">IF(AND(Dashboard!$C$9="Yes",AC2153=1),0,1)</f>
        <v>1</v>
      </c>
      <c r="AF2153" s="62" t="n">
        <v>0</v>
      </c>
    </row>
    <row r="2154" customFormat="false" ht="15" hidden="false" customHeight="false" outlineLevel="0" collapsed="false">
      <c r="A2154" s="62" t="n">
        <v>2153</v>
      </c>
      <c r="B2154" s="63" t="n">
        <v>46282.1547916667</v>
      </c>
      <c r="C2154" s="64" t="n">
        <v>46281</v>
      </c>
      <c r="D2154" s="62" t="s">
        <v>143</v>
      </c>
      <c r="E2154" s="62" t="s">
        <v>144</v>
      </c>
      <c r="F2154" s="62" t="s">
        <v>144</v>
      </c>
      <c r="G2154" s="62" t="s">
        <v>145</v>
      </c>
      <c r="H2154" s="62" t="s">
        <v>59</v>
      </c>
      <c r="I2154" s="62" t="s">
        <v>47</v>
      </c>
      <c r="J2154" s="62" t="s">
        <v>146</v>
      </c>
      <c r="K2154" s="62" t="s">
        <v>147</v>
      </c>
      <c r="L2154" s="62" t="s">
        <v>4</v>
      </c>
      <c r="M2154" s="62" t="n">
        <v>1</v>
      </c>
      <c r="N2154" s="62" t="n">
        <v>0</v>
      </c>
      <c r="O2154" s="62" t="n">
        <v>1</v>
      </c>
      <c r="P2154" s="62" t="n">
        <v>0</v>
      </c>
      <c r="Q2154" s="62" t="n">
        <v>0</v>
      </c>
      <c r="R2154" s="62" t="n">
        <v>0</v>
      </c>
      <c r="S2154" s="62" t="n">
        <v>0</v>
      </c>
      <c r="T2154" s="62" t="n">
        <v>0</v>
      </c>
      <c r="U2154" s="62" t="s">
        <v>2056</v>
      </c>
      <c r="V2154" s="62" t="s">
        <v>2057</v>
      </c>
      <c r="W2154" s="62" t="s">
        <v>15</v>
      </c>
      <c r="X2154" s="62" t="s">
        <v>2058</v>
      </c>
      <c r="Y2154" s="62" t="s">
        <v>2059</v>
      </c>
      <c r="Z2154" s="62" t="s">
        <v>3911</v>
      </c>
      <c r="AA2154" s="62" t="s">
        <v>3912</v>
      </c>
      <c r="AB2154" s="62" t="n">
        <v>1</v>
      </c>
      <c r="AC2154" s="62" t="n">
        <v>1</v>
      </c>
      <c r="AD2154" s="62" t="n">
        <v>1</v>
      </c>
      <c r="AE2154" s="62" t="n">
        <f aca="false">IF(AND(Dashboard!$C$9="Yes",AC2154=1),0,1)</f>
        <v>0</v>
      </c>
      <c r="AF2154" s="62" t="n">
        <v>0</v>
      </c>
    </row>
    <row r="2155" customFormat="false" ht="15" hidden="false" customHeight="false" outlineLevel="0" collapsed="false">
      <c r="A2155" s="62" t="n">
        <v>2154</v>
      </c>
      <c r="B2155" s="63" t="n">
        <v>46282.1550810185</v>
      </c>
      <c r="C2155" s="64" t="n">
        <v>46281</v>
      </c>
      <c r="D2155" s="62" t="s">
        <v>143</v>
      </c>
      <c r="E2155" s="62" t="s">
        <v>144</v>
      </c>
      <c r="F2155" s="62" t="s">
        <v>144</v>
      </c>
      <c r="G2155" s="62" t="s">
        <v>145</v>
      </c>
      <c r="H2155" s="62" t="s">
        <v>59</v>
      </c>
      <c r="I2155" s="62" t="s">
        <v>47</v>
      </c>
      <c r="J2155" s="62" t="s">
        <v>146</v>
      </c>
      <c r="K2155" s="62" t="s">
        <v>147</v>
      </c>
      <c r="L2155" s="62" t="s">
        <v>4</v>
      </c>
      <c r="M2155" s="62" t="n">
        <v>1</v>
      </c>
      <c r="N2155" s="62" t="n">
        <v>0</v>
      </c>
      <c r="O2155" s="62" t="n">
        <v>1</v>
      </c>
      <c r="P2155" s="62" t="n">
        <v>0</v>
      </c>
      <c r="Q2155" s="62" t="n">
        <v>0</v>
      </c>
      <c r="R2155" s="62" t="n">
        <v>0</v>
      </c>
      <c r="S2155" s="62" t="n">
        <v>0</v>
      </c>
      <c r="T2155" s="62" t="n">
        <v>0</v>
      </c>
      <c r="U2155" s="62" t="s">
        <v>2056</v>
      </c>
      <c r="V2155" s="62" t="s">
        <v>2057</v>
      </c>
      <c r="W2155" s="62" t="s">
        <v>15</v>
      </c>
      <c r="X2155" s="62" t="s">
        <v>2058</v>
      </c>
      <c r="Y2155" s="62" t="s">
        <v>2059</v>
      </c>
      <c r="Z2155" s="62" t="s">
        <v>3911</v>
      </c>
      <c r="AA2155" s="62" t="s">
        <v>3912</v>
      </c>
      <c r="AB2155" s="62" t="n">
        <v>1</v>
      </c>
      <c r="AC2155" s="62" t="n">
        <v>1</v>
      </c>
      <c r="AD2155" s="62" t="n">
        <v>1</v>
      </c>
      <c r="AE2155" s="62" t="n">
        <f aca="false">IF(AND(Dashboard!$C$9="Yes",AC2155=1),0,1)</f>
        <v>0</v>
      </c>
      <c r="AF2155" s="62" t="n">
        <v>0</v>
      </c>
    </row>
    <row r="2156" customFormat="false" ht="15" hidden="false" customHeight="false" outlineLevel="0" collapsed="false">
      <c r="A2156" s="62" t="n">
        <v>2155</v>
      </c>
      <c r="B2156" s="63" t="n">
        <v>46282.1683564815</v>
      </c>
      <c r="C2156" s="64" t="n">
        <v>46281</v>
      </c>
      <c r="D2156" s="62" t="s">
        <v>143</v>
      </c>
      <c r="E2156" s="62" t="s">
        <v>2530</v>
      </c>
      <c r="F2156" s="62" t="s">
        <v>2530</v>
      </c>
      <c r="G2156" s="62" t="s">
        <v>2531</v>
      </c>
      <c r="H2156" s="62" t="s">
        <v>48</v>
      </c>
      <c r="I2156" s="62" t="s">
        <v>49</v>
      </c>
      <c r="J2156" s="62" t="s">
        <v>146</v>
      </c>
      <c r="K2156" s="62" t="s">
        <v>209</v>
      </c>
      <c r="L2156" s="62" t="s">
        <v>4</v>
      </c>
      <c r="M2156" s="62" t="n">
        <v>1</v>
      </c>
      <c r="N2156" s="62" t="n">
        <v>0</v>
      </c>
      <c r="O2156" s="62" t="n">
        <v>1</v>
      </c>
      <c r="P2156" s="62" t="n">
        <v>0</v>
      </c>
      <c r="Q2156" s="62" t="n">
        <v>0</v>
      </c>
      <c r="R2156" s="62" t="n">
        <v>0</v>
      </c>
      <c r="S2156" s="62" t="n">
        <v>0</v>
      </c>
      <c r="T2156" s="62" t="n">
        <v>0</v>
      </c>
      <c r="U2156" s="62" t="s">
        <v>2056</v>
      </c>
      <c r="V2156" s="62" t="s">
        <v>2057</v>
      </c>
      <c r="W2156" s="62" t="s">
        <v>15</v>
      </c>
      <c r="X2156" s="62" t="s">
        <v>2058</v>
      </c>
      <c r="Y2156" s="62" t="s">
        <v>2059</v>
      </c>
      <c r="Z2156" s="62" t="s">
        <v>3913</v>
      </c>
      <c r="AA2156" s="62" t="s">
        <v>3914</v>
      </c>
      <c r="AB2156" s="62" t="n">
        <v>0</v>
      </c>
      <c r="AC2156" s="62" t="n">
        <v>0</v>
      </c>
      <c r="AD2156" s="62" t="n">
        <v>1</v>
      </c>
      <c r="AE2156" s="62" t="n">
        <f aca="false">IF(AND(Dashboard!$C$9="Yes",AC2156=1),0,1)</f>
        <v>1</v>
      </c>
      <c r="AF2156" s="62" t="n">
        <v>0</v>
      </c>
    </row>
    <row r="2157" customFormat="false" ht="15" hidden="false" customHeight="false" outlineLevel="0" collapsed="false">
      <c r="A2157" s="62" t="n">
        <v>2156</v>
      </c>
      <c r="B2157" s="63" t="n">
        <v>46282.1686458333</v>
      </c>
      <c r="C2157" s="64" t="n">
        <v>46281</v>
      </c>
      <c r="D2157" s="62" t="s">
        <v>143</v>
      </c>
      <c r="E2157" s="62" t="s">
        <v>2395</v>
      </c>
      <c r="F2157" s="62" t="s">
        <v>2395</v>
      </c>
      <c r="G2157" s="62" t="s">
        <v>2396</v>
      </c>
      <c r="H2157" s="62" t="s">
        <v>59</v>
      </c>
      <c r="I2157" s="62" t="s">
        <v>47</v>
      </c>
      <c r="J2157" s="62" t="s">
        <v>146</v>
      </c>
      <c r="K2157" s="62" t="s">
        <v>209</v>
      </c>
      <c r="L2157" s="62" t="s">
        <v>4</v>
      </c>
      <c r="M2157" s="62" t="n">
        <v>1</v>
      </c>
      <c r="N2157" s="62" t="n">
        <v>0</v>
      </c>
      <c r="O2157" s="62" t="n">
        <v>1</v>
      </c>
      <c r="P2157" s="62" t="n">
        <v>0</v>
      </c>
      <c r="Q2157" s="62" t="n">
        <v>0</v>
      </c>
      <c r="R2157" s="62" t="n">
        <v>0</v>
      </c>
      <c r="S2157" s="62" t="n">
        <v>0</v>
      </c>
      <c r="T2157" s="62" t="n">
        <v>0</v>
      </c>
      <c r="U2157" s="62" t="s">
        <v>2056</v>
      </c>
      <c r="V2157" s="62" t="s">
        <v>2057</v>
      </c>
      <c r="W2157" s="62" t="s">
        <v>15</v>
      </c>
      <c r="X2157" s="62" t="s">
        <v>2058</v>
      </c>
      <c r="Y2157" s="62" t="s">
        <v>2103</v>
      </c>
      <c r="Z2157" s="62" t="s">
        <v>3915</v>
      </c>
      <c r="AA2157" s="62" t="s">
        <v>3916</v>
      </c>
      <c r="AB2157" s="62" t="n">
        <v>1</v>
      </c>
      <c r="AC2157" s="62" t="n">
        <v>0</v>
      </c>
      <c r="AD2157" s="62" t="n">
        <v>1</v>
      </c>
      <c r="AE2157" s="62" t="n">
        <f aca="false">IF(AND(Dashboard!$C$9="Yes",AC2157=1),0,1)</f>
        <v>1</v>
      </c>
      <c r="AF2157" s="62" t="n">
        <v>0</v>
      </c>
    </row>
    <row r="2158" customFormat="false" ht="15" hidden="false" customHeight="false" outlineLevel="0" collapsed="false">
      <c r="A2158" s="62" t="n">
        <v>2157</v>
      </c>
      <c r="B2158" s="63" t="n">
        <v>46282.2390625</v>
      </c>
      <c r="C2158" s="64" t="n">
        <v>46281</v>
      </c>
      <c r="D2158" s="62" t="s">
        <v>143</v>
      </c>
      <c r="E2158" s="62" t="s">
        <v>180</v>
      </c>
      <c r="F2158" s="62" t="s">
        <v>180</v>
      </c>
      <c r="G2158" s="62" t="s">
        <v>181</v>
      </c>
      <c r="H2158" s="62" t="s">
        <v>58</v>
      </c>
      <c r="I2158" s="62" t="s">
        <v>49</v>
      </c>
      <c r="J2158" s="62" t="s">
        <v>146</v>
      </c>
      <c r="K2158" s="62" t="s">
        <v>175</v>
      </c>
      <c r="L2158" s="62" t="s">
        <v>4</v>
      </c>
      <c r="M2158" s="62" t="n">
        <v>1</v>
      </c>
      <c r="N2158" s="62" t="n">
        <v>0</v>
      </c>
      <c r="O2158" s="62" t="n">
        <v>1</v>
      </c>
      <c r="P2158" s="62" t="n">
        <v>0</v>
      </c>
      <c r="Q2158" s="62" t="n">
        <v>0</v>
      </c>
      <c r="R2158" s="62" t="n">
        <v>0</v>
      </c>
      <c r="S2158" s="62" t="n">
        <v>0</v>
      </c>
      <c r="T2158" s="62" t="n">
        <v>0</v>
      </c>
      <c r="U2158" s="62" t="s">
        <v>2056</v>
      </c>
      <c r="V2158" s="62" t="s">
        <v>2057</v>
      </c>
      <c r="W2158" s="62" t="s">
        <v>15</v>
      </c>
      <c r="X2158" s="62" t="s">
        <v>2058</v>
      </c>
      <c r="Y2158" s="62" t="s">
        <v>2059</v>
      </c>
      <c r="Z2158" s="62" t="s">
        <v>3917</v>
      </c>
      <c r="AA2158" s="62" t="s">
        <v>3918</v>
      </c>
      <c r="AB2158" s="62" t="n">
        <v>1</v>
      </c>
      <c r="AC2158" s="62" t="n">
        <v>0</v>
      </c>
      <c r="AD2158" s="62" t="n">
        <v>1</v>
      </c>
      <c r="AE2158" s="62" t="n">
        <f aca="false">IF(AND(Dashboard!$C$9="Yes",AC2158=1),0,1)</f>
        <v>1</v>
      </c>
      <c r="AF2158" s="62" t="n">
        <v>1</v>
      </c>
    </row>
    <row r="2159" customFormat="false" ht="15" hidden="false" customHeight="false" outlineLevel="0" collapsed="false">
      <c r="A2159" s="62" t="n">
        <v>2158</v>
      </c>
      <c r="B2159" s="63" t="n">
        <v>46282.2830787037</v>
      </c>
      <c r="C2159" s="64" t="n">
        <v>46281</v>
      </c>
      <c r="D2159" s="62" t="s">
        <v>143</v>
      </c>
      <c r="E2159" s="62" t="s">
        <v>3919</v>
      </c>
      <c r="F2159" s="62" t="s">
        <v>3920</v>
      </c>
      <c r="G2159" s="62" t="s">
        <v>153</v>
      </c>
      <c r="H2159" s="62" t="s">
        <v>153</v>
      </c>
      <c r="I2159" s="62" t="s">
        <v>153</v>
      </c>
      <c r="J2159" s="62" t="s">
        <v>64</v>
      </c>
      <c r="K2159" s="62" t="s">
        <v>64</v>
      </c>
      <c r="L2159" s="62" t="s">
        <v>148</v>
      </c>
      <c r="M2159" s="62" t="n">
        <v>0</v>
      </c>
      <c r="N2159" s="62" t="n">
        <v>1</v>
      </c>
      <c r="O2159" s="62" t="n">
        <v>1</v>
      </c>
      <c r="P2159" s="62" t="n">
        <v>1</v>
      </c>
      <c r="Q2159" s="62" t="n">
        <v>0</v>
      </c>
      <c r="R2159" s="62" t="n">
        <v>0</v>
      </c>
      <c r="S2159" s="62" t="n">
        <v>0</v>
      </c>
      <c r="T2159" s="62" t="n">
        <v>0</v>
      </c>
      <c r="U2159" s="62"/>
      <c r="V2159" s="62"/>
      <c r="W2159" s="62"/>
      <c r="X2159" s="62"/>
      <c r="Y2159" s="62"/>
      <c r="Z2159" s="62" t="s">
        <v>3919</v>
      </c>
      <c r="AA2159" s="62" t="s">
        <v>3921</v>
      </c>
      <c r="AB2159" s="62" t="n">
        <v>1</v>
      </c>
      <c r="AC2159" s="62" t="n">
        <v>0</v>
      </c>
      <c r="AD2159" s="62" t="n">
        <v>0</v>
      </c>
      <c r="AE2159" s="62" t="n">
        <f aca="false">IF(AND(Dashboard!$C$9="Yes",AC2159=1),0,1)</f>
        <v>1</v>
      </c>
      <c r="AF2159" s="62" t="n">
        <v>1</v>
      </c>
    </row>
    <row r="2160" customFormat="false" ht="15" hidden="false" customHeight="false" outlineLevel="0" collapsed="false">
      <c r="A2160" s="62" t="n">
        <v>2159</v>
      </c>
      <c r="B2160" s="63" t="n">
        <v>46282.2939699074</v>
      </c>
      <c r="C2160" s="64" t="n">
        <v>46281</v>
      </c>
      <c r="D2160" s="62" t="s">
        <v>143</v>
      </c>
      <c r="E2160" s="62" t="s">
        <v>2183</v>
      </c>
      <c r="F2160" s="62" t="s">
        <v>2183</v>
      </c>
      <c r="G2160" s="62" t="s">
        <v>2184</v>
      </c>
      <c r="H2160" s="62" t="s">
        <v>59</v>
      </c>
      <c r="I2160" s="62" t="s">
        <v>47</v>
      </c>
      <c r="J2160" s="62" t="s">
        <v>146</v>
      </c>
      <c r="K2160" s="62" t="s">
        <v>209</v>
      </c>
      <c r="L2160" s="62" t="s">
        <v>148</v>
      </c>
      <c r="M2160" s="62" t="n">
        <v>0</v>
      </c>
      <c r="N2160" s="62" t="n">
        <v>2</v>
      </c>
      <c r="O2160" s="62" t="n">
        <v>2</v>
      </c>
      <c r="P2160" s="62" t="n">
        <v>1</v>
      </c>
      <c r="Q2160" s="62" t="n">
        <v>1</v>
      </c>
      <c r="R2160" s="62" t="n">
        <v>0</v>
      </c>
      <c r="S2160" s="62" t="n">
        <v>0</v>
      </c>
      <c r="T2160" s="62" t="n">
        <v>0</v>
      </c>
      <c r="U2160" s="62"/>
      <c r="V2160" s="62"/>
      <c r="W2160" s="62"/>
      <c r="X2160" s="62"/>
      <c r="Y2160" s="62"/>
      <c r="Z2160" s="62" t="s">
        <v>3922</v>
      </c>
      <c r="AA2160" s="62" t="s">
        <v>3923</v>
      </c>
      <c r="AB2160" s="62" t="n">
        <v>1</v>
      </c>
      <c r="AC2160" s="62" t="n">
        <v>0</v>
      </c>
      <c r="AD2160" s="62" t="n">
        <v>1</v>
      </c>
      <c r="AE2160" s="62" t="n">
        <f aca="false">IF(AND(Dashboard!$C$9="Yes",AC2160=1),0,1)</f>
        <v>1</v>
      </c>
      <c r="AF2160" s="62" t="n">
        <v>0</v>
      </c>
    </row>
    <row r="2161" customFormat="false" ht="15" hidden="false" customHeight="false" outlineLevel="0" collapsed="false">
      <c r="A2161" s="62" t="n">
        <v>2160</v>
      </c>
      <c r="B2161" s="63" t="n">
        <v>46282.6221296296</v>
      </c>
      <c r="C2161" s="64" t="n">
        <v>46282</v>
      </c>
      <c r="D2161" s="62" t="s">
        <v>202</v>
      </c>
      <c r="E2161" s="62" t="s">
        <v>160</v>
      </c>
      <c r="F2161" s="62" t="s">
        <v>160</v>
      </c>
      <c r="G2161" s="62" t="s">
        <v>161</v>
      </c>
      <c r="H2161" s="62" t="s">
        <v>51</v>
      </c>
      <c r="I2161" s="62" t="s">
        <v>47</v>
      </c>
      <c r="J2161" s="62" t="s">
        <v>146</v>
      </c>
      <c r="K2161" s="62" t="s">
        <v>147</v>
      </c>
      <c r="L2161" s="62" t="s">
        <v>148</v>
      </c>
      <c r="M2161" s="62" t="n">
        <v>0</v>
      </c>
      <c r="N2161" s="62" t="n">
        <v>1</v>
      </c>
      <c r="O2161" s="62" t="n">
        <v>1</v>
      </c>
      <c r="P2161" s="62" t="n">
        <v>1</v>
      </c>
      <c r="Q2161" s="62" t="n">
        <v>0</v>
      </c>
      <c r="R2161" s="62" t="n">
        <v>0</v>
      </c>
      <c r="S2161" s="62" t="n">
        <v>0</v>
      </c>
      <c r="T2161" s="62" t="n">
        <v>0</v>
      </c>
      <c r="U2161" s="62"/>
      <c r="V2161" s="62"/>
      <c r="W2161" s="62"/>
      <c r="X2161" s="62"/>
      <c r="Y2161" s="62"/>
      <c r="Z2161" s="62" t="s">
        <v>3924</v>
      </c>
      <c r="AA2161" s="62" t="s">
        <v>3925</v>
      </c>
      <c r="AB2161" s="62" t="n">
        <v>1</v>
      </c>
      <c r="AC2161" s="62" t="n">
        <v>0</v>
      </c>
      <c r="AD2161" s="62" t="n">
        <v>1</v>
      </c>
      <c r="AE2161" s="62" t="n">
        <f aca="false">IF(AND(Dashboard!$C$9="Yes",AC2161=1),0,1)</f>
        <v>1</v>
      </c>
      <c r="AF2161" s="62" t="n">
        <v>1</v>
      </c>
    </row>
    <row r="2162" customFormat="false" ht="15" hidden="false" customHeight="false" outlineLevel="0" collapsed="false">
      <c r="A2162" s="62" t="n">
        <v>2161</v>
      </c>
      <c r="B2162" s="63" t="n">
        <v>46282.7540393519</v>
      </c>
      <c r="C2162" s="64" t="n">
        <v>46282</v>
      </c>
      <c r="D2162" s="62" t="s">
        <v>202</v>
      </c>
      <c r="E2162" s="62" t="s">
        <v>3580</v>
      </c>
      <c r="F2162" s="62" t="s">
        <v>3580</v>
      </c>
      <c r="G2162" s="62" t="s">
        <v>3581</v>
      </c>
      <c r="H2162" s="62" t="s">
        <v>51</v>
      </c>
      <c r="I2162" s="62" t="s">
        <v>47</v>
      </c>
      <c r="J2162" s="62" t="s">
        <v>146</v>
      </c>
      <c r="K2162" s="62" t="s">
        <v>209</v>
      </c>
      <c r="L2162" s="62" t="s">
        <v>4</v>
      </c>
      <c r="M2162" s="62" t="n">
        <v>1</v>
      </c>
      <c r="N2162" s="62" t="n">
        <v>0</v>
      </c>
      <c r="O2162" s="62" t="n">
        <v>1</v>
      </c>
      <c r="P2162" s="62" t="n">
        <v>0</v>
      </c>
      <c r="Q2162" s="62" t="n">
        <v>0</v>
      </c>
      <c r="R2162" s="62" t="n">
        <v>0</v>
      </c>
      <c r="S2162" s="62" t="n">
        <v>0</v>
      </c>
      <c r="T2162" s="62" t="n">
        <v>0</v>
      </c>
      <c r="U2162" s="62" t="s">
        <v>2056</v>
      </c>
      <c r="V2162" s="62" t="s">
        <v>2057</v>
      </c>
      <c r="W2162" s="62" t="s">
        <v>15</v>
      </c>
      <c r="X2162" s="62" t="s">
        <v>2125</v>
      </c>
      <c r="Y2162" s="62" t="s">
        <v>2103</v>
      </c>
      <c r="Z2162" s="62" t="s">
        <v>3926</v>
      </c>
      <c r="AA2162" s="62" t="s">
        <v>3927</v>
      </c>
      <c r="AB2162" s="62" t="n">
        <v>1</v>
      </c>
      <c r="AC2162" s="62" t="n">
        <v>0</v>
      </c>
      <c r="AD2162" s="62" t="n">
        <v>1</v>
      </c>
      <c r="AE2162" s="62" t="n">
        <f aca="false">IF(AND(Dashboard!$C$9="Yes",AC2162=1),0,1)</f>
        <v>1</v>
      </c>
      <c r="AF2162" s="62" t="n">
        <v>1</v>
      </c>
    </row>
    <row r="2163" customFormat="false" ht="15" hidden="false" customHeight="false" outlineLevel="0" collapsed="false">
      <c r="A2163" s="62" t="n">
        <v>2162</v>
      </c>
      <c r="B2163" s="63" t="n">
        <v>46282.7619212963</v>
      </c>
      <c r="C2163" s="64" t="n">
        <v>46282</v>
      </c>
      <c r="D2163" s="62" t="s">
        <v>202</v>
      </c>
      <c r="E2163" s="62" t="s">
        <v>3928</v>
      </c>
      <c r="F2163" s="62" t="s">
        <v>3928</v>
      </c>
      <c r="G2163" s="62" t="s">
        <v>3929</v>
      </c>
      <c r="H2163" s="62" t="s">
        <v>51</v>
      </c>
      <c r="I2163" s="62" t="s">
        <v>47</v>
      </c>
      <c r="J2163" s="62" t="s">
        <v>146</v>
      </c>
      <c r="K2163" s="62" t="s">
        <v>209</v>
      </c>
      <c r="L2163" s="62" t="s">
        <v>4</v>
      </c>
      <c r="M2163" s="62" t="n">
        <v>1</v>
      </c>
      <c r="N2163" s="62" t="n">
        <v>0</v>
      </c>
      <c r="O2163" s="62" t="n">
        <v>1</v>
      </c>
      <c r="P2163" s="62" t="n">
        <v>0</v>
      </c>
      <c r="Q2163" s="62" t="n">
        <v>0</v>
      </c>
      <c r="R2163" s="62" t="n">
        <v>0</v>
      </c>
      <c r="S2163" s="62" t="n">
        <v>0</v>
      </c>
      <c r="T2163" s="62" t="n">
        <v>0</v>
      </c>
      <c r="U2163" s="62" t="s">
        <v>2056</v>
      </c>
      <c r="V2163" s="62" t="s">
        <v>2057</v>
      </c>
      <c r="W2163" s="62" t="s">
        <v>15</v>
      </c>
      <c r="X2163" s="62" t="s">
        <v>2058</v>
      </c>
      <c r="Y2163" s="62" t="s">
        <v>2059</v>
      </c>
      <c r="Z2163" s="62" t="s">
        <v>3930</v>
      </c>
      <c r="AA2163" s="62" t="s">
        <v>3931</v>
      </c>
      <c r="AB2163" s="62" t="n">
        <v>1</v>
      </c>
      <c r="AC2163" s="62" t="n">
        <v>0</v>
      </c>
      <c r="AD2163" s="62" t="n">
        <v>1</v>
      </c>
      <c r="AE2163" s="62" t="n">
        <f aca="false">IF(AND(Dashboard!$C$9="Yes",AC2163=1),0,1)</f>
        <v>1</v>
      </c>
      <c r="AF2163" s="62" t="n">
        <v>1</v>
      </c>
    </row>
    <row r="2164" customFormat="false" ht="15" hidden="false" customHeight="false" outlineLevel="0" collapsed="false">
      <c r="A2164" s="62" t="n">
        <v>2163</v>
      </c>
      <c r="B2164" s="63" t="n">
        <v>46282.7720717593</v>
      </c>
      <c r="C2164" s="64" t="n">
        <v>46282</v>
      </c>
      <c r="D2164" s="62" t="s">
        <v>202</v>
      </c>
      <c r="E2164" s="62" t="s">
        <v>1445</v>
      </c>
      <c r="F2164" s="62" t="s">
        <v>1445</v>
      </c>
      <c r="G2164" s="62" t="s">
        <v>1446</v>
      </c>
      <c r="H2164" s="62" t="s">
        <v>58</v>
      </c>
      <c r="I2164" s="62" t="s">
        <v>49</v>
      </c>
      <c r="J2164" s="62" t="s">
        <v>146</v>
      </c>
      <c r="K2164" s="62" t="s">
        <v>175</v>
      </c>
      <c r="L2164" s="62" t="s">
        <v>4</v>
      </c>
      <c r="M2164" s="62" t="n">
        <v>1</v>
      </c>
      <c r="N2164" s="62" t="n">
        <v>0</v>
      </c>
      <c r="O2164" s="62" t="n">
        <v>1</v>
      </c>
      <c r="P2164" s="62" t="n">
        <v>0</v>
      </c>
      <c r="Q2164" s="62" t="n">
        <v>0</v>
      </c>
      <c r="R2164" s="62" t="n">
        <v>0</v>
      </c>
      <c r="S2164" s="62" t="n">
        <v>0</v>
      </c>
      <c r="T2164" s="62" t="n">
        <v>0</v>
      </c>
      <c r="U2164" s="62" t="s">
        <v>2056</v>
      </c>
      <c r="V2164" s="62" t="s">
        <v>2057</v>
      </c>
      <c r="W2164" s="62" t="s">
        <v>15</v>
      </c>
      <c r="X2164" s="62" t="s">
        <v>2058</v>
      </c>
      <c r="Y2164" s="62" t="s">
        <v>2059</v>
      </c>
      <c r="Z2164" s="62" t="s">
        <v>3932</v>
      </c>
      <c r="AA2164" s="62" t="s">
        <v>3933</v>
      </c>
      <c r="AB2164" s="62" t="n">
        <v>1</v>
      </c>
      <c r="AC2164" s="62" t="n">
        <v>0</v>
      </c>
      <c r="AD2164" s="62" t="n">
        <v>1</v>
      </c>
      <c r="AE2164" s="62" t="n">
        <f aca="false">IF(AND(Dashboard!$C$9="Yes",AC2164=1),0,1)</f>
        <v>1</v>
      </c>
      <c r="AF2164" s="62" t="n">
        <v>1</v>
      </c>
    </row>
    <row r="2165" customFormat="false" ht="15" hidden="false" customHeight="false" outlineLevel="0" collapsed="false">
      <c r="A2165" s="62" t="n">
        <v>2164</v>
      </c>
      <c r="B2165" s="63" t="n">
        <v>46282.779525463</v>
      </c>
      <c r="C2165" s="64" t="n">
        <v>46282</v>
      </c>
      <c r="D2165" s="62" t="s">
        <v>202</v>
      </c>
      <c r="E2165" s="62" t="s">
        <v>3181</v>
      </c>
      <c r="F2165" s="62" t="s">
        <v>3181</v>
      </c>
      <c r="G2165" s="62" t="s">
        <v>3182</v>
      </c>
      <c r="H2165" s="62" t="s">
        <v>58</v>
      </c>
      <c r="I2165" s="62" t="s">
        <v>49</v>
      </c>
      <c r="J2165" s="62" t="s">
        <v>146</v>
      </c>
      <c r="K2165" s="62" t="s">
        <v>209</v>
      </c>
      <c r="L2165" s="62" t="s">
        <v>148</v>
      </c>
      <c r="M2165" s="62" t="n">
        <v>0</v>
      </c>
      <c r="N2165" s="62" t="n">
        <v>1</v>
      </c>
      <c r="O2165" s="62" t="n">
        <v>1</v>
      </c>
      <c r="P2165" s="62" t="n">
        <v>0</v>
      </c>
      <c r="Q2165" s="62" t="n">
        <v>0</v>
      </c>
      <c r="R2165" s="62" t="n">
        <v>0</v>
      </c>
      <c r="S2165" s="62" t="n">
        <v>1</v>
      </c>
      <c r="T2165" s="62" t="n">
        <v>0</v>
      </c>
      <c r="U2165" s="62"/>
      <c r="V2165" s="62"/>
      <c r="W2165" s="62"/>
      <c r="X2165" s="62"/>
      <c r="Y2165" s="62"/>
      <c r="Z2165" s="62" t="s">
        <v>3934</v>
      </c>
      <c r="AA2165" s="62" t="s">
        <v>492</v>
      </c>
      <c r="AB2165" s="62" t="n">
        <v>0</v>
      </c>
      <c r="AC2165" s="62" t="n">
        <v>0</v>
      </c>
      <c r="AD2165" s="62" t="n">
        <v>1</v>
      </c>
      <c r="AE2165" s="62" t="n">
        <f aca="false">IF(AND(Dashboard!$C$9="Yes",AC2165=1),0,1)</f>
        <v>1</v>
      </c>
      <c r="AF2165" s="62" t="n">
        <v>1</v>
      </c>
    </row>
    <row r="2166" customFormat="false" ht="15" hidden="false" customHeight="false" outlineLevel="0" collapsed="false">
      <c r="A2166" s="62" t="n">
        <v>2165</v>
      </c>
      <c r="B2166" s="63" t="n">
        <v>46282.7942939815</v>
      </c>
      <c r="C2166" s="64" t="n">
        <v>46282</v>
      </c>
      <c r="D2166" s="62" t="s">
        <v>202</v>
      </c>
      <c r="E2166" s="62" t="s">
        <v>939</v>
      </c>
      <c r="F2166" s="62" t="s">
        <v>939</v>
      </c>
      <c r="G2166" s="62" t="s">
        <v>940</v>
      </c>
      <c r="H2166" s="62" t="s">
        <v>57</v>
      </c>
      <c r="I2166" s="62" t="s">
        <v>47</v>
      </c>
      <c r="J2166" s="62" t="s">
        <v>146</v>
      </c>
      <c r="K2166" s="62" t="s">
        <v>147</v>
      </c>
      <c r="L2166" s="62" t="s">
        <v>148</v>
      </c>
      <c r="M2166" s="62" t="n">
        <v>0</v>
      </c>
      <c r="N2166" s="62" t="n">
        <v>1</v>
      </c>
      <c r="O2166" s="62" t="n">
        <v>1</v>
      </c>
      <c r="P2166" s="62" t="n">
        <v>1</v>
      </c>
      <c r="Q2166" s="62" t="n">
        <v>0</v>
      </c>
      <c r="R2166" s="62" t="n">
        <v>0</v>
      </c>
      <c r="S2166" s="62" t="n">
        <v>0</v>
      </c>
      <c r="T2166" s="62" t="n">
        <v>0</v>
      </c>
      <c r="U2166" s="62"/>
      <c r="V2166" s="62"/>
      <c r="W2166" s="62"/>
      <c r="X2166" s="62"/>
      <c r="Y2166" s="62"/>
      <c r="Z2166" s="62" t="s">
        <v>3935</v>
      </c>
      <c r="AA2166" s="62" t="s">
        <v>3936</v>
      </c>
      <c r="AB2166" s="62" t="n">
        <v>1</v>
      </c>
      <c r="AC2166" s="62" t="n">
        <v>0</v>
      </c>
      <c r="AD2166" s="62" t="n">
        <v>1</v>
      </c>
      <c r="AE2166" s="62" t="n">
        <f aca="false">IF(AND(Dashboard!$C$9="Yes",AC2166=1),0,1)</f>
        <v>1</v>
      </c>
      <c r="AF2166" s="62" t="n">
        <v>1</v>
      </c>
    </row>
    <row r="2167" customFormat="false" ht="15" hidden="false" customHeight="false" outlineLevel="0" collapsed="false">
      <c r="A2167" s="62" t="n">
        <v>2166</v>
      </c>
      <c r="B2167" s="63" t="n">
        <v>46282.7960648148</v>
      </c>
      <c r="C2167" s="64" t="n">
        <v>46282</v>
      </c>
      <c r="D2167" s="62" t="s">
        <v>202</v>
      </c>
      <c r="E2167" s="62" t="s">
        <v>1005</v>
      </c>
      <c r="F2167" s="62" t="s">
        <v>1005</v>
      </c>
      <c r="G2167" s="62" t="s">
        <v>1006</v>
      </c>
      <c r="H2167" s="62" t="s">
        <v>46</v>
      </c>
      <c r="I2167" s="62" t="s">
        <v>47</v>
      </c>
      <c r="J2167" s="62" t="s">
        <v>146</v>
      </c>
      <c r="K2167" s="62" t="s">
        <v>209</v>
      </c>
      <c r="L2167" s="62" t="s">
        <v>148</v>
      </c>
      <c r="M2167" s="62" t="n">
        <v>0</v>
      </c>
      <c r="N2167" s="62" t="n">
        <v>1</v>
      </c>
      <c r="O2167" s="62" t="n">
        <v>1</v>
      </c>
      <c r="P2167" s="62" t="n">
        <v>0</v>
      </c>
      <c r="Q2167" s="62" t="n">
        <v>1</v>
      </c>
      <c r="R2167" s="62" t="n">
        <v>0</v>
      </c>
      <c r="S2167" s="62" t="n">
        <v>0</v>
      </c>
      <c r="T2167" s="62" t="n">
        <v>0</v>
      </c>
      <c r="U2167" s="62"/>
      <c r="V2167" s="62"/>
      <c r="W2167" s="62"/>
      <c r="X2167" s="62"/>
      <c r="Y2167" s="62"/>
      <c r="Z2167" s="62" t="s">
        <v>3937</v>
      </c>
      <c r="AA2167" s="62" t="s">
        <v>485</v>
      </c>
      <c r="AB2167" s="62" t="n">
        <v>0</v>
      </c>
      <c r="AC2167" s="62" t="n">
        <v>0</v>
      </c>
      <c r="AD2167" s="62" t="n">
        <v>1</v>
      </c>
      <c r="AE2167" s="62" t="n">
        <f aca="false">IF(AND(Dashboard!$C$9="Yes",AC2167=1),0,1)</f>
        <v>1</v>
      </c>
      <c r="AF2167" s="62" t="n">
        <v>1</v>
      </c>
    </row>
    <row r="2168" customFormat="false" ht="15" hidden="false" customHeight="false" outlineLevel="0" collapsed="false">
      <c r="A2168" s="62" t="n">
        <v>2167</v>
      </c>
      <c r="B2168" s="63" t="n">
        <v>46282.8028009259</v>
      </c>
      <c r="C2168" s="64" t="n">
        <v>46282</v>
      </c>
      <c r="D2168" s="62" t="s">
        <v>202</v>
      </c>
      <c r="E2168" s="62" t="s">
        <v>2119</v>
      </c>
      <c r="F2168" s="62" t="s">
        <v>2119</v>
      </c>
      <c r="G2168" s="62" t="s">
        <v>2120</v>
      </c>
      <c r="H2168" s="62" t="s">
        <v>52</v>
      </c>
      <c r="I2168" s="62" t="s">
        <v>47</v>
      </c>
      <c r="J2168" s="62" t="s">
        <v>146</v>
      </c>
      <c r="K2168" s="62" t="s">
        <v>147</v>
      </c>
      <c r="L2168" s="62" t="s">
        <v>148</v>
      </c>
      <c r="M2168" s="62" t="n">
        <v>0</v>
      </c>
      <c r="N2168" s="62" t="n">
        <v>1</v>
      </c>
      <c r="O2168" s="62" t="n">
        <v>1</v>
      </c>
      <c r="P2168" s="62" t="n">
        <v>1</v>
      </c>
      <c r="Q2168" s="62" t="n">
        <v>0</v>
      </c>
      <c r="R2168" s="62" t="n">
        <v>0</v>
      </c>
      <c r="S2168" s="62" t="n">
        <v>0</v>
      </c>
      <c r="T2168" s="62" t="n">
        <v>0</v>
      </c>
      <c r="U2168" s="62"/>
      <c r="V2168" s="62"/>
      <c r="W2168" s="62"/>
      <c r="X2168" s="62"/>
      <c r="Y2168" s="62"/>
      <c r="Z2168" s="62" t="s">
        <v>3938</v>
      </c>
      <c r="AA2168" s="62" t="s">
        <v>3015</v>
      </c>
      <c r="AB2168" s="62" t="n">
        <v>1</v>
      </c>
      <c r="AC2168" s="62" t="n">
        <v>0</v>
      </c>
      <c r="AD2168" s="62" t="n">
        <v>1</v>
      </c>
      <c r="AE2168" s="62" t="n">
        <f aca="false">IF(AND(Dashboard!$C$9="Yes",AC2168=1),0,1)</f>
        <v>1</v>
      </c>
      <c r="AF2168" s="62" t="n">
        <v>1</v>
      </c>
    </row>
    <row r="2169" customFormat="false" ht="15" hidden="false" customHeight="false" outlineLevel="0" collapsed="false">
      <c r="A2169" s="62" t="n">
        <v>2168</v>
      </c>
      <c r="B2169" s="63" t="n">
        <v>46282.8361689815</v>
      </c>
      <c r="C2169" s="64" t="n">
        <v>46282</v>
      </c>
      <c r="D2169" s="62" t="s">
        <v>202</v>
      </c>
      <c r="E2169" s="62" t="s">
        <v>3181</v>
      </c>
      <c r="F2169" s="62" t="s">
        <v>3181</v>
      </c>
      <c r="G2169" s="62" t="s">
        <v>3182</v>
      </c>
      <c r="H2169" s="62" t="s">
        <v>58</v>
      </c>
      <c r="I2169" s="62" t="s">
        <v>49</v>
      </c>
      <c r="J2169" s="62" t="s">
        <v>146</v>
      </c>
      <c r="K2169" s="62" t="s">
        <v>209</v>
      </c>
      <c r="L2169" s="62" t="s">
        <v>148</v>
      </c>
      <c r="M2169" s="62" t="n">
        <v>0</v>
      </c>
      <c r="N2169" s="62" t="n">
        <v>1</v>
      </c>
      <c r="O2169" s="62" t="n">
        <v>1</v>
      </c>
      <c r="P2169" s="62" t="n">
        <v>0</v>
      </c>
      <c r="Q2169" s="62" t="n">
        <v>1</v>
      </c>
      <c r="R2169" s="62" t="n">
        <v>0</v>
      </c>
      <c r="S2169" s="62" t="n">
        <v>0</v>
      </c>
      <c r="T2169" s="62" t="n">
        <v>0</v>
      </c>
      <c r="U2169" s="62"/>
      <c r="V2169" s="62"/>
      <c r="W2169" s="62"/>
      <c r="X2169" s="62"/>
      <c r="Y2169" s="62"/>
      <c r="Z2169" s="62" t="s">
        <v>3939</v>
      </c>
      <c r="AA2169" s="62" t="s">
        <v>3482</v>
      </c>
      <c r="AB2169" s="62" t="n">
        <v>0</v>
      </c>
      <c r="AC2169" s="62" t="n">
        <v>0</v>
      </c>
      <c r="AD2169" s="62" t="n">
        <v>1</v>
      </c>
      <c r="AE2169" s="62" t="n">
        <f aca="false">IF(AND(Dashboard!$C$9="Yes",AC2169=1),0,1)</f>
        <v>1</v>
      </c>
      <c r="AF2169" s="62" t="n">
        <v>0</v>
      </c>
    </row>
    <row r="2170" customFormat="false" ht="15" hidden="false" customHeight="false" outlineLevel="0" collapsed="false">
      <c r="A2170" s="62" t="n">
        <v>2169</v>
      </c>
      <c r="B2170" s="63" t="n">
        <v>46282.851724537</v>
      </c>
      <c r="C2170" s="64" t="n">
        <v>46282</v>
      </c>
      <c r="D2170" s="62" t="s">
        <v>202</v>
      </c>
      <c r="E2170" s="62" t="s">
        <v>3226</v>
      </c>
      <c r="F2170" s="62" t="s">
        <v>3226</v>
      </c>
      <c r="G2170" s="62" t="s">
        <v>3227</v>
      </c>
      <c r="H2170" s="62" t="s">
        <v>46</v>
      </c>
      <c r="I2170" s="62" t="s">
        <v>47</v>
      </c>
      <c r="J2170" s="62" t="s">
        <v>146</v>
      </c>
      <c r="K2170" s="62" t="s">
        <v>209</v>
      </c>
      <c r="L2170" s="62" t="s">
        <v>148</v>
      </c>
      <c r="M2170" s="62" t="n">
        <v>0</v>
      </c>
      <c r="N2170" s="62" t="n">
        <v>1</v>
      </c>
      <c r="O2170" s="62" t="n">
        <v>1</v>
      </c>
      <c r="P2170" s="62" t="n">
        <v>1</v>
      </c>
      <c r="Q2170" s="62" t="n">
        <v>0</v>
      </c>
      <c r="R2170" s="62" t="n">
        <v>0</v>
      </c>
      <c r="S2170" s="62" t="n">
        <v>0</v>
      </c>
      <c r="T2170" s="62" t="n">
        <v>0</v>
      </c>
      <c r="U2170" s="62"/>
      <c r="V2170" s="62"/>
      <c r="W2170" s="62"/>
      <c r="X2170" s="62"/>
      <c r="Y2170" s="62"/>
      <c r="Z2170" s="62" t="s">
        <v>3940</v>
      </c>
      <c r="AA2170" s="62" t="s">
        <v>3941</v>
      </c>
      <c r="AB2170" s="62" t="n">
        <v>1</v>
      </c>
      <c r="AC2170" s="62" t="n">
        <v>0</v>
      </c>
      <c r="AD2170" s="62" t="n">
        <v>1</v>
      </c>
      <c r="AE2170" s="62" t="n">
        <f aca="false">IF(AND(Dashboard!$C$9="Yes",AC2170=1),0,1)</f>
        <v>1</v>
      </c>
      <c r="AF2170" s="62" t="n">
        <v>1</v>
      </c>
    </row>
    <row r="2171" customFormat="false" ht="15" hidden="false" customHeight="false" outlineLevel="0" collapsed="false">
      <c r="A2171" s="62" t="n">
        <v>2170</v>
      </c>
      <c r="B2171" s="63" t="n">
        <v>46282.8630092593</v>
      </c>
      <c r="C2171" s="64" t="n">
        <v>46282</v>
      </c>
      <c r="D2171" s="62" t="s">
        <v>202</v>
      </c>
      <c r="E2171" s="62" t="s">
        <v>3928</v>
      </c>
      <c r="F2171" s="62" t="s">
        <v>3928</v>
      </c>
      <c r="G2171" s="62" t="s">
        <v>3929</v>
      </c>
      <c r="H2171" s="62" t="s">
        <v>51</v>
      </c>
      <c r="I2171" s="62" t="s">
        <v>47</v>
      </c>
      <c r="J2171" s="62" t="s">
        <v>146</v>
      </c>
      <c r="K2171" s="62" t="s">
        <v>209</v>
      </c>
      <c r="L2171" s="62" t="s">
        <v>4</v>
      </c>
      <c r="M2171" s="62" t="n">
        <v>1</v>
      </c>
      <c r="N2171" s="62" t="n">
        <v>0</v>
      </c>
      <c r="O2171" s="62" t="n">
        <v>1</v>
      </c>
      <c r="P2171" s="62" t="n">
        <v>0</v>
      </c>
      <c r="Q2171" s="62" t="n">
        <v>0</v>
      </c>
      <c r="R2171" s="62" t="n">
        <v>0</v>
      </c>
      <c r="S2171" s="62" t="n">
        <v>0</v>
      </c>
      <c r="T2171" s="62" t="n">
        <v>0</v>
      </c>
      <c r="U2171" s="62" t="s">
        <v>2056</v>
      </c>
      <c r="V2171" s="62" t="s">
        <v>2057</v>
      </c>
      <c r="W2171" s="62" t="s">
        <v>15</v>
      </c>
      <c r="X2171" s="62" t="s">
        <v>2058</v>
      </c>
      <c r="Y2171" s="62" t="s">
        <v>2059</v>
      </c>
      <c r="Z2171" s="62" t="s">
        <v>3942</v>
      </c>
      <c r="AA2171" s="62" t="s">
        <v>3943</v>
      </c>
      <c r="AB2171" s="62" t="n">
        <v>1</v>
      </c>
      <c r="AC2171" s="62" t="n">
        <v>0</v>
      </c>
      <c r="AD2171" s="62" t="n">
        <v>1</v>
      </c>
      <c r="AE2171" s="62" t="n">
        <f aca="false">IF(AND(Dashboard!$C$9="Yes",AC2171=1),0,1)</f>
        <v>1</v>
      </c>
      <c r="AF2171" s="62" t="n">
        <v>0</v>
      </c>
    </row>
    <row r="2172" customFormat="false" ht="15" hidden="false" customHeight="false" outlineLevel="0" collapsed="false">
      <c r="A2172" s="62" t="n">
        <v>2171</v>
      </c>
      <c r="B2172" s="63" t="n">
        <v>46282.8674652778</v>
      </c>
      <c r="C2172" s="64" t="n">
        <v>46282</v>
      </c>
      <c r="D2172" s="62" t="s">
        <v>202</v>
      </c>
      <c r="E2172" s="62" t="s">
        <v>3181</v>
      </c>
      <c r="F2172" s="62" t="s">
        <v>3181</v>
      </c>
      <c r="G2172" s="62" t="s">
        <v>3182</v>
      </c>
      <c r="H2172" s="62" t="s">
        <v>58</v>
      </c>
      <c r="I2172" s="62" t="s">
        <v>49</v>
      </c>
      <c r="J2172" s="62" t="s">
        <v>146</v>
      </c>
      <c r="K2172" s="62" t="s">
        <v>209</v>
      </c>
      <c r="L2172" s="62" t="s">
        <v>148</v>
      </c>
      <c r="M2172" s="62" t="n">
        <v>0</v>
      </c>
      <c r="N2172" s="62" t="n">
        <v>1</v>
      </c>
      <c r="O2172" s="62" t="n">
        <v>1</v>
      </c>
      <c r="P2172" s="62" t="n">
        <v>1</v>
      </c>
      <c r="Q2172" s="62" t="n">
        <v>0</v>
      </c>
      <c r="R2172" s="62" t="n">
        <v>0</v>
      </c>
      <c r="S2172" s="62" t="n">
        <v>0</v>
      </c>
      <c r="T2172" s="62" t="n">
        <v>0</v>
      </c>
      <c r="U2172" s="62"/>
      <c r="V2172" s="62"/>
      <c r="W2172" s="62"/>
      <c r="X2172" s="62"/>
      <c r="Y2172" s="62"/>
      <c r="Z2172" s="62" t="s">
        <v>3944</v>
      </c>
      <c r="AA2172" s="62" t="s">
        <v>492</v>
      </c>
      <c r="AB2172" s="62" t="n">
        <v>0</v>
      </c>
      <c r="AC2172" s="62" t="n">
        <v>0</v>
      </c>
      <c r="AD2172" s="62" t="n">
        <v>1</v>
      </c>
      <c r="AE2172" s="62" t="n">
        <f aca="false">IF(AND(Dashboard!$C$9="Yes",AC2172=1),0,1)</f>
        <v>1</v>
      </c>
      <c r="AF2172" s="62" t="n">
        <v>0</v>
      </c>
    </row>
    <row r="2173" customFormat="false" ht="15" hidden="false" customHeight="false" outlineLevel="0" collapsed="false">
      <c r="A2173" s="62" t="n">
        <v>2172</v>
      </c>
      <c r="B2173" s="63" t="n">
        <v>46282.9138657407</v>
      </c>
      <c r="C2173" s="64" t="n">
        <v>46282</v>
      </c>
      <c r="D2173" s="62" t="s">
        <v>202</v>
      </c>
      <c r="E2173" s="62" t="s">
        <v>2722</v>
      </c>
      <c r="F2173" s="62" t="s">
        <v>2722</v>
      </c>
      <c r="G2173" s="62" t="s">
        <v>2723</v>
      </c>
      <c r="H2173" s="62" t="s">
        <v>55</v>
      </c>
      <c r="I2173" s="62" t="s">
        <v>49</v>
      </c>
      <c r="J2173" s="62" t="s">
        <v>146</v>
      </c>
      <c r="K2173" s="62" t="s">
        <v>209</v>
      </c>
      <c r="L2173" s="62" t="s">
        <v>4</v>
      </c>
      <c r="M2173" s="62" t="n">
        <v>1</v>
      </c>
      <c r="N2173" s="62" t="n">
        <v>0</v>
      </c>
      <c r="O2173" s="62" t="n">
        <v>1</v>
      </c>
      <c r="P2173" s="62" t="n">
        <v>0</v>
      </c>
      <c r="Q2173" s="62" t="n">
        <v>0</v>
      </c>
      <c r="R2173" s="62" t="n">
        <v>0</v>
      </c>
      <c r="S2173" s="62" t="n">
        <v>0</v>
      </c>
      <c r="T2173" s="62" t="n">
        <v>0</v>
      </c>
      <c r="U2173" s="62" t="s">
        <v>2056</v>
      </c>
      <c r="V2173" s="62" t="s">
        <v>2057</v>
      </c>
      <c r="W2173" s="62" t="s">
        <v>15</v>
      </c>
      <c r="X2173" s="62" t="s">
        <v>2058</v>
      </c>
      <c r="Y2173" s="62" t="s">
        <v>2181</v>
      </c>
      <c r="Z2173" s="62" t="s">
        <v>3945</v>
      </c>
      <c r="AA2173" s="62" t="s">
        <v>3946</v>
      </c>
      <c r="AB2173" s="62" t="n">
        <v>1</v>
      </c>
      <c r="AC2173" s="62" t="n">
        <v>0</v>
      </c>
      <c r="AD2173" s="62" t="n">
        <v>1</v>
      </c>
      <c r="AE2173" s="62" t="n">
        <f aca="false">IF(AND(Dashboard!$C$9="Yes",AC2173=1),0,1)</f>
        <v>1</v>
      </c>
      <c r="AF2173" s="62" t="n">
        <v>1</v>
      </c>
    </row>
    <row r="2174" customFormat="false" ht="15" hidden="false" customHeight="false" outlineLevel="0" collapsed="false">
      <c r="A2174" s="62" t="n">
        <v>2173</v>
      </c>
      <c r="B2174" s="63" t="n">
        <v>46282.9182407407</v>
      </c>
      <c r="C2174" s="64" t="n">
        <v>46282</v>
      </c>
      <c r="D2174" s="62" t="s">
        <v>202</v>
      </c>
      <c r="E2174" s="62" t="s">
        <v>1005</v>
      </c>
      <c r="F2174" s="62" t="s">
        <v>1005</v>
      </c>
      <c r="G2174" s="62" t="s">
        <v>1006</v>
      </c>
      <c r="H2174" s="62" t="s">
        <v>46</v>
      </c>
      <c r="I2174" s="62" t="s">
        <v>47</v>
      </c>
      <c r="J2174" s="62" t="s">
        <v>146</v>
      </c>
      <c r="K2174" s="62" t="s">
        <v>209</v>
      </c>
      <c r="L2174" s="62" t="s">
        <v>148</v>
      </c>
      <c r="M2174" s="62" t="n">
        <v>0</v>
      </c>
      <c r="N2174" s="62" t="n">
        <v>1</v>
      </c>
      <c r="O2174" s="62" t="n">
        <v>1</v>
      </c>
      <c r="P2174" s="62" t="n">
        <v>1</v>
      </c>
      <c r="Q2174" s="62" t="n">
        <v>0</v>
      </c>
      <c r="R2174" s="62" t="n">
        <v>0</v>
      </c>
      <c r="S2174" s="62" t="n">
        <v>0</v>
      </c>
      <c r="T2174" s="62" t="n">
        <v>0</v>
      </c>
      <c r="U2174" s="62"/>
      <c r="V2174" s="62"/>
      <c r="W2174" s="62"/>
      <c r="X2174" s="62"/>
      <c r="Y2174" s="62"/>
      <c r="Z2174" s="62" t="s">
        <v>3947</v>
      </c>
      <c r="AA2174" s="62" t="s">
        <v>485</v>
      </c>
      <c r="AB2174" s="62" t="n">
        <v>0</v>
      </c>
      <c r="AC2174" s="62" t="n">
        <v>0</v>
      </c>
      <c r="AD2174" s="62" t="n">
        <v>1</v>
      </c>
      <c r="AE2174" s="62" t="n">
        <f aca="false">IF(AND(Dashboard!$C$9="Yes",AC2174=1),0,1)</f>
        <v>1</v>
      </c>
      <c r="AF2174" s="62" t="n">
        <v>0</v>
      </c>
    </row>
    <row r="2175" customFormat="false" ht="15" hidden="false" customHeight="false" outlineLevel="0" collapsed="false">
      <c r="A2175" s="62" t="n">
        <v>2174</v>
      </c>
      <c r="B2175" s="63" t="n">
        <v>46282.9470138889</v>
      </c>
      <c r="C2175" s="64" t="n">
        <v>46282</v>
      </c>
      <c r="D2175" s="62" t="s">
        <v>202</v>
      </c>
      <c r="E2175" s="62" t="s">
        <v>2943</v>
      </c>
      <c r="F2175" s="62" t="s">
        <v>2943</v>
      </c>
      <c r="G2175" s="62" t="s">
        <v>2944</v>
      </c>
      <c r="H2175" s="62" t="s">
        <v>48</v>
      </c>
      <c r="I2175" s="62" t="s">
        <v>49</v>
      </c>
      <c r="J2175" s="62" t="s">
        <v>146</v>
      </c>
      <c r="K2175" s="62" t="s">
        <v>209</v>
      </c>
      <c r="L2175" s="62" t="s">
        <v>148</v>
      </c>
      <c r="M2175" s="62" t="n">
        <v>0</v>
      </c>
      <c r="N2175" s="62" t="n">
        <v>1</v>
      </c>
      <c r="O2175" s="62" t="n">
        <v>1</v>
      </c>
      <c r="P2175" s="62" t="n">
        <v>1</v>
      </c>
      <c r="Q2175" s="62" t="n">
        <v>0</v>
      </c>
      <c r="R2175" s="62" t="n">
        <v>0</v>
      </c>
      <c r="S2175" s="62" t="n">
        <v>0</v>
      </c>
      <c r="T2175" s="62" t="n">
        <v>0</v>
      </c>
      <c r="U2175" s="62"/>
      <c r="V2175" s="62"/>
      <c r="W2175" s="62"/>
      <c r="X2175" s="62"/>
      <c r="Y2175" s="62"/>
      <c r="Z2175" s="62" t="s">
        <v>3948</v>
      </c>
      <c r="AA2175" s="62" t="s">
        <v>3949</v>
      </c>
      <c r="AB2175" s="62" t="n">
        <v>1</v>
      </c>
      <c r="AC2175" s="62" t="n">
        <v>0</v>
      </c>
      <c r="AD2175" s="62" t="n">
        <v>1</v>
      </c>
      <c r="AE2175" s="62" t="n">
        <f aca="false">IF(AND(Dashboard!$C$9="Yes",AC2175=1),0,1)</f>
        <v>1</v>
      </c>
      <c r="AF2175" s="62" t="n">
        <v>1</v>
      </c>
    </row>
    <row r="2176" customFormat="false" ht="15" hidden="false" customHeight="false" outlineLevel="0" collapsed="false">
      <c r="A2176" s="62" t="n">
        <v>2175</v>
      </c>
      <c r="B2176" s="63" t="n">
        <v>46282.9912268519</v>
      </c>
      <c r="C2176" s="64" t="n">
        <v>46282</v>
      </c>
      <c r="D2176" s="62" t="s">
        <v>202</v>
      </c>
      <c r="E2176" s="62" t="s">
        <v>2777</v>
      </c>
      <c r="F2176" s="62" t="s">
        <v>2777</v>
      </c>
      <c r="G2176" s="62" t="s">
        <v>2778</v>
      </c>
      <c r="H2176" s="62" t="s">
        <v>48</v>
      </c>
      <c r="I2176" s="62" t="s">
        <v>49</v>
      </c>
      <c r="J2176" s="62" t="s">
        <v>146</v>
      </c>
      <c r="K2176" s="62" t="s">
        <v>209</v>
      </c>
      <c r="L2176" s="62" t="s">
        <v>148</v>
      </c>
      <c r="M2176" s="62" t="n">
        <v>0</v>
      </c>
      <c r="N2176" s="62" t="n">
        <v>1</v>
      </c>
      <c r="O2176" s="62" t="n">
        <v>1</v>
      </c>
      <c r="P2176" s="62" t="n">
        <v>1</v>
      </c>
      <c r="Q2176" s="62" t="n">
        <v>0</v>
      </c>
      <c r="R2176" s="62" t="n">
        <v>0</v>
      </c>
      <c r="S2176" s="62" t="n">
        <v>0</v>
      </c>
      <c r="T2176" s="62" t="n">
        <v>0</v>
      </c>
      <c r="U2176" s="62"/>
      <c r="V2176" s="62"/>
      <c r="W2176" s="62"/>
      <c r="X2176" s="62"/>
      <c r="Y2176" s="62"/>
      <c r="Z2176" s="62" t="s">
        <v>3950</v>
      </c>
      <c r="AA2176" s="62" t="s">
        <v>3950</v>
      </c>
      <c r="AB2176" s="62" t="n">
        <v>1</v>
      </c>
      <c r="AC2176" s="62" t="n">
        <v>0</v>
      </c>
      <c r="AD2176" s="62" t="n">
        <v>1</v>
      </c>
      <c r="AE2176" s="62" t="n">
        <f aca="false">IF(AND(Dashboard!$C$9="Yes",AC2176=1),0,1)</f>
        <v>1</v>
      </c>
      <c r="AF2176" s="62" t="n">
        <v>1</v>
      </c>
    </row>
    <row r="2177" customFormat="false" ht="15" hidden="false" customHeight="false" outlineLevel="0" collapsed="false">
      <c r="A2177" s="62" t="n">
        <v>2176</v>
      </c>
      <c r="B2177" s="63" t="n">
        <v>46282.9978125</v>
      </c>
      <c r="C2177" s="64" t="n">
        <v>46282</v>
      </c>
      <c r="D2177" s="62" t="s">
        <v>202</v>
      </c>
      <c r="E2177" s="62" t="s">
        <v>273</v>
      </c>
      <c r="F2177" s="62" t="s">
        <v>273</v>
      </c>
      <c r="G2177" s="62" t="s">
        <v>274</v>
      </c>
      <c r="H2177" s="62" t="s">
        <v>59</v>
      </c>
      <c r="I2177" s="62" t="s">
        <v>47</v>
      </c>
      <c r="J2177" s="62" t="s">
        <v>146</v>
      </c>
      <c r="K2177" s="62" t="s">
        <v>147</v>
      </c>
      <c r="L2177" s="62" t="s">
        <v>148</v>
      </c>
      <c r="M2177" s="62" t="n">
        <v>0</v>
      </c>
      <c r="N2177" s="62" t="n">
        <v>1</v>
      </c>
      <c r="O2177" s="62" t="n">
        <v>1</v>
      </c>
      <c r="P2177" s="62" t="n">
        <v>0</v>
      </c>
      <c r="Q2177" s="62" t="n">
        <v>0</v>
      </c>
      <c r="R2177" s="62" t="n">
        <v>0</v>
      </c>
      <c r="S2177" s="62" t="n">
        <v>1</v>
      </c>
      <c r="T2177" s="62" t="n">
        <v>0</v>
      </c>
      <c r="U2177" s="62"/>
      <c r="V2177" s="62"/>
      <c r="W2177" s="62"/>
      <c r="X2177" s="62"/>
      <c r="Y2177" s="62"/>
      <c r="Z2177" s="62" t="s">
        <v>3951</v>
      </c>
      <c r="AA2177" s="62" t="s">
        <v>3952</v>
      </c>
      <c r="AB2177" s="62" t="n">
        <v>1</v>
      </c>
      <c r="AC2177" s="62" t="n">
        <v>0</v>
      </c>
      <c r="AD2177" s="62" t="n">
        <v>1</v>
      </c>
      <c r="AE2177" s="62" t="n">
        <f aca="false">IF(AND(Dashboard!$C$9="Yes",AC2177=1),0,1)</f>
        <v>1</v>
      </c>
      <c r="AF2177" s="62" t="n">
        <v>1</v>
      </c>
    </row>
    <row r="2178" customFormat="false" ht="15" hidden="false" customHeight="false" outlineLevel="0" collapsed="false">
      <c r="A2178" s="62" t="n">
        <v>2177</v>
      </c>
      <c r="B2178" s="63" t="n">
        <v>46283.018900463</v>
      </c>
      <c r="C2178" s="64" t="n">
        <v>46282</v>
      </c>
      <c r="D2178" s="62" t="s">
        <v>202</v>
      </c>
      <c r="E2178" s="62" t="s">
        <v>1005</v>
      </c>
      <c r="F2178" s="62" t="s">
        <v>1005</v>
      </c>
      <c r="G2178" s="62" t="s">
        <v>1006</v>
      </c>
      <c r="H2178" s="62" t="s">
        <v>46</v>
      </c>
      <c r="I2178" s="62" t="s">
        <v>47</v>
      </c>
      <c r="J2178" s="62" t="s">
        <v>146</v>
      </c>
      <c r="K2178" s="62" t="s">
        <v>209</v>
      </c>
      <c r="L2178" s="62" t="s">
        <v>148</v>
      </c>
      <c r="M2178" s="62" t="n">
        <v>0</v>
      </c>
      <c r="N2178" s="62" t="n">
        <v>1</v>
      </c>
      <c r="O2178" s="62" t="n">
        <v>1</v>
      </c>
      <c r="P2178" s="62" t="n">
        <v>1</v>
      </c>
      <c r="Q2178" s="62" t="n">
        <v>0</v>
      </c>
      <c r="R2178" s="62" t="n">
        <v>0</v>
      </c>
      <c r="S2178" s="62" t="n">
        <v>0</v>
      </c>
      <c r="T2178" s="62" t="n">
        <v>0</v>
      </c>
      <c r="U2178" s="62"/>
      <c r="V2178" s="62"/>
      <c r="W2178" s="62"/>
      <c r="X2178" s="62"/>
      <c r="Y2178" s="62"/>
      <c r="Z2178" s="62" t="s">
        <v>3953</v>
      </c>
      <c r="AA2178" s="62" t="s">
        <v>485</v>
      </c>
      <c r="AB2178" s="62" t="n">
        <v>0</v>
      </c>
      <c r="AC2178" s="62" t="n">
        <v>0</v>
      </c>
      <c r="AD2178" s="62" t="n">
        <v>1</v>
      </c>
      <c r="AE2178" s="62" t="n">
        <f aca="false">IF(AND(Dashboard!$C$9="Yes",AC2178=1),0,1)</f>
        <v>1</v>
      </c>
      <c r="AF2178" s="62" t="n">
        <v>0</v>
      </c>
    </row>
    <row r="2179" customFormat="false" ht="15" hidden="false" customHeight="false" outlineLevel="0" collapsed="false">
      <c r="A2179" s="62" t="n">
        <v>2178</v>
      </c>
      <c r="B2179" s="63" t="n">
        <v>46283.0563773148</v>
      </c>
      <c r="C2179" s="64" t="n">
        <v>46282</v>
      </c>
      <c r="D2179" s="62" t="s">
        <v>202</v>
      </c>
      <c r="E2179" s="62" t="s">
        <v>3580</v>
      </c>
      <c r="F2179" s="62" t="s">
        <v>3580</v>
      </c>
      <c r="G2179" s="62" t="s">
        <v>3581</v>
      </c>
      <c r="H2179" s="62" t="s">
        <v>51</v>
      </c>
      <c r="I2179" s="62" t="s">
        <v>47</v>
      </c>
      <c r="J2179" s="62" t="s">
        <v>146</v>
      </c>
      <c r="K2179" s="62" t="s">
        <v>209</v>
      </c>
      <c r="L2179" s="62" t="s">
        <v>4</v>
      </c>
      <c r="M2179" s="62" t="n">
        <v>1</v>
      </c>
      <c r="N2179" s="62" t="n">
        <v>0</v>
      </c>
      <c r="O2179" s="62" t="n">
        <v>1</v>
      </c>
      <c r="P2179" s="62" t="n">
        <v>0</v>
      </c>
      <c r="Q2179" s="62" t="n">
        <v>0</v>
      </c>
      <c r="R2179" s="62" t="n">
        <v>0</v>
      </c>
      <c r="S2179" s="62" t="n">
        <v>0</v>
      </c>
      <c r="T2179" s="62" t="n">
        <v>0</v>
      </c>
      <c r="U2179" s="62" t="s">
        <v>2056</v>
      </c>
      <c r="V2179" s="62" t="s">
        <v>2057</v>
      </c>
      <c r="W2179" s="62" t="s">
        <v>15</v>
      </c>
      <c r="X2179" s="62" t="s">
        <v>2125</v>
      </c>
      <c r="Y2179" s="62" t="s">
        <v>2103</v>
      </c>
      <c r="Z2179" s="62" t="s">
        <v>3954</v>
      </c>
      <c r="AA2179" s="62" t="s">
        <v>3955</v>
      </c>
      <c r="AB2179" s="62" t="n">
        <v>1</v>
      </c>
      <c r="AC2179" s="62" t="n">
        <v>0</v>
      </c>
      <c r="AD2179" s="62" t="n">
        <v>1</v>
      </c>
      <c r="AE2179" s="62" t="n">
        <f aca="false">IF(AND(Dashboard!$C$9="Yes",AC2179=1),0,1)</f>
        <v>1</v>
      </c>
      <c r="AF2179" s="62" t="n">
        <v>0</v>
      </c>
    </row>
    <row r="2180" customFormat="false" ht="15" hidden="false" customHeight="false" outlineLevel="0" collapsed="false">
      <c r="A2180" s="62" t="n">
        <v>2179</v>
      </c>
      <c r="B2180" s="63" t="n">
        <v>46283.0684953704</v>
      </c>
      <c r="C2180" s="64" t="n">
        <v>46282</v>
      </c>
      <c r="D2180" s="62" t="s">
        <v>202</v>
      </c>
      <c r="E2180" s="62" t="s">
        <v>2395</v>
      </c>
      <c r="F2180" s="62" t="s">
        <v>2395</v>
      </c>
      <c r="G2180" s="62" t="s">
        <v>2396</v>
      </c>
      <c r="H2180" s="62" t="s">
        <v>59</v>
      </c>
      <c r="I2180" s="62" t="s">
        <v>47</v>
      </c>
      <c r="J2180" s="62" t="s">
        <v>146</v>
      </c>
      <c r="K2180" s="62" t="s">
        <v>209</v>
      </c>
      <c r="L2180" s="62" t="s">
        <v>148</v>
      </c>
      <c r="M2180" s="62" t="n">
        <v>0</v>
      </c>
      <c r="N2180" s="62" t="n">
        <v>1</v>
      </c>
      <c r="O2180" s="62" t="n">
        <v>1</v>
      </c>
      <c r="P2180" s="62" t="n">
        <v>1</v>
      </c>
      <c r="Q2180" s="62" t="n">
        <v>0</v>
      </c>
      <c r="R2180" s="62" t="n">
        <v>0</v>
      </c>
      <c r="S2180" s="62" t="n">
        <v>0</v>
      </c>
      <c r="T2180" s="62" t="n">
        <v>0</v>
      </c>
      <c r="U2180" s="62"/>
      <c r="V2180" s="62"/>
      <c r="W2180" s="62"/>
      <c r="X2180" s="62"/>
      <c r="Y2180" s="62"/>
      <c r="Z2180" s="62" t="s">
        <v>3956</v>
      </c>
      <c r="AA2180" s="62" t="s">
        <v>3957</v>
      </c>
      <c r="AB2180" s="62" t="n">
        <v>1</v>
      </c>
      <c r="AC2180" s="62" t="n">
        <v>0</v>
      </c>
      <c r="AD2180" s="62" t="n">
        <v>1</v>
      </c>
      <c r="AE2180" s="62" t="n">
        <f aca="false">IF(AND(Dashboard!$C$9="Yes",AC2180=1),0,1)</f>
        <v>1</v>
      </c>
      <c r="AF2180" s="62" t="n">
        <v>1</v>
      </c>
    </row>
    <row r="2181" customFormat="false" ht="15" hidden="false" customHeight="false" outlineLevel="0" collapsed="false">
      <c r="A2181" s="62" t="n">
        <v>2180</v>
      </c>
      <c r="B2181" s="63" t="n">
        <v>46283.0778009259</v>
      </c>
      <c r="C2181" s="64" t="n">
        <v>46282</v>
      </c>
      <c r="D2181" s="62" t="s">
        <v>202</v>
      </c>
      <c r="E2181" s="62" t="s">
        <v>1112</v>
      </c>
      <c r="F2181" s="62" t="s">
        <v>865</v>
      </c>
      <c r="G2181" s="62" t="s">
        <v>866</v>
      </c>
      <c r="H2181" s="62" t="s">
        <v>46</v>
      </c>
      <c r="I2181" s="62" t="s">
        <v>47</v>
      </c>
      <c r="J2181" s="62" t="s">
        <v>146</v>
      </c>
      <c r="K2181" s="62" t="s">
        <v>209</v>
      </c>
      <c r="L2181" s="62" t="s">
        <v>4</v>
      </c>
      <c r="M2181" s="62" t="n">
        <v>1</v>
      </c>
      <c r="N2181" s="62" t="n">
        <v>0</v>
      </c>
      <c r="O2181" s="62" t="n">
        <v>1</v>
      </c>
      <c r="P2181" s="62" t="n">
        <v>0</v>
      </c>
      <c r="Q2181" s="62" t="n">
        <v>0</v>
      </c>
      <c r="R2181" s="62" t="n">
        <v>0</v>
      </c>
      <c r="S2181" s="62" t="n">
        <v>0</v>
      </c>
      <c r="T2181" s="62" t="n">
        <v>0</v>
      </c>
      <c r="U2181" s="62" t="s">
        <v>15</v>
      </c>
      <c r="V2181" s="62" t="s">
        <v>2057</v>
      </c>
      <c r="W2181" s="62" t="s">
        <v>2056</v>
      </c>
      <c r="X2181" s="62" t="s">
        <v>2069</v>
      </c>
      <c r="Y2181" s="62" t="s">
        <v>2064</v>
      </c>
      <c r="Z2181" s="62" t="s">
        <v>3958</v>
      </c>
      <c r="AA2181" s="62" t="s">
        <v>3959</v>
      </c>
      <c r="AB2181" s="62" t="n">
        <v>1</v>
      </c>
      <c r="AC2181" s="62" t="n">
        <v>0</v>
      </c>
      <c r="AD2181" s="62" t="n">
        <v>1</v>
      </c>
      <c r="AE2181" s="62" t="n">
        <f aca="false">IF(AND(Dashboard!$C$9="Yes",AC2181=1),0,1)</f>
        <v>1</v>
      </c>
      <c r="AF2181" s="62" t="n">
        <v>1</v>
      </c>
    </row>
    <row r="2182" customFormat="false" ht="15" hidden="false" customHeight="false" outlineLevel="0" collapsed="false">
      <c r="A2182" s="62" t="n">
        <v>2181</v>
      </c>
      <c r="B2182" s="63" t="n">
        <v>46283.1032060185</v>
      </c>
      <c r="C2182" s="64" t="n">
        <v>46282</v>
      </c>
      <c r="D2182" s="62" t="s">
        <v>202</v>
      </c>
      <c r="E2182" s="62" t="s">
        <v>2395</v>
      </c>
      <c r="F2182" s="62" t="s">
        <v>2395</v>
      </c>
      <c r="G2182" s="62" t="s">
        <v>2396</v>
      </c>
      <c r="H2182" s="62" t="s">
        <v>59</v>
      </c>
      <c r="I2182" s="62" t="s">
        <v>47</v>
      </c>
      <c r="J2182" s="62" t="s">
        <v>146</v>
      </c>
      <c r="K2182" s="62" t="s">
        <v>209</v>
      </c>
      <c r="L2182" s="62" t="s">
        <v>148</v>
      </c>
      <c r="M2182" s="62" t="n">
        <v>0</v>
      </c>
      <c r="N2182" s="62" t="n">
        <v>1</v>
      </c>
      <c r="O2182" s="62" t="n">
        <v>1</v>
      </c>
      <c r="P2182" s="62" t="n">
        <v>0</v>
      </c>
      <c r="Q2182" s="62" t="n">
        <v>0</v>
      </c>
      <c r="R2182" s="62" t="n">
        <v>1</v>
      </c>
      <c r="S2182" s="62" t="n">
        <v>0</v>
      </c>
      <c r="T2182" s="62" t="n">
        <v>0</v>
      </c>
      <c r="U2182" s="62"/>
      <c r="V2182" s="62"/>
      <c r="W2182" s="62"/>
      <c r="X2182" s="62"/>
      <c r="Y2182" s="62"/>
      <c r="Z2182" s="62" t="s">
        <v>3960</v>
      </c>
      <c r="AA2182" s="62" t="s">
        <v>3961</v>
      </c>
      <c r="AB2182" s="62" t="n">
        <v>1</v>
      </c>
      <c r="AC2182" s="62" t="n">
        <v>0</v>
      </c>
      <c r="AD2182" s="62" t="n">
        <v>1</v>
      </c>
      <c r="AE2182" s="62" t="n">
        <f aca="false">IF(AND(Dashboard!$C$9="Yes",AC2182=1),0,1)</f>
        <v>1</v>
      </c>
      <c r="AF2182" s="62" t="n">
        <v>0</v>
      </c>
    </row>
    <row r="2183" customFormat="false" ht="15" hidden="false" customHeight="false" outlineLevel="0" collapsed="false">
      <c r="A2183" s="62" t="n">
        <v>2182</v>
      </c>
      <c r="B2183" s="63" t="n">
        <v>46283.1594097222</v>
      </c>
      <c r="C2183" s="64" t="n">
        <v>46282</v>
      </c>
      <c r="D2183" s="62" t="s">
        <v>202</v>
      </c>
      <c r="E2183" s="62" t="s">
        <v>3226</v>
      </c>
      <c r="F2183" s="62" t="s">
        <v>3226</v>
      </c>
      <c r="G2183" s="62" t="s">
        <v>3227</v>
      </c>
      <c r="H2183" s="62" t="s">
        <v>46</v>
      </c>
      <c r="I2183" s="62" t="s">
        <v>47</v>
      </c>
      <c r="J2183" s="62" t="s">
        <v>146</v>
      </c>
      <c r="K2183" s="62" t="s">
        <v>209</v>
      </c>
      <c r="L2183" s="62" t="s">
        <v>148</v>
      </c>
      <c r="M2183" s="62" t="n">
        <v>0</v>
      </c>
      <c r="N2183" s="62" t="n">
        <v>1</v>
      </c>
      <c r="O2183" s="62" t="n">
        <v>1</v>
      </c>
      <c r="P2183" s="62" t="n">
        <v>0</v>
      </c>
      <c r="Q2183" s="62" t="n">
        <v>0</v>
      </c>
      <c r="R2183" s="62" t="n">
        <v>0</v>
      </c>
      <c r="S2183" s="62" t="n">
        <v>1</v>
      </c>
      <c r="T2183" s="62" t="n">
        <v>0</v>
      </c>
      <c r="U2183" s="62"/>
      <c r="V2183" s="62"/>
      <c r="W2183" s="62"/>
      <c r="X2183" s="62"/>
      <c r="Y2183" s="62"/>
      <c r="Z2183" s="62" t="s">
        <v>3962</v>
      </c>
      <c r="AA2183" s="62" t="s">
        <v>485</v>
      </c>
      <c r="AB2183" s="62" t="n">
        <v>0</v>
      </c>
      <c r="AC2183" s="62" t="n">
        <v>0</v>
      </c>
      <c r="AD2183" s="62" t="n">
        <v>1</v>
      </c>
      <c r="AE2183" s="62" t="n">
        <f aca="false">IF(AND(Dashboard!$C$9="Yes",AC2183=1),0,1)</f>
        <v>1</v>
      </c>
      <c r="AF2183" s="62" t="n">
        <v>0</v>
      </c>
    </row>
    <row r="2184" customFormat="false" ht="15" hidden="false" customHeight="false" outlineLevel="0" collapsed="false">
      <c r="A2184" s="62" t="n">
        <v>2183</v>
      </c>
      <c r="B2184" s="63" t="n">
        <v>46283.1671759259</v>
      </c>
      <c r="C2184" s="64" t="n">
        <v>46282</v>
      </c>
      <c r="D2184" s="62" t="s">
        <v>202</v>
      </c>
      <c r="E2184" s="62" t="s">
        <v>2395</v>
      </c>
      <c r="F2184" s="62" t="s">
        <v>2395</v>
      </c>
      <c r="G2184" s="62" t="s">
        <v>2396</v>
      </c>
      <c r="H2184" s="62" t="s">
        <v>59</v>
      </c>
      <c r="I2184" s="62" t="s">
        <v>47</v>
      </c>
      <c r="J2184" s="62" t="s">
        <v>146</v>
      </c>
      <c r="K2184" s="62" t="s">
        <v>209</v>
      </c>
      <c r="L2184" s="62" t="s">
        <v>4</v>
      </c>
      <c r="M2184" s="62" t="n">
        <v>1</v>
      </c>
      <c r="N2184" s="62" t="n">
        <v>0</v>
      </c>
      <c r="O2184" s="62" t="n">
        <v>1</v>
      </c>
      <c r="P2184" s="62" t="n">
        <v>0</v>
      </c>
      <c r="Q2184" s="62" t="n">
        <v>0</v>
      </c>
      <c r="R2184" s="62" t="n">
        <v>0</v>
      </c>
      <c r="S2184" s="62" t="n">
        <v>0</v>
      </c>
      <c r="T2184" s="62" t="n">
        <v>0</v>
      </c>
      <c r="U2184" s="62" t="s">
        <v>2056</v>
      </c>
      <c r="V2184" s="62" t="s">
        <v>2057</v>
      </c>
      <c r="W2184" s="62" t="s">
        <v>15</v>
      </c>
      <c r="X2184" s="62" t="s">
        <v>2058</v>
      </c>
      <c r="Y2184" s="62" t="s">
        <v>2103</v>
      </c>
      <c r="Z2184" s="62" t="s">
        <v>3963</v>
      </c>
      <c r="AA2184" s="62" t="s">
        <v>3964</v>
      </c>
      <c r="AB2184" s="62" t="n">
        <v>1</v>
      </c>
      <c r="AC2184" s="62" t="n">
        <v>0</v>
      </c>
      <c r="AD2184" s="62" t="n">
        <v>1</v>
      </c>
      <c r="AE2184" s="62" t="n">
        <f aca="false">IF(AND(Dashboard!$C$9="Yes",AC2184=1),0,1)</f>
        <v>1</v>
      </c>
      <c r="AF2184" s="62" t="n">
        <v>0</v>
      </c>
    </row>
    <row r="2185" customFormat="false" ht="15" hidden="false" customHeight="false" outlineLevel="0" collapsed="false">
      <c r="A2185" s="62" t="n">
        <v>2184</v>
      </c>
      <c r="B2185" s="63" t="n">
        <v>46283.2337847222</v>
      </c>
      <c r="C2185" s="64" t="n">
        <v>46282</v>
      </c>
      <c r="D2185" s="62" t="s">
        <v>202</v>
      </c>
      <c r="E2185" s="62" t="s">
        <v>414</v>
      </c>
      <c r="F2185" s="62" t="s">
        <v>414</v>
      </c>
      <c r="G2185" s="62" t="s">
        <v>415</v>
      </c>
      <c r="H2185" s="62" t="s">
        <v>57</v>
      </c>
      <c r="I2185" s="62" t="s">
        <v>47</v>
      </c>
      <c r="J2185" s="62" t="s">
        <v>146</v>
      </c>
      <c r="K2185" s="62" t="s">
        <v>147</v>
      </c>
      <c r="L2185" s="62" t="s">
        <v>148</v>
      </c>
      <c r="M2185" s="62" t="n">
        <v>0</v>
      </c>
      <c r="N2185" s="62" t="n">
        <v>1</v>
      </c>
      <c r="O2185" s="62" t="n">
        <v>1</v>
      </c>
      <c r="P2185" s="62" t="n">
        <v>1</v>
      </c>
      <c r="Q2185" s="62" t="n">
        <v>0</v>
      </c>
      <c r="R2185" s="62" t="n">
        <v>0</v>
      </c>
      <c r="S2185" s="62" t="n">
        <v>0</v>
      </c>
      <c r="T2185" s="62" t="n">
        <v>0</v>
      </c>
      <c r="U2185" s="62"/>
      <c r="V2185" s="62"/>
      <c r="W2185" s="62"/>
      <c r="X2185" s="62"/>
      <c r="Y2185" s="62"/>
      <c r="Z2185" s="62" t="s">
        <v>3965</v>
      </c>
      <c r="AA2185" s="62" t="s">
        <v>3966</v>
      </c>
      <c r="AB2185" s="62" t="n">
        <v>1</v>
      </c>
      <c r="AC2185" s="62" t="n">
        <v>0</v>
      </c>
      <c r="AD2185" s="62" t="n">
        <v>1</v>
      </c>
      <c r="AE2185" s="62" t="n">
        <f aca="false">IF(AND(Dashboard!$C$9="Yes",AC2185=1),0,1)</f>
        <v>1</v>
      </c>
      <c r="AF2185" s="62" t="n">
        <v>1</v>
      </c>
    </row>
    <row r="2186" customFormat="false" ht="15" hidden="false" customHeight="false" outlineLevel="0" collapsed="false">
      <c r="A2186" s="62" t="n">
        <v>2185</v>
      </c>
      <c r="B2186" s="63" t="n">
        <v>46283.2476967593</v>
      </c>
      <c r="C2186" s="64" t="n">
        <v>46282</v>
      </c>
      <c r="D2186" s="62" t="s">
        <v>202</v>
      </c>
      <c r="E2186" s="62" t="s">
        <v>3967</v>
      </c>
      <c r="F2186" s="62" t="s">
        <v>3967</v>
      </c>
      <c r="G2186" s="62" t="s">
        <v>3968</v>
      </c>
      <c r="H2186" s="62" t="s">
        <v>46</v>
      </c>
      <c r="I2186" s="62" t="s">
        <v>47</v>
      </c>
      <c r="J2186" s="62" t="s">
        <v>146</v>
      </c>
      <c r="K2186" s="62" t="s">
        <v>209</v>
      </c>
      <c r="L2186" s="62" t="s">
        <v>148</v>
      </c>
      <c r="M2186" s="62" t="n">
        <v>0</v>
      </c>
      <c r="N2186" s="62" t="n">
        <v>2</v>
      </c>
      <c r="O2186" s="62" t="n">
        <v>2</v>
      </c>
      <c r="P2186" s="62" t="n">
        <v>1</v>
      </c>
      <c r="Q2186" s="62" t="n">
        <v>1</v>
      </c>
      <c r="R2186" s="62" t="n">
        <v>0</v>
      </c>
      <c r="S2186" s="62" t="n">
        <v>0</v>
      </c>
      <c r="T2186" s="62" t="n">
        <v>0</v>
      </c>
      <c r="U2186" s="62"/>
      <c r="V2186" s="62"/>
      <c r="W2186" s="62"/>
      <c r="X2186" s="62"/>
      <c r="Y2186" s="62"/>
      <c r="Z2186" s="62" t="s">
        <v>3969</v>
      </c>
      <c r="AA2186" s="62" t="s">
        <v>3970</v>
      </c>
      <c r="AB2186" s="62" t="n">
        <v>1</v>
      </c>
      <c r="AC2186" s="62" t="n">
        <v>0</v>
      </c>
      <c r="AD2186" s="62" t="n">
        <v>1</v>
      </c>
      <c r="AE2186" s="62" t="n">
        <f aca="false">IF(AND(Dashboard!$C$9="Yes",AC2186=1),0,1)</f>
        <v>1</v>
      </c>
      <c r="AF2186" s="62" t="n">
        <v>1</v>
      </c>
    </row>
    <row r="2187" customFormat="false" ht="15" hidden="false" customHeight="false" outlineLevel="0" collapsed="false">
      <c r="A2187" s="62" t="n">
        <v>2186</v>
      </c>
      <c r="B2187" s="63" t="n">
        <v>46283.2496412037</v>
      </c>
      <c r="C2187" s="64" t="n">
        <v>46282</v>
      </c>
      <c r="D2187" s="62" t="s">
        <v>202</v>
      </c>
      <c r="E2187" s="62" t="s">
        <v>790</v>
      </c>
      <c r="F2187" s="62" t="s">
        <v>791</v>
      </c>
      <c r="G2187" s="62" t="s">
        <v>153</v>
      </c>
      <c r="H2187" s="62" t="s">
        <v>153</v>
      </c>
      <c r="I2187" s="62" t="s">
        <v>153</v>
      </c>
      <c r="J2187" s="62" t="s">
        <v>64</v>
      </c>
      <c r="K2187" s="62" t="s">
        <v>64</v>
      </c>
      <c r="L2187" s="62" t="s">
        <v>4</v>
      </c>
      <c r="M2187" s="62" t="n">
        <v>1</v>
      </c>
      <c r="N2187" s="62" t="n">
        <v>0</v>
      </c>
      <c r="O2187" s="62" t="n">
        <v>1</v>
      </c>
      <c r="P2187" s="62" t="n">
        <v>0</v>
      </c>
      <c r="Q2187" s="62" t="n">
        <v>0</v>
      </c>
      <c r="R2187" s="62" t="n">
        <v>0</v>
      </c>
      <c r="S2187" s="62" t="n">
        <v>0</v>
      </c>
      <c r="T2187" s="62" t="n">
        <v>0</v>
      </c>
      <c r="U2187" s="62" t="s">
        <v>2056</v>
      </c>
      <c r="V2187" s="62" t="s">
        <v>2068</v>
      </c>
      <c r="W2187" s="62"/>
      <c r="X2187" s="62" t="s">
        <v>3214</v>
      </c>
      <c r="Y2187" s="62" t="s">
        <v>2059</v>
      </c>
      <c r="Z2187" s="62" t="s">
        <v>3971</v>
      </c>
      <c r="AA2187" s="62" t="s">
        <v>3972</v>
      </c>
      <c r="AB2187" s="62" t="n">
        <v>1</v>
      </c>
      <c r="AC2187" s="62" t="n">
        <v>0</v>
      </c>
      <c r="AD2187" s="62" t="n">
        <v>0</v>
      </c>
      <c r="AE2187" s="62" t="n">
        <f aca="false">IF(AND(Dashboard!$C$9="Yes",AC2187=1),0,1)</f>
        <v>1</v>
      </c>
      <c r="AF2187" s="62" t="n">
        <v>1</v>
      </c>
    </row>
    <row r="2188" customFormat="false" ht="15" hidden="false" customHeight="false" outlineLevel="0" collapsed="false">
      <c r="A2188" s="62" t="n">
        <v>2187</v>
      </c>
      <c r="B2188" s="63" t="n">
        <v>46283.6253356482</v>
      </c>
      <c r="C2188" s="64" t="n">
        <v>46283</v>
      </c>
      <c r="D2188" s="62" t="s">
        <v>288</v>
      </c>
      <c r="E2188" s="62" t="s">
        <v>1616</v>
      </c>
      <c r="F2188" s="62" t="s">
        <v>1616</v>
      </c>
      <c r="G2188" s="62" t="s">
        <v>1617</v>
      </c>
      <c r="H2188" s="62" t="s">
        <v>51</v>
      </c>
      <c r="I2188" s="62" t="s">
        <v>47</v>
      </c>
      <c r="J2188" s="62" t="s">
        <v>146</v>
      </c>
      <c r="K2188" s="62" t="s">
        <v>175</v>
      </c>
      <c r="L2188" s="62" t="s">
        <v>148</v>
      </c>
      <c r="M2188" s="62" t="n">
        <v>0</v>
      </c>
      <c r="N2188" s="62" t="n">
        <v>2</v>
      </c>
      <c r="O2188" s="62" t="n">
        <v>2</v>
      </c>
      <c r="P2188" s="62" t="n">
        <v>1</v>
      </c>
      <c r="Q2188" s="62" t="n">
        <v>1</v>
      </c>
      <c r="R2188" s="62" t="n">
        <v>0</v>
      </c>
      <c r="S2188" s="62" t="n">
        <v>0</v>
      </c>
      <c r="T2188" s="62" t="n">
        <v>0</v>
      </c>
      <c r="U2188" s="62"/>
      <c r="V2188" s="62"/>
      <c r="W2188" s="62"/>
      <c r="X2188" s="62"/>
      <c r="Y2188" s="62"/>
      <c r="Z2188" s="62" t="s">
        <v>3973</v>
      </c>
      <c r="AA2188" s="62" t="s">
        <v>3974</v>
      </c>
      <c r="AB2188" s="62" t="n">
        <v>1</v>
      </c>
      <c r="AC2188" s="62" t="n">
        <v>0</v>
      </c>
      <c r="AD2188" s="62" t="n">
        <v>1</v>
      </c>
      <c r="AE2188" s="62" t="n">
        <f aca="false">IF(AND(Dashboard!$C$9="Yes",AC2188=1),0,1)</f>
        <v>1</v>
      </c>
      <c r="AF2188" s="62" t="n">
        <v>1</v>
      </c>
    </row>
    <row r="2189" customFormat="false" ht="15" hidden="false" customHeight="false" outlineLevel="0" collapsed="false">
      <c r="A2189" s="62" t="n">
        <v>2188</v>
      </c>
      <c r="B2189" s="63" t="n">
        <v>46283.7689351852</v>
      </c>
      <c r="C2189" s="64" t="n">
        <v>46283</v>
      </c>
      <c r="D2189" s="62" t="s">
        <v>288</v>
      </c>
      <c r="E2189" s="62" t="s">
        <v>2943</v>
      </c>
      <c r="F2189" s="62" t="s">
        <v>2943</v>
      </c>
      <c r="G2189" s="62" t="s">
        <v>2944</v>
      </c>
      <c r="H2189" s="62" t="s">
        <v>48</v>
      </c>
      <c r="I2189" s="62" t="s">
        <v>49</v>
      </c>
      <c r="J2189" s="62" t="s">
        <v>146</v>
      </c>
      <c r="K2189" s="62" t="s">
        <v>209</v>
      </c>
      <c r="L2189" s="62" t="s">
        <v>148</v>
      </c>
      <c r="M2189" s="62" t="n">
        <v>0</v>
      </c>
      <c r="N2189" s="62" t="n">
        <v>1</v>
      </c>
      <c r="O2189" s="62" t="n">
        <v>1</v>
      </c>
      <c r="P2189" s="62" t="n">
        <v>1</v>
      </c>
      <c r="Q2189" s="62" t="n">
        <v>0</v>
      </c>
      <c r="R2189" s="62" t="n">
        <v>0</v>
      </c>
      <c r="S2189" s="62" t="n">
        <v>0</v>
      </c>
      <c r="T2189" s="62" t="n">
        <v>0</v>
      </c>
      <c r="U2189" s="62"/>
      <c r="V2189" s="62"/>
      <c r="W2189" s="62"/>
      <c r="X2189" s="62"/>
      <c r="Y2189" s="62"/>
      <c r="Z2189" s="62" t="s">
        <v>3975</v>
      </c>
      <c r="AA2189" s="62" t="s">
        <v>3976</v>
      </c>
      <c r="AB2189" s="62" t="n">
        <v>1</v>
      </c>
      <c r="AC2189" s="62" t="n">
        <v>0</v>
      </c>
      <c r="AD2189" s="62" t="n">
        <v>1</v>
      </c>
      <c r="AE2189" s="62" t="n">
        <f aca="false">IF(AND(Dashboard!$C$9="Yes",AC2189=1),0,1)</f>
        <v>1</v>
      </c>
      <c r="AF2189" s="62" t="n">
        <v>1</v>
      </c>
    </row>
    <row r="2190" customFormat="false" ht="15" hidden="false" customHeight="false" outlineLevel="0" collapsed="false">
      <c r="A2190" s="62" t="n">
        <v>2189</v>
      </c>
      <c r="B2190" s="63" t="n">
        <v>46283.8121412037</v>
      </c>
      <c r="C2190" s="64" t="n">
        <v>46283</v>
      </c>
      <c r="D2190" s="62" t="s">
        <v>288</v>
      </c>
      <c r="E2190" s="62" t="s">
        <v>160</v>
      </c>
      <c r="F2190" s="62" t="s">
        <v>160</v>
      </c>
      <c r="G2190" s="62" t="s">
        <v>161</v>
      </c>
      <c r="H2190" s="62" t="s">
        <v>51</v>
      </c>
      <c r="I2190" s="62" t="s">
        <v>47</v>
      </c>
      <c r="J2190" s="62" t="s">
        <v>146</v>
      </c>
      <c r="K2190" s="62" t="s">
        <v>147</v>
      </c>
      <c r="L2190" s="62" t="s">
        <v>148</v>
      </c>
      <c r="M2190" s="62" t="n">
        <v>0</v>
      </c>
      <c r="N2190" s="62" t="n">
        <v>1</v>
      </c>
      <c r="O2190" s="62" t="n">
        <v>1</v>
      </c>
      <c r="P2190" s="62" t="n">
        <v>1</v>
      </c>
      <c r="Q2190" s="62" t="n">
        <v>0</v>
      </c>
      <c r="R2190" s="62" t="n">
        <v>0</v>
      </c>
      <c r="S2190" s="62" t="n">
        <v>0</v>
      </c>
      <c r="T2190" s="62" t="n">
        <v>0</v>
      </c>
      <c r="U2190" s="62"/>
      <c r="V2190" s="62"/>
      <c r="W2190" s="62"/>
      <c r="X2190" s="62"/>
      <c r="Y2190" s="62"/>
      <c r="Z2190" s="62" t="s">
        <v>3977</v>
      </c>
      <c r="AA2190" s="62" t="s">
        <v>3978</v>
      </c>
      <c r="AB2190" s="62" t="n">
        <v>1</v>
      </c>
      <c r="AC2190" s="62" t="n">
        <v>0</v>
      </c>
      <c r="AD2190" s="62" t="n">
        <v>1</v>
      </c>
      <c r="AE2190" s="62" t="n">
        <f aca="false">IF(AND(Dashboard!$C$9="Yes",AC2190=1),0,1)</f>
        <v>1</v>
      </c>
      <c r="AF2190" s="62" t="n">
        <v>1</v>
      </c>
    </row>
    <row r="2191" customFormat="false" ht="15" hidden="false" customHeight="false" outlineLevel="0" collapsed="false">
      <c r="A2191" s="62" t="n">
        <v>2190</v>
      </c>
      <c r="B2191" s="63" t="n">
        <v>46283.8191782407</v>
      </c>
      <c r="C2191" s="64" t="n">
        <v>46283</v>
      </c>
      <c r="D2191" s="62" t="s">
        <v>288</v>
      </c>
      <c r="E2191" s="62" t="s">
        <v>3967</v>
      </c>
      <c r="F2191" s="62" t="s">
        <v>3967</v>
      </c>
      <c r="G2191" s="62" t="s">
        <v>3968</v>
      </c>
      <c r="H2191" s="62" t="s">
        <v>46</v>
      </c>
      <c r="I2191" s="62" t="s">
        <v>47</v>
      </c>
      <c r="J2191" s="62" t="s">
        <v>146</v>
      </c>
      <c r="K2191" s="62" t="s">
        <v>209</v>
      </c>
      <c r="L2191" s="62" t="s">
        <v>148</v>
      </c>
      <c r="M2191" s="62" t="n">
        <v>0</v>
      </c>
      <c r="N2191" s="62" t="n">
        <v>1</v>
      </c>
      <c r="O2191" s="62" t="n">
        <v>1</v>
      </c>
      <c r="P2191" s="62" t="n">
        <v>1</v>
      </c>
      <c r="Q2191" s="62" t="n">
        <v>0</v>
      </c>
      <c r="R2191" s="62" t="n">
        <v>0</v>
      </c>
      <c r="S2191" s="62" t="n">
        <v>0</v>
      </c>
      <c r="T2191" s="62" t="n">
        <v>0</v>
      </c>
      <c r="U2191" s="62"/>
      <c r="V2191" s="62"/>
      <c r="W2191" s="62"/>
      <c r="X2191" s="62"/>
      <c r="Y2191" s="62"/>
      <c r="Z2191" s="62" t="s">
        <v>3979</v>
      </c>
      <c r="AA2191" s="62" t="s">
        <v>3980</v>
      </c>
      <c r="AB2191" s="62" t="n">
        <v>1</v>
      </c>
      <c r="AC2191" s="62" t="n">
        <v>0</v>
      </c>
      <c r="AD2191" s="62" t="n">
        <v>1</v>
      </c>
      <c r="AE2191" s="62" t="n">
        <f aca="false">IF(AND(Dashboard!$C$9="Yes",AC2191=1),0,1)</f>
        <v>1</v>
      </c>
      <c r="AF2191" s="62" t="n">
        <v>1</v>
      </c>
    </row>
    <row r="2192" customFormat="false" ht="15" hidden="false" customHeight="false" outlineLevel="0" collapsed="false">
      <c r="A2192" s="62" t="n">
        <v>2191</v>
      </c>
      <c r="B2192" s="63" t="n">
        <v>46283.8197453704</v>
      </c>
      <c r="C2192" s="64" t="n">
        <v>46283</v>
      </c>
      <c r="D2192" s="62" t="s">
        <v>288</v>
      </c>
      <c r="E2192" s="62" t="s">
        <v>1571</v>
      </c>
      <c r="F2192" s="62" t="s">
        <v>1571</v>
      </c>
      <c r="G2192" s="62" t="s">
        <v>1572</v>
      </c>
      <c r="H2192" s="62" t="s">
        <v>52</v>
      </c>
      <c r="I2192" s="62" t="s">
        <v>47</v>
      </c>
      <c r="J2192" s="62" t="s">
        <v>146</v>
      </c>
      <c r="K2192" s="62" t="s">
        <v>209</v>
      </c>
      <c r="L2192" s="62" t="s">
        <v>148</v>
      </c>
      <c r="M2192" s="62" t="n">
        <v>0</v>
      </c>
      <c r="N2192" s="62" t="n">
        <v>1</v>
      </c>
      <c r="O2192" s="62" t="n">
        <v>1</v>
      </c>
      <c r="P2192" s="62" t="n">
        <v>1</v>
      </c>
      <c r="Q2192" s="62" t="n">
        <v>0</v>
      </c>
      <c r="R2192" s="62" t="n">
        <v>0</v>
      </c>
      <c r="S2192" s="62" t="n">
        <v>0</v>
      </c>
      <c r="T2192" s="62" t="n">
        <v>0</v>
      </c>
      <c r="U2192" s="62"/>
      <c r="V2192" s="62"/>
      <c r="W2192" s="62"/>
      <c r="X2192" s="62"/>
      <c r="Y2192" s="62"/>
      <c r="Z2192" s="62" t="s">
        <v>3981</v>
      </c>
      <c r="AA2192" s="62" t="s">
        <v>3982</v>
      </c>
      <c r="AB2192" s="62" t="n">
        <v>1</v>
      </c>
      <c r="AC2192" s="62" t="n">
        <v>0</v>
      </c>
      <c r="AD2192" s="62" t="n">
        <v>1</v>
      </c>
      <c r="AE2192" s="62" t="n">
        <f aca="false">IF(AND(Dashboard!$C$9="Yes",AC2192=1),0,1)</f>
        <v>1</v>
      </c>
      <c r="AF2192" s="62" t="n">
        <v>1</v>
      </c>
    </row>
    <row r="2193" customFormat="false" ht="15" hidden="false" customHeight="false" outlineLevel="0" collapsed="false">
      <c r="A2193" s="62" t="n">
        <v>2192</v>
      </c>
      <c r="B2193" s="63" t="n">
        <v>46283.8491087963</v>
      </c>
      <c r="C2193" s="64" t="n">
        <v>46283</v>
      </c>
      <c r="D2193" s="62" t="s">
        <v>288</v>
      </c>
      <c r="E2193" s="62" t="s">
        <v>2071</v>
      </c>
      <c r="F2193" s="62" t="s">
        <v>2071</v>
      </c>
      <c r="G2193" s="62" t="s">
        <v>2072</v>
      </c>
      <c r="H2193" s="62" t="s">
        <v>58</v>
      </c>
      <c r="I2193" s="62" t="s">
        <v>49</v>
      </c>
      <c r="J2193" s="62" t="s">
        <v>146</v>
      </c>
      <c r="K2193" s="62" t="s">
        <v>175</v>
      </c>
      <c r="L2193" s="62" t="s">
        <v>148</v>
      </c>
      <c r="M2193" s="62" t="n">
        <v>0</v>
      </c>
      <c r="N2193" s="62" t="n">
        <v>1</v>
      </c>
      <c r="O2193" s="62" t="n">
        <v>1</v>
      </c>
      <c r="P2193" s="62" t="n">
        <v>1</v>
      </c>
      <c r="Q2193" s="62" t="n">
        <v>0</v>
      </c>
      <c r="R2193" s="62" t="n">
        <v>0</v>
      </c>
      <c r="S2193" s="62" t="n">
        <v>0</v>
      </c>
      <c r="T2193" s="62" t="n">
        <v>0</v>
      </c>
      <c r="U2193" s="62"/>
      <c r="V2193" s="62"/>
      <c r="W2193" s="62"/>
      <c r="X2193" s="62"/>
      <c r="Y2193" s="62"/>
      <c r="Z2193" s="62" t="s">
        <v>3983</v>
      </c>
      <c r="AA2193" s="62" t="s">
        <v>3984</v>
      </c>
      <c r="AB2193" s="62" t="n">
        <v>1</v>
      </c>
      <c r="AC2193" s="62" t="n">
        <v>0</v>
      </c>
      <c r="AD2193" s="62" t="n">
        <v>1</v>
      </c>
      <c r="AE2193" s="62" t="n">
        <f aca="false">IF(AND(Dashboard!$C$9="Yes",AC2193=1),0,1)</f>
        <v>1</v>
      </c>
      <c r="AF2193" s="62" t="n">
        <v>1</v>
      </c>
    </row>
    <row r="2194" customFormat="false" ht="15" hidden="false" customHeight="false" outlineLevel="0" collapsed="false">
      <c r="A2194" s="62" t="n">
        <v>2193</v>
      </c>
      <c r="B2194" s="63" t="n">
        <v>46283.8717476852</v>
      </c>
      <c r="C2194" s="64" t="n">
        <v>46283</v>
      </c>
      <c r="D2194" s="62" t="s">
        <v>288</v>
      </c>
      <c r="E2194" s="62" t="s">
        <v>1172</v>
      </c>
      <c r="F2194" s="62" t="s">
        <v>1172</v>
      </c>
      <c r="G2194" s="62" t="s">
        <v>1173</v>
      </c>
      <c r="H2194" s="62" t="s">
        <v>59</v>
      </c>
      <c r="I2194" s="62" t="s">
        <v>47</v>
      </c>
      <c r="J2194" s="62" t="s">
        <v>146</v>
      </c>
      <c r="K2194" s="62" t="s">
        <v>209</v>
      </c>
      <c r="L2194" s="62" t="s">
        <v>4</v>
      </c>
      <c r="M2194" s="62" t="n">
        <v>1</v>
      </c>
      <c r="N2194" s="62" t="n">
        <v>0</v>
      </c>
      <c r="O2194" s="62" t="n">
        <v>1</v>
      </c>
      <c r="P2194" s="62" t="n">
        <v>0</v>
      </c>
      <c r="Q2194" s="62" t="n">
        <v>0</v>
      </c>
      <c r="R2194" s="62" t="n">
        <v>0</v>
      </c>
      <c r="S2194" s="62" t="n">
        <v>0</v>
      </c>
      <c r="T2194" s="62" t="n">
        <v>0</v>
      </c>
      <c r="U2194" s="62" t="s">
        <v>2056</v>
      </c>
      <c r="V2194" s="62" t="s">
        <v>2057</v>
      </c>
      <c r="W2194" s="62" t="s">
        <v>15</v>
      </c>
      <c r="X2194" s="62" t="s">
        <v>2058</v>
      </c>
      <c r="Y2194" s="62" t="s">
        <v>2103</v>
      </c>
      <c r="Z2194" s="62" t="s">
        <v>3985</v>
      </c>
      <c r="AA2194" s="62" t="s">
        <v>3985</v>
      </c>
      <c r="AB2194" s="62" t="n">
        <v>1</v>
      </c>
      <c r="AC2194" s="62" t="n">
        <v>0</v>
      </c>
      <c r="AD2194" s="62" t="n">
        <v>1</v>
      </c>
      <c r="AE2194" s="62" t="n">
        <f aca="false">IF(AND(Dashboard!$C$9="Yes",AC2194=1),0,1)</f>
        <v>1</v>
      </c>
      <c r="AF2194" s="62" t="n">
        <v>1</v>
      </c>
    </row>
    <row r="2195" customFormat="false" ht="15" hidden="false" customHeight="false" outlineLevel="0" collapsed="false">
      <c r="A2195" s="62" t="n">
        <v>2194</v>
      </c>
      <c r="B2195" s="63" t="n">
        <v>46283.8753009259</v>
      </c>
      <c r="C2195" s="64" t="n">
        <v>46283</v>
      </c>
      <c r="D2195" s="62" t="s">
        <v>288</v>
      </c>
      <c r="E2195" s="62" t="s">
        <v>2540</v>
      </c>
      <c r="F2195" s="62" t="s">
        <v>2540</v>
      </c>
      <c r="G2195" s="62" t="s">
        <v>2541</v>
      </c>
      <c r="H2195" s="62" t="s">
        <v>48</v>
      </c>
      <c r="I2195" s="62" t="s">
        <v>49</v>
      </c>
      <c r="J2195" s="62" t="s">
        <v>146</v>
      </c>
      <c r="K2195" s="62" t="s">
        <v>209</v>
      </c>
      <c r="L2195" s="62" t="s">
        <v>4</v>
      </c>
      <c r="M2195" s="62" t="n">
        <v>1</v>
      </c>
      <c r="N2195" s="62" t="n">
        <v>0</v>
      </c>
      <c r="O2195" s="62" t="n">
        <v>1</v>
      </c>
      <c r="P2195" s="62" t="n">
        <v>0</v>
      </c>
      <c r="Q2195" s="62" t="n">
        <v>0</v>
      </c>
      <c r="R2195" s="62" t="n">
        <v>0</v>
      </c>
      <c r="S2195" s="62" t="n">
        <v>0</v>
      </c>
      <c r="T2195" s="62" t="n">
        <v>0</v>
      </c>
      <c r="U2195" s="62" t="s">
        <v>2056</v>
      </c>
      <c r="V2195" s="62" t="s">
        <v>2057</v>
      </c>
      <c r="W2195" s="62" t="s">
        <v>15</v>
      </c>
      <c r="X2195" s="62" t="s">
        <v>2058</v>
      </c>
      <c r="Y2195" s="62" t="s">
        <v>2059</v>
      </c>
      <c r="Z2195" s="62" t="s">
        <v>3986</v>
      </c>
      <c r="AA2195" s="62" t="s">
        <v>3987</v>
      </c>
      <c r="AB2195" s="62" t="n">
        <v>1</v>
      </c>
      <c r="AC2195" s="62" t="n">
        <v>0</v>
      </c>
      <c r="AD2195" s="62" t="n">
        <v>1</v>
      </c>
      <c r="AE2195" s="62" t="n">
        <f aca="false">IF(AND(Dashboard!$C$9="Yes",AC2195=1),0,1)</f>
        <v>1</v>
      </c>
      <c r="AF2195" s="62" t="n">
        <v>1</v>
      </c>
    </row>
    <row r="2196" customFormat="false" ht="15" hidden="false" customHeight="false" outlineLevel="0" collapsed="false">
      <c r="A2196" s="62" t="n">
        <v>2195</v>
      </c>
      <c r="B2196" s="63" t="n">
        <v>46283.878599537</v>
      </c>
      <c r="C2196" s="64" t="n">
        <v>46283</v>
      </c>
      <c r="D2196" s="62" t="s">
        <v>288</v>
      </c>
      <c r="E2196" s="62" t="s">
        <v>1172</v>
      </c>
      <c r="F2196" s="62" t="s">
        <v>1172</v>
      </c>
      <c r="G2196" s="62" t="s">
        <v>1173</v>
      </c>
      <c r="H2196" s="62" t="s">
        <v>59</v>
      </c>
      <c r="I2196" s="62" t="s">
        <v>47</v>
      </c>
      <c r="J2196" s="62" t="s">
        <v>146</v>
      </c>
      <c r="K2196" s="62" t="s">
        <v>209</v>
      </c>
      <c r="L2196" s="62" t="s">
        <v>4</v>
      </c>
      <c r="M2196" s="62" t="n">
        <v>1</v>
      </c>
      <c r="N2196" s="62" t="n">
        <v>0</v>
      </c>
      <c r="O2196" s="62" t="n">
        <v>1</v>
      </c>
      <c r="P2196" s="62" t="n">
        <v>0</v>
      </c>
      <c r="Q2196" s="62" t="n">
        <v>0</v>
      </c>
      <c r="R2196" s="62" t="n">
        <v>0</v>
      </c>
      <c r="S2196" s="62" t="n">
        <v>0</v>
      </c>
      <c r="T2196" s="62" t="n">
        <v>0</v>
      </c>
      <c r="U2196" s="62" t="s">
        <v>2056</v>
      </c>
      <c r="V2196" s="62" t="s">
        <v>2057</v>
      </c>
      <c r="W2196" s="62" t="s">
        <v>15</v>
      </c>
      <c r="X2196" s="62" t="s">
        <v>2253</v>
      </c>
      <c r="Y2196" s="62" t="s">
        <v>2103</v>
      </c>
      <c r="Z2196" s="62" t="s">
        <v>3988</v>
      </c>
      <c r="AA2196" s="62" t="s">
        <v>3985</v>
      </c>
      <c r="AB2196" s="62" t="n">
        <v>1</v>
      </c>
      <c r="AC2196" s="62" t="n">
        <v>0</v>
      </c>
      <c r="AD2196" s="62" t="n">
        <v>1</v>
      </c>
      <c r="AE2196" s="62" t="n">
        <f aca="false">IF(AND(Dashboard!$C$9="Yes",AC2196=1),0,1)</f>
        <v>1</v>
      </c>
      <c r="AF2196" s="62" t="n">
        <v>0</v>
      </c>
    </row>
    <row r="2197" customFormat="false" ht="15" hidden="false" customHeight="false" outlineLevel="0" collapsed="false">
      <c r="A2197" s="62" t="n">
        <v>2196</v>
      </c>
      <c r="B2197" s="63" t="n">
        <v>46283.9042708333</v>
      </c>
      <c r="C2197" s="64" t="n">
        <v>46283</v>
      </c>
      <c r="D2197" s="62" t="s">
        <v>288</v>
      </c>
      <c r="E2197" s="62" t="s">
        <v>3989</v>
      </c>
      <c r="F2197" s="62" t="s">
        <v>3990</v>
      </c>
      <c r="G2197" s="62" t="s">
        <v>153</v>
      </c>
      <c r="H2197" s="62" t="s">
        <v>153</v>
      </c>
      <c r="I2197" s="62" t="s">
        <v>153</v>
      </c>
      <c r="J2197" s="62" t="s">
        <v>64</v>
      </c>
      <c r="K2197" s="62" t="s">
        <v>64</v>
      </c>
      <c r="L2197" s="62" t="s">
        <v>148</v>
      </c>
      <c r="M2197" s="62" t="n">
        <v>0</v>
      </c>
      <c r="N2197" s="62" t="n">
        <v>1</v>
      </c>
      <c r="O2197" s="62" t="n">
        <v>1</v>
      </c>
      <c r="P2197" s="62" t="n">
        <v>1</v>
      </c>
      <c r="Q2197" s="62" t="n">
        <v>0</v>
      </c>
      <c r="R2197" s="62" t="n">
        <v>0</v>
      </c>
      <c r="S2197" s="62" t="n">
        <v>0</v>
      </c>
      <c r="T2197" s="62" t="n">
        <v>0</v>
      </c>
      <c r="U2197" s="62"/>
      <c r="V2197" s="62"/>
      <c r="W2197" s="62"/>
      <c r="X2197" s="62"/>
      <c r="Y2197" s="62"/>
      <c r="Z2197" s="62" t="s">
        <v>3991</v>
      </c>
      <c r="AA2197" s="62" t="s">
        <v>3992</v>
      </c>
      <c r="AB2197" s="62" t="n">
        <v>1</v>
      </c>
      <c r="AC2197" s="62" t="n">
        <v>0</v>
      </c>
      <c r="AD2197" s="62" t="n">
        <v>0</v>
      </c>
      <c r="AE2197" s="62" t="n">
        <f aca="false">IF(AND(Dashboard!$C$9="Yes",AC2197=1),0,1)</f>
        <v>1</v>
      </c>
      <c r="AF2197" s="62" t="n">
        <v>1</v>
      </c>
    </row>
    <row r="2198" customFormat="false" ht="15" hidden="false" customHeight="false" outlineLevel="0" collapsed="false">
      <c r="A2198" s="62" t="n">
        <v>2197</v>
      </c>
      <c r="B2198" s="63" t="n">
        <v>46283.9101041667</v>
      </c>
      <c r="C2198" s="64" t="n">
        <v>46283</v>
      </c>
      <c r="D2198" s="62" t="s">
        <v>288</v>
      </c>
      <c r="E2198" s="62" t="s">
        <v>3018</v>
      </c>
      <c r="F2198" s="62" t="s">
        <v>3018</v>
      </c>
      <c r="G2198" s="62" t="s">
        <v>3019</v>
      </c>
      <c r="H2198" s="62" t="s">
        <v>58</v>
      </c>
      <c r="I2198" s="62" t="s">
        <v>49</v>
      </c>
      <c r="J2198" s="62" t="s">
        <v>146</v>
      </c>
      <c r="K2198" s="62" t="s">
        <v>175</v>
      </c>
      <c r="L2198" s="62" t="s">
        <v>148</v>
      </c>
      <c r="M2198" s="62" t="n">
        <v>0</v>
      </c>
      <c r="N2198" s="62" t="n">
        <v>1</v>
      </c>
      <c r="O2198" s="62" t="n">
        <v>1</v>
      </c>
      <c r="P2198" s="62" t="n">
        <v>0</v>
      </c>
      <c r="Q2198" s="62" t="n">
        <v>1</v>
      </c>
      <c r="R2198" s="62" t="n">
        <v>0</v>
      </c>
      <c r="S2198" s="62" t="n">
        <v>0</v>
      </c>
      <c r="T2198" s="62" t="n">
        <v>0</v>
      </c>
      <c r="U2198" s="62"/>
      <c r="V2198" s="62"/>
      <c r="W2198" s="62"/>
      <c r="X2198" s="62"/>
      <c r="Y2198" s="62"/>
      <c r="Z2198" s="62" t="s">
        <v>3993</v>
      </c>
      <c r="AA2198" s="62" t="s">
        <v>3994</v>
      </c>
      <c r="AB2198" s="62" t="n">
        <v>1</v>
      </c>
      <c r="AC2198" s="62" t="n">
        <v>0</v>
      </c>
      <c r="AD2198" s="62" t="n">
        <v>1</v>
      </c>
      <c r="AE2198" s="62" t="n">
        <f aca="false">IF(AND(Dashboard!$C$9="Yes",AC2198=1),0,1)</f>
        <v>1</v>
      </c>
      <c r="AF2198" s="62" t="n">
        <v>1</v>
      </c>
    </row>
    <row r="2199" customFormat="false" ht="15" hidden="false" customHeight="false" outlineLevel="0" collapsed="false">
      <c r="A2199" s="62" t="n">
        <v>2198</v>
      </c>
      <c r="B2199" s="63" t="n">
        <v>46283.914849537</v>
      </c>
      <c r="C2199" s="64" t="n">
        <v>46283</v>
      </c>
      <c r="D2199" s="62" t="s">
        <v>288</v>
      </c>
      <c r="E2199" s="62" t="s">
        <v>3710</v>
      </c>
      <c r="F2199" s="62" t="s">
        <v>3710</v>
      </c>
      <c r="G2199" s="62" t="s">
        <v>3711</v>
      </c>
      <c r="H2199" s="62" t="s">
        <v>58</v>
      </c>
      <c r="I2199" s="62" t="s">
        <v>49</v>
      </c>
      <c r="J2199" s="62" t="s">
        <v>146</v>
      </c>
      <c r="K2199" s="62" t="s">
        <v>209</v>
      </c>
      <c r="L2199" s="62" t="s">
        <v>4</v>
      </c>
      <c r="M2199" s="62" t="n">
        <v>1</v>
      </c>
      <c r="N2199" s="62" t="n">
        <v>0</v>
      </c>
      <c r="O2199" s="62" t="n">
        <v>1</v>
      </c>
      <c r="P2199" s="62" t="n">
        <v>0</v>
      </c>
      <c r="Q2199" s="62" t="n">
        <v>0</v>
      </c>
      <c r="R2199" s="62" t="n">
        <v>0</v>
      </c>
      <c r="S2199" s="62" t="n">
        <v>0</v>
      </c>
      <c r="T2199" s="62" t="n">
        <v>0</v>
      </c>
      <c r="U2199" s="62" t="s">
        <v>2056</v>
      </c>
      <c r="V2199" s="62" t="s">
        <v>2057</v>
      </c>
      <c r="W2199" s="62" t="s">
        <v>15</v>
      </c>
      <c r="X2199" s="62" t="s">
        <v>2058</v>
      </c>
      <c r="Y2199" s="62" t="s">
        <v>2059</v>
      </c>
      <c r="Z2199" s="62" t="s">
        <v>3995</v>
      </c>
      <c r="AA2199" s="62" t="s">
        <v>3996</v>
      </c>
      <c r="AB2199" s="62" t="n">
        <v>1</v>
      </c>
      <c r="AC2199" s="62" t="n">
        <v>0</v>
      </c>
      <c r="AD2199" s="62" t="n">
        <v>1</v>
      </c>
      <c r="AE2199" s="62" t="n">
        <f aca="false">IF(AND(Dashboard!$C$9="Yes",AC2199=1),0,1)</f>
        <v>1</v>
      </c>
      <c r="AF2199" s="62" t="n">
        <v>1</v>
      </c>
    </row>
    <row r="2200" customFormat="false" ht="15" hidden="false" customHeight="false" outlineLevel="0" collapsed="false">
      <c r="A2200" s="62" t="n">
        <v>2199</v>
      </c>
      <c r="B2200" s="63" t="n">
        <v>46283.9156712963</v>
      </c>
      <c r="C2200" s="64" t="n">
        <v>46283</v>
      </c>
      <c r="D2200" s="62" t="s">
        <v>288</v>
      </c>
      <c r="E2200" s="62" t="s">
        <v>2943</v>
      </c>
      <c r="F2200" s="62" t="s">
        <v>2943</v>
      </c>
      <c r="G2200" s="62" t="s">
        <v>2944</v>
      </c>
      <c r="H2200" s="62" t="s">
        <v>48</v>
      </c>
      <c r="I2200" s="62" t="s">
        <v>49</v>
      </c>
      <c r="J2200" s="62" t="s">
        <v>146</v>
      </c>
      <c r="K2200" s="62" t="s">
        <v>209</v>
      </c>
      <c r="L2200" s="62" t="s">
        <v>4</v>
      </c>
      <c r="M2200" s="62" t="n">
        <v>1</v>
      </c>
      <c r="N2200" s="62" t="n">
        <v>0</v>
      </c>
      <c r="O2200" s="62" t="n">
        <v>1</v>
      </c>
      <c r="P2200" s="62" t="n">
        <v>0</v>
      </c>
      <c r="Q2200" s="62" t="n">
        <v>0</v>
      </c>
      <c r="R2200" s="62" t="n">
        <v>0</v>
      </c>
      <c r="S2200" s="62" t="n">
        <v>0</v>
      </c>
      <c r="T2200" s="62" t="n">
        <v>0</v>
      </c>
      <c r="U2200" s="62" t="s">
        <v>2056</v>
      </c>
      <c r="V2200" s="62" t="s">
        <v>2057</v>
      </c>
      <c r="W2200" s="62" t="s">
        <v>15</v>
      </c>
      <c r="X2200" s="62" t="s">
        <v>2058</v>
      </c>
      <c r="Y2200" s="62" t="s">
        <v>2059</v>
      </c>
      <c r="Z2200" s="62" t="s">
        <v>3997</v>
      </c>
      <c r="AA2200" s="62" t="s">
        <v>3998</v>
      </c>
      <c r="AB2200" s="62" t="n">
        <v>1</v>
      </c>
      <c r="AC2200" s="62" t="n">
        <v>0</v>
      </c>
      <c r="AD2200" s="62" t="n">
        <v>1</v>
      </c>
      <c r="AE2200" s="62" t="n">
        <f aca="false">IF(AND(Dashboard!$C$9="Yes",AC2200=1),0,1)</f>
        <v>1</v>
      </c>
      <c r="AF2200" s="62" t="n">
        <v>0</v>
      </c>
    </row>
    <row r="2201" customFormat="false" ht="15" hidden="false" customHeight="false" outlineLevel="0" collapsed="false">
      <c r="A2201" s="62" t="n">
        <v>2200</v>
      </c>
      <c r="B2201" s="63" t="n">
        <v>46283.9167939815</v>
      </c>
      <c r="C2201" s="64" t="n">
        <v>46283</v>
      </c>
      <c r="D2201" s="62" t="s">
        <v>288</v>
      </c>
      <c r="E2201" s="62" t="s">
        <v>2228</v>
      </c>
      <c r="F2201" s="62" t="s">
        <v>2228</v>
      </c>
      <c r="G2201" s="62" t="s">
        <v>2229</v>
      </c>
      <c r="H2201" s="62" t="s">
        <v>58</v>
      </c>
      <c r="I2201" s="62" t="s">
        <v>49</v>
      </c>
      <c r="J2201" s="62" t="s">
        <v>146</v>
      </c>
      <c r="K2201" s="62" t="s">
        <v>209</v>
      </c>
      <c r="L2201" s="62" t="s">
        <v>148</v>
      </c>
      <c r="M2201" s="62" t="n">
        <v>0</v>
      </c>
      <c r="N2201" s="62" t="n">
        <v>1</v>
      </c>
      <c r="O2201" s="62" t="n">
        <v>1</v>
      </c>
      <c r="P2201" s="62" t="n">
        <v>1</v>
      </c>
      <c r="Q2201" s="62" t="n">
        <v>0</v>
      </c>
      <c r="R2201" s="62" t="n">
        <v>0</v>
      </c>
      <c r="S2201" s="62" t="n">
        <v>0</v>
      </c>
      <c r="T2201" s="62" t="n">
        <v>0</v>
      </c>
      <c r="U2201" s="62"/>
      <c r="V2201" s="62"/>
      <c r="W2201" s="62"/>
      <c r="X2201" s="62"/>
      <c r="Y2201" s="62"/>
      <c r="Z2201" s="62" t="s">
        <v>3999</v>
      </c>
      <c r="AA2201" s="62" t="s">
        <v>4000</v>
      </c>
      <c r="AB2201" s="62" t="n">
        <v>1</v>
      </c>
      <c r="AC2201" s="62" t="n">
        <v>0</v>
      </c>
      <c r="AD2201" s="62" t="n">
        <v>1</v>
      </c>
      <c r="AE2201" s="62" t="n">
        <f aca="false">IF(AND(Dashboard!$C$9="Yes",AC2201=1),0,1)</f>
        <v>1</v>
      </c>
      <c r="AF2201" s="62" t="n">
        <v>1</v>
      </c>
    </row>
    <row r="2202" customFormat="false" ht="15" hidden="false" customHeight="false" outlineLevel="0" collapsed="false">
      <c r="A2202" s="62" t="n">
        <v>2201</v>
      </c>
      <c r="B2202" s="63" t="n">
        <v>46283.9304398148</v>
      </c>
      <c r="C2202" s="64" t="n">
        <v>46283</v>
      </c>
      <c r="D2202" s="62" t="s">
        <v>288</v>
      </c>
      <c r="E2202" s="62" t="s">
        <v>2540</v>
      </c>
      <c r="F2202" s="62" t="s">
        <v>2540</v>
      </c>
      <c r="G2202" s="62" t="s">
        <v>2541</v>
      </c>
      <c r="H2202" s="62" t="s">
        <v>48</v>
      </c>
      <c r="I2202" s="62" t="s">
        <v>49</v>
      </c>
      <c r="J2202" s="62" t="s">
        <v>146</v>
      </c>
      <c r="K2202" s="62" t="s">
        <v>209</v>
      </c>
      <c r="L2202" s="62" t="s">
        <v>148</v>
      </c>
      <c r="M2202" s="62" t="n">
        <v>0</v>
      </c>
      <c r="N2202" s="62" t="n">
        <v>1</v>
      </c>
      <c r="O2202" s="62" t="n">
        <v>1</v>
      </c>
      <c r="P2202" s="62" t="n">
        <v>1</v>
      </c>
      <c r="Q2202" s="62" t="n">
        <v>0</v>
      </c>
      <c r="R2202" s="62" t="n">
        <v>0</v>
      </c>
      <c r="S2202" s="62" t="n">
        <v>0</v>
      </c>
      <c r="T2202" s="62" t="n">
        <v>0</v>
      </c>
      <c r="U2202" s="62"/>
      <c r="V2202" s="62"/>
      <c r="W2202" s="62"/>
      <c r="X2202" s="62"/>
      <c r="Y2202" s="62"/>
      <c r="Z2202" s="62" t="s">
        <v>4001</v>
      </c>
      <c r="AA2202" s="62" t="s">
        <v>4002</v>
      </c>
      <c r="AB2202" s="62" t="n">
        <v>1</v>
      </c>
      <c r="AC2202" s="62" t="n">
        <v>0</v>
      </c>
      <c r="AD2202" s="62" t="n">
        <v>1</v>
      </c>
      <c r="AE2202" s="62" t="n">
        <f aca="false">IF(AND(Dashboard!$C$9="Yes",AC2202=1),0,1)</f>
        <v>1</v>
      </c>
      <c r="AF2202" s="62" t="n">
        <v>0</v>
      </c>
    </row>
    <row r="2203" customFormat="false" ht="15" hidden="false" customHeight="false" outlineLevel="0" collapsed="false">
      <c r="A2203" s="62" t="n">
        <v>2202</v>
      </c>
      <c r="B2203" s="63" t="n">
        <v>46283.9328472222</v>
      </c>
      <c r="C2203" s="64" t="n">
        <v>46283</v>
      </c>
      <c r="D2203" s="62" t="s">
        <v>288</v>
      </c>
      <c r="E2203" s="62" t="s">
        <v>2340</v>
      </c>
      <c r="F2203" s="62" t="s">
        <v>2340</v>
      </c>
      <c r="G2203" s="62" t="s">
        <v>2341</v>
      </c>
      <c r="H2203" s="62" t="s">
        <v>57</v>
      </c>
      <c r="I2203" s="62" t="s">
        <v>47</v>
      </c>
      <c r="J2203" s="62" t="s">
        <v>146</v>
      </c>
      <c r="K2203" s="62" t="s">
        <v>175</v>
      </c>
      <c r="L2203" s="62" t="s">
        <v>148</v>
      </c>
      <c r="M2203" s="62" t="n">
        <v>0</v>
      </c>
      <c r="N2203" s="62" t="n">
        <v>1</v>
      </c>
      <c r="O2203" s="62" t="n">
        <v>1</v>
      </c>
      <c r="P2203" s="62" t="n">
        <v>1</v>
      </c>
      <c r="Q2203" s="62" t="n">
        <v>0</v>
      </c>
      <c r="R2203" s="62" t="n">
        <v>0</v>
      </c>
      <c r="S2203" s="62" t="n">
        <v>0</v>
      </c>
      <c r="T2203" s="62" t="n">
        <v>0</v>
      </c>
      <c r="U2203" s="62"/>
      <c r="V2203" s="62"/>
      <c r="W2203" s="62"/>
      <c r="X2203" s="62"/>
      <c r="Y2203" s="62"/>
      <c r="Z2203" s="62" t="s">
        <v>4003</v>
      </c>
      <c r="AA2203" s="62" t="s">
        <v>287</v>
      </c>
      <c r="AB2203" s="62" t="n">
        <v>0</v>
      </c>
      <c r="AC2203" s="62" t="n">
        <v>0</v>
      </c>
      <c r="AD2203" s="62" t="n">
        <v>1</v>
      </c>
      <c r="AE2203" s="62" t="n">
        <f aca="false">IF(AND(Dashboard!$C$9="Yes",AC2203=1),0,1)</f>
        <v>1</v>
      </c>
      <c r="AF2203" s="62" t="n">
        <v>1</v>
      </c>
    </row>
    <row r="2204" customFormat="false" ht="15" hidden="false" customHeight="false" outlineLevel="0" collapsed="false">
      <c r="A2204" s="62" t="n">
        <v>2203</v>
      </c>
      <c r="B2204" s="63" t="n">
        <v>46283.9374421296</v>
      </c>
      <c r="C2204" s="64" t="n">
        <v>46283</v>
      </c>
      <c r="D2204" s="62" t="s">
        <v>288</v>
      </c>
      <c r="E2204" s="62" t="s">
        <v>2540</v>
      </c>
      <c r="F2204" s="62" t="s">
        <v>2540</v>
      </c>
      <c r="G2204" s="62" t="s">
        <v>2541</v>
      </c>
      <c r="H2204" s="62" t="s">
        <v>48</v>
      </c>
      <c r="I2204" s="62" t="s">
        <v>49</v>
      </c>
      <c r="J2204" s="62" t="s">
        <v>146</v>
      </c>
      <c r="K2204" s="62" t="s">
        <v>209</v>
      </c>
      <c r="L2204" s="62" t="s">
        <v>4</v>
      </c>
      <c r="M2204" s="62" t="n">
        <v>1</v>
      </c>
      <c r="N2204" s="62" t="n">
        <v>0</v>
      </c>
      <c r="O2204" s="62" t="n">
        <v>1</v>
      </c>
      <c r="P2204" s="62" t="n">
        <v>0</v>
      </c>
      <c r="Q2204" s="62" t="n">
        <v>0</v>
      </c>
      <c r="R2204" s="62" t="n">
        <v>0</v>
      </c>
      <c r="S2204" s="62" t="n">
        <v>0</v>
      </c>
      <c r="T2204" s="62" t="n">
        <v>0</v>
      </c>
      <c r="U2204" s="62" t="s">
        <v>2056</v>
      </c>
      <c r="V2204" s="62" t="s">
        <v>2057</v>
      </c>
      <c r="W2204" s="62" t="s">
        <v>15</v>
      </c>
      <c r="X2204" s="62" t="s">
        <v>2058</v>
      </c>
      <c r="Y2204" s="62" t="s">
        <v>2059</v>
      </c>
      <c r="Z2204" s="62" t="s">
        <v>4001</v>
      </c>
      <c r="AA2204" s="62" t="s">
        <v>4004</v>
      </c>
      <c r="AB2204" s="62" t="n">
        <v>1</v>
      </c>
      <c r="AC2204" s="62" t="n">
        <v>0</v>
      </c>
      <c r="AD2204" s="62" t="n">
        <v>1</v>
      </c>
      <c r="AE2204" s="62" t="n">
        <f aca="false">IF(AND(Dashboard!$C$9="Yes",AC2204=1),0,1)</f>
        <v>1</v>
      </c>
      <c r="AF2204" s="62" t="n">
        <v>0</v>
      </c>
    </row>
    <row r="2205" customFormat="false" ht="15" hidden="false" customHeight="false" outlineLevel="0" collapsed="false">
      <c r="A2205" s="62" t="n">
        <v>2204</v>
      </c>
      <c r="B2205" s="63" t="n">
        <v>46284.0315856482</v>
      </c>
      <c r="C2205" s="64" t="n">
        <v>46283</v>
      </c>
      <c r="D2205" s="62" t="s">
        <v>288</v>
      </c>
      <c r="E2205" s="62" t="s">
        <v>2722</v>
      </c>
      <c r="F2205" s="62" t="s">
        <v>2722</v>
      </c>
      <c r="G2205" s="62" t="s">
        <v>2723</v>
      </c>
      <c r="H2205" s="62" t="s">
        <v>55</v>
      </c>
      <c r="I2205" s="62" t="s">
        <v>49</v>
      </c>
      <c r="J2205" s="62" t="s">
        <v>146</v>
      </c>
      <c r="K2205" s="62" t="s">
        <v>209</v>
      </c>
      <c r="L2205" s="62" t="s">
        <v>4</v>
      </c>
      <c r="M2205" s="62" t="n">
        <v>1</v>
      </c>
      <c r="N2205" s="62" t="n">
        <v>0</v>
      </c>
      <c r="O2205" s="62" t="n">
        <v>1</v>
      </c>
      <c r="P2205" s="62" t="n">
        <v>0</v>
      </c>
      <c r="Q2205" s="62" t="n">
        <v>0</v>
      </c>
      <c r="R2205" s="62" t="n">
        <v>0</v>
      </c>
      <c r="S2205" s="62" t="n">
        <v>0</v>
      </c>
      <c r="T2205" s="62" t="n">
        <v>0</v>
      </c>
      <c r="U2205" s="62" t="s">
        <v>2056</v>
      </c>
      <c r="V2205" s="62" t="s">
        <v>2057</v>
      </c>
      <c r="W2205" s="62" t="s">
        <v>15</v>
      </c>
      <c r="X2205" s="62" t="s">
        <v>2058</v>
      </c>
      <c r="Y2205" s="62" t="s">
        <v>2059</v>
      </c>
      <c r="Z2205" s="62" t="s">
        <v>4005</v>
      </c>
      <c r="AA2205" s="62" t="s">
        <v>4006</v>
      </c>
      <c r="AB2205" s="62" t="n">
        <v>1</v>
      </c>
      <c r="AC2205" s="62" t="n">
        <v>0</v>
      </c>
      <c r="AD2205" s="62" t="n">
        <v>1</v>
      </c>
      <c r="AE2205" s="62" t="n">
        <f aca="false">IF(AND(Dashboard!$C$9="Yes",AC2205=1),0,1)</f>
        <v>1</v>
      </c>
      <c r="AF2205" s="62" t="n">
        <v>1</v>
      </c>
    </row>
    <row r="2206" customFormat="false" ht="15" hidden="false" customHeight="false" outlineLevel="0" collapsed="false">
      <c r="A2206" s="62" t="n">
        <v>2205</v>
      </c>
      <c r="B2206" s="63" t="n">
        <v>46284.0658796296</v>
      </c>
      <c r="C2206" s="64" t="n">
        <v>46283</v>
      </c>
      <c r="D2206" s="62" t="s">
        <v>288</v>
      </c>
      <c r="E2206" s="62" t="s">
        <v>1005</v>
      </c>
      <c r="F2206" s="62" t="s">
        <v>1005</v>
      </c>
      <c r="G2206" s="62" t="s">
        <v>1006</v>
      </c>
      <c r="H2206" s="62" t="s">
        <v>46</v>
      </c>
      <c r="I2206" s="62" t="s">
        <v>47</v>
      </c>
      <c r="J2206" s="62" t="s">
        <v>146</v>
      </c>
      <c r="K2206" s="62" t="s">
        <v>209</v>
      </c>
      <c r="L2206" s="62" t="s">
        <v>148</v>
      </c>
      <c r="M2206" s="62" t="n">
        <v>0</v>
      </c>
      <c r="N2206" s="62" t="n">
        <v>2</v>
      </c>
      <c r="O2206" s="62" t="n">
        <v>2</v>
      </c>
      <c r="P2206" s="62" t="n">
        <v>0</v>
      </c>
      <c r="Q2206" s="62" t="n">
        <v>1</v>
      </c>
      <c r="R2206" s="62" t="n">
        <v>1</v>
      </c>
      <c r="S2206" s="62" t="n">
        <v>0</v>
      </c>
      <c r="T2206" s="62" t="n">
        <v>0</v>
      </c>
      <c r="U2206" s="62"/>
      <c r="V2206" s="62"/>
      <c r="W2206" s="62"/>
      <c r="X2206" s="62"/>
      <c r="Y2206" s="62"/>
      <c r="Z2206" s="62" t="s">
        <v>4007</v>
      </c>
      <c r="AA2206" s="62" t="s">
        <v>485</v>
      </c>
      <c r="AB2206" s="62" t="n">
        <v>0</v>
      </c>
      <c r="AC2206" s="62" t="n">
        <v>0</v>
      </c>
      <c r="AD2206" s="62" t="n">
        <v>1</v>
      </c>
      <c r="AE2206" s="62" t="n">
        <f aca="false">IF(AND(Dashboard!$C$9="Yes",AC2206=1),0,1)</f>
        <v>1</v>
      </c>
      <c r="AF2206" s="62" t="n">
        <v>1</v>
      </c>
    </row>
    <row r="2207" customFormat="false" ht="15" hidden="false" customHeight="false" outlineLevel="0" collapsed="false">
      <c r="A2207" s="62" t="n">
        <v>2206</v>
      </c>
      <c r="B2207" s="63" t="n">
        <v>46284.0797453704</v>
      </c>
      <c r="C2207" s="64" t="n">
        <v>46283</v>
      </c>
      <c r="D2207" s="62" t="s">
        <v>288</v>
      </c>
      <c r="E2207" s="62" t="s">
        <v>999</v>
      </c>
      <c r="F2207" s="62" t="s">
        <v>999</v>
      </c>
      <c r="G2207" s="62" t="s">
        <v>1000</v>
      </c>
      <c r="H2207" s="62" t="s">
        <v>46</v>
      </c>
      <c r="I2207" s="62" t="s">
        <v>47</v>
      </c>
      <c r="J2207" s="62" t="s">
        <v>146</v>
      </c>
      <c r="K2207" s="62" t="s">
        <v>209</v>
      </c>
      <c r="L2207" s="62" t="s">
        <v>148</v>
      </c>
      <c r="M2207" s="62" t="n">
        <v>0</v>
      </c>
      <c r="N2207" s="62" t="n">
        <v>1</v>
      </c>
      <c r="O2207" s="62" t="n">
        <v>1</v>
      </c>
      <c r="P2207" s="62" t="n">
        <v>1</v>
      </c>
      <c r="Q2207" s="62" t="n">
        <v>0</v>
      </c>
      <c r="R2207" s="62" t="n">
        <v>0</v>
      </c>
      <c r="S2207" s="62" t="n">
        <v>0</v>
      </c>
      <c r="T2207" s="62" t="n">
        <v>0</v>
      </c>
      <c r="U2207" s="62"/>
      <c r="V2207" s="62"/>
      <c r="W2207" s="62"/>
      <c r="X2207" s="62"/>
      <c r="Y2207" s="62"/>
      <c r="Z2207" s="62" t="s">
        <v>4008</v>
      </c>
      <c r="AA2207" s="62" t="s">
        <v>4009</v>
      </c>
      <c r="AB2207" s="62" t="n">
        <v>1</v>
      </c>
      <c r="AC2207" s="62" t="n">
        <v>0</v>
      </c>
      <c r="AD2207" s="62" t="n">
        <v>1</v>
      </c>
      <c r="AE2207" s="62" t="n">
        <f aca="false">IF(AND(Dashboard!$C$9="Yes",AC2207=1),0,1)</f>
        <v>1</v>
      </c>
      <c r="AF2207" s="62" t="n">
        <v>1</v>
      </c>
    </row>
    <row r="2208" customFormat="false" ht="15" hidden="false" customHeight="false" outlineLevel="0" collapsed="false">
      <c r="A2208" s="62" t="n">
        <v>2207</v>
      </c>
      <c r="B2208" s="63" t="n">
        <v>46284.0906365741</v>
      </c>
      <c r="C2208" s="64" t="n">
        <v>46283</v>
      </c>
      <c r="D2208" s="62" t="s">
        <v>288</v>
      </c>
      <c r="E2208" s="62" t="s">
        <v>3018</v>
      </c>
      <c r="F2208" s="62" t="s">
        <v>3018</v>
      </c>
      <c r="G2208" s="62" t="s">
        <v>3019</v>
      </c>
      <c r="H2208" s="62" t="s">
        <v>58</v>
      </c>
      <c r="I2208" s="62" t="s">
        <v>49</v>
      </c>
      <c r="J2208" s="62" t="s">
        <v>146</v>
      </c>
      <c r="K2208" s="62" t="s">
        <v>175</v>
      </c>
      <c r="L2208" s="62" t="s">
        <v>4</v>
      </c>
      <c r="M2208" s="62" t="n">
        <v>1</v>
      </c>
      <c r="N2208" s="62" t="n">
        <v>0</v>
      </c>
      <c r="O2208" s="62" t="n">
        <v>1</v>
      </c>
      <c r="P2208" s="62" t="n">
        <v>0</v>
      </c>
      <c r="Q2208" s="62" t="n">
        <v>0</v>
      </c>
      <c r="R2208" s="62" t="n">
        <v>0</v>
      </c>
      <c r="S2208" s="62" t="n">
        <v>0</v>
      </c>
      <c r="T2208" s="62" t="n">
        <v>0</v>
      </c>
      <c r="U2208" s="62" t="s">
        <v>2056</v>
      </c>
      <c r="V2208" s="62" t="s">
        <v>2057</v>
      </c>
      <c r="W2208" s="62" t="s">
        <v>15</v>
      </c>
      <c r="X2208" s="62" t="s">
        <v>2058</v>
      </c>
      <c r="Y2208" s="62" t="s">
        <v>2059</v>
      </c>
      <c r="Z2208" s="62" t="s">
        <v>4010</v>
      </c>
      <c r="AA2208" s="62" t="s">
        <v>4011</v>
      </c>
      <c r="AB2208" s="62" t="n">
        <v>1</v>
      </c>
      <c r="AC2208" s="62" t="n">
        <v>0</v>
      </c>
      <c r="AD2208" s="62" t="n">
        <v>1</v>
      </c>
      <c r="AE2208" s="62" t="n">
        <f aca="false">IF(AND(Dashboard!$C$9="Yes",AC2208=1),0,1)</f>
        <v>1</v>
      </c>
      <c r="AF2208" s="62" t="n">
        <v>0</v>
      </c>
    </row>
    <row r="2209" customFormat="false" ht="15" hidden="false" customHeight="false" outlineLevel="0" collapsed="false">
      <c r="A2209" s="62" t="n">
        <v>2208</v>
      </c>
      <c r="B2209" s="63" t="n">
        <v>46284.0972222222</v>
      </c>
      <c r="C2209" s="64" t="n">
        <v>46283</v>
      </c>
      <c r="D2209" s="62" t="s">
        <v>288</v>
      </c>
      <c r="E2209" s="62" t="s">
        <v>1539</v>
      </c>
      <c r="F2209" s="62" t="s">
        <v>1539</v>
      </c>
      <c r="G2209" s="62" t="s">
        <v>1540</v>
      </c>
      <c r="H2209" s="62" t="s">
        <v>52</v>
      </c>
      <c r="I2209" s="62" t="s">
        <v>47</v>
      </c>
      <c r="J2209" s="62" t="s">
        <v>146</v>
      </c>
      <c r="K2209" s="62" t="s">
        <v>147</v>
      </c>
      <c r="L2209" s="62" t="s">
        <v>148</v>
      </c>
      <c r="M2209" s="62" t="n">
        <v>0</v>
      </c>
      <c r="N2209" s="62" t="n">
        <v>1</v>
      </c>
      <c r="O2209" s="62" t="n">
        <v>1</v>
      </c>
      <c r="P2209" s="62" t="n">
        <v>1</v>
      </c>
      <c r="Q2209" s="62" t="n">
        <v>0</v>
      </c>
      <c r="R2209" s="62" t="n">
        <v>0</v>
      </c>
      <c r="S2209" s="62" t="n">
        <v>0</v>
      </c>
      <c r="T2209" s="62" t="n">
        <v>0</v>
      </c>
      <c r="U2209" s="62"/>
      <c r="V2209" s="62"/>
      <c r="W2209" s="62"/>
      <c r="X2209" s="62"/>
      <c r="Y2209" s="62"/>
      <c r="Z2209" s="62" t="s">
        <v>4012</v>
      </c>
      <c r="AA2209" s="62" t="s">
        <v>4013</v>
      </c>
      <c r="AB2209" s="62" t="n">
        <v>1</v>
      </c>
      <c r="AC2209" s="62" t="n">
        <v>0</v>
      </c>
      <c r="AD2209" s="62" t="n">
        <v>1</v>
      </c>
      <c r="AE2209" s="62" t="n">
        <f aca="false">IF(AND(Dashboard!$C$9="Yes",AC2209=1),0,1)</f>
        <v>1</v>
      </c>
      <c r="AF2209" s="62" t="n">
        <v>1</v>
      </c>
    </row>
    <row r="2210" customFormat="false" ht="15" hidden="false" customHeight="false" outlineLevel="0" collapsed="false">
      <c r="A2210" s="62" t="n">
        <v>2209</v>
      </c>
      <c r="B2210" s="63" t="n">
        <v>46284.1030671296</v>
      </c>
      <c r="C2210" s="64" t="n">
        <v>46283</v>
      </c>
      <c r="D2210" s="62" t="s">
        <v>288</v>
      </c>
      <c r="E2210" s="62" t="s">
        <v>1314</v>
      </c>
      <c r="F2210" s="62" t="s">
        <v>1314</v>
      </c>
      <c r="G2210" s="62" t="s">
        <v>1315</v>
      </c>
      <c r="H2210" s="62" t="s">
        <v>51</v>
      </c>
      <c r="I2210" s="62" t="s">
        <v>47</v>
      </c>
      <c r="J2210" s="62" t="s">
        <v>146</v>
      </c>
      <c r="K2210" s="62" t="s">
        <v>209</v>
      </c>
      <c r="L2210" s="62" t="s">
        <v>148</v>
      </c>
      <c r="M2210" s="62" t="n">
        <v>0</v>
      </c>
      <c r="N2210" s="62" t="n">
        <v>1</v>
      </c>
      <c r="O2210" s="62" t="n">
        <v>1</v>
      </c>
      <c r="P2210" s="62" t="n">
        <v>0</v>
      </c>
      <c r="Q2210" s="62" t="n">
        <v>1</v>
      </c>
      <c r="R2210" s="62" t="n">
        <v>0</v>
      </c>
      <c r="S2210" s="62" t="n">
        <v>0</v>
      </c>
      <c r="T2210" s="62" t="n">
        <v>0</v>
      </c>
      <c r="U2210" s="62"/>
      <c r="V2210" s="62"/>
      <c r="W2210" s="62"/>
      <c r="X2210" s="62"/>
      <c r="Y2210" s="62"/>
      <c r="Z2210" s="62" t="s">
        <v>4014</v>
      </c>
      <c r="AA2210" s="62" t="s">
        <v>4015</v>
      </c>
      <c r="AB2210" s="62" t="n">
        <v>1</v>
      </c>
      <c r="AC2210" s="62" t="n">
        <v>0</v>
      </c>
      <c r="AD2210" s="62" t="n">
        <v>1</v>
      </c>
      <c r="AE2210" s="62" t="n">
        <f aca="false">IF(AND(Dashboard!$C$9="Yes",AC2210=1),0,1)</f>
        <v>1</v>
      </c>
      <c r="AF2210" s="62" t="n">
        <v>1</v>
      </c>
    </row>
    <row r="2211" customFormat="false" ht="15" hidden="false" customHeight="false" outlineLevel="0" collapsed="false">
      <c r="A2211" s="62" t="n">
        <v>2210</v>
      </c>
      <c r="B2211" s="63" t="n">
        <v>46284.106712963</v>
      </c>
      <c r="C2211" s="64" t="n">
        <v>46283</v>
      </c>
      <c r="D2211" s="62" t="s">
        <v>288</v>
      </c>
      <c r="E2211" s="62" t="s">
        <v>4016</v>
      </c>
      <c r="F2211" s="62" t="s">
        <v>4016</v>
      </c>
      <c r="G2211" s="62" t="s">
        <v>4017</v>
      </c>
      <c r="H2211" s="62" t="s">
        <v>48</v>
      </c>
      <c r="I2211" s="62" t="s">
        <v>49</v>
      </c>
      <c r="J2211" s="62" t="s">
        <v>146</v>
      </c>
      <c r="K2211" s="62" t="s">
        <v>209</v>
      </c>
      <c r="L2211" s="62" t="s">
        <v>4</v>
      </c>
      <c r="M2211" s="62" t="n">
        <v>1</v>
      </c>
      <c r="N2211" s="62" t="n">
        <v>0</v>
      </c>
      <c r="O2211" s="62" t="n">
        <v>1</v>
      </c>
      <c r="P2211" s="62" t="n">
        <v>0</v>
      </c>
      <c r="Q2211" s="62" t="n">
        <v>0</v>
      </c>
      <c r="R2211" s="62" t="n">
        <v>0</v>
      </c>
      <c r="S2211" s="62" t="n">
        <v>0</v>
      </c>
      <c r="T2211" s="62" t="n">
        <v>0</v>
      </c>
      <c r="U2211" s="62" t="s">
        <v>2056</v>
      </c>
      <c r="V2211" s="62" t="s">
        <v>2057</v>
      </c>
      <c r="W2211" s="62" t="s">
        <v>15</v>
      </c>
      <c r="X2211" s="62" t="s">
        <v>2058</v>
      </c>
      <c r="Y2211" s="62" t="s">
        <v>2059</v>
      </c>
      <c r="Z2211" s="62" t="s">
        <v>4018</v>
      </c>
      <c r="AA2211" s="62" t="s">
        <v>4019</v>
      </c>
      <c r="AB2211" s="62" t="n">
        <v>1</v>
      </c>
      <c r="AC2211" s="62" t="n">
        <v>0</v>
      </c>
      <c r="AD2211" s="62" t="n">
        <v>1</v>
      </c>
      <c r="AE2211" s="62" t="n">
        <f aca="false">IF(AND(Dashboard!$C$9="Yes",AC2211=1),0,1)</f>
        <v>1</v>
      </c>
      <c r="AF2211" s="62" t="n">
        <v>1</v>
      </c>
    </row>
    <row r="2212" customFormat="false" ht="15" hidden="false" customHeight="false" outlineLevel="0" collapsed="false">
      <c r="A2212" s="62" t="n">
        <v>2211</v>
      </c>
      <c r="B2212" s="63" t="n">
        <v>46284.1342708333</v>
      </c>
      <c r="C2212" s="64" t="n">
        <v>46283</v>
      </c>
      <c r="D2212" s="62" t="s">
        <v>288</v>
      </c>
      <c r="E2212" s="62" t="s">
        <v>1005</v>
      </c>
      <c r="F2212" s="62" t="s">
        <v>1005</v>
      </c>
      <c r="G2212" s="62" t="s">
        <v>1006</v>
      </c>
      <c r="H2212" s="62" t="s">
        <v>46</v>
      </c>
      <c r="I2212" s="62" t="s">
        <v>47</v>
      </c>
      <c r="J2212" s="62" t="s">
        <v>146</v>
      </c>
      <c r="K2212" s="62" t="s">
        <v>209</v>
      </c>
      <c r="L2212" s="62" t="s">
        <v>4</v>
      </c>
      <c r="M2212" s="62" t="n">
        <v>1</v>
      </c>
      <c r="N2212" s="62" t="n">
        <v>0</v>
      </c>
      <c r="O2212" s="62" t="n">
        <v>1</v>
      </c>
      <c r="P2212" s="62" t="n">
        <v>0</v>
      </c>
      <c r="Q2212" s="62" t="n">
        <v>0</v>
      </c>
      <c r="R2212" s="62" t="n">
        <v>0</v>
      </c>
      <c r="S2212" s="62" t="n">
        <v>0</v>
      </c>
      <c r="T2212" s="62" t="n">
        <v>0</v>
      </c>
      <c r="U2212" s="62" t="s">
        <v>2056</v>
      </c>
      <c r="V2212" s="62" t="s">
        <v>2057</v>
      </c>
      <c r="W2212" s="62" t="s">
        <v>15</v>
      </c>
      <c r="X2212" s="62" t="s">
        <v>2180</v>
      </c>
      <c r="Y2212" s="62" t="s">
        <v>2103</v>
      </c>
      <c r="Z2212" s="62" t="s">
        <v>4020</v>
      </c>
      <c r="AA2212" s="62" t="s">
        <v>4021</v>
      </c>
      <c r="AB2212" s="62" t="n">
        <v>1</v>
      </c>
      <c r="AC2212" s="62" t="n">
        <v>0</v>
      </c>
      <c r="AD2212" s="62" t="n">
        <v>1</v>
      </c>
      <c r="AE2212" s="62" t="n">
        <f aca="false">IF(AND(Dashboard!$C$9="Yes",AC2212=1),0,1)</f>
        <v>1</v>
      </c>
      <c r="AF2212" s="62" t="n">
        <v>0</v>
      </c>
    </row>
    <row r="2213" customFormat="false" ht="15" hidden="false" customHeight="false" outlineLevel="0" collapsed="false">
      <c r="A2213" s="62" t="n">
        <v>2212</v>
      </c>
      <c r="B2213" s="63" t="n">
        <v>46284.1353703704</v>
      </c>
      <c r="C2213" s="64" t="n">
        <v>46283</v>
      </c>
      <c r="D2213" s="62" t="s">
        <v>288</v>
      </c>
      <c r="E2213" s="62" t="s">
        <v>3018</v>
      </c>
      <c r="F2213" s="62" t="s">
        <v>3018</v>
      </c>
      <c r="G2213" s="62" t="s">
        <v>3019</v>
      </c>
      <c r="H2213" s="62" t="s">
        <v>58</v>
      </c>
      <c r="I2213" s="62" t="s">
        <v>49</v>
      </c>
      <c r="J2213" s="62" t="s">
        <v>146</v>
      </c>
      <c r="K2213" s="62" t="s">
        <v>175</v>
      </c>
      <c r="L2213" s="62" t="s">
        <v>148</v>
      </c>
      <c r="M2213" s="62" t="n">
        <v>0</v>
      </c>
      <c r="N2213" s="62" t="n">
        <v>2</v>
      </c>
      <c r="O2213" s="62" t="n">
        <v>2</v>
      </c>
      <c r="P2213" s="62" t="n">
        <v>1</v>
      </c>
      <c r="Q2213" s="62" t="n">
        <v>0</v>
      </c>
      <c r="R2213" s="62" t="n">
        <v>0</v>
      </c>
      <c r="S2213" s="62" t="n">
        <v>1</v>
      </c>
      <c r="T2213" s="62" t="n">
        <v>0</v>
      </c>
      <c r="U2213" s="62"/>
      <c r="V2213" s="62"/>
      <c r="W2213" s="62"/>
      <c r="X2213" s="62"/>
      <c r="Y2213" s="62"/>
      <c r="Z2213" s="62" t="s">
        <v>4022</v>
      </c>
      <c r="AA2213" s="62" t="s">
        <v>4023</v>
      </c>
      <c r="AB2213" s="62" t="n">
        <v>1</v>
      </c>
      <c r="AC2213" s="62" t="n">
        <v>0</v>
      </c>
      <c r="AD2213" s="62" t="n">
        <v>1</v>
      </c>
      <c r="AE2213" s="62" t="n">
        <f aca="false">IF(AND(Dashboard!$C$9="Yes",AC2213=1),0,1)</f>
        <v>1</v>
      </c>
      <c r="AF2213" s="62" t="n">
        <v>0</v>
      </c>
    </row>
    <row r="2214" customFormat="false" ht="15" hidden="false" customHeight="false" outlineLevel="0" collapsed="false">
      <c r="A2214" s="62" t="n">
        <v>2213</v>
      </c>
      <c r="B2214" s="63" t="n">
        <v>46284.1435532407</v>
      </c>
      <c r="C2214" s="64" t="n">
        <v>46283</v>
      </c>
      <c r="D2214" s="62" t="s">
        <v>288</v>
      </c>
      <c r="E2214" s="62" t="s">
        <v>1005</v>
      </c>
      <c r="F2214" s="62" t="s">
        <v>1005</v>
      </c>
      <c r="G2214" s="62" t="s">
        <v>1006</v>
      </c>
      <c r="H2214" s="62" t="s">
        <v>46</v>
      </c>
      <c r="I2214" s="62" t="s">
        <v>47</v>
      </c>
      <c r="J2214" s="62" t="s">
        <v>146</v>
      </c>
      <c r="K2214" s="62" t="s">
        <v>209</v>
      </c>
      <c r="L2214" s="62" t="s">
        <v>148</v>
      </c>
      <c r="M2214" s="62" t="n">
        <v>0</v>
      </c>
      <c r="N2214" s="62" t="n">
        <v>1</v>
      </c>
      <c r="O2214" s="62" t="n">
        <v>1</v>
      </c>
      <c r="P2214" s="62" t="n">
        <v>0</v>
      </c>
      <c r="Q2214" s="62" t="n">
        <v>0</v>
      </c>
      <c r="R2214" s="62" t="n">
        <v>0</v>
      </c>
      <c r="S2214" s="62" t="n">
        <v>0</v>
      </c>
      <c r="T2214" s="62" t="n">
        <v>1</v>
      </c>
      <c r="U2214" s="62"/>
      <c r="V2214" s="62"/>
      <c r="W2214" s="62"/>
      <c r="X2214" s="62"/>
      <c r="Y2214" s="62"/>
      <c r="Z2214" s="62" t="s">
        <v>4020</v>
      </c>
      <c r="AA2214" s="62" t="s">
        <v>485</v>
      </c>
      <c r="AB2214" s="62" t="n">
        <v>0</v>
      </c>
      <c r="AC2214" s="62" t="n">
        <v>0</v>
      </c>
      <c r="AD2214" s="62" t="n">
        <v>1</v>
      </c>
      <c r="AE2214" s="62" t="n">
        <f aca="false">IF(AND(Dashboard!$C$9="Yes",AC2214=1),0,1)</f>
        <v>1</v>
      </c>
      <c r="AF2214" s="62" t="n">
        <v>0</v>
      </c>
    </row>
    <row r="2215" customFormat="false" ht="15" hidden="false" customHeight="false" outlineLevel="0" collapsed="false">
      <c r="A2215" s="62" t="n">
        <v>2214</v>
      </c>
      <c r="B2215" s="63" t="n">
        <v>46284.1439351852</v>
      </c>
      <c r="C2215" s="64" t="n">
        <v>46283</v>
      </c>
      <c r="D2215" s="62" t="s">
        <v>288</v>
      </c>
      <c r="E2215" s="62" t="s">
        <v>3967</v>
      </c>
      <c r="F2215" s="62" t="s">
        <v>3967</v>
      </c>
      <c r="G2215" s="62" t="s">
        <v>3968</v>
      </c>
      <c r="H2215" s="62" t="s">
        <v>46</v>
      </c>
      <c r="I2215" s="62" t="s">
        <v>47</v>
      </c>
      <c r="J2215" s="62" t="s">
        <v>146</v>
      </c>
      <c r="K2215" s="62" t="s">
        <v>209</v>
      </c>
      <c r="L2215" s="62" t="s">
        <v>148</v>
      </c>
      <c r="M2215" s="62" t="n">
        <v>0</v>
      </c>
      <c r="N2215" s="62" t="n">
        <v>1</v>
      </c>
      <c r="O2215" s="62" t="n">
        <v>1</v>
      </c>
      <c r="P2215" s="62" t="n">
        <v>0</v>
      </c>
      <c r="Q2215" s="62" t="n">
        <v>0</v>
      </c>
      <c r="R2215" s="62" t="n">
        <v>0</v>
      </c>
      <c r="S2215" s="62" t="n">
        <v>1</v>
      </c>
      <c r="T2215" s="62" t="n">
        <v>0</v>
      </c>
      <c r="U2215" s="62"/>
      <c r="V2215" s="62"/>
      <c r="W2215" s="62"/>
      <c r="X2215" s="62"/>
      <c r="Y2215" s="62"/>
      <c r="Z2215" s="62" t="s">
        <v>3991</v>
      </c>
      <c r="AA2215" s="62" t="s">
        <v>4024</v>
      </c>
      <c r="AB2215" s="62" t="n">
        <v>1</v>
      </c>
      <c r="AC2215" s="62" t="n">
        <v>0</v>
      </c>
      <c r="AD2215" s="62" t="n">
        <v>1</v>
      </c>
      <c r="AE2215" s="62" t="n">
        <f aca="false">IF(AND(Dashboard!$C$9="Yes",AC2215=1),0,1)</f>
        <v>1</v>
      </c>
      <c r="AF2215" s="62" t="n">
        <v>0</v>
      </c>
    </row>
    <row r="2216" customFormat="false" ht="15" hidden="false" customHeight="false" outlineLevel="0" collapsed="false">
      <c r="A2216" s="62" t="n">
        <v>2215</v>
      </c>
      <c r="B2216" s="63" t="n">
        <v>46284.149224537</v>
      </c>
      <c r="C2216" s="64" t="n">
        <v>46283</v>
      </c>
      <c r="D2216" s="62" t="s">
        <v>288</v>
      </c>
      <c r="E2216" s="62" t="s">
        <v>892</v>
      </c>
      <c r="F2216" s="62" t="s">
        <v>892</v>
      </c>
      <c r="G2216" s="62" t="s">
        <v>893</v>
      </c>
      <c r="H2216" s="62" t="s">
        <v>46</v>
      </c>
      <c r="I2216" s="62" t="s">
        <v>47</v>
      </c>
      <c r="J2216" s="62" t="s">
        <v>146</v>
      </c>
      <c r="K2216" s="62" t="s">
        <v>209</v>
      </c>
      <c r="L2216" s="62" t="s">
        <v>148</v>
      </c>
      <c r="M2216" s="62" t="n">
        <v>0</v>
      </c>
      <c r="N2216" s="62" t="n">
        <v>1</v>
      </c>
      <c r="O2216" s="62" t="n">
        <v>1</v>
      </c>
      <c r="P2216" s="62" t="n">
        <v>1</v>
      </c>
      <c r="Q2216" s="62" t="n">
        <v>0</v>
      </c>
      <c r="R2216" s="62" t="n">
        <v>0</v>
      </c>
      <c r="S2216" s="62" t="n">
        <v>0</v>
      </c>
      <c r="T2216" s="62" t="n">
        <v>0</v>
      </c>
      <c r="U2216" s="62"/>
      <c r="V2216" s="62"/>
      <c r="W2216" s="62"/>
      <c r="X2216" s="62"/>
      <c r="Y2216" s="62"/>
      <c r="Z2216" s="62" t="s">
        <v>4025</v>
      </c>
      <c r="AA2216" s="62" t="s">
        <v>337</v>
      </c>
      <c r="AB2216" s="62" t="n">
        <v>0</v>
      </c>
      <c r="AC2216" s="62" t="n">
        <v>0</v>
      </c>
      <c r="AD2216" s="62" t="n">
        <v>1</v>
      </c>
      <c r="AE2216" s="62" t="n">
        <f aca="false">IF(AND(Dashboard!$C$9="Yes",AC2216=1),0,1)</f>
        <v>1</v>
      </c>
      <c r="AF2216" s="62" t="n">
        <v>1</v>
      </c>
    </row>
    <row r="2217" customFormat="false" ht="15" hidden="false" customHeight="false" outlineLevel="0" collapsed="false">
      <c r="A2217" s="62" t="n">
        <v>2216</v>
      </c>
      <c r="B2217" s="63" t="n">
        <v>46284.1594791667</v>
      </c>
      <c r="C2217" s="64" t="n">
        <v>46283</v>
      </c>
      <c r="D2217" s="62" t="s">
        <v>288</v>
      </c>
      <c r="E2217" s="62" t="s">
        <v>3399</v>
      </c>
      <c r="F2217" s="62" t="s">
        <v>3399</v>
      </c>
      <c r="G2217" s="62" t="s">
        <v>3400</v>
      </c>
      <c r="H2217" s="62" t="s">
        <v>58</v>
      </c>
      <c r="I2217" s="62" t="s">
        <v>49</v>
      </c>
      <c r="J2217" s="62" t="s">
        <v>146</v>
      </c>
      <c r="K2217" s="62" t="s">
        <v>209</v>
      </c>
      <c r="L2217" s="62" t="s">
        <v>4</v>
      </c>
      <c r="M2217" s="62" t="n">
        <v>1</v>
      </c>
      <c r="N2217" s="62" t="n">
        <v>0</v>
      </c>
      <c r="O2217" s="62" t="n">
        <v>1</v>
      </c>
      <c r="P2217" s="62" t="n">
        <v>0</v>
      </c>
      <c r="Q2217" s="62" t="n">
        <v>0</v>
      </c>
      <c r="R2217" s="62" t="n">
        <v>0</v>
      </c>
      <c r="S2217" s="62" t="n">
        <v>0</v>
      </c>
      <c r="T2217" s="62" t="n">
        <v>0</v>
      </c>
      <c r="U2217" s="62" t="s">
        <v>15</v>
      </c>
      <c r="V2217" s="62" t="s">
        <v>2057</v>
      </c>
      <c r="W2217" s="62" t="s">
        <v>2056</v>
      </c>
      <c r="X2217" s="62" t="s">
        <v>2058</v>
      </c>
      <c r="Y2217" s="62" t="s">
        <v>2059</v>
      </c>
      <c r="Z2217" s="62" t="s">
        <v>4026</v>
      </c>
      <c r="AA2217" s="62" t="s">
        <v>4027</v>
      </c>
      <c r="AB2217" s="62" t="n">
        <v>1</v>
      </c>
      <c r="AC2217" s="62" t="n">
        <v>0</v>
      </c>
      <c r="AD2217" s="62" t="n">
        <v>1</v>
      </c>
      <c r="AE2217" s="62" t="n">
        <f aca="false">IF(AND(Dashboard!$C$9="Yes",AC2217=1),0,1)</f>
        <v>1</v>
      </c>
      <c r="AF2217" s="62" t="n">
        <v>1</v>
      </c>
    </row>
    <row r="2218" customFormat="false" ht="15" hidden="false" customHeight="false" outlineLevel="0" collapsed="false">
      <c r="A2218" s="62" t="n">
        <v>2217</v>
      </c>
      <c r="B2218" s="63" t="n">
        <v>46284.1655671296</v>
      </c>
      <c r="C2218" s="64" t="n">
        <v>46283</v>
      </c>
      <c r="D2218" s="62" t="s">
        <v>288</v>
      </c>
      <c r="E2218" s="62" t="s">
        <v>3226</v>
      </c>
      <c r="F2218" s="62" t="s">
        <v>3226</v>
      </c>
      <c r="G2218" s="62" t="s">
        <v>3227</v>
      </c>
      <c r="H2218" s="62" t="s">
        <v>46</v>
      </c>
      <c r="I2218" s="62" t="s">
        <v>47</v>
      </c>
      <c r="J2218" s="62" t="s">
        <v>146</v>
      </c>
      <c r="K2218" s="62" t="s">
        <v>209</v>
      </c>
      <c r="L2218" s="62" t="s">
        <v>148</v>
      </c>
      <c r="M2218" s="62" t="n">
        <v>0</v>
      </c>
      <c r="N2218" s="62" t="n">
        <v>1</v>
      </c>
      <c r="O2218" s="62" t="n">
        <v>1</v>
      </c>
      <c r="P2218" s="62" t="n">
        <v>1</v>
      </c>
      <c r="Q2218" s="62" t="n">
        <v>0</v>
      </c>
      <c r="R2218" s="62" t="n">
        <v>0</v>
      </c>
      <c r="S2218" s="62" t="n">
        <v>0</v>
      </c>
      <c r="T2218" s="62" t="n">
        <v>0</v>
      </c>
      <c r="U2218" s="62"/>
      <c r="V2218" s="62"/>
      <c r="W2218" s="62"/>
      <c r="X2218" s="62"/>
      <c r="Y2218" s="62"/>
      <c r="Z2218" s="62" t="s">
        <v>4028</v>
      </c>
      <c r="AA2218" s="62" t="s">
        <v>4029</v>
      </c>
      <c r="AB2218" s="62" t="n">
        <v>1</v>
      </c>
      <c r="AC2218" s="62" t="n">
        <v>0</v>
      </c>
      <c r="AD2218" s="62" t="n">
        <v>1</v>
      </c>
      <c r="AE2218" s="62" t="n">
        <f aca="false">IF(AND(Dashboard!$C$9="Yes",AC2218=1),0,1)</f>
        <v>1</v>
      </c>
      <c r="AF2218" s="62" t="n">
        <v>1</v>
      </c>
    </row>
    <row r="2219" customFormat="false" ht="15" hidden="false" customHeight="false" outlineLevel="0" collapsed="false">
      <c r="A2219" s="62" t="n">
        <v>2218</v>
      </c>
      <c r="B2219" s="63" t="n">
        <v>46284.1894907407</v>
      </c>
      <c r="C2219" s="64" t="n">
        <v>46283</v>
      </c>
      <c r="D2219" s="62" t="s">
        <v>288</v>
      </c>
      <c r="E2219" s="62" t="s">
        <v>2722</v>
      </c>
      <c r="F2219" s="62" t="s">
        <v>2722</v>
      </c>
      <c r="G2219" s="62" t="s">
        <v>2723</v>
      </c>
      <c r="H2219" s="62" t="s">
        <v>55</v>
      </c>
      <c r="I2219" s="62" t="s">
        <v>49</v>
      </c>
      <c r="J2219" s="62" t="s">
        <v>146</v>
      </c>
      <c r="K2219" s="62" t="s">
        <v>209</v>
      </c>
      <c r="L2219" s="62" t="s">
        <v>148</v>
      </c>
      <c r="M2219" s="62" t="n">
        <v>0</v>
      </c>
      <c r="N2219" s="62" t="n">
        <v>1</v>
      </c>
      <c r="O2219" s="62" t="n">
        <v>1</v>
      </c>
      <c r="P2219" s="62" t="n">
        <v>1</v>
      </c>
      <c r="Q2219" s="62" t="n">
        <v>0</v>
      </c>
      <c r="R2219" s="62" t="n">
        <v>0</v>
      </c>
      <c r="S2219" s="62" t="n">
        <v>0</v>
      </c>
      <c r="T2219" s="62" t="n">
        <v>0</v>
      </c>
      <c r="U2219" s="62"/>
      <c r="V2219" s="62"/>
      <c r="W2219" s="62"/>
      <c r="X2219" s="62"/>
      <c r="Y2219" s="62"/>
      <c r="Z2219" s="62" t="s">
        <v>4030</v>
      </c>
      <c r="AA2219" s="62" t="s">
        <v>4031</v>
      </c>
      <c r="AB2219" s="62" t="n">
        <v>1</v>
      </c>
      <c r="AC2219" s="62" t="n">
        <v>0</v>
      </c>
      <c r="AD2219" s="62" t="n">
        <v>1</v>
      </c>
      <c r="AE2219" s="62" t="n">
        <f aca="false">IF(AND(Dashboard!$C$9="Yes",AC2219=1),0,1)</f>
        <v>1</v>
      </c>
      <c r="AF2219" s="62" t="n">
        <v>0</v>
      </c>
    </row>
    <row r="2220" customFormat="false" ht="15" hidden="false" customHeight="false" outlineLevel="0" collapsed="false">
      <c r="A2220" s="62" t="n">
        <v>2219</v>
      </c>
      <c r="B2220" s="63" t="n">
        <v>46284.2290740741</v>
      </c>
      <c r="C2220" s="64" t="n">
        <v>46283</v>
      </c>
      <c r="D2220" s="62" t="s">
        <v>288</v>
      </c>
      <c r="E2220" s="62" t="s">
        <v>2395</v>
      </c>
      <c r="F2220" s="62" t="s">
        <v>2395</v>
      </c>
      <c r="G2220" s="62" t="s">
        <v>2396</v>
      </c>
      <c r="H2220" s="62" t="s">
        <v>59</v>
      </c>
      <c r="I2220" s="62" t="s">
        <v>47</v>
      </c>
      <c r="J2220" s="62" t="s">
        <v>146</v>
      </c>
      <c r="K2220" s="62" t="s">
        <v>209</v>
      </c>
      <c r="L2220" s="62" t="s">
        <v>4</v>
      </c>
      <c r="M2220" s="62" t="n">
        <v>1</v>
      </c>
      <c r="N2220" s="62" t="n">
        <v>0</v>
      </c>
      <c r="O2220" s="62" t="n">
        <v>1</v>
      </c>
      <c r="P2220" s="62" t="n">
        <v>0</v>
      </c>
      <c r="Q2220" s="62" t="n">
        <v>0</v>
      </c>
      <c r="R2220" s="62" t="n">
        <v>0</v>
      </c>
      <c r="S2220" s="62" t="n">
        <v>0</v>
      </c>
      <c r="T2220" s="62" t="n">
        <v>0</v>
      </c>
      <c r="U2220" s="62" t="s">
        <v>2056</v>
      </c>
      <c r="V2220" s="62" t="s">
        <v>2057</v>
      </c>
      <c r="W2220" s="62" t="s">
        <v>15</v>
      </c>
      <c r="X2220" s="62" t="s">
        <v>2125</v>
      </c>
      <c r="Y2220" s="62" t="s">
        <v>2103</v>
      </c>
      <c r="Z2220" s="62" t="s">
        <v>4032</v>
      </c>
      <c r="AA2220" s="62" t="s">
        <v>4033</v>
      </c>
      <c r="AB2220" s="62" t="n">
        <v>1</v>
      </c>
      <c r="AC2220" s="62" t="n">
        <v>0</v>
      </c>
      <c r="AD2220" s="62" t="n">
        <v>1</v>
      </c>
      <c r="AE2220" s="62" t="n">
        <f aca="false">IF(AND(Dashboard!$C$9="Yes",AC2220=1),0,1)</f>
        <v>1</v>
      </c>
      <c r="AF2220" s="62" t="n">
        <v>1</v>
      </c>
    </row>
    <row r="2221" customFormat="false" ht="15" hidden="false" customHeight="false" outlineLevel="0" collapsed="false">
      <c r="A2221" s="62" t="n">
        <v>2220</v>
      </c>
      <c r="B2221" s="63" t="n">
        <v>46284.2557407407</v>
      </c>
      <c r="C2221" s="64" t="n">
        <v>46283</v>
      </c>
      <c r="D2221" s="62" t="s">
        <v>288</v>
      </c>
      <c r="E2221" s="62" t="s">
        <v>2637</v>
      </c>
      <c r="F2221" s="62" t="s">
        <v>2637</v>
      </c>
      <c r="G2221" s="62" t="s">
        <v>2638</v>
      </c>
      <c r="H2221" s="62" t="s">
        <v>52</v>
      </c>
      <c r="I2221" s="62" t="s">
        <v>47</v>
      </c>
      <c r="J2221" s="62" t="s">
        <v>146</v>
      </c>
      <c r="K2221" s="62" t="s">
        <v>147</v>
      </c>
      <c r="L2221" s="62" t="s">
        <v>4</v>
      </c>
      <c r="M2221" s="62" t="n">
        <v>1</v>
      </c>
      <c r="N2221" s="62" t="n">
        <v>0</v>
      </c>
      <c r="O2221" s="62" t="n">
        <v>1</v>
      </c>
      <c r="P2221" s="62" t="n">
        <v>0</v>
      </c>
      <c r="Q2221" s="62" t="n">
        <v>0</v>
      </c>
      <c r="R2221" s="62" t="n">
        <v>0</v>
      </c>
      <c r="S2221" s="62" t="n">
        <v>0</v>
      </c>
      <c r="T2221" s="62" t="n">
        <v>0</v>
      </c>
      <c r="U2221" s="62" t="s">
        <v>2056</v>
      </c>
      <c r="V2221" s="62" t="s">
        <v>2057</v>
      </c>
      <c r="W2221" s="62" t="s">
        <v>2056</v>
      </c>
      <c r="X2221" s="62"/>
      <c r="Y2221" s="62" t="s">
        <v>2059</v>
      </c>
      <c r="Z2221" s="62" t="s">
        <v>4034</v>
      </c>
      <c r="AA2221" s="62" t="s">
        <v>4035</v>
      </c>
      <c r="AB2221" s="62" t="n">
        <v>1</v>
      </c>
      <c r="AC2221" s="62" t="n">
        <v>0</v>
      </c>
      <c r="AD2221" s="62" t="n">
        <v>1</v>
      </c>
      <c r="AE2221" s="62" t="n">
        <f aca="false">IF(AND(Dashboard!$C$9="Yes",AC2221=1),0,1)</f>
        <v>1</v>
      </c>
      <c r="AF2221" s="62" t="n">
        <v>1</v>
      </c>
    </row>
    <row r="2222" customFormat="false" ht="15" hidden="false" customHeight="false" outlineLevel="0" collapsed="false">
      <c r="A2222" s="62" t="n">
        <v>2221</v>
      </c>
      <c r="B2222" s="63" t="n">
        <v>46284.2614351852</v>
      </c>
      <c r="C2222" s="64" t="n">
        <v>46283</v>
      </c>
      <c r="D2222" s="62" t="s">
        <v>288</v>
      </c>
      <c r="E2222" s="62" t="s">
        <v>1314</v>
      </c>
      <c r="F2222" s="62" t="s">
        <v>1314</v>
      </c>
      <c r="G2222" s="62" t="s">
        <v>1315</v>
      </c>
      <c r="H2222" s="62" t="s">
        <v>51</v>
      </c>
      <c r="I2222" s="62" t="s">
        <v>47</v>
      </c>
      <c r="J2222" s="62" t="s">
        <v>146</v>
      </c>
      <c r="K2222" s="62" t="s">
        <v>209</v>
      </c>
      <c r="L2222" s="62" t="s">
        <v>4</v>
      </c>
      <c r="M2222" s="62" t="n">
        <v>1</v>
      </c>
      <c r="N2222" s="62" t="n">
        <v>0</v>
      </c>
      <c r="O2222" s="62" t="n">
        <v>1</v>
      </c>
      <c r="P2222" s="62" t="n">
        <v>0</v>
      </c>
      <c r="Q2222" s="62" t="n">
        <v>0</v>
      </c>
      <c r="R2222" s="62" t="n">
        <v>0</v>
      </c>
      <c r="S2222" s="62" t="n">
        <v>0</v>
      </c>
      <c r="T2222" s="62" t="n">
        <v>0</v>
      </c>
      <c r="U2222" s="62" t="s">
        <v>2056</v>
      </c>
      <c r="V2222" s="62" t="s">
        <v>2057</v>
      </c>
      <c r="W2222" s="62" t="s">
        <v>15</v>
      </c>
      <c r="X2222" s="62" t="s">
        <v>2180</v>
      </c>
      <c r="Y2222" s="62" t="s">
        <v>2059</v>
      </c>
      <c r="Z2222" s="62" t="s">
        <v>4036</v>
      </c>
      <c r="AA2222" s="62" t="s">
        <v>4037</v>
      </c>
      <c r="AB2222" s="62" t="n">
        <v>1</v>
      </c>
      <c r="AC2222" s="62" t="n">
        <v>0</v>
      </c>
      <c r="AD2222" s="62" t="n">
        <v>1</v>
      </c>
      <c r="AE2222" s="62" t="n">
        <f aca="false">IF(AND(Dashboard!$C$9="Yes",AC2222=1),0,1)</f>
        <v>1</v>
      </c>
      <c r="AF2222" s="62" t="n">
        <v>0</v>
      </c>
    </row>
    <row r="2223" customFormat="false" ht="15" hidden="false" customHeight="false" outlineLevel="0" collapsed="false">
      <c r="A2223" s="62" t="n">
        <v>2222</v>
      </c>
      <c r="B2223" s="63" t="n">
        <v>46284.2756134259</v>
      </c>
      <c r="C2223" s="64" t="n">
        <v>46283</v>
      </c>
      <c r="D2223" s="62" t="s">
        <v>288</v>
      </c>
      <c r="E2223" s="62" t="s">
        <v>414</v>
      </c>
      <c r="F2223" s="62" t="s">
        <v>414</v>
      </c>
      <c r="G2223" s="62" t="s">
        <v>415</v>
      </c>
      <c r="H2223" s="62" t="s">
        <v>57</v>
      </c>
      <c r="I2223" s="62" t="s">
        <v>47</v>
      </c>
      <c r="J2223" s="62" t="s">
        <v>146</v>
      </c>
      <c r="K2223" s="62" t="s">
        <v>147</v>
      </c>
      <c r="L2223" s="62" t="s">
        <v>148</v>
      </c>
      <c r="M2223" s="62" t="n">
        <v>0</v>
      </c>
      <c r="N2223" s="62" t="n">
        <v>1</v>
      </c>
      <c r="O2223" s="62" t="n">
        <v>1</v>
      </c>
      <c r="P2223" s="62" t="n">
        <v>1</v>
      </c>
      <c r="Q2223" s="62" t="n">
        <v>0</v>
      </c>
      <c r="R2223" s="62" t="n">
        <v>0</v>
      </c>
      <c r="S2223" s="62" t="n">
        <v>0</v>
      </c>
      <c r="T2223" s="62" t="n">
        <v>0</v>
      </c>
      <c r="U2223" s="62"/>
      <c r="V2223" s="62"/>
      <c r="W2223" s="62"/>
      <c r="X2223" s="62"/>
      <c r="Y2223" s="62"/>
      <c r="Z2223" s="62" t="s">
        <v>4038</v>
      </c>
      <c r="AA2223" s="62" t="s">
        <v>4039</v>
      </c>
      <c r="AB2223" s="62" t="n">
        <v>1</v>
      </c>
      <c r="AC2223" s="62" t="n">
        <v>0</v>
      </c>
      <c r="AD2223" s="62" t="n">
        <v>1</v>
      </c>
      <c r="AE2223" s="62" t="n">
        <f aca="false">IF(AND(Dashboard!$C$9="Yes",AC2223=1),0,1)</f>
        <v>1</v>
      </c>
      <c r="AF2223" s="62" t="n">
        <v>1</v>
      </c>
    </row>
    <row r="2224" customFormat="false" ht="15" hidden="false" customHeight="false" outlineLevel="0" collapsed="false">
      <c r="A2224" s="62" t="n">
        <v>2223</v>
      </c>
      <c r="B2224" s="63" t="n">
        <v>46284.2758680556</v>
      </c>
      <c r="C2224" s="64" t="n">
        <v>46283</v>
      </c>
      <c r="D2224" s="62" t="s">
        <v>288</v>
      </c>
      <c r="E2224" s="62" t="s">
        <v>1314</v>
      </c>
      <c r="F2224" s="62" t="s">
        <v>1314</v>
      </c>
      <c r="G2224" s="62" t="s">
        <v>1315</v>
      </c>
      <c r="H2224" s="62" t="s">
        <v>51</v>
      </c>
      <c r="I2224" s="62" t="s">
        <v>47</v>
      </c>
      <c r="J2224" s="62" t="s">
        <v>146</v>
      </c>
      <c r="K2224" s="62" t="s">
        <v>209</v>
      </c>
      <c r="L2224" s="62" t="s">
        <v>4</v>
      </c>
      <c r="M2224" s="62" t="n">
        <v>1</v>
      </c>
      <c r="N2224" s="62" t="n">
        <v>0</v>
      </c>
      <c r="O2224" s="62" t="n">
        <v>1</v>
      </c>
      <c r="P2224" s="62" t="n">
        <v>0</v>
      </c>
      <c r="Q2224" s="62" t="n">
        <v>0</v>
      </c>
      <c r="R2224" s="62" t="n">
        <v>0</v>
      </c>
      <c r="S2224" s="62" t="n">
        <v>0</v>
      </c>
      <c r="T2224" s="62" t="n">
        <v>0</v>
      </c>
      <c r="U2224" s="62" t="s">
        <v>2056</v>
      </c>
      <c r="V2224" s="62" t="s">
        <v>2057</v>
      </c>
      <c r="W2224" s="62" t="s">
        <v>15</v>
      </c>
      <c r="X2224" s="62"/>
      <c r="Y2224" s="62" t="s">
        <v>2059</v>
      </c>
      <c r="Z2224" s="62" t="s">
        <v>4036</v>
      </c>
      <c r="AA2224" s="62" t="s">
        <v>4037</v>
      </c>
      <c r="AB2224" s="62" t="n">
        <v>1</v>
      </c>
      <c r="AC2224" s="62" t="n">
        <v>1</v>
      </c>
      <c r="AD2224" s="62" t="n">
        <v>1</v>
      </c>
      <c r="AE2224" s="62" t="n">
        <f aca="false">IF(AND(Dashboard!$C$9="Yes",AC2224=1),0,1)</f>
        <v>0</v>
      </c>
      <c r="AF2224" s="62" t="n">
        <v>0</v>
      </c>
    </row>
    <row r="2225" customFormat="false" ht="15" hidden="false" customHeight="false" outlineLevel="0" collapsed="false">
      <c r="A2225" s="62" t="n">
        <v>2224</v>
      </c>
      <c r="B2225" s="63" t="n">
        <v>46284.6426388889</v>
      </c>
      <c r="C2225" s="64" t="n">
        <v>46284</v>
      </c>
      <c r="D2225" s="62" t="s">
        <v>358</v>
      </c>
      <c r="E2225" s="62" t="s">
        <v>586</v>
      </c>
      <c r="F2225" s="62" t="s">
        <v>586</v>
      </c>
      <c r="G2225" s="62" t="s">
        <v>587</v>
      </c>
      <c r="H2225" s="62" t="s">
        <v>57</v>
      </c>
      <c r="I2225" s="62" t="s">
        <v>47</v>
      </c>
      <c r="J2225" s="62" t="s">
        <v>146</v>
      </c>
      <c r="K2225" s="62" t="s">
        <v>175</v>
      </c>
      <c r="L2225" s="62" t="s">
        <v>148</v>
      </c>
      <c r="M2225" s="62" t="n">
        <v>0</v>
      </c>
      <c r="N2225" s="62" t="n">
        <v>2</v>
      </c>
      <c r="O2225" s="62" t="n">
        <v>2</v>
      </c>
      <c r="P2225" s="62" t="n">
        <v>1</v>
      </c>
      <c r="Q2225" s="62" t="n">
        <v>1</v>
      </c>
      <c r="R2225" s="62" t="n">
        <v>0</v>
      </c>
      <c r="S2225" s="62" t="n">
        <v>0</v>
      </c>
      <c r="T2225" s="62" t="n">
        <v>0</v>
      </c>
      <c r="U2225" s="62"/>
      <c r="V2225" s="62"/>
      <c r="W2225" s="62"/>
      <c r="X2225" s="62"/>
      <c r="Y2225" s="62"/>
      <c r="Z2225" s="62" t="s">
        <v>4040</v>
      </c>
      <c r="AA2225" s="62" t="s">
        <v>4041</v>
      </c>
      <c r="AB2225" s="62" t="n">
        <v>1</v>
      </c>
      <c r="AC2225" s="62" t="n">
        <v>0</v>
      </c>
      <c r="AD2225" s="62" t="n">
        <v>1</v>
      </c>
      <c r="AE2225" s="62" t="n">
        <f aca="false">IF(AND(Dashboard!$C$9="Yes",AC2225=1),0,1)</f>
        <v>1</v>
      </c>
      <c r="AF2225" s="62" t="n">
        <v>1</v>
      </c>
    </row>
    <row r="2226" customFormat="false" ht="15" hidden="false" customHeight="false" outlineLevel="0" collapsed="false">
      <c r="A2226" s="62" t="n">
        <v>2225</v>
      </c>
      <c r="B2226" s="63" t="n">
        <v>46284.682962963</v>
      </c>
      <c r="C2226" s="64" t="n">
        <v>46284</v>
      </c>
      <c r="D2226" s="62" t="s">
        <v>358</v>
      </c>
      <c r="E2226" s="62" t="s">
        <v>2464</v>
      </c>
      <c r="F2226" s="62" t="s">
        <v>2464</v>
      </c>
      <c r="G2226" s="62" t="s">
        <v>2465</v>
      </c>
      <c r="H2226" s="62" t="s">
        <v>59</v>
      </c>
      <c r="I2226" s="62" t="s">
        <v>47</v>
      </c>
      <c r="J2226" s="62" t="s">
        <v>146</v>
      </c>
      <c r="K2226" s="62" t="s">
        <v>175</v>
      </c>
      <c r="L2226" s="62" t="s">
        <v>4</v>
      </c>
      <c r="M2226" s="62" t="n">
        <v>1</v>
      </c>
      <c r="N2226" s="62" t="n">
        <v>0</v>
      </c>
      <c r="O2226" s="62" t="n">
        <v>1</v>
      </c>
      <c r="P2226" s="62" t="n">
        <v>0</v>
      </c>
      <c r="Q2226" s="62" t="n">
        <v>0</v>
      </c>
      <c r="R2226" s="62" t="n">
        <v>0</v>
      </c>
      <c r="S2226" s="62" t="n">
        <v>0</v>
      </c>
      <c r="T2226" s="62" t="n">
        <v>0</v>
      </c>
      <c r="U2226" s="62" t="s">
        <v>2056</v>
      </c>
      <c r="V2226" s="62" t="s">
        <v>2057</v>
      </c>
      <c r="W2226" s="62" t="s">
        <v>15</v>
      </c>
      <c r="X2226" s="62" t="s">
        <v>2058</v>
      </c>
      <c r="Y2226" s="62" t="s">
        <v>2103</v>
      </c>
      <c r="Z2226" s="62" t="s">
        <v>4042</v>
      </c>
      <c r="AA2226" s="62" t="s">
        <v>4043</v>
      </c>
      <c r="AB2226" s="62" t="n">
        <v>1</v>
      </c>
      <c r="AC2226" s="62" t="n">
        <v>0</v>
      </c>
      <c r="AD2226" s="62" t="n">
        <v>1</v>
      </c>
      <c r="AE2226" s="62" t="n">
        <f aca="false">IF(AND(Dashboard!$C$9="Yes",AC2226=1),0,1)</f>
        <v>1</v>
      </c>
      <c r="AF2226" s="62" t="n">
        <v>1</v>
      </c>
    </row>
    <row r="2227" customFormat="false" ht="15" hidden="false" customHeight="false" outlineLevel="0" collapsed="false">
      <c r="A2227" s="62" t="n">
        <v>2226</v>
      </c>
      <c r="B2227" s="63" t="n">
        <v>46284.7281944445</v>
      </c>
      <c r="C2227" s="64" t="n">
        <v>46284</v>
      </c>
      <c r="D2227" s="62" t="s">
        <v>358</v>
      </c>
      <c r="E2227" s="62" t="s">
        <v>2620</v>
      </c>
      <c r="F2227" s="62" t="s">
        <v>2620</v>
      </c>
      <c r="G2227" s="62" t="s">
        <v>2621</v>
      </c>
      <c r="H2227" s="62" t="s">
        <v>48</v>
      </c>
      <c r="I2227" s="62" t="s">
        <v>49</v>
      </c>
      <c r="J2227" s="62" t="s">
        <v>146</v>
      </c>
      <c r="K2227" s="62" t="s">
        <v>209</v>
      </c>
      <c r="L2227" s="62" t="s">
        <v>148</v>
      </c>
      <c r="M2227" s="62" t="n">
        <v>0</v>
      </c>
      <c r="N2227" s="62" t="n">
        <v>1</v>
      </c>
      <c r="O2227" s="62" t="n">
        <v>1</v>
      </c>
      <c r="P2227" s="62" t="n">
        <v>0</v>
      </c>
      <c r="Q2227" s="62" t="n">
        <v>1</v>
      </c>
      <c r="R2227" s="62" t="n">
        <v>0</v>
      </c>
      <c r="S2227" s="62" t="n">
        <v>0</v>
      </c>
      <c r="T2227" s="62" t="n">
        <v>0</v>
      </c>
      <c r="U2227" s="62"/>
      <c r="V2227" s="62"/>
      <c r="W2227" s="62"/>
      <c r="X2227" s="62"/>
      <c r="Y2227" s="62"/>
      <c r="Z2227" s="62" t="s">
        <v>4044</v>
      </c>
      <c r="AA2227" s="62" t="s">
        <v>4045</v>
      </c>
      <c r="AB2227" s="62" t="n">
        <v>1</v>
      </c>
      <c r="AC2227" s="62" t="n">
        <v>0</v>
      </c>
      <c r="AD2227" s="62" t="n">
        <v>1</v>
      </c>
      <c r="AE2227" s="62" t="n">
        <f aca="false">IF(AND(Dashboard!$C$9="Yes",AC2227=1),0,1)</f>
        <v>1</v>
      </c>
      <c r="AF2227" s="62" t="n">
        <v>1</v>
      </c>
    </row>
    <row r="2228" customFormat="false" ht="15" hidden="false" customHeight="false" outlineLevel="0" collapsed="false">
      <c r="A2228" s="62" t="n">
        <v>2227</v>
      </c>
      <c r="B2228" s="63" t="n">
        <v>46284.7742708333</v>
      </c>
      <c r="C2228" s="64" t="n">
        <v>46284</v>
      </c>
      <c r="D2228" s="62" t="s">
        <v>358</v>
      </c>
      <c r="E2228" s="62" t="s">
        <v>2228</v>
      </c>
      <c r="F2228" s="62" t="s">
        <v>2228</v>
      </c>
      <c r="G2228" s="62" t="s">
        <v>2229</v>
      </c>
      <c r="H2228" s="62" t="s">
        <v>58</v>
      </c>
      <c r="I2228" s="62" t="s">
        <v>49</v>
      </c>
      <c r="J2228" s="62" t="s">
        <v>146</v>
      </c>
      <c r="K2228" s="62" t="s">
        <v>209</v>
      </c>
      <c r="L2228" s="62" t="s">
        <v>148</v>
      </c>
      <c r="M2228" s="62" t="n">
        <v>0</v>
      </c>
      <c r="N2228" s="62" t="n">
        <v>1</v>
      </c>
      <c r="O2228" s="62" t="n">
        <v>1</v>
      </c>
      <c r="P2228" s="62" t="n">
        <v>0</v>
      </c>
      <c r="Q2228" s="62" t="n">
        <v>1</v>
      </c>
      <c r="R2228" s="62" t="n">
        <v>0</v>
      </c>
      <c r="S2228" s="62" t="n">
        <v>0</v>
      </c>
      <c r="T2228" s="62" t="n">
        <v>0</v>
      </c>
      <c r="U2228" s="62"/>
      <c r="V2228" s="62"/>
      <c r="W2228" s="62"/>
      <c r="X2228" s="62"/>
      <c r="Y2228" s="62"/>
      <c r="Z2228" s="62" t="s">
        <v>4046</v>
      </c>
      <c r="AA2228" s="62" t="s">
        <v>4047</v>
      </c>
      <c r="AB2228" s="62" t="n">
        <v>1</v>
      </c>
      <c r="AC2228" s="62" t="n">
        <v>0</v>
      </c>
      <c r="AD2228" s="62" t="n">
        <v>1</v>
      </c>
      <c r="AE2228" s="62" t="n">
        <f aca="false">IF(AND(Dashboard!$C$9="Yes",AC2228=1),0,1)</f>
        <v>1</v>
      </c>
      <c r="AF2228" s="62" t="n">
        <v>1</v>
      </c>
    </row>
    <row r="2229" customFormat="false" ht="15" hidden="false" customHeight="false" outlineLevel="0" collapsed="false">
      <c r="A2229" s="62" t="n">
        <v>2228</v>
      </c>
      <c r="B2229" s="63" t="n">
        <v>46284.7815625</v>
      </c>
      <c r="C2229" s="64" t="n">
        <v>46284</v>
      </c>
      <c r="D2229" s="62" t="s">
        <v>358</v>
      </c>
      <c r="E2229" s="62" t="s">
        <v>2530</v>
      </c>
      <c r="F2229" s="62" t="s">
        <v>2530</v>
      </c>
      <c r="G2229" s="62" t="s">
        <v>2531</v>
      </c>
      <c r="H2229" s="62" t="s">
        <v>48</v>
      </c>
      <c r="I2229" s="62" t="s">
        <v>49</v>
      </c>
      <c r="J2229" s="62" t="s">
        <v>146</v>
      </c>
      <c r="K2229" s="62" t="s">
        <v>209</v>
      </c>
      <c r="L2229" s="62" t="s">
        <v>148</v>
      </c>
      <c r="M2229" s="62" t="n">
        <v>0</v>
      </c>
      <c r="N2229" s="62" t="n">
        <v>1</v>
      </c>
      <c r="O2229" s="62" t="n">
        <v>1</v>
      </c>
      <c r="P2229" s="62" t="n">
        <v>1</v>
      </c>
      <c r="Q2229" s="62" t="n">
        <v>0</v>
      </c>
      <c r="R2229" s="62" t="n">
        <v>0</v>
      </c>
      <c r="S2229" s="62" t="n">
        <v>0</v>
      </c>
      <c r="T2229" s="62" t="n">
        <v>0</v>
      </c>
      <c r="U2229" s="62"/>
      <c r="V2229" s="62"/>
      <c r="W2229" s="62"/>
      <c r="X2229" s="62"/>
      <c r="Y2229" s="62"/>
      <c r="Z2229" s="62" t="s">
        <v>4048</v>
      </c>
      <c r="AA2229" s="62" t="s">
        <v>4049</v>
      </c>
      <c r="AB2229" s="62" t="n">
        <v>1</v>
      </c>
      <c r="AC2229" s="62" t="n">
        <v>0</v>
      </c>
      <c r="AD2229" s="62" t="n">
        <v>1</v>
      </c>
      <c r="AE2229" s="62" t="n">
        <f aca="false">IF(AND(Dashboard!$C$9="Yes",AC2229=1),0,1)</f>
        <v>1</v>
      </c>
      <c r="AF2229" s="62" t="n">
        <v>1</v>
      </c>
    </row>
    <row r="2230" customFormat="false" ht="15" hidden="false" customHeight="false" outlineLevel="0" collapsed="false">
      <c r="A2230" s="62" t="n">
        <v>2229</v>
      </c>
      <c r="B2230" s="63" t="n">
        <v>46284.7820486111</v>
      </c>
      <c r="C2230" s="64" t="n">
        <v>46284</v>
      </c>
      <c r="D2230" s="62" t="s">
        <v>358</v>
      </c>
      <c r="E2230" s="62" t="s">
        <v>2464</v>
      </c>
      <c r="F2230" s="62" t="s">
        <v>2464</v>
      </c>
      <c r="G2230" s="62" t="s">
        <v>2465</v>
      </c>
      <c r="H2230" s="62" t="s">
        <v>59</v>
      </c>
      <c r="I2230" s="62" t="s">
        <v>47</v>
      </c>
      <c r="J2230" s="62" t="s">
        <v>146</v>
      </c>
      <c r="K2230" s="62" t="s">
        <v>175</v>
      </c>
      <c r="L2230" s="62" t="s">
        <v>4</v>
      </c>
      <c r="M2230" s="62" t="n">
        <v>1</v>
      </c>
      <c r="N2230" s="62" t="n">
        <v>0</v>
      </c>
      <c r="O2230" s="62" t="n">
        <v>1</v>
      </c>
      <c r="P2230" s="62" t="n">
        <v>0</v>
      </c>
      <c r="Q2230" s="62" t="n">
        <v>0</v>
      </c>
      <c r="R2230" s="62" t="n">
        <v>0</v>
      </c>
      <c r="S2230" s="62" t="n">
        <v>0</v>
      </c>
      <c r="T2230" s="62" t="n">
        <v>0</v>
      </c>
      <c r="U2230" s="62" t="s">
        <v>2056</v>
      </c>
      <c r="V2230" s="62" t="s">
        <v>2057</v>
      </c>
      <c r="W2230" s="62" t="s">
        <v>2056</v>
      </c>
      <c r="X2230" s="62" t="s">
        <v>3214</v>
      </c>
      <c r="Y2230" s="62" t="s">
        <v>2059</v>
      </c>
      <c r="Z2230" s="62" t="s">
        <v>4050</v>
      </c>
      <c r="AA2230" s="62" t="s">
        <v>4051</v>
      </c>
      <c r="AB2230" s="62" t="n">
        <v>1</v>
      </c>
      <c r="AC2230" s="62" t="n">
        <v>0</v>
      </c>
      <c r="AD2230" s="62" t="n">
        <v>1</v>
      </c>
      <c r="AE2230" s="62" t="n">
        <f aca="false">IF(AND(Dashboard!$C$9="Yes",AC2230=1),0,1)</f>
        <v>1</v>
      </c>
      <c r="AF2230" s="62" t="n">
        <v>0</v>
      </c>
    </row>
    <row r="2231" customFormat="false" ht="15" hidden="false" customHeight="false" outlineLevel="0" collapsed="false">
      <c r="A2231" s="62" t="n">
        <v>2230</v>
      </c>
      <c r="B2231" s="63" t="n">
        <v>46284.8024189815</v>
      </c>
      <c r="C2231" s="64" t="n">
        <v>46284</v>
      </c>
      <c r="D2231" s="62" t="s">
        <v>358</v>
      </c>
      <c r="E2231" s="62" t="s">
        <v>156</v>
      </c>
      <c r="F2231" s="62" t="s">
        <v>156</v>
      </c>
      <c r="G2231" s="62" t="s">
        <v>157</v>
      </c>
      <c r="H2231" s="62" t="s">
        <v>51</v>
      </c>
      <c r="I2231" s="62" t="s">
        <v>47</v>
      </c>
      <c r="J2231" s="62" t="s">
        <v>146</v>
      </c>
      <c r="K2231" s="62" t="s">
        <v>147</v>
      </c>
      <c r="L2231" s="62" t="s">
        <v>148</v>
      </c>
      <c r="M2231" s="62" t="n">
        <v>0</v>
      </c>
      <c r="N2231" s="62" t="n">
        <v>1</v>
      </c>
      <c r="O2231" s="62" t="n">
        <v>1</v>
      </c>
      <c r="P2231" s="62" t="n">
        <v>1</v>
      </c>
      <c r="Q2231" s="62" t="n">
        <v>0</v>
      </c>
      <c r="R2231" s="62" t="n">
        <v>0</v>
      </c>
      <c r="S2231" s="62" t="n">
        <v>0</v>
      </c>
      <c r="T2231" s="62" t="n">
        <v>0</v>
      </c>
      <c r="U2231" s="62"/>
      <c r="V2231" s="62"/>
      <c r="W2231" s="62"/>
      <c r="X2231" s="62"/>
      <c r="Y2231" s="62"/>
      <c r="Z2231" s="62" t="s">
        <v>4052</v>
      </c>
      <c r="AA2231" s="62" t="s">
        <v>4053</v>
      </c>
      <c r="AB2231" s="62" t="n">
        <v>1</v>
      </c>
      <c r="AC2231" s="62" t="n">
        <v>0</v>
      </c>
      <c r="AD2231" s="62" t="n">
        <v>1</v>
      </c>
      <c r="AE2231" s="62" t="n">
        <f aca="false">IF(AND(Dashboard!$C$9="Yes",AC2231=1),0,1)</f>
        <v>1</v>
      </c>
      <c r="AF2231" s="62" t="n">
        <v>1</v>
      </c>
    </row>
    <row r="2232" customFormat="false" ht="15" hidden="false" customHeight="false" outlineLevel="0" collapsed="false">
      <c r="A2232" s="62" t="n">
        <v>2231</v>
      </c>
      <c r="B2232" s="63" t="n">
        <v>46284.808287037</v>
      </c>
      <c r="C2232" s="64" t="n">
        <v>46284</v>
      </c>
      <c r="D2232" s="62" t="s">
        <v>358</v>
      </c>
      <c r="E2232" s="62" t="s">
        <v>218</v>
      </c>
      <c r="F2232" s="62" t="s">
        <v>218</v>
      </c>
      <c r="G2232" s="62" t="s">
        <v>219</v>
      </c>
      <c r="H2232" s="62" t="s">
        <v>51</v>
      </c>
      <c r="I2232" s="62" t="s">
        <v>47</v>
      </c>
      <c r="J2232" s="62" t="s">
        <v>146</v>
      </c>
      <c r="K2232" s="62" t="s">
        <v>147</v>
      </c>
      <c r="L2232" s="62" t="s">
        <v>148</v>
      </c>
      <c r="M2232" s="62" t="n">
        <v>0</v>
      </c>
      <c r="N2232" s="62" t="n">
        <v>1</v>
      </c>
      <c r="O2232" s="62" t="n">
        <v>1</v>
      </c>
      <c r="P2232" s="62" t="n">
        <v>1</v>
      </c>
      <c r="Q2232" s="62" t="n">
        <v>0</v>
      </c>
      <c r="R2232" s="62" t="n">
        <v>0</v>
      </c>
      <c r="S2232" s="62" t="n">
        <v>0</v>
      </c>
      <c r="T2232" s="62" t="n">
        <v>0</v>
      </c>
      <c r="U2232" s="62"/>
      <c r="V2232" s="62"/>
      <c r="W2232" s="62"/>
      <c r="X2232" s="62"/>
      <c r="Y2232" s="62"/>
      <c r="Z2232" s="62" t="s">
        <v>4054</v>
      </c>
      <c r="AA2232" s="62" t="s">
        <v>4055</v>
      </c>
      <c r="AB2232" s="62" t="n">
        <v>1</v>
      </c>
      <c r="AC2232" s="62" t="n">
        <v>0</v>
      </c>
      <c r="AD2232" s="62" t="n">
        <v>1</v>
      </c>
      <c r="AE2232" s="62" t="n">
        <f aca="false">IF(AND(Dashboard!$C$9="Yes",AC2232=1),0,1)</f>
        <v>1</v>
      </c>
      <c r="AF2232" s="62" t="n">
        <v>1</v>
      </c>
    </row>
    <row r="2233" customFormat="false" ht="15" hidden="false" customHeight="false" outlineLevel="0" collapsed="false">
      <c r="A2233" s="62" t="n">
        <v>2232</v>
      </c>
      <c r="B2233" s="63" t="n">
        <v>46284.8222453704</v>
      </c>
      <c r="C2233" s="64" t="n">
        <v>46284</v>
      </c>
      <c r="D2233" s="62" t="s">
        <v>358</v>
      </c>
      <c r="E2233" s="62" t="s">
        <v>3148</v>
      </c>
      <c r="F2233" s="62" t="s">
        <v>3148</v>
      </c>
      <c r="G2233" s="62" t="s">
        <v>3149</v>
      </c>
      <c r="H2233" s="62" t="s">
        <v>46</v>
      </c>
      <c r="I2233" s="62" t="s">
        <v>47</v>
      </c>
      <c r="J2233" s="62" t="s">
        <v>146</v>
      </c>
      <c r="K2233" s="62" t="s">
        <v>209</v>
      </c>
      <c r="L2233" s="62" t="s">
        <v>4</v>
      </c>
      <c r="M2233" s="62" t="n">
        <v>1</v>
      </c>
      <c r="N2233" s="62" t="n">
        <v>0</v>
      </c>
      <c r="O2233" s="62" t="n">
        <v>1</v>
      </c>
      <c r="P2233" s="62" t="n">
        <v>0</v>
      </c>
      <c r="Q2233" s="62" t="n">
        <v>0</v>
      </c>
      <c r="R2233" s="62" t="n">
        <v>0</v>
      </c>
      <c r="S2233" s="62" t="n">
        <v>0</v>
      </c>
      <c r="T2233" s="62" t="n">
        <v>0</v>
      </c>
      <c r="U2233" s="62" t="s">
        <v>2056</v>
      </c>
      <c r="V2233" s="62" t="s">
        <v>2057</v>
      </c>
      <c r="W2233" s="62" t="s">
        <v>15</v>
      </c>
      <c r="X2233" s="62" t="s">
        <v>2058</v>
      </c>
      <c r="Y2233" s="62" t="s">
        <v>2059</v>
      </c>
      <c r="Z2233" s="62" t="s">
        <v>4056</v>
      </c>
      <c r="AA2233" s="62" t="s">
        <v>4057</v>
      </c>
      <c r="AB2233" s="62" t="n">
        <v>1</v>
      </c>
      <c r="AC2233" s="62" t="n">
        <v>0</v>
      </c>
      <c r="AD2233" s="62" t="n">
        <v>1</v>
      </c>
      <c r="AE2233" s="62" t="n">
        <f aca="false">IF(AND(Dashboard!$C$9="Yes",AC2233=1),0,1)</f>
        <v>1</v>
      </c>
      <c r="AF2233" s="62" t="n">
        <v>1</v>
      </c>
    </row>
    <row r="2234" customFormat="false" ht="15" hidden="false" customHeight="false" outlineLevel="0" collapsed="false">
      <c r="A2234" s="62" t="n">
        <v>2233</v>
      </c>
      <c r="B2234" s="63" t="n">
        <v>46284.8253009259</v>
      </c>
      <c r="C2234" s="64" t="n">
        <v>46284</v>
      </c>
      <c r="D2234" s="62" t="s">
        <v>358</v>
      </c>
      <c r="E2234" s="62" t="s">
        <v>3869</v>
      </c>
      <c r="F2234" s="62" t="s">
        <v>3869</v>
      </c>
      <c r="G2234" s="62" t="s">
        <v>3870</v>
      </c>
      <c r="H2234" s="62" t="s">
        <v>59</v>
      </c>
      <c r="I2234" s="62" t="s">
        <v>47</v>
      </c>
      <c r="J2234" s="62" t="s">
        <v>146</v>
      </c>
      <c r="K2234" s="62" t="s">
        <v>209</v>
      </c>
      <c r="L2234" s="62" t="s">
        <v>4</v>
      </c>
      <c r="M2234" s="62" t="n">
        <v>2</v>
      </c>
      <c r="N2234" s="62" t="n">
        <v>0</v>
      </c>
      <c r="O2234" s="62" t="n">
        <v>2</v>
      </c>
      <c r="P2234" s="62" t="n">
        <v>0</v>
      </c>
      <c r="Q2234" s="62" t="n">
        <v>0</v>
      </c>
      <c r="R2234" s="62" t="n">
        <v>0</v>
      </c>
      <c r="S2234" s="62" t="n">
        <v>0</v>
      </c>
      <c r="T2234" s="62" t="n">
        <v>0</v>
      </c>
      <c r="U2234" s="62" t="s">
        <v>15</v>
      </c>
      <c r="V2234" s="62" t="s">
        <v>2068</v>
      </c>
      <c r="W2234" s="62"/>
      <c r="X2234" s="62" t="s">
        <v>2125</v>
      </c>
      <c r="Y2234" s="62" t="s">
        <v>2181</v>
      </c>
      <c r="Z2234" s="62" t="s">
        <v>4058</v>
      </c>
      <c r="AA2234" s="62" t="s">
        <v>4059</v>
      </c>
      <c r="AB2234" s="62" t="n">
        <v>1</v>
      </c>
      <c r="AC2234" s="62" t="n">
        <v>0</v>
      </c>
      <c r="AD2234" s="62" t="n">
        <v>1</v>
      </c>
      <c r="AE2234" s="62" t="n">
        <f aca="false">IF(AND(Dashboard!$C$9="Yes",AC2234=1),0,1)</f>
        <v>1</v>
      </c>
      <c r="AF2234" s="62" t="n">
        <v>1</v>
      </c>
    </row>
    <row r="2235" customFormat="false" ht="15" hidden="false" customHeight="false" outlineLevel="0" collapsed="false">
      <c r="A2235" s="62" t="n">
        <v>2234</v>
      </c>
      <c r="B2235" s="63" t="n">
        <v>46284.8280671296</v>
      </c>
      <c r="C2235" s="64" t="n">
        <v>46284</v>
      </c>
      <c r="D2235" s="62" t="s">
        <v>358</v>
      </c>
      <c r="E2235" s="62" t="s">
        <v>2228</v>
      </c>
      <c r="F2235" s="62" t="s">
        <v>2228</v>
      </c>
      <c r="G2235" s="62" t="s">
        <v>2229</v>
      </c>
      <c r="H2235" s="62" t="s">
        <v>58</v>
      </c>
      <c r="I2235" s="62" t="s">
        <v>49</v>
      </c>
      <c r="J2235" s="62" t="s">
        <v>146</v>
      </c>
      <c r="K2235" s="62" t="s">
        <v>209</v>
      </c>
      <c r="L2235" s="62" t="s">
        <v>148</v>
      </c>
      <c r="M2235" s="62" t="n">
        <v>0</v>
      </c>
      <c r="N2235" s="62" t="n">
        <v>1</v>
      </c>
      <c r="O2235" s="62" t="n">
        <v>1</v>
      </c>
      <c r="P2235" s="62" t="n">
        <v>1</v>
      </c>
      <c r="Q2235" s="62" t="n">
        <v>0</v>
      </c>
      <c r="R2235" s="62" t="n">
        <v>0</v>
      </c>
      <c r="S2235" s="62" t="n">
        <v>0</v>
      </c>
      <c r="T2235" s="62" t="n">
        <v>0</v>
      </c>
      <c r="U2235" s="62"/>
      <c r="V2235" s="62"/>
      <c r="W2235" s="62"/>
      <c r="X2235" s="62"/>
      <c r="Y2235" s="62"/>
      <c r="Z2235" s="62" t="s">
        <v>4060</v>
      </c>
      <c r="AA2235" s="62" t="s">
        <v>4061</v>
      </c>
      <c r="AB2235" s="62" t="n">
        <v>1</v>
      </c>
      <c r="AC2235" s="62" t="n">
        <v>0</v>
      </c>
      <c r="AD2235" s="62" t="n">
        <v>1</v>
      </c>
      <c r="AE2235" s="62" t="n">
        <f aca="false">IF(AND(Dashboard!$C$9="Yes",AC2235=1),0,1)</f>
        <v>1</v>
      </c>
      <c r="AF2235" s="62" t="n">
        <v>0</v>
      </c>
    </row>
    <row r="2236" customFormat="false" ht="15" hidden="false" customHeight="false" outlineLevel="0" collapsed="false">
      <c r="A2236" s="62" t="n">
        <v>2235</v>
      </c>
      <c r="B2236" s="63" t="n">
        <v>46284.8332060185</v>
      </c>
      <c r="C2236" s="64" t="n">
        <v>46284</v>
      </c>
      <c r="D2236" s="62" t="s">
        <v>358</v>
      </c>
      <c r="E2236" s="62" t="s">
        <v>1445</v>
      </c>
      <c r="F2236" s="62" t="s">
        <v>1445</v>
      </c>
      <c r="G2236" s="62" t="s">
        <v>1446</v>
      </c>
      <c r="H2236" s="62" t="s">
        <v>58</v>
      </c>
      <c r="I2236" s="62" t="s">
        <v>49</v>
      </c>
      <c r="J2236" s="62" t="s">
        <v>146</v>
      </c>
      <c r="K2236" s="62" t="s">
        <v>175</v>
      </c>
      <c r="L2236" s="62" t="s">
        <v>148</v>
      </c>
      <c r="M2236" s="62" t="n">
        <v>0</v>
      </c>
      <c r="N2236" s="62" t="n">
        <v>1</v>
      </c>
      <c r="O2236" s="62" t="n">
        <v>1</v>
      </c>
      <c r="P2236" s="62" t="n">
        <v>1</v>
      </c>
      <c r="Q2236" s="62" t="n">
        <v>0</v>
      </c>
      <c r="R2236" s="62" t="n">
        <v>0</v>
      </c>
      <c r="S2236" s="62" t="n">
        <v>0</v>
      </c>
      <c r="T2236" s="62" t="n">
        <v>0</v>
      </c>
      <c r="U2236" s="62"/>
      <c r="V2236" s="62"/>
      <c r="W2236" s="62"/>
      <c r="X2236" s="62"/>
      <c r="Y2236" s="62"/>
      <c r="Z2236" s="62" t="s">
        <v>4062</v>
      </c>
      <c r="AA2236" s="62" t="s">
        <v>4063</v>
      </c>
      <c r="AB2236" s="62" t="n">
        <v>1</v>
      </c>
      <c r="AC2236" s="62" t="n">
        <v>0</v>
      </c>
      <c r="AD2236" s="62" t="n">
        <v>1</v>
      </c>
      <c r="AE2236" s="62" t="n">
        <f aca="false">IF(AND(Dashboard!$C$9="Yes",AC2236=1),0,1)</f>
        <v>1</v>
      </c>
      <c r="AF2236" s="62" t="n">
        <v>1</v>
      </c>
    </row>
    <row r="2237" customFormat="false" ht="15" hidden="false" customHeight="false" outlineLevel="0" collapsed="false">
      <c r="A2237" s="62" t="n">
        <v>2236</v>
      </c>
      <c r="B2237" s="63" t="n">
        <v>46284.8532060185</v>
      </c>
      <c r="C2237" s="64" t="n">
        <v>46284</v>
      </c>
      <c r="D2237" s="62" t="s">
        <v>358</v>
      </c>
      <c r="E2237" s="62" t="s">
        <v>1005</v>
      </c>
      <c r="F2237" s="62" t="s">
        <v>1005</v>
      </c>
      <c r="G2237" s="62" t="s">
        <v>1006</v>
      </c>
      <c r="H2237" s="62" t="s">
        <v>46</v>
      </c>
      <c r="I2237" s="62" t="s">
        <v>47</v>
      </c>
      <c r="J2237" s="62" t="s">
        <v>146</v>
      </c>
      <c r="K2237" s="62" t="s">
        <v>209</v>
      </c>
      <c r="L2237" s="62" t="s">
        <v>148</v>
      </c>
      <c r="M2237" s="62" t="n">
        <v>0</v>
      </c>
      <c r="N2237" s="62" t="n">
        <v>1</v>
      </c>
      <c r="O2237" s="62" t="n">
        <v>1</v>
      </c>
      <c r="P2237" s="62" t="n">
        <v>1</v>
      </c>
      <c r="Q2237" s="62" t="n">
        <v>0</v>
      </c>
      <c r="R2237" s="62" t="n">
        <v>0</v>
      </c>
      <c r="S2237" s="62" t="n">
        <v>0</v>
      </c>
      <c r="T2237" s="62" t="n">
        <v>0</v>
      </c>
      <c r="U2237" s="62"/>
      <c r="V2237" s="62"/>
      <c r="W2237" s="62"/>
      <c r="X2237" s="62"/>
      <c r="Y2237" s="62"/>
      <c r="Z2237" s="62" t="s">
        <v>4064</v>
      </c>
      <c r="AA2237" s="62" t="s">
        <v>485</v>
      </c>
      <c r="AB2237" s="62" t="n">
        <v>0</v>
      </c>
      <c r="AC2237" s="62" t="n">
        <v>0</v>
      </c>
      <c r="AD2237" s="62" t="n">
        <v>1</v>
      </c>
      <c r="AE2237" s="62" t="n">
        <f aca="false">IF(AND(Dashboard!$C$9="Yes",AC2237=1),0,1)</f>
        <v>1</v>
      </c>
      <c r="AF2237" s="62" t="n">
        <v>1</v>
      </c>
    </row>
    <row r="2238" customFormat="false" ht="15" hidden="false" customHeight="false" outlineLevel="0" collapsed="false">
      <c r="A2238" s="62" t="n">
        <v>2237</v>
      </c>
      <c r="B2238" s="63" t="n">
        <v>46284.8567013889</v>
      </c>
      <c r="C2238" s="64" t="n">
        <v>46284</v>
      </c>
      <c r="D2238" s="62" t="s">
        <v>358</v>
      </c>
      <c r="E2238" s="62" t="s">
        <v>2050</v>
      </c>
      <c r="F2238" s="62" t="s">
        <v>2050</v>
      </c>
      <c r="G2238" s="62" t="s">
        <v>2051</v>
      </c>
      <c r="H2238" s="62" t="s">
        <v>46</v>
      </c>
      <c r="I2238" s="62" t="s">
        <v>47</v>
      </c>
      <c r="J2238" s="62" t="s">
        <v>146</v>
      </c>
      <c r="K2238" s="62" t="s">
        <v>209</v>
      </c>
      <c r="L2238" s="62" t="s">
        <v>148</v>
      </c>
      <c r="M2238" s="62" t="n">
        <v>0</v>
      </c>
      <c r="N2238" s="62" t="n">
        <v>1</v>
      </c>
      <c r="O2238" s="62" t="n">
        <v>1</v>
      </c>
      <c r="P2238" s="62" t="n">
        <v>1</v>
      </c>
      <c r="Q2238" s="62" t="n">
        <v>0</v>
      </c>
      <c r="R2238" s="62" t="n">
        <v>0</v>
      </c>
      <c r="S2238" s="62" t="n">
        <v>0</v>
      </c>
      <c r="T2238" s="62" t="n">
        <v>0</v>
      </c>
      <c r="U2238" s="62"/>
      <c r="V2238" s="62"/>
      <c r="W2238" s="62"/>
      <c r="X2238" s="62"/>
      <c r="Y2238" s="62"/>
      <c r="Z2238" s="62" t="s">
        <v>4065</v>
      </c>
      <c r="AA2238" s="62" t="s">
        <v>2076</v>
      </c>
      <c r="AB2238" s="62" t="n">
        <v>0</v>
      </c>
      <c r="AC2238" s="62" t="n">
        <v>0</v>
      </c>
      <c r="AD2238" s="62" t="n">
        <v>1</v>
      </c>
      <c r="AE2238" s="62" t="n">
        <f aca="false">IF(AND(Dashboard!$C$9="Yes",AC2238=1),0,1)</f>
        <v>1</v>
      </c>
      <c r="AF2238" s="62" t="n">
        <v>1</v>
      </c>
    </row>
    <row r="2239" customFormat="false" ht="15" hidden="false" customHeight="false" outlineLevel="0" collapsed="false">
      <c r="A2239" s="62" t="n">
        <v>2238</v>
      </c>
      <c r="B2239" s="63" t="n">
        <v>46284.862349537</v>
      </c>
      <c r="C2239" s="64" t="n">
        <v>46284</v>
      </c>
      <c r="D2239" s="62" t="s">
        <v>358</v>
      </c>
      <c r="E2239" s="62" t="s">
        <v>2228</v>
      </c>
      <c r="F2239" s="62" t="s">
        <v>2228</v>
      </c>
      <c r="G2239" s="62" t="s">
        <v>2229</v>
      </c>
      <c r="H2239" s="62" t="s">
        <v>58</v>
      </c>
      <c r="I2239" s="62" t="s">
        <v>49</v>
      </c>
      <c r="J2239" s="62" t="s">
        <v>146</v>
      </c>
      <c r="K2239" s="62" t="s">
        <v>209</v>
      </c>
      <c r="L2239" s="62" t="s">
        <v>148</v>
      </c>
      <c r="M2239" s="62" t="n">
        <v>0</v>
      </c>
      <c r="N2239" s="62" t="n">
        <v>1</v>
      </c>
      <c r="O2239" s="62" t="n">
        <v>1</v>
      </c>
      <c r="P2239" s="62" t="n">
        <v>0</v>
      </c>
      <c r="Q2239" s="62" t="n">
        <v>1</v>
      </c>
      <c r="R2239" s="62" t="n">
        <v>0</v>
      </c>
      <c r="S2239" s="62" t="n">
        <v>0</v>
      </c>
      <c r="T2239" s="62" t="n">
        <v>0</v>
      </c>
      <c r="U2239" s="62"/>
      <c r="V2239" s="62"/>
      <c r="W2239" s="62"/>
      <c r="X2239" s="62"/>
      <c r="Y2239" s="62"/>
      <c r="Z2239" s="62" t="s">
        <v>4066</v>
      </c>
      <c r="AA2239" s="62" t="s">
        <v>4067</v>
      </c>
      <c r="AB2239" s="62" t="n">
        <v>1</v>
      </c>
      <c r="AC2239" s="62" t="n">
        <v>0</v>
      </c>
      <c r="AD2239" s="62" t="n">
        <v>1</v>
      </c>
      <c r="AE2239" s="62" t="n">
        <f aca="false">IF(AND(Dashboard!$C$9="Yes",AC2239=1),0,1)</f>
        <v>1</v>
      </c>
      <c r="AF2239" s="62" t="n">
        <v>0</v>
      </c>
    </row>
    <row r="2240" customFormat="false" ht="15" hidden="false" customHeight="false" outlineLevel="0" collapsed="false">
      <c r="A2240" s="62" t="n">
        <v>2239</v>
      </c>
      <c r="B2240" s="63" t="n">
        <v>46284.8631481482</v>
      </c>
      <c r="C2240" s="64" t="n">
        <v>46284</v>
      </c>
      <c r="D2240" s="62" t="s">
        <v>358</v>
      </c>
      <c r="E2240" s="62" t="s">
        <v>586</v>
      </c>
      <c r="F2240" s="62" t="s">
        <v>586</v>
      </c>
      <c r="G2240" s="62" t="s">
        <v>587</v>
      </c>
      <c r="H2240" s="62" t="s">
        <v>57</v>
      </c>
      <c r="I2240" s="62" t="s">
        <v>47</v>
      </c>
      <c r="J2240" s="62" t="s">
        <v>146</v>
      </c>
      <c r="K2240" s="62" t="s">
        <v>175</v>
      </c>
      <c r="L2240" s="62" t="s">
        <v>4</v>
      </c>
      <c r="M2240" s="62" t="n">
        <v>1</v>
      </c>
      <c r="N2240" s="62" t="n">
        <v>0</v>
      </c>
      <c r="O2240" s="62" t="n">
        <v>1</v>
      </c>
      <c r="P2240" s="62" t="n">
        <v>0</v>
      </c>
      <c r="Q2240" s="62" t="n">
        <v>0</v>
      </c>
      <c r="R2240" s="62" t="n">
        <v>0</v>
      </c>
      <c r="S2240" s="62" t="n">
        <v>0</v>
      </c>
      <c r="T2240" s="62" t="n">
        <v>0</v>
      </c>
      <c r="U2240" s="62" t="s">
        <v>15</v>
      </c>
      <c r="V2240" s="62" t="s">
        <v>2057</v>
      </c>
      <c r="W2240" s="62" t="s">
        <v>2056</v>
      </c>
      <c r="X2240" s="62" t="s">
        <v>2058</v>
      </c>
      <c r="Y2240" s="62" t="s">
        <v>2399</v>
      </c>
      <c r="Z2240" s="62" t="s">
        <v>4068</v>
      </c>
      <c r="AA2240" s="62" t="s">
        <v>4069</v>
      </c>
      <c r="AB2240" s="62" t="n">
        <v>1</v>
      </c>
      <c r="AC2240" s="62" t="n">
        <v>0</v>
      </c>
      <c r="AD2240" s="62" t="n">
        <v>1</v>
      </c>
      <c r="AE2240" s="62" t="n">
        <f aca="false">IF(AND(Dashboard!$C$9="Yes",AC2240=1),0,1)</f>
        <v>1</v>
      </c>
      <c r="AF2240" s="62" t="n">
        <v>0</v>
      </c>
    </row>
    <row r="2241" customFormat="false" ht="15" hidden="false" customHeight="false" outlineLevel="0" collapsed="false">
      <c r="A2241" s="62" t="n">
        <v>2240</v>
      </c>
      <c r="B2241" s="63" t="n">
        <v>46284.8750694445</v>
      </c>
      <c r="C2241" s="64" t="n">
        <v>46284</v>
      </c>
      <c r="D2241" s="62" t="s">
        <v>358</v>
      </c>
      <c r="E2241" s="62" t="s">
        <v>1005</v>
      </c>
      <c r="F2241" s="62" t="s">
        <v>1005</v>
      </c>
      <c r="G2241" s="62" t="s">
        <v>1006</v>
      </c>
      <c r="H2241" s="62" t="s">
        <v>46</v>
      </c>
      <c r="I2241" s="62" t="s">
        <v>47</v>
      </c>
      <c r="J2241" s="62" t="s">
        <v>146</v>
      </c>
      <c r="K2241" s="62" t="s">
        <v>209</v>
      </c>
      <c r="L2241" s="62" t="s">
        <v>4</v>
      </c>
      <c r="M2241" s="62" t="n">
        <v>1</v>
      </c>
      <c r="N2241" s="62" t="n">
        <v>0</v>
      </c>
      <c r="O2241" s="62" t="n">
        <v>1</v>
      </c>
      <c r="P2241" s="62" t="n">
        <v>0</v>
      </c>
      <c r="Q2241" s="62" t="n">
        <v>0</v>
      </c>
      <c r="R2241" s="62" t="n">
        <v>0</v>
      </c>
      <c r="S2241" s="62" t="n">
        <v>0</v>
      </c>
      <c r="T2241" s="62" t="n">
        <v>0</v>
      </c>
      <c r="U2241" s="62" t="s">
        <v>2056</v>
      </c>
      <c r="V2241" s="62" t="s">
        <v>2057</v>
      </c>
      <c r="W2241" s="62" t="s">
        <v>15</v>
      </c>
      <c r="X2241" s="62" t="s">
        <v>2180</v>
      </c>
      <c r="Y2241" s="62" t="s">
        <v>2059</v>
      </c>
      <c r="Z2241" s="62" t="s">
        <v>4064</v>
      </c>
      <c r="AA2241" s="62" t="s">
        <v>4070</v>
      </c>
      <c r="AB2241" s="62" t="n">
        <v>1</v>
      </c>
      <c r="AC2241" s="62" t="n">
        <v>0</v>
      </c>
      <c r="AD2241" s="62" t="n">
        <v>1</v>
      </c>
      <c r="AE2241" s="62" t="n">
        <f aca="false">IF(AND(Dashboard!$C$9="Yes",AC2241=1),0,1)</f>
        <v>1</v>
      </c>
      <c r="AF2241" s="62" t="n">
        <v>0</v>
      </c>
    </row>
    <row r="2242" customFormat="false" ht="15" hidden="false" customHeight="false" outlineLevel="0" collapsed="false">
      <c r="A2242" s="62" t="n">
        <v>2241</v>
      </c>
      <c r="B2242" s="63" t="n">
        <v>46284.8753587963</v>
      </c>
      <c r="C2242" s="64" t="n">
        <v>46284</v>
      </c>
      <c r="D2242" s="62" t="s">
        <v>358</v>
      </c>
      <c r="E2242" s="62" t="s">
        <v>586</v>
      </c>
      <c r="F2242" s="62" t="s">
        <v>586</v>
      </c>
      <c r="G2242" s="62" t="s">
        <v>587</v>
      </c>
      <c r="H2242" s="62" t="s">
        <v>57</v>
      </c>
      <c r="I2242" s="62" t="s">
        <v>47</v>
      </c>
      <c r="J2242" s="62" t="s">
        <v>146</v>
      </c>
      <c r="K2242" s="62" t="s">
        <v>175</v>
      </c>
      <c r="L2242" s="62" t="s">
        <v>148</v>
      </c>
      <c r="M2242" s="62" t="n">
        <v>0</v>
      </c>
      <c r="N2242" s="62" t="n">
        <v>1</v>
      </c>
      <c r="O2242" s="62" t="n">
        <v>1</v>
      </c>
      <c r="P2242" s="62" t="n">
        <v>1</v>
      </c>
      <c r="Q2242" s="62" t="n">
        <v>0</v>
      </c>
      <c r="R2242" s="62" t="n">
        <v>0</v>
      </c>
      <c r="S2242" s="62" t="n">
        <v>0</v>
      </c>
      <c r="T2242" s="62" t="n">
        <v>0</v>
      </c>
      <c r="U2242" s="62"/>
      <c r="V2242" s="62"/>
      <c r="W2242" s="62"/>
      <c r="X2242" s="62"/>
      <c r="Y2242" s="62"/>
      <c r="Z2242" s="62" t="s">
        <v>4071</v>
      </c>
      <c r="AA2242" s="62" t="s">
        <v>4072</v>
      </c>
      <c r="AB2242" s="62" t="n">
        <v>1</v>
      </c>
      <c r="AC2242" s="62" t="n">
        <v>0</v>
      </c>
      <c r="AD2242" s="62" t="n">
        <v>1</v>
      </c>
      <c r="AE2242" s="62" t="n">
        <f aca="false">IF(AND(Dashboard!$C$9="Yes",AC2242=1),0,1)</f>
        <v>1</v>
      </c>
      <c r="AF2242" s="62" t="n">
        <v>0</v>
      </c>
    </row>
    <row r="2243" customFormat="false" ht="15" hidden="false" customHeight="false" outlineLevel="0" collapsed="false">
      <c r="A2243" s="62" t="n">
        <v>2242</v>
      </c>
      <c r="B2243" s="63" t="n">
        <v>46284.8854282407</v>
      </c>
      <c r="C2243" s="64" t="n">
        <v>46284</v>
      </c>
      <c r="D2243" s="62" t="s">
        <v>358</v>
      </c>
      <c r="E2243" s="62" t="s">
        <v>2228</v>
      </c>
      <c r="F2243" s="62" t="s">
        <v>2228</v>
      </c>
      <c r="G2243" s="62" t="s">
        <v>2229</v>
      </c>
      <c r="H2243" s="62" t="s">
        <v>58</v>
      </c>
      <c r="I2243" s="62" t="s">
        <v>49</v>
      </c>
      <c r="J2243" s="62" t="s">
        <v>146</v>
      </c>
      <c r="K2243" s="62" t="s">
        <v>209</v>
      </c>
      <c r="L2243" s="62" t="s">
        <v>148</v>
      </c>
      <c r="M2243" s="62" t="n">
        <v>0</v>
      </c>
      <c r="N2243" s="62" t="n">
        <v>1</v>
      </c>
      <c r="O2243" s="62" t="n">
        <v>1</v>
      </c>
      <c r="P2243" s="62" t="n">
        <v>1</v>
      </c>
      <c r="Q2243" s="62" t="n">
        <v>0</v>
      </c>
      <c r="R2243" s="62" t="n">
        <v>0</v>
      </c>
      <c r="S2243" s="62" t="n">
        <v>0</v>
      </c>
      <c r="T2243" s="62" t="n">
        <v>0</v>
      </c>
      <c r="U2243" s="62"/>
      <c r="V2243" s="62"/>
      <c r="W2243" s="62"/>
      <c r="X2243" s="62"/>
      <c r="Y2243" s="62"/>
      <c r="Z2243" s="62" t="s">
        <v>4073</v>
      </c>
      <c r="AA2243" s="62" t="s">
        <v>4074</v>
      </c>
      <c r="AB2243" s="62" t="n">
        <v>1</v>
      </c>
      <c r="AC2243" s="62" t="n">
        <v>0</v>
      </c>
      <c r="AD2243" s="62" t="n">
        <v>1</v>
      </c>
      <c r="AE2243" s="62" t="n">
        <f aca="false">IF(AND(Dashboard!$C$9="Yes",AC2243=1),0,1)</f>
        <v>1</v>
      </c>
      <c r="AF2243" s="62" t="n">
        <v>0</v>
      </c>
    </row>
    <row r="2244" customFormat="false" ht="15" hidden="false" customHeight="false" outlineLevel="0" collapsed="false">
      <c r="A2244" s="62" t="n">
        <v>2243</v>
      </c>
      <c r="B2244" s="63" t="n">
        <v>46284.8896875</v>
      </c>
      <c r="C2244" s="64" t="n">
        <v>46284</v>
      </c>
      <c r="D2244" s="62" t="s">
        <v>358</v>
      </c>
      <c r="E2244" s="62" t="s">
        <v>180</v>
      </c>
      <c r="F2244" s="62" t="s">
        <v>180</v>
      </c>
      <c r="G2244" s="62" t="s">
        <v>181</v>
      </c>
      <c r="H2244" s="62" t="s">
        <v>58</v>
      </c>
      <c r="I2244" s="62" t="s">
        <v>49</v>
      </c>
      <c r="J2244" s="62" t="s">
        <v>146</v>
      </c>
      <c r="K2244" s="62" t="s">
        <v>175</v>
      </c>
      <c r="L2244" s="62" t="s">
        <v>148</v>
      </c>
      <c r="M2244" s="62" t="n">
        <v>0</v>
      </c>
      <c r="N2244" s="62" t="n">
        <v>2</v>
      </c>
      <c r="O2244" s="62" t="n">
        <v>2</v>
      </c>
      <c r="P2244" s="62" t="n">
        <v>1</v>
      </c>
      <c r="Q2244" s="62" t="n">
        <v>0</v>
      </c>
      <c r="R2244" s="62" t="n">
        <v>1</v>
      </c>
      <c r="S2244" s="62" t="n">
        <v>0</v>
      </c>
      <c r="T2244" s="62" t="n">
        <v>0</v>
      </c>
      <c r="U2244" s="62"/>
      <c r="V2244" s="62"/>
      <c r="W2244" s="62"/>
      <c r="X2244" s="62"/>
      <c r="Y2244" s="62"/>
      <c r="Z2244" s="62" t="s">
        <v>4075</v>
      </c>
      <c r="AA2244" s="62" t="s">
        <v>4075</v>
      </c>
      <c r="AB2244" s="62" t="n">
        <v>1</v>
      </c>
      <c r="AC2244" s="62" t="n">
        <v>0</v>
      </c>
      <c r="AD2244" s="62" t="n">
        <v>1</v>
      </c>
      <c r="AE2244" s="62" t="n">
        <f aca="false">IF(AND(Dashboard!$C$9="Yes",AC2244=1),0,1)</f>
        <v>1</v>
      </c>
      <c r="AF2244" s="62" t="n">
        <v>1</v>
      </c>
    </row>
    <row r="2245" customFormat="false" ht="15" hidden="false" customHeight="false" outlineLevel="0" collapsed="false">
      <c r="A2245" s="62" t="n">
        <v>2244</v>
      </c>
      <c r="B2245" s="63" t="n">
        <v>46284.8959027778</v>
      </c>
      <c r="C2245" s="64" t="n">
        <v>46284</v>
      </c>
      <c r="D2245" s="62" t="s">
        <v>358</v>
      </c>
      <c r="E2245" s="62" t="s">
        <v>3869</v>
      </c>
      <c r="F2245" s="62" t="s">
        <v>3869</v>
      </c>
      <c r="G2245" s="62" t="s">
        <v>3870</v>
      </c>
      <c r="H2245" s="62" t="s">
        <v>59</v>
      </c>
      <c r="I2245" s="62" t="s">
        <v>47</v>
      </c>
      <c r="J2245" s="62" t="s">
        <v>146</v>
      </c>
      <c r="K2245" s="62" t="s">
        <v>209</v>
      </c>
      <c r="L2245" s="62" t="s">
        <v>148</v>
      </c>
      <c r="M2245" s="62" t="n">
        <v>0</v>
      </c>
      <c r="N2245" s="62" t="n">
        <v>1</v>
      </c>
      <c r="O2245" s="62" t="n">
        <v>1</v>
      </c>
      <c r="P2245" s="62" t="n">
        <v>1</v>
      </c>
      <c r="Q2245" s="62" t="n">
        <v>0</v>
      </c>
      <c r="R2245" s="62" t="n">
        <v>0</v>
      </c>
      <c r="S2245" s="62" t="n">
        <v>0</v>
      </c>
      <c r="T2245" s="62" t="n">
        <v>0</v>
      </c>
      <c r="U2245" s="62"/>
      <c r="V2245" s="62"/>
      <c r="W2245" s="62"/>
      <c r="X2245" s="62"/>
      <c r="Y2245" s="62"/>
      <c r="Z2245" s="62" t="s">
        <v>4076</v>
      </c>
      <c r="AA2245" s="62" t="s">
        <v>4077</v>
      </c>
      <c r="AB2245" s="62" t="n">
        <v>1</v>
      </c>
      <c r="AC2245" s="62" t="n">
        <v>0</v>
      </c>
      <c r="AD2245" s="62" t="n">
        <v>1</v>
      </c>
      <c r="AE2245" s="62" t="n">
        <f aca="false">IF(AND(Dashboard!$C$9="Yes",AC2245=1),0,1)</f>
        <v>1</v>
      </c>
      <c r="AF2245" s="62" t="n">
        <v>0</v>
      </c>
    </row>
    <row r="2246" customFormat="false" ht="15" hidden="false" customHeight="false" outlineLevel="0" collapsed="false">
      <c r="A2246" s="62" t="n">
        <v>2245</v>
      </c>
      <c r="B2246" s="63" t="n">
        <v>46284.9003819445</v>
      </c>
      <c r="C2246" s="64" t="n">
        <v>46284</v>
      </c>
      <c r="D2246" s="62" t="s">
        <v>358</v>
      </c>
      <c r="E2246" s="62" t="s">
        <v>939</v>
      </c>
      <c r="F2246" s="62" t="s">
        <v>939</v>
      </c>
      <c r="G2246" s="62" t="s">
        <v>940</v>
      </c>
      <c r="H2246" s="62" t="s">
        <v>57</v>
      </c>
      <c r="I2246" s="62" t="s">
        <v>47</v>
      </c>
      <c r="J2246" s="62" t="s">
        <v>146</v>
      </c>
      <c r="K2246" s="62" t="s">
        <v>147</v>
      </c>
      <c r="L2246" s="62" t="s">
        <v>148</v>
      </c>
      <c r="M2246" s="62" t="n">
        <v>0</v>
      </c>
      <c r="N2246" s="62" t="n">
        <v>1</v>
      </c>
      <c r="O2246" s="62" t="n">
        <v>1</v>
      </c>
      <c r="P2246" s="62" t="n">
        <v>1</v>
      </c>
      <c r="Q2246" s="62" t="n">
        <v>0</v>
      </c>
      <c r="R2246" s="62" t="n">
        <v>0</v>
      </c>
      <c r="S2246" s="62" t="n">
        <v>0</v>
      </c>
      <c r="T2246" s="62" t="n">
        <v>0</v>
      </c>
      <c r="U2246" s="62"/>
      <c r="V2246" s="62"/>
      <c r="W2246" s="62"/>
      <c r="X2246" s="62"/>
      <c r="Y2246" s="62"/>
      <c r="Z2246" s="62" t="s">
        <v>4078</v>
      </c>
      <c r="AA2246" s="62" t="s">
        <v>4079</v>
      </c>
      <c r="AB2246" s="62" t="n">
        <v>1</v>
      </c>
      <c r="AC2246" s="62" t="n">
        <v>0</v>
      </c>
      <c r="AD2246" s="62" t="n">
        <v>1</v>
      </c>
      <c r="AE2246" s="62" t="n">
        <f aca="false">IF(AND(Dashboard!$C$9="Yes",AC2246=1),0,1)</f>
        <v>1</v>
      </c>
      <c r="AF2246" s="62" t="n">
        <v>1</v>
      </c>
    </row>
    <row r="2247" customFormat="false" ht="15" hidden="false" customHeight="false" outlineLevel="0" collapsed="false">
      <c r="A2247" s="62" t="n">
        <v>2246</v>
      </c>
      <c r="B2247" s="63" t="n">
        <v>46284.9074652778</v>
      </c>
      <c r="C2247" s="64" t="n">
        <v>46284</v>
      </c>
      <c r="D2247" s="62" t="s">
        <v>358</v>
      </c>
      <c r="E2247" s="62" t="s">
        <v>4080</v>
      </c>
      <c r="F2247" s="62" t="s">
        <v>4080</v>
      </c>
      <c r="G2247" s="62" t="s">
        <v>4081</v>
      </c>
      <c r="H2247" s="62" t="s">
        <v>57</v>
      </c>
      <c r="I2247" s="62" t="s">
        <v>47</v>
      </c>
      <c r="J2247" s="62" t="s">
        <v>146</v>
      </c>
      <c r="K2247" s="62" t="s">
        <v>147</v>
      </c>
      <c r="L2247" s="62" t="s">
        <v>148</v>
      </c>
      <c r="M2247" s="62" t="n">
        <v>0</v>
      </c>
      <c r="N2247" s="62" t="n">
        <v>1</v>
      </c>
      <c r="O2247" s="62" t="n">
        <v>1</v>
      </c>
      <c r="P2247" s="62" t="n">
        <v>0</v>
      </c>
      <c r="Q2247" s="62" t="n">
        <v>1</v>
      </c>
      <c r="R2247" s="62" t="n">
        <v>0</v>
      </c>
      <c r="S2247" s="62" t="n">
        <v>0</v>
      </c>
      <c r="T2247" s="62" t="n">
        <v>0</v>
      </c>
      <c r="U2247" s="62"/>
      <c r="V2247" s="62"/>
      <c r="W2247" s="62"/>
      <c r="X2247" s="62"/>
      <c r="Y2247" s="62"/>
      <c r="Z2247" s="62" t="s">
        <v>4082</v>
      </c>
      <c r="AA2247" s="62" t="s">
        <v>4083</v>
      </c>
      <c r="AB2247" s="62" t="n">
        <v>1</v>
      </c>
      <c r="AC2247" s="62" t="n">
        <v>0</v>
      </c>
      <c r="AD2247" s="62" t="n">
        <v>1</v>
      </c>
      <c r="AE2247" s="62" t="n">
        <f aca="false">IF(AND(Dashboard!$C$9="Yes",AC2247=1),0,1)</f>
        <v>1</v>
      </c>
      <c r="AF2247" s="62" t="n">
        <v>1</v>
      </c>
    </row>
    <row r="2248" customFormat="false" ht="15" hidden="false" customHeight="false" outlineLevel="0" collapsed="false">
      <c r="A2248" s="62" t="n">
        <v>2247</v>
      </c>
      <c r="B2248" s="63" t="n">
        <v>46284.9132175926</v>
      </c>
      <c r="C2248" s="64" t="n">
        <v>46284</v>
      </c>
      <c r="D2248" s="62" t="s">
        <v>358</v>
      </c>
      <c r="E2248" s="62" t="s">
        <v>2071</v>
      </c>
      <c r="F2248" s="62" t="s">
        <v>2071</v>
      </c>
      <c r="G2248" s="62" t="s">
        <v>2072</v>
      </c>
      <c r="H2248" s="62" t="s">
        <v>58</v>
      </c>
      <c r="I2248" s="62" t="s">
        <v>49</v>
      </c>
      <c r="J2248" s="62" t="s">
        <v>146</v>
      </c>
      <c r="K2248" s="62" t="s">
        <v>175</v>
      </c>
      <c r="L2248" s="62" t="s">
        <v>148</v>
      </c>
      <c r="M2248" s="62" t="n">
        <v>0</v>
      </c>
      <c r="N2248" s="62" t="n">
        <v>1</v>
      </c>
      <c r="O2248" s="62" t="n">
        <v>1</v>
      </c>
      <c r="P2248" s="62" t="n">
        <v>1</v>
      </c>
      <c r="Q2248" s="62" t="n">
        <v>0</v>
      </c>
      <c r="R2248" s="62" t="n">
        <v>0</v>
      </c>
      <c r="S2248" s="62" t="n">
        <v>0</v>
      </c>
      <c r="T2248" s="62" t="n">
        <v>0</v>
      </c>
      <c r="U2248" s="62"/>
      <c r="V2248" s="62"/>
      <c r="W2248" s="62"/>
      <c r="X2248" s="62"/>
      <c r="Y2248" s="62"/>
      <c r="Z2248" s="62" t="s">
        <v>4084</v>
      </c>
      <c r="AA2248" s="62" t="s">
        <v>4085</v>
      </c>
      <c r="AB2248" s="62" t="n">
        <v>1</v>
      </c>
      <c r="AC2248" s="62" t="n">
        <v>0</v>
      </c>
      <c r="AD2248" s="62" t="n">
        <v>1</v>
      </c>
      <c r="AE2248" s="62" t="n">
        <f aca="false">IF(AND(Dashboard!$C$9="Yes",AC2248=1),0,1)</f>
        <v>1</v>
      </c>
      <c r="AF2248" s="62" t="n">
        <v>1</v>
      </c>
    </row>
    <row r="2249" customFormat="false" ht="15" hidden="false" customHeight="false" outlineLevel="0" collapsed="false">
      <c r="A2249" s="62" t="n">
        <v>2248</v>
      </c>
      <c r="B2249" s="63" t="n">
        <v>46284.9179050926</v>
      </c>
      <c r="C2249" s="64" t="n">
        <v>46284</v>
      </c>
      <c r="D2249" s="62" t="s">
        <v>358</v>
      </c>
      <c r="E2249" s="62" t="s">
        <v>999</v>
      </c>
      <c r="F2249" s="62" t="s">
        <v>999</v>
      </c>
      <c r="G2249" s="62" t="s">
        <v>1000</v>
      </c>
      <c r="H2249" s="62" t="s">
        <v>46</v>
      </c>
      <c r="I2249" s="62" t="s">
        <v>47</v>
      </c>
      <c r="J2249" s="62" t="s">
        <v>146</v>
      </c>
      <c r="K2249" s="62" t="s">
        <v>209</v>
      </c>
      <c r="L2249" s="62" t="s">
        <v>148</v>
      </c>
      <c r="M2249" s="62" t="n">
        <v>0</v>
      </c>
      <c r="N2249" s="62" t="n">
        <v>1</v>
      </c>
      <c r="O2249" s="62" t="n">
        <v>1</v>
      </c>
      <c r="P2249" s="62" t="n">
        <v>1</v>
      </c>
      <c r="Q2249" s="62" t="n">
        <v>0</v>
      </c>
      <c r="R2249" s="62" t="n">
        <v>0</v>
      </c>
      <c r="S2249" s="62" t="n">
        <v>0</v>
      </c>
      <c r="T2249" s="62" t="n">
        <v>0</v>
      </c>
      <c r="U2249" s="62"/>
      <c r="V2249" s="62"/>
      <c r="W2249" s="62"/>
      <c r="X2249" s="62"/>
      <c r="Y2249" s="62"/>
      <c r="Z2249" s="62" t="s">
        <v>4086</v>
      </c>
      <c r="AA2249" s="62" t="s">
        <v>4087</v>
      </c>
      <c r="AB2249" s="62" t="n">
        <v>1</v>
      </c>
      <c r="AC2249" s="62" t="n">
        <v>0</v>
      </c>
      <c r="AD2249" s="62" t="n">
        <v>1</v>
      </c>
      <c r="AE2249" s="62" t="n">
        <f aca="false">IF(AND(Dashboard!$C$9="Yes",AC2249=1),0,1)</f>
        <v>1</v>
      </c>
      <c r="AF2249" s="62" t="n">
        <v>1</v>
      </c>
    </row>
    <row r="2250" customFormat="false" ht="15" hidden="false" customHeight="false" outlineLevel="0" collapsed="false">
      <c r="A2250" s="62" t="n">
        <v>2249</v>
      </c>
      <c r="B2250" s="63" t="n">
        <v>46284.9187268519</v>
      </c>
      <c r="C2250" s="64" t="n">
        <v>46284</v>
      </c>
      <c r="D2250" s="62" t="s">
        <v>358</v>
      </c>
      <c r="E2250" s="62" t="s">
        <v>2845</v>
      </c>
      <c r="F2250" s="62" t="s">
        <v>2845</v>
      </c>
      <c r="G2250" s="62" t="s">
        <v>181</v>
      </c>
      <c r="H2250" s="62" t="s">
        <v>48</v>
      </c>
      <c r="I2250" s="62" t="s">
        <v>49</v>
      </c>
      <c r="J2250" s="62" t="s">
        <v>146</v>
      </c>
      <c r="K2250" s="62" t="s">
        <v>209</v>
      </c>
      <c r="L2250" s="62" t="s">
        <v>148</v>
      </c>
      <c r="M2250" s="62" t="n">
        <v>0</v>
      </c>
      <c r="N2250" s="62" t="n">
        <v>1</v>
      </c>
      <c r="O2250" s="62" t="n">
        <v>1</v>
      </c>
      <c r="P2250" s="62" t="n">
        <v>1</v>
      </c>
      <c r="Q2250" s="62" t="n">
        <v>0</v>
      </c>
      <c r="R2250" s="62" t="n">
        <v>0</v>
      </c>
      <c r="S2250" s="62" t="n">
        <v>0</v>
      </c>
      <c r="T2250" s="62" t="n">
        <v>0</v>
      </c>
      <c r="U2250" s="62"/>
      <c r="V2250" s="62"/>
      <c r="W2250" s="62"/>
      <c r="X2250" s="62"/>
      <c r="Y2250" s="62"/>
      <c r="Z2250" s="62" t="s">
        <v>4088</v>
      </c>
      <c r="AA2250" s="62" t="s">
        <v>4089</v>
      </c>
      <c r="AB2250" s="62" t="n">
        <v>1</v>
      </c>
      <c r="AC2250" s="62" t="n">
        <v>0</v>
      </c>
      <c r="AD2250" s="62" t="n">
        <v>1</v>
      </c>
      <c r="AE2250" s="62" t="n">
        <f aca="false">IF(AND(Dashboard!$C$9="Yes",AC2250=1),0,1)</f>
        <v>1</v>
      </c>
      <c r="AF2250" s="62" t="n">
        <v>1</v>
      </c>
    </row>
    <row r="2251" customFormat="false" ht="15" hidden="false" customHeight="false" outlineLevel="0" collapsed="false">
      <c r="A2251" s="62" t="n">
        <v>2250</v>
      </c>
      <c r="B2251" s="63" t="n">
        <v>46284.931412037</v>
      </c>
      <c r="C2251" s="64" t="n">
        <v>46284</v>
      </c>
      <c r="D2251" s="62" t="s">
        <v>358</v>
      </c>
      <c r="E2251" s="62" t="s">
        <v>1827</v>
      </c>
      <c r="F2251" s="62" t="s">
        <v>1827</v>
      </c>
      <c r="G2251" s="62" t="s">
        <v>1828</v>
      </c>
      <c r="H2251" s="62" t="s">
        <v>59</v>
      </c>
      <c r="I2251" s="62" t="s">
        <v>47</v>
      </c>
      <c r="J2251" s="62" t="s">
        <v>146</v>
      </c>
      <c r="K2251" s="62" t="s">
        <v>209</v>
      </c>
      <c r="L2251" s="62" t="s">
        <v>148</v>
      </c>
      <c r="M2251" s="62" t="n">
        <v>0</v>
      </c>
      <c r="N2251" s="62" t="n">
        <v>1</v>
      </c>
      <c r="O2251" s="62" t="n">
        <v>1</v>
      </c>
      <c r="P2251" s="62" t="n">
        <v>1</v>
      </c>
      <c r="Q2251" s="62" t="n">
        <v>0</v>
      </c>
      <c r="R2251" s="62" t="n">
        <v>0</v>
      </c>
      <c r="S2251" s="62" t="n">
        <v>0</v>
      </c>
      <c r="T2251" s="62" t="n">
        <v>0</v>
      </c>
      <c r="U2251" s="62"/>
      <c r="V2251" s="62"/>
      <c r="W2251" s="62"/>
      <c r="X2251" s="62"/>
      <c r="Y2251" s="62"/>
      <c r="Z2251" s="62" t="s">
        <v>4090</v>
      </c>
      <c r="AA2251" s="62" t="s">
        <v>4091</v>
      </c>
      <c r="AB2251" s="62" t="n">
        <v>1</v>
      </c>
      <c r="AC2251" s="62" t="n">
        <v>0</v>
      </c>
      <c r="AD2251" s="62" t="n">
        <v>1</v>
      </c>
      <c r="AE2251" s="62" t="n">
        <f aca="false">IF(AND(Dashboard!$C$9="Yes",AC2251=1),0,1)</f>
        <v>1</v>
      </c>
      <c r="AF2251" s="62" t="n">
        <v>1</v>
      </c>
    </row>
    <row r="2252" customFormat="false" ht="15" hidden="false" customHeight="false" outlineLevel="0" collapsed="false">
      <c r="A2252" s="62" t="n">
        <v>2251</v>
      </c>
      <c r="B2252" s="63" t="n">
        <v>46284.9461226852</v>
      </c>
      <c r="C2252" s="64" t="n">
        <v>46284</v>
      </c>
      <c r="D2252" s="62" t="s">
        <v>358</v>
      </c>
      <c r="E2252" s="62" t="s">
        <v>3580</v>
      </c>
      <c r="F2252" s="62" t="s">
        <v>3580</v>
      </c>
      <c r="G2252" s="62" t="s">
        <v>3581</v>
      </c>
      <c r="H2252" s="62" t="s">
        <v>51</v>
      </c>
      <c r="I2252" s="62" t="s">
        <v>47</v>
      </c>
      <c r="J2252" s="62" t="s">
        <v>146</v>
      </c>
      <c r="K2252" s="62" t="s">
        <v>209</v>
      </c>
      <c r="L2252" s="62" t="s">
        <v>148</v>
      </c>
      <c r="M2252" s="62" t="n">
        <v>0</v>
      </c>
      <c r="N2252" s="62" t="n">
        <v>1</v>
      </c>
      <c r="O2252" s="62" t="n">
        <v>1</v>
      </c>
      <c r="P2252" s="62" t="n">
        <v>1</v>
      </c>
      <c r="Q2252" s="62" t="n">
        <v>0</v>
      </c>
      <c r="R2252" s="62" t="n">
        <v>0</v>
      </c>
      <c r="S2252" s="62" t="n">
        <v>0</v>
      </c>
      <c r="T2252" s="62" t="n">
        <v>0</v>
      </c>
      <c r="U2252" s="62"/>
      <c r="V2252" s="62"/>
      <c r="W2252" s="62"/>
      <c r="X2252" s="62"/>
      <c r="Y2252" s="62"/>
      <c r="Z2252" s="62" t="s">
        <v>4092</v>
      </c>
      <c r="AA2252" s="62" t="s">
        <v>4093</v>
      </c>
      <c r="AB2252" s="62" t="n">
        <v>1</v>
      </c>
      <c r="AC2252" s="62" t="n">
        <v>0</v>
      </c>
      <c r="AD2252" s="62" t="n">
        <v>1</v>
      </c>
      <c r="AE2252" s="62" t="n">
        <f aca="false">IF(AND(Dashboard!$C$9="Yes",AC2252=1),0,1)</f>
        <v>1</v>
      </c>
      <c r="AF2252" s="62" t="n">
        <v>1</v>
      </c>
    </row>
    <row r="2253" customFormat="false" ht="15" hidden="false" customHeight="false" outlineLevel="0" collapsed="false">
      <c r="A2253" s="62" t="n">
        <v>2252</v>
      </c>
      <c r="B2253" s="63" t="n">
        <v>46284.9477314815</v>
      </c>
      <c r="C2253" s="64" t="n">
        <v>46284</v>
      </c>
      <c r="D2253" s="62" t="s">
        <v>358</v>
      </c>
      <c r="E2253" s="62" t="s">
        <v>2395</v>
      </c>
      <c r="F2253" s="62" t="s">
        <v>2395</v>
      </c>
      <c r="G2253" s="62" t="s">
        <v>2396</v>
      </c>
      <c r="H2253" s="62" t="s">
        <v>59</v>
      </c>
      <c r="I2253" s="62" t="s">
        <v>47</v>
      </c>
      <c r="J2253" s="62" t="s">
        <v>146</v>
      </c>
      <c r="K2253" s="62" t="s">
        <v>209</v>
      </c>
      <c r="L2253" s="62" t="s">
        <v>148</v>
      </c>
      <c r="M2253" s="62" t="n">
        <v>0</v>
      </c>
      <c r="N2253" s="62" t="n">
        <v>1</v>
      </c>
      <c r="O2253" s="62" t="n">
        <v>1</v>
      </c>
      <c r="P2253" s="62" t="n">
        <v>1</v>
      </c>
      <c r="Q2253" s="62" t="n">
        <v>0</v>
      </c>
      <c r="R2253" s="62" t="n">
        <v>0</v>
      </c>
      <c r="S2253" s="62" t="n">
        <v>0</v>
      </c>
      <c r="T2253" s="62" t="n">
        <v>0</v>
      </c>
      <c r="U2253" s="62"/>
      <c r="V2253" s="62"/>
      <c r="W2253" s="62"/>
      <c r="X2253" s="62"/>
      <c r="Y2253" s="62"/>
      <c r="Z2253" s="62" t="s">
        <v>4094</v>
      </c>
      <c r="AA2253" s="62" t="s">
        <v>4095</v>
      </c>
      <c r="AB2253" s="62" t="n">
        <v>1</v>
      </c>
      <c r="AC2253" s="62" t="n">
        <v>0</v>
      </c>
      <c r="AD2253" s="62" t="n">
        <v>1</v>
      </c>
      <c r="AE2253" s="62" t="n">
        <f aca="false">IF(AND(Dashboard!$C$9="Yes",AC2253=1),0,1)</f>
        <v>1</v>
      </c>
      <c r="AF2253" s="62" t="n">
        <v>1</v>
      </c>
    </row>
    <row r="2254" customFormat="false" ht="15" hidden="false" customHeight="false" outlineLevel="0" collapsed="false">
      <c r="A2254" s="62" t="n">
        <v>2253</v>
      </c>
      <c r="B2254" s="63" t="n">
        <v>46284.9876851852</v>
      </c>
      <c r="C2254" s="64" t="n">
        <v>46284</v>
      </c>
      <c r="D2254" s="62" t="s">
        <v>358</v>
      </c>
      <c r="E2254" s="62" t="s">
        <v>2183</v>
      </c>
      <c r="F2254" s="62" t="s">
        <v>2183</v>
      </c>
      <c r="G2254" s="62" t="s">
        <v>2184</v>
      </c>
      <c r="H2254" s="62" t="s">
        <v>59</v>
      </c>
      <c r="I2254" s="62" t="s">
        <v>47</v>
      </c>
      <c r="J2254" s="62" t="s">
        <v>146</v>
      </c>
      <c r="K2254" s="62" t="s">
        <v>209</v>
      </c>
      <c r="L2254" s="62" t="s">
        <v>148</v>
      </c>
      <c r="M2254" s="62" t="n">
        <v>0</v>
      </c>
      <c r="N2254" s="62" t="n">
        <v>1</v>
      </c>
      <c r="O2254" s="62" t="n">
        <v>1</v>
      </c>
      <c r="P2254" s="62" t="n">
        <v>1</v>
      </c>
      <c r="Q2254" s="62" t="n">
        <v>0</v>
      </c>
      <c r="R2254" s="62" t="n">
        <v>0</v>
      </c>
      <c r="S2254" s="62" t="n">
        <v>0</v>
      </c>
      <c r="T2254" s="62" t="n">
        <v>0</v>
      </c>
      <c r="U2254" s="62"/>
      <c r="V2254" s="62"/>
      <c r="W2254" s="62"/>
      <c r="X2254" s="62"/>
      <c r="Y2254" s="62"/>
      <c r="Z2254" s="62" t="s">
        <v>4096</v>
      </c>
      <c r="AA2254" s="62" t="s">
        <v>4097</v>
      </c>
      <c r="AB2254" s="62" t="n">
        <v>1</v>
      </c>
      <c r="AC2254" s="62" t="n">
        <v>0</v>
      </c>
      <c r="AD2254" s="62" t="n">
        <v>1</v>
      </c>
      <c r="AE2254" s="62" t="n">
        <f aca="false">IF(AND(Dashboard!$C$9="Yes",AC2254=1),0,1)</f>
        <v>1</v>
      </c>
      <c r="AF2254" s="62" t="n">
        <v>1</v>
      </c>
    </row>
    <row r="2255" customFormat="false" ht="15" hidden="false" customHeight="false" outlineLevel="0" collapsed="false">
      <c r="A2255" s="62" t="n">
        <v>2254</v>
      </c>
      <c r="B2255" s="63" t="n">
        <v>46284.9883912037</v>
      </c>
      <c r="C2255" s="64" t="n">
        <v>46284</v>
      </c>
      <c r="D2255" s="62" t="s">
        <v>358</v>
      </c>
      <c r="E2255" s="62" t="s">
        <v>1172</v>
      </c>
      <c r="F2255" s="62" t="s">
        <v>1172</v>
      </c>
      <c r="G2255" s="62" t="s">
        <v>1173</v>
      </c>
      <c r="H2255" s="62" t="s">
        <v>59</v>
      </c>
      <c r="I2255" s="62" t="s">
        <v>47</v>
      </c>
      <c r="J2255" s="62" t="s">
        <v>146</v>
      </c>
      <c r="K2255" s="62" t="s">
        <v>209</v>
      </c>
      <c r="L2255" s="62" t="s">
        <v>4</v>
      </c>
      <c r="M2255" s="62" t="n">
        <v>1</v>
      </c>
      <c r="N2255" s="62" t="n">
        <v>0</v>
      </c>
      <c r="O2255" s="62" t="n">
        <v>1</v>
      </c>
      <c r="P2255" s="62" t="n">
        <v>0</v>
      </c>
      <c r="Q2255" s="62" t="n">
        <v>0</v>
      </c>
      <c r="R2255" s="62" t="n">
        <v>0</v>
      </c>
      <c r="S2255" s="62" t="n">
        <v>0</v>
      </c>
      <c r="T2255" s="62" t="n">
        <v>0</v>
      </c>
      <c r="U2255" s="62" t="s">
        <v>15</v>
      </c>
      <c r="V2255" s="62" t="s">
        <v>2057</v>
      </c>
      <c r="W2255" s="62" t="s">
        <v>15</v>
      </c>
      <c r="X2255" s="62" t="s">
        <v>2058</v>
      </c>
      <c r="Y2255" s="62" t="s">
        <v>2059</v>
      </c>
      <c r="Z2255" s="62" t="s">
        <v>4098</v>
      </c>
      <c r="AA2255" s="62" t="s">
        <v>4099</v>
      </c>
      <c r="AB2255" s="62" t="n">
        <v>1</v>
      </c>
      <c r="AC2255" s="62" t="n">
        <v>0</v>
      </c>
      <c r="AD2255" s="62" t="n">
        <v>1</v>
      </c>
      <c r="AE2255" s="62" t="n">
        <f aca="false">IF(AND(Dashboard!$C$9="Yes",AC2255=1),0,1)</f>
        <v>1</v>
      </c>
      <c r="AF2255" s="62" t="n">
        <v>1</v>
      </c>
    </row>
    <row r="2256" customFormat="false" ht="15" hidden="false" customHeight="false" outlineLevel="0" collapsed="false">
      <c r="A2256" s="62" t="n">
        <v>2255</v>
      </c>
      <c r="B2256" s="63" t="n">
        <v>46284.9893055556</v>
      </c>
      <c r="C2256" s="64" t="n">
        <v>46284</v>
      </c>
      <c r="D2256" s="62" t="s">
        <v>358</v>
      </c>
      <c r="E2256" s="62" t="s">
        <v>3580</v>
      </c>
      <c r="F2256" s="62" t="s">
        <v>3580</v>
      </c>
      <c r="G2256" s="62" t="s">
        <v>3581</v>
      </c>
      <c r="H2256" s="62" t="s">
        <v>51</v>
      </c>
      <c r="I2256" s="62" t="s">
        <v>47</v>
      </c>
      <c r="J2256" s="62" t="s">
        <v>146</v>
      </c>
      <c r="K2256" s="62" t="s">
        <v>209</v>
      </c>
      <c r="L2256" s="62" t="s">
        <v>148</v>
      </c>
      <c r="M2256" s="62" t="n">
        <v>0</v>
      </c>
      <c r="N2256" s="62" t="n">
        <v>1</v>
      </c>
      <c r="O2256" s="62" t="n">
        <v>1</v>
      </c>
      <c r="P2256" s="62" t="n">
        <v>1</v>
      </c>
      <c r="Q2256" s="62" t="n">
        <v>0</v>
      </c>
      <c r="R2256" s="62" t="n">
        <v>0</v>
      </c>
      <c r="S2256" s="62" t="n">
        <v>0</v>
      </c>
      <c r="T2256" s="62" t="n">
        <v>0</v>
      </c>
      <c r="U2256" s="62"/>
      <c r="V2256" s="62"/>
      <c r="W2256" s="62"/>
      <c r="X2256" s="62"/>
      <c r="Y2256" s="62"/>
      <c r="Z2256" s="62" t="s">
        <v>4100</v>
      </c>
      <c r="AA2256" s="62" t="s">
        <v>4101</v>
      </c>
      <c r="AB2256" s="62" t="n">
        <v>1</v>
      </c>
      <c r="AC2256" s="62" t="n">
        <v>0</v>
      </c>
      <c r="AD2256" s="62" t="n">
        <v>1</v>
      </c>
      <c r="AE2256" s="62" t="n">
        <f aca="false">IF(AND(Dashboard!$C$9="Yes",AC2256=1),0,1)</f>
        <v>1</v>
      </c>
      <c r="AF2256" s="62" t="n">
        <v>0</v>
      </c>
    </row>
    <row r="2257" customFormat="false" ht="15" hidden="false" customHeight="false" outlineLevel="0" collapsed="false">
      <c r="A2257" s="62" t="n">
        <v>2256</v>
      </c>
      <c r="B2257" s="63" t="n">
        <v>46285.0045486111</v>
      </c>
      <c r="C2257" s="64" t="n">
        <v>46284</v>
      </c>
      <c r="D2257" s="62" t="s">
        <v>358</v>
      </c>
      <c r="E2257" s="62" t="s">
        <v>2228</v>
      </c>
      <c r="F2257" s="62" t="s">
        <v>2228</v>
      </c>
      <c r="G2257" s="62" t="s">
        <v>2229</v>
      </c>
      <c r="H2257" s="62" t="s">
        <v>58</v>
      </c>
      <c r="I2257" s="62" t="s">
        <v>49</v>
      </c>
      <c r="J2257" s="62" t="s">
        <v>146</v>
      </c>
      <c r="K2257" s="62" t="s">
        <v>209</v>
      </c>
      <c r="L2257" s="62" t="s">
        <v>148</v>
      </c>
      <c r="M2257" s="62" t="n">
        <v>0</v>
      </c>
      <c r="N2257" s="62" t="n">
        <v>1</v>
      </c>
      <c r="O2257" s="62" t="n">
        <v>1</v>
      </c>
      <c r="P2257" s="62" t="n">
        <v>1</v>
      </c>
      <c r="Q2257" s="62" t="n">
        <v>0</v>
      </c>
      <c r="R2257" s="62" t="n">
        <v>0</v>
      </c>
      <c r="S2257" s="62" t="n">
        <v>0</v>
      </c>
      <c r="T2257" s="62" t="n">
        <v>0</v>
      </c>
      <c r="U2257" s="62"/>
      <c r="V2257" s="62"/>
      <c r="W2257" s="62"/>
      <c r="X2257" s="62"/>
      <c r="Y2257" s="62"/>
      <c r="Z2257" s="62" t="s">
        <v>4102</v>
      </c>
      <c r="AA2257" s="62" t="s">
        <v>4103</v>
      </c>
      <c r="AB2257" s="62" t="n">
        <v>1</v>
      </c>
      <c r="AC2257" s="62" t="n">
        <v>0</v>
      </c>
      <c r="AD2257" s="62" t="n">
        <v>1</v>
      </c>
      <c r="AE2257" s="62" t="n">
        <f aca="false">IF(AND(Dashboard!$C$9="Yes",AC2257=1),0,1)</f>
        <v>1</v>
      </c>
      <c r="AF2257" s="62" t="n">
        <v>0</v>
      </c>
    </row>
    <row r="2258" customFormat="false" ht="15" hidden="false" customHeight="false" outlineLevel="0" collapsed="false">
      <c r="A2258" s="62" t="n">
        <v>2257</v>
      </c>
      <c r="B2258" s="63" t="n">
        <v>46285.0069097222</v>
      </c>
      <c r="C2258" s="64" t="n">
        <v>46284</v>
      </c>
      <c r="D2258" s="62" t="s">
        <v>358</v>
      </c>
      <c r="E2258" s="62" t="s">
        <v>3869</v>
      </c>
      <c r="F2258" s="62" t="s">
        <v>3869</v>
      </c>
      <c r="G2258" s="62" t="s">
        <v>3870</v>
      </c>
      <c r="H2258" s="62" t="s">
        <v>59</v>
      </c>
      <c r="I2258" s="62" t="s">
        <v>47</v>
      </c>
      <c r="J2258" s="62" t="s">
        <v>146</v>
      </c>
      <c r="K2258" s="62" t="s">
        <v>209</v>
      </c>
      <c r="L2258" s="62" t="s">
        <v>148</v>
      </c>
      <c r="M2258" s="62" t="n">
        <v>0</v>
      </c>
      <c r="N2258" s="62" t="n">
        <v>1</v>
      </c>
      <c r="O2258" s="62" t="n">
        <v>1</v>
      </c>
      <c r="P2258" s="62" t="n">
        <v>0</v>
      </c>
      <c r="Q2258" s="62" t="n">
        <v>0</v>
      </c>
      <c r="R2258" s="62" t="n">
        <v>1</v>
      </c>
      <c r="S2258" s="62" t="n">
        <v>0</v>
      </c>
      <c r="T2258" s="62" t="n">
        <v>0</v>
      </c>
      <c r="U2258" s="62"/>
      <c r="V2258" s="62"/>
      <c r="W2258" s="62"/>
      <c r="X2258" s="62"/>
      <c r="Y2258" s="62"/>
      <c r="Z2258" s="62" t="s">
        <v>4076</v>
      </c>
      <c r="AA2258" s="62" t="s">
        <v>4104</v>
      </c>
      <c r="AB2258" s="62" t="n">
        <v>1</v>
      </c>
      <c r="AC2258" s="62" t="n">
        <v>0</v>
      </c>
      <c r="AD2258" s="62" t="n">
        <v>1</v>
      </c>
      <c r="AE2258" s="62" t="n">
        <f aca="false">IF(AND(Dashboard!$C$9="Yes",AC2258=1),0,1)</f>
        <v>1</v>
      </c>
      <c r="AF2258" s="62" t="n">
        <v>0</v>
      </c>
    </row>
    <row r="2259" customFormat="false" ht="15" hidden="false" customHeight="false" outlineLevel="0" collapsed="false">
      <c r="A2259" s="62" t="n">
        <v>2258</v>
      </c>
      <c r="B2259" s="63" t="n">
        <v>46285.0077662037</v>
      </c>
      <c r="C2259" s="64" t="n">
        <v>46284</v>
      </c>
      <c r="D2259" s="62" t="s">
        <v>358</v>
      </c>
      <c r="E2259" s="62" t="s">
        <v>1172</v>
      </c>
      <c r="F2259" s="62" t="s">
        <v>1172</v>
      </c>
      <c r="G2259" s="62" t="s">
        <v>1173</v>
      </c>
      <c r="H2259" s="62" t="s">
        <v>59</v>
      </c>
      <c r="I2259" s="62" t="s">
        <v>47</v>
      </c>
      <c r="J2259" s="62" t="s">
        <v>146</v>
      </c>
      <c r="K2259" s="62" t="s">
        <v>209</v>
      </c>
      <c r="L2259" s="62" t="s">
        <v>4</v>
      </c>
      <c r="M2259" s="62" t="n">
        <v>1</v>
      </c>
      <c r="N2259" s="62" t="n">
        <v>0</v>
      </c>
      <c r="O2259" s="62" t="n">
        <v>1</v>
      </c>
      <c r="P2259" s="62" t="n">
        <v>0</v>
      </c>
      <c r="Q2259" s="62" t="n">
        <v>0</v>
      </c>
      <c r="R2259" s="62" t="n">
        <v>0</v>
      </c>
      <c r="S2259" s="62" t="n">
        <v>0</v>
      </c>
      <c r="T2259" s="62" t="n">
        <v>0</v>
      </c>
      <c r="U2259" s="62" t="s">
        <v>2056</v>
      </c>
      <c r="V2259" s="62" t="s">
        <v>2057</v>
      </c>
      <c r="W2259" s="62" t="s">
        <v>15</v>
      </c>
      <c r="X2259" s="62" t="s">
        <v>2058</v>
      </c>
      <c r="Y2259" s="62" t="s">
        <v>2103</v>
      </c>
      <c r="Z2259" s="62" t="s">
        <v>4098</v>
      </c>
      <c r="AA2259" s="62" t="s">
        <v>4105</v>
      </c>
      <c r="AB2259" s="62" t="n">
        <v>1</v>
      </c>
      <c r="AC2259" s="62" t="n">
        <v>0</v>
      </c>
      <c r="AD2259" s="62" t="n">
        <v>1</v>
      </c>
      <c r="AE2259" s="62" t="n">
        <f aca="false">IF(AND(Dashboard!$C$9="Yes",AC2259=1),0,1)</f>
        <v>1</v>
      </c>
      <c r="AF2259" s="62" t="n">
        <v>0</v>
      </c>
    </row>
    <row r="2260" customFormat="false" ht="15" hidden="false" customHeight="false" outlineLevel="0" collapsed="false">
      <c r="A2260" s="62" t="n">
        <v>2259</v>
      </c>
      <c r="B2260" s="63" t="n">
        <v>46285.0107407407</v>
      </c>
      <c r="C2260" s="64" t="n">
        <v>46284</v>
      </c>
      <c r="D2260" s="62" t="s">
        <v>358</v>
      </c>
      <c r="E2260" s="62" t="s">
        <v>1344</v>
      </c>
      <c r="F2260" s="62" t="s">
        <v>1344</v>
      </c>
      <c r="G2260" s="62" t="s">
        <v>1345</v>
      </c>
      <c r="H2260" s="62" t="s">
        <v>48</v>
      </c>
      <c r="I2260" s="62" t="s">
        <v>49</v>
      </c>
      <c r="J2260" s="62" t="s">
        <v>146</v>
      </c>
      <c r="K2260" s="62" t="s">
        <v>209</v>
      </c>
      <c r="L2260" s="62" t="s">
        <v>4</v>
      </c>
      <c r="M2260" s="62" t="n">
        <v>2</v>
      </c>
      <c r="N2260" s="62" t="n">
        <v>0</v>
      </c>
      <c r="O2260" s="62" t="n">
        <v>2</v>
      </c>
      <c r="P2260" s="62" t="n">
        <v>0</v>
      </c>
      <c r="Q2260" s="62" t="n">
        <v>0</v>
      </c>
      <c r="R2260" s="62" t="n">
        <v>0</v>
      </c>
      <c r="S2260" s="62" t="n">
        <v>0</v>
      </c>
      <c r="T2260" s="62" t="n">
        <v>0</v>
      </c>
      <c r="U2260" s="62" t="s">
        <v>2056</v>
      </c>
      <c r="V2260" s="62" t="s">
        <v>2057</v>
      </c>
      <c r="W2260" s="62" t="s">
        <v>2056</v>
      </c>
      <c r="X2260" s="62" t="s">
        <v>2234</v>
      </c>
      <c r="Y2260" s="62" t="s">
        <v>2165</v>
      </c>
      <c r="Z2260" s="62" t="s">
        <v>4106</v>
      </c>
      <c r="AA2260" s="62" t="s">
        <v>4107</v>
      </c>
      <c r="AB2260" s="62" t="n">
        <v>1</v>
      </c>
      <c r="AC2260" s="62" t="n">
        <v>0</v>
      </c>
      <c r="AD2260" s="62" t="n">
        <v>1</v>
      </c>
      <c r="AE2260" s="62" t="n">
        <f aca="false">IF(AND(Dashboard!$C$9="Yes",AC2260=1),0,1)</f>
        <v>1</v>
      </c>
      <c r="AF2260" s="62" t="n">
        <v>1</v>
      </c>
    </row>
    <row r="2261" customFormat="false" ht="15" hidden="false" customHeight="false" outlineLevel="0" collapsed="false">
      <c r="A2261" s="62" t="n">
        <v>2260</v>
      </c>
      <c r="B2261" s="63" t="n">
        <v>46285.0233912037</v>
      </c>
      <c r="C2261" s="64" t="n">
        <v>46284</v>
      </c>
      <c r="D2261" s="62" t="s">
        <v>358</v>
      </c>
      <c r="E2261" s="62" t="s">
        <v>180</v>
      </c>
      <c r="F2261" s="62" t="s">
        <v>180</v>
      </c>
      <c r="G2261" s="62" t="s">
        <v>181</v>
      </c>
      <c r="H2261" s="62" t="s">
        <v>58</v>
      </c>
      <c r="I2261" s="62" t="s">
        <v>49</v>
      </c>
      <c r="J2261" s="62" t="s">
        <v>146</v>
      </c>
      <c r="K2261" s="62" t="s">
        <v>175</v>
      </c>
      <c r="L2261" s="62" t="s">
        <v>4</v>
      </c>
      <c r="M2261" s="62" t="n">
        <v>1</v>
      </c>
      <c r="N2261" s="62" t="n">
        <v>0</v>
      </c>
      <c r="O2261" s="62" t="n">
        <v>1</v>
      </c>
      <c r="P2261" s="62" t="n">
        <v>0</v>
      </c>
      <c r="Q2261" s="62" t="n">
        <v>0</v>
      </c>
      <c r="R2261" s="62" t="n">
        <v>0</v>
      </c>
      <c r="S2261" s="62" t="n">
        <v>0</v>
      </c>
      <c r="T2261" s="62" t="n">
        <v>0</v>
      </c>
      <c r="U2261" s="62" t="s">
        <v>2056</v>
      </c>
      <c r="V2261" s="62" t="s">
        <v>2057</v>
      </c>
      <c r="W2261" s="62" t="s">
        <v>15</v>
      </c>
      <c r="X2261" s="62" t="s">
        <v>2058</v>
      </c>
      <c r="Y2261" s="62" t="s">
        <v>2059</v>
      </c>
      <c r="Z2261" s="62" t="s">
        <v>4108</v>
      </c>
      <c r="AA2261" s="62" t="s">
        <v>4109</v>
      </c>
      <c r="AB2261" s="62" t="n">
        <v>1</v>
      </c>
      <c r="AC2261" s="62" t="n">
        <v>0</v>
      </c>
      <c r="AD2261" s="62" t="n">
        <v>1</v>
      </c>
      <c r="AE2261" s="62" t="n">
        <f aca="false">IF(AND(Dashboard!$C$9="Yes",AC2261=1),0,1)</f>
        <v>1</v>
      </c>
      <c r="AF2261" s="62" t="n">
        <v>0</v>
      </c>
    </row>
    <row r="2262" customFormat="false" ht="15" hidden="false" customHeight="false" outlineLevel="0" collapsed="false">
      <c r="A2262" s="62" t="n">
        <v>2261</v>
      </c>
      <c r="B2262" s="63" t="n">
        <v>46285.0238078704</v>
      </c>
      <c r="C2262" s="64" t="n">
        <v>46284</v>
      </c>
      <c r="D2262" s="62" t="s">
        <v>358</v>
      </c>
      <c r="E2262" s="62" t="s">
        <v>1382</v>
      </c>
      <c r="F2262" s="62" t="s">
        <v>1382</v>
      </c>
      <c r="G2262" s="62" t="s">
        <v>1383</v>
      </c>
      <c r="H2262" s="62" t="s">
        <v>58</v>
      </c>
      <c r="I2262" s="62" t="s">
        <v>49</v>
      </c>
      <c r="J2262" s="62" t="s">
        <v>146</v>
      </c>
      <c r="K2262" s="62" t="s">
        <v>175</v>
      </c>
      <c r="L2262" s="62" t="s">
        <v>148</v>
      </c>
      <c r="M2262" s="62" t="n">
        <v>0</v>
      </c>
      <c r="N2262" s="62" t="n">
        <v>1</v>
      </c>
      <c r="O2262" s="62" t="n">
        <v>1</v>
      </c>
      <c r="P2262" s="62" t="n">
        <v>1</v>
      </c>
      <c r="Q2262" s="62" t="n">
        <v>0</v>
      </c>
      <c r="R2262" s="62" t="n">
        <v>0</v>
      </c>
      <c r="S2262" s="62" t="n">
        <v>0</v>
      </c>
      <c r="T2262" s="62" t="n">
        <v>0</v>
      </c>
      <c r="U2262" s="62"/>
      <c r="V2262" s="62"/>
      <c r="W2262" s="62"/>
      <c r="X2262" s="62"/>
      <c r="Y2262" s="62"/>
      <c r="Z2262" s="62" t="s">
        <v>4110</v>
      </c>
      <c r="AA2262" s="62" t="s">
        <v>4111</v>
      </c>
      <c r="AB2262" s="62" t="n">
        <v>1</v>
      </c>
      <c r="AC2262" s="62" t="n">
        <v>0</v>
      </c>
      <c r="AD2262" s="62" t="n">
        <v>1</v>
      </c>
      <c r="AE2262" s="62" t="n">
        <f aca="false">IF(AND(Dashboard!$C$9="Yes",AC2262=1),0,1)</f>
        <v>1</v>
      </c>
      <c r="AF2262" s="62" t="n">
        <v>1</v>
      </c>
    </row>
    <row r="2263" customFormat="false" ht="15" hidden="false" customHeight="false" outlineLevel="0" collapsed="false">
      <c r="A2263" s="62" t="n">
        <v>2262</v>
      </c>
      <c r="B2263" s="63" t="n">
        <v>46285.023912037</v>
      </c>
      <c r="C2263" s="64" t="n">
        <v>46284</v>
      </c>
      <c r="D2263" s="62" t="s">
        <v>358</v>
      </c>
      <c r="E2263" s="62" t="s">
        <v>273</v>
      </c>
      <c r="F2263" s="62" t="s">
        <v>273</v>
      </c>
      <c r="G2263" s="62" t="s">
        <v>274</v>
      </c>
      <c r="H2263" s="62" t="s">
        <v>59</v>
      </c>
      <c r="I2263" s="62" t="s">
        <v>47</v>
      </c>
      <c r="J2263" s="62" t="s">
        <v>146</v>
      </c>
      <c r="K2263" s="62" t="s">
        <v>147</v>
      </c>
      <c r="L2263" s="62" t="s">
        <v>148</v>
      </c>
      <c r="M2263" s="62" t="n">
        <v>0</v>
      </c>
      <c r="N2263" s="62" t="n">
        <v>1</v>
      </c>
      <c r="O2263" s="62" t="n">
        <v>1</v>
      </c>
      <c r="P2263" s="62" t="n">
        <v>1</v>
      </c>
      <c r="Q2263" s="62" t="n">
        <v>0</v>
      </c>
      <c r="R2263" s="62" t="n">
        <v>0</v>
      </c>
      <c r="S2263" s="62" t="n">
        <v>0</v>
      </c>
      <c r="T2263" s="62" t="n">
        <v>0</v>
      </c>
      <c r="U2263" s="62"/>
      <c r="V2263" s="62"/>
      <c r="W2263" s="62"/>
      <c r="X2263" s="62"/>
      <c r="Y2263" s="62"/>
      <c r="Z2263" s="62" t="s">
        <v>4112</v>
      </c>
      <c r="AA2263" s="62" t="s">
        <v>4113</v>
      </c>
      <c r="AB2263" s="62" t="n">
        <v>1</v>
      </c>
      <c r="AC2263" s="62" t="n">
        <v>0</v>
      </c>
      <c r="AD2263" s="62" t="n">
        <v>1</v>
      </c>
      <c r="AE2263" s="62" t="n">
        <f aca="false">IF(AND(Dashboard!$C$9="Yes",AC2263=1),0,1)</f>
        <v>1</v>
      </c>
      <c r="AF2263" s="62" t="n">
        <v>1</v>
      </c>
    </row>
    <row r="2264" customFormat="false" ht="15" hidden="false" customHeight="false" outlineLevel="0" collapsed="false">
      <c r="A2264" s="62" t="n">
        <v>2263</v>
      </c>
      <c r="B2264" s="63" t="n">
        <v>46285.0390509259</v>
      </c>
      <c r="C2264" s="64" t="n">
        <v>46284</v>
      </c>
      <c r="D2264" s="62" t="s">
        <v>358</v>
      </c>
      <c r="E2264" s="62" t="s">
        <v>1827</v>
      </c>
      <c r="F2264" s="62" t="s">
        <v>1827</v>
      </c>
      <c r="G2264" s="62" t="s">
        <v>1828</v>
      </c>
      <c r="H2264" s="62" t="s">
        <v>59</v>
      </c>
      <c r="I2264" s="62" t="s">
        <v>47</v>
      </c>
      <c r="J2264" s="62" t="s">
        <v>146</v>
      </c>
      <c r="K2264" s="62" t="s">
        <v>209</v>
      </c>
      <c r="L2264" s="62" t="s">
        <v>148</v>
      </c>
      <c r="M2264" s="62" t="n">
        <v>0</v>
      </c>
      <c r="N2264" s="62" t="n">
        <v>1</v>
      </c>
      <c r="O2264" s="62" t="n">
        <v>1</v>
      </c>
      <c r="P2264" s="62" t="n">
        <v>0</v>
      </c>
      <c r="Q2264" s="62" t="n">
        <v>1</v>
      </c>
      <c r="R2264" s="62" t="n">
        <v>0</v>
      </c>
      <c r="S2264" s="62" t="n">
        <v>0</v>
      </c>
      <c r="T2264" s="62" t="n">
        <v>0</v>
      </c>
      <c r="U2264" s="62"/>
      <c r="V2264" s="62"/>
      <c r="W2264" s="62"/>
      <c r="X2264" s="62"/>
      <c r="Y2264" s="62"/>
      <c r="Z2264" s="62" t="s">
        <v>4114</v>
      </c>
      <c r="AA2264" s="62" t="s">
        <v>4115</v>
      </c>
      <c r="AB2264" s="62" t="n">
        <v>1</v>
      </c>
      <c r="AC2264" s="62" t="n">
        <v>0</v>
      </c>
      <c r="AD2264" s="62" t="n">
        <v>1</v>
      </c>
      <c r="AE2264" s="62" t="n">
        <f aca="false">IF(AND(Dashboard!$C$9="Yes",AC2264=1),0,1)</f>
        <v>1</v>
      </c>
      <c r="AF2264" s="62" t="n">
        <v>0</v>
      </c>
    </row>
    <row r="2265" customFormat="false" ht="15" hidden="false" customHeight="false" outlineLevel="0" collapsed="false">
      <c r="A2265" s="62" t="n">
        <v>2264</v>
      </c>
      <c r="B2265" s="63" t="n">
        <v>46285.0538078704</v>
      </c>
      <c r="C2265" s="64" t="n">
        <v>46284</v>
      </c>
      <c r="D2265" s="62" t="s">
        <v>358</v>
      </c>
      <c r="E2265" s="62" t="s">
        <v>3018</v>
      </c>
      <c r="F2265" s="62" t="s">
        <v>3018</v>
      </c>
      <c r="G2265" s="62" t="s">
        <v>3019</v>
      </c>
      <c r="H2265" s="62" t="s">
        <v>58</v>
      </c>
      <c r="I2265" s="62" t="s">
        <v>49</v>
      </c>
      <c r="J2265" s="62" t="s">
        <v>146</v>
      </c>
      <c r="K2265" s="62" t="s">
        <v>175</v>
      </c>
      <c r="L2265" s="62" t="s">
        <v>148</v>
      </c>
      <c r="M2265" s="62" t="n">
        <v>0</v>
      </c>
      <c r="N2265" s="62" t="n">
        <v>1</v>
      </c>
      <c r="O2265" s="62" t="n">
        <v>1</v>
      </c>
      <c r="P2265" s="62" t="n">
        <v>1</v>
      </c>
      <c r="Q2265" s="62" t="n">
        <v>0</v>
      </c>
      <c r="R2265" s="62" t="n">
        <v>0</v>
      </c>
      <c r="S2265" s="62" t="n">
        <v>0</v>
      </c>
      <c r="T2265" s="62" t="n">
        <v>0</v>
      </c>
      <c r="U2265" s="62"/>
      <c r="V2265" s="62"/>
      <c r="W2265" s="62"/>
      <c r="X2265" s="62"/>
      <c r="Y2265" s="62"/>
      <c r="Z2265" s="62" t="s">
        <v>4116</v>
      </c>
      <c r="AA2265" s="62" t="s">
        <v>4117</v>
      </c>
      <c r="AB2265" s="62" t="n">
        <v>1</v>
      </c>
      <c r="AC2265" s="62" t="n">
        <v>0</v>
      </c>
      <c r="AD2265" s="62" t="n">
        <v>1</v>
      </c>
      <c r="AE2265" s="62" t="n">
        <f aca="false">IF(AND(Dashboard!$C$9="Yes",AC2265=1),0,1)</f>
        <v>1</v>
      </c>
      <c r="AF2265" s="62" t="n">
        <v>1</v>
      </c>
    </row>
    <row r="2266" customFormat="false" ht="15" hidden="false" customHeight="false" outlineLevel="0" collapsed="false">
      <c r="A2266" s="62" t="n">
        <v>2265</v>
      </c>
      <c r="B2266" s="63" t="n">
        <v>46285.0627199074</v>
      </c>
      <c r="C2266" s="64" t="n">
        <v>46284</v>
      </c>
      <c r="D2266" s="62" t="s">
        <v>358</v>
      </c>
      <c r="E2266" s="62" t="s">
        <v>371</v>
      </c>
      <c r="F2266" s="62" t="s">
        <v>371</v>
      </c>
      <c r="G2266" s="62" t="s">
        <v>372</v>
      </c>
      <c r="H2266" s="62" t="s">
        <v>59</v>
      </c>
      <c r="I2266" s="62" t="s">
        <v>47</v>
      </c>
      <c r="J2266" s="62" t="s">
        <v>146</v>
      </c>
      <c r="K2266" s="62" t="s">
        <v>147</v>
      </c>
      <c r="L2266" s="62" t="s">
        <v>148</v>
      </c>
      <c r="M2266" s="62" t="n">
        <v>0</v>
      </c>
      <c r="N2266" s="62" t="n">
        <v>1</v>
      </c>
      <c r="O2266" s="62" t="n">
        <v>1</v>
      </c>
      <c r="P2266" s="62" t="n">
        <v>0</v>
      </c>
      <c r="Q2266" s="62" t="n">
        <v>0</v>
      </c>
      <c r="R2266" s="62" t="n">
        <v>0</v>
      </c>
      <c r="S2266" s="62" t="n">
        <v>0</v>
      </c>
      <c r="T2266" s="62" t="n">
        <v>1</v>
      </c>
      <c r="U2266" s="62"/>
      <c r="V2266" s="62"/>
      <c r="W2266" s="62"/>
      <c r="X2266" s="62"/>
      <c r="Y2266" s="62"/>
      <c r="Z2266" s="62" t="s">
        <v>4118</v>
      </c>
      <c r="AA2266" s="62" t="s">
        <v>4119</v>
      </c>
      <c r="AB2266" s="62" t="n">
        <v>0</v>
      </c>
      <c r="AC2266" s="62" t="n">
        <v>0</v>
      </c>
      <c r="AD2266" s="62" t="n">
        <v>1</v>
      </c>
      <c r="AE2266" s="62" t="n">
        <f aca="false">IF(AND(Dashboard!$C$9="Yes",AC2266=1),0,1)</f>
        <v>1</v>
      </c>
      <c r="AF2266" s="62" t="n">
        <v>1</v>
      </c>
    </row>
    <row r="2267" customFormat="false" ht="15" hidden="false" customHeight="false" outlineLevel="0" collapsed="false">
      <c r="A2267" s="62" t="n">
        <v>2266</v>
      </c>
      <c r="B2267" s="63" t="n">
        <v>46285.0731481482</v>
      </c>
      <c r="C2267" s="64" t="n">
        <v>46284</v>
      </c>
      <c r="D2267" s="62" t="s">
        <v>358</v>
      </c>
      <c r="E2267" s="62" t="s">
        <v>1314</v>
      </c>
      <c r="F2267" s="62" t="s">
        <v>1314</v>
      </c>
      <c r="G2267" s="62" t="s">
        <v>1315</v>
      </c>
      <c r="H2267" s="62" t="s">
        <v>51</v>
      </c>
      <c r="I2267" s="62" t="s">
        <v>47</v>
      </c>
      <c r="J2267" s="62" t="s">
        <v>146</v>
      </c>
      <c r="K2267" s="62" t="s">
        <v>209</v>
      </c>
      <c r="L2267" s="62" t="s">
        <v>148</v>
      </c>
      <c r="M2267" s="62" t="n">
        <v>0</v>
      </c>
      <c r="N2267" s="62" t="n">
        <v>1</v>
      </c>
      <c r="O2267" s="62" t="n">
        <v>1</v>
      </c>
      <c r="P2267" s="62" t="n">
        <v>0</v>
      </c>
      <c r="Q2267" s="62" t="n">
        <v>1</v>
      </c>
      <c r="R2267" s="62" t="n">
        <v>0</v>
      </c>
      <c r="S2267" s="62" t="n">
        <v>0</v>
      </c>
      <c r="T2267" s="62" t="n">
        <v>0</v>
      </c>
      <c r="U2267" s="62"/>
      <c r="V2267" s="62"/>
      <c r="W2267" s="62"/>
      <c r="X2267" s="62"/>
      <c r="Y2267" s="62"/>
      <c r="Z2267" s="62" t="s">
        <v>4120</v>
      </c>
      <c r="AA2267" s="62" t="s">
        <v>4121</v>
      </c>
      <c r="AB2267" s="62" t="n">
        <v>1</v>
      </c>
      <c r="AC2267" s="62" t="n">
        <v>0</v>
      </c>
      <c r="AD2267" s="62" t="n">
        <v>1</v>
      </c>
      <c r="AE2267" s="62" t="n">
        <f aca="false">IF(AND(Dashboard!$C$9="Yes",AC2267=1),0,1)</f>
        <v>1</v>
      </c>
      <c r="AF2267" s="62" t="n">
        <v>1</v>
      </c>
    </row>
    <row r="2268" customFormat="false" ht="15" hidden="false" customHeight="false" outlineLevel="0" collapsed="false">
      <c r="A2268" s="62" t="n">
        <v>2267</v>
      </c>
      <c r="B2268" s="63" t="n">
        <v>46285.0783333333</v>
      </c>
      <c r="C2268" s="64" t="n">
        <v>46284</v>
      </c>
      <c r="D2268" s="62" t="s">
        <v>358</v>
      </c>
      <c r="E2268" s="62" t="s">
        <v>3226</v>
      </c>
      <c r="F2268" s="62" t="s">
        <v>3226</v>
      </c>
      <c r="G2268" s="62" t="s">
        <v>3227</v>
      </c>
      <c r="H2268" s="62" t="s">
        <v>46</v>
      </c>
      <c r="I2268" s="62" t="s">
        <v>47</v>
      </c>
      <c r="J2268" s="62" t="s">
        <v>146</v>
      </c>
      <c r="K2268" s="62" t="s">
        <v>209</v>
      </c>
      <c r="L2268" s="62" t="s">
        <v>148</v>
      </c>
      <c r="M2268" s="62" t="n">
        <v>0</v>
      </c>
      <c r="N2268" s="62" t="n">
        <v>1</v>
      </c>
      <c r="O2268" s="62" t="n">
        <v>1</v>
      </c>
      <c r="P2268" s="62" t="n">
        <v>0</v>
      </c>
      <c r="Q2268" s="62" t="n">
        <v>0</v>
      </c>
      <c r="R2268" s="62" t="n">
        <v>0</v>
      </c>
      <c r="S2268" s="62" t="n">
        <v>1</v>
      </c>
      <c r="T2268" s="62" t="n">
        <v>0</v>
      </c>
      <c r="U2268" s="62"/>
      <c r="V2268" s="62"/>
      <c r="W2268" s="62"/>
      <c r="X2268" s="62"/>
      <c r="Y2268" s="62"/>
      <c r="Z2268" s="62" t="s">
        <v>4122</v>
      </c>
      <c r="AA2268" s="62" t="s">
        <v>485</v>
      </c>
      <c r="AB2268" s="62" t="n">
        <v>0</v>
      </c>
      <c r="AC2268" s="62" t="n">
        <v>0</v>
      </c>
      <c r="AD2268" s="62" t="n">
        <v>1</v>
      </c>
      <c r="AE2268" s="62" t="n">
        <f aca="false">IF(AND(Dashboard!$C$9="Yes",AC2268=1),0,1)</f>
        <v>1</v>
      </c>
      <c r="AF2268" s="62" t="n">
        <v>1</v>
      </c>
    </row>
    <row r="2269" customFormat="false" ht="15" hidden="false" customHeight="false" outlineLevel="0" collapsed="false">
      <c r="A2269" s="62" t="n">
        <v>2268</v>
      </c>
      <c r="B2269" s="63" t="n">
        <v>46285.0986921296</v>
      </c>
      <c r="C2269" s="64" t="n">
        <v>46284</v>
      </c>
      <c r="D2269" s="62" t="s">
        <v>358</v>
      </c>
      <c r="E2269" s="62" t="s">
        <v>1539</v>
      </c>
      <c r="F2269" s="62" t="s">
        <v>1539</v>
      </c>
      <c r="G2269" s="62" t="s">
        <v>1540</v>
      </c>
      <c r="H2269" s="62" t="s">
        <v>52</v>
      </c>
      <c r="I2269" s="62" t="s">
        <v>47</v>
      </c>
      <c r="J2269" s="62" t="s">
        <v>146</v>
      </c>
      <c r="K2269" s="62" t="s">
        <v>147</v>
      </c>
      <c r="L2269" s="62" t="s">
        <v>4</v>
      </c>
      <c r="M2269" s="62" t="n">
        <v>1</v>
      </c>
      <c r="N2269" s="62" t="n">
        <v>0</v>
      </c>
      <c r="O2269" s="62" t="n">
        <v>1</v>
      </c>
      <c r="P2269" s="62" t="n">
        <v>0</v>
      </c>
      <c r="Q2269" s="62" t="n">
        <v>0</v>
      </c>
      <c r="R2269" s="62" t="n">
        <v>0</v>
      </c>
      <c r="S2269" s="62" t="n">
        <v>0</v>
      </c>
      <c r="T2269" s="62" t="n">
        <v>0</v>
      </c>
      <c r="U2269" s="62" t="s">
        <v>2056</v>
      </c>
      <c r="V2269" s="62" t="s">
        <v>2057</v>
      </c>
      <c r="W2269" s="62" t="s">
        <v>15</v>
      </c>
      <c r="X2269" s="62" t="s">
        <v>2058</v>
      </c>
      <c r="Y2269" s="62" t="s">
        <v>2059</v>
      </c>
      <c r="Z2269" s="62" t="s">
        <v>4123</v>
      </c>
      <c r="AA2269" s="62" t="s">
        <v>4124</v>
      </c>
      <c r="AB2269" s="62" t="n">
        <v>1</v>
      </c>
      <c r="AC2269" s="62" t="n">
        <v>0</v>
      </c>
      <c r="AD2269" s="62" t="n">
        <v>1</v>
      </c>
      <c r="AE2269" s="62" t="n">
        <f aca="false">IF(AND(Dashboard!$C$9="Yes",AC2269=1),0,1)</f>
        <v>1</v>
      </c>
      <c r="AF2269" s="62" t="n">
        <v>1</v>
      </c>
    </row>
    <row r="2270" customFormat="false" ht="15" hidden="false" customHeight="false" outlineLevel="0" collapsed="false">
      <c r="A2270" s="62" t="n">
        <v>2269</v>
      </c>
      <c r="B2270" s="63" t="n">
        <v>46285.1041319444</v>
      </c>
      <c r="C2270" s="64" t="n">
        <v>46284</v>
      </c>
      <c r="D2270" s="62" t="s">
        <v>358</v>
      </c>
      <c r="E2270" s="62" t="s">
        <v>2183</v>
      </c>
      <c r="F2270" s="62" t="s">
        <v>2183</v>
      </c>
      <c r="G2270" s="62" t="s">
        <v>2184</v>
      </c>
      <c r="H2270" s="62" t="s">
        <v>59</v>
      </c>
      <c r="I2270" s="62" t="s">
        <v>47</v>
      </c>
      <c r="J2270" s="62" t="s">
        <v>146</v>
      </c>
      <c r="K2270" s="62" t="s">
        <v>209</v>
      </c>
      <c r="L2270" s="62" t="s">
        <v>148</v>
      </c>
      <c r="M2270" s="62" t="n">
        <v>0</v>
      </c>
      <c r="N2270" s="62" t="n">
        <v>1</v>
      </c>
      <c r="O2270" s="62" t="n">
        <v>1</v>
      </c>
      <c r="P2270" s="62" t="n">
        <v>1</v>
      </c>
      <c r="Q2270" s="62" t="n">
        <v>0</v>
      </c>
      <c r="R2270" s="62" t="n">
        <v>0</v>
      </c>
      <c r="S2270" s="62" t="n">
        <v>0</v>
      </c>
      <c r="T2270" s="62" t="n">
        <v>0</v>
      </c>
      <c r="U2270" s="62"/>
      <c r="V2270" s="62"/>
      <c r="W2270" s="62"/>
      <c r="X2270" s="62"/>
      <c r="Y2270" s="62"/>
      <c r="Z2270" s="62" t="s">
        <v>4125</v>
      </c>
      <c r="AA2270" s="62" t="s">
        <v>4126</v>
      </c>
      <c r="AB2270" s="62" t="n">
        <v>1</v>
      </c>
      <c r="AC2270" s="62" t="n">
        <v>0</v>
      </c>
      <c r="AD2270" s="62" t="n">
        <v>1</v>
      </c>
      <c r="AE2270" s="62" t="n">
        <f aca="false">IF(AND(Dashboard!$C$9="Yes",AC2270=1),0,1)</f>
        <v>1</v>
      </c>
      <c r="AF2270" s="62" t="n">
        <v>0</v>
      </c>
    </row>
    <row r="2271" customFormat="false" ht="15" hidden="false" customHeight="false" outlineLevel="0" collapsed="false">
      <c r="A2271" s="62" t="n">
        <v>2270</v>
      </c>
      <c r="B2271" s="63" t="n">
        <v>46285.1064814815</v>
      </c>
      <c r="C2271" s="64" t="n">
        <v>46284</v>
      </c>
      <c r="D2271" s="62" t="s">
        <v>358</v>
      </c>
      <c r="E2271" s="62" t="s">
        <v>1539</v>
      </c>
      <c r="F2271" s="62" t="s">
        <v>1539</v>
      </c>
      <c r="G2271" s="62" t="s">
        <v>1540</v>
      </c>
      <c r="H2271" s="62" t="s">
        <v>52</v>
      </c>
      <c r="I2271" s="62" t="s">
        <v>47</v>
      </c>
      <c r="J2271" s="62" t="s">
        <v>146</v>
      </c>
      <c r="K2271" s="62" t="s">
        <v>147</v>
      </c>
      <c r="L2271" s="62" t="s">
        <v>148</v>
      </c>
      <c r="M2271" s="62" t="n">
        <v>0</v>
      </c>
      <c r="N2271" s="62" t="n">
        <v>1</v>
      </c>
      <c r="O2271" s="62" t="n">
        <v>1</v>
      </c>
      <c r="P2271" s="62" t="n">
        <v>1</v>
      </c>
      <c r="Q2271" s="62" t="n">
        <v>0</v>
      </c>
      <c r="R2271" s="62" t="n">
        <v>0</v>
      </c>
      <c r="S2271" s="62" t="n">
        <v>0</v>
      </c>
      <c r="T2271" s="62" t="n">
        <v>0</v>
      </c>
      <c r="U2271" s="62"/>
      <c r="V2271" s="62"/>
      <c r="W2271" s="62"/>
      <c r="X2271" s="62"/>
      <c r="Y2271" s="62"/>
      <c r="Z2271" s="62" t="s">
        <v>4127</v>
      </c>
      <c r="AA2271" s="62" t="s">
        <v>4128</v>
      </c>
      <c r="AB2271" s="62" t="n">
        <v>1</v>
      </c>
      <c r="AC2271" s="62" t="n">
        <v>0</v>
      </c>
      <c r="AD2271" s="62" t="n">
        <v>1</v>
      </c>
      <c r="AE2271" s="62" t="n">
        <f aca="false">IF(AND(Dashboard!$C$9="Yes",AC2271=1),0,1)</f>
        <v>1</v>
      </c>
      <c r="AF2271" s="62" t="n">
        <v>0</v>
      </c>
    </row>
    <row r="2272" customFormat="false" ht="15" hidden="false" customHeight="false" outlineLevel="0" collapsed="false">
      <c r="A2272" s="62" t="n">
        <v>2271</v>
      </c>
      <c r="B2272" s="63" t="n">
        <v>46285.1224652778</v>
      </c>
      <c r="C2272" s="64" t="n">
        <v>46284</v>
      </c>
      <c r="D2272" s="62" t="s">
        <v>358</v>
      </c>
      <c r="E2272" s="62" t="s">
        <v>1539</v>
      </c>
      <c r="F2272" s="62" t="s">
        <v>1539</v>
      </c>
      <c r="G2272" s="62" t="s">
        <v>1540</v>
      </c>
      <c r="H2272" s="62" t="s">
        <v>52</v>
      </c>
      <c r="I2272" s="62" t="s">
        <v>47</v>
      </c>
      <c r="J2272" s="62" t="s">
        <v>146</v>
      </c>
      <c r="K2272" s="62" t="s">
        <v>147</v>
      </c>
      <c r="L2272" s="62" t="s">
        <v>148</v>
      </c>
      <c r="M2272" s="62" t="n">
        <v>0</v>
      </c>
      <c r="N2272" s="62" t="n">
        <v>1</v>
      </c>
      <c r="O2272" s="62" t="n">
        <v>1</v>
      </c>
      <c r="P2272" s="62" t="n">
        <v>1</v>
      </c>
      <c r="Q2272" s="62" t="n">
        <v>0</v>
      </c>
      <c r="R2272" s="62" t="n">
        <v>0</v>
      </c>
      <c r="S2272" s="62" t="n">
        <v>0</v>
      </c>
      <c r="T2272" s="62" t="n">
        <v>0</v>
      </c>
      <c r="U2272" s="62"/>
      <c r="V2272" s="62"/>
      <c r="W2272" s="62"/>
      <c r="X2272" s="62"/>
      <c r="Y2272" s="62"/>
      <c r="Z2272" s="62" t="s">
        <v>4129</v>
      </c>
      <c r="AA2272" s="62" t="s">
        <v>4130</v>
      </c>
      <c r="AB2272" s="62" t="n">
        <v>1</v>
      </c>
      <c r="AC2272" s="62" t="n">
        <v>0</v>
      </c>
      <c r="AD2272" s="62" t="n">
        <v>1</v>
      </c>
      <c r="AE2272" s="62" t="n">
        <f aca="false">IF(AND(Dashboard!$C$9="Yes",AC2272=1),0,1)</f>
        <v>1</v>
      </c>
      <c r="AF2272" s="62" t="n">
        <v>0</v>
      </c>
    </row>
    <row r="2273" customFormat="false" ht="15" hidden="false" customHeight="false" outlineLevel="0" collapsed="false">
      <c r="A2273" s="62" t="n">
        <v>2272</v>
      </c>
      <c r="B2273" s="63" t="n">
        <v>46285.1253819445</v>
      </c>
      <c r="C2273" s="64" t="n">
        <v>46284</v>
      </c>
      <c r="D2273" s="62" t="s">
        <v>358</v>
      </c>
      <c r="E2273" s="62" t="s">
        <v>2722</v>
      </c>
      <c r="F2273" s="62" t="s">
        <v>2722</v>
      </c>
      <c r="G2273" s="62" t="s">
        <v>2723</v>
      </c>
      <c r="H2273" s="62" t="s">
        <v>55</v>
      </c>
      <c r="I2273" s="62" t="s">
        <v>49</v>
      </c>
      <c r="J2273" s="62" t="s">
        <v>146</v>
      </c>
      <c r="K2273" s="62" t="s">
        <v>209</v>
      </c>
      <c r="L2273" s="62" t="s">
        <v>148</v>
      </c>
      <c r="M2273" s="62" t="n">
        <v>0</v>
      </c>
      <c r="N2273" s="62" t="n">
        <v>1</v>
      </c>
      <c r="O2273" s="62" t="n">
        <v>1</v>
      </c>
      <c r="P2273" s="62" t="n">
        <v>1</v>
      </c>
      <c r="Q2273" s="62" t="n">
        <v>0</v>
      </c>
      <c r="R2273" s="62" t="n">
        <v>0</v>
      </c>
      <c r="S2273" s="62" t="n">
        <v>0</v>
      </c>
      <c r="T2273" s="62" t="n">
        <v>0</v>
      </c>
      <c r="U2273" s="62"/>
      <c r="V2273" s="62"/>
      <c r="W2273" s="62"/>
      <c r="X2273" s="62"/>
      <c r="Y2273" s="62"/>
      <c r="Z2273" s="62" t="s">
        <v>4131</v>
      </c>
      <c r="AA2273" s="62" t="s">
        <v>4132</v>
      </c>
      <c r="AB2273" s="62" t="n">
        <v>1</v>
      </c>
      <c r="AC2273" s="62" t="n">
        <v>0</v>
      </c>
      <c r="AD2273" s="62" t="n">
        <v>1</v>
      </c>
      <c r="AE2273" s="62" t="n">
        <f aca="false">IF(AND(Dashboard!$C$9="Yes",AC2273=1),0,1)</f>
        <v>1</v>
      </c>
      <c r="AF2273" s="62" t="n">
        <v>1</v>
      </c>
    </row>
    <row r="2274" customFormat="false" ht="15" hidden="false" customHeight="false" outlineLevel="0" collapsed="false">
      <c r="A2274" s="62" t="n">
        <v>2273</v>
      </c>
      <c r="B2274" s="63" t="n">
        <v>46285.1459259259</v>
      </c>
      <c r="C2274" s="64" t="n">
        <v>46284</v>
      </c>
      <c r="D2274" s="62" t="s">
        <v>358</v>
      </c>
      <c r="E2274" s="62" t="s">
        <v>790</v>
      </c>
      <c r="F2274" s="62" t="s">
        <v>791</v>
      </c>
      <c r="G2274" s="62" t="s">
        <v>153</v>
      </c>
      <c r="H2274" s="62" t="s">
        <v>153</v>
      </c>
      <c r="I2274" s="62" t="s">
        <v>153</v>
      </c>
      <c r="J2274" s="62" t="s">
        <v>64</v>
      </c>
      <c r="K2274" s="62" t="s">
        <v>64</v>
      </c>
      <c r="L2274" s="62" t="s">
        <v>148</v>
      </c>
      <c r="M2274" s="62" t="n">
        <v>0</v>
      </c>
      <c r="N2274" s="62" t="n">
        <v>2</v>
      </c>
      <c r="O2274" s="62" t="n">
        <v>2</v>
      </c>
      <c r="P2274" s="62" t="n">
        <v>1</v>
      </c>
      <c r="Q2274" s="62" t="n">
        <v>1</v>
      </c>
      <c r="R2274" s="62" t="n">
        <v>0</v>
      </c>
      <c r="S2274" s="62" t="n">
        <v>0</v>
      </c>
      <c r="T2274" s="62" t="n">
        <v>0</v>
      </c>
      <c r="U2274" s="62"/>
      <c r="V2274" s="62"/>
      <c r="W2274" s="62"/>
      <c r="X2274" s="62"/>
      <c r="Y2274" s="62"/>
      <c r="Z2274" s="62" t="s">
        <v>4133</v>
      </c>
      <c r="AA2274" s="62" t="s">
        <v>4134</v>
      </c>
      <c r="AB2274" s="62" t="n">
        <v>1</v>
      </c>
      <c r="AC2274" s="62" t="n">
        <v>0</v>
      </c>
      <c r="AD2274" s="62" t="n">
        <v>0</v>
      </c>
      <c r="AE2274" s="62" t="n">
        <f aca="false">IF(AND(Dashboard!$C$9="Yes",AC2274=1),0,1)</f>
        <v>1</v>
      </c>
      <c r="AF2274" s="62" t="n">
        <v>1</v>
      </c>
    </row>
    <row r="2275" customFormat="false" ht="15" hidden="false" customHeight="false" outlineLevel="0" collapsed="false">
      <c r="A2275" s="62" t="n">
        <v>2274</v>
      </c>
      <c r="B2275" s="63" t="n">
        <v>46285.1653472222</v>
      </c>
      <c r="C2275" s="64" t="n">
        <v>46284</v>
      </c>
      <c r="D2275" s="62" t="s">
        <v>358</v>
      </c>
      <c r="E2275" s="62" t="s">
        <v>790</v>
      </c>
      <c r="F2275" s="62" t="s">
        <v>791</v>
      </c>
      <c r="G2275" s="62" t="s">
        <v>153</v>
      </c>
      <c r="H2275" s="62" t="s">
        <v>153</v>
      </c>
      <c r="I2275" s="62" t="s">
        <v>153</v>
      </c>
      <c r="J2275" s="62" t="s">
        <v>64</v>
      </c>
      <c r="K2275" s="62" t="s">
        <v>64</v>
      </c>
      <c r="L2275" s="62" t="s">
        <v>148</v>
      </c>
      <c r="M2275" s="62" t="n">
        <v>0</v>
      </c>
      <c r="N2275" s="62" t="n">
        <v>1</v>
      </c>
      <c r="O2275" s="62" t="n">
        <v>1</v>
      </c>
      <c r="P2275" s="62" t="n">
        <v>0</v>
      </c>
      <c r="Q2275" s="62" t="n">
        <v>0</v>
      </c>
      <c r="R2275" s="62" t="n">
        <v>1</v>
      </c>
      <c r="S2275" s="62" t="n">
        <v>0</v>
      </c>
      <c r="T2275" s="62" t="n">
        <v>0</v>
      </c>
      <c r="U2275" s="62"/>
      <c r="V2275" s="62"/>
      <c r="W2275" s="62"/>
      <c r="X2275" s="62"/>
      <c r="Y2275" s="62"/>
      <c r="Z2275" s="62" t="s">
        <v>4135</v>
      </c>
      <c r="AA2275" s="62" t="s">
        <v>4136</v>
      </c>
      <c r="AB2275" s="62" t="n">
        <v>1</v>
      </c>
      <c r="AC2275" s="62" t="n">
        <v>0</v>
      </c>
      <c r="AD2275" s="62" t="n">
        <v>0</v>
      </c>
      <c r="AE2275" s="62" t="n">
        <f aca="false">IF(AND(Dashboard!$C$9="Yes",AC2275=1),0,1)</f>
        <v>1</v>
      </c>
      <c r="AF2275" s="62" t="n">
        <v>0</v>
      </c>
    </row>
    <row r="2276" customFormat="false" ht="15" hidden="false" customHeight="false" outlineLevel="0" collapsed="false">
      <c r="A2276" s="62" t="n">
        <v>2275</v>
      </c>
      <c r="B2276" s="63" t="n">
        <v>46285.1994907407</v>
      </c>
      <c r="C2276" s="64" t="n">
        <v>46284</v>
      </c>
      <c r="D2276" s="62" t="s">
        <v>358</v>
      </c>
      <c r="E2276" s="62" t="s">
        <v>790</v>
      </c>
      <c r="F2276" s="62" t="s">
        <v>791</v>
      </c>
      <c r="G2276" s="62" t="s">
        <v>153</v>
      </c>
      <c r="H2276" s="62" t="s">
        <v>153</v>
      </c>
      <c r="I2276" s="62" t="s">
        <v>153</v>
      </c>
      <c r="J2276" s="62" t="s">
        <v>64</v>
      </c>
      <c r="K2276" s="62" t="s">
        <v>64</v>
      </c>
      <c r="L2276" s="62" t="s">
        <v>148</v>
      </c>
      <c r="M2276" s="62" t="n">
        <v>0</v>
      </c>
      <c r="N2276" s="62" t="n">
        <v>1</v>
      </c>
      <c r="O2276" s="62" t="n">
        <v>1</v>
      </c>
      <c r="P2276" s="62" t="n">
        <v>1</v>
      </c>
      <c r="Q2276" s="62" t="n">
        <v>0</v>
      </c>
      <c r="R2276" s="62" t="n">
        <v>0</v>
      </c>
      <c r="S2276" s="62" t="n">
        <v>0</v>
      </c>
      <c r="T2276" s="62" t="n">
        <v>0</v>
      </c>
      <c r="U2276" s="62"/>
      <c r="V2276" s="62"/>
      <c r="W2276" s="62"/>
      <c r="X2276" s="62"/>
      <c r="Y2276" s="62"/>
      <c r="Z2276" s="62" t="s">
        <v>4137</v>
      </c>
      <c r="AA2276" s="62" t="s">
        <v>4138</v>
      </c>
      <c r="AB2276" s="62" t="n">
        <v>1</v>
      </c>
      <c r="AC2276" s="62" t="n">
        <v>0</v>
      </c>
      <c r="AD2276" s="62" t="n">
        <v>0</v>
      </c>
      <c r="AE2276" s="62" t="n">
        <f aca="false">IF(AND(Dashboard!$C$9="Yes",AC2276=1),0,1)</f>
        <v>1</v>
      </c>
      <c r="AF2276" s="62" t="n">
        <v>0</v>
      </c>
    </row>
    <row r="2277" customFormat="false" ht="15" hidden="false" customHeight="false" outlineLevel="0" collapsed="false">
      <c r="A2277" s="62" t="n">
        <v>2276</v>
      </c>
      <c r="B2277" s="63" t="n">
        <v>46285.215787037</v>
      </c>
      <c r="C2277" s="64" t="n">
        <v>46284</v>
      </c>
      <c r="D2277" s="62" t="s">
        <v>358</v>
      </c>
      <c r="E2277" s="62" t="s">
        <v>2910</v>
      </c>
      <c r="F2277" s="62" t="s">
        <v>2910</v>
      </c>
      <c r="G2277" s="62" t="s">
        <v>2911</v>
      </c>
      <c r="H2277" s="62" t="s">
        <v>48</v>
      </c>
      <c r="I2277" s="62" t="s">
        <v>49</v>
      </c>
      <c r="J2277" s="62" t="s">
        <v>146</v>
      </c>
      <c r="K2277" s="62" t="s">
        <v>209</v>
      </c>
      <c r="L2277" s="62" t="s">
        <v>148</v>
      </c>
      <c r="M2277" s="62" t="n">
        <v>0</v>
      </c>
      <c r="N2277" s="62" t="n">
        <v>1</v>
      </c>
      <c r="O2277" s="62" t="n">
        <v>1</v>
      </c>
      <c r="P2277" s="62" t="n">
        <v>1</v>
      </c>
      <c r="Q2277" s="62" t="n">
        <v>0</v>
      </c>
      <c r="R2277" s="62" t="n">
        <v>0</v>
      </c>
      <c r="S2277" s="62" t="n">
        <v>0</v>
      </c>
      <c r="T2277" s="62" t="n">
        <v>0</v>
      </c>
      <c r="U2277" s="62"/>
      <c r="V2277" s="62"/>
      <c r="W2277" s="62"/>
      <c r="X2277" s="62"/>
      <c r="Y2277" s="62"/>
      <c r="Z2277" s="62" t="s">
        <v>4139</v>
      </c>
      <c r="AA2277" s="62" t="s">
        <v>4140</v>
      </c>
      <c r="AB2277" s="62" t="n">
        <v>1</v>
      </c>
      <c r="AC2277" s="62" t="n">
        <v>0</v>
      </c>
      <c r="AD2277" s="62" t="n">
        <v>1</v>
      </c>
      <c r="AE2277" s="62" t="n">
        <f aca="false">IF(AND(Dashboard!$C$9="Yes",AC2277=1),0,1)</f>
        <v>1</v>
      </c>
      <c r="AF2277" s="62" t="n">
        <v>1</v>
      </c>
    </row>
    <row r="2278" customFormat="false" ht="15" hidden="false" customHeight="false" outlineLevel="0" collapsed="false">
      <c r="A2278" s="62" t="n">
        <v>2277</v>
      </c>
      <c r="B2278" s="63" t="n">
        <v>46285.2241319444</v>
      </c>
      <c r="C2278" s="64" t="n">
        <v>46284</v>
      </c>
      <c r="D2278" s="62" t="s">
        <v>358</v>
      </c>
      <c r="E2278" s="62" t="s">
        <v>2395</v>
      </c>
      <c r="F2278" s="62" t="s">
        <v>2395</v>
      </c>
      <c r="G2278" s="62" t="s">
        <v>2396</v>
      </c>
      <c r="H2278" s="62" t="s">
        <v>59</v>
      </c>
      <c r="I2278" s="62" t="s">
        <v>47</v>
      </c>
      <c r="J2278" s="62" t="s">
        <v>146</v>
      </c>
      <c r="K2278" s="62" t="s">
        <v>209</v>
      </c>
      <c r="L2278" s="62" t="s">
        <v>148</v>
      </c>
      <c r="M2278" s="62" t="n">
        <v>0</v>
      </c>
      <c r="N2278" s="62" t="n">
        <v>1</v>
      </c>
      <c r="O2278" s="62" t="n">
        <v>1</v>
      </c>
      <c r="P2278" s="62" t="n">
        <v>1</v>
      </c>
      <c r="Q2278" s="62" t="n">
        <v>0</v>
      </c>
      <c r="R2278" s="62" t="n">
        <v>0</v>
      </c>
      <c r="S2278" s="62" t="n">
        <v>0</v>
      </c>
      <c r="T2278" s="62" t="n">
        <v>0</v>
      </c>
      <c r="U2278" s="62"/>
      <c r="V2278" s="62"/>
      <c r="W2278" s="62"/>
      <c r="X2278" s="62"/>
      <c r="Y2278" s="62"/>
      <c r="Z2278" s="62" t="s">
        <v>4141</v>
      </c>
      <c r="AA2278" s="62" t="s">
        <v>4142</v>
      </c>
      <c r="AB2278" s="62" t="n">
        <v>0</v>
      </c>
      <c r="AC2278" s="62" t="n">
        <v>0</v>
      </c>
      <c r="AD2278" s="62" t="n">
        <v>1</v>
      </c>
      <c r="AE2278" s="62" t="n">
        <f aca="false">IF(AND(Dashboard!$C$9="Yes",AC2278=1),0,1)</f>
        <v>1</v>
      </c>
      <c r="AF2278" s="62" t="n">
        <v>0</v>
      </c>
    </row>
    <row r="2279" customFormat="false" ht="15" hidden="false" customHeight="false" outlineLevel="0" collapsed="false">
      <c r="A2279" s="62" t="n">
        <v>2278</v>
      </c>
      <c r="B2279" s="63" t="n">
        <v>46285.2281944445</v>
      </c>
      <c r="C2279" s="64" t="n">
        <v>46284</v>
      </c>
      <c r="D2279" s="62" t="s">
        <v>358</v>
      </c>
      <c r="E2279" s="62" t="s">
        <v>2395</v>
      </c>
      <c r="F2279" s="62" t="s">
        <v>2395</v>
      </c>
      <c r="G2279" s="62" t="s">
        <v>2396</v>
      </c>
      <c r="H2279" s="62" t="s">
        <v>59</v>
      </c>
      <c r="I2279" s="62" t="s">
        <v>47</v>
      </c>
      <c r="J2279" s="62" t="s">
        <v>146</v>
      </c>
      <c r="K2279" s="62" t="s">
        <v>209</v>
      </c>
      <c r="L2279" s="62" t="s">
        <v>148</v>
      </c>
      <c r="M2279" s="62" t="n">
        <v>0</v>
      </c>
      <c r="N2279" s="62" t="n">
        <v>1</v>
      </c>
      <c r="O2279" s="62" t="n">
        <v>1</v>
      </c>
      <c r="P2279" s="62" t="n">
        <v>1</v>
      </c>
      <c r="Q2279" s="62" t="n">
        <v>0</v>
      </c>
      <c r="R2279" s="62" t="n">
        <v>0</v>
      </c>
      <c r="S2279" s="62" t="n">
        <v>0</v>
      </c>
      <c r="T2279" s="62" t="n">
        <v>0</v>
      </c>
      <c r="U2279" s="62"/>
      <c r="V2279" s="62"/>
      <c r="W2279" s="62"/>
      <c r="X2279" s="62"/>
      <c r="Y2279" s="62"/>
      <c r="Z2279" s="62" t="s">
        <v>4143</v>
      </c>
      <c r="AA2279" s="62" t="s">
        <v>4144</v>
      </c>
      <c r="AB2279" s="62" t="n">
        <v>1</v>
      </c>
      <c r="AC2279" s="62" t="n">
        <v>0</v>
      </c>
      <c r="AD2279" s="62" t="n">
        <v>1</v>
      </c>
      <c r="AE2279" s="62" t="n">
        <f aca="false">IF(AND(Dashboard!$C$9="Yes",AC2279=1),0,1)</f>
        <v>1</v>
      </c>
      <c r="AF2279" s="62" t="n">
        <v>0</v>
      </c>
    </row>
    <row r="2280" customFormat="false" ht="15" hidden="false" customHeight="false" outlineLevel="0" collapsed="false">
      <c r="A2280" s="62" t="n">
        <v>2279</v>
      </c>
      <c r="B2280" s="63" t="n">
        <v>46285.2293518519</v>
      </c>
      <c r="C2280" s="64" t="n">
        <v>46284</v>
      </c>
      <c r="D2280" s="62" t="s">
        <v>358</v>
      </c>
      <c r="E2280" s="62" t="s">
        <v>2722</v>
      </c>
      <c r="F2280" s="62" t="s">
        <v>2722</v>
      </c>
      <c r="G2280" s="62" t="s">
        <v>2723</v>
      </c>
      <c r="H2280" s="62" t="s">
        <v>55</v>
      </c>
      <c r="I2280" s="62" t="s">
        <v>49</v>
      </c>
      <c r="J2280" s="62" t="s">
        <v>146</v>
      </c>
      <c r="K2280" s="62" t="s">
        <v>209</v>
      </c>
      <c r="L2280" s="62" t="s">
        <v>148</v>
      </c>
      <c r="M2280" s="62" t="n">
        <v>0</v>
      </c>
      <c r="N2280" s="62" t="n">
        <v>1</v>
      </c>
      <c r="O2280" s="62" t="n">
        <v>1</v>
      </c>
      <c r="P2280" s="62" t="n">
        <v>0</v>
      </c>
      <c r="Q2280" s="62" t="n">
        <v>1</v>
      </c>
      <c r="R2280" s="62" t="n">
        <v>0</v>
      </c>
      <c r="S2280" s="62" t="n">
        <v>0</v>
      </c>
      <c r="T2280" s="62" t="n">
        <v>0</v>
      </c>
      <c r="U2280" s="62"/>
      <c r="V2280" s="62"/>
      <c r="W2280" s="62"/>
      <c r="X2280" s="62"/>
      <c r="Y2280" s="62"/>
      <c r="Z2280" s="62" t="s">
        <v>3624</v>
      </c>
      <c r="AA2280" s="62" t="s">
        <v>3625</v>
      </c>
      <c r="AB2280" s="62" t="n">
        <v>1</v>
      </c>
      <c r="AC2280" s="62" t="n">
        <v>1</v>
      </c>
      <c r="AD2280" s="62" t="n">
        <v>1</v>
      </c>
      <c r="AE2280" s="62" t="n">
        <f aca="false">IF(AND(Dashboard!$C$9="Yes",AC2280=1),0,1)</f>
        <v>0</v>
      </c>
      <c r="AF2280" s="62" t="n">
        <v>0</v>
      </c>
    </row>
    <row r="2281" customFormat="false" ht="15" hidden="false" customHeight="false" outlineLevel="0" collapsed="false">
      <c r="A2281" s="62" t="n">
        <v>2280</v>
      </c>
      <c r="B2281" s="63" t="n">
        <v>46285.6240972222</v>
      </c>
      <c r="C2281" s="64" t="n">
        <v>46285</v>
      </c>
      <c r="D2281" s="62" t="s">
        <v>393</v>
      </c>
      <c r="E2281" s="62" t="s">
        <v>2156</v>
      </c>
      <c r="F2281" s="62" t="s">
        <v>2156</v>
      </c>
      <c r="G2281" s="62" t="s">
        <v>2157</v>
      </c>
      <c r="H2281" s="62" t="s">
        <v>52</v>
      </c>
      <c r="I2281" s="62" t="s">
        <v>47</v>
      </c>
      <c r="J2281" s="62" t="s">
        <v>146</v>
      </c>
      <c r="K2281" s="62" t="s">
        <v>209</v>
      </c>
      <c r="L2281" s="62" t="s">
        <v>148</v>
      </c>
      <c r="M2281" s="62" t="n">
        <v>0</v>
      </c>
      <c r="N2281" s="62" t="n">
        <v>2</v>
      </c>
      <c r="O2281" s="62" t="n">
        <v>2</v>
      </c>
      <c r="P2281" s="62" t="n">
        <v>1</v>
      </c>
      <c r="Q2281" s="62" t="n">
        <v>1</v>
      </c>
      <c r="R2281" s="62" t="n">
        <v>0</v>
      </c>
      <c r="S2281" s="62" t="n">
        <v>0</v>
      </c>
      <c r="T2281" s="62" t="n">
        <v>0</v>
      </c>
      <c r="U2281" s="62"/>
      <c r="V2281" s="62"/>
      <c r="W2281" s="62"/>
      <c r="X2281" s="62"/>
      <c r="Y2281" s="62"/>
      <c r="Z2281" s="62" t="s">
        <v>4145</v>
      </c>
      <c r="AA2281" s="62" t="s">
        <v>4146</v>
      </c>
      <c r="AB2281" s="62" t="n">
        <v>1</v>
      </c>
      <c r="AC2281" s="62" t="n">
        <v>0</v>
      </c>
      <c r="AD2281" s="62" t="n">
        <v>1</v>
      </c>
      <c r="AE2281" s="62" t="n">
        <f aca="false">IF(AND(Dashboard!$C$9="Yes",AC2281=1),0,1)</f>
        <v>1</v>
      </c>
      <c r="AF2281" s="62" t="n">
        <v>1</v>
      </c>
    </row>
    <row r="2282" customFormat="false" ht="15" hidden="false" customHeight="false" outlineLevel="0" collapsed="false">
      <c r="A2282" s="62" t="n">
        <v>2281</v>
      </c>
      <c r="B2282" s="63" t="n">
        <v>46285.6305787037</v>
      </c>
      <c r="C2282" s="64" t="n">
        <v>46285</v>
      </c>
      <c r="D2282" s="62" t="s">
        <v>393</v>
      </c>
      <c r="E2282" s="62" t="s">
        <v>3580</v>
      </c>
      <c r="F2282" s="62" t="s">
        <v>3580</v>
      </c>
      <c r="G2282" s="62" t="s">
        <v>3581</v>
      </c>
      <c r="H2282" s="62" t="s">
        <v>51</v>
      </c>
      <c r="I2282" s="62" t="s">
        <v>47</v>
      </c>
      <c r="J2282" s="62" t="s">
        <v>146</v>
      </c>
      <c r="K2282" s="62" t="s">
        <v>209</v>
      </c>
      <c r="L2282" s="62" t="s">
        <v>148</v>
      </c>
      <c r="M2282" s="62" t="n">
        <v>0</v>
      </c>
      <c r="N2282" s="62" t="n">
        <v>1</v>
      </c>
      <c r="O2282" s="62" t="n">
        <v>1</v>
      </c>
      <c r="P2282" s="62" t="n">
        <v>1</v>
      </c>
      <c r="Q2282" s="62" t="n">
        <v>0</v>
      </c>
      <c r="R2282" s="62" t="n">
        <v>0</v>
      </c>
      <c r="S2282" s="62" t="n">
        <v>0</v>
      </c>
      <c r="T2282" s="62" t="n">
        <v>0</v>
      </c>
      <c r="U2282" s="62"/>
      <c r="V2282" s="62"/>
      <c r="W2282" s="62"/>
      <c r="X2282" s="62"/>
      <c r="Y2282" s="62"/>
      <c r="Z2282" s="62" t="s">
        <v>4147</v>
      </c>
      <c r="AA2282" s="62" t="s">
        <v>4148</v>
      </c>
      <c r="AB2282" s="62" t="n">
        <v>1</v>
      </c>
      <c r="AC2282" s="62" t="n">
        <v>0</v>
      </c>
      <c r="AD2282" s="62" t="n">
        <v>1</v>
      </c>
      <c r="AE2282" s="62" t="n">
        <f aca="false">IF(AND(Dashboard!$C$9="Yes",AC2282=1),0,1)</f>
        <v>1</v>
      </c>
      <c r="AF2282" s="62" t="n">
        <v>1</v>
      </c>
    </row>
    <row r="2283" customFormat="false" ht="15" hidden="false" customHeight="false" outlineLevel="0" collapsed="false">
      <c r="A2283" s="62" t="n">
        <v>2282</v>
      </c>
      <c r="B2283" s="63" t="n">
        <v>46285.6575578704</v>
      </c>
      <c r="C2283" s="64" t="n">
        <v>46285</v>
      </c>
      <c r="D2283" s="62" t="s">
        <v>393</v>
      </c>
      <c r="E2283" s="62" t="s">
        <v>573</v>
      </c>
      <c r="F2283" s="62" t="s">
        <v>573</v>
      </c>
      <c r="G2283" s="62" t="s">
        <v>574</v>
      </c>
      <c r="H2283" s="62" t="s">
        <v>51</v>
      </c>
      <c r="I2283" s="62" t="s">
        <v>47</v>
      </c>
      <c r="J2283" s="62" t="s">
        <v>146</v>
      </c>
      <c r="K2283" s="62" t="s">
        <v>147</v>
      </c>
      <c r="L2283" s="62" t="s">
        <v>148</v>
      </c>
      <c r="M2283" s="62" t="n">
        <v>0</v>
      </c>
      <c r="N2283" s="62" t="n">
        <v>1</v>
      </c>
      <c r="O2283" s="62" t="n">
        <v>1</v>
      </c>
      <c r="P2283" s="62" t="n">
        <v>0</v>
      </c>
      <c r="Q2283" s="62" t="n">
        <v>1</v>
      </c>
      <c r="R2283" s="62" t="n">
        <v>0</v>
      </c>
      <c r="S2283" s="62" t="n">
        <v>0</v>
      </c>
      <c r="T2283" s="62" t="n">
        <v>0</v>
      </c>
      <c r="U2283" s="62"/>
      <c r="V2283" s="62"/>
      <c r="W2283" s="62"/>
      <c r="X2283" s="62"/>
      <c r="Y2283" s="62"/>
      <c r="Z2283" s="62" t="s">
        <v>4149</v>
      </c>
      <c r="AA2283" s="62" t="s">
        <v>4150</v>
      </c>
      <c r="AB2283" s="62" t="n">
        <v>1</v>
      </c>
      <c r="AC2283" s="62" t="n">
        <v>0</v>
      </c>
      <c r="AD2283" s="62" t="n">
        <v>1</v>
      </c>
      <c r="AE2283" s="62" t="n">
        <f aca="false">IF(AND(Dashboard!$C$9="Yes",AC2283=1),0,1)</f>
        <v>1</v>
      </c>
      <c r="AF2283" s="62" t="n">
        <v>1</v>
      </c>
    </row>
    <row r="2284" customFormat="false" ht="15" hidden="false" customHeight="false" outlineLevel="0" collapsed="false">
      <c r="A2284" s="62" t="n">
        <v>2283</v>
      </c>
      <c r="B2284" s="63" t="n">
        <v>46285.6857060185</v>
      </c>
      <c r="C2284" s="64" t="n">
        <v>46285</v>
      </c>
      <c r="D2284" s="62" t="s">
        <v>393</v>
      </c>
      <c r="E2284" s="62" t="s">
        <v>3022</v>
      </c>
      <c r="F2284" s="62" t="s">
        <v>3022</v>
      </c>
      <c r="G2284" s="62" t="s">
        <v>3023</v>
      </c>
      <c r="H2284" s="62" t="s">
        <v>46</v>
      </c>
      <c r="I2284" s="62" t="s">
        <v>47</v>
      </c>
      <c r="J2284" s="62" t="s">
        <v>146</v>
      </c>
      <c r="K2284" s="62" t="s">
        <v>209</v>
      </c>
      <c r="L2284" s="62" t="s">
        <v>4</v>
      </c>
      <c r="M2284" s="62" t="n">
        <v>1</v>
      </c>
      <c r="N2284" s="62" t="n">
        <v>0</v>
      </c>
      <c r="O2284" s="62" t="n">
        <v>1</v>
      </c>
      <c r="P2284" s="62" t="n">
        <v>0</v>
      </c>
      <c r="Q2284" s="62" t="n">
        <v>0</v>
      </c>
      <c r="R2284" s="62" t="n">
        <v>0</v>
      </c>
      <c r="S2284" s="62" t="n">
        <v>0</v>
      </c>
      <c r="T2284" s="62" t="n">
        <v>0</v>
      </c>
      <c r="U2284" s="62" t="s">
        <v>2056</v>
      </c>
      <c r="V2284" s="62" t="s">
        <v>2057</v>
      </c>
      <c r="W2284" s="62" t="s">
        <v>2056</v>
      </c>
      <c r="X2284" s="62" t="s">
        <v>3214</v>
      </c>
      <c r="Y2284" s="62" t="s">
        <v>2059</v>
      </c>
      <c r="Z2284" s="62" t="s">
        <v>4151</v>
      </c>
      <c r="AA2284" s="62" t="s">
        <v>4152</v>
      </c>
      <c r="AB2284" s="62" t="n">
        <v>1</v>
      </c>
      <c r="AC2284" s="62" t="n">
        <v>0</v>
      </c>
      <c r="AD2284" s="62" t="n">
        <v>1</v>
      </c>
      <c r="AE2284" s="62" t="n">
        <f aca="false">IF(AND(Dashboard!$C$9="Yes",AC2284=1),0,1)</f>
        <v>1</v>
      </c>
      <c r="AF2284" s="62" t="n">
        <v>1</v>
      </c>
    </row>
    <row r="2285" customFormat="false" ht="15" hidden="false" customHeight="false" outlineLevel="0" collapsed="false">
      <c r="A2285" s="62" t="n">
        <v>2284</v>
      </c>
      <c r="B2285" s="63" t="n">
        <v>46285.6861226852</v>
      </c>
      <c r="C2285" s="64" t="n">
        <v>46285</v>
      </c>
      <c r="D2285" s="62" t="s">
        <v>393</v>
      </c>
      <c r="E2285" s="62" t="s">
        <v>3022</v>
      </c>
      <c r="F2285" s="62" t="s">
        <v>3022</v>
      </c>
      <c r="G2285" s="62" t="s">
        <v>3023</v>
      </c>
      <c r="H2285" s="62" t="s">
        <v>46</v>
      </c>
      <c r="I2285" s="62" t="s">
        <v>47</v>
      </c>
      <c r="J2285" s="62" t="s">
        <v>146</v>
      </c>
      <c r="K2285" s="62" t="s">
        <v>209</v>
      </c>
      <c r="L2285" s="62" t="s">
        <v>148</v>
      </c>
      <c r="M2285" s="62" t="n">
        <v>0</v>
      </c>
      <c r="N2285" s="62" t="n">
        <v>1</v>
      </c>
      <c r="O2285" s="62" t="n">
        <v>1</v>
      </c>
      <c r="P2285" s="62" t="n">
        <v>0</v>
      </c>
      <c r="Q2285" s="62" t="n">
        <v>0</v>
      </c>
      <c r="R2285" s="62" t="n">
        <v>0</v>
      </c>
      <c r="S2285" s="62" t="n">
        <v>1</v>
      </c>
      <c r="T2285" s="62" t="n">
        <v>0</v>
      </c>
      <c r="U2285" s="62"/>
      <c r="V2285" s="62"/>
      <c r="W2285" s="62"/>
      <c r="X2285" s="62"/>
      <c r="Y2285" s="62"/>
      <c r="Z2285" s="62" t="s">
        <v>4151</v>
      </c>
      <c r="AA2285" s="62" t="s">
        <v>4152</v>
      </c>
      <c r="AB2285" s="62" t="n">
        <v>1</v>
      </c>
      <c r="AC2285" s="62" t="n">
        <v>0</v>
      </c>
      <c r="AD2285" s="62" t="n">
        <v>1</v>
      </c>
      <c r="AE2285" s="62" t="n">
        <f aca="false">IF(AND(Dashboard!$C$9="Yes",AC2285=1),0,1)</f>
        <v>1</v>
      </c>
      <c r="AF2285" s="62" t="n">
        <v>0</v>
      </c>
    </row>
    <row r="2286" customFormat="false" ht="15" hidden="false" customHeight="false" outlineLevel="0" collapsed="false">
      <c r="A2286" s="62" t="n">
        <v>2285</v>
      </c>
      <c r="B2286" s="63" t="n">
        <v>46285.7086689815</v>
      </c>
      <c r="C2286" s="64" t="n">
        <v>46285</v>
      </c>
      <c r="D2286" s="62" t="s">
        <v>393</v>
      </c>
      <c r="E2286" s="62" t="s">
        <v>371</v>
      </c>
      <c r="F2286" s="62" t="s">
        <v>371</v>
      </c>
      <c r="G2286" s="62" t="s">
        <v>372</v>
      </c>
      <c r="H2286" s="62" t="s">
        <v>59</v>
      </c>
      <c r="I2286" s="62" t="s">
        <v>47</v>
      </c>
      <c r="J2286" s="62" t="s">
        <v>146</v>
      </c>
      <c r="K2286" s="62" t="s">
        <v>147</v>
      </c>
      <c r="L2286" s="62" t="s">
        <v>148</v>
      </c>
      <c r="M2286" s="62" t="n">
        <v>0</v>
      </c>
      <c r="N2286" s="62" t="n">
        <v>2</v>
      </c>
      <c r="O2286" s="62" t="n">
        <v>2</v>
      </c>
      <c r="P2286" s="62" t="n">
        <v>1</v>
      </c>
      <c r="Q2286" s="62" t="n">
        <v>0</v>
      </c>
      <c r="R2286" s="62" t="n">
        <v>1</v>
      </c>
      <c r="S2286" s="62" t="n">
        <v>0</v>
      </c>
      <c r="T2286" s="62" t="n">
        <v>0</v>
      </c>
      <c r="U2286" s="62"/>
      <c r="V2286" s="62"/>
      <c r="W2286" s="62"/>
      <c r="X2286" s="62"/>
      <c r="Y2286" s="62"/>
      <c r="Z2286" s="62" t="s">
        <v>4153</v>
      </c>
      <c r="AA2286" s="62" t="s">
        <v>4154</v>
      </c>
      <c r="AB2286" s="62" t="n">
        <v>1</v>
      </c>
      <c r="AC2286" s="62" t="n">
        <v>0</v>
      </c>
      <c r="AD2286" s="62" t="n">
        <v>1</v>
      </c>
      <c r="AE2286" s="62" t="n">
        <f aca="false">IF(AND(Dashboard!$C$9="Yes",AC2286=1),0,1)</f>
        <v>1</v>
      </c>
      <c r="AF2286" s="62" t="n">
        <v>1</v>
      </c>
    </row>
    <row r="2287" customFormat="false" ht="15" hidden="false" customHeight="false" outlineLevel="0" collapsed="false">
      <c r="A2287" s="62" t="n">
        <v>2286</v>
      </c>
      <c r="B2287" s="63" t="n">
        <v>46285.7565625</v>
      </c>
      <c r="C2287" s="64" t="n">
        <v>46285</v>
      </c>
      <c r="D2287" s="62" t="s">
        <v>393</v>
      </c>
      <c r="E2287" s="62" t="s">
        <v>3018</v>
      </c>
      <c r="F2287" s="62" t="s">
        <v>3018</v>
      </c>
      <c r="G2287" s="62" t="s">
        <v>3019</v>
      </c>
      <c r="H2287" s="62" t="s">
        <v>58</v>
      </c>
      <c r="I2287" s="62" t="s">
        <v>49</v>
      </c>
      <c r="J2287" s="62" t="s">
        <v>146</v>
      </c>
      <c r="K2287" s="62" t="s">
        <v>175</v>
      </c>
      <c r="L2287" s="62" t="s">
        <v>4</v>
      </c>
      <c r="M2287" s="62" t="n">
        <v>1</v>
      </c>
      <c r="N2287" s="62" t="n">
        <v>0</v>
      </c>
      <c r="O2287" s="62" t="n">
        <v>1</v>
      </c>
      <c r="P2287" s="62" t="n">
        <v>0</v>
      </c>
      <c r="Q2287" s="62" t="n">
        <v>0</v>
      </c>
      <c r="R2287" s="62" t="n">
        <v>0</v>
      </c>
      <c r="S2287" s="62" t="n">
        <v>0</v>
      </c>
      <c r="T2287" s="62" t="n">
        <v>0</v>
      </c>
      <c r="U2287" s="62" t="s">
        <v>2056</v>
      </c>
      <c r="V2287" s="62" t="s">
        <v>2057</v>
      </c>
      <c r="W2287" s="62" t="s">
        <v>15</v>
      </c>
      <c r="X2287" s="62" t="s">
        <v>2058</v>
      </c>
      <c r="Y2287" s="62" t="s">
        <v>2059</v>
      </c>
      <c r="Z2287" s="62" t="s">
        <v>4155</v>
      </c>
      <c r="AA2287" s="62" t="s">
        <v>4156</v>
      </c>
      <c r="AB2287" s="62" t="n">
        <v>1</v>
      </c>
      <c r="AC2287" s="62" t="n">
        <v>0</v>
      </c>
      <c r="AD2287" s="62" t="n">
        <v>1</v>
      </c>
      <c r="AE2287" s="62" t="n">
        <f aca="false">IF(AND(Dashboard!$C$9="Yes",AC2287=1),0,1)</f>
        <v>1</v>
      </c>
      <c r="AF2287" s="62" t="n">
        <v>1</v>
      </c>
    </row>
    <row r="2288" customFormat="false" ht="15" hidden="false" customHeight="false" outlineLevel="0" collapsed="false">
      <c r="A2288" s="62" t="n">
        <v>2287</v>
      </c>
      <c r="B2288" s="63" t="n">
        <v>46285.7729976852</v>
      </c>
      <c r="C2288" s="64" t="n">
        <v>46285</v>
      </c>
      <c r="D2288" s="62" t="s">
        <v>393</v>
      </c>
      <c r="E2288" s="62" t="s">
        <v>3018</v>
      </c>
      <c r="F2288" s="62" t="s">
        <v>3018</v>
      </c>
      <c r="G2288" s="62" t="s">
        <v>3019</v>
      </c>
      <c r="H2288" s="62" t="s">
        <v>58</v>
      </c>
      <c r="I2288" s="62" t="s">
        <v>49</v>
      </c>
      <c r="J2288" s="62" t="s">
        <v>146</v>
      </c>
      <c r="K2288" s="62" t="s">
        <v>175</v>
      </c>
      <c r="L2288" s="62" t="s">
        <v>148</v>
      </c>
      <c r="M2288" s="62" t="n">
        <v>0</v>
      </c>
      <c r="N2288" s="62" t="n">
        <v>1</v>
      </c>
      <c r="O2288" s="62" t="n">
        <v>1</v>
      </c>
      <c r="P2288" s="62" t="n">
        <v>1</v>
      </c>
      <c r="Q2288" s="62" t="n">
        <v>0</v>
      </c>
      <c r="R2288" s="62" t="n">
        <v>0</v>
      </c>
      <c r="S2288" s="62" t="n">
        <v>0</v>
      </c>
      <c r="T2288" s="62" t="n">
        <v>0</v>
      </c>
      <c r="U2288" s="62"/>
      <c r="V2288" s="62"/>
      <c r="W2288" s="62"/>
      <c r="X2288" s="62"/>
      <c r="Y2288" s="62"/>
      <c r="Z2288" s="62" t="s">
        <v>4157</v>
      </c>
      <c r="AA2288" s="62" t="s">
        <v>4158</v>
      </c>
      <c r="AB2288" s="62" t="n">
        <v>1</v>
      </c>
      <c r="AC2288" s="62" t="n">
        <v>0</v>
      </c>
      <c r="AD2288" s="62" t="n">
        <v>1</v>
      </c>
      <c r="AE2288" s="62" t="n">
        <f aca="false">IF(AND(Dashboard!$C$9="Yes",AC2288=1),0,1)</f>
        <v>1</v>
      </c>
      <c r="AF2288" s="62" t="n">
        <v>0</v>
      </c>
    </row>
    <row r="2289" customFormat="false" ht="15" hidden="false" customHeight="false" outlineLevel="0" collapsed="false">
      <c r="A2289" s="62" t="n">
        <v>2288</v>
      </c>
      <c r="B2289" s="63" t="n">
        <v>46285.7875115741</v>
      </c>
      <c r="C2289" s="64" t="n">
        <v>46285</v>
      </c>
      <c r="D2289" s="62" t="s">
        <v>393</v>
      </c>
      <c r="E2289" s="62" t="s">
        <v>3181</v>
      </c>
      <c r="F2289" s="62" t="s">
        <v>3181</v>
      </c>
      <c r="G2289" s="62" t="s">
        <v>3182</v>
      </c>
      <c r="H2289" s="62" t="s">
        <v>58</v>
      </c>
      <c r="I2289" s="62" t="s">
        <v>49</v>
      </c>
      <c r="J2289" s="62" t="s">
        <v>146</v>
      </c>
      <c r="K2289" s="62" t="s">
        <v>209</v>
      </c>
      <c r="L2289" s="62" t="s">
        <v>148</v>
      </c>
      <c r="M2289" s="62" t="n">
        <v>0</v>
      </c>
      <c r="N2289" s="62" t="n">
        <v>1</v>
      </c>
      <c r="O2289" s="62" t="n">
        <v>1</v>
      </c>
      <c r="P2289" s="62" t="n">
        <v>1</v>
      </c>
      <c r="Q2289" s="62" t="n">
        <v>0</v>
      </c>
      <c r="R2289" s="62" t="n">
        <v>0</v>
      </c>
      <c r="S2289" s="62" t="n">
        <v>0</v>
      </c>
      <c r="T2289" s="62" t="n">
        <v>0</v>
      </c>
      <c r="U2289" s="62"/>
      <c r="V2289" s="62"/>
      <c r="W2289" s="62"/>
      <c r="X2289" s="62"/>
      <c r="Y2289" s="62"/>
      <c r="Z2289" s="62" t="s">
        <v>4159</v>
      </c>
      <c r="AA2289" s="62" t="s">
        <v>492</v>
      </c>
      <c r="AB2289" s="62" t="n">
        <v>0</v>
      </c>
      <c r="AC2289" s="62" t="n">
        <v>0</v>
      </c>
      <c r="AD2289" s="62" t="n">
        <v>1</v>
      </c>
      <c r="AE2289" s="62" t="n">
        <f aca="false">IF(AND(Dashboard!$C$9="Yes",AC2289=1),0,1)</f>
        <v>1</v>
      </c>
      <c r="AF2289" s="62" t="n">
        <v>1</v>
      </c>
    </row>
    <row r="2290" customFormat="false" ht="15" hidden="false" customHeight="false" outlineLevel="0" collapsed="false">
      <c r="A2290" s="62" t="n">
        <v>2289</v>
      </c>
      <c r="B2290" s="63" t="n">
        <v>46285.7943865741</v>
      </c>
      <c r="C2290" s="64" t="n">
        <v>46285</v>
      </c>
      <c r="D2290" s="62" t="s">
        <v>393</v>
      </c>
      <c r="E2290" s="62" t="s">
        <v>3018</v>
      </c>
      <c r="F2290" s="62" t="s">
        <v>3018</v>
      </c>
      <c r="G2290" s="62" t="s">
        <v>3019</v>
      </c>
      <c r="H2290" s="62" t="s">
        <v>58</v>
      </c>
      <c r="I2290" s="62" t="s">
        <v>49</v>
      </c>
      <c r="J2290" s="62" t="s">
        <v>146</v>
      </c>
      <c r="K2290" s="62" t="s">
        <v>175</v>
      </c>
      <c r="L2290" s="62" t="s">
        <v>4</v>
      </c>
      <c r="M2290" s="62" t="n">
        <v>1</v>
      </c>
      <c r="N2290" s="62" t="n">
        <v>0</v>
      </c>
      <c r="O2290" s="62" t="n">
        <v>1</v>
      </c>
      <c r="P2290" s="62" t="n">
        <v>0</v>
      </c>
      <c r="Q2290" s="62" t="n">
        <v>0</v>
      </c>
      <c r="R2290" s="62" t="n">
        <v>0</v>
      </c>
      <c r="S2290" s="62" t="n">
        <v>0</v>
      </c>
      <c r="T2290" s="62" t="n">
        <v>0</v>
      </c>
      <c r="U2290" s="62" t="s">
        <v>2056</v>
      </c>
      <c r="V2290" s="62" t="s">
        <v>2057</v>
      </c>
      <c r="W2290" s="62" t="s">
        <v>15</v>
      </c>
      <c r="X2290" s="62" t="s">
        <v>2125</v>
      </c>
      <c r="Y2290" s="62" t="s">
        <v>2059</v>
      </c>
      <c r="Z2290" s="62" t="s">
        <v>4160</v>
      </c>
      <c r="AA2290" s="62" t="s">
        <v>4161</v>
      </c>
      <c r="AB2290" s="62" t="n">
        <v>1</v>
      </c>
      <c r="AC2290" s="62" t="n">
        <v>0</v>
      </c>
      <c r="AD2290" s="62" t="n">
        <v>1</v>
      </c>
      <c r="AE2290" s="62" t="n">
        <f aca="false">IF(AND(Dashboard!$C$9="Yes",AC2290=1),0,1)</f>
        <v>1</v>
      </c>
      <c r="AF2290" s="62" t="n">
        <v>0</v>
      </c>
    </row>
    <row r="2291" customFormat="false" ht="15" hidden="false" customHeight="false" outlineLevel="0" collapsed="false">
      <c r="A2291" s="62" t="n">
        <v>2290</v>
      </c>
      <c r="B2291" s="63" t="n">
        <v>46285.8029282407</v>
      </c>
      <c r="C2291" s="64" t="n">
        <v>46285</v>
      </c>
      <c r="D2291" s="62" t="s">
        <v>393</v>
      </c>
      <c r="E2291" s="62" t="s">
        <v>3018</v>
      </c>
      <c r="F2291" s="62" t="s">
        <v>3018</v>
      </c>
      <c r="G2291" s="62" t="s">
        <v>3019</v>
      </c>
      <c r="H2291" s="62" t="s">
        <v>58</v>
      </c>
      <c r="I2291" s="62" t="s">
        <v>49</v>
      </c>
      <c r="J2291" s="62" t="s">
        <v>146</v>
      </c>
      <c r="K2291" s="62" t="s">
        <v>175</v>
      </c>
      <c r="L2291" s="62" t="s">
        <v>148</v>
      </c>
      <c r="M2291" s="62" t="n">
        <v>0</v>
      </c>
      <c r="N2291" s="62" t="n">
        <v>1</v>
      </c>
      <c r="O2291" s="62" t="n">
        <v>1</v>
      </c>
      <c r="P2291" s="62" t="n">
        <v>0</v>
      </c>
      <c r="Q2291" s="62" t="n">
        <v>1</v>
      </c>
      <c r="R2291" s="62" t="n">
        <v>0</v>
      </c>
      <c r="S2291" s="62" t="n">
        <v>0</v>
      </c>
      <c r="T2291" s="62" t="n">
        <v>0</v>
      </c>
      <c r="U2291" s="62"/>
      <c r="V2291" s="62"/>
      <c r="W2291" s="62"/>
      <c r="X2291" s="62"/>
      <c r="Y2291" s="62"/>
      <c r="Z2291" s="62" t="s">
        <v>4160</v>
      </c>
      <c r="AA2291" s="62" t="s">
        <v>4162</v>
      </c>
      <c r="AB2291" s="62" t="n">
        <v>1</v>
      </c>
      <c r="AC2291" s="62" t="n">
        <v>0</v>
      </c>
      <c r="AD2291" s="62" t="n">
        <v>1</v>
      </c>
      <c r="AE2291" s="62" t="n">
        <f aca="false">IF(AND(Dashboard!$C$9="Yes",AC2291=1),0,1)</f>
        <v>1</v>
      </c>
      <c r="AF2291" s="62" t="n">
        <v>0</v>
      </c>
    </row>
    <row r="2292" customFormat="false" ht="15" hidden="false" customHeight="false" outlineLevel="0" collapsed="false">
      <c r="A2292" s="62" t="n">
        <v>2291</v>
      </c>
      <c r="B2292" s="63" t="n">
        <v>46285.8061342593</v>
      </c>
      <c r="C2292" s="64" t="n">
        <v>46285</v>
      </c>
      <c r="D2292" s="62" t="s">
        <v>393</v>
      </c>
      <c r="E2292" s="62" t="s">
        <v>1255</v>
      </c>
      <c r="F2292" s="62" t="s">
        <v>1255</v>
      </c>
      <c r="G2292" s="62" t="s">
        <v>1256</v>
      </c>
      <c r="H2292" s="62" t="s">
        <v>52</v>
      </c>
      <c r="I2292" s="62" t="s">
        <v>47</v>
      </c>
      <c r="J2292" s="62" t="s">
        <v>146</v>
      </c>
      <c r="K2292" s="62" t="s">
        <v>147</v>
      </c>
      <c r="L2292" s="62" t="s">
        <v>148</v>
      </c>
      <c r="M2292" s="62" t="n">
        <v>0</v>
      </c>
      <c r="N2292" s="62" t="n">
        <v>1</v>
      </c>
      <c r="O2292" s="62" t="n">
        <v>1</v>
      </c>
      <c r="P2292" s="62" t="n">
        <v>1</v>
      </c>
      <c r="Q2292" s="62" t="n">
        <v>0</v>
      </c>
      <c r="R2292" s="62" t="n">
        <v>0</v>
      </c>
      <c r="S2292" s="62" t="n">
        <v>0</v>
      </c>
      <c r="T2292" s="62" t="n">
        <v>0</v>
      </c>
      <c r="U2292" s="62"/>
      <c r="V2292" s="62"/>
      <c r="W2292" s="62"/>
      <c r="X2292" s="62"/>
      <c r="Y2292" s="62"/>
      <c r="Z2292" s="62" t="s">
        <v>4163</v>
      </c>
      <c r="AA2292" s="62" t="s">
        <v>4164</v>
      </c>
      <c r="AB2292" s="62" t="n">
        <v>1</v>
      </c>
      <c r="AC2292" s="62" t="n">
        <v>0</v>
      </c>
      <c r="AD2292" s="62" t="n">
        <v>1</v>
      </c>
      <c r="AE2292" s="62" t="n">
        <f aca="false">IF(AND(Dashboard!$C$9="Yes",AC2292=1),0,1)</f>
        <v>1</v>
      </c>
      <c r="AF2292" s="62" t="n">
        <v>1</v>
      </c>
    </row>
    <row r="2293" customFormat="false" ht="15" hidden="false" customHeight="false" outlineLevel="0" collapsed="false">
      <c r="A2293" s="62" t="n">
        <v>2292</v>
      </c>
      <c r="B2293" s="63" t="n">
        <v>46285.8158101852</v>
      </c>
      <c r="C2293" s="64" t="n">
        <v>46285</v>
      </c>
      <c r="D2293" s="62" t="s">
        <v>393</v>
      </c>
      <c r="E2293" s="62" t="s">
        <v>1155</v>
      </c>
      <c r="F2293" s="62" t="s">
        <v>1155</v>
      </c>
      <c r="G2293" s="62" t="s">
        <v>1156</v>
      </c>
      <c r="H2293" s="62" t="s">
        <v>59</v>
      </c>
      <c r="I2293" s="62" t="s">
        <v>47</v>
      </c>
      <c r="J2293" s="62" t="s">
        <v>146</v>
      </c>
      <c r="K2293" s="62" t="s">
        <v>209</v>
      </c>
      <c r="L2293" s="62" t="s">
        <v>148</v>
      </c>
      <c r="M2293" s="62" t="n">
        <v>0</v>
      </c>
      <c r="N2293" s="62" t="n">
        <v>1</v>
      </c>
      <c r="O2293" s="62" t="n">
        <v>1</v>
      </c>
      <c r="P2293" s="62" t="n">
        <v>0</v>
      </c>
      <c r="Q2293" s="62" t="n">
        <v>0</v>
      </c>
      <c r="R2293" s="62" t="n">
        <v>1</v>
      </c>
      <c r="S2293" s="62" t="n">
        <v>0</v>
      </c>
      <c r="T2293" s="62" t="n">
        <v>0</v>
      </c>
      <c r="U2293" s="62"/>
      <c r="V2293" s="62"/>
      <c r="W2293" s="62"/>
      <c r="X2293" s="62"/>
      <c r="Y2293" s="62"/>
      <c r="Z2293" s="62" t="s">
        <v>4165</v>
      </c>
      <c r="AA2293" s="62" t="s">
        <v>4166</v>
      </c>
      <c r="AB2293" s="62" t="n">
        <v>1</v>
      </c>
      <c r="AC2293" s="62" t="n">
        <v>0</v>
      </c>
      <c r="AD2293" s="62" t="n">
        <v>1</v>
      </c>
      <c r="AE2293" s="62" t="n">
        <f aca="false">IF(AND(Dashboard!$C$9="Yes",AC2293=1),0,1)</f>
        <v>1</v>
      </c>
      <c r="AF2293" s="62" t="n">
        <v>1</v>
      </c>
    </row>
    <row r="2294" customFormat="false" ht="15" hidden="false" customHeight="false" outlineLevel="0" collapsed="false">
      <c r="A2294" s="62" t="n">
        <v>2293</v>
      </c>
      <c r="B2294" s="63" t="n">
        <v>46285.8184143519</v>
      </c>
      <c r="C2294" s="64" t="n">
        <v>46285</v>
      </c>
      <c r="D2294" s="62" t="s">
        <v>393</v>
      </c>
      <c r="E2294" s="62" t="s">
        <v>3148</v>
      </c>
      <c r="F2294" s="62" t="s">
        <v>3148</v>
      </c>
      <c r="G2294" s="62" t="s">
        <v>3149</v>
      </c>
      <c r="H2294" s="62" t="s">
        <v>46</v>
      </c>
      <c r="I2294" s="62" t="s">
        <v>47</v>
      </c>
      <c r="J2294" s="62" t="s">
        <v>146</v>
      </c>
      <c r="K2294" s="62" t="s">
        <v>209</v>
      </c>
      <c r="L2294" s="62" t="s">
        <v>148</v>
      </c>
      <c r="M2294" s="62" t="n">
        <v>0</v>
      </c>
      <c r="N2294" s="62" t="n">
        <v>1</v>
      </c>
      <c r="O2294" s="62" t="n">
        <v>1</v>
      </c>
      <c r="P2294" s="62" t="n">
        <v>1</v>
      </c>
      <c r="Q2294" s="62" t="n">
        <v>0</v>
      </c>
      <c r="R2294" s="62" t="n">
        <v>0</v>
      </c>
      <c r="S2294" s="62" t="n">
        <v>0</v>
      </c>
      <c r="T2294" s="62" t="n">
        <v>0</v>
      </c>
      <c r="U2294" s="62"/>
      <c r="V2294" s="62"/>
      <c r="W2294" s="62"/>
      <c r="X2294" s="62"/>
      <c r="Y2294" s="62"/>
      <c r="Z2294" s="62" t="s">
        <v>4167</v>
      </c>
      <c r="AA2294" s="62" t="s">
        <v>4168</v>
      </c>
      <c r="AB2294" s="62" t="n">
        <v>1</v>
      </c>
      <c r="AC2294" s="62" t="n">
        <v>0</v>
      </c>
      <c r="AD2294" s="62" t="n">
        <v>1</v>
      </c>
      <c r="AE2294" s="62" t="n">
        <f aca="false">IF(AND(Dashboard!$C$9="Yes",AC2294=1),0,1)</f>
        <v>1</v>
      </c>
      <c r="AF2294" s="62" t="n">
        <v>1</v>
      </c>
    </row>
    <row r="2295" customFormat="false" ht="15" hidden="false" customHeight="false" outlineLevel="0" collapsed="false">
      <c r="A2295" s="62" t="n">
        <v>2294</v>
      </c>
      <c r="B2295" s="63" t="n">
        <v>46285.8415393519</v>
      </c>
      <c r="C2295" s="64" t="n">
        <v>46285</v>
      </c>
      <c r="D2295" s="62" t="s">
        <v>393</v>
      </c>
      <c r="E2295" s="62" t="s">
        <v>1155</v>
      </c>
      <c r="F2295" s="62" t="s">
        <v>1155</v>
      </c>
      <c r="G2295" s="62" t="s">
        <v>1156</v>
      </c>
      <c r="H2295" s="62" t="s">
        <v>59</v>
      </c>
      <c r="I2295" s="62" t="s">
        <v>47</v>
      </c>
      <c r="J2295" s="62" t="s">
        <v>146</v>
      </c>
      <c r="K2295" s="62" t="s">
        <v>209</v>
      </c>
      <c r="L2295" s="62" t="s">
        <v>148</v>
      </c>
      <c r="M2295" s="62" t="n">
        <v>0</v>
      </c>
      <c r="N2295" s="62" t="n">
        <v>1</v>
      </c>
      <c r="O2295" s="62" t="n">
        <v>1</v>
      </c>
      <c r="P2295" s="62" t="n">
        <v>1</v>
      </c>
      <c r="Q2295" s="62" t="n">
        <v>0</v>
      </c>
      <c r="R2295" s="62" t="n">
        <v>0</v>
      </c>
      <c r="S2295" s="62" t="n">
        <v>0</v>
      </c>
      <c r="T2295" s="62" t="n">
        <v>0</v>
      </c>
      <c r="U2295" s="62"/>
      <c r="V2295" s="62"/>
      <c r="W2295" s="62"/>
      <c r="X2295" s="62"/>
      <c r="Y2295" s="62"/>
      <c r="Z2295" s="62" t="s">
        <v>4169</v>
      </c>
      <c r="AA2295" s="62" t="s">
        <v>4170</v>
      </c>
      <c r="AB2295" s="62" t="n">
        <v>1</v>
      </c>
      <c r="AC2295" s="62" t="n">
        <v>0</v>
      </c>
      <c r="AD2295" s="62" t="n">
        <v>1</v>
      </c>
      <c r="AE2295" s="62" t="n">
        <f aca="false">IF(AND(Dashboard!$C$9="Yes",AC2295=1),0,1)</f>
        <v>1</v>
      </c>
      <c r="AF2295" s="62" t="n">
        <v>0</v>
      </c>
    </row>
    <row r="2296" customFormat="false" ht="15" hidden="false" customHeight="false" outlineLevel="0" collapsed="false">
      <c r="A2296" s="62" t="n">
        <v>2295</v>
      </c>
      <c r="B2296" s="63" t="n">
        <v>46285.8571759259</v>
      </c>
      <c r="C2296" s="64" t="n">
        <v>46285</v>
      </c>
      <c r="D2296" s="62" t="s">
        <v>393</v>
      </c>
      <c r="E2296" s="62" t="s">
        <v>2228</v>
      </c>
      <c r="F2296" s="62" t="s">
        <v>2228</v>
      </c>
      <c r="G2296" s="62" t="s">
        <v>2229</v>
      </c>
      <c r="H2296" s="62" t="s">
        <v>58</v>
      </c>
      <c r="I2296" s="62" t="s">
        <v>49</v>
      </c>
      <c r="J2296" s="62" t="s">
        <v>146</v>
      </c>
      <c r="K2296" s="62" t="s">
        <v>209</v>
      </c>
      <c r="L2296" s="62" t="s">
        <v>4</v>
      </c>
      <c r="M2296" s="62" t="n">
        <v>1</v>
      </c>
      <c r="N2296" s="62" t="n">
        <v>0</v>
      </c>
      <c r="O2296" s="62" t="n">
        <v>1</v>
      </c>
      <c r="P2296" s="62" t="n">
        <v>0</v>
      </c>
      <c r="Q2296" s="62" t="n">
        <v>0</v>
      </c>
      <c r="R2296" s="62" t="n">
        <v>0</v>
      </c>
      <c r="S2296" s="62" t="n">
        <v>0</v>
      </c>
      <c r="T2296" s="62" t="n">
        <v>0</v>
      </c>
      <c r="U2296" s="62" t="s">
        <v>2056</v>
      </c>
      <c r="V2296" s="62" t="s">
        <v>2057</v>
      </c>
      <c r="W2296" s="62" t="s">
        <v>15</v>
      </c>
      <c r="X2296" s="62" t="s">
        <v>2058</v>
      </c>
      <c r="Y2296" s="62" t="s">
        <v>2059</v>
      </c>
      <c r="Z2296" s="62" t="s">
        <v>4171</v>
      </c>
      <c r="AA2296" s="62" t="s">
        <v>4172</v>
      </c>
      <c r="AB2296" s="62" t="n">
        <v>1</v>
      </c>
      <c r="AC2296" s="62" t="n">
        <v>0</v>
      </c>
      <c r="AD2296" s="62" t="n">
        <v>1</v>
      </c>
      <c r="AE2296" s="62" t="n">
        <f aca="false">IF(AND(Dashboard!$C$9="Yes",AC2296=1),0,1)</f>
        <v>1</v>
      </c>
      <c r="AF2296" s="62" t="n">
        <v>1</v>
      </c>
    </row>
    <row r="2297" customFormat="false" ht="15" hidden="false" customHeight="false" outlineLevel="0" collapsed="false">
      <c r="A2297" s="62" t="n">
        <v>2296</v>
      </c>
      <c r="B2297" s="63" t="n">
        <v>46285.879849537</v>
      </c>
      <c r="C2297" s="64" t="n">
        <v>46285</v>
      </c>
      <c r="D2297" s="62" t="s">
        <v>393</v>
      </c>
      <c r="E2297" s="62" t="s">
        <v>3018</v>
      </c>
      <c r="F2297" s="62" t="s">
        <v>3018</v>
      </c>
      <c r="G2297" s="62" t="s">
        <v>3019</v>
      </c>
      <c r="H2297" s="62" t="s">
        <v>58</v>
      </c>
      <c r="I2297" s="62" t="s">
        <v>49</v>
      </c>
      <c r="J2297" s="62" t="s">
        <v>146</v>
      </c>
      <c r="K2297" s="62" t="s">
        <v>175</v>
      </c>
      <c r="L2297" s="62" t="s">
        <v>148</v>
      </c>
      <c r="M2297" s="62" t="n">
        <v>0</v>
      </c>
      <c r="N2297" s="62" t="n">
        <v>1</v>
      </c>
      <c r="O2297" s="62" t="n">
        <v>1</v>
      </c>
      <c r="P2297" s="62" t="n">
        <v>1</v>
      </c>
      <c r="Q2297" s="62" t="n">
        <v>0</v>
      </c>
      <c r="R2297" s="62" t="n">
        <v>0</v>
      </c>
      <c r="S2297" s="62" t="n">
        <v>0</v>
      </c>
      <c r="T2297" s="62" t="n">
        <v>0</v>
      </c>
      <c r="U2297" s="62"/>
      <c r="V2297" s="62"/>
      <c r="W2297" s="62"/>
      <c r="X2297" s="62"/>
      <c r="Y2297" s="62"/>
      <c r="Z2297" s="62" t="s">
        <v>4173</v>
      </c>
      <c r="AA2297" s="62" t="s">
        <v>4174</v>
      </c>
      <c r="AB2297" s="62" t="n">
        <v>1</v>
      </c>
      <c r="AC2297" s="62" t="n">
        <v>0</v>
      </c>
      <c r="AD2297" s="62" t="n">
        <v>1</v>
      </c>
      <c r="AE2297" s="62" t="n">
        <f aca="false">IF(AND(Dashboard!$C$9="Yes",AC2297=1),0,1)</f>
        <v>1</v>
      </c>
      <c r="AF2297" s="62" t="n">
        <v>0</v>
      </c>
    </row>
    <row r="2298" customFormat="false" ht="15" hidden="false" customHeight="false" outlineLevel="0" collapsed="false">
      <c r="A2298" s="62" t="n">
        <v>2297</v>
      </c>
      <c r="B2298" s="63" t="n">
        <v>46285.8804861111</v>
      </c>
      <c r="C2298" s="64" t="n">
        <v>46285</v>
      </c>
      <c r="D2298" s="62" t="s">
        <v>393</v>
      </c>
      <c r="E2298" s="62" t="s">
        <v>3018</v>
      </c>
      <c r="F2298" s="62" t="s">
        <v>3018</v>
      </c>
      <c r="G2298" s="62" t="s">
        <v>3019</v>
      </c>
      <c r="H2298" s="62" t="s">
        <v>58</v>
      </c>
      <c r="I2298" s="62" t="s">
        <v>49</v>
      </c>
      <c r="J2298" s="62" t="s">
        <v>146</v>
      </c>
      <c r="K2298" s="62" t="s">
        <v>175</v>
      </c>
      <c r="L2298" s="62" t="s">
        <v>4</v>
      </c>
      <c r="M2298" s="62" t="n">
        <v>1</v>
      </c>
      <c r="N2298" s="62" t="n">
        <v>0</v>
      </c>
      <c r="O2298" s="62" t="n">
        <v>1</v>
      </c>
      <c r="P2298" s="62" t="n">
        <v>0</v>
      </c>
      <c r="Q2298" s="62" t="n">
        <v>0</v>
      </c>
      <c r="R2298" s="62" t="n">
        <v>0</v>
      </c>
      <c r="S2298" s="62" t="n">
        <v>0</v>
      </c>
      <c r="T2298" s="62" t="n">
        <v>0</v>
      </c>
      <c r="U2298" s="62" t="s">
        <v>2056</v>
      </c>
      <c r="V2298" s="62" t="s">
        <v>2057</v>
      </c>
      <c r="W2298" s="62" t="s">
        <v>15</v>
      </c>
      <c r="X2298" s="62" t="s">
        <v>2058</v>
      </c>
      <c r="Y2298" s="62" t="s">
        <v>2059</v>
      </c>
      <c r="Z2298" s="62" t="s">
        <v>4173</v>
      </c>
      <c r="AA2298" s="62" t="s">
        <v>4175</v>
      </c>
      <c r="AB2298" s="62" t="n">
        <v>1</v>
      </c>
      <c r="AC2298" s="62" t="n">
        <v>0</v>
      </c>
      <c r="AD2298" s="62" t="n">
        <v>1</v>
      </c>
      <c r="AE2298" s="62" t="n">
        <f aca="false">IF(AND(Dashboard!$C$9="Yes",AC2298=1),0,1)</f>
        <v>1</v>
      </c>
      <c r="AF2298" s="62" t="n">
        <v>0</v>
      </c>
    </row>
    <row r="2299" customFormat="false" ht="15" hidden="false" customHeight="false" outlineLevel="0" collapsed="false">
      <c r="A2299" s="62" t="n">
        <v>2298</v>
      </c>
      <c r="B2299" s="63" t="n">
        <v>46285.8972685185</v>
      </c>
      <c r="C2299" s="64" t="n">
        <v>46285</v>
      </c>
      <c r="D2299" s="62" t="s">
        <v>393</v>
      </c>
      <c r="E2299" s="62" t="s">
        <v>2620</v>
      </c>
      <c r="F2299" s="62" t="s">
        <v>2620</v>
      </c>
      <c r="G2299" s="62" t="s">
        <v>2621</v>
      </c>
      <c r="H2299" s="62" t="s">
        <v>48</v>
      </c>
      <c r="I2299" s="62" t="s">
        <v>49</v>
      </c>
      <c r="J2299" s="62" t="s">
        <v>146</v>
      </c>
      <c r="K2299" s="62" t="s">
        <v>209</v>
      </c>
      <c r="L2299" s="62" t="s">
        <v>148</v>
      </c>
      <c r="M2299" s="62" t="n">
        <v>0</v>
      </c>
      <c r="N2299" s="62" t="n">
        <v>1</v>
      </c>
      <c r="O2299" s="62" t="n">
        <v>1</v>
      </c>
      <c r="P2299" s="62" t="n">
        <v>1</v>
      </c>
      <c r="Q2299" s="62" t="n">
        <v>0</v>
      </c>
      <c r="R2299" s="62" t="n">
        <v>0</v>
      </c>
      <c r="S2299" s="62" t="n">
        <v>0</v>
      </c>
      <c r="T2299" s="62" t="n">
        <v>0</v>
      </c>
      <c r="U2299" s="62"/>
      <c r="V2299" s="62"/>
      <c r="W2299" s="62"/>
      <c r="X2299" s="62"/>
      <c r="Y2299" s="62"/>
      <c r="Z2299" s="62" t="s">
        <v>4176</v>
      </c>
      <c r="AA2299" s="62" t="s">
        <v>4177</v>
      </c>
      <c r="AB2299" s="62" t="n">
        <v>1</v>
      </c>
      <c r="AC2299" s="62" t="n">
        <v>0</v>
      </c>
      <c r="AD2299" s="62" t="n">
        <v>1</v>
      </c>
      <c r="AE2299" s="62" t="n">
        <f aca="false">IF(AND(Dashboard!$C$9="Yes",AC2299=1),0,1)</f>
        <v>1</v>
      </c>
      <c r="AF2299" s="62" t="n">
        <v>1</v>
      </c>
    </row>
    <row r="2300" customFormat="false" ht="15" hidden="false" customHeight="false" outlineLevel="0" collapsed="false">
      <c r="A2300" s="62" t="n">
        <v>2299</v>
      </c>
      <c r="B2300" s="63" t="n">
        <v>46285.9052662037</v>
      </c>
      <c r="C2300" s="64" t="n">
        <v>46285</v>
      </c>
      <c r="D2300" s="62" t="s">
        <v>393</v>
      </c>
      <c r="E2300" s="62" t="s">
        <v>2620</v>
      </c>
      <c r="F2300" s="62" t="s">
        <v>2620</v>
      </c>
      <c r="G2300" s="62" t="s">
        <v>2621</v>
      </c>
      <c r="H2300" s="62" t="s">
        <v>48</v>
      </c>
      <c r="I2300" s="62" t="s">
        <v>49</v>
      </c>
      <c r="J2300" s="62" t="s">
        <v>146</v>
      </c>
      <c r="K2300" s="62" t="s">
        <v>209</v>
      </c>
      <c r="L2300" s="62" t="s">
        <v>148</v>
      </c>
      <c r="M2300" s="62" t="n">
        <v>0</v>
      </c>
      <c r="N2300" s="62" t="n">
        <v>1</v>
      </c>
      <c r="O2300" s="62" t="n">
        <v>1</v>
      </c>
      <c r="P2300" s="62" t="n">
        <v>1</v>
      </c>
      <c r="Q2300" s="62" t="n">
        <v>0</v>
      </c>
      <c r="R2300" s="62" t="n">
        <v>0</v>
      </c>
      <c r="S2300" s="62" t="n">
        <v>0</v>
      </c>
      <c r="T2300" s="62" t="n">
        <v>0</v>
      </c>
      <c r="U2300" s="62"/>
      <c r="V2300" s="62"/>
      <c r="W2300" s="62"/>
      <c r="X2300" s="62"/>
      <c r="Y2300" s="62"/>
      <c r="Z2300" s="62" t="s">
        <v>4176</v>
      </c>
      <c r="AA2300" s="62" t="s">
        <v>4178</v>
      </c>
      <c r="AB2300" s="62" t="n">
        <v>1</v>
      </c>
      <c r="AC2300" s="62" t="n">
        <v>0</v>
      </c>
      <c r="AD2300" s="62" t="n">
        <v>1</v>
      </c>
      <c r="AE2300" s="62" t="n">
        <f aca="false">IF(AND(Dashboard!$C$9="Yes",AC2300=1),0,1)</f>
        <v>1</v>
      </c>
      <c r="AF2300" s="62" t="n">
        <v>0</v>
      </c>
    </row>
    <row r="2301" customFormat="false" ht="15" hidden="false" customHeight="false" outlineLevel="0" collapsed="false">
      <c r="A2301" s="62" t="n">
        <v>2300</v>
      </c>
      <c r="B2301" s="63" t="n">
        <v>46285.9242824074</v>
      </c>
      <c r="C2301" s="64" t="n">
        <v>46285</v>
      </c>
      <c r="D2301" s="62" t="s">
        <v>393</v>
      </c>
      <c r="E2301" s="62" t="s">
        <v>1155</v>
      </c>
      <c r="F2301" s="62" t="s">
        <v>1155</v>
      </c>
      <c r="G2301" s="62" t="s">
        <v>1156</v>
      </c>
      <c r="H2301" s="62" t="s">
        <v>59</v>
      </c>
      <c r="I2301" s="62" t="s">
        <v>47</v>
      </c>
      <c r="J2301" s="62" t="s">
        <v>146</v>
      </c>
      <c r="K2301" s="62" t="s">
        <v>209</v>
      </c>
      <c r="L2301" s="62" t="s">
        <v>4</v>
      </c>
      <c r="M2301" s="62" t="n">
        <v>1</v>
      </c>
      <c r="N2301" s="62" t="n">
        <v>0</v>
      </c>
      <c r="O2301" s="62" t="n">
        <v>1</v>
      </c>
      <c r="P2301" s="62" t="n">
        <v>0</v>
      </c>
      <c r="Q2301" s="62" t="n">
        <v>0</v>
      </c>
      <c r="R2301" s="62" t="n">
        <v>0</v>
      </c>
      <c r="S2301" s="62" t="n">
        <v>0</v>
      </c>
      <c r="T2301" s="62" t="n">
        <v>0</v>
      </c>
      <c r="U2301" s="62" t="s">
        <v>2056</v>
      </c>
      <c r="V2301" s="62" t="s">
        <v>2057</v>
      </c>
      <c r="W2301" s="62" t="s">
        <v>15</v>
      </c>
      <c r="X2301" s="62" t="s">
        <v>2058</v>
      </c>
      <c r="Y2301" s="62" t="s">
        <v>2059</v>
      </c>
      <c r="Z2301" s="62" t="s">
        <v>4179</v>
      </c>
      <c r="AA2301" s="62" t="s">
        <v>4180</v>
      </c>
      <c r="AB2301" s="62" t="n">
        <v>1</v>
      </c>
      <c r="AC2301" s="62" t="n">
        <v>0</v>
      </c>
      <c r="AD2301" s="62" t="n">
        <v>1</v>
      </c>
      <c r="AE2301" s="62" t="n">
        <f aca="false">IF(AND(Dashboard!$C$9="Yes",AC2301=1),0,1)</f>
        <v>1</v>
      </c>
      <c r="AF2301" s="62" t="n">
        <v>0</v>
      </c>
    </row>
    <row r="2302" customFormat="false" ht="15" hidden="false" customHeight="false" outlineLevel="0" collapsed="false">
      <c r="A2302" s="62" t="n">
        <v>2301</v>
      </c>
      <c r="B2302" s="63" t="n">
        <v>46285.9244907407</v>
      </c>
      <c r="C2302" s="64" t="n">
        <v>46285</v>
      </c>
      <c r="D2302" s="62" t="s">
        <v>393</v>
      </c>
      <c r="E2302" s="62" t="s">
        <v>2620</v>
      </c>
      <c r="F2302" s="62" t="s">
        <v>2620</v>
      </c>
      <c r="G2302" s="62" t="s">
        <v>2621</v>
      </c>
      <c r="H2302" s="62" t="s">
        <v>48</v>
      </c>
      <c r="I2302" s="62" t="s">
        <v>49</v>
      </c>
      <c r="J2302" s="62" t="s">
        <v>146</v>
      </c>
      <c r="K2302" s="62" t="s">
        <v>209</v>
      </c>
      <c r="L2302" s="62" t="s">
        <v>4</v>
      </c>
      <c r="M2302" s="62" t="n">
        <v>1</v>
      </c>
      <c r="N2302" s="62" t="n">
        <v>0</v>
      </c>
      <c r="O2302" s="62" t="n">
        <v>1</v>
      </c>
      <c r="P2302" s="62" t="n">
        <v>0</v>
      </c>
      <c r="Q2302" s="62" t="n">
        <v>0</v>
      </c>
      <c r="R2302" s="62" t="n">
        <v>0</v>
      </c>
      <c r="S2302" s="62" t="n">
        <v>0</v>
      </c>
      <c r="T2302" s="62" t="n">
        <v>0</v>
      </c>
      <c r="U2302" s="62" t="s">
        <v>2056</v>
      </c>
      <c r="V2302" s="62" t="s">
        <v>2068</v>
      </c>
      <c r="W2302" s="62"/>
      <c r="X2302" s="62" t="s">
        <v>2125</v>
      </c>
      <c r="Y2302" s="62" t="s">
        <v>2059</v>
      </c>
      <c r="Z2302" s="62" t="s">
        <v>4176</v>
      </c>
      <c r="AA2302" s="62" t="s">
        <v>4181</v>
      </c>
      <c r="AB2302" s="62" t="n">
        <v>1</v>
      </c>
      <c r="AC2302" s="62" t="n">
        <v>0</v>
      </c>
      <c r="AD2302" s="62" t="n">
        <v>1</v>
      </c>
      <c r="AE2302" s="62" t="n">
        <f aca="false">IF(AND(Dashboard!$C$9="Yes",AC2302=1),0,1)</f>
        <v>1</v>
      </c>
      <c r="AF2302" s="62" t="n">
        <v>0</v>
      </c>
    </row>
    <row r="2303" customFormat="false" ht="15" hidden="false" customHeight="false" outlineLevel="0" collapsed="false">
      <c r="A2303" s="62" t="n">
        <v>2302</v>
      </c>
      <c r="B2303" s="63" t="n">
        <v>46285.9387268519</v>
      </c>
      <c r="C2303" s="64" t="n">
        <v>46285</v>
      </c>
      <c r="D2303" s="62" t="s">
        <v>393</v>
      </c>
      <c r="E2303" s="62" t="s">
        <v>3022</v>
      </c>
      <c r="F2303" s="62" t="s">
        <v>3022</v>
      </c>
      <c r="G2303" s="62" t="s">
        <v>3023</v>
      </c>
      <c r="H2303" s="62" t="s">
        <v>46</v>
      </c>
      <c r="I2303" s="62" t="s">
        <v>47</v>
      </c>
      <c r="J2303" s="62" t="s">
        <v>146</v>
      </c>
      <c r="K2303" s="62" t="s">
        <v>209</v>
      </c>
      <c r="L2303" s="62" t="s">
        <v>4</v>
      </c>
      <c r="M2303" s="62" t="n">
        <v>1</v>
      </c>
      <c r="N2303" s="62" t="n">
        <v>0</v>
      </c>
      <c r="O2303" s="62" t="n">
        <v>1</v>
      </c>
      <c r="P2303" s="62" t="n">
        <v>0</v>
      </c>
      <c r="Q2303" s="62" t="n">
        <v>0</v>
      </c>
      <c r="R2303" s="62" t="n">
        <v>0</v>
      </c>
      <c r="S2303" s="62" t="n">
        <v>0</v>
      </c>
      <c r="T2303" s="62" t="n">
        <v>0</v>
      </c>
      <c r="U2303" s="62" t="s">
        <v>2056</v>
      </c>
      <c r="V2303" s="62" t="s">
        <v>2057</v>
      </c>
      <c r="W2303" s="62" t="s">
        <v>15</v>
      </c>
      <c r="X2303" s="62" t="s">
        <v>3214</v>
      </c>
      <c r="Y2303" s="62" t="s">
        <v>2103</v>
      </c>
      <c r="Z2303" s="62" t="s">
        <v>4182</v>
      </c>
      <c r="AA2303" s="62" t="s">
        <v>4183</v>
      </c>
      <c r="AB2303" s="62" t="n">
        <v>1</v>
      </c>
      <c r="AC2303" s="62" t="n">
        <v>0</v>
      </c>
      <c r="AD2303" s="62" t="n">
        <v>1</v>
      </c>
      <c r="AE2303" s="62" t="n">
        <f aca="false">IF(AND(Dashboard!$C$9="Yes",AC2303=1),0,1)</f>
        <v>1</v>
      </c>
      <c r="AF2303" s="62" t="n">
        <v>0</v>
      </c>
    </row>
    <row r="2304" customFormat="false" ht="15" hidden="false" customHeight="false" outlineLevel="0" collapsed="false">
      <c r="A2304" s="62" t="n">
        <v>2303</v>
      </c>
      <c r="B2304" s="63" t="n">
        <v>46285.9477777778</v>
      </c>
      <c r="C2304" s="64" t="n">
        <v>46285</v>
      </c>
      <c r="D2304" s="62" t="s">
        <v>393</v>
      </c>
      <c r="E2304" s="62" t="s">
        <v>2530</v>
      </c>
      <c r="F2304" s="62" t="s">
        <v>2530</v>
      </c>
      <c r="G2304" s="62" t="s">
        <v>2531</v>
      </c>
      <c r="H2304" s="62" t="s">
        <v>48</v>
      </c>
      <c r="I2304" s="62" t="s">
        <v>49</v>
      </c>
      <c r="J2304" s="62" t="s">
        <v>146</v>
      </c>
      <c r="K2304" s="62" t="s">
        <v>209</v>
      </c>
      <c r="L2304" s="62" t="s">
        <v>4</v>
      </c>
      <c r="M2304" s="62" t="n">
        <v>1</v>
      </c>
      <c r="N2304" s="62" t="n">
        <v>0</v>
      </c>
      <c r="O2304" s="62" t="n">
        <v>1</v>
      </c>
      <c r="P2304" s="62" t="n">
        <v>0</v>
      </c>
      <c r="Q2304" s="62" t="n">
        <v>0</v>
      </c>
      <c r="R2304" s="62" t="n">
        <v>0</v>
      </c>
      <c r="S2304" s="62" t="n">
        <v>0</v>
      </c>
      <c r="T2304" s="62" t="n">
        <v>0</v>
      </c>
      <c r="U2304" s="62" t="s">
        <v>2056</v>
      </c>
      <c r="V2304" s="62" t="s">
        <v>2068</v>
      </c>
      <c r="W2304" s="62"/>
      <c r="X2304" s="62" t="s">
        <v>2058</v>
      </c>
      <c r="Y2304" s="62" t="s">
        <v>2059</v>
      </c>
      <c r="Z2304" s="62" t="s">
        <v>4184</v>
      </c>
      <c r="AA2304" s="62" t="s">
        <v>4185</v>
      </c>
      <c r="AB2304" s="62" t="n">
        <v>1</v>
      </c>
      <c r="AC2304" s="62" t="n">
        <v>0</v>
      </c>
      <c r="AD2304" s="62" t="n">
        <v>1</v>
      </c>
      <c r="AE2304" s="62" t="n">
        <f aca="false">IF(AND(Dashboard!$C$9="Yes",AC2304=1),0,1)</f>
        <v>1</v>
      </c>
      <c r="AF2304" s="62" t="n">
        <v>1</v>
      </c>
    </row>
    <row r="2305" customFormat="false" ht="15" hidden="false" customHeight="false" outlineLevel="0" collapsed="false">
      <c r="A2305" s="62" t="n">
        <v>2304</v>
      </c>
      <c r="B2305" s="63" t="n">
        <v>46285.9744097222</v>
      </c>
      <c r="C2305" s="64" t="n">
        <v>46285</v>
      </c>
      <c r="D2305" s="62" t="s">
        <v>393</v>
      </c>
      <c r="E2305" s="62" t="s">
        <v>790</v>
      </c>
      <c r="F2305" s="62" t="s">
        <v>791</v>
      </c>
      <c r="G2305" s="62" t="s">
        <v>153</v>
      </c>
      <c r="H2305" s="62" t="s">
        <v>153</v>
      </c>
      <c r="I2305" s="62" t="s">
        <v>153</v>
      </c>
      <c r="J2305" s="62" t="s">
        <v>64</v>
      </c>
      <c r="K2305" s="62" t="s">
        <v>64</v>
      </c>
      <c r="L2305" s="62" t="s">
        <v>4</v>
      </c>
      <c r="M2305" s="62" t="n">
        <v>1</v>
      </c>
      <c r="N2305" s="62" t="n">
        <v>0</v>
      </c>
      <c r="O2305" s="62" t="n">
        <v>1</v>
      </c>
      <c r="P2305" s="62" t="n">
        <v>0</v>
      </c>
      <c r="Q2305" s="62" t="n">
        <v>0</v>
      </c>
      <c r="R2305" s="62" t="n">
        <v>0</v>
      </c>
      <c r="S2305" s="62" t="n">
        <v>0</v>
      </c>
      <c r="T2305" s="62" t="n">
        <v>0</v>
      </c>
      <c r="U2305" s="62" t="s">
        <v>2056</v>
      </c>
      <c r="V2305" s="62" t="s">
        <v>2068</v>
      </c>
      <c r="W2305" s="62"/>
      <c r="X2305" s="62" t="s">
        <v>2058</v>
      </c>
      <c r="Y2305" s="62" t="s">
        <v>2059</v>
      </c>
      <c r="Z2305" s="62" t="s">
        <v>4186</v>
      </c>
      <c r="AA2305" s="62" t="s">
        <v>4187</v>
      </c>
      <c r="AB2305" s="62" t="n">
        <v>1</v>
      </c>
      <c r="AC2305" s="62" t="n">
        <v>0</v>
      </c>
      <c r="AD2305" s="62" t="n">
        <v>0</v>
      </c>
      <c r="AE2305" s="62" t="n">
        <f aca="false">IF(AND(Dashboard!$C$9="Yes",AC2305=1),0,1)</f>
        <v>1</v>
      </c>
      <c r="AF2305" s="62" t="n">
        <v>1</v>
      </c>
    </row>
    <row r="2306" customFormat="false" ht="15" hidden="false" customHeight="false" outlineLevel="0" collapsed="false">
      <c r="A2306" s="62" t="n">
        <v>2305</v>
      </c>
      <c r="B2306" s="63" t="n">
        <v>46285.9941550926</v>
      </c>
      <c r="C2306" s="64" t="n">
        <v>46285</v>
      </c>
      <c r="D2306" s="62" t="s">
        <v>393</v>
      </c>
      <c r="E2306" s="62" t="s">
        <v>518</v>
      </c>
      <c r="F2306" s="62" t="s">
        <v>518</v>
      </c>
      <c r="G2306" s="62" t="s">
        <v>519</v>
      </c>
      <c r="H2306" s="62" t="s">
        <v>52</v>
      </c>
      <c r="I2306" s="62" t="s">
        <v>47</v>
      </c>
      <c r="J2306" s="62" t="s">
        <v>146</v>
      </c>
      <c r="K2306" s="62" t="s">
        <v>147</v>
      </c>
      <c r="L2306" s="62" t="s">
        <v>148</v>
      </c>
      <c r="M2306" s="62" t="n">
        <v>0</v>
      </c>
      <c r="N2306" s="62" t="n">
        <v>3</v>
      </c>
      <c r="O2306" s="62" t="n">
        <v>3</v>
      </c>
      <c r="P2306" s="62" t="n">
        <v>1</v>
      </c>
      <c r="Q2306" s="62" t="n">
        <v>1</v>
      </c>
      <c r="R2306" s="62" t="n">
        <v>1</v>
      </c>
      <c r="S2306" s="62" t="n">
        <v>0</v>
      </c>
      <c r="T2306" s="62" t="n">
        <v>0</v>
      </c>
      <c r="U2306" s="62"/>
      <c r="V2306" s="62"/>
      <c r="W2306" s="62"/>
      <c r="X2306" s="62"/>
      <c r="Y2306" s="62"/>
      <c r="Z2306" s="62" t="s">
        <v>4188</v>
      </c>
      <c r="AA2306" s="62" t="s">
        <v>4189</v>
      </c>
      <c r="AB2306" s="62" t="n">
        <v>1</v>
      </c>
      <c r="AC2306" s="62" t="n">
        <v>0</v>
      </c>
      <c r="AD2306" s="62" t="n">
        <v>1</v>
      </c>
      <c r="AE2306" s="62" t="n">
        <f aca="false">IF(AND(Dashboard!$C$9="Yes",AC2306=1),0,1)</f>
        <v>1</v>
      </c>
      <c r="AF2306" s="62" t="n">
        <v>1</v>
      </c>
    </row>
    <row r="2307" customFormat="false" ht="15" hidden="false" customHeight="false" outlineLevel="0" collapsed="false">
      <c r="A2307" s="62" t="n">
        <v>2306</v>
      </c>
      <c r="B2307" s="63" t="n">
        <v>46286.0043287037</v>
      </c>
      <c r="C2307" s="64" t="n">
        <v>46285</v>
      </c>
      <c r="D2307" s="62" t="s">
        <v>393</v>
      </c>
      <c r="E2307" s="62" t="s">
        <v>2228</v>
      </c>
      <c r="F2307" s="62" t="s">
        <v>2228</v>
      </c>
      <c r="G2307" s="62" t="s">
        <v>2229</v>
      </c>
      <c r="H2307" s="62" t="s">
        <v>58</v>
      </c>
      <c r="I2307" s="62" t="s">
        <v>49</v>
      </c>
      <c r="J2307" s="62" t="s">
        <v>146</v>
      </c>
      <c r="K2307" s="62" t="s">
        <v>209</v>
      </c>
      <c r="L2307" s="62" t="s">
        <v>148</v>
      </c>
      <c r="M2307" s="62" t="n">
        <v>0</v>
      </c>
      <c r="N2307" s="62" t="n">
        <v>1</v>
      </c>
      <c r="O2307" s="62" t="n">
        <v>1</v>
      </c>
      <c r="P2307" s="62" t="n">
        <v>0</v>
      </c>
      <c r="Q2307" s="62" t="n">
        <v>1</v>
      </c>
      <c r="R2307" s="62" t="n">
        <v>0</v>
      </c>
      <c r="S2307" s="62" t="n">
        <v>0</v>
      </c>
      <c r="T2307" s="62" t="n">
        <v>0</v>
      </c>
      <c r="U2307" s="62"/>
      <c r="V2307" s="62"/>
      <c r="W2307" s="62"/>
      <c r="X2307" s="62"/>
      <c r="Y2307" s="62"/>
      <c r="Z2307" s="62" t="s">
        <v>4190</v>
      </c>
      <c r="AA2307" s="62" t="s">
        <v>4191</v>
      </c>
      <c r="AB2307" s="62" t="n">
        <v>1</v>
      </c>
      <c r="AC2307" s="62" t="n">
        <v>0</v>
      </c>
      <c r="AD2307" s="62" t="n">
        <v>1</v>
      </c>
      <c r="AE2307" s="62" t="n">
        <f aca="false">IF(AND(Dashboard!$C$9="Yes",AC2307=1),0,1)</f>
        <v>1</v>
      </c>
      <c r="AF2307" s="62" t="n">
        <v>0</v>
      </c>
    </row>
    <row r="2308" customFormat="false" ht="15" hidden="false" customHeight="false" outlineLevel="0" collapsed="false">
      <c r="A2308" s="62" t="n">
        <v>2307</v>
      </c>
      <c r="B2308" s="63" t="n">
        <v>46286.0176851852</v>
      </c>
      <c r="C2308" s="64" t="n">
        <v>46285</v>
      </c>
      <c r="D2308" s="62" t="s">
        <v>393</v>
      </c>
      <c r="E2308" s="62" t="s">
        <v>1827</v>
      </c>
      <c r="F2308" s="62" t="s">
        <v>1827</v>
      </c>
      <c r="G2308" s="62" t="s">
        <v>1828</v>
      </c>
      <c r="H2308" s="62" t="s">
        <v>59</v>
      </c>
      <c r="I2308" s="62" t="s">
        <v>47</v>
      </c>
      <c r="J2308" s="62" t="s">
        <v>146</v>
      </c>
      <c r="K2308" s="62" t="s">
        <v>209</v>
      </c>
      <c r="L2308" s="62" t="s">
        <v>148</v>
      </c>
      <c r="M2308" s="62" t="n">
        <v>0</v>
      </c>
      <c r="N2308" s="62" t="n">
        <v>1</v>
      </c>
      <c r="O2308" s="62" t="n">
        <v>1</v>
      </c>
      <c r="P2308" s="62" t="n">
        <v>0</v>
      </c>
      <c r="Q2308" s="62" t="n">
        <v>0</v>
      </c>
      <c r="R2308" s="62" t="n">
        <v>1</v>
      </c>
      <c r="S2308" s="62" t="n">
        <v>0</v>
      </c>
      <c r="T2308" s="62" t="n">
        <v>0</v>
      </c>
      <c r="U2308" s="62"/>
      <c r="V2308" s="62"/>
      <c r="W2308" s="62"/>
      <c r="X2308" s="62"/>
      <c r="Y2308" s="62"/>
      <c r="Z2308" s="62" t="s">
        <v>4192</v>
      </c>
      <c r="AA2308" s="62" t="s">
        <v>4193</v>
      </c>
      <c r="AB2308" s="62" t="n">
        <v>1</v>
      </c>
      <c r="AC2308" s="62" t="n">
        <v>0</v>
      </c>
      <c r="AD2308" s="62" t="n">
        <v>1</v>
      </c>
      <c r="AE2308" s="62" t="n">
        <f aca="false">IF(AND(Dashboard!$C$9="Yes",AC2308=1),0,1)</f>
        <v>1</v>
      </c>
      <c r="AF2308" s="62" t="n">
        <v>1</v>
      </c>
    </row>
    <row r="2309" customFormat="false" ht="15" hidden="false" customHeight="false" outlineLevel="0" collapsed="false">
      <c r="A2309" s="62" t="n">
        <v>2308</v>
      </c>
      <c r="B2309" s="63" t="n">
        <v>46286.0496296296</v>
      </c>
      <c r="C2309" s="64" t="n">
        <v>46285</v>
      </c>
      <c r="D2309" s="62" t="s">
        <v>393</v>
      </c>
      <c r="E2309" s="62" t="s">
        <v>2228</v>
      </c>
      <c r="F2309" s="62" t="s">
        <v>2228</v>
      </c>
      <c r="G2309" s="62" t="s">
        <v>2229</v>
      </c>
      <c r="H2309" s="62" t="s">
        <v>58</v>
      </c>
      <c r="I2309" s="62" t="s">
        <v>49</v>
      </c>
      <c r="J2309" s="62" t="s">
        <v>146</v>
      </c>
      <c r="K2309" s="62" t="s">
        <v>209</v>
      </c>
      <c r="L2309" s="62" t="s">
        <v>4</v>
      </c>
      <c r="M2309" s="62" t="n">
        <v>1</v>
      </c>
      <c r="N2309" s="62" t="n">
        <v>0</v>
      </c>
      <c r="O2309" s="62" t="n">
        <v>1</v>
      </c>
      <c r="P2309" s="62" t="n">
        <v>0</v>
      </c>
      <c r="Q2309" s="62" t="n">
        <v>0</v>
      </c>
      <c r="R2309" s="62" t="n">
        <v>0</v>
      </c>
      <c r="S2309" s="62" t="n">
        <v>0</v>
      </c>
      <c r="T2309" s="62" t="n">
        <v>0</v>
      </c>
      <c r="U2309" s="62" t="s">
        <v>2056</v>
      </c>
      <c r="V2309" s="62" t="s">
        <v>2057</v>
      </c>
      <c r="W2309" s="62" t="s">
        <v>15</v>
      </c>
      <c r="X2309" s="62" t="s">
        <v>2058</v>
      </c>
      <c r="Y2309" s="62" t="s">
        <v>2059</v>
      </c>
      <c r="Z2309" s="62" t="s">
        <v>4194</v>
      </c>
      <c r="AA2309" s="62" t="s">
        <v>4195</v>
      </c>
      <c r="AB2309" s="62" t="n">
        <v>1</v>
      </c>
      <c r="AC2309" s="62" t="n">
        <v>0</v>
      </c>
      <c r="AD2309" s="62" t="n">
        <v>1</v>
      </c>
      <c r="AE2309" s="62" t="n">
        <f aca="false">IF(AND(Dashboard!$C$9="Yes",AC2309=1),0,1)</f>
        <v>1</v>
      </c>
      <c r="AF2309" s="62" t="n">
        <v>0</v>
      </c>
    </row>
    <row r="2310" customFormat="false" ht="15" hidden="false" customHeight="false" outlineLevel="0" collapsed="false">
      <c r="A2310" s="62" t="n">
        <v>2309</v>
      </c>
      <c r="B2310" s="63" t="n">
        <v>46286.0686226852</v>
      </c>
      <c r="C2310" s="64" t="n">
        <v>46285</v>
      </c>
      <c r="D2310" s="62" t="s">
        <v>393</v>
      </c>
      <c r="E2310" s="62" t="s">
        <v>2228</v>
      </c>
      <c r="F2310" s="62" t="s">
        <v>2228</v>
      </c>
      <c r="G2310" s="62" t="s">
        <v>2229</v>
      </c>
      <c r="H2310" s="62" t="s">
        <v>58</v>
      </c>
      <c r="I2310" s="62" t="s">
        <v>49</v>
      </c>
      <c r="J2310" s="62" t="s">
        <v>146</v>
      </c>
      <c r="K2310" s="62" t="s">
        <v>209</v>
      </c>
      <c r="L2310" s="62" t="s">
        <v>148</v>
      </c>
      <c r="M2310" s="62" t="n">
        <v>0</v>
      </c>
      <c r="N2310" s="62" t="n">
        <v>1</v>
      </c>
      <c r="O2310" s="62" t="n">
        <v>1</v>
      </c>
      <c r="P2310" s="62" t="n">
        <v>1</v>
      </c>
      <c r="Q2310" s="62" t="n">
        <v>0</v>
      </c>
      <c r="R2310" s="62" t="n">
        <v>0</v>
      </c>
      <c r="S2310" s="62" t="n">
        <v>0</v>
      </c>
      <c r="T2310" s="62" t="n">
        <v>0</v>
      </c>
      <c r="U2310" s="62"/>
      <c r="V2310" s="62"/>
      <c r="W2310" s="62"/>
      <c r="X2310" s="62"/>
      <c r="Y2310" s="62"/>
      <c r="Z2310" s="62" t="s">
        <v>4194</v>
      </c>
      <c r="AA2310" s="62" t="s">
        <v>4196</v>
      </c>
      <c r="AB2310" s="62" t="n">
        <v>1</v>
      </c>
      <c r="AC2310" s="62" t="n">
        <v>0</v>
      </c>
      <c r="AD2310" s="62" t="n">
        <v>1</v>
      </c>
      <c r="AE2310" s="62" t="n">
        <f aca="false">IF(AND(Dashboard!$C$9="Yes",AC2310=1),0,1)</f>
        <v>1</v>
      </c>
      <c r="AF2310" s="62" t="n">
        <v>0</v>
      </c>
    </row>
    <row r="2311" customFormat="false" ht="15" hidden="false" customHeight="false" outlineLevel="0" collapsed="false">
      <c r="A2311" s="62" t="n">
        <v>2310</v>
      </c>
      <c r="B2311" s="63" t="n">
        <v>46286.0717476852</v>
      </c>
      <c r="C2311" s="64" t="n">
        <v>46285</v>
      </c>
      <c r="D2311" s="62" t="s">
        <v>393</v>
      </c>
      <c r="E2311" s="62" t="s">
        <v>1255</v>
      </c>
      <c r="F2311" s="62" t="s">
        <v>1255</v>
      </c>
      <c r="G2311" s="62" t="s">
        <v>1256</v>
      </c>
      <c r="H2311" s="62" t="s">
        <v>52</v>
      </c>
      <c r="I2311" s="62" t="s">
        <v>47</v>
      </c>
      <c r="J2311" s="62" t="s">
        <v>146</v>
      </c>
      <c r="K2311" s="62" t="s">
        <v>147</v>
      </c>
      <c r="L2311" s="62" t="s">
        <v>4</v>
      </c>
      <c r="M2311" s="62" t="n">
        <v>1</v>
      </c>
      <c r="N2311" s="62" t="n">
        <v>0</v>
      </c>
      <c r="O2311" s="62" t="n">
        <v>1</v>
      </c>
      <c r="P2311" s="62" t="n">
        <v>0</v>
      </c>
      <c r="Q2311" s="62" t="n">
        <v>0</v>
      </c>
      <c r="R2311" s="62" t="n">
        <v>0</v>
      </c>
      <c r="S2311" s="62" t="n">
        <v>0</v>
      </c>
      <c r="T2311" s="62" t="n">
        <v>0</v>
      </c>
      <c r="U2311" s="62" t="s">
        <v>2056</v>
      </c>
      <c r="V2311" s="62" t="s">
        <v>2057</v>
      </c>
      <c r="W2311" s="62" t="s">
        <v>15</v>
      </c>
      <c r="X2311" s="62" t="s">
        <v>2058</v>
      </c>
      <c r="Y2311" s="62" t="s">
        <v>2059</v>
      </c>
      <c r="Z2311" s="62" t="s">
        <v>4197</v>
      </c>
      <c r="AA2311" s="62" t="s">
        <v>4198</v>
      </c>
      <c r="AB2311" s="62" t="n">
        <v>1</v>
      </c>
      <c r="AC2311" s="62" t="n">
        <v>0</v>
      </c>
      <c r="AD2311" s="62" t="n">
        <v>1</v>
      </c>
      <c r="AE2311" s="62" t="n">
        <f aca="false">IF(AND(Dashboard!$C$9="Yes",AC2311=1),0,1)</f>
        <v>1</v>
      </c>
      <c r="AF2311" s="62" t="n">
        <v>0</v>
      </c>
    </row>
    <row r="2312" customFormat="false" ht="15" hidden="false" customHeight="false" outlineLevel="0" collapsed="false">
      <c r="A2312" s="62" t="n">
        <v>2311</v>
      </c>
      <c r="B2312" s="63" t="n">
        <v>46286.0799189815</v>
      </c>
      <c r="C2312" s="64" t="n">
        <v>46285</v>
      </c>
      <c r="D2312" s="62" t="s">
        <v>393</v>
      </c>
      <c r="E2312" s="62" t="s">
        <v>2183</v>
      </c>
      <c r="F2312" s="62" t="s">
        <v>2183</v>
      </c>
      <c r="G2312" s="62" t="s">
        <v>2184</v>
      </c>
      <c r="H2312" s="62" t="s">
        <v>59</v>
      </c>
      <c r="I2312" s="62" t="s">
        <v>47</v>
      </c>
      <c r="J2312" s="62" t="s">
        <v>146</v>
      </c>
      <c r="K2312" s="62" t="s">
        <v>209</v>
      </c>
      <c r="L2312" s="62" t="s">
        <v>148</v>
      </c>
      <c r="M2312" s="62" t="n">
        <v>0</v>
      </c>
      <c r="N2312" s="62" t="n">
        <v>1</v>
      </c>
      <c r="O2312" s="62" t="n">
        <v>1</v>
      </c>
      <c r="P2312" s="62" t="n">
        <v>1</v>
      </c>
      <c r="Q2312" s="62" t="n">
        <v>0</v>
      </c>
      <c r="R2312" s="62" t="n">
        <v>0</v>
      </c>
      <c r="S2312" s="62" t="n">
        <v>0</v>
      </c>
      <c r="T2312" s="62" t="n">
        <v>0</v>
      </c>
      <c r="U2312" s="62"/>
      <c r="V2312" s="62"/>
      <c r="W2312" s="62"/>
      <c r="X2312" s="62"/>
      <c r="Y2312" s="62"/>
      <c r="Z2312" s="62" t="s">
        <v>4199</v>
      </c>
      <c r="AA2312" s="62" t="s">
        <v>4200</v>
      </c>
      <c r="AB2312" s="62" t="n">
        <v>1</v>
      </c>
      <c r="AC2312" s="62" t="n">
        <v>0</v>
      </c>
      <c r="AD2312" s="62" t="n">
        <v>1</v>
      </c>
      <c r="AE2312" s="62" t="n">
        <f aca="false">IF(AND(Dashboard!$C$9="Yes",AC2312=1),0,1)</f>
        <v>1</v>
      </c>
      <c r="AF2312" s="62" t="n">
        <v>1</v>
      </c>
    </row>
    <row r="2313" customFormat="false" ht="15" hidden="false" customHeight="false" outlineLevel="0" collapsed="false">
      <c r="A2313" s="62" t="n">
        <v>2312</v>
      </c>
      <c r="B2313" s="63" t="n">
        <v>46286.1040972222</v>
      </c>
      <c r="C2313" s="64" t="n">
        <v>46285</v>
      </c>
      <c r="D2313" s="62" t="s">
        <v>393</v>
      </c>
      <c r="E2313" s="62" t="s">
        <v>1749</v>
      </c>
      <c r="F2313" s="62" t="s">
        <v>1749</v>
      </c>
      <c r="G2313" s="62" t="s">
        <v>1750</v>
      </c>
      <c r="H2313" s="62" t="s">
        <v>57</v>
      </c>
      <c r="I2313" s="62" t="s">
        <v>47</v>
      </c>
      <c r="J2313" s="62" t="s">
        <v>146</v>
      </c>
      <c r="K2313" s="62" t="s">
        <v>209</v>
      </c>
      <c r="L2313" s="62" t="s">
        <v>148</v>
      </c>
      <c r="M2313" s="62" t="n">
        <v>0</v>
      </c>
      <c r="N2313" s="62" t="n">
        <v>1</v>
      </c>
      <c r="O2313" s="62" t="n">
        <v>1</v>
      </c>
      <c r="P2313" s="62" t="n">
        <v>1</v>
      </c>
      <c r="Q2313" s="62" t="n">
        <v>0</v>
      </c>
      <c r="R2313" s="62" t="n">
        <v>0</v>
      </c>
      <c r="S2313" s="62" t="n">
        <v>0</v>
      </c>
      <c r="T2313" s="62" t="n">
        <v>0</v>
      </c>
      <c r="U2313" s="62"/>
      <c r="V2313" s="62"/>
      <c r="W2313" s="62"/>
      <c r="X2313" s="62"/>
      <c r="Y2313" s="62"/>
      <c r="Z2313" s="62" t="s">
        <v>4201</v>
      </c>
      <c r="AA2313" s="62" t="s">
        <v>4202</v>
      </c>
      <c r="AB2313" s="62" t="n">
        <v>1</v>
      </c>
      <c r="AC2313" s="62" t="n">
        <v>0</v>
      </c>
      <c r="AD2313" s="62" t="n">
        <v>1</v>
      </c>
      <c r="AE2313" s="62" t="n">
        <f aca="false">IF(AND(Dashboard!$C$9="Yes",AC2313=1),0,1)</f>
        <v>1</v>
      </c>
      <c r="AF2313" s="62" t="n">
        <v>1</v>
      </c>
    </row>
    <row r="2314" customFormat="false" ht="15" hidden="false" customHeight="false" outlineLevel="0" collapsed="false">
      <c r="A2314" s="62" t="n">
        <v>2313</v>
      </c>
      <c r="B2314" s="63" t="n">
        <v>46286.1291550926</v>
      </c>
      <c r="C2314" s="64" t="n">
        <v>46285</v>
      </c>
      <c r="D2314" s="62" t="s">
        <v>393</v>
      </c>
      <c r="E2314" s="62" t="s">
        <v>2228</v>
      </c>
      <c r="F2314" s="62" t="s">
        <v>2228</v>
      </c>
      <c r="G2314" s="62" t="s">
        <v>2229</v>
      </c>
      <c r="H2314" s="62" t="s">
        <v>58</v>
      </c>
      <c r="I2314" s="62" t="s">
        <v>49</v>
      </c>
      <c r="J2314" s="62" t="s">
        <v>146</v>
      </c>
      <c r="K2314" s="62" t="s">
        <v>209</v>
      </c>
      <c r="L2314" s="62" t="s">
        <v>148</v>
      </c>
      <c r="M2314" s="62" t="n">
        <v>0</v>
      </c>
      <c r="N2314" s="62" t="n">
        <v>1</v>
      </c>
      <c r="O2314" s="62" t="n">
        <v>1</v>
      </c>
      <c r="P2314" s="62" t="n">
        <v>1</v>
      </c>
      <c r="Q2314" s="62" t="n">
        <v>0</v>
      </c>
      <c r="R2314" s="62" t="n">
        <v>0</v>
      </c>
      <c r="S2314" s="62" t="n">
        <v>0</v>
      </c>
      <c r="T2314" s="62" t="n">
        <v>0</v>
      </c>
      <c r="U2314" s="62"/>
      <c r="V2314" s="62"/>
      <c r="W2314" s="62"/>
      <c r="X2314" s="62"/>
      <c r="Y2314" s="62"/>
      <c r="Z2314" s="62" t="s">
        <v>4203</v>
      </c>
      <c r="AA2314" s="62" t="s">
        <v>4204</v>
      </c>
      <c r="AB2314" s="62" t="n">
        <v>1</v>
      </c>
      <c r="AC2314" s="62" t="n">
        <v>0</v>
      </c>
      <c r="AD2314" s="62" t="n">
        <v>1</v>
      </c>
      <c r="AE2314" s="62" t="n">
        <f aca="false">IF(AND(Dashboard!$C$9="Yes",AC2314=1),0,1)</f>
        <v>1</v>
      </c>
      <c r="AF2314" s="62" t="n">
        <v>0</v>
      </c>
    </row>
    <row r="2315" customFormat="false" ht="15" hidden="false" customHeight="false" outlineLevel="0" collapsed="false">
      <c r="A2315" s="62" t="n">
        <v>2314</v>
      </c>
      <c r="B2315" s="63" t="n">
        <v>46286.1652314815</v>
      </c>
      <c r="C2315" s="64" t="n">
        <v>46285</v>
      </c>
      <c r="D2315" s="62" t="s">
        <v>393</v>
      </c>
      <c r="E2315" s="62" t="s">
        <v>2476</v>
      </c>
      <c r="F2315" s="62" t="s">
        <v>2476</v>
      </c>
      <c r="G2315" s="62" t="s">
        <v>2477</v>
      </c>
      <c r="H2315" s="62" t="s">
        <v>51</v>
      </c>
      <c r="I2315" s="62" t="s">
        <v>47</v>
      </c>
      <c r="J2315" s="62" t="s">
        <v>146</v>
      </c>
      <c r="K2315" s="62" t="s">
        <v>209</v>
      </c>
      <c r="L2315" s="62" t="s">
        <v>148</v>
      </c>
      <c r="M2315" s="62" t="n">
        <v>0</v>
      </c>
      <c r="N2315" s="62" t="n">
        <v>1</v>
      </c>
      <c r="O2315" s="62" t="n">
        <v>1</v>
      </c>
      <c r="P2315" s="62" t="n">
        <v>1</v>
      </c>
      <c r="Q2315" s="62" t="n">
        <v>0</v>
      </c>
      <c r="R2315" s="62" t="n">
        <v>0</v>
      </c>
      <c r="S2315" s="62" t="n">
        <v>0</v>
      </c>
      <c r="T2315" s="62" t="n">
        <v>0</v>
      </c>
      <c r="U2315" s="62"/>
      <c r="V2315" s="62"/>
      <c r="W2315" s="62"/>
      <c r="X2315" s="62"/>
      <c r="Y2315" s="62"/>
      <c r="Z2315" s="62" t="s">
        <v>4205</v>
      </c>
      <c r="AA2315" s="62" t="s">
        <v>4206</v>
      </c>
      <c r="AB2315" s="62" t="n">
        <v>1</v>
      </c>
      <c r="AC2315" s="62" t="n">
        <v>0</v>
      </c>
      <c r="AD2315" s="62" t="n">
        <v>1</v>
      </c>
      <c r="AE2315" s="62" t="n">
        <f aca="false">IF(AND(Dashboard!$C$9="Yes",AC2315=1),0,1)</f>
        <v>1</v>
      </c>
      <c r="AF2315" s="62" t="n">
        <v>1</v>
      </c>
    </row>
    <row r="2316" customFormat="false" ht="15" hidden="false" customHeight="false" outlineLevel="0" collapsed="false">
      <c r="A2316" s="62" t="n">
        <v>2315</v>
      </c>
      <c r="B2316" s="63" t="n">
        <v>46286.1723032407</v>
      </c>
      <c r="C2316" s="64" t="n">
        <v>46285</v>
      </c>
      <c r="D2316" s="62" t="s">
        <v>393</v>
      </c>
      <c r="E2316" s="62" t="s">
        <v>414</v>
      </c>
      <c r="F2316" s="62" t="s">
        <v>414</v>
      </c>
      <c r="G2316" s="62" t="s">
        <v>415</v>
      </c>
      <c r="H2316" s="62" t="s">
        <v>57</v>
      </c>
      <c r="I2316" s="62" t="s">
        <v>47</v>
      </c>
      <c r="J2316" s="62" t="s">
        <v>146</v>
      </c>
      <c r="K2316" s="62" t="s">
        <v>147</v>
      </c>
      <c r="L2316" s="62" t="s">
        <v>148</v>
      </c>
      <c r="M2316" s="62" t="n">
        <v>0</v>
      </c>
      <c r="N2316" s="62" t="n">
        <v>1</v>
      </c>
      <c r="O2316" s="62" t="n">
        <v>1</v>
      </c>
      <c r="P2316" s="62" t="n">
        <v>1</v>
      </c>
      <c r="Q2316" s="62" t="n">
        <v>0</v>
      </c>
      <c r="R2316" s="62" t="n">
        <v>0</v>
      </c>
      <c r="S2316" s="62" t="n">
        <v>0</v>
      </c>
      <c r="T2316" s="62" t="n">
        <v>0</v>
      </c>
      <c r="U2316" s="62"/>
      <c r="V2316" s="62"/>
      <c r="W2316" s="62"/>
      <c r="X2316" s="62"/>
      <c r="Y2316" s="62"/>
      <c r="Z2316" s="62" t="s">
        <v>4207</v>
      </c>
      <c r="AA2316" s="62" t="s">
        <v>4208</v>
      </c>
      <c r="AB2316" s="62" t="n">
        <v>1</v>
      </c>
      <c r="AC2316" s="62" t="n">
        <v>0</v>
      </c>
      <c r="AD2316" s="62" t="n">
        <v>1</v>
      </c>
      <c r="AE2316" s="62" t="n">
        <f aca="false">IF(AND(Dashboard!$C$9="Yes",AC2316=1),0,1)</f>
        <v>1</v>
      </c>
      <c r="AF2316" s="62" t="n">
        <v>1</v>
      </c>
    </row>
    <row r="2317" customFormat="false" ht="15" hidden="false" customHeight="false" outlineLevel="0" collapsed="false">
      <c r="A2317" s="62" t="n">
        <v>2316</v>
      </c>
      <c r="B2317" s="63" t="n">
        <v>46286.1735069445</v>
      </c>
      <c r="C2317" s="64" t="n">
        <v>46285</v>
      </c>
      <c r="D2317" s="62" t="s">
        <v>393</v>
      </c>
      <c r="E2317" s="62" t="s">
        <v>2722</v>
      </c>
      <c r="F2317" s="62" t="s">
        <v>2722</v>
      </c>
      <c r="G2317" s="62" t="s">
        <v>2723</v>
      </c>
      <c r="H2317" s="62" t="s">
        <v>55</v>
      </c>
      <c r="I2317" s="62" t="s">
        <v>49</v>
      </c>
      <c r="J2317" s="62" t="s">
        <v>146</v>
      </c>
      <c r="K2317" s="62" t="s">
        <v>209</v>
      </c>
      <c r="L2317" s="62" t="s">
        <v>148</v>
      </c>
      <c r="M2317" s="62" t="n">
        <v>0</v>
      </c>
      <c r="N2317" s="62" t="n">
        <v>1</v>
      </c>
      <c r="O2317" s="62" t="n">
        <v>1</v>
      </c>
      <c r="P2317" s="62" t="n">
        <v>1</v>
      </c>
      <c r="Q2317" s="62" t="n">
        <v>0</v>
      </c>
      <c r="R2317" s="62" t="n">
        <v>0</v>
      </c>
      <c r="S2317" s="62" t="n">
        <v>0</v>
      </c>
      <c r="T2317" s="62" t="n">
        <v>0</v>
      </c>
      <c r="U2317" s="62"/>
      <c r="V2317" s="62"/>
      <c r="W2317" s="62"/>
      <c r="X2317" s="62"/>
      <c r="Y2317" s="62"/>
      <c r="Z2317" s="62" t="s">
        <v>4209</v>
      </c>
      <c r="AA2317" s="62" t="s">
        <v>4210</v>
      </c>
      <c r="AB2317" s="62" t="n">
        <v>1</v>
      </c>
      <c r="AC2317" s="62" t="n">
        <v>0</v>
      </c>
      <c r="AD2317" s="62" t="n">
        <v>1</v>
      </c>
      <c r="AE2317" s="62" t="n">
        <f aca="false">IF(AND(Dashboard!$C$9="Yes",AC2317=1),0,1)</f>
        <v>1</v>
      </c>
      <c r="AF2317" s="62" t="n">
        <v>1</v>
      </c>
    </row>
    <row r="2318" customFormat="false" ht="15" hidden="false" customHeight="false" outlineLevel="0" collapsed="false">
      <c r="A2318" s="62" t="n">
        <v>2317</v>
      </c>
      <c r="B2318" s="63" t="n">
        <v>46286.1949074074</v>
      </c>
      <c r="C2318" s="64" t="n">
        <v>46285</v>
      </c>
      <c r="D2318" s="62" t="s">
        <v>393</v>
      </c>
      <c r="E2318" s="62" t="s">
        <v>180</v>
      </c>
      <c r="F2318" s="62" t="s">
        <v>180</v>
      </c>
      <c r="G2318" s="62" t="s">
        <v>181</v>
      </c>
      <c r="H2318" s="62" t="s">
        <v>58</v>
      </c>
      <c r="I2318" s="62" t="s">
        <v>49</v>
      </c>
      <c r="J2318" s="62" t="s">
        <v>146</v>
      </c>
      <c r="K2318" s="62" t="s">
        <v>175</v>
      </c>
      <c r="L2318" s="62" t="s">
        <v>4</v>
      </c>
      <c r="M2318" s="62" t="n">
        <v>1</v>
      </c>
      <c r="N2318" s="62" t="n">
        <v>0</v>
      </c>
      <c r="O2318" s="62" t="n">
        <v>1</v>
      </c>
      <c r="P2318" s="62" t="n">
        <v>0</v>
      </c>
      <c r="Q2318" s="62" t="n">
        <v>0</v>
      </c>
      <c r="R2318" s="62" t="n">
        <v>0</v>
      </c>
      <c r="S2318" s="62" t="n">
        <v>0</v>
      </c>
      <c r="T2318" s="62" t="n">
        <v>0</v>
      </c>
      <c r="U2318" s="62" t="s">
        <v>2056</v>
      </c>
      <c r="V2318" s="62" t="s">
        <v>2057</v>
      </c>
      <c r="W2318" s="62" t="s">
        <v>15</v>
      </c>
      <c r="X2318" s="62" t="s">
        <v>2058</v>
      </c>
      <c r="Y2318" s="62" t="s">
        <v>2059</v>
      </c>
      <c r="Z2318" s="62" t="s">
        <v>4211</v>
      </c>
      <c r="AA2318" s="62" t="s">
        <v>4212</v>
      </c>
      <c r="AB2318" s="62" t="n">
        <v>1</v>
      </c>
      <c r="AC2318" s="62" t="n">
        <v>0</v>
      </c>
      <c r="AD2318" s="62" t="n">
        <v>1</v>
      </c>
      <c r="AE2318" s="62" t="n">
        <f aca="false">IF(AND(Dashboard!$C$9="Yes",AC2318=1),0,1)</f>
        <v>1</v>
      </c>
      <c r="AF2318" s="62" t="n">
        <v>1</v>
      </c>
    </row>
    <row r="2319" customFormat="false" ht="15" hidden="false" customHeight="false" outlineLevel="0" collapsed="false">
      <c r="A2319" s="62" t="n">
        <v>2318</v>
      </c>
      <c r="B2319" s="63" t="n">
        <v>46286.2137615741</v>
      </c>
      <c r="C2319" s="64" t="n">
        <v>46285</v>
      </c>
      <c r="D2319" s="62" t="s">
        <v>393</v>
      </c>
      <c r="E2319" s="62" t="s">
        <v>2943</v>
      </c>
      <c r="F2319" s="62" t="s">
        <v>2943</v>
      </c>
      <c r="G2319" s="62" t="s">
        <v>2944</v>
      </c>
      <c r="H2319" s="62" t="s">
        <v>48</v>
      </c>
      <c r="I2319" s="62" t="s">
        <v>49</v>
      </c>
      <c r="J2319" s="62" t="s">
        <v>146</v>
      </c>
      <c r="K2319" s="62" t="s">
        <v>209</v>
      </c>
      <c r="L2319" s="62" t="s">
        <v>4</v>
      </c>
      <c r="M2319" s="62" t="n">
        <v>1</v>
      </c>
      <c r="N2319" s="62" t="n">
        <v>0</v>
      </c>
      <c r="O2319" s="62" t="n">
        <v>1</v>
      </c>
      <c r="P2319" s="62" t="n">
        <v>0</v>
      </c>
      <c r="Q2319" s="62" t="n">
        <v>0</v>
      </c>
      <c r="R2319" s="62" t="n">
        <v>0</v>
      </c>
      <c r="S2319" s="62" t="n">
        <v>0</v>
      </c>
      <c r="T2319" s="62" t="n">
        <v>0</v>
      </c>
      <c r="U2319" s="62" t="s">
        <v>2056</v>
      </c>
      <c r="V2319" s="62" t="s">
        <v>2057</v>
      </c>
      <c r="W2319" s="62" t="s">
        <v>2056</v>
      </c>
      <c r="X2319" s="62" t="s">
        <v>2058</v>
      </c>
      <c r="Y2319" s="62" t="s">
        <v>2059</v>
      </c>
      <c r="Z2319" s="62" t="s">
        <v>4213</v>
      </c>
      <c r="AA2319" s="62" t="s">
        <v>4214</v>
      </c>
      <c r="AB2319" s="62" t="n">
        <v>1</v>
      </c>
      <c r="AC2319" s="62" t="n">
        <v>0</v>
      </c>
      <c r="AD2319" s="62" t="n">
        <v>1</v>
      </c>
      <c r="AE2319" s="62" t="n">
        <f aca="false">IF(AND(Dashboard!$C$9="Yes",AC2319=1),0,1)</f>
        <v>1</v>
      </c>
      <c r="AF2319" s="62" t="n">
        <v>1</v>
      </c>
    </row>
    <row r="2320" customFormat="false" ht="15" hidden="false" customHeight="false" outlineLevel="0" collapsed="false">
      <c r="A2320" s="62" t="n">
        <v>2319</v>
      </c>
      <c r="B2320" s="63" t="n">
        <v>46286.2331481482</v>
      </c>
      <c r="C2320" s="64" t="n">
        <v>46285</v>
      </c>
      <c r="D2320" s="62" t="s">
        <v>393</v>
      </c>
      <c r="E2320" s="62" t="s">
        <v>518</v>
      </c>
      <c r="F2320" s="62" t="s">
        <v>518</v>
      </c>
      <c r="G2320" s="62" t="s">
        <v>519</v>
      </c>
      <c r="H2320" s="62" t="s">
        <v>52</v>
      </c>
      <c r="I2320" s="62" t="s">
        <v>47</v>
      </c>
      <c r="J2320" s="62" t="s">
        <v>146</v>
      </c>
      <c r="K2320" s="62" t="s">
        <v>147</v>
      </c>
      <c r="L2320" s="62" t="s">
        <v>4</v>
      </c>
      <c r="M2320" s="62" t="n">
        <v>1</v>
      </c>
      <c r="N2320" s="62" t="n">
        <v>0</v>
      </c>
      <c r="O2320" s="62" t="n">
        <v>1</v>
      </c>
      <c r="P2320" s="62" t="n">
        <v>0</v>
      </c>
      <c r="Q2320" s="62" t="n">
        <v>0</v>
      </c>
      <c r="R2320" s="62" t="n">
        <v>0</v>
      </c>
      <c r="S2320" s="62" t="n">
        <v>0</v>
      </c>
      <c r="T2320" s="62" t="n">
        <v>0</v>
      </c>
      <c r="U2320" s="62" t="s">
        <v>2056</v>
      </c>
      <c r="V2320" s="62" t="s">
        <v>2057</v>
      </c>
      <c r="W2320" s="62" t="s">
        <v>2056</v>
      </c>
      <c r="X2320" s="62" t="s">
        <v>2058</v>
      </c>
      <c r="Y2320" s="62" t="s">
        <v>2059</v>
      </c>
      <c r="Z2320" s="62" t="s">
        <v>4215</v>
      </c>
      <c r="AA2320" s="62" t="s">
        <v>4216</v>
      </c>
      <c r="AB2320" s="62" t="n">
        <v>1</v>
      </c>
      <c r="AC2320" s="62" t="n">
        <v>0</v>
      </c>
      <c r="AD2320" s="62" t="n">
        <v>1</v>
      </c>
      <c r="AE2320" s="62" t="n">
        <f aca="false">IF(AND(Dashboard!$C$9="Yes",AC2320=1),0,1)</f>
        <v>1</v>
      </c>
      <c r="AF2320" s="62" t="n">
        <v>0</v>
      </c>
    </row>
    <row r="2321" customFormat="false" ht="15" hidden="false" customHeight="false" outlineLevel="0" collapsed="false">
      <c r="A2321" s="62" t="n">
        <v>2320</v>
      </c>
      <c r="B2321" s="63" t="n">
        <v>46286.2551851852</v>
      </c>
      <c r="C2321" s="64" t="n">
        <v>46285</v>
      </c>
      <c r="D2321" s="62" t="s">
        <v>393</v>
      </c>
      <c r="E2321" s="62" t="s">
        <v>790</v>
      </c>
      <c r="F2321" s="62" t="s">
        <v>791</v>
      </c>
      <c r="G2321" s="62" t="s">
        <v>153</v>
      </c>
      <c r="H2321" s="62" t="s">
        <v>153</v>
      </c>
      <c r="I2321" s="62" t="s">
        <v>153</v>
      </c>
      <c r="J2321" s="62" t="s">
        <v>64</v>
      </c>
      <c r="K2321" s="62" t="s">
        <v>64</v>
      </c>
      <c r="L2321" s="62" t="s">
        <v>148</v>
      </c>
      <c r="M2321" s="62" t="n">
        <v>0</v>
      </c>
      <c r="N2321" s="62" t="n">
        <v>1</v>
      </c>
      <c r="O2321" s="62" t="n">
        <v>1</v>
      </c>
      <c r="P2321" s="62" t="n">
        <v>1</v>
      </c>
      <c r="Q2321" s="62" t="n">
        <v>0</v>
      </c>
      <c r="R2321" s="62" t="n">
        <v>0</v>
      </c>
      <c r="S2321" s="62" t="n">
        <v>0</v>
      </c>
      <c r="T2321" s="62" t="n">
        <v>0</v>
      </c>
      <c r="U2321" s="62"/>
      <c r="V2321" s="62"/>
      <c r="W2321" s="62"/>
      <c r="X2321" s="62"/>
      <c r="Y2321" s="62"/>
      <c r="Z2321" s="62" t="s">
        <v>4217</v>
      </c>
      <c r="AA2321" s="62" t="s">
        <v>4218</v>
      </c>
      <c r="AB2321" s="62" t="n">
        <v>1</v>
      </c>
      <c r="AC2321" s="62" t="n">
        <v>0</v>
      </c>
      <c r="AD2321" s="62" t="n">
        <v>0</v>
      </c>
      <c r="AE2321" s="62" t="n">
        <f aca="false">IF(AND(Dashboard!$C$9="Yes",AC2321=1),0,1)</f>
        <v>1</v>
      </c>
      <c r="AF2321" s="62" t="n">
        <v>0</v>
      </c>
    </row>
    <row r="2322" customFormat="false" ht="15" hidden="false" customHeight="false" outlineLevel="0" collapsed="false">
      <c r="A2322" s="62" t="n">
        <v>2321</v>
      </c>
      <c r="B2322" s="63" t="n">
        <v>46286.2573263889</v>
      </c>
      <c r="C2322" s="64" t="n">
        <v>46285</v>
      </c>
      <c r="D2322" s="62" t="s">
        <v>393</v>
      </c>
      <c r="E2322" s="62" t="s">
        <v>414</v>
      </c>
      <c r="F2322" s="62" t="s">
        <v>414</v>
      </c>
      <c r="G2322" s="62" t="s">
        <v>415</v>
      </c>
      <c r="H2322" s="62" t="s">
        <v>57</v>
      </c>
      <c r="I2322" s="62" t="s">
        <v>47</v>
      </c>
      <c r="J2322" s="62" t="s">
        <v>146</v>
      </c>
      <c r="K2322" s="62" t="s">
        <v>147</v>
      </c>
      <c r="L2322" s="62" t="s">
        <v>148</v>
      </c>
      <c r="M2322" s="62" t="n">
        <v>0</v>
      </c>
      <c r="N2322" s="62" t="n">
        <v>2</v>
      </c>
      <c r="O2322" s="62" t="n">
        <v>2</v>
      </c>
      <c r="P2322" s="62" t="n">
        <v>1</v>
      </c>
      <c r="Q2322" s="62" t="n">
        <v>0</v>
      </c>
      <c r="R2322" s="62" t="n">
        <v>1</v>
      </c>
      <c r="S2322" s="62" t="n">
        <v>0</v>
      </c>
      <c r="T2322" s="62" t="n">
        <v>0</v>
      </c>
      <c r="U2322" s="62"/>
      <c r="V2322" s="62"/>
      <c r="W2322" s="62"/>
      <c r="X2322" s="62"/>
      <c r="Y2322" s="62"/>
      <c r="Z2322" s="62" t="s">
        <v>4219</v>
      </c>
      <c r="AA2322" s="62" t="s">
        <v>4220</v>
      </c>
      <c r="AB2322" s="62" t="n">
        <v>1</v>
      </c>
      <c r="AC2322" s="62" t="n">
        <v>0</v>
      </c>
      <c r="AD2322" s="62" t="n">
        <v>1</v>
      </c>
      <c r="AE2322" s="62" t="n">
        <f aca="false">IF(AND(Dashboard!$C$9="Yes",AC2322=1),0,1)</f>
        <v>1</v>
      </c>
      <c r="AF2322" s="62" t="n">
        <v>0</v>
      </c>
    </row>
    <row r="2323" customFormat="false" ht="15" hidden="false" customHeight="false" outlineLevel="0" collapsed="false">
      <c r="A2323" s="62" t="n">
        <v>2322</v>
      </c>
      <c r="B2323" s="63" t="n">
        <v>46286.2632175926</v>
      </c>
      <c r="C2323" s="64" t="n">
        <v>46285</v>
      </c>
      <c r="D2323" s="62" t="s">
        <v>393</v>
      </c>
      <c r="E2323" s="62" t="s">
        <v>180</v>
      </c>
      <c r="F2323" s="62" t="s">
        <v>180</v>
      </c>
      <c r="G2323" s="62" t="s">
        <v>181</v>
      </c>
      <c r="H2323" s="62" t="s">
        <v>58</v>
      </c>
      <c r="I2323" s="62" t="s">
        <v>49</v>
      </c>
      <c r="J2323" s="62" t="s">
        <v>146</v>
      </c>
      <c r="K2323" s="62" t="s">
        <v>175</v>
      </c>
      <c r="L2323" s="62" t="s">
        <v>4</v>
      </c>
      <c r="M2323" s="62" t="n">
        <v>1</v>
      </c>
      <c r="N2323" s="62" t="n">
        <v>0</v>
      </c>
      <c r="O2323" s="62" t="n">
        <v>1</v>
      </c>
      <c r="P2323" s="62" t="n">
        <v>0</v>
      </c>
      <c r="Q2323" s="62" t="n">
        <v>0</v>
      </c>
      <c r="R2323" s="62" t="n">
        <v>0</v>
      </c>
      <c r="S2323" s="62" t="n">
        <v>0</v>
      </c>
      <c r="T2323" s="62" t="n">
        <v>0</v>
      </c>
      <c r="U2323" s="62" t="s">
        <v>2056</v>
      </c>
      <c r="V2323" s="62" t="s">
        <v>2057</v>
      </c>
      <c r="W2323" s="62" t="s">
        <v>15</v>
      </c>
      <c r="X2323" s="62" t="s">
        <v>2058</v>
      </c>
      <c r="Y2323" s="62" t="s">
        <v>2059</v>
      </c>
      <c r="Z2323" s="62" t="s">
        <v>4221</v>
      </c>
      <c r="AA2323" s="62" t="s">
        <v>4222</v>
      </c>
      <c r="AB2323" s="62" t="n">
        <v>1</v>
      </c>
      <c r="AC2323" s="62" t="n">
        <v>0</v>
      </c>
      <c r="AD2323" s="62" t="n">
        <v>1</v>
      </c>
      <c r="AE2323" s="62" t="n">
        <f aca="false">IF(AND(Dashboard!$C$9="Yes",AC2323=1),0,1)</f>
        <v>1</v>
      </c>
      <c r="AF2323" s="62" t="n">
        <v>0</v>
      </c>
    </row>
    <row r="2324" customFormat="false" ht="15" hidden="false" customHeight="false" outlineLevel="0" collapsed="false">
      <c r="A2324" s="62" t="n">
        <v>2323</v>
      </c>
      <c r="B2324" s="63" t="n">
        <v>46286.2993518519</v>
      </c>
      <c r="C2324" s="64" t="n">
        <v>46285</v>
      </c>
      <c r="D2324" s="62" t="s">
        <v>393</v>
      </c>
      <c r="E2324" s="62" t="s">
        <v>273</v>
      </c>
      <c r="F2324" s="62" t="s">
        <v>273</v>
      </c>
      <c r="G2324" s="62" t="s">
        <v>274</v>
      </c>
      <c r="H2324" s="62" t="s">
        <v>59</v>
      </c>
      <c r="I2324" s="62" t="s">
        <v>47</v>
      </c>
      <c r="J2324" s="62" t="s">
        <v>146</v>
      </c>
      <c r="K2324" s="62" t="s">
        <v>147</v>
      </c>
      <c r="L2324" s="62" t="s">
        <v>148</v>
      </c>
      <c r="M2324" s="62" t="n">
        <v>0</v>
      </c>
      <c r="N2324" s="62" t="n">
        <v>1</v>
      </c>
      <c r="O2324" s="62" t="n">
        <v>1</v>
      </c>
      <c r="P2324" s="62" t="n">
        <v>1</v>
      </c>
      <c r="Q2324" s="62" t="n">
        <v>0</v>
      </c>
      <c r="R2324" s="62" t="n">
        <v>0</v>
      </c>
      <c r="S2324" s="62" t="n">
        <v>0</v>
      </c>
      <c r="T2324" s="62" t="n">
        <v>0</v>
      </c>
      <c r="U2324" s="62"/>
      <c r="V2324" s="62"/>
      <c r="W2324" s="62"/>
      <c r="X2324" s="62"/>
      <c r="Y2324" s="62"/>
      <c r="Z2324" s="62" t="s">
        <v>4223</v>
      </c>
      <c r="AA2324" s="62" t="s">
        <v>4224</v>
      </c>
      <c r="AB2324" s="62" t="n">
        <v>1</v>
      </c>
      <c r="AC2324" s="62" t="n">
        <v>0</v>
      </c>
      <c r="AD2324" s="62" t="n">
        <v>1</v>
      </c>
      <c r="AE2324" s="62" t="n">
        <f aca="false">IF(AND(Dashboard!$C$9="Yes",AC2324=1),0,1)</f>
        <v>1</v>
      </c>
      <c r="AF2324" s="62" t="n">
        <v>1</v>
      </c>
    </row>
    <row r="2325" customFormat="false" ht="15" hidden="false" customHeight="false" outlineLevel="0" collapsed="false">
      <c r="A2325" s="62" t="n">
        <v>2324</v>
      </c>
      <c r="B2325" s="63" t="n">
        <v>46286.6144907407</v>
      </c>
      <c r="C2325" s="64" t="n">
        <v>46286</v>
      </c>
      <c r="D2325" s="62" t="s">
        <v>429</v>
      </c>
      <c r="E2325" s="62" t="s">
        <v>3181</v>
      </c>
      <c r="F2325" s="62" t="s">
        <v>3181</v>
      </c>
      <c r="G2325" s="62" t="s">
        <v>3182</v>
      </c>
      <c r="H2325" s="62" t="s">
        <v>58</v>
      </c>
      <c r="I2325" s="62" t="s">
        <v>49</v>
      </c>
      <c r="J2325" s="62" t="s">
        <v>146</v>
      </c>
      <c r="K2325" s="62" t="s">
        <v>209</v>
      </c>
      <c r="L2325" s="62" t="s">
        <v>148</v>
      </c>
      <c r="M2325" s="62" t="n">
        <v>0</v>
      </c>
      <c r="N2325" s="62" t="n">
        <v>1</v>
      </c>
      <c r="O2325" s="62" t="n">
        <v>1</v>
      </c>
      <c r="P2325" s="62" t="n">
        <v>1</v>
      </c>
      <c r="Q2325" s="62" t="n">
        <v>0</v>
      </c>
      <c r="R2325" s="62" t="n">
        <v>0</v>
      </c>
      <c r="S2325" s="62" t="n">
        <v>0</v>
      </c>
      <c r="T2325" s="62" t="n">
        <v>0</v>
      </c>
      <c r="U2325" s="62"/>
      <c r="V2325" s="62"/>
      <c r="W2325" s="62"/>
      <c r="X2325" s="62"/>
      <c r="Y2325" s="62"/>
      <c r="Z2325" s="62" t="s">
        <v>4225</v>
      </c>
      <c r="AA2325" s="62" t="s">
        <v>3868</v>
      </c>
      <c r="AB2325" s="62" t="n">
        <v>0</v>
      </c>
      <c r="AC2325" s="62" t="n">
        <v>0</v>
      </c>
      <c r="AD2325" s="62" t="n">
        <v>1</v>
      </c>
      <c r="AE2325" s="62" t="n">
        <f aca="false">IF(AND(Dashboard!$C$9="Yes",AC2325=1),0,1)</f>
        <v>1</v>
      </c>
      <c r="AF2325" s="62" t="n">
        <v>1</v>
      </c>
    </row>
    <row r="2326" customFormat="false" ht="15" hidden="false" customHeight="false" outlineLevel="0" collapsed="false">
      <c r="A2326" s="62" t="n">
        <v>2325</v>
      </c>
      <c r="B2326" s="63" t="n">
        <v>46286.6605555556</v>
      </c>
      <c r="C2326" s="64" t="n">
        <v>46286</v>
      </c>
      <c r="D2326" s="62" t="s">
        <v>429</v>
      </c>
      <c r="E2326" s="62" t="s">
        <v>4226</v>
      </c>
      <c r="F2326" s="62" t="s">
        <v>4226</v>
      </c>
      <c r="G2326" s="62" t="s">
        <v>4227</v>
      </c>
      <c r="H2326" s="62" t="s">
        <v>44</v>
      </c>
      <c r="I2326" s="62" t="s">
        <v>49</v>
      </c>
      <c r="J2326" s="62" t="s">
        <v>146</v>
      </c>
      <c r="K2326" s="62" t="s">
        <v>147</v>
      </c>
      <c r="L2326" s="62" t="s">
        <v>148</v>
      </c>
      <c r="M2326" s="62" t="n">
        <v>0</v>
      </c>
      <c r="N2326" s="62" t="n">
        <v>1</v>
      </c>
      <c r="O2326" s="62" t="n">
        <v>1</v>
      </c>
      <c r="P2326" s="62" t="n">
        <v>1</v>
      </c>
      <c r="Q2326" s="62" t="n">
        <v>0</v>
      </c>
      <c r="R2326" s="62" t="n">
        <v>0</v>
      </c>
      <c r="S2326" s="62" t="n">
        <v>0</v>
      </c>
      <c r="T2326" s="62" t="n">
        <v>0</v>
      </c>
      <c r="U2326" s="62"/>
      <c r="V2326" s="62"/>
      <c r="W2326" s="62"/>
      <c r="X2326" s="62"/>
      <c r="Y2326" s="62"/>
      <c r="Z2326" s="62" t="s">
        <v>4228</v>
      </c>
      <c r="AA2326" s="62" t="s">
        <v>4229</v>
      </c>
      <c r="AB2326" s="62" t="n">
        <v>1</v>
      </c>
      <c r="AC2326" s="62" t="n">
        <v>0</v>
      </c>
      <c r="AD2326" s="62" t="n">
        <v>1</v>
      </c>
      <c r="AE2326" s="62" t="n">
        <f aca="false">IF(AND(Dashboard!$C$9="Yes",AC2326=1),0,1)</f>
        <v>1</v>
      </c>
      <c r="AF2326" s="62" t="n">
        <v>1</v>
      </c>
    </row>
    <row r="2327" customFormat="false" ht="15" hidden="false" customHeight="false" outlineLevel="0" collapsed="false">
      <c r="A2327" s="62" t="n">
        <v>2326</v>
      </c>
      <c r="B2327" s="63" t="n">
        <v>46286.6645949074</v>
      </c>
      <c r="C2327" s="64" t="n">
        <v>46286</v>
      </c>
      <c r="D2327" s="62" t="s">
        <v>429</v>
      </c>
      <c r="E2327" s="62" t="s">
        <v>1314</v>
      </c>
      <c r="F2327" s="62" t="s">
        <v>1314</v>
      </c>
      <c r="G2327" s="62" t="s">
        <v>1315</v>
      </c>
      <c r="H2327" s="62" t="s">
        <v>51</v>
      </c>
      <c r="I2327" s="62" t="s">
        <v>47</v>
      </c>
      <c r="J2327" s="62" t="s">
        <v>146</v>
      </c>
      <c r="K2327" s="62" t="s">
        <v>209</v>
      </c>
      <c r="L2327" s="62" t="s">
        <v>148</v>
      </c>
      <c r="M2327" s="62" t="n">
        <v>0</v>
      </c>
      <c r="N2327" s="62" t="n">
        <v>1</v>
      </c>
      <c r="O2327" s="62" t="n">
        <v>1</v>
      </c>
      <c r="P2327" s="62" t="n">
        <v>0</v>
      </c>
      <c r="Q2327" s="62" t="n">
        <v>1</v>
      </c>
      <c r="R2327" s="62" t="n">
        <v>0</v>
      </c>
      <c r="S2327" s="62" t="n">
        <v>0</v>
      </c>
      <c r="T2327" s="62" t="n">
        <v>0</v>
      </c>
      <c r="U2327" s="62"/>
      <c r="V2327" s="62"/>
      <c r="W2327" s="62"/>
      <c r="X2327" s="62"/>
      <c r="Y2327" s="62"/>
      <c r="Z2327" s="62" t="s">
        <v>4230</v>
      </c>
      <c r="AA2327" s="62" t="s">
        <v>4231</v>
      </c>
      <c r="AB2327" s="62" t="n">
        <v>1</v>
      </c>
      <c r="AC2327" s="62" t="n">
        <v>0</v>
      </c>
      <c r="AD2327" s="62" t="n">
        <v>1</v>
      </c>
      <c r="AE2327" s="62" t="n">
        <f aca="false">IF(AND(Dashboard!$C$9="Yes",AC2327=1),0,1)</f>
        <v>1</v>
      </c>
      <c r="AF2327" s="62" t="n">
        <v>1</v>
      </c>
    </row>
    <row r="2328" customFormat="false" ht="15" hidden="false" customHeight="false" outlineLevel="0" collapsed="false">
      <c r="A2328" s="62" t="n">
        <v>2327</v>
      </c>
      <c r="B2328" s="63" t="n">
        <v>46286.6655092593</v>
      </c>
      <c r="C2328" s="64" t="n">
        <v>46286</v>
      </c>
      <c r="D2328" s="62" t="s">
        <v>429</v>
      </c>
      <c r="E2328" s="62" t="s">
        <v>3061</v>
      </c>
      <c r="F2328" s="62" t="s">
        <v>3061</v>
      </c>
      <c r="G2328" s="62" t="s">
        <v>3062</v>
      </c>
      <c r="H2328" s="62" t="s">
        <v>44</v>
      </c>
      <c r="I2328" s="62" t="s">
        <v>49</v>
      </c>
      <c r="J2328" s="62" t="s">
        <v>146</v>
      </c>
      <c r="K2328" s="62" t="s">
        <v>147</v>
      </c>
      <c r="L2328" s="62" t="s">
        <v>148</v>
      </c>
      <c r="M2328" s="62" t="n">
        <v>0</v>
      </c>
      <c r="N2328" s="62" t="n">
        <v>2</v>
      </c>
      <c r="O2328" s="62" t="n">
        <v>2</v>
      </c>
      <c r="P2328" s="62" t="n">
        <v>1</v>
      </c>
      <c r="Q2328" s="62" t="n">
        <v>1</v>
      </c>
      <c r="R2328" s="62" t="n">
        <v>0</v>
      </c>
      <c r="S2328" s="62" t="n">
        <v>0</v>
      </c>
      <c r="T2328" s="62" t="n">
        <v>0</v>
      </c>
      <c r="U2328" s="62"/>
      <c r="V2328" s="62"/>
      <c r="W2328" s="62"/>
      <c r="X2328" s="62"/>
      <c r="Y2328" s="62"/>
      <c r="Z2328" s="62" t="s">
        <v>4232</v>
      </c>
      <c r="AA2328" s="62" t="s">
        <v>4233</v>
      </c>
      <c r="AB2328" s="62" t="n">
        <v>1</v>
      </c>
      <c r="AC2328" s="62" t="n">
        <v>0</v>
      </c>
      <c r="AD2328" s="62" t="n">
        <v>1</v>
      </c>
      <c r="AE2328" s="62" t="n">
        <f aca="false">IF(AND(Dashboard!$C$9="Yes",AC2328=1),0,1)</f>
        <v>1</v>
      </c>
      <c r="AF2328" s="62" t="n">
        <v>1</v>
      </c>
    </row>
    <row r="2329" customFormat="false" ht="15" hidden="false" customHeight="false" outlineLevel="0" collapsed="false">
      <c r="A2329" s="62" t="n">
        <v>2328</v>
      </c>
      <c r="B2329" s="63" t="n">
        <v>46286.6685069444</v>
      </c>
      <c r="C2329" s="64" t="n">
        <v>46286</v>
      </c>
      <c r="D2329" s="62" t="s">
        <v>429</v>
      </c>
      <c r="E2329" s="62" t="s">
        <v>4234</v>
      </c>
      <c r="F2329" s="62" t="s">
        <v>4234</v>
      </c>
      <c r="G2329" s="62" t="s">
        <v>4235</v>
      </c>
      <c r="H2329" s="62" t="s">
        <v>44</v>
      </c>
      <c r="I2329" s="62" t="s">
        <v>49</v>
      </c>
      <c r="J2329" s="62" t="s">
        <v>146</v>
      </c>
      <c r="K2329" s="62" t="s">
        <v>147</v>
      </c>
      <c r="L2329" s="62" t="s">
        <v>148</v>
      </c>
      <c r="M2329" s="62" t="n">
        <v>0</v>
      </c>
      <c r="N2329" s="62" t="n">
        <v>1</v>
      </c>
      <c r="O2329" s="62" t="n">
        <v>1</v>
      </c>
      <c r="P2329" s="62" t="n">
        <v>0</v>
      </c>
      <c r="Q2329" s="62" t="n">
        <v>1</v>
      </c>
      <c r="R2329" s="62" t="n">
        <v>0</v>
      </c>
      <c r="S2329" s="62" t="n">
        <v>0</v>
      </c>
      <c r="T2329" s="62" t="n">
        <v>0</v>
      </c>
      <c r="U2329" s="62"/>
      <c r="V2329" s="62"/>
      <c r="W2329" s="62"/>
      <c r="X2329" s="62"/>
      <c r="Y2329" s="62"/>
      <c r="Z2329" s="62" t="s">
        <v>4236</v>
      </c>
      <c r="AA2329" s="62" t="s">
        <v>4237</v>
      </c>
      <c r="AB2329" s="62" t="n">
        <v>1</v>
      </c>
      <c r="AC2329" s="62" t="n">
        <v>0</v>
      </c>
      <c r="AD2329" s="62" t="n">
        <v>1</v>
      </c>
      <c r="AE2329" s="62" t="n">
        <f aca="false">IF(AND(Dashboard!$C$9="Yes",AC2329=1),0,1)</f>
        <v>1</v>
      </c>
      <c r="AF2329" s="62" t="n">
        <v>1</v>
      </c>
    </row>
    <row r="2330" customFormat="false" ht="15" hidden="false" customHeight="false" outlineLevel="0" collapsed="false">
      <c r="A2330" s="62" t="n">
        <v>2329</v>
      </c>
      <c r="B2330" s="63" t="n">
        <v>46286.6787152778</v>
      </c>
      <c r="C2330" s="64" t="n">
        <v>46286</v>
      </c>
      <c r="D2330" s="62" t="s">
        <v>429</v>
      </c>
      <c r="E2330" s="62" t="s">
        <v>4238</v>
      </c>
      <c r="F2330" s="62" t="s">
        <v>4238</v>
      </c>
      <c r="G2330" s="62" t="s">
        <v>4239</v>
      </c>
      <c r="H2330" s="62" t="s">
        <v>44</v>
      </c>
      <c r="I2330" s="62" t="s">
        <v>49</v>
      </c>
      <c r="J2330" s="62" t="s">
        <v>146</v>
      </c>
      <c r="K2330" s="62" t="s">
        <v>147</v>
      </c>
      <c r="L2330" s="62" t="s">
        <v>148</v>
      </c>
      <c r="M2330" s="62" t="n">
        <v>0</v>
      </c>
      <c r="N2330" s="62" t="n">
        <v>1</v>
      </c>
      <c r="O2330" s="62" t="n">
        <v>1</v>
      </c>
      <c r="P2330" s="62" t="n">
        <v>1</v>
      </c>
      <c r="Q2330" s="62" t="n">
        <v>0</v>
      </c>
      <c r="R2330" s="62" t="n">
        <v>0</v>
      </c>
      <c r="S2330" s="62" t="n">
        <v>0</v>
      </c>
      <c r="T2330" s="62" t="n">
        <v>0</v>
      </c>
      <c r="U2330" s="62"/>
      <c r="V2330" s="62"/>
      <c r="W2330" s="62"/>
      <c r="X2330" s="62"/>
      <c r="Y2330" s="62"/>
      <c r="Z2330" s="62" t="s">
        <v>4240</v>
      </c>
      <c r="AA2330" s="62" t="s">
        <v>4241</v>
      </c>
      <c r="AB2330" s="62" t="n">
        <v>1</v>
      </c>
      <c r="AC2330" s="62" t="n">
        <v>0</v>
      </c>
      <c r="AD2330" s="62" t="n">
        <v>1</v>
      </c>
      <c r="AE2330" s="62" t="n">
        <f aca="false">IF(AND(Dashboard!$C$9="Yes",AC2330=1),0,1)</f>
        <v>1</v>
      </c>
      <c r="AF2330" s="62" t="n">
        <v>1</v>
      </c>
    </row>
    <row r="2331" customFormat="false" ht="15" hidden="false" customHeight="false" outlineLevel="0" collapsed="false">
      <c r="A2331" s="62" t="n">
        <v>2330</v>
      </c>
      <c r="B2331" s="63" t="n">
        <v>46286.6815277778</v>
      </c>
      <c r="C2331" s="64" t="n">
        <v>46286</v>
      </c>
      <c r="D2331" s="62" t="s">
        <v>429</v>
      </c>
      <c r="E2331" s="62" t="s">
        <v>4242</v>
      </c>
      <c r="F2331" s="62" t="s">
        <v>4242</v>
      </c>
      <c r="G2331" s="62" t="s">
        <v>4243</v>
      </c>
      <c r="H2331" s="62" t="s">
        <v>44</v>
      </c>
      <c r="I2331" s="62" t="s">
        <v>49</v>
      </c>
      <c r="J2331" s="62" t="s">
        <v>146</v>
      </c>
      <c r="K2331" s="62" t="s">
        <v>147</v>
      </c>
      <c r="L2331" s="62" t="s">
        <v>148</v>
      </c>
      <c r="M2331" s="62" t="n">
        <v>0</v>
      </c>
      <c r="N2331" s="62" t="n">
        <v>1</v>
      </c>
      <c r="O2331" s="62" t="n">
        <v>1</v>
      </c>
      <c r="P2331" s="62" t="n">
        <v>0</v>
      </c>
      <c r="Q2331" s="62" t="n">
        <v>1</v>
      </c>
      <c r="R2331" s="62" t="n">
        <v>0</v>
      </c>
      <c r="S2331" s="62" t="n">
        <v>0</v>
      </c>
      <c r="T2331" s="62" t="n">
        <v>0</v>
      </c>
      <c r="U2331" s="62"/>
      <c r="V2331" s="62"/>
      <c r="W2331" s="62"/>
      <c r="X2331" s="62"/>
      <c r="Y2331" s="62"/>
      <c r="Z2331" s="62" t="s">
        <v>4244</v>
      </c>
      <c r="AA2331" s="62" t="s">
        <v>4245</v>
      </c>
      <c r="AB2331" s="62" t="n">
        <v>1</v>
      </c>
      <c r="AC2331" s="62" t="n">
        <v>0</v>
      </c>
      <c r="AD2331" s="62" t="n">
        <v>1</v>
      </c>
      <c r="AE2331" s="62" t="n">
        <f aca="false">IF(AND(Dashboard!$C$9="Yes",AC2331=1),0,1)</f>
        <v>1</v>
      </c>
      <c r="AF2331" s="62" t="n">
        <v>1</v>
      </c>
    </row>
    <row r="2332" customFormat="false" ht="15" hidden="false" customHeight="false" outlineLevel="0" collapsed="false">
      <c r="A2332" s="62" t="n">
        <v>2331</v>
      </c>
      <c r="B2332" s="63" t="n">
        <v>46286.6884953704</v>
      </c>
      <c r="C2332" s="64" t="n">
        <v>46286</v>
      </c>
      <c r="D2332" s="62" t="s">
        <v>429</v>
      </c>
      <c r="E2332" s="62" t="s">
        <v>2156</v>
      </c>
      <c r="F2332" s="62" t="s">
        <v>2156</v>
      </c>
      <c r="G2332" s="62" t="s">
        <v>2157</v>
      </c>
      <c r="H2332" s="62" t="s">
        <v>52</v>
      </c>
      <c r="I2332" s="62" t="s">
        <v>47</v>
      </c>
      <c r="J2332" s="62" t="s">
        <v>146</v>
      </c>
      <c r="K2332" s="62" t="s">
        <v>209</v>
      </c>
      <c r="L2332" s="62" t="s">
        <v>148</v>
      </c>
      <c r="M2332" s="62" t="n">
        <v>0</v>
      </c>
      <c r="N2332" s="62" t="n">
        <v>2</v>
      </c>
      <c r="O2332" s="62" t="n">
        <v>2</v>
      </c>
      <c r="P2332" s="62" t="n">
        <v>1</v>
      </c>
      <c r="Q2332" s="62" t="n">
        <v>1</v>
      </c>
      <c r="R2332" s="62" t="n">
        <v>0</v>
      </c>
      <c r="S2332" s="62" t="n">
        <v>0</v>
      </c>
      <c r="T2332" s="62" t="n">
        <v>0</v>
      </c>
      <c r="U2332" s="62"/>
      <c r="V2332" s="62"/>
      <c r="W2332" s="62"/>
      <c r="X2332" s="62"/>
      <c r="Y2332" s="62"/>
      <c r="Z2332" s="62" t="s">
        <v>4246</v>
      </c>
      <c r="AA2332" s="62" t="s">
        <v>4247</v>
      </c>
      <c r="AB2332" s="62" t="n">
        <v>1</v>
      </c>
      <c r="AC2332" s="62" t="n">
        <v>0</v>
      </c>
      <c r="AD2332" s="62" t="n">
        <v>1</v>
      </c>
      <c r="AE2332" s="62" t="n">
        <f aca="false">IF(AND(Dashboard!$C$9="Yes",AC2332=1),0,1)</f>
        <v>1</v>
      </c>
      <c r="AF2332" s="62" t="n">
        <v>1</v>
      </c>
    </row>
    <row r="2333" customFormat="false" ht="15" hidden="false" customHeight="false" outlineLevel="0" collapsed="false">
      <c r="A2333" s="62" t="n">
        <v>2332</v>
      </c>
      <c r="B2333" s="63" t="n">
        <v>46286.7059837963</v>
      </c>
      <c r="C2333" s="64" t="n">
        <v>46286</v>
      </c>
      <c r="D2333" s="62" t="s">
        <v>429</v>
      </c>
      <c r="E2333" s="62" t="s">
        <v>2119</v>
      </c>
      <c r="F2333" s="62" t="s">
        <v>2119</v>
      </c>
      <c r="G2333" s="62" t="s">
        <v>2120</v>
      </c>
      <c r="H2333" s="62" t="s">
        <v>52</v>
      </c>
      <c r="I2333" s="62" t="s">
        <v>47</v>
      </c>
      <c r="J2333" s="62" t="s">
        <v>146</v>
      </c>
      <c r="K2333" s="62" t="s">
        <v>147</v>
      </c>
      <c r="L2333" s="62" t="s">
        <v>148</v>
      </c>
      <c r="M2333" s="62" t="n">
        <v>0</v>
      </c>
      <c r="N2333" s="62" t="n">
        <v>2</v>
      </c>
      <c r="O2333" s="62" t="n">
        <v>2</v>
      </c>
      <c r="P2333" s="62" t="n">
        <v>1</v>
      </c>
      <c r="Q2333" s="62" t="n">
        <v>1</v>
      </c>
      <c r="R2333" s="62" t="n">
        <v>0</v>
      </c>
      <c r="S2333" s="62" t="n">
        <v>0</v>
      </c>
      <c r="T2333" s="62" t="n">
        <v>0</v>
      </c>
      <c r="U2333" s="62"/>
      <c r="V2333" s="62"/>
      <c r="W2333" s="62"/>
      <c r="X2333" s="62"/>
      <c r="Y2333" s="62"/>
      <c r="Z2333" s="62" t="s">
        <v>4248</v>
      </c>
      <c r="AA2333" s="62" t="s">
        <v>3015</v>
      </c>
      <c r="AB2333" s="62" t="n">
        <v>1</v>
      </c>
      <c r="AC2333" s="62" t="n">
        <v>0</v>
      </c>
      <c r="AD2333" s="62" t="n">
        <v>1</v>
      </c>
      <c r="AE2333" s="62" t="n">
        <f aca="false">IF(AND(Dashboard!$C$9="Yes",AC2333=1),0,1)</f>
        <v>1</v>
      </c>
      <c r="AF2333" s="62" t="n">
        <v>1</v>
      </c>
    </row>
    <row r="2334" customFormat="false" ht="15" hidden="false" customHeight="false" outlineLevel="0" collapsed="false">
      <c r="A2334" s="62" t="n">
        <v>2333</v>
      </c>
      <c r="B2334" s="63" t="n">
        <v>46286.7206712963</v>
      </c>
      <c r="C2334" s="64" t="n">
        <v>46286</v>
      </c>
      <c r="D2334" s="62" t="s">
        <v>429</v>
      </c>
      <c r="E2334" s="62" t="s">
        <v>1314</v>
      </c>
      <c r="F2334" s="62" t="s">
        <v>1314</v>
      </c>
      <c r="G2334" s="62" t="s">
        <v>1315</v>
      </c>
      <c r="H2334" s="62" t="s">
        <v>51</v>
      </c>
      <c r="I2334" s="62" t="s">
        <v>47</v>
      </c>
      <c r="J2334" s="62" t="s">
        <v>146</v>
      </c>
      <c r="K2334" s="62" t="s">
        <v>209</v>
      </c>
      <c r="L2334" s="62" t="s">
        <v>148</v>
      </c>
      <c r="M2334" s="62" t="n">
        <v>0</v>
      </c>
      <c r="N2334" s="62" t="n">
        <v>1</v>
      </c>
      <c r="O2334" s="62" t="n">
        <v>1</v>
      </c>
      <c r="P2334" s="62" t="n">
        <v>1</v>
      </c>
      <c r="Q2334" s="62" t="n">
        <v>0</v>
      </c>
      <c r="R2334" s="62" t="n">
        <v>0</v>
      </c>
      <c r="S2334" s="62" t="n">
        <v>0</v>
      </c>
      <c r="T2334" s="62" t="n">
        <v>0</v>
      </c>
      <c r="U2334" s="62"/>
      <c r="V2334" s="62"/>
      <c r="W2334" s="62"/>
      <c r="X2334" s="62"/>
      <c r="Y2334" s="62"/>
      <c r="Z2334" s="62" t="s">
        <v>4249</v>
      </c>
      <c r="AA2334" s="62" t="s">
        <v>4250</v>
      </c>
      <c r="AB2334" s="62" t="n">
        <v>1</v>
      </c>
      <c r="AC2334" s="62" t="n">
        <v>0</v>
      </c>
      <c r="AD2334" s="62" t="n">
        <v>1</v>
      </c>
      <c r="AE2334" s="62" t="n">
        <f aca="false">IF(AND(Dashboard!$C$9="Yes",AC2334=1),0,1)</f>
        <v>1</v>
      </c>
      <c r="AF2334" s="62" t="n">
        <v>0</v>
      </c>
    </row>
    <row r="2335" customFormat="false" ht="15" hidden="false" customHeight="false" outlineLevel="0" collapsed="false">
      <c r="A2335" s="62" t="n">
        <v>2334</v>
      </c>
      <c r="B2335" s="63" t="n">
        <v>46286.7245023148</v>
      </c>
      <c r="C2335" s="64" t="n">
        <v>46286</v>
      </c>
      <c r="D2335" s="62" t="s">
        <v>429</v>
      </c>
      <c r="E2335" s="62" t="s">
        <v>1255</v>
      </c>
      <c r="F2335" s="62" t="s">
        <v>1255</v>
      </c>
      <c r="G2335" s="62" t="s">
        <v>1256</v>
      </c>
      <c r="H2335" s="62" t="s">
        <v>52</v>
      </c>
      <c r="I2335" s="62" t="s">
        <v>47</v>
      </c>
      <c r="J2335" s="62" t="s">
        <v>146</v>
      </c>
      <c r="K2335" s="62" t="s">
        <v>147</v>
      </c>
      <c r="L2335" s="62" t="s">
        <v>4</v>
      </c>
      <c r="M2335" s="62" t="n">
        <v>1</v>
      </c>
      <c r="N2335" s="62" t="n">
        <v>0</v>
      </c>
      <c r="O2335" s="62" t="n">
        <v>1</v>
      </c>
      <c r="P2335" s="62" t="n">
        <v>0</v>
      </c>
      <c r="Q2335" s="62" t="n">
        <v>0</v>
      </c>
      <c r="R2335" s="62" t="n">
        <v>0</v>
      </c>
      <c r="S2335" s="62" t="n">
        <v>0</v>
      </c>
      <c r="T2335" s="62" t="n">
        <v>0</v>
      </c>
      <c r="U2335" s="62" t="s">
        <v>2056</v>
      </c>
      <c r="V2335" s="62" t="s">
        <v>2057</v>
      </c>
      <c r="W2335" s="62" t="s">
        <v>15</v>
      </c>
      <c r="X2335" s="62" t="s">
        <v>2058</v>
      </c>
      <c r="Y2335" s="62" t="s">
        <v>2059</v>
      </c>
      <c r="Z2335" s="62" t="s">
        <v>4251</v>
      </c>
      <c r="AA2335" s="62" t="s">
        <v>4252</v>
      </c>
      <c r="AB2335" s="62" t="n">
        <v>1</v>
      </c>
      <c r="AC2335" s="62" t="n">
        <v>0</v>
      </c>
      <c r="AD2335" s="62" t="n">
        <v>1</v>
      </c>
      <c r="AE2335" s="62" t="n">
        <f aca="false">IF(AND(Dashboard!$C$9="Yes",AC2335=1),0,1)</f>
        <v>1</v>
      </c>
      <c r="AF2335" s="62" t="n">
        <v>1</v>
      </c>
    </row>
    <row r="2336" customFormat="false" ht="15" hidden="false" customHeight="false" outlineLevel="0" collapsed="false">
      <c r="A2336" s="62" t="n">
        <v>2335</v>
      </c>
      <c r="B2336" s="63" t="n">
        <v>46286.7250578704</v>
      </c>
      <c r="C2336" s="64" t="n">
        <v>46286</v>
      </c>
      <c r="D2336" s="62" t="s">
        <v>429</v>
      </c>
      <c r="E2336" s="62" t="s">
        <v>2156</v>
      </c>
      <c r="F2336" s="62" t="s">
        <v>2156</v>
      </c>
      <c r="G2336" s="62" t="s">
        <v>2157</v>
      </c>
      <c r="H2336" s="62" t="s">
        <v>52</v>
      </c>
      <c r="I2336" s="62" t="s">
        <v>47</v>
      </c>
      <c r="J2336" s="62" t="s">
        <v>146</v>
      </c>
      <c r="K2336" s="62" t="s">
        <v>209</v>
      </c>
      <c r="L2336" s="62" t="s">
        <v>148</v>
      </c>
      <c r="M2336" s="62" t="n">
        <v>0</v>
      </c>
      <c r="N2336" s="62" t="n">
        <v>2</v>
      </c>
      <c r="O2336" s="62" t="n">
        <v>2</v>
      </c>
      <c r="P2336" s="62" t="n">
        <v>1</v>
      </c>
      <c r="Q2336" s="62" t="n">
        <v>1</v>
      </c>
      <c r="R2336" s="62" t="n">
        <v>0</v>
      </c>
      <c r="S2336" s="62" t="n">
        <v>0</v>
      </c>
      <c r="T2336" s="62" t="n">
        <v>0</v>
      </c>
      <c r="U2336" s="62"/>
      <c r="V2336" s="62"/>
      <c r="W2336" s="62"/>
      <c r="X2336" s="62"/>
      <c r="Y2336" s="62"/>
      <c r="Z2336" s="62" t="s">
        <v>4253</v>
      </c>
      <c r="AA2336" s="62" t="s">
        <v>4254</v>
      </c>
      <c r="AB2336" s="62" t="n">
        <v>1</v>
      </c>
      <c r="AC2336" s="62" t="n">
        <v>0</v>
      </c>
      <c r="AD2336" s="62" t="n">
        <v>1</v>
      </c>
      <c r="AE2336" s="62" t="n">
        <f aca="false">IF(AND(Dashboard!$C$9="Yes",AC2336=1),0,1)</f>
        <v>1</v>
      </c>
      <c r="AF2336" s="62" t="n">
        <v>0</v>
      </c>
    </row>
    <row r="2337" customFormat="false" ht="15" hidden="false" customHeight="false" outlineLevel="0" collapsed="false">
      <c r="A2337" s="62" t="n">
        <v>2336</v>
      </c>
      <c r="B2337" s="63" t="n">
        <v>46286.7253356482</v>
      </c>
      <c r="C2337" s="64" t="n">
        <v>46286</v>
      </c>
      <c r="D2337" s="62" t="s">
        <v>429</v>
      </c>
      <c r="E2337" s="62" t="s">
        <v>1314</v>
      </c>
      <c r="F2337" s="62" t="s">
        <v>1314</v>
      </c>
      <c r="G2337" s="62" t="s">
        <v>1315</v>
      </c>
      <c r="H2337" s="62" t="s">
        <v>51</v>
      </c>
      <c r="I2337" s="62" t="s">
        <v>47</v>
      </c>
      <c r="J2337" s="62" t="s">
        <v>146</v>
      </c>
      <c r="K2337" s="62" t="s">
        <v>209</v>
      </c>
      <c r="L2337" s="62" t="s">
        <v>148</v>
      </c>
      <c r="M2337" s="62" t="n">
        <v>0</v>
      </c>
      <c r="N2337" s="62" t="n">
        <v>1</v>
      </c>
      <c r="O2337" s="62" t="n">
        <v>1</v>
      </c>
      <c r="P2337" s="62" t="n">
        <v>1</v>
      </c>
      <c r="Q2337" s="62" t="n">
        <v>0</v>
      </c>
      <c r="R2337" s="62" t="n">
        <v>0</v>
      </c>
      <c r="S2337" s="62" t="n">
        <v>0</v>
      </c>
      <c r="T2337" s="62" t="n">
        <v>0</v>
      </c>
      <c r="U2337" s="62"/>
      <c r="V2337" s="62"/>
      <c r="W2337" s="62"/>
      <c r="X2337" s="62"/>
      <c r="Y2337" s="62"/>
      <c r="Z2337" s="62" t="s">
        <v>4249</v>
      </c>
      <c r="AA2337" s="62" t="s">
        <v>4250</v>
      </c>
      <c r="AB2337" s="62" t="n">
        <v>1</v>
      </c>
      <c r="AC2337" s="62" t="n">
        <v>1</v>
      </c>
      <c r="AD2337" s="62" t="n">
        <v>1</v>
      </c>
      <c r="AE2337" s="62" t="n">
        <f aca="false">IF(AND(Dashboard!$C$9="Yes",AC2337=1),0,1)</f>
        <v>0</v>
      </c>
      <c r="AF2337" s="62" t="n">
        <v>0</v>
      </c>
    </row>
    <row r="2338" customFormat="false" ht="15" hidden="false" customHeight="false" outlineLevel="0" collapsed="false">
      <c r="A2338" s="62" t="n">
        <v>2337</v>
      </c>
      <c r="B2338" s="63" t="n">
        <v>46286.7255092593</v>
      </c>
      <c r="C2338" s="64" t="n">
        <v>46286</v>
      </c>
      <c r="D2338" s="62" t="s">
        <v>429</v>
      </c>
      <c r="E2338" s="62" t="s">
        <v>1382</v>
      </c>
      <c r="F2338" s="62" t="s">
        <v>1382</v>
      </c>
      <c r="G2338" s="62" t="s">
        <v>1383</v>
      </c>
      <c r="H2338" s="62" t="s">
        <v>58</v>
      </c>
      <c r="I2338" s="62" t="s">
        <v>49</v>
      </c>
      <c r="J2338" s="62" t="s">
        <v>146</v>
      </c>
      <c r="K2338" s="62" t="s">
        <v>175</v>
      </c>
      <c r="L2338" s="62" t="s">
        <v>148</v>
      </c>
      <c r="M2338" s="62" t="n">
        <v>0</v>
      </c>
      <c r="N2338" s="62" t="n">
        <v>1</v>
      </c>
      <c r="O2338" s="62" t="n">
        <v>1</v>
      </c>
      <c r="P2338" s="62" t="n">
        <v>1</v>
      </c>
      <c r="Q2338" s="62" t="n">
        <v>0</v>
      </c>
      <c r="R2338" s="62" t="n">
        <v>0</v>
      </c>
      <c r="S2338" s="62" t="n">
        <v>0</v>
      </c>
      <c r="T2338" s="62" t="n">
        <v>0</v>
      </c>
      <c r="U2338" s="62"/>
      <c r="V2338" s="62"/>
      <c r="W2338" s="62"/>
      <c r="X2338" s="62"/>
      <c r="Y2338" s="62"/>
      <c r="Z2338" s="62" t="s">
        <v>4255</v>
      </c>
      <c r="AA2338" s="62" t="s">
        <v>4256</v>
      </c>
      <c r="AB2338" s="62" t="n">
        <v>1</v>
      </c>
      <c r="AC2338" s="62" t="n">
        <v>0</v>
      </c>
      <c r="AD2338" s="62" t="n">
        <v>1</v>
      </c>
      <c r="AE2338" s="62" t="n">
        <f aca="false">IF(AND(Dashboard!$C$9="Yes",AC2338=1),0,1)</f>
        <v>1</v>
      </c>
      <c r="AF2338" s="62" t="n">
        <v>1</v>
      </c>
    </row>
    <row r="2339" customFormat="false" ht="15" hidden="false" customHeight="false" outlineLevel="0" collapsed="false">
      <c r="A2339" s="62" t="n">
        <v>2338</v>
      </c>
      <c r="B2339" s="63" t="n">
        <v>46286.7263657407</v>
      </c>
      <c r="C2339" s="64" t="n">
        <v>46286</v>
      </c>
      <c r="D2339" s="62" t="s">
        <v>429</v>
      </c>
      <c r="E2339" s="62" t="s">
        <v>203</v>
      </c>
      <c r="F2339" s="62" t="s">
        <v>203</v>
      </c>
      <c r="G2339" s="62" t="s">
        <v>204</v>
      </c>
      <c r="H2339" s="62" t="s">
        <v>51</v>
      </c>
      <c r="I2339" s="62" t="s">
        <v>47</v>
      </c>
      <c r="J2339" s="62" t="s">
        <v>146</v>
      </c>
      <c r="K2339" s="62" t="s">
        <v>147</v>
      </c>
      <c r="L2339" s="62" t="s">
        <v>148</v>
      </c>
      <c r="M2339" s="62" t="n">
        <v>0</v>
      </c>
      <c r="N2339" s="62" t="n">
        <v>1</v>
      </c>
      <c r="O2339" s="62" t="n">
        <v>1</v>
      </c>
      <c r="P2339" s="62" t="n">
        <v>1</v>
      </c>
      <c r="Q2339" s="62" t="n">
        <v>0</v>
      </c>
      <c r="R2339" s="62" t="n">
        <v>0</v>
      </c>
      <c r="S2339" s="62" t="n">
        <v>0</v>
      </c>
      <c r="T2339" s="62" t="n">
        <v>0</v>
      </c>
      <c r="U2339" s="62"/>
      <c r="V2339" s="62"/>
      <c r="W2339" s="62"/>
      <c r="X2339" s="62"/>
      <c r="Y2339" s="62"/>
      <c r="Z2339" s="62" t="s">
        <v>4257</v>
      </c>
      <c r="AA2339" s="62" t="s">
        <v>485</v>
      </c>
      <c r="AB2339" s="62" t="n">
        <v>0</v>
      </c>
      <c r="AC2339" s="62" t="n">
        <v>0</v>
      </c>
      <c r="AD2339" s="62" t="n">
        <v>1</v>
      </c>
      <c r="AE2339" s="62" t="n">
        <f aca="false">IF(AND(Dashboard!$C$9="Yes",AC2339=1),0,1)</f>
        <v>1</v>
      </c>
      <c r="AF2339" s="62" t="n">
        <v>1</v>
      </c>
    </row>
    <row r="2340" customFormat="false" ht="15" hidden="false" customHeight="false" outlineLevel="0" collapsed="false">
      <c r="A2340" s="62" t="n">
        <v>2339</v>
      </c>
      <c r="B2340" s="63" t="n">
        <v>46286.7360416667</v>
      </c>
      <c r="C2340" s="64" t="n">
        <v>46286</v>
      </c>
      <c r="D2340" s="62" t="s">
        <v>429</v>
      </c>
      <c r="E2340" s="62" t="s">
        <v>4258</v>
      </c>
      <c r="F2340" s="62" t="s">
        <v>4258</v>
      </c>
      <c r="G2340" s="62" t="s">
        <v>4259</v>
      </c>
      <c r="H2340" s="62" t="s">
        <v>44</v>
      </c>
      <c r="I2340" s="62" t="s">
        <v>49</v>
      </c>
      <c r="J2340" s="62" t="s">
        <v>146</v>
      </c>
      <c r="K2340" s="62" t="s">
        <v>147</v>
      </c>
      <c r="L2340" s="62" t="s">
        <v>148</v>
      </c>
      <c r="M2340" s="62" t="n">
        <v>0</v>
      </c>
      <c r="N2340" s="62" t="n">
        <v>1</v>
      </c>
      <c r="O2340" s="62" t="n">
        <v>1</v>
      </c>
      <c r="P2340" s="62" t="n">
        <v>1</v>
      </c>
      <c r="Q2340" s="62" t="n">
        <v>0</v>
      </c>
      <c r="R2340" s="62" t="n">
        <v>0</v>
      </c>
      <c r="S2340" s="62" t="n">
        <v>0</v>
      </c>
      <c r="T2340" s="62" t="n">
        <v>0</v>
      </c>
      <c r="U2340" s="62"/>
      <c r="V2340" s="62"/>
      <c r="W2340" s="62"/>
      <c r="X2340" s="62"/>
      <c r="Y2340" s="62"/>
      <c r="Z2340" s="62" t="s">
        <v>4260</v>
      </c>
      <c r="AA2340" s="62" t="s">
        <v>4261</v>
      </c>
      <c r="AB2340" s="62" t="n">
        <v>1</v>
      </c>
      <c r="AC2340" s="62" t="n">
        <v>0</v>
      </c>
      <c r="AD2340" s="62" t="n">
        <v>1</v>
      </c>
      <c r="AE2340" s="62" t="n">
        <f aca="false">IF(AND(Dashboard!$C$9="Yes",AC2340=1),0,1)</f>
        <v>1</v>
      </c>
      <c r="AF2340" s="62" t="n">
        <v>1</v>
      </c>
    </row>
    <row r="2341" customFormat="false" ht="15" hidden="false" customHeight="false" outlineLevel="0" collapsed="false">
      <c r="A2341" s="62" t="n">
        <v>2340</v>
      </c>
      <c r="B2341" s="63" t="n">
        <v>46286.7526273148</v>
      </c>
      <c r="C2341" s="64" t="n">
        <v>46286</v>
      </c>
      <c r="D2341" s="62" t="s">
        <v>429</v>
      </c>
      <c r="E2341" s="62" t="s">
        <v>3018</v>
      </c>
      <c r="F2341" s="62" t="s">
        <v>3018</v>
      </c>
      <c r="G2341" s="62" t="s">
        <v>3019</v>
      </c>
      <c r="H2341" s="62" t="s">
        <v>58</v>
      </c>
      <c r="I2341" s="62" t="s">
        <v>49</v>
      </c>
      <c r="J2341" s="62" t="s">
        <v>146</v>
      </c>
      <c r="K2341" s="62" t="s">
        <v>175</v>
      </c>
      <c r="L2341" s="62" t="s">
        <v>148</v>
      </c>
      <c r="M2341" s="62" t="n">
        <v>0</v>
      </c>
      <c r="N2341" s="62" t="n">
        <v>1</v>
      </c>
      <c r="O2341" s="62" t="n">
        <v>1</v>
      </c>
      <c r="P2341" s="62" t="n">
        <v>0</v>
      </c>
      <c r="Q2341" s="62" t="n">
        <v>1</v>
      </c>
      <c r="R2341" s="62" t="n">
        <v>0</v>
      </c>
      <c r="S2341" s="62" t="n">
        <v>0</v>
      </c>
      <c r="T2341" s="62" t="n">
        <v>0</v>
      </c>
      <c r="U2341" s="62"/>
      <c r="V2341" s="62"/>
      <c r="W2341" s="62"/>
      <c r="X2341" s="62"/>
      <c r="Y2341" s="62"/>
      <c r="Z2341" s="62" t="s">
        <v>4262</v>
      </c>
      <c r="AA2341" s="62" t="s">
        <v>4263</v>
      </c>
      <c r="AB2341" s="62" t="n">
        <v>1</v>
      </c>
      <c r="AC2341" s="62" t="n">
        <v>0</v>
      </c>
      <c r="AD2341" s="62" t="n">
        <v>1</v>
      </c>
      <c r="AE2341" s="62" t="n">
        <f aca="false">IF(AND(Dashboard!$C$9="Yes",AC2341=1),0,1)</f>
        <v>1</v>
      </c>
      <c r="AF2341" s="62" t="n">
        <v>1</v>
      </c>
    </row>
    <row r="2342" customFormat="false" ht="15" hidden="false" customHeight="false" outlineLevel="0" collapsed="false">
      <c r="A2342" s="62" t="n">
        <v>2341</v>
      </c>
      <c r="B2342" s="63" t="n">
        <v>46286.7619560185</v>
      </c>
      <c r="C2342" s="64" t="n">
        <v>46286</v>
      </c>
      <c r="D2342" s="62" t="s">
        <v>429</v>
      </c>
      <c r="E2342" s="62" t="s">
        <v>4238</v>
      </c>
      <c r="F2342" s="62" t="s">
        <v>4238</v>
      </c>
      <c r="G2342" s="62" t="s">
        <v>4239</v>
      </c>
      <c r="H2342" s="62" t="s">
        <v>44</v>
      </c>
      <c r="I2342" s="62" t="s">
        <v>49</v>
      </c>
      <c r="J2342" s="62" t="s">
        <v>146</v>
      </c>
      <c r="K2342" s="62" t="s">
        <v>147</v>
      </c>
      <c r="L2342" s="62" t="s">
        <v>148</v>
      </c>
      <c r="M2342" s="62" t="n">
        <v>0</v>
      </c>
      <c r="N2342" s="62" t="n">
        <v>1</v>
      </c>
      <c r="O2342" s="62" t="n">
        <v>1</v>
      </c>
      <c r="P2342" s="62" t="n">
        <v>1</v>
      </c>
      <c r="Q2342" s="62" t="n">
        <v>0</v>
      </c>
      <c r="R2342" s="62" t="n">
        <v>0</v>
      </c>
      <c r="S2342" s="62" t="n">
        <v>0</v>
      </c>
      <c r="T2342" s="62" t="n">
        <v>0</v>
      </c>
      <c r="U2342" s="62"/>
      <c r="V2342" s="62"/>
      <c r="W2342" s="62"/>
      <c r="X2342" s="62"/>
      <c r="Y2342" s="62"/>
      <c r="Z2342" s="62" t="s">
        <v>4264</v>
      </c>
      <c r="AA2342" s="62" t="s">
        <v>4265</v>
      </c>
      <c r="AB2342" s="62" t="n">
        <v>1</v>
      </c>
      <c r="AC2342" s="62" t="n">
        <v>0</v>
      </c>
      <c r="AD2342" s="62" t="n">
        <v>1</v>
      </c>
      <c r="AE2342" s="62" t="n">
        <f aca="false">IF(AND(Dashboard!$C$9="Yes",AC2342=1),0,1)</f>
        <v>1</v>
      </c>
      <c r="AF2342" s="62" t="n">
        <v>0</v>
      </c>
    </row>
    <row r="2343" customFormat="false" ht="15" hidden="false" customHeight="false" outlineLevel="0" collapsed="false">
      <c r="A2343" s="62" t="n">
        <v>2342</v>
      </c>
      <c r="B2343" s="63" t="n">
        <v>46286.7756481482</v>
      </c>
      <c r="C2343" s="64" t="n">
        <v>46286</v>
      </c>
      <c r="D2343" s="62" t="s">
        <v>429</v>
      </c>
      <c r="E2343" s="62" t="s">
        <v>4258</v>
      </c>
      <c r="F2343" s="62" t="s">
        <v>4258</v>
      </c>
      <c r="G2343" s="62" t="s">
        <v>4259</v>
      </c>
      <c r="H2343" s="62" t="s">
        <v>44</v>
      </c>
      <c r="I2343" s="62" t="s">
        <v>49</v>
      </c>
      <c r="J2343" s="62" t="s">
        <v>146</v>
      </c>
      <c r="K2343" s="62" t="s">
        <v>147</v>
      </c>
      <c r="L2343" s="62" t="s">
        <v>148</v>
      </c>
      <c r="M2343" s="62" t="n">
        <v>0</v>
      </c>
      <c r="N2343" s="62" t="n">
        <v>1</v>
      </c>
      <c r="O2343" s="62" t="n">
        <v>1</v>
      </c>
      <c r="P2343" s="62" t="n">
        <v>1</v>
      </c>
      <c r="Q2343" s="62" t="n">
        <v>0</v>
      </c>
      <c r="R2343" s="62" t="n">
        <v>0</v>
      </c>
      <c r="S2343" s="62" t="n">
        <v>0</v>
      </c>
      <c r="T2343" s="62" t="n">
        <v>0</v>
      </c>
      <c r="U2343" s="62"/>
      <c r="V2343" s="62"/>
      <c r="W2343" s="62"/>
      <c r="X2343" s="62"/>
      <c r="Y2343" s="62"/>
      <c r="Z2343" s="62" t="s">
        <v>4266</v>
      </c>
      <c r="AA2343" s="62" t="s">
        <v>4267</v>
      </c>
      <c r="AB2343" s="62" t="n">
        <v>1</v>
      </c>
      <c r="AC2343" s="62" t="n">
        <v>0</v>
      </c>
      <c r="AD2343" s="62" t="n">
        <v>1</v>
      </c>
      <c r="AE2343" s="62" t="n">
        <f aca="false">IF(AND(Dashboard!$C$9="Yes",AC2343=1),0,1)</f>
        <v>1</v>
      </c>
      <c r="AF2343" s="62" t="n">
        <v>0</v>
      </c>
    </row>
    <row r="2344" customFormat="false" ht="15" hidden="false" customHeight="false" outlineLevel="0" collapsed="false">
      <c r="A2344" s="62" t="n">
        <v>2343</v>
      </c>
      <c r="B2344" s="63" t="n">
        <v>46286.7799884259</v>
      </c>
      <c r="C2344" s="64" t="n">
        <v>46286</v>
      </c>
      <c r="D2344" s="62" t="s">
        <v>429</v>
      </c>
      <c r="E2344" s="62" t="s">
        <v>2119</v>
      </c>
      <c r="F2344" s="62" t="s">
        <v>2119</v>
      </c>
      <c r="G2344" s="62" t="s">
        <v>2120</v>
      </c>
      <c r="H2344" s="62" t="s">
        <v>52</v>
      </c>
      <c r="I2344" s="62" t="s">
        <v>47</v>
      </c>
      <c r="J2344" s="62" t="s">
        <v>146</v>
      </c>
      <c r="K2344" s="62" t="s">
        <v>147</v>
      </c>
      <c r="L2344" s="62" t="s">
        <v>148</v>
      </c>
      <c r="M2344" s="62" t="n">
        <v>0</v>
      </c>
      <c r="N2344" s="62" t="n">
        <v>1</v>
      </c>
      <c r="O2344" s="62" t="n">
        <v>1</v>
      </c>
      <c r="P2344" s="62" t="n">
        <v>0</v>
      </c>
      <c r="Q2344" s="62" t="n">
        <v>1</v>
      </c>
      <c r="R2344" s="62" t="n">
        <v>0</v>
      </c>
      <c r="S2344" s="62" t="n">
        <v>0</v>
      </c>
      <c r="T2344" s="62" t="n">
        <v>0</v>
      </c>
      <c r="U2344" s="62"/>
      <c r="V2344" s="62"/>
      <c r="W2344" s="62"/>
      <c r="X2344" s="62"/>
      <c r="Y2344" s="62"/>
      <c r="Z2344" s="62" t="s">
        <v>4268</v>
      </c>
      <c r="AA2344" s="62" t="s">
        <v>3027</v>
      </c>
      <c r="AB2344" s="62" t="n">
        <v>0</v>
      </c>
      <c r="AC2344" s="62" t="n">
        <v>0</v>
      </c>
      <c r="AD2344" s="62" t="n">
        <v>1</v>
      </c>
      <c r="AE2344" s="62" t="n">
        <f aca="false">IF(AND(Dashboard!$C$9="Yes",AC2344=1),0,1)</f>
        <v>1</v>
      </c>
      <c r="AF2344" s="62" t="n">
        <v>0</v>
      </c>
    </row>
    <row r="2345" customFormat="false" ht="15" hidden="false" customHeight="false" outlineLevel="0" collapsed="false">
      <c r="A2345" s="62" t="n">
        <v>2344</v>
      </c>
      <c r="B2345" s="63" t="n">
        <v>46286.7835185185</v>
      </c>
      <c r="C2345" s="64" t="n">
        <v>46286</v>
      </c>
      <c r="D2345" s="62" t="s">
        <v>429</v>
      </c>
      <c r="E2345" s="62" t="s">
        <v>4269</v>
      </c>
      <c r="F2345" s="62" t="s">
        <v>4270</v>
      </c>
      <c r="G2345" s="62" t="s">
        <v>153</v>
      </c>
      <c r="H2345" s="62" t="s">
        <v>153</v>
      </c>
      <c r="I2345" s="62" t="s">
        <v>153</v>
      </c>
      <c r="J2345" s="62" t="s">
        <v>64</v>
      </c>
      <c r="K2345" s="62" t="s">
        <v>64</v>
      </c>
      <c r="L2345" s="62" t="s">
        <v>4</v>
      </c>
      <c r="M2345" s="62" t="n">
        <v>1</v>
      </c>
      <c r="N2345" s="62" t="n">
        <v>0</v>
      </c>
      <c r="O2345" s="62" t="n">
        <v>1</v>
      </c>
      <c r="P2345" s="62" t="n">
        <v>0</v>
      </c>
      <c r="Q2345" s="62" t="n">
        <v>0</v>
      </c>
      <c r="R2345" s="62" t="n">
        <v>0</v>
      </c>
      <c r="S2345" s="62" t="n">
        <v>0</v>
      </c>
      <c r="T2345" s="62" t="n">
        <v>0</v>
      </c>
      <c r="U2345" s="62" t="s">
        <v>15</v>
      </c>
      <c r="V2345" s="62" t="s">
        <v>2057</v>
      </c>
      <c r="W2345" s="62" t="s">
        <v>15</v>
      </c>
      <c r="X2345" s="62" t="s">
        <v>2058</v>
      </c>
      <c r="Y2345" s="62" t="s">
        <v>2103</v>
      </c>
      <c r="Z2345" s="62" t="s">
        <v>4271</v>
      </c>
      <c r="AA2345" s="62" t="s">
        <v>4272</v>
      </c>
      <c r="AB2345" s="62" t="n">
        <v>1</v>
      </c>
      <c r="AC2345" s="62" t="n">
        <v>0</v>
      </c>
      <c r="AD2345" s="62" t="n">
        <v>0</v>
      </c>
      <c r="AE2345" s="62" t="n">
        <f aca="false">IF(AND(Dashboard!$C$9="Yes",AC2345=1),0,1)</f>
        <v>1</v>
      </c>
      <c r="AF2345" s="62" t="n">
        <v>1</v>
      </c>
    </row>
    <row r="2346" customFormat="false" ht="15" hidden="false" customHeight="false" outlineLevel="0" collapsed="false">
      <c r="A2346" s="62" t="n">
        <v>2345</v>
      </c>
      <c r="B2346" s="63" t="n">
        <v>46286.7864814815</v>
      </c>
      <c r="C2346" s="64" t="n">
        <v>46286</v>
      </c>
      <c r="D2346" s="62" t="s">
        <v>429</v>
      </c>
      <c r="E2346" s="62" t="s">
        <v>4258</v>
      </c>
      <c r="F2346" s="62" t="s">
        <v>4258</v>
      </c>
      <c r="G2346" s="62" t="s">
        <v>4259</v>
      </c>
      <c r="H2346" s="62" t="s">
        <v>44</v>
      </c>
      <c r="I2346" s="62" t="s">
        <v>49</v>
      </c>
      <c r="J2346" s="62" t="s">
        <v>146</v>
      </c>
      <c r="K2346" s="62" t="s">
        <v>147</v>
      </c>
      <c r="L2346" s="62" t="s">
        <v>148</v>
      </c>
      <c r="M2346" s="62" t="n">
        <v>0</v>
      </c>
      <c r="N2346" s="62" t="n">
        <v>1</v>
      </c>
      <c r="O2346" s="62" t="n">
        <v>1</v>
      </c>
      <c r="P2346" s="62" t="n">
        <v>0</v>
      </c>
      <c r="Q2346" s="62" t="n">
        <v>1</v>
      </c>
      <c r="R2346" s="62" t="n">
        <v>0</v>
      </c>
      <c r="S2346" s="62" t="n">
        <v>0</v>
      </c>
      <c r="T2346" s="62" t="n">
        <v>0</v>
      </c>
      <c r="U2346" s="62"/>
      <c r="V2346" s="62"/>
      <c r="W2346" s="62"/>
      <c r="X2346" s="62"/>
      <c r="Y2346" s="62"/>
      <c r="Z2346" s="62" t="s">
        <v>4273</v>
      </c>
      <c r="AA2346" s="62" t="s">
        <v>4274</v>
      </c>
      <c r="AB2346" s="62" t="n">
        <v>1</v>
      </c>
      <c r="AC2346" s="62" t="n">
        <v>0</v>
      </c>
      <c r="AD2346" s="62" t="n">
        <v>1</v>
      </c>
      <c r="AE2346" s="62" t="n">
        <f aca="false">IF(AND(Dashboard!$C$9="Yes",AC2346=1),0,1)</f>
        <v>1</v>
      </c>
      <c r="AF2346" s="62" t="n">
        <v>0</v>
      </c>
    </row>
    <row r="2347" customFormat="false" ht="15" hidden="false" customHeight="false" outlineLevel="0" collapsed="false">
      <c r="A2347" s="62" t="n">
        <v>2346</v>
      </c>
      <c r="B2347" s="63" t="n">
        <v>46286.7912384259</v>
      </c>
      <c r="C2347" s="64" t="n">
        <v>46286</v>
      </c>
      <c r="D2347" s="62" t="s">
        <v>429</v>
      </c>
      <c r="E2347" s="62" t="s">
        <v>3181</v>
      </c>
      <c r="F2347" s="62" t="s">
        <v>3181</v>
      </c>
      <c r="G2347" s="62" t="s">
        <v>3182</v>
      </c>
      <c r="H2347" s="62" t="s">
        <v>58</v>
      </c>
      <c r="I2347" s="62" t="s">
        <v>49</v>
      </c>
      <c r="J2347" s="62" t="s">
        <v>146</v>
      </c>
      <c r="K2347" s="62" t="s">
        <v>209</v>
      </c>
      <c r="L2347" s="62" t="s">
        <v>148</v>
      </c>
      <c r="M2347" s="62" t="n">
        <v>0</v>
      </c>
      <c r="N2347" s="62" t="n">
        <v>1</v>
      </c>
      <c r="O2347" s="62" t="n">
        <v>1</v>
      </c>
      <c r="P2347" s="62" t="n">
        <v>0</v>
      </c>
      <c r="Q2347" s="62" t="n">
        <v>1</v>
      </c>
      <c r="R2347" s="62" t="n">
        <v>0</v>
      </c>
      <c r="S2347" s="62" t="n">
        <v>0</v>
      </c>
      <c r="T2347" s="62" t="n">
        <v>0</v>
      </c>
      <c r="U2347" s="62"/>
      <c r="V2347" s="62"/>
      <c r="W2347" s="62"/>
      <c r="X2347" s="62"/>
      <c r="Y2347" s="62"/>
      <c r="Z2347" s="62" t="s">
        <v>4275</v>
      </c>
      <c r="AA2347" s="62"/>
      <c r="AB2347" s="62" t="n">
        <v>0</v>
      </c>
      <c r="AC2347" s="62" t="n">
        <v>0</v>
      </c>
      <c r="AD2347" s="62" t="n">
        <v>1</v>
      </c>
      <c r="AE2347" s="62" t="n">
        <f aca="false">IF(AND(Dashboard!$C$9="Yes",AC2347=1),0,1)</f>
        <v>1</v>
      </c>
      <c r="AF2347" s="62" t="n">
        <v>0</v>
      </c>
    </row>
    <row r="2348" customFormat="false" ht="15" hidden="false" customHeight="false" outlineLevel="0" collapsed="false">
      <c r="A2348" s="62" t="n">
        <v>2347</v>
      </c>
      <c r="B2348" s="63" t="n">
        <v>46286.7930092593</v>
      </c>
      <c r="C2348" s="64" t="n">
        <v>46286</v>
      </c>
      <c r="D2348" s="62" t="s">
        <v>429</v>
      </c>
      <c r="E2348" s="62" t="s">
        <v>4234</v>
      </c>
      <c r="F2348" s="62" t="s">
        <v>4234</v>
      </c>
      <c r="G2348" s="62" t="s">
        <v>4235</v>
      </c>
      <c r="H2348" s="62" t="s">
        <v>44</v>
      </c>
      <c r="I2348" s="62" t="s">
        <v>49</v>
      </c>
      <c r="J2348" s="62" t="s">
        <v>146</v>
      </c>
      <c r="K2348" s="62" t="s">
        <v>147</v>
      </c>
      <c r="L2348" s="62" t="s">
        <v>148</v>
      </c>
      <c r="M2348" s="62" t="n">
        <v>0</v>
      </c>
      <c r="N2348" s="62" t="n">
        <v>1</v>
      </c>
      <c r="O2348" s="62" t="n">
        <v>1</v>
      </c>
      <c r="P2348" s="62" t="n">
        <v>1</v>
      </c>
      <c r="Q2348" s="62" t="n">
        <v>0</v>
      </c>
      <c r="R2348" s="62" t="n">
        <v>0</v>
      </c>
      <c r="S2348" s="62" t="n">
        <v>0</v>
      </c>
      <c r="T2348" s="62" t="n">
        <v>0</v>
      </c>
      <c r="U2348" s="62"/>
      <c r="V2348" s="62"/>
      <c r="W2348" s="62"/>
      <c r="X2348" s="62"/>
      <c r="Y2348" s="62"/>
      <c r="Z2348" s="62" t="s">
        <v>4276</v>
      </c>
      <c r="AA2348" s="62" t="s">
        <v>4277</v>
      </c>
      <c r="AB2348" s="62" t="n">
        <v>1</v>
      </c>
      <c r="AC2348" s="62" t="n">
        <v>0</v>
      </c>
      <c r="AD2348" s="62" t="n">
        <v>1</v>
      </c>
      <c r="AE2348" s="62" t="n">
        <f aca="false">IF(AND(Dashboard!$C$9="Yes",AC2348=1),0,1)</f>
        <v>1</v>
      </c>
      <c r="AF2348" s="62" t="n">
        <v>0</v>
      </c>
    </row>
    <row r="2349" customFormat="false" ht="15" hidden="false" customHeight="false" outlineLevel="0" collapsed="false">
      <c r="A2349" s="62" t="n">
        <v>2348</v>
      </c>
      <c r="B2349" s="63" t="n">
        <v>46286.7948263889</v>
      </c>
      <c r="C2349" s="64" t="n">
        <v>46286</v>
      </c>
      <c r="D2349" s="62" t="s">
        <v>429</v>
      </c>
      <c r="E2349" s="62" t="s">
        <v>1314</v>
      </c>
      <c r="F2349" s="62" t="s">
        <v>1314</v>
      </c>
      <c r="G2349" s="62" t="s">
        <v>1315</v>
      </c>
      <c r="H2349" s="62" t="s">
        <v>51</v>
      </c>
      <c r="I2349" s="62" t="s">
        <v>47</v>
      </c>
      <c r="J2349" s="62" t="s">
        <v>146</v>
      </c>
      <c r="K2349" s="62" t="s">
        <v>209</v>
      </c>
      <c r="L2349" s="62" t="s">
        <v>148</v>
      </c>
      <c r="M2349" s="62" t="n">
        <v>0</v>
      </c>
      <c r="N2349" s="62" t="n">
        <v>1</v>
      </c>
      <c r="O2349" s="62" t="n">
        <v>1</v>
      </c>
      <c r="P2349" s="62" t="n">
        <v>0</v>
      </c>
      <c r="Q2349" s="62" t="n">
        <v>1</v>
      </c>
      <c r="R2349" s="62" t="n">
        <v>0</v>
      </c>
      <c r="S2349" s="62" t="n">
        <v>0</v>
      </c>
      <c r="T2349" s="62" t="n">
        <v>0</v>
      </c>
      <c r="U2349" s="62"/>
      <c r="V2349" s="62"/>
      <c r="W2349" s="62"/>
      <c r="X2349" s="62"/>
      <c r="Y2349" s="62"/>
      <c r="Z2349" s="62" t="s">
        <v>4278</v>
      </c>
      <c r="AA2349" s="62" t="s">
        <v>4279</v>
      </c>
      <c r="AB2349" s="62" t="n">
        <v>1</v>
      </c>
      <c r="AC2349" s="62" t="n">
        <v>0</v>
      </c>
      <c r="AD2349" s="62" t="n">
        <v>1</v>
      </c>
      <c r="AE2349" s="62" t="n">
        <f aca="false">IF(AND(Dashboard!$C$9="Yes",AC2349=1),0,1)</f>
        <v>1</v>
      </c>
      <c r="AF2349" s="62" t="n">
        <v>0</v>
      </c>
    </row>
    <row r="2350" customFormat="false" ht="15" hidden="false" customHeight="false" outlineLevel="0" collapsed="false">
      <c r="A2350" s="62" t="n">
        <v>2349</v>
      </c>
      <c r="B2350" s="63" t="n">
        <v>46286.7961574074</v>
      </c>
      <c r="C2350" s="64" t="n">
        <v>46286</v>
      </c>
      <c r="D2350" s="62" t="s">
        <v>429</v>
      </c>
      <c r="E2350" s="62" t="s">
        <v>1314</v>
      </c>
      <c r="F2350" s="62" t="s">
        <v>1314</v>
      </c>
      <c r="G2350" s="62" t="s">
        <v>1315</v>
      </c>
      <c r="H2350" s="62" t="s">
        <v>51</v>
      </c>
      <c r="I2350" s="62" t="s">
        <v>47</v>
      </c>
      <c r="J2350" s="62" t="s">
        <v>146</v>
      </c>
      <c r="K2350" s="62" t="s">
        <v>209</v>
      </c>
      <c r="L2350" s="62" t="s">
        <v>148</v>
      </c>
      <c r="M2350" s="62" t="n">
        <v>0</v>
      </c>
      <c r="N2350" s="62" t="n">
        <v>1</v>
      </c>
      <c r="O2350" s="62" t="n">
        <v>1</v>
      </c>
      <c r="P2350" s="62" t="n">
        <v>0</v>
      </c>
      <c r="Q2350" s="62" t="n">
        <v>1</v>
      </c>
      <c r="R2350" s="62" t="n">
        <v>0</v>
      </c>
      <c r="S2350" s="62" t="n">
        <v>0</v>
      </c>
      <c r="T2350" s="62" t="n">
        <v>0</v>
      </c>
      <c r="U2350" s="62"/>
      <c r="V2350" s="62"/>
      <c r="W2350" s="62"/>
      <c r="X2350" s="62"/>
      <c r="Y2350" s="62"/>
      <c r="Z2350" s="62" t="s">
        <v>4278</v>
      </c>
      <c r="AA2350" s="62" t="s">
        <v>4279</v>
      </c>
      <c r="AB2350" s="62" t="n">
        <v>1</v>
      </c>
      <c r="AC2350" s="62" t="n">
        <v>1</v>
      </c>
      <c r="AD2350" s="62" t="n">
        <v>1</v>
      </c>
      <c r="AE2350" s="62" t="n">
        <f aca="false">IF(AND(Dashboard!$C$9="Yes",AC2350=1),0,1)</f>
        <v>0</v>
      </c>
      <c r="AF2350" s="62" t="n">
        <v>0</v>
      </c>
    </row>
    <row r="2351" customFormat="false" ht="15" hidden="false" customHeight="false" outlineLevel="0" collapsed="false">
      <c r="A2351" s="62" t="n">
        <v>2350</v>
      </c>
      <c r="B2351" s="63" t="n">
        <v>46286.7969791667</v>
      </c>
      <c r="C2351" s="64" t="n">
        <v>46286</v>
      </c>
      <c r="D2351" s="62" t="s">
        <v>429</v>
      </c>
      <c r="E2351" s="62" t="s">
        <v>4280</v>
      </c>
      <c r="F2351" s="62" t="s">
        <v>4280</v>
      </c>
      <c r="G2351" s="62" t="s">
        <v>4281</v>
      </c>
      <c r="H2351" s="62" t="s">
        <v>44</v>
      </c>
      <c r="I2351" s="62" t="s">
        <v>49</v>
      </c>
      <c r="J2351" s="62" t="s">
        <v>146</v>
      </c>
      <c r="K2351" s="62" t="s">
        <v>147</v>
      </c>
      <c r="L2351" s="62" t="s">
        <v>148</v>
      </c>
      <c r="M2351" s="62" t="n">
        <v>0</v>
      </c>
      <c r="N2351" s="62" t="n">
        <v>1</v>
      </c>
      <c r="O2351" s="62" t="n">
        <v>1</v>
      </c>
      <c r="P2351" s="62" t="n">
        <v>0</v>
      </c>
      <c r="Q2351" s="62" t="n">
        <v>0</v>
      </c>
      <c r="R2351" s="62" t="n">
        <v>1</v>
      </c>
      <c r="S2351" s="62" t="n">
        <v>0</v>
      </c>
      <c r="T2351" s="62" t="n">
        <v>0</v>
      </c>
      <c r="U2351" s="62"/>
      <c r="V2351" s="62"/>
      <c r="W2351" s="62"/>
      <c r="X2351" s="62"/>
      <c r="Y2351" s="62"/>
      <c r="Z2351" s="62" t="s">
        <v>4282</v>
      </c>
      <c r="AA2351" s="62" t="s">
        <v>4283</v>
      </c>
      <c r="AB2351" s="62" t="n">
        <v>1</v>
      </c>
      <c r="AC2351" s="62" t="n">
        <v>0</v>
      </c>
      <c r="AD2351" s="62" t="n">
        <v>1</v>
      </c>
      <c r="AE2351" s="62" t="n">
        <f aca="false">IF(AND(Dashboard!$C$9="Yes",AC2351=1),0,1)</f>
        <v>1</v>
      </c>
      <c r="AF2351" s="62" t="n">
        <v>1</v>
      </c>
    </row>
    <row r="2352" customFormat="false" ht="15" hidden="false" customHeight="false" outlineLevel="0" collapsed="false">
      <c r="A2352" s="62" t="n">
        <v>2351</v>
      </c>
      <c r="B2352" s="63" t="n">
        <v>46286.8027314815</v>
      </c>
      <c r="C2352" s="64" t="n">
        <v>46286</v>
      </c>
      <c r="D2352" s="62" t="s">
        <v>429</v>
      </c>
      <c r="E2352" s="62" t="s">
        <v>4258</v>
      </c>
      <c r="F2352" s="62" t="s">
        <v>4258</v>
      </c>
      <c r="G2352" s="62" t="s">
        <v>4259</v>
      </c>
      <c r="H2352" s="62" t="s">
        <v>44</v>
      </c>
      <c r="I2352" s="62" t="s">
        <v>49</v>
      </c>
      <c r="J2352" s="62" t="s">
        <v>146</v>
      </c>
      <c r="K2352" s="62" t="s">
        <v>147</v>
      </c>
      <c r="L2352" s="62" t="s">
        <v>148</v>
      </c>
      <c r="M2352" s="62" t="n">
        <v>0</v>
      </c>
      <c r="N2352" s="62" t="n">
        <v>1</v>
      </c>
      <c r="O2352" s="62" t="n">
        <v>1</v>
      </c>
      <c r="P2352" s="62" t="n">
        <v>1</v>
      </c>
      <c r="Q2352" s="62" t="n">
        <v>0</v>
      </c>
      <c r="R2352" s="62" t="n">
        <v>0</v>
      </c>
      <c r="S2352" s="62" t="n">
        <v>0</v>
      </c>
      <c r="T2352" s="62" t="n">
        <v>0</v>
      </c>
      <c r="U2352" s="62"/>
      <c r="V2352" s="62"/>
      <c r="W2352" s="62"/>
      <c r="X2352" s="62"/>
      <c r="Y2352" s="62"/>
      <c r="Z2352" s="62" t="s">
        <v>4284</v>
      </c>
      <c r="AA2352" s="62" t="s">
        <v>4285</v>
      </c>
      <c r="AB2352" s="62" t="n">
        <v>1</v>
      </c>
      <c r="AC2352" s="62" t="n">
        <v>0</v>
      </c>
      <c r="AD2352" s="62" t="n">
        <v>1</v>
      </c>
      <c r="AE2352" s="62" t="n">
        <f aca="false">IF(AND(Dashboard!$C$9="Yes",AC2352=1),0,1)</f>
        <v>1</v>
      </c>
      <c r="AF2352" s="62" t="n">
        <v>0</v>
      </c>
    </row>
    <row r="2353" customFormat="false" ht="15" hidden="false" customHeight="false" outlineLevel="0" collapsed="false">
      <c r="A2353" s="62" t="n">
        <v>2352</v>
      </c>
      <c r="B2353" s="63" t="n">
        <v>46286.8244212963</v>
      </c>
      <c r="C2353" s="64" t="n">
        <v>46286</v>
      </c>
      <c r="D2353" s="62" t="s">
        <v>429</v>
      </c>
      <c r="E2353" s="62" t="s">
        <v>4226</v>
      </c>
      <c r="F2353" s="62" t="s">
        <v>4226</v>
      </c>
      <c r="G2353" s="62" t="s">
        <v>4227</v>
      </c>
      <c r="H2353" s="62" t="s">
        <v>44</v>
      </c>
      <c r="I2353" s="62" t="s">
        <v>49</v>
      </c>
      <c r="J2353" s="62" t="s">
        <v>146</v>
      </c>
      <c r="K2353" s="62" t="s">
        <v>147</v>
      </c>
      <c r="L2353" s="62" t="s">
        <v>148</v>
      </c>
      <c r="M2353" s="62" t="n">
        <v>0</v>
      </c>
      <c r="N2353" s="62" t="n">
        <v>1</v>
      </c>
      <c r="O2353" s="62" t="n">
        <v>1</v>
      </c>
      <c r="P2353" s="62" t="n">
        <v>0</v>
      </c>
      <c r="Q2353" s="62" t="n">
        <v>1</v>
      </c>
      <c r="R2353" s="62" t="n">
        <v>0</v>
      </c>
      <c r="S2353" s="62" t="n">
        <v>0</v>
      </c>
      <c r="T2353" s="62" t="n">
        <v>0</v>
      </c>
      <c r="U2353" s="62"/>
      <c r="V2353" s="62"/>
      <c r="W2353" s="62"/>
      <c r="X2353" s="62"/>
      <c r="Y2353" s="62"/>
      <c r="Z2353" s="62" t="s">
        <v>4286</v>
      </c>
      <c r="AA2353" s="62" t="s">
        <v>4287</v>
      </c>
      <c r="AB2353" s="62" t="n">
        <v>1</v>
      </c>
      <c r="AC2353" s="62" t="n">
        <v>0</v>
      </c>
      <c r="AD2353" s="62" t="n">
        <v>1</v>
      </c>
      <c r="AE2353" s="62" t="n">
        <f aca="false">IF(AND(Dashboard!$C$9="Yes",AC2353=1),0,1)</f>
        <v>1</v>
      </c>
      <c r="AF2353" s="62" t="n">
        <v>0</v>
      </c>
    </row>
    <row r="2354" customFormat="false" ht="15" hidden="false" customHeight="false" outlineLevel="0" collapsed="false">
      <c r="A2354" s="62" t="n">
        <v>2353</v>
      </c>
      <c r="B2354" s="63" t="n">
        <v>46286.8341898148</v>
      </c>
      <c r="C2354" s="64" t="n">
        <v>46286</v>
      </c>
      <c r="D2354" s="62" t="s">
        <v>429</v>
      </c>
      <c r="E2354" s="62" t="s">
        <v>1445</v>
      </c>
      <c r="F2354" s="62" t="s">
        <v>1445</v>
      </c>
      <c r="G2354" s="62" t="s">
        <v>1446</v>
      </c>
      <c r="H2354" s="62" t="s">
        <v>58</v>
      </c>
      <c r="I2354" s="62" t="s">
        <v>49</v>
      </c>
      <c r="J2354" s="62" t="s">
        <v>146</v>
      </c>
      <c r="K2354" s="62" t="s">
        <v>175</v>
      </c>
      <c r="L2354" s="62" t="s">
        <v>4</v>
      </c>
      <c r="M2354" s="62" t="n">
        <v>1</v>
      </c>
      <c r="N2354" s="62" t="n">
        <v>0</v>
      </c>
      <c r="O2354" s="62" t="n">
        <v>1</v>
      </c>
      <c r="P2354" s="62" t="n">
        <v>0</v>
      </c>
      <c r="Q2354" s="62" t="n">
        <v>0</v>
      </c>
      <c r="R2354" s="62" t="n">
        <v>0</v>
      </c>
      <c r="S2354" s="62" t="n">
        <v>0</v>
      </c>
      <c r="T2354" s="62" t="n">
        <v>0</v>
      </c>
      <c r="U2354" s="62" t="s">
        <v>2056</v>
      </c>
      <c r="V2354" s="62" t="s">
        <v>2068</v>
      </c>
      <c r="W2354" s="62"/>
      <c r="X2354" s="62" t="s">
        <v>2058</v>
      </c>
      <c r="Y2354" s="62" t="s">
        <v>2059</v>
      </c>
      <c r="Z2354" s="62" t="s">
        <v>4288</v>
      </c>
      <c r="AA2354" s="62" t="s">
        <v>4289</v>
      </c>
      <c r="AB2354" s="62" t="n">
        <v>1</v>
      </c>
      <c r="AC2354" s="62" t="n">
        <v>0</v>
      </c>
      <c r="AD2354" s="62" t="n">
        <v>1</v>
      </c>
      <c r="AE2354" s="62" t="n">
        <f aca="false">IF(AND(Dashboard!$C$9="Yes",AC2354=1),0,1)</f>
        <v>1</v>
      </c>
      <c r="AF2354" s="62" t="n">
        <v>1</v>
      </c>
    </row>
    <row r="2355" customFormat="false" ht="15" hidden="false" customHeight="false" outlineLevel="0" collapsed="false">
      <c r="A2355" s="62" t="n">
        <v>2354</v>
      </c>
      <c r="B2355" s="63" t="n">
        <v>46286.8431597222</v>
      </c>
      <c r="C2355" s="64" t="n">
        <v>46286</v>
      </c>
      <c r="D2355" s="62" t="s">
        <v>429</v>
      </c>
      <c r="E2355" s="62" t="s">
        <v>3197</v>
      </c>
      <c r="F2355" s="62" t="s">
        <v>3197</v>
      </c>
      <c r="G2355" s="62" t="s">
        <v>3198</v>
      </c>
      <c r="H2355" s="62" t="s">
        <v>44</v>
      </c>
      <c r="I2355" s="62" t="s">
        <v>49</v>
      </c>
      <c r="J2355" s="62" t="s">
        <v>146</v>
      </c>
      <c r="K2355" s="62" t="s">
        <v>147</v>
      </c>
      <c r="L2355" s="62" t="s">
        <v>148</v>
      </c>
      <c r="M2355" s="62" t="n">
        <v>0</v>
      </c>
      <c r="N2355" s="62" t="n">
        <v>1</v>
      </c>
      <c r="O2355" s="62" t="n">
        <v>1</v>
      </c>
      <c r="P2355" s="62" t="n">
        <v>1</v>
      </c>
      <c r="Q2355" s="62" t="n">
        <v>0</v>
      </c>
      <c r="R2355" s="62" t="n">
        <v>0</v>
      </c>
      <c r="S2355" s="62" t="n">
        <v>0</v>
      </c>
      <c r="T2355" s="62" t="n">
        <v>0</v>
      </c>
      <c r="U2355" s="62"/>
      <c r="V2355" s="62"/>
      <c r="W2355" s="62"/>
      <c r="X2355" s="62"/>
      <c r="Y2355" s="62"/>
      <c r="Z2355" s="62" t="s">
        <v>4290</v>
      </c>
      <c r="AA2355" s="62" t="s">
        <v>4291</v>
      </c>
      <c r="AB2355" s="62" t="n">
        <v>1</v>
      </c>
      <c r="AC2355" s="62" t="n">
        <v>0</v>
      </c>
      <c r="AD2355" s="62" t="n">
        <v>1</v>
      </c>
      <c r="AE2355" s="62" t="n">
        <f aca="false">IF(AND(Dashboard!$C$9="Yes",AC2355=1),0,1)</f>
        <v>1</v>
      </c>
      <c r="AF2355" s="62" t="n">
        <v>1</v>
      </c>
    </row>
    <row r="2356" customFormat="false" ht="15" hidden="false" customHeight="false" outlineLevel="0" collapsed="false">
      <c r="A2356" s="62" t="n">
        <v>2355</v>
      </c>
      <c r="B2356" s="63" t="n">
        <v>46286.8502314815</v>
      </c>
      <c r="C2356" s="64" t="n">
        <v>46286</v>
      </c>
      <c r="D2356" s="62" t="s">
        <v>429</v>
      </c>
      <c r="E2356" s="62" t="s">
        <v>207</v>
      </c>
      <c r="F2356" s="62" t="s">
        <v>207</v>
      </c>
      <c r="G2356" s="62" t="s">
        <v>208</v>
      </c>
      <c r="H2356" s="62" t="s">
        <v>48</v>
      </c>
      <c r="I2356" s="62" t="s">
        <v>49</v>
      </c>
      <c r="J2356" s="62" t="s">
        <v>146</v>
      </c>
      <c r="K2356" s="62" t="s">
        <v>209</v>
      </c>
      <c r="L2356" s="62" t="s">
        <v>148</v>
      </c>
      <c r="M2356" s="62" t="n">
        <v>0</v>
      </c>
      <c r="N2356" s="62" t="n">
        <v>1</v>
      </c>
      <c r="O2356" s="62" t="n">
        <v>1</v>
      </c>
      <c r="P2356" s="62" t="n">
        <v>1</v>
      </c>
      <c r="Q2356" s="62" t="n">
        <v>0</v>
      </c>
      <c r="R2356" s="62" t="n">
        <v>0</v>
      </c>
      <c r="S2356" s="62" t="n">
        <v>0</v>
      </c>
      <c r="T2356" s="62" t="n">
        <v>0</v>
      </c>
      <c r="U2356" s="62"/>
      <c r="V2356" s="62"/>
      <c r="W2356" s="62"/>
      <c r="X2356" s="62"/>
      <c r="Y2356" s="62"/>
      <c r="Z2356" s="62" t="s">
        <v>4292</v>
      </c>
      <c r="AA2356" s="62" t="s">
        <v>4293</v>
      </c>
      <c r="AB2356" s="62" t="n">
        <v>1</v>
      </c>
      <c r="AC2356" s="62" t="n">
        <v>0</v>
      </c>
      <c r="AD2356" s="62" t="n">
        <v>1</v>
      </c>
      <c r="AE2356" s="62" t="n">
        <f aca="false">IF(AND(Dashboard!$C$9="Yes",AC2356=1),0,1)</f>
        <v>1</v>
      </c>
      <c r="AF2356" s="62" t="n">
        <v>1</v>
      </c>
    </row>
    <row r="2357" customFormat="false" ht="15" hidden="false" customHeight="false" outlineLevel="0" collapsed="false">
      <c r="A2357" s="62" t="n">
        <v>2356</v>
      </c>
      <c r="B2357" s="63" t="n">
        <v>46286.8541435185</v>
      </c>
      <c r="C2357" s="64" t="n">
        <v>46286</v>
      </c>
      <c r="D2357" s="62" t="s">
        <v>429</v>
      </c>
      <c r="E2357" s="62" t="s">
        <v>1732</v>
      </c>
      <c r="F2357" s="62" t="s">
        <v>1732</v>
      </c>
      <c r="G2357" s="62" t="s">
        <v>1733</v>
      </c>
      <c r="H2357" s="62" t="s">
        <v>58</v>
      </c>
      <c r="I2357" s="62" t="s">
        <v>49</v>
      </c>
      <c r="J2357" s="62" t="s">
        <v>146</v>
      </c>
      <c r="K2357" s="62" t="s">
        <v>209</v>
      </c>
      <c r="L2357" s="62" t="s">
        <v>148</v>
      </c>
      <c r="M2357" s="62" t="n">
        <v>0</v>
      </c>
      <c r="N2357" s="62" t="n">
        <v>1</v>
      </c>
      <c r="O2357" s="62" t="n">
        <v>1</v>
      </c>
      <c r="P2357" s="62" t="n">
        <v>1</v>
      </c>
      <c r="Q2357" s="62" t="n">
        <v>0</v>
      </c>
      <c r="R2357" s="62" t="n">
        <v>0</v>
      </c>
      <c r="S2357" s="62" t="n">
        <v>0</v>
      </c>
      <c r="T2357" s="62" t="n">
        <v>0</v>
      </c>
      <c r="U2357" s="62"/>
      <c r="V2357" s="62"/>
      <c r="W2357" s="62"/>
      <c r="X2357" s="62"/>
      <c r="Y2357" s="62"/>
      <c r="Z2357" s="62" t="s">
        <v>4294</v>
      </c>
      <c r="AA2357" s="62" t="s">
        <v>4295</v>
      </c>
      <c r="AB2357" s="62" t="n">
        <v>1</v>
      </c>
      <c r="AC2357" s="62" t="n">
        <v>0</v>
      </c>
      <c r="AD2357" s="62" t="n">
        <v>1</v>
      </c>
      <c r="AE2357" s="62" t="n">
        <f aca="false">IF(AND(Dashboard!$C$9="Yes",AC2357=1),0,1)</f>
        <v>1</v>
      </c>
      <c r="AF2357" s="62" t="n">
        <v>1</v>
      </c>
    </row>
    <row r="2358" customFormat="false" ht="15" hidden="false" customHeight="false" outlineLevel="0" collapsed="false">
      <c r="A2358" s="62" t="n">
        <v>2357</v>
      </c>
      <c r="B2358" s="63" t="n">
        <v>46286.8624537037</v>
      </c>
      <c r="C2358" s="64" t="n">
        <v>46286</v>
      </c>
      <c r="D2358" s="62" t="s">
        <v>429</v>
      </c>
      <c r="E2358" s="62" t="s">
        <v>2156</v>
      </c>
      <c r="F2358" s="62" t="s">
        <v>2156</v>
      </c>
      <c r="G2358" s="62" t="s">
        <v>2157</v>
      </c>
      <c r="H2358" s="62" t="s">
        <v>52</v>
      </c>
      <c r="I2358" s="62" t="s">
        <v>47</v>
      </c>
      <c r="J2358" s="62" t="s">
        <v>146</v>
      </c>
      <c r="K2358" s="62" t="s">
        <v>209</v>
      </c>
      <c r="L2358" s="62" t="s">
        <v>148</v>
      </c>
      <c r="M2358" s="62" t="n">
        <v>0</v>
      </c>
      <c r="N2358" s="62" t="n">
        <v>1</v>
      </c>
      <c r="O2358" s="62" t="n">
        <v>1</v>
      </c>
      <c r="P2358" s="62" t="n">
        <v>0</v>
      </c>
      <c r="Q2358" s="62" t="n">
        <v>1</v>
      </c>
      <c r="R2358" s="62" t="n">
        <v>0</v>
      </c>
      <c r="S2358" s="62" t="n">
        <v>0</v>
      </c>
      <c r="T2358" s="62" t="n">
        <v>0</v>
      </c>
      <c r="U2358" s="62"/>
      <c r="V2358" s="62"/>
      <c r="W2358" s="62"/>
      <c r="X2358" s="62"/>
      <c r="Y2358" s="62"/>
      <c r="Z2358" s="62" t="s">
        <v>4296</v>
      </c>
      <c r="AA2358" s="62" t="s">
        <v>4297</v>
      </c>
      <c r="AB2358" s="62" t="n">
        <v>1</v>
      </c>
      <c r="AC2358" s="62" t="n">
        <v>0</v>
      </c>
      <c r="AD2358" s="62" t="n">
        <v>1</v>
      </c>
      <c r="AE2358" s="62" t="n">
        <f aca="false">IF(AND(Dashboard!$C$9="Yes",AC2358=1),0,1)</f>
        <v>1</v>
      </c>
      <c r="AF2358" s="62" t="n">
        <v>0</v>
      </c>
    </row>
    <row r="2359" customFormat="false" ht="15" hidden="false" customHeight="false" outlineLevel="0" collapsed="false">
      <c r="A2359" s="62" t="n">
        <v>2358</v>
      </c>
      <c r="B2359" s="63" t="n">
        <v>46286.8733101852</v>
      </c>
      <c r="C2359" s="64" t="n">
        <v>46286</v>
      </c>
      <c r="D2359" s="62" t="s">
        <v>429</v>
      </c>
      <c r="E2359" s="62" t="s">
        <v>218</v>
      </c>
      <c r="F2359" s="62" t="s">
        <v>218</v>
      </c>
      <c r="G2359" s="62" t="s">
        <v>219</v>
      </c>
      <c r="H2359" s="62" t="s">
        <v>51</v>
      </c>
      <c r="I2359" s="62" t="s">
        <v>47</v>
      </c>
      <c r="J2359" s="62" t="s">
        <v>146</v>
      </c>
      <c r="K2359" s="62" t="s">
        <v>147</v>
      </c>
      <c r="L2359" s="62" t="s">
        <v>148</v>
      </c>
      <c r="M2359" s="62" t="n">
        <v>0</v>
      </c>
      <c r="N2359" s="62" t="n">
        <v>1</v>
      </c>
      <c r="O2359" s="62" t="n">
        <v>1</v>
      </c>
      <c r="P2359" s="62" t="n">
        <v>1</v>
      </c>
      <c r="Q2359" s="62" t="n">
        <v>0</v>
      </c>
      <c r="R2359" s="62" t="n">
        <v>0</v>
      </c>
      <c r="S2359" s="62" t="n">
        <v>0</v>
      </c>
      <c r="T2359" s="62" t="n">
        <v>0</v>
      </c>
      <c r="U2359" s="62"/>
      <c r="V2359" s="62"/>
      <c r="W2359" s="62"/>
      <c r="X2359" s="62"/>
      <c r="Y2359" s="62"/>
      <c r="Z2359" s="62" t="s">
        <v>4298</v>
      </c>
      <c r="AA2359" s="62" t="s">
        <v>4299</v>
      </c>
      <c r="AB2359" s="62" t="n">
        <v>1</v>
      </c>
      <c r="AC2359" s="62" t="n">
        <v>0</v>
      </c>
      <c r="AD2359" s="62" t="n">
        <v>1</v>
      </c>
      <c r="AE2359" s="62" t="n">
        <f aca="false">IF(AND(Dashboard!$C$9="Yes",AC2359=1),0,1)</f>
        <v>1</v>
      </c>
      <c r="AF2359" s="62" t="n">
        <v>1</v>
      </c>
    </row>
    <row r="2360" customFormat="false" ht="15" hidden="false" customHeight="false" outlineLevel="0" collapsed="false">
      <c r="A2360" s="62" t="n">
        <v>2359</v>
      </c>
      <c r="B2360" s="63" t="n">
        <v>46286.8757986111</v>
      </c>
      <c r="C2360" s="64" t="n">
        <v>46286</v>
      </c>
      <c r="D2360" s="62" t="s">
        <v>429</v>
      </c>
      <c r="E2360" s="62" t="s">
        <v>1571</v>
      </c>
      <c r="F2360" s="62" t="s">
        <v>1571</v>
      </c>
      <c r="G2360" s="62" t="s">
        <v>1572</v>
      </c>
      <c r="H2360" s="62" t="s">
        <v>52</v>
      </c>
      <c r="I2360" s="62" t="s">
        <v>47</v>
      </c>
      <c r="J2360" s="62" t="s">
        <v>146</v>
      </c>
      <c r="K2360" s="62" t="s">
        <v>209</v>
      </c>
      <c r="L2360" s="62" t="s">
        <v>148</v>
      </c>
      <c r="M2360" s="62" t="n">
        <v>0</v>
      </c>
      <c r="N2360" s="62" t="n">
        <v>2</v>
      </c>
      <c r="O2360" s="62" t="n">
        <v>2</v>
      </c>
      <c r="P2360" s="62" t="n">
        <v>1</v>
      </c>
      <c r="Q2360" s="62" t="n">
        <v>1</v>
      </c>
      <c r="R2360" s="62" t="n">
        <v>0</v>
      </c>
      <c r="S2360" s="62" t="n">
        <v>0</v>
      </c>
      <c r="T2360" s="62" t="n">
        <v>0</v>
      </c>
      <c r="U2360" s="62"/>
      <c r="V2360" s="62"/>
      <c r="W2360" s="62"/>
      <c r="X2360" s="62"/>
      <c r="Y2360" s="62"/>
      <c r="Z2360" s="62" t="s">
        <v>4300</v>
      </c>
      <c r="AA2360" s="62" t="s">
        <v>4301</v>
      </c>
      <c r="AB2360" s="62" t="n">
        <v>1</v>
      </c>
      <c r="AC2360" s="62" t="n">
        <v>0</v>
      </c>
      <c r="AD2360" s="62" t="n">
        <v>1</v>
      </c>
      <c r="AE2360" s="62" t="n">
        <f aca="false">IF(AND(Dashboard!$C$9="Yes",AC2360=1),0,1)</f>
        <v>1</v>
      </c>
      <c r="AF2360" s="62" t="n">
        <v>1</v>
      </c>
    </row>
    <row r="2361" customFormat="false" ht="15" hidden="false" customHeight="false" outlineLevel="0" collapsed="false">
      <c r="A2361" s="62" t="n">
        <v>2360</v>
      </c>
      <c r="B2361" s="63" t="n">
        <v>46286.8814930556</v>
      </c>
      <c r="C2361" s="64" t="n">
        <v>46286</v>
      </c>
      <c r="D2361" s="62" t="s">
        <v>429</v>
      </c>
      <c r="E2361" s="62" t="s">
        <v>4226</v>
      </c>
      <c r="F2361" s="62" t="s">
        <v>4226</v>
      </c>
      <c r="G2361" s="62" t="s">
        <v>4227</v>
      </c>
      <c r="H2361" s="62" t="s">
        <v>44</v>
      </c>
      <c r="I2361" s="62" t="s">
        <v>49</v>
      </c>
      <c r="J2361" s="62" t="s">
        <v>146</v>
      </c>
      <c r="K2361" s="62" t="s">
        <v>147</v>
      </c>
      <c r="L2361" s="62" t="s">
        <v>148</v>
      </c>
      <c r="M2361" s="62" t="n">
        <v>0</v>
      </c>
      <c r="N2361" s="62" t="n">
        <v>1</v>
      </c>
      <c r="O2361" s="62" t="n">
        <v>1</v>
      </c>
      <c r="P2361" s="62" t="n">
        <v>0</v>
      </c>
      <c r="Q2361" s="62" t="n">
        <v>1</v>
      </c>
      <c r="R2361" s="62" t="n">
        <v>0</v>
      </c>
      <c r="S2361" s="62" t="n">
        <v>0</v>
      </c>
      <c r="T2361" s="62" t="n">
        <v>0</v>
      </c>
      <c r="U2361" s="62"/>
      <c r="V2361" s="62"/>
      <c r="W2361" s="62"/>
      <c r="X2361" s="62"/>
      <c r="Y2361" s="62"/>
      <c r="Z2361" s="62" t="s">
        <v>4302</v>
      </c>
      <c r="AA2361" s="62" t="s">
        <v>4303</v>
      </c>
      <c r="AB2361" s="62" t="n">
        <v>1</v>
      </c>
      <c r="AC2361" s="62" t="n">
        <v>0</v>
      </c>
      <c r="AD2361" s="62" t="n">
        <v>1</v>
      </c>
      <c r="AE2361" s="62" t="n">
        <f aca="false">IF(AND(Dashboard!$C$9="Yes",AC2361=1),0,1)</f>
        <v>1</v>
      </c>
      <c r="AF2361" s="62" t="n">
        <v>0</v>
      </c>
    </row>
    <row r="2362" customFormat="false" ht="15" hidden="false" customHeight="false" outlineLevel="0" collapsed="false">
      <c r="A2362" s="62" t="n">
        <v>2361</v>
      </c>
      <c r="B2362" s="63" t="n">
        <v>46286.8841435185</v>
      </c>
      <c r="C2362" s="64" t="n">
        <v>46286</v>
      </c>
      <c r="D2362" s="62" t="s">
        <v>429</v>
      </c>
      <c r="E2362" s="62" t="s">
        <v>4304</v>
      </c>
      <c r="F2362" s="62" t="s">
        <v>4304</v>
      </c>
      <c r="G2362" s="62" t="s">
        <v>4305</v>
      </c>
      <c r="H2362" s="62" t="s">
        <v>44</v>
      </c>
      <c r="I2362" s="62" t="s">
        <v>61</v>
      </c>
      <c r="J2362" s="62" t="s">
        <v>3708</v>
      </c>
      <c r="K2362" s="62" t="s">
        <v>175</v>
      </c>
      <c r="L2362" s="62" t="s">
        <v>148</v>
      </c>
      <c r="M2362" s="62" t="n">
        <v>0</v>
      </c>
      <c r="N2362" s="62" t="n">
        <v>1</v>
      </c>
      <c r="O2362" s="62" t="n">
        <v>1</v>
      </c>
      <c r="P2362" s="62" t="n">
        <v>0</v>
      </c>
      <c r="Q2362" s="62" t="n">
        <v>0</v>
      </c>
      <c r="R2362" s="62" t="n">
        <v>1</v>
      </c>
      <c r="S2362" s="62" t="n">
        <v>0</v>
      </c>
      <c r="T2362" s="62" t="n">
        <v>0</v>
      </c>
      <c r="U2362" s="62"/>
      <c r="V2362" s="62"/>
      <c r="W2362" s="62"/>
      <c r="X2362" s="62"/>
      <c r="Y2362" s="62"/>
      <c r="Z2362" s="62" t="s">
        <v>4306</v>
      </c>
      <c r="AA2362" s="62" t="s">
        <v>4307</v>
      </c>
      <c r="AB2362" s="62" t="n">
        <v>1</v>
      </c>
      <c r="AC2362" s="62" t="n">
        <v>0</v>
      </c>
      <c r="AD2362" s="62" t="n">
        <v>1</v>
      </c>
      <c r="AE2362" s="62" t="n">
        <f aca="false">IF(AND(Dashboard!$C$9="Yes",AC2362=1),0,1)</f>
        <v>1</v>
      </c>
      <c r="AF2362" s="62" t="n">
        <v>1</v>
      </c>
    </row>
    <row r="2363" customFormat="false" ht="15" hidden="false" customHeight="false" outlineLevel="0" collapsed="false">
      <c r="A2363" s="62" t="n">
        <v>2362</v>
      </c>
      <c r="B2363" s="63" t="n">
        <v>46286.886087963</v>
      </c>
      <c r="C2363" s="64" t="n">
        <v>46286</v>
      </c>
      <c r="D2363" s="62" t="s">
        <v>429</v>
      </c>
      <c r="E2363" s="62" t="s">
        <v>3018</v>
      </c>
      <c r="F2363" s="62" t="s">
        <v>3018</v>
      </c>
      <c r="G2363" s="62" t="s">
        <v>3019</v>
      </c>
      <c r="H2363" s="62" t="s">
        <v>58</v>
      </c>
      <c r="I2363" s="62" t="s">
        <v>49</v>
      </c>
      <c r="J2363" s="62" t="s">
        <v>146</v>
      </c>
      <c r="K2363" s="62" t="s">
        <v>175</v>
      </c>
      <c r="L2363" s="62" t="s">
        <v>4</v>
      </c>
      <c r="M2363" s="62" t="n">
        <v>1</v>
      </c>
      <c r="N2363" s="62" t="n">
        <v>0</v>
      </c>
      <c r="O2363" s="62" t="n">
        <v>1</v>
      </c>
      <c r="P2363" s="62" t="n">
        <v>0</v>
      </c>
      <c r="Q2363" s="62" t="n">
        <v>0</v>
      </c>
      <c r="R2363" s="62" t="n">
        <v>0</v>
      </c>
      <c r="S2363" s="62" t="n">
        <v>0</v>
      </c>
      <c r="T2363" s="62" t="n">
        <v>0</v>
      </c>
      <c r="U2363" s="62" t="s">
        <v>2056</v>
      </c>
      <c r="V2363" s="62" t="s">
        <v>2057</v>
      </c>
      <c r="W2363" s="62" t="s">
        <v>15</v>
      </c>
      <c r="X2363" s="62" t="s">
        <v>2125</v>
      </c>
      <c r="Y2363" s="62" t="s">
        <v>2059</v>
      </c>
      <c r="Z2363" s="62" t="s">
        <v>4308</v>
      </c>
      <c r="AA2363" s="62" t="s">
        <v>4309</v>
      </c>
      <c r="AB2363" s="62" t="n">
        <v>1</v>
      </c>
      <c r="AC2363" s="62" t="n">
        <v>0</v>
      </c>
      <c r="AD2363" s="62" t="n">
        <v>1</v>
      </c>
      <c r="AE2363" s="62" t="n">
        <f aca="false">IF(AND(Dashboard!$C$9="Yes",AC2363=1),0,1)</f>
        <v>1</v>
      </c>
      <c r="AF2363" s="62" t="n">
        <v>0</v>
      </c>
    </row>
    <row r="2364" customFormat="false" ht="15" hidden="false" customHeight="false" outlineLevel="0" collapsed="false">
      <c r="A2364" s="62" t="n">
        <v>2363</v>
      </c>
      <c r="B2364" s="63" t="n">
        <v>46286.8930787037</v>
      </c>
      <c r="C2364" s="64" t="n">
        <v>46286</v>
      </c>
      <c r="D2364" s="62" t="s">
        <v>429</v>
      </c>
      <c r="E2364" s="62" t="s">
        <v>4310</v>
      </c>
      <c r="F2364" s="62" t="s">
        <v>4310</v>
      </c>
      <c r="G2364" s="62" t="s">
        <v>4311</v>
      </c>
      <c r="H2364" s="62" t="s">
        <v>44</v>
      </c>
      <c r="I2364" s="62" t="s">
        <v>61</v>
      </c>
      <c r="J2364" s="62" t="s">
        <v>3708</v>
      </c>
      <c r="K2364" s="62" t="s">
        <v>175</v>
      </c>
      <c r="L2364" s="62" t="s">
        <v>148</v>
      </c>
      <c r="M2364" s="62" t="n">
        <v>0</v>
      </c>
      <c r="N2364" s="62" t="n">
        <v>1</v>
      </c>
      <c r="O2364" s="62" t="n">
        <v>1</v>
      </c>
      <c r="P2364" s="62" t="n">
        <v>0</v>
      </c>
      <c r="Q2364" s="62" t="n">
        <v>1</v>
      </c>
      <c r="R2364" s="62" t="n">
        <v>0</v>
      </c>
      <c r="S2364" s="62" t="n">
        <v>0</v>
      </c>
      <c r="T2364" s="62" t="n">
        <v>0</v>
      </c>
      <c r="U2364" s="62"/>
      <c r="V2364" s="62"/>
      <c r="W2364" s="62"/>
      <c r="X2364" s="62"/>
      <c r="Y2364" s="62"/>
      <c r="Z2364" s="62" t="s">
        <v>4312</v>
      </c>
      <c r="AA2364" s="62" t="s">
        <v>4313</v>
      </c>
      <c r="AB2364" s="62" t="n">
        <v>1</v>
      </c>
      <c r="AC2364" s="62" t="n">
        <v>0</v>
      </c>
      <c r="AD2364" s="62" t="n">
        <v>1</v>
      </c>
      <c r="AE2364" s="62" t="n">
        <f aca="false">IF(AND(Dashboard!$C$9="Yes",AC2364=1),0,1)</f>
        <v>1</v>
      </c>
      <c r="AF2364" s="62" t="n">
        <v>1</v>
      </c>
    </row>
    <row r="2365" customFormat="false" ht="15" hidden="false" customHeight="false" outlineLevel="0" collapsed="false">
      <c r="A2365" s="62" t="n">
        <v>2364</v>
      </c>
      <c r="B2365" s="63" t="n">
        <v>46286.8978356482</v>
      </c>
      <c r="C2365" s="64" t="n">
        <v>46286</v>
      </c>
      <c r="D2365" s="62" t="s">
        <v>429</v>
      </c>
      <c r="E2365" s="62" t="s">
        <v>4258</v>
      </c>
      <c r="F2365" s="62" t="s">
        <v>4258</v>
      </c>
      <c r="G2365" s="62" t="s">
        <v>4259</v>
      </c>
      <c r="H2365" s="62" t="s">
        <v>44</v>
      </c>
      <c r="I2365" s="62" t="s">
        <v>49</v>
      </c>
      <c r="J2365" s="62" t="s">
        <v>146</v>
      </c>
      <c r="K2365" s="62" t="s">
        <v>147</v>
      </c>
      <c r="L2365" s="62" t="s">
        <v>148</v>
      </c>
      <c r="M2365" s="62" t="n">
        <v>0</v>
      </c>
      <c r="N2365" s="62" t="n">
        <v>1</v>
      </c>
      <c r="O2365" s="62" t="n">
        <v>1</v>
      </c>
      <c r="P2365" s="62" t="n">
        <v>1</v>
      </c>
      <c r="Q2365" s="62" t="n">
        <v>0</v>
      </c>
      <c r="R2365" s="62" t="n">
        <v>0</v>
      </c>
      <c r="S2365" s="62" t="n">
        <v>0</v>
      </c>
      <c r="T2365" s="62" t="n">
        <v>0</v>
      </c>
      <c r="U2365" s="62"/>
      <c r="V2365" s="62"/>
      <c r="W2365" s="62"/>
      <c r="X2365" s="62"/>
      <c r="Y2365" s="62"/>
      <c r="Z2365" s="62" t="s">
        <v>4314</v>
      </c>
      <c r="AA2365" s="62" t="s">
        <v>4315</v>
      </c>
      <c r="AB2365" s="62" t="n">
        <v>1</v>
      </c>
      <c r="AC2365" s="62" t="n">
        <v>0</v>
      </c>
      <c r="AD2365" s="62" t="n">
        <v>1</v>
      </c>
      <c r="AE2365" s="62" t="n">
        <f aca="false">IF(AND(Dashboard!$C$9="Yes",AC2365=1),0,1)</f>
        <v>1</v>
      </c>
      <c r="AF2365" s="62" t="n">
        <v>0</v>
      </c>
    </row>
    <row r="2366" customFormat="false" ht="15" hidden="false" customHeight="false" outlineLevel="0" collapsed="false">
      <c r="A2366" s="62" t="n">
        <v>2365</v>
      </c>
      <c r="B2366" s="63" t="n">
        <v>46286.9245717593</v>
      </c>
      <c r="C2366" s="64" t="n">
        <v>46286</v>
      </c>
      <c r="D2366" s="62" t="s">
        <v>429</v>
      </c>
      <c r="E2366" s="62" t="s">
        <v>4316</v>
      </c>
      <c r="F2366" s="62" t="s">
        <v>4317</v>
      </c>
      <c r="G2366" s="62" t="s">
        <v>153</v>
      </c>
      <c r="H2366" s="62" t="s">
        <v>153</v>
      </c>
      <c r="I2366" s="62" t="s">
        <v>153</v>
      </c>
      <c r="J2366" s="62" t="s">
        <v>64</v>
      </c>
      <c r="K2366" s="62" t="s">
        <v>64</v>
      </c>
      <c r="L2366" s="62" t="s">
        <v>148</v>
      </c>
      <c r="M2366" s="62" t="n">
        <v>0</v>
      </c>
      <c r="N2366" s="62" t="n">
        <v>1</v>
      </c>
      <c r="O2366" s="62" t="n">
        <v>1</v>
      </c>
      <c r="P2366" s="62" t="n">
        <v>1</v>
      </c>
      <c r="Q2366" s="62" t="n">
        <v>0</v>
      </c>
      <c r="R2366" s="62" t="n">
        <v>0</v>
      </c>
      <c r="S2366" s="62" t="n">
        <v>0</v>
      </c>
      <c r="T2366" s="62" t="n">
        <v>0</v>
      </c>
      <c r="U2366" s="62"/>
      <c r="V2366" s="62"/>
      <c r="W2366" s="62"/>
      <c r="X2366" s="62"/>
      <c r="Y2366" s="62"/>
      <c r="Z2366" s="62" t="s">
        <v>4318</v>
      </c>
      <c r="AA2366" s="62" t="s">
        <v>4319</v>
      </c>
      <c r="AB2366" s="62" t="n">
        <v>1</v>
      </c>
      <c r="AC2366" s="62" t="n">
        <v>0</v>
      </c>
      <c r="AD2366" s="62" t="n">
        <v>0</v>
      </c>
      <c r="AE2366" s="62" t="n">
        <f aca="false">IF(AND(Dashboard!$C$9="Yes",AC2366=1),0,1)</f>
        <v>1</v>
      </c>
      <c r="AF2366" s="62" t="n">
        <v>1</v>
      </c>
    </row>
    <row r="2367" customFormat="false" ht="15" hidden="false" customHeight="false" outlineLevel="0" collapsed="false">
      <c r="A2367" s="62" t="n">
        <v>2366</v>
      </c>
      <c r="B2367" s="63" t="n">
        <v>46286.9409027778</v>
      </c>
      <c r="C2367" s="64" t="n">
        <v>46286</v>
      </c>
      <c r="D2367" s="62" t="s">
        <v>429</v>
      </c>
      <c r="E2367" s="62" t="s">
        <v>2119</v>
      </c>
      <c r="F2367" s="62" t="s">
        <v>2119</v>
      </c>
      <c r="G2367" s="62" t="s">
        <v>2120</v>
      </c>
      <c r="H2367" s="62" t="s">
        <v>52</v>
      </c>
      <c r="I2367" s="62" t="s">
        <v>47</v>
      </c>
      <c r="J2367" s="62" t="s">
        <v>146</v>
      </c>
      <c r="K2367" s="62" t="s">
        <v>147</v>
      </c>
      <c r="L2367" s="62" t="s">
        <v>148</v>
      </c>
      <c r="M2367" s="62" t="n">
        <v>0</v>
      </c>
      <c r="N2367" s="62" t="n">
        <v>1</v>
      </c>
      <c r="O2367" s="62" t="n">
        <v>1</v>
      </c>
      <c r="P2367" s="62" t="n">
        <v>1</v>
      </c>
      <c r="Q2367" s="62" t="n">
        <v>0</v>
      </c>
      <c r="R2367" s="62" t="n">
        <v>0</v>
      </c>
      <c r="S2367" s="62" t="n">
        <v>0</v>
      </c>
      <c r="T2367" s="62" t="n">
        <v>0</v>
      </c>
      <c r="U2367" s="62"/>
      <c r="V2367" s="62"/>
      <c r="W2367" s="62"/>
      <c r="X2367" s="62"/>
      <c r="Y2367" s="62"/>
      <c r="Z2367" s="62" t="s">
        <v>4320</v>
      </c>
      <c r="AA2367" s="62" t="s">
        <v>3027</v>
      </c>
      <c r="AB2367" s="62" t="n">
        <v>0</v>
      </c>
      <c r="AC2367" s="62" t="n">
        <v>0</v>
      </c>
      <c r="AD2367" s="62" t="n">
        <v>1</v>
      </c>
      <c r="AE2367" s="62" t="n">
        <f aca="false">IF(AND(Dashboard!$C$9="Yes",AC2367=1),0,1)</f>
        <v>1</v>
      </c>
      <c r="AF2367" s="62" t="n">
        <v>0</v>
      </c>
    </row>
    <row r="2368" customFormat="false" ht="15" hidden="false" customHeight="false" outlineLevel="0" collapsed="false">
      <c r="A2368" s="62" t="n">
        <v>2367</v>
      </c>
      <c r="B2368" s="63" t="n">
        <v>46286.9411458333</v>
      </c>
      <c r="C2368" s="64" t="n">
        <v>46286</v>
      </c>
      <c r="D2368" s="62" t="s">
        <v>429</v>
      </c>
      <c r="E2368" s="62" t="s">
        <v>3181</v>
      </c>
      <c r="F2368" s="62" t="s">
        <v>3181</v>
      </c>
      <c r="G2368" s="62" t="s">
        <v>3182</v>
      </c>
      <c r="H2368" s="62" t="s">
        <v>58</v>
      </c>
      <c r="I2368" s="62" t="s">
        <v>49</v>
      </c>
      <c r="J2368" s="62" t="s">
        <v>146</v>
      </c>
      <c r="K2368" s="62" t="s">
        <v>209</v>
      </c>
      <c r="L2368" s="62" t="s">
        <v>148</v>
      </c>
      <c r="M2368" s="62" t="n">
        <v>0</v>
      </c>
      <c r="N2368" s="62" t="n">
        <v>1</v>
      </c>
      <c r="O2368" s="62" t="n">
        <v>1</v>
      </c>
      <c r="P2368" s="62" t="n">
        <v>0</v>
      </c>
      <c r="Q2368" s="62" t="n">
        <v>1</v>
      </c>
      <c r="R2368" s="62" t="n">
        <v>0</v>
      </c>
      <c r="S2368" s="62" t="n">
        <v>0</v>
      </c>
      <c r="T2368" s="62" t="n">
        <v>0</v>
      </c>
      <c r="U2368" s="62"/>
      <c r="V2368" s="62"/>
      <c r="W2368" s="62"/>
      <c r="X2368" s="62"/>
      <c r="Y2368" s="62"/>
      <c r="Z2368" s="62" t="s">
        <v>4321</v>
      </c>
      <c r="AA2368" s="62" t="s">
        <v>3868</v>
      </c>
      <c r="AB2368" s="62" t="n">
        <v>0</v>
      </c>
      <c r="AC2368" s="62" t="n">
        <v>0</v>
      </c>
      <c r="AD2368" s="62" t="n">
        <v>1</v>
      </c>
      <c r="AE2368" s="62" t="n">
        <f aca="false">IF(AND(Dashboard!$C$9="Yes",AC2368=1),0,1)</f>
        <v>1</v>
      </c>
      <c r="AF2368" s="62" t="n">
        <v>0</v>
      </c>
    </row>
    <row r="2369" customFormat="false" ht="15" hidden="false" customHeight="false" outlineLevel="0" collapsed="false">
      <c r="A2369" s="62" t="n">
        <v>2368</v>
      </c>
      <c r="B2369" s="63" t="n">
        <v>46286.9412384259</v>
      </c>
      <c r="C2369" s="64" t="n">
        <v>46286</v>
      </c>
      <c r="D2369" s="62" t="s">
        <v>429</v>
      </c>
      <c r="E2369" s="62" t="s">
        <v>2156</v>
      </c>
      <c r="F2369" s="62" t="s">
        <v>2156</v>
      </c>
      <c r="G2369" s="62" t="s">
        <v>2157</v>
      </c>
      <c r="H2369" s="62" t="s">
        <v>52</v>
      </c>
      <c r="I2369" s="62" t="s">
        <v>47</v>
      </c>
      <c r="J2369" s="62" t="s">
        <v>146</v>
      </c>
      <c r="K2369" s="62" t="s">
        <v>209</v>
      </c>
      <c r="L2369" s="62" t="s">
        <v>148</v>
      </c>
      <c r="M2369" s="62" t="n">
        <v>0</v>
      </c>
      <c r="N2369" s="62" t="n">
        <v>1</v>
      </c>
      <c r="O2369" s="62" t="n">
        <v>1</v>
      </c>
      <c r="P2369" s="62" t="n">
        <v>0</v>
      </c>
      <c r="Q2369" s="62" t="n">
        <v>1</v>
      </c>
      <c r="R2369" s="62" t="n">
        <v>0</v>
      </c>
      <c r="S2369" s="62" t="n">
        <v>0</v>
      </c>
      <c r="T2369" s="62" t="n">
        <v>0</v>
      </c>
      <c r="U2369" s="62"/>
      <c r="V2369" s="62"/>
      <c r="W2369" s="62"/>
      <c r="X2369" s="62"/>
      <c r="Y2369" s="62"/>
      <c r="Z2369" s="62" t="s">
        <v>4322</v>
      </c>
      <c r="AA2369" s="62" t="s">
        <v>4323</v>
      </c>
      <c r="AB2369" s="62" t="n">
        <v>1</v>
      </c>
      <c r="AC2369" s="62" t="n">
        <v>0</v>
      </c>
      <c r="AD2369" s="62" t="n">
        <v>1</v>
      </c>
      <c r="AE2369" s="62" t="n">
        <f aca="false">IF(AND(Dashboard!$C$9="Yes",AC2369=1),0,1)</f>
        <v>1</v>
      </c>
      <c r="AF2369" s="62" t="n">
        <v>0</v>
      </c>
    </row>
    <row r="2370" customFormat="false" ht="15" hidden="false" customHeight="false" outlineLevel="0" collapsed="false">
      <c r="A2370" s="62" t="n">
        <v>2369</v>
      </c>
      <c r="B2370" s="63" t="n">
        <v>46286.9425231482</v>
      </c>
      <c r="C2370" s="64" t="n">
        <v>46286</v>
      </c>
      <c r="D2370" s="62" t="s">
        <v>429</v>
      </c>
      <c r="E2370" s="62" t="s">
        <v>2228</v>
      </c>
      <c r="F2370" s="62" t="s">
        <v>2228</v>
      </c>
      <c r="G2370" s="62" t="s">
        <v>2229</v>
      </c>
      <c r="H2370" s="62" t="s">
        <v>58</v>
      </c>
      <c r="I2370" s="62" t="s">
        <v>49</v>
      </c>
      <c r="J2370" s="62" t="s">
        <v>146</v>
      </c>
      <c r="K2370" s="62" t="s">
        <v>209</v>
      </c>
      <c r="L2370" s="62" t="s">
        <v>148</v>
      </c>
      <c r="M2370" s="62" t="n">
        <v>0</v>
      </c>
      <c r="N2370" s="62" t="n">
        <v>1</v>
      </c>
      <c r="O2370" s="62" t="n">
        <v>1</v>
      </c>
      <c r="P2370" s="62" t="n">
        <v>0</v>
      </c>
      <c r="Q2370" s="62" t="n">
        <v>1</v>
      </c>
      <c r="R2370" s="62" t="n">
        <v>0</v>
      </c>
      <c r="S2370" s="62" t="n">
        <v>0</v>
      </c>
      <c r="T2370" s="62" t="n">
        <v>0</v>
      </c>
      <c r="U2370" s="62"/>
      <c r="V2370" s="62"/>
      <c r="W2370" s="62"/>
      <c r="X2370" s="62"/>
      <c r="Y2370" s="62"/>
      <c r="Z2370" s="62" t="s">
        <v>4324</v>
      </c>
      <c r="AA2370" s="62" t="s">
        <v>4325</v>
      </c>
      <c r="AB2370" s="62" t="n">
        <v>1</v>
      </c>
      <c r="AC2370" s="62" t="n">
        <v>0</v>
      </c>
      <c r="AD2370" s="62" t="n">
        <v>1</v>
      </c>
      <c r="AE2370" s="62" t="n">
        <f aca="false">IF(AND(Dashboard!$C$9="Yes",AC2370=1),0,1)</f>
        <v>1</v>
      </c>
      <c r="AF2370" s="62" t="n">
        <v>1</v>
      </c>
    </row>
    <row r="2371" customFormat="false" ht="15" hidden="false" customHeight="false" outlineLevel="0" collapsed="false">
      <c r="A2371" s="62" t="n">
        <v>2370</v>
      </c>
      <c r="B2371" s="63" t="n">
        <v>46286.9448842593</v>
      </c>
      <c r="C2371" s="64" t="n">
        <v>46286</v>
      </c>
      <c r="D2371" s="62" t="s">
        <v>429</v>
      </c>
      <c r="E2371" s="62" t="s">
        <v>2119</v>
      </c>
      <c r="F2371" s="62" t="s">
        <v>2119</v>
      </c>
      <c r="G2371" s="62" t="s">
        <v>2120</v>
      </c>
      <c r="H2371" s="62" t="s">
        <v>52</v>
      </c>
      <c r="I2371" s="62" t="s">
        <v>47</v>
      </c>
      <c r="J2371" s="62" t="s">
        <v>146</v>
      </c>
      <c r="K2371" s="62" t="s">
        <v>147</v>
      </c>
      <c r="L2371" s="62" t="s">
        <v>148</v>
      </c>
      <c r="M2371" s="62" t="n">
        <v>0</v>
      </c>
      <c r="N2371" s="62" t="n">
        <v>1</v>
      </c>
      <c r="O2371" s="62" t="n">
        <v>1</v>
      </c>
      <c r="P2371" s="62" t="n">
        <v>1</v>
      </c>
      <c r="Q2371" s="62" t="n">
        <v>0</v>
      </c>
      <c r="R2371" s="62" t="n">
        <v>0</v>
      </c>
      <c r="S2371" s="62" t="n">
        <v>0</v>
      </c>
      <c r="T2371" s="62" t="n">
        <v>0</v>
      </c>
      <c r="U2371" s="62"/>
      <c r="V2371" s="62"/>
      <c r="W2371" s="62"/>
      <c r="X2371" s="62"/>
      <c r="Y2371" s="62"/>
      <c r="Z2371" s="62" t="s">
        <v>4320</v>
      </c>
      <c r="AA2371" s="62" t="s">
        <v>3027</v>
      </c>
      <c r="AB2371" s="62" t="n">
        <v>0</v>
      </c>
      <c r="AC2371" s="62" t="n">
        <v>0</v>
      </c>
      <c r="AD2371" s="62" t="n">
        <v>1</v>
      </c>
      <c r="AE2371" s="62" t="n">
        <f aca="false">IF(AND(Dashboard!$C$9="Yes",AC2371=1),0,1)</f>
        <v>1</v>
      </c>
      <c r="AF2371" s="62" t="n">
        <v>0</v>
      </c>
    </row>
    <row r="2372" customFormat="false" ht="15" hidden="false" customHeight="false" outlineLevel="0" collapsed="false">
      <c r="A2372" s="62" t="n">
        <v>2371</v>
      </c>
      <c r="B2372" s="63" t="n">
        <v>46286.9458912037</v>
      </c>
      <c r="C2372" s="64" t="n">
        <v>46286</v>
      </c>
      <c r="D2372" s="62" t="s">
        <v>429</v>
      </c>
      <c r="E2372" s="62" t="s">
        <v>1571</v>
      </c>
      <c r="F2372" s="62" t="s">
        <v>1571</v>
      </c>
      <c r="G2372" s="62" t="s">
        <v>1572</v>
      </c>
      <c r="H2372" s="62" t="s">
        <v>52</v>
      </c>
      <c r="I2372" s="62" t="s">
        <v>47</v>
      </c>
      <c r="J2372" s="62" t="s">
        <v>146</v>
      </c>
      <c r="K2372" s="62" t="s">
        <v>209</v>
      </c>
      <c r="L2372" s="62" t="s">
        <v>148</v>
      </c>
      <c r="M2372" s="62" t="n">
        <v>0</v>
      </c>
      <c r="N2372" s="62" t="n">
        <v>2</v>
      </c>
      <c r="O2372" s="62" t="n">
        <v>2</v>
      </c>
      <c r="P2372" s="62" t="n">
        <v>1</v>
      </c>
      <c r="Q2372" s="62" t="n">
        <v>1</v>
      </c>
      <c r="R2372" s="62" t="n">
        <v>0</v>
      </c>
      <c r="S2372" s="62" t="n">
        <v>0</v>
      </c>
      <c r="T2372" s="62" t="n">
        <v>0</v>
      </c>
      <c r="U2372" s="62"/>
      <c r="V2372" s="62"/>
      <c r="W2372" s="62"/>
      <c r="X2372" s="62"/>
      <c r="Y2372" s="62"/>
      <c r="Z2372" s="62" t="s">
        <v>4318</v>
      </c>
      <c r="AA2372" s="62" t="s">
        <v>4326</v>
      </c>
      <c r="AB2372" s="62" t="n">
        <v>1</v>
      </c>
      <c r="AC2372" s="62" t="n">
        <v>0</v>
      </c>
      <c r="AD2372" s="62" t="n">
        <v>1</v>
      </c>
      <c r="AE2372" s="62" t="n">
        <f aca="false">IF(AND(Dashboard!$C$9="Yes",AC2372=1),0,1)</f>
        <v>1</v>
      </c>
      <c r="AF2372" s="62" t="n">
        <v>0</v>
      </c>
    </row>
    <row r="2373" customFormat="false" ht="15" hidden="false" customHeight="false" outlineLevel="0" collapsed="false">
      <c r="A2373" s="62" t="n">
        <v>2372</v>
      </c>
      <c r="B2373" s="63" t="n">
        <v>46286.9467939815</v>
      </c>
      <c r="C2373" s="64" t="n">
        <v>46286</v>
      </c>
      <c r="D2373" s="62" t="s">
        <v>429</v>
      </c>
      <c r="E2373" s="62" t="s">
        <v>218</v>
      </c>
      <c r="F2373" s="62" t="s">
        <v>218</v>
      </c>
      <c r="G2373" s="62" t="s">
        <v>219</v>
      </c>
      <c r="H2373" s="62" t="s">
        <v>51</v>
      </c>
      <c r="I2373" s="62" t="s">
        <v>47</v>
      </c>
      <c r="J2373" s="62" t="s">
        <v>146</v>
      </c>
      <c r="K2373" s="62" t="s">
        <v>147</v>
      </c>
      <c r="L2373" s="62" t="s">
        <v>4</v>
      </c>
      <c r="M2373" s="62" t="n">
        <v>1</v>
      </c>
      <c r="N2373" s="62" t="n">
        <v>0</v>
      </c>
      <c r="O2373" s="62" t="n">
        <v>1</v>
      </c>
      <c r="P2373" s="62" t="n">
        <v>0</v>
      </c>
      <c r="Q2373" s="62" t="n">
        <v>0</v>
      </c>
      <c r="R2373" s="62" t="n">
        <v>0</v>
      </c>
      <c r="S2373" s="62" t="n">
        <v>0</v>
      </c>
      <c r="T2373" s="62" t="n">
        <v>0</v>
      </c>
      <c r="U2373" s="62" t="s">
        <v>2056</v>
      </c>
      <c r="V2373" s="62" t="s">
        <v>2057</v>
      </c>
      <c r="W2373" s="62" t="s">
        <v>15</v>
      </c>
      <c r="X2373" s="62" t="s">
        <v>2058</v>
      </c>
      <c r="Y2373" s="62" t="s">
        <v>2059</v>
      </c>
      <c r="Z2373" s="62" t="s">
        <v>4327</v>
      </c>
      <c r="AA2373" s="62" t="s">
        <v>4328</v>
      </c>
      <c r="AB2373" s="62" t="n">
        <v>1</v>
      </c>
      <c r="AC2373" s="62" t="n">
        <v>0</v>
      </c>
      <c r="AD2373" s="62" t="n">
        <v>1</v>
      </c>
      <c r="AE2373" s="62" t="n">
        <f aca="false">IF(AND(Dashboard!$C$9="Yes",AC2373=1),0,1)</f>
        <v>1</v>
      </c>
      <c r="AF2373" s="62" t="n">
        <v>0</v>
      </c>
    </row>
    <row r="2374" customFormat="false" ht="15" hidden="false" customHeight="false" outlineLevel="0" collapsed="false">
      <c r="A2374" s="62" t="n">
        <v>2373</v>
      </c>
      <c r="B2374" s="63" t="n">
        <v>46286.9499537037</v>
      </c>
      <c r="C2374" s="64" t="n">
        <v>46286</v>
      </c>
      <c r="D2374" s="62" t="s">
        <v>429</v>
      </c>
      <c r="E2374" s="62" t="s">
        <v>4329</v>
      </c>
      <c r="F2374" s="62" t="s">
        <v>4329</v>
      </c>
      <c r="G2374" s="62" t="s">
        <v>4330</v>
      </c>
      <c r="H2374" s="62" t="s">
        <v>44</v>
      </c>
      <c r="I2374" s="62" t="s">
        <v>49</v>
      </c>
      <c r="J2374" s="62" t="s">
        <v>146</v>
      </c>
      <c r="K2374" s="62" t="s">
        <v>147</v>
      </c>
      <c r="L2374" s="62" t="s">
        <v>148</v>
      </c>
      <c r="M2374" s="62" t="n">
        <v>0</v>
      </c>
      <c r="N2374" s="62" t="n">
        <v>1</v>
      </c>
      <c r="O2374" s="62" t="n">
        <v>1</v>
      </c>
      <c r="P2374" s="62" t="n">
        <v>1</v>
      </c>
      <c r="Q2374" s="62" t="n">
        <v>0</v>
      </c>
      <c r="R2374" s="62" t="n">
        <v>0</v>
      </c>
      <c r="S2374" s="62" t="n">
        <v>0</v>
      </c>
      <c r="T2374" s="62" t="n">
        <v>0</v>
      </c>
      <c r="U2374" s="62"/>
      <c r="V2374" s="62"/>
      <c r="W2374" s="62"/>
      <c r="X2374" s="62"/>
      <c r="Y2374" s="62"/>
      <c r="Z2374" s="62" t="s">
        <v>4331</v>
      </c>
      <c r="AA2374" s="62" t="s">
        <v>4332</v>
      </c>
      <c r="AB2374" s="62" t="n">
        <v>1</v>
      </c>
      <c r="AC2374" s="62" t="n">
        <v>0</v>
      </c>
      <c r="AD2374" s="62" t="n">
        <v>1</v>
      </c>
      <c r="AE2374" s="62" t="n">
        <f aca="false">IF(AND(Dashboard!$C$9="Yes",AC2374=1),0,1)</f>
        <v>1</v>
      </c>
      <c r="AF2374" s="62" t="n">
        <v>1</v>
      </c>
    </row>
    <row r="2375" customFormat="false" ht="15" hidden="false" customHeight="false" outlineLevel="0" collapsed="false">
      <c r="A2375" s="62" t="n">
        <v>2374</v>
      </c>
      <c r="B2375" s="63" t="n">
        <v>46286.9573842593</v>
      </c>
      <c r="C2375" s="64" t="n">
        <v>46286</v>
      </c>
      <c r="D2375" s="62" t="s">
        <v>429</v>
      </c>
      <c r="E2375" s="62" t="s">
        <v>2722</v>
      </c>
      <c r="F2375" s="62" t="s">
        <v>2722</v>
      </c>
      <c r="G2375" s="62" t="s">
        <v>2723</v>
      </c>
      <c r="H2375" s="62" t="s">
        <v>55</v>
      </c>
      <c r="I2375" s="62" t="s">
        <v>49</v>
      </c>
      <c r="J2375" s="62" t="s">
        <v>146</v>
      </c>
      <c r="K2375" s="62" t="s">
        <v>209</v>
      </c>
      <c r="L2375" s="62" t="s">
        <v>148</v>
      </c>
      <c r="M2375" s="62" t="n">
        <v>0</v>
      </c>
      <c r="N2375" s="62" t="n">
        <v>1</v>
      </c>
      <c r="O2375" s="62" t="n">
        <v>1</v>
      </c>
      <c r="P2375" s="62" t="n">
        <v>1</v>
      </c>
      <c r="Q2375" s="62" t="n">
        <v>0</v>
      </c>
      <c r="R2375" s="62" t="n">
        <v>0</v>
      </c>
      <c r="S2375" s="62" t="n">
        <v>0</v>
      </c>
      <c r="T2375" s="62" t="n">
        <v>0</v>
      </c>
      <c r="U2375" s="62"/>
      <c r="V2375" s="62"/>
      <c r="W2375" s="62"/>
      <c r="X2375" s="62"/>
      <c r="Y2375" s="62"/>
      <c r="Z2375" s="62" t="s">
        <v>4333</v>
      </c>
      <c r="AA2375" s="62" t="s">
        <v>4334</v>
      </c>
      <c r="AB2375" s="62" t="n">
        <v>1</v>
      </c>
      <c r="AC2375" s="62" t="n">
        <v>0</v>
      </c>
      <c r="AD2375" s="62" t="n">
        <v>1</v>
      </c>
      <c r="AE2375" s="62" t="n">
        <f aca="false">IF(AND(Dashboard!$C$9="Yes",AC2375=1),0,1)</f>
        <v>1</v>
      </c>
      <c r="AF2375" s="62" t="n">
        <v>1</v>
      </c>
    </row>
    <row r="2376" customFormat="false" ht="15" hidden="false" customHeight="false" outlineLevel="0" collapsed="false">
      <c r="A2376" s="62" t="n">
        <v>2375</v>
      </c>
      <c r="B2376" s="63" t="n">
        <v>46286.9582523148</v>
      </c>
      <c r="C2376" s="64" t="n">
        <v>46286</v>
      </c>
      <c r="D2376" s="62" t="s">
        <v>429</v>
      </c>
      <c r="E2376" s="62" t="s">
        <v>180</v>
      </c>
      <c r="F2376" s="62" t="s">
        <v>180</v>
      </c>
      <c r="G2376" s="62" t="s">
        <v>181</v>
      </c>
      <c r="H2376" s="62" t="s">
        <v>58</v>
      </c>
      <c r="I2376" s="62" t="s">
        <v>49</v>
      </c>
      <c r="J2376" s="62" t="s">
        <v>146</v>
      </c>
      <c r="K2376" s="62" t="s">
        <v>175</v>
      </c>
      <c r="L2376" s="62" t="s">
        <v>148</v>
      </c>
      <c r="M2376" s="62" t="n">
        <v>0</v>
      </c>
      <c r="N2376" s="62" t="n">
        <v>2</v>
      </c>
      <c r="O2376" s="62" t="n">
        <v>2</v>
      </c>
      <c r="P2376" s="62" t="n">
        <v>1</v>
      </c>
      <c r="Q2376" s="62" t="n">
        <v>0</v>
      </c>
      <c r="R2376" s="62" t="n">
        <v>1</v>
      </c>
      <c r="S2376" s="62" t="n">
        <v>0</v>
      </c>
      <c r="T2376" s="62" t="n">
        <v>0</v>
      </c>
      <c r="U2376" s="62"/>
      <c r="V2376" s="62"/>
      <c r="W2376" s="62"/>
      <c r="X2376" s="62"/>
      <c r="Y2376" s="62"/>
      <c r="Z2376" s="62" t="s">
        <v>4335</v>
      </c>
      <c r="AA2376" s="62" t="s">
        <v>4335</v>
      </c>
      <c r="AB2376" s="62" t="n">
        <v>1</v>
      </c>
      <c r="AC2376" s="62" t="n">
        <v>0</v>
      </c>
      <c r="AD2376" s="62" t="n">
        <v>1</v>
      </c>
      <c r="AE2376" s="62" t="n">
        <f aca="false">IF(AND(Dashboard!$C$9="Yes",AC2376=1),0,1)</f>
        <v>1</v>
      </c>
      <c r="AF2376" s="62" t="n">
        <v>1</v>
      </c>
    </row>
    <row r="2377" customFormat="false" ht="15" hidden="false" customHeight="false" outlineLevel="0" collapsed="false">
      <c r="A2377" s="62" t="n">
        <v>2376</v>
      </c>
      <c r="B2377" s="63" t="n">
        <v>46286.962962963</v>
      </c>
      <c r="C2377" s="64" t="n">
        <v>46286</v>
      </c>
      <c r="D2377" s="62" t="s">
        <v>429</v>
      </c>
      <c r="E2377" s="62" t="s">
        <v>160</v>
      </c>
      <c r="F2377" s="62" t="s">
        <v>160</v>
      </c>
      <c r="G2377" s="62" t="s">
        <v>161</v>
      </c>
      <c r="H2377" s="62" t="s">
        <v>51</v>
      </c>
      <c r="I2377" s="62" t="s">
        <v>47</v>
      </c>
      <c r="J2377" s="62" t="s">
        <v>146</v>
      </c>
      <c r="K2377" s="62" t="s">
        <v>147</v>
      </c>
      <c r="L2377" s="62" t="s">
        <v>148</v>
      </c>
      <c r="M2377" s="62" t="n">
        <v>0</v>
      </c>
      <c r="N2377" s="62" t="n">
        <v>1</v>
      </c>
      <c r="O2377" s="62" t="n">
        <v>1</v>
      </c>
      <c r="P2377" s="62" t="n">
        <v>1</v>
      </c>
      <c r="Q2377" s="62" t="n">
        <v>0</v>
      </c>
      <c r="R2377" s="62" t="n">
        <v>0</v>
      </c>
      <c r="S2377" s="62" t="n">
        <v>0</v>
      </c>
      <c r="T2377" s="62" t="n">
        <v>0</v>
      </c>
      <c r="U2377" s="62"/>
      <c r="V2377" s="62"/>
      <c r="W2377" s="62"/>
      <c r="X2377" s="62"/>
      <c r="Y2377" s="62"/>
      <c r="Z2377" s="62" t="s">
        <v>4336</v>
      </c>
      <c r="AA2377" s="62" t="s">
        <v>4336</v>
      </c>
      <c r="AB2377" s="62" t="n">
        <v>1</v>
      </c>
      <c r="AC2377" s="62" t="n">
        <v>0</v>
      </c>
      <c r="AD2377" s="62" t="n">
        <v>1</v>
      </c>
      <c r="AE2377" s="62" t="n">
        <f aca="false">IF(AND(Dashboard!$C$9="Yes",AC2377=1),0,1)</f>
        <v>1</v>
      </c>
      <c r="AF2377" s="62" t="n">
        <v>1</v>
      </c>
    </row>
    <row r="2378" customFormat="false" ht="15" hidden="false" customHeight="false" outlineLevel="0" collapsed="false">
      <c r="A2378" s="62" t="n">
        <v>2377</v>
      </c>
      <c r="B2378" s="63" t="n">
        <v>46286.9636921296</v>
      </c>
      <c r="C2378" s="64" t="n">
        <v>46286</v>
      </c>
      <c r="D2378" s="62" t="s">
        <v>429</v>
      </c>
      <c r="E2378" s="62" t="s">
        <v>1539</v>
      </c>
      <c r="F2378" s="62" t="s">
        <v>1539</v>
      </c>
      <c r="G2378" s="62" t="s">
        <v>1540</v>
      </c>
      <c r="H2378" s="62" t="s">
        <v>52</v>
      </c>
      <c r="I2378" s="62" t="s">
        <v>47</v>
      </c>
      <c r="J2378" s="62" t="s">
        <v>146</v>
      </c>
      <c r="K2378" s="62" t="s">
        <v>147</v>
      </c>
      <c r="L2378" s="62" t="s">
        <v>148</v>
      </c>
      <c r="M2378" s="62" t="n">
        <v>0</v>
      </c>
      <c r="N2378" s="62" t="n">
        <v>1</v>
      </c>
      <c r="O2378" s="62" t="n">
        <v>1</v>
      </c>
      <c r="P2378" s="62" t="n">
        <v>1</v>
      </c>
      <c r="Q2378" s="62" t="n">
        <v>0</v>
      </c>
      <c r="R2378" s="62" t="n">
        <v>0</v>
      </c>
      <c r="S2378" s="62" t="n">
        <v>0</v>
      </c>
      <c r="T2378" s="62" t="n">
        <v>0</v>
      </c>
      <c r="U2378" s="62"/>
      <c r="V2378" s="62"/>
      <c r="W2378" s="62"/>
      <c r="X2378" s="62"/>
      <c r="Y2378" s="62"/>
      <c r="Z2378" s="62" t="s">
        <v>4337</v>
      </c>
      <c r="AA2378" s="62" t="s">
        <v>4338</v>
      </c>
      <c r="AB2378" s="62" t="n">
        <v>1</v>
      </c>
      <c r="AC2378" s="62" t="n">
        <v>0</v>
      </c>
      <c r="AD2378" s="62" t="n">
        <v>1</v>
      </c>
      <c r="AE2378" s="62" t="n">
        <f aca="false">IF(AND(Dashboard!$C$9="Yes",AC2378=1),0,1)</f>
        <v>1</v>
      </c>
      <c r="AF2378" s="62" t="n">
        <v>1</v>
      </c>
    </row>
    <row r="2379" customFormat="false" ht="15" hidden="false" customHeight="false" outlineLevel="0" collapsed="false">
      <c r="A2379" s="62" t="n">
        <v>2378</v>
      </c>
      <c r="B2379" s="63" t="n">
        <v>46286.9803587963</v>
      </c>
      <c r="C2379" s="64" t="n">
        <v>46286</v>
      </c>
      <c r="D2379" s="62" t="s">
        <v>429</v>
      </c>
      <c r="E2379" s="62" t="s">
        <v>2119</v>
      </c>
      <c r="F2379" s="62" t="s">
        <v>2119</v>
      </c>
      <c r="G2379" s="62" t="s">
        <v>2120</v>
      </c>
      <c r="H2379" s="62" t="s">
        <v>52</v>
      </c>
      <c r="I2379" s="62" t="s">
        <v>47</v>
      </c>
      <c r="J2379" s="62" t="s">
        <v>146</v>
      </c>
      <c r="K2379" s="62" t="s">
        <v>147</v>
      </c>
      <c r="L2379" s="62" t="s">
        <v>148</v>
      </c>
      <c r="M2379" s="62" t="n">
        <v>0</v>
      </c>
      <c r="N2379" s="62" t="n">
        <v>1</v>
      </c>
      <c r="O2379" s="62" t="n">
        <v>1</v>
      </c>
      <c r="P2379" s="62" t="n">
        <v>1</v>
      </c>
      <c r="Q2379" s="62" t="n">
        <v>0</v>
      </c>
      <c r="R2379" s="62" t="n">
        <v>0</v>
      </c>
      <c r="S2379" s="62" t="n">
        <v>0</v>
      </c>
      <c r="T2379" s="62" t="n">
        <v>0</v>
      </c>
      <c r="U2379" s="62"/>
      <c r="V2379" s="62"/>
      <c r="W2379" s="62"/>
      <c r="X2379" s="62"/>
      <c r="Y2379" s="62"/>
      <c r="Z2379" s="62" t="s">
        <v>4320</v>
      </c>
      <c r="AA2379" s="62" t="s">
        <v>3015</v>
      </c>
      <c r="AB2379" s="62" t="n">
        <v>1</v>
      </c>
      <c r="AC2379" s="62" t="n">
        <v>0</v>
      </c>
      <c r="AD2379" s="62" t="n">
        <v>1</v>
      </c>
      <c r="AE2379" s="62" t="n">
        <f aca="false">IF(AND(Dashboard!$C$9="Yes",AC2379=1),0,1)</f>
        <v>1</v>
      </c>
      <c r="AF2379" s="62" t="n">
        <v>0</v>
      </c>
    </row>
    <row r="2380" customFormat="false" ht="15" hidden="false" customHeight="false" outlineLevel="0" collapsed="false">
      <c r="A2380" s="62" t="n">
        <v>2379</v>
      </c>
      <c r="B2380" s="63" t="n">
        <v>46286.9816898148</v>
      </c>
      <c r="C2380" s="64" t="n">
        <v>46286</v>
      </c>
      <c r="D2380" s="62" t="s">
        <v>429</v>
      </c>
      <c r="E2380" s="62" t="s">
        <v>4226</v>
      </c>
      <c r="F2380" s="62" t="s">
        <v>4226</v>
      </c>
      <c r="G2380" s="62" t="s">
        <v>4227</v>
      </c>
      <c r="H2380" s="62" t="s">
        <v>44</v>
      </c>
      <c r="I2380" s="62" t="s">
        <v>49</v>
      </c>
      <c r="J2380" s="62" t="s">
        <v>146</v>
      </c>
      <c r="K2380" s="62" t="s">
        <v>147</v>
      </c>
      <c r="L2380" s="62" t="s">
        <v>148</v>
      </c>
      <c r="M2380" s="62" t="n">
        <v>0</v>
      </c>
      <c r="N2380" s="62" t="n">
        <v>1</v>
      </c>
      <c r="O2380" s="62" t="n">
        <v>1</v>
      </c>
      <c r="P2380" s="62" t="n">
        <v>0</v>
      </c>
      <c r="Q2380" s="62" t="n">
        <v>1</v>
      </c>
      <c r="R2380" s="62" t="n">
        <v>0</v>
      </c>
      <c r="S2380" s="62" t="n">
        <v>0</v>
      </c>
      <c r="T2380" s="62" t="n">
        <v>0</v>
      </c>
      <c r="U2380" s="62"/>
      <c r="V2380" s="62"/>
      <c r="W2380" s="62"/>
      <c r="X2380" s="62"/>
      <c r="Y2380" s="62"/>
      <c r="Z2380" s="62" t="s">
        <v>4339</v>
      </c>
      <c r="AA2380" s="62" t="s">
        <v>4340</v>
      </c>
      <c r="AB2380" s="62" t="n">
        <v>1</v>
      </c>
      <c r="AC2380" s="62" t="n">
        <v>0</v>
      </c>
      <c r="AD2380" s="62" t="n">
        <v>1</v>
      </c>
      <c r="AE2380" s="62" t="n">
        <f aca="false">IF(AND(Dashboard!$C$9="Yes",AC2380=1),0,1)</f>
        <v>1</v>
      </c>
      <c r="AF2380" s="62" t="n">
        <v>0</v>
      </c>
    </row>
    <row r="2381" customFormat="false" ht="15" hidden="false" customHeight="false" outlineLevel="0" collapsed="false">
      <c r="A2381" s="62" t="n">
        <v>2380</v>
      </c>
      <c r="B2381" s="63" t="n">
        <v>46286.9820949074</v>
      </c>
      <c r="C2381" s="64" t="n">
        <v>46286</v>
      </c>
      <c r="D2381" s="62" t="s">
        <v>429</v>
      </c>
      <c r="E2381" s="62" t="s">
        <v>4226</v>
      </c>
      <c r="F2381" s="62" t="s">
        <v>4226</v>
      </c>
      <c r="G2381" s="62" t="s">
        <v>4227</v>
      </c>
      <c r="H2381" s="62" t="s">
        <v>44</v>
      </c>
      <c r="I2381" s="62" t="s">
        <v>49</v>
      </c>
      <c r="J2381" s="62" t="s">
        <v>146</v>
      </c>
      <c r="K2381" s="62" t="s">
        <v>147</v>
      </c>
      <c r="L2381" s="62" t="s">
        <v>148</v>
      </c>
      <c r="M2381" s="62" t="n">
        <v>0</v>
      </c>
      <c r="N2381" s="62" t="n">
        <v>1</v>
      </c>
      <c r="O2381" s="62" t="n">
        <v>1</v>
      </c>
      <c r="P2381" s="62" t="n">
        <v>1</v>
      </c>
      <c r="Q2381" s="62" t="n">
        <v>0</v>
      </c>
      <c r="R2381" s="62" t="n">
        <v>0</v>
      </c>
      <c r="S2381" s="62" t="n">
        <v>0</v>
      </c>
      <c r="T2381" s="62" t="n">
        <v>0</v>
      </c>
      <c r="U2381" s="62"/>
      <c r="V2381" s="62"/>
      <c r="W2381" s="62"/>
      <c r="X2381" s="62"/>
      <c r="Y2381" s="62"/>
      <c r="Z2381" s="62" t="s">
        <v>4339</v>
      </c>
      <c r="AA2381" s="62" t="s">
        <v>4340</v>
      </c>
      <c r="AB2381" s="62" t="n">
        <v>1</v>
      </c>
      <c r="AC2381" s="62" t="n">
        <v>1</v>
      </c>
      <c r="AD2381" s="62" t="n">
        <v>1</v>
      </c>
      <c r="AE2381" s="62" t="n">
        <f aca="false">IF(AND(Dashboard!$C$9="Yes",AC2381=1),0,1)</f>
        <v>0</v>
      </c>
      <c r="AF2381" s="62" t="n">
        <v>0</v>
      </c>
    </row>
    <row r="2382" customFormat="false" ht="15" hidden="false" customHeight="false" outlineLevel="0" collapsed="false">
      <c r="A2382" s="62" t="n">
        <v>2381</v>
      </c>
      <c r="B2382" s="63" t="n">
        <v>46286.9919791667</v>
      </c>
      <c r="C2382" s="64" t="n">
        <v>46286</v>
      </c>
      <c r="D2382" s="62" t="s">
        <v>429</v>
      </c>
      <c r="E2382" s="62" t="s">
        <v>4238</v>
      </c>
      <c r="F2382" s="62" t="s">
        <v>4238</v>
      </c>
      <c r="G2382" s="62" t="s">
        <v>4239</v>
      </c>
      <c r="H2382" s="62" t="s">
        <v>44</v>
      </c>
      <c r="I2382" s="62" t="s">
        <v>49</v>
      </c>
      <c r="J2382" s="62" t="s">
        <v>146</v>
      </c>
      <c r="K2382" s="62" t="s">
        <v>147</v>
      </c>
      <c r="L2382" s="62" t="s">
        <v>4</v>
      </c>
      <c r="M2382" s="62" t="n">
        <v>1</v>
      </c>
      <c r="N2382" s="62" t="n">
        <v>0</v>
      </c>
      <c r="O2382" s="62" t="n">
        <v>1</v>
      </c>
      <c r="P2382" s="62" t="n">
        <v>0</v>
      </c>
      <c r="Q2382" s="62" t="n">
        <v>0</v>
      </c>
      <c r="R2382" s="62" t="n">
        <v>0</v>
      </c>
      <c r="S2382" s="62" t="n">
        <v>0</v>
      </c>
      <c r="T2382" s="62" t="n">
        <v>0</v>
      </c>
      <c r="U2382" s="62" t="s">
        <v>2056</v>
      </c>
      <c r="V2382" s="62" t="s">
        <v>2057</v>
      </c>
      <c r="W2382" s="62" t="s">
        <v>2056</v>
      </c>
      <c r="X2382" s="62" t="s">
        <v>2164</v>
      </c>
      <c r="Y2382" s="62" t="s">
        <v>2165</v>
      </c>
      <c r="Z2382" s="62" t="s">
        <v>4341</v>
      </c>
      <c r="AA2382" s="62" t="s">
        <v>4342</v>
      </c>
      <c r="AB2382" s="62" t="n">
        <v>1</v>
      </c>
      <c r="AC2382" s="62" t="n">
        <v>0</v>
      </c>
      <c r="AD2382" s="62" t="n">
        <v>1</v>
      </c>
      <c r="AE2382" s="62" t="n">
        <f aca="false">IF(AND(Dashboard!$C$9="Yes",AC2382=1),0,1)</f>
        <v>1</v>
      </c>
      <c r="AF2382" s="62" t="n">
        <v>0</v>
      </c>
    </row>
    <row r="2383" customFormat="false" ht="15" hidden="false" customHeight="false" outlineLevel="0" collapsed="false">
      <c r="A2383" s="62" t="n">
        <v>2382</v>
      </c>
      <c r="B2383" s="63" t="n">
        <v>46286.9926157407</v>
      </c>
      <c r="C2383" s="64" t="n">
        <v>46286</v>
      </c>
      <c r="D2383" s="62" t="s">
        <v>429</v>
      </c>
      <c r="E2383" s="62" t="s">
        <v>1571</v>
      </c>
      <c r="F2383" s="62" t="s">
        <v>1571</v>
      </c>
      <c r="G2383" s="62" t="s">
        <v>1572</v>
      </c>
      <c r="H2383" s="62" t="s">
        <v>52</v>
      </c>
      <c r="I2383" s="62" t="s">
        <v>47</v>
      </c>
      <c r="J2383" s="62" t="s">
        <v>146</v>
      </c>
      <c r="K2383" s="62" t="s">
        <v>209</v>
      </c>
      <c r="L2383" s="62" t="s">
        <v>148</v>
      </c>
      <c r="M2383" s="62" t="n">
        <v>0</v>
      </c>
      <c r="N2383" s="62" t="n">
        <v>1</v>
      </c>
      <c r="O2383" s="62" t="n">
        <v>1</v>
      </c>
      <c r="P2383" s="62" t="n">
        <v>1</v>
      </c>
      <c r="Q2383" s="62" t="n">
        <v>0</v>
      </c>
      <c r="R2383" s="62" t="n">
        <v>0</v>
      </c>
      <c r="S2383" s="62" t="n">
        <v>0</v>
      </c>
      <c r="T2383" s="62" t="n">
        <v>0</v>
      </c>
      <c r="U2383" s="62"/>
      <c r="V2383" s="62"/>
      <c r="W2383" s="62"/>
      <c r="X2383" s="62"/>
      <c r="Y2383" s="62"/>
      <c r="Z2383" s="62" t="s">
        <v>4343</v>
      </c>
      <c r="AA2383" s="62" t="s">
        <v>4344</v>
      </c>
      <c r="AB2383" s="62" t="n">
        <v>1</v>
      </c>
      <c r="AC2383" s="62" t="n">
        <v>0</v>
      </c>
      <c r="AD2383" s="62" t="n">
        <v>1</v>
      </c>
      <c r="AE2383" s="62" t="n">
        <f aca="false">IF(AND(Dashboard!$C$9="Yes",AC2383=1),0,1)</f>
        <v>1</v>
      </c>
      <c r="AF2383" s="62" t="n">
        <v>0</v>
      </c>
    </row>
    <row r="2384" customFormat="false" ht="15" hidden="false" customHeight="false" outlineLevel="0" collapsed="false">
      <c r="A2384" s="62" t="n">
        <v>2383</v>
      </c>
      <c r="B2384" s="63" t="n">
        <v>46286.9993055556</v>
      </c>
      <c r="C2384" s="64" t="n">
        <v>46286</v>
      </c>
      <c r="D2384" s="62" t="s">
        <v>429</v>
      </c>
      <c r="E2384" s="62" t="s">
        <v>1539</v>
      </c>
      <c r="F2384" s="62" t="s">
        <v>1539</v>
      </c>
      <c r="G2384" s="62" t="s">
        <v>1540</v>
      </c>
      <c r="H2384" s="62" t="s">
        <v>52</v>
      </c>
      <c r="I2384" s="62" t="s">
        <v>47</v>
      </c>
      <c r="J2384" s="62" t="s">
        <v>146</v>
      </c>
      <c r="K2384" s="62" t="s">
        <v>147</v>
      </c>
      <c r="L2384" s="62" t="s">
        <v>148</v>
      </c>
      <c r="M2384" s="62" t="n">
        <v>0</v>
      </c>
      <c r="N2384" s="62" t="n">
        <v>1</v>
      </c>
      <c r="O2384" s="62" t="n">
        <v>1</v>
      </c>
      <c r="P2384" s="62" t="n">
        <v>1</v>
      </c>
      <c r="Q2384" s="62" t="n">
        <v>0</v>
      </c>
      <c r="R2384" s="62" t="n">
        <v>0</v>
      </c>
      <c r="S2384" s="62" t="n">
        <v>0</v>
      </c>
      <c r="T2384" s="62" t="n">
        <v>0</v>
      </c>
      <c r="U2384" s="62"/>
      <c r="V2384" s="62"/>
      <c r="W2384" s="62"/>
      <c r="X2384" s="62"/>
      <c r="Y2384" s="62"/>
      <c r="Z2384" s="62" t="s">
        <v>4345</v>
      </c>
      <c r="AA2384" s="62" t="s">
        <v>4346</v>
      </c>
      <c r="AB2384" s="62" t="n">
        <v>1</v>
      </c>
      <c r="AC2384" s="62" t="n">
        <v>0</v>
      </c>
      <c r="AD2384" s="62" t="n">
        <v>1</v>
      </c>
      <c r="AE2384" s="62" t="n">
        <f aca="false">IF(AND(Dashboard!$C$9="Yes",AC2384=1),0,1)</f>
        <v>1</v>
      </c>
      <c r="AF2384" s="62" t="n">
        <v>0</v>
      </c>
    </row>
    <row r="2385" customFormat="false" ht="15" hidden="false" customHeight="false" outlineLevel="0" collapsed="false">
      <c r="A2385" s="62" t="n">
        <v>2384</v>
      </c>
      <c r="B2385" s="63" t="n">
        <v>46287.0076851852</v>
      </c>
      <c r="C2385" s="64" t="n">
        <v>46286</v>
      </c>
      <c r="D2385" s="62" t="s">
        <v>429</v>
      </c>
      <c r="E2385" s="62" t="s">
        <v>3018</v>
      </c>
      <c r="F2385" s="62" t="s">
        <v>3018</v>
      </c>
      <c r="G2385" s="62" t="s">
        <v>3019</v>
      </c>
      <c r="H2385" s="62" t="s">
        <v>58</v>
      </c>
      <c r="I2385" s="62" t="s">
        <v>49</v>
      </c>
      <c r="J2385" s="62" t="s">
        <v>146</v>
      </c>
      <c r="K2385" s="62" t="s">
        <v>175</v>
      </c>
      <c r="L2385" s="62" t="s">
        <v>148</v>
      </c>
      <c r="M2385" s="62" t="n">
        <v>0</v>
      </c>
      <c r="N2385" s="62" t="n">
        <v>2</v>
      </c>
      <c r="O2385" s="62" t="n">
        <v>2</v>
      </c>
      <c r="P2385" s="62" t="n">
        <v>1</v>
      </c>
      <c r="Q2385" s="62" t="n">
        <v>1</v>
      </c>
      <c r="R2385" s="62" t="n">
        <v>0</v>
      </c>
      <c r="S2385" s="62" t="n">
        <v>0</v>
      </c>
      <c r="T2385" s="62" t="n">
        <v>0</v>
      </c>
      <c r="U2385" s="62"/>
      <c r="V2385" s="62"/>
      <c r="W2385" s="62"/>
      <c r="X2385" s="62"/>
      <c r="Y2385" s="62"/>
      <c r="Z2385" s="62" t="s">
        <v>4347</v>
      </c>
      <c r="AA2385" s="62" t="s">
        <v>4348</v>
      </c>
      <c r="AB2385" s="62" t="n">
        <v>1</v>
      </c>
      <c r="AC2385" s="62" t="n">
        <v>0</v>
      </c>
      <c r="AD2385" s="62" t="n">
        <v>1</v>
      </c>
      <c r="AE2385" s="62" t="n">
        <f aca="false">IF(AND(Dashboard!$C$9="Yes",AC2385=1),0,1)</f>
        <v>1</v>
      </c>
      <c r="AF2385" s="62" t="n">
        <v>0</v>
      </c>
    </row>
    <row r="2386" customFormat="false" ht="15" hidden="false" customHeight="false" outlineLevel="0" collapsed="false">
      <c r="A2386" s="62" t="n">
        <v>2385</v>
      </c>
      <c r="B2386" s="63" t="n">
        <v>46287.0084953704</v>
      </c>
      <c r="C2386" s="64" t="n">
        <v>46286</v>
      </c>
      <c r="D2386" s="62" t="s">
        <v>429</v>
      </c>
      <c r="E2386" s="62" t="s">
        <v>2943</v>
      </c>
      <c r="F2386" s="62" t="s">
        <v>2943</v>
      </c>
      <c r="G2386" s="62" t="s">
        <v>2944</v>
      </c>
      <c r="H2386" s="62" t="s">
        <v>48</v>
      </c>
      <c r="I2386" s="62" t="s">
        <v>49</v>
      </c>
      <c r="J2386" s="62" t="s">
        <v>146</v>
      </c>
      <c r="K2386" s="62" t="s">
        <v>209</v>
      </c>
      <c r="L2386" s="62" t="s">
        <v>148</v>
      </c>
      <c r="M2386" s="62" t="n">
        <v>0</v>
      </c>
      <c r="N2386" s="62" t="n">
        <v>1</v>
      </c>
      <c r="O2386" s="62" t="n">
        <v>1</v>
      </c>
      <c r="P2386" s="62" t="n">
        <v>1</v>
      </c>
      <c r="Q2386" s="62" t="n">
        <v>0</v>
      </c>
      <c r="R2386" s="62" t="n">
        <v>0</v>
      </c>
      <c r="S2386" s="62" t="n">
        <v>0</v>
      </c>
      <c r="T2386" s="62" t="n">
        <v>0</v>
      </c>
      <c r="U2386" s="62"/>
      <c r="V2386" s="62"/>
      <c r="W2386" s="62"/>
      <c r="X2386" s="62"/>
      <c r="Y2386" s="62"/>
      <c r="Z2386" s="62" t="s">
        <v>4349</v>
      </c>
      <c r="AA2386" s="62" t="s">
        <v>4350</v>
      </c>
      <c r="AB2386" s="62" t="n">
        <v>1</v>
      </c>
      <c r="AC2386" s="62" t="n">
        <v>0</v>
      </c>
      <c r="AD2386" s="62" t="n">
        <v>1</v>
      </c>
      <c r="AE2386" s="62" t="n">
        <f aca="false">IF(AND(Dashboard!$C$9="Yes",AC2386=1),0,1)</f>
        <v>1</v>
      </c>
      <c r="AF2386" s="62" t="n">
        <v>1</v>
      </c>
    </row>
    <row r="2387" customFormat="false" ht="15" hidden="false" customHeight="false" outlineLevel="0" collapsed="false">
      <c r="A2387" s="62" t="n">
        <v>2386</v>
      </c>
      <c r="B2387" s="63" t="n">
        <v>46287.0124074074</v>
      </c>
      <c r="C2387" s="64" t="n">
        <v>46286</v>
      </c>
      <c r="D2387" s="62" t="s">
        <v>429</v>
      </c>
      <c r="E2387" s="62" t="s">
        <v>2910</v>
      </c>
      <c r="F2387" s="62" t="s">
        <v>2910</v>
      </c>
      <c r="G2387" s="62" t="s">
        <v>2911</v>
      </c>
      <c r="H2387" s="62" t="s">
        <v>48</v>
      </c>
      <c r="I2387" s="62" t="s">
        <v>49</v>
      </c>
      <c r="J2387" s="62" t="s">
        <v>146</v>
      </c>
      <c r="K2387" s="62" t="s">
        <v>209</v>
      </c>
      <c r="L2387" s="62" t="s">
        <v>148</v>
      </c>
      <c r="M2387" s="62" t="n">
        <v>0</v>
      </c>
      <c r="N2387" s="62" t="n">
        <v>1</v>
      </c>
      <c r="O2387" s="62" t="n">
        <v>1</v>
      </c>
      <c r="P2387" s="62" t="n">
        <v>1</v>
      </c>
      <c r="Q2387" s="62" t="n">
        <v>0</v>
      </c>
      <c r="R2387" s="62" t="n">
        <v>0</v>
      </c>
      <c r="S2387" s="62" t="n">
        <v>0</v>
      </c>
      <c r="T2387" s="62" t="n">
        <v>0</v>
      </c>
      <c r="U2387" s="62"/>
      <c r="V2387" s="62"/>
      <c r="W2387" s="62"/>
      <c r="X2387" s="62"/>
      <c r="Y2387" s="62"/>
      <c r="Z2387" s="62" t="s">
        <v>4351</v>
      </c>
      <c r="AA2387" s="62" t="s">
        <v>4352</v>
      </c>
      <c r="AB2387" s="62" t="n">
        <v>1</v>
      </c>
      <c r="AC2387" s="62" t="n">
        <v>0</v>
      </c>
      <c r="AD2387" s="62" t="n">
        <v>1</v>
      </c>
      <c r="AE2387" s="62" t="n">
        <f aca="false">IF(AND(Dashboard!$C$9="Yes",AC2387=1),0,1)</f>
        <v>1</v>
      </c>
      <c r="AF2387" s="62" t="n">
        <v>1</v>
      </c>
    </row>
    <row r="2388" customFormat="false" ht="15" hidden="false" customHeight="false" outlineLevel="0" collapsed="false">
      <c r="A2388" s="62" t="n">
        <v>2387</v>
      </c>
      <c r="B2388" s="63" t="n">
        <v>46287.0155902778</v>
      </c>
      <c r="C2388" s="64" t="n">
        <v>46286</v>
      </c>
      <c r="D2388" s="62" t="s">
        <v>429</v>
      </c>
      <c r="E2388" s="62" t="s">
        <v>2845</v>
      </c>
      <c r="F2388" s="62" t="s">
        <v>2845</v>
      </c>
      <c r="G2388" s="62" t="s">
        <v>181</v>
      </c>
      <c r="H2388" s="62" t="s">
        <v>48</v>
      </c>
      <c r="I2388" s="62" t="s">
        <v>49</v>
      </c>
      <c r="J2388" s="62" t="s">
        <v>146</v>
      </c>
      <c r="K2388" s="62" t="s">
        <v>209</v>
      </c>
      <c r="L2388" s="62" t="s">
        <v>148</v>
      </c>
      <c r="M2388" s="62" t="n">
        <v>0</v>
      </c>
      <c r="N2388" s="62" t="n">
        <v>1</v>
      </c>
      <c r="O2388" s="62" t="n">
        <v>1</v>
      </c>
      <c r="P2388" s="62" t="n">
        <v>1</v>
      </c>
      <c r="Q2388" s="62" t="n">
        <v>0</v>
      </c>
      <c r="R2388" s="62" t="n">
        <v>0</v>
      </c>
      <c r="S2388" s="62" t="n">
        <v>0</v>
      </c>
      <c r="T2388" s="62" t="n">
        <v>0</v>
      </c>
      <c r="U2388" s="62"/>
      <c r="V2388" s="62"/>
      <c r="W2388" s="62"/>
      <c r="X2388" s="62"/>
      <c r="Y2388" s="62"/>
      <c r="Z2388" s="62" t="s">
        <v>4353</v>
      </c>
      <c r="AA2388" s="62" t="s">
        <v>4354</v>
      </c>
      <c r="AB2388" s="62" t="n">
        <v>1</v>
      </c>
      <c r="AC2388" s="62" t="n">
        <v>0</v>
      </c>
      <c r="AD2388" s="62" t="n">
        <v>1</v>
      </c>
      <c r="AE2388" s="62" t="n">
        <f aca="false">IF(AND(Dashboard!$C$9="Yes",AC2388=1),0,1)</f>
        <v>1</v>
      </c>
      <c r="AF2388" s="62" t="n">
        <v>1</v>
      </c>
    </row>
    <row r="2389" customFormat="false" ht="15" hidden="false" customHeight="false" outlineLevel="0" collapsed="false">
      <c r="A2389" s="62" t="n">
        <v>2388</v>
      </c>
      <c r="B2389" s="63" t="n">
        <v>46287.0178356482</v>
      </c>
      <c r="C2389" s="64" t="n">
        <v>46286</v>
      </c>
      <c r="D2389" s="62" t="s">
        <v>429</v>
      </c>
      <c r="E2389" s="62" t="s">
        <v>2722</v>
      </c>
      <c r="F2389" s="62" t="s">
        <v>2722</v>
      </c>
      <c r="G2389" s="62" t="s">
        <v>2723</v>
      </c>
      <c r="H2389" s="62" t="s">
        <v>55</v>
      </c>
      <c r="I2389" s="62" t="s">
        <v>49</v>
      </c>
      <c r="J2389" s="62" t="s">
        <v>146</v>
      </c>
      <c r="K2389" s="62" t="s">
        <v>209</v>
      </c>
      <c r="L2389" s="62" t="s">
        <v>4</v>
      </c>
      <c r="M2389" s="62" t="n">
        <v>1</v>
      </c>
      <c r="N2389" s="62" t="n">
        <v>0</v>
      </c>
      <c r="O2389" s="62" t="n">
        <v>1</v>
      </c>
      <c r="P2389" s="62" t="n">
        <v>0</v>
      </c>
      <c r="Q2389" s="62" t="n">
        <v>0</v>
      </c>
      <c r="R2389" s="62" t="n">
        <v>0</v>
      </c>
      <c r="S2389" s="62" t="n">
        <v>0</v>
      </c>
      <c r="T2389" s="62" t="n">
        <v>0</v>
      </c>
      <c r="U2389" s="62" t="s">
        <v>2056</v>
      </c>
      <c r="V2389" s="62" t="s">
        <v>2057</v>
      </c>
      <c r="W2389" s="62" t="s">
        <v>15</v>
      </c>
      <c r="X2389" s="62" t="s">
        <v>2058</v>
      </c>
      <c r="Y2389" s="62" t="s">
        <v>2059</v>
      </c>
      <c r="Z2389" s="62" t="s">
        <v>4355</v>
      </c>
      <c r="AA2389" s="62" t="s">
        <v>4356</v>
      </c>
      <c r="AB2389" s="62" t="n">
        <v>1</v>
      </c>
      <c r="AC2389" s="62" t="n">
        <v>0</v>
      </c>
      <c r="AD2389" s="62" t="n">
        <v>1</v>
      </c>
      <c r="AE2389" s="62" t="n">
        <f aca="false">IF(AND(Dashboard!$C$9="Yes",AC2389=1),0,1)</f>
        <v>1</v>
      </c>
      <c r="AF2389" s="62" t="n">
        <v>0</v>
      </c>
    </row>
    <row r="2390" customFormat="false" ht="15" hidden="false" customHeight="false" outlineLevel="0" collapsed="false">
      <c r="A2390" s="62" t="n">
        <v>2389</v>
      </c>
      <c r="B2390" s="63" t="n">
        <v>46287.0358449074</v>
      </c>
      <c r="C2390" s="64" t="n">
        <v>46286</v>
      </c>
      <c r="D2390" s="62" t="s">
        <v>429</v>
      </c>
      <c r="E2390" s="62" t="s">
        <v>3022</v>
      </c>
      <c r="F2390" s="62" t="s">
        <v>3022</v>
      </c>
      <c r="G2390" s="62" t="s">
        <v>3023</v>
      </c>
      <c r="H2390" s="62" t="s">
        <v>46</v>
      </c>
      <c r="I2390" s="62" t="s">
        <v>47</v>
      </c>
      <c r="J2390" s="62" t="s">
        <v>146</v>
      </c>
      <c r="K2390" s="62" t="s">
        <v>209</v>
      </c>
      <c r="L2390" s="62" t="s">
        <v>4</v>
      </c>
      <c r="M2390" s="62" t="n">
        <v>1</v>
      </c>
      <c r="N2390" s="62" t="n">
        <v>0</v>
      </c>
      <c r="O2390" s="62" t="n">
        <v>1</v>
      </c>
      <c r="P2390" s="62" t="n">
        <v>0</v>
      </c>
      <c r="Q2390" s="62" t="n">
        <v>0</v>
      </c>
      <c r="R2390" s="62" t="n">
        <v>0</v>
      </c>
      <c r="S2390" s="62" t="n">
        <v>0</v>
      </c>
      <c r="T2390" s="62" t="n">
        <v>0</v>
      </c>
      <c r="U2390" s="62" t="s">
        <v>2056</v>
      </c>
      <c r="V2390" s="62" t="s">
        <v>2057</v>
      </c>
      <c r="W2390" s="62" t="s">
        <v>15</v>
      </c>
      <c r="X2390" s="62" t="s">
        <v>2058</v>
      </c>
      <c r="Y2390" s="62" t="s">
        <v>2103</v>
      </c>
      <c r="Z2390" s="62" t="s">
        <v>4357</v>
      </c>
      <c r="AA2390" s="62" t="s">
        <v>4358</v>
      </c>
      <c r="AB2390" s="62" t="n">
        <v>1</v>
      </c>
      <c r="AC2390" s="62" t="n">
        <v>0</v>
      </c>
      <c r="AD2390" s="62" t="n">
        <v>1</v>
      </c>
      <c r="AE2390" s="62" t="n">
        <f aca="false">IF(AND(Dashboard!$C$9="Yes",AC2390=1),0,1)</f>
        <v>1</v>
      </c>
      <c r="AF2390" s="62" t="n">
        <v>1</v>
      </c>
    </row>
    <row r="2391" customFormat="false" ht="15" hidden="false" customHeight="false" outlineLevel="0" collapsed="false">
      <c r="A2391" s="62" t="n">
        <v>2390</v>
      </c>
      <c r="B2391" s="63" t="n">
        <v>46287.0366550926</v>
      </c>
      <c r="C2391" s="64" t="n">
        <v>46286</v>
      </c>
      <c r="D2391" s="62" t="s">
        <v>429</v>
      </c>
      <c r="E2391" s="62" t="s">
        <v>4359</v>
      </c>
      <c r="F2391" s="62" t="s">
        <v>180</v>
      </c>
      <c r="G2391" s="62" t="s">
        <v>181</v>
      </c>
      <c r="H2391" s="62" t="s">
        <v>58</v>
      </c>
      <c r="I2391" s="62" t="s">
        <v>49</v>
      </c>
      <c r="J2391" s="62" t="s">
        <v>146</v>
      </c>
      <c r="K2391" s="62" t="s">
        <v>175</v>
      </c>
      <c r="L2391" s="62" t="s">
        <v>148</v>
      </c>
      <c r="M2391" s="62" t="n">
        <v>0</v>
      </c>
      <c r="N2391" s="62" t="n">
        <v>1</v>
      </c>
      <c r="O2391" s="62" t="n">
        <v>1</v>
      </c>
      <c r="P2391" s="62" t="n">
        <v>0</v>
      </c>
      <c r="Q2391" s="62" t="n">
        <v>0</v>
      </c>
      <c r="R2391" s="62" t="n">
        <v>1</v>
      </c>
      <c r="S2391" s="62" t="n">
        <v>0</v>
      </c>
      <c r="T2391" s="62" t="n">
        <v>0</v>
      </c>
      <c r="U2391" s="62"/>
      <c r="V2391" s="62"/>
      <c r="W2391" s="62"/>
      <c r="X2391" s="62"/>
      <c r="Y2391" s="62"/>
      <c r="Z2391" s="62" t="s">
        <v>4360</v>
      </c>
      <c r="AA2391" s="62" t="s">
        <v>4360</v>
      </c>
      <c r="AB2391" s="62" t="n">
        <v>1</v>
      </c>
      <c r="AC2391" s="62" t="n">
        <v>0</v>
      </c>
      <c r="AD2391" s="62" t="n">
        <v>1</v>
      </c>
      <c r="AE2391" s="62" t="n">
        <f aca="false">IF(AND(Dashboard!$C$9="Yes",AC2391=1),0,1)</f>
        <v>1</v>
      </c>
      <c r="AF2391" s="62" t="n">
        <v>0</v>
      </c>
    </row>
    <row r="2392" customFormat="false" ht="15" hidden="false" customHeight="false" outlineLevel="0" collapsed="false">
      <c r="A2392" s="62" t="n">
        <v>2391</v>
      </c>
      <c r="B2392" s="63" t="n">
        <v>46287.0852662037</v>
      </c>
      <c r="C2392" s="64" t="n">
        <v>46286</v>
      </c>
      <c r="D2392" s="62" t="s">
        <v>429</v>
      </c>
      <c r="E2392" s="62" t="s">
        <v>2722</v>
      </c>
      <c r="F2392" s="62" t="s">
        <v>2722</v>
      </c>
      <c r="G2392" s="62" t="s">
        <v>2723</v>
      </c>
      <c r="H2392" s="62" t="s">
        <v>55</v>
      </c>
      <c r="I2392" s="62" t="s">
        <v>49</v>
      </c>
      <c r="J2392" s="62" t="s">
        <v>146</v>
      </c>
      <c r="K2392" s="62" t="s">
        <v>209</v>
      </c>
      <c r="L2392" s="62" t="s">
        <v>148</v>
      </c>
      <c r="M2392" s="62" t="n">
        <v>0</v>
      </c>
      <c r="N2392" s="62" t="n">
        <v>1</v>
      </c>
      <c r="O2392" s="62" t="n">
        <v>1</v>
      </c>
      <c r="P2392" s="62" t="n">
        <v>0</v>
      </c>
      <c r="Q2392" s="62" t="n">
        <v>1</v>
      </c>
      <c r="R2392" s="62" t="n">
        <v>0</v>
      </c>
      <c r="S2392" s="62" t="n">
        <v>0</v>
      </c>
      <c r="T2392" s="62" t="n">
        <v>0</v>
      </c>
      <c r="U2392" s="62"/>
      <c r="V2392" s="62"/>
      <c r="W2392" s="62"/>
      <c r="X2392" s="62"/>
      <c r="Y2392" s="62"/>
      <c r="Z2392" s="62" t="s">
        <v>4361</v>
      </c>
      <c r="AA2392" s="62" t="s">
        <v>4362</v>
      </c>
      <c r="AB2392" s="62" t="n">
        <v>1</v>
      </c>
      <c r="AC2392" s="62" t="n">
        <v>0</v>
      </c>
      <c r="AD2392" s="62" t="n">
        <v>1</v>
      </c>
      <c r="AE2392" s="62" t="n">
        <f aca="false">IF(AND(Dashboard!$C$9="Yes",AC2392=1),0,1)</f>
        <v>1</v>
      </c>
      <c r="AF2392" s="62" t="n">
        <v>0</v>
      </c>
    </row>
    <row r="2393" customFormat="false" ht="15" hidden="false" customHeight="false" outlineLevel="0" collapsed="false">
      <c r="A2393" s="62" t="n">
        <v>2392</v>
      </c>
      <c r="B2393" s="63" t="n">
        <v>46287.0926388889</v>
      </c>
      <c r="C2393" s="64" t="n">
        <v>46286</v>
      </c>
      <c r="D2393" s="62" t="s">
        <v>429</v>
      </c>
      <c r="E2393" s="62" t="s">
        <v>207</v>
      </c>
      <c r="F2393" s="62" t="s">
        <v>207</v>
      </c>
      <c r="G2393" s="62" t="s">
        <v>208</v>
      </c>
      <c r="H2393" s="62" t="s">
        <v>48</v>
      </c>
      <c r="I2393" s="62" t="s">
        <v>49</v>
      </c>
      <c r="J2393" s="62" t="s">
        <v>146</v>
      </c>
      <c r="K2393" s="62" t="s">
        <v>209</v>
      </c>
      <c r="L2393" s="62" t="s">
        <v>4</v>
      </c>
      <c r="M2393" s="62" t="n">
        <v>1</v>
      </c>
      <c r="N2393" s="62" t="n">
        <v>0</v>
      </c>
      <c r="O2393" s="62" t="n">
        <v>1</v>
      </c>
      <c r="P2393" s="62" t="n">
        <v>0</v>
      </c>
      <c r="Q2393" s="62" t="n">
        <v>0</v>
      </c>
      <c r="R2393" s="62" t="n">
        <v>0</v>
      </c>
      <c r="S2393" s="62" t="n">
        <v>0</v>
      </c>
      <c r="T2393" s="62" t="n">
        <v>0</v>
      </c>
      <c r="U2393" s="62" t="s">
        <v>2056</v>
      </c>
      <c r="V2393" s="62" t="s">
        <v>2057</v>
      </c>
      <c r="W2393" s="62" t="s">
        <v>15</v>
      </c>
      <c r="X2393" s="62" t="s">
        <v>2058</v>
      </c>
      <c r="Y2393" s="62" t="s">
        <v>2059</v>
      </c>
      <c r="Z2393" s="62" t="s">
        <v>4363</v>
      </c>
      <c r="AA2393" s="62" t="s">
        <v>4364</v>
      </c>
      <c r="AB2393" s="62" t="n">
        <v>1</v>
      </c>
      <c r="AC2393" s="62" t="n">
        <v>0</v>
      </c>
      <c r="AD2393" s="62" t="n">
        <v>1</v>
      </c>
      <c r="AE2393" s="62" t="n">
        <f aca="false">IF(AND(Dashboard!$C$9="Yes",AC2393=1),0,1)</f>
        <v>1</v>
      </c>
      <c r="AF2393" s="62" t="n">
        <v>0</v>
      </c>
    </row>
    <row r="2394" customFormat="false" ht="15" hidden="false" customHeight="false" outlineLevel="0" collapsed="false">
      <c r="A2394" s="62" t="n">
        <v>2393</v>
      </c>
      <c r="B2394" s="63" t="n">
        <v>46287.1144907407</v>
      </c>
      <c r="C2394" s="64" t="n">
        <v>46286</v>
      </c>
      <c r="D2394" s="62" t="s">
        <v>429</v>
      </c>
      <c r="E2394" s="62" t="s">
        <v>2722</v>
      </c>
      <c r="F2394" s="62" t="s">
        <v>2722</v>
      </c>
      <c r="G2394" s="62" t="s">
        <v>2723</v>
      </c>
      <c r="H2394" s="62" t="s">
        <v>55</v>
      </c>
      <c r="I2394" s="62" t="s">
        <v>49</v>
      </c>
      <c r="J2394" s="62" t="s">
        <v>146</v>
      </c>
      <c r="K2394" s="62" t="s">
        <v>209</v>
      </c>
      <c r="L2394" s="62" t="s">
        <v>4</v>
      </c>
      <c r="M2394" s="62" t="n">
        <v>2</v>
      </c>
      <c r="N2394" s="62" t="n">
        <v>0</v>
      </c>
      <c r="O2394" s="62" t="n">
        <v>2</v>
      </c>
      <c r="P2394" s="62" t="n">
        <v>0</v>
      </c>
      <c r="Q2394" s="62" t="n">
        <v>0</v>
      </c>
      <c r="R2394" s="62" t="n">
        <v>0</v>
      </c>
      <c r="S2394" s="62" t="n">
        <v>0</v>
      </c>
      <c r="T2394" s="62" t="n">
        <v>0</v>
      </c>
      <c r="U2394" s="62" t="s">
        <v>2056</v>
      </c>
      <c r="V2394" s="62" t="s">
        <v>2057</v>
      </c>
      <c r="W2394" s="62" t="s">
        <v>2056</v>
      </c>
      <c r="X2394" s="62" t="s">
        <v>2253</v>
      </c>
      <c r="Y2394" s="62" t="s">
        <v>2165</v>
      </c>
      <c r="Z2394" s="62" t="s">
        <v>4361</v>
      </c>
      <c r="AA2394" s="62" t="s">
        <v>4365</v>
      </c>
      <c r="AB2394" s="62" t="n">
        <v>1</v>
      </c>
      <c r="AC2394" s="62" t="n">
        <v>0</v>
      </c>
      <c r="AD2394" s="62" t="n">
        <v>1</v>
      </c>
      <c r="AE2394" s="62" t="n">
        <f aca="false">IF(AND(Dashboard!$C$9="Yes",AC2394=1),0,1)</f>
        <v>1</v>
      </c>
      <c r="AF2394" s="62" t="n">
        <v>0</v>
      </c>
    </row>
    <row r="2395" customFormat="false" ht="15" hidden="false" customHeight="false" outlineLevel="0" collapsed="false">
      <c r="A2395" s="62" t="n">
        <v>2394</v>
      </c>
      <c r="B2395" s="63" t="n">
        <v>46287.1204513889</v>
      </c>
      <c r="C2395" s="64" t="n">
        <v>46286</v>
      </c>
      <c r="D2395" s="62" t="s">
        <v>429</v>
      </c>
      <c r="E2395" s="62" t="s">
        <v>1155</v>
      </c>
      <c r="F2395" s="62" t="s">
        <v>1155</v>
      </c>
      <c r="G2395" s="62" t="s">
        <v>1156</v>
      </c>
      <c r="H2395" s="62" t="s">
        <v>59</v>
      </c>
      <c r="I2395" s="62" t="s">
        <v>47</v>
      </c>
      <c r="J2395" s="62" t="s">
        <v>146</v>
      </c>
      <c r="K2395" s="62" t="s">
        <v>209</v>
      </c>
      <c r="L2395" s="62" t="s">
        <v>148</v>
      </c>
      <c r="M2395" s="62" t="n">
        <v>0</v>
      </c>
      <c r="N2395" s="62" t="n">
        <v>1</v>
      </c>
      <c r="O2395" s="62" t="n">
        <v>1</v>
      </c>
      <c r="P2395" s="62" t="n">
        <v>0</v>
      </c>
      <c r="Q2395" s="62" t="n">
        <v>0</v>
      </c>
      <c r="R2395" s="62" t="n">
        <v>1</v>
      </c>
      <c r="S2395" s="62" t="n">
        <v>0</v>
      </c>
      <c r="T2395" s="62" t="n">
        <v>0</v>
      </c>
      <c r="U2395" s="62"/>
      <c r="V2395" s="62"/>
      <c r="W2395" s="62"/>
      <c r="X2395" s="62"/>
      <c r="Y2395" s="62"/>
      <c r="Z2395" s="62" t="s">
        <v>4366</v>
      </c>
      <c r="AA2395" s="62" t="s">
        <v>4367</v>
      </c>
      <c r="AB2395" s="62" t="n">
        <v>1</v>
      </c>
      <c r="AC2395" s="62" t="n">
        <v>0</v>
      </c>
      <c r="AD2395" s="62" t="n">
        <v>1</v>
      </c>
      <c r="AE2395" s="62" t="n">
        <f aca="false">IF(AND(Dashboard!$C$9="Yes",AC2395=1),0,1)</f>
        <v>1</v>
      </c>
      <c r="AF2395" s="62" t="n">
        <v>1</v>
      </c>
    </row>
    <row r="2396" customFormat="false" ht="15" hidden="false" customHeight="false" outlineLevel="0" collapsed="false">
      <c r="A2396" s="62" t="n">
        <v>2395</v>
      </c>
      <c r="B2396" s="63" t="n">
        <v>46287.1309606481</v>
      </c>
      <c r="C2396" s="64" t="n">
        <v>46286</v>
      </c>
      <c r="D2396" s="62" t="s">
        <v>429</v>
      </c>
      <c r="E2396" s="62" t="s">
        <v>180</v>
      </c>
      <c r="F2396" s="62" t="s">
        <v>180</v>
      </c>
      <c r="G2396" s="62" t="s">
        <v>181</v>
      </c>
      <c r="H2396" s="62" t="s">
        <v>58</v>
      </c>
      <c r="I2396" s="62" t="s">
        <v>49</v>
      </c>
      <c r="J2396" s="62" t="s">
        <v>146</v>
      </c>
      <c r="K2396" s="62" t="s">
        <v>175</v>
      </c>
      <c r="L2396" s="62" t="s">
        <v>148</v>
      </c>
      <c r="M2396" s="62" t="n">
        <v>0</v>
      </c>
      <c r="N2396" s="62" t="n">
        <v>2</v>
      </c>
      <c r="O2396" s="62" t="n">
        <v>2</v>
      </c>
      <c r="P2396" s="62" t="n">
        <v>1</v>
      </c>
      <c r="Q2396" s="62" t="n">
        <v>1</v>
      </c>
      <c r="R2396" s="62" t="n">
        <v>0</v>
      </c>
      <c r="S2396" s="62" t="n">
        <v>0</v>
      </c>
      <c r="T2396" s="62" t="n">
        <v>0</v>
      </c>
      <c r="U2396" s="62"/>
      <c r="V2396" s="62"/>
      <c r="W2396" s="62"/>
      <c r="X2396" s="62"/>
      <c r="Y2396" s="62"/>
      <c r="Z2396" s="62" t="s">
        <v>4368</v>
      </c>
      <c r="AA2396" s="62" t="s">
        <v>4368</v>
      </c>
      <c r="AB2396" s="62" t="n">
        <v>1</v>
      </c>
      <c r="AC2396" s="62" t="n">
        <v>0</v>
      </c>
      <c r="AD2396" s="62" t="n">
        <v>1</v>
      </c>
      <c r="AE2396" s="62" t="n">
        <f aca="false">IF(AND(Dashboard!$C$9="Yes",AC2396=1),0,1)</f>
        <v>1</v>
      </c>
      <c r="AF2396" s="62" t="n">
        <v>0</v>
      </c>
    </row>
    <row r="2397" customFormat="false" ht="15" hidden="false" customHeight="false" outlineLevel="0" collapsed="false">
      <c r="A2397" s="62" t="n">
        <v>2396</v>
      </c>
      <c r="B2397" s="63" t="n">
        <v>46287.1527083333</v>
      </c>
      <c r="C2397" s="64" t="n">
        <v>46286</v>
      </c>
      <c r="D2397" s="62" t="s">
        <v>429</v>
      </c>
      <c r="E2397" s="62" t="s">
        <v>180</v>
      </c>
      <c r="F2397" s="62" t="s">
        <v>180</v>
      </c>
      <c r="G2397" s="62" t="s">
        <v>181</v>
      </c>
      <c r="H2397" s="62" t="s">
        <v>58</v>
      </c>
      <c r="I2397" s="62" t="s">
        <v>49</v>
      </c>
      <c r="J2397" s="62" t="s">
        <v>146</v>
      </c>
      <c r="K2397" s="62" t="s">
        <v>175</v>
      </c>
      <c r="L2397" s="62" t="s">
        <v>148</v>
      </c>
      <c r="M2397" s="62" t="n">
        <v>0</v>
      </c>
      <c r="N2397" s="62" t="n">
        <v>2</v>
      </c>
      <c r="O2397" s="62" t="n">
        <v>2</v>
      </c>
      <c r="P2397" s="62" t="n">
        <v>1</v>
      </c>
      <c r="Q2397" s="62" t="n">
        <v>1</v>
      </c>
      <c r="R2397" s="62" t="n">
        <v>0</v>
      </c>
      <c r="S2397" s="62" t="n">
        <v>0</v>
      </c>
      <c r="T2397" s="62" t="n">
        <v>0</v>
      </c>
      <c r="U2397" s="62"/>
      <c r="V2397" s="62"/>
      <c r="W2397" s="62"/>
      <c r="X2397" s="62"/>
      <c r="Y2397" s="62"/>
      <c r="Z2397" s="62" t="s">
        <v>4369</v>
      </c>
      <c r="AA2397" s="62" t="s">
        <v>4369</v>
      </c>
      <c r="AB2397" s="62" t="n">
        <v>1</v>
      </c>
      <c r="AC2397" s="62" t="n">
        <v>0</v>
      </c>
      <c r="AD2397" s="62" t="n">
        <v>1</v>
      </c>
      <c r="AE2397" s="62" t="n">
        <f aca="false">IF(AND(Dashboard!$C$9="Yes",AC2397=1),0,1)</f>
        <v>1</v>
      </c>
      <c r="AF2397" s="62" t="n">
        <v>0</v>
      </c>
    </row>
    <row r="2398" customFormat="false" ht="15" hidden="false" customHeight="false" outlineLevel="0" collapsed="false">
      <c r="A2398" s="62" t="n">
        <v>2397</v>
      </c>
      <c r="B2398" s="63" t="n">
        <v>46287.190150463</v>
      </c>
      <c r="C2398" s="64" t="n">
        <v>46286</v>
      </c>
      <c r="D2398" s="62" t="s">
        <v>429</v>
      </c>
      <c r="E2398" s="62" t="s">
        <v>4370</v>
      </c>
      <c r="F2398" s="62" t="s">
        <v>4370</v>
      </c>
      <c r="G2398" s="62" t="s">
        <v>4371</v>
      </c>
      <c r="H2398" s="62" t="s">
        <v>51</v>
      </c>
      <c r="I2398" s="62" t="s">
        <v>47</v>
      </c>
      <c r="J2398" s="62" t="s">
        <v>146</v>
      </c>
      <c r="K2398" s="62" t="s">
        <v>147</v>
      </c>
      <c r="L2398" s="62" t="s">
        <v>4</v>
      </c>
      <c r="M2398" s="62" t="n">
        <v>1</v>
      </c>
      <c r="N2398" s="62" t="n">
        <v>0</v>
      </c>
      <c r="O2398" s="62" t="n">
        <v>1</v>
      </c>
      <c r="P2398" s="62" t="n">
        <v>0</v>
      </c>
      <c r="Q2398" s="62" t="n">
        <v>0</v>
      </c>
      <c r="R2398" s="62" t="n">
        <v>0</v>
      </c>
      <c r="S2398" s="62" t="n">
        <v>0</v>
      </c>
      <c r="T2398" s="62" t="n">
        <v>0</v>
      </c>
      <c r="U2398" s="62" t="s">
        <v>2056</v>
      </c>
      <c r="V2398" s="62" t="s">
        <v>2057</v>
      </c>
      <c r="W2398" s="62" t="s">
        <v>15</v>
      </c>
      <c r="X2398" s="62" t="s">
        <v>2058</v>
      </c>
      <c r="Y2398" s="62" t="s">
        <v>2059</v>
      </c>
      <c r="Z2398" s="62" t="s">
        <v>4372</v>
      </c>
      <c r="AA2398" s="62" t="s">
        <v>4373</v>
      </c>
      <c r="AB2398" s="62" t="n">
        <v>1</v>
      </c>
      <c r="AC2398" s="62" t="n">
        <v>0</v>
      </c>
      <c r="AD2398" s="62" t="n">
        <v>1</v>
      </c>
      <c r="AE2398" s="62" t="n">
        <f aca="false">IF(AND(Dashboard!$C$9="Yes",AC2398=1),0,1)</f>
        <v>1</v>
      </c>
      <c r="AF2398" s="62" t="n">
        <v>1</v>
      </c>
    </row>
    <row r="2399" customFormat="false" ht="15" hidden="false" customHeight="false" outlineLevel="0" collapsed="false">
      <c r="A2399" s="62" t="n">
        <v>2398</v>
      </c>
      <c r="B2399" s="63" t="n">
        <v>46287.1913194444</v>
      </c>
      <c r="C2399" s="64" t="n">
        <v>46286</v>
      </c>
      <c r="D2399" s="62" t="s">
        <v>429</v>
      </c>
      <c r="E2399" s="62" t="s">
        <v>4370</v>
      </c>
      <c r="F2399" s="62" t="s">
        <v>4370</v>
      </c>
      <c r="G2399" s="62" t="s">
        <v>4371</v>
      </c>
      <c r="H2399" s="62" t="s">
        <v>51</v>
      </c>
      <c r="I2399" s="62" t="s">
        <v>47</v>
      </c>
      <c r="J2399" s="62" t="s">
        <v>146</v>
      </c>
      <c r="K2399" s="62" t="s">
        <v>147</v>
      </c>
      <c r="L2399" s="62" t="s">
        <v>4</v>
      </c>
      <c r="M2399" s="62" t="n">
        <v>1</v>
      </c>
      <c r="N2399" s="62" t="n">
        <v>0</v>
      </c>
      <c r="O2399" s="62" t="n">
        <v>1</v>
      </c>
      <c r="P2399" s="62" t="n">
        <v>0</v>
      </c>
      <c r="Q2399" s="62" t="n">
        <v>0</v>
      </c>
      <c r="R2399" s="62" t="n">
        <v>0</v>
      </c>
      <c r="S2399" s="62" t="n">
        <v>0</v>
      </c>
      <c r="T2399" s="62" t="n">
        <v>0</v>
      </c>
      <c r="U2399" s="62" t="s">
        <v>2056</v>
      </c>
      <c r="V2399" s="62" t="s">
        <v>2057</v>
      </c>
      <c r="W2399" s="62" t="s">
        <v>15</v>
      </c>
      <c r="X2399" s="62" t="s">
        <v>2058</v>
      </c>
      <c r="Y2399" s="62" t="s">
        <v>2059</v>
      </c>
      <c r="Z2399" s="62" t="s">
        <v>4374</v>
      </c>
      <c r="AA2399" s="62" t="s">
        <v>4375</v>
      </c>
      <c r="AB2399" s="62" t="n">
        <v>1</v>
      </c>
      <c r="AC2399" s="62" t="n">
        <v>0</v>
      </c>
      <c r="AD2399" s="62" t="n">
        <v>1</v>
      </c>
      <c r="AE2399" s="62" t="n">
        <f aca="false">IF(AND(Dashboard!$C$9="Yes",AC2399=1),0,1)</f>
        <v>1</v>
      </c>
      <c r="AF2399" s="62" t="n">
        <v>0</v>
      </c>
    </row>
    <row r="2400" customFormat="false" ht="15" hidden="false" customHeight="false" outlineLevel="0" collapsed="false">
      <c r="A2400" s="62" t="n">
        <v>2399</v>
      </c>
      <c r="B2400" s="63" t="n">
        <v>46287.2045833333</v>
      </c>
      <c r="C2400" s="64" t="n">
        <v>46286</v>
      </c>
      <c r="D2400" s="62" t="s">
        <v>429</v>
      </c>
      <c r="E2400" s="62" t="s">
        <v>2910</v>
      </c>
      <c r="F2400" s="62" t="s">
        <v>2910</v>
      </c>
      <c r="G2400" s="62" t="s">
        <v>2911</v>
      </c>
      <c r="H2400" s="62" t="s">
        <v>48</v>
      </c>
      <c r="I2400" s="62" t="s">
        <v>49</v>
      </c>
      <c r="J2400" s="62" t="s">
        <v>146</v>
      </c>
      <c r="K2400" s="62" t="s">
        <v>209</v>
      </c>
      <c r="L2400" s="62" t="s">
        <v>148</v>
      </c>
      <c r="M2400" s="62" t="n">
        <v>0</v>
      </c>
      <c r="N2400" s="62" t="n">
        <v>1</v>
      </c>
      <c r="O2400" s="62" t="n">
        <v>1</v>
      </c>
      <c r="P2400" s="62" t="n">
        <v>1</v>
      </c>
      <c r="Q2400" s="62" t="n">
        <v>0</v>
      </c>
      <c r="R2400" s="62" t="n">
        <v>0</v>
      </c>
      <c r="S2400" s="62" t="n">
        <v>0</v>
      </c>
      <c r="T2400" s="62" t="n">
        <v>0</v>
      </c>
      <c r="U2400" s="62"/>
      <c r="V2400" s="62"/>
      <c r="W2400" s="62"/>
      <c r="X2400" s="62"/>
      <c r="Y2400" s="62"/>
      <c r="Z2400" s="62" t="s">
        <v>4376</v>
      </c>
      <c r="AA2400" s="62" t="s">
        <v>4377</v>
      </c>
      <c r="AB2400" s="62" t="n">
        <v>1</v>
      </c>
      <c r="AC2400" s="62" t="n">
        <v>0</v>
      </c>
      <c r="AD2400" s="62" t="n">
        <v>1</v>
      </c>
      <c r="AE2400" s="62" t="n">
        <f aca="false">IF(AND(Dashboard!$C$9="Yes",AC2400=1),0,1)</f>
        <v>1</v>
      </c>
      <c r="AF2400" s="62" t="n">
        <v>0</v>
      </c>
    </row>
    <row r="2401" customFormat="false" ht="15" hidden="false" customHeight="false" outlineLevel="0" collapsed="false">
      <c r="A2401" s="62" t="n">
        <v>2400</v>
      </c>
      <c r="B2401" s="63" t="n">
        <v>46287.234837963</v>
      </c>
      <c r="C2401" s="64" t="n">
        <v>46286</v>
      </c>
      <c r="D2401" s="62" t="s">
        <v>429</v>
      </c>
      <c r="E2401" s="62" t="s">
        <v>1827</v>
      </c>
      <c r="F2401" s="62" t="s">
        <v>1827</v>
      </c>
      <c r="G2401" s="62" t="s">
        <v>1828</v>
      </c>
      <c r="H2401" s="62" t="s">
        <v>59</v>
      </c>
      <c r="I2401" s="62" t="s">
        <v>47</v>
      </c>
      <c r="J2401" s="62" t="s">
        <v>146</v>
      </c>
      <c r="K2401" s="62" t="s">
        <v>209</v>
      </c>
      <c r="L2401" s="62" t="s">
        <v>148</v>
      </c>
      <c r="M2401" s="62" t="n">
        <v>0</v>
      </c>
      <c r="N2401" s="62" t="n">
        <v>1</v>
      </c>
      <c r="O2401" s="62" t="n">
        <v>1</v>
      </c>
      <c r="P2401" s="62" t="n">
        <v>1</v>
      </c>
      <c r="Q2401" s="62" t="n">
        <v>0</v>
      </c>
      <c r="R2401" s="62" t="n">
        <v>0</v>
      </c>
      <c r="S2401" s="62" t="n">
        <v>0</v>
      </c>
      <c r="T2401" s="62" t="n">
        <v>0</v>
      </c>
      <c r="U2401" s="62"/>
      <c r="V2401" s="62"/>
      <c r="W2401" s="62"/>
      <c r="X2401" s="62"/>
      <c r="Y2401" s="62"/>
      <c r="Z2401" s="62" t="s">
        <v>4378</v>
      </c>
      <c r="AA2401" s="62" t="s">
        <v>4379</v>
      </c>
      <c r="AB2401" s="62" t="n">
        <v>1</v>
      </c>
      <c r="AC2401" s="62" t="n">
        <v>0</v>
      </c>
      <c r="AD2401" s="62" t="n">
        <v>1</v>
      </c>
      <c r="AE2401" s="62" t="n">
        <f aca="false">IF(AND(Dashboard!$C$9="Yes",AC2401=1),0,1)</f>
        <v>1</v>
      </c>
      <c r="AF2401" s="62" t="n">
        <v>1</v>
      </c>
    </row>
    <row r="2402" customFormat="false" ht="15" hidden="false" customHeight="false" outlineLevel="0" collapsed="false">
      <c r="A2402" s="62" t="n">
        <v>2401</v>
      </c>
      <c r="B2402" s="63" t="n">
        <v>46287.6429976852</v>
      </c>
      <c r="C2402" s="64" t="n">
        <v>46287</v>
      </c>
      <c r="D2402" s="62" t="s">
        <v>501</v>
      </c>
      <c r="E2402" s="62" t="s">
        <v>3710</v>
      </c>
      <c r="F2402" s="62" t="s">
        <v>3710</v>
      </c>
      <c r="G2402" s="62" t="s">
        <v>3711</v>
      </c>
      <c r="H2402" s="62" t="s">
        <v>58</v>
      </c>
      <c r="I2402" s="62" t="s">
        <v>49</v>
      </c>
      <c r="J2402" s="62" t="s">
        <v>146</v>
      </c>
      <c r="K2402" s="62" t="s">
        <v>209</v>
      </c>
      <c r="L2402" s="62" t="s">
        <v>4</v>
      </c>
      <c r="M2402" s="62" t="n">
        <v>1</v>
      </c>
      <c r="N2402" s="62" t="n">
        <v>0</v>
      </c>
      <c r="O2402" s="62" t="n">
        <v>1</v>
      </c>
      <c r="P2402" s="62" t="n">
        <v>0</v>
      </c>
      <c r="Q2402" s="62" t="n">
        <v>0</v>
      </c>
      <c r="R2402" s="62" t="n">
        <v>0</v>
      </c>
      <c r="S2402" s="62" t="n">
        <v>0</v>
      </c>
      <c r="T2402" s="62" t="n">
        <v>0</v>
      </c>
      <c r="U2402" s="62" t="s">
        <v>2056</v>
      </c>
      <c r="V2402" s="62" t="s">
        <v>2057</v>
      </c>
      <c r="W2402" s="62" t="s">
        <v>15</v>
      </c>
      <c r="X2402" s="62" t="s">
        <v>2058</v>
      </c>
      <c r="Y2402" s="62" t="s">
        <v>2059</v>
      </c>
      <c r="Z2402" s="62" t="s">
        <v>4380</v>
      </c>
      <c r="AA2402" s="62" t="s">
        <v>4381</v>
      </c>
      <c r="AB2402" s="62" t="n">
        <v>1</v>
      </c>
      <c r="AC2402" s="62" t="n">
        <v>0</v>
      </c>
      <c r="AD2402" s="62" t="n">
        <v>1</v>
      </c>
      <c r="AE2402" s="62" t="n">
        <f aca="false">IF(AND(Dashboard!$C$9="Yes",AC2402=1),0,1)</f>
        <v>1</v>
      </c>
      <c r="AF2402" s="62" t="n">
        <v>1</v>
      </c>
    </row>
    <row r="2403" customFormat="false" ht="15" hidden="false" customHeight="false" outlineLevel="0" collapsed="false">
      <c r="A2403" s="62" t="n">
        <v>2402</v>
      </c>
      <c r="B2403" s="63" t="n">
        <v>46287.6965740741</v>
      </c>
      <c r="C2403" s="64" t="n">
        <v>46287</v>
      </c>
      <c r="D2403" s="62" t="s">
        <v>501</v>
      </c>
      <c r="E2403" s="62" t="s">
        <v>4382</v>
      </c>
      <c r="F2403" s="62" t="s">
        <v>4382</v>
      </c>
      <c r="G2403" s="62" t="s">
        <v>4383</v>
      </c>
      <c r="H2403" s="62" t="s">
        <v>44</v>
      </c>
      <c r="I2403" s="62" t="s">
        <v>61</v>
      </c>
      <c r="J2403" s="62" t="s">
        <v>3708</v>
      </c>
      <c r="K2403" s="62" t="s">
        <v>175</v>
      </c>
      <c r="L2403" s="62" t="s">
        <v>148</v>
      </c>
      <c r="M2403" s="62" t="n">
        <v>0</v>
      </c>
      <c r="N2403" s="62" t="n">
        <v>1</v>
      </c>
      <c r="O2403" s="62" t="n">
        <v>1</v>
      </c>
      <c r="P2403" s="62" t="n">
        <v>0</v>
      </c>
      <c r="Q2403" s="62" t="n">
        <v>1</v>
      </c>
      <c r="R2403" s="62" t="n">
        <v>0</v>
      </c>
      <c r="S2403" s="62" t="n">
        <v>0</v>
      </c>
      <c r="T2403" s="62" t="n">
        <v>0</v>
      </c>
      <c r="U2403" s="62"/>
      <c r="V2403" s="62"/>
      <c r="W2403" s="62"/>
      <c r="X2403" s="62"/>
      <c r="Y2403" s="62"/>
      <c r="Z2403" s="62" t="s">
        <v>4384</v>
      </c>
      <c r="AA2403" s="62" t="s">
        <v>4385</v>
      </c>
      <c r="AB2403" s="62" t="n">
        <v>1</v>
      </c>
      <c r="AC2403" s="62" t="n">
        <v>0</v>
      </c>
      <c r="AD2403" s="62" t="n">
        <v>1</v>
      </c>
      <c r="AE2403" s="62" t="n">
        <f aca="false">IF(AND(Dashboard!$C$9="Yes",AC2403=1),0,1)</f>
        <v>1</v>
      </c>
      <c r="AF2403" s="62" t="n">
        <v>1</v>
      </c>
    </row>
    <row r="2404" customFormat="false" ht="15" hidden="false" customHeight="false" outlineLevel="0" collapsed="false">
      <c r="A2404" s="62" t="n">
        <v>2403</v>
      </c>
      <c r="B2404" s="63" t="n">
        <v>46287.6966898148</v>
      </c>
      <c r="C2404" s="64" t="n">
        <v>46287</v>
      </c>
      <c r="D2404" s="62" t="s">
        <v>501</v>
      </c>
      <c r="E2404" s="62" t="s">
        <v>4386</v>
      </c>
      <c r="F2404" s="62" t="s">
        <v>4386</v>
      </c>
      <c r="G2404" s="62" t="s">
        <v>4387</v>
      </c>
      <c r="H2404" s="62" t="s">
        <v>44</v>
      </c>
      <c r="I2404" s="62" t="s">
        <v>49</v>
      </c>
      <c r="J2404" s="62" t="s">
        <v>146</v>
      </c>
      <c r="K2404" s="62" t="s">
        <v>147</v>
      </c>
      <c r="L2404" s="62" t="s">
        <v>148</v>
      </c>
      <c r="M2404" s="62" t="n">
        <v>0</v>
      </c>
      <c r="N2404" s="62" t="n">
        <v>1</v>
      </c>
      <c r="O2404" s="62" t="n">
        <v>1</v>
      </c>
      <c r="P2404" s="62" t="n">
        <v>1</v>
      </c>
      <c r="Q2404" s="62" t="n">
        <v>0</v>
      </c>
      <c r="R2404" s="62" t="n">
        <v>0</v>
      </c>
      <c r="S2404" s="62" t="n">
        <v>0</v>
      </c>
      <c r="T2404" s="62" t="n">
        <v>0</v>
      </c>
      <c r="U2404" s="62"/>
      <c r="V2404" s="62"/>
      <c r="W2404" s="62"/>
      <c r="X2404" s="62"/>
      <c r="Y2404" s="62"/>
      <c r="Z2404" s="62" t="s">
        <v>4388</v>
      </c>
      <c r="AA2404" s="62" t="s">
        <v>4389</v>
      </c>
      <c r="AB2404" s="62" t="n">
        <v>1</v>
      </c>
      <c r="AC2404" s="62" t="n">
        <v>0</v>
      </c>
      <c r="AD2404" s="62" t="n">
        <v>1</v>
      </c>
      <c r="AE2404" s="62" t="n">
        <f aca="false">IF(AND(Dashboard!$C$9="Yes",AC2404=1),0,1)</f>
        <v>1</v>
      </c>
      <c r="AF2404" s="62" t="n">
        <v>1</v>
      </c>
    </row>
    <row r="2405" customFormat="false" ht="15" hidden="false" customHeight="false" outlineLevel="0" collapsed="false">
      <c r="A2405" s="62" t="n">
        <v>2404</v>
      </c>
      <c r="B2405" s="63" t="n">
        <v>46287.7010300926</v>
      </c>
      <c r="C2405" s="64" t="n">
        <v>46287</v>
      </c>
      <c r="D2405" s="62" t="s">
        <v>501</v>
      </c>
      <c r="E2405" s="62" t="s">
        <v>203</v>
      </c>
      <c r="F2405" s="62" t="s">
        <v>203</v>
      </c>
      <c r="G2405" s="62" t="s">
        <v>204</v>
      </c>
      <c r="H2405" s="62" t="s">
        <v>51</v>
      </c>
      <c r="I2405" s="62" t="s">
        <v>47</v>
      </c>
      <c r="J2405" s="62" t="s">
        <v>146</v>
      </c>
      <c r="K2405" s="62" t="s">
        <v>147</v>
      </c>
      <c r="L2405" s="62" t="s">
        <v>148</v>
      </c>
      <c r="M2405" s="62" t="n">
        <v>0</v>
      </c>
      <c r="N2405" s="62" t="n">
        <v>1</v>
      </c>
      <c r="O2405" s="62" t="n">
        <v>1</v>
      </c>
      <c r="P2405" s="62" t="n">
        <v>0</v>
      </c>
      <c r="Q2405" s="62" t="n">
        <v>1</v>
      </c>
      <c r="R2405" s="62" t="n">
        <v>0</v>
      </c>
      <c r="S2405" s="62" t="n">
        <v>0</v>
      </c>
      <c r="T2405" s="62" t="n">
        <v>0</v>
      </c>
      <c r="U2405" s="62"/>
      <c r="V2405" s="62"/>
      <c r="W2405" s="62"/>
      <c r="X2405" s="62"/>
      <c r="Y2405" s="62"/>
      <c r="Z2405" s="62" t="s">
        <v>4390</v>
      </c>
      <c r="AA2405" s="62" t="s">
        <v>485</v>
      </c>
      <c r="AB2405" s="62" t="n">
        <v>0</v>
      </c>
      <c r="AC2405" s="62" t="n">
        <v>0</v>
      </c>
      <c r="AD2405" s="62" t="n">
        <v>1</v>
      </c>
      <c r="AE2405" s="62" t="n">
        <f aca="false">IF(AND(Dashboard!$C$9="Yes",AC2405=1),0,1)</f>
        <v>1</v>
      </c>
      <c r="AF2405" s="62" t="n">
        <v>1</v>
      </c>
    </row>
    <row r="2406" customFormat="false" ht="15" hidden="false" customHeight="false" outlineLevel="0" collapsed="false">
      <c r="A2406" s="62" t="n">
        <v>2405</v>
      </c>
      <c r="B2406" s="63" t="n">
        <v>46287.7101967593</v>
      </c>
      <c r="C2406" s="64" t="n">
        <v>46287</v>
      </c>
      <c r="D2406" s="62" t="s">
        <v>501</v>
      </c>
      <c r="E2406" s="62" t="s">
        <v>4391</v>
      </c>
      <c r="F2406" s="62" t="s">
        <v>4391</v>
      </c>
      <c r="G2406" s="62" t="s">
        <v>4392</v>
      </c>
      <c r="H2406" s="62" t="s">
        <v>44</v>
      </c>
      <c r="I2406" s="62" t="s">
        <v>49</v>
      </c>
      <c r="J2406" s="62" t="s">
        <v>146</v>
      </c>
      <c r="K2406" s="62" t="s">
        <v>147</v>
      </c>
      <c r="L2406" s="62" t="s">
        <v>4</v>
      </c>
      <c r="M2406" s="62" t="n">
        <v>1</v>
      </c>
      <c r="N2406" s="62" t="n">
        <v>0</v>
      </c>
      <c r="O2406" s="62" t="n">
        <v>1</v>
      </c>
      <c r="P2406" s="62" t="n">
        <v>0</v>
      </c>
      <c r="Q2406" s="62" t="n">
        <v>0</v>
      </c>
      <c r="R2406" s="62" t="n">
        <v>0</v>
      </c>
      <c r="S2406" s="62" t="n">
        <v>0</v>
      </c>
      <c r="T2406" s="62" t="n">
        <v>0</v>
      </c>
      <c r="U2406" s="62" t="s">
        <v>2056</v>
      </c>
      <c r="V2406" s="62" t="s">
        <v>2057</v>
      </c>
      <c r="W2406" s="62" t="s">
        <v>2056</v>
      </c>
      <c r="X2406" s="62" t="s">
        <v>2058</v>
      </c>
      <c r="Y2406" s="62" t="s">
        <v>2059</v>
      </c>
      <c r="Z2406" s="62" t="s">
        <v>4393</v>
      </c>
      <c r="AA2406" s="62" t="s">
        <v>4394</v>
      </c>
      <c r="AB2406" s="62" t="n">
        <v>1</v>
      </c>
      <c r="AC2406" s="62" t="n">
        <v>0</v>
      </c>
      <c r="AD2406" s="62" t="n">
        <v>1</v>
      </c>
      <c r="AE2406" s="62" t="n">
        <f aca="false">IF(AND(Dashboard!$C$9="Yes",AC2406=1),0,1)</f>
        <v>1</v>
      </c>
      <c r="AF2406" s="62" t="n">
        <v>1</v>
      </c>
    </row>
    <row r="2407" customFormat="false" ht="15" hidden="false" customHeight="false" outlineLevel="0" collapsed="false">
      <c r="A2407" s="62" t="n">
        <v>2406</v>
      </c>
      <c r="B2407" s="63" t="n">
        <v>46287.7102893519</v>
      </c>
      <c r="C2407" s="64" t="n">
        <v>46287</v>
      </c>
      <c r="D2407" s="62" t="s">
        <v>501</v>
      </c>
      <c r="E2407" s="62" t="s">
        <v>939</v>
      </c>
      <c r="F2407" s="62" t="s">
        <v>939</v>
      </c>
      <c r="G2407" s="62" t="s">
        <v>940</v>
      </c>
      <c r="H2407" s="62" t="s">
        <v>57</v>
      </c>
      <c r="I2407" s="62" t="s">
        <v>47</v>
      </c>
      <c r="J2407" s="62" t="s">
        <v>146</v>
      </c>
      <c r="K2407" s="62" t="s">
        <v>147</v>
      </c>
      <c r="L2407" s="62" t="s">
        <v>148</v>
      </c>
      <c r="M2407" s="62" t="n">
        <v>0</v>
      </c>
      <c r="N2407" s="62" t="n">
        <v>1</v>
      </c>
      <c r="O2407" s="62" t="n">
        <v>1</v>
      </c>
      <c r="P2407" s="62" t="n">
        <v>1</v>
      </c>
      <c r="Q2407" s="62" t="n">
        <v>0</v>
      </c>
      <c r="R2407" s="62" t="n">
        <v>0</v>
      </c>
      <c r="S2407" s="62" t="n">
        <v>0</v>
      </c>
      <c r="T2407" s="62" t="n">
        <v>0</v>
      </c>
      <c r="U2407" s="62"/>
      <c r="V2407" s="62"/>
      <c r="W2407" s="62"/>
      <c r="X2407" s="62"/>
      <c r="Y2407" s="62"/>
      <c r="Z2407" s="62" t="s">
        <v>4395</v>
      </c>
      <c r="AA2407" s="62" t="s">
        <v>4396</v>
      </c>
      <c r="AB2407" s="62" t="n">
        <v>1</v>
      </c>
      <c r="AC2407" s="62" t="n">
        <v>0</v>
      </c>
      <c r="AD2407" s="62" t="n">
        <v>1</v>
      </c>
      <c r="AE2407" s="62" t="n">
        <f aca="false">IF(AND(Dashboard!$C$9="Yes",AC2407=1),0,1)</f>
        <v>1</v>
      </c>
      <c r="AF2407" s="62" t="n">
        <v>1</v>
      </c>
    </row>
    <row r="2408" customFormat="false" ht="15" hidden="false" customHeight="false" outlineLevel="0" collapsed="false">
      <c r="A2408" s="62" t="n">
        <v>2407</v>
      </c>
      <c r="B2408" s="63" t="n">
        <v>46287.7107175926</v>
      </c>
      <c r="C2408" s="64" t="n">
        <v>46287</v>
      </c>
      <c r="D2408" s="62" t="s">
        <v>501</v>
      </c>
      <c r="E2408" s="62" t="s">
        <v>2119</v>
      </c>
      <c r="F2408" s="62" t="s">
        <v>2119</v>
      </c>
      <c r="G2408" s="62" t="s">
        <v>2120</v>
      </c>
      <c r="H2408" s="62" t="s">
        <v>52</v>
      </c>
      <c r="I2408" s="62" t="s">
        <v>47</v>
      </c>
      <c r="J2408" s="62" t="s">
        <v>146</v>
      </c>
      <c r="K2408" s="62" t="s">
        <v>147</v>
      </c>
      <c r="L2408" s="62" t="s">
        <v>148</v>
      </c>
      <c r="M2408" s="62" t="n">
        <v>0</v>
      </c>
      <c r="N2408" s="62" t="n">
        <v>2</v>
      </c>
      <c r="O2408" s="62" t="n">
        <v>2</v>
      </c>
      <c r="P2408" s="62" t="n">
        <v>1</v>
      </c>
      <c r="Q2408" s="62" t="n">
        <v>1</v>
      </c>
      <c r="R2408" s="62" t="n">
        <v>0</v>
      </c>
      <c r="S2408" s="62" t="n">
        <v>0</v>
      </c>
      <c r="T2408" s="62" t="n">
        <v>0</v>
      </c>
      <c r="U2408" s="62"/>
      <c r="V2408" s="62"/>
      <c r="W2408" s="62"/>
      <c r="X2408" s="62"/>
      <c r="Y2408" s="62"/>
      <c r="Z2408" s="62" t="s">
        <v>4397</v>
      </c>
      <c r="AA2408" s="62" t="s">
        <v>3015</v>
      </c>
      <c r="AB2408" s="62" t="n">
        <v>1</v>
      </c>
      <c r="AC2408" s="62" t="n">
        <v>0</v>
      </c>
      <c r="AD2408" s="62" t="n">
        <v>1</v>
      </c>
      <c r="AE2408" s="62" t="n">
        <f aca="false">IF(AND(Dashboard!$C$9="Yes",AC2408=1),0,1)</f>
        <v>1</v>
      </c>
      <c r="AF2408" s="62" t="n">
        <v>1</v>
      </c>
    </row>
    <row r="2409" customFormat="false" ht="15" hidden="false" customHeight="false" outlineLevel="0" collapsed="false">
      <c r="A2409" s="62" t="n">
        <v>2408</v>
      </c>
      <c r="B2409" s="63" t="n">
        <v>46287.7271643519</v>
      </c>
      <c r="C2409" s="64" t="n">
        <v>46287</v>
      </c>
      <c r="D2409" s="62" t="s">
        <v>501</v>
      </c>
      <c r="E2409" s="62" t="s">
        <v>160</v>
      </c>
      <c r="F2409" s="62" t="s">
        <v>160</v>
      </c>
      <c r="G2409" s="62" t="s">
        <v>161</v>
      </c>
      <c r="H2409" s="62" t="s">
        <v>51</v>
      </c>
      <c r="I2409" s="62" t="s">
        <v>47</v>
      </c>
      <c r="J2409" s="62" t="s">
        <v>146</v>
      </c>
      <c r="K2409" s="62" t="s">
        <v>147</v>
      </c>
      <c r="L2409" s="62" t="s">
        <v>4</v>
      </c>
      <c r="M2409" s="62" t="n">
        <v>1</v>
      </c>
      <c r="N2409" s="62" t="n">
        <v>0</v>
      </c>
      <c r="O2409" s="62" t="n">
        <v>1</v>
      </c>
      <c r="P2409" s="62" t="n">
        <v>0</v>
      </c>
      <c r="Q2409" s="62" t="n">
        <v>0</v>
      </c>
      <c r="R2409" s="62" t="n">
        <v>0</v>
      </c>
      <c r="S2409" s="62" t="n">
        <v>0</v>
      </c>
      <c r="T2409" s="62" t="n">
        <v>0</v>
      </c>
      <c r="U2409" s="62" t="s">
        <v>2056</v>
      </c>
      <c r="V2409" s="62" t="s">
        <v>2057</v>
      </c>
      <c r="W2409" s="62" t="s">
        <v>2056</v>
      </c>
      <c r="X2409" s="62" t="s">
        <v>2164</v>
      </c>
      <c r="Y2409" s="62" t="s">
        <v>2165</v>
      </c>
      <c r="Z2409" s="62" t="s">
        <v>4398</v>
      </c>
      <c r="AA2409" s="62" t="s">
        <v>4399</v>
      </c>
      <c r="AB2409" s="62" t="n">
        <v>1</v>
      </c>
      <c r="AC2409" s="62" t="n">
        <v>0</v>
      </c>
      <c r="AD2409" s="62" t="n">
        <v>1</v>
      </c>
      <c r="AE2409" s="62" t="n">
        <f aca="false">IF(AND(Dashboard!$C$9="Yes",AC2409=1),0,1)</f>
        <v>1</v>
      </c>
      <c r="AF2409" s="62" t="n">
        <v>1</v>
      </c>
    </row>
    <row r="2410" customFormat="false" ht="15" hidden="false" customHeight="false" outlineLevel="0" collapsed="false">
      <c r="A2410" s="62" t="n">
        <v>2409</v>
      </c>
      <c r="B2410" s="63" t="n">
        <v>46287.7275231482</v>
      </c>
      <c r="C2410" s="64" t="n">
        <v>46287</v>
      </c>
      <c r="D2410" s="62" t="s">
        <v>501</v>
      </c>
      <c r="E2410" s="62" t="s">
        <v>4226</v>
      </c>
      <c r="F2410" s="62" t="s">
        <v>4226</v>
      </c>
      <c r="G2410" s="62" t="s">
        <v>4227</v>
      </c>
      <c r="H2410" s="62" t="s">
        <v>44</v>
      </c>
      <c r="I2410" s="62" t="s">
        <v>49</v>
      </c>
      <c r="J2410" s="62" t="s">
        <v>146</v>
      </c>
      <c r="K2410" s="62" t="s">
        <v>147</v>
      </c>
      <c r="L2410" s="62" t="s">
        <v>148</v>
      </c>
      <c r="M2410" s="62" t="n">
        <v>0</v>
      </c>
      <c r="N2410" s="62" t="n">
        <v>1</v>
      </c>
      <c r="O2410" s="62" t="n">
        <v>1</v>
      </c>
      <c r="P2410" s="62" t="n">
        <v>1</v>
      </c>
      <c r="Q2410" s="62" t="n">
        <v>0</v>
      </c>
      <c r="R2410" s="62" t="n">
        <v>0</v>
      </c>
      <c r="S2410" s="62" t="n">
        <v>0</v>
      </c>
      <c r="T2410" s="62" t="n">
        <v>0</v>
      </c>
      <c r="U2410" s="62"/>
      <c r="V2410" s="62"/>
      <c r="W2410" s="62"/>
      <c r="X2410" s="62"/>
      <c r="Y2410" s="62"/>
      <c r="Z2410" s="62" t="s">
        <v>4400</v>
      </c>
      <c r="AA2410" s="62" t="s">
        <v>4401</v>
      </c>
      <c r="AB2410" s="62" t="n">
        <v>1</v>
      </c>
      <c r="AC2410" s="62" t="n">
        <v>0</v>
      </c>
      <c r="AD2410" s="62" t="n">
        <v>1</v>
      </c>
      <c r="AE2410" s="62" t="n">
        <f aca="false">IF(AND(Dashboard!$C$9="Yes",AC2410=1),0,1)</f>
        <v>1</v>
      </c>
      <c r="AF2410" s="62" t="n">
        <v>1</v>
      </c>
    </row>
    <row r="2411" customFormat="false" ht="15" hidden="false" customHeight="false" outlineLevel="0" collapsed="false">
      <c r="A2411" s="62" t="n">
        <v>2410</v>
      </c>
      <c r="B2411" s="63" t="n">
        <v>46287.7288425926</v>
      </c>
      <c r="C2411" s="64" t="n">
        <v>46287</v>
      </c>
      <c r="D2411" s="62" t="s">
        <v>501</v>
      </c>
      <c r="E2411" s="62" t="s">
        <v>2385</v>
      </c>
      <c r="F2411" s="62" t="s">
        <v>2385</v>
      </c>
      <c r="G2411" s="62" t="s">
        <v>2386</v>
      </c>
      <c r="H2411" s="62" t="s">
        <v>59</v>
      </c>
      <c r="I2411" s="62" t="s">
        <v>47</v>
      </c>
      <c r="J2411" s="62" t="s">
        <v>146</v>
      </c>
      <c r="K2411" s="62" t="s">
        <v>209</v>
      </c>
      <c r="L2411" s="62" t="s">
        <v>148</v>
      </c>
      <c r="M2411" s="62" t="n">
        <v>0</v>
      </c>
      <c r="N2411" s="62" t="n">
        <v>1</v>
      </c>
      <c r="O2411" s="62" t="n">
        <v>1</v>
      </c>
      <c r="P2411" s="62" t="n">
        <v>1</v>
      </c>
      <c r="Q2411" s="62" t="n">
        <v>0</v>
      </c>
      <c r="R2411" s="62" t="n">
        <v>0</v>
      </c>
      <c r="S2411" s="62" t="n">
        <v>0</v>
      </c>
      <c r="T2411" s="62" t="n">
        <v>0</v>
      </c>
      <c r="U2411" s="62"/>
      <c r="V2411" s="62"/>
      <c r="W2411" s="62"/>
      <c r="X2411" s="62"/>
      <c r="Y2411" s="62"/>
      <c r="Z2411" s="62" t="s">
        <v>4402</v>
      </c>
      <c r="AA2411" s="62" t="s">
        <v>64</v>
      </c>
      <c r="AB2411" s="62" t="n">
        <v>0</v>
      </c>
      <c r="AC2411" s="62" t="n">
        <v>0</v>
      </c>
      <c r="AD2411" s="62" t="n">
        <v>1</v>
      </c>
      <c r="AE2411" s="62" t="n">
        <f aca="false">IF(AND(Dashboard!$C$9="Yes",AC2411=1),0,1)</f>
        <v>1</v>
      </c>
      <c r="AF2411" s="62" t="n">
        <v>1</v>
      </c>
    </row>
    <row r="2412" customFormat="false" ht="15" hidden="false" customHeight="false" outlineLevel="0" collapsed="false">
      <c r="A2412" s="62" t="n">
        <v>2411</v>
      </c>
      <c r="B2412" s="63" t="n">
        <v>46287.7330208333</v>
      </c>
      <c r="C2412" s="64" t="n">
        <v>46287</v>
      </c>
      <c r="D2412" s="62" t="s">
        <v>501</v>
      </c>
      <c r="E2412" s="62" t="s">
        <v>4403</v>
      </c>
      <c r="F2412" s="62" t="s">
        <v>4404</v>
      </c>
      <c r="G2412" s="62" t="s">
        <v>153</v>
      </c>
      <c r="H2412" s="62" t="s">
        <v>153</v>
      </c>
      <c r="I2412" s="62" t="s">
        <v>153</v>
      </c>
      <c r="J2412" s="62" t="s">
        <v>64</v>
      </c>
      <c r="K2412" s="62" t="s">
        <v>64</v>
      </c>
      <c r="L2412" s="62" t="s">
        <v>4</v>
      </c>
      <c r="M2412" s="62" t="n">
        <v>10</v>
      </c>
      <c r="N2412" s="62" t="n">
        <v>0</v>
      </c>
      <c r="O2412" s="62" t="n">
        <v>10</v>
      </c>
      <c r="P2412" s="62" t="n">
        <v>0</v>
      </c>
      <c r="Q2412" s="62" t="n">
        <v>0</v>
      </c>
      <c r="R2412" s="62" t="n">
        <v>0</v>
      </c>
      <c r="S2412" s="62" t="n">
        <v>0</v>
      </c>
      <c r="T2412" s="62" t="n">
        <v>0</v>
      </c>
      <c r="U2412" s="62" t="s">
        <v>15</v>
      </c>
      <c r="V2412" s="62" t="s">
        <v>2057</v>
      </c>
      <c r="W2412" s="62" t="s">
        <v>15</v>
      </c>
      <c r="X2412" s="62" t="s">
        <v>2058</v>
      </c>
      <c r="Y2412" s="62" t="s">
        <v>2059</v>
      </c>
      <c r="Z2412" s="62" t="s">
        <v>4403</v>
      </c>
      <c r="AA2412" s="62" t="s">
        <v>4403</v>
      </c>
      <c r="AB2412" s="62" t="n">
        <v>0</v>
      </c>
      <c r="AC2412" s="62" t="n">
        <v>0</v>
      </c>
      <c r="AD2412" s="62" t="n">
        <v>0</v>
      </c>
      <c r="AE2412" s="62" t="n">
        <f aca="false">IF(AND(Dashboard!$C$9="Yes",AC2412=1),0,1)</f>
        <v>1</v>
      </c>
      <c r="AF2412" s="62" t="n">
        <v>1</v>
      </c>
    </row>
    <row r="2413" customFormat="false" ht="15" hidden="false" customHeight="false" outlineLevel="0" collapsed="false">
      <c r="A2413" s="62" t="n">
        <v>2412</v>
      </c>
      <c r="B2413" s="63" t="n">
        <v>46287.7335185185</v>
      </c>
      <c r="C2413" s="64" t="n">
        <v>46287</v>
      </c>
      <c r="D2413" s="62" t="s">
        <v>501</v>
      </c>
      <c r="E2413" s="62" t="s">
        <v>3061</v>
      </c>
      <c r="F2413" s="62" t="s">
        <v>3061</v>
      </c>
      <c r="G2413" s="62" t="s">
        <v>3062</v>
      </c>
      <c r="H2413" s="62" t="s">
        <v>44</v>
      </c>
      <c r="I2413" s="62" t="s">
        <v>49</v>
      </c>
      <c r="J2413" s="62" t="s">
        <v>146</v>
      </c>
      <c r="K2413" s="62" t="s">
        <v>147</v>
      </c>
      <c r="L2413" s="62" t="s">
        <v>148</v>
      </c>
      <c r="M2413" s="62" t="n">
        <v>0</v>
      </c>
      <c r="N2413" s="62" t="n">
        <v>1</v>
      </c>
      <c r="O2413" s="62" t="n">
        <v>1</v>
      </c>
      <c r="P2413" s="62" t="n">
        <v>1</v>
      </c>
      <c r="Q2413" s="62" t="n">
        <v>0</v>
      </c>
      <c r="R2413" s="62" t="n">
        <v>0</v>
      </c>
      <c r="S2413" s="62" t="n">
        <v>0</v>
      </c>
      <c r="T2413" s="62" t="n">
        <v>0</v>
      </c>
      <c r="U2413" s="62"/>
      <c r="V2413" s="62"/>
      <c r="W2413" s="62"/>
      <c r="X2413" s="62"/>
      <c r="Y2413" s="62"/>
      <c r="Z2413" s="62" t="s">
        <v>4405</v>
      </c>
      <c r="AA2413" s="62" t="s">
        <v>4406</v>
      </c>
      <c r="AB2413" s="62" t="n">
        <v>1</v>
      </c>
      <c r="AC2413" s="62" t="n">
        <v>0</v>
      </c>
      <c r="AD2413" s="62" t="n">
        <v>1</v>
      </c>
      <c r="AE2413" s="62" t="n">
        <f aca="false">IF(AND(Dashboard!$C$9="Yes",AC2413=1),0,1)</f>
        <v>1</v>
      </c>
      <c r="AF2413" s="62" t="n">
        <v>1</v>
      </c>
    </row>
    <row r="2414" customFormat="false" ht="15" hidden="false" customHeight="false" outlineLevel="0" collapsed="false">
      <c r="A2414" s="62" t="n">
        <v>2413</v>
      </c>
      <c r="B2414" s="63" t="n">
        <v>46287.7432291667</v>
      </c>
      <c r="C2414" s="64" t="n">
        <v>46287</v>
      </c>
      <c r="D2414" s="62" t="s">
        <v>501</v>
      </c>
      <c r="E2414" s="62" t="s">
        <v>939</v>
      </c>
      <c r="F2414" s="62" t="s">
        <v>939</v>
      </c>
      <c r="G2414" s="62" t="s">
        <v>940</v>
      </c>
      <c r="H2414" s="62" t="s">
        <v>57</v>
      </c>
      <c r="I2414" s="62" t="s">
        <v>47</v>
      </c>
      <c r="J2414" s="62" t="s">
        <v>146</v>
      </c>
      <c r="K2414" s="62" t="s">
        <v>147</v>
      </c>
      <c r="L2414" s="62" t="s">
        <v>148</v>
      </c>
      <c r="M2414" s="62" t="n">
        <v>0</v>
      </c>
      <c r="N2414" s="62" t="n">
        <v>1</v>
      </c>
      <c r="O2414" s="62" t="n">
        <v>1</v>
      </c>
      <c r="P2414" s="62" t="n">
        <v>1</v>
      </c>
      <c r="Q2414" s="62" t="n">
        <v>0</v>
      </c>
      <c r="R2414" s="62" t="n">
        <v>0</v>
      </c>
      <c r="S2414" s="62" t="n">
        <v>0</v>
      </c>
      <c r="T2414" s="62" t="n">
        <v>0</v>
      </c>
      <c r="U2414" s="62"/>
      <c r="V2414" s="62"/>
      <c r="W2414" s="62"/>
      <c r="X2414" s="62"/>
      <c r="Y2414" s="62"/>
      <c r="Z2414" s="62" t="s">
        <v>4407</v>
      </c>
      <c r="AA2414" s="62" t="s">
        <v>4408</v>
      </c>
      <c r="AB2414" s="62" t="n">
        <v>1</v>
      </c>
      <c r="AC2414" s="62" t="n">
        <v>0</v>
      </c>
      <c r="AD2414" s="62" t="n">
        <v>1</v>
      </c>
      <c r="AE2414" s="62" t="n">
        <f aca="false">IF(AND(Dashboard!$C$9="Yes",AC2414=1),0,1)</f>
        <v>1</v>
      </c>
      <c r="AF2414" s="62" t="n">
        <v>0</v>
      </c>
    </row>
    <row r="2415" customFormat="false" ht="15" hidden="false" customHeight="false" outlineLevel="0" collapsed="false">
      <c r="A2415" s="62" t="n">
        <v>2414</v>
      </c>
      <c r="B2415" s="63" t="n">
        <v>46287.7748148148</v>
      </c>
      <c r="C2415" s="64" t="n">
        <v>46287</v>
      </c>
      <c r="D2415" s="62" t="s">
        <v>501</v>
      </c>
      <c r="E2415" s="62" t="s">
        <v>3710</v>
      </c>
      <c r="F2415" s="62" t="s">
        <v>3710</v>
      </c>
      <c r="G2415" s="62" t="s">
        <v>3711</v>
      </c>
      <c r="H2415" s="62" t="s">
        <v>58</v>
      </c>
      <c r="I2415" s="62" t="s">
        <v>49</v>
      </c>
      <c r="J2415" s="62" t="s">
        <v>146</v>
      </c>
      <c r="K2415" s="62" t="s">
        <v>209</v>
      </c>
      <c r="L2415" s="62" t="s">
        <v>4</v>
      </c>
      <c r="M2415" s="62" t="n">
        <v>1</v>
      </c>
      <c r="N2415" s="62" t="n">
        <v>0</v>
      </c>
      <c r="O2415" s="62" t="n">
        <v>1</v>
      </c>
      <c r="P2415" s="62" t="n">
        <v>0</v>
      </c>
      <c r="Q2415" s="62" t="n">
        <v>0</v>
      </c>
      <c r="R2415" s="62" t="n">
        <v>0</v>
      </c>
      <c r="S2415" s="62" t="n">
        <v>0</v>
      </c>
      <c r="T2415" s="62" t="n">
        <v>0</v>
      </c>
      <c r="U2415" s="62" t="s">
        <v>2056</v>
      </c>
      <c r="V2415" s="62" t="s">
        <v>2057</v>
      </c>
      <c r="W2415" s="62" t="s">
        <v>15</v>
      </c>
      <c r="X2415" s="62" t="s">
        <v>2058</v>
      </c>
      <c r="Y2415" s="62" t="s">
        <v>2059</v>
      </c>
      <c r="Z2415" s="62" t="s">
        <v>4409</v>
      </c>
      <c r="AA2415" s="62" t="s">
        <v>4410</v>
      </c>
      <c r="AB2415" s="62" t="n">
        <v>1</v>
      </c>
      <c r="AC2415" s="62" t="n">
        <v>0</v>
      </c>
      <c r="AD2415" s="62" t="n">
        <v>1</v>
      </c>
      <c r="AE2415" s="62" t="n">
        <f aca="false">IF(AND(Dashboard!$C$9="Yes",AC2415=1),0,1)</f>
        <v>1</v>
      </c>
      <c r="AF2415" s="62" t="n">
        <v>0</v>
      </c>
    </row>
    <row r="2416" customFormat="false" ht="15" hidden="false" customHeight="false" outlineLevel="0" collapsed="false">
      <c r="A2416" s="62" t="n">
        <v>2415</v>
      </c>
      <c r="B2416" s="63" t="n">
        <v>46287.7787384259</v>
      </c>
      <c r="C2416" s="64" t="n">
        <v>46287</v>
      </c>
      <c r="D2416" s="62" t="s">
        <v>501</v>
      </c>
      <c r="E2416" s="62" t="s">
        <v>4411</v>
      </c>
      <c r="F2416" s="62" t="s">
        <v>4412</v>
      </c>
      <c r="G2416" s="62" t="s">
        <v>153</v>
      </c>
      <c r="H2416" s="62" t="s">
        <v>153</v>
      </c>
      <c r="I2416" s="62" t="s">
        <v>153</v>
      </c>
      <c r="J2416" s="62" t="s">
        <v>64</v>
      </c>
      <c r="K2416" s="62" t="s">
        <v>64</v>
      </c>
      <c r="L2416" s="62" t="s">
        <v>148</v>
      </c>
      <c r="M2416" s="62" t="n">
        <v>0</v>
      </c>
      <c r="N2416" s="62" t="n">
        <v>1</v>
      </c>
      <c r="O2416" s="62" t="n">
        <v>1</v>
      </c>
      <c r="P2416" s="62" t="n">
        <v>1</v>
      </c>
      <c r="Q2416" s="62" t="n">
        <v>0</v>
      </c>
      <c r="R2416" s="62" t="n">
        <v>0</v>
      </c>
      <c r="S2416" s="62" t="n">
        <v>0</v>
      </c>
      <c r="T2416" s="62" t="n">
        <v>0</v>
      </c>
      <c r="U2416" s="62"/>
      <c r="V2416" s="62"/>
      <c r="W2416" s="62"/>
      <c r="X2416" s="62"/>
      <c r="Y2416" s="62"/>
      <c r="Z2416" s="62" t="s">
        <v>4413</v>
      </c>
      <c r="AA2416" s="62" t="s">
        <v>337</v>
      </c>
      <c r="AB2416" s="62" t="n">
        <v>0</v>
      </c>
      <c r="AC2416" s="62" t="n">
        <v>0</v>
      </c>
      <c r="AD2416" s="62" t="n">
        <v>0</v>
      </c>
      <c r="AE2416" s="62" t="n">
        <f aca="false">IF(AND(Dashboard!$C$9="Yes",AC2416=1),0,1)</f>
        <v>1</v>
      </c>
      <c r="AF2416" s="62" t="n">
        <v>1</v>
      </c>
    </row>
    <row r="2417" customFormat="false" ht="15" hidden="false" customHeight="false" outlineLevel="0" collapsed="false">
      <c r="A2417" s="62" t="n">
        <v>2416</v>
      </c>
      <c r="B2417" s="63" t="n">
        <v>46287.7791898148</v>
      </c>
      <c r="C2417" s="64" t="n">
        <v>46287</v>
      </c>
      <c r="D2417" s="62" t="s">
        <v>501</v>
      </c>
      <c r="E2417" s="62" t="s">
        <v>2845</v>
      </c>
      <c r="F2417" s="62" t="s">
        <v>2845</v>
      </c>
      <c r="G2417" s="62" t="s">
        <v>181</v>
      </c>
      <c r="H2417" s="62" t="s">
        <v>48</v>
      </c>
      <c r="I2417" s="62" t="s">
        <v>49</v>
      </c>
      <c r="J2417" s="62" t="s">
        <v>146</v>
      </c>
      <c r="K2417" s="62" t="s">
        <v>209</v>
      </c>
      <c r="L2417" s="62" t="s">
        <v>148</v>
      </c>
      <c r="M2417" s="62" t="n">
        <v>0</v>
      </c>
      <c r="N2417" s="62" t="n">
        <v>1</v>
      </c>
      <c r="O2417" s="62" t="n">
        <v>1</v>
      </c>
      <c r="P2417" s="62" t="n">
        <v>0</v>
      </c>
      <c r="Q2417" s="62" t="n">
        <v>1</v>
      </c>
      <c r="R2417" s="62" t="n">
        <v>0</v>
      </c>
      <c r="S2417" s="62" t="n">
        <v>0</v>
      </c>
      <c r="T2417" s="62" t="n">
        <v>0</v>
      </c>
      <c r="U2417" s="62"/>
      <c r="V2417" s="62"/>
      <c r="W2417" s="62"/>
      <c r="X2417" s="62"/>
      <c r="Y2417" s="62"/>
      <c r="Z2417" s="62" t="s">
        <v>4414</v>
      </c>
      <c r="AA2417" s="62" t="s">
        <v>4415</v>
      </c>
      <c r="AB2417" s="62" t="n">
        <v>1</v>
      </c>
      <c r="AC2417" s="62" t="n">
        <v>0</v>
      </c>
      <c r="AD2417" s="62" t="n">
        <v>1</v>
      </c>
      <c r="AE2417" s="62" t="n">
        <f aca="false">IF(AND(Dashboard!$C$9="Yes",AC2417=1),0,1)</f>
        <v>1</v>
      </c>
      <c r="AF2417" s="62" t="n">
        <v>1</v>
      </c>
    </row>
    <row r="2418" customFormat="false" ht="15" hidden="false" customHeight="false" outlineLevel="0" collapsed="false">
      <c r="A2418" s="62" t="n">
        <v>2417</v>
      </c>
      <c r="B2418" s="63" t="n">
        <v>46287.8078125</v>
      </c>
      <c r="C2418" s="64" t="n">
        <v>46287</v>
      </c>
      <c r="D2418" s="62" t="s">
        <v>501</v>
      </c>
      <c r="E2418" s="62" t="s">
        <v>4386</v>
      </c>
      <c r="F2418" s="62" t="s">
        <v>4386</v>
      </c>
      <c r="G2418" s="62" t="s">
        <v>4387</v>
      </c>
      <c r="H2418" s="62" t="s">
        <v>44</v>
      </c>
      <c r="I2418" s="62" t="s">
        <v>49</v>
      </c>
      <c r="J2418" s="62" t="s">
        <v>146</v>
      </c>
      <c r="K2418" s="62" t="s">
        <v>147</v>
      </c>
      <c r="L2418" s="62" t="s">
        <v>148</v>
      </c>
      <c r="M2418" s="62" t="n">
        <v>0</v>
      </c>
      <c r="N2418" s="62" t="n">
        <v>2</v>
      </c>
      <c r="O2418" s="62" t="n">
        <v>2</v>
      </c>
      <c r="P2418" s="62" t="n">
        <v>1</v>
      </c>
      <c r="Q2418" s="62" t="n">
        <v>1</v>
      </c>
      <c r="R2418" s="62" t="n">
        <v>0</v>
      </c>
      <c r="S2418" s="62" t="n">
        <v>0</v>
      </c>
      <c r="T2418" s="62" t="n">
        <v>0</v>
      </c>
      <c r="U2418" s="62"/>
      <c r="V2418" s="62"/>
      <c r="W2418" s="62"/>
      <c r="X2418" s="62"/>
      <c r="Y2418" s="62"/>
      <c r="Z2418" s="62" t="s">
        <v>4416</v>
      </c>
      <c r="AA2418" s="62" t="s">
        <v>4417</v>
      </c>
      <c r="AB2418" s="62" t="n">
        <v>1</v>
      </c>
      <c r="AC2418" s="62" t="n">
        <v>0</v>
      </c>
      <c r="AD2418" s="62" t="n">
        <v>1</v>
      </c>
      <c r="AE2418" s="62" t="n">
        <f aca="false">IF(AND(Dashboard!$C$9="Yes",AC2418=1),0,1)</f>
        <v>1</v>
      </c>
      <c r="AF2418" s="62" t="n">
        <v>0</v>
      </c>
    </row>
    <row r="2419" customFormat="false" ht="15" hidden="false" customHeight="false" outlineLevel="0" collapsed="false">
      <c r="A2419" s="62" t="n">
        <v>2418</v>
      </c>
      <c r="B2419" s="63" t="n">
        <v>46287.809537037</v>
      </c>
      <c r="C2419" s="64" t="n">
        <v>46287</v>
      </c>
      <c r="D2419" s="62" t="s">
        <v>501</v>
      </c>
      <c r="E2419" s="62" t="s">
        <v>3710</v>
      </c>
      <c r="F2419" s="62" t="s">
        <v>3710</v>
      </c>
      <c r="G2419" s="62" t="s">
        <v>3711</v>
      </c>
      <c r="H2419" s="62" t="s">
        <v>58</v>
      </c>
      <c r="I2419" s="62" t="s">
        <v>49</v>
      </c>
      <c r="J2419" s="62" t="s">
        <v>146</v>
      </c>
      <c r="K2419" s="62" t="s">
        <v>209</v>
      </c>
      <c r="L2419" s="62" t="s">
        <v>148</v>
      </c>
      <c r="M2419" s="62" t="n">
        <v>0</v>
      </c>
      <c r="N2419" s="62" t="n">
        <v>1</v>
      </c>
      <c r="O2419" s="62" t="n">
        <v>1</v>
      </c>
      <c r="P2419" s="62" t="n">
        <v>1</v>
      </c>
      <c r="Q2419" s="62" t="n">
        <v>0</v>
      </c>
      <c r="R2419" s="62" t="n">
        <v>0</v>
      </c>
      <c r="S2419" s="62" t="n">
        <v>0</v>
      </c>
      <c r="T2419" s="62" t="n">
        <v>0</v>
      </c>
      <c r="U2419" s="62"/>
      <c r="V2419" s="62"/>
      <c r="W2419" s="62"/>
      <c r="X2419" s="62"/>
      <c r="Y2419" s="62"/>
      <c r="Z2419" s="62" t="s">
        <v>4418</v>
      </c>
      <c r="AA2419" s="62" t="s">
        <v>4419</v>
      </c>
      <c r="AB2419" s="62" t="n">
        <v>1</v>
      </c>
      <c r="AC2419" s="62" t="n">
        <v>0</v>
      </c>
      <c r="AD2419" s="62" t="n">
        <v>1</v>
      </c>
      <c r="AE2419" s="62" t="n">
        <f aca="false">IF(AND(Dashboard!$C$9="Yes",AC2419=1),0,1)</f>
        <v>1</v>
      </c>
      <c r="AF2419" s="62" t="n">
        <v>0</v>
      </c>
    </row>
    <row r="2420" customFormat="false" ht="15" hidden="false" customHeight="false" outlineLevel="0" collapsed="false">
      <c r="A2420" s="62" t="n">
        <v>2419</v>
      </c>
      <c r="B2420" s="63" t="n">
        <v>46287.8181481482</v>
      </c>
      <c r="C2420" s="64" t="n">
        <v>46287</v>
      </c>
      <c r="D2420" s="62" t="s">
        <v>501</v>
      </c>
      <c r="E2420" s="62" t="s">
        <v>4420</v>
      </c>
      <c r="F2420" s="62" t="s">
        <v>4420</v>
      </c>
      <c r="G2420" s="62" t="s">
        <v>4421</v>
      </c>
      <c r="H2420" s="62" t="s">
        <v>44</v>
      </c>
      <c r="I2420" s="62" t="s">
        <v>49</v>
      </c>
      <c r="J2420" s="62" t="s">
        <v>146</v>
      </c>
      <c r="K2420" s="62" t="s">
        <v>147</v>
      </c>
      <c r="L2420" s="62" t="s">
        <v>148</v>
      </c>
      <c r="M2420" s="62" t="n">
        <v>0</v>
      </c>
      <c r="N2420" s="62" t="n">
        <v>1</v>
      </c>
      <c r="O2420" s="62" t="n">
        <v>1</v>
      </c>
      <c r="P2420" s="62" t="n">
        <v>1</v>
      </c>
      <c r="Q2420" s="62" t="n">
        <v>0</v>
      </c>
      <c r="R2420" s="62" t="n">
        <v>0</v>
      </c>
      <c r="S2420" s="62" t="n">
        <v>0</v>
      </c>
      <c r="T2420" s="62" t="n">
        <v>0</v>
      </c>
      <c r="U2420" s="62"/>
      <c r="V2420" s="62"/>
      <c r="W2420" s="62"/>
      <c r="X2420" s="62"/>
      <c r="Y2420" s="62"/>
      <c r="Z2420" s="62" t="s">
        <v>4422</v>
      </c>
      <c r="AA2420" s="62" t="s">
        <v>4423</v>
      </c>
      <c r="AB2420" s="62" t="n">
        <v>1</v>
      </c>
      <c r="AC2420" s="62" t="n">
        <v>0</v>
      </c>
      <c r="AD2420" s="62" t="n">
        <v>1</v>
      </c>
      <c r="AE2420" s="62" t="n">
        <f aca="false">IF(AND(Dashboard!$C$9="Yes",AC2420=1),0,1)</f>
        <v>1</v>
      </c>
      <c r="AF2420" s="62" t="n">
        <v>1</v>
      </c>
    </row>
    <row r="2421" customFormat="false" ht="15" hidden="false" customHeight="false" outlineLevel="0" collapsed="false">
      <c r="A2421" s="62" t="n">
        <v>2420</v>
      </c>
      <c r="B2421" s="63" t="n">
        <v>46287.8241550926</v>
      </c>
      <c r="C2421" s="64" t="n">
        <v>46287</v>
      </c>
      <c r="D2421" s="62" t="s">
        <v>501</v>
      </c>
      <c r="E2421" s="62" t="s">
        <v>3061</v>
      </c>
      <c r="F2421" s="62" t="s">
        <v>3061</v>
      </c>
      <c r="G2421" s="62" t="s">
        <v>3062</v>
      </c>
      <c r="H2421" s="62" t="s">
        <v>44</v>
      </c>
      <c r="I2421" s="62" t="s">
        <v>49</v>
      </c>
      <c r="J2421" s="62" t="s">
        <v>146</v>
      </c>
      <c r="K2421" s="62" t="s">
        <v>147</v>
      </c>
      <c r="L2421" s="62" t="s">
        <v>148</v>
      </c>
      <c r="M2421" s="62" t="n">
        <v>0</v>
      </c>
      <c r="N2421" s="62" t="n">
        <v>1</v>
      </c>
      <c r="O2421" s="62" t="n">
        <v>1</v>
      </c>
      <c r="P2421" s="62" t="n">
        <v>0</v>
      </c>
      <c r="Q2421" s="62" t="n">
        <v>1</v>
      </c>
      <c r="R2421" s="62" t="n">
        <v>0</v>
      </c>
      <c r="S2421" s="62" t="n">
        <v>0</v>
      </c>
      <c r="T2421" s="62" t="n">
        <v>0</v>
      </c>
      <c r="U2421" s="62"/>
      <c r="V2421" s="62"/>
      <c r="W2421" s="62"/>
      <c r="X2421" s="62"/>
      <c r="Y2421" s="62"/>
      <c r="Z2421" s="62" t="s">
        <v>4424</v>
      </c>
      <c r="AA2421" s="62" t="s">
        <v>4425</v>
      </c>
      <c r="AB2421" s="62" t="n">
        <v>1</v>
      </c>
      <c r="AC2421" s="62" t="n">
        <v>0</v>
      </c>
      <c r="AD2421" s="62" t="n">
        <v>1</v>
      </c>
      <c r="AE2421" s="62" t="n">
        <f aca="false">IF(AND(Dashboard!$C$9="Yes",AC2421=1),0,1)</f>
        <v>1</v>
      </c>
      <c r="AF2421" s="62" t="n">
        <v>0</v>
      </c>
    </row>
    <row r="2422" customFormat="false" ht="15" hidden="false" customHeight="false" outlineLevel="0" collapsed="false">
      <c r="A2422" s="62" t="n">
        <v>2421</v>
      </c>
      <c r="B2422" s="63" t="n">
        <v>46287.8251967593</v>
      </c>
      <c r="C2422" s="64" t="n">
        <v>46287</v>
      </c>
      <c r="D2422" s="62" t="s">
        <v>501</v>
      </c>
      <c r="E2422" s="62" t="s">
        <v>2119</v>
      </c>
      <c r="F2422" s="62" t="s">
        <v>2119</v>
      </c>
      <c r="G2422" s="62" t="s">
        <v>2120</v>
      </c>
      <c r="H2422" s="62" t="s">
        <v>52</v>
      </c>
      <c r="I2422" s="62" t="s">
        <v>47</v>
      </c>
      <c r="J2422" s="62" t="s">
        <v>146</v>
      </c>
      <c r="K2422" s="62" t="s">
        <v>147</v>
      </c>
      <c r="L2422" s="62" t="s">
        <v>148</v>
      </c>
      <c r="M2422" s="62" t="n">
        <v>0</v>
      </c>
      <c r="N2422" s="62" t="n">
        <v>1</v>
      </c>
      <c r="O2422" s="62" t="n">
        <v>1</v>
      </c>
      <c r="P2422" s="62" t="n">
        <v>0</v>
      </c>
      <c r="Q2422" s="62" t="n">
        <v>1</v>
      </c>
      <c r="R2422" s="62" t="n">
        <v>0</v>
      </c>
      <c r="S2422" s="62" t="n">
        <v>0</v>
      </c>
      <c r="T2422" s="62" t="n">
        <v>0</v>
      </c>
      <c r="U2422" s="62"/>
      <c r="V2422" s="62"/>
      <c r="W2422" s="62"/>
      <c r="X2422" s="62"/>
      <c r="Y2422" s="62"/>
      <c r="Z2422" s="62" t="s">
        <v>4426</v>
      </c>
      <c r="AA2422" s="62" t="s">
        <v>3015</v>
      </c>
      <c r="AB2422" s="62" t="n">
        <v>1</v>
      </c>
      <c r="AC2422" s="62" t="n">
        <v>0</v>
      </c>
      <c r="AD2422" s="62" t="n">
        <v>1</v>
      </c>
      <c r="AE2422" s="62" t="n">
        <f aca="false">IF(AND(Dashboard!$C$9="Yes",AC2422=1),0,1)</f>
        <v>1</v>
      </c>
      <c r="AF2422" s="62" t="n">
        <v>0</v>
      </c>
    </row>
    <row r="2423" customFormat="false" ht="15" hidden="false" customHeight="false" outlineLevel="0" collapsed="false">
      <c r="A2423" s="62" t="n">
        <v>2422</v>
      </c>
      <c r="B2423" s="63" t="n">
        <v>46287.8251967593</v>
      </c>
      <c r="C2423" s="64" t="n">
        <v>46287</v>
      </c>
      <c r="D2423" s="62" t="s">
        <v>501</v>
      </c>
      <c r="E2423" s="62" t="s">
        <v>196</v>
      </c>
      <c r="F2423" s="62" t="s">
        <v>196</v>
      </c>
      <c r="G2423" s="62" t="s">
        <v>197</v>
      </c>
      <c r="H2423" s="62" t="s">
        <v>57</v>
      </c>
      <c r="I2423" s="62" t="s">
        <v>47</v>
      </c>
      <c r="J2423" s="62" t="s">
        <v>146</v>
      </c>
      <c r="K2423" s="62" t="s">
        <v>175</v>
      </c>
      <c r="L2423" s="62" t="s">
        <v>148</v>
      </c>
      <c r="M2423" s="62" t="n">
        <v>0</v>
      </c>
      <c r="N2423" s="62" t="n">
        <v>1</v>
      </c>
      <c r="O2423" s="62" t="n">
        <v>1</v>
      </c>
      <c r="P2423" s="62" t="n">
        <v>1</v>
      </c>
      <c r="Q2423" s="62" t="n">
        <v>0</v>
      </c>
      <c r="R2423" s="62" t="n">
        <v>0</v>
      </c>
      <c r="S2423" s="62" t="n">
        <v>0</v>
      </c>
      <c r="T2423" s="62" t="n">
        <v>0</v>
      </c>
      <c r="U2423" s="62"/>
      <c r="V2423" s="62"/>
      <c r="W2423" s="62"/>
      <c r="X2423" s="62"/>
      <c r="Y2423" s="62"/>
      <c r="Z2423" s="62" t="s">
        <v>4427</v>
      </c>
      <c r="AA2423" s="62" t="s">
        <v>4428</v>
      </c>
      <c r="AB2423" s="62" t="n">
        <v>1</v>
      </c>
      <c r="AC2423" s="62" t="n">
        <v>0</v>
      </c>
      <c r="AD2423" s="62" t="n">
        <v>1</v>
      </c>
      <c r="AE2423" s="62" t="n">
        <f aca="false">IF(AND(Dashboard!$C$9="Yes",AC2423=1),0,1)</f>
        <v>1</v>
      </c>
      <c r="AF2423" s="62" t="n">
        <v>1</v>
      </c>
    </row>
    <row r="2424" customFormat="false" ht="15" hidden="false" customHeight="false" outlineLevel="0" collapsed="false">
      <c r="A2424" s="62" t="n">
        <v>2423</v>
      </c>
      <c r="B2424" s="63" t="n">
        <v>46287.8346875</v>
      </c>
      <c r="C2424" s="64" t="n">
        <v>46287</v>
      </c>
      <c r="D2424" s="62" t="s">
        <v>501</v>
      </c>
      <c r="E2424" s="62" t="s">
        <v>2101</v>
      </c>
      <c r="F2424" s="62" t="s">
        <v>2101</v>
      </c>
      <c r="G2424" s="62" t="s">
        <v>2102</v>
      </c>
      <c r="H2424" s="62" t="s">
        <v>52</v>
      </c>
      <c r="I2424" s="62" t="s">
        <v>47</v>
      </c>
      <c r="J2424" s="62" t="s">
        <v>146</v>
      </c>
      <c r="K2424" s="62" t="s">
        <v>147</v>
      </c>
      <c r="L2424" s="62" t="s">
        <v>148</v>
      </c>
      <c r="M2424" s="62" t="n">
        <v>0</v>
      </c>
      <c r="N2424" s="62" t="n">
        <v>3</v>
      </c>
      <c r="O2424" s="62" t="n">
        <v>3</v>
      </c>
      <c r="P2424" s="62" t="n">
        <v>1</v>
      </c>
      <c r="Q2424" s="62" t="n">
        <v>1</v>
      </c>
      <c r="R2424" s="62" t="n">
        <v>1</v>
      </c>
      <c r="S2424" s="62" t="n">
        <v>0</v>
      </c>
      <c r="T2424" s="62" t="n">
        <v>0</v>
      </c>
      <c r="U2424" s="62"/>
      <c r="V2424" s="62"/>
      <c r="W2424" s="62"/>
      <c r="X2424" s="62"/>
      <c r="Y2424" s="62"/>
      <c r="Z2424" s="62" t="s">
        <v>4429</v>
      </c>
      <c r="AA2424" s="62" t="s">
        <v>3116</v>
      </c>
      <c r="AB2424" s="62" t="n">
        <v>1</v>
      </c>
      <c r="AC2424" s="62" t="n">
        <v>0</v>
      </c>
      <c r="AD2424" s="62" t="n">
        <v>1</v>
      </c>
      <c r="AE2424" s="62" t="n">
        <f aca="false">IF(AND(Dashboard!$C$9="Yes",AC2424=1),0,1)</f>
        <v>1</v>
      </c>
      <c r="AF2424" s="62" t="n">
        <v>1</v>
      </c>
    </row>
    <row r="2425" customFormat="false" ht="15" hidden="false" customHeight="false" outlineLevel="0" collapsed="false">
      <c r="A2425" s="62" t="n">
        <v>2424</v>
      </c>
      <c r="B2425" s="63" t="n">
        <v>46287.8405092593</v>
      </c>
      <c r="C2425" s="64" t="n">
        <v>46287</v>
      </c>
      <c r="D2425" s="62" t="s">
        <v>501</v>
      </c>
      <c r="E2425" s="62" t="s">
        <v>1005</v>
      </c>
      <c r="F2425" s="62" t="s">
        <v>1005</v>
      </c>
      <c r="G2425" s="62" t="s">
        <v>1006</v>
      </c>
      <c r="H2425" s="62" t="s">
        <v>46</v>
      </c>
      <c r="I2425" s="62" t="s">
        <v>47</v>
      </c>
      <c r="J2425" s="62" t="s">
        <v>146</v>
      </c>
      <c r="K2425" s="62" t="s">
        <v>209</v>
      </c>
      <c r="L2425" s="62" t="s">
        <v>148</v>
      </c>
      <c r="M2425" s="62" t="n">
        <v>0</v>
      </c>
      <c r="N2425" s="62" t="n">
        <v>1</v>
      </c>
      <c r="O2425" s="62" t="n">
        <v>1</v>
      </c>
      <c r="P2425" s="62" t="n">
        <v>1</v>
      </c>
      <c r="Q2425" s="62" t="n">
        <v>0</v>
      </c>
      <c r="R2425" s="62" t="n">
        <v>0</v>
      </c>
      <c r="S2425" s="62" t="n">
        <v>0</v>
      </c>
      <c r="T2425" s="62" t="n">
        <v>0</v>
      </c>
      <c r="U2425" s="62"/>
      <c r="V2425" s="62"/>
      <c r="W2425" s="62"/>
      <c r="X2425" s="62"/>
      <c r="Y2425" s="62"/>
      <c r="Z2425" s="62" t="s">
        <v>4430</v>
      </c>
      <c r="AA2425" s="62" t="s">
        <v>485</v>
      </c>
      <c r="AB2425" s="62" t="n">
        <v>0</v>
      </c>
      <c r="AC2425" s="62" t="n">
        <v>0</v>
      </c>
      <c r="AD2425" s="62" t="n">
        <v>1</v>
      </c>
      <c r="AE2425" s="62" t="n">
        <f aca="false">IF(AND(Dashboard!$C$9="Yes",AC2425=1),0,1)</f>
        <v>1</v>
      </c>
      <c r="AF2425" s="62" t="n">
        <v>1</v>
      </c>
    </row>
    <row r="2426" customFormat="false" ht="15" hidden="false" customHeight="false" outlineLevel="0" collapsed="false">
      <c r="A2426" s="62" t="n">
        <v>2425</v>
      </c>
      <c r="B2426" s="63" t="n">
        <v>46287.8448842593</v>
      </c>
      <c r="C2426" s="64" t="n">
        <v>46287</v>
      </c>
      <c r="D2426" s="62" t="s">
        <v>501</v>
      </c>
      <c r="E2426" s="62" t="s">
        <v>4304</v>
      </c>
      <c r="F2426" s="62" t="s">
        <v>4304</v>
      </c>
      <c r="G2426" s="62" t="s">
        <v>4305</v>
      </c>
      <c r="H2426" s="62" t="s">
        <v>44</v>
      </c>
      <c r="I2426" s="62" t="s">
        <v>61</v>
      </c>
      <c r="J2426" s="62" t="s">
        <v>3708</v>
      </c>
      <c r="K2426" s="62" t="s">
        <v>175</v>
      </c>
      <c r="L2426" s="62" t="s">
        <v>148</v>
      </c>
      <c r="M2426" s="62" t="n">
        <v>0</v>
      </c>
      <c r="N2426" s="62" t="n">
        <v>1</v>
      </c>
      <c r="O2426" s="62" t="n">
        <v>1</v>
      </c>
      <c r="P2426" s="62" t="n">
        <v>1</v>
      </c>
      <c r="Q2426" s="62" t="n">
        <v>0</v>
      </c>
      <c r="R2426" s="62" t="n">
        <v>0</v>
      </c>
      <c r="S2426" s="62" t="n">
        <v>0</v>
      </c>
      <c r="T2426" s="62" t="n">
        <v>0</v>
      </c>
      <c r="U2426" s="62"/>
      <c r="V2426" s="62"/>
      <c r="W2426" s="62"/>
      <c r="X2426" s="62"/>
      <c r="Y2426" s="62"/>
      <c r="Z2426" s="62" t="s">
        <v>4431</v>
      </c>
      <c r="AA2426" s="62" t="s">
        <v>4432</v>
      </c>
      <c r="AB2426" s="62" t="n">
        <v>1</v>
      </c>
      <c r="AC2426" s="62" t="n">
        <v>0</v>
      </c>
      <c r="AD2426" s="62" t="n">
        <v>1</v>
      </c>
      <c r="AE2426" s="62" t="n">
        <f aca="false">IF(AND(Dashboard!$C$9="Yes",AC2426=1),0,1)</f>
        <v>1</v>
      </c>
      <c r="AF2426" s="62" t="n">
        <v>1</v>
      </c>
    </row>
    <row r="2427" customFormat="false" ht="15" hidden="false" customHeight="false" outlineLevel="0" collapsed="false">
      <c r="A2427" s="62" t="n">
        <v>2426</v>
      </c>
      <c r="B2427" s="63" t="n">
        <v>46287.8538425926</v>
      </c>
      <c r="C2427" s="64" t="n">
        <v>46287</v>
      </c>
      <c r="D2427" s="62" t="s">
        <v>501</v>
      </c>
      <c r="E2427" s="62" t="s">
        <v>2101</v>
      </c>
      <c r="F2427" s="62" t="s">
        <v>2101</v>
      </c>
      <c r="G2427" s="62" t="s">
        <v>2102</v>
      </c>
      <c r="H2427" s="62" t="s">
        <v>52</v>
      </c>
      <c r="I2427" s="62" t="s">
        <v>47</v>
      </c>
      <c r="J2427" s="62" t="s">
        <v>146</v>
      </c>
      <c r="K2427" s="62" t="s">
        <v>147</v>
      </c>
      <c r="L2427" s="62" t="s">
        <v>148</v>
      </c>
      <c r="M2427" s="62" t="n">
        <v>0</v>
      </c>
      <c r="N2427" s="62" t="n">
        <v>1</v>
      </c>
      <c r="O2427" s="62" t="n">
        <v>1</v>
      </c>
      <c r="P2427" s="62" t="n">
        <v>0</v>
      </c>
      <c r="Q2427" s="62" t="n">
        <v>1</v>
      </c>
      <c r="R2427" s="62" t="n">
        <v>0</v>
      </c>
      <c r="S2427" s="62" t="n">
        <v>0</v>
      </c>
      <c r="T2427" s="62" t="n">
        <v>0</v>
      </c>
      <c r="U2427" s="62"/>
      <c r="V2427" s="62"/>
      <c r="W2427" s="62"/>
      <c r="X2427" s="62"/>
      <c r="Y2427" s="62"/>
      <c r="Z2427" s="62" t="s">
        <v>4433</v>
      </c>
      <c r="AA2427" s="62" t="s">
        <v>3116</v>
      </c>
      <c r="AB2427" s="62" t="n">
        <v>1</v>
      </c>
      <c r="AC2427" s="62" t="n">
        <v>0</v>
      </c>
      <c r="AD2427" s="62" t="n">
        <v>1</v>
      </c>
      <c r="AE2427" s="62" t="n">
        <f aca="false">IF(AND(Dashboard!$C$9="Yes",AC2427=1),0,1)</f>
        <v>1</v>
      </c>
      <c r="AF2427" s="62" t="n">
        <v>0</v>
      </c>
    </row>
    <row r="2428" customFormat="false" ht="15" hidden="false" customHeight="false" outlineLevel="0" collapsed="false">
      <c r="A2428" s="62" t="n">
        <v>2427</v>
      </c>
      <c r="B2428" s="63" t="n">
        <v>46287.8661342593</v>
      </c>
      <c r="C2428" s="64" t="n">
        <v>46287</v>
      </c>
      <c r="D2428" s="62" t="s">
        <v>501</v>
      </c>
      <c r="E2428" s="62" t="s">
        <v>4386</v>
      </c>
      <c r="F2428" s="62" t="s">
        <v>4386</v>
      </c>
      <c r="G2428" s="62" t="s">
        <v>4387</v>
      </c>
      <c r="H2428" s="62" t="s">
        <v>44</v>
      </c>
      <c r="I2428" s="62" t="s">
        <v>49</v>
      </c>
      <c r="J2428" s="62" t="s">
        <v>146</v>
      </c>
      <c r="K2428" s="62" t="s">
        <v>147</v>
      </c>
      <c r="L2428" s="62" t="s">
        <v>148</v>
      </c>
      <c r="M2428" s="62" t="n">
        <v>0</v>
      </c>
      <c r="N2428" s="62" t="n">
        <v>2</v>
      </c>
      <c r="O2428" s="62" t="n">
        <v>2</v>
      </c>
      <c r="P2428" s="62" t="n">
        <v>1</v>
      </c>
      <c r="Q2428" s="62" t="n">
        <v>1</v>
      </c>
      <c r="R2428" s="62" t="n">
        <v>0</v>
      </c>
      <c r="S2428" s="62" t="n">
        <v>0</v>
      </c>
      <c r="T2428" s="62" t="n">
        <v>0</v>
      </c>
      <c r="U2428" s="62"/>
      <c r="V2428" s="62"/>
      <c r="W2428" s="62"/>
      <c r="X2428" s="62"/>
      <c r="Y2428" s="62"/>
      <c r="Z2428" s="62" t="s">
        <v>4434</v>
      </c>
      <c r="AA2428" s="62" t="s">
        <v>4435</v>
      </c>
      <c r="AB2428" s="62" t="n">
        <v>1</v>
      </c>
      <c r="AC2428" s="62" t="n">
        <v>0</v>
      </c>
      <c r="AD2428" s="62" t="n">
        <v>1</v>
      </c>
      <c r="AE2428" s="62" t="n">
        <f aca="false">IF(AND(Dashboard!$C$9="Yes",AC2428=1),0,1)</f>
        <v>1</v>
      </c>
      <c r="AF2428" s="62" t="n">
        <v>0</v>
      </c>
    </row>
    <row r="2429" customFormat="false" ht="15" hidden="false" customHeight="false" outlineLevel="0" collapsed="false">
      <c r="A2429" s="62" t="n">
        <v>2428</v>
      </c>
      <c r="B2429" s="63" t="n">
        <v>46287.873900463</v>
      </c>
      <c r="C2429" s="64" t="n">
        <v>46287</v>
      </c>
      <c r="D2429" s="62" t="s">
        <v>501</v>
      </c>
      <c r="E2429" s="62" t="s">
        <v>203</v>
      </c>
      <c r="F2429" s="62" t="s">
        <v>203</v>
      </c>
      <c r="G2429" s="62" t="s">
        <v>204</v>
      </c>
      <c r="H2429" s="62" t="s">
        <v>51</v>
      </c>
      <c r="I2429" s="62" t="s">
        <v>47</v>
      </c>
      <c r="J2429" s="62" t="s">
        <v>146</v>
      </c>
      <c r="K2429" s="62" t="s">
        <v>147</v>
      </c>
      <c r="L2429" s="62" t="s">
        <v>4</v>
      </c>
      <c r="M2429" s="62" t="n">
        <v>1</v>
      </c>
      <c r="N2429" s="62" t="n">
        <v>0</v>
      </c>
      <c r="O2429" s="62" t="n">
        <v>1</v>
      </c>
      <c r="P2429" s="62" t="n">
        <v>0</v>
      </c>
      <c r="Q2429" s="62" t="n">
        <v>0</v>
      </c>
      <c r="R2429" s="62" t="n">
        <v>0</v>
      </c>
      <c r="S2429" s="62" t="n">
        <v>0</v>
      </c>
      <c r="T2429" s="62" t="n">
        <v>0</v>
      </c>
      <c r="U2429" s="62" t="s">
        <v>2056</v>
      </c>
      <c r="V2429" s="62" t="s">
        <v>2057</v>
      </c>
      <c r="W2429" s="62" t="s">
        <v>15</v>
      </c>
      <c r="X2429" s="62" t="s">
        <v>2058</v>
      </c>
      <c r="Y2429" s="62" t="s">
        <v>2059</v>
      </c>
      <c r="Z2429" s="62" t="s">
        <v>4436</v>
      </c>
      <c r="AA2429" s="62" t="s">
        <v>4437</v>
      </c>
      <c r="AB2429" s="62" t="n">
        <v>1</v>
      </c>
      <c r="AC2429" s="62" t="n">
        <v>0</v>
      </c>
      <c r="AD2429" s="62" t="n">
        <v>1</v>
      </c>
      <c r="AE2429" s="62" t="n">
        <f aca="false">IF(AND(Dashboard!$C$9="Yes",AC2429=1),0,1)</f>
        <v>1</v>
      </c>
      <c r="AF2429" s="62" t="n">
        <v>0</v>
      </c>
    </row>
    <row r="2430" customFormat="false" ht="15" hidden="false" customHeight="false" outlineLevel="0" collapsed="false">
      <c r="A2430" s="62" t="n">
        <v>2429</v>
      </c>
      <c r="B2430" s="63" t="n">
        <v>46287.8762152778</v>
      </c>
      <c r="C2430" s="64" t="n">
        <v>46287</v>
      </c>
      <c r="D2430" s="62" t="s">
        <v>501</v>
      </c>
      <c r="E2430" s="62" t="s">
        <v>4280</v>
      </c>
      <c r="F2430" s="62" t="s">
        <v>4280</v>
      </c>
      <c r="G2430" s="62" t="s">
        <v>4281</v>
      </c>
      <c r="H2430" s="62" t="s">
        <v>44</v>
      </c>
      <c r="I2430" s="62" t="s">
        <v>49</v>
      </c>
      <c r="J2430" s="62" t="s">
        <v>146</v>
      </c>
      <c r="K2430" s="62" t="s">
        <v>147</v>
      </c>
      <c r="L2430" s="62" t="s">
        <v>148</v>
      </c>
      <c r="M2430" s="62" t="n">
        <v>0</v>
      </c>
      <c r="N2430" s="62" t="n">
        <v>1</v>
      </c>
      <c r="O2430" s="62" t="n">
        <v>1</v>
      </c>
      <c r="P2430" s="62" t="n">
        <v>1</v>
      </c>
      <c r="Q2430" s="62" t="n">
        <v>0</v>
      </c>
      <c r="R2430" s="62" t="n">
        <v>0</v>
      </c>
      <c r="S2430" s="62" t="n">
        <v>0</v>
      </c>
      <c r="T2430" s="62" t="n">
        <v>0</v>
      </c>
      <c r="U2430" s="62"/>
      <c r="V2430" s="62"/>
      <c r="W2430" s="62"/>
      <c r="X2430" s="62"/>
      <c r="Y2430" s="62"/>
      <c r="Z2430" s="62" t="s">
        <v>4438</v>
      </c>
      <c r="AA2430" s="62" t="s">
        <v>4439</v>
      </c>
      <c r="AB2430" s="62" t="n">
        <v>1</v>
      </c>
      <c r="AC2430" s="62" t="n">
        <v>0</v>
      </c>
      <c r="AD2430" s="62" t="n">
        <v>1</v>
      </c>
      <c r="AE2430" s="62" t="n">
        <f aca="false">IF(AND(Dashboard!$C$9="Yes",AC2430=1),0,1)</f>
        <v>1</v>
      </c>
      <c r="AF2430" s="62" t="n">
        <v>1</v>
      </c>
    </row>
    <row r="2431" customFormat="false" ht="15" hidden="false" customHeight="false" outlineLevel="0" collapsed="false">
      <c r="A2431" s="62" t="n">
        <v>2430</v>
      </c>
      <c r="B2431" s="63" t="n">
        <v>46287.8766203704</v>
      </c>
      <c r="C2431" s="64" t="n">
        <v>46287</v>
      </c>
      <c r="D2431" s="62" t="s">
        <v>501</v>
      </c>
      <c r="E2431" s="62" t="s">
        <v>2119</v>
      </c>
      <c r="F2431" s="62" t="s">
        <v>2119</v>
      </c>
      <c r="G2431" s="62" t="s">
        <v>2120</v>
      </c>
      <c r="H2431" s="62" t="s">
        <v>52</v>
      </c>
      <c r="I2431" s="62" t="s">
        <v>47</v>
      </c>
      <c r="J2431" s="62" t="s">
        <v>146</v>
      </c>
      <c r="K2431" s="62" t="s">
        <v>147</v>
      </c>
      <c r="L2431" s="62" t="s">
        <v>148</v>
      </c>
      <c r="M2431" s="62" t="n">
        <v>0</v>
      </c>
      <c r="N2431" s="62" t="n">
        <v>1</v>
      </c>
      <c r="O2431" s="62" t="n">
        <v>1</v>
      </c>
      <c r="P2431" s="62" t="n">
        <v>1</v>
      </c>
      <c r="Q2431" s="62" t="n">
        <v>0</v>
      </c>
      <c r="R2431" s="62" t="n">
        <v>0</v>
      </c>
      <c r="S2431" s="62" t="n">
        <v>0</v>
      </c>
      <c r="T2431" s="62" t="n">
        <v>0</v>
      </c>
      <c r="U2431" s="62"/>
      <c r="V2431" s="62"/>
      <c r="W2431" s="62"/>
      <c r="X2431" s="62"/>
      <c r="Y2431" s="62"/>
      <c r="Z2431" s="62" t="s">
        <v>4440</v>
      </c>
      <c r="AA2431" s="62" t="s">
        <v>3015</v>
      </c>
      <c r="AB2431" s="62" t="n">
        <v>1</v>
      </c>
      <c r="AC2431" s="62" t="n">
        <v>0</v>
      </c>
      <c r="AD2431" s="62" t="n">
        <v>1</v>
      </c>
      <c r="AE2431" s="62" t="n">
        <f aca="false">IF(AND(Dashboard!$C$9="Yes",AC2431=1),0,1)</f>
        <v>1</v>
      </c>
      <c r="AF2431" s="62" t="n">
        <v>0</v>
      </c>
    </row>
    <row r="2432" customFormat="false" ht="15" hidden="false" customHeight="false" outlineLevel="0" collapsed="false">
      <c r="A2432" s="62" t="n">
        <v>2431</v>
      </c>
      <c r="B2432" s="63" t="n">
        <v>46287.879212963</v>
      </c>
      <c r="C2432" s="64" t="n">
        <v>46287</v>
      </c>
      <c r="D2432" s="62" t="s">
        <v>501</v>
      </c>
      <c r="E2432" s="62" t="s">
        <v>3735</v>
      </c>
      <c r="F2432" s="62" t="s">
        <v>1445</v>
      </c>
      <c r="G2432" s="62" t="s">
        <v>1446</v>
      </c>
      <c r="H2432" s="62" t="s">
        <v>58</v>
      </c>
      <c r="I2432" s="62" t="s">
        <v>49</v>
      </c>
      <c r="J2432" s="62" t="s">
        <v>146</v>
      </c>
      <c r="K2432" s="62" t="s">
        <v>175</v>
      </c>
      <c r="L2432" s="62" t="s">
        <v>4</v>
      </c>
      <c r="M2432" s="62" t="n">
        <v>1</v>
      </c>
      <c r="N2432" s="62" t="n">
        <v>0</v>
      </c>
      <c r="O2432" s="62" t="n">
        <v>1</v>
      </c>
      <c r="P2432" s="62" t="n">
        <v>0</v>
      </c>
      <c r="Q2432" s="62" t="n">
        <v>0</v>
      </c>
      <c r="R2432" s="62" t="n">
        <v>0</v>
      </c>
      <c r="S2432" s="62" t="n">
        <v>0</v>
      </c>
      <c r="T2432" s="62" t="n">
        <v>0</v>
      </c>
      <c r="U2432" s="62" t="s">
        <v>2056</v>
      </c>
      <c r="V2432" s="62" t="s">
        <v>2057</v>
      </c>
      <c r="W2432" s="62" t="s">
        <v>15</v>
      </c>
      <c r="X2432" s="62" t="s">
        <v>2058</v>
      </c>
      <c r="Y2432" s="62" t="s">
        <v>2103</v>
      </c>
      <c r="Z2432" s="62" t="s">
        <v>4441</v>
      </c>
      <c r="AA2432" s="62" t="s">
        <v>4442</v>
      </c>
      <c r="AB2432" s="62" t="n">
        <v>1</v>
      </c>
      <c r="AC2432" s="62" t="n">
        <v>0</v>
      </c>
      <c r="AD2432" s="62" t="n">
        <v>1</v>
      </c>
      <c r="AE2432" s="62" t="n">
        <f aca="false">IF(AND(Dashboard!$C$9="Yes",AC2432=1),0,1)</f>
        <v>1</v>
      </c>
      <c r="AF2432" s="62" t="n">
        <v>1</v>
      </c>
    </row>
    <row r="2433" customFormat="false" ht="15" hidden="false" customHeight="false" outlineLevel="0" collapsed="false">
      <c r="A2433" s="62" t="n">
        <v>2432</v>
      </c>
      <c r="B2433" s="63" t="n">
        <v>46287.8799884259</v>
      </c>
      <c r="C2433" s="64" t="n">
        <v>46287</v>
      </c>
      <c r="D2433" s="62" t="s">
        <v>501</v>
      </c>
      <c r="E2433" s="62" t="s">
        <v>2228</v>
      </c>
      <c r="F2433" s="62" t="s">
        <v>2228</v>
      </c>
      <c r="G2433" s="62" t="s">
        <v>2229</v>
      </c>
      <c r="H2433" s="62" t="s">
        <v>58</v>
      </c>
      <c r="I2433" s="62" t="s">
        <v>49</v>
      </c>
      <c r="J2433" s="62" t="s">
        <v>146</v>
      </c>
      <c r="K2433" s="62" t="s">
        <v>209</v>
      </c>
      <c r="L2433" s="62" t="s">
        <v>4</v>
      </c>
      <c r="M2433" s="62" t="n">
        <v>1</v>
      </c>
      <c r="N2433" s="62" t="n">
        <v>0</v>
      </c>
      <c r="O2433" s="62" t="n">
        <v>1</v>
      </c>
      <c r="P2433" s="62" t="n">
        <v>0</v>
      </c>
      <c r="Q2433" s="62" t="n">
        <v>0</v>
      </c>
      <c r="R2433" s="62" t="n">
        <v>0</v>
      </c>
      <c r="S2433" s="62" t="n">
        <v>0</v>
      </c>
      <c r="T2433" s="62" t="n">
        <v>0</v>
      </c>
      <c r="U2433" s="62" t="s">
        <v>2056</v>
      </c>
      <c r="V2433" s="62" t="s">
        <v>2057</v>
      </c>
      <c r="W2433" s="62" t="s">
        <v>15</v>
      </c>
      <c r="X2433" s="62" t="s">
        <v>2058</v>
      </c>
      <c r="Y2433" s="62" t="s">
        <v>2059</v>
      </c>
      <c r="Z2433" s="62" t="s">
        <v>4443</v>
      </c>
      <c r="AA2433" s="62" t="s">
        <v>4444</v>
      </c>
      <c r="AB2433" s="62" t="n">
        <v>1</v>
      </c>
      <c r="AC2433" s="62" t="n">
        <v>0</v>
      </c>
      <c r="AD2433" s="62" t="n">
        <v>1</v>
      </c>
      <c r="AE2433" s="62" t="n">
        <f aca="false">IF(AND(Dashboard!$C$9="Yes",AC2433=1),0,1)</f>
        <v>1</v>
      </c>
      <c r="AF2433" s="62" t="n">
        <v>1</v>
      </c>
    </row>
    <row r="2434" customFormat="false" ht="15" hidden="false" customHeight="false" outlineLevel="0" collapsed="false">
      <c r="A2434" s="62" t="n">
        <v>2433</v>
      </c>
      <c r="B2434" s="63" t="n">
        <v>46287.8846990741</v>
      </c>
      <c r="C2434" s="64" t="n">
        <v>46287</v>
      </c>
      <c r="D2434" s="62" t="s">
        <v>501</v>
      </c>
      <c r="E2434" s="62" t="s">
        <v>4445</v>
      </c>
      <c r="F2434" s="62" t="s">
        <v>4446</v>
      </c>
      <c r="G2434" s="62" t="s">
        <v>153</v>
      </c>
      <c r="H2434" s="62" t="s">
        <v>153</v>
      </c>
      <c r="I2434" s="62" t="s">
        <v>153</v>
      </c>
      <c r="J2434" s="62" t="s">
        <v>64</v>
      </c>
      <c r="K2434" s="62" t="s">
        <v>64</v>
      </c>
      <c r="L2434" s="62" t="s">
        <v>148</v>
      </c>
      <c r="M2434" s="62" t="n">
        <v>0</v>
      </c>
      <c r="N2434" s="62" t="n">
        <v>1</v>
      </c>
      <c r="O2434" s="62" t="n">
        <v>1</v>
      </c>
      <c r="P2434" s="62" t="n">
        <v>0</v>
      </c>
      <c r="Q2434" s="62" t="n">
        <v>1</v>
      </c>
      <c r="R2434" s="62" t="n">
        <v>0</v>
      </c>
      <c r="S2434" s="62" t="n">
        <v>0</v>
      </c>
      <c r="T2434" s="62" t="n">
        <v>0</v>
      </c>
      <c r="U2434" s="62"/>
      <c r="V2434" s="62"/>
      <c r="W2434" s="62"/>
      <c r="X2434" s="62"/>
      <c r="Y2434" s="62"/>
      <c r="Z2434" s="62" t="s">
        <v>4443</v>
      </c>
      <c r="AA2434" s="62" t="s">
        <v>4445</v>
      </c>
      <c r="AB2434" s="62" t="n">
        <v>1</v>
      </c>
      <c r="AC2434" s="62" t="n">
        <v>0</v>
      </c>
      <c r="AD2434" s="62" t="n">
        <v>0</v>
      </c>
      <c r="AE2434" s="62" t="n">
        <f aca="false">IF(AND(Dashboard!$C$9="Yes",AC2434=1),0,1)</f>
        <v>1</v>
      </c>
      <c r="AF2434" s="62" t="n">
        <v>1</v>
      </c>
    </row>
    <row r="2435" customFormat="false" ht="15" hidden="false" customHeight="false" outlineLevel="0" collapsed="false">
      <c r="A2435" s="62" t="n">
        <v>2434</v>
      </c>
      <c r="B2435" s="63" t="n">
        <v>46287.8854166667</v>
      </c>
      <c r="C2435" s="64" t="n">
        <v>46287</v>
      </c>
      <c r="D2435" s="62" t="s">
        <v>501</v>
      </c>
      <c r="E2435" s="62" t="s">
        <v>3710</v>
      </c>
      <c r="F2435" s="62" t="s">
        <v>3710</v>
      </c>
      <c r="G2435" s="62" t="s">
        <v>3711</v>
      </c>
      <c r="H2435" s="62" t="s">
        <v>58</v>
      </c>
      <c r="I2435" s="62" t="s">
        <v>49</v>
      </c>
      <c r="J2435" s="62" t="s">
        <v>146</v>
      </c>
      <c r="K2435" s="62" t="s">
        <v>209</v>
      </c>
      <c r="L2435" s="62" t="s">
        <v>148</v>
      </c>
      <c r="M2435" s="62" t="n">
        <v>0</v>
      </c>
      <c r="N2435" s="62" t="n">
        <v>1</v>
      </c>
      <c r="O2435" s="62" t="n">
        <v>1</v>
      </c>
      <c r="P2435" s="62" t="n">
        <v>1</v>
      </c>
      <c r="Q2435" s="62" t="n">
        <v>0</v>
      </c>
      <c r="R2435" s="62" t="n">
        <v>0</v>
      </c>
      <c r="S2435" s="62" t="n">
        <v>0</v>
      </c>
      <c r="T2435" s="62" t="n">
        <v>0</v>
      </c>
      <c r="U2435" s="62"/>
      <c r="V2435" s="62"/>
      <c r="W2435" s="62"/>
      <c r="X2435" s="62"/>
      <c r="Y2435" s="62"/>
      <c r="Z2435" s="62" t="s">
        <v>4447</v>
      </c>
      <c r="AA2435" s="62" t="s">
        <v>4448</v>
      </c>
      <c r="AB2435" s="62" t="n">
        <v>1</v>
      </c>
      <c r="AC2435" s="62" t="n">
        <v>0</v>
      </c>
      <c r="AD2435" s="62" t="n">
        <v>1</v>
      </c>
      <c r="AE2435" s="62" t="n">
        <f aca="false">IF(AND(Dashboard!$C$9="Yes",AC2435=1),0,1)</f>
        <v>1</v>
      </c>
      <c r="AF2435" s="62" t="n">
        <v>0</v>
      </c>
    </row>
    <row r="2436" customFormat="false" ht="15" hidden="false" customHeight="false" outlineLevel="0" collapsed="false">
      <c r="A2436" s="62" t="n">
        <v>2435</v>
      </c>
      <c r="B2436" s="63" t="n">
        <v>46287.8855208333</v>
      </c>
      <c r="C2436" s="64" t="n">
        <v>46287</v>
      </c>
      <c r="D2436" s="62" t="s">
        <v>501</v>
      </c>
      <c r="E2436" s="62" t="s">
        <v>3061</v>
      </c>
      <c r="F2436" s="62" t="s">
        <v>3061</v>
      </c>
      <c r="G2436" s="62" t="s">
        <v>3062</v>
      </c>
      <c r="H2436" s="62" t="s">
        <v>44</v>
      </c>
      <c r="I2436" s="62" t="s">
        <v>49</v>
      </c>
      <c r="J2436" s="62" t="s">
        <v>146</v>
      </c>
      <c r="K2436" s="62" t="s">
        <v>147</v>
      </c>
      <c r="L2436" s="62" t="s">
        <v>148</v>
      </c>
      <c r="M2436" s="62" t="n">
        <v>0</v>
      </c>
      <c r="N2436" s="62" t="n">
        <v>1</v>
      </c>
      <c r="O2436" s="62" t="n">
        <v>1</v>
      </c>
      <c r="P2436" s="62" t="n">
        <v>1</v>
      </c>
      <c r="Q2436" s="62" t="n">
        <v>0</v>
      </c>
      <c r="R2436" s="62" t="n">
        <v>0</v>
      </c>
      <c r="S2436" s="62" t="n">
        <v>0</v>
      </c>
      <c r="T2436" s="62" t="n">
        <v>0</v>
      </c>
      <c r="U2436" s="62"/>
      <c r="V2436" s="62"/>
      <c r="W2436" s="62"/>
      <c r="X2436" s="62"/>
      <c r="Y2436" s="62"/>
      <c r="Z2436" s="62" t="s">
        <v>4449</v>
      </c>
      <c r="AA2436" s="62" t="s">
        <v>4450</v>
      </c>
      <c r="AB2436" s="62" t="n">
        <v>1</v>
      </c>
      <c r="AC2436" s="62" t="n">
        <v>0</v>
      </c>
      <c r="AD2436" s="62" t="n">
        <v>1</v>
      </c>
      <c r="AE2436" s="62" t="n">
        <f aca="false">IF(AND(Dashboard!$C$9="Yes",AC2436=1),0,1)</f>
        <v>1</v>
      </c>
      <c r="AF2436" s="62" t="n">
        <v>0</v>
      </c>
    </row>
    <row r="2437" customFormat="false" ht="15" hidden="false" customHeight="false" outlineLevel="0" collapsed="false">
      <c r="A2437" s="62" t="n">
        <v>2436</v>
      </c>
      <c r="B2437" s="63" t="n">
        <v>46287.8868981482</v>
      </c>
      <c r="C2437" s="64" t="n">
        <v>46287</v>
      </c>
      <c r="D2437" s="62" t="s">
        <v>501</v>
      </c>
      <c r="E2437" s="62" t="s">
        <v>2385</v>
      </c>
      <c r="F2437" s="62" t="s">
        <v>2385</v>
      </c>
      <c r="G2437" s="62" t="s">
        <v>2386</v>
      </c>
      <c r="H2437" s="62" t="s">
        <v>59</v>
      </c>
      <c r="I2437" s="62" t="s">
        <v>47</v>
      </c>
      <c r="J2437" s="62" t="s">
        <v>146</v>
      </c>
      <c r="K2437" s="62" t="s">
        <v>209</v>
      </c>
      <c r="L2437" s="62" t="s">
        <v>4</v>
      </c>
      <c r="M2437" s="62" t="n">
        <v>1</v>
      </c>
      <c r="N2437" s="62" t="n">
        <v>0</v>
      </c>
      <c r="O2437" s="62" t="n">
        <v>1</v>
      </c>
      <c r="P2437" s="62" t="n">
        <v>0</v>
      </c>
      <c r="Q2437" s="62" t="n">
        <v>0</v>
      </c>
      <c r="R2437" s="62" t="n">
        <v>0</v>
      </c>
      <c r="S2437" s="62" t="n">
        <v>0</v>
      </c>
      <c r="T2437" s="62" t="n">
        <v>0</v>
      </c>
      <c r="U2437" s="62" t="s">
        <v>2056</v>
      </c>
      <c r="V2437" s="62" t="s">
        <v>2068</v>
      </c>
      <c r="W2437" s="62"/>
      <c r="X2437" s="62" t="s">
        <v>2103</v>
      </c>
      <c r="Y2437" s="62" t="s">
        <v>2059</v>
      </c>
      <c r="Z2437" s="62" t="s">
        <v>4451</v>
      </c>
      <c r="AA2437" s="62" t="s">
        <v>4452</v>
      </c>
      <c r="AB2437" s="62" t="n">
        <v>1</v>
      </c>
      <c r="AC2437" s="62" t="n">
        <v>0</v>
      </c>
      <c r="AD2437" s="62" t="n">
        <v>1</v>
      </c>
      <c r="AE2437" s="62" t="n">
        <f aca="false">IF(AND(Dashboard!$C$9="Yes",AC2437=1),0,1)</f>
        <v>1</v>
      </c>
      <c r="AF2437" s="62" t="n">
        <v>0</v>
      </c>
    </row>
    <row r="2438" customFormat="false" ht="15" hidden="false" customHeight="false" outlineLevel="0" collapsed="false">
      <c r="A2438" s="62" t="n">
        <v>2437</v>
      </c>
      <c r="B2438" s="63" t="n">
        <v>46287.8926736111</v>
      </c>
      <c r="C2438" s="64" t="n">
        <v>46287</v>
      </c>
      <c r="D2438" s="62" t="s">
        <v>501</v>
      </c>
      <c r="E2438" s="62" t="s">
        <v>3371</v>
      </c>
      <c r="F2438" s="62" t="s">
        <v>3371</v>
      </c>
      <c r="G2438" s="62" t="s">
        <v>3372</v>
      </c>
      <c r="H2438" s="62" t="s">
        <v>48</v>
      </c>
      <c r="I2438" s="62" t="s">
        <v>49</v>
      </c>
      <c r="J2438" s="62" t="s">
        <v>146</v>
      </c>
      <c r="K2438" s="62" t="s">
        <v>209</v>
      </c>
      <c r="L2438" s="62" t="s">
        <v>148</v>
      </c>
      <c r="M2438" s="62" t="n">
        <v>0</v>
      </c>
      <c r="N2438" s="62" t="n">
        <v>1</v>
      </c>
      <c r="O2438" s="62" t="n">
        <v>1</v>
      </c>
      <c r="P2438" s="62" t="n">
        <v>0</v>
      </c>
      <c r="Q2438" s="62" t="n">
        <v>0</v>
      </c>
      <c r="R2438" s="62" t="n">
        <v>1</v>
      </c>
      <c r="S2438" s="62" t="n">
        <v>0</v>
      </c>
      <c r="T2438" s="62" t="n">
        <v>0</v>
      </c>
      <c r="U2438" s="62"/>
      <c r="V2438" s="62"/>
      <c r="W2438" s="62"/>
      <c r="X2438" s="62"/>
      <c r="Y2438" s="62"/>
      <c r="Z2438" s="62" t="s">
        <v>4453</v>
      </c>
      <c r="AA2438" s="62" t="s">
        <v>4454</v>
      </c>
      <c r="AB2438" s="62" t="n">
        <v>1</v>
      </c>
      <c r="AC2438" s="62" t="n">
        <v>0</v>
      </c>
      <c r="AD2438" s="62" t="n">
        <v>1</v>
      </c>
      <c r="AE2438" s="62" t="n">
        <f aca="false">IF(AND(Dashboard!$C$9="Yes",AC2438=1),0,1)</f>
        <v>1</v>
      </c>
      <c r="AF2438" s="62" t="n">
        <v>1</v>
      </c>
    </row>
    <row r="2439" customFormat="false" ht="15" hidden="false" customHeight="false" outlineLevel="0" collapsed="false">
      <c r="A2439" s="62" t="n">
        <v>2438</v>
      </c>
      <c r="B2439" s="63" t="n">
        <v>46287.8998263889</v>
      </c>
      <c r="C2439" s="64" t="n">
        <v>46287</v>
      </c>
      <c r="D2439" s="62" t="s">
        <v>501</v>
      </c>
      <c r="E2439" s="62" t="s">
        <v>1155</v>
      </c>
      <c r="F2439" s="62" t="s">
        <v>1155</v>
      </c>
      <c r="G2439" s="62" t="s">
        <v>1156</v>
      </c>
      <c r="H2439" s="62" t="s">
        <v>59</v>
      </c>
      <c r="I2439" s="62" t="s">
        <v>47</v>
      </c>
      <c r="J2439" s="62" t="s">
        <v>146</v>
      </c>
      <c r="K2439" s="62" t="s">
        <v>209</v>
      </c>
      <c r="L2439" s="62" t="s">
        <v>4</v>
      </c>
      <c r="M2439" s="62" t="n">
        <v>1</v>
      </c>
      <c r="N2439" s="62" t="n">
        <v>0</v>
      </c>
      <c r="O2439" s="62" t="n">
        <v>1</v>
      </c>
      <c r="P2439" s="62" t="n">
        <v>0</v>
      </c>
      <c r="Q2439" s="62" t="n">
        <v>0</v>
      </c>
      <c r="R2439" s="62" t="n">
        <v>0</v>
      </c>
      <c r="S2439" s="62" t="n">
        <v>0</v>
      </c>
      <c r="T2439" s="62" t="n">
        <v>0</v>
      </c>
      <c r="U2439" s="62" t="s">
        <v>2056</v>
      </c>
      <c r="V2439" s="62" t="s">
        <v>2057</v>
      </c>
      <c r="W2439" s="62" t="s">
        <v>15</v>
      </c>
      <c r="X2439" s="62" t="s">
        <v>2164</v>
      </c>
      <c r="Y2439" s="62" t="s">
        <v>2103</v>
      </c>
      <c r="Z2439" s="62" t="s">
        <v>4455</v>
      </c>
      <c r="AA2439" s="62" t="s">
        <v>4456</v>
      </c>
      <c r="AB2439" s="62" t="n">
        <v>1</v>
      </c>
      <c r="AC2439" s="62" t="n">
        <v>0</v>
      </c>
      <c r="AD2439" s="62" t="n">
        <v>1</v>
      </c>
      <c r="AE2439" s="62" t="n">
        <f aca="false">IF(AND(Dashboard!$C$9="Yes",AC2439=1),0,1)</f>
        <v>1</v>
      </c>
      <c r="AF2439" s="62" t="n">
        <v>1</v>
      </c>
    </row>
    <row r="2440" customFormat="false" ht="15" hidden="false" customHeight="false" outlineLevel="0" collapsed="false">
      <c r="A2440" s="62" t="n">
        <v>2439</v>
      </c>
      <c r="B2440" s="63" t="n">
        <v>46287.9038425926</v>
      </c>
      <c r="C2440" s="64" t="n">
        <v>46287</v>
      </c>
      <c r="D2440" s="62" t="s">
        <v>501</v>
      </c>
      <c r="E2440" s="62" t="s">
        <v>156</v>
      </c>
      <c r="F2440" s="62" t="s">
        <v>156</v>
      </c>
      <c r="G2440" s="62" t="s">
        <v>157</v>
      </c>
      <c r="H2440" s="62" t="s">
        <v>51</v>
      </c>
      <c r="I2440" s="62" t="s">
        <v>47</v>
      </c>
      <c r="J2440" s="62" t="s">
        <v>146</v>
      </c>
      <c r="K2440" s="62" t="s">
        <v>147</v>
      </c>
      <c r="L2440" s="62" t="s">
        <v>4</v>
      </c>
      <c r="M2440" s="62" t="n">
        <v>1</v>
      </c>
      <c r="N2440" s="62" t="n">
        <v>0</v>
      </c>
      <c r="O2440" s="62" t="n">
        <v>1</v>
      </c>
      <c r="P2440" s="62" t="n">
        <v>0</v>
      </c>
      <c r="Q2440" s="62" t="n">
        <v>0</v>
      </c>
      <c r="R2440" s="62" t="n">
        <v>0</v>
      </c>
      <c r="S2440" s="62" t="n">
        <v>0</v>
      </c>
      <c r="T2440" s="62" t="n">
        <v>0</v>
      </c>
      <c r="U2440" s="62" t="s">
        <v>15</v>
      </c>
      <c r="V2440" s="62" t="s">
        <v>2057</v>
      </c>
      <c r="W2440" s="62" t="s">
        <v>2056</v>
      </c>
      <c r="X2440" s="62" t="s">
        <v>2058</v>
      </c>
      <c r="Y2440" s="62" t="s">
        <v>2399</v>
      </c>
      <c r="Z2440" s="62" t="s">
        <v>4457</v>
      </c>
      <c r="AA2440" s="62" t="s">
        <v>4458</v>
      </c>
      <c r="AB2440" s="62" t="n">
        <v>1</v>
      </c>
      <c r="AC2440" s="62" t="n">
        <v>0</v>
      </c>
      <c r="AD2440" s="62" t="n">
        <v>1</v>
      </c>
      <c r="AE2440" s="62" t="n">
        <f aca="false">IF(AND(Dashboard!$C$9="Yes",AC2440=1),0,1)</f>
        <v>1</v>
      </c>
      <c r="AF2440" s="62" t="n">
        <v>1</v>
      </c>
    </row>
    <row r="2441" customFormat="false" ht="15" hidden="false" customHeight="false" outlineLevel="0" collapsed="false">
      <c r="A2441" s="62" t="n">
        <v>2440</v>
      </c>
      <c r="B2441" s="63" t="n">
        <v>46287.906712963</v>
      </c>
      <c r="C2441" s="64" t="n">
        <v>46287</v>
      </c>
      <c r="D2441" s="62" t="s">
        <v>501</v>
      </c>
      <c r="E2441" s="62" t="s">
        <v>2156</v>
      </c>
      <c r="F2441" s="62" t="s">
        <v>2156</v>
      </c>
      <c r="G2441" s="62" t="s">
        <v>2157</v>
      </c>
      <c r="H2441" s="62" t="s">
        <v>52</v>
      </c>
      <c r="I2441" s="62" t="s">
        <v>47</v>
      </c>
      <c r="J2441" s="62" t="s">
        <v>146</v>
      </c>
      <c r="K2441" s="62" t="s">
        <v>209</v>
      </c>
      <c r="L2441" s="62" t="s">
        <v>148</v>
      </c>
      <c r="M2441" s="62" t="n">
        <v>0</v>
      </c>
      <c r="N2441" s="62" t="n">
        <v>1</v>
      </c>
      <c r="O2441" s="62" t="n">
        <v>1</v>
      </c>
      <c r="P2441" s="62" t="n">
        <v>1</v>
      </c>
      <c r="Q2441" s="62" t="n">
        <v>0</v>
      </c>
      <c r="R2441" s="62" t="n">
        <v>0</v>
      </c>
      <c r="S2441" s="62" t="n">
        <v>0</v>
      </c>
      <c r="T2441" s="62" t="n">
        <v>0</v>
      </c>
      <c r="U2441" s="62"/>
      <c r="V2441" s="62"/>
      <c r="W2441" s="62"/>
      <c r="X2441" s="62"/>
      <c r="Y2441" s="62"/>
      <c r="Z2441" s="62" t="s">
        <v>4459</v>
      </c>
      <c r="AA2441" s="62" t="s">
        <v>4460</v>
      </c>
      <c r="AB2441" s="62" t="n">
        <v>1</v>
      </c>
      <c r="AC2441" s="62" t="n">
        <v>0</v>
      </c>
      <c r="AD2441" s="62" t="n">
        <v>1</v>
      </c>
      <c r="AE2441" s="62" t="n">
        <f aca="false">IF(AND(Dashboard!$C$9="Yes",AC2441=1),0,1)</f>
        <v>1</v>
      </c>
      <c r="AF2441" s="62" t="n">
        <v>1</v>
      </c>
    </row>
    <row r="2442" customFormat="false" ht="15" hidden="false" customHeight="false" outlineLevel="0" collapsed="false">
      <c r="A2442" s="62" t="n">
        <v>2441</v>
      </c>
      <c r="B2442" s="63" t="n">
        <v>46287.9232175926</v>
      </c>
      <c r="C2442" s="64" t="n">
        <v>46287</v>
      </c>
      <c r="D2442" s="62" t="s">
        <v>501</v>
      </c>
      <c r="E2442" s="62" t="s">
        <v>4461</v>
      </c>
      <c r="F2442" s="62" t="s">
        <v>4462</v>
      </c>
      <c r="G2442" s="62" t="s">
        <v>153</v>
      </c>
      <c r="H2442" s="62" t="s">
        <v>153</v>
      </c>
      <c r="I2442" s="62" t="s">
        <v>153</v>
      </c>
      <c r="J2442" s="62" t="s">
        <v>64</v>
      </c>
      <c r="K2442" s="62" t="s">
        <v>64</v>
      </c>
      <c r="L2442" s="62" t="s">
        <v>148</v>
      </c>
      <c r="M2442" s="62" t="n">
        <v>0</v>
      </c>
      <c r="N2442" s="62" t="n">
        <v>1</v>
      </c>
      <c r="O2442" s="62" t="n">
        <v>1</v>
      </c>
      <c r="P2442" s="62" t="n">
        <v>0</v>
      </c>
      <c r="Q2442" s="62" t="n">
        <v>0</v>
      </c>
      <c r="R2442" s="62" t="n">
        <v>0</v>
      </c>
      <c r="S2442" s="62" t="n">
        <v>1</v>
      </c>
      <c r="T2442" s="62" t="n">
        <v>0</v>
      </c>
      <c r="U2442" s="62"/>
      <c r="V2442" s="62"/>
      <c r="W2442" s="62"/>
      <c r="X2442" s="62"/>
      <c r="Y2442" s="62"/>
      <c r="Z2442" s="62" t="s">
        <v>4463</v>
      </c>
      <c r="AA2442" s="62" t="s">
        <v>485</v>
      </c>
      <c r="AB2442" s="62" t="n">
        <v>0</v>
      </c>
      <c r="AC2442" s="62" t="n">
        <v>0</v>
      </c>
      <c r="AD2442" s="62" t="n">
        <v>0</v>
      </c>
      <c r="AE2442" s="62" t="n">
        <f aca="false">IF(AND(Dashboard!$C$9="Yes",AC2442=1),0,1)</f>
        <v>1</v>
      </c>
      <c r="AF2442" s="62" t="n">
        <v>1</v>
      </c>
    </row>
    <row r="2443" customFormat="false" ht="15" hidden="false" customHeight="false" outlineLevel="0" collapsed="false">
      <c r="A2443" s="62" t="n">
        <v>2442</v>
      </c>
      <c r="B2443" s="63" t="n">
        <v>46287.9572453704</v>
      </c>
      <c r="C2443" s="64" t="n">
        <v>46287</v>
      </c>
      <c r="D2443" s="62" t="s">
        <v>501</v>
      </c>
      <c r="E2443" s="62" t="s">
        <v>4304</v>
      </c>
      <c r="F2443" s="62" t="s">
        <v>4304</v>
      </c>
      <c r="G2443" s="62" t="s">
        <v>4305</v>
      </c>
      <c r="H2443" s="62" t="s">
        <v>44</v>
      </c>
      <c r="I2443" s="62" t="s">
        <v>61</v>
      </c>
      <c r="J2443" s="62" t="s">
        <v>3708</v>
      </c>
      <c r="K2443" s="62" t="s">
        <v>175</v>
      </c>
      <c r="L2443" s="62" t="s">
        <v>148</v>
      </c>
      <c r="M2443" s="62" t="n">
        <v>0</v>
      </c>
      <c r="N2443" s="62" t="n">
        <v>1</v>
      </c>
      <c r="O2443" s="62" t="n">
        <v>1</v>
      </c>
      <c r="P2443" s="62" t="n">
        <v>1</v>
      </c>
      <c r="Q2443" s="62" t="n">
        <v>0</v>
      </c>
      <c r="R2443" s="62" t="n">
        <v>0</v>
      </c>
      <c r="S2443" s="62" t="n">
        <v>0</v>
      </c>
      <c r="T2443" s="62" t="n">
        <v>0</v>
      </c>
      <c r="U2443" s="62"/>
      <c r="V2443" s="62"/>
      <c r="W2443" s="62"/>
      <c r="X2443" s="62"/>
      <c r="Y2443" s="62"/>
      <c r="Z2443" s="62" t="s">
        <v>4464</v>
      </c>
      <c r="AA2443" s="62" t="s">
        <v>4465</v>
      </c>
      <c r="AB2443" s="62" t="n">
        <v>1</v>
      </c>
      <c r="AC2443" s="62" t="n">
        <v>0</v>
      </c>
      <c r="AD2443" s="62" t="n">
        <v>1</v>
      </c>
      <c r="AE2443" s="62" t="n">
        <f aca="false">IF(AND(Dashboard!$C$9="Yes",AC2443=1),0,1)</f>
        <v>1</v>
      </c>
      <c r="AF2443" s="62" t="n">
        <v>0</v>
      </c>
    </row>
    <row r="2444" customFormat="false" ht="15" hidden="false" customHeight="false" outlineLevel="0" collapsed="false">
      <c r="A2444" s="62" t="n">
        <v>2443</v>
      </c>
      <c r="B2444" s="63" t="n">
        <v>46287.9627199074</v>
      </c>
      <c r="C2444" s="64" t="n">
        <v>46287</v>
      </c>
      <c r="D2444" s="62" t="s">
        <v>501</v>
      </c>
      <c r="E2444" s="62" t="s">
        <v>4386</v>
      </c>
      <c r="F2444" s="62" t="s">
        <v>4386</v>
      </c>
      <c r="G2444" s="62" t="s">
        <v>4387</v>
      </c>
      <c r="H2444" s="62" t="s">
        <v>44</v>
      </c>
      <c r="I2444" s="62" t="s">
        <v>49</v>
      </c>
      <c r="J2444" s="62" t="s">
        <v>146</v>
      </c>
      <c r="K2444" s="62" t="s">
        <v>147</v>
      </c>
      <c r="L2444" s="62" t="s">
        <v>148</v>
      </c>
      <c r="M2444" s="62" t="n">
        <v>0</v>
      </c>
      <c r="N2444" s="62" t="n">
        <v>1</v>
      </c>
      <c r="O2444" s="62" t="n">
        <v>1</v>
      </c>
      <c r="P2444" s="62" t="n">
        <v>1</v>
      </c>
      <c r="Q2444" s="62" t="n">
        <v>0</v>
      </c>
      <c r="R2444" s="62" t="n">
        <v>0</v>
      </c>
      <c r="S2444" s="62" t="n">
        <v>0</v>
      </c>
      <c r="T2444" s="62" t="n">
        <v>0</v>
      </c>
      <c r="U2444" s="62"/>
      <c r="V2444" s="62"/>
      <c r="W2444" s="62"/>
      <c r="X2444" s="62"/>
      <c r="Y2444" s="62"/>
      <c r="Z2444" s="62" t="s">
        <v>4466</v>
      </c>
      <c r="AA2444" s="62" t="s">
        <v>4467</v>
      </c>
      <c r="AB2444" s="62" t="n">
        <v>1</v>
      </c>
      <c r="AC2444" s="62" t="n">
        <v>0</v>
      </c>
      <c r="AD2444" s="62" t="n">
        <v>1</v>
      </c>
      <c r="AE2444" s="62" t="n">
        <f aca="false">IF(AND(Dashboard!$C$9="Yes",AC2444=1),0,1)</f>
        <v>1</v>
      </c>
      <c r="AF2444" s="62" t="n">
        <v>0</v>
      </c>
    </row>
    <row r="2445" customFormat="false" ht="15" hidden="false" customHeight="false" outlineLevel="0" collapsed="false">
      <c r="A2445" s="62" t="n">
        <v>2444</v>
      </c>
      <c r="B2445" s="63" t="n">
        <v>46287.9914699074</v>
      </c>
      <c r="C2445" s="64" t="n">
        <v>46287</v>
      </c>
      <c r="D2445" s="62" t="s">
        <v>501</v>
      </c>
      <c r="E2445" s="62" t="s">
        <v>203</v>
      </c>
      <c r="F2445" s="62" t="s">
        <v>203</v>
      </c>
      <c r="G2445" s="62" t="s">
        <v>204</v>
      </c>
      <c r="H2445" s="62" t="s">
        <v>51</v>
      </c>
      <c r="I2445" s="62" t="s">
        <v>47</v>
      </c>
      <c r="J2445" s="62" t="s">
        <v>146</v>
      </c>
      <c r="K2445" s="62" t="s">
        <v>147</v>
      </c>
      <c r="L2445" s="62" t="s">
        <v>148</v>
      </c>
      <c r="M2445" s="62" t="n">
        <v>0</v>
      </c>
      <c r="N2445" s="62" t="n">
        <v>1</v>
      </c>
      <c r="O2445" s="62" t="n">
        <v>1</v>
      </c>
      <c r="P2445" s="62" t="n">
        <v>1</v>
      </c>
      <c r="Q2445" s="62" t="n">
        <v>0</v>
      </c>
      <c r="R2445" s="62" t="n">
        <v>0</v>
      </c>
      <c r="S2445" s="62" t="n">
        <v>0</v>
      </c>
      <c r="T2445" s="62" t="n">
        <v>0</v>
      </c>
      <c r="U2445" s="62"/>
      <c r="V2445" s="62"/>
      <c r="W2445" s="62"/>
      <c r="X2445" s="62"/>
      <c r="Y2445" s="62"/>
      <c r="Z2445" s="62" t="s">
        <v>4468</v>
      </c>
      <c r="AA2445" s="62" t="s">
        <v>4469</v>
      </c>
      <c r="AB2445" s="62" t="n">
        <v>1</v>
      </c>
      <c r="AC2445" s="62" t="n">
        <v>0</v>
      </c>
      <c r="AD2445" s="62" t="n">
        <v>1</v>
      </c>
      <c r="AE2445" s="62" t="n">
        <f aca="false">IF(AND(Dashboard!$C$9="Yes",AC2445=1),0,1)</f>
        <v>1</v>
      </c>
      <c r="AF2445" s="62" t="n">
        <v>0</v>
      </c>
    </row>
    <row r="2446" customFormat="false" ht="15" hidden="false" customHeight="false" outlineLevel="0" collapsed="false">
      <c r="A2446" s="62" t="n">
        <v>2445</v>
      </c>
      <c r="B2446" s="63" t="n">
        <v>46287.9954398148</v>
      </c>
      <c r="C2446" s="64" t="n">
        <v>46287</v>
      </c>
      <c r="D2446" s="62" t="s">
        <v>501</v>
      </c>
      <c r="E2446" s="62" t="s">
        <v>2119</v>
      </c>
      <c r="F2446" s="62" t="s">
        <v>2119</v>
      </c>
      <c r="G2446" s="62" t="s">
        <v>2120</v>
      </c>
      <c r="H2446" s="62" t="s">
        <v>52</v>
      </c>
      <c r="I2446" s="62" t="s">
        <v>47</v>
      </c>
      <c r="J2446" s="62" t="s">
        <v>146</v>
      </c>
      <c r="K2446" s="62" t="s">
        <v>147</v>
      </c>
      <c r="L2446" s="62" t="s">
        <v>148</v>
      </c>
      <c r="M2446" s="62" t="n">
        <v>0</v>
      </c>
      <c r="N2446" s="62" t="n">
        <v>1</v>
      </c>
      <c r="O2446" s="62" t="n">
        <v>1</v>
      </c>
      <c r="P2446" s="62" t="n">
        <v>0</v>
      </c>
      <c r="Q2446" s="62" t="n">
        <v>0</v>
      </c>
      <c r="R2446" s="62" t="n">
        <v>1</v>
      </c>
      <c r="S2446" s="62" t="n">
        <v>0</v>
      </c>
      <c r="T2446" s="62" t="n">
        <v>0</v>
      </c>
      <c r="U2446" s="62"/>
      <c r="V2446" s="62"/>
      <c r="W2446" s="62"/>
      <c r="X2446" s="62"/>
      <c r="Y2446" s="62"/>
      <c r="Z2446" s="62" t="s">
        <v>4470</v>
      </c>
      <c r="AA2446" s="62" t="s">
        <v>3027</v>
      </c>
      <c r="AB2446" s="62" t="n">
        <v>0</v>
      </c>
      <c r="AC2446" s="62" t="n">
        <v>0</v>
      </c>
      <c r="AD2446" s="62" t="n">
        <v>1</v>
      </c>
      <c r="AE2446" s="62" t="n">
        <f aca="false">IF(AND(Dashboard!$C$9="Yes",AC2446=1),0,1)</f>
        <v>1</v>
      </c>
      <c r="AF2446" s="62" t="n">
        <v>0</v>
      </c>
    </row>
    <row r="2447" customFormat="false" ht="15" hidden="false" customHeight="false" outlineLevel="0" collapsed="false">
      <c r="A2447" s="62" t="n">
        <v>2446</v>
      </c>
      <c r="B2447" s="63" t="n">
        <v>46288.0100231482</v>
      </c>
      <c r="C2447" s="64" t="n">
        <v>46287</v>
      </c>
      <c r="D2447" s="62" t="s">
        <v>501</v>
      </c>
      <c r="E2447" s="62" t="s">
        <v>4386</v>
      </c>
      <c r="F2447" s="62" t="s">
        <v>4386</v>
      </c>
      <c r="G2447" s="62" t="s">
        <v>4387</v>
      </c>
      <c r="H2447" s="62" t="s">
        <v>44</v>
      </c>
      <c r="I2447" s="62" t="s">
        <v>49</v>
      </c>
      <c r="J2447" s="62" t="s">
        <v>146</v>
      </c>
      <c r="K2447" s="62" t="s">
        <v>147</v>
      </c>
      <c r="L2447" s="62" t="s">
        <v>4</v>
      </c>
      <c r="M2447" s="62" t="n">
        <v>1</v>
      </c>
      <c r="N2447" s="62" t="n">
        <v>0</v>
      </c>
      <c r="O2447" s="62" t="n">
        <v>1</v>
      </c>
      <c r="P2447" s="62" t="n">
        <v>0</v>
      </c>
      <c r="Q2447" s="62" t="n">
        <v>0</v>
      </c>
      <c r="R2447" s="62" t="n">
        <v>0</v>
      </c>
      <c r="S2447" s="62" t="n">
        <v>0</v>
      </c>
      <c r="T2447" s="62" t="n">
        <v>0</v>
      </c>
      <c r="U2447" s="62" t="s">
        <v>2056</v>
      </c>
      <c r="V2447" s="62" t="s">
        <v>2057</v>
      </c>
      <c r="W2447" s="62" t="s">
        <v>15</v>
      </c>
      <c r="X2447" s="62" t="s">
        <v>2058</v>
      </c>
      <c r="Y2447" s="62" t="s">
        <v>2059</v>
      </c>
      <c r="Z2447" s="62" t="s">
        <v>4466</v>
      </c>
      <c r="AA2447" s="62" t="s">
        <v>4471</v>
      </c>
      <c r="AB2447" s="62" t="n">
        <v>1</v>
      </c>
      <c r="AC2447" s="62" t="n">
        <v>0</v>
      </c>
      <c r="AD2447" s="62" t="n">
        <v>1</v>
      </c>
      <c r="AE2447" s="62" t="n">
        <f aca="false">IF(AND(Dashboard!$C$9="Yes",AC2447=1),0,1)</f>
        <v>1</v>
      </c>
      <c r="AF2447" s="62" t="n">
        <v>0</v>
      </c>
    </row>
    <row r="2448" customFormat="false" ht="15" hidden="false" customHeight="false" outlineLevel="0" collapsed="false">
      <c r="A2448" s="62" t="n">
        <v>2447</v>
      </c>
      <c r="B2448" s="63" t="n">
        <v>46288.0248032407</v>
      </c>
      <c r="C2448" s="64" t="n">
        <v>46287</v>
      </c>
      <c r="D2448" s="62" t="s">
        <v>501</v>
      </c>
      <c r="E2448" s="62" t="s">
        <v>2228</v>
      </c>
      <c r="F2448" s="62" t="s">
        <v>2228</v>
      </c>
      <c r="G2448" s="62" t="s">
        <v>2229</v>
      </c>
      <c r="H2448" s="62" t="s">
        <v>58</v>
      </c>
      <c r="I2448" s="62" t="s">
        <v>49</v>
      </c>
      <c r="J2448" s="62" t="s">
        <v>146</v>
      </c>
      <c r="K2448" s="62" t="s">
        <v>209</v>
      </c>
      <c r="L2448" s="62" t="s">
        <v>148</v>
      </c>
      <c r="M2448" s="62" t="n">
        <v>0</v>
      </c>
      <c r="N2448" s="62" t="n">
        <v>1</v>
      </c>
      <c r="O2448" s="62" t="n">
        <v>1</v>
      </c>
      <c r="P2448" s="62" t="n">
        <v>0</v>
      </c>
      <c r="Q2448" s="62" t="n">
        <v>1</v>
      </c>
      <c r="R2448" s="62" t="n">
        <v>0</v>
      </c>
      <c r="S2448" s="62" t="n">
        <v>0</v>
      </c>
      <c r="T2448" s="62" t="n">
        <v>0</v>
      </c>
      <c r="U2448" s="62"/>
      <c r="V2448" s="62"/>
      <c r="W2448" s="62"/>
      <c r="X2448" s="62"/>
      <c r="Y2448" s="62"/>
      <c r="Z2448" s="62" t="s">
        <v>4472</v>
      </c>
      <c r="AA2448" s="62" t="s">
        <v>4473</v>
      </c>
      <c r="AB2448" s="62" t="n">
        <v>1</v>
      </c>
      <c r="AC2448" s="62" t="n">
        <v>0</v>
      </c>
      <c r="AD2448" s="62" t="n">
        <v>1</v>
      </c>
      <c r="AE2448" s="62" t="n">
        <f aca="false">IF(AND(Dashboard!$C$9="Yes",AC2448=1),0,1)</f>
        <v>1</v>
      </c>
      <c r="AF2448" s="62" t="n">
        <v>0</v>
      </c>
    </row>
    <row r="2449" customFormat="false" ht="15" hidden="false" customHeight="false" outlineLevel="0" collapsed="false">
      <c r="A2449" s="62" t="n">
        <v>2448</v>
      </c>
      <c r="B2449" s="63" t="n">
        <v>46288.0442476852</v>
      </c>
      <c r="C2449" s="64" t="n">
        <v>46287</v>
      </c>
      <c r="D2449" s="62" t="s">
        <v>501</v>
      </c>
      <c r="E2449" s="62" t="s">
        <v>207</v>
      </c>
      <c r="F2449" s="62" t="s">
        <v>207</v>
      </c>
      <c r="G2449" s="62" t="s">
        <v>208</v>
      </c>
      <c r="H2449" s="62" t="s">
        <v>48</v>
      </c>
      <c r="I2449" s="62" t="s">
        <v>49</v>
      </c>
      <c r="J2449" s="62" t="s">
        <v>146</v>
      </c>
      <c r="K2449" s="62" t="s">
        <v>209</v>
      </c>
      <c r="L2449" s="62" t="s">
        <v>148</v>
      </c>
      <c r="M2449" s="62" t="n">
        <v>0</v>
      </c>
      <c r="N2449" s="62" t="n">
        <v>2</v>
      </c>
      <c r="O2449" s="62" t="n">
        <v>2</v>
      </c>
      <c r="P2449" s="62" t="n">
        <v>1</v>
      </c>
      <c r="Q2449" s="62" t="n">
        <v>1</v>
      </c>
      <c r="R2449" s="62" t="n">
        <v>0</v>
      </c>
      <c r="S2449" s="62" t="n">
        <v>0</v>
      </c>
      <c r="T2449" s="62" t="n">
        <v>0</v>
      </c>
      <c r="U2449" s="62"/>
      <c r="V2449" s="62"/>
      <c r="W2449" s="62"/>
      <c r="X2449" s="62"/>
      <c r="Y2449" s="62"/>
      <c r="Z2449" s="62" t="s">
        <v>4474</v>
      </c>
      <c r="AA2449" s="62" t="s">
        <v>4475</v>
      </c>
      <c r="AB2449" s="62" t="n">
        <v>1</v>
      </c>
      <c r="AC2449" s="62" t="n">
        <v>0</v>
      </c>
      <c r="AD2449" s="62" t="n">
        <v>1</v>
      </c>
      <c r="AE2449" s="62" t="n">
        <f aca="false">IF(AND(Dashboard!$C$9="Yes",AC2449=1),0,1)</f>
        <v>1</v>
      </c>
      <c r="AF2449" s="62" t="n">
        <v>1</v>
      </c>
    </row>
    <row r="2450" customFormat="false" ht="15" hidden="false" customHeight="false" outlineLevel="0" collapsed="false">
      <c r="A2450" s="62" t="n">
        <v>2449</v>
      </c>
      <c r="B2450" s="63" t="n">
        <v>46288.0694560185</v>
      </c>
      <c r="C2450" s="64" t="n">
        <v>46287</v>
      </c>
      <c r="D2450" s="62" t="s">
        <v>501</v>
      </c>
      <c r="E2450" s="62" t="s">
        <v>1749</v>
      </c>
      <c r="F2450" s="62" t="s">
        <v>1749</v>
      </c>
      <c r="G2450" s="62" t="s">
        <v>1750</v>
      </c>
      <c r="H2450" s="62" t="s">
        <v>57</v>
      </c>
      <c r="I2450" s="62" t="s">
        <v>47</v>
      </c>
      <c r="J2450" s="62" t="s">
        <v>146</v>
      </c>
      <c r="K2450" s="62" t="s">
        <v>209</v>
      </c>
      <c r="L2450" s="62" t="s">
        <v>4</v>
      </c>
      <c r="M2450" s="62" t="n">
        <v>1</v>
      </c>
      <c r="N2450" s="62" t="n">
        <v>0</v>
      </c>
      <c r="O2450" s="62" t="n">
        <v>1</v>
      </c>
      <c r="P2450" s="62" t="n">
        <v>0</v>
      </c>
      <c r="Q2450" s="62" t="n">
        <v>0</v>
      </c>
      <c r="R2450" s="62" t="n">
        <v>0</v>
      </c>
      <c r="S2450" s="62" t="n">
        <v>0</v>
      </c>
      <c r="T2450" s="62" t="n">
        <v>0</v>
      </c>
      <c r="U2450" s="62" t="s">
        <v>2056</v>
      </c>
      <c r="V2450" s="62" t="s">
        <v>2057</v>
      </c>
      <c r="W2450" s="62" t="s">
        <v>15</v>
      </c>
      <c r="X2450" s="62" t="s">
        <v>2058</v>
      </c>
      <c r="Y2450" s="62" t="s">
        <v>2059</v>
      </c>
      <c r="Z2450" s="62" t="s">
        <v>4476</v>
      </c>
      <c r="AA2450" s="62" t="s">
        <v>4477</v>
      </c>
      <c r="AB2450" s="62" t="n">
        <v>1</v>
      </c>
      <c r="AC2450" s="62" t="n">
        <v>0</v>
      </c>
      <c r="AD2450" s="62" t="n">
        <v>1</v>
      </c>
      <c r="AE2450" s="62" t="n">
        <f aca="false">IF(AND(Dashboard!$C$9="Yes",AC2450=1),0,1)</f>
        <v>1</v>
      </c>
      <c r="AF2450" s="62" t="n">
        <v>1</v>
      </c>
    </row>
    <row r="2451" customFormat="false" ht="15" hidden="false" customHeight="false" outlineLevel="0" collapsed="false">
      <c r="A2451" s="62" t="n">
        <v>2450</v>
      </c>
      <c r="B2451" s="63" t="n">
        <v>46288.1089351852</v>
      </c>
      <c r="C2451" s="64" t="n">
        <v>46287</v>
      </c>
      <c r="D2451" s="62" t="s">
        <v>501</v>
      </c>
      <c r="E2451" s="62" t="s">
        <v>3967</v>
      </c>
      <c r="F2451" s="62" t="s">
        <v>3967</v>
      </c>
      <c r="G2451" s="62" t="s">
        <v>3968</v>
      </c>
      <c r="H2451" s="62" t="s">
        <v>46</v>
      </c>
      <c r="I2451" s="62" t="s">
        <v>47</v>
      </c>
      <c r="J2451" s="62" t="s">
        <v>146</v>
      </c>
      <c r="K2451" s="62" t="s">
        <v>209</v>
      </c>
      <c r="L2451" s="62" t="s">
        <v>148</v>
      </c>
      <c r="M2451" s="62" t="n">
        <v>0</v>
      </c>
      <c r="N2451" s="62" t="n">
        <v>1</v>
      </c>
      <c r="O2451" s="62" t="n">
        <v>1</v>
      </c>
      <c r="P2451" s="62" t="n">
        <v>0</v>
      </c>
      <c r="Q2451" s="62" t="n">
        <v>1</v>
      </c>
      <c r="R2451" s="62" t="n">
        <v>0</v>
      </c>
      <c r="S2451" s="62" t="n">
        <v>0</v>
      </c>
      <c r="T2451" s="62" t="n">
        <v>0</v>
      </c>
      <c r="U2451" s="62"/>
      <c r="V2451" s="62"/>
      <c r="W2451" s="62"/>
      <c r="X2451" s="62"/>
      <c r="Y2451" s="62"/>
      <c r="Z2451" s="62" t="s">
        <v>4478</v>
      </c>
      <c r="AA2451" s="62" t="s">
        <v>4479</v>
      </c>
      <c r="AB2451" s="62" t="n">
        <v>1</v>
      </c>
      <c r="AC2451" s="62" t="n">
        <v>0</v>
      </c>
      <c r="AD2451" s="62" t="n">
        <v>1</v>
      </c>
      <c r="AE2451" s="62" t="n">
        <f aca="false">IF(AND(Dashboard!$C$9="Yes",AC2451=1),0,1)</f>
        <v>1</v>
      </c>
      <c r="AF2451" s="62" t="n">
        <v>1</v>
      </c>
    </row>
    <row r="2452" customFormat="false" ht="15" hidden="false" customHeight="false" outlineLevel="0" collapsed="false">
      <c r="A2452" s="62" t="n">
        <v>2451</v>
      </c>
      <c r="B2452" s="63" t="n">
        <v>46288.131875</v>
      </c>
      <c r="C2452" s="64" t="n">
        <v>46287</v>
      </c>
      <c r="D2452" s="62" t="s">
        <v>501</v>
      </c>
      <c r="E2452" s="62" t="s">
        <v>3766</v>
      </c>
      <c r="F2452" s="62" t="s">
        <v>3766</v>
      </c>
      <c r="G2452" s="62" t="s">
        <v>3767</v>
      </c>
      <c r="H2452" s="62" t="s">
        <v>57</v>
      </c>
      <c r="I2452" s="62" t="s">
        <v>47</v>
      </c>
      <c r="J2452" s="62" t="s">
        <v>146</v>
      </c>
      <c r="K2452" s="62" t="s">
        <v>147</v>
      </c>
      <c r="L2452" s="62" t="s">
        <v>148</v>
      </c>
      <c r="M2452" s="62" t="n">
        <v>0</v>
      </c>
      <c r="N2452" s="62" t="n">
        <v>2</v>
      </c>
      <c r="O2452" s="62" t="n">
        <v>2</v>
      </c>
      <c r="P2452" s="62" t="n">
        <v>1</v>
      </c>
      <c r="Q2452" s="62" t="n">
        <v>1</v>
      </c>
      <c r="R2452" s="62" t="n">
        <v>0</v>
      </c>
      <c r="S2452" s="62" t="n">
        <v>0</v>
      </c>
      <c r="T2452" s="62" t="n">
        <v>0</v>
      </c>
      <c r="U2452" s="62"/>
      <c r="V2452" s="62"/>
      <c r="W2452" s="62"/>
      <c r="X2452" s="62"/>
      <c r="Y2452" s="62"/>
      <c r="Z2452" s="62" t="s">
        <v>4480</v>
      </c>
      <c r="AA2452" s="62" t="s">
        <v>4481</v>
      </c>
      <c r="AB2452" s="62" t="n">
        <v>1</v>
      </c>
      <c r="AC2452" s="62" t="n">
        <v>0</v>
      </c>
      <c r="AD2452" s="62" t="n">
        <v>1</v>
      </c>
      <c r="AE2452" s="62" t="n">
        <f aca="false">IF(AND(Dashboard!$C$9="Yes",AC2452=1),0,1)</f>
        <v>1</v>
      </c>
      <c r="AF2452" s="62" t="n">
        <v>1</v>
      </c>
    </row>
    <row r="2453" customFormat="false" ht="15" hidden="false" customHeight="false" outlineLevel="0" collapsed="false">
      <c r="A2453" s="62" t="n">
        <v>2452</v>
      </c>
      <c r="B2453" s="63" t="n">
        <v>46288.1400462963</v>
      </c>
      <c r="C2453" s="64" t="n">
        <v>46287</v>
      </c>
      <c r="D2453" s="62" t="s">
        <v>501</v>
      </c>
      <c r="E2453" s="62" t="s">
        <v>2722</v>
      </c>
      <c r="F2453" s="62" t="s">
        <v>2722</v>
      </c>
      <c r="G2453" s="62" t="s">
        <v>2723</v>
      </c>
      <c r="H2453" s="62" t="s">
        <v>55</v>
      </c>
      <c r="I2453" s="62" t="s">
        <v>49</v>
      </c>
      <c r="J2453" s="62" t="s">
        <v>146</v>
      </c>
      <c r="K2453" s="62" t="s">
        <v>209</v>
      </c>
      <c r="L2453" s="62" t="s">
        <v>148</v>
      </c>
      <c r="M2453" s="62" t="n">
        <v>0</v>
      </c>
      <c r="N2453" s="62" t="n">
        <v>1</v>
      </c>
      <c r="O2453" s="62" t="n">
        <v>1</v>
      </c>
      <c r="P2453" s="62" t="n">
        <v>0</v>
      </c>
      <c r="Q2453" s="62" t="n">
        <v>1</v>
      </c>
      <c r="R2453" s="62" t="n">
        <v>0</v>
      </c>
      <c r="S2453" s="62" t="n">
        <v>0</v>
      </c>
      <c r="T2453" s="62" t="n">
        <v>0</v>
      </c>
      <c r="U2453" s="62"/>
      <c r="V2453" s="62"/>
      <c r="W2453" s="62"/>
      <c r="X2453" s="62"/>
      <c r="Y2453" s="62"/>
      <c r="Z2453" s="62" t="s">
        <v>4482</v>
      </c>
      <c r="AA2453" s="62" t="s">
        <v>4483</v>
      </c>
      <c r="AB2453" s="62" t="n">
        <v>1</v>
      </c>
      <c r="AC2453" s="62" t="n">
        <v>0</v>
      </c>
      <c r="AD2453" s="62" t="n">
        <v>1</v>
      </c>
      <c r="AE2453" s="62" t="n">
        <f aca="false">IF(AND(Dashboard!$C$9="Yes",AC2453=1),0,1)</f>
        <v>1</v>
      </c>
      <c r="AF2453" s="62" t="n">
        <v>1</v>
      </c>
    </row>
    <row r="2454" customFormat="false" ht="15" hidden="false" customHeight="false" outlineLevel="0" collapsed="false">
      <c r="A2454" s="62" t="n">
        <v>2453</v>
      </c>
      <c r="B2454" s="63" t="n">
        <v>46288.1465046296</v>
      </c>
      <c r="C2454" s="64" t="n">
        <v>46287</v>
      </c>
      <c r="D2454" s="62" t="s">
        <v>501</v>
      </c>
      <c r="E2454" s="62" t="s">
        <v>1005</v>
      </c>
      <c r="F2454" s="62" t="s">
        <v>1005</v>
      </c>
      <c r="G2454" s="62" t="s">
        <v>1006</v>
      </c>
      <c r="H2454" s="62" t="s">
        <v>46</v>
      </c>
      <c r="I2454" s="62" t="s">
        <v>47</v>
      </c>
      <c r="J2454" s="62" t="s">
        <v>146</v>
      </c>
      <c r="K2454" s="62" t="s">
        <v>209</v>
      </c>
      <c r="L2454" s="62" t="s">
        <v>148</v>
      </c>
      <c r="M2454" s="62" t="n">
        <v>0</v>
      </c>
      <c r="N2454" s="62" t="n">
        <v>1</v>
      </c>
      <c r="O2454" s="62" t="n">
        <v>1</v>
      </c>
      <c r="P2454" s="62" t="n">
        <v>1</v>
      </c>
      <c r="Q2454" s="62" t="n">
        <v>0</v>
      </c>
      <c r="R2454" s="62" t="n">
        <v>0</v>
      </c>
      <c r="S2454" s="62" t="n">
        <v>0</v>
      </c>
      <c r="T2454" s="62" t="n">
        <v>0</v>
      </c>
      <c r="U2454" s="62"/>
      <c r="V2454" s="62"/>
      <c r="W2454" s="62"/>
      <c r="X2454" s="62"/>
      <c r="Y2454" s="62"/>
      <c r="Z2454" s="62" t="s">
        <v>4484</v>
      </c>
      <c r="AA2454" s="62" t="s">
        <v>485</v>
      </c>
      <c r="AB2454" s="62" t="n">
        <v>0</v>
      </c>
      <c r="AC2454" s="62" t="n">
        <v>0</v>
      </c>
      <c r="AD2454" s="62" t="n">
        <v>1</v>
      </c>
      <c r="AE2454" s="62" t="n">
        <f aca="false">IF(AND(Dashboard!$C$9="Yes",AC2454=1),0,1)</f>
        <v>1</v>
      </c>
      <c r="AF2454" s="62" t="n">
        <v>0</v>
      </c>
    </row>
    <row r="2455" customFormat="false" ht="15" hidden="false" customHeight="false" outlineLevel="0" collapsed="false">
      <c r="A2455" s="62" t="n">
        <v>2454</v>
      </c>
      <c r="B2455" s="63" t="n">
        <v>46288.1537268519</v>
      </c>
      <c r="C2455" s="64" t="n">
        <v>46287</v>
      </c>
      <c r="D2455" s="62" t="s">
        <v>501</v>
      </c>
      <c r="E2455" s="62" t="s">
        <v>1155</v>
      </c>
      <c r="F2455" s="62" t="s">
        <v>1155</v>
      </c>
      <c r="G2455" s="62" t="s">
        <v>1156</v>
      </c>
      <c r="H2455" s="62" t="s">
        <v>59</v>
      </c>
      <c r="I2455" s="62" t="s">
        <v>47</v>
      </c>
      <c r="J2455" s="62" t="s">
        <v>146</v>
      </c>
      <c r="K2455" s="62" t="s">
        <v>209</v>
      </c>
      <c r="L2455" s="62" t="s">
        <v>148</v>
      </c>
      <c r="M2455" s="62" t="n">
        <v>0</v>
      </c>
      <c r="N2455" s="62" t="n">
        <v>1</v>
      </c>
      <c r="O2455" s="62" t="n">
        <v>1</v>
      </c>
      <c r="P2455" s="62" t="n">
        <v>0</v>
      </c>
      <c r="Q2455" s="62" t="n">
        <v>0</v>
      </c>
      <c r="R2455" s="62" t="n">
        <v>0</v>
      </c>
      <c r="S2455" s="62" t="n">
        <v>1</v>
      </c>
      <c r="T2455" s="62" t="n">
        <v>0</v>
      </c>
      <c r="U2455" s="62"/>
      <c r="V2455" s="62"/>
      <c r="W2455" s="62"/>
      <c r="X2455" s="62"/>
      <c r="Y2455" s="62"/>
      <c r="Z2455" s="62" t="s">
        <v>4485</v>
      </c>
      <c r="AA2455" s="62" t="s">
        <v>4486</v>
      </c>
      <c r="AB2455" s="62" t="n">
        <v>0</v>
      </c>
      <c r="AC2455" s="62" t="n">
        <v>0</v>
      </c>
      <c r="AD2455" s="62" t="n">
        <v>1</v>
      </c>
      <c r="AE2455" s="62" t="n">
        <f aca="false">IF(AND(Dashboard!$C$9="Yes",AC2455=1),0,1)</f>
        <v>1</v>
      </c>
      <c r="AF2455" s="62" t="n">
        <v>0</v>
      </c>
    </row>
    <row r="2456" customFormat="false" ht="15" hidden="false" customHeight="false" outlineLevel="0" collapsed="false">
      <c r="A2456" s="62" t="n">
        <v>2455</v>
      </c>
      <c r="B2456" s="63" t="n">
        <v>46288.1627083333</v>
      </c>
      <c r="C2456" s="64" t="n">
        <v>46287</v>
      </c>
      <c r="D2456" s="62" t="s">
        <v>501</v>
      </c>
      <c r="E2456" s="62" t="s">
        <v>2777</v>
      </c>
      <c r="F2456" s="62" t="s">
        <v>2777</v>
      </c>
      <c r="G2456" s="62" t="s">
        <v>2778</v>
      </c>
      <c r="H2456" s="62" t="s">
        <v>48</v>
      </c>
      <c r="I2456" s="62" t="s">
        <v>49</v>
      </c>
      <c r="J2456" s="62" t="s">
        <v>146</v>
      </c>
      <c r="K2456" s="62" t="s">
        <v>209</v>
      </c>
      <c r="L2456" s="62" t="s">
        <v>4</v>
      </c>
      <c r="M2456" s="62" t="n">
        <v>3</v>
      </c>
      <c r="N2456" s="62" t="n">
        <v>0</v>
      </c>
      <c r="O2456" s="62" t="n">
        <v>3</v>
      </c>
      <c r="P2456" s="62" t="n">
        <v>0</v>
      </c>
      <c r="Q2456" s="62" t="n">
        <v>0</v>
      </c>
      <c r="R2456" s="62" t="n">
        <v>0</v>
      </c>
      <c r="S2456" s="62" t="n">
        <v>0</v>
      </c>
      <c r="T2456" s="62" t="n">
        <v>0</v>
      </c>
      <c r="U2456" s="62" t="s">
        <v>2056</v>
      </c>
      <c r="V2456" s="62" t="s">
        <v>2057</v>
      </c>
      <c r="W2456" s="62" t="s">
        <v>15</v>
      </c>
      <c r="X2456" s="62" t="s">
        <v>2058</v>
      </c>
      <c r="Y2456" s="62" t="s">
        <v>2253</v>
      </c>
      <c r="Z2456" s="62" t="s">
        <v>4487</v>
      </c>
      <c r="AA2456" s="62" t="s">
        <v>4488</v>
      </c>
      <c r="AB2456" s="62" t="n">
        <v>0</v>
      </c>
      <c r="AC2456" s="62" t="n">
        <v>0</v>
      </c>
      <c r="AD2456" s="62" t="n">
        <v>1</v>
      </c>
      <c r="AE2456" s="62" t="n">
        <f aca="false">IF(AND(Dashboard!$C$9="Yes",AC2456=1),0,1)</f>
        <v>1</v>
      </c>
      <c r="AF2456" s="62" t="n">
        <v>1</v>
      </c>
    </row>
    <row r="2457" customFormat="false" ht="15" hidden="false" customHeight="false" outlineLevel="0" collapsed="false">
      <c r="A2457" s="62" t="n">
        <v>2456</v>
      </c>
      <c r="B2457" s="63" t="n">
        <v>46288.1633449074</v>
      </c>
      <c r="C2457" s="64" t="n">
        <v>46287</v>
      </c>
      <c r="D2457" s="62" t="s">
        <v>501</v>
      </c>
      <c r="E2457" s="62" t="s">
        <v>2777</v>
      </c>
      <c r="F2457" s="62" t="s">
        <v>2777</v>
      </c>
      <c r="G2457" s="62" t="s">
        <v>2778</v>
      </c>
      <c r="H2457" s="62" t="s">
        <v>48</v>
      </c>
      <c r="I2457" s="62" t="s">
        <v>49</v>
      </c>
      <c r="J2457" s="62" t="s">
        <v>146</v>
      </c>
      <c r="K2457" s="62" t="s">
        <v>209</v>
      </c>
      <c r="L2457" s="62" t="s">
        <v>148</v>
      </c>
      <c r="M2457" s="62" t="n">
        <v>0</v>
      </c>
      <c r="N2457" s="62" t="n">
        <v>2</v>
      </c>
      <c r="O2457" s="62" t="n">
        <v>2</v>
      </c>
      <c r="P2457" s="62" t="n">
        <v>1</v>
      </c>
      <c r="Q2457" s="62" t="n">
        <v>0</v>
      </c>
      <c r="R2457" s="62" t="n">
        <v>1</v>
      </c>
      <c r="S2457" s="62" t="n">
        <v>0</v>
      </c>
      <c r="T2457" s="62" t="n">
        <v>0</v>
      </c>
      <c r="U2457" s="62"/>
      <c r="V2457" s="62"/>
      <c r="W2457" s="62"/>
      <c r="X2457" s="62"/>
      <c r="Y2457" s="62"/>
      <c r="Z2457" s="62" t="s">
        <v>4489</v>
      </c>
      <c r="AA2457" s="62" t="s">
        <v>4489</v>
      </c>
      <c r="AB2457" s="62" t="n">
        <v>1</v>
      </c>
      <c r="AC2457" s="62" t="n">
        <v>0</v>
      </c>
      <c r="AD2457" s="62" t="n">
        <v>1</v>
      </c>
      <c r="AE2457" s="62" t="n">
        <f aca="false">IF(AND(Dashboard!$C$9="Yes",AC2457=1),0,1)</f>
        <v>1</v>
      </c>
      <c r="AF2457" s="62" t="n">
        <v>0</v>
      </c>
    </row>
    <row r="2458" customFormat="false" ht="15" hidden="false" customHeight="false" outlineLevel="0" collapsed="false">
      <c r="A2458" s="62" t="n">
        <v>2457</v>
      </c>
      <c r="B2458" s="63" t="n">
        <v>46288.1647337963</v>
      </c>
      <c r="C2458" s="64" t="n">
        <v>46287</v>
      </c>
      <c r="D2458" s="62" t="s">
        <v>501</v>
      </c>
      <c r="E2458" s="62" t="s">
        <v>892</v>
      </c>
      <c r="F2458" s="62" t="s">
        <v>892</v>
      </c>
      <c r="G2458" s="62" t="s">
        <v>893</v>
      </c>
      <c r="H2458" s="62" t="s">
        <v>46</v>
      </c>
      <c r="I2458" s="62" t="s">
        <v>47</v>
      </c>
      <c r="J2458" s="62" t="s">
        <v>146</v>
      </c>
      <c r="K2458" s="62" t="s">
        <v>209</v>
      </c>
      <c r="L2458" s="62" t="s">
        <v>148</v>
      </c>
      <c r="M2458" s="62" t="n">
        <v>0</v>
      </c>
      <c r="N2458" s="62" t="n">
        <v>1</v>
      </c>
      <c r="O2458" s="62" t="n">
        <v>1</v>
      </c>
      <c r="P2458" s="62" t="n">
        <v>0</v>
      </c>
      <c r="Q2458" s="62" t="n">
        <v>0</v>
      </c>
      <c r="R2458" s="62" t="n">
        <v>1</v>
      </c>
      <c r="S2458" s="62" t="n">
        <v>0</v>
      </c>
      <c r="T2458" s="62" t="n">
        <v>0</v>
      </c>
      <c r="U2458" s="62"/>
      <c r="V2458" s="62"/>
      <c r="W2458" s="62"/>
      <c r="X2458" s="62"/>
      <c r="Y2458" s="62"/>
      <c r="Z2458" s="62" t="s">
        <v>4490</v>
      </c>
      <c r="AA2458" s="62" t="s">
        <v>337</v>
      </c>
      <c r="AB2458" s="62" t="n">
        <v>0</v>
      </c>
      <c r="AC2458" s="62" t="n">
        <v>0</v>
      </c>
      <c r="AD2458" s="62" t="n">
        <v>1</v>
      </c>
      <c r="AE2458" s="62" t="n">
        <f aca="false">IF(AND(Dashboard!$C$9="Yes",AC2458=1),0,1)</f>
        <v>1</v>
      </c>
      <c r="AF2458" s="62" t="n">
        <v>1</v>
      </c>
    </row>
    <row r="2459" customFormat="false" ht="15" hidden="false" customHeight="false" outlineLevel="0" collapsed="false">
      <c r="A2459" s="62" t="n">
        <v>2458</v>
      </c>
      <c r="B2459" s="63" t="n">
        <v>46288.2210416667</v>
      </c>
      <c r="C2459" s="64" t="n">
        <v>46287</v>
      </c>
      <c r="D2459" s="62" t="s">
        <v>501</v>
      </c>
      <c r="E2459" s="62" t="s">
        <v>2722</v>
      </c>
      <c r="F2459" s="62" t="s">
        <v>2722</v>
      </c>
      <c r="G2459" s="62" t="s">
        <v>2723</v>
      </c>
      <c r="H2459" s="62" t="s">
        <v>55</v>
      </c>
      <c r="I2459" s="62" t="s">
        <v>49</v>
      </c>
      <c r="J2459" s="62" t="s">
        <v>146</v>
      </c>
      <c r="K2459" s="62" t="s">
        <v>209</v>
      </c>
      <c r="L2459" s="62" t="s">
        <v>4</v>
      </c>
      <c r="M2459" s="62" t="n">
        <v>1</v>
      </c>
      <c r="N2459" s="62" t="n">
        <v>0</v>
      </c>
      <c r="O2459" s="62" t="n">
        <v>1</v>
      </c>
      <c r="P2459" s="62" t="n">
        <v>0</v>
      </c>
      <c r="Q2459" s="62" t="n">
        <v>0</v>
      </c>
      <c r="R2459" s="62" t="n">
        <v>0</v>
      </c>
      <c r="S2459" s="62" t="n">
        <v>0</v>
      </c>
      <c r="T2459" s="62" t="n">
        <v>0</v>
      </c>
      <c r="U2459" s="62" t="s">
        <v>2056</v>
      </c>
      <c r="V2459" s="62" t="s">
        <v>2057</v>
      </c>
      <c r="W2459" s="62" t="s">
        <v>15</v>
      </c>
      <c r="X2459" s="62" t="s">
        <v>2253</v>
      </c>
      <c r="Y2459" s="62" t="s">
        <v>2059</v>
      </c>
      <c r="Z2459" s="62" t="s">
        <v>4491</v>
      </c>
      <c r="AA2459" s="62" t="s">
        <v>4492</v>
      </c>
      <c r="AB2459" s="62" t="n">
        <v>1</v>
      </c>
      <c r="AC2459" s="62" t="n">
        <v>0</v>
      </c>
      <c r="AD2459" s="62" t="n">
        <v>1</v>
      </c>
      <c r="AE2459" s="62" t="n">
        <f aca="false">IF(AND(Dashboard!$C$9="Yes",AC2459=1),0,1)</f>
        <v>1</v>
      </c>
      <c r="AF2459" s="62" t="n">
        <v>0</v>
      </c>
    </row>
    <row r="2460" customFormat="false" ht="15" hidden="false" customHeight="false" outlineLevel="0" collapsed="false">
      <c r="A2460" s="62" t="n">
        <v>2459</v>
      </c>
      <c r="B2460" s="63" t="n">
        <v>46288.2934375</v>
      </c>
      <c r="C2460" s="64" t="n">
        <v>46287</v>
      </c>
      <c r="D2460" s="62" t="s">
        <v>501</v>
      </c>
      <c r="E2460" s="62" t="s">
        <v>2722</v>
      </c>
      <c r="F2460" s="62" t="s">
        <v>2722</v>
      </c>
      <c r="G2460" s="62" t="s">
        <v>2723</v>
      </c>
      <c r="H2460" s="62" t="s">
        <v>55</v>
      </c>
      <c r="I2460" s="62" t="s">
        <v>49</v>
      </c>
      <c r="J2460" s="62" t="s">
        <v>146</v>
      </c>
      <c r="K2460" s="62" t="s">
        <v>209</v>
      </c>
      <c r="L2460" s="62" t="s">
        <v>4</v>
      </c>
      <c r="M2460" s="62" t="n">
        <v>1</v>
      </c>
      <c r="N2460" s="62" t="n">
        <v>0</v>
      </c>
      <c r="O2460" s="62" t="n">
        <v>1</v>
      </c>
      <c r="P2460" s="62" t="n">
        <v>0</v>
      </c>
      <c r="Q2460" s="62" t="n">
        <v>0</v>
      </c>
      <c r="R2460" s="62" t="n">
        <v>0</v>
      </c>
      <c r="S2460" s="62" t="n">
        <v>0</v>
      </c>
      <c r="T2460" s="62" t="n">
        <v>0</v>
      </c>
      <c r="U2460" s="62" t="s">
        <v>2056</v>
      </c>
      <c r="V2460" s="62" t="s">
        <v>2057</v>
      </c>
      <c r="W2460" s="62" t="s">
        <v>15</v>
      </c>
      <c r="X2460" s="62" t="s">
        <v>2253</v>
      </c>
      <c r="Y2460" s="62" t="s">
        <v>2059</v>
      </c>
      <c r="Z2460" s="62" t="s">
        <v>4491</v>
      </c>
      <c r="AA2460" s="62" t="s">
        <v>4492</v>
      </c>
      <c r="AB2460" s="62" t="n">
        <v>1</v>
      </c>
      <c r="AC2460" s="62" t="n">
        <v>1</v>
      </c>
      <c r="AD2460" s="62" t="n">
        <v>1</v>
      </c>
      <c r="AE2460" s="62" t="n">
        <f aca="false">IF(AND(Dashboard!$C$9="Yes",AC2460=1),0,1)</f>
        <v>0</v>
      </c>
      <c r="AF2460" s="62" t="n">
        <v>0</v>
      </c>
    </row>
    <row r="2461" customFormat="false" ht="15" hidden="false" customHeight="false" outlineLevel="0" collapsed="false">
      <c r="A2461" s="62" t="n">
        <v>2460</v>
      </c>
      <c r="B2461" s="63" t="n">
        <v>46288.6258449074</v>
      </c>
      <c r="C2461" s="64" t="n">
        <v>46288</v>
      </c>
      <c r="D2461" s="62" t="s">
        <v>143</v>
      </c>
      <c r="E2461" s="62" t="s">
        <v>3710</v>
      </c>
      <c r="F2461" s="62" t="s">
        <v>3710</v>
      </c>
      <c r="G2461" s="62" t="s">
        <v>3711</v>
      </c>
      <c r="H2461" s="62" t="s">
        <v>58</v>
      </c>
      <c r="I2461" s="62" t="s">
        <v>49</v>
      </c>
      <c r="J2461" s="62" t="s">
        <v>146</v>
      </c>
      <c r="K2461" s="62" t="s">
        <v>209</v>
      </c>
      <c r="L2461" s="62" t="s">
        <v>148</v>
      </c>
      <c r="M2461" s="62" t="n">
        <v>0</v>
      </c>
      <c r="N2461" s="62" t="n">
        <v>1</v>
      </c>
      <c r="O2461" s="62" t="n">
        <v>1</v>
      </c>
      <c r="P2461" s="62" t="n">
        <v>1</v>
      </c>
      <c r="Q2461" s="62" t="n">
        <v>0</v>
      </c>
      <c r="R2461" s="62" t="n">
        <v>0</v>
      </c>
      <c r="S2461" s="62" t="n">
        <v>0</v>
      </c>
      <c r="T2461" s="62" t="n">
        <v>0</v>
      </c>
      <c r="U2461" s="62"/>
      <c r="V2461" s="62"/>
      <c r="W2461" s="62"/>
      <c r="X2461" s="62"/>
      <c r="Y2461" s="62"/>
      <c r="Z2461" s="62" t="s">
        <v>4493</v>
      </c>
      <c r="AA2461" s="62" t="s">
        <v>4494</v>
      </c>
      <c r="AB2461" s="62" t="n">
        <v>1</v>
      </c>
      <c r="AC2461" s="62" t="n">
        <v>0</v>
      </c>
      <c r="AD2461" s="62" t="n">
        <v>1</v>
      </c>
      <c r="AE2461" s="62" t="n">
        <f aca="false">IF(AND(Dashboard!$C$9="Yes",AC2461=1),0,1)</f>
        <v>1</v>
      </c>
      <c r="AF2461" s="62" t="n">
        <v>1</v>
      </c>
    </row>
    <row r="2462" customFormat="false" ht="15" hidden="false" customHeight="false" outlineLevel="0" collapsed="false">
      <c r="A2462" s="62" t="n">
        <v>2461</v>
      </c>
      <c r="B2462" s="63" t="n">
        <v>46288.6556944445</v>
      </c>
      <c r="C2462" s="64" t="n">
        <v>46288</v>
      </c>
      <c r="D2462" s="62" t="s">
        <v>143</v>
      </c>
      <c r="E2462" s="62" t="s">
        <v>2156</v>
      </c>
      <c r="F2462" s="62" t="s">
        <v>2156</v>
      </c>
      <c r="G2462" s="62" t="s">
        <v>2157</v>
      </c>
      <c r="H2462" s="62" t="s">
        <v>52</v>
      </c>
      <c r="I2462" s="62" t="s">
        <v>47</v>
      </c>
      <c r="J2462" s="62" t="s">
        <v>146</v>
      </c>
      <c r="K2462" s="62" t="s">
        <v>209</v>
      </c>
      <c r="L2462" s="62" t="s">
        <v>148</v>
      </c>
      <c r="M2462" s="62" t="n">
        <v>0</v>
      </c>
      <c r="N2462" s="62" t="n">
        <v>1</v>
      </c>
      <c r="O2462" s="62" t="n">
        <v>1</v>
      </c>
      <c r="P2462" s="62" t="n">
        <v>1</v>
      </c>
      <c r="Q2462" s="62" t="n">
        <v>0</v>
      </c>
      <c r="R2462" s="62" t="n">
        <v>0</v>
      </c>
      <c r="S2462" s="62" t="n">
        <v>0</v>
      </c>
      <c r="T2462" s="62" t="n">
        <v>0</v>
      </c>
      <c r="U2462" s="62"/>
      <c r="V2462" s="62"/>
      <c r="W2462" s="62"/>
      <c r="X2462" s="62"/>
      <c r="Y2462" s="62"/>
      <c r="Z2462" s="62" t="s">
        <v>4495</v>
      </c>
      <c r="AA2462" s="62" t="s">
        <v>4496</v>
      </c>
      <c r="AB2462" s="62" t="n">
        <v>1</v>
      </c>
      <c r="AC2462" s="62" t="n">
        <v>0</v>
      </c>
      <c r="AD2462" s="62" t="n">
        <v>1</v>
      </c>
      <c r="AE2462" s="62" t="n">
        <f aca="false">IF(AND(Dashboard!$C$9="Yes",AC2462=1),0,1)</f>
        <v>1</v>
      </c>
      <c r="AF2462" s="62" t="n">
        <v>1</v>
      </c>
    </row>
    <row r="2463" customFormat="false" ht="15" hidden="false" customHeight="false" outlineLevel="0" collapsed="false">
      <c r="A2463" s="62" t="n">
        <v>2462</v>
      </c>
      <c r="B2463" s="63" t="n">
        <v>46288.6653935185</v>
      </c>
      <c r="C2463" s="64" t="n">
        <v>46288</v>
      </c>
      <c r="D2463" s="62" t="s">
        <v>143</v>
      </c>
      <c r="E2463" s="62" t="s">
        <v>4238</v>
      </c>
      <c r="F2463" s="62" t="s">
        <v>4238</v>
      </c>
      <c r="G2463" s="62" t="s">
        <v>4239</v>
      </c>
      <c r="H2463" s="62" t="s">
        <v>44</v>
      </c>
      <c r="I2463" s="62" t="s">
        <v>49</v>
      </c>
      <c r="J2463" s="62" t="s">
        <v>146</v>
      </c>
      <c r="K2463" s="62" t="s">
        <v>147</v>
      </c>
      <c r="L2463" s="62" t="s">
        <v>148</v>
      </c>
      <c r="M2463" s="62" t="n">
        <v>0</v>
      </c>
      <c r="N2463" s="62" t="n">
        <v>1</v>
      </c>
      <c r="O2463" s="62" t="n">
        <v>1</v>
      </c>
      <c r="P2463" s="62" t="n">
        <v>1</v>
      </c>
      <c r="Q2463" s="62" t="n">
        <v>0</v>
      </c>
      <c r="R2463" s="62" t="n">
        <v>0</v>
      </c>
      <c r="S2463" s="62" t="n">
        <v>0</v>
      </c>
      <c r="T2463" s="62" t="n">
        <v>0</v>
      </c>
      <c r="U2463" s="62"/>
      <c r="V2463" s="62"/>
      <c r="W2463" s="62"/>
      <c r="X2463" s="62"/>
      <c r="Y2463" s="62"/>
      <c r="Z2463" s="62" t="s">
        <v>4497</v>
      </c>
      <c r="AA2463" s="62" t="s">
        <v>4498</v>
      </c>
      <c r="AB2463" s="62" t="n">
        <v>1</v>
      </c>
      <c r="AC2463" s="62" t="n">
        <v>0</v>
      </c>
      <c r="AD2463" s="62" t="n">
        <v>1</v>
      </c>
      <c r="AE2463" s="62" t="n">
        <f aca="false">IF(AND(Dashboard!$C$9="Yes",AC2463=1),0,1)</f>
        <v>1</v>
      </c>
      <c r="AF2463" s="62" t="n">
        <v>1</v>
      </c>
    </row>
    <row r="2464" customFormat="false" ht="15" hidden="false" customHeight="false" outlineLevel="0" collapsed="false">
      <c r="A2464" s="62" t="n">
        <v>2463</v>
      </c>
      <c r="B2464" s="63" t="n">
        <v>46288.6657407407</v>
      </c>
      <c r="C2464" s="64" t="n">
        <v>46288</v>
      </c>
      <c r="D2464" s="62" t="s">
        <v>143</v>
      </c>
      <c r="E2464" s="62" t="s">
        <v>1005</v>
      </c>
      <c r="F2464" s="62" t="s">
        <v>1005</v>
      </c>
      <c r="G2464" s="62" t="s">
        <v>1006</v>
      </c>
      <c r="H2464" s="62" t="s">
        <v>46</v>
      </c>
      <c r="I2464" s="62" t="s">
        <v>47</v>
      </c>
      <c r="J2464" s="62" t="s">
        <v>146</v>
      </c>
      <c r="K2464" s="62" t="s">
        <v>209</v>
      </c>
      <c r="L2464" s="62" t="s">
        <v>148</v>
      </c>
      <c r="M2464" s="62" t="n">
        <v>0</v>
      </c>
      <c r="N2464" s="62" t="n">
        <v>1</v>
      </c>
      <c r="O2464" s="62" t="n">
        <v>1</v>
      </c>
      <c r="P2464" s="62" t="n">
        <v>1</v>
      </c>
      <c r="Q2464" s="62" t="n">
        <v>0</v>
      </c>
      <c r="R2464" s="62" t="n">
        <v>0</v>
      </c>
      <c r="S2464" s="62" t="n">
        <v>0</v>
      </c>
      <c r="T2464" s="62" t="n">
        <v>0</v>
      </c>
      <c r="U2464" s="62"/>
      <c r="V2464" s="62"/>
      <c r="W2464" s="62"/>
      <c r="X2464" s="62"/>
      <c r="Y2464" s="62"/>
      <c r="Z2464" s="62" t="s">
        <v>4499</v>
      </c>
      <c r="AA2464" s="62" t="s">
        <v>485</v>
      </c>
      <c r="AB2464" s="62" t="n">
        <v>0</v>
      </c>
      <c r="AC2464" s="62" t="n">
        <v>0</v>
      </c>
      <c r="AD2464" s="62" t="n">
        <v>1</v>
      </c>
      <c r="AE2464" s="62" t="n">
        <f aca="false">IF(AND(Dashboard!$C$9="Yes",AC2464=1),0,1)</f>
        <v>1</v>
      </c>
      <c r="AF2464" s="62" t="n">
        <v>1</v>
      </c>
    </row>
    <row r="2465" customFormat="false" ht="15" hidden="false" customHeight="false" outlineLevel="0" collapsed="false">
      <c r="A2465" s="62" t="n">
        <v>2464</v>
      </c>
      <c r="B2465" s="63" t="n">
        <v>46288.6675925926</v>
      </c>
      <c r="C2465" s="64" t="n">
        <v>46288</v>
      </c>
      <c r="D2465" s="62" t="s">
        <v>143</v>
      </c>
      <c r="E2465" s="62" t="s">
        <v>4382</v>
      </c>
      <c r="F2465" s="62" t="s">
        <v>4382</v>
      </c>
      <c r="G2465" s="62" t="s">
        <v>4383</v>
      </c>
      <c r="H2465" s="62" t="s">
        <v>44</v>
      </c>
      <c r="I2465" s="62" t="s">
        <v>61</v>
      </c>
      <c r="J2465" s="62" t="s">
        <v>3708</v>
      </c>
      <c r="K2465" s="62" t="s">
        <v>175</v>
      </c>
      <c r="L2465" s="62" t="s">
        <v>148</v>
      </c>
      <c r="M2465" s="62" t="n">
        <v>0</v>
      </c>
      <c r="N2465" s="62" t="n">
        <v>1</v>
      </c>
      <c r="O2465" s="62" t="n">
        <v>1</v>
      </c>
      <c r="P2465" s="62" t="n">
        <v>1</v>
      </c>
      <c r="Q2465" s="62" t="n">
        <v>0</v>
      </c>
      <c r="R2465" s="62" t="n">
        <v>0</v>
      </c>
      <c r="S2465" s="62" t="n">
        <v>0</v>
      </c>
      <c r="T2465" s="62" t="n">
        <v>0</v>
      </c>
      <c r="U2465" s="62"/>
      <c r="V2465" s="62"/>
      <c r="W2465" s="62"/>
      <c r="X2465" s="62"/>
      <c r="Y2465" s="62"/>
      <c r="Z2465" s="62" t="s">
        <v>4500</v>
      </c>
      <c r="AA2465" s="62" t="s">
        <v>4501</v>
      </c>
      <c r="AB2465" s="62" t="n">
        <v>1</v>
      </c>
      <c r="AC2465" s="62" t="n">
        <v>0</v>
      </c>
      <c r="AD2465" s="62" t="n">
        <v>1</v>
      </c>
      <c r="AE2465" s="62" t="n">
        <f aca="false">IF(AND(Dashboard!$C$9="Yes",AC2465=1),0,1)</f>
        <v>1</v>
      </c>
      <c r="AF2465" s="62" t="n">
        <v>1</v>
      </c>
    </row>
    <row r="2466" customFormat="false" ht="15" hidden="false" customHeight="false" outlineLevel="0" collapsed="false">
      <c r="A2466" s="62" t="n">
        <v>2465</v>
      </c>
      <c r="B2466" s="63" t="n">
        <v>46288.7193865741</v>
      </c>
      <c r="C2466" s="64" t="n">
        <v>46288</v>
      </c>
      <c r="D2466" s="62" t="s">
        <v>143</v>
      </c>
      <c r="E2466" s="62" t="s">
        <v>4226</v>
      </c>
      <c r="F2466" s="62" t="s">
        <v>4226</v>
      </c>
      <c r="G2466" s="62" t="s">
        <v>4227</v>
      </c>
      <c r="H2466" s="62" t="s">
        <v>44</v>
      </c>
      <c r="I2466" s="62" t="s">
        <v>49</v>
      </c>
      <c r="J2466" s="62" t="s">
        <v>146</v>
      </c>
      <c r="K2466" s="62" t="s">
        <v>147</v>
      </c>
      <c r="L2466" s="62" t="s">
        <v>4</v>
      </c>
      <c r="M2466" s="62" t="n">
        <v>1</v>
      </c>
      <c r="N2466" s="62" t="n">
        <v>0</v>
      </c>
      <c r="O2466" s="62" t="n">
        <v>1</v>
      </c>
      <c r="P2466" s="62" t="n">
        <v>0</v>
      </c>
      <c r="Q2466" s="62" t="n">
        <v>0</v>
      </c>
      <c r="R2466" s="62" t="n">
        <v>0</v>
      </c>
      <c r="S2466" s="62" t="n">
        <v>0</v>
      </c>
      <c r="T2466" s="62" t="n">
        <v>0</v>
      </c>
      <c r="U2466" s="62" t="s">
        <v>2056</v>
      </c>
      <c r="V2466" s="62" t="s">
        <v>2057</v>
      </c>
      <c r="W2466" s="62" t="s">
        <v>15</v>
      </c>
      <c r="X2466" s="62" t="s">
        <v>2058</v>
      </c>
      <c r="Y2466" s="62" t="s">
        <v>2059</v>
      </c>
      <c r="Z2466" s="62" t="s">
        <v>4502</v>
      </c>
      <c r="AA2466" s="62" t="s">
        <v>4503</v>
      </c>
      <c r="AB2466" s="62" t="n">
        <v>1</v>
      </c>
      <c r="AC2466" s="62" t="n">
        <v>0</v>
      </c>
      <c r="AD2466" s="62" t="n">
        <v>1</v>
      </c>
      <c r="AE2466" s="62" t="n">
        <f aca="false">IF(AND(Dashboard!$C$9="Yes",AC2466=1),0,1)</f>
        <v>1</v>
      </c>
      <c r="AF2466" s="62" t="n">
        <v>1</v>
      </c>
    </row>
    <row r="2467" customFormat="false" ht="15" hidden="false" customHeight="false" outlineLevel="0" collapsed="false">
      <c r="A2467" s="62" t="n">
        <v>2466</v>
      </c>
      <c r="B2467" s="63" t="n">
        <v>46288.725474537</v>
      </c>
      <c r="C2467" s="64" t="n">
        <v>46288</v>
      </c>
      <c r="D2467" s="62" t="s">
        <v>143</v>
      </c>
      <c r="E2467" s="62" t="s">
        <v>4280</v>
      </c>
      <c r="F2467" s="62" t="s">
        <v>4280</v>
      </c>
      <c r="G2467" s="62" t="s">
        <v>4281</v>
      </c>
      <c r="H2467" s="62" t="s">
        <v>44</v>
      </c>
      <c r="I2467" s="62" t="s">
        <v>49</v>
      </c>
      <c r="J2467" s="62" t="s">
        <v>146</v>
      </c>
      <c r="K2467" s="62" t="s">
        <v>147</v>
      </c>
      <c r="L2467" s="62" t="s">
        <v>148</v>
      </c>
      <c r="M2467" s="62" t="n">
        <v>0</v>
      </c>
      <c r="N2467" s="62" t="n">
        <v>1</v>
      </c>
      <c r="O2467" s="62" t="n">
        <v>1</v>
      </c>
      <c r="P2467" s="62" t="n">
        <v>1</v>
      </c>
      <c r="Q2467" s="62" t="n">
        <v>0</v>
      </c>
      <c r="R2467" s="62" t="n">
        <v>0</v>
      </c>
      <c r="S2467" s="62" t="n">
        <v>0</v>
      </c>
      <c r="T2467" s="62" t="n">
        <v>0</v>
      </c>
      <c r="U2467" s="62"/>
      <c r="V2467" s="62"/>
      <c r="W2467" s="62"/>
      <c r="X2467" s="62"/>
      <c r="Y2467" s="62"/>
      <c r="Z2467" s="62" t="s">
        <v>4504</v>
      </c>
      <c r="AA2467" s="62" t="s">
        <v>4505</v>
      </c>
      <c r="AB2467" s="62" t="n">
        <v>1</v>
      </c>
      <c r="AC2467" s="62" t="n">
        <v>0</v>
      </c>
      <c r="AD2467" s="62" t="n">
        <v>1</v>
      </c>
      <c r="AE2467" s="62" t="n">
        <f aca="false">IF(AND(Dashboard!$C$9="Yes",AC2467=1),0,1)</f>
        <v>1</v>
      </c>
      <c r="AF2467" s="62" t="n">
        <v>1</v>
      </c>
    </row>
    <row r="2468" customFormat="false" ht="15" hidden="false" customHeight="false" outlineLevel="0" collapsed="false">
      <c r="A2468" s="62" t="n">
        <v>2467</v>
      </c>
      <c r="B2468" s="63" t="n">
        <v>46288.7279050926</v>
      </c>
      <c r="C2468" s="64" t="n">
        <v>46288</v>
      </c>
      <c r="D2468" s="62" t="s">
        <v>143</v>
      </c>
      <c r="E2468" s="62" t="s">
        <v>4506</v>
      </c>
      <c r="F2468" s="62" t="s">
        <v>4506</v>
      </c>
      <c r="G2468" s="62" t="s">
        <v>4507</v>
      </c>
      <c r="H2468" s="62" t="s">
        <v>44</v>
      </c>
      <c r="I2468" s="62" t="s">
        <v>49</v>
      </c>
      <c r="J2468" s="62" t="s">
        <v>146</v>
      </c>
      <c r="K2468" s="62" t="s">
        <v>147</v>
      </c>
      <c r="L2468" s="62" t="s">
        <v>148</v>
      </c>
      <c r="M2468" s="62" t="n">
        <v>0</v>
      </c>
      <c r="N2468" s="62" t="n">
        <v>1</v>
      </c>
      <c r="O2468" s="62" t="n">
        <v>1</v>
      </c>
      <c r="P2468" s="62" t="n">
        <v>0</v>
      </c>
      <c r="Q2468" s="62" t="n">
        <v>1</v>
      </c>
      <c r="R2468" s="62" t="n">
        <v>0</v>
      </c>
      <c r="S2468" s="62" t="n">
        <v>0</v>
      </c>
      <c r="T2468" s="62" t="n">
        <v>0</v>
      </c>
      <c r="U2468" s="62"/>
      <c r="V2468" s="62"/>
      <c r="W2468" s="62"/>
      <c r="X2468" s="62"/>
      <c r="Y2468" s="62"/>
      <c r="Z2468" s="62" t="s">
        <v>4508</v>
      </c>
      <c r="AA2468" s="62" t="s">
        <v>4509</v>
      </c>
      <c r="AB2468" s="62" t="n">
        <v>1</v>
      </c>
      <c r="AC2468" s="62" t="n">
        <v>0</v>
      </c>
      <c r="AD2468" s="62" t="n">
        <v>1</v>
      </c>
      <c r="AE2468" s="62" t="n">
        <f aca="false">IF(AND(Dashboard!$C$9="Yes",AC2468=1),0,1)</f>
        <v>1</v>
      </c>
      <c r="AF2468" s="62" t="n">
        <v>1</v>
      </c>
    </row>
    <row r="2469" customFormat="false" ht="15" hidden="false" customHeight="false" outlineLevel="0" collapsed="false">
      <c r="A2469" s="62" t="n">
        <v>2468</v>
      </c>
      <c r="B2469" s="63" t="n">
        <v>46288.7321412037</v>
      </c>
      <c r="C2469" s="64" t="n">
        <v>46288</v>
      </c>
      <c r="D2469" s="62" t="s">
        <v>143</v>
      </c>
      <c r="E2469" s="62" t="s">
        <v>2156</v>
      </c>
      <c r="F2469" s="62" t="s">
        <v>2156</v>
      </c>
      <c r="G2469" s="62" t="s">
        <v>2157</v>
      </c>
      <c r="H2469" s="62" t="s">
        <v>52</v>
      </c>
      <c r="I2469" s="62" t="s">
        <v>47</v>
      </c>
      <c r="J2469" s="62" t="s">
        <v>146</v>
      </c>
      <c r="K2469" s="62" t="s">
        <v>209</v>
      </c>
      <c r="L2469" s="62" t="s">
        <v>148</v>
      </c>
      <c r="M2469" s="62" t="n">
        <v>0</v>
      </c>
      <c r="N2469" s="62" t="n">
        <v>1</v>
      </c>
      <c r="O2469" s="62" t="n">
        <v>1</v>
      </c>
      <c r="P2469" s="62" t="n">
        <v>0</v>
      </c>
      <c r="Q2469" s="62" t="n">
        <v>1</v>
      </c>
      <c r="R2469" s="62" t="n">
        <v>0</v>
      </c>
      <c r="S2469" s="62" t="n">
        <v>0</v>
      </c>
      <c r="T2469" s="62" t="n">
        <v>0</v>
      </c>
      <c r="U2469" s="62"/>
      <c r="V2469" s="62"/>
      <c r="W2469" s="62"/>
      <c r="X2469" s="62"/>
      <c r="Y2469" s="62"/>
      <c r="Z2469" s="62" t="s">
        <v>4510</v>
      </c>
      <c r="AA2469" s="62" t="s">
        <v>4511</v>
      </c>
      <c r="AB2469" s="62" t="n">
        <v>1</v>
      </c>
      <c r="AC2469" s="62" t="n">
        <v>0</v>
      </c>
      <c r="AD2469" s="62" t="n">
        <v>1</v>
      </c>
      <c r="AE2469" s="62" t="n">
        <f aca="false">IF(AND(Dashboard!$C$9="Yes",AC2469=1),0,1)</f>
        <v>1</v>
      </c>
      <c r="AF2469" s="62" t="n">
        <v>0</v>
      </c>
    </row>
    <row r="2470" customFormat="false" ht="15" hidden="false" customHeight="false" outlineLevel="0" collapsed="false">
      <c r="A2470" s="62" t="n">
        <v>2469</v>
      </c>
      <c r="B2470" s="63" t="n">
        <v>46288.7499652778</v>
      </c>
      <c r="C2470" s="64" t="n">
        <v>46288</v>
      </c>
      <c r="D2470" s="62" t="s">
        <v>143</v>
      </c>
      <c r="E2470" s="62" t="s">
        <v>3197</v>
      </c>
      <c r="F2470" s="62" t="s">
        <v>3197</v>
      </c>
      <c r="G2470" s="62" t="s">
        <v>3198</v>
      </c>
      <c r="H2470" s="62" t="s">
        <v>44</v>
      </c>
      <c r="I2470" s="62" t="s">
        <v>49</v>
      </c>
      <c r="J2470" s="62" t="s">
        <v>146</v>
      </c>
      <c r="K2470" s="62" t="s">
        <v>147</v>
      </c>
      <c r="L2470" s="62" t="s">
        <v>148</v>
      </c>
      <c r="M2470" s="62" t="n">
        <v>0</v>
      </c>
      <c r="N2470" s="62" t="n">
        <v>2</v>
      </c>
      <c r="O2470" s="62" t="n">
        <v>2</v>
      </c>
      <c r="P2470" s="62" t="n">
        <v>1</v>
      </c>
      <c r="Q2470" s="62" t="n">
        <v>1</v>
      </c>
      <c r="R2470" s="62" t="n">
        <v>0</v>
      </c>
      <c r="S2470" s="62" t="n">
        <v>0</v>
      </c>
      <c r="T2470" s="62" t="n">
        <v>0</v>
      </c>
      <c r="U2470" s="62"/>
      <c r="V2470" s="62"/>
      <c r="W2470" s="62"/>
      <c r="X2470" s="62"/>
      <c r="Y2470" s="62"/>
      <c r="Z2470" s="62" t="s">
        <v>4512</v>
      </c>
      <c r="AA2470" s="62" t="s">
        <v>4513</v>
      </c>
      <c r="AB2470" s="62" t="n">
        <v>1</v>
      </c>
      <c r="AC2470" s="62" t="n">
        <v>0</v>
      </c>
      <c r="AD2470" s="62" t="n">
        <v>1</v>
      </c>
      <c r="AE2470" s="62" t="n">
        <f aca="false">IF(AND(Dashboard!$C$9="Yes",AC2470=1),0,1)</f>
        <v>1</v>
      </c>
      <c r="AF2470" s="62" t="n">
        <v>1</v>
      </c>
    </row>
    <row r="2471" customFormat="false" ht="15" hidden="false" customHeight="false" outlineLevel="0" collapsed="false">
      <c r="A2471" s="62" t="n">
        <v>2470</v>
      </c>
      <c r="B2471" s="63" t="n">
        <v>46288.7512731482</v>
      </c>
      <c r="C2471" s="64" t="n">
        <v>46288</v>
      </c>
      <c r="D2471" s="62" t="s">
        <v>143</v>
      </c>
      <c r="E2471" s="62" t="s">
        <v>160</v>
      </c>
      <c r="F2471" s="62" t="s">
        <v>160</v>
      </c>
      <c r="G2471" s="62" t="s">
        <v>161</v>
      </c>
      <c r="H2471" s="62" t="s">
        <v>51</v>
      </c>
      <c r="I2471" s="62" t="s">
        <v>47</v>
      </c>
      <c r="J2471" s="62" t="s">
        <v>146</v>
      </c>
      <c r="K2471" s="62" t="s">
        <v>147</v>
      </c>
      <c r="L2471" s="62" t="s">
        <v>148</v>
      </c>
      <c r="M2471" s="62" t="n">
        <v>0</v>
      </c>
      <c r="N2471" s="62" t="n">
        <v>1</v>
      </c>
      <c r="O2471" s="62" t="n">
        <v>1</v>
      </c>
      <c r="P2471" s="62" t="n">
        <v>0</v>
      </c>
      <c r="Q2471" s="62" t="n">
        <v>1</v>
      </c>
      <c r="R2471" s="62" t="n">
        <v>0</v>
      </c>
      <c r="S2471" s="62" t="n">
        <v>0</v>
      </c>
      <c r="T2471" s="62" t="n">
        <v>0</v>
      </c>
      <c r="U2471" s="62"/>
      <c r="V2471" s="62"/>
      <c r="W2471" s="62"/>
      <c r="X2471" s="62"/>
      <c r="Y2471" s="62"/>
      <c r="Z2471" s="62" t="s">
        <v>4514</v>
      </c>
      <c r="AA2471" s="62" t="s">
        <v>4515</v>
      </c>
      <c r="AB2471" s="62" t="n">
        <v>1</v>
      </c>
      <c r="AC2471" s="62" t="n">
        <v>0</v>
      </c>
      <c r="AD2471" s="62" t="n">
        <v>1</v>
      </c>
      <c r="AE2471" s="62" t="n">
        <f aca="false">IF(AND(Dashboard!$C$9="Yes",AC2471=1),0,1)</f>
        <v>1</v>
      </c>
      <c r="AF2471" s="62" t="n">
        <v>1</v>
      </c>
    </row>
    <row r="2472" customFormat="false" ht="15" hidden="false" customHeight="false" outlineLevel="0" collapsed="false">
      <c r="A2472" s="62" t="n">
        <v>2471</v>
      </c>
      <c r="B2472" s="63" t="n">
        <v>46288.7733449074</v>
      </c>
      <c r="C2472" s="64" t="n">
        <v>46288</v>
      </c>
      <c r="D2472" s="62" t="s">
        <v>143</v>
      </c>
      <c r="E2472" s="62" t="s">
        <v>4238</v>
      </c>
      <c r="F2472" s="62" t="s">
        <v>4238</v>
      </c>
      <c r="G2472" s="62" t="s">
        <v>4239</v>
      </c>
      <c r="H2472" s="62" t="s">
        <v>44</v>
      </c>
      <c r="I2472" s="62" t="s">
        <v>49</v>
      </c>
      <c r="J2472" s="62" t="s">
        <v>146</v>
      </c>
      <c r="K2472" s="62" t="s">
        <v>147</v>
      </c>
      <c r="L2472" s="62" t="s">
        <v>4</v>
      </c>
      <c r="M2472" s="62" t="n">
        <v>1</v>
      </c>
      <c r="N2472" s="62" t="n">
        <v>0</v>
      </c>
      <c r="O2472" s="62" t="n">
        <v>1</v>
      </c>
      <c r="P2472" s="62" t="n">
        <v>0</v>
      </c>
      <c r="Q2472" s="62" t="n">
        <v>0</v>
      </c>
      <c r="R2472" s="62" t="n">
        <v>0</v>
      </c>
      <c r="S2472" s="62" t="n">
        <v>0</v>
      </c>
      <c r="T2472" s="62" t="n">
        <v>0</v>
      </c>
      <c r="U2472" s="62" t="s">
        <v>15</v>
      </c>
      <c r="V2472" s="62" t="s">
        <v>2057</v>
      </c>
      <c r="W2472" s="62" t="s">
        <v>2056</v>
      </c>
      <c r="X2472" s="62" t="s">
        <v>2058</v>
      </c>
      <c r="Y2472" s="62" t="s">
        <v>2059</v>
      </c>
      <c r="Z2472" s="62" t="s">
        <v>4516</v>
      </c>
      <c r="AA2472" s="62" t="s">
        <v>4517</v>
      </c>
      <c r="AB2472" s="62" t="n">
        <v>1</v>
      </c>
      <c r="AC2472" s="62" t="n">
        <v>0</v>
      </c>
      <c r="AD2472" s="62" t="n">
        <v>1</v>
      </c>
      <c r="AE2472" s="62" t="n">
        <f aca="false">IF(AND(Dashboard!$C$9="Yes",AC2472=1),0,1)</f>
        <v>1</v>
      </c>
      <c r="AF2472" s="62" t="n">
        <v>0</v>
      </c>
    </row>
    <row r="2473" customFormat="false" ht="15" hidden="false" customHeight="false" outlineLevel="0" collapsed="false">
      <c r="A2473" s="62" t="n">
        <v>2472</v>
      </c>
      <c r="B2473" s="63" t="n">
        <v>46288.7742476852</v>
      </c>
      <c r="C2473" s="64" t="n">
        <v>46288</v>
      </c>
      <c r="D2473" s="62" t="s">
        <v>143</v>
      </c>
      <c r="E2473" s="62" t="s">
        <v>4226</v>
      </c>
      <c r="F2473" s="62" t="s">
        <v>4226</v>
      </c>
      <c r="G2473" s="62" t="s">
        <v>4227</v>
      </c>
      <c r="H2473" s="62" t="s">
        <v>44</v>
      </c>
      <c r="I2473" s="62" t="s">
        <v>49</v>
      </c>
      <c r="J2473" s="62" t="s">
        <v>146</v>
      </c>
      <c r="K2473" s="62" t="s">
        <v>147</v>
      </c>
      <c r="L2473" s="62" t="s">
        <v>4</v>
      </c>
      <c r="M2473" s="62" t="n">
        <v>1</v>
      </c>
      <c r="N2473" s="62" t="n">
        <v>0</v>
      </c>
      <c r="O2473" s="62" t="n">
        <v>1</v>
      </c>
      <c r="P2473" s="62" t="n">
        <v>0</v>
      </c>
      <c r="Q2473" s="62" t="n">
        <v>0</v>
      </c>
      <c r="R2473" s="62" t="n">
        <v>0</v>
      </c>
      <c r="S2473" s="62" t="n">
        <v>0</v>
      </c>
      <c r="T2473" s="62" t="n">
        <v>0</v>
      </c>
      <c r="U2473" s="62" t="s">
        <v>2056</v>
      </c>
      <c r="V2473" s="62" t="s">
        <v>2057</v>
      </c>
      <c r="W2473" s="62" t="s">
        <v>15</v>
      </c>
      <c r="X2473" s="62" t="s">
        <v>2164</v>
      </c>
      <c r="Y2473" s="62" t="s">
        <v>2165</v>
      </c>
      <c r="Z2473" s="62" t="s">
        <v>4518</v>
      </c>
      <c r="AA2473" s="62" t="s">
        <v>4519</v>
      </c>
      <c r="AB2473" s="62" t="n">
        <v>1</v>
      </c>
      <c r="AC2473" s="62" t="n">
        <v>0</v>
      </c>
      <c r="AD2473" s="62" t="n">
        <v>1</v>
      </c>
      <c r="AE2473" s="62" t="n">
        <f aca="false">IF(AND(Dashboard!$C$9="Yes",AC2473=1),0,1)</f>
        <v>1</v>
      </c>
      <c r="AF2473" s="62" t="n">
        <v>0</v>
      </c>
    </row>
    <row r="2474" customFormat="false" ht="15" hidden="false" customHeight="false" outlineLevel="0" collapsed="false">
      <c r="A2474" s="62" t="n">
        <v>2473</v>
      </c>
      <c r="B2474" s="63" t="n">
        <v>46288.7750694445</v>
      </c>
      <c r="C2474" s="64" t="n">
        <v>46288</v>
      </c>
      <c r="D2474" s="62" t="s">
        <v>143</v>
      </c>
      <c r="E2474" s="62" t="s">
        <v>3197</v>
      </c>
      <c r="F2474" s="62" t="s">
        <v>3197</v>
      </c>
      <c r="G2474" s="62" t="s">
        <v>3198</v>
      </c>
      <c r="H2474" s="62" t="s">
        <v>44</v>
      </c>
      <c r="I2474" s="62" t="s">
        <v>49</v>
      </c>
      <c r="J2474" s="62" t="s">
        <v>146</v>
      </c>
      <c r="K2474" s="62" t="s">
        <v>147</v>
      </c>
      <c r="L2474" s="62" t="s">
        <v>4</v>
      </c>
      <c r="M2474" s="62" t="n">
        <v>1</v>
      </c>
      <c r="N2474" s="62" t="n">
        <v>0</v>
      </c>
      <c r="O2474" s="62" t="n">
        <v>1</v>
      </c>
      <c r="P2474" s="62" t="n">
        <v>0</v>
      </c>
      <c r="Q2474" s="62" t="n">
        <v>0</v>
      </c>
      <c r="R2474" s="62" t="n">
        <v>0</v>
      </c>
      <c r="S2474" s="62" t="n">
        <v>0</v>
      </c>
      <c r="T2474" s="62" t="n">
        <v>0</v>
      </c>
      <c r="U2474" s="62" t="s">
        <v>15</v>
      </c>
      <c r="V2474" s="62" t="s">
        <v>2057</v>
      </c>
      <c r="W2474" s="62" t="s">
        <v>2056</v>
      </c>
      <c r="X2474" s="62" t="s">
        <v>2058</v>
      </c>
      <c r="Y2474" s="62" t="s">
        <v>2059</v>
      </c>
      <c r="Z2474" s="62" t="s">
        <v>4520</v>
      </c>
      <c r="AA2474" s="62" t="s">
        <v>4521</v>
      </c>
      <c r="AB2474" s="62" t="n">
        <v>1</v>
      </c>
      <c r="AC2474" s="62" t="n">
        <v>0</v>
      </c>
      <c r="AD2474" s="62" t="n">
        <v>1</v>
      </c>
      <c r="AE2474" s="62" t="n">
        <f aca="false">IF(AND(Dashboard!$C$9="Yes",AC2474=1),0,1)</f>
        <v>1</v>
      </c>
      <c r="AF2474" s="62" t="n">
        <v>0</v>
      </c>
    </row>
    <row r="2475" customFormat="false" ht="15" hidden="false" customHeight="false" outlineLevel="0" collapsed="false">
      <c r="A2475" s="62" t="n">
        <v>2474</v>
      </c>
      <c r="B2475" s="63" t="n">
        <v>46288.7914699074</v>
      </c>
      <c r="C2475" s="64" t="n">
        <v>46288</v>
      </c>
      <c r="D2475" s="62" t="s">
        <v>143</v>
      </c>
      <c r="E2475" s="62" t="s">
        <v>2156</v>
      </c>
      <c r="F2475" s="62" t="s">
        <v>2156</v>
      </c>
      <c r="G2475" s="62" t="s">
        <v>2157</v>
      </c>
      <c r="H2475" s="62" t="s">
        <v>52</v>
      </c>
      <c r="I2475" s="62" t="s">
        <v>47</v>
      </c>
      <c r="J2475" s="62" t="s">
        <v>146</v>
      </c>
      <c r="K2475" s="62" t="s">
        <v>209</v>
      </c>
      <c r="L2475" s="62" t="s">
        <v>148</v>
      </c>
      <c r="M2475" s="62" t="n">
        <v>0</v>
      </c>
      <c r="N2475" s="62" t="n">
        <v>1</v>
      </c>
      <c r="O2475" s="62" t="n">
        <v>1</v>
      </c>
      <c r="P2475" s="62" t="n">
        <v>1</v>
      </c>
      <c r="Q2475" s="62" t="n">
        <v>0</v>
      </c>
      <c r="R2475" s="62" t="n">
        <v>0</v>
      </c>
      <c r="S2475" s="62" t="n">
        <v>0</v>
      </c>
      <c r="T2475" s="62" t="n">
        <v>0</v>
      </c>
      <c r="U2475" s="62"/>
      <c r="V2475" s="62"/>
      <c r="W2475" s="62"/>
      <c r="X2475" s="62"/>
      <c r="Y2475" s="62"/>
      <c r="Z2475" s="62" t="s">
        <v>4522</v>
      </c>
      <c r="AA2475" s="62" t="s">
        <v>4523</v>
      </c>
      <c r="AB2475" s="62" t="n">
        <v>1</v>
      </c>
      <c r="AC2475" s="62" t="n">
        <v>0</v>
      </c>
      <c r="AD2475" s="62" t="n">
        <v>1</v>
      </c>
      <c r="AE2475" s="62" t="n">
        <f aca="false">IF(AND(Dashboard!$C$9="Yes",AC2475=1),0,1)</f>
        <v>1</v>
      </c>
      <c r="AF2475" s="62" t="n">
        <v>0</v>
      </c>
    </row>
    <row r="2476" customFormat="false" ht="15" hidden="false" customHeight="false" outlineLevel="0" collapsed="false">
      <c r="A2476" s="62" t="n">
        <v>2475</v>
      </c>
      <c r="B2476" s="63" t="n">
        <v>46288.8025694444</v>
      </c>
      <c r="C2476" s="64" t="n">
        <v>46288</v>
      </c>
      <c r="D2476" s="62" t="s">
        <v>143</v>
      </c>
      <c r="E2476" s="62" t="s">
        <v>4524</v>
      </c>
      <c r="F2476" s="62" t="s">
        <v>4524</v>
      </c>
      <c r="G2476" s="62" t="s">
        <v>4525</v>
      </c>
      <c r="H2476" s="62" t="s">
        <v>44</v>
      </c>
      <c r="I2476" s="62" t="s">
        <v>49</v>
      </c>
      <c r="J2476" s="62" t="s">
        <v>146</v>
      </c>
      <c r="K2476" s="62" t="s">
        <v>147</v>
      </c>
      <c r="L2476" s="62" t="s">
        <v>148</v>
      </c>
      <c r="M2476" s="62" t="n">
        <v>0</v>
      </c>
      <c r="N2476" s="62" t="n">
        <v>1</v>
      </c>
      <c r="O2476" s="62" t="n">
        <v>1</v>
      </c>
      <c r="P2476" s="62" t="n">
        <v>1</v>
      </c>
      <c r="Q2476" s="62" t="n">
        <v>0</v>
      </c>
      <c r="R2476" s="62" t="n">
        <v>0</v>
      </c>
      <c r="S2476" s="62" t="n">
        <v>0</v>
      </c>
      <c r="T2476" s="62" t="n">
        <v>0</v>
      </c>
      <c r="U2476" s="62"/>
      <c r="V2476" s="62"/>
      <c r="W2476" s="62"/>
      <c r="X2476" s="62"/>
      <c r="Y2476" s="62"/>
      <c r="Z2476" s="62" t="s">
        <v>4526</v>
      </c>
      <c r="AA2476" s="62" t="s">
        <v>4527</v>
      </c>
      <c r="AB2476" s="62" t="n">
        <v>1</v>
      </c>
      <c r="AC2476" s="62" t="n">
        <v>0</v>
      </c>
      <c r="AD2476" s="62" t="n">
        <v>1</v>
      </c>
      <c r="AE2476" s="62" t="n">
        <f aca="false">IF(AND(Dashboard!$C$9="Yes",AC2476=1),0,1)</f>
        <v>1</v>
      </c>
      <c r="AF2476" s="62" t="n">
        <v>1</v>
      </c>
    </row>
    <row r="2477" customFormat="false" ht="15" hidden="false" customHeight="false" outlineLevel="0" collapsed="false">
      <c r="A2477" s="62" t="n">
        <v>2476</v>
      </c>
      <c r="B2477" s="63" t="n">
        <v>46288.8128703704</v>
      </c>
      <c r="C2477" s="64" t="n">
        <v>46288</v>
      </c>
      <c r="D2477" s="62" t="s">
        <v>143</v>
      </c>
      <c r="E2477" s="62" t="s">
        <v>4386</v>
      </c>
      <c r="F2477" s="62" t="s">
        <v>4386</v>
      </c>
      <c r="G2477" s="62" t="s">
        <v>4387</v>
      </c>
      <c r="H2477" s="62" t="s">
        <v>44</v>
      </c>
      <c r="I2477" s="62" t="s">
        <v>49</v>
      </c>
      <c r="J2477" s="62" t="s">
        <v>146</v>
      </c>
      <c r="K2477" s="62" t="s">
        <v>147</v>
      </c>
      <c r="L2477" s="62" t="s">
        <v>148</v>
      </c>
      <c r="M2477" s="62" t="n">
        <v>0</v>
      </c>
      <c r="N2477" s="62" t="n">
        <v>1</v>
      </c>
      <c r="O2477" s="62" t="n">
        <v>1</v>
      </c>
      <c r="P2477" s="62" t="n">
        <v>0</v>
      </c>
      <c r="Q2477" s="62" t="n">
        <v>1</v>
      </c>
      <c r="R2477" s="62" t="n">
        <v>0</v>
      </c>
      <c r="S2477" s="62" t="n">
        <v>0</v>
      </c>
      <c r="T2477" s="62" t="n">
        <v>0</v>
      </c>
      <c r="U2477" s="62"/>
      <c r="V2477" s="62"/>
      <c r="W2477" s="62"/>
      <c r="X2477" s="62"/>
      <c r="Y2477" s="62"/>
      <c r="Z2477" s="62" t="s">
        <v>4528</v>
      </c>
      <c r="AA2477" s="62" t="s">
        <v>4529</v>
      </c>
      <c r="AB2477" s="62" t="n">
        <v>1</v>
      </c>
      <c r="AC2477" s="62" t="n">
        <v>0</v>
      </c>
      <c r="AD2477" s="62" t="n">
        <v>1</v>
      </c>
      <c r="AE2477" s="62" t="n">
        <f aca="false">IF(AND(Dashboard!$C$9="Yes",AC2477=1),0,1)</f>
        <v>1</v>
      </c>
      <c r="AF2477" s="62" t="n">
        <v>1</v>
      </c>
    </row>
    <row r="2478" customFormat="false" ht="15" hidden="false" customHeight="false" outlineLevel="0" collapsed="false">
      <c r="A2478" s="62" t="n">
        <v>2477</v>
      </c>
      <c r="B2478" s="63" t="n">
        <v>46288.8229398148</v>
      </c>
      <c r="C2478" s="64" t="n">
        <v>46288</v>
      </c>
      <c r="D2478" s="62" t="s">
        <v>143</v>
      </c>
      <c r="E2478" s="62" t="s">
        <v>4530</v>
      </c>
      <c r="F2478" s="62" t="s">
        <v>4530</v>
      </c>
      <c r="G2478" s="62" t="s">
        <v>4531</v>
      </c>
      <c r="H2478" s="62" t="s">
        <v>44</v>
      </c>
      <c r="I2478" s="62" t="s">
        <v>49</v>
      </c>
      <c r="J2478" s="62" t="s">
        <v>146</v>
      </c>
      <c r="K2478" s="62" t="s">
        <v>147</v>
      </c>
      <c r="L2478" s="62" t="s">
        <v>148</v>
      </c>
      <c r="M2478" s="62" t="n">
        <v>0</v>
      </c>
      <c r="N2478" s="62" t="n">
        <v>1</v>
      </c>
      <c r="O2478" s="62" t="n">
        <v>1</v>
      </c>
      <c r="P2478" s="62" t="n">
        <v>0</v>
      </c>
      <c r="Q2478" s="62" t="n">
        <v>1</v>
      </c>
      <c r="R2478" s="62" t="n">
        <v>0</v>
      </c>
      <c r="S2478" s="62" t="n">
        <v>0</v>
      </c>
      <c r="T2478" s="62" t="n">
        <v>0</v>
      </c>
      <c r="U2478" s="62"/>
      <c r="V2478" s="62"/>
      <c r="W2478" s="62"/>
      <c r="X2478" s="62"/>
      <c r="Y2478" s="62"/>
      <c r="Z2478" s="62" t="s">
        <v>4532</v>
      </c>
      <c r="AA2478" s="62" t="s">
        <v>4532</v>
      </c>
      <c r="AB2478" s="62" t="n">
        <v>1</v>
      </c>
      <c r="AC2478" s="62" t="n">
        <v>0</v>
      </c>
      <c r="AD2478" s="62" t="n">
        <v>1</v>
      </c>
      <c r="AE2478" s="62" t="n">
        <f aca="false">IF(AND(Dashboard!$C$9="Yes",AC2478=1),0,1)</f>
        <v>1</v>
      </c>
      <c r="AF2478" s="62" t="n">
        <v>1</v>
      </c>
    </row>
    <row r="2479" customFormat="false" ht="15" hidden="false" customHeight="false" outlineLevel="0" collapsed="false">
      <c r="A2479" s="62" t="n">
        <v>2478</v>
      </c>
      <c r="B2479" s="63" t="n">
        <v>46288.8338541667</v>
      </c>
      <c r="C2479" s="64" t="n">
        <v>46288</v>
      </c>
      <c r="D2479" s="62" t="s">
        <v>143</v>
      </c>
      <c r="E2479" s="62" t="s">
        <v>2119</v>
      </c>
      <c r="F2479" s="62" t="s">
        <v>2119</v>
      </c>
      <c r="G2479" s="62" t="s">
        <v>2120</v>
      </c>
      <c r="H2479" s="62" t="s">
        <v>52</v>
      </c>
      <c r="I2479" s="62" t="s">
        <v>47</v>
      </c>
      <c r="J2479" s="62" t="s">
        <v>146</v>
      </c>
      <c r="K2479" s="62" t="s">
        <v>147</v>
      </c>
      <c r="L2479" s="62" t="s">
        <v>148</v>
      </c>
      <c r="M2479" s="62" t="n">
        <v>0</v>
      </c>
      <c r="N2479" s="62" t="n">
        <v>1</v>
      </c>
      <c r="O2479" s="62" t="n">
        <v>1</v>
      </c>
      <c r="P2479" s="62" t="n">
        <v>1</v>
      </c>
      <c r="Q2479" s="62" t="n">
        <v>0</v>
      </c>
      <c r="R2479" s="62" t="n">
        <v>0</v>
      </c>
      <c r="S2479" s="62" t="n">
        <v>0</v>
      </c>
      <c r="T2479" s="62" t="n">
        <v>0</v>
      </c>
      <c r="U2479" s="62"/>
      <c r="V2479" s="62"/>
      <c r="W2479" s="62"/>
      <c r="X2479" s="62"/>
      <c r="Y2479" s="62"/>
      <c r="Z2479" s="62" t="s">
        <v>4533</v>
      </c>
      <c r="AA2479" s="62" t="s">
        <v>3015</v>
      </c>
      <c r="AB2479" s="62" t="n">
        <v>1</v>
      </c>
      <c r="AC2479" s="62" t="n">
        <v>0</v>
      </c>
      <c r="AD2479" s="62" t="n">
        <v>1</v>
      </c>
      <c r="AE2479" s="62" t="n">
        <f aca="false">IF(AND(Dashboard!$C$9="Yes",AC2479=1),0,1)</f>
        <v>1</v>
      </c>
      <c r="AF2479" s="62" t="n">
        <v>1</v>
      </c>
    </row>
    <row r="2480" customFormat="false" ht="15" hidden="false" customHeight="false" outlineLevel="0" collapsed="false">
      <c r="A2480" s="62" t="n">
        <v>2479</v>
      </c>
      <c r="B2480" s="63" t="n">
        <v>46288.8366550926</v>
      </c>
      <c r="C2480" s="64" t="n">
        <v>46288</v>
      </c>
      <c r="D2480" s="62" t="s">
        <v>143</v>
      </c>
      <c r="E2480" s="62" t="s">
        <v>3061</v>
      </c>
      <c r="F2480" s="62" t="s">
        <v>3061</v>
      </c>
      <c r="G2480" s="62" t="s">
        <v>3062</v>
      </c>
      <c r="H2480" s="62" t="s">
        <v>44</v>
      </c>
      <c r="I2480" s="62" t="s">
        <v>49</v>
      </c>
      <c r="J2480" s="62" t="s">
        <v>146</v>
      </c>
      <c r="K2480" s="62" t="s">
        <v>147</v>
      </c>
      <c r="L2480" s="62" t="s">
        <v>4</v>
      </c>
      <c r="M2480" s="62" t="n">
        <v>1</v>
      </c>
      <c r="N2480" s="62" t="n">
        <v>0</v>
      </c>
      <c r="O2480" s="62" t="n">
        <v>1</v>
      </c>
      <c r="P2480" s="62" t="n">
        <v>0</v>
      </c>
      <c r="Q2480" s="62" t="n">
        <v>0</v>
      </c>
      <c r="R2480" s="62" t="n">
        <v>0</v>
      </c>
      <c r="S2480" s="62" t="n">
        <v>0</v>
      </c>
      <c r="T2480" s="62" t="n">
        <v>0</v>
      </c>
      <c r="U2480" s="62" t="s">
        <v>2056</v>
      </c>
      <c r="V2480" s="62" t="s">
        <v>2057</v>
      </c>
      <c r="W2480" s="62" t="s">
        <v>15</v>
      </c>
      <c r="X2480" s="62" t="s">
        <v>2058</v>
      </c>
      <c r="Y2480" s="62" t="s">
        <v>2059</v>
      </c>
      <c r="Z2480" s="62" t="s">
        <v>4534</v>
      </c>
      <c r="AA2480" s="62" t="s">
        <v>4535</v>
      </c>
      <c r="AB2480" s="62" t="n">
        <v>1</v>
      </c>
      <c r="AC2480" s="62" t="n">
        <v>0</v>
      </c>
      <c r="AD2480" s="62" t="n">
        <v>1</v>
      </c>
      <c r="AE2480" s="62" t="n">
        <f aca="false">IF(AND(Dashboard!$C$9="Yes",AC2480=1),0,1)</f>
        <v>1</v>
      </c>
      <c r="AF2480" s="62" t="n">
        <v>1</v>
      </c>
    </row>
    <row r="2481" customFormat="false" ht="15" hidden="false" customHeight="false" outlineLevel="0" collapsed="false">
      <c r="A2481" s="62" t="n">
        <v>2480</v>
      </c>
      <c r="B2481" s="63" t="n">
        <v>46288.8377199074</v>
      </c>
      <c r="C2481" s="64" t="n">
        <v>46288</v>
      </c>
      <c r="D2481" s="62" t="s">
        <v>143</v>
      </c>
      <c r="E2481" s="62" t="s">
        <v>4304</v>
      </c>
      <c r="F2481" s="62" t="s">
        <v>4304</v>
      </c>
      <c r="G2481" s="62" t="s">
        <v>4305</v>
      </c>
      <c r="H2481" s="62" t="s">
        <v>44</v>
      </c>
      <c r="I2481" s="62" t="s">
        <v>61</v>
      </c>
      <c r="J2481" s="62" t="s">
        <v>3708</v>
      </c>
      <c r="K2481" s="62" t="s">
        <v>175</v>
      </c>
      <c r="L2481" s="62" t="s">
        <v>148</v>
      </c>
      <c r="M2481" s="62" t="n">
        <v>0</v>
      </c>
      <c r="N2481" s="62" t="n">
        <v>2</v>
      </c>
      <c r="O2481" s="62" t="n">
        <v>2</v>
      </c>
      <c r="P2481" s="62" t="n">
        <v>0</v>
      </c>
      <c r="Q2481" s="62" t="n">
        <v>1</v>
      </c>
      <c r="R2481" s="62" t="n">
        <v>1</v>
      </c>
      <c r="S2481" s="62" t="n">
        <v>0</v>
      </c>
      <c r="T2481" s="62" t="n">
        <v>0</v>
      </c>
      <c r="U2481" s="62"/>
      <c r="V2481" s="62"/>
      <c r="W2481" s="62"/>
      <c r="X2481" s="62"/>
      <c r="Y2481" s="62"/>
      <c r="Z2481" s="62" t="s">
        <v>4536</v>
      </c>
      <c r="AA2481" s="62" t="s">
        <v>4537</v>
      </c>
      <c r="AB2481" s="62" t="n">
        <v>1</v>
      </c>
      <c r="AC2481" s="62" t="n">
        <v>0</v>
      </c>
      <c r="AD2481" s="62" t="n">
        <v>1</v>
      </c>
      <c r="AE2481" s="62" t="n">
        <f aca="false">IF(AND(Dashboard!$C$9="Yes",AC2481=1),0,1)</f>
        <v>1</v>
      </c>
      <c r="AF2481" s="62" t="n">
        <v>1</v>
      </c>
    </row>
    <row r="2482" customFormat="false" ht="15" hidden="false" customHeight="false" outlineLevel="0" collapsed="false">
      <c r="A2482" s="62" t="n">
        <v>2481</v>
      </c>
      <c r="B2482" s="63" t="n">
        <v>46288.8481597222</v>
      </c>
      <c r="C2482" s="64" t="n">
        <v>46288</v>
      </c>
      <c r="D2482" s="62" t="s">
        <v>143</v>
      </c>
      <c r="E2482" s="62" t="s">
        <v>2156</v>
      </c>
      <c r="F2482" s="62" t="s">
        <v>2156</v>
      </c>
      <c r="G2482" s="62" t="s">
        <v>2157</v>
      </c>
      <c r="H2482" s="62" t="s">
        <v>52</v>
      </c>
      <c r="I2482" s="62" t="s">
        <v>47</v>
      </c>
      <c r="J2482" s="62" t="s">
        <v>146</v>
      </c>
      <c r="K2482" s="62" t="s">
        <v>209</v>
      </c>
      <c r="L2482" s="62" t="s">
        <v>4</v>
      </c>
      <c r="M2482" s="62" t="n">
        <v>1</v>
      </c>
      <c r="N2482" s="62" t="n">
        <v>0</v>
      </c>
      <c r="O2482" s="62" t="n">
        <v>1</v>
      </c>
      <c r="P2482" s="62" t="n">
        <v>0</v>
      </c>
      <c r="Q2482" s="62" t="n">
        <v>0</v>
      </c>
      <c r="R2482" s="62" t="n">
        <v>0</v>
      </c>
      <c r="S2482" s="62" t="n">
        <v>0</v>
      </c>
      <c r="T2482" s="62" t="n">
        <v>0</v>
      </c>
      <c r="U2482" s="62" t="s">
        <v>2056</v>
      </c>
      <c r="V2482" s="62" t="s">
        <v>2057</v>
      </c>
      <c r="W2482" s="62" t="s">
        <v>15</v>
      </c>
      <c r="X2482" s="62" t="s">
        <v>2058</v>
      </c>
      <c r="Y2482" s="62" t="s">
        <v>2059</v>
      </c>
      <c r="Z2482" s="62" t="s">
        <v>4538</v>
      </c>
      <c r="AA2482" s="62" t="s">
        <v>4539</v>
      </c>
      <c r="AB2482" s="62" t="n">
        <v>1</v>
      </c>
      <c r="AC2482" s="62" t="n">
        <v>0</v>
      </c>
      <c r="AD2482" s="62" t="n">
        <v>1</v>
      </c>
      <c r="AE2482" s="62" t="n">
        <f aca="false">IF(AND(Dashboard!$C$9="Yes",AC2482=1),0,1)</f>
        <v>1</v>
      </c>
      <c r="AF2482" s="62" t="n">
        <v>0</v>
      </c>
    </row>
    <row r="2483" customFormat="false" ht="15" hidden="false" customHeight="false" outlineLevel="0" collapsed="false">
      <c r="A2483" s="62" t="n">
        <v>2482</v>
      </c>
      <c r="B2483" s="63" t="n">
        <v>46288.8487384259</v>
      </c>
      <c r="C2483" s="64" t="n">
        <v>46288</v>
      </c>
      <c r="D2483" s="62" t="s">
        <v>143</v>
      </c>
      <c r="E2483" s="62" t="s">
        <v>4524</v>
      </c>
      <c r="F2483" s="62" t="s">
        <v>4524</v>
      </c>
      <c r="G2483" s="62" t="s">
        <v>4525</v>
      </c>
      <c r="H2483" s="62" t="s">
        <v>44</v>
      </c>
      <c r="I2483" s="62" t="s">
        <v>49</v>
      </c>
      <c r="J2483" s="62" t="s">
        <v>146</v>
      </c>
      <c r="K2483" s="62" t="s">
        <v>147</v>
      </c>
      <c r="L2483" s="62" t="s">
        <v>148</v>
      </c>
      <c r="M2483" s="62" t="n">
        <v>0</v>
      </c>
      <c r="N2483" s="62" t="n">
        <v>1</v>
      </c>
      <c r="O2483" s="62" t="n">
        <v>1</v>
      </c>
      <c r="P2483" s="62" t="n">
        <v>1</v>
      </c>
      <c r="Q2483" s="62" t="n">
        <v>0</v>
      </c>
      <c r="R2483" s="62" t="n">
        <v>0</v>
      </c>
      <c r="S2483" s="62" t="n">
        <v>0</v>
      </c>
      <c r="T2483" s="62" t="n">
        <v>0</v>
      </c>
      <c r="U2483" s="62"/>
      <c r="V2483" s="62"/>
      <c r="W2483" s="62"/>
      <c r="X2483" s="62"/>
      <c r="Y2483" s="62"/>
      <c r="Z2483" s="62" t="s">
        <v>4540</v>
      </c>
      <c r="AA2483" s="62" t="s">
        <v>4541</v>
      </c>
      <c r="AB2483" s="62" t="n">
        <v>1</v>
      </c>
      <c r="AC2483" s="62" t="n">
        <v>0</v>
      </c>
      <c r="AD2483" s="62" t="n">
        <v>1</v>
      </c>
      <c r="AE2483" s="62" t="n">
        <f aca="false">IF(AND(Dashboard!$C$9="Yes",AC2483=1),0,1)</f>
        <v>1</v>
      </c>
      <c r="AF2483" s="62" t="n">
        <v>0</v>
      </c>
    </row>
    <row r="2484" customFormat="false" ht="15" hidden="false" customHeight="false" outlineLevel="0" collapsed="false">
      <c r="A2484" s="62" t="n">
        <v>2483</v>
      </c>
      <c r="B2484" s="63" t="n">
        <v>46288.8626273148</v>
      </c>
      <c r="C2484" s="64" t="n">
        <v>46288</v>
      </c>
      <c r="D2484" s="62" t="s">
        <v>143</v>
      </c>
      <c r="E2484" s="62" t="s">
        <v>4542</v>
      </c>
      <c r="F2484" s="62" t="s">
        <v>4542</v>
      </c>
      <c r="G2484" s="62" t="s">
        <v>4543</v>
      </c>
      <c r="H2484" s="62" t="s">
        <v>44</v>
      </c>
      <c r="I2484" s="62" t="s">
        <v>49</v>
      </c>
      <c r="J2484" s="62" t="s">
        <v>146</v>
      </c>
      <c r="K2484" s="62" t="s">
        <v>147</v>
      </c>
      <c r="L2484" s="62" t="s">
        <v>148</v>
      </c>
      <c r="M2484" s="62" t="n">
        <v>0</v>
      </c>
      <c r="N2484" s="62" t="n">
        <v>2</v>
      </c>
      <c r="O2484" s="62" t="n">
        <v>2</v>
      </c>
      <c r="P2484" s="62" t="n">
        <v>0</v>
      </c>
      <c r="Q2484" s="62" t="n">
        <v>1</v>
      </c>
      <c r="R2484" s="62" t="n">
        <v>1</v>
      </c>
      <c r="S2484" s="62" t="n">
        <v>0</v>
      </c>
      <c r="T2484" s="62" t="n">
        <v>0</v>
      </c>
      <c r="U2484" s="62"/>
      <c r="V2484" s="62"/>
      <c r="W2484" s="62"/>
      <c r="X2484" s="62"/>
      <c r="Y2484" s="62"/>
      <c r="Z2484" s="62" t="s">
        <v>4544</v>
      </c>
      <c r="AA2484" s="62" t="s">
        <v>4545</v>
      </c>
      <c r="AB2484" s="62" t="n">
        <v>1</v>
      </c>
      <c r="AC2484" s="62" t="n">
        <v>0</v>
      </c>
      <c r="AD2484" s="62" t="n">
        <v>1</v>
      </c>
      <c r="AE2484" s="62" t="n">
        <f aca="false">IF(AND(Dashboard!$C$9="Yes",AC2484=1),0,1)</f>
        <v>1</v>
      </c>
      <c r="AF2484" s="62" t="n">
        <v>1</v>
      </c>
    </row>
    <row r="2485" customFormat="false" ht="15" hidden="false" customHeight="false" outlineLevel="0" collapsed="false">
      <c r="A2485" s="62" t="n">
        <v>2484</v>
      </c>
      <c r="B2485" s="63" t="n">
        <v>46288.8812037037</v>
      </c>
      <c r="C2485" s="64" t="n">
        <v>46288</v>
      </c>
      <c r="D2485" s="62" t="s">
        <v>143</v>
      </c>
      <c r="E2485" s="62" t="s">
        <v>3967</v>
      </c>
      <c r="F2485" s="62" t="s">
        <v>3967</v>
      </c>
      <c r="G2485" s="62" t="s">
        <v>3968</v>
      </c>
      <c r="H2485" s="62" t="s">
        <v>46</v>
      </c>
      <c r="I2485" s="62" t="s">
        <v>47</v>
      </c>
      <c r="J2485" s="62" t="s">
        <v>146</v>
      </c>
      <c r="K2485" s="62" t="s">
        <v>209</v>
      </c>
      <c r="L2485" s="62" t="s">
        <v>148</v>
      </c>
      <c r="M2485" s="62" t="n">
        <v>0</v>
      </c>
      <c r="N2485" s="62" t="n">
        <v>1</v>
      </c>
      <c r="O2485" s="62" t="n">
        <v>1</v>
      </c>
      <c r="P2485" s="62" t="n">
        <v>0</v>
      </c>
      <c r="Q2485" s="62" t="n">
        <v>0</v>
      </c>
      <c r="R2485" s="62" t="n">
        <v>0</v>
      </c>
      <c r="S2485" s="62" t="n">
        <v>1</v>
      </c>
      <c r="T2485" s="62" t="n">
        <v>0</v>
      </c>
      <c r="U2485" s="62"/>
      <c r="V2485" s="62"/>
      <c r="W2485" s="62"/>
      <c r="X2485" s="62"/>
      <c r="Y2485" s="62"/>
      <c r="Z2485" s="62" t="s">
        <v>4546</v>
      </c>
      <c r="AA2485" s="62" t="s">
        <v>4547</v>
      </c>
      <c r="AB2485" s="62" t="n">
        <v>1</v>
      </c>
      <c r="AC2485" s="62" t="n">
        <v>0</v>
      </c>
      <c r="AD2485" s="62" t="n">
        <v>1</v>
      </c>
      <c r="AE2485" s="62" t="n">
        <f aca="false">IF(AND(Dashboard!$C$9="Yes",AC2485=1),0,1)</f>
        <v>1</v>
      </c>
      <c r="AF2485" s="62" t="n">
        <v>1</v>
      </c>
    </row>
    <row r="2486" customFormat="false" ht="15" hidden="false" customHeight="false" outlineLevel="0" collapsed="false">
      <c r="A2486" s="62" t="n">
        <v>2485</v>
      </c>
      <c r="B2486" s="63" t="n">
        <v>46288.883125</v>
      </c>
      <c r="C2486" s="64" t="n">
        <v>46288</v>
      </c>
      <c r="D2486" s="62" t="s">
        <v>143</v>
      </c>
      <c r="E2486" s="62" t="s">
        <v>160</v>
      </c>
      <c r="F2486" s="62" t="s">
        <v>160</v>
      </c>
      <c r="G2486" s="62" t="s">
        <v>161</v>
      </c>
      <c r="H2486" s="62" t="s">
        <v>51</v>
      </c>
      <c r="I2486" s="62" t="s">
        <v>47</v>
      </c>
      <c r="J2486" s="62" t="s">
        <v>146</v>
      </c>
      <c r="K2486" s="62" t="s">
        <v>147</v>
      </c>
      <c r="L2486" s="62" t="s">
        <v>148</v>
      </c>
      <c r="M2486" s="62" t="n">
        <v>0</v>
      </c>
      <c r="N2486" s="62" t="n">
        <v>2</v>
      </c>
      <c r="O2486" s="62" t="n">
        <v>2</v>
      </c>
      <c r="P2486" s="62" t="n">
        <v>1</v>
      </c>
      <c r="Q2486" s="62" t="n">
        <v>1</v>
      </c>
      <c r="R2486" s="62" t="n">
        <v>0</v>
      </c>
      <c r="S2486" s="62" t="n">
        <v>0</v>
      </c>
      <c r="T2486" s="62" t="n">
        <v>0</v>
      </c>
      <c r="U2486" s="62"/>
      <c r="V2486" s="62"/>
      <c r="W2486" s="62"/>
      <c r="X2486" s="62"/>
      <c r="Y2486" s="62"/>
      <c r="Z2486" s="62" t="s">
        <v>4548</v>
      </c>
      <c r="AA2486" s="62" t="s">
        <v>4549</v>
      </c>
      <c r="AB2486" s="62" t="n">
        <v>1</v>
      </c>
      <c r="AC2486" s="62" t="n">
        <v>0</v>
      </c>
      <c r="AD2486" s="62" t="n">
        <v>1</v>
      </c>
      <c r="AE2486" s="62" t="n">
        <f aca="false">IF(AND(Dashboard!$C$9="Yes",AC2486=1),0,1)</f>
        <v>1</v>
      </c>
      <c r="AF2486" s="62" t="n">
        <v>0</v>
      </c>
    </row>
    <row r="2487" customFormat="false" ht="15" hidden="false" customHeight="false" outlineLevel="0" collapsed="false">
      <c r="A2487" s="62" t="n">
        <v>2486</v>
      </c>
      <c r="B2487" s="63" t="n">
        <v>46288.8837615741</v>
      </c>
      <c r="C2487" s="64" t="n">
        <v>46288</v>
      </c>
      <c r="D2487" s="62" t="s">
        <v>143</v>
      </c>
      <c r="E2487" s="62" t="s">
        <v>3967</v>
      </c>
      <c r="F2487" s="62" t="s">
        <v>3967</v>
      </c>
      <c r="G2487" s="62" t="s">
        <v>3968</v>
      </c>
      <c r="H2487" s="62" t="s">
        <v>46</v>
      </c>
      <c r="I2487" s="62" t="s">
        <v>47</v>
      </c>
      <c r="J2487" s="62" t="s">
        <v>146</v>
      </c>
      <c r="K2487" s="62" t="s">
        <v>209</v>
      </c>
      <c r="L2487" s="62" t="s">
        <v>4</v>
      </c>
      <c r="M2487" s="62" t="n">
        <v>1</v>
      </c>
      <c r="N2487" s="62" t="n">
        <v>0</v>
      </c>
      <c r="O2487" s="62" t="n">
        <v>1</v>
      </c>
      <c r="P2487" s="62" t="n">
        <v>0</v>
      </c>
      <c r="Q2487" s="62" t="n">
        <v>0</v>
      </c>
      <c r="R2487" s="62" t="n">
        <v>0</v>
      </c>
      <c r="S2487" s="62" t="n">
        <v>0</v>
      </c>
      <c r="T2487" s="62" t="n">
        <v>0</v>
      </c>
      <c r="U2487" s="62" t="s">
        <v>2056</v>
      </c>
      <c r="V2487" s="62" t="s">
        <v>2057</v>
      </c>
      <c r="W2487" s="62" t="s">
        <v>2056</v>
      </c>
      <c r="X2487" s="62" t="s">
        <v>2164</v>
      </c>
      <c r="Y2487" s="62" t="s">
        <v>2165</v>
      </c>
      <c r="Z2487" s="62" t="s">
        <v>4546</v>
      </c>
      <c r="AA2487" s="62" t="s">
        <v>4550</v>
      </c>
      <c r="AB2487" s="62" t="n">
        <v>1</v>
      </c>
      <c r="AC2487" s="62" t="n">
        <v>0</v>
      </c>
      <c r="AD2487" s="62" t="n">
        <v>1</v>
      </c>
      <c r="AE2487" s="62" t="n">
        <f aca="false">IF(AND(Dashboard!$C$9="Yes",AC2487=1),0,1)</f>
        <v>1</v>
      </c>
      <c r="AF2487" s="62" t="n">
        <v>0</v>
      </c>
    </row>
    <row r="2488" customFormat="false" ht="15" hidden="false" customHeight="false" outlineLevel="0" collapsed="false">
      <c r="A2488" s="62" t="n">
        <v>2487</v>
      </c>
      <c r="B2488" s="63" t="n">
        <v>46288.8849421296</v>
      </c>
      <c r="C2488" s="64" t="n">
        <v>46288</v>
      </c>
      <c r="D2488" s="62" t="s">
        <v>143</v>
      </c>
      <c r="E2488" s="62" t="s">
        <v>4310</v>
      </c>
      <c r="F2488" s="62" t="s">
        <v>4310</v>
      </c>
      <c r="G2488" s="62" t="s">
        <v>4311</v>
      </c>
      <c r="H2488" s="62" t="s">
        <v>44</v>
      </c>
      <c r="I2488" s="62" t="s">
        <v>61</v>
      </c>
      <c r="J2488" s="62" t="s">
        <v>3708</v>
      </c>
      <c r="K2488" s="62" t="s">
        <v>175</v>
      </c>
      <c r="L2488" s="62" t="s">
        <v>148</v>
      </c>
      <c r="M2488" s="62" t="n">
        <v>0</v>
      </c>
      <c r="N2488" s="62" t="n">
        <v>2</v>
      </c>
      <c r="O2488" s="62" t="n">
        <v>2</v>
      </c>
      <c r="P2488" s="62" t="n">
        <v>1</v>
      </c>
      <c r="Q2488" s="62" t="n">
        <v>1</v>
      </c>
      <c r="R2488" s="62" t="n">
        <v>0</v>
      </c>
      <c r="S2488" s="62" t="n">
        <v>0</v>
      </c>
      <c r="T2488" s="62" t="n">
        <v>0</v>
      </c>
      <c r="U2488" s="62"/>
      <c r="V2488" s="62"/>
      <c r="W2488" s="62"/>
      <c r="X2488" s="62"/>
      <c r="Y2488" s="62"/>
      <c r="Z2488" s="62" t="s">
        <v>4551</v>
      </c>
      <c r="AA2488" s="62" t="s">
        <v>4551</v>
      </c>
      <c r="AB2488" s="62" t="n">
        <v>1</v>
      </c>
      <c r="AC2488" s="62" t="n">
        <v>0</v>
      </c>
      <c r="AD2488" s="62" t="n">
        <v>1</v>
      </c>
      <c r="AE2488" s="62" t="n">
        <f aca="false">IF(AND(Dashboard!$C$9="Yes",AC2488=1),0,1)</f>
        <v>1</v>
      </c>
      <c r="AF2488" s="62" t="n">
        <v>1</v>
      </c>
    </row>
    <row r="2489" customFormat="false" ht="15" hidden="false" customHeight="false" outlineLevel="0" collapsed="false">
      <c r="A2489" s="62" t="n">
        <v>2488</v>
      </c>
      <c r="B2489" s="63" t="n">
        <v>46288.8915856482</v>
      </c>
      <c r="C2489" s="64" t="n">
        <v>46288</v>
      </c>
      <c r="D2489" s="62" t="s">
        <v>143</v>
      </c>
      <c r="E2489" s="62" t="s">
        <v>892</v>
      </c>
      <c r="F2489" s="62" t="s">
        <v>892</v>
      </c>
      <c r="G2489" s="62" t="s">
        <v>893</v>
      </c>
      <c r="H2489" s="62" t="s">
        <v>46</v>
      </c>
      <c r="I2489" s="62" t="s">
        <v>47</v>
      </c>
      <c r="J2489" s="62" t="s">
        <v>146</v>
      </c>
      <c r="K2489" s="62" t="s">
        <v>209</v>
      </c>
      <c r="L2489" s="62" t="s">
        <v>4</v>
      </c>
      <c r="M2489" s="62" t="n">
        <v>1</v>
      </c>
      <c r="N2489" s="62" t="n">
        <v>0</v>
      </c>
      <c r="O2489" s="62" t="n">
        <v>1</v>
      </c>
      <c r="P2489" s="62" t="n">
        <v>0</v>
      </c>
      <c r="Q2489" s="62" t="n">
        <v>0</v>
      </c>
      <c r="R2489" s="62" t="n">
        <v>0</v>
      </c>
      <c r="S2489" s="62" t="n">
        <v>0</v>
      </c>
      <c r="T2489" s="62" t="n">
        <v>0</v>
      </c>
      <c r="U2489" s="62" t="s">
        <v>2056</v>
      </c>
      <c r="V2489" s="62" t="s">
        <v>2068</v>
      </c>
      <c r="W2489" s="62"/>
      <c r="X2489" s="62" t="s">
        <v>2125</v>
      </c>
      <c r="Y2489" s="62" t="s">
        <v>2059</v>
      </c>
      <c r="Z2489" s="62" t="s">
        <v>4552</v>
      </c>
      <c r="AA2489" s="62" t="s">
        <v>337</v>
      </c>
      <c r="AB2489" s="62" t="n">
        <v>0</v>
      </c>
      <c r="AC2489" s="62" t="n">
        <v>0</v>
      </c>
      <c r="AD2489" s="62" t="n">
        <v>1</v>
      </c>
      <c r="AE2489" s="62" t="n">
        <f aca="false">IF(AND(Dashboard!$C$9="Yes",AC2489=1),0,1)</f>
        <v>1</v>
      </c>
      <c r="AF2489" s="62" t="n">
        <v>1</v>
      </c>
    </row>
    <row r="2490" customFormat="false" ht="15" hidden="false" customHeight="false" outlineLevel="0" collapsed="false">
      <c r="A2490" s="62" t="n">
        <v>2489</v>
      </c>
      <c r="B2490" s="63" t="n">
        <v>46288.8966550926</v>
      </c>
      <c r="C2490" s="64" t="n">
        <v>46288</v>
      </c>
      <c r="D2490" s="62" t="s">
        <v>143</v>
      </c>
      <c r="E2490" s="62" t="s">
        <v>3967</v>
      </c>
      <c r="F2490" s="62" t="s">
        <v>3967</v>
      </c>
      <c r="G2490" s="62" t="s">
        <v>3968</v>
      </c>
      <c r="H2490" s="62" t="s">
        <v>46</v>
      </c>
      <c r="I2490" s="62" t="s">
        <v>47</v>
      </c>
      <c r="J2490" s="62" t="s">
        <v>146</v>
      </c>
      <c r="K2490" s="62" t="s">
        <v>209</v>
      </c>
      <c r="L2490" s="62" t="s">
        <v>148</v>
      </c>
      <c r="M2490" s="62" t="n">
        <v>0</v>
      </c>
      <c r="N2490" s="62" t="n">
        <v>1</v>
      </c>
      <c r="O2490" s="62" t="n">
        <v>1</v>
      </c>
      <c r="P2490" s="62" t="n">
        <v>0</v>
      </c>
      <c r="Q2490" s="62" t="n">
        <v>0</v>
      </c>
      <c r="R2490" s="62" t="n">
        <v>0</v>
      </c>
      <c r="S2490" s="62" t="n">
        <v>1</v>
      </c>
      <c r="T2490" s="62" t="n">
        <v>0</v>
      </c>
      <c r="U2490" s="62"/>
      <c r="V2490" s="62"/>
      <c r="W2490" s="62"/>
      <c r="X2490" s="62"/>
      <c r="Y2490" s="62"/>
      <c r="Z2490" s="62" t="s">
        <v>4553</v>
      </c>
      <c r="AA2490" s="62" t="s">
        <v>1056</v>
      </c>
      <c r="AB2490" s="62" t="n">
        <v>0</v>
      </c>
      <c r="AC2490" s="62" t="n">
        <v>0</v>
      </c>
      <c r="AD2490" s="62" t="n">
        <v>1</v>
      </c>
      <c r="AE2490" s="62" t="n">
        <f aca="false">IF(AND(Dashboard!$C$9="Yes",AC2490=1),0,1)</f>
        <v>1</v>
      </c>
      <c r="AF2490" s="62" t="n">
        <v>0</v>
      </c>
    </row>
    <row r="2491" customFormat="false" ht="15" hidden="false" customHeight="false" outlineLevel="0" collapsed="false">
      <c r="A2491" s="62" t="n">
        <v>2490</v>
      </c>
      <c r="B2491" s="63" t="n">
        <v>46288.9131365741</v>
      </c>
      <c r="C2491" s="64" t="n">
        <v>46288</v>
      </c>
      <c r="D2491" s="62" t="s">
        <v>143</v>
      </c>
      <c r="E2491" s="62" t="s">
        <v>4304</v>
      </c>
      <c r="F2491" s="62" t="s">
        <v>4304</v>
      </c>
      <c r="G2491" s="62" t="s">
        <v>4305</v>
      </c>
      <c r="H2491" s="62" t="s">
        <v>44</v>
      </c>
      <c r="I2491" s="62" t="s">
        <v>61</v>
      </c>
      <c r="J2491" s="62" t="s">
        <v>3708</v>
      </c>
      <c r="K2491" s="62" t="s">
        <v>175</v>
      </c>
      <c r="L2491" s="62" t="s">
        <v>148</v>
      </c>
      <c r="M2491" s="62" t="n">
        <v>0</v>
      </c>
      <c r="N2491" s="62" t="n">
        <v>1</v>
      </c>
      <c r="O2491" s="62" t="n">
        <v>1</v>
      </c>
      <c r="P2491" s="62" t="n">
        <v>0</v>
      </c>
      <c r="Q2491" s="62" t="n">
        <v>0</v>
      </c>
      <c r="R2491" s="62" t="n">
        <v>1</v>
      </c>
      <c r="S2491" s="62" t="n">
        <v>0</v>
      </c>
      <c r="T2491" s="62" t="n">
        <v>0</v>
      </c>
      <c r="U2491" s="62"/>
      <c r="V2491" s="62"/>
      <c r="W2491" s="62"/>
      <c r="X2491" s="62"/>
      <c r="Y2491" s="62"/>
      <c r="Z2491" s="62" t="s">
        <v>4554</v>
      </c>
      <c r="AA2491" s="62" t="s">
        <v>4555</v>
      </c>
      <c r="AB2491" s="62" t="n">
        <v>1</v>
      </c>
      <c r="AC2491" s="62" t="n">
        <v>0</v>
      </c>
      <c r="AD2491" s="62" t="n">
        <v>1</v>
      </c>
      <c r="AE2491" s="62" t="n">
        <f aca="false">IF(AND(Dashboard!$C$9="Yes",AC2491=1),0,1)</f>
        <v>1</v>
      </c>
      <c r="AF2491" s="62" t="n">
        <v>0</v>
      </c>
    </row>
    <row r="2492" customFormat="false" ht="15" hidden="false" customHeight="false" outlineLevel="0" collapsed="false">
      <c r="A2492" s="62" t="n">
        <v>2491</v>
      </c>
      <c r="B2492" s="63" t="n">
        <v>46288.9179513889</v>
      </c>
      <c r="C2492" s="64" t="n">
        <v>46288</v>
      </c>
      <c r="D2492" s="62" t="s">
        <v>143</v>
      </c>
      <c r="E2492" s="62" t="s">
        <v>3022</v>
      </c>
      <c r="F2492" s="62" t="s">
        <v>3022</v>
      </c>
      <c r="G2492" s="62" t="s">
        <v>3023</v>
      </c>
      <c r="H2492" s="62" t="s">
        <v>46</v>
      </c>
      <c r="I2492" s="62" t="s">
        <v>47</v>
      </c>
      <c r="J2492" s="62" t="s">
        <v>146</v>
      </c>
      <c r="K2492" s="62" t="s">
        <v>209</v>
      </c>
      <c r="L2492" s="62" t="s">
        <v>4</v>
      </c>
      <c r="M2492" s="62" t="n">
        <v>1</v>
      </c>
      <c r="N2492" s="62" t="n">
        <v>0</v>
      </c>
      <c r="O2492" s="62" t="n">
        <v>1</v>
      </c>
      <c r="P2492" s="62" t="n">
        <v>0</v>
      </c>
      <c r="Q2492" s="62" t="n">
        <v>0</v>
      </c>
      <c r="R2492" s="62" t="n">
        <v>0</v>
      </c>
      <c r="S2492" s="62" t="n">
        <v>0</v>
      </c>
      <c r="T2492" s="62" t="n">
        <v>0</v>
      </c>
      <c r="U2492" s="62" t="s">
        <v>2056</v>
      </c>
      <c r="V2492" s="62" t="s">
        <v>2057</v>
      </c>
      <c r="W2492" s="62" t="s">
        <v>15</v>
      </c>
      <c r="X2492" s="62" t="s">
        <v>2058</v>
      </c>
      <c r="Y2492" s="62" t="s">
        <v>2059</v>
      </c>
      <c r="Z2492" s="62" t="s">
        <v>4556</v>
      </c>
      <c r="AA2492" s="62" t="s">
        <v>4557</v>
      </c>
      <c r="AB2492" s="62" t="n">
        <v>1</v>
      </c>
      <c r="AC2492" s="62" t="n">
        <v>0</v>
      </c>
      <c r="AD2492" s="62" t="n">
        <v>1</v>
      </c>
      <c r="AE2492" s="62" t="n">
        <f aca="false">IF(AND(Dashboard!$C$9="Yes",AC2492=1),0,1)</f>
        <v>1</v>
      </c>
      <c r="AF2492" s="62" t="n">
        <v>1</v>
      </c>
    </row>
    <row r="2493" customFormat="false" ht="15" hidden="false" customHeight="false" outlineLevel="0" collapsed="false">
      <c r="A2493" s="62" t="n">
        <v>2492</v>
      </c>
      <c r="B2493" s="63" t="n">
        <v>46288.9226041667</v>
      </c>
      <c r="C2493" s="64" t="n">
        <v>46288</v>
      </c>
      <c r="D2493" s="62" t="s">
        <v>143</v>
      </c>
      <c r="E2493" s="62" t="s">
        <v>2101</v>
      </c>
      <c r="F2493" s="62" t="s">
        <v>2101</v>
      </c>
      <c r="G2493" s="62" t="s">
        <v>2102</v>
      </c>
      <c r="H2493" s="62" t="s">
        <v>52</v>
      </c>
      <c r="I2493" s="62" t="s">
        <v>47</v>
      </c>
      <c r="J2493" s="62" t="s">
        <v>146</v>
      </c>
      <c r="K2493" s="62" t="s">
        <v>147</v>
      </c>
      <c r="L2493" s="62" t="s">
        <v>148</v>
      </c>
      <c r="M2493" s="62" t="n">
        <v>0</v>
      </c>
      <c r="N2493" s="62" t="n">
        <v>2</v>
      </c>
      <c r="O2493" s="62" t="n">
        <v>2</v>
      </c>
      <c r="P2493" s="62" t="n">
        <v>0</v>
      </c>
      <c r="Q2493" s="62" t="n">
        <v>1</v>
      </c>
      <c r="R2493" s="62" t="n">
        <v>1</v>
      </c>
      <c r="S2493" s="62" t="n">
        <v>0</v>
      </c>
      <c r="T2493" s="62" t="n">
        <v>0</v>
      </c>
      <c r="U2493" s="62"/>
      <c r="V2493" s="62"/>
      <c r="W2493" s="62"/>
      <c r="X2493" s="62"/>
      <c r="Y2493" s="62"/>
      <c r="Z2493" s="62" t="s">
        <v>4558</v>
      </c>
      <c r="AA2493" s="62" t="s">
        <v>3116</v>
      </c>
      <c r="AB2493" s="62" t="n">
        <v>1</v>
      </c>
      <c r="AC2493" s="62" t="n">
        <v>0</v>
      </c>
      <c r="AD2493" s="62" t="n">
        <v>1</v>
      </c>
      <c r="AE2493" s="62" t="n">
        <f aca="false">IF(AND(Dashboard!$C$9="Yes",AC2493=1),0,1)</f>
        <v>1</v>
      </c>
      <c r="AF2493" s="62" t="n">
        <v>1</v>
      </c>
    </row>
    <row r="2494" customFormat="false" ht="15" hidden="false" customHeight="false" outlineLevel="0" collapsed="false">
      <c r="A2494" s="62" t="n">
        <v>2493</v>
      </c>
      <c r="B2494" s="63" t="n">
        <v>46288.9285185185</v>
      </c>
      <c r="C2494" s="64" t="n">
        <v>46288</v>
      </c>
      <c r="D2494" s="62" t="s">
        <v>143</v>
      </c>
      <c r="E2494" s="62" t="s">
        <v>4420</v>
      </c>
      <c r="F2494" s="62" t="s">
        <v>4420</v>
      </c>
      <c r="G2494" s="62" t="s">
        <v>4421</v>
      </c>
      <c r="H2494" s="62" t="s">
        <v>44</v>
      </c>
      <c r="I2494" s="62" t="s">
        <v>49</v>
      </c>
      <c r="J2494" s="62" t="s">
        <v>146</v>
      </c>
      <c r="K2494" s="62" t="s">
        <v>147</v>
      </c>
      <c r="L2494" s="62" t="s">
        <v>148</v>
      </c>
      <c r="M2494" s="62" t="n">
        <v>0</v>
      </c>
      <c r="N2494" s="62" t="n">
        <v>1</v>
      </c>
      <c r="O2494" s="62" t="n">
        <v>1</v>
      </c>
      <c r="P2494" s="62" t="n">
        <v>0</v>
      </c>
      <c r="Q2494" s="62" t="n">
        <v>0</v>
      </c>
      <c r="R2494" s="62" t="n">
        <v>1</v>
      </c>
      <c r="S2494" s="62" t="n">
        <v>0</v>
      </c>
      <c r="T2494" s="62" t="n">
        <v>0</v>
      </c>
      <c r="U2494" s="62"/>
      <c r="V2494" s="62"/>
      <c r="W2494" s="62"/>
      <c r="X2494" s="62"/>
      <c r="Y2494" s="62"/>
      <c r="Z2494" s="62" t="s">
        <v>4559</v>
      </c>
      <c r="AA2494" s="62" t="s">
        <v>4560</v>
      </c>
      <c r="AB2494" s="62" t="n">
        <v>1</v>
      </c>
      <c r="AC2494" s="62" t="n">
        <v>0</v>
      </c>
      <c r="AD2494" s="62" t="n">
        <v>1</v>
      </c>
      <c r="AE2494" s="62" t="n">
        <f aca="false">IF(AND(Dashboard!$C$9="Yes",AC2494=1),0,1)</f>
        <v>1</v>
      </c>
      <c r="AF2494" s="62" t="n">
        <v>1</v>
      </c>
    </row>
    <row r="2495" customFormat="false" ht="15" hidden="false" customHeight="false" outlineLevel="0" collapsed="false">
      <c r="A2495" s="62" t="n">
        <v>2494</v>
      </c>
      <c r="B2495" s="63" t="n">
        <v>46288.9362962963</v>
      </c>
      <c r="C2495" s="64" t="n">
        <v>46288</v>
      </c>
      <c r="D2495" s="62" t="s">
        <v>143</v>
      </c>
      <c r="E2495" s="62" t="s">
        <v>3061</v>
      </c>
      <c r="F2495" s="62" t="s">
        <v>3061</v>
      </c>
      <c r="G2495" s="62" t="s">
        <v>3062</v>
      </c>
      <c r="H2495" s="62" t="s">
        <v>44</v>
      </c>
      <c r="I2495" s="62" t="s">
        <v>49</v>
      </c>
      <c r="J2495" s="62" t="s">
        <v>146</v>
      </c>
      <c r="K2495" s="62" t="s">
        <v>147</v>
      </c>
      <c r="L2495" s="62" t="s">
        <v>4</v>
      </c>
      <c r="M2495" s="62" t="n">
        <v>1</v>
      </c>
      <c r="N2495" s="62" t="n">
        <v>0</v>
      </c>
      <c r="O2495" s="62" t="n">
        <v>1</v>
      </c>
      <c r="P2495" s="62" t="n">
        <v>0</v>
      </c>
      <c r="Q2495" s="62" t="n">
        <v>0</v>
      </c>
      <c r="R2495" s="62" t="n">
        <v>0</v>
      </c>
      <c r="S2495" s="62" t="n">
        <v>0</v>
      </c>
      <c r="T2495" s="62" t="n">
        <v>0</v>
      </c>
      <c r="U2495" s="62" t="s">
        <v>2056</v>
      </c>
      <c r="V2495" s="62" t="s">
        <v>2057</v>
      </c>
      <c r="W2495" s="62" t="s">
        <v>2056</v>
      </c>
      <c r="X2495" s="62" t="s">
        <v>2253</v>
      </c>
      <c r="Y2495" s="62" t="s">
        <v>2165</v>
      </c>
      <c r="Z2495" s="62" t="s">
        <v>4561</v>
      </c>
      <c r="AA2495" s="62" t="s">
        <v>4562</v>
      </c>
      <c r="AB2495" s="62" t="n">
        <v>1</v>
      </c>
      <c r="AC2495" s="62" t="n">
        <v>0</v>
      </c>
      <c r="AD2495" s="62" t="n">
        <v>1</v>
      </c>
      <c r="AE2495" s="62" t="n">
        <f aca="false">IF(AND(Dashboard!$C$9="Yes",AC2495=1),0,1)</f>
        <v>1</v>
      </c>
      <c r="AF2495" s="62" t="n">
        <v>0</v>
      </c>
    </row>
    <row r="2496" customFormat="false" ht="15" hidden="false" customHeight="false" outlineLevel="0" collapsed="false">
      <c r="A2496" s="62" t="n">
        <v>2495</v>
      </c>
      <c r="B2496" s="63" t="n">
        <v>46288.9379398148</v>
      </c>
      <c r="C2496" s="64" t="n">
        <v>46288</v>
      </c>
      <c r="D2496" s="62" t="s">
        <v>143</v>
      </c>
      <c r="E2496" s="62" t="s">
        <v>196</v>
      </c>
      <c r="F2496" s="62" t="s">
        <v>196</v>
      </c>
      <c r="G2496" s="62" t="s">
        <v>197</v>
      </c>
      <c r="H2496" s="62" t="s">
        <v>57</v>
      </c>
      <c r="I2496" s="62" t="s">
        <v>47</v>
      </c>
      <c r="J2496" s="62" t="s">
        <v>146</v>
      </c>
      <c r="K2496" s="62" t="s">
        <v>175</v>
      </c>
      <c r="L2496" s="62" t="s">
        <v>148</v>
      </c>
      <c r="M2496" s="62" t="n">
        <v>0</v>
      </c>
      <c r="N2496" s="62" t="n">
        <v>1</v>
      </c>
      <c r="O2496" s="62" t="n">
        <v>1</v>
      </c>
      <c r="P2496" s="62" t="n">
        <v>1</v>
      </c>
      <c r="Q2496" s="62" t="n">
        <v>0</v>
      </c>
      <c r="R2496" s="62" t="n">
        <v>0</v>
      </c>
      <c r="S2496" s="62" t="n">
        <v>0</v>
      </c>
      <c r="T2496" s="62" t="n">
        <v>0</v>
      </c>
      <c r="U2496" s="62"/>
      <c r="V2496" s="62"/>
      <c r="W2496" s="62"/>
      <c r="X2496" s="62"/>
      <c r="Y2496" s="62"/>
      <c r="Z2496" s="62" t="s">
        <v>4563</v>
      </c>
      <c r="AA2496" s="62" t="s">
        <v>4564</v>
      </c>
      <c r="AB2496" s="62" t="n">
        <v>1</v>
      </c>
      <c r="AC2496" s="62" t="n">
        <v>0</v>
      </c>
      <c r="AD2496" s="62" t="n">
        <v>1</v>
      </c>
      <c r="AE2496" s="62" t="n">
        <f aca="false">IF(AND(Dashboard!$C$9="Yes",AC2496=1),0,1)</f>
        <v>1</v>
      </c>
      <c r="AF2496" s="62" t="n">
        <v>1</v>
      </c>
    </row>
    <row r="2497" customFormat="false" ht="15" hidden="false" customHeight="false" outlineLevel="0" collapsed="false">
      <c r="A2497" s="62" t="n">
        <v>2496</v>
      </c>
      <c r="B2497" s="63" t="n">
        <v>46288.9496527778</v>
      </c>
      <c r="C2497" s="64" t="n">
        <v>46288</v>
      </c>
      <c r="D2497" s="62" t="s">
        <v>143</v>
      </c>
      <c r="E2497" s="62" t="s">
        <v>2365</v>
      </c>
      <c r="F2497" s="62" t="s">
        <v>2365</v>
      </c>
      <c r="G2497" s="62" t="s">
        <v>2366</v>
      </c>
      <c r="H2497" s="62" t="s">
        <v>52</v>
      </c>
      <c r="I2497" s="62" t="s">
        <v>47</v>
      </c>
      <c r="J2497" s="62" t="s">
        <v>146</v>
      </c>
      <c r="K2497" s="62" t="s">
        <v>147</v>
      </c>
      <c r="L2497" s="62" t="s">
        <v>148</v>
      </c>
      <c r="M2497" s="62" t="n">
        <v>0</v>
      </c>
      <c r="N2497" s="62" t="n">
        <v>1</v>
      </c>
      <c r="O2497" s="62" t="n">
        <v>1</v>
      </c>
      <c r="P2497" s="62" t="n">
        <v>1</v>
      </c>
      <c r="Q2497" s="62" t="n">
        <v>0</v>
      </c>
      <c r="R2497" s="62" t="n">
        <v>0</v>
      </c>
      <c r="S2497" s="62" t="n">
        <v>0</v>
      </c>
      <c r="T2497" s="62" t="n">
        <v>0</v>
      </c>
      <c r="U2497" s="62"/>
      <c r="V2497" s="62"/>
      <c r="W2497" s="62"/>
      <c r="X2497" s="62"/>
      <c r="Y2497" s="62"/>
      <c r="Z2497" s="62" t="s">
        <v>4565</v>
      </c>
      <c r="AA2497" s="62" t="s">
        <v>4566</v>
      </c>
      <c r="AB2497" s="62" t="n">
        <v>1</v>
      </c>
      <c r="AC2497" s="62" t="n">
        <v>0</v>
      </c>
      <c r="AD2497" s="62" t="n">
        <v>1</v>
      </c>
      <c r="AE2497" s="62" t="n">
        <f aca="false">IF(AND(Dashboard!$C$9="Yes",AC2497=1),0,1)</f>
        <v>1</v>
      </c>
      <c r="AF2497" s="62" t="n">
        <v>1</v>
      </c>
    </row>
    <row r="2498" customFormat="false" ht="15" hidden="false" customHeight="false" outlineLevel="0" collapsed="false">
      <c r="A2498" s="62" t="n">
        <v>2497</v>
      </c>
      <c r="B2498" s="63" t="n">
        <v>46288.9498263889</v>
      </c>
      <c r="C2498" s="64" t="n">
        <v>46288</v>
      </c>
      <c r="D2498" s="62" t="s">
        <v>143</v>
      </c>
      <c r="E2498" s="62" t="s">
        <v>892</v>
      </c>
      <c r="F2498" s="62" t="s">
        <v>892</v>
      </c>
      <c r="G2498" s="62" t="s">
        <v>893</v>
      </c>
      <c r="H2498" s="62" t="s">
        <v>46</v>
      </c>
      <c r="I2498" s="62" t="s">
        <v>47</v>
      </c>
      <c r="J2498" s="62" t="s">
        <v>146</v>
      </c>
      <c r="K2498" s="62" t="s">
        <v>209</v>
      </c>
      <c r="L2498" s="62" t="s">
        <v>148</v>
      </c>
      <c r="M2498" s="62" t="n">
        <v>0</v>
      </c>
      <c r="N2498" s="62" t="n">
        <v>1</v>
      </c>
      <c r="O2498" s="62" t="n">
        <v>1</v>
      </c>
      <c r="P2498" s="62" t="n">
        <v>0</v>
      </c>
      <c r="Q2498" s="62" t="n">
        <v>1</v>
      </c>
      <c r="R2498" s="62" t="n">
        <v>0</v>
      </c>
      <c r="S2498" s="62" t="n">
        <v>0</v>
      </c>
      <c r="T2498" s="62" t="n">
        <v>0</v>
      </c>
      <c r="U2498" s="62"/>
      <c r="V2498" s="62"/>
      <c r="W2498" s="62"/>
      <c r="X2498" s="62"/>
      <c r="Y2498" s="62"/>
      <c r="Z2498" s="62" t="s">
        <v>4567</v>
      </c>
      <c r="AA2498" s="62" t="s">
        <v>337</v>
      </c>
      <c r="AB2498" s="62" t="n">
        <v>0</v>
      </c>
      <c r="AC2498" s="62" t="n">
        <v>0</v>
      </c>
      <c r="AD2498" s="62" t="n">
        <v>1</v>
      </c>
      <c r="AE2498" s="62" t="n">
        <f aca="false">IF(AND(Dashboard!$C$9="Yes",AC2498=1),0,1)</f>
        <v>1</v>
      </c>
      <c r="AF2498" s="62" t="n">
        <v>0</v>
      </c>
    </row>
    <row r="2499" customFormat="false" ht="15" hidden="false" customHeight="false" outlineLevel="0" collapsed="false">
      <c r="A2499" s="62" t="n">
        <v>2498</v>
      </c>
      <c r="B2499" s="63" t="n">
        <v>46288.957025463</v>
      </c>
      <c r="C2499" s="64" t="n">
        <v>46288</v>
      </c>
      <c r="D2499" s="62" t="s">
        <v>143</v>
      </c>
      <c r="E2499" s="62" t="s">
        <v>218</v>
      </c>
      <c r="F2499" s="62" t="s">
        <v>218</v>
      </c>
      <c r="G2499" s="62" t="s">
        <v>219</v>
      </c>
      <c r="H2499" s="62" t="s">
        <v>51</v>
      </c>
      <c r="I2499" s="62" t="s">
        <v>47</v>
      </c>
      <c r="J2499" s="62" t="s">
        <v>146</v>
      </c>
      <c r="K2499" s="62" t="s">
        <v>147</v>
      </c>
      <c r="L2499" s="62" t="s">
        <v>148</v>
      </c>
      <c r="M2499" s="62" t="n">
        <v>0</v>
      </c>
      <c r="N2499" s="62" t="n">
        <v>2</v>
      </c>
      <c r="O2499" s="62" t="n">
        <v>2</v>
      </c>
      <c r="P2499" s="62" t="n">
        <v>1</v>
      </c>
      <c r="Q2499" s="62" t="n">
        <v>1</v>
      </c>
      <c r="R2499" s="62" t="n">
        <v>0</v>
      </c>
      <c r="S2499" s="62" t="n">
        <v>0</v>
      </c>
      <c r="T2499" s="62" t="n">
        <v>0</v>
      </c>
      <c r="U2499" s="62"/>
      <c r="V2499" s="62"/>
      <c r="W2499" s="62"/>
      <c r="X2499" s="62"/>
      <c r="Y2499" s="62"/>
      <c r="Z2499" s="62" t="s">
        <v>4568</v>
      </c>
      <c r="AA2499" s="62" t="s">
        <v>4569</v>
      </c>
      <c r="AB2499" s="62" t="n">
        <v>1</v>
      </c>
      <c r="AC2499" s="62" t="n">
        <v>0</v>
      </c>
      <c r="AD2499" s="62" t="n">
        <v>1</v>
      </c>
      <c r="AE2499" s="62" t="n">
        <f aca="false">IF(AND(Dashboard!$C$9="Yes",AC2499=1),0,1)</f>
        <v>1</v>
      </c>
      <c r="AF2499" s="62" t="n">
        <v>1</v>
      </c>
    </row>
    <row r="2500" customFormat="false" ht="15" hidden="false" customHeight="false" outlineLevel="0" collapsed="false">
      <c r="A2500" s="62" t="n">
        <v>2499</v>
      </c>
      <c r="B2500" s="63" t="n">
        <v>46289.001724537</v>
      </c>
      <c r="C2500" s="64" t="n">
        <v>46288</v>
      </c>
      <c r="D2500" s="62" t="s">
        <v>143</v>
      </c>
      <c r="E2500" s="62" t="s">
        <v>180</v>
      </c>
      <c r="F2500" s="62" t="s">
        <v>180</v>
      </c>
      <c r="G2500" s="62" t="s">
        <v>181</v>
      </c>
      <c r="H2500" s="62" t="s">
        <v>58</v>
      </c>
      <c r="I2500" s="62" t="s">
        <v>49</v>
      </c>
      <c r="J2500" s="62" t="s">
        <v>146</v>
      </c>
      <c r="K2500" s="62" t="s">
        <v>175</v>
      </c>
      <c r="L2500" s="62" t="s">
        <v>148</v>
      </c>
      <c r="M2500" s="62" t="n">
        <v>0</v>
      </c>
      <c r="N2500" s="62" t="n">
        <v>2</v>
      </c>
      <c r="O2500" s="62" t="n">
        <v>2</v>
      </c>
      <c r="P2500" s="62" t="n">
        <v>1</v>
      </c>
      <c r="Q2500" s="62" t="n">
        <v>0</v>
      </c>
      <c r="R2500" s="62" t="n">
        <v>1</v>
      </c>
      <c r="S2500" s="62" t="n">
        <v>0</v>
      </c>
      <c r="T2500" s="62" t="n">
        <v>0</v>
      </c>
      <c r="U2500" s="62"/>
      <c r="V2500" s="62"/>
      <c r="W2500" s="62"/>
      <c r="X2500" s="62"/>
      <c r="Y2500" s="62"/>
      <c r="Z2500" s="62" t="s">
        <v>4570</v>
      </c>
      <c r="AA2500" s="62" t="s">
        <v>4570</v>
      </c>
      <c r="AB2500" s="62" t="n">
        <v>1</v>
      </c>
      <c r="AC2500" s="62" t="n">
        <v>0</v>
      </c>
      <c r="AD2500" s="62" t="n">
        <v>1</v>
      </c>
      <c r="AE2500" s="62" t="n">
        <f aca="false">IF(AND(Dashboard!$C$9="Yes",AC2500=1),0,1)</f>
        <v>1</v>
      </c>
      <c r="AF2500" s="62" t="n">
        <v>1</v>
      </c>
    </row>
    <row r="2501" customFormat="false" ht="15" hidden="false" customHeight="false" outlineLevel="0" collapsed="false">
      <c r="A2501" s="62" t="n">
        <v>2500</v>
      </c>
      <c r="B2501" s="63" t="n">
        <v>46289.0021527778</v>
      </c>
      <c r="C2501" s="64" t="n">
        <v>46288</v>
      </c>
      <c r="D2501" s="62" t="s">
        <v>143</v>
      </c>
      <c r="E2501" s="62" t="s">
        <v>4524</v>
      </c>
      <c r="F2501" s="62" t="s">
        <v>4524</v>
      </c>
      <c r="G2501" s="62" t="s">
        <v>4525</v>
      </c>
      <c r="H2501" s="62" t="s">
        <v>44</v>
      </c>
      <c r="I2501" s="62" t="s">
        <v>49</v>
      </c>
      <c r="J2501" s="62" t="s">
        <v>146</v>
      </c>
      <c r="K2501" s="62" t="s">
        <v>147</v>
      </c>
      <c r="L2501" s="62" t="s">
        <v>4</v>
      </c>
      <c r="M2501" s="62" t="n">
        <v>1</v>
      </c>
      <c r="N2501" s="62" t="n">
        <v>0</v>
      </c>
      <c r="O2501" s="62" t="n">
        <v>1</v>
      </c>
      <c r="P2501" s="62" t="n">
        <v>0</v>
      </c>
      <c r="Q2501" s="62" t="n">
        <v>0</v>
      </c>
      <c r="R2501" s="62" t="n">
        <v>0</v>
      </c>
      <c r="S2501" s="62" t="n">
        <v>0</v>
      </c>
      <c r="T2501" s="62" t="n">
        <v>0</v>
      </c>
      <c r="U2501" s="62" t="s">
        <v>15</v>
      </c>
      <c r="V2501" s="62" t="s">
        <v>2057</v>
      </c>
      <c r="W2501" s="62" t="s">
        <v>15</v>
      </c>
      <c r="X2501" s="62" t="s">
        <v>2058</v>
      </c>
      <c r="Y2501" s="62" t="s">
        <v>2059</v>
      </c>
      <c r="Z2501" s="62" t="s">
        <v>4571</v>
      </c>
      <c r="AA2501" s="62" t="s">
        <v>4572</v>
      </c>
      <c r="AB2501" s="62" t="n">
        <v>1</v>
      </c>
      <c r="AC2501" s="62" t="n">
        <v>0</v>
      </c>
      <c r="AD2501" s="62" t="n">
        <v>1</v>
      </c>
      <c r="AE2501" s="62" t="n">
        <f aca="false">IF(AND(Dashboard!$C$9="Yes",AC2501=1),0,1)</f>
        <v>1</v>
      </c>
      <c r="AF2501" s="62" t="n">
        <v>0</v>
      </c>
    </row>
    <row r="2502" customFormat="false" ht="15" hidden="false" customHeight="false" outlineLevel="0" collapsed="false">
      <c r="A2502" s="62" t="n">
        <v>2501</v>
      </c>
      <c r="B2502" s="63" t="n">
        <v>46289.0025462963</v>
      </c>
      <c r="C2502" s="64" t="n">
        <v>46288</v>
      </c>
      <c r="D2502" s="62" t="s">
        <v>143</v>
      </c>
      <c r="E2502" s="62" t="s">
        <v>4524</v>
      </c>
      <c r="F2502" s="62" t="s">
        <v>4524</v>
      </c>
      <c r="G2502" s="62" t="s">
        <v>4525</v>
      </c>
      <c r="H2502" s="62" t="s">
        <v>44</v>
      </c>
      <c r="I2502" s="62" t="s">
        <v>49</v>
      </c>
      <c r="J2502" s="62" t="s">
        <v>146</v>
      </c>
      <c r="K2502" s="62" t="s">
        <v>147</v>
      </c>
      <c r="L2502" s="62" t="s">
        <v>4</v>
      </c>
      <c r="M2502" s="62" t="n">
        <v>1</v>
      </c>
      <c r="N2502" s="62" t="n">
        <v>0</v>
      </c>
      <c r="O2502" s="62" t="n">
        <v>1</v>
      </c>
      <c r="P2502" s="62" t="n">
        <v>0</v>
      </c>
      <c r="Q2502" s="62" t="n">
        <v>0</v>
      </c>
      <c r="R2502" s="62" t="n">
        <v>0</v>
      </c>
      <c r="S2502" s="62" t="n">
        <v>0</v>
      </c>
      <c r="T2502" s="62" t="n">
        <v>0</v>
      </c>
      <c r="U2502" s="62" t="s">
        <v>15</v>
      </c>
      <c r="V2502" s="62" t="s">
        <v>2057</v>
      </c>
      <c r="W2502" s="62" t="s">
        <v>15</v>
      </c>
      <c r="X2502" s="62" t="s">
        <v>2058</v>
      </c>
      <c r="Y2502" s="62" t="s">
        <v>2103</v>
      </c>
      <c r="Z2502" s="62" t="s">
        <v>4571</v>
      </c>
      <c r="AA2502" s="62" t="s">
        <v>4573</v>
      </c>
      <c r="AB2502" s="62" t="n">
        <v>1</v>
      </c>
      <c r="AC2502" s="62" t="n">
        <v>0</v>
      </c>
      <c r="AD2502" s="62" t="n">
        <v>1</v>
      </c>
      <c r="AE2502" s="62" t="n">
        <f aca="false">IF(AND(Dashboard!$C$9="Yes",AC2502=1),0,1)</f>
        <v>1</v>
      </c>
      <c r="AF2502" s="62" t="n">
        <v>0</v>
      </c>
    </row>
    <row r="2503" customFormat="false" ht="15" hidden="false" customHeight="false" outlineLevel="0" collapsed="false">
      <c r="A2503" s="62" t="n">
        <v>2502</v>
      </c>
      <c r="B2503" s="63" t="n">
        <v>46289.011087963</v>
      </c>
      <c r="C2503" s="64" t="n">
        <v>46288</v>
      </c>
      <c r="D2503" s="62" t="s">
        <v>143</v>
      </c>
      <c r="E2503" s="62" t="s">
        <v>1749</v>
      </c>
      <c r="F2503" s="62" t="s">
        <v>1749</v>
      </c>
      <c r="G2503" s="62" t="s">
        <v>1750</v>
      </c>
      <c r="H2503" s="62" t="s">
        <v>57</v>
      </c>
      <c r="I2503" s="62" t="s">
        <v>47</v>
      </c>
      <c r="J2503" s="62" t="s">
        <v>146</v>
      </c>
      <c r="K2503" s="62" t="s">
        <v>209</v>
      </c>
      <c r="L2503" s="62" t="s">
        <v>148</v>
      </c>
      <c r="M2503" s="62" t="n">
        <v>0</v>
      </c>
      <c r="N2503" s="62" t="n">
        <v>2</v>
      </c>
      <c r="O2503" s="62" t="n">
        <v>2</v>
      </c>
      <c r="P2503" s="62" t="n">
        <v>1</v>
      </c>
      <c r="Q2503" s="62" t="n">
        <v>1</v>
      </c>
      <c r="R2503" s="62" t="n">
        <v>0</v>
      </c>
      <c r="S2503" s="62" t="n">
        <v>0</v>
      </c>
      <c r="T2503" s="62" t="n">
        <v>0</v>
      </c>
      <c r="U2503" s="62"/>
      <c r="V2503" s="62"/>
      <c r="W2503" s="62"/>
      <c r="X2503" s="62"/>
      <c r="Y2503" s="62"/>
      <c r="Z2503" s="62" t="s">
        <v>4574</v>
      </c>
      <c r="AA2503" s="62" t="s">
        <v>4575</v>
      </c>
      <c r="AB2503" s="62" t="n">
        <v>1</v>
      </c>
      <c r="AC2503" s="62" t="n">
        <v>0</v>
      </c>
      <c r="AD2503" s="62" t="n">
        <v>1</v>
      </c>
      <c r="AE2503" s="62" t="n">
        <f aca="false">IF(AND(Dashboard!$C$9="Yes",AC2503=1),0,1)</f>
        <v>1</v>
      </c>
      <c r="AF2503" s="62" t="n">
        <v>1</v>
      </c>
    </row>
    <row r="2504" customFormat="false" ht="15" hidden="false" customHeight="false" outlineLevel="0" collapsed="false">
      <c r="A2504" s="62" t="n">
        <v>2503</v>
      </c>
      <c r="B2504" s="63" t="n">
        <v>46289.025</v>
      </c>
      <c r="C2504" s="64" t="n">
        <v>46288</v>
      </c>
      <c r="D2504" s="62" t="s">
        <v>143</v>
      </c>
      <c r="E2504" s="62" t="s">
        <v>218</v>
      </c>
      <c r="F2504" s="62" t="s">
        <v>218</v>
      </c>
      <c r="G2504" s="62" t="s">
        <v>219</v>
      </c>
      <c r="H2504" s="62" t="s">
        <v>51</v>
      </c>
      <c r="I2504" s="62" t="s">
        <v>47</v>
      </c>
      <c r="J2504" s="62" t="s">
        <v>146</v>
      </c>
      <c r="K2504" s="62" t="s">
        <v>147</v>
      </c>
      <c r="L2504" s="62" t="s">
        <v>148</v>
      </c>
      <c r="M2504" s="62" t="n">
        <v>0</v>
      </c>
      <c r="N2504" s="62" t="n">
        <v>1</v>
      </c>
      <c r="O2504" s="62" t="n">
        <v>1</v>
      </c>
      <c r="P2504" s="62" t="n">
        <v>1</v>
      </c>
      <c r="Q2504" s="62" t="n">
        <v>0</v>
      </c>
      <c r="R2504" s="62" t="n">
        <v>0</v>
      </c>
      <c r="S2504" s="62" t="n">
        <v>0</v>
      </c>
      <c r="T2504" s="62" t="n">
        <v>0</v>
      </c>
      <c r="U2504" s="62"/>
      <c r="V2504" s="62"/>
      <c r="W2504" s="62"/>
      <c r="X2504" s="62"/>
      <c r="Y2504" s="62"/>
      <c r="Z2504" s="62" t="s">
        <v>4576</v>
      </c>
      <c r="AA2504" s="62" t="s">
        <v>4577</v>
      </c>
      <c r="AB2504" s="62" t="n">
        <v>1</v>
      </c>
      <c r="AC2504" s="62" t="n">
        <v>0</v>
      </c>
      <c r="AD2504" s="62" t="n">
        <v>1</v>
      </c>
      <c r="AE2504" s="62" t="n">
        <f aca="false">IF(AND(Dashboard!$C$9="Yes",AC2504=1),0,1)</f>
        <v>1</v>
      </c>
      <c r="AF2504" s="62" t="n">
        <v>0</v>
      </c>
    </row>
    <row r="2505" customFormat="false" ht="15" hidden="false" customHeight="false" outlineLevel="0" collapsed="false">
      <c r="A2505" s="62" t="n">
        <v>2504</v>
      </c>
      <c r="B2505" s="63" t="n">
        <v>46289.0340740741</v>
      </c>
      <c r="C2505" s="64" t="n">
        <v>46288</v>
      </c>
      <c r="D2505" s="62" t="s">
        <v>143</v>
      </c>
      <c r="E2505" s="62" t="s">
        <v>2385</v>
      </c>
      <c r="F2505" s="62" t="s">
        <v>2385</v>
      </c>
      <c r="G2505" s="62" t="s">
        <v>2386</v>
      </c>
      <c r="H2505" s="62" t="s">
        <v>59</v>
      </c>
      <c r="I2505" s="62" t="s">
        <v>47</v>
      </c>
      <c r="J2505" s="62" t="s">
        <v>146</v>
      </c>
      <c r="K2505" s="62" t="s">
        <v>209</v>
      </c>
      <c r="L2505" s="62" t="s">
        <v>4</v>
      </c>
      <c r="M2505" s="62" t="n">
        <v>1</v>
      </c>
      <c r="N2505" s="62" t="n">
        <v>0</v>
      </c>
      <c r="O2505" s="62" t="n">
        <v>1</v>
      </c>
      <c r="P2505" s="62" t="n">
        <v>0</v>
      </c>
      <c r="Q2505" s="62" t="n">
        <v>0</v>
      </c>
      <c r="R2505" s="62" t="n">
        <v>0</v>
      </c>
      <c r="S2505" s="62" t="n">
        <v>0</v>
      </c>
      <c r="T2505" s="62" t="n">
        <v>0</v>
      </c>
      <c r="U2505" s="62" t="s">
        <v>2056</v>
      </c>
      <c r="V2505" s="62" t="s">
        <v>2057</v>
      </c>
      <c r="W2505" s="62" t="s">
        <v>2056</v>
      </c>
      <c r="X2505" s="62" t="s">
        <v>2103</v>
      </c>
      <c r="Y2505" s="62" t="s">
        <v>2059</v>
      </c>
      <c r="Z2505" s="62" t="s">
        <v>4578</v>
      </c>
      <c r="AA2505" s="62" t="s">
        <v>64</v>
      </c>
      <c r="AB2505" s="62" t="n">
        <v>0</v>
      </c>
      <c r="AC2505" s="62" t="n">
        <v>0</v>
      </c>
      <c r="AD2505" s="62" t="n">
        <v>1</v>
      </c>
      <c r="AE2505" s="62" t="n">
        <f aca="false">IF(AND(Dashboard!$C$9="Yes",AC2505=1),0,1)</f>
        <v>1</v>
      </c>
      <c r="AF2505" s="62" t="n">
        <v>1</v>
      </c>
    </row>
    <row r="2506" customFormat="false" ht="15" hidden="false" customHeight="false" outlineLevel="0" collapsed="false">
      <c r="A2506" s="62" t="n">
        <v>2505</v>
      </c>
      <c r="B2506" s="63" t="n">
        <v>46289.0348842593</v>
      </c>
      <c r="C2506" s="64" t="n">
        <v>46288</v>
      </c>
      <c r="D2506" s="62" t="s">
        <v>143</v>
      </c>
      <c r="E2506" s="62" t="s">
        <v>180</v>
      </c>
      <c r="F2506" s="62" t="s">
        <v>180</v>
      </c>
      <c r="G2506" s="62" t="s">
        <v>181</v>
      </c>
      <c r="H2506" s="62" t="s">
        <v>58</v>
      </c>
      <c r="I2506" s="62" t="s">
        <v>49</v>
      </c>
      <c r="J2506" s="62" t="s">
        <v>146</v>
      </c>
      <c r="K2506" s="62" t="s">
        <v>175</v>
      </c>
      <c r="L2506" s="62" t="s">
        <v>4</v>
      </c>
      <c r="M2506" s="62" t="n">
        <v>1</v>
      </c>
      <c r="N2506" s="62" t="n">
        <v>0</v>
      </c>
      <c r="O2506" s="62" t="n">
        <v>1</v>
      </c>
      <c r="P2506" s="62" t="n">
        <v>0</v>
      </c>
      <c r="Q2506" s="62" t="n">
        <v>0</v>
      </c>
      <c r="R2506" s="62" t="n">
        <v>0</v>
      </c>
      <c r="S2506" s="62" t="n">
        <v>0</v>
      </c>
      <c r="T2506" s="62" t="n">
        <v>0</v>
      </c>
      <c r="U2506" s="62" t="s">
        <v>2056</v>
      </c>
      <c r="V2506" s="62" t="s">
        <v>2057</v>
      </c>
      <c r="W2506" s="62" t="s">
        <v>15</v>
      </c>
      <c r="X2506" s="62" t="s">
        <v>2058</v>
      </c>
      <c r="Y2506" s="62" t="s">
        <v>2103</v>
      </c>
      <c r="Z2506" s="62" t="s">
        <v>4579</v>
      </c>
      <c r="AA2506" s="62" t="s">
        <v>4580</v>
      </c>
      <c r="AB2506" s="62" t="n">
        <v>1</v>
      </c>
      <c r="AC2506" s="62" t="n">
        <v>0</v>
      </c>
      <c r="AD2506" s="62" t="n">
        <v>1</v>
      </c>
      <c r="AE2506" s="62" t="n">
        <f aca="false">IF(AND(Dashboard!$C$9="Yes",AC2506=1),0,1)</f>
        <v>1</v>
      </c>
      <c r="AF2506" s="62" t="n">
        <v>0</v>
      </c>
    </row>
    <row r="2507" customFormat="false" ht="15" hidden="false" customHeight="false" outlineLevel="0" collapsed="false">
      <c r="A2507" s="62" t="n">
        <v>2506</v>
      </c>
      <c r="B2507" s="63" t="n">
        <v>46289.0666203704</v>
      </c>
      <c r="C2507" s="64" t="n">
        <v>46288</v>
      </c>
      <c r="D2507" s="62" t="s">
        <v>143</v>
      </c>
      <c r="E2507" s="62" t="s">
        <v>892</v>
      </c>
      <c r="F2507" s="62" t="s">
        <v>892</v>
      </c>
      <c r="G2507" s="62" t="s">
        <v>893</v>
      </c>
      <c r="H2507" s="62" t="s">
        <v>46</v>
      </c>
      <c r="I2507" s="62" t="s">
        <v>47</v>
      </c>
      <c r="J2507" s="62" t="s">
        <v>146</v>
      </c>
      <c r="K2507" s="62" t="s">
        <v>209</v>
      </c>
      <c r="L2507" s="62" t="s">
        <v>148</v>
      </c>
      <c r="M2507" s="62" t="n">
        <v>0</v>
      </c>
      <c r="N2507" s="62" t="n">
        <v>1</v>
      </c>
      <c r="O2507" s="62" t="n">
        <v>1</v>
      </c>
      <c r="P2507" s="62" t="n">
        <v>0</v>
      </c>
      <c r="Q2507" s="62" t="n">
        <v>1</v>
      </c>
      <c r="R2507" s="62" t="n">
        <v>0</v>
      </c>
      <c r="S2507" s="62" t="n">
        <v>0</v>
      </c>
      <c r="T2507" s="62" t="n">
        <v>0</v>
      </c>
      <c r="U2507" s="62"/>
      <c r="V2507" s="62"/>
      <c r="W2507" s="62"/>
      <c r="X2507" s="62"/>
      <c r="Y2507" s="62"/>
      <c r="Z2507" s="62" t="s">
        <v>4581</v>
      </c>
      <c r="AA2507" s="62" t="s">
        <v>337</v>
      </c>
      <c r="AB2507" s="62" t="n">
        <v>0</v>
      </c>
      <c r="AC2507" s="62" t="n">
        <v>0</v>
      </c>
      <c r="AD2507" s="62" t="n">
        <v>1</v>
      </c>
      <c r="AE2507" s="62" t="n">
        <f aca="false">IF(AND(Dashboard!$C$9="Yes",AC2507=1),0,1)</f>
        <v>1</v>
      </c>
      <c r="AF2507" s="62" t="n">
        <v>0</v>
      </c>
    </row>
    <row r="2508" customFormat="false" ht="15" hidden="false" customHeight="false" outlineLevel="0" collapsed="false">
      <c r="A2508" s="62" t="n">
        <v>2507</v>
      </c>
      <c r="B2508" s="63" t="n">
        <v>46289.1139583333</v>
      </c>
      <c r="C2508" s="64" t="n">
        <v>46288</v>
      </c>
      <c r="D2508" s="62" t="s">
        <v>143</v>
      </c>
      <c r="E2508" s="62" t="s">
        <v>967</v>
      </c>
      <c r="F2508" s="62" t="s">
        <v>967</v>
      </c>
      <c r="G2508" s="62" t="s">
        <v>968</v>
      </c>
      <c r="H2508" s="62" t="s">
        <v>46</v>
      </c>
      <c r="I2508" s="62" t="s">
        <v>47</v>
      </c>
      <c r="J2508" s="62" t="s">
        <v>146</v>
      </c>
      <c r="K2508" s="62" t="s">
        <v>209</v>
      </c>
      <c r="L2508" s="62" t="s">
        <v>4</v>
      </c>
      <c r="M2508" s="62" t="n">
        <v>1</v>
      </c>
      <c r="N2508" s="62" t="n">
        <v>0</v>
      </c>
      <c r="O2508" s="62" t="n">
        <v>1</v>
      </c>
      <c r="P2508" s="62" t="n">
        <v>0</v>
      </c>
      <c r="Q2508" s="62" t="n">
        <v>0</v>
      </c>
      <c r="R2508" s="62" t="n">
        <v>0</v>
      </c>
      <c r="S2508" s="62" t="n">
        <v>0</v>
      </c>
      <c r="T2508" s="62" t="n">
        <v>0</v>
      </c>
      <c r="U2508" s="62" t="s">
        <v>2056</v>
      </c>
      <c r="V2508" s="62" t="s">
        <v>2057</v>
      </c>
      <c r="W2508" s="62" t="s">
        <v>2056</v>
      </c>
      <c r="X2508" s="62" t="s">
        <v>2058</v>
      </c>
      <c r="Y2508" s="62" t="s">
        <v>2103</v>
      </c>
      <c r="Z2508" s="62" t="s">
        <v>4582</v>
      </c>
      <c r="AA2508" s="62" t="s">
        <v>485</v>
      </c>
      <c r="AB2508" s="62" t="n">
        <v>0</v>
      </c>
      <c r="AC2508" s="62" t="n">
        <v>0</v>
      </c>
      <c r="AD2508" s="62" t="n">
        <v>1</v>
      </c>
      <c r="AE2508" s="62" t="n">
        <f aca="false">IF(AND(Dashboard!$C$9="Yes",AC2508=1),0,1)</f>
        <v>1</v>
      </c>
      <c r="AF2508" s="62" t="n">
        <v>1</v>
      </c>
    </row>
    <row r="2509" customFormat="false" ht="15" hidden="false" customHeight="false" outlineLevel="0" collapsed="false">
      <c r="A2509" s="62" t="n">
        <v>2508</v>
      </c>
      <c r="B2509" s="63" t="n">
        <v>46289.1145023148</v>
      </c>
      <c r="C2509" s="64" t="n">
        <v>46288</v>
      </c>
      <c r="D2509" s="62" t="s">
        <v>143</v>
      </c>
      <c r="E2509" s="62" t="s">
        <v>967</v>
      </c>
      <c r="F2509" s="62" t="s">
        <v>967</v>
      </c>
      <c r="G2509" s="62" t="s">
        <v>968</v>
      </c>
      <c r="H2509" s="62" t="s">
        <v>46</v>
      </c>
      <c r="I2509" s="62" t="s">
        <v>47</v>
      </c>
      <c r="J2509" s="62" t="s">
        <v>146</v>
      </c>
      <c r="K2509" s="62" t="s">
        <v>209</v>
      </c>
      <c r="L2509" s="62" t="s">
        <v>4</v>
      </c>
      <c r="M2509" s="62" t="n">
        <v>1</v>
      </c>
      <c r="N2509" s="62" t="n">
        <v>0</v>
      </c>
      <c r="O2509" s="62" t="n">
        <v>1</v>
      </c>
      <c r="P2509" s="62" t="n">
        <v>0</v>
      </c>
      <c r="Q2509" s="62" t="n">
        <v>0</v>
      </c>
      <c r="R2509" s="62" t="n">
        <v>0</v>
      </c>
      <c r="S2509" s="62" t="n">
        <v>0</v>
      </c>
      <c r="T2509" s="62" t="n">
        <v>0</v>
      </c>
      <c r="U2509" s="62" t="s">
        <v>2056</v>
      </c>
      <c r="V2509" s="62" t="s">
        <v>2057</v>
      </c>
      <c r="W2509" s="62" t="s">
        <v>2056</v>
      </c>
      <c r="X2509" s="62" t="s">
        <v>2058</v>
      </c>
      <c r="Y2509" s="62" t="s">
        <v>2103</v>
      </c>
      <c r="Z2509" s="62" t="s">
        <v>4582</v>
      </c>
      <c r="AA2509" s="62" t="s">
        <v>4583</v>
      </c>
      <c r="AB2509" s="62" t="n">
        <v>1</v>
      </c>
      <c r="AC2509" s="62" t="n">
        <v>0</v>
      </c>
      <c r="AD2509" s="62" t="n">
        <v>1</v>
      </c>
      <c r="AE2509" s="62" t="n">
        <f aca="false">IF(AND(Dashboard!$C$9="Yes",AC2509=1),0,1)</f>
        <v>1</v>
      </c>
      <c r="AF2509" s="62" t="n">
        <v>0</v>
      </c>
    </row>
    <row r="2510" customFormat="false" ht="15" hidden="false" customHeight="false" outlineLevel="0" collapsed="false">
      <c r="A2510" s="62" t="n">
        <v>2509</v>
      </c>
      <c r="B2510" s="63" t="n">
        <v>46289.1446875</v>
      </c>
      <c r="C2510" s="64" t="n">
        <v>46288</v>
      </c>
      <c r="D2510" s="62" t="s">
        <v>143</v>
      </c>
      <c r="E2510" s="62" t="s">
        <v>180</v>
      </c>
      <c r="F2510" s="62" t="s">
        <v>180</v>
      </c>
      <c r="G2510" s="62" t="s">
        <v>181</v>
      </c>
      <c r="H2510" s="62" t="s">
        <v>58</v>
      </c>
      <c r="I2510" s="62" t="s">
        <v>49</v>
      </c>
      <c r="J2510" s="62" t="s">
        <v>146</v>
      </c>
      <c r="K2510" s="62" t="s">
        <v>175</v>
      </c>
      <c r="L2510" s="62" t="s">
        <v>4</v>
      </c>
      <c r="M2510" s="62" t="n">
        <v>1</v>
      </c>
      <c r="N2510" s="62" t="n">
        <v>0</v>
      </c>
      <c r="O2510" s="62" t="n">
        <v>1</v>
      </c>
      <c r="P2510" s="62" t="n">
        <v>0</v>
      </c>
      <c r="Q2510" s="62" t="n">
        <v>0</v>
      </c>
      <c r="R2510" s="62" t="n">
        <v>0</v>
      </c>
      <c r="S2510" s="62" t="n">
        <v>0</v>
      </c>
      <c r="T2510" s="62" t="n">
        <v>0</v>
      </c>
      <c r="U2510" s="62" t="s">
        <v>2056</v>
      </c>
      <c r="V2510" s="62" t="s">
        <v>2057</v>
      </c>
      <c r="W2510" s="62" t="s">
        <v>15</v>
      </c>
      <c r="X2510" s="62" t="s">
        <v>2058</v>
      </c>
      <c r="Y2510" s="62" t="s">
        <v>2059</v>
      </c>
      <c r="Z2510" s="62" t="s">
        <v>4584</v>
      </c>
      <c r="AA2510" s="62" t="s">
        <v>4585</v>
      </c>
      <c r="AB2510" s="62" t="n">
        <v>1</v>
      </c>
      <c r="AC2510" s="62" t="n">
        <v>0</v>
      </c>
      <c r="AD2510" s="62" t="n">
        <v>1</v>
      </c>
      <c r="AE2510" s="62" t="n">
        <f aca="false">IF(AND(Dashboard!$C$9="Yes",AC2510=1),0,1)</f>
        <v>1</v>
      </c>
      <c r="AF2510" s="62" t="n">
        <v>0</v>
      </c>
    </row>
    <row r="2511" customFormat="false" ht="15" hidden="false" customHeight="false" outlineLevel="0" collapsed="false">
      <c r="A2511" s="62" t="n">
        <v>2510</v>
      </c>
      <c r="B2511" s="63" t="n">
        <v>46289.1462268519</v>
      </c>
      <c r="C2511" s="64" t="n">
        <v>46288</v>
      </c>
      <c r="D2511" s="62" t="s">
        <v>143</v>
      </c>
      <c r="E2511" s="62" t="s">
        <v>2637</v>
      </c>
      <c r="F2511" s="62" t="s">
        <v>2637</v>
      </c>
      <c r="G2511" s="62" t="s">
        <v>2638</v>
      </c>
      <c r="H2511" s="62" t="s">
        <v>52</v>
      </c>
      <c r="I2511" s="62" t="s">
        <v>47</v>
      </c>
      <c r="J2511" s="62" t="s">
        <v>146</v>
      </c>
      <c r="K2511" s="62" t="s">
        <v>147</v>
      </c>
      <c r="L2511" s="62" t="s">
        <v>148</v>
      </c>
      <c r="M2511" s="62" t="n">
        <v>0</v>
      </c>
      <c r="N2511" s="62" t="n">
        <v>1</v>
      </c>
      <c r="O2511" s="62" t="n">
        <v>1</v>
      </c>
      <c r="P2511" s="62" t="n">
        <v>1</v>
      </c>
      <c r="Q2511" s="62" t="n">
        <v>0</v>
      </c>
      <c r="R2511" s="62" t="n">
        <v>0</v>
      </c>
      <c r="S2511" s="62" t="n">
        <v>0</v>
      </c>
      <c r="T2511" s="62" t="n">
        <v>0</v>
      </c>
      <c r="U2511" s="62"/>
      <c r="V2511" s="62"/>
      <c r="W2511" s="62"/>
      <c r="X2511" s="62"/>
      <c r="Y2511" s="62"/>
      <c r="Z2511" s="62" t="s">
        <v>4586</v>
      </c>
      <c r="AA2511" s="62" t="s">
        <v>4587</v>
      </c>
      <c r="AB2511" s="62" t="n">
        <v>1</v>
      </c>
      <c r="AC2511" s="62" t="n">
        <v>0</v>
      </c>
      <c r="AD2511" s="62" t="n">
        <v>1</v>
      </c>
      <c r="AE2511" s="62" t="n">
        <f aca="false">IF(AND(Dashboard!$C$9="Yes",AC2511=1),0,1)</f>
        <v>1</v>
      </c>
      <c r="AF2511" s="62" t="n">
        <v>1</v>
      </c>
    </row>
    <row r="2512" customFormat="false" ht="15" hidden="false" customHeight="false" outlineLevel="0" collapsed="false">
      <c r="A2512" s="62" t="n">
        <v>2511</v>
      </c>
      <c r="B2512" s="63" t="n">
        <v>46289.1600925926</v>
      </c>
      <c r="C2512" s="64" t="n">
        <v>46288</v>
      </c>
      <c r="D2512" s="62" t="s">
        <v>143</v>
      </c>
      <c r="E2512" s="62" t="s">
        <v>180</v>
      </c>
      <c r="F2512" s="62" t="s">
        <v>180</v>
      </c>
      <c r="G2512" s="62" t="s">
        <v>181</v>
      </c>
      <c r="H2512" s="62" t="s">
        <v>58</v>
      </c>
      <c r="I2512" s="62" t="s">
        <v>49</v>
      </c>
      <c r="J2512" s="62" t="s">
        <v>146</v>
      </c>
      <c r="K2512" s="62" t="s">
        <v>175</v>
      </c>
      <c r="L2512" s="62" t="s">
        <v>148</v>
      </c>
      <c r="M2512" s="62" t="n">
        <v>0</v>
      </c>
      <c r="N2512" s="62" t="n">
        <v>2</v>
      </c>
      <c r="O2512" s="62" t="n">
        <v>2</v>
      </c>
      <c r="P2512" s="62" t="n">
        <v>1</v>
      </c>
      <c r="Q2512" s="62" t="n">
        <v>0</v>
      </c>
      <c r="R2512" s="62" t="n">
        <v>1</v>
      </c>
      <c r="S2512" s="62" t="n">
        <v>0</v>
      </c>
      <c r="T2512" s="62" t="n">
        <v>0</v>
      </c>
      <c r="U2512" s="62"/>
      <c r="V2512" s="62"/>
      <c r="W2512" s="62"/>
      <c r="X2512" s="62"/>
      <c r="Y2512" s="62"/>
      <c r="Z2512" s="62" t="s">
        <v>4588</v>
      </c>
      <c r="AA2512" s="62" t="s">
        <v>4588</v>
      </c>
      <c r="AB2512" s="62" t="n">
        <v>1</v>
      </c>
      <c r="AC2512" s="62" t="n">
        <v>0</v>
      </c>
      <c r="AD2512" s="62" t="n">
        <v>1</v>
      </c>
      <c r="AE2512" s="62" t="n">
        <f aca="false">IF(AND(Dashboard!$C$9="Yes",AC2512=1),0,1)</f>
        <v>1</v>
      </c>
      <c r="AF2512" s="62" t="n">
        <v>0</v>
      </c>
    </row>
    <row r="2513" customFormat="false" ht="15" hidden="false" customHeight="false" outlineLevel="0" collapsed="false">
      <c r="A2513" s="62" t="n">
        <v>2512</v>
      </c>
      <c r="B2513" s="63" t="n">
        <v>46289.1616666667</v>
      </c>
      <c r="C2513" s="64" t="n">
        <v>46288</v>
      </c>
      <c r="D2513" s="62" t="s">
        <v>143</v>
      </c>
      <c r="E2513" s="62" t="s">
        <v>3022</v>
      </c>
      <c r="F2513" s="62" t="s">
        <v>3022</v>
      </c>
      <c r="G2513" s="62" t="s">
        <v>3023</v>
      </c>
      <c r="H2513" s="62" t="s">
        <v>46</v>
      </c>
      <c r="I2513" s="62" t="s">
        <v>47</v>
      </c>
      <c r="J2513" s="62" t="s">
        <v>146</v>
      </c>
      <c r="K2513" s="62" t="s">
        <v>209</v>
      </c>
      <c r="L2513" s="62" t="s">
        <v>4</v>
      </c>
      <c r="M2513" s="62" t="n">
        <v>1</v>
      </c>
      <c r="N2513" s="62" t="n">
        <v>0</v>
      </c>
      <c r="O2513" s="62" t="n">
        <v>1</v>
      </c>
      <c r="P2513" s="62" t="n">
        <v>0</v>
      </c>
      <c r="Q2513" s="62" t="n">
        <v>0</v>
      </c>
      <c r="R2513" s="62" t="n">
        <v>0</v>
      </c>
      <c r="S2513" s="62" t="n">
        <v>0</v>
      </c>
      <c r="T2513" s="62" t="n">
        <v>0</v>
      </c>
      <c r="U2513" s="62" t="s">
        <v>2056</v>
      </c>
      <c r="V2513" s="62" t="s">
        <v>2057</v>
      </c>
      <c r="W2513" s="62" t="s">
        <v>15</v>
      </c>
      <c r="X2513" s="62" t="s">
        <v>2058</v>
      </c>
      <c r="Y2513" s="62" t="s">
        <v>2059</v>
      </c>
      <c r="Z2513" s="62" t="s">
        <v>4589</v>
      </c>
      <c r="AA2513" s="62" t="s">
        <v>4590</v>
      </c>
      <c r="AB2513" s="62" t="n">
        <v>1</v>
      </c>
      <c r="AC2513" s="62" t="n">
        <v>0</v>
      </c>
      <c r="AD2513" s="62" t="n">
        <v>1</v>
      </c>
      <c r="AE2513" s="62" t="n">
        <f aca="false">IF(AND(Dashboard!$C$9="Yes",AC2513=1),0,1)</f>
        <v>1</v>
      </c>
      <c r="AF2513" s="62" t="n">
        <v>0</v>
      </c>
    </row>
    <row r="2514" customFormat="false" ht="15" hidden="false" customHeight="false" outlineLevel="0" collapsed="false">
      <c r="A2514" s="62" t="n">
        <v>2513</v>
      </c>
      <c r="B2514" s="63" t="n">
        <v>46289.1655555556</v>
      </c>
      <c r="C2514" s="64" t="n">
        <v>46288</v>
      </c>
      <c r="D2514" s="62" t="s">
        <v>143</v>
      </c>
      <c r="E2514" s="62" t="s">
        <v>3766</v>
      </c>
      <c r="F2514" s="62" t="s">
        <v>3766</v>
      </c>
      <c r="G2514" s="62" t="s">
        <v>3767</v>
      </c>
      <c r="H2514" s="62" t="s">
        <v>57</v>
      </c>
      <c r="I2514" s="62" t="s">
        <v>47</v>
      </c>
      <c r="J2514" s="62" t="s">
        <v>146</v>
      </c>
      <c r="K2514" s="62" t="s">
        <v>147</v>
      </c>
      <c r="L2514" s="62" t="s">
        <v>4</v>
      </c>
      <c r="M2514" s="62" t="n">
        <v>1</v>
      </c>
      <c r="N2514" s="62" t="n">
        <v>0</v>
      </c>
      <c r="O2514" s="62" t="n">
        <v>1</v>
      </c>
      <c r="P2514" s="62" t="n">
        <v>0</v>
      </c>
      <c r="Q2514" s="62" t="n">
        <v>0</v>
      </c>
      <c r="R2514" s="62" t="n">
        <v>0</v>
      </c>
      <c r="S2514" s="62" t="n">
        <v>0</v>
      </c>
      <c r="T2514" s="62" t="n">
        <v>0</v>
      </c>
      <c r="U2514" s="62" t="s">
        <v>2056</v>
      </c>
      <c r="V2514" s="62" t="s">
        <v>2057</v>
      </c>
      <c r="W2514" s="62" t="s">
        <v>15</v>
      </c>
      <c r="X2514" s="62" t="s">
        <v>2103</v>
      </c>
      <c r="Y2514" s="62" t="s">
        <v>2181</v>
      </c>
      <c r="Z2514" s="62" t="s">
        <v>4480</v>
      </c>
      <c r="AA2514" s="62" t="s">
        <v>4591</v>
      </c>
      <c r="AB2514" s="62" t="n">
        <v>1</v>
      </c>
      <c r="AC2514" s="62" t="n">
        <v>0</v>
      </c>
      <c r="AD2514" s="62" t="n">
        <v>1</v>
      </c>
      <c r="AE2514" s="62" t="n">
        <f aca="false">IF(AND(Dashboard!$C$9="Yes",AC2514=1),0,1)</f>
        <v>1</v>
      </c>
      <c r="AF2514" s="62" t="n">
        <v>1</v>
      </c>
    </row>
    <row r="2515" customFormat="false" ht="15" hidden="false" customHeight="false" outlineLevel="0" collapsed="false">
      <c r="A2515" s="62" t="n">
        <v>2514</v>
      </c>
      <c r="B2515" s="63" t="n">
        <v>46289.2352546296</v>
      </c>
      <c r="C2515" s="64" t="n">
        <v>46288</v>
      </c>
      <c r="D2515" s="62" t="s">
        <v>143</v>
      </c>
      <c r="E2515" s="62" t="s">
        <v>2637</v>
      </c>
      <c r="F2515" s="62" t="s">
        <v>2637</v>
      </c>
      <c r="G2515" s="62" t="s">
        <v>2638</v>
      </c>
      <c r="H2515" s="62" t="s">
        <v>52</v>
      </c>
      <c r="I2515" s="62" t="s">
        <v>47</v>
      </c>
      <c r="J2515" s="62" t="s">
        <v>146</v>
      </c>
      <c r="K2515" s="62" t="s">
        <v>147</v>
      </c>
      <c r="L2515" s="62" t="s">
        <v>4</v>
      </c>
      <c r="M2515" s="62" t="n">
        <v>1</v>
      </c>
      <c r="N2515" s="62" t="n">
        <v>0</v>
      </c>
      <c r="O2515" s="62" t="n">
        <v>1</v>
      </c>
      <c r="P2515" s="62" t="n">
        <v>0</v>
      </c>
      <c r="Q2515" s="62" t="n">
        <v>0</v>
      </c>
      <c r="R2515" s="62" t="n">
        <v>0</v>
      </c>
      <c r="S2515" s="62" t="n">
        <v>0</v>
      </c>
      <c r="T2515" s="62" t="n">
        <v>0</v>
      </c>
      <c r="U2515" s="62" t="s">
        <v>2056</v>
      </c>
      <c r="V2515" s="62" t="s">
        <v>2057</v>
      </c>
      <c r="W2515" s="62" t="s">
        <v>2056</v>
      </c>
      <c r="X2515" s="62" t="s">
        <v>2164</v>
      </c>
      <c r="Y2515" s="62" t="s">
        <v>2165</v>
      </c>
      <c r="Z2515" s="62" t="s">
        <v>4592</v>
      </c>
      <c r="AA2515" s="62" t="s">
        <v>4593</v>
      </c>
      <c r="AB2515" s="62" t="n">
        <v>1</v>
      </c>
      <c r="AC2515" s="62" t="n">
        <v>0</v>
      </c>
      <c r="AD2515" s="62" t="n">
        <v>1</v>
      </c>
      <c r="AE2515" s="62" t="n">
        <f aca="false">IF(AND(Dashboard!$C$9="Yes",AC2515=1),0,1)</f>
        <v>1</v>
      </c>
      <c r="AF2515" s="62" t="n">
        <v>0</v>
      </c>
    </row>
    <row r="2516" customFormat="false" ht="15" hidden="false" customHeight="false" outlineLevel="0" collapsed="false">
      <c r="A2516" s="62" t="n">
        <v>2515</v>
      </c>
      <c r="B2516" s="63" t="n">
        <v>46289.6233680556</v>
      </c>
      <c r="C2516" s="64" t="n">
        <v>46289</v>
      </c>
      <c r="D2516" s="62" t="s">
        <v>202</v>
      </c>
      <c r="E2516" s="62" t="s">
        <v>4242</v>
      </c>
      <c r="F2516" s="62" t="s">
        <v>4242</v>
      </c>
      <c r="G2516" s="62" t="s">
        <v>4243</v>
      </c>
      <c r="H2516" s="62" t="s">
        <v>44</v>
      </c>
      <c r="I2516" s="62" t="s">
        <v>49</v>
      </c>
      <c r="J2516" s="62" t="s">
        <v>146</v>
      </c>
      <c r="K2516" s="62" t="s">
        <v>147</v>
      </c>
      <c r="L2516" s="62" t="s">
        <v>148</v>
      </c>
      <c r="M2516" s="62" t="n">
        <v>0</v>
      </c>
      <c r="N2516" s="62" t="n">
        <v>1</v>
      </c>
      <c r="O2516" s="62" t="n">
        <v>1</v>
      </c>
      <c r="P2516" s="62" t="n">
        <v>1</v>
      </c>
      <c r="Q2516" s="62" t="n">
        <v>0</v>
      </c>
      <c r="R2516" s="62" t="n">
        <v>0</v>
      </c>
      <c r="S2516" s="62" t="n">
        <v>0</v>
      </c>
      <c r="T2516" s="62" t="n">
        <v>0</v>
      </c>
      <c r="U2516" s="62"/>
      <c r="V2516" s="62"/>
      <c r="W2516" s="62"/>
      <c r="X2516" s="62"/>
      <c r="Y2516" s="62"/>
      <c r="Z2516" s="62" t="s">
        <v>4594</v>
      </c>
      <c r="AA2516" s="62" t="s">
        <v>4595</v>
      </c>
      <c r="AB2516" s="62" t="n">
        <v>1</v>
      </c>
      <c r="AC2516" s="62" t="n">
        <v>0</v>
      </c>
      <c r="AD2516" s="62" t="n">
        <v>1</v>
      </c>
      <c r="AE2516" s="62" t="n">
        <f aca="false">IF(AND(Dashboard!$C$9="Yes",AC2516=1),0,1)</f>
        <v>1</v>
      </c>
      <c r="AF2516" s="62" t="n">
        <v>1</v>
      </c>
    </row>
    <row r="2517" customFormat="false" ht="15" hidden="false" customHeight="false" outlineLevel="0" collapsed="false">
      <c r="A2517" s="62" t="n">
        <v>2516</v>
      </c>
      <c r="B2517" s="63" t="n">
        <v>46289.6668865741</v>
      </c>
      <c r="C2517" s="64" t="n">
        <v>46289</v>
      </c>
      <c r="D2517" s="62" t="s">
        <v>202</v>
      </c>
      <c r="E2517" s="62" t="s">
        <v>4524</v>
      </c>
      <c r="F2517" s="62" t="s">
        <v>4524</v>
      </c>
      <c r="G2517" s="62" t="s">
        <v>4525</v>
      </c>
      <c r="H2517" s="62" t="s">
        <v>44</v>
      </c>
      <c r="I2517" s="62" t="s">
        <v>49</v>
      </c>
      <c r="J2517" s="62" t="s">
        <v>146</v>
      </c>
      <c r="K2517" s="62" t="s">
        <v>147</v>
      </c>
      <c r="L2517" s="62" t="s">
        <v>148</v>
      </c>
      <c r="M2517" s="62" t="n">
        <v>0</v>
      </c>
      <c r="N2517" s="62" t="n">
        <v>1</v>
      </c>
      <c r="O2517" s="62" t="n">
        <v>1</v>
      </c>
      <c r="P2517" s="62" t="n">
        <v>0</v>
      </c>
      <c r="Q2517" s="62" t="n">
        <v>1</v>
      </c>
      <c r="R2517" s="62" t="n">
        <v>0</v>
      </c>
      <c r="S2517" s="62" t="n">
        <v>0</v>
      </c>
      <c r="T2517" s="62" t="n">
        <v>0</v>
      </c>
      <c r="U2517" s="62"/>
      <c r="V2517" s="62"/>
      <c r="W2517" s="62"/>
      <c r="X2517" s="62"/>
      <c r="Y2517" s="62"/>
      <c r="Z2517" s="62" t="s">
        <v>4596</v>
      </c>
      <c r="AA2517" s="62" t="s">
        <v>4597</v>
      </c>
      <c r="AB2517" s="62" t="n">
        <v>1</v>
      </c>
      <c r="AC2517" s="62" t="n">
        <v>0</v>
      </c>
      <c r="AD2517" s="62" t="n">
        <v>1</v>
      </c>
      <c r="AE2517" s="62" t="n">
        <f aca="false">IF(AND(Dashboard!$C$9="Yes",AC2517=1),0,1)</f>
        <v>1</v>
      </c>
      <c r="AF2517" s="62" t="n">
        <v>1</v>
      </c>
    </row>
    <row r="2518" customFormat="false" ht="15" hidden="false" customHeight="false" outlineLevel="0" collapsed="false">
      <c r="A2518" s="62" t="n">
        <v>2517</v>
      </c>
      <c r="B2518" s="63" t="n">
        <v>46289.6684259259</v>
      </c>
      <c r="C2518" s="64" t="n">
        <v>46289</v>
      </c>
      <c r="D2518" s="62" t="s">
        <v>202</v>
      </c>
      <c r="E2518" s="62" t="s">
        <v>2530</v>
      </c>
      <c r="F2518" s="62" t="s">
        <v>2530</v>
      </c>
      <c r="G2518" s="62" t="s">
        <v>2531</v>
      </c>
      <c r="H2518" s="62" t="s">
        <v>48</v>
      </c>
      <c r="I2518" s="62" t="s">
        <v>49</v>
      </c>
      <c r="J2518" s="62" t="s">
        <v>146</v>
      </c>
      <c r="K2518" s="62" t="s">
        <v>209</v>
      </c>
      <c r="L2518" s="62" t="s">
        <v>4</v>
      </c>
      <c r="M2518" s="62" t="n">
        <v>1</v>
      </c>
      <c r="N2518" s="62" t="n">
        <v>0</v>
      </c>
      <c r="O2518" s="62" t="n">
        <v>1</v>
      </c>
      <c r="P2518" s="62" t="n">
        <v>0</v>
      </c>
      <c r="Q2518" s="62" t="n">
        <v>0</v>
      </c>
      <c r="R2518" s="62" t="n">
        <v>0</v>
      </c>
      <c r="S2518" s="62" t="n">
        <v>0</v>
      </c>
      <c r="T2518" s="62" t="n">
        <v>0</v>
      </c>
      <c r="U2518" s="62" t="s">
        <v>2056</v>
      </c>
      <c r="V2518" s="62" t="s">
        <v>2057</v>
      </c>
      <c r="W2518" s="62" t="s">
        <v>15</v>
      </c>
      <c r="X2518" s="62" t="s">
        <v>2058</v>
      </c>
      <c r="Y2518" s="62" t="s">
        <v>2059</v>
      </c>
      <c r="Z2518" s="62" t="s">
        <v>4598</v>
      </c>
      <c r="AA2518" s="62" t="s">
        <v>4599</v>
      </c>
      <c r="AB2518" s="62" t="n">
        <v>0</v>
      </c>
      <c r="AC2518" s="62" t="n">
        <v>0</v>
      </c>
      <c r="AD2518" s="62" t="n">
        <v>1</v>
      </c>
      <c r="AE2518" s="62" t="n">
        <f aca="false">IF(AND(Dashboard!$C$9="Yes",AC2518=1),0,1)</f>
        <v>1</v>
      </c>
      <c r="AF2518" s="62" t="n">
        <v>1</v>
      </c>
    </row>
    <row r="2519" customFormat="false" ht="15" hidden="false" customHeight="false" outlineLevel="0" collapsed="false">
      <c r="A2519" s="62" t="n">
        <v>2518</v>
      </c>
      <c r="B2519" s="63" t="n">
        <v>46289.6832638889</v>
      </c>
      <c r="C2519" s="64" t="n">
        <v>46289</v>
      </c>
      <c r="D2519" s="62" t="s">
        <v>202</v>
      </c>
      <c r="E2519" s="62" t="s">
        <v>3197</v>
      </c>
      <c r="F2519" s="62" t="s">
        <v>3197</v>
      </c>
      <c r="G2519" s="62" t="s">
        <v>3198</v>
      </c>
      <c r="H2519" s="62" t="s">
        <v>44</v>
      </c>
      <c r="I2519" s="62" t="s">
        <v>49</v>
      </c>
      <c r="J2519" s="62" t="s">
        <v>146</v>
      </c>
      <c r="K2519" s="62" t="s">
        <v>147</v>
      </c>
      <c r="L2519" s="62" t="s">
        <v>148</v>
      </c>
      <c r="M2519" s="62" t="n">
        <v>0</v>
      </c>
      <c r="N2519" s="62" t="n">
        <v>1</v>
      </c>
      <c r="O2519" s="62" t="n">
        <v>1</v>
      </c>
      <c r="P2519" s="62" t="n">
        <v>1</v>
      </c>
      <c r="Q2519" s="62" t="n">
        <v>0</v>
      </c>
      <c r="R2519" s="62" t="n">
        <v>0</v>
      </c>
      <c r="S2519" s="62" t="n">
        <v>0</v>
      </c>
      <c r="T2519" s="62" t="n">
        <v>0</v>
      </c>
      <c r="U2519" s="62"/>
      <c r="V2519" s="62"/>
      <c r="W2519" s="62"/>
      <c r="X2519" s="62"/>
      <c r="Y2519" s="62"/>
      <c r="Z2519" s="62" t="s">
        <v>4600</v>
      </c>
      <c r="AA2519" s="62" t="s">
        <v>4601</v>
      </c>
      <c r="AB2519" s="62" t="n">
        <v>1</v>
      </c>
      <c r="AC2519" s="62" t="n">
        <v>0</v>
      </c>
      <c r="AD2519" s="62" t="n">
        <v>1</v>
      </c>
      <c r="AE2519" s="62" t="n">
        <f aca="false">IF(AND(Dashboard!$C$9="Yes",AC2519=1),0,1)</f>
        <v>1</v>
      </c>
      <c r="AF2519" s="62" t="n">
        <v>1</v>
      </c>
    </row>
    <row r="2520" customFormat="false" ht="15" hidden="false" customHeight="false" outlineLevel="0" collapsed="false">
      <c r="A2520" s="62" t="n">
        <v>2519</v>
      </c>
      <c r="B2520" s="63" t="n">
        <v>46289.6904050926</v>
      </c>
      <c r="C2520" s="64" t="n">
        <v>46289</v>
      </c>
      <c r="D2520" s="62" t="s">
        <v>202</v>
      </c>
      <c r="E2520" s="62" t="s">
        <v>3018</v>
      </c>
      <c r="F2520" s="62" t="s">
        <v>3018</v>
      </c>
      <c r="G2520" s="62" t="s">
        <v>3019</v>
      </c>
      <c r="H2520" s="62" t="s">
        <v>58</v>
      </c>
      <c r="I2520" s="62" t="s">
        <v>49</v>
      </c>
      <c r="J2520" s="62" t="s">
        <v>146</v>
      </c>
      <c r="K2520" s="62" t="s">
        <v>175</v>
      </c>
      <c r="L2520" s="62" t="s">
        <v>148</v>
      </c>
      <c r="M2520" s="62" t="n">
        <v>0</v>
      </c>
      <c r="N2520" s="62" t="n">
        <v>1</v>
      </c>
      <c r="O2520" s="62" t="n">
        <v>1</v>
      </c>
      <c r="P2520" s="62" t="n">
        <v>0</v>
      </c>
      <c r="Q2520" s="62" t="n">
        <v>0</v>
      </c>
      <c r="R2520" s="62" t="n">
        <v>1</v>
      </c>
      <c r="S2520" s="62" t="n">
        <v>0</v>
      </c>
      <c r="T2520" s="62" t="n">
        <v>0</v>
      </c>
      <c r="U2520" s="62"/>
      <c r="V2520" s="62"/>
      <c r="W2520" s="62"/>
      <c r="X2520" s="62"/>
      <c r="Y2520" s="62"/>
      <c r="Z2520" s="62" t="s">
        <v>4602</v>
      </c>
      <c r="AA2520" s="62" t="s">
        <v>4603</v>
      </c>
      <c r="AB2520" s="62" t="n">
        <v>1</v>
      </c>
      <c r="AC2520" s="62" t="n">
        <v>0</v>
      </c>
      <c r="AD2520" s="62" t="n">
        <v>1</v>
      </c>
      <c r="AE2520" s="62" t="n">
        <f aca="false">IF(AND(Dashboard!$C$9="Yes",AC2520=1),0,1)</f>
        <v>1</v>
      </c>
      <c r="AF2520" s="62" t="n">
        <v>1</v>
      </c>
    </row>
    <row r="2521" customFormat="false" ht="15" hidden="false" customHeight="false" outlineLevel="0" collapsed="false">
      <c r="A2521" s="62" t="n">
        <v>2520</v>
      </c>
      <c r="B2521" s="63" t="n">
        <v>46289.7106018519</v>
      </c>
      <c r="C2521" s="64" t="n">
        <v>46289</v>
      </c>
      <c r="D2521" s="62" t="s">
        <v>202</v>
      </c>
      <c r="E2521" s="62" t="s">
        <v>4530</v>
      </c>
      <c r="F2521" s="62" t="s">
        <v>4530</v>
      </c>
      <c r="G2521" s="62" t="s">
        <v>4531</v>
      </c>
      <c r="H2521" s="62" t="s">
        <v>44</v>
      </c>
      <c r="I2521" s="62" t="s">
        <v>49</v>
      </c>
      <c r="J2521" s="62" t="s">
        <v>146</v>
      </c>
      <c r="K2521" s="62" t="s">
        <v>147</v>
      </c>
      <c r="L2521" s="62" t="s">
        <v>148</v>
      </c>
      <c r="M2521" s="62" t="n">
        <v>0</v>
      </c>
      <c r="N2521" s="62" t="n">
        <v>1</v>
      </c>
      <c r="O2521" s="62" t="n">
        <v>1</v>
      </c>
      <c r="P2521" s="62" t="n">
        <v>0</v>
      </c>
      <c r="Q2521" s="62" t="n">
        <v>0</v>
      </c>
      <c r="R2521" s="62" t="n">
        <v>1</v>
      </c>
      <c r="S2521" s="62" t="n">
        <v>0</v>
      </c>
      <c r="T2521" s="62" t="n">
        <v>0</v>
      </c>
      <c r="U2521" s="62"/>
      <c r="V2521" s="62"/>
      <c r="W2521" s="62"/>
      <c r="X2521" s="62"/>
      <c r="Y2521" s="62"/>
      <c r="Z2521" s="62" t="s">
        <v>4604</v>
      </c>
      <c r="AA2521" s="62" t="s">
        <v>4605</v>
      </c>
      <c r="AB2521" s="62" t="n">
        <v>1</v>
      </c>
      <c r="AC2521" s="62" t="n">
        <v>0</v>
      </c>
      <c r="AD2521" s="62" t="n">
        <v>1</v>
      </c>
      <c r="AE2521" s="62" t="n">
        <f aca="false">IF(AND(Dashboard!$C$9="Yes",AC2521=1),0,1)</f>
        <v>1</v>
      </c>
      <c r="AF2521" s="62" t="n">
        <v>1</v>
      </c>
    </row>
    <row r="2522" customFormat="false" ht="15" hidden="false" customHeight="false" outlineLevel="0" collapsed="false">
      <c r="A2522" s="62" t="n">
        <v>2521</v>
      </c>
      <c r="B2522" s="63" t="n">
        <v>46289.7108796296</v>
      </c>
      <c r="C2522" s="64" t="n">
        <v>46289</v>
      </c>
      <c r="D2522" s="62" t="s">
        <v>202</v>
      </c>
      <c r="E2522" s="62" t="s">
        <v>2540</v>
      </c>
      <c r="F2522" s="62" t="s">
        <v>2540</v>
      </c>
      <c r="G2522" s="62" t="s">
        <v>2541</v>
      </c>
      <c r="H2522" s="62" t="s">
        <v>48</v>
      </c>
      <c r="I2522" s="62" t="s">
        <v>49</v>
      </c>
      <c r="J2522" s="62" t="s">
        <v>146</v>
      </c>
      <c r="K2522" s="62" t="s">
        <v>209</v>
      </c>
      <c r="L2522" s="62" t="s">
        <v>148</v>
      </c>
      <c r="M2522" s="62" t="n">
        <v>0</v>
      </c>
      <c r="N2522" s="62" t="n">
        <v>1</v>
      </c>
      <c r="O2522" s="62" t="n">
        <v>1</v>
      </c>
      <c r="P2522" s="62" t="n">
        <v>1</v>
      </c>
      <c r="Q2522" s="62" t="n">
        <v>0</v>
      </c>
      <c r="R2522" s="62" t="n">
        <v>0</v>
      </c>
      <c r="S2522" s="62" t="n">
        <v>0</v>
      </c>
      <c r="T2522" s="62" t="n">
        <v>0</v>
      </c>
      <c r="U2522" s="62"/>
      <c r="V2522" s="62"/>
      <c r="W2522" s="62"/>
      <c r="X2522" s="62"/>
      <c r="Y2522" s="62"/>
      <c r="Z2522" s="62" t="s">
        <v>4606</v>
      </c>
      <c r="AA2522" s="62" t="s">
        <v>237</v>
      </c>
      <c r="AB2522" s="62" t="n">
        <v>0</v>
      </c>
      <c r="AC2522" s="62" t="n">
        <v>0</v>
      </c>
      <c r="AD2522" s="62" t="n">
        <v>1</v>
      </c>
      <c r="AE2522" s="62" t="n">
        <f aca="false">IF(AND(Dashboard!$C$9="Yes",AC2522=1),0,1)</f>
        <v>1</v>
      </c>
      <c r="AF2522" s="62" t="n">
        <v>1</v>
      </c>
    </row>
    <row r="2523" customFormat="false" ht="15" hidden="false" customHeight="false" outlineLevel="0" collapsed="false">
      <c r="A2523" s="62" t="n">
        <v>2522</v>
      </c>
      <c r="B2523" s="63" t="n">
        <v>46289.7126157407</v>
      </c>
      <c r="C2523" s="64" t="n">
        <v>46289</v>
      </c>
      <c r="D2523" s="62" t="s">
        <v>202</v>
      </c>
      <c r="E2523" s="62" t="s">
        <v>2119</v>
      </c>
      <c r="F2523" s="62" t="s">
        <v>2119</v>
      </c>
      <c r="G2523" s="62" t="s">
        <v>2120</v>
      </c>
      <c r="H2523" s="62" t="s">
        <v>52</v>
      </c>
      <c r="I2523" s="62" t="s">
        <v>47</v>
      </c>
      <c r="J2523" s="62" t="s">
        <v>146</v>
      </c>
      <c r="K2523" s="62" t="s">
        <v>147</v>
      </c>
      <c r="L2523" s="62" t="s">
        <v>148</v>
      </c>
      <c r="M2523" s="62" t="n">
        <v>0</v>
      </c>
      <c r="N2523" s="62" t="n">
        <v>1</v>
      </c>
      <c r="O2523" s="62" t="n">
        <v>1</v>
      </c>
      <c r="P2523" s="62" t="n">
        <v>1</v>
      </c>
      <c r="Q2523" s="62" t="n">
        <v>0</v>
      </c>
      <c r="R2523" s="62" t="n">
        <v>0</v>
      </c>
      <c r="S2523" s="62" t="n">
        <v>0</v>
      </c>
      <c r="T2523" s="62" t="n">
        <v>0</v>
      </c>
      <c r="U2523" s="62"/>
      <c r="V2523" s="62"/>
      <c r="W2523" s="62"/>
      <c r="X2523" s="62"/>
      <c r="Y2523" s="62"/>
      <c r="Z2523" s="62" t="s">
        <v>4607</v>
      </c>
      <c r="AA2523" s="62" t="s">
        <v>3015</v>
      </c>
      <c r="AB2523" s="62" t="n">
        <v>1</v>
      </c>
      <c r="AC2523" s="62" t="n">
        <v>0</v>
      </c>
      <c r="AD2523" s="62" t="n">
        <v>1</v>
      </c>
      <c r="AE2523" s="62" t="n">
        <f aca="false">IF(AND(Dashboard!$C$9="Yes",AC2523=1),0,1)</f>
        <v>1</v>
      </c>
      <c r="AF2523" s="62" t="n">
        <v>1</v>
      </c>
    </row>
    <row r="2524" customFormat="false" ht="15" hidden="false" customHeight="false" outlineLevel="0" collapsed="false">
      <c r="A2524" s="62" t="n">
        <v>2523</v>
      </c>
      <c r="B2524" s="63" t="n">
        <v>46289.7129976852</v>
      </c>
      <c r="C2524" s="64" t="n">
        <v>46289</v>
      </c>
      <c r="D2524" s="62" t="s">
        <v>202</v>
      </c>
      <c r="E2524" s="62" t="s">
        <v>2530</v>
      </c>
      <c r="F2524" s="62" t="s">
        <v>2530</v>
      </c>
      <c r="G2524" s="62" t="s">
        <v>2531</v>
      </c>
      <c r="H2524" s="62" t="s">
        <v>48</v>
      </c>
      <c r="I2524" s="62" t="s">
        <v>49</v>
      </c>
      <c r="J2524" s="62" t="s">
        <v>146</v>
      </c>
      <c r="K2524" s="62" t="s">
        <v>209</v>
      </c>
      <c r="L2524" s="62" t="s">
        <v>4</v>
      </c>
      <c r="M2524" s="62" t="n">
        <v>1</v>
      </c>
      <c r="N2524" s="62" t="n">
        <v>0</v>
      </c>
      <c r="O2524" s="62" t="n">
        <v>1</v>
      </c>
      <c r="P2524" s="62" t="n">
        <v>0</v>
      </c>
      <c r="Q2524" s="62" t="n">
        <v>0</v>
      </c>
      <c r="R2524" s="62" t="n">
        <v>0</v>
      </c>
      <c r="S2524" s="62" t="n">
        <v>0</v>
      </c>
      <c r="T2524" s="62" t="n">
        <v>0</v>
      </c>
      <c r="U2524" s="62" t="s">
        <v>2056</v>
      </c>
      <c r="V2524" s="62" t="s">
        <v>2057</v>
      </c>
      <c r="W2524" s="62" t="s">
        <v>15</v>
      </c>
      <c r="X2524" s="62" t="s">
        <v>2058</v>
      </c>
      <c r="Y2524" s="62" t="s">
        <v>2181</v>
      </c>
      <c r="Z2524" s="62" t="s">
        <v>4608</v>
      </c>
      <c r="AA2524" s="62" t="s">
        <v>4609</v>
      </c>
      <c r="AB2524" s="62" t="n">
        <v>1</v>
      </c>
      <c r="AC2524" s="62" t="n">
        <v>0</v>
      </c>
      <c r="AD2524" s="62" t="n">
        <v>1</v>
      </c>
      <c r="AE2524" s="62" t="n">
        <f aca="false">IF(AND(Dashboard!$C$9="Yes",AC2524=1),0,1)</f>
        <v>1</v>
      </c>
      <c r="AF2524" s="62" t="n">
        <v>0</v>
      </c>
    </row>
    <row r="2525" customFormat="false" ht="15" hidden="false" customHeight="false" outlineLevel="0" collapsed="false">
      <c r="A2525" s="62" t="n">
        <v>2524</v>
      </c>
      <c r="B2525" s="63" t="n">
        <v>46289.7196296296</v>
      </c>
      <c r="C2525" s="64" t="n">
        <v>46289</v>
      </c>
      <c r="D2525" s="62" t="s">
        <v>202</v>
      </c>
      <c r="E2525" s="62" t="s">
        <v>2119</v>
      </c>
      <c r="F2525" s="62" t="s">
        <v>2119</v>
      </c>
      <c r="G2525" s="62" t="s">
        <v>2120</v>
      </c>
      <c r="H2525" s="62" t="s">
        <v>52</v>
      </c>
      <c r="I2525" s="62" t="s">
        <v>47</v>
      </c>
      <c r="J2525" s="62" t="s">
        <v>146</v>
      </c>
      <c r="K2525" s="62" t="s">
        <v>147</v>
      </c>
      <c r="L2525" s="62" t="s">
        <v>148</v>
      </c>
      <c r="M2525" s="62" t="n">
        <v>0</v>
      </c>
      <c r="N2525" s="62" t="n">
        <v>1</v>
      </c>
      <c r="O2525" s="62" t="n">
        <v>1</v>
      </c>
      <c r="P2525" s="62" t="n">
        <v>0</v>
      </c>
      <c r="Q2525" s="62" t="n">
        <v>1</v>
      </c>
      <c r="R2525" s="62" t="n">
        <v>0</v>
      </c>
      <c r="S2525" s="62" t="n">
        <v>0</v>
      </c>
      <c r="T2525" s="62" t="n">
        <v>0</v>
      </c>
      <c r="U2525" s="62"/>
      <c r="V2525" s="62"/>
      <c r="W2525" s="62"/>
      <c r="X2525" s="62"/>
      <c r="Y2525" s="62"/>
      <c r="Z2525" s="62" t="s">
        <v>4607</v>
      </c>
      <c r="AA2525" s="62" t="s">
        <v>3015</v>
      </c>
      <c r="AB2525" s="62" t="n">
        <v>1</v>
      </c>
      <c r="AC2525" s="62" t="n">
        <v>1</v>
      </c>
      <c r="AD2525" s="62" t="n">
        <v>1</v>
      </c>
      <c r="AE2525" s="62" t="n">
        <f aca="false">IF(AND(Dashboard!$C$9="Yes",AC2525=1),0,1)</f>
        <v>0</v>
      </c>
      <c r="AF2525" s="62" t="n">
        <v>0</v>
      </c>
    </row>
    <row r="2526" customFormat="false" ht="15" hidden="false" customHeight="false" outlineLevel="0" collapsed="false">
      <c r="A2526" s="62" t="n">
        <v>2525</v>
      </c>
      <c r="B2526" s="63" t="n">
        <v>46289.7283564815</v>
      </c>
      <c r="C2526" s="64" t="n">
        <v>46289</v>
      </c>
      <c r="D2526" s="62" t="s">
        <v>202</v>
      </c>
      <c r="E2526" s="62" t="s">
        <v>3018</v>
      </c>
      <c r="F2526" s="62" t="s">
        <v>3018</v>
      </c>
      <c r="G2526" s="62" t="s">
        <v>3019</v>
      </c>
      <c r="H2526" s="62" t="s">
        <v>58</v>
      </c>
      <c r="I2526" s="62" t="s">
        <v>49</v>
      </c>
      <c r="J2526" s="62" t="s">
        <v>146</v>
      </c>
      <c r="K2526" s="62" t="s">
        <v>175</v>
      </c>
      <c r="L2526" s="62" t="s">
        <v>4</v>
      </c>
      <c r="M2526" s="62" t="n">
        <v>1</v>
      </c>
      <c r="N2526" s="62" t="n">
        <v>0</v>
      </c>
      <c r="O2526" s="62" t="n">
        <v>1</v>
      </c>
      <c r="P2526" s="62" t="n">
        <v>0</v>
      </c>
      <c r="Q2526" s="62" t="n">
        <v>0</v>
      </c>
      <c r="R2526" s="62" t="n">
        <v>0</v>
      </c>
      <c r="S2526" s="62" t="n">
        <v>0</v>
      </c>
      <c r="T2526" s="62" t="n">
        <v>0</v>
      </c>
      <c r="U2526" s="62" t="s">
        <v>2056</v>
      </c>
      <c r="V2526" s="62" t="s">
        <v>2068</v>
      </c>
      <c r="W2526" s="62"/>
      <c r="X2526" s="62" t="s">
        <v>2125</v>
      </c>
      <c r="Y2526" s="62" t="s">
        <v>2059</v>
      </c>
      <c r="Z2526" s="62" t="s">
        <v>4602</v>
      </c>
      <c r="AA2526" s="62" t="s">
        <v>4610</v>
      </c>
      <c r="AB2526" s="62" t="n">
        <v>1</v>
      </c>
      <c r="AC2526" s="62" t="n">
        <v>0</v>
      </c>
      <c r="AD2526" s="62" t="n">
        <v>1</v>
      </c>
      <c r="AE2526" s="62" t="n">
        <f aca="false">IF(AND(Dashboard!$C$9="Yes",AC2526=1),0,1)</f>
        <v>1</v>
      </c>
      <c r="AF2526" s="62" t="n">
        <v>0</v>
      </c>
    </row>
    <row r="2527" customFormat="false" ht="15" hidden="false" customHeight="false" outlineLevel="0" collapsed="false">
      <c r="A2527" s="62" t="n">
        <v>2526</v>
      </c>
      <c r="B2527" s="63" t="n">
        <v>46289.7344212963</v>
      </c>
      <c r="C2527" s="64" t="n">
        <v>46289</v>
      </c>
      <c r="D2527" s="62" t="s">
        <v>202</v>
      </c>
      <c r="E2527" s="62" t="s">
        <v>3181</v>
      </c>
      <c r="F2527" s="62" t="s">
        <v>3181</v>
      </c>
      <c r="G2527" s="62" t="s">
        <v>3182</v>
      </c>
      <c r="H2527" s="62" t="s">
        <v>58</v>
      </c>
      <c r="I2527" s="62" t="s">
        <v>49</v>
      </c>
      <c r="J2527" s="62" t="s">
        <v>146</v>
      </c>
      <c r="K2527" s="62" t="s">
        <v>209</v>
      </c>
      <c r="L2527" s="62" t="s">
        <v>148</v>
      </c>
      <c r="M2527" s="62" t="n">
        <v>0</v>
      </c>
      <c r="N2527" s="62" t="n">
        <v>1</v>
      </c>
      <c r="O2527" s="62" t="n">
        <v>1</v>
      </c>
      <c r="P2527" s="62" t="n">
        <v>1</v>
      </c>
      <c r="Q2527" s="62" t="n">
        <v>0</v>
      </c>
      <c r="R2527" s="62" t="n">
        <v>0</v>
      </c>
      <c r="S2527" s="62" t="n">
        <v>0</v>
      </c>
      <c r="T2527" s="62" t="n">
        <v>0</v>
      </c>
      <c r="U2527" s="62"/>
      <c r="V2527" s="62"/>
      <c r="W2527" s="62"/>
      <c r="X2527" s="62"/>
      <c r="Y2527" s="62"/>
      <c r="Z2527" s="62" t="s">
        <v>4611</v>
      </c>
      <c r="AA2527" s="62" t="s">
        <v>492</v>
      </c>
      <c r="AB2527" s="62" t="n">
        <v>0</v>
      </c>
      <c r="AC2527" s="62" t="n">
        <v>0</v>
      </c>
      <c r="AD2527" s="62" t="n">
        <v>1</v>
      </c>
      <c r="AE2527" s="62" t="n">
        <f aca="false">IF(AND(Dashboard!$C$9="Yes",AC2527=1),0,1)</f>
        <v>1</v>
      </c>
      <c r="AF2527" s="62" t="n">
        <v>1</v>
      </c>
    </row>
    <row r="2528" customFormat="false" ht="15" hidden="false" customHeight="false" outlineLevel="0" collapsed="false">
      <c r="A2528" s="62" t="n">
        <v>2527</v>
      </c>
      <c r="B2528" s="63" t="n">
        <v>46289.7376851852</v>
      </c>
      <c r="C2528" s="64" t="n">
        <v>46289</v>
      </c>
      <c r="D2528" s="62" t="s">
        <v>202</v>
      </c>
      <c r="E2528" s="62" t="s">
        <v>2050</v>
      </c>
      <c r="F2528" s="62" t="s">
        <v>2050</v>
      </c>
      <c r="G2528" s="62" t="s">
        <v>2051</v>
      </c>
      <c r="H2528" s="62" t="s">
        <v>46</v>
      </c>
      <c r="I2528" s="62" t="s">
        <v>47</v>
      </c>
      <c r="J2528" s="62" t="s">
        <v>146</v>
      </c>
      <c r="K2528" s="62" t="s">
        <v>209</v>
      </c>
      <c r="L2528" s="62" t="s">
        <v>148</v>
      </c>
      <c r="M2528" s="62" t="n">
        <v>0</v>
      </c>
      <c r="N2528" s="62" t="n">
        <v>1</v>
      </c>
      <c r="O2528" s="62" t="n">
        <v>1</v>
      </c>
      <c r="P2528" s="62" t="n">
        <v>1</v>
      </c>
      <c r="Q2528" s="62" t="n">
        <v>0</v>
      </c>
      <c r="R2528" s="62" t="n">
        <v>0</v>
      </c>
      <c r="S2528" s="62" t="n">
        <v>0</v>
      </c>
      <c r="T2528" s="62" t="n">
        <v>0</v>
      </c>
      <c r="U2528" s="62"/>
      <c r="V2528" s="62"/>
      <c r="W2528" s="62"/>
      <c r="X2528" s="62"/>
      <c r="Y2528" s="62"/>
      <c r="Z2528" s="62" t="s">
        <v>4612</v>
      </c>
      <c r="AA2528" s="62" t="s">
        <v>4613</v>
      </c>
      <c r="AB2528" s="62" t="n">
        <v>0</v>
      </c>
      <c r="AC2528" s="62" t="n">
        <v>0</v>
      </c>
      <c r="AD2528" s="62" t="n">
        <v>1</v>
      </c>
      <c r="AE2528" s="62" t="n">
        <f aca="false">IF(AND(Dashboard!$C$9="Yes",AC2528=1),0,1)</f>
        <v>1</v>
      </c>
      <c r="AF2528" s="62" t="n">
        <v>1</v>
      </c>
    </row>
    <row r="2529" customFormat="false" ht="15" hidden="false" customHeight="false" outlineLevel="0" collapsed="false">
      <c r="A2529" s="62" t="n">
        <v>2528</v>
      </c>
      <c r="B2529" s="63" t="n">
        <v>46289.7461111111</v>
      </c>
      <c r="C2529" s="64" t="n">
        <v>46289</v>
      </c>
      <c r="D2529" s="62" t="s">
        <v>202</v>
      </c>
      <c r="E2529" s="62" t="s">
        <v>2530</v>
      </c>
      <c r="F2529" s="62" t="s">
        <v>2530</v>
      </c>
      <c r="G2529" s="62" t="s">
        <v>2531</v>
      </c>
      <c r="H2529" s="62" t="s">
        <v>48</v>
      </c>
      <c r="I2529" s="62" t="s">
        <v>49</v>
      </c>
      <c r="J2529" s="62" t="s">
        <v>146</v>
      </c>
      <c r="K2529" s="62" t="s">
        <v>209</v>
      </c>
      <c r="L2529" s="62" t="s">
        <v>4</v>
      </c>
      <c r="M2529" s="62" t="n">
        <v>1</v>
      </c>
      <c r="N2529" s="62" t="n">
        <v>0</v>
      </c>
      <c r="O2529" s="62" t="n">
        <v>1</v>
      </c>
      <c r="P2529" s="62" t="n">
        <v>0</v>
      </c>
      <c r="Q2529" s="62" t="n">
        <v>0</v>
      </c>
      <c r="R2529" s="62" t="n">
        <v>0</v>
      </c>
      <c r="S2529" s="62" t="n">
        <v>0</v>
      </c>
      <c r="T2529" s="62" t="n">
        <v>0</v>
      </c>
      <c r="U2529" s="62" t="s">
        <v>2056</v>
      </c>
      <c r="V2529" s="62" t="s">
        <v>2057</v>
      </c>
      <c r="W2529" s="62" t="s">
        <v>15</v>
      </c>
      <c r="X2529" s="62" t="s">
        <v>2058</v>
      </c>
      <c r="Y2529" s="62" t="s">
        <v>2059</v>
      </c>
      <c r="Z2529" s="62" t="s">
        <v>4184</v>
      </c>
      <c r="AA2529" s="62" t="s">
        <v>4614</v>
      </c>
      <c r="AB2529" s="62" t="n">
        <v>0</v>
      </c>
      <c r="AC2529" s="62" t="n">
        <v>0</v>
      </c>
      <c r="AD2529" s="62" t="n">
        <v>1</v>
      </c>
      <c r="AE2529" s="62" t="n">
        <f aca="false">IF(AND(Dashboard!$C$9="Yes",AC2529=1),0,1)</f>
        <v>1</v>
      </c>
      <c r="AF2529" s="62" t="n">
        <v>0</v>
      </c>
    </row>
    <row r="2530" customFormat="false" ht="15" hidden="false" customHeight="false" outlineLevel="0" collapsed="false">
      <c r="A2530" s="62" t="n">
        <v>2529</v>
      </c>
      <c r="B2530" s="63" t="n">
        <v>46289.7463657407</v>
      </c>
      <c r="C2530" s="64" t="n">
        <v>46289</v>
      </c>
      <c r="D2530" s="62" t="s">
        <v>202</v>
      </c>
      <c r="E2530" s="62" t="s">
        <v>4420</v>
      </c>
      <c r="F2530" s="62" t="s">
        <v>4420</v>
      </c>
      <c r="G2530" s="62" t="s">
        <v>4421</v>
      </c>
      <c r="H2530" s="62" t="s">
        <v>44</v>
      </c>
      <c r="I2530" s="62" t="s">
        <v>49</v>
      </c>
      <c r="J2530" s="62" t="s">
        <v>146</v>
      </c>
      <c r="K2530" s="62" t="s">
        <v>147</v>
      </c>
      <c r="L2530" s="62" t="s">
        <v>148</v>
      </c>
      <c r="M2530" s="62" t="n">
        <v>0</v>
      </c>
      <c r="N2530" s="62" t="n">
        <v>1</v>
      </c>
      <c r="O2530" s="62" t="n">
        <v>1</v>
      </c>
      <c r="P2530" s="62" t="n">
        <v>0</v>
      </c>
      <c r="Q2530" s="62" t="n">
        <v>1</v>
      </c>
      <c r="R2530" s="62" t="n">
        <v>0</v>
      </c>
      <c r="S2530" s="62" t="n">
        <v>0</v>
      </c>
      <c r="T2530" s="62" t="n">
        <v>0</v>
      </c>
      <c r="U2530" s="62"/>
      <c r="V2530" s="62"/>
      <c r="W2530" s="62"/>
      <c r="X2530" s="62"/>
      <c r="Y2530" s="62"/>
      <c r="Z2530" s="62" t="s">
        <v>4615</v>
      </c>
      <c r="AA2530" s="62" t="s">
        <v>4616</v>
      </c>
      <c r="AB2530" s="62" t="n">
        <v>1</v>
      </c>
      <c r="AC2530" s="62" t="n">
        <v>0</v>
      </c>
      <c r="AD2530" s="62" t="n">
        <v>1</v>
      </c>
      <c r="AE2530" s="62" t="n">
        <f aca="false">IF(AND(Dashboard!$C$9="Yes",AC2530=1),0,1)</f>
        <v>1</v>
      </c>
      <c r="AF2530" s="62" t="n">
        <v>1</v>
      </c>
    </row>
    <row r="2531" customFormat="false" ht="15" hidden="false" customHeight="false" outlineLevel="0" collapsed="false">
      <c r="A2531" s="62" t="n">
        <v>2530</v>
      </c>
      <c r="B2531" s="63" t="n">
        <v>46289.7547569444</v>
      </c>
      <c r="C2531" s="64" t="n">
        <v>46289</v>
      </c>
      <c r="D2531" s="62" t="s">
        <v>202</v>
      </c>
      <c r="E2531" s="62" t="s">
        <v>2583</v>
      </c>
      <c r="F2531" s="62" t="s">
        <v>2583</v>
      </c>
      <c r="G2531" s="62" t="s">
        <v>2584</v>
      </c>
      <c r="H2531" s="62" t="s">
        <v>59</v>
      </c>
      <c r="I2531" s="62" t="s">
        <v>47</v>
      </c>
      <c r="J2531" s="62" t="s">
        <v>146</v>
      </c>
      <c r="K2531" s="62" t="s">
        <v>147</v>
      </c>
      <c r="L2531" s="62" t="s">
        <v>4</v>
      </c>
      <c r="M2531" s="62" t="n">
        <v>1</v>
      </c>
      <c r="N2531" s="62" t="n">
        <v>0</v>
      </c>
      <c r="O2531" s="62" t="n">
        <v>1</v>
      </c>
      <c r="P2531" s="62" t="n">
        <v>0</v>
      </c>
      <c r="Q2531" s="62" t="n">
        <v>0</v>
      </c>
      <c r="R2531" s="62" t="n">
        <v>0</v>
      </c>
      <c r="S2531" s="62" t="n">
        <v>0</v>
      </c>
      <c r="T2531" s="62" t="n">
        <v>0</v>
      </c>
      <c r="U2531" s="62" t="s">
        <v>2056</v>
      </c>
      <c r="V2531" s="62" t="s">
        <v>2057</v>
      </c>
      <c r="W2531" s="62" t="s">
        <v>15</v>
      </c>
      <c r="X2531" s="62"/>
      <c r="Y2531" s="62" t="s">
        <v>2059</v>
      </c>
      <c r="Z2531" s="62" t="s">
        <v>4617</v>
      </c>
      <c r="AA2531" s="62" t="s">
        <v>4618</v>
      </c>
      <c r="AB2531" s="62" t="n">
        <v>1</v>
      </c>
      <c r="AC2531" s="62" t="n">
        <v>0</v>
      </c>
      <c r="AD2531" s="62" t="n">
        <v>1</v>
      </c>
      <c r="AE2531" s="62" t="n">
        <f aca="false">IF(AND(Dashboard!$C$9="Yes",AC2531=1),0,1)</f>
        <v>1</v>
      </c>
      <c r="AF2531" s="62" t="n">
        <v>1</v>
      </c>
    </row>
    <row r="2532" customFormat="false" ht="15" hidden="false" customHeight="false" outlineLevel="0" collapsed="false">
      <c r="A2532" s="62" t="n">
        <v>2531</v>
      </c>
      <c r="B2532" s="63" t="n">
        <v>46289.7676967593</v>
      </c>
      <c r="C2532" s="64" t="n">
        <v>46289</v>
      </c>
      <c r="D2532" s="62" t="s">
        <v>202</v>
      </c>
      <c r="E2532" s="62" t="s">
        <v>4619</v>
      </c>
      <c r="F2532" s="62" t="s">
        <v>4620</v>
      </c>
      <c r="G2532" s="62" t="s">
        <v>153</v>
      </c>
      <c r="H2532" s="62" t="s">
        <v>153</v>
      </c>
      <c r="I2532" s="62" t="s">
        <v>153</v>
      </c>
      <c r="J2532" s="62" t="s">
        <v>64</v>
      </c>
      <c r="K2532" s="62" t="s">
        <v>64</v>
      </c>
      <c r="L2532" s="62" t="s">
        <v>4</v>
      </c>
      <c r="M2532" s="62" t="n">
        <v>2</v>
      </c>
      <c r="N2532" s="62" t="n">
        <v>0</v>
      </c>
      <c r="O2532" s="62" t="n">
        <v>2</v>
      </c>
      <c r="P2532" s="62" t="n">
        <v>0</v>
      </c>
      <c r="Q2532" s="62" t="n">
        <v>0</v>
      </c>
      <c r="R2532" s="62" t="n">
        <v>0</v>
      </c>
      <c r="S2532" s="62" t="n">
        <v>0</v>
      </c>
      <c r="T2532" s="62" t="n">
        <v>0</v>
      </c>
      <c r="U2532" s="62" t="s">
        <v>15</v>
      </c>
      <c r="V2532" s="62" t="s">
        <v>2057</v>
      </c>
      <c r="W2532" s="62" t="s">
        <v>15</v>
      </c>
      <c r="X2532" s="62" t="s">
        <v>2103</v>
      </c>
      <c r="Y2532" s="62" t="s">
        <v>2181</v>
      </c>
      <c r="Z2532" s="62" t="s">
        <v>4621</v>
      </c>
      <c r="AA2532" s="62" t="s">
        <v>4622</v>
      </c>
      <c r="AB2532" s="62" t="n">
        <v>1</v>
      </c>
      <c r="AC2532" s="62" t="n">
        <v>0</v>
      </c>
      <c r="AD2532" s="62" t="n">
        <v>0</v>
      </c>
      <c r="AE2532" s="62" t="n">
        <f aca="false">IF(AND(Dashboard!$C$9="Yes",AC2532=1),0,1)</f>
        <v>1</v>
      </c>
      <c r="AF2532" s="62" t="n">
        <v>1</v>
      </c>
    </row>
    <row r="2533" customFormat="false" ht="15" hidden="false" customHeight="false" outlineLevel="0" collapsed="false">
      <c r="A2533" s="62" t="n">
        <v>2532</v>
      </c>
      <c r="B2533" s="63" t="n">
        <v>46289.7779861111</v>
      </c>
      <c r="C2533" s="64" t="n">
        <v>46289</v>
      </c>
      <c r="D2533" s="62" t="s">
        <v>202</v>
      </c>
      <c r="E2533" s="62" t="s">
        <v>4329</v>
      </c>
      <c r="F2533" s="62" t="s">
        <v>4329</v>
      </c>
      <c r="G2533" s="62" t="s">
        <v>4330</v>
      </c>
      <c r="H2533" s="62" t="s">
        <v>44</v>
      </c>
      <c r="I2533" s="62" t="s">
        <v>49</v>
      </c>
      <c r="J2533" s="62" t="s">
        <v>146</v>
      </c>
      <c r="K2533" s="62" t="s">
        <v>147</v>
      </c>
      <c r="L2533" s="62" t="s">
        <v>148</v>
      </c>
      <c r="M2533" s="62" t="n">
        <v>0</v>
      </c>
      <c r="N2533" s="62" t="n">
        <v>2</v>
      </c>
      <c r="O2533" s="62" t="n">
        <v>2</v>
      </c>
      <c r="P2533" s="62" t="n">
        <v>1</v>
      </c>
      <c r="Q2533" s="62" t="n">
        <v>1</v>
      </c>
      <c r="R2533" s="62" t="n">
        <v>0</v>
      </c>
      <c r="S2533" s="62" t="n">
        <v>0</v>
      </c>
      <c r="T2533" s="62" t="n">
        <v>0</v>
      </c>
      <c r="U2533" s="62"/>
      <c r="V2533" s="62"/>
      <c r="W2533" s="62"/>
      <c r="X2533" s="62"/>
      <c r="Y2533" s="62"/>
      <c r="Z2533" s="62" t="s">
        <v>4623</v>
      </c>
      <c r="AA2533" s="62" t="s">
        <v>4624</v>
      </c>
      <c r="AB2533" s="62" t="n">
        <v>1</v>
      </c>
      <c r="AC2533" s="62" t="n">
        <v>0</v>
      </c>
      <c r="AD2533" s="62" t="n">
        <v>1</v>
      </c>
      <c r="AE2533" s="62" t="n">
        <f aca="false">IF(AND(Dashboard!$C$9="Yes",AC2533=1),0,1)</f>
        <v>1</v>
      </c>
      <c r="AF2533" s="62" t="n">
        <v>1</v>
      </c>
    </row>
    <row r="2534" customFormat="false" ht="15" hidden="false" customHeight="false" outlineLevel="0" collapsed="false">
      <c r="A2534" s="62" t="n">
        <v>2533</v>
      </c>
      <c r="B2534" s="63" t="n">
        <v>46289.7804050926</v>
      </c>
      <c r="C2534" s="64" t="n">
        <v>46289</v>
      </c>
      <c r="D2534" s="62" t="s">
        <v>202</v>
      </c>
      <c r="E2534" s="62" t="s">
        <v>4391</v>
      </c>
      <c r="F2534" s="62" t="s">
        <v>4391</v>
      </c>
      <c r="G2534" s="62" t="s">
        <v>4392</v>
      </c>
      <c r="H2534" s="62" t="s">
        <v>44</v>
      </c>
      <c r="I2534" s="62" t="s">
        <v>49</v>
      </c>
      <c r="J2534" s="62" t="s">
        <v>146</v>
      </c>
      <c r="K2534" s="62" t="s">
        <v>147</v>
      </c>
      <c r="L2534" s="62" t="s">
        <v>148</v>
      </c>
      <c r="M2534" s="62" t="n">
        <v>0</v>
      </c>
      <c r="N2534" s="62" t="n">
        <v>1</v>
      </c>
      <c r="O2534" s="62" t="n">
        <v>1</v>
      </c>
      <c r="P2534" s="62" t="n">
        <v>1</v>
      </c>
      <c r="Q2534" s="62" t="n">
        <v>0</v>
      </c>
      <c r="R2534" s="62" t="n">
        <v>0</v>
      </c>
      <c r="S2534" s="62" t="n">
        <v>0</v>
      </c>
      <c r="T2534" s="62" t="n">
        <v>0</v>
      </c>
      <c r="U2534" s="62"/>
      <c r="V2534" s="62"/>
      <c r="W2534" s="62"/>
      <c r="X2534" s="62"/>
      <c r="Y2534" s="62"/>
      <c r="Z2534" s="62" t="s">
        <v>4625</v>
      </c>
      <c r="AA2534" s="62" t="s">
        <v>4626</v>
      </c>
      <c r="AB2534" s="62" t="n">
        <v>1</v>
      </c>
      <c r="AC2534" s="62" t="n">
        <v>0</v>
      </c>
      <c r="AD2534" s="62" t="n">
        <v>1</v>
      </c>
      <c r="AE2534" s="62" t="n">
        <f aca="false">IF(AND(Dashboard!$C$9="Yes",AC2534=1),0,1)</f>
        <v>1</v>
      </c>
      <c r="AF2534" s="62" t="n">
        <v>1</v>
      </c>
    </row>
    <row r="2535" customFormat="false" ht="15" hidden="false" customHeight="false" outlineLevel="0" collapsed="false">
      <c r="A2535" s="62" t="n">
        <v>2534</v>
      </c>
      <c r="B2535" s="63" t="n">
        <v>46289.782650463</v>
      </c>
      <c r="C2535" s="64" t="n">
        <v>46289</v>
      </c>
      <c r="D2535" s="62" t="s">
        <v>202</v>
      </c>
      <c r="E2535" s="62" t="s">
        <v>4386</v>
      </c>
      <c r="F2535" s="62" t="s">
        <v>4386</v>
      </c>
      <c r="G2535" s="62" t="s">
        <v>4387</v>
      </c>
      <c r="H2535" s="62" t="s">
        <v>44</v>
      </c>
      <c r="I2535" s="62" t="s">
        <v>49</v>
      </c>
      <c r="J2535" s="62" t="s">
        <v>146</v>
      </c>
      <c r="K2535" s="62" t="s">
        <v>147</v>
      </c>
      <c r="L2535" s="62" t="s">
        <v>4</v>
      </c>
      <c r="M2535" s="62" t="n">
        <v>1</v>
      </c>
      <c r="N2535" s="62" t="n">
        <v>0</v>
      </c>
      <c r="O2535" s="62" t="n">
        <v>1</v>
      </c>
      <c r="P2535" s="62" t="n">
        <v>0</v>
      </c>
      <c r="Q2535" s="62" t="n">
        <v>0</v>
      </c>
      <c r="R2535" s="62" t="n">
        <v>0</v>
      </c>
      <c r="S2535" s="62" t="n">
        <v>0</v>
      </c>
      <c r="T2535" s="62" t="n">
        <v>0</v>
      </c>
      <c r="U2535" s="62" t="s">
        <v>2056</v>
      </c>
      <c r="V2535" s="62" t="s">
        <v>2068</v>
      </c>
      <c r="W2535" s="62"/>
      <c r="X2535" s="62" t="s">
        <v>2058</v>
      </c>
      <c r="Y2535" s="62" t="s">
        <v>2059</v>
      </c>
      <c r="Z2535" s="62" t="s">
        <v>4627</v>
      </c>
      <c r="AA2535" s="62" t="s">
        <v>4628</v>
      </c>
      <c r="AB2535" s="62" t="n">
        <v>1</v>
      </c>
      <c r="AC2535" s="62" t="n">
        <v>0</v>
      </c>
      <c r="AD2535" s="62" t="n">
        <v>1</v>
      </c>
      <c r="AE2535" s="62" t="n">
        <f aca="false">IF(AND(Dashboard!$C$9="Yes",AC2535=1),0,1)</f>
        <v>1</v>
      </c>
      <c r="AF2535" s="62" t="n">
        <v>1</v>
      </c>
    </row>
    <row r="2536" customFormat="false" ht="15" hidden="false" customHeight="false" outlineLevel="0" collapsed="false">
      <c r="A2536" s="62" t="n">
        <v>2535</v>
      </c>
      <c r="B2536" s="63" t="n">
        <v>46289.7828472222</v>
      </c>
      <c r="C2536" s="64" t="n">
        <v>46289</v>
      </c>
      <c r="D2536" s="62" t="s">
        <v>202</v>
      </c>
      <c r="E2536" s="62" t="s">
        <v>160</v>
      </c>
      <c r="F2536" s="62" t="s">
        <v>160</v>
      </c>
      <c r="G2536" s="62" t="s">
        <v>161</v>
      </c>
      <c r="H2536" s="62" t="s">
        <v>51</v>
      </c>
      <c r="I2536" s="62" t="s">
        <v>47</v>
      </c>
      <c r="J2536" s="62" t="s">
        <v>146</v>
      </c>
      <c r="K2536" s="62" t="s">
        <v>147</v>
      </c>
      <c r="L2536" s="62" t="s">
        <v>4</v>
      </c>
      <c r="M2536" s="62" t="n">
        <v>1</v>
      </c>
      <c r="N2536" s="62" t="n">
        <v>0</v>
      </c>
      <c r="O2536" s="62" t="n">
        <v>1</v>
      </c>
      <c r="P2536" s="62" t="n">
        <v>0</v>
      </c>
      <c r="Q2536" s="62" t="n">
        <v>0</v>
      </c>
      <c r="R2536" s="62" t="n">
        <v>0</v>
      </c>
      <c r="S2536" s="62" t="n">
        <v>0</v>
      </c>
      <c r="T2536" s="62" t="n">
        <v>0</v>
      </c>
      <c r="U2536" s="62" t="s">
        <v>2056</v>
      </c>
      <c r="V2536" s="62" t="s">
        <v>2057</v>
      </c>
      <c r="W2536" s="62" t="s">
        <v>2056</v>
      </c>
      <c r="X2536" s="62" t="s">
        <v>2164</v>
      </c>
      <c r="Y2536" s="62" t="s">
        <v>2165</v>
      </c>
      <c r="Z2536" s="62" t="s">
        <v>4629</v>
      </c>
      <c r="AA2536" s="62" t="s">
        <v>4630</v>
      </c>
      <c r="AB2536" s="62" t="n">
        <v>1</v>
      </c>
      <c r="AC2536" s="62" t="n">
        <v>0</v>
      </c>
      <c r="AD2536" s="62" t="n">
        <v>1</v>
      </c>
      <c r="AE2536" s="62" t="n">
        <f aca="false">IF(AND(Dashboard!$C$9="Yes",AC2536=1),0,1)</f>
        <v>1</v>
      </c>
      <c r="AF2536" s="62" t="n">
        <v>1</v>
      </c>
    </row>
    <row r="2537" customFormat="false" ht="15" hidden="false" customHeight="false" outlineLevel="0" collapsed="false">
      <c r="A2537" s="62" t="n">
        <v>2536</v>
      </c>
      <c r="B2537" s="63" t="n">
        <v>46289.7884143519</v>
      </c>
      <c r="C2537" s="64" t="n">
        <v>46289</v>
      </c>
      <c r="D2537" s="62" t="s">
        <v>202</v>
      </c>
      <c r="E2537" s="62" t="s">
        <v>1445</v>
      </c>
      <c r="F2537" s="62" t="s">
        <v>1445</v>
      </c>
      <c r="G2537" s="62" t="s">
        <v>1446</v>
      </c>
      <c r="H2537" s="62" t="s">
        <v>58</v>
      </c>
      <c r="I2537" s="62" t="s">
        <v>49</v>
      </c>
      <c r="J2537" s="62" t="s">
        <v>146</v>
      </c>
      <c r="K2537" s="62" t="s">
        <v>175</v>
      </c>
      <c r="L2537" s="62" t="s">
        <v>4</v>
      </c>
      <c r="M2537" s="62" t="n">
        <v>1</v>
      </c>
      <c r="N2537" s="62" t="n">
        <v>0</v>
      </c>
      <c r="O2537" s="62" t="n">
        <v>1</v>
      </c>
      <c r="P2537" s="62" t="n">
        <v>0</v>
      </c>
      <c r="Q2537" s="62" t="n">
        <v>0</v>
      </c>
      <c r="R2537" s="62" t="n">
        <v>0</v>
      </c>
      <c r="S2537" s="62" t="n">
        <v>0</v>
      </c>
      <c r="T2537" s="62" t="n">
        <v>0</v>
      </c>
      <c r="U2537" s="62" t="s">
        <v>2056</v>
      </c>
      <c r="V2537" s="62" t="s">
        <v>2068</v>
      </c>
      <c r="W2537" s="62"/>
      <c r="X2537" s="62" t="s">
        <v>2058</v>
      </c>
      <c r="Y2537" s="62" t="s">
        <v>2059</v>
      </c>
      <c r="Z2537" s="62" t="s">
        <v>4631</v>
      </c>
      <c r="AA2537" s="62" t="s">
        <v>4632</v>
      </c>
      <c r="AB2537" s="62" t="n">
        <v>1</v>
      </c>
      <c r="AC2537" s="62" t="n">
        <v>0</v>
      </c>
      <c r="AD2537" s="62" t="n">
        <v>1</v>
      </c>
      <c r="AE2537" s="62" t="n">
        <f aca="false">IF(AND(Dashboard!$C$9="Yes",AC2537=1),0,1)</f>
        <v>1</v>
      </c>
      <c r="AF2537" s="62" t="n">
        <v>1</v>
      </c>
    </row>
    <row r="2538" customFormat="false" ht="15" hidden="false" customHeight="false" outlineLevel="0" collapsed="false">
      <c r="A2538" s="62" t="n">
        <v>2537</v>
      </c>
      <c r="B2538" s="63" t="n">
        <v>46289.7919907407</v>
      </c>
      <c r="C2538" s="64" t="n">
        <v>46289</v>
      </c>
      <c r="D2538" s="62" t="s">
        <v>202</v>
      </c>
      <c r="E2538" s="62" t="s">
        <v>4633</v>
      </c>
      <c r="F2538" s="62" t="s">
        <v>4633</v>
      </c>
      <c r="G2538" s="62" t="s">
        <v>4634</v>
      </c>
      <c r="H2538" s="62" t="s">
        <v>48</v>
      </c>
      <c r="I2538" s="62" t="s">
        <v>49</v>
      </c>
      <c r="J2538" s="62" t="s">
        <v>146</v>
      </c>
      <c r="K2538" s="62" t="s">
        <v>209</v>
      </c>
      <c r="L2538" s="62" t="s">
        <v>148</v>
      </c>
      <c r="M2538" s="62" t="n">
        <v>0</v>
      </c>
      <c r="N2538" s="62" t="n">
        <v>1</v>
      </c>
      <c r="O2538" s="62" t="n">
        <v>1</v>
      </c>
      <c r="P2538" s="62" t="n">
        <v>1</v>
      </c>
      <c r="Q2538" s="62" t="n">
        <v>0</v>
      </c>
      <c r="R2538" s="62" t="n">
        <v>0</v>
      </c>
      <c r="S2538" s="62" t="n">
        <v>0</v>
      </c>
      <c r="T2538" s="62" t="n">
        <v>0</v>
      </c>
      <c r="U2538" s="62"/>
      <c r="V2538" s="62"/>
      <c r="W2538" s="62"/>
      <c r="X2538" s="62"/>
      <c r="Y2538" s="62"/>
      <c r="Z2538" s="62" t="s">
        <v>4635</v>
      </c>
      <c r="AA2538" s="62" t="s">
        <v>4636</v>
      </c>
      <c r="AB2538" s="62" t="n">
        <v>1</v>
      </c>
      <c r="AC2538" s="62" t="n">
        <v>0</v>
      </c>
      <c r="AD2538" s="62" t="n">
        <v>1</v>
      </c>
      <c r="AE2538" s="62" t="n">
        <f aca="false">IF(AND(Dashboard!$C$9="Yes",AC2538=1),0,1)</f>
        <v>1</v>
      </c>
      <c r="AF2538" s="62" t="n">
        <v>1</v>
      </c>
    </row>
    <row r="2539" customFormat="false" ht="15" hidden="false" customHeight="false" outlineLevel="0" collapsed="false">
      <c r="A2539" s="62" t="n">
        <v>2538</v>
      </c>
      <c r="B2539" s="63" t="n">
        <v>46289.7948263889</v>
      </c>
      <c r="C2539" s="64" t="n">
        <v>46289</v>
      </c>
      <c r="D2539" s="62" t="s">
        <v>202</v>
      </c>
      <c r="E2539" s="62" t="s">
        <v>4310</v>
      </c>
      <c r="F2539" s="62" t="s">
        <v>4310</v>
      </c>
      <c r="G2539" s="62" t="s">
        <v>4311</v>
      </c>
      <c r="H2539" s="62" t="s">
        <v>44</v>
      </c>
      <c r="I2539" s="62" t="s">
        <v>61</v>
      </c>
      <c r="J2539" s="62" t="s">
        <v>3708</v>
      </c>
      <c r="K2539" s="62" t="s">
        <v>175</v>
      </c>
      <c r="L2539" s="62" t="s">
        <v>148</v>
      </c>
      <c r="M2539" s="62" t="n">
        <v>0</v>
      </c>
      <c r="N2539" s="62" t="n">
        <v>1</v>
      </c>
      <c r="O2539" s="62" t="n">
        <v>1</v>
      </c>
      <c r="P2539" s="62" t="n">
        <v>0</v>
      </c>
      <c r="Q2539" s="62" t="n">
        <v>1</v>
      </c>
      <c r="R2539" s="62" t="n">
        <v>0</v>
      </c>
      <c r="S2539" s="62" t="n">
        <v>0</v>
      </c>
      <c r="T2539" s="62" t="n">
        <v>0</v>
      </c>
      <c r="U2539" s="62"/>
      <c r="V2539" s="62"/>
      <c r="W2539" s="62"/>
      <c r="X2539" s="62"/>
      <c r="Y2539" s="62"/>
      <c r="Z2539" s="62" t="s">
        <v>4637</v>
      </c>
      <c r="AA2539" s="62" t="s">
        <v>4638</v>
      </c>
      <c r="AB2539" s="62" t="n">
        <v>1</v>
      </c>
      <c r="AC2539" s="62" t="n">
        <v>0</v>
      </c>
      <c r="AD2539" s="62" t="n">
        <v>1</v>
      </c>
      <c r="AE2539" s="62" t="n">
        <f aca="false">IF(AND(Dashboard!$C$9="Yes",AC2539=1),0,1)</f>
        <v>1</v>
      </c>
      <c r="AF2539" s="62" t="n">
        <v>1</v>
      </c>
    </row>
    <row r="2540" customFormat="false" ht="15" hidden="false" customHeight="false" outlineLevel="0" collapsed="false">
      <c r="A2540" s="62" t="n">
        <v>2539</v>
      </c>
      <c r="B2540" s="63" t="n">
        <v>46289.8008333333</v>
      </c>
      <c r="C2540" s="64" t="n">
        <v>46289</v>
      </c>
      <c r="D2540" s="62" t="s">
        <v>202</v>
      </c>
      <c r="E2540" s="62" t="s">
        <v>4304</v>
      </c>
      <c r="F2540" s="62" t="s">
        <v>4304</v>
      </c>
      <c r="G2540" s="62" t="s">
        <v>4305</v>
      </c>
      <c r="H2540" s="62" t="s">
        <v>44</v>
      </c>
      <c r="I2540" s="62" t="s">
        <v>61</v>
      </c>
      <c r="J2540" s="62" t="s">
        <v>3708</v>
      </c>
      <c r="K2540" s="62" t="s">
        <v>175</v>
      </c>
      <c r="L2540" s="62" t="s">
        <v>4</v>
      </c>
      <c r="M2540" s="62" t="n">
        <v>1</v>
      </c>
      <c r="N2540" s="62" t="n">
        <v>0</v>
      </c>
      <c r="O2540" s="62" t="n">
        <v>1</v>
      </c>
      <c r="P2540" s="62" t="n">
        <v>0</v>
      </c>
      <c r="Q2540" s="62" t="n">
        <v>0</v>
      </c>
      <c r="R2540" s="62" t="n">
        <v>0</v>
      </c>
      <c r="S2540" s="62" t="n">
        <v>0</v>
      </c>
      <c r="T2540" s="62" t="n">
        <v>0</v>
      </c>
      <c r="U2540" s="62" t="s">
        <v>2056</v>
      </c>
      <c r="V2540" s="62" t="s">
        <v>2057</v>
      </c>
      <c r="W2540" s="62" t="s">
        <v>2056</v>
      </c>
      <c r="X2540" s="62" t="s">
        <v>2103</v>
      </c>
      <c r="Y2540" s="62" t="s">
        <v>2103</v>
      </c>
      <c r="Z2540" s="62" t="s">
        <v>4639</v>
      </c>
      <c r="AA2540" s="62" t="s">
        <v>4639</v>
      </c>
      <c r="AB2540" s="62" t="n">
        <v>1</v>
      </c>
      <c r="AC2540" s="62" t="n">
        <v>0</v>
      </c>
      <c r="AD2540" s="62" t="n">
        <v>1</v>
      </c>
      <c r="AE2540" s="62" t="n">
        <f aca="false">IF(AND(Dashboard!$C$9="Yes",AC2540=1),0,1)</f>
        <v>1</v>
      </c>
      <c r="AF2540" s="62" t="n">
        <v>1</v>
      </c>
    </row>
    <row r="2541" customFormat="false" ht="15" hidden="false" customHeight="false" outlineLevel="0" collapsed="false">
      <c r="A2541" s="62" t="n">
        <v>2540</v>
      </c>
      <c r="B2541" s="63" t="n">
        <v>46289.8170949074</v>
      </c>
      <c r="C2541" s="64" t="n">
        <v>46289</v>
      </c>
      <c r="D2541" s="62" t="s">
        <v>202</v>
      </c>
      <c r="E2541" s="62" t="s">
        <v>910</v>
      </c>
      <c r="F2541" s="62" t="s">
        <v>910</v>
      </c>
      <c r="G2541" s="62" t="s">
        <v>911</v>
      </c>
      <c r="H2541" s="62" t="s">
        <v>59</v>
      </c>
      <c r="I2541" s="62" t="s">
        <v>47</v>
      </c>
      <c r="J2541" s="62" t="s">
        <v>146</v>
      </c>
      <c r="K2541" s="62" t="s">
        <v>175</v>
      </c>
      <c r="L2541" s="62" t="s">
        <v>148</v>
      </c>
      <c r="M2541" s="62" t="n">
        <v>0</v>
      </c>
      <c r="N2541" s="62" t="n">
        <v>1</v>
      </c>
      <c r="O2541" s="62" t="n">
        <v>1</v>
      </c>
      <c r="P2541" s="62" t="n">
        <v>1</v>
      </c>
      <c r="Q2541" s="62" t="n">
        <v>0</v>
      </c>
      <c r="R2541" s="62" t="n">
        <v>0</v>
      </c>
      <c r="S2541" s="62" t="n">
        <v>0</v>
      </c>
      <c r="T2541" s="62" t="n">
        <v>0</v>
      </c>
      <c r="U2541" s="62"/>
      <c r="V2541" s="62"/>
      <c r="W2541" s="62"/>
      <c r="X2541" s="62"/>
      <c r="Y2541" s="62"/>
      <c r="Z2541" s="62" t="s">
        <v>4640</v>
      </c>
      <c r="AA2541" s="62" t="s">
        <v>2483</v>
      </c>
      <c r="AB2541" s="62" t="n">
        <v>1</v>
      </c>
      <c r="AC2541" s="62" t="n">
        <v>0</v>
      </c>
      <c r="AD2541" s="62" t="n">
        <v>1</v>
      </c>
      <c r="AE2541" s="62" t="n">
        <f aca="false">IF(AND(Dashboard!$C$9="Yes",AC2541=1),0,1)</f>
        <v>1</v>
      </c>
      <c r="AF2541" s="62" t="n">
        <v>1</v>
      </c>
    </row>
    <row r="2542" customFormat="false" ht="15" hidden="false" customHeight="false" outlineLevel="0" collapsed="false">
      <c r="A2542" s="62" t="n">
        <v>2541</v>
      </c>
      <c r="B2542" s="63" t="n">
        <v>46289.8209259259</v>
      </c>
      <c r="C2542" s="64" t="n">
        <v>46289</v>
      </c>
      <c r="D2542" s="62" t="s">
        <v>202</v>
      </c>
      <c r="E2542" s="62" t="s">
        <v>4530</v>
      </c>
      <c r="F2542" s="62" t="s">
        <v>4530</v>
      </c>
      <c r="G2542" s="62" t="s">
        <v>4531</v>
      </c>
      <c r="H2542" s="62" t="s">
        <v>44</v>
      </c>
      <c r="I2542" s="62" t="s">
        <v>49</v>
      </c>
      <c r="J2542" s="62" t="s">
        <v>146</v>
      </c>
      <c r="K2542" s="62" t="s">
        <v>147</v>
      </c>
      <c r="L2542" s="62" t="s">
        <v>148</v>
      </c>
      <c r="M2542" s="62" t="n">
        <v>0</v>
      </c>
      <c r="N2542" s="62" t="n">
        <v>1</v>
      </c>
      <c r="O2542" s="62" t="n">
        <v>1</v>
      </c>
      <c r="P2542" s="62" t="n">
        <v>0</v>
      </c>
      <c r="Q2542" s="62" t="n">
        <v>0</v>
      </c>
      <c r="R2542" s="62" t="n">
        <v>1</v>
      </c>
      <c r="S2542" s="62" t="n">
        <v>0</v>
      </c>
      <c r="T2542" s="62" t="n">
        <v>0</v>
      </c>
      <c r="U2542" s="62"/>
      <c r="V2542" s="62"/>
      <c r="W2542" s="62"/>
      <c r="X2542" s="62"/>
      <c r="Y2542" s="62"/>
      <c r="Z2542" s="62" t="s">
        <v>4641</v>
      </c>
      <c r="AA2542" s="62" t="s">
        <v>4642</v>
      </c>
      <c r="AB2542" s="62" t="n">
        <v>1</v>
      </c>
      <c r="AC2542" s="62" t="n">
        <v>0</v>
      </c>
      <c r="AD2542" s="62" t="n">
        <v>1</v>
      </c>
      <c r="AE2542" s="62" t="n">
        <f aca="false">IF(AND(Dashboard!$C$9="Yes",AC2542=1),0,1)</f>
        <v>1</v>
      </c>
      <c r="AF2542" s="62" t="n">
        <v>0</v>
      </c>
    </row>
    <row r="2543" customFormat="false" ht="15" hidden="false" customHeight="false" outlineLevel="0" collapsed="false">
      <c r="A2543" s="62" t="n">
        <v>2542</v>
      </c>
      <c r="B2543" s="63" t="n">
        <v>46289.8279166667</v>
      </c>
      <c r="C2543" s="64" t="n">
        <v>46289</v>
      </c>
      <c r="D2543" s="62" t="s">
        <v>202</v>
      </c>
      <c r="E2543" s="62" t="s">
        <v>1005</v>
      </c>
      <c r="F2543" s="62" t="s">
        <v>1005</v>
      </c>
      <c r="G2543" s="62" t="s">
        <v>1006</v>
      </c>
      <c r="H2543" s="62" t="s">
        <v>46</v>
      </c>
      <c r="I2543" s="62" t="s">
        <v>47</v>
      </c>
      <c r="J2543" s="62" t="s">
        <v>146</v>
      </c>
      <c r="K2543" s="62" t="s">
        <v>209</v>
      </c>
      <c r="L2543" s="62" t="s">
        <v>148</v>
      </c>
      <c r="M2543" s="62" t="n">
        <v>0</v>
      </c>
      <c r="N2543" s="62" t="n">
        <v>1</v>
      </c>
      <c r="O2543" s="62" t="n">
        <v>1</v>
      </c>
      <c r="P2543" s="62" t="n">
        <v>1</v>
      </c>
      <c r="Q2543" s="62" t="n">
        <v>0</v>
      </c>
      <c r="R2543" s="62" t="n">
        <v>0</v>
      </c>
      <c r="S2543" s="62" t="n">
        <v>0</v>
      </c>
      <c r="T2543" s="62" t="n">
        <v>0</v>
      </c>
      <c r="U2543" s="62"/>
      <c r="V2543" s="62"/>
      <c r="W2543" s="62"/>
      <c r="X2543" s="62"/>
      <c r="Y2543" s="62"/>
      <c r="Z2543" s="62" t="s">
        <v>4643</v>
      </c>
      <c r="AA2543" s="62" t="s">
        <v>485</v>
      </c>
      <c r="AB2543" s="62" t="n">
        <v>0</v>
      </c>
      <c r="AC2543" s="62" t="n">
        <v>0</v>
      </c>
      <c r="AD2543" s="62" t="n">
        <v>1</v>
      </c>
      <c r="AE2543" s="62" t="n">
        <f aca="false">IF(AND(Dashboard!$C$9="Yes",AC2543=1),0,1)</f>
        <v>1</v>
      </c>
      <c r="AF2543" s="62" t="n">
        <v>1</v>
      </c>
    </row>
    <row r="2544" customFormat="false" ht="15" hidden="false" customHeight="false" outlineLevel="0" collapsed="false">
      <c r="A2544" s="62" t="n">
        <v>2543</v>
      </c>
      <c r="B2544" s="63" t="n">
        <v>46289.8296990741</v>
      </c>
      <c r="C2544" s="64" t="n">
        <v>46289</v>
      </c>
      <c r="D2544" s="62" t="s">
        <v>202</v>
      </c>
      <c r="E2544" s="62" t="s">
        <v>164</v>
      </c>
      <c r="F2544" s="62" t="s">
        <v>164</v>
      </c>
      <c r="G2544" s="62" t="s">
        <v>165</v>
      </c>
      <c r="H2544" s="62" t="s">
        <v>51</v>
      </c>
      <c r="I2544" s="62" t="s">
        <v>47</v>
      </c>
      <c r="J2544" s="62" t="s">
        <v>146</v>
      </c>
      <c r="K2544" s="62" t="s">
        <v>147</v>
      </c>
      <c r="L2544" s="62" t="s">
        <v>148</v>
      </c>
      <c r="M2544" s="62" t="n">
        <v>0</v>
      </c>
      <c r="N2544" s="62" t="n">
        <v>1</v>
      </c>
      <c r="O2544" s="62" t="n">
        <v>1</v>
      </c>
      <c r="P2544" s="62" t="n">
        <v>1</v>
      </c>
      <c r="Q2544" s="62" t="n">
        <v>0</v>
      </c>
      <c r="R2544" s="62" t="n">
        <v>0</v>
      </c>
      <c r="S2544" s="62" t="n">
        <v>0</v>
      </c>
      <c r="T2544" s="62" t="n">
        <v>0</v>
      </c>
      <c r="U2544" s="62"/>
      <c r="V2544" s="62"/>
      <c r="W2544" s="62"/>
      <c r="X2544" s="62"/>
      <c r="Y2544" s="62"/>
      <c r="Z2544" s="62" t="s">
        <v>4644</v>
      </c>
      <c r="AA2544" s="62" t="s">
        <v>4645</v>
      </c>
      <c r="AB2544" s="62" t="n">
        <v>1</v>
      </c>
      <c r="AC2544" s="62" t="n">
        <v>0</v>
      </c>
      <c r="AD2544" s="62" t="n">
        <v>1</v>
      </c>
      <c r="AE2544" s="62" t="n">
        <f aca="false">IF(AND(Dashboard!$C$9="Yes",AC2544=1),0,1)</f>
        <v>1</v>
      </c>
      <c r="AF2544" s="62" t="n">
        <v>1</v>
      </c>
    </row>
    <row r="2545" customFormat="false" ht="15" hidden="false" customHeight="false" outlineLevel="0" collapsed="false">
      <c r="A2545" s="62" t="n">
        <v>2544</v>
      </c>
      <c r="B2545" s="63" t="n">
        <v>46289.8299537037</v>
      </c>
      <c r="C2545" s="64" t="n">
        <v>46289</v>
      </c>
      <c r="D2545" s="62" t="s">
        <v>202</v>
      </c>
      <c r="E2545" s="62" t="s">
        <v>164</v>
      </c>
      <c r="F2545" s="62" t="s">
        <v>164</v>
      </c>
      <c r="G2545" s="62" t="s">
        <v>165</v>
      </c>
      <c r="H2545" s="62" t="s">
        <v>51</v>
      </c>
      <c r="I2545" s="62" t="s">
        <v>47</v>
      </c>
      <c r="J2545" s="62" t="s">
        <v>146</v>
      </c>
      <c r="K2545" s="62" t="s">
        <v>147</v>
      </c>
      <c r="L2545" s="62" t="s">
        <v>148</v>
      </c>
      <c r="M2545" s="62" t="n">
        <v>0</v>
      </c>
      <c r="N2545" s="62" t="n">
        <v>1</v>
      </c>
      <c r="O2545" s="62" t="n">
        <v>1</v>
      </c>
      <c r="P2545" s="62" t="n">
        <v>1</v>
      </c>
      <c r="Q2545" s="62" t="n">
        <v>0</v>
      </c>
      <c r="R2545" s="62" t="n">
        <v>0</v>
      </c>
      <c r="S2545" s="62" t="n">
        <v>0</v>
      </c>
      <c r="T2545" s="62" t="n">
        <v>0</v>
      </c>
      <c r="U2545" s="62"/>
      <c r="V2545" s="62"/>
      <c r="W2545" s="62"/>
      <c r="X2545" s="62"/>
      <c r="Y2545" s="62"/>
      <c r="Z2545" s="62" t="s">
        <v>4644</v>
      </c>
      <c r="AA2545" s="62" t="s">
        <v>4645</v>
      </c>
      <c r="AB2545" s="62" t="n">
        <v>1</v>
      </c>
      <c r="AC2545" s="62" t="n">
        <v>1</v>
      </c>
      <c r="AD2545" s="62" t="n">
        <v>1</v>
      </c>
      <c r="AE2545" s="62" t="n">
        <f aca="false">IF(AND(Dashboard!$C$9="Yes",AC2545=1),0,1)</f>
        <v>0</v>
      </c>
      <c r="AF2545" s="62" t="n">
        <v>0</v>
      </c>
    </row>
    <row r="2546" customFormat="false" ht="15" hidden="false" customHeight="false" outlineLevel="0" collapsed="false">
      <c r="A2546" s="62" t="n">
        <v>2545</v>
      </c>
      <c r="B2546" s="63" t="n">
        <v>46289.8410185185</v>
      </c>
      <c r="C2546" s="64" t="n">
        <v>46289</v>
      </c>
      <c r="D2546" s="62" t="s">
        <v>202</v>
      </c>
      <c r="E2546" s="62" t="s">
        <v>164</v>
      </c>
      <c r="F2546" s="62" t="s">
        <v>164</v>
      </c>
      <c r="G2546" s="62" t="s">
        <v>165</v>
      </c>
      <c r="H2546" s="62" t="s">
        <v>51</v>
      </c>
      <c r="I2546" s="62" t="s">
        <v>47</v>
      </c>
      <c r="J2546" s="62" t="s">
        <v>146</v>
      </c>
      <c r="K2546" s="62" t="s">
        <v>147</v>
      </c>
      <c r="L2546" s="62" t="s">
        <v>4</v>
      </c>
      <c r="M2546" s="62" t="n">
        <v>1</v>
      </c>
      <c r="N2546" s="62" t="n">
        <v>0</v>
      </c>
      <c r="O2546" s="62" t="n">
        <v>1</v>
      </c>
      <c r="P2546" s="62" t="n">
        <v>0</v>
      </c>
      <c r="Q2546" s="62" t="n">
        <v>0</v>
      </c>
      <c r="R2546" s="62" t="n">
        <v>0</v>
      </c>
      <c r="S2546" s="62" t="n">
        <v>0</v>
      </c>
      <c r="T2546" s="62" t="n">
        <v>0</v>
      </c>
      <c r="U2546" s="62" t="s">
        <v>2056</v>
      </c>
      <c r="V2546" s="62" t="s">
        <v>2057</v>
      </c>
      <c r="W2546" s="62" t="s">
        <v>15</v>
      </c>
      <c r="X2546" s="62" t="s">
        <v>2058</v>
      </c>
      <c r="Y2546" s="62" t="s">
        <v>2059</v>
      </c>
      <c r="Z2546" s="62" t="s">
        <v>4644</v>
      </c>
      <c r="AA2546" s="62" t="s">
        <v>4646</v>
      </c>
      <c r="AB2546" s="62" t="n">
        <v>1</v>
      </c>
      <c r="AC2546" s="62" t="n">
        <v>0</v>
      </c>
      <c r="AD2546" s="62" t="n">
        <v>1</v>
      </c>
      <c r="AE2546" s="62" t="n">
        <f aca="false">IF(AND(Dashboard!$C$9="Yes",AC2546=1),0,1)</f>
        <v>1</v>
      </c>
      <c r="AF2546" s="62" t="n">
        <v>0</v>
      </c>
    </row>
    <row r="2547" customFormat="false" ht="15" hidden="false" customHeight="false" outlineLevel="0" collapsed="false">
      <c r="A2547" s="62" t="n">
        <v>2546</v>
      </c>
      <c r="B2547" s="63" t="n">
        <v>46289.8421875</v>
      </c>
      <c r="C2547" s="64" t="n">
        <v>46289</v>
      </c>
      <c r="D2547" s="62" t="s">
        <v>202</v>
      </c>
      <c r="E2547" s="62" t="s">
        <v>164</v>
      </c>
      <c r="F2547" s="62" t="s">
        <v>164</v>
      </c>
      <c r="G2547" s="62" t="s">
        <v>165</v>
      </c>
      <c r="H2547" s="62" t="s">
        <v>51</v>
      </c>
      <c r="I2547" s="62" t="s">
        <v>47</v>
      </c>
      <c r="J2547" s="62" t="s">
        <v>146</v>
      </c>
      <c r="K2547" s="62" t="s">
        <v>147</v>
      </c>
      <c r="L2547" s="62" t="s">
        <v>4</v>
      </c>
      <c r="M2547" s="62" t="n">
        <v>1</v>
      </c>
      <c r="N2547" s="62" t="n">
        <v>0</v>
      </c>
      <c r="O2547" s="62" t="n">
        <v>1</v>
      </c>
      <c r="P2547" s="62" t="n">
        <v>0</v>
      </c>
      <c r="Q2547" s="62" t="n">
        <v>0</v>
      </c>
      <c r="R2547" s="62" t="n">
        <v>0</v>
      </c>
      <c r="S2547" s="62" t="n">
        <v>0</v>
      </c>
      <c r="T2547" s="62" t="n">
        <v>0</v>
      </c>
      <c r="U2547" s="62" t="s">
        <v>2056</v>
      </c>
      <c r="V2547" s="62" t="s">
        <v>2057</v>
      </c>
      <c r="W2547" s="62" t="s">
        <v>15</v>
      </c>
      <c r="X2547" s="62" t="s">
        <v>2058</v>
      </c>
      <c r="Y2547" s="62" t="s">
        <v>2059</v>
      </c>
      <c r="Z2547" s="62" t="s">
        <v>4644</v>
      </c>
      <c r="AA2547" s="62" t="s">
        <v>4646</v>
      </c>
      <c r="AB2547" s="62" t="n">
        <v>1</v>
      </c>
      <c r="AC2547" s="62" t="n">
        <v>1</v>
      </c>
      <c r="AD2547" s="62" t="n">
        <v>1</v>
      </c>
      <c r="AE2547" s="62" t="n">
        <f aca="false">IF(AND(Dashboard!$C$9="Yes",AC2547=1),0,1)</f>
        <v>0</v>
      </c>
      <c r="AF2547" s="62" t="n">
        <v>0</v>
      </c>
    </row>
    <row r="2548" customFormat="false" ht="15" hidden="false" customHeight="false" outlineLevel="0" collapsed="false">
      <c r="A2548" s="62" t="n">
        <v>2547</v>
      </c>
      <c r="B2548" s="63" t="n">
        <v>46289.8559837963</v>
      </c>
      <c r="C2548" s="64" t="n">
        <v>46289</v>
      </c>
      <c r="D2548" s="62" t="s">
        <v>202</v>
      </c>
      <c r="E2548" s="62" t="s">
        <v>884</v>
      </c>
      <c r="F2548" s="62" t="s">
        <v>884</v>
      </c>
      <c r="G2548" s="62" t="s">
        <v>885</v>
      </c>
      <c r="H2548" s="62" t="s">
        <v>46</v>
      </c>
      <c r="I2548" s="62" t="s">
        <v>47</v>
      </c>
      <c r="J2548" s="62" t="s">
        <v>146</v>
      </c>
      <c r="K2548" s="62" t="s">
        <v>209</v>
      </c>
      <c r="L2548" s="62" t="s">
        <v>148</v>
      </c>
      <c r="M2548" s="62" t="n">
        <v>0</v>
      </c>
      <c r="N2548" s="62" t="n">
        <v>3</v>
      </c>
      <c r="O2548" s="62" t="n">
        <v>3</v>
      </c>
      <c r="P2548" s="62" t="n">
        <v>0</v>
      </c>
      <c r="Q2548" s="62" t="n">
        <v>0</v>
      </c>
      <c r="R2548" s="62" t="n">
        <v>3</v>
      </c>
      <c r="S2548" s="62" t="n">
        <v>0</v>
      </c>
      <c r="T2548" s="62" t="n">
        <v>0</v>
      </c>
      <c r="U2548" s="62"/>
      <c r="V2548" s="62"/>
      <c r="W2548" s="62"/>
      <c r="X2548" s="62"/>
      <c r="Y2548" s="62"/>
      <c r="Z2548" s="62" t="s">
        <v>4647</v>
      </c>
      <c r="AA2548" s="62" t="s">
        <v>4648</v>
      </c>
      <c r="AB2548" s="62" t="n">
        <v>1</v>
      </c>
      <c r="AC2548" s="62" t="n">
        <v>0</v>
      </c>
      <c r="AD2548" s="62" t="n">
        <v>1</v>
      </c>
      <c r="AE2548" s="62" t="n">
        <f aca="false">IF(AND(Dashboard!$C$9="Yes",AC2548=1),0,1)</f>
        <v>1</v>
      </c>
      <c r="AF2548" s="62" t="n">
        <v>1</v>
      </c>
    </row>
    <row r="2549" customFormat="false" ht="15" hidden="false" customHeight="false" outlineLevel="0" collapsed="false">
      <c r="A2549" s="62" t="n">
        <v>2548</v>
      </c>
      <c r="B2549" s="63" t="n">
        <v>46289.8610300926</v>
      </c>
      <c r="C2549" s="64" t="n">
        <v>46289</v>
      </c>
      <c r="D2549" s="62" t="s">
        <v>202</v>
      </c>
      <c r="E2549" s="62" t="s">
        <v>4649</v>
      </c>
      <c r="F2549" s="62" t="s">
        <v>4649</v>
      </c>
      <c r="G2549" s="62" t="s">
        <v>4650</v>
      </c>
      <c r="H2549" s="62" t="s">
        <v>51</v>
      </c>
      <c r="I2549" s="62" t="s">
        <v>47</v>
      </c>
      <c r="J2549" s="62" t="s">
        <v>146</v>
      </c>
      <c r="K2549" s="62" t="s">
        <v>175</v>
      </c>
      <c r="L2549" s="62" t="s">
        <v>4</v>
      </c>
      <c r="M2549" s="62" t="n">
        <v>1</v>
      </c>
      <c r="N2549" s="62" t="n">
        <v>0</v>
      </c>
      <c r="O2549" s="62" t="n">
        <v>1</v>
      </c>
      <c r="P2549" s="62" t="n">
        <v>0</v>
      </c>
      <c r="Q2549" s="62" t="n">
        <v>0</v>
      </c>
      <c r="R2549" s="62" t="n">
        <v>0</v>
      </c>
      <c r="S2549" s="62" t="n">
        <v>0</v>
      </c>
      <c r="T2549" s="62" t="n">
        <v>0</v>
      </c>
      <c r="U2549" s="62" t="s">
        <v>2056</v>
      </c>
      <c r="V2549" s="62" t="s">
        <v>2057</v>
      </c>
      <c r="W2549" s="62" t="s">
        <v>15</v>
      </c>
      <c r="X2549" s="62"/>
      <c r="Y2549" s="62" t="s">
        <v>2103</v>
      </c>
      <c r="Z2549" s="62" t="s">
        <v>4651</v>
      </c>
      <c r="AA2549" s="62" t="s">
        <v>4652</v>
      </c>
      <c r="AB2549" s="62" t="n">
        <v>1</v>
      </c>
      <c r="AC2549" s="62" t="n">
        <v>0</v>
      </c>
      <c r="AD2549" s="62" t="n">
        <v>1</v>
      </c>
      <c r="AE2549" s="62" t="n">
        <f aca="false">IF(AND(Dashboard!$C$9="Yes",AC2549=1),0,1)</f>
        <v>1</v>
      </c>
      <c r="AF2549" s="62" t="n">
        <v>1</v>
      </c>
    </row>
    <row r="2550" customFormat="false" ht="15" hidden="false" customHeight="false" outlineLevel="0" collapsed="false">
      <c r="A2550" s="62" t="n">
        <v>2549</v>
      </c>
      <c r="B2550" s="63" t="n">
        <v>46289.8640046296</v>
      </c>
      <c r="C2550" s="64" t="n">
        <v>46289</v>
      </c>
      <c r="D2550" s="62" t="s">
        <v>202</v>
      </c>
      <c r="E2550" s="62" t="s">
        <v>1172</v>
      </c>
      <c r="F2550" s="62" t="s">
        <v>1172</v>
      </c>
      <c r="G2550" s="62" t="s">
        <v>1173</v>
      </c>
      <c r="H2550" s="62" t="s">
        <v>59</v>
      </c>
      <c r="I2550" s="62" t="s">
        <v>47</v>
      </c>
      <c r="J2550" s="62" t="s">
        <v>146</v>
      </c>
      <c r="K2550" s="62" t="s">
        <v>209</v>
      </c>
      <c r="L2550" s="62" t="s">
        <v>4</v>
      </c>
      <c r="M2550" s="62" t="n">
        <v>1</v>
      </c>
      <c r="N2550" s="62" t="n">
        <v>0</v>
      </c>
      <c r="O2550" s="62" t="n">
        <v>1</v>
      </c>
      <c r="P2550" s="62" t="n">
        <v>0</v>
      </c>
      <c r="Q2550" s="62" t="n">
        <v>0</v>
      </c>
      <c r="R2550" s="62" t="n">
        <v>0</v>
      </c>
      <c r="S2550" s="62" t="n">
        <v>0</v>
      </c>
      <c r="T2550" s="62" t="n">
        <v>0</v>
      </c>
      <c r="U2550" s="62" t="s">
        <v>2056</v>
      </c>
      <c r="V2550" s="62" t="s">
        <v>2057</v>
      </c>
      <c r="W2550" s="62" t="s">
        <v>15</v>
      </c>
      <c r="X2550" s="62" t="s">
        <v>2058</v>
      </c>
      <c r="Y2550" s="62" t="s">
        <v>2059</v>
      </c>
      <c r="Z2550" s="62" t="s">
        <v>4653</v>
      </c>
      <c r="AA2550" s="62" t="s">
        <v>4654</v>
      </c>
      <c r="AB2550" s="62" t="n">
        <v>1</v>
      </c>
      <c r="AC2550" s="62" t="n">
        <v>0</v>
      </c>
      <c r="AD2550" s="62" t="n">
        <v>1</v>
      </c>
      <c r="AE2550" s="62" t="n">
        <f aca="false">IF(AND(Dashboard!$C$9="Yes",AC2550=1),0,1)</f>
        <v>1</v>
      </c>
      <c r="AF2550" s="62" t="n">
        <v>1</v>
      </c>
    </row>
    <row r="2551" customFormat="false" ht="15" hidden="false" customHeight="false" outlineLevel="0" collapsed="false">
      <c r="A2551" s="62" t="n">
        <v>2550</v>
      </c>
      <c r="B2551" s="63" t="n">
        <v>46289.8652893519</v>
      </c>
      <c r="C2551" s="64" t="n">
        <v>46289</v>
      </c>
      <c r="D2551" s="62" t="s">
        <v>202</v>
      </c>
      <c r="E2551" s="62" t="s">
        <v>1172</v>
      </c>
      <c r="F2551" s="62" t="s">
        <v>1172</v>
      </c>
      <c r="G2551" s="62" t="s">
        <v>1173</v>
      </c>
      <c r="H2551" s="62" t="s">
        <v>59</v>
      </c>
      <c r="I2551" s="62" t="s">
        <v>47</v>
      </c>
      <c r="J2551" s="62" t="s">
        <v>146</v>
      </c>
      <c r="K2551" s="62" t="s">
        <v>209</v>
      </c>
      <c r="L2551" s="62" t="s">
        <v>4</v>
      </c>
      <c r="M2551" s="62" t="n">
        <v>1</v>
      </c>
      <c r="N2551" s="62" t="n">
        <v>0</v>
      </c>
      <c r="O2551" s="62" t="n">
        <v>1</v>
      </c>
      <c r="P2551" s="62" t="n">
        <v>0</v>
      </c>
      <c r="Q2551" s="62" t="n">
        <v>0</v>
      </c>
      <c r="R2551" s="62" t="n">
        <v>0</v>
      </c>
      <c r="S2551" s="62" t="n">
        <v>0</v>
      </c>
      <c r="T2551" s="62" t="n">
        <v>0</v>
      </c>
      <c r="U2551" s="62" t="s">
        <v>2056</v>
      </c>
      <c r="V2551" s="62" t="s">
        <v>2057</v>
      </c>
      <c r="W2551" s="62" t="s">
        <v>15</v>
      </c>
      <c r="X2551" s="62" t="s">
        <v>2058</v>
      </c>
      <c r="Y2551" s="62" t="s">
        <v>2059</v>
      </c>
      <c r="Z2551" s="62" t="s">
        <v>4653</v>
      </c>
      <c r="AA2551" s="62" t="s">
        <v>4655</v>
      </c>
      <c r="AB2551" s="62" t="n">
        <v>1</v>
      </c>
      <c r="AC2551" s="62" t="n">
        <v>0</v>
      </c>
      <c r="AD2551" s="62" t="n">
        <v>1</v>
      </c>
      <c r="AE2551" s="62" t="n">
        <f aca="false">IF(AND(Dashboard!$C$9="Yes",AC2551=1),0,1)</f>
        <v>1</v>
      </c>
      <c r="AF2551" s="62" t="n">
        <v>0</v>
      </c>
    </row>
    <row r="2552" customFormat="false" ht="15" hidden="false" customHeight="false" outlineLevel="0" collapsed="false">
      <c r="A2552" s="62" t="n">
        <v>2551</v>
      </c>
      <c r="B2552" s="63" t="n">
        <v>46289.8792013889</v>
      </c>
      <c r="C2552" s="64" t="n">
        <v>46289</v>
      </c>
      <c r="D2552" s="62" t="s">
        <v>202</v>
      </c>
      <c r="E2552" s="62" t="s">
        <v>1112</v>
      </c>
      <c r="F2552" s="62" t="s">
        <v>865</v>
      </c>
      <c r="G2552" s="62" t="s">
        <v>866</v>
      </c>
      <c r="H2552" s="62" t="s">
        <v>46</v>
      </c>
      <c r="I2552" s="62" t="s">
        <v>47</v>
      </c>
      <c r="J2552" s="62" t="s">
        <v>146</v>
      </c>
      <c r="K2552" s="62" t="s">
        <v>209</v>
      </c>
      <c r="L2552" s="62" t="s">
        <v>148</v>
      </c>
      <c r="M2552" s="62" t="n">
        <v>0</v>
      </c>
      <c r="N2552" s="62" t="n">
        <v>1</v>
      </c>
      <c r="O2552" s="62" t="n">
        <v>1</v>
      </c>
      <c r="P2552" s="62" t="n">
        <v>0</v>
      </c>
      <c r="Q2552" s="62" t="n">
        <v>0</v>
      </c>
      <c r="R2552" s="62" t="n">
        <v>1</v>
      </c>
      <c r="S2552" s="62" t="n">
        <v>0</v>
      </c>
      <c r="T2552" s="62" t="n">
        <v>0</v>
      </c>
      <c r="U2552" s="62"/>
      <c r="V2552" s="62"/>
      <c r="W2552" s="62"/>
      <c r="X2552" s="62"/>
      <c r="Y2552" s="62"/>
      <c r="Z2552" s="62" t="s">
        <v>4656</v>
      </c>
      <c r="AA2552" s="62" t="s">
        <v>2483</v>
      </c>
      <c r="AB2552" s="62" t="n">
        <v>1</v>
      </c>
      <c r="AC2552" s="62" t="n">
        <v>0</v>
      </c>
      <c r="AD2552" s="62" t="n">
        <v>1</v>
      </c>
      <c r="AE2552" s="62" t="n">
        <f aca="false">IF(AND(Dashboard!$C$9="Yes",AC2552=1),0,1)</f>
        <v>1</v>
      </c>
      <c r="AF2552" s="62" t="n">
        <v>1</v>
      </c>
    </row>
    <row r="2553" customFormat="false" ht="15" hidden="false" customHeight="false" outlineLevel="0" collapsed="false">
      <c r="A2553" s="62" t="n">
        <v>2552</v>
      </c>
      <c r="B2553" s="63" t="n">
        <v>46289.8846527778</v>
      </c>
      <c r="C2553" s="64" t="n">
        <v>46289</v>
      </c>
      <c r="D2553" s="62" t="s">
        <v>202</v>
      </c>
      <c r="E2553" s="62" t="s">
        <v>3061</v>
      </c>
      <c r="F2553" s="62" t="s">
        <v>3061</v>
      </c>
      <c r="G2553" s="62" t="s">
        <v>3062</v>
      </c>
      <c r="H2553" s="62" t="s">
        <v>44</v>
      </c>
      <c r="I2553" s="62" t="s">
        <v>49</v>
      </c>
      <c r="J2553" s="62" t="s">
        <v>146</v>
      </c>
      <c r="K2553" s="62" t="s">
        <v>147</v>
      </c>
      <c r="L2553" s="62" t="s">
        <v>148</v>
      </c>
      <c r="M2553" s="62" t="n">
        <v>0</v>
      </c>
      <c r="N2553" s="62" t="n">
        <v>1</v>
      </c>
      <c r="O2553" s="62" t="n">
        <v>1</v>
      </c>
      <c r="P2553" s="62" t="n">
        <v>0</v>
      </c>
      <c r="Q2553" s="62" t="n">
        <v>1</v>
      </c>
      <c r="R2553" s="62" t="n">
        <v>0</v>
      </c>
      <c r="S2553" s="62" t="n">
        <v>0</v>
      </c>
      <c r="T2553" s="62" t="n">
        <v>0</v>
      </c>
      <c r="U2553" s="62"/>
      <c r="V2553" s="62"/>
      <c r="W2553" s="62"/>
      <c r="X2553" s="62"/>
      <c r="Y2553" s="62"/>
      <c r="Z2553" s="62" t="s">
        <v>4657</v>
      </c>
      <c r="AA2553" s="62" t="s">
        <v>4658</v>
      </c>
      <c r="AB2553" s="62" t="n">
        <v>1</v>
      </c>
      <c r="AC2553" s="62" t="n">
        <v>0</v>
      </c>
      <c r="AD2553" s="62" t="n">
        <v>1</v>
      </c>
      <c r="AE2553" s="62" t="n">
        <f aca="false">IF(AND(Dashboard!$C$9="Yes",AC2553=1),0,1)</f>
        <v>1</v>
      </c>
      <c r="AF2553" s="62" t="n">
        <v>1</v>
      </c>
    </row>
    <row r="2554" customFormat="false" ht="15" hidden="false" customHeight="false" outlineLevel="0" collapsed="false">
      <c r="A2554" s="62" t="n">
        <v>2553</v>
      </c>
      <c r="B2554" s="63" t="n">
        <v>46289.893275463</v>
      </c>
      <c r="C2554" s="64" t="n">
        <v>46289</v>
      </c>
      <c r="D2554" s="62" t="s">
        <v>202</v>
      </c>
      <c r="E2554" s="62" t="s">
        <v>3018</v>
      </c>
      <c r="F2554" s="62" t="s">
        <v>3018</v>
      </c>
      <c r="G2554" s="62" t="s">
        <v>3019</v>
      </c>
      <c r="H2554" s="62" t="s">
        <v>58</v>
      </c>
      <c r="I2554" s="62" t="s">
        <v>49</v>
      </c>
      <c r="J2554" s="62" t="s">
        <v>146</v>
      </c>
      <c r="K2554" s="62" t="s">
        <v>175</v>
      </c>
      <c r="L2554" s="62" t="s">
        <v>4</v>
      </c>
      <c r="M2554" s="62" t="n">
        <v>1</v>
      </c>
      <c r="N2554" s="62" t="n">
        <v>0</v>
      </c>
      <c r="O2554" s="62" t="n">
        <v>1</v>
      </c>
      <c r="P2554" s="62" t="n">
        <v>0</v>
      </c>
      <c r="Q2554" s="62" t="n">
        <v>0</v>
      </c>
      <c r="R2554" s="62" t="n">
        <v>0</v>
      </c>
      <c r="S2554" s="62" t="n">
        <v>0</v>
      </c>
      <c r="T2554" s="62" t="n">
        <v>0</v>
      </c>
      <c r="U2554" s="62" t="s">
        <v>2056</v>
      </c>
      <c r="V2554" s="62" t="s">
        <v>2057</v>
      </c>
      <c r="W2554" s="62" t="s">
        <v>15</v>
      </c>
      <c r="X2554" s="62" t="s">
        <v>2058</v>
      </c>
      <c r="Y2554" s="62" t="s">
        <v>2059</v>
      </c>
      <c r="Z2554" s="62" t="s">
        <v>4659</v>
      </c>
      <c r="AA2554" s="62" t="s">
        <v>4660</v>
      </c>
      <c r="AB2554" s="62" t="n">
        <v>1</v>
      </c>
      <c r="AC2554" s="62" t="n">
        <v>0</v>
      </c>
      <c r="AD2554" s="62" t="n">
        <v>1</v>
      </c>
      <c r="AE2554" s="62" t="n">
        <f aca="false">IF(AND(Dashboard!$C$9="Yes",AC2554=1),0,1)</f>
        <v>1</v>
      </c>
      <c r="AF2554" s="62" t="n">
        <v>0</v>
      </c>
    </row>
    <row r="2555" customFormat="false" ht="15" hidden="false" customHeight="false" outlineLevel="0" collapsed="false">
      <c r="A2555" s="62" t="n">
        <v>2554</v>
      </c>
      <c r="B2555" s="63" t="n">
        <v>46289.8937731482</v>
      </c>
      <c r="C2555" s="64" t="n">
        <v>46289</v>
      </c>
      <c r="D2555" s="62" t="s">
        <v>202</v>
      </c>
      <c r="E2555" s="62" t="s">
        <v>2583</v>
      </c>
      <c r="F2555" s="62" t="s">
        <v>2583</v>
      </c>
      <c r="G2555" s="62" t="s">
        <v>2584</v>
      </c>
      <c r="H2555" s="62" t="s">
        <v>59</v>
      </c>
      <c r="I2555" s="62" t="s">
        <v>47</v>
      </c>
      <c r="J2555" s="62" t="s">
        <v>146</v>
      </c>
      <c r="K2555" s="62" t="s">
        <v>147</v>
      </c>
      <c r="L2555" s="62" t="s">
        <v>4</v>
      </c>
      <c r="M2555" s="62" t="n">
        <v>2</v>
      </c>
      <c r="N2555" s="62" t="n">
        <v>0</v>
      </c>
      <c r="O2555" s="62" t="n">
        <v>2</v>
      </c>
      <c r="P2555" s="62" t="n">
        <v>0</v>
      </c>
      <c r="Q2555" s="62" t="n">
        <v>0</v>
      </c>
      <c r="R2555" s="62" t="n">
        <v>0</v>
      </c>
      <c r="S2555" s="62" t="n">
        <v>0</v>
      </c>
      <c r="T2555" s="62" t="n">
        <v>0</v>
      </c>
      <c r="U2555" s="62" t="s">
        <v>2056</v>
      </c>
      <c r="V2555" s="62" t="s">
        <v>2057</v>
      </c>
      <c r="W2555" s="62" t="s">
        <v>15</v>
      </c>
      <c r="X2555" s="62" t="s">
        <v>2069</v>
      </c>
      <c r="Y2555" s="62" t="s">
        <v>2103</v>
      </c>
      <c r="Z2555" s="62" t="s">
        <v>4661</v>
      </c>
      <c r="AA2555" s="62" t="s">
        <v>4662</v>
      </c>
      <c r="AB2555" s="62" t="n">
        <v>1</v>
      </c>
      <c r="AC2555" s="62" t="n">
        <v>0</v>
      </c>
      <c r="AD2555" s="62" t="n">
        <v>1</v>
      </c>
      <c r="AE2555" s="62" t="n">
        <f aca="false">IF(AND(Dashboard!$C$9="Yes",AC2555=1),0,1)</f>
        <v>1</v>
      </c>
      <c r="AF2555" s="62" t="n">
        <v>0</v>
      </c>
    </row>
    <row r="2556" customFormat="false" ht="15" hidden="false" customHeight="false" outlineLevel="0" collapsed="false">
      <c r="A2556" s="62" t="n">
        <v>2555</v>
      </c>
      <c r="B2556" s="63" t="n">
        <v>46289.9304861111</v>
      </c>
      <c r="C2556" s="64" t="n">
        <v>46289</v>
      </c>
      <c r="D2556" s="62" t="s">
        <v>202</v>
      </c>
      <c r="E2556" s="62" t="s">
        <v>892</v>
      </c>
      <c r="F2556" s="62" t="s">
        <v>892</v>
      </c>
      <c r="G2556" s="62" t="s">
        <v>893</v>
      </c>
      <c r="H2556" s="62" t="s">
        <v>46</v>
      </c>
      <c r="I2556" s="62" t="s">
        <v>47</v>
      </c>
      <c r="J2556" s="62" t="s">
        <v>146</v>
      </c>
      <c r="K2556" s="62" t="s">
        <v>209</v>
      </c>
      <c r="L2556" s="62" t="s">
        <v>148</v>
      </c>
      <c r="M2556" s="62" t="n">
        <v>0</v>
      </c>
      <c r="N2556" s="62" t="n">
        <v>1</v>
      </c>
      <c r="O2556" s="62" t="n">
        <v>1</v>
      </c>
      <c r="P2556" s="62" t="n">
        <v>0</v>
      </c>
      <c r="Q2556" s="62" t="n">
        <v>1</v>
      </c>
      <c r="R2556" s="62" t="n">
        <v>0</v>
      </c>
      <c r="S2556" s="62" t="n">
        <v>0</v>
      </c>
      <c r="T2556" s="62" t="n">
        <v>0</v>
      </c>
      <c r="U2556" s="62"/>
      <c r="V2556" s="62"/>
      <c r="W2556" s="62"/>
      <c r="X2556" s="62"/>
      <c r="Y2556" s="62"/>
      <c r="Z2556" s="62" t="s">
        <v>4663</v>
      </c>
      <c r="AA2556" s="62" t="s">
        <v>337</v>
      </c>
      <c r="AB2556" s="62" t="n">
        <v>0</v>
      </c>
      <c r="AC2556" s="62" t="n">
        <v>0</v>
      </c>
      <c r="AD2556" s="62" t="n">
        <v>1</v>
      </c>
      <c r="AE2556" s="62" t="n">
        <f aca="false">IF(AND(Dashboard!$C$9="Yes",AC2556=1),0,1)</f>
        <v>1</v>
      </c>
      <c r="AF2556" s="62" t="n">
        <v>1</v>
      </c>
    </row>
    <row r="2557" customFormat="false" ht="15" hidden="false" customHeight="false" outlineLevel="0" collapsed="false">
      <c r="A2557" s="62" t="n">
        <v>2556</v>
      </c>
      <c r="B2557" s="63" t="n">
        <v>46289.9309259259</v>
      </c>
      <c r="C2557" s="64" t="n">
        <v>46289</v>
      </c>
      <c r="D2557" s="62" t="s">
        <v>202</v>
      </c>
      <c r="E2557" s="62" t="s">
        <v>2540</v>
      </c>
      <c r="F2557" s="62" t="s">
        <v>2540</v>
      </c>
      <c r="G2557" s="62" t="s">
        <v>2541</v>
      </c>
      <c r="H2557" s="62" t="s">
        <v>48</v>
      </c>
      <c r="I2557" s="62" t="s">
        <v>49</v>
      </c>
      <c r="J2557" s="62" t="s">
        <v>146</v>
      </c>
      <c r="K2557" s="62" t="s">
        <v>209</v>
      </c>
      <c r="L2557" s="62" t="s">
        <v>148</v>
      </c>
      <c r="M2557" s="62" t="n">
        <v>0</v>
      </c>
      <c r="N2557" s="62" t="n">
        <v>1</v>
      </c>
      <c r="O2557" s="62" t="n">
        <v>1</v>
      </c>
      <c r="P2557" s="62" t="n">
        <v>1</v>
      </c>
      <c r="Q2557" s="62" t="n">
        <v>0</v>
      </c>
      <c r="R2557" s="62" t="n">
        <v>0</v>
      </c>
      <c r="S2557" s="62" t="n">
        <v>0</v>
      </c>
      <c r="T2557" s="62" t="n">
        <v>0</v>
      </c>
      <c r="U2557" s="62"/>
      <c r="V2557" s="62"/>
      <c r="W2557" s="62"/>
      <c r="X2557" s="62"/>
      <c r="Y2557" s="62"/>
      <c r="Z2557" s="62" t="s">
        <v>4664</v>
      </c>
      <c r="AA2557" s="62" t="s">
        <v>237</v>
      </c>
      <c r="AB2557" s="62" t="n">
        <v>0</v>
      </c>
      <c r="AC2557" s="62" t="n">
        <v>0</v>
      </c>
      <c r="AD2557" s="62" t="n">
        <v>1</v>
      </c>
      <c r="AE2557" s="62" t="n">
        <f aca="false">IF(AND(Dashboard!$C$9="Yes",AC2557=1),0,1)</f>
        <v>1</v>
      </c>
      <c r="AF2557" s="62" t="n">
        <v>0</v>
      </c>
    </row>
    <row r="2558" customFormat="false" ht="15" hidden="false" customHeight="false" outlineLevel="0" collapsed="false">
      <c r="A2558" s="62" t="n">
        <v>2557</v>
      </c>
      <c r="B2558" s="63" t="n">
        <v>46289.9497569444</v>
      </c>
      <c r="C2558" s="64" t="n">
        <v>46289</v>
      </c>
      <c r="D2558" s="62" t="s">
        <v>202</v>
      </c>
      <c r="E2558" s="62" t="s">
        <v>4665</v>
      </c>
      <c r="F2558" s="62" t="s">
        <v>4665</v>
      </c>
      <c r="G2558" s="62" t="s">
        <v>4666</v>
      </c>
      <c r="H2558" s="62" t="s">
        <v>58</v>
      </c>
      <c r="I2558" s="62" t="s">
        <v>49</v>
      </c>
      <c r="J2558" s="62" t="s">
        <v>146</v>
      </c>
      <c r="K2558" s="62" t="s">
        <v>209</v>
      </c>
      <c r="L2558" s="62" t="s">
        <v>4</v>
      </c>
      <c r="M2558" s="62" t="n">
        <v>2</v>
      </c>
      <c r="N2558" s="62" t="n">
        <v>0</v>
      </c>
      <c r="O2558" s="62" t="n">
        <v>2</v>
      </c>
      <c r="P2558" s="62" t="n">
        <v>0</v>
      </c>
      <c r="Q2558" s="62" t="n">
        <v>0</v>
      </c>
      <c r="R2558" s="62" t="n">
        <v>0</v>
      </c>
      <c r="S2558" s="62" t="n">
        <v>0</v>
      </c>
      <c r="T2558" s="62" t="n">
        <v>0</v>
      </c>
      <c r="U2558" s="62" t="s">
        <v>15</v>
      </c>
      <c r="V2558" s="62" t="s">
        <v>2057</v>
      </c>
      <c r="W2558" s="62" t="s">
        <v>2056</v>
      </c>
      <c r="X2558" s="62" t="s">
        <v>2234</v>
      </c>
      <c r="Y2558" s="62" t="s">
        <v>2064</v>
      </c>
      <c r="Z2558" s="62" t="s">
        <v>4667</v>
      </c>
      <c r="AA2558" s="62" t="s">
        <v>4668</v>
      </c>
      <c r="AB2558" s="62" t="n">
        <v>1</v>
      </c>
      <c r="AC2558" s="62" t="n">
        <v>0</v>
      </c>
      <c r="AD2558" s="62" t="n">
        <v>1</v>
      </c>
      <c r="AE2558" s="62" t="n">
        <f aca="false">IF(AND(Dashboard!$C$9="Yes",AC2558=1),0,1)</f>
        <v>1</v>
      </c>
      <c r="AF2558" s="62" t="n">
        <v>1</v>
      </c>
    </row>
    <row r="2559" customFormat="false" ht="15" hidden="false" customHeight="false" outlineLevel="0" collapsed="false">
      <c r="A2559" s="62" t="n">
        <v>2558</v>
      </c>
      <c r="B2559" s="63" t="n">
        <v>46289.9528587963</v>
      </c>
      <c r="C2559" s="64" t="n">
        <v>46289</v>
      </c>
      <c r="D2559" s="62" t="s">
        <v>202</v>
      </c>
      <c r="E2559" s="62" t="s">
        <v>4665</v>
      </c>
      <c r="F2559" s="62" t="s">
        <v>4665</v>
      </c>
      <c r="G2559" s="62" t="s">
        <v>4666</v>
      </c>
      <c r="H2559" s="62" t="s">
        <v>58</v>
      </c>
      <c r="I2559" s="62" t="s">
        <v>49</v>
      </c>
      <c r="J2559" s="62" t="s">
        <v>146</v>
      </c>
      <c r="K2559" s="62" t="s">
        <v>209</v>
      </c>
      <c r="L2559" s="62" t="s">
        <v>4</v>
      </c>
      <c r="M2559" s="62" t="n">
        <v>3</v>
      </c>
      <c r="N2559" s="62" t="n">
        <v>0</v>
      </c>
      <c r="O2559" s="62" t="n">
        <v>3</v>
      </c>
      <c r="P2559" s="62" t="n">
        <v>0</v>
      </c>
      <c r="Q2559" s="62" t="n">
        <v>0</v>
      </c>
      <c r="R2559" s="62" t="n">
        <v>0</v>
      </c>
      <c r="S2559" s="62" t="n">
        <v>0</v>
      </c>
      <c r="T2559" s="62" t="n">
        <v>0</v>
      </c>
      <c r="U2559" s="62" t="s">
        <v>2056</v>
      </c>
      <c r="V2559" s="62" t="s">
        <v>2057</v>
      </c>
      <c r="W2559" s="62" t="s">
        <v>2056</v>
      </c>
      <c r="X2559" s="62" t="s">
        <v>2253</v>
      </c>
      <c r="Y2559" s="62" t="s">
        <v>2064</v>
      </c>
      <c r="Z2559" s="62" t="s">
        <v>4668</v>
      </c>
      <c r="AA2559" s="62" t="s">
        <v>4669</v>
      </c>
      <c r="AB2559" s="62" t="n">
        <v>1</v>
      </c>
      <c r="AC2559" s="62" t="n">
        <v>0</v>
      </c>
      <c r="AD2559" s="62" t="n">
        <v>1</v>
      </c>
      <c r="AE2559" s="62" t="n">
        <f aca="false">IF(AND(Dashboard!$C$9="Yes",AC2559=1),0,1)</f>
        <v>1</v>
      </c>
      <c r="AF2559" s="62" t="n">
        <v>0</v>
      </c>
    </row>
    <row r="2560" customFormat="false" ht="15" hidden="false" customHeight="false" outlineLevel="0" collapsed="false">
      <c r="A2560" s="62" t="n">
        <v>2559</v>
      </c>
      <c r="B2560" s="63" t="n">
        <v>46289.9540046296</v>
      </c>
      <c r="C2560" s="64" t="n">
        <v>46289</v>
      </c>
      <c r="D2560" s="62" t="s">
        <v>202</v>
      </c>
      <c r="E2560" s="62" t="s">
        <v>4665</v>
      </c>
      <c r="F2560" s="62" t="s">
        <v>4665</v>
      </c>
      <c r="G2560" s="62" t="s">
        <v>4666</v>
      </c>
      <c r="H2560" s="62" t="s">
        <v>58</v>
      </c>
      <c r="I2560" s="62" t="s">
        <v>49</v>
      </c>
      <c r="J2560" s="62" t="s">
        <v>146</v>
      </c>
      <c r="K2560" s="62" t="s">
        <v>209</v>
      </c>
      <c r="L2560" s="62" t="s">
        <v>148</v>
      </c>
      <c r="M2560" s="62" t="n">
        <v>0</v>
      </c>
      <c r="N2560" s="62" t="n">
        <v>3</v>
      </c>
      <c r="O2560" s="62" t="n">
        <v>3</v>
      </c>
      <c r="P2560" s="62" t="n">
        <v>0</v>
      </c>
      <c r="Q2560" s="62" t="n">
        <v>0</v>
      </c>
      <c r="R2560" s="62" t="n">
        <v>0</v>
      </c>
      <c r="S2560" s="62" t="n">
        <v>0</v>
      </c>
      <c r="T2560" s="62" t="n">
        <v>3</v>
      </c>
      <c r="U2560" s="62"/>
      <c r="V2560" s="62"/>
      <c r="W2560" s="62"/>
      <c r="X2560" s="62"/>
      <c r="Y2560" s="62"/>
      <c r="Z2560" s="62" t="s">
        <v>4668</v>
      </c>
      <c r="AA2560" s="62" t="s">
        <v>4669</v>
      </c>
      <c r="AB2560" s="62" t="n">
        <v>1</v>
      </c>
      <c r="AC2560" s="62" t="n">
        <v>0</v>
      </c>
      <c r="AD2560" s="62" t="n">
        <v>1</v>
      </c>
      <c r="AE2560" s="62" t="n">
        <f aca="false">IF(AND(Dashboard!$C$9="Yes",AC2560=1),0,1)</f>
        <v>1</v>
      </c>
      <c r="AF2560" s="62" t="n">
        <v>0</v>
      </c>
    </row>
    <row r="2561" customFormat="false" ht="15" hidden="false" customHeight="false" outlineLevel="0" collapsed="false">
      <c r="A2561" s="62" t="n">
        <v>2560</v>
      </c>
      <c r="B2561" s="63" t="n">
        <v>46289.9544328704</v>
      </c>
      <c r="C2561" s="64" t="n">
        <v>46289</v>
      </c>
      <c r="D2561" s="62" t="s">
        <v>202</v>
      </c>
      <c r="E2561" s="62" t="s">
        <v>4665</v>
      </c>
      <c r="F2561" s="62" t="s">
        <v>4665</v>
      </c>
      <c r="G2561" s="62" t="s">
        <v>4666</v>
      </c>
      <c r="H2561" s="62" t="s">
        <v>58</v>
      </c>
      <c r="I2561" s="62" t="s">
        <v>49</v>
      </c>
      <c r="J2561" s="62" t="s">
        <v>146</v>
      </c>
      <c r="K2561" s="62" t="s">
        <v>209</v>
      </c>
      <c r="L2561" s="62" t="s">
        <v>4</v>
      </c>
      <c r="M2561" s="62" t="n">
        <v>2</v>
      </c>
      <c r="N2561" s="62" t="n">
        <v>0</v>
      </c>
      <c r="O2561" s="62" t="n">
        <v>2</v>
      </c>
      <c r="P2561" s="62" t="n">
        <v>0</v>
      </c>
      <c r="Q2561" s="62" t="n">
        <v>0</v>
      </c>
      <c r="R2561" s="62" t="n">
        <v>0</v>
      </c>
      <c r="S2561" s="62" t="n">
        <v>0</v>
      </c>
      <c r="T2561" s="62" t="n">
        <v>0</v>
      </c>
      <c r="U2561" s="62" t="s">
        <v>2056</v>
      </c>
      <c r="V2561" s="62" t="s">
        <v>2057</v>
      </c>
      <c r="W2561" s="62" t="s">
        <v>2056</v>
      </c>
      <c r="X2561" s="62" t="s">
        <v>2234</v>
      </c>
      <c r="Y2561" s="62" t="s">
        <v>2064</v>
      </c>
      <c r="Z2561" s="62" t="s">
        <v>4668</v>
      </c>
      <c r="AA2561" s="62" t="s">
        <v>4669</v>
      </c>
      <c r="AB2561" s="62" t="n">
        <v>1</v>
      </c>
      <c r="AC2561" s="62" t="n">
        <v>1</v>
      </c>
      <c r="AD2561" s="62" t="n">
        <v>1</v>
      </c>
      <c r="AE2561" s="62" t="n">
        <f aca="false">IF(AND(Dashboard!$C$9="Yes",AC2561=1),0,1)</f>
        <v>0</v>
      </c>
      <c r="AF2561" s="62" t="n">
        <v>0</v>
      </c>
    </row>
    <row r="2562" customFormat="false" ht="15" hidden="false" customHeight="false" outlineLevel="0" collapsed="false">
      <c r="A2562" s="62" t="n">
        <v>2561</v>
      </c>
      <c r="B2562" s="63" t="n">
        <v>46289.9696296296</v>
      </c>
      <c r="C2562" s="64" t="n">
        <v>46289</v>
      </c>
      <c r="D2562" s="62" t="s">
        <v>202</v>
      </c>
      <c r="E2562" s="62" t="s">
        <v>1539</v>
      </c>
      <c r="F2562" s="62" t="s">
        <v>1539</v>
      </c>
      <c r="G2562" s="62" t="s">
        <v>1540</v>
      </c>
      <c r="H2562" s="62" t="s">
        <v>52</v>
      </c>
      <c r="I2562" s="62" t="s">
        <v>47</v>
      </c>
      <c r="J2562" s="62" t="s">
        <v>146</v>
      </c>
      <c r="K2562" s="62" t="s">
        <v>147</v>
      </c>
      <c r="L2562" s="62" t="s">
        <v>4</v>
      </c>
      <c r="M2562" s="62" t="n">
        <v>1</v>
      </c>
      <c r="N2562" s="62" t="n">
        <v>0</v>
      </c>
      <c r="O2562" s="62" t="n">
        <v>1</v>
      </c>
      <c r="P2562" s="62" t="n">
        <v>0</v>
      </c>
      <c r="Q2562" s="62" t="n">
        <v>0</v>
      </c>
      <c r="R2562" s="62" t="n">
        <v>0</v>
      </c>
      <c r="S2562" s="62" t="n">
        <v>0</v>
      </c>
      <c r="T2562" s="62" t="n">
        <v>0</v>
      </c>
      <c r="U2562" s="62" t="s">
        <v>2056</v>
      </c>
      <c r="V2562" s="62" t="s">
        <v>2057</v>
      </c>
      <c r="W2562" s="62" t="s">
        <v>15</v>
      </c>
      <c r="X2562" s="62" t="s">
        <v>2125</v>
      </c>
      <c r="Y2562" s="62" t="s">
        <v>2059</v>
      </c>
      <c r="Z2562" s="62" t="s">
        <v>4670</v>
      </c>
      <c r="AA2562" s="62" t="s">
        <v>4671</v>
      </c>
      <c r="AB2562" s="62" t="n">
        <v>1</v>
      </c>
      <c r="AC2562" s="62" t="n">
        <v>0</v>
      </c>
      <c r="AD2562" s="62" t="n">
        <v>1</v>
      </c>
      <c r="AE2562" s="62" t="n">
        <f aca="false">IF(AND(Dashboard!$C$9="Yes",AC2562=1),0,1)</f>
        <v>1</v>
      </c>
      <c r="AF2562" s="62" t="n">
        <v>1</v>
      </c>
    </row>
    <row r="2563" customFormat="false" ht="15" hidden="false" customHeight="false" outlineLevel="0" collapsed="false">
      <c r="A2563" s="62" t="n">
        <v>2562</v>
      </c>
      <c r="B2563" s="63" t="n">
        <v>46289.974375</v>
      </c>
      <c r="C2563" s="64" t="n">
        <v>46289</v>
      </c>
      <c r="D2563" s="62" t="s">
        <v>202</v>
      </c>
      <c r="E2563" s="62" t="s">
        <v>1445</v>
      </c>
      <c r="F2563" s="62" t="s">
        <v>1445</v>
      </c>
      <c r="G2563" s="62" t="s">
        <v>1446</v>
      </c>
      <c r="H2563" s="62" t="s">
        <v>58</v>
      </c>
      <c r="I2563" s="62" t="s">
        <v>49</v>
      </c>
      <c r="J2563" s="62" t="s">
        <v>146</v>
      </c>
      <c r="K2563" s="62" t="s">
        <v>175</v>
      </c>
      <c r="L2563" s="62" t="s">
        <v>148</v>
      </c>
      <c r="M2563" s="62" t="n">
        <v>0</v>
      </c>
      <c r="N2563" s="62" t="n">
        <v>2</v>
      </c>
      <c r="O2563" s="62" t="n">
        <v>2</v>
      </c>
      <c r="P2563" s="62" t="n">
        <v>1</v>
      </c>
      <c r="Q2563" s="62" t="n">
        <v>1</v>
      </c>
      <c r="R2563" s="62" t="n">
        <v>0</v>
      </c>
      <c r="S2563" s="62" t="n">
        <v>0</v>
      </c>
      <c r="T2563" s="62" t="n">
        <v>0</v>
      </c>
      <c r="U2563" s="62"/>
      <c r="V2563" s="62"/>
      <c r="W2563" s="62"/>
      <c r="X2563" s="62"/>
      <c r="Y2563" s="62"/>
      <c r="Z2563" s="62" t="s">
        <v>4672</v>
      </c>
      <c r="AA2563" s="62" t="s">
        <v>4673</v>
      </c>
      <c r="AB2563" s="62" t="n">
        <v>1</v>
      </c>
      <c r="AC2563" s="62" t="n">
        <v>0</v>
      </c>
      <c r="AD2563" s="62" t="n">
        <v>1</v>
      </c>
      <c r="AE2563" s="62" t="n">
        <f aca="false">IF(AND(Dashboard!$C$9="Yes",AC2563=1),0,1)</f>
        <v>1</v>
      </c>
      <c r="AF2563" s="62" t="n">
        <v>0</v>
      </c>
    </row>
    <row r="2564" customFormat="false" ht="15" hidden="false" customHeight="false" outlineLevel="0" collapsed="false">
      <c r="A2564" s="62" t="n">
        <v>2563</v>
      </c>
      <c r="B2564" s="63" t="n">
        <v>46289.9770717593</v>
      </c>
      <c r="C2564" s="64" t="n">
        <v>46289</v>
      </c>
      <c r="D2564" s="62" t="s">
        <v>202</v>
      </c>
      <c r="E2564" s="62" t="s">
        <v>4382</v>
      </c>
      <c r="F2564" s="62" t="s">
        <v>4382</v>
      </c>
      <c r="G2564" s="62" t="s">
        <v>4383</v>
      </c>
      <c r="H2564" s="62" t="s">
        <v>44</v>
      </c>
      <c r="I2564" s="62" t="s">
        <v>61</v>
      </c>
      <c r="J2564" s="62" t="s">
        <v>3708</v>
      </c>
      <c r="K2564" s="62" t="s">
        <v>175</v>
      </c>
      <c r="L2564" s="62" t="s">
        <v>4</v>
      </c>
      <c r="M2564" s="62" t="n">
        <v>1</v>
      </c>
      <c r="N2564" s="62" t="n">
        <v>0</v>
      </c>
      <c r="O2564" s="62" t="n">
        <v>1</v>
      </c>
      <c r="P2564" s="62" t="n">
        <v>0</v>
      </c>
      <c r="Q2564" s="62" t="n">
        <v>0</v>
      </c>
      <c r="R2564" s="62" t="n">
        <v>0</v>
      </c>
      <c r="S2564" s="62" t="n">
        <v>0</v>
      </c>
      <c r="T2564" s="62" t="n">
        <v>0</v>
      </c>
      <c r="U2564" s="62" t="s">
        <v>2056</v>
      </c>
      <c r="V2564" s="62" t="s">
        <v>2068</v>
      </c>
      <c r="W2564" s="62"/>
      <c r="X2564" s="62" t="s">
        <v>2069</v>
      </c>
      <c r="Y2564" s="62" t="s">
        <v>2064</v>
      </c>
      <c r="Z2564" s="62" t="s">
        <v>4674</v>
      </c>
      <c r="AA2564" s="62" t="s">
        <v>4675</v>
      </c>
      <c r="AB2564" s="62" t="n">
        <v>1</v>
      </c>
      <c r="AC2564" s="62" t="n">
        <v>0</v>
      </c>
      <c r="AD2564" s="62" t="n">
        <v>1</v>
      </c>
      <c r="AE2564" s="62" t="n">
        <f aca="false">IF(AND(Dashboard!$C$9="Yes",AC2564=1),0,1)</f>
        <v>1</v>
      </c>
      <c r="AF2564" s="62" t="n">
        <v>1</v>
      </c>
    </row>
    <row r="2565" customFormat="false" ht="15" hidden="false" customHeight="false" outlineLevel="0" collapsed="false">
      <c r="A2565" s="62" t="n">
        <v>2564</v>
      </c>
      <c r="B2565" s="63" t="n">
        <v>46289.9941203704</v>
      </c>
      <c r="C2565" s="64" t="n">
        <v>46289</v>
      </c>
      <c r="D2565" s="62" t="s">
        <v>202</v>
      </c>
      <c r="E2565" s="62" t="s">
        <v>2071</v>
      </c>
      <c r="F2565" s="62" t="s">
        <v>2071</v>
      </c>
      <c r="G2565" s="62" t="s">
        <v>2072</v>
      </c>
      <c r="H2565" s="62" t="s">
        <v>58</v>
      </c>
      <c r="I2565" s="62" t="s">
        <v>49</v>
      </c>
      <c r="J2565" s="62" t="s">
        <v>146</v>
      </c>
      <c r="K2565" s="62" t="s">
        <v>175</v>
      </c>
      <c r="L2565" s="62" t="s">
        <v>148</v>
      </c>
      <c r="M2565" s="62" t="n">
        <v>0</v>
      </c>
      <c r="N2565" s="62" t="n">
        <v>1</v>
      </c>
      <c r="O2565" s="62" t="n">
        <v>1</v>
      </c>
      <c r="P2565" s="62" t="n">
        <v>1</v>
      </c>
      <c r="Q2565" s="62" t="n">
        <v>0</v>
      </c>
      <c r="R2565" s="62" t="n">
        <v>0</v>
      </c>
      <c r="S2565" s="62" t="n">
        <v>0</v>
      </c>
      <c r="T2565" s="62" t="n">
        <v>0</v>
      </c>
      <c r="U2565" s="62"/>
      <c r="V2565" s="62"/>
      <c r="W2565" s="62"/>
      <c r="X2565" s="62"/>
      <c r="Y2565" s="62"/>
      <c r="Z2565" s="62" t="s">
        <v>4676</v>
      </c>
      <c r="AA2565" s="62" t="s">
        <v>4677</v>
      </c>
      <c r="AB2565" s="62" t="n">
        <v>1</v>
      </c>
      <c r="AC2565" s="62" t="n">
        <v>0</v>
      </c>
      <c r="AD2565" s="62" t="n">
        <v>1</v>
      </c>
      <c r="AE2565" s="62" t="n">
        <f aca="false">IF(AND(Dashboard!$C$9="Yes",AC2565=1),0,1)</f>
        <v>1</v>
      </c>
      <c r="AF2565" s="62" t="n">
        <v>1</v>
      </c>
    </row>
    <row r="2566" customFormat="false" ht="15" hidden="false" customHeight="false" outlineLevel="0" collapsed="false">
      <c r="A2566" s="62" t="n">
        <v>2565</v>
      </c>
      <c r="B2566" s="63" t="n">
        <v>46289.994837963</v>
      </c>
      <c r="C2566" s="64" t="n">
        <v>46289</v>
      </c>
      <c r="D2566" s="62" t="s">
        <v>202</v>
      </c>
      <c r="E2566" s="62" t="s">
        <v>1571</v>
      </c>
      <c r="F2566" s="62" t="s">
        <v>1571</v>
      </c>
      <c r="G2566" s="62" t="s">
        <v>1572</v>
      </c>
      <c r="H2566" s="62" t="s">
        <v>52</v>
      </c>
      <c r="I2566" s="62" t="s">
        <v>47</v>
      </c>
      <c r="J2566" s="62" t="s">
        <v>146</v>
      </c>
      <c r="K2566" s="62" t="s">
        <v>209</v>
      </c>
      <c r="L2566" s="62" t="s">
        <v>4</v>
      </c>
      <c r="M2566" s="62" t="n">
        <v>1</v>
      </c>
      <c r="N2566" s="62" t="n">
        <v>0</v>
      </c>
      <c r="O2566" s="62" t="n">
        <v>1</v>
      </c>
      <c r="P2566" s="62" t="n">
        <v>0</v>
      </c>
      <c r="Q2566" s="62" t="n">
        <v>0</v>
      </c>
      <c r="R2566" s="62" t="n">
        <v>0</v>
      </c>
      <c r="S2566" s="62" t="n">
        <v>0</v>
      </c>
      <c r="T2566" s="62" t="n">
        <v>0</v>
      </c>
      <c r="U2566" s="62" t="s">
        <v>2056</v>
      </c>
      <c r="V2566" s="62" t="s">
        <v>2057</v>
      </c>
      <c r="W2566" s="62" t="s">
        <v>15</v>
      </c>
      <c r="X2566" s="62" t="s">
        <v>2058</v>
      </c>
      <c r="Y2566" s="62" t="s">
        <v>2059</v>
      </c>
      <c r="Z2566" s="62" t="s">
        <v>4678</v>
      </c>
      <c r="AA2566" s="62" t="s">
        <v>4679</v>
      </c>
      <c r="AB2566" s="62" t="n">
        <v>1</v>
      </c>
      <c r="AC2566" s="62" t="n">
        <v>0</v>
      </c>
      <c r="AD2566" s="62" t="n">
        <v>1</v>
      </c>
      <c r="AE2566" s="62" t="n">
        <f aca="false">IF(AND(Dashboard!$C$9="Yes",AC2566=1),0,1)</f>
        <v>1</v>
      </c>
      <c r="AF2566" s="62" t="n">
        <v>1</v>
      </c>
    </row>
    <row r="2567" customFormat="false" ht="15" hidden="false" customHeight="false" outlineLevel="0" collapsed="false">
      <c r="A2567" s="62" t="n">
        <v>2566</v>
      </c>
      <c r="B2567" s="63" t="n">
        <v>46289.9965856482</v>
      </c>
      <c r="C2567" s="64" t="n">
        <v>46289</v>
      </c>
      <c r="D2567" s="62" t="s">
        <v>202</v>
      </c>
      <c r="E2567" s="62" t="s">
        <v>4530</v>
      </c>
      <c r="F2567" s="62" t="s">
        <v>4530</v>
      </c>
      <c r="G2567" s="62" t="s">
        <v>4531</v>
      </c>
      <c r="H2567" s="62" t="s">
        <v>44</v>
      </c>
      <c r="I2567" s="62" t="s">
        <v>49</v>
      </c>
      <c r="J2567" s="62" t="s">
        <v>146</v>
      </c>
      <c r="K2567" s="62" t="s">
        <v>147</v>
      </c>
      <c r="L2567" s="62" t="s">
        <v>148</v>
      </c>
      <c r="M2567" s="62" t="n">
        <v>0</v>
      </c>
      <c r="N2567" s="62" t="n">
        <v>1</v>
      </c>
      <c r="O2567" s="62" t="n">
        <v>1</v>
      </c>
      <c r="P2567" s="62" t="n">
        <v>1</v>
      </c>
      <c r="Q2567" s="62" t="n">
        <v>0</v>
      </c>
      <c r="R2567" s="62" t="n">
        <v>0</v>
      </c>
      <c r="S2567" s="62" t="n">
        <v>0</v>
      </c>
      <c r="T2567" s="62" t="n">
        <v>0</v>
      </c>
      <c r="U2567" s="62"/>
      <c r="V2567" s="62"/>
      <c r="W2567" s="62"/>
      <c r="X2567" s="62"/>
      <c r="Y2567" s="62"/>
      <c r="Z2567" s="62" t="s">
        <v>4604</v>
      </c>
      <c r="AA2567" s="62" t="s">
        <v>4680</v>
      </c>
      <c r="AB2567" s="62" t="n">
        <v>1</v>
      </c>
      <c r="AC2567" s="62" t="n">
        <v>0</v>
      </c>
      <c r="AD2567" s="62" t="n">
        <v>1</v>
      </c>
      <c r="AE2567" s="62" t="n">
        <f aca="false">IF(AND(Dashboard!$C$9="Yes",AC2567=1),0,1)</f>
        <v>1</v>
      </c>
      <c r="AF2567" s="62" t="n">
        <v>0</v>
      </c>
    </row>
    <row r="2568" customFormat="false" ht="15" hidden="false" customHeight="false" outlineLevel="0" collapsed="false">
      <c r="A2568" s="62" t="n">
        <v>2567</v>
      </c>
      <c r="B2568" s="63" t="n">
        <v>46290.0003935185</v>
      </c>
      <c r="C2568" s="64" t="n">
        <v>46289</v>
      </c>
      <c r="D2568" s="62" t="s">
        <v>202</v>
      </c>
      <c r="E2568" s="62" t="s">
        <v>2583</v>
      </c>
      <c r="F2568" s="62" t="s">
        <v>2583</v>
      </c>
      <c r="G2568" s="62" t="s">
        <v>2584</v>
      </c>
      <c r="H2568" s="62" t="s">
        <v>59</v>
      </c>
      <c r="I2568" s="62" t="s">
        <v>47</v>
      </c>
      <c r="J2568" s="62" t="s">
        <v>146</v>
      </c>
      <c r="K2568" s="62" t="s">
        <v>147</v>
      </c>
      <c r="L2568" s="62" t="s">
        <v>4</v>
      </c>
      <c r="M2568" s="62" t="n">
        <v>2</v>
      </c>
      <c r="N2568" s="62" t="n">
        <v>0</v>
      </c>
      <c r="O2568" s="62" t="n">
        <v>2</v>
      </c>
      <c r="P2568" s="62" t="n">
        <v>0</v>
      </c>
      <c r="Q2568" s="62" t="n">
        <v>0</v>
      </c>
      <c r="R2568" s="62" t="n">
        <v>0</v>
      </c>
      <c r="S2568" s="62" t="n">
        <v>0</v>
      </c>
      <c r="T2568" s="62" t="n">
        <v>0</v>
      </c>
      <c r="U2568" s="62" t="s">
        <v>15</v>
      </c>
      <c r="V2568" s="62" t="s">
        <v>2057</v>
      </c>
      <c r="W2568" s="62" t="s">
        <v>15</v>
      </c>
      <c r="X2568" s="62"/>
      <c r="Y2568" s="62" t="s">
        <v>2103</v>
      </c>
      <c r="Z2568" s="62" t="s">
        <v>4617</v>
      </c>
      <c r="AA2568" s="62" t="s">
        <v>4681</v>
      </c>
      <c r="AB2568" s="62" t="n">
        <v>1</v>
      </c>
      <c r="AC2568" s="62" t="n">
        <v>0</v>
      </c>
      <c r="AD2568" s="62" t="n">
        <v>1</v>
      </c>
      <c r="AE2568" s="62" t="n">
        <f aca="false">IF(AND(Dashboard!$C$9="Yes",AC2568=1),0,1)</f>
        <v>1</v>
      </c>
      <c r="AF2568" s="62" t="n">
        <v>0</v>
      </c>
    </row>
    <row r="2569" customFormat="false" ht="15" hidden="false" customHeight="false" outlineLevel="0" collapsed="false">
      <c r="A2569" s="62" t="n">
        <v>2568</v>
      </c>
      <c r="B2569" s="63" t="n">
        <v>46290.0061111111</v>
      </c>
      <c r="C2569" s="64" t="n">
        <v>46289</v>
      </c>
      <c r="D2569" s="62" t="s">
        <v>202</v>
      </c>
      <c r="E2569" s="62" t="s">
        <v>2050</v>
      </c>
      <c r="F2569" s="62" t="s">
        <v>2050</v>
      </c>
      <c r="G2569" s="62" t="s">
        <v>2051</v>
      </c>
      <c r="H2569" s="62" t="s">
        <v>46</v>
      </c>
      <c r="I2569" s="62" t="s">
        <v>47</v>
      </c>
      <c r="J2569" s="62" t="s">
        <v>146</v>
      </c>
      <c r="K2569" s="62" t="s">
        <v>209</v>
      </c>
      <c r="L2569" s="62" t="s">
        <v>4</v>
      </c>
      <c r="M2569" s="62" t="n">
        <v>1</v>
      </c>
      <c r="N2569" s="62" t="n">
        <v>0</v>
      </c>
      <c r="O2569" s="62" t="n">
        <v>1</v>
      </c>
      <c r="P2569" s="62" t="n">
        <v>0</v>
      </c>
      <c r="Q2569" s="62" t="n">
        <v>0</v>
      </c>
      <c r="R2569" s="62" t="n">
        <v>0</v>
      </c>
      <c r="S2569" s="62" t="n">
        <v>0</v>
      </c>
      <c r="T2569" s="62" t="n">
        <v>0</v>
      </c>
      <c r="U2569" s="62" t="s">
        <v>2056</v>
      </c>
      <c r="V2569" s="62" t="s">
        <v>2057</v>
      </c>
      <c r="W2569" s="62" t="s">
        <v>2056</v>
      </c>
      <c r="X2569" s="62" t="s">
        <v>2164</v>
      </c>
      <c r="Y2569" s="62" t="s">
        <v>2064</v>
      </c>
      <c r="Z2569" s="62" t="s">
        <v>4682</v>
      </c>
      <c r="AA2569" s="62" t="s">
        <v>4683</v>
      </c>
      <c r="AB2569" s="62" t="n">
        <v>1</v>
      </c>
      <c r="AC2569" s="62" t="n">
        <v>0</v>
      </c>
      <c r="AD2569" s="62" t="n">
        <v>1</v>
      </c>
      <c r="AE2569" s="62" t="n">
        <f aca="false">IF(AND(Dashboard!$C$9="Yes",AC2569=1),0,1)</f>
        <v>1</v>
      </c>
      <c r="AF2569" s="62" t="n">
        <v>0</v>
      </c>
    </row>
    <row r="2570" customFormat="false" ht="15" hidden="false" customHeight="false" outlineLevel="0" collapsed="false">
      <c r="A2570" s="62" t="n">
        <v>2569</v>
      </c>
      <c r="B2570" s="63" t="n">
        <v>46290.0077662037</v>
      </c>
      <c r="C2570" s="64" t="n">
        <v>46289</v>
      </c>
      <c r="D2570" s="62" t="s">
        <v>202</v>
      </c>
      <c r="E2570" s="62" t="s">
        <v>3967</v>
      </c>
      <c r="F2570" s="62" t="s">
        <v>3967</v>
      </c>
      <c r="G2570" s="62" t="s">
        <v>3968</v>
      </c>
      <c r="H2570" s="62" t="s">
        <v>46</v>
      </c>
      <c r="I2570" s="62" t="s">
        <v>47</v>
      </c>
      <c r="J2570" s="62" t="s">
        <v>146</v>
      </c>
      <c r="K2570" s="62" t="s">
        <v>209</v>
      </c>
      <c r="L2570" s="62" t="s">
        <v>4</v>
      </c>
      <c r="M2570" s="62" t="n">
        <v>1</v>
      </c>
      <c r="N2570" s="62" t="n">
        <v>0</v>
      </c>
      <c r="O2570" s="62" t="n">
        <v>1</v>
      </c>
      <c r="P2570" s="62" t="n">
        <v>0</v>
      </c>
      <c r="Q2570" s="62" t="n">
        <v>0</v>
      </c>
      <c r="R2570" s="62" t="n">
        <v>0</v>
      </c>
      <c r="S2570" s="62" t="n">
        <v>0</v>
      </c>
      <c r="T2570" s="62" t="n">
        <v>0</v>
      </c>
      <c r="U2570" s="62" t="s">
        <v>2056</v>
      </c>
      <c r="V2570" s="62" t="s">
        <v>2057</v>
      </c>
      <c r="W2570" s="62" t="s">
        <v>15</v>
      </c>
      <c r="X2570" s="62" t="s">
        <v>2253</v>
      </c>
      <c r="Y2570" s="62" t="s">
        <v>2059</v>
      </c>
      <c r="Z2570" s="62" t="s">
        <v>4684</v>
      </c>
      <c r="AA2570" s="62" t="s">
        <v>4685</v>
      </c>
      <c r="AB2570" s="62" t="n">
        <v>1</v>
      </c>
      <c r="AC2570" s="62" t="n">
        <v>0</v>
      </c>
      <c r="AD2570" s="62" t="n">
        <v>1</v>
      </c>
      <c r="AE2570" s="62" t="n">
        <f aca="false">IF(AND(Dashboard!$C$9="Yes",AC2570=1),0,1)</f>
        <v>1</v>
      </c>
      <c r="AF2570" s="62" t="n">
        <v>1</v>
      </c>
    </row>
    <row r="2571" customFormat="false" ht="15" hidden="false" customHeight="false" outlineLevel="0" collapsed="false">
      <c r="A2571" s="62" t="n">
        <v>2570</v>
      </c>
      <c r="B2571" s="63" t="n">
        <v>46290.0340856482</v>
      </c>
      <c r="C2571" s="64" t="n">
        <v>46289</v>
      </c>
      <c r="D2571" s="62" t="s">
        <v>202</v>
      </c>
      <c r="E2571" s="62" t="s">
        <v>2385</v>
      </c>
      <c r="F2571" s="62" t="s">
        <v>2385</v>
      </c>
      <c r="G2571" s="62" t="s">
        <v>2386</v>
      </c>
      <c r="H2571" s="62" t="s">
        <v>59</v>
      </c>
      <c r="I2571" s="62" t="s">
        <v>47</v>
      </c>
      <c r="J2571" s="62" t="s">
        <v>146</v>
      </c>
      <c r="K2571" s="62" t="s">
        <v>209</v>
      </c>
      <c r="L2571" s="62" t="s">
        <v>4</v>
      </c>
      <c r="M2571" s="62" t="n">
        <v>1</v>
      </c>
      <c r="N2571" s="62" t="n">
        <v>0</v>
      </c>
      <c r="O2571" s="62" t="n">
        <v>1</v>
      </c>
      <c r="P2571" s="62" t="n">
        <v>0</v>
      </c>
      <c r="Q2571" s="62" t="n">
        <v>0</v>
      </c>
      <c r="R2571" s="62" t="n">
        <v>0</v>
      </c>
      <c r="S2571" s="62" t="n">
        <v>0</v>
      </c>
      <c r="T2571" s="62" t="n">
        <v>0</v>
      </c>
      <c r="U2571" s="62" t="s">
        <v>2056</v>
      </c>
      <c r="V2571" s="62" t="s">
        <v>2068</v>
      </c>
      <c r="W2571" s="62"/>
      <c r="X2571" s="62" t="s">
        <v>2103</v>
      </c>
      <c r="Y2571" s="62" t="s">
        <v>2059</v>
      </c>
      <c r="Z2571" s="62" t="s">
        <v>4686</v>
      </c>
      <c r="AA2571" s="62" t="s">
        <v>4687</v>
      </c>
      <c r="AB2571" s="62" t="n">
        <v>1</v>
      </c>
      <c r="AC2571" s="62" t="n">
        <v>0</v>
      </c>
      <c r="AD2571" s="62" t="n">
        <v>1</v>
      </c>
      <c r="AE2571" s="62" t="n">
        <f aca="false">IF(AND(Dashboard!$C$9="Yes",AC2571=1),0,1)</f>
        <v>1</v>
      </c>
      <c r="AF2571" s="62" t="n">
        <v>1</v>
      </c>
    </row>
    <row r="2572" customFormat="false" ht="15" hidden="false" customHeight="false" outlineLevel="0" collapsed="false">
      <c r="A2572" s="62" t="n">
        <v>2571</v>
      </c>
      <c r="B2572" s="63" t="n">
        <v>46290.0640162037</v>
      </c>
      <c r="C2572" s="64" t="n">
        <v>46289</v>
      </c>
      <c r="D2572" s="62" t="s">
        <v>202</v>
      </c>
      <c r="E2572" s="62" t="s">
        <v>3967</v>
      </c>
      <c r="F2572" s="62" t="s">
        <v>3967</v>
      </c>
      <c r="G2572" s="62" t="s">
        <v>3968</v>
      </c>
      <c r="H2572" s="62" t="s">
        <v>46</v>
      </c>
      <c r="I2572" s="62" t="s">
        <v>47</v>
      </c>
      <c r="J2572" s="62" t="s">
        <v>146</v>
      </c>
      <c r="K2572" s="62" t="s">
        <v>209</v>
      </c>
      <c r="L2572" s="62" t="s">
        <v>4</v>
      </c>
      <c r="M2572" s="62" t="n">
        <v>1</v>
      </c>
      <c r="N2572" s="62" t="n">
        <v>0</v>
      </c>
      <c r="O2572" s="62" t="n">
        <v>1</v>
      </c>
      <c r="P2572" s="62" t="n">
        <v>0</v>
      </c>
      <c r="Q2572" s="62" t="n">
        <v>0</v>
      </c>
      <c r="R2572" s="62" t="n">
        <v>0</v>
      </c>
      <c r="S2572" s="62" t="n">
        <v>0</v>
      </c>
      <c r="T2572" s="62" t="n">
        <v>0</v>
      </c>
      <c r="U2572" s="62" t="s">
        <v>2056</v>
      </c>
      <c r="V2572" s="62" t="s">
        <v>2057</v>
      </c>
      <c r="W2572" s="62" t="s">
        <v>15</v>
      </c>
      <c r="X2572" s="62" t="s">
        <v>2058</v>
      </c>
      <c r="Y2572" s="62" t="s">
        <v>2059</v>
      </c>
      <c r="Z2572" s="62" t="s">
        <v>4688</v>
      </c>
      <c r="AA2572" s="62" t="s">
        <v>4689</v>
      </c>
      <c r="AB2572" s="62" t="n">
        <v>1</v>
      </c>
      <c r="AC2572" s="62" t="n">
        <v>0</v>
      </c>
      <c r="AD2572" s="62" t="n">
        <v>1</v>
      </c>
      <c r="AE2572" s="62" t="n">
        <f aca="false">IF(AND(Dashboard!$C$9="Yes",AC2572=1),0,1)</f>
        <v>1</v>
      </c>
      <c r="AF2572" s="62" t="n">
        <v>0</v>
      </c>
    </row>
    <row r="2573" customFormat="false" ht="15" hidden="false" customHeight="false" outlineLevel="0" collapsed="false">
      <c r="A2573" s="62" t="n">
        <v>2572</v>
      </c>
      <c r="B2573" s="63" t="n">
        <v>46290.0751967593</v>
      </c>
      <c r="C2573" s="64" t="n">
        <v>46289</v>
      </c>
      <c r="D2573" s="62" t="s">
        <v>202</v>
      </c>
      <c r="E2573" s="62" t="s">
        <v>892</v>
      </c>
      <c r="F2573" s="62" t="s">
        <v>892</v>
      </c>
      <c r="G2573" s="62" t="s">
        <v>893</v>
      </c>
      <c r="H2573" s="62" t="s">
        <v>46</v>
      </c>
      <c r="I2573" s="62" t="s">
        <v>47</v>
      </c>
      <c r="J2573" s="62" t="s">
        <v>146</v>
      </c>
      <c r="K2573" s="62" t="s">
        <v>209</v>
      </c>
      <c r="L2573" s="62" t="s">
        <v>148</v>
      </c>
      <c r="M2573" s="62" t="n">
        <v>0</v>
      </c>
      <c r="N2573" s="62" t="n">
        <v>1</v>
      </c>
      <c r="O2573" s="62" t="n">
        <v>1</v>
      </c>
      <c r="P2573" s="62" t="n">
        <v>1</v>
      </c>
      <c r="Q2573" s="62" t="n">
        <v>0</v>
      </c>
      <c r="R2573" s="62" t="n">
        <v>0</v>
      </c>
      <c r="S2573" s="62" t="n">
        <v>0</v>
      </c>
      <c r="T2573" s="62" t="n">
        <v>0</v>
      </c>
      <c r="U2573" s="62"/>
      <c r="V2573" s="62"/>
      <c r="W2573" s="62"/>
      <c r="X2573" s="62"/>
      <c r="Y2573" s="62"/>
      <c r="Z2573" s="62" t="s">
        <v>4690</v>
      </c>
      <c r="AA2573" s="62" t="s">
        <v>337</v>
      </c>
      <c r="AB2573" s="62" t="n">
        <v>0</v>
      </c>
      <c r="AC2573" s="62" t="n">
        <v>0</v>
      </c>
      <c r="AD2573" s="62" t="n">
        <v>1</v>
      </c>
      <c r="AE2573" s="62" t="n">
        <f aca="false">IF(AND(Dashboard!$C$9="Yes",AC2573=1),0,1)</f>
        <v>1</v>
      </c>
      <c r="AF2573" s="62" t="n">
        <v>0</v>
      </c>
    </row>
    <row r="2574" customFormat="false" ht="15" hidden="false" customHeight="false" outlineLevel="0" collapsed="false">
      <c r="A2574" s="62" t="n">
        <v>2573</v>
      </c>
      <c r="B2574" s="63" t="n">
        <v>46290.0782523148</v>
      </c>
      <c r="C2574" s="64" t="n">
        <v>46289</v>
      </c>
      <c r="D2574" s="62" t="s">
        <v>202</v>
      </c>
      <c r="E2574" s="62" t="s">
        <v>1749</v>
      </c>
      <c r="F2574" s="62" t="s">
        <v>1749</v>
      </c>
      <c r="G2574" s="62" t="s">
        <v>1750</v>
      </c>
      <c r="H2574" s="62" t="s">
        <v>57</v>
      </c>
      <c r="I2574" s="62" t="s">
        <v>47</v>
      </c>
      <c r="J2574" s="62" t="s">
        <v>146</v>
      </c>
      <c r="K2574" s="62" t="s">
        <v>209</v>
      </c>
      <c r="L2574" s="62" t="s">
        <v>148</v>
      </c>
      <c r="M2574" s="62" t="n">
        <v>0</v>
      </c>
      <c r="N2574" s="62" t="n">
        <v>1</v>
      </c>
      <c r="O2574" s="62" t="n">
        <v>1</v>
      </c>
      <c r="P2574" s="62" t="n">
        <v>0</v>
      </c>
      <c r="Q2574" s="62" t="n">
        <v>0</v>
      </c>
      <c r="R2574" s="62" t="n">
        <v>1</v>
      </c>
      <c r="S2574" s="62" t="n">
        <v>0</v>
      </c>
      <c r="T2574" s="62" t="n">
        <v>0</v>
      </c>
      <c r="U2574" s="62"/>
      <c r="V2574" s="62"/>
      <c r="W2574" s="62"/>
      <c r="X2574" s="62"/>
      <c r="Y2574" s="62"/>
      <c r="Z2574" s="62" t="s">
        <v>4691</v>
      </c>
      <c r="AA2574" s="62" t="s">
        <v>4692</v>
      </c>
      <c r="AB2574" s="62" t="n">
        <v>1</v>
      </c>
      <c r="AC2574" s="62" t="n">
        <v>0</v>
      </c>
      <c r="AD2574" s="62" t="n">
        <v>1</v>
      </c>
      <c r="AE2574" s="62" t="n">
        <f aca="false">IF(AND(Dashboard!$C$9="Yes",AC2574=1),0,1)</f>
        <v>1</v>
      </c>
      <c r="AF2574" s="62" t="n">
        <v>1</v>
      </c>
    </row>
    <row r="2575" customFormat="false" ht="15" hidden="false" customHeight="false" outlineLevel="0" collapsed="false">
      <c r="A2575" s="62" t="n">
        <v>2574</v>
      </c>
      <c r="B2575" s="63" t="n">
        <v>46290.0891319444</v>
      </c>
      <c r="C2575" s="64" t="n">
        <v>46289</v>
      </c>
      <c r="D2575" s="62" t="s">
        <v>202</v>
      </c>
      <c r="E2575" s="62" t="s">
        <v>2583</v>
      </c>
      <c r="F2575" s="62" t="s">
        <v>2583</v>
      </c>
      <c r="G2575" s="62" t="s">
        <v>2584</v>
      </c>
      <c r="H2575" s="62" t="s">
        <v>59</v>
      </c>
      <c r="I2575" s="62" t="s">
        <v>47</v>
      </c>
      <c r="J2575" s="62" t="s">
        <v>146</v>
      </c>
      <c r="K2575" s="62" t="s">
        <v>147</v>
      </c>
      <c r="L2575" s="62" t="s">
        <v>148</v>
      </c>
      <c r="M2575" s="62" t="n">
        <v>0</v>
      </c>
      <c r="N2575" s="62" t="n">
        <v>1</v>
      </c>
      <c r="O2575" s="62" t="n">
        <v>1</v>
      </c>
      <c r="P2575" s="62" t="n">
        <v>1</v>
      </c>
      <c r="Q2575" s="62" t="n">
        <v>0</v>
      </c>
      <c r="R2575" s="62" t="n">
        <v>0</v>
      </c>
      <c r="S2575" s="62" t="n">
        <v>0</v>
      </c>
      <c r="T2575" s="62" t="n">
        <v>0</v>
      </c>
      <c r="U2575" s="62"/>
      <c r="V2575" s="62"/>
      <c r="W2575" s="62"/>
      <c r="X2575" s="62"/>
      <c r="Y2575" s="62"/>
      <c r="Z2575" s="62" t="s">
        <v>4693</v>
      </c>
      <c r="AA2575" s="62" t="s">
        <v>4694</v>
      </c>
      <c r="AB2575" s="62" t="n">
        <v>1</v>
      </c>
      <c r="AC2575" s="62" t="n">
        <v>0</v>
      </c>
      <c r="AD2575" s="62" t="n">
        <v>1</v>
      </c>
      <c r="AE2575" s="62" t="n">
        <f aca="false">IF(AND(Dashboard!$C$9="Yes",AC2575=1),0,1)</f>
        <v>1</v>
      </c>
      <c r="AF2575" s="62" t="n">
        <v>0</v>
      </c>
    </row>
    <row r="2576" customFormat="false" ht="15" hidden="false" customHeight="false" outlineLevel="0" collapsed="false">
      <c r="A2576" s="62" t="n">
        <v>2575</v>
      </c>
      <c r="B2576" s="63" t="n">
        <v>46290.0929513889</v>
      </c>
      <c r="C2576" s="64" t="n">
        <v>46289</v>
      </c>
      <c r="D2576" s="62" t="s">
        <v>202</v>
      </c>
      <c r="E2576" s="62" t="s">
        <v>2071</v>
      </c>
      <c r="F2576" s="62" t="s">
        <v>2071</v>
      </c>
      <c r="G2576" s="62" t="s">
        <v>2072</v>
      </c>
      <c r="H2576" s="62" t="s">
        <v>58</v>
      </c>
      <c r="I2576" s="62" t="s">
        <v>49</v>
      </c>
      <c r="J2576" s="62" t="s">
        <v>146</v>
      </c>
      <c r="K2576" s="62" t="s">
        <v>175</v>
      </c>
      <c r="L2576" s="62" t="s">
        <v>148</v>
      </c>
      <c r="M2576" s="62" t="n">
        <v>0</v>
      </c>
      <c r="N2576" s="62" t="n">
        <v>1</v>
      </c>
      <c r="O2576" s="62" t="n">
        <v>1</v>
      </c>
      <c r="P2576" s="62" t="n">
        <v>1</v>
      </c>
      <c r="Q2576" s="62" t="n">
        <v>0</v>
      </c>
      <c r="R2576" s="62" t="n">
        <v>0</v>
      </c>
      <c r="S2576" s="62" t="n">
        <v>0</v>
      </c>
      <c r="T2576" s="62" t="n">
        <v>0</v>
      </c>
      <c r="U2576" s="62"/>
      <c r="V2576" s="62"/>
      <c r="W2576" s="62"/>
      <c r="X2576" s="62"/>
      <c r="Y2576" s="62"/>
      <c r="Z2576" s="62" t="s">
        <v>4695</v>
      </c>
      <c r="AA2576" s="62" t="s">
        <v>4696</v>
      </c>
      <c r="AB2576" s="62" t="n">
        <v>1</v>
      </c>
      <c r="AC2576" s="62" t="n">
        <v>0</v>
      </c>
      <c r="AD2576" s="62" t="n">
        <v>1</v>
      </c>
      <c r="AE2576" s="62" t="n">
        <f aca="false">IF(AND(Dashboard!$C$9="Yes",AC2576=1),0,1)</f>
        <v>1</v>
      </c>
      <c r="AF2576" s="62" t="n">
        <v>0</v>
      </c>
    </row>
    <row r="2577" customFormat="false" ht="15" hidden="false" customHeight="false" outlineLevel="0" collapsed="false">
      <c r="A2577" s="62" t="n">
        <v>2576</v>
      </c>
      <c r="B2577" s="63" t="n">
        <v>46290.112349537</v>
      </c>
      <c r="C2577" s="64" t="n">
        <v>46289</v>
      </c>
      <c r="D2577" s="62" t="s">
        <v>202</v>
      </c>
      <c r="E2577" s="62" t="s">
        <v>1539</v>
      </c>
      <c r="F2577" s="62" t="s">
        <v>1539</v>
      </c>
      <c r="G2577" s="62" t="s">
        <v>1540</v>
      </c>
      <c r="H2577" s="62" t="s">
        <v>52</v>
      </c>
      <c r="I2577" s="62" t="s">
        <v>47</v>
      </c>
      <c r="J2577" s="62" t="s">
        <v>146</v>
      </c>
      <c r="K2577" s="62" t="s">
        <v>147</v>
      </c>
      <c r="L2577" s="62" t="s">
        <v>148</v>
      </c>
      <c r="M2577" s="62" t="n">
        <v>0</v>
      </c>
      <c r="N2577" s="62" t="n">
        <v>1</v>
      </c>
      <c r="O2577" s="62" t="n">
        <v>1</v>
      </c>
      <c r="P2577" s="62" t="n">
        <v>1</v>
      </c>
      <c r="Q2577" s="62" t="n">
        <v>0</v>
      </c>
      <c r="R2577" s="62" t="n">
        <v>0</v>
      </c>
      <c r="S2577" s="62" t="n">
        <v>0</v>
      </c>
      <c r="T2577" s="62" t="n">
        <v>0</v>
      </c>
      <c r="U2577" s="62"/>
      <c r="V2577" s="62"/>
      <c r="W2577" s="62"/>
      <c r="X2577" s="62"/>
      <c r="Y2577" s="62"/>
      <c r="Z2577" s="62" t="s">
        <v>4697</v>
      </c>
      <c r="AA2577" s="62" t="s">
        <v>4698</v>
      </c>
      <c r="AB2577" s="62" t="n">
        <v>1</v>
      </c>
      <c r="AC2577" s="62" t="n">
        <v>0</v>
      </c>
      <c r="AD2577" s="62" t="n">
        <v>1</v>
      </c>
      <c r="AE2577" s="62" t="n">
        <f aca="false">IF(AND(Dashboard!$C$9="Yes",AC2577=1),0,1)</f>
        <v>1</v>
      </c>
      <c r="AF2577" s="62" t="n">
        <v>0</v>
      </c>
    </row>
    <row r="2578" customFormat="false" ht="15" hidden="false" customHeight="false" outlineLevel="0" collapsed="false">
      <c r="A2578" s="62" t="n">
        <v>2577</v>
      </c>
      <c r="B2578" s="63" t="n">
        <v>46290.1123726852</v>
      </c>
      <c r="C2578" s="64" t="n">
        <v>46289</v>
      </c>
      <c r="D2578" s="62" t="s">
        <v>202</v>
      </c>
      <c r="E2578" s="62" t="s">
        <v>2637</v>
      </c>
      <c r="F2578" s="62" t="s">
        <v>2637</v>
      </c>
      <c r="G2578" s="62" t="s">
        <v>2638</v>
      </c>
      <c r="H2578" s="62" t="s">
        <v>52</v>
      </c>
      <c r="I2578" s="62" t="s">
        <v>47</v>
      </c>
      <c r="J2578" s="62" t="s">
        <v>146</v>
      </c>
      <c r="K2578" s="62" t="s">
        <v>147</v>
      </c>
      <c r="L2578" s="62" t="s">
        <v>4</v>
      </c>
      <c r="M2578" s="62" t="n">
        <v>1</v>
      </c>
      <c r="N2578" s="62" t="n">
        <v>0</v>
      </c>
      <c r="O2578" s="62" t="n">
        <v>1</v>
      </c>
      <c r="P2578" s="62" t="n">
        <v>0</v>
      </c>
      <c r="Q2578" s="62" t="n">
        <v>0</v>
      </c>
      <c r="R2578" s="62" t="n">
        <v>0</v>
      </c>
      <c r="S2578" s="62" t="n">
        <v>0</v>
      </c>
      <c r="T2578" s="62" t="n">
        <v>0</v>
      </c>
      <c r="U2578" s="62" t="s">
        <v>2056</v>
      </c>
      <c r="V2578" s="62" t="s">
        <v>2057</v>
      </c>
      <c r="W2578" s="62" t="s">
        <v>15</v>
      </c>
      <c r="X2578" s="62"/>
      <c r="Y2578" s="62" t="s">
        <v>2064</v>
      </c>
      <c r="Z2578" s="62" t="s">
        <v>4699</v>
      </c>
      <c r="AA2578" s="62" t="s">
        <v>4700</v>
      </c>
      <c r="AB2578" s="62" t="n">
        <v>1</v>
      </c>
      <c r="AC2578" s="62" t="n">
        <v>0</v>
      </c>
      <c r="AD2578" s="62" t="n">
        <v>1</v>
      </c>
      <c r="AE2578" s="62" t="n">
        <f aca="false">IF(AND(Dashboard!$C$9="Yes",AC2578=1),0,1)</f>
        <v>1</v>
      </c>
      <c r="AF2578" s="62" t="n">
        <v>1</v>
      </c>
    </row>
    <row r="2579" customFormat="false" ht="15" hidden="false" customHeight="false" outlineLevel="0" collapsed="false">
      <c r="A2579" s="62" t="n">
        <v>2578</v>
      </c>
      <c r="B2579" s="63" t="n">
        <v>46290.1359722222</v>
      </c>
      <c r="C2579" s="64" t="n">
        <v>46289</v>
      </c>
      <c r="D2579" s="62" t="s">
        <v>202</v>
      </c>
      <c r="E2579" s="62" t="s">
        <v>2365</v>
      </c>
      <c r="F2579" s="62" t="s">
        <v>2365</v>
      </c>
      <c r="G2579" s="62" t="s">
        <v>2366</v>
      </c>
      <c r="H2579" s="62" t="s">
        <v>52</v>
      </c>
      <c r="I2579" s="62" t="s">
        <v>47</v>
      </c>
      <c r="J2579" s="62" t="s">
        <v>146</v>
      </c>
      <c r="K2579" s="62" t="s">
        <v>147</v>
      </c>
      <c r="L2579" s="62" t="s">
        <v>4</v>
      </c>
      <c r="M2579" s="62" t="n">
        <v>1</v>
      </c>
      <c r="N2579" s="62" t="n">
        <v>0</v>
      </c>
      <c r="O2579" s="62" t="n">
        <v>1</v>
      </c>
      <c r="P2579" s="62" t="n">
        <v>0</v>
      </c>
      <c r="Q2579" s="62" t="n">
        <v>0</v>
      </c>
      <c r="R2579" s="62" t="n">
        <v>0</v>
      </c>
      <c r="S2579" s="62" t="n">
        <v>0</v>
      </c>
      <c r="T2579" s="62" t="n">
        <v>0</v>
      </c>
      <c r="U2579" s="62" t="s">
        <v>15</v>
      </c>
      <c r="V2579" s="62" t="s">
        <v>2057</v>
      </c>
      <c r="W2579" s="62" t="s">
        <v>2056</v>
      </c>
      <c r="X2579" s="62" t="s">
        <v>2164</v>
      </c>
      <c r="Y2579" s="62" t="s">
        <v>2165</v>
      </c>
      <c r="Z2579" s="62" t="s">
        <v>4701</v>
      </c>
      <c r="AA2579" s="62" t="s">
        <v>4702</v>
      </c>
      <c r="AB2579" s="62" t="n">
        <v>1</v>
      </c>
      <c r="AC2579" s="62" t="n">
        <v>0</v>
      </c>
      <c r="AD2579" s="62" t="n">
        <v>1</v>
      </c>
      <c r="AE2579" s="62" t="n">
        <f aca="false">IF(AND(Dashboard!$C$9="Yes",AC2579=1),0,1)</f>
        <v>1</v>
      </c>
      <c r="AF2579" s="62" t="n">
        <v>1</v>
      </c>
    </row>
    <row r="2580" customFormat="false" ht="15" hidden="false" customHeight="false" outlineLevel="0" collapsed="false">
      <c r="A2580" s="62" t="n">
        <v>2579</v>
      </c>
      <c r="B2580" s="63" t="n">
        <v>46290.1385069444</v>
      </c>
      <c r="C2580" s="64" t="n">
        <v>46289</v>
      </c>
      <c r="D2580" s="62" t="s">
        <v>202</v>
      </c>
      <c r="E2580" s="62" t="s">
        <v>1749</v>
      </c>
      <c r="F2580" s="62" t="s">
        <v>1749</v>
      </c>
      <c r="G2580" s="62" t="s">
        <v>1750</v>
      </c>
      <c r="H2580" s="62" t="s">
        <v>57</v>
      </c>
      <c r="I2580" s="62" t="s">
        <v>47</v>
      </c>
      <c r="J2580" s="62" t="s">
        <v>146</v>
      </c>
      <c r="K2580" s="62" t="s">
        <v>209</v>
      </c>
      <c r="L2580" s="62" t="s">
        <v>148</v>
      </c>
      <c r="M2580" s="62" t="n">
        <v>0</v>
      </c>
      <c r="N2580" s="62" t="n">
        <v>1</v>
      </c>
      <c r="O2580" s="62" t="n">
        <v>1</v>
      </c>
      <c r="P2580" s="62" t="n">
        <v>0</v>
      </c>
      <c r="Q2580" s="62" t="n">
        <v>1</v>
      </c>
      <c r="R2580" s="62" t="n">
        <v>0</v>
      </c>
      <c r="S2580" s="62" t="n">
        <v>0</v>
      </c>
      <c r="T2580" s="62" t="n">
        <v>0</v>
      </c>
      <c r="U2580" s="62"/>
      <c r="V2580" s="62"/>
      <c r="W2580" s="62"/>
      <c r="X2580" s="62"/>
      <c r="Y2580" s="62"/>
      <c r="Z2580" s="62" t="s">
        <v>4703</v>
      </c>
      <c r="AA2580" s="62" t="s">
        <v>4704</v>
      </c>
      <c r="AB2580" s="62" t="n">
        <v>1</v>
      </c>
      <c r="AC2580" s="62" t="n">
        <v>0</v>
      </c>
      <c r="AD2580" s="62" t="n">
        <v>1</v>
      </c>
      <c r="AE2580" s="62" t="n">
        <f aca="false">IF(AND(Dashboard!$C$9="Yes",AC2580=1),0,1)</f>
        <v>1</v>
      </c>
      <c r="AF2580" s="62" t="n">
        <v>0</v>
      </c>
    </row>
    <row r="2581" customFormat="false" ht="15" hidden="false" customHeight="false" outlineLevel="0" collapsed="false">
      <c r="A2581" s="62" t="n">
        <v>2580</v>
      </c>
      <c r="B2581" s="63" t="n">
        <v>46290.1517939815</v>
      </c>
      <c r="C2581" s="64" t="n">
        <v>46289</v>
      </c>
      <c r="D2581" s="62" t="s">
        <v>202</v>
      </c>
      <c r="E2581" s="62" t="s">
        <v>865</v>
      </c>
      <c r="F2581" s="62" t="s">
        <v>865</v>
      </c>
      <c r="G2581" s="62" t="s">
        <v>866</v>
      </c>
      <c r="H2581" s="62" t="s">
        <v>46</v>
      </c>
      <c r="I2581" s="62" t="s">
        <v>47</v>
      </c>
      <c r="J2581" s="62" t="s">
        <v>146</v>
      </c>
      <c r="K2581" s="62" t="s">
        <v>209</v>
      </c>
      <c r="L2581" s="62" t="s">
        <v>148</v>
      </c>
      <c r="M2581" s="62" t="n">
        <v>0</v>
      </c>
      <c r="N2581" s="62" t="n">
        <v>1</v>
      </c>
      <c r="O2581" s="62" t="n">
        <v>1</v>
      </c>
      <c r="P2581" s="62" t="n">
        <v>1</v>
      </c>
      <c r="Q2581" s="62" t="n">
        <v>0</v>
      </c>
      <c r="R2581" s="62" t="n">
        <v>0</v>
      </c>
      <c r="S2581" s="62" t="n">
        <v>0</v>
      </c>
      <c r="T2581" s="62" t="n">
        <v>0</v>
      </c>
      <c r="U2581" s="62"/>
      <c r="V2581" s="62"/>
      <c r="W2581" s="62"/>
      <c r="X2581" s="62"/>
      <c r="Y2581" s="62"/>
      <c r="Z2581" s="62" t="s">
        <v>4705</v>
      </c>
      <c r="AA2581" s="62" t="s">
        <v>4706</v>
      </c>
      <c r="AB2581" s="62" t="n">
        <v>1</v>
      </c>
      <c r="AC2581" s="62" t="n">
        <v>0</v>
      </c>
      <c r="AD2581" s="62" t="n">
        <v>1</v>
      </c>
      <c r="AE2581" s="62" t="n">
        <f aca="false">IF(AND(Dashboard!$C$9="Yes",AC2581=1),0,1)</f>
        <v>1</v>
      </c>
      <c r="AF2581" s="62" t="n">
        <v>0</v>
      </c>
    </row>
    <row r="2582" customFormat="false" ht="15" hidden="false" customHeight="false" outlineLevel="0" collapsed="false">
      <c r="A2582" s="62" t="n">
        <v>2581</v>
      </c>
      <c r="B2582" s="63" t="n">
        <v>46290.1518865741</v>
      </c>
      <c r="C2582" s="64" t="n">
        <v>46289</v>
      </c>
      <c r="D2582" s="62" t="s">
        <v>202</v>
      </c>
      <c r="E2582" s="62" t="s">
        <v>999</v>
      </c>
      <c r="F2582" s="62" t="s">
        <v>999</v>
      </c>
      <c r="G2582" s="62" t="s">
        <v>1000</v>
      </c>
      <c r="H2582" s="62" t="s">
        <v>46</v>
      </c>
      <c r="I2582" s="62" t="s">
        <v>47</v>
      </c>
      <c r="J2582" s="62" t="s">
        <v>146</v>
      </c>
      <c r="K2582" s="62" t="s">
        <v>209</v>
      </c>
      <c r="L2582" s="62" t="s">
        <v>148</v>
      </c>
      <c r="M2582" s="62" t="n">
        <v>0</v>
      </c>
      <c r="N2582" s="62" t="n">
        <v>1</v>
      </c>
      <c r="O2582" s="62" t="n">
        <v>1</v>
      </c>
      <c r="P2582" s="62" t="n">
        <v>1</v>
      </c>
      <c r="Q2582" s="62" t="n">
        <v>0</v>
      </c>
      <c r="R2582" s="62" t="n">
        <v>0</v>
      </c>
      <c r="S2582" s="62" t="n">
        <v>0</v>
      </c>
      <c r="T2582" s="62" t="n">
        <v>0</v>
      </c>
      <c r="U2582" s="62"/>
      <c r="V2582" s="62"/>
      <c r="W2582" s="62"/>
      <c r="X2582" s="62"/>
      <c r="Y2582" s="62"/>
      <c r="Z2582" s="62" t="s">
        <v>4707</v>
      </c>
      <c r="AA2582" s="62" t="s">
        <v>4708</v>
      </c>
      <c r="AB2582" s="62" t="n">
        <v>1</v>
      </c>
      <c r="AC2582" s="62" t="n">
        <v>0</v>
      </c>
      <c r="AD2582" s="62" t="n">
        <v>1</v>
      </c>
      <c r="AE2582" s="62" t="n">
        <f aca="false">IF(AND(Dashboard!$C$9="Yes",AC2582=1),0,1)</f>
        <v>1</v>
      </c>
      <c r="AF2582" s="62" t="n">
        <v>1</v>
      </c>
    </row>
    <row r="2583" customFormat="false" ht="15" hidden="false" customHeight="false" outlineLevel="0" collapsed="false">
      <c r="A2583" s="62" t="n">
        <v>2582</v>
      </c>
      <c r="B2583" s="63" t="n">
        <v>46290.1655787037</v>
      </c>
      <c r="C2583" s="64" t="n">
        <v>46289</v>
      </c>
      <c r="D2583" s="62" t="s">
        <v>202</v>
      </c>
      <c r="E2583" s="62" t="s">
        <v>967</v>
      </c>
      <c r="F2583" s="62" t="s">
        <v>967</v>
      </c>
      <c r="G2583" s="62" t="s">
        <v>968</v>
      </c>
      <c r="H2583" s="62" t="s">
        <v>46</v>
      </c>
      <c r="I2583" s="62" t="s">
        <v>47</v>
      </c>
      <c r="J2583" s="62" t="s">
        <v>146</v>
      </c>
      <c r="K2583" s="62" t="s">
        <v>209</v>
      </c>
      <c r="L2583" s="62" t="s">
        <v>148</v>
      </c>
      <c r="M2583" s="62" t="n">
        <v>0</v>
      </c>
      <c r="N2583" s="62" t="n">
        <v>1</v>
      </c>
      <c r="O2583" s="62" t="n">
        <v>1</v>
      </c>
      <c r="P2583" s="62" t="n">
        <v>1</v>
      </c>
      <c r="Q2583" s="62" t="n">
        <v>0</v>
      </c>
      <c r="R2583" s="62" t="n">
        <v>0</v>
      </c>
      <c r="S2583" s="62" t="n">
        <v>0</v>
      </c>
      <c r="T2583" s="62" t="n">
        <v>0</v>
      </c>
      <c r="U2583" s="62"/>
      <c r="V2583" s="62"/>
      <c r="W2583" s="62"/>
      <c r="X2583" s="62"/>
      <c r="Y2583" s="62"/>
      <c r="Z2583" s="62" t="s">
        <v>4709</v>
      </c>
      <c r="AA2583" s="62" t="s">
        <v>1649</v>
      </c>
      <c r="AB2583" s="62" t="n">
        <v>0</v>
      </c>
      <c r="AC2583" s="62" t="n">
        <v>0</v>
      </c>
      <c r="AD2583" s="62" t="n">
        <v>1</v>
      </c>
      <c r="AE2583" s="62" t="n">
        <f aca="false">IF(AND(Dashboard!$C$9="Yes",AC2583=1),0,1)</f>
        <v>1</v>
      </c>
      <c r="AF2583" s="62" t="n">
        <v>1</v>
      </c>
    </row>
    <row r="2584" customFormat="false" ht="15" hidden="false" customHeight="false" outlineLevel="0" collapsed="false">
      <c r="A2584" s="62" t="n">
        <v>2583</v>
      </c>
      <c r="B2584" s="63" t="n">
        <v>46290.1658912037</v>
      </c>
      <c r="C2584" s="64" t="n">
        <v>46289</v>
      </c>
      <c r="D2584" s="62" t="s">
        <v>202</v>
      </c>
      <c r="E2584" s="62" t="s">
        <v>4710</v>
      </c>
      <c r="F2584" s="62" t="s">
        <v>967</v>
      </c>
      <c r="G2584" s="62" t="s">
        <v>968</v>
      </c>
      <c r="H2584" s="62" t="s">
        <v>46</v>
      </c>
      <c r="I2584" s="62" t="s">
        <v>47</v>
      </c>
      <c r="J2584" s="62" t="s">
        <v>146</v>
      </c>
      <c r="K2584" s="62" t="s">
        <v>209</v>
      </c>
      <c r="L2584" s="62" t="s">
        <v>148</v>
      </c>
      <c r="M2584" s="62" t="n">
        <v>0</v>
      </c>
      <c r="N2584" s="62" t="n">
        <v>1</v>
      </c>
      <c r="O2584" s="62" t="n">
        <v>1</v>
      </c>
      <c r="P2584" s="62" t="n">
        <v>0</v>
      </c>
      <c r="Q2584" s="62" t="n">
        <v>0</v>
      </c>
      <c r="R2584" s="62" t="n">
        <v>0</v>
      </c>
      <c r="S2584" s="62" t="n">
        <v>1</v>
      </c>
      <c r="T2584" s="62" t="n">
        <v>0</v>
      </c>
      <c r="U2584" s="62"/>
      <c r="V2584" s="62"/>
      <c r="W2584" s="62"/>
      <c r="X2584" s="62"/>
      <c r="Y2584" s="62"/>
      <c r="Z2584" s="62" t="s">
        <v>4709</v>
      </c>
      <c r="AA2584" s="62" t="s">
        <v>485</v>
      </c>
      <c r="AB2584" s="62" t="n">
        <v>0</v>
      </c>
      <c r="AC2584" s="62" t="n">
        <v>0</v>
      </c>
      <c r="AD2584" s="62" t="n">
        <v>1</v>
      </c>
      <c r="AE2584" s="62" t="n">
        <f aca="false">IF(AND(Dashboard!$C$9="Yes",AC2584=1),0,1)</f>
        <v>1</v>
      </c>
      <c r="AF2584" s="62" t="n">
        <v>0</v>
      </c>
    </row>
    <row r="2585" customFormat="false" ht="15" hidden="false" customHeight="false" outlineLevel="0" collapsed="false">
      <c r="A2585" s="62" t="n">
        <v>2584</v>
      </c>
      <c r="B2585" s="63" t="n">
        <v>46290.1754861111</v>
      </c>
      <c r="C2585" s="64" t="n">
        <v>46289</v>
      </c>
      <c r="D2585" s="62" t="s">
        <v>202</v>
      </c>
      <c r="E2585" s="62" t="s">
        <v>3967</v>
      </c>
      <c r="F2585" s="62" t="s">
        <v>3967</v>
      </c>
      <c r="G2585" s="62" t="s">
        <v>3968</v>
      </c>
      <c r="H2585" s="62" t="s">
        <v>46</v>
      </c>
      <c r="I2585" s="62" t="s">
        <v>47</v>
      </c>
      <c r="J2585" s="62" t="s">
        <v>146</v>
      </c>
      <c r="K2585" s="62" t="s">
        <v>209</v>
      </c>
      <c r="L2585" s="62" t="s">
        <v>4</v>
      </c>
      <c r="M2585" s="62" t="n">
        <v>2</v>
      </c>
      <c r="N2585" s="62" t="n">
        <v>0</v>
      </c>
      <c r="O2585" s="62" t="n">
        <v>2</v>
      </c>
      <c r="P2585" s="62" t="n">
        <v>0</v>
      </c>
      <c r="Q2585" s="62" t="n">
        <v>0</v>
      </c>
      <c r="R2585" s="62" t="n">
        <v>0</v>
      </c>
      <c r="S2585" s="62" t="n">
        <v>0</v>
      </c>
      <c r="T2585" s="62" t="n">
        <v>0</v>
      </c>
      <c r="U2585" s="62" t="s">
        <v>2056</v>
      </c>
      <c r="V2585" s="62" t="s">
        <v>2057</v>
      </c>
      <c r="W2585" s="62" t="s">
        <v>15</v>
      </c>
      <c r="X2585" s="62" t="s">
        <v>2058</v>
      </c>
      <c r="Y2585" s="62" t="s">
        <v>2253</v>
      </c>
      <c r="Z2585" s="62" t="s">
        <v>4711</v>
      </c>
      <c r="AA2585" s="62" t="s">
        <v>4712</v>
      </c>
      <c r="AB2585" s="62" t="n">
        <v>0</v>
      </c>
      <c r="AC2585" s="62" t="n">
        <v>0</v>
      </c>
      <c r="AD2585" s="62" t="n">
        <v>1</v>
      </c>
      <c r="AE2585" s="62" t="n">
        <f aca="false">IF(AND(Dashboard!$C$9="Yes",AC2585=1),0,1)</f>
        <v>1</v>
      </c>
      <c r="AF2585" s="62" t="n">
        <v>0</v>
      </c>
    </row>
    <row r="2586" customFormat="false" ht="15" hidden="false" customHeight="false" outlineLevel="0" collapsed="false">
      <c r="A2586" s="62" t="n">
        <v>2585</v>
      </c>
      <c r="B2586" s="63" t="n">
        <v>46290.1784490741</v>
      </c>
      <c r="C2586" s="64" t="n">
        <v>46289</v>
      </c>
      <c r="D2586" s="62" t="s">
        <v>202</v>
      </c>
      <c r="E2586" s="62" t="s">
        <v>1749</v>
      </c>
      <c r="F2586" s="62" t="s">
        <v>1749</v>
      </c>
      <c r="G2586" s="62" t="s">
        <v>1750</v>
      </c>
      <c r="H2586" s="62" t="s">
        <v>57</v>
      </c>
      <c r="I2586" s="62" t="s">
        <v>47</v>
      </c>
      <c r="J2586" s="62" t="s">
        <v>146</v>
      </c>
      <c r="K2586" s="62" t="s">
        <v>209</v>
      </c>
      <c r="L2586" s="62" t="s">
        <v>148</v>
      </c>
      <c r="M2586" s="62" t="n">
        <v>0</v>
      </c>
      <c r="N2586" s="62" t="n">
        <v>1</v>
      </c>
      <c r="O2586" s="62" t="n">
        <v>1</v>
      </c>
      <c r="P2586" s="62" t="n">
        <v>0</v>
      </c>
      <c r="Q2586" s="62" t="n">
        <v>1</v>
      </c>
      <c r="R2586" s="62" t="n">
        <v>0</v>
      </c>
      <c r="S2586" s="62" t="n">
        <v>0</v>
      </c>
      <c r="T2586" s="62" t="n">
        <v>0</v>
      </c>
      <c r="U2586" s="62"/>
      <c r="V2586" s="62"/>
      <c r="W2586" s="62"/>
      <c r="X2586" s="62"/>
      <c r="Y2586" s="62"/>
      <c r="Z2586" s="62" t="s">
        <v>4713</v>
      </c>
      <c r="AA2586" s="62" t="s">
        <v>4714</v>
      </c>
      <c r="AB2586" s="62" t="n">
        <v>1</v>
      </c>
      <c r="AC2586" s="62" t="n">
        <v>0</v>
      </c>
      <c r="AD2586" s="62" t="n">
        <v>1</v>
      </c>
      <c r="AE2586" s="62" t="n">
        <f aca="false">IF(AND(Dashboard!$C$9="Yes",AC2586=1),0,1)</f>
        <v>1</v>
      </c>
      <c r="AF2586" s="62" t="n">
        <v>0</v>
      </c>
    </row>
    <row r="2587" customFormat="false" ht="15" hidden="false" customHeight="false" outlineLevel="0" collapsed="false">
      <c r="A2587" s="62" t="n">
        <v>2586</v>
      </c>
      <c r="B2587" s="63" t="n">
        <v>46290.186099537</v>
      </c>
      <c r="C2587" s="64" t="n">
        <v>46289</v>
      </c>
      <c r="D2587" s="62" t="s">
        <v>202</v>
      </c>
      <c r="E2587" s="62" t="s">
        <v>2134</v>
      </c>
      <c r="F2587" s="62" t="s">
        <v>2134</v>
      </c>
      <c r="G2587" s="62" t="s">
        <v>2135</v>
      </c>
      <c r="H2587" s="62" t="s">
        <v>57</v>
      </c>
      <c r="I2587" s="62" t="s">
        <v>47</v>
      </c>
      <c r="J2587" s="62" t="s">
        <v>146</v>
      </c>
      <c r="K2587" s="62" t="s">
        <v>147</v>
      </c>
      <c r="L2587" s="62" t="s">
        <v>4</v>
      </c>
      <c r="M2587" s="62" t="n">
        <v>1</v>
      </c>
      <c r="N2587" s="62" t="n">
        <v>0</v>
      </c>
      <c r="O2587" s="62" t="n">
        <v>1</v>
      </c>
      <c r="P2587" s="62" t="n">
        <v>0</v>
      </c>
      <c r="Q2587" s="62" t="n">
        <v>0</v>
      </c>
      <c r="R2587" s="62" t="n">
        <v>0</v>
      </c>
      <c r="S2587" s="62" t="n">
        <v>0</v>
      </c>
      <c r="T2587" s="62" t="n">
        <v>0</v>
      </c>
      <c r="U2587" s="62" t="s">
        <v>2056</v>
      </c>
      <c r="V2587" s="62" t="s">
        <v>2057</v>
      </c>
      <c r="W2587" s="62" t="s">
        <v>15</v>
      </c>
      <c r="X2587" s="62" t="s">
        <v>2058</v>
      </c>
      <c r="Y2587" s="62" t="s">
        <v>2181</v>
      </c>
      <c r="Z2587" s="62" t="s">
        <v>4715</v>
      </c>
      <c r="AA2587" s="62" t="s">
        <v>4716</v>
      </c>
      <c r="AB2587" s="62" t="n">
        <v>1</v>
      </c>
      <c r="AC2587" s="62" t="n">
        <v>0</v>
      </c>
      <c r="AD2587" s="62" t="n">
        <v>1</v>
      </c>
      <c r="AE2587" s="62" t="n">
        <f aca="false">IF(AND(Dashboard!$C$9="Yes",AC2587=1),0,1)</f>
        <v>1</v>
      </c>
      <c r="AF2587" s="62" t="n">
        <v>1</v>
      </c>
    </row>
    <row r="2588" customFormat="false" ht="15" hidden="false" customHeight="false" outlineLevel="0" collapsed="false">
      <c r="A2588" s="62" t="n">
        <v>2587</v>
      </c>
      <c r="B2588" s="63" t="n">
        <v>46290.2434259259</v>
      </c>
      <c r="C2588" s="64" t="n">
        <v>46289</v>
      </c>
      <c r="D2588" s="62" t="s">
        <v>202</v>
      </c>
      <c r="E2588" s="62" t="s">
        <v>999</v>
      </c>
      <c r="F2588" s="62" t="s">
        <v>999</v>
      </c>
      <c r="G2588" s="62" t="s">
        <v>1000</v>
      </c>
      <c r="H2588" s="62" t="s">
        <v>46</v>
      </c>
      <c r="I2588" s="62" t="s">
        <v>47</v>
      </c>
      <c r="J2588" s="62" t="s">
        <v>146</v>
      </c>
      <c r="K2588" s="62" t="s">
        <v>209</v>
      </c>
      <c r="L2588" s="62" t="s">
        <v>148</v>
      </c>
      <c r="M2588" s="62" t="n">
        <v>0</v>
      </c>
      <c r="N2588" s="62" t="n">
        <v>2</v>
      </c>
      <c r="O2588" s="62" t="n">
        <v>2</v>
      </c>
      <c r="P2588" s="62" t="n">
        <v>1</v>
      </c>
      <c r="Q2588" s="62" t="n">
        <v>1</v>
      </c>
      <c r="R2588" s="62" t="n">
        <v>0</v>
      </c>
      <c r="S2588" s="62" t="n">
        <v>0</v>
      </c>
      <c r="T2588" s="62" t="n">
        <v>0</v>
      </c>
      <c r="U2588" s="62"/>
      <c r="V2588" s="62"/>
      <c r="W2588" s="62"/>
      <c r="X2588" s="62"/>
      <c r="Y2588" s="62"/>
      <c r="Z2588" s="62" t="s">
        <v>4717</v>
      </c>
      <c r="AA2588" s="62" t="s">
        <v>4718</v>
      </c>
      <c r="AB2588" s="62" t="n">
        <v>1</v>
      </c>
      <c r="AC2588" s="62" t="n">
        <v>0</v>
      </c>
      <c r="AD2588" s="62" t="n">
        <v>1</v>
      </c>
      <c r="AE2588" s="62" t="n">
        <f aca="false">IF(AND(Dashboard!$C$9="Yes",AC2588=1),0,1)</f>
        <v>1</v>
      </c>
      <c r="AF2588" s="62" t="n">
        <v>0</v>
      </c>
    </row>
    <row r="2589" customFormat="false" ht="15" hidden="false" customHeight="false" outlineLevel="0" collapsed="false">
      <c r="A2589" s="62" t="n">
        <v>2588</v>
      </c>
      <c r="B2589" s="63" t="n">
        <v>46290.654837963</v>
      </c>
      <c r="C2589" s="64" t="n">
        <v>46290</v>
      </c>
      <c r="D2589" s="62" t="s">
        <v>288</v>
      </c>
      <c r="E2589" s="62" t="s">
        <v>3967</v>
      </c>
      <c r="F2589" s="62" t="s">
        <v>3967</v>
      </c>
      <c r="G2589" s="62" t="s">
        <v>3968</v>
      </c>
      <c r="H2589" s="62" t="s">
        <v>46</v>
      </c>
      <c r="I2589" s="62" t="s">
        <v>47</v>
      </c>
      <c r="J2589" s="62" t="s">
        <v>146</v>
      </c>
      <c r="K2589" s="62" t="s">
        <v>209</v>
      </c>
      <c r="L2589" s="62" t="s">
        <v>148</v>
      </c>
      <c r="M2589" s="62" t="n">
        <v>0</v>
      </c>
      <c r="N2589" s="62" t="n">
        <v>1</v>
      </c>
      <c r="O2589" s="62" t="n">
        <v>1</v>
      </c>
      <c r="P2589" s="62" t="n">
        <v>0</v>
      </c>
      <c r="Q2589" s="62" t="n">
        <v>0</v>
      </c>
      <c r="R2589" s="62" t="n">
        <v>0</v>
      </c>
      <c r="S2589" s="62" t="n">
        <v>1</v>
      </c>
      <c r="T2589" s="62" t="n">
        <v>0</v>
      </c>
      <c r="U2589" s="62"/>
      <c r="V2589" s="62"/>
      <c r="W2589" s="62"/>
      <c r="X2589" s="62"/>
      <c r="Y2589" s="62"/>
      <c r="Z2589" s="62" t="s">
        <v>4719</v>
      </c>
      <c r="AA2589" s="62" t="s">
        <v>4712</v>
      </c>
      <c r="AB2589" s="62" t="n">
        <v>0</v>
      </c>
      <c r="AC2589" s="62" t="n">
        <v>0</v>
      </c>
      <c r="AD2589" s="62" t="n">
        <v>1</v>
      </c>
      <c r="AE2589" s="62" t="n">
        <f aca="false">IF(AND(Dashboard!$C$9="Yes",AC2589=1),0,1)</f>
        <v>1</v>
      </c>
      <c r="AF2589" s="62" t="n">
        <v>1</v>
      </c>
    </row>
    <row r="2590" customFormat="false" ht="15" hidden="false" customHeight="false" outlineLevel="0" collapsed="false">
      <c r="A2590" s="62" t="n">
        <v>2589</v>
      </c>
      <c r="B2590" s="63" t="n">
        <v>46290.6591666667</v>
      </c>
      <c r="C2590" s="64" t="n">
        <v>46290</v>
      </c>
      <c r="D2590" s="62" t="s">
        <v>288</v>
      </c>
      <c r="E2590" s="62" t="s">
        <v>4720</v>
      </c>
      <c r="F2590" s="62" t="s">
        <v>4721</v>
      </c>
      <c r="G2590" s="62" t="s">
        <v>153</v>
      </c>
      <c r="H2590" s="62" t="s">
        <v>153</v>
      </c>
      <c r="I2590" s="62" t="s">
        <v>153</v>
      </c>
      <c r="J2590" s="62" t="s">
        <v>64</v>
      </c>
      <c r="K2590" s="62" t="s">
        <v>64</v>
      </c>
      <c r="L2590" s="62" t="s">
        <v>4</v>
      </c>
      <c r="M2590" s="62" t="n">
        <v>1</v>
      </c>
      <c r="N2590" s="62" t="n">
        <v>0</v>
      </c>
      <c r="O2590" s="62" t="n">
        <v>1</v>
      </c>
      <c r="P2590" s="62" t="n">
        <v>0</v>
      </c>
      <c r="Q2590" s="62" t="n">
        <v>0</v>
      </c>
      <c r="R2590" s="62" t="n">
        <v>0</v>
      </c>
      <c r="S2590" s="62" t="n">
        <v>0</v>
      </c>
      <c r="T2590" s="62" t="n">
        <v>0</v>
      </c>
      <c r="U2590" s="62" t="s">
        <v>2056</v>
      </c>
      <c r="V2590" s="62" t="s">
        <v>2057</v>
      </c>
      <c r="W2590" s="62" t="s">
        <v>15</v>
      </c>
      <c r="X2590" s="62" t="s">
        <v>2180</v>
      </c>
      <c r="Y2590" s="62" t="s">
        <v>2253</v>
      </c>
      <c r="Z2590" s="62" t="s">
        <v>4722</v>
      </c>
      <c r="AA2590" s="62" t="s">
        <v>4723</v>
      </c>
      <c r="AB2590" s="62" t="n">
        <v>1</v>
      </c>
      <c r="AC2590" s="62" t="n">
        <v>0</v>
      </c>
      <c r="AD2590" s="62" t="n">
        <v>0</v>
      </c>
      <c r="AE2590" s="62" t="n">
        <f aca="false">IF(AND(Dashboard!$C$9="Yes",AC2590=1),0,1)</f>
        <v>1</v>
      </c>
      <c r="AF2590" s="62" t="n">
        <v>1</v>
      </c>
    </row>
    <row r="2591" customFormat="false" ht="15" hidden="false" customHeight="false" outlineLevel="0" collapsed="false">
      <c r="A2591" s="62" t="n">
        <v>2590</v>
      </c>
      <c r="B2591" s="63" t="n">
        <v>46290.660162037</v>
      </c>
      <c r="C2591" s="64" t="n">
        <v>46290</v>
      </c>
      <c r="D2591" s="62" t="s">
        <v>288</v>
      </c>
      <c r="E2591" s="62" t="s">
        <v>4720</v>
      </c>
      <c r="F2591" s="62" t="s">
        <v>4721</v>
      </c>
      <c r="G2591" s="62" t="s">
        <v>153</v>
      </c>
      <c r="H2591" s="62" t="s">
        <v>153</v>
      </c>
      <c r="I2591" s="62" t="s">
        <v>153</v>
      </c>
      <c r="J2591" s="62" t="s">
        <v>64</v>
      </c>
      <c r="K2591" s="62" t="s">
        <v>64</v>
      </c>
      <c r="L2591" s="62" t="s">
        <v>4</v>
      </c>
      <c r="M2591" s="62" t="n">
        <v>2</v>
      </c>
      <c r="N2591" s="62" t="n">
        <v>0</v>
      </c>
      <c r="O2591" s="62" t="n">
        <v>2</v>
      </c>
      <c r="P2591" s="62" t="n">
        <v>0</v>
      </c>
      <c r="Q2591" s="62" t="n">
        <v>0</v>
      </c>
      <c r="R2591" s="62" t="n">
        <v>0</v>
      </c>
      <c r="S2591" s="62" t="n">
        <v>0</v>
      </c>
      <c r="T2591" s="62" t="n">
        <v>0</v>
      </c>
      <c r="U2591" s="62" t="s">
        <v>2056</v>
      </c>
      <c r="V2591" s="62" t="s">
        <v>2057</v>
      </c>
      <c r="W2591" s="62" t="s">
        <v>15</v>
      </c>
      <c r="X2591" s="62" t="s">
        <v>2180</v>
      </c>
      <c r="Y2591" s="62" t="s">
        <v>2253</v>
      </c>
      <c r="Z2591" s="62" t="s">
        <v>4724</v>
      </c>
      <c r="AA2591" s="62" t="s">
        <v>4725</v>
      </c>
      <c r="AB2591" s="62" t="n">
        <v>0</v>
      </c>
      <c r="AC2591" s="62" t="n">
        <v>0</v>
      </c>
      <c r="AD2591" s="62" t="n">
        <v>0</v>
      </c>
      <c r="AE2591" s="62" t="n">
        <f aca="false">IF(AND(Dashboard!$C$9="Yes",AC2591=1),0,1)</f>
        <v>1</v>
      </c>
      <c r="AF2591" s="62" t="n">
        <v>0</v>
      </c>
    </row>
    <row r="2592" customFormat="false" ht="15" hidden="false" customHeight="false" outlineLevel="0" collapsed="false">
      <c r="A2592" s="62" t="n">
        <v>2591</v>
      </c>
      <c r="B2592" s="63" t="n">
        <v>46290.6609375</v>
      </c>
      <c r="C2592" s="64" t="n">
        <v>46290</v>
      </c>
      <c r="D2592" s="62" t="s">
        <v>288</v>
      </c>
      <c r="E2592" s="62" t="s">
        <v>4720</v>
      </c>
      <c r="F2592" s="62" t="s">
        <v>4721</v>
      </c>
      <c r="G2592" s="62" t="s">
        <v>153</v>
      </c>
      <c r="H2592" s="62" t="s">
        <v>153</v>
      </c>
      <c r="I2592" s="62" t="s">
        <v>153</v>
      </c>
      <c r="J2592" s="62" t="s">
        <v>64</v>
      </c>
      <c r="K2592" s="62" t="s">
        <v>64</v>
      </c>
      <c r="L2592" s="62" t="s">
        <v>4</v>
      </c>
      <c r="M2592" s="62" t="n">
        <v>1</v>
      </c>
      <c r="N2592" s="62" t="n">
        <v>0</v>
      </c>
      <c r="O2592" s="62" t="n">
        <v>1</v>
      </c>
      <c r="P2592" s="62" t="n">
        <v>0</v>
      </c>
      <c r="Q2592" s="62" t="n">
        <v>0</v>
      </c>
      <c r="R2592" s="62" t="n">
        <v>0</v>
      </c>
      <c r="S2592" s="62" t="n">
        <v>0</v>
      </c>
      <c r="T2592" s="62" t="n">
        <v>0</v>
      </c>
      <c r="U2592" s="62" t="s">
        <v>2056</v>
      </c>
      <c r="V2592" s="62" t="s">
        <v>2057</v>
      </c>
      <c r="W2592" s="62" t="s">
        <v>15</v>
      </c>
      <c r="X2592" s="62" t="s">
        <v>2180</v>
      </c>
      <c r="Y2592" s="62" t="s">
        <v>2253</v>
      </c>
      <c r="Z2592" s="62" t="s">
        <v>4726</v>
      </c>
      <c r="AA2592" s="62" t="s">
        <v>4725</v>
      </c>
      <c r="AB2592" s="62" t="n">
        <v>0</v>
      </c>
      <c r="AC2592" s="62" t="n">
        <v>0</v>
      </c>
      <c r="AD2592" s="62" t="n">
        <v>0</v>
      </c>
      <c r="AE2592" s="62" t="n">
        <f aca="false">IF(AND(Dashboard!$C$9="Yes",AC2592=1),0,1)</f>
        <v>1</v>
      </c>
      <c r="AF2592" s="62" t="n">
        <v>0</v>
      </c>
    </row>
    <row r="2593" customFormat="false" ht="15" hidden="false" customHeight="false" outlineLevel="0" collapsed="false">
      <c r="A2593" s="62" t="n">
        <v>2592</v>
      </c>
      <c r="B2593" s="63" t="n">
        <v>46290.6614930556</v>
      </c>
      <c r="C2593" s="64" t="n">
        <v>46290</v>
      </c>
      <c r="D2593" s="62" t="s">
        <v>288</v>
      </c>
      <c r="E2593" s="62" t="s">
        <v>1172</v>
      </c>
      <c r="F2593" s="62" t="s">
        <v>1172</v>
      </c>
      <c r="G2593" s="62" t="s">
        <v>1173</v>
      </c>
      <c r="H2593" s="62" t="s">
        <v>59</v>
      </c>
      <c r="I2593" s="62" t="s">
        <v>47</v>
      </c>
      <c r="J2593" s="62" t="s">
        <v>146</v>
      </c>
      <c r="K2593" s="62" t="s">
        <v>209</v>
      </c>
      <c r="L2593" s="62" t="s">
        <v>148</v>
      </c>
      <c r="M2593" s="62" t="n">
        <v>0</v>
      </c>
      <c r="N2593" s="62" t="n">
        <v>1</v>
      </c>
      <c r="O2593" s="62" t="n">
        <v>1</v>
      </c>
      <c r="P2593" s="62" t="n">
        <v>1</v>
      </c>
      <c r="Q2593" s="62" t="n">
        <v>0</v>
      </c>
      <c r="R2593" s="62" t="n">
        <v>0</v>
      </c>
      <c r="S2593" s="62" t="n">
        <v>0</v>
      </c>
      <c r="T2593" s="62" t="n">
        <v>0</v>
      </c>
      <c r="U2593" s="62"/>
      <c r="V2593" s="62"/>
      <c r="W2593" s="62"/>
      <c r="X2593" s="62"/>
      <c r="Y2593" s="62"/>
      <c r="Z2593" s="62" t="s">
        <v>4727</v>
      </c>
      <c r="AA2593" s="62" t="s">
        <v>4728</v>
      </c>
      <c r="AB2593" s="62" t="n">
        <v>1</v>
      </c>
      <c r="AC2593" s="62" t="n">
        <v>0</v>
      </c>
      <c r="AD2593" s="62" t="n">
        <v>1</v>
      </c>
      <c r="AE2593" s="62" t="n">
        <f aca="false">IF(AND(Dashboard!$C$9="Yes",AC2593=1),0,1)</f>
        <v>1</v>
      </c>
      <c r="AF2593" s="62" t="n">
        <v>1</v>
      </c>
    </row>
    <row r="2594" customFormat="false" ht="15" hidden="false" customHeight="false" outlineLevel="0" collapsed="false">
      <c r="A2594" s="62" t="n">
        <v>2593</v>
      </c>
      <c r="B2594" s="63" t="n">
        <v>46290.6672106482</v>
      </c>
      <c r="C2594" s="64" t="n">
        <v>46290</v>
      </c>
      <c r="D2594" s="62" t="s">
        <v>288</v>
      </c>
      <c r="E2594" s="62" t="s">
        <v>4226</v>
      </c>
      <c r="F2594" s="62" t="s">
        <v>4226</v>
      </c>
      <c r="G2594" s="62" t="s">
        <v>4227</v>
      </c>
      <c r="H2594" s="62" t="s">
        <v>44</v>
      </c>
      <c r="I2594" s="62" t="s">
        <v>49</v>
      </c>
      <c r="J2594" s="62" t="s">
        <v>146</v>
      </c>
      <c r="K2594" s="62" t="s">
        <v>147</v>
      </c>
      <c r="L2594" s="62" t="s">
        <v>148</v>
      </c>
      <c r="M2594" s="62" t="n">
        <v>0</v>
      </c>
      <c r="N2594" s="62" t="n">
        <v>1</v>
      </c>
      <c r="O2594" s="62" t="n">
        <v>1</v>
      </c>
      <c r="P2594" s="62" t="n">
        <v>1</v>
      </c>
      <c r="Q2594" s="62" t="n">
        <v>0</v>
      </c>
      <c r="R2594" s="62" t="n">
        <v>0</v>
      </c>
      <c r="S2594" s="62" t="n">
        <v>0</v>
      </c>
      <c r="T2594" s="62" t="n">
        <v>0</v>
      </c>
      <c r="U2594" s="62"/>
      <c r="V2594" s="62"/>
      <c r="W2594" s="62"/>
      <c r="X2594" s="62"/>
      <c r="Y2594" s="62"/>
      <c r="Z2594" s="62" t="s">
        <v>4729</v>
      </c>
      <c r="AA2594" s="62" t="s">
        <v>4730</v>
      </c>
      <c r="AB2594" s="62" t="n">
        <v>1</v>
      </c>
      <c r="AC2594" s="62" t="n">
        <v>0</v>
      </c>
      <c r="AD2594" s="62" t="n">
        <v>1</v>
      </c>
      <c r="AE2594" s="62" t="n">
        <f aca="false">IF(AND(Dashboard!$C$9="Yes",AC2594=1),0,1)</f>
        <v>1</v>
      </c>
      <c r="AF2594" s="62" t="n">
        <v>1</v>
      </c>
    </row>
    <row r="2595" customFormat="false" ht="15" hidden="false" customHeight="false" outlineLevel="0" collapsed="false">
      <c r="A2595" s="62" t="n">
        <v>2594</v>
      </c>
      <c r="B2595" s="63" t="n">
        <v>46290.6730671296</v>
      </c>
      <c r="C2595" s="64" t="n">
        <v>46290</v>
      </c>
      <c r="D2595" s="62" t="s">
        <v>288</v>
      </c>
      <c r="E2595" s="62" t="s">
        <v>160</v>
      </c>
      <c r="F2595" s="62" t="s">
        <v>160</v>
      </c>
      <c r="G2595" s="62" t="s">
        <v>161</v>
      </c>
      <c r="H2595" s="62" t="s">
        <v>51</v>
      </c>
      <c r="I2595" s="62" t="s">
        <v>47</v>
      </c>
      <c r="J2595" s="62" t="s">
        <v>146</v>
      </c>
      <c r="K2595" s="62" t="s">
        <v>147</v>
      </c>
      <c r="L2595" s="62" t="s">
        <v>4</v>
      </c>
      <c r="M2595" s="62" t="n">
        <v>1</v>
      </c>
      <c r="N2595" s="62" t="n">
        <v>0</v>
      </c>
      <c r="O2595" s="62" t="n">
        <v>1</v>
      </c>
      <c r="P2595" s="62" t="n">
        <v>0</v>
      </c>
      <c r="Q2595" s="62" t="n">
        <v>0</v>
      </c>
      <c r="R2595" s="62" t="n">
        <v>0</v>
      </c>
      <c r="S2595" s="62" t="n">
        <v>0</v>
      </c>
      <c r="T2595" s="62" t="n">
        <v>0</v>
      </c>
      <c r="U2595" s="62" t="s">
        <v>2056</v>
      </c>
      <c r="V2595" s="62" t="s">
        <v>2057</v>
      </c>
      <c r="W2595" s="62" t="s">
        <v>15</v>
      </c>
      <c r="X2595" s="62" t="s">
        <v>2125</v>
      </c>
      <c r="Y2595" s="62" t="s">
        <v>2103</v>
      </c>
      <c r="Z2595" s="62" t="s">
        <v>4731</v>
      </c>
      <c r="AA2595" s="62" t="s">
        <v>4732</v>
      </c>
      <c r="AB2595" s="62" t="n">
        <v>1</v>
      </c>
      <c r="AC2595" s="62" t="n">
        <v>0</v>
      </c>
      <c r="AD2595" s="62" t="n">
        <v>1</v>
      </c>
      <c r="AE2595" s="62" t="n">
        <f aca="false">IF(AND(Dashboard!$C$9="Yes",AC2595=1),0,1)</f>
        <v>1</v>
      </c>
      <c r="AF2595" s="62" t="n">
        <v>1</v>
      </c>
    </row>
    <row r="2596" customFormat="false" ht="15" hidden="false" customHeight="false" outlineLevel="0" collapsed="false">
      <c r="A2596" s="62" t="n">
        <v>2595</v>
      </c>
      <c r="B2596" s="63" t="n">
        <v>46290.6830555556</v>
      </c>
      <c r="C2596" s="64" t="n">
        <v>46290</v>
      </c>
      <c r="D2596" s="62" t="s">
        <v>288</v>
      </c>
      <c r="E2596" s="62" t="s">
        <v>1172</v>
      </c>
      <c r="F2596" s="62" t="s">
        <v>1172</v>
      </c>
      <c r="G2596" s="62" t="s">
        <v>1173</v>
      </c>
      <c r="H2596" s="62" t="s">
        <v>59</v>
      </c>
      <c r="I2596" s="62" t="s">
        <v>47</v>
      </c>
      <c r="J2596" s="62" t="s">
        <v>146</v>
      </c>
      <c r="K2596" s="62" t="s">
        <v>209</v>
      </c>
      <c r="L2596" s="62" t="s">
        <v>148</v>
      </c>
      <c r="M2596" s="62" t="n">
        <v>0</v>
      </c>
      <c r="N2596" s="62" t="n">
        <v>1</v>
      </c>
      <c r="O2596" s="62" t="n">
        <v>1</v>
      </c>
      <c r="P2596" s="62" t="n">
        <v>1</v>
      </c>
      <c r="Q2596" s="62" t="n">
        <v>0</v>
      </c>
      <c r="R2596" s="62" t="n">
        <v>0</v>
      </c>
      <c r="S2596" s="62" t="n">
        <v>0</v>
      </c>
      <c r="T2596" s="62" t="n">
        <v>0</v>
      </c>
      <c r="U2596" s="62"/>
      <c r="V2596" s="62"/>
      <c r="W2596" s="62"/>
      <c r="X2596" s="62"/>
      <c r="Y2596" s="62"/>
      <c r="Z2596" s="62" t="s">
        <v>4727</v>
      </c>
      <c r="AA2596" s="62" t="s">
        <v>4727</v>
      </c>
      <c r="AB2596" s="62" t="n">
        <v>1</v>
      </c>
      <c r="AC2596" s="62" t="n">
        <v>0</v>
      </c>
      <c r="AD2596" s="62" t="n">
        <v>1</v>
      </c>
      <c r="AE2596" s="62" t="n">
        <f aca="false">IF(AND(Dashboard!$C$9="Yes",AC2596=1),0,1)</f>
        <v>1</v>
      </c>
      <c r="AF2596" s="62" t="n">
        <v>0</v>
      </c>
    </row>
    <row r="2597" customFormat="false" ht="15" hidden="false" customHeight="false" outlineLevel="0" collapsed="false">
      <c r="A2597" s="62" t="n">
        <v>2596</v>
      </c>
      <c r="B2597" s="63" t="n">
        <v>46290.6844560185</v>
      </c>
      <c r="C2597" s="64" t="n">
        <v>46290</v>
      </c>
      <c r="D2597" s="62" t="s">
        <v>288</v>
      </c>
      <c r="E2597" s="62" t="s">
        <v>4226</v>
      </c>
      <c r="F2597" s="62" t="s">
        <v>4226</v>
      </c>
      <c r="G2597" s="62" t="s">
        <v>4227</v>
      </c>
      <c r="H2597" s="62" t="s">
        <v>44</v>
      </c>
      <c r="I2597" s="62" t="s">
        <v>49</v>
      </c>
      <c r="J2597" s="62" t="s">
        <v>146</v>
      </c>
      <c r="K2597" s="62" t="s">
        <v>147</v>
      </c>
      <c r="L2597" s="62" t="s">
        <v>148</v>
      </c>
      <c r="M2597" s="62" t="n">
        <v>0</v>
      </c>
      <c r="N2597" s="62" t="n">
        <v>1</v>
      </c>
      <c r="O2597" s="62" t="n">
        <v>1</v>
      </c>
      <c r="P2597" s="62" t="n">
        <v>1</v>
      </c>
      <c r="Q2597" s="62" t="n">
        <v>0</v>
      </c>
      <c r="R2597" s="62" t="n">
        <v>0</v>
      </c>
      <c r="S2597" s="62" t="n">
        <v>0</v>
      </c>
      <c r="T2597" s="62" t="n">
        <v>0</v>
      </c>
      <c r="U2597" s="62"/>
      <c r="V2597" s="62"/>
      <c r="W2597" s="62"/>
      <c r="X2597" s="62"/>
      <c r="Y2597" s="62"/>
      <c r="Z2597" s="62" t="s">
        <v>4733</v>
      </c>
      <c r="AA2597" s="62" t="s">
        <v>4734</v>
      </c>
      <c r="AB2597" s="62" t="n">
        <v>1</v>
      </c>
      <c r="AC2597" s="62" t="n">
        <v>0</v>
      </c>
      <c r="AD2597" s="62" t="n">
        <v>1</v>
      </c>
      <c r="AE2597" s="62" t="n">
        <f aca="false">IF(AND(Dashboard!$C$9="Yes",AC2597=1),0,1)</f>
        <v>1</v>
      </c>
      <c r="AF2597" s="62" t="n">
        <v>0</v>
      </c>
    </row>
    <row r="2598" customFormat="false" ht="15" hidden="false" customHeight="false" outlineLevel="0" collapsed="false">
      <c r="A2598" s="62" t="n">
        <v>2597</v>
      </c>
      <c r="B2598" s="63" t="n">
        <v>46290.7048032407</v>
      </c>
      <c r="C2598" s="64" t="n">
        <v>46290</v>
      </c>
      <c r="D2598" s="62" t="s">
        <v>288</v>
      </c>
      <c r="E2598" s="62" t="s">
        <v>1005</v>
      </c>
      <c r="F2598" s="62" t="s">
        <v>1005</v>
      </c>
      <c r="G2598" s="62" t="s">
        <v>1006</v>
      </c>
      <c r="H2598" s="62" t="s">
        <v>46</v>
      </c>
      <c r="I2598" s="62" t="s">
        <v>47</v>
      </c>
      <c r="J2598" s="62" t="s">
        <v>146</v>
      </c>
      <c r="K2598" s="62" t="s">
        <v>209</v>
      </c>
      <c r="L2598" s="62" t="s">
        <v>4</v>
      </c>
      <c r="M2598" s="62" t="n">
        <v>1</v>
      </c>
      <c r="N2598" s="62" t="n">
        <v>0</v>
      </c>
      <c r="O2598" s="62" t="n">
        <v>1</v>
      </c>
      <c r="P2598" s="62" t="n">
        <v>0</v>
      </c>
      <c r="Q2598" s="62" t="n">
        <v>0</v>
      </c>
      <c r="R2598" s="62" t="n">
        <v>0</v>
      </c>
      <c r="S2598" s="62" t="n">
        <v>0</v>
      </c>
      <c r="T2598" s="62" t="n">
        <v>0</v>
      </c>
      <c r="U2598" s="62" t="s">
        <v>2056</v>
      </c>
      <c r="V2598" s="62" t="s">
        <v>2057</v>
      </c>
      <c r="W2598" s="62" t="s">
        <v>15</v>
      </c>
      <c r="X2598" s="62" t="s">
        <v>2125</v>
      </c>
      <c r="Y2598" s="62" t="s">
        <v>2059</v>
      </c>
      <c r="Z2598" s="62" t="s">
        <v>4735</v>
      </c>
      <c r="AA2598" s="62" t="s">
        <v>4736</v>
      </c>
      <c r="AB2598" s="62" t="n">
        <v>1</v>
      </c>
      <c r="AC2598" s="62" t="n">
        <v>0</v>
      </c>
      <c r="AD2598" s="62" t="n">
        <v>1</v>
      </c>
      <c r="AE2598" s="62" t="n">
        <f aca="false">IF(AND(Dashboard!$C$9="Yes",AC2598=1),0,1)</f>
        <v>1</v>
      </c>
      <c r="AF2598" s="62" t="n">
        <v>1</v>
      </c>
    </row>
    <row r="2599" customFormat="false" ht="15" hidden="false" customHeight="false" outlineLevel="0" collapsed="false">
      <c r="A2599" s="62" t="n">
        <v>2598</v>
      </c>
      <c r="B2599" s="63" t="n">
        <v>46290.7297685185</v>
      </c>
      <c r="C2599" s="64" t="n">
        <v>46290</v>
      </c>
      <c r="D2599" s="62" t="s">
        <v>288</v>
      </c>
      <c r="E2599" s="62" t="s">
        <v>4242</v>
      </c>
      <c r="F2599" s="62" t="s">
        <v>4242</v>
      </c>
      <c r="G2599" s="62" t="s">
        <v>4243</v>
      </c>
      <c r="H2599" s="62" t="s">
        <v>44</v>
      </c>
      <c r="I2599" s="62" t="s">
        <v>49</v>
      </c>
      <c r="J2599" s="62" t="s">
        <v>146</v>
      </c>
      <c r="K2599" s="62" t="s">
        <v>147</v>
      </c>
      <c r="L2599" s="62" t="s">
        <v>148</v>
      </c>
      <c r="M2599" s="62" t="n">
        <v>0</v>
      </c>
      <c r="N2599" s="62" t="n">
        <v>2</v>
      </c>
      <c r="O2599" s="62" t="n">
        <v>2</v>
      </c>
      <c r="P2599" s="62" t="n">
        <v>1</v>
      </c>
      <c r="Q2599" s="62" t="n">
        <v>1</v>
      </c>
      <c r="R2599" s="62" t="n">
        <v>0</v>
      </c>
      <c r="S2599" s="62" t="n">
        <v>0</v>
      </c>
      <c r="T2599" s="62" t="n">
        <v>0</v>
      </c>
      <c r="U2599" s="62"/>
      <c r="V2599" s="62"/>
      <c r="W2599" s="62"/>
      <c r="X2599" s="62"/>
      <c r="Y2599" s="62"/>
      <c r="Z2599" s="62" t="s">
        <v>4737</v>
      </c>
      <c r="AA2599" s="62" t="s">
        <v>4738</v>
      </c>
      <c r="AB2599" s="62" t="n">
        <v>1</v>
      </c>
      <c r="AC2599" s="62" t="n">
        <v>0</v>
      </c>
      <c r="AD2599" s="62" t="n">
        <v>1</v>
      </c>
      <c r="AE2599" s="62" t="n">
        <f aca="false">IF(AND(Dashboard!$C$9="Yes",AC2599=1),0,1)</f>
        <v>1</v>
      </c>
      <c r="AF2599" s="62" t="n">
        <v>1</v>
      </c>
    </row>
    <row r="2600" customFormat="false" ht="15" hidden="false" customHeight="false" outlineLevel="0" collapsed="false">
      <c r="A2600" s="62" t="n">
        <v>2599</v>
      </c>
      <c r="B2600" s="63" t="n">
        <v>46290.7412962963</v>
      </c>
      <c r="C2600" s="64" t="n">
        <v>46290</v>
      </c>
      <c r="D2600" s="62" t="s">
        <v>288</v>
      </c>
      <c r="E2600" s="62" t="s">
        <v>4530</v>
      </c>
      <c r="F2600" s="62" t="s">
        <v>4530</v>
      </c>
      <c r="G2600" s="62" t="s">
        <v>4531</v>
      </c>
      <c r="H2600" s="62" t="s">
        <v>44</v>
      </c>
      <c r="I2600" s="62" t="s">
        <v>49</v>
      </c>
      <c r="J2600" s="62" t="s">
        <v>146</v>
      </c>
      <c r="K2600" s="62" t="s">
        <v>147</v>
      </c>
      <c r="L2600" s="62" t="s">
        <v>4</v>
      </c>
      <c r="M2600" s="62" t="n">
        <v>1</v>
      </c>
      <c r="N2600" s="62" t="n">
        <v>0</v>
      </c>
      <c r="O2600" s="62" t="n">
        <v>1</v>
      </c>
      <c r="P2600" s="62" t="n">
        <v>0</v>
      </c>
      <c r="Q2600" s="62" t="n">
        <v>0</v>
      </c>
      <c r="R2600" s="62" t="n">
        <v>0</v>
      </c>
      <c r="S2600" s="62" t="n">
        <v>0</v>
      </c>
      <c r="T2600" s="62" t="n">
        <v>0</v>
      </c>
      <c r="U2600" s="62" t="s">
        <v>2056</v>
      </c>
      <c r="V2600" s="62" t="s">
        <v>2057</v>
      </c>
      <c r="W2600" s="62" t="s">
        <v>15</v>
      </c>
      <c r="X2600" s="62" t="s">
        <v>2058</v>
      </c>
      <c r="Y2600" s="62" t="s">
        <v>2059</v>
      </c>
      <c r="Z2600" s="62" t="s">
        <v>4641</v>
      </c>
      <c r="AA2600" s="62" t="s">
        <v>4739</v>
      </c>
      <c r="AB2600" s="62" t="n">
        <v>1</v>
      </c>
      <c r="AC2600" s="62" t="n">
        <v>0</v>
      </c>
      <c r="AD2600" s="62" t="n">
        <v>1</v>
      </c>
      <c r="AE2600" s="62" t="n">
        <f aca="false">IF(AND(Dashboard!$C$9="Yes",AC2600=1),0,1)</f>
        <v>1</v>
      </c>
      <c r="AF2600" s="62" t="n">
        <v>1</v>
      </c>
    </row>
    <row r="2601" customFormat="false" ht="15" hidden="false" customHeight="false" outlineLevel="0" collapsed="false">
      <c r="A2601" s="62" t="n">
        <v>2600</v>
      </c>
      <c r="B2601" s="63" t="n">
        <v>46290.749224537</v>
      </c>
      <c r="C2601" s="64" t="n">
        <v>46290</v>
      </c>
      <c r="D2601" s="62" t="s">
        <v>288</v>
      </c>
      <c r="E2601" s="62" t="s">
        <v>2530</v>
      </c>
      <c r="F2601" s="62" t="s">
        <v>2530</v>
      </c>
      <c r="G2601" s="62" t="s">
        <v>2531</v>
      </c>
      <c r="H2601" s="62" t="s">
        <v>48</v>
      </c>
      <c r="I2601" s="62" t="s">
        <v>49</v>
      </c>
      <c r="J2601" s="62" t="s">
        <v>146</v>
      </c>
      <c r="K2601" s="62" t="s">
        <v>209</v>
      </c>
      <c r="L2601" s="62" t="s">
        <v>148</v>
      </c>
      <c r="M2601" s="62" t="n">
        <v>0</v>
      </c>
      <c r="N2601" s="62" t="n">
        <v>1</v>
      </c>
      <c r="O2601" s="62" t="n">
        <v>1</v>
      </c>
      <c r="P2601" s="62" t="n">
        <v>1</v>
      </c>
      <c r="Q2601" s="62" t="n">
        <v>0</v>
      </c>
      <c r="R2601" s="62" t="n">
        <v>0</v>
      </c>
      <c r="S2601" s="62" t="n">
        <v>0</v>
      </c>
      <c r="T2601" s="62" t="n">
        <v>0</v>
      </c>
      <c r="U2601" s="62"/>
      <c r="V2601" s="62"/>
      <c r="W2601" s="62"/>
      <c r="X2601" s="62"/>
      <c r="Y2601" s="62"/>
      <c r="Z2601" s="62" t="s">
        <v>4740</v>
      </c>
      <c r="AA2601" s="62" t="s">
        <v>4741</v>
      </c>
      <c r="AB2601" s="62" t="n">
        <v>1</v>
      </c>
      <c r="AC2601" s="62" t="n">
        <v>0</v>
      </c>
      <c r="AD2601" s="62" t="n">
        <v>1</v>
      </c>
      <c r="AE2601" s="62" t="n">
        <f aca="false">IF(AND(Dashboard!$C$9="Yes",AC2601=1),0,1)</f>
        <v>1</v>
      </c>
      <c r="AF2601" s="62" t="n">
        <v>1</v>
      </c>
    </row>
    <row r="2602" customFormat="false" ht="15" hidden="false" customHeight="false" outlineLevel="0" collapsed="false">
      <c r="A2602" s="62" t="n">
        <v>2601</v>
      </c>
      <c r="B2602" s="63" t="n">
        <v>46290.7535185185</v>
      </c>
      <c r="C2602" s="64" t="n">
        <v>46290</v>
      </c>
      <c r="D2602" s="62" t="s">
        <v>288</v>
      </c>
      <c r="E2602" s="62" t="s">
        <v>164</v>
      </c>
      <c r="F2602" s="62" t="s">
        <v>164</v>
      </c>
      <c r="G2602" s="62" t="s">
        <v>165</v>
      </c>
      <c r="H2602" s="62" t="s">
        <v>51</v>
      </c>
      <c r="I2602" s="62" t="s">
        <v>47</v>
      </c>
      <c r="J2602" s="62" t="s">
        <v>146</v>
      </c>
      <c r="K2602" s="62" t="s">
        <v>147</v>
      </c>
      <c r="L2602" s="62" t="s">
        <v>4</v>
      </c>
      <c r="M2602" s="62" t="n">
        <v>1</v>
      </c>
      <c r="N2602" s="62" t="n">
        <v>0</v>
      </c>
      <c r="O2602" s="62" t="n">
        <v>1</v>
      </c>
      <c r="P2602" s="62" t="n">
        <v>0</v>
      </c>
      <c r="Q2602" s="62" t="n">
        <v>0</v>
      </c>
      <c r="R2602" s="62" t="n">
        <v>0</v>
      </c>
      <c r="S2602" s="62" t="n">
        <v>0</v>
      </c>
      <c r="T2602" s="62" t="n">
        <v>0</v>
      </c>
      <c r="U2602" s="62" t="s">
        <v>2056</v>
      </c>
      <c r="V2602" s="62" t="s">
        <v>2057</v>
      </c>
      <c r="W2602" s="62" t="s">
        <v>15</v>
      </c>
      <c r="X2602" s="62" t="s">
        <v>2058</v>
      </c>
      <c r="Y2602" s="62" t="s">
        <v>2059</v>
      </c>
      <c r="Z2602" s="62" t="s">
        <v>4742</v>
      </c>
      <c r="AA2602" s="62" t="s">
        <v>4743</v>
      </c>
      <c r="AB2602" s="62" t="n">
        <v>1</v>
      </c>
      <c r="AC2602" s="62" t="n">
        <v>0</v>
      </c>
      <c r="AD2602" s="62" t="n">
        <v>1</v>
      </c>
      <c r="AE2602" s="62" t="n">
        <f aca="false">IF(AND(Dashboard!$C$9="Yes",AC2602=1),0,1)</f>
        <v>1</v>
      </c>
      <c r="AF2602" s="62" t="n">
        <v>1</v>
      </c>
    </row>
    <row r="2603" customFormat="false" ht="15" hidden="false" customHeight="false" outlineLevel="0" collapsed="false">
      <c r="A2603" s="62" t="n">
        <v>2602</v>
      </c>
      <c r="B2603" s="63" t="n">
        <v>46290.7541435185</v>
      </c>
      <c r="C2603" s="64" t="n">
        <v>46290</v>
      </c>
      <c r="D2603" s="62" t="s">
        <v>288</v>
      </c>
      <c r="E2603" s="62" t="s">
        <v>164</v>
      </c>
      <c r="F2603" s="62" t="s">
        <v>164</v>
      </c>
      <c r="G2603" s="62" t="s">
        <v>165</v>
      </c>
      <c r="H2603" s="62" t="s">
        <v>51</v>
      </c>
      <c r="I2603" s="62" t="s">
        <v>47</v>
      </c>
      <c r="J2603" s="62" t="s">
        <v>146</v>
      </c>
      <c r="K2603" s="62" t="s">
        <v>147</v>
      </c>
      <c r="L2603" s="62" t="s">
        <v>4</v>
      </c>
      <c r="M2603" s="62" t="n">
        <v>1</v>
      </c>
      <c r="N2603" s="62" t="n">
        <v>0</v>
      </c>
      <c r="O2603" s="62" t="n">
        <v>1</v>
      </c>
      <c r="P2603" s="62" t="n">
        <v>0</v>
      </c>
      <c r="Q2603" s="62" t="n">
        <v>0</v>
      </c>
      <c r="R2603" s="62" t="n">
        <v>0</v>
      </c>
      <c r="S2603" s="62" t="n">
        <v>0</v>
      </c>
      <c r="T2603" s="62" t="n">
        <v>0</v>
      </c>
      <c r="U2603" s="62" t="s">
        <v>2056</v>
      </c>
      <c r="V2603" s="62" t="s">
        <v>2057</v>
      </c>
      <c r="W2603" s="62" t="s">
        <v>15</v>
      </c>
      <c r="X2603" s="62" t="s">
        <v>2058</v>
      </c>
      <c r="Y2603" s="62" t="s">
        <v>2059</v>
      </c>
      <c r="Z2603" s="62" t="s">
        <v>4742</v>
      </c>
      <c r="AA2603" s="62" t="s">
        <v>4743</v>
      </c>
      <c r="AB2603" s="62" t="n">
        <v>1</v>
      </c>
      <c r="AC2603" s="62" t="n">
        <v>1</v>
      </c>
      <c r="AD2603" s="62" t="n">
        <v>1</v>
      </c>
      <c r="AE2603" s="62" t="n">
        <f aca="false">IF(AND(Dashboard!$C$9="Yes",AC2603=1),0,1)</f>
        <v>0</v>
      </c>
      <c r="AF2603" s="62" t="n">
        <v>0</v>
      </c>
    </row>
    <row r="2604" customFormat="false" ht="15" hidden="false" customHeight="false" outlineLevel="0" collapsed="false">
      <c r="A2604" s="62" t="n">
        <v>2603</v>
      </c>
      <c r="B2604" s="63" t="n">
        <v>46290.7606365741</v>
      </c>
      <c r="C2604" s="64" t="n">
        <v>46290</v>
      </c>
      <c r="D2604" s="62" t="s">
        <v>288</v>
      </c>
      <c r="E2604" s="62" t="s">
        <v>312</v>
      </c>
      <c r="F2604" s="62" t="s">
        <v>312</v>
      </c>
      <c r="G2604" s="62" t="s">
        <v>313</v>
      </c>
      <c r="H2604" s="62" t="s">
        <v>51</v>
      </c>
      <c r="I2604" s="62" t="s">
        <v>47</v>
      </c>
      <c r="J2604" s="62" t="s">
        <v>146</v>
      </c>
      <c r="K2604" s="62" t="s">
        <v>147</v>
      </c>
      <c r="L2604" s="62" t="s">
        <v>4</v>
      </c>
      <c r="M2604" s="62" t="n">
        <v>1</v>
      </c>
      <c r="N2604" s="62" t="n">
        <v>0</v>
      </c>
      <c r="O2604" s="62" t="n">
        <v>1</v>
      </c>
      <c r="P2604" s="62" t="n">
        <v>0</v>
      </c>
      <c r="Q2604" s="62" t="n">
        <v>0</v>
      </c>
      <c r="R2604" s="62" t="n">
        <v>0</v>
      </c>
      <c r="S2604" s="62" t="n">
        <v>0</v>
      </c>
      <c r="T2604" s="62" t="n">
        <v>0</v>
      </c>
      <c r="U2604" s="62" t="s">
        <v>2056</v>
      </c>
      <c r="V2604" s="62" t="s">
        <v>2057</v>
      </c>
      <c r="W2604" s="62" t="s">
        <v>2056</v>
      </c>
      <c r="X2604" s="62" t="s">
        <v>2164</v>
      </c>
      <c r="Y2604" s="62" t="s">
        <v>2165</v>
      </c>
      <c r="Z2604" s="62" t="s">
        <v>4744</v>
      </c>
      <c r="AA2604" s="62" t="s">
        <v>4745</v>
      </c>
      <c r="AB2604" s="62" t="n">
        <v>1</v>
      </c>
      <c r="AC2604" s="62" t="n">
        <v>0</v>
      </c>
      <c r="AD2604" s="62" t="n">
        <v>1</v>
      </c>
      <c r="AE2604" s="62" t="n">
        <f aca="false">IF(AND(Dashboard!$C$9="Yes",AC2604=1),0,1)</f>
        <v>1</v>
      </c>
      <c r="AF2604" s="62" t="n">
        <v>1</v>
      </c>
    </row>
    <row r="2605" customFormat="false" ht="15" hidden="false" customHeight="false" outlineLevel="0" collapsed="false">
      <c r="A2605" s="62" t="n">
        <v>2604</v>
      </c>
      <c r="B2605" s="63" t="n">
        <v>46290.7892476852</v>
      </c>
      <c r="C2605" s="64" t="n">
        <v>46290</v>
      </c>
      <c r="D2605" s="62" t="s">
        <v>288</v>
      </c>
      <c r="E2605" s="62" t="s">
        <v>3061</v>
      </c>
      <c r="F2605" s="62" t="s">
        <v>3061</v>
      </c>
      <c r="G2605" s="62" t="s">
        <v>3062</v>
      </c>
      <c r="H2605" s="62" t="s">
        <v>44</v>
      </c>
      <c r="I2605" s="62" t="s">
        <v>49</v>
      </c>
      <c r="J2605" s="62" t="s">
        <v>146</v>
      </c>
      <c r="K2605" s="62" t="s">
        <v>147</v>
      </c>
      <c r="L2605" s="62" t="s">
        <v>148</v>
      </c>
      <c r="M2605" s="62" t="n">
        <v>0</v>
      </c>
      <c r="N2605" s="62" t="n">
        <v>1</v>
      </c>
      <c r="O2605" s="62" t="n">
        <v>1</v>
      </c>
      <c r="P2605" s="62" t="n">
        <v>1</v>
      </c>
      <c r="Q2605" s="62" t="n">
        <v>0</v>
      </c>
      <c r="R2605" s="62" t="n">
        <v>0</v>
      </c>
      <c r="S2605" s="62" t="n">
        <v>0</v>
      </c>
      <c r="T2605" s="62" t="n">
        <v>0</v>
      </c>
      <c r="U2605" s="62"/>
      <c r="V2605" s="62"/>
      <c r="W2605" s="62"/>
      <c r="X2605" s="62"/>
      <c r="Y2605" s="62"/>
      <c r="Z2605" s="62" t="s">
        <v>4746</v>
      </c>
      <c r="AA2605" s="62" t="s">
        <v>4747</v>
      </c>
      <c r="AB2605" s="62" t="n">
        <v>1</v>
      </c>
      <c r="AC2605" s="62" t="n">
        <v>0</v>
      </c>
      <c r="AD2605" s="62" t="n">
        <v>1</v>
      </c>
      <c r="AE2605" s="62" t="n">
        <f aca="false">IF(AND(Dashboard!$C$9="Yes",AC2605=1),0,1)</f>
        <v>1</v>
      </c>
      <c r="AF2605" s="62" t="n">
        <v>1</v>
      </c>
    </row>
    <row r="2606" customFormat="false" ht="15" hidden="false" customHeight="false" outlineLevel="0" collapsed="false">
      <c r="A2606" s="62" t="n">
        <v>2605</v>
      </c>
      <c r="B2606" s="63" t="n">
        <v>46290.8013657407</v>
      </c>
      <c r="C2606" s="64" t="n">
        <v>46290</v>
      </c>
      <c r="D2606" s="62" t="s">
        <v>288</v>
      </c>
      <c r="E2606" s="62" t="s">
        <v>1005</v>
      </c>
      <c r="F2606" s="62" t="s">
        <v>1005</v>
      </c>
      <c r="G2606" s="62" t="s">
        <v>1006</v>
      </c>
      <c r="H2606" s="62" t="s">
        <v>46</v>
      </c>
      <c r="I2606" s="62" t="s">
        <v>47</v>
      </c>
      <c r="J2606" s="62" t="s">
        <v>146</v>
      </c>
      <c r="K2606" s="62" t="s">
        <v>209</v>
      </c>
      <c r="L2606" s="62" t="s">
        <v>148</v>
      </c>
      <c r="M2606" s="62" t="n">
        <v>0</v>
      </c>
      <c r="N2606" s="62" t="n">
        <v>1</v>
      </c>
      <c r="O2606" s="62" t="n">
        <v>1</v>
      </c>
      <c r="P2606" s="62" t="n">
        <v>1</v>
      </c>
      <c r="Q2606" s="62" t="n">
        <v>0</v>
      </c>
      <c r="R2606" s="62" t="n">
        <v>0</v>
      </c>
      <c r="S2606" s="62" t="n">
        <v>0</v>
      </c>
      <c r="T2606" s="62" t="n">
        <v>0</v>
      </c>
      <c r="U2606" s="62"/>
      <c r="V2606" s="62"/>
      <c r="W2606" s="62"/>
      <c r="X2606" s="62"/>
      <c r="Y2606" s="62"/>
      <c r="Z2606" s="62" t="s">
        <v>4748</v>
      </c>
      <c r="AA2606" s="62" t="s">
        <v>4749</v>
      </c>
      <c r="AB2606" s="62" t="n">
        <v>0</v>
      </c>
      <c r="AC2606" s="62" t="n">
        <v>0</v>
      </c>
      <c r="AD2606" s="62" t="n">
        <v>1</v>
      </c>
      <c r="AE2606" s="62" t="n">
        <f aca="false">IF(AND(Dashboard!$C$9="Yes",AC2606=1),0,1)</f>
        <v>1</v>
      </c>
      <c r="AF2606" s="62" t="n">
        <v>0</v>
      </c>
    </row>
    <row r="2607" customFormat="false" ht="15" hidden="false" customHeight="false" outlineLevel="0" collapsed="false">
      <c r="A2607" s="62" t="n">
        <v>2606</v>
      </c>
      <c r="B2607" s="63" t="n">
        <v>46290.810625</v>
      </c>
      <c r="C2607" s="64" t="n">
        <v>46290</v>
      </c>
      <c r="D2607" s="62" t="s">
        <v>288</v>
      </c>
      <c r="E2607" s="62" t="s">
        <v>1590</v>
      </c>
      <c r="F2607" s="62" t="s">
        <v>1590</v>
      </c>
      <c r="G2607" s="62" t="s">
        <v>1591</v>
      </c>
      <c r="H2607" s="62" t="s">
        <v>52</v>
      </c>
      <c r="I2607" s="62" t="s">
        <v>47</v>
      </c>
      <c r="J2607" s="62" t="s">
        <v>146</v>
      </c>
      <c r="K2607" s="62" t="s">
        <v>209</v>
      </c>
      <c r="L2607" s="62" t="s">
        <v>148</v>
      </c>
      <c r="M2607" s="62" t="n">
        <v>0</v>
      </c>
      <c r="N2607" s="62" t="n">
        <v>1</v>
      </c>
      <c r="O2607" s="62" t="n">
        <v>1</v>
      </c>
      <c r="P2607" s="62" t="n">
        <v>1</v>
      </c>
      <c r="Q2607" s="62" t="n">
        <v>0</v>
      </c>
      <c r="R2607" s="62" t="n">
        <v>0</v>
      </c>
      <c r="S2607" s="62" t="n">
        <v>0</v>
      </c>
      <c r="T2607" s="62" t="n">
        <v>0</v>
      </c>
      <c r="U2607" s="62"/>
      <c r="V2607" s="62"/>
      <c r="W2607" s="62"/>
      <c r="X2607" s="62"/>
      <c r="Y2607" s="62"/>
      <c r="Z2607" s="62" t="s">
        <v>4750</v>
      </c>
      <c r="AA2607" s="62" t="s">
        <v>4751</v>
      </c>
      <c r="AB2607" s="62" t="n">
        <v>1</v>
      </c>
      <c r="AC2607" s="62" t="n">
        <v>0</v>
      </c>
      <c r="AD2607" s="62" t="n">
        <v>1</v>
      </c>
      <c r="AE2607" s="62" t="n">
        <f aca="false">IF(AND(Dashboard!$C$9="Yes",AC2607=1),0,1)</f>
        <v>1</v>
      </c>
      <c r="AF2607" s="62" t="n">
        <v>1</v>
      </c>
    </row>
    <row r="2608" customFormat="false" ht="15" hidden="false" customHeight="false" outlineLevel="0" collapsed="false">
      <c r="A2608" s="62" t="n">
        <v>2607</v>
      </c>
      <c r="B2608" s="63" t="n">
        <v>46290.8138194445</v>
      </c>
      <c r="C2608" s="64" t="n">
        <v>46290</v>
      </c>
      <c r="D2608" s="62" t="s">
        <v>288</v>
      </c>
      <c r="E2608" s="62" t="s">
        <v>4752</v>
      </c>
      <c r="F2608" s="62" t="s">
        <v>4753</v>
      </c>
      <c r="G2608" s="62" t="s">
        <v>153</v>
      </c>
      <c r="H2608" s="62" t="s">
        <v>153</v>
      </c>
      <c r="I2608" s="62" t="s">
        <v>153</v>
      </c>
      <c r="J2608" s="62" t="s">
        <v>64</v>
      </c>
      <c r="K2608" s="62" t="s">
        <v>64</v>
      </c>
      <c r="L2608" s="62" t="s">
        <v>148</v>
      </c>
      <c r="M2608" s="62" t="n">
        <v>0</v>
      </c>
      <c r="N2608" s="62" t="n">
        <v>1</v>
      </c>
      <c r="O2608" s="62" t="n">
        <v>1</v>
      </c>
      <c r="P2608" s="62" t="n">
        <v>1</v>
      </c>
      <c r="Q2608" s="62" t="n">
        <v>0</v>
      </c>
      <c r="R2608" s="62" t="n">
        <v>0</v>
      </c>
      <c r="S2608" s="62" t="n">
        <v>0</v>
      </c>
      <c r="T2608" s="62" t="n">
        <v>0</v>
      </c>
      <c r="U2608" s="62"/>
      <c r="V2608" s="62"/>
      <c r="W2608" s="62"/>
      <c r="X2608" s="62"/>
      <c r="Y2608" s="62"/>
      <c r="Z2608" s="62" t="s">
        <v>4754</v>
      </c>
      <c r="AA2608" s="62"/>
      <c r="AB2608" s="62" t="n">
        <v>0</v>
      </c>
      <c r="AC2608" s="62" t="n">
        <v>0</v>
      </c>
      <c r="AD2608" s="62" t="n">
        <v>0</v>
      </c>
      <c r="AE2608" s="62" t="n">
        <f aca="false">IF(AND(Dashboard!$C$9="Yes",AC2608=1),0,1)</f>
        <v>1</v>
      </c>
      <c r="AF2608" s="62" t="n">
        <v>1</v>
      </c>
    </row>
    <row r="2609" customFormat="false" ht="15" hidden="false" customHeight="false" outlineLevel="0" collapsed="false">
      <c r="A2609" s="62" t="n">
        <v>2608</v>
      </c>
      <c r="B2609" s="63" t="n">
        <v>46290.8149305556</v>
      </c>
      <c r="C2609" s="64" t="n">
        <v>46290</v>
      </c>
      <c r="D2609" s="62" t="s">
        <v>288</v>
      </c>
      <c r="E2609" s="62" t="s">
        <v>371</v>
      </c>
      <c r="F2609" s="62" t="s">
        <v>371</v>
      </c>
      <c r="G2609" s="62" t="s">
        <v>372</v>
      </c>
      <c r="H2609" s="62" t="s">
        <v>59</v>
      </c>
      <c r="I2609" s="62" t="s">
        <v>47</v>
      </c>
      <c r="J2609" s="62" t="s">
        <v>146</v>
      </c>
      <c r="K2609" s="62" t="s">
        <v>147</v>
      </c>
      <c r="L2609" s="62" t="s">
        <v>148</v>
      </c>
      <c r="M2609" s="62" t="n">
        <v>0</v>
      </c>
      <c r="N2609" s="62" t="n">
        <v>1</v>
      </c>
      <c r="O2609" s="62" t="n">
        <v>1</v>
      </c>
      <c r="P2609" s="62" t="n">
        <v>1</v>
      </c>
      <c r="Q2609" s="62" t="n">
        <v>0</v>
      </c>
      <c r="R2609" s="62" t="n">
        <v>0</v>
      </c>
      <c r="S2609" s="62" t="n">
        <v>0</v>
      </c>
      <c r="T2609" s="62" t="n">
        <v>0</v>
      </c>
      <c r="U2609" s="62"/>
      <c r="V2609" s="62"/>
      <c r="W2609" s="62"/>
      <c r="X2609" s="62"/>
      <c r="Y2609" s="62"/>
      <c r="Z2609" s="62" t="s">
        <v>4755</v>
      </c>
      <c r="AA2609" s="62" t="s">
        <v>4756</v>
      </c>
      <c r="AB2609" s="62" t="n">
        <v>1</v>
      </c>
      <c r="AC2609" s="62" t="n">
        <v>0</v>
      </c>
      <c r="AD2609" s="62" t="n">
        <v>1</v>
      </c>
      <c r="AE2609" s="62" t="n">
        <f aca="false">IF(AND(Dashboard!$C$9="Yes",AC2609=1),0,1)</f>
        <v>1</v>
      </c>
      <c r="AF2609" s="62" t="n">
        <v>1</v>
      </c>
    </row>
    <row r="2610" customFormat="false" ht="15" hidden="false" customHeight="false" outlineLevel="0" collapsed="false">
      <c r="A2610" s="62" t="n">
        <v>2609</v>
      </c>
      <c r="B2610" s="63" t="n">
        <v>46290.8204166667</v>
      </c>
      <c r="C2610" s="64" t="n">
        <v>46290</v>
      </c>
      <c r="D2610" s="62" t="s">
        <v>288</v>
      </c>
      <c r="E2610" s="62" t="s">
        <v>4226</v>
      </c>
      <c r="F2610" s="62" t="s">
        <v>4226</v>
      </c>
      <c r="G2610" s="62" t="s">
        <v>4227</v>
      </c>
      <c r="H2610" s="62" t="s">
        <v>44</v>
      </c>
      <c r="I2610" s="62" t="s">
        <v>49</v>
      </c>
      <c r="J2610" s="62" t="s">
        <v>146</v>
      </c>
      <c r="K2610" s="62" t="s">
        <v>147</v>
      </c>
      <c r="L2610" s="62" t="s">
        <v>4</v>
      </c>
      <c r="M2610" s="62" t="n">
        <v>1</v>
      </c>
      <c r="N2610" s="62" t="n">
        <v>0</v>
      </c>
      <c r="O2610" s="62" t="n">
        <v>1</v>
      </c>
      <c r="P2610" s="62" t="n">
        <v>0</v>
      </c>
      <c r="Q2610" s="62" t="n">
        <v>0</v>
      </c>
      <c r="R2610" s="62" t="n">
        <v>0</v>
      </c>
      <c r="S2610" s="62" t="n">
        <v>0</v>
      </c>
      <c r="T2610" s="62" t="n">
        <v>0</v>
      </c>
      <c r="U2610" s="62" t="s">
        <v>2056</v>
      </c>
      <c r="V2610" s="62" t="s">
        <v>2057</v>
      </c>
      <c r="W2610" s="62" t="s">
        <v>15</v>
      </c>
      <c r="X2610" s="62" t="s">
        <v>2253</v>
      </c>
      <c r="Y2610" s="62" t="s">
        <v>2059</v>
      </c>
      <c r="Z2610" s="62" t="s">
        <v>4757</v>
      </c>
      <c r="AA2610" s="62" t="s">
        <v>4758</v>
      </c>
      <c r="AB2610" s="62" t="n">
        <v>1</v>
      </c>
      <c r="AC2610" s="62" t="n">
        <v>0</v>
      </c>
      <c r="AD2610" s="62" t="n">
        <v>1</v>
      </c>
      <c r="AE2610" s="62" t="n">
        <f aca="false">IF(AND(Dashboard!$C$9="Yes",AC2610=1),0,1)</f>
        <v>1</v>
      </c>
      <c r="AF2610" s="62" t="n">
        <v>0</v>
      </c>
    </row>
    <row r="2611" customFormat="false" ht="15" hidden="false" customHeight="false" outlineLevel="0" collapsed="false">
      <c r="A2611" s="62" t="n">
        <v>2610</v>
      </c>
      <c r="B2611" s="63" t="n">
        <v>46290.8214236111</v>
      </c>
      <c r="C2611" s="64" t="n">
        <v>46290</v>
      </c>
      <c r="D2611" s="62" t="s">
        <v>288</v>
      </c>
      <c r="E2611" s="62" t="s">
        <v>255</v>
      </c>
      <c r="F2611" s="62" t="s">
        <v>255</v>
      </c>
      <c r="G2611" s="62" t="s">
        <v>256</v>
      </c>
      <c r="H2611" s="62" t="s">
        <v>57</v>
      </c>
      <c r="I2611" s="62" t="s">
        <v>47</v>
      </c>
      <c r="J2611" s="62" t="s">
        <v>146</v>
      </c>
      <c r="K2611" s="62" t="s">
        <v>147</v>
      </c>
      <c r="L2611" s="62" t="s">
        <v>4</v>
      </c>
      <c r="M2611" s="62" t="n">
        <v>1</v>
      </c>
      <c r="N2611" s="62" t="n">
        <v>0</v>
      </c>
      <c r="O2611" s="62" t="n">
        <v>1</v>
      </c>
      <c r="P2611" s="62" t="n">
        <v>0</v>
      </c>
      <c r="Q2611" s="62" t="n">
        <v>0</v>
      </c>
      <c r="R2611" s="62" t="n">
        <v>0</v>
      </c>
      <c r="S2611" s="62" t="n">
        <v>0</v>
      </c>
      <c r="T2611" s="62" t="n">
        <v>0</v>
      </c>
      <c r="U2611" s="62" t="s">
        <v>2056</v>
      </c>
      <c r="V2611" s="62" t="s">
        <v>2057</v>
      </c>
      <c r="W2611" s="62" t="s">
        <v>15</v>
      </c>
      <c r="X2611" s="62" t="s">
        <v>2058</v>
      </c>
      <c r="Y2611" s="62" t="s">
        <v>2103</v>
      </c>
      <c r="Z2611" s="62" t="s">
        <v>4759</v>
      </c>
      <c r="AA2611" s="62" t="s">
        <v>4760</v>
      </c>
      <c r="AB2611" s="62" t="n">
        <v>1</v>
      </c>
      <c r="AC2611" s="62" t="n">
        <v>0</v>
      </c>
      <c r="AD2611" s="62" t="n">
        <v>1</v>
      </c>
      <c r="AE2611" s="62" t="n">
        <f aca="false">IF(AND(Dashboard!$C$9="Yes",AC2611=1),0,1)</f>
        <v>1</v>
      </c>
      <c r="AF2611" s="62" t="n">
        <v>1</v>
      </c>
    </row>
    <row r="2612" customFormat="false" ht="15" hidden="false" customHeight="false" outlineLevel="0" collapsed="false">
      <c r="A2612" s="62" t="n">
        <v>2611</v>
      </c>
      <c r="B2612" s="63" t="n">
        <v>46290.8387731482</v>
      </c>
      <c r="C2612" s="64" t="n">
        <v>46290</v>
      </c>
      <c r="D2612" s="62" t="s">
        <v>288</v>
      </c>
      <c r="E2612" s="62" t="s">
        <v>4720</v>
      </c>
      <c r="F2612" s="62" t="s">
        <v>4721</v>
      </c>
      <c r="G2612" s="62" t="s">
        <v>153</v>
      </c>
      <c r="H2612" s="62" t="s">
        <v>153</v>
      </c>
      <c r="I2612" s="62" t="s">
        <v>153</v>
      </c>
      <c r="J2612" s="62" t="s">
        <v>64</v>
      </c>
      <c r="K2612" s="62" t="s">
        <v>64</v>
      </c>
      <c r="L2612" s="62" t="s">
        <v>4</v>
      </c>
      <c r="M2612" s="62" t="n">
        <v>1</v>
      </c>
      <c r="N2612" s="62" t="n">
        <v>0</v>
      </c>
      <c r="O2612" s="62" t="n">
        <v>1</v>
      </c>
      <c r="P2612" s="62" t="n">
        <v>0</v>
      </c>
      <c r="Q2612" s="62" t="n">
        <v>0</v>
      </c>
      <c r="R2612" s="62" t="n">
        <v>0</v>
      </c>
      <c r="S2612" s="62" t="n">
        <v>0</v>
      </c>
      <c r="T2612" s="62" t="n">
        <v>0</v>
      </c>
      <c r="U2612" s="62" t="s">
        <v>2056</v>
      </c>
      <c r="V2612" s="62" t="s">
        <v>2057</v>
      </c>
      <c r="W2612" s="62" t="s">
        <v>15</v>
      </c>
      <c r="X2612" s="62" t="s">
        <v>2253</v>
      </c>
      <c r="Y2612" s="62" t="s">
        <v>2253</v>
      </c>
      <c r="Z2612" s="62" t="s">
        <v>4754</v>
      </c>
      <c r="AA2612" s="62"/>
      <c r="AB2612" s="62" t="n">
        <v>0</v>
      </c>
      <c r="AC2612" s="62" t="n">
        <v>0</v>
      </c>
      <c r="AD2612" s="62" t="n">
        <v>0</v>
      </c>
      <c r="AE2612" s="62" t="n">
        <f aca="false">IF(AND(Dashboard!$C$9="Yes",AC2612=1),0,1)</f>
        <v>1</v>
      </c>
      <c r="AF2612" s="62" t="n">
        <v>0</v>
      </c>
    </row>
    <row r="2613" customFormat="false" ht="15" hidden="false" customHeight="false" outlineLevel="0" collapsed="false">
      <c r="A2613" s="62" t="n">
        <v>2612</v>
      </c>
      <c r="B2613" s="63" t="n">
        <v>46290.8434606482</v>
      </c>
      <c r="C2613" s="64" t="n">
        <v>46290</v>
      </c>
      <c r="D2613" s="62" t="s">
        <v>288</v>
      </c>
      <c r="E2613" s="62" t="s">
        <v>2385</v>
      </c>
      <c r="F2613" s="62" t="s">
        <v>2385</v>
      </c>
      <c r="G2613" s="62" t="s">
        <v>2386</v>
      </c>
      <c r="H2613" s="62" t="s">
        <v>59</v>
      </c>
      <c r="I2613" s="62" t="s">
        <v>47</v>
      </c>
      <c r="J2613" s="62" t="s">
        <v>146</v>
      </c>
      <c r="K2613" s="62" t="s">
        <v>209</v>
      </c>
      <c r="L2613" s="62" t="s">
        <v>148</v>
      </c>
      <c r="M2613" s="62" t="n">
        <v>0</v>
      </c>
      <c r="N2613" s="62" t="n">
        <v>1</v>
      </c>
      <c r="O2613" s="62" t="n">
        <v>1</v>
      </c>
      <c r="P2613" s="62" t="n">
        <v>1</v>
      </c>
      <c r="Q2613" s="62" t="n">
        <v>0</v>
      </c>
      <c r="R2613" s="62" t="n">
        <v>0</v>
      </c>
      <c r="S2613" s="62" t="n">
        <v>0</v>
      </c>
      <c r="T2613" s="62" t="n">
        <v>0</v>
      </c>
      <c r="U2613" s="62"/>
      <c r="V2613" s="62"/>
      <c r="W2613" s="62"/>
      <c r="X2613" s="62"/>
      <c r="Y2613" s="62"/>
      <c r="Z2613" s="62" t="s">
        <v>4761</v>
      </c>
      <c r="AA2613" s="62" t="s">
        <v>64</v>
      </c>
      <c r="AB2613" s="62" t="n">
        <v>0</v>
      </c>
      <c r="AC2613" s="62" t="n">
        <v>0</v>
      </c>
      <c r="AD2613" s="62" t="n">
        <v>1</v>
      </c>
      <c r="AE2613" s="62" t="n">
        <f aca="false">IF(AND(Dashboard!$C$9="Yes",AC2613=1),0,1)</f>
        <v>1</v>
      </c>
      <c r="AF2613" s="62" t="n">
        <v>1</v>
      </c>
    </row>
    <row r="2614" customFormat="false" ht="15" hidden="false" customHeight="false" outlineLevel="0" collapsed="false">
      <c r="A2614" s="62" t="n">
        <v>2613</v>
      </c>
      <c r="B2614" s="63" t="n">
        <v>46290.8561226852</v>
      </c>
      <c r="C2614" s="64" t="n">
        <v>46290</v>
      </c>
      <c r="D2614" s="62" t="s">
        <v>288</v>
      </c>
      <c r="E2614" s="62" t="s">
        <v>4382</v>
      </c>
      <c r="F2614" s="62" t="s">
        <v>4382</v>
      </c>
      <c r="G2614" s="62" t="s">
        <v>4383</v>
      </c>
      <c r="H2614" s="62" t="s">
        <v>44</v>
      </c>
      <c r="I2614" s="62" t="s">
        <v>61</v>
      </c>
      <c r="J2614" s="62" t="s">
        <v>3708</v>
      </c>
      <c r="K2614" s="62" t="s">
        <v>175</v>
      </c>
      <c r="L2614" s="62" t="s">
        <v>4</v>
      </c>
      <c r="M2614" s="62" t="n">
        <v>2</v>
      </c>
      <c r="N2614" s="62" t="n">
        <v>0</v>
      </c>
      <c r="O2614" s="62" t="n">
        <v>2</v>
      </c>
      <c r="P2614" s="62" t="n">
        <v>0</v>
      </c>
      <c r="Q2614" s="62" t="n">
        <v>0</v>
      </c>
      <c r="R2614" s="62" t="n">
        <v>0</v>
      </c>
      <c r="S2614" s="62" t="n">
        <v>0</v>
      </c>
      <c r="T2614" s="62" t="n">
        <v>0</v>
      </c>
      <c r="U2614" s="62" t="s">
        <v>15</v>
      </c>
      <c r="V2614" s="62" t="s">
        <v>2057</v>
      </c>
      <c r="W2614" s="62" t="s">
        <v>15</v>
      </c>
      <c r="X2614" s="62" t="s">
        <v>2180</v>
      </c>
      <c r="Y2614" s="62" t="s">
        <v>2253</v>
      </c>
      <c r="Z2614" s="62" t="s">
        <v>4621</v>
      </c>
      <c r="AA2614" s="62" t="s">
        <v>4622</v>
      </c>
      <c r="AB2614" s="62" t="n">
        <v>1</v>
      </c>
      <c r="AC2614" s="62" t="n">
        <v>0</v>
      </c>
      <c r="AD2614" s="62" t="n">
        <v>1</v>
      </c>
      <c r="AE2614" s="62" t="n">
        <f aca="false">IF(AND(Dashboard!$C$9="Yes",AC2614=1),0,1)</f>
        <v>1</v>
      </c>
      <c r="AF2614" s="62" t="n">
        <v>1</v>
      </c>
    </row>
    <row r="2615" customFormat="false" ht="15" hidden="false" customHeight="false" outlineLevel="0" collapsed="false">
      <c r="A2615" s="62" t="n">
        <v>2614</v>
      </c>
      <c r="B2615" s="63" t="n">
        <v>46290.8580439815</v>
      </c>
      <c r="C2615" s="64" t="n">
        <v>46290</v>
      </c>
      <c r="D2615" s="62" t="s">
        <v>288</v>
      </c>
      <c r="E2615" s="62" t="s">
        <v>4382</v>
      </c>
      <c r="F2615" s="62" t="s">
        <v>4382</v>
      </c>
      <c r="G2615" s="62" t="s">
        <v>4383</v>
      </c>
      <c r="H2615" s="62" t="s">
        <v>44</v>
      </c>
      <c r="I2615" s="62" t="s">
        <v>61</v>
      </c>
      <c r="J2615" s="62" t="s">
        <v>3708</v>
      </c>
      <c r="K2615" s="62" t="s">
        <v>175</v>
      </c>
      <c r="L2615" s="62" t="s">
        <v>4</v>
      </c>
      <c r="M2615" s="62" t="n">
        <v>1</v>
      </c>
      <c r="N2615" s="62" t="n">
        <v>0</v>
      </c>
      <c r="O2615" s="62" t="n">
        <v>1</v>
      </c>
      <c r="P2615" s="62" t="n">
        <v>0</v>
      </c>
      <c r="Q2615" s="62" t="n">
        <v>0</v>
      </c>
      <c r="R2615" s="62" t="n">
        <v>0</v>
      </c>
      <c r="S2615" s="62" t="n">
        <v>0</v>
      </c>
      <c r="T2615" s="62" t="n">
        <v>0</v>
      </c>
      <c r="U2615" s="62" t="s">
        <v>2056</v>
      </c>
      <c r="V2615" s="62" t="s">
        <v>2068</v>
      </c>
      <c r="W2615" s="62"/>
      <c r="X2615" s="62" t="s">
        <v>2125</v>
      </c>
      <c r="Y2615" s="62" t="s">
        <v>2064</v>
      </c>
      <c r="Z2615" s="62" t="s">
        <v>4674</v>
      </c>
      <c r="AA2615" s="62" t="s">
        <v>4675</v>
      </c>
      <c r="AB2615" s="62" t="n">
        <v>1</v>
      </c>
      <c r="AC2615" s="62" t="n">
        <v>1</v>
      </c>
      <c r="AD2615" s="62" t="n">
        <v>1</v>
      </c>
      <c r="AE2615" s="62" t="n">
        <f aca="false">IF(AND(Dashboard!$C$9="Yes",AC2615=1),0,1)</f>
        <v>0</v>
      </c>
      <c r="AF2615" s="62" t="n">
        <v>0</v>
      </c>
    </row>
    <row r="2616" customFormat="false" ht="15" hidden="false" customHeight="false" outlineLevel="0" collapsed="false">
      <c r="A2616" s="62" t="n">
        <v>2615</v>
      </c>
      <c r="B2616" s="63" t="n">
        <v>46290.8606018519</v>
      </c>
      <c r="C2616" s="64" t="n">
        <v>46290</v>
      </c>
      <c r="D2616" s="62" t="s">
        <v>288</v>
      </c>
      <c r="E2616" s="62" t="s">
        <v>573</v>
      </c>
      <c r="F2616" s="62" t="s">
        <v>573</v>
      </c>
      <c r="G2616" s="62" t="s">
        <v>574</v>
      </c>
      <c r="H2616" s="62" t="s">
        <v>51</v>
      </c>
      <c r="I2616" s="62" t="s">
        <v>47</v>
      </c>
      <c r="J2616" s="62" t="s">
        <v>146</v>
      </c>
      <c r="K2616" s="62" t="s">
        <v>147</v>
      </c>
      <c r="L2616" s="62" t="s">
        <v>4</v>
      </c>
      <c r="M2616" s="62" t="n">
        <v>1</v>
      </c>
      <c r="N2616" s="62" t="n">
        <v>0</v>
      </c>
      <c r="O2616" s="62" t="n">
        <v>1</v>
      </c>
      <c r="P2616" s="62" t="n">
        <v>0</v>
      </c>
      <c r="Q2616" s="62" t="n">
        <v>0</v>
      </c>
      <c r="R2616" s="62" t="n">
        <v>0</v>
      </c>
      <c r="S2616" s="62" t="n">
        <v>0</v>
      </c>
      <c r="T2616" s="62" t="n">
        <v>0</v>
      </c>
      <c r="U2616" s="62" t="s">
        <v>2056</v>
      </c>
      <c r="V2616" s="62" t="s">
        <v>2057</v>
      </c>
      <c r="W2616" s="62" t="s">
        <v>15</v>
      </c>
      <c r="X2616" s="62" t="s">
        <v>2058</v>
      </c>
      <c r="Y2616" s="62" t="s">
        <v>2059</v>
      </c>
      <c r="Z2616" s="62" t="s">
        <v>4762</v>
      </c>
      <c r="AA2616" s="62" t="s">
        <v>4763</v>
      </c>
      <c r="AB2616" s="62" t="n">
        <v>1</v>
      </c>
      <c r="AC2616" s="62" t="n">
        <v>0</v>
      </c>
      <c r="AD2616" s="62" t="n">
        <v>1</v>
      </c>
      <c r="AE2616" s="62" t="n">
        <f aca="false">IF(AND(Dashboard!$C$9="Yes",AC2616=1),0,1)</f>
        <v>1</v>
      </c>
      <c r="AF2616" s="62" t="n">
        <v>1</v>
      </c>
    </row>
    <row r="2617" customFormat="false" ht="15" hidden="false" customHeight="false" outlineLevel="0" collapsed="false">
      <c r="A2617" s="62" t="n">
        <v>2616</v>
      </c>
      <c r="B2617" s="63" t="n">
        <v>46290.8674884259</v>
      </c>
      <c r="C2617" s="64" t="n">
        <v>46290</v>
      </c>
      <c r="D2617" s="62" t="s">
        <v>288</v>
      </c>
      <c r="E2617" s="62" t="s">
        <v>4382</v>
      </c>
      <c r="F2617" s="62" t="s">
        <v>4382</v>
      </c>
      <c r="G2617" s="62" t="s">
        <v>4383</v>
      </c>
      <c r="H2617" s="62" t="s">
        <v>44</v>
      </c>
      <c r="I2617" s="62" t="s">
        <v>61</v>
      </c>
      <c r="J2617" s="62" t="s">
        <v>3708</v>
      </c>
      <c r="K2617" s="62" t="s">
        <v>175</v>
      </c>
      <c r="L2617" s="62" t="s">
        <v>4</v>
      </c>
      <c r="M2617" s="62" t="n">
        <v>2</v>
      </c>
      <c r="N2617" s="62" t="n">
        <v>0</v>
      </c>
      <c r="O2617" s="62" t="n">
        <v>2</v>
      </c>
      <c r="P2617" s="62" t="n">
        <v>0</v>
      </c>
      <c r="Q2617" s="62" t="n">
        <v>0</v>
      </c>
      <c r="R2617" s="62" t="n">
        <v>0</v>
      </c>
      <c r="S2617" s="62" t="n">
        <v>0</v>
      </c>
      <c r="T2617" s="62" t="n">
        <v>0</v>
      </c>
      <c r="U2617" s="62" t="s">
        <v>15</v>
      </c>
      <c r="V2617" s="62" t="s">
        <v>2057</v>
      </c>
      <c r="W2617" s="62" t="s">
        <v>15</v>
      </c>
      <c r="X2617" s="62" t="s">
        <v>2253</v>
      </c>
      <c r="Y2617" s="62" t="s">
        <v>2103</v>
      </c>
      <c r="Z2617" s="62" t="s">
        <v>4621</v>
      </c>
      <c r="AA2617" s="62" t="s">
        <v>4622</v>
      </c>
      <c r="AB2617" s="62" t="n">
        <v>1</v>
      </c>
      <c r="AC2617" s="62" t="n">
        <v>1</v>
      </c>
      <c r="AD2617" s="62" t="n">
        <v>1</v>
      </c>
      <c r="AE2617" s="62" t="n">
        <f aca="false">IF(AND(Dashboard!$C$9="Yes",AC2617=1),0,1)</f>
        <v>0</v>
      </c>
      <c r="AF2617" s="62" t="n">
        <v>0</v>
      </c>
    </row>
    <row r="2618" customFormat="false" ht="15" hidden="false" customHeight="false" outlineLevel="0" collapsed="false">
      <c r="A2618" s="62" t="n">
        <v>2617</v>
      </c>
      <c r="B2618" s="63" t="n">
        <v>46290.8703819444</v>
      </c>
      <c r="C2618" s="64" t="n">
        <v>46290</v>
      </c>
      <c r="D2618" s="62" t="s">
        <v>288</v>
      </c>
      <c r="E2618" s="62" t="s">
        <v>4382</v>
      </c>
      <c r="F2618" s="62" t="s">
        <v>4382</v>
      </c>
      <c r="G2618" s="62" t="s">
        <v>4383</v>
      </c>
      <c r="H2618" s="62" t="s">
        <v>44</v>
      </c>
      <c r="I2618" s="62" t="s">
        <v>61</v>
      </c>
      <c r="J2618" s="62" t="s">
        <v>3708</v>
      </c>
      <c r="K2618" s="62" t="s">
        <v>175</v>
      </c>
      <c r="L2618" s="62" t="s">
        <v>4</v>
      </c>
      <c r="M2618" s="62" t="n">
        <v>2</v>
      </c>
      <c r="N2618" s="62" t="n">
        <v>0</v>
      </c>
      <c r="O2618" s="62" t="n">
        <v>2</v>
      </c>
      <c r="P2618" s="62" t="n">
        <v>0</v>
      </c>
      <c r="Q2618" s="62" t="n">
        <v>0</v>
      </c>
      <c r="R2618" s="62" t="n">
        <v>0</v>
      </c>
      <c r="S2618" s="62" t="n">
        <v>0</v>
      </c>
      <c r="T2618" s="62" t="n">
        <v>0</v>
      </c>
      <c r="U2618" s="62" t="s">
        <v>15</v>
      </c>
      <c r="V2618" s="62" t="s">
        <v>2057</v>
      </c>
      <c r="W2618" s="62" t="s">
        <v>15</v>
      </c>
      <c r="X2618" s="62" t="s">
        <v>2058</v>
      </c>
      <c r="Y2618" s="62" t="s">
        <v>2103</v>
      </c>
      <c r="Z2618" s="62" t="s">
        <v>4621</v>
      </c>
      <c r="AA2618" s="62" t="s">
        <v>4622</v>
      </c>
      <c r="AB2618" s="62" t="n">
        <v>1</v>
      </c>
      <c r="AC2618" s="62" t="n">
        <v>1</v>
      </c>
      <c r="AD2618" s="62" t="n">
        <v>1</v>
      </c>
      <c r="AE2618" s="62" t="n">
        <f aca="false">IF(AND(Dashboard!$C$9="Yes",AC2618=1),0,1)</f>
        <v>0</v>
      </c>
      <c r="AF2618" s="62" t="n">
        <v>0</v>
      </c>
    </row>
    <row r="2619" customFormat="false" ht="15" hidden="false" customHeight="false" outlineLevel="0" collapsed="false">
      <c r="A2619" s="62" t="n">
        <v>2618</v>
      </c>
      <c r="B2619" s="63" t="n">
        <v>46290.87375</v>
      </c>
      <c r="C2619" s="64" t="n">
        <v>46290</v>
      </c>
      <c r="D2619" s="62" t="s">
        <v>288</v>
      </c>
      <c r="E2619" s="62" t="s">
        <v>2183</v>
      </c>
      <c r="F2619" s="62" t="s">
        <v>2183</v>
      </c>
      <c r="G2619" s="62" t="s">
        <v>2184</v>
      </c>
      <c r="H2619" s="62" t="s">
        <v>59</v>
      </c>
      <c r="I2619" s="62" t="s">
        <v>47</v>
      </c>
      <c r="J2619" s="62" t="s">
        <v>146</v>
      </c>
      <c r="K2619" s="62" t="s">
        <v>209</v>
      </c>
      <c r="L2619" s="62" t="s">
        <v>148</v>
      </c>
      <c r="M2619" s="62" t="n">
        <v>0</v>
      </c>
      <c r="N2619" s="62" t="n">
        <v>1</v>
      </c>
      <c r="O2619" s="62" t="n">
        <v>1</v>
      </c>
      <c r="P2619" s="62" t="n">
        <v>1</v>
      </c>
      <c r="Q2619" s="62" t="n">
        <v>0</v>
      </c>
      <c r="R2619" s="62" t="n">
        <v>0</v>
      </c>
      <c r="S2619" s="62" t="n">
        <v>0</v>
      </c>
      <c r="T2619" s="62" t="n">
        <v>0</v>
      </c>
      <c r="U2619" s="62"/>
      <c r="V2619" s="62"/>
      <c r="W2619" s="62"/>
      <c r="X2619" s="62"/>
      <c r="Y2619" s="62"/>
      <c r="Z2619" s="62" t="s">
        <v>4764</v>
      </c>
      <c r="AA2619" s="62" t="s">
        <v>4765</v>
      </c>
      <c r="AB2619" s="62" t="n">
        <v>1</v>
      </c>
      <c r="AC2619" s="62" t="n">
        <v>0</v>
      </c>
      <c r="AD2619" s="62" t="n">
        <v>1</v>
      </c>
      <c r="AE2619" s="62" t="n">
        <f aca="false">IF(AND(Dashboard!$C$9="Yes",AC2619=1),0,1)</f>
        <v>1</v>
      </c>
      <c r="AF2619" s="62" t="n">
        <v>1</v>
      </c>
    </row>
    <row r="2620" customFormat="false" ht="15" hidden="false" customHeight="false" outlineLevel="0" collapsed="false">
      <c r="A2620" s="62" t="n">
        <v>2619</v>
      </c>
      <c r="B2620" s="63" t="n">
        <v>46290.8918981482</v>
      </c>
      <c r="C2620" s="64" t="n">
        <v>46290</v>
      </c>
      <c r="D2620" s="62" t="s">
        <v>288</v>
      </c>
      <c r="E2620" s="62" t="s">
        <v>892</v>
      </c>
      <c r="F2620" s="62" t="s">
        <v>892</v>
      </c>
      <c r="G2620" s="62" t="s">
        <v>893</v>
      </c>
      <c r="H2620" s="62" t="s">
        <v>46</v>
      </c>
      <c r="I2620" s="62" t="s">
        <v>47</v>
      </c>
      <c r="J2620" s="62" t="s">
        <v>146</v>
      </c>
      <c r="K2620" s="62" t="s">
        <v>209</v>
      </c>
      <c r="L2620" s="62" t="s">
        <v>148</v>
      </c>
      <c r="M2620" s="62" t="n">
        <v>0</v>
      </c>
      <c r="N2620" s="62" t="n">
        <v>1</v>
      </c>
      <c r="O2620" s="62" t="n">
        <v>1</v>
      </c>
      <c r="P2620" s="62" t="n">
        <v>0</v>
      </c>
      <c r="Q2620" s="62" t="n">
        <v>0</v>
      </c>
      <c r="R2620" s="62" t="n">
        <v>1</v>
      </c>
      <c r="S2620" s="62" t="n">
        <v>0</v>
      </c>
      <c r="T2620" s="62" t="n">
        <v>0</v>
      </c>
      <c r="U2620" s="62"/>
      <c r="V2620" s="62"/>
      <c r="W2620" s="62"/>
      <c r="X2620" s="62"/>
      <c r="Y2620" s="62"/>
      <c r="Z2620" s="62" t="s">
        <v>4766</v>
      </c>
      <c r="AA2620" s="62" t="s">
        <v>337</v>
      </c>
      <c r="AB2620" s="62" t="n">
        <v>0</v>
      </c>
      <c r="AC2620" s="62" t="n">
        <v>0</v>
      </c>
      <c r="AD2620" s="62" t="n">
        <v>1</v>
      </c>
      <c r="AE2620" s="62" t="n">
        <f aca="false">IF(AND(Dashboard!$C$9="Yes",AC2620=1),0,1)</f>
        <v>1</v>
      </c>
      <c r="AF2620" s="62" t="n">
        <v>1</v>
      </c>
    </row>
    <row r="2621" customFormat="false" ht="15" hidden="false" customHeight="false" outlineLevel="0" collapsed="false">
      <c r="A2621" s="62" t="n">
        <v>2620</v>
      </c>
      <c r="B2621" s="63" t="n">
        <v>46290.893587963</v>
      </c>
      <c r="C2621" s="64" t="n">
        <v>46290</v>
      </c>
      <c r="D2621" s="62" t="s">
        <v>288</v>
      </c>
      <c r="E2621" s="62" t="s">
        <v>3018</v>
      </c>
      <c r="F2621" s="62" t="s">
        <v>3018</v>
      </c>
      <c r="G2621" s="62" t="s">
        <v>3019</v>
      </c>
      <c r="H2621" s="62" t="s">
        <v>58</v>
      </c>
      <c r="I2621" s="62" t="s">
        <v>49</v>
      </c>
      <c r="J2621" s="62" t="s">
        <v>146</v>
      </c>
      <c r="K2621" s="62" t="s">
        <v>175</v>
      </c>
      <c r="L2621" s="62" t="s">
        <v>148</v>
      </c>
      <c r="M2621" s="62" t="n">
        <v>0</v>
      </c>
      <c r="N2621" s="62" t="n">
        <v>1</v>
      </c>
      <c r="O2621" s="62" t="n">
        <v>1</v>
      </c>
      <c r="P2621" s="62" t="n">
        <v>0</v>
      </c>
      <c r="Q2621" s="62" t="n">
        <v>1</v>
      </c>
      <c r="R2621" s="62" t="n">
        <v>0</v>
      </c>
      <c r="S2621" s="62" t="n">
        <v>0</v>
      </c>
      <c r="T2621" s="62" t="n">
        <v>0</v>
      </c>
      <c r="U2621" s="62"/>
      <c r="V2621" s="62"/>
      <c r="W2621" s="62"/>
      <c r="X2621" s="62"/>
      <c r="Y2621" s="62"/>
      <c r="Z2621" s="62" t="s">
        <v>4767</v>
      </c>
      <c r="AA2621" s="62" t="s">
        <v>4768</v>
      </c>
      <c r="AB2621" s="62" t="n">
        <v>1</v>
      </c>
      <c r="AC2621" s="62" t="n">
        <v>0</v>
      </c>
      <c r="AD2621" s="62" t="n">
        <v>1</v>
      </c>
      <c r="AE2621" s="62" t="n">
        <f aca="false">IF(AND(Dashboard!$C$9="Yes",AC2621=1),0,1)</f>
        <v>1</v>
      </c>
      <c r="AF2621" s="62" t="n">
        <v>1</v>
      </c>
    </row>
    <row r="2622" customFormat="false" ht="15" hidden="false" customHeight="false" outlineLevel="0" collapsed="false">
      <c r="A2622" s="62" t="n">
        <v>2621</v>
      </c>
      <c r="B2622" s="63" t="n">
        <v>46290.8993981482</v>
      </c>
      <c r="C2622" s="64" t="n">
        <v>46290</v>
      </c>
      <c r="D2622" s="62" t="s">
        <v>288</v>
      </c>
      <c r="E2622" s="62" t="s">
        <v>1005</v>
      </c>
      <c r="F2622" s="62" t="s">
        <v>1005</v>
      </c>
      <c r="G2622" s="62" t="s">
        <v>1006</v>
      </c>
      <c r="H2622" s="62" t="s">
        <v>46</v>
      </c>
      <c r="I2622" s="62" t="s">
        <v>47</v>
      </c>
      <c r="J2622" s="62" t="s">
        <v>146</v>
      </c>
      <c r="K2622" s="62" t="s">
        <v>209</v>
      </c>
      <c r="L2622" s="62" t="s">
        <v>148</v>
      </c>
      <c r="M2622" s="62" t="n">
        <v>0</v>
      </c>
      <c r="N2622" s="62" t="n">
        <v>2</v>
      </c>
      <c r="O2622" s="62" t="n">
        <v>2</v>
      </c>
      <c r="P2622" s="62" t="n">
        <v>1</v>
      </c>
      <c r="Q2622" s="62" t="n">
        <v>1</v>
      </c>
      <c r="R2622" s="62" t="n">
        <v>0</v>
      </c>
      <c r="S2622" s="62" t="n">
        <v>0</v>
      </c>
      <c r="T2622" s="62" t="n">
        <v>0</v>
      </c>
      <c r="U2622" s="62"/>
      <c r="V2622" s="62"/>
      <c r="W2622" s="62"/>
      <c r="X2622" s="62"/>
      <c r="Y2622" s="62"/>
      <c r="Z2622" s="62" t="s">
        <v>4769</v>
      </c>
      <c r="AA2622" s="62" t="s">
        <v>4770</v>
      </c>
      <c r="AB2622" s="62" t="n">
        <v>0</v>
      </c>
      <c r="AC2622" s="62" t="n">
        <v>0</v>
      </c>
      <c r="AD2622" s="62" t="n">
        <v>1</v>
      </c>
      <c r="AE2622" s="62" t="n">
        <f aca="false">IF(AND(Dashboard!$C$9="Yes",AC2622=1),0,1)</f>
        <v>1</v>
      </c>
      <c r="AF2622" s="62" t="n">
        <v>0</v>
      </c>
    </row>
    <row r="2623" customFormat="false" ht="15" hidden="false" customHeight="false" outlineLevel="0" collapsed="false">
      <c r="A2623" s="62" t="n">
        <v>2622</v>
      </c>
      <c r="B2623" s="63" t="n">
        <v>46290.9065625</v>
      </c>
      <c r="C2623" s="64" t="n">
        <v>46290</v>
      </c>
      <c r="D2623" s="62" t="s">
        <v>288</v>
      </c>
      <c r="E2623" s="62" t="s">
        <v>3018</v>
      </c>
      <c r="F2623" s="62" t="s">
        <v>3018</v>
      </c>
      <c r="G2623" s="62" t="s">
        <v>3019</v>
      </c>
      <c r="H2623" s="62" t="s">
        <v>58</v>
      </c>
      <c r="I2623" s="62" t="s">
        <v>49</v>
      </c>
      <c r="J2623" s="62" t="s">
        <v>146</v>
      </c>
      <c r="K2623" s="62" t="s">
        <v>175</v>
      </c>
      <c r="L2623" s="62" t="s">
        <v>4</v>
      </c>
      <c r="M2623" s="62" t="n">
        <v>1</v>
      </c>
      <c r="N2623" s="62" t="n">
        <v>0</v>
      </c>
      <c r="O2623" s="62" t="n">
        <v>1</v>
      </c>
      <c r="P2623" s="62" t="n">
        <v>0</v>
      </c>
      <c r="Q2623" s="62" t="n">
        <v>0</v>
      </c>
      <c r="R2623" s="62" t="n">
        <v>0</v>
      </c>
      <c r="S2623" s="62" t="n">
        <v>0</v>
      </c>
      <c r="T2623" s="62" t="n">
        <v>0</v>
      </c>
      <c r="U2623" s="62" t="s">
        <v>2056</v>
      </c>
      <c r="V2623" s="62" t="s">
        <v>2057</v>
      </c>
      <c r="W2623" s="62" t="s">
        <v>15</v>
      </c>
      <c r="X2623" s="62" t="s">
        <v>2058</v>
      </c>
      <c r="Y2623" s="62" t="s">
        <v>2059</v>
      </c>
      <c r="Z2623" s="62" t="s">
        <v>4767</v>
      </c>
      <c r="AA2623" s="62" t="s">
        <v>4771</v>
      </c>
      <c r="AB2623" s="62" t="n">
        <v>1</v>
      </c>
      <c r="AC2623" s="62" t="n">
        <v>0</v>
      </c>
      <c r="AD2623" s="62" t="n">
        <v>1</v>
      </c>
      <c r="AE2623" s="62" t="n">
        <f aca="false">IF(AND(Dashboard!$C$9="Yes",AC2623=1),0,1)</f>
        <v>1</v>
      </c>
      <c r="AF2623" s="62" t="n">
        <v>0</v>
      </c>
    </row>
    <row r="2624" customFormat="false" ht="15" hidden="false" customHeight="false" outlineLevel="0" collapsed="false">
      <c r="A2624" s="62" t="n">
        <v>2623</v>
      </c>
      <c r="B2624" s="63" t="n">
        <v>46290.9199768519</v>
      </c>
      <c r="C2624" s="64" t="n">
        <v>46290</v>
      </c>
      <c r="D2624" s="62" t="s">
        <v>288</v>
      </c>
      <c r="E2624" s="62" t="s">
        <v>4633</v>
      </c>
      <c r="F2624" s="62" t="s">
        <v>4633</v>
      </c>
      <c r="G2624" s="62" t="s">
        <v>4634</v>
      </c>
      <c r="H2624" s="62" t="s">
        <v>48</v>
      </c>
      <c r="I2624" s="62" t="s">
        <v>49</v>
      </c>
      <c r="J2624" s="62" t="s">
        <v>146</v>
      </c>
      <c r="K2624" s="62" t="s">
        <v>209</v>
      </c>
      <c r="L2624" s="62" t="s">
        <v>148</v>
      </c>
      <c r="M2624" s="62" t="n">
        <v>0</v>
      </c>
      <c r="N2624" s="62" t="n">
        <v>2</v>
      </c>
      <c r="O2624" s="62" t="n">
        <v>2</v>
      </c>
      <c r="P2624" s="62" t="n">
        <v>0</v>
      </c>
      <c r="Q2624" s="62" t="n">
        <v>0</v>
      </c>
      <c r="R2624" s="62" t="n">
        <v>0</v>
      </c>
      <c r="S2624" s="62" t="n">
        <v>0</v>
      </c>
      <c r="T2624" s="62" t="n">
        <v>2</v>
      </c>
      <c r="U2624" s="62"/>
      <c r="V2624" s="62"/>
      <c r="W2624" s="62"/>
      <c r="X2624" s="62"/>
      <c r="Y2624" s="62"/>
      <c r="Z2624" s="62" t="s">
        <v>4772</v>
      </c>
      <c r="AA2624" s="62" t="s">
        <v>4773</v>
      </c>
      <c r="AB2624" s="62" t="n">
        <v>0</v>
      </c>
      <c r="AC2624" s="62" t="n">
        <v>0</v>
      </c>
      <c r="AD2624" s="62" t="n">
        <v>1</v>
      </c>
      <c r="AE2624" s="62" t="n">
        <f aca="false">IF(AND(Dashboard!$C$9="Yes",AC2624=1),0,1)</f>
        <v>1</v>
      </c>
      <c r="AF2624" s="62" t="n">
        <v>1</v>
      </c>
    </row>
    <row r="2625" customFormat="false" ht="15" hidden="false" customHeight="false" outlineLevel="0" collapsed="false">
      <c r="A2625" s="62" t="n">
        <v>2624</v>
      </c>
      <c r="B2625" s="63" t="n">
        <v>46290.9215625</v>
      </c>
      <c r="C2625" s="64" t="n">
        <v>46290</v>
      </c>
      <c r="D2625" s="62" t="s">
        <v>288</v>
      </c>
      <c r="E2625" s="62" t="s">
        <v>3181</v>
      </c>
      <c r="F2625" s="62" t="s">
        <v>3181</v>
      </c>
      <c r="G2625" s="62" t="s">
        <v>3182</v>
      </c>
      <c r="H2625" s="62" t="s">
        <v>58</v>
      </c>
      <c r="I2625" s="62" t="s">
        <v>49</v>
      </c>
      <c r="J2625" s="62" t="s">
        <v>146</v>
      </c>
      <c r="K2625" s="62" t="s">
        <v>209</v>
      </c>
      <c r="L2625" s="62" t="s">
        <v>148</v>
      </c>
      <c r="M2625" s="62" t="n">
        <v>0</v>
      </c>
      <c r="N2625" s="62" t="n">
        <v>2</v>
      </c>
      <c r="O2625" s="62" t="n">
        <v>2</v>
      </c>
      <c r="P2625" s="62" t="n">
        <v>1</v>
      </c>
      <c r="Q2625" s="62" t="n">
        <v>1</v>
      </c>
      <c r="R2625" s="62" t="n">
        <v>0</v>
      </c>
      <c r="S2625" s="62" t="n">
        <v>0</v>
      </c>
      <c r="T2625" s="62" t="n">
        <v>0</v>
      </c>
      <c r="U2625" s="62"/>
      <c r="V2625" s="62"/>
      <c r="W2625" s="62"/>
      <c r="X2625" s="62"/>
      <c r="Y2625" s="62"/>
      <c r="Z2625" s="62" t="s">
        <v>4774</v>
      </c>
      <c r="AA2625" s="62" t="s">
        <v>3868</v>
      </c>
      <c r="AB2625" s="62" t="n">
        <v>0</v>
      </c>
      <c r="AC2625" s="62" t="n">
        <v>0</v>
      </c>
      <c r="AD2625" s="62" t="n">
        <v>1</v>
      </c>
      <c r="AE2625" s="62" t="n">
        <f aca="false">IF(AND(Dashboard!$C$9="Yes",AC2625=1),0,1)</f>
        <v>1</v>
      </c>
      <c r="AF2625" s="62" t="n">
        <v>1</v>
      </c>
    </row>
    <row r="2626" customFormat="false" ht="15" hidden="false" customHeight="false" outlineLevel="0" collapsed="false">
      <c r="A2626" s="62" t="n">
        <v>2625</v>
      </c>
      <c r="B2626" s="63" t="n">
        <v>46290.9321527778</v>
      </c>
      <c r="C2626" s="64" t="n">
        <v>46290</v>
      </c>
      <c r="D2626" s="62" t="s">
        <v>288</v>
      </c>
      <c r="E2626" s="62" t="s">
        <v>2071</v>
      </c>
      <c r="F2626" s="62" t="s">
        <v>2071</v>
      </c>
      <c r="G2626" s="62" t="s">
        <v>2072</v>
      </c>
      <c r="H2626" s="62" t="s">
        <v>58</v>
      </c>
      <c r="I2626" s="62" t="s">
        <v>49</v>
      </c>
      <c r="J2626" s="62" t="s">
        <v>146</v>
      </c>
      <c r="K2626" s="62" t="s">
        <v>175</v>
      </c>
      <c r="L2626" s="62" t="s">
        <v>148</v>
      </c>
      <c r="M2626" s="62" t="n">
        <v>0</v>
      </c>
      <c r="N2626" s="62" t="n">
        <v>1</v>
      </c>
      <c r="O2626" s="62" t="n">
        <v>1</v>
      </c>
      <c r="P2626" s="62" t="n">
        <v>0</v>
      </c>
      <c r="Q2626" s="62" t="n">
        <v>0</v>
      </c>
      <c r="R2626" s="62" t="n">
        <v>1</v>
      </c>
      <c r="S2626" s="62" t="n">
        <v>0</v>
      </c>
      <c r="T2626" s="62" t="n">
        <v>0</v>
      </c>
      <c r="U2626" s="62"/>
      <c r="V2626" s="62"/>
      <c r="W2626" s="62"/>
      <c r="X2626" s="62"/>
      <c r="Y2626" s="62"/>
      <c r="Z2626" s="62" t="s">
        <v>4775</v>
      </c>
      <c r="AA2626" s="62" t="s">
        <v>4776</v>
      </c>
      <c r="AB2626" s="62" t="n">
        <v>1</v>
      </c>
      <c r="AC2626" s="62" t="n">
        <v>0</v>
      </c>
      <c r="AD2626" s="62" t="n">
        <v>1</v>
      </c>
      <c r="AE2626" s="62" t="n">
        <f aca="false">IF(AND(Dashboard!$C$9="Yes",AC2626=1),0,1)</f>
        <v>1</v>
      </c>
      <c r="AF2626" s="62" t="n">
        <v>1</v>
      </c>
    </row>
    <row r="2627" customFormat="false" ht="15" hidden="false" customHeight="false" outlineLevel="0" collapsed="false">
      <c r="A2627" s="62" t="n">
        <v>2626</v>
      </c>
      <c r="B2627" s="63" t="n">
        <v>46290.9466550926</v>
      </c>
      <c r="C2627" s="64" t="n">
        <v>46290</v>
      </c>
      <c r="D2627" s="62" t="s">
        <v>288</v>
      </c>
      <c r="E2627" s="62" t="s">
        <v>4420</v>
      </c>
      <c r="F2627" s="62" t="s">
        <v>4420</v>
      </c>
      <c r="G2627" s="62" t="s">
        <v>4421</v>
      </c>
      <c r="H2627" s="62" t="s">
        <v>44</v>
      </c>
      <c r="I2627" s="62" t="s">
        <v>49</v>
      </c>
      <c r="J2627" s="62" t="s">
        <v>146</v>
      </c>
      <c r="K2627" s="62" t="s">
        <v>147</v>
      </c>
      <c r="L2627" s="62" t="s">
        <v>148</v>
      </c>
      <c r="M2627" s="62" t="n">
        <v>0</v>
      </c>
      <c r="N2627" s="62" t="n">
        <v>1</v>
      </c>
      <c r="O2627" s="62" t="n">
        <v>1</v>
      </c>
      <c r="P2627" s="62" t="n">
        <v>1</v>
      </c>
      <c r="Q2627" s="62" t="n">
        <v>0</v>
      </c>
      <c r="R2627" s="62" t="n">
        <v>0</v>
      </c>
      <c r="S2627" s="62" t="n">
        <v>0</v>
      </c>
      <c r="T2627" s="62" t="n">
        <v>0</v>
      </c>
      <c r="U2627" s="62"/>
      <c r="V2627" s="62"/>
      <c r="W2627" s="62"/>
      <c r="X2627" s="62"/>
      <c r="Y2627" s="62"/>
      <c r="Z2627" s="62" t="s">
        <v>4777</v>
      </c>
      <c r="AA2627" s="62" t="s">
        <v>4778</v>
      </c>
      <c r="AB2627" s="62" t="n">
        <v>1</v>
      </c>
      <c r="AC2627" s="62" t="n">
        <v>0</v>
      </c>
      <c r="AD2627" s="62" t="n">
        <v>1</v>
      </c>
      <c r="AE2627" s="62" t="n">
        <f aca="false">IF(AND(Dashboard!$C$9="Yes",AC2627=1),0,1)</f>
        <v>1</v>
      </c>
      <c r="AF2627" s="62" t="n">
        <v>1</v>
      </c>
    </row>
    <row r="2628" customFormat="false" ht="15" hidden="false" customHeight="false" outlineLevel="0" collapsed="false">
      <c r="A2628" s="62" t="n">
        <v>2627</v>
      </c>
      <c r="B2628" s="63" t="n">
        <v>46290.9569328704</v>
      </c>
      <c r="C2628" s="64" t="n">
        <v>46290</v>
      </c>
      <c r="D2628" s="62" t="s">
        <v>288</v>
      </c>
      <c r="E2628" s="62" t="s">
        <v>4258</v>
      </c>
      <c r="F2628" s="62" t="s">
        <v>4258</v>
      </c>
      <c r="G2628" s="62" t="s">
        <v>4259</v>
      </c>
      <c r="H2628" s="62" t="s">
        <v>44</v>
      </c>
      <c r="I2628" s="62" t="s">
        <v>49</v>
      </c>
      <c r="J2628" s="62" t="s">
        <v>146</v>
      </c>
      <c r="K2628" s="62" t="s">
        <v>147</v>
      </c>
      <c r="L2628" s="62" t="s">
        <v>148</v>
      </c>
      <c r="M2628" s="62" t="n">
        <v>0</v>
      </c>
      <c r="N2628" s="62" t="n">
        <v>1</v>
      </c>
      <c r="O2628" s="62" t="n">
        <v>1</v>
      </c>
      <c r="P2628" s="62" t="n">
        <v>0</v>
      </c>
      <c r="Q2628" s="62" t="n">
        <v>0</v>
      </c>
      <c r="R2628" s="62" t="n">
        <v>1</v>
      </c>
      <c r="S2628" s="62" t="n">
        <v>0</v>
      </c>
      <c r="T2628" s="62" t="n">
        <v>0</v>
      </c>
      <c r="U2628" s="62"/>
      <c r="V2628" s="62"/>
      <c r="W2628" s="62"/>
      <c r="X2628" s="62"/>
      <c r="Y2628" s="62"/>
      <c r="Z2628" s="62" t="s">
        <v>4779</v>
      </c>
      <c r="AA2628" s="62" t="s">
        <v>4780</v>
      </c>
      <c r="AB2628" s="62" t="n">
        <v>1</v>
      </c>
      <c r="AC2628" s="62" t="n">
        <v>0</v>
      </c>
      <c r="AD2628" s="62" t="n">
        <v>1</v>
      </c>
      <c r="AE2628" s="62" t="n">
        <f aca="false">IF(AND(Dashboard!$C$9="Yes",AC2628=1),0,1)</f>
        <v>1</v>
      </c>
      <c r="AF2628" s="62" t="n">
        <v>1</v>
      </c>
    </row>
    <row r="2629" customFormat="false" ht="15" hidden="false" customHeight="false" outlineLevel="0" collapsed="false">
      <c r="A2629" s="62" t="n">
        <v>2628</v>
      </c>
      <c r="B2629" s="63" t="n">
        <v>46290.9710532407</v>
      </c>
      <c r="C2629" s="64" t="n">
        <v>46290</v>
      </c>
      <c r="D2629" s="62" t="s">
        <v>288</v>
      </c>
      <c r="E2629" s="62" t="s">
        <v>2583</v>
      </c>
      <c r="F2629" s="62" t="s">
        <v>2583</v>
      </c>
      <c r="G2629" s="62" t="s">
        <v>2584</v>
      </c>
      <c r="H2629" s="62" t="s">
        <v>59</v>
      </c>
      <c r="I2629" s="62" t="s">
        <v>47</v>
      </c>
      <c r="J2629" s="62" t="s">
        <v>146</v>
      </c>
      <c r="K2629" s="62" t="s">
        <v>147</v>
      </c>
      <c r="L2629" s="62" t="s">
        <v>4</v>
      </c>
      <c r="M2629" s="62" t="n">
        <v>2</v>
      </c>
      <c r="N2629" s="62" t="n">
        <v>0</v>
      </c>
      <c r="O2629" s="62" t="n">
        <v>2</v>
      </c>
      <c r="P2629" s="62" t="n">
        <v>0</v>
      </c>
      <c r="Q2629" s="62" t="n">
        <v>0</v>
      </c>
      <c r="R2629" s="62" t="n">
        <v>0</v>
      </c>
      <c r="S2629" s="62" t="n">
        <v>0</v>
      </c>
      <c r="T2629" s="62" t="n">
        <v>0</v>
      </c>
      <c r="U2629" s="62" t="s">
        <v>2056</v>
      </c>
      <c r="V2629" s="62" t="s">
        <v>2057</v>
      </c>
      <c r="W2629" s="62" t="s">
        <v>15</v>
      </c>
      <c r="X2629" s="62" t="s">
        <v>2103</v>
      </c>
      <c r="Y2629" s="62" t="s">
        <v>2165</v>
      </c>
      <c r="Z2629" s="62" t="s">
        <v>4781</v>
      </c>
      <c r="AA2629" s="62" t="s">
        <v>4782</v>
      </c>
      <c r="AB2629" s="62" t="n">
        <v>1</v>
      </c>
      <c r="AC2629" s="62" t="n">
        <v>0</v>
      </c>
      <c r="AD2629" s="62" t="n">
        <v>1</v>
      </c>
      <c r="AE2629" s="62" t="n">
        <f aca="false">IF(AND(Dashboard!$C$9="Yes",AC2629=1),0,1)</f>
        <v>1</v>
      </c>
      <c r="AF2629" s="62" t="n">
        <v>1</v>
      </c>
    </row>
    <row r="2630" customFormat="false" ht="15" hidden="false" customHeight="false" outlineLevel="0" collapsed="false">
      <c r="A2630" s="62" t="n">
        <v>2629</v>
      </c>
      <c r="B2630" s="63" t="n">
        <v>46290.9763657407</v>
      </c>
      <c r="C2630" s="64" t="n">
        <v>46290</v>
      </c>
      <c r="D2630" s="62" t="s">
        <v>288</v>
      </c>
      <c r="E2630" s="62" t="s">
        <v>1590</v>
      </c>
      <c r="F2630" s="62" t="s">
        <v>1590</v>
      </c>
      <c r="G2630" s="62" t="s">
        <v>1591</v>
      </c>
      <c r="H2630" s="62" t="s">
        <v>52</v>
      </c>
      <c r="I2630" s="62" t="s">
        <v>47</v>
      </c>
      <c r="J2630" s="62" t="s">
        <v>146</v>
      </c>
      <c r="K2630" s="62" t="s">
        <v>209</v>
      </c>
      <c r="L2630" s="62" t="s">
        <v>148</v>
      </c>
      <c r="M2630" s="62" t="n">
        <v>0</v>
      </c>
      <c r="N2630" s="62" t="n">
        <v>1</v>
      </c>
      <c r="O2630" s="62" t="n">
        <v>1</v>
      </c>
      <c r="P2630" s="62" t="n">
        <v>1</v>
      </c>
      <c r="Q2630" s="62" t="n">
        <v>0</v>
      </c>
      <c r="R2630" s="62" t="n">
        <v>0</v>
      </c>
      <c r="S2630" s="62" t="n">
        <v>0</v>
      </c>
      <c r="T2630" s="62" t="n">
        <v>0</v>
      </c>
      <c r="U2630" s="62"/>
      <c r="V2630" s="62"/>
      <c r="W2630" s="62"/>
      <c r="X2630" s="62"/>
      <c r="Y2630" s="62"/>
      <c r="Z2630" s="62" t="s">
        <v>4783</v>
      </c>
      <c r="AA2630" s="62" t="s">
        <v>4784</v>
      </c>
      <c r="AB2630" s="62" t="n">
        <v>1</v>
      </c>
      <c r="AC2630" s="62" t="n">
        <v>0</v>
      </c>
      <c r="AD2630" s="62" t="n">
        <v>1</v>
      </c>
      <c r="AE2630" s="62" t="n">
        <f aca="false">IF(AND(Dashboard!$C$9="Yes",AC2630=1),0,1)</f>
        <v>1</v>
      </c>
      <c r="AF2630" s="62" t="n">
        <v>0</v>
      </c>
    </row>
    <row r="2631" customFormat="false" ht="15" hidden="false" customHeight="false" outlineLevel="0" collapsed="false">
      <c r="A2631" s="62" t="n">
        <v>2630</v>
      </c>
      <c r="B2631" s="63" t="n">
        <v>46290.9980324074</v>
      </c>
      <c r="C2631" s="64" t="n">
        <v>46290</v>
      </c>
      <c r="D2631" s="62" t="s">
        <v>288</v>
      </c>
      <c r="E2631" s="62" t="s">
        <v>3018</v>
      </c>
      <c r="F2631" s="62" t="s">
        <v>3018</v>
      </c>
      <c r="G2631" s="62" t="s">
        <v>3019</v>
      </c>
      <c r="H2631" s="62" t="s">
        <v>58</v>
      </c>
      <c r="I2631" s="62" t="s">
        <v>49</v>
      </c>
      <c r="J2631" s="62" t="s">
        <v>146</v>
      </c>
      <c r="K2631" s="62" t="s">
        <v>175</v>
      </c>
      <c r="L2631" s="62" t="s">
        <v>148</v>
      </c>
      <c r="M2631" s="62" t="n">
        <v>0</v>
      </c>
      <c r="N2631" s="62" t="n">
        <v>1</v>
      </c>
      <c r="O2631" s="62" t="n">
        <v>1</v>
      </c>
      <c r="P2631" s="62" t="n">
        <v>1</v>
      </c>
      <c r="Q2631" s="62" t="n">
        <v>0</v>
      </c>
      <c r="R2631" s="62" t="n">
        <v>0</v>
      </c>
      <c r="S2631" s="62" t="n">
        <v>0</v>
      </c>
      <c r="T2631" s="62" t="n">
        <v>0</v>
      </c>
      <c r="U2631" s="62"/>
      <c r="V2631" s="62"/>
      <c r="W2631" s="62"/>
      <c r="X2631" s="62"/>
      <c r="Y2631" s="62"/>
      <c r="Z2631" s="62" t="s">
        <v>4785</v>
      </c>
      <c r="AA2631" s="62" t="s">
        <v>4786</v>
      </c>
      <c r="AB2631" s="62" t="n">
        <v>1</v>
      </c>
      <c r="AC2631" s="62" t="n">
        <v>0</v>
      </c>
      <c r="AD2631" s="62" t="n">
        <v>1</v>
      </c>
      <c r="AE2631" s="62" t="n">
        <f aca="false">IF(AND(Dashboard!$C$9="Yes",AC2631=1),0,1)</f>
        <v>1</v>
      </c>
      <c r="AF2631" s="62" t="n">
        <v>0</v>
      </c>
    </row>
    <row r="2632" customFormat="false" ht="15" hidden="false" customHeight="false" outlineLevel="0" collapsed="false">
      <c r="A2632" s="62" t="n">
        <v>2631</v>
      </c>
      <c r="B2632" s="63" t="n">
        <v>46291.0003472222</v>
      </c>
      <c r="C2632" s="64" t="n">
        <v>46290</v>
      </c>
      <c r="D2632" s="62" t="s">
        <v>288</v>
      </c>
      <c r="E2632" s="62" t="s">
        <v>4524</v>
      </c>
      <c r="F2632" s="62" t="s">
        <v>4524</v>
      </c>
      <c r="G2632" s="62" t="s">
        <v>4525</v>
      </c>
      <c r="H2632" s="62" t="s">
        <v>44</v>
      </c>
      <c r="I2632" s="62" t="s">
        <v>49</v>
      </c>
      <c r="J2632" s="62" t="s">
        <v>146</v>
      </c>
      <c r="K2632" s="62" t="s">
        <v>147</v>
      </c>
      <c r="L2632" s="62" t="s">
        <v>148</v>
      </c>
      <c r="M2632" s="62" t="n">
        <v>0</v>
      </c>
      <c r="N2632" s="62" t="n">
        <v>1</v>
      </c>
      <c r="O2632" s="62" t="n">
        <v>1</v>
      </c>
      <c r="P2632" s="62" t="n">
        <v>1</v>
      </c>
      <c r="Q2632" s="62" t="n">
        <v>0</v>
      </c>
      <c r="R2632" s="62" t="n">
        <v>0</v>
      </c>
      <c r="S2632" s="62" t="n">
        <v>0</v>
      </c>
      <c r="T2632" s="62" t="n">
        <v>0</v>
      </c>
      <c r="U2632" s="62"/>
      <c r="V2632" s="62"/>
      <c r="W2632" s="62"/>
      <c r="X2632" s="62"/>
      <c r="Y2632" s="62"/>
      <c r="Z2632" s="62" t="s">
        <v>4787</v>
      </c>
      <c r="AA2632" s="62" t="s">
        <v>4788</v>
      </c>
      <c r="AB2632" s="62" t="n">
        <v>1</v>
      </c>
      <c r="AC2632" s="62" t="n">
        <v>0</v>
      </c>
      <c r="AD2632" s="62" t="n">
        <v>1</v>
      </c>
      <c r="AE2632" s="62" t="n">
        <f aca="false">IF(AND(Dashboard!$C$9="Yes",AC2632=1),0,1)</f>
        <v>1</v>
      </c>
      <c r="AF2632" s="62" t="n">
        <v>1</v>
      </c>
    </row>
    <row r="2633" customFormat="false" ht="15" hidden="false" customHeight="false" outlineLevel="0" collapsed="false">
      <c r="A2633" s="62" t="n">
        <v>2632</v>
      </c>
      <c r="B2633" s="63" t="n">
        <v>46291.0032638889</v>
      </c>
      <c r="C2633" s="64" t="n">
        <v>46290</v>
      </c>
      <c r="D2633" s="62" t="s">
        <v>288</v>
      </c>
      <c r="E2633" s="62" t="s">
        <v>2119</v>
      </c>
      <c r="F2633" s="62" t="s">
        <v>2119</v>
      </c>
      <c r="G2633" s="62" t="s">
        <v>2120</v>
      </c>
      <c r="H2633" s="62" t="s">
        <v>52</v>
      </c>
      <c r="I2633" s="62" t="s">
        <v>47</v>
      </c>
      <c r="J2633" s="62" t="s">
        <v>146</v>
      </c>
      <c r="K2633" s="62" t="s">
        <v>147</v>
      </c>
      <c r="L2633" s="62" t="s">
        <v>148</v>
      </c>
      <c r="M2633" s="62" t="n">
        <v>0</v>
      </c>
      <c r="N2633" s="62" t="n">
        <v>1</v>
      </c>
      <c r="O2633" s="62" t="n">
        <v>1</v>
      </c>
      <c r="P2633" s="62" t="n">
        <v>1</v>
      </c>
      <c r="Q2633" s="62" t="n">
        <v>0</v>
      </c>
      <c r="R2633" s="62" t="n">
        <v>0</v>
      </c>
      <c r="S2633" s="62" t="n">
        <v>0</v>
      </c>
      <c r="T2633" s="62" t="n">
        <v>0</v>
      </c>
      <c r="U2633" s="62"/>
      <c r="V2633" s="62"/>
      <c r="W2633" s="62"/>
      <c r="X2633" s="62"/>
      <c r="Y2633" s="62"/>
      <c r="Z2633" s="62" t="s">
        <v>4789</v>
      </c>
      <c r="AA2633" s="62" t="s">
        <v>3027</v>
      </c>
      <c r="AB2633" s="62" t="n">
        <v>0</v>
      </c>
      <c r="AC2633" s="62" t="n">
        <v>0</v>
      </c>
      <c r="AD2633" s="62" t="n">
        <v>1</v>
      </c>
      <c r="AE2633" s="62" t="n">
        <f aca="false">IF(AND(Dashboard!$C$9="Yes",AC2633=1),0,1)</f>
        <v>1</v>
      </c>
      <c r="AF2633" s="62" t="n">
        <v>1</v>
      </c>
    </row>
    <row r="2634" customFormat="false" ht="15" hidden="false" customHeight="false" outlineLevel="0" collapsed="false">
      <c r="A2634" s="62" t="n">
        <v>2633</v>
      </c>
      <c r="B2634" s="63" t="n">
        <v>46291.0117361111</v>
      </c>
      <c r="C2634" s="64" t="n">
        <v>46290</v>
      </c>
      <c r="D2634" s="62" t="s">
        <v>288</v>
      </c>
      <c r="E2634" s="62" t="s">
        <v>2637</v>
      </c>
      <c r="F2634" s="62" t="s">
        <v>2637</v>
      </c>
      <c r="G2634" s="62" t="s">
        <v>2638</v>
      </c>
      <c r="H2634" s="62" t="s">
        <v>52</v>
      </c>
      <c r="I2634" s="62" t="s">
        <v>47</v>
      </c>
      <c r="J2634" s="62" t="s">
        <v>146</v>
      </c>
      <c r="K2634" s="62" t="s">
        <v>147</v>
      </c>
      <c r="L2634" s="62" t="s">
        <v>148</v>
      </c>
      <c r="M2634" s="62" t="n">
        <v>0</v>
      </c>
      <c r="N2634" s="62" t="n">
        <v>1</v>
      </c>
      <c r="O2634" s="62" t="n">
        <v>1</v>
      </c>
      <c r="P2634" s="62" t="n">
        <v>1</v>
      </c>
      <c r="Q2634" s="62" t="n">
        <v>0</v>
      </c>
      <c r="R2634" s="62" t="n">
        <v>0</v>
      </c>
      <c r="S2634" s="62" t="n">
        <v>0</v>
      </c>
      <c r="T2634" s="62" t="n">
        <v>0</v>
      </c>
      <c r="U2634" s="62"/>
      <c r="V2634" s="62"/>
      <c r="W2634" s="62"/>
      <c r="X2634" s="62"/>
      <c r="Y2634" s="62"/>
      <c r="Z2634" s="62" t="s">
        <v>4790</v>
      </c>
      <c r="AA2634" s="62" t="s">
        <v>4791</v>
      </c>
      <c r="AB2634" s="62" t="n">
        <v>1</v>
      </c>
      <c r="AC2634" s="62" t="n">
        <v>0</v>
      </c>
      <c r="AD2634" s="62" t="n">
        <v>1</v>
      </c>
      <c r="AE2634" s="62" t="n">
        <f aca="false">IF(AND(Dashboard!$C$9="Yes",AC2634=1),0,1)</f>
        <v>1</v>
      </c>
      <c r="AF2634" s="62" t="n">
        <v>1</v>
      </c>
    </row>
    <row r="2635" customFormat="false" ht="15" hidden="false" customHeight="false" outlineLevel="0" collapsed="false">
      <c r="A2635" s="62" t="n">
        <v>2634</v>
      </c>
      <c r="B2635" s="63" t="n">
        <v>46291.0153819445</v>
      </c>
      <c r="C2635" s="64" t="n">
        <v>46290</v>
      </c>
      <c r="D2635" s="62" t="s">
        <v>288</v>
      </c>
      <c r="E2635" s="62" t="s">
        <v>3018</v>
      </c>
      <c r="F2635" s="62" t="s">
        <v>3018</v>
      </c>
      <c r="G2635" s="62" t="s">
        <v>3019</v>
      </c>
      <c r="H2635" s="62" t="s">
        <v>58</v>
      </c>
      <c r="I2635" s="62" t="s">
        <v>49</v>
      </c>
      <c r="J2635" s="62" t="s">
        <v>146</v>
      </c>
      <c r="K2635" s="62" t="s">
        <v>175</v>
      </c>
      <c r="L2635" s="62" t="s">
        <v>4</v>
      </c>
      <c r="M2635" s="62" t="n">
        <v>1</v>
      </c>
      <c r="N2635" s="62" t="n">
        <v>0</v>
      </c>
      <c r="O2635" s="62" t="n">
        <v>1</v>
      </c>
      <c r="P2635" s="62" t="n">
        <v>0</v>
      </c>
      <c r="Q2635" s="62" t="n">
        <v>0</v>
      </c>
      <c r="R2635" s="62" t="n">
        <v>0</v>
      </c>
      <c r="S2635" s="62" t="n">
        <v>0</v>
      </c>
      <c r="T2635" s="62" t="n">
        <v>0</v>
      </c>
      <c r="U2635" s="62" t="s">
        <v>2056</v>
      </c>
      <c r="V2635" s="62" t="s">
        <v>2057</v>
      </c>
      <c r="W2635" s="62" t="s">
        <v>15</v>
      </c>
      <c r="X2635" s="62" t="s">
        <v>2058</v>
      </c>
      <c r="Y2635" s="62" t="s">
        <v>2059</v>
      </c>
      <c r="Z2635" s="62" t="s">
        <v>4785</v>
      </c>
      <c r="AA2635" s="62" t="s">
        <v>4792</v>
      </c>
      <c r="AB2635" s="62" t="n">
        <v>1</v>
      </c>
      <c r="AC2635" s="62" t="n">
        <v>0</v>
      </c>
      <c r="AD2635" s="62" t="n">
        <v>1</v>
      </c>
      <c r="AE2635" s="62" t="n">
        <f aca="false">IF(AND(Dashboard!$C$9="Yes",AC2635=1),0,1)</f>
        <v>1</v>
      </c>
      <c r="AF2635" s="62" t="n">
        <v>0</v>
      </c>
    </row>
    <row r="2636" customFormat="false" ht="15" hidden="false" customHeight="false" outlineLevel="0" collapsed="false">
      <c r="A2636" s="62" t="n">
        <v>2635</v>
      </c>
      <c r="B2636" s="63" t="n">
        <v>46291.049849537</v>
      </c>
      <c r="C2636" s="64" t="n">
        <v>46290</v>
      </c>
      <c r="D2636" s="62" t="s">
        <v>288</v>
      </c>
      <c r="E2636" s="62" t="s">
        <v>2050</v>
      </c>
      <c r="F2636" s="62" t="s">
        <v>2050</v>
      </c>
      <c r="G2636" s="62" t="s">
        <v>2051</v>
      </c>
      <c r="H2636" s="62" t="s">
        <v>46</v>
      </c>
      <c r="I2636" s="62" t="s">
        <v>47</v>
      </c>
      <c r="J2636" s="62" t="s">
        <v>146</v>
      </c>
      <c r="K2636" s="62" t="s">
        <v>209</v>
      </c>
      <c r="L2636" s="62" t="s">
        <v>4</v>
      </c>
      <c r="M2636" s="62" t="n">
        <v>1</v>
      </c>
      <c r="N2636" s="62" t="n">
        <v>0</v>
      </c>
      <c r="O2636" s="62" t="n">
        <v>1</v>
      </c>
      <c r="P2636" s="62" t="n">
        <v>0</v>
      </c>
      <c r="Q2636" s="62" t="n">
        <v>0</v>
      </c>
      <c r="R2636" s="62" t="n">
        <v>0</v>
      </c>
      <c r="S2636" s="62" t="n">
        <v>0</v>
      </c>
      <c r="T2636" s="62" t="n">
        <v>0</v>
      </c>
      <c r="U2636" s="62" t="s">
        <v>15</v>
      </c>
      <c r="V2636" s="62" t="s">
        <v>2057</v>
      </c>
      <c r="W2636" s="62" t="s">
        <v>2056</v>
      </c>
      <c r="X2636" s="62" t="s">
        <v>2125</v>
      </c>
      <c r="Y2636" s="62" t="s">
        <v>2064</v>
      </c>
      <c r="Z2636" s="62" t="s">
        <v>4793</v>
      </c>
      <c r="AA2636" s="62" t="s">
        <v>4794</v>
      </c>
      <c r="AB2636" s="62" t="n">
        <v>1</v>
      </c>
      <c r="AC2636" s="62" t="n">
        <v>0</v>
      </c>
      <c r="AD2636" s="62" t="n">
        <v>1</v>
      </c>
      <c r="AE2636" s="62" t="n">
        <f aca="false">IF(AND(Dashboard!$C$9="Yes",AC2636=1),0,1)</f>
        <v>1</v>
      </c>
      <c r="AF2636" s="62" t="n">
        <v>1</v>
      </c>
    </row>
    <row r="2637" customFormat="false" ht="15" hidden="false" customHeight="false" outlineLevel="0" collapsed="false">
      <c r="A2637" s="62" t="n">
        <v>2636</v>
      </c>
      <c r="B2637" s="63" t="n">
        <v>46291.068125</v>
      </c>
      <c r="C2637" s="64" t="n">
        <v>46290</v>
      </c>
      <c r="D2637" s="62" t="s">
        <v>288</v>
      </c>
      <c r="E2637" s="62" t="s">
        <v>2365</v>
      </c>
      <c r="F2637" s="62" t="s">
        <v>2365</v>
      </c>
      <c r="G2637" s="62" t="s">
        <v>2366</v>
      </c>
      <c r="H2637" s="62" t="s">
        <v>52</v>
      </c>
      <c r="I2637" s="62" t="s">
        <v>47</v>
      </c>
      <c r="J2637" s="62" t="s">
        <v>146</v>
      </c>
      <c r="K2637" s="62" t="s">
        <v>147</v>
      </c>
      <c r="L2637" s="62" t="s">
        <v>4</v>
      </c>
      <c r="M2637" s="62" t="n">
        <v>1</v>
      </c>
      <c r="N2637" s="62" t="n">
        <v>0</v>
      </c>
      <c r="O2637" s="62" t="n">
        <v>1</v>
      </c>
      <c r="P2637" s="62" t="n">
        <v>0</v>
      </c>
      <c r="Q2637" s="62" t="n">
        <v>0</v>
      </c>
      <c r="R2637" s="62" t="n">
        <v>0</v>
      </c>
      <c r="S2637" s="62" t="n">
        <v>0</v>
      </c>
      <c r="T2637" s="62" t="n">
        <v>0</v>
      </c>
      <c r="U2637" s="62" t="s">
        <v>2056</v>
      </c>
      <c r="V2637" s="62" t="s">
        <v>2057</v>
      </c>
      <c r="W2637" s="62" t="s">
        <v>15</v>
      </c>
      <c r="X2637" s="62" t="s">
        <v>2058</v>
      </c>
      <c r="Y2637" s="62" t="s">
        <v>2059</v>
      </c>
      <c r="Z2637" s="62" t="s">
        <v>4795</v>
      </c>
      <c r="AA2637" s="62" t="s">
        <v>4796</v>
      </c>
      <c r="AB2637" s="62" t="n">
        <v>1</v>
      </c>
      <c r="AC2637" s="62" t="n">
        <v>0</v>
      </c>
      <c r="AD2637" s="62" t="n">
        <v>1</v>
      </c>
      <c r="AE2637" s="62" t="n">
        <f aca="false">IF(AND(Dashboard!$C$9="Yes",AC2637=1),0,1)</f>
        <v>1</v>
      </c>
      <c r="AF2637" s="62" t="n">
        <v>1</v>
      </c>
    </row>
    <row r="2638" customFormat="false" ht="15" hidden="false" customHeight="false" outlineLevel="0" collapsed="false">
      <c r="A2638" s="62" t="n">
        <v>2637</v>
      </c>
      <c r="B2638" s="63" t="n">
        <v>46291.0766898148</v>
      </c>
      <c r="C2638" s="64" t="n">
        <v>46290</v>
      </c>
      <c r="D2638" s="62" t="s">
        <v>288</v>
      </c>
      <c r="E2638" s="62" t="s">
        <v>892</v>
      </c>
      <c r="F2638" s="62" t="s">
        <v>892</v>
      </c>
      <c r="G2638" s="62" t="s">
        <v>893</v>
      </c>
      <c r="H2638" s="62" t="s">
        <v>46</v>
      </c>
      <c r="I2638" s="62" t="s">
        <v>47</v>
      </c>
      <c r="J2638" s="62" t="s">
        <v>146</v>
      </c>
      <c r="K2638" s="62" t="s">
        <v>209</v>
      </c>
      <c r="L2638" s="62" t="s">
        <v>148</v>
      </c>
      <c r="M2638" s="62" t="n">
        <v>0</v>
      </c>
      <c r="N2638" s="62" t="n">
        <v>1</v>
      </c>
      <c r="O2638" s="62" t="n">
        <v>1</v>
      </c>
      <c r="P2638" s="62" t="n">
        <v>0</v>
      </c>
      <c r="Q2638" s="62" t="n">
        <v>1</v>
      </c>
      <c r="R2638" s="62" t="n">
        <v>0</v>
      </c>
      <c r="S2638" s="62" t="n">
        <v>0</v>
      </c>
      <c r="T2638" s="62" t="n">
        <v>0</v>
      </c>
      <c r="U2638" s="62"/>
      <c r="V2638" s="62"/>
      <c r="W2638" s="62"/>
      <c r="X2638" s="62"/>
      <c r="Y2638" s="62"/>
      <c r="Z2638" s="62" t="s">
        <v>4797</v>
      </c>
      <c r="AA2638" s="62" t="s">
        <v>337</v>
      </c>
      <c r="AB2638" s="62" t="n">
        <v>0</v>
      </c>
      <c r="AC2638" s="62" t="n">
        <v>0</v>
      </c>
      <c r="AD2638" s="62" t="n">
        <v>1</v>
      </c>
      <c r="AE2638" s="62" t="n">
        <f aca="false">IF(AND(Dashboard!$C$9="Yes",AC2638=1),0,1)</f>
        <v>1</v>
      </c>
      <c r="AF2638" s="62" t="n">
        <v>0</v>
      </c>
    </row>
    <row r="2639" customFormat="false" ht="15" hidden="false" customHeight="false" outlineLevel="0" collapsed="false">
      <c r="A2639" s="62" t="n">
        <v>2638</v>
      </c>
      <c r="B2639" s="63" t="n">
        <v>46291.0825347222</v>
      </c>
      <c r="C2639" s="64" t="n">
        <v>46290</v>
      </c>
      <c r="D2639" s="62" t="s">
        <v>288</v>
      </c>
      <c r="E2639" s="62" t="s">
        <v>2943</v>
      </c>
      <c r="F2639" s="62" t="s">
        <v>2943</v>
      </c>
      <c r="G2639" s="62" t="s">
        <v>2944</v>
      </c>
      <c r="H2639" s="62" t="s">
        <v>48</v>
      </c>
      <c r="I2639" s="62" t="s">
        <v>49</v>
      </c>
      <c r="J2639" s="62" t="s">
        <v>146</v>
      </c>
      <c r="K2639" s="62" t="s">
        <v>209</v>
      </c>
      <c r="L2639" s="62" t="s">
        <v>4</v>
      </c>
      <c r="M2639" s="62" t="n">
        <v>1</v>
      </c>
      <c r="N2639" s="62" t="n">
        <v>0</v>
      </c>
      <c r="O2639" s="62" t="n">
        <v>1</v>
      </c>
      <c r="P2639" s="62" t="n">
        <v>0</v>
      </c>
      <c r="Q2639" s="62" t="n">
        <v>0</v>
      </c>
      <c r="R2639" s="62" t="n">
        <v>0</v>
      </c>
      <c r="S2639" s="62" t="n">
        <v>0</v>
      </c>
      <c r="T2639" s="62" t="n">
        <v>0</v>
      </c>
      <c r="U2639" s="62" t="s">
        <v>2056</v>
      </c>
      <c r="V2639" s="62" t="s">
        <v>2057</v>
      </c>
      <c r="W2639" s="62" t="s">
        <v>15</v>
      </c>
      <c r="X2639" s="62" t="s">
        <v>2058</v>
      </c>
      <c r="Y2639" s="62" t="s">
        <v>2103</v>
      </c>
      <c r="Z2639" s="62" t="s">
        <v>4798</v>
      </c>
      <c r="AA2639" s="62" t="s">
        <v>4799</v>
      </c>
      <c r="AB2639" s="62" t="n">
        <v>1</v>
      </c>
      <c r="AC2639" s="62" t="n">
        <v>0</v>
      </c>
      <c r="AD2639" s="62" t="n">
        <v>1</v>
      </c>
      <c r="AE2639" s="62" t="n">
        <f aca="false">IF(AND(Dashboard!$C$9="Yes",AC2639=1),0,1)</f>
        <v>1</v>
      </c>
      <c r="AF2639" s="62" t="n">
        <v>1</v>
      </c>
    </row>
    <row r="2640" customFormat="false" ht="15" hidden="false" customHeight="false" outlineLevel="0" collapsed="false">
      <c r="A2640" s="62" t="n">
        <v>2639</v>
      </c>
      <c r="B2640" s="63" t="n">
        <v>46291.0886574074</v>
      </c>
      <c r="C2640" s="64" t="n">
        <v>46290</v>
      </c>
      <c r="D2640" s="62" t="s">
        <v>288</v>
      </c>
      <c r="E2640" s="62" t="s">
        <v>4800</v>
      </c>
      <c r="F2640" s="62" t="s">
        <v>4800</v>
      </c>
      <c r="G2640" s="62" t="s">
        <v>4801</v>
      </c>
      <c r="H2640" s="62" t="s">
        <v>50</v>
      </c>
      <c r="I2640" s="62" t="s">
        <v>49</v>
      </c>
      <c r="J2640" s="62" t="s">
        <v>3708</v>
      </c>
      <c r="K2640" s="62" t="s">
        <v>209</v>
      </c>
      <c r="L2640" s="62" t="s">
        <v>148</v>
      </c>
      <c r="M2640" s="62" t="n">
        <v>0</v>
      </c>
      <c r="N2640" s="62" t="n">
        <v>1</v>
      </c>
      <c r="O2640" s="62" t="n">
        <v>1</v>
      </c>
      <c r="P2640" s="62" t="n">
        <v>0</v>
      </c>
      <c r="Q2640" s="62" t="n">
        <v>1</v>
      </c>
      <c r="R2640" s="62" t="n">
        <v>0</v>
      </c>
      <c r="S2640" s="62" t="n">
        <v>0</v>
      </c>
      <c r="T2640" s="62" t="n">
        <v>0</v>
      </c>
      <c r="U2640" s="62"/>
      <c r="V2640" s="62"/>
      <c r="W2640" s="62"/>
      <c r="X2640" s="62"/>
      <c r="Y2640" s="62"/>
      <c r="Z2640" s="62" t="s">
        <v>4802</v>
      </c>
      <c r="AA2640" s="62" t="s">
        <v>4803</v>
      </c>
      <c r="AB2640" s="62" t="n">
        <v>0</v>
      </c>
      <c r="AC2640" s="62" t="n">
        <v>0</v>
      </c>
      <c r="AD2640" s="62" t="n">
        <v>1</v>
      </c>
      <c r="AE2640" s="62" t="n">
        <f aca="false">IF(AND(Dashboard!$C$9="Yes",AC2640=1),0,1)</f>
        <v>1</v>
      </c>
      <c r="AF2640" s="62" t="n">
        <v>1</v>
      </c>
    </row>
    <row r="2641" customFormat="false" ht="15" hidden="false" customHeight="false" outlineLevel="0" collapsed="false">
      <c r="A2641" s="62" t="n">
        <v>2640</v>
      </c>
      <c r="B2641" s="63" t="n">
        <v>46291.0935185185</v>
      </c>
      <c r="C2641" s="64" t="n">
        <v>46290</v>
      </c>
      <c r="D2641" s="62" t="s">
        <v>288</v>
      </c>
      <c r="E2641" s="62" t="s">
        <v>2583</v>
      </c>
      <c r="F2641" s="62" t="s">
        <v>2583</v>
      </c>
      <c r="G2641" s="62" t="s">
        <v>2584</v>
      </c>
      <c r="H2641" s="62" t="s">
        <v>59</v>
      </c>
      <c r="I2641" s="62" t="s">
        <v>47</v>
      </c>
      <c r="J2641" s="62" t="s">
        <v>146</v>
      </c>
      <c r="K2641" s="62" t="s">
        <v>147</v>
      </c>
      <c r="L2641" s="62" t="s">
        <v>4</v>
      </c>
      <c r="M2641" s="62" t="n">
        <v>1</v>
      </c>
      <c r="N2641" s="62" t="n">
        <v>0</v>
      </c>
      <c r="O2641" s="62" t="n">
        <v>1</v>
      </c>
      <c r="P2641" s="62" t="n">
        <v>0</v>
      </c>
      <c r="Q2641" s="62" t="n">
        <v>0</v>
      </c>
      <c r="R2641" s="62" t="n">
        <v>0</v>
      </c>
      <c r="S2641" s="62" t="n">
        <v>0</v>
      </c>
      <c r="T2641" s="62" t="n">
        <v>0</v>
      </c>
      <c r="U2641" s="62" t="s">
        <v>2056</v>
      </c>
      <c r="V2641" s="62" t="s">
        <v>2057</v>
      </c>
      <c r="W2641" s="62" t="s">
        <v>15</v>
      </c>
      <c r="X2641" s="62" t="s">
        <v>2103</v>
      </c>
      <c r="Y2641" s="62" t="s">
        <v>2059</v>
      </c>
      <c r="Z2641" s="62" t="s">
        <v>4804</v>
      </c>
      <c r="AA2641" s="62" t="s">
        <v>4805</v>
      </c>
      <c r="AB2641" s="62" t="n">
        <v>1</v>
      </c>
      <c r="AC2641" s="62" t="n">
        <v>0</v>
      </c>
      <c r="AD2641" s="62" t="n">
        <v>1</v>
      </c>
      <c r="AE2641" s="62" t="n">
        <f aca="false">IF(AND(Dashboard!$C$9="Yes",AC2641=1),0,1)</f>
        <v>1</v>
      </c>
      <c r="AF2641" s="62" t="n">
        <v>0</v>
      </c>
    </row>
    <row r="2642" customFormat="false" ht="15" hidden="false" customHeight="false" outlineLevel="0" collapsed="false">
      <c r="A2642" s="62" t="n">
        <v>2641</v>
      </c>
      <c r="B2642" s="63" t="n">
        <v>46291.1065162037</v>
      </c>
      <c r="C2642" s="64" t="n">
        <v>46290</v>
      </c>
      <c r="D2642" s="62" t="s">
        <v>288</v>
      </c>
      <c r="E2642" s="62" t="s">
        <v>2134</v>
      </c>
      <c r="F2642" s="62" t="s">
        <v>2134</v>
      </c>
      <c r="G2642" s="62" t="s">
        <v>2135</v>
      </c>
      <c r="H2642" s="62" t="s">
        <v>57</v>
      </c>
      <c r="I2642" s="62" t="s">
        <v>47</v>
      </c>
      <c r="J2642" s="62" t="s">
        <v>146</v>
      </c>
      <c r="K2642" s="62" t="s">
        <v>147</v>
      </c>
      <c r="L2642" s="62" t="s">
        <v>4</v>
      </c>
      <c r="M2642" s="62" t="n">
        <v>1</v>
      </c>
      <c r="N2642" s="62" t="n">
        <v>0</v>
      </c>
      <c r="O2642" s="62" t="n">
        <v>1</v>
      </c>
      <c r="P2642" s="62" t="n">
        <v>0</v>
      </c>
      <c r="Q2642" s="62" t="n">
        <v>0</v>
      </c>
      <c r="R2642" s="62" t="n">
        <v>0</v>
      </c>
      <c r="S2642" s="62" t="n">
        <v>0</v>
      </c>
      <c r="T2642" s="62" t="n">
        <v>0</v>
      </c>
      <c r="U2642" s="62" t="s">
        <v>2056</v>
      </c>
      <c r="V2642" s="62" t="s">
        <v>2057</v>
      </c>
      <c r="W2642" s="62" t="s">
        <v>2056</v>
      </c>
      <c r="X2642" s="62" t="s">
        <v>2234</v>
      </c>
      <c r="Y2642" s="62" t="s">
        <v>2165</v>
      </c>
      <c r="Z2642" s="62" t="s">
        <v>4806</v>
      </c>
      <c r="AA2642" s="62" t="s">
        <v>4807</v>
      </c>
      <c r="AB2642" s="62" t="n">
        <v>1</v>
      </c>
      <c r="AC2642" s="62" t="n">
        <v>0</v>
      </c>
      <c r="AD2642" s="62" t="n">
        <v>1</v>
      </c>
      <c r="AE2642" s="62" t="n">
        <f aca="false">IF(AND(Dashboard!$C$9="Yes",AC2642=1),0,1)</f>
        <v>1</v>
      </c>
      <c r="AF2642" s="62" t="n">
        <v>1</v>
      </c>
    </row>
    <row r="2643" customFormat="false" ht="15" hidden="false" customHeight="false" outlineLevel="0" collapsed="false">
      <c r="A2643" s="62" t="n">
        <v>2642</v>
      </c>
      <c r="B2643" s="63" t="n">
        <v>46291.1194791667</v>
      </c>
      <c r="C2643" s="64" t="n">
        <v>46290</v>
      </c>
      <c r="D2643" s="62" t="s">
        <v>288</v>
      </c>
      <c r="E2643" s="62" t="s">
        <v>790</v>
      </c>
      <c r="F2643" s="62" t="s">
        <v>791</v>
      </c>
      <c r="G2643" s="62" t="s">
        <v>153</v>
      </c>
      <c r="H2643" s="62" t="s">
        <v>153</v>
      </c>
      <c r="I2643" s="62" t="s">
        <v>153</v>
      </c>
      <c r="J2643" s="62" t="s">
        <v>64</v>
      </c>
      <c r="K2643" s="62" t="s">
        <v>64</v>
      </c>
      <c r="L2643" s="62" t="s">
        <v>148</v>
      </c>
      <c r="M2643" s="62" t="n">
        <v>0</v>
      </c>
      <c r="N2643" s="62" t="n">
        <v>1</v>
      </c>
      <c r="O2643" s="62" t="n">
        <v>1</v>
      </c>
      <c r="P2643" s="62" t="n">
        <v>0</v>
      </c>
      <c r="Q2643" s="62" t="n">
        <v>0</v>
      </c>
      <c r="R2643" s="62" t="n">
        <v>1</v>
      </c>
      <c r="S2643" s="62" t="n">
        <v>0</v>
      </c>
      <c r="T2643" s="62" t="n">
        <v>0</v>
      </c>
      <c r="U2643" s="62"/>
      <c r="V2643" s="62"/>
      <c r="W2643" s="62"/>
      <c r="X2643" s="62"/>
      <c r="Y2643" s="62"/>
      <c r="Z2643" s="62" t="s">
        <v>4808</v>
      </c>
      <c r="AA2643" s="62" t="s">
        <v>4809</v>
      </c>
      <c r="AB2643" s="62" t="n">
        <v>1</v>
      </c>
      <c r="AC2643" s="62" t="n">
        <v>0</v>
      </c>
      <c r="AD2643" s="62" t="n">
        <v>0</v>
      </c>
      <c r="AE2643" s="62" t="n">
        <f aca="false">IF(AND(Dashboard!$C$9="Yes",AC2643=1),0,1)</f>
        <v>1</v>
      </c>
      <c r="AF2643" s="62" t="n">
        <v>1</v>
      </c>
    </row>
    <row r="2644" customFormat="false" ht="15" hidden="false" customHeight="false" outlineLevel="0" collapsed="false">
      <c r="A2644" s="62" t="n">
        <v>2643</v>
      </c>
      <c r="B2644" s="63" t="n">
        <v>46291.1461458333</v>
      </c>
      <c r="C2644" s="64" t="n">
        <v>46290</v>
      </c>
      <c r="D2644" s="62" t="s">
        <v>288</v>
      </c>
      <c r="E2644" s="62" t="s">
        <v>2365</v>
      </c>
      <c r="F2644" s="62" t="s">
        <v>2365</v>
      </c>
      <c r="G2644" s="62" t="s">
        <v>2366</v>
      </c>
      <c r="H2644" s="62" t="s">
        <v>52</v>
      </c>
      <c r="I2644" s="62" t="s">
        <v>47</v>
      </c>
      <c r="J2644" s="62" t="s">
        <v>146</v>
      </c>
      <c r="K2644" s="62" t="s">
        <v>147</v>
      </c>
      <c r="L2644" s="62" t="s">
        <v>148</v>
      </c>
      <c r="M2644" s="62" t="n">
        <v>0</v>
      </c>
      <c r="N2644" s="62" t="n">
        <v>1</v>
      </c>
      <c r="O2644" s="62" t="n">
        <v>1</v>
      </c>
      <c r="P2644" s="62" t="n">
        <v>0</v>
      </c>
      <c r="Q2644" s="62" t="n">
        <v>0</v>
      </c>
      <c r="R2644" s="62" t="n">
        <v>1</v>
      </c>
      <c r="S2644" s="62" t="n">
        <v>0</v>
      </c>
      <c r="T2644" s="62" t="n">
        <v>0</v>
      </c>
      <c r="U2644" s="62"/>
      <c r="V2644" s="62"/>
      <c r="W2644" s="62"/>
      <c r="X2644" s="62"/>
      <c r="Y2644" s="62"/>
      <c r="Z2644" s="62" t="s">
        <v>4810</v>
      </c>
      <c r="AA2644" s="62" t="s">
        <v>4811</v>
      </c>
      <c r="AB2644" s="62" t="n">
        <v>1</v>
      </c>
      <c r="AC2644" s="62" t="n">
        <v>0</v>
      </c>
      <c r="AD2644" s="62" t="n">
        <v>1</v>
      </c>
      <c r="AE2644" s="62" t="n">
        <f aca="false">IF(AND(Dashboard!$C$9="Yes",AC2644=1),0,1)</f>
        <v>1</v>
      </c>
      <c r="AF2644" s="62" t="n">
        <v>0</v>
      </c>
    </row>
    <row r="2645" customFormat="false" ht="15" hidden="false" customHeight="false" outlineLevel="0" collapsed="false">
      <c r="A2645" s="62" t="n">
        <v>2644</v>
      </c>
      <c r="B2645" s="63" t="n">
        <v>46291.1477546296</v>
      </c>
      <c r="C2645" s="64" t="n">
        <v>46290</v>
      </c>
      <c r="D2645" s="62" t="s">
        <v>288</v>
      </c>
      <c r="E2645" s="62" t="s">
        <v>2637</v>
      </c>
      <c r="F2645" s="62" t="s">
        <v>2637</v>
      </c>
      <c r="G2645" s="62" t="s">
        <v>2638</v>
      </c>
      <c r="H2645" s="62" t="s">
        <v>52</v>
      </c>
      <c r="I2645" s="62" t="s">
        <v>47</v>
      </c>
      <c r="J2645" s="62" t="s">
        <v>146</v>
      </c>
      <c r="K2645" s="62" t="s">
        <v>147</v>
      </c>
      <c r="L2645" s="62" t="s">
        <v>148</v>
      </c>
      <c r="M2645" s="62" t="n">
        <v>0</v>
      </c>
      <c r="N2645" s="62" t="n">
        <v>1</v>
      </c>
      <c r="O2645" s="62" t="n">
        <v>1</v>
      </c>
      <c r="P2645" s="62" t="n">
        <v>1</v>
      </c>
      <c r="Q2645" s="62" t="n">
        <v>0</v>
      </c>
      <c r="R2645" s="62" t="n">
        <v>0</v>
      </c>
      <c r="S2645" s="62" t="n">
        <v>0</v>
      </c>
      <c r="T2645" s="62" t="n">
        <v>0</v>
      </c>
      <c r="U2645" s="62"/>
      <c r="V2645" s="62"/>
      <c r="W2645" s="62"/>
      <c r="X2645" s="62"/>
      <c r="Y2645" s="62"/>
      <c r="Z2645" s="62" t="s">
        <v>4812</v>
      </c>
      <c r="AA2645" s="62" t="s">
        <v>4813</v>
      </c>
      <c r="AB2645" s="62" t="n">
        <v>1</v>
      </c>
      <c r="AC2645" s="62" t="n">
        <v>0</v>
      </c>
      <c r="AD2645" s="62" t="n">
        <v>1</v>
      </c>
      <c r="AE2645" s="62" t="n">
        <f aca="false">IF(AND(Dashboard!$C$9="Yes",AC2645=1),0,1)</f>
        <v>1</v>
      </c>
      <c r="AF2645" s="62" t="n">
        <v>0</v>
      </c>
    </row>
    <row r="2646" customFormat="false" ht="15" hidden="false" customHeight="false" outlineLevel="0" collapsed="false">
      <c r="A2646" s="62" t="n">
        <v>2645</v>
      </c>
      <c r="B2646" s="63" t="n">
        <v>46291.163900463</v>
      </c>
      <c r="C2646" s="64" t="n">
        <v>46290</v>
      </c>
      <c r="D2646" s="62" t="s">
        <v>288</v>
      </c>
      <c r="E2646" s="62" t="s">
        <v>4814</v>
      </c>
      <c r="F2646" s="62" t="s">
        <v>4814</v>
      </c>
      <c r="G2646" s="62" t="s">
        <v>4815</v>
      </c>
      <c r="H2646" s="62" t="s">
        <v>53</v>
      </c>
      <c r="I2646" s="62" t="s">
        <v>47</v>
      </c>
      <c r="J2646" s="62" t="s">
        <v>3708</v>
      </c>
      <c r="K2646" s="62" t="s">
        <v>209</v>
      </c>
      <c r="L2646" s="62" t="s">
        <v>148</v>
      </c>
      <c r="M2646" s="62" t="n">
        <v>0</v>
      </c>
      <c r="N2646" s="62" t="n">
        <v>2</v>
      </c>
      <c r="O2646" s="62" t="n">
        <v>2</v>
      </c>
      <c r="P2646" s="62" t="n">
        <v>1</v>
      </c>
      <c r="Q2646" s="62" t="n">
        <v>0</v>
      </c>
      <c r="R2646" s="62" t="n">
        <v>1</v>
      </c>
      <c r="S2646" s="62" t="n">
        <v>0</v>
      </c>
      <c r="T2646" s="62" t="n">
        <v>0</v>
      </c>
      <c r="U2646" s="62"/>
      <c r="V2646" s="62"/>
      <c r="W2646" s="62"/>
      <c r="X2646" s="62"/>
      <c r="Y2646" s="62"/>
      <c r="Z2646" s="62" t="s">
        <v>4816</v>
      </c>
      <c r="AA2646" s="62" t="s">
        <v>4816</v>
      </c>
      <c r="AB2646" s="62" t="n">
        <v>1</v>
      </c>
      <c r="AC2646" s="62" t="n">
        <v>0</v>
      </c>
      <c r="AD2646" s="62" t="n">
        <v>1</v>
      </c>
      <c r="AE2646" s="62" t="n">
        <f aca="false">IF(AND(Dashboard!$C$9="Yes",AC2646=1),0,1)</f>
        <v>1</v>
      </c>
      <c r="AF2646" s="62" t="n">
        <v>1</v>
      </c>
    </row>
    <row r="2647" customFormat="false" ht="15" hidden="false" customHeight="false" outlineLevel="0" collapsed="false">
      <c r="A2647" s="62" t="n">
        <v>2646</v>
      </c>
      <c r="B2647" s="63" t="n">
        <v>46291.164537037</v>
      </c>
      <c r="C2647" s="64" t="n">
        <v>46290</v>
      </c>
      <c r="D2647" s="62" t="s">
        <v>288</v>
      </c>
      <c r="E2647" s="62" t="s">
        <v>4817</v>
      </c>
      <c r="F2647" s="62" t="s">
        <v>4817</v>
      </c>
      <c r="G2647" s="62" t="s">
        <v>4818</v>
      </c>
      <c r="H2647" s="62" t="s">
        <v>53</v>
      </c>
      <c r="I2647" s="62" t="s">
        <v>47</v>
      </c>
      <c r="J2647" s="62" t="s">
        <v>3708</v>
      </c>
      <c r="K2647" s="62" t="s">
        <v>209</v>
      </c>
      <c r="L2647" s="62" t="s">
        <v>148</v>
      </c>
      <c r="M2647" s="62" t="n">
        <v>0</v>
      </c>
      <c r="N2647" s="62" t="n">
        <v>1</v>
      </c>
      <c r="O2647" s="62" t="n">
        <v>1</v>
      </c>
      <c r="P2647" s="62" t="n">
        <v>1</v>
      </c>
      <c r="Q2647" s="62" t="n">
        <v>0</v>
      </c>
      <c r="R2647" s="62" t="n">
        <v>0</v>
      </c>
      <c r="S2647" s="62" t="n">
        <v>0</v>
      </c>
      <c r="T2647" s="62" t="n">
        <v>0</v>
      </c>
      <c r="U2647" s="62"/>
      <c r="V2647" s="62"/>
      <c r="W2647" s="62"/>
      <c r="X2647" s="62"/>
      <c r="Y2647" s="62"/>
      <c r="Z2647" s="62" t="s">
        <v>4819</v>
      </c>
      <c r="AA2647" s="62" t="s">
        <v>4819</v>
      </c>
      <c r="AB2647" s="62" t="n">
        <v>1</v>
      </c>
      <c r="AC2647" s="62" t="n">
        <v>0</v>
      </c>
      <c r="AD2647" s="62" t="n">
        <v>1</v>
      </c>
      <c r="AE2647" s="62" t="n">
        <f aca="false">IF(AND(Dashboard!$C$9="Yes",AC2647=1),0,1)</f>
        <v>1</v>
      </c>
      <c r="AF2647" s="62" t="n">
        <v>1</v>
      </c>
    </row>
    <row r="2648" customFormat="false" ht="15" hidden="false" customHeight="false" outlineLevel="0" collapsed="false">
      <c r="A2648" s="62" t="n">
        <v>2647</v>
      </c>
      <c r="B2648" s="63" t="n">
        <v>46291.1646990741</v>
      </c>
      <c r="C2648" s="64" t="n">
        <v>46290</v>
      </c>
      <c r="D2648" s="62" t="s">
        <v>288</v>
      </c>
      <c r="E2648" s="62" t="s">
        <v>4817</v>
      </c>
      <c r="F2648" s="62" t="s">
        <v>4817</v>
      </c>
      <c r="G2648" s="62" t="s">
        <v>4818</v>
      </c>
      <c r="H2648" s="62" t="s">
        <v>53</v>
      </c>
      <c r="I2648" s="62" t="s">
        <v>47</v>
      </c>
      <c r="J2648" s="62" t="s">
        <v>3708</v>
      </c>
      <c r="K2648" s="62" t="s">
        <v>209</v>
      </c>
      <c r="L2648" s="62" t="s">
        <v>148</v>
      </c>
      <c r="M2648" s="62" t="n">
        <v>0</v>
      </c>
      <c r="N2648" s="62" t="n">
        <v>1</v>
      </c>
      <c r="O2648" s="62" t="n">
        <v>1</v>
      </c>
      <c r="P2648" s="62" t="n">
        <v>0</v>
      </c>
      <c r="Q2648" s="62" t="n">
        <v>1</v>
      </c>
      <c r="R2648" s="62" t="n">
        <v>0</v>
      </c>
      <c r="S2648" s="62" t="n">
        <v>0</v>
      </c>
      <c r="T2648" s="62" t="n">
        <v>0</v>
      </c>
      <c r="U2648" s="62"/>
      <c r="V2648" s="62"/>
      <c r="W2648" s="62"/>
      <c r="X2648" s="62"/>
      <c r="Y2648" s="62"/>
      <c r="Z2648" s="62" t="s">
        <v>4820</v>
      </c>
      <c r="AA2648" s="62" t="s">
        <v>4820</v>
      </c>
      <c r="AB2648" s="62" t="n">
        <v>1</v>
      </c>
      <c r="AC2648" s="62" t="n">
        <v>0</v>
      </c>
      <c r="AD2648" s="62" t="n">
        <v>1</v>
      </c>
      <c r="AE2648" s="62" t="n">
        <f aca="false">IF(AND(Dashboard!$C$9="Yes",AC2648=1),0,1)</f>
        <v>1</v>
      </c>
      <c r="AF2648" s="62" t="n">
        <v>0</v>
      </c>
    </row>
    <row r="2649" customFormat="false" ht="15" hidden="false" customHeight="false" outlineLevel="0" collapsed="false">
      <c r="A2649" s="62" t="n">
        <v>2648</v>
      </c>
      <c r="B2649" s="63" t="n">
        <v>46291.2524305556</v>
      </c>
      <c r="C2649" s="64" t="n">
        <v>46290</v>
      </c>
      <c r="D2649" s="62" t="s">
        <v>288</v>
      </c>
      <c r="E2649" s="62" t="s">
        <v>4821</v>
      </c>
      <c r="F2649" s="62" t="s">
        <v>4821</v>
      </c>
      <c r="G2649" s="62" t="s">
        <v>4822</v>
      </c>
      <c r="H2649" s="62" t="s">
        <v>52</v>
      </c>
      <c r="I2649" s="62" t="s">
        <v>47</v>
      </c>
      <c r="J2649" s="62" t="s">
        <v>146</v>
      </c>
      <c r="K2649" s="62" t="s">
        <v>147</v>
      </c>
      <c r="L2649" s="62" t="s">
        <v>4</v>
      </c>
      <c r="M2649" s="62" t="n">
        <v>2</v>
      </c>
      <c r="N2649" s="62" t="n">
        <v>0</v>
      </c>
      <c r="O2649" s="62" t="n">
        <v>2</v>
      </c>
      <c r="P2649" s="62" t="n">
        <v>0</v>
      </c>
      <c r="Q2649" s="62" t="n">
        <v>0</v>
      </c>
      <c r="R2649" s="62" t="n">
        <v>0</v>
      </c>
      <c r="S2649" s="62" t="n">
        <v>0</v>
      </c>
      <c r="T2649" s="62" t="n">
        <v>0</v>
      </c>
      <c r="U2649" s="62" t="s">
        <v>15</v>
      </c>
      <c r="V2649" s="62" t="s">
        <v>2057</v>
      </c>
      <c r="W2649" s="62" t="s">
        <v>15</v>
      </c>
      <c r="X2649" s="62" t="s">
        <v>2103</v>
      </c>
      <c r="Y2649" s="62" t="s">
        <v>2103</v>
      </c>
      <c r="Z2649" s="62" t="s">
        <v>4823</v>
      </c>
      <c r="AA2649" s="62" t="s">
        <v>4824</v>
      </c>
      <c r="AB2649" s="62" t="n">
        <v>0</v>
      </c>
      <c r="AC2649" s="62" t="n">
        <v>0</v>
      </c>
      <c r="AD2649" s="62" t="n">
        <v>1</v>
      </c>
      <c r="AE2649" s="62" t="n">
        <f aca="false">IF(AND(Dashboard!$C$9="Yes",AC2649=1),0,1)</f>
        <v>1</v>
      </c>
      <c r="AF2649" s="62" t="n">
        <v>1</v>
      </c>
    </row>
    <row r="2650" customFormat="false" ht="15" hidden="false" customHeight="false" outlineLevel="0" collapsed="false">
      <c r="A2650" s="62" t="n">
        <v>2649</v>
      </c>
      <c r="B2650" s="63" t="n">
        <v>46291.2604166667</v>
      </c>
      <c r="C2650" s="64" t="n">
        <v>46290</v>
      </c>
      <c r="D2650" s="62" t="s">
        <v>288</v>
      </c>
      <c r="E2650" s="62" t="s">
        <v>2959</v>
      </c>
      <c r="F2650" s="62" t="s">
        <v>2959</v>
      </c>
      <c r="G2650" s="62" t="s">
        <v>2960</v>
      </c>
      <c r="H2650" s="62" t="s">
        <v>58</v>
      </c>
      <c r="I2650" s="62" t="s">
        <v>49</v>
      </c>
      <c r="J2650" s="62" t="s">
        <v>146</v>
      </c>
      <c r="K2650" s="62" t="s">
        <v>175</v>
      </c>
      <c r="L2650" s="62" t="s">
        <v>4</v>
      </c>
      <c r="M2650" s="62" t="n">
        <v>2</v>
      </c>
      <c r="N2650" s="62" t="n">
        <v>0</v>
      </c>
      <c r="O2650" s="62" t="n">
        <v>2</v>
      </c>
      <c r="P2650" s="62" t="n">
        <v>0</v>
      </c>
      <c r="Q2650" s="62" t="n">
        <v>0</v>
      </c>
      <c r="R2650" s="62" t="n">
        <v>0</v>
      </c>
      <c r="S2650" s="62" t="n">
        <v>0</v>
      </c>
      <c r="T2650" s="62" t="n">
        <v>0</v>
      </c>
      <c r="U2650" s="62" t="s">
        <v>15</v>
      </c>
      <c r="V2650" s="62" t="s">
        <v>2057</v>
      </c>
      <c r="W2650" s="62" t="s">
        <v>2056</v>
      </c>
      <c r="X2650" s="62" t="s">
        <v>2058</v>
      </c>
      <c r="Y2650" s="62" t="s">
        <v>2059</v>
      </c>
      <c r="Z2650" s="62" t="s">
        <v>4825</v>
      </c>
      <c r="AA2650" s="62" t="s">
        <v>4826</v>
      </c>
      <c r="AB2650" s="62" t="n">
        <v>0</v>
      </c>
      <c r="AC2650" s="62" t="n">
        <v>0</v>
      </c>
      <c r="AD2650" s="62" t="n">
        <v>1</v>
      </c>
      <c r="AE2650" s="62" t="n">
        <f aca="false">IF(AND(Dashboard!$C$9="Yes",AC2650=1),0,1)</f>
        <v>1</v>
      </c>
      <c r="AF2650" s="62" t="n">
        <v>1</v>
      </c>
    </row>
    <row r="2651" customFormat="false" ht="15" hidden="false" customHeight="false" outlineLevel="0" collapsed="false">
      <c r="A2651" s="62" t="n">
        <v>2650</v>
      </c>
      <c r="B2651" s="63" t="n">
        <v>46291.2639583333</v>
      </c>
      <c r="C2651" s="64" t="n">
        <v>46290</v>
      </c>
      <c r="D2651" s="62" t="s">
        <v>288</v>
      </c>
      <c r="E2651" s="62" t="s">
        <v>2959</v>
      </c>
      <c r="F2651" s="62" t="s">
        <v>2959</v>
      </c>
      <c r="G2651" s="62" t="s">
        <v>2960</v>
      </c>
      <c r="H2651" s="62" t="s">
        <v>58</v>
      </c>
      <c r="I2651" s="62" t="s">
        <v>49</v>
      </c>
      <c r="J2651" s="62" t="s">
        <v>146</v>
      </c>
      <c r="K2651" s="62" t="s">
        <v>175</v>
      </c>
      <c r="L2651" s="62" t="s">
        <v>4</v>
      </c>
      <c r="M2651" s="62" t="n">
        <v>1</v>
      </c>
      <c r="N2651" s="62" t="n">
        <v>0</v>
      </c>
      <c r="O2651" s="62" t="n">
        <v>1</v>
      </c>
      <c r="P2651" s="62" t="n">
        <v>0</v>
      </c>
      <c r="Q2651" s="62" t="n">
        <v>0</v>
      </c>
      <c r="R2651" s="62" t="n">
        <v>0</v>
      </c>
      <c r="S2651" s="62" t="n">
        <v>0</v>
      </c>
      <c r="T2651" s="62" t="n">
        <v>0</v>
      </c>
      <c r="U2651" s="62" t="s">
        <v>15</v>
      </c>
      <c r="V2651" s="62" t="s">
        <v>2057</v>
      </c>
      <c r="W2651" s="62" t="s">
        <v>15</v>
      </c>
      <c r="X2651" s="62" t="s">
        <v>2058</v>
      </c>
      <c r="Y2651" s="62" t="s">
        <v>2059</v>
      </c>
      <c r="Z2651" s="62" t="s">
        <v>4827</v>
      </c>
      <c r="AA2651" s="62" t="s">
        <v>4828</v>
      </c>
      <c r="AB2651" s="62" t="n">
        <v>0</v>
      </c>
      <c r="AC2651" s="62" t="n">
        <v>0</v>
      </c>
      <c r="AD2651" s="62" t="n">
        <v>1</v>
      </c>
      <c r="AE2651" s="62" t="n">
        <f aca="false">IF(AND(Dashboard!$C$9="Yes",AC2651=1),0,1)</f>
        <v>1</v>
      </c>
      <c r="AF2651" s="62" t="n">
        <v>0</v>
      </c>
    </row>
    <row r="2652" customFormat="false" ht="15" hidden="false" customHeight="false" outlineLevel="0" collapsed="false">
      <c r="A2652" s="62" t="n">
        <v>2651</v>
      </c>
      <c r="B2652" s="63" t="n">
        <v>46291.6203703704</v>
      </c>
      <c r="C2652" s="64" t="n">
        <v>46291</v>
      </c>
      <c r="D2652" s="62" t="s">
        <v>358</v>
      </c>
      <c r="E2652" s="62" t="s">
        <v>2156</v>
      </c>
      <c r="F2652" s="62" t="s">
        <v>2156</v>
      </c>
      <c r="G2652" s="62" t="s">
        <v>2157</v>
      </c>
      <c r="H2652" s="62" t="s">
        <v>52</v>
      </c>
      <c r="I2652" s="62" t="s">
        <v>47</v>
      </c>
      <c r="J2652" s="62" t="s">
        <v>146</v>
      </c>
      <c r="K2652" s="62" t="s">
        <v>209</v>
      </c>
      <c r="L2652" s="62" t="s">
        <v>148</v>
      </c>
      <c r="M2652" s="62" t="n">
        <v>0</v>
      </c>
      <c r="N2652" s="62" t="n">
        <v>1</v>
      </c>
      <c r="O2652" s="62" t="n">
        <v>1</v>
      </c>
      <c r="P2652" s="62" t="n">
        <v>1</v>
      </c>
      <c r="Q2652" s="62" t="n">
        <v>0</v>
      </c>
      <c r="R2652" s="62" t="n">
        <v>0</v>
      </c>
      <c r="S2652" s="62" t="n">
        <v>0</v>
      </c>
      <c r="T2652" s="62" t="n">
        <v>0</v>
      </c>
      <c r="U2652" s="62"/>
      <c r="V2652" s="62"/>
      <c r="W2652" s="62"/>
      <c r="X2652" s="62"/>
      <c r="Y2652" s="62"/>
      <c r="Z2652" s="62" t="s">
        <v>4829</v>
      </c>
      <c r="AA2652" s="62" t="s">
        <v>4830</v>
      </c>
      <c r="AB2652" s="62" t="n">
        <v>1</v>
      </c>
      <c r="AC2652" s="62" t="n">
        <v>0</v>
      </c>
      <c r="AD2652" s="62" t="n">
        <v>1</v>
      </c>
      <c r="AE2652" s="62" t="n">
        <f aca="false">IF(AND(Dashboard!$C$9="Yes",AC2652=1),0,1)</f>
        <v>1</v>
      </c>
      <c r="AF2652" s="62" t="n">
        <v>1</v>
      </c>
    </row>
    <row r="2653" customFormat="false" ht="15" hidden="false" customHeight="false" outlineLevel="0" collapsed="false">
      <c r="A2653" s="62" t="n">
        <v>2652</v>
      </c>
      <c r="B2653" s="63" t="n">
        <v>46291.6481481482</v>
      </c>
      <c r="C2653" s="64" t="n">
        <v>46291</v>
      </c>
      <c r="D2653" s="62" t="s">
        <v>358</v>
      </c>
      <c r="E2653" s="62" t="s">
        <v>2156</v>
      </c>
      <c r="F2653" s="62" t="s">
        <v>2156</v>
      </c>
      <c r="G2653" s="62" t="s">
        <v>2157</v>
      </c>
      <c r="H2653" s="62" t="s">
        <v>52</v>
      </c>
      <c r="I2653" s="62" t="s">
        <v>47</v>
      </c>
      <c r="J2653" s="62" t="s">
        <v>146</v>
      </c>
      <c r="K2653" s="62" t="s">
        <v>209</v>
      </c>
      <c r="L2653" s="62" t="s">
        <v>148</v>
      </c>
      <c r="M2653" s="62" t="n">
        <v>0</v>
      </c>
      <c r="N2653" s="62" t="n">
        <v>1</v>
      </c>
      <c r="O2653" s="62" t="n">
        <v>1</v>
      </c>
      <c r="P2653" s="62" t="n">
        <v>1</v>
      </c>
      <c r="Q2653" s="62" t="n">
        <v>0</v>
      </c>
      <c r="R2653" s="62" t="n">
        <v>0</v>
      </c>
      <c r="S2653" s="62" t="n">
        <v>0</v>
      </c>
      <c r="T2653" s="62" t="n">
        <v>0</v>
      </c>
      <c r="U2653" s="62"/>
      <c r="V2653" s="62"/>
      <c r="W2653" s="62"/>
      <c r="X2653" s="62"/>
      <c r="Y2653" s="62"/>
      <c r="Z2653" s="62" t="s">
        <v>4831</v>
      </c>
      <c r="AA2653" s="62" t="s">
        <v>4832</v>
      </c>
      <c r="AB2653" s="62" t="n">
        <v>1</v>
      </c>
      <c r="AC2653" s="62" t="n">
        <v>0</v>
      </c>
      <c r="AD2653" s="62" t="n">
        <v>1</v>
      </c>
      <c r="AE2653" s="62" t="n">
        <f aca="false">IF(AND(Dashboard!$C$9="Yes",AC2653=1),0,1)</f>
        <v>1</v>
      </c>
      <c r="AF2653" s="62" t="n">
        <v>0</v>
      </c>
    </row>
    <row r="2654" customFormat="false" ht="15" hidden="false" customHeight="false" outlineLevel="0" collapsed="false">
      <c r="A2654" s="62" t="n">
        <v>2653</v>
      </c>
      <c r="B2654" s="63" t="n">
        <v>46291.6801157407</v>
      </c>
      <c r="C2654" s="64" t="n">
        <v>46291</v>
      </c>
      <c r="D2654" s="62" t="s">
        <v>358</v>
      </c>
      <c r="E2654" s="62" t="s">
        <v>573</v>
      </c>
      <c r="F2654" s="62" t="s">
        <v>573</v>
      </c>
      <c r="G2654" s="62" t="s">
        <v>574</v>
      </c>
      <c r="H2654" s="62" t="s">
        <v>51</v>
      </c>
      <c r="I2654" s="62" t="s">
        <v>47</v>
      </c>
      <c r="J2654" s="62" t="s">
        <v>146</v>
      </c>
      <c r="K2654" s="62" t="s">
        <v>147</v>
      </c>
      <c r="L2654" s="62" t="s">
        <v>148</v>
      </c>
      <c r="M2654" s="62" t="n">
        <v>0</v>
      </c>
      <c r="N2654" s="62" t="n">
        <v>1</v>
      </c>
      <c r="O2654" s="62" t="n">
        <v>1</v>
      </c>
      <c r="P2654" s="62" t="n">
        <v>0</v>
      </c>
      <c r="Q2654" s="62" t="n">
        <v>1</v>
      </c>
      <c r="R2654" s="62" t="n">
        <v>0</v>
      </c>
      <c r="S2654" s="62" t="n">
        <v>0</v>
      </c>
      <c r="T2654" s="62" t="n">
        <v>0</v>
      </c>
      <c r="U2654" s="62"/>
      <c r="V2654" s="62"/>
      <c r="W2654" s="62"/>
      <c r="X2654" s="62"/>
      <c r="Y2654" s="62"/>
      <c r="Z2654" s="62" t="s">
        <v>4833</v>
      </c>
      <c r="AA2654" s="62" t="s">
        <v>4834</v>
      </c>
      <c r="AB2654" s="62" t="n">
        <v>1</v>
      </c>
      <c r="AC2654" s="62" t="n">
        <v>0</v>
      </c>
      <c r="AD2654" s="62" t="n">
        <v>1</v>
      </c>
      <c r="AE2654" s="62" t="n">
        <f aca="false">IF(AND(Dashboard!$C$9="Yes",AC2654=1),0,1)</f>
        <v>1</v>
      </c>
      <c r="AF2654" s="62" t="n">
        <v>1</v>
      </c>
    </row>
    <row r="2655" customFormat="false" ht="15" hidden="false" customHeight="false" outlineLevel="0" collapsed="false">
      <c r="A2655" s="62" t="n">
        <v>2654</v>
      </c>
      <c r="B2655" s="63" t="n">
        <v>46291.7212152778</v>
      </c>
      <c r="C2655" s="64" t="n">
        <v>46291</v>
      </c>
      <c r="D2655" s="62" t="s">
        <v>358</v>
      </c>
      <c r="E2655" s="62" t="s">
        <v>1005</v>
      </c>
      <c r="F2655" s="62" t="s">
        <v>1005</v>
      </c>
      <c r="G2655" s="62" t="s">
        <v>1006</v>
      </c>
      <c r="H2655" s="62" t="s">
        <v>46</v>
      </c>
      <c r="I2655" s="62" t="s">
        <v>47</v>
      </c>
      <c r="J2655" s="62" t="s">
        <v>146</v>
      </c>
      <c r="K2655" s="62" t="s">
        <v>209</v>
      </c>
      <c r="L2655" s="62" t="s">
        <v>148</v>
      </c>
      <c r="M2655" s="62" t="n">
        <v>0</v>
      </c>
      <c r="N2655" s="62" t="n">
        <v>1</v>
      </c>
      <c r="O2655" s="62" t="n">
        <v>1</v>
      </c>
      <c r="P2655" s="62" t="n">
        <v>1</v>
      </c>
      <c r="Q2655" s="62" t="n">
        <v>0</v>
      </c>
      <c r="R2655" s="62" t="n">
        <v>0</v>
      </c>
      <c r="S2655" s="62" t="n">
        <v>0</v>
      </c>
      <c r="T2655" s="62" t="n">
        <v>0</v>
      </c>
      <c r="U2655" s="62"/>
      <c r="V2655" s="62"/>
      <c r="W2655" s="62"/>
      <c r="X2655" s="62"/>
      <c r="Y2655" s="62"/>
      <c r="Z2655" s="62" t="s">
        <v>4835</v>
      </c>
      <c r="AA2655" s="62" t="s">
        <v>4836</v>
      </c>
      <c r="AB2655" s="62" t="n">
        <v>0</v>
      </c>
      <c r="AC2655" s="62" t="n">
        <v>0</v>
      </c>
      <c r="AD2655" s="62" t="n">
        <v>1</v>
      </c>
      <c r="AE2655" s="62" t="n">
        <f aca="false">IF(AND(Dashboard!$C$9="Yes",AC2655=1),0,1)</f>
        <v>1</v>
      </c>
      <c r="AF2655" s="62" t="n">
        <v>1</v>
      </c>
    </row>
    <row r="2656" customFormat="false" ht="15" hidden="false" customHeight="false" outlineLevel="0" collapsed="false">
      <c r="A2656" s="62" t="n">
        <v>2655</v>
      </c>
      <c r="B2656" s="63" t="n">
        <v>46291.7322916667</v>
      </c>
      <c r="C2656" s="64" t="n">
        <v>46291</v>
      </c>
      <c r="D2656" s="62" t="s">
        <v>358</v>
      </c>
      <c r="E2656" s="62" t="s">
        <v>751</v>
      </c>
      <c r="F2656" s="62" t="s">
        <v>752</v>
      </c>
      <c r="G2656" s="62" t="s">
        <v>153</v>
      </c>
      <c r="H2656" s="62" t="s">
        <v>153</v>
      </c>
      <c r="I2656" s="62" t="s">
        <v>153</v>
      </c>
      <c r="J2656" s="62" t="s">
        <v>64</v>
      </c>
      <c r="K2656" s="62" t="s">
        <v>64</v>
      </c>
      <c r="L2656" s="62" t="s">
        <v>148</v>
      </c>
      <c r="M2656" s="62" t="n">
        <v>0</v>
      </c>
      <c r="N2656" s="62" t="n">
        <v>2</v>
      </c>
      <c r="O2656" s="62" t="n">
        <v>2</v>
      </c>
      <c r="P2656" s="62" t="n">
        <v>1</v>
      </c>
      <c r="Q2656" s="62" t="n">
        <v>1</v>
      </c>
      <c r="R2656" s="62" t="n">
        <v>0</v>
      </c>
      <c r="S2656" s="62" t="n">
        <v>0</v>
      </c>
      <c r="T2656" s="62" t="n">
        <v>0</v>
      </c>
      <c r="U2656" s="62"/>
      <c r="V2656" s="62"/>
      <c r="W2656" s="62"/>
      <c r="X2656" s="62"/>
      <c r="Y2656" s="62"/>
      <c r="Z2656" s="62" t="s">
        <v>4837</v>
      </c>
      <c r="AA2656" s="62" t="s">
        <v>4838</v>
      </c>
      <c r="AB2656" s="62" t="n">
        <v>1</v>
      </c>
      <c r="AC2656" s="62" t="n">
        <v>0</v>
      </c>
      <c r="AD2656" s="62" t="n">
        <v>0</v>
      </c>
      <c r="AE2656" s="62" t="n">
        <f aca="false">IF(AND(Dashboard!$C$9="Yes",AC2656=1),0,1)</f>
        <v>1</v>
      </c>
      <c r="AF2656" s="62" t="n">
        <v>1</v>
      </c>
    </row>
    <row r="2657" customFormat="false" ht="15" hidden="false" customHeight="false" outlineLevel="0" collapsed="false">
      <c r="A2657" s="62" t="n">
        <v>2656</v>
      </c>
      <c r="B2657" s="63" t="n">
        <v>46291.733900463</v>
      </c>
      <c r="C2657" s="64" t="n">
        <v>46291</v>
      </c>
      <c r="D2657" s="62" t="s">
        <v>358</v>
      </c>
      <c r="E2657" s="62" t="s">
        <v>3599</v>
      </c>
      <c r="F2657" s="62" t="s">
        <v>3599</v>
      </c>
      <c r="G2657" s="62" t="s">
        <v>3600</v>
      </c>
      <c r="H2657" s="62" t="s">
        <v>51</v>
      </c>
      <c r="I2657" s="62" t="s">
        <v>47</v>
      </c>
      <c r="J2657" s="62" t="s">
        <v>146</v>
      </c>
      <c r="K2657" s="62" t="s">
        <v>209</v>
      </c>
      <c r="L2657" s="62" t="s">
        <v>4</v>
      </c>
      <c r="M2657" s="62" t="n">
        <v>1</v>
      </c>
      <c r="N2657" s="62" t="n">
        <v>0</v>
      </c>
      <c r="O2657" s="62" t="n">
        <v>1</v>
      </c>
      <c r="P2657" s="62" t="n">
        <v>0</v>
      </c>
      <c r="Q2657" s="62" t="n">
        <v>0</v>
      </c>
      <c r="R2657" s="62" t="n">
        <v>0</v>
      </c>
      <c r="S2657" s="62" t="n">
        <v>0</v>
      </c>
      <c r="T2657" s="62" t="n">
        <v>0</v>
      </c>
      <c r="U2657" s="62" t="s">
        <v>2056</v>
      </c>
      <c r="V2657" s="62" t="s">
        <v>2057</v>
      </c>
      <c r="W2657" s="62" t="s">
        <v>15</v>
      </c>
      <c r="X2657" s="62" t="s">
        <v>2125</v>
      </c>
      <c r="Y2657" s="62" t="s">
        <v>2103</v>
      </c>
      <c r="Z2657" s="62" t="s">
        <v>4839</v>
      </c>
      <c r="AA2657" s="62" t="s">
        <v>4840</v>
      </c>
      <c r="AB2657" s="62" t="n">
        <v>1</v>
      </c>
      <c r="AC2657" s="62" t="n">
        <v>0</v>
      </c>
      <c r="AD2657" s="62" t="n">
        <v>1</v>
      </c>
      <c r="AE2657" s="62" t="n">
        <f aca="false">IF(AND(Dashboard!$C$9="Yes",AC2657=1),0,1)</f>
        <v>1</v>
      </c>
      <c r="AF2657" s="62" t="n">
        <v>1</v>
      </c>
    </row>
    <row r="2658" customFormat="false" ht="15" hidden="false" customHeight="false" outlineLevel="0" collapsed="false">
      <c r="A2658" s="62" t="n">
        <v>2657</v>
      </c>
      <c r="B2658" s="63" t="n">
        <v>46291.7531018519</v>
      </c>
      <c r="C2658" s="64" t="n">
        <v>46291</v>
      </c>
      <c r="D2658" s="62" t="s">
        <v>358</v>
      </c>
      <c r="E2658" s="62" t="s">
        <v>255</v>
      </c>
      <c r="F2658" s="62" t="s">
        <v>255</v>
      </c>
      <c r="G2658" s="62" t="s">
        <v>256</v>
      </c>
      <c r="H2658" s="62" t="s">
        <v>57</v>
      </c>
      <c r="I2658" s="62" t="s">
        <v>47</v>
      </c>
      <c r="J2658" s="62" t="s">
        <v>146</v>
      </c>
      <c r="K2658" s="62" t="s">
        <v>147</v>
      </c>
      <c r="L2658" s="62" t="s">
        <v>148</v>
      </c>
      <c r="M2658" s="62" t="n">
        <v>0</v>
      </c>
      <c r="N2658" s="62" t="n">
        <v>1</v>
      </c>
      <c r="O2658" s="62" t="n">
        <v>1</v>
      </c>
      <c r="P2658" s="62" t="n">
        <v>0</v>
      </c>
      <c r="Q2658" s="62" t="n">
        <v>0</v>
      </c>
      <c r="R2658" s="62" t="n">
        <v>1</v>
      </c>
      <c r="S2658" s="62" t="n">
        <v>0</v>
      </c>
      <c r="T2658" s="62" t="n">
        <v>0</v>
      </c>
      <c r="U2658" s="62"/>
      <c r="V2658" s="62"/>
      <c r="W2658" s="62"/>
      <c r="X2658" s="62"/>
      <c r="Y2658" s="62"/>
      <c r="Z2658" s="62" t="s">
        <v>4841</v>
      </c>
      <c r="AA2658" s="62" t="s">
        <v>4842</v>
      </c>
      <c r="AB2658" s="62" t="n">
        <v>1</v>
      </c>
      <c r="AC2658" s="62" t="n">
        <v>0</v>
      </c>
      <c r="AD2658" s="62" t="n">
        <v>1</v>
      </c>
      <c r="AE2658" s="62" t="n">
        <f aca="false">IF(AND(Dashboard!$C$9="Yes",AC2658=1),0,1)</f>
        <v>1</v>
      </c>
      <c r="AF2658" s="62" t="n">
        <v>1</v>
      </c>
    </row>
    <row r="2659" customFormat="false" ht="15" hidden="false" customHeight="false" outlineLevel="0" collapsed="false">
      <c r="A2659" s="62" t="n">
        <v>2658</v>
      </c>
      <c r="B2659" s="63" t="n">
        <v>46291.755787037</v>
      </c>
      <c r="C2659" s="64" t="n">
        <v>46291</v>
      </c>
      <c r="D2659" s="62" t="s">
        <v>358</v>
      </c>
      <c r="E2659" s="62" t="s">
        <v>4269</v>
      </c>
      <c r="F2659" s="62" t="s">
        <v>4270</v>
      </c>
      <c r="G2659" s="62" t="s">
        <v>153</v>
      </c>
      <c r="H2659" s="62" t="s">
        <v>153</v>
      </c>
      <c r="I2659" s="62" t="s">
        <v>153</v>
      </c>
      <c r="J2659" s="62" t="s">
        <v>64</v>
      </c>
      <c r="K2659" s="62" t="s">
        <v>64</v>
      </c>
      <c r="L2659" s="62" t="s">
        <v>148</v>
      </c>
      <c r="M2659" s="62" t="n">
        <v>0</v>
      </c>
      <c r="N2659" s="62" t="n">
        <v>1</v>
      </c>
      <c r="O2659" s="62" t="n">
        <v>1</v>
      </c>
      <c r="P2659" s="62" t="n">
        <v>0</v>
      </c>
      <c r="Q2659" s="62" t="n">
        <v>1</v>
      </c>
      <c r="R2659" s="62" t="n">
        <v>0</v>
      </c>
      <c r="S2659" s="62" t="n">
        <v>0</v>
      </c>
      <c r="T2659" s="62" t="n">
        <v>0</v>
      </c>
      <c r="U2659" s="62"/>
      <c r="V2659" s="62"/>
      <c r="W2659" s="62"/>
      <c r="X2659" s="62"/>
      <c r="Y2659" s="62"/>
      <c r="Z2659" s="62" t="s">
        <v>4843</v>
      </c>
      <c r="AA2659" s="62" t="s">
        <v>4844</v>
      </c>
      <c r="AB2659" s="62" t="n">
        <v>1</v>
      </c>
      <c r="AC2659" s="62" t="n">
        <v>0</v>
      </c>
      <c r="AD2659" s="62" t="n">
        <v>0</v>
      </c>
      <c r="AE2659" s="62" t="n">
        <f aca="false">IF(AND(Dashboard!$C$9="Yes",AC2659=1),0,1)</f>
        <v>1</v>
      </c>
      <c r="AF2659" s="62" t="n">
        <v>1</v>
      </c>
    </row>
    <row r="2660" customFormat="false" ht="15" hidden="false" customHeight="false" outlineLevel="0" collapsed="false">
      <c r="A2660" s="62" t="n">
        <v>2659</v>
      </c>
      <c r="B2660" s="63" t="n">
        <v>46291.7707175926</v>
      </c>
      <c r="C2660" s="64" t="n">
        <v>46291</v>
      </c>
      <c r="D2660" s="62" t="s">
        <v>358</v>
      </c>
      <c r="E2660" s="62" t="s">
        <v>2071</v>
      </c>
      <c r="F2660" s="62" t="s">
        <v>2071</v>
      </c>
      <c r="G2660" s="62" t="s">
        <v>2072</v>
      </c>
      <c r="H2660" s="62" t="s">
        <v>58</v>
      </c>
      <c r="I2660" s="62" t="s">
        <v>49</v>
      </c>
      <c r="J2660" s="62" t="s">
        <v>146</v>
      </c>
      <c r="K2660" s="62" t="s">
        <v>175</v>
      </c>
      <c r="L2660" s="62" t="s">
        <v>4</v>
      </c>
      <c r="M2660" s="62" t="n">
        <v>1</v>
      </c>
      <c r="N2660" s="62" t="n">
        <v>0</v>
      </c>
      <c r="O2660" s="62" t="n">
        <v>1</v>
      </c>
      <c r="P2660" s="62" t="n">
        <v>0</v>
      </c>
      <c r="Q2660" s="62" t="n">
        <v>0</v>
      </c>
      <c r="R2660" s="62" t="n">
        <v>0</v>
      </c>
      <c r="S2660" s="62" t="n">
        <v>0</v>
      </c>
      <c r="T2660" s="62" t="n">
        <v>0</v>
      </c>
      <c r="U2660" s="62" t="s">
        <v>2056</v>
      </c>
      <c r="V2660" s="62" t="s">
        <v>2057</v>
      </c>
      <c r="W2660" s="62" t="s">
        <v>2056</v>
      </c>
      <c r="X2660" s="62" t="s">
        <v>2180</v>
      </c>
      <c r="Y2660" s="62" t="s">
        <v>2059</v>
      </c>
      <c r="Z2660" s="62" t="s">
        <v>4845</v>
      </c>
      <c r="AA2660" s="62" t="s">
        <v>4846</v>
      </c>
      <c r="AB2660" s="62" t="n">
        <v>1</v>
      </c>
      <c r="AC2660" s="62" t="n">
        <v>0</v>
      </c>
      <c r="AD2660" s="62" t="n">
        <v>1</v>
      </c>
      <c r="AE2660" s="62" t="n">
        <f aca="false">IF(AND(Dashboard!$C$9="Yes",AC2660=1),0,1)</f>
        <v>1</v>
      </c>
      <c r="AF2660" s="62" t="n">
        <v>1</v>
      </c>
    </row>
    <row r="2661" customFormat="false" ht="15" hidden="false" customHeight="false" outlineLevel="0" collapsed="false">
      <c r="A2661" s="62" t="n">
        <v>2660</v>
      </c>
      <c r="B2661" s="63" t="n">
        <v>46291.7729976852</v>
      </c>
      <c r="C2661" s="64" t="n">
        <v>46291</v>
      </c>
      <c r="D2661" s="62" t="s">
        <v>358</v>
      </c>
      <c r="E2661" s="62" t="s">
        <v>3018</v>
      </c>
      <c r="F2661" s="62" t="s">
        <v>3018</v>
      </c>
      <c r="G2661" s="62" t="s">
        <v>3019</v>
      </c>
      <c r="H2661" s="62" t="s">
        <v>58</v>
      </c>
      <c r="I2661" s="62" t="s">
        <v>49</v>
      </c>
      <c r="J2661" s="62" t="s">
        <v>146</v>
      </c>
      <c r="K2661" s="62" t="s">
        <v>175</v>
      </c>
      <c r="L2661" s="62" t="s">
        <v>148</v>
      </c>
      <c r="M2661" s="62" t="n">
        <v>0</v>
      </c>
      <c r="N2661" s="62" t="n">
        <v>1</v>
      </c>
      <c r="O2661" s="62" t="n">
        <v>1</v>
      </c>
      <c r="P2661" s="62" t="n">
        <v>1</v>
      </c>
      <c r="Q2661" s="62" t="n">
        <v>0</v>
      </c>
      <c r="R2661" s="62" t="n">
        <v>0</v>
      </c>
      <c r="S2661" s="62" t="n">
        <v>0</v>
      </c>
      <c r="T2661" s="62" t="n">
        <v>0</v>
      </c>
      <c r="U2661" s="62"/>
      <c r="V2661" s="62"/>
      <c r="W2661" s="62"/>
      <c r="X2661" s="62"/>
      <c r="Y2661" s="62"/>
      <c r="Z2661" s="62" t="s">
        <v>4847</v>
      </c>
      <c r="AA2661" s="62" t="s">
        <v>4848</v>
      </c>
      <c r="AB2661" s="62" t="n">
        <v>1</v>
      </c>
      <c r="AC2661" s="62" t="n">
        <v>0</v>
      </c>
      <c r="AD2661" s="62" t="n">
        <v>1</v>
      </c>
      <c r="AE2661" s="62" t="n">
        <f aca="false">IF(AND(Dashboard!$C$9="Yes",AC2661=1),0,1)</f>
        <v>1</v>
      </c>
      <c r="AF2661" s="62" t="n">
        <v>1</v>
      </c>
    </row>
    <row r="2662" customFormat="false" ht="15" hidden="false" customHeight="false" outlineLevel="0" collapsed="false">
      <c r="A2662" s="62" t="n">
        <v>2661</v>
      </c>
      <c r="B2662" s="63" t="n">
        <v>46291.8024189815</v>
      </c>
      <c r="C2662" s="64" t="n">
        <v>46291</v>
      </c>
      <c r="D2662" s="62" t="s">
        <v>358</v>
      </c>
      <c r="E2662" s="62" t="s">
        <v>3181</v>
      </c>
      <c r="F2662" s="62" t="s">
        <v>3181</v>
      </c>
      <c r="G2662" s="62" t="s">
        <v>3182</v>
      </c>
      <c r="H2662" s="62" t="s">
        <v>58</v>
      </c>
      <c r="I2662" s="62" t="s">
        <v>49</v>
      </c>
      <c r="J2662" s="62" t="s">
        <v>146</v>
      </c>
      <c r="K2662" s="62" t="s">
        <v>209</v>
      </c>
      <c r="L2662" s="62" t="s">
        <v>148</v>
      </c>
      <c r="M2662" s="62" t="n">
        <v>0</v>
      </c>
      <c r="N2662" s="62" t="n">
        <v>1</v>
      </c>
      <c r="O2662" s="62" t="n">
        <v>1</v>
      </c>
      <c r="P2662" s="62" t="n">
        <v>1</v>
      </c>
      <c r="Q2662" s="62" t="n">
        <v>0</v>
      </c>
      <c r="R2662" s="62" t="n">
        <v>0</v>
      </c>
      <c r="S2662" s="62" t="n">
        <v>0</v>
      </c>
      <c r="T2662" s="62" t="n">
        <v>0</v>
      </c>
      <c r="U2662" s="62"/>
      <c r="V2662" s="62"/>
      <c r="W2662" s="62"/>
      <c r="X2662" s="62"/>
      <c r="Y2662" s="62"/>
      <c r="Z2662" s="62" t="s">
        <v>4849</v>
      </c>
      <c r="AA2662" s="62" t="s">
        <v>492</v>
      </c>
      <c r="AB2662" s="62" t="n">
        <v>0</v>
      </c>
      <c r="AC2662" s="62" t="n">
        <v>0</v>
      </c>
      <c r="AD2662" s="62" t="n">
        <v>1</v>
      </c>
      <c r="AE2662" s="62" t="n">
        <f aca="false">IF(AND(Dashboard!$C$9="Yes",AC2662=1),0,1)</f>
        <v>1</v>
      </c>
      <c r="AF2662" s="62" t="n">
        <v>1</v>
      </c>
    </row>
    <row r="2663" customFormat="false" ht="15" hidden="false" customHeight="false" outlineLevel="0" collapsed="false">
      <c r="A2663" s="62" t="n">
        <v>2662</v>
      </c>
      <c r="B2663" s="63" t="n">
        <v>46291.8153125</v>
      </c>
      <c r="C2663" s="64" t="n">
        <v>46291</v>
      </c>
      <c r="D2663" s="62" t="s">
        <v>358</v>
      </c>
      <c r="E2663" s="62" t="s">
        <v>2385</v>
      </c>
      <c r="F2663" s="62" t="s">
        <v>2385</v>
      </c>
      <c r="G2663" s="62" t="s">
        <v>2386</v>
      </c>
      <c r="H2663" s="62" t="s">
        <v>59</v>
      </c>
      <c r="I2663" s="62" t="s">
        <v>47</v>
      </c>
      <c r="J2663" s="62" t="s">
        <v>146</v>
      </c>
      <c r="K2663" s="62" t="s">
        <v>209</v>
      </c>
      <c r="L2663" s="62" t="s">
        <v>148</v>
      </c>
      <c r="M2663" s="62" t="n">
        <v>0</v>
      </c>
      <c r="N2663" s="62" t="n">
        <v>1</v>
      </c>
      <c r="O2663" s="62" t="n">
        <v>1</v>
      </c>
      <c r="P2663" s="62" t="n">
        <v>1</v>
      </c>
      <c r="Q2663" s="62" t="n">
        <v>0</v>
      </c>
      <c r="R2663" s="62" t="n">
        <v>0</v>
      </c>
      <c r="S2663" s="62" t="n">
        <v>0</v>
      </c>
      <c r="T2663" s="62" t="n">
        <v>0</v>
      </c>
      <c r="U2663" s="62"/>
      <c r="V2663" s="62"/>
      <c r="W2663" s="62"/>
      <c r="X2663" s="62"/>
      <c r="Y2663" s="62"/>
      <c r="Z2663" s="62" t="s">
        <v>4850</v>
      </c>
      <c r="AA2663" s="62" t="s">
        <v>4851</v>
      </c>
      <c r="AB2663" s="62" t="n">
        <v>0</v>
      </c>
      <c r="AC2663" s="62" t="n">
        <v>0</v>
      </c>
      <c r="AD2663" s="62" t="n">
        <v>1</v>
      </c>
      <c r="AE2663" s="62" t="n">
        <f aca="false">IF(AND(Dashboard!$C$9="Yes",AC2663=1),0,1)</f>
        <v>1</v>
      </c>
      <c r="AF2663" s="62" t="n">
        <v>1</v>
      </c>
    </row>
    <row r="2664" customFormat="false" ht="15" hidden="false" customHeight="false" outlineLevel="0" collapsed="false">
      <c r="A2664" s="62" t="n">
        <v>2663</v>
      </c>
      <c r="B2664" s="63" t="n">
        <v>46291.8157060185</v>
      </c>
      <c r="C2664" s="64" t="n">
        <v>46291</v>
      </c>
      <c r="D2664" s="62" t="s">
        <v>358</v>
      </c>
      <c r="E2664" s="62" t="s">
        <v>2583</v>
      </c>
      <c r="F2664" s="62" t="s">
        <v>2583</v>
      </c>
      <c r="G2664" s="62" t="s">
        <v>2584</v>
      </c>
      <c r="H2664" s="62" t="s">
        <v>59</v>
      </c>
      <c r="I2664" s="62" t="s">
        <v>47</v>
      </c>
      <c r="J2664" s="62" t="s">
        <v>146</v>
      </c>
      <c r="K2664" s="62" t="s">
        <v>147</v>
      </c>
      <c r="L2664" s="62" t="s">
        <v>4</v>
      </c>
      <c r="M2664" s="62" t="n">
        <v>1</v>
      </c>
      <c r="N2664" s="62" t="n">
        <v>0</v>
      </c>
      <c r="O2664" s="62" t="n">
        <v>1</v>
      </c>
      <c r="P2664" s="62" t="n">
        <v>0</v>
      </c>
      <c r="Q2664" s="62" t="n">
        <v>0</v>
      </c>
      <c r="R2664" s="62" t="n">
        <v>0</v>
      </c>
      <c r="S2664" s="62" t="n">
        <v>0</v>
      </c>
      <c r="T2664" s="62" t="n">
        <v>0</v>
      </c>
      <c r="U2664" s="62" t="s">
        <v>2056</v>
      </c>
      <c r="V2664" s="62" t="s">
        <v>2057</v>
      </c>
      <c r="W2664" s="62" t="s">
        <v>2056</v>
      </c>
      <c r="X2664" s="62" t="s">
        <v>2164</v>
      </c>
      <c r="Y2664" s="62" t="s">
        <v>2064</v>
      </c>
      <c r="Z2664" s="62" t="s">
        <v>4852</v>
      </c>
      <c r="AA2664" s="62" t="s">
        <v>4853</v>
      </c>
      <c r="AB2664" s="62" t="n">
        <v>1</v>
      </c>
      <c r="AC2664" s="62" t="n">
        <v>0</v>
      </c>
      <c r="AD2664" s="62" t="n">
        <v>1</v>
      </c>
      <c r="AE2664" s="62" t="n">
        <f aca="false">IF(AND(Dashboard!$C$9="Yes",AC2664=1),0,1)</f>
        <v>1</v>
      </c>
      <c r="AF2664" s="62" t="n">
        <v>1</v>
      </c>
    </row>
    <row r="2665" customFormat="false" ht="15" hidden="false" customHeight="false" outlineLevel="0" collapsed="false">
      <c r="A2665" s="62" t="n">
        <v>2664</v>
      </c>
      <c r="B2665" s="63" t="n">
        <v>46291.8294097222</v>
      </c>
      <c r="C2665" s="64" t="n">
        <v>46291</v>
      </c>
      <c r="D2665" s="62" t="s">
        <v>358</v>
      </c>
      <c r="E2665" s="62" t="s">
        <v>892</v>
      </c>
      <c r="F2665" s="62" t="s">
        <v>892</v>
      </c>
      <c r="G2665" s="62" t="s">
        <v>893</v>
      </c>
      <c r="H2665" s="62" t="s">
        <v>46</v>
      </c>
      <c r="I2665" s="62" t="s">
        <v>47</v>
      </c>
      <c r="J2665" s="62" t="s">
        <v>146</v>
      </c>
      <c r="K2665" s="62" t="s">
        <v>209</v>
      </c>
      <c r="L2665" s="62" t="s">
        <v>148</v>
      </c>
      <c r="M2665" s="62" t="n">
        <v>0</v>
      </c>
      <c r="N2665" s="62" t="n">
        <v>1</v>
      </c>
      <c r="O2665" s="62" t="n">
        <v>1</v>
      </c>
      <c r="P2665" s="62" t="n">
        <v>0</v>
      </c>
      <c r="Q2665" s="62" t="n">
        <v>1</v>
      </c>
      <c r="R2665" s="62" t="n">
        <v>0</v>
      </c>
      <c r="S2665" s="62" t="n">
        <v>0</v>
      </c>
      <c r="T2665" s="62" t="n">
        <v>0</v>
      </c>
      <c r="U2665" s="62"/>
      <c r="V2665" s="62"/>
      <c r="W2665" s="62"/>
      <c r="X2665" s="62"/>
      <c r="Y2665" s="62"/>
      <c r="Z2665" s="62" t="s">
        <v>4854</v>
      </c>
      <c r="AA2665" s="62" t="s">
        <v>337</v>
      </c>
      <c r="AB2665" s="62" t="n">
        <v>0</v>
      </c>
      <c r="AC2665" s="62" t="n">
        <v>0</v>
      </c>
      <c r="AD2665" s="62" t="n">
        <v>1</v>
      </c>
      <c r="AE2665" s="62" t="n">
        <f aca="false">IF(AND(Dashboard!$C$9="Yes",AC2665=1),0,1)</f>
        <v>1</v>
      </c>
      <c r="AF2665" s="62" t="n">
        <v>1</v>
      </c>
    </row>
    <row r="2666" customFormat="false" ht="15" hidden="false" customHeight="false" outlineLevel="0" collapsed="false">
      <c r="A2666" s="62" t="n">
        <v>2665</v>
      </c>
      <c r="B2666" s="63" t="n">
        <v>46291.866400463</v>
      </c>
      <c r="C2666" s="64" t="n">
        <v>46291</v>
      </c>
      <c r="D2666" s="62" t="s">
        <v>358</v>
      </c>
      <c r="E2666" s="62" t="s">
        <v>2540</v>
      </c>
      <c r="F2666" s="62" t="s">
        <v>2540</v>
      </c>
      <c r="G2666" s="62" t="s">
        <v>2541</v>
      </c>
      <c r="H2666" s="62" t="s">
        <v>48</v>
      </c>
      <c r="I2666" s="62" t="s">
        <v>49</v>
      </c>
      <c r="J2666" s="62" t="s">
        <v>146</v>
      </c>
      <c r="K2666" s="62" t="s">
        <v>209</v>
      </c>
      <c r="L2666" s="62" t="s">
        <v>148</v>
      </c>
      <c r="M2666" s="62" t="n">
        <v>0</v>
      </c>
      <c r="N2666" s="62" t="n">
        <v>1</v>
      </c>
      <c r="O2666" s="62" t="n">
        <v>1</v>
      </c>
      <c r="P2666" s="62" t="n">
        <v>0</v>
      </c>
      <c r="Q2666" s="62" t="n">
        <v>1</v>
      </c>
      <c r="R2666" s="62" t="n">
        <v>0</v>
      </c>
      <c r="S2666" s="62" t="n">
        <v>0</v>
      </c>
      <c r="T2666" s="62" t="n">
        <v>0</v>
      </c>
      <c r="U2666" s="62"/>
      <c r="V2666" s="62"/>
      <c r="W2666" s="62"/>
      <c r="X2666" s="62"/>
      <c r="Y2666" s="62"/>
      <c r="Z2666" s="62" t="s">
        <v>4855</v>
      </c>
      <c r="AA2666" s="62" t="s">
        <v>4856</v>
      </c>
      <c r="AB2666" s="62" t="n">
        <v>1</v>
      </c>
      <c r="AC2666" s="62" t="n">
        <v>0</v>
      </c>
      <c r="AD2666" s="62" t="n">
        <v>1</v>
      </c>
      <c r="AE2666" s="62" t="n">
        <f aca="false">IF(AND(Dashboard!$C$9="Yes",AC2666=1),0,1)</f>
        <v>1</v>
      </c>
      <c r="AF2666" s="62" t="n">
        <v>1</v>
      </c>
    </row>
    <row r="2667" customFormat="false" ht="15" hidden="false" customHeight="false" outlineLevel="0" collapsed="false">
      <c r="A2667" s="62" t="n">
        <v>2666</v>
      </c>
      <c r="B2667" s="63" t="n">
        <v>46291.8976273148</v>
      </c>
      <c r="C2667" s="64" t="n">
        <v>46291</v>
      </c>
      <c r="D2667" s="62" t="s">
        <v>358</v>
      </c>
      <c r="E2667" s="62" t="s">
        <v>3599</v>
      </c>
      <c r="F2667" s="62" t="s">
        <v>3599</v>
      </c>
      <c r="G2667" s="62" t="s">
        <v>3600</v>
      </c>
      <c r="H2667" s="62" t="s">
        <v>51</v>
      </c>
      <c r="I2667" s="62" t="s">
        <v>47</v>
      </c>
      <c r="J2667" s="62" t="s">
        <v>146</v>
      </c>
      <c r="K2667" s="62" t="s">
        <v>209</v>
      </c>
      <c r="L2667" s="62" t="s">
        <v>148</v>
      </c>
      <c r="M2667" s="62" t="n">
        <v>0</v>
      </c>
      <c r="N2667" s="62" t="n">
        <v>1</v>
      </c>
      <c r="O2667" s="62" t="n">
        <v>1</v>
      </c>
      <c r="P2667" s="62" t="n">
        <v>0</v>
      </c>
      <c r="Q2667" s="62" t="n">
        <v>1</v>
      </c>
      <c r="R2667" s="62" t="n">
        <v>0</v>
      </c>
      <c r="S2667" s="62" t="n">
        <v>0</v>
      </c>
      <c r="T2667" s="62" t="n">
        <v>0</v>
      </c>
      <c r="U2667" s="62"/>
      <c r="V2667" s="62"/>
      <c r="W2667" s="62"/>
      <c r="X2667" s="62"/>
      <c r="Y2667" s="62"/>
      <c r="Z2667" s="62" t="s">
        <v>4857</v>
      </c>
      <c r="AA2667" s="62" t="s">
        <v>4858</v>
      </c>
      <c r="AB2667" s="62" t="n">
        <v>1</v>
      </c>
      <c r="AC2667" s="62" t="n">
        <v>0</v>
      </c>
      <c r="AD2667" s="62" t="n">
        <v>1</v>
      </c>
      <c r="AE2667" s="62" t="n">
        <f aca="false">IF(AND(Dashboard!$C$9="Yes",AC2667=1),0,1)</f>
        <v>1</v>
      </c>
      <c r="AF2667" s="62" t="n">
        <v>0</v>
      </c>
    </row>
    <row r="2668" customFormat="false" ht="15" hidden="false" customHeight="false" outlineLevel="0" collapsed="false">
      <c r="A2668" s="62" t="n">
        <v>2667</v>
      </c>
      <c r="B2668" s="63" t="n">
        <v>46291.9165740741</v>
      </c>
      <c r="C2668" s="64" t="n">
        <v>46291</v>
      </c>
      <c r="D2668" s="62" t="s">
        <v>358</v>
      </c>
      <c r="E2668" s="62" t="s">
        <v>4506</v>
      </c>
      <c r="F2668" s="62" t="s">
        <v>4506</v>
      </c>
      <c r="G2668" s="62" t="s">
        <v>4507</v>
      </c>
      <c r="H2668" s="62" t="s">
        <v>44</v>
      </c>
      <c r="I2668" s="62" t="s">
        <v>49</v>
      </c>
      <c r="J2668" s="62" t="s">
        <v>146</v>
      </c>
      <c r="K2668" s="62" t="s">
        <v>147</v>
      </c>
      <c r="L2668" s="62" t="s">
        <v>148</v>
      </c>
      <c r="M2668" s="62" t="n">
        <v>0</v>
      </c>
      <c r="N2668" s="62" t="n">
        <v>1</v>
      </c>
      <c r="O2668" s="62" t="n">
        <v>1</v>
      </c>
      <c r="P2668" s="62" t="n">
        <v>1</v>
      </c>
      <c r="Q2668" s="62" t="n">
        <v>0</v>
      </c>
      <c r="R2668" s="62" t="n">
        <v>0</v>
      </c>
      <c r="S2668" s="62" t="n">
        <v>0</v>
      </c>
      <c r="T2668" s="62" t="n">
        <v>0</v>
      </c>
      <c r="U2668" s="62"/>
      <c r="V2668" s="62"/>
      <c r="W2668" s="62"/>
      <c r="X2668" s="62"/>
      <c r="Y2668" s="62"/>
      <c r="Z2668" s="62" t="s">
        <v>4859</v>
      </c>
      <c r="AA2668" s="62" t="s">
        <v>4860</v>
      </c>
      <c r="AB2668" s="62" t="n">
        <v>1</v>
      </c>
      <c r="AC2668" s="62" t="n">
        <v>0</v>
      </c>
      <c r="AD2668" s="62" t="n">
        <v>1</v>
      </c>
      <c r="AE2668" s="62" t="n">
        <f aca="false">IF(AND(Dashboard!$C$9="Yes",AC2668=1),0,1)</f>
        <v>1</v>
      </c>
      <c r="AF2668" s="62" t="n">
        <v>1</v>
      </c>
    </row>
    <row r="2669" customFormat="false" ht="15" hidden="false" customHeight="false" outlineLevel="0" collapsed="false">
      <c r="A2669" s="62" t="n">
        <v>2668</v>
      </c>
      <c r="B2669" s="63" t="n">
        <v>46291.9256134259</v>
      </c>
      <c r="C2669" s="64" t="n">
        <v>46291</v>
      </c>
      <c r="D2669" s="62" t="s">
        <v>358</v>
      </c>
      <c r="E2669" s="62" t="s">
        <v>3018</v>
      </c>
      <c r="F2669" s="62" t="s">
        <v>3018</v>
      </c>
      <c r="G2669" s="62" t="s">
        <v>3019</v>
      </c>
      <c r="H2669" s="62" t="s">
        <v>58</v>
      </c>
      <c r="I2669" s="62" t="s">
        <v>49</v>
      </c>
      <c r="J2669" s="62" t="s">
        <v>146</v>
      </c>
      <c r="K2669" s="62" t="s">
        <v>175</v>
      </c>
      <c r="L2669" s="62" t="s">
        <v>148</v>
      </c>
      <c r="M2669" s="62" t="n">
        <v>0</v>
      </c>
      <c r="N2669" s="62" t="n">
        <v>1</v>
      </c>
      <c r="O2669" s="62" t="n">
        <v>1</v>
      </c>
      <c r="P2669" s="62" t="n">
        <v>1</v>
      </c>
      <c r="Q2669" s="62" t="n">
        <v>0</v>
      </c>
      <c r="R2669" s="62" t="n">
        <v>0</v>
      </c>
      <c r="S2669" s="62" t="n">
        <v>0</v>
      </c>
      <c r="T2669" s="62" t="n">
        <v>0</v>
      </c>
      <c r="U2669" s="62"/>
      <c r="V2669" s="62"/>
      <c r="W2669" s="62"/>
      <c r="X2669" s="62"/>
      <c r="Y2669" s="62"/>
      <c r="Z2669" s="62" t="s">
        <v>4861</v>
      </c>
      <c r="AA2669" s="62" t="s">
        <v>4862</v>
      </c>
      <c r="AB2669" s="62" t="n">
        <v>1</v>
      </c>
      <c r="AC2669" s="62" t="n">
        <v>0</v>
      </c>
      <c r="AD2669" s="62" t="n">
        <v>1</v>
      </c>
      <c r="AE2669" s="62" t="n">
        <f aca="false">IF(AND(Dashboard!$C$9="Yes",AC2669=1),0,1)</f>
        <v>1</v>
      </c>
      <c r="AF2669" s="62" t="n">
        <v>0</v>
      </c>
    </row>
    <row r="2670" customFormat="false" ht="15" hidden="false" customHeight="false" outlineLevel="0" collapsed="false">
      <c r="A2670" s="62" t="n">
        <v>2669</v>
      </c>
      <c r="B2670" s="63" t="n">
        <v>46291.9358680556</v>
      </c>
      <c r="C2670" s="64" t="n">
        <v>46291</v>
      </c>
      <c r="D2670" s="62" t="s">
        <v>358</v>
      </c>
      <c r="E2670" s="62" t="s">
        <v>2395</v>
      </c>
      <c r="F2670" s="62" t="s">
        <v>2395</v>
      </c>
      <c r="G2670" s="62" t="s">
        <v>2396</v>
      </c>
      <c r="H2670" s="62" t="s">
        <v>59</v>
      </c>
      <c r="I2670" s="62" t="s">
        <v>47</v>
      </c>
      <c r="J2670" s="62" t="s">
        <v>146</v>
      </c>
      <c r="K2670" s="62" t="s">
        <v>209</v>
      </c>
      <c r="L2670" s="62" t="s">
        <v>148</v>
      </c>
      <c r="M2670" s="62" t="n">
        <v>0</v>
      </c>
      <c r="N2670" s="62" t="n">
        <v>1</v>
      </c>
      <c r="O2670" s="62" t="n">
        <v>1</v>
      </c>
      <c r="P2670" s="62" t="n">
        <v>1</v>
      </c>
      <c r="Q2670" s="62" t="n">
        <v>0</v>
      </c>
      <c r="R2670" s="62" t="n">
        <v>0</v>
      </c>
      <c r="S2670" s="62" t="n">
        <v>0</v>
      </c>
      <c r="T2670" s="62" t="n">
        <v>0</v>
      </c>
      <c r="U2670" s="62"/>
      <c r="V2670" s="62"/>
      <c r="W2670" s="62"/>
      <c r="X2670" s="62"/>
      <c r="Y2670" s="62"/>
      <c r="Z2670" s="62" t="s">
        <v>4863</v>
      </c>
      <c r="AA2670" s="62" t="s">
        <v>4864</v>
      </c>
      <c r="AB2670" s="62" t="n">
        <v>1</v>
      </c>
      <c r="AC2670" s="62" t="n">
        <v>0</v>
      </c>
      <c r="AD2670" s="62" t="n">
        <v>1</v>
      </c>
      <c r="AE2670" s="62" t="n">
        <f aca="false">IF(AND(Dashboard!$C$9="Yes",AC2670=1),0,1)</f>
        <v>1</v>
      </c>
      <c r="AF2670" s="62" t="n">
        <v>1</v>
      </c>
    </row>
    <row r="2671" customFormat="false" ht="15" hidden="false" customHeight="false" outlineLevel="0" collapsed="false">
      <c r="A2671" s="62" t="n">
        <v>2670</v>
      </c>
      <c r="B2671" s="63" t="n">
        <v>46291.9455787037</v>
      </c>
      <c r="C2671" s="64" t="n">
        <v>46291</v>
      </c>
      <c r="D2671" s="62" t="s">
        <v>358</v>
      </c>
      <c r="E2671" s="62" t="s">
        <v>3928</v>
      </c>
      <c r="F2671" s="62" t="s">
        <v>3928</v>
      </c>
      <c r="G2671" s="62" t="s">
        <v>3929</v>
      </c>
      <c r="H2671" s="62" t="s">
        <v>51</v>
      </c>
      <c r="I2671" s="62" t="s">
        <v>47</v>
      </c>
      <c r="J2671" s="62" t="s">
        <v>146</v>
      </c>
      <c r="K2671" s="62" t="s">
        <v>209</v>
      </c>
      <c r="L2671" s="62" t="s">
        <v>4</v>
      </c>
      <c r="M2671" s="62" t="n">
        <v>1</v>
      </c>
      <c r="N2671" s="62" t="n">
        <v>0</v>
      </c>
      <c r="O2671" s="62" t="n">
        <v>1</v>
      </c>
      <c r="P2671" s="62" t="n">
        <v>0</v>
      </c>
      <c r="Q2671" s="62" t="n">
        <v>0</v>
      </c>
      <c r="R2671" s="62" t="n">
        <v>0</v>
      </c>
      <c r="S2671" s="62" t="n">
        <v>0</v>
      </c>
      <c r="T2671" s="62" t="n">
        <v>0</v>
      </c>
      <c r="U2671" s="62" t="s">
        <v>15</v>
      </c>
      <c r="V2671" s="62" t="s">
        <v>2057</v>
      </c>
      <c r="W2671" s="62" t="s">
        <v>2056</v>
      </c>
      <c r="X2671" s="62" t="s">
        <v>2058</v>
      </c>
      <c r="Y2671" s="62" t="s">
        <v>2399</v>
      </c>
      <c r="Z2671" s="62" t="s">
        <v>4865</v>
      </c>
      <c r="AA2671" s="62" t="s">
        <v>4866</v>
      </c>
      <c r="AB2671" s="62" t="n">
        <v>1</v>
      </c>
      <c r="AC2671" s="62" t="n">
        <v>0</v>
      </c>
      <c r="AD2671" s="62" t="n">
        <v>1</v>
      </c>
      <c r="AE2671" s="62" t="n">
        <f aca="false">IF(AND(Dashboard!$C$9="Yes",AC2671=1),0,1)</f>
        <v>1</v>
      </c>
      <c r="AF2671" s="62" t="n">
        <v>1</v>
      </c>
    </row>
    <row r="2672" customFormat="false" ht="15" hidden="false" customHeight="false" outlineLevel="0" collapsed="false">
      <c r="A2672" s="62" t="n">
        <v>2671</v>
      </c>
      <c r="B2672" s="63" t="n">
        <v>46291.9461689815</v>
      </c>
      <c r="C2672" s="64" t="n">
        <v>46291</v>
      </c>
      <c r="D2672" s="62" t="s">
        <v>358</v>
      </c>
      <c r="E2672" s="62" t="s">
        <v>3928</v>
      </c>
      <c r="F2672" s="62" t="s">
        <v>3928</v>
      </c>
      <c r="G2672" s="62" t="s">
        <v>3929</v>
      </c>
      <c r="H2672" s="62" t="s">
        <v>51</v>
      </c>
      <c r="I2672" s="62" t="s">
        <v>47</v>
      </c>
      <c r="J2672" s="62" t="s">
        <v>146</v>
      </c>
      <c r="K2672" s="62" t="s">
        <v>209</v>
      </c>
      <c r="L2672" s="62" t="s">
        <v>148</v>
      </c>
      <c r="M2672" s="62" t="n">
        <v>0</v>
      </c>
      <c r="N2672" s="62" t="n">
        <v>1</v>
      </c>
      <c r="O2672" s="62" t="n">
        <v>1</v>
      </c>
      <c r="P2672" s="62" t="n">
        <v>0</v>
      </c>
      <c r="Q2672" s="62" t="n">
        <v>0</v>
      </c>
      <c r="R2672" s="62" t="n">
        <v>0</v>
      </c>
      <c r="S2672" s="62" t="n">
        <v>0</v>
      </c>
      <c r="T2672" s="62" t="n">
        <v>1</v>
      </c>
      <c r="U2672" s="62"/>
      <c r="V2672" s="62"/>
      <c r="W2672" s="62"/>
      <c r="X2672" s="62"/>
      <c r="Y2672" s="62"/>
      <c r="Z2672" s="62" t="s">
        <v>4865</v>
      </c>
      <c r="AA2672" s="62" t="s">
        <v>4866</v>
      </c>
      <c r="AB2672" s="62" t="n">
        <v>1</v>
      </c>
      <c r="AC2672" s="62" t="n">
        <v>0</v>
      </c>
      <c r="AD2672" s="62" t="n">
        <v>1</v>
      </c>
      <c r="AE2672" s="62" t="n">
        <f aca="false">IF(AND(Dashboard!$C$9="Yes",AC2672=1),0,1)</f>
        <v>1</v>
      </c>
      <c r="AF2672" s="62" t="n">
        <v>0</v>
      </c>
    </row>
    <row r="2673" customFormat="false" ht="15" hidden="false" customHeight="false" outlineLevel="0" collapsed="false">
      <c r="A2673" s="62" t="n">
        <v>2672</v>
      </c>
      <c r="B2673" s="63" t="n">
        <v>46291.9484953704</v>
      </c>
      <c r="C2673" s="64" t="n">
        <v>46291</v>
      </c>
      <c r="D2673" s="62" t="s">
        <v>358</v>
      </c>
      <c r="E2673" s="62" t="s">
        <v>1005</v>
      </c>
      <c r="F2673" s="62" t="s">
        <v>1005</v>
      </c>
      <c r="G2673" s="62" t="s">
        <v>1006</v>
      </c>
      <c r="H2673" s="62" t="s">
        <v>46</v>
      </c>
      <c r="I2673" s="62" t="s">
        <v>47</v>
      </c>
      <c r="J2673" s="62" t="s">
        <v>146</v>
      </c>
      <c r="K2673" s="62" t="s">
        <v>209</v>
      </c>
      <c r="L2673" s="62" t="s">
        <v>148</v>
      </c>
      <c r="M2673" s="62" t="n">
        <v>0</v>
      </c>
      <c r="N2673" s="62" t="n">
        <v>1</v>
      </c>
      <c r="O2673" s="62" t="n">
        <v>1</v>
      </c>
      <c r="P2673" s="62" t="n">
        <v>1</v>
      </c>
      <c r="Q2673" s="62" t="n">
        <v>0</v>
      </c>
      <c r="R2673" s="62" t="n">
        <v>0</v>
      </c>
      <c r="S2673" s="62" t="n">
        <v>0</v>
      </c>
      <c r="T2673" s="62" t="n">
        <v>0</v>
      </c>
      <c r="U2673" s="62"/>
      <c r="V2673" s="62"/>
      <c r="W2673" s="62"/>
      <c r="X2673" s="62"/>
      <c r="Y2673" s="62"/>
      <c r="Z2673" s="62" t="s">
        <v>4867</v>
      </c>
      <c r="AA2673" s="62" t="s">
        <v>485</v>
      </c>
      <c r="AB2673" s="62" t="n">
        <v>0</v>
      </c>
      <c r="AC2673" s="62" t="n">
        <v>0</v>
      </c>
      <c r="AD2673" s="62" t="n">
        <v>1</v>
      </c>
      <c r="AE2673" s="62" t="n">
        <f aca="false">IF(AND(Dashboard!$C$9="Yes",AC2673=1),0,1)</f>
        <v>1</v>
      </c>
      <c r="AF2673" s="62" t="n">
        <v>0</v>
      </c>
    </row>
    <row r="2674" customFormat="false" ht="15" hidden="false" customHeight="false" outlineLevel="0" collapsed="false">
      <c r="A2674" s="62" t="n">
        <v>2673</v>
      </c>
      <c r="B2674" s="63" t="n">
        <v>46291.9539236111</v>
      </c>
      <c r="C2674" s="64" t="n">
        <v>46291</v>
      </c>
      <c r="D2674" s="62" t="s">
        <v>358</v>
      </c>
      <c r="E2674" s="62" t="s">
        <v>2183</v>
      </c>
      <c r="F2674" s="62" t="s">
        <v>2183</v>
      </c>
      <c r="G2674" s="62" t="s">
        <v>2184</v>
      </c>
      <c r="H2674" s="62" t="s">
        <v>59</v>
      </c>
      <c r="I2674" s="62" t="s">
        <v>47</v>
      </c>
      <c r="J2674" s="62" t="s">
        <v>146</v>
      </c>
      <c r="K2674" s="62" t="s">
        <v>209</v>
      </c>
      <c r="L2674" s="62" t="s">
        <v>148</v>
      </c>
      <c r="M2674" s="62" t="n">
        <v>0</v>
      </c>
      <c r="N2674" s="62" t="n">
        <v>1</v>
      </c>
      <c r="O2674" s="62" t="n">
        <v>1</v>
      </c>
      <c r="P2674" s="62" t="n">
        <v>1</v>
      </c>
      <c r="Q2674" s="62" t="n">
        <v>0</v>
      </c>
      <c r="R2674" s="62" t="n">
        <v>0</v>
      </c>
      <c r="S2674" s="62" t="n">
        <v>0</v>
      </c>
      <c r="T2674" s="62" t="n">
        <v>0</v>
      </c>
      <c r="U2674" s="62"/>
      <c r="V2674" s="62"/>
      <c r="W2674" s="62"/>
      <c r="X2674" s="62"/>
      <c r="Y2674" s="62"/>
      <c r="Z2674" s="62" t="s">
        <v>4868</v>
      </c>
      <c r="AA2674" s="62" t="s">
        <v>4869</v>
      </c>
      <c r="AB2674" s="62" t="n">
        <v>1</v>
      </c>
      <c r="AC2674" s="62" t="n">
        <v>0</v>
      </c>
      <c r="AD2674" s="62" t="n">
        <v>1</v>
      </c>
      <c r="AE2674" s="62" t="n">
        <f aca="false">IF(AND(Dashboard!$C$9="Yes",AC2674=1),0,1)</f>
        <v>1</v>
      </c>
      <c r="AF2674" s="62" t="n">
        <v>1</v>
      </c>
    </row>
    <row r="2675" customFormat="false" ht="15" hidden="false" customHeight="false" outlineLevel="0" collapsed="false">
      <c r="A2675" s="62" t="n">
        <v>2674</v>
      </c>
      <c r="B2675" s="63" t="n">
        <v>46291.9574305556</v>
      </c>
      <c r="C2675" s="64" t="n">
        <v>46291</v>
      </c>
      <c r="D2675" s="62" t="s">
        <v>358</v>
      </c>
      <c r="E2675" s="62" t="s">
        <v>2943</v>
      </c>
      <c r="F2675" s="62" t="s">
        <v>2943</v>
      </c>
      <c r="G2675" s="62" t="s">
        <v>2944</v>
      </c>
      <c r="H2675" s="62" t="s">
        <v>48</v>
      </c>
      <c r="I2675" s="62" t="s">
        <v>49</v>
      </c>
      <c r="J2675" s="62" t="s">
        <v>146</v>
      </c>
      <c r="K2675" s="62" t="s">
        <v>209</v>
      </c>
      <c r="L2675" s="62" t="s">
        <v>148</v>
      </c>
      <c r="M2675" s="62" t="n">
        <v>0</v>
      </c>
      <c r="N2675" s="62" t="n">
        <v>1</v>
      </c>
      <c r="O2675" s="62" t="n">
        <v>1</v>
      </c>
      <c r="P2675" s="62" t="n">
        <v>0</v>
      </c>
      <c r="Q2675" s="62" t="n">
        <v>1</v>
      </c>
      <c r="R2675" s="62" t="n">
        <v>0</v>
      </c>
      <c r="S2675" s="62" t="n">
        <v>0</v>
      </c>
      <c r="T2675" s="62" t="n">
        <v>0</v>
      </c>
      <c r="U2675" s="62"/>
      <c r="V2675" s="62"/>
      <c r="W2675" s="62"/>
      <c r="X2675" s="62"/>
      <c r="Y2675" s="62"/>
      <c r="Z2675" s="62" t="s">
        <v>4870</v>
      </c>
      <c r="AA2675" s="62" t="s">
        <v>4871</v>
      </c>
      <c r="AB2675" s="62" t="n">
        <v>1</v>
      </c>
      <c r="AC2675" s="62" t="n">
        <v>0</v>
      </c>
      <c r="AD2675" s="62" t="n">
        <v>1</v>
      </c>
      <c r="AE2675" s="62" t="n">
        <f aca="false">IF(AND(Dashboard!$C$9="Yes",AC2675=1),0,1)</f>
        <v>1</v>
      </c>
      <c r="AF2675" s="62" t="n">
        <v>1</v>
      </c>
    </row>
    <row r="2676" customFormat="false" ht="15" hidden="false" customHeight="false" outlineLevel="0" collapsed="false">
      <c r="A2676" s="62" t="n">
        <v>2675</v>
      </c>
      <c r="B2676" s="63" t="n">
        <v>46291.9588888889</v>
      </c>
      <c r="C2676" s="64" t="n">
        <v>46291</v>
      </c>
      <c r="D2676" s="62" t="s">
        <v>358</v>
      </c>
      <c r="E2676" s="62" t="s">
        <v>164</v>
      </c>
      <c r="F2676" s="62" t="s">
        <v>164</v>
      </c>
      <c r="G2676" s="62" t="s">
        <v>165</v>
      </c>
      <c r="H2676" s="62" t="s">
        <v>51</v>
      </c>
      <c r="I2676" s="62" t="s">
        <v>47</v>
      </c>
      <c r="J2676" s="62" t="s">
        <v>146</v>
      </c>
      <c r="K2676" s="62" t="s">
        <v>147</v>
      </c>
      <c r="L2676" s="62" t="s">
        <v>4</v>
      </c>
      <c r="M2676" s="62" t="n">
        <v>1</v>
      </c>
      <c r="N2676" s="62" t="n">
        <v>0</v>
      </c>
      <c r="O2676" s="62" t="n">
        <v>1</v>
      </c>
      <c r="P2676" s="62" t="n">
        <v>0</v>
      </c>
      <c r="Q2676" s="62" t="n">
        <v>0</v>
      </c>
      <c r="R2676" s="62" t="n">
        <v>0</v>
      </c>
      <c r="S2676" s="62" t="n">
        <v>0</v>
      </c>
      <c r="T2676" s="62" t="n">
        <v>0</v>
      </c>
      <c r="U2676" s="62" t="s">
        <v>15</v>
      </c>
      <c r="V2676" s="62" t="s">
        <v>2068</v>
      </c>
      <c r="W2676" s="62"/>
      <c r="X2676" s="62" t="s">
        <v>2125</v>
      </c>
      <c r="Y2676" s="62" t="s">
        <v>2103</v>
      </c>
      <c r="Z2676" s="62" t="s">
        <v>4872</v>
      </c>
      <c r="AA2676" s="62" t="s">
        <v>4873</v>
      </c>
      <c r="AB2676" s="62" t="n">
        <v>1</v>
      </c>
      <c r="AC2676" s="62" t="n">
        <v>0</v>
      </c>
      <c r="AD2676" s="62" t="n">
        <v>1</v>
      </c>
      <c r="AE2676" s="62" t="n">
        <f aca="false">IF(AND(Dashboard!$C$9="Yes",AC2676=1),0,1)</f>
        <v>1</v>
      </c>
      <c r="AF2676" s="62" t="n">
        <v>1</v>
      </c>
    </row>
    <row r="2677" customFormat="false" ht="15" hidden="false" customHeight="false" outlineLevel="0" collapsed="false">
      <c r="A2677" s="62" t="n">
        <v>2676</v>
      </c>
      <c r="B2677" s="63" t="n">
        <v>46291.959525463</v>
      </c>
      <c r="C2677" s="64" t="n">
        <v>46291</v>
      </c>
      <c r="D2677" s="62" t="s">
        <v>358</v>
      </c>
      <c r="E2677" s="62" t="s">
        <v>164</v>
      </c>
      <c r="F2677" s="62" t="s">
        <v>164</v>
      </c>
      <c r="G2677" s="62" t="s">
        <v>165</v>
      </c>
      <c r="H2677" s="62" t="s">
        <v>51</v>
      </c>
      <c r="I2677" s="62" t="s">
        <v>47</v>
      </c>
      <c r="J2677" s="62" t="s">
        <v>146</v>
      </c>
      <c r="K2677" s="62" t="s">
        <v>147</v>
      </c>
      <c r="L2677" s="62" t="s">
        <v>4</v>
      </c>
      <c r="M2677" s="62" t="n">
        <v>1</v>
      </c>
      <c r="N2677" s="62" t="n">
        <v>0</v>
      </c>
      <c r="O2677" s="62" t="n">
        <v>1</v>
      </c>
      <c r="P2677" s="62" t="n">
        <v>0</v>
      </c>
      <c r="Q2677" s="62" t="n">
        <v>0</v>
      </c>
      <c r="R2677" s="62" t="n">
        <v>0</v>
      </c>
      <c r="S2677" s="62" t="n">
        <v>0</v>
      </c>
      <c r="T2677" s="62" t="n">
        <v>0</v>
      </c>
      <c r="U2677" s="62" t="s">
        <v>15</v>
      </c>
      <c r="V2677" s="62" t="s">
        <v>2068</v>
      </c>
      <c r="W2677" s="62"/>
      <c r="X2677" s="62" t="s">
        <v>2125</v>
      </c>
      <c r="Y2677" s="62" t="s">
        <v>2103</v>
      </c>
      <c r="Z2677" s="62" t="s">
        <v>4872</v>
      </c>
      <c r="AA2677" s="62" t="s">
        <v>4873</v>
      </c>
      <c r="AB2677" s="62" t="n">
        <v>1</v>
      </c>
      <c r="AC2677" s="62" t="n">
        <v>1</v>
      </c>
      <c r="AD2677" s="62" t="n">
        <v>1</v>
      </c>
      <c r="AE2677" s="62" t="n">
        <f aca="false">IF(AND(Dashboard!$C$9="Yes",AC2677=1),0,1)</f>
        <v>0</v>
      </c>
      <c r="AF2677" s="62" t="n">
        <v>0</v>
      </c>
    </row>
    <row r="2678" customFormat="false" ht="15" hidden="false" customHeight="false" outlineLevel="0" collapsed="false">
      <c r="A2678" s="62" t="n">
        <v>2677</v>
      </c>
      <c r="B2678" s="63" t="n">
        <v>46291.9611805556</v>
      </c>
      <c r="C2678" s="64" t="n">
        <v>46291</v>
      </c>
      <c r="D2678" s="62" t="s">
        <v>358</v>
      </c>
      <c r="E2678" s="62" t="s">
        <v>790</v>
      </c>
      <c r="F2678" s="62" t="s">
        <v>791</v>
      </c>
      <c r="G2678" s="62" t="s">
        <v>153</v>
      </c>
      <c r="H2678" s="62" t="s">
        <v>153</v>
      </c>
      <c r="I2678" s="62" t="s">
        <v>153</v>
      </c>
      <c r="J2678" s="62" t="s">
        <v>64</v>
      </c>
      <c r="K2678" s="62" t="s">
        <v>64</v>
      </c>
      <c r="L2678" s="62" t="s">
        <v>148</v>
      </c>
      <c r="M2678" s="62" t="n">
        <v>0</v>
      </c>
      <c r="N2678" s="62" t="n">
        <v>1</v>
      </c>
      <c r="O2678" s="62" t="n">
        <v>1</v>
      </c>
      <c r="P2678" s="62" t="n">
        <v>1</v>
      </c>
      <c r="Q2678" s="62" t="n">
        <v>0</v>
      </c>
      <c r="R2678" s="62" t="n">
        <v>0</v>
      </c>
      <c r="S2678" s="62" t="n">
        <v>0</v>
      </c>
      <c r="T2678" s="62" t="n">
        <v>0</v>
      </c>
      <c r="U2678" s="62"/>
      <c r="V2678" s="62"/>
      <c r="W2678" s="62"/>
      <c r="X2678" s="62"/>
      <c r="Y2678" s="62"/>
      <c r="Z2678" s="62" t="s">
        <v>4874</v>
      </c>
      <c r="AA2678" s="62" t="s">
        <v>4875</v>
      </c>
      <c r="AB2678" s="62" t="n">
        <v>1</v>
      </c>
      <c r="AC2678" s="62" t="n">
        <v>0</v>
      </c>
      <c r="AD2678" s="62" t="n">
        <v>0</v>
      </c>
      <c r="AE2678" s="62" t="n">
        <f aca="false">IF(AND(Dashboard!$C$9="Yes",AC2678=1),0,1)</f>
        <v>1</v>
      </c>
      <c r="AF2678" s="62" t="n">
        <v>1</v>
      </c>
    </row>
    <row r="2679" customFormat="false" ht="15" hidden="false" customHeight="false" outlineLevel="0" collapsed="false">
      <c r="A2679" s="62" t="n">
        <v>2678</v>
      </c>
      <c r="B2679" s="63" t="n">
        <v>46291.9616898148</v>
      </c>
      <c r="C2679" s="64" t="n">
        <v>46291</v>
      </c>
      <c r="D2679" s="62" t="s">
        <v>358</v>
      </c>
      <c r="E2679" s="62" t="s">
        <v>164</v>
      </c>
      <c r="F2679" s="62" t="s">
        <v>164</v>
      </c>
      <c r="G2679" s="62" t="s">
        <v>165</v>
      </c>
      <c r="H2679" s="62" t="s">
        <v>51</v>
      </c>
      <c r="I2679" s="62" t="s">
        <v>47</v>
      </c>
      <c r="J2679" s="62" t="s">
        <v>146</v>
      </c>
      <c r="K2679" s="62" t="s">
        <v>147</v>
      </c>
      <c r="L2679" s="62" t="s">
        <v>4</v>
      </c>
      <c r="M2679" s="62" t="n">
        <v>1</v>
      </c>
      <c r="N2679" s="62" t="n">
        <v>0</v>
      </c>
      <c r="O2679" s="62" t="n">
        <v>1</v>
      </c>
      <c r="P2679" s="62" t="n">
        <v>0</v>
      </c>
      <c r="Q2679" s="62" t="n">
        <v>0</v>
      </c>
      <c r="R2679" s="62" t="n">
        <v>0</v>
      </c>
      <c r="S2679" s="62" t="n">
        <v>0</v>
      </c>
      <c r="T2679" s="62" t="n">
        <v>0</v>
      </c>
      <c r="U2679" s="62" t="s">
        <v>15</v>
      </c>
      <c r="V2679" s="62" t="s">
        <v>2068</v>
      </c>
      <c r="W2679" s="62"/>
      <c r="X2679" s="62" t="s">
        <v>2125</v>
      </c>
      <c r="Y2679" s="62" t="s">
        <v>2103</v>
      </c>
      <c r="Z2679" s="62" t="s">
        <v>4872</v>
      </c>
      <c r="AA2679" s="62" t="s">
        <v>4873</v>
      </c>
      <c r="AB2679" s="62" t="n">
        <v>1</v>
      </c>
      <c r="AC2679" s="62" t="n">
        <v>1</v>
      </c>
      <c r="AD2679" s="62" t="n">
        <v>1</v>
      </c>
      <c r="AE2679" s="62" t="n">
        <f aca="false">IF(AND(Dashboard!$C$9="Yes",AC2679=1),0,1)</f>
        <v>0</v>
      </c>
      <c r="AF2679" s="62" t="n">
        <v>0</v>
      </c>
    </row>
    <row r="2680" customFormat="false" ht="15" hidden="false" customHeight="false" outlineLevel="0" collapsed="false">
      <c r="A2680" s="62" t="n">
        <v>2679</v>
      </c>
      <c r="B2680" s="63" t="n">
        <v>46291.9677546296</v>
      </c>
      <c r="C2680" s="64" t="n">
        <v>46291</v>
      </c>
      <c r="D2680" s="62" t="s">
        <v>358</v>
      </c>
      <c r="E2680" s="62" t="s">
        <v>2385</v>
      </c>
      <c r="F2680" s="62" t="s">
        <v>2385</v>
      </c>
      <c r="G2680" s="62" t="s">
        <v>2386</v>
      </c>
      <c r="H2680" s="62" t="s">
        <v>59</v>
      </c>
      <c r="I2680" s="62" t="s">
        <v>47</v>
      </c>
      <c r="J2680" s="62" t="s">
        <v>146</v>
      </c>
      <c r="K2680" s="62" t="s">
        <v>209</v>
      </c>
      <c r="L2680" s="62" t="s">
        <v>148</v>
      </c>
      <c r="M2680" s="62" t="n">
        <v>0</v>
      </c>
      <c r="N2680" s="62" t="n">
        <v>1</v>
      </c>
      <c r="O2680" s="62" t="n">
        <v>1</v>
      </c>
      <c r="P2680" s="62" t="n">
        <v>1</v>
      </c>
      <c r="Q2680" s="62" t="n">
        <v>0</v>
      </c>
      <c r="R2680" s="62" t="n">
        <v>0</v>
      </c>
      <c r="S2680" s="62" t="n">
        <v>0</v>
      </c>
      <c r="T2680" s="62" t="n">
        <v>0</v>
      </c>
      <c r="U2680" s="62"/>
      <c r="V2680" s="62"/>
      <c r="W2680" s="62"/>
      <c r="X2680" s="62"/>
      <c r="Y2680" s="62"/>
      <c r="Z2680" s="62" t="s">
        <v>4876</v>
      </c>
      <c r="AA2680" s="62" t="s">
        <v>4877</v>
      </c>
      <c r="AB2680" s="62" t="n">
        <v>0</v>
      </c>
      <c r="AC2680" s="62" t="n">
        <v>0</v>
      </c>
      <c r="AD2680" s="62" t="n">
        <v>1</v>
      </c>
      <c r="AE2680" s="62" t="n">
        <f aca="false">IF(AND(Dashboard!$C$9="Yes",AC2680=1),0,1)</f>
        <v>1</v>
      </c>
      <c r="AF2680" s="62" t="n">
        <v>0</v>
      </c>
    </row>
    <row r="2681" customFormat="false" ht="15" hidden="false" customHeight="false" outlineLevel="0" collapsed="false">
      <c r="A2681" s="62" t="n">
        <v>2680</v>
      </c>
      <c r="B2681" s="63" t="n">
        <v>46291.9694675926</v>
      </c>
      <c r="C2681" s="64" t="n">
        <v>46291</v>
      </c>
      <c r="D2681" s="62" t="s">
        <v>358</v>
      </c>
      <c r="E2681" s="62" t="s">
        <v>2101</v>
      </c>
      <c r="F2681" s="62" t="s">
        <v>2101</v>
      </c>
      <c r="G2681" s="62" t="s">
        <v>2102</v>
      </c>
      <c r="H2681" s="62" t="s">
        <v>52</v>
      </c>
      <c r="I2681" s="62" t="s">
        <v>47</v>
      </c>
      <c r="J2681" s="62" t="s">
        <v>146</v>
      </c>
      <c r="K2681" s="62" t="s">
        <v>147</v>
      </c>
      <c r="L2681" s="62" t="s">
        <v>148</v>
      </c>
      <c r="M2681" s="62" t="n">
        <v>0</v>
      </c>
      <c r="N2681" s="62" t="n">
        <v>2</v>
      </c>
      <c r="O2681" s="62" t="n">
        <v>2</v>
      </c>
      <c r="P2681" s="62" t="n">
        <v>1</v>
      </c>
      <c r="Q2681" s="62" t="n">
        <v>0</v>
      </c>
      <c r="R2681" s="62" t="n">
        <v>0</v>
      </c>
      <c r="S2681" s="62" t="n">
        <v>1</v>
      </c>
      <c r="T2681" s="62" t="n">
        <v>0</v>
      </c>
      <c r="U2681" s="62"/>
      <c r="V2681" s="62"/>
      <c r="W2681" s="62"/>
      <c r="X2681" s="62"/>
      <c r="Y2681" s="62"/>
      <c r="Z2681" s="62" t="s">
        <v>4878</v>
      </c>
      <c r="AA2681" s="62" t="s">
        <v>3116</v>
      </c>
      <c r="AB2681" s="62" t="n">
        <v>1</v>
      </c>
      <c r="AC2681" s="62" t="n">
        <v>0</v>
      </c>
      <c r="AD2681" s="62" t="n">
        <v>1</v>
      </c>
      <c r="AE2681" s="62" t="n">
        <f aca="false">IF(AND(Dashboard!$C$9="Yes",AC2681=1),0,1)</f>
        <v>1</v>
      </c>
      <c r="AF2681" s="62" t="n">
        <v>1</v>
      </c>
    </row>
    <row r="2682" customFormat="false" ht="15" hidden="false" customHeight="false" outlineLevel="0" collapsed="false">
      <c r="A2682" s="62" t="n">
        <v>2681</v>
      </c>
      <c r="B2682" s="63" t="n">
        <v>46291.9697337963</v>
      </c>
      <c r="C2682" s="64" t="n">
        <v>46291</v>
      </c>
      <c r="D2682" s="62" t="s">
        <v>358</v>
      </c>
      <c r="E2682" s="62" t="s">
        <v>2777</v>
      </c>
      <c r="F2682" s="62" t="s">
        <v>2777</v>
      </c>
      <c r="G2682" s="62" t="s">
        <v>2778</v>
      </c>
      <c r="H2682" s="62" t="s">
        <v>48</v>
      </c>
      <c r="I2682" s="62" t="s">
        <v>49</v>
      </c>
      <c r="J2682" s="62" t="s">
        <v>146</v>
      </c>
      <c r="K2682" s="62" t="s">
        <v>209</v>
      </c>
      <c r="L2682" s="62" t="s">
        <v>4</v>
      </c>
      <c r="M2682" s="62" t="n">
        <v>1</v>
      </c>
      <c r="N2682" s="62" t="n">
        <v>0</v>
      </c>
      <c r="O2682" s="62" t="n">
        <v>1</v>
      </c>
      <c r="P2682" s="62" t="n">
        <v>0</v>
      </c>
      <c r="Q2682" s="62" t="n">
        <v>0</v>
      </c>
      <c r="R2682" s="62" t="n">
        <v>0</v>
      </c>
      <c r="S2682" s="62" t="n">
        <v>0</v>
      </c>
      <c r="T2682" s="62" t="n">
        <v>0</v>
      </c>
      <c r="U2682" s="62" t="s">
        <v>2056</v>
      </c>
      <c r="V2682" s="62" t="s">
        <v>2057</v>
      </c>
      <c r="W2682" s="62" t="s">
        <v>2056</v>
      </c>
      <c r="X2682" s="62" t="s">
        <v>2164</v>
      </c>
      <c r="Y2682" s="62" t="s">
        <v>2165</v>
      </c>
      <c r="Z2682" s="62" t="s">
        <v>4879</v>
      </c>
      <c r="AA2682" s="62" t="s">
        <v>4880</v>
      </c>
      <c r="AB2682" s="62" t="n">
        <v>1</v>
      </c>
      <c r="AC2682" s="62" t="n">
        <v>0</v>
      </c>
      <c r="AD2682" s="62" t="n">
        <v>1</v>
      </c>
      <c r="AE2682" s="62" t="n">
        <f aca="false">IF(AND(Dashboard!$C$9="Yes",AC2682=1),0,1)</f>
        <v>1</v>
      </c>
      <c r="AF2682" s="62" t="n">
        <v>1</v>
      </c>
    </row>
    <row r="2683" customFormat="false" ht="15" hidden="false" customHeight="false" outlineLevel="0" collapsed="false">
      <c r="A2683" s="62" t="n">
        <v>2682</v>
      </c>
      <c r="B2683" s="63" t="n">
        <v>46291.972662037</v>
      </c>
      <c r="C2683" s="64" t="n">
        <v>46291</v>
      </c>
      <c r="D2683" s="62" t="s">
        <v>358</v>
      </c>
      <c r="E2683" s="62" t="s">
        <v>1155</v>
      </c>
      <c r="F2683" s="62" t="s">
        <v>1155</v>
      </c>
      <c r="G2683" s="62" t="s">
        <v>1156</v>
      </c>
      <c r="H2683" s="62" t="s">
        <v>59</v>
      </c>
      <c r="I2683" s="62" t="s">
        <v>47</v>
      </c>
      <c r="J2683" s="62" t="s">
        <v>146</v>
      </c>
      <c r="K2683" s="62" t="s">
        <v>209</v>
      </c>
      <c r="L2683" s="62" t="s">
        <v>148</v>
      </c>
      <c r="M2683" s="62" t="n">
        <v>0</v>
      </c>
      <c r="N2683" s="62" t="n">
        <v>1</v>
      </c>
      <c r="O2683" s="62" t="n">
        <v>1</v>
      </c>
      <c r="P2683" s="62" t="n">
        <v>0</v>
      </c>
      <c r="Q2683" s="62" t="n">
        <v>0</v>
      </c>
      <c r="R2683" s="62" t="n">
        <v>1</v>
      </c>
      <c r="S2683" s="62" t="n">
        <v>0</v>
      </c>
      <c r="T2683" s="62" t="n">
        <v>0</v>
      </c>
      <c r="U2683" s="62"/>
      <c r="V2683" s="62"/>
      <c r="W2683" s="62"/>
      <c r="X2683" s="62"/>
      <c r="Y2683" s="62"/>
      <c r="Z2683" s="62" t="s">
        <v>4881</v>
      </c>
      <c r="AA2683" s="62" t="s">
        <v>4882</v>
      </c>
      <c r="AB2683" s="62" t="n">
        <v>1</v>
      </c>
      <c r="AC2683" s="62" t="n">
        <v>0</v>
      </c>
      <c r="AD2683" s="62" t="n">
        <v>1</v>
      </c>
      <c r="AE2683" s="62" t="n">
        <f aca="false">IF(AND(Dashboard!$C$9="Yes",AC2683=1),0,1)</f>
        <v>1</v>
      </c>
      <c r="AF2683" s="62" t="n">
        <v>1</v>
      </c>
    </row>
    <row r="2684" customFormat="false" ht="15" hidden="false" customHeight="false" outlineLevel="0" collapsed="false">
      <c r="A2684" s="62" t="n">
        <v>2683</v>
      </c>
      <c r="B2684" s="63" t="n">
        <v>46291.9812152778</v>
      </c>
      <c r="C2684" s="64" t="n">
        <v>46291</v>
      </c>
      <c r="D2684" s="62" t="s">
        <v>358</v>
      </c>
      <c r="E2684" s="62" t="s">
        <v>1571</v>
      </c>
      <c r="F2684" s="62" t="s">
        <v>1571</v>
      </c>
      <c r="G2684" s="62" t="s">
        <v>1572</v>
      </c>
      <c r="H2684" s="62" t="s">
        <v>52</v>
      </c>
      <c r="I2684" s="62" t="s">
        <v>47</v>
      </c>
      <c r="J2684" s="62" t="s">
        <v>146</v>
      </c>
      <c r="K2684" s="62" t="s">
        <v>209</v>
      </c>
      <c r="L2684" s="62" t="s">
        <v>4</v>
      </c>
      <c r="M2684" s="62" t="n">
        <v>2</v>
      </c>
      <c r="N2684" s="62" t="n">
        <v>0</v>
      </c>
      <c r="O2684" s="62" t="n">
        <v>2</v>
      </c>
      <c r="P2684" s="62" t="n">
        <v>0</v>
      </c>
      <c r="Q2684" s="62" t="n">
        <v>0</v>
      </c>
      <c r="R2684" s="62" t="n">
        <v>0</v>
      </c>
      <c r="S2684" s="62" t="n">
        <v>0</v>
      </c>
      <c r="T2684" s="62" t="n">
        <v>0</v>
      </c>
      <c r="U2684" s="62" t="s">
        <v>2056</v>
      </c>
      <c r="V2684" s="62" t="s">
        <v>2057</v>
      </c>
      <c r="W2684" s="62" t="s">
        <v>15</v>
      </c>
      <c r="X2684" s="62" t="s">
        <v>2058</v>
      </c>
      <c r="Y2684" s="62" t="s">
        <v>2059</v>
      </c>
      <c r="Z2684" s="62" t="s">
        <v>4883</v>
      </c>
      <c r="AA2684" s="62" t="s">
        <v>4884</v>
      </c>
      <c r="AB2684" s="62" t="n">
        <v>0</v>
      </c>
      <c r="AC2684" s="62" t="n">
        <v>0</v>
      </c>
      <c r="AD2684" s="62" t="n">
        <v>1</v>
      </c>
      <c r="AE2684" s="62" t="n">
        <f aca="false">IF(AND(Dashboard!$C$9="Yes",AC2684=1),0,1)</f>
        <v>1</v>
      </c>
      <c r="AF2684" s="62" t="n">
        <v>1</v>
      </c>
    </row>
    <row r="2685" customFormat="false" ht="15" hidden="false" customHeight="false" outlineLevel="0" collapsed="false">
      <c r="A2685" s="62" t="n">
        <v>2684</v>
      </c>
      <c r="B2685" s="63" t="n">
        <v>46291.9839351852</v>
      </c>
      <c r="C2685" s="64" t="n">
        <v>46291</v>
      </c>
      <c r="D2685" s="62" t="s">
        <v>358</v>
      </c>
      <c r="E2685" s="62" t="s">
        <v>1551</v>
      </c>
      <c r="F2685" s="62" t="s">
        <v>1551</v>
      </c>
      <c r="G2685" s="62" t="s">
        <v>1552</v>
      </c>
      <c r="H2685" s="62" t="s">
        <v>52</v>
      </c>
      <c r="I2685" s="62" t="s">
        <v>47</v>
      </c>
      <c r="J2685" s="62" t="s">
        <v>146</v>
      </c>
      <c r="K2685" s="62" t="s">
        <v>209</v>
      </c>
      <c r="L2685" s="62" t="s">
        <v>4</v>
      </c>
      <c r="M2685" s="62" t="n">
        <v>1</v>
      </c>
      <c r="N2685" s="62" t="n">
        <v>0</v>
      </c>
      <c r="O2685" s="62" t="n">
        <v>1</v>
      </c>
      <c r="P2685" s="62" t="n">
        <v>0</v>
      </c>
      <c r="Q2685" s="62" t="n">
        <v>0</v>
      </c>
      <c r="R2685" s="62" t="n">
        <v>0</v>
      </c>
      <c r="S2685" s="62" t="n">
        <v>0</v>
      </c>
      <c r="T2685" s="62" t="n">
        <v>0</v>
      </c>
      <c r="U2685" s="62" t="s">
        <v>2056</v>
      </c>
      <c r="V2685" s="62" t="s">
        <v>2057</v>
      </c>
      <c r="W2685" s="62" t="s">
        <v>15</v>
      </c>
      <c r="X2685" s="62" t="s">
        <v>2125</v>
      </c>
      <c r="Y2685" s="62" t="s">
        <v>2059</v>
      </c>
      <c r="Z2685" s="62" t="s">
        <v>4885</v>
      </c>
      <c r="AA2685" s="62" t="s">
        <v>4886</v>
      </c>
      <c r="AB2685" s="62" t="n">
        <v>1</v>
      </c>
      <c r="AC2685" s="62" t="n">
        <v>0</v>
      </c>
      <c r="AD2685" s="62" t="n">
        <v>1</v>
      </c>
      <c r="AE2685" s="62" t="n">
        <f aca="false">IF(AND(Dashboard!$C$9="Yes",AC2685=1),0,1)</f>
        <v>1</v>
      </c>
      <c r="AF2685" s="62" t="n">
        <v>1</v>
      </c>
    </row>
    <row r="2686" customFormat="false" ht="15" hidden="false" customHeight="false" outlineLevel="0" collapsed="false">
      <c r="A2686" s="62" t="n">
        <v>2685</v>
      </c>
      <c r="B2686" s="63" t="n">
        <v>46291.9975462963</v>
      </c>
      <c r="C2686" s="64" t="n">
        <v>46291</v>
      </c>
      <c r="D2686" s="62" t="s">
        <v>358</v>
      </c>
      <c r="E2686" s="62" t="s">
        <v>999</v>
      </c>
      <c r="F2686" s="62" t="s">
        <v>999</v>
      </c>
      <c r="G2686" s="62" t="s">
        <v>1000</v>
      </c>
      <c r="H2686" s="62" t="s">
        <v>46</v>
      </c>
      <c r="I2686" s="62" t="s">
        <v>47</v>
      </c>
      <c r="J2686" s="62" t="s">
        <v>146</v>
      </c>
      <c r="K2686" s="62" t="s">
        <v>209</v>
      </c>
      <c r="L2686" s="62" t="s">
        <v>148</v>
      </c>
      <c r="M2686" s="62" t="n">
        <v>0</v>
      </c>
      <c r="N2686" s="62" t="n">
        <v>1</v>
      </c>
      <c r="O2686" s="62" t="n">
        <v>1</v>
      </c>
      <c r="P2686" s="62" t="n">
        <v>0</v>
      </c>
      <c r="Q2686" s="62" t="n">
        <v>1</v>
      </c>
      <c r="R2686" s="62" t="n">
        <v>0</v>
      </c>
      <c r="S2686" s="62" t="n">
        <v>0</v>
      </c>
      <c r="T2686" s="62" t="n">
        <v>0</v>
      </c>
      <c r="U2686" s="62"/>
      <c r="V2686" s="62"/>
      <c r="W2686" s="62"/>
      <c r="X2686" s="62"/>
      <c r="Y2686" s="62"/>
      <c r="Z2686" s="62" t="s">
        <v>4887</v>
      </c>
      <c r="AA2686" s="62" t="s">
        <v>4888</v>
      </c>
      <c r="AB2686" s="62" t="n">
        <v>1</v>
      </c>
      <c r="AC2686" s="62" t="n">
        <v>0</v>
      </c>
      <c r="AD2686" s="62" t="n">
        <v>1</v>
      </c>
      <c r="AE2686" s="62" t="n">
        <f aca="false">IF(AND(Dashboard!$C$9="Yes",AC2686=1),0,1)</f>
        <v>1</v>
      </c>
      <c r="AF2686" s="62" t="n">
        <v>1</v>
      </c>
    </row>
    <row r="2687" customFormat="false" ht="15" hidden="false" customHeight="false" outlineLevel="0" collapsed="false">
      <c r="A2687" s="62" t="n">
        <v>2686</v>
      </c>
      <c r="B2687" s="63" t="n">
        <v>46291.9984375</v>
      </c>
      <c r="C2687" s="64" t="n">
        <v>46291</v>
      </c>
      <c r="D2687" s="62" t="s">
        <v>358</v>
      </c>
      <c r="E2687" s="62" t="s">
        <v>4370</v>
      </c>
      <c r="F2687" s="62" t="s">
        <v>4370</v>
      </c>
      <c r="G2687" s="62" t="s">
        <v>4371</v>
      </c>
      <c r="H2687" s="62" t="s">
        <v>51</v>
      </c>
      <c r="I2687" s="62" t="s">
        <v>47</v>
      </c>
      <c r="J2687" s="62" t="s">
        <v>146</v>
      </c>
      <c r="K2687" s="62" t="s">
        <v>147</v>
      </c>
      <c r="L2687" s="62" t="s">
        <v>148</v>
      </c>
      <c r="M2687" s="62" t="n">
        <v>0</v>
      </c>
      <c r="N2687" s="62" t="n">
        <v>1</v>
      </c>
      <c r="O2687" s="62" t="n">
        <v>1</v>
      </c>
      <c r="P2687" s="62" t="n">
        <v>1</v>
      </c>
      <c r="Q2687" s="62" t="n">
        <v>0</v>
      </c>
      <c r="R2687" s="62" t="n">
        <v>0</v>
      </c>
      <c r="S2687" s="62" t="n">
        <v>0</v>
      </c>
      <c r="T2687" s="62" t="n">
        <v>0</v>
      </c>
      <c r="U2687" s="62"/>
      <c r="V2687" s="62"/>
      <c r="W2687" s="62"/>
      <c r="X2687" s="62"/>
      <c r="Y2687" s="62"/>
      <c r="Z2687" s="62" t="s">
        <v>4889</v>
      </c>
      <c r="AA2687" s="62" t="s">
        <v>4890</v>
      </c>
      <c r="AB2687" s="62" t="n">
        <v>0</v>
      </c>
      <c r="AC2687" s="62" t="n">
        <v>0</v>
      </c>
      <c r="AD2687" s="62" t="n">
        <v>1</v>
      </c>
      <c r="AE2687" s="62" t="n">
        <f aca="false">IF(AND(Dashboard!$C$9="Yes",AC2687=1),0,1)</f>
        <v>1</v>
      </c>
      <c r="AF2687" s="62" t="n">
        <v>1</v>
      </c>
    </row>
    <row r="2688" customFormat="false" ht="15" hidden="false" customHeight="false" outlineLevel="0" collapsed="false">
      <c r="A2688" s="62" t="n">
        <v>2687</v>
      </c>
      <c r="B2688" s="63" t="n">
        <v>46292.0011226852</v>
      </c>
      <c r="C2688" s="64" t="n">
        <v>46291</v>
      </c>
      <c r="D2688" s="62" t="s">
        <v>358</v>
      </c>
      <c r="E2688" s="62" t="s">
        <v>2583</v>
      </c>
      <c r="F2688" s="62" t="s">
        <v>2583</v>
      </c>
      <c r="G2688" s="62" t="s">
        <v>2584</v>
      </c>
      <c r="H2688" s="62" t="s">
        <v>59</v>
      </c>
      <c r="I2688" s="62" t="s">
        <v>47</v>
      </c>
      <c r="J2688" s="62" t="s">
        <v>146</v>
      </c>
      <c r="K2688" s="62" t="s">
        <v>147</v>
      </c>
      <c r="L2688" s="62" t="s">
        <v>4</v>
      </c>
      <c r="M2688" s="62" t="n">
        <v>1</v>
      </c>
      <c r="N2688" s="62" t="n">
        <v>0</v>
      </c>
      <c r="O2688" s="62" t="n">
        <v>1</v>
      </c>
      <c r="P2688" s="62" t="n">
        <v>0</v>
      </c>
      <c r="Q2688" s="62" t="n">
        <v>0</v>
      </c>
      <c r="R2688" s="62" t="n">
        <v>0</v>
      </c>
      <c r="S2688" s="62" t="n">
        <v>0</v>
      </c>
      <c r="T2688" s="62" t="n">
        <v>0</v>
      </c>
      <c r="U2688" s="62" t="s">
        <v>2056</v>
      </c>
      <c r="V2688" s="62" t="s">
        <v>2057</v>
      </c>
      <c r="W2688" s="62" t="s">
        <v>15</v>
      </c>
      <c r="X2688" s="62"/>
      <c r="Y2688" s="62"/>
      <c r="Z2688" s="62" t="s">
        <v>4891</v>
      </c>
      <c r="AA2688" s="62" t="s">
        <v>4892</v>
      </c>
      <c r="AB2688" s="62" t="n">
        <v>1</v>
      </c>
      <c r="AC2688" s="62" t="n">
        <v>0</v>
      </c>
      <c r="AD2688" s="62" t="n">
        <v>1</v>
      </c>
      <c r="AE2688" s="62" t="n">
        <f aca="false">IF(AND(Dashboard!$C$9="Yes",AC2688=1),0,1)</f>
        <v>1</v>
      </c>
      <c r="AF2688" s="62" t="n">
        <v>0</v>
      </c>
    </row>
    <row r="2689" customFormat="false" ht="15" hidden="false" customHeight="false" outlineLevel="0" collapsed="false">
      <c r="A2689" s="62" t="n">
        <v>2688</v>
      </c>
      <c r="B2689" s="63" t="n">
        <v>46292.0183796296</v>
      </c>
      <c r="C2689" s="64" t="n">
        <v>46291</v>
      </c>
      <c r="D2689" s="62" t="s">
        <v>358</v>
      </c>
      <c r="E2689" s="62" t="s">
        <v>207</v>
      </c>
      <c r="F2689" s="62" t="s">
        <v>207</v>
      </c>
      <c r="G2689" s="62" t="s">
        <v>208</v>
      </c>
      <c r="H2689" s="62" t="s">
        <v>48</v>
      </c>
      <c r="I2689" s="62" t="s">
        <v>49</v>
      </c>
      <c r="J2689" s="62" t="s">
        <v>146</v>
      </c>
      <c r="K2689" s="62" t="s">
        <v>209</v>
      </c>
      <c r="L2689" s="62" t="s">
        <v>148</v>
      </c>
      <c r="M2689" s="62" t="n">
        <v>0</v>
      </c>
      <c r="N2689" s="62" t="n">
        <v>2</v>
      </c>
      <c r="O2689" s="62" t="n">
        <v>2</v>
      </c>
      <c r="P2689" s="62" t="n">
        <v>1</v>
      </c>
      <c r="Q2689" s="62" t="n">
        <v>1</v>
      </c>
      <c r="R2689" s="62" t="n">
        <v>0</v>
      </c>
      <c r="S2689" s="62" t="n">
        <v>0</v>
      </c>
      <c r="T2689" s="62" t="n">
        <v>0</v>
      </c>
      <c r="U2689" s="62"/>
      <c r="V2689" s="62"/>
      <c r="W2689" s="62"/>
      <c r="X2689" s="62"/>
      <c r="Y2689" s="62"/>
      <c r="Z2689" s="62" t="s">
        <v>4893</v>
      </c>
      <c r="AA2689" s="62" t="s">
        <v>4894</v>
      </c>
      <c r="AB2689" s="62" t="n">
        <v>1</v>
      </c>
      <c r="AC2689" s="62" t="n">
        <v>0</v>
      </c>
      <c r="AD2689" s="62" t="n">
        <v>1</v>
      </c>
      <c r="AE2689" s="62" t="n">
        <f aca="false">IF(AND(Dashboard!$C$9="Yes",AC2689=1),0,1)</f>
        <v>1</v>
      </c>
      <c r="AF2689" s="62" t="n">
        <v>1</v>
      </c>
    </row>
    <row r="2690" customFormat="false" ht="15" hidden="false" customHeight="false" outlineLevel="0" collapsed="false">
      <c r="A2690" s="62" t="n">
        <v>2689</v>
      </c>
      <c r="B2690" s="63" t="n">
        <v>46292.0241435185</v>
      </c>
      <c r="C2690" s="64" t="n">
        <v>46291</v>
      </c>
      <c r="D2690" s="62" t="s">
        <v>358</v>
      </c>
      <c r="E2690" s="62" t="s">
        <v>1827</v>
      </c>
      <c r="F2690" s="62" t="s">
        <v>1827</v>
      </c>
      <c r="G2690" s="62" t="s">
        <v>1828</v>
      </c>
      <c r="H2690" s="62" t="s">
        <v>59</v>
      </c>
      <c r="I2690" s="62" t="s">
        <v>47</v>
      </c>
      <c r="J2690" s="62" t="s">
        <v>146</v>
      </c>
      <c r="K2690" s="62" t="s">
        <v>209</v>
      </c>
      <c r="L2690" s="62" t="s">
        <v>4</v>
      </c>
      <c r="M2690" s="62" t="n">
        <v>1</v>
      </c>
      <c r="N2690" s="62" t="n">
        <v>0</v>
      </c>
      <c r="O2690" s="62" t="n">
        <v>1</v>
      </c>
      <c r="P2690" s="62" t="n">
        <v>0</v>
      </c>
      <c r="Q2690" s="62" t="n">
        <v>0</v>
      </c>
      <c r="R2690" s="62" t="n">
        <v>0</v>
      </c>
      <c r="S2690" s="62" t="n">
        <v>0</v>
      </c>
      <c r="T2690" s="62" t="n">
        <v>0</v>
      </c>
      <c r="U2690" s="62" t="s">
        <v>2056</v>
      </c>
      <c r="V2690" s="62" t="s">
        <v>2057</v>
      </c>
      <c r="W2690" s="62" t="s">
        <v>2056</v>
      </c>
      <c r="X2690" s="62" t="s">
        <v>2058</v>
      </c>
      <c r="Y2690" s="62" t="s">
        <v>2399</v>
      </c>
      <c r="Z2690" s="62" t="s">
        <v>4895</v>
      </c>
      <c r="AA2690" s="62" t="s">
        <v>4896</v>
      </c>
      <c r="AB2690" s="62" t="n">
        <v>1</v>
      </c>
      <c r="AC2690" s="62" t="n">
        <v>0</v>
      </c>
      <c r="AD2690" s="62" t="n">
        <v>1</v>
      </c>
      <c r="AE2690" s="62" t="n">
        <f aca="false">IF(AND(Dashboard!$C$9="Yes",AC2690=1),0,1)</f>
        <v>1</v>
      </c>
      <c r="AF2690" s="62" t="n">
        <v>1</v>
      </c>
    </row>
    <row r="2691" customFormat="false" ht="15" hidden="false" customHeight="false" outlineLevel="0" collapsed="false">
      <c r="A2691" s="62" t="n">
        <v>2690</v>
      </c>
      <c r="B2691" s="63" t="n">
        <v>46292.0405324074</v>
      </c>
      <c r="C2691" s="64" t="n">
        <v>46291</v>
      </c>
      <c r="D2691" s="62" t="s">
        <v>358</v>
      </c>
      <c r="E2691" s="62" t="s">
        <v>3022</v>
      </c>
      <c r="F2691" s="62" t="s">
        <v>3022</v>
      </c>
      <c r="G2691" s="62" t="s">
        <v>3023</v>
      </c>
      <c r="H2691" s="62" t="s">
        <v>46</v>
      </c>
      <c r="I2691" s="62" t="s">
        <v>47</v>
      </c>
      <c r="J2691" s="62" t="s">
        <v>146</v>
      </c>
      <c r="K2691" s="62" t="s">
        <v>209</v>
      </c>
      <c r="L2691" s="62" t="s">
        <v>148</v>
      </c>
      <c r="M2691" s="62" t="n">
        <v>0</v>
      </c>
      <c r="N2691" s="62" t="n">
        <v>1</v>
      </c>
      <c r="O2691" s="62" t="n">
        <v>1</v>
      </c>
      <c r="P2691" s="62" t="n">
        <v>0</v>
      </c>
      <c r="Q2691" s="62" t="n">
        <v>0</v>
      </c>
      <c r="R2691" s="62" t="n">
        <v>0</v>
      </c>
      <c r="S2691" s="62" t="n">
        <v>0</v>
      </c>
      <c r="T2691" s="62" t="n">
        <v>1</v>
      </c>
      <c r="U2691" s="62"/>
      <c r="V2691" s="62"/>
      <c r="W2691" s="62"/>
      <c r="X2691" s="62"/>
      <c r="Y2691" s="62"/>
      <c r="Z2691" s="62" t="s">
        <v>4897</v>
      </c>
      <c r="AA2691" s="62" t="s">
        <v>337</v>
      </c>
      <c r="AB2691" s="62" t="n">
        <v>0</v>
      </c>
      <c r="AC2691" s="62" t="n">
        <v>0</v>
      </c>
      <c r="AD2691" s="62" t="n">
        <v>1</v>
      </c>
      <c r="AE2691" s="62" t="n">
        <f aca="false">IF(AND(Dashboard!$C$9="Yes",AC2691=1),0,1)</f>
        <v>1</v>
      </c>
      <c r="AF2691" s="62" t="n">
        <v>1</v>
      </c>
    </row>
    <row r="2692" customFormat="false" ht="15" hidden="false" customHeight="false" outlineLevel="0" collapsed="false">
      <c r="A2692" s="62" t="n">
        <v>2691</v>
      </c>
      <c r="B2692" s="63" t="n">
        <v>46292.0417939815</v>
      </c>
      <c r="C2692" s="64" t="n">
        <v>46291</v>
      </c>
      <c r="D2692" s="62" t="s">
        <v>358</v>
      </c>
      <c r="E2692" s="62" t="s">
        <v>3869</v>
      </c>
      <c r="F2692" s="62" t="s">
        <v>3869</v>
      </c>
      <c r="G2692" s="62" t="s">
        <v>3870</v>
      </c>
      <c r="H2692" s="62" t="s">
        <v>59</v>
      </c>
      <c r="I2692" s="62" t="s">
        <v>47</v>
      </c>
      <c r="J2692" s="62" t="s">
        <v>146</v>
      </c>
      <c r="K2692" s="62" t="s">
        <v>209</v>
      </c>
      <c r="L2692" s="62" t="s">
        <v>4</v>
      </c>
      <c r="M2692" s="62" t="n">
        <v>1</v>
      </c>
      <c r="N2692" s="62" t="n">
        <v>0</v>
      </c>
      <c r="O2692" s="62" t="n">
        <v>1</v>
      </c>
      <c r="P2692" s="62" t="n">
        <v>0</v>
      </c>
      <c r="Q2692" s="62" t="n">
        <v>0</v>
      </c>
      <c r="R2692" s="62" t="n">
        <v>0</v>
      </c>
      <c r="S2692" s="62" t="n">
        <v>0</v>
      </c>
      <c r="T2692" s="62" t="n">
        <v>0</v>
      </c>
      <c r="U2692" s="62" t="s">
        <v>15</v>
      </c>
      <c r="V2692" s="62" t="s">
        <v>2057</v>
      </c>
      <c r="W2692" s="62" t="s">
        <v>15</v>
      </c>
      <c r="X2692" s="62" t="s">
        <v>2058</v>
      </c>
      <c r="Y2692" s="62" t="s">
        <v>2059</v>
      </c>
      <c r="Z2692" s="62" t="s">
        <v>4898</v>
      </c>
      <c r="AA2692" s="62" t="s">
        <v>4899</v>
      </c>
      <c r="AB2692" s="62" t="n">
        <v>1</v>
      </c>
      <c r="AC2692" s="62" t="n">
        <v>0</v>
      </c>
      <c r="AD2692" s="62" t="n">
        <v>1</v>
      </c>
      <c r="AE2692" s="62" t="n">
        <f aca="false">IF(AND(Dashboard!$C$9="Yes",AC2692=1),0,1)</f>
        <v>1</v>
      </c>
      <c r="AF2692" s="62" t="n">
        <v>1</v>
      </c>
    </row>
    <row r="2693" customFormat="false" ht="15" hidden="false" customHeight="false" outlineLevel="0" collapsed="false">
      <c r="A2693" s="62" t="n">
        <v>2692</v>
      </c>
      <c r="B2693" s="63" t="n">
        <v>46292.0551157407</v>
      </c>
      <c r="C2693" s="64" t="n">
        <v>46291</v>
      </c>
      <c r="D2693" s="62" t="s">
        <v>358</v>
      </c>
      <c r="E2693" s="62" t="s">
        <v>218</v>
      </c>
      <c r="F2693" s="62" t="s">
        <v>218</v>
      </c>
      <c r="G2693" s="62" t="s">
        <v>219</v>
      </c>
      <c r="H2693" s="62" t="s">
        <v>51</v>
      </c>
      <c r="I2693" s="62" t="s">
        <v>47</v>
      </c>
      <c r="J2693" s="62" t="s">
        <v>146</v>
      </c>
      <c r="K2693" s="62" t="s">
        <v>147</v>
      </c>
      <c r="L2693" s="62" t="s">
        <v>148</v>
      </c>
      <c r="M2693" s="62" t="n">
        <v>0</v>
      </c>
      <c r="N2693" s="62" t="n">
        <v>1</v>
      </c>
      <c r="O2693" s="62" t="n">
        <v>1</v>
      </c>
      <c r="P2693" s="62" t="n">
        <v>1</v>
      </c>
      <c r="Q2693" s="62" t="n">
        <v>0</v>
      </c>
      <c r="R2693" s="62" t="n">
        <v>0</v>
      </c>
      <c r="S2693" s="62" t="n">
        <v>0</v>
      </c>
      <c r="T2693" s="62" t="n">
        <v>0</v>
      </c>
      <c r="U2693" s="62"/>
      <c r="V2693" s="62"/>
      <c r="W2693" s="62"/>
      <c r="X2693" s="62"/>
      <c r="Y2693" s="62"/>
      <c r="Z2693" s="62" t="s">
        <v>4900</v>
      </c>
      <c r="AA2693" s="62" t="s">
        <v>4901</v>
      </c>
      <c r="AB2693" s="62" t="n">
        <v>1</v>
      </c>
      <c r="AC2693" s="62" t="n">
        <v>0</v>
      </c>
      <c r="AD2693" s="62" t="n">
        <v>1</v>
      </c>
      <c r="AE2693" s="62" t="n">
        <f aca="false">IF(AND(Dashboard!$C$9="Yes",AC2693=1),0,1)</f>
        <v>1</v>
      </c>
      <c r="AF2693" s="62" t="n">
        <v>1</v>
      </c>
    </row>
    <row r="2694" customFormat="false" ht="15" hidden="false" customHeight="false" outlineLevel="0" collapsed="false">
      <c r="A2694" s="62" t="n">
        <v>2693</v>
      </c>
      <c r="B2694" s="63" t="n">
        <v>46292.0552662037</v>
      </c>
      <c r="C2694" s="64" t="n">
        <v>46291</v>
      </c>
      <c r="D2694" s="62" t="s">
        <v>358</v>
      </c>
      <c r="E2694" s="62" t="s">
        <v>2959</v>
      </c>
      <c r="F2694" s="62" t="s">
        <v>2959</v>
      </c>
      <c r="G2694" s="62" t="s">
        <v>2960</v>
      </c>
      <c r="H2694" s="62" t="s">
        <v>58</v>
      </c>
      <c r="I2694" s="62" t="s">
        <v>49</v>
      </c>
      <c r="J2694" s="62" t="s">
        <v>146</v>
      </c>
      <c r="K2694" s="62" t="s">
        <v>175</v>
      </c>
      <c r="L2694" s="62" t="s">
        <v>4</v>
      </c>
      <c r="M2694" s="62" t="n">
        <v>1</v>
      </c>
      <c r="N2694" s="62" t="n">
        <v>0</v>
      </c>
      <c r="O2694" s="62" t="n">
        <v>1</v>
      </c>
      <c r="P2694" s="62" t="n">
        <v>0</v>
      </c>
      <c r="Q2694" s="62" t="n">
        <v>0</v>
      </c>
      <c r="R2694" s="62" t="n">
        <v>0</v>
      </c>
      <c r="S2694" s="62" t="n">
        <v>0</v>
      </c>
      <c r="T2694" s="62" t="n">
        <v>0</v>
      </c>
      <c r="U2694" s="62" t="s">
        <v>2056</v>
      </c>
      <c r="V2694" s="62" t="s">
        <v>2057</v>
      </c>
      <c r="W2694" s="62" t="s">
        <v>15</v>
      </c>
      <c r="X2694" s="62" t="s">
        <v>2058</v>
      </c>
      <c r="Y2694" s="62" t="s">
        <v>2059</v>
      </c>
      <c r="Z2694" s="62" t="s">
        <v>4902</v>
      </c>
      <c r="AA2694" s="62" t="s">
        <v>4903</v>
      </c>
      <c r="AB2694" s="62" t="n">
        <v>1</v>
      </c>
      <c r="AC2694" s="62" t="n">
        <v>0</v>
      </c>
      <c r="AD2694" s="62" t="n">
        <v>1</v>
      </c>
      <c r="AE2694" s="62" t="n">
        <f aca="false">IF(AND(Dashboard!$C$9="Yes",AC2694=1),0,1)</f>
        <v>1</v>
      </c>
      <c r="AF2694" s="62" t="n">
        <v>1</v>
      </c>
    </row>
    <row r="2695" customFormat="false" ht="15" hidden="false" customHeight="false" outlineLevel="0" collapsed="false">
      <c r="A2695" s="62" t="n">
        <v>2694</v>
      </c>
      <c r="B2695" s="63" t="n">
        <v>46292.0622916667</v>
      </c>
      <c r="C2695" s="64" t="n">
        <v>46291</v>
      </c>
      <c r="D2695" s="62" t="s">
        <v>358</v>
      </c>
      <c r="E2695" s="62" t="s">
        <v>2385</v>
      </c>
      <c r="F2695" s="62" t="s">
        <v>2385</v>
      </c>
      <c r="G2695" s="62" t="s">
        <v>2386</v>
      </c>
      <c r="H2695" s="62" t="s">
        <v>59</v>
      </c>
      <c r="I2695" s="62" t="s">
        <v>47</v>
      </c>
      <c r="J2695" s="62" t="s">
        <v>146</v>
      </c>
      <c r="K2695" s="62" t="s">
        <v>209</v>
      </c>
      <c r="L2695" s="62" t="s">
        <v>148</v>
      </c>
      <c r="M2695" s="62" t="n">
        <v>0</v>
      </c>
      <c r="N2695" s="62" t="n">
        <v>1</v>
      </c>
      <c r="O2695" s="62" t="n">
        <v>1</v>
      </c>
      <c r="P2695" s="62" t="n">
        <v>0</v>
      </c>
      <c r="Q2695" s="62" t="n">
        <v>0</v>
      </c>
      <c r="R2695" s="62" t="n">
        <v>1</v>
      </c>
      <c r="S2695" s="62" t="n">
        <v>0</v>
      </c>
      <c r="T2695" s="62" t="n">
        <v>0</v>
      </c>
      <c r="U2695" s="62"/>
      <c r="V2695" s="62"/>
      <c r="W2695" s="62"/>
      <c r="X2695" s="62"/>
      <c r="Y2695" s="62"/>
      <c r="Z2695" s="62" t="s">
        <v>4904</v>
      </c>
      <c r="AA2695" s="62" t="s">
        <v>4877</v>
      </c>
      <c r="AB2695" s="62" t="n">
        <v>0</v>
      </c>
      <c r="AC2695" s="62" t="n">
        <v>0</v>
      </c>
      <c r="AD2695" s="62" t="n">
        <v>1</v>
      </c>
      <c r="AE2695" s="62" t="n">
        <f aca="false">IF(AND(Dashboard!$C$9="Yes",AC2695=1),0,1)</f>
        <v>1</v>
      </c>
      <c r="AF2695" s="62" t="n">
        <v>0</v>
      </c>
    </row>
    <row r="2696" customFormat="false" ht="15" hidden="false" customHeight="false" outlineLevel="0" collapsed="false">
      <c r="A2696" s="62" t="n">
        <v>2695</v>
      </c>
      <c r="B2696" s="63" t="n">
        <v>46292.069537037</v>
      </c>
      <c r="C2696" s="64" t="n">
        <v>46291</v>
      </c>
      <c r="D2696" s="62" t="s">
        <v>358</v>
      </c>
      <c r="E2696" s="62" t="s">
        <v>414</v>
      </c>
      <c r="F2696" s="62" t="s">
        <v>414</v>
      </c>
      <c r="G2696" s="62" t="s">
        <v>415</v>
      </c>
      <c r="H2696" s="62" t="s">
        <v>57</v>
      </c>
      <c r="I2696" s="62" t="s">
        <v>47</v>
      </c>
      <c r="J2696" s="62" t="s">
        <v>146</v>
      </c>
      <c r="K2696" s="62" t="s">
        <v>147</v>
      </c>
      <c r="L2696" s="62" t="s">
        <v>148</v>
      </c>
      <c r="M2696" s="62" t="n">
        <v>0</v>
      </c>
      <c r="N2696" s="62" t="n">
        <v>1</v>
      </c>
      <c r="O2696" s="62" t="n">
        <v>1</v>
      </c>
      <c r="P2696" s="62" t="n">
        <v>1</v>
      </c>
      <c r="Q2696" s="62" t="n">
        <v>0</v>
      </c>
      <c r="R2696" s="62" t="n">
        <v>0</v>
      </c>
      <c r="S2696" s="62" t="n">
        <v>0</v>
      </c>
      <c r="T2696" s="62" t="n">
        <v>0</v>
      </c>
      <c r="U2696" s="62"/>
      <c r="V2696" s="62"/>
      <c r="W2696" s="62"/>
      <c r="X2696" s="62"/>
      <c r="Y2696" s="62"/>
      <c r="Z2696" s="62" t="s">
        <v>4905</v>
      </c>
      <c r="AA2696" s="62" t="s">
        <v>4906</v>
      </c>
      <c r="AB2696" s="62" t="n">
        <v>1</v>
      </c>
      <c r="AC2696" s="62" t="n">
        <v>0</v>
      </c>
      <c r="AD2696" s="62" t="n">
        <v>1</v>
      </c>
      <c r="AE2696" s="62" t="n">
        <f aca="false">IF(AND(Dashboard!$C$9="Yes",AC2696=1),0,1)</f>
        <v>1</v>
      </c>
      <c r="AF2696" s="62" t="n">
        <v>1</v>
      </c>
    </row>
    <row r="2697" customFormat="false" ht="15" hidden="false" customHeight="false" outlineLevel="0" collapsed="false">
      <c r="A2697" s="62" t="n">
        <v>2696</v>
      </c>
      <c r="B2697" s="63" t="n">
        <v>46292.0821064815</v>
      </c>
      <c r="C2697" s="64" t="n">
        <v>46291</v>
      </c>
      <c r="D2697" s="62" t="s">
        <v>358</v>
      </c>
      <c r="E2697" s="62" t="s">
        <v>3022</v>
      </c>
      <c r="F2697" s="62" t="s">
        <v>3022</v>
      </c>
      <c r="G2697" s="62" t="s">
        <v>3023</v>
      </c>
      <c r="H2697" s="62" t="s">
        <v>46</v>
      </c>
      <c r="I2697" s="62" t="s">
        <v>47</v>
      </c>
      <c r="J2697" s="62" t="s">
        <v>146</v>
      </c>
      <c r="K2697" s="62" t="s">
        <v>209</v>
      </c>
      <c r="L2697" s="62" t="s">
        <v>148</v>
      </c>
      <c r="M2697" s="62" t="n">
        <v>0</v>
      </c>
      <c r="N2697" s="62" t="n">
        <v>1</v>
      </c>
      <c r="O2697" s="62" t="n">
        <v>1</v>
      </c>
      <c r="P2697" s="62" t="n">
        <v>0</v>
      </c>
      <c r="Q2697" s="62" t="n">
        <v>0</v>
      </c>
      <c r="R2697" s="62" t="n">
        <v>0</v>
      </c>
      <c r="S2697" s="62" t="n">
        <v>0</v>
      </c>
      <c r="T2697" s="62" t="n">
        <v>1</v>
      </c>
      <c r="U2697" s="62"/>
      <c r="V2697" s="62"/>
      <c r="W2697" s="62"/>
      <c r="X2697" s="62"/>
      <c r="Y2697" s="62"/>
      <c r="Z2697" s="62" t="s">
        <v>4907</v>
      </c>
      <c r="AA2697" s="62" t="s">
        <v>337</v>
      </c>
      <c r="AB2697" s="62" t="n">
        <v>0</v>
      </c>
      <c r="AC2697" s="62" t="n">
        <v>0</v>
      </c>
      <c r="AD2697" s="62" t="n">
        <v>1</v>
      </c>
      <c r="AE2697" s="62" t="n">
        <f aca="false">IF(AND(Dashboard!$C$9="Yes",AC2697=1),0,1)</f>
        <v>1</v>
      </c>
      <c r="AF2697" s="62" t="n">
        <v>0</v>
      </c>
    </row>
    <row r="2698" customFormat="false" ht="15" hidden="false" customHeight="false" outlineLevel="0" collapsed="false">
      <c r="A2698" s="62" t="n">
        <v>2697</v>
      </c>
      <c r="B2698" s="63" t="n">
        <v>46292.0850462963</v>
      </c>
      <c r="C2698" s="64" t="n">
        <v>46291</v>
      </c>
      <c r="D2698" s="62" t="s">
        <v>358</v>
      </c>
      <c r="E2698" s="62" t="s">
        <v>2959</v>
      </c>
      <c r="F2698" s="62" t="s">
        <v>2959</v>
      </c>
      <c r="G2698" s="62" t="s">
        <v>2960</v>
      </c>
      <c r="H2698" s="62" t="s">
        <v>58</v>
      </c>
      <c r="I2698" s="62" t="s">
        <v>49</v>
      </c>
      <c r="J2698" s="62" t="s">
        <v>146</v>
      </c>
      <c r="K2698" s="62" t="s">
        <v>175</v>
      </c>
      <c r="L2698" s="62" t="s">
        <v>148</v>
      </c>
      <c r="M2698" s="62" t="n">
        <v>0</v>
      </c>
      <c r="N2698" s="62" t="n">
        <v>1</v>
      </c>
      <c r="O2698" s="62" t="n">
        <v>1</v>
      </c>
      <c r="P2698" s="62" t="n">
        <v>1</v>
      </c>
      <c r="Q2698" s="62" t="n">
        <v>0</v>
      </c>
      <c r="R2698" s="62" t="n">
        <v>0</v>
      </c>
      <c r="S2698" s="62" t="n">
        <v>0</v>
      </c>
      <c r="T2698" s="62" t="n">
        <v>0</v>
      </c>
      <c r="U2698" s="62"/>
      <c r="V2698" s="62"/>
      <c r="W2698" s="62"/>
      <c r="X2698" s="62"/>
      <c r="Y2698" s="62"/>
      <c r="Z2698" s="62" t="s">
        <v>4902</v>
      </c>
      <c r="AA2698" s="62" t="s">
        <v>4903</v>
      </c>
      <c r="AB2698" s="62" t="n">
        <v>1</v>
      </c>
      <c r="AC2698" s="62" t="n">
        <v>0</v>
      </c>
      <c r="AD2698" s="62" t="n">
        <v>1</v>
      </c>
      <c r="AE2698" s="62" t="n">
        <f aca="false">IF(AND(Dashboard!$C$9="Yes",AC2698=1),0,1)</f>
        <v>1</v>
      </c>
      <c r="AF2698" s="62" t="n">
        <v>0</v>
      </c>
    </row>
    <row r="2699" customFormat="false" ht="15" hidden="false" customHeight="false" outlineLevel="0" collapsed="false">
      <c r="A2699" s="62" t="n">
        <v>2698</v>
      </c>
      <c r="B2699" s="63" t="n">
        <v>46292.0975694444</v>
      </c>
      <c r="C2699" s="64" t="n">
        <v>46291</v>
      </c>
      <c r="D2699" s="62" t="s">
        <v>358</v>
      </c>
      <c r="E2699" s="62" t="s">
        <v>144</v>
      </c>
      <c r="F2699" s="62" t="s">
        <v>144</v>
      </c>
      <c r="G2699" s="62" t="s">
        <v>145</v>
      </c>
      <c r="H2699" s="62" t="s">
        <v>59</v>
      </c>
      <c r="I2699" s="62" t="s">
        <v>47</v>
      </c>
      <c r="J2699" s="62" t="s">
        <v>146</v>
      </c>
      <c r="K2699" s="62" t="s">
        <v>147</v>
      </c>
      <c r="L2699" s="62" t="s">
        <v>4</v>
      </c>
      <c r="M2699" s="62" t="n">
        <v>1</v>
      </c>
      <c r="N2699" s="62" t="n">
        <v>0</v>
      </c>
      <c r="O2699" s="62" t="n">
        <v>1</v>
      </c>
      <c r="P2699" s="62" t="n">
        <v>0</v>
      </c>
      <c r="Q2699" s="62" t="n">
        <v>0</v>
      </c>
      <c r="R2699" s="62" t="n">
        <v>0</v>
      </c>
      <c r="S2699" s="62" t="n">
        <v>0</v>
      </c>
      <c r="T2699" s="62" t="n">
        <v>0</v>
      </c>
      <c r="U2699" s="62" t="s">
        <v>2056</v>
      </c>
      <c r="V2699" s="62" t="s">
        <v>2057</v>
      </c>
      <c r="W2699" s="62" t="s">
        <v>2056</v>
      </c>
      <c r="X2699" s="62" t="s">
        <v>2058</v>
      </c>
      <c r="Y2699" s="62" t="s">
        <v>2059</v>
      </c>
      <c r="Z2699" s="62" t="s">
        <v>4908</v>
      </c>
      <c r="AA2699" s="62" t="s">
        <v>4909</v>
      </c>
      <c r="AB2699" s="62" t="n">
        <v>1</v>
      </c>
      <c r="AC2699" s="62" t="n">
        <v>0</v>
      </c>
      <c r="AD2699" s="62" t="n">
        <v>1</v>
      </c>
      <c r="AE2699" s="62" t="n">
        <f aca="false">IF(AND(Dashboard!$C$9="Yes",AC2699=1),0,1)</f>
        <v>1</v>
      </c>
      <c r="AF2699" s="62" t="n">
        <v>1</v>
      </c>
    </row>
    <row r="2700" customFormat="false" ht="15" hidden="false" customHeight="false" outlineLevel="0" collapsed="false">
      <c r="A2700" s="62" t="n">
        <v>2699</v>
      </c>
      <c r="B2700" s="63" t="n">
        <v>46292.1073611111</v>
      </c>
      <c r="C2700" s="64" t="n">
        <v>46291</v>
      </c>
      <c r="D2700" s="62" t="s">
        <v>358</v>
      </c>
      <c r="E2700" s="62" t="s">
        <v>144</v>
      </c>
      <c r="F2700" s="62" t="s">
        <v>144</v>
      </c>
      <c r="G2700" s="62" t="s">
        <v>145</v>
      </c>
      <c r="H2700" s="62" t="s">
        <v>59</v>
      </c>
      <c r="I2700" s="62" t="s">
        <v>47</v>
      </c>
      <c r="J2700" s="62" t="s">
        <v>146</v>
      </c>
      <c r="K2700" s="62" t="s">
        <v>147</v>
      </c>
      <c r="L2700" s="62" t="s">
        <v>4</v>
      </c>
      <c r="M2700" s="62" t="n">
        <v>1</v>
      </c>
      <c r="N2700" s="62" t="n">
        <v>0</v>
      </c>
      <c r="O2700" s="62" t="n">
        <v>1</v>
      </c>
      <c r="P2700" s="62" t="n">
        <v>0</v>
      </c>
      <c r="Q2700" s="62" t="n">
        <v>0</v>
      </c>
      <c r="R2700" s="62" t="n">
        <v>0</v>
      </c>
      <c r="S2700" s="62" t="n">
        <v>0</v>
      </c>
      <c r="T2700" s="62" t="n">
        <v>0</v>
      </c>
      <c r="U2700" s="62" t="s">
        <v>2056</v>
      </c>
      <c r="V2700" s="62" t="s">
        <v>2057</v>
      </c>
      <c r="W2700" s="62" t="s">
        <v>2056</v>
      </c>
      <c r="X2700" s="62" t="s">
        <v>2058</v>
      </c>
      <c r="Y2700" s="62" t="s">
        <v>2059</v>
      </c>
      <c r="Z2700" s="62" t="s">
        <v>4908</v>
      </c>
      <c r="AA2700" s="62" t="s">
        <v>4910</v>
      </c>
      <c r="AB2700" s="62" t="n">
        <v>1</v>
      </c>
      <c r="AC2700" s="62" t="n">
        <v>0</v>
      </c>
      <c r="AD2700" s="62" t="n">
        <v>1</v>
      </c>
      <c r="AE2700" s="62" t="n">
        <f aca="false">IF(AND(Dashboard!$C$9="Yes",AC2700=1),0,1)</f>
        <v>1</v>
      </c>
      <c r="AF2700" s="62" t="n">
        <v>0</v>
      </c>
    </row>
    <row r="2701" customFormat="false" ht="15" hidden="false" customHeight="false" outlineLevel="0" collapsed="false">
      <c r="A2701" s="62" t="n">
        <v>2700</v>
      </c>
      <c r="B2701" s="63" t="n">
        <v>46292.1077777778</v>
      </c>
      <c r="C2701" s="64" t="n">
        <v>46291</v>
      </c>
      <c r="D2701" s="62" t="s">
        <v>358</v>
      </c>
      <c r="E2701" s="62" t="s">
        <v>144</v>
      </c>
      <c r="F2701" s="62" t="s">
        <v>144</v>
      </c>
      <c r="G2701" s="62" t="s">
        <v>145</v>
      </c>
      <c r="H2701" s="62" t="s">
        <v>59</v>
      </c>
      <c r="I2701" s="62" t="s">
        <v>47</v>
      </c>
      <c r="J2701" s="62" t="s">
        <v>146</v>
      </c>
      <c r="K2701" s="62" t="s">
        <v>147</v>
      </c>
      <c r="L2701" s="62" t="s">
        <v>4</v>
      </c>
      <c r="M2701" s="62" t="n">
        <v>1</v>
      </c>
      <c r="N2701" s="62" t="n">
        <v>0</v>
      </c>
      <c r="O2701" s="62" t="n">
        <v>1</v>
      </c>
      <c r="P2701" s="62" t="n">
        <v>0</v>
      </c>
      <c r="Q2701" s="62" t="n">
        <v>0</v>
      </c>
      <c r="R2701" s="62" t="n">
        <v>0</v>
      </c>
      <c r="S2701" s="62" t="n">
        <v>0</v>
      </c>
      <c r="T2701" s="62" t="n">
        <v>0</v>
      </c>
      <c r="U2701" s="62" t="s">
        <v>2056</v>
      </c>
      <c r="V2701" s="62" t="s">
        <v>2057</v>
      </c>
      <c r="W2701" s="62" t="s">
        <v>2056</v>
      </c>
      <c r="X2701" s="62" t="s">
        <v>2058</v>
      </c>
      <c r="Y2701" s="62" t="s">
        <v>2059</v>
      </c>
      <c r="Z2701" s="62" t="s">
        <v>4908</v>
      </c>
      <c r="AA2701" s="62" t="s">
        <v>4910</v>
      </c>
      <c r="AB2701" s="62" t="n">
        <v>1</v>
      </c>
      <c r="AC2701" s="62" t="n">
        <v>1</v>
      </c>
      <c r="AD2701" s="62" t="n">
        <v>1</v>
      </c>
      <c r="AE2701" s="62" t="n">
        <f aca="false">IF(AND(Dashboard!$C$9="Yes",AC2701=1),0,1)</f>
        <v>0</v>
      </c>
      <c r="AF2701" s="62" t="n">
        <v>0</v>
      </c>
    </row>
    <row r="2702" customFormat="false" ht="15" hidden="false" customHeight="false" outlineLevel="0" collapsed="false">
      <c r="A2702" s="62" t="n">
        <v>2701</v>
      </c>
      <c r="B2702" s="63" t="n">
        <v>46292.1127662037</v>
      </c>
      <c r="C2702" s="64" t="n">
        <v>46291</v>
      </c>
      <c r="D2702" s="62" t="s">
        <v>358</v>
      </c>
      <c r="E2702" s="62" t="s">
        <v>2722</v>
      </c>
      <c r="F2702" s="62" t="s">
        <v>2722</v>
      </c>
      <c r="G2702" s="62" t="s">
        <v>2723</v>
      </c>
      <c r="H2702" s="62" t="s">
        <v>55</v>
      </c>
      <c r="I2702" s="62" t="s">
        <v>49</v>
      </c>
      <c r="J2702" s="62" t="s">
        <v>146</v>
      </c>
      <c r="K2702" s="62" t="s">
        <v>209</v>
      </c>
      <c r="L2702" s="62" t="s">
        <v>4</v>
      </c>
      <c r="M2702" s="62" t="n">
        <v>2</v>
      </c>
      <c r="N2702" s="62" t="n">
        <v>0</v>
      </c>
      <c r="O2702" s="62" t="n">
        <v>2</v>
      </c>
      <c r="P2702" s="62" t="n">
        <v>0</v>
      </c>
      <c r="Q2702" s="62" t="n">
        <v>0</v>
      </c>
      <c r="R2702" s="62" t="n">
        <v>0</v>
      </c>
      <c r="S2702" s="62" t="n">
        <v>0</v>
      </c>
      <c r="T2702" s="62" t="n">
        <v>0</v>
      </c>
      <c r="U2702" s="62" t="s">
        <v>2056</v>
      </c>
      <c r="V2702" s="62" t="s">
        <v>2057</v>
      </c>
      <c r="W2702" s="62" t="s">
        <v>15</v>
      </c>
      <c r="X2702" s="62" t="s">
        <v>2164</v>
      </c>
      <c r="Y2702" s="62" t="s">
        <v>2165</v>
      </c>
      <c r="Z2702" s="62" t="s">
        <v>4911</v>
      </c>
      <c r="AA2702" s="62" t="s">
        <v>4912</v>
      </c>
      <c r="AB2702" s="62" t="n">
        <v>1</v>
      </c>
      <c r="AC2702" s="62" t="n">
        <v>0</v>
      </c>
      <c r="AD2702" s="62" t="n">
        <v>1</v>
      </c>
      <c r="AE2702" s="62" t="n">
        <f aca="false">IF(AND(Dashboard!$C$9="Yes",AC2702=1),0,1)</f>
        <v>1</v>
      </c>
      <c r="AF2702" s="62" t="n">
        <v>1</v>
      </c>
    </row>
    <row r="2703" customFormat="false" ht="15" hidden="false" customHeight="false" outlineLevel="0" collapsed="false">
      <c r="A2703" s="62" t="n">
        <v>2702</v>
      </c>
      <c r="B2703" s="63" t="n">
        <v>46292.1426273148</v>
      </c>
      <c r="C2703" s="64" t="n">
        <v>46291</v>
      </c>
      <c r="D2703" s="62" t="s">
        <v>358</v>
      </c>
      <c r="E2703" s="62" t="s">
        <v>2637</v>
      </c>
      <c r="F2703" s="62" t="s">
        <v>2637</v>
      </c>
      <c r="G2703" s="62" t="s">
        <v>2638</v>
      </c>
      <c r="H2703" s="62" t="s">
        <v>52</v>
      </c>
      <c r="I2703" s="62" t="s">
        <v>47</v>
      </c>
      <c r="J2703" s="62" t="s">
        <v>146</v>
      </c>
      <c r="K2703" s="62" t="s">
        <v>147</v>
      </c>
      <c r="L2703" s="62" t="s">
        <v>148</v>
      </c>
      <c r="M2703" s="62" t="n">
        <v>0</v>
      </c>
      <c r="N2703" s="62" t="n">
        <v>1</v>
      </c>
      <c r="O2703" s="62" t="n">
        <v>1</v>
      </c>
      <c r="P2703" s="62" t="n">
        <v>1</v>
      </c>
      <c r="Q2703" s="62" t="n">
        <v>0</v>
      </c>
      <c r="R2703" s="62" t="n">
        <v>0</v>
      </c>
      <c r="S2703" s="62" t="n">
        <v>0</v>
      </c>
      <c r="T2703" s="62" t="n">
        <v>0</v>
      </c>
      <c r="U2703" s="62"/>
      <c r="V2703" s="62"/>
      <c r="W2703" s="62"/>
      <c r="X2703" s="62"/>
      <c r="Y2703" s="62"/>
      <c r="Z2703" s="62" t="s">
        <v>4913</v>
      </c>
      <c r="AA2703" s="62" t="s">
        <v>4914</v>
      </c>
      <c r="AB2703" s="62" t="n">
        <v>1</v>
      </c>
      <c r="AC2703" s="62" t="n">
        <v>0</v>
      </c>
      <c r="AD2703" s="62" t="n">
        <v>1</v>
      </c>
      <c r="AE2703" s="62" t="n">
        <f aca="false">IF(AND(Dashboard!$C$9="Yes",AC2703=1),0,1)</f>
        <v>1</v>
      </c>
      <c r="AF2703" s="62" t="n">
        <v>1</v>
      </c>
    </row>
    <row r="2704" customFormat="false" ht="15" hidden="false" customHeight="false" outlineLevel="0" collapsed="false">
      <c r="A2704" s="62" t="n">
        <v>2703</v>
      </c>
      <c r="B2704" s="63" t="n">
        <v>46292.1437152778</v>
      </c>
      <c r="C2704" s="64" t="n">
        <v>46291</v>
      </c>
      <c r="D2704" s="62" t="s">
        <v>358</v>
      </c>
      <c r="E2704" s="62" t="s">
        <v>2722</v>
      </c>
      <c r="F2704" s="62" t="s">
        <v>2722</v>
      </c>
      <c r="G2704" s="62" t="s">
        <v>2723</v>
      </c>
      <c r="H2704" s="62" t="s">
        <v>55</v>
      </c>
      <c r="I2704" s="62" t="s">
        <v>49</v>
      </c>
      <c r="J2704" s="62" t="s">
        <v>146</v>
      </c>
      <c r="K2704" s="62" t="s">
        <v>209</v>
      </c>
      <c r="L2704" s="62" t="s">
        <v>4</v>
      </c>
      <c r="M2704" s="62" t="n">
        <v>1</v>
      </c>
      <c r="N2704" s="62" t="n">
        <v>0</v>
      </c>
      <c r="O2704" s="62" t="n">
        <v>1</v>
      </c>
      <c r="P2704" s="62" t="n">
        <v>0</v>
      </c>
      <c r="Q2704" s="62" t="n">
        <v>0</v>
      </c>
      <c r="R2704" s="62" t="n">
        <v>0</v>
      </c>
      <c r="S2704" s="62" t="n">
        <v>0</v>
      </c>
      <c r="T2704" s="62" t="n">
        <v>0</v>
      </c>
      <c r="U2704" s="62" t="s">
        <v>2056</v>
      </c>
      <c r="V2704" s="62" t="s">
        <v>2057</v>
      </c>
      <c r="W2704" s="62" t="s">
        <v>15</v>
      </c>
      <c r="X2704" s="62" t="s">
        <v>2058</v>
      </c>
      <c r="Y2704" s="62" t="s">
        <v>2059</v>
      </c>
      <c r="Z2704" s="62" t="s">
        <v>4915</v>
      </c>
      <c r="AA2704" s="62" t="s">
        <v>4916</v>
      </c>
      <c r="AB2704" s="62" t="n">
        <v>1</v>
      </c>
      <c r="AC2704" s="62" t="n">
        <v>0</v>
      </c>
      <c r="AD2704" s="62" t="n">
        <v>1</v>
      </c>
      <c r="AE2704" s="62" t="n">
        <f aca="false">IF(AND(Dashboard!$C$9="Yes",AC2704=1),0,1)</f>
        <v>1</v>
      </c>
      <c r="AF2704" s="62" t="n">
        <v>0</v>
      </c>
    </row>
    <row r="2705" customFormat="false" ht="15" hidden="false" customHeight="false" outlineLevel="0" collapsed="false">
      <c r="A2705" s="62" t="n">
        <v>2704</v>
      </c>
      <c r="B2705" s="63" t="n">
        <v>46292.1625231481</v>
      </c>
      <c r="C2705" s="64" t="n">
        <v>46291</v>
      </c>
      <c r="D2705" s="62" t="s">
        <v>358</v>
      </c>
      <c r="E2705" s="62" t="s">
        <v>2183</v>
      </c>
      <c r="F2705" s="62" t="s">
        <v>2183</v>
      </c>
      <c r="G2705" s="62" t="s">
        <v>2184</v>
      </c>
      <c r="H2705" s="62" t="s">
        <v>59</v>
      </c>
      <c r="I2705" s="62" t="s">
        <v>47</v>
      </c>
      <c r="J2705" s="62" t="s">
        <v>146</v>
      </c>
      <c r="K2705" s="62" t="s">
        <v>209</v>
      </c>
      <c r="L2705" s="62" t="s">
        <v>148</v>
      </c>
      <c r="M2705" s="62" t="n">
        <v>0</v>
      </c>
      <c r="N2705" s="62" t="n">
        <v>1</v>
      </c>
      <c r="O2705" s="62" t="n">
        <v>1</v>
      </c>
      <c r="P2705" s="62" t="n">
        <v>1</v>
      </c>
      <c r="Q2705" s="62" t="n">
        <v>0</v>
      </c>
      <c r="R2705" s="62" t="n">
        <v>0</v>
      </c>
      <c r="S2705" s="62" t="n">
        <v>0</v>
      </c>
      <c r="T2705" s="62" t="n">
        <v>0</v>
      </c>
      <c r="U2705" s="62"/>
      <c r="V2705" s="62"/>
      <c r="W2705" s="62"/>
      <c r="X2705" s="62"/>
      <c r="Y2705" s="62"/>
      <c r="Z2705" s="62" t="s">
        <v>4917</v>
      </c>
      <c r="AA2705" s="62" t="s">
        <v>4918</v>
      </c>
      <c r="AB2705" s="62" t="n">
        <v>1</v>
      </c>
      <c r="AC2705" s="62" t="n">
        <v>0</v>
      </c>
      <c r="AD2705" s="62" t="n">
        <v>1</v>
      </c>
      <c r="AE2705" s="62" t="n">
        <f aca="false">IF(AND(Dashboard!$C$9="Yes",AC2705=1),0,1)</f>
        <v>1</v>
      </c>
      <c r="AF2705" s="62" t="n">
        <v>0</v>
      </c>
    </row>
    <row r="2706" customFormat="false" ht="15" hidden="false" customHeight="false" outlineLevel="0" collapsed="false">
      <c r="A2706" s="62" t="n">
        <v>2705</v>
      </c>
      <c r="B2706" s="63" t="n">
        <v>46292.1774884259</v>
      </c>
      <c r="C2706" s="64" t="n">
        <v>46291</v>
      </c>
      <c r="D2706" s="62" t="s">
        <v>358</v>
      </c>
      <c r="E2706" s="62" t="s">
        <v>2228</v>
      </c>
      <c r="F2706" s="62" t="s">
        <v>2228</v>
      </c>
      <c r="G2706" s="62" t="s">
        <v>2229</v>
      </c>
      <c r="H2706" s="62" t="s">
        <v>58</v>
      </c>
      <c r="I2706" s="62" t="s">
        <v>49</v>
      </c>
      <c r="J2706" s="62" t="s">
        <v>146</v>
      </c>
      <c r="K2706" s="62" t="s">
        <v>209</v>
      </c>
      <c r="L2706" s="62" t="s">
        <v>148</v>
      </c>
      <c r="M2706" s="62" t="n">
        <v>0</v>
      </c>
      <c r="N2706" s="62" t="n">
        <v>1</v>
      </c>
      <c r="O2706" s="62" t="n">
        <v>1</v>
      </c>
      <c r="P2706" s="62" t="n">
        <v>0</v>
      </c>
      <c r="Q2706" s="62" t="n">
        <v>1</v>
      </c>
      <c r="R2706" s="62" t="n">
        <v>0</v>
      </c>
      <c r="S2706" s="62" t="n">
        <v>0</v>
      </c>
      <c r="T2706" s="62" t="n">
        <v>0</v>
      </c>
      <c r="U2706" s="62"/>
      <c r="V2706" s="62"/>
      <c r="W2706" s="62"/>
      <c r="X2706" s="62"/>
      <c r="Y2706" s="62"/>
      <c r="Z2706" s="62" t="s">
        <v>4919</v>
      </c>
      <c r="AA2706" s="62" t="s">
        <v>4920</v>
      </c>
      <c r="AB2706" s="62" t="n">
        <v>1</v>
      </c>
      <c r="AC2706" s="62" t="n">
        <v>0</v>
      </c>
      <c r="AD2706" s="62" t="n">
        <v>1</v>
      </c>
      <c r="AE2706" s="62" t="n">
        <f aca="false">IF(AND(Dashboard!$C$9="Yes",AC2706=1),0,1)</f>
        <v>1</v>
      </c>
      <c r="AF2706" s="62" t="n">
        <v>1</v>
      </c>
    </row>
    <row r="2707" customFormat="false" ht="15" hidden="false" customHeight="false" outlineLevel="0" collapsed="false">
      <c r="A2707" s="62" t="n">
        <v>2706</v>
      </c>
      <c r="B2707" s="63" t="n">
        <v>46292.2322916667</v>
      </c>
      <c r="C2707" s="64" t="n">
        <v>46291</v>
      </c>
      <c r="D2707" s="62" t="s">
        <v>358</v>
      </c>
      <c r="E2707" s="62" t="s">
        <v>4921</v>
      </c>
      <c r="F2707" s="62" t="s">
        <v>4922</v>
      </c>
      <c r="G2707" s="62" t="s">
        <v>153</v>
      </c>
      <c r="H2707" s="62" t="s">
        <v>153</v>
      </c>
      <c r="I2707" s="62" t="s">
        <v>153</v>
      </c>
      <c r="J2707" s="62" t="s">
        <v>64</v>
      </c>
      <c r="K2707" s="62" t="s">
        <v>64</v>
      </c>
      <c r="L2707" s="62" t="s">
        <v>148</v>
      </c>
      <c r="M2707" s="62" t="n">
        <v>0</v>
      </c>
      <c r="N2707" s="62" t="n">
        <v>1</v>
      </c>
      <c r="O2707" s="62" t="n">
        <v>1</v>
      </c>
      <c r="P2707" s="62" t="n">
        <v>1</v>
      </c>
      <c r="Q2707" s="62" t="n">
        <v>0</v>
      </c>
      <c r="R2707" s="62" t="n">
        <v>0</v>
      </c>
      <c r="S2707" s="62" t="n">
        <v>0</v>
      </c>
      <c r="T2707" s="62" t="n">
        <v>0</v>
      </c>
      <c r="U2707" s="62"/>
      <c r="V2707" s="62"/>
      <c r="W2707" s="62"/>
      <c r="X2707" s="62"/>
      <c r="Y2707" s="62"/>
      <c r="Z2707" s="62" t="s">
        <v>4923</v>
      </c>
      <c r="AA2707" s="62" t="s">
        <v>4924</v>
      </c>
      <c r="AB2707" s="62" t="n">
        <v>1</v>
      </c>
      <c r="AC2707" s="62" t="n">
        <v>0</v>
      </c>
      <c r="AD2707" s="62" t="n">
        <v>0</v>
      </c>
      <c r="AE2707" s="62" t="n">
        <f aca="false">IF(AND(Dashboard!$C$9="Yes",AC2707=1),0,1)</f>
        <v>1</v>
      </c>
      <c r="AF2707" s="62" t="n">
        <v>1</v>
      </c>
    </row>
    <row r="2708" customFormat="false" ht="15" hidden="false" customHeight="false" outlineLevel="0" collapsed="false">
      <c r="A2708" s="62" t="n">
        <v>2707</v>
      </c>
      <c r="B2708" s="63" t="n">
        <v>46292.2505324074</v>
      </c>
      <c r="C2708" s="64" t="n">
        <v>46291</v>
      </c>
      <c r="D2708" s="62" t="s">
        <v>358</v>
      </c>
      <c r="E2708" s="62" t="s">
        <v>2959</v>
      </c>
      <c r="F2708" s="62" t="s">
        <v>2959</v>
      </c>
      <c r="G2708" s="62" t="s">
        <v>2960</v>
      </c>
      <c r="H2708" s="62" t="s">
        <v>58</v>
      </c>
      <c r="I2708" s="62" t="s">
        <v>49</v>
      </c>
      <c r="J2708" s="62" t="s">
        <v>146</v>
      </c>
      <c r="K2708" s="62" t="s">
        <v>175</v>
      </c>
      <c r="L2708" s="62" t="s">
        <v>4</v>
      </c>
      <c r="M2708" s="62" t="n">
        <v>1</v>
      </c>
      <c r="N2708" s="62" t="n">
        <v>0</v>
      </c>
      <c r="O2708" s="62" t="n">
        <v>1</v>
      </c>
      <c r="P2708" s="62" t="n">
        <v>0</v>
      </c>
      <c r="Q2708" s="62" t="n">
        <v>0</v>
      </c>
      <c r="R2708" s="62" t="n">
        <v>0</v>
      </c>
      <c r="S2708" s="62" t="n">
        <v>0</v>
      </c>
      <c r="T2708" s="62" t="n">
        <v>0</v>
      </c>
      <c r="U2708" s="62" t="s">
        <v>2056</v>
      </c>
      <c r="V2708" s="62" t="s">
        <v>2057</v>
      </c>
      <c r="W2708" s="62" t="s">
        <v>15</v>
      </c>
      <c r="X2708" s="62" t="s">
        <v>2125</v>
      </c>
      <c r="Y2708" s="62" t="s">
        <v>2059</v>
      </c>
      <c r="Z2708" s="62" t="s">
        <v>4925</v>
      </c>
      <c r="AA2708" s="62" t="s">
        <v>4926</v>
      </c>
      <c r="AB2708" s="62" t="n">
        <v>1</v>
      </c>
      <c r="AC2708" s="62" t="n">
        <v>0</v>
      </c>
      <c r="AD2708" s="62" t="n">
        <v>1</v>
      </c>
      <c r="AE2708" s="62" t="n">
        <f aca="false">IF(AND(Dashboard!$C$9="Yes",AC2708=1),0,1)</f>
        <v>1</v>
      </c>
      <c r="AF2708" s="62" t="n">
        <v>0</v>
      </c>
    </row>
    <row r="2709" customFormat="false" ht="15" hidden="false" customHeight="false" outlineLevel="0" collapsed="false">
      <c r="A2709" s="62" t="n">
        <v>2708</v>
      </c>
      <c r="B2709" s="63" t="n">
        <v>46292.2508680556</v>
      </c>
      <c r="C2709" s="64" t="n">
        <v>46291</v>
      </c>
      <c r="D2709" s="62" t="s">
        <v>358</v>
      </c>
      <c r="E2709" s="62" t="s">
        <v>2959</v>
      </c>
      <c r="F2709" s="62" t="s">
        <v>2959</v>
      </c>
      <c r="G2709" s="62" t="s">
        <v>2960</v>
      </c>
      <c r="H2709" s="62" t="s">
        <v>58</v>
      </c>
      <c r="I2709" s="62" t="s">
        <v>49</v>
      </c>
      <c r="J2709" s="62" t="s">
        <v>146</v>
      </c>
      <c r="K2709" s="62" t="s">
        <v>175</v>
      </c>
      <c r="L2709" s="62" t="s">
        <v>148</v>
      </c>
      <c r="M2709" s="62" t="n">
        <v>0</v>
      </c>
      <c r="N2709" s="62" t="n">
        <v>1</v>
      </c>
      <c r="O2709" s="62" t="n">
        <v>1</v>
      </c>
      <c r="P2709" s="62" t="n">
        <v>1</v>
      </c>
      <c r="Q2709" s="62" t="n">
        <v>0</v>
      </c>
      <c r="R2709" s="62" t="n">
        <v>0</v>
      </c>
      <c r="S2709" s="62" t="n">
        <v>0</v>
      </c>
      <c r="T2709" s="62" t="n">
        <v>0</v>
      </c>
      <c r="U2709" s="62"/>
      <c r="V2709" s="62"/>
      <c r="W2709" s="62"/>
      <c r="X2709" s="62"/>
      <c r="Y2709" s="62"/>
      <c r="Z2709" s="62" t="s">
        <v>4925</v>
      </c>
      <c r="AA2709" s="62" t="s">
        <v>79</v>
      </c>
      <c r="AB2709" s="62" t="n">
        <v>0</v>
      </c>
      <c r="AC2709" s="62" t="n">
        <v>0</v>
      </c>
      <c r="AD2709" s="62" t="n">
        <v>1</v>
      </c>
      <c r="AE2709" s="62" t="n">
        <f aca="false">IF(AND(Dashboard!$C$9="Yes",AC2709=1),0,1)</f>
        <v>1</v>
      </c>
      <c r="AF2709" s="62" t="n">
        <v>0</v>
      </c>
    </row>
    <row r="2710" customFormat="false" ht="15" hidden="false" customHeight="false" outlineLevel="0" collapsed="false">
      <c r="A2710" s="62" t="n">
        <v>2709</v>
      </c>
      <c r="B2710" s="63" t="n">
        <v>46292.2896180556</v>
      </c>
      <c r="C2710" s="64" t="n">
        <v>46291</v>
      </c>
      <c r="D2710" s="62" t="s">
        <v>358</v>
      </c>
      <c r="E2710" s="62" t="s">
        <v>3869</v>
      </c>
      <c r="F2710" s="62" t="s">
        <v>3869</v>
      </c>
      <c r="G2710" s="62" t="s">
        <v>3870</v>
      </c>
      <c r="H2710" s="62" t="s">
        <v>59</v>
      </c>
      <c r="I2710" s="62" t="s">
        <v>47</v>
      </c>
      <c r="J2710" s="62" t="s">
        <v>146</v>
      </c>
      <c r="K2710" s="62" t="s">
        <v>209</v>
      </c>
      <c r="L2710" s="62" t="s">
        <v>148</v>
      </c>
      <c r="M2710" s="62" t="n">
        <v>0</v>
      </c>
      <c r="N2710" s="62" t="n">
        <v>1</v>
      </c>
      <c r="O2710" s="62" t="n">
        <v>1</v>
      </c>
      <c r="P2710" s="62" t="n">
        <v>1</v>
      </c>
      <c r="Q2710" s="62" t="n">
        <v>0</v>
      </c>
      <c r="R2710" s="62" t="n">
        <v>0</v>
      </c>
      <c r="S2710" s="62" t="n">
        <v>0</v>
      </c>
      <c r="T2710" s="62" t="n">
        <v>0</v>
      </c>
      <c r="U2710" s="62"/>
      <c r="V2710" s="62"/>
      <c r="W2710" s="62"/>
      <c r="X2710" s="62"/>
      <c r="Y2710" s="62"/>
      <c r="Z2710" s="62" t="s">
        <v>4927</v>
      </c>
      <c r="AA2710" s="62" t="s">
        <v>4928</v>
      </c>
      <c r="AB2710" s="62" t="n">
        <v>1</v>
      </c>
      <c r="AC2710" s="62" t="n">
        <v>0</v>
      </c>
      <c r="AD2710" s="62" t="n">
        <v>1</v>
      </c>
      <c r="AE2710" s="62" t="n">
        <f aca="false">IF(AND(Dashboard!$C$9="Yes",AC2710=1),0,1)</f>
        <v>1</v>
      </c>
      <c r="AF2710" s="62" t="n">
        <v>0</v>
      </c>
    </row>
    <row r="2711" customFormat="false" ht="15" hidden="false" customHeight="false" outlineLevel="0" collapsed="false">
      <c r="A2711" s="62" t="n">
        <v>2710</v>
      </c>
      <c r="B2711" s="63" t="n">
        <v>46292.6421990741</v>
      </c>
      <c r="C2711" s="64" t="n">
        <v>46292</v>
      </c>
      <c r="D2711" s="62" t="s">
        <v>393</v>
      </c>
      <c r="E2711" s="62" t="s">
        <v>4929</v>
      </c>
      <c r="F2711" s="62" t="s">
        <v>4930</v>
      </c>
      <c r="G2711" s="62" t="s">
        <v>153</v>
      </c>
      <c r="H2711" s="62" t="s">
        <v>153</v>
      </c>
      <c r="I2711" s="62" t="s">
        <v>153</v>
      </c>
      <c r="J2711" s="62" t="s">
        <v>64</v>
      </c>
      <c r="K2711" s="62" t="s">
        <v>64</v>
      </c>
      <c r="L2711" s="62" t="s">
        <v>148</v>
      </c>
      <c r="M2711" s="62" t="n">
        <v>0</v>
      </c>
      <c r="N2711" s="62" t="n">
        <v>1</v>
      </c>
      <c r="O2711" s="62" t="n">
        <v>1</v>
      </c>
      <c r="P2711" s="62" t="n">
        <v>0</v>
      </c>
      <c r="Q2711" s="62" t="n">
        <v>1</v>
      </c>
      <c r="R2711" s="62" t="n">
        <v>0</v>
      </c>
      <c r="S2711" s="62" t="n">
        <v>0</v>
      </c>
      <c r="T2711" s="62" t="n">
        <v>0</v>
      </c>
      <c r="U2711" s="62"/>
      <c r="V2711" s="62"/>
      <c r="W2711" s="62"/>
      <c r="X2711" s="62"/>
      <c r="Y2711" s="62"/>
      <c r="Z2711" s="62" t="s">
        <v>4931</v>
      </c>
      <c r="AA2711" s="62" t="s">
        <v>4932</v>
      </c>
      <c r="AB2711" s="62" t="n">
        <v>1</v>
      </c>
      <c r="AC2711" s="62" t="n">
        <v>0</v>
      </c>
      <c r="AD2711" s="62" t="n">
        <v>0</v>
      </c>
      <c r="AE2711" s="62" t="n">
        <f aca="false">IF(AND(Dashboard!$C$9="Yes",AC2711=1),0,1)</f>
        <v>1</v>
      </c>
      <c r="AF2711" s="62" t="n">
        <v>1</v>
      </c>
    </row>
    <row r="2712" customFormat="false" ht="15" hidden="false" customHeight="false" outlineLevel="0" collapsed="false">
      <c r="A2712" s="62" t="n">
        <v>2711</v>
      </c>
      <c r="B2712" s="63" t="n">
        <v>46292.6779166667</v>
      </c>
      <c r="C2712" s="64" t="n">
        <v>46292</v>
      </c>
      <c r="D2712" s="62" t="s">
        <v>393</v>
      </c>
      <c r="E2712" s="62" t="s">
        <v>2156</v>
      </c>
      <c r="F2712" s="62" t="s">
        <v>2156</v>
      </c>
      <c r="G2712" s="62" t="s">
        <v>2157</v>
      </c>
      <c r="H2712" s="62" t="s">
        <v>52</v>
      </c>
      <c r="I2712" s="62" t="s">
        <v>47</v>
      </c>
      <c r="J2712" s="62" t="s">
        <v>146</v>
      </c>
      <c r="K2712" s="62" t="s">
        <v>209</v>
      </c>
      <c r="L2712" s="62" t="s">
        <v>148</v>
      </c>
      <c r="M2712" s="62" t="n">
        <v>0</v>
      </c>
      <c r="N2712" s="62" t="n">
        <v>2</v>
      </c>
      <c r="O2712" s="62" t="n">
        <v>2</v>
      </c>
      <c r="P2712" s="62" t="n">
        <v>1</v>
      </c>
      <c r="Q2712" s="62" t="n">
        <v>1</v>
      </c>
      <c r="R2712" s="62" t="n">
        <v>0</v>
      </c>
      <c r="S2712" s="62" t="n">
        <v>0</v>
      </c>
      <c r="T2712" s="62" t="n">
        <v>0</v>
      </c>
      <c r="U2712" s="62"/>
      <c r="V2712" s="62"/>
      <c r="W2712" s="62"/>
      <c r="X2712" s="62"/>
      <c r="Y2712" s="62"/>
      <c r="Z2712" s="62" t="s">
        <v>4933</v>
      </c>
      <c r="AA2712" s="62" t="s">
        <v>4934</v>
      </c>
      <c r="AB2712" s="62" t="n">
        <v>1</v>
      </c>
      <c r="AC2712" s="62" t="n">
        <v>0</v>
      </c>
      <c r="AD2712" s="62" t="n">
        <v>1</v>
      </c>
      <c r="AE2712" s="62" t="n">
        <f aca="false">IF(AND(Dashboard!$C$9="Yes",AC2712=1),0,1)</f>
        <v>1</v>
      </c>
      <c r="AF2712" s="62" t="n">
        <v>1</v>
      </c>
    </row>
    <row r="2713" customFormat="false" ht="15" hidden="false" customHeight="false" outlineLevel="0" collapsed="false">
      <c r="A2713" s="62" t="n">
        <v>2712</v>
      </c>
      <c r="B2713" s="63" t="n">
        <v>46292.6793865741</v>
      </c>
      <c r="C2713" s="64" t="n">
        <v>46292</v>
      </c>
      <c r="D2713" s="62" t="s">
        <v>393</v>
      </c>
      <c r="E2713" s="62" t="s">
        <v>2156</v>
      </c>
      <c r="F2713" s="62" t="s">
        <v>2156</v>
      </c>
      <c r="G2713" s="62" t="s">
        <v>2157</v>
      </c>
      <c r="H2713" s="62" t="s">
        <v>52</v>
      </c>
      <c r="I2713" s="62" t="s">
        <v>47</v>
      </c>
      <c r="J2713" s="62" t="s">
        <v>146</v>
      </c>
      <c r="K2713" s="62" t="s">
        <v>209</v>
      </c>
      <c r="L2713" s="62" t="s">
        <v>148</v>
      </c>
      <c r="M2713" s="62" t="n">
        <v>0</v>
      </c>
      <c r="N2713" s="62" t="n">
        <v>2</v>
      </c>
      <c r="O2713" s="62" t="n">
        <v>2</v>
      </c>
      <c r="P2713" s="62" t="n">
        <v>1</v>
      </c>
      <c r="Q2713" s="62" t="n">
        <v>1</v>
      </c>
      <c r="R2713" s="62" t="n">
        <v>0</v>
      </c>
      <c r="S2713" s="62" t="n">
        <v>0</v>
      </c>
      <c r="T2713" s="62" t="n">
        <v>0</v>
      </c>
      <c r="U2713" s="62"/>
      <c r="V2713" s="62"/>
      <c r="W2713" s="62"/>
      <c r="X2713" s="62"/>
      <c r="Y2713" s="62"/>
      <c r="Z2713" s="62" t="s">
        <v>4933</v>
      </c>
      <c r="AA2713" s="62" t="s">
        <v>4935</v>
      </c>
      <c r="AB2713" s="62" t="n">
        <v>1</v>
      </c>
      <c r="AC2713" s="62" t="n">
        <v>0</v>
      </c>
      <c r="AD2713" s="62" t="n">
        <v>1</v>
      </c>
      <c r="AE2713" s="62" t="n">
        <f aca="false">IF(AND(Dashboard!$C$9="Yes",AC2713=1),0,1)</f>
        <v>1</v>
      </c>
      <c r="AF2713" s="62" t="n">
        <v>0</v>
      </c>
    </row>
    <row r="2714" customFormat="false" ht="15" hidden="false" customHeight="false" outlineLevel="0" collapsed="false">
      <c r="A2714" s="62" t="n">
        <v>2713</v>
      </c>
      <c r="B2714" s="63" t="n">
        <v>46292.7084143519</v>
      </c>
      <c r="C2714" s="64" t="n">
        <v>46292</v>
      </c>
      <c r="D2714" s="62" t="s">
        <v>393</v>
      </c>
      <c r="E2714" s="62" t="s">
        <v>4929</v>
      </c>
      <c r="F2714" s="62" t="s">
        <v>4930</v>
      </c>
      <c r="G2714" s="62" t="s">
        <v>153</v>
      </c>
      <c r="H2714" s="62" t="s">
        <v>153</v>
      </c>
      <c r="I2714" s="62" t="s">
        <v>153</v>
      </c>
      <c r="J2714" s="62" t="s">
        <v>64</v>
      </c>
      <c r="K2714" s="62" t="s">
        <v>64</v>
      </c>
      <c r="L2714" s="62" t="s">
        <v>148</v>
      </c>
      <c r="M2714" s="62" t="n">
        <v>0</v>
      </c>
      <c r="N2714" s="62" t="n">
        <v>2</v>
      </c>
      <c r="O2714" s="62" t="n">
        <v>2</v>
      </c>
      <c r="P2714" s="62" t="n">
        <v>0</v>
      </c>
      <c r="Q2714" s="62" t="n">
        <v>1</v>
      </c>
      <c r="R2714" s="62" t="n">
        <v>1</v>
      </c>
      <c r="S2714" s="62" t="n">
        <v>0</v>
      </c>
      <c r="T2714" s="62" t="n">
        <v>0</v>
      </c>
      <c r="U2714" s="62"/>
      <c r="V2714" s="62"/>
      <c r="W2714" s="62"/>
      <c r="X2714" s="62"/>
      <c r="Y2714" s="62"/>
      <c r="Z2714" s="62" t="s">
        <v>4936</v>
      </c>
      <c r="AA2714" s="62" t="s">
        <v>4937</v>
      </c>
      <c r="AB2714" s="62" t="n">
        <v>1</v>
      </c>
      <c r="AC2714" s="62" t="n">
        <v>0</v>
      </c>
      <c r="AD2714" s="62" t="n">
        <v>0</v>
      </c>
      <c r="AE2714" s="62" t="n">
        <f aca="false">IF(AND(Dashboard!$C$9="Yes",AC2714=1),0,1)</f>
        <v>1</v>
      </c>
      <c r="AF2714" s="62" t="n">
        <v>0</v>
      </c>
    </row>
    <row r="2715" customFormat="false" ht="15" hidden="false" customHeight="false" outlineLevel="0" collapsed="false">
      <c r="A2715" s="62" t="n">
        <v>2714</v>
      </c>
      <c r="B2715" s="63" t="n">
        <v>46292.7235532407</v>
      </c>
      <c r="C2715" s="64" t="n">
        <v>46292</v>
      </c>
      <c r="D2715" s="62" t="s">
        <v>393</v>
      </c>
      <c r="E2715" s="62" t="s">
        <v>4633</v>
      </c>
      <c r="F2715" s="62" t="s">
        <v>4633</v>
      </c>
      <c r="G2715" s="62" t="s">
        <v>4634</v>
      </c>
      <c r="H2715" s="62" t="s">
        <v>48</v>
      </c>
      <c r="I2715" s="62" t="s">
        <v>49</v>
      </c>
      <c r="J2715" s="62" t="s">
        <v>146</v>
      </c>
      <c r="K2715" s="62" t="s">
        <v>209</v>
      </c>
      <c r="L2715" s="62" t="s">
        <v>4</v>
      </c>
      <c r="M2715" s="62" t="n">
        <v>1</v>
      </c>
      <c r="N2715" s="62" t="n">
        <v>0</v>
      </c>
      <c r="O2715" s="62" t="n">
        <v>1</v>
      </c>
      <c r="P2715" s="62" t="n">
        <v>0</v>
      </c>
      <c r="Q2715" s="62" t="n">
        <v>0</v>
      </c>
      <c r="R2715" s="62" t="n">
        <v>0</v>
      </c>
      <c r="S2715" s="62" t="n">
        <v>0</v>
      </c>
      <c r="T2715" s="62" t="n">
        <v>0</v>
      </c>
      <c r="U2715" s="62" t="s">
        <v>2056</v>
      </c>
      <c r="V2715" s="62" t="s">
        <v>2057</v>
      </c>
      <c r="W2715" s="62" t="s">
        <v>15</v>
      </c>
      <c r="X2715" s="62" t="s">
        <v>2058</v>
      </c>
      <c r="Y2715" s="62" t="s">
        <v>2059</v>
      </c>
      <c r="Z2715" s="62" t="s">
        <v>4938</v>
      </c>
      <c r="AA2715" s="62" t="s">
        <v>4939</v>
      </c>
      <c r="AB2715" s="62" t="n">
        <v>1</v>
      </c>
      <c r="AC2715" s="62" t="n">
        <v>0</v>
      </c>
      <c r="AD2715" s="62" t="n">
        <v>1</v>
      </c>
      <c r="AE2715" s="62" t="n">
        <f aca="false">IF(AND(Dashboard!$C$9="Yes",AC2715=1),0,1)</f>
        <v>1</v>
      </c>
      <c r="AF2715" s="62" t="n">
        <v>1</v>
      </c>
    </row>
    <row r="2716" customFormat="false" ht="15" hidden="false" customHeight="false" outlineLevel="0" collapsed="false">
      <c r="A2716" s="62" t="n">
        <v>2715</v>
      </c>
      <c r="B2716" s="63" t="n">
        <v>46292.7370833333</v>
      </c>
      <c r="C2716" s="64" t="n">
        <v>46292</v>
      </c>
      <c r="D2716" s="62" t="s">
        <v>393</v>
      </c>
      <c r="E2716" s="62" t="s">
        <v>1571</v>
      </c>
      <c r="F2716" s="62" t="s">
        <v>1571</v>
      </c>
      <c r="G2716" s="62" t="s">
        <v>1572</v>
      </c>
      <c r="H2716" s="62" t="s">
        <v>52</v>
      </c>
      <c r="I2716" s="62" t="s">
        <v>47</v>
      </c>
      <c r="J2716" s="62" t="s">
        <v>146</v>
      </c>
      <c r="K2716" s="62" t="s">
        <v>209</v>
      </c>
      <c r="L2716" s="62" t="s">
        <v>4</v>
      </c>
      <c r="M2716" s="62" t="n">
        <v>1</v>
      </c>
      <c r="N2716" s="62" t="n">
        <v>0</v>
      </c>
      <c r="O2716" s="62" t="n">
        <v>1</v>
      </c>
      <c r="P2716" s="62" t="n">
        <v>0</v>
      </c>
      <c r="Q2716" s="62" t="n">
        <v>0</v>
      </c>
      <c r="R2716" s="62" t="n">
        <v>0</v>
      </c>
      <c r="S2716" s="62" t="n">
        <v>0</v>
      </c>
      <c r="T2716" s="62" t="n">
        <v>0</v>
      </c>
      <c r="U2716" s="62" t="s">
        <v>2056</v>
      </c>
      <c r="V2716" s="62" t="s">
        <v>2057</v>
      </c>
      <c r="W2716" s="62" t="s">
        <v>2056</v>
      </c>
      <c r="X2716" s="62" t="s">
        <v>2180</v>
      </c>
      <c r="Y2716" s="62" t="s">
        <v>2059</v>
      </c>
      <c r="Z2716" s="62" t="s">
        <v>4936</v>
      </c>
      <c r="AA2716" s="62" t="s">
        <v>4937</v>
      </c>
      <c r="AB2716" s="62" t="n">
        <v>1</v>
      </c>
      <c r="AC2716" s="62" t="n">
        <v>0</v>
      </c>
      <c r="AD2716" s="62" t="n">
        <v>1</v>
      </c>
      <c r="AE2716" s="62" t="n">
        <f aca="false">IF(AND(Dashboard!$C$9="Yes",AC2716=1),0,1)</f>
        <v>1</v>
      </c>
      <c r="AF2716" s="62" t="n">
        <v>1</v>
      </c>
    </row>
    <row r="2717" customFormat="false" ht="15" hidden="false" customHeight="false" outlineLevel="0" collapsed="false">
      <c r="A2717" s="62" t="n">
        <v>2716</v>
      </c>
      <c r="B2717" s="63" t="n">
        <v>46292.7388773148</v>
      </c>
      <c r="C2717" s="64" t="n">
        <v>46292</v>
      </c>
      <c r="D2717" s="62" t="s">
        <v>393</v>
      </c>
      <c r="E2717" s="62" t="s">
        <v>1571</v>
      </c>
      <c r="F2717" s="62" t="s">
        <v>1571</v>
      </c>
      <c r="G2717" s="62" t="s">
        <v>1572</v>
      </c>
      <c r="H2717" s="62" t="s">
        <v>52</v>
      </c>
      <c r="I2717" s="62" t="s">
        <v>47</v>
      </c>
      <c r="J2717" s="62" t="s">
        <v>146</v>
      </c>
      <c r="K2717" s="62" t="s">
        <v>209</v>
      </c>
      <c r="L2717" s="62" t="s">
        <v>148</v>
      </c>
      <c r="M2717" s="62" t="n">
        <v>0</v>
      </c>
      <c r="N2717" s="62" t="n">
        <v>1</v>
      </c>
      <c r="O2717" s="62" t="n">
        <v>1</v>
      </c>
      <c r="P2717" s="62" t="n">
        <v>0</v>
      </c>
      <c r="Q2717" s="62" t="n">
        <v>0</v>
      </c>
      <c r="R2717" s="62" t="n">
        <v>0</v>
      </c>
      <c r="S2717" s="62" t="n">
        <v>1</v>
      </c>
      <c r="T2717" s="62" t="n">
        <v>0</v>
      </c>
      <c r="U2717" s="62"/>
      <c r="V2717" s="62"/>
      <c r="W2717" s="62"/>
      <c r="X2717" s="62"/>
      <c r="Y2717" s="62"/>
      <c r="Z2717" s="62" t="s">
        <v>4936</v>
      </c>
      <c r="AA2717" s="62" t="s">
        <v>4940</v>
      </c>
      <c r="AB2717" s="62" t="n">
        <v>1</v>
      </c>
      <c r="AC2717" s="62" t="n">
        <v>0</v>
      </c>
      <c r="AD2717" s="62" t="n">
        <v>1</v>
      </c>
      <c r="AE2717" s="62" t="n">
        <f aca="false">IF(AND(Dashboard!$C$9="Yes",AC2717=1),0,1)</f>
        <v>1</v>
      </c>
      <c r="AF2717" s="62" t="n">
        <v>0</v>
      </c>
    </row>
    <row r="2718" customFormat="false" ht="15" hidden="false" customHeight="false" outlineLevel="0" collapsed="false">
      <c r="A2718" s="62" t="n">
        <v>2717</v>
      </c>
      <c r="B2718" s="63" t="n">
        <v>46292.7499305556</v>
      </c>
      <c r="C2718" s="64" t="n">
        <v>46292</v>
      </c>
      <c r="D2718" s="62" t="s">
        <v>393</v>
      </c>
      <c r="E2718" s="62" t="s">
        <v>2156</v>
      </c>
      <c r="F2718" s="62" t="s">
        <v>2156</v>
      </c>
      <c r="G2718" s="62" t="s">
        <v>2157</v>
      </c>
      <c r="H2718" s="62" t="s">
        <v>52</v>
      </c>
      <c r="I2718" s="62" t="s">
        <v>47</v>
      </c>
      <c r="J2718" s="62" t="s">
        <v>146</v>
      </c>
      <c r="K2718" s="62" t="s">
        <v>209</v>
      </c>
      <c r="L2718" s="62" t="s">
        <v>148</v>
      </c>
      <c r="M2718" s="62" t="n">
        <v>0</v>
      </c>
      <c r="N2718" s="62" t="n">
        <v>1</v>
      </c>
      <c r="O2718" s="62" t="n">
        <v>1</v>
      </c>
      <c r="P2718" s="62" t="n">
        <v>1</v>
      </c>
      <c r="Q2718" s="62" t="n">
        <v>0</v>
      </c>
      <c r="R2718" s="62" t="n">
        <v>0</v>
      </c>
      <c r="S2718" s="62" t="n">
        <v>0</v>
      </c>
      <c r="T2718" s="62" t="n">
        <v>0</v>
      </c>
      <c r="U2718" s="62"/>
      <c r="V2718" s="62"/>
      <c r="W2718" s="62"/>
      <c r="X2718" s="62"/>
      <c r="Y2718" s="62"/>
      <c r="Z2718" s="62" t="s">
        <v>4941</v>
      </c>
      <c r="AA2718" s="62" t="s">
        <v>4942</v>
      </c>
      <c r="AB2718" s="62" t="n">
        <v>1</v>
      </c>
      <c r="AC2718" s="62" t="n">
        <v>0</v>
      </c>
      <c r="AD2718" s="62" t="n">
        <v>1</v>
      </c>
      <c r="AE2718" s="62" t="n">
        <f aca="false">IF(AND(Dashboard!$C$9="Yes",AC2718=1),0,1)</f>
        <v>1</v>
      </c>
      <c r="AF2718" s="62" t="n">
        <v>0</v>
      </c>
    </row>
    <row r="2719" customFormat="false" ht="15" hidden="false" customHeight="false" outlineLevel="0" collapsed="false">
      <c r="A2719" s="62" t="n">
        <v>2718</v>
      </c>
      <c r="B2719" s="63" t="n">
        <v>46292.750625</v>
      </c>
      <c r="C2719" s="64" t="n">
        <v>46292</v>
      </c>
      <c r="D2719" s="62" t="s">
        <v>393</v>
      </c>
      <c r="E2719" s="62" t="s">
        <v>1616</v>
      </c>
      <c r="F2719" s="62" t="s">
        <v>1616</v>
      </c>
      <c r="G2719" s="62" t="s">
        <v>1617</v>
      </c>
      <c r="H2719" s="62" t="s">
        <v>51</v>
      </c>
      <c r="I2719" s="62" t="s">
        <v>47</v>
      </c>
      <c r="J2719" s="62" t="s">
        <v>146</v>
      </c>
      <c r="K2719" s="62" t="s">
        <v>175</v>
      </c>
      <c r="L2719" s="62" t="s">
        <v>148</v>
      </c>
      <c r="M2719" s="62" t="n">
        <v>0</v>
      </c>
      <c r="N2719" s="62" t="n">
        <v>1</v>
      </c>
      <c r="O2719" s="62" t="n">
        <v>1</v>
      </c>
      <c r="P2719" s="62" t="n">
        <v>1</v>
      </c>
      <c r="Q2719" s="62" t="n">
        <v>0</v>
      </c>
      <c r="R2719" s="62" t="n">
        <v>0</v>
      </c>
      <c r="S2719" s="62" t="n">
        <v>0</v>
      </c>
      <c r="T2719" s="62" t="n">
        <v>0</v>
      </c>
      <c r="U2719" s="62"/>
      <c r="V2719" s="62"/>
      <c r="W2719" s="62"/>
      <c r="X2719" s="62"/>
      <c r="Y2719" s="62"/>
      <c r="Z2719" s="62" t="s">
        <v>4943</v>
      </c>
      <c r="AA2719" s="62" t="s">
        <v>4944</v>
      </c>
      <c r="AB2719" s="62" t="n">
        <v>1</v>
      </c>
      <c r="AC2719" s="62" t="n">
        <v>0</v>
      </c>
      <c r="AD2719" s="62" t="n">
        <v>1</v>
      </c>
      <c r="AE2719" s="62" t="n">
        <f aca="false">IF(AND(Dashboard!$C$9="Yes",AC2719=1),0,1)</f>
        <v>1</v>
      </c>
      <c r="AF2719" s="62" t="n">
        <v>1</v>
      </c>
    </row>
    <row r="2720" customFormat="false" ht="15" hidden="false" customHeight="false" outlineLevel="0" collapsed="false">
      <c r="A2720" s="62" t="n">
        <v>2719</v>
      </c>
      <c r="B2720" s="63" t="n">
        <v>46292.7636805556</v>
      </c>
      <c r="C2720" s="64" t="n">
        <v>46292</v>
      </c>
      <c r="D2720" s="62" t="s">
        <v>393</v>
      </c>
      <c r="E2720" s="62" t="s">
        <v>3967</v>
      </c>
      <c r="F2720" s="62" t="s">
        <v>3967</v>
      </c>
      <c r="G2720" s="62" t="s">
        <v>3968</v>
      </c>
      <c r="H2720" s="62" t="s">
        <v>46</v>
      </c>
      <c r="I2720" s="62" t="s">
        <v>47</v>
      </c>
      <c r="J2720" s="62" t="s">
        <v>146</v>
      </c>
      <c r="K2720" s="62" t="s">
        <v>209</v>
      </c>
      <c r="L2720" s="62" t="s">
        <v>4</v>
      </c>
      <c r="M2720" s="62" t="n">
        <v>1</v>
      </c>
      <c r="N2720" s="62" t="n">
        <v>0</v>
      </c>
      <c r="O2720" s="62" t="n">
        <v>1</v>
      </c>
      <c r="P2720" s="62" t="n">
        <v>0</v>
      </c>
      <c r="Q2720" s="62" t="n">
        <v>0</v>
      </c>
      <c r="R2720" s="62" t="n">
        <v>0</v>
      </c>
      <c r="S2720" s="62" t="n">
        <v>0</v>
      </c>
      <c r="T2720" s="62" t="n">
        <v>0</v>
      </c>
      <c r="U2720" s="62" t="s">
        <v>2056</v>
      </c>
      <c r="V2720" s="62" t="s">
        <v>2057</v>
      </c>
      <c r="W2720" s="62" t="s">
        <v>15</v>
      </c>
      <c r="X2720" s="62" t="s">
        <v>2058</v>
      </c>
      <c r="Y2720" s="62" t="s">
        <v>2103</v>
      </c>
      <c r="Z2720" s="62" t="s">
        <v>4945</v>
      </c>
      <c r="AA2720" s="62" t="s">
        <v>4946</v>
      </c>
      <c r="AB2720" s="62" t="n">
        <v>0</v>
      </c>
      <c r="AC2720" s="62" t="n">
        <v>0</v>
      </c>
      <c r="AD2720" s="62" t="n">
        <v>1</v>
      </c>
      <c r="AE2720" s="62" t="n">
        <f aca="false">IF(AND(Dashboard!$C$9="Yes",AC2720=1),0,1)</f>
        <v>1</v>
      </c>
      <c r="AF2720" s="62" t="n">
        <v>1</v>
      </c>
    </row>
    <row r="2721" customFormat="false" ht="15" hidden="false" customHeight="false" outlineLevel="0" collapsed="false">
      <c r="A2721" s="62" t="n">
        <v>2720</v>
      </c>
      <c r="B2721" s="63" t="n">
        <v>46292.7784259259</v>
      </c>
      <c r="C2721" s="64" t="n">
        <v>46292</v>
      </c>
      <c r="D2721" s="62" t="s">
        <v>393</v>
      </c>
      <c r="E2721" s="62" t="s">
        <v>1382</v>
      </c>
      <c r="F2721" s="62" t="s">
        <v>1382</v>
      </c>
      <c r="G2721" s="62" t="s">
        <v>1383</v>
      </c>
      <c r="H2721" s="62" t="s">
        <v>58</v>
      </c>
      <c r="I2721" s="62" t="s">
        <v>49</v>
      </c>
      <c r="J2721" s="62" t="s">
        <v>146</v>
      </c>
      <c r="K2721" s="62" t="s">
        <v>175</v>
      </c>
      <c r="L2721" s="62" t="s">
        <v>148</v>
      </c>
      <c r="M2721" s="62" t="n">
        <v>0</v>
      </c>
      <c r="N2721" s="62" t="n">
        <v>1</v>
      </c>
      <c r="O2721" s="62" t="n">
        <v>1</v>
      </c>
      <c r="P2721" s="62" t="n">
        <v>1</v>
      </c>
      <c r="Q2721" s="62" t="n">
        <v>0</v>
      </c>
      <c r="R2721" s="62" t="n">
        <v>0</v>
      </c>
      <c r="S2721" s="62" t="n">
        <v>0</v>
      </c>
      <c r="T2721" s="62" t="n">
        <v>0</v>
      </c>
      <c r="U2721" s="62"/>
      <c r="V2721" s="62"/>
      <c r="W2721" s="62"/>
      <c r="X2721" s="62"/>
      <c r="Y2721" s="62"/>
      <c r="Z2721" s="62" t="s">
        <v>4947</v>
      </c>
      <c r="AA2721" s="62" t="s">
        <v>4948</v>
      </c>
      <c r="AB2721" s="62" t="n">
        <v>1</v>
      </c>
      <c r="AC2721" s="62" t="n">
        <v>0</v>
      </c>
      <c r="AD2721" s="62" t="n">
        <v>1</v>
      </c>
      <c r="AE2721" s="62" t="n">
        <f aca="false">IF(AND(Dashboard!$C$9="Yes",AC2721=1),0,1)</f>
        <v>1</v>
      </c>
      <c r="AF2721" s="62" t="n">
        <v>1</v>
      </c>
    </row>
    <row r="2722" customFormat="false" ht="15" hidden="false" customHeight="false" outlineLevel="0" collapsed="false">
      <c r="A2722" s="62" t="n">
        <v>2721</v>
      </c>
      <c r="B2722" s="63" t="n">
        <v>46292.7947916667</v>
      </c>
      <c r="C2722" s="64" t="n">
        <v>46292</v>
      </c>
      <c r="D2722" s="62" t="s">
        <v>393</v>
      </c>
      <c r="E2722" s="62" t="s">
        <v>255</v>
      </c>
      <c r="F2722" s="62" t="s">
        <v>255</v>
      </c>
      <c r="G2722" s="62" t="s">
        <v>256</v>
      </c>
      <c r="H2722" s="62" t="s">
        <v>57</v>
      </c>
      <c r="I2722" s="62" t="s">
        <v>47</v>
      </c>
      <c r="J2722" s="62" t="s">
        <v>146</v>
      </c>
      <c r="K2722" s="62" t="s">
        <v>147</v>
      </c>
      <c r="L2722" s="62" t="s">
        <v>148</v>
      </c>
      <c r="M2722" s="62" t="n">
        <v>0</v>
      </c>
      <c r="N2722" s="62" t="n">
        <v>1</v>
      </c>
      <c r="O2722" s="62" t="n">
        <v>1</v>
      </c>
      <c r="P2722" s="62" t="n">
        <v>1</v>
      </c>
      <c r="Q2722" s="62" t="n">
        <v>0</v>
      </c>
      <c r="R2722" s="62" t="n">
        <v>0</v>
      </c>
      <c r="S2722" s="62" t="n">
        <v>0</v>
      </c>
      <c r="T2722" s="62" t="n">
        <v>0</v>
      </c>
      <c r="U2722" s="62"/>
      <c r="V2722" s="62"/>
      <c r="W2722" s="62"/>
      <c r="X2722" s="62"/>
      <c r="Y2722" s="62"/>
      <c r="Z2722" s="62" t="s">
        <v>4949</v>
      </c>
      <c r="AA2722" s="62" t="s">
        <v>4950</v>
      </c>
      <c r="AB2722" s="62" t="n">
        <v>1</v>
      </c>
      <c r="AC2722" s="62" t="n">
        <v>0</v>
      </c>
      <c r="AD2722" s="62" t="n">
        <v>1</v>
      </c>
      <c r="AE2722" s="62" t="n">
        <f aca="false">IF(AND(Dashboard!$C$9="Yes",AC2722=1),0,1)</f>
        <v>1</v>
      </c>
      <c r="AF2722" s="62" t="n">
        <v>1</v>
      </c>
    </row>
    <row r="2723" customFormat="false" ht="15" hidden="false" customHeight="false" outlineLevel="0" collapsed="false">
      <c r="A2723" s="62" t="n">
        <v>2722</v>
      </c>
      <c r="B2723" s="63" t="n">
        <v>46292.8162268519</v>
      </c>
      <c r="C2723" s="64" t="n">
        <v>46292</v>
      </c>
      <c r="D2723" s="62" t="s">
        <v>393</v>
      </c>
      <c r="E2723" s="62" t="s">
        <v>573</v>
      </c>
      <c r="F2723" s="62" t="s">
        <v>573</v>
      </c>
      <c r="G2723" s="62" t="s">
        <v>574</v>
      </c>
      <c r="H2723" s="62" t="s">
        <v>51</v>
      </c>
      <c r="I2723" s="62" t="s">
        <v>47</v>
      </c>
      <c r="J2723" s="62" t="s">
        <v>146</v>
      </c>
      <c r="K2723" s="62" t="s">
        <v>147</v>
      </c>
      <c r="L2723" s="62" t="s">
        <v>148</v>
      </c>
      <c r="M2723" s="62" t="n">
        <v>0</v>
      </c>
      <c r="N2723" s="62" t="n">
        <v>1</v>
      </c>
      <c r="O2723" s="62" t="n">
        <v>1</v>
      </c>
      <c r="P2723" s="62" t="n">
        <v>1</v>
      </c>
      <c r="Q2723" s="62" t="n">
        <v>0</v>
      </c>
      <c r="R2723" s="62" t="n">
        <v>0</v>
      </c>
      <c r="S2723" s="62" t="n">
        <v>0</v>
      </c>
      <c r="T2723" s="62" t="n">
        <v>0</v>
      </c>
      <c r="U2723" s="62"/>
      <c r="V2723" s="62"/>
      <c r="W2723" s="62"/>
      <c r="X2723" s="62"/>
      <c r="Y2723" s="62"/>
      <c r="Z2723" s="62" t="s">
        <v>4951</v>
      </c>
      <c r="AA2723" s="62" t="s">
        <v>4952</v>
      </c>
      <c r="AB2723" s="62" t="n">
        <v>1</v>
      </c>
      <c r="AC2723" s="62" t="n">
        <v>0</v>
      </c>
      <c r="AD2723" s="62" t="n">
        <v>1</v>
      </c>
      <c r="AE2723" s="62" t="n">
        <f aca="false">IF(AND(Dashboard!$C$9="Yes",AC2723=1),0,1)</f>
        <v>1</v>
      </c>
      <c r="AF2723" s="62" t="n">
        <v>1</v>
      </c>
    </row>
    <row r="2724" customFormat="false" ht="15" hidden="false" customHeight="false" outlineLevel="0" collapsed="false">
      <c r="A2724" s="62" t="n">
        <v>2723</v>
      </c>
      <c r="B2724" s="63" t="n">
        <v>46292.8199189815</v>
      </c>
      <c r="C2724" s="64" t="n">
        <v>46292</v>
      </c>
      <c r="D2724" s="62" t="s">
        <v>393</v>
      </c>
      <c r="E2724" s="62" t="s">
        <v>999</v>
      </c>
      <c r="F2724" s="62" t="s">
        <v>999</v>
      </c>
      <c r="G2724" s="62" t="s">
        <v>1000</v>
      </c>
      <c r="H2724" s="62" t="s">
        <v>46</v>
      </c>
      <c r="I2724" s="62" t="s">
        <v>47</v>
      </c>
      <c r="J2724" s="62" t="s">
        <v>146</v>
      </c>
      <c r="K2724" s="62" t="s">
        <v>209</v>
      </c>
      <c r="L2724" s="62" t="s">
        <v>148</v>
      </c>
      <c r="M2724" s="62" t="n">
        <v>0</v>
      </c>
      <c r="N2724" s="62" t="n">
        <v>1</v>
      </c>
      <c r="O2724" s="62" t="n">
        <v>1</v>
      </c>
      <c r="P2724" s="62" t="n">
        <v>0</v>
      </c>
      <c r="Q2724" s="62" t="n">
        <v>1</v>
      </c>
      <c r="R2724" s="62" t="n">
        <v>0</v>
      </c>
      <c r="S2724" s="62" t="n">
        <v>0</v>
      </c>
      <c r="T2724" s="62" t="n">
        <v>0</v>
      </c>
      <c r="U2724" s="62"/>
      <c r="V2724" s="62"/>
      <c r="W2724" s="62"/>
      <c r="X2724" s="62"/>
      <c r="Y2724" s="62"/>
      <c r="Z2724" s="62" t="s">
        <v>4953</v>
      </c>
      <c r="AA2724" s="62" t="s">
        <v>4954</v>
      </c>
      <c r="AB2724" s="62" t="n">
        <v>1</v>
      </c>
      <c r="AC2724" s="62" t="n">
        <v>0</v>
      </c>
      <c r="AD2724" s="62" t="n">
        <v>1</v>
      </c>
      <c r="AE2724" s="62" t="n">
        <f aca="false">IF(AND(Dashboard!$C$9="Yes",AC2724=1),0,1)</f>
        <v>1</v>
      </c>
      <c r="AF2724" s="62" t="n">
        <v>1</v>
      </c>
    </row>
    <row r="2725" customFormat="false" ht="15" hidden="false" customHeight="false" outlineLevel="0" collapsed="false">
      <c r="A2725" s="62" t="n">
        <v>2724</v>
      </c>
      <c r="B2725" s="63" t="n">
        <v>46292.8372569445</v>
      </c>
      <c r="C2725" s="64" t="n">
        <v>46292</v>
      </c>
      <c r="D2725" s="62" t="s">
        <v>393</v>
      </c>
      <c r="E2725" s="62" t="s">
        <v>1005</v>
      </c>
      <c r="F2725" s="62" t="s">
        <v>1005</v>
      </c>
      <c r="G2725" s="62" t="s">
        <v>1006</v>
      </c>
      <c r="H2725" s="62" t="s">
        <v>46</v>
      </c>
      <c r="I2725" s="62" t="s">
        <v>47</v>
      </c>
      <c r="J2725" s="62" t="s">
        <v>146</v>
      </c>
      <c r="K2725" s="62" t="s">
        <v>209</v>
      </c>
      <c r="L2725" s="62" t="s">
        <v>4</v>
      </c>
      <c r="M2725" s="62" t="n">
        <v>1</v>
      </c>
      <c r="N2725" s="62" t="n">
        <v>0</v>
      </c>
      <c r="O2725" s="62" t="n">
        <v>1</v>
      </c>
      <c r="P2725" s="62" t="n">
        <v>0</v>
      </c>
      <c r="Q2725" s="62" t="n">
        <v>0</v>
      </c>
      <c r="R2725" s="62" t="n">
        <v>0</v>
      </c>
      <c r="S2725" s="62" t="n">
        <v>0</v>
      </c>
      <c r="T2725" s="62" t="n">
        <v>0</v>
      </c>
      <c r="U2725" s="62" t="s">
        <v>2056</v>
      </c>
      <c r="V2725" s="62" t="s">
        <v>2068</v>
      </c>
      <c r="W2725" s="62"/>
      <c r="X2725" s="62" t="s">
        <v>2125</v>
      </c>
      <c r="Y2725" s="62" t="s">
        <v>2059</v>
      </c>
      <c r="Z2725" s="62" t="s">
        <v>4867</v>
      </c>
      <c r="AA2725" s="62" t="s">
        <v>4955</v>
      </c>
      <c r="AB2725" s="62" t="n">
        <v>1</v>
      </c>
      <c r="AC2725" s="62" t="n">
        <v>0</v>
      </c>
      <c r="AD2725" s="62" t="n">
        <v>1</v>
      </c>
      <c r="AE2725" s="62" t="n">
        <f aca="false">IF(AND(Dashboard!$C$9="Yes",AC2725=1),0,1)</f>
        <v>1</v>
      </c>
      <c r="AF2725" s="62" t="n">
        <v>1</v>
      </c>
    </row>
    <row r="2726" customFormat="false" ht="15" hidden="false" customHeight="false" outlineLevel="0" collapsed="false">
      <c r="A2726" s="62" t="n">
        <v>2725</v>
      </c>
      <c r="B2726" s="63" t="n">
        <v>46292.8477662037</v>
      </c>
      <c r="C2726" s="64" t="n">
        <v>46292</v>
      </c>
      <c r="D2726" s="62" t="s">
        <v>393</v>
      </c>
      <c r="E2726" s="62" t="s">
        <v>207</v>
      </c>
      <c r="F2726" s="62" t="s">
        <v>207</v>
      </c>
      <c r="G2726" s="62" t="s">
        <v>208</v>
      </c>
      <c r="H2726" s="62" t="s">
        <v>48</v>
      </c>
      <c r="I2726" s="62" t="s">
        <v>49</v>
      </c>
      <c r="J2726" s="62" t="s">
        <v>146</v>
      </c>
      <c r="K2726" s="62" t="s">
        <v>209</v>
      </c>
      <c r="L2726" s="62" t="s">
        <v>4</v>
      </c>
      <c r="M2726" s="62" t="n">
        <v>1</v>
      </c>
      <c r="N2726" s="62" t="n">
        <v>0</v>
      </c>
      <c r="O2726" s="62" t="n">
        <v>1</v>
      </c>
      <c r="P2726" s="62" t="n">
        <v>0</v>
      </c>
      <c r="Q2726" s="62" t="n">
        <v>0</v>
      </c>
      <c r="R2726" s="62" t="n">
        <v>0</v>
      </c>
      <c r="S2726" s="62" t="n">
        <v>0</v>
      </c>
      <c r="T2726" s="62" t="n">
        <v>0</v>
      </c>
      <c r="U2726" s="62" t="s">
        <v>2056</v>
      </c>
      <c r="V2726" s="62" t="s">
        <v>2057</v>
      </c>
      <c r="W2726" s="62" t="s">
        <v>15</v>
      </c>
      <c r="X2726" s="62" t="s">
        <v>2058</v>
      </c>
      <c r="Y2726" s="62" t="s">
        <v>2103</v>
      </c>
      <c r="Z2726" s="62" t="s">
        <v>4956</v>
      </c>
      <c r="AA2726" s="62" t="s">
        <v>4957</v>
      </c>
      <c r="AB2726" s="62" t="n">
        <v>1</v>
      </c>
      <c r="AC2726" s="62" t="n">
        <v>0</v>
      </c>
      <c r="AD2726" s="62" t="n">
        <v>1</v>
      </c>
      <c r="AE2726" s="62" t="n">
        <f aca="false">IF(AND(Dashboard!$C$9="Yes",AC2726=1),0,1)</f>
        <v>1</v>
      </c>
      <c r="AF2726" s="62" t="n">
        <v>1</v>
      </c>
    </row>
    <row r="2727" customFormat="false" ht="15" hidden="false" customHeight="false" outlineLevel="0" collapsed="false">
      <c r="A2727" s="62" t="n">
        <v>2726</v>
      </c>
      <c r="B2727" s="63" t="n">
        <v>46292.8614814815</v>
      </c>
      <c r="C2727" s="64" t="n">
        <v>46292</v>
      </c>
      <c r="D2727" s="62" t="s">
        <v>393</v>
      </c>
      <c r="E2727" s="62" t="s">
        <v>2071</v>
      </c>
      <c r="F2727" s="62" t="s">
        <v>2071</v>
      </c>
      <c r="G2727" s="62" t="s">
        <v>2072</v>
      </c>
      <c r="H2727" s="62" t="s">
        <v>58</v>
      </c>
      <c r="I2727" s="62" t="s">
        <v>49</v>
      </c>
      <c r="J2727" s="62" t="s">
        <v>146</v>
      </c>
      <c r="K2727" s="62" t="s">
        <v>175</v>
      </c>
      <c r="L2727" s="62" t="s">
        <v>148</v>
      </c>
      <c r="M2727" s="62" t="n">
        <v>0</v>
      </c>
      <c r="N2727" s="62" t="n">
        <v>1</v>
      </c>
      <c r="O2727" s="62" t="n">
        <v>1</v>
      </c>
      <c r="P2727" s="62" t="n">
        <v>0</v>
      </c>
      <c r="Q2727" s="62" t="n">
        <v>0</v>
      </c>
      <c r="R2727" s="62" t="n">
        <v>1</v>
      </c>
      <c r="S2727" s="62" t="n">
        <v>0</v>
      </c>
      <c r="T2727" s="62" t="n">
        <v>0</v>
      </c>
      <c r="U2727" s="62"/>
      <c r="V2727" s="62"/>
      <c r="W2727" s="62"/>
      <c r="X2727" s="62"/>
      <c r="Y2727" s="62"/>
      <c r="Z2727" s="62" t="s">
        <v>4958</v>
      </c>
      <c r="AA2727" s="62" t="s">
        <v>4959</v>
      </c>
      <c r="AB2727" s="62" t="n">
        <v>1</v>
      </c>
      <c r="AC2727" s="62" t="n">
        <v>0</v>
      </c>
      <c r="AD2727" s="62" t="n">
        <v>1</v>
      </c>
      <c r="AE2727" s="62" t="n">
        <f aca="false">IF(AND(Dashboard!$C$9="Yes",AC2727=1),0,1)</f>
        <v>1</v>
      </c>
      <c r="AF2727" s="62" t="n">
        <v>1</v>
      </c>
    </row>
    <row r="2728" customFormat="false" ht="15" hidden="false" customHeight="false" outlineLevel="0" collapsed="false">
      <c r="A2728" s="62" t="n">
        <v>2727</v>
      </c>
      <c r="B2728" s="63" t="n">
        <v>46292.8708333333</v>
      </c>
      <c r="C2728" s="64" t="n">
        <v>46292</v>
      </c>
      <c r="D2728" s="62" t="s">
        <v>393</v>
      </c>
      <c r="E2728" s="62" t="s">
        <v>3022</v>
      </c>
      <c r="F2728" s="62" t="s">
        <v>3022</v>
      </c>
      <c r="G2728" s="62" t="s">
        <v>3023</v>
      </c>
      <c r="H2728" s="62" t="s">
        <v>46</v>
      </c>
      <c r="I2728" s="62" t="s">
        <v>47</v>
      </c>
      <c r="J2728" s="62" t="s">
        <v>146</v>
      </c>
      <c r="K2728" s="62" t="s">
        <v>209</v>
      </c>
      <c r="L2728" s="62" t="s">
        <v>148</v>
      </c>
      <c r="M2728" s="62" t="n">
        <v>0</v>
      </c>
      <c r="N2728" s="62" t="n">
        <v>1</v>
      </c>
      <c r="O2728" s="62" t="n">
        <v>1</v>
      </c>
      <c r="P2728" s="62" t="n">
        <v>0</v>
      </c>
      <c r="Q2728" s="62" t="n">
        <v>0</v>
      </c>
      <c r="R2728" s="62" t="n">
        <v>1</v>
      </c>
      <c r="S2728" s="62" t="n">
        <v>0</v>
      </c>
      <c r="T2728" s="62" t="n">
        <v>0</v>
      </c>
      <c r="U2728" s="62"/>
      <c r="V2728" s="62"/>
      <c r="W2728" s="62"/>
      <c r="X2728" s="62"/>
      <c r="Y2728" s="62"/>
      <c r="Z2728" s="62" t="s">
        <v>4960</v>
      </c>
      <c r="AA2728" s="62" t="s">
        <v>337</v>
      </c>
      <c r="AB2728" s="62" t="n">
        <v>0</v>
      </c>
      <c r="AC2728" s="62" t="n">
        <v>0</v>
      </c>
      <c r="AD2728" s="62" t="n">
        <v>1</v>
      </c>
      <c r="AE2728" s="62" t="n">
        <f aca="false">IF(AND(Dashboard!$C$9="Yes",AC2728=1),0,1)</f>
        <v>1</v>
      </c>
      <c r="AF2728" s="62" t="n">
        <v>1</v>
      </c>
    </row>
    <row r="2729" customFormat="false" ht="15" hidden="false" customHeight="false" outlineLevel="0" collapsed="false">
      <c r="A2729" s="62" t="n">
        <v>2728</v>
      </c>
      <c r="B2729" s="63" t="n">
        <v>46292.8735300926</v>
      </c>
      <c r="C2729" s="64" t="n">
        <v>46292</v>
      </c>
      <c r="D2729" s="62" t="s">
        <v>393</v>
      </c>
      <c r="E2729" s="62" t="s">
        <v>1005</v>
      </c>
      <c r="F2729" s="62" t="s">
        <v>1005</v>
      </c>
      <c r="G2729" s="62" t="s">
        <v>1006</v>
      </c>
      <c r="H2729" s="62" t="s">
        <v>46</v>
      </c>
      <c r="I2729" s="62" t="s">
        <v>47</v>
      </c>
      <c r="J2729" s="62" t="s">
        <v>146</v>
      </c>
      <c r="K2729" s="62" t="s">
        <v>209</v>
      </c>
      <c r="L2729" s="62" t="s">
        <v>148</v>
      </c>
      <c r="M2729" s="62" t="n">
        <v>0</v>
      </c>
      <c r="N2729" s="62" t="n">
        <v>1</v>
      </c>
      <c r="O2729" s="62" t="n">
        <v>1</v>
      </c>
      <c r="P2729" s="62" t="n">
        <v>0</v>
      </c>
      <c r="Q2729" s="62" t="n">
        <v>0</v>
      </c>
      <c r="R2729" s="62" t="n">
        <v>1</v>
      </c>
      <c r="S2729" s="62" t="n">
        <v>0</v>
      </c>
      <c r="T2729" s="62" t="n">
        <v>0</v>
      </c>
      <c r="U2729" s="62"/>
      <c r="V2729" s="62"/>
      <c r="W2729" s="62"/>
      <c r="X2729" s="62"/>
      <c r="Y2729" s="62"/>
      <c r="Z2729" s="62" t="s">
        <v>4961</v>
      </c>
      <c r="AA2729" s="62" t="s">
        <v>4962</v>
      </c>
      <c r="AB2729" s="62" t="n">
        <v>1</v>
      </c>
      <c r="AC2729" s="62" t="n">
        <v>0</v>
      </c>
      <c r="AD2729" s="62" t="n">
        <v>1</v>
      </c>
      <c r="AE2729" s="62" t="n">
        <f aca="false">IF(AND(Dashboard!$C$9="Yes",AC2729=1),0,1)</f>
        <v>1</v>
      </c>
      <c r="AF2729" s="62" t="n">
        <v>0</v>
      </c>
    </row>
    <row r="2730" customFormat="false" ht="15" hidden="false" customHeight="false" outlineLevel="0" collapsed="false">
      <c r="A2730" s="62" t="n">
        <v>2729</v>
      </c>
      <c r="B2730" s="63" t="n">
        <v>46292.8930671296</v>
      </c>
      <c r="C2730" s="64" t="n">
        <v>46292</v>
      </c>
      <c r="D2730" s="62" t="s">
        <v>393</v>
      </c>
      <c r="E2730" s="62" t="s">
        <v>1155</v>
      </c>
      <c r="F2730" s="62" t="s">
        <v>1155</v>
      </c>
      <c r="G2730" s="62" t="s">
        <v>1156</v>
      </c>
      <c r="H2730" s="62" t="s">
        <v>59</v>
      </c>
      <c r="I2730" s="62" t="s">
        <v>47</v>
      </c>
      <c r="J2730" s="62" t="s">
        <v>146</v>
      </c>
      <c r="K2730" s="62" t="s">
        <v>209</v>
      </c>
      <c r="L2730" s="62" t="s">
        <v>4</v>
      </c>
      <c r="M2730" s="62" t="n">
        <v>1</v>
      </c>
      <c r="N2730" s="62" t="n">
        <v>0</v>
      </c>
      <c r="O2730" s="62" t="n">
        <v>1</v>
      </c>
      <c r="P2730" s="62" t="n">
        <v>0</v>
      </c>
      <c r="Q2730" s="62" t="n">
        <v>0</v>
      </c>
      <c r="R2730" s="62" t="n">
        <v>0</v>
      </c>
      <c r="S2730" s="62" t="n">
        <v>0</v>
      </c>
      <c r="T2730" s="62" t="n">
        <v>0</v>
      </c>
      <c r="U2730" s="62" t="s">
        <v>2056</v>
      </c>
      <c r="V2730" s="62" t="s">
        <v>2057</v>
      </c>
      <c r="W2730" s="62" t="s">
        <v>2056</v>
      </c>
      <c r="X2730" s="62" t="s">
        <v>2164</v>
      </c>
      <c r="Y2730" s="62" t="s">
        <v>2165</v>
      </c>
      <c r="Z2730" s="62" t="s">
        <v>4963</v>
      </c>
      <c r="AA2730" s="62" t="s">
        <v>4964</v>
      </c>
      <c r="AB2730" s="62" t="n">
        <v>1</v>
      </c>
      <c r="AC2730" s="62" t="n">
        <v>0</v>
      </c>
      <c r="AD2730" s="62" t="n">
        <v>1</v>
      </c>
      <c r="AE2730" s="62" t="n">
        <f aca="false">IF(AND(Dashboard!$C$9="Yes",AC2730=1),0,1)</f>
        <v>1</v>
      </c>
      <c r="AF2730" s="62" t="n">
        <v>1</v>
      </c>
    </row>
    <row r="2731" customFormat="false" ht="15" hidden="false" customHeight="false" outlineLevel="0" collapsed="false">
      <c r="A2731" s="62" t="n">
        <v>2730</v>
      </c>
      <c r="B2731" s="63" t="n">
        <v>46292.9014351852</v>
      </c>
      <c r="C2731" s="64" t="n">
        <v>46292</v>
      </c>
      <c r="D2731" s="62" t="s">
        <v>393</v>
      </c>
      <c r="E2731" s="62" t="s">
        <v>1155</v>
      </c>
      <c r="F2731" s="62" t="s">
        <v>1155</v>
      </c>
      <c r="G2731" s="62" t="s">
        <v>1156</v>
      </c>
      <c r="H2731" s="62" t="s">
        <v>59</v>
      </c>
      <c r="I2731" s="62" t="s">
        <v>47</v>
      </c>
      <c r="J2731" s="62" t="s">
        <v>146</v>
      </c>
      <c r="K2731" s="62" t="s">
        <v>209</v>
      </c>
      <c r="L2731" s="62" t="s">
        <v>148</v>
      </c>
      <c r="M2731" s="62" t="n">
        <v>0</v>
      </c>
      <c r="N2731" s="62" t="n">
        <v>1</v>
      </c>
      <c r="O2731" s="62" t="n">
        <v>1</v>
      </c>
      <c r="P2731" s="62" t="n">
        <v>0</v>
      </c>
      <c r="Q2731" s="62" t="n">
        <v>0</v>
      </c>
      <c r="R2731" s="62" t="n">
        <v>0</v>
      </c>
      <c r="S2731" s="62" t="n">
        <v>1</v>
      </c>
      <c r="T2731" s="62" t="n">
        <v>0</v>
      </c>
      <c r="U2731" s="62"/>
      <c r="V2731" s="62"/>
      <c r="W2731" s="62"/>
      <c r="X2731" s="62"/>
      <c r="Y2731" s="62"/>
      <c r="Z2731" s="62" t="s">
        <v>4963</v>
      </c>
      <c r="AA2731" s="62" t="s">
        <v>4965</v>
      </c>
      <c r="AB2731" s="62" t="n">
        <v>1</v>
      </c>
      <c r="AC2731" s="62" t="n">
        <v>0</v>
      </c>
      <c r="AD2731" s="62" t="n">
        <v>1</v>
      </c>
      <c r="AE2731" s="62" t="n">
        <f aca="false">IF(AND(Dashboard!$C$9="Yes",AC2731=1),0,1)</f>
        <v>1</v>
      </c>
      <c r="AF2731" s="62" t="n">
        <v>0</v>
      </c>
    </row>
    <row r="2732" customFormat="false" ht="15" hidden="false" customHeight="false" outlineLevel="0" collapsed="false">
      <c r="A2732" s="62" t="n">
        <v>2731</v>
      </c>
      <c r="B2732" s="63" t="n">
        <v>46292.9017708333</v>
      </c>
      <c r="C2732" s="64" t="n">
        <v>46292</v>
      </c>
      <c r="D2732" s="62" t="s">
        <v>393</v>
      </c>
      <c r="E2732" s="62" t="s">
        <v>1155</v>
      </c>
      <c r="F2732" s="62" t="s">
        <v>1155</v>
      </c>
      <c r="G2732" s="62" t="s">
        <v>1156</v>
      </c>
      <c r="H2732" s="62" t="s">
        <v>59</v>
      </c>
      <c r="I2732" s="62" t="s">
        <v>47</v>
      </c>
      <c r="J2732" s="62" t="s">
        <v>146</v>
      </c>
      <c r="K2732" s="62" t="s">
        <v>209</v>
      </c>
      <c r="L2732" s="62" t="s">
        <v>4</v>
      </c>
      <c r="M2732" s="62" t="n">
        <v>1</v>
      </c>
      <c r="N2732" s="62" t="n">
        <v>0</v>
      </c>
      <c r="O2732" s="62" t="n">
        <v>1</v>
      </c>
      <c r="P2732" s="62" t="n">
        <v>0</v>
      </c>
      <c r="Q2732" s="62" t="n">
        <v>0</v>
      </c>
      <c r="R2732" s="62" t="n">
        <v>0</v>
      </c>
      <c r="S2732" s="62" t="n">
        <v>0</v>
      </c>
      <c r="T2732" s="62" t="n">
        <v>0</v>
      </c>
      <c r="U2732" s="62" t="s">
        <v>2056</v>
      </c>
      <c r="V2732" s="62" t="s">
        <v>2057</v>
      </c>
      <c r="W2732" s="62" t="s">
        <v>15</v>
      </c>
      <c r="X2732" s="62" t="s">
        <v>2058</v>
      </c>
      <c r="Y2732" s="62" t="s">
        <v>2059</v>
      </c>
      <c r="Z2732" s="62" t="s">
        <v>4963</v>
      </c>
      <c r="AA2732" s="62" t="s">
        <v>4965</v>
      </c>
      <c r="AB2732" s="62" t="n">
        <v>1</v>
      </c>
      <c r="AC2732" s="62" t="n">
        <v>0</v>
      </c>
      <c r="AD2732" s="62" t="n">
        <v>1</v>
      </c>
      <c r="AE2732" s="62" t="n">
        <f aca="false">IF(AND(Dashboard!$C$9="Yes",AC2732=1),0,1)</f>
        <v>1</v>
      </c>
      <c r="AF2732" s="62" t="n">
        <v>0</v>
      </c>
    </row>
    <row r="2733" customFormat="false" ht="15" hidden="false" customHeight="false" outlineLevel="0" collapsed="false">
      <c r="A2733" s="62" t="n">
        <v>2732</v>
      </c>
      <c r="B2733" s="63" t="n">
        <v>46292.9039351852</v>
      </c>
      <c r="C2733" s="64" t="n">
        <v>46292</v>
      </c>
      <c r="D2733" s="62" t="s">
        <v>393</v>
      </c>
      <c r="E2733" s="62" t="s">
        <v>2385</v>
      </c>
      <c r="F2733" s="62" t="s">
        <v>2385</v>
      </c>
      <c r="G2733" s="62" t="s">
        <v>2386</v>
      </c>
      <c r="H2733" s="62" t="s">
        <v>59</v>
      </c>
      <c r="I2733" s="62" t="s">
        <v>47</v>
      </c>
      <c r="J2733" s="62" t="s">
        <v>146</v>
      </c>
      <c r="K2733" s="62" t="s">
        <v>209</v>
      </c>
      <c r="L2733" s="62" t="s">
        <v>148</v>
      </c>
      <c r="M2733" s="62" t="n">
        <v>0</v>
      </c>
      <c r="N2733" s="62" t="n">
        <v>1</v>
      </c>
      <c r="O2733" s="62" t="n">
        <v>1</v>
      </c>
      <c r="P2733" s="62" t="n">
        <v>0</v>
      </c>
      <c r="Q2733" s="62" t="n">
        <v>1</v>
      </c>
      <c r="R2733" s="62" t="n">
        <v>0</v>
      </c>
      <c r="S2733" s="62" t="n">
        <v>0</v>
      </c>
      <c r="T2733" s="62" t="n">
        <v>0</v>
      </c>
      <c r="U2733" s="62"/>
      <c r="V2733" s="62"/>
      <c r="W2733" s="62"/>
      <c r="X2733" s="62"/>
      <c r="Y2733" s="62"/>
      <c r="Z2733" s="62" t="s">
        <v>4966</v>
      </c>
      <c r="AA2733" s="62" t="s">
        <v>4877</v>
      </c>
      <c r="AB2733" s="62" t="n">
        <v>0</v>
      </c>
      <c r="AC2733" s="62" t="n">
        <v>0</v>
      </c>
      <c r="AD2733" s="62" t="n">
        <v>1</v>
      </c>
      <c r="AE2733" s="62" t="n">
        <f aca="false">IF(AND(Dashboard!$C$9="Yes",AC2733=1),0,1)</f>
        <v>1</v>
      </c>
      <c r="AF2733" s="62" t="n">
        <v>1</v>
      </c>
    </row>
    <row r="2734" customFormat="false" ht="15" hidden="false" customHeight="false" outlineLevel="0" collapsed="false">
      <c r="A2734" s="62" t="n">
        <v>2733</v>
      </c>
      <c r="B2734" s="63" t="n">
        <v>46292.9096643519</v>
      </c>
      <c r="C2734" s="64" t="n">
        <v>46292</v>
      </c>
      <c r="D2734" s="62" t="s">
        <v>393</v>
      </c>
      <c r="E2734" s="62" t="s">
        <v>1382</v>
      </c>
      <c r="F2734" s="62" t="s">
        <v>1382</v>
      </c>
      <c r="G2734" s="62" t="s">
        <v>1383</v>
      </c>
      <c r="H2734" s="62" t="s">
        <v>58</v>
      </c>
      <c r="I2734" s="62" t="s">
        <v>49</v>
      </c>
      <c r="J2734" s="62" t="s">
        <v>146</v>
      </c>
      <c r="K2734" s="62" t="s">
        <v>175</v>
      </c>
      <c r="L2734" s="62" t="s">
        <v>4</v>
      </c>
      <c r="M2734" s="62" t="n">
        <v>1</v>
      </c>
      <c r="N2734" s="62" t="n">
        <v>0</v>
      </c>
      <c r="O2734" s="62" t="n">
        <v>1</v>
      </c>
      <c r="P2734" s="62" t="n">
        <v>0</v>
      </c>
      <c r="Q2734" s="62" t="n">
        <v>0</v>
      </c>
      <c r="R2734" s="62" t="n">
        <v>0</v>
      </c>
      <c r="S2734" s="62" t="n">
        <v>0</v>
      </c>
      <c r="T2734" s="62" t="n">
        <v>0</v>
      </c>
      <c r="U2734" s="62" t="s">
        <v>2056</v>
      </c>
      <c r="V2734" s="62" t="s">
        <v>2057</v>
      </c>
      <c r="W2734" s="62" t="s">
        <v>15</v>
      </c>
      <c r="X2734" s="62" t="s">
        <v>2058</v>
      </c>
      <c r="Y2734" s="62" t="s">
        <v>2103</v>
      </c>
      <c r="Z2734" s="62" t="s">
        <v>4967</v>
      </c>
      <c r="AA2734" s="62" t="s">
        <v>4968</v>
      </c>
      <c r="AB2734" s="62" t="n">
        <v>1</v>
      </c>
      <c r="AC2734" s="62" t="n">
        <v>0</v>
      </c>
      <c r="AD2734" s="62" t="n">
        <v>1</v>
      </c>
      <c r="AE2734" s="62" t="n">
        <f aca="false">IF(AND(Dashboard!$C$9="Yes",AC2734=1),0,1)</f>
        <v>1</v>
      </c>
      <c r="AF2734" s="62" t="n">
        <v>0</v>
      </c>
    </row>
    <row r="2735" customFormat="false" ht="15" hidden="false" customHeight="false" outlineLevel="0" collapsed="false">
      <c r="A2735" s="62" t="n">
        <v>2734</v>
      </c>
      <c r="B2735" s="63" t="n">
        <v>46292.9199189815</v>
      </c>
      <c r="C2735" s="64" t="n">
        <v>46292</v>
      </c>
      <c r="D2735" s="62" t="s">
        <v>393</v>
      </c>
      <c r="E2735" s="62" t="s">
        <v>1005</v>
      </c>
      <c r="F2735" s="62" t="s">
        <v>1005</v>
      </c>
      <c r="G2735" s="62" t="s">
        <v>1006</v>
      </c>
      <c r="H2735" s="62" t="s">
        <v>46</v>
      </c>
      <c r="I2735" s="62" t="s">
        <v>47</v>
      </c>
      <c r="J2735" s="62" t="s">
        <v>146</v>
      </c>
      <c r="K2735" s="62" t="s">
        <v>209</v>
      </c>
      <c r="L2735" s="62" t="s">
        <v>148</v>
      </c>
      <c r="M2735" s="62" t="n">
        <v>0</v>
      </c>
      <c r="N2735" s="62" t="n">
        <v>1</v>
      </c>
      <c r="O2735" s="62" t="n">
        <v>1</v>
      </c>
      <c r="P2735" s="62" t="n">
        <v>1</v>
      </c>
      <c r="Q2735" s="62" t="n">
        <v>0</v>
      </c>
      <c r="R2735" s="62" t="n">
        <v>0</v>
      </c>
      <c r="S2735" s="62" t="n">
        <v>0</v>
      </c>
      <c r="T2735" s="62" t="n">
        <v>0</v>
      </c>
      <c r="U2735" s="62"/>
      <c r="V2735" s="62"/>
      <c r="W2735" s="62"/>
      <c r="X2735" s="62"/>
      <c r="Y2735" s="62"/>
      <c r="Z2735" s="62" t="s">
        <v>4969</v>
      </c>
      <c r="AA2735" s="62" t="s">
        <v>4970</v>
      </c>
      <c r="AB2735" s="62" t="n">
        <v>1</v>
      </c>
      <c r="AC2735" s="62" t="n">
        <v>0</v>
      </c>
      <c r="AD2735" s="62" t="n">
        <v>1</v>
      </c>
      <c r="AE2735" s="62" t="n">
        <f aca="false">IF(AND(Dashboard!$C$9="Yes",AC2735=1),0,1)</f>
        <v>1</v>
      </c>
      <c r="AF2735" s="62" t="n">
        <v>0</v>
      </c>
    </row>
    <row r="2736" customFormat="false" ht="15" hidden="false" customHeight="false" outlineLevel="0" collapsed="false">
      <c r="A2736" s="62" t="n">
        <v>2735</v>
      </c>
      <c r="B2736" s="63" t="n">
        <v>46292.9341550926</v>
      </c>
      <c r="C2736" s="64" t="n">
        <v>46292</v>
      </c>
      <c r="D2736" s="62" t="s">
        <v>393</v>
      </c>
      <c r="E2736" s="62" t="s">
        <v>2228</v>
      </c>
      <c r="F2736" s="62" t="s">
        <v>2228</v>
      </c>
      <c r="G2736" s="62" t="s">
        <v>2229</v>
      </c>
      <c r="H2736" s="62" t="s">
        <v>58</v>
      </c>
      <c r="I2736" s="62" t="s">
        <v>49</v>
      </c>
      <c r="J2736" s="62" t="s">
        <v>146</v>
      </c>
      <c r="K2736" s="62" t="s">
        <v>209</v>
      </c>
      <c r="L2736" s="62" t="s">
        <v>4</v>
      </c>
      <c r="M2736" s="62" t="n">
        <v>1</v>
      </c>
      <c r="N2736" s="62" t="n">
        <v>0</v>
      </c>
      <c r="O2736" s="62" t="n">
        <v>1</v>
      </c>
      <c r="P2736" s="62" t="n">
        <v>0</v>
      </c>
      <c r="Q2736" s="62" t="n">
        <v>0</v>
      </c>
      <c r="R2736" s="62" t="n">
        <v>0</v>
      </c>
      <c r="S2736" s="62" t="n">
        <v>0</v>
      </c>
      <c r="T2736" s="62" t="n">
        <v>0</v>
      </c>
      <c r="U2736" s="62" t="s">
        <v>2056</v>
      </c>
      <c r="V2736" s="62" t="s">
        <v>2057</v>
      </c>
      <c r="W2736" s="62" t="s">
        <v>15</v>
      </c>
      <c r="X2736" s="62" t="s">
        <v>2058</v>
      </c>
      <c r="Y2736" s="62" t="s">
        <v>2059</v>
      </c>
      <c r="Z2736" s="62" t="s">
        <v>4971</v>
      </c>
      <c r="AA2736" s="62" t="s">
        <v>4972</v>
      </c>
      <c r="AB2736" s="62" t="n">
        <v>1</v>
      </c>
      <c r="AC2736" s="62" t="n">
        <v>0</v>
      </c>
      <c r="AD2736" s="62" t="n">
        <v>1</v>
      </c>
      <c r="AE2736" s="62" t="n">
        <f aca="false">IF(AND(Dashboard!$C$9="Yes",AC2736=1),0,1)</f>
        <v>1</v>
      </c>
      <c r="AF2736" s="62" t="n">
        <v>1</v>
      </c>
    </row>
    <row r="2737" customFormat="false" ht="15" hidden="false" customHeight="false" outlineLevel="0" collapsed="false">
      <c r="A2737" s="62" t="n">
        <v>2736</v>
      </c>
      <c r="B2737" s="63" t="n">
        <v>46292.9386111111</v>
      </c>
      <c r="C2737" s="64" t="n">
        <v>46292</v>
      </c>
      <c r="D2737" s="62" t="s">
        <v>393</v>
      </c>
      <c r="E2737" s="62" t="s">
        <v>1005</v>
      </c>
      <c r="F2737" s="62" t="s">
        <v>1005</v>
      </c>
      <c r="G2737" s="62" t="s">
        <v>1006</v>
      </c>
      <c r="H2737" s="62" t="s">
        <v>46</v>
      </c>
      <c r="I2737" s="62" t="s">
        <v>47</v>
      </c>
      <c r="J2737" s="62" t="s">
        <v>146</v>
      </c>
      <c r="K2737" s="62" t="s">
        <v>209</v>
      </c>
      <c r="L2737" s="62" t="s">
        <v>4</v>
      </c>
      <c r="M2737" s="62" t="n">
        <v>1</v>
      </c>
      <c r="N2737" s="62" t="n">
        <v>0</v>
      </c>
      <c r="O2737" s="62" t="n">
        <v>1</v>
      </c>
      <c r="P2737" s="62" t="n">
        <v>0</v>
      </c>
      <c r="Q2737" s="62" t="n">
        <v>0</v>
      </c>
      <c r="R2737" s="62" t="n">
        <v>0</v>
      </c>
      <c r="S2737" s="62" t="n">
        <v>0</v>
      </c>
      <c r="T2737" s="62" t="n">
        <v>0</v>
      </c>
      <c r="U2737" s="62" t="s">
        <v>2056</v>
      </c>
      <c r="V2737" s="62" t="s">
        <v>2068</v>
      </c>
      <c r="W2737" s="62"/>
      <c r="X2737" s="62" t="s">
        <v>2125</v>
      </c>
      <c r="Y2737" s="62" t="s">
        <v>2059</v>
      </c>
      <c r="Z2737" s="62" t="s">
        <v>4969</v>
      </c>
      <c r="AA2737" s="62" t="s">
        <v>4973</v>
      </c>
      <c r="AB2737" s="62" t="n">
        <v>1</v>
      </c>
      <c r="AC2737" s="62" t="n">
        <v>0</v>
      </c>
      <c r="AD2737" s="62" t="n">
        <v>1</v>
      </c>
      <c r="AE2737" s="62" t="n">
        <f aca="false">IF(AND(Dashboard!$C$9="Yes",AC2737=1),0,1)</f>
        <v>1</v>
      </c>
      <c r="AF2737" s="62" t="n">
        <v>0</v>
      </c>
    </row>
    <row r="2738" customFormat="false" ht="15" hidden="false" customHeight="false" outlineLevel="0" collapsed="false">
      <c r="A2738" s="62" t="n">
        <v>2737</v>
      </c>
      <c r="B2738" s="63" t="n">
        <v>46292.9449189815</v>
      </c>
      <c r="C2738" s="64" t="n">
        <v>46292</v>
      </c>
      <c r="D2738" s="62" t="s">
        <v>393</v>
      </c>
      <c r="E2738" s="62" t="s">
        <v>207</v>
      </c>
      <c r="F2738" s="62" t="s">
        <v>207</v>
      </c>
      <c r="G2738" s="62" t="s">
        <v>208</v>
      </c>
      <c r="H2738" s="62" t="s">
        <v>48</v>
      </c>
      <c r="I2738" s="62" t="s">
        <v>49</v>
      </c>
      <c r="J2738" s="62" t="s">
        <v>146</v>
      </c>
      <c r="K2738" s="62" t="s">
        <v>209</v>
      </c>
      <c r="L2738" s="62" t="s">
        <v>148</v>
      </c>
      <c r="M2738" s="62" t="n">
        <v>0</v>
      </c>
      <c r="N2738" s="62" t="n">
        <v>1</v>
      </c>
      <c r="O2738" s="62" t="n">
        <v>1</v>
      </c>
      <c r="P2738" s="62" t="n">
        <v>1</v>
      </c>
      <c r="Q2738" s="62" t="n">
        <v>0</v>
      </c>
      <c r="R2738" s="62" t="n">
        <v>0</v>
      </c>
      <c r="S2738" s="62" t="n">
        <v>0</v>
      </c>
      <c r="T2738" s="62" t="n">
        <v>0</v>
      </c>
      <c r="U2738" s="62"/>
      <c r="V2738" s="62"/>
      <c r="W2738" s="62"/>
      <c r="X2738" s="62"/>
      <c r="Y2738" s="62"/>
      <c r="Z2738" s="62" t="s">
        <v>4974</v>
      </c>
      <c r="AA2738" s="62" t="s">
        <v>4975</v>
      </c>
      <c r="AB2738" s="62" t="n">
        <v>1</v>
      </c>
      <c r="AC2738" s="62" t="n">
        <v>0</v>
      </c>
      <c r="AD2738" s="62" t="n">
        <v>1</v>
      </c>
      <c r="AE2738" s="62" t="n">
        <f aca="false">IF(AND(Dashboard!$C$9="Yes",AC2738=1),0,1)</f>
        <v>1</v>
      </c>
      <c r="AF2738" s="62" t="n">
        <v>0</v>
      </c>
    </row>
    <row r="2739" customFormat="false" ht="15" hidden="false" customHeight="false" outlineLevel="0" collapsed="false">
      <c r="A2739" s="62" t="n">
        <v>2738</v>
      </c>
      <c r="B2739" s="63" t="n">
        <v>46292.9563773148</v>
      </c>
      <c r="C2739" s="64" t="n">
        <v>46292</v>
      </c>
      <c r="D2739" s="62" t="s">
        <v>393</v>
      </c>
      <c r="E2739" s="62" t="s">
        <v>160</v>
      </c>
      <c r="F2739" s="62" t="s">
        <v>160</v>
      </c>
      <c r="G2739" s="62" t="s">
        <v>161</v>
      </c>
      <c r="H2739" s="62" t="s">
        <v>51</v>
      </c>
      <c r="I2739" s="62" t="s">
        <v>47</v>
      </c>
      <c r="J2739" s="62" t="s">
        <v>146</v>
      </c>
      <c r="K2739" s="62" t="s">
        <v>147</v>
      </c>
      <c r="L2739" s="62" t="s">
        <v>148</v>
      </c>
      <c r="M2739" s="62" t="n">
        <v>0</v>
      </c>
      <c r="N2739" s="62" t="n">
        <v>1</v>
      </c>
      <c r="O2739" s="62" t="n">
        <v>1</v>
      </c>
      <c r="P2739" s="62" t="n">
        <v>1</v>
      </c>
      <c r="Q2739" s="62" t="n">
        <v>0</v>
      </c>
      <c r="R2739" s="62" t="n">
        <v>0</v>
      </c>
      <c r="S2739" s="62" t="n">
        <v>0</v>
      </c>
      <c r="T2739" s="62" t="n">
        <v>0</v>
      </c>
      <c r="U2739" s="62"/>
      <c r="V2739" s="62"/>
      <c r="W2739" s="62"/>
      <c r="X2739" s="62"/>
      <c r="Y2739" s="62"/>
      <c r="Z2739" s="62" t="s">
        <v>4976</v>
      </c>
      <c r="AA2739" s="62" t="s">
        <v>4977</v>
      </c>
      <c r="AB2739" s="62" t="n">
        <v>1</v>
      </c>
      <c r="AC2739" s="62" t="n">
        <v>0</v>
      </c>
      <c r="AD2739" s="62" t="n">
        <v>1</v>
      </c>
      <c r="AE2739" s="62" t="n">
        <f aca="false">IF(AND(Dashboard!$C$9="Yes",AC2739=1),0,1)</f>
        <v>1</v>
      </c>
      <c r="AF2739" s="62" t="n">
        <v>1</v>
      </c>
    </row>
    <row r="2740" customFormat="false" ht="15" hidden="false" customHeight="false" outlineLevel="0" collapsed="false">
      <c r="A2740" s="62" t="n">
        <v>2739</v>
      </c>
      <c r="B2740" s="63" t="n">
        <v>46292.9609490741</v>
      </c>
      <c r="C2740" s="64" t="n">
        <v>46292</v>
      </c>
      <c r="D2740" s="62" t="s">
        <v>393</v>
      </c>
      <c r="E2740" s="62" t="s">
        <v>3018</v>
      </c>
      <c r="F2740" s="62" t="s">
        <v>3018</v>
      </c>
      <c r="G2740" s="62" t="s">
        <v>3019</v>
      </c>
      <c r="H2740" s="62" t="s">
        <v>58</v>
      </c>
      <c r="I2740" s="62" t="s">
        <v>49</v>
      </c>
      <c r="J2740" s="62" t="s">
        <v>146</v>
      </c>
      <c r="K2740" s="62" t="s">
        <v>175</v>
      </c>
      <c r="L2740" s="62" t="s">
        <v>4</v>
      </c>
      <c r="M2740" s="62" t="n">
        <v>1</v>
      </c>
      <c r="N2740" s="62" t="n">
        <v>0</v>
      </c>
      <c r="O2740" s="62" t="n">
        <v>1</v>
      </c>
      <c r="P2740" s="62" t="n">
        <v>0</v>
      </c>
      <c r="Q2740" s="62" t="n">
        <v>0</v>
      </c>
      <c r="R2740" s="62" t="n">
        <v>0</v>
      </c>
      <c r="S2740" s="62" t="n">
        <v>0</v>
      </c>
      <c r="T2740" s="62" t="n">
        <v>0</v>
      </c>
      <c r="U2740" s="62" t="s">
        <v>2056</v>
      </c>
      <c r="V2740" s="62" t="s">
        <v>2057</v>
      </c>
      <c r="W2740" s="62" t="s">
        <v>15</v>
      </c>
      <c r="X2740" s="62" t="s">
        <v>2058</v>
      </c>
      <c r="Y2740" s="62" t="s">
        <v>2059</v>
      </c>
      <c r="Z2740" s="62" t="s">
        <v>4978</v>
      </c>
      <c r="AA2740" s="62" t="s">
        <v>4979</v>
      </c>
      <c r="AB2740" s="62" t="n">
        <v>1</v>
      </c>
      <c r="AC2740" s="62" t="n">
        <v>0</v>
      </c>
      <c r="AD2740" s="62" t="n">
        <v>1</v>
      </c>
      <c r="AE2740" s="62" t="n">
        <f aca="false">IF(AND(Dashboard!$C$9="Yes",AC2740=1),0,1)</f>
        <v>1</v>
      </c>
      <c r="AF2740" s="62" t="n">
        <v>1</v>
      </c>
    </row>
    <row r="2741" customFormat="false" ht="15" hidden="false" customHeight="false" outlineLevel="0" collapsed="false">
      <c r="A2741" s="62" t="n">
        <v>2740</v>
      </c>
      <c r="B2741" s="63" t="n">
        <v>46292.9644791667</v>
      </c>
      <c r="C2741" s="64" t="n">
        <v>46292</v>
      </c>
      <c r="D2741" s="62" t="s">
        <v>393</v>
      </c>
      <c r="E2741" s="62" t="s">
        <v>180</v>
      </c>
      <c r="F2741" s="62" t="s">
        <v>180</v>
      </c>
      <c r="G2741" s="62" t="s">
        <v>181</v>
      </c>
      <c r="H2741" s="62" t="s">
        <v>58</v>
      </c>
      <c r="I2741" s="62" t="s">
        <v>49</v>
      </c>
      <c r="J2741" s="62" t="s">
        <v>146</v>
      </c>
      <c r="K2741" s="62" t="s">
        <v>175</v>
      </c>
      <c r="L2741" s="62" t="s">
        <v>4</v>
      </c>
      <c r="M2741" s="62" t="n">
        <v>1</v>
      </c>
      <c r="N2741" s="62" t="n">
        <v>0</v>
      </c>
      <c r="O2741" s="62" t="n">
        <v>1</v>
      </c>
      <c r="P2741" s="62" t="n">
        <v>0</v>
      </c>
      <c r="Q2741" s="62" t="n">
        <v>0</v>
      </c>
      <c r="R2741" s="62" t="n">
        <v>0</v>
      </c>
      <c r="S2741" s="62" t="n">
        <v>0</v>
      </c>
      <c r="T2741" s="62" t="n">
        <v>0</v>
      </c>
      <c r="U2741" s="62" t="s">
        <v>2056</v>
      </c>
      <c r="V2741" s="62" t="s">
        <v>2057</v>
      </c>
      <c r="W2741" s="62" t="s">
        <v>15</v>
      </c>
      <c r="X2741" s="62" t="s">
        <v>2058</v>
      </c>
      <c r="Y2741" s="62" t="s">
        <v>2059</v>
      </c>
      <c r="Z2741" s="62" t="s">
        <v>4980</v>
      </c>
      <c r="AA2741" s="62" t="s">
        <v>4981</v>
      </c>
      <c r="AB2741" s="62" t="n">
        <v>1</v>
      </c>
      <c r="AC2741" s="62" t="n">
        <v>0</v>
      </c>
      <c r="AD2741" s="62" t="n">
        <v>1</v>
      </c>
      <c r="AE2741" s="62" t="n">
        <f aca="false">IF(AND(Dashboard!$C$9="Yes",AC2741=1),0,1)</f>
        <v>1</v>
      </c>
      <c r="AF2741" s="62" t="n">
        <v>1</v>
      </c>
    </row>
    <row r="2742" customFormat="false" ht="15" hidden="false" customHeight="false" outlineLevel="0" collapsed="false">
      <c r="A2742" s="62" t="n">
        <v>2741</v>
      </c>
      <c r="B2742" s="63" t="n">
        <v>46292.9842476852</v>
      </c>
      <c r="C2742" s="64" t="n">
        <v>46292</v>
      </c>
      <c r="D2742" s="62" t="s">
        <v>393</v>
      </c>
      <c r="E2742" s="62" t="s">
        <v>180</v>
      </c>
      <c r="F2742" s="62" t="s">
        <v>180</v>
      </c>
      <c r="G2742" s="62" t="s">
        <v>181</v>
      </c>
      <c r="H2742" s="62" t="s">
        <v>58</v>
      </c>
      <c r="I2742" s="62" t="s">
        <v>49</v>
      </c>
      <c r="J2742" s="62" t="s">
        <v>146</v>
      </c>
      <c r="K2742" s="62" t="s">
        <v>175</v>
      </c>
      <c r="L2742" s="62" t="s">
        <v>148</v>
      </c>
      <c r="M2742" s="62" t="n">
        <v>0</v>
      </c>
      <c r="N2742" s="62" t="n">
        <v>1</v>
      </c>
      <c r="O2742" s="62" t="n">
        <v>1</v>
      </c>
      <c r="P2742" s="62" t="n">
        <v>1</v>
      </c>
      <c r="Q2742" s="62" t="n">
        <v>0</v>
      </c>
      <c r="R2742" s="62" t="n">
        <v>0</v>
      </c>
      <c r="S2742" s="62" t="n">
        <v>0</v>
      </c>
      <c r="T2742" s="62" t="n">
        <v>0</v>
      </c>
      <c r="U2742" s="62"/>
      <c r="V2742" s="62"/>
      <c r="W2742" s="62"/>
      <c r="X2742" s="62"/>
      <c r="Y2742" s="62"/>
      <c r="Z2742" s="62" t="s">
        <v>4982</v>
      </c>
      <c r="AA2742" s="62" t="s">
        <v>4982</v>
      </c>
      <c r="AB2742" s="62" t="n">
        <v>1</v>
      </c>
      <c r="AC2742" s="62" t="n">
        <v>0</v>
      </c>
      <c r="AD2742" s="62" t="n">
        <v>1</v>
      </c>
      <c r="AE2742" s="62" t="n">
        <f aca="false">IF(AND(Dashboard!$C$9="Yes",AC2742=1),0,1)</f>
        <v>1</v>
      </c>
      <c r="AF2742" s="62" t="n">
        <v>0</v>
      </c>
    </row>
    <row r="2743" customFormat="false" ht="15" hidden="false" customHeight="false" outlineLevel="0" collapsed="false">
      <c r="A2743" s="62" t="n">
        <v>2742</v>
      </c>
      <c r="B2743" s="63" t="n">
        <v>46292.9849884259</v>
      </c>
      <c r="C2743" s="64" t="n">
        <v>46292</v>
      </c>
      <c r="D2743" s="62" t="s">
        <v>393</v>
      </c>
      <c r="E2743" s="62" t="s">
        <v>180</v>
      </c>
      <c r="F2743" s="62" t="s">
        <v>180</v>
      </c>
      <c r="G2743" s="62" t="s">
        <v>181</v>
      </c>
      <c r="H2743" s="62" t="s">
        <v>58</v>
      </c>
      <c r="I2743" s="62" t="s">
        <v>49</v>
      </c>
      <c r="J2743" s="62" t="s">
        <v>146</v>
      </c>
      <c r="K2743" s="62" t="s">
        <v>175</v>
      </c>
      <c r="L2743" s="62" t="s">
        <v>148</v>
      </c>
      <c r="M2743" s="62" t="n">
        <v>0</v>
      </c>
      <c r="N2743" s="62" t="n">
        <v>2</v>
      </c>
      <c r="O2743" s="62" t="n">
        <v>2</v>
      </c>
      <c r="P2743" s="62" t="n">
        <v>1</v>
      </c>
      <c r="Q2743" s="62" t="n">
        <v>0</v>
      </c>
      <c r="R2743" s="62" t="n">
        <v>1</v>
      </c>
      <c r="S2743" s="62" t="n">
        <v>0</v>
      </c>
      <c r="T2743" s="62" t="n">
        <v>0</v>
      </c>
      <c r="U2743" s="62"/>
      <c r="V2743" s="62"/>
      <c r="W2743" s="62"/>
      <c r="X2743" s="62"/>
      <c r="Y2743" s="62"/>
      <c r="Z2743" s="62" t="s">
        <v>4982</v>
      </c>
      <c r="AA2743" s="62" t="s">
        <v>4982</v>
      </c>
      <c r="AB2743" s="62" t="n">
        <v>1</v>
      </c>
      <c r="AC2743" s="62" t="n">
        <v>1</v>
      </c>
      <c r="AD2743" s="62" t="n">
        <v>1</v>
      </c>
      <c r="AE2743" s="62" t="n">
        <f aca="false">IF(AND(Dashboard!$C$9="Yes",AC2743=1),0,1)</f>
        <v>0</v>
      </c>
      <c r="AF2743" s="62" t="n">
        <v>0</v>
      </c>
    </row>
    <row r="2744" customFormat="false" ht="15" hidden="false" customHeight="false" outlineLevel="0" collapsed="false">
      <c r="A2744" s="62" t="n">
        <v>2743</v>
      </c>
      <c r="B2744" s="63" t="n">
        <v>46293.0034837963</v>
      </c>
      <c r="C2744" s="64" t="n">
        <v>46292</v>
      </c>
      <c r="D2744" s="62" t="s">
        <v>393</v>
      </c>
      <c r="E2744" s="62" t="s">
        <v>2228</v>
      </c>
      <c r="F2744" s="62" t="s">
        <v>2228</v>
      </c>
      <c r="G2744" s="62" t="s">
        <v>2229</v>
      </c>
      <c r="H2744" s="62" t="s">
        <v>58</v>
      </c>
      <c r="I2744" s="62" t="s">
        <v>49</v>
      </c>
      <c r="J2744" s="62" t="s">
        <v>146</v>
      </c>
      <c r="K2744" s="62" t="s">
        <v>209</v>
      </c>
      <c r="L2744" s="62" t="s">
        <v>148</v>
      </c>
      <c r="M2744" s="62" t="n">
        <v>0</v>
      </c>
      <c r="N2744" s="62" t="n">
        <v>1</v>
      </c>
      <c r="O2744" s="62" t="n">
        <v>1</v>
      </c>
      <c r="P2744" s="62" t="n">
        <v>0</v>
      </c>
      <c r="Q2744" s="62" t="n">
        <v>1</v>
      </c>
      <c r="R2744" s="62" t="n">
        <v>0</v>
      </c>
      <c r="S2744" s="62" t="n">
        <v>0</v>
      </c>
      <c r="T2744" s="62" t="n">
        <v>0</v>
      </c>
      <c r="U2744" s="62"/>
      <c r="V2744" s="62"/>
      <c r="W2744" s="62"/>
      <c r="X2744" s="62"/>
      <c r="Y2744" s="62"/>
      <c r="Z2744" s="62" t="s">
        <v>4983</v>
      </c>
      <c r="AA2744" s="62" t="s">
        <v>4984</v>
      </c>
      <c r="AB2744" s="62" t="n">
        <v>1</v>
      </c>
      <c r="AC2744" s="62" t="n">
        <v>0</v>
      </c>
      <c r="AD2744" s="62" t="n">
        <v>1</v>
      </c>
      <c r="AE2744" s="62" t="n">
        <f aca="false">IF(AND(Dashboard!$C$9="Yes",AC2744=1),0,1)</f>
        <v>1</v>
      </c>
      <c r="AF2744" s="62" t="n">
        <v>0</v>
      </c>
    </row>
    <row r="2745" customFormat="false" ht="15" hidden="false" customHeight="false" outlineLevel="0" collapsed="false">
      <c r="A2745" s="62" t="n">
        <v>2744</v>
      </c>
      <c r="B2745" s="63" t="n">
        <v>46293.0071875</v>
      </c>
      <c r="C2745" s="64" t="n">
        <v>46292</v>
      </c>
      <c r="D2745" s="62" t="s">
        <v>393</v>
      </c>
      <c r="E2745" s="62" t="s">
        <v>180</v>
      </c>
      <c r="F2745" s="62" t="s">
        <v>180</v>
      </c>
      <c r="G2745" s="62" t="s">
        <v>181</v>
      </c>
      <c r="H2745" s="62" t="s">
        <v>58</v>
      </c>
      <c r="I2745" s="62" t="s">
        <v>49</v>
      </c>
      <c r="J2745" s="62" t="s">
        <v>146</v>
      </c>
      <c r="K2745" s="62" t="s">
        <v>175</v>
      </c>
      <c r="L2745" s="62" t="s">
        <v>4</v>
      </c>
      <c r="M2745" s="62" t="n">
        <v>1</v>
      </c>
      <c r="N2745" s="62" t="n">
        <v>0</v>
      </c>
      <c r="O2745" s="62" t="n">
        <v>1</v>
      </c>
      <c r="P2745" s="62" t="n">
        <v>0</v>
      </c>
      <c r="Q2745" s="62" t="n">
        <v>0</v>
      </c>
      <c r="R2745" s="62" t="n">
        <v>0</v>
      </c>
      <c r="S2745" s="62" t="n">
        <v>0</v>
      </c>
      <c r="T2745" s="62" t="n">
        <v>0</v>
      </c>
      <c r="U2745" s="62" t="s">
        <v>2056</v>
      </c>
      <c r="V2745" s="62" t="s">
        <v>2057</v>
      </c>
      <c r="W2745" s="62" t="s">
        <v>15</v>
      </c>
      <c r="X2745" s="62" t="s">
        <v>2058</v>
      </c>
      <c r="Y2745" s="62" t="s">
        <v>2059</v>
      </c>
      <c r="Z2745" s="62" t="s">
        <v>4985</v>
      </c>
      <c r="AA2745" s="62" t="s">
        <v>4986</v>
      </c>
      <c r="AB2745" s="62" t="n">
        <v>1</v>
      </c>
      <c r="AC2745" s="62" t="n">
        <v>0</v>
      </c>
      <c r="AD2745" s="62" t="n">
        <v>1</v>
      </c>
      <c r="AE2745" s="62" t="n">
        <f aca="false">IF(AND(Dashboard!$C$9="Yes",AC2745=1),0,1)</f>
        <v>1</v>
      </c>
      <c r="AF2745" s="62" t="n">
        <v>0</v>
      </c>
    </row>
    <row r="2746" customFormat="false" ht="15" hidden="false" customHeight="false" outlineLevel="0" collapsed="false">
      <c r="A2746" s="62" t="n">
        <v>2745</v>
      </c>
      <c r="B2746" s="63" t="n">
        <v>46293.0108333333</v>
      </c>
      <c r="C2746" s="64" t="n">
        <v>46292</v>
      </c>
      <c r="D2746" s="62" t="s">
        <v>393</v>
      </c>
      <c r="E2746" s="62" t="s">
        <v>1590</v>
      </c>
      <c r="F2746" s="62" t="s">
        <v>1590</v>
      </c>
      <c r="G2746" s="62" t="s">
        <v>1591</v>
      </c>
      <c r="H2746" s="62" t="s">
        <v>52</v>
      </c>
      <c r="I2746" s="62" t="s">
        <v>47</v>
      </c>
      <c r="J2746" s="62" t="s">
        <v>146</v>
      </c>
      <c r="K2746" s="62" t="s">
        <v>209</v>
      </c>
      <c r="L2746" s="62" t="s">
        <v>148</v>
      </c>
      <c r="M2746" s="62" t="n">
        <v>0</v>
      </c>
      <c r="N2746" s="62" t="n">
        <v>1</v>
      </c>
      <c r="O2746" s="62" t="n">
        <v>1</v>
      </c>
      <c r="P2746" s="62" t="n">
        <v>1</v>
      </c>
      <c r="Q2746" s="62" t="n">
        <v>0</v>
      </c>
      <c r="R2746" s="62" t="n">
        <v>0</v>
      </c>
      <c r="S2746" s="62" t="n">
        <v>0</v>
      </c>
      <c r="T2746" s="62" t="n">
        <v>0</v>
      </c>
      <c r="U2746" s="62"/>
      <c r="V2746" s="62"/>
      <c r="W2746" s="62"/>
      <c r="X2746" s="62"/>
      <c r="Y2746" s="62"/>
      <c r="Z2746" s="62" t="s">
        <v>4987</v>
      </c>
      <c r="AA2746" s="62" t="s">
        <v>4988</v>
      </c>
      <c r="AB2746" s="62" t="n">
        <v>1</v>
      </c>
      <c r="AC2746" s="62" t="n">
        <v>0</v>
      </c>
      <c r="AD2746" s="62" t="n">
        <v>1</v>
      </c>
      <c r="AE2746" s="62" t="n">
        <f aca="false">IF(AND(Dashboard!$C$9="Yes",AC2746=1),0,1)</f>
        <v>1</v>
      </c>
      <c r="AF2746" s="62" t="n">
        <v>1</v>
      </c>
    </row>
    <row r="2747" customFormat="false" ht="15" hidden="false" customHeight="false" outlineLevel="0" collapsed="false">
      <c r="A2747" s="62" t="n">
        <v>2746</v>
      </c>
      <c r="B2747" s="63" t="n">
        <v>46293.0257407407</v>
      </c>
      <c r="C2747" s="64" t="n">
        <v>46292</v>
      </c>
      <c r="D2747" s="62" t="s">
        <v>393</v>
      </c>
      <c r="E2747" s="62" t="s">
        <v>2050</v>
      </c>
      <c r="F2747" s="62" t="s">
        <v>2050</v>
      </c>
      <c r="G2747" s="62" t="s">
        <v>2051</v>
      </c>
      <c r="H2747" s="62" t="s">
        <v>46</v>
      </c>
      <c r="I2747" s="62" t="s">
        <v>47</v>
      </c>
      <c r="J2747" s="62" t="s">
        <v>146</v>
      </c>
      <c r="K2747" s="62" t="s">
        <v>209</v>
      </c>
      <c r="L2747" s="62" t="s">
        <v>148</v>
      </c>
      <c r="M2747" s="62" t="n">
        <v>0</v>
      </c>
      <c r="N2747" s="62" t="n">
        <v>1</v>
      </c>
      <c r="O2747" s="62" t="n">
        <v>1</v>
      </c>
      <c r="P2747" s="62" t="n">
        <v>0</v>
      </c>
      <c r="Q2747" s="62" t="n">
        <v>1</v>
      </c>
      <c r="R2747" s="62" t="n">
        <v>0</v>
      </c>
      <c r="S2747" s="62" t="n">
        <v>0</v>
      </c>
      <c r="T2747" s="62" t="n">
        <v>0</v>
      </c>
      <c r="U2747" s="62"/>
      <c r="V2747" s="62"/>
      <c r="W2747" s="62"/>
      <c r="X2747" s="62"/>
      <c r="Y2747" s="62"/>
      <c r="Z2747" s="62" t="s">
        <v>4989</v>
      </c>
      <c r="AA2747" s="62" t="s">
        <v>4613</v>
      </c>
      <c r="AB2747" s="62" t="n">
        <v>0</v>
      </c>
      <c r="AC2747" s="62" t="n">
        <v>0</v>
      </c>
      <c r="AD2747" s="62" t="n">
        <v>1</v>
      </c>
      <c r="AE2747" s="62" t="n">
        <f aca="false">IF(AND(Dashboard!$C$9="Yes",AC2747=1),0,1)</f>
        <v>1</v>
      </c>
      <c r="AF2747" s="62" t="n">
        <v>1</v>
      </c>
    </row>
    <row r="2748" customFormat="false" ht="15" hidden="false" customHeight="false" outlineLevel="0" collapsed="false">
      <c r="A2748" s="62" t="n">
        <v>2747</v>
      </c>
      <c r="B2748" s="63" t="n">
        <v>46293.0277314815</v>
      </c>
      <c r="C2748" s="64" t="n">
        <v>46292</v>
      </c>
      <c r="D2748" s="62" t="s">
        <v>393</v>
      </c>
      <c r="E2748" s="62" t="s">
        <v>1590</v>
      </c>
      <c r="F2748" s="62" t="s">
        <v>1590</v>
      </c>
      <c r="G2748" s="62" t="s">
        <v>1591</v>
      </c>
      <c r="H2748" s="62" t="s">
        <v>52</v>
      </c>
      <c r="I2748" s="62" t="s">
        <v>47</v>
      </c>
      <c r="J2748" s="62" t="s">
        <v>146</v>
      </c>
      <c r="K2748" s="62" t="s">
        <v>209</v>
      </c>
      <c r="L2748" s="62" t="s">
        <v>148</v>
      </c>
      <c r="M2748" s="62" t="n">
        <v>0</v>
      </c>
      <c r="N2748" s="62" t="n">
        <v>1</v>
      </c>
      <c r="O2748" s="62" t="n">
        <v>1</v>
      </c>
      <c r="P2748" s="62" t="n">
        <v>1</v>
      </c>
      <c r="Q2748" s="62" t="n">
        <v>0</v>
      </c>
      <c r="R2748" s="62" t="n">
        <v>0</v>
      </c>
      <c r="S2748" s="62" t="n">
        <v>0</v>
      </c>
      <c r="T2748" s="62" t="n">
        <v>0</v>
      </c>
      <c r="U2748" s="62"/>
      <c r="V2748" s="62"/>
      <c r="W2748" s="62"/>
      <c r="X2748" s="62"/>
      <c r="Y2748" s="62"/>
      <c r="Z2748" s="62" t="s">
        <v>4990</v>
      </c>
      <c r="AA2748" s="62" t="s">
        <v>4991</v>
      </c>
      <c r="AB2748" s="62" t="n">
        <v>1</v>
      </c>
      <c r="AC2748" s="62" t="n">
        <v>0</v>
      </c>
      <c r="AD2748" s="62" t="n">
        <v>1</v>
      </c>
      <c r="AE2748" s="62" t="n">
        <f aca="false">IF(AND(Dashboard!$C$9="Yes",AC2748=1),0,1)</f>
        <v>1</v>
      </c>
      <c r="AF2748" s="62" t="n">
        <v>0</v>
      </c>
    </row>
    <row r="2749" customFormat="false" ht="15" hidden="false" customHeight="false" outlineLevel="0" collapsed="false">
      <c r="A2749" s="62" t="n">
        <v>2748</v>
      </c>
      <c r="B2749" s="63" t="n">
        <v>46293.0321759259</v>
      </c>
      <c r="C2749" s="64" t="n">
        <v>46292</v>
      </c>
      <c r="D2749" s="62" t="s">
        <v>393</v>
      </c>
      <c r="E2749" s="62" t="s">
        <v>255</v>
      </c>
      <c r="F2749" s="62" t="s">
        <v>255</v>
      </c>
      <c r="G2749" s="62" t="s">
        <v>256</v>
      </c>
      <c r="H2749" s="62" t="s">
        <v>57</v>
      </c>
      <c r="I2749" s="62" t="s">
        <v>47</v>
      </c>
      <c r="J2749" s="62" t="s">
        <v>146</v>
      </c>
      <c r="K2749" s="62" t="s">
        <v>147</v>
      </c>
      <c r="L2749" s="62" t="s">
        <v>148</v>
      </c>
      <c r="M2749" s="62" t="n">
        <v>0</v>
      </c>
      <c r="N2749" s="62" t="n">
        <v>1</v>
      </c>
      <c r="O2749" s="62" t="n">
        <v>1</v>
      </c>
      <c r="P2749" s="62" t="n">
        <v>0</v>
      </c>
      <c r="Q2749" s="62" t="n">
        <v>1</v>
      </c>
      <c r="R2749" s="62" t="n">
        <v>0</v>
      </c>
      <c r="S2749" s="62" t="n">
        <v>0</v>
      </c>
      <c r="T2749" s="62" t="n">
        <v>0</v>
      </c>
      <c r="U2749" s="62"/>
      <c r="V2749" s="62"/>
      <c r="W2749" s="62"/>
      <c r="X2749" s="62"/>
      <c r="Y2749" s="62"/>
      <c r="Z2749" s="62" t="s">
        <v>4992</v>
      </c>
      <c r="AA2749" s="62" t="s">
        <v>4993</v>
      </c>
      <c r="AB2749" s="62" t="n">
        <v>1</v>
      </c>
      <c r="AC2749" s="62" t="n">
        <v>0</v>
      </c>
      <c r="AD2749" s="62" t="n">
        <v>1</v>
      </c>
      <c r="AE2749" s="62" t="n">
        <f aca="false">IF(AND(Dashboard!$C$9="Yes",AC2749=1),0,1)</f>
        <v>1</v>
      </c>
      <c r="AF2749" s="62" t="n">
        <v>0</v>
      </c>
    </row>
    <row r="2750" customFormat="false" ht="15" hidden="false" customHeight="false" outlineLevel="0" collapsed="false">
      <c r="A2750" s="62" t="n">
        <v>2749</v>
      </c>
      <c r="B2750" s="63" t="n">
        <v>46293.0324652778</v>
      </c>
      <c r="C2750" s="64" t="n">
        <v>46292</v>
      </c>
      <c r="D2750" s="62" t="s">
        <v>393</v>
      </c>
      <c r="E2750" s="62" t="s">
        <v>790</v>
      </c>
      <c r="F2750" s="62" t="s">
        <v>791</v>
      </c>
      <c r="G2750" s="62" t="s">
        <v>153</v>
      </c>
      <c r="H2750" s="62" t="s">
        <v>153</v>
      </c>
      <c r="I2750" s="62" t="s">
        <v>153</v>
      </c>
      <c r="J2750" s="62" t="s">
        <v>64</v>
      </c>
      <c r="K2750" s="62" t="s">
        <v>64</v>
      </c>
      <c r="L2750" s="62" t="s">
        <v>148</v>
      </c>
      <c r="M2750" s="62" t="n">
        <v>0</v>
      </c>
      <c r="N2750" s="62" t="n">
        <v>1</v>
      </c>
      <c r="O2750" s="62" t="n">
        <v>1</v>
      </c>
      <c r="P2750" s="62" t="n">
        <v>1</v>
      </c>
      <c r="Q2750" s="62" t="n">
        <v>0</v>
      </c>
      <c r="R2750" s="62" t="n">
        <v>0</v>
      </c>
      <c r="S2750" s="62" t="n">
        <v>0</v>
      </c>
      <c r="T2750" s="62" t="n">
        <v>0</v>
      </c>
      <c r="U2750" s="62"/>
      <c r="V2750" s="62"/>
      <c r="W2750" s="62"/>
      <c r="X2750" s="62"/>
      <c r="Y2750" s="62"/>
      <c r="Z2750" s="62" t="s">
        <v>4994</v>
      </c>
      <c r="AA2750" s="62" t="s">
        <v>4995</v>
      </c>
      <c r="AB2750" s="62" t="n">
        <v>1</v>
      </c>
      <c r="AC2750" s="62" t="n">
        <v>0</v>
      </c>
      <c r="AD2750" s="62" t="n">
        <v>0</v>
      </c>
      <c r="AE2750" s="62" t="n">
        <f aca="false">IF(AND(Dashboard!$C$9="Yes",AC2750=1),0,1)</f>
        <v>1</v>
      </c>
      <c r="AF2750" s="62" t="n">
        <v>1</v>
      </c>
    </row>
    <row r="2751" customFormat="false" ht="15" hidden="false" customHeight="false" outlineLevel="0" collapsed="false">
      <c r="A2751" s="62" t="n">
        <v>2750</v>
      </c>
      <c r="B2751" s="63" t="n">
        <v>46293.0789467593</v>
      </c>
      <c r="C2751" s="64" t="n">
        <v>46292</v>
      </c>
      <c r="D2751" s="62" t="s">
        <v>393</v>
      </c>
      <c r="E2751" s="62" t="s">
        <v>518</v>
      </c>
      <c r="F2751" s="62" t="s">
        <v>518</v>
      </c>
      <c r="G2751" s="62" t="s">
        <v>519</v>
      </c>
      <c r="H2751" s="62" t="s">
        <v>52</v>
      </c>
      <c r="I2751" s="62" t="s">
        <v>47</v>
      </c>
      <c r="J2751" s="62" t="s">
        <v>146</v>
      </c>
      <c r="K2751" s="62" t="s">
        <v>147</v>
      </c>
      <c r="L2751" s="62" t="s">
        <v>148</v>
      </c>
      <c r="M2751" s="62" t="n">
        <v>0</v>
      </c>
      <c r="N2751" s="62" t="n">
        <v>1</v>
      </c>
      <c r="O2751" s="62" t="n">
        <v>1</v>
      </c>
      <c r="P2751" s="62" t="n">
        <v>1</v>
      </c>
      <c r="Q2751" s="62" t="n">
        <v>0</v>
      </c>
      <c r="R2751" s="62" t="n">
        <v>0</v>
      </c>
      <c r="S2751" s="62" t="n">
        <v>0</v>
      </c>
      <c r="T2751" s="62" t="n">
        <v>0</v>
      </c>
      <c r="U2751" s="62"/>
      <c r="V2751" s="62"/>
      <c r="W2751" s="62"/>
      <c r="X2751" s="62"/>
      <c r="Y2751" s="62"/>
      <c r="Z2751" s="62" t="s">
        <v>4996</v>
      </c>
      <c r="AA2751" s="62" t="s">
        <v>4997</v>
      </c>
      <c r="AB2751" s="62" t="n">
        <v>1</v>
      </c>
      <c r="AC2751" s="62" t="n">
        <v>0</v>
      </c>
      <c r="AD2751" s="62" t="n">
        <v>1</v>
      </c>
      <c r="AE2751" s="62" t="n">
        <f aca="false">IF(AND(Dashboard!$C$9="Yes",AC2751=1),0,1)</f>
        <v>1</v>
      </c>
      <c r="AF2751" s="62" t="n">
        <v>1</v>
      </c>
    </row>
    <row r="2752" customFormat="false" ht="15" hidden="false" customHeight="false" outlineLevel="0" collapsed="false">
      <c r="A2752" s="62" t="n">
        <v>2751</v>
      </c>
      <c r="B2752" s="63" t="n">
        <v>46293.1335185185</v>
      </c>
      <c r="C2752" s="64" t="n">
        <v>46292</v>
      </c>
      <c r="D2752" s="62" t="s">
        <v>393</v>
      </c>
      <c r="E2752" s="62" t="s">
        <v>3022</v>
      </c>
      <c r="F2752" s="62" t="s">
        <v>3022</v>
      </c>
      <c r="G2752" s="62" t="s">
        <v>3023</v>
      </c>
      <c r="H2752" s="62" t="s">
        <v>46</v>
      </c>
      <c r="I2752" s="62" t="s">
        <v>47</v>
      </c>
      <c r="J2752" s="62" t="s">
        <v>146</v>
      </c>
      <c r="K2752" s="62" t="s">
        <v>209</v>
      </c>
      <c r="L2752" s="62" t="s">
        <v>148</v>
      </c>
      <c r="M2752" s="62" t="n">
        <v>0</v>
      </c>
      <c r="N2752" s="62" t="n">
        <v>1</v>
      </c>
      <c r="O2752" s="62" t="n">
        <v>1</v>
      </c>
      <c r="P2752" s="62" t="n">
        <v>0</v>
      </c>
      <c r="Q2752" s="62" t="n">
        <v>1</v>
      </c>
      <c r="R2752" s="62" t="n">
        <v>0</v>
      </c>
      <c r="S2752" s="62" t="n">
        <v>0</v>
      </c>
      <c r="T2752" s="62" t="n">
        <v>0</v>
      </c>
      <c r="U2752" s="62"/>
      <c r="V2752" s="62"/>
      <c r="W2752" s="62"/>
      <c r="X2752" s="62"/>
      <c r="Y2752" s="62"/>
      <c r="Z2752" s="62" t="s">
        <v>4998</v>
      </c>
      <c r="AA2752" s="62" t="s">
        <v>4999</v>
      </c>
      <c r="AB2752" s="62" t="n">
        <v>1</v>
      </c>
      <c r="AC2752" s="62" t="n">
        <v>0</v>
      </c>
      <c r="AD2752" s="62" t="n">
        <v>1</v>
      </c>
      <c r="AE2752" s="62" t="n">
        <f aca="false">IF(AND(Dashboard!$C$9="Yes",AC2752=1),0,1)</f>
        <v>1</v>
      </c>
      <c r="AF2752" s="62" t="n">
        <v>0</v>
      </c>
    </row>
    <row r="2753" customFormat="false" ht="15" hidden="false" customHeight="false" outlineLevel="0" collapsed="false">
      <c r="A2753" s="62" t="n">
        <v>2752</v>
      </c>
      <c r="B2753" s="63" t="n">
        <v>46293.157349537</v>
      </c>
      <c r="C2753" s="64" t="n">
        <v>46292</v>
      </c>
      <c r="D2753" s="62" t="s">
        <v>393</v>
      </c>
      <c r="E2753" s="62" t="s">
        <v>1255</v>
      </c>
      <c r="F2753" s="62" t="s">
        <v>1255</v>
      </c>
      <c r="G2753" s="62" t="s">
        <v>1256</v>
      </c>
      <c r="H2753" s="62" t="s">
        <v>52</v>
      </c>
      <c r="I2753" s="62" t="s">
        <v>47</v>
      </c>
      <c r="J2753" s="62" t="s">
        <v>146</v>
      </c>
      <c r="K2753" s="62" t="s">
        <v>147</v>
      </c>
      <c r="L2753" s="62" t="s">
        <v>4</v>
      </c>
      <c r="M2753" s="62" t="n">
        <v>1</v>
      </c>
      <c r="N2753" s="62" t="n">
        <v>0</v>
      </c>
      <c r="O2753" s="62" t="n">
        <v>1</v>
      </c>
      <c r="P2753" s="62" t="n">
        <v>0</v>
      </c>
      <c r="Q2753" s="62" t="n">
        <v>0</v>
      </c>
      <c r="R2753" s="62" t="n">
        <v>0</v>
      </c>
      <c r="S2753" s="62" t="n">
        <v>0</v>
      </c>
      <c r="T2753" s="62" t="n">
        <v>0</v>
      </c>
      <c r="U2753" s="62" t="s">
        <v>2056</v>
      </c>
      <c r="V2753" s="62" t="s">
        <v>2057</v>
      </c>
      <c r="W2753" s="62" t="s">
        <v>15</v>
      </c>
      <c r="X2753" s="62" t="s">
        <v>2058</v>
      </c>
      <c r="Y2753" s="62" t="s">
        <v>2103</v>
      </c>
      <c r="Z2753" s="62" t="s">
        <v>5000</v>
      </c>
      <c r="AA2753" s="62" t="s">
        <v>5001</v>
      </c>
      <c r="AB2753" s="62" t="n">
        <v>1</v>
      </c>
      <c r="AC2753" s="62" t="n">
        <v>0</v>
      </c>
      <c r="AD2753" s="62" t="n">
        <v>1</v>
      </c>
      <c r="AE2753" s="62" t="n">
        <f aca="false">IF(AND(Dashboard!$C$9="Yes",AC2753=1),0,1)</f>
        <v>1</v>
      </c>
      <c r="AF2753" s="62" t="n">
        <v>1</v>
      </c>
    </row>
    <row r="2754" customFormat="false" ht="15" hidden="false" customHeight="false" outlineLevel="0" collapsed="false">
      <c r="A2754" s="62" t="n">
        <v>2753</v>
      </c>
      <c r="B2754" s="63" t="n">
        <v>46293.1783217593</v>
      </c>
      <c r="C2754" s="64" t="n">
        <v>46292</v>
      </c>
      <c r="D2754" s="62" t="s">
        <v>393</v>
      </c>
      <c r="E2754" s="62" t="s">
        <v>1155</v>
      </c>
      <c r="F2754" s="62" t="s">
        <v>1155</v>
      </c>
      <c r="G2754" s="62" t="s">
        <v>1156</v>
      </c>
      <c r="H2754" s="62" t="s">
        <v>59</v>
      </c>
      <c r="I2754" s="62" t="s">
        <v>47</v>
      </c>
      <c r="J2754" s="62" t="s">
        <v>146</v>
      </c>
      <c r="K2754" s="62" t="s">
        <v>209</v>
      </c>
      <c r="L2754" s="62" t="s">
        <v>148</v>
      </c>
      <c r="M2754" s="62" t="n">
        <v>0</v>
      </c>
      <c r="N2754" s="62" t="n">
        <v>1</v>
      </c>
      <c r="O2754" s="62" t="n">
        <v>1</v>
      </c>
      <c r="P2754" s="62" t="n">
        <v>1</v>
      </c>
      <c r="Q2754" s="62" t="n">
        <v>0</v>
      </c>
      <c r="R2754" s="62" t="n">
        <v>0</v>
      </c>
      <c r="S2754" s="62" t="n">
        <v>0</v>
      </c>
      <c r="T2754" s="62" t="n">
        <v>0</v>
      </c>
      <c r="U2754" s="62"/>
      <c r="V2754" s="62"/>
      <c r="W2754" s="62"/>
      <c r="X2754" s="62"/>
      <c r="Y2754" s="62"/>
      <c r="Z2754" s="62" t="s">
        <v>5002</v>
      </c>
      <c r="AA2754" s="62" t="s">
        <v>5003</v>
      </c>
      <c r="AB2754" s="62" t="n">
        <v>1</v>
      </c>
      <c r="AC2754" s="62" t="n">
        <v>0</v>
      </c>
      <c r="AD2754" s="62" t="n">
        <v>1</v>
      </c>
      <c r="AE2754" s="62" t="n">
        <f aca="false">IF(AND(Dashboard!$C$9="Yes",AC2754=1),0,1)</f>
        <v>1</v>
      </c>
      <c r="AF2754" s="62" t="n">
        <v>0</v>
      </c>
    </row>
    <row r="2755" customFormat="false" ht="15" hidden="false" customHeight="false" outlineLevel="0" collapsed="false">
      <c r="A2755" s="62" t="n">
        <v>2754</v>
      </c>
      <c r="B2755" s="63" t="n">
        <v>46293.189224537</v>
      </c>
      <c r="C2755" s="64" t="n">
        <v>46292</v>
      </c>
      <c r="D2755" s="62" t="s">
        <v>393</v>
      </c>
      <c r="E2755" s="62" t="s">
        <v>5004</v>
      </c>
      <c r="F2755" s="62" t="s">
        <v>5004</v>
      </c>
      <c r="G2755" s="62" t="s">
        <v>5005</v>
      </c>
      <c r="H2755" s="62" t="s">
        <v>46</v>
      </c>
      <c r="I2755" s="62" t="s">
        <v>47</v>
      </c>
      <c r="J2755" s="62" t="s">
        <v>146</v>
      </c>
      <c r="K2755" s="62" t="s">
        <v>147</v>
      </c>
      <c r="L2755" s="62" t="s">
        <v>4</v>
      </c>
      <c r="M2755" s="62" t="n">
        <v>1</v>
      </c>
      <c r="N2755" s="62" t="n">
        <v>0</v>
      </c>
      <c r="O2755" s="62" t="n">
        <v>1</v>
      </c>
      <c r="P2755" s="62" t="n">
        <v>0</v>
      </c>
      <c r="Q2755" s="62" t="n">
        <v>0</v>
      </c>
      <c r="R2755" s="62" t="n">
        <v>0</v>
      </c>
      <c r="S2755" s="62" t="n">
        <v>0</v>
      </c>
      <c r="T2755" s="62" t="n">
        <v>0</v>
      </c>
      <c r="U2755" s="62" t="s">
        <v>2056</v>
      </c>
      <c r="V2755" s="62" t="s">
        <v>2057</v>
      </c>
      <c r="W2755" s="62" t="s">
        <v>15</v>
      </c>
      <c r="X2755" s="62" t="s">
        <v>2164</v>
      </c>
      <c r="Y2755" s="62" t="s">
        <v>2103</v>
      </c>
      <c r="Z2755" s="62" t="s">
        <v>5006</v>
      </c>
      <c r="AA2755" s="62" t="s">
        <v>5007</v>
      </c>
      <c r="AB2755" s="62" t="n">
        <v>1</v>
      </c>
      <c r="AC2755" s="62" t="n">
        <v>0</v>
      </c>
      <c r="AD2755" s="62" t="n">
        <v>1</v>
      </c>
      <c r="AE2755" s="62" t="n">
        <f aca="false">IF(AND(Dashboard!$C$9="Yes",AC2755=1),0,1)</f>
        <v>1</v>
      </c>
      <c r="AF2755" s="62" t="n">
        <v>1</v>
      </c>
    </row>
    <row r="2756" customFormat="false" ht="15" hidden="false" customHeight="false" outlineLevel="0" collapsed="false">
      <c r="A2756" s="62" t="n">
        <v>2755</v>
      </c>
      <c r="B2756" s="63" t="n">
        <v>46293.1905671296</v>
      </c>
      <c r="C2756" s="64" t="n">
        <v>46292</v>
      </c>
      <c r="D2756" s="62" t="s">
        <v>393</v>
      </c>
      <c r="E2756" s="62" t="s">
        <v>2050</v>
      </c>
      <c r="F2756" s="62" t="s">
        <v>2050</v>
      </c>
      <c r="G2756" s="62" t="s">
        <v>2051</v>
      </c>
      <c r="H2756" s="62" t="s">
        <v>46</v>
      </c>
      <c r="I2756" s="62" t="s">
        <v>47</v>
      </c>
      <c r="J2756" s="62" t="s">
        <v>146</v>
      </c>
      <c r="K2756" s="62" t="s">
        <v>209</v>
      </c>
      <c r="L2756" s="62" t="s">
        <v>148</v>
      </c>
      <c r="M2756" s="62" t="n">
        <v>0</v>
      </c>
      <c r="N2756" s="62" t="n">
        <v>1</v>
      </c>
      <c r="O2756" s="62" t="n">
        <v>1</v>
      </c>
      <c r="P2756" s="62" t="n">
        <v>1</v>
      </c>
      <c r="Q2756" s="62" t="n">
        <v>0</v>
      </c>
      <c r="R2756" s="62" t="n">
        <v>0</v>
      </c>
      <c r="S2756" s="62" t="n">
        <v>0</v>
      </c>
      <c r="T2756" s="62" t="n">
        <v>0</v>
      </c>
      <c r="U2756" s="62"/>
      <c r="V2756" s="62"/>
      <c r="W2756" s="62"/>
      <c r="X2756" s="62"/>
      <c r="Y2756" s="62"/>
      <c r="Z2756" s="62" t="s">
        <v>5008</v>
      </c>
      <c r="AA2756" s="62" t="s">
        <v>2076</v>
      </c>
      <c r="AB2756" s="62" t="n">
        <v>0</v>
      </c>
      <c r="AC2756" s="62" t="n">
        <v>0</v>
      </c>
      <c r="AD2756" s="62" t="n">
        <v>1</v>
      </c>
      <c r="AE2756" s="62" t="n">
        <f aca="false">IF(AND(Dashboard!$C$9="Yes",AC2756=1),0,1)</f>
        <v>1</v>
      </c>
      <c r="AF2756" s="62" t="n">
        <v>0</v>
      </c>
    </row>
    <row r="2757" customFormat="false" ht="15" hidden="false" customHeight="false" outlineLevel="0" collapsed="false">
      <c r="A2757" s="62" t="n">
        <v>2756</v>
      </c>
      <c r="B2757" s="63" t="n">
        <v>46293.2131944444</v>
      </c>
      <c r="C2757" s="64" t="n">
        <v>46292</v>
      </c>
      <c r="D2757" s="62" t="s">
        <v>393</v>
      </c>
      <c r="E2757" s="62" t="s">
        <v>207</v>
      </c>
      <c r="F2757" s="62" t="s">
        <v>207</v>
      </c>
      <c r="G2757" s="62" t="s">
        <v>208</v>
      </c>
      <c r="H2757" s="62" t="s">
        <v>48</v>
      </c>
      <c r="I2757" s="62" t="s">
        <v>49</v>
      </c>
      <c r="J2757" s="62" t="s">
        <v>146</v>
      </c>
      <c r="K2757" s="62" t="s">
        <v>209</v>
      </c>
      <c r="L2757" s="62" t="s">
        <v>4</v>
      </c>
      <c r="M2757" s="62" t="n">
        <v>1</v>
      </c>
      <c r="N2757" s="62" t="n">
        <v>0</v>
      </c>
      <c r="O2757" s="62" t="n">
        <v>1</v>
      </c>
      <c r="P2757" s="62" t="n">
        <v>0</v>
      </c>
      <c r="Q2757" s="62" t="n">
        <v>0</v>
      </c>
      <c r="R2757" s="62" t="n">
        <v>0</v>
      </c>
      <c r="S2757" s="62" t="n">
        <v>0</v>
      </c>
      <c r="T2757" s="62" t="n">
        <v>0</v>
      </c>
      <c r="U2757" s="62" t="s">
        <v>2056</v>
      </c>
      <c r="V2757" s="62" t="s">
        <v>2057</v>
      </c>
      <c r="W2757" s="62" t="s">
        <v>15</v>
      </c>
      <c r="X2757" s="62" t="s">
        <v>2058</v>
      </c>
      <c r="Y2757" s="62" t="s">
        <v>2059</v>
      </c>
      <c r="Z2757" s="62" t="s">
        <v>5009</v>
      </c>
      <c r="AA2757" s="62" t="s">
        <v>5010</v>
      </c>
      <c r="AB2757" s="62" t="n">
        <v>1</v>
      </c>
      <c r="AC2757" s="62" t="n">
        <v>0</v>
      </c>
      <c r="AD2757" s="62" t="n">
        <v>1</v>
      </c>
      <c r="AE2757" s="62" t="n">
        <f aca="false">IF(AND(Dashboard!$C$9="Yes",AC2757=1),0,1)</f>
        <v>1</v>
      </c>
      <c r="AF2757" s="62" t="n">
        <v>0</v>
      </c>
    </row>
    <row r="2758" customFormat="false" ht="15" hidden="false" customHeight="false" outlineLevel="0" collapsed="false">
      <c r="A2758" s="62" t="n">
        <v>2757</v>
      </c>
      <c r="B2758" s="63" t="n">
        <v>46293.2797800926</v>
      </c>
      <c r="C2758" s="64" t="n">
        <v>46292</v>
      </c>
      <c r="D2758" s="62" t="s">
        <v>393</v>
      </c>
      <c r="E2758" s="62" t="s">
        <v>3869</v>
      </c>
      <c r="F2758" s="62" t="s">
        <v>3869</v>
      </c>
      <c r="G2758" s="62" t="s">
        <v>3870</v>
      </c>
      <c r="H2758" s="62" t="s">
        <v>59</v>
      </c>
      <c r="I2758" s="62" t="s">
        <v>47</v>
      </c>
      <c r="J2758" s="62" t="s">
        <v>146</v>
      </c>
      <c r="K2758" s="62" t="s">
        <v>209</v>
      </c>
      <c r="L2758" s="62" t="s">
        <v>148</v>
      </c>
      <c r="M2758" s="62" t="n">
        <v>0</v>
      </c>
      <c r="N2758" s="62" t="n">
        <v>2</v>
      </c>
      <c r="O2758" s="62" t="n">
        <v>2</v>
      </c>
      <c r="P2758" s="62" t="n">
        <v>1</v>
      </c>
      <c r="Q2758" s="62" t="n">
        <v>0</v>
      </c>
      <c r="R2758" s="62" t="n">
        <v>1</v>
      </c>
      <c r="S2758" s="62" t="n">
        <v>0</v>
      </c>
      <c r="T2758" s="62" t="n">
        <v>0</v>
      </c>
      <c r="U2758" s="62"/>
      <c r="V2758" s="62"/>
      <c r="W2758" s="62"/>
      <c r="X2758" s="62"/>
      <c r="Y2758" s="62"/>
      <c r="Z2758" s="62" t="s">
        <v>5011</v>
      </c>
      <c r="AA2758" s="62" t="s">
        <v>5012</v>
      </c>
      <c r="AB2758" s="62" t="n">
        <v>1</v>
      </c>
      <c r="AC2758" s="62" t="n">
        <v>0</v>
      </c>
      <c r="AD2758" s="62" t="n">
        <v>1</v>
      </c>
      <c r="AE2758" s="62" t="n">
        <f aca="false">IF(AND(Dashboard!$C$9="Yes",AC2758=1),0,1)</f>
        <v>1</v>
      </c>
      <c r="AF2758" s="62" t="n">
        <v>1</v>
      </c>
    </row>
    <row r="2759" customFormat="false" ht="15" hidden="false" customHeight="false" outlineLevel="0" collapsed="false">
      <c r="A2759" s="62" t="n">
        <v>2758</v>
      </c>
      <c r="B2759" s="63" t="n">
        <v>46293.6693634259</v>
      </c>
      <c r="C2759" s="64" t="n">
        <v>46293</v>
      </c>
      <c r="D2759" s="62" t="s">
        <v>429</v>
      </c>
      <c r="E2759" s="62" t="s">
        <v>939</v>
      </c>
      <c r="F2759" s="62" t="s">
        <v>939</v>
      </c>
      <c r="G2759" s="62" t="s">
        <v>940</v>
      </c>
      <c r="H2759" s="62" t="s">
        <v>57</v>
      </c>
      <c r="I2759" s="62" t="s">
        <v>47</v>
      </c>
      <c r="J2759" s="62" t="s">
        <v>146</v>
      </c>
      <c r="K2759" s="62" t="s">
        <v>147</v>
      </c>
      <c r="L2759" s="62" t="s">
        <v>148</v>
      </c>
      <c r="M2759" s="62" t="n">
        <v>0</v>
      </c>
      <c r="N2759" s="62" t="n">
        <v>1</v>
      </c>
      <c r="O2759" s="62" t="n">
        <v>1</v>
      </c>
      <c r="P2759" s="62" t="n">
        <v>1</v>
      </c>
      <c r="Q2759" s="62" t="n">
        <v>0</v>
      </c>
      <c r="R2759" s="62" t="n">
        <v>0</v>
      </c>
      <c r="S2759" s="62" t="n">
        <v>0</v>
      </c>
      <c r="T2759" s="62" t="n">
        <v>0</v>
      </c>
      <c r="U2759" s="62"/>
      <c r="V2759" s="62"/>
      <c r="W2759" s="62"/>
      <c r="X2759" s="62"/>
      <c r="Y2759" s="62"/>
      <c r="Z2759" s="62" t="s">
        <v>5013</v>
      </c>
      <c r="AA2759" s="62" t="s">
        <v>5014</v>
      </c>
      <c r="AB2759" s="62" t="n">
        <v>1</v>
      </c>
      <c r="AC2759" s="62" t="n">
        <v>0</v>
      </c>
      <c r="AD2759" s="62" t="n">
        <v>1</v>
      </c>
      <c r="AE2759" s="62" t="n">
        <f aca="false">IF(AND(Dashboard!$C$9="Yes",AC2759=1),0,1)</f>
        <v>1</v>
      </c>
      <c r="AF2759" s="62" t="n">
        <v>1</v>
      </c>
    </row>
    <row r="2760" customFormat="false" ht="15" hidden="false" customHeight="false" outlineLevel="0" collapsed="false">
      <c r="A2760" s="62" t="n">
        <v>2759</v>
      </c>
      <c r="B2760" s="63" t="n">
        <v>46293.6733449074</v>
      </c>
      <c r="C2760" s="64" t="n">
        <v>46293</v>
      </c>
      <c r="D2760" s="62" t="s">
        <v>429</v>
      </c>
      <c r="E2760" s="62" t="s">
        <v>4242</v>
      </c>
      <c r="F2760" s="62" t="s">
        <v>4242</v>
      </c>
      <c r="G2760" s="62" t="s">
        <v>4243</v>
      </c>
      <c r="H2760" s="62" t="s">
        <v>44</v>
      </c>
      <c r="I2760" s="62" t="s">
        <v>49</v>
      </c>
      <c r="J2760" s="62" t="s">
        <v>146</v>
      </c>
      <c r="K2760" s="62" t="s">
        <v>147</v>
      </c>
      <c r="L2760" s="62" t="s">
        <v>4</v>
      </c>
      <c r="M2760" s="62" t="n">
        <v>1</v>
      </c>
      <c r="N2760" s="62" t="n">
        <v>0</v>
      </c>
      <c r="O2760" s="62" t="n">
        <v>1</v>
      </c>
      <c r="P2760" s="62" t="n">
        <v>0</v>
      </c>
      <c r="Q2760" s="62" t="n">
        <v>0</v>
      </c>
      <c r="R2760" s="62" t="n">
        <v>0</v>
      </c>
      <c r="S2760" s="62" t="n">
        <v>0</v>
      </c>
      <c r="T2760" s="62" t="n">
        <v>0</v>
      </c>
      <c r="U2760" s="62" t="s">
        <v>2056</v>
      </c>
      <c r="V2760" s="62" t="s">
        <v>2057</v>
      </c>
      <c r="W2760" s="62" t="s">
        <v>15</v>
      </c>
      <c r="X2760" s="62" t="s">
        <v>2125</v>
      </c>
      <c r="Y2760" s="62" t="s">
        <v>2059</v>
      </c>
      <c r="Z2760" s="62" t="s">
        <v>5015</v>
      </c>
      <c r="AA2760" s="62" t="s">
        <v>5016</v>
      </c>
      <c r="AB2760" s="62" t="n">
        <v>1</v>
      </c>
      <c r="AC2760" s="62" t="n">
        <v>0</v>
      </c>
      <c r="AD2760" s="62" t="n">
        <v>1</v>
      </c>
      <c r="AE2760" s="62" t="n">
        <f aca="false">IF(AND(Dashboard!$C$9="Yes",AC2760=1),0,1)</f>
        <v>1</v>
      </c>
      <c r="AF2760" s="62" t="n">
        <v>1</v>
      </c>
    </row>
    <row r="2761" customFormat="false" ht="15" hidden="false" customHeight="false" outlineLevel="0" collapsed="false">
      <c r="A2761" s="62" t="n">
        <v>2760</v>
      </c>
      <c r="B2761" s="63" t="n">
        <v>46293.688599537</v>
      </c>
      <c r="C2761" s="64" t="n">
        <v>46293</v>
      </c>
      <c r="D2761" s="62" t="s">
        <v>429</v>
      </c>
      <c r="E2761" s="62" t="s">
        <v>2156</v>
      </c>
      <c r="F2761" s="62" t="s">
        <v>2156</v>
      </c>
      <c r="G2761" s="62" t="s">
        <v>2157</v>
      </c>
      <c r="H2761" s="62" t="s">
        <v>52</v>
      </c>
      <c r="I2761" s="62" t="s">
        <v>47</v>
      </c>
      <c r="J2761" s="62" t="s">
        <v>146</v>
      </c>
      <c r="K2761" s="62" t="s">
        <v>209</v>
      </c>
      <c r="L2761" s="62" t="s">
        <v>148</v>
      </c>
      <c r="M2761" s="62" t="n">
        <v>0</v>
      </c>
      <c r="N2761" s="62" t="n">
        <v>1</v>
      </c>
      <c r="O2761" s="62" t="n">
        <v>1</v>
      </c>
      <c r="P2761" s="62" t="n">
        <v>1</v>
      </c>
      <c r="Q2761" s="62" t="n">
        <v>0</v>
      </c>
      <c r="R2761" s="62" t="n">
        <v>0</v>
      </c>
      <c r="S2761" s="62" t="n">
        <v>0</v>
      </c>
      <c r="T2761" s="62" t="n">
        <v>0</v>
      </c>
      <c r="U2761" s="62"/>
      <c r="V2761" s="62"/>
      <c r="W2761" s="62"/>
      <c r="X2761" s="62"/>
      <c r="Y2761" s="62"/>
      <c r="Z2761" s="62" t="s">
        <v>5017</v>
      </c>
      <c r="AA2761" s="62" t="s">
        <v>5018</v>
      </c>
      <c r="AB2761" s="62" t="n">
        <v>1</v>
      </c>
      <c r="AC2761" s="62" t="n">
        <v>0</v>
      </c>
      <c r="AD2761" s="62" t="n">
        <v>1</v>
      </c>
      <c r="AE2761" s="62" t="n">
        <f aca="false">IF(AND(Dashboard!$C$9="Yes",AC2761=1),0,1)</f>
        <v>1</v>
      </c>
      <c r="AF2761" s="62" t="n">
        <v>1</v>
      </c>
    </row>
    <row r="2762" customFormat="false" ht="15" hidden="false" customHeight="false" outlineLevel="0" collapsed="false">
      <c r="A2762" s="62" t="n">
        <v>2761</v>
      </c>
      <c r="B2762" s="63" t="n">
        <v>46293.6933564815</v>
      </c>
      <c r="C2762" s="64" t="n">
        <v>46293</v>
      </c>
      <c r="D2762" s="62" t="s">
        <v>429</v>
      </c>
      <c r="E2762" s="62" t="s">
        <v>4524</v>
      </c>
      <c r="F2762" s="62" t="s">
        <v>4524</v>
      </c>
      <c r="G2762" s="62" t="s">
        <v>4525</v>
      </c>
      <c r="H2762" s="62" t="s">
        <v>44</v>
      </c>
      <c r="I2762" s="62" t="s">
        <v>49</v>
      </c>
      <c r="J2762" s="62" t="s">
        <v>146</v>
      </c>
      <c r="K2762" s="62" t="s">
        <v>147</v>
      </c>
      <c r="L2762" s="62" t="s">
        <v>148</v>
      </c>
      <c r="M2762" s="62" t="n">
        <v>0</v>
      </c>
      <c r="N2762" s="62" t="n">
        <v>2</v>
      </c>
      <c r="O2762" s="62" t="n">
        <v>2</v>
      </c>
      <c r="P2762" s="62" t="n">
        <v>1</v>
      </c>
      <c r="Q2762" s="62" t="n">
        <v>1</v>
      </c>
      <c r="R2762" s="62" t="n">
        <v>0</v>
      </c>
      <c r="S2762" s="62" t="n">
        <v>0</v>
      </c>
      <c r="T2762" s="62" t="n">
        <v>0</v>
      </c>
      <c r="U2762" s="62"/>
      <c r="V2762" s="62"/>
      <c r="W2762" s="62"/>
      <c r="X2762" s="62"/>
      <c r="Y2762" s="62"/>
      <c r="Z2762" s="62" t="s">
        <v>5019</v>
      </c>
      <c r="AA2762" s="62" t="s">
        <v>5020</v>
      </c>
      <c r="AB2762" s="62" t="n">
        <v>1</v>
      </c>
      <c r="AC2762" s="62" t="n">
        <v>0</v>
      </c>
      <c r="AD2762" s="62" t="n">
        <v>1</v>
      </c>
      <c r="AE2762" s="62" t="n">
        <f aca="false">IF(AND(Dashboard!$C$9="Yes",AC2762=1),0,1)</f>
        <v>1</v>
      </c>
      <c r="AF2762" s="62" t="n">
        <v>1</v>
      </c>
    </row>
    <row r="2763" customFormat="false" ht="15" hidden="false" customHeight="false" outlineLevel="0" collapsed="false">
      <c r="A2763" s="62" t="n">
        <v>2762</v>
      </c>
      <c r="B2763" s="63" t="n">
        <v>46293.7003703704</v>
      </c>
      <c r="C2763" s="64" t="n">
        <v>46293</v>
      </c>
      <c r="D2763" s="62" t="s">
        <v>429</v>
      </c>
      <c r="E2763" s="62" t="s">
        <v>4234</v>
      </c>
      <c r="F2763" s="62" t="s">
        <v>4234</v>
      </c>
      <c r="G2763" s="62" t="s">
        <v>4235</v>
      </c>
      <c r="H2763" s="62" t="s">
        <v>44</v>
      </c>
      <c r="I2763" s="62" t="s">
        <v>49</v>
      </c>
      <c r="J2763" s="62" t="s">
        <v>146</v>
      </c>
      <c r="K2763" s="62" t="s">
        <v>147</v>
      </c>
      <c r="L2763" s="62" t="s">
        <v>148</v>
      </c>
      <c r="M2763" s="62" t="n">
        <v>0</v>
      </c>
      <c r="N2763" s="62" t="n">
        <v>1</v>
      </c>
      <c r="O2763" s="62" t="n">
        <v>1</v>
      </c>
      <c r="P2763" s="62" t="n">
        <v>0</v>
      </c>
      <c r="Q2763" s="62" t="n">
        <v>1</v>
      </c>
      <c r="R2763" s="62" t="n">
        <v>0</v>
      </c>
      <c r="S2763" s="62" t="n">
        <v>0</v>
      </c>
      <c r="T2763" s="62" t="n">
        <v>0</v>
      </c>
      <c r="U2763" s="62"/>
      <c r="V2763" s="62"/>
      <c r="W2763" s="62"/>
      <c r="X2763" s="62"/>
      <c r="Y2763" s="62"/>
      <c r="Z2763" s="62" t="s">
        <v>5021</v>
      </c>
      <c r="AA2763" s="62" t="s">
        <v>5022</v>
      </c>
      <c r="AB2763" s="62" t="n">
        <v>1</v>
      </c>
      <c r="AC2763" s="62" t="n">
        <v>0</v>
      </c>
      <c r="AD2763" s="62" t="n">
        <v>1</v>
      </c>
      <c r="AE2763" s="62" t="n">
        <f aca="false">IF(AND(Dashboard!$C$9="Yes",AC2763=1),0,1)</f>
        <v>1</v>
      </c>
      <c r="AF2763" s="62" t="n">
        <v>1</v>
      </c>
    </row>
    <row r="2764" customFormat="false" ht="15" hidden="false" customHeight="false" outlineLevel="0" collapsed="false">
      <c r="A2764" s="62" t="n">
        <v>2763</v>
      </c>
      <c r="B2764" s="63" t="n">
        <v>46293.706724537</v>
      </c>
      <c r="C2764" s="64" t="n">
        <v>46293</v>
      </c>
      <c r="D2764" s="62" t="s">
        <v>429</v>
      </c>
      <c r="E2764" s="62" t="s">
        <v>1445</v>
      </c>
      <c r="F2764" s="62" t="s">
        <v>1445</v>
      </c>
      <c r="G2764" s="62" t="s">
        <v>1446</v>
      </c>
      <c r="H2764" s="62" t="s">
        <v>58</v>
      </c>
      <c r="I2764" s="62" t="s">
        <v>49</v>
      </c>
      <c r="J2764" s="62" t="s">
        <v>146</v>
      </c>
      <c r="K2764" s="62" t="s">
        <v>175</v>
      </c>
      <c r="L2764" s="62" t="s">
        <v>148</v>
      </c>
      <c r="M2764" s="62" t="n">
        <v>0</v>
      </c>
      <c r="N2764" s="62" t="n">
        <v>2</v>
      </c>
      <c r="O2764" s="62" t="n">
        <v>2</v>
      </c>
      <c r="P2764" s="62" t="n">
        <v>1</v>
      </c>
      <c r="Q2764" s="62" t="n">
        <v>1</v>
      </c>
      <c r="R2764" s="62" t="n">
        <v>0</v>
      </c>
      <c r="S2764" s="62" t="n">
        <v>0</v>
      </c>
      <c r="T2764" s="62" t="n">
        <v>0</v>
      </c>
      <c r="U2764" s="62"/>
      <c r="V2764" s="62"/>
      <c r="W2764" s="62"/>
      <c r="X2764" s="62"/>
      <c r="Y2764" s="62"/>
      <c r="Z2764" s="62" t="s">
        <v>5023</v>
      </c>
      <c r="AA2764" s="62" t="s">
        <v>5024</v>
      </c>
      <c r="AB2764" s="62" t="n">
        <v>1</v>
      </c>
      <c r="AC2764" s="62" t="n">
        <v>0</v>
      </c>
      <c r="AD2764" s="62" t="n">
        <v>1</v>
      </c>
      <c r="AE2764" s="62" t="n">
        <f aca="false">IF(AND(Dashboard!$C$9="Yes",AC2764=1),0,1)</f>
        <v>1</v>
      </c>
      <c r="AF2764" s="62" t="n">
        <v>1</v>
      </c>
    </row>
    <row r="2765" customFormat="false" ht="15" hidden="false" customHeight="false" outlineLevel="0" collapsed="false">
      <c r="A2765" s="62" t="n">
        <v>2764</v>
      </c>
      <c r="B2765" s="63" t="n">
        <v>46293.711412037</v>
      </c>
      <c r="C2765" s="64" t="n">
        <v>46293</v>
      </c>
      <c r="D2765" s="62" t="s">
        <v>429</v>
      </c>
      <c r="E2765" s="62" t="s">
        <v>4542</v>
      </c>
      <c r="F2765" s="62" t="s">
        <v>4542</v>
      </c>
      <c r="G2765" s="62" t="s">
        <v>4543</v>
      </c>
      <c r="H2765" s="62" t="s">
        <v>44</v>
      </c>
      <c r="I2765" s="62" t="s">
        <v>49</v>
      </c>
      <c r="J2765" s="62" t="s">
        <v>146</v>
      </c>
      <c r="K2765" s="62" t="s">
        <v>147</v>
      </c>
      <c r="L2765" s="62" t="s">
        <v>148</v>
      </c>
      <c r="M2765" s="62" t="n">
        <v>0</v>
      </c>
      <c r="N2765" s="62" t="n">
        <v>1</v>
      </c>
      <c r="O2765" s="62" t="n">
        <v>1</v>
      </c>
      <c r="P2765" s="62" t="n">
        <v>1</v>
      </c>
      <c r="Q2765" s="62" t="n">
        <v>0</v>
      </c>
      <c r="R2765" s="62" t="n">
        <v>0</v>
      </c>
      <c r="S2765" s="62" t="n">
        <v>0</v>
      </c>
      <c r="T2765" s="62" t="n">
        <v>0</v>
      </c>
      <c r="U2765" s="62"/>
      <c r="V2765" s="62"/>
      <c r="W2765" s="62"/>
      <c r="X2765" s="62"/>
      <c r="Y2765" s="62"/>
      <c r="Z2765" s="62" t="s">
        <v>5025</v>
      </c>
      <c r="AA2765" s="62" t="s">
        <v>5026</v>
      </c>
      <c r="AB2765" s="62" t="n">
        <v>1</v>
      </c>
      <c r="AC2765" s="62" t="n">
        <v>0</v>
      </c>
      <c r="AD2765" s="62" t="n">
        <v>1</v>
      </c>
      <c r="AE2765" s="62" t="n">
        <f aca="false">IF(AND(Dashboard!$C$9="Yes",AC2765=1),0,1)</f>
        <v>1</v>
      </c>
      <c r="AF2765" s="62" t="n">
        <v>1</v>
      </c>
    </row>
    <row r="2766" customFormat="false" ht="15" hidden="false" customHeight="false" outlineLevel="0" collapsed="false">
      <c r="A2766" s="62" t="n">
        <v>2765</v>
      </c>
      <c r="B2766" s="63" t="n">
        <v>46293.7194328704</v>
      </c>
      <c r="C2766" s="64" t="n">
        <v>46293</v>
      </c>
      <c r="D2766" s="62" t="s">
        <v>429</v>
      </c>
      <c r="E2766" s="62" t="s">
        <v>255</v>
      </c>
      <c r="F2766" s="62" t="s">
        <v>255</v>
      </c>
      <c r="G2766" s="62" t="s">
        <v>256</v>
      </c>
      <c r="H2766" s="62" t="s">
        <v>57</v>
      </c>
      <c r="I2766" s="62" t="s">
        <v>47</v>
      </c>
      <c r="J2766" s="62" t="s">
        <v>146</v>
      </c>
      <c r="K2766" s="62" t="s">
        <v>147</v>
      </c>
      <c r="L2766" s="62" t="s">
        <v>148</v>
      </c>
      <c r="M2766" s="62" t="n">
        <v>0</v>
      </c>
      <c r="N2766" s="62" t="n">
        <v>1</v>
      </c>
      <c r="O2766" s="62" t="n">
        <v>1</v>
      </c>
      <c r="P2766" s="62" t="n">
        <v>0</v>
      </c>
      <c r="Q2766" s="62" t="n">
        <v>1</v>
      </c>
      <c r="R2766" s="62" t="n">
        <v>0</v>
      </c>
      <c r="S2766" s="62" t="n">
        <v>0</v>
      </c>
      <c r="T2766" s="62" t="n">
        <v>0</v>
      </c>
      <c r="U2766" s="62"/>
      <c r="V2766" s="62"/>
      <c r="W2766" s="62"/>
      <c r="X2766" s="62"/>
      <c r="Y2766" s="62"/>
      <c r="Z2766" s="62" t="s">
        <v>5027</v>
      </c>
      <c r="AA2766" s="62" t="s">
        <v>5028</v>
      </c>
      <c r="AB2766" s="62" t="n">
        <v>1</v>
      </c>
      <c r="AC2766" s="62" t="n">
        <v>0</v>
      </c>
      <c r="AD2766" s="62" t="n">
        <v>1</v>
      </c>
      <c r="AE2766" s="62" t="n">
        <f aca="false">IF(AND(Dashboard!$C$9="Yes",AC2766=1),0,1)</f>
        <v>1</v>
      </c>
      <c r="AF2766" s="62" t="n">
        <v>1</v>
      </c>
    </row>
    <row r="2767" customFormat="false" ht="15" hidden="false" customHeight="false" outlineLevel="0" collapsed="false">
      <c r="A2767" s="62" t="n">
        <v>2766</v>
      </c>
      <c r="B2767" s="63" t="n">
        <v>46293.7410300926</v>
      </c>
      <c r="C2767" s="64" t="n">
        <v>46293</v>
      </c>
      <c r="D2767" s="62" t="s">
        <v>429</v>
      </c>
      <c r="E2767" s="62" t="s">
        <v>3181</v>
      </c>
      <c r="F2767" s="62" t="s">
        <v>3181</v>
      </c>
      <c r="G2767" s="62" t="s">
        <v>3182</v>
      </c>
      <c r="H2767" s="62" t="s">
        <v>58</v>
      </c>
      <c r="I2767" s="62" t="s">
        <v>49</v>
      </c>
      <c r="J2767" s="62" t="s">
        <v>146</v>
      </c>
      <c r="K2767" s="62" t="s">
        <v>209</v>
      </c>
      <c r="L2767" s="62" t="s">
        <v>148</v>
      </c>
      <c r="M2767" s="62" t="n">
        <v>0</v>
      </c>
      <c r="N2767" s="62" t="n">
        <v>1</v>
      </c>
      <c r="O2767" s="62" t="n">
        <v>1</v>
      </c>
      <c r="P2767" s="62" t="n">
        <v>0</v>
      </c>
      <c r="Q2767" s="62" t="n">
        <v>1</v>
      </c>
      <c r="R2767" s="62" t="n">
        <v>0</v>
      </c>
      <c r="S2767" s="62" t="n">
        <v>0</v>
      </c>
      <c r="T2767" s="62" t="n">
        <v>0</v>
      </c>
      <c r="U2767" s="62"/>
      <c r="V2767" s="62"/>
      <c r="W2767" s="62"/>
      <c r="X2767" s="62"/>
      <c r="Y2767" s="62"/>
      <c r="Z2767" s="62" t="s">
        <v>5029</v>
      </c>
      <c r="AA2767" s="62" t="s">
        <v>3868</v>
      </c>
      <c r="AB2767" s="62" t="n">
        <v>0</v>
      </c>
      <c r="AC2767" s="62" t="n">
        <v>0</v>
      </c>
      <c r="AD2767" s="62" t="n">
        <v>1</v>
      </c>
      <c r="AE2767" s="62" t="n">
        <f aca="false">IF(AND(Dashboard!$C$9="Yes",AC2767=1),0,1)</f>
        <v>1</v>
      </c>
      <c r="AF2767" s="62" t="n">
        <v>1</v>
      </c>
    </row>
    <row r="2768" customFormat="false" ht="15" hidden="false" customHeight="false" outlineLevel="0" collapsed="false">
      <c r="A2768" s="62" t="n">
        <v>2767</v>
      </c>
      <c r="B2768" s="63" t="n">
        <v>46293.7422222222</v>
      </c>
      <c r="C2768" s="64" t="n">
        <v>46293</v>
      </c>
      <c r="D2768" s="62" t="s">
        <v>429</v>
      </c>
      <c r="E2768" s="62" t="s">
        <v>1616</v>
      </c>
      <c r="F2768" s="62" t="s">
        <v>1616</v>
      </c>
      <c r="G2768" s="62" t="s">
        <v>1617</v>
      </c>
      <c r="H2768" s="62" t="s">
        <v>51</v>
      </c>
      <c r="I2768" s="62" t="s">
        <v>47</v>
      </c>
      <c r="J2768" s="62" t="s">
        <v>146</v>
      </c>
      <c r="K2768" s="62" t="s">
        <v>175</v>
      </c>
      <c r="L2768" s="62" t="s">
        <v>148</v>
      </c>
      <c r="M2768" s="62" t="n">
        <v>0</v>
      </c>
      <c r="N2768" s="62" t="n">
        <v>1</v>
      </c>
      <c r="O2768" s="62" t="n">
        <v>1</v>
      </c>
      <c r="P2768" s="62" t="n">
        <v>1</v>
      </c>
      <c r="Q2768" s="62" t="n">
        <v>0</v>
      </c>
      <c r="R2768" s="62" t="n">
        <v>0</v>
      </c>
      <c r="S2768" s="62" t="n">
        <v>0</v>
      </c>
      <c r="T2768" s="62" t="n">
        <v>0</v>
      </c>
      <c r="U2768" s="62"/>
      <c r="V2768" s="62"/>
      <c r="W2768" s="62"/>
      <c r="X2768" s="62"/>
      <c r="Y2768" s="62"/>
      <c r="Z2768" s="62" t="s">
        <v>5030</v>
      </c>
      <c r="AA2768" s="62" t="s">
        <v>5031</v>
      </c>
      <c r="AB2768" s="62" t="n">
        <v>1</v>
      </c>
      <c r="AC2768" s="62" t="n">
        <v>0</v>
      </c>
      <c r="AD2768" s="62" t="n">
        <v>1</v>
      </c>
      <c r="AE2768" s="62" t="n">
        <f aca="false">IF(AND(Dashboard!$C$9="Yes",AC2768=1),0,1)</f>
        <v>1</v>
      </c>
      <c r="AF2768" s="62" t="n">
        <v>1</v>
      </c>
    </row>
    <row r="2769" customFormat="false" ht="15" hidden="false" customHeight="false" outlineLevel="0" collapsed="false">
      <c r="A2769" s="62" t="n">
        <v>2768</v>
      </c>
      <c r="B2769" s="63" t="n">
        <v>46293.7535300926</v>
      </c>
      <c r="C2769" s="64" t="n">
        <v>46293</v>
      </c>
      <c r="D2769" s="62" t="s">
        <v>429</v>
      </c>
      <c r="E2769" s="62" t="s">
        <v>2071</v>
      </c>
      <c r="F2769" s="62" t="s">
        <v>2071</v>
      </c>
      <c r="G2769" s="62" t="s">
        <v>2072</v>
      </c>
      <c r="H2769" s="62" t="s">
        <v>58</v>
      </c>
      <c r="I2769" s="62" t="s">
        <v>49</v>
      </c>
      <c r="J2769" s="62" t="s">
        <v>146</v>
      </c>
      <c r="K2769" s="62" t="s">
        <v>175</v>
      </c>
      <c r="L2769" s="62" t="s">
        <v>148</v>
      </c>
      <c r="M2769" s="62" t="n">
        <v>0</v>
      </c>
      <c r="N2769" s="62" t="n">
        <v>1</v>
      </c>
      <c r="O2769" s="62" t="n">
        <v>1</v>
      </c>
      <c r="P2769" s="62" t="n">
        <v>1</v>
      </c>
      <c r="Q2769" s="62" t="n">
        <v>0</v>
      </c>
      <c r="R2769" s="62" t="n">
        <v>0</v>
      </c>
      <c r="S2769" s="62" t="n">
        <v>0</v>
      </c>
      <c r="T2769" s="62" t="n">
        <v>0</v>
      </c>
      <c r="U2769" s="62"/>
      <c r="V2769" s="62"/>
      <c r="W2769" s="62"/>
      <c r="X2769" s="62"/>
      <c r="Y2769" s="62"/>
      <c r="Z2769" s="62" t="s">
        <v>5032</v>
      </c>
      <c r="AA2769" s="62" t="s">
        <v>5033</v>
      </c>
      <c r="AB2769" s="62" t="n">
        <v>1</v>
      </c>
      <c r="AC2769" s="62" t="n">
        <v>0</v>
      </c>
      <c r="AD2769" s="62" t="n">
        <v>1</v>
      </c>
      <c r="AE2769" s="62" t="n">
        <f aca="false">IF(AND(Dashboard!$C$9="Yes",AC2769=1),0,1)</f>
        <v>1</v>
      </c>
      <c r="AF2769" s="62" t="n">
        <v>1</v>
      </c>
    </row>
    <row r="2770" customFormat="false" ht="15" hidden="false" customHeight="false" outlineLevel="0" collapsed="false">
      <c r="A2770" s="62" t="n">
        <v>2769</v>
      </c>
      <c r="B2770" s="63" t="n">
        <v>46293.7590856482</v>
      </c>
      <c r="C2770" s="64" t="n">
        <v>46293</v>
      </c>
      <c r="D2770" s="62" t="s">
        <v>429</v>
      </c>
      <c r="E2770" s="62" t="s">
        <v>1571</v>
      </c>
      <c r="F2770" s="62" t="s">
        <v>1571</v>
      </c>
      <c r="G2770" s="62" t="s">
        <v>1572</v>
      </c>
      <c r="H2770" s="62" t="s">
        <v>52</v>
      </c>
      <c r="I2770" s="62" t="s">
        <v>47</v>
      </c>
      <c r="J2770" s="62" t="s">
        <v>146</v>
      </c>
      <c r="K2770" s="62" t="s">
        <v>209</v>
      </c>
      <c r="L2770" s="62" t="s">
        <v>148</v>
      </c>
      <c r="M2770" s="62" t="n">
        <v>0</v>
      </c>
      <c r="N2770" s="62" t="n">
        <v>1</v>
      </c>
      <c r="O2770" s="62" t="n">
        <v>1</v>
      </c>
      <c r="P2770" s="62" t="n">
        <v>1</v>
      </c>
      <c r="Q2770" s="62" t="n">
        <v>0</v>
      </c>
      <c r="R2770" s="62" t="n">
        <v>0</v>
      </c>
      <c r="S2770" s="62" t="n">
        <v>0</v>
      </c>
      <c r="T2770" s="62" t="n">
        <v>0</v>
      </c>
      <c r="U2770" s="62"/>
      <c r="V2770" s="62"/>
      <c r="W2770" s="62"/>
      <c r="X2770" s="62"/>
      <c r="Y2770" s="62"/>
      <c r="Z2770" s="62" t="s">
        <v>5034</v>
      </c>
      <c r="AA2770" s="62" t="s">
        <v>5035</v>
      </c>
      <c r="AB2770" s="62" t="n">
        <v>1</v>
      </c>
      <c r="AC2770" s="62" t="n">
        <v>0</v>
      </c>
      <c r="AD2770" s="62" t="n">
        <v>1</v>
      </c>
      <c r="AE2770" s="62" t="n">
        <f aca="false">IF(AND(Dashboard!$C$9="Yes",AC2770=1),0,1)</f>
        <v>1</v>
      </c>
      <c r="AF2770" s="62" t="n">
        <v>1</v>
      </c>
    </row>
    <row r="2771" customFormat="false" ht="15" hidden="false" customHeight="false" outlineLevel="0" collapsed="false">
      <c r="A2771" s="62" t="n">
        <v>2770</v>
      </c>
      <c r="B2771" s="63" t="n">
        <v>46293.7678125</v>
      </c>
      <c r="C2771" s="64" t="n">
        <v>46293</v>
      </c>
      <c r="D2771" s="62" t="s">
        <v>429</v>
      </c>
      <c r="E2771" s="62" t="s">
        <v>3061</v>
      </c>
      <c r="F2771" s="62" t="s">
        <v>3061</v>
      </c>
      <c r="G2771" s="62" t="s">
        <v>3062</v>
      </c>
      <c r="H2771" s="62" t="s">
        <v>44</v>
      </c>
      <c r="I2771" s="62" t="s">
        <v>49</v>
      </c>
      <c r="J2771" s="62" t="s">
        <v>146</v>
      </c>
      <c r="K2771" s="62" t="s">
        <v>147</v>
      </c>
      <c r="L2771" s="62" t="s">
        <v>148</v>
      </c>
      <c r="M2771" s="62" t="n">
        <v>0</v>
      </c>
      <c r="N2771" s="62" t="n">
        <v>1</v>
      </c>
      <c r="O2771" s="62" t="n">
        <v>1</v>
      </c>
      <c r="P2771" s="62" t="n">
        <v>0</v>
      </c>
      <c r="Q2771" s="62" t="n">
        <v>0</v>
      </c>
      <c r="R2771" s="62" t="n">
        <v>1</v>
      </c>
      <c r="S2771" s="62" t="n">
        <v>0</v>
      </c>
      <c r="T2771" s="62" t="n">
        <v>0</v>
      </c>
      <c r="U2771" s="62"/>
      <c r="V2771" s="62"/>
      <c r="W2771" s="62"/>
      <c r="X2771" s="62"/>
      <c r="Y2771" s="62"/>
      <c r="Z2771" s="62" t="s">
        <v>5036</v>
      </c>
      <c r="AA2771" s="62" t="s">
        <v>5037</v>
      </c>
      <c r="AB2771" s="62" t="n">
        <v>1</v>
      </c>
      <c r="AC2771" s="62" t="n">
        <v>0</v>
      </c>
      <c r="AD2771" s="62" t="n">
        <v>1</v>
      </c>
      <c r="AE2771" s="62" t="n">
        <f aca="false">IF(AND(Dashboard!$C$9="Yes",AC2771=1),0,1)</f>
        <v>1</v>
      </c>
      <c r="AF2771" s="62" t="n">
        <v>1</v>
      </c>
    </row>
    <row r="2772" customFormat="false" ht="15" hidden="false" customHeight="false" outlineLevel="0" collapsed="false">
      <c r="A2772" s="62" t="n">
        <v>2771</v>
      </c>
      <c r="B2772" s="63" t="n">
        <v>46293.7893865741</v>
      </c>
      <c r="C2772" s="64" t="n">
        <v>46293</v>
      </c>
      <c r="D2772" s="62" t="s">
        <v>429</v>
      </c>
      <c r="E2772" s="62" t="s">
        <v>203</v>
      </c>
      <c r="F2772" s="62" t="s">
        <v>203</v>
      </c>
      <c r="G2772" s="62" t="s">
        <v>204</v>
      </c>
      <c r="H2772" s="62" t="s">
        <v>51</v>
      </c>
      <c r="I2772" s="62" t="s">
        <v>47</v>
      </c>
      <c r="J2772" s="62" t="s">
        <v>146</v>
      </c>
      <c r="K2772" s="62" t="s">
        <v>147</v>
      </c>
      <c r="L2772" s="62" t="s">
        <v>4</v>
      </c>
      <c r="M2772" s="62" t="n">
        <v>2</v>
      </c>
      <c r="N2772" s="62" t="n">
        <v>0</v>
      </c>
      <c r="O2772" s="62" t="n">
        <v>2</v>
      </c>
      <c r="P2772" s="62" t="n">
        <v>0</v>
      </c>
      <c r="Q2772" s="62" t="n">
        <v>0</v>
      </c>
      <c r="R2772" s="62" t="n">
        <v>0</v>
      </c>
      <c r="S2772" s="62" t="n">
        <v>0</v>
      </c>
      <c r="T2772" s="62" t="n">
        <v>0</v>
      </c>
      <c r="U2772" s="62" t="s">
        <v>2056</v>
      </c>
      <c r="V2772" s="62" t="s">
        <v>2057</v>
      </c>
      <c r="W2772" s="62" t="s">
        <v>15</v>
      </c>
      <c r="X2772" s="62" t="s">
        <v>2058</v>
      </c>
      <c r="Y2772" s="62" t="s">
        <v>2059</v>
      </c>
      <c r="Z2772" s="62" t="s">
        <v>5038</v>
      </c>
      <c r="AA2772" s="62" t="s">
        <v>5039</v>
      </c>
      <c r="AB2772" s="62" t="n">
        <v>1</v>
      </c>
      <c r="AC2772" s="62" t="n">
        <v>0</v>
      </c>
      <c r="AD2772" s="62" t="n">
        <v>1</v>
      </c>
      <c r="AE2772" s="62" t="n">
        <f aca="false">IF(AND(Dashboard!$C$9="Yes",AC2772=1),0,1)</f>
        <v>1</v>
      </c>
      <c r="AF2772" s="62" t="n">
        <v>1</v>
      </c>
    </row>
    <row r="2773" customFormat="false" ht="15" hidden="false" customHeight="false" outlineLevel="0" collapsed="false">
      <c r="A2773" s="62" t="n">
        <v>2772</v>
      </c>
      <c r="B2773" s="63" t="n">
        <v>46293.7895486111</v>
      </c>
      <c r="C2773" s="64" t="n">
        <v>46293</v>
      </c>
      <c r="D2773" s="62" t="s">
        <v>429</v>
      </c>
      <c r="E2773" s="62" t="s">
        <v>3061</v>
      </c>
      <c r="F2773" s="62" t="s">
        <v>3061</v>
      </c>
      <c r="G2773" s="62" t="s">
        <v>3062</v>
      </c>
      <c r="H2773" s="62" t="s">
        <v>44</v>
      </c>
      <c r="I2773" s="62" t="s">
        <v>49</v>
      </c>
      <c r="J2773" s="62" t="s">
        <v>146</v>
      </c>
      <c r="K2773" s="62" t="s">
        <v>147</v>
      </c>
      <c r="L2773" s="62" t="s">
        <v>148</v>
      </c>
      <c r="M2773" s="62" t="n">
        <v>0</v>
      </c>
      <c r="N2773" s="62" t="n">
        <v>1</v>
      </c>
      <c r="O2773" s="62" t="n">
        <v>1</v>
      </c>
      <c r="P2773" s="62" t="n">
        <v>1</v>
      </c>
      <c r="Q2773" s="62" t="n">
        <v>0</v>
      </c>
      <c r="R2773" s="62" t="n">
        <v>0</v>
      </c>
      <c r="S2773" s="62" t="n">
        <v>0</v>
      </c>
      <c r="T2773" s="62" t="n">
        <v>0</v>
      </c>
      <c r="U2773" s="62"/>
      <c r="V2773" s="62"/>
      <c r="W2773" s="62"/>
      <c r="X2773" s="62"/>
      <c r="Y2773" s="62"/>
      <c r="Z2773" s="62" t="s">
        <v>5040</v>
      </c>
      <c r="AA2773" s="62" t="s">
        <v>5041</v>
      </c>
      <c r="AB2773" s="62" t="n">
        <v>1</v>
      </c>
      <c r="AC2773" s="62" t="n">
        <v>0</v>
      </c>
      <c r="AD2773" s="62" t="n">
        <v>1</v>
      </c>
      <c r="AE2773" s="62" t="n">
        <f aca="false">IF(AND(Dashboard!$C$9="Yes",AC2773=1),0,1)</f>
        <v>1</v>
      </c>
      <c r="AF2773" s="62" t="n">
        <v>0</v>
      </c>
    </row>
    <row r="2774" customFormat="false" ht="15" hidden="false" customHeight="false" outlineLevel="0" collapsed="false">
      <c r="A2774" s="62" t="n">
        <v>2773</v>
      </c>
      <c r="B2774" s="63" t="n">
        <v>46293.7898842593</v>
      </c>
      <c r="C2774" s="64" t="n">
        <v>46293</v>
      </c>
      <c r="D2774" s="62" t="s">
        <v>429</v>
      </c>
      <c r="E2774" s="62" t="s">
        <v>5042</v>
      </c>
      <c r="F2774" s="62" t="s">
        <v>5043</v>
      </c>
      <c r="G2774" s="62" t="s">
        <v>153</v>
      </c>
      <c r="H2774" s="62" t="s">
        <v>153</v>
      </c>
      <c r="I2774" s="62" t="s">
        <v>153</v>
      </c>
      <c r="J2774" s="62" t="s">
        <v>64</v>
      </c>
      <c r="K2774" s="62" t="s">
        <v>64</v>
      </c>
      <c r="L2774" s="62" t="s">
        <v>4</v>
      </c>
      <c r="M2774" s="62" t="n">
        <v>1</v>
      </c>
      <c r="N2774" s="62" t="n">
        <v>0</v>
      </c>
      <c r="O2774" s="62" t="n">
        <v>1</v>
      </c>
      <c r="P2774" s="62" t="n">
        <v>0</v>
      </c>
      <c r="Q2774" s="62" t="n">
        <v>0</v>
      </c>
      <c r="R2774" s="62" t="n">
        <v>0</v>
      </c>
      <c r="S2774" s="62" t="n">
        <v>0</v>
      </c>
      <c r="T2774" s="62" t="n">
        <v>0</v>
      </c>
      <c r="U2774" s="62" t="s">
        <v>2056</v>
      </c>
      <c r="V2774" s="62" t="s">
        <v>2057</v>
      </c>
      <c r="W2774" s="62" t="s">
        <v>15</v>
      </c>
      <c r="X2774" s="62" t="s">
        <v>2058</v>
      </c>
      <c r="Y2774" s="62" t="s">
        <v>2103</v>
      </c>
      <c r="Z2774" s="62" t="s">
        <v>5038</v>
      </c>
      <c r="AA2774" s="62" t="s">
        <v>5042</v>
      </c>
      <c r="AB2774" s="62" t="n">
        <v>1</v>
      </c>
      <c r="AC2774" s="62" t="n">
        <v>0</v>
      </c>
      <c r="AD2774" s="62" t="n">
        <v>0</v>
      </c>
      <c r="AE2774" s="62" t="n">
        <f aca="false">IF(AND(Dashboard!$C$9="Yes",AC2774=1),0,1)</f>
        <v>1</v>
      </c>
      <c r="AF2774" s="62" t="n">
        <v>1</v>
      </c>
    </row>
    <row r="2775" customFormat="false" ht="15" hidden="false" customHeight="false" outlineLevel="0" collapsed="false">
      <c r="A2775" s="62" t="n">
        <v>2774</v>
      </c>
      <c r="B2775" s="63" t="n">
        <v>46293.7903935185</v>
      </c>
      <c r="C2775" s="64" t="n">
        <v>46293</v>
      </c>
      <c r="D2775" s="62" t="s">
        <v>429</v>
      </c>
      <c r="E2775" s="62" t="s">
        <v>4420</v>
      </c>
      <c r="F2775" s="62" t="s">
        <v>4420</v>
      </c>
      <c r="G2775" s="62" t="s">
        <v>4421</v>
      </c>
      <c r="H2775" s="62" t="s">
        <v>44</v>
      </c>
      <c r="I2775" s="62" t="s">
        <v>49</v>
      </c>
      <c r="J2775" s="62" t="s">
        <v>146</v>
      </c>
      <c r="K2775" s="62" t="s">
        <v>147</v>
      </c>
      <c r="L2775" s="62" t="s">
        <v>4</v>
      </c>
      <c r="M2775" s="62" t="n">
        <v>1</v>
      </c>
      <c r="N2775" s="62" t="n">
        <v>0</v>
      </c>
      <c r="O2775" s="62" t="n">
        <v>1</v>
      </c>
      <c r="P2775" s="62" t="n">
        <v>0</v>
      </c>
      <c r="Q2775" s="62" t="n">
        <v>0</v>
      </c>
      <c r="R2775" s="62" t="n">
        <v>0</v>
      </c>
      <c r="S2775" s="62" t="n">
        <v>0</v>
      </c>
      <c r="T2775" s="62" t="n">
        <v>0</v>
      </c>
      <c r="U2775" s="62" t="s">
        <v>2056</v>
      </c>
      <c r="V2775" s="62" t="s">
        <v>2057</v>
      </c>
      <c r="W2775" s="62" t="s">
        <v>15</v>
      </c>
      <c r="X2775" s="62" t="s">
        <v>2058</v>
      </c>
      <c r="Y2775" s="62" t="s">
        <v>2059</v>
      </c>
      <c r="Z2775" s="62" t="s">
        <v>5044</v>
      </c>
      <c r="AA2775" s="62" t="s">
        <v>5045</v>
      </c>
      <c r="AB2775" s="62" t="n">
        <v>1</v>
      </c>
      <c r="AC2775" s="62" t="n">
        <v>0</v>
      </c>
      <c r="AD2775" s="62" t="n">
        <v>1</v>
      </c>
      <c r="AE2775" s="62" t="n">
        <f aca="false">IF(AND(Dashboard!$C$9="Yes",AC2775=1),0,1)</f>
        <v>1</v>
      </c>
      <c r="AF2775" s="62" t="n">
        <v>1</v>
      </c>
    </row>
    <row r="2776" customFormat="false" ht="15" hidden="false" customHeight="false" outlineLevel="0" collapsed="false">
      <c r="A2776" s="62" t="n">
        <v>2775</v>
      </c>
      <c r="B2776" s="63" t="n">
        <v>46293.7922569444</v>
      </c>
      <c r="C2776" s="64" t="n">
        <v>46293</v>
      </c>
      <c r="D2776" s="62" t="s">
        <v>429</v>
      </c>
      <c r="E2776" s="62" t="s">
        <v>4420</v>
      </c>
      <c r="F2776" s="62" t="s">
        <v>4420</v>
      </c>
      <c r="G2776" s="62" t="s">
        <v>4421</v>
      </c>
      <c r="H2776" s="62" t="s">
        <v>44</v>
      </c>
      <c r="I2776" s="62" t="s">
        <v>49</v>
      </c>
      <c r="J2776" s="62" t="s">
        <v>146</v>
      </c>
      <c r="K2776" s="62" t="s">
        <v>147</v>
      </c>
      <c r="L2776" s="62" t="s">
        <v>148</v>
      </c>
      <c r="M2776" s="62" t="n">
        <v>0</v>
      </c>
      <c r="N2776" s="62" t="n">
        <v>1</v>
      </c>
      <c r="O2776" s="62" t="n">
        <v>1</v>
      </c>
      <c r="P2776" s="62" t="n">
        <v>0</v>
      </c>
      <c r="Q2776" s="62" t="n">
        <v>1</v>
      </c>
      <c r="R2776" s="62" t="n">
        <v>0</v>
      </c>
      <c r="S2776" s="62" t="n">
        <v>0</v>
      </c>
      <c r="T2776" s="62" t="n">
        <v>0</v>
      </c>
      <c r="U2776" s="62"/>
      <c r="V2776" s="62"/>
      <c r="W2776" s="62"/>
      <c r="X2776" s="62"/>
      <c r="Y2776" s="62"/>
      <c r="Z2776" s="62" t="s">
        <v>5044</v>
      </c>
      <c r="AA2776" s="62" t="s">
        <v>5046</v>
      </c>
      <c r="AB2776" s="62" t="n">
        <v>1</v>
      </c>
      <c r="AC2776" s="62" t="n">
        <v>0</v>
      </c>
      <c r="AD2776" s="62" t="n">
        <v>1</v>
      </c>
      <c r="AE2776" s="62" t="n">
        <f aca="false">IF(AND(Dashboard!$C$9="Yes",AC2776=1),0,1)</f>
        <v>1</v>
      </c>
      <c r="AF2776" s="62" t="n">
        <v>0</v>
      </c>
    </row>
    <row r="2777" customFormat="false" ht="15" hidden="false" customHeight="false" outlineLevel="0" collapsed="false">
      <c r="A2777" s="62" t="n">
        <v>2776</v>
      </c>
      <c r="B2777" s="63" t="n">
        <v>46293.8068634259</v>
      </c>
      <c r="C2777" s="64" t="n">
        <v>46293</v>
      </c>
      <c r="D2777" s="62" t="s">
        <v>429</v>
      </c>
      <c r="E2777" s="62" t="s">
        <v>3181</v>
      </c>
      <c r="F2777" s="62" t="s">
        <v>3181</v>
      </c>
      <c r="G2777" s="62" t="s">
        <v>3182</v>
      </c>
      <c r="H2777" s="62" t="s">
        <v>58</v>
      </c>
      <c r="I2777" s="62" t="s">
        <v>49</v>
      </c>
      <c r="J2777" s="62" t="s">
        <v>146</v>
      </c>
      <c r="K2777" s="62" t="s">
        <v>209</v>
      </c>
      <c r="L2777" s="62" t="s">
        <v>4</v>
      </c>
      <c r="M2777" s="62" t="n">
        <v>1</v>
      </c>
      <c r="N2777" s="62" t="n">
        <v>0</v>
      </c>
      <c r="O2777" s="62" t="n">
        <v>1</v>
      </c>
      <c r="P2777" s="62" t="n">
        <v>0</v>
      </c>
      <c r="Q2777" s="62" t="n">
        <v>0</v>
      </c>
      <c r="R2777" s="62" t="n">
        <v>0</v>
      </c>
      <c r="S2777" s="62" t="n">
        <v>0</v>
      </c>
      <c r="T2777" s="62" t="n">
        <v>0</v>
      </c>
      <c r="U2777" s="62" t="s">
        <v>2056</v>
      </c>
      <c r="V2777" s="62" t="s">
        <v>2057</v>
      </c>
      <c r="W2777" s="62" t="s">
        <v>15</v>
      </c>
      <c r="X2777" s="62"/>
      <c r="Y2777" s="62" t="s">
        <v>2059</v>
      </c>
      <c r="Z2777" s="62" t="s">
        <v>5047</v>
      </c>
      <c r="AA2777" s="62" t="s">
        <v>492</v>
      </c>
      <c r="AB2777" s="62" t="n">
        <v>0</v>
      </c>
      <c r="AC2777" s="62" t="n">
        <v>0</v>
      </c>
      <c r="AD2777" s="62" t="n">
        <v>1</v>
      </c>
      <c r="AE2777" s="62" t="n">
        <f aca="false">IF(AND(Dashboard!$C$9="Yes",AC2777=1),0,1)</f>
        <v>1</v>
      </c>
      <c r="AF2777" s="62" t="n">
        <v>0</v>
      </c>
    </row>
    <row r="2778" customFormat="false" ht="15" hidden="false" customHeight="false" outlineLevel="0" collapsed="false">
      <c r="A2778" s="62" t="n">
        <v>2777</v>
      </c>
      <c r="B2778" s="63" t="n">
        <v>46293.809837963</v>
      </c>
      <c r="C2778" s="64" t="n">
        <v>46293</v>
      </c>
      <c r="D2778" s="62" t="s">
        <v>429</v>
      </c>
      <c r="E2778" s="62" t="s">
        <v>2156</v>
      </c>
      <c r="F2778" s="62" t="s">
        <v>2156</v>
      </c>
      <c r="G2778" s="62" t="s">
        <v>2157</v>
      </c>
      <c r="H2778" s="62" t="s">
        <v>52</v>
      </c>
      <c r="I2778" s="62" t="s">
        <v>47</v>
      </c>
      <c r="J2778" s="62" t="s">
        <v>146</v>
      </c>
      <c r="K2778" s="62" t="s">
        <v>209</v>
      </c>
      <c r="L2778" s="62" t="s">
        <v>148</v>
      </c>
      <c r="M2778" s="62" t="n">
        <v>0</v>
      </c>
      <c r="N2778" s="62" t="n">
        <v>1</v>
      </c>
      <c r="O2778" s="62" t="n">
        <v>1</v>
      </c>
      <c r="P2778" s="62" t="n">
        <v>0</v>
      </c>
      <c r="Q2778" s="62" t="n">
        <v>1</v>
      </c>
      <c r="R2778" s="62" t="n">
        <v>0</v>
      </c>
      <c r="S2778" s="62" t="n">
        <v>0</v>
      </c>
      <c r="T2778" s="62" t="n">
        <v>0</v>
      </c>
      <c r="U2778" s="62"/>
      <c r="V2778" s="62"/>
      <c r="W2778" s="62"/>
      <c r="X2778" s="62"/>
      <c r="Y2778" s="62"/>
      <c r="Z2778" s="62" t="s">
        <v>5048</v>
      </c>
      <c r="AA2778" s="62" t="s">
        <v>5049</v>
      </c>
      <c r="AB2778" s="62" t="n">
        <v>1</v>
      </c>
      <c r="AC2778" s="62" t="n">
        <v>0</v>
      </c>
      <c r="AD2778" s="62" t="n">
        <v>1</v>
      </c>
      <c r="AE2778" s="62" t="n">
        <f aca="false">IF(AND(Dashboard!$C$9="Yes",AC2778=1),0,1)</f>
        <v>1</v>
      </c>
      <c r="AF2778" s="62" t="n">
        <v>0</v>
      </c>
    </row>
    <row r="2779" customFormat="false" ht="15" hidden="false" customHeight="false" outlineLevel="0" collapsed="false">
      <c r="A2779" s="62" t="n">
        <v>2778</v>
      </c>
      <c r="B2779" s="63" t="n">
        <v>46293.8292939815</v>
      </c>
      <c r="C2779" s="64" t="n">
        <v>46293</v>
      </c>
      <c r="D2779" s="62" t="s">
        <v>429</v>
      </c>
      <c r="E2779" s="62" t="s">
        <v>5050</v>
      </c>
      <c r="F2779" s="62" t="s">
        <v>5051</v>
      </c>
      <c r="G2779" s="62" t="s">
        <v>153</v>
      </c>
      <c r="H2779" s="62" t="s">
        <v>153</v>
      </c>
      <c r="I2779" s="62" t="s">
        <v>153</v>
      </c>
      <c r="J2779" s="62" t="s">
        <v>64</v>
      </c>
      <c r="K2779" s="62" t="s">
        <v>64</v>
      </c>
      <c r="L2779" s="62" t="s">
        <v>148</v>
      </c>
      <c r="M2779" s="62" t="n">
        <v>0</v>
      </c>
      <c r="N2779" s="62" t="n">
        <v>1</v>
      </c>
      <c r="O2779" s="62" t="n">
        <v>1</v>
      </c>
      <c r="P2779" s="62" t="n">
        <v>1</v>
      </c>
      <c r="Q2779" s="62" t="n">
        <v>0</v>
      </c>
      <c r="R2779" s="62" t="n">
        <v>0</v>
      </c>
      <c r="S2779" s="62" t="n">
        <v>0</v>
      </c>
      <c r="T2779" s="62" t="n">
        <v>0</v>
      </c>
      <c r="U2779" s="62"/>
      <c r="V2779" s="62"/>
      <c r="W2779" s="62"/>
      <c r="X2779" s="62"/>
      <c r="Y2779" s="62"/>
      <c r="Z2779" s="62" t="s">
        <v>5052</v>
      </c>
      <c r="AA2779" s="62" t="s">
        <v>5053</v>
      </c>
      <c r="AB2779" s="62" t="n">
        <v>1</v>
      </c>
      <c r="AC2779" s="62" t="n">
        <v>0</v>
      </c>
      <c r="AD2779" s="62" t="n">
        <v>0</v>
      </c>
      <c r="AE2779" s="62" t="n">
        <f aca="false">IF(AND(Dashboard!$C$9="Yes",AC2779=1),0,1)</f>
        <v>1</v>
      </c>
      <c r="AF2779" s="62" t="n">
        <v>1</v>
      </c>
    </row>
    <row r="2780" customFormat="false" ht="15" hidden="false" customHeight="false" outlineLevel="0" collapsed="false">
      <c r="A2780" s="62" t="n">
        <v>2779</v>
      </c>
      <c r="B2780" s="63" t="n">
        <v>46293.8330787037</v>
      </c>
      <c r="C2780" s="64" t="n">
        <v>46293</v>
      </c>
      <c r="D2780" s="62" t="s">
        <v>429</v>
      </c>
      <c r="E2780" s="62" t="s">
        <v>1445</v>
      </c>
      <c r="F2780" s="62" t="s">
        <v>1445</v>
      </c>
      <c r="G2780" s="62" t="s">
        <v>1446</v>
      </c>
      <c r="H2780" s="62" t="s">
        <v>58</v>
      </c>
      <c r="I2780" s="62" t="s">
        <v>49</v>
      </c>
      <c r="J2780" s="62" t="s">
        <v>146</v>
      </c>
      <c r="K2780" s="62" t="s">
        <v>175</v>
      </c>
      <c r="L2780" s="62" t="s">
        <v>148</v>
      </c>
      <c r="M2780" s="62" t="n">
        <v>0</v>
      </c>
      <c r="N2780" s="62" t="n">
        <v>2</v>
      </c>
      <c r="O2780" s="62" t="n">
        <v>2</v>
      </c>
      <c r="P2780" s="62" t="n">
        <v>1</v>
      </c>
      <c r="Q2780" s="62" t="n">
        <v>1</v>
      </c>
      <c r="R2780" s="62" t="n">
        <v>0</v>
      </c>
      <c r="S2780" s="62" t="n">
        <v>0</v>
      </c>
      <c r="T2780" s="62" t="n">
        <v>0</v>
      </c>
      <c r="U2780" s="62"/>
      <c r="V2780" s="62"/>
      <c r="W2780" s="62"/>
      <c r="X2780" s="62"/>
      <c r="Y2780" s="62"/>
      <c r="Z2780" s="62" t="s">
        <v>5054</v>
      </c>
      <c r="AA2780" s="62" t="s">
        <v>5055</v>
      </c>
      <c r="AB2780" s="62" t="n">
        <v>1</v>
      </c>
      <c r="AC2780" s="62" t="n">
        <v>0</v>
      </c>
      <c r="AD2780" s="62" t="n">
        <v>1</v>
      </c>
      <c r="AE2780" s="62" t="n">
        <f aca="false">IF(AND(Dashboard!$C$9="Yes",AC2780=1),0,1)</f>
        <v>1</v>
      </c>
      <c r="AF2780" s="62" t="n">
        <v>0</v>
      </c>
    </row>
    <row r="2781" customFormat="false" ht="15" hidden="false" customHeight="false" outlineLevel="0" collapsed="false">
      <c r="A2781" s="62" t="n">
        <v>2780</v>
      </c>
      <c r="B2781" s="63" t="n">
        <v>46293.8410763889</v>
      </c>
      <c r="C2781" s="64" t="n">
        <v>46293</v>
      </c>
      <c r="D2781" s="62" t="s">
        <v>429</v>
      </c>
      <c r="E2781" s="62" t="s">
        <v>1616</v>
      </c>
      <c r="F2781" s="62" t="s">
        <v>1616</v>
      </c>
      <c r="G2781" s="62" t="s">
        <v>1617</v>
      </c>
      <c r="H2781" s="62" t="s">
        <v>51</v>
      </c>
      <c r="I2781" s="62" t="s">
        <v>47</v>
      </c>
      <c r="J2781" s="62" t="s">
        <v>146</v>
      </c>
      <c r="K2781" s="62" t="s">
        <v>175</v>
      </c>
      <c r="L2781" s="62" t="s">
        <v>148</v>
      </c>
      <c r="M2781" s="62" t="n">
        <v>0</v>
      </c>
      <c r="N2781" s="62" t="n">
        <v>1</v>
      </c>
      <c r="O2781" s="62" t="n">
        <v>1</v>
      </c>
      <c r="P2781" s="62" t="n">
        <v>0</v>
      </c>
      <c r="Q2781" s="62" t="n">
        <v>1</v>
      </c>
      <c r="R2781" s="62" t="n">
        <v>0</v>
      </c>
      <c r="S2781" s="62" t="n">
        <v>0</v>
      </c>
      <c r="T2781" s="62" t="n">
        <v>0</v>
      </c>
      <c r="U2781" s="62"/>
      <c r="V2781" s="62"/>
      <c r="W2781" s="62"/>
      <c r="X2781" s="62"/>
      <c r="Y2781" s="62"/>
      <c r="Z2781" s="62" t="s">
        <v>5056</v>
      </c>
      <c r="AA2781" s="62" t="s">
        <v>5057</v>
      </c>
      <c r="AB2781" s="62" t="n">
        <v>1</v>
      </c>
      <c r="AC2781" s="62" t="n">
        <v>0</v>
      </c>
      <c r="AD2781" s="62" t="n">
        <v>1</v>
      </c>
      <c r="AE2781" s="62" t="n">
        <f aca="false">IF(AND(Dashboard!$C$9="Yes",AC2781=1),0,1)</f>
        <v>1</v>
      </c>
      <c r="AF2781" s="62" t="n">
        <v>0</v>
      </c>
    </row>
    <row r="2782" customFormat="false" ht="15" hidden="false" customHeight="false" outlineLevel="0" collapsed="false">
      <c r="A2782" s="62" t="n">
        <v>2781</v>
      </c>
      <c r="B2782" s="63" t="n">
        <v>46293.8442939815</v>
      </c>
      <c r="C2782" s="64" t="n">
        <v>46293</v>
      </c>
      <c r="D2782" s="62" t="s">
        <v>429</v>
      </c>
      <c r="E2782" s="62" t="s">
        <v>4530</v>
      </c>
      <c r="F2782" s="62" t="s">
        <v>4530</v>
      </c>
      <c r="G2782" s="62" t="s">
        <v>4531</v>
      </c>
      <c r="H2782" s="62" t="s">
        <v>44</v>
      </c>
      <c r="I2782" s="62" t="s">
        <v>49</v>
      </c>
      <c r="J2782" s="62" t="s">
        <v>146</v>
      </c>
      <c r="K2782" s="62" t="s">
        <v>147</v>
      </c>
      <c r="L2782" s="62" t="s">
        <v>148</v>
      </c>
      <c r="M2782" s="62" t="n">
        <v>0</v>
      </c>
      <c r="N2782" s="62" t="n">
        <v>1</v>
      </c>
      <c r="O2782" s="62" t="n">
        <v>1</v>
      </c>
      <c r="P2782" s="62" t="n">
        <v>0</v>
      </c>
      <c r="Q2782" s="62" t="n">
        <v>1</v>
      </c>
      <c r="R2782" s="62" t="n">
        <v>0</v>
      </c>
      <c r="S2782" s="62" t="n">
        <v>0</v>
      </c>
      <c r="T2782" s="62" t="n">
        <v>0</v>
      </c>
      <c r="U2782" s="62"/>
      <c r="V2782" s="62"/>
      <c r="W2782" s="62"/>
      <c r="X2782" s="62"/>
      <c r="Y2782" s="62"/>
      <c r="Z2782" s="62" t="s">
        <v>5058</v>
      </c>
      <c r="AA2782" s="62" t="s">
        <v>5059</v>
      </c>
      <c r="AB2782" s="62" t="n">
        <v>1</v>
      </c>
      <c r="AC2782" s="62" t="n">
        <v>0</v>
      </c>
      <c r="AD2782" s="62" t="n">
        <v>1</v>
      </c>
      <c r="AE2782" s="62" t="n">
        <f aca="false">IF(AND(Dashboard!$C$9="Yes",AC2782=1),0,1)</f>
        <v>1</v>
      </c>
      <c r="AF2782" s="62" t="n">
        <v>1</v>
      </c>
    </row>
    <row r="2783" customFormat="false" ht="15" hidden="false" customHeight="false" outlineLevel="0" collapsed="false">
      <c r="A2783" s="62" t="n">
        <v>2782</v>
      </c>
      <c r="B2783" s="63" t="n">
        <v>46293.847962963</v>
      </c>
      <c r="C2783" s="64" t="n">
        <v>46293</v>
      </c>
      <c r="D2783" s="62" t="s">
        <v>429</v>
      </c>
      <c r="E2783" s="62" t="s">
        <v>180</v>
      </c>
      <c r="F2783" s="62" t="s">
        <v>180</v>
      </c>
      <c r="G2783" s="62" t="s">
        <v>181</v>
      </c>
      <c r="H2783" s="62" t="s">
        <v>58</v>
      </c>
      <c r="I2783" s="62" t="s">
        <v>49</v>
      </c>
      <c r="J2783" s="62" t="s">
        <v>146</v>
      </c>
      <c r="K2783" s="62" t="s">
        <v>175</v>
      </c>
      <c r="L2783" s="62" t="s">
        <v>148</v>
      </c>
      <c r="M2783" s="62" t="n">
        <v>0</v>
      </c>
      <c r="N2783" s="62" t="n">
        <v>2</v>
      </c>
      <c r="O2783" s="62" t="n">
        <v>2</v>
      </c>
      <c r="P2783" s="62" t="n">
        <v>1</v>
      </c>
      <c r="Q2783" s="62" t="n">
        <v>1</v>
      </c>
      <c r="R2783" s="62" t="n">
        <v>0</v>
      </c>
      <c r="S2783" s="62" t="n">
        <v>0</v>
      </c>
      <c r="T2783" s="62" t="n">
        <v>0</v>
      </c>
      <c r="U2783" s="62"/>
      <c r="V2783" s="62"/>
      <c r="W2783" s="62"/>
      <c r="X2783" s="62"/>
      <c r="Y2783" s="62"/>
      <c r="Z2783" s="62" t="s">
        <v>5060</v>
      </c>
      <c r="AA2783" s="62" t="s">
        <v>5060</v>
      </c>
      <c r="AB2783" s="62" t="n">
        <v>1</v>
      </c>
      <c r="AC2783" s="62" t="n">
        <v>0</v>
      </c>
      <c r="AD2783" s="62" t="n">
        <v>1</v>
      </c>
      <c r="AE2783" s="62" t="n">
        <f aca="false">IF(AND(Dashboard!$C$9="Yes",AC2783=1),0,1)</f>
        <v>1</v>
      </c>
      <c r="AF2783" s="62" t="n">
        <v>1</v>
      </c>
    </row>
    <row r="2784" customFormat="false" ht="15" hidden="false" customHeight="false" outlineLevel="0" collapsed="false">
      <c r="A2784" s="62" t="n">
        <v>2783</v>
      </c>
      <c r="B2784" s="63" t="n">
        <v>46293.8482523148</v>
      </c>
      <c r="C2784" s="64" t="n">
        <v>46293</v>
      </c>
      <c r="D2784" s="62" t="s">
        <v>429</v>
      </c>
      <c r="E2784" s="62" t="s">
        <v>2228</v>
      </c>
      <c r="F2784" s="62" t="s">
        <v>2228</v>
      </c>
      <c r="G2784" s="62" t="s">
        <v>2229</v>
      </c>
      <c r="H2784" s="62" t="s">
        <v>58</v>
      </c>
      <c r="I2784" s="62" t="s">
        <v>49</v>
      </c>
      <c r="J2784" s="62" t="s">
        <v>146</v>
      </c>
      <c r="K2784" s="62" t="s">
        <v>209</v>
      </c>
      <c r="L2784" s="62" t="s">
        <v>4</v>
      </c>
      <c r="M2784" s="62" t="n">
        <v>1</v>
      </c>
      <c r="N2784" s="62" t="n">
        <v>0</v>
      </c>
      <c r="O2784" s="62" t="n">
        <v>1</v>
      </c>
      <c r="P2784" s="62" t="n">
        <v>0</v>
      </c>
      <c r="Q2784" s="62" t="n">
        <v>0</v>
      </c>
      <c r="R2784" s="62" t="n">
        <v>0</v>
      </c>
      <c r="S2784" s="62" t="n">
        <v>0</v>
      </c>
      <c r="T2784" s="62" t="n">
        <v>0</v>
      </c>
      <c r="U2784" s="62" t="s">
        <v>2056</v>
      </c>
      <c r="V2784" s="62" t="s">
        <v>2057</v>
      </c>
      <c r="W2784" s="62" t="s">
        <v>15</v>
      </c>
      <c r="X2784" s="62" t="s">
        <v>2058</v>
      </c>
      <c r="Y2784" s="62" t="s">
        <v>2059</v>
      </c>
      <c r="Z2784" s="62" t="s">
        <v>5061</v>
      </c>
      <c r="AA2784" s="62" t="s">
        <v>5062</v>
      </c>
      <c r="AB2784" s="62" t="n">
        <v>1</v>
      </c>
      <c r="AC2784" s="62" t="n">
        <v>0</v>
      </c>
      <c r="AD2784" s="62" t="n">
        <v>1</v>
      </c>
      <c r="AE2784" s="62" t="n">
        <f aca="false">IF(AND(Dashboard!$C$9="Yes",AC2784=1),0,1)</f>
        <v>1</v>
      </c>
      <c r="AF2784" s="62" t="n">
        <v>1</v>
      </c>
    </row>
    <row r="2785" customFormat="false" ht="15" hidden="false" customHeight="false" outlineLevel="0" collapsed="false">
      <c r="A2785" s="62" t="n">
        <v>2784</v>
      </c>
      <c r="B2785" s="63" t="n">
        <v>46293.853587963</v>
      </c>
      <c r="C2785" s="64" t="n">
        <v>46293</v>
      </c>
      <c r="D2785" s="62" t="s">
        <v>429</v>
      </c>
      <c r="E2785" s="62" t="s">
        <v>4386</v>
      </c>
      <c r="F2785" s="62" t="s">
        <v>4386</v>
      </c>
      <c r="G2785" s="62" t="s">
        <v>4387</v>
      </c>
      <c r="H2785" s="62" t="s">
        <v>44</v>
      </c>
      <c r="I2785" s="62" t="s">
        <v>49</v>
      </c>
      <c r="J2785" s="62" t="s">
        <v>146</v>
      </c>
      <c r="K2785" s="62" t="s">
        <v>147</v>
      </c>
      <c r="L2785" s="62" t="s">
        <v>148</v>
      </c>
      <c r="M2785" s="62" t="n">
        <v>0</v>
      </c>
      <c r="N2785" s="62" t="n">
        <v>1</v>
      </c>
      <c r="O2785" s="62" t="n">
        <v>1</v>
      </c>
      <c r="P2785" s="62" t="n">
        <v>1</v>
      </c>
      <c r="Q2785" s="62" t="n">
        <v>0</v>
      </c>
      <c r="R2785" s="62" t="n">
        <v>0</v>
      </c>
      <c r="S2785" s="62" t="n">
        <v>0</v>
      </c>
      <c r="T2785" s="62" t="n">
        <v>0</v>
      </c>
      <c r="U2785" s="62"/>
      <c r="V2785" s="62"/>
      <c r="W2785" s="62"/>
      <c r="X2785" s="62"/>
      <c r="Y2785" s="62"/>
      <c r="Z2785" s="62" t="s">
        <v>5063</v>
      </c>
      <c r="AA2785" s="62" t="s">
        <v>5064</v>
      </c>
      <c r="AB2785" s="62" t="n">
        <v>1</v>
      </c>
      <c r="AC2785" s="62" t="n">
        <v>0</v>
      </c>
      <c r="AD2785" s="62" t="n">
        <v>1</v>
      </c>
      <c r="AE2785" s="62" t="n">
        <f aca="false">IF(AND(Dashboard!$C$9="Yes",AC2785=1),0,1)</f>
        <v>1</v>
      </c>
      <c r="AF2785" s="62" t="n">
        <v>1</v>
      </c>
    </row>
    <row r="2786" customFormat="false" ht="15" hidden="false" customHeight="false" outlineLevel="0" collapsed="false">
      <c r="A2786" s="62" t="n">
        <v>2785</v>
      </c>
      <c r="B2786" s="63" t="n">
        <v>46293.8610300926</v>
      </c>
      <c r="C2786" s="64" t="n">
        <v>46293</v>
      </c>
      <c r="D2786" s="62" t="s">
        <v>429</v>
      </c>
      <c r="E2786" s="62" t="s">
        <v>4542</v>
      </c>
      <c r="F2786" s="62" t="s">
        <v>4542</v>
      </c>
      <c r="G2786" s="62" t="s">
        <v>4543</v>
      </c>
      <c r="H2786" s="62" t="s">
        <v>44</v>
      </c>
      <c r="I2786" s="62" t="s">
        <v>49</v>
      </c>
      <c r="J2786" s="62" t="s">
        <v>146</v>
      </c>
      <c r="K2786" s="62" t="s">
        <v>147</v>
      </c>
      <c r="L2786" s="62" t="s">
        <v>148</v>
      </c>
      <c r="M2786" s="62" t="n">
        <v>0</v>
      </c>
      <c r="N2786" s="62" t="n">
        <v>1</v>
      </c>
      <c r="O2786" s="62" t="n">
        <v>1</v>
      </c>
      <c r="P2786" s="62" t="n">
        <v>0</v>
      </c>
      <c r="Q2786" s="62" t="n">
        <v>1</v>
      </c>
      <c r="R2786" s="62" t="n">
        <v>0</v>
      </c>
      <c r="S2786" s="62" t="n">
        <v>0</v>
      </c>
      <c r="T2786" s="62" t="n">
        <v>0</v>
      </c>
      <c r="U2786" s="62"/>
      <c r="V2786" s="62"/>
      <c r="W2786" s="62"/>
      <c r="X2786" s="62"/>
      <c r="Y2786" s="62"/>
      <c r="Z2786" s="62" t="s">
        <v>5065</v>
      </c>
      <c r="AA2786" s="62" t="s">
        <v>5066</v>
      </c>
      <c r="AB2786" s="62" t="n">
        <v>1</v>
      </c>
      <c r="AC2786" s="62" t="n">
        <v>0</v>
      </c>
      <c r="AD2786" s="62" t="n">
        <v>1</v>
      </c>
      <c r="AE2786" s="62" t="n">
        <f aca="false">IF(AND(Dashboard!$C$9="Yes",AC2786=1),0,1)</f>
        <v>1</v>
      </c>
      <c r="AF2786" s="62" t="n">
        <v>0</v>
      </c>
    </row>
    <row r="2787" customFormat="false" ht="15" hidden="false" customHeight="false" outlineLevel="0" collapsed="false">
      <c r="A2787" s="62" t="n">
        <v>2786</v>
      </c>
      <c r="B2787" s="63" t="n">
        <v>46293.8623842593</v>
      </c>
      <c r="C2787" s="64" t="n">
        <v>46293</v>
      </c>
      <c r="D2787" s="62" t="s">
        <v>429</v>
      </c>
      <c r="E2787" s="62" t="s">
        <v>1155</v>
      </c>
      <c r="F2787" s="62" t="s">
        <v>1155</v>
      </c>
      <c r="G2787" s="62" t="s">
        <v>1156</v>
      </c>
      <c r="H2787" s="62" t="s">
        <v>59</v>
      </c>
      <c r="I2787" s="62" t="s">
        <v>47</v>
      </c>
      <c r="J2787" s="62" t="s">
        <v>146</v>
      </c>
      <c r="K2787" s="62" t="s">
        <v>209</v>
      </c>
      <c r="L2787" s="62" t="s">
        <v>148</v>
      </c>
      <c r="M2787" s="62" t="n">
        <v>0</v>
      </c>
      <c r="N2787" s="62" t="n">
        <v>1</v>
      </c>
      <c r="O2787" s="62" t="n">
        <v>1</v>
      </c>
      <c r="P2787" s="62" t="n">
        <v>1</v>
      </c>
      <c r="Q2787" s="62" t="n">
        <v>0</v>
      </c>
      <c r="R2787" s="62" t="n">
        <v>0</v>
      </c>
      <c r="S2787" s="62" t="n">
        <v>0</v>
      </c>
      <c r="T2787" s="62" t="n">
        <v>0</v>
      </c>
      <c r="U2787" s="62"/>
      <c r="V2787" s="62"/>
      <c r="W2787" s="62"/>
      <c r="X2787" s="62"/>
      <c r="Y2787" s="62"/>
      <c r="Z2787" s="62" t="s">
        <v>5067</v>
      </c>
      <c r="AA2787" s="62" t="s">
        <v>5068</v>
      </c>
      <c r="AB2787" s="62" t="n">
        <v>1</v>
      </c>
      <c r="AC2787" s="62" t="n">
        <v>0</v>
      </c>
      <c r="AD2787" s="62" t="n">
        <v>1</v>
      </c>
      <c r="AE2787" s="62" t="n">
        <f aca="false">IF(AND(Dashboard!$C$9="Yes",AC2787=1),0,1)</f>
        <v>1</v>
      </c>
      <c r="AF2787" s="62" t="n">
        <v>1</v>
      </c>
    </row>
    <row r="2788" customFormat="false" ht="15" hidden="false" customHeight="false" outlineLevel="0" collapsed="false">
      <c r="A2788" s="62" t="n">
        <v>2787</v>
      </c>
      <c r="B2788" s="63" t="n">
        <v>46293.8659722222</v>
      </c>
      <c r="C2788" s="64" t="n">
        <v>46293</v>
      </c>
      <c r="D2788" s="62" t="s">
        <v>429</v>
      </c>
      <c r="E2788" s="62" t="s">
        <v>3061</v>
      </c>
      <c r="F2788" s="62" t="s">
        <v>3061</v>
      </c>
      <c r="G2788" s="62" t="s">
        <v>3062</v>
      </c>
      <c r="H2788" s="62" t="s">
        <v>44</v>
      </c>
      <c r="I2788" s="62" t="s">
        <v>49</v>
      </c>
      <c r="J2788" s="62" t="s">
        <v>146</v>
      </c>
      <c r="K2788" s="62" t="s">
        <v>147</v>
      </c>
      <c r="L2788" s="62" t="s">
        <v>148</v>
      </c>
      <c r="M2788" s="62" t="n">
        <v>0</v>
      </c>
      <c r="N2788" s="62" t="n">
        <v>1</v>
      </c>
      <c r="O2788" s="62" t="n">
        <v>1</v>
      </c>
      <c r="P2788" s="62" t="n">
        <v>1</v>
      </c>
      <c r="Q2788" s="62" t="n">
        <v>0</v>
      </c>
      <c r="R2788" s="62" t="n">
        <v>0</v>
      </c>
      <c r="S2788" s="62" t="n">
        <v>0</v>
      </c>
      <c r="T2788" s="62" t="n">
        <v>0</v>
      </c>
      <c r="U2788" s="62"/>
      <c r="V2788" s="62"/>
      <c r="W2788" s="62"/>
      <c r="X2788" s="62"/>
      <c r="Y2788" s="62"/>
      <c r="Z2788" s="62" t="s">
        <v>5069</v>
      </c>
      <c r="AA2788" s="62" t="s">
        <v>5070</v>
      </c>
      <c r="AB2788" s="62" t="n">
        <v>1</v>
      </c>
      <c r="AC2788" s="62" t="n">
        <v>0</v>
      </c>
      <c r="AD2788" s="62" t="n">
        <v>1</v>
      </c>
      <c r="AE2788" s="62" t="n">
        <f aca="false">IF(AND(Dashboard!$C$9="Yes",AC2788=1),0,1)</f>
        <v>1</v>
      </c>
      <c r="AF2788" s="62" t="n">
        <v>0</v>
      </c>
    </row>
    <row r="2789" customFormat="false" ht="15" hidden="false" customHeight="false" outlineLevel="0" collapsed="false">
      <c r="A2789" s="62" t="n">
        <v>2788</v>
      </c>
      <c r="B2789" s="63" t="n">
        <v>46293.8690393519</v>
      </c>
      <c r="C2789" s="64" t="n">
        <v>46293</v>
      </c>
      <c r="D2789" s="62" t="s">
        <v>429</v>
      </c>
      <c r="E2789" s="62" t="s">
        <v>203</v>
      </c>
      <c r="F2789" s="62" t="s">
        <v>203</v>
      </c>
      <c r="G2789" s="62" t="s">
        <v>204</v>
      </c>
      <c r="H2789" s="62" t="s">
        <v>51</v>
      </c>
      <c r="I2789" s="62" t="s">
        <v>47</v>
      </c>
      <c r="J2789" s="62" t="s">
        <v>146</v>
      </c>
      <c r="K2789" s="62" t="s">
        <v>147</v>
      </c>
      <c r="L2789" s="62" t="s">
        <v>148</v>
      </c>
      <c r="M2789" s="62" t="n">
        <v>0</v>
      </c>
      <c r="N2789" s="62" t="n">
        <v>1</v>
      </c>
      <c r="O2789" s="62" t="n">
        <v>1</v>
      </c>
      <c r="P2789" s="62" t="n">
        <v>0</v>
      </c>
      <c r="Q2789" s="62" t="n">
        <v>0</v>
      </c>
      <c r="R2789" s="62" t="n">
        <v>1</v>
      </c>
      <c r="S2789" s="62" t="n">
        <v>0</v>
      </c>
      <c r="T2789" s="62" t="n">
        <v>0</v>
      </c>
      <c r="U2789" s="62"/>
      <c r="V2789" s="62"/>
      <c r="W2789" s="62"/>
      <c r="X2789" s="62"/>
      <c r="Y2789" s="62"/>
      <c r="Z2789" s="62" t="s">
        <v>5071</v>
      </c>
      <c r="AA2789" s="62" t="s">
        <v>485</v>
      </c>
      <c r="AB2789" s="62" t="n">
        <v>0</v>
      </c>
      <c r="AC2789" s="62" t="n">
        <v>0</v>
      </c>
      <c r="AD2789" s="62" t="n">
        <v>1</v>
      </c>
      <c r="AE2789" s="62" t="n">
        <f aca="false">IF(AND(Dashboard!$C$9="Yes",AC2789=1),0,1)</f>
        <v>1</v>
      </c>
      <c r="AF2789" s="62" t="n">
        <v>0</v>
      </c>
    </row>
    <row r="2790" customFormat="false" ht="15" hidden="false" customHeight="false" outlineLevel="0" collapsed="false">
      <c r="A2790" s="62" t="n">
        <v>2789</v>
      </c>
      <c r="B2790" s="63" t="n">
        <v>46293.8855902778</v>
      </c>
      <c r="C2790" s="64" t="n">
        <v>46293</v>
      </c>
      <c r="D2790" s="62" t="s">
        <v>429</v>
      </c>
      <c r="E2790" s="62" t="s">
        <v>2637</v>
      </c>
      <c r="F2790" s="62" t="s">
        <v>2637</v>
      </c>
      <c r="G2790" s="62" t="s">
        <v>2638</v>
      </c>
      <c r="H2790" s="62" t="s">
        <v>52</v>
      </c>
      <c r="I2790" s="62" t="s">
        <v>47</v>
      </c>
      <c r="J2790" s="62" t="s">
        <v>146</v>
      </c>
      <c r="K2790" s="62" t="s">
        <v>147</v>
      </c>
      <c r="L2790" s="62" t="s">
        <v>148</v>
      </c>
      <c r="M2790" s="62" t="n">
        <v>0</v>
      </c>
      <c r="N2790" s="62" t="n">
        <v>1</v>
      </c>
      <c r="O2790" s="62" t="n">
        <v>1</v>
      </c>
      <c r="P2790" s="62" t="n">
        <v>1</v>
      </c>
      <c r="Q2790" s="62" t="n">
        <v>0</v>
      </c>
      <c r="R2790" s="62" t="n">
        <v>0</v>
      </c>
      <c r="S2790" s="62" t="n">
        <v>0</v>
      </c>
      <c r="T2790" s="62" t="n">
        <v>0</v>
      </c>
      <c r="U2790" s="62"/>
      <c r="V2790" s="62"/>
      <c r="W2790" s="62"/>
      <c r="X2790" s="62"/>
      <c r="Y2790" s="62"/>
      <c r="Z2790" s="62" t="s">
        <v>5072</v>
      </c>
      <c r="AA2790" s="62" t="s">
        <v>5073</v>
      </c>
      <c r="AB2790" s="62" t="n">
        <v>1</v>
      </c>
      <c r="AC2790" s="62" t="n">
        <v>0</v>
      </c>
      <c r="AD2790" s="62" t="n">
        <v>1</v>
      </c>
      <c r="AE2790" s="62" t="n">
        <f aca="false">IF(AND(Dashboard!$C$9="Yes",AC2790=1),0,1)</f>
        <v>1</v>
      </c>
      <c r="AF2790" s="62" t="n">
        <v>1</v>
      </c>
    </row>
    <row r="2791" customFormat="false" ht="15" hidden="false" customHeight="false" outlineLevel="0" collapsed="false">
      <c r="A2791" s="62" t="n">
        <v>2790</v>
      </c>
      <c r="B2791" s="63" t="n">
        <v>46293.9057986111</v>
      </c>
      <c r="C2791" s="64" t="n">
        <v>46293</v>
      </c>
      <c r="D2791" s="62" t="s">
        <v>429</v>
      </c>
      <c r="E2791" s="62" t="s">
        <v>180</v>
      </c>
      <c r="F2791" s="62" t="s">
        <v>180</v>
      </c>
      <c r="G2791" s="62" t="s">
        <v>181</v>
      </c>
      <c r="H2791" s="62" t="s">
        <v>58</v>
      </c>
      <c r="I2791" s="62" t="s">
        <v>49</v>
      </c>
      <c r="J2791" s="62" t="s">
        <v>146</v>
      </c>
      <c r="K2791" s="62" t="s">
        <v>175</v>
      </c>
      <c r="L2791" s="62" t="s">
        <v>148</v>
      </c>
      <c r="M2791" s="62" t="n">
        <v>0</v>
      </c>
      <c r="N2791" s="62" t="n">
        <v>1</v>
      </c>
      <c r="O2791" s="62" t="n">
        <v>1</v>
      </c>
      <c r="P2791" s="62" t="n">
        <v>0</v>
      </c>
      <c r="Q2791" s="62" t="n">
        <v>0</v>
      </c>
      <c r="R2791" s="62" t="n">
        <v>1</v>
      </c>
      <c r="S2791" s="62" t="n">
        <v>0</v>
      </c>
      <c r="T2791" s="62" t="n">
        <v>0</v>
      </c>
      <c r="U2791" s="62"/>
      <c r="V2791" s="62"/>
      <c r="W2791" s="62"/>
      <c r="X2791" s="62"/>
      <c r="Y2791" s="62"/>
      <c r="Z2791" s="62" t="s">
        <v>5074</v>
      </c>
      <c r="AA2791" s="62" t="s">
        <v>5074</v>
      </c>
      <c r="AB2791" s="62" t="n">
        <v>1</v>
      </c>
      <c r="AC2791" s="62" t="n">
        <v>0</v>
      </c>
      <c r="AD2791" s="62" t="n">
        <v>1</v>
      </c>
      <c r="AE2791" s="62" t="n">
        <f aca="false">IF(AND(Dashboard!$C$9="Yes",AC2791=1),0,1)</f>
        <v>1</v>
      </c>
      <c r="AF2791" s="62" t="n">
        <v>0</v>
      </c>
    </row>
    <row r="2792" customFormat="false" ht="15" hidden="false" customHeight="false" outlineLevel="0" collapsed="false">
      <c r="A2792" s="62" t="n">
        <v>2791</v>
      </c>
      <c r="B2792" s="63" t="n">
        <v>46293.9059259259</v>
      </c>
      <c r="C2792" s="64" t="n">
        <v>46293</v>
      </c>
      <c r="D2792" s="62" t="s">
        <v>429</v>
      </c>
      <c r="E2792" s="62" t="s">
        <v>180</v>
      </c>
      <c r="F2792" s="62" t="s">
        <v>180</v>
      </c>
      <c r="G2792" s="62" t="s">
        <v>181</v>
      </c>
      <c r="H2792" s="62" t="s">
        <v>58</v>
      </c>
      <c r="I2792" s="62" t="s">
        <v>49</v>
      </c>
      <c r="J2792" s="62" t="s">
        <v>146</v>
      </c>
      <c r="K2792" s="62" t="s">
        <v>175</v>
      </c>
      <c r="L2792" s="62" t="s">
        <v>148</v>
      </c>
      <c r="M2792" s="62" t="n">
        <v>0</v>
      </c>
      <c r="N2792" s="62" t="n">
        <v>1</v>
      </c>
      <c r="O2792" s="62" t="n">
        <v>1</v>
      </c>
      <c r="P2792" s="62" t="n">
        <v>0</v>
      </c>
      <c r="Q2792" s="62" t="n">
        <v>0</v>
      </c>
      <c r="R2792" s="62" t="n">
        <v>1</v>
      </c>
      <c r="S2792" s="62" t="n">
        <v>0</v>
      </c>
      <c r="T2792" s="62" t="n">
        <v>0</v>
      </c>
      <c r="U2792" s="62"/>
      <c r="V2792" s="62"/>
      <c r="W2792" s="62"/>
      <c r="X2792" s="62"/>
      <c r="Y2792" s="62"/>
      <c r="Z2792" s="62" t="s">
        <v>5074</v>
      </c>
      <c r="AA2792" s="62" t="s">
        <v>5074</v>
      </c>
      <c r="AB2792" s="62" t="n">
        <v>1</v>
      </c>
      <c r="AC2792" s="62" t="n">
        <v>1</v>
      </c>
      <c r="AD2792" s="62" t="n">
        <v>1</v>
      </c>
      <c r="AE2792" s="62" t="n">
        <f aca="false">IF(AND(Dashboard!$C$9="Yes",AC2792=1),0,1)</f>
        <v>0</v>
      </c>
      <c r="AF2792" s="62" t="n">
        <v>0</v>
      </c>
    </row>
    <row r="2793" customFormat="false" ht="15" hidden="false" customHeight="false" outlineLevel="0" collapsed="false">
      <c r="A2793" s="62" t="n">
        <v>2792</v>
      </c>
      <c r="B2793" s="63" t="n">
        <v>46293.9131018519</v>
      </c>
      <c r="C2793" s="64" t="n">
        <v>46293</v>
      </c>
      <c r="D2793" s="62" t="s">
        <v>429</v>
      </c>
      <c r="E2793" s="62" t="s">
        <v>5075</v>
      </c>
      <c r="F2793" s="62" t="s">
        <v>5076</v>
      </c>
      <c r="G2793" s="62" t="s">
        <v>153</v>
      </c>
      <c r="H2793" s="62" t="s">
        <v>153</v>
      </c>
      <c r="I2793" s="62" t="s">
        <v>153</v>
      </c>
      <c r="J2793" s="62" t="s">
        <v>64</v>
      </c>
      <c r="K2793" s="62" t="s">
        <v>64</v>
      </c>
      <c r="L2793" s="62" t="s">
        <v>148</v>
      </c>
      <c r="M2793" s="62" t="n">
        <v>0</v>
      </c>
      <c r="N2793" s="62" t="n">
        <v>2</v>
      </c>
      <c r="O2793" s="62" t="n">
        <v>2</v>
      </c>
      <c r="P2793" s="62" t="n">
        <v>1</v>
      </c>
      <c r="Q2793" s="62" t="n">
        <v>1</v>
      </c>
      <c r="R2793" s="62" t="n">
        <v>0</v>
      </c>
      <c r="S2793" s="62" t="n">
        <v>0</v>
      </c>
      <c r="T2793" s="62" t="n">
        <v>0</v>
      </c>
      <c r="U2793" s="62"/>
      <c r="V2793" s="62"/>
      <c r="W2793" s="62"/>
      <c r="X2793" s="62"/>
      <c r="Y2793" s="62"/>
      <c r="Z2793" s="62" t="s">
        <v>5077</v>
      </c>
      <c r="AA2793" s="62" t="s">
        <v>492</v>
      </c>
      <c r="AB2793" s="62" t="n">
        <v>0</v>
      </c>
      <c r="AC2793" s="62" t="n">
        <v>0</v>
      </c>
      <c r="AD2793" s="62" t="n">
        <v>0</v>
      </c>
      <c r="AE2793" s="62" t="n">
        <f aca="false">IF(AND(Dashboard!$C$9="Yes",AC2793=1),0,1)</f>
        <v>1</v>
      </c>
      <c r="AF2793" s="62" t="n">
        <v>1</v>
      </c>
    </row>
    <row r="2794" customFormat="false" ht="15" hidden="false" customHeight="false" outlineLevel="0" collapsed="false">
      <c r="A2794" s="62" t="n">
        <v>2793</v>
      </c>
      <c r="B2794" s="63" t="n">
        <v>46293.9228240741</v>
      </c>
      <c r="C2794" s="64" t="n">
        <v>46293</v>
      </c>
      <c r="D2794" s="62" t="s">
        <v>429</v>
      </c>
      <c r="E2794" s="62" t="s">
        <v>4258</v>
      </c>
      <c r="F2794" s="62" t="s">
        <v>4258</v>
      </c>
      <c r="G2794" s="62" t="s">
        <v>4259</v>
      </c>
      <c r="H2794" s="62" t="s">
        <v>44</v>
      </c>
      <c r="I2794" s="62" t="s">
        <v>49</v>
      </c>
      <c r="J2794" s="62" t="s">
        <v>146</v>
      </c>
      <c r="K2794" s="62" t="s">
        <v>147</v>
      </c>
      <c r="L2794" s="62" t="s">
        <v>148</v>
      </c>
      <c r="M2794" s="62" t="n">
        <v>0</v>
      </c>
      <c r="N2794" s="62" t="n">
        <v>1</v>
      </c>
      <c r="O2794" s="62" t="n">
        <v>1</v>
      </c>
      <c r="P2794" s="62" t="n">
        <v>0</v>
      </c>
      <c r="Q2794" s="62" t="n">
        <v>0</v>
      </c>
      <c r="R2794" s="62" t="n">
        <v>1</v>
      </c>
      <c r="S2794" s="62" t="n">
        <v>0</v>
      </c>
      <c r="T2794" s="62" t="n">
        <v>0</v>
      </c>
      <c r="U2794" s="62"/>
      <c r="V2794" s="62"/>
      <c r="W2794" s="62"/>
      <c r="X2794" s="62"/>
      <c r="Y2794" s="62"/>
      <c r="Z2794" s="62" t="s">
        <v>5078</v>
      </c>
      <c r="AA2794" s="62" t="s">
        <v>5079</v>
      </c>
      <c r="AB2794" s="62" t="n">
        <v>1</v>
      </c>
      <c r="AC2794" s="62" t="n">
        <v>0</v>
      </c>
      <c r="AD2794" s="62" t="n">
        <v>1</v>
      </c>
      <c r="AE2794" s="62" t="n">
        <f aca="false">IF(AND(Dashboard!$C$9="Yes",AC2794=1),0,1)</f>
        <v>1</v>
      </c>
      <c r="AF2794" s="62" t="n">
        <v>1</v>
      </c>
    </row>
    <row r="2795" customFormat="false" ht="15" hidden="false" customHeight="false" outlineLevel="0" collapsed="false">
      <c r="A2795" s="62" t="n">
        <v>2794</v>
      </c>
      <c r="B2795" s="63" t="n">
        <v>46293.929837963</v>
      </c>
      <c r="C2795" s="64" t="n">
        <v>46293</v>
      </c>
      <c r="D2795" s="62" t="s">
        <v>429</v>
      </c>
      <c r="E2795" s="62" t="s">
        <v>1445</v>
      </c>
      <c r="F2795" s="62" t="s">
        <v>1445</v>
      </c>
      <c r="G2795" s="62" t="s">
        <v>1446</v>
      </c>
      <c r="H2795" s="62" t="s">
        <v>58</v>
      </c>
      <c r="I2795" s="62" t="s">
        <v>49</v>
      </c>
      <c r="J2795" s="62" t="s">
        <v>146</v>
      </c>
      <c r="K2795" s="62" t="s">
        <v>175</v>
      </c>
      <c r="L2795" s="62" t="s">
        <v>148</v>
      </c>
      <c r="M2795" s="62" t="n">
        <v>0</v>
      </c>
      <c r="N2795" s="62" t="n">
        <v>1</v>
      </c>
      <c r="O2795" s="62" t="n">
        <v>1</v>
      </c>
      <c r="P2795" s="62" t="n">
        <v>1</v>
      </c>
      <c r="Q2795" s="62" t="n">
        <v>0</v>
      </c>
      <c r="R2795" s="62" t="n">
        <v>0</v>
      </c>
      <c r="S2795" s="62" t="n">
        <v>0</v>
      </c>
      <c r="T2795" s="62" t="n">
        <v>0</v>
      </c>
      <c r="U2795" s="62"/>
      <c r="V2795" s="62"/>
      <c r="W2795" s="62"/>
      <c r="X2795" s="62"/>
      <c r="Y2795" s="62"/>
      <c r="Z2795" s="62" t="s">
        <v>5080</v>
      </c>
      <c r="AA2795" s="62" t="s">
        <v>5081</v>
      </c>
      <c r="AB2795" s="62" t="n">
        <v>1</v>
      </c>
      <c r="AC2795" s="62" t="n">
        <v>0</v>
      </c>
      <c r="AD2795" s="62" t="n">
        <v>1</v>
      </c>
      <c r="AE2795" s="62" t="n">
        <f aca="false">IF(AND(Dashboard!$C$9="Yes",AC2795=1),0,1)</f>
        <v>1</v>
      </c>
      <c r="AF2795" s="62" t="n">
        <v>0</v>
      </c>
    </row>
    <row r="2796" customFormat="false" ht="15" hidden="false" customHeight="false" outlineLevel="0" collapsed="false">
      <c r="A2796" s="62" t="n">
        <v>2795</v>
      </c>
      <c r="B2796" s="63" t="n">
        <v>46293.9366550926</v>
      </c>
      <c r="C2796" s="64" t="n">
        <v>46293</v>
      </c>
      <c r="D2796" s="62" t="s">
        <v>429</v>
      </c>
      <c r="E2796" s="62" t="s">
        <v>4524</v>
      </c>
      <c r="F2796" s="62" t="s">
        <v>4524</v>
      </c>
      <c r="G2796" s="62" t="s">
        <v>4525</v>
      </c>
      <c r="H2796" s="62" t="s">
        <v>44</v>
      </c>
      <c r="I2796" s="62" t="s">
        <v>49</v>
      </c>
      <c r="J2796" s="62" t="s">
        <v>146</v>
      </c>
      <c r="K2796" s="62" t="s">
        <v>147</v>
      </c>
      <c r="L2796" s="62" t="s">
        <v>148</v>
      </c>
      <c r="M2796" s="62" t="n">
        <v>0</v>
      </c>
      <c r="N2796" s="62" t="n">
        <v>1</v>
      </c>
      <c r="O2796" s="62" t="n">
        <v>1</v>
      </c>
      <c r="P2796" s="62" t="n">
        <v>1</v>
      </c>
      <c r="Q2796" s="62" t="n">
        <v>0</v>
      </c>
      <c r="R2796" s="62" t="n">
        <v>0</v>
      </c>
      <c r="S2796" s="62" t="n">
        <v>0</v>
      </c>
      <c r="T2796" s="62" t="n">
        <v>0</v>
      </c>
      <c r="U2796" s="62"/>
      <c r="V2796" s="62"/>
      <c r="W2796" s="62"/>
      <c r="X2796" s="62"/>
      <c r="Y2796" s="62"/>
      <c r="Z2796" s="62" t="s">
        <v>5082</v>
      </c>
      <c r="AA2796" s="62" t="s">
        <v>5083</v>
      </c>
      <c r="AB2796" s="62" t="n">
        <v>1</v>
      </c>
      <c r="AC2796" s="62" t="n">
        <v>0</v>
      </c>
      <c r="AD2796" s="62" t="n">
        <v>1</v>
      </c>
      <c r="AE2796" s="62" t="n">
        <f aca="false">IF(AND(Dashboard!$C$9="Yes",AC2796=1),0,1)</f>
        <v>1</v>
      </c>
      <c r="AF2796" s="62" t="n">
        <v>0</v>
      </c>
    </row>
    <row r="2797" customFormat="false" ht="15" hidden="false" customHeight="false" outlineLevel="0" collapsed="false">
      <c r="A2797" s="62" t="n">
        <v>2796</v>
      </c>
      <c r="B2797" s="63" t="n">
        <v>46293.9408449074</v>
      </c>
      <c r="C2797" s="64" t="n">
        <v>46293</v>
      </c>
      <c r="D2797" s="62" t="s">
        <v>429</v>
      </c>
      <c r="E2797" s="62" t="s">
        <v>414</v>
      </c>
      <c r="F2797" s="62" t="s">
        <v>414</v>
      </c>
      <c r="G2797" s="62" t="s">
        <v>415</v>
      </c>
      <c r="H2797" s="62" t="s">
        <v>57</v>
      </c>
      <c r="I2797" s="62" t="s">
        <v>47</v>
      </c>
      <c r="J2797" s="62" t="s">
        <v>146</v>
      </c>
      <c r="K2797" s="62" t="s">
        <v>147</v>
      </c>
      <c r="L2797" s="62" t="s">
        <v>148</v>
      </c>
      <c r="M2797" s="62" t="n">
        <v>0</v>
      </c>
      <c r="N2797" s="62" t="n">
        <v>1</v>
      </c>
      <c r="O2797" s="62" t="n">
        <v>1</v>
      </c>
      <c r="P2797" s="62" t="n">
        <v>1</v>
      </c>
      <c r="Q2797" s="62" t="n">
        <v>0</v>
      </c>
      <c r="R2797" s="62" t="n">
        <v>0</v>
      </c>
      <c r="S2797" s="62" t="n">
        <v>0</v>
      </c>
      <c r="T2797" s="62" t="n">
        <v>0</v>
      </c>
      <c r="U2797" s="62"/>
      <c r="V2797" s="62"/>
      <c r="W2797" s="62"/>
      <c r="X2797" s="62"/>
      <c r="Y2797" s="62"/>
      <c r="Z2797" s="62" t="s">
        <v>5084</v>
      </c>
      <c r="AA2797" s="62" t="s">
        <v>5085</v>
      </c>
      <c r="AB2797" s="62" t="n">
        <v>1</v>
      </c>
      <c r="AC2797" s="62" t="n">
        <v>0</v>
      </c>
      <c r="AD2797" s="62" t="n">
        <v>1</v>
      </c>
      <c r="AE2797" s="62" t="n">
        <f aca="false">IF(AND(Dashboard!$C$9="Yes",AC2797=1),0,1)</f>
        <v>1</v>
      </c>
      <c r="AF2797" s="62" t="n">
        <v>1</v>
      </c>
    </row>
    <row r="2798" customFormat="false" ht="15" hidden="false" customHeight="false" outlineLevel="0" collapsed="false">
      <c r="A2798" s="62" t="n">
        <v>2797</v>
      </c>
      <c r="B2798" s="63" t="n">
        <v>46293.959537037</v>
      </c>
      <c r="C2798" s="64" t="n">
        <v>46293</v>
      </c>
      <c r="D2798" s="62" t="s">
        <v>429</v>
      </c>
      <c r="E2798" s="62" t="s">
        <v>2637</v>
      </c>
      <c r="F2798" s="62" t="s">
        <v>2637</v>
      </c>
      <c r="G2798" s="62" t="s">
        <v>2638</v>
      </c>
      <c r="H2798" s="62" t="s">
        <v>52</v>
      </c>
      <c r="I2798" s="62" t="s">
        <v>47</v>
      </c>
      <c r="J2798" s="62" t="s">
        <v>146</v>
      </c>
      <c r="K2798" s="62" t="s">
        <v>147</v>
      </c>
      <c r="L2798" s="62" t="s">
        <v>148</v>
      </c>
      <c r="M2798" s="62" t="n">
        <v>0</v>
      </c>
      <c r="N2798" s="62" t="n">
        <v>1</v>
      </c>
      <c r="O2798" s="62" t="n">
        <v>1</v>
      </c>
      <c r="P2798" s="62" t="n">
        <v>0</v>
      </c>
      <c r="Q2798" s="62" t="n">
        <v>1</v>
      </c>
      <c r="R2798" s="62" t="n">
        <v>0</v>
      </c>
      <c r="S2798" s="62" t="n">
        <v>0</v>
      </c>
      <c r="T2798" s="62" t="n">
        <v>0</v>
      </c>
      <c r="U2798" s="62"/>
      <c r="V2798" s="62"/>
      <c r="W2798" s="62"/>
      <c r="X2798" s="62"/>
      <c r="Y2798" s="62"/>
      <c r="Z2798" s="62" t="s">
        <v>5086</v>
      </c>
      <c r="AA2798" s="62" t="s">
        <v>5087</v>
      </c>
      <c r="AB2798" s="62" t="n">
        <v>1</v>
      </c>
      <c r="AC2798" s="62" t="n">
        <v>0</v>
      </c>
      <c r="AD2798" s="62" t="n">
        <v>1</v>
      </c>
      <c r="AE2798" s="62" t="n">
        <f aca="false">IF(AND(Dashboard!$C$9="Yes",AC2798=1),0,1)</f>
        <v>1</v>
      </c>
      <c r="AF2798" s="62" t="n">
        <v>0</v>
      </c>
    </row>
    <row r="2799" customFormat="false" ht="15" hidden="false" customHeight="false" outlineLevel="0" collapsed="false">
      <c r="A2799" s="62" t="n">
        <v>2798</v>
      </c>
      <c r="B2799" s="63" t="n">
        <v>46293.9619328704</v>
      </c>
      <c r="C2799" s="64" t="n">
        <v>46293</v>
      </c>
      <c r="D2799" s="62" t="s">
        <v>429</v>
      </c>
      <c r="E2799" s="62" t="s">
        <v>5088</v>
      </c>
      <c r="F2799" s="62" t="s">
        <v>5088</v>
      </c>
      <c r="G2799" s="62" t="s">
        <v>5089</v>
      </c>
      <c r="H2799" s="62" t="s">
        <v>56</v>
      </c>
      <c r="I2799" s="62" t="s">
        <v>49</v>
      </c>
      <c r="J2799" s="62" t="s">
        <v>3708</v>
      </c>
      <c r="K2799" s="62" t="s">
        <v>209</v>
      </c>
      <c r="L2799" s="62" t="s">
        <v>148</v>
      </c>
      <c r="M2799" s="62" t="n">
        <v>0</v>
      </c>
      <c r="N2799" s="62" t="n">
        <v>1</v>
      </c>
      <c r="O2799" s="62" t="n">
        <v>1</v>
      </c>
      <c r="P2799" s="62" t="n">
        <v>0</v>
      </c>
      <c r="Q2799" s="62" t="n">
        <v>1</v>
      </c>
      <c r="R2799" s="62" t="n">
        <v>0</v>
      </c>
      <c r="S2799" s="62" t="n">
        <v>0</v>
      </c>
      <c r="T2799" s="62" t="n">
        <v>0</v>
      </c>
      <c r="U2799" s="62"/>
      <c r="V2799" s="62"/>
      <c r="W2799" s="62"/>
      <c r="X2799" s="62"/>
      <c r="Y2799" s="62"/>
      <c r="Z2799" s="62" t="s">
        <v>5090</v>
      </c>
      <c r="AA2799" s="62" t="s">
        <v>5091</v>
      </c>
      <c r="AB2799" s="62" t="n">
        <v>1</v>
      </c>
      <c r="AC2799" s="62" t="n">
        <v>0</v>
      </c>
      <c r="AD2799" s="62" t="n">
        <v>1</v>
      </c>
      <c r="AE2799" s="62" t="n">
        <f aca="false">IF(AND(Dashboard!$C$9="Yes",AC2799=1),0,1)</f>
        <v>1</v>
      </c>
      <c r="AF2799" s="62" t="n">
        <v>1</v>
      </c>
    </row>
    <row r="2800" customFormat="false" ht="15" hidden="false" customHeight="false" outlineLevel="0" collapsed="false">
      <c r="A2800" s="62" t="n">
        <v>2799</v>
      </c>
      <c r="B2800" s="63" t="n">
        <v>46293.9874537037</v>
      </c>
      <c r="C2800" s="64" t="n">
        <v>46293</v>
      </c>
      <c r="D2800" s="62" t="s">
        <v>429</v>
      </c>
      <c r="E2800" s="62" t="s">
        <v>196</v>
      </c>
      <c r="F2800" s="62" t="s">
        <v>196</v>
      </c>
      <c r="G2800" s="62" t="s">
        <v>197</v>
      </c>
      <c r="H2800" s="62" t="s">
        <v>57</v>
      </c>
      <c r="I2800" s="62" t="s">
        <v>47</v>
      </c>
      <c r="J2800" s="62" t="s">
        <v>146</v>
      </c>
      <c r="K2800" s="62" t="s">
        <v>175</v>
      </c>
      <c r="L2800" s="62" t="s">
        <v>4</v>
      </c>
      <c r="M2800" s="62" t="n">
        <v>1</v>
      </c>
      <c r="N2800" s="62" t="n">
        <v>0</v>
      </c>
      <c r="O2800" s="62" t="n">
        <v>1</v>
      </c>
      <c r="P2800" s="62" t="n">
        <v>0</v>
      </c>
      <c r="Q2800" s="62" t="n">
        <v>0</v>
      </c>
      <c r="R2800" s="62" t="n">
        <v>0</v>
      </c>
      <c r="S2800" s="62" t="n">
        <v>0</v>
      </c>
      <c r="T2800" s="62" t="n">
        <v>0</v>
      </c>
      <c r="U2800" s="62" t="s">
        <v>2056</v>
      </c>
      <c r="V2800" s="62" t="s">
        <v>2068</v>
      </c>
      <c r="W2800" s="62"/>
      <c r="X2800" s="62" t="s">
        <v>2125</v>
      </c>
      <c r="Y2800" s="62" t="s">
        <v>2059</v>
      </c>
      <c r="Z2800" s="62" t="s">
        <v>5092</v>
      </c>
      <c r="AA2800" s="62" t="s">
        <v>5093</v>
      </c>
      <c r="AB2800" s="62" t="n">
        <v>1</v>
      </c>
      <c r="AC2800" s="62" t="n">
        <v>0</v>
      </c>
      <c r="AD2800" s="62" t="n">
        <v>1</v>
      </c>
      <c r="AE2800" s="62" t="n">
        <f aca="false">IF(AND(Dashboard!$C$9="Yes",AC2800=1),0,1)</f>
        <v>1</v>
      </c>
      <c r="AF2800" s="62" t="n">
        <v>1</v>
      </c>
    </row>
    <row r="2801" customFormat="false" ht="15" hidden="false" customHeight="false" outlineLevel="0" collapsed="false">
      <c r="A2801" s="62" t="n">
        <v>2800</v>
      </c>
      <c r="B2801" s="63" t="n">
        <v>46293.987650463</v>
      </c>
      <c r="C2801" s="64" t="n">
        <v>46293</v>
      </c>
      <c r="D2801" s="62" t="s">
        <v>429</v>
      </c>
      <c r="E2801" s="62" t="s">
        <v>1732</v>
      </c>
      <c r="F2801" s="62" t="s">
        <v>1732</v>
      </c>
      <c r="G2801" s="62" t="s">
        <v>1733</v>
      </c>
      <c r="H2801" s="62" t="s">
        <v>58</v>
      </c>
      <c r="I2801" s="62" t="s">
        <v>49</v>
      </c>
      <c r="J2801" s="62" t="s">
        <v>146</v>
      </c>
      <c r="K2801" s="62" t="s">
        <v>209</v>
      </c>
      <c r="L2801" s="62" t="s">
        <v>148</v>
      </c>
      <c r="M2801" s="62" t="n">
        <v>0</v>
      </c>
      <c r="N2801" s="62" t="n">
        <v>1</v>
      </c>
      <c r="O2801" s="62" t="n">
        <v>1</v>
      </c>
      <c r="P2801" s="62" t="n">
        <v>0</v>
      </c>
      <c r="Q2801" s="62" t="n">
        <v>1</v>
      </c>
      <c r="R2801" s="62" t="n">
        <v>0</v>
      </c>
      <c r="S2801" s="62" t="n">
        <v>0</v>
      </c>
      <c r="T2801" s="62" t="n">
        <v>0</v>
      </c>
      <c r="U2801" s="62"/>
      <c r="V2801" s="62"/>
      <c r="W2801" s="62"/>
      <c r="X2801" s="62"/>
      <c r="Y2801" s="62"/>
      <c r="Z2801" s="62" t="s">
        <v>5094</v>
      </c>
      <c r="AA2801" s="62" t="s">
        <v>5095</v>
      </c>
      <c r="AB2801" s="62" t="n">
        <v>1</v>
      </c>
      <c r="AC2801" s="62" t="n">
        <v>0</v>
      </c>
      <c r="AD2801" s="62" t="n">
        <v>1</v>
      </c>
      <c r="AE2801" s="62" t="n">
        <f aca="false">IF(AND(Dashboard!$C$9="Yes",AC2801=1),0,1)</f>
        <v>1</v>
      </c>
      <c r="AF2801" s="62" t="n">
        <v>1</v>
      </c>
    </row>
    <row r="2802" customFormat="false" ht="15" hidden="false" customHeight="false" outlineLevel="0" collapsed="false">
      <c r="A2802" s="62" t="n">
        <v>2801</v>
      </c>
      <c r="B2802" s="63" t="n">
        <v>46293.9889583333</v>
      </c>
      <c r="C2802" s="64" t="n">
        <v>46293</v>
      </c>
      <c r="D2802" s="62" t="s">
        <v>429</v>
      </c>
      <c r="E2802" s="62" t="s">
        <v>2385</v>
      </c>
      <c r="F2802" s="62" t="s">
        <v>2385</v>
      </c>
      <c r="G2802" s="62" t="s">
        <v>2386</v>
      </c>
      <c r="H2802" s="62" t="s">
        <v>59</v>
      </c>
      <c r="I2802" s="62" t="s">
        <v>47</v>
      </c>
      <c r="J2802" s="62" t="s">
        <v>146</v>
      </c>
      <c r="K2802" s="62" t="s">
        <v>209</v>
      </c>
      <c r="L2802" s="62" t="s">
        <v>148</v>
      </c>
      <c r="M2802" s="62" t="n">
        <v>0</v>
      </c>
      <c r="N2802" s="62" t="n">
        <v>1</v>
      </c>
      <c r="O2802" s="62" t="n">
        <v>1</v>
      </c>
      <c r="P2802" s="62" t="n">
        <v>1</v>
      </c>
      <c r="Q2802" s="62" t="n">
        <v>0</v>
      </c>
      <c r="R2802" s="62" t="n">
        <v>0</v>
      </c>
      <c r="S2802" s="62" t="n">
        <v>0</v>
      </c>
      <c r="T2802" s="62" t="n">
        <v>0</v>
      </c>
      <c r="U2802" s="62"/>
      <c r="V2802" s="62"/>
      <c r="W2802" s="62"/>
      <c r="X2802" s="62"/>
      <c r="Y2802" s="62"/>
      <c r="Z2802" s="62" t="s">
        <v>5096</v>
      </c>
      <c r="AA2802" s="62" t="s">
        <v>4877</v>
      </c>
      <c r="AB2802" s="62" t="n">
        <v>0</v>
      </c>
      <c r="AC2802" s="62" t="n">
        <v>0</v>
      </c>
      <c r="AD2802" s="62" t="n">
        <v>1</v>
      </c>
      <c r="AE2802" s="62" t="n">
        <f aca="false">IF(AND(Dashboard!$C$9="Yes",AC2802=1),0,1)</f>
        <v>1</v>
      </c>
      <c r="AF2802" s="62" t="n">
        <v>1</v>
      </c>
    </row>
    <row r="2803" customFormat="false" ht="15" hidden="false" customHeight="false" outlineLevel="0" collapsed="false">
      <c r="A2803" s="62" t="n">
        <v>2802</v>
      </c>
      <c r="B2803" s="63" t="n">
        <v>46293.9926041667</v>
      </c>
      <c r="C2803" s="64" t="n">
        <v>46293</v>
      </c>
      <c r="D2803" s="62" t="s">
        <v>429</v>
      </c>
      <c r="E2803" s="62" t="s">
        <v>5097</v>
      </c>
      <c r="F2803" s="62" t="s">
        <v>2959</v>
      </c>
      <c r="G2803" s="62" t="s">
        <v>2960</v>
      </c>
      <c r="H2803" s="62" t="s">
        <v>58</v>
      </c>
      <c r="I2803" s="62" t="s">
        <v>49</v>
      </c>
      <c r="J2803" s="62" t="s">
        <v>146</v>
      </c>
      <c r="K2803" s="62" t="s">
        <v>175</v>
      </c>
      <c r="L2803" s="62" t="s">
        <v>4</v>
      </c>
      <c r="M2803" s="62" t="n">
        <v>1</v>
      </c>
      <c r="N2803" s="62" t="n">
        <v>0</v>
      </c>
      <c r="O2803" s="62" t="n">
        <v>1</v>
      </c>
      <c r="P2803" s="62" t="n">
        <v>0</v>
      </c>
      <c r="Q2803" s="62" t="n">
        <v>0</v>
      </c>
      <c r="R2803" s="62" t="n">
        <v>0</v>
      </c>
      <c r="S2803" s="62" t="n">
        <v>0</v>
      </c>
      <c r="T2803" s="62" t="n">
        <v>0</v>
      </c>
      <c r="U2803" s="62" t="s">
        <v>2056</v>
      </c>
      <c r="V2803" s="62" t="s">
        <v>2057</v>
      </c>
      <c r="W2803" s="62" t="s">
        <v>15</v>
      </c>
      <c r="X2803" s="62" t="s">
        <v>2058</v>
      </c>
      <c r="Y2803" s="62" t="s">
        <v>2059</v>
      </c>
      <c r="Z2803" s="62" t="s">
        <v>5098</v>
      </c>
      <c r="AA2803" s="62" t="s">
        <v>5099</v>
      </c>
      <c r="AB2803" s="62" t="n">
        <v>1</v>
      </c>
      <c r="AC2803" s="62" t="n">
        <v>0</v>
      </c>
      <c r="AD2803" s="62" t="n">
        <v>1</v>
      </c>
      <c r="AE2803" s="62" t="n">
        <f aca="false">IF(AND(Dashboard!$C$9="Yes",AC2803=1),0,1)</f>
        <v>1</v>
      </c>
      <c r="AF2803" s="62" t="n">
        <v>1</v>
      </c>
    </row>
    <row r="2804" customFormat="false" ht="15" hidden="false" customHeight="false" outlineLevel="0" collapsed="false">
      <c r="A2804" s="62" t="n">
        <v>2803</v>
      </c>
      <c r="B2804" s="63" t="n">
        <v>46294.0084490741</v>
      </c>
      <c r="C2804" s="64" t="n">
        <v>46293</v>
      </c>
      <c r="D2804" s="62" t="s">
        <v>429</v>
      </c>
      <c r="E2804" s="62" t="s">
        <v>414</v>
      </c>
      <c r="F2804" s="62" t="s">
        <v>414</v>
      </c>
      <c r="G2804" s="62" t="s">
        <v>415</v>
      </c>
      <c r="H2804" s="62" t="s">
        <v>57</v>
      </c>
      <c r="I2804" s="62" t="s">
        <v>47</v>
      </c>
      <c r="J2804" s="62" t="s">
        <v>146</v>
      </c>
      <c r="K2804" s="62" t="s">
        <v>147</v>
      </c>
      <c r="L2804" s="62" t="s">
        <v>148</v>
      </c>
      <c r="M2804" s="62" t="n">
        <v>0</v>
      </c>
      <c r="N2804" s="62" t="n">
        <v>1</v>
      </c>
      <c r="O2804" s="62" t="n">
        <v>1</v>
      </c>
      <c r="P2804" s="62" t="n">
        <v>1</v>
      </c>
      <c r="Q2804" s="62" t="n">
        <v>0</v>
      </c>
      <c r="R2804" s="62" t="n">
        <v>0</v>
      </c>
      <c r="S2804" s="62" t="n">
        <v>0</v>
      </c>
      <c r="T2804" s="62" t="n">
        <v>0</v>
      </c>
      <c r="U2804" s="62"/>
      <c r="V2804" s="62"/>
      <c r="W2804" s="62"/>
      <c r="X2804" s="62"/>
      <c r="Y2804" s="62"/>
      <c r="Z2804" s="62" t="s">
        <v>5100</v>
      </c>
      <c r="AA2804" s="62" t="s">
        <v>5101</v>
      </c>
      <c r="AB2804" s="62" t="n">
        <v>1</v>
      </c>
      <c r="AC2804" s="62" t="n">
        <v>0</v>
      </c>
      <c r="AD2804" s="62" t="n">
        <v>1</v>
      </c>
      <c r="AE2804" s="62" t="n">
        <f aca="false">IF(AND(Dashboard!$C$9="Yes",AC2804=1),0,1)</f>
        <v>1</v>
      </c>
      <c r="AF2804" s="62" t="n">
        <v>0</v>
      </c>
    </row>
    <row r="2805" customFormat="false" ht="15" hidden="false" customHeight="false" outlineLevel="0" collapsed="false">
      <c r="A2805" s="62" t="n">
        <v>2804</v>
      </c>
      <c r="B2805" s="63" t="n">
        <v>46294.0207407407</v>
      </c>
      <c r="C2805" s="64" t="n">
        <v>46293</v>
      </c>
      <c r="D2805" s="62" t="s">
        <v>429</v>
      </c>
      <c r="E2805" s="62" t="s">
        <v>2637</v>
      </c>
      <c r="F2805" s="62" t="s">
        <v>2637</v>
      </c>
      <c r="G2805" s="62" t="s">
        <v>2638</v>
      </c>
      <c r="H2805" s="62" t="s">
        <v>52</v>
      </c>
      <c r="I2805" s="62" t="s">
        <v>47</v>
      </c>
      <c r="J2805" s="62" t="s">
        <v>146</v>
      </c>
      <c r="K2805" s="62" t="s">
        <v>147</v>
      </c>
      <c r="L2805" s="62" t="s">
        <v>148</v>
      </c>
      <c r="M2805" s="62" t="n">
        <v>0</v>
      </c>
      <c r="N2805" s="62" t="n">
        <v>1</v>
      </c>
      <c r="O2805" s="62" t="n">
        <v>1</v>
      </c>
      <c r="P2805" s="62" t="n">
        <v>1</v>
      </c>
      <c r="Q2805" s="62" t="n">
        <v>0</v>
      </c>
      <c r="R2805" s="62" t="n">
        <v>0</v>
      </c>
      <c r="S2805" s="62" t="n">
        <v>0</v>
      </c>
      <c r="T2805" s="62" t="n">
        <v>0</v>
      </c>
      <c r="U2805" s="62"/>
      <c r="V2805" s="62"/>
      <c r="W2805" s="62"/>
      <c r="X2805" s="62"/>
      <c r="Y2805" s="62"/>
      <c r="Z2805" s="62" t="s">
        <v>5102</v>
      </c>
      <c r="AA2805" s="62" t="s">
        <v>5103</v>
      </c>
      <c r="AB2805" s="62" t="n">
        <v>1</v>
      </c>
      <c r="AC2805" s="62" t="n">
        <v>0</v>
      </c>
      <c r="AD2805" s="62" t="n">
        <v>1</v>
      </c>
      <c r="AE2805" s="62" t="n">
        <f aca="false">IF(AND(Dashboard!$C$9="Yes",AC2805=1),0,1)</f>
        <v>1</v>
      </c>
      <c r="AF2805" s="62" t="n">
        <v>0</v>
      </c>
    </row>
    <row r="2806" customFormat="false" ht="15" hidden="false" customHeight="false" outlineLevel="0" collapsed="false">
      <c r="A2806" s="62" t="n">
        <v>2805</v>
      </c>
      <c r="B2806" s="63" t="n">
        <v>46294.0236921296</v>
      </c>
      <c r="C2806" s="64" t="n">
        <v>46293</v>
      </c>
      <c r="D2806" s="62" t="s">
        <v>429</v>
      </c>
      <c r="E2806" s="62" t="s">
        <v>5104</v>
      </c>
      <c r="F2806" s="62" t="s">
        <v>5104</v>
      </c>
      <c r="G2806" s="62" t="s">
        <v>5105</v>
      </c>
      <c r="H2806" s="62" t="s">
        <v>57</v>
      </c>
      <c r="I2806" s="62" t="s">
        <v>47</v>
      </c>
      <c r="J2806" s="62" t="s">
        <v>146</v>
      </c>
      <c r="K2806" s="62" t="s">
        <v>147</v>
      </c>
      <c r="L2806" s="62" t="s">
        <v>148</v>
      </c>
      <c r="M2806" s="62" t="n">
        <v>0</v>
      </c>
      <c r="N2806" s="62" t="n">
        <v>1</v>
      </c>
      <c r="O2806" s="62" t="n">
        <v>1</v>
      </c>
      <c r="P2806" s="62" t="n">
        <v>1</v>
      </c>
      <c r="Q2806" s="62" t="n">
        <v>0</v>
      </c>
      <c r="R2806" s="62" t="n">
        <v>0</v>
      </c>
      <c r="S2806" s="62" t="n">
        <v>0</v>
      </c>
      <c r="T2806" s="62" t="n">
        <v>0</v>
      </c>
      <c r="U2806" s="62"/>
      <c r="V2806" s="62"/>
      <c r="W2806" s="62"/>
      <c r="X2806" s="62"/>
      <c r="Y2806" s="62"/>
      <c r="Z2806" s="62" t="s">
        <v>5106</v>
      </c>
      <c r="AA2806" s="62" t="s">
        <v>5107</v>
      </c>
      <c r="AB2806" s="62" t="n">
        <v>1</v>
      </c>
      <c r="AC2806" s="62" t="n">
        <v>0</v>
      </c>
      <c r="AD2806" s="62" t="n">
        <v>1</v>
      </c>
      <c r="AE2806" s="62" t="n">
        <f aca="false">IF(AND(Dashboard!$C$9="Yes",AC2806=1),0,1)</f>
        <v>1</v>
      </c>
      <c r="AF2806" s="62" t="n">
        <v>1</v>
      </c>
    </row>
    <row r="2807" customFormat="false" ht="15" hidden="false" customHeight="false" outlineLevel="0" collapsed="false">
      <c r="A2807" s="62" t="n">
        <v>2806</v>
      </c>
      <c r="B2807" s="63" t="n">
        <v>46294.0469444445</v>
      </c>
      <c r="C2807" s="64" t="n">
        <v>46293</v>
      </c>
      <c r="D2807" s="62" t="s">
        <v>429</v>
      </c>
      <c r="E2807" s="62" t="s">
        <v>414</v>
      </c>
      <c r="F2807" s="62" t="s">
        <v>414</v>
      </c>
      <c r="G2807" s="62" t="s">
        <v>415</v>
      </c>
      <c r="H2807" s="62" t="s">
        <v>57</v>
      </c>
      <c r="I2807" s="62" t="s">
        <v>47</v>
      </c>
      <c r="J2807" s="62" t="s">
        <v>146</v>
      </c>
      <c r="K2807" s="62" t="s">
        <v>147</v>
      </c>
      <c r="L2807" s="62" t="s">
        <v>148</v>
      </c>
      <c r="M2807" s="62" t="n">
        <v>0</v>
      </c>
      <c r="N2807" s="62" t="n">
        <v>1</v>
      </c>
      <c r="O2807" s="62" t="n">
        <v>1</v>
      </c>
      <c r="P2807" s="62" t="n">
        <v>1</v>
      </c>
      <c r="Q2807" s="62" t="n">
        <v>0</v>
      </c>
      <c r="R2807" s="62" t="n">
        <v>0</v>
      </c>
      <c r="S2807" s="62" t="n">
        <v>0</v>
      </c>
      <c r="T2807" s="62" t="n">
        <v>0</v>
      </c>
      <c r="U2807" s="62"/>
      <c r="V2807" s="62"/>
      <c r="W2807" s="62"/>
      <c r="X2807" s="62"/>
      <c r="Y2807" s="62"/>
      <c r="Z2807" s="62" t="s">
        <v>5108</v>
      </c>
      <c r="AA2807" s="62" t="s">
        <v>5109</v>
      </c>
      <c r="AB2807" s="62" t="n">
        <v>1</v>
      </c>
      <c r="AC2807" s="62" t="n">
        <v>0</v>
      </c>
      <c r="AD2807" s="62" t="n">
        <v>1</v>
      </c>
      <c r="AE2807" s="62" t="n">
        <f aca="false">IF(AND(Dashboard!$C$9="Yes",AC2807=1),0,1)</f>
        <v>1</v>
      </c>
      <c r="AF2807" s="62" t="n">
        <v>0</v>
      </c>
    </row>
    <row r="2808" customFormat="false" ht="15" hidden="false" customHeight="false" outlineLevel="0" collapsed="false">
      <c r="A2808" s="62" t="n">
        <v>2807</v>
      </c>
      <c r="B2808" s="63" t="n">
        <v>46294.0497106482</v>
      </c>
      <c r="C2808" s="64" t="n">
        <v>46293</v>
      </c>
      <c r="D2808" s="62" t="s">
        <v>429</v>
      </c>
      <c r="E2808" s="62" t="s">
        <v>2637</v>
      </c>
      <c r="F2808" s="62" t="s">
        <v>2637</v>
      </c>
      <c r="G2808" s="62" t="s">
        <v>2638</v>
      </c>
      <c r="H2808" s="62" t="s">
        <v>52</v>
      </c>
      <c r="I2808" s="62" t="s">
        <v>47</v>
      </c>
      <c r="J2808" s="62" t="s">
        <v>146</v>
      </c>
      <c r="K2808" s="62" t="s">
        <v>147</v>
      </c>
      <c r="L2808" s="62" t="s">
        <v>148</v>
      </c>
      <c r="M2808" s="62" t="n">
        <v>0</v>
      </c>
      <c r="N2808" s="62" t="n">
        <v>1</v>
      </c>
      <c r="O2808" s="62" t="n">
        <v>1</v>
      </c>
      <c r="P2808" s="62" t="n">
        <v>0</v>
      </c>
      <c r="Q2808" s="62" t="n">
        <v>1</v>
      </c>
      <c r="R2808" s="62" t="n">
        <v>0</v>
      </c>
      <c r="S2808" s="62" t="n">
        <v>0</v>
      </c>
      <c r="T2808" s="62" t="n">
        <v>0</v>
      </c>
      <c r="U2808" s="62"/>
      <c r="V2808" s="62"/>
      <c r="W2808" s="62"/>
      <c r="X2808" s="62"/>
      <c r="Y2808" s="62"/>
      <c r="Z2808" s="62" t="s">
        <v>5110</v>
      </c>
      <c r="AA2808" s="62" t="s">
        <v>5111</v>
      </c>
      <c r="AB2808" s="62" t="n">
        <v>1</v>
      </c>
      <c r="AC2808" s="62" t="n">
        <v>0</v>
      </c>
      <c r="AD2808" s="62" t="n">
        <v>1</v>
      </c>
      <c r="AE2808" s="62" t="n">
        <f aca="false">IF(AND(Dashboard!$C$9="Yes",AC2808=1),0,1)</f>
        <v>1</v>
      </c>
      <c r="AF2808" s="62" t="n">
        <v>0</v>
      </c>
    </row>
    <row r="2809" customFormat="false" ht="15" hidden="false" customHeight="false" outlineLevel="0" collapsed="false">
      <c r="A2809" s="62" t="n">
        <v>2808</v>
      </c>
      <c r="B2809" s="63" t="n">
        <v>46294.0521412037</v>
      </c>
      <c r="C2809" s="64" t="n">
        <v>46293</v>
      </c>
      <c r="D2809" s="62" t="s">
        <v>429</v>
      </c>
      <c r="E2809" s="62" t="s">
        <v>371</v>
      </c>
      <c r="F2809" s="62" t="s">
        <v>371</v>
      </c>
      <c r="G2809" s="62" t="s">
        <v>372</v>
      </c>
      <c r="H2809" s="62" t="s">
        <v>59</v>
      </c>
      <c r="I2809" s="62" t="s">
        <v>47</v>
      </c>
      <c r="J2809" s="62" t="s">
        <v>146</v>
      </c>
      <c r="K2809" s="62" t="s">
        <v>147</v>
      </c>
      <c r="L2809" s="62" t="s">
        <v>148</v>
      </c>
      <c r="M2809" s="62" t="n">
        <v>0</v>
      </c>
      <c r="N2809" s="62" t="n">
        <v>1</v>
      </c>
      <c r="O2809" s="62" t="n">
        <v>1</v>
      </c>
      <c r="P2809" s="62" t="n">
        <v>1</v>
      </c>
      <c r="Q2809" s="62" t="n">
        <v>0</v>
      </c>
      <c r="R2809" s="62" t="n">
        <v>0</v>
      </c>
      <c r="S2809" s="62" t="n">
        <v>0</v>
      </c>
      <c r="T2809" s="62" t="n">
        <v>0</v>
      </c>
      <c r="U2809" s="62"/>
      <c r="V2809" s="62"/>
      <c r="W2809" s="62"/>
      <c r="X2809" s="62"/>
      <c r="Y2809" s="62"/>
      <c r="Z2809" s="62" t="s">
        <v>5112</v>
      </c>
      <c r="AA2809" s="62" t="s">
        <v>5113</v>
      </c>
      <c r="AB2809" s="62" t="n">
        <v>1</v>
      </c>
      <c r="AC2809" s="62" t="n">
        <v>0</v>
      </c>
      <c r="AD2809" s="62" t="n">
        <v>1</v>
      </c>
      <c r="AE2809" s="62" t="n">
        <f aca="false">IF(AND(Dashboard!$C$9="Yes",AC2809=1),0,1)</f>
        <v>1</v>
      </c>
      <c r="AF2809" s="62" t="n">
        <v>1</v>
      </c>
    </row>
    <row r="2810" customFormat="false" ht="15" hidden="false" customHeight="false" outlineLevel="0" collapsed="false">
      <c r="A2810" s="62" t="n">
        <v>2809</v>
      </c>
      <c r="B2810" s="63" t="n">
        <v>46294.0663194444</v>
      </c>
      <c r="C2810" s="64" t="n">
        <v>46293</v>
      </c>
      <c r="D2810" s="62" t="s">
        <v>429</v>
      </c>
      <c r="E2810" s="62" t="s">
        <v>207</v>
      </c>
      <c r="F2810" s="62" t="s">
        <v>207</v>
      </c>
      <c r="G2810" s="62" t="s">
        <v>208</v>
      </c>
      <c r="H2810" s="62" t="s">
        <v>48</v>
      </c>
      <c r="I2810" s="62" t="s">
        <v>49</v>
      </c>
      <c r="J2810" s="62" t="s">
        <v>146</v>
      </c>
      <c r="K2810" s="62" t="s">
        <v>209</v>
      </c>
      <c r="L2810" s="62" t="s">
        <v>4</v>
      </c>
      <c r="M2810" s="62" t="n">
        <v>1</v>
      </c>
      <c r="N2810" s="62" t="n">
        <v>0</v>
      </c>
      <c r="O2810" s="62" t="n">
        <v>1</v>
      </c>
      <c r="P2810" s="62" t="n">
        <v>0</v>
      </c>
      <c r="Q2810" s="62" t="n">
        <v>0</v>
      </c>
      <c r="R2810" s="62" t="n">
        <v>0</v>
      </c>
      <c r="S2810" s="62" t="n">
        <v>0</v>
      </c>
      <c r="T2810" s="62" t="n">
        <v>0</v>
      </c>
      <c r="U2810" s="62" t="s">
        <v>2056</v>
      </c>
      <c r="V2810" s="62" t="s">
        <v>2057</v>
      </c>
      <c r="W2810" s="62" t="s">
        <v>15</v>
      </c>
      <c r="X2810" s="62" t="s">
        <v>2058</v>
      </c>
      <c r="Y2810" s="62" t="s">
        <v>2059</v>
      </c>
      <c r="Z2810" s="62" t="s">
        <v>5114</v>
      </c>
      <c r="AA2810" s="62" t="s">
        <v>5115</v>
      </c>
      <c r="AB2810" s="62" t="n">
        <v>1</v>
      </c>
      <c r="AC2810" s="62" t="n">
        <v>0</v>
      </c>
      <c r="AD2810" s="62" t="n">
        <v>1</v>
      </c>
      <c r="AE2810" s="62" t="n">
        <f aca="false">IF(AND(Dashboard!$C$9="Yes",AC2810=1),0,1)</f>
        <v>1</v>
      </c>
      <c r="AF2810" s="62" t="n">
        <v>1</v>
      </c>
    </row>
    <row r="2811" customFormat="false" ht="15" hidden="false" customHeight="false" outlineLevel="0" collapsed="false">
      <c r="A2811" s="62" t="n">
        <v>2810</v>
      </c>
      <c r="B2811" s="63" t="n">
        <v>46294.0729513889</v>
      </c>
      <c r="C2811" s="64" t="n">
        <v>46293</v>
      </c>
      <c r="D2811" s="62" t="s">
        <v>429</v>
      </c>
      <c r="E2811" s="62" t="s">
        <v>2943</v>
      </c>
      <c r="F2811" s="62" t="s">
        <v>2943</v>
      </c>
      <c r="G2811" s="62" t="s">
        <v>2944</v>
      </c>
      <c r="H2811" s="62" t="s">
        <v>48</v>
      </c>
      <c r="I2811" s="62" t="s">
        <v>49</v>
      </c>
      <c r="J2811" s="62" t="s">
        <v>146</v>
      </c>
      <c r="K2811" s="62" t="s">
        <v>209</v>
      </c>
      <c r="L2811" s="62" t="s">
        <v>148</v>
      </c>
      <c r="M2811" s="62" t="n">
        <v>0</v>
      </c>
      <c r="N2811" s="62" t="n">
        <v>1</v>
      </c>
      <c r="O2811" s="62" t="n">
        <v>1</v>
      </c>
      <c r="P2811" s="62" t="n">
        <v>1</v>
      </c>
      <c r="Q2811" s="62" t="n">
        <v>0</v>
      </c>
      <c r="R2811" s="62" t="n">
        <v>0</v>
      </c>
      <c r="S2811" s="62" t="n">
        <v>0</v>
      </c>
      <c r="T2811" s="62" t="n">
        <v>0</v>
      </c>
      <c r="U2811" s="62"/>
      <c r="V2811" s="62"/>
      <c r="W2811" s="62"/>
      <c r="X2811" s="62"/>
      <c r="Y2811" s="62"/>
      <c r="Z2811" s="62" t="s">
        <v>5116</v>
      </c>
      <c r="AA2811" s="62" t="s">
        <v>5117</v>
      </c>
      <c r="AB2811" s="62" t="n">
        <v>1</v>
      </c>
      <c r="AC2811" s="62" t="n">
        <v>0</v>
      </c>
      <c r="AD2811" s="62" t="n">
        <v>1</v>
      </c>
      <c r="AE2811" s="62" t="n">
        <f aca="false">IF(AND(Dashboard!$C$9="Yes",AC2811=1),0,1)</f>
        <v>1</v>
      </c>
      <c r="AF2811" s="62" t="n">
        <v>1</v>
      </c>
    </row>
    <row r="2812" customFormat="false" ht="15" hidden="false" customHeight="false" outlineLevel="0" collapsed="false">
      <c r="A2812" s="62" t="n">
        <v>2811</v>
      </c>
      <c r="B2812" s="63" t="n">
        <v>46294.0748958333</v>
      </c>
      <c r="C2812" s="64" t="n">
        <v>46293</v>
      </c>
      <c r="D2812" s="62" t="s">
        <v>429</v>
      </c>
      <c r="E2812" s="62" t="s">
        <v>2959</v>
      </c>
      <c r="F2812" s="62" t="s">
        <v>2959</v>
      </c>
      <c r="G2812" s="62" t="s">
        <v>2960</v>
      </c>
      <c r="H2812" s="62" t="s">
        <v>58</v>
      </c>
      <c r="I2812" s="62" t="s">
        <v>49</v>
      </c>
      <c r="J2812" s="62" t="s">
        <v>146</v>
      </c>
      <c r="K2812" s="62" t="s">
        <v>175</v>
      </c>
      <c r="L2812" s="62" t="s">
        <v>148</v>
      </c>
      <c r="M2812" s="62" t="n">
        <v>0</v>
      </c>
      <c r="N2812" s="62" t="n">
        <v>1</v>
      </c>
      <c r="O2812" s="62" t="n">
        <v>1</v>
      </c>
      <c r="P2812" s="62" t="n">
        <v>0</v>
      </c>
      <c r="Q2812" s="62" t="n">
        <v>1</v>
      </c>
      <c r="R2812" s="62" t="n">
        <v>0</v>
      </c>
      <c r="S2812" s="62" t="n">
        <v>0</v>
      </c>
      <c r="T2812" s="62" t="n">
        <v>0</v>
      </c>
      <c r="U2812" s="62"/>
      <c r="V2812" s="62"/>
      <c r="W2812" s="62"/>
      <c r="X2812" s="62"/>
      <c r="Y2812" s="62"/>
      <c r="Z2812" s="62" t="s">
        <v>5118</v>
      </c>
      <c r="AA2812" s="62" t="s">
        <v>337</v>
      </c>
      <c r="AB2812" s="62" t="n">
        <v>0</v>
      </c>
      <c r="AC2812" s="62" t="n">
        <v>0</v>
      </c>
      <c r="AD2812" s="62" t="n">
        <v>1</v>
      </c>
      <c r="AE2812" s="62" t="n">
        <f aca="false">IF(AND(Dashboard!$C$9="Yes",AC2812=1),0,1)</f>
        <v>1</v>
      </c>
      <c r="AF2812" s="62" t="n">
        <v>0</v>
      </c>
    </row>
    <row r="2813" customFormat="false" ht="15" hidden="false" customHeight="false" outlineLevel="0" collapsed="false">
      <c r="A2813" s="62" t="n">
        <v>2812</v>
      </c>
      <c r="B2813" s="63" t="n">
        <v>46294.0758564815</v>
      </c>
      <c r="C2813" s="64" t="n">
        <v>46293</v>
      </c>
      <c r="D2813" s="62" t="s">
        <v>429</v>
      </c>
      <c r="E2813" s="62" t="s">
        <v>255</v>
      </c>
      <c r="F2813" s="62" t="s">
        <v>255</v>
      </c>
      <c r="G2813" s="62" t="s">
        <v>256</v>
      </c>
      <c r="H2813" s="62" t="s">
        <v>57</v>
      </c>
      <c r="I2813" s="62" t="s">
        <v>47</v>
      </c>
      <c r="J2813" s="62" t="s">
        <v>146</v>
      </c>
      <c r="K2813" s="62" t="s">
        <v>147</v>
      </c>
      <c r="L2813" s="62" t="s">
        <v>4</v>
      </c>
      <c r="M2813" s="62" t="n">
        <v>1</v>
      </c>
      <c r="N2813" s="62" t="n">
        <v>0</v>
      </c>
      <c r="O2813" s="62" t="n">
        <v>1</v>
      </c>
      <c r="P2813" s="62" t="n">
        <v>0</v>
      </c>
      <c r="Q2813" s="62" t="n">
        <v>0</v>
      </c>
      <c r="R2813" s="62" t="n">
        <v>0</v>
      </c>
      <c r="S2813" s="62" t="n">
        <v>0</v>
      </c>
      <c r="T2813" s="62" t="n">
        <v>0</v>
      </c>
      <c r="U2813" s="62" t="s">
        <v>2056</v>
      </c>
      <c r="V2813" s="62" t="s">
        <v>2057</v>
      </c>
      <c r="W2813" s="62" t="s">
        <v>2056</v>
      </c>
      <c r="X2813" s="62" t="s">
        <v>2058</v>
      </c>
      <c r="Y2813" s="62" t="s">
        <v>2059</v>
      </c>
      <c r="Z2813" s="62" t="s">
        <v>5119</v>
      </c>
      <c r="AA2813" s="62" t="s">
        <v>5120</v>
      </c>
      <c r="AB2813" s="62" t="n">
        <v>1</v>
      </c>
      <c r="AC2813" s="62" t="n">
        <v>0</v>
      </c>
      <c r="AD2813" s="62" t="n">
        <v>1</v>
      </c>
      <c r="AE2813" s="62" t="n">
        <f aca="false">IF(AND(Dashboard!$C$9="Yes",AC2813=1),0,1)</f>
        <v>1</v>
      </c>
      <c r="AF2813" s="62" t="n">
        <v>0</v>
      </c>
    </row>
    <row r="2814" customFormat="false" ht="15" hidden="false" customHeight="false" outlineLevel="0" collapsed="false">
      <c r="A2814" s="62" t="n">
        <v>2813</v>
      </c>
      <c r="B2814" s="63" t="n">
        <v>46294.0772453704</v>
      </c>
      <c r="C2814" s="64" t="n">
        <v>46293</v>
      </c>
      <c r="D2814" s="62" t="s">
        <v>429</v>
      </c>
      <c r="E2814" s="62" t="s">
        <v>5121</v>
      </c>
      <c r="F2814" s="62" t="s">
        <v>5122</v>
      </c>
      <c r="G2814" s="62" t="s">
        <v>153</v>
      </c>
      <c r="H2814" s="62" t="s">
        <v>153</v>
      </c>
      <c r="I2814" s="62" t="s">
        <v>153</v>
      </c>
      <c r="J2814" s="62" t="s">
        <v>64</v>
      </c>
      <c r="K2814" s="62" t="s">
        <v>64</v>
      </c>
      <c r="L2814" s="62" t="s">
        <v>4</v>
      </c>
      <c r="M2814" s="62" t="n">
        <v>1</v>
      </c>
      <c r="N2814" s="62" t="n">
        <v>0</v>
      </c>
      <c r="O2814" s="62" t="n">
        <v>1</v>
      </c>
      <c r="P2814" s="62" t="n">
        <v>0</v>
      </c>
      <c r="Q2814" s="62" t="n">
        <v>0</v>
      </c>
      <c r="R2814" s="62" t="n">
        <v>0</v>
      </c>
      <c r="S2814" s="62" t="n">
        <v>0</v>
      </c>
      <c r="T2814" s="62" t="n">
        <v>0</v>
      </c>
      <c r="U2814" s="62" t="s">
        <v>2056</v>
      </c>
      <c r="V2814" s="62" t="s">
        <v>2057</v>
      </c>
      <c r="W2814" s="62" t="s">
        <v>15</v>
      </c>
      <c r="X2814" s="62" t="s">
        <v>2058</v>
      </c>
      <c r="Y2814" s="62" t="s">
        <v>2059</v>
      </c>
      <c r="Z2814" s="62" t="s">
        <v>5112</v>
      </c>
      <c r="AA2814" s="62" t="s">
        <v>5113</v>
      </c>
      <c r="AB2814" s="62" t="n">
        <v>1</v>
      </c>
      <c r="AC2814" s="62" t="n">
        <v>0</v>
      </c>
      <c r="AD2814" s="62" t="n">
        <v>0</v>
      </c>
      <c r="AE2814" s="62" t="n">
        <f aca="false">IF(AND(Dashboard!$C$9="Yes",AC2814=1),0,1)</f>
        <v>1</v>
      </c>
      <c r="AF2814" s="62" t="n">
        <v>1</v>
      </c>
    </row>
    <row r="2815" customFormat="false" ht="15" hidden="false" customHeight="false" outlineLevel="0" collapsed="false">
      <c r="A2815" s="62" t="n">
        <v>2814</v>
      </c>
      <c r="B2815" s="63" t="n">
        <v>46294.0874305556</v>
      </c>
      <c r="C2815" s="64" t="n">
        <v>46293</v>
      </c>
      <c r="D2815" s="62" t="s">
        <v>429</v>
      </c>
      <c r="E2815" s="62" t="s">
        <v>2071</v>
      </c>
      <c r="F2815" s="62" t="s">
        <v>2071</v>
      </c>
      <c r="G2815" s="62" t="s">
        <v>2072</v>
      </c>
      <c r="H2815" s="62" t="s">
        <v>58</v>
      </c>
      <c r="I2815" s="62" t="s">
        <v>49</v>
      </c>
      <c r="J2815" s="62" t="s">
        <v>146</v>
      </c>
      <c r="K2815" s="62" t="s">
        <v>175</v>
      </c>
      <c r="L2815" s="62" t="s">
        <v>148</v>
      </c>
      <c r="M2815" s="62" t="n">
        <v>0</v>
      </c>
      <c r="N2815" s="62" t="n">
        <v>1</v>
      </c>
      <c r="O2815" s="62" t="n">
        <v>1</v>
      </c>
      <c r="P2815" s="62" t="n">
        <v>1</v>
      </c>
      <c r="Q2815" s="62" t="n">
        <v>0</v>
      </c>
      <c r="R2815" s="62" t="n">
        <v>0</v>
      </c>
      <c r="S2815" s="62" t="n">
        <v>0</v>
      </c>
      <c r="T2815" s="62" t="n">
        <v>0</v>
      </c>
      <c r="U2815" s="62"/>
      <c r="V2815" s="62"/>
      <c r="W2815" s="62"/>
      <c r="X2815" s="62"/>
      <c r="Y2815" s="62"/>
      <c r="Z2815" s="62" t="s">
        <v>5123</v>
      </c>
      <c r="AA2815" s="62" t="s">
        <v>5124</v>
      </c>
      <c r="AB2815" s="62" t="n">
        <v>1</v>
      </c>
      <c r="AC2815" s="62" t="n">
        <v>0</v>
      </c>
      <c r="AD2815" s="62" t="n">
        <v>1</v>
      </c>
      <c r="AE2815" s="62" t="n">
        <f aca="false">IF(AND(Dashboard!$C$9="Yes",AC2815=1),0,1)</f>
        <v>1</v>
      </c>
      <c r="AF2815" s="62" t="n">
        <v>0</v>
      </c>
    </row>
    <row r="2816" customFormat="false" ht="15" hidden="false" customHeight="false" outlineLevel="0" collapsed="false">
      <c r="A2816" s="62" t="n">
        <v>2815</v>
      </c>
      <c r="B2816" s="63" t="n">
        <v>46294.0882175926</v>
      </c>
      <c r="C2816" s="64" t="n">
        <v>46293</v>
      </c>
      <c r="D2816" s="62" t="s">
        <v>429</v>
      </c>
      <c r="E2816" s="62" t="s">
        <v>1827</v>
      </c>
      <c r="F2816" s="62" t="s">
        <v>1827</v>
      </c>
      <c r="G2816" s="62" t="s">
        <v>1828</v>
      </c>
      <c r="H2816" s="62" t="s">
        <v>59</v>
      </c>
      <c r="I2816" s="62" t="s">
        <v>47</v>
      </c>
      <c r="J2816" s="62" t="s">
        <v>146</v>
      </c>
      <c r="K2816" s="62" t="s">
        <v>209</v>
      </c>
      <c r="L2816" s="62" t="s">
        <v>148</v>
      </c>
      <c r="M2816" s="62" t="n">
        <v>0</v>
      </c>
      <c r="N2816" s="62" t="n">
        <v>1</v>
      </c>
      <c r="O2816" s="62" t="n">
        <v>1</v>
      </c>
      <c r="P2816" s="62" t="n">
        <v>1</v>
      </c>
      <c r="Q2816" s="62" t="n">
        <v>0</v>
      </c>
      <c r="R2816" s="62" t="n">
        <v>0</v>
      </c>
      <c r="S2816" s="62" t="n">
        <v>0</v>
      </c>
      <c r="T2816" s="62" t="n">
        <v>0</v>
      </c>
      <c r="U2816" s="62"/>
      <c r="V2816" s="62"/>
      <c r="W2816" s="62"/>
      <c r="X2816" s="62"/>
      <c r="Y2816" s="62"/>
      <c r="Z2816" s="62" t="s">
        <v>5125</v>
      </c>
      <c r="AA2816" s="62" t="s">
        <v>5126</v>
      </c>
      <c r="AB2816" s="62" t="n">
        <v>1</v>
      </c>
      <c r="AC2816" s="62" t="n">
        <v>0</v>
      </c>
      <c r="AD2816" s="62" t="n">
        <v>1</v>
      </c>
      <c r="AE2816" s="62" t="n">
        <f aca="false">IF(AND(Dashboard!$C$9="Yes",AC2816=1),0,1)</f>
        <v>1</v>
      </c>
      <c r="AF2816" s="62" t="n">
        <v>1</v>
      </c>
    </row>
    <row r="2817" customFormat="false" ht="15" hidden="false" customHeight="false" outlineLevel="0" collapsed="false">
      <c r="A2817" s="62" t="n">
        <v>2816</v>
      </c>
      <c r="B2817" s="63" t="n">
        <v>46294.1515509259</v>
      </c>
      <c r="C2817" s="64" t="n">
        <v>46293</v>
      </c>
      <c r="D2817" s="62" t="s">
        <v>429</v>
      </c>
      <c r="E2817" s="62" t="s">
        <v>180</v>
      </c>
      <c r="F2817" s="62" t="s">
        <v>180</v>
      </c>
      <c r="G2817" s="62" t="s">
        <v>181</v>
      </c>
      <c r="H2817" s="62" t="s">
        <v>58</v>
      </c>
      <c r="I2817" s="62" t="s">
        <v>49</v>
      </c>
      <c r="J2817" s="62" t="s">
        <v>146</v>
      </c>
      <c r="K2817" s="62" t="s">
        <v>175</v>
      </c>
      <c r="L2817" s="62" t="s">
        <v>148</v>
      </c>
      <c r="M2817" s="62" t="n">
        <v>0</v>
      </c>
      <c r="N2817" s="62" t="n">
        <v>1</v>
      </c>
      <c r="O2817" s="62" t="n">
        <v>1</v>
      </c>
      <c r="P2817" s="62" t="n">
        <v>1</v>
      </c>
      <c r="Q2817" s="62" t="n">
        <v>0</v>
      </c>
      <c r="R2817" s="62" t="n">
        <v>0</v>
      </c>
      <c r="S2817" s="62" t="n">
        <v>0</v>
      </c>
      <c r="T2817" s="62" t="n">
        <v>0</v>
      </c>
      <c r="U2817" s="62"/>
      <c r="V2817" s="62"/>
      <c r="W2817" s="62"/>
      <c r="X2817" s="62"/>
      <c r="Y2817" s="62"/>
      <c r="Z2817" s="62" t="s">
        <v>5127</v>
      </c>
      <c r="AA2817" s="62" t="s">
        <v>5128</v>
      </c>
      <c r="AB2817" s="62" t="n">
        <v>1</v>
      </c>
      <c r="AC2817" s="62" t="n">
        <v>0</v>
      </c>
      <c r="AD2817" s="62" t="n">
        <v>1</v>
      </c>
      <c r="AE2817" s="62" t="n">
        <f aca="false">IF(AND(Dashboard!$C$9="Yes",AC2817=1),0,1)</f>
        <v>1</v>
      </c>
      <c r="AF2817" s="62" t="n">
        <v>0</v>
      </c>
    </row>
    <row r="2818" customFormat="false" ht="15" hidden="false" customHeight="false" outlineLevel="0" collapsed="false">
      <c r="A2818" s="62" t="n">
        <v>2817</v>
      </c>
      <c r="B2818" s="63" t="n">
        <v>46294.1652430556</v>
      </c>
      <c r="C2818" s="64" t="n">
        <v>46293</v>
      </c>
      <c r="D2818" s="62" t="s">
        <v>429</v>
      </c>
      <c r="E2818" s="62" t="s">
        <v>196</v>
      </c>
      <c r="F2818" s="62" t="s">
        <v>196</v>
      </c>
      <c r="G2818" s="62" t="s">
        <v>197</v>
      </c>
      <c r="H2818" s="62" t="s">
        <v>57</v>
      </c>
      <c r="I2818" s="62" t="s">
        <v>47</v>
      </c>
      <c r="J2818" s="62" t="s">
        <v>146</v>
      </c>
      <c r="K2818" s="62" t="s">
        <v>175</v>
      </c>
      <c r="L2818" s="62" t="s">
        <v>148</v>
      </c>
      <c r="M2818" s="62" t="n">
        <v>0</v>
      </c>
      <c r="N2818" s="62" t="n">
        <v>1</v>
      </c>
      <c r="O2818" s="62" t="n">
        <v>1</v>
      </c>
      <c r="P2818" s="62" t="n">
        <v>1</v>
      </c>
      <c r="Q2818" s="62" t="n">
        <v>0</v>
      </c>
      <c r="R2818" s="62" t="n">
        <v>0</v>
      </c>
      <c r="S2818" s="62" t="n">
        <v>0</v>
      </c>
      <c r="T2818" s="62" t="n">
        <v>0</v>
      </c>
      <c r="U2818" s="62"/>
      <c r="V2818" s="62"/>
      <c r="W2818" s="62"/>
      <c r="X2818" s="62"/>
      <c r="Y2818" s="62"/>
      <c r="Z2818" s="62" t="s">
        <v>5129</v>
      </c>
      <c r="AA2818" s="62" t="s">
        <v>5130</v>
      </c>
      <c r="AB2818" s="62" t="n">
        <v>1</v>
      </c>
      <c r="AC2818" s="62" t="n">
        <v>0</v>
      </c>
      <c r="AD2818" s="62" t="n">
        <v>1</v>
      </c>
      <c r="AE2818" s="62" t="n">
        <f aca="false">IF(AND(Dashboard!$C$9="Yes",AC2818=1),0,1)</f>
        <v>1</v>
      </c>
      <c r="AF2818" s="62" t="n">
        <v>0</v>
      </c>
    </row>
    <row r="2819" customFormat="false" ht="15" hidden="false" customHeight="false" outlineLevel="0" collapsed="false">
      <c r="A2819" s="62" t="n">
        <v>2818</v>
      </c>
      <c r="B2819" s="63" t="n">
        <v>46294.1862847222</v>
      </c>
      <c r="C2819" s="64" t="n">
        <v>46293</v>
      </c>
      <c r="D2819" s="62" t="s">
        <v>429</v>
      </c>
      <c r="E2819" s="62" t="s">
        <v>414</v>
      </c>
      <c r="F2819" s="62" t="s">
        <v>414</v>
      </c>
      <c r="G2819" s="62" t="s">
        <v>415</v>
      </c>
      <c r="H2819" s="62" t="s">
        <v>57</v>
      </c>
      <c r="I2819" s="62" t="s">
        <v>47</v>
      </c>
      <c r="J2819" s="62" t="s">
        <v>146</v>
      </c>
      <c r="K2819" s="62" t="s">
        <v>147</v>
      </c>
      <c r="L2819" s="62" t="s">
        <v>148</v>
      </c>
      <c r="M2819" s="62" t="n">
        <v>0</v>
      </c>
      <c r="N2819" s="62" t="n">
        <v>1</v>
      </c>
      <c r="O2819" s="62" t="n">
        <v>1</v>
      </c>
      <c r="P2819" s="62" t="n">
        <v>1</v>
      </c>
      <c r="Q2819" s="62" t="n">
        <v>0</v>
      </c>
      <c r="R2819" s="62" t="n">
        <v>0</v>
      </c>
      <c r="S2819" s="62" t="n">
        <v>0</v>
      </c>
      <c r="T2819" s="62" t="n">
        <v>0</v>
      </c>
      <c r="U2819" s="62"/>
      <c r="V2819" s="62"/>
      <c r="W2819" s="62"/>
      <c r="X2819" s="62"/>
      <c r="Y2819" s="62"/>
      <c r="Z2819" s="62" t="s">
        <v>5131</v>
      </c>
      <c r="AA2819" s="62" t="s">
        <v>5132</v>
      </c>
      <c r="AB2819" s="62" t="n">
        <v>1</v>
      </c>
      <c r="AC2819" s="62" t="n">
        <v>0</v>
      </c>
      <c r="AD2819" s="62" t="n">
        <v>1</v>
      </c>
      <c r="AE2819" s="62" t="n">
        <f aca="false">IF(AND(Dashboard!$C$9="Yes",AC2819=1),0,1)</f>
        <v>1</v>
      </c>
      <c r="AF2819" s="62" t="n">
        <v>0</v>
      </c>
    </row>
    <row r="2820" customFormat="false" ht="15" hidden="false" customHeight="false" outlineLevel="0" collapsed="false">
      <c r="A2820" s="62" t="n">
        <v>2819</v>
      </c>
      <c r="B2820" s="63" t="n">
        <v>46294.2094791667</v>
      </c>
      <c r="C2820" s="64" t="n">
        <v>46293</v>
      </c>
      <c r="D2820" s="62" t="s">
        <v>429</v>
      </c>
      <c r="E2820" s="62" t="s">
        <v>5104</v>
      </c>
      <c r="F2820" s="62" t="s">
        <v>5104</v>
      </c>
      <c r="G2820" s="62" t="s">
        <v>5105</v>
      </c>
      <c r="H2820" s="62" t="s">
        <v>57</v>
      </c>
      <c r="I2820" s="62" t="s">
        <v>47</v>
      </c>
      <c r="J2820" s="62" t="s">
        <v>146</v>
      </c>
      <c r="K2820" s="62" t="s">
        <v>147</v>
      </c>
      <c r="L2820" s="62" t="s">
        <v>148</v>
      </c>
      <c r="M2820" s="62" t="n">
        <v>0</v>
      </c>
      <c r="N2820" s="62" t="n">
        <v>1</v>
      </c>
      <c r="O2820" s="62" t="n">
        <v>1</v>
      </c>
      <c r="P2820" s="62" t="n">
        <v>1</v>
      </c>
      <c r="Q2820" s="62" t="n">
        <v>0</v>
      </c>
      <c r="R2820" s="62" t="n">
        <v>0</v>
      </c>
      <c r="S2820" s="62" t="n">
        <v>0</v>
      </c>
      <c r="T2820" s="62" t="n">
        <v>0</v>
      </c>
      <c r="U2820" s="62"/>
      <c r="V2820" s="62"/>
      <c r="W2820" s="62"/>
      <c r="X2820" s="62"/>
      <c r="Y2820" s="62"/>
      <c r="Z2820" s="62" t="s">
        <v>5133</v>
      </c>
      <c r="AA2820" s="62" t="s">
        <v>5134</v>
      </c>
      <c r="AB2820" s="62" t="n">
        <v>1</v>
      </c>
      <c r="AC2820" s="62" t="n">
        <v>0</v>
      </c>
      <c r="AD2820" s="62" t="n">
        <v>1</v>
      </c>
      <c r="AE2820" s="62" t="n">
        <f aca="false">IF(AND(Dashboard!$C$9="Yes",AC2820=1),0,1)</f>
        <v>1</v>
      </c>
      <c r="AF2820" s="62" t="n">
        <v>0</v>
      </c>
    </row>
    <row r="2821" customFormat="false" ht="15" hidden="false" customHeight="false" outlineLevel="0" collapsed="false">
      <c r="A2821" s="62" t="n">
        <v>2820</v>
      </c>
      <c r="B2821" s="63" t="n">
        <v>46294.2203009259</v>
      </c>
      <c r="C2821" s="64" t="n">
        <v>46293</v>
      </c>
      <c r="D2821" s="62" t="s">
        <v>429</v>
      </c>
      <c r="E2821" s="62" t="s">
        <v>2959</v>
      </c>
      <c r="F2821" s="62" t="s">
        <v>2959</v>
      </c>
      <c r="G2821" s="62" t="s">
        <v>2960</v>
      </c>
      <c r="H2821" s="62" t="s">
        <v>58</v>
      </c>
      <c r="I2821" s="62" t="s">
        <v>49</v>
      </c>
      <c r="J2821" s="62" t="s">
        <v>146</v>
      </c>
      <c r="K2821" s="62" t="s">
        <v>175</v>
      </c>
      <c r="L2821" s="62" t="s">
        <v>148</v>
      </c>
      <c r="M2821" s="62" t="n">
        <v>0</v>
      </c>
      <c r="N2821" s="62" t="n">
        <v>2</v>
      </c>
      <c r="O2821" s="62" t="n">
        <v>2</v>
      </c>
      <c r="P2821" s="62" t="n">
        <v>0</v>
      </c>
      <c r="Q2821" s="62" t="n">
        <v>1</v>
      </c>
      <c r="R2821" s="62" t="n">
        <v>1</v>
      </c>
      <c r="S2821" s="62" t="n">
        <v>0</v>
      </c>
      <c r="T2821" s="62" t="n">
        <v>0</v>
      </c>
      <c r="U2821" s="62"/>
      <c r="V2821" s="62"/>
      <c r="W2821" s="62"/>
      <c r="X2821" s="62"/>
      <c r="Y2821" s="62"/>
      <c r="Z2821" s="62" t="s">
        <v>5135</v>
      </c>
      <c r="AA2821" s="62" t="s">
        <v>5136</v>
      </c>
      <c r="AB2821" s="62" t="n">
        <v>1</v>
      </c>
      <c r="AC2821" s="62" t="n">
        <v>0</v>
      </c>
      <c r="AD2821" s="62" t="n">
        <v>1</v>
      </c>
      <c r="AE2821" s="62" t="n">
        <f aca="false">IF(AND(Dashboard!$C$9="Yes",AC2821=1),0,1)</f>
        <v>1</v>
      </c>
      <c r="AF2821" s="62" t="n">
        <v>0</v>
      </c>
    </row>
    <row r="2822" customFormat="false" ht="15" hidden="false" customHeight="false" outlineLevel="0" collapsed="false">
      <c r="A2822" s="62" t="n">
        <v>2821</v>
      </c>
      <c r="B2822" s="63" t="n">
        <v>46294.2331018519</v>
      </c>
      <c r="C2822" s="64" t="n">
        <v>46293</v>
      </c>
      <c r="D2822" s="62" t="s">
        <v>429</v>
      </c>
      <c r="E2822" s="62" t="s">
        <v>1827</v>
      </c>
      <c r="F2822" s="62" t="s">
        <v>1827</v>
      </c>
      <c r="G2822" s="62" t="s">
        <v>1828</v>
      </c>
      <c r="H2822" s="62" t="s">
        <v>59</v>
      </c>
      <c r="I2822" s="62" t="s">
        <v>47</v>
      </c>
      <c r="J2822" s="62" t="s">
        <v>146</v>
      </c>
      <c r="K2822" s="62" t="s">
        <v>209</v>
      </c>
      <c r="L2822" s="62" t="s">
        <v>148</v>
      </c>
      <c r="M2822" s="62" t="n">
        <v>0</v>
      </c>
      <c r="N2822" s="62" t="n">
        <v>1</v>
      </c>
      <c r="O2822" s="62" t="n">
        <v>1</v>
      </c>
      <c r="P2822" s="62" t="n">
        <v>1</v>
      </c>
      <c r="Q2822" s="62" t="n">
        <v>0</v>
      </c>
      <c r="R2822" s="62" t="n">
        <v>0</v>
      </c>
      <c r="S2822" s="62" t="n">
        <v>0</v>
      </c>
      <c r="T2822" s="62" t="n">
        <v>0</v>
      </c>
      <c r="U2822" s="62"/>
      <c r="V2822" s="62"/>
      <c r="W2822" s="62"/>
      <c r="X2822" s="62"/>
      <c r="Y2822" s="62"/>
      <c r="Z2822" s="62" t="s">
        <v>5137</v>
      </c>
      <c r="AA2822" s="62" t="s">
        <v>5138</v>
      </c>
      <c r="AB2822" s="62" t="n">
        <v>1</v>
      </c>
      <c r="AC2822" s="62" t="n">
        <v>0</v>
      </c>
      <c r="AD2822" s="62" t="n">
        <v>1</v>
      </c>
      <c r="AE2822" s="62" t="n">
        <f aca="false">IF(AND(Dashboard!$C$9="Yes",AC2822=1),0,1)</f>
        <v>1</v>
      </c>
      <c r="AF2822" s="62" t="n">
        <v>0</v>
      </c>
    </row>
    <row r="2823" customFormat="false" ht="15" hidden="false" customHeight="false" outlineLevel="0" collapsed="false">
      <c r="A2823" s="62" t="n">
        <v>2822</v>
      </c>
      <c r="B2823" s="63" t="n">
        <v>46294.2360532407</v>
      </c>
      <c r="C2823" s="64" t="n">
        <v>46293</v>
      </c>
      <c r="D2823" s="62" t="s">
        <v>429</v>
      </c>
      <c r="E2823" s="62" t="s">
        <v>5139</v>
      </c>
      <c r="F2823" s="62" t="s">
        <v>5139</v>
      </c>
      <c r="G2823" s="62" t="s">
        <v>5140</v>
      </c>
      <c r="H2823" s="62" t="s">
        <v>56</v>
      </c>
      <c r="I2823" s="62" t="s">
        <v>49</v>
      </c>
      <c r="J2823" s="62" t="s">
        <v>3708</v>
      </c>
      <c r="K2823" s="62" t="s">
        <v>209</v>
      </c>
      <c r="L2823" s="62" t="s">
        <v>148</v>
      </c>
      <c r="M2823" s="62" t="n">
        <v>0</v>
      </c>
      <c r="N2823" s="62" t="n">
        <v>1</v>
      </c>
      <c r="O2823" s="62" t="n">
        <v>1</v>
      </c>
      <c r="P2823" s="62" t="n">
        <v>0</v>
      </c>
      <c r="Q2823" s="62" t="n">
        <v>1</v>
      </c>
      <c r="R2823" s="62" t="n">
        <v>0</v>
      </c>
      <c r="S2823" s="62" t="n">
        <v>0</v>
      </c>
      <c r="T2823" s="62" t="n">
        <v>0</v>
      </c>
      <c r="U2823" s="62"/>
      <c r="V2823" s="62"/>
      <c r="W2823" s="62"/>
      <c r="X2823" s="62"/>
      <c r="Y2823" s="62"/>
      <c r="Z2823" s="62" t="s">
        <v>5140</v>
      </c>
      <c r="AA2823" s="62" t="s">
        <v>237</v>
      </c>
      <c r="AB2823" s="62" t="n">
        <v>0</v>
      </c>
      <c r="AC2823" s="62" t="n">
        <v>0</v>
      </c>
      <c r="AD2823" s="62" t="n">
        <v>1</v>
      </c>
      <c r="AE2823" s="62" t="n">
        <f aca="false">IF(AND(Dashboard!$C$9="Yes",AC2823=1),0,1)</f>
        <v>1</v>
      </c>
      <c r="AF2823" s="62" t="n">
        <v>1</v>
      </c>
    </row>
    <row r="2824" customFormat="false" ht="15" hidden="false" customHeight="false" outlineLevel="0" collapsed="false">
      <c r="A2824" s="62" t="n">
        <v>2823</v>
      </c>
      <c r="B2824" s="63" t="n">
        <v>46294.2892476852</v>
      </c>
      <c r="C2824" s="64" t="n">
        <v>46293</v>
      </c>
      <c r="D2824" s="62" t="s">
        <v>429</v>
      </c>
      <c r="E2824" s="62" t="s">
        <v>5104</v>
      </c>
      <c r="F2824" s="62" t="s">
        <v>5104</v>
      </c>
      <c r="G2824" s="62" t="s">
        <v>5105</v>
      </c>
      <c r="H2824" s="62" t="s">
        <v>57</v>
      </c>
      <c r="I2824" s="62" t="s">
        <v>47</v>
      </c>
      <c r="J2824" s="62" t="s">
        <v>146</v>
      </c>
      <c r="K2824" s="62" t="s">
        <v>147</v>
      </c>
      <c r="L2824" s="62" t="s">
        <v>148</v>
      </c>
      <c r="M2824" s="62" t="n">
        <v>0</v>
      </c>
      <c r="N2824" s="62" t="n">
        <v>1</v>
      </c>
      <c r="O2824" s="62" t="n">
        <v>1</v>
      </c>
      <c r="P2824" s="62" t="n">
        <v>1</v>
      </c>
      <c r="Q2824" s="62" t="n">
        <v>0</v>
      </c>
      <c r="R2824" s="62" t="n">
        <v>0</v>
      </c>
      <c r="S2824" s="62" t="n">
        <v>0</v>
      </c>
      <c r="T2824" s="62" t="n">
        <v>0</v>
      </c>
      <c r="U2824" s="62"/>
      <c r="V2824" s="62"/>
      <c r="W2824" s="62"/>
      <c r="X2824" s="62"/>
      <c r="Y2824" s="62"/>
      <c r="Z2824" s="62" t="s">
        <v>5141</v>
      </c>
      <c r="AA2824" s="62" t="s">
        <v>5142</v>
      </c>
      <c r="AB2824" s="62" t="n">
        <v>1</v>
      </c>
      <c r="AC2824" s="62" t="n">
        <v>0</v>
      </c>
      <c r="AD2824" s="62" t="n">
        <v>1</v>
      </c>
      <c r="AE2824" s="62" t="n">
        <f aca="false">IF(AND(Dashboard!$C$9="Yes",AC2824=1),0,1)</f>
        <v>1</v>
      </c>
      <c r="AF2824" s="62" t="n">
        <v>0</v>
      </c>
    </row>
    <row r="2825" customFormat="false" ht="15" hidden="false" customHeight="false" outlineLevel="0" collapsed="false">
      <c r="A2825" s="62" t="n">
        <v>2824</v>
      </c>
      <c r="B2825" s="63" t="n">
        <v>46294.6249652778</v>
      </c>
      <c r="C2825" s="64" t="n">
        <v>46294</v>
      </c>
      <c r="D2825" s="62" t="s">
        <v>501</v>
      </c>
      <c r="E2825" s="62" t="s">
        <v>4665</v>
      </c>
      <c r="F2825" s="62" t="s">
        <v>4665</v>
      </c>
      <c r="G2825" s="62" t="s">
        <v>4666</v>
      </c>
      <c r="H2825" s="62" t="s">
        <v>58</v>
      </c>
      <c r="I2825" s="62" t="s">
        <v>49</v>
      </c>
      <c r="J2825" s="62" t="s">
        <v>146</v>
      </c>
      <c r="K2825" s="62" t="s">
        <v>209</v>
      </c>
      <c r="L2825" s="62" t="s">
        <v>148</v>
      </c>
      <c r="M2825" s="62" t="n">
        <v>0</v>
      </c>
      <c r="N2825" s="62" t="n">
        <v>1</v>
      </c>
      <c r="O2825" s="62" t="n">
        <v>1</v>
      </c>
      <c r="P2825" s="62" t="n">
        <v>1</v>
      </c>
      <c r="Q2825" s="62" t="n">
        <v>0</v>
      </c>
      <c r="R2825" s="62" t="n">
        <v>0</v>
      </c>
      <c r="S2825" s="62" t="n">
        <v>0</v>
      </c>
      <c r="T2825" s="62" t="n">
        <v>0</v>
      </c>
      <c r="U2825" s="62"/>
      <c r="V2825" s="62"/>
      <c r="W2825" s="62"/>
      <c r="X2825" s="62"/>
      <c r="Y2825" s="62"/>
      <c r="Z2825" s="62" t="s">
        <v>5143</v>
      </c>
      <c r="AA2825" s="62" t="s">
        <v>5144</v>
      </c>
      <c r="AB2825" s="62" t="n">
        <v>0</v>
      </c>
      <c r="AC2825" s="62" t="n">
        <v>0</v>
      </c>
      <c r="AD2825" s="62" t="n">
        <v>1</v>
      </c>
      <c r="AE2825" s="62" t="n">
        <f aca="false">IF(AND(Dashboard!$C$9="Yes",AC2825=1),0,1)</f>
        <v>1</v>
      </c>
      <c r="AF2825" s="62" t="n">
        <v>1</v>
      </c>
    </row>
    <row r="2826" customFormat="false" ht="15" hidden="false" customHeight="false" outlineLevel="0" collapsed="false">
      <c r="A2826" s="62" t="n">
        <v>2825</v>
      </c>
      <c r="B2826" s="63" t="n">
        <v>46294.6567939815</v>
      </c>
      <c r="C2826" s="64" t="n">
        <v>46294</v>
      </c>
      <c r="D2826" s="62" t="s">
        <v>501</v>
      </c>
      <c r="E2826" s="62" t="s">
        <v>4234</v>
      </c>
      <c r="F2826" s="62" t="s">
        <v>4234</v>
      </c>
      <c r="G2826" s="62" t="s">
        <v>4235</v>
      </c>
      <c r="H2826" s="62" t="s">
        <v>44</v>
      </c>
      <c r="I2826" s="62" t="s">
        <v>49</v>
      </c>
      <c r="J2826" s="62" t="s">
        <v>146</v>
      </c>
      <c r="K2826" s="62" t="s">
        <v>147</v>
      </c>
      <c r="L2826" s="62" t="s">
        <v>148</v>
      </c>
      <c r="M2826" s="62" t="n">
        <v>0</v>
      </c>
      <c r="N2826" s="62" t="n">
        <v>1</v>
      </c>
      <c r="O2826" s="62" t="n">
        <v>1</v>
      </c>
      <c r="P2826" s="62" t="n">
        <v>0</v>
      </c>
      <c r="Q2826" s="62" t="n">
        <v>1</v>
      </c>
      <c r="R2826" s="62" t="n">
        <v>0</v>
      </c>
      <c r="S2826" s="62" t="n">
        <v>0</v>
      </c>
      <c r="T2826" s="62" t="n">
        <v>0</v>
      </c>
      <c r="U2826" s="62"/>
      <c r="V2826" s="62"/>
      <c r="W2826" s="62"/>
      <c r="X2826" s="62"/>
      <c r="Y2826" s="62"/>
      <c r="Z2826" s="62" t="s">
        <v>5145</v>
      </c>
      <c r="AA2826" s="62" t="s">
        <v>5146</v>
      </c>
      <c r="AB2826" s="62" t="n">
        <v>1</v>
      </c>
      <c r="AC2826" s="62" t="n">
        <v>0</v>
      </c>
      <c r="AD2826" s="62" t="n">
        <v>1</v>
      </c>
      <c r="AE2826" s="62" t="n">
        <f aca="false">IF(AND(Dashboard!$C$9="Yes",AC2826=1),0,1)</f>
        <v>1</v>
      </c>
      <c r="AF2826" s="62" t="n">
        <v>1</v>
      </c>
    </row>
    <row r="2827" customFormat="false" ht="15" hidden="false" customHeight="false" outlineLevel="0" collapsed="false">
      <c r="A2827" s="62" t="n">
        <v>2826</v>
      </c>
      <c r="B2827" s="63" t="n">
        <v>46294.6604976852</v>
      </c>
      <c r="C2827" s="64" t="n">
        <v>46294</v>
      </c>
      <c r="D2827" s="62" t="s">
        <v>501</v>
      </c>
      <c r="E2827" s="62" t="s">
        <v>4226</v>
      </c>
      <c r="F2827" s="62" t="s">
        <v>4226</v>
      </c>
      <c r="G2827" s="62" t="s">
        <v>4227</v>
      </c>
      <c r="H2827" s="62" t="s">
        <v>44</v>
      </c>
      <c r="I2827" s="62" t="s">
        <v>49</v>
      </c>
      <c r="J2827" s="62" t="s">
        <v>146</v>
      </c>
      <c r="K2827" s="62" t="s">
        <v>147</v>
      </c>
      <c r="L2827" s="62" t="s">
        <v>148</v>
      </c>
      <c r="M2827" s="62" t="n">
        <v>0</v>
      </c>
      <c r="N2827" s="62" t="n">
        <v>1</v>
      </c>
      <c r="O2827" s="62" t="n">
        <v>1</v>
      </c>
      <c r="P2827" s="62" t="n">
        <v>1</v>
      </c>
      <c r="Q2827" s="62" t="n">
        <v>0</v>
      </c>
      <c r="R2827" s="62" t="n">
        <v>0</v>
      </c>
      <c r="S2827" s="62" t="n">
        <v>0</v>
      </c>
      <c r="T2827" s="62" t="n">
        <v>0</v>
      </c>
      <c r="U2827" s="62"/>
      <c r="V2827" s="62"/>
      <c r="W2827" s="62"/>
      <c r="X2827" s="62"/>
      <c r="Y2827" s="62"/>
      <c r="Z2827" s="62" t="s">
        <v>5147</v>
      </c>
      <c r="AA2827" s="62" t="s">
        <v>5148</v>
      </c>
      <c r="AB2827" s="62" t="n">
        <v>1</v>
      </c>
      <c r="AC2827" s="62" t="n">
        <v>0</v>
      </c>
      <c r="AD2827" s="62" t="n">
        <v>1</v>
      </c>
      <c r="AE2827" s="62" t="n">
        <f aca="false">IF(AND(Dashboard!$C$9="Yes",AC2827=1),0,1)</f>
        <v>1</v>
      </c>
      <c r="AF2827" s="62" t="n">
        <v>1</v>
      </c>
    </row>
    <row r="2828" customFormat="false" ht="15" hidden="false" customHeight="false" outlineLevel="0" collapsed="false">
      <c r="A2828" s="62" t="n">
        <v>2827</v>
      </c>
      <c r="B2828" s="63" t="n">
        <v>46294.6783912037</v>
      </c>
      <c r="C2828" s="64" t="n">
        <v>46294</v>
      </c>
      <c r="D2828" s="62" t="s">
        <v>501</v>
      </c>
      <c r="E2828" s="62" t="s">
        <v>4226</v>
      </c>
      <c r="F2828" s="62" t="s">
        <v>4226</v>
      </c>
      <c r="G2828" s="62" t="s">
        <v>4227</v>
      </c>
      <c r="H2828" s="62" t="s">
        <v>44</v>
      </c>
      <c r="I2828" s="62" t="s">
        <v>49</v>
      </c>
      <c r="J2828" s="62" t="s">
        <v>146</v>
      </c>
      <c r="K2828" s="62" t="s">
        <v>147</v>
      </c>
      <c r="L2828" s="62" t="s">
        <v>4</v>
      </c>
      <c r="M2828" s="62" t="n">
        <v>1</v>
      </c>
      <c r="N2828" s="62" t="n">
        <v>0</v>
      </c>
      <c r="O2828" s="62" t="n">
        <v>1</v>
      </c>
      <c r="P2828" s="62" t="n">
        <v>0</v>
      </c>
      <c r="Q2828" s="62" t="n">
        <v>0</v>
      </c>
      <c r="R2828" s="62" t="n">
        <v>0</v>
      </c>
      <c r="S2828" s="62" t="n">
        <v>0</v>
      </c>
      <c r="T2828" s="62" t="n">
        <v>0</v>
      </c>
      <c r="U2828" s="62" t="s">
        <v>2056</v>
      </c>
      <c r="V2828" s="62" t="s">
        <v>2057</v>
      </c>
      <c r="W2828" s="62" t="s">
        <v>15</v>
      </c>
      <c r="X2828" s="62" t="s">
        <v>2058</v>
      </c>
      <c r="Y2828" s="62" t="s">
        <v>2059</v>
      </c>
      <c r="Z2828" s="62" t="s">
        <v>5147</v>
      </c>
      <c r="AA2828" s="62" t="s">
        <v>5149</v>
      </c>
      <c r="AB2828" s="62" t="n">
        <v>1</v>
      </c>
      <c r="AC2828" s="62" t="n">
        <v>0</v>
      </c>
      <c r="AD2828" s="62" t="n">
        <v>1</v>
      </c>
      <c r="AE2828" s="62" t="n">
        <f aca="false">IF(AND(Dashboard!$C$9="Yes",AC2828=1),0,1)</f>
        <v>1</v>
      </c>
      <c r="AF2828" s="62" t="n">
        <v>0</v>
      </c>
    </row>
    <row r="2829" customFormat="false" ht="15" hidden="false" customHeight="false" outlineLevel="0" collapsed="false">
      <c r="A2829" s="62" t="n">
        <v>2828</v>
      </c>
      <c r="B2829" s="63" t="n">
        <v>46294.6850578704</v>
      </c>
      <c r="C2829" s="64" t="n">
        <v>46294</v>
      </c>
      <c r="D2829" s="62" t="s">
        <v>501</v>
      </c>
      <c r="E2829" s="62" t="s">
        <v>4234</v>
      </c>
      <c r="F2829" s="62" t="s">
        <v>4234</v>
      </c>
      <c r="G2829" s="62" t="s">
        <v>4235</v>
      </c>
      <c r="H2829" s="62" t="s">
        <v>44</v>
      </c>
      <c r="I2829" s="62" t="s">
        <v>49</v>
      </c>
      <c r="J2829" s="62" t="s">
        <v>146</v>
      </c>
      <c r="K2829" s="62" t="s">
        <v>147</v>
      </c>
      <c r="L2829" s="62" t="s">
        <v>148</v>
      </c>
      <c r="M2829" s="62" t="n">
        <v>0</v>
      </c>
      <c r="N2829" s="62" t="n">
        <v>1</v>
      </c>
      <c r="O2829" s="62" t="n">
        <v>1</v>
      </c>
      <c r="P2829" s="62" t="n">
        <v>1</v>
      </c>
      <c r="Q2829" s="62" t="n">
        <v>0</v>
      </c>
      <c r="R2829" s="62" t="n">
        <v>0</v>
      </c>
      <c r="S2829" s="62" t="n">
        <v>0</v>
      </c>
      <c r="T2829" s="62" t="n">
        <v>0</v>
      </c>
      <c r="U2829" s="62"/>
      <c r="V2829" s="62"/>
      <c r="W2829" s="62"/>
      <c r="X2829" s="62"/>
      <c r="Y2829" s="62"/>
      <c r="Z2829" s="62" t="s">
        <v>5150</v>
      </c>
      <c r="AA2829" s="62" t="s">
        <v>5151</v>
      </c>
      <c r="AB2829" s="62" t="n">
        <v>1</v>
      </c>
      <c r="AC2829" s="62" t="n">
        <v>0</v>
      </c>
      <c r="AD2829" s="62" t="n">
        <v>1</v>
      </c>
      <c r="AE2829" s="62" t="n">
        <f aca="false">IF(AND(Dashboard!$C$9="Yes",AC2829=1),0,1)</f>
        <v>1</v>
      </c>
      <c r="AF2829" s="62" t="n">
        <v>0</v>
      </c>
    </row>
    <row r="2830" customFormat="false" ht="15" hidden="false" customHeight="false" outlineLevel="0" collapsed="false">
      <c r="A2830" s="62" t="n">
        <v>2829</v>
      </c>
      <c r="B2830" s="63" t="n">
        <v>46294.7029050926</v>
      </c>
      <c r="C2830" s="64" t="n">
        <v>46294</v>
      </c>
      <c r="D2830" s="62" t="s">
        <v>501</v>
      </c>
      <c r="E2830" s="62" t="s">
        <v>4665</v>
      </c>
      <c r="F2830" s="62" t="s">
        <v>4665</v>
      </c>
      <c r="G2830" s="62" t="s">
        <v>4666</v>
      </c>
      <c r="H2830" s="62" t="s">
        <v>58</v>
      </c>
      <c r="I2830" s="62" t="s">
        <v>49</v>
      </c>
      <c r="J2830" s="62" t="s">
        <v>146</v>
      </c>
      <c r="K2830" s="62" t="s">
        <v>209</v>
      </c>
      <c r="L2830" s="62" t="s">
        <v>148</v>
      </c>
      <c r="M2830" s="62" t="n">
        <v>0</v>
      </c>
      <c r="N2830" s="62" t="n">
        <v>1</v>
      </c>
      <c r="O2830" s="62" t="n">
        <v>1</v>
      </c>
      <c r="P2830" s="62" t="n">
        <v>1</v>
      </c>
      <c r="Q2830" s="62" t="n">
        <v>0</v>
      </c>
      <c r="R2830" s="62" t="n">
        <v>0</v>
      </c>
      <c r="S2830" s="62" t="n">
        <v>0</v>
      </c>
      <c r="T2830" s="62" t="n">
        <v>0</v>
      </c>
      <c r="U2830" s="62"/>
      <c r="V2830" s="62"/>
      <c r="W2830" s="62"/>
      <c r="X2830" s="62"/>
      <c r="Y2830" s="62"/>
      <c r="Z2830" s="62" t="s">
        <v>5152</v>
      </c>
      <c r="AA2830" s="62" t="s">
        <v>5144</v>
      </c>
      <c r="AB2830" s="62" t="n">
        <v>0</v>
      </c>
      <c r="AC2830" s="62" t="n">
        <v>0</v>
      </c>
      <c r="AD2830" s="62" t="n">
        <v>1</v>
      </c>
      <c r="AE2830" s="62" t="n">
        <f aca="false">IF(AND(Dashboard!$C$9="Yes",AC2830=1),0,1)</f>
        <v>1</v>
      </c>
      <c r="AF2830" s="62" t="n">
        <v>0</v>
      </c>
    </row>
    <row r="2831" customFormat="false" ht="15" hidden="false" customHeight="false" outlineLevel="0" collapsed="false">
      <c r="A2831" s="62" t="n">
        <v>2830</v>
      </c>
      <c r="B2831" s="63" t="n">
        <v>46294.7355324074</v>
      </c>
      <c r="C2831" s="64" t="n">
        <v>46294</v>
      </c>
      <c r="D2831" s="62" t="s">
        <v>501</v>
      </c>
      <c r="E2831" s="62" t="s">
        <v>2228</v>
      </c>
      <c r="F2831" s="62" t="s">
        <v>2228</v>
      </c>
      <c r="G2831" s="62" t="s">
        <v>2229</v>
      </c>
      <c r="H2831" s="62" t="s">
        <v>58</v>
      </c>
      <c r="I2831" s="62" t="s">
        <v>49</v>
      </c>
      <c r="J2831" s="62" t="s">
        <v>146</v>
      </c>
      <c r="K2831" s="62" t="s">
        <v>209</v>
      </c>
      <c r="L2831" s="62" t="s">
        <v>148</v>
      </c>
      <c r="M2831" s="62" t="n">
        <v>0</v>
      </c>
      <c r="N2831" s="62" t="n">
        <v>2</v>
      </c>
      <c r="O2831" s="62" t="n">
        <v>2</v>
      </c>
      <c r="P2831" s="62" t="n">
        <v>0</v>
      </c>
      <c r="Q2831" s="62" t="n">
        <v>0</v>
      </c>
      <c r="R2831" s="62" t="n">
        <v>0</v>
      </c>
      <c r="S2831" s="62" t="n">
        <v>2</v>
      </c>
      <c r="T2831" s="62" t="n">
        <v>0</v>
      </c>
      <c r="U2831" s="62"/>
      <c r="V2831" s="62"/>
      <c r="W2831" s="62"/>
      <c r="X2831" s="62"/>
      <c r="Y2831" s="62"/>
      <c r="Z2831" s="62" t="s">
        <v>5153</v>
      </c>
      <c r="AA2831" s="62" t="s">
        <v>5154</v>
      </c>
      <c r="AB2831" s="62" t="n">
        <v>1</v>
      </c>
      <c r="AC2831" s="62" t="n">
        <v>0</v>
      </c>
      <c r="AD2831" s="62" t="n">
        <v>1</v>
      </c>
      <c r="AE2831" s="62" t="n">
        <f aca="false">IF(AND(Dashboard!$C$9="Yes",AC2831=1),0,1)</f>
        <v>1</v>
      </c>
      <c r="AF2831" s="62" t="n">
        <v>1</v>
      </c>
    </row>
    <row r="2832" customFormat="false" ht="15" hidden="false" customHeight="false" outlineLevel="0" collapsed="false">
      <c r="A2832" s="62" t="n">
        <v>2831</v>
      </c>
      <c r="B2832" s="63" t="n">
        <v>46294.7359953704</v>
      </c>
      <c r="C2832" s="64" t="n">
        <v>46294</v>
      </c>
      <c r="D2832" s="62" t="s">
        <v>501</v>
      </c>
      <c r="E2832" s="62" t="s">
        <v>3874</v>
      </c>
      <c r="F2832" s="62" t="s">
        <v>3874</v>
      </c>
      <c r="G2832" s="62" t="s">
        <v>3875</v>
      </c>
      <c r="H2832" s="62" t="s">
        <v>59</v>
      </c>
      <c r="I2832" s="62" t="s">
        <v>47</v>
      </c>
      <c r="J2832" s="62" t="s">
        <v>146</v>
      </c>
      <c r="K2832" s="62" t="s">
        <v>209</v>
      </c>
      <c r="L2832" s="62" t="s">
        <v>148</v>
      </c>
      <c r="M2832" s="62" t="n">
        <v>0</v>
      </c>
      <c r="N2832" s="62" t="n">
        <v>1</v>
      </c>
      <c r="O2832" s="62" t="n">
        <v>1</v>
      </c>
      <c r="P2832" s="62" t="n">
        <v>0</v>
      </c>
      <c r="Q2832" s="62" t="n">
        <v>1</v>
      </c>
      <c r="R2832" s="62" t="n">
        <v>0</v>
      </c>
      <c r="S2832" s="62" t="n">
        <v>0</v>
      </c>
      <c r="T2832" s="62" t="n">
        <v>0</v>
      </c>
      <c r="U2832" s="62"/>
      <c r="V2832" s="62"/>
      <c r="W2832" s="62"/>
      <c r="X2832" s="62"/>
      <c r="Y2832" s="62"/>
      <c r="Z2832" s="62" t="s">
        <v>5155</v>
      </c>
      <c r="AA2832" s="62" t="s">
        <v>5156</v>
      </c>
      <c r="AB2832" s="62" t="n">
        <v>1</v>
      </c>
      <c r="AC2832" s="62" t="n">
        <v>0</v>
      </c>
      <c r="AD2832" s="62" t="n">
        <v>1</v>
      </c>
      <c r="AE2832" s="62" t="n">
        <f aca="false">IF(AND(Dashboard!$C$9="Yes",AC2832=1),0,1)</f>
        <v>1</v>
      </c>
      <c r="AF2832" s="62" t="n">
        <v>1</v>
      </c>
    </row>
    <row r="2833" customFormat="false" ht="15" hidden="false" customHeight="false" outlineLevel="0" collapsed="false">
      <c r="A2833" s="62" t="n">
        <v>2832</v>
      </c>
      <c r="B2833" s="63" t="n">
        <v>46294.7372916667</v>
      </c>
      <c r="C2833" s="64" t="n">
        <v>46294</v>
      </c>
      <c r="D2833" s="62" t="s">
        <v>501</v>
      </c>
      <c r="E2833" s="62" t="s">
        <v>4238</v>
      </c>
      <c r="F2833" s="62" t="s">
        <v>4238</v>
      </c>
      <c r="G2833" s="62" t="s">
        <v>4239</v>
      </c>
      <c r="H2833" s="62" t="s">
        <v>44</v>
      </c>
      <c r="I2833" s="62" t="s">
        <v>49</v>
      </c>
      <c r="J2833" s="62" t="s">
        <v>146</v>
      </c>
      <c r="K2833" s="62" t="s">
        <v>147</v>
      </c>
      <c r="L2833" s="62" t="s">
        <v>148</v>
      </c>
      <c r="M2833" s="62" t="n">
        <v>0</v>
      </c>
      <c r="N2833" s="62" t="n">
        <v>1</v>
      </c>
      <c r="O2833" s="62" t="n">
        <v>1</v>
      </c>
      <c r="P2833" s="62" t="n">
        <v>1</v>
      </c>
      <c r="Q2833" s="62" t="n">
        <v>0</v>
      </c>
      <c r="R2833" s="62" t="n">
        <v>0</v>
      </c>
      <c r="S2833" s="62" t="n">
        <v>0</v>
      </c>
      <c r="T2833" s="62" t="n">
        <v>0</v>
      </c>
      <c r="U2833" s="62"/>
      <c r="V2833" s="62"/>
      <c r="W2833" s="62"/>
      <c r="X2833" s="62"/>
      <c r="Y2833" s="62"/>
      <c r="Z2833" s="62" t="s">
        <v>5157</v>
      </c>
      <c r="AA2833" s="62" t="s">
        <v>5158</v>
      </c>
      <c r="AB2833" s="62" t="n">
        <v>1</v>
      </c>
      <c r="AC2833" s="62" t="n">
        <v>0</v>
      </c>
      <c r="AD2833" s="62" t="n">
        <v>1</v>
      </c>
      <c r="AE2833" s="62" t="n">
        <f aca="false">IF(AND(Dashboard!$C$9="Yes",AC2833=1),0,1)</f>
        <v>1</v>
      </c>
      <c r="AF2833" s="62" t="n">
        <v>1</v>
      </c>
    </row>
    <row r="2834" customFormat="false" ht="15" hidden="false" customHeight="false" outlineLevel="0" collapsed="false">
      <c r="A2834" s="62" t="n">
        <v>2833</v>
      </c>
      <c r="B2834" s="63" t="n">
        <v>46294.7507523148</v>
      </c>
      <c r="C2834" s="64" t="n">
        <v>46294</v>
      </c>
      <c r="D2834" s="62" t="s">
        <v>501</v>
      </c>
      <c r="E2834" s="62" t="s">
        <v>3061</v>
      </c>
      <c r="F2834" s="62" t="s">
        <v>3061</v>
      </c>
      <c r="G2834" s="62" t="s">
        <v>3062</v>
      </c>
      <c r="H2834" s="62" t="s">
        <v>44</v>
      </c>
      <c r="I2834" s="62" t="s">
        <v>49</v>
      </c>
      <c r="J2834" s="62" t="s">
        <v>146</v>
      </c>
      <c r="K2834" s="62" t="s">
        <v>147</v>
      </c>
      <c r="L2834" s="62" t="s">
        <v>148</v>
      </c>
      <c r="M2834" s="62" t="n">
        <v>0</v>
      </c>
      <c r="N2834" s="62" t="n">
        <v>1</v>
      </c>
      <c r="O2834" s="62" t="n">
        <v>1</v>
      </c>
      <c r="P2834" s="62" t="n">
        <v>1</v>
      </c>
      <c r="Q2834" s="62" t="n">
        <v>0</v>
      </c>
      <c r="R2834" s="62" t="n">
        <v>0</v>
      </c>
      <c r="S2834" s="62" t="n">
        <v>0</v>
      </c>
      <c r="T2834" s="62" t="n">
        <v>0</v>
      </c>
      <c r="U2834" s="62"/>
      <c r="V2834" s="62"/>
      <c r="W2834" s="62"/>
      <c r="X2834" s="62"/>
      <c r="Y2834" s="62"/>
      <c r="Z2834" s="62" t="s">
        <v>5159</v>
      </c>
      <c r="AA2834" s="62" t="s">
        <v>5160</v>
      </c>
      <c r="AB2834" s="62" t="n">
        <v>1</v>
      </c>
      <c r="AC2834" s="62" t="n">
        <v>0</v>
      </c>
      <c r="AD2834" s="62" t="n">
        <v>1</v>
      </c>
      <c r="AE2834" s="62" t="n">
        <f aca="false">IF(AND(Dashboard!$C$9="Yes",AC2834=1),0,1)</f>
        <v>1</v>
      </c>
      <c r="AF2834" s="62" t="n">
        <v>1</v>
      </c>
    </row>
    <row r="2835" customFormat="false" ht="15" hidden="false" customHeight="false" outlineLevel="0" collapsed="false">
      <c r="A2835" s="62" t="n">
        <v>2834</v>
      </c>
      <c r="B2835" s="63" t="n">
        <v>46294.7531944444</v>
      </c>
      <c r="C2835" s="64" t="n">
        <v>46294</v>
      </c>
      <c r="D2835" s="62" t="s">
        <v>501</v>
      </c>
      <c r="E2835" s="62" t="s">
        <v>4258</v>
      </c>
      <c r="F2835" s="62" t="s">
        <v>4258</v>
      </c>
      <c r="G2835" s="62" t="s">
        <v>4259</v>
      </c>
      <c r="H2835" s="62" t="s">
        <v>44</v>
      </c>
      <c r="I2835" s="62" t="s">
        <v>49</v>
      </c>
      <c r="J2835" s="62" t="s">
        <v>146</v>
      </c>
      <c r="K2835" s="62" t="s">
        <v>147</v>
      </c>
      <c r="L2835" s="62" t="s">
        <v>148</v>
      </c>
      <c r="M2835" s="62" t="n">
        <v>0</v>
      </c>
      <c r="N2835" s="62" t="n">
        <v>1</v>
      </c>
      <c r="O2835" s="62" t="n">
        <v>1</v>
      </c>
      <c r="P2835" s="62" t="n">
        <v>1</v>
      </c>
      <c r="Q2835" s="62" t="n">
        <v>0</v>
      </c>
      <c r="R2835" s="62" t="n">
        <v>0</v>
      </c>
      <c r="S2835" s="62" t="n">
        <v>0</v>
      </c>
      <c r="T2835" s="62" t="n">
        <v>0</v>
      </c>
      <c r="U2835" s="62"/>
      <c r="V2835" s="62"/>
      <c r="W2835" s="62"/>
      <c r="X2835" s="62"/>
      <c r="Y2835" s="62"/>
      <c r="Z2835" s="62" t="s">
        <v>5161</v>
      </c>
      <c r="AA2835" s="62" t="s">
        <v>5162</v>
      </c>
      <c r="AB2835" s="62" t="n">
        <v>1</v>
      </c>
      <c r="AC2835" s="62" t="n">
        <v>0</v>
      </c>
      <c r="AD2835" s="62" t="n">
        <v>1</v>
      </c>
      <c r="AE2835" s="62" t="n">
        <f aca="false">IF(AND(Dashboard!$C$9="Yes",AC2835=1),0,1)</f>
        <v>1</v>
      </c>
      <c r="AF2835" s="62" t="n">
        <v>1</v>
      </c>
    </row>
    <row r="2836" customFormat="false" ht="15" hidden="false" customHeight="false" outlineLevel="0" collapsed="false">
      <c r="A2836" s="62" t="n">
        <v>2835</v>
      </c>
      <c r="B2836" s="63" t="n">
        <v>46294.7543287037</v>
      </c>
      <c r="C2836" s="64" t="n">
        <v>46294</v>
      </c>
      <c r="D2836" s="62" t="s">
        <v>501</v>
      </c>
      <c r="E2836" s="62" t="s">
        <v>4242</v>
      </c>
      <c r="F2836" s="62" t="s">
        <v>4242</v>
      </c>
      <c r="G2836" s="62" t="s">
        <v>4243</v>
      </c>
      <c r="H2836" s="62" t="s">
        <v>44</v>
      </c>
      <c r="I2836" s="62" t="s">
        <v>49</v>
      </c>
      <c r="J2836" s="62" t="s">
        <v>146</v>
      </c>
      <c r="K2836" s="62" t="s">
        <v>147</v>
      </c>
      <c r="L2836" s="62" t="s">
        <v>148</v>
      </c>
      <c r="M2836" s="62" t="n">
        <v>0</v>
      </c>
      <c r="N2836" s="62" t="n">
        <v>1</v>
      </c>
      <c r="O2836" s="62" t="n">
        <v>1</v>
      </c>
      <c r="P2836" s="62" t="n">
        <v>1</v>
      </c>
      <c r="Q2836" s="62" t="n">
        <v>0</v>
      </c>
      <c r="R2836" s="62" t="n">
        <v>0</v>
      </c>
      <c r="S2836" s="62" t="n">
        <v>0</v>
      </c>
      <c r="T2836" s="62" t="n">
        <v>0</v>
      </c>
      <c r="U2836" s="62"/>
      <c r="V2836" s="62"/>
      <c r="W2836" s="62"/>
      <c r="X2836" s="62"/>
      <c r="Y2836" s="62"/>
      <c r="Z2836" s="62" t="s">
        <v>5163</v>
      </c>
      <c r="AA2836" s="62" t="s">
        <v>5164</v>
      </c>
      <c r="AB2836" s="62" t="n">
        <v>1</v>
      </c>
      <c r="AC2836" s="62" t="n">
        <v>0</v>
      </c>
      <c r="AD2836" s="62" t="n">
        <v>1</v>
      </c>
      <c r="AE2836" s="62" t="n">
        <f aca="false">IF(AND(Dashboard!$C$9="Yes",AC2836=1),0,1)</f>
        <v>1</v>
      </c>
      <c r="AF2836" s="62" t="n">
        <v>1</v>
      </c>
    </row>
    <row r="2837" customFormat="false" ht="15" hidden="false" customHeight="false" outlineLevel="0" collapsed="false">
      <c r="A2837" s="62" t="n">
        <v>2836</v>
      </c>
      <c r="B2837" s="63" t="n">
        <v>46294.7546180556</v>
      </c>
      <c r="C2837" s="64" t="n">
        <v>46294</v>
      </c>
      <c r="D2837" s="62" t="s">
        <v>501</v>
      </c>
      <c r="E2837" s="62" t="s">
        <v>3874</v>
      </c>
      <c r="F2837" s="62" t="s">
        <v>3874</v>
      </c>
      <c r="G2837" s="62" t="s">
        <v>3875</v>
      </c>
      <c r="H2837" s="62" t="s">
        <v>59</v>
      </c>
      <c r="I2837" s="62" t="s">
        <v>47</v>
      </c>
      <c r="J2837" s="62" t="s">
        <v>146</v>
      </c>
      <c r="K2837" s="62" t="s">
        <v>209</v>
      </c>
      <c r="L2837" s="62" t="s">
        <v>148</v>
      </c>
      <c r="M2837" s="62" t="n">
        <v>0</v>
      </c>
      <c r="N2837" s="62" t="n">
        <v>1</v>
      </c>
      <c r="O2837" s="62" t="n">
        <v>1</v>
      </c>
      <c r="P2837" s="62" t="n">
        <v>1</v>
      </c>
      <c r="Q2837" s="62" t="n">
        <v>0</v>
      </c>
      <c r="R2837" s="62" t="n">
        <v>0</v>
      </c>
      <c r="S2837" s="62" t="n">
        <v>0</v>
      </c>
      <c r="T2837" s="62" t="n">
        <v>0</v>
      </c>
      <c r="U2837" s="62"/>
      <c r="V2837" s="62"/>
      <c r="W2837" s="62"/>
      <c r="X2837" s="62"/>
      <c r="Y2837" s="62"/>
      <c r="Z2837" s="62" t="s">
        <v>5165</v>
      </c>
      <c r="AA2837" s="62" t="s">
        <v>5166</v>
      </c>
      <c r="AB2837" s="62" t="n">
        <v>1</v>
      </c>
      <c r="AC2837" s="62" t="n">
        <v>0</v>
      </c>
      <c r="AD2837" s="62" t="n">
        <v>1</v>
      </c>
      <c r="AE2837" s="62" t="n">
        <f aca="false">IF(AND(Dashboard!$C$9="Yes",AC2837=1),0,1)</f>
        <v>1</v>
      </c>
      <c r="AF2837" s="62" t="n">
        <v>0</v>
      </c>
    </row>
    <row r="2838" customFormat="false" ht="15" hidden="false" customHeight="false" outlineLevel="0" collapsed="false">
      <c r="A2838" s="62" t="n">
        <v>2837</v>
      </c>
      <c r="B2838" s="63" t="n">
        <v>46294.7756712963</v>
      </c>
      <c r="C2838" s="64" t="n">
        <v>46294</v>
      </c>
      <c r="D2838" s="62" t="s">
        <v>501</v>
      </c>
      <c r="E2838" s="62" t="s">
        <v>5075</v>
      </c>
      <c r="F2838" s="62" t="s">
        <v>5076</v>
      </c>
      <c r="G2838" s="62" t="s">
        <v>153</v>
      </c>
      <c r="H2838" s="62" t="s">
        <v>153</v>
      </c>
      <c r="I2838" s="62" t="s">
        <v>153</v>
      </c>
      <c r="J2838" s="62" t="s">
        <v>64</v>
      </c>
      <c r="K2838" s="62" t="s">
        <v>64</v>
      </c>
      <c r="L2838" s="62" t="s">
        <v>148</v>
      </c>
      <c r="M2838" s="62" t="n">
        <v>0</v>
      </c>
      <c r="N2838" s="62" t="n">
        <v>1</v>
      </c>
      <c r="O2838" s="62" t="n">
        <v>1</v>
      </c>
      <c r="P2838" s="62" t="n">
        <v>1</v>
      </c>
      <c r="Q2838" s="62" t="n">
        <v>0</v>
      </c>
      <c r="R2838" s="62" t="n">
        <v>0</v>
      </c>
      <c r="S2838" s="62" t="n">
        <v>0</v>
      </c>
      <c r="T2838" s="62" t="n">
        <v>0</v>
      </c>
      <c r="U2838" s="62"/>
      <c r="V2838" s="62"/>
      <c r="W2838" s="62"/>
      <c r="X2838" s="62"/>
      <c r="Y2838" s="62"/>
      <c r="Z2838" s="62" t="s">
        <v>5167</v>
      </c>
      <c r="AA2838" s="62" t="s">
        <v>3868</v>
      </c>
      <c r="AB2838" s="62" t="n">
        <v>0</v>
      </c>
      <c r="AC2838" s="62" t="n">
        <v>0</v>
      </c>
      <c r="AD2838" s="62" t="n">
        <v>0</v>
      </c>
      <c r="AE2838" s="62" t="n">
        <f aca="false">IF(AND(Dashboard!$C$9="Yes",AC2838=1),0,1)</f>
        <v>1</v>
      </c>
      <c r="AF2838" s="62" t="n">
        <v>1</v>
      </c>
    </row>
    <row r="2839" customFormat="false" ht="15" hidden="false" customHeight="false" outlineLevel="0" collapsed="false">
      <c r="A2839" s="62" t="n">
        <v>2838</v>
      </c>
      <c r="B2839" s="63" t="n">
        <v>46294.8056712963</v>
      </c>
      <c r="C2839" s="64" t="n">
        <v>46294</v>
      </c>
      <c r="D2839" s="62" t="s">
        <v>501</v>
      </c>
      <c r="E2839" s="62" t="s">
        <v>4542</v>
      </c>
      <c r="F2839" s="62" t="s">
        <v>4542</v>
      </c>
      <c r="G2839" s="62" t="s">
        <v>4543</v>
      </c>
      <c r="H2839" s="62" t="s">
        <v>44</v>
      </c>
      <c r="I2839" s="62" t="s">
        <v>49</v>
      </c>
      <c r="J2839" s="62" t="s">
        <v>146</v>
      </c>
      <c r="K2839" s="62" t="s">
        <v>147</v>
      </c>
      <c r="L2839" s="62" t="s">
        <v>148</v>
      </c>
      <c r="M2839" s="62" t="n">
        <v>0</v>
      </c>
      <c r="N2839" s="62" t="n">
        <v>1</v>
      </c>
      <c r="O2839" s="62" t="n">
        <v>1</v>
      </c>
      <c r="P2839" s="62" t="n">
        <v>1</v>
      </c>
      <c r="Q2839" s="62" t="n">
        <v>0</v>
      </c>
      <c r="R2839" s="62" t="n">
        <v>0</v>
      </c>
      <c r="S2839" s="62" t="n">
        <v>0</v>
      </c>
      <c r="T2839" s="62" t="n">
        <v>0</v>
      </c>
      <c r="U2839" s="62"/>
      <c r="V2839" s="62"/>
      <c r="W2839" s="62"/>
      <c r="X2839" s="62"/>
      <c r="Y2839" s="62"/>
      <c r="Z2839" s="62" t="s">
        <v>5168</v>
      </c>
      <c r="AA2839" s="62" t="s">
        <v>5169</v>
      </c>
      <c r="AB2839" s="62" t="n">
        <v>1</v>
      </c>
      <c r="AC2839" s="62" t="n">
        <v>0</v>
      </c>
      <c r="AD2839" s="62" t="n">
        <v>1</v>
      </c>
      <c r="AE2839" s="62" t="n">
        <f aca="false">IF(AND(Dashboard!$C$9="Yes",AC2839=1),0,1)</f>
        <v>1</v>
      </c>
      <c r="AF2839" s="62" t="n">
        <v>1</v>
      </c>
    </row>
    <row r="2840" customFormat="false" ht="15" hidden="false" customHeight="false" outlineLevel="0" collapsed="false">
      <c r="A2840" s="62" t="n">
        <v>2839</v>
      </c>
      <c r="B2840" s="63" t="n">
        <v>46294.8103240741</v>
      </c>
      <c r="C2840" s="64" t="n">
        <v>46294</v>
      </c>
      <c r="D2840" s="62" t="s">
        <v>501</v>
      </c>
      <c r="E2840" s="62" t="s">
        <v>1155</v>
      </c>
      <c r="F2840" s="62" t="s">
        <v>1155</v>
      </c>
      <c r="G2840" s="62" t="s">
        <v>1156</v>
      </c>
      <c r="H2840" s="62" t="s">
        <v>59</v>
      </c>
      <c r="I2840" s="62" t="s">
        <v>47</v>
      </c>
      <c r="J2840" s="62" t="s">
        <v>146</v>
      </c>
      <c r="K2840" s="62" t="s">
        <v>209</v>
      </c>
      <c r="L2840" s="62" t="s">
        <v>148</v>
      </c>
      <c r="M2840" s="62" t="n">
        <v>0</v>
      </c>
      <c r="N2840" s="62" t="n">
        <v>1</v>
      </c>
      <c r="O2840" s="62" t="n">
        <v>1</v>
      </c>
      <c r="P2840" s="62" t="n">
        <v>1</v>
      </c>
      <c r="Q2840" s="62" t="n">
        <v>0</v>
      </c>
      <c r="R2840" s="62" t="n">
        <v>0</v>
      </c>
      <c r="S2840" s="62" t="n">
        <v>0</v>
      </c>
      <c r="T2840" s="62" t="n">
        <v>0</v>
      </c>
      <c r="U2840" s="62"/>
      <c r="V2840" s="62"/>
      <c r="W2840" s="62"/>
      <c r="X2840" s="62"/>
      <c r="Y2840" s="62"/>
      <c r="Z2840" s="62" t="s">
        <v>5170</v>
      </c>
      <c r="AA2840" s="62" t="s">
        <v>5171</v>
      </c>
      <c r="AB2840" s="62" t="n">
        <v>1</v>
      </c>
      <c r="AC2840" s="62" t="n">
        <v>0</v>
      </c>
      <c r="AD2840" s="62" t="n">
        <v>1</v>
      </c>
      <c r="AE2840" s="62" t="n">
        <f aca="false">IF(AND(Dashboard!$C$9="Yes",AC2840=1),0,1)</f>
        <v>1</v>
      </c>
      <c r="AF2840" s="62" t="n">
        <v>1</v>
      </c>
    </row>
    <row r="2841" customFormat="false" ht="15" hidden="false" customHeight="false" outlineLevel="0" collapsed="false">
      <c r="A2841" s="62" t="n">
        <v>2840</v>
      </c>
      <c r="B2841" s="63" t="n">
        <v>46294.8106944444</v>
      </c>
      <c r="C2841" s="64" t="n">
        <v>46294</v>
      </c>
      <c r="D2841" s="62" t="s">
        <v>501</v>
      </c>
      <c r="E2841" s="62" t="s">
        <v>2583</v>
      </c>
      <c r="F2841" s="62" t="s">
        <v>2583</v>
      </c>
      <c r="G2841" s="62" t="s">
        <v>2584</v>
      </c>
      <c r="H2841" s="62" t="s">
        <v>59</v>
      </c>
      <c r="I2841" s="62" t="s">
        <v>47</v>
      </c>
      <c r="J2841" s="62" t="s">
        <v>146</v>
      </c>
      <c r="K2841" s="62" t="s">
        <v>147</v>
      </c>
      <c r="L2841" s="62" t="s">
        <v>4</v>
      </c>
      <c r="M2841" s="62" t="n">
        <v>1</v>
      </c>
      <c r="N2841" s="62" t="n">
        <v>0</v>
      </c>
      <c r="O2841" s="62" t="n">
        <v>1</v>
      </c>
      <c r="P2841" s="62" t="n">
        <v>0</v>
      </c>
      <c r="Q2841" s="62" t="n">
        <v>0</v>
      </c>
      <c r="R2841" s="62" t="n">
        <v>0</v>
      </c>
      <c r="S2841" s="62" t="n">
        <v>0</v>
      </c>
      <c r="T2841" s="62" t="n">
        <v>0</v>
      </c>
      <c r="U2841" s="62" t="s">
        <v>2056</v>
      </c>
      <c r="V2841" s="62" t="s">
        <v>2057</v>
      </c>
      <c r="W2841" s="62" t="s">
        <v>15</v>
      </c>
      <c r="X2841" s="62" t="s">
        <v>2103</v>
      </c>
      <c r="Y2841" s="62" t="s">
        <v>2059</v>
      </c>
      <c r="Z2841" s="62" t="s">
        <v>5172</v>
      </c>
      <c r="AA2841" s="62" t="s">
        <v>5173</v>
      </c>
      <c r="AB2841" s="62" t="n">
        <v>1</v>
      </c>
      <c r="AC2841" s="62" t="n">
        <v>0</v>
      </c>
      <c r="AD2841" s="62" t="n">
        <v>1</v>
      </c>
      <c r="AE2841" s="62" t="n">
        <f aca="false">IF(AND(Dashboard!$C$9="Yes",AC2841=1),0,1)</f>
        <v>1</v>
      </c>
      <c r="AF2841" s="62" t="n">
        <v>1</v>
      </c>
    </row>
    <row r="2842" customFormat="false" ht="15" hidden="false" customHeight="false" outlineLevel="0" collapsed="false">
      <c r="A2842" s="62" t="n">
        <v>2841</v>
      </c>
      <c r="B2842" s="63" t="n">
        <v>46294.8107523148</v>
      </c>
      <c r="C2842" s="64" t="n">
        <v>46294</v>
      </c>
      <c r="D2842" s="62" t="s">
        <v>501</v>
      </c>
      <c r="E2842" s="62" t="s">
        <v>999</v>
      </c>
      <c r="F2842" s="62" t="s">
        <v>999</v>
      </c>
      <c r="G2842" s="62" t="s">
        <v>1000</v>
      </c>
      <c r="H2842" s="62" t="s">
        <v>46</v>
      </c>
      <c r="I2842" s="62" t="s">
        <v>47</v>
      </c>
      <c r="J2842" s="62" t="s">
        <v>146</v>
      </c>
      <c r="K2842" s="62" t="s">
        <v>209</v>
      </c>
      <c r="L2842" s="62" t="s">
        <v>148</v>
      </c>
      <c r="M2842" s="62" t="n">
        <v>0</v>
      </c>
      <c r="N2842" s="62" t="n">
        <v>1</v>
      </c>
      <c r="O2842" s="62" t="n">
        <v>1</v>
      </c>
      <c r="P2842" s="62" t="n">
        <v>1</v>
      </c>
      <c r="Q2842" s="62" t="n">
        <v>0</v>
      </c>
      <c r="R2842" s="62" t="n">
        <v>0</v>
      </c>
      <c r="S2842" s="62" t="n">
        <v>0</v>
      </c>
      <c r="T2842" s="62" t="n">
        <v>0</v>
      </c>
      <c r="U2842" s="62"/>
      <c r="V2842" s="62"/>
      <c r="W2842" s="62"/>
      <c r="X2842" s="62"/>
      <c r="Y2842" s="62"/>
      <c r="Z2842" s="62" t="s">
        <v>5174</v>
      </c>
      <c r="AA2842" s="62" t="s">
        <v>5175</v>
      </c>
      <c r="AB2842" s="62" t="n">
        <v>1</v>
      </c>
      <c r="AC2842" s="62" t="n">
        <v>0</v>
      </c>
      <c r="AD2842" s="62" t="n">
        <v>1</v>
      </c>
      <c r="AE2842" s="62" t="n">
        <f aca="false">IF(AND(Dashboard!$C$9="Yes",AC2842=1),0,1)</f>
        <v>1</v>
      </c>
      <c r="AF2842" s="62" t="n">
        <v>1</v>
      </c>
    </row>
    <row r="2843" customFormat="false" ht="15" hidden="false" customHeight="false" outlineLevel="0" collapsed="false">
      <c r="A2843" s="62" t="n">
        <v>2842</v>
      </c>
      <c r="B2843" s="63" t="n">
        <v>46294.8120601852</v>
      </c>
      <c r="C2843" s="64" t="n">
        <v>46294</v>
      </c>
      <c r="D2843" s="62" t="s">
        <v>501</v>
      </c>
      <c r="E2843" s="62" t="s">
        <v>2583</v>
      </c>
      <c r="F2843" s="62" t="s">
        <v>2583</v>
      </c>
      <c r="G2843" s="62" t="s">
        <v>2584</v>
      </c>
      <c r="H2843" s="62" t="s">
        <v>59</v>
      </c>
      <c r="I2843" s="62" t="s">
        <v>47</v>
      </c>
      <c r="J2843" s="62" t="s">
        <v>146</v>
      </c>
      <c r="K2843" s="62" t="s">
        <v>147</v>
      </c>
      <c r="L2843" s="62" t="s">
        <v>148</v>
      </c>
      <c r="M2843" s="62" t="n">
        <v>0</v>
      </c>
      <c r="N2843" s="62" t="n">
        <v>2</v>
      </c>
      <c r="O2843" s="62" t="n">
        <v>2</v>
      </c>
      <c r="P2843" s="62" t="n">
        <v>0</v>
      </c>
      <c r="Q2843" s="62" t="n">
        <v>1</v>
      </c>
      <c r="R2843" s="62" t="n">
        <v>0</v>
      </c>
      <c r="S2843" s="62" t="n">
        <v>1</v>
      </c>
      <c r="T2843" s="62" t="n">
        <v>0</v>
      </c>
      <c r="U2843" s="62"/>
      <c r="V2843" s="62"/>
      <c r="W2843" s="62"/>
      <c r="X2843" s="62"/>
      <c r="Y2843" s="62"/>
      <c r="Z2843" s="62" t="s">
        <v>5172</v>
      </c>
      <c r="AA2843" s="62" t="s">
        <v>5176</v>
      </c>
      <c r="AB2843" s="62" t="n">
        <v>1</v>
      </c>
      <c r="AC2843" s="62" t="n">
        <v>0</v>
      </c>
      <c r="AD2843" s="62" t="n">
        <v>1</v>
      </c>
      <c r="AE2843" s="62" t="n">
        <f aca="false">IF(AND(Dashboard!$C$9="Yes",AC2843=1),0,1)</f>
        <v>1</v>
      </c>
      <c r="AF2843" s="62" t="n">
        <v>0</v>
      </c>
    </row>
    <row r="2844" customFormat="false" ht="15" hidden="false" customHeight="false" outlineLevel="0" collapsed="false">
      <c r="A2844" s="62" t="n">
        <v>2843</v>
      </c>
      <c r="B2844" s="63" t="n">
        <v>46294.8123032407</v>
      </c>
      <c r="C2844" s="64" t="n">
        <v>46294</v>
      </c>
      <c r="D2844" s="62" t="s">
        <v>501</v>
      </c>
      <c r="E2844" s="62" t="s">
        <v>1616</v>
      </c>
      <c r="F2844" s="62" t="s">
        <v>1616</v>
      </c>
      <c r="G2844" s="62" t="s">
        <v>1617</v>
      </c>
      <c r="H2844" s="62" t="s">
        <v>51</v>
      </c>
      <c r="I2844" s="62" t="s">
        <v>47</v>
      </c>
      <c r="J2844" s="62" t="s">
        <v>146</v>
      </c>
      <c r="K2844" s="62" t="s">
        <v>175</v>
      </c>
      <c r="L2844" s="62" t="s">
        <v>148</v>
      </c>
      <c r="M2844" s="62" t="n">
        <v>0</v>
      </c>
      <c r="N2844" s="62" t="n">
        <v>1</v>
      </c>
      <c r="O2844" s="62" t="n">
        <v>1</v>
      </c>
      <c r="P2844" s="62" t="n">
        <v>1</v>
      </c>
      <c r="Q2844" s="62" t="n">
        <v>0</v>
      </c>
      <c r="R2844" s="62" t="n">
        <v>0</v>
      </c>
      <c r="S2844" s="62" t="n">
        <v>0</v>
      </c>
      <c r="T2844" s="62" t="n">
        <v>0</v>
      </c>
      <c r="U2844" s="62"/>
      <c r="V2844" s="62"/>
      <c r="W2844" s="62"/>
      <c r="X2844" s="62"/>
      <c r="Y2844" s="62"/>
      <c r="Z2844" s="62" t="s">
        <v>5177</v>
      </c>
      <c r="AA2844" s="62" t="s">
        <v>5178</v>
      </c>
      <c r="AB2844" s="62" t="n">
        <v>1</v>
      </c>
      <c r="AC2844" s="62" t="n">
        <v>0</v>
      </c>
      <c r="AD2844" s="62" t="n">
        <v>1</v>
      </c>
      <c r="AE2844" s="62" t="n">
        <f aca="false">IF(AND(Dashboard!$C$9="Yes",AC2844=1),0,1)</f>
        <v>1</v>
      </c>
      <c r="AF2844" s="62" t="n">
        <v>1</v>
      </c>
    </row>
    <row r="2845" customFormat="false" ht="15" hidden="false" customHeight="false" outlineLevel="0" collapsed="false">
      <c r="A2845" s="62" t="n">
        <v>2844</v>
      </c>
      <c r="B2845" s="63" t="n">
        <v>46294.8205324074</v>
      </c>
      <c r="C2845" s="64" t="n">
        <v>46294</v>
      </c>
      <c r="D2845" s="62" t="s">
        <v>501</v>
      </c>
      <c r="E2845" s="62" t="s">
        <v>4242</v>
      </c>
      <c r="F2845" s="62" t="s">
        <v>4242</v>
      </c>
      <c r="G2845" s="62" t="s">
        <v>4243</v>
      </c>
      <c r="H2845" s="62" t="s">
        <v>44</v>
      </c>
      <c r="I2845" s="62" t="s">
        <v>49</v>
      </c>
      <c r="J2845" s="62" t="s">
        <v>146</v>
      </c>
      <c r="K2845" s="62" t="s">
        <v>147</v>
      </c>
      <c r="L2845" s="62" t="s">
        <v>148</v>
      </c>
      <c r="M2845" s="62" t="n">
        <v>0</v>
      </c>
      <c r="N2845" s="62" t="n">
        <v>1</v>
      </c>
      <c r="O2845" s="62" t="n">
        <v>1</v>
      </c>
      <c r="P2845" s="62" t="n">
        <v>1</v>
      </c>
      <c r="Q2845" s="62" t="n">
        <v>0</v>
      </c>
      <c r="R2845" s="62" t="n">
        <v>0</v>
      </c>
      <c r="S2845" s="62" t="n">
        <v>0</v>
      </c>
      <c r="T2845" s="62" t="n">
        <v>0</v>
      </c>
      <c r="U2845" s="62"/>
      <c r="V2845" s="62"/>
      <c r="W2845" s="62"/>
      <c r="X2845" s="62"/>
      <c r="Y2845" s="62"/>
      <c r="Z2845" s="62" t="s">
        <v>5179</v>
      </c>
      <c r="AA2845" s="62" t="s">
        <v>5180</v>
      </c>
      <c r="AB2845" s="62" t="n">
        <v>1</v>
      </c>
      <c r="AC2845" s="62" t="n">
        <v>0</v>
      </c>
      <c r="AD2845" s="62" t="n">
        <v>1</v>
      </c>
      <c r="AE2845" s="62" t="n">
        <f aca="false">IF(AND(Dashboard!$C$9="Yes",AC2845=1),0,1)</f>
        <v>1</v>
      </c>
      <c r="AF2845" s="62" t="n">
        <v>0</v>
      </c>
    </row>
    <row r="2846" customFormat="false" ht="15" hidden="false" customHeight="false" outlineLevel="0" collapsed="false">
      <c r="A2846" s="62" t="n">
        <v>2845</v>
      </c>
      <c r="B2846" s="63" t="n">
        <v>46294.8219560185</v>
      </c>
      <c r="C2846" s="64" t="n">
        <v>46294</v>
      </c>
      <c r="D2846" s="62" t="s">
        <v>501</v>
      </c>
      <c r="E2846" s="62" t="s">
        <v>939</v>
      </c>
      <c r="F2846" s="62" t="s">
        <v>939</v>
      </c>
      <c r="G2846" s="62" t="s">
        <v>940</v>
      </c>
      <c r="H2846" s="62" t="s">
        <v>57</v>
      </c>
      <c r="I2846" s="62" t="s">
        <v>47</v>
      </c>
      <c r="J2846" s="62" t="s">
        <v>146</v>
      </c>
      <c r="K2846" s="62" t="s">
        <v>147</v>
      </c>
      <c r="L2846" s="62" t="s">
        <v>148</v>
      </c>
      <c r="M2846" s="62" t="n">
        <v>0</v>
      </c>
      <c r="N2846" s="62" t="n">
        <v>1</v>
      </c>
      <c r="O2846" s="62" t="n">
        <v>1</v>
      </c>
      <c r="P2846" s="62" t="n">
        <v>1</v>
      </c>
      <c r="Q2846" s="62" t="n">
        <v>0</v>
      </c>
      <c r="R2846" s="62" t="n">
        <v>0</v>
      </c>
      <c r="S2846" s="62" t="n">
        <v>0</v>
      </c>
      <c r="T2846" s="62" t="n">
        <v>0</v>
      </c>
      <c r="U2846" s="62"/>
      <c r="V2846" s="62"/>
      <c r="W2846" s="62"/>
      <c r="X2846" s="62"/>
      <c r="Y2846" s="62"/>
      <c r="Z2846" s="62" t="s">
        <v>5181</v>
      </c>
      <c r="AA2846" s="62" t="s">
        <v>5182</v>
      </c>
      <c r="AB2846" s="62" t="n">
        <v>1</v>
      </c>
      <c r="AC2846" s="62" t="n">
        <v>0</v>
      </c>
      <c r="AD2846" s="62" t="n">
        <v>1</v>
      </c>
      <c r="AE2846" s="62" t="n">
        <f aca="false">IF(AND(Dashboard!$C$9="Yes",AC2846=1),0,1)</f>
        <v>1</v>
      </c>
      <c r="AF2846" s="62" t="n">
        <v>1</v>
      </c>
    </row>
    <row r="2847" customFormat="false" ht="15" hidden="false" customHeight="false" outlineLevel="0" collapsed="false">
      <c r="A2847" s="62" t="n">
        <v>2846</v>
      </c>
      <c r="B2847" s="63" t="n">
        <v>46294.8319212963</v>
      </c>
      <c r="C2847" s="64" t="n">
        <v>46294</v>
      </c>
      <c r="D2847" s="62" t="s">
        <v>501</v>
      </c>
      <c r="E2847" s="62" t="s">
        <v>4258</v>
      </c>
      <c r="F2847" s="62" t="s">
        <v>4258</v>
      </c>
      <c r="G2847" s="62" t="s">
        <v>4259</v>
      </c>
      <c r="H2847" s="62" t="s">
        <v>44</v>
      </c>
      <c r="I2847" s="62" t="s">
        <v>49</v>
      </c>
      <c r="J2847" s="62" t="s">
        <v>146</v>
      </c>
      <c r="K2847" s="62" t="s">
        <v>147</v>
      </c>
      <c r="L2847" s="62" t="s">
        <v>148</v>
      </c>
      <c r="M2847" s="62" t="n">
        <v>0</v>
      </c>
      <c r="N2847" s="62" t="n">
        <v>1</v>
      </c>
      <c r="O2847" s="62" t="n">
        <v>1</v>
      </c>
      <c r="P2847" s="62" t="n">
        <v>0</v>
      </c>
      <c r="Q2847" s="62" t="n">
        <v>0</v>
      </c>
      <c r="R2847" s="62" t="n">
        <v>1</v>
      </c>
      <c r="S2847" s="62" t="n">
        <v>0</v>
      </c>
      <c r="T2847" s="62" t="n">
        <v>0</v>
      </c>
      <c r="U2847" s="62"/>
      <c r="V2847" s="62"/>
      <c r="W2847" s="62"/>
      <c r="X2847" s="62"/>
      <c r="Y2847" s="62"/>
      <c r="Z2847" s="62" t="s">
        <v>5183</v>
      </c>
      <c r="AA2847" s="62" t="s">
        <v>5184</v>
      </c>
      <c r="AB2847" s="62" t="n">
        <v>1</v>
      </c>
      <c r="AC2847" s="62" t="n">
        <v>0</v>
      </c>
      <c r="AD2847" s="62" t="n">
        <v>1</v>
      </c>
      <c r="AE2847" s="62" t="n">
        <f aca="false">IF(AND(Dashboard!$C$9="Yes",AC2847=1),0,1)</f>
        <v>1</v>
      </c>
      <c r="AF2847" s="62" t="n">
        <v>0</v>
      </c>
    </row>
    <row r="2848" customFormat="false" ht="15" hidden="false" customHeight="false" outlineLevel="0" collapsed="false">
      <c r="A2848" s="62" t="n">
        <v>2847</v>
      </c>
      <c r="B2848" s="63" t="n">
        <v>46294.8328240741</v>
      </c>
      <c r="C2848" s="64" t="n">
        <v>46294</v>
      </c>
      <c r="D2848" s="62" t="s">
        <v>501</v>
      </c>
      <c r="E2848" s="62" t="s">
        <v>3061</v>
      </c>
      <c r="F2848" s="62" t="s">
        <v>3061</v>
      </c>
      <c r="G2848" s="62" t="s">
        <v>3062</v>
      </c>
      <c r="H2848" s="62" t="s">
        <v>44</v>
      </c>
      <c r="I2848" s="62" t="s">
        <v>49</v>
      </c>
      <c r="J2848" s="62" t="s">
        <v>146</v>
      </c>
      <c r="K2848" s="62" t="s">
        <v>147</v>
      </c>
      <c r="L2848" s="62" t="s">
        <v>4</v>
      </c>
      <c r="M2848" s="62" t="n">
        <v>1</v>
      </c>
      <c r="N2848" s="62" t="n">
        <v>0</v>
      </c>
      <c r="O2848" s="62" t="n">
        <v>1</v>
      </c>
      <c r="P2848" s="62" t="n">
        <v>0</v>
      </c>
      <c r="Q2848" s="62" t="n">
        <v>0</v>
      </c>
      <c r="R2848" s="62" t="n">
        <v>0</v>
      </c>
      <c r="S2848" s="62" t="n">
        <v>0</v>
      </c>
      <c r="T2848" s="62" t="n">
        <v>0</v>
      </c>
      <c r="U2848" s="62" t="s">
        <v>2056</v>
      </c>
      <c r="V2848" s="62" t="s">
        <v>2057</v>
      </c>
      <c r="W2848" s="62" t="s">
        <v>15</v>
      </c>
      <c r="X2848" s="62" t="s">
        <v>2253</v>
      </c>
      <c r="Y2848" s="62" t="s">
        <v>2059</v>
      </c>
      <c r="Z2848" s="62" t="s">
        <v>5185</v>
      </c>
      <c r="AA2848" s="62" t="s">
        <v>5186</v>
      </c>
      <c r="AB2848" s="62" t="n">
        <v>1</v>
      </c>
      <c r="AC2848" s="62" t="n">
        <v>0</v>
      </c>
      <c r="AD2848" s="62" t="n">
        <v>1</v>
      </c>
      <c r="AE2848" s="62" t="n">
        <f aca="false">IF(AND(Dashboard!$C$9="Yes",AC2848=1),0,1)</f>
        <v>1</v>
      </c>
      <c r="AF2848" s="62" t="n">
        <v>0</v>
      </c>
    </row>
    <row r="2849" customFormat="false" ht="15" hidden="false" customHeight="false" outlineLevel="0" collapsed="false">
      <c r="A2849" s="62" t="n">
        <v>2848</v>
      </c>
      <c r="B2849" s="63" t="n">
        <v>46294.8333217593</v>
      </c>
      <c r="C2849" s="64" t="n">
        <v>46294</v>
      </c>
      <c r="D2849" s="62" t="s">
        <v>501</v>
      </c>
      <c r="E2849" s="62" t="s">
        <v>4258</v>
      </c>
      <c r="F2849" s="62" t="s">
        <v>4258</v>
      </c>
      <c r="G2849" s="62" t="s">
        <v>4259</v>
      </c>
      <c r="H2849" s="62" t="s">
        <v>44</v>
      </c>
      <c r="I2849" s="62" t="s">
        <v>49</v>
      </c>
      <c r="J2849" s="62" t="s">
        <v>146</v>
      </c>
      <c r="K2849" s="62" t="s">
        <v>147</v>
      </c>
      <c r="L2849" s="62" t="s">
        <v>148</v>
      </c>
      <c r="M2849" s="62" t="n">
        <v>0</v>
      </c>
      <c r="N2849" s="62" t="n">
        <v>1</v>
      </c>
      <c r="O2849" s="62" t="n">
        <v>1</v>
      </c>
      <c r="P2849" s="62" t="n">
        <v>0</v>
      </c>
      <c r="Q2849" s="62" t="n">
        <v>0</v>
      </c>
      <c r="R2849" s="62" t="n">
        <v>1</v>
      </c>
      <c r="S2849" s="62" t="n">
        <v>0</v>
      </c>
      <c r="T2849" s="62" t="n">
        <v>0</v>
      </c>
      <c r="U2849" s="62"/>
      <c r="V2849" s="62"/>
      <c r="W2849" s="62"/>
      <c r="X2849" s="62"/>
      <c r="Y2849" s="62"/>
      <c r="Z2849" s="62" t="s">
        <v>5187</v>
      </c>
      <c r="AA2849" s="62" t="s">
        <v>5188</v>
      </c>
      <c r="AB2849" s="62" t="n">
        <v>1</v>
      </c>
      <c r="AC2849" s="62" t="n">
        <v>0</v>
      </c>
      <c r="AD2849" s="62" t="n">
        <v>1</v>
      </c>
      <c r="AE2849" s="62" t="n">
        <f aca="false">IF(AND(Dashboard!$C$9="Yes",AC2849=1),0,1)</f>
        <v>1</v>
      </c>
      <c r="AF2849" s="62" t="n">
        <v>0</v>
      </c>
    </row>
    <row r="2850" customFormat="false" ht="15" hidden="false" customHeight="false" outlineLevel="0" collapsed="false">
      <c r="A2850" s="62" t="n">
        <v>2849</v>
      </c>
      <c r="B2850" s="63" t="n">
        <v>46294.847974537</v>
      </c>
      <c r="C2850" s="64" t="n">
        <v>46294</v>
      </c>
      <c r="D2850" s="62" t="s">
        <v>501</v>
      </c>
      <c r="E2850" s="62" t="s">
        <v>5189</v>
      </c>
      <c r="F2850" s="62" t="s">
        <v>5190</v>
      </c>
      <c r="G2850" s="62" t="s">
        <v>153</v>
      </c>
      <c r="H2850" s="62" t="s">
        <v>153</v>
      </c>
      <c r="I2850" s="62" t="s">
        <v>153</v>
      </c>
      <c r="J2850" s="62" t="s">
        <v>64</v>
      </c>
      <c r="K2850" s="62" t="s">
        <v>64</v>
      </c>
      <c r="L2850" s="62" t="s">
        <v>148</v>
      </c>
      <c r="M2850" s="62" t="n">
        <v>0</v>
      </c>
      <c r="N2850" s="62" t="n">
        <v>1</v>
      </c>
      <c r="O2850" s="62" t="n">
        <v>1</v>
      </c>
      <c r="P2850" s="62" t="n">
        <v>0</v>
      </c>
      <c r="Q2850" s="62" t="n">
        <v>1</v>
      </c>
      <c r="R2850" s="62" t="n">
        <v>0</v>
      </c>
      <c r="S2850" s="62" t="n">
        <v>0</v>
      </c>
      <c r="T2850" s="62" t="n">
        <v>0</v>
      </c>
      <c r="U2850" s="62"/>
      <c r="V2850" s="62"/>
      <c r="W2850" s="62"/>
      <c r="X2850" s="62"/>
      <c r="Y2850" s="62"/>
      <c r="Z2850" s="62" t="s">
        <v>5191</v>
      </c>
      <c r="AA2850" s="62" t="s">
        <v>5192</v>
      </c>
      <c r="AB2850" s="62" t="n">
        <v>1</v>
      </c>
      <c r="AC2850" s="62" t="n">
        <v>0</v>
      </c>
      <c r="AD2850" s="62" t="n">
        <v>0</v>
      </c>
      <c r="AE2850" s="62" t="n">
        <f aca="false">IF(AND(Dashboard!$C$9="Yes",AC2850=1),0,1)</f>
        <v>1</v>
      </c>
      <c r="AF2850" s="62" t="n">
        <v>1</v>
      </c>
    </row>
    <row r="2851" customFormat="false" ht="15" hidden="false" customHeight="false" outlineLevel="0" collapsed="false">
      <c r="A2851" s="62" t="n">
        <v>2850</v>
      </c>
      <c r="B2851" s="63" t="n">
        <v>46294.8491087963</v>
      </c>
      <c r="C2851" s="64" t="n">
        <v>46294</v>
      </c>
      <c r="D2851" s="62" t="s">
        <v>501</v>
      </c>
      <c r="E2851" s="62" t="s">
        <v>371</v>
      </c>
      <c r="F2851" s="62" t="s">
        <v>371</v>
      </c>
      <c r="G2851" s="62" t="s">
        <v>372</v>
      </c>
      <c r="H2851" s="62" t="s">
        <v>59</v>
      </c>
      <c r="I2851" s="62" t="s">
        <v>47</v>
      </c>
      <c r="J2851" s="62" t="s">
        <v>146</v>
      </c>
      <c r="K2851" s="62" t="s">
        <v>147</v>
      </c>
      <c r="L2851" s="62" t="s">
        <v>148</v>
      </c>
      <c r="M2851" s="62" t="n">
        <v>0</v>
      </c>
      <c r="N2851" s="62" t="n">
        <v>1</v>
      </c>
      <c r="O2851" s="62" t="n">
        <v>1</v>
      </c>
      <c r="P2851" s="62" t="n">
        <v>1</v>
      </c>
      <c r="Q2851" s="62" t="n">
        <v>0</v>
      </c>
      <c r="R2851" s="62" t="n">
        <v>0</v>
      </c>
      <c r="S2851" s="62" t="n">
        <v>0</v>
      </c>
      <c r="T2851" s="62" t="n">
        <v>0</v>
      </c>
      <c r="U2851" s="62"/>
      <c r="V2851" s="62"/>
      <c r="W2851" s="62"/>
      <c r="X2851" s="62"/>
      <c r="Y2851" s="62"/>
      <c r="Z2851" s="62" t="s">
        <v>5193</v>
      </c>
      <c r="AA2851" s="62" t="s">
        <v>5194</v>
      </c>
      <c r="AB2851" s="62" t="n">
        <v>1</v>
      </c>
      <c r="AC2851" s="62" t="n">
        <v>0</v>
      </c>
      <c r="AD2851" s="62" t="n">
        <v>1</v>
      </c>
      <c r="AE2851" s="62" t="n">
        <f aca="false">IF(AND(Dashboard!$C$9="Yes",AC2851=1),0,1)</f>
        <v>1</v>
      </c>
      <c r="AF2851" s="62" t="n">
        <v>1</v>
      </c>
    </row>
    <row r="2852" customFormat="false" ht="15" hidden="false" customHeight="false" outlineLevel="0" collapsed="false">
      <c r="A2852" s="62" t="n">
        <v>2851</v>
      </c>
      <c r="B2852" s="63" t="n">
        <v>46294.8500231481</v>
      </c>
      <c r="C2852" s="64" t="n">
        <v>46294</v>
      </c>
      <c r="D2852" s="62" t="s">
        <v>501</v>
      </c>
      <c r="E2852" s="62" t="s">
        <v>2637</v>
      </c>
      <c r="F2852" s="62" t="s">
        <v>2637</v>
      </c>
      <c r="G2852" s="62" t="s">
        <v>2638</v>
      </c>
      <c r="H2852" s="62" t="s">
        <v>52</v>
      </c>
      <c r="I2852" s="62" t="s">
        <v>47</v>
      </c>
      <c r="J2852" s="62" t="s">
        <v>146</v>
      </c>
      <c r="K2852" s="62" t="s">
        <v>147</v>
      </c>
      <c r="L2852" s="62" t="s">
        <v>148</v>
      </c>
      <c r="M2852" s="62" t="n">
        <v>0</v>
      </c>
      <c r="N2852" s="62" t="n">
        <v>1</v>
      </c>
      <c r="O2852" s="62" t="n">
        <v>1</v>
      </c>
      <c r="P2852" s="62" t="n">
        <v>0</v>
      </c>
      <c r="Q2852" s="62" t="n">
        <v>1</v>
      </c>
      <c r="R2852" s="62" t="n">
        <v>0</v>
      </c>
      <c r="S2852" s="62" t="n">
        <v>0</v>
      </c>
      <c r="T2852" s="62" t="n">
        <v>0</v>
      </c>
      <c r="U2852" s="62"/>
      <c r="V2852" s="62"/>
      <c r="W2852" s="62"/>
      <c r="X2852" s="62"/>
      <c r="Y2852" s="62"/>
      <c r="Z2852" s="62" t="s">
        <v>5195</v>
      </c>
      <c r="AA2852" s="62" t="s">
        <v>5196</v>
      </c>
      <c r="AB2852" s="62" t="n">
        <v>1</v>
      </c>
      <c r="AC2852" s="62" t="n">
        <v>0</v>
      </c>
      <c r="AD2852" s="62" t="n">
        <v>1</v>
      </c>
      <c r="AE2852" s="62" t="n">
        <f aca="false">IF(AND(Dashboard!$C$9="Yes",AC2852=1),0,1)</f>
        <v>1</v>
      </c>
      <c r="AF2852" s="62" t="n">
        <v>1</v>
      </c>
    </row>
    <row r="2853" customFormat="false" ht="15" hidden="false" customHeight="false" outlineLevel="0" collapsed="false">
      <c r="A2853" s="62" t="n">
        <v>2852</v>
      </c>
      <c r="B2853" s="63" t="n">
        <v>46294.850150463</v>
      </c>
      <c r="C2853" s="64" t="n">
        <v>46294</v>
      </c>
      <c r="D2853" s="62" t="s">
        <v>501</v>
      </c>
      <c r="E2853" s="62" t="s">
        <v>371</v>
      </c>
      <c r="F2853" s="62" t="s">
        <v>371</v>
      </c>
      <c r="G2853" s="62" t="s">
        <v>372</v>
      </c>
      <c r="H2853" s="62" t="s">
        <v>59</v>
      </c>
      <c r="I2853" s="62" t="s">
        <v>47</v>
      </c>
      <c r="J2853" s="62" t="s">
        <v>146</v>
      </c>
      <c r="K2853" s="62" t="s">
        <v>147</v>
      </c>
      <c r="L2853" s="62" t="s">
        <v>4</v>
      </c>
      <c r="M2853" s="62" t="n">
        <v>1</v>
      </c>
      <c r="N2853" s="62" t="n">
        <v>0</v>
      </c>
      <c r="O2853" s="62" t="n">
        <v>1</v>
      </c>
      <c r="P2853" s="62" t="n">
        <v>0</v>
      </c>
      <c r="Q2853" s="62" t="n">
        <v>0</v>
      </c>
      <c r="R2853" s="62" t="n">
        <v>0</v>
      </c>
      <c r="S2853" s="62" t="n">
        <v>0</v>
      </c>
      <c r="T2853" s="62" t="n">
        <v>0</v>
      </c>
      <c r="U2853" s="62" t="s">
        <v>15</v>
      </c>
      <c r="V2853" s="62" t="s">
        <v>2068</v>
      </c>
      <c r="W2853" s="62"/>
      <c r="X2853" s="62" t="s">
        <v>3214</v>
      </c>
      <c r="Y2853" s="62" t="s">
        <v>2059</v>
      </c>
      <c r="Z2853" s="62" t="s">
        <v>5197</v>
      </c>
      <c r="AA2853" s="62" t="s">
        <v>5198</v>
      </c>
      <c r="AB2853" s="62" t="n">
        <v>1</v>
      </c>
      <c r="AC2853" s="62" t="n">
        <v>0</v>
      </c>
      <c r="AD2853" s="62" t="n">
        <v>1</v>
      </c>
      <c r="AE2853" s="62" t="n">
        <f aca="false">IF(AND(Dashboard!$C$9="Yes",AC2853=1),0,1)</f>
        <v>1</v>
      </c>
      <c r="AF2853" s="62" t="n">
        <v>0</v>
      </c>
    </row>
    <row r="2854" customFormat="false" ht="15" hidden="false" customHeight="false" outlineLevel="0" collapsed="false">
      <c r="A2854" s="62" t="n">
        <v>2853</v>
      </c>
      <c r="B2854" s="63" t="n">
        <v>46294.8528125</v>
      </c>
      <c r="C2854" s="64" t="n">
        <v>46294</v>
      </c>
      <c r="D2854" s="62" t="s">
        <v>501</v>
      </c>
      <c r="E2854" s="62" t="s">
        <v>2583</v>
      </c>
      <c r="F2854" s="62" t="s">
        <v>2583</v>
      </c>
      <c r="G2854" s="62" t="s">
        <v>2584</v>
      </c>
      <c r="H2854" s="62" t="s">
        <v>59</v>
      </c>
      <c r="I2854" s="62" t="s">
        <v>47</v>
      </c>
      <c r="J2854" s="62" t="s">
        <v>146</v>
      </c>
      <c r="K2854" s="62" t="s">
        <v>147</v>
      </c>
      <c r="L2854" s="62" t="s">
        <v>148</v>
      </c>
      <c r="M2854" s="62" t="n">
        <v>0</v>
      </c>
      <c r="N2854" s="62" t="n">
        <v>1</v>
      </c>
      <c r="O2854" s="62" t="n">
        <v>1</v>
      </c>
      <c r="P2854" s="62" t="n">
        <v>0</v>
      </c>
      <c r="Q2854" s="62" t="n">
        <v>1</v>
      </c>
      <c r="R2854" s="62" t="n">
        <v>0</v>
      </c>
      <c r="S2854" s="62" t="n">
        <v>0</v>
      </c>
      <c r="T2854" s="62" t="n">
        <v>0</v>
      </c>
      <c r="U2854" s="62"/>
      <c r="V2854" s="62"/>
      <c r="W2854" s="62"/>
      <c r="X2854" s="62"/>
      <c r="Y2854" s="62"/>
      <c r="Z2854" s="62" t="s">
        <v>5199</v>
      </c>
      <c r="AA2854" s="62" t="s">
        <v>5200</v>
      </c>
      <c r="AB2854" s="62" t="n">
        <v>1</v>
      </c>
      <c r="AC2854" s="62" t="n">
        <v>0</v>
      </c>
      <c r="AD2854" s="62" t="n">
        <v>1</v>
      </c>
      <c r="AE2854" s="62" t="n">
        <f aca="false">IF(AND(Dashboard!$C$9="Yes",AC2854=1),0,1)</f>
        <v>1</v>
      </c>
      <c r="AF2854" s="62" t="n">
        <v>0</v>
      </c>
    </row>
    <row r="2855" customFormat="false" ht="15" hidden="false" customHeight="false" outlineLevel="0" collapsed="false">
      <c r="A2855" s="62" t="n">
        <v>2854</v>
      </c>
      <c r="B2855" s="63" t="n">
        <v>46294.9113541667</v>
      </c>
      <c r="C2855" s="64" t="n">
        <v>46294</v>
      </c>
      <c r="D2855" s="62" t="s">
        <v>501</v>
      </c>
      <c r="E2855" s="62" t="s">
        <v>4329</v>
      </c>
      <c r="F2855" s="62" t="s">
        <v>4329</v>
      </c>
      <c r="G2855" s="62" t="s">
        <v>4330</v>
      </c>
      <c r="H2855" s="62" t="s">
        <v>44</v>
      </c>
      <c r="I2855" s="62" t="s">
        <v>49</v>
      </c>
      <c r="J2855" s="62" t="s">
        <v>146</v>
      </c>
      <c r="K2855" s="62" t="s">
        <v>147</v>
      </c>
      <c r="L2855" s="62" t="s">
        <v>148</v>
      </c>
      <c r="M2855" s="62" t="n">
        <v>0</v>
      </c>
      <c r="N2855" s="62" t="n">
        <v>1</v>
      </c>
      <c r="O2855" s="62" t="n">
        <v>1</v>
      </c>
      <c r="P2855" s="62" t="n">
        <v>0</v>
      </c>
      <c r="Q2855" s="62" t="n">
        <v>1</v>
      </c>
      <c r="R2855" s="62" t="n">
        <v>0</v>
      </c>
      <c r="S2855" s="62" t="n">
        <v>0</v>
      </c>
      <c r="T2855" s="62" t="n">
        <v>0</v>
      </c>
      <c r="U2855" s="62"/>
      <c r="V2855" s="62"/>
      <c r="W2855" s="62"/>
      <c r="X2855" s="62"/>
      <c r="Y2855" s="62"/>
      <c r="Z2855" s="62" t="s">
        <v>5201</v>
      </c>
      <c r="AA2855" s="62" t="s">
        <v>5202</v>
      </c>
      <c r="AB2855" s="62" t="n">
        <v>1</v>
      </c>
      <c r="AC2855" s="62" t="n">
        <v>0</v>
      </c>
      <c r="AD2855" s="62" t="n">
        <v>1</v>
      </c>
      <c r="AE2855" s="62" t="n">
        <f aca="false">IF(AND(Dashboard!$C$9="Yes",AC2855=1),0,1)</f>
        <v>1</v>
      </c>
      <c r="AF2855" s="62" t="n">
        <v>1</v>
      </c>
    </row>
    <row r="2856" customFormat="false" ht="15" hidden="false" customHeight="false" outlineLevel="0" collapsed="false">
      <c r="A2856" s="62" t="n">
        <v>2855</v>
      </c>
      <c r="B2856" s="63" t="n">
        <v>46294.9122569444</v>
      </c>
      <c r="C2856" s="64" t="n">
        <v>46294</v>
      </c>
      <c r="D2856" s="62" t="s">
        <v>501</v>
      </c>
      <c r="E2856" s="62" t="s">
        <v>4391</v>
      </c>
      <c r="F2856" s="62" t="s">
        <v>4391</v>
      </c>
      <c r="G2856" s="62" t="s">
        <v>4392</v>
      </c>
      <c r="H2856" s="62" t="s">
        <v>44</v>
      </c>
      <c r="I2856" s="62" t="s">
        <v>49</v>
      </c>
      <c r="J2856" s="62" t="s">
        <v>146</v>
      </c>
      <c r="K2856" s="62" t="s">
        <v>147</v>
      </c>
      <c r="L2856" s="62" t="s">
        <v>148</v>
      </c>
      <c r="M2856" s="62" t="n">
        <v>0</v>
      </c>
      <c r="N2856" s="62" t="n">
        <v>1</v>
      </c>
      <c r="O2856" s="62" t="n">
        <v>1</v>
      </c>
      <c r="P2856" s="62" t="n">
        <v>1</v>
      </c>
      <c r="Q2856" s="62" t="n">
        <v>0</v>
      </c>
      <c r="R2856" s="62" t="n">
        <v>0</v>
      </c>
      <c r="S2856" s="62" t="n">
        <v>0</v>
      </c>
      <c r="T2856" s="62" t="n">
        <v>0</v>
      </c>
      <c r="U2856" s="62"/>
      <c r="V2856" s="62"/>
      <c r="W2856" s="62"/>
      <c r="X2856" s="62"/>
      <c r="Y2856" s="62"/>
      <c r="Z2856" s="62" t="s">
        <v>5203</v>
      </c>
      <c r="AA2856" s="62" t="s">
        <v>5204</v>
      </c>
      <c r="AB2856" s="62" t="n">
        <v>1</v>
      </c>
      <c r="AC2856" s="62" t="n">
        <v>0</v>
      </c>
      <c r="AD2856" s="62" t="n">
        <v>1</v>
      </c>
      <c r="AE2856" s="62" t="n">
        <f aca="false">IF(AND(Dashboard!$C$9="Yes",AC2856=1),0,1)</f>
        <v>1</v>
      </c>
      <c r="AF2856" s="62" t="n">
        <v>1</v>
      </c>
    </row>
    <row r="2857" customFormat="false" ht="15" hidden="false" customHeight="false" outlineLevel="0" collapsed="false">
      <c r="A2857" s="62" t="n">
        <v>2856</v>
      </c>
      <c r="B2857" s="63" t="n">
        <v>46294.912962963</v>
      </c>
      <c r="C2857" s="64" t="n">
        <v>46294</v>
      </c>
      <c r="D2857" s="62" t="s">
        <v>501</v>
      </c>
      <c r="E2857" s="62" t="s">
        <v>1155</v>
      </c>
      <c r="F2857" s="62" t="s">
        <v>1155</v>
      </c>
      <c r="G2857" s="62" t="s">
        <v>1156</v>
      </c>
      <c r="H2857" s="62" t="s">
        <v>59</v>
      </c>
      <c r="I2857" s="62" t="s">
        <v>47</v>
      </c>
      <c r="J2857" s="62" t="s">
        <v>146</v>
      </c>
      <c r="K2857" s="62" t="s">
        <v>209</v>
      </c>
      <c r="L2857" s="62" t="s">
        <v>148</v>
      </c>
      <c r="M2857" s="62" t="n">
        <v>0</v>
      </c>
      <c r="N2857" s="62" t="n">
        <v>1</v>
      </c>
      <c r="O2857" s="62" t="n">
        <v>1</v>
      </c>
      <c r="P2857" s="62" t="n">
        <v>0</v>
      </c>
      <c r="Q2857" s="62" t="n">
        <v>0</v>
      </c>
      <c r="R2857" s="62" t="n">
        <v>1</v>
      </c>
      <c r="S2857" s="62" t="n">
        <v>0</v>
      </c>
      <c r="T2857" s="62" t="n">
        <v>0</v>
      </c>
      <c r="U2857" s="62"/>
      <c r="V2857" s="62"/>
      <c r="W2857" s="62"/>
      <c r="X2857" s="62"/>
      <c r="Y2857" s="62"/>
      <c r="Z2857" s="62" t="s">
        <v>5205</v>
      </c>
      <c r="AA2857" s="62" t="s">
        <v>5206</v>
      </c>
      <c r="AB2857" s="62" t="n">
        <v>1</v>
      </c>
      <c r="AC2857" s="62" t="n">
        <v>0</v>
      </c>
      <c r="AD2857" s="62" t="n">
        <v>1</v>
      </c>
      <c r="AE2857" s="62" t="n">
        <f aca="false">IF(AND(Dashboard!$C$9="Yes",AC2857=1),0,1)</f>
        <v>1</v>
      </c>
      <c r="AF2857" s="62" t="n">
        <v>0</v>
      </c>
    </row>
    <row r="2858" customFormat="false" ht="15" hidden="false" customHeight="false" outlineLevel="0" collapsed="false">
      <c r="A2858" s="62" t="n">
        <v>2857</v>
      </c>
      <c r="B2858" s="63" t="n">
        <v>46294.9257638889</v>
      </c>
      <c r="C2858" s="64" t="n">
        <v>46294</v>
      </c>
      <c r="D2858" s="62" t="s">
        <v>501</v>
      </c>
      <c r="E2858" s="62" t="s">
        <v>1172</v>
      </c>
      <c r="F2858" s="62" t="s">
        <v>1172</v>
      </c>
      <c r="G2858" s="62" t="s">
        <v>1173</v>
      </c>
      <c r="H2858" s="62" t="s">
        <v>59</v>
      </c>
      <c r="I2858" s="62" t="s">
        <v>47</v>
      </c>
      <c r="J2858" s="62" t="s">
        <v>146</v>
      </c>
      <c r="K2858" s="62" t="s">
        <v>209</v>
      </c>
      <c r="L2858" s="62" t="s">
        <v>4</v>
      </c>
      <c r="M2858" s="62" t="n">
        <v>1</v>
      </c>
      <c r="N2858" s="62" t="n">
        <v>0</v>
      </c>
      <c r="O2858" s="62" t="n">
        <v>1</v>
      </c>
      <c r="P2858" s="62" t="n">
        <v>0</v>
      </c>
      <c r="Q2858" s="62" t="n">
        <v>0</v>
      </c>
      <c r="R2858" s="62" t="n">
        <v>0</v>
      </c>
      <c r="S2858" s="62" t="n">
        <v>0</v>
      </c>
      <c r="T2858" s="62" t="n">
        <v>0</v>
      </c>
      <c r="U2858" s="62" t="s">
        <v>2056</v>
      </c>
      <c r="V2858" s="62" t="s">
        <v>2057</v>
      </c>
      <c r="W2858" s="62" t="s">
        <v>15</v>
      </c>
      <c r="X2858" s="62" t="s">
        <v>2253</v>
      </c>
      <c r="Y2858" s="62" t="s">
        <v>2103</v>
      </c>
      <c r="Z2858" s="62" t="s">
        <v>5207</v>
      </c>
      <c r="AA2858" s="62" t="s">
        <v>5208</v>
      </c>
      <c r="AB2858" s="62" t="n">
        <v>1</v>
      </c>
      <c r="AC2858" s="62" t="n">
        <v>0</v>
      </c>
      <c r="AD2858" s="62" t="n">
        <v>1</v>
      </c>
      <c r="AE2858" s="62" t="n">
        <f aca="false">IF(AND(Dashboard!$C$9="Yes",AC2858=1),0,1)</f>
        <v>1</v>
      </c>
      <c r="AF2858" s="62" t="n">
        <v>1</v>
      </c>
    </row>
    <row r="2859" customFormat="false" ht="15" hidden="false" customHeight="false" outlineLevel="0" collapsed="false">
      <c r="A2859" s="62" t="n">
        <v>2858</v>
      </c>
      <c r="B2859" s="63" t="n">
        <v>46294.9262037037</v>
      </c>
      <c r="C2859" s="64" t="n">
        <v>46294</v>
      </c>
      <c r="D2859" s="62" t="s">
        <v>501</v>
      </c>
      <c r="E2859" s="62" t="s">
        <v>1172</v>
      </c>
      <c r="F2859" s="62" t="s">
        <v>1172</v>
      </c>
      <c r="G2859" s="62" t="s">
        <v>1173</v>
      </c>
      <c r="H2859" s="62" t="s">
        <v>59</v>
      </c>
      <c r="I2859" s="62" t="s">
        <v>47</v>
      </c>
      <c r="J2859" s="62" t="s">
        <v>146</v>
      </c>
      <c r="K2859" s="62" t="s">
        <v>209</v>
      </c>
      <c r="L2859" s="62" t="s">
        <v>4</v>
      </c>
      <c r="M2859" s="62" t="n">
        <v>1</v>
      </c>
      <c r="N2859" s="62" t="n">
        <v>0</v>
      </c>
      <c r="O2859" s="62" t="n">
        <v>1</v>
      </c>
      <c r="P2859" s="62" t="n">
        <v>0</v>
      </c>
      <c r="Q2859" s="62" t="n">
        <v>0</v>
      </c>
      <c r="R2859" s="62" t="n">
        <v>0</v>
      </c>
      <c r="S2859" s="62" t="n">
        <v>0</v>
      </c>
      <c r="T2859" s="62" t="n">
        <v>0</v>
      </c>
      <c r="U2859" s="62" t="s">
        <v>2056</v>
      </c>
      <c r="V2859" s="62" t="s">
        <v>2057</v>
      </c>
      <c r="W2859" s="62" t="s">
        <v>15</v>
      </c>
      <c r="X2859" s="62" t="s">
        <v>2125</v>
      </c>
      <c r="Y2859" s="62" t="s">
        <v>2059</v>
      </c>
      <c r="Z2859" s="62" t="s">
        <v>5207</v>
      </c>
      <c r="AA2859" s="62" t="s">
        <v>5208</v>
      </c>
      <c r="AB2859" s="62" t="n">
        <v>1</v>
      </c>
      <c r="AC2859" s="62" t="n">
        <v>1</v>
      </c>
      <c r="AD2859" s="62" t="n">
        <v>1</v>
      </c>
      <c r="AE2859" s="62" t="n">
        <f aca="false">IF(AND(Dashboard!$C$9="Yes",AC2859=1),0,1)</f>
        <v>0</v>
      </c>
      <c r="AF2859" s="62" t="n">
        <v>0</v>
      </c>
    </row>
    <row r="2860" customFormat="false" ht="15" hidden="false" customHeight="false" outlineLevel="0" collapsed="false">
      <c r="A2860" s="62" t="n">
        <v>2859</v>
      </c>
      <c r="B2860" s="63" t="n">
        <v>46294.9489583333</v>
      </c>
      <c r="C2860" s="64" t="n">
        <v>46294</v>
      </c>
      <c r="D2860" s="62" t="s">
        <v>501</v>
      </c>
      <c r="E2860" s="62" t="s">
        <v>3226</v>
      </c>
      <c r="F2860" s="62" t="s">
        <v>3226</v>
      </c>
      <c r="G2860" s="62" t="s">
        <v>3227</v>
      </c>
      <c r="H2860" s="62" t="s">
        <v>46</v>
      </c>
      <c r="I2860" s="62" t="s">
        <v>47</v>
      </c>
      <c r="J2860" s="62" t="s">
        <v>146</v>
      </c>
      <c r="K2860" s="62" t="s">
        <v>209</v>
      </c>
      <c r="L2860" s="62" t="s">
        <v>148</v>
      </c>
      <c r="M2860" s="62" t="n">
        <v>0</v>
      </c>
      <c r="N2860" s="62" t="n">
        <v>1</v>
      </c>
      <c r="O2860" s="62" t="n">
        <v>1</v>
      </c>
      <c r="P2860" s="62" t="n">
        <v>1</v>
      </c>
      <c r="Q2860" s="62" t="n">
        <v>0</v>
      </c>
      <c r="R2860" s="62" t="n">
        <v>0</v>
      </c>
      <c r="S2860" s="62" t="n">
        <v>0</v>
      </c>
      <c r="T2860" s="62" t="n">
        <v>0</v>
      </c>
      <c r="U2860" s="62"/>
      <c r="V2860" s="62"/>
      <c r="W2860" s="62"/>
      <c r="X2860" s="62"/>
      <c r="Y2860" s="62"/>
      <c r="Z2860" s="62" t="s">
        <v>5209</v>
      </c>
      <c r="AA2860" s="62" t="s">
        <v>5210</v>
      </c>
      <c r="AB2860" s="62" t="n">
        <v>1</v>
      </c>
      <c r="AC2860" s="62" t="n">
        <v>0</v>
      </c>
      <c r="AD2860" s="62" t="n">
        <v>1</v>
      </c>
      <c r="AE2860" s="62" t="n">
        <f aca="false">IF(AND(Dashboard!$C$9="Yes",AC2860=1),0,1)</f>
        <v>1</v>
      </c>
      <c r="AF2860" s="62" t="n">
        <v>1</v>
      </c>
    </row>
    <row r="2861" customFormat="false" ht="15" hidden="false" customHeight="false" outlineLevel="0" collapsed="false">
      <c r="A2861" s="62" t="n">
        <v>2860</v>
      </c>
      <c r="B2861" s="63" t="n">
        <v>46294.962662037</v>
      </c>
      <c r="C2861" s="64" t="n">
        <v>46294</v>
      </c>
      <c r="D2861" s="62" t="s">
        <v>501</v>
      </c>
      <c r="E2861" s="62" t="s">
        <v>1827</v>
      </c>
      <c r="F2861" s="62" t="s">
        <v>1827</v>
      </c>
      <c r="G2861" s="62" t="s">
        <v>1828</v>
      </c>
      <c r="H2861" s="62" t="s">
        <v>59</v>
      </c>
      <c r="I2861" s="62" t="s">
        <v>47</v>
      </c>
      <c r="J2861" s="62" t="s">
        <v>146</v>
      </c>
      <c r="K2861" s="62" t="s">
        <v>209</v>
      </c>
      <c r="L2861" s="62" t="s">
        <v>148</v>
      </c>
      <c r="M2861" s="62" t="n">
        <v>0</v>
      </c>
      <c r="N2861" s="62" t="n">
        <v>1</v>
      </c>
      <c r="O2861" s="62" t="n">
        <v>1</v>
      </c>
      <c r="P2861" s="62" t="n">
        <v>0</v>
      </c>
      <c r="Q2861" s="62" t="n">
        <v>1</v>
      </c>
      <c r="R2861" s="62" t="n">
        <v>0</v>
      </c>
      <c r="S2861" s="62" t="n">
        <v>0</v>
      </c>
      <c r="T2861" s="62" t="n">
        <v>0</v>
      </c>
      <c r="U2861" s="62"/>
      <c r="V2861" s="62"/>
      <c r="W2861" s="62"/>
      <c r="X2861" s="62"/>
      <c r="Y2861" s="62"/>
      <c r="Z2861" s="62" t="s">
        <v>5211</v>
      </c>
      <c r="AA2861" s="62" t="s">
        <v>5212</v>
      </c>
      <c r="AB2861" s="62" t="n">
        <v>1</v>
      </c>
      <c r="AC2861" s="62" t="n">
        <v>0</v>
      </c>
      <c r="AD2861" s="62" t="n">
        <v>1</v>
      </c>
      <c r="AE2861" s="62" t="n">
        <f aca="false">IF(AND(Dashboard!$C$9="Yes",AC2861=1),0,1)</f>
        <v>1</v>
      </c>
      <c r="AF2861" s="62" t="n">
        <v>1</v>
      </c>
    </row>
    <row r="2862" customFormat="false" ht="15" hidden="false" customHeight="false" outlineLevel="0" collapsed="false">
      <c r="A2862" s="62" t="n">
        <v>2861</v>
      </c>
      <c r="B2862" s="63" t="n">
        <v>46294.9694097222</v>
      </c>
      <c r="C2862" s="64" t="n">
        <v>46294</v>
      </c>
      <c r="D2862" s="62" t="s">
        <v>501</v>
      </c>
      <c r="E2862" s="62" t="s">
        <v>164</v>
      </c>
      <c r="F2862" s="62" t="s">
        <v>164</v>
      </c>
      <c r="G2862" s="62" t="s">
        <v>165</v>
      </c>
      <c r="H2862" s="62" t="s">
        <v>51</v>
      </c>
      <c r="I2862" s="62" t="s">
        <v>47</v>
      </c>
      <c r="J2862" s="62" t="s">
        <v>146</v>
      </c>
      <c r="K2862" s="62" t="s">
        <v>147</v>
      </c>
      <c r="L2862" s="62" t="s">
        <v>4</v>
      </c>
      <c r="M2862" s="62" t="n">
        <v>1</v>
      </c>
      <c r="N2862" s="62" t="n">
        <v>0</v>
      </c>
      <c r="O2862" s="62" t="n">
        <v>1</v>
      </c>
      <c r="P2862" s="62" t="n">
        <v>0</v>
      </c>
      <c r="Q2862" s="62" t="n">
        <v>0</v>
      </c>
      <c r="R2862" s="62" t="n">
        <v>0</v>
      </c>
      <c r="S2862" s="62" t="n">
        <v>0</v>
      </c>
      <c r="T2862" s="62" t="n">
        <v>0</v>
      </c>
      <c r="U2862" s="62" t="s">
        <v>2056</v>
      </c>
      <c r="V2862" s="62" t="s">
        <v>2057</v>
      </c>
      <c r="W2862" s="62" t="s">
        <v>2056</v>
      </c>
      <c r="X2862" s="62" t="s">
        <v>2164</v>
      </c>
      <c r="Y2862" s="62" t="s">
        <v>2165</v>
      </c>
      <c r="Z2862" s="62" t="s">
        <v>5213</v>
      </c>
      <c r="AA2862" s="62" t="s">
        <v>4873</v>
      </c>
      <c r="AB2862" s="62" t="n">
        <v>1</v>
      </c>
      <c r="AC2862" s="62" t="n">
        <v>0</v>
      </c>
      <c r="AD2862" s="62" t="n">
        <v>1</v>
      </c>
      <c r="AE2862" s="62" t="n">
        <f aca="false">IF(AND(Dashboard!$C$9="Yes",AC2862=1),0,1)</f>
        <v>1</v>
      </c>
      <c r="AF2862" s="62" t="n">
        <v>1</v>
      </c>
    </row>
    <row r="2863" customFormat="false" ht="15" hidden="false" customHeight="false" outlineLevel="0" collapsed="false">
      <c r="A2863" s="62" t="n">
        <v>2862</v>
      </c>
      <c r="B2863" s="63" t="n">
        <v>46294.973599537</v>
      </c>
      <c r="C2863" s="64" t="n">
        <v>46294</v>
      </c>
      <c r="D2863" s="62" t="s">
        <v>501</v>
      </c>
      <c r="E2863" s="62" t="s">
        <v>164</v>
      </c>
      <c r="F2863" s="62" t="s">
        <v>164</v>
      </c>
      <c r="G2863" s="62" t="s">
        <v>165</v>
      </c>
      <c r="H2863" s="62" t="s">
        <v>51</v>
      </c>
      <c r="I2863" s="62" t="s">
        <v>47</v>
      </c>
      <c r="J2863" s="62" t="s">
        <v>146</v>
      </c>
      <c r="K2863" s="62" t="s">
        <v>147</v>
      </c>
      <c r="L2863" s="62" t="s">
        <v>4</v>
      </c>
      <c r="M2863" s="62" t="n">
        <v>1</v>
      </c>
      <c r="N2863" s="62" t="n">
        <v>0</v>
      </c>
      <c r="O2863" s="62" t="n">
        <v>1</v>
      </c>
      <c r="P2863" s="62" t="n">
        <v>0</v>
      </c>
      <c r="Q2863" s="62" t="n">
        <v>0</v>
      </c>
      <c r="R2863" s="62" t="n">
        <v>0</v>
      </c>
      <c r="S2863" s="62" t="n">
        <v>0</v>
      </c>
      <c r="T2863" s="62" t="n">
        <v>0</v>
      </c>
      <c r="U2863" s="62" t="s">
        <v>2056</v>
      </c>
      <c r="V2863" s="62" t="s">
        <v>2057</v>
      </c>
      <c r="W2863" s="62" t="s">
        <v>2056</v>
      </c>
      <c r="X2863" s="62" t="s">
        <v>2164</v>
      </c>
      <c r="Y2863" s="62" t="s">
        <v>2165</v>
      </c>
      <c r="Z2863" s="62" t="s">
        <v>5213</v>
      </c>
      <c r="AA2863" s="62" t="s">
        <v>4873</v>
      </c>
      <c r="AB2863" s="62" t="n">
        <v>1</v>
      </c>
      <c r="AC2863" s="62" t="n">
        <v>1</v>
      </c>
      <c r="AD2863" s="62" t="n">
        <v>1</v>
      </c>
      <c r="AE2863" s="62" t="n">
        <f aca="false">IF(AND(Dashboard!$C$9="Yes",AC2863=1),0,1)</f>
        <v>0</v>
      </c>
      <c r="AF2863" s="62" t="n">
        <v>0</v>
      </c>
    </row>
    <row r="2864" customFormat="false" ht="15" hidden="false" customHeight="false" outlineLevel="0" collapsed="false">
      <c r="A2864" s="62" t="n">
        <v>2863</v>
      </c>
      <c r="B2864" s="63" t="n">
        <v>46294.9886111111</v>
      </c>
      <c r="C2864" s="64" t="n">
        <v>46294</v>
      </c>
      <c r="D2864" s="62" t="s">
        <v>501</v>
      </c>
      <c r="E2864" s="62" t="s">
        <v>4238</v>
      </c>
      <c r="F2864" s="62" t="s">
        <v>4238</v>
      </c>
      <c r="G2864" s="62" t="s">
        <v>4239</v>
      </c>
      <c r="H2864" s="62" t="s">
        <v>44</v>
      </c>
      <c r="I2864" s="62" t="s">
        <v>49</v>
      </c>
      <c r="J2864" s="62" t="s">
        <v>146</v>
      </c>
      <c r="K2864" s="62" t="s">
        <v>147</v>
      </c>
      <c r="L2864" s="62" t="s">
        <v>148</v>
      </c>
      <c r="M2864" s="62" t="n">
        <v>0</v>
      </c>
      <c r="N2864" s="62" t="n">
        <v>1</v>
      </c>
      <c r="O2864" s="62" t="n">
        <v>1</v>
      </c>
      <c r="P2864" s="62" t="n">
        <v>1</v>
      </c>
      <c r="Q2864" s="62" t="n">
        <v>0</v>
      </c>
      <c r="R2864" s="62" t="n">
        <v>0</v>
      </c>
      <c r="S2864" s="62" t="n">
        <v>0</v>
      </c>
      <c r="T2864" s="62" t="n">
        <v>0</v>
      </c>
      <c r="U2864" s="62"/>
      <c r="V2864" s="62"/>
      <c r="W2864" s="62"/>
      <c r="X2864" s="62"/>
      <c r="Y2864" s="62"/>
      <c r="Z2864" s="62" t="s">
        <v>5214</v>
      </c>
      <c r="AA2864" s="62" t="s">
        <v>5215</v>
      </c>
      <c r="AB2864" s="62" t="n">
        <v>1</v>
      </c>
      <c r="AC2864" s="62" t="n">
        <v>0</v>
      </c>
      <c r="AD2864" s="62" t="n">
        <v>1</v>
      </c>
      <c r="AE2864" s="62" t="n">
        <f aca="false">IF(AND(Dashboard!$C$9="Yes",AC2864=1),0,1)</f>
        <v>1</v>
      </c>
      <c r="AF2864" s="62" t="n">
        <v>0</v>
      </c>
    </row>
    <row r="2865" customFormat="false" ht="15" hidden="false" customHeight="false" outlineLevel="0" collapsed="false">
      <c r="A2865" s="62" t="n">
        <v>2864</v>
      </c>
      <c r="B2865" s="63" t="n">
        <v>46294.9916435185</v>
      </c>
      <c r="C2865" s="64" t="n">
        <v>46294</v>
      </c>
      <c r="D2865" s="62" t="s">
        <v>501</v>
      </c>
      <c r="E2865" s="62" t="s">
        <v>4080</v>
      </c>
      <c r="F2865" s="62" t="s">
        <v>4080</v>
      </c>
      <c r="G2865" s="62" t="s">
        <v>4081</v>
      </c>
      <c r="H2865" s="62" t="s">
        <v>57</v>
      </c>
      <c r="I2865" s="62" t="s">
        <v>47</v>
      </c>
      <c r="J2865" s="62" t="s">
        <v>146</v>
      </c>
      <c r="K2865" s="62" t="s">
        <v>147</v>
      </c>
      <c r="L2865" s="62" t="s">
        <v>148</v>
      </c>
      <c r="M2865" s="62" t="n">
        <v>0</v>
      </c>
      <c r="N2865" s="62" t="n">
        <v>1</v>
      </c>
      <c r="O2865" s="62" t="n">
        <v>1</v>
      </c>
      <c r="P2865" s="62" t="n">
        <v>1</v>
      </c>
      <c r="Q2865" s="62" t="n">
        <v>0</v>
      </c>
      <c r="R2865" s="62" t="n">
        <v>1</v>
      </c>
      <c r="S2865" s="62" t="n">
        <v>0</v>
      </c>
      <c r="T2865" s="62" t="n">
        <v>0</v>
      </c>
      <c r="U2865" s="62"/>
      <c r="V2865" s="62"/>
      <c r="W2865" s="62"/>
      <c r="X2865" s="62"/>
      <c r="Y2865" s="62"/>
      <c r="Z2865" s="62" t="s">
        <v>5216</v>
      </c>
      <c r="AA2865" s="62" t="s">
        <v>5217</v>
      </c>
      <c r="AB2865" s="62" t="n">
        <v>1</v>
      </c>
      <c r="AC2865" s="62" t="n">
        <v>0</v>
      </c>
      <c r="AD2865" s="62" t="n">
        <v>1</v>
      </c>
      <c r="AE2865" s="62" t="n">
        <f aca="false">IF(AND(Dashboard!$C$9="Yes",AC2865=1),0,1)</f>
        <v>1</v>
      </c>
      <c r="AF2865" s="62" t="n">
        <v>1</v>
      </c>
    </row>
    <row r="2866" customFormat="false" ht="15" hidden="false" customHeight="false" outlineLevel="0" collapsed="false">
      <c r="A2866" s="62" t="n">
        <v>2865</v>
      </c>
      <c r="B2866" s="63" t="n">
        <v>46294.9944328704</v>
      </c>
      <c r="C2866" s="64" t="n">
        <v>46294</v>
      </c>
      <c r="D2866" s="62" t="s">
        <v>501</v>
      </c>
      <c r="E2866" s="62" t="s">
        <v>1155</v>
      </c>
      <c r="F2866" s="62" t="s">
        <v>1155</v>
      </c>
      <c r="G2866" s="62" t="s">
        <v>1156</v>
      </c>
      <c r="H2866" s="62" t="s">
        <v>59</v>
      </c>
      <c r="I2866" s="62" t="s">
        <v>47</v>
      </c>
      <c r="J2866" s="62" t="s">
        <v>146</v>
      </c>
      <c r="K2866" s="62" t="s">
        <v>209</v>
      </c>
      <c r="L2866" s="62" t="s">
        <v>148</v>
      </c>
      <c r="M2866" s="62" t="n">
        <v>0</v>
      </c>
      <c r="N2866" s="62" t="n">
        <v>1</v>
      </c>
      <c r="O2866" s="62" t="n">
        <v>1</v>
      </c>
      <c r="P2866" s="62" t="n">
        <v>0</v>
      </c>
      <c r="Q2866" s="62" t="n">
        <v>0</v>
      </c>
      <c r="R2866" s="62" t="n">
        <v>1</v>
      </c>
      <c r="S2866" s="62" t="n">
        <v>0</v>
      </c>
      <c r="T2866" s="62" t="n">
        <v>0</v>
      </c>
      <c r="U2866" s="62"/>
      <c r="V2866" s="62"/>
      <c r="W2866" s="62"/>
      <c r="X2866" s="62"/>
      <c r="Y2866" s="62"/>
      <c r="Z2866" s="62" t="s">
        <v>5205</v>
      </c>
      <c r="AA2866" s="62" t="s">
        <v>5218</v>
      </c>
      <c r="AB2866" s="62" t="n">
        <v>1</v>
      </c>
      <c r="AC2866" s="62" t="n">
        <v>0</v>
      </c>
      <c r="AD2866" s="62" t="n">
        <v>1</v>
      </c>
      <c r="AE2866" s="62" t="n">
        <f aca="false">IF(AND(Dashboard!$C$9="Yes",AC2866=1),0,1)</f>
        <v>1</v>
      </c>
      <c r="AF2866" s="62" t="n">
        <v>0</v>
      </c>
    </row>
    <row r="2867" customFormat="false" ht="15" hidden="false" customHeight="false" outlineLevel="0" collapsed="false">
      <c r="A2867" s="62" t="n">
        <v>2866</v>
      </c>
      <c r="B2867" s="63" t="n">
        <v>46294.9960532407</v>
      </c>
      <c r="C2867" s="64" t="n">
        <v>46294</v>
      </c>
      <c r="D2867" s="62" t="s">
        <v>501</v>
      </c>
      <c r="E2867" s="62" t="s">
        <v>3061</v>
      </c>
      <c r="F2867" s="62" t="s">
        <v>3061</v>
      </c>
      <c r="G2867" s="62" t="s">
        <v>3062</v>
      </c>
      <c r="H2867" s="62" t="s">
        <v>44</v>
      </c>
      <c r="I2867" s="62" t="s">
        <v>49</v>
      </c>
      <c r="J2867" s="62" t="s">
        <v>146</v>
      </c>
      <c r="K2867" s="62" t="s">
        <v>147</v>
      </c>
      <c r="L2867" s="62" t="s">
        <v>4</v>
      </c>
      <c r="M2867" s="62" t="n">
        <v>1</v>
      </c>
      <c r="N2867" s="62" t="n">
        <v>0</v>
      </c>
      <c r="O2867" s="62" t="n">
        <v>1</v>
      </c>
      <c r="P2867" s="62" t="n">
        <v>0</v>
      </c>
      <c r="Q2867" s="62" t="n">
        <v>0</v>
      </c>
      <c r="R2867" s="62" t="n">
        <v>0</v>
      </c>
      <c r="S2867" s="62" t="n">
        <v>0</v>
      </c>
      <c r="T2867" s="62" t="n">
        <v>0</v>
      </c>
      <c r="U2867" s="62" t="s">
        <v>2056</v>
      </c>
      <c r="V2867" s="62" t="s">
        <v>2057</v>
      </c>
      <c r="W2867" s="62" t="s">
        <v>15</v>
      </c>
      <c r="X2867" s="62" t="s">
        <v>2058</v>
      </c>
      <c r="Y2867" s="62" t="s">
        <v>2059</v>
      </c>
      <c r="Z2867" s="62" t="s">
        <v>5219</v>
      </c>
      <c r="AA2867" s="62" t="s">
        <v>5220</v>
      </c>
      <c r="AB2867" s="62" t="n">
        <v>1</v>
      </c>
      <c r="AC2867" s="62" t="n">
        <v>0</v>
      </c>
      <c r="AD2867" s="62" t="n">
        <v>1</v>
      </c>
      <c r="AE2867" s="62" t="n">
        <f aca="false">IF(AND(Dashboard!$C$9="Yes",AC2867=1),0,1)</f>
        <v>1</v>
      </c>
      <c r="AF2867" s="62" t="n">
        <v>0</v>
      </c>
    </row>
    <row r="2868" customFormat="false" ht="15" hidden="false" customHeight="false" outlineLevel="0" collapsed="false">
      <c r="A2868" s="62" t="n">
        <v>2867</v>
      </c>
      <c r="B2868" s="63" t="n">
        <v>46294.9972569444</v>
      </c>
      <c r="C2868" s="64" t="n">
        <v>46294</v>
      </c>
      <c r="D2868" s="62" t="s">
        <v>501</v>
      </c>
      <c r="E2868" s="62" t="s">
        <v>4329</v>
      </c>
      <c r="F2868" s="62" t="s">
        <v>4329</v>
      </c>
      <c r="G2868" s="62" t="s">
        <v>4330</v>
      </c>
      <c r="H2868" s="62" t="s">
        <v>44</v>
      </c>
      <c r="I2868" s="62" t="s">
        <v>49</v>
      </c>
      <c r="J2868" s="62" t="s">
        <v>146</v>
      </c>
      <c r="K2868" s="62" t="s">
        <v>147</v>
      </c>
      <c r="L2868" s="62" t="s">
        <v>148</v>
      </c>
      <c r="M2868" s="62" t="n">
        <v>0</v>
      </c>
      <c r="N2868" s="62" t="n">
        <v>1</v>
      </c>
      <c r="O2868" s="62" t="n">
        <v>1</v>
      </c>
      <c r="P2868" s="62" t="n">
        <v>0</v>
      </c>
      <c r="Q2868" s="62" t="n">
        <v>1</v>
      </c>
      <c r="R2868" s="62" t="n">
        <v>0</v>
      </c>
      <c r="S2868" s="62" t="n">
        <v>0</v>
      </c>
      <c r="T2868" s="62" t="n">
        <v>0</v>
      </c>
      <c r="U2868" s="62"/>
      <c r="V2868" s="62"/>
      <c r="W2868" s="62"/>
      <c r="X2868" s="62"/>
      <c r="Y2868" s="62"/>
      <c r="Z2868" s="62" t="s">
        <v>5221</v>
      </c>
      <c r="AA2868" s="62" t="s">
        <v>5222</v>
      </c>
      <c r="AB2868" s="62" t="n">
        <v>1</v>
      </c>
      <c r="AC2868" s="62" t="n">
        <v>0</v>
      </c>
      <c r="AD2868" s="62" t="n">
        <v>1</v>
      </c>
      <c r="AE2868" s="62" t="n">
        <f aca="false">IF(AND(Dashboard!$C$9="Yes",AC2868=1),0,1)</f>
        <v>1</v>
      </c>
      <c r="AF2868" s="62" t="n">
        <v>0</v>
      </c>
    </row>
    <row r="2869" customFormat="false" ht="15" hidden="false" customHeight="false" outlineLevel="0" collapsed="false">
      <c r="A2869" s="62" t="n">
        <v>2868</v>
      </c>
      <c r="B2869" s="63" t="n">
        <v>46295.0018055556</v>
      </c>
      <c r="C2869" s="64" t="n">
        <v>46294</v>
      </c>
      <c r="D2869" s="62" t="s">
        <v>501</v>
      </c>
      <c r="E2869" s="62" t="s">
        <v>2328</v>
      </c>
      <c r="F2869" s="62" t="s">
        <v>2328</v>
      </c>
      <c r="G2869" s="62" t="s">
        <v>2329</v>
      </c>
      <c r="H2869" s="62" t="s">
        <v>58</v>
      </c>
      <c r="I2869" s="62" t="s">
        <v>49</v>
      </c>
      <c r="J2869" s="62" t="s">
        <v>146</v>
      </c>
      <c r="K2869" s="62" t="s">
        <v>209</v>
      </c>
      <c r="L2869" s="62" t="s">
        <v>148</v>
      </c>
      <c r="M2869" s="62" t="n">
        <v>0</v>
      </c>
      <c r="N2869" s="62" t="n">
        <v>1</v>
      </c>
      <c r="O2869" s="62" t="n">
        <v>1</v>
      </c>
      <c r="P2869" s="62" t="n">
        <v>0</v>
      </c>
      <c r="Q2869" s="62" t="n">
        <v>1</v>
      </c>
      <c r="R2869" s="62" t="n">
        <v>0</v>
      </c>
      <c r="S2869" s="62" t="n">
        <v>0</v>
      </c>
      <c r="T2869" s="62" t="n">
        <v>0</v>
      </c>
      <c r="U2869" s="62"/>
      <c r="V2869" s="62"/>
      <c r="W2869" s="62"/>
      <c r="X2869" s="62"/>
      <c r="Y2869" s="62"/>
      <c r="Z2869" s="62" t="s">
        <v>5223</v>
      </c>
      <c r="AA2869" s="62" t="s">
        <v>5224</v>
      </c>
      <c r="AB2869" s="62" t="n">
        <v>1</v>
      </c>
      <c r="AC2869" s="62" t="n">
        <v>0</v>
      </c>
      <c r="AD2869" s="62" t="n">
        <v>1</v>
      </c>
      <c r="AE2869" s="62" t="n">
        <f aca="false">IF(AND(Dashboard!$C$9="Yes",AC2869=1),0,1)</f>
        <v>1</v>
      </c>
      <c r="AF2869" s="62" t="n">
        <v>1</v>
      </c>
    </row>
    <row r="2870" customFormat="false" ht="15" hidden="false" customHeight="false" outlineLevel="0" collapsed="false">
      <c r="A2870" s="62" t="n">
        <v>2869</v>
      </c>
      <c r="B2870" s="63" t="n">
        <v>46295.0028009259</v>
      </c>
      <c r="C2870" s="64" t="n">
        <v>46294</v>
      </c>
      <c r="D2870" s="62" t="s">
        <v>501</v>
      </c>
      <c r="E2870" s="62" t="s">
        <v>2395</v>
      </c>
      <c r="F2870" s="62" t="s">
        <v>2395</v>
      </c>
      <c r="G2870" s="62" t="s">
        <v>2396</v>
      </c>
      <c r="H2870" s="62" t="s">
        <v>59</v>
      </c>
      <c r="I2870" s="62" t="s">
        <v>47</v>
      </c>
      <c r="J2870" s="62" t="s">
        <v>146</v>
      </c>
      <c r="K2870" s="62" t="s">
        <v>209</v>
      </c>
      <c r="L2870" s="62" t="s">
        <v>4</v>
      </c>
      <c r="M2870" s="62" t="n">
        <v>1</v>
      </c>
      <c r="N2870" s="62" t="n">
        <v>0</v>
      </c>
      <c r="O2870" s="62" t="n">
        <v>1</v>
      </c>
      <c r="P2870" s="62" t="n">
        <v>0</v>
      </c>
      <c r="Q2870" s="62" t="n">
        <v>0</v>
      </c>
      <c r="R2870" s="62" t="n">
        <v>0</v>
      </c>
      <c r="S2870" s="62" t="n">
        <v>0</v>
      </c>
      <c r="T2870" s="62" t="n">
        <v>0</v>
      </c>
      <c r="U2870" s="62" t="s">
        <v>2056</v>
      </c>
      <c r="V2870" s="62" t="s">
        <v>2068</v>
      </c>
      <c r="W2870" s="62"/>
      <c r="X2870" s="62" t="s">
        <v>2125</v>
      </c>
      <c r="Y2870" s="62" t="s">
        <v>2103</v>
      </c>
      <c r="Z2870" s="62" t="s">
        <v>5225</v>
      </c>
      <c r="AA2870" s="62" t="s">
        <v>5226</v>
      </c>
      <c r="AB2870" s="62" t="n">
        <v>1</v>
      </c>
      <c r="AC2870" s="62" t="n">
        <v>0</v>
      </c>
      <c r="AD2870" s="62" t="n">
        <v>1</v>
      </c>
      <c r="AE2870" s="62" t="n">
        <f aca="false">IF(AND(Dashboard!$C$9="Yes",AC2870=1),0,1)</f>
        <v>1</v>
      </c>
      <c r="AF2870" s="62" t="n">
        <v>1</v>
      </c>
    </row>
    <row r="2871" customFormat="false" ht="15" hidden="false" customHeight="false" outlineLevel="0" collapsed="false">
      <c r="A2871" s="62" t="n">
        <v>2870</v>
      </c>
      <c r="B2871" s="63" t="n">
        <v>46295.0067013889</v>
      </c>
      <c r="C2871" s="64" t="n">
        <v>46294</v>
      </c>
      <c r="D2871" s="62" t="s">
        <v>501</v>
      </c>
      <c r="E2871" s="62" t="s">
        <v>5227</v>
      </c>
      <c r="F2871" s="62" t="s">
        <v>5227</v>
      </c>
      <c r="G2871" s="62" t="s">
        <v>5228</v>
      </c>
      <c r="H2871" s="62" t="s">
        <v>55</v>
      </c>
      <c r="I2871" s="62" t="s">
        <v>49</v>
      </c>
      <c r="J2871" s="62" t="s">
        <v>3708</v>
      </c>
      <c r="K2871" s="62" t="s">
        <v>209</v>
      </c>
      <c r="L2871" s="62" t="s">
        <v>4</v>
      </c>
      <c r="M2871" s="62" t="n">
        <v>2</v>
      </c>
      <c r="N2871" s="62" t="n">
        <v>0</v>
      </c>
      <c r="O2871" s="62" t="n">
        <v>2</v>
      </c>
      <c r="P2871" s="62" t="n">
        <v>0</v>
      </c>
      <c r="Q2871" s="62" t="n">
        <v>0</v>
      </c>
      <c r="R2871" s="62" t="n">
        <v>0</v>
      </c>
      <c r="S2871" s="62" t="n">
        <v>0</v>
      </c>
      <c r="T2871" s="62" t="n">
        <v>0</v>
      </c>
      <c r="U2871" s="62" t="s">
        <v>2056</v>
      </c>
      <c r="V2871" s="62" t="s">
        <v>2057</v>
      </c>
      <c r="W2871" s="62" t="s">
        <v>15</v>
      </c>
      <c r="X2871" s="62" t="s">
        <v>2125</v>
      </c>
      <c r="Y2871" s="62" t="s">
        <v>2181</v>
      </c>
      <c r="Z2871" s="62" t="s">
        <v>5229</v>
      </c>
      <c r="AA2871" s="62" t="s">
        <v>5230</v>
      </c>
      <c r="AB2871" s="62" t="n">
        <v>1</v>
      </c>
      <c r="AC2871" s="62" t="n">
        <v>0</v>
      </c>
      <c r="AD2871" s="62" t="n">
        <v>1</v>
      </c>
      <c r="AE2871" s="62" t="n">
        <f aca="false">IF(AND(Dashboard!$C$9="Yes",AC2871=1),0,1)</f>
        <v>1</v>
      </c>
      <c r="AF2871" s="62" t="n">
        <v>1</v>
      </c>
    </row>
    <row r="2872" customFormat="false" ht="15" hidden="false" customHeight="false" outlineLevel="0" collapsed="false">
      <c r="A2872" s="62" t="n">
        <v>2871</v>
      </c>
      <c r="B2872" s="63" t="n">
        <v>46295.0212384259</v>
      </c>
      <c r="C2872" s="64" t="n">
        <v>46294</v>
      </c>
      <c r="D2872" s="62" t="s">
        <v>501</v>
      </c>
      <c r="E2872" s="62" t="s">
        <v>5088</v>
      </c>
      <c r="F2872" s="62" t="s">
        <v>5088</v>
      </c>
      <c r="G2872" s="62" t="s">
        <v>5089</v>
      </c>
      <c r="H2872" s="62" t="s">
        <v>56</v>
      </c>
      <c r="I2872" s="62" t="s">
        <v>49</v>
      </c>
      <c r="J2872" s="62" t="s">
        <v>3708</v>
      </c>
      <c r="K2872" s="62" t="s">
        <v>209</v>
      </c>
      <c r="L2872" s="62" t="s">
        <v>4</v>
      </c>
      <c r="M2872" s="62" t="n">
        <v>1</v>
      </c>
      <c r="N2872" s="62" t="n">
        <v>0</v>
      </c>
      <c r="O2872" s="62" t="n">
        <v>1</v>
      </c>
      <c r="P2872" s="62" t="n">
        <v>0</v>
      </c>
      <c r="Q2872" s="62" t="n">
        <v>0</v>
      </c>
      <c r="R2872" s="62" t="n">
        <v>0</v>
      </c>
      <c r="S2872" s="62" t="n">
        <v>0</v>
      </c>
      <c r="T2872" s="62" t="n">
        <v>0</v>
      </c>
      <c r="U2872" s="62" t="s">
        <v>2056</v>
      </c>
      <c r="V2872" s="62" t="s">
        <v>2057</v>
      </c>
      <c r="W2872" s="62" t="s">
        <v>15</v>
      </c>
      <c r="X2872" s="62" t="s">
        <v>2253</v>
      </c>
      <c r="Y2872" s="62" t="s">
        <v>2103</v>
      </c>
      <c r="Z2872" s="62" t="s">
        <v>5231</v>
      </c>
      <c r="AA2872" s="62" t="s">
        <v>5232</v>
      </c>
      <c r="AB2872" s="62" t="n">
        <v>1</v>
      </c>
      <c r="AC2872" s="62" t="n">
        <v>0</v>
      </c>
      <c r="AD2872" s="62" t="n">
        <v>1</v>
      </c>
      <c r="AE2872" s="62" t="n">
        <f aca="false">IF(AND(Dashboard!$C$9="Yes",AC2872=1),0,1)</f>
        <v>1</v>
      </c>
      <c r="AF2872" s="62" t="n">
        <v>1</v>
      </c>
    </row>
    <row r="2873" customFormat="false" ht="15" hidden="false" customHeight="false" outlineLevel="0" collapsed="false">
      <c r="A2873" s="62" t="n">
        <v>2872</v>
      </c>
      <c r="B2873" s="63" t="n">
        <v>46295.0285300926</v>
      </c>
      <c r="C2873" s="64" t="n">
        <v>46294</v>
      </c>
      <c r="D2873" s="62" t="s">
        <v>501</v>
      </c>
      <c r="E2873" s="62" t="s">
        <v>3226</v>
      </c>
      <c r="F2873" s="62" t="s">
        <v>3226</v>
      </c>
      <c r="G2873" s="62" t="s">
        <v>3227</v>
      </c>
      <c r="H2873" s="62" t="s">
        <v>46</v>
      </c>
      <c r="I2873" s="62" t="s">
        <v>47</v>
      </c>
      <c r="J2873" s="62" t="s">
        <v>146</v>
      </c>
      <c r="K2873" s="62" t="s">
        <v>209</v>
      </c>
      <c r="L2873" s="62" t="s">
        <v>148</v>
      </c>
      <c r="M2873" s="62" t="n">
        <v>0</v>
      </c>
      <c r="N2873" s="62" t="n">
        <v>1</v>
      </c>
      <c r="O2873" s="62" t="n">
        <v>1</v>
      </c>
      <c r="P2873" s="62" t="n">
        <v>1</v>
      </c>
      <c r="Q2873" s="62" t="n">
        <v>0</v>
      </c>
      <c r="R2873" s="62" t="n">
        <v>0</v>
      </c>
      <c r="S2873" s="62" t="n">
        <v>0</v>
      </c>
      <c r="T2873" s="62" t="n">
        <v>0</v>
      </c>
      <c r="U2873" s="62"/>
      <c r="V2873" s="62"/>
      <c r="W2873" s="62"/>
      <c r="X2873" s="62"/>
      <c r="Y2873" s="62"/>
      <c r="Z2873" s="62" t="s">
        <v>5233</v>
      </c>
      <c r="AA2873" s="62" t="s">
        <v>5234</v>
      </c>
      <c r="AB2873" s="62" t="n">
        <v>0</v>
      </c>
      <c r="AC2873" s="62" t="n">
        <v>0</v>
      </c>
      <c r="AD2873" s="62" t="n">
        <v>1</v>
      </c>
      <c r="AE2873" s="62" t="n">
        <f aca="false">IF(AND(Dashboard!$C$9="Yes",AC2873=1),0,1)</f>
        <v>1</v>
      </c>
      <c r="AF2873" s="62" t="n">
        <v>0</v>
      </c>
    </row>
    <row r="2874" customFormat="false" ht="15" hidden="false" customHeight="false" outlineLevel="0" collapsed="false">
      <c r="A2874" s="62" t="n">
        <v>2873</v>
      </c>
      <c r="B2874" s="63" t="n">
        <v>46295.0348611111</v>
      </c>
      <c r="C2874" s="64" t="n">
        <v>46294</v>
      </c>
      <c r="D2874" s="62" t="s">
        <v>501</v>
      </c>
      <c r="E2874" s="62" t="s">
        <v>207</v>
      </c>
      <c r="F2874" s="62" t="s">
        <v>207</v>
      </c>
      <c r="G2874" s="62" t="s">
        <v>208</v>
      </c>
      <c r="H2874" s="62" t="s">
        <v>48</v>
      </c>
      <c r="I2874" s="62" t="s">
        <v>49</v>
      </c>
      <c r="J2874" s="62" t="s">
        <v>146</v>
      </c>
      <c r="K2874" s="62" t="s">
        <v>209</v>
      </c>
      <c r="L2874" s="62" t="s">
        <v>4</v>
      </c>
      <c r="M2874" s="62" t="n">
        <v>1</v>
      </c>
      <c r="N2874" s="62" t="n">
        <v>0</v>
      </c>
      <c r="O2874" s="62" t="n">
        <v>1</v>
      </c>
      <c r="P2874" s="62" t="n">
        <v>0</v>
      </c>
      <c r="Q2874" s="62" t="n">
        <v>0</v>
      </c>
      <c r="R2874" s="62" t="n">
        <v>0</v>
      </c>
      <c r="S2874" s="62" t="n">
        <v>0</v>
      </c>
      <c r="T2874" s="62" t="n">
        <v>0</v>
      </c>
      <c r="U2874" s="62" t="s">
        <v>15</v>
      </c>
      <c r="V2874" s="62" t="s">
        <v>2057</v>
      </c>
      <c r="W2874" s="62" t="s">
        <v>2056</v>
      </c>
      <c r="X2874" s="62" t="s">
        <v>2234</v>
      </c>
      <c r="Y2874" s="62" t="s">
        <v>2064</v>
      </c>
      <c r="Z2874" s="62" t="s">
        <v>5235</v>
      </c>
      <c r="AA2874" s="62" t="s">
        <v>5236</v>
      </c>
      <c r="AB2874" s="62" t="n">
        <v>1</v>
      </c>
      <c r="AC2874" s="62" t="n">
        <v>0</v>
      </c>
      <c r="AD2874" s="62" t="n">
        <v>1</v>
      </c>
      <c r="AE2874" s="62" t="n">
        <f aca="false">IF(AND(Dashboard!$C$9="Yes",AC2874=1),0,1)</f>
        <v>1</v>
      </c>
      <c r="AF2874" s="62" t="n">
        <v>1</v>
      </c>
    </row>
    <row r="2875" customFormat="false" ht="15" hidden="false" customHeight="false" outlineLevel="0" collapsed="false">
      <c r="A2875" s="62" t="n">
        <v>2874</v>
      </c>
      <c r="B2875" s="63" t="n">
        <v>46295.0459259259</v>
      </c>
      <c r="C2875" s="64" t="n">
        <v>46294</v>
      </c>
      <c r="D2875" s="62" t="s">
        <v>501</v>
      </c>
      <c r="E2875" s="62" t="s">
        <v>999</v>
      </c>
      <c r="F2875" s="62" t="s">
        <v>999</v>
      </c>
      <c r="G2875" s="62" t="s">
        <v>1000</v>
      </c>
      <c r="H2875" s="62" t="s">
        <v>46</v>
      </c>
      <c r="I2875" s="62" t="s">
        <v>47</v>
      </c>
      <c r="J2875" s="62" t="s">
        <v>146</v>
      </c>
      <c r="K2875" s="62" t="s">
        <v>209</v>
      </c>
      <c r="L2875" s="62" t="s">
        <v>148</v>
      </c>
      <c r="M2875" s="62" t="n">
        <v>0</v>
      </c>
      <c r="N2875" s="62" t="n">
        <v>1</v>
      </c>
      <c r="O2875" s="62" t="n">
        <v>1</v>
      </c>
      <c r="P2875" s="62" t="n">
        <v>1</v>
      </c>
      <c r="Q2875" s="62" t="n">
        <v>0</v>
      </c>
      <c r="R2875" s="62" t="n">
        <v>0</v>
      </c>
      <c r="S2875" s="62" t="n">
        <v>0</v>
      </c>
      <c r="T2875" s="62" t="n">
        <v>0</v>
      </c>
      <c r="U2875" s="62"/>
      <c r="V2875" s="62"/>
      <c r="W2875" s="62"/>
      <c r="X2875" s="62"/>
      <c r="Y2875" s="62"/>
      <c r="Z2875" s="62" t="s">
        <v>5237</v>
      </c>
      <c r="AA2875" s="62" t="s">
        <v>5238</v>
      </c>
      <c r="AB2875" s="62" t="n">
        <v>1</v>
      </c>
      <c r="AC2875" s="62" t="n">
        <v>0</v>
      </c>
      <c r="AD2875" s="62" t="n">
        <v>1</v>
      </c>
      <c r="AE2875" s="62" t="n">
        <f aca="false">IF(AND(Dashboard!$C$9="Yes",AC2875=1),0,1)</f>
        <v>1</v>
      </c>
      <c r="AF2875" s="62" t="n">
        <v>0</v>
      </c>
    </row>
    <row r="2876" customFormat="false" ht="15" hidden="false" customHeight="false" outlineLevel="0" collapsed="false">
      <c r="A2876" s="62" t="n">
        <v>2875</v>
      </c>
      <c r="B2876" s="63" t="n">
        <v>46295.0462268519</v>
      </c>
      <c r="C2876" s="64" t="n">
        <v>46294</v>
      </c>
      <c r="D2876" s="62" t="s">
        <v>501</v>
      </c>
      <c r="E2876" s="62" t="s">
        <v>414</v>
      </c>
      <c r="F2876" s="62" t="s">
        <v>414</v>
      </c>
      <c r="G2876" s="62" t="s">
        <v>415</v>
      </c>
      <c r="H2876" s="62" t="s">
        <v>57</v>
      </c>
      <c r="I2876" s="62" t="s">
        <v>47</v>
      </c>
      <c r="J2876" s="62" t="s">
        <v>146</v>
      </c>
      <c r="K2876" s="62" t="s">
        <v>147</v>
      </c>
      <c r="L2876" s="62" t="s">
        <v>4</v>
      </c>
      <c r="M2876" s="62" t="n">
        <v>1</v>
      </c>
      <c r="N2876" s="62" t="n">
        <v>0</v>
      </c>
      <c r="O2876" s="62" t="n">
        <v>1</v>
      </c>
      <c r="P2876" s="62" t="n">
        <v>0</v>
      </c>
      <c r="Q2876" s="62" t="n">
        <v>0</v>
      </c>
      <c r="R2876" s="62" t="n">
        <v>0</v>
      </c>
      <c r="S2876" s="62" t="n">
        <v>0</v>
      </c>
      <c r="T2876" s="62" t="n">
        <v>0</v>
      </c>
      <c r="U2876" s="62" t="s">
        <v>2056</v>
      </c>
      <c r="V2876" s="62" t="s">
        <v>2057</v>
      </c>
      <c r="W2876" s="62" t="s">
        <v>15</v>
      </c>
      <c r="X2876" s="62" t="s">
        <v>2058</v>
      </c>
      <c r="Y2876" s="62" t="s">
        <v>2059</v>
      </c>
      <c r="Z2876" s="62" t="s">
        <v>5239</v>
      </c>
      <c r="AA2876" s="62" t="s">
        <v>5240</v>
      </c>
      <c r="AB2876" s="62" t="n">
        <v>1</v>
      </c>
      <c r="AC2876" s="62" t="n">
        <v>0</v>
      </c>
      <c r="AD2876" s="62" t="n">
        <v>1</v>
      </c>
      <c r="AE2876" s="62" t="n">
        <f aca="false">IF(AND(Dashboard!$C$9="Yes",AC2876=1),0,1)</f>
        <v>1</v>
      </c>
      <c r="AF2876" s="62" t="n">
        <v>1</v>
      </c>
    </row>
    <row r="2877" customFormat="false" ht="15" hidden="false" customHeight="false" outlineLevel="0" collapsed="false">
      <c r="A2877" s="62" t="n">
        <v>2876</v>
      </c>
      <c r="B2877" s="63" t="n">
        <v>46295.0618518519</v>
      </c>
      <c r="C2877" s="64" t="n">
        <v>46294</v>
      </c>
      <c r="D2877" s="62" t="s">
        <v>501</v>
      </c>
      <c r="E2877" s="62" t="s">
        <v>5241</v>
      </c>
      <c r="F2877" s="62" t="s">
        <v>5241</v>
      </c>
      <c r="G2877" s="62" t="s">
        <v>5242</v>
      </c>
      <c r="H2877" s="62" t="s">
        <v>55</v>
      </c>
      <c r="I2877" s="62" t="s">
        <v>49</v>
      </c>
      <c r="J2877" s="62" t="s">
        <v>3708</v>
      </c>
      <c r="K2877" s="62" t="s">
        <v>209</v>
      </c>
      <c r="L2877" s="62" t="s">
        <v>148</v>
      </c>
      <c r="M2877" s="62" t="n">
        <v>0</v>
      </c>
      <c r="N2877" s="62" t="n">
        <v>2</v>
      </c>
      <c r="O2877" s="62" t="n">
        <v>2</v>
      </c>
      <c r="P2877" s="62" t="n">
        <v>1</v>
      </c>
      <c r="Q2877" s="62" t="n">
        <v>1</v>
      </c>
      <c r="R2877" s="62" t="n">
        <v>0</v>
      </c>
      <c r="S2877" s="62" t="n">
        <v>0</v>
      </c>
      <c r="T2877" s="62" t="n">
        <v>0</v>
      </c>
      <c r="U2877" s="62"/>
      <c r="V2877" s="62"/>
      <c r="W2877" s="62"/>
      <c r="X2877" s="62"/>
      <c r="Y2877" s="62"/>
      <c r="Z2877" s="62" t="s">
        <v>5243</v>
      </c>
      <c r="AA2877" s="62" t="s">
        <v>5244</v>
      </c>
      <c r="AB2877" s="62" t="n">
        <v>1</v>
      </c>
      <c r="AC2877" s="62" t="n">
        <v>0</v>
      </c>
      <c r="AD2877" s="62" t="n">
        <v>1</v>
      </c>
      <c r="AE2877" s="62" t="n">
        <f aca="false">IF(AND(Dashboard!$C$9="Yes",AC2877=1),0,1)</f>
        <v>1</v>
      </c>
      <c r="AF2877" s="62" t="n">
        <v>1</v>
      </c>
    </row>
    <row r="2878" customFormat="false" ht="15" hidden="false" customHeight="false" outlineLevel="0" collapsed="false">
      <c r="A2878" s="62" t="n">
        <v>2877</v>
      </c>
      <c r="B2878" s="63" t="n">
        <v>46295.0632407407</v>
      </c>
      <c r="C2878" s="64" t="n">
        <v>46294</v>
      </c>
      <c r="D2878" s="62" t="s">
        <v>501</v>
      </c>
      <c r="E2878" s="62" t="s">
        <v>5241</v>
      </c>
      <c r="F2878" s="62" t="s">
        <v>5241</v>
      </c>
      <c r="G2878" s="62" t="s">
        <v>5242</v>
      </c>
      <c r="H2878" s="62" t="s">
        <v>55</v>
      </c>
      <c r="I2878" s="62" t="s">
        <v>49</v>
      </c>
      <c r="J2878" s="62" t="s">
        <v>3708</v>
      </c>
      <c r="K2878" s="62" t="s">
        <v>209</v>
      </c>
      <c r="L2878" s="62" t="s">
        <v>4</v>
      </c>
      <c r="M2878" s="62" t="n">
        <v>1</v>
      </c>
      <c r="N2878" s="62" t="n">
        <v>0</v>
      </c>
      <c r="O2878" s="62" t="n">
        <v>1</v>
      </c>
      <c r="P2878" s="62" t="n">
        <v>0</v>
      </c>
      <c r="Q2878" s="62" t="n">
        <v>0</v>
      </c>
      <c r="R2878" s="62" t="n">
        <v>0</v>
      </c>
      <c r="S2878" s="62" t="n">
        <v>0</v>
      </c>
      <c r="T2878" s="62" t="n">
        <v>0</v>
      </c>
      <c r="U2878" s="62" t="s">
        <v>2056</v>
      </c>
      <c r="V2878" s="62" t="s">
        <v>2057</v>
      </c>
      <c r="W2878" s="62" t="s">
        <v>15</v>
      </c>
      <c r="X2878" s="62" t="s">
        <v>2103</v>
      </c>
      <c r="Y2878" s="62" t="s">
        <v>2059</v>
      </c>
      <c r="Z2878" s="62" t="s">
        <v>5245</v>
      </c>
      <c r="AA2878" s="62" t="s">
        <v>4486</v>
      </c>
      <c r="AB2878" s="62" t="n">
        <v>0</v>
      </c>
      <c r="AC2878" s="62" t="n">
        <v>0</v>
      </c>
      <c r="AD2878" s="62" t="n">
        <v>1</v>
      </c>
      <c r="AE2878" s="62" t="n">
        <f aca="false">IF(AND(Dashboard!$C$9="Yes",AC2878=1),0,1)</f>
        <v>1</v>
      </c>
      <c r="AF2878" s="62" t="n">
        <v>0</v>
      </c>
    </row>
    <row r="2879" customFormat="false" ht="15" hidden="false" customHeight="false" outlineLevel="0" collapsed="false">
      <c r="A2879" s="62" t="n">
        <v>2878</v>
      </c>
      <c r="B2879" s="63" t="n">
        <v>46295.069224537</v>
      </c>
      <c r="C2879" s="64" t="n">
        <v>46294</v>
      </c>
      <c r="D2879" s="62" t="s">
        <v>501</v>
      </c>
      <c r="E2879" s="62" t="s">
        <v>5246</v>
      </c>
      <c r="F2879" s="62" t="s">
        <v>5246</v>
      </c>
      <c r="G2879" s="62" t="s">
        <v>5247</v>
      </c>
      <c r="H2879" s="62" t="s">
        <v>55</v>
      </c>
      <c r="I2879" s="62" t="s">
        <v>49</v>
      </c>
      <c r="J2879" s="62" t="s">
        <v>3708</v>
      </c>
      <c r="K2879" s="62" t="s">
        <v>209</v>
      </c>
      <c r="L2879" s="62" t="s">
        <v>148</v>
      </c>
      <c r="M2879" s="62" t="n">
        <v>0</v>
      </c>
      <c r="N2879" s="62" t="n">
        <v>2</v>
      </c>
      <c r="O2879" s="62" t="n">
        <v>2</v>
      </c>
      <c r="P2879" s="62" t="n">
        <v>1</v>
      </c>
      <c r="Q2879" s="62" t="n">
        <v>1</v>
      </c>
      <c r="R2879" s="62" t="n">
        <v>0</v>
      </c>
      <c r="S2879" s="62" t="n">
        <v>0</v>
      </c>
      <c r="T2879" s="62" t="n">
        <v>0</v>
      </c>
      <c r="U2879" s="62"/>
      <c r="V2879" s="62"/>
      <c r="W2879" s="62"/>
      <c r="X2879" s="62"/>
      <c r="Y2879" s="62"/>
      <c r="Z2879" s="62" t="s">
        <v>5248</v>
      </c>
      <c r="AA2879" s="62" t="s">
        <v>5249</v>
      </c>
      <c r="AB2879" s="62" t="n">
        <v>1</v>
      </c>
      <c r="AC2879" s="62" t="n">
        <v>0</v>
      </c>
      <c r="AD2879" s="62" t="n">
        <v>1</v>
      </c>
      <c r="AE2879" s="62" t="n">
        <f aca="false">IF(AND(Dashboard!$C$9="Yes",AC2879=1),0,1)</f>
        <v>1</v>
      </c>
      <c r="AF2879" s="62" t="n">
        <v>1</v>
      </c>
    </row>
    <row r="2880" customFormat="false" ht="15" hidden="false" customHeight="false" outlineLevel="0" collapsed="false">
      <c r="A2880" s="62" t="n">
        <v>2879</v>
      </c>
      <c r="B2880" s="63" t="n">
        <v>46295.074537037</v>
      </c>
      <c r="C2880" s="64" t="n">
        <v>46294</v>
      </c>
      <c r="D2880" s="62" t="s">
        <v>501</v>
      </c>
      <c r="E2880" s="62" t="s">
        <v>5250</v>
      </c>
      <c r="F2880" s="62" t="s">
        <v>5250</v>
      </c>
      <c r="G2880" s="62" t="s">
        <v>5251</v>
      </c>
      <c r="H2880" s="62" t="s">
        <v>55</v>
      </c>
      <c r="I2880" s="62" t="s">
        <v>49</v>
      </c>
      <c r="J2880" s="62" t="s">
        <v>3708</v>
      </c>
      <c r="K2880" s="62" t="s">
        <v>209</v>
      </c>
      <c r="L2880" s="62" t="s">
        <v>148</v>
      </c>
      <c r="M2880" s="62" t="n">
        <v>0</v>
      </c>
      <c r="N2880" s="62" t="n">
        <v>1</v>
      </c>
      <c r="O2880" s="62" t="n">
        <v>1</v>
      </c>
      <c r="P2880" s="62" t="n">
        <v>1</v>
      </c>
      <c r="Q2880" s="62" t="n">
        <v>0</v>
      </c>
      <c r="R2880" s="62" t="n">
        <v>0</v>
      </c>
      <c r="S2880" s="62" t="n">
        <v>0</v>
      </c>
      <c r="T2880" s="62" t="n">
        <v>0</v>
      </c>
      <c r="U2880" s="62"/>
      <c r="V2880" s="62"/>
      <c r="W2880" s="62"/>
      <c r="X2880" s="62"/>
      <c r="Y2880" s="62"/>
      <c r="Z2880" s="62" t="s">
        <v>5252</v>
      </c>
      <c r="AA2880" s="62" t="s">
        <v>5253</v>
      </c>
      <c r="AB2880" s="62" t="n">
        <v>1</v>
      </c>
      <c r="AC2880" s="62" t="n">
        <v>0</v>
      </c>
      <c r="AD2880" s="62" t="n">
        <v>1</v>
      </c>
      <c r="AE2880" s="62" t="n">
        <f aca="false">IF(AND(Dashboard!$C$9="Yes",AC2880=1),0,1)</f>
        <v>1</v>
      </c>
      <c r="AF2880" s="62" t="n">
        <v>1</v>
      </c>
    </row>
    <row r="2881" customFormat="false" ht="15" hidden="false" customHeight="false" outlineLevel="0" collapsed="false">
      <c r="A2881" s="62" t="n">
        <v>2880</v>
      </c>
      <c r="B2881" s="63" t="n">
        <v>46295.0811458333</v>
      </c>
      <c r="C2881" s="64" t="n">
        <v>46294</v>
      </c>
      <c r="D2881" s="62" t="s">
        <v>501</v>
      </c>
      <c r="E2881" s="62" t="s">
        <v>2583</v>
      </c>
      <c r="F2881" s="62" t="s">
        <v>2583</v>
      </c>
      <c r="G2881" s="62" t="s">
        <v>2584</v>
      </c>
      <c r="H2881" s="62" t="s">
        <v>59</v>
      </c>
      <c r="I2881" s="62" t="s">
        <v>47</v>
      </c>
      <c r="J2881" s="62" t="s">
        <v>146</v>
      </c>
      <c r="K2881" s="62" t="s">
        <v>147</v>
      </c>
      <c r="L2881" s="62" t="s">
        <v>148</v>
      </c>
      <c r="M2881" s="62" t="n">
        <v>0</v>
      </c>
      <c r="N2881" s="62" t="n">
        <v>2</v>
      </c>
      <c r="O2881" s="62" t="n">
        <v>2</v>
      </c>
      <c r="P2881" s="62" t="n">
        <v>0</v>
      </c>
      <c r="Q2881" s="62" t="n">
        <v>0</v>
      </c>
      <c r="R2881" s="62" t="n">
        <v>0</v>
      </c>
      <c r="S2881" s="62" t="n">
        <v>1</v>
      </c>
      <c r="T2881" s="62" t="n">
        <v>1</v>
      </c>
      <c r="U2881" s="62"/>
      <c r="V2881" s="62"/>
      <c r="W2881" s="62"/>
      <c r="X2881" s="62"/>
      <c r="Y2881" s="62"/>
      <c r="Z2881" s="62" t="s">
        <v>5254</v>
      </c>
      <c r="AA2881" s="62" t="s">
        <v>3381</v>
      </c>
      <c r="AB2881" s="62" t="n">
        <v>1</v>
      </c>
      <c r="AC2881" s="62" t="n">
        <v>0</v>
      </c>
      <c r="AD2881" s="62" t="n">
        <v>1</v>
      </c>
      <c r="AE2881" s="62" t="n">
        <f aca="false">IF(AND(Dashboard!$C$9="Yes",AC2881=1),0,1)</f>
        <v>1</v>
      </c>
      <c r="AF2881" s="62" t="n">
        <v>0</v>
      </c>
    </row>
    <row r="2882" customFormat="false" ht="15" hidden="false" customHeight="false" outlineLevel="0" collapsed="false">
      <c r="A2882" s="62" t="n">
        <v>2881</v>
      </c>
      <c r="B2882" s="63" t="n">
        <v>46295.0817361111</v>
      </c>
      <c r="C2882" s="64" t="n">
        <v>46294</v>
      </c>
      <c r="D2882" s="62" t="s">
        <v>501</v>
      </c>
      <c r="E2882" s="62" t="s">
        <v>5255</v>
      </c>
      <c r="F2882" s="62" t="s">
        <v>5255</v>
      </c>
      <c r="G2882" s="62" t="s">
        <v>5256</v>
      </c>
      <c r="H2882" s="62" t="s">
        <v>55</v>
      </c>
      <c r="I2882" s="62" t="s">
        <v>49</v>
      </c>
      <c r="J2882" s="62" t="s">
        <v>3708</v>
      </c>
      <c r="K2882" s="62" t="s">
        <v>209</v>
      </c>
      <c r="L2882" s="62" t="s">
        <v>4</v>
      </c>
      <c r="M2882" s="62" t="n">
        <v>1</v>
      </c>
      <c r="N2882" s="62" t="n">
        <v>0</v>
      </c>
      <c r="O2882" s="62" t="n">
        <v>1</v>
      </c>
      <c r="P2882" s="62" t="n">
        <v>0</v>
      </c>
      <c r="Q2882" s="62" t="n">
        <v>0</v>
      </c>
      <c r="R2882" s="62" t="n">
        <v>0</v>
      </c>
      <c r="S2882" s="62" t="n">
        <v>0</v>
      </c>
      <c r="T2882" s="62" t="n">
        <v>0</v>
      </c>
      <c r="U2882" s="62" t="s">
        <v>2056</v>
      </c>
      <c r="V2882" s="62" t="s">
        <v>2057</v>
      </c>
      <c r="W2882" s="62" t="s">
        <v>15</v>
      </c>
      <c r="X2882" s="62" t="s">
        <v>2058</v>
      </c>
      <c r="Y2882" s="62" t="s">
        <v>2059</v>
      </c>
      <c r="Z2882" s="62" t="s">
        <v>5257</v>
      </c>
      <c r="AA2882" s="62" t="s">
        <v>5258</v>
      </c>
      <c r="AB2882" s="62" t="n">
        <v>1</v>
      </c>
      <c r="AC2882" s="62" t="n">
        <v>0</v>
      </c>
      <c r="AD2882" s="62" t="n">
        <v>1</v>
      </c>
      <c r="AE2882" s="62" t="n">
        <f aca="false">IF(AND(Dashboard!$C$9="Yes",AC2882=1),0,1)</f>
        <v>1</v>
      </c>
      <c r="AF2882" s="62" t="n">
        <v>1</v>
      </c>
    </row>
    <row r="2883" customFormat="false" ht="15" hidden="false" customHeight="false" outlineLevel="0" collapsed="false">
      <c r="A2883" s="62" t="n">
        <v>2882</v>
      </c>
      <c r="B2883" s="63" t="n">
        <v>46295.0830324074</v>
      </c>
      <c r="C2883" s="64" t="n">
        <v>46294</v>
      </c>
      <c r="D2883" s="62" t="s">
        <v>501</v>
      </c>
      <c r="E2883" s="62" t="s">
        <v>5255</v>
      </c>
      <c r="F2883" s="62" t="s">
        <v>5255</v>
      </c>
      <c r="G2883" s="62" t="s">
        <v>5256</v>
      </c>
      <c r="H2883" s="62" t="s">
        <v>55</v>
      </c>
      <c r="I2883" s="62" t="s">
        <v>49</v>
      </c>
      <c r="J2883" s="62" t="s">
        <v>3708</v>
      </c>
      <c r="K2883" s="62" t="s">
        <v>209</v>
      </c>
      <c r="L2883" s="62" t="s">
        <v>4</v>
      </c>
      <c r="M2883" s="62" t="n">
        <v>1</v>
      </c>
      <c r="N2883" s="62" t="n">
        <v>0</v>
      </c>
      <c r="O2883" s="62" t="n">
        <v>1</v>
      </c>
      <c r="P2883" s="62" t="n">
        <v>0</v>
      </c>
      <c r="Q2883" s="62" t="n">
        <v>0</v>
      </c>
      <c r="R2883" s="62" t="n">
        <v>0</v>
      </c>
      <c r="S2883" s="62" t="n">
        <v>0</v>
      </c>
      <c r="T2883" s="62" t="n">
        <v>0</v>
      </c>
      <c r="U2883" s="62" t="s">
        <v>2056</v>
      </c>
      <c r="V2883" s="62" t="s">
        <v>2057</v>
      </c>
      <c r="W2883" s="62" t="s">
        <v>2056</v>
      </c>
      <c r="X2883" s="62" t="s">
        <v>2164</v>
      </c>
      <c r="Y2883" s="62" t="s">
        <v>2165</v>
      </c>
      <c r="Z2883" s="62" t="s">
        <v>5257</v>
      </c>
      <c r="AA2883" s="62" t="s">
        <v>5258</v>
      </c>
      <c r="AB2883" s="62" t="n">
        <v>1</v>
      </c>
      <c r="AC2883" s="62" t="n">
        <v>1</v>
      </c>
      <c r="AD2883" s="62" t="n">
        <v>1</v>
      </c>
      <c r="AE2883" s="62" t="n">
        <f aca="false">IF(AND(Dashboard!$C$9="Yes",AC2883=1),0,1)</f>
        <v>0</v>
      </c>
      <c r="AF2883" s="62" t="n">
        <v>0</v>
      </c>
    </row>
    <row r="2884" customFormat="false" ht="15" hidden="false" customHeight="false" outlineLevel="0" collapsed="false">
      <c r="A2884" s="62" t="n">
        <v>2883</v>
      </c>
      <c r="B2884" s="63" t="n">
        <v>46295.0835648148</v>
      </c>
      <c r="C2884" s="64" t="n">
        <v>46294</v>
      </c>
      <c r="D2884" s="62" t="s">
        <v>501</v>
      </c>
      <c r="E2884" s="62" t="s">
        <v>5255</v>
      </c>
      <c r="F2884" s="62" t="s">
        <v>5255</v>
      </c>
      <c r="G2884" s="62" t="s">
        <v>5256</v>
      </c>
      <c r="H2884" s="62" t="s">
        <v>55</v>
      </c>
      <c r="I2884" s="62" t="s">
        <v>49</v>
      </c>
      <c r="J2884" s="62" t="s">
        <v>3708</v>
      </c>
      <c r="K2884" s="62" t="s">
        <v>209</v>
      </c>
      <c r="L2884" s="62" t="s">
        <v>4</v>
      </c>
      <c r="M2884" s="62" t="n">
        <v>1</v>
      </c>
      <c r="N2884" s="62" t="n">
        <v>0</v>
      </c>
      <c r="O2884" s="62" t="n">
        <v>1</v>
      </c>
      <c r="P2884" s="62" t="n">
        <v>0</v>
      </c>
      <c r="Q2884" s="62" t="n">
        <v>0</v>
      </c>
      <c r="R2884" s="62" t="n">
        <v>0</v>
      </c>
      <c r="S2884" s="62" t="n">
        <v>0</v>
      </c>
      <c r="T2884" s="62" t="n">
        <v>0</v>
      </c>
      <c r="U2884" s="62" t="s">
        <v>2056</v>
      </c>
      <c r="V2884" s="62" t="s">
        <v>2057</v>
      </c>
      <c r="W2884" s="62" t="s">
        <v>2056</v>
      </c>
      <c r="X2884" s="62" t="s">
        <v>2164</v>
      </c>
      <c r="Y2884" s="62" t="s">
        <v>2165</v>
      </c>
      <c r="Z2884" s="62" t="s">
        <v>5257</v>
      </c>
      <c r="AA2884" s="62" t="s">
        <v>5259</v>
      </c>
      <c r="AB2884" s="62" t="n">
        <v>0</v>
      </c>
      <c r="AC2884" s="62" t="n">
        <v>0</v>
      </c>
      <c r="AD2884" s="62" t="n">
        <v>1</v>
      </c>
      <c r="AE2884" s="62" t="n">
        <f aca="false">IF(AND(Dashboard!$C$9="Yes",AC2884=1),0,1)</f>
        <v>1</v>
      </c>
      <c r="AF2884" s="62" t="n">
        <v>0</v>
      </c>
    </row>
    <row r="2885" customFormat="false" ht="15" hidden="false" customHeight="false" outlineLevel="0" collapsed="false">
      <c r="A2885" s="62" t="n">
        <v>2884</v>
      </c>
      <c r="B2885" s="63" t="n">
        <v>46295.0876273148</v>
      </c>
      <c r="C2885" s="64" t="n">
        <v>46294</v>
      </c>
      <c r="D2885" s="62" t="s">
        <v>501</v>
      </c>
      <c r="E2885" s="62" t="s">
        <v>5250</v>
      </c>
      <c r="F2885" s="62" t="s">
        <v>5250</v>
      </c>
      <c r="G2885" s="62" t="s">
        <v>5251</v>
      </c>
      <c r="H2885" s="62" t="s">
        <v>55</v>
      </c>
      <c r="I2885" s="62" t="s">
        <v>49</v>
      </c>
      <c r="J2885" s="62" t="s">
        <v>3708</v>
      </c>
      <c r="K2885" s="62" t="s">
        <v>209</v>
      </c>
      <c r="L2885" s="62" t="s">
        <v>148</v>
      </c>
      <c r="M2885" s="62" t="n">
        <v>0</v>
      </c>
      <c r="N2885" s="62" t="n">
        <v>1</v>
      </c>
      <c r="O2885" s="62" t="n">
        <v>1</v>
      </c>
      <c r="P2885" s="62" t="n">
        <v>0</v>
      </c>
      <c r="Q2885" s="62" t="n">
        <v>1</v>
      </c>
      <c r="R2885" s="62" t="n">
        <v>0</v>
      </c>
      <c r="S2885" s="62" t="n">
        <v>0</v>
      </c>
      <c r="T2885" s="62" t="n">
        <v>0</v>
      </c>
      <c r="U2885" s="62"/>
      <c r="V2885" s="62"/>
      <c r="W2885" s="62"/>
      <c r="X2885" s="62"/>
      <c r="Y2885" s="62"/>
      <c r="Z2885" s="62" t="s">
        <v>5260</v>
      </c>
      <c r="AA2885" s="62" t="s">
        <v>5261</v>
      </c>
      <c r="AB2885" s="62" t="n">
        <v>1</v>
      </c>
      <c r="AC2885" s="62" t="n">
        <v>0</v>
      </c>
      <c r="AD2885" s="62" t="n">
        <v>1</v>
      </c>
      <c r="AE2885" s="62" t="n">
        <f aca="false">IF(AND(Dashboard!$C$9="Yes",AC2885=1),0,1)</f>
        <v>1</v>
      </c>
      <c r="AF2885" s="62" t="n">
        <v>0</v>
      </c>
    </row>
    <row r="2886" customFormat="false" ht="15" hidden="false" customHeight="false" outlineLevel="0" collapsed="false">
      <c r="A2886" s="62" t="n">
        <v>2885</v>
      </c>
      <c r="B2886" s="63" t="n">
        <v>46295.091099537</v>
      </c>
      <c r="C2886" s="64" t="n">
        <v>46294</v>
      </c>
      <c r="D2886" s="62" t="s">
        <v>501</v>
      </c>
      <c r="E2886" s="62" t="s">
        <v>3447</v>
      </c>
      <c r="F2886" s="62" t="s">
        <v>3447</v>
      </c>
      <c r="G2886" s="62" t="s">
        <v>3448</v>
      </c>
      <c r="H2886" s="62" t="s">
        <v>46</v>
      </c>
      <c r="I2886" s="62" t="s">
        <v>47</v>
      </c>
      <c r="J2886" s="62" t="s">
        <v>146</v>
      </c>
      <c r="K2886" s="62" t="s">
        <v>209</v>
      </c>
      <c r="L2886" s="62" t="s">
        <v>4</v>
      </c>
      <c r="M2886" s="62" t="n">
        <v>1</v>
      </c>
      <c r="N2886" s="62" t="n">
        <v>0</v>
      </c>
      <c r="O2886" s="62" t="n">
        <v>1</v>
      </c>
      <c r="P2886" s="62" t="n">
        <v>0</v>
      </c>
      <c r="Q2886" s="62" t="n">
        <v>0</v>
      </c>
      <c r="R2886" s="62" t="n">
        <v>0</v>
      </c>
      <c r="S2886" s="62" t="n">
        <v>0</v>
      </c>
      <c r="T2886" s="62" t="n">
        <v>0</v>
      </c>
      <c r="U2886" s="62" t="s">
        <v>2056</v>
      </c>
      <c r="V2886" s="62" t="s">
        <v>2057</v>
      </c>
      <c r="W2886" s="62" t="s">
        <v>15</v>
      </c>
      <c r="X2886" s="62" t="s">
        <v>2058</v>
      </c>
      <c r="Y2886" s="62" t="s">
        <v>2059</v>
      </c>
      <c r="Z2886" s="62" t="s">
        <v>5262</v>
      </c>
      <c r="AA2886" s="62" t="s">
        <v>5263</v>
      </c>
      <c r="AB2886" s="62" t="n">
        <v>1</v>
      </c>
      <c r="AC2886" s="62" t="n">
        <v>0</v>
      </c>
      <c r="AD2886" s="62" t="n">
        <v>1</v>
      </c>
      <c r="AE2886" s="62" t="n">
        <f aca="false">IF(AND(Dashboard!$C$9="Yes",AC2886=1),0,1)</f>
        <v>1</v>
      </c>
      <c r="AF2886" s="62" t="n">
        <v>1</v>
      </c>
    </row>
    <row r="2887" customFormat="false" ht="15" hidden="false" customHeight="false" outlineLevel="0" collapsed="false">
      <c r="A2887" s="62" t="n">
        <v>2886</v>
      </c>
      <c r="B2887" s="63" t="n">
        <v>46295.1232407407</v>
      </c>
      <c r="C2887" s="64" t="n">
        <v>46294</v>
      </c>
      <c r="D2887" s="62" t="s">
        <v>501</v>
      </c>
      <c r="E2887" s="62" t="s">
        <v>207</v>
      </c>
      <c r="F2887" s="62" t="s">
        <v>207</v>
      </c>
      <c r="G2887" s="62" t="s">
        <v>208</v>
      </c>
      <c r="H2887" s="62" t="s">
        <v>48</v>
      </c>
      <c r="I2887" s="62" t="s">
        <v>49</v>
      </c>
      <c r="J2887" s="62" t="s">
        <v>146</v>
      </c>
      <c r="K2887" s="62" t="s">
        <v>209</v>
      </c>
      <c r="L2887" s="62" t="s">
        <v>148</v>
      </c>
      <c r="M2887" s="62" t="n">
        <v>0</v>
      </c>
      <c r="N2887" s="62" t="n">
        <v>2</v>
      </c>
      <c r="O2887" s="62" t="n">
        <v>2</v>
      </c>
      <c r="P2887" s="62" t="n">
        <v>1</v>
      </c>
      <c r="Q2887" s="62" t="n">
        <v>1</v>
      </c>
      <c r="R2887" s="62" t="n">
        <v>0</v>
      </c>
      <c r="S2887" s="62" t="n">
        <v>0</v>
      </c>
      <c r="T2887" s="62" t="n">
        <v>0</v>
      </c>
      <c r="U2887" s="62"/>
      <c r="V2887" s="62"/>
      <c r="W2887" s="62"/>
      <c r="X2887" s="62"/>
      <c r="Y2887" s="62"/>
      <c r="Z2887" s="62" t="s">
        <v>5264</v>
      </c>
      <c r="AA2887" s="62" t="s">
        <v>5265</v>
      </c>
      <c r="AB2887" s="62" t="n">
        <v>1</v>
      </c>
      <c r="AC2887" s="62" t="n">
        <v>0</v>
      </c>
      <c r="AD2887" s="62" t="n">
        <v>1</v>
      </c>
      <c r="AE2887" s="62" t="n">
        <f aca="false">IF(AND(Dashboard!$C$9="Yes",AC2887=1),0,1)</f>
        <v>1</v>
      </c>
      <c r="AF2887" s="62" t="n">
        <v>0</v>
      </c>
    </row>
    <row r="2888" customFormat="false" ht="15" hidden="false" customHeight="false" outlineLevel="0" collapsed="false">
      <c r="A2888" s="62" t="n">
        <v>2887</v>
      </c>
      <c r="B2888" s="63" t="n">
        <v>46295.1313078704</v>
      </c>
      <c r="C2888" s="64" t="n">
        <v>46294</v>
      </c>
      <c r="D2888" s="62" t="s">
        <v>501</v>
      </c>
      <c r="E2888" s="62" t="s">
        <v>5241</v>
      </c>
      <c r="F2888" s="62" t="s">
        <v>5241</v>
      </c>
      <c r="G2888" s="62" t="s">
        <v>5242</v>
      </c>
      <c r="H2888" s="62" t="s">
        <v>55</v>
      </c>
      <c r="I2888" s="62" t="s">
        <v>49</v>
      </c>
      <c r="J2888" s="62" t="s">
        <v>3708</v>
      </c>
      <c r="K2888" s="62" t="s">
        <v>209</v>
      </c>
      <c r="L2888" s="62" t="s">
        <v>4</v>
      </c>
      <c r="M2888" s="62" t="n">
        <v>1</v>
      </c>
      <c r="N2888" s="62" t="n">
        <v>0</v>
      </c>
      <c r="O2888" s="62" t="n">
        <v>1</v>
      </c>
      <c r="P2888" s="62" t="n">
        <v>0</v>
      </c>
      <c r="Q2888" s="62" t="n">
        <v>0</v>
      </c>
      <c r="R2888" s="62" t="n">
        <v>0</v>
      </c>
      <c r="S2888" s="62" t="n">
        <v>0</v>
      </c>
      <c r="T2888" s="62" t="n">
        <v>0</v>
      </c>
      <c r="U2888" s="62" t="s">
        <v>15</v>
      </c>
      <c r="V2888" s="62" t="s">
        <v>2057</v>
      </c>
      <c r="W2888" s="62" t="s">
        <v>15</v>
      </c>
      <c r="X2888" s="62" t="s">
        <v>2058</v>
      </c>
      <c r="Y2888" s="62" t="s">
        <v>2103</v>
      </c>
      <c r="Z2888" s="62" t="s">
        <v>5266</v>
      </c>
      <c r="AA2888" s="62" t="s">
        <v>5267</v>
      </c>
      <c r="AB2888" s="62" t="n">
        <v>1</v>
      </c>
      <c r="AC2888" s="62" t="n">
        <v>0</v>
      </c>
      <c r="AD2888" s="62" t="n">
        <v>1</v>
      </c>
      <c r="AE2888" s="62" t="n">
        <f aca="false">IF(AND(Dashboard!$C$9="Yes",AC2888=1),0,1)</f>
        <v>1</v>
      </c>
      <c r="AF2888" s="62" t="n">
        <v>0</v>
      </c>
    </row>
    <row r="2889" customFormat="false" ht="15" hidden="false" customHeight="false" outlineLevel="0" collapsed="false">
      <c r="A2889" s="62" t="n">
        <v>2888</v>
      </c>
      <c r="B2889" s="63" t="n">
        <v>46295.1382175926</v>
      </c>
      <c r="C2889" s="64" t="n">
        <v>46294</v>
      </c>
      <c r="D2889" s="62" t="s">
        <v>501</v>
      </c>
      <c r="E2889" s="62" t="s">
        <v>3226</v>
      </c>
      <c r="F2889" s="62" t="s">
        <v>3226</v>
      </c>
      <c r="G2889" s="62" t="s">
        <v>3227</v>
      </c>
      <c r="H2889" s="62" t="s">
        <v>46</v>
      </c>
      <c r="I2889" s="62" t="s">
        <v>47</v>
      </c>
      <c r="J2889" s="62" t="s">
        <v>146</v>
      </c>
      <c r="K2889" s="62" t="s">
        <v>209</v>
      </c>
      <c r="L2889" s="62" t="s">
        <v>148</v>
      </c>
      <c r="M2889" s="62" t="n">
        <v>0</v>
      </c>
      <c r="N2889" s="62" t="n">
        <v>1</v>
      </c>
      <c r="O2889" s="62" t="n">
        <v>1</v>
      </c>
      <c r="P2889" s="62" t="n">
        <v>1</v>
      </c>
      <c r="Q2889" s="62" t="n">
        <v>0</v>
      </c>
      <c r="R2889" s="62" t="n">
        <v>0</v>
      </c>
      <c r="S2889" s="62" t="n">
        <v>0</v>
      </c>
      <c r="T2889" s="62" t="n">
        <v>0</v>
      </c>
      <c r="U2889" s="62"/>
      <c r="V2889" s="62"/>
      <c r="W2889" s="62"/>
      <c r="X2889" s="62"/>
      <c r="Y2889" s="62"/>
      <c r="Z2889" s="62" t="s">
        <v>5268</v>
      </c>
      <c r="AA2889" s="62" t="s">
        <v>5269</v>
      </c>
      <c r="AB2889" s="62" t="n">
        <v>1</v>
      </c>
      <c r="AC2889" s="62" t="n">
        <v>0</v>
      </c>
      <c r="AD2889" s="62" t="n">
        <v>1</v>
      </c>
      <c r="AE2889" s="62" t="n">
        <f aca="false">IF(AND(Dashboard!$C$9="Yes",AC2889=1),0,1)</f>
        <v>1</v>
      </c>
      <c r="AF2889" s="62" t="n">
        <v>0</v>
      </c>
    </row>
    <row r="2890" customFormat="false" ht="15" hidden="false" customHeight="false" outlineLevel="0" collapsed="false">
      <c r="A2890" s="62" t="n">
        <v>2889</v>
      </c>
      <c r="B2890" s="63" t="n">
        <v>46295.1419675926</v>
      </c>
      <c r="C2890" s="64" t="n">
        <v>46294</v>
      </c>
      <c r="D2890" s="62" t="s">
        <v>501</v>
      </c>
      <c r="E2890" s="62" t="s">
        <v>5270</v>
      </c>
      <c r="F2890" s="62" t="s">
        <v>5270</v>
      </c>
      <c r="G2890" s="62" t="s">
        <v>5271</v>
      </c>
      <c r="H2890" s="62" t="s">
        <v>55</v>
      </c>
      <c r="I2890" s="62" t="s">
        <v>49</v>
      </c>
      <c r="J2890" s="62" t="s">
        <v>3708</v>
      </c>
      <c r="K2890" s="62" t="s">
        <v>209</v>
      </c>
      <c r="L2890" s="62" t="s">
        <v>148</v>
      </c>
      <c r="M2890" s="62" t="n">
        <v>0</v>
      </c>
      <c r="N2890" s="62" t="n">
        <v>2</v>
      </c>
      <c r="O2890" s="62" t="n">
        <v>2</v>
      </c>
      <c r="P2890" s="62" t="n">
        <v>1</v>
      </c>
      <c r="Q2890" s="62" t="n">
        <v>1</v>
      </c>
      <c r="R2890" s="62" t="n">
        <v>0</v>
      </c>
      <c r="S2890" s="62" t="n">
        <v>0</v>
      </c>
      <c r="T2890" s="62" t="n">
        <v>0</v>
      </c>
      <c r="U2890" s="62"/>
      <c r="V2890" s="62"/>
      <c r="W2890" s="62"/>
      <c r="X2890" s="62"/>
      <c r="Y2890" s="62"/>
      <c r="Z2890" s="62" t="s">
        <v>5272</v>
      </c>
      <c r="AA2890" s="62" t="s">
        <v>5273</v>
      </c>
      <c r="AB2890" s="62" t="n">
        <v>1</v>
      </c>
      <c r="AC2890" s="62" t="n">
        <v>0</v>
      </c>
      <c r="AD2890" s="62" t="n">
        <v>1</v>
      </c>
      <c r="AE2890" s="62" t="n">
        <f aca="false">IF(AND(Dashboard!$C$9="Yes",AC2890=1),0,1)</f>
        <v>1</v>
      </c>
      <c r="AF2890" s="62" t="n">
        <v>1</v>
      </c>
    </row>
    <row r="2891" customFormat="false" ht="15" hidden="false" customHeight="false" outlineLevel="0" collapsed="false">
      <c r="A2891" s="62" t="n">
        <v>2890</v>
      </c>
      <c r="B2891" s="63" t="n">
        <v>46295.1588310185</v>
      </c>
      <c r="C2891" s="64" t="n">
        <v>46294</v>
      </c>
      <c r="D2891" s="62" t="s">
        <v>501</v>
      </c>
      <c r="E2891" s="62" t="s">
        <v>2476</v>
      </c>
      <c r="F2891" s="62" t="s">
        <v>2476</v>
      </c>
      <c r="G2891" s="62" t="s">
        <v>2477</v>
      </c>
      <c r="H2891" s="62" t="s">
        <v>51</v>
      </c>
      <c r="I2891" s="62" t="s">
        <v>47</v>
      </c>
      <c r="J2891" s="62" t="s">
        <v>146</v>
      </c>
      <c r="K2891" s="62" t="s">
        <v>209</v>
      </c>
      <c r="L2891" s="62" t="s">
        <v>4</v>
      </c>
      <c r="M2891" s="62" t="n">
        <v>1</v>
      </c>
      <c r="N2891" s="62" t="n">
        <v>0</v>
      </c>
      <c r="O2891" s="62" t="n">
        <v>1</v>
      </c>
      <c r="P2891" s="62" t="n">
        <v>0</v>
      </c>
      <c r="Q2891" s="62" t="n">
        <v>0</v>
      </c>
      <c r="R2891" s="62" t="n">
        <v>0</v>
      </c>
      <c r="S2891" s="62" t="n">
        <v>0</v>
      </c>
      <c r="T2891" s="62" t="n">
        <v>0</v>
      </c>
      <c r="U2891" s="62" t="s">
        <v>2056</v>
      </c>
      <c r="V2891" s="62" t="s">
        <v>2068</v>
      </c>
      <c r="W2891" s="62"/>
      <c r="X2891" s="62"/>
      <c r="Y2891" s="62" t="s">
        <v>2059</v>
      </c>
      <c r="Z2891" s="62" t="s">
        <v>5274</v>
      </c>
      <c r="AA2891" s="62" t="s">
        <v>5275</v>
      </c>
      <c r="AB2891" s="62" t="n">
        <v>1</v>
      </c>
      <c r="AC2891" s="62" t="n">
        <v>0</v>
      </c>
      <c r="AD2891" s="62" t="n">
        <v>1</v>
      </c>
      <c r="AE2891" s="62" t="n">
        <f aca="false">IF(AND(Dashboard!$C$9="Yes",AC2891=1),0,1)</f>
        <v>1</v>
      </c>
      <c r="AF2891" s="62" t="n">
        <v>1</v>
      </c>
    </row>
    <row r="2892" customFormat="false" ht="15" hidden="false" customHeight="false" outlineLevel="0" collapsed="false">
      <c r="A2892" s="62" t="n">
        <v>2891</v>
      </c>
      <c r="B2892" s="63" t="n">
        <v>46295.1588541667</v>
      </c>
      <c r="C2892" s="64" t="n">
        <v>46294</v>
      </c>
      <c r="D2892" s="62" t="s">
        <v>501</v>
      </c>
      <c r="E2892" s="62" t="s">
        <v>5250</v>
      </c>
      <c r="F2892" s="62" t="s">
        <v>5250</v>
      </c>
      <c r="G2892" s="62" t="s">
        <v>5251</v>
      </c>
      <c r="H2892" s="62" t="s">
        <v>55</v>
      </c>
      <c r="I2892" s="62" t="s">
        <v>49</v>
      </c>
      <c r="J2892" s="62" t="s">
        <v>3708</v>
      </c>
      <c r="K2892" s="62" t="s">
        <v>209</v>
      </c>
      <c r="L2892" s="62" t="s">
        <v>148</v>
      </c>
      <c r="M2892" s="62" t="n">
        <v>0</v>
      </c>
      <c r="N2892" s="62" t="n">
        <v>2</v>
      </c>
      <c r="O2892" s="62" t="n">
        <v>2</v>
      </c>
      <c r="P2892" s="62" t="n">
        <v>1</v>
      </c>
      <c r="Q2892" s="62" t="n">
        <v>1</v>
      </c>
      <c r="R2892" s="62" t="n">
        <v>0</v>
      </c>
      <c r="S2892" s="62" t="n">
        <v>0</v>
      </c>
      <c r="T2892" s="62" t="n">
        <v>0</v>
      </c>
      <c r="U2892" s="62"/>
      <c r="V2892" s="62"/>
      <c r="W2892" s="62"/>
      <c r="X2892" s="62"/>
      <c r="Y2892" s="62"/>
      <c r="Z2892" s="62" t="s">
        <v>5276</v>
      </c>
      <c r="AA2892" s="62" t="s">
        <v>5277</v>
      </c>
      <c r="AB2892" s="62" t="n">
        <v>1</v>
      </c>
      <c r="AC2892" s="62" t="n">
        <v>0</v>
      </c>
      <c r="AD2892" s="62" t="n">
        <v>1</v>
      </c>
      <c r="AE2892" s="62" t="n">
        <f aca="false">IF(AND(Dashboard!$C$9="Yes",AC2892=1),0,1)</f>
        <v>1</v>
      </c>
      <c r="AF2892" s="62" t="n">
        <v>0</v>
      </c>
    </row>
    <row r="2893" customFormat="false" ht="15" hidden="false" customHeight="false" outlineLevel="0" collapsed="false">
      <c r="A2893" s="62" t="n">
        <v>2892</v>
      </c>
      <c r="B2893" s="63" t="n">
        <v>46295.2130439815</v>
      </c>
      <c r="C2893" s="64" t="n">
        <v>46294</v>
      </c>
      <c r="D2893" s="62" t="s">
        <v>501</v>
      </c>
      <c r="E2893" s="62" t="s">
        <v>207</v>
      </c>
      <c r="F2893" s="62" t="s">
        <v>207</v>
      </c>
      <c r="G2893" s="62" t="s">
        <v>208</v>
      </c>
      <c r="H2893" s="62" t="s">
        <v>48</v>
      </c>
      <c r="I2893" s="62" t="s">
        <v>49</v>
      </c>
      <c r="J2893" s="62" t="s">
        <v>146</v>
      </c>
      <c r="K2893" s="62" t="s">
        <v>209</v>
      </c>
      <c r="L2893" s="62" t="s">
        <v>148</v>
      </c>
      <c r="M2893" s="62" t="n">
        <v>0</v>
      </c>
      <c r="N2893" s="62" t="n">
        <v>2</v>
      </c>
      <c r="O2893" s="62" t="n">
        <v>2</v>
      </c>
      <c r="P2893" s="62" t="n">
        <v>1</v>
      </c>
      <c r="Q2893" s="62" t="n">
        <v>1</v>
      </c>
      <c r="R2893" s="62" t="n">
        <v>0</v>
      </c>
      <c r="S2893" s="62" t="n">
        <v>0</v>
      </c>
      <c r="T2893" s="62" t="n">
        <v>0</v>
      </c>
      <c r="U2893" s="62"/>
      <c r="V2893" s="62"/>
      <c r="W2893" s="62"/>
      <c r="X2893" s="62"/>
      <c r="Y2893" s="62"/>
      <c r="Z2893" s="62" t="s">
        <v>5278</v>
      </c>
      <c r="AA2893" s="62" t="s">
        <v>5279</v>
      </c>
      <c r="AB2893" s="62" t="n">
        <v>1</v>
      </c>
      <c r="AC2893" s="62" t="n">
        <v>0</v>
      </c>
      <c r="AD2893" s="62" t="n">
        <v>1</v>
      </c>
      <c r="AE2893" s="62" t="n">
        <f aca="false">IF(AND(Dashboard!$C$9="Yes",AC2893=1),0,1)</f>
        <v>1</v>
      </c>
      <c r="AF2893" s="62" t="n">
        <v>0</v>
      </c>
    </row>
    <row r="2894" customFormat="false" ht="15" hidden="false" customHeight="false" outlineLevel="0" collapsed="false">
      <c r="A2894" s="62" t="n">
        <v>2893</v>
      </c>
      <c r="B2894" s="63" t="n">
        <v>46295.2162962963</v>
      </c>
      <c r="C2894" s="64" t="n">
        <v>46294</v>
      </c>
      <c r="D2894" s="62" t="s">
        <v>501</v>
      </c>
      <c r="E2894" s="62" t="s">
        <v>2722</v>
      </c>
      <c r="F2894" s="62" t="s">
        <v>2722</v>
      </c>
      <c r="G2894" s="62" t="s">
        <v>2723</v>
      </c>
      <c r="H2894" s="62" t="s">
        <v>55</v>
      </c>
      <c r="I2894" s="62" t="s">
        <v>49</v>
      </c>
      <c r="J2894" s="62" t="s">
        <v>146</v>
      </c>
      <c r="K2894" s="62" t="s">
        <v>209</v>
      </c>
      <c r="L2894" s="62" t="s">
        <v>148</v>
      </c>
      <c r="M2894" s="62" t="n">
        <v>0</v>
      </c>
      <c r="N2894" s="62" t="n">
        <v>1</v>
      </c>
      <c r="O2894" s="62" t="n">
        <v>1</v>
      </c>
      <c r="P2894" s="62" t="n">
        <v>1</v>
      </c>
      <c r="Q2894" s="62" t="n">
        <v>0</v>
      </c>
      <c r="R2894" s="62" t="n">
        <v>0</v>
      </c>
      <c r="S2894" s="62" t="n">
        <v>0</v>
      </c>
      <c r="T2894" s="62" t="n">
        <v>0</v>
      </c>
      <c r="U2894" s="62"/>
      <c r="V2894" s="62"/>
      <c r="W2894" s="62"/>
      <c r="X2894" s="62"/>
      <c r="Y2894" s="62"/>
      <c r="Z2894" s="62" t="s">
        <v>5280</v>
      </c>
      <c r="AA2894" s="62" t="s">
        <v>5281</v>
      </c>
      <c r="AB2894" s="62" t="n">
        <v>1</v>
      </c>
      <c r="AC2894" s="62" t="n">
        <v>0</v>
      </c>
      <c r="AD2894" s="62" t="n">
        <v>1</v>
      </c>
      <c r="AE2894" s="62" t="n">
        <f aca="false">IF(AND(Dashboard!$C$9="Yes",AC2894=1),0,1)</f>
        <v>1</v>
      </c>
      <c r="AF2894" s="62" t="n">
        <v>1</v>
      </c>
    </row>
    <row r="2895" customFormat="false" ht="15" hidden="false" customHeight="false" outlineLevel="0" collapsed="false">
      <c r="A2895" s="62" t="n">
        <v>2894</v>
      </c>
      <c r="B2895" s="63" t="n">
        <v>46295.2170486111</v>
      </c>
      <c r="C2895" s="64" t="n">
        <v>46294</v>
      </c>
      <c r="D2895" s="62" t="s">
        <v>501</v>
      </c>
      <c r="E2895" s="62" t="s">
        <v>1314</v>
      </c>
      <c r="F2895" s="62" t="s">
        <v>1314</v>
      </c>
      <c r="G2895" s="62" t="s">
        <v>1315</v>
      </c>
      <c r="H2895" s="62" t="s">
        <v>51</v>
      </c>
      <c r="I2895" s="62" t="s">
        <v>47</v>
      </c>
      <c r="J2895" s="62" t="s">
        <v>146</v>
      </c>
      <c r="K2895" s="62" t="s">
        <v>209</v>
      </c>
      <c r="L2895" s="62" t="s">
        <v>4</v>
      </c>
      <c r="M2895" s="62" t="n">
        <v>1</v>
      </c>
      <c r="N2895" s="62" t="n">
        <v>0</v>
      </c>
      <c r="O2895" s="62" t="n">
        <v>1</v>
      </c>
      <c r="P2895" s="62" t="n">
        <v>0</v>
      </c>
      <c r="Q2895" s="62" t="n">
        <v>0</v>
      </c>
      <c r="R2895" s="62" t="n">
        <v>0</v>
      </c>
      <c r="S2895" s="62" t="n">
        <v>0</v>
      </c>
      <c r="T2895" s="62" t="n">
        <v>0</v>
      </c>
      <c r="U2895" s="62" t="s">
        <v>2056</v>
      </c>
      <c r="V2895" s="62" t="s">
        <v>2057</v>
      </c>
      <c r="W2895" s="62" t="s">
        <v>15</v>
      </c>
      <c r="X2895" s="62"/>
      <c r="Y2895" s="62" t="s">
        <v>2059</v>
      </c>
      <c r="Z2895" s="62" t="s">
        <v>5282</v>
      </c>
      <c r="AA2895" s="62" t="s">
        <v>5283</v>
      </c>
      <c r="AB2895" s="62" t="n">
        <v>1</v>
      </c>
      <c r="AC2895" s="62" t="n">
        <v>0</v>
      </c>
      <c r="AD2895" s="62" t="n">
        <v>1</v>
      </c>
      <c r="AE2895" s="62" t="n">
        <f aca="false">IF(AND(Dashboard!$C$9="Yes",AC2895=1),0,1)</f>
        <v>1</v>
      </c>
      <c r="AF2895" s="62" t="n">
        <v>1</v>
      </c>
    </row>
    <row r="2896" customFormat="false" ht="15" hidden="false" customHeight="false" outlineLevel="0" collapsed="false">
      <c r="A2896" s="62" t="n">
        <v>2895</v>
      </c>
      <c r="B2896" s="63" t="n">
        <v>46295.2878587963</v>
      </c>
      <c r="C2896" s="64" t="n">
        <v>46294</v>
      </c>
      <c r="D2896" s="62" t="s">
        <v>501</v>
      </c>
      <c r="E2896" s="62" t="s">
        <v>196</v>
      </c>
      <c r="F2896" s="62" t="s">
        <v>196</v>
      </c>
      <c r="G2896" s="62" t="s">
        <v>197</v>
      </c>
      <c r="H2896" s="62" t="s">
        <v>57</v>
      </c>
      <c r="I2896" s="62" t="s">
        <v>47</v>
      </c>
      <c r="J2896" s="62" t="s">
        <v>146</v>
      </c>
      <c r="K2896" s="62" t="s">
        <v>175</v>
      </c>
      <c r="L2896" s="62" t="s">
        <v>148</v>
      </c>
      <c r="M2896" s="62" t="n">
        <v>0</v>
      </c>
      <c r="N2896" s="62" t="n">
        <v>1</v>
      </c>
      <c r="O2896" s="62" t="n">
        <v>1</v>
      </c>
      <c r="P2896" s="62" t="n">
        <v>0</v>
      </c>
      <c r="Q2896" s="62" t="n">
        <v>1</v>
      </c>
      <c r="R2896" s="62" t="n">
        <v>0</v>
      </c>
      <c r="S2896" s="62" t="n">
        <v>0</v>
      </c>
      <c r="T2896" s="62" t="n">
        <v>0</v>
      </c>
      <c r="U2896" s="62"/>
      <c r="V2896" s="62"/>
      <c r="W2896" s="62"/>
      <c r="X2896" s="62"/>
      <c r="Y2896" s="62"/>
      <c r="Z2896" s="62" t="s">
        <v>5284</v>
      </c>
      <c r="AA2896" s="62" t="s">
        <v>5285</v>
      </c>
      <c r="AB2896" s="62" t="n">
        <v>1</v>
      </c>
      <c r="AC2896" s="62" t="n">
        <v>0</v>
      </c>
      <c r="AD2896" s="62" t="n">
        <v>1</v>
      </c>
      <c r="AE2896" s="62" t="n">
        <f aca="false">IF(AND(Dashboard!$C$9="Yes",AC2896=1),0,1)</f>
        <v>1</v>
      </c>
      <c r="AF2896" s="62" t="n">
        <v>1</v>
      </c>
    </row>
    <row r="2897" customFormat="false" ht="15" hidden="false" customHeight="false" outlineLevel="0" collapsed="false">
      <c r="A2897" s="62" t="n">
        <v>2896</v>
      </c>
      <c r="B2897" s="63" t="n">
        <v>46295.612337963</v>
      </c>
      <c r="C2897" s="64" t="n">
        <v>46295</v>
      </c>
      <c r="D2897" s="62" t="s">
        <v>143</v>
      </c>
      <c r="E2897" s="62" t="s">
        <v>2156</v>
      </c>
      <c r="F2897" s="62" t="s">
        <v>2156</v>
      </c>
      <c r="G2897" s="62" t="s">
        <v>2157</v>
      </c>
      <c r="H2897" s="62" t="s">
        <v>52</v>
      </c>
      <c r="I2897" s="62" t="s">
        <v>47</v>
      </c>
      <c r="J2897" s="62" t="s">
        <v>146</v>
      </c>
      <c r="K2897" s="62" t="s">
        <v>209</v>
      </c>
      <c r="L2897" s="62" t="s">
        <v>148</v>
      </c>
      <c r="M2897" s="62" t="n">
        <v>0</v>
      </c>
      <c r="N2897" s="62" t="n">
        <v>1</v>
      </c>
      <c r="O2897" s="62" t="n">
        <v>1</v>
      </c>
      <c r="P2897" s="62" t="n">
        <v>1</v>
      </c>
      <c r="Q2897" s="62" t="n">
        <v>0</v>
      </c>
      <c r="R2897" s="62" t="n">
        <v>0</v>
      </c>
      <c r="S2897" s="62" t="n">
        <v>0</v>
      </c>
      <c r="T2897" s="62" t="n">
        <v>0</v>
      </c>
      <c r="U2897" s="62"/>
      <c r="V2897" s="62"/>
      <c r="W2897" s="62"/>
      <c r="X2897" s="62"/>
      <c r="Y2897" s="62"/>
      <c r="Z2897" s="62" t="s">
        <v>5286</v>
      </c>
      <c r="AA2897" s="62" t="s">
        <v>5287</v>
      </c>
      <c r="AB2897" s="62" t="n">
        <v>1</v>
      </c>
      <c r="AC2897" s="62" t="n">
        <v>0</v>
      </c>
      <c r="AD2897" s="62" t="n">
        <v>1</v>
      </c>
      <c r="AE2897" s="62" t="n">
        <f aca="false">IF(AND(Dashboard!$C$9="Yes",AC2897=1),0,1)</f>
        <v>1</v>
      </c>
      <c r="AF2897" s="62" t="n">
        <v>1</v>
      </c>
    </row>
    <row r="2898" customFormat="false" ht="15" hidden="false" customHeight="false" outlineLevel="0" collapsed="false">
      <c r="A2898" s="62" t="n">
        <v>2897</v>
      </c>
      <c r="B2898" s="63" t="n">
        <v>46295.6874189815</v>
      </c>
      <c r="C2898" s="64" t="n">
        <v>46295</v>
      </c>
      <c r="D2898" s="62" t="s">
        <v>143</v>
      </c>
      <c r="E2898" s="62" t="s">
        <v>3061</v>
      </c>
      <c r="F2898" s="62" t="s">
        <v>3061</v>
      </c>
      <c r="G2898" s="62" t="s">
        <v>3062</v>
      </c>
      <c r="H2898" s="62" t="s">
        <v>44</v>
      </c>
      <c r="I2898" s="62" t="s">
        <v>49</v>
      </c>
      <c r="J2898" s="62" t="s">
        <v>146</v>
      </c>
      <c r="K2898" s="62" t="s">
        <v>147</v>
      </c>
      <c r="L2898" s="62" t="s">
        <v>148</v>
      </c>
      <c r="M2898" s="62" t="n">
        <v>0</v>
      </c>
      <c r="N2898" s="62" t="n">
        <v>1</v>
      </c>
      <c r="O2898" s="62" t="n">
        <v>1</v>
      </c>
      <c r="P2898" s="62" t="n">
        <v>1</v>
      </c>
      <c r="Q2898" s="62" t="n">
        <v>0</v>
      </c>
      <c r="R2898" s="62" t="n">
        <v>0</v>
      </c>
      <c r="S2898" s="62" t="n">
        <v>0</v>
      </c>
      <c r="T2898" s="62" t="n">
        <v>0</v>
      </c>
      <c r="U2898" s="62"/>
      <c r="V2898" s="62"/>
      <c r="W2898" s="62"/>
      <c r="X2898" s="62"/>
      <c r="Y2898" s="62"/>
      <c r="Z2898" s="62" t="s">
        <v>5288</v>
      </c>
      <c r="AA2898" s="62" t="s">
        <v>5289</v>
      </c>
      <c r="AB2898" s="62" t="n">
        <v>1</v>
      </c>
      <c r="AC2898" s="62" t="n">
        <v>0</v>
      </c>
      <c r="AD2898" s="62" t="n">
        <v>1</v>
      </c>
      <c r="AE2898" s="62" t="n">
        <f aca="false">IF(AND(Dashboard!$C$9="Yes",AC2898=1),0,1)</f>
        <v>1</v>
      </c>
      <c r="AF2898" s="62" t="n">
        <v>1</v>
      </c>
    </row>
    <row r="2899" customFormat="false" ht="15" hidden="false" customHeight="false" outlineLevel="0" collapsed="false">
      <c r="A2899" s="62" t="n">
        <v>2898</v>
      </c>
      <c r="B2899" s="63" t="n">
        <v>46295.6875694445</v>
      </c>
      <c r="C2899" s="64" t="n">
        <v>46295</v>
      </c>
      <c r="D2899" s="62" t="s">
        <v>143</v>
      </c>
      <c r="E2899" s="62" t="s">
        <v>4386</v>
      </c>
      <c r="F2899" s="62" t="s">
        <v>4386</v>
      </c>
      <c r="G2899" s="62" t="s">
        <v>4387</v>
      </c>
      <c r="H2899" s="62" t="s">
        <v>44</v>
      </c>
      <c r="I2899" s="62" t="s">
        <v>49</v>
      </c>
      <c r="J2899" s="62" t="s">
        <v>146</v>
      </c>
      <c r="K2899" s="62" t="s">
        <v>147</v>
      </c>
      <c r="L2899" s="62" t="s">
        <v>148</v>
      </c>
      <c r="M2899" s="62" t="n">
        <v>0</v>
      </c>
      <c r="N2899" s="62" t="n">
        <v>1</v>
      </c>
      <c r="O2899" s="62" t="n">
        <v>1</v>
      </c>
      <c r="P2899" s="62" t="n">
        <v>0</v>
      </c>
      <c r="Q2899" s="62" t="n">
        <v>1</v>
      </c>
      <c r="R2899" s="62" t="n">
        <v>0</v>
      </c>
      <c r="S2899" s="62" t="n">
        <v>0</v>
      </c>
      <c r="T2899" s="62" t="n">
        <v>0</v>
      </c>
      <c r="U2899" s="62"/>
      <c r="V2899" s="62"/>
      <c r="W2899" s="62"/>
      <c r="X2899" s="62"/>
      <c r="Y2899" s="62"/>
      <c r="Z2899" s="62" t="s">
        <v>5290</v>
      </c>
      <c r="AA2899" s="62" t="s">
        <v>5291</v>
      </c>
      <c r="AB2899" s="62" t="n">
        <v>1</v>
      </c>
      <c r="AC2899" s="62" t="n">
        <v>0</v>
      </c>
      <c r="AD2899" s="62" t="n">
        <v>1</v>
      </c>
      <c r="AE2899" s="62" t="n">
        <f aca="false">IF(AND(Dashboard!$C$9="Yes",AC2899=1),0,1)</f>
        <v>1</v>
      </c>
      <c r="AF2899" s="62" t="n">
        <v>1</v>
      </c>
    </row>
    <row r="2900" customFormat="false" ht="15" hidden="false" customHeight="false" outlineLevel="0" collapsed="false">
      <c r="A2900" s="62" t="n">
        <v>2899</v>
      </c>
      <c r="B2900" s="63" t="n">
        <v>46295.6941782407</v>
      </c>
      <c r="C2900" s="64" t="n">
        <v>46295</v>
      </c>
      <c r="D2900" s="62" t="s">
        <v>143</v>
      </c>
      <c r="E2900" s="62" t="s">
        <v>4258</v>
      </c>
      <c r="F2900" s="62" t="s">
        <v>4258</v>
      </c>
      <c r="G2900" s="62" t="s">
        <v>4259</v>
      </c>
      <c r="H2900" s="62" t="s">
        <v>44</v>
      </c>
      <c r="I2900" s="62" t="s">
        <v>49</v>
      </c>
      <c r="J2900" s="62" t="s">
        <v>146</v>
      </c>
      <c r="K2900" s="62" t="s">
        <v>147</v>
      </c>
      <c r="L2900" s="62" t="s">
        <v>148</v>
      </c>
      <c r="M2900" s="62" t="n">
        <v>0</v>
      </c>
      <c r="N2900" s="62" t="n">
        <v>1</v>
      </c>
      <c r="O2900" s="62" t="n">
        <v>1</v>
      </c>
      <c r="P2900" s="62" t="n">
        <v>0</v>
      </c>
      <c r="Q2900" s="62" t="n">
        <v>0</v>
      </c>
      <c r="R2900" s="62" t="n">
        <v>1</v>
      </c>
      <c r="S2900" s="62" t="n">
        <v>0</v>
      </c>
      <c r="T2900" s="62" t="n">
        <v>0</v>
      </c>
      <c r="U2900" s="62"/>
      <c r="V2900" s="62"/>
      <c r="W2900" s="62"/>
      <c r="X2900" s="62"/>
      <c r="Y2900" s="62"/>
      <c r="Z2900" s="62" t="s">
        <v>5292</v>
      </c>
      <c r="AA2900" s="62" t="s">
        <v>5293</v>
      </c>
      <c r="AB2900" s="62" t="n">
        <v>1</v>
      </c>
      <c r="AC2900" s="62" t="n">
        <v>0</v>
      </c>
      <c r="AD2900" s="62" t="n">
        <v>1</v>
      </c>
      <c r="AE2900" s="62" t="n">
        <f aca="false">IF(AND(Dashboard!$C$9="Yes",AC2900=1),0,1)</f>
        <v>1</v>
      </c>
      <c r="AF2900" s="62" t="n">
        <v>1</v>
      </c>
    </row>
    <row r="2901" customFormat="false" ht="15" hidden="false" customHeight="false" outlineLevel="0" collapsed="false">
      <c r="A2901" s="62" t="n">
        <v>2900</v>
      </c>
      <c r="B2901" s="63" t="n">
        <v>46295.6942824074</v>
      </c>
      <c r="C2901" s="64" t="n">
        <v>46295</v>
      </c>
      <c r="D2901" s="62" t="s">
        <v>143</v>
      </c>
      <c r="E2901" s="62" t="s">
        <v>4234</v>
      </c>
      <c r="F2901" s="62" t="s">
        <v>4234</v>
      </c>
      <c r="G2901" s="62" t="s">
        <v>4235</v>
      </c>
      <c r="H2901" s="62" t="s">
        <v>44</v>
      </c>
      <c r="I2901" s="62" t="s">
        <v>49</v>
      </c>
      <c r="J2901" s="62" t="s">
        <v>146</v>
      </c>
      <c r="K2901" s="62" t="s">
        <v>147</v>
      </c>
      <c r="L2901" s="62" t="s">
        <v>148</v>
      </c>
      <c r="M2901" s="62" t="n">
        <v>0</v>
      </c>
      <c r="N2901" s="62" t="n">
        <v>1</v>
      </c>
      <c r="O2901" s="62" t="n">
        <v>1</v>
      </c>
      <c r="P2901" s="62" t="n">
        <v>1</v>
      </c>
      <c r="Q2901" s="62" t="n">
        <v>0</v>
      </c>
      <c r="R2901" s="62" t="n">
        <v>0</v>
      </c>
      <c r="S2901" s="62" t="n">
        <v>0</v>
      </c>
      <c r="T2901" s="62" t="n">
        <v>0</v>
      </c>
      <c r="U2901" s="62"/>
      <c r="V2901" s="62"/>
      <c r="W2901" s="62"/>
      <c r="X2901" s="62"/>
      <c r="Y2901" s="62"/>
      <c r="Z2901" s="62" t="s">
        <v>5294</v>
      </c>
      <c r="AA2901" s="62" t="s">
        <v>5295</v>
      </c>
      <c r="AB2901" s="62" t="n">
        <v>1</v>
      </c>
      <c r="AC2901" s="62" t="n">
        <v>0</v>
      </c>
      <c r="AD2901" s="62" t="n">
        <v>1</v>
      </c>
      <c r="AE2901" s="62" t="n">
        <f aca="false">IF(AND(Dashboard!$C$9="Yes",AC2901=1),0,1)</f>
        <v>1</v>
      </c>
      <c r="AF2901" s="62" t="n">
        <v>1</v>
      </c>
    </row>
    <row r="2902" customFormat="false" ht="15" hidden="false" customHeight="false" outlineLevel="0" collapsed="false">
      <c r="A2902" s="62" t="n">
        <v>2901</v>
      </c>
      <c r="B2902" s="63" t="n">
        <v>46295.7093518519</v>
      </c>
      <c r="C2902" s="64" t="n">
        <v>46295</v>
      </c>
      <c r="D2902" s="62" t="s">
        <v>143</v>
      </c>
      <c r="E2902" s="62" t="s">
        <v>2156</v>
      </c>
      <c r="F2902" s="62" t="s">
        <v>2156</v>
      </c>
      <c r="G2902" s="62" t="s">
        <v>2157</v>
      </c>
      <c r="H2902" s="62" t="s">
        <v>52</v>
      </c>
      <c r="I2902" s="62" t="s">
        <v>47</v>
      </c>
      <c r="J2902" s="62" t="s">
        <v>146</v>
      </c>
      <c r="K2902" s="62" t="s">
        <v>209</v>
      </c>
      <c r="L2902" s="62" t="s">
        <v>148</v>
      </c>
      <c r="M2902" s="62" t="n">
        <v>0</v>
      </c>
      <c r="N2902" s="62" t="n">
        <v>1</v>
      </c>
      <c r="O2902" s="62" t="n">
        <v>1</v>
      </c>
      <c r="P2902" s="62" t="n">
        <v>0</v>
      </c>
      <c r="Q2902" s="62" t="n">
        <v>1</v>
      </c>
      <c r="R2902" s="62" t="n">
        <v>0</v>
      </c>
      <c r="S2902" s="62" t="n">
        <v>0</v>
      </c>
      <c r="T2902" s="62" t="n">
        <v>0</v>
      </c>
      <c r="U2902" s="62"/>
      <c r="V2902" s="62"/>
      <c r="W2902" s="62"/>
      <c r="X2902" s="62"/>
      <c r="Y2902" s="62"/>
      <c r="Z2902" s="62" t="s">
        <v>5296</v>
      </c>
      <c r="AA2902" s="62" t="s">
        <v>5297</v>
      </c>
      <c r="AB2902" s="62" t="n">
        <v>1</v>
      </c>
      <c r="AC2902" s="62" t="n">
        <v>0</v>
      </c>
      <c r="AD2902" s="62" t="n">
        <v>1</v>
      </c>
      <c r="AE2902" s="62" t="n">
        <f aca="false">IF(AND(Dashboard!$C$9="Yes",AC2902=1),0,1)</f>
        <v>1</v>
      </c>
      <c r="AF2902" s="62" t="n">
        <v>0</v>
      </c>
    </row>
    <row r="2903" customFormat="false" ht="15" hidden="false" customHeight="false" outlineLevel="0" collapsed="false">
      <c r="A2903" s="62" t="n">
        <v>2902</v>
      </c>
      <c r="B2903" s="63" t="n">
        <v>46295.7145833333</v>
      </c>
      <c r="C2903" s="64" t="n">
        <v>46295</v>
      </c>
      <c r="D2903" s="62" t="s">
        <v>143</v>
      </c>
      <c r="E2903" s="62" t="s">
        <v>3061</v>
      </c>
      <c r="F2903" s="62" t="s">
        <v>3061</v>
      </c>
      <c r="G2903" s="62" t="s">
        <v>3062</v>
      </c>
      <c r="H2903" s="62" t="s">
        <v>44</v>
      </c>
      <c r="I2903" s="62" t="s">
        <v>49</v>
      </c>
      <c r="J2903" s="62" t="s">
        <v>146</v>
      </c>
      <c r="K2903" s="62" t="s">
        <v>147</v>
      </c>
      <c r="L2903" s="62" t="s">
        <v>148</v>
      </c>
      <c r="M2903" s="62" t="n">
        <v>0</v>
      </c>
      <c r="N2903" s="62" t="n">
        <v>1</v>
      </c>
      <c r="O2903" s="62" t="n">
        <v>1</v>
      </c>
      <c r="P2903" s="62" t="n">
        <v>1</v>
      </c>
      <c r="Q2903" s="62" t="n">
        <v>0</v>
      </c>
      <c r="R2903" s="62" t="n">
        <v>0</v>
      </c>
      <c r="S2903" s="62" t="n">
        <v>0</v>
      </c>
      <c r="T2903" s="62" t="n">
        <v>0</v>
      </c>
      <c r="U2903" s="62"/>
      <c r="V2903" s="62"/>
      <c r="W2903" s="62"/>
      <c r="X2903" s="62"/>
      <c r="Y2903" s="62"/>
      <c r="Z2903" s="62" t="s">
        <v>5298</v>
      </c>
      <c r="AA2903" s="62" t="s">
        <v>5299</v>
      </c>
      <c r="AB2903" s="62" t="n">
        <v>1</v>
      </c>
      <c r="AC2903" s="62" t="n">
        <v>0</v>
      </c>
      <c r="AD2903" s="62" t="n">
        <v>1</v>
      </c>
      <c r="AE2903" s="62" t="n">
        <f aca="false">IF(AND(Dashboard!$C$9="Yes",AC2903=1),0,1)</f>
        <v>1</v>
      </c>
      <c r="AF2903" s="62" t="n">
        <v>0</v>
      </c>
    </row>
    <row r="2904" customFormat="false" ht="15" hidden="false" customHeight="false" outlineLevel="0" collapsed="false">
      <c r="A2904" s="62" t="n">
        <v>2903</v>
      </c>
      <c r="B2904" s="63" t="n">
        <v>46295.7291319444</v>
      </c>
      <c r="C2904" s="64" t="n">
        <v>46295</v>
      </c>
      <c r="D2904" s="62" t="s">
        <v>143</v>
      </c>
      <c r="E2904" s="62" t="s">
        <v>156</v>
      </c>
      <c r="F2904" s="62" t="s">
        <v>156</v>
      </c>
      <c r="G2904" s="62" t="s">
        <v>157</v>
      </c>
      <c r="H2904" s="62" t="s">
        <v>51</v>
      </c>
      <c r="I2904" s="62" t="s">
        <v>47</v>
      </c>
      <c r="J2904" s="62" t="s">
        <v>146</v>
      </c>
      <c r="K2904" s="62" t="s">
        <v>147</v>
      </c>
      <c r="L2904" s="62" t="s">
        <v>148</v>
      </c>
      <c r="M2904" s="62" t="n">
        <v>0</v>
      </c>
      <c r="N2904" s="62" t="n">
        <v>1</v>
      </c>
      <c r="O2904" s="62" t="n">
        <v>1</v>
      </c>
      <c r="P2904" s="62" t="n">
        <v>1</v>
      </c>
      <c r="Q2904" s="62" t="n">
        <v>0</v>
      </c>
      <c r="R2904" s="62" t="n">
        <v>0</v>
      </c>
      <c r="S2904" s="62" t="n">
        <v>0</v>
      </c>
      <c r="T2904" s="62" t="n">
        <v>0</v>
      </c>
      <c r="U2904" s="62"/>
      <c r="V2904" s="62"/>
      <c r="W2904" s="62"/>
      <c r="X2904" s="62"/>
      <c r="Y2904" s="62"/>
      <c r="Z2904" s="62" t="s">
        <v>5300</v>
      </c>
      <c r="AA2904" s="62" t="s">
        <v>5301</v>
      </c>
      <c r="AB2904" s="62" t="n">
        <v>1</v>
      </c>
      <c r="AC2904" s="62" t="n">
        <v>0</v>
      </c>
      <c r="AD2904" s="62" t="n">
        <v>1</v>
      </c>
      <c r="AE2904" s="62" t="n">
        <f aca="false">IF(AND(Dashboard!$C$9="Yes",AC2904=1),0,1)</f>
        <v>1</v>
      </c>
      <c r="AF2904" s="62" t="n">
        <v>1</v>
      </c>
    </row>
    <row r="2905" customFormat="false" ht="15" hidden="false" customHeight="false" outlineLevel="0" collapsed="false">
      <c r="A2905" s="62" t="n">
        <v>2904</v>
      </c>
      <c r="B2905" s="63" t="n">
        <v>46295.7347569445</v>
      </c>
      <c r="C2905" s="64" t="n">
        <v>46295</v>
      </c>
      <c r="D2905" s="62" t="s">
        <v>143</v>
      </c>
      <c r="E2905" s="62" t="s">
        <v>4329</v>
      </c>
      <c r="F2905" s="62" t="s">
        <v>4329</v>
      </c>
      <c r="G2905" s="62" t="s">
        <v>4330</v>
      </c>
      <c r="H2905" s="62" t="s">
        <v>44</v>
      </c>
      <c r="I2905" s="62" t="s">
        <v>49</v>
      </c>
      <c r="J2905" s="62" t="s">
        <v>146</v>
      </c>
      <c r="K2905" s="62" t="s">
        <v>147</v>
      </c>
      <c r="L2905" s="62" t="s">
        <v>148</v>
      </c>
      <c r="M2905" s="62" t="n">
        <v>0</v>
      </c>
      <c r="N2905" s="62" t="n">
        <v>1</v>
      </c>
      <c r="O2905" s="62" t="n">
        <v>1</v>
      </c>
      <c r="P2905" s="62" t="n">
        <v>0</v>
      </c>
      <c r="Q2905" s="62" t="n">
        <v>1</v>
      </c>
      <c r="R2905" s="62" t="n">
        <v>0</v>
      </c>
      <c r="S2905" s="62" t="n">
        <v>0</v>
      </c>
      <c r="T2905" s="62" t="n">
        <v>0</v>
      </c>
      <c r="U2905" s="62"/>
      <c r="V2905" s="62"/>
      <c r="W2905" s="62"/>
      <c r="X2905" s="62"/>
      <c r="Y2905" s="62"/>
      <c r="Z2905" s="62" t="s">
        <v>5302</v>
      </c>
      <c r="AA2905" s="62" t="s">
        <v>5303</v>
      </c>
      <c r="AB2905" s="62" t="n">
        <v>1</v>
      </c>
      <c r="AC2905" s="62" t="n">
        <v>0</v>
      </c>
      <c r="AD2905" s="62" t="n">
        <v>1</v>
      </c>
      <c r="AE2905" s="62" t="n">
        <f aca="false">IF(AND(Dashboard!$C$9="Yes",AC2905=1),0,1)</f>
        <v>1</v>
      </c>
      <c r="AF2905" s="62" t="n">
        <v>1</v>
      </c>
    </row>
    <row r="2906" customFormat="false" ht="15" hidden="false" customHeight="false" outlineLevel="0" collapsed="false">
      <c r="A2906" s="62" t="n">
        <v>2905</v>
      </c>
      <c r="B2906" s="63" t="n">
        <v>46295.7494444445</v>
      </c>
      <c r="C2906" s="64" t="n">
        <v>46295</v>
      </c>
      <c r="D2906" s="62" t="s">
        <v>143</v>
      </c>
      <c r="E2906" s="62" t="s">
        <v>4310</v>
      </c>
      <c r="F2906" s="62" t="s">
        <v>4310</v>
      </c>
      <c r="G2906" s="62" t="s">
        <v>4311</v>
      </c>
      <c r="H2906" s="62" t="s">
        <v>44</v>
      </c>
      <c r="I2906" s="62" t="s">
        <v>61</v>
      </c>
      <c r="J2906" s="62" t="s">
        <v>3708</v>
      </c>
      <c r="K2906" s="62" t="s">
        <v>175</v>
      </c>
      <c r="L2906" s="62" t="s">
        <v>148</v>
      </c>
      <c r="M2906" s="62" t="n">
        <v>0</v>
      </c>
      <c r="N2906" s="62" t="n">
        <v>1</v>
      </c>
      <c r="O2906" s="62" t="n">
        <v>1</v>
      </c>
      <c r="P2906" s="62" t="n">
        <v>0</v>
      </c>
      <c r="Q2906" s="62" t="n">
        <v>1</v>
      </c>
      <c r="R2906" s="62" t="n">
        <v>0</v>
      </c>
      <c r="S2906" s="62" t="n">
        <v>0</v>
      </c>
      <c r="T2906" s="62" t="n">
        <v>0</v>
      </c>
      <c r="U2906" s="62"/>
      <c r="V2906" s="62"/>
      <c r="W2906" s="62"/>
      <c r="X2906" s="62"/>
      <c r="Y2906" s="62"/>
      <c r="Z2906" s="62" t="s">
        <v>5304</v>
      </c>
      <c r="AA2906" s="62" t="s">
        <v>5305</v>
      </c>
      <c r="AB2906" s="62" t="n">
        <v>1</v>
      </c>
      <c r="AC2906" s="62" t="n">
        <v>0</v>
      </c>
      <c r="AD2906" s="62" t="n">
        <v>1</v>
      </c>
      <c r="AE2906" s="62" t="n">
        <f aca="false">IF(AND(Dashboard!$C$9="Yes",AC2906=1),0,1)</f>
        <v>1</v>
      </c>
      <c r="AF2906" s="62" t="n">
        <v>1</v>
      </c>
    </row>
    <row r="2907" customFormat="false" ht="15" hidden="false" customHeight="false" outlineLevel="0" collapsed="false">
      <c r="A2907" s="62" t="n">
        <v>2906</v>
      </c>
      <c r="B2907" s="63" t="n">
        <v>46295.7529166667</v>
      </c>
      <c r="C2907" s="64" t="n">
        <v>46295</v>
      </c>
      <c r="D2907" s="62" t="s">
        <v>143</v>
      </c>
      <c r="E2907" s="62" t="s">
        <v>3018</v>
      </c>
      <c r="F2907" s="62" t="s">
        <v>3018</v>
      </c>
      <c r="G2907" s="62" t="s">
        <v>3019</v>
      </c>
      <c r="H2907" s="62" t="s">
        <v>58</v>
      </c>
      <c r="I2907" s="62" t="s">
        <v>49</v>
      </c>
      <c r="J2907" s="62" t="s">
        <v>146</v>
      </c>
      <c r="K2907" s="62" t="s">
        <v>175</v>
      </c>
      <c r="L2907" s="62" t="s">
        <v>148</v>
      </c>
      <c r="M2907" s="62" t="n">
        <v>0</v>
      </c>
      <c r="N2907" s="62" t="n">
        <v>1</v>
      </c>
      <c r="O2907" s="62" t="n">
        <v>1</v>
      </c>
      <c r="P2907" s="62" t="n">
        <v>1</v>
      </c>
      <c r="Q2907" s="62" t="n">
        <v>0</v>
      </c>
      <c r="R2907" s="62" t="n">
        <v>0</v>
      </c>
      <c r="S2907" s="62" t="n">
        <v>0</v>
      </c>
      <c r="T2907" s="62" t="n">
        <v>0</v>
      </c>
      <c r="U2907" s="62"/>
      <c r="V2907" s="62"/>
      <c r="W2907" s="62"/>
      <c r="X2907" s="62"/>
      <c r="Y2907" s="62"/>
      <c r="Z2907" s="62" t="s">
        <v>5306</v>
      </c>
      <c r="AA2907" s="62" t="s">
        <v>5307</v>
      </c>
      <c r="AB2907" s="62" t="n">
        <v>1</v>
      </c>
      <c r="AC2907" s="62" t="n">
        <v>0</v>
      </c>
      <c r="AD2907" s="62" t="n">
        <v>1</v>
      </c>
      <c r="AE2907" s="62" t="n">
        <f aca="false">IF(AND(Dashboard!$C$9="Yes",AC2907=1),0,1)</f>
        <v>1</v>
      </c>
      <c r="AF2907" s="62" t="n">
        <v>1</v>
      </c>
    </row>
    <row r="2908" customFormat="false" ht="15" hidden="false" customHeight="false" outlineLevel="0" collapsed="false">
      <c r="A2908" s="62" t="n">
        <v>2907</v>
      </c>
      <c r="B2908" s="63" t="n">
        <v>46295.7677893519</v>
      </c>
      <c r="C2908" s="64" t="n">
        <v>46295</v>
      </c>
      <c r="D2908" s="62" t="s">
        <v>143</v>
      </c>
      <c r="E2908" s="62" t="s">
        <v>4420</v>
      </c>
      <c r="F2908" s="62" t="s">
        <v>4420</v>
      </c>
      <c r="G2908" s="62" t="s">
        <v>4421</v>
      </c>
      <c r="H2908" s="62" t="s">
        <v>44</v>
      </c>
      <c r="I2908" s="62" t="s">
        <v>49</v>
      </c>
      <c r="J2908" s="62" t="s">
        <v>146</v>
      </c>
      <c r="K2908" s="62" t="s">
        <v>147</v>
      </c>
      <c r="L2908" s="62" t="s">
        <v>148</v>
      </c>
      <c r="M2908" s="62" t="n">
        <v>0</v>
      </c>
      <c r="N2908" s="62" t="n">
        <v>1</v>
      </c>
      <c r="O2908" s="62" t="n">
        <v>1</v>
      </c>
      <c r="P2908" s="62" t="n">
        <v>0</v>
      </c>
      <c r="Q2908" s="62" t="n">
        <v>1</v>
      </c>
      <c r="R2908" s="62" t="n">
        <v>0</v>
      </c>
      <c r="S2908" s="62" t="n">
        <v>0</v>
      </c>
      <c r="T2908" s="62" t="n">
        <v>0</v>
      </c>
      <c r="U2908" s="62"/>
      <c r="V2908" s="62"/>
      <c r="W2908" s="62"/>
      <c r="X2908" s="62"/>
      <c r="Y2908" s="62"/>
      <c r="Z2908" s="62" t="s">
        <v>5308</v>
      </c>
      <c r="AA2908" s="62" t="s">
        <v>5309</v>
      </c>
      <c r="AB2908" s="62" t="n">
        <v>1</v>
      </c>
      <c r="AC2908" s="62" t="n">
        <v>0</v>
      </c>
      <c r="AD2908" s="62" t="n">
        <v>1</v>
      </c>
      <c r="AE2908" s="62" t="n">
        <f aca="false">IF(AND(Dashboard!$C$9="Yes",AC2908=1),0,1)</f>
        <v>1</v>
      </c>
      <c r="AF2908" s="62" t="n">
        <v>1</v>
      </c>
    </row>
    <row r="2909" customFormat="false" ht="15" hidden="false" customHeight="false" outlineLevel="0" collapsed="false">
      <c r="A2909" s="62" t="n">
        <v>2908</v>
      </c>
      <c r="B2909" s="63" t="n">
        <v>46295.7699537037</v>
      </c>
      <c r="C2909" s="64" t="n">
        <v>46295</v>
      </c>
      <c r="D2909" s="62" t="s">
        <v>143</v>
      </c>
      <c r="E2909" s="62" t="s">
        <v>910</v>
      </c>
      <c r="F2909" s="62" t="s">
        <v>910</v>
      </c>
      <c r="G2909" s="62" t="s">
        <v>911</v>
      </c>
      <c r="H2909" s="62" t="s">
        <v>59</v>
      </c>
      <c r="I2909" s="62" t="s">
        <v>47</v>
      </c>
      <c r="J2909" s="62" t="s">
        <v>146</v>
      </c>
      <c r="K2909" s="62" t="s">
        <v>175</v>
      </c>
      <c r="L2909" s="62" t="s">
        <v>148</v>
      </c>
      <c r="M2909" s="62" t="n">
        <v>0</v>
      </c>
      <c r="N2909" s="62" t="n">
        <v>1</v>
      </c>
      <c r="O2909" s="62" t="n">
        <v>1</v>
      </c>
      <c r="P2909" s="62" t="n">
        <v>1</v>
      </c>
      <c r="Q2909" s="62" t="n">
        <v>0</v>
      </c>
      <c r="R2909" s="62" t="n">
        <v>0</v>
      </c>
      <c r="S2909" s="62" t="n">
        <v>0</v>
      </c>
      <c r="T2909" s="62" t="n">
        <v>0</v>
      </c>
      <c r="U2909" s="62"/>
      <c r="V2909" s="62"/>
      <c r="W2909" s="62"/>
      <c r="X2909" s="62"/>
      <c r="Y2909" s="62"/>
      <c r="Z2909" s="62" t="s">
        <v>5310</v>
      </c>
      <c r="AA2909" s="62" t="s">
        <v>5311</v>
      </c>
      <c r="AB2909" s="62" t="n">
        <v>1</v>
      </c>
      <c r="AC2909" s="62" t="n">
        <v>0</v>
      </c>
      <c r="AD2909" s="62" t="n">
        <v>1</v>
      </c>
      <c r="AE2909" s="62" t="n">
        <f aca="false">IF(AND(Dashboard!$C$9="Yes",AC2909=1),0,1)</f>
        <v>1</v>
      </c>
      <c r="AF2909" s="62" t="n">
        <v>1</v>
      </c>
    </row>
    <row r="2910" customFormat="false" ht="15" hidden="false" customHeight="false" outlineLevel="0" collapsed="false">
      <c r="A2910" s="62" t="n">
        <v>2909</v>
      </c>
      <c r="B2910" s="63" t="n">
        <v>46295.7808796296</v>
      </c>
      <c r="C2910" s="64" t="n">
        <v>46295</v>
      </c>
      <c r="D2910" s="62" t="s">
        <v>143</v>
      </c>
      <c r="E2910" s="62" t="s">
        <v>4524</v>
      </c>
      <c r="F2910" s="62" t="s">
        <v>4524</v>
      </c>
      <c r="G2910" s="62" t="s">
        <v>4525</v>
      </c>
      <c r="H2910" s="62" t="s">
        <v>44</v>
      </c>
      <c r="I2910" s="62" t="s">
        <v>49</v>
      </c>
      <c r="J2910" s="62" t="s">
        <v>146</v>
      </c>
      <c r="K2910" s="62" t="s">
        <v>147</v>
      </c>
      <c r="L2910" s="62" t="s">
        <v>148</v>
      </c>
      <c r="M2910" s="62" t="n">
        <v>0</v>
      </c>
      <c r="N2910" s="62" t="n">
        <v>1</v>
      </c>
      <c r="O2910" s="62" t="n">
        <v>1</v>
      </c>
      <c r="P2910" s="62" t="n">
        <v>0</v>
      </c>
      <c r="Q2910" s="62" t="n">
        <v>0</v>
      </c>
      <c r="R2910" s="62" t="n">
        <v>1</v>
      </c>
      <c r="S2910" s="62" t="n">
        <v>0</v>
      </c>
      <c r="T2910" s="62" t="n">
        <v>0</v>
      </c>
      <c r="U2910" s="62"/>
      <c r="V2910" s="62"/>
      <c r="W2910" s="62"/>
      <c r="X2910" s="62"/>
      <c r="Y2910" s="62"/>
      <c r="Z2910" s="62" t="s">
        <v>5312</v>
      </c>
      <c r="AA2910" s="62" t="s">
        <v>5313</v>
      </c>
      <c r="AB2910" s="62" t="n">
        <v>1</v>
      </c>
      <c r="AC2910" s="62" t="n">
        <v>0</v>
      </c>
      <c r="AD2910" s="62" t="n">
        <v>1</v>
      </c>
      <c r="AE2910" s="62" t="n">
        <f aca="false">IF(AND(Dashboard!$C$9="Yes",AC2910=1),0,1)</f>
        <v>1</v>
      </c>
      <c r="AF2910" s="62" t="n">
        <v>1</v>
      </c>
    </row>
    <row r="2911" customFormat="false" ht="15" hidden="false" customHeight="false" outlineLevel="0" collapsed="false">
      <c r="A2911" s="62" t="n">
        <v>2910</v>
      </c>
      <c r="B2911" s="63" t="n">
        <v>46295.7939583333</v>
      </c>
      <c r="C2911" s="64" t="n">
        <v>46295</v>
      </c>
      <c r="D2911" s="62" t="s">
        <v>143</v>
      </c>
      <c r="E2911" s="62" t="s">
        <v>4234</v>
      </c>
      <c r="F2911" s="62" t="s">
        <v>4234</v>
      </c>
      <c r="G2911" s="62" t="s">
        <v>4235</v>
      </c>
      <c r="H2911" s="62" t="s">
        <v>44</v>
      </c>
      <c r="I2911" s="62" t="s">
        <v>49</v>
      </c>
      <c r="J2911" s="62" t="s">
        <v>146</v>
      </c>
      <c r="K2911" s="62" t="s">
        <v>147</v>
      </c>
      <c r="L2911" s="62" t="s">
        <v>148</v>
      </c>
      <c r="M2911" s="62" t="n">
        <v>0</v>
      </c>
      <c r="N2911" s="62" t="n">
        <v>1</v>
      </c>
      <c r="O2911" s="62" t="n">
        <v>1</v>
      </c>
      <c r="P2911" s="62" t="n">
        <v>0</v>
      </c>
      <c r="Q2911" s="62" t="n">
        <v>1</v>
      </c>
      <c r="R2911" s="62" t="n">
        <v>0</v>
      </c>
      <c r="S2911" s="62" t="n">
        <v>0</v>
      </c>
      <c r="T2911" s="62" t="n">
        <v>0</v>
      </c>
      <c r="U2911" s="62"/>
      <c r="V2911" s="62"/>
      <c r="W2911" s="62"/>
      <c r="X2911" s="62"/>
      <c r="Y2911" s="62"/>
      <c r="Z2911" s="62" t="s">
        <v>5314</v>
      </c>
      <c r="AA2911" s="62" t="s">
        <v>5315</v>
      </c>
      <c r="AB2911" s="62" t="n">
        <v>1</v>
      </c>
      <c r="AC2911" s="62" t="n">
        <v>0</v>
      </c>
      <c r="AD2911" s="62" t="n">
        <v>1</v>
      </c>
      <c r="AE2911" s="62" t="n">
        <f aca="false">IF(AND(Dashboard!$C$9="Yes",AC2911=1),0,1)</f>
        <v>1</v>
      </c>
      <c r="AF2911" s="62" t="n">
        <v>0</v>
      </c>
    </row>
    <row r="2912" customFormat="false" ht="15" hidden="false" customHeight="false" outlineLevel="0" collapsed="false">
      <c r="A2912" s="62" t="n">
        <v>2911</v>
      </c>
      <c r="B2912" s="63" t="n">
        <v>46295.8053009259</v>
      </c>
      <c r="C2912" s="64" t="n">
        <v>46295</v>
      </c>
      <c r="D2912" s="62" t="s">
        <v>143</v>
      </c>
      <c r="E2912" s="62" t="s">
        <v>1005</v>
      </c>
      <c r="F2912" s="62" t="s">
        <v>1005</v>
      </c>
      <c r="G2912" s="62" t="s">
        <v>1006</v>
      </c>
      <c r="H2912" s="62" t="s">
        <v>46</v>
      </c>
      <c r="I2912" s="62" t="s">
        <v>47</v>
      </c>
      <c r="J2912" s="62" t="s">
        <v>146</v>
      </c>
      <c r="K2912" s="62" t="s">
        <v>209</v>
      </c>
      <c r="L2912" s="62" t="s">
        <v>148</v>
      </c>
      <c r="M2912" s="62" t="n">
        <v>0</v>
      </c>
      <c r="N2912" s="62" t="n">
        <v>1</v>
      </c>
      <c r="O2912" s="62" t="n">
        <v>1</v>
      </c>
      <c r="P2912" s="62" t="n">
        <v>1</v>
      </c>
      <c r="Q2912" s="62" t="n">
        <v>0</v>
      </c>
      <c r="R2912" s="62" t="n">
        <v>0</v>
      </c>
      <c r="S2912" s="62" t="n">
        <v>0</v>
      </c>
      <c r="T2912" s="62" t="n">
        <v>0</v>
      </c>
      <c r="U2912" s="62"/>
      <c r="V2912" s="62"/>
      <c r="W2912" s="62"/>
      <c r="X2912" s="62"/>
      <c r="Y2912" s="62"/>
      <c r="Z2912" s="62" t="s">
        <v>5316</v>
      </c>
      <c r="AA2912" s="62" t="s">
        <v>5317</v>
      </c>
      <c r="AB2912" s="62" t="n">
        <v>1</v>
      </c>
      <c r="AC2912" s="62" t="n">
        <v>0</v>
      </c>
      <c r="AD2912" s="62" t="n">
        <v>1</v>
      </c>
      <c r="AE2912" s="62" t="n">
        <f aca="false">IF(AND(Dashboard!$C$9="Yes",AC2912=1),0,1)</f>
        <v>1</v>
      </c>
      <c r="AF2912" s="62" t="n">
        <v>1</v>
      </c>
    </row>
    <row r="2913" customFormat="false" ht="15" hidden="false" customHeight="false" outlineLevel="0" collapsed="false">
      <c r="A2913" s="62" t="n">
        <v>2912</v>
      </c>
      <c r="B2913" s="63" t="n">
        <v>46295.8128935185</v>
      </c>
      <c r="C2913" s="64" t="n">
        <v>46295</v>
      </c>
      <c r="D2913" s="62" t="s">
        <v>143</v>
      </c>
      <c r="E2913" s="62" t="s">
        <v>5318</v>
      </c>
      <c r="F2913" s="62" t="s">
        <v>2134</v>
      </c>
      <c r="G2913" s="62" t="s">
        <v>2135</v>
      </c>
      <c r="H2913" s="62" t="s">
        <v>57</v>
      </c>
      <c r="I2913" s="62" t="s">
        <v>47</v>
      </c>
      <c r="J2913" s="62" t="s">
        <v>146</v>
      </c>
      <c r="K2913" s="62" t="s">
        <v>147</v>
      </c>
      <c r="L2913" s="62" t="s">
        <v>148</v>
      </c>
      <c r="M2913" s="62" t="n">
        <v>0</v>
      </c>
      <c r="N2913" s="62" t="n">
        <v>2</v>
      </c>
      <c r="O2913" s="62" t="n">
        <v>2</v>
      </c>
      <c r="P2913" s="62" t="n">
        <v>0</v>
      </c>
      <c r="Q2913" s="62" t="n">
        <v>0</v>
      </c>
      <c r="R2913" s="62" t="n">
        <v>0</v>
      </c>
      <c r="S2913" s="62" t="n">
        <v>1</v>
      </c>
      <c r="T2913" s="62" t="n">
        <v>1</v>
      </c>
      <c r="U2913" s="62"/>
      <c r="V2913" s="62"/>
      <c r="W2913" s="62"/>
      <c r="X2913" s="62"/>
      <c r="Y2913" s="62"/>
      <c r="Z2913" s="62" t="s">
        <v>5319</v>
      </c>
      <c r="AA2913" s="62" t="s">
        <v>5320</v>
      </c>
      <c r="AB2913" s="62" t="n">
        <v>1</v>
      </c>
      <c r="AC2913" s="62" t="n">
        <v>0</v>
      </c>
      <c r="AD2913" s="62" t="n">
        <v>1</v>
      </c>
      <c r="AE2913" s="62" t="n">
        <f aca="false">IF(AND(Dashboard!$C$9="Yes",AC2913=1),0,1)</f>
        <v>1</v>
      </c>
      <c r="AF2913" s="62" t="n">
        <v>1</v>
      </c>
    </row>
    <row r="2914" customFormat="false" ht="15" hidden="false" customHeight="false" outlineLevel="0" collapsed="false">
      <c r="A2914" s="62" t="n">
        <v>2913</v>
      </c>
      <c r="B2914" s="63" t="n">
        <v>46295.8131944445</v>
      </c>
      <c r="C2914" s="64" t="n">
        <v>46295</v>
      </c>
      <c r="D2914" s="62" t="s">
        <v>143</v>
      </c>
      <c r="E2914" s="62" t="s">
        <v>4310</v>
      </c>
      <c r="F2914" s="62" t="s">
        <v>4310</v>
      </c>
      <c r="G2914" s="62" t="s">
        <v>4311</v>
      </c>
      <c r="H2914" s="62" t="s">
        <v>44</v>
      </c>
      <c r="I2914" s="62" t="s">
        <v>61</v>
      </c>
      <c r="J2914" s="62" t="s">
        <v>3708</v>
      </c>
      <c r="K2914" s="62" t="s">
        <v>175</v>
      </c>
      <c r="L2914" s="62" t="s">
        <v>148</v>
      </c>
      <c r="M2914" s="62" t="n">
        <v>0</v>
      </c>
      <c r="N2914" s="62" t="n">
        <v>2</v>
      </c>
      <c r="O2914" s="62" t="n">
        <v>2</v>
      </c>
      <c r="P2914" s="62" t="n">
        <v>1</v>
      </c>
      <c r="Q2914" s="62" t="n">
        <v>0</v>
      </c>
      <c r="R2914" s="62" t="n">
        <v>1</v>
      </c>
      <c r="S2914" s="62" t="n">
        <v>0</v>
      </c>
      <c r="T2914" s="62" t="n">
        <v>0</v>
      </c>
      <c r="U2914" s="62"/>
      <c r="V2914" s="62"/>
      <c r="W2914" s="62"/>
      <c r="X2914" s="62"/>
      <c r="Y2914" s="62"/>
      <c r="Z2914" s="62" t="s">
        <v>5321</v>
      </c>
      <c r="AA2914" s="62" t="s">
        <v>5322</v>
      </c>
      <c r="AB2914" s="62" t="n">
        <v>1</v>
      </c>
      <c r="AC2914" s="62" t="n">
        <v>0</v>
      </c>
      <c r="AD2914" s="62" t="n">
        <v>1</v>
      </c>
      <c r="AE2914" s="62" t="n">
        <f aca="false">IF(AND(Dashboard!$C$9="Yes",AC2914=1),0,1)</f>
        <v>1</v>
      </c>
      <c r="AF2914" s="62" t="n">
        <v>0</v>
      </c>
    </row>
    <row r="2915" customFormat="false" ht="15" hidden="false" customHeight="false" outlineLevel="0" collapsed="false">
      <c r="A2915" s="62" t="n">
        <v>2914</v>
      </c>
      <c r="B2915" s="63" t="n">
        <v>46295.8222800926</v>
      </c>
      <c r="C2915" s="64" t="n">
        <v>46295</v>
      </c>
      <c r="D2915" s="62" t="s">
        <v>143</v>
      </c>
      <c r="E2915" s="62" t="s">
        <v>2583</v>
      </c>
      <c r="F2915" s="62" t="s">
        <v>2583</v>
      </c>
      <c r="G2915" s="62" t="s">
        <v>2584</v>
      </c>
      <c r="H2915" s="62" t="s">
        <v>59</v>
      </c>
      <c r="I2915" s="62" t="s">
        <v>47</v>
      </c>
      <c r="J2915" s="62" t="s">
        <v>146</v>
      </c>
      <c r="K2915" s="62" t="s">
        <v>147</v>
      </c>
      <c r="L2915" s="62" t="s">
        <v>148</v>
      </c>
      <c r="M2915" s="62" t="n">
        <v>0</v>
      </c>
      <c r="N2915" s="62" t="n">
        <v>2</v>
      </c>
      <c r="O2915" s="62" t="n">
        <v>2</v>
      </c>
      <c r="P2915" s="62" t="n">
        <v>1</v>
      </c>
      <c r="Q2915" s="62" t="n">
        <v>1</v>
      </c>
      <c r="R2915" s="62" t="n">
        <v>0</v>
      </c>
      <c r="S2915" s="62" t="n">
        <v>0</v>
      </c>
      <c r="T2915" s="62" t="n">
        <v>0</v>
      </c>
      <c r="U2915" s="62"/>
      <c r="V2915" s="62"/>
      <c r="W2915" s="62"/>
      <c r="X2915" s="62"/>
      <c r="Y2915" s="62"/>
      <c r="Z2915" s="62" t="s">
        <v>5323</v>
      </c>
      <c r="AA2915" s="62" t="s">
        <v>5324</v>
      </c>
      <c r="AB2915" s="62" t="n">
        <v>1</v>
      </c>
      <c r="AC2915" s="62" t="n">
        <v>0</v>
      </c>
      <c r="AD2915" s="62" t="n">
        <v>1</v>
      </c>
      <c r="AE2915" s="62" t="n">
        <f aca="false">IF(AND(Dashboard!$C$9="Yes",AC2915=1),0,1)</f>
        <v>1</v>
      </c>
      <c r="AF2915" s="62" t="n">
        <v>1</v>
      </c>
    </row>
    <row r="2916" customFormat="false" ht="15" hidden="false" customHeight="false" outlineLevel="0" collapsed="false">
      <c r="A2916" s="62" t="n">
        <v>2915</v>
      </c>
      <c r="B2916" s="63" t="n">
        <v>46295.8244212963</v>
      </c>
      <c r="C2916" s="64" t="n">
        <v>46295</v>
      </c>
      <c r="D2916" s="62" t="s">
        <v>143</v>
      </c>
      <c r="E2916" s="62" t="s">
        <v>3874</v>
      </c>
      <c r="F2916" s="62" t="s">
        <v>3874</v>
      </c>
      <c r="G2916" s="62" t="s">
        <v>3875</v>
      </c>
      <c r="H2916" s="62" t="s">
        <v>59</v>
      </c>
      <c r="I2916" s="62" t="s">
        <v>47</v>
      </c>
      <c r="J2916" s="62" t="s">
        <v>146</v>
      </c>
      <c r="K2916" s="62" t="s">
        <v>209</v>
      </c>
      <c r="L2916" s="62" t="s">
        <v>148</v>
      </c>
      <c r="M2916" s="62" t="n">
        <v>0</v>
      </c>
      <c r="N2916" s="62" t="n">
        <v>1</v>
      </c>
      <c r="O2916" s="62" t="n">
        <v>1</v>
      </c>
      <c r="P2916" s="62" t="n">
        <v>0</v>
      </c>
      <c r="Q2916" s="62" t="n">
        <v>1</v>
      </c>
      <c r="R2916" s="62" t="n">
        <v>0</v>
      </c>
      <c r="S2916" s="62" t="n">
        <v>0</v>
      </c>
      <c r="T2916" s="62" t="n">
        <v>0</v>
      </c>
      <c r="U2916" s="62"/>
      <c r="V2916" s="62"/>
      <c r="W2916" s="62"/>
      <c r="X2916" s="62"/>
      <c r="Y2916" s="62"/>
      <c r="Z2916" s="62" t="s">
        <v>5325</v>
      </c>
      <c r="AA2916" s="62" t="s">
        <v>5326</v>
      </c>
      <c r="AB2916" s="62" t="n">
        <v>1</v>
      </c>
      <c r="AC2916" s="62" t="n">
        <v>0</v>
      </c>
      <c r="AD2916" s="62" t="n">
        <v>1</v>
      </c>
      <c r="AE2916" s="62" t="n">
        <f aca="false">IF(AND(Dashboard!$C$9="Yes",AC2916=1),0,1)</f>
        <v>1</v>
      </c>
      <c r="AF2916" s="62" t="n">
        <v>1</v>
      </c>
    </row>
    <row r="2917" customFormat="false" ht="15" hidden="false" customHeight="false" outlineLevel="0" collapsed="false">
      <c r="A2917" s="62" t="n">
        <v>2916</v>
      </c>
      <c r="B2917" s="63" t="n">
        <v>46295.824837963</v>
      </c>
      <c r="C2917" s="64" t="n">
        <v>46295</v>
      </c>
      <c r="D2917" s="62" t="s">
        <v>143</v>
      </c>
      <c r="E2917" s="62" t="s">
        <v>910</v>
      </c>
      <c r="F2917" s="62" t="s">
        <v>910</v>
      </c>
      <c r="G2917" s="62" t="s">
        <v>911</v>
      </c>
      <c r="H2917" s="62" t="s">
        <v>59</v>
      </c>
      <c r="I2917" s="62" t="s">
        <v>47</v>
      </c>
      <c r="J2917" s="62" t="s">
        <v>146</v>
      </c>
      <c r="K2917" s="62" t="s">
        <v>175</v>
      </c>
      <c r="L2917" s="62" t="s">
        <v>148</v>
      </c>
      <c r="M2917" s="62" t="n">
        <v>0</v>
      </c>
      <c r="N2917" s="62" t="n">
        <v>1</v>
      </c>
      <c r="O2917" s="62" t="n">
        <v>1</v>
      </c>
      <c r="P2917" s="62" t="n">
        <v>1</v>
      </c>
      <c r="Q2917" s="62" t="n">
        <v>0</v>
      </c>
      <c r="R2917" s="62" t="n">
        <v>0</v>
      </c>
      <c r="S2917" s="62" t="n">
        <v>0</v>
      </c>
      <c r="T2917" s="62" t="n">
        <v>0</v>
      </c>
      <c r="U2917" s="62"/>
      <c r="V2917" s="62"/>
      <c r="W2917" s="62"/>
      <c r="X2917" s="62"/>
      <c r="Y2917" s="62"/>
      <c r="Z2917" s="62" t="s">
        <v>5327</v>
      </c>
      <c r="AA2917" s="62" t="s">
        <v>5328</v>
      </c>
      <c r="AB2917" s="62" t="n">
        <v>1</v>
      </c>
      <c r="AC2917" s="62" t="n">
        <v>0</v>
      </c>
      <c r="AD2917" s="62" t="n">
        <v>1</v>
      </c>
      <c r="AE2917" s="62" t="n">
        <f aca="false">IF(AND(Dashboard!$C$9="Yes",AC2917=1),0,1)</f>
        <v>1</v>
      </c>
      <c r="AF2917" s="62" t="n">
        <v>0</v>
      </c>
    </row>
    <row r="2918" customFormat="false" ht="15" hidden="false" customHeight="false" outlineLevel="0" collapsed="false">
      <c r="A2918" s="62" t="n">
        <v>2917</v>
      </c>
      <c r="B2918" s="63" t="n">
        <v>46295.8272453704</v>
      </c>
      <c r="C2918" s="64" t="n">
        <v>46295</v>
      </c>
      <c r="D2918" s="62" t="s">
        <v>143</v>
      </c>
      <c r="E2918" s="62" t="s">
        <v>4234</v>
      </c>
      <c r="F2918" s="62" t="s">
        <v>4234</v>
      </c>
      <c r="G2918" s="62" t="s">
        <v>4235</v>
      </c>
      <c r="H2918" s="62" t="s">
        <v>44</v>
      </c>
      <c r="I2918" s="62" t="s">
        <v>49</v>
      </c>
      <c r="J2918" s="62" t="s">
        <v>146</v>
      </c>
      <c r="K2918" s="62" t="s">
        <v>147</v>
      </c>
      <c r="L2918" s="62" t="s">
        <v>148</v>
      </c>
      <c r="M2918" s="62" t="n">
        <v>0</v>
      </c>
      <c r="N2918" s="62" t="n">
        <v>1</v>
      </c>
      <c r="O2918" s="62" t="n">
        <v>1</v>
      </c>
      <c r="P2918" s="62" t="n">
        <v>1</v>
      </c>
      <c r="Q2918" s="62" t="n">
        <v>0</v>
      </c>
      <c r="R2918" s="62" t="n">
        <v>0</v>
      </c>
      <c r="S2918" s="62" t="n">
        <v>0</v>
      </c>
      <c r="T2918" s="62" t="n">
        <v>0</v>
      </c>
      <c r="U2918" s="62"/>
      <c r="V2918" s="62"/>
      <c r="W2918" s="62"/>
      <c r="X2918" s="62"/>
      <c r="Y2918" s="62"/>
      <c r="Z2918" s="62" t="s">
        <v>5329</v>
      </c>
      <c r="AA2918" s="62" t="s">
        <v>5330</v>
      </c>
      <c r="AB2918" s="62" t="n">
        <v>1</v>
      </c>
      <c r="AC2918" s="62" t="n">
        <v>0</v>
      </c>
      <c r="AD2918" s="62" t="n">
        <v>1</v>
      </c>
      <c r="AE2918" s="62" t="n">
        <f aca="false">IF(AND(Dashboard!$C$9="Yes",AC2918=1),0,1)</f>
        <v>1</v>
      </c>
      <c r="AF2918" s="62" t="n">
        <v>0</v>
      </c>
    </row>
    <row r="2919" customFormat="false" ht="15" hidden="false" customHeight="false" outlineLevel="0" collapsed="false">
      <c r="A2919" s="62" t="n">
        <v>2918</v>
      </c>
      <c r="B2919" s="63" t="n">
        <v>46295.8293865741</v>
      </c>
      <c r="C2919" s="64" t="n">
        <v>46295</v>
      </c>
      <c r="D2919" s="62" t="s">
        <v>143</v>
      </c>
      <c r="E2919" s="62" t="s">
        <v>164</v>
      </c>
      <c r="F2919" s="62" t="s">
        <v>164</v>
      </c>
      <c r="G2919" s="62" t="s">
        <v>165</v>
      </c>
      <c r="H2919" s="62" t="s">
        <v>51</v>
      </c>
      <c r="I2919" s="62" t="s">
        <v>47</v>
      </c>
      <c r="J2919" s="62" t="s">
        <v>146</v>
      </c>
      <c r="K2919" s="62" t="s">
        <v>147</v>
      </c>
      <c r="L2919" s="62" t="s">
        <v>4</v>
      </c>
      <c r="M2919" s="62" t="n">
        <v>1</v>
      </c>
      <c r="N2919" s="62" t="n">
        <v>0</v>
      </c>
      <c r="O2919" s="62" t="n">
        <v>1</v>
      </c>
      <c r="P2919" s="62" t="n">
        <v>0</v>
      </c>
      <c r="Q2919" s="62" t="n">
        <v>0</v>
      </c>
      <c r="R2919" s="62" t="n">
        <v>0</v>
      </c>
      <c r="S2919" s="62" t="n">
        <v>0</v>
      </c>
      <c r="T2919" s="62" t="n">
        <v>0</v>
      </c>
      <c r="U2919" s="62" t="s">
        <v>2056</v>
      </c>
      <c r="V2919" s="62" t="s">
        <v>2057</v>
      </c>
      <c r="W2919" s="62" t="s">
        <v>15</v>
      </c>
      <c r="X2919" s="62" t="s">
        <v>2125</v>
      </c>
      <c r="Y2919" s="62" t="s">
        <v>2059</v>
      </c>
      <c r="Z2919" s="62" t="s">
        <v>5331</v>
      </c>
      <c r="AA2919" s="62" t="s">
        <v>5332</v>
      </c>
      <c r="AB2919" s="62" t="n">
        <v>1</v>
      </c>
      <c r="AC2919" s="62" t="n">
        <v>0</v>
      </c>
      <c r="AD2919" s="62" t="n">
        <v>1</v>
      </c>
      <c r="AE2919" s="62" t="n">
        <f aca="false">IF(AND(Dashboard!$C$9="Yes",AC2919=1),0,1)</f>
        <v>1</v>
      </c>
      <c r="AF2919" s="62" t="n">
        <v>1</v>
      </c>
    </row>
    <row r="2920" customFormat="false" ht="15" hidden="false" customHeight="false" outlineLevel="0" collapsed="false">
      <c r="A2920" s="62" t="n">
        <v>2919</v>
      </c>
      <c r="B2920" s="63" t="n">
        <v>46295.8294444445</v>
      </c>
      <c r="C2920" s="64" t="n">
        <v>46295</v>
      </c>
      <c r="D2920" s="62" t="s">
        <v>143</v>
      </c>
      <c r="E2920" s="62" t="s">
        <v>5333</v>
      </c>
      <c r="F2920" s="62" t="s">
        <v>5333</v>
      </c>
      <c r="G2920" s="62" t="s">
        <v>5334</v>
      </c>
      <c r="H2920" s="62" t="s">
        <v>55</v>
      </c>
      <c r="I2920" s="62" t="s">
        <v>49</v>
      </c>
      <c r="J2920" s="62" t="s">
        <v>3708</v>
      </c>
      <c r="K2920" s="62" t="s">
        <v>209</v>
      </c>
      <c r="L2920" s="62" t="s">
        <v>148</v>
      </c>
      <c r="M2920" s="62" t="n">
        <v>0</v>
      </c>
      <c r="N2920" s="62" t="n">
        <v>1</v>
      </c>
      <c r="O2920" s="62" t="n">
        <v>1</v>
      </c>
      <c r="P2920" s="62" t="n">
        <v>1</v>
      </c>
      <c r="Q2920" s="62" t="n">
        <v>0</v>
      </c>
      <c r="R2920" s="62" t="n">
        <v>0</v>
      </c>
      <c r="S2920" s="62" t="n">
        <v>0</v>
      </c>
      <c r="T2920" s="62" t="n">
        <v>0</v>
      </c>
      <c r="U2920" s="62"/>
      <c r="V2920" s="62"/>
      <c r="W2920" s="62"/>
      <c r="X2920" s="62"/>
      <c r="Y2920" s="62"/>
      <c r="Z2920" s="62" t="s">
        <v>5335</v>
      </c>
      <c r="AA2920" s="62" t="s">
        <v>5336</v>
      </c>
      <c r="AB2920" s="62" t="n">
        <v>1</v>
      </c>
      <c r="AC2920" s="62" t="n">
        <v>0</v>
      </c>
      <c r="AD2920" s="62" t="n">
        <v>1</v>
      </c>
      <c r="AE2920" s="62" t="n">
        <f aca="false">IF(AND(Dashboard!$C$9="Yes",AC2920=1),0,1)</f>
        <v>1</v>
      </c>
      <c r="AF2920" s="62" t="n">
        <v>1</v>
      </c>
    </row>
    <row r="2921" customFormat="false" ht="15" hidden="false" customHeight="false" outlineLevel="0" collapsed="false">
      <c r="A2921" s="62" t="n">
        <v>2920</v>
      </c>
      <c r="B2921" s="63" t="n">
        <v>46295.8313888889</v>
      </c>
      <c r="C2921" s="64" t="n">
        <v>46295</v>
      </c>
      <c r="D2921" s="62" t="s">
        <v>143</v>
      </c>
      <c r="E2921" s="62" t="s">
        <v>164</v>
      </c>
      <c r="F2921" s="62" t="s">
        <v>164</v>
      </c>
      <c r="G2921" s="62" t="s">
        <v>165</v>
      </c>
      <c r="H2921" s="62" t="s">
        <v>51</v>
      </c>
      <c r="I2921" s="62" t="s">
        <v>47</v>
      </c>
      <c r="J2921" s="62" t="s">
        <v>146</v>
      </c>
      <c r="K2921" s="62" t="s">
        <v>147</v>
      </c>
      <c r="L2921" s="62" t="s">
        <v>4</v>
      </c>
      <c r="M2921" s="62" t="n">
        <v>1</v>
      </c>
      <c r="N2921" s="62" t="n">
        <v>0</v>
      </c>
      <c r="O2921" s="62" t="n">
        <v>1</v>
      </c>
      <c r="P2921" s="62" t="n">
        <v>0</v>
      </c>
      <c r="Q2921" s="62" t="n">
        <v>0</v>
      </c>
      <c r="R2921" s="62" t="n">
        <v>0</v>
      </c>
      <c r="S2921" s="62" t="n">
        <v>0</v>
      </c>
      <c r="T2921" s="62" t="n">
        <v>0</v>
      </c>
      <c r="U2921" s="62" t="s">
        <v>2056</v>
      </c>
      <c r="V2921" s="62" t="s">
        <v>2057</v>
      </c>
      <c r="W2921" s="62" t="s">
        <v>15</v>
      </c>
      <c r="X2921" s="62" t="s">
        <v>2125</v>
      </c>
      <c r="Y2921" s="62" t="s">
        <v>2059</v>
      </c>
      <c r="Z2921" s="62" t="s">
        <v>5331</v>
      </c>
      <c r="AA2921" s="62" t="s">
        <v>5332</v>
      </c>
      <c r="AB2921" s="62" t="n">
        <v>1</v>
      </c>
      <c r="AC2921" s="62" t="n">
        <v>1</v>
      </c>
      <c r="AD2921" s="62" t="n">
        <v>1</v>
      </c>
      <c r="AE2921" s="62" t="n">
        <f aca="false">IF(AND(Dashboard!$C$9="Yes",AC2921=1),0,1)</f>
        <v>0</v>
      </c>
      <c r="AF2921" s="62" t="n">
        <v>0</v>
      </c>
    </row>
    <row r="2922" customFormat="false" ht="15" hidden="false" customHeight="false" outlineLevel="0" collapsed="false">
      <c r="A2922" s="62" t="n">
        <v>2921</v>
      </c>
      <c r="B2922" s="63" t="n">
        <v>46295.8324421296</v>
      </c>
      <c r="C2922" s="64" t="n">
        <v>46295</v>
      </c>
      <c r="D2922" s="62" t="s">
        <v>143</v>
      </c>
      <c r="E2922" s="62" t="s">
        <v>164</v>
      </c>
      <c r="F2922" s="62" t="s">
        <v>164</v>
      </c>
      <c r="G2922" s="62" t="s">
        <v>165</v>
      </c>
      <c r="H2922" s="62" t="s">
        <v>51</v>
      </c>
      <c r="I2922" s="62" t="s">
        <v>47</v>
      </c>
      <c r="J2922" s="62" t="s">
        <v>146</v>
      </c>
      <c r="K2922" s="62" t="s">
        <v>147</v>
      </c>
      <c r="L2922" s="62" t="s">
        <v>4</v>
      </c>
      <c r="M2922" s="62" t="n">
        <v>1</v>
      </c>
      <c r="N2922" s="62" t="n">
        <v>0</v>
      </c>
      <c r="O2922" s="62" t="n">
        <v>1</v>
      </c>
      <c r="P2922" s="62" t="n">
        <v>0</v>
      </c>
      <c r="Q2922" s="62" t="n">
        <v>0</v>
      </c>
      <c r="R2922" s="62" t="n">
        <v>0</v>
      </c>
      <c r="S2922" s="62" t="n">
        <v>0</v>
      </c>
      <c r="T2922" s="62" t="n">
        <v>0</v>
      </c>
      <c r="U2922" s="62" t="s">
        <v>2056</v>
      </c>
      <c r="V2922" s="62" t="s">
        <v>2057</v>
      </c>
      <c r="W2922" s="62" t="s">
        <v>15</v>
      </c>
      <c r="X2922" s="62" t="s">
        <v>2125</v>
      </c>
      <c r="Y2922" s="62" t="s">
        <v>2059</v>
      </c>
      <c r="Z2922" s="62" t="s">
        <v>5331</v>
      </c>
      <c r="AA2922" s="62" t="s">
        <v>5332</v>
      </c>
      <c r="AB2922" s="62" t="n">
        <v>1</v>
      </c>
      <c r="AC2922" s="62" t="n">
        <v>1</v>
      </c>
      <c r="AD2922" s="62" t="n">
        <v>1</v>
      </c>
      <c r="AE2922" s="62" t="n">
        <f aca="false">IF(AND(Dashboard!$C$9="Yes",AC2922=1),0,1)</f>
        <v>0</v>
      </c>
      <c r="AF2922" s="62" t="n">
        <v>0</v>
      </c>
    </row>
    <row r="2923" customFormat="false" ht="15" hidden="false" customHeight="false" outlineLevel="0" collapsed="false">
      <c r="A2923" s="62" t="n">
        <v>2922</v>
      </c>
      <c r="B2923" s="63" t="n">
        <v>46295.8366319445</v>
      </c>
      <c r="C2923" s="64" t="n">
        <v>46295</v>
      </c>
      <c r="D2923" s="62" t="s">
        <v>143</v>
      </c>
      <c r="E2923" s="62" t="s">
        <v>5246</v>
      </c>
      <c r="F2923" s="62" t="s">
        <v>5246</v>
      </c>
      <c r="G2923" s="62" t="s">
        <v>5247</v>
      </c>
      <c r="H2923" s="62" t="s">
        <v>55</v>
      </c>
      <c r="I2923" s="62" t="s">
        <v>49</v>
      </c>
      <c r="J2923" s="62" t="s">
        <v>3708</v>
      </c>
      <c r="K2923" s="62" t="s">
        <v>209</v>
      </c>
      <c r="L2923" s="62" t="s">
        <v>148</v>
      </c>
      <c r="M2923" s="62" t="n">
        <v>0</v>
      </c>
      <c r="N2923" s="62" t="n">
        <v>1</v>
      </c>
      <c r="O2923" s="62" t="n">
        <v>1</v>
      </c>
      <c r="P2923" s="62" t="n">
        <v>0</v>
      </c>
      <c r="Q2923" s="62" t="n">
        <v>1</v>
      </c>
      <c r="R2923" s="62" t="n">
        <v>0</v>
      </c>
      <c r="S2923" s="62" t="n">
        <v>0</v>
      </c>
      <c r="T2923" s="62" t="n">
        <v>0</v>
      </c>
      <c r="U2923" s="62"/>
      <c r="V2923" s="62"/>
      <c r="W2923" s="62"/>
      <c r="X2923" s="62"/>
      <c r="Y2923" s="62"/>
      <c r="Z2923" s="62" t="s">
        <v>5337</v>
      </c>
      <c r="AA2923" s="62" t="s">
        <v>5338</v>
      </c>
      <c r="AB2923" s="62" t="n">
        <v>1</v>
      </c>
      <c r="AC2923" s="62" t="n">
        <v>0</v>
      </c>
      <c r="AD2923" s="62" t="n">
        <v>1</v>
      </c>
      <c r="AE2923" s="62" t="n">
        <f aca="false">IF(AND(Dashboard!$C$9="Yes",AC2923=1),0,1)</f>
        <v>1</v>
      </c>
      <c r="AF2923" s="62" t="n">
        <v>1</v>
      </c>
    </row>
    <row r="2924" customFormat="false" ht="15" hidden="false" customHeight="false" outlineLevel="0" collapsed="false">
      <c r="A2924" s="62" t="n">
        <v>2923</v>
      </c>
      <c r="B2924" s="63" t="n">
        <v>46295.8412268519</v>
      </c>
      <c r="C2924" s="64" t="n">
        <v>46295</v>
      </c>
      <c r="D2924" s="62" t="s">
        <v>143</v>
      </c>
      <c r="E2924" s="62" t="s">
        <v>1155</v>
      </c>
      <c r="F2924" s="62" t="s">
        <v>1155</v>
      </c>
      <c r="G2924" s="62" t="s">
        <v>1156</v>
      </c>
      <c r="H2924" s="62" t="s">
        <v>59</v>
      </c>
      <c r="I2924" s="62" t="s">
        <v>47</v>
      </c>
      <c r="J2924" s="62" t="s">
        <v>146</v>
      </c>
      <c r="K2924" s="62" t="s">
        <v>209</v>
      </c>
      <c r="L2924" s="62" t="s">
        <v>148</v>
      </c>
      <c r="M2924" s="62" t="n">
        <v>0</v>
      </c>
      <c r="N2924" s="62" t="n">
        <v>1</v>
      </c>
      <c r="O2924" s="62" t="n">
        <v>1</v>
      </c>
      <c r="P2924" s="62" t="n">
        <v>1</v>
      </c>
      <c r="Q2924" s="62" t="n">
        <v>0</v>
      </c>
      <c r="R2924" s="62" t="n">
        <v>0</v>
      </c>
      <c r="S2924" s="62" t="n">
        <v>0</v>
      </c>
      <c r="T2924" s="62" t="n">
        <v>0</v>
      </c>
      <c r="U2924" s="62"/>
      <c r="V2924" s="62"/>
      <c r="W2924" s="62"/>
      <c r="X2924" s="62"/>
      <c r="Y2924" s="62"/>
      <c r="Z2924" s="62" t="s">
        <v>5339</v>
      </c>
      <c r="AA2924" s="62" t="s">
        <v>5340</v>
      </c>
      <c r="AB2924" s="62" t="n">
        <v>1</v>
      </c>
      <c r="AC2924" s="62" t="n">
        <v>0</v>
      </c>
      <c r="AD2924" s="62" t="n">
        <v>1</v>
      </c>
      <c r="AE2924" s="62" t="n">
        <f aca="false">IF(AND(Dashboard!$C$9="Yes",AC2924=1),0,1)</f>
        <v>1</v>
      </c>
      <c r="AF2924" s="62" t="n">
        <v>1</v>
      </c>
    </row>
    <row r="2925" customFormat="false" ht="15" hidden="false" customHeight="false" outlineLevel="0" collapsed="false">
      <c r="A2925" s="62" t="n">
        <v>2924</v>
      </c>
      <c r="B2925" s="63" t="n">
        <v>46295.8491435185</v>
      </c>
      <c r="C2925" s="64" t="n">
        <v>46295</v>
      </c>
      <c r="D2925" s="62" t="s">
        <v>143</v>
      </c>
      <c r="E2925" s="62" t="s">
        <v>2637</v>
      </c>
      <c r="F2925" s="62" t="s">
        <v>2637</v>
      </c>
      <c r="G2925" s="62" t="s">
        <v>2638</v>
      </c>
      <c r="H2925" s="62" t="s">
        <v>52</v>
      </c>
      <c r="I2925" s="62" t="s">
        <v>47</v>
      </c>
      <c r="J2925" s="62" t="s">
        <v>146</v>
      </c>
      <c r="K2925" s="62" t="s">
        <v>147</v>
      </c>
      <c r="L2925" s="62" t="s">
        <v>4</v>
      </c>
      <c r="M2925" s="62" t="n">
        <v>1</v>
      </c>
      <c r="N2925" s="62" t="n">
        <v>0</v>
      </c>
      <c r="O2925" s="62" t="n">
        <v>1</v>
      </c>
      <c r="P2925" s="62" t="n">
        <v>0</v>
      </c>
      <c r="Q2925" s="62" t="n">
        <v>0</v>
      </c>
      <c r="R2925" s="62" t="n">
        <v>0</v>
      </c>
      <c r="S2925" s="62" t="n">
        <v>0</v>
      </c>
      <c r="T2925" s="62" t="n">
        <v>0</v>
      </c>
      <c r="U2925" s="62" t="s">
        <v>2056</v>
      </c>
      <c r="V2925" s="62" t="s">
        <v>2068</v>
      </c>
      <c r="W2925" s="62"/>
      <c r="X2925" s="62"/>
      <c r="Y2925" s="62" t="s">
        <v>2103</v>
      </c>
      <c r="Z2925" s="62" t="s">
        <v>5341</v>
      </c>
      <c r="AA2925" s="62" t="s">
        <v>5342</v>
      </c>
      <c r="AB2925" s="62" t="n">
        <v>1</v>
      </c>
      <c r="AC2925" s="62" t="n">
        <v>0</v>
      </c>
      <c r="AD2925" s="62" t="n">
        <v>1</v>
      </c>
      <c r="AE2925" s="62" t="n">
        <f aca="false">IF(AND(Dashboard!$C$9="Yes",AC2925=1),0,1)</f>
        <v>1</v>
      </c>
      <c r="AF2925" s="62" t="n">
        <v>1</v>
      </c>
    </row>
    <row r="2926" customFormat="false" ht="15" hidden="false" customHeight="false" outlineLevel="0" collapsed="false">
      <c r="A2926" s="62" t="n">
        <v>2925</v>
      </c>
      <c r="B2926" s="63" t="n">
        <v>46295.8497800926</v>
      </c>
      <c r="C2926" s="64" t="n">
        <v>46295</v>
      </c>
      <c r="D2926" s="62" t="s">
        <v>143</v>
      </c>
      <c r="E2926" s="62" t="s">
        <v>3022</v>
      </c>
      <c r="F2926" s="62" t="s">
        <v>3022</v>
      </c>
      <c r="G2926" s="62" t="s">
        <v>3023</v>
      </c>
      <c r="H2926" s="62" t="s">
        <v>46</v>
      </c>
      <c r="I2926" s="62" t="s">
        <v>47</v>
      </c>
      <c r="J2926" s="62" t="s">
        <v>146</v>
      </c>
      <c r="K2926" s="62" t="s">
        <v>209</v>
      </c>
      <c r="L2926" s="62" t="s">
        <v>4</v>
      </c>
      <c r="M2926" s="62" t="n">
        <v>1</v>
      </c>
      <c r="N2926" s="62" t="n">
        <v>0</v>
      </c>
      <c r="O2926" s="62" t="n">
        <v>1</v>
      </c>
      <c r="P2926" s="62" t="n">
        <v>0</v>
      </c>
      <c r="Q2926" s="62" t="n">
        <v>0</v>
      </c>
      <c r="R2926" s="62" t="n">
        <v>0</v>
      </c>
      <c r="S2926" s="62" t="n">
        <v>0</v>
      </c>
      <c r="T2926" s="62" t="n">
        <v>0</v>
      </c>
      <c r="U2926" s="62" t="s">
        <v>2056</v>
      </c>
      <c r="V2926" s="62" t="s">
        <v>2068</v>
      </c>
      <c r="W2926" s="62"/>
      <c r="X2926" s="62" t="s">
        <v>2125</v>
      </c>
      <c r="Y2926" s="62" t="s">
        <v>2059</v>
      </c>
      <c r="Z2926" s="62" t="s">
        <v>5343</v>
      </c>
      <c r="AA2926" s="62" t="s">
        <v>5344</v>
      </c>
      <c r="AB2926" s="62" t="n">
        <v>1</v>
      </c>
      <c r="AC2926" s="62" t="n">
        <v>0</v>
      </c>
      <c r="AD2926" s="62" t="n">
        <v>1</v>
      </c>
      <c r="AE2926" s="62" t="n">
        <f aca="false">IF(AND(Dashboard!$C$9="Yes",AC2926=1),0,1)</f>
        <v>1</v>
      </c>
      <c r="AF2926" s="62" t="n">
        <v>1</v>
      </c>
    </row>
    <row r="2927" customFormat="false" ht="15" hidden="false" customHeight="false" outlineLevel="0" collapsed="false">
      <c r="A2927" s="62" t="n">
        <v>2926</v>
      </c>
      <c r="B2927" s="63" t="n">
        <v>46295.8691550926</v>
      </c>
      <c r="C2927" s="64" t="n">
        <v>46295</v>
      </c>
      <c r="D2927" s="62" t="s">
        <v>143</v>
      </c>
      <c r="E2927" s="62" t="s">
        <v>5270</v>
      </c>
      <c r="F2927" s="62" t="s">
        <v>5270</v>
      </c>
      <c r="G2927" s="62" t="s">
        <v>5271</v>
      </c>
      <c r="H2927" s="62" t="s">
        <v>55</v>
      </c>
      <c r="I2927" s="62" t="s">
        <v>49</v>
      </c>
      <c r="J2927" s="62" t="s">
        <v>3708</v>
      </c>
      <c r="K2927" s="62" t="s">
        <v>209</v>
      </c>
      <c r="L2927" s="62" t="s">
        <v>148</v>
      </c>
      <c r="M2927" s="62" t="n">
        <v>0</v>
      </c>
      <c r="N2927" s="62" t="n">
        <v>2</v>
      </c>
      <c r="O2927" s="62" t="n">
        <v>2</v>
      </c>
      <c r="P2927" s="62" t="n">
        <v>1</v>
      </c>
      <c r="Q2927" s="62" t="n">
        <v>1</v>
      </c>
      <c r="R2927" s="62" t="n">
        <v>0</v>
      </c>
      <c r="S2927" s="62" t="n">
        <v>0</v>
      </c>
      <c r="T2927" s="62" t="n">
        <v>0</v>
      </c>
      <c r="U2927" s="62"/>
      <c r="V2927" s="62"/>
      <c r="W2927" s="62"/>
      <c r="X2927" s="62"/>
      <c r="Y2927" s="62"/>
      <c r="Z2927" s="62" t="s">
        <v>5345</v>
      </c>
      <c r="AA2927" s="62" t="s">
        <v>5346</v>
      </c>
      <c r="AB2927" s="62" t="n">
        <v>1</v>
      </c>
      <c r="AC2927" s="62" t="n">
        <v>0</v>
      </c>
      <c r="AD2927" s="62" t="n">
        <v>1</v>
      </c>
      <c r="AE2927" s="62" t="n">
        <f aca="false">IF(AND(Dashboard!$C$9="Yes",AC2927=1),0,1)</f>
        <v>1</v>
      </c>
      <c r="AF2927" s="62" t="n">
        <v>1</v>
      </c>
    </row>
    <row r="2928" customFormat="false" ht="15" hidden="false" customHeight="false" outlineLevel="0" collapsed="false">
      <c r="A2928" s="62" t="n">
        <v>2927</v>
      </c>
      <c r="B2928" s="63" t="n">
        <v>46295.9013541667</v>
      </c>
      <c r="C2928" s="64" t="n">
        <v>46295</v>
      </c>
      <c r="D2928" s="62" t="s">
        <v>143</v>
      </c>
      <c r="E2928" s="62" t="s">
        <v>650</v>
      </c>
      <c r="F2928" s="62" t="s">
        <v>650</v>
      </c>
      <c r="G2928" s="62" t="s">
        <v>651</v>
      </c>
      <c r="H2928" s="62" t="s">
        <v>59</v>
      </c>
      <c r="I2928" s="62" t="s">
        <v>47</v>
      </c>
      <c r="J2928" s="62" t="s">
        <v>146</v>
      </c>
      <c r="K2928" s="62" t="s">
        <v>209</v>
      </c>
      <c r="L2928" s="62" t="s">
        <v>148</v>
      </c>
      <c r="M2928" s="62" t="n">
        <v>0</v>
      </c>
      <c r="N2928" s="62" t="n">
        <v>2</v>
      </c>
      <c r="O2928" s="62" t="n">
        <v>2</v>
      </c>
      <c r="P2928" s="62" t="n">
        <v>1</v>
      </c>
      <c r="Q2928" s="62" t="n">
        <v>1</v>
      </c>
      <c r="R2928" s="62" t="n">
        <v>0</v>
      </c>
      <c r="S2928" s="62" t="n">
        <v>0</v>
      </c>
      <c r="T2928" s="62" t="n">
        <v>0</v>
      </c>
      <c r="U2928" s="62"/>
      <c r="V2928" s="62"/>
      <c r="W2928" s="62"/>
      <c r="X2928" s="62"/>
      <c r="Y2928" s="62"/>
      <c r="Z2928" s="62" t="s">
        <v>5347</v>
      </c>
      <c r="AA2928" s="62" t="s">
        <v>5348</v>
      </c>
      <c r="AB2928" s="62" t="n">
        <v>1</v>
      </c>
      <c r="AC2928" s="62" t="n">
        <v>0</v>
      </c>
      <c r="AD2928" s="62" t="n">
        <v>1</v>
      </c>
      <c r="AE2928" s="62" t="n">
        <f aca="false">IF(AND(Dashboard!$C$9="Yes",AC2928=1),0,1)</f>
        <v>1</v>
      </c>
      <c r="AF2928" s="62" t="n">
        <v>1</v>
      </c>
    </row>
    <row r="2929" customFormat="false" ht="15" hidden="false" customHeight="false" outlineLevel="0" collapsed="false">
      <c r="A2929" s="62" t="n">
        <v>2928</v>
      </c>
      <c r="B2929" s="63" t="n">
        <v>46295.9107523148</v>
      </c>
      <c r="C2929" s="64" t="n">
        <v>46295</v>
      </c>
      <c r="D2929" s="62" t="s">
        <v>143</v>
      </c>
      <c r="E2929" s="62" t="s">
        <v>4542</v>
      </c>
      <c r="F2929" s="62" t="s">
        <v>4542</v>
      </c>
      <c r="G2929" s="62" t="s">
        <v>4543</v>
      </c>
      <c r="H2929" s="62" t="s">
        <v>44</v>
      </c>
      <c r="I2929" s="62" t="s">
        <v>49</v>
      </c>
      <c r="J2929" s="62" t="s">
        <v>146</v>
      </c>
      <c r="K2929" s="62" t="s">
        <v>147</v>
      </c>
      <c r="L2929" s="62" t="s">
        <v>148</v>
      </c>
      <c r="M2929" s="62" t="n">
        <v>0</v>
      </c>
      <c r="N2929" s="62" t="n">
        <v>1</v>
      </c>
      <c r="O2929" s="62" t="n">
        <v>1</v>
      </c>
      <c r="P2929" s="62" t="n">
        <v>0</v>
      </c>
      <c r="Q2929" s="62" t="n">
        <v>1</v>
      </c>
      <c r="R2929" s="62" t="n">
        <v>0</v>
      </c>
      <c r="S2929" s="62" t="n">
        <v>0</v>
      </c>
      <c r="T2929" s="62" t="n">
        <v>0</v>
      </c>
      <c r="U2929" s="62"/>
      <c r="V2929" s="62"/>
      <c r="W2929" s="62"/>
      <c r="X2929" s="62"/>
      <c r="Y2929" s="62"/>
      <c r="Z2929" s="62" t="s">
        <v>5349</v>
      </c>
      <c r="AA2929" s="62" t="s">
        <v>5350</v>
      </c>
      <c r="AB2929" s="62" t="n">
        <v>1</v>
      </c>
      <c r="AC2929" s="62" t="n">
        <v>0</v>
      </c>
      <c r="AD2929" s="62" t="n">
        <v>1</v>
      </c>
      <c r="AE2929" s="62" t="n">
        <f aca="false">IF(AND(Dashboard!$C$9="Yes",AC2929=1),0,1)</f>
        <v>1</v>
      </c>
      <c r="AF2929" s="62" t="n">
        <v>1</v>
      </c>
    </row>
    <row r="2930" customFormat="false" ht="15" hidden="false" customHeight="false" outlineLevel="0" collapsed="false">
      <c r="A2930" s="62" t="n">
        <v>2929</v>
      </c>
      <c r="B2930" s="63" t="n">
        <v>46295.9111921296</v>
      </c>
      <c r="C2930" s="64" t="n">
        <v>46295</v>
      </c>
      <c r="D2930" s="62" t="s">
        <v>143</v>
      </c>
      <c r="E2930" s="62" t="s">
        <v>650</v>
      </c>
      <c r="F2930" s="62" t="s">
        <v>650</v>
      </c>
      <c r="G2930" s="62" t="s">
        <v>651</v>
      </c>
      <c r="H2930" s="62" t="s">
        <v>59</v>
      </c>
      <c r="I2930" s="62" t="s">
        <v>47</v>
      </c>
      <c r="J2930" s="62" t="s">
        <v>146</v>
      </c>
      <c r="K2930" s="62" t="s">
        <v>209</v>
      </c>
      <c r="L2930" s="62" t="s">
        <v>4</v>
      </c>
      <c r="M2930" s="62" t="n">
        <v>1</v>
      </c>
      <c r="N2930" s="62" t="n">
        <v>0</v>
      </c>
      <c r="O2930" s="62" t="n">
        <v>1</v>
      </c>
      <c r="P2930" s="62" t="n">
        <v>0</v>
      </c>
      <c r="Q2930" s="62" t="n">
        <v>0</v>
      </c>
      <c r="R2930" s="62" t="n">
        <v>0</v>
      </c>
      <c r="S2930" s="62" t="n">
        <v>0</v>
      </c>
      <c r="T2930" s="62" t="n">
        <v>0</v>
      </c>
      <c r="U2930" s="62" t="s">
        <v>2056</v>
      </c>
      <c r="V2930" s="62" t="s">
        <v>2057</v>
      </c>
      <c r="W2930" s="62" t="s">
        <v>15</v>
      </c>
      <c r="X2930" s="62" t="s">
        <v>2058</v>
      </c>
      <c r="Y2930" s="62" t="s">
        <v>2059</v>
      </c>
      <c r="Z2930" s="62" t="s">
        <v>5347</v>
      </c>
      <c r="AA2930" s="62" t="s">
        <v>5351</v>
      </c>
      <c r="AB2930" s="62" t="n">
        <v>1</v>
      </c>
      <c r="AC2930" s="62" t="n">
        <v>0</v>
      </c>
      <c r="AD2930" s="62" t="n">
        <v>1</v>
      </c>
      <c r="AE2930" s="62" t="n">
        <f aca="false">IF(AND(Dashboard!$C$9="Yes",AC2930=1),0,1)</f>
        <v>1</v>
      </c>
      <c r="AF2930" s="62" t="n">
        <v>0</v>
      </c>
    </row>
    <row r="2931" customFormat="false" ht="15" hidden="false" customHeight="false" outlineLevel="0" collapsed="false">
      <c r="A2931" s="62" t="n">
        <v>2930</v>
      </c>
      <c r="B2931" s="63" t="n">
        <v>46295.9222916667</v>
      </c>
      <c r="C2931" s="64" t="n">
        <v>46295</v>
      </c>
      <c r="D2931" s="62" t="s">
        <v>143</v>
      </c>
      <c r="E2931" s="62" t="s">
        <v>4242</v>
      </c>
      <c r="F2931" s="62" t="s">
        <v>4242</v>
      </c>
      <c r="G2931" s="62" t="s">
        <v>4243</v>
      </c>
      <c r="H2931" s="62" t="s">
        <v>44</v>
      </c>
      <c r="I2931" s="62" t="s">
        <v>49</v>
      </c>
      <c r="J2931" s="62" t="s">
        <v>146</v>
      </c>
      <c r="K2931" s="62" t="s">
        <v>147</v>
      </c>
      <c r="L2931" s="62" t="s">
        <v>148</v>
      </c>
      <c r="M2931" s="62" t="n">
        <v>0</v>
      </c>
      <c r="N2931" s="62" t="n">
        <v>1</v>
      </c>
      <c r="O2931" s="62" t="n">
        <v>1</v>
      </c>
      <c r="P2931" s="62" t="n">
        <v>1</v>
      </c>
      <c r="Q2931" s="62" t="n">
        <v>0</v>
      </c>
      <c r="R2931" s="62" t="n">
        <v>0</v>
      </c>
      <c r="S2931" s="62" t="n">
        <v>0</v>
      </c>
      <c r="T2931" s="62" t="n">
        <v>0</v>
      </c>
      <c r="U2931" s="62"/>
      <c r="V2931" s="62"/>
      <c r="W2931" s="62"/>
      <c r="X2931" s="62"/>
      <c r="Y2931" s="62"/>
      <c r="Z2931" s="62" t="s">
        <v>5352</v>
      </c>
      <c r="AA2931" s="62" t="s">
        <v>5353</v>
      </c>
      <c r="AB2931" s="62" t="n">
        <v>1</v>
      </c>
      <c r="AC2931" s="62" t="n">
        <v>0</v>
      </c>
      <c r="AD2931" s="62" t="n">
        <v>1</v>
      </c>
      <c r="AE2931" s="62" t="n">
        <f aca="false">IF(AND(Dashboard!$C$9="Yes",AC2931=1),0,1)</f>
        <v>1</v>
      </c>
      <c r="AF2931" s="62" t="n">
        <v>1</v>
      </c>
    </row>
    <row r="2932" customFormat="false" ht="15" hidden="false" customHeight="false" outlineLevel="0" collapsed="false">
      <c r="A2932" s="62" t="n">
        <v>2931</v>
      </c>
      <c r="B2932" s="63" t="n">
        <v>46295.9257060185</v>
      </c>
      <c r="C2932" s="64" t="n">
        <v>46295</v>
      </c>
      <c r="D2932" s="62" t="s">
        <v>143</v>
      </c>
      <c r="E2932" s="62" t="s">
        <v>173</v>
      </c>
      <c r="F2932" s="62" t="s">
        <v>173</v>
      </c>
      <c r="G2932" s="62" t="s">
        <v>174</v>
      </c>
      <c r="H2932" s="62" t="s">
        <v>58</v>
      </c>
      <c r="I2932" s="62" t="s">
        <v>49</v>
      </c>
      <c r="J2932" s="62" t="s">
        <v>146</v>
      </c>
      <c r="K2932" s="62" t="s">
        <v>175</v>
      </c>
      <c r="L2932" s="62" t="s">
        <v>4</v>
      </c>
      <c r="M2932" s="62" t="n">
        <v>1</v>
      </c>
      <c r="N2932" s="62" t="n">
        <v>0</v>
      </c>
      <c r="O2932" s="62" t="n">
        <v>1</v>
      </c>
      <c r="P2932" s="62" t="n">
        <v>0</v>
      </c>
      <c r="Q2932" s="62" t="n">
        <v>0</v>
      </c>
      <c r="R2932" s="62" t="n">
        <v>0</v>
      </c>
      <c r="S2932" s="62" t="n">
        <v>0</v>
      </c>
      <c r="T2932" s="62" t="n">
        <v>0</v>
      </c>
      <c r="U2932" s="62" t="s">
        <v>15</v>
      </c>
      <c r="V2932" s="62" t="s">
        <v>2057</v>
      </c>
      <c r="W2932" s="62" t="s">
        <v>2056</v>
      </c>
      <c r="X2932" s="62" t="s">
        <v>2069</v>
      </c>
      <c r="Y2932" s="62" t="s">
        <v>2064</v>
      </c>
      <c r="Z2932" s="62" t="s">
        <v>5354</v>
      </c>
      <c r="AA2932" s="62" t="s">
        <v>5355</v>
      </c>
      <c r="AB2932" s="62" t="n">
        <v>1</v>
      </c>
      <c r="AC2932" s="62" t="n">
        <v>0</v>
      </c>
      <c r="AD2932" s="62" t="n">
        <v>1</v>
      </c>
      <c r="AE2932" s="62" t="n">
        <f aca="false">IF(AND(Dashboard!$C$9="Yes",AC2932=1),0,1)</f>
        <v>1</v>
      </c>
      <c r="AF2932" s="62" t="n">
        <v>1</v>
      </c>
    </row>
    <row r="2933" customFormat="false" ht="15" hidden="false" customHeight="false" outlineLevel="0" collapsed="false">
      <c r="A2933" s="62" t="n">
        <v>2932</v>
      </c>
      <c r="B2933" s="63" t="n">
        <v>46295.9269675926</v>
      </c>
      <c r="C2933" s="64" t="n">
        <v>46295</v>
      </c>
      <c r="D2933" s="62" t="s">
        <v>143</v>
      </c>
      <c r="E2933" s="62" t="s">
        <v>4242</v>
      </c>
      <c r="F2933" s="62" t="s">
        <v>4242</v>
      </c>
      <c r="G2933" s="62" t="s">
        <v>4243</v>
      </c>
      <c r="H2933" s="62" t="s">
        <v>44</v>
      </c>
      <c r="I2933" s="62" t="s">
        <v>49</v>
      </c>
      <c r="J2933" s="62" t="s">
        <v>146</v>
      </c>
      <c r="K2933" s="62" t="s">
        <v>147</v>
      </c>
      <c r="L2933" s="62" t="s">
        <v>148</v>
      </c>
      <c r="M2933" s="62" t="n">
        <v>0</v>
      </c>
      <c r="N2933" s="62" t="n">
        <v>1</v>
      </c>
      <c r="O2933" s="62" t="n">
        <v>1</v>
      </c>
      <c r="P2933" s="62" t="n">
        <v>1</v>
      </c>
      <c r="Q2933" s="62" t="n">
        <v>0</v>
      </c>
      <c r="R2933" s="62" t="n">
        <v>0</v>
      </c>
      <c r="S2933" s="62" t="n">
        <v>0</v>
      </c>
      <c r="T2933" s="62" t="n">
        <v>0</v>
      </c>
      <c r="U2933" s="62"/>
      <c r="V2933" s="62"/>
      <c r="W2933" s="62"/>
      <c r="X2933" s="62"/>
      <c r="Y2933" s="62"/>
      <c r="Z2933" s="62" t="s">
        <v>5356</v>
      </c>
      <c r="AA2933" s="62" t="s">
        <v>5357</v>
      </c>
      <c r="AB2933" s="62" t="n">
        <v>1</v>
      </c>
      <c r="AC2933" s="62" t="n">
        <v>0</v>
      </c>
      <c r="AD2933" s="62" t="n">
        <v>1</v>
      </c>
      <c r="AE2933" s="62" t="n">
        <f aca="false">IF(AND(Dashboard!$C$9="Yes",AC2933=1),0,1)</f>
        <v>1</v>
      </c>
      <c r="AF2933" s="62" t="n">
        <v>0</v>
      </c>
    </row>
    <row r="2934" customFormat="false" ht="15" hidden="false" customHeight="false" outlineLevel="0" collapsed="false">
      <c r="A2934" s="62" t="n">
        <v>2933</v>
      </c>
      <c r="B2934" s="63" t="n">
        <v>46295.9416319444</v>
      </c>
      <c r="C2934" s="64" t="n">
        <v>46295</v>
      </c>
      <c r="D2934" s="62" t="s">
        <v>143</v>
      </c>
      <c r="E2934" s="62" t="s">
        <v>5358</v>
      </c>
      <c r="F2934" s="62" t="s">
        <v>1005</v>
      </c>
      <c r="G2934" s="62" t="s">
        <v>1006</v>
      </c>
      <c r="H2934" s="62" t="s">
        <v>46</v>
      </c>
      <c r="I2934" s="62" t="s">
        <v>47</v>
      </c>
      <c r="J2934" s="62" t="s">
        <v>146</v>
      </c>
      <c r="K2934" s="62" t="s">
        <v>209</v>
      </c>
      <c r="L2934" s="62" t="s">
        <v>148</v>
      </c>
      <c r="M2934" s="62" t="n">
        <v>0</v>
      </c>
      <c r="N2934" s="62" t="n">
        <v>1</v>
      </c>
      <c r="O2934" s="62" t="n">
        <v>1</v>
      </c>
      <c r="P2934" s="62" t="n">
        <v>0</v>
      </c>
      <c r="Q2934" s="62" t="n">
        <v>0</v>
      </c>
      <c r="R2934" s="62" t="n">
        <v>1</v>
      </c>
      <c r="S2934" s="62" t="n">
        <v>0</v>
      </c>
      <c r="T2934" s="62" t="n">
        <v>0</v>
      </c>
      <c r="U2934" s="62"/>
      <c r="V2934" s="62"/>
      <c r="W2934" s="62"/>
      <c r="X2934" s="62"/>
      <c r="Y2934" s="62"/>
      <c r="Z2934" s="62" t="s">
        <v>5359</v>
      </c>
      <c r="AA2934" s="62" t="s">
        <v>5360</v>
      </c>
      <c r="AB2934" s="62" t="n">
        <v>1</v>
      </c>
      <c r="AC2934" s="62" t="n">
        <v>0</v>
      </c>
      <c r="AD2934" s="62" t="n">
        <v>1</v>
      </c>
      <c r="AE2934" s="62" t="n">
        <f aca="false">IF(AND(Dashboard!$C$9="Yes",AC2934=1),0,1)</f>
        <v>1</v>
      </c>
      <c r="AF2934" s="62" t="n">
        <v>0</v>
      </c>
    </row>
    <row r="2935" customFormat="false" ht="15" hidden="false" customHeight="false" outlineLevel="0" collapsed="false">
      <c r="A2935" s="62" t="n">
        <v>2934</v>
      </c>
      <c r="B2935" s="63" t="n">
        <v>46295.9428240741</v>
      </c>
      <c r="C2935" s="64" t="n">
        <v>46295</v>
      </c>
      <c r="D2935" s="62" t="s">
        <v>143</v>
      </c>
      <c r="E2935" s="62" t="s">
        <v>2637</v>
      </c>
      <c r="F2935" s="62" t="s">
        <v>2637</v>
      </c>
      <c r="G2935" s="62" t="s">
        <v>2638</v>
      </c>
      <c r="H2935" s="62" t="s">
        <v>52</v>
      </c>
      <c r="I2935" s="62" t="s">
        <v>47</v>
      </c>
      <c r="J2935" s="62" t="s">
        <v>146</v>
      </c>
      <c r="K2935" s="62" t="s">
        <v>147</v>
      </c>
      <c r="L2935" s="62" t="s">
        <v>148</v>
      </c>
      <c r="M2935" s="62" t="n">
        <v>0</v>
      </c>
      <c r="N2935" s="62" t="n">
        <v>1</v>
      </c>
      <c r="O2935" s="62" t="n">
        <v>1</v>
      </c>
      <c r="P2935" s="62" t="n">
        <v>1</v>
      </c>
      <c r="Q2935" s="62" t="n">
        <v>0</v>
      </c>
      <c r="R2935" s="62" t="n">
        <v>0</v>
      </c>
      <c r="S2935" s="62" t="n">
        <v>0</v>
      </c>
      <c r="T2935" s="62" t="n">
        <v>0</v>
      </c>
      <c r="U2935" s="62"/>
      <c r="V2935" s="62"/>
      <c r="W2935" s="62"/>
      <c r="X2935" s="62"/>
      <c r="Y2935" s="62"/>
      <c r="Z2935" s="62" t="s">
        <v>5361</v>
      </c>
      <c r="AA2935" s="62" t="s">
        <v>5362</v>
      </c>
      <c r="AB2935" s="62" t="n">
        <v>1</v>
      </c>
      <c r="AC2935" s="62" t="n">
        <v>0</v>
      </c>
      <c r="AD2935" s="62" t="n">
        <v>1</v>
      </c>
      <c r="AE2935" s="62" t="n">
        <f aca="false">IF(AND(Dashboard!$C$9="Yes",AC2935=1),0,1)</f>
        <v>1</v>
      </c>
      <c r="AF2935" s="62" t="n">
        <v>0</v>
      </c>
    </row>
    <row r="2936" customFormat="false" ht="15" hidden="false" customHeight="false" outlineLevel="0" collapsed="false">
      <c r="A2936" s="62" t="n">
        <v>2935</v>
      </c>
      <c r="B2936" s="63" t="n">
        <v>46295.9757175926</v>
      </c>
      <c r="C2936" s="64" t="n">
        <v>46295</v>
      </c>
      <c r="D2936" s="62" t="s">
        <v>143</v>
      </c>
      <c r="E2936" s="62" t="s">
        <v>650</v>
      </c>
      <c r="F2936" s="62" t="s">
        <v>650</v>
      </c>
      <c r="G2936" s="62" t="s">
        <v>651</v>
      </c>
      <c r="H2936" s="62" t="s">
        <v>59</v>
      </c>
      <c r="I2936" s="62" t="s">
        <v>47</v>
      </c>
      <c r="J2936" s="62" t="s">
        <v>146</v>
      </c>
      <c r="K2936" s="62" t="s">
        <v>209</v>
      </c>
      <c r="L2936" s="62" t="s">
        <v>148</v>
      </c>
      <c r="M2936" s="62" t="n">
        <v>0</v>
      </c>
      <c r="N2936" s="62" t="n">
        <v>1</v>
      </c>
      <c r="O2936" s="62" t="n">
        <v>1</v>
      </c>
      <c r="P2936" s="62" t="n">
        <v>1</v>
      </c>
      <c r="Q2936" s="62" t="n">
        <v>0</v>
      </c>
      <c r="R2936" s="62" t="n">
        <v>0</v>
      </c>
      <c r="S2936" s="62" t="n">
        <v>0</v>
      </c>
      <c r="T2936" s="62" t="n">
        <v>0</v>
      </c>
      <c r="U2936" s="62"/>
      <c r="V2936" s="62"/>
      <c r="W2936" s="62"/>
      <c r="X2936" s="62"/>
      <c r="Y2936" s="62"/>
      <c r="Z2936" s="62" t="s">
        <v>5363</v>
      </c>
      <c r="AA2936" s="62" t="s">
        <v>5364</v>
      </c>
      <c r="AB2936" s="62" t="n">
        <v>1</v>
      </c>
      <c r="AC2936" s="62" t="n">
        <v>0</v>
      </c>
      <c r="AD2936" s="62" t="n">
        <v>1</v>
      </c>
      <c r="AE2936" s="62" t="n">
        <f aca="false">IF(AND(Dashboard!$C$9="Yes",AC2936=1),0,1)</f>
        <v>1</v>
      </c>
      <c r="AF2936" s="62" t="n">
        <v>0</v>
      </c>
    </row>
    <row r="2937" customFormat="false" ht="15" hidden="false" customHeight="false" outlineLevel="0" collapsed="false">
      <c r="A2937" s="62" t="n">
        <v>2936</v>
      </c>
      <c r="B2937" s="63" t="n">
        <v>46295.9789351852</v>
      </c>
      <c r="C2937" s="64" t="n">
        <v>46295</v>
      </c>
      <c r="D2937" s="62" t="s">
        <v>143</v>
      </c>
      <c r="E2937" s="62" t="s">
        <v>3874</v>
      </c>
      <c r="F2937" s="62" t="s">
        <v>3874</v>
      </c>
      <c r="G2937" s="62" t="s">
        <v>3875</v>
      </c>
      <c r="H2937" s="62" t="s">
        <v>59</v>
      </c>
      <c r="I2937" s="62" t="s">
        <v>47</v>
      </c>
      <c r="J2937" s="62" t="s">
        <v>146</v>
      </c>
      <c r="K2937" s="62" t="s">
        <v>209</v>
      </c>
      <c r="L2937" s="62" t="s">
        <v>148</v>
      </c>
      <c r="M2937" s="62" t="n">
        <v>0</v>
      </c>
      <c r="N2937" s="62" t="n">
        <v>1</v>
      </c>
      <c r="O2937" s="62" t="n">
        <v>1</v>
      </c>
      <c r="P2937" s="62" t="n">
        <v>1</v>
      </c>
      <c r="Q2937" s="62" t="n">
        <v>0</v>
      </c>
      <c r="R2937" s="62" t="n">
        <v>0</v>
      </c>
      <c r="S2937" s="62" t="n">
        <v>0</v>
      </c>
      <c r="T2937" s="62" t="n">
        <v>0</v>
      </c>
      <c r="U2937" s="62"/>
      <c r="V2937" s="62"/>
      <c r="W2937" s="62"/>
      <c r="X2937" s="62"/>
      <c r="Y2937" s="62"/>
      <c r="Z2937" s="62" t="s">
        <v>5365</v>
      </c>
      <c r="AA2937" s="62" t="s">
        <v>5366</v>
      </c>
      <c r="AB2937" s="62" t="n">
        <v>1</v>
      </c>
      <c r="AC2937" s="62" t="n">
        <v>0</v>
      </c>
      <c r="AD2937" s="62" t="n">
        <v>1</v>
      </c>
      <c r="AE2937" s="62" t="n">
        <f aca="false">IF(AND(Dashboard!$C$9="Yes",AC2937=1),0,1)</f>
        <v>1</v>
      </c>
      <c r="AF2937" s="62" t="n">
        <v>0</v>
      </c>
    </row>
    <row r="2938" customFormat="false" ht="15" hidden="false" customHeight="false" outlineLevel="0" collapsed="false">
      <c r="A2938" s="62" t="n">
        <v>2937</v>
      </c>
      <c r="B2938" s="63" t="n">
        <v>46295.98125</v>
      </c>
      <c r="C2938" s="64" t="n">
        <v>46295</v>
      </c>
      <c r="D2938" s="62" t="s">
        <v>143</v>
      </c>
      <c r="E2938" s="62" t="s">
        <v>3061</v>
      </c>
      <c r="F2938" s="62" t="s">
        <v>3061</v>
      </c>
      <c r="G2938" s="62" t="s">
        <v>3062</v>
      </c>
      <c r="H2938" s="62" t="s">
        <v>44</v>
      </c>
      <c r="I2938" s="62" t="s">
        <v>49</v>
      </c>
      <c r="J2938" s="62" t="s">
        <v>146</v>
      </c>
      <c r="K2938" s="62" t="s">
        <v>147</v>
      </c>
      <c r="L2938" s="62" t="s">
        <v>4</v>
      </c>
      <c r="M2938" s="62" t="n">
        <v>1</v>
      </c>
      <c r="N2938" s="62" t="n">
        <v>0</v>
      </c>
      <c r="O2938" s="62" t="n">
        <v>1</v>
      </c>
      <c r="P2938" s="62" t="n">
        <v>0</v>
      </c>
      <c r="Q2938" s="62" t="n">
        <v>0</v>
      </c>
      <c r="R2938" s="62" t="n">
        <v>0</v>
      </c>
      <c r="S2938" s="62" t="n">
        <v>0</v>
      </c>
      <c r="T2938" s="62" t="n">
        <v>0</v>
      </c>
      <c r="U2938" s="62" t="s">
        <v>2056</v>
      </c>
      <c r="V2938" s="62" t="s">
        <v>2057</v>
      </c>
      <c r="W2938" s="62" t="s">
        <v>15</v>
      </c>
      <c r="X2938" s="62" t="s">
        <v>2058</v>
      </c>
      <c r="Y2938" s="62" t="s">
        <v>2181</v>
      </c>
      <c r="Z2938" s="62" t="s">
        <v>5367</v>
      </c>
      <c r="AA2938" s="62" t="s">
        <v>5368</v>
      </c>
      <c r="AB2938" s="62" t="n">
        <v>1</v>
      </c>
      <c r="AC2938" s="62" t="n">
        <v>0</v>
      </c>
      <c r="AD2938" s="62" t="n">
        <v>1</v>
      </c>
      <c r="AE2938" s="62" t="n">
        <f aca="false">IF(AND(Dashboard!$C$9="Yes",AC2938=1),0,1)</f>
        <v>1</v>
      </c>
      <c r="AF2938" s="62" t="n">
        <v>0</v>
      </c>
    </row>
    <row r="2939" customFormat="false" ht="15" hidden="false" customHeight="false" outlineLevel="0" collapsed="false">
      <c r="A2939" s="62" t="n">
        <v>2938</v>
      </c>
      <c r="B2939" s="63" t="n">
        <v>46295.9915162037</v>
      </c>
      <c r="C2939" s="64" t="n">
        <v>46295</v>
      </c>
      <c r="D2939" s="62" t="s">
        <v>143</v>
      </c>
      <c r="E2939" s="62" t="s">
        <v>173</v>
      </c>
      <c r="F2939" s="62" t="s">
        <v>173</v>
      </c>
      <c r="G2939" s="62" t="s">
        <v>174</v>
      </c>
      <c r="H2939" s="62" t="s">
        <v>58</v>
      </c>
      <c r="I2939" s="62" t="s">
        <v>49</v>
      </c>
      <c r="J2939" s="62" t="s">
        <v>146</v>
      </c>
      <c r="K2939" s="62" t="s">
        <v>175</v>
      </c>
      <c r="L2939" s="62" t="s">
        <v>148</v>
      </c>
      <c r="M2939" s="62" t="n">
        <v>0</v>
      </c>
      <c r="N2939" s="62" t="n">
        <v>1</v>
      </c>
      <c r="O2939" s="62" t="n">
        <v>1</v>
      </c>
      <c r="P2939" s="62" t="n">
        <v>0</v>
      </c>
      <c r="Q2939" s="62" t="n">
        <v>0</v>
      </c>
      <c r="R2939" s="62" t="n">
        <v>1</v>
      </c>
      <c r="S2939" s="62" t="n">
        <v>0</v>
      </c>
      <c r="T2939" s="62" t="n">
        <v>0</v>
      </c>
      <c r="U2939" s="62"/>
      <c r="V2939" s="62"/>
      <c r="W2939" s="62"/>
      <c r="X2939" s="62"/>
      <c r="Y2939" s="62"/>
      <c r="Z2939" s="62" t="s">
        <v>5369</v>
      </c>
      <c r="AA2939" s="62" t="s">
        <v>5370</v>
      </c>
      <c r="AB2939" s="62" t="n">
        <v>1</v>
      </c>
      <c r="AC2939" s="62" t="n">
        <v>0</v>
      </c>
      <c r="AD2939" s="62" t="n">
        <v>1</v>
      </c>
      <c r="AE2939" s="62" t="n">
        <f aca="false">IF(AND(Dashboard!$C$9="Yes",AC2939=1),0,1)</f>
        <v>1</v>
      </c>
      <c r="AF2939" s="62" t="n">
        <v>0</v>
      </c>
    </row>
    <row r="2940" customFormat="false" ht="15" hidden="false" customHeight="false" outlineLevel="0" collapsed="false">
      <c r="A2940" s="62" t="n">
        <v>2939</v>
      </c>
      <c r="B2940" s="63" t="n">
        <v>46295.9941782407</v>
      </c>
      <c r="C2940" s="64" t="n">
        <v>46295</v>
      </c>
      <c r="D2940" s="62" t="s">
        <v>143</v>
      </c>
      <c r="E2940" s="62" t="s">
        <v>1155</v>
      </c>
      <c r="F2940" s="62" t="s">
        <v>1155</v>
      </c>
      <c r="G2940" s="62" t="s">
        <v>1156</v>
      </c>
      <c r="H2940" s="62" t="s">
        <v>59</v>
      </c>
      <c r="I2940" s="62" t="s">
        <v>47</v>
      </c>
      <c r="J2940" s="62" t="s">
        <v>146</v>
      </c>
      <c r="K2940" s="62" t="s">
        <v>209</v>
      </c>
      <c r="L2940" s="62" t="s">
        <v>148</v>
      </c>
      <c r="M2940" s="62" t="n">
        <v>0</v>
      </c>
      <c r="N2940" s="62" t="n">
        <v>1</v>
      </c>
      <c r="O2940" s="62" t="n">
        <v>1</v>
      </c>
      <c r="P2940" s="62" t="n">
        <v>1</v>
      </c>
      <c r="Q2940" s="62" t="n">
        <v>0</v>
      </c>
      <c r="R2940" s="62" t="n">
        <v>0</v>
      </c>
      <c r="S2940" s="62" t="n">
        <v>0</v>
      </c>
      <c r="T2940" s="62" t="n">
        <v>0</v>
      </c>
      <c r="U2940" s="62"/>
      <c r="V2940" s="62"/>
      <c r="W2940" s="62"/>
      <c r="X2940" s="62"/>
      <c r="Y2940" s="62"/>
      <c r="Z2940" s="62" t="s">
        <v>5371</v>
      </c>
      <c r="AA2940" s="62" t="s">
        <v>5372</v>
      </c>
      <c r="AB2940" s="62" t="n">
        <v>1</v>
      </c>
      <c r="AC2940" s="62" t="n">
        <v>0</v>
      </c>
      <c r="AD2940" s="62" t="n">
        <v>1</v>
      </c>
      <c r="AE2940" s="62" t="n">
        <f aca="false">IF(AND(Dashboard!$C$9="Yes",AC2940=1),0,1)</f>
        <v>1</v>
      </c>
      <c r="AF2940" s="62" t="n">
        <v>0</v>
      </c>
    </row>
    <row r="2941" customFormat="false" ht="15" hidden="false" customHeight="false" outlineLevel="0" collapsed="false">
      <c r="A2941" s="62" t="n">
        <v>2940</v>
      </c>
      <c r="B2941" s="63" t="n">
        <v>46295.9957175926</v>
      </c>
      <c r="C2941" s="64" t="n">
        <v>46295</v>
      </c>
      <c r="D2941" s="62" t="s">
        <v>143</v>
      </c>
      <c r="E2941" s="62" t="s">
        <v>4524</v>
      </c>
      <c r="F2941" s="62" t="s">
        <v>4524</v>
      </c>
      <c r="G2941" s="62" t="s">
        <v>4525</v>
      </c>
      <c r="H2941" s="62" t="s">
        <v>44</v>
      </c>
      <c r="I2941" s="62" t="s">
        <v>49</v>
      </c>
      <c r="J2941" s="62" t="s">
        <v>146</v>
      </c>
      <c r="K2941" s="62" t="s">
        <v>147</v>
      </c>
      <c r="L2941" s="62" t="s">
        <v>148</v>
      </c>
      <c r="M2941" s="62" t="n">
        <v>0</v>
      </c>
      <c r="N2941" s="62" t="n">
        <v>1</v>
      </c>
      <c r="O2941" s="62" t="n">
        <v>1</v>
      </c>
      <c r="P2941" s="62" t="n">
        <v>1</v>
      </c>
      <c r="Q2941" s="62" t="n">
        <v>0</v>
      </c>
      <c r="R2941" s="62" t="n">
        <v>0</v>
      </c>
      <c r="S2941" s="62" t="n">
        <v>0</v>
      </c>
      <c r="T2941" s="62" t="n">
        <v>0</v>
      </c>
      <c r="U2941" s="62"/>
      <c r="V2941" s="62"/>
      <c r="W2941" s="62"/>
      <c r="X2941" s="62"/>
      <c r="Y2941" s="62"/>
      <c r="Z2941" s="62" t="s">
        <v>5373</v>
      </c>
      <c r="AA2941" s="62" t="s">
        <v>5374</v>
      </c>
      <c r="AB2941" s="62" t="n">
        <v>1</v>
      </c>
      <c r="AC2941" s="62" t="n">
        <v>0</v>
      </c>
      <c r="AD2941" s="62" t="n">
        <v>1</v>
      </c>
      <c r="AE2941" s="62" t="n">
        <f aca="false">IF(AND(Dashboard!$C$9="Yes",AC2941=1),0,1)</f>
        <v>1</v>
      </c>
      <c r="AF2941" s="62" t="n">
        <v>0</v>
      </c>
    </row>
    <row r="2942" customFormat="false" ht="15" hidden="false" customHeight="false" outlineLevel="0" collapsed="false">
      <c r="A2942" s="62" t="n">
        <v>2941</v>
      </c>
      <c r="B2942" s="63" t="n">
        <v>46295.9983912037</v>
      </c>
      <c r="C2942" s="64" t="n">
        <v>46295</v>
      </c>
      <c r="D2942" s="62" t="s">
        <v>143</v>
      </c>
      <c r="E2942" s="62" t="s">
        <v>3018</v>
      </c>
      <c r="F2942" s="62" t="s">
        <v>3018</v>
      </c>
      <c r="G2942" s="62" t="s">
        <v>3019</v>
      </c>
      <c r="H2942" s="62" t="s">
        <v>58</v>
      </c>
      <c r="I2942" s="62" t="s">
        <v>49</v>
      </c>
      <c r="J2942" s="62" t="s">
        <v>146</v>
      </c>
      <c r="K2942" s="62" t="s">
        <v>175</v>
      </c>
      <c r="L2942" s="62" t="s">
        <v>148</v>
      </c>
      <c r="M2942" s="62" t="n">
        <v>0</v>
      </c>
      <c r="N2942" s="62" t="n">
        <v>1</v>
      </c>
      <c r="O2942" s="62" t="n">
        <v>1</v>
      </c>
      <c r="P2942" s="62" t="n">
        <v>0</v>
      </c>
      <c r="Q2942" s="62" t="n">
        <v>0</v>
      </c>
      <c r="R2942" s="62" t="n">
        <v>1</v>
      </c>
      <c r="S2942" s="62" t="n">
        <v>0</v>
      </c>
      <c r="T2942" s="62" t="n">
        <v>0</v>
      </c>
      <c r="U2942" s="62"/>
      <c r="V2942" s="62"/>
      <c r="W2942" s="62"/>
      <c r="X2942" s="62"/>
      <c r="Y2942" s="62"/>
      <c r="Z2942" s="62" t="s">
        <v>5375</v>
      </c>
      <c r="AA2942" s="62" t="s">
        <v>5376</v>
      </c>
      <c r="AB2942" s="62" t="n">
        <v>1</v>
      </c>
      <c r="AC2942" s="62" t="n">
        <v>0</v>
      </c>
      <c r="AD2942" s="62" t="n">
        <v>1</v>
      </c>
      <c r="AE2942" s="62" t="n">
        <f aca="false">IF(AND(Dashboard!$C$9="Yes",AC2942=1),0,1)</f>
        <v>1</v>
      </c>
      <c r="AF2942" s="62" t="n">
        <v>0</v>
      </c>
    </row>
    <row r="2943" customFormat="false" ht="15" hidden="false" customHeight="false" outlineLevel="0" collapsed="false">
      <c r="A2943" s="62" t="n">
        <v>2942</v>
      </c>
      <c r="B2943" s="63" t="n">
        <v>46296.0253009259</v>
      </c>
      <c r="C2943" s="64" t="n">
        <v>46295</v>
      </c>
      <c r="D2943" s="62" t="s">
        <v>143</v>
      </c>
      <c r="E2943" s="62" t="s">
        <v>2476</v>
      </c>
      <c r="F2943" s="62" t="s">
        <v>2476</v>
      </c>
      <c r="G2943" s="62" t="s">
        <v>2477</v>
      </c>
      <c r="H2943" s="62" t="s">
        <v>51</v>
      </c>
      <c r="I2943" s="62" t="s">
        <v>47</v>
      </c>
      <c r="J2943" s="62" t="s">
        <v>146</v>
      </c>
      <c r="K2943" s="62" t="s">
        <v>209</v>
      </c>
      <c r="L2943" s="62" t="s">
        <v>148</v>
      </c>
      <c r="M2943" s="62" t="n">
        <v>0</v>
      </c>
      <c r="N2943" s="62" t="n">
        <v>1</v>
      </c>
      <c r="O2943" s="62" t="n">
        <v>1</v>
      </c>
      <c r="P2943" s="62" t="n">
        <v>1</v>
      </c>
      <c r="Q2943" s="62" t="n">
        <v>0</v>
      </c>
      <c r="R2943" s="62" t="n">
        <v>0</v>
      </c>
      <c r="S2943" s="62" t="n">
        <v>0</v>
      </c>
      <c r="T2943" s="62" t="n">
        <v>0</v>
      </c>
      <c r="U2943" s="62"/>
      <c r="V2943" s="62"/>
      <c r="W2943" s="62"/>
      <c r="X2943" s="62"/>
      <c r="Y2943" s="62"/>
      <c r="Z2943" s="62" t="s">
        <v>5377</v>
      </c>
      <c r="AA2943" s="62" t="s">
        <v>5378</v>
      </c>
      <c r="AB2943" s="62" t="n">
        <v>1</v>
      </c>
      <c r="AC2943" s="62" t="n">
        <v>0</v>
      </c>
      <c r="AD2943" s="62" t="n">
        <v>1</v>
      </c>
      <c r="AE2943" s="62" t="n">
        <f aca="false">IF(AND(Dashboard!$C$9="Yes",AC2943=1),0,1)</f>
        <v>1</v>
      </c>
      <c r="AF2943" s="62" t="n">
        <v>1</v>
      </c>
    </row>
    <row r="2944" customFormat="false" ht="15" hidden="false" customHeight="false" outlineLevel="0" collapsed="false">
      <c r="A2944" s="62" t="n">
        <v>2943</v>
      </c>
      <c r="B2944" s="63" t="n">
        <v>46296.0308680556</v>
      </c>
      <c r="C2944" s="64" t="n">
        <v>46295</v>
      </c>
      <c r="D2944" s="62" t="s">
        <v>143</v>
      </c>
      <c r="E2944" s="62" t="s">
        <v>4665</v>
      </c>
      <c r="F2944" s="62" t="s">
        <v>4665</v>
      </c>
      <c r="G2944" s="62" t="s">
        <v>4666</v>
      </c>
      <c r="H2944" s="62" t="s">
        <v>58</v>
      </c>
      <c r="I2944" s="62" t="s">
        <v>49</v>
      </c>
      <c r="J2944" s="62" t="s">
        <v>146</v>
      </c>
      <c r="K2944" s="62" t="s">
        <v>209</v>
      </c>
      <c r="L2944" s="62" t="s">
        <v>4</v>
      </c>
      <c r="M2944" s="62" t="n">
        <v>1</v>
      </c>
      <c r="N2944" s="62" t="n">
        <v>0</v>
      </c>
      <c r="O2944" s="62" t="n">
        <v>1</v>
      </c>
      <c r="P2944" s="62" t="n">
        <v>0</v>
      </c>
      <c r="Q2944" s="62" t="n">
        <v>0</v>
      </c>
      <c r="R2944" s="62" t="n">
        <v>0</v>
      </c>
      <c r="S2944" s="62" t="n">
        <v>0</v>
      </c>
      <c r="T2944" s="62" t="n">
        <v>0</v>
      </c>
      <c r="U2944" s="62" t="s">
        <v>2056</v>
      </c>
      <c r="V2944" s="62" t="s">
        <v>2057</v>
      </c>
      <c r="W2944" s="62" t="s">
        <v>15</v>
      </c>
      <c r="X2944" s="62" t="s">
        <v>2253</v>
      </c>
      <c r="Y2944" s="62" t="s">
        <v>2059</v>
      </c>
      <c r="Z2944" s="62" t="s">
        <v>5379</v>
      </c>
      <c r="AA2944" s="62" t="s">
        <v>5144</v>
      </c>
      <c r="AB2944" s="62" t="n">
        <v>0</v>
      </c>
      <c r="AC2944" s="62" t="n">
        <v>0</v>
      </c>
      <c r="AD2944" s="62" t="n">
        <v>1</v>
      </c>
      <c r="AE2944" s="62" t="n">
        <f aca="false">IF(AND(Dashboard!$C$9="Yes",AC2944=1),0,1)</f>
        <v>1</v>
      </c>
      <c r="AF2944" s="62" t="n">
        <v>1</v>
      </c>
    </row>
    <row r="2945" customFormat="false" ht="15" hidden="false" customHeight="false" outlineLevel="0" collapsed="false">
      <c r="A2945" s="62" t="n">
        <v>2944</v>
      </c>
      <c r="B2945" s="63" t="n">
        <v>46296.0312847222</v>
      </c>
      <c r="C2945" s="64" t="n">
        <v>46295</v>
      </c>
      <c r="D2945" s="62" t="s">
        <v>143</v>
      </c>
      <c r="E2945" s="62" t="s">
        <v>4665</v>
      </c>
      <c r="F2945" s="62" t="s">
        <v>4665</v>
      </c>
      <c r="G2945" s="62" t="s">
        <v>4666</v>
      </c>
      <c r="H2945" s="62" t="s">
        <v>58</v>
      </c>
      <c r="I2945" s="62" t="s">
        <v>49</v>
      </c>
      <c r="J2945" s="62" t="s">
        <v>146</v>
      </c>
      <c r="K2945" s="62" t="s">
        <v>209</v>
      </c>
      <c r="L2945" s="62" t="s">
        <v>148</v>
      </c>
      <c r="M2945" s="62" t="n">
        <v>0</v>
      </c>
      <c r="N2945" s="62" t="n">
        <v>1</v>
      </c>
      <c r="O2945" s="62" t="n">
        <v>1</v>
      </c>
      <c r="P2945" s="62" t="n">
        <v>0</v>
      </c>
      <c r="Q2945" s="62" t="n">
        <v>1</v>
      </c>
      <c r="R2945" s="62" t="n">
        <v>0</v>
      </c>
      <c r="S2945" s="62" t="n">
        <v>0</v>
      </c>
      <c r="T2945" s="62" t="n">
        <v>0</v>
      </c>
      <c r="U2945" s="62"/>
      <c r="V2945" s="62"/>
      <c r="W2945" s="62"/>
      <c r="X2945" s="62"/>
      <c r="Y2945" s="62"/>
      <c r="Z2945" s="62" t="s">
        <v>5379</v>
      </c>
      <c r="AA2945" s="62" t="s">
        <v>5144</v>
      </c>
      <c r="AB2945" s="62" t="n">
        <v>0</v>
      </c>
      <c r="AC2945" s="62" t="n">
        <v>0</v>
      </c>
      <c r="AD2945" s="62" t="n">
        <v>1</v>
      </c>
      <c r="AE2945" s="62" t="n">
        <f aca="false">IF(AND(Dashboard!$C$9="Yes",AC2945=1),0,1)</f>
        <v>1</v>
      </c>
      <c r="AF2945" s="62" t="n">
        <v>0</v>
      </c>
    </row>
    <row r="2946" customFormat="false" ht="15" hidden="false" customHeight="false" outlineLevel="0" collapsed="false">
      <c r="A2946" s="62" t="n">
        <v>2945</v>
      </c>
      <c r="B2946" s="63" t="n">
        <v>46296.0486805556</v>
      </c>
      <c r="C2946" s="64" t="n">
        <v>46295</v>
      </c>
      <c r="D2946" s="62" t="s">
        <v>143</v>
      </c>
      <c r="E2946" s="62" t="s">
        <v>4800</v>
      </c>
      <c r="F2946" s="62" t="s">
        <v>4800</v>
      </c>
      <c r="G2946" s="62" t="s">
        <v>4801</v>
      </c>
      <c r="H2946" s="62" t="s">
        <v>50</v>
      </c>
      <c r="I2946" s="62" t="s">
        <v>49</v>
      </c>
      <c r="J2946" s="62" t="s">
        <v>3708</v>
      </c>
      <c r="K2946" s="62" t="s">
        <v>209</v>
      </c>
      <c r="L2946" s="62" t="s">
        <v>4</v>
      </c>
      <c r="M2946" s="62" t="n">
        <v>1</v>
      </c>
      <c r="N2946" s="62" t="n">
        <v>0</v>
      </c>
      <c r="O2946" s="62" t="n">
        <v>1</v>
      </c>
      <c r="P2946" s="62" t="n">
        <v>0</v>
      </c>
      <c r="Q2946" s="62" t="n">
        <v>0</v>
      </c>
      <c r="R2946" s="62" t="n">
        <v>0</v>
      </c>
      <c r="S2946" s="62" t="n">
        <v>0</v>
      </c>
      <c r="T2946" s="62" t="n">
        <v>0</v>
      </c>
      <c r="U2946" s="62" t="s">
        <v>15</v>
      </c>
      <c r="V2946" s="62" t="s">
        <v>2057</v>
      </c>
      <c r="W2946" s="62" t="s">
        <v>2056</v>
      </c>
      <c r="X2946" s="62" t="s">
        <v>2164</v>
      </c>
      <c r="Y2946" s="62" t="s">
        <v>2165</v>
      </c>
      <c r="Z2946" s="62" t="s">
        <v>5380</v>
      </c>
      <c r="AA2946" s="62" t="s">
        <v>5381</v>
      </c>
      <c r="AB2946" s="62" t="n">
        <v>1</v>
      </c>
      <c r="AC2946" s="62" t="n">
        <v>0</v>
      </c>
      <c r="AD2946" s="62" t="n">
        <v>1</v>
      </c>
      <c r="AE2946" s="62" t="n">
        <f aca="false">IF(AND(Dashboard!$C$9="Yes",AC2946=1),0,1)</f>
        <v>1</v>
      </c>
      <c r="AF2946" s="62" t="n">
        <v>1</v>
      </c>
    </row>
    <row r="2947" customFormat="false" ht="15" hidden="false" customHeight="false" outlineLevel="0" collapsed="false">
      <c r="A2947" s="62" t="n">
        <v>2946</v>
      </c>
      <c r="B2947" s="63" t="n">
        <v>46296.0583564815</v>
      </c>
      <c r="C2947" s="64" t="n">
        <v>46295</v>
      </c>
      <c r="D2947" s="62" t="s">
        <v>143</v>
      </c>
      <c r="E2947" s="62" t="s">
        <v>5250</v>
      </c>
      <c r="F2947" s="62" t="s">
        <v>5250</v>
      </c>
      <c r="G2947" s="62" t="s">
        <v>5251</v>
      </c>
      <c r="H2947" s="62" t="s">
        <v>55</v>
      </c>
      <c r="I2947" s="62" t="s">
        <v>49</v>
      </c>
      <c r="J2947" s="62" t="s">
        <v>3708</v>
      </c>
      <c r="K2947" s="62" t="s">
        <v>209</v>
      </c>
      <c r="L2947" s="62" t="s">
        <v>4</v>
      </c>
      <c r="M2947" s="62" t="n">
        <v>1</v>
      </c>
      <c r="N2947" s="62" t="n">
        <v>0</v>
      </c>
      <c r="O2947" s="62" t="n">
        <v>1</v>
      </c>
      <c r="P2947" s="62" t="n">
        <v>0</v>
      </c>
      <c r="Q2947" s="62" t="n">
        <v>0</v>
      </c>
      <c r="R2947" s="62" t="n">
        <v>0</v>
      </c>
      <c r="S2947" s="62" t="n">
        <v>0</v>
      </c>
      <c r="T2947" s="62" t="n">
        <v>0</v>
      </c>
      <c r="U2947" s="62" t="s">
        <v>15</v>
      </c>
      <c r="V2947" s="62" t="s">
        <v>2057</v>
      </c>
      <c r="W2947" s="62" t="s">
        <v>15</v>
      </c>
      <c r="X2947" s="62" t="s">
        <v>2058</v>
      </c>
      <c r="Y2947" s="62" t="s">
        <v>2059</v>
      </c>
      <c r="Z2947" s="62" t="s">
        <v>5382</v>
      </c>
      <c r="AA2947" s="62" t="s">
        <v>5383</v>
      </c>
      <c r="AB2947" s="62" t="n">
        <v>1</v>
      </c>
      <c r="AC2947" s="62" t="n">
        <v>0</v>
      </c>
      <c r="AD2947" s="62" t="n">
        <v>1</v>
      </c>
      <c r="AE2947" s="62" t="n">
        <f aca="false">IF(AND(Dashboard!$C$9="Yes",AC2947=1),0,1)</f>
        <v>1</v>
      </c>
      <c r="AF2947" s="62" t="n">
        <v>1</v>
      </c>
    </row>
    <row r="2948" customFormat="false" ht="15" hidden="false" customHeight="false" outlineLevel="0" collapsed="false">
      <c r="A2948" s="62" t="n">
        <v>2947</v>
      </c>
      <c r="B2948" s="63" t="n">
        <v>46296.0631365741</v>
      </c>
      <c r="C2948" s="64" t="n">
        <v>46295</v>
      </c>
      <c r="D2948" s="62" t="s">
        <v>143</v>
      </c>
      <c r="E2948" s="62" t="s">
        <v>144</v>
      </c>
      <c r="F2948" s="62" t="s">
        <v>144</v>
      </c>
      <c r="G2948" s="62" t="s">
        <v>145</v>
      </c>
      <c r="H2948" s="62" t="s">
        <v>59</v>
      </c>
      <c r="I2948" s="62" t="s">
        <v>47</v>
      </c>
      <c r="J2948" s="62" t="s">
        <v>146</v>
      </c>
      <c r="K2948" s="62" t="s">
        <v>147</v>
      </c>
      <c r="L2948" s="62" t="s">
        <v>4</v>
      </c>
      <c r="M2948" s="62" t="n">
        <v>1</v>
      </c>
      <c r="N2948" s="62" t="n">
        <v>0</v>
      </c>
      <c r="O2948" s="62" t="n">
        <v>1</v>
      </c>
      <c r="P2948" s="62" t="n">
        <v>0</v>
      </c>
      <c r="Q2948" s="62" t="n">
        <v>0</v>
      </c>
      <c r="R2948" s="62" t="n">
        <v>0</v>
      </c>
      <c r="S2948" s="62" t="n">
        <v>0</v>
      </c>
      <c r="T2948" s="62" t="n">
        <v>0</v>
      </c>
      <c r="U2948" s="62" t="s">
        <v>2056</v>
      </c>
      <c r="V2948" s="62" t="s">
        <v>2057</v>
      </c>
      <c r="W2948" s="62" t="s">
        <v>15</v>
      </c>
      <c r="X2948" s="62" t="s">
        <v>2058</v>
      </c>
      <c r="Y2948" s="62" t="s">
        <v>2059</v>
      </c>
      <c r="Z2948" s="62" t="s">
        <v>5384</v>
      </c>
      <c r="AA2948" s="62" t="s">
        <v>5385</v>
      </c>
      <c r="AB2948" s="62" t="n">
        <v>1</v>
      </c>
      <c r="AC2948" s="62" t="n">
        <v>0</v>
      </c>
      <c r="AD2948" s="62" t="n">
        <v>1</v>
      </c>
      <c r="AE2948" s="62" t="n">
        <f aca="false">IF(AND(Dashboard!$C$9="Yes",AC2948=1),0,1)</f>
        <v>1</v>
      </c>
      <c r="AF2948" s="62" t="n">
        <v>1</v>
      </c>
    </row>
    <row r="2949" customFormat="false" ht="15" hidden="false" customHeight="false" outlineLevel="0" collapsed="false">
      <c r="A2949" s="62" t="n">
        <v>2948</v>
      </c>
      <c r="B2949" s="63" t="n">
        <v>46296.0658796296</v>
      </c>
      <c r="C2949" s="64" t="n">
        <v>46295</v>
      </c>
      <c r="D2949" s="62" t="s">
        <v>143</v>
      </c>
      <c r="E2949" s="62" t="s">
        <v>3148</v>
      </c>
      <c r="F2949" s="62" t="s">
        <v>3148</v>
      </c>
      <c r="G2949" s="62" t="s">
        <v>3149</v>
      </c>
      <c r="H2949" s="62" t="s">
        <v>46</v>
      </c>
      <c r="I2949" s="62" t="s">
        <v>47</v>
      </c>
      <c r="J2949" s="62" t="s">
        <v>146</v>
      </c>
      <c r="K2949" s="62" t="s">
        <v>209</v>
      </c>
      <c r="L2949" s="62" t="s">
        <v>4</v>
      </c>
      <c r="M2949" s="62" t="n">
        <v>1</v>
      </c>
      <c r="N2949" s="62" t="n">
        <v>0</v>
      </c>
      <c r="O2949" s="62" t="n">
        <v>1</v>
      </c>
      <c r="P2949" s="62" t="n">
        <v>0</v>
      </c>
      <c r="Q2949" s="62" t="n">
        <v>0</v>
      </c>
      <c r="R2949" s="62" t="n">
        <v>0</v>
      </c>
      <c r="S2949" s="62" t="n">
        <v>0</v>
      </c>
      <c r="T2949" s="62" t="n">
        <v>0</v>
      </c>
      <c r="U2949" s="62" t="s">
        <v>2056</v>
      </c>
      <c r="V2949" s="62" t="s">
        <v>2057</v>
      </c>
      <c r="W2949" s="62" t="s">
        <v>15</v>
      </c>
      <c r="X2949" s="62" t="s">
        <v>2058</v>
      </c>
      <c r="Y2949" s="62" t="s">
        <v>2059</v>
      </c>
      <c r="Z2949" s="62" t="s">
        <v>5386</v>
      </c>
      <c r="AA2949" s="62" t="s">
        <v>5387</v>
      </c>
      <c r="AB2949" s="62" t="n">
        <v>1</v>
      </c>
      <c r="AC2949" s="62" t="n">
        <v>0</v>
      </c>
      <c r="AD2949" s="62" t="n">
        <v>1</v>
      </c>
      <c r="AE2949" s="62" t="n">
        <f aca="false">IF(AND(Dashboard!$C$9="Yes",AC2949=1),0,1)</f>
        <v>1</v>
      </c>
      <c r="AF2949" s="62" t="n">
        <v>1</v>
      </c>
    </row>
    <row r="2950" customFormat="false" ht="15" hidden="false" customHeight="false" outlineLevel="0" collapsed="false">
      <c r="A2950" s="62" t="n">
        <v>2949</v>
      </c>
      <c r="B2950" s="63" t="n">
        <v>46296.0680092593</v>
      </c>
      <c r="C2950" s="64" t="n">
        <v>46295</v>
      </c>
      <c r="D2950" s="62" t="s">
        <v>143</v>
      </c>
      <c r="E2950" s="62" t="s">
        <v>5250</v>
      </c>
      <c r="F2950" s="62" t="s">
        <v>5250</v>
      </c>
      <c r="G2950" s="62" t="s">
        <v>5251</v>
      </c>
      <c r="H2950" s="62" t="s">
        <v>55</v>
      </c>
      <c r="I2950" s="62" t="s">
        <v>49</v>
      </c>
      <c r="J2950" s="62" t="s">
        <v>3708</v>
      </c>
      <c r="K2950" s="62" t="s">
        <v>209</v>
      </c>
      <c r="L2950" s="62" t="s">
        <v>4</v>
      </c>
      <c r="M2950" s="62" t="n">
        <v>2</v>
      </c>
      <c r="N2950" s="62" t="n">
        <v>0</v>
      </c>
      <c r="O2950" s="62" t="n">
        <v>2</v>
      </c>
      <c r="P2950" s="62" t="n">
        <v>0</v>
      </c>
      <c r="Q2950" s="62" t="n">
        <v>0</v>
      </c>
      <c r="R2950" s="62" t="n">
        <v>0</v>
      </c>
      <c r="S2950" s="62" t="n">
        <v>0</v>
      </c>
      <c r="T2950" s="62" t="n">
        <v>0</v>
      </c>
      <c r="U2950" s="62" t="s">
        <v>15</v>
      </c>
      <c r="V2950" s="62" t="s">
        <v>2057</v>
      </c>
      <c r="W2950" s="62" t="s">
        <v>15</v>
      </c>
      <c r="X2950" s="62" t="s">
        <v>2125</v>
      </c>
      <c r="Y2950" s="62" t="s">
        <v>2181</v>
      </c>
      <c r="Z2950" s="62" t="s">
        <v>5388</v>
      </c>
      <c r="AA2950" s="62" t="s">
        <v>5389</v>
      </c>
      <c r="AB2950" s="62" t="n">
        <v>1</v>
      </c>
      <c r="AC2950" s="62" t="n">
        <v>0</v>
      </c>
      <c r="AD2950" s="62" t="n">
        <v>1</v>
      </c>
      <c r="AE2950" s="62" t="n">
        <f aca="false">IF(AND(Dashboard!$C$9="Yes",AC2950=1),0,1)</f>
        <v>1</v>
      </c>
      <c r="AF2950" s="62" t="n">
        <v>0</v>
      </c>
    </row>
    <row r="2951" customFormat="false" ht="15" hidden="false" customHeight="false" outlineLevel="0" collapsed="false">
      <c r="A2951" s="62" t="n">
        <v>2950</v>
      </c>
      <c r="B2951" s="63" t="n">
        <v>46296.0681134259</v>
      </c>
      <c r="C2951" s="64" t="n">
        <v>46295</v>
      </c>
      <c r="D2951" s="62" t="s">
        <v>143</v>
      </c>
      <c r="E2951" s="62" t="s">
        <v>144</v>
      </c>
      <c r="F2951" s="62" t="s">
        <v>144</v>
      </c>
      <c r="G2951" s="62" t="s">
        <v>145</v>
      </c>
      <c r="H2951" s="62" t="s">
        <v>59</v>
      </c>
      <c r="I2951" s="62" t="s">
        <v>47</v>
      </c>
      <c r="J2951" s="62" t="s">
        <v>146</v>
      </c>
      <c r="K2951" s="62" t="s">
        <v>147</v>
      </c>
      <c r="L2951" s="62" t="s">
        <v>4</v>
      </c>
      <c r="M2951" s="62" t="n">
        <v>1</v>
      </c>
      <c r="N2951" s="62" t="n">
        <v>0</v>
      </c>
      <c r="O2951" s="62" t="n">
        <v>1</v>
      </c>
      <c r="P2951" s="62" t="n">
        <v>0</v>
      </c>
      <c r="Q2951" s="62" t="n">
        <v>0</v>
      </c>
      <c r="R2951" s="62" t="n">
        <v>0</v>
      </c>
      <c r="S2951" s="62" t="n">
        <v>0</v>
      </c>
      <c r="T2951" s="62" t="n">
        <v>0</v>
      </c>
      <c r="U2951" s="62" t="s">
        <v>2056</v>
      </c>
      <c r="V2951" s="62" t="s">
        <v>2057</v>
      </c>
      <c r="W2951" s="62" t="s">
        <v>15</v>
      </c>
      <c r="X2951" s="62" t="s">
        <v>2058</v>
      </c>
      <c r="Y2951" s="62" t="s">
        <v>2059</v>
      </c>
      <c r="Z2951" s="62" t="s">
        <v>5384</v>
      </c>
      <c r="AA2951" s="62" t="s">
        <v>5385</v>
      </c>
      <c r="AB2951" s="62" t="n">
        <v>1</v>
      </c>
      <c r="AC2951" s="62" t="n">
        <v>1</v>
      </c>
      <c r="AD2951" s="62" t="n">
        <v>1</v>
      </c>
      <c r="AE2951" s="62" t="n">
        <f aca="false">IF(AND(Dashboard!$C$9="Yes",AC2951=1),0,1)</f>
        <v>0</v>
      </c>
      <c r="AF2951" s="62" t="n">
        <v>0</v>
      </c>
    </row>
    <row r="2952" customFormat="false" ht="15" hidden="false" customHeight="false" outlineLevel="0" collapsed="false">
      <c r="A2952" s="62" t="n">
        <v>2951</v>
      </c>
      <c r="B2952" s="63" t="n">
        <v>46296.0683680556</v>
      </c>
      <c r="C2952" s="64" t="n">
        <v>46295</v>
      </c>
      <c r="D2952" s="62" t="s">
        <v>143</v>
      </c>
      <c r="E2952" s="62" t="s">
        <v>144</v>
      </c>
      <c r="F2952" s="62" t="s">
        <v>144</v>
      </c>
      <c r="G2952" s="62" t="s">
        <v>145</v>
      </c>
      <c r="H2952" s="62" t="s">
        <v>59</v>
      </c>
      <c r="I2952" s="62" t="s">
        <v>47</v>
      </c>
      <c r="J2952" s="62" t="s">
        <v>146</v>
      </c>
      <c r="K2952" s="62" t="s">
        <v>147</v>
      </c>
      <c r="L2952" s="62" t="s">
        <v>4</v>
      </c>
      <c r="M2952" s="62" t="n">
        <v>1</v>
      </c>
      <c r="N2952" s="62" t="n">
        <v>0</v>
      </c>
      <c r="O2952" s="62" t="n">
        <v>1</v>
      </c>
      <c r="P2952" s="62" t="n">
        <v>0</v>
      </c>
      <c r="Q2952" s="62" t="n">
        <v>0</v>
      </c>
      <c r="R2952" s="62" t="n">
        <v>0</v>
      </c>
      <c r="S2952" s="62" t="n">
        <v>0</v>
      </c>
      <c r="T2952" s="62" t="n">
        <v>0</v>
      </c>
      <c r="U2952" s="62" t="s">
        <v>2056</v>
      </c>
      <c r="V2952" s="62" t="s">
        <v>2057</v>
      </c>
      <c r="W2952" s="62" t="s">
        <v>15</v>
      </c>
      <c r="X2952" s="62" t="s">
        <v>2125</v>
      </c>
      <c r="Y2952" s="62" t="s">
        <v>2059</v>
      </c>
      <c r="Z2952" s="62" t="s">
        <v>5384</v>
      </c>
      <c r="AA2952" s="62" t="s">
        <v>5385</v>
      </c>
      <c r="AB2952" s="62" t="n">
        <v>1</v>
      </c>
      <c r="AC2952" s="62" t="n">
        <v>1</v>
      </c>
      <c r="AD2952" s="62" t="n">
        <v>1</v>
      </c>
      <c r="AE2952" s="62" t="n">
        <f aca="false">IF(AND(Dashboard!$C$9="Yes",AC2952=1),0,1)</f>
        <v>0</v>
      </c>
      <c r="AF2952" s="62" t="n">
        <v>0</v>
      </c>
    </row>
    <row r="2953" customFormat="false" ht="15" hidden="false" customHeight="false" outlineLevel="0" collapsed="false">
      <c r="A2953" s="62" t="n">
        <v>2952</v>
      </c>
      <c r="B2953" s="63" t="n">
        <v>46296.0892939815</v>
      </c>
      <c r="C2953" s="64" t="n">
        <v>46295</v>
      </c>
      <c r="D2953" s="62" t="s">
        <v>143</v>
      </c>
      <c r="E2953" s="62" t="s">
        <v>414</v>
      </c>
      <c r="F2953" s="62" t="s">
        <v>414</v>
      </c>
      <c r="G2953" s="62" t="s">
        <v>415</v>
      </c>
      <c r="H2953" s="62" t="s">
        <v>57</v>
      </c>
      <c r="I2953" s="62" t="s">
        <v>47</v>
      </c>
      <c r="J2953" s="62" t="s">
        <v>146</v>
      </c>
      <c r="K2953" s="62" t="s">
        <v>147</v>
      </c>
      <c r="L2953" s="62" t="s">
        <v>4</v>
      </c>
      <c r="M2953" s="62" t="n">
        <v>1</v>
      </c>
      <c r="N2953" s="62" t="n">
        <v>0</v>
      </c>
      <c r="O2953" s="62" t="n">
        <v>1</v>
      </c>
      <c r="P2953" s="62" t="n">
        <v>0</v>
      </c>
      <c r="Q2953" s="62" t="n">
        <v>0</v>
      </c>
      <c r="R2953" s="62" t="n">
        <v>0</v>
      </c>
      <c r="S2953" s="62" t="n">
        <v>0</v>
      </c>
      <c r="T2953" s="62" t="n">
        <v>0</v>
      </c>
      <c r="U2953" s="62" t="s">
        <v>2056</v>
      </c>
      <c r="V2953" s="62" t="s">
        <v>2057</v>
      </c>
      <c r="W2953" s="62" t="s">
        <v>15</v>
      </c>
      <c r="X2953" s="62" t="s">
        <v>2125</v>
      </c>
      <c r="Y2953" s="62" t="s">
        <v>2103</v>
      </c>
      <c r="Z2953" s="62" t="s">
        <v>5390</v>
      </c>
      <c r="AA2953" s="62" t="s">
        <v>5391</v>
      </c>
      <c r="AB2953" s="62" t="n">
        <v>1</v>
      </c>
      <c r="AC2953" s="62" t="n">
        <v>0</v>
      </c>
      <c r="AD2953" s="62" t="n">
        <v>1</v>
      </c>
      <c r="AE2953" s="62" t="n">
        <f aca="false">IF(AND(Dashboard!$C$9="Yes",AC2953=1),0,1)</f>
        <v>1</v>
      </c>
      <c r="AF2953" s="62" t="n">
        <v>1</v>
      </c>
    </row>
    <row r="2954" customFormat="false" ht="15" hidden="false" customHeight="false" outlineLevel="0" collapsed="false">
      <c r="A2954" s="62" t="n">
        <v>2953</v>
      </c>
      <c r="B2954" s="63" t="n">
        <v>46296.1000462963</v>
      </c>
      <c r="C2954" s="64" t="n">
        <v>46295</v>
      </c>
      <c r="D2954" s="62" t="s">
        <v>143</v>
      </c>
      <c r="E2954" s="62" t="s">
        <v>4800</v>
      </c>
      <c r="F2954" s="62" t="s">
        <v>4800</v>
      </c>
      <c r="G2954" s="62" t="s">
        <v>4801</v>
      </c>
      <c r="H2954" s="62" t="s">
        <v>50</v>
      </c>
      <c r="I2954" s="62" t="s">
        <v>49</v>
      </c>
      <c r="J2954" s="62" t="s">
        <v>3708</v>
      </c>
      <c r="K2954" s="62" t="s">
        <v>209</v>
      </c>
      <c r="L2954" s="62" t="s">
        <v>148</v>
      </c>
      <c r="M2954" s="62" t="n">
        <v>0</v>
      </c>
      <c r="N2954" s="62" t="n">
        <v>1</v>
      </c>
      <c r="O2954" s="62" t="n">
        <v>1</v>
      </c>
      <c r="P2954" s="62" t="n">
        <v>1</v>
      </c>
      <c r="Q2954" s="62" t="n">
        <v>0</v>
      </c>
      <c r="R2954" s="62" t="n">
        <v>0</v>
      </c>
      <c r="S2954" s="62" t="n">
        <v>0</v>
      </c>
      <c r="T2954" s="62" t="n">
        <v>0</v>
      </c>
      <c r="U2954" s="62"/>
      <c r="V2954" s="62"/>
      <c r="W2954" s="62"/>
      <c r="X2954" s="62"/>
      <c r="Y2954" s="62"/>
      <c r="Z2954" s="62" t="s">
        <v>5392</v>
      </c>
      <c r="AA2954" s="62" t="s">
        <v>5393</v>
      </c>
      <c r="AB2954" s="62" t="n">
        <v>1</v>
      </c>
      <c r="AC2954" s="62" t="n">
        <v>0</v>
      </c>
      <c r="AD2954" s="62" t="n">
        <v>1</v>
      </c>
      <c r="AE2954" s="62" t="n">
        <f aca="false">IF(AND(Dashboard!$C$9="Yes",AC2954=1),0,1)</f>
        <v>1</v>
      </c>
      <c r="AF2954" s="62" t="n">
        <v>0</v>
      </c>
    </row>
    <row r="2955" customFormat="false" ht="15" hidden="false" customHeight="false" outlineLevel="0" collapsed="false">
      <c r="A2955" s="62" t="n">
        <v>2954</v>
      </c>
      <c r="B2955" s="63" t="n">
        <v>46296.100462963</v>
      </c>
      <c r="C2955" s="64" t="n">
        <v>46295</v>
      </c>
      <c r="D2955" s="62" t="s">
        <v>143</v>
      </c>
      <c r="E2955" s="62" t="s">
        <v>5333</v>
      </c>
      <c r="F2955" s="62" t="s">
        <v>5333</v>
      </c>
      <c r="G2955" s="62" t="s">
        <v>5334</v>
      </c>
      <c r="H2955" s="62" t="s">
        <v>55</v>
      </c>
      <c r="I2955" s="62" t="s">
        <v>49</v>
      </c>
      <c r="J2955" s="62" t="s">
        <v>3708</v>
      </c>
      <c r="K2955" s="62" t="s">
        <v>209</v>
      </c>
      <c r="L2955" s="62" t="s">
        <v>148</v>
      </c>
      <c r="M2955" s="62" t="n">
        <v>0</v>
      </c>
      <c r="N2955" s="62" t="n">
        <v>1</v>
      </c>
      <c r="O2955" s="62" t="n">
        <v>1</v>
      </c>
      <c r="P2955" s="62" t="n">
        <v>1</v>
      </c>
      <c r="Q2955" s="62" t="n">
        <v>0</v>
      </c>
      <c r="R2955" s="62" t="n">
        <v>0</v>
      </c>
      <c r="S2955" s="62" t="n">
        <v>0</v>
      </c>
      <c r="T2955" s="62" t="n">
        <v>0</v>
      </c>
      <c r="U2955" s="62"/>
      <c r="V2955" s="62"/>
      <c r="W2955" s="62"/>
      <c r="X2955" s="62"/>
      <c r="Y2955" s="62"/>
      <c r="Z2955" s="62" t="s">
        <v>5394</v>
      </c>
      <c r="AA2955" s="62" t="s">
        <v>5395</v>
      </c>
      <c r="AB2955" s="62" t="n">
        <v>1</v>
      </c>
      <c r="AC2955" s="62" t="n">
        <v>0</v>
      </c>
      <c r="AD2955" s="62" t="n">
        <v>1</v>
      </c>
      <c r="AE2955" s="62" t="n">
        <f aca="false">IF(AND(Dashboard!$C$9="Yes",AC2955=1),0,1)</f>
        <v>1</v>
      </c>
      <c r="AF2955" s="62" t="n">
        <v>0</v>
      </c>
    </row>
    <row r="2956" customFormat="false" ht="15" hidden="false" customHeight="false" outlineLevel="0" collapsed="false">
      <c r="A2956" s="62" t="n">
        <v>2955</v>
      </c>
      <c r="B2956" s="63" t="n">
        <v>46296.1182638889</v>
      </c>
      <c r="C2956" s="64" t="n">
        <v>46295</v>
      </c>
      <c r="D2956" s="62" t="s">
        <v>143</v>
      </c>
      <c r="E2956" s="62" t="s">
        <v>1155</v>
      </c>
      <c r="F2956" s="62" t="s">
        <v>1155</v>
      </c>
      <c r="G2956" s="62" t="s">
        <v>1156</v>
      </c>
      <c r="H2956" s="62" t="s">
        <v>59</v>
      </c>
      <c r="I2956" s="62" t="s">
        <v>47</v>
      </c>
      <c r="J2956" s="62" t="s">
        <v>146</v>
      </c>
      <c r="K2956" s="62" t="s">
        <v>209</v>
      </c>
      <c r="L2956" s="62" t="s">
        <v>148</v>
      </c>
      <c r="M2956" s="62" t="n">
        <v>0</v>
      </c>
      <c r="N2956" s="62" t="n">
        <v>1</v>
      </c>
      <c r="O2956" s="62" t="n">
        <v>1</v>
      </c>
      <c r="P2956" s="62" t="n">
        <v>1</v>
      </c>
      <c r="Q2956" s="62" t="n">
        <v>0</v>
      </c>
      <c r="R2956" s="62" t="n">
        <v>0</v>
      </c>
      <c r="S2956" s="62" t="n">
        <v>0</v>
      </c>
      <c r="T2956" s="62" t="n">
        <v>0</v>
      </c>
      <c r="U2956" s="62"/>
      <c r="V2956" s="62"/>
      <c r="W2956" s="62"/>
      <c r="X2956" s="62"/>
      <c r="Y2956" s="62"/>
      <c r="Z2956" s="62" t="s">
        <v>5396</v>
      </c>
      <c r="AA2956" s="62" t="s">
        <v>5397</v>
      </c>
      <c r="AB2956" s="62" t="n">
        <v>1</v>
      </c>
      <c r="AC2956" s="62" t="n">
        <v>0</v>
      </c>
      <c r="AD2956" s="62" t="n">
        <v>1</v>
      </c>
      <c r="AE2956" s="62" t="n">
        <f aca="false">IF(AND(Dashboard!$C$9="Yes",AC2956=1),0,1)</f>
        <v>1</v>
      </c>
      <c r="AF2956" s="62" t="n">
        <v>0</v>
      </c>
    </row>
    <row r="2957" customFormat="false" ht="15" hidden="false" customHeight="false" outlineLevel="0" collapsed="false">
      <c r="A2957" s="62" t="n">
        <v>2956</v>
      </c>
      <c r="B2957" s="63" t="n">
        <v>46296.1244444445</v>
      </c>
      <c r="C2957" s="64" t="n">
        <v>46295</v>
      </c>
      <c r="D2957" s="62" t="s">
        <v>143</v>
      </c>
      <c r="E2957" s="62" t="s">
        <v>2183</v>
      </c>
      <c r="F2957" s="62" t="s">
        <v>2183</v>
      </c>
      <c r="G2957" s="62" t="s">
        <v>2184</v>
      </c>
      <c r="H2957" s="62" t="s">
        <v>59</v>
      </c>
      <c r="I2957" s="62" t="s">
        <v>47</v>
      </c>
      <c r="J2957" s="62" t="s">
        <v>146</v>
      </c>
      <c r="K2957" s="62" t="s">
        <v>209</v>
      </c>
      <c r="L2957" s="62" t="s">
        <v>148</v>
      </c>
      <c r="M2957" s="62" t="n">
        <v>0</v>
      </c>
      <c r="N2957" s="62" t="n">
        <v>1</v>
      </c>
      <c r="O2957" s="62" t="n">
        <v>1</v>
      </c>
      <c r="P2957" s="62" t="n">
        <v>0</v>
      </c>
      <c r="Q2957" s="62" t="n">
        <v>1</v>
      </c>
      <c r="R2957" s="62" t="n">
        <v>0</v>
      </c>
      <c r="S2957" s="62" t="n">
        <v>0</v>
      </c>
      <c r="T2957" s="62" t="n">
        <v>0</v>
      </c>
      <c r="U2957" s="62"/>
      <c r="V2957" s="62"/>
      <c r="W2957" s="62"/>
      <c r="X2957" s="62"/>
      <c r="Y2957" s="62"/>
      <c r="Z2957" s="62" t="s">
        <v>5398</v>
      </c>
      <c r="AA2957" s="62" t="s">
        <v>5399</v>
      </c>
      <c r="AB2957" s="62" t="n">
        <v>1</v>
      </c>
      <c r="AC2957" s="62" t="n">
        <v>0</v>
      </c>
      <c r="AD2957" s="62" t="n">
        <v>1</v>
      </c>
      <c r="AE2957" s="62" t="n">
        <f aca="false">IF(AND(Dashboard!$C$9="Yes",AC2957=1),0,1)</f>
        <v>1</v>
      </c>
      <c r="AF2957" s="62" t="n">
        <v>1</v>
      </c>
    </row>
    <row r="2958" customFormat="false" ht="15" hidden="false" customHeight="false" outlineLevel="0" collapsed="false">
      <c r="A2958" s="62" t="n">
        <v>2957</v>
      </c>
      <c r="B2958" s="63" t="n">
        <v>46296.1649305556</v>
      </c>
      <c r="C2958" s="64" t="n">
        <v>46295</v>
      </c>
      <c r="D2958" s="62" t="s">
        <v>143</v>
      </c>
      <c r="E2958" s="62" t="s">
        <v>144</v>
      </c>
      <c r="F2958" s="62" t="s">
        <v>144</v>
      </c>
      <c r="G2958" s="62" t="s">
        <v>145</v>
      </c>
      <c r="H2958" s="62" t="s">
        <v>59</v>
      </c>
      <c r="I2958" s="62" t="s">
        <v>47</v>
      </c>
      <c r="J2958" s="62" t="s">
        <v>146</v>
      </c>
      <c r="K2958" s="62" t="s">
        <v>147</v>
      </c>
      <c r="L2958" s="62" t="s">
        <v>148</v>
      </c>
      <c r="M2958" s="62" t="n">
        <v>0</v>
      </c>
      <c r="N2958" s="62" t="n">
        <v>1</v>
      </c>
      <c r="O2958" s="62" t="n">
        <v>1</v>
      </c>
      <c r="P2958" s="62" t="n">
        <v>1</v>
      </c>
      <c r="Q2958" s="62" t="n">
        <v>0</v>
      </c>
      <c r="R2958" s="62" t="n">
        <v>0</v>
      </c>
      <c r="S2958" s="62" t="n">
        <v>0</v>
      </c>
      <c r="T2958" s="62" t="n">
        <v>0</v>
      </c>
      <c r="U2958" s="62"/>
      <c r="V2958" s="62"/>
      <c r="W2958" s="62"/>
      <c r="X2958" s="62"/>
      <c r="Y2958" s="62"/>
      <c r="Z2958" s="62" t="s">
        <v>5400</v>
      </c>
      <c r="AA2958" s="62" t="s">
        <v>5401</v>
      </c>
      <c r="AB2958" s="62" t="n">
        <v>1</v>
      </c>
      <c r="AC2958" s="62" t="n">
        <v>0</v>
      </c>
      <c r="AD2958" s="62" t="n">
        <v>1</v>
      </c>
      <c r="AE2958" s="62" t="n">
        <f aca="false">IF(AND(Dashboard!$C$9="Yes",AC2958=1),0,1)</f>
        <v>1</v>
      </c>
      <c r="AF2958" s="62" t="n">
        <v>0</v>
      </c>
    </row>
    <row r="2959" customFormat="false" ht="15" hidden="false" customHeight="false" outlineLevel="0" collapsed="false">
      <c r="A2959" s="62" t="n">
        <v>2958</v>
      </c>
      <c r="B2959" s="63" t="n">
        <v>46296.1652893519</v>
      </c>
      <c r="C2959" s="64" t="n">
        <v>46295</v>
      </c>
      <c r="D2959" s="62" t="s">
        <v>143</v>
      </c>
      <c r="E2959" s="62" t="s">
        <v>144</v>
      </c>
      <c r="F2959" s="62" t="s">
        <v>144</v>
      </c>
      <c r="G2959" s="62" t="s">
        <v>145</v>
      </c>
      <c r="H2959" s="62" t="s">
        <v>59</v>
      </c>
      <c r="I2959" s="62" t="s">
        <v>47</v>
      </c>
      <c r="J2959" s="62" t="s">
        <v>146</v>
      </c>
      <c r="K2959" s="62" t="s">
        <v>147</v>
      </c>
      <c r="L2959" s="62" t="s">
        <v>148</v>
      </c>
      <c r="M2959" s="62" t="n">
        <v>0</v>
      </c>
      <c r="N2959" s="62" t="n">
        <v>1</v>
      </c>
      <c r="O2959" s="62" t="n">
        <v>1</v>
      </c>
      <c r="P2959" s="62" t="n">
        <v>1</v>
      </c>
      <c r="Q2959" s="62" t="n">
        <v>0</v>
      </c>
      <c r="R2959" s="62" t="n">
        <v>0</v>
      </c>
      <c r="S2959" s="62" t="n">
        <v>0</v>
      </c>
      <c r="T2959" s="62" t="n">
        <v>0</v>
      </c>
      <c r="U2959" s="62"/>
      <c r="V2959" s="62"/>
      <c r="W2959" s="62"/>
      <c r="X2959" s="62"/>
      <c r="Y2959" s="62"/>
      <c r="Z2959" s="62" t="s">
        <v>5400</v>
      </c>
      <c r="AA2959" s="62" t="s">
        <v>5401</v>
      </c>
      <c r="AB2959" s="62" t="n">
        <v>1</v>
      </c>
      <c r="AC2959" s="62" t="n">
        <v>1</v>
      </c>
      <c r="AD2959" s="62" t="n">
        <v>1</v>
      </c>
      <c r="AE2959" s="62" t="n">
        <f aca="false">IF(AND(Dashboard!$C$9="Yes",AC2959=1),0,1)</f>
        <v>0</v>
      </c>
      <c r="AF2959" s="62" t="n">
        <v>0</v>
      </c>
    </row>
    <row r="2960" customFormat="false" ht="15" hidden="false" customHeight="false" outlineLevel="0" collapsed="false">
      <c r="A2960" s="62" t="n">
        <v>2959</v>
      </c>
      <c r="B2960" s="63" t="n">
        <v>46296.1654513889</v>
      </c>
      <c r="C2960" s="64" t="n">
        <v>46295</v>
      </c>
      <c r="D2960" s="62" t="s">
        <v>143</v>
      </c>
      <c r="E2960" s="62" t="s">
        <v>144</v>
      </c>
      <c r="F2960" s="62" t="s">
        <v>144</v>
      </c>
      <c r="G2960" s="62" t="s">
        <v>145</v>
      </c>
      <c r="H2960" s="62" t="s">
        <v>59</v>
      </c>
      <c r="I2960" s="62" t="s">
        <v>47</v>
      </c>
      <c r="J2960" s="62" t="s">
        <v>146</v>
      </c>
      <c r="K2960" s="62" t="s">
        <v>147</v>
      </c>
      <c r="L2960" s="62" t="s">
        <v>148</v>
      </c>
      <c r="M2960" s="62" t="n">
        <v>0</v>
      </c>
      <c r="N2960" s="62" t="n">
        <v>1</v>
      </c>
      <c r="O2960" s="62" t="n">
        <v>1</v>
      </c>
      <c r="P2960" s="62" t="n">
        <v>1</v>
      </c>
      <c r="Q2960" s="62" t="n">
        <v>0</v>
      </c>
      <c r="R2960" s="62" t="n">
        <v>0</v>
      </c>
      <c r="S2960" s="62" t="n">
        <v>0</v>
      </c>
      <c r="T2960" s="62" t="n">
        <v>0</v>
      </c>
      <c r="U2960" s="62"/>
      <c r="V2960" s="62"/>
      <c r="W2960" s="62"/>
      <c r="X2960" s="62"/>
      <c r="Y2960" s="62"/>
      <c r="Z2960" s="62" t="s">
        <v>5400</v>
      </c>
      <c r="AA2960" s="62" t="s">
        <v>5401</v>
      </c>
      <c r="AB2960" s="62" t="n">
        <v>1</v>
      </c>
      <c r="AC2960" s="62" t="n">
        <v>1</v>
      </c>
      <c r="AD2960" s="62" t="n">
        <v>1</v>
      </c>
      <c r="AE2960" s="62" t="n">
        <f aca="false">IF(AND(Dashboard!$C$9="Yes",AC2960=1),0,1)</f>
        <v>0</v>
      </c>
      <c r="AF2960" s="62" t="n">
        <v>0</v>
      </c>
    </row>
    <row r="2961" customFormat="false" ht="15" hidden="false" customHeight="false" outlineLevel="0" collapsed="false">
      <c r="A2961" s="62" t="n">
        <v>2960</v>
      </c>
      <c r="B2961" s="63" t="n">
        <v>46296.1656828704</v>
      </c>
      <c r="C2961" s="64" t="n">
        <v>46295</v>
      </c>
      <c r="D2961" s="62" t="s">
        <v>143</v>
      </c>
      <c r="E2961" s="62" t="s">
        <v>144</v>
      </c>
      <c r="F2961" s="62" t="s">
        <v>144</v>
      </c>
      <c r="G2961" s="62" t="s">
        <v>145</v>
      </c>
      <c r="H2961" s="62" t="s">
        <v>59</v>
      </c>
      <c r="I2961" s="62" t="s">
        <v>47</v>
      </c>
      <c r="J2961" s="62" t="s">
        <v>146</v>
      </c>
      <c r="K2961" s="62" t="s">
        <v>147</v>
      </c>
      <c r="L2961" s="62" t="s">
        <v>148</v>
      </c>
      <c r="M2961" s="62" t="n">
        <v>0</v>
      </c>
      <c r="N2961" s="62" t="n">
        <v>1</v>
      </c>
      <c r="O2961" s="62" t="n">
        <v>1</v>
      </c>
      <c r="P2961" s="62" t="n">
        <v>1</v>
      </c>
      <c r="Q2961" s="62" t="n">
        <v>0</v>
      </c>
      <c r="R2961" s="62" t="n">
        <v>0</v>
      </c>
      <c r="S2961" s="62" t="n">
        <v>0</v>
      </c>
      <c r="T2961" s="62" t="n">
        <v>0</v>
      </c>
      <c r="U2961" s="62"/>
      <c r="V2961" s="62"/>
      <c r="W2961" s="62"/>
      <c r="X2961" s="62"/>
      <c r="Y2961" s="62"/>
      <c r="Z2961" s="62" t="s">
        <v>5400</v>
      </c>
      <c r="AA2961" s="62" t="s">
        <v>5401</v>
      </c>
      <c r="AB2961" s="62" t="n">
        <v>1</v>
      </c>
      <c r="AC2961" s="62" t="n">
        <v>1</v>
      </c>
      <c r="AD2961" s="62" t="n">
        <v>1</v>
      </c>
      <c r="AE2961" s="62" t="n">
        <f aca="false">IF(AND(Dashboard!$C$9="Yes",AC2961=1),0,1)</f>
        <v>0</v>
      </c>
      <c r="AF2961" s="62" t="n">
        <v>0</v>
      </c>
    </row>
    <row r="2962" customFormat="false" ht="15" hidden="false" customHeight="false" outlineLevel="0" collapsed="false">
      <c r="A2962" s="62" t="n">
        <v>2961</v>
      </c>
      <c r="B2962" s="63" t="n">
        <v>46296.1749884259</v>
      </c>
      <c r="C2962" s="64" t="n">
        <v>46295</v>
      </c>
      <c r="D2962" s="62" t="s">
        <v>143</v>
      </c>
      <c r="E2962" s="62" t="s">
        <v>1155</v>
      </c>
      <c r="F2962" s="62" t="s">
        <v>1155</v>
      </c>
      <c r="G2962" s="62" t="s">
        <v>1156</v>
      </c>
      <c r="H2962" s="62" t="s">
        <v>59</v>
      </c>
      <c r="I2962" s="62" t="s">
        <v>47</v>
      </c>
      <c r="J2962" s="62" t="s">
        <v>146</v>
      </c>
      <c r="K2962" s="62" t="s">
        <v>209</v>
      </c>
      <c r="L2962" s="62" t="s">
        <v>148</v>
      </c>
      <c r="M2962" s="62" t="n">
        <v>0</v>
      </c>
      <c r="N2962" s="62" t="n">
        <v>1</v>
      </c>
      <c r="O2962" s="62" t="n">
        <v>1</v>
      </c>
      <c r="P2962" s="62" t="n">
        <v>1</v>
      </c>
      <c r="Q2962" s="62" t="n">
        <v>0</v>
      </c>
      <c r="R2962" s="62" t="n">
        <v>0</v>
      </c>
      <c r="S2962" s="62" t="n">
        <v>0</v>
      </c>
      <c r="T2962" s="62" t="n">
        <v>0</v>
      </c>
      <c r="U2962" s="62"/>
      <c r="V2962" s="62"/>
      <c r="W2962" s="62"/>
      <c r="X2962" s="62"/>
      <c r="Y2962" s="62"/>
      <c r="Z2962" s="62" t="s">
        <v>5402</v>
      </c>
      <c r="AA2962" s="62" t="s">
        <v>5403</v>
      </c>
      <c r="AB2962" s="62" t="n">
        <v>1</v>
      </c>
      <c r="AC2962" s="62" t="n">
        <v>0</v>
      </c>
      <c r="AD2962" s="62" t="n">
        <v>1</v>
      </c>
      <c r="AE2962" s="62" t="n">
        <f aca="false">IF(AND(Dashboard!$C$9="Yes",AC2962=1),0,1)</f>
        <v>1</v>
      </c>
      <c r="AF2962" s="62" t="n">
        <v>0</v>
      </c>
    </row>
    <row r="2963" customFormat="false" ht="15" hidden="false" customHeight="false" outlineLevel="0" collapsed="false">
      <c r="A2963" s="62" t="n">
        <v>2962</v>
      </c>
      <c r="B2963" s="63" t="n">
        <v>46296.1961574074</v>
      </c>
      <c r="C2963" s="64" t="n">
        <v>46295</v>
      </c>
      <c r="D2963" s="62" t="s">
        <v>143</v>
      </c>
      <c r="E2963" s="62" t="s">
        <v>2340</v>
      </c>
      <c r="F2963" s="62" t="s">
        <v>2340</v>
      </c>
      <c r="G2963" s="62" t="s">
        <v>2341</v>
      </c>
      <c r="H2963" s="62" t="s">
        <v>57</v>
      </c>
      <c r="I2963" s="62" t="s">
        <v>47</v>
      </c>
      <c r="J2963" s="62" t="s">
        <v>146</v>
      </c>
      <c r="K2963" s="62" t="s">
        <v>175</v>
      </c>
      <c r="L2963" s="62" t="s">
        <v>4</v>
      </c>
      <c r="M2963" s="62" t="n">
        <v>1</v>
      </c>
      <c r="N2963" s="62" t="n">
        <v>0</v>
      </c>
      <c r="O2963" s="62" t="n">
        <v>1</v>
      </c>
      <c r="P2963" s="62" t="n">
        <v>0</v>
      </c>
      <c r="Q2963" s="62" t="n">
        <v>0</v>
      </c>
      <c r="R2963" s="62" t="n">
        <v>0</v>
      </c>
      <c r="S2963" s="62" t="n">
        <v>0</v>
      </c>
      <c r="T2963" s="62" t="n">
        <v>0</v>
      </c>
      <c r="U2963" s="62" t="s">
        <v>2056</v>
      </c>
      <c r="V2963" s="62" t="s">
        <v>2057</v>
      </c>
      <c r="W2963" s="62" t="s">
        <v>15</v>
      </c>
      <c r="X2963" s="62" t="s">
        <v>2058</v>
      </c>
      <c r="Y2963" s="62" t="s">
        <v>2059</v>
      </c>
      <c r="Z2963" s="62" t="s">
        <v>5404</v>
      </c>
      <c r="AA2963" s="62" t="s">
        <v>5405</v>
      </c>
      <c r="AB2963" s="62" t="n">
        <v>1</v>
      </c>
      <c r="AC2963" s="62" t="n">
        <v>0</v>
      </c>
      <c r="AD2963" s="62" t="n">
        <v>1</v>
      </c>
      <c r="AE2963" s="62" t="n">
        <f aca="false">IF(AND(Dashboard!$C$9="Yes",AC2963=1),0,1)</f>
        <v>1</v>
      </c>
      <c r="AF2963" s="62" t="n">
        <v>1</v>
      </c>
    </row>
    <row r="2964" customFormat="false" ht="15" hidden="false" customHeight="false" outlineLevel="0" collapsed="false">
      <c r="A2964" s="62" t="n">
        <v>2963</v>
      </c>
      <c r="B2964" s="63" t="n">
        <v>46296.2190046296</v>
      </c>
      <c r="C2964" s="64" t="n">
        <v>46295</v>
      </c>
      <c r="D2964" s="62" t="s">
        <v>143</v>
      </c>
      <c r="E2964" s="62" t="s">
        <v>196</v>
      </c>
      <c r="F2964" s="62" t="s">
        <v>196</v>
      </c>
      <c r="G2964" s="62" t="s">
        <v>197</v>
      </c>
      <c r="H2964" s="62" t="s">
        <v>57</v>
      </c>
      <c r="I2964" s="62" t="s">
        <v>47</v>
      </c>
      <c r="J2964" s="62" t="s">
        <v>146</v>
      </c>
      <c r="K2964" s="62" t="s">
        <v>175</v>
      </c>
      <c r="L2964" s="62" t="s">
        <v>148</v>
      </c>
      <c r="M2964" s="62" t="n">
        <v>0</v>
      </c>
      <c r="N2964" s="62" t="n">
        <v>1</v>
      </c>
      <c r="O2964" s="62" t="n">
        <v>1</v>
      </c>
      <c r="P2964" s="62" t="n">
        <v>0</v>
      </c>
      <c r="Q2964" s="62" t="n">
        <v>0</v>
      </c>
      <c r="R2964" s="62" t="n">
        <v>1</v>
      </c>
      <c r="S2964" s="62" t="n">
        <v>0</v>
      </c>
      <c r="T2964" s="62" t="n">
        <v>0</v>
      </c>
      <c r="U2964" s="62"/>
      <c r="V2964" s="62"/>
      <c r="W2964" s="62"/>
      <c r="X2964" s="62"/>
      <c r="Y2964" s="62"/>
      <c r="Z2964" s="62" t="s">
        <v>5406</v>
      </c>
      <c r="AA2964" s="62" t="s">
        <v>5407</v>
      </c>
      <c r="AB2964" s="62" t="n">
        <v>1</v>
      </c>
      <c r="AC2964" s="62" t="n">
        <v>0</v>
      </c>
      <c r="AD2964" s="62" t="n">
        <v>1</v>
      </c>
      <c r="AE2964" s="62" t="n">
        <f aca="false">IF(AND(Dashboard!$C$9="Yes",AC2964=1),0,1)</f>
        <v>1</v>
      </c>
      <c r="AF2964" s="62" t="n">
        <v>1</v>
      </c>
    </row>
    <row r="2965" customFormat="false" ht="15" hidden="false" customHeight="false" outlineLevel="0" collapsed="false">
      <c r="A2965" s="62" t="n">
        <v>2964</v>
      </c>
      <c r="B2965" s="63" t="n">
        <v>46296.2354513889</v>
      </c>
      <c r="C2965" s="64" t="n">
        <v>46295</v>
      </c>
      <c r="D2965" s="62" t="s">
        <v>143</v>
      </c>
      <c r="E2965" s="62" t="s">
        <v>1827</v>
      </c>
      <c r="F2965" s="62" t="s">
        <v>1827</v>
      </c>
      <c r="G2965" s="62" t="s">
        <v>1828</v>
      </c>
      <c r="H2965" s="62" t="s">
        <v>59</v>
      </c>
      <c r="I2965" s="62" t="s">
        <v>47</v>
      </c>
      <c r="J2965" s="62" t="s">
        <v>146</v>
      </c>
      <c r="K2965" s="62" t="s">
        <v>209</v>
      </c>
      <c r="L2965" s="62" t="s">
        <v>148</v>
      </c>
      <c r="M2965" s="62" t="n">
        <v>0</v>
      </c>
      <c r="N2965" s="62" t="n">
        <v>1</v>
      </c>
      <c r="O2965" s="62" t="n">
        <v>1</v>
      </c>
      <c r="P2965" s="62" t="n">
        <v>1</v>
      </c>
      <c r="Q2965" s="62" t="n">
        <v>0</v>
      </c>
      <c r="R2965" s="62" t="n">
        <v>0</v>
      </c>
      <c r="S2965" s="62" t="n">
        <v>0</v>
      </c>
      <c r="T2965" s="62" t="n">
        <v>0</v>
      </c>
      <c r="U2965" s="62"/>
      <c r="V2965" s="62"/>
      <c r="W2965" s="62"/>
      <c r="X2965" s="62"/>
      <c r="Y2965" s="62"/>
      <c r="Z2965" s="62" t="s">
        <v>5408</v>
      </c>
      <c r="AA2965" s="62" t="s">
        <v>5409</v>
      </c>
      <c r="AB2965" s="62" t="n">
        <v>1</v>
      </c>
      <c r="AC2965" s="62" t="n">
        <v>0</v>
      </c>
      <c r="AD2965" s="62" t="n">
        <v>1</v>
      </c>
      <c r="AE2965" s="62" t="n">
        <f aca="false">IF(AND(Dashboard!$C$9="Yes",AC2965=1),0,1)</f>
        <v>1</v>
      </c>
      <c r="AF2965" s="62" t="n">
        <v>1</v>
      </c>
    </row>
    <row r="2966" customFormat="false" ht="15" hidden="false" customHeight="false" outlineLevel="0" collapsed="false">
      <c r="A2966" s="62" t="n">
        <v>2965</v>
      </c>
      <c r="B2966" s="63" t="n">
        <v>46296.2625347222</v>
      </c>
      <c r="C2966" s="64" t="n">
        <v>46295</v>
      </c>
      <c r="D2966" s="62" t="s">
        <v>143</v>
      </c>
      <c r="E2966" s="62" t="s">
        <v>2328</v>
      </c>
      <c r="F2966" s="62" t="s">
        <v>2328</v>
      </c>
      <c r="G2966" s="62" t="s">
        <v>2329</v>
      </c>
      <c r="H2966" s="62" t="s">
        <v>58</v>
      </c>
      <c r="I2966" s="62" t="s">
        <v>49</v>
      </c>
      <c r="J2966" s="62" t="s">
        <v>146</v>
      </c>
      <c r="K2966" s="62" t="s">
        <v>209</v>
      </c>
      <c r="L2966" s="62" t="s">
        <v>4</v>
      </c>
      <c r="M2966" s="62" t="n">
        <v>1</v>
      </c>
      <c r="N2966" s="62" t="n">
        <v>0</v>
      </c>
      <c r="O2966" s="62" t="n">
        <v>1</v>
      </c>
      <c r="P2966" s="62" t="n">
        <v>0</v>
      </c>
      <c r="Q2966" s="62" t="n">
        <v>0</v>
      </c>
      <c r="R2966" s="62" t="n">
        <v>0</v>
      </c>
      <c r="S2966" s="62" t="n">
        <v>0</v>
      </c>
      <c r="T2966" s="62" t="n">
        <v>0</v>
      </c>
      <c r="U2966" s="62" t="s">
        <v>2056</v>
      </c>
      <c r="V2966" s="62" t="s">
        <v>2057</v>
      </c>
      <c r="W2966" s="62" t="s">
        <v>15</v>
      </c>
      <c r="X2966" s="62" t="s">
        <v>2058</v>
      </c>
      <c r="Y2966" s="62" t="s">
        <v>2059</v>
      </c>
      <c r="Z2966" s="62" t="s">
        <v>5410</v>
      </c>
      <c r="AA2966" s="62" t="s">
        <v>5411</v>
      </c>
      <c r="AB2966" s="62" t="n">
        <v>1</v>
      </c>
      <c r="AC2966" s="62" t="n">
        <v>0</v>
      </c>
      <c r="AD2966" s="62" t="n">
        <v>1</v>
      </c>
      <c r="AE2966" s="62" t="n">
        <f aca="false">IF(AND(Dashboard!$C$9="Yes",AC2966=1),0,1)</f>
        <v>1</v>
      </c>
      <c r="AF2966" s="62" t="n">
        <v>1</v>
      </c>
    </row>
    <row r="2967" customFormat="false" ht="15" hidden="false" customHeight="false" outlineLevel="0" collapsed="false">
      <c r="A2967" s="62" t="n">
        <v>2966</v>
      </c>
      <c r="B2967" s="63" t="n">
        <v>46296.2655208333</v>
      </c>
      <c r="C2967" s="64" t="n">
        <v>46295</v>
      </c>
      <c r="D2967" s="62" t="s">
        <v>143</v>
      </c>
      <c r="E2967" s="62" t="s">
        <v>5412</v>
      </c>
      <c r="F2967" s="62" t="s">
        <v>2395</v>
      </c>
      <c r="G2967" s="62" t="s">
        <v>2396</v>
      </c>
      <c r="H2967" s="62" t="s">
        <v>59</v>
      </c>
      <c r="I2967" s="62" t="s">
        <v>47</v>
      </c>
      <c r="J2967" s="62" t="s">
        <v>146</v>
      </c>
      <c r="K2967" s="62" t="s">
        <v>209</v>
      </c>
      <c r="L2967" s="62" t="s">
        <v>148</v>
      </c>
      <c r="M2967" s="62" t="n">
        <v>0</v>
      </c>
      <c r="N2967" s="62" t="n">
        <v>1</v>
      </c>
      <c r="O2967" s="62" t="n">
        <v>1</v>
      </c>
      <c r="P2967" s="62" t="n">
        <v>1</v>
      </c>
      <c r="Q2967" s="62" t="n">
        <v>0</v>
      </c>
      <c r="R2967" s="62" t="n">
        <v>0</v>
      </c>
      <c r="S2967" s="62" t="n">
        <v>0</v>
      </c>
      <c r="T2967" s="62" t="n">
        <v>0</v>
      </c>
      <c r="U2967" s="62"/>
      <c r="V2967" s="62"/>
      <c r="W2967" s="62"/>
      <c r="X2967" s="62"/>
      <c r="Y2967" s="62"/>
      <c r="Z2967" s="62" t="s">
        <v>5413</v>
      </c>
      <c r="AA2967" s="62" t="s">
        <v>5414</v>
      </c>
      <c r="AB2967" s="62" t="n">
        <v>1</v>
      </c>
      <c r="AC2967" s="62" t="n">
        <v>0</v>
      </c>
      <c r="AD2967" s="62" t="n">
        <v>1</v>
      </c>
      <c r="AE2967" s="62" t="n">
        <f aca="false">IF(AND(Dashboard!$C$9="Yes",AC2967=1),0,1)</f>
        <v>1</v>
      </c>
      <c r="AF2967" s="62" t="n">
        <v>1</v>
      </c>
    </row>
    <row r="2968" customFormat="false" ht="15" hidden="false" customHeight="false" outlineLevel="0" collapsed="false">
      <c r="A2968" s="62" t="n">
        <v>2967</v>
      </c>
      <c r="B2968" s="63" t="n">
        <v>46296.2713888889</v>
      </c>
      <c r="C2968" s="64" t="n">
        <v>46295</v>
      </c>
      <c r="D2968" s="62" t="s">
        <v>143</v>
      </c>
      <c r="E2968" s="62" t="s">
        <v>2476</v>
      </c>
      <c r="F2968" s="62" t="s">
        <v>2476</v>
      </c>
      <c r="G2968" s="62" t="s">
        <v>2477</v>
      </c>
      <c r="H2968" s="62" t="s">
        <v>51</v>
      </c>
      <c r="I2968" s="62" t="s">
        <v>47</v>
      </c>
      <c r="J2968" s="62" t="s">
        <v>146</v>
      </c>
      <c r="K2968" s="62" t="s">
        <v>209</v>
      </c>
      <c r="L2968" s="62" t="s">
        <v>148</v>
      </c>
      <c r="M2968" s="62" t="n">
        <v>0</v>
      </c>
      <c r="N2968" s="62" t="n">
        <v>1</v>
      </c>
      <c r="O2968" s="62" t="n">
        <v>1</v>
      </c>
      <c r="P2968" s="62" t="n">
        <v>1</v>
      </c>
      <c r="Q2968" s="62" t="n">
        <v>0</v>
      </c>
      <c r="R2968" s="62" t="n">
        <v>0</v>
      </c>
      <c r="S2968" s="62" t="n">
        <v>0</v>
      </c>
      <c r="T2968" s="62" t="n">
        <v>0</v>
      </c>
      <c r="U2968" s="62"/>
      <c r="V2968" s="62"/>
      <c r="W2968" s="62"/>
      <c r="X2968" s="62"/>
      <c r="Y2968" s="62"/>
      <c r="Z2968" s="62" t="s">
        <v>5415</v>
      </c>
      <c r="AA2968" s="62" t="s">
        <v>5416</v>
      </c>
      <c r="AB2968" s="62" t="n">
        <v>1</v>
      </c>
      <c r="AC2968" s="62" t="n">
        <v>0</v>
      </c>
      <c r="AD2968" s="62" t="n">
        <v>1</v>
      </c>
      <c r="AE2968" s="62" t="n">
        <f aca="false">IF(AND(Dashboard!$C$9="Yes",AC2968=1),0,1)</f>
        <v>1</v>
      </c>
      <c r="AF2968" s="62" t="n">
        <v>0</v>
      </c>
    </row>
    <row r="2969" customFormat="false" ht="15" hidden="false" customHeight="false" outlineLevel="0" collapsed="false">
      <c r="A2969" s="62" t="n">
        <v>2968</v>
      </c>
      <c r="B2969" s="63" t="n">
        <v>46296.5992361111</v>
      </c>
      <c r="C2969" s="64" t="n">
        <v>46296</v>
      </c>
      <c r="D2969" s="62" t="s">
        <v>202</v>
      </c>
      <c r="E2969" s="62" t="s">
        <v>3181</v>
      </c>
      <c r="F2969" s="62" t="s">
        <v>3181</v>
      </c>
      <c r="G2969" s="62" t="s">
        <v>3182</v>
      </c>
      <c r="H2969" s="62" t="s">
        <v>58</v>
      </c>
      <c r="I2969" s="62" t="s">
        <v>49</v>
      </c>
      <c r="J2969" s="62" t="s">
        <v>146</v>
      </c>
      <c r="K2969" s="62" t="s">
        <v>209</v>
      </c>
      <c r="L2969" s="62" t="s">
        <v>148</v>
      </c>
      <c r="M2969" s="62" t="n">
        <v>0</v>
      </c>
      <c r="N2969" s="62" t="n">
        <v>2</v>
      </c>
      <c r="O2969" s="62" t="n">
        <v>2</v>
      </c>
      <c r="P2969" s="62" t="n">
        <v>1</v>
      </c>
      <c r="Q2969" s="62" t="n">
        <v>1</v>
      </c>
      <c r="R2969" s="62" t="n">
        <v>0</v>
      </c>
      <c r="S2969" s="62" t="n">
        <v>0</v>
      </c>
      <c r="T2969" s="62" t="n">
        <v>0</v>
      </c>
      <c r="U2969" s="62"/>
      <c r="V2969" s="62"/>
      <c r="W2969" s="62"/>
      <c r="X2969" s="62"/>
      <c r="Y2969" s="62"/>
      <c r="Z2969" s="62" t="s">
        <v>5417</v>
      </c>
      <c r="AA2969" s="62" t="s">
        <v>3868</v>
      </c>
      <c r="AB2969" s="62" t="n">
        <v>0</v>
      </c>
      <c r="AC2969" s="62" t="n">
        <v>0</v>
      </c>
      <c r="AD2969" s="62" t="n">
        <v>1</v>
      </c>
      <c r="AE2969" s="62" t="n">
        <f aca="false">IF(AND(Dashboard!$C$9="Yes",AC2969=1),0,1)</f>
        <v>1</v>
      </c>
      <c r="AF2969" s="62" t="n">
        <v>1</v>
      </c>
    </row>
    <row r="2970" customFormat="false" ht="15" hidden="false" customHeight="false" outlineLevel="0" collapsed="false">
      <c r="A2970" s="62" t="n">
        <v>2969</v>
      </c>
      <c r="B2970" s="63" t="n">
        <v>46296.6502777778</v>
      </c>
      <c r="C2970" s="64" t="n">
        <v>46296</v>
      </c>
      <c r="D2970" s="62" t="s">
        <v>202</v>
      </c>
      <c r="E2970" s="62" t="s">
        <v>3018</v>
      </c>
      <c r="F2970" s="62" t="s">
        <v>3018</v>
      </c>
      <c r="G2970" s="62" t="s">
        <v>3019</v>
      </c>
      <c r="H2970" s="62" t="s">
        <v>58</v>
      </c>
      <c r="I2970" s="62" t="s">
        <v>49</v>
      </c>
      <c r="J2970" s="62" t="s">
        <v>146</v>
      </c>
      <c r="K2970" s="62" t="s">
        <v>175</v>
      </c>
      <c r="L2970" s="62" t="s">
        <v>148</v>
      </c>
      <c r="M2970" s="62" t="n">
        <v>0</v>
      </c>
      <c r="N2970" s="62" t="n">
        <v>1</v>
      </c>
      <c r="O2970" s="62" t="n">
        <v>1</v>
      </c>
      <c r="P2970" s="62" t="n">
        <v>1</v>
      </c>
      <c r="Q2970" s="62" t="n">
        <v>0</v>
      </c>
      <c r="R2970" s="62" t="n">
        <v>0</v>
      </c>
      <c r="S2970" s="62" t="n">
        <v>0</v>
      </c>
      <c r="T2970" s="62" t="n">
        <v>0</v>
      </c>
      <c r="U2970" s="62"/>
      <c r="V2970" s="62"/>
      <c r="W2970" s="62"/>
      <c r="X2970" s="62"/>
      <c r="Y2970" s="62"/>
      <c r="Z2970" s="62" t="s">
        <v>5418</v>
      </c>
      <c r="AA2970" s="62" t="s">
        <v>5419</v>
      </c>
      <c r="AB2970" s="62" t="n">
        <v>1</v>
      </c>
      <c r="AC2970" s="62" t="n">
        <v>0</v>
      </c>
      <c r="AD2970" s="62" t="n">
        <v>1</v>
      </c>
      <c r="AE2970" s="62" t="n">
        <f aca="false">IF(AND(Dashboard!$C$9="Yes",AC2970=1),0,1)</f>
        <v>1</v>
      </c>
      <c r="AF2970" s="62" t="n">
        <v>1</v>
      </c>
    </row>
    <row r="2971" customFormat="false" ht="15" hidden="false" customHeight="false" outlineLevel="0" collapsed="false">
      <c r="A2971" s="62" t="n">
        <v>2970</v>
      </c>
      <c r="B2971" s="63" t="n">
        <v>46296.6961921296</v>
      </c>
      <c r="C2971" s="64" t="n">
        <v>46296</v>
      </c>
      <c r="D2971" s="62" t="s">
        <v>202</v>
      </c>
      <c r="E2971" s="62" t="s">
        <v>4304</v>
      </c>
      <c r="F2971" s="62" t="s">
        <v>4304</v>
      </c>
      <c r="G2971" s="62" t="s">
        <v>4305</v>
      </c>
      <c r="H2971" s="62" t="s">
        <v>44</v>
      </c>
      <c r="I2971" s="62" t="s">
        <v>61</v>
      </c>
      <c r="J2971" s="62" t="s">
        <v>3708</v>
      </c>
      <c r="K2971" s="62" t="s">
        <v>175</v>
      </c>
      <c r="L2971" s="62" t="s">
        <v>148</v>
      </c>
      <c r="M2971" s="62" t="n">
        <v>0</v>
      </c>
      <c r="N2971" s="62" t="n">
        <v>1</v>
      </c>
      <c r="O2971" s="62" t="n">
        <v>1</v>
      </c>
      <c r="P2971" s="62" t="n">
        <v>1</v>
      </c>
      <c r="Q2971" s="62" t="n">
        <v>1</v>
      </c>
      <c r="R2971" s="62" t="n">
        <v>0</v>
      </c>
      <c r="S2971" s="62" t="n">
        <v>0</v>
      </c>
      <c r="T2971" s="62" t="n">
        <v>0</v>
      </c>
      <c r="U2971" s="62"/>
      <c r="V2971" s="62"/>
      <c r="W2971" s="62"/>
      <c r="X2971" s="62"/>
      <c r="Y2971" s="62"/>
      <c r="Z2971" s="62" t="s">
        <v>5420</v>
      </c>
      <c r="AA2971" s="62" t="s">
        <v>5421</v>
      </c>
      <c r="AB2971" s="62" t="n">
        <v>1</v>
      </c>
      <c r="AC2971" s="62" t="n">
        <v>0</v>
      </c>
      <c r="AD2971" s="62" t="n">
        <v>1</v>
      </c>
      <c r="AE2971" s="62" t="n">
        <f aca="false">IF(AND(Dashboard!$C$9="Yes",AC2971=1),0,1)</f>
        <v>1</v>
      </c>
      <c r="AF2971" s="62" t="n">
        <v>1</v>
      </c>
    </row>
    <row r="2972" customFormat="false" ht="15" hidden="false" customHeight="false" outlineLevel="0" collapsed="false">
      <c r="A2972" s="62" t="n">
        <v>2971</v>
      </c>
      <c r="B2972" s="63" t="n">
        <v>46296.6971064815</v>
      </c>
      <c r="C2972" s="64" t="n">
        <v>46296</v>
      </c>
      <c r="D2972" s="62" t="s">
        <v>202</v>
      </c>
      <c r="E2972" s="62" t="s">
        <v>4304</v>
      </c>
      <c r="F2972" s="62" t="s">
        <v>4304</v>
      </c>
      <c r="G2972" s="62" t="s">
        <v>4305</v>
      </c>
      <c r="H2972" s="62" t="s">
        <v>44</v>
      </c>
      <c r="I2972" s="62" t="s">
        <v>61</v>
      </c>
      <c r="J2972" s="62" t="s">
        <v>3708</v>
      </c>
      <c r="K2972" s="62" t="s">
        <v>175</v>
      </c>
      <c r="L2972" s="62" t="s">
        <v>148</v>
      </c>
      <c r="M2972" s="62" t="n">
        <v>0</v>
      </c>
      <c r="N2972" s="62" t="n">
        <v>1</v>
      </c>
      <c r="O2972" s="62" t="n">
        <v>1</v>
      </c>
      <c r="P2972" s="62" t="n">
        <v>1</v>
      </c>
      <c r="Q2972" s="62" t="n">
        <v>0</v>
      </c>
      <c r="R2972" s="62" t="n">
        <v>0</v>
      </c>
      <c r="S2972" s="62" t="n">
        <v>0</v>
      </c>
      <c r="T2972" s="62" t="n">
        <v>0</v>
      </c>
      <c r="U2972" s="62"/>
      <c r="V2972" s="62"/>
      <c r="W2972" s="62"/>
      <c r="X2972" s="62"/>
      <c r="Y2972" s="62"/>
      <c r="Z2972" s="62" t="s">
        <v>5420</v>
      </c>
      <c r="AA2972" s="62" t="s">
        <v>5422</v>
      </c>
      <c r="AB2972" s="62" t="n">
        <v>1</v>
      </c>
      <c r="AC2972" s="62" t="n">
        <v>0</v>
      </c>
      <c r="AD2972" s="62" t="n">
        <v>1</v>
      </c>
      <c r="AE2972" s="62" t="n">
        <f aca="false">IF(AND(Dashboard!$C$9="Yes",AC2972=1),0,1)</f>
        <v>1</v>
      </c>
      <c r="AF2972" s="62" t="n">
        <v>0</v>
      </c>
    </row>
    <row r="2973" customFormat="false" ht="15" hidden="false" customHeight="false" outlineLevel="0" collapsed="false">
      <c r="A2973" s="62" t="n">
        <v>2972</v>
      </c>
      <c r="B2973" s="63" t="n">
        <v>46296.758275463</v>
      </c>
      <c r="C2973" s="64" t="n">
        <v>46296</v>
      </c>
      <c r="D2973" s="62" t="s">
        <v>202</v>
      </c>
      <c r="E2973" s="62" t="s">
        <v>3018</v>
      </c>
      <c r="F2973" s="62" t="s">
        <v>3018</v>
      </c>
      <c r="G2973" s="62" t="s">
        <v>3019</v>
      </c>
      <c r="H2973" s="62" t="s">
        <v>58</v>
      </c>
      <c r="I2973" s="62" t="s">
        <v>49</v>
      </c>
      <c r="J2973" s="62" t="s">
        <v>146</v>
      </c>
      <c r="K2973" s="62" t="s">
        <v>175</v>
      </c>
      <c r="L2973" s="62" t="s">
        <v>148</v>
      </c>
      <c r="M2973" s="62" t="n">
        <v>0</v>
      </c>
      <c r="N2973" s="62" t="n">
        <v>1</v>
      </c>
      <c r="O2973" s="62" t="n">
        <v>1</v>
      </c>
      <c r="P2973" s="62" t="n">
        <v>0</v>
      </c>
      <c r="Q2973" s="62" t="n">
        <v>1</v>
      </c>
      <c r="R2973" s="62" t="n">
        <v>0</v>
      </c>
      <c r="S2973" s="62" t="n">
        <v>0</v>
      </c>
      <c r="T2973" s="62" t="n">
        <v>0</v>
      </c>
      <c r="U2973" s="62"/>
      <c r="V2973" s="62"/>
      <c r="W2973" s="62"/>
      <c r="X2973" s="62"/>
      <c r="Y2973" s="62"/>
      <c r="Z2973" s="62" t="s">
        <v>5423</v>
      </c>
      <c r="AA2973" s="62" t="s">
        <v>5424</v>
      </c>
      <c r="AB2973" s="62" t="n">
        <v>1</v>
      </c>
      <c r="AC2973" s="62" t="n">
        <v>0</v>
      </c>
      <c r="AD2973" s="62" t="n">
        <v>1</v>
      </c>
      <c r="AE2973" s="62" t="n">
        <f aca="false">IF(AND(Dashboard!$C$9="Yes",AC2973=1),0,1)</f>
        <v>1</v>
      </c>
      <c r="AF2973" s="62" t="n">
        <v>0</v>
      </c>
    </row>
    <row r="2974" customFormat="false" ht="15" hidden="false" customHeight="false" outlineLevel="0" collapsed="false">
      <c r="A2974" s="62" t="n">
        <v>2973</v>
      </c>
      <c r="B2974" s="63" t="n">
        <v>46296.7610416667</v>
      </c>
      <c r="C2974" s="64" t="n">
        <v>46296</v>
      </c>
      <c r="D2974" s="62" t="s">
        <v>202</v>
      </c>
      <c r="E2974" s="62" t="s">
        <v>2540</v>
      </c>
      <c r="F2974" s="62" t="s">
        <v>2540</v>
      </c>
      <c r="G2974" s="62" t="s">
        <v>2541</v>
      </c>
      <c r="H2974" s="62" t="s">
        <v>48</v>
      </c>
      <c r="I2974" s="62" t="s">
        <v>49</v>
      </c>
      <c r="J2974" s="62" t="s">
        <v>146</v>
      </c>
      <c r="K2974" s="62" t="s">
        <v>209</v>
      </c>
      <c r="L2974" s="62" t="s">
        <v>148</v>
      </c>
      <c r="M2974" s="62" t="n">
        <v>0</v>
      </c>
      <c r="N2974" s="62" t="n">
        <v>1</v>
      </c>
      <c r="O2974" s="62" t="n">
        <v>1</v>
      </c>
      <c r="P2974" s="62" t="n">
        <v>1</v>
      </c>
      <c r="Q2974" s="62" t="n">
        <v>0</v>
      </c>
      <c r="R2974" s="62" t="n">
        <v>0</v>
      </c>
      <c r="S2974" s="62" t="n">
        <v>0</v>
      </c>
      <c r="T2974" s="62" t="n">
        <v>0</v>
      </c>
      <c r="U2974" s="62"/>
      <c r="V2974" s="62"/>
      <c r="W2974" s="62"/>
      <c r="X2974" s="62"/>
      <c r="Y2974" s="62"/>
      <c r="Z2974" s="62" t="s">
        <v>5425</v>
      </c>
      <c r="AA2974" s="62" t="s">
        <v>5426</v>
      </c>
      <c r="AB2974" s="62" t="n">
        <v>1</v>
      </c>
      <c r="AC2974" s="62" t="n">
        <v>0</v>
      </c>
      <c r="AD2974" s="62" t="n">
        <v>1</v>
      </c>
      <c r="AE2974" s="62" t="n">
        <f aca="false">IF(AND(Dashboard!$C$9="Yes",AC2974=1),0,1)</f>
        <v>1</v>
      </c>
      <c r="AF2974" s="62" t="n">
        <v>1</v>
      </c>
    </row>
    <row r="2975" customFormat="false" ht="15" hidden="false" customHeight="false" outlineLevel="0" collapsed="false">
      <c r="A2975" s="62" t="n">
        <v>2974</v>
      </c>
      <c r="B2975" s="63" t="n">
        <v>46296.7695601852</v>
      </c>
      <c r="C2975" s="64" t="n">
        <v>46296</v>
      </c>
      <c r="D2975" s="62" t="s">
        <v>202</v>
      </c>
      <c r="E2975" s="62" t="s">
        <v>4242</v>
      </c>
      <c r="F2975" s="62" t="s">
        <v>4242</v>
      </c>
      <c r="G2975" s="62" t="s">
        <v>4243</v>
      </c>
      <c r="H2975" s="62" t="s">
        <v>44</v>
      </c>
      <c r="I2975" s="62" t="s">
        <v>49</v>
      </c>
      <c r="J2975" s="62" t="s">
        <v>146</v>
      </c>
      <c r="K2975" s="62" t="s">
        <v>147</v>
      </c>
      <c r="L2975" s="62" t="s">
        <v>148</v>
      </c>
      <c r="M2975" s="62" t="n">
        <v>0</v>
      </c>
      <c r="N2975" s="62" t="n">
        <v>1</v>
      </c>
      <c r="O2975" s="62" t="n">
        <v>1</v>
      </c>
      <c r="P2975" s="62" t="n">
        <v>1</v>
      </c>
      <c r="Q2975" s="62" t="n">
        <v>0</v>
      </c>
      <c r="R2975" s="62" t="n">
        <v>0</v>
      </c>
      <c r="S2975" s="62" t="n">
        <v>0</v>
      </c>
      <c r="T2975" s="62" t="n">
        <v>0</v>
      </c>
      <c r="U2975" s="62"/>
      <c r="V2975" s="62"/>
      <c r="W2975" s="62"/>
      <c r="X2975" s="62"/>
      <c r="Y2975" s="62"/>
      <c r="Z2975" s="62" t="s">
        <v>5427</v>
      </c>
      <c r="AA2975" s="62" t="s">
        <v>5428</v>
      </c>
      <c r="AB2975" s="62" t="n">
        <v>1</v>
      </c>
      <c r="AC2975" s="62" t="n">
        <v>0</v>
      </c>
      <c r="AD2975" s="62" t="n">
        <v>1</v>
      </c>
      <c r="AE2975" s="62" t="n">
        <f aca="false">IF(AND(Dashboard!$C$9="Yes",AC2975=1),0,1)</f>
        <v>1</v>
      </c>
      <c r="AF2975" s="62" t="n">
        <v>1</v>
      </c>
    </row>
    <row r="2976" customFormat="false" ht="15" hidden="false" customHeight="false" outlineLevel="0" collapsed="false">
      <c r="A2976" s="62" t="n">
        <v>2975</v>
      </c>
      <c r="B2976" s="63" t="n">
        <v>46296.7711226852</v>
      </c>
      <c r="C2976" s="64" t="n">
        <v>46296</v>
      </c>
      <c r="D2976" s="62" t="s">
        <v>202</v>
      </c>
      <c r="E2976" s="62" t="s">
        <v>4633</v>
      </c>
      <c r="F2976" s="62" t="s">
        <v>4633</v>
      </c>
      <c r="G2976" s="62" t="s">
        <v>4634</v>
      </c>
      <c r="H2976" s="62" t="s">
        <v>48</v>
      </c>
      <c r="I2976" s="62" t="s">
        <v>49</v>
      </c>
      <c r="J2976" s="62" t="s">
        <v>146</v>
      </c>
      <c r="K2976" s="62" t="s">
        <v>209</v>
      </c>
      <c r="L2976" s="62" t="s">
        <v>4</v>
      </c>
      <c r="M2976" s="62" t="n">
        <v>1</v>
      </c>
      <c r="N2976" s="62" t="n">
        <v>0</v>
      </c>
      <c r="O2976" s="62" t="n">
        <v>1</v>
      </c>
      <c r="P2976" s="62" t="n">
        <v>0</v>
      </c>
      <c r="Q2976" s="62" t="n">
        <v>0</v>
      </c>
      <c r="R2976" s="62" t="n">
        <v>0</v>
      </c>
      <c r="S2976" s="62" t="n">
        <v>0</v>
      </c>
      <c r="T2976" s="62" t="n">
        <v>0</v>
      </c>
      <c r="U2976" s="62" t="s">
        <v>2056</v>
      </c>
      <c r="V2976" s="62" t="s">
        <v>2057</v>
      </c>
      <c r="W2976" s="62" t="s">
        <v>15</v>
      </c>
      <c r="X2976" s="62" t="s">
        <v>2125</v>
      </c>
      <c r="Y2976" s="62" t="s">
        <v>2059</v>
      </c>
      <c r="Z2976" s="62" t="s">
        <v>5429</v>
      </c>
      <c r="AA2976" s="62" t="s">
        <v>5430</v>
      </c>
      <c r="AB2976" s="62" t="n">
        <v>1</v>
      </c>
      <c r="AC2976" s="62" t="n">
        <v>0</v>
      </c>
      <c r="AD2976" s="62" t="n">
        <v>1</v>
      </c>
      <c r="AE2976" s="62" t="n">
        <f aca="false">IF(AND(Dashboard!$C$9="Yes",AC2976=1),0,1)</f>
        <v>1</v>
      </c>
      <c r="AF2976" s="62" t="n">
        <v>1</v>
      </c>
    </row>
    <row r="2977" customFormat="false" ht="15" hidden="false" customHeight="false" outlineLevel="0" collapsed="false">
      <c r="A2977" s="62" t="n">
        <v>2976</v>
      </c>
      <c r="B2977" s="63" t="n">
        <v>46296.7766087963</v>
      </c>
      <c r="C2977" s="64" t="n">
        <v>46296</v>
      </c>
      <c r="D2977" s="62" t="s">
        <v>202</v>
      </c>
      <c r="E2977" s="62" t="s">
        <v>3874</v>
      </c>
      <c r="F2977" s="62" t="s">
        <v>3874</v>
      </c>
      <c r="G2977" s="62" t="s">
        <v>3875</v>
      </c>
      <c r="H2977" s="62" t="s">
        <v>59</v>
      </c>
      <c r="I2977" s="62" t="s">
        <v>47</v>
      </c>
      <c r="J2977" s="62" t="s">
        <v>146</v>
      </c>
      <c r="K2977" s="62" t="s">
        <v>209</v>
      </c>
      <c r="L2977" s="62" t="s">
        <v>148</v>
      </c>
      <c r="M2977" s="62" t="n">
        <v>0</v>
      </c>
      <c r="N2977" s="62" t="n">
        <v>2</v>
      </c>
      <c r="O2977" s="62" t="n">
        <v>2</v>
      </c>
      <c r="P2977" s="62" t="n">
        <v>0</v>
      </c>
      <c r="Q2977" s="62" t="n">
        <v>0</v>
      </c>
      <c r="R2977" s="62" t="n">
        <v>0</v>
      </c>
      <c r="S2977" s="62" t="n">
        <v>1</v>
      </c>
      <c r="T2977" s="62" t="n">
        <v>1</v>
      </c>
      <c r="U2977" s="62"/>
      <c r="V2977" s="62"/>
      <c r="W2977" s="62"/>
      <c r="X2977" s="62"/>
      <c r="Y2977" s="62"/>
      <c r="Z2977" s="62" t="s">
        <v>5431</v>
      </c>
      <c r="AA2977" s="62" t="s">
        <v>5432</v>
      </c>
      <c r="AB2977" s="62" t="n">
        <v>1</v>
      </c>
      <c r="AC2977" s="62" t="n">
        <v>0</v>
      </c>
      <c r="AD2977" s="62" t="n">
        <v>1</v>
      </c>
      <c r="AE2977" s="62" t="n">
        <f aca="false">IF(AND(Dashboard!$C$9="Yes",AC2977=1),0,1)</f>
        <v>1</v>
      </c>
      <c r="AF2977" s="62" t="n">
        <v>1</v>
      </c>
    </row>
    <row r="2978" customFormat="false" ht="15" hidden="false" customHeight="false" outlineLevel="0" collapsed="false">
      <c r="A2978" s="62" t="n">
        <v>2977</v>
      </c>
      <c r="B2978" s="63" t="n">
        <v>46296.7774305556</v>
      </c>
      <c r="C2978" s="64" t="n">
        <v>46296</v>
      </c>
      <c r="D2978" s="62" t="s">
        <v>202</v>
      </c>
      <c r="E2978" s="62" t="s">
        <v>3874</v>
      </c>
      <c r="F2978" s="62" t="s">
        <v>3874</v>
      </c>
      <c r="G2978" s="62" t="s">
        <v>3875</v>
      </c>
      <c r="H2978" s="62" t="s">
        <v>59</v>
      </c>
      <c r="I2978" s="62" t="s">
        <v>47</v>
      </c>
      <c r="J2978" s="62" t="s">
        <v>146</v>
      </c>
      <c r="K2978" s="62" t="s">
        <v>209</v>
      </c>
      <c r="L2978" s="62" t="s">
        <v>4</v>
      </c>
      <c r="M2978" s="62" t="n">
        <v>1</v>
      </c>
      <c r="N2978" s="62" t="n">
        <v>0</v>
      </c>
      <c r="O2978" s="62" t="n">
        <v>1</v>
      </c>
      <c r="P2978" s="62" t="n">
        <v>0</v>
      </c>
      <c r="Q2978" s="62" t="n">
        <v>0</v>
      </c>
      <c r="R2978" s="62" t="n">
        <v>0</v>
      </c>
      <c r="S2978" s="62" t="n">
        <v>0</v>
      </c>
      <c r="T2978" s="62" t="n">
        <v>0</v>
      </c>
      <c r="U2978" s="62" t="s">
        <v>15</v>
      </c>
      <c r="V2978" s="62" t="s">
        <v>2057</v>
      </c>
      <c r="W2978" s="62" t="s">
        <v>2056</v>
      </c>
      <c r="X2978" s="62" t="s">
        <v>2058</v>
      </c>
      <c r="Y2978" s="62" t="s">
        <v>2059</v>
      </c>
      <c r="Z2978" s="62" t="s">
        <v>5431</v>
      </c>
      <c r="AA2978" s="62" t="s">
        <v>5432</v>
      </c>
      <c r="AB2978" s="62" t="n">
        <v>1</v>
      </c>
      <c r="AC2978" s="62" t="n">
        <v>0</v>
      </c>
      <c r="AD2978" s="62" t="n">
        <v>1</v>
      </c>
      <c r="AE2978" s="62" t="n">
        <f aca="false">IF(AND(Dashboard!$C$9="Yes",AC2978=1),0,1)</f>
        <v>1</v>
      </c>
      <c r="AF2978" s="62" t="n">
        <v>0</v>
      </c>
    </row>
    <row r="2979" customFormat="false" ht="15" hidden="false" customHeight="false" outlineLevel="0" collapsed="false">
      <c r="A2979" s="62" t="n">
        <v>2978</v>
      </c>
      <c r="B2979" s="63" t="n">
        <v>46296.7875694444</v>
      </c>
      <c r="C2979" s="64" t="n">
        <v>46296</v>
      </c>
      <c r="D2979" s="62" t="s">
        <v>202</v>
      </c>
      <c r="E2979" s="62" t="s">
        <v>4524</v>
      </c>
      <c r="F2979" s="62" t="s">
        <v>4524</v>
      </c>
      <c r="G2979" s="62" t="s">
        <v>4525</v>
      </c>
      <c r="H2979" s="62" t="s">
        <v>44</v>
      </c>
      <c r="I2979" s="62" t="s">
        <v>49</v>
      </c>
      <c r="J2979" s="62" t="s">
        <v>146</v>
      </c>
      <c r="K2979" s="62" t="s">
        <v>147</v>
      </c>
      <c r="L2979" s="62" t="s">
        <v>148</v>
      </c>
      <c r="M2979" s="62" t="n">
        <v>0</v>
      </c>
      <c r="N2979" s="62" t="n">
        <v>1</v>
      </c>
      <c r="O2979" s="62" t="n">
        <v>1</v>
      </c>
      <c r="P2979" s="62" t="n">
        <v>1</v>
      </c>
      <c r="Q2979" s="62" t="n">
        <v>0</v>
      </c>
      <c r="R2979" s="62" t="n">
        <v>0</v>
      </c>
      <c r="S2979" s="62" t="n">
        <v>0</v>
      </c>
      <c r="T2979" s="62" t="n">
        <v>0</v>
      </c>
      <c r="U2979" s="62"/>
      <c r="V2979" s="62"/>
      <c r="W2979" s="62"/>
      <c r="X2979" s="62"/>
      <c r="Y2979" s="62"/>
      <c r="Z2979" s="62" t="s">
        <v>5433</v>
      </c>
      <c r="AA2979" s="62" t="s">
        <v>5434</v>
      </c>
      <c r="AB2979" s="62" t="n">
        <v>1</v>
      </c>
      <c r="AC2979" s="62" t="n">
        <v>0</v>
      </c>
      <c r="AD2979" s="62" t="n">
        <v>1</v>
      </c>
      <c r="AE2979" s="62" t="n">
        <f aca="false">IF(AND(Dashboard!$C$9="Yes",AC2979=1),0,1)</f>
        <v>1</v>
      </c>
      <c r="AF2979" s="62" t="n">
        <v>1</v>
      </c>
    </row>
    <row r="2980" customFormat="false" ht="15" hidden="false" customHeight="false" outlineLevel="0" collapsed="false">
      <c r="A2980" s="62" t="n">
        <v>2979</v>
      </c>
      <c r="B2980" s="63" t="n">
        <v>46296.7993981482</v>
      </c>
      <c r="C2980" s="64" t="n">
        <v>46296</v>
      </c>
      <c r="D2980" s="62" t="s">
        <v>202</v>
      </c>
      <c r="E2980" s="62" t="s">
        <v>173</v>
      </c>
      <c r="F2980" s="62" t="s">
        <v>173</v>
      </c>
      <c r="G2980" s="62" t="s">
        <v>174</v>
      </c>
      <c r="H2980" s="62" t="s">
        <v>58</v>
      </c>
      <c r="I2980" s="62" t="s">
        <v>49</v>
      </c>
      <c r="J2980" s="62" t="s">
        <v>146</v>
      </c>
      <c r="K2980" s="62" t="s">
        <v>175</v>
      </c>
      <c r="L2980" s="62" t="s">
        <v>148</v>
      </c>
      <c r="M2980" s="62" t="n">
        <v>0</v>
      </c>
      <c r="N2980" s="62" t="n">
        <v>1</v>
      </c>
      <c r="O2980" s="62" t="n">
        <v>1</v>
      </c>
      <c r="P2980" s="62" t="n">
        <v>1</v>
      </c>
      <c r="Q2980" s="62" t="n">
        <v>0</v>
      </c>
      <c r="R2980" s="62" t="n">
        <v>0</v>
      </c>
      <c r="S2980" s="62" t="n">
        <v>0</v>
      </c>
      <c r="T2980" s="62" t="n">
        <v>0</v>
      </c>
      <c r="U2980" s="62"/>
      <c r="V2980" s="62"/>
      <c r="W2980" s="62"/>
      <c r="X2980" s="62"/>
      <c r="Y2980" s="62"/>
      <c r="Z2980" s="62" t="s">
        <v>5435</v>
      </c>
      <c r="AA2980" s="62" t="s">
        <v>5436</v>
      </c>
      <c r="AB2980" s="62" t="n">
        <v>1</v>
      </c>
      <c r="AC2980" s="62" t="n">
        <v>0</v>
      </c>
      <c r="AD2980" s="62" t="n">
        <v>1</v>
      </c>
      <c r="AE2980" s="62" t="n">
        <f aca="false">IF(AND(Dashboard!$C$9="Yes",AC2980=1),0,1)</f>
        <v>1</v>
      </c>
      <c r="AF2980" s="62" t="n">
        <v>1</v>
      </c>
    </row>
    <row r="2981" customFormat="false" ht="15" hidden="false" customHeight="false" outlineLevel="0" collapsed="false">
      <c r="A2981" s="62" t="n">
        <v>2980</v>
      </c>
      <c r="B2981" s="63" t="n">
        <v>46296.8034606482</v>
      </c>
      <c r="C2981" s="64" t="n">
        <v>46296</v>
      </c>
      <c r="D2981" s="62" t="s">
        <v>202</v>
      </c>
      <c r="E2981" s="62" t="s">
        <v>3181</v>
      </c>
      <c r="F2981" s="62" t="s">
        <v>3181</v>
      </c>
      <c r="G2981" s="62" t="s">
        <v>3182</v>
      </c>
      <c r="H2981" s="62" t="s">
        <v>58</v>
      </c>
      <c r="I2981" s="62" t="s">
        <v>49</v>
      </c>
      <c r="J2981" s="62" t="s">
        <v>146</v>
      </c>
      <c r="K2981" s="62" t="s">
        <v>209</v>
      </c>
      <c r="L2981" s="62" t="s">
        <v>148</v>
      </c>
      <c r="M2981" s="62" t="n">
        <v>0</v>
      </c>
      <c r="N2981" s="62" t="n">
        <v>1</v>
      </c>
      <c r="O2981" s="62" t="n">
        <v>1</v>
      </c>
      <c r="P2981" s="62" t="n">
        <v>0</v>
      </c>
      <c r="Q2981" s="62" t="n">
        <v>1</v>
      </c>
      <c r="R2981" s="62" t="n">
        <v>0</v>
      </c>
      <c r="S2981" s="62" t="n">
        <v>0</v>
      </c>
      <c r="T2981" s="62" t="n">
        <v>0</v>
      </c>
      <c r="U2981" s="62"/>
      <c r="V2981" s="62"/>
      <c r="W2981" s="62"/>
      <c r="X2981" s="62"/>
      <c r="Y2981" s="62"/>
      <c r="Z2981" s="62" t="s">
        <v>5437</v>
      </c>
      <c r="AA2981" s="62" t="s">
        <v>492</v>
      </c>
      <c r="AB2981" s="62" t="n">
        <v>0</v>
      </c>
      <c r="AC2981" s="62" t="n">
        <v>0</v>
      </c>
      <c r="AD2981" s="62" t="n">
        <v>1</v>
      </c>
      <c r="AE2981" s="62" t="n">
        <f aca="false">IF(AND(Dashboard!$C$9="Yes",AC2981=1),0,1)</f>
        <v>1</v>
      </c>
      <c r="AF2981" s="62" t="n">
        <v>0</v>
      </c>
    </row>
    <row r="2982" customFormat="false" ht="15" hidden="false" customHeight="false" outlineLevel="0" collapsed="false">
      <c r="A2982" s="62" t="n">
        <v>2981</v>
      </c>
      <c r="B2982" s="63" t="n">
        <v>46296.8062268519</v>
      </c>
      <c r="C2982" s="64" t="n">
        <v>46296</v>
      </c>
      <c r="D2982" s="62" t="s">
        <v>202</v>
      </c>
      <c r="E2982" s="62" t="s">
        <v>4506</v>
      </c>
      <c r="F2982" s="62" t="s">
        <v>4506</v>
      </c>
      <c r="G2982" s="62" t="s">
        <v>4507</v>
      </c>
      <c r="H2982" s="62" t="s">
        <v>44</v>
      </c>
      <c r="I2982" s="62" t="s">
        <v>49</v>
      </c>
      <c r="J2982" s="62" t="s">
        <v>146</v>
      </c>
      <c r="K2982" s="62" t="s">
        <v>147</v>
      </c>
      <c r="L2982" s="62" t="s">
        <v>4</v>
      </c>
      <c r="M2982" s="62" t="n">
        <v>1</v>
      </c>
      <c r="N2982" s="62" t="n">
        <v>0</v>
      </c>
      <c r="O2982" s="62" t="n">
        <v>1</v>
      </c>
      <c r="P2982" s="62" t="n">
        <v>0</v>
      </c>
      <c r="Q2982" s="62" t="n">
        <v>0</v>
      </c>
      <c r="R2982" s="62" t="n">
        <v>0</v>
      </c>
      <c r="S2982" s="62" t="n">
        <v>0</v>
      </c>
      <c r="T2982" s="62" t="n">
        <v>0</v>
      </c>
      <c r="U2982" s="62" t="s">
        <v>15</v>
      </c>
      <c r="V2982" s="62" t="s">
        <v>2057</v>
      </c>
      <c r="W2982" s="62" t="s">
        <v>15</v>
      </c>
      <c r="X2982" s="62"/>
      <c r="Y2982" s="62" t="s">
        <v>2181</v>
      </c>
      <c r="Z2982" s="62" t="s">
        <v>5438</v>
      </c>
      <c r="AA2982" s="62" t="s">
        <v>5439</v>
      </c>
      <c r="AB2982" s="62" t="n">
        <v>1</v>
      </c>
      <c r="AC2982" s="62" t="n">
        <v>0</v>
      </c>
      <c r="AD2982" s="62" t="n">
        <v>1</v>
      </c>
      <c r="AE2982" s="62" t="n">
        <f aca="false">IF(AND(Dashboard!$C$9="Yes",AC2982=1),0,1)</f>
        <v>1</v>
      </c>
      <c r="AF2982" s="62" t="n">
        <v>1</v>
      </c>
    </row>
    <row r="2983" customFormat="false" ht="15" hidden="false" customHeight="false" outlineLevel="0" collapsed="false">
      <c r="A2983" s="62" t="n">
        <v>2982</v>
      </c>
      <c r="B2983" s="63" t="n">
        <v>46296.815162037</v>
      </c>
      <c r="C2983" s="64" t="n">
        <v>46296</v>
      </c>
      <c r="D2983" s="62" t="s">
        <v>202</v>
      </c>
      <c r="E2983" s="62" t="s">
        <v>4238</v>
      </c>
      <c r="F2983" s="62" t="s">
        <v>4238</v>
      </c>
      <c r="G2983" s="62" t="s">
        <v>4239</v>
      </c>
      <c r="H2983" s="62" t="s">
        <v>44</v>
      </c>
      <c r="I2983" s="62" t="s">
        <v>49</v>
      </c>
      <c r="J2983" s="62" t="s">
        <v>146</v>
      </c>
      <c r="K2983" s="62" t="s">
        <v>147</v>
      </c>
      <c r="L2983" s="62" t="s">
        <v>4</v>
      </c>
      <c r="M2983" s="62" t="n">
        <v>1</v>
      </c>
      <c r="N2983" s="62" t="n">
        <v>0</v>
      </c>
      <c r="O2983" s="62" t="n">
        <v>1</v>
      </c>
      <c r="P2983" s="62" t="n">
        <v>0</v>
      </c>
      <c r="Q2983" s="62" t="n">
        <v>0</v>
      </c>
      <c r="R2983" s="62" t="n">
        <v>0</v>
      </c>
      <c r="S2983" s="62" t="n">
        <v>0</v>
      </c>
      <c r="T2983" s="62" t="n">
        <v>0</v>
      </c>
      <c r="U2983" s="62" t="s">
        <v>2056</v>
      </c>
      <c r="V2983" s="62" t="s">
        <v>2057</v>
      </c>
      <c r="W2983" s="62" t="s">
        <v>15</v>
      </c>
      <c r="X2983" s="62" t="s">
        <v>2058</v>
      </c>
      <c r="Y2983" s="62" t="s">
        <v>2059</v>
      </c>
      <c r="Z2983" s="62" t="s">
        <v>5440</v>
      </c>
      <c r="AA2983" s="62" t="s">
        <v>5441</v>
      </c>
      <c r="AB2983" s="62" t="n">
        <v>1</v>
      </c>
      <c r="AC2983" s="62" t="n">
        <v>0</v>
      </c>
      <c r="AD2983" s="62" t="n">
        <v>1</v>
      </c>
      <c r="AE2983" s="62" t="n">
        <f aca="false">IF(AND(Dashboard!$C$9="Yes",AC2983=1),0,1)</f>
        <v>1</v>
      </c>
      <c r="AF2983" s="62" t="n">
        <v>1</v>
      </c>
    </row>
    <row r="2984" customFormat="false" ht="15" hidden="false" customHeight="false" outlineLevel="0" collapsed="false">
      <c r="A2984" s="62" t="n">
        <v>2983</v>
      </c>
      <c r="B2984" s="63" t="n">
        <v>46296.8294907407</v>
      </c>
      <c r="C2984" s="64" t="n">
        <v>46296</v>
      </c>
      <c r="D2984" s="62" t="s">
        <v>202</v>
      </c>
      <c r="E2984" s="62" t="s">
        <v>4386</v>
      </c>
      <c r="F2984" s="62" t="s">
        <v>4386</v>
      </c>
      <c r="G2984" s="62" t="s">
        <v>4387</v>
      </c>
      <c r="H2984" s="62" t="s">
        <v>44</v>
      </c>
      <c r="I2984" s="62" t="s">
        <v>49</v>
      </c>
      <c r="J2984" s="62" t="s">
        <v>146</v>
      </c>
      <c r="K2984" s="62" t="s">
        <v>147</v>
      </c>
      <c r="L2984" s="62" t="s">
        <v>4</v>
      </c>
      <c r="M2984" s="62" t="n">
        <v>1</v>
      </c>
      <c r="N2984" s="62" t="n">
        <v>0</v>
      </c>
      <c r="O2984" s="62" t="n">
        <v>1</v>
      </c>
      <c r="P2984" s="62" t="n">
        <v>0</v>
      </c>
      <c r="Q2984" s="62" t="n">
        <v>0</v>
      </c>
      <c r="R2984" s="62" t="n">
        <v>0</v>
      </c>
      <c r="S2984" s="62" t="n">
        <v>0</v>
      </c>
      <c r="T2984" s="62" t="n">
        <v>0</v>
      </c>
      <c r="U2984" s="62" t="s">
        <v>2056</v>
      </c>
      <c r="V2984" s="62" t="s">
        <v>2057</v>
      </c>
      <c r="W2984" s="62" t="s">
        <v>15</v>
      </c>
      <c r="X2984" s="62" t="s">
        <v>2058</v>
      </c>
      <c r="Y2984" s="62" t="s">
        <v>2059</v>
      </c>
      <c r="Z2984" s="62" t="s">
        <v>5442</v>
      </c>
      <c r="AA2984" s="62" t="s">
        <v>5443</v>
      </c>
      <c r="AB2984" s="62" t="n">
        <v>1</v>
      </c>
      <c r="AC2984" s="62" t="n">
        <v>0</v>
      </c>
      <c r="AD2984" s="62" t="n">
        <v>1</v>
      </c>
      <c r="AE2984" s="62" t="n">
        <f aca="false">IF(AND(Dashboard!$C$9="Yes",AC2984=1),0,1)</f>
        <v>1</v>
      </c>
      <c r="AF2984" s="62" t="n">
        <v>1</v>
      </c>
    </row>
    <row r="2985" customFormat="false" ht="15" hidden="false" customHeight="false" outlineLevel="0" collapsed="false">
      <c r="A2985" s="62" t="n">
        <v>2984</v>
      </c>
      <c r="B2985" s="63" t="n">
        <v>46296.8495486111</v>
      </c>
      <c r="C2985" s="64" t="n">
        <v>46296</v>
      </c>
      <c r="D2985" s="62" t="s">
        <v>202</v>
      </c>
      <c r="E2985" s="62" t="s">
        <v>3018</v>
      </c>
      <c r="F2985" s="62" t="s">
        <v>3018</v>
      </c>
      <c r="G2985" s="62" t="s">
        <v>3019</v>
      </c>
      <c r="H2985" s="62" t="s">
        <v>58</v>
      </c>
      <c r="I2985" s="62" t="s">
        <v>49</v>
      </c>
      <c r="J2985" s="62" t="s">
        <v>146</v>
      </c>
      <c r="K2985" s="62" t="s">
        <v>175</v>
      </c>
      <c r="L2985" s="62" t="s">
        <v>4</v>
      </c>
      <c r="M2985" s="62" t="n">
        <v>1</v>
      </c>
      <c r="N2985" s="62" t="n">
        <v>0</v>
      </c>
      <c r="O2985" s="62" t="n">
        <v>1</v>
      </c>
      <c r="P2985" s="62" t="n">
        <v>0</v>
      </c>
      <c r="Q2985" s="62" t="n">
        <v>0</v>
      </c>
      <c r="R2985" s="62" t="n">
        <v>0</v>
      </c>
      <c r="S2985" s="62" t="n">
        <v>0</v>
      </c>
      <c r="T2985" s="62" t="n">
        <v>0</v>
      </c>
      <c r="U2985" s="62" t="s">
        <v>2056</v>
      </c>
      <c r="V2985" s="62" t="s">
        <v>2057</v>
      </c>
      <c r="W2985" s="62" t="s">
        <v>2056</v>
      </c>
      <c r="X2985" s="62" t="s">
        <v>2164</v>
      </c>
      <c r="Y2985" s="62" t="s">
        <v>2165</v>
      </c>
      <c r="Z2985" s="62" t="s">
        <v>5444</v>
      </c>
      <c r="AA2985" s="62" t="s">
        <v>5445</v>
      </c>
      <c r="AB2985" s="62" t="n">
        <v>1</v>
      </c>
      <c r="AC2985" s="62" t="n">
        <v>0</v>
      </c>
      <c r="AD2985" s="62" t="n">
        <v>1</v>
      </c>
      <c r="AE2985" s="62" t="n">
        <f aca="false">IF(AND(Dashboard!$C$9="Yes",AC2985=1),0,1)</f>
        <v>1</v>
      </c>
      <c r="AF2985" s="62" t="n">
        <v>0</v>
      </c>
    </row>
    <row r="2986" customFormat="false" ht="15" hidden="false" customHeight="false" outlineLevel="0" collapsed="false">
      <c r="A2986" s="62" t="n">
        <v>2985</v>
      </c>
      <c r="B2986" s="63" t="n">
        <v>46296.8919560185</v>
      </c>
      <c r="C2986" s="64" t="n">
        <v>46296</v>
      </c>
      <c r="D2986" s="62" t="s">
        <v>202</v>
      </c>
      <c r="E2986" s="62" t="s">
        <v>173</v>
      </c>
      <c r="F2986" s="62" t="s">
        <v>173</v>
      </c>
      <c r="G2986" s="62" t="s">
        <v>174</v>
      </c>
      <c r="H2986" s="62" t="s">
        <v>58</v>
      </c>
      <c r="I2986" s="62" t="s">
        <v>49</v>
      </c>
      <c r="J2986" s="62" t="s">
        <v>146</v>
      </c>
      <c r="K2986" s="62" t="s">
        <v>175</v>
      </c>
      <c r="L2986" s="62" t="s">
        <v>4</v>
      </c>
      <c r="M2986" s="62" t="n">
        <v>1</v>
      </c>
      <c r="N2986" s="62" t="n">
        <v>0</v>
      </c>
      <c r="O2986" s="62" t="n">
        <v>1</v>
      </c>
      <c r="P2986" s="62" t="n">
        <v>0</v>
      </c>
      <c r="Q2986" s="62" t="n">
        <v>0</v>
      </c>
      <c r="R2986" s="62" t="n">
        <v>0</v>
      </c>
      <c r="S2986" s="62" t="n">
        <v>0</v>
      </c>
      <c r="T2986" s="62" t="n">
        <v>0</v>
      </c>
      <c r="U2986" s="62" t="s">
        <v>2056</v>
      </c>
      <c r="V2986" s="62" t="s">
        <v>2068</v>
      </c>
      <c r="W2986" s="62"/>
      <c r="X2986" s="62" t="s">
        <v>2125</v>
      </c>
      <c r="Y2986" s="62" t="s">
        <v>2059</v>
      </c>
      <c r="Z2986" s="62" t="s">
        <v>5446</v>
      </c>
      <c r="AA2986" s="62" t="s">
        <v>5447</v>
      </c>
      <c r="AB2986" s="62" t="n">
        <v>1</v>
      </c>
      <c r="AC2986" s="62" t="n">
        <v>0</v>
      </c>
      <c r="AD2986" s="62" t="n">
        <v>1</v>
      </c>
      <c r="AE2986" s="62" t="n">
        <f aca="false">IF(AND(Dashboard!$C$9="Yes",AC2986=1),0,1)</f>
        <v>1</v>
      </c>
      <c r="AF2986" s="62" t="n">
        <v>0</v>
      </c>
    </row>
    <row r="2987" customFormat="false" ht="15" hidden="false" customHeight="false" outlineLevel="0" collapsed="false">
      <c r="A2987" s="62" t="n">
        <v>2986</v>
      </c>
      <c r="B2987" s="63" t="n">
        <v>46296.8991319445</v>
      </c>
      <c r="C2987" s="64" t="n">
        <v>46296</v>
      </c>
      <c r="D2987" s="62" t="s">
        <v>202</v>
      </c>
      <c r="E2987" s="62" t="s">
        <v>3181</v>
      </c>
      <c r="F2987" s="62" t="s">
        <v>3181</v>
      </c>
      <c r="G2987" s="62" t="s">
        <v>3182</v>
      </c>
      <c r="H2987" s="62" t="s">
        <v>58</v>
      </c>
      <c r="I2987" s="62" t="s">
        <v>49</v>
      </c>
      <c r="J2987" s="62" t="s">
        <v>146</v>
      </c>
      <c r="K2987" s="62" t="s">
        <v>209</v>
      </c>
      <c r="L2987" s="62" t="s">
        <v>148</v>
      </c>
      <c r="M2987" s="62" t="n">
        <v>0</v>
      </c>
      <c r="N2987" s="62" t="n">
        <v>2</v>
      </c>
      <c r="O2987" s="62" t="n">
        <v>2</v>
      </c>
      <c r="P2987" s="62" t="n">
        <v>1</v>
      </c>
      <c r="Q2987" s="62" t="n">
        <v>1</v>
      </c>
      <c r="R2987" s="62" t="n">
        <v>0</v>
      </c>
      <c r="S2987" s="62" t="n">
        <v>0</v>
      </c>
      <c r="T2987" s="62" t="n">
        <v>0</v>
      </c>
      <c r="U2987" s="62"/>
      <c r="V2987" s="62"/>
      <c r="W2987" s="62"/>
      <c r="X2987" s="62"/>
      <c r="Y2987" s="62"/>
      <c r="Z2987" s="62" t="s">
        <v>5448</v>
      </c>
      <c r="AA2987" s="62" t="s">
        <v>492</v>
      </c>
      <c r="AB2987" s="62" t="n">
        <v>0</v>
      </c>
      <c r="AC2987" s="62" t="n">
        <v>0</v>
      </c>
      <c r="AD2987" s="62" t="n">
        <v>1</v>
      </c>
      <c r="AE2987" s="62" t="n">
        <f aca="false">IF(AND(Dashboard!$C$9="Yes",AC2987=1),0,1)</f>
        <v>1</v>
      </c>
      <c r="AF2987" s="62" t="n">
        <v>0</v>
      </c>
    </row>
    <row r="2988" customFormat="false" ht="15" hidden="false" customHeight="false" outlineLevel="0" collapsed="false">
      <c r="A2988" s="62" t="n">
        <v>2987</v>
      </c>
      <c r="B2988" s="63" t="n">
        <v>46296.9229976852</v>
      </c>
      <c r="C2988" s="64" t="n">
        <v>46296</v>
      </c>
      <c r="D2988" s="62" t="s">
        <v>202</v>
      </c>
      <c r="E2988" s="62" t="s">
        <v>3022</v>
      </c>
      <c r="F2988" s="62" t="s">
        <v>3022</v>
      </c>
      <c r="G2988" s="62" t="s">
        <v>3023</v>
      </c>
      <c r="H2988" s="62" t="s">
        <v>46</v>
      </c>
      <c r="I2988" s="62" t="s">
        <v>47</v>
      </c>
      <c r="J2988" s="62" t="s">
        <v>146</v>
      </c>
      <c r="K2988" s="62" t="s">
        <v>209</v>
      </c>
      <c r="L2988" s="62" t="s">
        <v>148</v>
      </c>
      <c r="M2988" s="62" t="n">
        <v>0</v>
      </c>
      <c r="N2988" s="62" t="n">
        <v>1</v>
      </c>
      <c r="O2988" s="62" t="n">
        <v>1</v>
      </c>
      <c r="P2988" s="62" t="n">
        <v>0</v>
      </c>
      <c r="Q2988" s="62" t="n">
        <v>0</v>
      </c>
      <c r="R2988" s="62" t="n">
        <v>0</v>
      </c>
      <c r="S2988" s="62" t="n">
        <v>0</v>
      </c>
      <c r="T2988" s="62" t="n">
        <v>1</v>
      </c>
      <c r="U2988" s="62"/>
      <c r="V2988" s="62"/>
      <c r="W2988" s="62"/>
      <c r="X2988" s="62"/>
      <c r="Y2988" s="62"/>
      <c r="Z2988" s="62" t="s">
        <v>5449</v>
      </c>
      <c r="AA2988" s="62" t="s">
        <v>337</v>
      </c>
      <c r="AB2988" s="62" t="n">
        <v>0</v>
      </c>
      <c r="AC2988" s="62" t="n">
        <v>0</v>
      </c>
      <c r="AD2988" s="62" t="n">
        <v>1</v>
      </c>
      <c r="AE2988" s="62" t="n">
        <f aca="false">IF(AND(Dashboard!$C$9="Yes",AC2988=1),0,1)</f>
        <v>1</v>
      </c>
      <c r="AF2988" s="62" t="n">
        <v>1</v>
      </c>
    </row>
    <row r="2989" customFormat="false" ht="15" hidden="false" customHeight="false" outlineLevel="0" collapsed="false">
      <c r="A2989" s="62" t="n">
        <v>2988</v>
      </c>
      <c r="B2989" s="63" t="n">
        <v>46296.9234143519</v>
      </c>
      <c r="C2989" s="64" t="n">
        <v>46296</v>
      </c>
      <c r="D2989" s="62" t="s">
        <v>202</v>
      </c>
      <c r="E2989" s="62" t="s">
        <v>1732</v>
      </c>
      <c r="F2989" s="62" t="s">
        <v>1732</v>
      </c>
      <c r="G2989" s="62" t="s">
        <v>1733</v>
      </c>
      <c r="H2989" s="62" t="s">
        <v>58</v>
      </c>
      <c r="I2989" s="62" t="s">
        <v>49</v>
      </c>
      <c r="J2989" s="62" t="s">
        <v>146</v>
      </c>
      <c r="K2989" s="62" t="s">
        <v>209</v>
      </c>
      <c r="L2989" s="62" t="s">
        <v>148</v>
      </c>
      <c r="M2989" s="62" t="n">
        <v>0</v>
      </c>
      <c r="N2989" s="62" t="n">
        <v>1</v>
      </c>
      <c r="O2989" s="62" t="n">
        <v>1</v>
      </c>
      <c r="P2989" s="62" t="n">
        <v>0</v>
      </c>
      <c r="Q2989" s="62" t="n">
        <v>1</v>
      </c>
      <c r="R2989" s="62" t="n">
        <v>0</v>
      </c>
      <c r="S2989" s="62" t="n">
        <v>0</v>
      </c>
      <c r="T2989" s="62" t="n">
        <v>0</v>
      </c>
      <c r="U2989" s="62"/>
      <c r="V2989" s="62"/>
      <c r="W2989" s="62"/>
      <c r="X2989" s="62"/>
      <c r="Y2989" s="62"/>
      <c r="Z2989" s="62" t="s">
        <v>5450</v>
      </c>
      <c r="AA2989" s="62" t="s">
        <v>5451</v>
      </c>
      <c r="AB2989" s="62" t="n">
        <v>1</v>
      </c>
      <c r="AC2989" s="62" t="n">
        <v>0</v>
      </c>
      <c r="AD2989" s="62" t="n">
        <v>1</v>
      </c>
      <c r="AE2989" s="62" t="n">
        <f aca="false">IF(AND(Dashboard!$C$9="Yes",AC2989=1),0,1)</f>
        <v>1</v>
      </c>
      <c r="AF2989" s="62" t="n">
        <v>1</v>
      </c>
    </row>
    <row r="2990" customFormat="false" ht="15" hidden="false" customHeight="false" outlineLevel="0" collapsed="false">
      <c r="A2990" s="62" t="n">
        <v>2989</v>
      </c>
      <c r="B2990" s="63" t="n">
        <v>46296.9258564815</v>
      </c>
      <c r="C2990" s="64" t="n">
        <v>46296</v>
      </c>
      <c r="D2990" s="62" t="s">
        <v>202</v>
      </c>
      <c r="E2990" s="62" t="s">
        <v>4242</v>
      </c>
      <c r="F2990" s="62" t="s">
        <v>4242</v>
      </c>
      <c r="G2990" s="62" t="s">
        <v>4243</v>
      </c>
      <c r="H2990" s="62" t="s">
        <v>44</v>
      </c>
      <c r="I2990" s="62" t="s">
        <v>49</v>
      </c>
      <c r="J2990" s="62" t="s">
        <v>146</v>
      </c>
      <c r="K2990" s="62" t="s">
        <v>147</v>
      </c>
      <c r="L2990" s="62" t="s">
        <v>148</v>
      </c>
      <c r="M2990" s="62" t="n">
        <v>0</v>
      </c>
      <c r="N2990" s="62" t="n">
        <v>1</v>
      </c>
      <c r="O2990" s="62" t="n">
        <v>1</v>
      </c>
      <c r="P2990" s="62" t="n">
        <v>1</v>
      </c>
      <c r="Q2990" s="62" t="n">
        <v>0</v>
      </c>
      <c r="R2990" s="62" t="n">
        <v>0</v>
      </c>
      <c r="S2990" s="62" t="n">
        <v>0</v>
      </c>
      <c r="T2990" s="62" t="n">
        <v>0</v>
      </c>
      <c r="U2990" s="62"/>
      <c r="V2990" s="62"/>
      <c r="W2990" s="62"/>
      <c r="X2990" s="62"/>
      <c r="Y2990" s="62"/>
      <c r="Z2990" s="62" t="s">
        <v>5452</v>
      </c>
      <c r="AA2990" s="62" t="s">
        <v>5453</v>
      </c>
      <c r="AB2990" s="62" t="n">
        <v>1</v>
      </c>
      <c r="AC2990" s="62" t="n">
        <v>0</v>
      </c>
      <c r="AD2990" s="62" t="n">
        <v>1</v>
      </c>
      <c r="AE2990" s="62" t="n">
        <f aca="false">IF(AND(Dashboard!$C$9="Yes",AC2990=1),0,1)</f>
        <v>1</v>
      </c>
      <c r="AF2990" s="62" t="n">
        <v>0</v>
      </c>
    </row>
    <row r="2991" customFormat="false" ht="15" hidden="false" customHeight="false" outlineLevel="0" collapsed="false">
      <c r="A2991" s="62" t="n">
        <v>2990</v>
      </c>
      <c r="B2991" s="63" t="n">
        <v>46296.9406944444</v>
      </c>
      <c r="C2991" s="64" t="n">
        <v>46296</v>
      </c>
      <c r="D2991" s="62" t="s">
        <v>202</v>
      </c>
      <c r="E2991" s="62" t="s">
        <v>144</v>
      </c>
      <c r="F2991" s="62" t="s">
        <v>144</v>
      </c>
      <c r="G2991" s="62" t="s">
        <v>145</v>
      </c>
      <c r="H2991" s="62" t="s">
        <v>59</v>
      </c>
      <c r="I2991" s="62" t="s">
        <v>47</v>
      </c>
      <c r="J2991" s="62" t="s">
        <v>146</v>
      </c>
      <c r="K2991" s="62" t="s">
        <v>147</v>
      </c>
      <c r="L2991" s="62" t="s">
        <v>148</v>
      </c>
      <c r="M2991" s="62" t="n">
        <v>0</v>
      </c>
      <c r="N2991" s="62" t="n">
        <v>1</v>
      </c>
      <c r="O2991" s="62" t="n">
        <v>1</v>
      </c>
      <c r="P2991" s="62" t="n">
        <v>1</v>
      </c>
      <c r="Q2991" s="62" t="n">
        <v>0</v>
      </c>
      <c r="R2991" s="62" t="n">
        <v>0</v>
      </c>
      <c r="S2991" s="62" t="n">
        <v>0</v>
      </c>
      <c r="T2991" s="62" t="n">
        <v>0</v>
      </c>
      <c r="U2991" s="62"/>
      <c r="V2991" s="62"/>
      <c r="W2991" s="62"/>
      <c r="X2991" s="62"/>
      <c r="Y2991" s="62"/>
      <c r="Z2991" s="62" t="s">
        <v>5454</v>
      </c>
      <c r="AA2991" s="62" t="s">
        <v>5455</v>
      </c>
      <c r="AB2991" s="62" t="n">
        <v>1</v>
      </c>
      <c r="AC2991" s="62" t="n">
        <v>0</v>
      </c>
      <c r="AD2991" s="62" t="n">
        <v>1</v>
      </c>
      <c r="AE2991" s="62" t="n">
        <f aca="false">IF(AND(Dashboard!$C$9="Yes",AC2991=1),0,1)</f>
        <v>1</v>
      </c>
      <c r="AF2991" s="62" t="n">
        <v>1</v>
      </c>
    </row>
    <row r="2992" customFormat="false" ht="15" hidden="false" customHeight="false" outlineLevel="0" collapsed="false">
      <c r="A2992" s="62" t="n">
        <v>2991</v>
      </c>
      <c r="B2992" s="63" t="n">
        <v>46296.9409259259</v>
      </c>
      <c r="C2992" s="64" t="n">
        <v>46296</v>
      </c>
      <c r="D2992" s="62" t="s">
        <v>202</v>
      </c>
      <c r="E2992" s="62" t="s">
        <v>144</v>
      </c>
      <c r="F2992" s="62" t="s">
        <v>144</v>
      </c>
      <c r="G2992" s="62" t="s">
        <v>145</v>
      </c>
      <c r="H2992" s="62" t="s">
        <v>59</v>
      </c>
      <c r="I2992" s="62" t="s">
        <v>47</v>
      </c>
      <c r="J2992" s="62" t="s">
        <v>146</v>
      </c>
      <c r="K2992" s="62" t="s">
        <v>147</v>
      </c>
      <c r="L2992" s="62" t="s">
        <v>148</v>
      </c>
      <c r="M2992" s="62" t="n">
        <v>0</v>
      </c>
      <c r="N2992" s="62" t="n">
        <v>1</v>
      </c>
      <c r="O2992" s="62" t="n">
        <v>1</v>
      </c>
      <c r="P2992" s="62" t="n">
        <v>1</v>
      </c>
      <c r="Q2992" s="62" t="n">
        <v>0</v>
      </c>
      <c r="R2992" s="62" t="n">
        <v>0</v>
      </c>
      <c r="S2992" s="62" t="n">
        <v>0</v>
      </c>
      <c r="T2992" s="62" t="n">
        <v>0</v>
      </c>
      <c r="U2992" s="62"/>
      <c r="V2992" s="62"/>
      <c r="W2992" s="62"/>
      <c r="X2992" s="62"/>
      <c r="Y2992" s="62"/>
      <c r="Z2992" s="62" t="s">
        <v>5454</v>
      </c>
      <c r="AA2992" s="62" t="s">
        <v>5454</v>
      </c>
      <c r="AB2992" s="62" t="n">
        <v>1</v>
      </c>
      <c r="AC2992" s="62" t="n">
        <v>0</v>
      </c>
      <c r="AD2992" s="62" t="n">
        <v>1</v>
      </c>
      <c r="AE2992" s="62" t="n">
        <f aca="false">IF(AND(Dashboard!$C$9="Yes",AC2992=1),0,1)</f>
        <v>1</v>
      </c>
      <c r="AF2992" s="62" t="n">
        <v>0</v>
      </c>
    </row>
    <row r="2993" customFormat="false" ht="15" hidden="false" customHeight="false" outlineLevel="0" collapsed="false">
      <c r="A2993" s="62" t="n">
        <v>2992</v>
      </c>
      <c r="B2993" s="63" t="n">
        <v>46296.9492361111</v>
      </c>
      <c r="C2993" s="64" t="n">
        <v>46296</v>
      </c>
      <c r="D2993" s="62" t="s">
        <v>202</v>
      </c>
      <c r="E2993" s="62" t="s">
        <v>4238</v>
      </c>
      <c r="F2993" s="62" t="s">
        <v>4238</v>
      </c>
      <c r="G2993" s="62" t="s">
        <v>4239</v>
      </c>
      <c r="H2993" s="62" t="s">
        <v>44</v>
      </c>
      <c r="I2993" s="62" t="s">
        <v>49</v>
      </c>
      <c r="J2993" s="62" t="s">
        <v>146</v>
      </c>
      <c r="K2993" s="62" t="s">
        <v>147</v>
      </c>
      <c r="L2993" s="62" t="s">
        <v>148</v>
      </c>
      <c r="M2993" s="62" t="n">
        <v>0</v>
      </c>
      <c r="N2993" s="62" t="n">
        <v>1</v>
      </c>
      <c r="O2993" s="62" t="n">
        <v>1</v>
      </c>
      <c r="P2993" s="62" t="n">
        <v>1</v>
      </c>
      <c r="Q2993" s="62" t="n">
        <v>0</v>
      </c>
      <c r="R2993" s="62" t="n">
        <v>0</v>
      </c>
      <c r="S2993" s="62" t="n">
        <v>0</v>
      </c>
      <c r="T2993" s="62" t="n">
        <v>0</v>
      </c>
      <c r="U2993" s="62"/>
      <c r="V2993" s="62"/>
      <c r="W2993" s="62"/>
      <c r="X2993" s="62"/>
      <c r="Y2993" s="62"/>
      <c r="Z2993" s="62" t="s">
        <v>5456</v>
      </c>
      <c r="AA2993" s="62" t="s">
        <v>5457</v>
      </c>
      <c r="AB2993" s="62" t="n">
        <v>1</v>
      </c>
      <c r="AC2993" s="62" t="n">
        <v>0</v>
      </c>
      <c r="AD2993" s="62" t="n">
        <v>1</v>
      </c>
      <c r="AE2993" s="62" t="n">
        <f aca="false">IF(AND(Dashboard!$C$9="Yes",AC2993=1),0,1)</f>
        <v>1</v>
      </c>
      <c r="AF2993" s="62" t="n">
        <v>0</v>
      </c>
    </row>
    <row r="2994" customFormat="false" ht="15" hidden="false" customHeight="false" outlineLevel="0" collapsed="false">
      <c r="A2994" s="62" t="n">
        <v>2993</v>
      </c>
      <c r="B2994" s="63" t="n">
        <v>46296.9535648148</v>
      </c>
      <c r="C2994" s="64" t="n">
        <v>46296</v>
      </c>
      <c r="D2994" s="62" t="s">
        <v>202</v>
      </c>
      <c r="E2994" s="62" t="s">
        <v>518</v>
      </c>
      <c r="F2994" s="62" t="s">
        <v>518</v>
      </c>
      <c r="G2994" s="62" t="s">
        <v>519</v>
      </c>
      <c r="H2994" s="62" t="s">
        <v>52</v>
      </c>
      <c r="I2994" s="62" t="s">
        <v>47</v>
      </c>
      <c r="J2994" s="62" t="s">
        <v>146</v>
      </c>
      <c r="K2994" s="62" t="s">
        <v>147</v>
      </c>
      <c r="L2994" s="62" t="s">
        <v>148</v>
      </c>
      <c r="M2994" s="62" t="n">
        <v>0</v>
      </c>
      <c r="N2994" s="62" t="n">
        <v>1</v>
      </c>
      <c r="O2994" s="62" t="n">
        <v>1</v>
      </c>
      <c r="P2994" s="62" t="n">
        <v>1</v>
      </c>
      <c r="Q2994" s="62" t="n">
        <v>0</v>
      </c>
      <c r="R2994" s="62" t="n">
        <v>0</v>
      </c>
      <c r="S2994" s="62" t="n">
        <v>0</v>
      </c>
      <c r="T2994" s="62" t="n">
        <v>0</v>
      </c>
      <c r="U2994" s="62"/>
      <c r="V2994" s="62"/>
      <c r="W2994" s="62"/>
      <c r="X2994" s="62"/>
      <c r="Y2994" s="62"/>
      <c r="Z2994" s="62" t="s">
        <v>5458</v>
      </c>
      <c r="AA2994" s="62" t="s">
        <v>5459</v>
      </c>
      <c r="AB2994" s="62" t="n">
        <v>1</v>
      </c>
      <c r="AC2994" s="62" t="n">
        <v>0</v>
      </c>
      <c r="AD2994" s="62" t="n">
        <v>1</v>
      </c>
      <c r="AE2994" s="62" t="n">
        <f aca="false">IF(AND(Dashboard!$C$9="Yes",AC2994=1),0,1)</f>
        <v>1</v>
      </c>
      <c r="AF2994" s="62" t="n">
        <v>1</v>
      </c>
    </row>
    <row r="2995" customFormat="false" ht="15" hidden="false" customHeight="false" outlineLevel="0" collapsed="false">
      <c r="A2995" s="62" t="n">
        <v>2994</v>
      </c>
      <c r="B2995" s="63" t="n">
        <v>46296.9605208333</v>
      </c>
      <c r="C2995" s="64" t="n">
        <v>46296</v>
      </c>
      <c r="D2995" s="62" t="s">
        <v>202</v>
      </c>
      <c r="E2995" s="62" t="s">
        <v>3197</v>
      </c>
      <c r="F2995" s="62" t="s">
        <v>3197</v>
      </c>
      <c r="G2995" s="62" t="s">
        <v>3198</v>
      </c>
      <c r="H2995" s="62" t="s">
        <v>44</v>
      </c>
      <c r="I2995" s="62" t="s">
        <v>49</v>
      </c>
      <c r="J2995" s="62" t="s">
        <v>146</v>
      </c>
      <c r="K2995" s="62" t="s">
        <v>147</v>
      </c>
      <c r="L2995" s="62" t="s">
        <v>148</v>
      </c>
      <c r="M2995" s="62" t="n">
        <v>0</v>
      </c>
      <c r="N2995" s="62" t="n">
        <v>1</v>
      </c>
      <c r="O2995" s="62" t="n">
        <v>1</v>
      </c>
      <c r="P2995" s="62" t="n">
        <v>1</v>
      </c>
      <c r="Q2995" s="62" t="n">
        <v>0</v>
      </c>
      <c r="R2995" s="62" t="n">
        <v>0</v>
      </c>
      <c r="S2995" s="62" t="n">
        <v>0</v>
      </c>
      <c r="T2995" s="62" t="n">
        <v>0</v>
      </c>
      <c r="U2995" s="62"/>
      <c r="V2995" s="62"/>
      <c r="W2995" s="62"/>
      <c r="X2995" s="62"/>
      <c r="Y2995" s="62"/>
      <c r="Z2995" s="62" t="s">
        <v>5460</v>
      </c>
      <c r="AA2995" s="62" t="s">
        <v>5461</v>
      </c>
      <c r="AB2995" s="62" t="n">
        <v>1</v>
      </c>
      <c r="AC2995" s="62" t="n">
        <v>0</v>
      </c>
      <c r="AD2995" s="62" t="n">
        <v>1</v>
      </c>
      <c r="AE2995" s="62" t="n">
        <f aca="false">IF(AND(Dashboard!$C$9="Yes",AC2995=1),0,1)</f>
        <v>1</v>
      </c>
      <c r="AF2995" s="62" t="n">
        <v>1</v>
      </c>
    </row>
    <row r="2996" customFormat="false" ht="15" hidden="false" customHeight="false" outlineLevel="0" collapsed="false">
      <c r="A2996" s="62" t="n">
        <v>2995</v>
      </c>
      <c r="B2996" s="63" t="n">
        <v>46296.9720949074</v>
      </c>
      <c r="C2996" s="64" t="n">
        <v>46296</v>
      </c>
      <c r="D2996" s="62" t="s">
        <v>202</v>
      </c>
      <c r="E2996" s="62" t="s">
        <v>4304</v>
      </c>
      <c r="F2996" s="62" t="s">
        <v>4304</v>
      </c>
      <c r="G2996" s="62" t="s">
        <v>4305</v>
      </c>
      <c r="H2996" s="62" t="s">
        <v>44</v>
      </c>
      <c r="I2996" s="62" t="s">
        <v>61</v>
      </c>
      <c r="J2996" s="62" t="s">
        <v>3708</v>
      </c>
      <c r="K2996" s="62" t="s">
        <v>175</v>
      </c>
      <c r="L2996" s="62" t="s">
        <v>148</v>
      </c>
      <c r="M2996" s="62" t="n">
        <v>0</v>
      </c>
      <c r="N2996" s="62" t="n">
        <v>1</v>
      </c>
      <c r="O2996" s="62" t="n">
        <v>1</v>
      </c>
      <c r="P2996" s="62" t="n">
        <v>1</v>
      </c>
      <c r="Q2996" s="62" t="n">
        <v>0</v>
      </c>
      <c r="R2996" s="62" t="n">
        <v>0</v>
      </c>
      <c r="S2996" s="62" t="n">
        <v>0</v>
      </c>
      <c r="T2996" s="62" t="n">
        <v>0</v>
      </c>
      <c r="U2996" s="62"/>
      <c r="V2996" s="62"/>
      <c r="W2996" s="62"/>
      <c r="X2996" s="62"/>
      <c r="Y2996" s="62"/>
      <c r="Z2996" s="62" t="s">
        <v>5462</v>
      </c>
      <c r="AA2996" s="62" t="s">
        <v>5463</v>
      </c>
      <c r="AB2996" s="62" t="n">
        <v>1</v>
      </c>
      <c r="AC2996" s="62" t="n">
        <v>0</v>
      </c>
      <c r="AD2996" s="62" t="n">
        <v>1</v>
      </c>
      <c r="AE2996" s="62" t="n">
        <f aca="false">IF(AND(Dashboard!$C$9="Yes",AC2996=1),0,1)</f>
        <v>1</v>
      </c>
      <c r="AF2996" s="62" t="n">
        <v>0</v>
      </c>
    </row>
    <row r="2997" customFormat="false" ht="15" hidden="false" customHeight="false" outlineLevel="0" collapsed="false">
      <c r="A2997" s="62" t="n">
        <v>2996</v>
      </c>
      <c r="B2997" s="63" t="n">
        <v>46296.9778935185</v>
      </c>
      <c r="C2997" s="64" t="n">
        <v>46296</v>
      </c>
      <c r="D2997" s="62" t="s">
        <v>202</v>
      </c>
      <c r="E2997" s="62" t="s">
        <v>518</v>
      </c>
      <c r="F2997" s="62" t="s">
        <v>518</v>
      </c>
      <c r="G2997" s="62" t="s">
        <v>519</v>
      </c>
      <c r="H2997" s="62" t="s">
        <v>52</v>
      </c>
      <c r="I2997" s="62" t="s">
        <v>47</v>
      </c>
      <c r="J2997" s="62" t="s">
        <v>146</v>
      </c>
      <c r="K2997" s="62" t="s">
        <v>147</v>
      </c>
      <c r="L2997" s="62" t="s">
        <v>148</v>
      </c>
      <c r="M2997" s="62" t="n">
        <v>0</v>
      </c>
      <c r="N2997" s="62" t="n">
        <v>1</v>
      </c>
      <c r="O2997" s="62" t="n">
        <v>1</v>
      </c>
      <c r="P2997" s="62" t="n">
        <v>0</v>
      </c>
      <c r="Q2997" s="62" t="n">
        <v>0</v>
      </c>
      <c r="R2997" s="62" t="n">
        <v>0</v>
      </c>
      <c r="S2997" s="62" t="n">
        <v>1</v>
      </c>
      <c r="T2997" s="62" t="n">
        <v>0</v>
      </c>
      <c r="U2997" s="62"/>
      <c r="V2997" s="62"/>
      <c r="W2997" s="62"/>
      <c r="X2997" s="62"/>
      <c r="Y2997" s="62"/>
      <c r="Z2997" s="62" t="s">
        <v>5464</v>
      </c>
      <c r="AA2997" s="62" t="s">
        <v>5464</v>
      </c>
      <c r="AB2997" s="62" t="n">
        <v>1</v>
      </c>
      <c r="AC2997" s="62" t="n">
        <v>0</v>
      </c>
      <c r="AD2997" s="62" t="n">
        <v>1</v>
      </c>
      <c r="AE2997" s="62" t="n">
        <f aca="false">IF(AND(Dashboard!$C$9="Yes",AC2997=1),0,1)</f>
        <v>1</v>
      </c>
      <c r="AF2997" s="62" t="n">
        <v>0</v>
      </c>
    </row>
    <row r="2998" customFormat="false" ht="15" hidden="false" customHeight="false" outlineLevel="0" collapsed="false">
      <c r="A2998" s="62" t="n">
        <v>2997</v>
      </c>
      <c r="B2998" s="63" t="n">
        <v>46297.002037037</v>
      </c>
      <c r="C2998" s="64" t="n">
        <v>46296</v>
      </c>
      <c r="D2998" s="62" t="s">
        <v>202</v>
      </c>
      <c r="E2998" s="62" t="s">
        <v>2071</v>
      </c>
      <c r="F2998" s="62" t="s">
        <v>2071</v>
      </c>
      <c r="G2998" s="62" t="s">
        <v>2072</v>
      </c>
      <c r="H2998" s="62" t="s">
        <v>58</v>
      </c>
      <c r="I2998" s="62" t="s">
        <v>49</v>
      </c>
      <c r="J2998" s="62" t="s">
        <v>146</v>
      </c>
      <c r="K2998" s="62" t="s">
        <v>175</v>
      </c>
      <c r="L2998" s="62" t="s">
        <v>148</v>
      </c>
      <c r="M2998" s="62" t="n">
        <v>0</v>
      </c>
      <c r="N2998" s="62" t="n">
        <v>1</v>
      </c>
      <c r="O2998" s="62" t="n">
        <v>1</v>
      </c>
      <c r="P2998" s="62" t="n">
        <v>0</v>
      </c>
      <c r="Q2998" s="62" t="n">
        <v>1</v>
      </c>
      <c r="R2998" s="62" t="n">
        <v>0</v>
      </c>
      <c r="S2998" s="62" t="n">
        <v>0</v>
      </c>
      <c r="T2998" s="62" t="n">
        <v>0</v>
      </c>
      <c r="U2998" s="62"/>
      <c r="V2998" s="62"/>
      <c r="W2998" s="62"/>
      <c r="X2998" s="62"/>
      <c r="Y2998" s="62"/>
      <c r="Z2998" s="62" t="s">
        <v>5465</v>
      </c>
      <c r="AA2998" s="62" t="s">
        <v>5466</v>
      </c>
      <c r="AB2998" s="62" t="n">
        <v>1</v>
      </c>
      <c r="AC2998" s="62" t="n">
        <v>0</v>
      </c>
      <c r="AD2998" s="62" t="n">
        <v>1</v>
      </c>
      <c r="AE2998" s="62" t="n">
        <f aca="false">IF(AND(Dashboard!$C$9="Yes",AC2998=1),0,1)</f>
        <v>1</v>
      </c>
      <c r="AF2998" s="62" t="n">
        <v>1</v>
      </c>
    </row>
    <row r="2999" customFormat="false" ht="15" hidden="false" customHeight="false" outlineLevel="0" collapsed="false">
      <c r="A2999" s="62" t="n">
        <v>2998</v>
      </c>
      <c r="B2999" s="63" t="n">
        <v>46297.0128587963</v>
      </c>
      <c r="C2999" s="64" t="n">
        <v>46296</v>
      </c>
      <c r="D2999" s="62" t="s">
        <v>202</v>
      </c>
      <c r="E2999" s="62" t="s">
        <v>2620</v>
      </c>
      <c r="F2999" s="62" t="s">
        <v>2620</v>
      </c>
      <c r="G2999" s="62" t="s">
        <v>2621</v>
      </c>
      <c r="H2999" s="62" t="s">
        <v>48</v>
      </c>
      <c r="I2999" s="62" t="s">
        <v>49</v>
      </c>
      <c r="J2999" s="62" t="s">
        <v>146</v>
      </c>
      <c r="K2999" s="62" t="s">
        <v>209</v>
      </c>
      <c r="L2999" s="62" t="s">
        <v>148</v>
      </c>
      <c r="M2999" s="62" t="n">
        <v>0</v>
      </c>
      <c r="N2999" s="62" t="n">
        <v>1</v>
      </c>
      <c r="O2999" s="62" t="n">
        <v>1</v>
      </c>
      <c r="P2999" s="62" t="n">
        <v>0</v>
      </c>
      <c r="Q2999" s="62" t="n">
        <v>1</v>
      </c>
      <c r="R2999" s="62" t="n">
        <v>0</v>
      </c>
      <c r="S2999" s="62" t="n">
        <v>0</v>
      </c>
      <c r="T2999" s="62" t="n">
        <v>0</v>
      </c>
      <c r="U2999" s="62"/>
      <c r="V2999" s="62"/>
      <c r="W2999" s="62"/>
      <c r="X2999" s="62"/>
      <c r="Y2999" s="62"/>
      <c r="Z2999" s="62" t="s">
        <v>5467</v>
      </c>
      <c r="AA2999" s="62" t="s">
        <v>5468</v>
      </c>
      <c r="AB2999" s="62" t="n">
        <v>1</v>
      </c>
      <c r="AC2999" s="62" t="n">
        <v>0</v>
      </c>
      <c r="AD2999" s="62" t="n">
        <v>1</v>
      </c>
      <c r="AE2999" s="62" t="n">
        <f aca="false">IF(AND(Dashboard!$C$9="Yes",AC2999=1),0,1)</f>
        <v>1</v>
      </c>
      <c r="AF2999" s="62" t="n">
        <v>1</v>
      </c>
    </row>
    <row r="3000" customFormat="false" ht="15" hidden="false" customHeight="false" outlineLevel="0" collapsed="false">
      <c r="A3000" s="62" t="n">
        <v>2999</v>
      </c>
      <c r="B3000" s="63" t="n">
        <v>46297.0517013889</v>
      </c>
      <c r="C3000" s="64" t="n">
        <v>46296</v>
      </c>
      <c r="D3000" s="62" t="s">
        <v>202</v>
      </c>
      <c r="E3000" s="62" t="s">
        <v>4506</v>
      </c>
      <c r="F3000" s="62" t="s">
        <v>4506</v>
      </c>
      <c r="G3000" s="62" t="s">
        <v>4507</v>
      </c>
      <c r="H3000" s="62" t="s">
        <v>44</v>
      </c>
      <c r="I3000" s="62" t="s">
        <v>49</v>
      </c>
      <c r="J3000" s="62" t="s">
        <v>146</v>
      </c>
      <c r="K3000" s="62" t="s">
        <v>147</v>
      </c>
      <c r="L3000" s="62" t="s">
        <v>148</v>
      </c>
      <c r="M3000" s="62" t="n">
        <v>0</v>
      </c>
      <c r="N3000" s="62" t="n">
        <v>1</v>
      </c>
      <c r="O3000" s="62" t="n">
        <v>1</v>
      </c>
      <c r="P3000" s="62" t="n">
        <v>1</v>
      </c>
      <c r="Q3000" s="62" t="n">
        <v>0</v>
      </c>
      <c r="R3000" s="62" t="n">
        <v>0</v>
      </c>
      <c r="S3000" s="62" t="n">
        <v>0</v>
      </c>
      <c r="T3000" s="62" t="n">
        <v>0</v>
      </c>
      <c r="U3000" s="62"/>
      <c r="V3000" s="62"/>
      <c r="W3000" s="62"/>
      <c r="X3000" s="62"/>
      <c r="Y3000" s="62"/>
      <c r="Z3000" s="62" t="s">
        <v>5469</v>
      </c>
      <c r="AA3000" s="62" t="s">
        <v>5470</v>
      </c>
      <c r="AB3000" s="62" t="n">
        <v>1</v>
      </c>
      <c r="AC3000" s="62" t="n">
        <v>0</v>
      </c>
      <c r="AD3000" s="62" t="n">
        <v>1</v>
      </c>
      <c r="AE3000" s="62" t="n">
        <f aca="false">IF(AND(Dashboard!$C$9="Yes",AC3000=1),0,1)</f>
        <v>1</v>
      </c>
      <c r="AF3000" s="62" t="n">
        <v>0</v>
      </c>
    </row>
    <row r="3001" customFormat="false" ht="15" hidden="false" customHeight="false" outlineLevel="0" collapsed="false">
      <c r="A3001" s="62" t="n">
        <v>3000</v>
      </c>
      <c r="B3001" s="63" t="n">
        <v>46297.0519791667</v>
      </c>
      <c r="C3001" s="64" t="n">
        <v>46296</v>
      </c>
      <c r="D3001" s="62" t="s">
        <v>202</v>
      </c>
      <c r="E3001" s="62" t="s">
        <v>4506</v>
      </c>
      <c r="F3001" s="62" t="s">
        <v>4506</v>
      </c>
      <c r="G3001" s="62" t="s">
        <v>4507</v>
      </c>
      <c r="H3001" s="62" t="s">
        <v>44</v>
      </c>
      <c r="I3001" s="62" t="s">
        <v>49</v>
      </c>
      <c r="J3001" s="62" t="s">
        <v>146</v>
      </c>
      <c r="K3001" s="62" t="s">
        <v>147</v>
      </c>
      <c r="L3001" s="62" t="s">
        <v>148</v>
      </c>
      <c r="M3001" s="62" t="n">
        <v>0</v>
      </c>
      <c r="N3001" s="62" t="n">
        <v>1</v>
      </c>
      <c r="O3001" s="62" t="n">
        <v>1</v>
      </c>
      <c r="P3001" s="62" t="n">
        <v>1</v>
      </c>
      <c r="Q3001" s="62" t="n">
        <v>0</v>
      </c>
      <c r="R3001" s="62" t="n">
        <v>0</v>
      </c>
      <c r="S3001" s="62" t="n">
        <v>0</v>
      </c>
      <c r="T3001" s="62" t="n">
        <v>0</v>
      </c>
      <c r="U3001" s="62"/>
      <c r="V3001" s="62"/>
      <c r="W3001" s="62"/>
      <c r="X3001" s="62"/>
      <c r="Y3001" s="62"/>
      <c r="Z3001" s="62" t="s">
        <v>5469</v>
      </c>
      <c r="AA3001" s="62" t="s">
        <v>5470</v>
      </c>
      <c r="AB3001" s="62" t="n">
        <v>1</v>
      </c>
      <c r="AC3001" s="62" t="n">
        <v>1</v>
      </c>
      <c r="AD3001" s="62" t="n">
        <v>1</v>
      </c>
      <c r="AE3001" s="62" t="n">
        <f aca="false">IF(AND(Dashboard!$C$9="Yes",AC3001=1),0,1)</f>
        <v>0</v>
      </c>
      <c r="AF3001" s="62" t="n">
        <v>0</v>
      </c>
    </row>
    <row r="3002" customFormat="false" ht="15" hidden="false" customHeight="false" outlineLevel="0" collapsed="false">
      <c r="A3002" s="62" t="n">
        <v>3001</v>
      </c>
      <c r="B3002" s="63" t="n">
        <v>46297.0621759259</v>
      </c>
      <c r="C3002" s="64" t="n">
        <v>46296</v>
      </c>
      <c r="D3002" s="62" t="s">
        <v>202</v>
      </c>
      <c r="E3002" s="62" t="s">
        <v>3061</v>
      </c>
      <c r="F3002" s="62" t="s">
        <v>3061</v>
      </c>
      <c r="G3002" s="62" t="s">
        <v>3062</v>
      </c>
      <c r="H3002" s="62" t="s">
        <v>44</v>
      </c>
      <c r="I3002" s="62" t="s">
        <v>49</v>
      </c>
      <c r="J3002" s="62" t="s">
        <v>146</v>
      </c>
      <c r="K3002" s="62" t="s">
        <v>147</v>
      </c>
      <c r="L3002" s="62" t="s">
        <v>148</v>
      </c>
      <c r="M3002" s="62" t="n">
        <v>0</v>
      </c>
      <c r="N3002" s="62" t="n">
        <v>1</v>
      </c>
      <c r="O3002" s="62" t="n">
        <v>1</v>
      </c>
      <c r="P3002" s="62" t="n">
        <v>1</v>
      </c>
      <c r="Q3002" s="62" t="n">
        <v>0</v>
      </c>
      <c r="R3002" s="62" t="n">
        <v>0</v>
      </c>
      <c r="S3002" s="62" t="n">
        <v>0</v>
      </c>
      <c r="T3002" s="62" t="n">
        <v>0</v>
      </c>
      <c r="U3002" s="62"/>
      <c r="V3002" s="62"/>
      <c r="W3002" s="62"/>
      <c r="X3002" s="62"/>
      <c r="Y3002" s="62"/>
      <c r="Z3002" s="62" t="s">
        <v>5471</v>
      </c>
      <c r="AA3002" s="62" t="s">
        <v>5472</v>
      </c>
      <c r="AB3002" s="62" t="n">
        <v>1</v>
      </c>
      <c r="AC3002" s="62" t="n">
        <v>0</v>
      </c>
      <c r="AD3002" s="62" t="n">
        <v>1</v>
      </c>
      <c r="AE3002" s="62" t="n">
        <f aca="false">IF(AND(Dashboard!$C$9="Yes",AC3002=1),0,1)</f>
        <v>1</v>
      </c>
      <c r="AF3002" s="62" t="n">
        <v>1</v>
      </c>
    </row>
    <row r="3003" customFormat="false" ht="15" hidden="false" customHeight="false" outlineLevel="0" collapsed="false">
      <c r="A3003" s="62" t="n">
        <v>3002</v>
      </c>
      <c r="B3003" s="63" t="n">
        <v>46297.0621875</v>
      </c>
      <c r="C3003" s="64" t="n">
        <v>46296</v>
      </c>
      <c r="D3003" s="62" t="s">
        <v>202</v>
      </c>
      <c r="E3003" s="62" t="s">
        <v>414</v>
      </c>
      <c r="F3003" s="62" t="s">
        <v>414</v>
      </c>
      <c r="G3003" s="62" t="s">
        <v>415</v>
      </c>
      <c r="H3003" s="62" t="s">
        <v>57</v>
      </c>
      <c r="I3003" s="62" t="s">
        <v>47</v>
      </c>
      <c r="J3003" s="62" t="s">
        <v>146</v>
      </c>
      <c r="K3003" s="62" t="s">
        <v>147</v>
      </c>
      <c r="L3003" s="62" t="s">
        <v>148</v>
      </c>
      <c r="M3003" s="62" t="n">
        <v>0</v>
      </c>
      <c r="N3003" s="62" t="n">
        <v>1</v>
      </c>
      <c r="O3003" s="62" t="n">
        <v>1</v>
      </c>
      <c r="P3003" s="62" t="n">
        <v>0</v>
      </c>
      <c r="Q3003" s="62" t="n">
        <v>0</v>
      </c>
      <c r="R3003" s="62" t="n">
        <v>1</v>
      </c>
      <c r="S3003" s="62" t="n">
        <v>0</v>
      </c>
      <c r="T3003" s="62" t="n">
        <v>0</v>
      </c>
      <c r="U3003" s="62"/>
      <c r="V3003" s="62"/>
      <c r="W3003" s="62"/>
      <c r="X3003" s="62"/>
      <c r="Y3003" s="62"/>
      <c r="Z3003" s="62" t="s">
        <v>5473</v>
      </c>
      <c r="AA3003" s="62" t="s">
        <v>5474</v>
      </c>
      <c r="AB3003" s="62" t="n">
        <v>1</v>
      </c>
      <c r="AC3003" s="62" t="n">
        <v>0</v>
      </c>
      <c r="AD3003" s="62" t="n">
        <v>1</v>
      </c>
      <c r="AE3003" s="62" t="n">
        <f aca="false">IF(AND(Dashboard!$C$9="Yes",AC3003=1),0,1)</f>
        <v>1</v>
      </c>
      <c r="AF3003" s="62" t="n">
        <v>1</v>
      </c>
    </row>
    <row r="3004" customFormat="false" ht="15" hidden="false" customHeight="false" outlineLevel="0" collapsed="false">
      <c r="A3004" s="62" t="n">
        <v>3003</v>
      </c>
      <c r="B3004" s="63" t="n">
        <v>46297.0885185185</v>
      </c>
      <c r="C3004" s="64" t="n">
        <v>46296</v>
      </c>
      <c r="D3004" s="62" t="s">
        <v>202</v>
      </c>
      <c r="E3004" s="62" t="s">
        <v>3061</v>
      </c>
      <c r="F3004" s="62" t="s">
        <v>3061</v>
      </c>
      <c r="G3004" s="62" t="s">
        <v>3062</v>
      </c>
      <c r="H3004" s="62" t="s">
        <v>44</v>
      </c>
      <c r="I3004" s="62" t="s">
        <v>49</v>
      </c>
      <c r="J3004" s="62" t="s">
        <v>146</v>
      </c>
      <c r="K3004" s="62" t="s">
        <v>147</v>
      </c>
      <c r="L3004" s="62" t="s">
        <v>4</v>
      </c>
      <c r="M3004" s="62" t="n">
        <v>1</v>
      </c>
      <c r="N3004" s="62" t="n">
        <v>0</v>
      </c>
      <c r="O3004" s="62" t="n">
        <v>1</v>
      </c>
      <c r="P3004" s="62" t="n">
        <v>0</v>
      </c>
      <c r="Q3004" s="62" t="n">
        <v>0</v>
      </c>
      <c r="R3004" s="62" t="n">
        <v>0</v>
      </c>
      <c r="S3004" s="62" t="n">
        <v>0</v>
      </c>
      <c r="T3004" s="62" t="n">
        <v>0</v>
      </c>
      <c r="U3004" s="62" t="s">
        <v>2056</v>
      </c>
      <c r="V3004" s="62" t="s">
        <v>2068</v>
      </c>
      <c r="W3004" s="62"/>
      <c r="X3004" s="62" t="s">
        <v>2125</v>
      </c>
      <c r="Y3004" s="62" t="s">
        <v>2059</v>
      </c>
      <c r="Z3004" s="62" t="s">
        <v>5471</v>
      </c>
      <c r="AA3004" s="62" t="s">
        <v>5475</v>
      </c>
      <c r="AB3004" s="62" t="n">
        <v>1</v>
      </c>
      <c r="AC3004" s="62" t="n">
        <v>0</v>
      </c>
      <c r="AD3004" s="62" t="n">
        <v>1</v>
      </c>
      <c r="AE3004" s="62" t="n">
        <f aca="false">IF(AND(Dashboard!$C$9="Yes",AC3004=1),0,1)</f>
        <v>1</v>
      </c>
      <c r="AF3004" s="62" t="n">
        <v>0</v>
      </c>
    </row>
    <row r="3005" customFormat="false" ht="15" hidden="false" customHeight="false" outlineLevel="0" collapsed="false">
      <c r="A3005" s="62" t="n">
        <v>3004</v>
      </c>
      <c r="B3005" s="63" t="n">
        <v>46297.093900463</v>
      </c>
      <c r="C3005" s="64" t="n">
        <v>46296</v>
      </c>
      <c r="D3005" s="62" t="s">
        <v>202</v>
      </c>
      <c r="E3005" s="62" t="s">
        <v>518</v>
      </c>
      <c r="F3005" s="62" t="s">
        <v>518</v>
      </c>
      <c r="G3005" s="62" t="s">
        <v>519</v>
      </c>
      <c r="H3005" s="62" t="s">
        <v>52</v>
      </c>
      <c r="I3005" s="62" t="s">
        <v>47</v>
      </c>
      <c r="J3005" s="62" t="s">
        <v>146</v>
      </c>
      <c r="K3005" s="62" t="s">
        <v>147</v>
      </c>
      <c r="L3005" s="62" t="s">
        <v>4</v>
      </c>
      <c r="M3005" s="62" t="n">
        <v>1</v>
      </c>
      <c r="N3005" s="62" t="n">
        <v>0</v>
      </c>
      <c r="O3005" s="62" t="n">
        <v>1</v>
      </c>
      <c r="P3005" s="62" t="n">
        <v>0</v>
      </c>
      <c r="Q3005" s="62" t="n">
        <v>0</v>
      </c>
      <c r="R3005" s="62" t="n">
        <v>0</v>
      </c>
      <c r="S3005" s="62" t="n">
        <v>0</v>
      </c>
      <c r="T3005" s="62" t="n">
        <v>0</v>
      </c>
      <c r="U3005" s="62" t="s">
        <v>2056</v>
      </c>
      <c r="V3005" s="62" t="s">
        <v>2057</v>
      </c>
      <c r="W3005" s="62" t="s">
        <v>2056</v>
      </c>
      <c r="X3005" s="62" t="s">
        <v>2180</v>
      </c>
      <c r="Y3005" s="62" t="s">
        <v>2103</v>
      </c>
      <c r="Z3005" s="62" t="s">
        <v>5476</v>
      </c>
      <c r="AA3005" s="62" t="s">
        <v>5477</v>
      </c>
      <c r="AB3005" s="62" t="n">
        <v>1</v>
      </c>
      <c r="AC3005" s="62" t="n">
        <v>0</v>
      </c>
      <c r="AD3005" s="62" t="n">
        <v>1</v>
      </c>
      <c r="AE3005" s="62" t="n">
        <f aca="false">IF(AND(Dashboard!$C$9="Yes",AC3005=1),0,1)</f>
        <v>1</v>
      </c>
      <c r="AF3005" s="62" t="n">
        <v>0</v>
      </c>
    </row>
    <row r="3006" customFormat="false" ht="15" hidden="false" customHeight="false" outlineLevel="0" collapsed="false">
      <c r="A3006" s="62" t="n">
        <v>3005</v>
      </c>
      <c r="B3006" s="63" t="n">
        <v>46297.1030787037</v>
      </c>
      <c r="C3006" s="64" t="n">
        <v>46296</v>
      </c>
      <c r="D3006" s="62" t="s">
        <v>202</v>
      </c>
      <c r="E3006" s="62" t="s">
        <v>5478</v>
      </c>
      <c r="F3006" s="62" t="s">
        <v>5478</v>
      </c>
      <c r="G3006" s="62" t="s">
        <v>5479</v>
      </c>
      <c r="H3006" s="62" t="s">
        <v>52</v>
      </c>
      <c r="I3006" s="62" t="s">
        <v>47</v>
      </c>
      <c r="J3006" s="62" t="s">
        <v>146</v>
      </c>
      <c r="K3006" s="62" t="s">
        <v>147</v>
      </c>
      <c r="L3006" s="62" t="s">
        <v>4</v>
      </c>
      <c r="M3006" s="62" t="n">
        <v>1</v>
      </c>
      <c r="N3006" s="62" t="n">
        <v>0</v>
      </c>
      <c r="O3006" s="62" t="n">
        <v>1</v>
      </c>
      <c r="P3006" s="62" t="n">
        <v>0</v>
      </c>
      <c r="Q3006" s="62" t="n">
        <v>0</v>
      </c>
      <c r="R3006" s="62" t="n">
        <v>0</v>
      </c>
      <c r="S3006" s="62" t="n">
        <v>0</v>
      </c>
      <c r="T3006" s="62" t="n">
        <v>0</v>
      </c>
      <c r="U3006" s="62" t="s">
        <v>2056</v>
      </c>
      <c r="V3006" s="62" t="s">
        <v>2068</v>
      </c>
      <c r="W3006" s="62"/>
      <c r="X3006" s="62" t="s">
        <v>2125</v>
      </c>
      <c r="Y3006" s="62" t="s">
        <v>2103</v>
      </c>
      <c r="Z3006" s="62" t="s">
        <v>5480</v>
      </c>
      <c r="AA3006" s="62" t="s">
        <v>2483</v>
      </c>
      <c r="AB3006" s="62" t="n">
        <v>1</v>
      </c>
      <c r="AC3006" s="62" t="n">
        <v>0</v>
      </c>
      <c r="AD3006" s="62" t="n">
        <v>1</v>
      </c>
      <c r="AE3006" s="62" t="n">
        <f aca="false">IF(AND(Dashboard!$C$9="Yes",AC3006=1),0,1)</f>
        <v>1</v>
      </c>
      <c r="AF3006" s="62" t="n">
        <v>1</v>
      </c>
    </row>
    <row r="3007" customFormat="false" ht="15" hidden="false" customHeight="false" outlineLevel="0" collapsed="false">
      <c r="A3007" s="62" t="n">
        <v>3006</v>
      </c>
      <c r="B3007" s="63" t="n">
        <v>46297.119224537</v>
      </c>
      <c r="C3007" s="64" t="n">
        <v>46296</v>
      </c>
      <c r="D3007" s="62" t="s">
        <v>202</v>
      </c>
      <c r="E3007" s="62" t="s">
        <v>144</v>
      </c>
      <c r="F3007" s="62" t="s">
        <v>144</v>
      </c>
      <c r="G3007" s="62" t="s">
        <v>145</v>
      </c>
      <c r="H3007" s="62" t="s">
        <v>59</v>
      </c>
      <c r="I3007" s="62" t="s">
        <v>47</v>
      </c>
      <c r="J3007" s="62" t="s">
        <v>146</v>
      </c>
      <c r="K3007" s="62" t="s">
        <v>147</v>
      </c>
      <c r="L3007" s="62" t="s">
        <v>148</v>
      </c>
      <c r="M3007" s="62" t="n">
        <v>0</v>
      </c>
      <c r="N3007" s="62" t="n">
        <v>1</v>
      </c>
      <c r="O3007" s="62" t="n">
        <v>1</v>
      </c>
      <c r="P3007" s="62" t="n">
        <v>1</v>
      </c>
      <c r="Q3007" s="62" t="n">
        <v>0</v>
      </c>
      <c r="R3007" s="62" t="n">
        <v>0</v>
      </c>
      <c r="S3007" s="62" t="n">
        <v>0</v>
      </c>
      <c r="T3007" s="62" t="n">
        <v>0</v>
      </c>
      <c r="U3007" s="62"/>
      <c r="V3007" s="62"/>
      <c r="W3007" s="62"/>
      <c r="X3007" s="62"/>
      <c r="Y3007" s="62"/>
      <c r="Z3007" s="62" t="s">
        <v>5481</v>
      </c>
      <c r="AA3007" s="62" t="s">
        <v>5482</v>
      </c>
      <c r="AB3007" s="62" t="n">
        <v>1</v>
      </c>
      <c r="AC3007" s="62" t="n">
        <v>0</v>
      </c>
      <c r="AD3007" s="62" t="n">
        <v>1</v>
      </c>
      <c r="AE3007" s="62" t="n">
        <f aca="false">IF(AND(Dashboard!$C$9="Yes",AC3007=1),0,1)</f>
        <v>1</v>
      </c>
      <c r="AF3007" s="62" t="n">
        <v>0</v>
      </c>
    </row>
    <row r="3008" customFormat="false" ht="15" hidden="false" customHeight="false" outlineLevel="0" collapsed="false">
      <c r="A3008" s="62" t="n">
        <v>3007</v>
      </c>
      <c r="B3008" s="63" t="n">
        <v>46297.1194097222</v>
      </c>
      <c r="C3008" s="64" t="n">
        <v>46296</v>
      </c>
      <c r="D3008" s="62" t="s">
        <v>202</v>
      </c>
      <c r="E3008" s="62" t="s">
        <v>144</v>
      </c>
      <c r="F3008" s="62" t="s">
        <v>144</v>
      </c>
      <c r="G3008" s="62" t="s">
        <v>145</v>
      </c>
      <c r="H3008" s="62" t="s">
        <v>59</v>
      </c>
      <c r="I3008" s="62" t="s">
        <v>47</v>
      </c>
      <c r="J3008" s="62" t="s">
        <v>146</v>
      </c>
      <c r="K3008" s="62" t="s">
        <v>147</v>
      </c>
      <c r="L3008" s="62" t="s">
        <v>148</v>
      </c>
      <c r="M3008" s="62" t="n">
        <v>0</v>
      </c>
      <c r="N3008" s="62" t="n">
        <v>1</v>
      </c>
      <c r="O3008" s="62" t="n">
        <v>1</v>
      </c>
      <c r="P3008" s="62" t="n">
        <v>1</v>
      </c>
      <c r="Q3008" s="62" t="n">
        <v>0</v>
      </c>
      <c r="R3008" s="62" t="n">
        <v>0</v>
      </c>
      <c r="S3008" s="62" t="n">
        <v>0</v>
      </c>
      <c r="T3008" s="62" t="n">
        <v>0</v>
      </c>
      <c r="U3008" s="62"/>
      <c r="V3008" s="62"/>
      <c r="W3008" s="62"/>
      <c r="X3008" s="62"/>
      <c r="Y3008" s="62"/>
      <c r="Z3008" s="62" t="s">
        <v>5481</v>
      </c>
      <c r="AA3008" s="62" t="s">
        <v>5482</v>
      </c>
      <c r="AB3008" s="62" t="n">
        <v>1</v>
      </c>
      <c r="AC3008" s="62" t="n">
        <v>1</v>
      </c>
      <c r="AD3008" s="62" t="n">
        <v>1</v>
      </c>
      <c r="AE3008" s="62" t="n">
        <f aca="false">IF(AND(Dashboard!$C$9="Yes",AC3008=1),0,1)</f>
        <v>0</v>
      </c>
      <c r="AF3008" s="62" t="n">
        <v>0</v>
      </c>
    </row>
    <row r="3009" customFormat="false" ht="15" hidden="false" customHeight="false" outlineLevel="0" collapsed="false">
      <c r="A3009" s="62" t="n">
        <v>3008</v>
      </c>
      <c r="B3009" s="63" t="n">
        <v>46297.1196064815</v>
      </c>
      <c r="C3009" s="64" t="n">
        <v>46296</v>
      </c>
      <c r="D3009" s="62" t="s">
        <v>202</v>
      </c>
      <c r="E3009" s="62" t="s">
        <v>144</v>
      </c>
      <c r="F3009" s="62" t="s">
        <v>144</v>
      </c>
      <c r="G3009" s="62" t="s">
        <v>145</v>
      </c>
      <c r="H3009" s="62" t="s">
        <v>59</v>
      </c>
      <c r="I3009" s="62" t="s">
        <v>47</v>
      </c>
      <c r="J3009" s="62" t="s">
        <v>146</v>
      </c>
      <c r="K3009" s="62" t="s">
        <v>147</v>
      </c>
      <c r="L3009" s="62" t="s">
        <v>148</v>
      </c>
      <c r="M3009" s="62" t="n">
        <v>0</v>
      </c>
      <c r="N3009" s="62" t="n">
        <v>1</v>
      </c>
      <c r="O3009" s="62" t="n">
        <v>1</v>
      </c>
      <c r="P3009" s="62" t="n">
        <v>1</v>
      </c>
      <c r="Q3009" s="62" t="n">
        <v>0</v>
      </c>
      <c r="R3009" s="62" t="n">
        <v>0</v>
      </c>
      <c r="S3009" s="62" t="n">
        <v>0</v>
      </c>
      <c r="T3009" s="62" t="n">
        <v>0</v>
      </c>
      <c r="U3009" s="62"/>
      <c r="V3009" s="62"/>
      <c r="W3009" s="62"/>
      <c r="X3009" s="62"/>
      <c r="Y3009" s="62"/>
      <c r="Z3009" s="62" t="s">
        <v>5481</v>
      </c>
      <c r="AA3009" s="62" t="s">
        <v>5482</v>
      </c>
      <c r="AB3009" s="62" t="n">
        <v>1</v>
      </c>
      <c r="AC3009" s="62" t="n">
        <v>1</v>
      </c>
      <c r="AD3009" s="62" t="n">
        <v>1</v>
      </c>
      <c r="AE3009" s="62" t="n">
        <f aca="false">IF(AND(Dashboard!$C$9="Yes",AC3009=1),0,1)</f>
        <v>0</v>
      </c>
      <c r="AF3009" s="62" t="n">
        <v>0</v>
      </c>
    </row>
    <row r="3010" customFormat="false" ht="15" hidden="false" customHeight="false" outlineLevel="0" collapsed="false">
      <c r="A3010" s="62" t="n">
        <v>3009</v>
      </c>
      <c r="B3010" s="63" t="n">
        <v>46297.1197685185</v>
      </c>
      <c r="C3010" s="64" t="n">
        <v>46296</v>
      </c>
      <c r="D3010" s="62" t="s">
        <v>202</v>
      </c>
      <c r="E3010" s="62" t="s">
        <v>144</v>
      </c>
      <c r="F3010" s="62" t="s">
        <v>144</v>
      </c>
      <c r="G3010" s="62" t="s">
        <v>145</v>
      </c>
      <c r="H3010" s="62" t="s">
        <v>59</v>
      </c>
      <c r="I3010" s="62" t="s">
        <v>47</v>
      </c>
      <c r="J3010" s="62" t="s">
        <v>146</v>
      </c>
      <c r="K3010" s="62" t="s">
        <v>147</v>
      </c>
      <c r="L3010" s="62" t="s">
        <v>148</v>
      </c>
      <c r="M3010" s="62" t="n">
        <v>0</v>
      </c>
      <c r="N3010" s="62" t="n">
        <v>1</v>
      </c>
      <c r="O3010" s="62" t="n">
        <v>1</v>
      </c>
      <c r="P3010" s="62" t="n">
        <v>1</v>
      </c>
      <c r="Q3010" s="62" t="n">
        <v>0</v>
      </c>
      <c r="R3010" s="62" t="n">
        <v>0</v>
      </c>
      <c r="S3010" s="62" t="n">
        <v>0</v>
      </c>
      <c r="T3010" s="62" t="n">
        <v>0</v>
      </c>
      <c r="U3010" s="62"/>
      <c r="V3010" s="62"/>
      <c r="W3010" s="62"/>
      <c r="X3010" s="62"/>
      <c r="Y3010" s="62"/>
      <c r="Z3010" s="62" t="s">
        <v>5481</v>
      </c>
      <c r="AA3010" s="62" t="s">
        <v>5482</v>
      </c>
      <c r="AB3010" s="62" t="n">
        <v>1</v>
      </c>
      <c r="AC3010" s="62" t="n">
        <v>1</v>
      </c>
      <c r="AD3010" s="62" t="n">
        <v>1</v>
      </c>
      <c r="AE3010" s="62" t="n">
        <f aca="false">IF(AND(Dashboard!$C$9="Yes",AC3010=1),0,1)</f>
        <v>0</v>
      </c>
      <c r="AF3010" s="62" t="n">
        <v>0</v>
      </c>
    </row>
    <row r="3011" customFormat="false" ht="15" hidden="false" customHeight="false" outlineLevel="0" collapsed="false">
      <c r="A3011" s="62" t="n">
        <v>3010</v>
      </c>
      <c r="B3011" s="63" t="n">
        <v>46297.1333680556</v>
      </c>
      <c r="C3011" s="64" t="n">
        <v>46296</v>
      </c>
      <c r="D3011" s="62" t="s">
        <v>202</v>
      </c>
      <c r="E3011" s="62" t="s">
        <v>2476</v>
      </c>
      <c r="F3011" s="62" t="s">
        <v>2476</v>
      </c>
      <c r="G3011" s="62" t="s">
        <v>2477</v>
      </c>
      <c r="H3011" s="62" t="s">
        <v>51</v>
      </c>
      <c r="I3011" s="62" t="s">
        <v>47</v>
      </c>
      <c r="J3011" s="62" t="s">
        <v>146</v>
      </c>
      <c r="K3011" s="62" t="s">
        <v>209</v>
      </c>
      <c r="L3011" s="62" t="s">
        <v>4</v>
      </c>
      <c r="M3011" s="62" t="n">
        <v>1</v>
      </c>
      <c r="N3011" s="62" t="n">
        <v>0</v>
      </c>
      <c r="O3011" s="62" t="n">
        <v>1</v>
      </c>
      <c r="P3011" s="62" t="n">
        <v>0</v>
      </c>
      <c r="Q3011" s="62" t="n">
        <v>0</v>
      </c>
      <c r="R3011" s="62" t="n">
        <v>0</v>
      </c>
      <c r="S3011" s="62" t="n">
        <v>0</v>
      </c>
      <c r="T3011" s="62" t="n">
        <v>0</v>
      </c>
      <c r="U3011" s="62" t="s">
        <v>2056</v>
      </c>
      <c r="V3011" s="62" t="s">
        <v>2057</v>
      </c>
      <c r="W3011" s="62" t="s">
        <v>15</v>
      </c>
      <c r="X3011" s="62"/>
      <c r="Y3011" s="62" t="s">
        <v>2059</v>
      </c>
      <c r="Z3011" s="62" t="s">
        <v>5483</v>
      </c>
      <c r="AA3011" s="62" t="s">
        <v>5484</v>
      </c>
      <c r="AB3011" s="62" t="n">
        <v>1</v>
      </c>
      <c r="AC3011" s="62" t="n">
        <v>0</v>
      </c>
      <c r="AD3011" s="62" t="n">
        <v>1</v>
      </c>
      <c r="AE3011" s="62" t="n">
        <f aca="false">IF(AND(Dashboard!$C$9="Yes",AC3011=1),0,1)</f>
        <v>1</v>
      </c>
      <c r="AF3011" s="62" t="n">
        <v>1</v>
      </c>
    </row>
    <row r="3012" customFormat="false" ht="15" hidden="false" customHeight="false" outlineLevel="0" collapsed="false">
      <c r="A3012" s="62" t="n">
        <v>3011</v>
      </c>
      <c r="B3012" s="63" t="n">
        <v>46297.1334143519</v>
      </c>
      <c r="C3012" s="64" t="n">
        <v>46296</v>
      </c>
      <c r="D3012" s="62" t="s">
        <v>202</v>
      </c>
      <c r="E3012" s="62" t="s">
        <v>4665</v>
      </c>
      <c r="F3012" s="62" t="s">
        <v>4665</v>
      </c>
      <c r="G3012" s="62" t="s">
        <v>4666</v>
      </c>
      <c r="H3012" s="62" t="s">
        <v>58</v>
      </c>
      <c r="I3012" s="62" t="s">
        <v>49</v>
      </c>
      <c r="J3012" s="62" t="s">
        <v>146</v>
      </c>
      <c r="K3012" s="62" t="s">
        <v>209</v>
      </c>
      <c r="L3012" s="62" t="s">
        <v>4</v>
      </c>
      <c r="M3012" s="62" t="n">
        <v>2</v>
      </c>
      <c r="N3012" s="62" t="n">
        <v>0</v>
      </c>
      <c r="O3012" s="62" t="n">
        <v>2</v>
      </c>
      <c r="P3012" s="62" t="n">
        <v>0</v>
      </c>
      <c r="Q3012" s="62" t="n">
        <v>0</v>
      </c>
      <c r="R3012" s="62" t="n">
        <v>0</v>
      </c>
      <c r="S3012" s="62" t="n">
        <v>0</v>
      </c>
      <c r="T3012" s="62" t="n">
        <v>0</v>
      </c>
      <c r="U3012" s="62" t="s">
        <v>2056</v>
      </c>
      <c r="V3012" s="62" t="s">
        <v>2057</v>
      </c>
      <c r="W3012" s="62" t="s">
        <v>2056</v>
      </c>
      <c r="X3012" s="62" t="s">
        <v>2125</v>
      </c>
      <c r="Y3012" s="62" t="s">
        <v>2064</v>
      </c>
      <c r="Z3012" s="62" t="s">
        <v>5485</v>
      </c>
      <c r="AA3012" s="62" t="s">
        <v>5486</v>
      </c>
      <c r="AB3012" s="62" t="n">
        <v>1</v>
      </c>
      <c r="AC3012" s="62" t="n">
        <v>0</v>
      </c>
      <c r="AD3012" s="62" t="n">
        <v>1</v>
      </c>
      <c r="AE3012" s="62" t="n">
        <f aca="false">IF(AND(Dashboard!$C$9="Yes",AC3012=1),0,1)</f>
        <v>1</v>
      </c>
      <c r="AF3012" s="62" t="n">
        <v>1</v>
      </c>
    </row>
    <row r="3013" customFormat="false" ht="15" hidden="false" customHeight="false" outlineLevel="0" collapsed="false">
      <c r="A3013" s="62" t="n">
        <v>3012</v>
      </c>
      <c r="B3013" s="63" t="n">
        <v>46297.1339351852</v>
      </c>
      <c r="C3013" s="64" t="n">
        <v>46296</v>
      </c>
      <c r="D3013" s="62" t="s">
        <v>202</v>
      </c>
      <c r="E3013" s="62" t="s">
        <v>4665</v>
      </c>
      <c r="F3013" s="62" t="s">
        <v>4665</v>
      </c>
      <c r="G3013" s="62" t="s">
        <v>4666</v>
      </c>
      <c r="H3013" s="62" t="s">
        <v>58</v>
      </c>
      <c r="I3013" s="62" t="s">
        <v>49</v>
      </c>
      <c r="J3013" s="62" t="s">
        <v>146</v>
      </c>
      <c r="K3013" s="62" t="s">
        <v>209</v>
      </c>
      <c r="L3013" s="62" t="s">
        <v>4</v>
      </c>
      <c r="M3013" s="62" t="n">
        <v>2</v>
      </c>
      <c r="N3013" s="62" t="n">
        <v>0</v>
      </c>
      <c r="O3013" s="62" t="n">
        <v>2</v>
      </c>
      <c r="P3013" s="62" t="n">
        <v>0</v>
      </c>
      <c r="Q3013" s="62" t="n">
        <v>0</v>
      </c>
      <c r="R3013" s="62" t="n">
        <v>0</v>
      </c>
      <c r="S3013" s="62" t="n">
        <v>0</v>
      </c>
      <c r="T3013" s="62" t="n">
        <v>0</v>
      </c>
      <c r="U3013" s="62" t="s">
        <v>2056</v>
      </c>
      <c r="V3013" s="62" t="s">
        <v>2057</v>
      </c>
      <c r="W3013" s="62" t="s">
        <v>2056</v>
      </c>
      <c r="X3013" s="62" t="s">
        <v>2234</v>
      </c>
      <c r="Y3013" s="62" t="s">
        <v>2064</v>
      </c>
      <c r="Z3013" s="62" t="s">
        <v>5485</v>
      </c>
      <c r="AA3013" s="62" t="s">
        <v>5486</v>
      </c>
      <c r="AB3013" s="62" t="n">
        <v>1</v>
      </c>
      <c r="AC3013" s="62" t="n">
        <v>1</v>
      </c>
      <c r="AD3013" s="62" t="n">
        <v>1</v>
      </c>
      <c r="AE3013" s="62" t="n">
        <f aca="false">IF(AND(Dashboard!$C$9="Yes",AC3013=1),0,1)</f>
        <v>0</v>
      </c>
      <c r="AF3013" s="62" t="n">
        <v>0</v>
      </c>
    </row>
    <row r="3014" customFormat="false" ht="15" hidden="false" customHeight="false" outlineLevel="0" collapsed="false">
      <c r="A3014" s="62" t="n">
        <v>3013</v>
      </c>
      <c r="B3014" s="63" t="n">
        <v>46297.1682291667</v>
      </c>
      <c r="C3014" s="64" t="n">
        <v>46296</v>
      </c>
      <c r="D3014" s="62" t="s">
        <v>202</v>
      </c>
      <c r="E3014" s="62" t="s">
        <v>2365</v>
      </c>
      <c r="F3014" s="62" t="s">
        <v>2365</v>
      </c>
      <c r="G3014" s="62" t="s">
        <v>2366</v>
      </c>
      <c r="H3014" s="62" t="s">
        <v>52</v>
      </c>
      <c r="I3014" s="62" t="s">
        <v>47</v>
      </c>
      <c r="J3014" s="62" t="s">
        <v>146</v>
      </c>
      <c r="K3014" s="62" t="s">
        <v>147</v>
      </c>
      <c r="L3014" s="62" t="s">
        <v>4</v>
      </c>
      <c r="M3014" s="62" t="n">
        <v>1</v>
      </c>
      <c r="N3014" s="62" t="n">
        <v>0</v>
      </c>
      <c r="O3014" s="62" t="n">
        <v>1</v>
      </c>
      <c r="P3014" s="62" t="n">
        <v>0</v>
      </c>
      <c r="Q3014" s="62" t="n">
        <v>0</v>
      </c>
      <c r="R3014" s="62" t="n">
        <v>0</v>
      </c>
      <c r="S3014" s="62" t="n">
        <v>0</v>
      </c>
      <c r="T3014" s="62" t="n">
        <v>0</v>
      </c>
      <c r="U3014" s="62" t="s">
        <v>2056</v>
      </c>
      <c r="V3014" s="62" t="s">
        <v>2057</v>
      </c>
      <c r="W3014" s="62" t="s">
        <v>2056</v>
      </c>
      <c r="X3014" s="62" t="s">
        <v>3214</v>
      </c>
      <c r="Y3014" s="62" t="s">
        <v>2064</v>
      </c>
      <c r="Z3014" s="62" t="s">
        <v>5487</v>
      </c>
      <c r="AA3014" s="62" t="s">
        <v>5488</v>
      </c>
      <c r="AB3014" s="62" t="n">
        <v>1</v>
      </c>
      <c r="AC3014" s="62" t="n">
        <v>0</v>
      </c>
      <c r="AD3014" s="62" t="n">
        <v>1</v>
      </c>
      <c r="AE3014" s="62" t="n">
        <f aca="false">IF(AND(Dashboard!$C$9="Yes",AC3014=1),0,1)</f>
        <v>1</v>
      </c>
      <c r="AF3014" s="62" t="n">
        <v>1</v>
      </c>
    </row>
    <row r="3015" customFormat="false" ht="15" hidden="false" customHeight="false" outlineLevel="0" collapsed="false">
      <c r="A3015" s="62" t="n">
        <v>3014</v>
      </c>
      <c r="B3015" s="63" t="n">
        <v>46297.1686805556</v>
      </c>
      <c r="C3015" s="64" t="n">
        <v>46296</v>
      </c>
      <c r="D3015" s="62" t="s">
        <v>202</v>
      </c>
      <c r="E3015" s="62" t="s">
        <v>2365</v>
      </c>
      <c r="F3015" s="62" t="s">
        <v>2365</v>
      </c>
      <c r="G3015" s="62" t="s">
        <v>2366</v>
      </c>
      <c r="H3015" s="62" t="s">
        <v>52</v>
      </c>
      <c r="I3015" s="62" t="s">
        <v>47</v>
      </c>
      <c r="J3015" s="62" t="s">
        <v>146</v>
      </c>
      <c r="K3015" s="62" t="s">
        <v>147</v>
      </c>
      <c r="L3015" s="62" t="s">
        <v>148</v>
      </c>
      <c r="M3015" s="62" t="n">
        <v>0</v>
      </c>
      <c r="N3015" s="62" t="n">
        <v>1</v>
      </c>
      <c r="O3015" s="62" t="n">
        <v>1</v>
      </c>
      <c r="P3015" s="62" t="n">
        <v>1</v>
      </c>
      <c r="Q3015" s="62" t="n">
        <v>0</v>
      </c>
      <c r="R3015" s="62" t="n">
        <v>0</v>
      </c>
      <c r="S3015" s="62" t="n">
        <v>0</v>
      </c>
      <c r="T3015" s="62" t="n">
        <v>0</v>
      </c>
      <c r="U3015" s="62"/>
      <c r="V3015" s="62"/>
      <c r="W3015" s="62"/>
      <c r="X3015" s="62"/>
      <c r="Y3015" s="62"/>
      <c r="Z3015" s="62" t="s">
        <v>5489</v>
      </c>
      <c r="AA3015" s="62" t="s">
        <v>5490</v>
      </c>
      <c r="AB3015" s="62" t="n">
        <v>1</v>
      </c>
      <c r="AC3015" s="62" t="n">
        <v>0</v>
      </c>
      <c r="AD3015" s="62" t="n">
        <v>1</v>
      </c>
      <c r="AE3015" s="62" t="n">
        <f aca="false">IF(AND(Dashboard!$C$9="Yes",AC3015=1),0,1)</f>
        <v>1</v>
      </c>
      <c r="AF3015" s="62" t="n">
        <v>0</v>
      </c>
    </row>
    <row r="3016" customFormat="false" ht="15" hidden="false" customHeight="false" outlineLevel="0" collapsed="false">
      <c r="A3016" s="62" t="n">
        <v>3015</v>
      </c>
      <c r="B3016" s="63" t="n">
        <v>46297.1924768519</v>
      </c>
      <c r="C3016" s="64" t="n">
        <v>46296</v>
      </c>
      <c r="D3016" s="62" t="s">
        <v>202</v>
      </c>
      <c r="E3016" s="62" t="s">
        <v>196</v>
      </c>
      <c r="F3016" s="62" t="s">
        <v>196</v>
      </c>
      <c r="G3016" s="62" t="s">
        <v>197</v>
      </c>
      <c r="H3016" s="62" t="s">
        <v>57</v>
      </c>
      <c r="I3016" s="62" t="s">
        <v>47</v>
      </c>
      <c r="J3016" s="62" t="s">
        <v>146</v>
      </c>
      <c r="K3016" s="62" t="s">
        <v>175</v>
      </c>
      <c r="L3016" s="62" t="s">
        <v>148</v>
      </c>
      <c r="M3016" s="62" t="n">
        <v>0</v>
      </c>
      <c r="N3016" s="62" t="n">
        <v>1</v>
      </c>
      <c r="O3016" s="62" t="n">
        <v>1</v>
      </c>
      <c r="P3016" s="62" t="n">
        <v>1</v>
      </c>
      <c r="Q3016" s="62" t="n">
        <v>0</v>
      </c>
      <c r="R3016" s="62" t="n">
        <v>0</v>
      </c>
      <c r="S3016" s="62" t="n">
        <v>0</v>
      </c>
      <c r="T3016" s="62" t="n">
        <v>0</v>
      </c>
      <c r="U3016" s="62"/>
      <c r="V3016" s="62"/>
      <c r="W3016" s="62"/>
      <c r="X3016" s="62"/>
      <c r="Y3016" s="62"/>
      <c r="Z3016" s="62" t="s">
        <v>5491</v>
      </c>
      <c r="AA3016" s="62" t="s">
        <v>5492</v>
      </c>
      <c r="AB3016" s="62" t="n">
        <v>1</v>
      </c>
      <c r="AC3016" s="62" t="n">
        <v>0</v>
      </c>
      <c r="AD3016" s="62" t="n">
        <v>1</v>
      </c>
      <c r="AE3016" s="62" t="n">
        <f aca="false">IF(AND(Dashboard!$C$9="Yes",AC3016=1),0,1)</f>
        <v>1</v>
      </c>
      <c r="AF3016" s="62" t="n">
        <v>1</v>
      </c>
    </row>
    <row r="3017" customFormat="false" ht="15" hidden="false" customHeight="false" outlineLevel="0" collapsed="false">
      <c r="A3017" s="62" t="n">
        <v>3016</v>
      </c>
      <c r="B3017" s="63" t="n">
        <v>46297.2036805556</v>
      </c>
      <c r="C3017" s="64" t="n">
        <v>46296</v>
      </c>
      <c r="D3017" s="62" t="s">
        <v>202</v>
      </c>
      <c r="E3017" s="62" t="s">
        <v>414</v>
      </c>
      <c r="F3017" s="62" t="s">
        <v>414</v>
      </c>
      <c r="G3017" s="62" t="s">
        <v>415</v>
      </c>
      <c r="H3017" s="62" t="s">
        <v>57</v>
      </c>
      <c r="I3017" s="62" t="s">
        <v>47</v>
      </c>
      <c r="J3017" s="62" t="s">
        <v>146</v>
      </c>
      <c r="K3017" s="62" t="s">
        <v>147</v>
      </c>
      <c r="L3017" s="62" t="s">
        <v>148</v>
      </c>
      <c r="M3017" s="62" t="n">
        <v>0</v>
      </c>
      <c r="N3017" s="62" t="n">
        <v>1</v>
      </c>
      <c r="O3017" s="62" t="n">
        <v>1</v>
      </c>
      <c r="P3017" s="62" t="n">
        <v>0</v>
      </c>
      <c r="Q3017" s="62" t="n">
        <v>0</v>
      </c>
      <c r="R3017" s="62" t="n">
        <v>1</v>
      </c>
      <c r="S3017" s="62" t="n">
        <v>0</v>
      </c>
      <c r="T3017" s="62" t="n">
        <v>0</v>
      </c>
      <c r="U3017" s="62"/>
      <c r="V3017" s="62"/>
      <c r="W3017" s="62"/>
      <c r="X3017" s="62"/>
      <c r="Y3017" s="62"/>
      <c r="Z3017" s="62" t="s">
        <v>5493</v>
      </c>
      <c r="AA3017" s="62" t="s">
        <v>5494</v>
      </c>
      <c r="AB3017" s="62" t="n">
        <v>1</v>
      </c>
      <c r="AC3017" s="62" t="n">
        <v>0</v>
      </c>
      <c r="AD3017" s="62" t="n">
        <v>1</v>
      </c>
      <c r="AE3017" s="62" t="n">
        <f aca="false">IF(AND(Dashboard!$C$9="Yes",AC3017=1),0,1)</f>
        <v>1</v>
      </c>
      <c r="AF3017" s="62" t="n">
        <v>0</v>
      </c>
    </row>
    <row r="3018" customFormat="false" ht="15" hidden="false" customHeight="false" outlineLevel="0" collapsed="false">
      <c r="A3018" s="62" t="n">
        <v>3017</v>
      </c>
      <c r="B3018" s="63" t="n">
        <v>46297.2068171296</v>
      </c>
      <c r="C3018" s="64" t="n">
        <v>46296</v>
      </c>
      <c r="D3018" s="62" t="s">
        <v>202</v>
      </c>
      <c r="E3018" s="62" t="s">
        <v>144</v>
      </c>
      <c r="F3018" s="62" t="s">
        <v>144</v>
      </c>
      <c r="G3018" s="62" t="s">
        <v>145</v>
      </c>
      <c r="H3018" s="62" t="s">
        <v>59</v>
      </c>
      <c r="I3018" s="62" t="s">
        <v>47</v>
      </c>
      <c r="J3018" s="62" t="s">
        <v>146</v>
      </c>
      <c r="K3018" s="62" t="s">
        <v>147</v>
      </c>
      <c r="L3018" s="62" t="s">
        <v>148</v>
      </c>
      <c r="M3018" s="62" t="n">
        <v>0</v>
      </c>
      <c r="N3018" s="62" t="n">
        <v>1</v>
      </c>
      <c r="O3018" s="62" t="n">
        <v>1</v>
      </c>
      <c r="P3018" s="62" t="n">
        <v>1</v>
      </c>
      <c r="Q3018" s="62" t="n">
        <v>0</v>
      </c>
      <c r="R3018" s="62" t="n">
        <v>0</v>
      </c>
      <c r="S3018" s="62" t="n">
        <v>0</v>
      </c>
      <c r="T3018" s="62" t="n">
        <v>0</v>
      </c>
      <c r="U3018" s="62"/>
      <c r="V3018" s="62"/>
      <c r="W3018" s="62"/>
      <c r="X3018" s="62"/>
      <c r="Y3018" s="62"/>
      <c r="Z3018" s="62" t="s">
        <v>5495</v>
      </c>
      <c r="AA3018" s="62" t="s">
        <v>5496</v>
      </c>
      <c r="AB3018" s="62" t="n">
        <v>1</v>
      </c>
      <c r="AC3018" s="62" t="n">
        <v>0</v>
      </c>
      <c r="AD3018" s="62" t="n">
        <v>1</v>
      </c>
      <c r="AE3018" s="62" t="n">
        <f aca="false">IF(AND(Dashboard!$C$9="Yes",AC3018=1),0,1)</f>
        <v>1</v>
      </c>
      <c r="AF3018" s="62" t="n">
        <v>0</v>
      </c>
    </row>
    <row r="3019" customFormat="false" ht="15" hidden="false" customHeight="false" outlineLevel="0" collapsed="false">
      <c r="A3019" s="62" t="n">
        <v>3018</v>
      </c>
      <c r="B3019" s="63" t="n">
        <v>46297.2071064815</v>
      </c>
      <c r="C3019" s="64" t="n">
        <v>46296</v>
      </c>
      <c r="D3019" s="62" t="s">
        <v>202</v>
      </c>
      <c r="E3019" s="62" t="s">
        <v>144</v>
      </c>
      <c r="F3019" s="62" t="s">
        <v>144</v>
      </c>
      <c r="G3019" s="62" t="s">
        <v>145</v>
      </c>
      <c r="H3019" s="62" t="s">
        <v>59</v>
      </c>
      <c r="I3019" s="62" t="s">
        <v>47</v>
      </c>
      <c r="J3019" s="62" t="s">
        <v>146</v>
      </c>
      <c r="K3019" s="62" t="s">
        <v>147</v>
      </c>
      <c r="L3019" s="62" t="s">
        <v>148</v>
      </c>
      <c r="M3019" s="62" t="n">
        <v>0</v>
      </c>
      <c r="N3019" s="62" t="n">
        <v>1</v>
      </c>
      <c r="O3019" s="62" t="n">
        <v>1</v>
      </c>
      <c r="P3019" s="62" t="n">
        <v>1</v>
      </c>
      <c r="Q3019" s="62" t="n">
        <v>0</v>
      </c>
      <c r="R3019" s="62" t="n">
        <v>0</v>
      </c>
      <c r="S3019" s="62" t="n">
        <v>0</v>
      </c>
      <c r="T3019" s="62" t="n">
        <v>0</v>
      </c>
      <c r="U3019" s="62"/>
      <c r="V3019" s="62"/>
      <c r="W3019" s="62"/>
      <c r="X3019" s="62"/>
      <c r="Y3019" s="62"/>
      <c r="Z3019" s="62" t="s">
        <v>5495</v>
      </c>
      <c r="AA3019" s="62" t="s">
        <v>5496</v>
      </c>
      <c r="AB3019" s="62" t="n">
        <v>1</v>
      </c>
      <c r="AC3019" s="62" t="n">
        <v>1</v>
      </c>
      <c r="AD3019" s="62" t="n">
        <v>1</v>
      </c>
      <c r="AE3019" s="62" t="n">
        <f aca="false">IF(AND(Dashboard!$C$9="Yes",AC3019=1),0,1)</f>
        <v>0</v>
      </c>
      <c r="AF3019" s="62" t="n">
        <v>0</v>
      </c>
    </row>
    <row r="3020" customFormat="false" ht="15" hidden="false" customHeight="false" outlineLevel="0" collapsed="false">
      <c r="A3020" s="62" t="n">
        <v>3019</v>
      </c>
      <c r="B3020" s="63" t="n">
        <v>46297.2072685185</v>
      </c>
      <c r="C3020" s="64" t="n">
        <v>46296</v>
      </c>
      <c r="D3020" s="62" t="s">
        <v>202</v>
      </c>
      <c r="E3020" s="62" t="s">
        <v>144</v>
      </c>
      <c r="F3020" s="62" t="s">
        <v>144</v>
      </c>
      <c r="G3020" s="62" t="s">
        <v>145</v>
      </c>
      <c r="H3020" s="62" t="s">
        <v>59</v>
      </c>
      <c r="I3020" s="62" t="s">
        <v>47</v>
      </c>
      <c r="J3020" s="62" t="s">
        <v>146</v>
      </c>
      <c r="K3020" s="62" t="s">
        <v>147</v>
      </c>
      <c r="L3020" s="62" t="s">
        <v>148</v>
      </c>
      <c r="M3020" s="62" t="n">
        <v>0</v>
      </c>
      <c r="N3020" s="62" t="n">
        <v>1</v>
      </c>
      <c r="O3020" s="62" t="n">
        <v>1</v>
      </c>
      <c r="P3020" s="62" t="n">
        <v>1</v>
      </c>
      <c r="Q3020" s="62" t="n">
        <v>0</v>
      </c>
      <c r="R3020" s="62" t="n">
        <v>0</v>
      </c>
      <c r="S3020" s="62" t="n">
        <v>0</v>
      </c>
      <c r="T3020" s="62" t="n">
        <v>0</v>
      </c>
      <c r="U3020" s="62"/>
      <c r="V3020" s="62"/>
      <c r="W3020" s="62"/>
      <c r="X3020" s="62"/>
      <c r="Y3020" s="62"/>
      <c r="Z3020" s="62" t="s">
        <v>5495</v>
      </c>
      <c r="AA3020" s="62" t="s">
        <v>5496</v>
      </c>
      <c r="AB3020" s="62" t="n">
        <v>1</v>
      </c>
      <c r="AC3020" s="62" t="n">
        <v>1</v>
      </c>
      <c r="AD3020" s="62" t="n">
        <v>1</v>
      </c>
      <c r="AE3020" s="62" t="n">
        <f aca="false">IF(AND(Dashboard!$C$9="Yes",AC3020=1),0,1)</f>
        <v>0</v>
      </c>
      <c r="AF3020" s="62" t="n">
        <v>0</v>
      </c>
    </row>
    <row r="3021" customFormat="false" ht="15" hidden="false" customHeight="false" outlineLevel="0" collapsed="false">
      <c r="A3021" s="62" t="n">
        <v>3020</v>
      </c>
      <c r="B3021" s="63" t="n">
        <v>46297.2074768519</v>
      </c>
      <c r="C3021" s="64" t="n">
        <v>46296</v>
      </c>
      <c r="D3021" s="62" t="s">
        <v>202</v>
      </c>
      <c r="E3021" s="62" t="s">
        <v>144</v>
      </c>
      <c r="F3021" s="62" t="s">
        <v>144</v>
      </c>
      <c r="G3021" s="62" t="s">
        <v>145</v>
      </c>
      <c r="H3021" s="62" t="s">
        <v>59</v>
      </c>
      <c r="I3021" s="62" t="s">
        <v>47</v>
      </c>
      <c r="J3021" s="62" t="s">
        <v>146</v>
      </c>
      <c r="K3021" s="62" t="s">
        <v>147</v>
      </c>
      <c r="L3021" s="62" t="s">
        <v>148</v>
      </c>
      <c r="M3021" s="62" t="n">
        <v>0</v>
      </c>
      <c r="N3021" s="62" t="n">
        <v>1</v>
      </c>
      <c r="O3021" s="62" t="n">
        <v>1</v>
      </c>
      <c r="P3021" s="62" t="n">
        <v>1</v>
      </c>
      <c r="Q3021" s="62" t="n">
        <v>0</v>
      </c>
      <c r="R3021" s="62" t="n">
        <v>0</v>
      </c>
      <c r="S3021" s="62" t="n">
        <v>0</v>
      </c>
      <c r="T3021" s="62" t="n">
        <v>0</v>
      </c>
      <c r="U3021" s="62"/>
      <c r="V3021" s="62"/>
      <c r="W3021" s="62"/>
      <c r="X3021" s="62"/>
      <c r="Y3021" s="62"/>
      <c r="Z3021" s="62" t="s">
        <v>5495</v>
      </c>
      <c r="AA3021" s="62" t="s">
        <v>5496</v>
      </c>
      <c r="AB3021" s="62" t="n">
        <v>1</v>
      </c>
      <c r="AC3021" s="62" t="n">
        <v>1</v>
      </c>
      <c r="AD3021" s="62" t="n">
        <v>1</v>
      </c>
      <c r="AE3021" s="62" t="n">
        <f aca="false">IF(AND(Dashboard!$C$9="Yes",AC3021=1),0,1)</f>
        <v>0</v>
      </c>
      <c r="AF3021" s="62" t="n">
        <v>0</v>
      </c>
    </row>
    <row r="3022" customFormat="false" ht="15" hidden="false" customHeight="false" outlineLevel="0" collapsed="false">
      <c r="A3022" s="62" t="n">
        <v>3021</v>
      </c>
      <c r="B3022" s="63" t="n">
        <v>46297.2225</v>
      </c>
      <c r="C3022" s="64" t="n">
        <v>46296</v>
      </c>
      <c r="D3022" s="62" t="s">
        <v>202</v>
      </c>
      <c r="E3022" s="62" t="s">
        <v>2476</v>
      </c>
      <c r="F3022" s="62" t="s">
        <v>2476</v>
      </c>
      <c r="G3022" s="62" t="s">
        <v>2477</v>
      </c>
      <c r="H3022" s="62" t="s">
        <v>51</v>
      </c>
      <c r="I3022" s="62" t="s">
        <v>47</v>
      </c>
      <c r="J3022" s="62" t="s">
        <v>146</v>
      </c>
      <c r="K3022" s="62" t="s">
        <v>209</v>
      </c>
      <c r="L3022" s="62" t="s">
        <v>4</v>
      </c>
      <c r="M3022" s="62" t="n">
        <v>1</v>
      </c>
      <c r="N3022" s="62" t="n">
        <v>0</v>
      </c>
      <c r="O3022" s="62" t="n">
        <v>1</v>
      </c>
      <c r="P3022" s="62" t="n">
        <v>0</v>
      </c>
      <c r="Q3022" s="62" t="n">
        <v>0</v>
      </c>
      <c r="R3022" s="62" t="n">
        <v>0</v>
      </c>
      <c r="S3022" s="62" t="n">
        <v>0</v>
      </c>
      <c r="T3022" s="62" t="n">
        <v>0</v>
      </c>
      <c r="U3022" s="62" t="s">
        <v>2056</v>
      </c>
      <c r="V3022" s="62" t="s">
        <v>2057</v>
      </c>
      <c r="W3022" s="62" t="s">
        <v>15</v>
      </c>
      <c r="X3022" s="62"/>
      <c r="Y3022" s="62" t="s">
        <v>2059</v>
      </c>
      <c r="Z3022" s="62" t="s">
        <v>5483</v>
      </c>
      <c r="AA3022" s="62" t="s">
        <v>5484</v>
      </c>
      <c r="AB3022" s="62" t="n">
        <v>1</v>
      </c>
      <c r="AC3022" s="62" t="n">
        <v>1</v>
      </c>
      <c r="AD3022" s="62" t="n">
        <v>1</v>
      </c>
      <c r="AE3022" s="62" t="n">
        <f aca="false">IF(AND(Dashboard!$C$9="Yes",AC3022=1),0,1)</f>
        <v>0</v>
      </c>
      <c r="AF3022" s="62" t="n">
        <v>0</v>
      </c>
    </row>
    <row r="3023" customFormat="false" ht="15" hidden="false" customHeight="false" outlineLevel="0" collapsed="false">
      <c r="A3023" s="62" t="n">
        <v>3022</v>
      </c>
      <c r="B3023" s="63" t="n">
        <v>46297.2497916667</v>
      </c>
      <c r="C3023" s="64" t="n">
        <v>46296</v>
      </c>
      <c r="D3023" s="62" t="s">
        <v>202</v>
      </c>
      <c r="E3023" s="62" t="s">
        <v>5497</v>
      </c>
      <c r="F3023" s="62" t="s">
        <v>5497</v>
      </c>
      <c r="G3023" s="62" t="s">
        <v>5498</v>
      </c>
      <c r="H3023" s="62" t="s">
        <v>57</v>
      </c>
      <c r="I3023" s="62" t="s">
        <v>47</v>
      </c>
      <c r="J3023" s="62" t="s">
        <v>146</v>
      </c>
      <c r="K3023" s="62" t="s">
        <v>147</v>
      </c>
      <c r="L3023" s="62" t="s">
        <v>148</v>
      </c>
      <c r="M3023" s="62" t="n">
        <v>0</v>
      </c>
      <c r="N3023" s="62" t="n">
        <v>1</v>
      </c>
      <c r="O3023" s="62" t="n">
        <v>1</v>
      </c>
      <c r="P3023" s="62" t="n">
        <v>0</v>
      </c>
      <c r="Q3023" s="62" t="n">
        <v>0</v>
      </c>
      <c r="R3023" s="62" t="n">
        <v>0</v>
      </c>
      <c r="S3023" s="62" t="n">
        <v>0</v>
      </c>
      <c r="T3023" s="62" t="n">
        <v>1</v>
      </c>
      <c r="U3023" s="62"/>
      <c r="V3023" s="62"/>
      <c r="W3023" s="62"/>
      <c r="X3023" s="62"/>
      <c r="Y3023" s="62"/>
      <c r="Z3023" s="62" t="s">
        <v>5499</v>
      </c>
      <c r="AA3023" s="62" t="s">
        <v>5500</v>
      </c>
      <c r="AB3023" s="62" t="n">
        <v>1</v>
      </c>
      <c r="AC3023" s="62" t="n">
        <v>0</v>
      </c>
      <c r="AD3023" s="62" t="n">
        <v>1</v>
      </c>
      <c r="AE3023" s="62" t="n">
        <f aca="false">IF(AND(Dashboard!$C$9="Yes",AC3023=1),0,1)</f>
        <v>1</v>
      </c>
      <c r="AF3023" s="62" t="n">
        <v>1</v>
      </c>
    </row>
    <row r="3024" customFormat="false" ht="15" hidden="false" customHeight="false" outlineLevel="0" collapsed="false">
      <c r="A3024" s="62" t="n">
        <v>3023</v>
      </c>
      <c r="B3024" s="63" t="n">
        <v>46297.2587615741</v>
      </c>
      <c r="C3024" s="64" t="n">
        <v>46296</v>
      </c>
      <c r="D3024" s="62" t="s">
        <v>202</v>
      </c>
      <c r="E3024" s="62" t="s">
        <v>2959</v>
      </c>
      <c r="F3024" s="62" t="s">
        <v>2959</v>
      </c>
      <c r="G3024" s="62" t="s">
        <v>2960</v>
      </c>
      <c r="H3024" s="62" t="s">
        <v>58</v>
      </c>
      <c r="I3024" s="62" t="s">
        <v>49</v>
      </c>
      <c r="J3024" s="62" t="s">
        <v>146</v>
      </c>
      <c r="K3024" s="62" t="s">
        <v>175</v>
      </c>
      <c r="L3024" s="62" t="s">
        <v>148</v>
      </c>
      <c r="M3024" s="62" t="n">
        <v>0</v>
      </c>
      <c r="N3024" s="62" t="n">
        <v>2</v>
      </c>
      <c r="O3024" s="62" t="n">
        <v>2</v>
      </c>
      <c r="P3024" s="62" t="n">
        <v>1</v>
      </c>
      <c r="Q3024" s="62" t="n">
        <v>1</v>
      </c>
      <c r="R3024" s="62" t="n">
        <v>0</v>
      </c>
      <c r="S3024" s="62" t="n">
        <v>0</v>
      </c>
      <c r="T3024" s="62" t="n">
        <v>0</v>
      </c>
      <c r="U3024" s="62"/>
      <c r="V3024" s="62"/>
      <c r="W3024" s="62"/>
      <c r="X3024" s="62"/>
      <c r="Y3024" s="62"/>
      <c r="Z3024" s="62" t="s">
        <v>5501</v>
      </c>
      <c r="AA3024" s="62" t="s">
        <v>5502</v>
      </c>
      <c r="AB3024" s="62" t="n">
        <v>1</v>
      </c>
      <c r="AC3024" s="62" t="n">
        <v>0</v>
      </c>
      <c r="AD3024" s="62" t="n">
        <v>1</v>
      </c>
      <c r="AE3024" s="62" t="n">
        <f aca="false">IF(AND(Dashboard!$C$9="Yes",AC3024=1),0,1)</f>
        <v>1</v>
      </c>
      <c r="AF3024" s="62" t="n">
        <v>1</v>
      </c>
    </row>
    <row r="3025" customFormat="false" ht="15" hidden="false" customHeight="false" outlineLevel="0" collapsed="false">
      <c r="A3025" s="62" t="n">
        <v>3024</v>
      </c>
      <c r="B3025" s="63" t="n">
        <v>46297.6350810185</v>
      </c>
      <c r="C3025" s="64" t="n">
        <v>46297</v>
      </c>
      <c r="D3025" s="62" t="s">
        <v>288</v>
      </c>
      <c r="E3025" s="62" t="s">
        <v>573</v>
      </c>
      <c r="F3025" s="62" t="s">
        <v>573</v>
      </c>
      <c r="G3025" s="62" t="s">
        <v>574</v>
      </c>
      <c r="H3025" s="62" t="s">
        <v>51</v>
      </c>
      <c r="I3025" s="62" t="s">
        <v>47</v>
      </c>
      <c r="J3025" s="62" t="s">
        <v>146</v>
      </c>
      <c r="K3025" s="62" t="s">
        <v>147</v>
      </c>
      <c r="L3025" s="62" t="s">
        <v>148</v>
      </c>
      <c r="M3025" s="62" t="n">
        <v>0</v>
      </c>
      <c r="N3025" s="62" t="n">
        <v>1</v>
      </c>
      <c r="O3025" s="62" t="n">
        <v>1</v>
      </c>
      <c r="P3025" s="62" t="n">
        <v>1</v>
      </c>
      <c r="Q3025" s="62" t="n">
        <v>0</v>
      </c>
      <c r="R3025" s="62" t="n">
        <v>0</v>
      </c>
      <c r="S3025" s="62" t="n">
        <v>0</v>
      </c>
      <c r="T3025" s="62" t="n">
        <v>0</v>
      </c>
      <c r="U3025" s="62"/>
      <c r="V3025" s="62"/>
      <c r="W3025" s="62"/>
      <c r="X3025" s="62"/>
      <c r="Y3025" s="62"/>
      <c r="Z3025" s="62" t="s">
        <v>5503</v>
      </c>
      <c r="AA3025" s="62" t="s">
        <v>5504</v>
      </c>
      <c r="AB3025" s="62" t="n">
        <v>1</v>
      </c>
      <c r="AC3025" s="62" t="n">
        <v>0</v>
      </c>
      <c r="AD3025" s="62" t="n">
        <v>1</v>
      </c>
      <c r="AE3025" s="62" t="n">
        <f aca="false">IF(AND(Dashboard!$C$9="Yes",AC3025=1),0,1)</f>
        <v>1</v>
      </c>
      <c r="AF3025" s="62" t="n">
        <v>1</v>
      </c>
    </row>
    <row r="3026" customFormat="false" ht="15" hidden="false" customHeight="false" outlineLevel="0" collapsed="false">
      <c r="A3026" s="62" t="n">
        <v>3025</v>
      </c>
      <c r="B3026" s="63" t="n">
        <v>46297.6541782407</v>
      </c>
      <c r="C3026" s="64" t="n">
        <v>46297</v>
      </c>
      <c r="D3026" s="62" t="s">
        <v>288</v>
      </c>
      <c r="E3026" s="62" t="s">
        <v>3197</v>
      </c>
      <c r="F3026" s="62" t="s">
        <v>3197</v>
      </c>
      <c r="G3026" s="62" t="s">
        <v>3198</v>
      </c>
      <c r="H3026" s="62" t="s">
        <v>44</v>
      </c>
      <c r="I3026" s="62" t="s">
        <v>49</v>
      </c>
      <c r="J3026" s="62" t="s">
        <v>146</v>
      </c>
      <c r="K3026" s="62" t="s">
        <v>147</v>
      </c>
      <c r="L3026" s="62" t="s">
        <v>148</v>
      </c>
      <c r="M3026" s="62" t="n">
        <v>0</v>
      </c>
      <c r="N3026" s="62" t="n">
        <v>1</v>
      </c>
      <c r="O3026" s="62" t="n">
        <v>1</v>
      </c>
      <c r="P3026" s="62" t="n">
        <v>1</v>
      </c>
      <c r="Q3026" s="62" t="n">
        <v>0</v>
      </c>
      <c r="R3026" s="62" t="n">
        <v>0</v>
      </c>
      <c r="S3026" s="62" t="n">
        <v>0</v>
      </c>
      <c r="T3026" s="62" t="n">
        <v>0</v>
      </c>
      <c r="U3026" s="62"/>
      <c r="V3026" s="62"/>
      <c r="W3026" s="62"/>
      <c r="X3026" s="62"/>
      <c r="Y3026" s="62"/>
      <c r="Z3026" s="62" t="s">
        <v>5505</v>
      </c>
      <c r="AA3026" s="62" t="s">
        <v>5506</v>
      </c>
      <c r="AB3026" s="62" t="n">
        <v>1</v>
      </c>
      <c r="AC3026" s="62" t="n">
        <v>0</v>
      </c>
      <c r="AD3026" s="62" t="n">
        <v>1</v>
      </c>
      <c r="AE3026" s="62" t="n">
        <f aca="false">IF(AND(Dashboard!$C$9="Yes",AC3026=1),0,1)</f>
        <v>1</v>
      </c>
      <c r="AF3026" s="62" t="n">
        <v>1</v>
      </c>
    </row>
    <row r="3027" customFormat="false" ht="15" hidden="false" customHeight="false" outlineLevel="0" collapsed="false">
      <c r="A3027" s="62" t="n">
        <v>3026</v>
      </c>
      <c r="B3027" s="63" t="n">
        <v>46297.668599537</v>
      </c>
      <c r="C3027" s="64" t="n">
        <v>46297</v>
      </c>
      <c r="D3027" s="62" t="s">
        <v>288</v>
      </c>
      <c r="E3027" s="62" t="s">
        <v>1445</v>
      </c>
      <c r="F3027" s="62" t="s">
        <v>1445</v>
      </c>
      <c r="G3027" s="62" t="s">
        <v>1446</v>
      </c>
      <c r="H3027" s="62" t="s">
        <v>58</v>
      </c>
      <c r="I3027" s="62" t="s">
        <v>49</v>
      </c>
      <c r="J3027" s="62" t="s">
        <v>146</v>
      </c>
      <c r="K3027" s="62" t="s">
        <v>175</v>
      </c>
      <c r="L3027" s="62" t="s">
        <v>148</v>
      </c>
      <c r="M3027" s="62" t="n">
        <v>0</v>
      </c>
      <c r="N3027" s="62" t="n">
        <v>1</v>
      </c>
      <c r="O3027" s="62" t="n">
        <v>1</v>
      </c>
      <c r="P3027" s="62" t="n">
        <v>1</v>
      </c>
      <c r="Q3027" s="62" t="n">
        <v>0</v>
      </c>
      <c r="R3027" s="62" t="n">
        <v>0</v>
      </c>
      <c r="S3027" s="62" t="n">
        <v>0</v>
      </c>
      <c r="T3027" s="62" t="n">
        <v>0</v>
      </c>
      <c r="U3027" s="62"/>
      <c r="V3027" s="62"/>
      <c r="W3027" s="62"/>
      <c r="X3027" s="62"/>
      <c r="Y3027" s="62"/>
      <c r="Z3027" s="62" t="s">
        <v>5507</v>
      </c>
      <c r="AA3027" s="62" t="s">
        <v>5508</v>
      </c>
      <c r="AB3027" s="62" t="n">
        <v>1</v>
      </c>
      <c r="AC3027" s="62" t="n">
        <v>0</v>
      </c>
      <c r="AD3027" s="62" t="n">
        <v>1</v>
      </c>
      <c r="AE3027" s="62" t="n">
        <f aca="false">IF(AND(Dashboard!$C$9="Yes",AC3027=1),0,1)</f>
        <v>1</v>
      </c>
      <c r="AF3027" s="62" t="n">
        <v>1</v>
      </c>
    </row>
    <row r="3028" customFormat="false" ht="15" hidden="false" customHeight="false" outlineLevel="0" collapsed="false">
      <c r="A3028" s="62" t="n">
        <v>3027</v>
      </c>
      <c r="B3028" s="63" t="n">
        <v>46297.6719907407</v>
      </c>
      <c r="C3028" s="64" t="n">
        <v>46297</v>
      </c>
      <c r="D3028" s="62" t="s">
        <v>288</v>
      </c>
      <c r="E3028" s="62" t="s">
        <v>3061</v>
      </c>
      <c r="F3028" s="62" t="s">
        <v>3061</v>
      </c>
      <c r="G3028" s="62" t="s">
        <v>3062</v>
      </c>
      <c r="H3028" s="62" t="s">
        <v>44</v>
      </c>
      <c r="I3028" s="62" t="s">
        <v>49</v>
      </c>
      <c r="J3028" s="62" t="s">
        <v>146</v>
      </c>
      <c r="K3028" s="62" t="s">
        <v>147</v>
      </c>
      <c r="L3028" s="62" t="s">
        <v>4</v>
      </c>
      <c r="M3028" s="62" t="n">
        <v>1</v>
      </c>
      <c r="N3028" s="62" t="n">
        <v>0</v>
      </c>
      <c r="O3028" s="62" t="n">
        <v>1</v>
      </c>
      <c r="P3028" s="62" t="n">
        <v>0</v>
      </c>
      <c r="Q3028" s="62" t="n">
        <v>0</v>
      </c>
      <c r="R3028" s="62" t="n">
        <v>0</v>
      </c>
      <c r="S3028" s="62" t="n">
        <v>0</v>
      </c>
      <c r="T3028" s="62" t="n">
        <v>0</v>
      </c>
      <c r="U3028" s="62" t="s">
        <v>2056</v>
      </c>
      <c r="V3028" s="62" t="s">
        <v>2057</v>
      </c>
      <c r="W3028" s="62" t="s">
        <v>15</v>
      </c>
      <c r="X3028" s="62" t="s">
        <v>2058</v>
      </c>
      <c r="Y3028" s="62" t="s">
        <v>2059</v>
      </c>
      <c r="Z3028" s="62" t="s">
        <v>5509</v>
      </c>
      <c r="AA3028" s="62" t="s">
        <v>5510</v>
      </c>
      <c r="AB3028" s="62" t="n">
        <v>1</v>
      </c>
      <c r="AC3028" s="62" t="n">
        <v>0</v>
      </c>
      <c r="AD3028" s="62" t="n">
        <v>1</v>
      </c>
      <c r="AE3028" s="62" t="n">
        <f aca="false">IF(AND(Dashboard!$C$9="Yes",AC3028=1),0,1)</f>
        <v>1</v>
      </c>
      <c r="AF3028" s="62" t="n">
        <v>1</v>
      </c>
    </row>
    <row r="3029" customFormat="false" ht="15" hidden="false" customHeight="false" outlineLevel="0" collapsed="false">
      <c r="A3029" s="62" t="n">
        <v>3028</v>
      </c>
      <c r="B3029" s="63" t="n">
        <v>46297.7380555556</v>
      </c>
      <c r="C3029" s="64" t="n">
        <v>46297</v>
      </c>
      <c r="D3029" s="62" t="s">
        <v>288</v>
      </c>
      <c r="E3029" s="62" t="s">
        <v>2777</v>
      </c>
      <c r="F3029" s="62" t="s">
        <v>2777</v>
      </c>
      <c r="G3029" s="62" t="s">
        <v>2778</v>
      </c>
      <c r="H3029" s="62" t="s">
        <v>48</v>
      </c>
      <c r="I3029" s="62" t="s">
        <v>49</v>
      </c>
      <c r="J3029" s="62" t="s">
        <v>146</v>
      </c>
      <c r="K3029" s="62" t="s">
        <v>209</v>
      </c>
      <c r="L3029" s="62" t="s">
        <v>148</v>
      </c>
      <c r="M3029" s="62" t="n">
        <v>0</v>
      </c>
      <c r="N3029" s="62" t="n">
        <v>1</v>
      </c>
      <c r="O3029" s="62" t="n">
        <v>1</v>
      </c>
      <c r="P3029" s="62" t="n">
        <v>1</v>
      </c>
      <c r="Q3029" s="62" t="n">
        <v>0</v>
      </c>
      <c r="R3029" s="62" t="n">
        <v>0</v>
      </c>
      <c r="S3029" s="62" t="n">
        <v>0</v>
      </c>
      <c r="T3029" s="62" t="n">
        <v>0</v>
      </c>
      <c r="U3029" s="62"/>
      <c r="V3029" s="62"/>
      <c r="W3029" s="62"/>
      <c r="X3029" s="62"/>
      <c r="Y3029" s="62"/>
      <c r="Z3029" s="62" t="s">
        <v>5511</v>
      </c>
      <c r="AA3029" s="62" t="s">
        <v>5511</v>
      </c>
      <c r="AB3029" s="62" t="n">
        <v>1</v>
      </c>
      <c r="AC3029" s="62" t="n">
        <v>0</v>
      </c>
      <c r="AD3029" s="62" t="n">
        <v>1</v>
      </c>
      <c r="AE3029" s="62" t="n">
        <f aca="false">IF(AND(Dashboard!$C$9="Yes",AC3029=1),0,1)</f>
        <v>1</v>
      </c>
      <c r="AF3029" s="62" t="n">
        <v>1</v>
      </c>
    </row>
    <row r="3030" customFormat="false" ht="15" hidden="false" customHeight="false" outlineLevel="0" collapsed="false">
      <c r="A3030" s="62" t="n">
        <v>3029</v>
      </c>
      <c r="B3030" s="63" t="n">
        <v>46297.7463425926</v>
      </c>
      <c r="C3030" s="64" t="n">
        <v>46297</v>
      </c>
      <c r="D3030" s="62" t="s">
        <v>288</v>
      </c>
      <c r="E3030" s="62" t="s">
        <v>4542</v>
      </c>
      <c r="F3030" s="62" t="s">
        <v>4542</v>
      </c>
      <c r="G3030" s="62" t="s">
        <v>4543</v>
      </c>
      <c r="H3030" s="62" t="s">
        <v>44</v>
      </c>
      <c r="I3030" s="62" t="s">
        <v>49</v>
      </c>
      <c r="J3030" s="62" t="s">
        <v>146</v>
      </c>
      <c r="K3030" s="62" t="s">
        <v>147</v>
      </c>
      <c r="L3030" s="62" t="s">
        <v>148</v>
      </c>
      <c r="M3030" s="62" t="n">
        <v>0</v>
      </c>
      <c r="N3030" s="62" t="n">
        <v>1</v>
      </c>
      <c r="O3030" s="62" t="n">
        <v>1</v>
      </c>
      <c r="P3030" s="62" t="n">
        <v>0</v>
      </c>
      <c r="Q3030" s="62" t="n">
        <v>0</v>
      </c>
      <c r="R3030" s="62" t="n">
        <v>0</v>
      </c>
      <c r="S3030" s="62" t="n">
        <v>1</v>
      </c>
      <c r="T3030" s="62" t="n">
        <v>0</v>
      </c>
      <c r="U3030" s="62"/>
      <c r="V3030" s="62"/>
      <c r="W3030" s="62"/>
      <c r="X3030" s="62"/>
      <c r="Y3030" s="62"/>
      <c r="Z3030" s="62" t="s">
        <v>5512</v>
      </c>
      <c r="AA3030" s="62" t="s">
        <v>5513</v>
      </c>
      <c r="AB3030" s="62" t="n">
        <v>0</v>
      </c>
      <c r="AC3030" s="62" t="n">
        <v>0</v>
      </c>
      <c r="AD3030" s="62" t="n">
        <v>1</v>
      </c>
      <c r="AE3030" s="62" t="n">
        <f aca="false">IF(AND(Dashboard!$C$9="Yes",AC3030=1),0,1)</f>
        <v>1</v>
      </c>
      <c r="AF3030" s="62" t="n">
        <v>1</v>
      </c>
    </row>
    <row r="3031" customFormat="false" ht="15" hidden="false" customHeight="false" outlineLevel="0" collapsed="false">
      <c r="A3031" s="62" t="n">
        <v>3030</v>
      </c>
      <c r="B3031" s="63" t="n">
        <v>46297.7463541667</v>
      </c>
      <c r="C3031" s="64" t="n">
        <v>46297</v>
      </c>
      <c r="D3031" s="62" t="s">
        <v>288</v>
      </c>
      <c r="E3031" s="62" t="s">
        <v>4329</v>
      </c>
      <c r="F3031" s="62" t="s">
        <v>4329</v>
      </c>
      <c r="G3031" s="62" t="s">
        <v>4330</v>
      </c>
      <c r="H3031" s="62" t="s">
        <v>44</v>
      </c>
      <c r="I3031" s="62" t="s">
        <v>49</v>
      </c>
      <c r="J3031" s="62" t="s">
        <v>146</v>
      </c>
      <c r="K3031" s="62" t="s">
        <v>147</v>
      </c>
      <c r="L3031" s="62" t="s">
        <v>148</v>
      </c>
      <c r="M3031" s="62" t="n">
        <v>0</v>
      </c>
      <c r="N3031" s="62" t="n">
        <v>1</v>
      </c>
      <c r="O3031" s="62" t="n">
        <v>1</v>
      </c>
      <c r="P3031" s="62" t="n">
        <v>1</v>
      </c>
      <c r="Q3031" s="62" t="n">
        <v>0</v>
      </c>
      <c r="R3031" s="62" t="n">
        <v>0</v>
      </c>
      <c r="S3031" s="62" t="n">
        <v>0</v>
      </c>
      <c r="T3031" s="62" t="n">
        <v>0</v>
      </c>
      <c r="U3031" s="62"/>
      <c r="V3031" s="62"/>
      <c r="W3031" s="62"/>
      <c r="X3031" s="62"/>
      <c r="Y3031" s="62"/>
      <c r="Z3031" s="62" t="s">
        <v>5514</v>
      </c>
      <c r="AA3031" s="62" t="s">
        <v>5515</v>
      </c>
      <c r="AB3031" s="62" t="n">
        <v>1</v>
      </c>
      <c r="AC3031" s="62" t="n">
        <v>0</v>
      </c>
      <c r="AD3031" s="62" t="n">
        <v>1</v>
      </c>
      <c r="AE3031" s="62" t="n">
        <f aca="false">IF(AND(Dashboard!$C$9="Yes",AC3031=1),0,1)</f>
        <v>1</v>
      </c>
      <c r="AF3031" s="62" t="n">
        <v>1</v>
      </c>
    </row>
    <row r="3032" customFormat="false" ht="15" hidden="false" customHeight="false" outlineLevel="0" collapsed="false">
      <c r="A3032" s="62" t="n">
        <v>3031</v>
      </c>
      <c r="B3032" s="63" t="n">
        <v>46297.7553472222</v>
      </c>
      <c r="C3032" s="64" t="n">
        <v>46297</v>
      </c>
      <c r="D3032" s="62" t="s">
        <v>288</v>
      </c>
      <c r="E3032" s="62" t="s">
        <v>4234</v>
      </c>
      <c r="F3032" s="62" t="s">
        <v>4234</v>
      </c>
      <c r="G3032" s="62" t="s">
        <v>4235</v>
      </c>
      <c r="H3032" s="62" t="s">
        <v>44</v>
      </c>
      <c r="I3032" s="62" t="s">
        <v>49</v>
      </c>
      <c r="J3032" s="62" t="s">
        <v>146</v>
      </c>
      <c r="K3032" s="62" t="s">
        <v>147</v>
      </c>
      <c r="L3032" s="62" t="s">
        <v>148</v>
      </c>
      <c r="M3032" s="62" t="n">
        <v>0</v>
      </c>
      <c r="N3032" s="62" t="n">
        <v>1</v>
      </c>
      <c r="O3032" s="62" t="n">
        <v>1</v>
      </c>
      <c r="P3032" s="62" t="n">
        <v>1</v>
      </c>
      <c r="Q3032" s="62" t="n">
        <v>0</v>
      </c>
      <c r="R3032" s="62" t="n">
        <v>0</v>
      </c>
      <c r="S3032" s="62" t="n">
        <v>0</v>
      </c>
      <c r="T3032" s="62" t="n">
        <v>0</v>
      </c>
      <c r="U3032" s="62"/>
      <c r="V3032" s="62"/>
      <c r="W3032" s="62"/>
      <c r="X3032" s="62"/>
      <c r="Y3032" s="62"/>
      <c r="Z3032" s="62" t="s">
        <v>5516</v>
      </c>
      <c r="AA3032" s="62" t="s">
        <v>5517</v>
      </c>
      <c r="AB3032" s="62" t="n">
        <v>1</v>
      </c>
      <c r="AC3032" s="62" t="n">
        <v>0</v>
      </c>
      <c r="AD3032" s="62" t="n">
        <v>1</v>
      </c>
      <c r="AE3032" s="62" t="n">
        <f aca="false">IF(AND(Dashboard!$C$9="Yes",AC3032=1),0,1)</f>
        <v>1</v>
      </c>
      <c r="AF3032" s="62" t="n">
        <v>1</v>
      </c>
    </row>
    <row r="3033" customFormat="false" ht="15" hidden="false" customHeight="false" outlineLevel="0" collapsed="false">
      <c r="A3033" s="62" t="n">
        <v>3032</v>
      </c>
      <c r="B3033" s="63" t="n">
        <v>46297.7729398148</v>
      </c>
      <c r="C3033" s="64" t="n">
        <v>46297</v>
      </c>
      <c r="D3033" s="62" t="s">
        <v>288</v>
      </c>
      <c r="E3033" s="62" t="s">
        <v>255</v>
      </c>
      <c r="F3033" s="62" t="s">
        <v>255</v>
      </c>
      <c r="G3033" s="62" t="s">
        <v>256</v>
      </c>
      <c r="H3033" s="62" t="s">
        <v>57</v>
      </c>
      <c r="I3033" s="62" t="s">
        <v>47</v>
      </c>
      <c r="J3033" s="62" t="s">
        <v>146</v>
      </c>
      <c r="K3033" s="62" t="s">
        <v>147</v>
      </c>
      <c r="L3033" s="62" t="s">
        <v>148</v>
      </c>
      <c r="M3033" s="62" t="n">
        <v>0</v>
      </c>
      <c r="N3033" s="62" t="n">
        <v>2</v>
      </c>
      <c r="O3033" s="62" t="n">
        <v>2</v>
      </c>
      <c r="P3033" s="62" t="n">
        <v>0</v>
      </c>
      <c r="Q3033" s="62" t="n">
        <v>0</v>
      </c>
      <c r="R3033" s="62" t="n">
        <v>0</v>
      </c>
      <c r="S3033" s="62" t="n">
        <v>1</v>
      </c>
      <c r="T3033" s="62" t="n">
        <v>1</v>
      </c>
      <c r="U3033" s="62"/>
      <c r="V3033" s="62"/>
      <c r="W3033" s="62"/>
      <c r="X3033" s="62"/>
      <c r="Y3033" s="62"/>
      <c r="Z3033" s="62" t="s">
        <v>5518</v>
      </c>
      <c r="AA3033" s="62" t="s">
        <v>5519</v>
      </c>
      <c r="AB3033" s="62" t="n">
        <v>1</v>
      </c>
      <c r="AC3033" s="62" t="n">
        <v>0</v>
      </c>
      <c r="AD3033" s="62" t="n">
        <v>1</v>
      </c>
      <c r="AE3033" s="62" t="n">
        <f aca="false">IF(AND(Dashboard!$C$9="Yes",AC3033=1),0,1)</f>
        <v>1</v>
      </c>
      <c r="AF3033" s="62" t="n">
        <v>1</v>
      </c>
    </row>
    <row r="3034" customFormat="false" ht="15" hidden="false" customHeight="false" outlineLevel="0" collapsed="false">
      <c r="A3034" s="62" t="n">
        <v>3033</v>
      </c>
      <c r="B3034" s="63" t="n">
        <v>46297.7758912037</v>
      </c>
      <c r="C3034" s="64" t="n">
        <v>46297</v>
      </c>
      <c r="D3034" s="62" t="s">
        <v>288</v>
      </c>
      <c r="E3034" s="62" t="s">
        <v>255</v>
      </c>
      <c r="F3034" s="62" t="s">
        <v>255</v>
      </c>
      <c r="G3034" s="62" t="s">
        <v>256</v>
      </c>
      <c r="H3034" s="62" t="s">
        <v>57</v>
      </c>
      <c r="I3034" s="62" t="s">
        <v>47</v>
      </c>
      <c r="J3034" s="62" t="s">
        <v>146</v>
      </c>
      <c r="K3034" s="62" t="s">
        <v>147</v>
      </c>
      <c r="L3034" s="62" t="s">
        <v>148</v>
      </c>
      <c r="M3034" s="62" t="n">
        <v>0</v>
      </c>
      <c r="N3034" s="62" t="n">
        <v>2</v>
      </c>
      <c r="O3034" s="62" t="n">
        <v>2</v>
      </c>
      <c r="P3034" s="62" t="n">
        <v>0</v>
      </c>
      <c r="Q3034" s="62" t="n">
        <v>0</v>
      </c>
      <c r="R3034" s="62" t="n">
        <v>0</v>
      </c>
      <c r="S3034" s="62" t="n">
        <v>1</v>
      </c>
      <c r="T3034" s="62" t="n">
        <v>1</v>
      </c>
      <c r="U3034" s="62"/>
      <c r="V3034" s="62"/>
      <c r="W3034" s="62"/>
      <c r="X3034" s="62"/>
      <c r="Y3034" s="62"/>
      <c r="Z3034" s="62" t="s">
        <v>5518</v>
      </c>
      <c r="AA3034" s="62" t="s">
        <v>5520</v>
      </c>
      <c r="AB3034" s="62" t="n">
        <v>1</v>
      </c>
      <c r="AC3034" s="62" t="n">
        <v>0</v>
      </c>
      <c r="AD3034" s="62" t="n">
        <v>1</v>
      </c>
      <c r="AE3034" s="62" t="n">
        <f aca="false">IF(AND(Dashboard!$C$9="Yes",AC3034=1),0,1)</f>
        <v>1</v>
      </c>
      <c r="AF3034" s="62" t="n">
        <v>0</v>
      </c>
    </row>
    <row r="3035" customFormat="false" ht="15" hidden="false" customHeight="false" outlineLevel="0" collapsed="false">
      <c r="A3035" s="62" t="n">
        <v>3034</v>
      </c>
      <c r="B3035" s="63" t="n">
        <v>46297.7812268519</v>
      </c>
      <c r="C3035" s="64" t="n">
        <v>46297</v>
      </c>
      <c r="D3035" s="62" t="s">
        <v>288</v>
      </c>
      <c r="E3035" s="62" t="s">
        <v>5521</v>
      </c>
      <c r="F3035" s="62" t="s">
        <v>5521</v>
      </c>
      <c r="G3035" s="62" t="s">
        <v>5522</v>
      </c>
      <c r="H3035" s="62" t="s">
        <v>56</v>
      </c>
      <c r="I3035" s="62" t="s">
        <v>49</v>
      </c>
      <c r="J3035" s="62" t="s">
        <v>3708</v>
      </c>
      <c r="K3035" s="62" t="s">
        <v>209</v>
      </c>
      <c r="L3035" s="62" t="s">
        <v>148</v>
      </c>
      <c r="M3035" s="62" t="n">
        <v>0</v>
      </c>
      <c r="N3035" s="62" t="n">
        <v>1</v>
      </c>
      <c r="O3035" s="62" t="n">
        <v>1</v>
      </c>
      <c r="P3035" s="62" t="n">
        <v>1</v>
      </c>
      <c r="Q3035" s="62" t="n">
        <v>0</v>
      </c>
      <c r="R3035" s="62" t="n">
        <v>0</v>
      </c>
      <c r="S3035" s="62" t="n">
        <v>0</v>
      </c>
      <c r="T3035" s="62" t="n">
        <v>0</v>
      </c>
      <c r="U3035" s="62"/>
      <c r="V3035" s="62"/>
      <c r="W3035" s="62"/>
      <c r="X3035" s="62"/>
      <c r="Y3035" s="62"/>
      <c r="Z3035" s="62" t="s">
        <v>5523</v>
      </c>
      <c r="AA3035" s="62" t="s">
        <v>5524</v>
      </c>
      <c r="AB3035" s="62" t="n">
        <v>1</v>
      </c>
      <c r="AC3035" s="62" t="n">
        <v>0</v>
      </c>
      <c r="AD3035" s="62" t="n">
        <v>1</v>
      </c>
      <c r="AE3035" s="62" t="n">
        <f aca="false">IF(AND(Dashboard!$C$9="Yes",AC3035=1),0,1)</f>
        <v>1</v>
      </c>
      <c r="AF3035" s="62" t="n">
        <v>1</v>
      </c>
    </row>
    <row r="3036" customFormat="false" ht="15" hidden="false" customHeight="false" outlineLevel="0" collapsed="false">
      <c r="A3036" s="62" t="n">
        <v>3035</v>
      </c>
      <c r="B3036" s="63" t="n">
        <v>46297.7833333333</v>
      </c>
      <c r="C3036" s="64" t="n">
        <v>46297</v>
      </c>
      <c r="D3036" s="62" t="s">
        <v>288</v>
      </c>
      <c r="E3036" s="62" t="s">
        <v>4386</v>
      </c>
      <c r="F3036" s="62" t="s">
        <v>4386</v>
      </c>
      <c r="G3036" s="62" t="s">
        <v>4387</v>
      </c>
      <c r="H3036" s="62" t="s">
        <v>44</v>
      </c>
      <c r="I3036" s="62" t="s">
        <v>49</v>
      </c>
      <c r="J3036" s="62" t="s">
        <v>146</v>
      </c>
      <c r="K3036" s="62" t="s">
        <v>147</v>
      </c>
      <c r="L3036" s="62" t="s">
        <v>148</v>
      </c>
      <c r="M3036" s="62" t="n">
        <v>0</v>
      </c>
      <c r="N3036" s="62" t="n">
        <v>1</v>
      </c>
      <c r="O3036" s="62" t="n">
        <v>1</v>
      </c>
      <c r="P3036" s="62" t="n">
        <v>1</v>
      </c>
      <c r="Q3036" s="62" t="n">
        <v>0</v>
      </c>
      <c r="R3036" s="62" t="n">
        <v>0</v>
      </c>
      <c r="S3036" s="62" t="n">
        <v>0</v>
      </c>
      <c r="T3036" s="62" t="n">
        <v>0</v>
      </c>
      <c r="U3036" s="62"/>
      <c r="V3036" s="62"/>
      <c r="W3036" s="62"/>
      <c r="X3036" s="62"/>
      <c r="Y3036" s="62"/>
      <c r="Z3036" s="62" t="s">
        <v>5525</v>
      </c>
      <c r="AA3036" s="62" t="s">
        <v>5526</v>
      </c>
      <c r="AB3036" s="62" t="n">
        <v>1</v>
      </c>
      <c r="AC3036" s="62" t="n">
        <v>0</v>
      </c>
      <c r="AD3036" s="62" t="n">
        <v>1</v>
      </c>
      <c r="AE3036" s="62" t="n">
        <f aca="false">IF(AND(Dashboard!$C$9="Yes",AC3036=1),0,1)</f>
        <v>1</v>
      </c>
      <c r="AF3036" s="62" t="n">
        <v>1</v>
      </c>
    </row>
    <row r="3037" customFormat="false" ht="15" hidden="false" customHeight="false" outlineLevel="0" collapsed="false">
      <c r="A3037" s="62" t="n">
        <v>3036</v>
      </c>
      <c r="B3037" s="63" t="n">
        <v>46297.8002199074</v>
      </c>
      <c r="C3037" s="64" t="n">
        <v>46297</v>
      </c>
      <c r="D3037" s="62" t="s">
        <v>288</v>
      </c>
      <c r="E3037" s="62" t="s">
        <v>3399</v>
      </c>
      <c r="F3037" s="62" t="s">
        <v>3399</v>
      </c>
      <c r="G3037" s="62" t="s">
        <v>3400</v>
      </c>
      <c r="H3037" s="62" t="s">
        <v>58</v>
      </c>
      <c r="I3037" s="62" t="s">
        <v>49</v>
      </c>
      <c r="J3037" s="62" t="s">
        <v>146</v>
      </c>
      <c r="K3037" s="62" t="s">
        <v>209</v>
      </c>
      <c r="L3037" s="62" t="s">
        <v>4</v>
      </c>
      <c r="M3037" s="62" t="n">
        <v>1</v>
      </c>
      <c r="N3037" s="62" t="n">
        <v>0</v>
      </c>
      <c r="O3037" s="62" t="n">
        <v>1</v>
      </c>
      <c r="P3037" s="62" t="n">
        <v>0</v>
      </c>
      <c r="Q3037" s="62" t="n">
        <v>0</v>
      </c>
      <c r="R3037" s="62" t="n">
        <v>0</v>
      </c>
      <c r="S3037" s="62" t="n">
        <v>0</v>
      </c>
      <c r="T3037" s="62" t="n">
        <v>0</v>
      </c>
      <c r="U3037" s="62" t="s">
        <v>2056</v>
      </c>
      <c r="V3037" s="62" t="s">
        <v>2057</v>
      </c>
      <c r="W3037" s="62" t="s">
        <v>15</v>
      </c>
      <c r="X3037" s="62" t="s">
        <v>2058</v>
      </c>
      <c r="Y3037" s="62" t="s">
        <v>2059</v>
      </c>
      <c r="Z3037" s="62" t="s">
        <v>5527</v>
      </c>
      <c r="AA3037" s="62" t="s">
        <v>5528</v>
      </c>
      <c r="AB3037" s="62" t="n">
        <v>1</v>
      </c>
      <c r="AC3037" s="62" t="n">
        <v>0</v>
      </c>
      <c r="AD3037" s="62" t="n">
        <v>1</v>
      </c>
      <c r="AE3037" s="62" t="n">
        <f aca="false">IF(AND(Dashboard!$C$9="Yes",AC3037=1),0,1)</f>
        <v>1</v>
      </c>
      <c r="AF3037" s="62" t="n">
        <v>1</v>
      </c>
    </row>
    <row r="3038" customFormat="false" ht="15" hidden="false" customHeight="false" outlineLevel="0" collapsed="false">
      <c r="A3038" s="62" t="n">
        <v>3037</v>
      </c>
      <c r="B3038" s="63" t="n">
        <v>46297.8015393519</v>
      </c>
      <c r="C3038" s="64" t="n">
        <v>46297</v>
      </c>
      <c r="D3038" s="62" t="s">
        <v>288</v>
      </c>
      <c r="E3038" s="62" t="s">
        <v>4234</v>
      </c>
      <c r="F3038" s="62" t="s">
        <v>4234</v>
      </c>
      <c r="G3038" s="62" t="s">
        <v>4235</v>
      </c>
      <c r="H3038" s="62" t="s">
        <v>44</v>
      </c>
      <c r="I3038" s="62" t="s">
        <v>49</v>
      </c>
      <c r="J3038" s="62" t="s">
        <v>146</v>
      </c>
      <c r="K3038" s="62" t="s">
        <v>147</v>
      </c>
      <c r="L3038" s="62" t="s">
        <v>148</v>
      </c>
      <c r="M3038" s="62" t="n">
        <v>0</v>
      </c>
      <c r="N3038" s="62" t="n">
        <v>1</v>
      </c>
      <c r="O3038" s="62" t="n">
        <v>1</v>
      </c>
      <c r="P3038" s="62" t="n">
        <v>1</v>
      </c>
      <c r="Q3038" s="62" t="n">
        <v>0</v>
      </c>
      <c r="R3038" s="62" t="n">
        <v>0</v>
      </c>
      <c r="S3038" s="62" t="n">
        <v>0</v>
      </c>
      <c r="T3038" s="62" t="n">
        <v>0</v>
      </c>
      <c r="U3038" s="62"/>
      <c r="V3038" s="62"/>
      <c r="W3038" s="62"/>
      <c r="X3038" s="62"/>
      <c r="Y3038" s="62"/>
      <c r="Z3038" s="62" t="s">
        <v>5529</v>
      </c>
      <c r="AA3038" s="62" t="s">
        <v>5530</v>
      </c>
      <c r="AB3038" s="62" t="n">
        <v>1</v>
      </c>
      <c r="AC3038" s="62" t="n">
        <v>0</v>
      </c>
      <c r="AD3038" s="62" t="n">
        <v>1</v>
      </c>
      <c r="AE3038" s="62" t="n">
        <f aca="false">IF(AND(Dashboard!$C$9="Yes",AC3038=1),0,1)</f>
        <v>1</v>
      </c>
      <c r="AF3038" s="62" t="n">
        <v>0</v>
      </c>
    </row>
    <row r="3039" customFormat="false" ht="15" hidden="false" customHeight="false" outlineLevel="0" collapsed="false">
      <c r="A3039" s="62" t="n">
        <v>3038</v>
      </c>
      <c r="B3039" s="63" t="n">
        <v>46297.8106018519</v>
      </c>
      <c r="C3039" s="64" t="n">
        <v>46297</v>
      </c>
      <c r="D3039" s="62" t="s">
        <v>288</v>
      </c>
      <c r="E3039" s="62" t="s">
        <v>1344</v>
      </c>
      <c r="F3039" s="62" t="s">
        <v>1344</v>
      </c>
      <c r="G3039" s="62" t="s">
        <v>1345</v>
      </c>
      <c r="H3039" s="62" t="s">
        <v>48</v>
      </c>
      <c r="I3039" s="62" t="s">
        <v>49</v>
      </c>
      <c r="J3039" s="62" t="s">
        <v>146</v>
      </c>
      <c r="K3039" s="62" t="s">
        <v>209</v>
      </c>
      <c r="L3039" s="62" t="s">
        <v>4</v>
      </c>
      <c r="M3039" s="62" t="n">
        <v>1</v>
      </c>
      <c r="N3039" s="62" t="n">
        <v>0</v>
      </c>
      <c r="O3039" s="62" t="n">
        <v>1</v>
      </c>
      <c r="P3039" s="62" t="n">
        <v>0</v>
      </c>
      <c r="Q3039" s="62" t="n">
        <v>0</v>
      </c>
      <c r="R3039" s="62" t="n">
        <v>0</v>
      </c>
      <c r="S3039" s="62" t="n">
        <v>0</v>
      </c>
      <c r="T3039" s="62" t="n">
        <v>0</v>
      </c>
      <c r="U3039" s="62" t="s">
        <v>2056</v>
      </c>
      <c r="V3039" s="62" t="s">
        <v>2057</v>
      </c>
      <c r="W3039" s="62" t="s">
        <v>15</v>
      </c>
      <c r="X3039" s="62" t="s">
        <v>2164</v>
      </c>
      <c r="Y3039" s="62" t="s">
        <v>2103</v>
      </c>
      <c r="Z3039" s="62" t="s">
        <v>5531</v>
      </c>
      <c r="AA3039" s="62" t="s">
        <v>5532</v>
      </c>
      <c r="AB3039" s="62" t="n">
        <v>1</v>
      </c>
      <c r="AC3039" s="62" t="n">
        <v>0</v>
      </c>
      <c r="AD3039" s="62" t="n">
        <v>1</v>
      </c>
      <c r="AE3039" s="62" t="n">
        <f aca="false">IF(AND(Dashboard!$C$9="Yes",AC3039=1),0,1)</f>
        <v>1</v>
      </c>
      <c r="AF3039" s="62" t="n">
        <v>1</v>
      </c>
    </row>
    <row r="3040" customFormat="false" ht="15" hidden="false" customHeight="false" outlineLevel="0" collapsed="false">
      <c r="A3040" s="62" t="n">
        <v>3039</v>
      </c>
      <c r="B3040" s="63" t="n">
        <v>46297.81125</v>
      </c>
      <c r="C3040" s="64" t="n">
        <v>46297</v>
      </c>
      <c r="D3040" s="62" t="s">
        <v>288</v>
      </c>
      <c r="E3040" s="62" t="s">
        <v>1344</v>
      </c>
      <c r="F3040" s="62" t="s">
        <v>1344</v>
      </c>
      <c r="G3040" s="62" t="s">
        <v>1345</v>
      </c>
      <c r="H3040" s="62" t="s">
        <v>48</v>
      </c>
      <c r="I3040" s="62" t="s">
        <v>49</v>
      </c>
      <c r="J3040" s="62" t="s">
        <v>146</v>
      </c>
      <c r="K3040" s="62" t="s">
        <v>209</v>
      </c>
      <c r="L3040" s="62" t="s">
        <v>4</v>
      </c>
      <c r="M3040" s="62" t="n">
        <v>1</v>
      </c>
      <c r="N3040" s="62" t="n">
        <v>0</v>
      </c>
      <c r="O3040" s="62" t="n">
        <v>1</v>
      </c>
      <c r="P3040" s="62" t="n">
        <v>0</v>
      </c>
      <c r="Q3040" s="62" t="n">
        <v>0</v>
      </c>
      <c r="R3040" s="62" t="n">
        <v>0</v>
      </c>
      <c r="S3040" s="62" t="n">
        <v>0</v>
      </c>
      <c r="T3040" s="62" t="n">
        <v>0</v>
      </c>
      <c r="U3040" s="62" t="s">
        <v>2056</v>
      </c>
      <c r="V3040" s="62" t="s">
        <v>2057</v>
      </c>
      <c r="W3040" s="62" t="s">
        <v>15</v>
      </c>
      <c r="X3040" s="62" t="s">
        <v>2164</v>
      </c>
      <c r="Y3040" s="62" t="s">
        <v>2103</v>
      </c>
      <c r="Z3040" s="62" t="s">
        <v>5531</v>
      </c>
      <c r="AA3040" s="62" t="s">
        <v>5533</v>
      </c>
      <c r="AB3040" s="62" t="n">
        <v>1</v>
      </c>
      <c r="AC3040" s="62" t="n">
        <v>0</v>
      </c>
      <c r="AD3040" s="62" t="n">
        <v>1</v>
      </c>
      <c r="AE3040" s="62" t="n">
        <f aca="false">IF(AND(Dashboard!$C$9="Yes",AC3040=1),0,1)</f>
        <v>1</v>
      </c>
      <c r="AF3040" s="62" t="n">
        <v>0</v>
      </c>
    </row>
    <row r="3041" customFormat="false" ht="15" hidden="false" customHeight="false" outlineLevel="0" collapsed="false">
      <c r="A3041" s="62" t="n">
        <v>3040</v>
      </c>
      <c r="B3041" s="63" t="n">
        <v>46297.8120949074</v>
      </c>
      <c r="C3041" s="64" t="n">
        <v>46297</v>
      </c>
      <c r="D3041" s="62" t="s">
        <v>288</v>
      </c>
      <c r="E3041" s="62" t="s">
        <v>1255</v>
      </c>
      <c r="F3041" s="62" t="s">
        <v>1255</v>
      </c>
      <c r="G3041" s="62" t="s">
        <v>1256</v>
      </c>
      <c r="H3041" s="62" t="s">
        <v>52</v>
      </c>
      <c r="I3041" s="62" t="s">
        <v>47</v>
      </c>
      <c r="J3041" s="62" t="s">
        <v>146</v>
      </c>
      <c r="K3041" s="62" t="s">
        <v>147</v>
      </c>
      <c r="L3041" s="62" t="s">
        <v>4</v>
      </c>
      <c r="M3041" s="62" t="n">
        <v>1</v>
      </c>
      <c r="N3041" s="62" t="n">
        <v>0</v>
      </c>
      <c r="O3041" s="62" t="n">
        <v>1</v>
      </c>
      <c r="P3041" s="62" t="n">
        <v>0</v>
      </c>
      <c r="Q3041" s="62" t="n">
        <v>0</v>
      </c>
      <c r="R3041" s="62" t="n">
        <v>0</v>
      </c>
      <c r="S3041" s="62" t="n">
        <v>0</v>
      </c>
      <c r="T3041" s="62" t="n">
        <v>0</v>
      </c>
      <c r="U3041" s="62" t="s">
        <v>2056</v>
      </c>
      <c r="V3041" s="62" t="s">
        <v>2057</v>
      </c>
      <c r="W3041" s="62" t="s">
        <v>15</v>
      </c>
      <c r="X3041" s="62" t="s">
        <v>2058</v>
      </c>
      <c r="Y3041" s="62" t="s">
        <v>2059</v>
      </c>
      <c r="Z3041" s="62" t="s">
        <v>5534</v>
      </c>
      <c r="AA3041" s="62" t="s">
        <v>5535</v>
      </c>
      <c r="AB3041" s="62" t="n">
        <v>1</v>
      </c>
      <c r="AC3041" s="62" t="n">
        <v>0</v>
      </c>
      <c r="AD3041" s="62" t="n">
        <v>1</v>
      </c>
      <c r="AE3041" s="62" t="n">
        <f aca="false">IF(AND(Dashboard!$C$9="Yes",AC3041=1),0,1)</f>
        <v>1</v>
      </c>
      <c r="AF3041" s="62" t="n">
        <v>1</v>
      </c>
    </row>
    <row r="3042" customFormat="false" ht="15" hidden="false" customHeight="false" outlineLevel="0" collapsed="false">
      <c r="A3042" s="62" t="n">
        <v>3041</v>
      </c>
      <c r="B3042" s="63" t="n">
        <v>46297.8121412037</v>
      </c>
      <c r="C3042" s="64" t="n">
        <v>46297</v>
      </c>
      <c r="D3042" s="62" t="s">
        <v>288</v>
      </c>
      <c r="E3042" s="62" t="s">
        <v>3580</v>
      </c>
      <c r="F3042" s="62" t="s">
        <v>3580</v>
      </c>
      <c r="G3042" s="62" t="s">
        <v>3581</v>
      </c>
      <c r="H3042" s="62" t="s">
        <v>51</v>
      </c>
      <c r="I3042" s="62" t="s">
        <v>47</v>
      </c>
      <c r="J3042" s="62" t="s">
        <v>146</v>
      </c>
      <c r="K3042" s="62" t="s">
        <v>209</v>
      </c>
      <c r="L3042" s="62" t="s">
        <v>148</v>
      </c>
      <c r="M3042" s="62" t="n">
        <v>0</v>
      </c>
      <c r="N3042" s="62" t="n">
        <v>1</v>
      </c>
      <c r="O3042" s="62" t="n">
        <v>1</v>
      </c>
      <c r="P3042" s="62" t="n">
        <v>0</v>
      </c>
      <c r="Q3042" s="62" t="n">
        <v>1</v>
      </c>
      <c r="R3042" s="62" t="n">
        <v>0</v>
      </c>
      <c r="S3042" s="62" t="n">
        <v>0</v>
      </c>
      <c r="T3042" s="62" t="n">
        <v>0</v>
      </c>
      <c r="U3042" s="62"/>
      <c r="V3042" s="62"/>
      <c r="W3042" s="62"/>
      <c r="X3042" s="62"/>
      <c r="Y3042" s="62"/>
      <c r="Z3042" s="62" t="s">
        <v>5536</v>
      </c>
      <c r="AA3042" s="62" t="s">
        <v>5537</v>
      </c>
      <c r="AB3042" s="62" t="n">
        <v>1</v>
      </c>
      <c r="AC3042" s="62" t="n">
        <v>0</v>
      </c>
      <c r="AD3042" s="62" t="n">
        <v>1</v>
      </c>
      <c r="AE3042" s="62" t="n">
        <f aca="false">IF(AND(Dashboard!$C$9="Yes",AC3042=1),0,1)</f>
        <v>1</v>
      </c>
      <c r="AF3042" s="62" t="n">
        <v>1</v>
      </c>
    </row>
    <row r="3043" customFormat="false" ht="15" hidden="false" customHeight="false" outlineLevel="0" collapsed="false">
      <c r="A3043" s="62" t="n">
        <v>3042</v>
      </c>
      <c r="B3043" s="63" t="n">
        <v>46297.8241550926</v>
      </c>
      <c r="C3043" s="64" t="n">
        <v>46297</v>
      </c>
      <c r="D3043" s="62" t="s">
        <v>288</v>
      </c>
      <c r="E3043" s="62" t="s">
        <v>884</v>
      </c>
      <c r="F3043" s="62" t="s">
        <v>884</v>
      </c>
      <c r="G3043" s="62" t="s">
        <v>885</v>
      </c>
      <c r="H3043" s="62" t="s">
        <v>46</v>
      </c>
      <c r="I3043" s="62" t="s">
        <v>47</v>
      </c>
      <c r="J3043" s="62" t="s">
        <v>146</v>
      </c>
      <c r="K3043" s="62" t="s">
        <v>209</v>
      </c>
      <c r="L3043" s="62" t="s">
        <v>148</v>
      </c>
      <c r="M3043" s="62" t="n">
        <v>0</v>
      </c>
      <c r="N3043" s="62" t="n">
        <v>1</v>
      </c>
      <c r="O3043" s="62" t="n">
        <v>1</v>
      </c>
      <c r="P3043" s="62" t="n">
        <v>1</v>
      </c>
      <c r="Q3043" s="62" t="n">
        <v>0</v>
      </c>
      <c r="R3043" s="62" t="n">
        <v>0</v>
      </c>
      <c r="S3043" s="62" t="n">
        <v>0</v>
      </c>
      <c r="T3043" s="62" t="n">
        <v>0</v>
      </c>
      <c r="U3043" s="62"/>
      <c r="V3043" s="62"/>
      <c r="W3043" s="62"/>
      <c r="X3043" s="62"/>
      <c r="Y3043" s="62"/>
      <c r="Z3043" s="62" t="s">
        <v>5538</v>
      </c>
      <c r="AA3043" s="62" t="s">
        <v>5539</v>
      </c>
      <c r="AB3043" s="62" t="n">
        <v>1</v>
      </c>
      <c r="AC3043" s="62" t="n">
        <v>0</v>
      </c>
      <c r="AD3043" s="62" t="n">
        <v>1</v>
      </c>
      <c r="AE3043" s="62" t="n">
        <f aca="false">IF(AND(Dashboard!$C$9="Yes",AC3043=1),0,1)</f>
        <v>1</v>
      </c>
      <c r="AF3043" s="62" t="n">
        <v>1</v>
      </c>
    </row>
    <row r="3044" customFormat="false" ht="15" hidden="false" customHeight="false" outlineLevel="0" collapsed="false">
      <c r="A3044" s="62" t="n">
        <v>3043</v>
      </c>
      <c r="B3044" s="63" t="n">
        <v>46297.8334953704</v>
      </c>
      <c r="C3044" s="64" t="n">
        <v>46297</v>
      </c>
      <c r="D3044" s="62" t="s">
        <v>288</v>
      </c>
      <c r="E3044" s="62" t="s">
        <v>5246</v>
      </c>
      <c r="F3044" s="62" t="s">
        <v>5246</v>
      </c>
      <c r="G3044" s="62" t="s">
        <v>5247</v>
      </c>
      <c r="H3044" s="62" t="s">
        <v>55</v>
      </c>
      <c r="I3044" s="62" t="s">
        <v>49</v>
      </c>
      <c r="J3044" s="62" t="s">
        <v>3708</v>
      </c>
      <c r="K3044" s="62" t="s">
        <v>209</v>
      </c>
      <c r="L3044" s="62" t="s">
        <v>148</v>
      </c>
      <c r="M3044" s="62" t="n">
        <v>0</v>
      </c>
      <c r="N3044" s="62" t="n">
        <v>2</v>
      </c>
      <c r="O3044" s="62" t="n">
        <v>2</v>
      </c>
      <c r="P3044" s="62" t="n">
        <v>1</v>
      </c>
      <c r="Q3044" s="62" t="n">
        <v>1</v>
      </c>
      <c r="R3044" s="62" t="n">
        <v>0</v>
      </c>
      <c r="S3044" s="62" t="n">
        <v>0</v>
      </c>
      <c r="T3044" s="62" t="n">
        <v>0</v>
      </c>
      <c r="U3044" s="62"/>
      <c r="V3044" s="62"/>
      <c r="W3044" s="62"/>
      <c r="X3044" s="62"/>
      <c r="Y3044" s="62"/>
      <c r="Z3044" s="62" t="s">
        <v>5540</v>
      </c>
      <c r="AA3044" s="62" t="s">
        <v>5541</v>
      </c>
      <c r="AB3044" s="62" t="n">
        <v>1</v>
      </c>
      <c r="AC3044" s="62" t="n">
        <v>0</v>
      </c>
      <c r="AD3044" s="62" t="n">
        <v>1</v>
      </c>
      <c r="AE3044" s="62" t="n">
        <f aca="false">IF(AND(Dashboard!$C$9="Yes",AC3044=1),0,1)</f>
        <v>1</v>
      </c>
      <c r="AF3044" s="62" t="n">
        <v>1</v>
      </c>
    </row>
    <row r="3045" customFormat="false" ht="15" hidden="false" customHeight="false" outlineLevel="0" collapsed="false">
      <c r="A3045" s="62" t="n">
        <v>3044</v>
      </c>
      <c r="B3045" s="63" t="n">
        <v>46297.8466550926</v>
      </c>
      <c r="C3045" s="64" t="n">
        <v>46297</v>
      </c>
      <c r="D3045" s="62" t="s">
        <v>288</v>
      </c>
      <c r="E3045" s="62" t="s">
        <v>5270</v>
      </c>
      <c r="F3045" s="62" t="s">
        <v>5270</v>
      </c>
      <c r="G3045" s="62" t="s">
        <v>5271</v>
      </c>
      <c r="H3045" s="62" t="s">
        <v>55</v>
      </c>
      <c r="I3045" s="62" t="s">
        <v>49</v>
      </c>
      <c r="J3045" s="62" t="s">
        <v>3708</v>
      </c>
      <c r="K3045" s="62" t="s">
        <v>209</v>
      </c>
      <c r="L3045" s="62" t="s">
        <v>148</v>
      </c>
      <c r="M3045" s="62" t="n">
        <v>0</v>
      </c>
      <c r="N3045" s="62" t="n">
        <v>1</v>
      </c>
      <c r="O3045" s="62" t="n">
        <v>1</v>
      </c>
      <c r="P3045" s="62" t="n">
        <v>1</v>
      </c>
      <c r="Q3045" s="62" t="n">
        <v>0</v>
      </c>
      <c r="R3045" s="62" t="n">
        <v>0</v>
      </c>
      <c r="S3045" s="62" t="n">
        <v>0</v>
      </c>
      <c r="T3045" s="62" t="n">
        <v>0</v>
      </c>
      <c r="U3045" s="62"/>
      <c r="V3045" s="62"/>
      <c r="W3045" s="62"/>
      <c r="X3045" s="62"/>
      <c r="Y3045" s="62"/>
      <c r="Z3045" s="62" t="s">
        <v>5542</v>
      </c>
      <c r="AA3045" s="62" t="s">
        <v>5543</v>
      </c>
      <c r="AB3045" s="62" t="n">
        <v>1</v>
      </c>
      <c r="AC3045" s="62" t="n">
        <v>0</v>
      </c>
      <c r="AD3045" s="62" t="n">
        <v>1</v>
      </c>
      <c r="AE3045" s="62" t="n">
        <f aca="false">IF(AND(Dashboard!$C$9="Yes",AC3045=1),0,1)</f>
        <v>1</v>
      </c>
      <c r="AF3045" s="62" t="n">
        <v>1</v>
      </c>
    </row>
    <row r="3046" customFormat="false" ht="15" hidden="false" customHeight="false" outlineLevel="0" collapsed="false">
      <c r="A3046" s="62" t="n">
        <v>3045</v>
      </c>
      <c r="B3046" s="63" t="n">
        <v>46297.8475115741</v>
      </c>
      <c r="C3046" s="64" t="n">
        <v>46297</v>
      </c>
      <c r="D3046" s="62" t="s">
        <v>288</v>
      </c>
      <c r="E3046" s="62" t="s">
        <v>5241</v>
      </c>
      <c r="F3046" s="62" t="s">
        <v>5241</v>
      </c>
      <c r="G3046" s="62" t="s">
        <v>5242</v>
      </c>
      <c r="H3046" s="62" t="s">
        <v>55</v>
      </c>
      <c r="I3046" s="62" t="s">
        <v>49</v>
      </c>
      <c r="J3046" s="62" t="s">
        <v>3708</v>
      </c>
      <c r="K3046" s="62" t="s">
        <v>209</v>
      </c>
      <c r="L3046" s="62" t="s">
        <v>148</v>
      </c>
      <c r="M3046" s="62" t="n">
        <v>0</v>
      </c>
      <c r="N3046" s="62" t="n">
        <v>1</v>
      </c>
      <c r="O3046" s="62" t="n">
        <v>1</v>
      </c>
      <c r="P3046" s="62" t="n">
        <v>0</v>
      </c>
      <c r="Q3046" s="62" t="n">
        <v>1</v>
      </c>
      <c r="R3046" s="62" t="n">
        <v>0</v>
      </c>
      <c r="S3046" s="62" t="n">
        <v>0</v>
      </c>
      <c r="T3046" s="62" t="n">
        <v>0</v>
      </c>
      <c r="U3046" s="62"/>
      <c r="V3046" s="62"/>
      <c r="W3046" s="62"/>
      <c r="X3046" s="62"/>
      <c r="Y3046" s="62"/>
      <c r="Z3046" s="62" t="s">
        <v>5544</v>
      </c>
      <c r="AA3046" s="62" t="s">
        <v>5545</v>
      </c>
      <c r="AB3046" s="62" t="n">
        <v>1</v>
      </c>
      <c r="AC3046" s="62" t="n">
        <v>0</v>
      </c>
      <c r="AD3046" s="62" t="n">
        <v>1</v>
      </c>
      <c r="AE3046" s="62" t="n">
        <f aca="false">IF(AND(Dashboard!$C$9="Yes",AC3046=1),0,1)</f>
        <v>1</v>
      </c>
      <c r="AF3046" s="62" t="n">
        <v>1</v>
      </c>
    </row>
    <row r="3047" customFormat="false" ht="15" hidden="false" customHeight="false" outlineLevel="0" collapsed="false">
      <c r="A3047" s="62" t="n">
        <v>3046</v>
      </c>
      <c r="B3047" s="63" t="n">
        <v>46297.8520833333</v>
      </c>
      <c r="C3047" s="64" t="n">
        <v>46297</v>
      </c>
      <c r="D3047" s="62" t="s">
        <v>288</v>
      </c>
      <c r="E3047" s="62" t="s">
        <v>5227</v>
      </c>
      <c r="F3047" s="62" t="s">
        <v>5227</v>
      </c>
      <c r="G3047" s="62" t="s">
        <v>5228</v>
      </c>
      <c r="H3047" s="62" t="s">
        <v>55</v>
      </c>
      <c r="I3047" s="62" t="s">
        <v>49</v>
      </c>
      <c r="J3047" s="62" t="s">
        <v>3708</v>
      </c>
      <c r="K3047" s="62" t="s">
        <v>209</v>
      </c>
      <c r="L3047" s="62" t="s">
        <v>148</v>
      </c>
      <c r="M3047" s="62" t="n">
        <v>0</v>
      </c>
      <c r="N3047" s="62" t="n">
        <v>1</v>
      </c>
      <c r="O3047" s="62" t="n">
        <v>1</v>
      </c>
      <c r="P3047" s="62" t="n">
        <v>1</v>
      </c>
      <c r="Q3047" s="62" t="n">
        <v>0</v>
      </c>
      <c r="R3047" s="62" t="n">
        <v>0</v>
      </c>
      <c r="S3047" s="62" t="n">
        <v>0</v>
      </c>
      <c r="T3047" s="62" t="n">
        <v>0</v>
      </c>
      <c r="U3047" s="62"/>
      <c r="V3047" s="62"/>
      <c r="W3047" s="62"/>
      <c r="X3047" s="62"/>
      <c r="Y3047" s="62"/>
      <c r="Z3047" s="62" t="s">
        <v>5546</v>
      </c>
      <c r="AA3047" s="62" t="s">
        <v>5547</v>
      </c>
      <c r="AB3047" s="62" t="n">
        <v>1</v>
      </c>
      <c r="AC3047" s="62" t="n">
        <v>0</v>
      </c>
      <c r="AD3047" s="62" t="n">
        <v>1</v>
      </c>
      <c r="AE3047" s="62" t="n">
        <f aca="false">IF(AND(Dashboard!$C$9="Yes",AC3047=1),0,1)</f>
        <v>1</v>
      </c>
      <c r="AF3047" s="62" t="n">
        <v>1</v>
      </c>
    </row>
    <row r="3048" customFormat="false" ht="15" hidden="false" customHeight="false" outlineLevel="0" collapsed="false">
      <c r="A3048" s="62" t="n">
        <v>3047</v>
      </c>
      <c r="B3048" s="63" t="n">
        <v>46297.8609143519</v>
      </c>
      <c r="C3048" s="64" t="n">
        <v>46297</v>
      </c>
      <c r="D3048" s="62" t="s">
        <v>288</v>
      </c>
      <c r="E3048" s="62" t="s">
        <v>5246</v>
      </c>
      <c r="F3048" s="62" t="s">
        <v>5246</v>
      </c>
      <c r="G3048" s="62" t="s">
        <v>5247</v>
      </c>
      <c r="H3048" s="62" t="s">
        <v>55</v>
      </c>
      <c r="I3048" s="62" t="s">
        <v>49</v>
      </c>
      <c r="J3048" s="62" t="s">
        <v>3708</v>
      </c>
      <c r="K3048" s="62" t="s">
        <v>209</v>
      </c>
      <c r="L3048" s="62" t="s">
        <v>148</v>
      </c>
      <c r="M3048" s="62" t="n">
        <v>0</v>
      </c>
      <c r="N3048" s="62" t="n">
        <v>2</v>
      </c>
      <c r="O3048" s="62" t="n">
        <v>2</v>
      </c>
      <c r="P3048" s="62" t="n">
        <v>1</v>
      </c>
      <c r="Q3048" s="62" t="n">
        <v>1</v>
      </c>
      <c r="R3048" s="62" t="n">
        <v>0</v>
      </c>
      <c r="S3048" s="62" t="n">
        <v>0</v>
      </c>
      <c r="T3048" s="62" t="n">
        <v>0</v>
      </c>
      <c r="U3048" s="62"/>
      <c r="V3048" s="62"/>
      <c r="W3048" s="62"/>
      <c r="X3048" s="62"/>
      <c r="Y3048" s="62"/>
      <c r="Z3048" s="62" t="s">
        <v>5540</v>
      </c>
      <c r="AA3048" s="62" t="s">
        <v>5541</v>
      </c>
      <c r="AB3048" s="62" t="n">
        <v>1</v>
      </c>
      <c r="AC3048" s="62" t="n">
        <v>1</v>
      </c>
      <c r="AD3048" s="62" t="n">
        <v>1</v>
      </c>
      <c r="AE3048" s="62" t="n">
        <f aca="false">IF(AND(Dashboard!$C$9="Yes",AC3048=1),0,1)</f>
        <v>0</v>
      </c>
      <c r="AF3048" s="62" t="n">
        <v>0</v>
      </c>
    </row>
    <row r="3049" customFormat="false" ht="15" hidden="false" customHeight="false" outlineLevel="0" collapsed="false">
      <c r="A3049" s="62" t="n">
        <v>3048</v>
      </c>
      <c r="B3049" s="63" t="n">
        <v>46297.9032407407</v>
      </c>
      <c r="C3049" s="64" t="n">
        <v>46297</v>
      </c>
      <c r="D3049" s="62" t="s">
        <v>288</v>
      </c>
      <c r="E3049" s="62" t="s">
        <v>203</v>
      </c>
      <c r="F3049" s="62" t="s">
        <v>203</v>
      </c>
      <c r="G3049" s="62" t="s">
        <v>204</v>
      </c>
      <c r="H3049" s="62" t="s">
        <v>51</v>
      </c>
      <c r="I3049" s="62" t="s">
        <v>47</v>
      </c>
      <c r="J3049" s="62" t="s">
        <v>146</v>
      </c>
      <c r="K3049" s="62" t="s">
        <v>147</v>
      </c>
      <c r="L3049" s="62" t="s">
        <v>148</v>
      </c>
      <c r="M3049" s="62" t="n">
        <v>0</v>
      </c>
      <c r="N3049" s="62" t="n">
        <v>1</v>
      </c>
      <c r="O3049" s="62" t="n">
        <v>1</v>
      </c>
      <c r="P3049" s="62" t="n">
        <v>1</v>
      </c>
      <c r="Q3049" s="62" t="n">
        <v>0</v>
      </c>
      <c r="R3049" s="62" t="n">
        <v>0</v>
      </c>
      <c r="S3049" s="62" t="n">
        <v>0</v>
      </c>
      <c r="T3049" s="62" t="n">
        <v>0</v>
      </c>
      <c r="U3049" s="62"/>
      <c r="V3049" s="62"/>
      <c r="W3049" s="62"/>
      <c r="X3049" s="62"/>
      <c r="Y3049" s="62"/>
      <c r="Z3049" s="62" t="s">
        <v>5548</v>
      </c>
      <c r="AA3049" s="62" t="s">
        <v>5549</v>
      </c>
      <c r="AB3049" s="62" t="n">
        <v>1</v>
      </c>
      <c r="AC3049" s="62" t="n">
        <v>0</v>
      </c>
      <c r="AD3049" s="62" t="n">
        <v>1</v>
      </c>
      <c r="AE3049" s="62" t="n">
        <f aca="false">IF(AND(Dashboard!$C$9="Yes",AC3049=1),0,1)</f>
        <v>1</v>
      </c>
      <c r="AF3049" s="62" t="n">
        <v>1</v>
      </c>
    </row>
    <row r="3050" customFormat="false" ht="15" hidden="false" customHeight="false" outlineLevel="0" collapsed="false">
      <c r="A3050" s="62" t="n">
        <v>3049</v>
      </c>
      <c r="B3050" s="63" t="n">
        <v>46297.9053819445</v>
      </c>
      <c r="C3050" s="64" t="n">
        <v>46297</v>
      </c>
      <c r="D3050" s="62" t="s">
        <v>288</v>
      </c>
      <c r="E3050" s="62" t="s">
        <v>1445</v>
      </c>
      <c r="F3050" s="62" t="s">
        <v>1445</v>
      </c>
      <c r="G3050" s="62" t="s">
        <v>1446</v>
      </c>
      <c r="H3050" s="62" t="s">
        <v>58</v>
      </c>
      <c r="I3050" s="62" t="s">
        <v>49</v>
      </c>
      <c r="J3050" s="62" t="s">
        <v>146</v>
      </c>
      <c r="K3050" s="62" t="s">
        <v>175</v>
      </c>
      <c r="L3050" s="62" t="s">
        <v>4</v>
      </c>
      <c r="M3050" s="62" t="n">
        <v>1</v>
      </c>
      <c r="N3050" s="62" t="n">
        <v>0</v>
      </c>
      <c r="O3050" s="62" t="n">
        <v>1</v>
      </c>
      <c r="P3050" s="62" t="n">
        <v>0</v>
      </c>
      <c r="Q3050" s="62" t="n">
        <v>0</v>
      </c>
      <c r="R3050" s="62" t="n">
        <v>0</v>
      </c>
      <c r="S3050" s="62" t="n">
        <v>0</v>
      </c>
      <c r="T3050" s="62" t="n">
        <v>0</v>
      </c>
      <c r="U3050" s="62" t="s">
        <v>2056</v>
      </c>
      <c r="V3050" s="62" t="s">
        <v>2057</v>
      </c>
      <c r="W3050" s="62" t="s">
        <v>15</v>
      </c>
      <c r="X3050" s="62" t="s">
        <v>2058</v>
      </c>
      <c r="Y3050" s="62" t="s">
        <v>2059</v>
      </c>
      <c r="Z3050" s="62" t="s">
        <v>5550</v>
      </c>
      <c r="AA3050" s="62" t="s">
        <v>5551</v>
      </c>
      <c r="AB3050" s="62" t="n">
        <v>1</v>
      </c>
      <c r="AC3050" s="62" t="n">
        <v>0</v>
      </c>
      <c r="AD3050" s="62" t="n">
        <v>1</v>
      </c>
      <c r="AE3050" s="62" t="n">
        <f aca="false">IF(AND(Dashboard!$C$9="Yes",AC3050=1),0,1)</f>
        <v>1</v>
      </c>
      <c r="AF3050" s="62" t="n">
        <v>0</v>
      </c>
    </row>
    <row r="3051" customFormat="false" ht="15" hidden="false" customHeight="false" outlineLevel="0" collapsed="false">
      <c r="A3051" s="62" t="n">
        <v>3050</v>
      </c>
      <c r="B3051" s="63" t="n">
        <v>46297.924837963</v>
      </c>
      <c r="C3051" s="64" t="n">
        <v>46297</v>
      </c>
      <c r="D3051" s="62" t="s">
        <v>288</v>
      </c>
      <c r="E3051" s="62" t="s">
        <v>2959</v>
      </c>
      <c r="F3051" s="62" t="s">
        <v>2959</v>
      </c>
      <c r="G3051" s="62" t="s">
        <v>2960</v>
      </c>
      <c r="H3051" s="62" t="s">
        <v>58</v>
      </c>
      <c r="I3051" s="62" t="s">
        <v>49</v>
      </c>
      <c r="J3051" s="62" t="s">
        <v>146</v>
      </c>
      <c r="K3051" s="62" t="s">
        <v>175</v>
      </c>
      <c r="L3051" s="62" t="s">
        <v>148</v>
      </c>
      <c r="M3051" s="62" t="n">
        <v>0</v>
      </c>
      <c r="N3051" s="62" t="n">
        <v>1</v>
      </c>
      <c r="O3051" s="62" t="n">
        <v>1</v>
      </c>
      <c r="P3051" s="62" t="n">
        <v>0</v>
      </c>
      <c r="Q3051" s="62" t="n">
        <v>1</v>
      </c>
      <c r="R3051" s="62" t="n">
        <v>0</v>
      </c>
      <c r="S3051" s="62" t="n">
        <v>0</v>
      </c>
      <c r="T3051" s="62" t="n">
        <v>0</v>
      </c>
      <c r="U3051" s="62"/>
      <c r="V3051" s="62"/>
      <c r="W3051" s="62"/>
      <c r="X3051" s="62"/>
      <c r="Y3051" s="62"/>
      <c r="Z3051" s="62" t="s">
        <v>5552</v>
      </c>
      <c r="AA3051" s="62" t="s">
        <v>5553</v>
      </c>
      <c r="AB3051" s="62" t="n">
        <v>1</v>
      </c>
      <c r="AC3051" s="62" t="n">
        <v>0</v>
      </c>
      <c r="AD3051" s="62" t="n">
        <v>1</v>
      </c>
      <c r="AE3051" s="62" t="n">
        <f aca="false">IF(AND(Dashboard!$C$9="Yes",AC3051=1),0,1)</f>
        <v>1</v>
      </c>
      <c r="AF3051" s="62" t="n">
        <v>1</v>
      </c>
    </row>
    <row r="3052" customFormat="false" ht="15" hidden="false" customHeight="false" outlineLevel="0" collapsed="false">
      <c r="A3052" s="62" t="n">
        <v>3051</v>
      </c>
      <c r="B3052" s="63" t="n">
        <v>46297.9598263889</v>
      </c>
      <c r="C3052" s="64" t="n">
        <v>46297</v>
      </c>
      <c r="D3052" s="62" t="s">
        <v>288</v>
      </c>
      <c r="E3052" s="62" t="s">
        <v>5255</v>
      </c>
      <c r="F3052" s="62" t="s">
        <v>5255</v>
      </c>
      <c r="G3052" s="62" t="s">
        <v>5256</v>
      </c>
      <c r="H3052" s="62" t="s">
        <v>55</v>
      </c>
      <c r="I3052" s="62" t="s">
        <v>49</v>
      </c>
      <c r="J3052" s="62" t="s">
        <v>3708</v>
      </c>
      <c r="K3052" s="62" t="s">
        <v>209</v>
      </c>
      <c r="L3052" s="62" t="s">
        <v>148</v>
      </c>
      <c r="M3052" s="62" t="n">
        <v>0</v>
      </c>
      <c r="N3052" s="62" t="n">
        <v>1</v>
      </c>
      <c r="O3052" s="62" t="n">
        <v>1</v>
      </c>
      <c r="P3052" s="62" t="n">
        <v>0</v>
      </c>
      <c r="Q3052" s="62" t="n">
        <v>1</v>
      </c>
      <c r="R3052" s="62" t="n">
        <v>0</v>
      </c>
      <c r="S3052" s="62" t="n">
        <v>0</v>
      </c>
      <c r="T3052" s="62" t="n">
        <v>0</v>
      </c>
      <c r="U3052" s="62"/>
      <c r="V3052" s="62"/>
      <c r="W3052" s="62"/>
      <c r="X3052" s="62"/>
      <c r="Y3052" s="62"/>
      <c r="Z3052" s="62" t="s">
        <v>5554</v>
      </c>
      <c r="AA3052" s="62" t="s">
        <v>5555</v>
      </c>
      <c r="AB3052" s="62" t="n">
        <v>1</v>
      </c>
      <c r="AC3052" s="62" t="n">
        <v>0</v>
      </c>
      <c r="AD3052" s="62" t="n">
        <v>1</v>
      </c>
      <c r="AE3052" s="62" t="n">
        <f aca="false">IF(AND(Dashboard!$C$9="Yes",AC3052=1),0,1)</f>
        <v>1</v>
      </c>
      <c r="AF3052" s="62" t="n">
        <v>1</v>
      </c>
    </row>
    <row r="3053" customFormat="false" ht="15" hidden="false" customHeight="false" outlineLevel="0" collapsed="false">
      <c r="A3053" s="62" t="n">
        <v>3052</v>
      </c>
      <c r="B3053" s="63" t="n">
        <v>46297.9750810185</v>
      </c>
      <c r="C3053" s="64" t="n">
        <v>46297</v>
      </c>
      <c r="D3053" s="62" t="s">
        <v>288</v>
      </c>
      <c r="E3053" s="62" t="s">
        <v>5556</v>
      </c>
      <c r="F3053" s="62" t="s">
        <v>5557</v>
      </c>
      <c r="G3053" s="62" t="s">
        <v>153</v>
      </c>
      <c r="H3053" s="62" t="s">
        <v>153</v>
      </c>
      <c r="I3053" s="62" t="s">
        <v>153</v>
      </c>
      <c r="J3053" s="62" t="s">
        <v>64</v>
      </c>
      <c r="K3053" s="62" t="s">
        <v>64</v>
      </c>
      <c r="L3053" s="62" t="s">
        <v>4</v>
      </c>
      <c r="M3053" s="62" t="n">
        <v>1</v>
      </c>
      <c r="N3053" s="62" t="n">
        <v>0</v>
      </c>
      <c r="O3053" s="62" t="n">
        <v>1</v>
      </c>
      <c r="P3053" s="62" t="n">
        <v>0</v>
      </c>
      <c r="Q3053" s="62" t="n">
        <v>0</v>
      </c>
      <c r="R3053" s="62" t="n">
        <v>0</v>
      </c>
      <c r="S3053" s="62" t="n">
        <v>0</v>
      </c>
      <c r="T3053" s="62" t="n">
        <v>0</v>
      </c>
      <c r="U3053" s="62" t="s">
        <v>2056</v>
      </c>
      <c r="V3053" s="62" t="s">
        <v>2057</v>
      </c>
      <c r="W3053" s="62" t="s">
        <v>15</v>
      </c>
      <c r="X3053" s="62" t="s">
        <v>2180</v>
      </c>
      <c r="Y3053" s="62" t="s">
        <v>2059</v>
      </c>
      <c r="Z3053" s="62" t="s">
        <v>5558</v>
      </c>
      <c r="AA3053" s="62" t="s">
        <v>5559</v>
      </c>
      <c r="AB3053" s="62" t="n">
        <v>1</v>
      </c>
      <c r="AC3053" s="62" t="n">
        <v>0</v>
      </c>
      <c r="AD3053" s="62" t="n">
        <v>0</v>
      </c>
      <c r="AE3053" s="62" t="n">
        <f aca="false">IF(AND(Dashboard!$C$9="Yes",AC3053=1),0,1)</f>
        <v>1</v>
      </c>
      <c r="AF3053" s="62" t="n">
        <v>1</v>
      </c>
    </row>
    <row r="3054" customFormat="false" ht="15" hidden="false" customHeight="false" outlineLevel="0" collapsed="false">
      <c r="A3054" s="62" t="n">
        <v>3053</v>
      </c>
      <c r="B3054" s="63" t="n">
        <v>46297.975462963</v>
      </c>
      <c r="C3054" s="64" t="n">
        <v>46297</v>
      </c>
      <c r="D3054" s="62" t="s">
        <v>288</v>
      </c>
      <c r="E3054" s="62" t="s">
        <v>1571</v>
      </c>
      <c r="F3054" s="62" t="s">
        <v>1571</v>
      </c>
      <c r="G3054" s="62" t="s">
        <v>1572</v>
      </c>
      <c r="H3054" s="62" t="s">
        <v>52</v>
      </c>
      <c r="I3054" s="62" t="s">
        <v>47</v>
      </c>
      <c r="J3054" s="62" t="s">
        <v>146</v>
      </c>
      <c r="K3054" s="62" t="s">
        <v>209</v>
      </c>
      <c r="L3054" s="62" t="s">
        <v>148</v>
      </c>
      <c r="M3054" s="62" t="n">
        <v>0</v>
      </c>
      <c r="N3054" s="62" t="n">
        <v>1</v>
      </c>
      <c r="O3054" s="62" t="n">
        <v>1</v>
      </c>
      <c r="P3054" s="62" t="n">
        <v>0</v>
      </c>
      <c r="Q3054" s="62" t="n">
        <v>0</v>
      </c>
      <c r="R3054" s="62" t="n">
        <v>0</v>
      </c>
      <c r="S3054" s="62" t="n">
        <v>1</v>
      </c>
      <c r="T3054" s="62" t="n">
        <v>0</v>
      </c>
      <c r="U3054" s="62"/>
      <c r="V3054" s="62"/>
      <c r="W3054" s="62"/>
      <c r="X3054" s="62"/>
      <c r="Y3054" s="62"/>
      <c r="Z3054" s="62" t="s">
        <v>5558</v>
      </c>
      <c r="AA3054" s="62" t="s">
        <v>5559</v>
      </c>
      <c r="AB3054" s="62" t="n">
        <v>1</v>
      </c>
      <c r="AC3054" s="62" t="n">
        <v>0</v>
      </c>
      <c r="AD3054" s="62" t="n">
        <v>1</v>
      </c>
      <c r="AE3054" s="62" t="n">
        <f aca="false">IF(AND(Dashboard!$C$9="Yes",AC3054=1),0,1)</f>
        <v>1</v>
      </c>
      <c r="AF3054" s="62" t="n">
        <v>1</v>
      </c>
    </row>
    <row r="3055" customFormat="false" ht="15" hidden="false" customHeight="false" outlineLevel="0" collapsed="false">
      <c r="A3055" s="62" t="n">
        <v>3054</v>
      </c>
      <c r="B3055" s="63" t="n">
        <v>46297.980775463</v>
      </c>
      <c r="C3055" s="64" t="n">
        <v>46297</v>
      </c>
      <c r="D3055" s="62" t="s">
        <v>288</v>
      </c>
      <c r="E3055" s="62" t="s">
        <v>884</v>
      </c>
      <c r="F3055" s="62" t="s">
        <v>884</v>
      </c>
      <c r="G3055" s="62" t="s">
        <v>885</v>
      </c>
      <c r="H3055" s="62" t="s">
        <v>46</v>
      </c>
      <c r="I3055" s="62" t="s">
        <v>47</v>
      </c>
      <c r="J3055" s="62" t="s">
        <v>146</v>
      </c>
      <c r="K3055" s="62" t="s">
        <v>209</v>
      </c>
      <c r="L3055" s="62" t="s">
        <v>148</v>
      </c>
      <c r="M3055" s="62" t="n">
        <v>0</v>
      </c>
      <c r="N3055" s="62" t="n">
        <v>2</v>
      </c>
      <c r="O3055" s="62" t="n">
        <v>2</v>
      </c>
      <c r="P3055" s="62" t="n">
        <v>0</v>
      </c>
      <c r="Q3055" s="62" t="n">
        <v>2</v>
      </c>
      <c r="R3055" s="62" t="n">
        <v>0</v>
      </c>
      <c r="S3055" s="62" t="n">
        <v>0</v>
      </c>
      <c r="T3055" s="62" t="n">
        <v>0</v>
      </c>
      <c r="U3055" s="62"/>
      <c r="V3055" s="62"/>
      <c r="W3055" s="62"/>
      <c r="X3055" s="62"/>
      <c r="Y3055" s="62"/>
      <c r="Z3055" s="62" t="s">
        <v>5560</v>
      </c>
      <c r="AA3055" s="62" t="s">
        <v>5561</v>
      </c>
      <c r="AB3055" s="62" t="n">
        <v>1</v>
      </c>
      <c r="AC3055" s="62" t="n">
        <v>0</v>
      </c>
      <c r="AD3055" s="62" t="n">
        <v>1</v>
      </c>
      <c r="AE3055" s="62" t="n">
        <f aca="false">IF(AND(Dashboard!$C$9="Yes",AC3055=1),0,1)</f>
        <v>1</v>
      </c>
      <c r="AF3055" s="62" t="n">
        <v>0</v>
      </c>
    </row>
    <row r="3056" customFormat="false" ht="15" hidden="false" customHeight="false" outlineLevel="0" collapsed="false">
      <c r="A3056" s="62" t="n">
        <v>3055</v>
      </c>
      <c r="B3056" s="63" t="n">
        <v>46297.9901157407</v>
      </c>
      <c r="C3056" s="64" t="n">
        <v>46297</v>
      </c>
      <c r="D3056" s="62" t="s">
        <v>288</v>
      </c>
      <c r="E3056" s="62" t="s">
        <v>1539</v>
      </c>
      <c r="F3056" s="62" t="s">
        <v>1539</v>
      </c>
      <c r="G3056" s="62" t="s">
        <v>1540</v>
      </c>
      <c r="H3056" s="62" t="s">
        <v>52</v>
      </c>
      <c r="I3056" s="62" t="s">
        <v>47</v>
      </c>
      <c r="J3056" s="62" t="s">
        <v>146</v>
      </c>
      <c r="K3056" s="62" t="s">
        <v>147</v>
      </c>
      <c r="L3056" s="62" t="s">
        <v>148</v>
      </c>
      <c r="M3056" s="62" t="n">
        <v>0</v>
      </c>
      <c r="N3056" s="62" t="n">
        <v>2</v>
      </c>
      <c r="O3056" s="62" t="n">
        <v>2</v>
      </c>
      <c r="P3056" s="62" t="n">
        <v>1</v>
      </c>
      <c r="Q3056" s="62" t="n">
        <v>1</v>
      </c>
      <c r="R3056" s="62" t="n">
        <v>0</v>
      </c>
      <c r="S3056" s="62" t="n">
        <v>0</v>
      </c>
      <c r="T3056" s="62" t="n">
        <v>0</v>
      </c>
      <c r="U3056" s="62"/>
      <c r="V3056" s="62"/>
      <c r="W3056" s="62"/>
      <c r="X3056" s="62"/>
      <c r="Y3056" s="62"/>
      <c r="Z3056" s="62" t="s">
        <v>5562</v>
      </c>
      <c r="AA3056" s="62" t="s">
        <v>5563</v>
      </c>
      <c r="AB3056" s="62" t="n">
        <v>1</v>
      </c>
      <c r="AC3056" s="62" t="n">
        <v>0</v>
      </c>
      <c r="AD3056" s="62" t="n">
        <v>1</v>
      </c>
      <c r="AE3056" s="62" t="n">
        <f aca="false">IF(AND(Dashboard!$C$9="Yes",AC3056=1),0,1)</f>
        <v>1</v>
      </c>
      <c r="AF3056" s="62" t="n">
        <v>1</v>
      </c>
    </row>
    <row r="3057" customFormat="false" ht="15" hidden="false" customHeight="false" outlineLevel="0" collapsed="false">
      <c r="A3057" s="62" t="n">
        <v>3056</v>
      </c>
      <c r="B3057" s="63" t="n">
        <v>46297.991400463</v>
      </c>
      <c r="C3057" s="64" t="n">
        <v>46297</v>
      </c>
      <c r="D3057" s="62" t="s">
        <v>288</v>
      </c>
      <c r="E3057" s="62" t="s">
        <v>1539</v>
      </c>
      <c r="F3057" s="62" t="s">
        <v>1539</v>
      </c>
      <c r="G3057" s="62" t="s">
        <v>1540</v>
      </c>
      <c r="H3057" s="62" t="s">
        <v>52</v>
      </c>
      <c r="I3057" s="62" t="s">
        <v>47</v>
      </c>
      <c r="J3057" s="62" t="s">
        <v>146</v>
      </c>
      <c r="K3057" s="62" t="s">
        <v>147</v>
      </c>
      <c r="L3057" s="62" t="s">
        <v>148</v>
      </c>
      <c r="M3057" s="62" t="n">
        <v>0</v>
      </c>
      <c r="N3057" s="62" t="n">
        <v>1</v>
      </c>
      <c r="O3057" s="62" t="n">
        <v>1</v>
      </c>
      <c r="P3057" s="62" t="n">
        <v>1</v>
      </c>
      <c r="Q3057" s="62" t="n">
        <v>0</v>
      </c>
      <c r="R3057" s="62" t="n">
        <v>0</v>
      </c>
      <c r="S3057" s="62" t="n">
        <v>0</v>
      </c>
      <c r="T3057" s="62" t="n">
        <v>0</v>
      </c>
      <c r="U3057" s="62"/>
      <c r="V3057" s="62"/>
      <c r="W3057" s="62"/>
      <c r="X3057" s="62"/>
      <c r="Y3057" s="62"/>
      <c r="Z3057" s="62" t="s">
        <v>5564</v>
      </c>
      <c r="AA3057" s="62" t="s">
        <v>5565</v>
      </c>
      <c r="AB3057" s="62" t="n">
        <v>1</v>
      </c>
      <c r="AC3057" s="62" t="n">
        <v>0</v>
      </c>
      <c r="AD3057" s="62" t="n">
        <v>1</v>
      </c>
      <c r="AE3057" s="62" t="n">
        <f aca="false">IF(AND(Dashboard!$C$9="Yes",AC3057=1),0,1)</f>
        <v>1</v>
      </c>
      <c r="AF3057" s="62" t="n">
        <v>0</v>
      </c>
    </row>
    <row r="3058" customFormat="false" ht="15" hidden="false" customHeight="false" outlineLevel="0" collapsed="false">
      <c r="A3058" s="62" t="n">
        <v>3057</v>
      </c>
      <c r="B3058" s="63" t="n">
        <v>46297.9997569445</v>
      </c>
      <c r="C3058" s="64" t="n">
        <v>46297</v>
      </c>
      <c r="D3058" s="62" t="s">
        <v>288</v>
      </c>
      <c r="E3058" s="62" t="s">
        <v>2395</v>
      </c>
      <c r="F3058" s="62" t="s">
        <v>2395</v>
      </c>
      <c r="G3058" s="62" t="s">
        <v>2396</v>
      </c>
      <c r="H3058" s="62" t="s">
        <v>59</v>
      </c>
      <c r="I3058" s="62" t="s">
        <v>47</v>
      </c>
      <c r="J3058" s="62" t="s">
        <v>146</v>
      </c>
      <c r="K3058" s="62" t="s">
        <v>209</v>
      </c>
      <c r="L3058" s="62" t="s">
        <v>4</v>
      </c>
      <c r="M3058" s="62" t="n">
        <v>1</v>
      </c>
      <c r="N3058" s="62" t="n">
        <v>0</v>
      </c>
      <c r="O3058" s="62" t="n">
        <v>1</v>
      </c>
      <c r="P3058" s="62" t="n">
        <v>0</v>
      </c>
      <c r="Q3058" s="62" t="n">
        <v>0</v>
      </c>
      <c r="R3058" s="62" t="n">
        <v>0</v>
      </c>
      <c r="S3058" s="62" t="n">
        <v>0</v>
      </c>
      <c r="T3058" s="62" t="n">
        <v>0</v>
      </c>
      <c r="U3058" s="62" t="s">
        <v>2056</v>
      </c>
      <c r="V3058" s="62" t="s">
        <v>2057</v>
      </c>
      <c r="W3058" s="62" t="s">
        <v>15</v>
      </c>
      <c r="X3058" s="62" t="s">
        <v>2058</v>
      </c>
      <c r="Y3058" s="62" t="s">
        <v>2103</v>
      </c>
      <c r="Z3058" s="62" t="s">
        <v>5566</v>
      </c>
      <c r="AA3058" s="62" t="s">
        <v>5567</v>
      </c>
      <c r="AB3058" s="62" t="n">
        <v>1</v>
      </c>
      <c r="AC3058" s="62" t="n">
        <v>0</v>
      </c>
      <c r="AD3058" s="62" t="n">
        <v>1</v>
      </c>
      <c r="AE3058" s="62" t="n">
        <f aca="false">IF(AND(Dashboard!$C$9="Yes",AC3058=1),0,1)</f>
        <v>1</v>
      </c>
      <c r="AF3058" s="62" t="n">
        <v>1</v>
      </c>
    </row>
    <row r="3059" customFormat="false" ht="15" hidden="false" customHeight="false" outlineLevel="0" collapsed="false">
      <c r="A3059" s="62" t="n">
        <v>3058</v>
      </c>
      <c r="B3059" s="63" t="n">
        <v>46298.0023032407</v>
      </c>
      <c r="C3059" s="64" t="n">
        <v>46297</v>
      </c>
      <c r="D3059" s="62" t="s">
        <v>288</v>
      </c>
      <c r="E3059" s="62" t="s">
        <v>4258</v>
      </c>
      <c r="F3059" s="62" t="s">
        <v>4258</v>
      </c>
      <c r="G3059" s="62" t="s">
        <v>4259</v>
      </c>
      <c r="H3059" s="62" t="s">
        <v>44</v>
      </c>
      <c r="I3059" s="62" t="s">
        <v>49</v>
      </c>
      <c r="J3059" s="62" t="s">
        <v>146</v>
      </c>
      <c r="K3059" s="62" t="s">
        <v>147</v>
      </c>
      <c r="L3059" s="62" t="s">
        <v>148</v>
      </c>
      <c r="M3059" s="62" t="n">
        <v>0</v>
      </c>
      <c r="N3059" s="62" t="n">
        <v>1</v>
      </c>
      <c r="O3059" s="62" t="n">
        <v>1</v>
      </c>
      <c r="P3059" s="62" t="n">
        <v>1</v>
      </c>
      <c r="Q3059" s="62" t="n">
        <v>0</v>
      </c>
      <c r="R3059" s="62" t="n">
        <v>0</v>
      </c>
      <c r="S3059" s="62" t="n">
        <v>0</v>
      </c>
      <c r="T3059" s="62" t="n">
        <v>0</v>
      </c>
      <c r="U3059" s="62"/>
      <c r="V3059" s="62"/>
      <c r="W3059" s="62"/>
      <c r="X3059" s="62"/>
      <c r="Y3059" s="62"/>
      <c r="Z3059" s="62" t="s">
        <v>5568</v>
      </c>
      <c r="AA3059" s="62" t="s">
        <v>5569</v>
      </c>
      <c r="AB3059" s="62" t="n">
        <v>1</v>
      </c>
      <c r="AC3059" s="62" t="n">
        <v>0</v>
      </c>
      <c r="AD3059" s="62" t="n">
        <v>1</v>
      </c>
      <c r="AE3059" s="62" t="n">
        <f aca="false">IF(AND(Dashboard!$C$9="Yes",AC3059=1),0,1)</f>
        <v>1</v>
      </c>
      <c r="AF3059" s="62" t="n">
        <v>1</v>
      </c>
    </row>
    <row r="3060" customFormat="false" ht="15" hidden="false" customHeight="false" outlineLevel="0" collapsed="false">
      <c r="A3060" s="62" t="n">
        <v>3059</v>
      </c>
      <c r="B3060" s="63" t="n">
        <v>46298.0055324074</v>
      </c>
      <c r="C3060" s="64" t="n">
        <v>46297</v>
      </c>
      <c r="D3060" s="62" t="s">
        <v>288</v>
      </c>
      <c r="E3060" s="62" t="s">
        <v>2228</v>
      </c>
      <c r="F3060" s="62" t="s">
        <v>2228</v>
      </c>
      <c r="G3060" s="62" t="s">
        <v>2229</v>
      </c>
      <c r="H3060" s="62" t="s">
        <v>58</v>
      </c>
      <c r="I3060" s="62" t="s">
        <v>49</v>
      </c>
      <c r="J3060" s="62" t="s">
        <v>146</v>
      </c>
      <c r="K3060" s="62" t="s">
        <v>209</v>
      </c>
      <c r="L3060" s="62" t="s">
        <v>4</v>
      </c>
      <c r="M3060" s="62" t="n">
        <v>1</v>
      </c>
      <c r="N3060" s="62" t="n">
        <v>0</v>
      </c>
      <c r="O3060" s="62" t="n">
        <v>1</v>
      </c>
      <c r="P3060" s="62" t="n">
        <v>0</v>
      </c>
      <c r="Q3060" s="62" t="n">
        <v>0</v>
      </c>
      <c r="R3060" s="62" t="n">
        <v>0</v>
      </c>
      <c r="S3060" s="62" t="n">
        <v>0</v>
      </c>
      <c r="T3060" s="62" t="n">
        <v>0</v>
      </c>
      <c r="U3060" s="62" t="s">
        <v>2056</v>
      </c>
      <c r="V3060" s="62" t="s">
        <v>2057</v>
      </c>
      <c r="W3060" s="62" t="s">
        <v>15</v>
      </c>
      <c r="X3060" s="62" t="s">
        <v>2058</v>
      </c>
      <c r="Y3060" s="62" t="s">
        <v>2059</v>
      </c>
      <c r="Z3060" s="62" t="s">
        <v>5570</v>
      </c>
      <c r="AA3060" s="62" t="s">
        <v>5571</v>
      </c>
      <c r="AB3060" s="62" t="n">
        <v>1</v>
      </c>
      <c r="AC3060" s="62" t="n">
        <v>0</v>
      </c>
      <c r="AD3060" s="62" t="n">
        <v>1</v>
      </c>
      <c r="AE3060" s="62" t="n">
        <f aca="false">IF(AND(Dashboard!$C$9="Yes",AC3060=1),0,1)</f>
        <v>1</v>
      </c>
      <c r="AF3060" s="62" t="n">
        <v>1</v>
      </c>
    </row>
    <row r="3061" customFormat="false" ht="15" hidden="false" customHeight="false" outlineLevel="0" collapsed="false">
      <c r="A3061" s="62" t="n">
        <v>3060</v>
      </c>
      <c r="B3061" s="63" t="n">
        <v>46298.011724537</v>
      </c>
      <c r="C3061" s="64" t="n">
        <v>46297</v>
      </c>
      <c r="D3061" s="62" t="s">
        <v>288</v>
      </c>
      <c r="E3061" s="62" t="s">
        <v>2365</v>
      </c>
      <c r="F3061" s="62" t="s">
        <v>2365</v>
      </c>
      <c r="G3061" s="62" t="s">
        <v>2366</v>
      </c>
      <c r="H3061" s="62" t="s">
        <v>52</v>
      </c>
      <c r="I3061" s="62" t="s">
        <v>47</v>
      </c>
      <c r="J3061" s="62" t="s">
        <v>146</v>
      </c>
      <c r="K3061" s="62" t="s">
        <v>147</v>
      </c>
      <c r="L3061" s="62" t="s">
        <v>148</v>
      </c>
      <c r="M3061" s="62" t="n">
        <v>0</v>
      </c>
      <c r="N3061" s="62" t="n">
        <v>1</v>
      </c>
      <c r="O3061" s="62" t="n">
        <v>1</v>
      </c>
      <c r="P3061" s="62" t="n">
        <v>1</v>
      </c>
      <c r="Q3061" s="62" t="n">
        <v>0</v>
      </c>
      <c r="R3061" s="62" t="n">
        <v>0</v>
      </c>
      <c r="S3061" s="62" t="n">
        <v>0</v>
      </c>
      <c r="T3061" s="62" t="n">
        <v>0</v>
      </c>
      <c r="U3061" s="62"/>
      <c r="V3061" s="62"/>
      <c r="W3061" s="62"/>
      <c r="X3061" s="62"/>
      <c r="Y3061" s="62"/>
      <c r="Z3061" s="62" t="s">
        <v>5572</v>
      </c>
      <c r="AA3061" s="62" t="s">
        <v>5573</v>
      </c>
      <c r="AB3061" s="62" t="n">
        <v>1</v>
      </c>
      <c r="AC3061" s="62" t="n">
        <v>0</v>
      </c>
      <c r="AD3061" s="62" t="n">
        <v>1</v>
      </c>
      <c r="AE3061" s="62" t="n">
        <f aca="false">IF(AND(Dashboard!$C$9="Yes",AC3061=1),0,1)</f>
        <v>1</v>
      </c>
      <c r="AF3061" s="62" t="n">
        <v>1</v>
      </c>
    </row>
    <row r="3062" customFormat="false" ht="15" hidden="false" customHeight="false" outlineLevel="0" collapsed="false">
      <c r="A3062" s="62" t="n">
        <v>3061</v>
      </c>
      <c r="B3062" s="63" t="n">
        <v>46298.0122569444</v>
      </c>
      <c r="C3062" s="64" t="n">
        <v>46297</v>
      </c>
      <c r="D3062" s="62" t="s">
        <v>288</v>
      </c>
      <c r="E3062" s="62" t="s">
        <v>3022</v>
      </c>
      <c r="F3062" s="62" t="s">
        <v>3022</v>
      </c>
      <c r="G3062" s="62" t="s">
        <v>3023</v>
      </c>
      <c r="H3062" s="62" t="s">
        <v>46</v>
      </c>
      <c r="I3062" s="62" t="s">
        <v>47</v>
      </c>
      <c r="J3062" s="62" t="s">
        <v>146</v>
      </c>
      <c r="K3062" s="62" t="s">
        <v>209</v>
      </c>
      <c r="L3062" s="62" t="s">
        <v>148</v>
      </c>
      <c r="M3062" s="62" t="n">
        <v>0</v>
      </c>
      <c r="N3062" s="62" t="n">
        <v>1</v>
      </c>
      <c r="O3062" s="62" t="n">
        <v>1</v>
      </c>
      <c r="P3062" s="62" t="n">
        <v>1</v>
      </c>
      <c r="Q3062" s="62" t="n">
        <v>0</v>
      </c>
      <c r="R3062" s="62" t="n">
        <v>0</v>
      </c>
      <c r="S3062" s="62" t="n">
        <v>0</v>
      </c>
      <c r="T3062" s="62" t="n">
        <v>0</v>
      </c>
      <c r="U3062" s="62"/>
      <c r="V3062" s="62"/>
      <c r="W3062" s="62"/>
      <c r="X3062" s="62"/>
      <c r="Y3062" s="62"/>
      <c r="Z3062" s="62" t="s">
        <v>5574</v>
      </c>
      <c r="AA3062" s="62" t="s">
        <v>337</v>
      </c>
      <c r="AB3062" s="62" t="n">
        <v>0</v>
      </c>
      <c r="AC3062" s="62" t="n">
        <v>0</v>
      </c>
      <c r="AD3062" s="62" t="n">
        <v>1</v>
      </c>
      <c r="AE3062" s="62" t="n">
        <f aca="false">IF(AND(Dashboard!$C$9="Yes",AC3062=1),0,1)</f>
        <v>1</v>
      </c>
      <c r="AF3062" s="62" t="n">
        <v>1</v>
      </c>
    </row>
    <row r="3063" customFormat="false" ht="15" hidden="false" customHeight="false" outlineLevel="0" collapsed="false">
      <c r="A3063" s="62" t="n">
        <v>3062</v>
      </c>
      <c r="B3063" s="63" t="n">
        <v>46298.0159837963</v>
      </c>
      <c r="C3063" s="64" t="n">
        <v>46297</v>
      </c>
      <c r="D3063" s="62" t="s">
        <v>288</v>
      </c>
      <c r="E3063" s="62" t="s">
        <v>2134</v>
      </c>
      <c r="F3063" s="62" t="s">
        <v>2134</v>
      </c>
      <c r="G3063" s="62" t="s">
        <v>2135</v>
      </c>
      <c r="H3063" s="62" t="s">
        <v>57</v>
      </c>
      <c r="I3063" s="62" t="s">
        <v>47</v>
      </c>
      <c r="J3063" s="62" t="s">
        <v>146</v>
      </c>
      <c r="K3063" s="62" t="s">
        <v>147</v>
      </c>
      <c r="L3063" s="62" t="s">
        <v>4</v>
      </c>
      <c r="M3063" s="62" t="n">
        <v>1</v>
      </c>
      <c r="N3063" s="62" t="n">
        <v>0</v>
      </c>
      <c r="O3063" s="62" t="n">
        <v>1</v>
      </c>
      <c r="P3063" s="62" t="n">
        <v>0</v>
      </c>
      <c r="Q3063" s="62" t="n">
        <v>0</v>
      </c>
      <c r="R3063" s="62" t="n">
        <v>0</v>
      </c>
      <c r="S3063" s="62" t="n">
        <v>0</v>
      </c>
      <c r="T3063" s="62" t="n">
        <v>0</v>
      </c>
      <c r="U3063" s="62" t="s">
        <v>15</v>
      </c>
      <c r="V3063" s="62" t="s">
        <v>2057</v>
      </c>
      <c r="W3063" s="62" t="s">
        <v>15</v>
      </c>
      <c r="X3063" s="62" t="s">
        <v>2103</v>
      </c>
      <c r="Y3063" s="62" t="s">
        <v>2253</v>
      </c>
      <c r="Z3063" s="62" t="s">
        <v>5575</v>
      </c>
      <c r="AA3063" s="62" t="s">
        <v>5576</v>
      </c>
      <c r="AB3063" s="62" t="n">
        <v>1</v>
      </c>
      <c r="AC3063" s="62" t="n">
        <v>0</v>
      </c>
      <c r="AD3063" s="62" t="n">
        <v>1</v>
      </c>
      <c r="AE3063" s="62" t="n">
        <f aca="false">IF(AND(Dashboard!$C$9="Yes",AC3063=1),0,1)</f>
        <v>1</v>
      </c>
      <c r="AF3063" s="62" t="n">
        <v>1</v>
      </c>
    </row>
    <row r="3064" customFormat="false" ht="15" hidden="false" customHeight="false" outlineLevel="0" collapsed="false">
      <c r="A3064" s="62" t="n">
        <v>3063</v>
      </c>
      <c r="B3064" s="63" t="n">
        <v>46298.0475</v>
      </c>
      <c r="C3064" s="64" t="n">
        <v>46297</v>
      </c>
      <c r="D3064" s="62" t="s">
        <v>288</v>
      </c>
      <c r="E3064" s="62" t="s">
        <v>371</v>
      </c>
      <c r="F3064" s="62" t="s">
        <v>371</v>
      </c>
      <c r="G3064" s="62" t="s">
        <v>372</v>
      </c>
      <c r="H3064" s="62" t="s">
        <v>59</v>
      </c>
      <c r="I3064" s="62" t="s">
        <v>47</v>
      </c>
      <c r="J3064" s="62" t="s">
        <v>146</v>
      </c>
      <c r="K3064" s="62" t="s">
        <v>147</v>
      </c>
      <c r="L3064" s="62" t="s">
        <v>148</v>
      </c>
      <c r="M3064" s="62" t="n">
        <v>0</v>
      </c>
      <c r="N3064" s="62" t="n">
        <v>1</v>
      </c>
      <c r="O3064" s="62" t="n">
        <v>1</v>
      </c>
      <c r="P3064" s="62" t="n">
        <v>1</v>
      </c>
      <c r="Q3064" s="62" t="n">
        <v>0</v>
      </c>
      <c r="R3064" s="62" t="n">
        <v>0</v>
      </c>
      <c r="S3064" s="62" t="n">
        <v>0</v>
      </c>
      <c r="T3064" s="62" t="n">
        <v>0</v>
      </c>
      <c r="U3064" s="62"/>
      <c r="V3064" s="62"/>
      <c r="W3064" s="62"/>
      <c r="X3064" s="62"/>
      <c r="Y3064" s="62"/>
      <c r="Z3064" s="62" t="s">
        <v>5577</v>
      </c>
      <c r="AA3064" s="62" t="s">
        <v>5578</v>
      </c>
      <c r="AB3064" s="62" t="n">
        <v>1</v>
      </c>
      <c r="AC3064" s="62" t="n">
        <v>0</v>
      </c>
      <c r="AD3064" s="62" t="n">
        <v>1</v>
      </c>
      <c r="AE3064" s="62" t="n">
        <f aca="false">IF(AND(Dashboard!$C$9="Yes",AC3064=1),0,1)</f>
        <v>1</v>
      </c>
      <c r="AF3064" s="62" t="n">
        <v>1</v>
      </c>
    </row>
    <row r="3065" customFormat="false" ht="15" hidden="false" customHeight="false" outlineLevel="0" collapsed="false">
      <c r="A3065" s="62" t="n">
        <v>3064</v>
      </c>
      <c r="B3065" s="63" t="n">
        <v>46298.0526736111</v>
      </c>
      <c r="C3065" s="64" t="n">
        <v>46297</v>
      </c>
      <c r="D3065" s="62" t="s">
        <v>288</v>
      </c>
      <c r="E3065" s="62" t="s">
        <v>2845</v>
      </c>
      <c r="F3065" s="62" t="s">
        <v>2845</v>
      </c>
      <c r="G3065" s="62" t="s">
        <v>181</v>
      </c>
      <c r="H3065" s="62" t="s">
        <v>48</v>
      </c>
      <c r="I3065" s="62" t="s">
        <v>49</v>
      </c>
      <c r="J3065" s="62" t="s">
        <v>146</v>
      </c>
      <c r="K3065" s="62" t="s">
        <v>209</v>
      </c>
      <c r="L3065" s="62" t="s">
        <v>148</v>
      </c>
      <c r="M3065" s="62" t="n">
        <v>0</v>
      </c>
      <c r="N3065" s="62" t="n">
        <v>1</v>
      </c>
      <c r="O3065" s="62" t="n">
        <v>1</v>
      </c>
      <c r="P3065" s="62" t="n">
        <v>0</v>
      </c>
      <c r="Q3065" s="62" t="n">
        <v>1</v>
      </c>
      <c r="R3065" s="62" t="n">
        <v>0</v>
      </c>
      <c r="S3065" s="62" t="n">
        <v>0</v>
      </c>
      <c r="T3065" s="62" t="n">
        <v>0</v>
      </c>
      <c r="U3065" s="62"/>
      <c r="V3065" s="62"/>
      <c r="W3065" s="62"/>
      <c r="X3065" s="62"/>
      <c r="Y3065" s="62"/>
      <c r="Z3065" s="62" t="s">
        <v>5579</v>
      </c>
      <c r="AA3065" s="62" t="s">
        <v>5580</v>
      </c>
      <c r="AB3065" s="62" t="n">
        <v>1</v>
      </c>
      <c r="AC3065" s="62" t="n">
        <v>0</v>
      </c>
      <c r="AD3065" s="62" t="n">
        <v>1</v>
      </c>
      <c r="AE3065" s="62" t="n">
        <f aca="false">IF(AND(Dashboard!$C$9="Yes",AC3065=1),0,1)</f>
        <v>1</v>
      </c>
      <c r="AF3065" s="62" t="n">
        <v>1</v>
      </c>
    </row>
    <row r="3066" customFormat="false" ht="15" hidden="false" customHeight="false" outlineLevel="0" collapsed="false">
      <c r="A3066" s="62" t="n">
        <v>3065</v>
      </c>
      <c r="B3066" s="63" t="n">
        <v>46298.0571180556</v>
      </c>
      <c r="C3066" s="64" t="n">
        <v>46297</v>
      </c>
      <c r="D3066" s="62" t="s">
        <v>288</v>
      </c>
      <c r="E3066" s="62" t="s">
        <v>884</v>
      </c>
      <c r="F3066" s="62" t="s">
        <v>884</v>
      </c>
      <c r="G3066" s="62" t="s">
        <v>885</v>
      </c>
      <c r="H3066" s="62" t="s">
        <v>46</v>
      </c>
      <c r="I3066" s="62" t="s">
        <v>47</v>
      </c>
      <c r="J3066" s="62" t="s">
        <v>146</v>
      </c>
      <c r="K3066" s="62" t="s">
        <v>209</v>
      </c>
      <c r="L3066" s="62" t="s">
        <v>148</v>
      </c>
      <c r="M3066" s="62" t="n">
        <v>0</v>
      </c>
      <c r="N3066" s="62" t="n">
        <v>2</v>
      </c>
      <c r="O3066" s="62" t="n">
        <v>2</v>
      </c>
      <c r="P3066" s="62" t="n">
        <v>1</v>
      </c>
      <c r="Q3066" s="62" t="n">
        <v>1</v>
      </c>
      <c r="R3066" s="62" t="n">
        <v>0</v>
      </c>
      <c r="S3066" s="62" t="n">
        <v>0</v>
      </c>
      <c r="T3066" s="62" t="n">
        <v>0</v>
      </c>
      <c r="U3066" s="62"/>
      <c r="V3066" s="62"/>
      <c r="W3066" s="62"/>
      <c r="X3066" s="62"/>
      <c r="Y3066" s="62"/>
      <c r="Z3066" s="62" t="s">
        <v>5581</v>
      </c>
      <c r="AA3066" s="62" t="s">
        <v>5582</v>
      </c>
      <c r="AB3066" s="62" t="n">
        <v>1</v>
      </c>
      <c r="AC3066" s="62" t="n">
        <v>0</v>
      </c>
      <c r="AD3066" s="62" t="n">
        <v>1</v>
      </c>
      <c r="AE3066" s="62" t="n">
        <f aca="false">IF(AND(Dashboard!$C$9="Yes",AC3066=1),0,1)</f>
        <v>1</v>
      </c>
      <c r="AF3066" s="62" t="n">
        <v>0</v>
      </c>
    </row>
    <row r="3067" customFormat="false" ht="15" hidden="false" customHeight="false" outlineLevel="0" collapsed="false">
      <c r="A3067" s="62" t="n">
        <v>3066</v>
      </c>
      <c r="B3067" s="63" t="n">
        <v>46298.0572337963</v>
      </c>
      <c r="C3067" s="64" t="n">
        <v>46297</v>
      </c>
      <c r="D3067" s="62" t="s">
        <v>288</v>
      </c>
      <c r="E3067" s="62" t="s">
        <v>5250</v>
      </c>
      <c r="F3067" s="62" t="s">
        <v>5250</v>
      </c>
      <c r="G3067" s="62" t="s">
        <v>5251</v>
      </c>
      <c r="H3067" s="62" t="s">
        <v>55</v>
      </c>
      <c r="I3067" s="62" t="s">
        <v>49</v>
      </c>
      <c r="J3067" s="62" t="s">
        <v>3708</v>
      </c>
      <c r="K3067" s="62" t="s">
        <v>209</v>
      </c>
      <c r="L3067" s="62" t="s">
        <v>148</v>
      </c>
      <c r="M3067" s="62" t="n">
        <v>0</v>
      </c>
      <c r="N3067" s="62" t="n">
        <v>2</v>
      </c>
      <c r="O3067" s="62" t="n">
        <v>2</v>
      </c>
      <c r="P3067" s="62" t="n">
        <v>0</v>
      </c>
      <c r="Q3067" s="62" t="n">
        <v>0</v>
      </c>
      <c r="R3067" s="62" t="n">
        <v>0</v>
      </c>
      <c r="S3067" s="62" t="n">
        <v>1</v>
      </c>
      <c r="T3067" s="62" t="n">
        <v>1</v>
      </c>
      <c r="U3067" s="62"/>
      <c r="V3067" s="62"/>
      <c r="W3067" s="62"/>
      <c r="X3067" s="62"/>
      <c r="Y3067" s="62"/>
      <c r="Z3067" s="62" t="s">
        <v>5583</v>
      </c>
      <c r="AA3067" s="62" t="s">
        <v>5584</v>
      </c>
      <c r="AB3067" s="62" t="n">
        <v>1</v>
      </c>
      <c r="AC3067" s="62" t="n">
        <v>0</v>
      </c>
      <c r="AD3067" s="62" t="n">
        <v>1</v>
      </c>
      <c r="AE3067" s="62" t="n">
        <f aca="false">IF(AND(Dashboard!$C$9="Yes",AC3067=1),0,1)</f>
        <v>1</v>
      </c>
      <c r="AF3067" s="62" t="n">
        <v>1</v>
      </c>
    </row>
    <row r="3068" customFormat="false" ht="15" hidden="false" customHeight="false" outlineLevel="0" collapsed="false">
      <c r="A3068" s="62" t="n">
        <v>3067</v>
      </c>
      <c r="B3068" s="63" t="n">
        <v>46298.0662384259</v>
      </c>
      <c r="C3068" s="64" t="n">
        <v>46297</v>
      </c>
      <c r="D3068" s="62" t="s">
        <v>288</v>
      </c>
      <c r="E3068" s="62" t="s">
        <v>884</v>
      </c>
      <c r="F3068" s="62" t="s">
        <v>884</v>
      </c>
      <c r="G3068" s="62" t="s">
        <v>885</v>
      </c>
      <c r="H3068" s="62" t="s">
        <v>46</v>
      </c>
      <c r="I3068" s="62" t="s">
        <v>47</v>
      </c>
      <c r="J3068" s="62" t="s">
        <v>146</v>
      </c>
      <c r="K3068" s="62" t="s">
        <v>209</v>
      </c>
      <c r="L3068" s="62" t="s">
        <v>148</v>
      </c>
      <c r="M3068" s="62" t="n">
        <v>0</v>
      </c>
      <c r="N3068" s="62" t="n">
        <v>1</v>
      </c>
      <c r="O3068" s="62" t="n">
        <v>1</v>
      </c>
      <c r="P3068" s="62" t="n">
        <v>0</v>
      </c>
      <c r="Q3068" s="62" t="n">
        <v>0</v>
      </c>
      <c r="R3068" s="62" t="n">
        <v>0</v>
      </c>
      <c r="S3068" s="62" t="n">
        <v>0</v>
      </c>
      <c r="T3068" s="62" t="n">
        <v>1</v>
      </c>
      <c r="U3068" s="62"/>
      <c r="V3068" s="62"/>
      <c r="W3068" s="62"/>
      <c r="X3068" s="62"/>
      <c r="Y3068" s="62"/>
      <c r="Z3068" s="62" t="s">
        <v>5585</v>
      </c>
      <c r="AA3068" s="62" t="s">
        <v>5586</v>
      </c>
      <c r="AB3068" s="62" t="n">
        <v>1</v>
      </c>
      <c r="AC3068" s="62" t="n">
        <v>0</v>
      </c>
      <c r="AD3068" s="62" t="n">
        <v>1</v>
      </c>
      <c r="AE3068" s="62" t="n">
        <f aca="false">IF(AND(Dashboard!$C$9="Yes",AC3068=1),0,1)</f>
        <v>1</v>
      </c>
      <c r="AF3068" s="62" t="n">
        <v>0</v>
      </c>
    </row>
    <row r="3069" customFormat="false" ht="15" hidden="false" customHeight="false" outlineLevel="0" collapsed="false">
      <c r="A3069" s="62" t="n">
        <v>3068</v>
      </c>
      <c r="B3069" s="63" t="n">
        <v>46298.0664930556</v>
      </c>
      <c r="C3069" s="64" t="n">
        <v>46297</v>
      </c>
      <c r="D3069" s="62" t="s">
        <v>288</v>
      </c>
      <c r="E3069" s="62" t="s">
        <v>5227</v>
      </c>
      <c r="F3069" s="62" t="s">
        <v>5227</v>
      </c>
      <c r="G3069" s="62" t="s">
        <v>5228</v>
      </c>
      <c r="H3069" s="62" t="s">
        <v>55</v>
      </c>
      <c r="I3069" s="62" t="s">
        <v>49</v>
      </c>
      <c r="J3069" s="62" t="s">
        <v>3708</v>
      </c>
      <c r="K3069" s="62" t="s">
        <v>209</v>
      </c>
      <c r="L3069" s="62" t="s">
        <v>148</v>
      </c>
      <c r="M3069" s="62" t="n">
        <v>0</v>
      </c>
      <c r="N3069" s="62" t="n">
        <v>1</v>
      </c>
      <c r="O3069" s="62" t="n">
        <v>1</v>
      </c>
      <c r="P3069" s="62" t="n">
        <v>0</v>
      </c>
      <c r="Q3069" s="62" t="n">
        <v>1</v>
      </c>
      <c r="R3069" s="62" t="n">
        <v>0</v>
      </c>
      <c r="S3069" s="62" t="n">
        <v>0</v>
      </c>
      <c r="T3069" s="62" t="n">
        <v>0</v>
      </c>
      <c r="U3069" s="62"/>
      <c r="V3069" s="62"/>
      <c r="W3069" s="62"/>
      <c r="X3069" s="62"/>
      <c r="Y3069" s="62"/>
      <c r="Z3069" s="62" t="s">
        <v>5587</v>
      </c>
      <c r="AA3069" s="62" t="s">
        <v>5588</v>
      </c>
      <c r="AB3069" s="62" t="n">
        <v>1</v>
      </c>
      <c r="AC3069" s="62" t="n">
        <v>0</v>
      </c>
      <c r="AD3069" s="62" t="n">
        <v>1</v>
      </c>
      <c r="AE3069" s="62" t="n">
        <f aca="false">IF(AND(Dashboard!$C$9="Yes",AC3069=1),0,1)</f>
        <v>1</v>
      </c>
      <c r="AF3069" s="62" t="n">
        <v>0</v>
      </c>
    </row>
    <row r="3070" customFormat="false" ht="15" hidden="false" customHeight="false" outlineLevel="0" collapsed="false">
      <c r="A3070" s="62" t="n">
        <v>3069</v>
      </c>
      <c r="B3070" s="63" t="n">
        <v>46298.0980092593</v>
      </c>
      <c r="C3070" s="64" t="n">
        <v>46297</v>
      </c>
      <c r="D3070" s="62" t="s">
        <v>288</v>
      </c>
      <c r="E3070" s="62" t="s">
        <v>1314</v>
      </c>
      <c r="F3070" s="62" t="s">
        <v>1314</v>
      </c>
      <c r="G3070" s="62" t="s">
        <v>1315</v>
      </c>
      <c r="H3070" s="62" t="s">
        <v>51</v>
      </c>
      <c r="I3070" s="62" t="s">
        <v>47</v>
      </c>
      <c r="J3070" s="62" t="s">
        <v>146</v>
      </c>
      <c r="K3070" s="62" t="s">
        <v>209</v>
      </c>
      <c r="L3070" s="62" t="s">
        <v>4</v>
      </c>
      <c r="M3070" s="62" t="n">
        <v>1</v>
      </c>
      <c r="N3070" s="62" t="n">
        <v>0</v>
      </c>
      <c r="O3070" s="62" t="n">
        <v>1</v>
      </c>
      <c r="P3070" s="62" t="n">
        <v>0</v>
      </c>
      <c r="Q3070" s="62" t="n">
        <v>0</v>
      </c>
      <c r="R3070" s="62" t="n">
        <v>0</v>
      </c>
      <c r="S3070" s="62" t="n">
        <v>0</v>
      </c>
      <c r="T3070" s="62" t="n">
        <v>0</v>
      </c>
      <c r="U3070" s="62" t="s">
        <v>2056</v>
      </c>
      <c r="V3070" s="62" t="s">
        <v>2057</v>
      </c>
      <c r="W3070" s="62" t="s">
        <v>15</v>
      </c>
      <c r="X3070" s="62"/>
      <c r="Y3070" s="62" t="s">
        <v>2059</v>
      </c>
      <c r="Z3070" s="62" t="s">
        <v>5589</v>
      </c>
      <c r="AA3070" s="62" t="s">
        <v>5590</v>
      </c>
      <c r="AB3070" s="62" t="n">
        <v>1</v>
      </c>
      <c r="AC3070" s="62" t="n">
        <v>0</v>
      </c>
      <c r="AD3070" s="62" t="n">
        <v>1</v>
      </c>
      <c r="AE3070" s="62" t="n">
        <f aca="false">IF(AND(Dashboard!$C$9="Yes",AC3070=1),0,1)</f>
        <v>1</v>
      </c>
      <c r="AF3070" s="62" t="n">
        <v>1</v>
      </c>
    </row>
    <row r="3071" customFormat="false" ht="15" hidden="false" customHeight="false" outlineLevel="0" collapsed="false">
      <c r="A3071" s="62" t="n">
        <v>3070</v>
      </c>
      <c r="B3071" s="63" t="n">
        <v>46298.1052083333</v>
      </c>
      <c r="C3071" s="64" t="n">
        <v>46297</v>
      </c>
      <c r="D3071" s="62" t="s">
        <v>288</v>
      </c>
      <c r="E3071" s="62" t="s">
        <v>2385</v>
      </c>
      <c r="F3071" s="62" t="s">
        <v>2385</v>
      </c>
      <c r="G3071" s="62" t="s">
        <v>2386</v>
      </c>
      <c r="H3071" s="62" t="s">
        <v>59</v>
      </c>
      <c r="I3071" s="62" t="s">
        <v>47</v>
      </c>
      <c r="J3071" s="62" t="s">
        <v>146</v>
      </c>
      <c r="K3071" s="62" t="s">
        <v>209</v>
      </c>
      <c r="L3071" s="62" t="s">
        <v>148</v>
      </c>
      <c r="M3071" s="62" t="n">
        <v>0</v>
      </c>
      <c r="N3071" s="62" t="n">
        <v>1</v>
      </c>
      <c r="O3071" s="62" t="n">
        <v>1</v>
      </c>
      <c r="P3071" s="62" t="n">
        <v>0</v>
      </c>
      <c r="Q3071" s="62" t="n">
        <v>0</v>
      </c>
      <c r="R3071" s="62" t="n">
        <v>0</v>
      </c>
      <c r="S3071" s="62" t="n">
        <v>1</v>
      </c>
      <c r="T3071" s="62" t="n">
        <v>0</v>
      </c>
      <c r="U3071" s="62"/>
      <c r="V3071" s="62"/>
      <c r="W3071" s="62"/>
      <c r="X3071" s="62"/>
      <c r="Y3071" s="62"/>
      <c r="Z3071" s="62" t="s">
        <v>5591</v>
      </c>
      <c r="AA3071" s="62" t="s">
        <v>5592</v>
      </c>
      <c r="AB3071" s="62" t="n">
        <v>1</v>
      </c>
      <c r="AC3071" s="62" t="n">
        <v>0</v>
      </c>
      <c r="AD3071" s="62" t="n">
        <v>1</v>
      </c>
      <c r="AE3071" s="62" t="n">
        <f aca="false">IF(AND(Dashboard!$C$9="Yes",AC3071=1),0,1)</f>
        <v>1</v>
      </c>
      <c r="AF3071" s="62" t="n">
        <v>1</v>
      </c>
    </row>
    <row r="3072" customFormat="false" ht="15" hidden="false" customHeight="false" outlineLevel="0" collapsed="false">
      <c r="A3072" s="62" t="n">
        <v>3071</v>
      </c>
      <c r="B3072" s="63" t="n">
        <v>46298.1277662037</v>
      </c>
      <c r="C3072" s="64" t="n">
        <v>46297</v>
      </c>
      <c r="D3072" s="62" t="s">
        <v>288</v>
      </c>
      <c r="E3072" s="62" t="s">
        <v>2845</v>
      </c>
      <c r="F3072" s="62" t="s">
        <v>2845</v>
      </c>
      <c r="G3072" s="62" t="s">
        <v>181</v>
      </c>
      <c r="H3072" s="62" t="s">
        <v>48</v>
      </c>
      <c r="I3072" s="62" t="s">
        <v>49</v>
      </c>
      <c r="J3072" s="62" t="s">
        <v>146</v>
      </c>
      <c r="K3072" s="62" t="s">
        <v>209</v>
      </c>
      <c r="L3072" s="62" t="s">
        <v>4</v>
      </c>
      <c r="M3072" s="62" t="n">
        <v>1</v>
      </c>
      <c r="N3072" s="62" t="n">
        <v>0</v>
      </c>
      <c r="O3072" s="62" t="n">
        <v>1</v>
      </c>
      <c r="P3072" s="62" t="n">
        <v>0</v>
      </c>
      <c r="Q3072" s="62" t="n">
        <v>0</v>
      </c>
      <c r="R3072" s="62" t="n">
        <v>0</v>
      </c>
      <c r="S3072" s="62" t="n">
        <v>0</v>
      </c>
      <c r="T3072" s="62" t="n">
        <v>0</v>
      </c>
      <c r="U3072" s="62" t="s">
        <v>2056</v>
      </c>
      <c r="V3072" s="62" t="s">
        <v>2057</v>
      </c>
      <c r="W3072" s="62" t="s">
        <v>15</v>
      </c>
      <c r="X3072" s="62" t="s">
        <v>2058</v>
      </c>
      <c r="Y3072" s="62" t="s">
        <v>2059</v>
      </c>
      <c r="Z3072" s="62" t="s">
        <v>5593</v>
      </c>
      <c r="AA3072" s="62" t="s">
        <v>5594</v>
      </c>
      <c r="AB3072" s="62" t="n">
        <v>1</v>
      </c>
      <c r="AC3072" s="62" t="n">
        <v>0</v>
      </c>
      <c r="AD3072" s="62" t="n">
        <v>1</v>
      </c>
      <c r="AE3072" s="62" t="n">
        <f aca="false">IF(AND(Dashboard!$C$9="Yes",AC3072=1),0,1)</f>
        <v>1</v>
      </c>
      <c r="AF3072" s="62" t="n">
        <v>0</v>
      </c>
    </row>
    <row r="3073" customFormat="false" ht="15" hidden="false" customHeight="false" outlineLevel="0" collapsed="false">
      <c r="A3073" s="62" t="n">
        <v>3072</v>
      </c>
      <c r="B3073" s="63" t="n">
        <v>46298.1459375</v>
      </c>
      <c r="C3073" s="64" t="n">
        <v>46297</v>
      </c>
      <c r="D3073" s="62" t="s">
        <v>288</v>
      </c>
      <c r="E3073" s="62" t="s">
        <v>3869</v>
      </c>
      <c r="F3073" s="62" t="s">
        <v>3869</v>
      </c>
      <c r="G3073" s="62" t="s">
        <v>3870</v>
      </c>
      <c r="H3073" s="62" t="s">
        <v>59</v>
      </c>
      <c r="I3073" s="62" t="s">
        <v>47</v>
      </c>
      <c r="J3073" s="62" t="s">
        <v>146</v>
      </c>
      <c r="K3073" s="62" t="s">
        <v>209</v>
      </c>
      <c r="L3073" s="62" t="s">
        <v>148</v>
      </c>
      <c r="M3073" s="62" t="n">
        <v>0</v>
      </c>
      <c r="N3073" s="62" t="n">
        <v>1</v>
      </c>
      <c r="O3073" s="62" t="n">
        <v>1</v>
      </c>
      <c r="P3073" s="62" t="n">
        <v>1</v>
      </c>
      <c r="Q3073" s="62" t="n">
        <v>0</v>
      </c>
      <c r="R3073" s="62" t="n">
        <v>0</v>
      </c>
      <c r="S3073" s="62" t="n">
        <v>0</v>
      </c>
      <c r="T3073" s="62" t="n">
        <v>0</v>
      </c>
      <c r="U3073" s="62"/>
      <c r="V3073" s="62"/>
      <c r="W3073" s="62"/>
      <c r="X3073" s="62"/>
      <c r="Y3073" s="62"/>
      <c r="Z3073" s="62" t="s">
        <v>5595</v>
      </c>
      <c r="AA3073" s="62" t="s">
        <v>5596</v>
      </c>
      <c r="AB3073" s="62" t="n">
        <v>1</v>
      </c>
      <c r="AC3073" s="62" t="n">
        <v>0</v>
      </c>
      <c r="AD3073" s="62" t="n">
        <v>1</v>
      </c>
      <c r="AE3073" s="62" t="n">
        <f aca="false">IF(AND(Dashboard!$C$9="Yes",AC3073=1),0,1)</f>
        <v>1</v>
      </c>
      <c r="AF3073" s="62" t="n">
        <v>1</v>
      </c>
    </row>
    <row r="3074" customFormat="false" ht="15" hidden="false" customHeight="false" outlineLevel="0" collapsed="false">
      <c r="A3074" s="62" t="n">
        <v>3073</v>
      </c>
      <c r="B3074" s="63" t="n">
        <v>46298.1594675926</v>
      </c>
      <c r="C3074" s="64" t="n">
        <v>46297</v>
      </c>
      <c r="D3074" s="62" t="s">
        <v>288</v>
      </c>
      <c r="E3074" s="62" t="s">
        <v>3869</v>
      </c>
      <c r="F3074" s="62" t="s">
        <v>3869</v>
      </c>
      <c r="G3074" s="62" t="s">
        <v>3870</v>
      </c>
      <c r="H3074" s="62" t="s">
        <v>59</v>
      </c>
      <c r="I3074" s="62" t="s">
        <v>47</v>
      </c>
      <c r="J3074" s="62" t="s">
        <v>146</v>
      </c>
      <c r="K3074" s="62" t="s">
        <v>209</v>
      </c>
      <c r="L3074" s="62" t="s">
        <v>4</v>
      </c>
      <c r="M3074" s="62" t="n">
        <v>1</v>
      </c>
      <c r="N3074" s="62" t="n">
        <v>0</v>
      </c>
      <c r="O3074" s="62" t="n">
        <v>1</v>
      </c>
      <c r="P3074" s="62" t="n">
        <v>0</v>
      </c>
      <c r="Q3074" s="62" t="n">
        <v>0</v>
      </c>
      <c r="R3074" s="62" t="n">
        <v>0</v>
      </c>
      <c r="S3074" s="62" t="n">
        <v>0</v>
      </c>
      <c r="T3074" s="62" t="n">
        <v>0</v>
      </c>
      <c r="U3074" s="62" t="s">
        <v>2056</v>
      </c>
      <c r="V3074" s="62" t="s">
        <v>2057</v>
      </c>
      <c r="W3074" s="62" t="s">
        <v>15</v>
      </c>
      <c r="X3074" s="62" t="s">
        <v>2180</v>
      </c>
      <c r="Y3074" s="62" t="s">
        <v>2059</v>
      </c>
      <c r="Z3074" s="62" t="s">
        <v>5597</v>
      </c>
      <c r="AA3074" s="62" t="s">
        <v>5598</v>
      </c>
      <c r="AB3074" s="62" t="n">
        <v>1</v>
      </c>
      <c r="AC3074" s="62" t="n">
        <v>0</v>
      </c>
      <c r="AD3074" s="62" t="n">
        <v>1</v>
      </c>
      <c r="AE3074" s="62" t="n">
        <f aca="false">IF(AND(Dashboard!$C$9="Yes",AC3074=1),0,1)</f>
        <v>1</v>
      </c>
      <c r="AF3074" s="62" t="n">
        <v>0</v>
      </c>
    </row>
    <row r="3075" customFormat="false" ht="15" hidden="false" customHeight="false" outlineLevel="0" collapsed="false">
      <c r="A3075" s="62" t="n">
        <v>3074</v>
      </c>
      <c r="B3075" s="63" t="n">
        <v>46298.1746527778</v>
      </c>
      <c r="C3075" s="64" t="n">
        <v>46297</v>
      </c>
      <c r="D3075" s="62" t="s">
        <v>288</v>
      </c>
      <c r="E3075" s="62" t="s">
        <v>1314</v>
      </c>
      <c r="F3075" s="62" t="s">
        <v>1314</v>
      </c>
      <c r="G3075" s="62" t="s">
        <v>1315</v>
      </c>
      <c r="H3075" s="62" t="s">
        <v>51</v>
      </c>
      <c r="I3075" s="62" t="s">
        <v>47</v>
      </c>
      <c r="J3075" s="62" t="s">
        <v>146</v>
      </c>
      <c r="K3075" s="62" t="s">
        <v>209</v>
      </c>
      <c r="L3075" s="62" t="s">
        <v>4</v>
      </c>
      <c r="M3075" s="62" t="n">
        <v>1</v>
      </c>
      <c r="N3075" s="62" t="n">
        <v>0</v>
      </c>
      <c r="O3075" s="62" t="n">
        <v>1</v>
      </c>
      <c r="P3075" s="62" t="n">
        <v>0</v>
      </c>
      <c r="Q3075" s="62" t="n">
        <v>0</v>
      </c>
      <c r="R3075" s="62" t="n">
        <v>0</v>
      </c>
      <c r="S3075" s="62" t="n">
        <v>0</v>
      </c>
      <c r="T3075" s="62" t="n">
        <v>0</v>
      </c>
      <c r="U3075" s="62" t="s">
        <v>2056</v>
      </c>
      <c r="V3075" s="62" t="s">
        <v>2057</v>
      </c>
      <c r="W3075" s="62" t="s">
        <v>15</v>
      </c>
      <c r="X3075" s="62"/>
      <c r="Y3075" s="62" t="s">
        <v>2059</v>
      </c>
      <c r="Z3075" s="62" t="s">
        <v>5589</v>
      </c>
      <c r="AA3075" s="62" t="s">
        <v>5590</v>
      </c>
      <c r="AB3075" s="62" t="n">
        <v>1</v>
      </c>
      <c r="AC3075" s="62" t="n">
        <v>1</v>
      </c>
      <c r="AD3075" s="62" t="n">
        <v>1</v>
      </c>
      <c r="AE3075" s="62" t="n">
        <f aca="false">IF(AND(Dashboard!$C$9="Yes",AC3075=1),0,1)</f>
        <v>0</v>
      </c>
      <c r="AF3075" s="62" t="n">
        <v>0</v>
      </c>
    </row>
    <row r="3076" customFormat="false" ht="15" hidden="false" customHeight="false" outlineLevel="0" collapsed="false">
      <c r="A3076" s="62" t="n">
        <v>3075</v>
      </c>
      <c r="B3076" s="63" t="n">
        <v>46298.216099537</v>
      </c>
      <c r="C3076" s="64" t="n">
        <v>46297</v>
      </c>
      <c r="D3076" s="62" t="s">
        <v>288</v>
      </c>
      <c r="E3076" s="62" t="s">
        <v>2476</v>
      </c>
      <c r="F3076" s="62" t="s">
        <v>2476</v>
      </c>
      <c r="G3076" s="62" t="s">
        <v>2477</v>
      </c>
      <c r="H3076" s="62" t="s">
        <v>51</v>
      </c>
      <c r="I3076" s="62" t="s">
        <v>47</v>
      </c>
      <c r="J3076" s="62" t="s">
        <v>146</v>
      </c>
      <c r="K3076" s="62" t="s">
        <v>209</v>
      </c>
      <c r="L3076" s="62" t="s">
        <v>4</v>
      </c>
      <c r="M3076" s="62" t="n">
        <v>1</v>
      </c>
      <c r="N3076" s="62" t="n">
        <v>0</v>
      </c>
      <c r="O3076" s="62" t="n">
        <v>1</v>
      </c>
      <c r="P3076" s="62" t="n">
        <v>0</v>
      </c>
      <c r="Q3076" s="62" t="n">
        <v>0</v>
      </c>
      <c r="R3076" s="62" t="n">
        <v>0</v>
      </c>
      <c r="S3076" s="62" t="n">
        <v>0</v>
      </c>
      <c r="T3076" s="62" t="n">
        <v>0</v>
      </c>
      <c r="U3076" s="62" t="s">
        <v>2056</v>
      </c>
      <c r="V3076" s="62" t="s">
        <v>2057</v>
      </c>
      <c r="W3076" s="62" t="s">
        <v>15</v>
      </c>
      <c r="X3076" s="62"/>
      <c r="Y3076" s="62" t="s">
        <v>2103</v>
      </c>
      <c r="Z3076" s="62" t="s">
        <v>5599</v>
      </c>
      <c r="AA3076" s="62" t="s">
        <v>5600</v>
      </c>
      <c r="AB3076" s="62" t="n">
        <v>1</v>
      </c>
      <c r="AC3076" s="62" t="n">
        <v>0</v>
      </c>
      <c r="AD3076" s="62" t="n">
        <v>1</v>
      </c>
      <c r="AE3076" s="62" t="n">
        <f aca="false">IF(AND(Dashboard!$C$9="Yes",AC3076=1),0,1)</f>
        <v>1</v>
      </c>
      <c r="AF3076" s="62" t="n">
        <v>1</v>
      </c>
    </row>
    <row r="3077" customFormat="false" ht="15" hidden="false" customHeight="false" outlineLevel="0" collapsed="false">
      <c r="A3077" s="62" t="n">
        <v>3076</v>
      </c>
      <c r="B3077" s="63" t="n">
        <v>46298.2409837963</v>
      </c>
      <c r="C3077" s="64" t="n">
        <v>46297</v>
      </c>
      <c r="D3077" s="62" t="s">
        <v>288</v>
      </c>
      <c r="E3077" s="62" t="s">
        <v>2959</v>
      </c>
      <c r="F3077" s="62" t="s">
        <v>2959</v>
      </c>
      <c r="G3077" s="62" t="s">
        <v>2960</v>
      </c>
      <c r="H3077" s="62" t="s">
        <v>58</v>
      </c>
      <c r="I3077" s="62" t="s">
        <v>49</v>
      </c>
      <c r="J3077" s="62" t="s">
        <v>146</v>
      </c>
      <c r="K3077" s="62" t="s">
        <v>175</v>
      </c>
      <c r="L3077" s="62" t="s">
        <v>148</v>
      </c>
      <c r="M3077" s="62" t="n">
        <v>0</v>
      </c>
      <c r="N3077" s="62" t="n">
        <v>1</v>
      </c>
      <c r="O3077" s="62" t="n">
        <v>1</v>
      </c>
      <c r="P3077" s="62" t="n">
        <v>0</v>
      </c>
      <c r="Q3077" s="62" t="n">
        <v>0</v>
      </c>
      <c r="R3077" s="62" t="n">
        <v>0</v>
      </c>
      <c r="S3077" s="62" t="n">
        <v>0</v>
      </c>
      <c r="T3077" s="62" t="n">
        <v>1</v>
      </c>
      <c r="U3077" s="62"/>
      <c r="V3077" s="62"/>
      <c r="W3077" s="62"/>
      <c r="X3077" s="62"/>
      <c r="Y3077" s="62"/>
      <c r="Z3077" s="62" t="s">
        <v>5601</v>
      </c>
      <c r="AA3077" s="62" t="s">
        <v>5602</v>
      </c>
      <c r="AB3077" s="62" t="n">
        <v>1</v>
      </c>
      <c r="AC3077" s="62" t="n">
        <v>0</v>
      </c>
      <c r="AD3077" s="62" t="n">
        <v>1</v>
      </c>
      <c r="AE3077" s="62" t="n">
        <f aca="false">IF(AND(Dashboard!$C$9="Yes",AC3077=1),0,1)</f>
        <v>1</v>
      </c>
      <c r="AF3077" s="62" t="n">
        <v>0</v>
      </c>
    </row>
    <row r="3078" customFormat="false" ht="15" hidden="false" customHeight="false" outlineLevel="0" collapsed="false">
      <c r="A3078" s="62" t="n">
        <v>3077</v>
      </c>
      <c r="B3078" s="63" t="n">
        <v>46298.2847106482</v>
      </c>
      <c r="C3078" s="64" t="n">
        <v>46297</v>
      </c>
      <c r="D3078" s="62" t="s">
        <v>288</v>
      </c>
      <c r="E3078" s="62" t="s">
        <v>144</v>
      </c>
      <c r="F3078" s="62" t="s">
        <v>144</v>
      </c>
      <c r="G3078" s="62" t="s">
        <v>145</v>
      </c>
      <c r="H3078" s="62" t="s">
        <v>59</v>
      </c>
      <c r="I3078" s="62" t="s">
        <v>47</v>
      </c>
      <c r="J3078" s="62" t="s">
        <v>146</v>
      </c>
      <c r="K3078" s="62" t="s">
        <v>147</v>
      </c>
      <c r="L3078" s="62" t="s">
        <v>148</v>
      </c>
      <c r="M3078" s="62" t="n">
        <v>0</v>
      </c>
      <c r="N3078" s="62" t="n">
        <v>1</v>
      </c>
      <c r="O3078" s="62" t="n">
        <v>1</v>
      </c>
      <c r="P3078" s="62" t="n">
        <v>1</v>
      </c>
      <c r="Q3078" s="62" t="n">
        <v>0</v>
      </c>
      <c r="R3078" s="62" t="n">
        <v>0</v>
      </c>
      <c r="S3078" s="62" t="n">
        <v>0</v>
      </c>
      <c r="T3078" s="62" t="n">
        <v>0</v>
      </c>
      <c r="U3078" s="62"/>
      <c r="V3078" s="62"/>
      <c r="W3078" s="62"/>
      <c r="X3078" s="62"/>
      <c r="Y3078" s="62"/>
      <c r="Z3078" s="62" t="s">
        <v>5603</v>
      </c>
      <c r="AA3078" s="62" t="s">
        <v>5604</v>
      </c>
      <c r="AB3078" s="62" t="n">
        <v>1</v>
      </c>
      <c r="AC3078" s="62" t="n">
        <v>0</v>
      </c>
      <c r="AD3078" s="62" t="n">
        <v>1</v>
      </c>
      <c r="AE3078" s="62" t="n">
        <f aca="false">IF(AND(Dashboard!$C$9="Yes",AC3078=1),0,1)</f>
        <v>1</v>
      </c>
      <c r="AF3078" s="62" t="n">
        <v>1</v>
      </c>
    </row>
    <row r="3079" customFormat="false" ht="15" hidden="false" customHeight="false" outlineLevel="0" collapsed="false">
      <c r="A3079" s="62" t="n">
        <v>3078</v>
      </c>
      <c r="B3079" s="63" t="n">
        <v>46298.2851388889</v>
      </c>
      <c r="C3079" s="64" t="n">
        <v>46297</v>
      </c>
      <c r="D3079" s="62" t="s">
        <v>288</v>
      </c>
      <c r="E3079" s="62" t="s">
        <v>144</v>
      </c>
      <c r="F3079" s="62" t="s">
        <v>144</v>
      </c>
      <c r="G3079" s="62" t="s">
        <v>145</v>
      </c>
      <c r="H3079" s="62" t="s">
        <v>59</v>
      </c>
      <c r="I3079" s="62" t="s">
        <v>47</v>
      </c>
      <c r="J3079" s="62" t="s">
        <v>146</v>
      </c>
      <c r="K3079" s="62" t="s">
        <v>147</v>
      </c>
      <c r="L3079" s="62" t="s">
        <v>148</v>
      </c>
      <c r="M3079" s="62" t="n">
        <v>0</v>
      </c>
      <c r="N3079" s="62" t="n">
        <v>1</v>
      </c>
      <c r="O3079" s="62" t="n">
        <v>1</v>
      </c>
      <c r="P3079" s="62" t="n">
        <v>1</v>
      </c>
      <c r="Q3079" s="62" t="n">
        <v>0</v>
      </c>
      <c r="R3079" s="62" t="n">
        <v>0</v>
      </c>
      <c r="S3079" s="62" t="n">
        <v>0</v>
      </c>
      <c r="T3079" s="62" t="n">
        <v>0</v>
      </c>
      <c r="U3079" s="62"/>
      <c r="V3079" s="62"/>
      <c r="W3079" s="62"/>
      <c r="X3079" s="62"/>
      <c r="Y3079" s="62"/>
      <c r="Z3079" s="62" t="s">
        <v>5603</v>
      </c>
      <c r="AA3079" s="62" t="s">
        <v>5604</v>
      </c>
      <c r="AB3079" s="62" t="n">
        <v>1</v>
      </c>
      <c r="AC3079" s="62" t="n">
        <v>1</v>
      </c>
      <c r="AD3079" s="62" t="n">
        <v>1</v>
      </c>
      <c r="AE3079" s="62" t="n">
        <f aca="false">IF(AND(Dashboard!$C$9="Yes",AC3079=1),0,1)</f>
        <v>0</v>
      </c>
      <c r="AF3079" s="62" t="n">
        <v>0</v>
      </c>
    </row>
    <row r="3080" customFormat="false" ht="15" hidden="false" customHeight="false" outlineLevel="0" collapsed="false">
      <c r="A3080" s="62" t="n">
        <v>3079</v>
      </c>
      <c r="B3080" s="63" t="n">
        <v>46298.2855439815</v>
      </c>
      <c r="C3080" s="64" t="n">
        <v>46297</v>
      </c>
      <c r="D3080" s="62" t="s">
        <v>288</v>
      </c>
      <c r="E3080" s="62" t="s">
        <v>144</v>
      </c>
      <c r="F3080" s="62" t="s">
        <v>144</v>
      </c>
      <c r="G3080" s="62" t="s">
        <v>145</v>
      </c>
      <c r="H3080" s="62" t="s">
        <v>59</v>
      </c>
      <c r="I3080" s="62" t="s">
        <v>47</v>
      </c>
      <c r="J3080" s="62" t="s">
        <v>146</v>
      </c>
      <c r="K3080" s="62" t="s">
        <v>147</v>
      </c>
      <c r="L3080" s="62" t="s">
        <v>148</v>
      </c>
      <c r="M3080" s="62" t="n">
        <v>0</v>
      </c>
      <c r="N3080" s="62" t="n">
        <v>1</v>
      </c>
      <c r="O3080" s="62" t="n">
        <v>1</v>
      </c>
      <c r="P3080" s="62" t="n">
        <v>1</v>
      </c>
      <c r="Q3080" s="62" t="n">
        <v>0</v>
      </c>
      <c r="R3080" s="62" t="n">
        <v>0</v>
      </c>
      <c r="S3080" s="62" t="n">
        <v>0</v>
      </c>
      <c r="T3080" s="62" t="n">
        <v>0</v>
      </c>
      <c r="U3080" s="62"/>
      <c r="V3080" s="62"/>
      <c r="W3080" s="62"/>
      <c r="X3080" s="62"/>
      <c r="Y3080" s="62"/>
      <c r="Z3080" s="62" t="s">
        <v>5603</v>
      </c>
      <c r="AA3080" s="62" t="s">
        <v>5604</v>
      </c>
      <c r="AB3080" s="62" t="n">
        <v>1</v>
      </c>
      <c r="AC3080" s="62" t="n">
        <v>1</v>
      </c>
      <c r="AD3080" s="62" t="n">
        <v>1</v>
      </c>
      <c r="AE3080" s="62" t="n">
        <f aca="false">IF(AND(Dashboard!$C$9="Yes",AC3080=1),0,1)</f>
        <v>0</v>
      </c>
      <c r="AF3080" s="62" t="n">
        <v>0</v>
      </c>
    </row>
    <row r="3081" customFormat="false" ht="15" hidden="false" customHeight="false" outlineLevel="0" collapsed="false">
      <c r="A3081" s="62" t="n">
        <v>3080</v>
      </c>
      <c r="B3081" s="63" t="n">
        <v>46298.6210069444</v>
      </c>
      <c r="C3081" s="64" t="n">
        <v>46298</v>
      </c>
      <c r="D3081" s="62" t="s">
        <v>358</v>
      </c>
      <c r="E3081" s="62" t="s">
        <v>573</v>
      </c>
      <c r="F3081" s="62" t="s">
        <v>573</v>
      </c>
      <c r="G3081" s="62" t="s">
        <v>574</v>
      </c>
      <c r="H3081" s="62" t="s">
        <v>51</v>
      </c>
      <c r="I3081" s="62" t="s">
        <v>47</v>
      </c>
      <c r="J3081" s="62" t="s">
        <v>146</v>
      </c>
      <c r="K3081" s="62" t="s">
        <v>147</v>
      </c>
      <c r="L3081" s="62" t="s">
        <v>148</v>
      </c>
      <c r="M3081" s="62" t="n">
        <v>0</v>
      </c>
      <c r="N3081" s="62" t="n">
        <v>1</v>
      </c>
      <c r="O3081" s="62" t="n">
        <v>1</v>
      </c>
      <c r="P3081" s="62" t="n">
        <v>1</v>
      </c>
      <c r="Q3081" s="62" t="n">
        <v>0</v>
      </c>
      <c r="R3081" s="62" t="n">
        <v>0</v>
      </c>
      <c r="S3081" s="62" t="n">
        <v>0</v>
      </c>
      <c r="T3081" s="62" t="n">
        <v>0</v>
      </c>
      <c r="U3081" s="62"/>
      <c r="V3081" s="62"/>
      <c r="W3081" s="62"/>
      <c r="X3081" s="62"/>
      <c r="Y3081" s="62"/>
      <c r="Z3081" s="62" t="s">
        <v>5605</v>
      </c>
      <c r="AA3081" s="62" t="s">
        <v>5606</v>
      </c>
      <c r="AB3081" s="62" t="n">
        <v>1</v>
      </c>
      <c r="AC3081" s="62" t="n">
        <v>0</v>
      </c>
      <c r="AD3081" s="62" t="n">
        <v>1</v>
      </c>
      <c r="AE3081" s="62" t="n">
        <f aca="false">IF(AND(Dashboard!$C$9="Yes",AC3081=1),0,1)</f>
        <v>1</v>
      </c>
      <c r="AF3081" s="62" t="n">
        <v>1</v>
      </c>
    </row>
    <row r="3082" customFormat="false" ht="15" hidden="false" customHeight="false" outlineLevel="0" collapsed="false">
      <c r="A3082" s="62" t="n">
        <v>3081</v>
      </c>
      <c r="B3082" s="63" t="n">
        <v>46298.639212963</v>
      </c>
      <c r="C3082" s="64" t="n">
        <v>46298</v>
      </c>
      <c r="D3082" s="62" t="s">
        <v>358</v>
      </c>
      <c r="E3082" s="62" t="s">
        <v>2156</v>
      </c>
      <c r="F3082" s="62" t="s">
        <v>2156</v>
      </c>
      <c r="G3082" s="62" t="s">
        <v>2157</v>
      </c>
      <c r="H3082" s="62" t="s">
        <v>52</v>
      </c>
      <c r="I3082" s="62" t="s">
        <v>47</v>
      </c>
      <c r="J3082" s="62" t="s">
        <v>146</v>
      </c>
      <c r="K3082" s="62" t="s">
        <v>209</v>
      </c>
      <c r="L3082" s="62" t="s">
        <v>4</v>
      </c>
      <c r="M3082" s="62" t="n">
        <v>1</v>
      </c>
      <c r="N3082" s="62" t="n">
        <v>0</v>
      </c>
      <c r="O3082" s="62" t="n">
        <v>1</v>
      </c>
      <c r="P3082" s="62" t="n">
        <v>0</v>
      </c>
      <c r="Q3082" s="62" t="n">
        <v>0</v>
      </c>
      <c r="R3082" s="62" t="n">
        <v>0</v>
      </c>
      <c r="S3082" s="62" t="n">
        <v>0</v>
      </c>
      <c r="T3082" s="62" t="n">
        <v>0</v>
      </c>
      <c r="U3082" s="62" t="s">
        <v>2056</v>
      </c>
      <c r="V3082" s="62" t="s">
        <v>2057</v>
      </c>
      <c r="W3082" s="62" t="s">
        <v>15</v>
      </c>
      <c r="X3082" s="62" t="s">
        <v>2058</v>
      </c>
      <c r="Y3082" s="62" t="s">
        <v>2059</v>
      </c>
      <c r="Z3082" s="62" t="s">
        <v>5607</v>
      </c>
      <c r="AA3082" s="62" t="s">
        <v>5608</v>
      </c>
      <c r="AB3082" s="62" t="n">
        <v>1</v>
      </c>
      <c r="AC3082" s="62" t="n">
        <v>0</v>
      </c>
      <c r="AD3082" s="62" t="n">
        <v>1</v>
      </c>
      <c r="AE3082" s="62" t="n">
        <f aca="false">IF(AND(Dashboard!$C$9="Yes",AC3082=1),0,1)</f>
        <v>1</v>
      </c>
      <c r="AF3082" s="62" t="n">
        <v>1</v>
      </c>
    </row>
    <row r="3083" customFormat="false" ht="15" hidden="false" customHeight="false" outlineLevel="0" collapsed="false">
      <c r="A3083" s="62" t="n">
        <v>3082</v>
      </c>
      <c r="B3083" s="63" t="n">
        <v>46298.6532638889</v>
      </c>
      <c r="C3083" s="64" t="n">
        <v>46298</v>
      </c>
      <c r="D3083" s="62" t="s">
        <v>358</v>
      </c>
      <c r="E3083" s="62" t="s">
        <v>2156</v>
      </c>
      <c r="F3083" s="62" t="s">
        <v>2156</v>
      </c>
      <c r="G3083" s="62" t="s">
        <v>2157</v>
      </c>
      <c r="H3083" s="62" t="s">
        <v>52</v>
      </c>
      <c r="I3083" s="62" t="s">
        <v>47</v>
      </c>
      <c r="J3083" s="62" t="s">
        <v>146</v>
      </c>
      <c r="K3083" s="62" t="s">
        <v>209</v>
      </c>
      <c r="L3083" s="62" t="s">
        <v>148</v>
      </c>
      <c r="M3083" s="62" t="n">
        <v>0</v>
      </c>
      <c r="N3083" s="62" t="n">
        <v>1</v>
      </c>
      <c r="O3083" s="62" t="n">
        <v>1</v>
      </c>
      <c r="P3083" s="62" t="n">
        <v>1</v>
      </c>
      <c r="Q3083" s="62" t="n">
        <v>0</v>
      </c>
      <c r="R3083" s="62" t="n">
        <v>0</v>
      </c>
      <c r="S3083" s="62" t="n">
        <v>0</v>
      </c>
      <c r="T3083" s="62" t="n">
        <v>0</v>
      </c>
      <c r="U3083" s="62"/>
      <c r="V3083" s="62"/>
      <c r="W3083" s="62"/>
      <c r="X3083" s="62"/>
      <c r="Y3083" s="62"/>
      <c r="Z3083" s="62" t="s">
        <v>5609</v>
      </c>
      <c r="AA3083" s="62" t="s">
        <v>5610</v>
      </c>
      <c r="AB3083" s="62" t="n">
        <v>1</v>
      </c>
      <c r="AC3083" s="62" t="n">
        <v>0</v>
      </c>
      <c r="AD3083" s="62" t="n">
        <v>1</v>
      </c>
      <c r="AE3083" s="62" t="n">
        <f aca="false">IF(AND(Dashboard!$C$9="Yes",AC3083=1),0,1)</f>
        <v>1</v>
      </c>
      <c r="AF3083" s="62" t="n">
        <v>0</v>
      </c>
    </row>
    <row r="3084" customFormat="false" ht="15" hidden="false" customHeight="false" outlineLevel="0" collapsed="false">
      <c r="A3084" s="62" t="n">
        <v>3083</v>
      </c>
      <c r="B3084" s="63" t="n">
        <v>46298.6766203704</v>
      </c>
      <c r="C3084" s="64" t="n">
        <v>46298</v>
      </c>
      <c r="D3084" s="62" t="s">
        <v>358</v>
      </c>
      <c r="E3084" s="62" t="s">
        <v>2228</v>
      </c>
      <c r="F3084" s="62" t="s">
        <v>2228</v>
      </c>
      <c r="G3084" s="62" t="s">
        <v>2229</v>
      </c>
      <c r="H3084" s="62" t="s">
        <v>58</v>
      </c>
      <c r="I3084" s="62" t="s">
        <v>49</v>
      </c>
      <c r="J3084" s="62" t="s">
        <v>146</v>
      </c>
      <c r="K3084" s="62" t="s">
        <v>209</v>
      </c>
      <c r="L3084" s="62" t="s">
        <v>148</v>
      </c>
      <c r="M3084" s="62" t="n">
        <v>0</v>
      </c>
      <c r="N3084" s="62" t="n">
        <v>1</v>
      </c>
      <c r="O3084" s="62" t="n">
        <v>1</v>
      </c>
      <c r="P3084" s="62" t="n">
        <v>0</v>
      </c>
      <c r="Q3084" s="62" t="n">
        <v>0</v>
      </c>
      <c r="R3084" s="62" t="n">
        <v>0</v>
      </c>
      <c r="S3084" s="62" t="n">
        <v>0</v>
      </c>
      <c r="T3084" s="62" t="n">
        <v>1</v>
      </c>
      <c r="U3084" s="62"/>
      <c r="V3084" s="62"/>
      <c r="W3084" s="62"/>
      <c r="X3084" s="62"/>
      <c r="Y3084" s="62"/>
      <c r="Z3084" s="62" t="s">
        <v>5611</v>
      </c>
      <c r="AA3084" s="62" t="s">
        <v>337</v>
      </c>
      <c r="AB3084" s="62" t="n">
        <v>0</v>
      </c>
      <c r="AC3084" s="62" t="n">
        <v>0</v>
      </c>
      <c r="AD3084" s="62" t="n">
        <v>1</v>
      </c>
      <c r="AE3084" s="62" t="n">
        <f aca="false">IF(AND(Dashboard!$C$9="Yes",AC3084=1),0,1)</f>
        <v>1</v>
      </c>
      <c r="AF3084" s="62" t="n">
        <v>1</v>
      </c>
    </row>
    <row r="3085" customFormat="false" ht="15" hidden="false" customHeight="false" outlineLevel="0" collapsed="false">
      <c r="A3085" s="62" t="n">
        <v>3084</v>
      </c>
      <c r="B3085" s="63" t="n">
        <v>46298.6882986111</v>
      </c>
      <c r="C3085" s="64" t="n">
        <v>46298</v>
      </c>
      <c r="D3085" s="62" t="s">
        <v>358</v>
      </c>
      <c r="E3085" s="62" t="s">
        <v>3018</v>
      </c>
      <c r="F3085" s="62" t="s">
        <v>3018</v>
      </c>
      <c r="G3085" s="62" t="s">
        <v>3019</v>
      </c>
      <c r="H3085" s="62" t="s">
        <v>58</v>
      </c>
      <c r="I3085" s="62" t="s">
        <v>49</v>
      </c>
      <c r="J3085" s="62" t="s">
        <v>146</v>
      </c>
      <c r="K3085" s="62" t="s">
        <v>175</v>
      </c>
      <c r="L3085" s="62" t="s">
        <v>148</v>
      </c>
      <c r="M3085" s="62" t="n">
        <v>0</v>
      </c>
      <c r="N3085" s="62" t="n">
        <v>1</v>
      </c>
      <c r="O3085" s="62" t="n">
        <v>1</v>
      </c>
      <c r="P3085" s="62" t="n">
        <v>1</v>
      </c>
      <c r="Q3085" s="62" t="n">
        <v>0</v>
      </c>
      <c r="R3085" s="62" t="n">
        <v>0</v>
      </c>
      <c r="S3085" s="62" t="n">
        <v>0</v>
      </c>
      <c r="T3085" s="62" t="n">
        <v>0</v>
      </c>
      <c r="U3085" s="62"/>
      <c r="V3085" s="62"/>
      <c r="W3085" s="62"/>
      <c r="X3085" s="62"/>
      <c r="Y3085" s="62"/>
      <c r="Z3085" s="62" t="s">
        <v>5612</v>
      </c>
      <c r="AA3085" s="62" t="s">
        <v>5613</v>
      </c>
      <c r="AB3085" s="62" t="n">
        <v>1</v>
      </c>
      <c r="AC3085" s="62" t="n">
        <v>0</v>
      </c>
      <c r="AD3085" s="62" t="n">
        <v>1</v>
      </c>
      <c r="AE3085" s="62" t="n">
        <f aca="false">IF(AND(Dashboard!$C$9="Yes",AC3085=1),0,1)</f>
        <v>1</v>
      </c>
      <c r="AF3085" s="62" t="n">
        <v>1</v>
      </c>
    </row>
    <row r="3086" customFormat="false" ht="15" hidden="false" customHeight="false" outlineLevel="0" collapsed="false">
      <c r="A3086" s="62" t="n">
        <v>3085</v>
      </c>
      <c r="B3086" s="63" t="n">
        <v>46298.6943402778</v>
      </c>
      <c r="C3086" s="64" t="n">
        <v>46298</v>
      </c>
      <c r="D3086" s="62" t="s">
        <v>358</v>
      </c>
      <c r="E3086" s="62" t="s">
        <v>3735</v>
      </c>
      <c r="F3086" s="62" t="s">
        <v>1445</v>
      </c>
      <c r="G3086" s="62" t="s">
        <v>1446</v>
      </c>
      <c r="H3086" s="62" t="s">
        <v>58</v>
      </c>
      <c r="I3086" s="62" t="s">
        <v>49</v>
      </c>
      <c r="J3086" s="62" t="s">
        <v>146</v>
      </c>
      <c r="K3086" s="62" t="s">
        <v>175</v>
      </c>
      <c r="L3086" s="62" t="s">
        <v>148</v>
      </c>
      <c r="M3086" s="62" t="n">
        <v>0</v>
      </c>
      <c r="N3086" s="62" t="n">
        <v>1</v>
      </c>
      <c r="O3086" s="62" t="n">
        <v>1</v>
      </c>
      <c r="P3086" s="62" t="n">
        <v>0</v>
      </c>
      <c r="Q3086" s="62" t="n">
        <v>0</v>
      </c>
      <c r="R3086" s="62" t="n">
        <v>1</v>
      </c>
      <c r="S3086" s="62" t="n">
        <v>0</v>
      </c>
      <c r="T3086" s="62" t="n">
        <v>0</v>
      </c>
      <c r="U3086" s="62"/>
      <c r="V3086" s="62"/>
      <c r="W3086" s="62"/>
      <c r="X3086" s="62"/>
      <c r="Y3086" s="62"/>
      <c r="Z3086" s="62" t="s">
        <v>5614</v>
      </c>
      <c r="AA3086" s="62" t="s">
        <v>5615</v>
      </c>
      <c r="AB3086" s="62" t="n">
        <v>1</v>
      </c>
      <c r="AC3086" s="62" t="n">
        <v>0</v>
      </c>
      <c r="AD3086" s="62" t="n">
        <v>1</v>
      </c>
      <c r="AE3086" s="62" t="n">
        <f aca="false">IF(AND(Dashboard!$C$9="Yes",AC3086=1),0,1)</f>
        <v>1</v>
      </c>
      <c r="AF3086" s="62" t="n">
        <v>1</v>
      </c>
    </row>
    <row r="3087" customFormat="false" ht="15" hidden="false" customHeight="false" outlineLevel="0" collapsed="false">
      <c r="A3087" s="62" t="n">
        <v>3086</v>
      </c>
      <c r="B3087" s="63" t="n">
        <v>46298.7168287037</v>
      </c>
      <c r="C3087" s="64" t="n">
        <v>46298</v>
      </c>
      <c r="D3087" s="62" t="s">
        <v>358</v>
      </c>
      <c r="E3087" s="62" t="s">
        <v>3018</v>
      </c>
      <c r="F3087" s="62" t="s">
        <v>3018</v>
      </c>
      <c r="G3087" s="62" t="s">
        <v>3019</v>
      </c>
      <c r="H3087" s="62" t="s">
        <v>58</v>
      </c>
      <c r="I3087" s="62" t="s">
        <v>49</v>
      </c>
      <c r="J3087" s="62" t="s">
        <v>146</v>
      </c>
      <c r="K3087" s="62" t="s">
        <v>175</v>
      </c>
      <c r="L3087" s="62" t="s">
        <v>4</v>
      </c>
      <c r="M3087" s="62" t="n">
        <v>1</v>
      </c>
      <c r="N3087" s="62" t="n">
        <v>0</v>
      </c>
      <c r="O3087" s="62" t="n">
        <v>1</v>
      </c>
      <c r="P3087" s="62" t="n">
        <v>0</v>
      </c>
      <c r="Q3087" s="62" t="n">
        <v>0</v>
      </c>
      <c r="R3087" s="62" t="n">
        <v>0</v>
      </c>
      <c r="S3087" s="62" t="n">
        <v>0</v>
      </c>
      <c r="T3087" s="62" t="n">
        <v>0</v>
      </c>
      <c r="U3087" s="62" t="s">
        <v>2056</v>
      </c>
      <c r="V3087" s="62" t="s">
        <v>2057</v>
      </c>
      <c r="W3087" s="62" t="s">
        <v>15</v>
      </c>
      <c r="X3087" s="62" t="s">
        <v>2058</v>
      </c>
      <c r="Y3087" s="62" t="s">
        <v>2059</v>
      </c>
      <c r="Z3087" s="62" t="s">
        <v>5616</v>
      </c>
      <c r="AA3087" s="62" t="s">
        <v>5617</v>
      </c>
      <c r="AB3087" s="62" t="n">
        <v>1</v>
      </c>
      <c r="AC3087" s="62" t="n">
        <v>0</v>
      </c>
      <c r="AD3087" s="62" t="n">
        <v>1</v>
      </c>
      <c r="AE3087" s="62" t="n">
        <f aca="false">IF(AND(Dashboard!$C$9="Yes",AC3087=1),0,1)</f>
        <v>1</v>
      </c>
      <c r="AF3087" s="62" t="n">
        <v>0</v>
      </c>
    </row>
    <row r="3088" customFormat="false" ht="15" hidden="false" customHeight="false" outlineLevel="0" collapsed="false">
      <c r="A3088" s="62" t="n">
        <v>3087</v>
      </c>
      <c r="B3088" s="63" t="n">
        <v>46298.7469675926</v>
      </c>
      <c r="C3088" s="64" t="n">
        <v>46298</v>
      </c>
      <c r="D3088" s="62" t="s">
        <v>358</v>
      </c>
      <c r="E3088" s="62" t="s">
        <v>1445</v>
      </c>
      <c r="F3088" s="62" t="s">
        <v>1445</v>
      </c>
      <c r="G3088" s="62" t="s">
        <v>1446</v>
      </c>
      <c r="H3088" s="62" t="s">
        <v>58</v>
      </c>
      <c r="I3088" s="62" t="s">
        <v>49</v>
      </c>
      <c r="J3088" s="62" t="s">
        <v>146</v>
      </c>
      <c r="K3088" s="62" t="s">
        <v>175</v>
      </c>
      <c r="L3088" s="62" t="s">
        <v>148</v>
      </c>
      <c r="M3088" s="62" t="n">
        <v>0</v>
      </c>
      <c r="N3088" s="62" t="n">
        <v>2</v>
      </c>
      <c r="O3088" s="62" t="n">
        <v>2</v>
      </c>
      <c r="P3088" s="62" t="n">
        <v>1</v>
      </c>
      <c r="Q3088" s="62" t="n">
        <v>1</v>
      </c>
      <c r="R3088" s="62" t="n">
        <v>0</v>
      </c>
      <c r="S3088" s="62" t="n">
        <v>0</v>
      </c>
      <c r="T3088" s="62" t="n">
        <v>0</v>
      </c>
      <c r="U3088" s="62"/>
      <c r="V3088" s="62"/>
      <c r="W3088" s="62"/>
      <c r="X3088" s="62"/>
      <c r="Y3088" s="62"/>
      <c r="Z3088" s="62" t="s">
        <v>5618</v>
      </c>
      <c r="AA3088" s="62" t="s">
        <v>5619</v>
      </c>
      <c r="AB3088" s="62" t="n">
        <v>1</v>
      </c>
      <c r="AC3088" s="62" t="n">
        <v>0</v>
      </c>
      <c r="AD3088" s="62" t="n">
        <v>1</v>
      </c>
      <c r="AE3088" s="62" t="n">
        <f aca="false">IF(AND(Dashboard!$C$9="Yes",AC3088=1),0,1)</f>
        <v>1</v>
      </c>
      <c r="AF3088" s="62" t="n">
        <v>0</v>
      </c>
    </row>
    <row r="3089" customFormat="false" ht="15" hidden="false" customHeight="false" outlineLevel="0" collapsed="false">
      <c r="A3089" s="62" t="n">
        <v>3088</v>
      </c>
      <c r="B3089" s="63" t="n">
        <v>46298.779849537</v>
      </c>
      <c r="C3089" s="64" t="n">
        <v>46298</v>
      </c>
      <c r="D3089" s="62" t="s">
        <v>358</v>
      </c>
      <c r="E3089" s="62" t="s">
        <v>173</v>
      </c>
      <c r="F3089" s="62" t="s">
        <v>173</v>
      </c>
      <c r="G3089" s="62" t="s">
        <v>174</v>
      </c>
      <c r="H3089" s="62" t="s">
        <v>58</v>
      </c>
      <c r="I3089" s="62" t="s">
        <v>49</v>
      </c>
      <c r="J3089" s="62" t="s">
        <v>146</v>
      </c>
      <c r="K3089" s="62" t="s">
        <v>175</v>
      </c>
      <c r="L3089" s="62" t="s">
        <v>4</v>
      </c>
      <c r="M3089" s="62" t="n">
        <v>1</v>
      </c>
      <c r="N3089" s="62" t="n">
        <v>0</v>
      </c>
      <c r="O3089" s="62" t="n">
        <v>1</v>
      </c>
      <c r="P3089" s="62" t="n">
        <v>0</v>
      </c>
      <c r="Q3089" s="62" t="n">
        <v>0</v>
      </c>
      <c r="R3089" s="62" t="n">
        <v>0</v>
      </c>
      <c r="S3089" s="62" t="n">
        <v>0</v>
      </c>
      <c r="T3089" s="62" t="n">
        <v>0</v>
      </c>
      <c r="U3089" s="62" t="s">
        <v>2056</v>
      </c>
      <c r="V3089" s="62" t="s">
        <v>2057</v>
      </c>
      <c r="W3089" s="62" t="s">
        <v>15</v>
      </c>
      <c r="X3089" s="62" t="s">
        <v>2058</v>
      </c>
      <c r="Y3089" s="62" t="s">
        <v>2103</v>
      </c>
      <c r="Z3089" s="62" t="s">
        <v>5620</v>
      </c>
      <c r="AA3089" s="62" t="s">
        <v>5621</v>
      </c>
      <c r="AB3089" s="62" t="n">
        <v>1</v>
      </c>
      <c r="AC3089" s="62" t="n">
        <v>0</v>
      </c>
      <c r="AD3089" s="62" t="n">
        <v>1</v>
      </c>
      <c r="AE3089" s="62" t="n">
        <f aca="false">IF(AND(Dashboard!$C$9="Yes",AC3089=1),0,1)</f>
        <v>1</v>
      </c>
      <c r="AF3089" s="62" t="n">
        <v>1</v>
      </c>
    </row>
    <row r="3090" customFormat="false" ht="15" hidden="false" customHeight="false" outlineLevel="0" collapsed="false">
      <c r="A3090" s="62" t="n">
        <v>3089</v>
      </c>
      <c r="B3090" s="63" t="n">
        <v>46298.8156828704</v>
      </c>
      <c r="C3090" s="64" t="n">
        <v>46298</v>
      </c>
      <c r="D3090" s="62" t="s">
        <v>358</v>
      </c>
      <c r="E3090" s="62" t="s">
        <v>3018</v>
      </c>
      <c r="F3090" s="62" t="s">
        <v>3018</v>
      </c>
      <c r="G3090" s="62" t="s">
        <v>3019</v>
      </c>
      <c r="H3090" s="62" t="s">
        <v>58</v>
      </c>
      <c r="I3090" s="62" t="s">
        <v>49</v>
      </c>
      <c r="J3090" s="62" t="s">
        <v>146</v>
      </c>
      <c r="K3090" s="62" t="s">
        <v>175</v>
      </c>
      <c r="L3090" s="62" t="s">
        <v>148</v>
      </c>
      <c r="M3090" s="62" t="n">
        <v>0</v>
      </c>
      <c r="N3090" s="62" t="n">
        <v>1</v>
      </c>
      <c r="O3090" s="62" t="n">
        <v>1</v>
      </c>
      <c r="P3090" s="62" t="n">
        <v>1</v>
      </c>
      <c r="Q3090" s="62" t="n">
        <v>0</v>
      </c>
      <c r="R3090" s="62" t="n">
        <v>0</v>
      </c>
      <c r="S3090" s="62" t="n">
        <v>0</v>
      </c>
      <c r="T3090" s="62" t="n">
        <v>0</v>
      </c>
      <c r="U3090" s="62"/>
      <c r="V3090" s="62"/>
      <c r="W3090" s="62"/>
      <c r="X3090" s="62"/>
      <c r="Y3090" s="62"/>
      <c r="Z3090" s="62" t="s">
        <v>5622</v>
      </c>
      <c r="AA3090" s="62" t="s">
        <v>5623</v>
      </c>
      <c r="AB3090" s="62" t="n">
        <v>1</v>
      </c>
      <c r="AC3090" s="62" t="n">
        <v>0</v>
      </c>
      <c r="AD3090" s="62" t="n">
        <v>1</v>
      </c>
      <c r="AE3090" s="62" t="n">
        <f aca="false">IF(AND(Dashboard!$C$9="Yes",AC3090=1),0,1)</f>
        <v>1</v>
      </c>
      <c r="AF3090" s="62" t="n">
        <v>0</v>
      </c>
    </row>
    <row r="3091" customFormat="false" ht="15" hidden="false" customHeight="false" outlineLevel="0" collapsed="false">
      <c r="A3091" s="62" t="n">
        <v>3090</v>
      </c>
      <c r="B3091" s="63" t="n">
        <v>46298.8230902778</v>
      </c>
      <c r="C3091" s="64" t="n">
        <v>46298</v>
      </c>
      <c r="D3091" s="62" t="s">
        <v>358</v>
      </c>
      <c r="E3091" s="62" t="s">
        <v>2637</v>
      </c>
      <c r="F3091" s="62" t="s">
        <v>2637</v>
      </c>
      <c r="G3091" s="62" t="s">
        <v>2638</v>
      </c>
      <c r="H3091" s="62" t="s">
        <v>52</v>
      </c>
      <c r="I3091" s="62" t="s">
        <v>47</v>
      </c>
      <c r="J3091" s="62" t="s">
        <v>146</v>
      </c>
      <c r="K3091" s="62" t="s">
        <v>147</v>
      </c>
      <c r="L3091" s="62" t="s">
        <v>148</v>
      </c>
      <c r="M3091" s="62" t="n">
        <v>0</v>
      </c>
      <c r="N3091" s="62" t="n">
        <v>1</v>
      </c>
      <c r="O3091" s="62" t="n">
        <v>1</v>
      </c>
      <c r="P3091" s="62" t="n">
        <v>1</v>
      </c>
      <c r="Q3091" s="62" t="n">
        <v>0</v>
      </c>
      <c r="R3091" s="62" t="n">
        <v>0</v>
      </c>
      <c r="S3091" s="62" t="n">
        <v>0</v>
      </c>
      <c r="T3091" s="62" t="n">
        <v>0</v>
      </c>
      <c r="U3091" s="62"/>
      <c r="V3091" s="62"/>
      <c r="W3091" s="62"/>
      <c r="X3091" s="62"/>
      <c r="Y3091" s="62"/>
      <c r="Z3091" s="62" t="s">
        <v>5624</v>
      </c>
      <c r="AA3091" s="62" t="s">
        <v>5625</v>
      </c>
      <c r="AB3091" s="62" t="n">
        <v>1</v>
      </c>
      <c r="AC3091" s="62" t="n">
        <v>0</v>
      </c>
      <c r="AD3091" s="62" t="n">
        <v>1</v>
      </c>
      <c r="AE3091" s="62" t="n">
        <f aca="false">IF(AND(Dashboard!$C$9="Yes",AC3091=1),0,1)</f>
        <v>1</v>
      </c>
      <c r="AF3091" s="62" t="n">
        <v>1</v>
      </c>
    </row>
    <row r="3092" customFormat="false" ht="15" hidden="false" customHeight="false" outlineLevel="0" collapsed="false">
      <c r="A3092" s="62" t="n">
        <v>3091</v>
      </c>
      <c r="B3092" s="63" t="n">
        <v>46298.8437384259</v>
      </c>
      <c r="C3092" s="64" t="n">
        <v>46298</v>
      </c>
      <c r="D3092" s="62" t="s">
        <v>358</v>
      </c>
      <c r="E3092" s="62" t="s">
        <v>3371</v>
      </c>
      <c r="F3092" s="62" t="s">
        <v>3371</v>
      </c>
      <c r="G3092" s="62" t="s">
        <v>3372</v>
      </c>
      <c r="H3092" s="62" t="s">
        <v>48</v>
      </c>
      <c r="I3092" s="62" t="s">
        <v>49</v>
      </c>
      <c r="J3092" s="62" t="s">
        <v>146</v>
      </c>
      <c r="K3092" s="62" t="s">
        <v>209</v>
      </c>
      <c r="L3092" s="62" t="s">
        <v>4</v>
      </c>
      <c r="M3092" s="62" t="n">
        <v>1</v>
      </c>
      <c r="N3092" s="62" t="n">
        <v>0</v>
      </c>
      <c r="O3092" s="62" t="n">
        <v>1</v>
      </c>
      <c r="P3092" s="62" t="n">
        <v>0</v>
      </c>
      <c r="Q3092" s="62" t="n">
        <v>0</v>
      </c>
      <c r="R3092" s="62" t="n">
        <v>0</v>
      </c>
      <c r="S3092" s="62" t="n">
        <v>0</v>
      </c>
      <c r="T3092" s="62" t="n">
        <v>0</v>
      </c>
      <c r="U3092" s="62" t="s">
        <v>2056</v>
      </c>
      <c r="V3092" s="62" t="s">
        <v>2057</v>
      </c>
      <c r="W3092" s="62" t="s">
        <v>15</v>
      </c>
      <c r="X3092" s="62" t="s">
        <v>2058</v>
      </c>
      <c r="Y3092" s="62" t="s">
        <v>2059</v>
      </c>
      <c r="Z3092" s="62" t="s">
        <v>5626</v>
      </c>
      <c r="AA3092" s="62" t="s">
        <v>5627</v>
      </c>
      <c r="AB3092" s="62" t="n">
        <v>1</v>
      </c>
      <c r="AC3092" s="62" t="n">
        <v>0</v>
      </c>
      <c r="AD3092" s="62" t="n">
        <v>1</v>
      </c>
      <c r="AE3092" s="62" t="n">
        <f aca="false">IF(AND(Dashboard!$C$9="Yes",AC3092=1),0,1)</f>
        <v>1</v>
      </c>
      <c r="AF3092" s="62" t="n">
        <v>1</v>
      </c>
    </row>
    <row r="3093" customFormat="false" ht="15" hidden="false" customHeight="false" outlineLevel="0" collapsed="false">
      <c r="A3093" s="62" t="n">
        <v>3092</v>
      </c>
      <c r="B3093" s="63" t="n">
        <v>46298.8441666667</v>
      </c>
      <c r="C3093" s="64" t="n">
        <v>46298</v>
      </c>
      <c r="D3093" s="62" t="s">
        <v>358</v>
      </c>
      <c r="E3093" s="62" t="s">
        <v>371</v>
      </c>
      <c r="F3093" s="62" t="s">
        <v>371</v>
      </c>
      <c r="G3093" s="62" t="s">
        <v>372</v>
      </c>
      <c r="H3093" s="62" t="s">
        <v>59</v>
      </c>
      <c r="I3093" s="62" t="s">
        <v>47</v>
      </c>
      <c r="J3093" s="62" t="s">
        <v>146</v>
      </c>
      <c r="K3093" s="62" t="s">
        <v>147</v>
      </c>
      <c r="L3093" s="62" t="s">
        <v>148</v>
      </c>
      <c r="M3093" s="62" t="n">
        <v>0</v>
      </c>
      <c r="N3093" s="62" t="n">
        <v>1</v>
      </c>
      <c r="O3093" s="62" t="n">
        <v>1</v>
      </c>
      <c r="P3093" s="62" t="n">
        <v>1</v>
      </c>
      <c r="Q3093" s="62" t="n">
        <v>0</v>
      </c>
      <c r="R3093" s="62" t="n">
        <v>0</v>
      </c>
      <c r="S3093" s="62" t="n">
        <v>0</v>
      </c>
      <c r="T3093" s="62" t="n">
        <v>0</v>
      </c>
      <c r="U3093" s="62"/>
      <c r="V3093" s="62"/>
      <c r="W3093" s="62"/>
      <c r="X3093" s="62"/>
      <c r="Y3093" s="62"/>
      <c r="Z3093" s="62" t="s">
        <v>5628</v>
      </c>
      <c r="AA3093" s="62" t="s">
        <v>5629</v>
      </c>
      <c r="AB3093" s="62" t="n">
        <v>1</v>
      </c>
      <c r="AC3093" s="62" t="n">
        <v>0</v>
      </c>
      <c r="AD3093" s="62" t="n">
        <v>1</v>
      </c>
      <c r="AE3093" s="62" t="n">
        <f aca="false">IF(AND(Dashboard!$C$9="Yes",AC3093=1),0,1)</f>
        <v>1</v>
      </c>
      <c r="AF3093" s="62" t="n">
        <v>1</v>
      </c>
    </row>
    <row r="3094" customFormat="false" ht="15" hidden="false" customHeight="false" outlineLevel="0" collapsed="false">
      <c r="A3094" s="62" t="n">
        <v>3093</v>
      </c>
      <c r="B3094" s="63" t="n">
        <v>46298.8503819444</v>
      </c>
      <c r="C3094" s="64" t="n">
        <v>46298</v>
      </c>
      <c r="D3094" s="62" t="s">
        <v>358</v>
      </c>
      <c r="E3094" s="62" t="s">
        <v>1732</v>
      </c>
      <c r="F3094" s="62" t="s">
        <v>1732</v>
      </c>
      <c r="G3094" s="62" t="s">
        <v>1733</v>
      </c>
      <c r="H3094" s="62" t="s">
        <v>58</v>
      </c>
      <c r="I3094" s="62" t="s">
        <v>49</v>
      </c>
      <c r="J3094" s="62" t="s">
        <v>146</v>
      </c>
      <c r="K3094" s="62" t="s">
        <v>209</v>
      </c>
      <c r="L3094" s="62" t="s">
        <v>148</v>
      </c>
      <c r="M3094" s="62" t="n">
        <v>0</v>
      </c>
      <c r="N3094" s="62" t="n">
        <v>1</v>
      </c>
      <c r="O3094" s="62" t="n">
        <v>1</v>
      </c>
      <c r="P3094" s="62" t="n">
        <v>1</v>
      </c>
      <c r="Q3094" s="62" t="n">
        <v>0</v>
      </c>
      <c r="R3094" s="62" t="n">
        <v>0</v>
      </c>
      <c r="S3094" s="62" t="n">
        <v>0</v>
      </c>
      <c r="T3094" s="62" t="n">
        <v>0</v>
      </c>
      <c r="U3094" s="62"/>
      <c r="V3094" s="62"/>
      <c r="W3094" s="62"/>
      <c r="X3094" s="62"/>
      <c r="Y3094" s="62"/>
      <c r="Z3094" s="62" t="s">
        <v>5630</v>
      </c>
      <c r="AA3094" s="62" t="s">
        <v>5631</v>
      </c>
      <c r="AB3094" s="62" t="n">
        <v>1</v>
      </c>
      <c r="AC3094" s="62" t="n">
        <v>0</v>
      </c>
      <c r="AD3094" s="62" t="n">
        <v>1</v>
      </c>
      <c r="AE3094" s="62" t="n">
        <f aca="false">IF(AND(Dashboard!$C$9="Yes",AC3094=1),0,1)</f>
        <v>1</v>
      </c>
      <c r="AF3094" s="62" t="n">
        <v>1</v>
      </c>
    </row>
    <row r="3095" customFormat="false" ht="15" hidden="false" customHeight="false" outlineLevel="0" collapsed="false">
      <c r="A3095" s="62" t="n">
        <v>3094</v>
      </c>
      <c r="B3095" s="63" t="n">
        <v>46298.8575</v>
      </c>
      <c r="C3095" s="64" t="n">
        <v>46298</v>
      </c>
      <c r="D3095" s="62" t="s">
        <v>358</v>
      </c>
      <c r="E3095" s="62" t="s">
        <v>1382</v>
      </c>
      <c r="F3095" s="62" t="s">
        <v>1382</v>
      </c>
      <c r="G3095" s="62" t="s">
        <v>1383</v>
      </c>
      <c r="H3095" s="62" t="s">
        <v>58</v>
      </c>
      <c r="I3095" s="62" t="s">
        <v>49</v>
      </c>
      <c r="J3095" s="62" t="s">
        <v>146</v>
      </c>
      <c r="K3095" s="62" t="s">
        <v>175</v>
      </c>
      <c r="L3095" s="62" t="s">
        <v>148</v>
      </c>
      <c r="M3095" s="62" t="n">
        <v>0</v>
      </c>
      <c r="N3095" s="62" t="n">
        <v>1</v>
      </c>
      <c r="O3095" s="62" t="n">
        <v>1</v>
      </c>
      <c r="P3095" s="62" t="n">
        <v>1</v>
      </c>
      <c r="Q3095" s="62" t="n">
        <v>0</v>
      </c>
      <c r="R3095" s="62" t="n">
        <v>0</v>
      </c>
      <c r="S3095" s="62" t="n">
        <v>0</v>
      </c>
      <c r="T3095" s="62" t="n">
        <v>0</v>
      </c>
      <c r="U3095" s="62"/>
      <c r="V3095" s="62"/>
      <c r="W3095" s="62"/>
      <c r="X3095" s="62"/>
      <c r="Y3095" s="62"/>
      <c r="Z3095" s="62" t="s">
        <v>5632</v>
      </c>
      <c r="AA3095" s="62" t="s">
        <v>5633</v>
      </c>
      <c r="AB3095" s="62" t="n">
        <v>1</v>
      </c>
      <c r="AC3095" s="62" t="n">
        <v>0</v>
      </c>
      <c r="AD3095" s="62" t="n">
        <v>1</v>
      </c>
      <c r="AE3095" s="62" t="n">
        <f aca="false">IF(AND(Dashboard!$C$9="Yes",AC3095=1),0,1)</f>
        <v>1</v>
      </c>
      <c r="AF3095" s="62" t="n">
        <v>1</v>
      </c>
    </row>
    <row r="3096" customFormat="false" ht="15" hidden="false" customHeight="false" outlineLevel="0" collapsed="false">
      <c r="A3096" s="62" t="n">
        <v>3095</v>
      </c>
      <c r="B3096" s="63" t="n">
        <v>46298.8622916667</v>
      </c>
      <c r="C3096" s="64" t="n">
        <v>46298</v>
      </c>
      <c r="D3096" s="62" t="s">
        <v>358</v>
      </c>
      <c r="E3096" s="62" t="s">
        <v>1005</v>
      </c>
      <c r="F3096" s="62" t="s">
        <v>1005</v>
      </c>
      <c r="G3096" s="62" t="s">
        <v>1006</v>
      </c>
      <c r="H3096" s="62" t="s">
        <v>46</v>
      </c>
      <c r="I3096" s="62" t="s">
        <v>47</v>
      </c>
      <c r="J3096" s="62" t="s">
        <v>146</v>
      </c>
      <c r="K3096" s="62" t="s">
        <v>209</v>
      </c>
      <c r="L3096" s="62" t="s">
        <v>148</v>
      </c>
      <c r="M3096" s="62" t="n">
        <v>0</v>
      </c>
      <c r="N3096" s="62" t="n">
        <v>2</v>
      </c>
      <c r="O3096" s="62" t="n">
        <v>2</v>
      </c>
      <c r="P3096" s="62" t="n">
        <v>1</v>
      </c>
      <c r="Q3096" s="62" t="n">
        <v>0</v>
      </c>
      <c r="R3096" s="62" t="n">
        <v>1</v>
      </c>
      <c r="S3096" s="62" t="n">
        <v>0</v>
      </c>
      <c r="T3096" s="62" t="n">
        <v>0</v>
      </c>
      <c r="U3096" s="62"/>
      <c r="V3096" s="62"/>
      <c r="W3096" s="62"/>
      <c r="X3096" s="62"/>
      <c r="Y3096" s="62"/>
      <c r="Z3096" s="62" t="s">
        <v>5634</v>
      </c>
      <c r="AA3096" s="62" t="s">
        <v>5635</v>
      </c>
      <c r="AB3096" s="62" t="n">
        <v>1</v>
      </c>
      <c r="AC3096" s="62" t="n">
        <v>0</v>
      </c>
      <c r="AD3096" s="62" t="n">
        <v>1</v>
      </c>
      <c r="AE3096" s="62" t="n">
        <f aca="false">IF(AND(Dashboard!$C$9="Yes",AC3096=1),0,1)</f>
        <v>1</v>
      </c>
      <c r="AF3096" s="62" t="n">
        <v>1</v>
      </c>
    </row>
    <row r="3097" customFormat="false" ht="15" hidden="false" customHeight="false" outlineLevel="0" collapsed="false">
      <c r="A3097" s="62" t="n">
        <v>3096</v>
      </c>
      <c r="B3097" s="63" t="n">
        <v>46298.8790972222</v>
      </c>
      <c r="C3097" s="64" t="n">
        <v>46298</v>
      </c>
      <c r="D3097" s="62" t="s">
        <v>358</v>
      </c>
      <c r="E3097" s="62" t="s">
        <v>3018</v>
      </c>
      <c r="F3097" s="62" t="s">
        <v>3018</v>
      </c>
      <c r="G3097" s="62" t="s">
        <v>3019</v>
      </c>
      <c r="H3097" s="62" t="s">
        <v>58</v>
      </c>
      <c r="I3097" s="62" t="s">
        <v>49</v>
      </c>
      <c r="J3097" s="62" t="s">
        <v>146</v>
      </c>
      <c r="K3097" s="62" t="s">
        <v>175</v>
      </c>
      <c r="L3097" s="62" t="s">
        <v>148</v>
      </c>
      <c r="M3097" s="62" t="n">
        <v>0</v>
      </c>
      <c r="N3097" s="62" t="n">
        <v>1</v>
      </c>
      <c r="O3097" s="62" t="n">
        <v>1</v>
      </c>
      <c r="P3097" s="62" t="n">
        <v>0</v>
      </c>
      <c r="Q3097" s="62" t="n">
        <v>0</v>
      </c>
      <c r="R3097" s="62" t="n">
        <v>1</v>
      </c>
      <c r="S3097" s="62" t="n">
        <v>0</v>
      </c>
      <c r="T3097" s="62" t="n">
        <v>0</v>
      </c>
      <c r="U3097" s="62"/>
      <c r="V3097" s="62"/>
      <c r="W3097" s="62"/>
      <c r="X3097" s="62"/>
      <c r="Y3097" s="62"/>
      <c r="Z3097" s="62" t="s">
        <v>5636</v>
      </c>
      <c r="AA3097" s="62" t="s">
        <v>5637</v>
      </c>
      <c r="AB3097" s="62" t="n">
        <v>1</v>
      </c>
      <c r="AC3097" s="62" t="n">
        <v>0</v>
      </c>
      <c r="AD3097" s="62" t="n">
        <v>1</v>
      </c>
      <c r="AE3097" s="62" t="n">
        <f aca="false">IF(AND(Dashboard!$C$9="Yes",AC3097=1),0,1)</f>
        <v>1</v>
      </c>
      <c r="AF3097" s="62" t="n">
        <v>0</v>
      </c>
    </row>
    <row r="3098" customFormat="false" ht="15" hidden="false" customHeight="false" outlineLevel="0" collapsed="false">
      <c r="A3098" s="62" t="n">
        <v>3097</v>
      </c>
      <c r="B3098" s="63" t="n">
        <v>46298.8819097222</v>
      </c>
      <c r="C3098" s="64" t="n">
        <v>46298</v>
      </c>
      <c r="D3098" s="62" t="s">
        <v>358</v>
      </c>
      <c r="E3098" s="62" t="s">
        <v>1445</v>
      </c>
      <c r="F3098" s="62" t="s">
        <v>1445</v>
      </c>
      <c r="G3098" s="62" t="s">
        <v>1446</v>
      </c>
      <c r="H3098" s="62" t="s">
        <v>58</v>
      </c>
      <c r="I3098" s="62" t="s">
        <v>49</v>
      </c>
      <c r="J3098" s="62" t="s">
        <v>146</v>
      </c>
      <c r="K3098" s="62" t="s">
        <v>175</v>
      </c>
      <c r="L3098" s="62" t="s">
        <v>148</v>
      </c>
      <c r="M3098" s="62" t="n">
        <v>0</v>
      </c>
      <c r="N3098" s="62" t="n">
        <v>2</v>
      </c>
      <c r="O3098" s="62" t="n">
        <v>2</v>
      </c>
      <c r="P3098" s="62" t="n">
        <v>1</v>
      </c>
      <c r="Q3098" s="62" t="n">
        <v>1</v>
      </c>
      <c r="R3098" s="62" t="n">
        <v>0</v>
      </c>
      <c r="S3098" s="62" t="n">
        <v>0</v>
      </c>
      <c r="T3098" s="62" t="n">
        <v>0</v>
      </c>
      <c r="U3098" s="62"/>
      <c r="V3098" s="62"/>
      <c r="W3098" s="62"/>
      <c r="X3098" s="62"/>
      <c r="Y3098" s="62"/>
      <c r="Z3098" s="62" t="s">
        <v>5638</v>
      </c>
      <c r="AA3098" s="62" t="s">
        <v>5639</v>
      </c>
      <c r="AB3098" s="62" t="n">
        <v>1</v>
      </c>
      <c r="AC3098" s="62" t="n">
        <v>0</v>
      </c>
      <c r="AD3098" s="62" t="n">
        <v>1</v>
      </c>
      <c r="AE3098" s="62" t="n">
        <f aca="false">IF(AND(Dashboard!$C$9="Yes",AC3098=1),0,1)</f>
        <v>1</v>
      </c>
      <c r="AF3098" s="62" t="n">
        <v>0</v>
      </c>
    </row>
    <row r="3099" customFormat="false" ht="15" hidden="false" customHeight="false" outlineLevel="0" collapsed="false">
      <c r="A3099" s="62" t="n">
        <v>3098</v>
      </c>
      <c r="B3099" s="63" t="n">
        <v>46298.882349537</v>
      </c>
      <c r="C3099" s="64" t="n">
        <v>46298</v>
      </c>
      <c r="D3099" s="62" t="s">
        <v>358</v>
      </c>
      <c r="E3099" s="62" t="s">
        <v>1155</v>
      </c>
      <c r="F3099" s="62" t="s">
        <v>1155</v>
      </c>
      <c r="G3099" s="62" t="s">
        <v>1156</v>
      </c>
      <c r="H3099" s="62" t="s">
        <v>59</v>
      </c>
      <c r="I3099" s="62" t="s">
        <v>47</v>
      </c>
      <c r="J3099" s="62" t="s">
        <v>146</v>
      </c>
      <c r="K3099" s="62" t="s">
        <v>209</v>
      </c>
      <c r="L3099" s="62" t="s">
        <v>4</v>
      </c>
      <c r="M3099" s="62" t="n">
        <v>1</v>
      </c>
      <c r="N3099" s="62" t="n">
        <v>0</v>
      </c>
      <c r="O3099" s="62" t="n">
        <v>1</v>
      </c>
      <c r="P3099" s="62" t="n">
        <v>0</v>
      </c>
      <c r="Q3099" s="62" t="n">
        <v>0</v>
      </c>
      <c r="R3099" s="62" t="n">
        <v>0</v>
      </c>
      <c r="S3099" s="62" t="n">
        <v>0</v>
      </c>
      <c r="T3099" s="62" t="n">
        <v>0</v>
      </c>
      <c r="U3099" s="62" t="s">
        <v>2056</v>
      </c>
      <c r="V3099" s="62" t="s">
        <v>2057</v>
      </c>
      <c r="W3099" s="62" t="s">
        <v>15</v>
      </c>
      <c r="X3099" s="62" t="s">
        <v>2058</v>
      </c>
      <c r="Y3099" s="62" t="s">
        <v>2059</v>
      </c>
      <c r="Z3099" s="62" t="s">
        <v>5640</v>
      </c>
      <c r="AA3099" s="62" t="s">
        <v>5641</v>
      </c>
      <c r="AB3099" s="62" t="n">
        <v>1</v>
      </c>
      <c r="AC3099" s="62" t="n">
        <v>0</v>
      </c>
      <c r="AD3099" s="62" t="n">
        <v>1</v>
      </c>
      <c r="AE3099" s="62" t="n">
        <f aca="false">IF(AND(Dashboard!$C$9="Yes",AC3099=1),0,1)</f>
        <v>1</v>
      </c>
      <c r="AF3099" s="62" t="n">
        <v>1</v>
      </c>
    </row>
    <row r="3100" customFormat="false" ht="15" hidden="false" customHeight="false" outlineLevel="0" collapsed="false">
      <c r="A3100" s="62" t="n">
        <v>3099</v>
      </c>
      <c r="B3100" s="63" t="n">
        <v>46298.8848611111</v>
      </c>
      <c r="C3100" s="64" t="n">
        <v>46298</v>
      </c>
      <c r="D3100" s="62" t="s">
        <v>358</v>
      </c>
      <c r="E3100" s="62" t="s">
        <v>1445</v>
      </c>
      <c r="F3100" s="62" t="s">
        <v>1445</v>
      </c>
      <c r="G3100" s="62" t="s">
        <v>1446</v>
      </c>
      <c r="H3100" s="62" t="s">
        <v>58</v>
      </c>
      <c r="I3100" s="62" t="s">
        <v>49</v>
      </c>
      <c r="J3100" s="62" t="s">
        <v>146</v>
      </c>
      <c r="K3100" s="62" t="s">
        <v>175</v>
      </c>
      <c r="L3100" s="62" t="s">
        <v>4</v>
      </c>
      <c r="M3100" s="62" t="n">
        <v>1</v>
      </c>
      <c r="N3100" s="62" t="n">
        <v>0</v>
      </c>
      <c r="O3100" s="62" t="n">
        <v>1</v>
      </c>
      <c r="P3100" s="62" t="n">
        <v>0</v>
      </c>
      <c r="Q3100" s="62" t="n">
        <v>0</v>
      </c>
      <c r="R3100" s="62" t="n">
        <v>0</v>
      </c>
      <c r="S3100" s="62" t="n">
        <v>0</v>
      </c>
      <c r="T3100" s="62" t="n">
        <v>0</v>
      </c>
      <c r="U3100" s="62" t="s">
        <v>2056</v>
      </c>
      <c r="V3100" s="62" t="s">
        <v>2057</v>
      </c>
      <c r="W3100" s="62" t="s">
        <v>2056</v>
      </c>
      <c r="X3100" s="62" t="s">
        <v>2164</v>
      </c>
      <c r="Y3100" s="62" t="s">
        <v>2165</v>
      </c>
      <c r="Z3100" s="62" t="s">
        <v>5638</v>
      </c>
      <c r="AA3100" s="62" t="s">
        <v>5642</v>
      </c>
      <c r="AB3100" s="62" t="n">
        <v>1</v>
      </c>
      <c r="AC3100" s="62" t="n">
        <v>0</v>
      </c>
      <c r="AD3100" s="62" t="n">
        <v>1</v>
      </c>
      <c r="AE3100" s="62" t="n">
        <f aca="false">IF(AND(Dashboard!$C$9="Yes",AC3100=1),0,1)</f>
        <v>1</v>
      </c>
      <c r="AF3100" s="62" t="n">
        <v>0</v>
      </c>
    </row>
    <row r="3101" customFormat="false" ht="15" hidden="false" customHeight="false" outlineLevel="0" collapsed="false">
      <c r="A3101" s="62" t="n">
        <v>3100</v>
      </c>
      <c r="B3101" s="63" t="n">
        <v>46298.8972916667</v>
      </c>
      <c r="C3101" s="64" t="n">
        <v>46298</v>
      </c>
      <c r="D3101" s="62" t="s">
        <v>358</v>
      </c>
      <c r="E3101" s="62" t="s">
        <v>2228</v>
      </c>
      <c r="F3101" s="62" t="s">
        <v>2228</v>
      </c>
      <c r="G3101" s="62" t="s">
        <v>2229</v>
      </c>
      <c r="H3101" s="62" t="s">
        <v>58</v>
      </c>
      <c r="I3101" s="62" t="s">
        <v>49</v>
      </c>
      <c r="J3101" s="62" t="s">
        <v>146</v>
      </c>
      <c r="K3101" s="62" t="s">
        <v>209</v>
      </c>
      <c r="L3101" s="62" t="s">
        <v>148</v>
      </c>
      <c r="M3101" s="62" t="n">
        <v>0</v>
      </c>
      <c r="N3101" s="62" t="n">
        <v>1</v>
      </c>
      <c r="O3101" s="62" t="n">
        <v>1</v>
      </c>
      <c r="P3101" s="62" t="n">
        <v>1</v>
      </c>
      <c r="Q3101" s="62" t="n">
        <v>0</v>
      </c>
      <c r="R3101" s="62" t="n">
        <v>0</v>
      </c>
      <c r="S3101" s="62" t="n">
        <v>0</v>
      </c>
      <c r="T3101" s="62" t="n">
        <v>0</v>
      </c>
      <c r="U3101" s="62"/>
      <c r="V3101" s="62"/>
      <c r="W3101" s="62"/>
      <c r="X3101" s="62"/>
      <c r="Y3101" s="62"/>
      <c r="Z3101" s="62" t="s">
        <v>5643</v>
      </c>
      <c r="AA3101" s="62" t="s">
        <v>5644</v>
      </c>
      <c r="AB3101" s="62" t="n">
        <v>1</v>
      </c>
      <c r="AC3101" s="62" t="n">
        <v>0</v>
      </c>
      <c r="AD3101" s="62" t="n">
        <v>1</v>
      </c>
      <c r="AE3101" s="62" t="n">
        <f aca="false">IF(AND(Dashboard!$C$9="Yes",AC3101=1),0,1)</f>
        <v>1</v>
      </c>
      <c r="AF3101" s="62" t="n">
        <v>0</v>
      </c>
    </row>
    <row r="3102" customFormat="false" ht="15" hidden="false" customHeight="false" outlineLevel="0" collapsed="false">
      <c r="A3102" s="62" t="n">
        <v>3101</v>
      </c>
      <c r="B3102" s="63" t="n">
        <v>46298.9009027778</v>
      </c>
      <c r="C3102" s="64" t="n">
        <v>46298</v>
      </c>
      <c r="D3102" s="62" t="s">
        <v>358</v>
      </c>
      <c r="E3102" s="62" t="s">
        <v>2583</v>
      </c>
      <c r="F3102" s="62" t="s">
        <v>2583</v>
      </c>
      <c r="G3102" s="62" t="s">
        <v>2584</v>
      </c>
      <c r="H3102" s="62" t="s">
        <v>59</v>
      </c>
      <c r="I3102" s="62" t="s">
        <v>47</v>
      </c>
      <c r="J3102" s="62" t="s">
        <v>146</v>
      </c>
      <c r="K3102" s="62" t="s">
        <v>147</v>
      </c>
      <c r="L3102" s="62" t="s">
        <v>148</v>
      </c>
      <c r="M3102" s="62" t="n">
        <v>0</v>
      </c>
      <c r="N3102" s="62" t="n">
        <v>2</v>
      </c>
      <c r="O3102" s="62" t="n">
        <v>2</v>
      </c>
      <c r="P3102" s="62" t="n">
        <v>1</v>
      </c>
      <c r="Q3102" s="62" t="n">
        <v>0</v>
      </c>
      <c r="R3102" s="62" t="n">
        <v>0</v>
      </c>
      <c r="S3102" s="62" t="n">
        <v>0</v>
      </c>
      <c r="T3102" s="62" t="n">
        <v>1</v>
      </c>
      <c r="U3102" s="62"/>
      <c r="V3102" s="62"/>
      <c r="W3102" s="62"/>
      <c r="X3102" s="62"/>
      <c r="Y3102" s="62"/>
      <c r="Z3102" s="62" t="s">
        <v>5645</v>
      </c>
      <c r="AA3102" s="62" t="s">
        <v>5646</v>
      </c>
      <c r="AB3102" s="62" t="n">
        <v>1</v>
      </c>
      <c r="AC3102" s="62" t="n">
        <v>0</v>
      </c>
      <c r="AD3102" s="62" t="n">
        <v>1</v>
      </c>
      <c r="AE3102" s="62" t="n">
        <f aca="false">IF(AND(Dashboard!$C$9="Yes",AC3102=1),0,1)</f>
        <v>1</v>
      </c>
      <c r="AF3102" s="62" t="n">
        <v>1</v>
      </c>
    </row>
    <row r="3103" customFormat="false" ht="15" hidden="false" customHeight="false" outlineLevel="0" collapsed="false">
      <c r="A3103" s="62" t="n">
        <v>3102</v>
      </c>
      <c r="B3103" s="63" t="n">
        <v>46298.902037037</v>
      </c>
      <c r="C3103" s="64" t="n">
        <v>46298</v>
      </c>
      <c r="D3103" s="62" t="s">
        <v>358</v>
      </c>
      <c r="E3103" s="62" t="s">
        <v>2071</v>
      </c>
      <c r="F3103" s="62" t="s">
        <v>2071</v>
      </c>
      <c r="G3103" s="62" t="s">
        <v>2072</v>
      </c>
      <c r="H3103" s="62" t="s">
        <v>58</v>
      </c>
      <c r="I3103" s="62" t="s">
        <v>49</v>
      </c>
      <c r="J3103" s="62" t="s">
        <v>146</v>
      </c>
      <c r="K3103" s="62" t="s">
        <v>175</v>
      </c>
      <c r="L3103" s="62" t="s">
        <v>4</v>
      </c>
      <c r="M3103" s="62" t="n">
        <v>1</v>
      </c>
      <c r="N3103" s="62" t="n">
        <v>0</v>
      </c>
      <c r="O3103" s="62" t="n">
        <v>1</v>
      </c>
      <c r="P3103" s="62" t="n">
        <v>0</v>
      </c>
      <c r="Q3103" s="62" t="n">
        <v>0</v>
      </c>
      <c r="R3103" s="62" t="n">
        <v>0</v>
      </c>
      <c r="S3103" s="62" t="n">
        <v>0</v>
      </c>
      <c r="T3103" s="62" t="n">
        <v>0</v>
      </c>
      <c r="U3103" s="62" t="s">
        <v>2056</v>
      </c>
      <c r="V3103" s="62" t="s">
        <v>2057</v>
      </c>
      <c r="W3103" s="62" t="s">
        <v>2056</v>
      </c>
      <c r="X3103" s="62" t="s">
        <v>2180</v>
      </c>
      <c r="Y3103" s="62" t="s">
        <v>2059</v>
      </c>
      <c r="Z3103" s="62" t="s">
        <v>5647</v>
      </c>
      <c r="AA3103" s="62" t="s">
        <v>5648</v>
      </c>
      <c r="AB3103" s="62" t="n">
        <v>1</v>
      </c>
      <c r="AC3103" s="62" t="n">
        <v>0</v>
      </c>
      <c r="AD3103" s="62" t="n">
        <v>1</v>
      </c>
      <c r="AE3103" s="62" t="n">
        <f aca="false">IF(AND(Dashboard!$C$9="Yes",AC3103=1),0,1)</f>
        <v>1</v>
      </c>
      <c r="AF3103" s="62" t="n">
        <v>1</v>
      </c>
    </row>
    <row r="3104" customFormat="false" ht="15" hidden="false" customHeight="false" outlineLevel="0" collapsed="false">
      <c r="A3104" s="62" t="n">
        <v>3103</v>
      </c>
      <c r="B3104" s="63" t="n">
        <v>46298.9028935185</v>
      </c>
      <c r="C3104" s="64" t="n">
        <v>46298</v>
      </c>
      <c r="D3104" s="62" t="s">
        <v>358</v>
      </c>
      <c r="E3104" s="62" t="s">
        <v>2156</v>
      </c>
      <c r="F3104" s="62" t="s">
        <v>2156</v>
      </c>
      <c r="G3104" s="62" t="s">
        <v>2157</v>
      </c>
      <c r="H3104" s="62" t="s">
        <v>52</v>
      </c>
      <c r="I3104" s="62" t="s">
        <v>47</v>
      </c>
      <c r="J3104" s="62" t="s">
        <v>146</v>
      </c>
      <c r="K3104" s="62" t="s">
        <v>209</v>
      </c>
      <c r="L3104" s="62" t="s">
        <v>148</v>
      </c>
      <c r="M3104" s="62" t="n">
        <v>0</v>
      </c>
      <c r="N3104" s="62" t="n">
        <v>1</v>
      </c>
      <c r="O3104" s="62" t="n">
        <v>1</v>
      </c>
      <c r="P3104" s="62" t="n">
        <v>0</v>
      </c>
      <c r="Q3104" s="62" t="n">
        <v>1</v>
      </c>
      <c r="R3104" s="62" t="n">
        <v>0</v>
      </c>
      <c r="S3104" s="62" t="n">
        <v>0</v>
      </c>
      <c r="T3104" s="62" t="n">
        <v>0</v>
      </c>
      <c r="U3104" s="62"/>
      <c r="V3104" s="62"/>
      <c r="W3104" s="62"/>
      <c r="X3104" s="62"/>
      <c r="Y3104" s="62"/>
      <c r="Z3104" s="62" t="s">
        <v>5649</v>
      </c>
      <c r="AA3104" s="62" t="s">
        <v>5650</v>
      </c>
      <c r="AB3104" s="62" t="n">
        <v>1</v>
      </c>
      <c r="AC3104" s="62" t="n">
        <v>0</v>
      </c>
      <c r="AD3104" s="62" t="n">
        <v>1</v>
      </c>
      <c r="AE3104" s="62" t="n">
        <f aca="false">IF(AND(Dashboard!$C$9="Yes",AC3104=1),0,1)</f>
        <v>1</v>
      </c>
      <c r="AF3104" s="62" t="n">
        <v>0</v>
      </c>
    </row>
    <row r="3105" customFormat="false" ht="15" hidden="false" customHeight="false" outlineLevel="0" collapsed="false">
      <c r="A3105" s="62" t="n">
        <v>3104</v>
      </c>
      <c r="B3105" s="63" t="n">
        <v>46298.9084722222</v>
      </c>
      <c r="C3105" s="64" t="n">
        <v>46298</v>
      </c>
      <c r="D3105" s="62" t="s">
        <v>358</v>
      </c>
      <c r="E3105" s="62" t="s">
        <v>207</v>
      </c>
      <c r="F3105" s="62" t="s">
        <v>207</v>
      </c>
      <c r="G3105" s="62" t="s">
        <v>208</v>
      </c>
      <c r="H3105" s="62" t="s">
        <v>48</v>
      </c>
      <c r="I3105" s="62" t="s">
        <v>49</v>
      </c>
      <c r="J3105" s="62" t="s">
        <v>146</v>
      </c>
      <c r="K3105" s="62" t="s">
        <v>209</v>
      </c>
      <c r="L3105" s="62" t="s">
        <v>4</v>
      </c>
      <c r="M3105" s="62" t="n">
        <v>1</v>
      </c>
      <c r="N3105" s="62" t="n">
        <v>0</v>
      </c>
      <c r="O3105" s="62" t="n">
        <v>1</v>
      </c>
      <c r="P3105" s="62" t="n">
        <v>0</v>
      </c>
      <c r="Q3105" s="62" t="n">
        <v>0</v>
      </c>
      <c r="R3105" s="62" t="n">
        <v>0</v>
      </c>
      <c r="S3105" s="62" t="n">
        <v>0</v>
      </c>
      <c r="T3105" s="62" t="n">
        <v>0</v>
      </c>
      <c r="U3105" s="62" t="s">
        <v>15</v>
      </c>
      <c r="V3105" s="62" t="s">
        <v>2057</v>
      </c>
      <c r="W3105" s="62" t="s">
        <v>2056</v>
      </c>
      <c r="X3105" s="62" t="s">
        <v>2234</v>
      </c>
      <c r="Y3105" s="62" t="s">
        <v>2165</v>
      </c>
      <c r="Z3105" s="62" t="s">
        <v>5651</v>
      </c>
      <c r="AA3105" s="62" t="s">
        <v>5652</v>
      </c>
      <c r="AB3105" s="62" t="n">
        <v>1</v>
      </c>
      <c r="AC3105" s="62" t="n">
        <v>0</v>
      </c>
      <c r="AD3105" s="62" t="n">
        <v>1</v>
      </c>
      <c r="AE3105" s="62" t="n">
        <f aca="false">IF(AND(Dashboard!$C$9="Yes",AC3105=1),0,1)</f>
        <v>1</v>
      </c>
      <c r="AF3105" s="62" t="n">
        <v>1</v>
      </c>
    </row>
    <row r="3106" customFormat="false" ht="15" hidden="false" customHeight="false" outlineLevel="0" collapsed="false">
      <c r="A3106" s="62" t="n">
        <v>3105</v>
      </c>
      <c r="B3106" s="63" t="n">
        <v>46298.9227314815</v>
      </c>
      <c r="C3106" s="64" t="n">
        <v>46298</v>
      </c>
      <c r="D3106" s="62" t="s">
        <v>358</v>
      </c>
      <c r="E3106" s="62" t="s">
        <v>2959</v>
      </c>
      <c r="F3106" s="62" t="s">
        <v>2959</v>
      </c>
      <c r="G3106" s="62" t="s">
        <v>2960</v>
      </c>
      <c r="H3106" s="62" t="s">
        <v>58</v>
      </c>
      <c r="I3106" s="62" t="s">
        <v>49</v>
      </c>
      <c r="J3106" s="62" t="s">
        <v>146</v>
      </c>
      <c r="K3106" s="62" t="s">
        <v>175</v>
      </c>
      <c r="L3106" s="62" t="s">
        <v>4</v>
      </c>
      <c r="M3106" s="62" t="n">
        <v>1</v>
      </c>
      <c r="N3106" s="62" t="n">
        <v>0</v>
      </c>
      <c r="O3106" s="62" t="n">
        <v>1</v>
      </c>
      <c r="P3106" s="62" t="n">
        <v>0</v>
      </c>
      <c r="Q3106" s="62" t="n">
        <v>0</v>
      </c>
      <c r="R3106" s="62" t="n">
        <v>0</v>
      </c>
      <c r="S3106" s="62" t="n">
        <v>0</v>
      </c>
      <c r="T3106" s="62" t="n">
        <v>0</v>
      </c>
      <c r="U3106" s="62" t="s">
        <v>15</v>
      </c>
      <c r="V3106" s="62" t="s">
        <v>2057</v>
      </c>
      <c r="W3106" s="62" t="s">
        <v>15</v>
      </c>
      <c r="X3106" s="62" t="s">
        <v>2058</v>
      </c>
      <c r="Y3106" s="62" t="s">
        <v>2103</v>
      </c>
      <c r="Z3106" s="62" t="s">
        <v>5653</v>
      </c>
      <c r="AA3106" s="62" t="s">
        <v>5654</v>
      </c>
      <c r="AB3106" s="62" t="n">
        <v>1</v>
      </c>
      <c r="AC3106" s="62" t="n">
        <v>0</v>
      </c>
      <c r="AD3106" s="62" t="n">
        <v>1</v>
      </c>
      <c r="AE3106" s="62" t="n">
        <f aca="false">IF(AND(Dashboard!$C$9="Yes",AC3106=1),0,1)</f>
        <v>1</v>
      </c>
      <c r="AF3106" s="62" t="n">
        <v>1</v>
      </c>
    </row>
    <row r="3107" customFormat="false" ht="15" hidden="false" customHeight="false" outlineLevel="0" collapsed="false">
      <c r="A3107" s="62" t="n">
        <v>3106</v>
      </c>
      <c r="B3107" s="63" t="n">
        <v>46298.9366898148</v>
      </c>
      <c r="C3107" s="64" t="n">
        <v>46298</v>
      </c>
      <c r="D3107" s="62" t="s">
        <v>358</v>
      </c>
      <c r="E3107" s="62" t="s">
        <v>2476</v>
      </c>
      <c r="F3107" s="62" t="s">
        <v>2476</v>
      </c>
      <c r="G3107" s="62" t="s">
        <v>2477</v>
      </c>
      <c r="H3107" s="62" t="s">
        <v>51</v>
      </c>
      <c r="I3107" s="62" t="s">
        <v>47</v>
      </c>
      <c r="J3107" s="62" t="s">
        <v>146</v>
      </c>
      <c r="K3107" s="62" t="s">
        <v>209</v>
      </c>
      <c r="L3107" s="62" t="s">
        <v>4</v>
      </c>
      <c r="M3107" s="62" t="n">
        <v>1</v>
      </c>
      <c r="N3107" s="62" t="n">
        <v>0</v>
      </c>
      <c r="O3107" s="62" t="n">
        <v>1</v>
      </c>
      <c r="P3107" s="62" t="n">
        <v>0</v>
      </c>
      <c r="Q3107" s="62" t="n">
        <v>0</v>
      </c>
      <c r="R3107" s="62" t="n">
        <v>0</v>
      </c>
      <c r="S3107" s="62" t="n">
        <v>0</v>
      </c>
      <c r="T3107" s="62" t="n">
        <v>0</v>
      </c>
      <c r="U3107" s="62" t="s">
        <v>2056</v>
      </c>
      <c r="V3107" s="62" t="s">
        <v>2057</v>
      </c>
      <c r="W3107" s="62" t="s">
        <v>15</v>
      </c>
      <c r="X3107" s="62"/>
      <c r="Y3107" s="62" t="s">
        <v>2059</v>
      </c>
      <c r="Z3107" s="62" t="s">
        <v>5655</v>
      </c>
      <c r="AA3107" s="62" t="s">
        <v>5656</v>
      </c>
      <c r="AB3107" s="62" t="n">
        <v>1</v>
      </c>
      <c r="AC3107" s="62" t="n">
        <v>0</v>
      </c>
      <c r="AD3107" s="62" t="n">
        <v>1</v>
      </c>
      <c r="AE3107" s="62" t="n">
        <f aca="false">IF(AND(Dashboard!$C$9="Yes",AC3107=1),0,1)</f>
        <v>1</v>
      </c>
      <c r="AF3107" s="62" t="n">
        <v>1</v>
      </c>
    </row>
    <row r="3108" customFormat="false" ht="15" hidden="false" customHeight="false" outlineLevel="0" collapsed="false">
      <c r="A3108" s="62" t="n">
        <v>3107</v>
      </c>
      <c r="B3108" s="63" t="n">
        <v>46298.937337963</v>
      </c>
      <c r="C3108" s="64" t="n">
        <v>46298</v>
      </c>
      <c r="D3108" s="62" t="s">
        <v>358</v>
      </c>
      <c r="E3108" s="62" t="s">
        <v>650</v>
      </c>
      <c r="F3108" s="62" t="s">
        <v>650</v>
      </c>
      <c r="G3108" s="62" t="s">
        <v>651</v>
      </c>
      <c r="H3108" s="62" t="s">
        <v>59</v>
      </c>
      <c r="I3108" s="62" t="s">
        <v>47</v>
      </c>
      <c r="J3108" s="62" t="s">
        <v>146</v>
      </c>
      <c r="K3108" s="62" t="s">
        <v>209</v>
      </c>
      <c r="L3108" s="62" t="s">
        <v>4</v>
      </c>
      <c r="M3108" s="62" t="n">
        <v>1</v>
      </c>
      <c r="N3108" s="62" t="n">
        <v>0</v>
      </c>
      <c r="O3108" s="62" t="n">
        <v>1</v>
      </c>
      <c r="P3108" s="62" t="n">
        <v>0</v>
      </c>
      <c r="Q3108" s="62" t="n">
        <v>0</v>
      </c>
      <c r="R3108" s="62" t="n">
        <v>0</v>
      </c>
      <c r="S3108" s="62" t="n">
        <v>0</v>
      </c>
      <c r="T3108" s="62" t="n">
        <v>0</v>
      </c>
      <c r="U3108" s="62" t="s">
        <v>2056</v>
      </c>
      <c r="V3108" s="62" t="s">
        <v>2057</v>
      </c>
      <c r="W3108" s="62" t="s">
        <v>15</v>
      </c>
      <c r="X3108" s="62" t="s">
        <v>2058</v>
      </c>
      <c r="Y3108" s="62" t="s">
        <v>2059</v>
      </c>
      <c r="Z3108" s="62" t="s">
        <v>5657</v>
      </c>
      <c r="AA3108" s="62" t="s">
        <v>5658</v>
      </c>
      <c r="AB3108" s="62" t="n">
        <v>1</v>
      </c>
      <c r="AC3108" s="62" t="n">
        <v>0</v>
      </c>
      <c r="AD3108" s="62" t="n">
        <v>1</v>
      </c>
      <c r="AE3108" s="62" t="n">
        <f aca="false">IF(AND(Dashboard!$C$9="Yes",AC3108=1),0,1)</f>
        <v>1</v>
      </c>
      <c r="AF3108" s="62" t="n">
        <v>1</v>
      </c>
    </row>
    <row r="3109" customFormat="false" ht="15" hidden="false" customHeight="false" outlineLevel="0" collapsed="false">
      <c r="A3109" s="62" t="n">
        <v>3108</v>
      </c>
      <c r="B3109" s="63" t="n">
        <v>46298.9507175926</v>
      </c>
      <c r="C3109" s="64" t="n">
        <v>46298</v>
      </c>
      <c r="D3109" s="62" t="s">
        <v>358</v>
      </c>
      <c r="E3109" s="62" t="s">
        <v>2228</v>
      </c>
      <c r="F3109" s="62" t="s">
        <v>2228</v>
      </c>
      <c r="G3109" s="62" t="s">
        <v>2229</v>
      </c>
      <c r="H3109" s="62" t="s">
        <v>58</v>
      </c>
      <c r="I3109" s="62" t="s">
        <v>49</v>
      </c>
      <c r="J3109" s="62" t="s">
        <v>146</v>
      </c>
      <c r="K3109" s="62" t="s">
        <v>209</v>
      </c>
      <c r="L3109" s="62" t="s">
        <v>148</v>
      </c>
      <c r="M3109" s="62" t="n">
        <v>0</v>
      </c>
      <c r="N3109" s="62" t="n">
        <v>1</v>
      </c>
      <c r="O3109" s="62" t="n">
        <v>1</v>
      </c>
      <c r="P3109" s="62" t="n">
        <v>1</v>
      </c>
      <c r="Q3109" s="62" t="n">
        <v>0</v>
      </c>
      <c r="R3109" s="62" t="n">
        <v>0</v>
      </c>
      <c r="S3109" s="62" t="n">
        <v>0</v>
      </c>
      <c r="T3109" s="62" t="n">
        <v>0</v>
      </c>
      <c r="U3109" s="62"/>
      <c r="V3109" s="62"/>
      <c r="W3109" s="62"/>
      <c r="X3109" s="62"/>
      <c r="Y3109" s="62"/>
      <c r="Z3109" s="62" t="s">
        <v>5659</v>
      </c>
      <c r="AA3109" s="62" t="s">
        <v>5660</v>
      </c>
      <c r="AB3109" s="62" t="n">
        <v>1</v>
      </c>
      <c r="AC3109" s="62" t="n">
        <v>0</v>
      </c>
      <c r="AD3109" s="62" t="n">
        <v>1</v>
      </c>
      <c r="AE3109" s="62" t="n">
        <f aca="false">IF(AND(Dashboard!$C$9="Yes",AC3109=1),0,1)</f>
        <v>1</v>
      </c>
      <c r="AF3109" s="62" t="n">
        <v>0</v>
      </c>
    </row>
    <row r="3110" customFormat="false" ht="15" hidden="false" customHeight="false" outlineLevel="0" collapsed="false">
      <c r="A3110" s="62" t="n">
        <v>3109</v>
      </c>
      <c r="B3110" s="63" t="n">
        <v>46298.9532175926</v>
      </c>
      <c r="C3110" s="64" t="n">
        <v>46298</v>
      </c>
      <c r="D3110" s="62" t="s">
        <v>358</v>
      </c>
      <c r="E3110" s="62" t="s">
        <v>164</v>
      </c>
      <c r="F3110" s="62" t="s">
        <v>164</v>
      </c>
      <c r="G3110" s="62" t="s">
        <v>165</v>
      </c>
      <c r="H3110" s="62" t="s">
        <v>51</v>
      </c>
      <c r="I3110" s="62" t="s">
        <v>47</v>
      </c>
      <c r="J3110" s="62" t="s">
        <v>146</v>
      </c>
      <c r="K3110" s="62" t="s">
        <v>147</v>
      </c>
      <c r="L3110" s="62" t="s">
        <v>148</v>
      </c>
      <c r="M3110" s="62" t="n">
        <v>0</v>
      </c>
      <c r="N3110" s="62" t="n">
        <v>1</v>
      </c>
      <c r="O3110" s="62" t="n">
        <v>1</v>
      </c>
      <c r="P3110" s="62" t="n">
        <v>1</v>
      </c>
      <c r="Q3110" s="62" t="n">
        <v>0</v>
      </c>
      <c r="R3110" s="62" t="n">
        <v>0</v>
      </c>
      <c r="S3110" s="62" t="n">
        <v>0</v>
      </c>
      <c r="T3110" s="62" t="n">
        <v>0</v>
      </c>
      <c r="U3110" s="62"/>
      <c r="V3110" s="62"/>
      <c r="W3110" s="62"/>
      <c r="X3110" s="62"/>
      <c r="Y3110" s="62"/>
      <c r="Z3110" s="62" t="s">
        <v>5661</v>
      </c>
      <c r="AA3110" s="62" t="s">
        <v>5662</v>
      </c>
      <c r="AB3110" s="62" t="n">
        <v>1</v>
      </c>
      <c r="AC3110" s="62" t="n">
        <v>0</v>
      </c>
      <c r="AD3110" s="62" t="n">
        <v>1</v>
      </c>
      <c r="AE3110" s="62" t="n">
        <f aca="false">IF(AND(Dashboard!$C$9="Yes",AC3110=1),0,1)</f>
        <v>1</v>
      </c>
      <c r="AF3110" s="62" t="n">
        <v>1</v>
      </c>
    </row>
    <row r="3111" customFormat="false" ht="15" hidden="false" customHeight="false" outlineLevel="0" collapsed="false">
      <c r="A3111" s="62" t="n">
        <v>3110</v>
      </c>
      <c r="B3111" s="63" t="n">
        <v>46298.9555787037</v>
      </c>
      <c r="C3111" s="64" t="n">
        <v>46298</v>
      </c>
      <c r="D3111" s="62" t="s">
        <v>358</v>
      </c>
      <c r="E3111" s="62" t="s">
        <v>164</v>
      </c>
      <c r="F3111" s="62" t="s">
        <v>164</v>
      </c>
      <c r="G3111" s="62" t="s">
        <v>165</v>
      </c>
      <c r="H3111" s="62" t="s">
        <v>51</v>
      </c>
      <c r="I3111" s="62" t="s">
        <v>47</v>
      </c>
      <c r="J3111" s="62" t="s">
        <v>146</v>
      </c>
      <c r="K3111" s="62" t="s">
        <v>147</v>
      </c>
      <c r="L3111" s="62" t="s">
        <v>148</v>
      </c>
      <c r="M3111" s="62" t="n">
        <v>0</v>
      </c>
      <c r="N3111" s="62" t="n">
        <v>1</v>
      </c>
      <c r="O3111" s="62" t="n">
        <v>1</v>
      </c>
      <c r="P3111" s="62" t="n">
        <v>1</v>
      </c>
      <c r="Q3111" s="62" t="n">
        <v>0</v>
      </c>
      <c r="R3111" s="62" t="n">
        <v>0</v>
      </c>
      <c r="S3111" s="62" t="n">
        <v>0</v>
      </c>
      <c r="T3111" s="62" t="n">
        <v>0</v>
      </c>
      <c r="U3111" s="62"/>
      <c r="V3111" s="62"/>
      <c r="W3111" s="62"/>
      <c r="X3111" s="62"/>
      <c r="Y3111" s="62"/>
      <c r="Z3111" s="62" t="s">
        <v>5661</v>
      </c>
      <c r="AA3111" s="62" t="s">
        <v>5662</v>
      </c>
      <c r="AB3111" s="62" t="n">
        <v>1</v>
      </c>
      <c r="AC3111" s="62" t="n">
        <v>1</v>
      </c>
      <c r="AD3111" s="62" t="n">
        <v>1</v>
      </c>
      <c r="AE3111" s="62" t="n">
        <f aca="false">IF(AND(Dashboard!$C$9="Yes",AC3111=1),0,1)</f>
        <v>0</v>
      </c>
      <c r="AF3111" s="62" t="n">
        <v>0</v>
      </c>
    </row>
    <row r="3112" customFormat="false" ht="15" hidden="false" customHeight="false" outlineLevel="0" collapsed="false">
      <c r="A3112" s="62" t="n">
        <v>3111</v>
      </c>
      <c r="B3112" s="63" t="n">
        <v>46298.958912037</v>
      </c>
      <c r="C3112" s="64" t="n">
        <v>46298</v>
      </c>
      <c r="D3112" s="62" t="s">
        <v>358</v>
      </c>
      <c r="E3112" s="62" t="s">
        <v>2959</v>
      </c>
      <c r="F3112" s="62" t="s">
        <v>2959</v>
      </c>
      <c r="G3112" s="62" t="s">
        <v>2960</v>
      </c>
      <c r="H3112" s="62" t="s">
        <v>58</v>
      </c>
      <c r="I3112" s="62" t="s">
        <v>49</v>
      </c>
      <c r="J3112" s="62" t="s">
        <v>146</v>
      </c>
      <c r="K3112" s="62" t="s">
        <v>175</v>
      </c>
      <c r="L3112" s="62" t="s">
        <v>4</v>
      </c>
      <c r="M3112" s="62" t="n">
        <v>1</v>
      </c>
      <c r="N3112" s="62" t="n">
        <v>0</v>
      </c>
      <c r="O3112" s="62" t="n">
        <v>1</v>
      </c>
      <c r="P3112" s="62" t="n">
        <v>0</v>
      </c>
      <c r="Q3112" s="62" t="n">
        <v>0</v>
      </c>
      <c r="R3112" s="62" t="n">
        <v>0</v>
      </c>
      <c r="S3112" s="62" t="n">
        <v>0</v>
      </c>
      <c r="T3112" s="62" t="n">
        <v>0</v>
      </c>
      <c r="U3112" s="62" t="s">
        <v>15</v>
      </c>
      <c r="V3112" s="62" t="s">
        <v>2057</v>
      </c>
      <c r="W3112" s="62" t="s">
        <v>15</v>
      </c>
      <c r="X3112" s="62" t="s">
        <v>2069</v>
      </c>
      <c r="Y3112" s="62" t="s">
        <v>2103</v>
      </c>
      <c r="Z3112" s="62" t="s">
        <v>5653</v>
      </c>
      <c r="AA3112" s="62" t="s">
        <v>5663</v>
      </c>
      <c r="AB3112" s="62" t="n">
        <v>1</v>
      </c>
      <c r="AC3112" s="62" t="n">
        <v>0</v>
      </c>
      <c r="AD3112" s="62" t="n">
        <v>1</v>
      </c>
      <c r="AE3112" s="62" t="n">
        <f aca="false">IF(AND(Dashboard!$C$9="Yes",AC3112=1),0,1)</f>
        <v>1</v>
      </c>
      <c r="AF3112" s="62" t="n">
        <v>0</v>
      </c>
    </row>
    <row r="3113" customFormat="false" ht="15" hidden="false" customHeight="false" outlineLevel="0" collapsed="false">
      <c r="A3113" s="62" t="n">
        <v>3112</v>
      </c>
      <c r="B3113" s="63" t="n">
        <v>46298.9593634259</v>
      </c>
      <c r="C3113" s="64" t="n">
        <v>46298</v>
      </c>
      <c r="D3113" s="62" t="s">
        <v>358</v>
      </c>
      <c r="E3113" s="62" t="s">
        <v>2959</v>
      </c>
      <c r="F3113" s="62" t="s">
        <v>2959</v>
      </c>
      <c r="G3113" s="62" t="s">
        <v>2960</v>
      </c>
      <c r="H3113" s="62" t="s">
        <v>58</v>
      </c>
      <c r="I3113" s="62" t="s">
        <v>49</v>
      </c>
      <c r="J3113" s="62" t="s">
        <v>146</v>
      </c>
      <c r="K3113" s="62" t="s">
        <v>175</v>
      </c>
      <c r="L3113" s="62" t="s">
        <v>4</v>
      </c>
      <c r="M3113" s="62" t="n">
        <v>1</v>
      </c>
      <c r="N3113" s="62" t="n">
        <v>0</v>
      </c>
      <c r="O3113" s="62" t="n">
        <v>1</v>
      </c>
      <c r="P3113" s="62" t="n">
        <v>0</v>
      </c>
      <c r="Q3113" s="62" t="n">
        <v>0</v>
      </c>
      <c r="R3113" s="62" t="n">
        <v>0</v>
      </c>
      <c r="S3113" s="62" t="n">
        <v>0</v>
      </c>
      <c r="T3113" s="62" t="n">
        <v>0</v>
      </c>
      <c r="U3113" s="62" t="s">
        <v>15</v>
      </c>
      <c r="V3113" s="62" t="s">
        <v>2057</v>
      </c>
      <c r="W3113" s="62" t="s">
        <v>15</v>
      </c>
      <c r="X3113" s="62" t="s">
        <v>2058</v>
      </c>
      <c r="Y3113" s="62" t="s">
        <v>2103</v>
      </c>
      <c r="Z3113" s="62" t="s">
        <v>5653</v>
      </c>
      <c r="AA3113" s="62" t="s">
        <v>5664</v>
      </c>
      <c r="AB3113" s="62" t="n">
        <v>1</v>
      </c>
      <c r="AC3113" s="62" t="n">
        <v>0</v>
      </c>
      <c r="AD3113" s="62" t="n">
        <v>1</v>
      </c>
      <c r="AE3113" s="62" t="n">
        <f aca="false">IF(AND(Dashboard!$C$9="Yes",AC3113=1),0,1)</f>
        <v>1</v>
      </c>
      <c r="AF3113" s="62" t="n">
        <v>0</v>
      </c>
    </row>
    <row r="3114" customFormat="false" ht="15" hidden="false" customHeight="false" outlineLevel="0" collapsed="false">
      <c r="A3114" s="62" t="n">
        <v>3113</v>
      </c>
      <c r="B3114" s="63" t="n">
        <v>46298.9597453704</v>
      </c>
      <c r="C3114" s="64" t="n">
        <v>46298</v>
      </c>
      <c r="D3114" s="62" t="s">
        <v>358</v>
      </c>
      <c r="E3114" s="62" t="s">
        <v>2959</v>
      </c>
      <c r="F3114" s="62" t="s">
        <v>2959</v>
      </c>
      <c r="G3114" s="62" t="s">
        <v>2960</v>
      </c>
      <c r="H3114" s="62" t="s">
        <v>58</v>
      </c>
      <c r="I3114" s="62" t="s">
        <v>49</v>
      </c>
      <c r="J3114" s="62" t="s">
        <v>146</v>
      </c>
      <c r="K3114" s="62" t="s">
        <v>175</v>
      </c>
      <c r="L3114" s="62" t="s">
        <v>4</v>
      </c>
      <c r="M3114" s="62" t="n">
        <v>1</v>
      </c>
      <c r="N3114" s="62" t="n">
        <v>0</v>
      </c>
      <c r="O3114" s="62" t="n">
        <v>1</v>
      </c>
      <c r="P3114" s="62" t="n">
        <v>0</v>
      </c>
      <c r="Q3114" s="62" t="n">
        <v>0</v>
      </c>
      <c r="R3114" s="62" t="n">
        <v>0</v>
      </c>
      <c r="S3114" s="62" t="n">
        <v>0</v>
      </c>
      <c r="T3114" s="62" t="n">
        <v>0</v>
      </c>
      <c r="U3114" s="62" t="s">
        <v>15</v>
      </c>
      <c r="V3114" s="62" t="s">
        <v>2057</v>
      </c>
      <c r="W3114" s="62" t="s">
        <v>15</v>
      </c>
      <c r="X3114" s="62" t="s">
        <v>2058</v>
      </c>
      <c r="Y3114" s="62" t="s">
        <v>2103</v>
      </c>
      <c r="Z3114" s="62" t="s">
        <v>5653</v>
      </c>
      <c r="AA3114" s="62" t="s">
        <v>5665</v>
      </c>
      <c r="AB3114" s="62" t="n">
        <v>1</v>
      </c>
      <c r="AC3114" s="62" t="n">
        <v>0</v>
      </c>
      <c r="AD3114" s="62" t="n">
        <v>1</v>
      </c>
      <c r="AE3114" s="62" t="n">
        <f aca="false">IF(AND(Dashboard!$C$9="Yes",AC3114=1),0,1)</f>
        <v>1</v>
      </c>
      <c r="AF3114" s="62" t="n">
        <v>0</v>
      </c>
    </row>
    <row r="3115" customFormat="false" ht="15" hidden="false" customHeight="false" outlineLevel="0" collapsed="false">
      <c r="A3115" s="62" t="n">
        <v>3114</v>
      </c>
      <c r="B3115" s="63" t="n">
        <v>46298.9601041667</v>
      </c>
      <c r="C3115" s="64" t="n">
        <v>46298</v>
      </c>
      <c r="D3115" s="62" t="s">
        <v>358</v>
      </c>
      <c r="E3115" s="62" t="s">
        <v>2959</v>
      </c>
      <c r="F3115" s="62" t="s">
        <v>2959</v>
      </c>
      <c r="G3115" s="62" t="s">
        <v>2960</v>
      </c>
      <c r="H3115" s="62" t="s">
        <v>58</v>
      </c>
      <c r="I3115" s="62" t="s">
        <v>49</v>
      </c>
      <c r="J3115" s="62" t="s">
        <v>146</v>
      </c>
      <c r="K3115" s="62" t="s">
        <v>175</v>
      </c>
      <c r="L3115" s="62" t="s">
        <v>4</v>
      </c>
      <c r="M3115" s="62" t="n">
        <v>1</v>
      </c>
      <c r="N3115" s="62" t="n">
        <v>0</v>
      </c>
      <c r="O3115" s="62" t="n">
        <v>1</v>
      </c>
      <c r="P3115" s="62" t="n">
        <v>0</v>
      </c>
      <c r="Q3115" s="62" t="n">
        <v>0</v>
      </c>
      <c r="R3115" s="62" t="n">
        <v>0</v>
      </c>
      <c r="S3115" s="62" t="n">
        <v>0</v>
      </c>
      <c r="T3115" s="62" t="n">
        <v>0</v>
      </c>
      <c r="U3115" s="62" t="s">
        <v>15</v>
      </c>
      <c r="V3115" s="62" t="s">
        <v>2057</v>
      </c>
      <c r="W3115" s="62" t="s">
        <v>15</v>
      </c>
      <c r="X3115" s="62" t="s">
        <v>2058</v>
      </c>
      <c r="Y3115" s="62" t="s">
        <v>2103</v>
      </c>
      <c r="Z3115" s="62" t="s">
        <v>5653</v>
      </c>
      <c r="AA3115" s="62" t="s">
        <v>5654</v>
      </c>
      <c r="AB3115" s="62" t="n">
        <v>1</v>
      </c>
      <c r="AC3115" s="62" t="n">
        <v>1</v>
      </c>
      <c r="AD3115" s="62" t="n">
        <v>1</v>
      </c>
      <c r="AE3115" s="62" t="n">
        <f aca="false">IF(AND(Dashboard!$C$9="Yes",AC3115=1),0,1)</f>
        <v>0</v>
      </c>
      <c r="AF3115" s="62" t="n">
        <v>0</v>
      </c>
    </row>
    <row r="3116" customFormat="false" ht="15" hidden="false" customHeight="false" outlineLevel="0" collapsed="false">
      <c r="A3116" s="62" t="n">
        <v>3115</v>
      </c>
      <c r="B3116" s="63" t="n">
        <v>46298.9603125</v>
      </c>
      <c r="C3116" s="64" t="n">
        <v>46298</v>
      </c>
      <c r="D3116" s="62" t="s">
        <v>358</v>
      </c>
      <c r="E3116" s="62" t="s">
        <v>3226</v>
      </c>
      <c r="F3116" s="62" t="s">
        <v>3226</v>
      </c>
      <c r="G3116" s="62" t="s">
        <v>3227</v>
      </c>
      <c r="H3116" s="62" t="s">
        <v>46</v>
      </c>
      <c r="I3116" s="62" t="s">
        <v>47</v>
      </c>
      <c r="J3116" s="62" t="s">
        <v>146</v>
      </c>
      <c r="K3116" s="62" t="s">
        <v>209</v>
      </c>
      <c r="L3116" s="62" t="s">
        <v>148</v>
      </c>
      <c r="M3116" s="62" t="n">
        <v>0</v>
      </c>
      <c r="N3116" s="62" t="n">
        <v>2</v>
      </c>
      <c r="O3116" s="62" t="n">
        <v>2</v>
      </c>
      <c r="P3116" s="62" t="n">
        <v>1</v>
      </c>
      <c r="Q3116" s="62" t="n">
        <v>1</v>
      </c>
      <c r="R3116" s="62" t="n">
        <v>0</v>
      </c>
      <c r="S3116" s="62" t="n">
        <v>0</v>
      </c>
      <c r="T3116" s="62" t="n">
        <v>0</v>
      </c>
      <c r="U3116" s="62"/>
      <c r="V3116" s="62"/>
      <c r="W3116" s="62"/>
      <c r="X3116" s="62"/>
      <c r="Y3116" s="62"/>
      <c r="Z3116" s="62" t="s">
        <v>5666</v>
      </c>
      <c r="AA3116" s="62" t="s">
        <v>5667</v>
      </c>
      <c r="AB3116" s="62" t="n">
        <v>1</v>
      </c>
      <c r="AC3116" s="62" t="n">
        <v>0</v>
      </c>
      <c r="AD3116" s="62" t="n">
        <v>1</v>
      </c>
      <c r="AE3116" s="62" t="n">
        <f aca="false">IF(AND(Dashboard!$C$9="Yes",AC3116=1),0,1)</f>
        <v>1</v>
      </c>
      <c r="AF3116" s="62" t="n">
        <v>1</v>
      </c>
    </row>
    <row r="3117" customFormat="false" ht="15" hidden="false" customHeight="false" outlineLevel="0" collapsed="false">
      <c r="A3117" s="62" t="n">
        <v>3116</v>
      </c>
      <c r="B3117" s="63" t="n">
        <v>46298.9615740741</v>
      </c>
      <c r="C3117" s="64" t="n">
        <v>46298</v>
      </c>
      <c r="D3117" s="62" t="s">
        <v>358</v>
      </c>
      <c r="E3117" s="62" t="s">
        <v>2959</v>
      </c>
      <c r="F3117" s="62" t="s">
        <v>2959</v>
      </c>
      <c r="G3117" s="62" t="s">
        <v>2960</v>
      </c>
      <c r="H3117" s="62" t="s">
        <v>58</v>
      </c>
      <c r="I3117" s="62" t="s">
        <v>49</v>
      </c>
      <c r="J3117" s="62" t="s">
        <v>146</v>
      </c>
      <c r="K3117" s="62" t="s">
        <v>175</v>
      </c>
      <c r="L3117" s="62" t="s">
        <v>4</v>
      </c>
      <c r="M3117" s="62" t="n">
        <v>4</v>
      </c>
      <c r="N3117" s="62" t="n">
        <v>0</v>
      </c>
      <c r="O3117" s="62" t="n">
        <v>4</v>
      </c>
      <c r="P3117" s="62" t="n">
        <v>0</v>
      </c>
      <c r="Q3117" s="62" t="n">
        <v>0</v>
      </c>
      <c r="R3117" s="62" t="n">
        <v>0</v>
      </c>
      <c r="S3117" s="62" t="n">
        <v>0</v>
      </c>
      <c r="T3117" s="62" t="n">
        <v>0</v>
      </c>
      <c r="U3117" s="62" t="s">
        <v>15</v>
      </c>
      <c r="V3117" s="62" t="s">
        <v>2057</v>
      </c>
      <c r="W3117" s="62" t="s">
        <v>15</v>
      </c>
      <c r="X3117" s="62" t="s">
        <v>2058</v>
      </c>
      <c r="Y3117" s="62" t="s">
        <v>2103</v>
      </c>
      <c r="Z3117" s="62" t="s">
        <v>5653</v>
      </c>
      <c r="AA3117" s="62" t="s">
        <v>5668</v>
      </c>
      <c r="AB3117" s="62" t="n">
        <v>0</v>
      </c>
      <c r="AC3117" s="62" t="n">
        <v>0</v>
      </c>
      <c r="AD3117" s="62" t="n">
        <v>1</v>
      </c>
      <c r="AE3117" s="62" t="n">
        <f aca="false">IF(AND(Dashboard!$C$9="Yes",AC3117=1),0,1)</f>
        <v>1</v>
      </c>
      <c r="AF3117" s="62" t="n">
        <v>0</v>
      </c>
    </row>
    <row r="3118" customFormat="false" ht="15" hidden="false" customHeight="false" outlineLevel="0" collapsed="false">
      <c r="A3118" s="62" t="n">
        <v>3117</v>
      </c>
      <c r="B3118" s="63" t="n">
        <v>46298.9751041667</v>
      </c>
      <c r="C3118" s="64" t="n">
        <v>46298</v>
      </c>
      <c r="D3118" s="62" t="s">
        <v>358</v>
      </c>
      <c r="E3118" s="62" t="s">
        <v>884</v>
      </c>
      <c r="F3118" s="62" t="s">
        <v>884</v>
      </c>
      <c r="G3118" s="62" t="s">
        <v>885</v>
      </c>
      <c r="H3118" s="62" t="s">
        <v>46</v>
      </c>
      <c r="I3118" s="62" t="s">
        <v>47</v>
      </c>
      <c r="J3118" s="62" t="s">
        <v>146</v>
      </c>
      <c r="K3118" s="62" t="s">
        <v>209</v>
      </c>
      <c r="L3118" s="62" t="s">
        <v>148</v>
      </c>
      <c r="M3118" s="62" t="n">
        <v>0</v>
      </c>
      <c r="N3118" s="62" t="n">
        <v>2</v>
      </c>
      <c r="O3118" s="62" t="n">
        <v>2</v>
      </c>
      <c r="P3118" s="62" t="n">
        <v>1</v>
      </c>
      <c r="Q3118" s="62" t="n">
        <v>0</v>
      </c>
      <c r="R3118" s="62" t="n">
        <v>0</v>
      </c>
      <c r="S3118" s="62" t="n">
        <v>0</v>
      </c>
      <c r="T3118" s="62" t="n">
        <v>1</v>
      </c>
      <c r="U3118" s="62"/>
      <c r="V3118" s="62"/>
      <c r="W3118" s="62"/>
      <c r="X3118" s="62"/>
      <c r="Y3118" s="62"/>
      <c r="Z3118" s="62" t="s">
        <v>5669</v>
      </c>
      <c r="AA3118" s="62" t="s">
        <v>2070</v>
      </c>
      <c r="AB3118" s="62" t="n">
        <v>1</v>
      </c>
      <c r="AC3118" s="62" t="n">
        <v>0</v>
      </c>
      <c r="AD3118" s="62" t="n">
        <v>1</v>
      </c>
      <c r="AE3118" s="62" t="n">
        <f aca="false">IF(AND(Dashboard!$C$9="Yes",AC3118=1),0,1)</f>
        <v>1</v>
      </c>
      <c r="AF3118" s="62" t="n">
        <v>1</v>
      </c>
    </row>
    <row r="3119" customFormat="false" ht="15" hidden="false" customHeight="false" outlineLevel="0" collapsed="false">
      <c r="A3119" s="62" t="n">
        <v>3118</v>
      </c>
      <c r="B3119" s="63" t="n">
        <v>46298.9842939815</v>
      </c>
      <c r="C3119" s="64" t="n">
        <v>46298</v>
      </c>
      <c r="D3119" s="62" t="s">
        <v>358</v>
      </c>
      <c r="E3119" s="62" t="s">
        <v>2365</v>
      </c>
      <c r="F3119" s="62" t="s">
        <v>2365</v>
      </c>
      <c r="G3119" s="62" t="s">
        <v>2366</v>
      </c>
      <c r="H3119" s="62" t="s">
        <v>52</v>
      </c>
      <c r="I3119" s="62" t="s">
        <v>47</v>
      </c>
      <c r="J3119" s="62" t="s">
        <v>146</v>
      </c>
      <c r="K3119" s="62" t="s">
        <v>147</v>
      </c>
      <c r="L3119" s="62" t="s">
        <v>148</v>
      </c>
      <c r="M3119" s="62" t="n">
        <v>0</v>
      </c>
      <c r="N3119" s="62" t="n">
        <v>1</v>
      </c>
      <c r="O3119" s="62" t="n">
        <v>1</v>
      </c>
      <c r="P3119" s="62" t="n">
        <v>1</v>
      </c>
      <c r="Q3119" s="62" t="n">
        <v>0</v>
      </c>
      <c r="R3119" s="62" t="n">
        <v>0</v>
      </c>
      <c r="S3119" s="62" t="n">
        <v>0</v>
      </c>
      <c r="T3119" s="62" t="n">
        <v>0</v>
      </c>
      <c r="U3119" s="62"/>
      <c r="V3119" s="62"/>
      <c r="W3119" s="62"/>
      <c r="X3119" s="62"/>
      <c r="Y3119" s="62"/>
      <c r="Z3119" s="62" t="s">
        <v>5670</v>
      </c>
      <c r="AA3119" s="62" t="s">
        <v>5671</v>
      </c>
      <c r="AB3119" s="62" t="n">
        <v>1</v>
      </c>
      <c r="AC3119" s="62" t="n">
        <v>0</v>
      </c>
      <c r="AD3119" s="62" t="n">
        <v>1</v>
      </c>
      <c r="AE3119" s="62" t="n">
        <f aca="false">IF(AND(Dashboard!$C$9="Yes",AC3119=1),0,1)</f>
        <v>1</v>
      </c>
      <c r="AF3119" s="62" t="n">
        <v>1</v>
      </c>
    </row>
    <row r="3120" customFormat="false" ht="15" hidden="false" customHeight="false" outlineLevel="0" collapsed="false">
      <c r="A3120" s="62" t="n">
        <v>3119</v>
      </c>
      <c r="B3120" s="63" t="n">
        <v>46298.9971412037</v>
      </c>
      <c r="C3120" s="64" t="n">
        <v>46298</v>
      </c>
      <c r="D3120" s="62" t="s">
        <v>358</v>
      </c>
      <c r="E3120" s="62" t="s">
        <v>573</v>
      </c>
      <c r="F3120" s="62" t="s">
        <v>573</v>
      </c>
      <c r="G3120" s="62" t="s">
        <v>574</v>
      </c>
      <c r="H3120" s="62" t="s">
        <v>51</v>
      </c>
      <c r="I3120" s="62" t="s">
        <v>47</v>
      </c>
      <c r="J3120" s="62" t="s">
        <v>146</v>
      </c>
      <c r="K3120" s="62" t="s">
        <v>147</v>
      </c>
      <c r="L3120" s="62" t="s">
        <v>148</v>
      </c>
      <c r="M3120" s="62" t="n">
        <v>0</v>
      </c>
      <c r="N3120" s="62" t="n">
        <v>1</v>
      </c>
      <c r="O3120" s="62" t="n">
        <v>1</v>
      </c>
      <c r="P3120" s="62" t="n">
        <v>0</v>
      </c>
      <c r="Q3120" s="62" t="n">
        <v>1</v>
      </c>
      <c r="R3120" s="62" t="n">
        <v>0</v>
      </c>
      <c r="S3120" s="62" t="n">
        <v>0</v>
      </c>
      <c r="T3120" s="62" t="n">
        <v>0</v>
      </c>
      <c r="U3120" s="62"/>
      <c r="V3120" s="62"/>
      <c r="W3120" s="62"/>
      <c r="X3120" s="62"/>
      <c r="Y3120" s="62"/>
      <c r="Z3120" s="62" t="s">
        <v>5672</v>
      </c>
      <c r="AA3120" s="62" t="s">
        <v>5673</v>
      </c>
      <c r="AB3120" s="62" t="n">
        <v>1</v>
      </c>
      <c r="AC3120" s="62" t="n">
        <v>0</v>
      </c>
      <c r="AD3120" s="62" t="n">
        <v>1</v>
      </c>
      <c r="AE3120" s="62" t="n">
        <f aca="false">IF(AND(Dashboard!$C$9="Yes",AC3120=1),0,1)</f>
        <v>1</v>
      </c>
      <c r="AF3120" s="62" t="n">
        <v>0</v>
      </c>
    </row>
    <row r="3121" customFormat="false" ht="15" hidden="false" customHeight="false" outlineLevel="0" collapsed="false">
      <c r="A3121" s="62" t="n">
        <v>3120</v>
      </c>
      <c r="B3121" s="63" t="n">
        <v>46299.007337963</v>
      </c>
      <c r="C3121" s="64" t="n">
        <v>46298</v>
      </c>
      <c r="D3121" s="62" t="s">
        <v>358</v>
      </c>
      <c r="E3121" s="62" t="s">
        <v>156</v>
      </c>
      <c r="F3121" s="62" t="s">
        <v>156</v>
      </c>
      <c r="G3121" s="62" t="s">
        <v>157</v>
      </c>
      <c r="H3121" s="62" t="s">
        <v>51</v>
      </c>
      <c r="I3121" s="62" t="s">
        <v>47</v>
      </c>
      <c r="J3121" s="62" t="s">
        <v>146</v>
      </c>
      <c r="K3121" s="62" t="s">
        <v>147</v>
      </c>
      <c r="L3121" s="62" t="s">
        <v>148</v>
      </c>
      <c r="M3121" s="62" t="n">
        <v>0</v>
      </c>
      <c r="N3121" s="62" t="n">
        <v>1</v>
      </c>
      <c r="O3121" s="62" t="n">
        <v>1</v>
      </c>
      <c r="P3121" s="62" t="n">
        <v>1</v>
      </c>
      <c r="Q3121" s="62" t="n">
        <v>0</v>
      </c>
      <c r="R3121" s="62" t="n">
        <v>0</v>
      </c>
      <c r="S3121" s="62" t="n">
        <v>0</v>
      </c>
      <c r="T3121" s="62" t="n">
        <v>0</v>
      </c>
      <c r="U3121" s="62"/>
      <c r="V3121" s="62"/>
      <c r="W3121" s="62"/>
      <c r="X3121" s="62"/>
      <c r="Y3121" s="62"/>
      <c r="Z3121" s="62" t="s">
        <v>5674</v>
      </c>
      <c r="AA3121" s="62" t="s">
        <v>5675</v>
      </c>
      <c r="AB3121" s="62" t="n">
        <v>1</v>
      </c>
      <c r="AC3121" s="62" t="n">
        <v>0</v>
      </c>
      <c r="AD3121" s="62" t="n">
        <v>1</v>
      </c>
      <c r="AE3121" s="62" t="n">
        <f aca="false">IF(AND(Dashboard!$C$9="Yes",AC3121=1),0,1)</f>
        <v>1</v>
      </c>
      <c r="AF3121" s="62" t="n">
        <v>1</v>
      </c>
    </row>
    <row r="3122" customFormat="false" ht="15" hidden="false" customHeight="false" outlineLevel="0" collapsed="false">
      <c r="A3122" s="62" t="n">
        <v>3121</v>
      </c>
      <c r="B3122" s="63" t="n">
        <v>46299.0159259259</v>
      </c>
      <c r="C3122" s="64" t="n">
        <v>46298</v>
      </c>
      <c r="D3122" s="62" t="s">
        <v>358</v>
      </c>
      <c r="E3122" s="62" t="s">
        <v>518</v>
      </c>
      <c r="F3122" s="62" t="s">
        <v>518</v>
      </c>
      <c r="G3122" s="62" t="s">
        <v>519</v>
      </c>
      <c r="H3122" s="62" t="s">
        <v>52</v>
      </c>
      <c r="I3122" s="62" t="s">
        <v>47</v>
      </c>
      <c r="J3122" s="62" t="s">
        <v>146</v>
      </c>
      <c r="K3122" s="62" t="s">
        <v>147</v>
      </c>
      <c r="L3122" s="62" t="s">
        <v>148</v>
      </c>
      <c r="M3122" s="62" t="n">
        <v>0</v>
      </c>
      <c r="N3122" s="62" t="n">
        <v>1</v>
      </c>
      <c r="O3122" s="62" t="n">
        <v>1</v>
      </c>
      <c r="P3122" s="62" t="n">
        <v>1</v>
      </c>
      <c r="Q3122" s="62" t="n">
        <v>0</v>
      </c>
      <c r="R3122" s="62" t="n">
        <v>0</v>
      </c>
      <c r="S3122" s="62" t="n">
        <v>0</v>
      </c>
      <c r="T3122" s="62" t="n">
        <v>0</v>
      </c>
      <c r="U3122" s="62"/>
      <c r="V3122" s="62"/>
      <c r="W3122" s="62"/>
      <c r="X3122" s="62"/>
      <c r="Y3122" s="62"/>
      <c r="Z3122" s="62" t="s">
        <v>5676</v>
      </c>
      <c r="AA3122" s="62" t="s">
        <v>5677</v>
      </c>
      <c r="AB3122" s="62" t="n">
        <v>1</v>
      </c>
      <c r="AC3122" s="62" t="n">
        <v>0</v>
      </c>
      <c r="AD3122" s="62" t="n">
        <v>1</v>
      </c>
      <c r="AE3122" s="62" t="n">
        <f aca="false">IF(AND(Dashboard!$C$9="Yes",AC3122=1),0,1)</f>
        <v>1</v>
      </c>
      <c r="AF3122" s="62" t="n">
        <v>1</v>
      </c>
    </row>
    <row r="3123" customFormat="false" ht="15" hidden="false" customHeight="false" outlineLevel="0" collapsed="false">
      <c r="A3123" s="62" t="n">
        <v>3122</v>
      </c>
      <c r="B3123" s="63" t="n">
        <v>46299.0170486111</v>
      </c>
      <c r="C3123" s="64" t="n">
        <v>46298</v>
      </c>
      <c r="D3123" s="62" t="s">
        <v>358</v>
      </c>
      <c r="E3123" s="62" t="s">
        <v>144</v>
      </c>
      <c r="F3123" s="62" t="s">
        <v>144</v>
      </c>
      <c r="G3123" s="62" t="s">
        <v>145</v>
      </c>
      <c r="H3123" s="62" t="s">
        <v>59</v>
      </c>
      <c r="I3123" s="62" t="s">
        <v>47</v>
      </c>
      <c r="J3123" s="62" t="s">
        <v>146</v>
      </c>
      <c r="K3123" s="62" t="s">
        <v>147</v>
      </c>
      <c r="L3123" s="62" t="s">
        <v>4</v>
      </c>
      <c r="M3123" s="62" t="n">
        <v>1</v>
      </c>
      <c r="N3123" s="62" t="n">
        <v>0</v>
      </c>
      <c r="O3123" s="62" t="n">
        <v>1</v>
      </c>
      <c r="P3123" s="62" t="n">
        <v>0</v>
      </c>
      <c r="Q3123" s="62" t="n">
        <v>0</v>
      </c>
      <c r="R3123" s="62" t="n">
        <v>0</v>
      </c>
      <c r="S3123" s="62" t="n">
        <v>0</v>
      </c>
      <c r="T3123" s="62" t="n">
        <v>0</v>
      </c>
      <c r="U3123" s="62" t="s">
        <v>2056</v>
      </c>
      <c r="V3123" s="62" t="s">
        <v>2068</v>
      </c>
      <c r="W3123" s="62"/>
      <c r="X3123" s="62" t="s">
        <v>2125</v>
      </c>
      <c r="Y3123" s="62" t="s">
        <v>2181</v>
      </c>
      <c r="Z3123" s="62" t="s">
        <v>5678</v>
      </c>
      <c r="AA3123" s="62" t="s">
        <v>5679</v>
      </c>
      <c r="AB3123" s="62" t="n">
        <v>1</v>
      </c>
      <c r="AC3123" s="62" t="n">
        <v>0</v>
      </c>
      <c r="AD3123" s="62" t="n">
        <v>1</v>
      </c>
      <c r="AE3123" s="62" t="n">
        <f aca="false">IF(AND(Dashboard!$C$9="Yes",AC3123=1),0,1)</f>
        <v>1</v>
      </c>
      <c r="AF3123" s="62" t="n">
        <v>1</v>
      </c>
    </row>
    <row r="3124" customFormat="false" ht="15" hidden="false" customHeight="false" outlineLevel="0" collapsed="false">
      <c r="A3124" s="62" t="n">
        <v>3123</v>
      </c>
      <c r="B3124" s="63" t="n">
        <v>46299.0173611111</v>
      </c>
      <c r="C3124" s="64" t="n">
        <v>46298</v>
      </c>
      <c r="D3124" s="62" t="s">
        <v>358</v>
      </c>
      <c r="E3124" s="62" t="s">
        <v>144</v>
      </c>
      <c r="F3124" s="62" t="s">
        <v>144</v>
      </c>
      <c r="G3124" s="62" t="s">
        <v>145</v>
      </c>
      <c r="H3124" s="62" t="s">
        <v>59</v>
      </c>
      <c r="I3124" s="62" t="s">
        <v>47</v>
      </c>
      <c r="J3124" s="62" t="s">
        <v>146</v>
      </c>
      <c r="K3124" s="62" t="s">
        <v>147</v>
      </c>
      <c r="L3124" s="62" t="s">
        <v>4</v>
      </c>
      <c r="M3124" s="62" t="n">
        <v>1</v>
      </c>
      <c r="N3124" s="62" t="n">
        <v>0</v>
      </c>
      <c r="O3124" s="62" t="n">
        <v>1</v>
      </c>
      <c r="P3124" s="62" t="n">
        <v>0</v>
      </c>
      <c r="Q3124" s="62" t="n">
        <v>0</v>
      </c>
      <c r="R3124" s="62" t="n">
        <v>0</v>
      </c>
      <c r="S3124" s="62" t="n">
        <v>0</v>
      </c>
      <c r="T3124" s="62" t="n">
        <v>0</v>
      </c>
      <c r="U3124" s="62" t="s">
        <v>2056</v>
      </c>
      <c r="V3124" s="62" t="s">
        <v>2068</v>
      </c>
      <c r="W3124" s="62"/>
      <c r="X3124" s="62" t="s">
        <v>2125</v>
      </c>
      <c r="Y3124" s="62" t="s">
        <v>2181</v>
      </c>
      <c r="Z3124" s="62" t="s">
        <v>5678</v>
      </c>
      <c r="AA3124" s="62" t="s">
        <v>5679</v>
      </c>
      <c r="AB3124" s="62" t="n">
        <v>1</v>
      </c>
      <c r="AC3124" s="62" t="n">
        <v>1</v>
      </c>
      <c r="AD3124" s="62" t="n">
        <v>1</v>
      </c>
      <c r="AE3124" s="62" t="n">
        <f aca="false">IF(AND(Dashboard!$C$9="Yes",AC3124=1),0,1)</f>
        <v>0</v>
      </c>
      <c r="AF3124" s="62" t="n">
        <v>0</v>
      </c>
    </row>
    <row r="3125" customFormat="false" ht="15" hidden="false" customHeight="false" outlineLevel="0" collapsed="false">
      <c r="A3125" s="62" t="n">
        <v>3124</v>
      </c>
      <c r="B3125" s="63" t="n">
        <v>46299.0180902778</v>
      </c>
      <c r="C3125" s="64" t="n">
        <v>46298</v>
      </c>
      <c r="D3125" s="62" t="s">
        <v>358</v>
      </c>
      <c r="E3125" s="62" t="s">
        <v>144</v>
      </c>
      <c r="F3125" s="62" t="s">
        <v>144</v>
      </c>
      <c r="G3125" s="62" t="s">
        <v>145</v>
      </c>
      <c r="H3125" s="62" t="s">
        <v>59</v>
      </c>
      <c r="I3125" s="62" t="s">
        <v>47</v>
      </c>
      <c r="J3125" s="62" t="s">
        <v>146</v>
      </c>
      <c r="K3125" s="62" t="s">
        <v>147</v>
      </c>
      <c r="L3125" s="62" t="s">
        <v>4</v>
      </c>
      <c r="M3125" s="62" t="n">
        <v>1</v>
      </c>
      <c r="N3125" s="62" t="n">
        <v>0</v>
      </c>
      <c r="O3125" s="62" t="n">
        <v>1</v>
      </c>
      <c r="P3125" s="62" t="n">
        <v>0</v>
      </c>
      <c r="Q3125" s="62" t="n">
        <v>0</v>
      </c>
      <c r="R3125" s="62" t="n">
        <v>0</v>
      </c>
      <c r="S3125" s="62" t="n">
        <v>0</v>
      </c>
      <c r="T3125" s="62" t="n">
        <v>0</v>
      </c>
      <c r="U3125" s="62" t="s">
        <v>2056</v>
      </c>
      <c r="V3125" s="62" t="s">
        <v>2068</v>
      </c>
      <c r="W3125" s="62"/>
      <c r="X3125" s="62" t="s">
        <v>2125</v>
      </c>
      <c r="Y3125" s="62" t="s">
        <v>2399</v>
      </c>
      <c r="Z3125" s="62" t="s">
        <v>5678</v>
      </c>
      <c r="AA3125" s="62" t="s">
        <v>5679</v>
      </c>
      <c r="AB3125" s="62" t="n">
        <v>1</v>
      </c>
      <c r="AC3125" s="62" t="n">
        <v>1</v>
      </c>
      <c r="AD3125" s="62" t="n">
        <v>1</v>
      </c>
      <c r="AE3125" s="62" t="n">
        <f aca="false">IF(AND(Dashboard!$C$9="Yes",AC3125=1),0,1)</f>
        <v>0</v>
      </c>
      <c r="AF3125" s="62" t="n">
        <v>0</v>
      </c>
    </row>
    <row r="3126" customFormat="false" ht="15" hidden="false" customHeight="false" outlineLevel="0" collapsed="false">
      <c r="A3126" s="62" t="n">
        <v>3125</v>
      </c>
      <c r="B3126" s="63" t="n">
        <v>46299.0185416667</v>
      </c>
      <c r="C3126" s="64" t="n">
        <v>46298</v>
      </c>
      <c r="D3126" s="62" t="s">
        <v>358</v>
      </c>
      <c r="E3126" s="62" t="s">
        <v>4016</v>
      </c>
      <c r="F3126" s="62" t="s">
        <v>4016</v>
      </c>
      <c r="G3126" s="62" t="s">
        <v>4017</v>
      </c>
      <c r="H3126" s="62" t="s">
        <v>48</v>
      </c>
      <c r="I3126" s="62" t="s">
        <v>49</v>
      </c>
      <c r="J3126" s="62" t="s">
        <v>146</v>
      </c>
      <c r="K3126" s="62" t="s">
        <v>209</v>
      </c>
      <c r="L3126" s="62" t="s">
        <v>4</v>
      </c>
      <c r="M3126" s="62" t="n">
        <v>1</v>
      </c>
      <c r="N3126" s="62" t="n">
        <v>0</v>
      </c>
      <c r="O3126" s="62" t="n">
        <v>1</v>
      </c>
      <c r="P3126" s="62" t="n">
        <v>0</v>
      </c>
      <c r="Q3126" s="62" t="n">
        <v>0</v>
      </c>
      <c r="R3126" s="62" t="n">
        <v>0</v>
      </c>
      <c r="S3126" s="62" t="n">
        <v>0</v>
      </c>
      <c r="T3126" s="62" t="n">
        <v>0</v>
      </c>
      <c r="U3126" s="62" t="s">
        <v>2056</v>
      </c>
      <c r="V3126" s="62" t="s">
        <v>2057</v>
      </c>
      <c r="W3126" s="62" t="s">
        <v>15</v>
      </c>
      <c r="X3126" s="62" t="s">
        <v>2058</v>
      </c>
      <c r="Y3126" s="62" t="s">
        <v>2059</v>
      </c>
      <c r="Z3126" s="62" t="s">
        <v>5680</v>
      </c>
      <c r="AA3126" s="62" t="s">
        <v>5681</v>
      </c>
      <c r="AB3126" s="62" t="n">
        <v>1</v>
      </c>
      <c r="AC3126" s="62" t="n">
        <v>0</v>
      </c>
      <c r="AD3126" s="62" t="n">
        <v>1</v>
      </c>
      <c r="AE3126" s="62" t="n">
        <f aca="false">IF(AND(Dashboard!$C$9="Yes",AC3126=1),0,1)</f>
        <v>1</v>
      </c>
      <c r="AF3126" s="62" t="n">
        <v>1</v>
      </c>
    </row>
    <row r="3127" customFormat="false" ht="15" hidden="false" customHeight="false" outlineLevel="0" collapsed="false">
      <c r="A3127" s="62" t="n">
        <v>3126</v>
      </c>
      <c r="B3127" s="63" t="n">
        <v>46299.0466550926</v>
      </c>
      <c r="C3127" s="64" t="n">
        <v>46298</v>
      </c>
      <c r="D3127" s="62" t="s">
        <v>358</v>
      </c>
      <c r="E3127" s="62" t="s">
        <v>2620</v>
      </c>
      <c r="F3127" s="62" t="s">
        <v>2620</v>
      </c>
      <c r="G3127" s="62" t="s">
        <v>2621</v>
      </c>
      <c r="H3127" s="62" t="s">
        <v>48</v>
      </c>
      <c r="I3127" s="62" t="s">
        <v>49</v>
      </c>
      <c r="J3127" s="62" t="s">
        <v>146</v>
      </c>
      <c r="K3127" s="62" t="s">
        <v>209</v>
      </c>
      <c r="L3127" s="62" t="s">
        <v>148</v>
      </c>
      <c r="M3127" s="62" t="n">
        <v>0</v>
      </c>
      <c r="N3127" s="62" t="n">
        <v>1</v>
      </c>
      <c r="O3127" s="62" t="n">
        <v>1</v>
      </c>
      <c r="P3127" s="62" t="n">
        <v>1</v>
      </c>
      <c r="Q3127" s="62" t="n">
        <v>0</v>
      </c>
      <c r="R3127" s="62" t="n">
        <v>0</v>
      </c>
      <c r="S3127" s="62" t="n">
        <v>0</v>
      </c>
      <c r="T3127" s="62" t="n">
        <v>0</v>
      </c>
      <c r="U3127" s="62"/>
      <c r="V3127" s="62"/>
      <c r="W3127" s="62"/>
      <c r="X3127" s="62"/>
      <c r="Y3127" s="62"/>
      <c r="Z3127" s="62" t="s">
        <v>5682</v>
      </c>
      <c r="AA3127" s="62" t="s">
        <v>5683</v>
      </c>
      <c r="AB3127" s="62" t="n">
        <v>1</v>
      </c>
      <c r="AC3127" s="62" t="n">
        <v>0</v>
      </c>
      <c r="AD3127" s="62" t="n">
        <v>1</v>
      </c>
      <c r="AE3127" s="62" t="n">
        <f aca="false">IF(AND(Dashboard!$C$9="Yes",AC3127=1),0,1)</f>
        <v>1</v>
      </c>
      <c r="AF3127" s="62" t="n">
        <v>1</v>
      </c>
    </row>
    <row r="3128" customFormat="false" ht="15" hidden="false" customHeight="false" outlineLevel="0" collapsed="false">
      <c r="A3128" s="62" t="n">
        <v>3127</v>
      </c>
      <c r="B3128" s="63" t="n">
        <v>46299.0476157407</v>
      </c>
      <c r="C3128" s="64" t="n">
        <v>46298</v>
      </c>
      <c r="D3128" s="62" t="s">
        <v>358</v>
      </c>
      <c r="E3128" s="62" t="s">
        <v>144</v>
      </c>
      <c r="F3128" s="62" t="s">
        <v>144</v>
      </c>
      <c r="G3128" s="62" t="s">
        <v>145</v>
      </c>
      <c r="H3128" s="62" t="s">
        <v>59</v>
      </c>
      <c r="I3128" s="62" t="s">
        <v>47</v>
      </c>
      <c r="J3128" s="62" t="s">
        <v>146</v>
      </c>
      <c r="K3128" s="62" t="s">
        <v>147</v>
      </c>
      <c r="L3128" s="62" t="s">
        <v>4</v>
      </c>
      <c r="M3128" s="62" t="n">
        <v>1</v>
      </c>
      <c r="N3128" s="62" t="n">
        <v>0</v>
      </c>
      <c r="O3128" s="62" t="n">
        <v>1</v>
      </c>
      <c r="P3128" s="62" t="n">
        <v>0</v>
      </c>
      <c r="Q3128" s="62" t="n">
        <v>0</v>
      </c>
      <c r="R3128" s="62" t="n">
        <v>0</v>
      </c>
      <c r="S3128" s="62" t="n">
        <v>0</v>
      </c>
      <c r="T3128" s="62" t="n">
        <v>0</v>
      </c>
      <c r="U3128" s="62" t="s">
        <v>2056</v>
      </c>
      <c r="V3128" s="62" t="s">
        <v>2057</v>
      </c>
      <c r="W3128" s="62" t="s">
        <v>15</v>
      </c>
      <c r="X3128" s="62" t="s">
        <v>2058</v>
      </c>
      <c r="Y3128" s="62" t="s">
        <v>2059</v>
      </c>
      <c r="Z3128" s="62" t="s">
        <v>5684</v>
      </c>
      <c r="AA3128" s="62" t="s">
        <v>5685</v>
      </c>
      <c r="AB3128" s="62" t="n">
        <v>1</v>
      </c>
      <c r="AC3128" s="62" t="n">
        <v>0</v>
      </c>
      <c r="AD3128" s="62" t="n">
        <v>1</v>
      </c>
      <c r="AE3128" s="62" t="n">
        <f aca="false">IF(AND(Dashboard!$C$9="Yes",AC3128=1),0,1)</f>
        <v>1</v>
      </c>
      <c r="AF3128" s="62" t="n">
        <v>0</v>
      </c>
    </row>
    <row r="3129" customFormat="false" ht="15" hidden="false" customHeight="false" outlineLevel="0" collapsed="false">
      <c r="A3129" s="62" t="n">
        <v>3128</v>
      </c>
      <c r="B3129" s="63" t="n">
        <v>46299.0480671296</v>
      </c>
      <c r="C3129" s="64" t="n">
        <v>46298</v>
      </c>
      <c r="D3129" s="62" t="s">
        <v>358</v>
      </c>
      <c r="E3129" s="62" t="s">
        <v>144</v>
      </c>
      <c r="F3129" s="62" t="s">
        <v>144</v>
      </c>
      <c r="G3129" s="62" t="s">
        <v>145</v>
      </c>
      <c r="H3129" s="62" t="s">
        <v>59</v>
      </c>
      <c r="I3129" s="62" t="s">
        <v>47</v>
      </c>
      <c r="J3129" s="62" t="s">
        <v>146</v>
      </c>
      <c r="K3129" s="62" t="s">
        <v>147</v>
      </c>
      <c r="L3129" s="62" t="s">
        <v>4</v>
      </c>
      <c r="M3129" s="62" t="n">
        <v>1</v>
      </c>
      <c r="N3129" s="62" t="n">
        <v>0</v>
      </c>
      <c r="O3129" s="62" t="n">
        <v>1</v>
      </c>
      <c r="P3129" s="62" t="n">
        <v>0</v>
      </c>
      <c r="Q3129" s="62" t="n">
        <v>0</v>
      </c>
      <c r="R3129" s="62" t="n">
        <v>0</v>
      </c>
      <c r="S3129" s="62" t="n">
        <v>0</v>
      </c>
      <c r="T3129" s="62" t="n">
        <v>0</v>
      </c>
      <c r="U3129" s="62" t="s">
        <v>2056</v>
      </c>
      <c r="V3129" s="62" t="s">
        <v>2057</v>
      </c>
      <c r="W3129" s="62" t="s">
        <v>15</v>
      </c>
      <c r="X3129" s="62" t="s">
        <v>2058</v>
      </c>
      <c r="Y3129" s="62" t="s">
        <v>2059</v>
      </c>
      <c r="Z3129" s="62" t="s">
        <v>5684</v>
      </c>
      <c r="AA3129" s="62" t="s">
        <v>5685</v>
      </c>
      <c r="AB3129" s="62" t="n">
        <v>1</v>
      </c>
      <c r="AC3129" s="62" t="n">
        <v>1</v>
      </c>
      <c r="AD3129" s="62" t="n">
        <v>1</v>
      </c>
      <c r="AE3129" s="62" t="n">
        <f aca="false">IF(AND(Dashboard!$C$9="Yes",AC3129=1),0,1)</f>
        <v>0</v>
      </c>
      <c r="AF3129" s="62" t="n">
        <v>0</v>
      </c>
    </row>
    <row r="3130" customFormat="false" ht="15" hidden="false" customHeight="false" outlineLevel="0" collapsed="false">
      <c r="A3130" s="62" t="n">
        <v>3129</v>
      </c>
      <c r="B3130" s="63" t="n">
        <v>46299.0485648148</v>
      </c>
      <c r="C3130" s="64" t="n">
        <v>46298</v>
      </c>
      <c r="D3130" s="62" t="s">
        <v>358</v>
      </c>
      <c r="E3130" s="62" t="s">
        <v>144</v>
      </c>
      <c r="F3130" s="62" t="s">
        <v>144</v>
      </c>
      <c r="G3130" s="62" t="s">
        <v>145</v>
      </c>
      <c r="H3130" s="62" t="s">
        <v>59</v>
      </c>
      <c r="I3130" s="62" t="s">
        <v>47</v>
      </c>
      <c r="J3130" s="62" t="s">
        <v>146</v>
      </c>
      <c r="K3130" s="62" t="s">
        <v>147</v>
      </c>
      <c r="L3130" s="62" t="s">
        <v>4</v>
      </c>
      <c r="M3130" s="62" t="n">
        <v>1</v>
      </c>
      <c r="N3130" s="62" t="n">
        <v>0</v>
      </c>
      <c r="O3130" s="62" t="n">
        <v>1</v>
      </c>
      <c r="P3130" s="62" t="n">
        <v>0</v>
      </c>
      <c r="Q3130" s="62" t="n">
        <v>0</v>
      </c>
      <c r="R3130" s="62" t="n">
        <v>0</v>
      </c>
      <c r="S3130" s="62" t="n">
        <v>0</v>
      </c>
      <c r="T3130" s="62" t="n">
        <v>0</v>
      </c>
      <c r="U3130" s="62" t="s">
        <v>2056</v>
      </c>
      <c r="V3130" s="62" t="s">
        <v>2057</v>
      </c>
      <c r="W3130" s="62" t="s">
        <v>15</v>
      </c>
      <c r="X3130" s="62" t="s">
        <v>2058</v>
      </c>
      <c r="Y3130" s="62" t="s">
        <v>2059</v>
      </c>
      <c r="Z3130" s="62" t="s">
        <v>5684</v>
      </c>
      <c r="AA3130" s="62" t="s">
        <v>5685</v>
      </c>
      <c r="AB3130" s="62" t="n">
        <v>1</v>
      </c>
      <c r="AC3130" s="62" t="n">
        <v>1</v>
      </c>
      <c r="AD3130" s="62" t="n">
        <v>1</v>
      </c>
      <c r="AE3130" s="62" t="n">
        <f aca="false">IF(AND(Dashboard!$C$9="Yes",AC3130=1),0,1)</f>
        <v>0</v>
      </c>
      <c r="AF3130" s="62" t="n">
        <v>0</v>
      </c>
    </row>
    <row r="3131" customFormat="false" ht="15" hidden="false" customHeight="false" outlineLevel="0" collapsed="false">
      <c r="A3131" s="62" t="n">
        <v>3130</v>
      </c>
      <c r="B3131" s="63" t="n">
        <v>46299.0616898148</v>
      </c>
      <c r="C3131" s="64" t="n">
        <v>46298</v>
      </c>
      <c r="D3131" s="62" t="s">
        <v>358</v>
      </c>
      <c r="E3131" s="62" t="s">
        <v>518</v>
      </c>
      <c r="F3131" s="62" t="s">
        <v>518</v>
      </c>
      <c r="G3131" s="62" t="s">
        <v>519</v>
      </c>
      <c r="H3131" s="62" t="s">
        <v>52</v>
      </c>
      <c r="I3131" s="62" t="s">
        <v>47</v>
      </c>
      <c r="J3131" s="62" t="s">
        <v>146</v>
      </c>
      <c r="K3131" s="62" t="s">
        <v>147</v>
      </c>
      <c r="L3131" s="62" t="s">
        <v>148</v>
      </c>
      <c r="M3131" s="62" t="n">
        <v>0</v>
      </c>
      <c r="N3131" s="62" t="n">
        <v>1</v>
      </c>
      <c r="O3131" s="62" t="n">
        <v>1</v>
      </c>
      <c r="P3131" s="62" t="n">
        <v>0</v>
      </c>
      <c r="Q3131" s="62" t="n">
        <v>0</v>
      </c>
      <c r="R3131" s="62" t="n">
        <v>1</v>
      </c>
      <c r="S3131" s="62" t="n">
        <v>0</v>
      </c>
      <c r="T3131" s="62" t="n">
        <v>0</v>
      </c>
      <c r="U3131" s="62"/>
      <c r="V3131" s="62"/>
      <c r="W3131" s="62"/>
      <c r="X3131" s="62"/>
      <c r="Y3131" s="62"/>
      <c r="Z3131" s="62" t="s">
        <v>5686</v>
      </c>
      <c r="AA3131" s="62" t="s">
        <v>5687</v>
      </c>
      <c r="AB3131" s="62" t="n">
        <v>1</v>
      </c>
      <c r="AC3131" s="62" t="n">
        <v>0</v>
      </c>
      <c r="AD3131" s="62" t="n">
        <v>1</v>
      </c>
      <c r="AE3131" s="62" t="n">
        <f aca="false">IF(AND(Dashboard!$C$9="Yes",AC3131=1),0,1)</f>
        <v>1</v>
      </c>
      <c r="AF3131" s="62" t="n">
        <v>0</v>
      </c>
    </row>
    <row r="3132" customFormat="false" ht="15" hidden="false" customHeight="false" outlineLevel="0" collapsed="false">
      <c r="A3132" s="62" t="n">
        <v>3131</v>
      </c>
      <c r="B3132" s="63" t="n">
        <v>46299.1083680556</v>
      </c>
      <c r="C3132" s="64" t="n">
        <v>46298</v>
      </c>
      <c r="D3132" s="62" t="s">
        <v>358</v>
      </c>
      <c r="E3132" s="62" t="s">
        <v>5688</v>
      </c>
      <c r="F3132" s="62" t="s">
        <v>5689</v>
      </c>
      <c r="G3132" s="62" t="s">
        <v>153</v>
      </c>
      <c r="H3132" s="62" t="s">
        <v>153</v>
      </c>
      <c r="I3132" s="62" t="s">
        <v>153</v>
      </c>
      <c r="J3132" s="62" t="s">
        <v>64</v>
      </c>
      <c r="K3132" s="62" t="s">
        <v>64</v>
      </c>
      <c r="L3132" s="62" t="s">
        <v>4</v>
      </c>
      <c r="M3132" s="62" t="n">
        <v>1</v>
      </c>
      <c r="N3132" s="62" t="n">
        <v>0</v>
      </c>
      <c r="O3132" s="62" t="n">
        <v>1</v>
      </c>
      <c r="P3132" s="62" t="n">
        <v>0</v>
      </c>
      <c r="Q3132" s="62" t="n">
        <v>0</v>
      </c>
      <c r="R3132" s="62" t="n">
        <v>0</v>
      </c>
      <c r="S3132" s="62" t="n">
        <v>0</v>
      </c>
      <c r="T3132" s="62" t="n">
        <v>0</v>
      </c>
      <c r="U3132" s="62" t="s">
        <v>2056</v>
      </c>
      <c r="V3132" s="62" t="s">
        <v>2057</v>
      </c>
      <c r="W3132" s="62" t="s">
        <v>15</v>
      </c>
      <c r="X3132" s="62" t="s">
        <v>2058</v>
      </c>
      <c r="Y3132" s="62" t="s">
        <v>2059</v>
      </c>
      <c r="Z3132" s="62" t="s">
        <v>5690</v>
      </c>
      <c r="AA3132" s="62" t="s">
        <v>5690</v>
      </c>
      <c r="AB3132" s="62" t="n">
        <v>1</v>
      </c>
      <c r="AC3132" s="62" t="n">
        <v>0</v>
      </c>
      <c r="AD3132" s="62" t="n">
        <v>0</v>
      </c>
      <c r="AE3132" s="62" t="n">
        <f aca="false">IF(AND(Dashboard!$C$9="Yes",AC3132=1),0,1)</f>
        <v>1</v>
      </c>
      <c r="AF3132" s="62" t="n">
        <v>1</v>
      </c>
    </row>
    <row r="3133" customFormat="false" ht="15" hidden="false" customHeight="false" outlineLevel="0" collapsed="false">
      <c r="A3133" s="62" t="n">
        <v>3132</v>
      </c>
      <c r="B3133" s="63" t="n">
        <v>46299.1141087963</v>
      </c>
      <c r="C3133" s="64" t="n">
        <v>46298</v>
      </c>
      <c r="D3133" s="62" t="s">
        <v>358</v>
      </c>
      <c r="E3133" s="62" t="s">
        <v>2959</v>
      </c>
      <c r="F3133" s="62" t="s">
        <v>2959</v>
      </c>
      <c r="G3133" s="62" t="s">
        <v>2960</v>
      </c>
      <c r="H3133" s="62" t="s">
        <v>58</v>
      </c>
      <c r="I3133" s="62" t="s">
        <v>49</v>
      </c>
      <c r="J3133" s="62" t="s">
        <v>146</v>
      </c>
      <c r="K3133" s="62" t="s">
        <v>175</v>
      </c>
      <c r="L3133" s="62" t="s">
        <v>148</v>
      </c>
      <c r="M3133" s="62" t="n">
        <v>0</v>
      </c>
      <c r="N3133" s="62" t="n">
        <v>1</v>
      </c>
      <c r="O3133" s="62" t="n">
        <v>1</v>
      </c>
      <c r="P3133" s="62" t="n">
        <v>0</v>
      </c>
      <c r="Q3133" s="62" t="n">
        <v>0</v>
      </c>
      <c r="R3133" s="62" t="n">
        <v>1</v>
      </c>
      <c r="S3133" s="62" t="n">
        <v>0</v>
      </c>
      <c r="T3133" s="62" t="n">
        <v>0</v>
      </c>
      <c r="U3133" s="62"/>
      <c r="V3133" s="62"/>
      <c r="W3133" s="62"/>
      <c r="X3133" s="62"/>
      <c r="Y3133" s="62"/>
      <c r="Z3133" s="62" t="s">
        <v>5653</v>
      </c>
      <c r="AA3133" s="62" t="s">
        <v>5691</v>
      </c>
      <c r="AB3133" s="62" t="n">
        <v>1</v>
      </c>
      <c r="AC3133" s="62" t="n">
        <v>0</v>
      </c>
      <c r="AD3133" s="62" t="n">
        <v>1</v>
      </c>
      <c r="AE3133" s="62" t="n">
        <f aca="false">IF(AND(Dashboard!$C$9="Yes",AC3133=1),0,1)</f>
        <v>1</v>
      </c>
      <c r="AF3133" s="62" t="n">
        <v>0</v>
      </c>
    </row>
    <row r="3134" customFormat="false" ht="15" hidden="false" customHeight="false" outlineLevel="0" collapsed="false">
      <c r="A3134" s="62" t="n">
        <v>3133</v>
      </c>
      <c r="B3134" s="63" t="n">
        <v>46299.1164236111</v>
      </c>
      <c r="C3134" s="64" t="n">
        <v>46298</v>
      </c>
      <c r="D3134" s="62" t="s">
        <v>358</v>
      </c>
      <c r="E3134" s="62" t="s">
        <v>650</v>
      </c>
      <c r="F3134" s="62" t="s">
        <v>650</v>
      </c>
      <c r="G3134" s="62" t="s">
        <v>651</v>
      </c>
      <c r="H3134" s="62" t="s">
        <v>59</v>
      </c>
      <c r="I3134" s="62" t="s">
        <v>47</v>
      </c>
      <c r="J3134" s="62" t="s">
        <v>146</v>
      </c>
      <c r="K3134" s="62" t="s">
        <v>209</v>
      </c>
      <c r="L3134" s="62" t="s">
        <v>148</v>
      </c>
      <c r="M3134" s="62" t="n">
        <v>0</v>
      </c>
      <c r="N3134" s="62" t="n">
        <v>1</v>
      </c>
      <c r="O3134" s="62" t="n">
        <v>1</v>
      </c>
      <c r="P3134" s="62" t="n">
        <v>1</v>
      </c>
      <c r="Q3134" s="62" t="n">
        <v>0</v>
      </c>
      <c r="R3134" s="62" t="n">
        <v>0</v>
      </c>
      <c r="S3134" s="62" t="n">
        <v>0</v>
      </c>
      <c r="T3134" s="62" t="n">
        <v>0</v>
      </c>
      <c r="U3134" s="62"/>
      <c r="V3134" s="62"/>
      <c r="W3134" s="62"/>
      <c r="X3134" s="62"/>
      <c r="Y3134" s="62"/>
      <c r="Z3134" s="62" t="s">
        <v>5692</v>
      </c>
      <c r="AA3134" s="62" t="s">
        <v>5693</v>
      </c>
      <c r="AB3134" s="62" t="n">
        <v>1</v>
      </c>
      <c r="AC3134" s="62" t="n">
        <v>0</v>
      </c>
      <c r="AD3134" s="62" t="n">
        <v>1</v>
      </c>
      <c r="AE3134" s="62" t="n">
        <f aca="false">IF(AND(Dashboard!$C$9="Yes",AC3134=1),0,1)</f>
        <v>1</v>
      </c>
      <c r="AF3134" s="62" t="n">
        <v>0</v>
      </c>
    </row>
    <row r="3135" customFormat="false" ht="15" hidden="false" customHeight="false" outlineLevel="0" collapsed="false">
      <c r="A3135" s="62" t="n">
        <v>3134</v>
      </c>
      <c r="B3135" s="63" t="n">
        <v>46299.1165162037</v>
      </c>
      <c r="C3135" s="64" t="n">
        <v>46298</v>
      </c>
      <c r="D3135" s="62" t="s">
        <v>358</v>
      </c>
      <c r="E3135" s="62" t="s">
        <v>2365</v>
      </c>
      <c r="F3135" s="62" t="s">
        <v>2365</v>
      </c>
      <c r="G3135" s="62" t="s">
        <v>2366</v>
      </c>
      <c r="H3135" s="62" t="s">
        <v>52</v>
      </c>
      <c r="I3135" s="62" t="s">
        <v>47</v>
      </c>
      <c r="J3135" s="62" t="s">
        <v>146</v>
      </c>
      <c r="K3135" s="62" t="s">
        <v>147</v>
      </c>
      <c r="L3135" s="62" t="s">
        <v>148</v>
      </c>
      <c r="M3135" s="62" t="n">
        <v>0</v>
      </c>
      <c r="N3135" s="62" t="n">
        <v>1</v>
      </c>
      <c r="O3135" s="62" t="n">
        <v>1</v>
      </c>
      <c r="P3135" s="62" t="n">
        <v>0</v>
      </c>
      <c r="Q3135" s="62" t="n">
        <v>1</v>
      </c>
      <c r="R3135" s="62" t="n">
        <v>0</v>
      </c>
      <c r="S3135" s="62" t="n">
        <v>0</v>
      </c>
      <c r="T3135" s="62" t="n">
        <v>0</v>
      </c>
      <c r="U3135" s="62"/>
      <c r="V3135" s="62"/>
      <c r="W3135" s="62"/>
      <c r="X3135" s="62"/>
      <c r="Y3135" s="62"/>
      <c r="Z3135" s="62" t="s">
        <v>5694</v>
      </c>
      <c r="AA3135" s="62" t="s">
        <v>5695</v>
      </c>
      <c r="AB3135" s="62" t="n">
        <v>1</v>
      </c>
      <c r="AC3135" s="62" t="n">
        <v>0</v>
      </c>
      <c r="AD3135" s="62" t="n">
        <v>1</v>
      </c>
      <c r="AE3135" s="62" t="n">
        <f aca="false">IF(AND(Dashboard!$C$9="Yes",AC3135=1),0,1)</f>
        <v>1</v>
      </c>
      <c r="AF3135" s="62" t="n">
        <v>0</v>
      </c>
    </row>
    <row r="3136" customFormat="false" ht="15" hidden="false" customHeight="false" outlineLevel="0" collapsed="false">
      <c r="A3136" s="62" t="n">
        <v>3135</v>
      </c>
      <c r="B3136" s="63" t="n">
        <v>46299.1232291667</v>
      </c>
      <c r="C3136" s="64" t="n">
        <v>46298</v>
      </c>
      <c r="D3136" s="62" t="s">
        <v>358</v>
      </c>
      <c r="E3136" s="62" t="s">
        <v>5358</v>
      </c>
      <c r="F3136" s="62" t="s">
        <v>1005</v>
      </c>
      <c r="G3136" s="62" t="s">
        <v>1006</v>
      </c>
      <c r="H3136" s="62" t="s">
        <v>46</v>
      </c>
      <c r="I3136" s="62" t="s">
        <v>47</v>
      </c>
      <c r="J3136" s="62" t="s">
        <v>146</v>
      </c>
      <c r="K3136" s="62" t="s">
        <v>209</v>
      </c>
      <c r="L3136" s="62" t="s">
        <v>148</v>
      </c>
      <c r="M3136" s="62" t="n">
        <v>0</v>
      </c>
      <c r="N3136" s="62" t="n">
        <v>1</v>
      </c>
      <c r="O3136" s="62" t="n">
        <v>1</v>
      </c>
      <c r="P3136" s="62" t="n">
        <v>0</v>
      </c>
      <c r="Q3136" s="62" t="n">
        <v>1</v>
      </c>
      <c r="R3136" s="62" t="n">
        <v>0</v>
      </c>
      <c r="S3136" s="62" t="n">
        <v>0</v>
      </c>
      <c r="T3136" s="62" t="n">
        <v>0</v>
      </c>
      <c r="U3136" s="62"/>
      <c r="V3136" s="62"/>
      <c r="W3136" s="62"/>
      <c r="X3136" s="62"/>
      <c r="Y3136" s="62"/>
      <c r="Z3136" s="62" t="s">
        <v>5696</v>
      </c>
      <c r="AA3136" s="62" t="s">
        <v>485</v>
      </c>
      <c r="AB3136" s="62" t="n">
        <v>0</v>
      </c>
      <c r="AC3136" s="62" t="n">
        <v>0</v>
      </c>
      <c r="AD3136" s="62" t="n">
        <v>1</v>
      </c>
      <c r="AE3136" s="62" t="n">
        <f aca="false">IF(AND(Dashboard!$C$9="Yes",AC3136=1),0,1)</f>
        <v>1</v>
      </c>
      <c r="AF3136" s="62" t="n">
        <v>0</v>
      </c>
    </row>
    <row r="3137" customFormat="false" ht="15" hidden="false" customHeight="false" outlineLevel="0" collapsed="false">
      <c r="A3137" s="62" t="n">
        <v>3136</v>
      </c>
      <c r="B3137" s="63" t="n">
        <v>46299.1233912037</v>
      </c>
      <c r="C3137" s="64" t="n">
        <v>46298</v>
      </c>
      <c r="D3137" s="62" t="s">
        <v>358</v>
      </c>
      <c r="E3137" s="62" t="s">
        <v>1827</v>
      </c>
      <c r="F3137" s="62" t="s">
        <v>1827</v>
      </c>
      <c r="G3137" s="62" t="s">
        <v>1828</v>
      </c>
      <c r="H3137" s="62" t="s">
        <v>59</v>
      </c>
      <c r="I3137" s="62" t="s">
        <v>47</v>
      </c>
      <c r="J3137" s="62" t="s">
        <v>146</v>
      </c>
      <c r="K3137" s="62" t="s">
        <v>209</v>
      </c>
      <c r="L3137" s="62" t="s">
        <v>148</v>
      </c>
      <c r="M3137" s="62" t="n">
        <v>0</v>
      </c>
      <c r="N3137" s="62" t="n">
        <v>1</v>
      </c>
      <c r="O3137" s="62" t="n">
        <v>1</v>
      </c>
      <c r="P3137" s="62" t="n">
        <v>0</v>
      </c>
      <c r="Q3137" s="62" t="n">
        <v>1</v>
      </c>
      <c r="R3137" s="62" t="n">
        <v>0</v>
      </c>
      <c r="S3137" s="62" t="n">
        <v>0</v>
      </c>
      <c r="T3137" s="62" t="n">
        <v>0</v>
      </c>
      <c r="U3137" s="62"/>
      <c r="V3137" s="62"/>
      <c r="W3137" s="62"/>
      <c r="X3137" s="62"/>
      <c r="Y3137" s="62"/>
      <c r="Z3137" s="62" t="s">
        <v>5697</v>
      </c>
      <c r="AA3137" s="62" t="s">
        <v>5698</v>
      </c>
      <c r="AB3137" s="62" t="n">
        <v>1</v>
      </c>
      <c r="AC3137" s="62" t="n">
        <v>0</v>
      </c>
      <c r="AD3137" s="62" t="n">
        <v>1</v>
      </c>
      <c r="AE3137" s="62" t="n">
        <f aca="false">IF(AND(Dashboard!$C$9="Yes",AC3137=1),0,1)</f>
        <v>1</v>
      </c>
      <c r="AF3137" s="62" t="n">
        <v>1</v>
      </c>
    </row>
    <row r="3138" customFormat="false" ht="15" hidden="false" customHeight="false" outlineLevel="0" collapsed="false">
      <c r="A3138" s="62" t="n">
        <v>3137</v>
      </c>
      <c r="B3138" s="63" t="n">
        <v>46299.1347685185</v>
      </c>
      <c r="C3138" s="64" t="n">
        <v>46298</v>
      </c>
      <c r="D3138" s="62" t="s">
        <v>358</v>
      </c>
      <c r="E3138" s="62" t="s">
        <v>2959</v>
      </c>
      <c r="F3138" s="62" t="s">
        <v>2959</v>
      </c>
      <c r="G3138" s="62" t="s">
        <v>2960</v>
      </c>
      <c r="H3138" s="62" t="s">
        <v>58</v>
      </c>
      <c r="I3138" s="62" t="s">
        <v>49</v>
      </c>
      <c r="J3138" s="62" t="s">
        <v>146</v>
      </c>
      <c r="K3138" s="62" t="s">
        <v>175</v>
      </c>
      <c r="L3138" s="62" t="s">
        <v>4</v>
      </c>
      <c r="M3138" s="62" t="n">
        <v>8</v>
      </c>
      <c r="N3138" s="62" t="n">
        <v>0</v>
      </c>
      <c r="O3138" s="62" t="n">
        <v>8</v>
      </c>
      <c r="P3138" s="62" t="n">
        <v>0</v>
      </c>
      <c r="Q3138" s="62" t="n">
        <v>0</v>
      </c>
      <c r="R3138" s="62" t="n">
        <v>0</v>
      </c>
      <c r="S3138" s="62" t="n">
        <v>0</v>
      </c>
      <c r="T3138" s="62" t="n">
        <v>0</v>
      </c>
      <c r="U3138" s="62" t="s">
        <v>15</v>
      </c>
      <c r="V3138" s="62" t="s">
        <v>2057</v>
      </c>
      <c r="W3138" s="62" t="s">
        <v>15</v>
      </c>
      <c r="X3138" s="62" t="s">
        <v>2058</v>
      </c>
      <c r="Y3138" s="62" t="s">
        <v>2103</v>
      </c>
      <c r="Z3138" s="62" t="s">
        <v>5653</v>
      </c>
      <c r="AA3138" s="62" t="s">
        <v>337</v>
      </c>
      <c r="AB3138" s="62" t="n">
        <v>0</v>
      </c>
      <c r="AC3138" s="62" t="n">
        <v>0</v>
      </c>
      <c r="AD3138" s="62" t="n">
        <v>1</v>
      </c>
      <c r="AE3138" s="62" t="n">
        <f aca="false">IF(AND(Dashboard!$C$9="Yes",AC3138=1),0,1)</f>
        <v>1</v>
      </c>
      <c r="AF3138" s="62" t="n">
        <v>0</v>
      </c>
    </row>
    <row r="3139" customFormat="false" ht="15" hidden="false" customHeight="false" outlineLevel="0" collapsed="false">
      <c r="A3139" s="62" t="n">
        <v>3138</v>
      </c>
      <c r="B3139" s="63" t="n">
        <v>46299.1364351852</v>
      </c>
      <c r="C3139" s="64" t="n">
        <v>46298</v>
      </c>
      <c r="D3139" s="62" t="s">
        <v>358</v>
      </c>
      <c r="E3139" s="62" t="s">
        <v>2959</v>
      </c>
      <c r="F3139" s="62" t="s">
        <v>2959</v>
      </c>
      <c r="G3139" s="62" t="s">
        <v>2960</v>
      </c>
      <c r="H3139" s="62" t="s">
        <v>58</v>
      </c>
      <c r="I3139" s="62" t="s">
        <v>49</v>
      </c>
      <c r="J3139" s="62" t="s">
        <v>146</v>
      </c>
      <c r="K3139" s="62" t="s">
        <v>175</v>
      </c>
      <c r="L3139" s="62" t="s">
        <v>148</v>
      </c>
      <c r="M3139" s="62" t="n">
        <v>0</v>
      </c>
      <c r="N3139" s="62" t="n">
        <v>10</v>
      </c>
      <c r="O3139" s="62" t="n">
        <v>10</v>
      </c>
      <c r="P3139" s="62" t="n">
        <v>0</v>
      </c>
      <c r="Q3139" s="62" t="n">
        <v>0</v>
      </c>
      <c r="R3139" s="62" t="n">
        <v>1</v>
      </c>
      <c r="S3139" s="62" t="n">
        <v>1</v>
      </c>
      <c r="T3139" s="62" t="n">
        <v>1</v>
      </c>
      <c r="U3139" s="62"/>
      <c r="V3139" s="62"/>
      <c r="W3139" s="62"/>
      <c r="X3139" s="62"/>
      <c r="Y3139" s="62"/>
      <c r="Z3139" s="62" t="s">
        <v>5653</v>
      </c>
      <c r="AA3139" s="62" t="s">
        <v>5699</v>
      </c>
      <c r="AB3139" s="62" t="n">
        <v>0</v>
      </c>
      <c r="AC3139" s="62" t="n">
        <v>0</v>
      </c>
      <c r="AD3139" s="62" t="n">
        <v>1</v>
      </c>
      <c r="AE3139" s="62" t="n">
        <f aca="false">IF(AND(Dashboard!$C$9="Yes",AC3139=1),0,1)</f>
        <v>1</v>
      </c>
      <c r="AF3139" s="62" t="n">
        <v>0</v>
      </c>
    </row>
    <row r="3140" customFormat="false" ht="15" hidden="false" customHeight="false" outlineLevel="0" collapsed="false">
      <c r="A3140" s="62" t="n">
        <v>3139</v>
      </c>
      <c r="B3140" s="63" t="n">
        <v>46299.1397453704</v>
      </c>
      <c r="C3140" s="64" t="n">
        <v>46298</v>
      </c>
      <c r="D3140" s="62" t="s">
        <v>358</v>
      </c>
      <c r="E3140" s="62" t="s">
        <v>2385</v>
      </c>
      <c r="F3140" s="62" t="s">
        <v>2385</v>
      </c>
      <c r="G3140" s="62" t="s">
        <v>2386</v>
      </c>
      <c r="H3140" s="62" t="s">
        <v>59</v>
      </c>
      <c r="I3140" s="62" t="s">
        <v>47</v>
      </c>
      <c r="J3140" s="62" t="s">
        <v>146</v>
      </c>
      <c r="K3140" s="62" t="s">
        <v>209</v>
      </c>
      <c r="L3140" s="62" t="s">
        <v>148</v>
      </c>
      <c r="M3140" s="62" t="n">
        <v>0</v>
      </c>
      <c r="N3140" s="62" t="n">
        <v>2</v>
      </c>
      <c r="O3140" s="62" t="n">
        <v>2</v>
      </c>
      <c r="P3140" s="62" t="n">
        <v>0</v>
      </c>
      <c r="Q3140" s="62" t="n">
        <v>1</v>
      </c>
      <c r="R3140" s="62" t="n">
        <v>0</v>
      </c>
      <c r="S3140" s="62" t="n">
        <v>1</v>
      </c>
      <c r="T3140" s="62" t="n">
        <v>0</v>
      </c>
      <c r="U3140" s="62"/>
      <c r="V3140" s="62"/>
      <c r="W3140" s="62"/>
      <c r="X3140" s="62"/>
      <c r="Y3140" s="62"/>
      <c r="Z3140" s="62" t="s">
        <v>5700</v>
      </c>
      <c r="AA3140" s="62" t="s">
        <v>4851</v>
      </c>
      <c r="AB3140" s="62" t="n">
        <v>0</v>
      </c>
      <c r="AC3140" s="62" t="n">
        <v>0</v>
      </c>
      <c r="AD3140" s="62" t="n">
        <v>1</v>
      </c>
      <c r="AE3140" s="62" t="n">
        <f aca="false">IF(AND(Dashboard!$C$9="Yes",AC3140=1),0,1)</f>
        <v>1</v>
      </c>
      <c r="AF3140" s="62" t="n">
        <v>1</v>
      </c>
    </row>
    <row r="3141" customFormat="false" ht="15" hidden="false" customHeight="false" outlineLevel="0" collapsed="false">
      <c r="A3141" s="62" t="n">
        <v>3140</v>
      </c>
      <c r="B3141" s="63" t="n">
        <v>46299.1400231482</v>
      </c>
      <c r="C3141" s="64" t="n">
        <v>46298</v>
      </c>
      <c r="D3141" s="62" t="s">
        <v>358</v>
      </c>
      <c r="E3141" s="62" t="s">
        <v>2385</v>
      </c>
      <c r="F3141" s="62" t="s">
        <v>2385</v>
      </c>
      <c r="G3141" s="62" t="s">
        <v>2386</v>
      </c>
      <c r="H3141" s="62" t="s">
        <v>59</v>
      </c>
      <c r="I3141" s="62" t="s">
        <v>47</v>
      </c>
      <c r="J3141" s="62" t="s">
        <v>146</v>
      </c>
      <c r="K3141" s="62" t="s">
        <v>209</v>
      </c>
      <c r="L3141" s="62" t="s">
        <v>148</v>
      </c>
      <c r="M3141" s="62" t="n">
        <v>0</v>
      </c>
      <c r="N3141" s="62" t="n">
        <v>1</v>
      </c>
      <c r="O3141" s="62" t="n">
        <v>1</v>
      </c>
      <c r="P3141" s="62" t="n">
        <v>0</v>
      </c>
      <c r="Q3141" s="62" t="n">
        <v>0</v>
      </c>
      <c r="R3141" s="62" t="n">
        <v>0</v>
      </c>
      <c r="S3141" s="62" t="n">
        <v>1</v>
      </c>
      <c r="T3141" s="62" t="n">
        <v>0</v>
      </c>
      <c r="U3141" s="62"/>
      <c r="V3141" s="62"/>
      <c r="W3141" s="62"/>
      <c r="X3141" s="62"/>
      <c r="Y3141" s="62"/>
      <c r="Z3141" s="62" t="s">
        <v>5701</v>
      </c>
      <c r="AA3141" s="62" t="s">
        <v>4877</v>
      </c>
      <c r="AB3141" s="62" t="n">
        <v>0</v>
      </c>
      <c r="AC3141" s="62" t="n">
        <v>0</v>
      </c>
      <c r="AD3141" s="62" t="n">
        <v>1</v>
      </c>
      <c r="AE3141" s="62" t="n">
        <f aca="false">IF(AND(Dashboard!$C$9="Yes",AC3141=1),0,1)</f>
        <v>1</v>
      </c>
      <c r="AF3141" s="62" t="n">
        <v>0</v>
      </c>
    </row>
    <row r="3142" customFormat="false" ht="15" hidden="false" customHeight="false" outlineLevel="0" collapsed="false">
      <c r="A3142" s="62" t="n">
        <v>3141</v>
      </c>
      <c r="B3142" s="63" t="n">
        <v>46299.140462963</v>
      </c>
      <c r="C3142" s="64" t="n">
        <v>46298</v>
      </c>
      <c r="D3142" s="62" t="s">
        <v>358</v>
      </c>
      <c r="E3142" s="62" t="s">
        <v>2365</v>
      </c>
      <c r="F3142" s="62" t="s">
        <v>2365</v>
      </c>
      <c r="G3142" s="62" t="s">
        <v>2366</v>
      </c>
      <c r="H3142" s="62" t="s">
        <v>52</v>
      </c>
      <c r="I3142" s="62" t="s">
        <v>47</v>
      </c>
      <c r="J3142" s="62" t="s">
        <v>146</v>
      </c>
      <c r="K3142" s="62" t="s">
        <v>147</v>
      </c>
      <c r="L3142" s="62" t="s">
        <v>4</v>
      </c>
      <c r="M3142" s="62" t="n">
        <v>1</v>
      </c>
      <c r="N3142" s="62" t="n">
        <v>0</v>
      </c>
      <c r="O3142" s="62" t="n">
        <v>1</v>
      </c>
      <c r="P3142" s="62" t="n">
        <v>0</v>
      </c>
      <c r="Q3142" s="62" t="n">
        <v>0</v>
      </c>
      <c r="R3142" s="62" t="n">
        <v>0</v>
      </c>
      <c r="S3142" s="62" t="n">
        <v>0</v>
      </c>
      <c r="T3142" s="62" t="n">
        <v>0</v>
      </c>
      <c r="U3142" s="62" t="s">
        <v>2056</v>
      </c>
      <c r="V3142" s="62" t="s">
        <v>2057</v>
      </c>
      <c r="W3142" s="62" t="s">
        <v>15</v>
      </c>
      <c r="X3142" s="62" t="s">
        <v>2058</v>
      </c>
      <c r="Y3142" s="62" t="s">
        <v>2059</v>
      </c>
      <c r="Z3142" s="62" t="s">
        <v>5702</v>
      </c>
      <c r="AA3142" s="62" t="s">
        <v>5703</v>
      </c>
      <c r="AB3142" s="62" t="n">
        <v>1</v>
      </c>
      <c r="AC3142" s="62" t="n">
        <v>0</v>
      </c>
      <c r="AD3142" s="62" t="n">
        <v>1</v>
      </c>
      <c r="AE3142" s="62" t="n">
        <f aca="false">IF(AND(Dashboard!$C$9="Yes",AC3142=1),0,1)</f>
        <v>1</v>
      </c>
      <c r="AF3142" s="62" t="n">
        <v>0</v>
      </c>
    </row>
    <row r="3143" customFormat="false" ht="15" hidden="false" customHeight="false" outlineLevel="0" collapsed="false">
      <c r="A3143" s="62" t="n">
        <v>3142</v>
      </c>
      <c r="B3143" s="63" t="n">
        <v>46299.1516898148</v>
      </c>
      <c r="C3143" s="64" t="n">
        <v>46298</v>
      </c>
      <c r="D3143" s="62" t="s">
        <v>358</v>
      </c>
      <c r="E3143" s="62" t="s">
        <v>2959</v>
      </c>
      <c r="F3143" s="62" t="s">
        <v>2959</v>
      </c>
      <c r="G3143" s="62" t="s">
        <v>2960</v>
      </c>
      <c r="H3143" s="62" t="s">
        <v>58</v>
      </c>
      <c r="I3143" s="62" t="s">
        <v>49</v>
      </c>
      <c r="J3143" s="62" t="s">
        <v>146</v>
      </c>
      <c r="K3143" s="62" t="s">
        <v>175</v>
      </c>
      <c r="L3143" s="62" t="s">
        <v>148</v>
      </c>
      <c r="M3143" s="62" t="n">
        <v>0</v>
      </c>
      <c r="N3143" s="62" t="n">
        <v>1</v>
      </c>
      <c r="O3143" s="62" t="n">
        <v>1</v>
      </c>
      <c r="P3143" s="62" t="n">
        <v>1</v>
      </c>
      <c r="Q3143" s="62" t="n">
        <v>0</v>
      </c>
      <c r="R3143" s="62" t="n">
        <v>0</v>
      </c>
      <c r="S3143" s="62" t="n">
        <v>0</v>
      </c>
      <c r="T3143" s="62" t="n">
        <v>0</v>
      </c>
      <c r="U3143" s="62"/>
      <c r="V3143" s="62"/>
      <c r="W3143" s="62"/>
      <c r="X3143" s="62"/>
      <c r="Y3143" s="62"/>
      <c r="Z3143" s="62" t="s">
        <v>5704</v>
      </c>
      <c r="AA3143" s="62" t="s">
        <v>5705</v>
      </c>
      <c r="AB3143" s="62" t="n">
        <v>1</v>
      </c>
      <c r="AC3143" s="62" t="n">
        <v>0</v>
      </c>
      <c r="AD3143" s="62" t="n">
        <v>1</v>
      </c>
      <c r="AE3143" s="62" t="n">
        <f aca="false">IF(AND(Dashboard!$C$9="Yes",AC3143=1),0,1)</f>
        <v>1</v>
      </c>
      <c r="AF3143" s="62" t="n">
        <v>0</v>
      </c>
    </row>
    <row r="3144" customFormat="false" ht="15" hidden="false" customHeight="false" outlineLevel="0" collapsed="false">
      <c r="A3144" s="62" t="n">
        <v>3143</v>
      </c>
      <c r="B3144" s="63" t="n">
        <v>46299.1644212963</v>
      </c>
      <c r="C3144" s="64" t="n">
        <v>46298</v>
      </c>
      <c r="D3144" s="62" t="s">
        <v>358</v>
      </c>
      <c r="E3144" s="62" t="s">
        <v>1314</v>
      </c>
      <c r="F3144" s="62" t="s">
        <v>1314</v>
      </c>
      <c r="G3144" s="62" t="s">
        <v>1315</v>
      </c>
      <c r="H3144" s="62" t="s">
        <v>51</v>
      </c>
      <c r="I3144" s="62" t="s">
        <v>47</v>
      </c>
      <c r="J3144" s="62" t="s">
        <v>146</v>
      </c>
      <c r="K3144" s="62" t="s">
        <v>209</v>
      </c>
      <c r="L3144" s="62" t="s">
        <v>148</v>
      </c>
      <c r="M3144" s="62" t="n">
        <v>0</v>
      </c>
      <c r="N3144" s="62" t="n">
        <v>1</v>
      </c>
      <c r="O3144" s="62" t="n">
        <v>1</v>
      </c>
      <c r="P3144" s="62" t="n">
        <v>0</v>
      </c>
      <c r="Q3144" s="62" t="n">
        <v>1</v>
      </c>
      <c r="R3144" s="62" t="n">
        <v>0</v>
      </c>
      <c r="S3144" s="62" t="n">
        <v>0</v>
      </c>
      <c r="T3144" s="62" t="n">
        <v>0</v>
      </c>
      <c r="U3144" s="62"/>
      <c r="V3144" s="62"/>
      <c r="W3144" s="62"/>
      <c r="X3144" s="62"/>
      <c r="Y3144" s="62"/>
      <c r="Z3144" s="62" t="s">
        <v>5706</v>
      </c>
      <c r="AA3144" s="62" t="s">
        <v>5707</v>
      </c>
      <c r="AB3144" s="62" t="n">
        <v>1</v>
      </c>
      <c r="AC3144" s="62" t="n">
        <v>0</v>
      </c>
      <c r="AD3144" s="62" t="n">
        <v>1</v>
      </c>
      <c r="AE3144" s="62" t="n">
        <f aca="false">IF(AND(Dashboard!$C$9="Yes",AC3144=1),0,1)</f>
        <v>1</v>
      </c>
      <c r="AF3144" s="62" t="n">
        <v>1</v>
      </c>
    </row>
    <row r="3145" customFormat="false" ht="15" hidden="false" customHeight="false" outlineLevel="0" collapsed="false">
      <c r="A3145" s="62" t="n">
        <v>3144</v>
      </c>
      <c r="B3145" s="63" t="n">
        <v>46299.1646759259</v>
      </c>
      <c r="C3145" s="64" t="n">
        <v>46298</v>
      </c>
      <c r="D3145" s="62" t="s">
        <v>358</v>
      </c>
      <c r="E3145" s="62" t="s">
        <v>1314</v>
      </c>
      <c r="F3145" s="62" t="s">
        <v>1314</v>
      </c>
      <c r="G3145" s="62" t="s">
        <v>1315</v>
      </c>
      <c r="H3145" s="62" t="s">
        <v>51</v>
      </c>
      <c r="I3145" s="62" t="s">
        <v>47</v>
      </c>
      <c r="J3145" s="62" t="s">
        <v>146</v>
      </c>
      <c r="K3145" s="62" t="s">
        <v>209</v>
      </c>
      <c r="L3145" s="62" t="s">
        <v>148</v>
      </c>
      <c r="M3145" s="62" t="n">
        <v>0</v>
      </c>
      <c r="N3145" s="62" t="n">
        <v>1</v>
      </c>
      <c r="O3145" s="62" t="n">
        <v>1</v>
      </c>
      <c r="P3145" s="62" t="n">
        <v>0</v>
      </c>
      <c r="Q3145" s="62" t="n">
        <v>1</v>
      </c>
      <c r="R3145" s="62" t="n">
        <v>0</v>
      </c>
      <c r="S3145" s="62" t="n">
        <v>0</v>
      </c>
      <c r="T3145" s="62" t="n">
        <v>0</v>
      </c>
      <c r="U3145" s="62"/>
      <c r="V3145" s="62"/>
      <c r="W3145" s="62"/>
      <c r="X3145" s="62"/>
      <c r="Y3145" s="62"/>
      <c r="Z3145" s="62" t="s">
        <v>5706</v>
      </c>
      <c r="AA3145" s="62" t="s">
        <v>5707</v>
      </c>
      <c r="AB3145" s="62" t="n">
        <v>1</v>
      </c>
      <c r="AC3145" s="62" t="n">
        <v>1</v>
      </c>
      <c r="AD3145" s="62" t="n">
        <v>1</v>
      </c>
      <c r="AE3145" s="62" t="n">
        <f aca="false">IF(AND(Dashboard!$C$9="Yes",AC3145=1),0,1)</f>
        <v>0</v>
      </c>
      <c r="AF3145" s="62" t="n">
        <v>0</v>
      </c>
    </row>
    <row r="3146" customFormat="false" ht="15" hidden="false" customHeight="false" outlineLevel="0" collapsed="false">
      <c r="A3146" s="62" t="n">
        <v>3145</v>
      </c>
      <c r="B3146" s="63" t="n">
        <v>46299.2250347222</v>
      </c>
      <c r="C3146" s="64" t="n">
        <v>46298</v>
      </c>
      <c r="D3146" s="62" t="s">
        <v>358</v>
      </c>
      <c r="E3146" s="62" t="s">
        <v>2476</v>
      </c>
      <c r="F3146" s="62" t="s">
        <v>2476</v>
      </c>
      <c r="G3146" s="62" t="s">
        <v>2477</v>
      </c>
      <c r="H3146" s="62" t="s">
        <v>51</v>
      </c>
      <c r="I3146" s="62" t="s">
        <v>47</v>
      </c>
      <c r="J3146" s="62" t="s">
        <v>146</v>
      </c>
      <c r="K3146" s="62" t="s">
        <v>209</v>
      </c>
      <c r="L3146" s="62" t="s">
        <v>148</v>
      </c>
      <c r="M3146" s="62" t="n">
        <v>0</v>
      </c>
      <c r="N3146" s="62" t="n">
        <v>1</v>
      </c>
      <c r="O3146" s="62" t="n">
        <v>1</v>
      </c>
      <c r="P3146" s="62" t="n">
        <v>1</v>
      </c>
      <c r="Q3146" s="62" t="n">
        <v>0</v>
      </c>
      <c r="R3146" s="62" t="n">
        <v>0</v>
      </c>
      <c r="S3146" s="62" t="n">
        <v>0</v>
      </c>
      <c r="T3146" s="62" t="n">
        <v>0</v>
      </c>
      <c r="U3146" s="62"/>
      <c r="V3146" s="62"/>
      <c r="W3146" s="62"/>
      <c r="X3146" s="62"/>
      <c r="Y3146" s="62"/>
      <c r="Z3146" s="62" t="s">
        <v>5708</v>
      </c>
      <c r="AA3146" s="62" t="s">
        <v>5709</v>
      </c>
      <c r="AB3146" s="62" t="n">
        <v>1</v>
      </c>
      <c r="AC3146" s="62" t="n">
        <v>0</v>
      </c>
      <c r="AD3146" s="62" t="n">
        <v>1</v>
      </c>
      <c r="AE3146" s="62" t="n">
        <f aca="false">IF(AND(Dashboard!$C$9="Yes",AC3146=1),0,1)</f>
        <v>1</v>
      </c>
      <c r="AF3146" s="62" t="n">
        <v>0</v>
      </c>
    </row>
    <row r="3147" customFormat="false" ht="15" hidden="false" customHeight="false" outlineLevel="0" collapsed="false">
      <c r="A3147" s="62" t="n">
        <v>3146</v>
      </c>
      <c r="B3147" s="63" t="n">
        <v>46299.2450578704</v>
      </c>
      <c r="C3147" s="64" t="n">
        <v>46298</v>
      </c>
      <c r="D3147" s="62" t="s">
        <v>358</v>
      </c>
      <c r="E3147" s="62" t="s">
        <v>2959</v>
      </c>
      <c r="F3147" s="62" t="s">
        <v>2959</v>
      </c>
      <c r="G3147" s="62" t="s">
        <v>2960</v>
      </c>
      <c r="H3147" s="62" t="s">
        <v>58</v>
      </c>
      <c r="I3147" s="62" t="s">
        <v>49</v>
      </c>
      <c r="J3147" s="62" t="s">
        <v>146</v>
      </c>
      <c r="K3147" s="62" t="s">
        <v>175</v>
      </c>
      <c r="L3147" s="62" t="s">
        <v>148</v>
      </c>
      <c r="M3147" s="62" t="n">
        <v>0</v>
      </c>
      <c r="N3147" s="62" t="n">
        <v>1</v>
      </c>
      <c r="O3147" s="62" t="n">
        <v>1</v>
      </c>
      <c r="P3147" s="62" t="n">
        <v>0</v>
      </c>
      <c r="Q3147" s="62" t="n">
        <v>1</v>
      </c>
      <c r="R3147" s="62" t="n">
        <v>0</v>
      </c>
      <c r="S3147" s="62" t="n">
        <v>0</v>
      </c>
      <c r="T3147" s="62" t="n">
        <v>0</v>
      </c>
      <c r="U3147" s="62"/>
      <c r="V3147" s="62"/>
      <c r="W3147" s="62"/>
      <c r="X3147" s="62"/>
      <c r="Y3147" s="62"/>
      <c r="Z3147" s="62" t="s">
        <v>5710</v>
      </c>
      <c r="AA3147" s="62" t="s">
        <v>5711</v>
      </c>
      <c r="AB3147" s="62" t="n">
        <v>1</v>
      </c>
      <c r="AC3147" s="62" t="n">
        <v>0</v>
      </c>
      <c r="AD3147" s="62" t="n">
        <v>1</v>
      </c>
      <c r="AE3147" s="62" t="n">
        <f aca="false">IF(AND(Dashboard!$C$9="Yes",AC3147=1),0,1)</f>
        <v>1</v>
      </c>
      <c r="AF3147" s="62" t="n">
        <v>0</v>
      </c>
    </row>
    <row r="3148" customFormat="false" ht="15" hidden="false" customHeight="false" outlineLevel="0" collapsed="false">
      <c r="A3148" s="62" t="n">
        <v>3147</v>
      </c>
      <c r="B3148" s="63" t="n">
        <v>46299.2777546296</v>
      </c>
      <c r="C3148" s="64" t="n">
        <v>46298</v>
      </c>
      <c r="D3148" s="62" t="s">
        <v>358</v>
      </c>
      <c r="E3148" s="62" t="s">
        <v>3869</v>
      </c>
      <c r="F3148" s="62" t="s">
        <v>3869</v>
      </c>
      <c r="G3148" s="62" t="s">
        <v>3870</v>
      </c>
      <c r="H3148" s="62" t="s">
        <v>59</v>
      </c>
      <c r="I3148" s="62" t="s">
        <v>47</v>
      </c>
      <c r="J3148" s="62" t="s">
        <v>146</v>
      </c>
      <c r="K3148" s="62" t="s">
        <v>209</v>
      </c>
      <c r="L3148" s="62" t="s">
        <v>148</v>
      </c>
      <c r="M3148" s="62" t="n">
        <v>0</v>
      </c>
      <c r="N3148" s="62" t="n">
        <v>1</v>
      </c>
      <c r="O3148" s="62" t="n">
        <v>1</v>
      </c>
      <c r="P3148" s="62" t="n">
        <v>0</v>
      </c>
      <c r="Q3148" s="62" t="n">
        <v>1</v>
      </c>
      <c r="R3148" s="62" t="n">
        <v>0</v>
      </c>
      <c r="S3148" s="62" t="n">
        <v>0</v>
      </c>
      <c r="T3148" s="62" t="n">
        <v>0</v>
      </c>
      <c r="U3148" s="62"/>
      <c r="V3148" s="62"/>
      <c r="W3148" s="62"/>
      <c r="X3148" s="62"/>
      <c r="Y3148" s="62"/>
      <c r="Z3148" s="62" t="s">
        <v>5712</v>
      </c>
      <c r="AA3148" s="62" t="s">
        <v>5713</v>
      </c>
      <c r="AB3148" s="62" t="n">
        <v>1</v>
      </c>
      <c r="AC3148" s="62" t="n">
        <v>0</v>
      </c>
      <c r="AD3148" s="62" t="n">
        <v>1</v>
      </c>
      <c r="AE3148" s="62" t="n">
        <f aca="false">IF(AND(Dashboard!$C$9="Yes",AC3148=1),0,1)</f>
        <v>1</v>
      </c>
      <c r="AF3148" s="62" t="n">
        <v>1</v>
      </c>
    </row>
    <row r="3149" customFormat="false" ht="15" hidden="false" customHeight="false" outlineLevel="0" collapsed="false">
      <c r="A3149" s="62" t="n">
        <v>3148</v>
      </c>
      <c r="B3149" s="63" t="n">
        <v>46299.6334606482</v>
      </c>
      <c r="C3149" s="64" t="n">
        <v>46299</v>
      </c>
      <c r="D3149" s="62" t="s">
        <v>393</v>
      </c>
      <c r="E3149" s="62" t="s">
        <v>2156</v>
      </c>
      <c r="F3149" s="62" t="s">
        <v>2156</v>
      </c>
      <c r="G3149" s="62" t="s">
        <v>2157</v>
      </c>
      <c r="H3149" s="62" t="s">
        <v>52</v>
      </c>
      <c r="I3149" s="62" t="s">
        <v>47</v>
      </c>
      <c r="J3149" s="62" t="s">
        <v>146</v>
      </c>
      <c r="K3149" s="62" t="s">
        <v>209</v>
      </c>
      <c r="L3149" s="62" t="s">
        <v>148</v>
      </c>
      <c r="M3149" s="62" t="n">
        <v>0</v>
      </c>
      <c r="N3149" s="62" t="n">
        <v>1</v>
      </c>
      <c r="O3149" s="62" t="n">
        <v>1</v>
      </c>
      <c r="P3149" s="62" t="n">
        <v>0</v>
      </c>
      <c r="Q3149" s="62" t="n">
        <v>1</v>
      </c>
      <c r="R3149" s="62" t="n">
        <v>0</v>
      </c>
      <c r="S3149" s="62" t="n">
        <v>0</v>
      </c>
      <c r="T3149" s="62" t="n">
        <v>0</v>
      </c>
      <c r="U3149" s="62"/>
      <c r="V3149" s="62"/>
      <c r="W3149" s="62"/>
      <c r="X3149" s="62"/>
      <c r="Y3149" s="62"/>
      <c r="Z3149" s="62" t="s">
        <v>5714</v>
      </c>
      <c r="AA3149" s="62" t="s">
        <v>5715</v>
      </c>
      <c r="AB3149" s="62" t="n">
        <v>1</v>
      </c>
      <c r="AC3149" s="62" t="n">
        <v>0</v>
      </c>
      <c r="AD3149" s="62" t="n">
        <v>1</v>
      </c>
      <c r="AE3149" s="62" t="n">
        <f aca="false">IF(AND(Dashboard!$C$9="Yes",AC3149=1),0,1)</f>
        <v>1</v>
      </c>
      <c r="AF3149" s="62" t="n">
        <v>1</v>
      </c>
    </row>
    <row r="3150" customFormat="false" ht="15" hidden="false" customHeight="false" outlineLevel="0" collapsed="false">
      <c r="A3150" s="62" t="n">
        <v>3149</v>
      </c>
      <c r="B3150" s="63" t="n">
        <v>46299.6832986111</v>
      </c>
      <c r="C3150" s="64" t="n">
        <v>46299</v>
      </c>
      <c r="D3150" s="62" t="s">
        <v>393</v>
      </c>
      <c r="E3150" s="62" t="s">
        <v>1571</v>
      </c>
      <c r="F3150" s="62" t="s">
        <v>1571</v>
      </c>
      <c r="G3150" s="62" t="s">
        <v>1572</v>
      </c>
      <c r="H3150" s="62" t="s">
        <v>52</v>
      </c>
      <c r="I3150" s="62" t="s">
        <v>47</v>
      </c>
      <c r="J3150" s="62" t="s">
        <v>146</v>
      </c>
      <c r="K3150" s="62" t="s">
        <v>209</v>
      </c>
      <c r="L3150" s="62" t="s">
        <v>148</v>
      </c>
      <c r="M3150" s="62" t="n">
        <v>0</v>
      </c>
      <c r="N3150" s="62" t="n">
        <v>1</v>
      </c>
      <c r="O3150" s="62" t="n">
        <v>1</v>
      </c>
      <c r="P3150" s="62" t="n">
        <v>1</v>
      </c>
      <c r="Q3150" s="62" t="n">
        <v>0</v>
      </c>
      <c r="R3150" s="62" t="n">
        <v>0</v>
      </c>
      <c r="S3150" s="62" t="n">
        <v>0</v>
      </c>
      <c r="T3150" s="62" t="n">
        <v>0</v>
      </c>
      <c r="U3150" s="62"/>
      <c r="V3150" s="62"/>
      <c r="W3150" s="62"/>
      <c r="X3150" s="62"/>
      <c r="Y3150" s="62"/>
      <c r="Z3150" s="62" t="s">
        <v>5716</v>
      </c>
      <c r="AA3150" s="62" t="s">
        <v>5717</v>
      </c>
      <c r="AB3150" s="62" t="n">
        <v>1</v>
      </c>
      <c r="AC3150" s="62" t="n">
        <v>0</v>
      </c>
      <c r="AD3150" s="62" t="n">
        <v>1</v>
      </c>
      <c r="AE3150" s="62" t="n">
        <f aca="false">IF(AND(Dashboard!$C$9="Yes",AC3150=1),0,1)</f>
        <v>1</v>
      </c>
      <c r="AF3150" s="62" t="n">
        <v>1</v>
      </c>
    </row>
    <row r="3151" customFormat="false" ht="15" hidden="false" customHeight="false" outlineLevel="0" collapsed="false">
      <c r="A3151" s="62" t="n">
        <v>3150</v>
      </c>
      <c r="B3151" s="63" t="n">
        <v>46299.7846064815</v>
      </c>
      <c r="C3151" s="64" t="n">
        <v>46299</v>
      </c>
      <c r="D3151" s="62" t="s">
        <v>393</v>
      </c>
      <c r="E3151" s="62" t="s">
        <v>1616</v>
      </c>
      <c r="F3151" s="62" t="s">
        <v>1616</v>
      </c>
      <c r="G3151" s="62" t="s">
        <v>1617</v>
      </c>
      <c r="H3151" s="62" t="s">
        <v>51</v>
      </c>
      <c r="I3151" s="62" t="s">
        <v>47</v>
      </c>
      <c r="J3151" s="62" t="s">
        <v>146</v>
      </c>
      <c r="K3151" s="62" t="s">
        <v>175</v>
      </c>
      <c r="L3151" s="62" t="s">
        <v>148</v>
      </c>
      <c r="M3151" s="62" t="n">
        <v>0</v>
      </c>
      <c r="N3151" s="62" t="n">
        <v>2</v>
      </c>
      <c r="O3151" s="62" t="n">
        <v>2</v>
      </c>
      <c r="P3151" s="62" t="n">
        <v>1</v>
      </c>
      <c r="Q3151" s="62" t="n">
        <v>1</v>
      </c>
      <c r="R3151" s="62" t="n">
        <v>0</v>
      </c>
      <c r="S3151" s="62" t="n">
        <v>0</v>
      </c>
      <c r="T3151" s="62" t="n">
        <v>0</v>
      </c>
      <c r="U3151" s="62"/>
      <c r="V3151" s="62"/>
      <c r="W3151" s="62"/>
      <c r="X3151" s="62"/>
      <c r="Y3151" s="62"/>
      <c r="Z3151" s="62" t="s">
        <v>5718</v>
      </c>
      <c r="AA3151" s="62" t="s">
        <v>5719</v>
      </c>
      <c r="AB3151" s="62" t="n">
        <v>1</v>
      </c>
      <c r="AC3151" s="62" t="n">
        <v>0</v>
      </c>
      <c r="AD3151" s="62" t="n">
        <v>1</v>
      </c>
      <c r="AE3151" s="62" t="n">
        <f aca="false">IF(AND(Dashboard!$C$9="Yes",AC3151=1),0,1)</f>
        <v>1</v>
      </c>
      <c r="AF3151" s="62" t="n">
        <v>1</v>
      </c>
    </row>
    <row r="3152" customFormat="false" ht="15" hidden="false" customHeight="false" outlineLevel="0" collapsed="false">
      <c r="A3152" s="62" t="n">
        <v>3151</v>
      </c>
      <c r="B3152" s="63" t="n">
        <v>46299.795787037</v>
      </c>
      <c r="C3152" s="64" t="n">
        <v>46299</v>
      </c>
      <c r="D3152" s="62" t="s">
        <v>393</v>
      </c>
      <c r="E3152" s="62" t="s">
        <v>3580</v>
      </c>
      <c r="F3152" s="62" t="s">
        <v>3580</v>
      </c>
      <c r="G3152" s="62" t="s">
        <v>3581</v>
      </c>
      <c r="H3152" s="62" t="s">
        <v>51</v>
      </c>
      <c r="I3152" s="62" t="s">
        <v>47</v>
      </c>
      <c r="J3152" s="62" t="s">
        <v>146</v>
      </c>
      <c r="K3152" s="62" t="s">
        <v>209</v>
      </c>
      <c r="L3152" s="62" t="s">
        <v>148</v>
      </c>
      <c r="M3152" s="62" t="n">
        <v>0</v>
      </c>
      <c r="N3152" s="62" t="n">
        <v>1</v>
      </c>
      <c r="O3152" s="62" t="n">
        <v>1</v>
      </c>
      <c r="P3152" s="62" t="n">
        <v>1</v>
      </c>
      <c r="Q3152" s="62" t="n">
        <v>0</v>
      </c>
      <c r="R3152" s="62" t="n">
        <v>0</v>
      </c>
      <c r="S3152" s="62" t="n">
        <v>0</v>
      </c>
      <c r="T3152" s="62" t="n">
        <v>0</v>
      </c>
      <c r="U3152" s="62"/>
      <c r="V3152" s="62"/>
      <c r="W3152" s="62"/>
      <c r="X3152" s="62"/>
      <c r="Y3152" s="62"/>
      <c r="Z3152" s="62" t="s">
        <v>5720</v>
      </c>
      <c r="AA3152" s="62" t="s">
        <v>5721</v>
      </c>
      <c r="AB3152" s="62" t="n">
        <v>1</v>
      </c>
      <c r="AC3152" s="62" t="n">
        <v>0</v>
      </c>
      <c r="AD3152" s="62" t="n">
        <v>1</v>
      </c>
      <c r="AE3152" s="62" t="n">
        <f aca="false">IF(AND(Dashboard!$C$9="Yes",AC3152=1),0,1)</f>
        <v>1</v>
      </c>
      <c r="AF3152" s="62" t="n">
        <v>1</v>
      </c>
    </row>
    <row r="3153" customFormat="false" ht="15" hidden="false" customHeight="false" outlineLevel="0" collapsed="false">
      <c r="A3153" s="62" t="n">
        <v>3152</v>
      </c>
      <c r="B3153" s="63" t="n">
        <v>46299.8413425926</v>
      </c>
      <c r="C3153" s="64" t="n">
        <v>46299</v>
      </c>
      <c r="D3153" s="62" t="s">
        <v>393</v>
      </c>
      <c r="E3153" s="62" t="s">
        <v>2228</v>
      </c>
      <c r="F3153" s="62" t="s">
        <v>2228</v>
      </c>
      <c r="G3153" s="62" t="s">
        <v>2229</v>
      </c>
      <c r="H3153" s="62" t="s">
        <v>58</v>
      </c>
      <c r="I3153" s="62" t="s">
        <v>49</v>
      </c>
      <c r="J3153" s="62" t="s">
        <v>146</v>
      </c>
      <c r="K3153" s="62" t="s">
        <v>209</v>
      </c>
      <c r="L3153" s="62" t="s">
        <v>4</v>
      </c>
      <c r="M3153" s="62" t="n">
        <v>1</v>
      </c>
      <c r="N3153" s="62" t="n">
        <v>0</v>
      </c>
      <c r="O3153" s="62" t="n">
        <v>1</v>
      </c>
      <c r="P3153" s="62" t="n">
        <v>0</v>
      </c>
      <c r="Q3153" s="62" t="n">
        <v>0</v>
      </c>
      <c r="R3153" s="62" t="n">
        <v>0</v>
      </c>
      <c r="S3153" s="62" t="n">
        <v>0</v>
      </c>
      <c r="T3153" s="62" t="n">
        <v>0</v>
      </c>
      <c r="U3153" s="62" t="s">
        <v>2056</v>
      </c>
      <c r="V3153" s="62" t="s">
        <v>2057</v>
      </c>
      <c r="W3153" s="62" t="s">
        <v>15</v>
      </c>
      <c r="X3153" s="62" t="s">
        <v>2058</v>
      </c>
      <c r="Y3153" s="62" t="s">
        <v>2059</v>
      </c>
      <c r="Z3153" s="62" t="s">
        <v>5722</v>
      </c>
      <c r="AA3153" s="62" t="s">
        <v>5723</v>
      </c>
      <c r="AB3153" s="62" t="n">
        <v>1</v>
      </c>
      <c r="AC3153" s="62" t="n">
        <v>0</v>
      </c>
      <c r="AD3153" s="62" t="n">
        <v>1</v>
      </c>
      <c r="AE3153" s="62" t="n">
        <f aca="false">IF(AND(Dashboard!$C$9="Yes",AC3153=1),0,1)</f>
        <v>1</v>
      </c>
      <c r="AF3153" s="62" t="n">
        <v>1</v>
      </c>
    </row>
    <row r="3154" customFormat="false" ht="15" hidden="false" customHeight="false" outlineLevel="0" collapsed="false">
      <c r="A3154" s="62" t="n">
        <v>3153</v>
      </c>
      <c r="B3154" s="63" t="n">
        <v>46299.8704050926</v>
      </c>
      <c r="C3154" s="64" t="n">
        <v>46299</v>
      </c>
      <c r="D3154" s="62" t="s">
        <v>393</v>
      </c>
      <c r="E3154" s="62" t="s">
        <v>2943</v>
      </c>
      <c r="F3154" s="62" t="s">
        <v>2943</v>
      </c>
      <c r="G3154" s="62" t="s">
        <v>2944</v>
      </c>
      <c r="H3154" s="62" t="s">
        <v>48</v>
      </c>
      <c r="I3154" s="62" t="s">
        <v>49</v>
      </c>
      <c r="J3154" s="62" t="s">
        <v>146</v>
      </c>
      <c r="K3154" s="62" t="s">
        <v>209</v>
      </c>
      <c r="L3154" s="62" t="s">
        <v>148</v>
      </c>
      <c r="M3154" s="62" t="n">
        <v>0</v>
      </c>
      <c r="N3154" s="62" t="n">
        <v>1</v>
      </c>
      <c r="O3154" s="62" t="n">
        <v>1</v>
      </c>
      <c r="P3154" s="62" t="n">
        <v>1</v>
      </c>
      <c r="Q3154" s="62" t="n">
        <v>0</v>
      </c>
      <c r="R3154" s="62" t="n">
        <v>0</v>
      </c>
      <c r="S3154" s="62" t="n">
        <v>0</v>
      </c>
      <c r="T3154" s="62" t="n">
        <v>0</v>
      </c>
      <c r="U3154" s="62"/>
      <c r="V3154" s="62"/>
      <c r="W3154" s="62"/>
      <c r="X3154" s="62"/>
      <c r="Y3154" s="62"/>
      <c r="Z3154" s="62" t="s">
        <v>5724</v>
      </c>
      <c r="AA3154" s="62" t="s">
        <v>5725</v>
      </c>
      <c r="AB3154" s="62" t="n">
        <v>1</v>
      </c>
      <c r="AC3154" s="62" t="n">
        <v>0</v>
      </c>
      <c r="AD3154" s="62" t="n">
        <v>1</v>
      </c>
      <c r="AE3154" s="62" t="n">
        <f aca="false">IF(AND(Dashboard!$C$9="Yes",AC3154=1),0,1)</f>
        <v>1</v>
      </c>
      <c r="AF3154" s="62" t="n">
        <v>1</v>
      </c>
    </row>
    <row r="3155" customFormat="false" ht="15" hidden="false" customHeight="false" outlineLevel="0" collapsed="false">
      <c r="A3155" s="62" t="n">
        <v>3154</v>
      </c>
      <c r="B3155" s="63" t="n">
        <v>46299.8890625</v>
      </c>
      <c r="C3155" s="64" t="n">
        <v>46299</v>
      </c>
      <c r="D3155" s="62" t="s">
        <v>393</v>
      </c>
      <c r="E3155" s="62" t="s">
        <v>2385</v>
      </c>
      <c r="F3155" s="62" t="s">
        <v>2385</v>
      </c>
      <c r="G3155" s="62" t="s">
        <v>2386</v>
      </c>
      <c r="H3155" s="62" t="s">
        <v>59</v>
      </c>
      <c r="I3155" s="62" t="s">
        <v>47</v>
      </c>
      <c r="J3155" s="62" t="s">
        <v>146</v>
      </c>
      <c r="K3155" s="62" t="s">
        <v>209</v>
      </c>
      <c r="L3155" s="62" t="s">
        <v>148</v>
      </c>
      <c r="M3155" s="62" t="n">
        <v>0</v>
      </c>
      <c r="N3155" s="62" t="n">
        <v>1</v>
      </c>
      <c r="O3155" s="62" t="n">
        <v>1</v>
      </c>
      <c r="P3155" s="62" t="n">
        <v>1</v>
      </c>
      <c r="Q3155" s="62" t="n">
        <v>0</v>
      </c>
      <c r="R3155" s="62" t="n">
        <v>0</v>
      </c>
      <c r="S3155" s="62" t="n">
        <v>0</v>
      </c>
      <c r="T3155" s="62" t="n">
        <v>0</v>
      </c>
      <c r="U3155" s="62"/>
      <c r="V3155" s="62"/>
      <c r="W3155" s="62"/>
      <c r="X3155" s="62"/>
      <c r="Y3155" s="62"/>
      <c r="Z3155" s="62" t="s">
        <v>5726</v>
      </c>
      <c r="AA3155" s="62" t="s">
        <v>4877</v>
      </c>
      <c r="AB3155" s="62" t="n">
        <v>0</v>
      </c>
      <c r="AC3155" s="62" t="n">
        <v>0</v>
      </c>
      <c r="AD3155" s="62" t="n">
        <v>1</v>
      </c>
      <c r="AE3155" s="62" t="n">
        <f aca="false">IF(AND(Dashboard!$C$9="Yes",AC3155=1),0,1)</f>
        <v>1</v>
      </c>
      <c r="AF3155" s="62" t="n">
        <v>1</v>
      </c>
    </row>
    <row r="3156" customFormat="false" ht="15" hidden="false" customHeight="false" outlineLevel="0" collapsed="false">
      <c r="A3156" s="62" t="n">
        <v>3155</v>
      </c>
      <c r="B3156" s="63" t="n">
        <v>46299.8895717593</v>
      </c>
      <c r="C3156" s="64" t="n">
        <v>46299</v>
      </c>
      <c r="D3156" s="62" t="s">
        <v>393</v>
      </c>
      <c r="E3156" s="62" t="s">
        <v>1539</v>
      </c>
      <c r="F3156" s="62" t="s">
        <v>1539</v>
      </c>
      <c r="G3156" s="62" t="s">
        <v>1540</v>
      </c>
      <c r="H3156" s="62" t="s">
        <v>52</v>
      </c>
      <c r="I3156" s="62" t="s">
        <v>47</v>
      </c>
      <c r="J3156" s="62" t="s">
        <v>146</v>
      </c>
      <c r="K3156" s="62" t="s">
        <v>147</v>
      </c>
      <c r="L3156" s="62" t="s">
        <v>4</v>
      </c>
      <c r="M3156" s="62" t="n">
        <v>1</v>
      </c>
      <c r="N3156" s="62" t="n">
        <v>0</v>
      </c>
      <c r="O3156" s="62" t="n">
        <v>1</v>
      </c>
      <c r="P3156" s="62" t="n">
        <v>0</v>
      </c>
      <c r="Q3156" s="62" t="n">
        <v>0</v>
      </c>
      <c r="R3156" s="62" t="n">
        <v>0</v>
      </c>
      <c r="S3156" s="62" t="n">
        <v>0</v>
      </c>
      <c r="T3156" s="62" t="n">
        <v>0</v>
      </c>
      <c r="U3156" s="62" t="s">
        <v>2056</v>
      </c>
      <c r="V3156" s="62" t="s">
        <v>2057</v>
      </c>
      <c r="W3156" s="62" t="s">
        <v>15</v>
      </c>
      <c r="X3156" s="62" t="s">
        <v>2125</v>
      </c>
      <c r="Y3156" s="62" t="s">
        <v>2059</v>
      </c>
      <c r="Z3156" s="62" t="s">
        <v>5727</v>
      </c>
      <c r="AA3156" s="62" t="s">
        <v>5728</v>
      </c>
      <c r="AB3156" s="62" t="n">
        <v>1</v>
      </c>
      <c r="AC3156" s="62" t="n">
        <v>0</v>
      </c>
      <c r="AD3156" s="62" t="n">
        <v>1</v>
      </c>
      <c r="AE3156" s="62" t="n">
        <f aca="false">IF(AND(Dashboard!$C$9="Yes",AC3156=1),0,1)</f>
        <v>1</v>
      </c>
      <c r="AF3156" s="62" t="n">
        <v>1</v>
      </c>
    </row>
    <row r="3157" customFormat="false" ht="15" hidden="false" customHeight="false" outlineLevel="0" collapsed="false">
      <c r="A3157" s="62" t="n">
        <v>3156</v>
      </c>
      <c r="B3157" s="63" t="n">
        <v>46299.9034490741</v>
      </c>
      <c r="C3157" s="64" t="n">
        <v>46299</v>
      </c>
      <c r="D3157" s="62" t="s">
        <v>393</v>
      </c>
      <c r="E3157" s="62" t="s">
        <v>371</v>
      </c>
      <c r="F3157" s="62" t="s">
        <v>371</v>
      </c>
      <c r="G3157" s="62" t="s">
        <v>372</v>
      </c>
      <c r="H3157" s="62" t="s">
        <v>59</v>
      </c>
      <c r="I3157" s="62" t="s">
        <v>47</v>
      </c>
      <c r="J3157" s="62" t="s">
        <v>146</v>
      </c>
      <c r="K3157" s="62" t="s">
        <v>147</v>
      </c>
      <c r="L3157" s="62" t="s">
        <v>148</v>
      </c>
      <c r="M3157" s="62" t="n">
        <v>0</v>
      </c>
      <c r="N3157" s="62" t="n">
        <v>1</v>
      </c>
      <c r="O3157" s="62" t="n">
        <v>1</v>
      </c>
      <c r="P3157" s="62" t="n">
        <v>0</v>
      </c>
      <c r="Q3157" s="62" t="n">
        <v>0</v>
      </c>
      <c r="R3157" s="62" t="n">
        <v>0</v>
      </c>
      <c r="S3157" s="62" t="n">
        <v>0</v>
      </c>
      <c r="T3157" s="62" t="n">
        <v>1</v>
      </c>
      <c r="U3157" s="62"/>
      <c r="V3157" s="62"/>
      <c r="W3157" s="62"/>
      <c r="X3157" s="62"/>
      <c r="Y3157" s="62"/>
      <c r="Z3157" s="62" t="s">
        <v>5729</v>
      </c>
      <c r="AA3157" s="62" t="s">
        <v>5730</v>
      </c>
      <c r="AB3157" s="62" t="n">
        <v>1</v>
      </c>
      <c r="AC3157" s="62" t="n">
        <v>0</v>
      </c>
      <c r="AD3157" s="62" t="n">
        <v>1</v>
      </c>
      <c r="AE3157" s="62" t="n">
        <f aca="false">IF(AND(Dashboard!$C$9="Yes",AC3157=1),0,1)</f>
        <v>1</v>
      </c>
      <c r="AF3157" s="62" t="n">
        <v>1</v>
      </c>
    </row>
    <row r="3158" customFormat="false" ht="15" hidden="false" customHeight="false" outlineLevel="0" collapsed="false">
      <c r="A3158" s="62" t="n">
        <v>3157</v>
      </c>
      <c r="B3158" s="63" t="n">
        <v>46299.9329398148</v>
      </c>
      <c r="C3158" s="64" t="n">
        <v>46299</v>
      </c>
      <c r="D3158" s="62" t="s">
        <v>393</v>
      </c>
      <c r="E3158" s="62" t="s">
        <v>3018</v>
      </c>
      <c r="F3158" s="62" t="s">
        <v>3018</v>
      </c>
      <c r="G3158" s="62" t="s">
        <v>3019</v>
      </c>
      <c r="H3158" s="62" t="s">
        <v>58</v>
      </c>
      <c r="I3158" s="62" t="s">
        <v>49</v>
      </c>
      <c r="J3158" s="62" t="s">
        <v>146</v>
      </c>
      <c r="K3158" s="62" t="s">
        <v>175</v>
      </c>
      <c r="L3158" s="62" t="s">
        <v>4</v>
      </c>
      <c r="M3158" s="62" t="n">
        <v>1</v>
      </c>
      <c r="N3158" s="62" t="n">
        <v>0</v>
      </c>
      <c r="O3158" s="62" t="n">
        <v>1</v>
      </c>
      <c r="P3158" s="62" t="n">
        <v>0</v>
      </c>
      <c r="Q3158" s="62" t="n">
        <v>0</v>
      </c>
      <c r="R3158" s="62" t="n">
        <v>0</v>
      </c>
      <c r="S3158" s="62" t="n">
        <v>0</v>
      </c>
      <c r="T3158" s="62" t="n">
        <v>0</v>
      </c>
      <c r="U3158" s="62" t="s">
        <v>2056</v>
      </c>
      <c r="V3158" s="62" t="s">
        <v>2057</v>
      </c>
      <c r="W3158" s="62" t="s">
        <v>15</v>
      </c>
      <c r="X3158" s="62" t="s">
        <v>2125</v>
      </c>
      <c r="Y3158" s="62" t="s">
        <v>2059</v>
      </c>
      <c r="Z3158" s="62" t="s">
        <v>5731</v>
      </c>
      <c r="AA3158" s="62" t="s">
        <v>5732</v>
      </c>
      <c r="AB3158" s="62" t="n">
        <v>1</v>
      </c>
      <c r="AC3158" s="62" t="n">
        <v>0</v>
      </c>
      <c r="AD3158" s="62" t="n">
        <v>1</v>
      </c>
      <c r="AE3158" s="62" t="n">
        <f aca="false">IF(AND(Dashboard!$C$9="Yes",AC3158=1),0,1)</f>
        <v>1</v>
      </c>
      <c r="AF3158" s="62" t="n">
        <v>1</v>
      </c>
    </row>
    <row r="3159" customFormat="false" ht="15" hidden="false" customHeight="false" outlineLevel="0" collapsed="false">
      <c r="A3159" s="62" t="n">
        <v>3158</v>
      </c>
      <c r="B3159" s="63" t="n">
        <v>46299.9390625</v>
      </c>
      <c r="C3159" s="64" t="n">
        <v>46299</v>
      </c>
      <c r="D3159" s="62" t="s">
        <v>393</v>
      </c>
      <c r="E3159" s="62" t="s">
        <v>1155</v>
      </c>
      <c r="F3159" s="62" t="s">
        <v>1155</v>
      </c>
      <c r="G3159" s="62" t="s">
        <v>1156</v>
      </c>
      <c r="H3159" s="62" t="s">
        <v>59</v>
      </c>
      <c r="I3159" s="62" t="s">
        <v>47</v>
      </c>
      <c r="J3159" s="62" t="s">
        <v>146</v>
      </c>
      <c r="K3159" s="62" t="s">
        <v>209</v>
      </c>
      <c r="L3159" s="62" t="s">
        <v>148</v>
      </c>
      <c r="M3159" s="62" t="n">
        <v>0</v>
      </c>
      <c r="N3159" s="62" t="n">
        <v>1</v>
      </c>
      <c r="O3159" s="62" t="n">
        <v>1</v>
      </c>
      <c r="P3159" s="62" t="n">
        <v>0</v>
      </c>
      <c r="Q3159" s="62" t="n">
        <v>0</v>
      </c>
      <c r="R3159" s="62" t="n">
        <v>1</v>
      </c>
      <c r="S3159" s="62" t="n">
        <v>0</v>
      </c>
      <c r="T3159" s="62" t="n">
        <v>0</v>
      </c>
      <c r="U3159" s="62"/>
      <c r="V3159" s="62"/>
      <c r="W3159" s="62"/>
      <c r="X3159" s="62"/>
      <c r="Y3159" s="62"/>
      <c r="Z3159" s="62" t="s">
        <v>5733</v>
      </c>
      <c r="AA3159" s="62" t="s">
        <v>5734</v>
      </c>
      <c r="AB3159" s="62" t="n">
        <v>1</v>
      </c>
      <c r="AC3159" s="62" t="n">
        <v>0</v>
      </c>
      <c r="AD3159" s="62" t="n">
        <v>1</v>
      </c>
      <c r="AE3159" s="62" t="n">
        <f aca="false">IF(AND(Dashboard!$C$9="Yes",AC3159=1),0,1)</f>
        <v>1</v>
      </c>
      <c r="AF3159" s="62" t="n">
        <v>1</v>
      </c>
    </row>
    <row r="3160" customFormat="false" ht="15" hidden="false" customHeight="false" outlineLevel="0" collapsed="false">
      <c r="A3160" s="62" t="n">
        <v>3159</v>
      </c>
      <c r="B3160" s="63" t="n">
        <v>46299.9520717593</v>
      </c>
      <c r="C3160" s="64" t="n">
        <v>46299</v>
      </c>
      <c r="D3160" s="62" t="s">
        <v>393</v>
      </c>
      <c r="E3160" s="62" t="s">
        <v>518</v>
      </c>
      <c r="F3160" s="62" t="s">
        <v>518</v>
      </c>
      <c r="G3160" s="62" t="s">
        <v>519</v>
      </c>
      <c r="H3160" s="62" t="s">
        <v>52</v>
      </c>
      <c r="I3160" s="62" t="s">
        <v>47</v>
      </c>
      <c r="J3160" s="62" t="s">
        <v>146</v>
      </c>
      <c r="K3160" s="62" t="s">
        <v>147</v>
      </c>
      <c r="L3160" s="62" t="s">
        <v>148</v>
      </c>
      <c r="M3160" s="62" t="n">
        <v>0</v>
      </c>
      <c r="N3160" s="62" t="n">
        <v>1</v>
      </c>
      <c r="O3160" s="62" t="n">
        <v>1</v>
      </c>
      <c r="P3160" s="62" t="n">
        <v>1</v>
      </c>
      <c r="Q3160" s="62" t="n">
        <v>0</v>
      </c>
      <c r="R3160" s="62" t="n">
        <v>0</v>
      </c>
      <c r="S3160" s="62" t="n">
        <v>0</v>
      </c>
      <c r="T3160" s="62" t="n">
        <v>0</v>
      </c>
      <c r="U3160" s="62"/>
      <c r="V3160" s="62"/>
      <c r="W3160" s="62"/>
      <c r="X3160" s="62"/>
      <c r="Y3160" s="62"/>
      <c r="Z3160" s="62" t="s">
        <v>5735</v>
      </c>
      <c r="AA3160" s="62" t="s">
        <v>5736</v>
      </c>
      <c r="AB3160" s="62" t="n">
        <v>1</v>
      </c>
      <c r="AC3160" s="62" t="n">
        <v>0</v>
      </c>
      <c r="AD3160" s="62" t="n">
        <v>1</v>
      </c>
      <c r="AE3160" s="62" t="n">
        <f aca="false">IF(AND(Dashboard!$C$9="Yes",AC3160=1),0,1)</f>
        <v>1</v>
      </c>
      <c r="AF3160" s="62" t="n">
        <v>1</v>
      </c>
    </row>
    <row r="3161" customFormat="false" ht="15" hidden="false" customHeight="false" outlineLevel="0" collapsed="false">
      <c r="A3161" s="62" t="n">
        <v>3160</v>
      </c>
      <c r="B3161" s="63" t="n">
        <v>46299.9612268519</v>
      </c>
      <c r="C3161" s="64" t="n">
        <v>46299</v>
      </c>
      <c r="D3161" s="62" t="s">
        <v>393</v>
      </c>
      <c r="E3161" s="62" t="s">
        <v>1827</v>
      </c>
      <c r="F3161" s="62" t="s">
        <v>1827</v>
      </c>
      <c r="G3161" s="62" t="s">
        <v>1828</v>
      </c>
      <c r="H3161" s="62" t="s">
        <v>59</v>
      </c>
      <c r="I3161" s="62" t="s">
        <v>47</v>
      </c>
      <c r="J3161" s="62" t="s">
        <v>146</v>
      </c>
      <c r="K3161" s="62" t="s">
        <v>209</v>
      </c>
      <c r="L3161" s="62" t="s">
        <v>148</v>
      </c>
      <c r="M3161" s="62" t="n">
        <v>0</v>
      </c>
      <c r="N3161" s="62" t="n">
        <v>1</v>
      </c>
      <c r="O3161" s="62" t="n">
        <v>1</v>
      </c>
      <c r="P3161" s="62" t="n">
        <v>1</v>
      </c>
      <c r="Q3161" s="62" t="n">
        <v>0</v>
      </c>
      <c r="R3161" s="62" t="n">
        <v>0</v>
      </c>
      <c r="S3161" s="62" t="n">
        <v>0</v>
      </c>
      <c r="T3161" s="62" t="n">
        <v>0</v>
      </c>
      <c r="U3161" s="62"/>
      <c r="V3161" s="62"/>
      <c r="W3161" s="62"/>
      <c r="X3161" s="62"/>
      <c r="Y3161" s="62"/>
      <c r="Z3161" s="62" t="s">
        <v>5737</v>
      </c>
      <c r="AA3161" s="62" t="s">
        <v>5738</v>
      </c>
      <c r="AB3161" s="62" t="n">
        <v>1</v>
      </c>
      <c r="AC3161" s="62" t="n">
        <v>0</v>
      </c>
      <c r="AD3161" s="62" t="n">
        <v>1</v>
      </c>
      <c r="AE3161" s="62" t="n">
        <f aca="false">IF(AND(Dashboard!$C$9="Yes",AC3161=1),0,1)</f>
        <v>1</v>
      </c>
      <c r="AF3161" s="62" t="n">
        <v>1</v>
      </c>
    </row>
    <row r="3162" customFormat="false" ht="15" hidden="false" customHeight="false" outlineLevel="0" collapsed="false">
      <c r="A3162" s="62" t="n">
        <v>3161</v>
      </c>
      <c r="B3162" s="63" t="n">
        <v>46299.9750578704</v>
      </c>
      <c r="C3162" s="64" t="n">
        <v>46299</v>
      </c>
      <c r="D3162" s="62" t="s">
        <v>393</v>
      </c>
      <c r="E3162" s="62" t="s">
        <v>1827</v>
      </c>
      <c r="F3162" s="62" t="s">
        <v>1827</v>
      </c>
      <c r="G3162" s="62" t="s">
        <v>1828</v>
      </c>
      <c r="H3162" s="62" t="s">
        <v>59</v>
      </c>
      <c r="I3162" s="62" t="s">
        <v>47</v>
      </c>
      <c r="J3162" s="62" t="s">
        <v>146</v>
      </c>
      <c r="K3162" s="62" t="s">
        <v>209</v>
      </c>
      <c r="L3162" s="62" t="s">
        <v>148</v>
      </c>
      <c r="M3162" s="62" t="n">
        <v>0</v>
      </c>
      <c r="N3162" s="62" t="n">
        <v>1</v>
      </c>
      <c r="O3162" s="62" t="n">
        <v>1</v>
      </c>
      <c r="P3162" s="62" t="n">
        <v>0</v>
      </c>
      <c r="Q3162" s="62" t="n">
        <v>1</v>
      </c>
      <c r="R3162" s="62" t="n">
        <v>0</v>
      </c>
      <c r="S3162" s="62" t="n">
        <v>0</v>
      </c>
      <c r="T3162" s="62" t="n">
        <v>0</v>
      </c>
      <c r="U3162" s="62"/>
      <c r="V3162" s="62"/>
      <c r="W3162" s="62"/>
      <c r="X3162" s="62"/>
      <c r="Y3162" s="62"/>
      <c r="Z3162" s="62" t="s">
        <v>5737</v>
      </c>
      <c r="AA3162" s="62" t="s">
        <v>5739</v>
      </c>
      <c r="AB3162" s="62" t="n">
        <v>1</v>
      </c>
      <c r="AC3162" s="62" t="n">
        <v>0</v>
      </c>
      <c r="AD3162" s="62" t="n">
        <v>1</v>
      </c>
      <c r="AE3162" s="62" t="n">
        <f aca="false">IF(AND(Dashboard!$C$9="Yes",AC3162=1),0,1)</f>
        <v>1</v>
      </c>
      <c r="AF3162" s="62" t="n">
        <v>0</v>
      </c>
    </row>
    <row r="3163" customFormat="false" ht="15" hidden="false" customHeight="false" outlineLevel="0" collapsed="false">
      <c r="A3163" s="62" t="n">
        <v>3162</v>
      </c>
      <c r="B3163" s="63" t="n">
        <v>46299.9907060185</v>
      </c>
      <c r="C3163" s="64" t="n">
        <v>46299</v>
      </c>
      <c r="D3163" s="62" t="s">
        <v>393</v>
      </c>
      <c r="E3163" s="62" t="s">
        <v>3018</v>
      </c>
      <c r="F3163" s="62" t="s">
        <v>3018</v>
      </c>
      <c r="G3163" s="62" t="s">
        <v>3019</v>
      </c>
      <c r="H3163" s="62" t="s">
        <v>58</v>
      </c>
      <c r="I3163" s="62" t="s">
        <v>49</v>
      </c>
      <c r="J3163" s="62" t="s">
        <v>146</v>
      </c>
      <c r="K3163" s="62" t="s">
        <v>175</v>
      </c>
      <c r="L3163" s="62" t="s">
        <v>148</v>
      </c>
      <c r="M3163" s="62" t="n">
        <v>0</v>
      </c>
      <c r="N3163" s="62" t="n">
        <v>1</v>
      </c>
      <c r="O3163" s="62" t="n">
        <v>1</v>
      </c>
      <c r="P3163" s="62" t="n">
        <v>1</v>
      </c>
      <c r="Q3163" s="62" t="n">
        <v>0</v>
      </c>
      <c r="R3163" s="62" t="n">
        <v>0</v>
      </c>
      <c r="S3163" s="62" t="n">
        <v>0</v>
      </c>
      <c r="T3163" s="62" t="n">
        <v>0</v>
      </c>
      <c r="U3163" s="62"/>
      <c r="V3163" s="62"/>
      <c r="W3163" s="62"/>
      <c r="X3163" s="62"/>
      <c r="Y3163" s="62"/>
      <c r="Z3163" s="62" t="s">
        <v>5740</v>
      </c>
      <c r="AA3163" s="62" t="s">
        <v>5741</v>
      </c>
      <c r="AB3163" s="62" t="n">
        <v>1</v>
      </c>
      <c r="AC3163" s="62" t="n">
        <v>0</v>
      </c>
      <c r="AD3163" s="62" t="n">
        <v>1</v>
      </c>
      <c r="AE3163" s="62" t="n">
        <f aca="false">IF(AND(Dashboard!$C$9="Yes",AC3163=1),0,1)</f>
        <v>1</v>
      </c>
      <c r="AF3163" s="62" t="n">
        <v>0</v>
      </c>
    </row>
    <row r="3164" customFormat="false" ht="15" hidden="false" customHeight="false" outlineLevel="0" collapsed="false">
      <c r="A3164" s="62" t="n">
        <v>3163</v>
      </c>
      <c r="B3164" s="63" t="n">
        <v>46299.9937847222</v>
      </c>
      <c r="C3164" s="64" t="n">
        <v>46299</v>
      </c>
      <c r="D3164" s="62" t="s">
        <v>393</v>
      </c>
      <c r="E3164" s="62" t="s">
        <v>2228</v>
      </c>
      <c r="F3164" s="62" t="s">
        <v>2228</v>
      </c>
      <c r="G3164" s="62" t="s">
        <v>2229</v>
      </c>
      <c r="H3164" s="62" t="s">
        <v>58</v>
      </c>
      <c r="I3164" s="62" t="s">
        <v>49</v>
      </c>
      <c r="J3164" s="62" t="s">
        <v>146</v>
      </c>
      <c r="K3164" s="62" t="s">
        <v>209</v>
      </c>
      <c r="L3164" s="62" t="s">
        <v>148</v>
      </c>
      <c r="M3164" s="62" t="n">
        <v>0</v>
      </c>
      <c r="N3164" s="62" t="n">
        <v>1</v>
      </c>
      <c r="O3164" s="62" t="n">
        <v>1</v>
      </c>
      <c r="P3164" s="62" t="n">
        <v>1</v>
      </c>
      <c r="Q3164" s="62" t="n">
        <v>0</v>
      </c>
      <c r="R3164" s="62" t="n">
        <v>0</v>
      </c>
      <c r="S3164" s="62" t="n">
        <v>0</v>
      </c>
      <c r="T3164" s="62" t="n">
        <v>0</v>
      </c>
      <c r="U3164" s="62"/>
      <c r="V3164" s="62"/>
      <c r="W3164" s="62"/>
      <c r="X3164" s="62"/>
      <c r="Y3164" s="62"/>
      <c r="Z3164" s="62" t="s">
        <v>5742</v>
      </c>
      <c r="AA3164" s="62" t="s">
        <v>5743</v>
      </c>
      <c r="AB3164" s="62" t="n">
        <v>1</v>
      </c>
      <c r="AC3164" s="62" t="n">
        <v>0</v>
      </c>
      <c r="AD3164" s="62" t="n">
        <v>1</v>
      </c>
      <c r="AE3164" s="62" t="n">
        <f aca="false">IF(AND(Dashboard!$C$9="Yes",AC3164=1),0,1)</f>
        <v>1</v>
      </c>
      <c r="AF3164" s="62" t="n">
        <v>0</v>
      </c>
    </row>
    <row r="3165" customFormat="false" ht="15" hidden="false" customHeight="false" outlineLevel="0" collapsed="false">
      <c r="A3165" s="62" t="n">
        <v>3164</v>
      </c>
      <c r="B3165" s="63" t="n">
        <v>46300.0044907407</v>
      </c>
      <c r="C3165" s="64" t="n">
        <v>46299</v>
      </c>
      <c r="D3165" s="62" t="s">
        <v>393</v>
      </c>
      <c r="E3165" s="62" t="s">
        <v>2722</v>
      </c>
      <c r="F3165" s="62" t="s">
        <v>2722</v>
      </c>
      <c r="G3165" s="62" t="s">
        <v>2723</v>
      </c>
      <c r="H3165" s="62" t="s">
        <v>55</v>
      </c>
      <c r="I3165" s="62" t="s">
        <v>49</v>
      </c>
      <c r="J3165" s="62" t="s">
        <v>146</v>
      </c>
      <c r="K3165" s="62" t="s">
        <v>209</v>
      </c>
      <c r="L3165" s="62" t="s">
        <v>4</v>
      </c>
      <c r="M3165" s="62" t="n">
        <v>1</v>
      </c>
      <c r="N3165" s="62" t="n">
        <v>0</v>
      </c>
      <c r="O3165" s="62" t="n">
        <v>1</v>
      </c>
      <c r="P3165" s="62" t="n">
        <v>0</v>
      </c>
      <c r="Q3165" s="62" t="n">
        <v>0</v>
      </c>
      <c r="R3165" s="62" t="n">
        <v>0</v>
      </c>
      <c r="S3165" s="62" t="n">
        <v>0</v>
      </c>
      <c r="T3165" s="62" t="n">
        <v>0</v>
      </c>
      <c r="U3165" s="62" t="s">
        <v>2056</v>
      </c>
      <c r="V3165" s="62" t="s">
        <v>2057</v>
      </c>
      <c r="W3165" s="62" t="s">
        <v>2056</v>
      </c>
      <c r="X3165" s="62" t="s">
        <v>2125</v>
      </c>
      <c r="Y3165" s="62" t="s">
        <v>2059</v>
      </c>
      <c r="Z3165" s="62" t="s">
        <v>5744</v>
      </c>
      <c r="AA3165" s="62" t="s">
        <v>5745</v>
      </c>
      <c r="AB3165" s="62" t="n">
        <v>1</v>
      </c>
      <c r="AC3165" s="62" t="n">
        <v>0</v>
      </c>
      <c r="AD3165" s="62" t="n">
        <v>1</v>
      </c>
      <c r="AE3165" s="62" t="n">
        <f aca="false">IF(AND(Dashboard!$C$9="Yes",AC3165=1),0,1)</f>
        <v>1</v>
      </c>
      <c r="AF3165" s="62" t="n">
        <v>1</v>
      </c>
    </row>
    <row r="3166" customFormat="false" ht="15" hidden="false" customHeight="false" outlineLevel="0" collapsed="false">
      <c r="A3166" s="62" t="n">
        <v>3165</v>
      </c>
      <c r="B3166" s="63" t="n">
        <v>46300.0059953704</v>
      </c>
      <c r="C3166" s="64" t="n">
        <v>46299</v>
      </c>
      <c r="D3166" s="62" t="s">
        <v>393</v>
      </c>
      <c r="E3166" s="62" t="s">
        <v>2722</v>
      </c>
      <c r="F3166" s="62" t="s">
        <v>2722</v>
      </c>
      <c r="G3166" s="62" t="s">
        <v>2723</v>
      </c>
      <c r="H3166" s="62" t="s">
        <v>55</v>
      </c>
      <c r="I3166" s="62" t="s">
        <v>49</v>
      </c>
      <c r="J3166" s="62" t="s">
        <v>146</v>
      </c>
      <c r="K3166" s="62" t="s">
        <v>209</v>
      </c>
      <c r="L3166" s="62" t="s">
        <v>148</v>
      </c>
      <c r="M3166" s="62" t="n">
        <v>0</v>
      </c>
      <c r="N3166" s="62" t="n">
        <v>1</v>
      </c>
      <c r="O3166" s="62" t="n">
        <v>1</v>
      </c>
      <c r="P3166" s="62" t="n">
        <v>0</v>
      </c>
      <c r="Q3166" s="62" t="n">
        <v>1</v>
      </c>
      <c r="R3166" s="62" t="n">
        <v>0</v>
      </c>
      <c r="S3166" s="62" t="n">
        <v>0</v>
      </c>
      <c r="T3166" s="62" t="n">
        <v>0</v>
      </c>
      <c r="U3166" s="62"/>
      <c r="V3166" s="62"/>
      <c r="W3166" s="62"/>
      <c r="X3166" s="62"/>
      <c r="Y3166" s="62"/>
      <c r="Z3166" s="62" t="s">
        <v>5746</v>
      </c>
      <c r="AA3166" s="62" t="s">
        <v>5747</v>
      </c>
      <c r="AB3166" s="62" t="n">
        <v>1</v>
      </c>
      <c r="AC3166" s="62" t="n">
        <v>0</v>
      </c>
      <c r="AD3166" s="62" t="n">
        <v>1</v>
      </c>
      <c r="AE3166" s="62" t="n">
        <f aca="false">IF(AND(Dashboard!$C$9="Yes",AC3166=1),0,1)</f>
        <v>1</v>
      </c>
      <c r="AF3166" s="62" t="n">
        <v>0</v>
      </c>
    </row>
    <row r="3167" customFormat="false" ht="15" hidden="false" customHeight="false" outlineLevel="0" collapsed="false">
      <c r="A3167" s="62" t="n">
        <v>3166</v>
      </c>
      <c r="B3167" s="63" t="n">
        <v>46300.0130439815</v>
      </c>
      <c r="C3167" s="64" t="n">
        <v>46299</v>
      </c>
      <c r="D3167" s="62" t="s">
        <v>393</v>
      </c>
      <c r="E3167" s="62" t="s">
        <v>2385</v>
      </c>
      <c r="F3167" s="62" t="s">
        <v>2385</v>
      </c>
      <c r="G3167" s="62" t="s">
        <v>2386</v>
      </c>
      <c r="H3167" s="62" t="s">
        <v>59</v>
      </c>
      <c r="I3167" s="62" t="s">
        <v>47</v>
      </c>
      <c r="J3167" s="62" t="s">
        <v>146</v>
      </c>
      <c r="K3167" s="62" t="s">
        <v>209</v>
      </c>
      <c r="L3167" s="62" t="s">
        <v>148</v>
      </c>
      <c r="M3167" s="62" t="n">
        <v>0</v>
      </c>
      <c r="N3167" s="62" t="n">
        <v>3</v>
      </c>
      <c r="O3167" s="62" t="n">
        <v>3</v>
      </c>
      <c r="P3167" s="62" t="n">
        <v>0</v>
      </c>
      <c r="Q3167" s="62" t="n">
        <v>1</v>
      </c>
      <c r="R3167" s="62" t="n">
        <v>0</v>
      </c>
      <c r="S3167" s="62" t="n">
        <v>1</v>
      </c>
      <c r="T3167" s="62" t="n">
        <v>1</v>
      </c>
      <c r="U3167" s="62"/>
      <c r="V3167" s="62"/>
      <c r="W3167" s="62"/>
      <c r="X3167" s="62"/>
      <c r="Y3167" s="62"/>
      <c r="Z3167" s="62" t="s">
        <v>5748</v>
      </c>
      <c r="AA3167" s="62" t="s">
        <v>4877</v>
      </c>
      <c r="AB3167" s="62" t="n">
        <v>0</v>
      </c>
      <c r="AC3167" s="62" t="n">
        <v>0</v>
      </c>
      <c r="AD3167" s="62" t="n">
        <v>1</v>
      </c>
      <c r="AE3167" s="62" t="n">
        <f aca="false">IF(AND(Dashboard!$C$9="Yes",AC3167=1),0,1)</f>
        <v>1</v>
      </c>
      <c r="AF3167" s="62" t="n">
        <v>0</v>
      </c>
    </row>
    <row r="3168" customFormat="false" ht="15" hidden="false" customHeight="false" outlineLevel="0" collapsed="false">
      <c r="A3168" s="62" t="n">
        <v>3167</v>
      </c>
      <c r="B3168" s="63" t="n">
        <v>46300.0133449074</v>
      </c>
      <c r="C3168" s="64" t="n">
        <v>46299</v>
      </c>
      <c r="D3168" s="62" t="s">
        <v>393</v>
      </c>
      <c r="E3168" s="62" t="s">
        <v>4258</v>
      </c>
      <c r="F3168" s="62" t="s">
        <v>4258</v>
      </c>
      <c r="G3168" s="62" t="s">
        <v>4259</v>
      </c>
      <c r="H3168" s="62" t="s">
        <v>44</v>
      </c>
      <c r="I3168" s="62" t="s">
        <v>49</v>
      </c>
      <c r="J3168" s="62" t="s">
        <v>146</v>
      </c>
      <c r="K3168" s="62" t="s">
        <v>147</v>
      </c>
      <c r="L3168" s="62" t="s">
        <v>148</v>
      </c>
      <c r="M3168" s="62" t="n">
        <v>0</v>
      </c>
      <c r="N3168" s="62" t="n">
        <v>1</v>
      </c>
      <c r="O3168" s="62" t="n">
        <v>1</v>
      </c>
      <c r="P3168" s="62" t="n">
        <v>1</v>
      </c>
      <c r="Q3168" s="62" t="n">
        <v>0</v>
      </c>
      <c r="R3168" s="62" t="n">
        <v>0</v>
      </c>
      <c r="S3168" s="62" t="n">
        <v>0</v>
      </c>
      <c r="T3168" s="62" t="n">
        <v>0</v>
      </c>
      <c r="U3168" s="62"/>
      <c r="V3168" s="62"/>
      <c r="W3168" s="62"/>
      <c r="X3168" s="62"/>
      <c r="Y3168" s="62"/>
      <c r="Z3168" s="62" t="s">
        <v>5749</v>
      </c>
      <c r="AA3168" s="62" t="s">
        <v>5750</v>
      </c>
      <c r="AB3168" s="62" t="n">
        <v>1</v>
      </c>
      <c r="AC3168" s="62" t="n">
        <v>0</v>
      </c>
      <c r="AD3168" s="62" t="n">
        <v>1</v>
      </c>
      <c r="AE3168" s="62" t="n">
        <f aca="false">IF(AND(Dashboard!$C$9="Yes",AC3168=1),0,1)</f>
        <v>1</v>
      </c>
      <c r="AF3168" s="62" t="n">
        <v>1</v>
      </c>
    </row>
    <row r="3169" customFormat="false" ht="15" hidden="false" customHeight="false" outlineLevel="0" collapsed="false">
      <c r="A3169" s="62" t="n">
        <v>3168</v>
      </c>
      <c r="B3169" s="63" t="n">
        <v>46300.0187152778</v>
      </c>
      <c r="C3169" s="64" t="n">
        <v>46299</v>
      </c>
      <c r="D3169" s="62" t="s">
        <v>393</v>
      </c>
      <c r="E3169" s="62" t="s">
        <v>2845</v>
      </c>
      <c r="F3169" s="62" t="s">
        <v>2845</v>
      </c>
      <c r="G3169" s="62" t="s">
        <v>181</v>
      </c>
      <c r="H3169" s="62" t="s">
        <v>48</v>
      </c>
      <c r="I3169" s="62" t="s">
        <v>49</v>
      </c>
      <c r="J3169" s="62" t="s">
        <v>146</v>
      </c>
      <c r="K3169" s="62" t="s">
        <v>209</v>
      </c>
      <c r="L3169" s="62" t="s">
        <v>148</v>
      </c>
      <c r="M3169" s="62" t="n">
        <v>0</v>
      </c>
      <c r="N3169" s="62" t="n">
        <v>1</v>
      </c>
      <c r="O3169" s="62" t="n">
        <v>1</v>
      </c>
      <c r="P3169" s="62" t="n">
        <v>1</v>
      </c>
      <c r="Q3169" s="62" t="n">
        <v>0</v>
      </c>
      <c r="R3169" s="62" t="n">
        <v>0</v>
      </c>
      <c r="S3169" s="62" t="n">
        <v>0</v>
      </c>
      <c r="T3169" s="62" t="n">
        <v>0</v>
      </c>
      <c r="U3169" s="62"/>
      <c r="V3169" s="62"/>
      <c r="W3169" s="62"/>
      <c r="X3169" s="62"/>
      <c r="Y3169" s="62"/>
      <c r="Z3169" s="62" t="s">
        <v>5751</v>
      </c>
      <c r="AA3169" s="62" t="s">
        <v>5752</v>
      </c>
      <c r="AB3169" s="62" t="n">
        <v>1</v>
      </c>
      <c r="AC3169" s="62" t="n">
        <v>0</v>
      </c>
      <c r="AD3169" s="62" t="n">
        <v>1</v>
      </c>
      <c r="AE3169" s="62" t="n">
        <f aca="false">IF(AND(Dashboard!$C$9="Yes",AC3169=1),0,1)</f>
        <v>1</v>
      </c>
      <c r="AF3169" s="62" t="n">
        <v>1</v>
      </c>
    </row>
    <row r="3170" customFormat="false" ht="15" hidden="false" customHeight="false" outlineLevel="0" collapsed="false">
      <c r="A3170" s="62" t="n">
        <v>3169</v>
      </c>
      <c r="B3170" s="63" t="n">
        <v>46300.0455092593</v>
      </c>
      <c r="C3170" s="64" t="n">
        <v>46299</v>
      </c>
      <c r="D3170" s="62" t="s">
        <v>393</v>
      </c>
      <c r="E3170" s="62" t="s">
        <v>2228</v>
      </c>
      <c r="F3170" s="62" t="s">
        <v>2228</v>
      </c>
      <c r="G3170" s="62" t="s">
        <v>2229</v>
      </c>
      <c r="H3170" s="62" t="s">
        <v>58</v>
      </c>
      <c r="I3170" s="62" t="s">
        <v>49</v>
      </c>
      <c r="J3170" s="62" t="s">
        <v>146</v>
      </c>
      <c r="K3170" s="62" t="s">
        <v>209</v>
      </c>
      <c r="L3170" s="62" t="s">
        <v>4</v>
      </c>
      <c r="M3170" s="62" t="n">
        <v>1</v>
      </c>
      <c r="N3170" s="62" t="n">
        <v>0</v>
      </c>
      <c r="O3170" s="62" t="n">
        <v>1</v>
      </c>
      <c r="P3170" s="62" t="n">
        <v>0</v>
      </c>
      <c r="Q3170" s="62" t="n">
        <v>0</v>
      </c>
      <c r="R3170" s="62" t="n">
        <v>0</v>
      </c>
      <c r="S3170" s="62" t="n">
        <v>0</v>
      </c>
      <c r="T3170" s="62" t="n">
        <v>0</v>
      </c>
      <c r="U3170" s="62" t="s">
        <v>2056</v>
      </c>
      <c r="V3170" s="62" t="s">
        <v>2057</v>
      </c>
      <c r="W3170" s="62" t="s">
        <v>15</v>
      </c>
      <c r="X3170" s="62" t="s">
        <v>2058</v>
      </c>
      <c r="Y3170" s="62" t="s">
        <v>2059</v>
      </c>
      <c r="Z3170" s="62" t="s">
        <v>5753</v>
      </c>
      <c r="AA3170" s="62" t="s">
        <v>5754</v>
      </c>
      <c r="AB3170" s="62" t="n">
        <v>1</v>
      </c>
      <c r="AC3170" s="62" t="n">
        <v>0</v>
      </c>
      <c r="AD3170" s="62" t="n">
        <v>1</v>
      </c>
      <c r="AE3170" s="62" t="n">
        <f aca="false">IF(AND(Dashboard!$C$9="Yes",AC3170=1),0,1)</f>
        <v>1</v>
      </c>
      <c r="AF3170" s="62" t="n">
        <v>0</v>
      </c>
    </row>
    <row r="3171" customFormat="false" ht="15" hidden="false" customHeight="false" outlineLevel="0" collapsed="false">
      <c r="A3171" s="62" t="n">
        <v>3170</v>
      </c>
      <c r="B3171" s="63" t="n">
        <v>46300.047974537</v>
      </c>
      <c r="C3171" s="64" t="n">
        <v>46299</v>
      </c>
      <c r="D3171" s="62" t="s">
        <v>393</v>
      </c>
      <c r="E3171" s="62" t="s">
        <v>203</v>
      </c>
      <c r="F3171" s="62" t="s">
        <v>203</v>
      </c>
      <c r="G3171" s="62" t="s">
        <v>204</v>
      </c>
      <c r="H3171" s="62" t="s">
        <v>51</v>
      </c>
      <c r="I3171" s="62" t="s">
        <v>47</v>
      </c>
      <c r="J3171" s="62" t="s">
        <v>146</v>
      </c>
      <c r="K3171" s="62" t="s">
        <v>147</v>
      </c>
      <c r="L3171" s="62" t="s">
        <v>148</v>
      </c>
      <c r="M3171" s="62" t="n">
        <v>0</v>
      </c>
      <c r="N3171" s="62" t="n">
        <v>1</v>
      </c>
      <c r="O3171" s="62" t="n">
        <v>1</v>
      </c>
      <c r="P3171" s="62" t="n">
        <v>1</v>
      </c>
      <c r="Q3171" s="62" t="n">
        <v>0</v>
      </c>
      <c r="R3171" s="62" t="n">
        <v>0</v>
      </c>
      <c r="S3171" s="62" t="n">
        <v>0</v>
      </c>
      <c r="T3171" s="62" t="n">
        <v>0</v>
      </c>
      <c r="U3171" s="62"/>
      <c r="V3171" s="62"/>
      <c r="W3171" s="62"/>
      <c r="X3171" s="62"/>
      <c r="Y3171" s="62"/>
      <c r="Z3171" s="62" t="s">
        <v>5755</v>
      </c>
      <c r="AA3171" s="62" t="s">
        <v>485</v>
      </c>
      <c r="AB3171" s="62" t="n">
        <v>0</v>
      </c>
      <c r="AC3171" s="62" t="n">
        <v>0</v>
      </c>
      <c r="AD3171" s="62" t="n">
        <v>1</v>
      </c>
      <c r="AE3171" s="62" t="n">
        <f aca="false">IF(AND(Dashboard!$C$9="Yes",AC3171=1),0,1)</f>
        <v>1</v>
      </c>
      <c r="AF3171" s="62" t="n">
        <v>1</v>
      </c>
    </row>
    <row r="3172" customFormat="false" ht="15" hidden="false" customHeight="false" outlineLevel="0" collapsed="false">
      <c r="A3172" s="62" t="n">
        <v>3171</v>
      </c>
      <c r="B3172" s="63" t="n">
        <v>46300.0523842593</v>
      </c>
      <c r="C3172" s="64" t="n">
        <v>46299</v>
      </c>
      <c r="D3172" s="62" t="s">
        <v>393</v>
      </c>
      <c r="E3172" s="62" t="s">
        <v>1539</v>
      </c>
      <c r="F3172" s="62" t="s">
        <v>1539</v>
      </c>
      <c r="G3172" s="62" t="s">
        <v>1540</v>
      </c>
      <c r="H3172" s="62" t="s">
        <v>52</v>
      </c>
      <c r="I3172" s="62" t="s">
        <v>47</v>
      </c>
      <c r="J3172" s="62" t="s">
        <v>146</v>
      </c>
      <c r="K3172" s="62" t="s">
        <v>147</v>
      </c>
      <c r="L3172" s="62" t="s">
        <v>4</v>
      </c>
      <c r="M3172" s="62" t="n">
        <v>1</v>
      </c>
      <c r="N3172" s="62" t="n">
        <v>0</v>
      </c>
      <c r="O3172" s="62" t="n">
        <v>1</v>
      </c>
      <c r="P3172" s="62" t="n">
        <v>0</v>
      </c>
      <c r="Q3172" s="62" t="n">
        <v>0</v>
      </c>
      <c r="R3172" s="62" t="n">
        <v>0</v>
      </c>
      <c r="S3172" s="62" t="n">
        <v>0</v>
      </c>
      <c r="T3172" s="62" t="n">
        <v>0</v>
      </c>
      <c r="U3172" s="62" t="s">
        <v>2056</v>
      </c>
      <c r="V3172" s="62" t="s">
        <v>2057</v>
      </c>
      <c r="W3172" s="62" t="s">
        <v>15</v>
      </c>
      <c r="X3172" s="62" t="s">
        <v>2058</v>
      </c>
      <c r="Y3172" s="62" t="s">
        <v>2059</v>
      </c>
      <c r="Z3172" s="62" t="s">
        <v>5756</v>
      </c>
      <c r="AA3172" s="62" t="s">
        <v>5757</v>
      </c>
      <c r="AB3172" s="62" t="n">
        <v>1</v>
      </c>
      <c r="AC3172" s="62" t="n">
        <v>0</v>
      </c>
      <c r="AD3172" s="62" t="n">
        <v>1</v>
      </c>
      <c r="AE3172" s="62" t="n">
        <f aca="false">IF(AND(Dashboard!$C$9="Yes",AC3172=1),0,1)</f>
        <v>1</v>
      </c>
      <c r="AF3172" s="62" t="n">
        <v>0</v>
      </c>
    </row>
    <row r="3173" customFormat="false" ht="15" hidden="false" customHeight="false" outlineLevel="0" collapsed="false">
      <c r="A3173" s="62" t="n">
        <v>3172</v>
      </c>
      <c r="B3173" s="63" t="n">
        <v>46300.0556365741</v>
      </c>
      <c r="C3173" s="64" t="n">
        <v>46299</v>
      </c>
      <c r="D3173" s="62" t="s">
        <v>393</v>
      </c>
      <c r="E3173" s="62" t="s">
        <v>1155</v>
      </c>
      <c r="F3173" s="62" t="s">
        <v>1155</v>
      </c>
      <c r="G3173" s="62" t="s">
        <v>1156</v>
      </c>
      <c r="H3173" s="62" t="s">
        <v>59</v>
      </c>
      <c r="I3173" s="62" t="s">
        <v>47</v>
      </c>
      <c r="J3173" s="62" t="s">
        <v>146</v>
      </c>
      <c r="K3173" s="62" t="s">
        <v>209</v>
      </c>
      <c r="L3173" s="62" t="s">
        <v>148</v>
      </c>
      <c r="M3173" s="62" t="n">
        <v>0</v>
      </c>
      <c r="N3173" s="62" t="n">
        <v>1</v>
      </c>
      <c r="O3173" s="62" t="n">
        <v>1</v>
      </c>
      <c r="P3173" s="62" t="n">
        <v>0</v>
      </c>
      <c r="Q3173" s="62" t="n">
        <v>0</v>
      </c>
      <c r="R3173" s="62" t="n">
        <v>0</v>
      </c>
      <c r="S3173" s="62" t="n">
        <v>0</v>
      </c>
      <c r="T3173" s="62" t="n">
        <v>1</v>
      </c>
      <c r="U3173" s="62"/>
      <c r="V3173" s="62"/>
      <c r="W3173" s="62"/>
      <c r="X3173" s="62"/>
      <c r="Y3173" s="62"/>
      <c r="Z3173" s="62" t="s">
        <v>5758</v>
      </c>
      <c r="AA3173" s="62" t="s">
        <v>5759</v>
      </c>
      <c r="AB3173" s="62" t="n">
        <v>1</v>
      </c>
      <c r="AC3173" s="62" t="n">
        <v>0</v>
      </c>
      <c r="AD3173" s="62" t="n">
        <v>1</v>
      </c>
      <c r="AE3173" s="62" t="n">
        <f aca="false">IF(AND(Dashboard!$C$9="Yes",AC3173=1),0,1)</f>
        <v>1</v>
      </c>
      <c r="AF3173" s="62" t="n">
        <v>0</v>
      </c>
    </row>
    <row r="3174" customFormat="false" ht="15" hidden="false" customHeight="false" outlineLevel="0" collapsed="false">
      <c r="A3174" s="62" t="n">
        <v>3173</v>
      </c>
      <c r="B3174" s="63" t="n">
        <v>46300.0578472222</v>
      </c>
      <c r="C3174" s="64" t="n">
        <v>46299</v>
      </c>
      <c r="D3174" s="62" t="s">
        <v>393</v>
      </c>
      <c r="E3174" s="62" t="s">
        <v>1005</v>
      </c>
      <c r="F3174" s="62" t="s">
        <v>1005</v>
      </c>
      <c r="G3174" s="62" t="s">
        <v>1006</v>
      </c>
      <c r="H3174" s="62" t="s">
        <v>46</v>
      </c>
      <c r="I3174" s="62" t="s">
        <v>47</v>
      </c>
      <c r="J3174" s="62" t="s">
        <v>146</v>
      </c>
      <c r="K3174" s="62" t="s">
        <v>209</v>
      </c>
      <c r="L3174" s="62" t="s">
        <v>4</v>
      </c>
      <c r="M3174" s="62" t="n">
        <v>1</v>
      </c>
      <c r="N3174" s="62" t="n">
        <v>0</v>
      </c>
      <c r="O3174" s="62" t="n">
        <v>1</v>
      </c>
      <c r="P3174" s="62" t="n">
        <v>0</v>
      </c>
      <c r="Q3174" s="62" t="n">
        <v>0</v>
      </c>
      <c r="R3174" s="62" t="n">
        <v>0</v>
      </c>
      <c r="S3174" s="62" t="n">
        <v>0</v>
      </c>
      <c r="T3174" s="62" t="n">
        <v>0</v>
      </c>
      <c r="U3174" s="62" t="s">
        <v>2056</v>
      </c>
      <c r="V3174" s="62" t="s">
        <v>2057</v>
      </c>
      <c r="W3174" s="62" t="s">
        <v>15</v>
      </c>
      <c r="X3174" s="62" t="s">
        <v>2058</v>
      </c>
      <c r="Y3174" s="62" t="s">
        <v>2059</v>
      </c>
      <c r="Z3174" s="62" t="s">
        <v>5760</v>
      </c>
      <c r="AA3174" s="62" t="s">
        <v>5761</v>
      </c>
      <c r="AB3174" s="62" t="n">
        <v>1</v>
      </c>
      <c r="AC3174" s="62" t="n">
        <v>0</v>
      </c>
      <c r="AD3174" s="62" t="n">
        <v>1</v>
      </c>
      <c r="AE3174" s="62" t="n">
        <f aca="false">IF(AND(Dashboard!$C$9="Yes",AC3174=1),0,1)</f>
        <v>1</v>
      </c>
      <c r="AF3174" s="62" t="n">
        <v>1</v>
      </c>
    </row>
    <row r="3175" customFormat="false" ht="15" hidden="false" customHeight="false" outlineLevel="0" collapsed="false">
      <c r="A3175" s="62" t="n">
        <v>3174</v>
      </c>
      <c r="B3175" s="63" t="n">
        <v>46300.0677430556</v>
      </c>
      <c r="C3175" s="64" t="n">
        <v>46299</v>
      </c>
      <c r="D3175" s="62" t="s">
        <v>393</v>
      </c>
      <c r="E3175" s="62" t="s">
        <v>2071</v>
      </c>
      <c r="F3175" s="62" t="s">
        <v>2071</v>
      </c>
      <c r="G3175" s="62" t="s">
        <v>2072</v>
      </c>
      <c r="H3175" s="62" t="s">
        <v>58</v>
      </c>
      <c r="I3175" s="62" t="s">
        <v>49</v>
      </c>
      <c r="J3175" s="62" t="s">
        <v>146</v>
      </c>
      <c r="K3175" s="62" t="s">
        <v>175</v>
      </c>
      <c r="L3175" s="62" t="s">
        <v>4</v>
      </c>
      <c r="M3175" s="62" t="n">
        <v>1</v>
      </c>
      <c r="N3175" s="62" t="n">
        <v>0</v>
      </c>
      <c r="O3175" s="62" t="n">
        <v>1</v>
      </c>
      <c r="P3175" s="62" t="n">
        <v>0</v>
      </c>
      <c r="Q3175" s="62" t="n">
        <v>0</v>
      </c>
      <c r="R3175" s="62" t="n">
        <v>0</v>
      </c>
      <c r="S3175" s="62" t="n">
        <v>0</v>
      </c>
      <c r="T3175" s="62" t="n">
        <v>0</v>
      </c>
      <c r="U3175" s="62" t="s">
        <v>2056</v>
      </c>
      <c r="V3175" s="62" t="s">
        <v>2057</v>
      </c>
      <c r="W3175" s="62" t="s">
        <v>2056</v>
      </c>
      <c r="X3175" s="62" t="s">
        <v>2180</v>
      </c>
      <c r="Y3175" s="62" t="s">
        <v>2059</v>
      </c>
      <c r="Z3175" s="62" t="s">
        <v>5762</v>
      </c>
      <c r="AA3175" s="62" t="s">
        <v>5763</v>
      </c>
      <c r="AB3175" s="62" t="n">
        <v>1</v>
      </c>
      <c r="AC3175" s="62" t="n">
        <v>0</v>
      </c>
      <c r="AD3175" s="62" t="n">
        <v>1</v>
      </c>
      <c r="AE3175" s="62" t="n">
        <f aca="false">IF(AND(Dashboard!$C$9="Yes",AC3175=1),0,1)</f>
        <v>1</v>
      </c>
      <c r="AF3175" s="62" t="n">
        <v>1</v>
      </c>
    </row>
    <row r="3176" customFormat="false" ht="15" hidden="false" customHeight="false" outlineLevel="0" collapsed="false">
      <c r="A3176" s="62" t="n">
        <v>3175</v>
      </c>
      <c r="B3176" s="63" t="n">
        <v>46300.0978356482</v>
      </c>
      <c r="C3176" s="64" t="n">
        <v>46299</v>
      </c>
      <c r="D3176" s="62" t="s">
        <v>393</v>
      </c>
      <c r="E3176" s="62" t="s">
        <v>518</v>
      </c>
      <c r="F3176" s="62" t="s">
        <v>518</v>
      </c>
      <c r="G3176" s="62" t="s">
        <v>519</v>
      </c>
      <c r="H3176" s="62" t="s">
        <v>52</v>
      </c>
      <c r="I3176" s="62" t="s">
        <v>47</v>
      </c>
      <c r="J3176" s="62" t="s">
        <v>146</v>
      </c>
      <c r="K3176" s="62" t="s">
        <v>147</v>
      </c>
      <c r="L3176" s="62" t="s">
        <v>148</v>
      </c>
      <c r="M3176" s="62" t="n">
        <v>0</v>
      </c>
      <c r="N3176" s="62" t="n">
        <v>1</v>
      </c>
      <c r="O3176" s="62" t="n">
        <v>1</v>
      </c>
      <c r="P3176" s="62" t="n">
        <v>1</v>
      </c>
      <c r="Q3176" s="62" t="n">
        <v>0</v>
      </c>
      <c r="R3176" s="62" t="n">
        <v>0</v>
      </c>
      <c r="S3176" s="62" t="n">
        <v>0</v>
      </c>
      <c r="T3176" s="62" t="n">
        <v>0</v>
      </c>
      <c r="U3176" s="62"/>
      <c r="V3176" s="62"/>
      <c r="W3176" s="62"/>
      <c r="X3176" s="62"/>
      <c r="Y3176" s="62"/>
      <c r="Z3176" s="62" t="s">
        <v>5764</v>
      </c>
      <c r="AA3176" s="62" t="s">
        <v>5765</v>
      </c>
      <c r="AB3176" s="62" t="n">
        <v>1</v>
      </c>
      <c r="AC3176" s="62" t="n">
        <v>0</v>
      </c>
      <c r="AD3176" s="62" t="n">
        <v>1</v>
      </c>
      <c r="AE3176" s="62" t="n">
        <f aca="false">IF(AND(Dashboard!$C$9="Yes",AC3176=1),0,1)</f>
        <v>1</v>
      </c>
      <c r="AF3176" s="62" t="n">
        <v>0</v>
      </c>
    </row>
    <row r="3177" customFormat="false" ht="15" hidden="false" customHeight="false" outlineLevel="0" collapsed="false">
      <c r="A3177" s="62" t="n">
        <v>3176</v>
      </c>
      <c r="B3177" s="63" t="n">
        <v>46300.1252199074</v>
      </c>
      <c r="C3177" s="64" t="n">
        <v>46299</v>
      </c>
      <c r="D3177" s="62" t="s">
        <v>393</v>
      </c>
      <c r="E3177" s="62" t="s">
        <v>1827</v>
      </c>
      <c r="F3177" s="62" t="s">
        <v>1827</v>
      </c>
      <c r="G3177" s="62" t="s">
        <v>1828</v>
      </c>
      <c r="H3177" s="62" t="s">
        <v>59</v>
      </c>
      <c r="I3177" s="62" t="s">
        <v>47</v>
      </c>
      <c r="J3177" s="62" t="s">
        <v>146</v>
      </c>
      <c r="K3177" s="62" t="s">
        <v>209</v>
      </c>
      <c r="L3177" s="62" t="s">
        <v>148</v>
      </c>
      <c r="M3177" s="62" t="n">
        <v>0</v>
      </c>
      <c r="N3177" s="62" t="n">
        <v>1</v>
      </c>
      <c r="O3177" s="62" t="n">
        <v>1</v>
      </c>
      <c r="P3177" s="62" t="n">
        <v>1</v>
      </c>
      <c r="Q3177" s="62" t="n">
        <v>0</v>
      </c>
      <c r="R3177" s="62" t="n">
        <v>0</v>
      </c>
      <c r="S3177" s="62" t="n">
        <v>0</v>
      </c>
      <c r="T3177" s="62" t="n">
        <v>0</v>
      </c>
      <c r="U3177" s="62"/>
      <c r="V3177" s="62"/>
      <c r="W3177" s="62"/>
      <c r="X3177" s="62"/>
      <c r="Y3177" s="62"/>
      <c r="Z3177" s="62" t="s">
        <v>5766</v>
      </c>
      <c r="AA3177" s="62" t="s">
        <v>5767</v>
      </c>
      <c r="AB3177" s="62" t="n">
        <v>1</v>
      </c>
      <c r="AC3177" s="62" t="n">
        <v>0</v>
      </c>
      <c r="AD3177" s="62" t="n">
        <v>1</v>
      </c>
      <c r="AE3177" s="62" t="n">
        <f aca="false">IF(AND(Dashboard!$C$9="Yes",AC3177=1),0,1)</f>
        <v>1</v>
      </c>
      <c r="AF3177" s="62" t="n">
        <v>0</v>
      </c>
    </row>
    <row r="3178" customFormat="false" ht="15" hidden="false" customHeight="false" outlineLevel="0" collapsed="false">
      <c r="A3178" s="62" t="n">
        <v>3177</v>
      </c>
      <c r="B3178" s="63" t="n">
        <v>46300.1487268519</v>
      </c>
      <c r="C3178" s="64" t="n">
        <v>46299</v>
      </c>
      <c r="D3178" s="62" t="s">
        <v>393</v>
      </c>
      <c r="E3178" s="62" t="s">
        <v>4080</v>
      </c>
      <c r="F3178" s="62" t="s">
        <v>4080</v>
      </c>
      <c r="G3178" s="62" t="s">
        <v>4081</v>
      </c>
      <c r="H3178" s="62" t="s">
        <v>57</v>
      </c>
      <c r="I3178" s="62" t="s">
        <v>47</v>
      </c>
      <c r="J3178" s="62" t="s">
        <v>146</v>
      </c>
      <c r="K3178" s="62" t="s">
        <v>147</v>
      </c>
      <c r="L3178" s="62" t="s">
        <v>4</v>
      </c>
      <c r="M3178" s="62" t="n">
        <v>1</v>
      </c>
      <c r="N3178" s="62" t="n">
        <v>0</v>
      </c>
      <c r="O3178" s="62" t="n">
        <v>1</v>
      </c>
      <c r="P3178" s="62" t="n">
        <v>0</v>
      </c>
      <c r="Q3178" s="62" t="n">
        <v>0</v>
      </c>
      <c r="R3178" s="62" t="n">
        <v>0</v>
      </c>
      <c r="S3178" s="62" t="n">
        <v>0</v>
      </c>
      <c r="T3178" s="62" t="n">
        <v>0</v>
      </c>
      <c r="U3178" s="62" t="s">
        <v>2056</v>
      </c>
      <c r="V3178" s="62" t="s">
        <v>2057</v>
      </c>
      <c r="W3178" s="62" t="s">
        <v>15</v>
      </c>
      <c r="X3178" s="62" t="s">
        <v>2058</v>
      </c>
      <c r="Y3178" s="62" t="s">
        <v>2103</v>
      </c>
      <c r="Z3178" s="62" t="s">
        <v>5768</v>
      </c>
      <c r="AA3178" s="62" t="s">
        <v>5769</v>
      </c>
      <c r="AB3178" s="62" t="n">
        <v>1</v>
      </c>
      <c r="AC3178" s="62" t="n">
        <v>0</v>
      </c>
      <c r="AD3178" s="62" t="n">
        <v>1</v>
      </c>
      <c r="AE3178" s="62" t="n">
        <f aca="false">IF(AND(Dashboard!$C$9="Yes",AC3178=1),0,1)</f>
        <v>1</v>
      </c>
      <c r="AF3178" s="62" t="n">
        <v>1</v>
      </c>
    </row>
    <row r="3179" customFormat="false" ht="15" hidden="false" customHeight="false" outlineLevel="0" collapsed="false">
      <c r="A3179" s="62" t="n">
        <v>3178</v>
      </c>
      <c r="B3179" s="63" t="n">
        <v>46300.1675925926</v>
      </c>
      <c r="C3179" s="64" t="n">
        <v>46299</v>
      </c>
      <c r="D3179" s="62" t="s">
        <v>393</v>
      </c>
      <c r="E3179" s="62" t="s">
        <v>2081</v>
      </c>
      <c r="F3179" s="62" t="s">
        <v>2081</v>
      </c>
      <c r="G3179" s="62" t="s">
        <v>2082</v>
      </c>
      <c r="H3179" s="62" t="s">
        <v>57</v>
      </c>
      <c r="I3179" s="62" t="s">
        <v>47</v>
      </c>
      <c r="J3179" s="62" t="s">
        <v>146</v>
      </c>
      <c r="K3179" s="62" t="s">
        <v>147</v>
      </c>
      <c r="L3179" s="62" t="s">
        <v>4</v>
      </c>
      <c r="M3179" s="62" t="n">
        <v>1</v>
      </c>
      <c r="N3179" s="62" t="n">
        <v>0</v>
      </c>
      <c r="O3179" s="62" t="n">
        <v>1</v>
      </c>
      <c r="P3179" s="62" t="n">
        <v>0</v>
      </c>
      <c r="Q3179" s="62" t="n">
        <v>0</v>
      </c>
      <c r="R3179" s="62" t="n">
        <v>0</v>
      </c>
      <c r="S3179" s="62" t="n">
        <v>0</v>
      </c>
      <c r="T3179" s="62" t="n">
        <v>0</v>
      </c>
      <c r="U3179" s="62" t="s">
        <v>2056</v>
      </c>
      <c r="V3179" s="62" t="s">
        <v>2057</v>
      </c>
      <c r="W3179" s="62" t="s">
        <v>15</v>
      </c>
      <c r="X3179" s="62" t="s">
        <v>2103</v>
      </c>
      <c r="Y3179" s="62" t="s">
        <v>2059</v>
      </c>
      <c r="Z3179" s="62" t="s">
        <v>5770</v>
      </c>
      <c r="AA3179" s="62" t="s">
        <v>5771</v>
      </c>
      <c r="AB3179" s="62" t="n">
        <v>1</v>
      </c>
      <c r="AC3179" s="62" t="n">
        <v>0</v>
      </c>
      <c r="AD3179" s="62" t="n">
        <v>1</v>
      </c>
      <c r="AE3179" s="62" t="n">
        <f aca="false">IF(AND(Dashboard!$C$9="Yes",AC3179=1),0,1)</f>
        <v>1</v>
      </c>
      <c r="AF3179" s="62" t="n">
        <v>1</v>
      </c>
    </row>
    <row r="3180" customFormat="false" ht="15" hidden="false" customHeight="false" outlineLevel="0" collapsed="false">
      <c r="A3180" s="62" t="n">
        <v>3179</v>
      </c>
      <c r="B3180" s="63" t="n">
        <v>46300.1681134259</v>
      </c>
      <c r="C3180" s="64" t="n">
        <v>46299</v>
      </c>
      <c r="D3180" s="62" t="s">
        <v>393</v>
      </c>
      <c r="E3180" s="62" t="s">
        <v>2081</v>
      </c>
      <c r="F3180" s="62" t="s">
        <v>2081</v>
      </c>
      <c r="G3180" s="62" t="s">
        <v>2082</v>
      </c>
      <c r="H3180" s="62" t="s">
        <v>57</v>
      </c>
      <c r="I3180" s="62" t="s">
        <v>47</v>
      </c>
      <c r="J3180" s="62" t="s">
        <v>146</v>
      </c>
      <c r="K3180" s="62" t="s">
        <v>147</v>
      </c>
      <c r="L3180" s="62" t="s">
        <v>4</v>
      </c>
      <c r="M3180" s="62" t="n">
        <v>1</v>
      </c>
      <c r="N3180" s="62" t="n">
        <v>0</v>
      </c>
      <c r="O3180" s="62" t="n">
        <v>1</v>
      </c>
      <c r="P3180" s="62" t="n">
        <v>0</v>
      </c>
      <c r="Q3180" s="62" t="n">
        <v>0</v>
      </c>
      <c r="R3180" s="62" t="n">
        <v>0</v>
      </c>
      <c r="S3180" s="62" t="n">
        <v>0</v>
      </c>
      <c r="T3180" s="62" t="n">
        <v>0</v>
      </c>
      <c r="U3180" s="62" t="s">
        <v>2056</v>
      </c>
      <c r="V3180" s="62" t="s">
        <v>2057</v>
      </c>
      <c r="W3180" s="62" t="s">
        <v>15</v>
      </c>
      <c r="X3180" s="62" t="s">
        <v>2103</v>
      </c>
      <c r="Y3180" s="62" t="s">
        <v>2059</v>
      </c>
      <c r="Z3180" s="62" t="s">
        <v>5772</v>
      </c>
      <c r="AA3180" s="62" t="s">
        <v>5773</v>
      </c>
      <c r="AB3180" s="62" t="n">
        <v>1</v>
      </c>
      <c r="AC3180" s="62" t="n">
        <v>0</v>
      </c>
      <c r="AD3180" s="62" t="n">
        <v>1</v>
      </c>
      <c r="AE3180" s="62" t="n">
        <f aca="false">IF(AND(Dashboard!$C$9="Yes",AC3180=1),0,1)</f>
        <v>1</v>
      </c>
      <c r="AF3180" s="62" t="n">
        <v>0</v>
      </c>
    </row>
    <row r="3181" customFormat="false" ht="15" hidden="false" customHeight="false" outlineLevel="0" collapsed="false">
      <c r="A3181" s="62" t="n">
        <v>3180</v>
      </c>
      <c r="B3181" s="63" t="n">
        <v>46300.1688888889</v>
      </c>
      <c r="C3181" s="64" t="n">
        <v>46299</v>
      </c>
      <c r="D3181" s="62" t="s">
        <v>393</v>
      </c>
      <c r="E3181" s="62" t="s">
        <v>2081</v>
      </c>
      <c r="F3181" s="62" t="s">
        <v>2081</v>
      </c>
      <c r="G3181" s="62" t="s">
        <v>2082</v>
      </c>
      <c r="H3181" s="62" t="s">
        <v>57</v>
      </c>
      <c r="I3181" s="62" t="s">
        <v>47</v>
      </c>
      <c r="J3181" s="62" t="s">
        <v>146</v>
      </c>
      <c r="K3181" s="62" t="s">
        <v>147</v>
      </c>
      <c r="L3181" s="62" t="s">
        <v>148</v>
      </c>
      <c r="M3181" s="62" t="n">
        <v>0</v>
      </c>
      <c r="N3181" s="62" t="n">
        <v>2</v>
      </c>
      <c r="O3181" s="62" t="n">
        <v>2</v>
      </c>
      <c r="P3181" s="62" t="n">
        <v>2</v>
      </c>
      <c r="Q3181" s="62" t="n">
        <v>0</v>
      </c>
      <c r="R3181" s="62" t="n">
        <v>0</v>
      </c>
      <c r="S3181" s="62" t="n">
        <v>0</v>
      </c>
      <c r="T3181" s="62" t="n">
        <v>0</v>
      </c>
      <c r="U3181" s="62"/>
      <c r="V3181" s="62"/>
      <c r="W3181" s="62"/>
      <c r="X3181" s="62"/>
      <c r="Y3181" s="62"/>
      <c r="Z3181" s="62" t="s">
        <v>5774</v>
      </c>
      <c r="AA3181" s="62" t="s">
        <v>1056</v>
      </c>
      <c r="AB3181" s="62" t="n">
        <v>0</v>
      </c>
      <c r="AC3181" s="62" t="n">
        <v>0</v>
      </c>
      <c r="AD3181" s="62" t="n">
        <v>1</v>
      </c>
      <c r="AE3181" s="62" t="n">
        <f aca="false">IF(AND(Dashboard!$C$9="Yes",AC3181=1),0,1)</f>
        <v>1</v>
      </c>
      <c r="AF3181" s="62" t="n">
        <v>0</v>
      </c>
    </row>
    <row r="3182" customFormat="false" ht="15" hidden="false" customHeight="false" outlineLevel="0" collapsed="false">
      <c r="A3182" s="62" t="n">
        <v>3181</v>
      </c>
      <c r="B3182" s="63" t="n">
        <v>46300.1740509259</v>
      </c>
      <c r="C3182" s="64" t="n">
        <v>46299</v>
      </c>
      <c r="D3182" s="62" t="s">
        <v>393</v>
      </c>
      <c r="E3182" s="62" t="s">
        <v>2081</v>
      </c>
      <c r="F3182" s="62" t="s">
        <v>2081</v>
      </c>
      <c r="G3182" s="62" t="s">
        <v>2082</v>
      </c>
      <c r="H3182" s="62" t="s">
        <v>57</v>
      </c>
      <c r="I3182" s="62" t="s">
        <v>47</v>
      </c>
      <c r="J3182" s="62" t="s">
        <v>146</v>
      </c>
      <c r="K3182" s="62" t="s">
        <v>147</v>
      </c>
      <c r="L3182" s="62" t="s">
        <v>4</v>
      </c>
      <c r="M3182" s="62" t="n">
        <v>2</v>
      </c>
      <c r="N3182" s="62" t="n">
        <v>0</v>
      </c>
      <c r="O3182" s="62" t="n">
        <v>2</v>
      </c>
      <c r="P3182" s="62" t="n">
        <v>0</v>
      </c>
      <c r="Q3182" s="62" t="n">
        <v>0</v>
      </c>
      <c r="R3182" s="62" t="n">
        <v>0</v>
      </c>
      <c r="S3182" s="62" t="n">
        <v>0</v>
      </c>
      <c r="T3182" s="62" t="n">
        <v>0</v>
      </c>
      <c r="U3182" s="62" t="s">
        <v>15</v>
      </c>
      <c r="V3182" s="62" t="s">
        <v>2068</v>
      </c>
      <c r="W3182" s="62"/>
      <c r="X3182" s="62" t="s">
        <v>2058</v>
      </c>
      <c r="Y3182" s="62" t="s">
        <v>2064</v>
      </c>
      <c r="Z3182" s="62" t="s">
        <v>5775</v>
      </c>
      <c r="AA3182" s="62" t="s">
        <v>5776</v>
      </c>
      <c r="AB3182" s="62" t="n">
        <v>1</v>
      </c>
      <c r="AC3182" s="62" t="n">
        <v>0</v>
      </c>
      <c r="AD3182" s="62" t="n">
        <v>1</v>
      </c>
      <c r="AE3182" s="62" t="n">
        <f aca="false">IF(AND(Dashboard!$C$9="Yes",AC3182=1),0,1)</f>
        <v>1</v>
      </c>
      <c r="AF3182" s="62" t="n">
        <v>0</v>
      </c>
    </row>
    <row r="3183" customFormat="false" ht="15" hidden="false" customHeight="false" outlineLevel="0" collapsed="false">
      <c r="A3183" s="62" t="n">
        <v>3182</v>
      </c>
      <c r="B3183" s="63" t="n">
        <v>46300.1744328704</v>
      </c>
      <c r="C3183" s="64" t="n">
        <v>46299</v>
      </c>
      <c r="D3183" s="62" t="s">
        <v>393</v>
      </c>
      <c r="E3183" s="62" t="s">
        <v>2081</v>
      </c>
      <c r="F3183" s="62" t="s">
        <v>2081</v>
      </c>
      <c r="G3183" s="62" t="s">
        <v>2082</v>
      </c>
      <c r="H3183" s="62" t="s">
        <v>57</v>
      </c>
      <c r="I3183" s="62" t="s">
        <v>47</v>
      </c>
      <c r="J3183" s="62" t="s">
        <v>146</v>
      </c>
      <c r="K3183" s="62" t="s">
        <v>147</v>
      </c>
      <c r="L3183" s="62" t="s">
        <v>148</v>
      </c>
      <c r="M3183" s="62" t="n">
        <v>0</v>
      </c>
      <c r="N3183" s="62" t="n">
        <v>2</v>
      </c>
      <c r="O3183" s="62" t="n">
        <v>2</v>
      </c>
      <c r="P3183" s="62" t="n">
        <v>0</v>
      </c>
      <c r="Q3183" s="62" t="n">
        <v>0</v>
      </c>
      <c r="R3183" s="62" t="n">
        <v>0</v>
      </c>
      <c r="S3183" s="62" t="n">
        <v>0</v>
      </c>
      <c r="T3183" s="62" t="n">
        <v>2</v>
      </c>
      <c r="U3183" s="62"/>
      <c r="V3183" s="62"/>
      <c r="W3183" s="62"/>
      <c r="X3183" s="62"/>
      <c r="Y3183" s="62"/>
      <c r="Z3183" s="62" t="s">
        <v>5775</v>
      </c>
      <c r="AA3183" s="62" t="s">
        <v>5777</v>
      </c>
      <c r="AB3183" s="62" t="n">
        <v>1</v>
      </c>
      <c r="AC3183" s="62" t="n">
        <v>0</v>
      </c>
      <c r="AD3183" s="62" t="n">
        <v>1</v>
      </c>
      <c r="AE3183" s="62" t="n">
        <f aca="false">IF(AND(Dashboard!$C$9="Yes",AC3183=1),0,1)</f>
        <v>1</v>
      </c>
      <c r="AF3183" s="62" t="n">
        <v>0</v>
      </c>
    </row>
    <row r="3184" customFormat="false" ht="15" hidden="false" customHeight="false" outlineLevel="0" collapsed="false">
      <c r="A3184" s="62" t="n">
        <v>3183</v>
      </c>
      <c r="B3184" s="63" t="n">
        <v>46300.1768287037</v>
      </c>
      <c r="C3184" s="64" t="n">
        <v>46299</v>
      </c>
      <c r="D3184" s="62" t="s">
        <v>393</v>
      </c>
      <c r="E3184" s="62" t="s">
        <v>2228</v>
      </c>
      <c r="F3184" s="62" t="s">
        <v>2228</v>
      </c>
      <c r="G3184" s="62" t="s">
        <v>2229</v>
      </c>
      <c r="H3184" s="62" t="s">
        <v>58</v>
      </c>
      <c r="I3184" s="62" t="s">
        <v>49</v>
      </c>
      <c r="J3184" s="62" t="s">
        <v>146</v>
      </c>
      <c r="K3184" s="62" t="s">
        <v>209</v>
      </c>
      <c r="L3184" s="62" t="s">
        <v>4</v>
      </c>
      <c r="M3184" s="62" t="n">
        <v>1</v>
      </c>
      <c r="N3184" s="62" t="n">
        <v>0</v>
      </c>
      <c r="O3184" s="62" t="n">
        <v>1</v>
      </c>
      <c r="P3184" s="62" t="n">
        <v>0</v>
      </c>
      <c r="Q3184" s="62" t="n">
        <v>0</v>
      </c>
      <c r="R3184" s="62" t="n">
        <v>0</v>
      </c>
      <c r="S3184" s="62" t="n">
        <v>0</v>
      </c>
      <c r="T3184" s="62" t="n">
        <v>0</v>
      </c>
      <c r="U3184" s="62" t="s">
        <v>2056</v>
      </c>
      <c r="V3184" s="62" t="s">
        <v>2057</v>
      </c>
      <c r="W3184" s="62" t="s">
        <v>15</v>
      </c>
      <c r="X3184" s="62" t="s">
        <v>2058</v>
      </c>
      <c r="Y3184" s="62" t="s">
        <v>2059</v>
      </c>
      <c r="Z3184" s="62" t="s">
        <v>5778</v>
      </c>
      <c r="AA3184" s="62" t="s">
        <v>5779</v>
      </c>
      <c r="AB3184" s="62" t="n">
        <v>1</v>
      </c>
      <c r="AC3184" s="62" t="n">
        <v>0</v>
      </c>
      <c r="AD3184" s="62" t="n">
        <v>1</v>
      </c>
      <c r="AE3184" s="62" t="n">
        <f aca="false">IF(AND(Dashboard!$C$9="Yes",AC3184=1),0,1)</f>
        <v>1</v>
      </c>
      <c r="AF3184" s="62" t="n">
        <v>0</v>
      </c>
    </row>
    <row r="3185" customFormat="false" ht="15" hidden="false" customHeight="false" outlineLevel="0" collapsed="false">
      <c r="A3185" s="62" t="n">
        <v>3184</v>
      </c>
      <c r="B3185" s="63" t="n">
        <v>46300.1818518519</v>
      </c>
      <c r="C3185" s="64" t="n">
        <v>46299</v>
      </c>
      <c r="D3185" s="62" t="s">
        <v>393</v>
      </c>
      <c r="E3185" s="62" t="s">
        <v>2081</v>
      </c>
      <c r="F3185" s="62" t="s">
        <v>2081</v>
      </c>
      <c r="G3185" s="62" t="s">
        <v>2082</v>
      </c>
      <c r="H3185" s="62" t="s">
        <v>57</v>
      </c>
      <c r="I3185" s="62" t="s">
        <v>47</v>
      </c>
      <c r="J3185" s="62" t="s">
        <v>146</v>
      </c>
      <c r="K3185" s="62" t="s">
        <v>147</v>
      </c>
      <c r="L3185" s="62" t="s">
        <v>4</v>
      </c>
      <c r="M3185" s="62" t="n">
        <v>1</v>
      </c>
      <c r="N3185" s="62" t="n">
        <v>0</v>
      </c>
      <c r="O3185" s="62" t="n">
        <v>1</v>
      </c>
      <c r="P3185" s="62" t="n">
        <v>0</v>
      </c>
      <c r="Q3185" s="62" t="n">
        <v>0</v>
      </c>
      <c r="R3185" s="62" t="n">
        <v>0</v>
      </c>
      <c r="S3185" s="62" t="n">
        <v>0</v>
      </c>
      <c r="T3185" s="62" t="n">
        <v>0</v>
      </c>
      <c r="U3185" s="62" t="s">
        <v>2056</v>
      </c>
      <c r="V3185" s="62" t="s">
        <v>2068</v>
      </c>
      <c r="W3185" s="62"/>
      <c r="X3185" s="62" t="s">
        <v>2103</v>
      </c>
      <c r="Y3185" s="62" t="s">
        <v>2059</v>
      </c>
      <c r="Z3185" s="62" t="s">
        <v>5780</v>
      </c>
      <c r="AA3185" s="62" t="s">
        <v>5781</v>
      </c>
      <c r="AB3185" s="62" t="n">
        <v>1</v>
      </c>
      <c r="AC3185" s="62" t="n">
        <v>0</v>
      </c>
      <c r="AD3185" s="62" t="n">
        <v>1</v>
      </c>
      <c r="AE3185" s="62" t="n">
        <f aca="false">IF(AND(Dashboard!$C$9="Yes",AC3185=1),0,1)</f>
        <v>1</v>
      </c>
      <c r="AF3185" s="62" t="n">
        <v>0</v>
      </c>
    </row>
    <row r="3186" customFormat="false" ht="15" hidden="false" customHeight="false" outlineLevel="0" collapsed="false">
      <c r="A3186" s="62" t="n">
        <v>3185</v>
      </c>
      <c r="B3186" s="63" t="n">
        <v>46300.2010763889</v>
      </c>
      <c r="C3186" s="64" t="n">
        <v>46299</v>
      </c>
      <c r="D3186" s="62" t="s">
        <v>393</v>
      </c>
      <c r="E3186" s="62" t="s">
        <v>2081</v>
      </c>
      <c r="F3186" s="62" t="s">
        <v>2081</v>
      </c>
      <c r="G3186" s="62" t="s">
        <v>2082</v>
      </c>
      <c r="H3186" s="62" t="s">
        <v>57</v>
      </c>
      <c r="I3186" s="62" t="s">
        <v>47</v>
      </c>
      <c r="J3186" s="62" t="s">
        <v>146</v>
      </c>
      <c r="K3186" s="62" t="s">
        <v>147</v>
      </c>
      <c r="L3186" s="62" t="s">
        <v>148</v>
      </c>
      <c r="M3186" s="62" t="n">
        <v>0</v>
      </c>
      <c r="N3186" s="62" t="n">
        <v>1</v>
      </c>
      <c r="O3186" s="62" t="n">
        <v>1</v>
      </c>
      <c r="P3186" s="62" t="n">
        <v>1</v>
      </c>
      <c r="Q3186" s="62" t="n">
        <v>0</v>
      </c>
      <c r="R3186" s="62" t="n">
        <v>0</v>
      </c>
      <c r="S3186" s="62" t="n">
        <v>0</v>
      </c>
      <c r="T3186" s="62" t="n">
        <v>0</v>
      </c>
      <c r="U3186" s="62"/>
      <c r="V3186" s="62"/>
      <c r="W3186" s="62"/>
      <c r="X3186" s="62"/>
      <c r="Y3186" s="62"/>
      <c r="Z3186" s="62" t="s">
        <v>5782</v>
      </c>
      <c r="AA3186" s="62" t="s">
        <v>5783</v>
      </c>
      <c r="AB3186" s="62" t="n">
        <v>1</v>
      </c>
      <c r="AC3186" s="62" t="n">
        <v>0</v>
      </c>
      <c r="AD3186" s="62" t="n">
        <v>1</v>
      </c>
      <c r="AE3186" s="62" t="n">
        <f aca="false">IF(AND(Dashboard!$C$9="Yes",AC3186=1),0,1)</f>
        <v>1</v>
      </c>
      <c r="AF3186" s="62" t="n">
        <v>0</v>
      </c>
    </row>
    <row r="3187" customFormat="false" ht="15" hidden="false" customHeight="false" outlineLevel="0" collapsed="false">
      <c r="A3187" s="62" t="n">
        <v>3186</v>
      </c>
      <c r="B3187" s="63" t="n">
        <v>46300.2041435185</v>
      </c>
      <c r="C3187" s="64" t="n">
        <v>46299</v>
      </c>
      <c r="D3187" s="62" t="s">
        <v>393</v>
      </c>
      <c r="E3187" s="62" t="s">
        <v>2722</v>
      </c>
      <c r="F3187" s="62" t="s">
        <v>2722</v>
      </c>
      <c r="G3187" s="62" t="s">
        <v>2723</v>
      </c>
      <c r="H3187" s="62" t="s">
        <v>55</v>
      </c>
      <c r="I3187" s="62" t="s">
        <v>49</v>
      </c>
      <c r="J3187" s="62" t="s">
        <v>146</v>
      </c>
      <c r="K3187" s="62" t="s">
        <v>209</v>
      </c>
      <c r="L3187" s="62" t="s">
        <v>148</v>
      </c>
      <c r="M3187" s="62" t="n">
        <v>0</v>
      </c>
      <c r="N3187" s="62" t="n">
        <v>1</v>
      </c>
      <c r="O3187" s="62" t="n">
        <v>1</v>
      </c>
      <c r="P3187" s="62" t="n">
        <v>1</v>
      </c>
      <c r="Q3187" s="62" t="n">
        <v>0</v>
      </c>
      <c r="R3187" s="62" t="n">
        <v>0</v>
      </c>
      <c r="S3187" s="62" t="n">
        <v>0</v>
      </c>
      <c r="T3187" s="62" t="n">
        <v>0</v>
      </c>
      <c r="U3187" s="62"/>
      <c r="V3187" s="62"/>
      <c r="W3187" s="62"/>
      <c r="X3187" s="62"/>
      <c r="Y3187" s="62"/>
      <c r="Z3187" s="62" t="s">
        <v>5784</v>
      </c>
      <c r="AA3187" s="62" t="s">
        <v>5785</v>
      </c>
      <c r="AB3187" s="62" t="n">
        <v>1</v>
      </c>
      <c r="AC3187" s="62" t="n">
        <v>0</v>
      </c>
      <c r="AD3187" s="62" t="n">
        <v>1</v>
      </c>
      <c r="AE3187" s="62" t="n">
        <f aca="false">IF(AND(Dashboard!$C$9="Yes",AC3187=1),0,1)</f>
        <v>1</v>
      </c>
      <c r="AF3187" s="62" t="n">
        <v>0</v>
      </c>
    </row>
    <row r="3188" customFormat="false" ht="15" hidden="false" customHeight="false" outlineLevel="0" collapsed="false">
      <c r="A3188" s="62" t="n">
        <v>3187</v>
      </c>
      <c r="B3188" s="63" t="n">
        <v>46300.2093981481</v>
      </c>
      <c r="C3188" s="64" t="n">
        <v>46299</v>
      </c>
      <c r="D3188" s="62" t="s">
        <v>393</v>
      </c>
      <c r="E3188" s="62" t="s">
        <v>2722</v>
      </c>
      <c r="F3188" s="62" t="s">
        <v>2722</v>
      </c>
      <c r="G3188" s="62" t="s">
        <v>2723</v>
      </c>
      <c r="H3188" s="62" t="s">
        <v>55</v>
      </c>
      <c r="I3188" s="62" t="s">
        <v>49</v>
      </c>
      <c r="J3188" s="62" t="s">
        <v>146</v>
      </c>
      <c r="K3188" s="62" t="s">
        <v>209</v>
      </c>
      <c r="L3188" s="62" t="s">
        <v>148</v>
      </c>
      <c r="M3188" s="62" t="n">
        <v>0</v>
      </c>
      <c r="N3188" s="62" t="n">
        <v>1</v>
      </c>
      <c r="O3188" s="62" t="n">
        <v>1</v>
      </c>
      <c r="P3188" s="62" t="n">
        <v>0</v>
      </c>
      <c r="Q3188" s="62" t="n">
        <v>1</v>
      </c>
      <c r="R3188" s="62" t="n">
        <v>0</v>
      </c>
      <c r="S3188" s="62" t="n">
        <v>0</v>
      </c>
      <c r="T3188" s="62" t="n">
        <v>0</v>
      </c>
      <c r="U3188" s="62"/>
      <c r="V3188" s="62"/>
      <c r="W3188" s="62"/>
      <c r="X3188" s="62"/>
      <c r="Y3188" s="62"/>
      <c r="Z3188" s="62" t="s">
        <v>5784</v>
      </c>
      <c r="AA3188" s="62" t="s">
        <v>5786</v>
      </c>
      <c r="AB3188" s="62" t="n">
        <v>1</v>
      </c>
      <c r="AC3188" s="62" t="n">
        <v>0</v>
      </c>
      <c r="AD3188" s="62" t="n">
        <v>1</v>
      </c>
      <c r="AE3188" s="62" t="n">
        <f aca="false">IF(AND(Dashboard!$C$9="Yes",AC3188=1),0,1)</f>
        <v>1</v>
      </c>
      <c r="AF3188" s="62" t="n">
        <v>0</v>
      </c>
    </row>
    <row r="3189" customFormat="false" ht="15" hidden="false" customHeight="false" outlineLevel="0" collapsed="false">
      <c r="A3189" s="62" t="n">
        <v>3188</v>
      </c>
      <c r="B3189" s="63" t="n">
        <v>46300.2116319445</v>
      </c>
      <c r="C3189" s="64" t="n">
        <v>46299</v>
      </c>
      <c r="D3189" s="62" t="s">
        <v>393</v>
      </c>
      <c r="E3189" s="62" t="s">
        <v>5227</v>
      </c>
      <c r="F3189" s="62" t="s">
        <v>5227</v>
      </c>
      <c r="G3189" s="62" t="s">
        <v>5228</v>
      </c>
      <c r="H3189" s="62" t="s">
        <v>55</v>
      </c>
      <c r="I3189" s="62" t="s">
        <v>49</v>
      </c>
      <c r="J3189" s="62" t="s">
        <v>3708</v>
      </c>
      <c r="K3189" s="62" t="s">
        <v>209</v>
      </c>
      <c r="L3189" s="62" t="s">
        <v>148</v>
      </c>
      <c r="M3189" s="62" t="n">
        <v>0</v>
      </c>
      <c r="N3189" s="62" t="n">
        <v>1</v>
      </c>
      <c r="O3189" s="62" t="n">
        <v>1</v>
      </c>
      <c r="P3189" s="62" t="n">
        <v>1</v>
      </c>
      <c r="Q3189" s="62" t="n">
        <v>0</v>
      </c>
      <c r="R3189" s="62" t="n">
        <v>0</v>
      </c>
      <c r="S3189" s="62" t="n">
        <v>0</v>
      </c>
      <c r="T3189" s="62" t="n">
        <v>0</v>
      </c>
      <c r="U3189" s="62"/>
      <c r="V3189" s="62"/>
      <c r="W3189" s="62"/>
      <c r="X3189" s="62"/>
      <c r="Y3189" s="62"/>
      <c r="Z3189" s="62" t="s">
        <v>5787</v>
      </c>
      <c r="AA3189" s="62" t="s">
        <v>5788</v>
      </c>
      <c r="AB3189" s="62" t="n">
        <v>1</v>
      </c>
      <c r="AC3189" s="62" t="n">
        <v>0</v>
      </c>
      <c r="AD3189" s="62" t="n">
        <v>1</v>
      </c>
      <c r="AE3189" s="62" t="n">
        <f aca="false">IF(AND(Dashboard!$C$9="Yes",AC3189=1),0,1)</f>
        <v>1</v>
      </c>
      <c r="AF3189" s="62" t="n">
        <v>1</v>
      </c>
    </row>
    <row r="3190" customFormat="false" ht="15" hidden="false" customHeight="false" outlineLevel="0" collapsed="false">
      <c r="A3190" s="62" t="n">
        <v>3189</v>
      </c>
      <c r="B3190" s="63" t="n">
        <v>46300.2240625</v>
      </c>
      <c r="C3190" s="64" t="n">
        <v>46299</v>
      </c>
      <c r="D3190" s="62" t="s">
        <v>393</v>
      </c>
      <c r="E3190" s="62" t="s">
        <v>2722</v>
      </c>
      <c r="F3190" s="62" t="s">
        <v>2722</v>
      </c>
      <c r="G3190" s="62" t="s">
        <v>2723</v>
      </c>
      <c r="H3190" s="62" t="s">
        <v>55</v>
      </c>
      <c r="I3190" s="62" t="s">
        <v>49</v>
      </c>
      <c r="J3190" s="62" t="s">
        <v>146</v>
      </c>
      <c r="K3190" s="62" t="s">
        <v>209</v>
      </c>
      <c r="L3190" s="62" t="s">
        <v>148</v>
      </c>
      <c r="M3190" s="62" t="n">
        <v>0</v>
      </c>
      <c r="N3190" s="62" t="n">
        <v>1</v>
      </c>
      <c r="O3190" s="62" t="n">
        <v>1</v>
      </c>
      <c r="P3190" s="62" t="n">
        <v>0</v>
      </c>
      <c r="Q3190" s="62" t="n">
        <v>1</v>
      </c>
      <c r="R3190" s="62" t="n">
        <v>0</v>
      </c>
      <c r="S3190" s="62" t="n">
        <v>0</v>
      </c>
      <c r="T3190" s="62" t="n">
        <v>0</v>
      </c>
      <c r="U3190" s="62"/>
      <c r="V3190" s="62"/>
      <c r="W3190" s="62"/>
      <c r="X3190" s="62"/>
      <c r="Y3190" s="62"/>
      <c r="Z3190" s="62" t="s">
        <v>5784</v>
      </c>
      <c r="AA3190" s="62" t="s">
        <v>5786</v>
      </c>
      <c r="AB3190" s="62" t="n">
        <v>1</v>
      </c>
      <c r="AC3190" s="62" t="n">
        <v>1</v>
      </c>
      <c r="AD3190" s="62" t="n">
        <v>1</v>
      </c>
      <c r="AE3190" s="62" t="n">
        <f aca="false">IF(AND(Dashboard!$C$9="Yes",AC3190=1),0,1)</f>
        <v>0</v>
      </c>
      <c r="AF3190" s="62" t="n">
        <v>0</v>
      </c>
    </row>
    <row r="3191" customFormat="false" ht="15" hidden="false" customHeight="false" outlineLevel="0" collapsed="false">
      <c r="A3191" s="62" t="n">
        <v>3190</v>
      </c>
      <c r="B3191" s="63" t="n">
        <v>46300.2252546296</v>
      </c>
      <c r="C3191" s="64" t="n">
        <v>46299</v>
      </c>
      <c r="D3191" s="62" t="s">
        <v>393</v>
      </c>
      <c r="E3191" s="62" t="s">
        <v>2722</v>
      </c>
      <c r="F3191" s="62" t="s">
        <v>2722</v>
      </c>
      <c r="G3191" s="62" t="s">
        <v>2723</v>
      </c>
      <c r="H3191" s="62" t="s">
        <v>55</v>
      </c>
      <c r="I3191" s="62" t="s">
        <v>49</v>
      </c>
      <c r="J3191" s="62" t="s">
        <v>146</v>
      </c>
      <c r="K3191" s="62" t="s">
        <v>209</v>
      </c>
      <c r="L3191" s="62" t="s">
        <v>148</v>
      </c>
      <c r="M3191" s="62" t="n">
        <v>0</v>
      </c>
      <c r="N3191" s="62" t="n">
        <v>1</v>
      </c>
      <c r="O3191" s="62" t="n">
        <v>1</v>
      </c>
      <c r="P3191" s="62" t="n">
        <v>0</v>
      </c>
      <c r="Q3191" s="62" t="n">
        <v>1</v>
      </c>
      <c r="R3191" s="62" t="n">
        <v>0</v>
      </c>
      <c r="S3191" s="62" t="n">
        <v>0</v>
      </c>
      <c r="T3191" s="62" t="n">
        <v>0</v>
      </c>
      <c r="U3191" s="62"/>
      <c r="V3191" s="62"/>
      <c r="W3191" s="62"/>
      <c r="X3191" s="62"/>
      <c r="Y3191" s="62"/>
      <c r="Z3191" s="62" t="s">
        <v>5784</v>
      </c>
      <c r="AA3191" s="62" t="s">
        <v>5786</v>
      </c>
      <c r="AB3191" s="62" t="n">
        <v>1</v>
      </c>
      <c r="AC3191" s="62" t="n">
        <v>1</v>
      </c>
      <c r="AD3191" s="62" t="n">
        <v>1</v>
      </c>
      <c r="AE3191" s="62" t="n">
        <f aca="false">IF(AND(Dashboard!$C$9="Yes",AC3191=1),0,1)</f>
        <v>0</v>
      </c>
      <c r="AF3191" s="62" t="n">
        <v>0</v>
      </c>
    </row>
    <row r="3192" customFormat="false" ht="15" hidden="false" customHeight="false" outlineLevel="0" collapsed="false">
      <c r="A3192" s="62" t="n">
        <v>3191</v>
      </c>
      <c r="B3192" s="63" t="n">
        <v>46300.2886111111</v>
      </c>
      <c r="C3192" s="64" t="n">
        <v>46299</v>
      </c>
      <c r="D3192" s="62" t="s">
        <v>393</v>
      </c>
      <c r="E3192" s="62" t="s">
        <v>1314</v>
      </c>
      <c r="F3192" s="62" t="s">
        <v>1314</v>
      </c>
      <c r="G3192" s="62" t="s">
        <v>1315</v>
      </c>
      <c r="H3192" s="62" t="s">
        <v>51</v>
      </c>
      <c r="I3192" s="62" t="s">
        <v>47</v>
      </c>
      <c r="J3192" s="62" t="s">
        <v>146</v>
      </c>
      <c r="K3192" s="62" t="s">
        <v>209</v>
      </c>
      <c r="L3192" s="62" t="s">
        <v>148</v>
      </c>
      <c r="M3192" s="62" t="n">
        <v>0</v>
      </c>
      <c r="N3192" s="62" t="n">
        <v>1</v>
      </c>
      <c r="O3192" s="62" t="n">
        <v>1</v>
      </c>
      <c r="P3192" s="62" t="n">
        <v>0</v>
      </c>
      <c r="Q3192" s="62" t="n">
        <v>1</v>
      </c>
      <c r="R3192" s="62" t="n">
        <v>0</v>
      </c>
      <c r="S3192" s="62" t="n">
        <v>0</v>
      </c>
      <c r="T3192" s="62" t="n">
        <v>0</v>
      </c>
      <c r="U3192" s="62"/>
      <c r="V3192" s="62"/>
      <c r="W3192" s="62"/>
      <c r="X3192" s="62"/>
      <c r="Y3192" s="62"/>
      <c r="Z3192" s="62" t="s">
        <v>5789</v>
      </c>
      <c r="AA3192" s="62" t="s">
        <v>5790</v>
      </c>
      <c r="AB3192" s="62" t="n">
        <v>1</v>
      </c>
      <c r="AC3192" s="62" t="n">
        <v>0</v>
      </c>
      <c r="AD3192" s="62" t="n">
        <v>1</v>
      </c>
      <c r="AE3192" s="62" t="n">
        <f aca="false">IF(AND(Dashboard!$C$9="Yes",AC3192=1),0,1)</f>
        <v>1</v>
      </c>
      <c r="AF3192" s="62" t="n">
        <v>1</v>
      </c>
    </row>
    <row r="3193" customFormat="false" ht="15" hidden="false" customHeight="false" outlineLevel="0" collapsed="false">
      <c r="A3193" s="62" t="n">
        <v>3192</v>
      </c>
      <c r="B3193" s="63" t="n">
        <v>46300.2944907407</v>
      </c>
      <c r="C3193" s="64" t="n">
        <v>46299</v>
      </c>
      <c r="D3193" s="62" t="s">
        <v>393</v>
      </c>
      <c r="E3193" s="62" t="s">
        <v>2081</v>
      </c>
      <c r="F3193" s="62" t="s">
        <v>2081</v>
      </c>
      <c r="G3193" s="62" t="s">
        <v>2082</v>
      </c>
      <c r="H3193" s="62" t="s">
        <v>57</v>
      </c>
      <c r="I3193" s="62" t="s">
        <v>47</v>
      </c>
      <c r="J3193" s="62" t="s">
        <v>146</v>
      </c>
      <c r="K3193" s="62" t="s">
        <v>147</v>
      </c>
      <c r="L3193" s="62" t="s">
        <v>148</v>
      </c>
      <c r="M3193" s="62" t="n">
        <v>0</v>
      </c>
      <c r="N3193" s="62" t="n">
        <v>1</v>
      </c>
      <c r="O3193" s="62" t="n">
        <v>1</v>
      </c>
      <c r="P3193" s="62" t="n">
        <v>1</v>
      </c>
      <c r="Q3193" s="62" t="n">
        <v>0</v>
      </c>
      <c r="R3193" s="62" t="n">
        <v>0</v>
      </c>
      <c r="S3193" s="62" t="n">
        <v>0</v>
      </c>
      <c r="T3193" s="62" t="n">
        <v>0</v>
      </c>
      <c r="U3193" s="62"/>
      <c r="V3193" s="62"/>
      <c r="W3193" s="62"/>
      <c r="X3193" s="62"/>
      <c r="Y3193" s="62"/>
      <c r="Z3193" s="62" t="s">
        <v>5791</v>
      </c>
      <c r="AA3193" s="62" t="s">
        <v>5792</v>
      </c>
      <c r="AB3193" s="62" t="n">
        <v>1</v>
      </c>
      <c r="AC3193" s="62" t="n">
        <v>0</v>
      </c>
      <c r="AD3193" s="62" t="n">
        <v>1</v>
      </c>
      <c r="AE3193" s="62" t="n">
        <f aca="false">IF(AND(Dashboard!$C$9="Yes",AC3193=1),0,1)</f>
        <v>1</v>
      </c>
      <c r="AF3193" s="62" t="n">
        <v>0</v>
      </c>
    </row>
    <row r="3194" customFormat="false" ht="15" hidden="false" customHeight="false" outlineLevel="0" collapsed="false">
      <c r="A3194" s="62" t="n">
        <v>3193</v>
      </c>
      <c r="B3194" s="63" t="n">
        <v>46300.6630671296</v>
      </c>
      <c r="C3194" s="64" t="n">
        <v>46300</v>
      </c>
      <c r="D3194" s="62" t="s">
        <v>429</v>
      </c>
      <c r="E3194" s="62" t="s">
        <v>2156</v>
      </c>
      <c r="F3194" s="62" t="s">
        <v>2156</v>
      </c>
      <c r="G3194" s="62" t="s">
        <v>2157</v>
      </c>
      <c r="H3194" s="62" t="s">
        <v>52</v>
      </c>
      <c r="I3194" s="62" t="s">
        <v>47</v>
      </c>
      <c r="J3194" s="62" t="s">
        <v>146</v>
      </c>
      <c r="K3194" s="62" t="s">
        <v>209</v>
      </c>
      <c r="L3194" s="62" t="s">
        <v>148</v>
      </c>
      <c r="M3194" s="62" t="n">
        <v>0</v>
      </c>
      <c r="N3194" s="62" t="n">
        <v>2</v>
      </c>
      <c r="O3194" s="62" t="n">
        <v>2</v>
      </c>
      <c r="P3194" s="62" t="n">
        <v>1</v>
      </c>
      <c r="Q3194" s="62" t="n">
        <v>1</v>
      </c>
      <c r="R3194" s="62" t="n">
        <v>0</v>
      </c>
      <c r="S3194" s="62" t="n">
        <v>0</v>
      </c>
      <c r="T3194" s="62" t="n">
        <v>0</v>
      </c>
      <c r="U3194" s="62"/>
      <c r="V3194" s="62"/>
      <c r="W3194" s="62"/>
      <c r="X3194" s="62"/>
      <c r="Y3194" s="62"/>
      <c r="Z3194" s="62" t="s">
        <v>5793</v>
      </c>
      <c r="AA3194" s="62" t="s">
        <v>5794</v>
      </c>
      <c r="AB3194" s="62" t="n">
        <v>1</v>
      </c>
      <c r="AC3194" s="62" t="n">
        <v>0</v>
      </c>
      <c r="AD3194" s="62" t="n">
        <v>1</v>
      </c>
      <c r="AE3194" s="62" t="n">
        <f aca="false">IF(AND(Dashboard!$C$9="Yes",AC3194=1),0,1)</f>
        <v>1</v>
      </c>
      <c r="AF3194" s="62" t="n">
        <v>1</v>
      </c>
    </row>
    <row r="3195" customFormat="false" ht="15" hidden="false" customHeight="false" outlineLevel="0" collapsed="false">
      <c r="A3195" s="62" t="n">
        <v>3194</v>
      </c>
      <c r="B3195" s="63" t="n">
        <v>46300.6655208333</v>
      </c>
      <c r="C3195" s="64" t="n">
        <v>46300</v>
      </c>
      <c r="D3195" s="62" t="s">
        <v>429</v>
      </c>
      <c r="E3195" s="62" t="s">
        <v>4234</v>
      </c>
      <c r="F3195" s="62" t="s">
        <v>4234</v>
      </c>
      <c r="G3195" s="62" t="s">
        <v>4235</v>
      </c>
      <c r="H3195" s="62" t="s">
        <v>44</v>
      </c>
      <c r="I3195" s="62" t="s">
        <v>49</v>
      </c>
      <c r="J3195" s="62" t="s">
        <v>146</v>
      </c>
      <c r="K3195" s="62" t="s">
        <v>147</v>
      </c>
      <c r="L3195" s="62" t="s">
        <v>148</v>
      </c>
      <c r="M3195" s="62" t="n">
        <v>0</v>
      </c>
      <c r="N3195" s="62" t="n">
        <v>2</v>
      </c>
      <c r="O3195" s="62" t="n">
        <v>2</v>
      </c>
      <c r="P3195" s="62" t="n">
        <v>1</v>
      </c>
      <c r="Q3195" s="62" t="n">
        <v>1</v>
      </c>
      <c r="R3195" s="62" t="n">
        <v>0</v>
      </c>
      <c r="S3195" s="62" t="n">
        <v>0</v>
      </c>
      <c r="T3195" s="62" t="n">
        <v>0</v>
      </c>
      <c r="U3195" s="62"/>
      <c r="V3195" s="62"/>
      <c r="W3195" s="62"/>
      <c r="X3195" s="62"/>
      <c r="Y3195" s="62"/>
      <c r="Z3195" s="62" t="s">
        <v>5795</v>
      </c>
      <c r="AA3195" s="62" t="s">
        <v>5796</v>
      </c>
      <c r="AB3195" s="62" t="n">
        <v>1</v>
      </c>
      <c r="AC3195" s="62" t="n">
        <v>0</v>
      </c>
      <c r="AD3195" s="62" t="n">
        <v>1</v>
      </c>
      <c r="AE3195" s="62" t="n">
        <f aca="false">IF(AND(Dashboard!$C$9="Yes",AC3195=1),0,1)</f>
        <v>1</v>
      </c>
      <c r="AF3195" s="62" t="n">
        <v>1</v>
      </c>
    </row>
    <row r="3196" customFormat="false" ht="15" hidden="false" customHeight="false" outlineLevel="0" collapsed="false">
      <c r="A3196" s="62" t="n">
        <v>3195</v>
      </c>
      <c r="B3196" s="63" t="n">
        <v>46300.6993981482</v>
      </c>
      <c r="C3196" s="64" t="n">
        <v>46300</v>
      </c>
      <c r="D3196" s="62" t="s">
        <v>429</v>
      </c>
      <c r="E3196" s="62" t="s">
        <v>2540</v>
      </c>
      <c r="F3196" s="62" t="s">
        <v>2540</v>
      </c>
      <c r="G3196" s="62" t="s">
        <v>2541</v>
      </c>
      <c r="H3196" s="62" t="s">
        <v>48</v>
      </c>
      <c r="I3196" s="62" t="s">
        <v>49</v>
      </c>
      <c r="J3196" s="62" t="s">
        <v>146</v>
      </c>
      <c r="K3196" s="62" t="s">
        <v>209</v>
      </c>
      <c r="L3196" s="62" t="s">
        <v>148</v>
      </c>
      <c r="M3196" s="62" t="n">
        <v>0</v>
      </c>
      <c r="N3196" s="62" t="n">
        <v>1</v>
      </c>
      <c r="O3196" s="62" t="n">
        <v>1</v>
      </c>
      <c r="P3196" s="62" t="n">
        <v>1</v>
      </c>
      <c r="Q3196" s="62" t="n">
        <v>0</v>
      </c>
      <c r="R3196" s="62" t="n">
        <v>0</v>
      </c>
      <c r="S3196" s="62" t="n">
        <v>0</v>
      </c>
      <c r="T3196" s="62" t="n">
        <v>0</v>
      </c>
      <c r="U3196" s="62"/>
      <c r="V3196" s="62"/>
      <c r="W3196" s="62"/>
      <c r="X3196" s="62"/>
      <c r="Y3196" s="62"/>
      <c r="Z3196" s="62" t="s">
        <v>5797</v>
      </c>
      <c r="AA3196" s="62" t="s">
        <v>5798</v>
      </c>
      <c r="AB3196" s="62" t="n">
        <v>1</v>
      </c>
      <c r="AC3196" s="62" t="n">
        <v>0</v>
      </c>
      <c r="AD3196" s="62" t="n">
        <v>1</v>
      </c>
      <c r="AE3196" s="62" t="n">
        <f aca="false">IF(AND(Dashboard!$C$9="Yes",AC3196=1),0,1)</f>
        <v>1</v>
      </c>
      <c r="AF3196" s="62" t="n">
        <v>1</v>
      </c>
    </row>
    <row r="3197" customFormat="false" ht="15" hidden="false" customHeight="false" outlineLevel="0" collapsed="false">
      <c r="A3197" s="62" t="n">
        <v>3196</v>
      </c>
      <c r="B3197" s="63" t="n">
        <v>46300.7023726852</v>
      </c>
      <c r="C3197" s="64" t="n">
        <v>46300</v>
      </c>
      <c r="D3197" s="62" t="s">
        <v>429</v>
      </c>
      <c r="E3197" s="62" t="s">
        <v>4386</v>
      </c>
      <c r="F3197" s="62" t="s">
        <v>4386</v>
      </c>
      <c r="G3197" s="62" t="s">
        <v>4387</v>
      </c>
      <c r="H3197" s="62" t="s">
        <v>44</v>
      </c>
      <c r="I3197" s="62" t="s">
        <v>49</v>
      </c>
      <c r="J3197" s="62" t="s">
        <v>146</v>
      </c>
      <c r="K3197" s="62" t="s">
        <v>147</v>
      </c>
      <c r="L3197" s="62" t="s">
        <v>148</v>
      </c>
      <c r="M3197" s="62" t="n">
        <v>0</v>
      </c>
      <c r="N3197" s="62" t="n">
        <v>1</v>
      </c>
      <c r="O3197" s="62" t="n">
        <v>1</v>
      </c>
      <c r="P3197" s="62" t="n">
        <v>1</v>
      </c>
      <c r="Q3197" s="62" t="n">
        <v>0</v>
      </c>
      <c r="R3197" s="62" t="n">
        <v>0</v>
      </c>
      <c r="S3197" s="62" t="n">
        <v>0</v>
      </c>
      <c r="T3197" s="62" t="n">
        <v>0</v>
      </c>
      <c r="U3197" s="62"/>
      <c r="V3197" s="62"/>
      <c r="W3197" s="62"/>
      <c r="X3197" s="62"/>
      <c r="Y3197" s="62"/>
      <c r="Z3197" s="62" t="s">
        <v>5799</v>
      </c>
      <c r="AA3197" s="62" t="s">
        <v>5800</v>
      </c>
      <c r="AB3197" s="62" t="n">
        <v>1</v>
      </c>
      <c r="AC3197" s="62" t="n">
        <v>0</v>
      </c>
      <c r="AD3197" s="62" t="n">
        <v>1</v>
      </c>
      <c r="AE3197" s="62" t="n">
        <f aca="false">IF(AND(Dashboard!$C$9="Yes",AC3197=1),0,1)</f>
        <v>1</v>
      </c>
      <c r="AF3197" s="62" t="n">
        <v>1</v>
      </c>
    </row>
    <row r="3198" customFormat="false" ht="15" hidden="false" customHeight="false" outlineLevel="0" collapsed="false">
      <c r="A3198" s="62" t="n">
        <v>3197</v>
      </c>
      <c r="B3198" s="63" t="n">
        <v>46300.7241550926</v>
      </c>
      <c r="C3198" s="64" t="n">
        <v>46300</v>
      </c>
      <c r="D3198" s="62" t="s">
        <v>429</v>
      </c>
      <c r="E3198" s="62" t="s">
        <v>4310</v>
      </c>
      <c r="F3198" s="62" t="s">
        <v>4310</v>
      </c>
      <c r="G3198" s="62" t="s">
        <v>4311</v>
      </c>
      <c r="H3198" s="62" t="s">
        <v>44</v>
      </c>
      <c r="I3198" s="62" t="s">
        <v>61</v>
      </c>
      <c r="J3198" s="62" t="s">
        <v>3708</v>
      </c>
      <c r="K3198" s="62" t="s">
        <v>175</v>
      </c>
      <c r="L3198" s="62" t="s">
        <v>148</v>
      </c>
      <c r="M3198" s="62" t="n">
        <v>0</v>
      </c>
      <c r="N3198" s="62" t="n">
        <v>1</v>
      </c>
      <c r="O3198" s="62" t="n">
        <v>1</v>
      </c>
      <c r="P3198" s="62" t="n">
        <v>0</v>
      </c>
      <c r="Q3198" s="62" t="n">
        <v>0</v>
      </c>
      <c r="R3198" s="62" t="n">
        <v>1</v>
      </c>
      <c r="S3198" s="62" t="n">
        <v>0</v>
      </c>
      <c r="T3198" s="62" t="n">
        <v>0</v>
      </c>
      <c r="U3198" s="62"/>
      <c r="V3198" s="62"/>
      <c r="W3198" s="62"/>
      <c r="X3198" s="62"/>
      <c r="Y3198" s="62"/>
      <c r="Z3198" s="62" t="s">
        <v>5801</v>
      </c>
      <c r="AA3198" s="62" t="s">
        <v>5802</v>
      </c>
      <c r="AB3198" s="62" t="n">
        <v>1</v>
      </c>
      <c r="AC3198" s="62" t="n">
        <v>0</v>
      </c>
      <c r="AD3198" s="62" t="n">
        <v>1</v>
      </c>
      <c r="AE3198" s="62" t="n">
        <f aca="false">IF(AND(Dashboard!$C$9="Yes",AC3198=1),0,1)</f>
        <v>1</v>
      </c>
      <c r="AF3198" s="62" t="n">
        <v>1</v>
      </c>
    </row>
    <row r="3199" customFormat="false" ht="15" hidden="false" customHeight="false" outlineLevel="0" collapsed="false">
      <c r="A3199" s="62" t="n">
        <v>3198</v>
      </c>
      <c r="B3199" s="63" t="n">
        <v>46300.7635300926</v>
      </c>
      <c r="C3199" s="64" t="n">
        <v>46300</v>
      </c>
      <c r="D3199" s="62" t="s">
        <v>429</v>
      </c>
      <c r="E3199" s="62" t="s">
        <v>196</v>
      </c>
      <c r="F3199" s="62" t="s">
        <v>196</v>
      </c>
      <c r="G3199" s="62" t="s">
        <v>197</v>
      </c>
      <c r="H3199" s="62" t="s">
        <v>57</v>
      </c>
      <c r="I3199" s="62" t="s">
        <v>47</v>
      </c>
      <c r="J3199" s="62" t="s">
        <v>146</v>
      </c>
      <c r="K3199" s="62" t="s">
        <v>175</v>
      </c>
      <c r="L3199" s="62" t="s">
        <v>148</v>
      </c>
      <c r="M3199" s="62" t="n">
        <v>0</v>
      </c>
      <c r="N3199" s="62" t="n">
        <v>1</v>
      </c>
      <c r="O3199" s="62" t="n">
        <v>1</v>
      </c>
      <c r="P3199" s="62" t="n">
        <v>0</v>
      </c>
      <c r="Q3199" s="62" t="n">
        <v>1</v>
      </c>
      <c r="R3199" s="62" t="n">
        <v>0</v>
      </c>
      <c r="S3199" s="62" t="n">
        <v>0</v>
      </c>
      <c r="T3199" s="62" t="n">
        <v>0</v>
      </c>
      <c r="U3199" s="62"/>
      <c r="V3199" s="62"/>
      <c r="W3199" s="62"/>
      <c r="X3199" s="62"/>
      <c r="Y3199" s="62"/>
      <c r="Z3199" s="62" t="s">
        <v>5803</v>
      </c>
      <c r="AA3199" s="62" t="s">
        <v>5804</v>
      </c>
      <c r="AB3199" s="62" t="n">
        <v>1</v>
      </c>
      <c r="AC3199" s="62" t="n">
        <v>0</v>
      </c>
      <c r="AD3199" s="62" t="n">
        <v>1</v>
      </c>
      <c r="AE3199" s="62" t="n">
        <f aca="false">IF(AND(Dashboard!$C$9="Yes",AC3199=1),0,1)</f>
        <v>1</v>
      </c>
      <c r="AF3199" s="62" t="n">
        <v>1</v>
      </c>
    </row>
    <row r="3200" customFormat="false" ht="15" hidden="false" customHeight="false" outlineLevel="0" collapsed="false">
      <c r="A3200" s="62" t="n">
        <v>3199</v>
      </c>
      <c r="B3200" s="63" t="n">
        <v>46300.7956944444</v>
      </c>
      <c r="C3200" s="64" t="n">
        <v>46300</v>
      </c>
      <c r="D3200" s="62" t="s">
        <v>429</v>
      </c>
      <c r="E3200" s="62" t="s">
        <v>1749</v>
      </c>
      <c r="F3200" s="62" t="s">
        <v>1749</v>
      </c>
      <c r="G3200" s="62" t="s">
        <v>1750</v>
      </c>
      <c r="H3200" s="62" t="s">
        <v>57</v>
      </c>
      <c r="I3200" s="62" t="s">
        <v>47</v>
      </c>
      <c r="J3200" s="62" t="s">
        <v>146</v>
      </c>
      <c r="K3200" s="62" t="s">
        <v>209</v>
      </c>
      <c r="L3200" s="62" t="s">
        <v>148</v>
      </c>
      <c r="M3200" s="62" t="n">
        <v>0</v>
      </c>
      <c r="N3200" s="62" t="n">
        <v>1</v>
      </c>
      <c r="O3200" s="62" t="n">
        <v>1</v>
      </c>
      <c r="P3200" s="62" t="n">
        <v>1</v>
      </c>
      <c r="Q3200" s="62" t="n">
        <v>0</v>
      </c>
      <c r="R3200" s="62" t="n">
        <v>0</v>
      </c>
      <c r="S3200" s="62" t="n">
        <v>0</v>
      </c>
      <c r="T3200" s="62" t="n">
        <v>0</v>
      </c>
      <c r="U3200" s="62"/>
      <c r="V3200" s="62"/>
      <c r="W3200" s="62"/>
      <c r="X3200" s="62"/>
      <c r="Y3200" s="62"/>
      <c r="Z3200" s="62" t="s">
        <v>5805</v>
      </c>
      <c r="AA3200" s="62" t="s">
        <v>5806</v>
      </c>
      <c r="AB3200" s="62" t="n">
        <v>1</v>
      </c>
      <c r="AC3200" s="62" t="n">
        <v>0</v>
      </c>
      <c r="AD3200" s="62" t="n">
        <v>1</v>
      </c>
      <c r="AE3200" s="62" t="n">
        <f aca="false">IF(AND(Dashboard!$C$9="Yes",AC3200=1),0,1)</f>
        <v>1</v>
      </c>
      <c r="AF3200" s="62" t="n">
        <v>1</v>
      </c>
    </row>
    <row r="3201" customFormat="false" ht="15" hidden="false" customHeight="false" outlineLevel="0" collapsed="false">
      <c r="A3201" s="62" t="n">
        <v>3200</v>
      </c>
      <c r="B3201" s="63" t="n">
        <v>46300.8121990741</v>
      </c>
      <c r="C3201" s="64" t="n">
        <v>46300</v>
      </c>
      <c r="D3201" s="62" t="s">
        <v>429</v>
      </c>
      <c r="E3201" s="62" t="s">
        <v>4234</v>
      </c>
      <c r="F3201" s="62" t="s">
        <v>4234</v>
      </c>
      <c r="G3201" s="62" t="s">
        <v>4235</v>
      </c>
      <c r="H3201" s="62" t="s">
        <v>44</v>
      </c>
      <c r="I3201" s="62" t="s">
        <v>49</v>
      </c>
      <c r="J3201" s="62" t="s">
        <v>146</v>
      </c>
      <c r="K3201" s="62" t="s">
        <v>147</v>
      </c>
      <c r="L3201" s="62" t="s">
        <v>148</v>
      </c>
      <c r="M3201" s="62" t="n">
        <v>0</v>
      </c>
      <c r="N3201" s="62" t="n">
        <v>1</v>
      </c>
      <c r="O3201" s="62" t="n">
        <v>1</v>
      </c>
      <c r="P3201" s="62" t="n">
        <v>1</v>
      </c>
      <c r="Q3201" s="62" t="n">
        <v>0</v>
      </c>
      <c r="R3201" s="62" t="n">
        <v>0</v>
      </c>
      <c r="S3201" s="62" t="n">
        <v>0</v>
      </c>
      <c r="T3201" s="62" t="n">
        <v>0</v>
      </c>
      <c r="U3201" s="62"/>
      <c r="V3201" s="62"/>
      <c r="W3201" s="62"/>
      <c r="X3201" s="62"/>
      <c r="Y3201" s="62"/>
      <c r="Z3201" s="62" t="s">
        <v>5807</v>
      </c>
      <c r="AA3201" s="62" t="s">
        <v>5808</v>
      </c>
      <c r="AB3201" s="62" t="n">
        <v>1</v>
      </c>
      <c r="AC3201" s="62" t="n">
        <v>0</v>
      </c>
      <c r="AD3201" s="62" t="n">
        <v>1</v>
      </c>
      <c r="AE3201" s="62" t="n">
        <f aca="false">IF(AND(Dashboard!$C$9="Yes",AC3201=1),0,1)</f>
        <v>1</v>
      </c>
      <c r="AF3201" s="62" t="n">
        <v>0</v>
      </c>
    </row>
    <row r="3202" customFormat="false" ht="15" hidden="false" customHeight="false" outlineLevel="0" collapsed="false">
      <c r="A3202" s="62" t="n">
        <v>3201</v>
      </c>
      <c r="B3202" s="63" t="n">
        <v>46300.814212963</v>
      </c>
      <c r="C3202" s="64" t="n">
        <v>46300</v>
      </c>
      <c r="D3202" s="62" t="s">
        <v>429</v>
      </c>
      <c r="E3202" s="62" t="s">
        <v>4542</v>
      </c>
      <c r="F3202" s="62" t="s">
        <v>4542</v>
      </c>
      <c r="G3202" s="62" t="s">
        <v>4543</v>
      </c>
      <c r="H3202" s="62" t="s">
        <v>44</v>
      </c>
      <c r="I3202" s="62" t="s">
        <v>49</v>
      </c>
      <c r="J3202" s="62" t="s">
        <v>146</v>
      </c>
      <c r="K3202" s="62" t="s">
        <v>147</v>
      </c>
      <c r="L3202" s="62" t="s">
        <v>4</v>
      </c>
      <c r="M3202" s="62" t="n">
        <v>1</v>
      </c>
      <c r="N3202" s="62" t="n">
        <v>0</v>
      </c>
      <c r="O3202" s="62" t="n">
        <v>1</v>
      </c>
      <c r="P3202" s="62" t="n">
        <v>0</v>
      </c>
      <c r="Q3202" s="62" t="n">
        <v>0</v>
      </c>
      <c r="R3202" s="62" t="n">
        <v>0</v>
      </c>
      <c r="S3202" s="62" t="n">
        <v>0</v>
      </c>
      <c r="T3202" s="62" t="n">
        <v>0</v>
      </c>
      <c r="U3202" s="62" t="s">
        <v>15</v>
      </c>
      <c r="V3202" s="62" t="s">
        <v>2057</v>
      </c>
      <c r="W3202" s="62" t="s">
        <v>15</v>
      </c>
      <c r="X3202" s="62" t="s">
        <v>2125</v>
      </c>
      <c r="Y3202" s="62" t="s">
        <v>2181</v>
      </c>
      <c r="Z3202" s="62" t="s">
        <v>5809</v>
      </c>
      <c r="AA3202" s="62" t="s">
        <v>5810</v>
      </c>
      <c r="AB3202" s="62" t="n">
        <v>1</v>
      </c>
      <c r="AC3202" s="62" t="n">
        <v>0</v>
      </c>
      <c r="AD3202" s="62" t="n">
        <v>1</v>
      </c>
      <c r="AE3202" s="62" t="n">
        <f aca="false">IF(AND(Dashboard!$C$9="Yes",AC3202=1),0,1)</f>
        <v>1</v>
      </c>
      <c r="AF3202" s="62" t="n">
        <v>1</v>
      </c>
    </row>
    <row r="3203" customFormat="false" ht="15" hidden="false" customHeight="false" outlineLevel="0" collapsed="false">
      <c r="A3203" s="62" t="n">
        <v>3202</v>
      </c>
      <c r="B3203" s="63" t="n">
        <v>46300.8194675926</v>
      </c>
      <c r="C3203" s="64" t="n">
        <v>46300</v>
      </c>
      <c r="D3203" s="62" t="s">
        <v>429</v>
      </c>
      <c r="E3203" s="62" t="s">
        <v>4238</v>
      </c>
      <c r="F3203" s="62" t="s">
        <v>4238</v>
      </c>
      <c r="G3203" s="62" t="s">
        <v>4239</v>
      </c>
      <c r="H3203" s="62" t="s">
        <v>44</v>
      </c>
      <c r="I3203" s="62" t="s">
        <v>49</v>
      </c>
      <c r="J3203" s="62" t="s">
        <v>146</v>
      </c>
      <c r="K3203" s="62" t="s">
        <v>147</v>
      </c>
      <c r="L3203" s="62" t="s">
        <v>148</v>
      </c>
      <c r="M3203" s="62" t="n">
        <v>0</v>
      </c>
      <c r="N3203" s="62" t="n">
        <v>1</v>
      </c>
      <c r="O3203" s="62" t="n">
        <v>1</v>
      </c>
      <c r="P3203" s="62" t="n">
        <v>1</v>
      </c>
      <c r="Q3203" s="62" t="n">
        <v>0</v>
      </c>
      <c r="R3203" s="62" t="n">
        <v>0</v>
      </c>
      <c r="S3203" s="62" t="n">
        <v>0</v>
      </c>
      <c r="T3203" s="62" t="n">
        <v>0</v>
      </c>
      <c r="U3203" s="62"/>
      <c r="V3203" s="62"/>
      <c r="W3203" s="62"/>
      <c r="X3203" s="62"/>
      <c r="Y3203" s="62"/>
      <c r="Z3203" s="62" t="s">
        <v>5811</v>
      </c>
      <c r="AA3203" s="62" t="s">
        <v>5812</v>
      </c>
      <c r="AB3203" s="62" t="n">
        <v>1</v>
      </c>
      <c r="AC3203" s="62" t="n">
        <v>0</v>
      </c>
      <c r="AD3203" s="62" t="n">
        <v>1</v>
      </c>
      <c r="AE3203" s="62" t="n">
        <f aca="false">IF(AND(Dashboard!$C$9="Yes",AC3203=1),0,1)</f>
        <v>1</v>
      </c>
      <c r="AF3203" s="62" t="n">
        <v>1</v>
      </c>
    </row>
    <row r="3204" customFormat="false" ht="15" hidden="false" customHeight="false" outlineLevel="0" collapsed="false">
      <c r="A3204" s="62" t="n">
        <v>3203</v>
      </c>
      <c r="B3204" s="63" t="n">
        <v>46300.8365740741</v>
      </c>
      <c r="C3204" s="64" t="n">
        <v>46300</v>
      </c>
      <c r="D3204" s="62" t="s">
        <v>429</v>
      </c>
      <c r="E3204" s="62" t="s">
        <v>5813</v>
      </c>
      <c r="F3204" s="62" t="s">
        <v>5814</v>
      </c>
      <c r="G3204" s="62" t="s">
        <v>153</v>
      </c>
      <c r="H3204" s="62" t="s">
        <v>153</v>
      </c>
      <c r="I3204" s="62" t="s">
        <v>153</v>
      </c>
      <c r="J3204" s="62" t="s">
        <v>64</v>
      </c>
      <c r="K3204" s="62" t="s">
        <v>64</v>
      </c>
      <c r="L3204" s="62" t="s">
        <v>4</v>
      </c>
      <c r="M3204" s="62" t="n">
        <v>1</v>
      </c>
      <c r="N3204" s="62" t="n">
        <v>0</v>
      </c>
      <c r="O3204" s="62" t="n">
        <v>1</v>
      </c>
      <c r="P3204" s="62" t="n">
        <v>0</v>
      </c>
      <c r="Q3204" s="62" t="n">
        <v>0</v>
      </c>
      <c r="R3204" s="62" t="n">
        <v>0</v>
      </c>
      <c r="S3204" s="62" t="n">
        <v>0</v>
      </c>
      <c r="T3204" s="62" t="n">
        <v>0</v>
      </c>
      <c r="U3204" s="62" t="s">
        <v>2056</v>
      </c>
      <c r="V3204" s="62" t="s">
        <v>2057</v>
      </c>
      <c r="W3204" s="62" t="s">
        <v>15</v>
      </c>
      <c r="X3204" s="62" t="s">
        <v>2058</v>
      </c>
      <c r="Y3204" s="62" t="s">
        <v>2059</v>
      </c>
      <c r="Z3204" s="62" t="s">
        <v>5815</v>
      </c>
      <c r="AA3204" s="62" t="s">
        <v>5816</v>
      </c>
      <c r="AB3204" s="62" t="n">
        <v>1</v>
      </c>
      <c r="AC3204" s="62" t="n">
        <v>0</v>
      </c>
      <c r="AD3204" s="62" t="n">
        <v>0</v>
      </c>
      <c r="AE3204" s="62" t="n">
        <f aca="false">IF(AND(Dashboard!$C$9="Yes",AC3204=1),0,1)</f>
        <v>1</v>
      </c>
      <c r="AF3204" s="62" t="n">
        <v>1</v>
      </c>
    </row>
    <row r="3205" customFormat="false" ht="15" hidden="false" customHeight="false" outlineLevel="0" collapsed="false">
      <c r="A3205" s="62" t="n">
        <v>3204</v>
      </c>
      <c r="B3205" s="63" t="n">
        <v>46300.8369791667</v>
      </c>
      <c r="C3205" s="64" t="n">
        <v>46300</v>
      </c>
      <c r="D3205" s="62" t="s">
        <v>429</v>
      </c>
      <c r="E3205" s="62" t="s">
        <v>4386</v>
      </c>
      <c r="F3205" s="62" t="s">
        <v>4386</v>
      </c>
      <c r="G3205" s="62" t="s">
        <v>4387</v>
      </c>
      <c r="H3205" s="62" t="s">
        <v>44</v>
      </c>
      <c r="I3205" s="62" t="s">
        <v>49</v>
      </c>
      <c r="J3205" s="62" t="s">
        <v>146</v>
      </c>
      <c r="K3205" s="62" t="s">
        <v>147</v>
      </c>
      <c r="L3205" s="62" t="s">
        <v>4</v>
      </c>
      <c r="M3205" s="62" t="n">
        <v>1</v>
      </c>
      <c r="N3205" s="62" t="n">
        <v>0</v>
      </c>
      <c r="O3205" s="62" t="n">
        <v>1</v>
      </c>
      <c r="P3205" s="62" t="n">
        <v>0</v>
      </c>
      <c r="Q3205" s="62" t="n">
        <v>0</v>
      </c>
      <c r="R3205" s="62" t="n">
        <v>0</v>
      </c>
      <c r="S3205" s="62" t="n">
        <v>0</v>
      </c>
      <c r="T3205" s="62" t="n">
        <v>0</v>
      </c>
      <c r="U3205" s="62" t="s">
        <v>2056</v>
      </c>
      <c r="V3205" s="62" t="s">
        <v>2057</v>
      </c>
      <c r="W3205" s="62" t="s">
        <v>15</v>
      </c>
      <c r="X3205" s="62" t="s">
        <v>2058</v>
      </c>
      <c r="Y3205" s="62" t="s">
        <v>2059</v>
      </c>
      <c r="Z3205" s="62" t="s">
        <v>5815</v>
      </c>
      <c r="AA3205" s="62" t="s">
        <v>3331</v>
      </c>
      <c r="AB3205" s="62" t="n">
        <v>1</v>
      </c>
      <c r="AC3205" s="62" t="n">
        <v>0</v>
      </c>
      <c r="AD3205" s="62" t="n">
        <v>1</v>
      </c>
      <c r="AE3205" s="62" t="n">
        <f aca="false">IF(AND(Dashboard!$C$9="Yes",AC3205=1),0,1)</f>
        <v>1</v>
      </c>
      <c r="AF3205" s="62" t="n">
        <v>0</v>
      </c>
    </row>
    <row r="3206" customFormat="false" ht="15" hidden="false" customHeight="false" outlineLevel="0" collapsed="false">
      <c r="A3206" s="62" t="n">
        <v>3205</v>
      </c>
      <c r="B3206" s="63" t="n">
        <v>46300.8381828704</v>
      </c>
      <c r="C3206" s="64" t="n">
        <v>46300</v>
      </c>
      <c r="D3206" s="62" t="s">
        <v>429</v>
      </c>
      <c r="E3206" s="62" t="s">
        <v>4226</v>
      </c>
      <c r="F3206" s="62" t="s">
        <v>4226</v>
      </c>
      <c r="G3206" s="62" t="s">
        <v>4227</v>
      </c>
      <c r="H3206" s="62" t="s">
        <v>44</v>
      </c>
      <c r="I3206" s="62" t="s">
        <v>49</v>
      </c>
      <c r="J3206" s="62" t="s">
        <v>146</v>
      </c>
      <c r="K3206" s="62" t="s">
        <v>147</v>
      </c>
      <c r="L3206" s="62" t="s">
        <v>148</v>
      </c>
      <c r="M3206" s="62" t="n">
        <v>0</v>
      </c>
      <c r="N3206" s="62" t="n">
        <v>1</v>
      </c>
      <c r="O3206" s="62" t="n">
        <v>1</v>
      </c>
      <c r="P3206" s="62" t="n">
        <v>1</v>
      </c>
      <c r="Q3206" s="62" t="n">
        <v>0</v>
      </c>
      <c r="R3206" s="62" t="n">
        <v>0</v>
      </c>
      <c r="S3206" s="62" t="n">
        <v>0</v>
      </c>
      <c r="T3206" s="62" t="n">
        <v>0</v>
      </c>
      <c r="U3206" s="62"/>
      <c r="V3206" s="62"/>
      <c r="W3206" s="62"/>
      <c r="X3206" s="62"/>
      <c r="Y3206" s="62"/>
      <c r="Z3206" s="62" t="s">
        <v>5817</v>
      </c>
      <c r="AA3206" s="62" t="s">
        <v>5818</v>
      </c>
      <c r="AB3206" s="62" t="n">
        <v>1</v>
      </c>
      <c r="AC3206" s="62" t="n">
        <v>0</v>
      </c>
      <c r="AD3206" s="62" t="n">
        <v>1</v>
      </c>
      <c r="AE3206" s="62" t="n">
        <f aca="false">IF(AND(Dashboard!$C$9="Yes",AC3206=1),0,1)</f>
        <v>1</v>
      </c>
      <c r="AF3206" s="62" t="n">
        <v>1</v>
      </c>
    </row>
    <row r="3207" customFormat="false" ht="15" hidden="false" customHeight="false" outlineLevel="0" collapsed="false">
      <c r="A3207" s="62" t="n">
        <v>3206</v>
      </c>
      <c r="B3207" s="63" t="n">
        <v>46300.87</v>
      </c>
      <c r="C3207" s="64" t="n">
        <v>46300</v>
      </c>
      <c r="D3207" s="62" t="s">
        <v>429</v>
      </c>
      <c r="E3207" s="62" t="s">
        <v>2385</v>
      </c>
      <c r="F3207" s="62" t="s">
        <v>2385</v>
      </c>
      <c r="G3207" s="62" t="s">
        <v>2386</v>
      </c>
      <c r="H3207" s="62" t="s">
        <v>59</v>
      </c>
      <c r="I3207" s="62" t="s">
        <v>47</v>
      </c>
      <c r="J3207" s="62" t="s">
        <v>146</v>
      </c>
      <c r="K3207" s="62" t="s">
        <v>209</v>
      </c>
      <c r="L3207" s="62" t="s">
        <v>4</v>
      </c>
      <c r="M3207" s="62" t="n">
        <v>2</v>
      </c>
      <c r="N3207" s="62" t="n">
        <v>0</v>
      </c>
      <c r="O3207" s="62" t="n">
        <v>2</v>
      </c>
      <c r="P3207" s="62" t="n">
        <v>0</v>
      </c>
      <c r="Q3207" s="62" t="n">
        <v>0</v>
      </c>
      <c r="R3207" s="62" t="n">
        <v>0</v>
      </c>
      <c r="S3207" s="62" t="n">
        <v>0</v>
      </c>
      <c r="T3207" s="62" t="n">
        <v>0</v>
      </c>
      <c r="U3207" s="62" t="s">
        <v>15</v>
      </c>
      <c r="V3207" s="62" t="s">
        <v>2057</v>
      </c>
      <c r="W3207" s="62" t="s">
        <v>2056</v>
      </c>
      <c r="X3207" s="62" t="s">
        <v>2069</v>
      </c>
      <c r="Y3207" s="62" t="s">
        <v>2181</v>
      </c>
      <c r="Z3207" s="62" t="s">
        <v>5819</v>
      </c>
      <c r="AA3207" s="62" t="s">
        <v>5820</v>
      </c>
      <c r="AB3207" s="62" t="n">
        <v>1</v>
      </c>
      <c r="AC3207" s="62" t="n">
        <v>0</v>
      </c>
      <c r="AD3207" s="62" t="n">
        <v>1</v>
      </c>
      <c r="AE3207" s="62" t="n">
        <f aca="false">IF(AND(Dashboard!$C$9="Yes",AC3207=1),0,1)</f>
        <v>1</v>
      </c>
      <c r="AF3207" s="62" t="n">
        <v>1</v>
      </c>
    </row>
    <row r="3208" customFormat="false" ht="15" hidden="false" customHeight="false" outlineLevel="0" collapsed="false">
      <c r="A3208" s="62" t="n">
        <v>3207</v>
      </c>
      <c r="B3208" s="63" t="n">
        <v>46300.8703472222</v>
      </c>
      <c r="C3208" s="64" t="n">
        <v>46300</v>
      </c>
      <c r="D3208" s="62" t="s">
        <v>429</v>
      </c>
      <c r="E3208" s="62" t="s">
        <v>2385</v>
      </c>
      <c r="F3208" s="62" t="s">
        <v>2385</v>
      </c>
      <c r="G3208" s="62" t="s">
        <v>2386</v>
      </c>
      <c r="H3208" s="62" t="s">
        <v>59</v>
      </c>
      <c r="I3208" s="62" t="s">
        <v>47</v>
      </c>
      <c r="J3208" s="62" t="s">
        <v>146</v>
      </c>
      <c r="K3208" s="62" t="s">
        <v>209</v>
      </c>
      <c r="L3208" s="62" t="s">
        <v>148</v>
      </c>
      <c r="M3208" s="62" t="n">
        <v>0</v>
      </c>
      <c r="N3208" s="62" t="n">
        <v>3</v>
      </c>
      <c r="O3208" s="62" t="n">
        <v>3</v>
      </c>
      <c r="P3208" s="62" t="n">
        <v>0</v>
      </c>
      <c r="Q3208" s="62" t="n">
        <v>0</v>
      </c>
      <c r="R3208" s="62" t="n">
        <v>0</v>
      </c>
      <c r="S3208" s="62" t="n">
        <v>1</v>
      </c>
      <c r="T3208" s="62" t="n">
        <v>1</v>
      </c>
      <c r="U3208" s="62"/>
      <c r="V3208" s="62"/>
      <c r="W3208" s="62"/>
      <c r="X3208" s="62"/>
      <c r="Y3208" s="62"/>
      <c r="Z3208" s="62" t="s">
        <v>5819</v>
      </c>
      <c r="AA3208" s="62" t="s">
        <v>5821</v>
      </c>
      <c r="AB3208" s="62" t="n">
        <v>1</v>
      </c>
      <c r="AC3208" s="62" t="n">
        <v>0</v>
      </c>
      <c r="AD3208" s="62" t="n">
        <v>1</v>
      </c>
      <c r="AE3208" s="62" t="n">
        <f aca="false">IF(AND(Dashboard!$C$9="Yes",AC3208=1),0,1)</f>
        <v>1</v>
      </c>
      <c r="AF3208" s="62" t="n">
        <v>0</v>
      </c>
    </row>
    <row r="3209" customFormat="false" ht="15" hidden="false" customHeight="false" outlineLevel="0" collapsed="false">
      <c r="A3209" s="62" t="n">
        <v>3208</v>
      </c>
      <c r="B3209" s="63" t="n">
        <v>46300.8816319444</v>
      </c>
      <c r="C3209" s="64" t="n">
        <v>46300</v>
      </c>
      <c r="D3209" s="62" t="s">
        <v>429</v>
      </c>
      <c r="E3209" s="62" t="s">
        <v>4242</v>
      </c>
      <c r="F3209" s="62" t="s">
        <v>4242</v>
      </c>
      <c r="G3209" s="62" t="s">
        <v>4243</v>
      </c>
      <c r="H3209" s="62" t="s">
        <v>44</v>
      </c>
      <c r="I3209" s="62" t="s">
        <v>49</v>
      </c>
      <c r="J3209" s="62" t="s">
        <v>146</v>
      </c>
      <c r="K3209" s="62" t="s">
        <v>147</v>
      </c>
      <c r="L3209" s="62" t="s">
        <v>148</v>
      </c>
      <c r="M3209" s="62" t="n">
        <v>0</v>
      </c>
      <c r="N3209" s="62" t="n">
        <v>1</v>
      </c>
      <c r="O3209" s="62" t="n">
        <v>1</v>
      </c>
      <c r="P3209" s="62" t="n">
        <v>1</v>
      </c>
      <c r="Q3209" s="62" t="n">
        <v>0</v>
      </c>
      <c r="R3209" s="62" t="n">
        <v>0</v>
      </c>
      <c r="S3209" s="62" t="n">
        <v>0</v>
      </c>
      <c r="T3209" s="62" t="n">
        <v>0</v>
      </c>
      <c r="U3209" s="62"/>
      <c r="V3209" s="62"/>
      <c r="W3209" s="62"/>
      <c r="X3209" s="62"/>
      <c r="Y3209" s="62"/>
      <c r="Z3209" s="62" t="s">
        <v>5822</v>
      </c>
      <c r="AA3209" s="62" t="s">
        <v>5823</v>
      </c>
      <c r="AB3209" s="62" t="n">
        <v>1</v>
      </c>
      <c r="AC3209" s="62" t="n">
        <v>0</v>
      </c>
      <c r="AD3209" s="62" t="n">
        <v>1</v>
      </c>
      <c r="AE3209" s="62" t="n">
        <f aca="false">IF(AND(Dashboard!$C$9="Yes",AC3209=1),0,1)</f>
        <v>1</v>
      </c>
      <c r="AF3209" s="62" t="n">
        <v>1</v>
      </c>
    </row>
    <row r="3210" customFormat="false" ht="15" hidden="false" customHeight="false" outlineLevel="0" collapsed="false">
      <c r="A3210" s="62" t="n">
        <v>3209</v>
      </c>
      <c r="B3210" s="63" t="n">
        <v>46300.8856018519</v>
      </c>
      <c r="C3210" s="64" t="n">
        <v>46300</v>
      </c>
      <c r="D3210" s="62" t="s">
        <v>429</v>
      </c>
      <c r="E3210" s="62" t="s">
        <v>5270</v>
      </c>
      <c r="F3210" s="62" t="s">
        <v>5270</v>
      </c>
      <c r="G3210" s="62" t="s">
        <v>5271</v>
      </c>
      <c r="H3210" s="62" t="s">
        <v>55</v>
      </c>
      <c r="I3210" s="62" t="s">
        <v>49</v>
      </c>
      <c r="J3210" s="62" t="s">
        <v>3708</v>
      </c>
      <c r="K3210" s="62" t="s">
        <v>209</v>
      </c>
      <c r="L3210" s="62" t="s">
        <v>148</v>
      </c>
      <c r="M3210" s="62" t="n">
        <v>0</v>
      </c>
      <c r="N3210" s="62" t="n">
        <v>1</v>
      </c>
      <c r="O3210" s="62" t="n">
        <v>1</v>
      </c>
      <c r="P3210" s="62" t="n">
        <v>0</v>
      </c>
      <c r="Q3210" s="62" t="n">
        <v>1</v>
      </c>
      <c r="R3210" s="62" t="n">
        <v>0</v>
      </c>
      <c r="S3210" s="62" t="n">
        <v>0</v>
      </c>
      <c r="T3210" s="62" t="n">
        <v>0</v>
      </c>
      <c r="U3210" s="62"/>
      <c r="V3210" s="62"/>
      <c r="W3210" s="62"/>
      <c r="X3210" s="62"/>
      <c r="Y3210" s="62"/>
      <c r="Z3210" s="62" t="s">
        <v>5824</v>
      </c>
      <c r="AA3210" s="62" t="s">
        <v>5825</v>
      </c>
      <c r="AB3210" s="62" t="n">
        <v>1</v>
      </c>
      <c r="AC3210" s="62" t="n">
        <v>0</v>
      </c>
      <c r="AD3210" s="62" t="n">
        <v>1</v>
      </c>
      <c r="AE3210" s="62" t="n">
        <f aca="false">IF(AND(Dashboard!$C$9="Yes",AC3210=1),0,1)</f>
        <v>1</v>
      </c>
      <c r="AF3210" s="62" t="n">
        <v>1</v>
      </c>
    </row>
    <row r="3211" customFormat="false" ht="15" hidden="false" customHeight="false" outlineLevel="0" collapsed="false">
      <c r="A3211" s="62" t="n">
        <v>3210</v>
      </c>
      <c r="B3211" s="63" t="n">
        <v>46300.8859606482</v>
      </c>
      <c r="C3211" s="64" t="n">
        <v>46300</v>
      </c>
      <c r="D3211" s="62" t="s">
        <v>429</v>
      </c>
      <c r="E3211" s="62" t="s">
        <v>4329</v>
      </c>
      <c r="F3211" s="62" t="s">
        <v>4329</v>
      </c>
      <c r="G3211" s="62" t="s">
        <v>4330</v>
      </c>
      <c r="H3211" s="62" t="s">
        <v>44</v>
      </c>
      <c r="I3211" s="62" t="s">
        <v>49</v>
      </c>
      <c r="J3211" s="62" t="s">
        <v>146</v>
      </c>
      <c r="K3211" s="62" t="s">
        <v>147</v>
      </c>
      <c r="L3211" s="62" t="s">
        <v>148</v>
      </c>
      <c r="M3211" s="62" t="n">
        <v>0</v>
      </c>
      <c r="N3211" s="62" t="n">
        <v>2</v>
      </c>
      <c r="O3211" s="62" t="n">
        <v>2</v>
      </c>
      <c r="P3211" s="62" t="n">
        <v>1</v>
      </c>
      <c r="Q3211" s="62" t="n">
        <v>1</v>
      </c>
      <c r="R3211" s="62" t="n">
        <v>0</v>
      </c>
      <c r="S3211" s="62" t="n">
        <v>0</v>
      </c>
      <c r="T3211" s="62" t="n">
        <v>0</v>
      </c>
      <c r="U3211" s="62"/>
      <c r="V3211" s="62"/>
      <c r="W3211" s="62"/>
      <c r="X3211" s="62"/>
      <c r="Y3211" s="62"/>
      <c r="Z3211" s="62" t="s">
        <v>5826</v>
      </c>
      <c r="AA3211" s="62" t="s">
        <v>5827</v>
      </c>
      <c r="AB3211" s="62" t="n">
        <v>1</v>
      </c>
      <c r="AC3211" s="62" t="n">
        <v>0</v>
      </c>
      <c r="AD3211" s="62" t="n">
        <v>1</v>
      </c>
      <c r="AE3211" s="62" t="n">
        <f aca="false">IF(AND(Dashboard!$C$9="Yes",AC3211=1),0,1)</f>
        <v>1</v>
      </c>
      <c r="AF3211" s="62" t="n">
        <v>1</v>
      </c>
    </row>
    <row r="3212" customFormat="false" ht="15" hidden="false" customHeight="false" outlineLevel="0" collapsed="false">
      <c r="A3212" s="62" t="n">
        <v>3211</v>
      </c>
      <c r="B3212" s="63" t="n">
        <v>46300.8889583333</v>
      </c>
      <c r="C3212" s="64" t="n">
        <v>46300</v>
      </c>
      <c r="D3212" s="62" t="s">
        <v>429</v>
      </c>
      <c r="E3212" s="62" t="s">
        <v>5241</v>
      </c>
      <c r="F3212" s="62" t="s">
        <v>5241</v>
      </c>
      <c r="G3212" s="62" t="s">
        <v>5242</v>
      </c>
      <c r="H3212" s="62" t="s">
        <v>55</v>
      </c>
      <c r="I3212" s="62" t="s">
        <v>49</v>
      </c>
      <c r="J3212" s="62" t="s">
        <v>3708</v>
      </c>
      <c r="K3212" s="62" t="s">
        <v>209</v>
      </c>
      <c r="L3212" s="62" t="s">
        <v>148</v>
      </c>
      <c r="M3212" s="62" t="n">
        <v>0</v>
      </c>
      <c r="N3212" s="62" t="n">
        <v>1</v>
      </c>
      <c r="O3212" s="62" t="n">
        <v>1</v>
      </c>
      <c r="P3212" s="62" t="n">
        <v>1</v>
      </c>
      <c r="Q3212" s="62" t="n">
        <v>0</v>
      </c>
      <c r="R3212" s="62" t="n">
        <v>0</v>
      </c>
      <c r="S3212" s="62" t="n">
        <v>0</v>
      </c>
      <c r="T3212" s="62" t="n">
        <v>0</v>
      </c>
      <c r="U3212" s="62"/>
      <c r="V3212" s="62"/>
      <c r="W3212" s="62"/>
      <c r="X3212" s="62"/>
      <c r="Y3212" s="62"/>
      <c r="Z3212" s="62" t="s">
        <v>5828</v>
      </c>
      <c r="AA3212" s="62" t="s">
        <v>5829</v>
      </c>
      <c r="AB3212" s="62" t="n">
        <v>1</v>
      </c>
      <c r="AC3212" s="62" t="n">
        <v>0</v>
      </c>
      <c r="AD3212" s="62" t="n">
        <v>1</v>
      </c>
      <c r="AE3212" s="62" t="n">
        <f aca="false">IF(AND(Dashboard!$C$9="Yes",AC3212=1),0,1)</f>
        <v>1</v>
      </c>
      <c r="AF3212" s="62" t="n">
        <v>1</v>
      </c>
    </row>
    <row r="3213" customFormat="false" ht="15" hidden="false" customHeight="false" outlineLevel="0" collapsed="false">
      <c r="A3213" s="62" t="n">
        <v>3212</v>
      </c>
      <c r="B3213" s="63" t="n">
        <v>46300.9085416667</v>
      </c>
      <c r="C3213" s="64" t="n">
        <v>46300</v>
      </c>
      <c r="D3213" s="62" t="s">
        <v>429</v>
      </c>
      <c r="E3213" s="62" t="s">
        <v>2385</v>
      </c>
      <c r="F3213" s="62" t="s">
        <v>2385</v>
      </c>
      <c r="G3213" s="62" t="s">
        <v>2386</v>
      </c>
      <c r="H3213" s="62" t="s">
        <v>59</v>
      </c>
      <c r="I3213" s="62" t="s">
        <v>47</v>
      </c>
      <c r="J3213" s="62" t="s">
        <v>146</v>
      </c>
      <c r="K3213" s="62" t="s">
        <v>209</v>
      </c>
      <c r="L3213" s="62" t="s">
        <v>4</v>
      </c>
      <c r="M3213" s="62" t="n">
        <v>1</v>
      </c>
      <c r="N3213" s="62" t="n">
        <v>0</v>
      </c>
      <c r="O3213" s="62" t="n">
        <v>1</v>
      </c>
      <c r="P3213" s="62" t="n">
        <v>0</v>
      </c>
      <c r="Q3213" s="62" t="n">
        <v>0</v>
      </c>
      <c r="R3213" s="62" t="n">
        <v>0</v>
      </c>
      <c r="S3213" s="62" t="n">
        <v>0</v>
      </c>
      <c r="T3213" s="62" t="n">
        <v>0</v>
      </c>
      <c r="U3213" s="62" t="s">
        <v>2056</v>
      </c>
      <c r="V3213" s="62" t="s">
        <v>2057</v>
      </c>
      <c r="W3213" s="62" t="s">
        <v>2056</v>
      </c>
      <c r="X3213" s="62" t="s">
        <v>2103</v>
      </c>
      <c r="Y3213" s="62" t="s">
        <v>2059</v>
      </c>
      <c r="Z3213" s="62" t="s">
        <v>5830</v>
      </c>
      <c r="AA3213" s="62" t="s">
        <v>4877</v>
      </c>
      <c r="AB3213" s="62" t="n">
        <v>0</v>
      </c>
      <c r="AC3213" s="62" t="n">
        <v>0</v>
      </c>
      <c r="AD3213" s="62" t="n">
        <v>1</v>
      </c>
      <c r="AE3213" s="62" t="n">
        <f aca="false">IF(AND(Dashboard!$C$9="Yes",AC3213=1),0,1)</f>
        <v>1</v>
      </c>
      <c r="AF3213" s="62" t="n">
        <v>0</v>
      </c>
    </row>
    <row r="3214" customFormat="false" ht="15" hidden="false" customHeight="false" outlineLevel="0" collapsed="false">
      <c r="A3214" s="62" t="n">
        <v>3213</v>
      </c>
      <c r="B3214" s="63" t="n">
        <v>46300.9123611111</v>
      </c>
      <c r="C3214" s="64" t="n">
        <v>46300</v>
      </c>
      <c r="D3214" s="62" t="s">
        <v>429</v>
      </c>
      <c r="E3214" s="62" t="s">
        <v>5241</v>
      </c>
      <c r="F3214" s="62" t="s">
        <v>5241</v>
      </c>
      <c r="G3214" s="62" t="s">
        <v>5242</v>
      </c>
      <c r="H3214" s="62" t="s">
        <v>55</v>
      </c>
      <c r="I3214" s="62" t="s">
        <v>49</v>
      </c>
      <c r="J3214" s="62" t="s">
        <v>3708</v>
      </c>
      <c r="K3214" s="62" t="s">
        <v>209</v>
      </c>
      <c r="L3214" s="62" t="s">
        <v>148</v>
      </c>
      <c r="M3214" s="62" t="n">
        <v>0</v>
      </c>
      <c r="N3214" s="62" t="n">
        <v>1</v>
      </c>
      <c r="O3214" s="62" t="n">
        <v>1</v>
      </c>
      <c r="P3214" s="62" t="n">
        <v>1</v>
      </c>
      <c r="Q3214" s="62" t="n">
        <v>0</v>
      </c>
      <c r="R3214" s="62" t="n">
        <v>0</v>
      </c>
      <c r="S3214" s="62" t="n">
        <v>0</v>
      </c>
      <c r="T3214" s="62" t="n">
        <v>0</v>
      </c>
      <c r="U3214" s="62"/>
      <c r="V3214" s="62"/>
      <c r="W3214" s="62"/>
      <c r="X3214" s="62"/>
      <c r="Y3214" s="62"/>
      <c r="Z3214" s="62" t="s">
        <v>5831</v>
      </c>
      <c r="AA3214" s="62" t="s">
        <v>5832</v>
      </c>
      <c r="AB3214" s="62" t="n">
        <v>1</v>
      </c>
      <c r="AC3214" s="62" t="n">
        <v>0</v>
      </c>
      <c r="AD3214" s="62" t="n">
        <v>1</v>
      </c>
      <c r="AE3214" s="62" t="n">
        <f aca="false">IF(AND(Dashboard!$C$9="Yes",AC3214=1),0,1)</f>
        <v>1</v>
      </c>
      <c r="AF3214" s="62" t="n">
        <v>0</v>
      </c>
    </row>
    <row r="3215" customFormat="false" ht="15" hidden="false" customHeight="false" outlineLevel="0" collapsed="false">
      <c r="A3215" s="62" t="n">
        <v>3214</v>
      </c>
      <c r="B3215" s="63" t="n">
        <v>46300.9228819445</v>
      </c>
      <c r="C3215" s="64" t="n">
        <v>46300</v>
      </c>
      <c r="D3215" s="62" t="s">
        <v>429</v>
      </c>
      <c r="E3215" s="62" t="s">
        <v>5104</v>
      </c>
      <c r="F3215" s="62" t="s">
        <v>5104</v>
      </c>
      <c r="G3215" s="62" t="s">
        <v>5105</v>
      </c>
      <c r="H3215" s="62" t="s">
        <v>57</v>
      </c>
      <c r="I3215" s="62" t="s">
        <v>47</v>
      </c>
      <c r="J3215" s="62" t="s">
        <v>146</v>
      </c>
      <c r="K3215" s="62" t="s">
        <v>147</v>
      </c>
      <c r="L3215" s="62" t="s">
        <v>148</v>
      </c>
      <c r="M3215" s="62" t="n">
        <v>0</v>
      </c>
      <c r="N3215" s="62" t="n">
        <v>1</v>
      </c>
      <c r="O3215" s="62" t="n">
        <v>1</v>
      </c>
      <c r="P3215" s="62" t="n">
        <v>0</v>
      </c>
      <c r="Q3215" s="62" t="n">
        <v>0</v>
      </c>
      <c r="R3215" s="62" t="n">
        <v>1</v>
      </c>
      <c r="S3215" s="62" t="n">
        <v>0</v>
      </c>
      <c r="T3215" s="62" t="n">
        <v>0</v>
      </c>
      <c r="U3215" s="62"/>
      <c r="V3215" s="62"/>
      <c r="W3215" s="62"/>
      <c r="X3215" s="62"/>
      <c r="Y3215" s="62"/>
      <c r="Z3215" s="62" t="s">
        <v>5833</v>
      </c>
      <c r="AA3215" s="62" t="s">
        <v>5834</v>
      </c>
      <c r="AB3215" s="62" t="n">
        <v>1</v>
      </c>
      <c r="AC3215" s="62" t="n">
        <v>0</v>
      </c>
      <c r="AD3215" s="62" t="n">
        <v>1</v>
      </c>
      <c r="AE3215" s="62" t="n">
        <f aca="false">IF(AND(Dashboard!$C$9="Yes",AC3215=1),0,1)</f>
        <v>1</v>
      </c>
      <c r="AF3215" s="62" t="n">
        <v>1</v>
      </c>
    </row>
    <row r="3216" customFormat="false" ht="15" hidden="false" customHeight="false" outlineLevel="0" collapsed="false">
      <c r="A3216" s="62" t="n">
        <v>3215</v>
      </c>
      <c r="B3216" s="63" t="n">
        <v>46300.9353935185</v>
      </c>
      <c r="C3216" s="64" t="n">
        <v>46300</v>
      </c>
      <c r="D3216" s="62" t="s">
        <v>429</v>
      </c>
      <c r="E3216" s="62" t="s">
        <v>4530</v>
      </c>
      <c r="F3216" s="62" t="s">
        <v>4530</v>
      </c>
      <c r="G3216" s="62" t="s">
        <v>4531</v>
      </c>
      <c r="H3216" s="62" t="s">
        <v>44</v>
      </c>
      <c r="I3216" s="62" t="s">
        <v>49</v>
      </c>
      <c r="J3216" s="62" t="s">
        <v>146</v>
      </c>
      <c r="K3216" s="62" t="s">
        <v>147</v>
      </c>
      <c r="L3216" s="62" t="s">
        <v>148</v>
      </c>
      <c r="M3216" s="62" t="n">
        <v>0</v>
      </c>
      <c r="N3216" s="62" t="n">
        <v>1</v>
      </c>
      <c r="O3216" s="62" t="n">
        <v>1</v>
      </c>
      <c r="P3216" s="62" t="n">
        <v>0</v>
      </c>
      <c r="Q3216" s="62" t="n">
        <v>0</v>
      </c>
      <c r="R3216" s="62" t="n">
        <v>1</v>
      </c>
      <c r="S3216" s="62" t="n">
        <v>0</v>
      </c>
      <c r="T3216" s="62" t="n">
        <v>0</v>
      </c>
      <c r="U3216" s="62"/>
      <c r="V3216" s="62"/>
      <c r="W3216" s="62"/>
      <c r="X3216" s="62"/>
      <c r="Y3216" s="62"/>
      <c r="Z3216" s="62" t="s">
        <v>5835</v>
      </c>
      <c r="AA3216" s="62" t="s">
        <v>5836</v>
      </c>
      <c r="AB3216" s="62" t="n">
        <v>1</v>
      </c>
      <c r="AC3216" s="62" t="n">
        <v>0</v>
      </c>
      <c r="AD3216" s="62" t="n">
        <v>1</v>
      </c>
      <c r="AE3216" s="62" t="n">
        <f aca="false">IF(AND(Dashboard!$C$9="Yes",AC3216=1),0,1)</f>
        <v>1</v>
      </c>
      <c r="AF3216" s="62" t="n">
        <v>1</v>
      </c>
    </row>
    <row r="3217" customFormat="false" ht="15" hidden="false" customHeight="false" outlineLevel="0" collapsed="false">
      <c r="A3217" s="62" t="n">
        <v>3216</v>
      </c>
      <c r="B3217" s="63" t="n">
        <v>46300.9391550926</v>
      </c>
      <c r="C3217" s="64" t="n">
        <v>46300</v>
      </c>
      <c r="D3217" s="62" t="s">
        <v>429</v>
      </c>
      <c r="E3217" s="62" t="s">
        <v>2540</v>
      </c>
      <c r="F3217" s="62" t="s">
        <v>2540</v>
      </c>
      <c r="G3217" s="62" t="s">
        <v>2541</v>
      </c>
      <c r="H3217" s="62" t="s">
        <v>48</v>
      </c>
      <c r="I3217" s="62" t="s">
        <v>49</v>
      </c>
      <c r="J3217" s="62" t="s">
        <v>146</v>
      </c>
      <c r="K3217" s="62" t="s">
        <v>209</v>
      </c>
      <c r="L3217" s="62" t="s">
        <v>148</v>
      </c>
      <c r="M3217" s="62" t="n">
        <v>0</v>
      </c>
      <c r="N3217" s="62" t="n">
        <v>1</v>
      </c>
      <c r="O3217" s="62" t="n">
        <v>1</v>
      </c>
      <c r="P3217" s="62" t="n">
        <v>1</v>
      </c>
      <c r="Q3217" s="62" t="n">
        <v>0</v>
      </c>
      <c r="R3217" s="62" t="n">
        <v>0</v>
      </c>
      <c r="S3217" s="62" t="n">
        <v>0</v>
      </c>
      <c r="T3217" s="62" t="n">
        <v>0</v>
      </c>
      <c r="U3217" s="62"/>
      <c r="V3217" s="62"/>
      <c r="W3217" s="62"/>
      <c r="X3217" s="62"/>
      <c r="Y3217" s="62"/>
      <c r="Z3217" s="62" t="s">
        <v>5837</v>
      </c>
      <c r="AA3217" s="62" t="s">
        <v>5838</v>
      </c>
      <c r="AB3217" s="62" t="n">
        <v>1</v>
      </c>
      <c r="AC3217" s="62" t="n">
        <v>0</v>
      </c>
      <c r="AD3217" s="62" t="n">
        <v>1</v>
      </c>
      <c r="AE3217" s="62" t="n">
        <f aca="false">IF(AND(Dashboard!$C$9="Yes",AC3217=1),0,1)</f>
        <v>1</v>
      </c>
      <c r="AF3217" s="62" t="n">
        <v>0</v>
      </c>
    </row>
    <row r="3218" customFormat="false" ht="15" hidden="false" customHeight="false" outlineLevel="0" collapsed="false">
      <c r="A3218" s="62" t="n">
        <v>3217</v>
      </c>
      <c r="B3218" s="63" t="n">
        <v>46300.9406597222</v>
      </c>
      <c r="C3218" s="64" t="n">
        <v>46300</v>
      </c>
      <c r="D3218" s="62" t="s">
        <v>429</v>
      </c>
      <c r="E3218" s="62" t="s">
        <v>4280</v>
      </c>
      <c r="F3218" s="62" t="s">
        <v>4280</v>
      </c>
      <c r="G3218" s="62" t="s">
        <v>4281</v>
      </c>
      <c r="H3218" s="62" t="s">
        <v>44</v>
      </c>
      <c r="I3218" s="62" t="s">
        <v>49</v>
      </c>
      <c r="J3218" s="62" t="s">
        <v>146</v>
      </c>
      <c r="K3218" s="62" t="s">
        <v>147</v>
      </c>
      <c r="L3218" s="62" t="s">
        <v>4</v>
      </c>
      <c r="M3218" s="62" t="n">
        <v>1</v>
      </c>
      <c r="N3218" s="62" t="n">
        <v>0</v>
      </c>
      <c r="O3218" s="62" t="n">
        <v>1</v>
      </c>
      <c r="P3218" s="62" t="n">
        <v>0</v>
      </c>
      <c r="Q3218" s="62" t="n">
        <v>0</v>
      </c>
      <c r="R3218" s="62" t="n">
        <v>0</v>
      </c>
      <c r="S3218" s="62" t="n">
        <v>0</v>
      </c>
      <c r="T3218" s="62" t="n">
        <v>0</v>
      </c>
      <c r="U3218" s="62" t="s">
        <v>2056</v>
      </c>
      <c r="V3218" s="62" t="s">
        <v>2057</v>
      </c>
      <c r="W3218" s="62" t="s">
        <v>2056</v>
      </c>
      <c r="X3218" s="62" t="s">
        <v>2058</v>
      </c>
      <c r="Y3218" s="62" t="s">
        <v>2059</v>
      </c>
      <c r="Z3218" s="62" t="s">
        <v>5839</v>
      </c>
      <c r="AA3218" s="62" t="s">
        <v>5840</v>
      </c>
      <c r="AB3218" s="62" t="n">
        <v>1</v>
      </c>
      <c r="AC3218" s="62" t="n">
        <v>0</v>
      </c>
      <c r="AD3218" s="62" t="n">
        <v>1</v>
      </c>
      <c r="AE3218" s="62" t="n">
        <f aca="false">IF(AND(Dashboard!$C$9="Yes",AC3218=1),0,1)</f>
        <v>1</v>
      </c>
      <c r="AF3218" s="62" t="n">
        <v>1</v>
      </c>
    </row>
    <row r="3219" customFormat="false" ht="15" hidden="false" customHeight="false" outlineLevel="0" collapsed="false">
      <c r="A3219" s="62" t="n">
        <v>3218</v>
      </c>
      <c r="B3219" s="63" t="n">
        <v>46300.9412384259</v>
      </c>
      <c r="C3219" s="64" t="n">
        <v>46300</v>
      </c>
      <c r="D3219" s="62" t="s">
        <v>429</v>
      </c>
      <c r="E3219" s="62" t="s">
        <v>4280</v>
      </c>
      <c r="F3219" s="62" t="s">
        <v>4280</v>
      </c>
      <c r="G3219" s="62" t="s">
        <v>4281</v>
      </c>
      <c r="H3219" s="62" t="s">
        <v>44</v>
      </c>
      <c r="I3219" s="62" t="s">
        <v>49</v>
      </c>
      <c r="J3219" s="62" t="s">
        <v>146</v>
      </c>
      <c r="K3219" s="62" t="s">
        <v>147</v>
      </c>
      <c r="L3219" s="62" t="s">
        <v>148</v>
      </c>
      <c r="M3219" s="62" t="n">
        <v>0</v>
      </c>
      <c r="N3219" s="62" t="n">
        <v>2</v>
      </c>
      <c r="O3219" s="62" t="n">
        <v>2</v>
      </c>
      <c r="P3219" s="62" t="n">
        <v>0</v>
      </c>
      <c r="Q3219" s="62" t="n">
        <v>0</v>
      </c>
      <c r="R3219" s="62" t="n">
        <v>0</v>
      </c>
      <c r="S3219" s="62" t="n">
        <v>0</v>
      </c>
      <c r="T3219" s="62" t="n">
        <v>2</v>
      </c>
      <c r="U3219" s="62"/>
      <c r="V3219" s="62"/>
      <c r="W3219" s="62"/>
      <c r="X3219" s="62"/>
      <c r="Y3219" s="62"/>
      <c r="Z3219" s="62" t="s">
        <v>5841</v>
      </c>
      <c r="AA3219" s="62" t="s">
        <v>5842</v>
      </c>
      <c r="AB3219" s="62" t="n">
        <v>0</v>
      </c>
      <c r="AC3219" s="62" t="n">
        <v>0</v>
      </c>
      <c r="AD3219" s="62" t="n">
        <v>1</v>
      </c>
      <c r="AE3219" s="62" t="n">
        <f aca="false">IF(AND(Dashboard!$C$9="Yes",AC3219=1),0,1)</f>
        <v>1</v>
      </c>
      <c r="AF3219" s="62" t="n">
        <v>0</v>
      </c>
    </row>
    <row r="3220" customFormat="false" ht="15" hidden="false" customHeight="false" outlineLevel="0" collapsed="false">
      <c r="A3220" s="62" t="n">
        <v>3219</v>
      </c>
      <c r="B3220" s="63" t="n">
        <v>46300.9501157407</v>
      </c>
      <c r="C3220" s="64" t="n">
        <v>46300</v>
      </c>
      <c r="D3220" s="62" t="s">
        <v>429</v>
      </c>
      <c r="E3220" s="62" t="s">
        <v>1732</v>
      </c>
      <c r="F3220" s="62" t="s">
        <v>1732</v>
      </c>
      <c r="G3220" s="62" t="s">
        <v>1733</v>
      </c>
      <c r="H3220" s="62" t="s">
        <v>58</v>
      </c>
      <c r="I3220" s="62" t="s">
        <v>49</v>
      </c>
      <c r="J3220" s="62" t="s">
        <v>146</v>
      </c>
      <c r="K3220" s="62" t="s">
        <v>209</v>
      </c>
      <c r="L3220" s="62" t="s">
        <v>148</v>
      </c>
      <c r="M3220" s="62" t="n">
        <v>0</v>
      </c>
      <c r="N3220" s="62" t="n">
        <v>1</v>
      </c>
      <c r="O3220" s="62" t="n">
        <v>1</v>
      </c>
      <c r="P3220" s="62" t="n">
        <v>1</v>
      </c>
      <c r="Q3220" s="62" t="n">
        <v>0</v>
      </c>
      <c r="R3220" s="62" t="n">
        <v>0</v>
      </c>
      <c r="S3220" s="62" t="n">
        <v>0</v>
      </c>
      <c r="T3220" s="62" t="n">
        <v>0</v>
      </c>
      <c r="U3220" s="62"/>
      <c r="V3220" s="62"/>
      <c r="W3220" s="62"/>
      <c r="X3220" s="62"/>
      <c r="Y3220" s="62"/>
      <c r="Z3220" s="62" t="s">
        <v>5843</v>
      </c>
      <c r="AA3220" s="62" t="s">
        <v>5844</v>
      </c>
      <c r="AB3220" s="62" t="n">
        <v>1</v>
      </c>
      <c r="AC3220" s="62" t="n">
        <v>0</v>
      </c>
      <c r="AD3220" s="62" t="n">
        <v>1</v>
      </c>
      <c r="AE3220" s="62" t="n">
        <f aca="false">IF(AND(Dashboard!$C$9="Yes",AC3220=1),0,1)</f>
        <v>1</v>
      </c>
      <c r="AF3220" s="62" t="n">
        <v>1</v>
      </c>
    </row>
    <row r="3221" customFormat="false" ht="15" hidden="false" customHeight="false" outlineLevel="0" collapsed="false">
      <c r="A3221" s="62" t="n">
        <v>3220</v>
      </c>
      <c r="B3221" s="63" t="n">
        <v>46300.9564583333</v>
      </c>
      <c r="C3221" s="64" t="n">
        <v>46300</v>
      </c>
      <c r="D3221" s="62" t="s">
        <v>429</v>
      </c>
      <c r="E3221" s="62" t="s">
        <v>5845</v>
      </c>
      <c r="F3221" s="62" t="s">
        <v>5845</v>
      </c>
      <c r="G3221" s="62" t="s">
        <v>5846</v>
      </c>
      <c r="H3221" s="62" t="s">
        <v>53</v>
      </c>
      <c r="I3221" s="62" t="s">
        <v>47</v>
      </c>
      <c r="J3221" s="62" t="s">
        <v>3708</v>
      </c>
      <c r="K3221" s="62" t="s">
        <v>209</v>
      </c>
      <c r="L3221" s="62" t="s">
        <v>4</v>
      </c>
      <c r="M3221" s="62" t="n">
        <v>2</v>
      </c>
      <c r="N3221" s="62" t="n">
        <v>0</v>
      </c>
      <c r="O3221" s="62" t="n">
        <v>2</v>
      </c>
      <c r="P3221" s="62" t="n">
        <v>0</v>
      </c>
      <c r="Q3221" s="62" t="n">
        <v>0</v>
      </c>
      <c r="R3221" s="62" t="n">
        <v>0</v>
      </c>
      <c r="S3221" s="62" t="n">
        <v>0</v>
      </c>
      <c r="T3221" s="62" t="n">
        <v>0</v>
      </c>
      <c r="U3221" s="62" t="s">
        <v>15</v>
      </c>
      <c r="V3221" s="62" t="s">
        <v>2057</v>
      </c>
      <c r="W3221" s="62" t="s">
        <v>15</v>
      </c>
      <c r="X3221" s="62" t="s">
        <v>2058</v>
      </c>
      <c r="Y3221" s="62" t="s">
        <v>2059</v>
      </c>
      <c r="Z3221" s="62" t="s">
        <v>5847</v>
      </c>
      <c r="AA3221" s="62" t="s">
        <v>5848</v>
      </c>
      <c r="AB3221" s="62" t="n">
        <v>1</v>
      </c>
      <c r="AC3221" s="62" t="n">
        <v>0</v>
      </c>
      <c r="AD3221" s="62" t="n">
        <v>1</v>
      </c>
      <c r="AE3221" s="62" t="n">
        <f aca="false">IF(AND(Dashboard!$C$9="Yes",AC3221=1),0,1)</f>
        <v>1</v>
      </c>
      <c r="AF3221" s="62" t="n">
        <v>1</v>
      </c>
    </row>
    <row r="3222" customFormat="false" ht="15" hidden="false" customHeight="false" outlineLevel="0" collapsed="false">
      <c r="A3222" s="62" t="n">
        <v>3221</v>
      </c>
      <c r="B3222" s="63" t="n">
        <v>46300.9668865741</v>
      </c>
      <c r="C3222" s="64" t="n">
        <v>46300</v>
      </c>
      <c r="D3222" s="62" t="s">
        <v>429</v>
      </c>
      <c r="E3222" s="62" t="s">
        <v>939</v>
      </c>
      <c r="F3222" s="62" t="s">
        <v>939</v>
      </c>
      <c r="G3222" s="62" t="s">
        <v>940</v>
      </c>
      <c r="H3222" s="62" t="s">
        <v>57</v>
      </c>
      <c r="I3222" s="62" t="s">
        <v>47</v>
      </c>
      <c r="J3222" s="62" t="s">
        <v>146</v>
      </c>
      <c r="K3222" s="62" t="s">
        <v>147</v>
      </c>
      <c r="L3222" s="62" t="s">
        <v>148</v>
      </c>
      <c r="M3222" s="62" t="n">
        <v>0</v>
      </c>
      <c r="N3222" s="62" t="n">
        <v>1</v>
      </c>
      <c r="O3222" s="62" t="n">
        <v>1</v>
      </c>
      <c r="P3222" s="62" t="n">
        <v>1</v>
      </c>
      <c r="Q3222" s="62" t="n">
        <v>0</v>
      </c>
      <c r="R3222" s="62" t="n">
        <v>0</v>
      </c>
      <c r="S3222" s="62" t="n">
        <v>0</v>
      </c>
      <c r="T3222" s="62" t="n">
        <v>0</v>
      </c>
      <c r="U3222" s="62"/>
      <c r="V3222" s="62"/>
      <c r="W3222" s="62"/>
      <c r="X3222" s="62"/>
      <c r="Y3222" s="62"/>
      <c r="Z3222" s="62" t="s">
        <v>5849</v>
      </c>
      <c r="AA3222" s="62" t="s">
        <v>5850</v>
      </c>
      <c r="AB3222" s="62" t="n">
        <v>1</v>
      </c>
      <c r="AC3222" s="62" t="n">
        <v>0</v>
      </c>
      <c r="AD3222" s="62" t="n">
        <v>1</v>
      </c>
      <c r="AE3222" s="62" t="n">
        <f aca="false">IF(AND(Dashboard!$C$9="Yes",AC3222=1),0,1)</f>
        <v>1</v>
      </c>
      <c r="AF3222" s="62" t="n">
        <v>1</v>
      </c>
    </row>
    <row r="3223" customFormat="false" ht="15" hidden="false" customHeight="false" outlineLevel="0" collapsed="false">
      <c r="A3223" s="62" t="n">
        <v>3222</v>
      </c>
      <c r="B3223" s="63" t="n">
        <v>46300.9780092593</v>
      </c>
      <c r="C3223" s="64" t="n">
        <v>46300</v>
      </c>
      <c r="D3223" s="62" t="s">
        <v>429</v>
      </c>
      <c r="E3223" s="62" t="s">
        <v>2156</v>
      </c>
      <c r="F3223" s="62" t="s">
        <v>2156</v>
      </c>
      <c r="G3223" s="62" t="s">
        <v>2157</v>
      </c>
      <c r="H3223" s="62" t="s">
        <v>52</v>
      </c>
      <c r="I3223" s="62" t="s">
        <v>47</v>
      </c>
      <c r="J3223" s="62" t="s">
        <v>146</v>
      </c>
      <c r="K3223" s="62" t="s">
        <v>209</v>
      </c>
      <c r="L3223" s="62" t="s">
        <v>148</v>
      </c>
      <c r="M3223" s="62" t="n">
        <v>0</v>
      </c>
      <c r="N3223" s="62" t="n">
        <v>1</v>
      </c>
      <c r="O3223" s="62" t="n">
        <v>1</v>
      </c>
      <c r="P3223" s="62" t="n">
        <v>0</v>
      </c>
      <c r="Q3223" s="62" t="n">
        <v>1</v>
      </c>
      <c r="R3223" s="62" t="n">
        <v>0</v>
      </c>
      <c r="S3223" s="62" t="n">
        <v>0</v>
      </c>
      <c r="T3223" s="62" t="n">
        <v>0</v>
      </c>
      <c r="U3223" s="62"/>
      <c r="V3223" s="62"/>
      <c r="W3223" s="62"/>
      <c r="X3223" s="62"/>
      <c r="Y3223" s="62"/>
      <c r="Z3223" s="62" t="s">
        <v>5851</v>
      </c>
      <c r="AA3223" s="62" t="s">
        <v>5852</v>
      </c>
      <c r="AB3223" s="62" t="n">
        <v>1</v>
      </c>
      <c r="AC3223" s="62" t="n">
        <v>0</v>
      </c>
      <c r="AD3223" s="62" t="n">
        <v>1</v>
      </c>
      <c r="AE3223" s="62" t="n">
        <f aca="false">IF(AND(Dashboard!$C$9="Yes",AC3223=1),0,1)</f>
        <v>1</v>
      </c>
      <c r="AF3223" s="62" t="n">
        <v>0</v>
      </c>
    </row>
    <row r="3224" customFormat="false" ht="15" hidden="false" customHeight="false" outlineLevel="0" collapsed="false">
      <c r="A3224" s="62" t="n">
        <v>3223</v>
      </c>
      <c r="B3224" s="63" t="n">
        <v>46300.9809259259</v>
      </c>
      <c r="C3224" s="64" t="n">
        <v>46300</v>
      </c>
      <c r="D3224" s="62" t="s">
        <v>429</v>
      </c>
      <c r="E3224" s="62" t="s">
        <v>3018</v>
      </c>
      <c r="F3224" s="62" t="s">
        <v>3018</v>
      </c>
      <c r="G3224" s="62" t="s">
        <v>3019</v>
      </c>
      <c r="H3224" s="62" t="s">
        <v>58</v>
      </c>
      <c r="I3224" s="62" t="s">
        <v>49</v>
      </c>
      <c r="J3224" s="62" t="s">
        <v>146</v>
      </c>
      <c r="K3224" s="62" t="s">
        <v>175</v>
      </c>
      <c r="L3224" s="62" t="s">
        <v>148</v>
      </c>
      <c r="M3224" s="62" t="n">
        <v>0</v>
      </c>
      <c r="N3224" s="62" t="n">
        <v>1</v>
      </c>
      <c r="O3224" s="62" t="n">
        <v>1</v>
      </c>
      <c r="P3224" s="62" t="n">
        <v>1</v>
      </c>
      <c r="Q3224" s="62" t="n">
        <v>0</v>
      </c>
      <c r="R3224" s="62" t="n">
        <v>0</v>
      </c>
      <c r="S3224" s="62" t="n">
        <v>0</v>
      </c>
      <c r="T3224" s="62" t="n">
        <v>0</v>
      </c>
      <c r="U3224" s="62"/>
      <c r="V3224" s="62"/>
      <c r="W3224" s="62"/>
      <c r="X3224" s="62"/>
      <c r="Y3224" s="62"/>
      <c r="Z3224" s="62" t="s">
        <v>5853</v>
      </c>
      <c r="AA3224" s="62" t="s">
        <v>5854</v>
      </c>
      <c r="AB3224" s="62" t="n">
        <v>1</v>
      </c>
      <c r="AC3224" s="62" t="n">
        <v>0</v>
      </c>
      <c r="AD3224" s="62" t="n">
        <v>1</v>
      </c>
      <c r="AE3224" s="62" t="n">
        <f aca="false">IF(AND(Dashboard!$C$9="Yes",AC3224=1),0,1)</f>
        <v>1</v>
      </c>
      <c r="AF3224" s="62" t="n">
        <v>1</v>
      </c>
    </row>
    <row r="3225" customFormat="false" ht="15" hidden="false" customHeight="false" outlineLevel="0" collapsed="false">
      <c r="A3225" s="62" t="n">
        <v>3224</v>
      </c>
      <c r="B3225" s="63" t="n">
        <v>46300.9819907407</v>
      </c>
      <c r="C3225" s="64" t="n">
        <v>46300</v>
      </c>
      <c r="D3225" s="62" t="s">
        <v>429</v>
      </c>
      <c r="E3225" s="62" t="s">
        <v>4242</v>
      </c>
      <c r="F3225" s="62" t="s">
        <v>4242</v>
      </c>
      <c r="G3225" s="62" t="s">
        <v>4243</v>
      </c>
      <c r="H3225" s="62" t="s">
        <v>44</v>
      </c>
      <c r="I3225" s="62" t="s">
        <v>49</v>
      </c>
      <c r="J3225" s="62" t="s">
        <v>146</v>
      </c>
      <c r="K3225" s="62" t="s">
        <v>147</v>
      </c>
      <c r="L3225" s="62" t="s">
        <v>148</v>
      </c>
      <c r="M3225" s="62" t="n">
        <v>0</v>
      </c>
      <c r="N3225" s="62" t="n">
        <v>1</v>
      </c>
      <c r="O3225" s="62" t="n">
        <v>1</v>
      </c>
      <c r="P3225" s="62" t="n">
        <v>1</v>
      </c>
      <c r="Q3225" s="62" t="n">
        <v>0</v>
      </c>
      <c r="R3225" s="62" t="n">
        <v>0</v>
      </c>
      <c r="S3225" s="62" t="n">
        <v>0</v>
      </c>
      <c r="T3225" s="62" t="n">
        <v>0</v>
      </c>
      <c r="U3225" s="62"/>
      <c r="V3225" s="62"/>
      <c r="W3225" s="62"/>
      <c r="X3225" s="62"/>
      <c r="Y3225" s="62"/>
      <c r="Z3225" s="62" t="s">
        <v>5855</v>
      </c>
      <c r="AA3225" s="62" t="s">
        <v>5856</v>
      </c>
      <c r="AB3225" s="62" t="n">
        <v>1</v>
      </c>
      <c r="AC3225" s="62" t="n">
        <v>0</v>
      </c>
      <c r="AD3225" s="62" t="n">
        <v>1</v>
      </c>
      <c r="AE3225" s="62" t="n">
        <f aca="false">IF(AND(Dashboard!$C$9="Yes",AC3225=1),0,1)</f>
        <v>1</v>
      </c>
      <c r="AF3225" s="62" t="n">
        <v>0</v>
      </c>
    </row>
    <row r="3226" customFormat="false" ht="15" hidden="false" customHeight="false" outlineLevel="0" collapsed="false">
      <c r="A3226" s="62" t="n">
        <v>3225</v>
      </c>
      <c r="B3226" s="63" t="n">
        <v>46301.0222685185</v>
      </c>
      <c r="C3226" s="64" t="n">
        <v>46300</v>
      </c>
      <c r="D3226" s="62" t="s">
        <v>429</v>
      </c>
      <c r="E3226" s="62" t="s">
        <v>3714</v>
      </c>
      <c r="F3226" s="62" t="s">
        <v>3714</v>
      </c>
      <c r="G3226" s="62" t="s">
        <v>3715</v>
      </c>
      <c r="H3226" s="62" t="s">
        <v>55</v>
      </c>
      <c r="I3226" s="62" t="s">
        <v>49</v>
      </c>
      <c r="J3226" s="62" t="s">
        <v>3708</v>
      </c>
      <c r="K3226" s="62" t="s">
        <v>209</v>
      </c>
      <c r="L3226" s="62" t="s">
        <v>148</v>
      </c>
      <c r="M3226" s="62" t="n">
        <v>0</v>
      </c>
      <c r="N3226" s="62" t="n">
        <v>1</v>
      </c>
      <c r="O3226" s="62" t="n">
        <v>1</v>
      </c>
      <c r="P3226" s="62" t="n">
        <v>0</v>
      </c>
      <c r="Q3226" s="62" t="n">
        <v>1</v>
      </c>
      <c r="R3226" s="62" t="n">
        <v>0</v>
      </c>
      <c r="S3226" s="62" t="n">
        <v>0</v>
      </c>
      <c r="T3226" s="62" t="n">
        <v>0</v>
      </c>
      <c r="U3226" s="62"/>
      <c r="V3226" s="62"/>
      <c r="W3226" s="62"/>
      <c r="X3226" s="62"/>
      <c r="Y3226" s="62"/>
      <c r="Z3226" s="62" t="s">
        <v>5857</v>
      </c>
      <c r="AA3226" s="62" t="s">
        <v>5858</v>
      </c>
      <c r="AB3226" s="62" t="n">
        <v>1</v>
      </c>
      <c r="AC3226" s="62" t="n">
        <v>0</v>
      </c>
      <c r="AD3226" s="62" t="n">
        <v>1</v>
      </c>
      <c r="AE3226" s="62" t="n">
        <f aca="false">IF(AND(Dashboard!$C$9="Yes",AC3226=1),0,1)</f>
        <v>1</v>
      </c>
      <c r="AF3226" s="62" t="n">
        <v>1</v>
      </c>
    </row>
    <row r="3227" customFormat="false" ht="15" hidden="false" customHeight="false" outlineLevel="0" collapsed="false">
      <c r="A3227" s="62" t="n">
        <v>3226</v>
      </c>
      <c r="B3227" s="63" t="n">
        <v>46301.0304976852</v>
      </c>
      <c r="C3227" s="64" t="n">
        <v>46300</v>
      </c>
      <c r="D3227" s="62" t="s">
        <v>429</v>
      </c>
      <c r="E3227" s="62" t="s">
        <v>4310</v>
      </c>
      <c r="F3227" s="62" t="s">
        <v>4310</v>
      </c>
      <c r="G3227" s="62" t="s">
        <v>4311</v>
      </c>
      <c r="H3227" s="62" t="s">
        <v>44</v>
      </c>
      <c r="I3227" s="62" t="s">
        <v>61</v>
      </c>
      <c r="J3227" s="62" t="s">
        <v>3708</v>
      </c>
      <c r="K3227" s="62" t="s">
        <v>175</v>
      </c>
      <c r="L3227" s="62" t="s">
        <v>148</v>
      </c>
      <c r="M3227" s="62" t="n">
        <v>0</v>
      </c>
      <c r="N3227" s="62" t="n">
        <v>1</v>
      </c>
      <c r="O3227" s="62" t="n">
        <v>1</v>
      </c>
      <c r="P3227" s="62" t="n">
        <v>1</v>
      </c>
      <c r="Q3227" s="62" t="n">
        <v>0</v>
      </c>
      <c r="R3227" s="62" t="n">
        <v>0</v>
      </c>
      <c r="S3227" s="62" t="n">
        <v>0</v>
      </c>
      <c r="T3227" s="62" t="n">
        <v>0</v>
      </c>
      <c r="U3227" s="62"/>
      <c r="V3227" s="62"/>
      <c r="W3227" s="62"/>
      <c r="X3227" s="62"/>
      <c r="Y3227" s="62"/>
      <c r="Z3227" s="62" t="s">
        <v>5859</v>
      </c>
      <c r="AA3227" s="62" t="s">
        <v>5860</v>
      </c>
      <c r="AB3227" s="62" t="n">
        <v>1</v>
      </c>
      <c r="AC3227" s="62" t="n">
        <v>0</v>
      </c>
      <c r="AD3227" s="62" t="n">
        <v>1</v>
      </c>
      <c r="AE3227" s="62" t="n">
        <f aca="false">IF(AND(Dashboard!$C$9="Yes",AC3227=1),0,1)</f>
        <v>1</v>
      </c>
      <c r="AF3227" s="62" t="n">
        <v>0</v>
      </c>
    </row>
    <row r="3228" customFormat="false" ht="15" hidden="false" customHeight="false" outlineLevel="0" collapsed="false">
      <c r="A3228" s="62" t="n">
        <v>3227</v>
      </c>
      <c r="B3228" s="63" t="n">
        <v>46301.0320717593</v>
      </c>
      <c r="C3228" s="64" t="n">
        <v>46300</v>
      </c>
      <c r="D3228" s="62" t="s">
        <v>429</v>
      </c>
      <c r="E3228" s="62" t="s">
        <v>2845</v>
      </c>
      <c r="F3228" s="62" t="s">
        <v>2845</v>
      </c>
      <c r="G3228" s="62" t="s">
        <v>181</v>
      </c>
      <c r="H3228" s="62" t="s">
        <v>48</v>
      </c>
      <c r="I3228" s="62" t="s">
        <v>49</v>
      </c>
      <c r="J3228" s="62" t="s">
        <v>146</v>
      </c>
      <c r="K3228" s="62" t="s">
        <v>209</v>
      </c>
      <c r="L3228" s="62" t="s">
        <v>148</v>
      </c>
      <c r="M3228" s="62" t="n">
        <v>0</v>
      </c>
      <c r="N3228" s="62" t="n">
        <v>1</v>
      </c>
      <c r="O3228" s="62" t="n">
        <v>1</v>
      </c>
      <c r="P3228" s="62" t="n">
        <v>0</v>
      </c>
      <c r="Q3228" s="62" t="n">
        <v>1</v>
      </c>
      <c r="R3228" s="62" t="n">
        <v>0</v>
      </c>
      <c r="S3228" s="62" t="n">
        <v>0</v>
      </c>
      <c r="T3228" s="62" t="n">
        <v>0</v>
      </c>
      <c r="U3228" s="62"/>
      <c r="V3228" s="62"/>
      <c r="W3228" s="62"/>
      <c r="X3228" s="62"/>
      <c r="Y3228" s="62"/>
      <c r="Z3228" s="62" t="s">
        <v>5861</v>
      </c>
      <c r="AA3228" s="62" t="s">
        <v>5862</v>
      </c>
      <c r="AB3228" s="62" t="n">
        <v>1</v>
      </c>
      <c r="AC3228" s="62" t="n">
        <v>0</v>
      </c>
      <c r="AD3228" s="62" t="n">
        <v>1</v>
      </c>
      <c r="AE3228" s="62" t="n">
        <f aca="false">IF(AND(Dashboard!$C$9="Yes",AC3228=1),0,1)</f>
        <v>1</v>
      </c>
      <c r="AF3228" s="62" t="n">
        <v>1</v>
      </c>
    </row>
    <row r="3229" customFormat="false" ht="15" hidden="false" customHeight="false" outlineLevel="0" collapsed="false">
      <c r="A3229" s="62" t="n">
        <v>3228</v>
      </c>
      <c r="B3229" s="63" t="n">
        <v>46301.0324884259</v>
      </c>
      <c r="C3229" s="64" t="n">
        <v>46300</v>
      </c>
      <c r="D3229" s="62" t="s">
        <v>429</v>
      </c>
      <c r="E3229" s="62" t="s">
        <v>4080</v>
      </c>
      <c r="F3229" s="62" t="s">
        <v>4080</v>
      </c>
      <c r="G3229" s="62" t="s">
        <v>4081</v>
      </c>
      <c r="H3229" s="62" t="s">
        <v>57</v>
      </c>
      <c r="I3229" s="62" t="s">
        <v>47</v>
      </c>
      <c r="J3229" s="62" t="s">
        <v>146</v>
      </c>
      <c r="K3229" s="62" t="s">
        <v>147</v>
      </c>
      <c r="L3229" s="62" t="s">
        <v>148</v>
      </c>
      <c r="M3229" s="62" t="n">
        <v>0</v>
      </c>
      <c r="N3229" s="62" t="n">
        <v>1</v>
      </c>
      <c r="O3229" s="62" t="n">
        <v>1</v>
      </c>
      <c r="P3229" s="62" t="n">
        <v>1</v>
      </c>
      <c r="Q3229" s="62" t="n">
        <v>0</v>
      </c>
      <c r="R3229" s="62" t="n">
        <v>0</v>
      </c>
      <c r="S3229" s="62" t="n">
        <v>0</v>
      </c>
      <c r="T3229" s="62" t="n">
        <v>0</v>
      </c>
      <c r="U3229" s="62"/>
      <c r="V3229" s="62"/>
      <c r="W3229" s="62"/>
      <c r="X3229" s="62"/>
      <c r="Y3229" s="62"/>
      <c r="Z3229" s="62" t="s">
        <v>5863</v>
      </c>
      <c r="AA3229" s="62" t="s">
        <v>5864</v>
      </c>
      <c r="AB3229" s="62" t="n">
        <v>1</v>
      </c>
      <c r="AC3229" s="62" t="n">
        <v>0</v>
      </c>
      <c r="AD3229" s="62" t="n">
        <v>1</v>
      </c>
      <c r="AE3229" s="62" t="n">
        <f aca="false">IF(AND(Dashboard!$C$9="Yes",AC3229=1),0,1)</f>
        <v>1</v>
      </c>
      <c r="AF3229" s="62" t="n">
        <v>1</v>
      </c>
    </row>
    <row r="3230" customFormat="false" ht="15" hidden="false" customHeight="false" outlineLevel="0" collapsed="false">
      <c r="A3230" s="62" t="n">
        <v>3229</v>
      </c>
      <c r="B3230" s="63" t="n">
        <v>46301.0356828704</v>
      </c>
      <c r="C3230" s="64" t="n">
        <v>46300</v>
      </c>
      <c r="D3230" s="62" t="s">
        <v>429</v>
      </c>
      <c r="E3230" s="62" t="s">
        <v>2328</v>
      </c>
      <c r="F3230" s="62" t="s">
        <v>2328</v>
      </c>
      <c r="G3230" s="62" t="s">
        <v>2329</v>
      </c>
      <c r="H3230" s="62" t="s">
        <v>58</v>
      </c>
      <c r="I3230" s="62" t="s">
        <v>49</v>
      </c>
      <c r="J3230" s="62" t="s">
        <v>146</v>
      </c>
      <c r="K3230" s="62" t="s">
        <v>209</v>
      </c>
      <c r="L3230" s="62" t="s">
        <v>148</v>
      </c>
      <c r="M3230" s="62" t="n">
        <v>0</v>
      </c>
      <c r="N3230" s="62" t="n">
        <v>1</v>
      </c>
      <c r="O3230" s="62" t="n">
        <v>1</v>
      </c>
      <c r="P3230" s="62" t="n">
        <v>1</v>
      </c>
      <c r="Q3230" s="62" t="n">
        <v>0</v>
      </c>
      <c r="R3230" s="62" t="n">
        <v>0</v>
      </c>
      <c r="S3230" s="62" t="n">
        <v>0</v>
      </c>
      <c r="T3230" s="62" t="n">
        <v>0</v>
      </c>
      <c r="U3230" s="62"/>
      <c r="V3230" s="62"/>
      <c r="W3230" s="62"/>
      <c r="X3230" s="62"/>
      <c r="Y3230" s="62"/>
      <c r="Z3230" s="62" t="s">
        <v>5865</v>
      </c>
      <c r="AA3230" s="62" t="s">
        <v>5866</v>
      </c>
      <c r="AB3230" s="62" t="n">
        <v>1</v>
      </c>
      <c r="AC3230" s="62" t="n">
        <v>0</v>
      </c>
      <c r="AD3230" s="62" t="n">
        <v>1</v>
      </c>
      <c r="AE3230" s="62" t="n">
        <f aca="false">IF(AND(Dashboard!$C$9="Yes",AC3230=1),0,1)</f>
        <v>1</v>
      </c>
      <c r="AF3230" s="62" t="n">
        <v>1</v>
      </c>
    </row>
    <row r="3231" customFormat="false" ht="15" hidden="false" customHeight="false" outlineLevel="0" collapsed="false">
      <c r="A3231" s="62" t="n">
        <v>3230</v>
      </c>
      <c r="B3231" s="63" t="n">
        <v>46301.0603125</v>
      </c>
      <c r="C3231" s="64" t="n">
        <v>46300</v>
      </c>
      <c r="D3231" s="62" t="s">
        <v>429</v>
      </c>
      <c r="E3231" s="62" t="s">
        <v>5867</v>
      </c>
      <c r="F3231" s="62" t="s">
        <v>5867</v>
      </c>
      <c r="G3231" s="62" t="s">
        <v>5868</v>
      </c>
      <c r="H3231" s="62" t="s">
        <v>53</v>
      </c>
      <c r="I3231" s="62" t="s">
        <v>47</v>
      </c>
      <c r="J3231" s="62" t="s">
        <v>3708</v>
      </c>
      <c r="K3231" s="62" t="s">
        <v>209</v>
      </c>
      <c r="L3231" s="62" t="s">
        <v>4</v>
      </c>
      <c r="M3231" s="62" t="n">
        <v>1</v>
      </c>
      <c r="N3231" s="62" t="n">
        <v>0</v>
      </c>
      <c r="O3231" s="62" t="n">
        <v>1</v>
      </c>
      <c r="P3231" s="62" t="n">
        <v>0</v>
      </c>
      <c r="Q3231" s="62" t="n">
        <v>0</v>
      </c>
      <c r="R3231" s="62" t="n">
        <v>0</v>
      </c>
      <c r="S3231" s="62" t="n">
        <v>0</v>
      </c>
      <c r="T3231" s="62" t="n">
        <v>0</v>
      </c>
      <c r="U3231" s="62" t="s">
        <v>2056</v>
      </c>
      <c r="V3231" s="62" t="s">
        <v>2057</v>
      </c>
      <c r="W3231" s="62" t="s">
        <v>15</v>
      </c>
      <c r="X3231" s="62" t="s">
        <v>2058</v>
      </c>
      <c r="Y3231" s="62" t="s">
        <v>2059</v>
      </c>
      <c r="Z3231" s="62" t="s">
        <v>5869</v>
      </c>
      <c r="AA3231" s="62" t="s">
        <v>5870</v>
      </c>
      <c r="AB3231" s="62" t="n">
        <v>1</v>
      </c>
      <c r="AC3231" s="62" t="n">
        <v>0</v>
      </c>
      <c r="AD3231" s="62" t="n">
        <v>1</v>
      </c>
      <c r="AE3231" s="62" t="n">
        <f aca="false">IF(AND(Dashboard!$C$9="Yes",AC3231=1),0,1)</f>
        <v>1</v>
      </c>
      <c r="AF3231" s="62" t="n">
        <v>1</v>
      </c>
    </row>
    <row r="3232" customFormat="false" ht="15" hidden="false" customHeight="false" outlineLevel="0" collapsed="false">
      <c r="A3232" s="62" t="n">
        <v>3231</v>
      </c>
      <c r="B3232" s="63" t="n">
        <v>46301.0649189815</v>
      </c>
      <c r="C3232" s="64" t="n">
        <v>46300</v>
      </c>
      <c r="D3232" s="62" t="s">
        <v>429</v>
      </c>
      <c r="E3232" s="62" t="s">
        <v>5871</v>
      </c>
      <c r="F3232" s="62" t="s">
        <v>5867</v>
      </c>
      <c r="G3232" s="62" t="s">
        <v>5868</v>
      </c>
      <c r="H3232" s="62" t="s">
        <v>53</v>
      </c>
      <c r="I3232" s="62" t="s">
        <v>47</v>
      </c>
      <c r="J3232" s="62" t="s">
        <v>3708</v>
      </c>
      <c r="K3232" s="62" t="s">
        <v>209</v>
      </c>
      <c r="L3232" s="62" t="s">
        <v>148</v>
      </c>
      <c r="M3232" s="62" t="n">
        <v>0</v>
      </c>
      <c r="N3232" s="62" t="n">
        <v>1</v>
      </c>
      <c r="O3232" s="62" t="n">
        <v>1</v>
      </c>
      <c r="P3232" s="62" t="n">
        <v>1</v>
      </c>
      <c r="Q3232" s="62" t="n">
        <v>0</v>
      </c>
      <c r="R3232" s="62" t="n">
        <v>0</v>
      </c>
      <c r="S3232" s="62" t="n">
        <v>0</v>
      </c>
      <c r="T3232" s="62" t="n">
        <v>0</v>
      </c>
      <c r="U3232" s="62"/>
      <c r="V3232" s="62"/>
      <c r="W3232" s="62"/>
      <c r="X3232" s="62"/>
      <c r="Y3232" s="62"/>
      <c r="Z3232" s="62" t="s">
        <v>5869</v>
      </c>
      <c r="AA3232" s="62" t="s">
        <v>5872</v>
      </c>
      <c r="AB3232" s="62" t="n">
        <v>1</v>
      </c>
      <c r="AC3232" s="62" t="n">
        <v>0</v>
      </c>
      <c r="AD3232" s="62" t="n">
        <v>1</v>
      </c>
      <c r="AE3232" s="62" t="n">
        <f aca="false">IF(AND(Dashboard!$C$9="Yes",AC3232=1),0,1)</f>
        <v>1</v>
      </c>
      <c r="AF3232" s="62" t="n">
        <v>0</v>
      </c>
    </row>
    <row r="3233" customFormat="false" ht="15" hidden="false" customHeight="false" outlineLevel="0" collapsed="false">
      <c r="A3233" s="62" t="n">
        <v>3232</v>
      </c>
      <c r="B3233" s="63" t="n">
        <v>46301.0658680556</v>
      </c>
      <c r="C3233" s="64" t="n">
        <v>46300</v>
      </c>
      <c r="D3233" s="62" t="s">
        <v>429</v>
      </c>
      <c r="E3233" s="62" t="s">
        <v>518</v>
      </c>
      <c r="F3233" s="62" t="s">
        <v>518</v>
      </c>
      <c r="G3233" s="62" t="s">
        <v>519</v>
      </c>
      <c r="H3233" s="62" t="s">
        <v>52</v>
      </c>
      <c r="I3233" s="62" t="s">
        <v>47</v>
      </c>
      <c r="J3233" s="62" t="s">
        <v>146</v>
      </c>
      <c r="K3233" s="62" t="s">
        <v>147</v>
      </c>
      <c r="L3233" s="62" t="s">
        <v>148</v>
      </c>
      <c r="M3233" s="62" t="n">
        <v>0</v>
      </c>
      <c r="N3233" s="62" t="n">
        <v>1</v>
      </c>
      <c r="O3233" s="62" t="n">
        <v>1</v>
      </c>
      <c r="P3233" s="62" t="n">
        <v>0</v>
      </c>
      <c r="Q3233" s="62" t="n">
        <v>0</v>
      </c>
      <c r="R3233" s="62" t="n">
        <v>1</v>
      </c>
      <c r="S3233" s="62" t="n">
        <v>0</v>
      </c>
      <c r="T3233" s="62" t="n">
        <v>0</v>
      </c>
      <c r="U3233" s="62"/>
      <c r="V3233" s="62"/>
      <c r="W3233" s="62"/>
      <c r="X3233" s="62"/>
      <c r="Y3233" s="62"/>
      <c r="Z3233" s="62" t="s">
        <v>5873</v>
      </c>
      <c r="AA3233" s="62" t="s">
        <v>5874</v>
      </c>
      <c r="AB3233" s="62" t="n">
        <v>1</v>
      </c>
      <c r="AC3233" s="62" t="n">
        <v>0</v>
      </c>
      <c r="AD3233" s="62" t="n">
        <v>1</v>
      </c>
      <c r="AE3233" s="62" t="n">
        <f aca="false">IF(AND(Dashboard!$C$9="Yes",AC3233=1),0,1)</f>
        <v>1</v>
      </c>
      <c r="AF3233" s="62" t="n">
        <v>1</v>
      </c>
    </row>
    <row r="3234" customFormat="false" ht="15" hidden="false" customHeight="false" outlineLevel="0" collapsed="false">
      <c r="A3234" s="62" t="n">
        <v>3233</v>
      </c>
      <c r="B3234" s="63" t="n">
        <v>46301.067025463</v>
      </c>
      <c r="C3234" s="64" t="n">
        <v>46300</v>
      </c>
      <c r="D3234" s="62" t="s">
        <v>429</v>
      </c>
      <c r="E3234" s="62" t="s">
        <v>1732</v>
      </c>
      <c r="F3234" s="62" t="s">
        <v>1732</v>
      </c>
      <c r="G3234" s="62" t="s">
        <v>1733</v>
      </c>
      <c r="H3234" s="62" t="s">
        <v>58</v>
      </c>
      <c r="I3234" s="62" t="s">
        <v>49</v>
      </c>
      <c r="J3234" s="62" t="s">
        <v>146</v>
      </c>
      <c r="K3234" s="62" t="s">
        <v>209</v>
      </c>
      <c r="L3234" s="62" t="s">
        <v>148</v>
      </c>
      <c r="M3234" s="62" t="n">
        <v>0</v>
      </c>
      <c r="N3234" s="62" t="n">
        <v>1</v>
      </c>
      <c r="O3234" s="62" t="n">
        <v>1</v>
      </c>
      <c r="P3234" s="62" t="n">
        <v>0</v>
      </c>
      <c r="Q3234" s="62" t="n">
        <v>1</v>
      </c>
      <c r="R3234" s="62" t="n">
        <v>0</v>
      </c>
      <c r="S3234" s="62" t="n">
        <v>0</v>
      </c>
      <c r="T3234" s="62" t="n">
        <v>0</v>
      </c>
      <c r="U3234" s="62"/>
      <c r="V3234" s="62"/>
      <c r="W3234" s="62"/>
      <c r="X3234" s="62"/>
      <c r="Y3234" s="62"/>
      <c r="Z3234" s="62" t="s">
        <v>5875</v>
      </c>
      <c r="AA3234" s="62" t="s">
        <v>5876</v>
      </c>
      <c r="AB3234" s="62" t="n">
        <v>1</v>
      </c>
      <c r="AC3234" s="62" t="n">
        <v>0</v>
      </c>
      <c r="AD3234" s="62" t="n">
        <v>1</v>
      </c>
      <c r="AE3234" s="62" t="n">
        <f aca="false">IF(AND(Dashboard!$C$9="Yes",AC3234=1),0,1)</f>
        <v>1</v>
      </c>
      <c r="AF3234" s="62" t="n">
        <v>0</v>
      </c>
    </row>
    <row r="3235" customFormat="false" ht="15" hidden="false" customHeight="false" outlineLevel="0" collapsed="false">
      <c r="A3235" s="62" t="n">
        <v>3234</v>
      </c>
      <c r="B3235" s="63" t="n">
        <v>46301.071712963</v>
      </c>
      <c r="C3235" s="64" t="n">
        <v>46300</v>
      </c>
      <c r="D3235" s="62" t="s">
        <v>429</v>
      </c>
      <c r="E3235" s="62" t="s">
        <v>5270</v>
      </c>
      <c r="F3235" s="62" t="s">
        <v>5270</v>
      </c>
      <c r="G3235" s="62" t="s">
        <v>5271</v>
      </c>
      <c r="H3235" s="62" t="s">
        <v>55</v>
      </c>
      <c r="I3235" s="62" t="s">
        <v>49</v>
      </c>
      <c r="J3235" s="62" t="s">
        <v>3708</v>
      </c>
      <c r="K3235" s="62" t="s">
        <v>209</v>
      </c>
      <c r="L3235" s="62" t="s">
        <v>148</v>
      </c>
      <c r="M3235" s="62" t="n">
        <v>0</v>
      </c>
      <c r="N3235" s="62" t="n">
        <v>2</v>
      </c>
      <c r="O3235" s="62" t="n">
        <v>2</v>
      </c>
      <c r="P3235" s="62" t="n">
        <v>1</v>
      </c>
      <c r="Q3235" s="62" t="n">
        <v>1</v>
      </c>
      <c r="R3235" s="62" t="n">
        <v>0</v>
      </c>
      <c r="S3235" s="62" t="n">
        <v>0</v>
      </c>
      <c r="T3235" s="62" t="n">
        <v>0</v>
      </c>
      <c r="U3235" s="62"/>
      <c r="V3235" s="62"/>
      <c r="W3235" s="62"/>
      <c r="X3235" s="62"/>
      <c r="Y3235" s="62"/>
      <c r="Z3235" s="62" t="s">
        <v>5877</v>
      </c>
      <c r="AA3235" s="62" t="s">
        <v>5878</v>
      </c>
      <c r="AB3235" s="62" t="n">
        <v>1</v>
      </c>
      <c r="AC3235" s="62" t="n">
        <v>0</v>
      </c>
      <c r="AD3235" s="62" t="n">
        <v>1</v>
      </c>
      <c r="AE3235" s="62" t="n">
        <f aca="false">IF(AND(Dashboard!$C$9="Yes",AC3235=1),0,1)</f>
        <v>1</v>
      </c>
      <c r="AF3235" s="62" t="n">
        <v>0</v>
      </c>
    </row>
    <row r="3236" customFormat="false" ht="15" hidden="false" customHeight="false" outlineLevel="0" collapsed="false">
      <c r="A3236" s="62" t="n">
        <v>3235</v>
      </c>
      <c r="B3236" s="63" t="n">
        <v>46301.0896875</v>
      </c>
      <c r="C3236" s="64" t="n">
        <v>46300</v>
      </c>
      <c r="D3236" s="62" t="s">
        <v>429</v>
      </c>
      <c r="E3236" s="62" t="s">
        <v>1382</v>
      </c>
      <c r="F3236" s="62" t="s">
        <v>1382</v>
      </c>
      <c r="G3236" s="62" t="s">
        <v>1383</v>
      </c>
      <c r="H3236" s="62" t="s">
        <v>58</v>
      </c>
      <c r="I3236" s="62" t="s">
        <v>49</v>
      </c>
      <c r="J3236" s="62" t="s">
        <v>146</v>
      </c>
      <c r="K3236" s="62" t="s">
        <v>175</v>
      </c>
      <c r="L3236" s="62" t="s">
        <v>4</v>
      </c>
      <c r="M3236" s="62" t="n">
        <v>1</v>
      </c>
      <c r="N3236" s="62" t="n">
        <v>0</v>
      </c>
      <c r="O3236" s="62" t="n">
        <v>1</v>
      </c>
      <c r="P3236" s="62" t="n">
        <v>0</v>
      </c>
      <c r="Q3236" s="62" t="n">
        <v>0</v>
      </c>
      <c r="R3236" s="62" t="n">
        <v>0</v>
      </c>
      <c r="S3236" s="62" t="n">
        <v>0</v>
      </c>
      <c r="T3236" s="62" t="n">
        <v>0</v>
      </c>
      <c r="U3236" s="62" t="s">
        <v>2056</v>
      </c>
      <c r="V3236" s="62" t="s">
        <v>2057</v>
      </c>
      <c r="W3236" s="62" t="s">
        <v>15</v>
      </c>
      <c r="X3236" s="62" t="s">
        <v>2058</v>
      </c>
      <c r="Y3236" s="62" t="s">
        <v>2103</v>
      </c>
      <c r="Z3236" s="62" t="s">
        <v>5879</v>
      </c>
      <c r="AA3236" s="62" t="s">
        <v>5880</v>
      </c>
      <c r="AB3236" s="62" t="n">
        <v>1</v>
      </c>
      <c r="AC3236" s="62" t="n">
        <v>0</v>
      </c>
      <c r="AD3236" s="62" t="n">
        <v>1</v>
      </c>
      <c r="AE3236" s="62" t="n">
        <f aca="false">IF(AND(Dashboard!$C$9="Yes",AC3236=1),0,1)</f>
        <v>1</v>
      </c>
      <c r="AF3236" s="62" t="n">
        <v>1</v>
      </c>
    </row>
    <row r="3237" customFormat="false" ht="15" hidden="false" customHeight="false" outlineLevel="0" collapsed="false">
      <c r="A3237" s="62" t="n">
        <v>3236</v>
      </c>
      <c r="B3237" s="63" t="n">
        <v>46301.1148148148</v>
      </c>
      <c r="C3237" s="64" t="n">
        <v>46300</v>
      </c>
      <c r="D3237" s="62" t="s">
        <v>429</v>
      </c>
      <c r="E3237" s="62" t="s">
        <v>2134</v>
      </c>
      <c r="F3237" s="62" t="s">
        <v>2134</v>
      </c>
      <c r="G3237" s="62" t="s">
        <v>2135</v>
      </c>
      <c r="H3237" s="62" t="s">
        <v>57</v>
      </c>
      <c r="I3237" s="62" t="s">
        <v>47</v>
      </c>
      <c r="J3237" s="62" t="s">
        <v>146</v>
      </c>
      <c r="K3237" s="62" t="s">
        <v>147</v>
      </c>
      <c r="L3237" s="62" t="s">
        <v>4</v>
      </c>
      <c r="M3237" s="62" t="n">
        <v>1</v>
      </c>
      <c r="N3237" s="62" t="n">
        <v>0</v>
      </c>
      <c r="O3237" s="62" t="n">
        <v>1</v>
      </c>
      <c r="P3237" s="62" t="n">
        <v>0</v>
      </c>
      <c r="Q3237" s="62" t="n">
        <v>0</v>
      </c>
      <c r="R3237" s="62" t="n">
        <v>0</v>
      </c>
      <c r="S3237" s="62" t="n">
        <v>0</v>
      </c>
      <c r="T3237" s="62" t="n">
        <v>0</v>
      </c>
      <c r="U3237" s="62" t="s">
        <v>2056</v>
      </c>
      <c r="V3237" s="62" t="s">
        <v>2057</v>
      </c>
      <c r="W3237" s="62" t="s">
        <v>15</v>
      </c>
      <c r="X3237" s="62" t="s">
        <v>2058</v>
      </c>
      <c r="Y3237" s="62" t="s">
        <v>2103</v>
      </c>
      <c r="Z3237" s="62" t="s">
        <v>5881</v>
      </c>
      <c r="AA3237" s="62" t="s">
        <v>5882</v>
      </c>
      <c r="AB3237" s="62" t="n">
        <v>1</v>
      </c>
      <c r="AC3237" s="62" t="n">
        <v>0</v>
      </c>
      <c r="AD3237" s="62" t="n">
        <v>1</v>
      </c>
      <c r="AE3237" s="62" t="n">
        <f aca="false">IF(AND(Dashboard!$C$9="Yes",AC3237=1),0,1)</f>
        <v>1</v>
      </c>
      <c r="AF3237" s="62" t="n">
        <v>1</v>
      </c>
    </row>
    <row r="3238" customFormat="false" ht="15" hidden="false" customHeight="false" outlineLevel="0" collapsed="false">
      <c r="A3238" s="62" t="n">
        <v>3237</v>
      </c>
      <c r="B3238" s="63" t="n">
        <v>46301.1209490741</v>
      </c>
      <c r="C3238" s="64" t="n">
        <v>46300</v>
      </c>
      <c r="D3238" s="62" t="s">
        <v>429</v>
      </c>
      <c r="E3238" s="62" t="s">
        <v>1827</v>
      </c>
      <c r="F3238" s="62" t="s">
        <v>1827</v>
      </c>
      <c r="G3238" s="62" t="s">
        <v>1828</v>
      </c>
      <c r="H3238" s="62" t="s">
        <v>59</v>
      </c>
      <c r="I3238" s="62" t="s">
        <v>47</v>
      </c>
      <c r="J3238" s="62" t="s">
        <v>146</v>
      </c>
      <c r="K3238" s="62" t="s">
        <v>209</v>
      </c>
      <c r="L3238" s="62" t="s">
        <v>148</v>
      </c>
      <c r="M3238" s="62" t="n">
        <v>0</v>
      </c>
      <c r="N3238" s="62" t="n">
        <v>2</v>
      </c>
      <c r="O3238" s="62" t="n">
        <v>2</v>
      </c>
      <c r="P3238" s="62" t="n">
        <v>0</v>
      </c>
      <c r="Q3238" s="62" t="n">
        <v>0</v>
      </c>
      <c r="R3238" s="62" t="n">
        <v>0</v>
      </c>
      <c r="S3238" s="62" t="n">
        <v>1</v>
      </c>
      <c r="T3238" s="62" t="n">
        <v>1</v>
      </c>
      <c r="U3238" s="62"/>
      <c r="V3238" s="62"/>
      <c r="W3238" s="62"/>
      <c r="X3238" s="62"/>
      <c r="Y3238" s="62"/>
      <c r="Z3238" s="62" t="s">
        <v>5883</v>
      </c>
      <c r="AA3238" s="62" t="s">
        <v>5883</v>
      </c>
      <c r="AB3238" s="62" t="n">
        <v>1</v>
      </c>
      <c r="AC3238" s="62" t="n">
        <v>0</v>
      </c>
      <c r="AD3238" s="62" t="n">
        <v>1</v>
      </c>
      <c r="AE3238" s="62" t="n">
        <f aca="false">IF(AND(Dashboard!$C$9="Yes",AC3238=1),0,1)</f>
        <v>1</v>
      </c>
      <c r="AF3238" s="62" t="n">
        <v>1</v>
      </c>
    </row>
    <row r="3239" customFormat="false" ht="15" hidden="false" customHeight="false" outlineLevel="0" collapsed="false">
      <c r="A3239" s="62" t="n">
        <v>3238</v>
      </c>
      <c r="B3239" s="63" t="n">
        <v>46301.1265856482</v>
      </c>
      <c r="C3239" s="64" t="n">
        <v>46300</v>
      </c>
      <c r="D3239" s="62" t="s">
        <v>429</v>
      </c>
      <c r="E3239" s="62" t="s">
        <v>1842</v>
      </c>
      <c r="F3239" s="62" t="s">
        <v>1749</v>
      </c>
      <c r="G3239" s="62" t="s">
        <v>1750</v>
      </c>
      <c r="H3239" s="62" t="s">
        <v>57</v>
      </c>
      <c r="I3239" s="62" t="s">
        <v>47</v>
      </c>
      <c r="J3239" s="62" t="s">
        <v>146</v>
      </c>
      <c r="K3239" s="62" t="s">
        <v>209</v>
      </c>
      <c r="L3239" s="62" t="s">
        <v>148</v>
      </c>
      <c r="M3239" s="62" t="n">
        <v>0</v>
      </c>
      <c r="N3239" s="62" t="n">
        <v>1</v>
      </c>
      <c r="O3239" s="62" t="n">
        <v>1</v>
      </c>
      <c r="P3239" s="62" t="n">
        <v>0</v>
      </c>
      <c r="Q3239" s="62" t="n">
        <v>1</v>
      </c>
      <c r="R3239" s="62" t="n">
        <v>0</v>
      </c>
      <c r="S3239" s="62" t="n">
        <v>0</v>
      </c>
      <c r="T3239" s="62" t="n">
        <v>0</v>
      </c>
      <c r="U3239" s="62"/>
      <c r="V3239" s="62"/>
      <c r="W3239" s="62"/>
      <c r="X3239" s="62"/>
      <c r="Y3239" s="62"/>
      <c r="Z3239" s="62" t="s">
        <v>5884</v>
      </c>
      <c r="AA3239" s="62" t="s">
        <v>5884</v>
      </c>
      <c r="AB3239" s="62" t="n">
        <v>1</v>
      </c>
      <c r="AC3239" s="62" t="n">
        <v>0</v>
      </c>
      <c r="AD3239" s="62" t="n">
        <v>1</v>
      </c>
      <c r="AE3239" s="62" t="n">
        <f aca="false">IF(AND(Dashboard!$C$9="Yes",AC3239=1),0,1)</f>
        <v>1</v>
      </c>
      <c r="AF3239" s="62" t="n">
        <v>0</v>
      </c>
    </row>
    <row r="3240" customFormat="false" ht="15" hidden="false" customHeight="false" outlineLevel="0" collapsed="false">
      <c r="A3240" s="62" t="n">
        <v>3239</v>
      </c>
      <c r="B3240" s="63" t="n">
        <v>46301.1328703704</v>
      </c>
      <c r="C3240" s="64" t="n">
        <v>46300</v>
      </c>
      <c r="D3240" s="62" t="s">
        <v>429</v>
      </c>
      <c r="E3240" s="62" t="s">
        <v>5004</v>
      </c>
      <c r="F3240" s="62" t="s">
        <v>5004</v>
      </c>
      <c r="G3240" s="62" t="s">
        <v>5005</v>
      </c>
      <c r="H3240" s="62" t="s">
        <v>46</v>
      </c>
      <c r="I3240" s="62" t="s">
        <v>47</v>
      </c>
      <c r="J3240" s="62" t="s">
        <v>146</v>
      </c>
      <c r="K3240" s="62" t="s">
        <v>147</v>
      </c>
      <c r="L3240" s="62" t="s">
        <v>4</v>
      </c>
      <c r="M3240" s="62" t="n">
        <v>1</v>
      </c>
      <c r="N3240" s="62" t="n">
        <v>0</v>
      </c>
      <c r="O3240" s="62" t="n">
        <v>1</v>
      </c>
      <c r="P3240" s="62" t="n">
        <v>0</v>
      </c>
      <c r="Q3240" s="62" t="n">
        <v>0</v>
      </c>
      <c r="R3240" s="62" t="n">
        <v>0</v>
      </c>
      <c r="S3240" s="62" t="n">
        <v>0</v>
      </c>
      <c r="T3240" s="62" t="n">
        <v>0</v>
      </c>
      <c r="U3240" s="62" t="s">
        <v>2056</v>
      </c>
      <c r="V3240" s="62" t="s">
        <v>2057</v>
      </c>
      <c r="W3240" s="62" t="s">
        <v>15</v>
      </c>
      <c r="X3240" s="62" t="s">
        <v>2180</v>
      </c>
      <c r="Y3240" s="62" t="s">
        <v>2103</v>
      </c>
      <c r="Z3240" s="62" t="s">
        <v>5885</v>
      </c>
      <c r="AA3240" s="62" t="s">
        <v>5886</v>
      </c>
      <c r="AB3240" s="62" t="n">
        <v>1</v>
      </c>
      <c r="AC3240" s="62" t="n">
        <v>0</v>
      </c>
      <c r="AD3240" s="62" t="n">
        <v>1</v>
      </c>
      <c r="AE3240" s="62" t="n">
        <f aca="false">IF(AND(Dashboard!$C$9="Yes",AC3240=1),0,1)</f>
        <v>1</v>
      </c>
      <c r="AF3240" s="62" t="n">
        <v>1</v>
      </c>
    </row>
    <row r="3241" customFormat="false" ht="15" hidden="false" customHeight="false" outlineLevel="0" collapsed="false">
      <c r="A3241" s="62" t="n">
        <v>3240</v>
      </c>
      <c r="B3241" s="63" t="n">
        <v>46301.191712963</v>
      </c>
      <c r="C3241" s="64" t="n">
        <v>46300</v>
      </c>
      <c r="D3241" s="62" t="s">
        <v>429</v>
      </c>
      <c r="E3241" s="62" t="s">
        <v>1827</v>
      </c>
      <c r="F3241" s="62" t="s">
        <v>1827</v>
      </c>
      <c r="G3241" s="62" t="s">
        <v>1828</v>
      </c>
      <c r="H3241" s="62" t="s">
        <v>59</v>
      </c>
      <c r="I3241" s="62" t="s">
        <v>47</v>
      </c>
      <c r="J3241" s="62" t="s">
        <v>146</v>
      </c>
      <c r="K3241" s="62" t="s">
        <v>209</v>
      </c>
      <c r="L3241" s="62" t="s">
        <v>148</v>
      </c>
      <c r="M3241" s="62" t="n">
        <v>0</v>
      </c>
      <c r="N3241" s="62" t="n">
        <v>1</v>
      </c>
      <c r="O3241" s="62" t="n">
        <v>1</v>
      </c>
      <c r="P3241" s="62" t="n">
        <v>1</v>
      </c>
      <c r="Q3241" s="62" t="n">
        <v>0</v>
      </c>
      <c r="R3241" s="62" t="n">
        <v>0</v>
      </c>
      <c r="S3241" s="62" t="n">
        <v>0</v>
      </c>
      <c r="T3241" s="62" t="n">
        <v>0</v>
      </c>
      <c r="U3241" s="62"/>
      <c r="V3241" s="62"/>
      <c r="W3241" s="62"/>
      <c r="X3241" s="62"/>
      <c r="Y3241" s="62"/>
      <c r="Z3241" s="62" t="s">
        <v>5887</v>
      </c>
      <c r="AA3241" s="62" t="s">
        <v>5888</v>
      </c>
      <c r="AB3241" s="62" t="n">
        <v>1</v>
      </c>
      <c r="AC3241" s="62" t="n">
        <v>0</v>
      </c>
      <c r="AD3241" s="62" t="n">
        <v>1</v>
      </c>
      <c r="AE3241" s="62" t="n">
        <f aca="false">IF(AND(Dashboard!$C$9="Yes",AC3241=1),0,1)</f>
        <v>1</v>
      </c>
      <c r="AF3241" s="62" t="n">
        <v>0</v>
      </c>
    </row>
    <row r="3242" customFormat="false" ht="15" hidden="false" customHeight="false" outlineLevel="0" collapsed="false">
      <c r="A3242" s="62" t="n">
        <v>3241</v>
      </c>
      <c r="B3242" s="63" t="n">
        <v>46301.1917361111</v>
      </c>
      <c r="C3242" s="64" t="n">
        <v>46300</v>
      </c>
      <c r="D3242" s="62" t="s">
        <v>429</v>
      </c>
      <c r="E3242" s="62" t="s">
        <v>3792</v>
      </c>
      <c r="F3242" s="62" t="s">
        <v>3792</v>
      </c>
      <c r="G3242" s="62" t="s">
        <v>3793</v>
      </c>
      <c r="H3242" s="62" t="s">
        <v>55</v>
      </c>
      <c r="I3242" s="62" t="s">
        <v>49</v>
      </c>
      <c r="J3242" s="62" t="s">
        <v>3708</v>
      </c>
      <c r="K3242" s="62" t="s">
        <v>209</v>
      </c>
      <c r="L3242" s="62" t="s">
        <v>148</v>
      </c>
      <c r="M3242" s="62" t="n">
        <v>0</v>
      </c>
      <c r="N3242" s="62" t="n">
        <v>1</v>
      </c>
      <c r="O3242" s="62" t="n">
        <v>1</v>
      </c>
      <c r="P3242" s="62" t="n">
        <v>0</v>
      </c>
      <c r="Q3242" s="62" t="n">
        <v>1</v>
      </c>
      <c r="R3242" s="62" t="n">
        <v>0</v>
      </c>
      <c r="S3242" s="62" t="n">
        <v>0</v>
      </c>
      <c r="T3242" s="62" t="n">
        <v>0</v>
      </c>
      <c r="U3242" s="62"/>
      <c r="V3242" s="62"/>
      <c r="W3242" s="62"/>
      <c r="X3242" s="62"/>
      <c r="Y3242" s="62"/>
      <c r="Z3242" s="62" t="s">
        <v>5889</v>
      </c>
      <c r="AA3242" s="62" t="s">
        <v>5890</v>
      </c>
      <c r="AB3242" s="62" t="n">
        <v>1</v>
      </c>
      <c r="AC3242" s="62" t="n">
        <v>0</v>
      </c>
      <c r="AD3242" s="62" t="n">
        <v>1</v>
      </c>
      <c r="AE3242" s="62" t="n">
        <f aca="false">IF(AND(Dashboard!$C$9="Yes",AC3242=1),0,1)</f>
        <v>1</v>
      </c>
      <c r="AF3242" s="62" t="n">
        <v>1</v>
      </c>
    </row>
    <row r="3243" customFormat="false" ht="15" hidden="false" customHeight="false" outlineLevel="0" collapsed="false">
      <c r="A3243" s="62" t="n">
        <v>3242</v>
      </c>
      <c r="B3243" s="63" t="n">
        <v>46301.1937384259</v>
      </c>
      <c r="C3243" s="64" t="n">
        <v>46300</v>
      </c>
      <c r="D3243" s="62" t="s">
        <v>429</v>
      </c>
      <c r="E3243" s="62" t="s">
        <v>5891</v>
      </c>
      <c r="F3243" s="62" t="s">
        <v>5891</v>
      </c>
      <c r="G3243" s="62" t="s">
        <v>5892</v>
      </c>
      <c r="H3243" s="62" t="s">
        <v>53</v>
      </c>
      <c r="I3243" s="62" t="s">
        <v>47</v>
      </c>
      <c r="J3243" s="62" t="s">
        <v>3708</v>
      </c>
      <c r="K3243" s="62" t="s">
        <v>209</v>
      </c>
      <c r="L3243" s="62" t="s">
        <v>148</v>
      </c>
      <c r="M3243" s="62" t="n">
        <v>0</v>
      </c>
      <c r="N3243" s="62" t="n">
        <v>1</v>
      </c>
      <c r="O3243" s="62" t="n">
        <v>1</v>
      </c>
      <c r="P3243" s="62" t="n">
        <v>0</v>
      </c>
      <c r="Q3243" s="62" t="n">
        <v>1</v>
      </c>
      <c r="R3243" s="62" t="n">
        <v>0</v>
      </c>
      <c r="S3243" s="62" t="n">
        <v>0</v>
      </c>
      <c r="T3243" s="62" t="n">
        <v>0</v>
      </c>
      <c r="U3243" s="62"/>
      <c r="V3243" s="62"/>
      <c r="W3243" s="62"/>
      <c r="X3243" s="62"/>
      <c r="Y3243" s="62"/>
      <c r="Z3243" s="62" t="s">
        <v>5893</v>
      </c>
      <c r="AA3243" s="62" t="s">
        <v>5894</v>
      </c>
      <c r="AB3243" s="62" t="n">
        <v>1</v>
      </c>
      <c r="AC3243" s="62" t="n">
        <v>0</v>
      </c>
      <c r="AD3243" s="62" t="n">
        <v>1</v>
      </c>
      <c r="AE3243" s="62" t="n">
        <f aca="false">IF(AND(Dashboard!$C$9="Yes",AC3243=1),0,1)</f>
        <v>1</v>
      </c>
      <c r="AF3243" s="62" t="n">
        <v>1</v>
      </c>
    </row>
    <row r="3244" customFormat="false" ht="15" hidden="false" customHeight="false" outlineLevel="0" collapsed="false">
      <c r="A3244" s="62" t="n">
        <v>3243</v>
      </c>
      <c r="B3244" s="63" t="n">
        <v>46301.2221064815</v>
      </c>
      <c r="C3244" s="64" t="n">
        <v>46300</v>
      </c>
      <c r="D3244" s="62" t="s">
        <v>429</v>
      </c>
      <c r="E3244" s="62" t="s">
        <v>5891</v>
      </c>
      <c r="F3244" s="62" t="s">
        <v>5891</v>
      </c>
      <c r="G3244" s="62" t="s">
        <v>5892</v>
      </c>
      <c r="H3244" s="62" t="s">
        <v>53</v>
      </c>
      <c r="I3244" s="62" t="s">
        <v>47</v>
      </c>
      <c r="J3244" s="62" t="s">
        <v>3708</v>
      </c>
      <c r="K3244" s="62" t="s">
        <v>209</v>
      </c>
      <c r="L3244" s="62" t="s">
        <v>4</v>
      </c>
      <c r="M3244" s="62" t="n">
        <v>1</v>
      </c>
      <c r="N3244" s="62" t="n">
        <v>0</v>
      </c>
      <c r="O3244" s="62" t="n">
        <v>1</v>
      </c>
      <c r="P3244" s="62" t="n">
        <v>0</v>
      </c>
      <c r="Q3244" s="62" t="n">
        <v>0</v>
      </c>
      <c r="R3244" s="62" t="n">
        <v>0</v>
      </c>
      <c r="S3244" s="62" t="n">
        <v>0</v>
      </c>
      <c r="T3244" s="62" t="n">
        <v>0</v>
      </c>
      <c r="U3244" s="62" t="s">
        <v>15</v>
      </c>
      <c r="V3244" s="62" t="s">
        <v>2057</v>
      </c>
      <c r="W3244" s="62" t="s">
        <v>15</v>
      </c>
      <c r="X3244" s="62" t="s">
        <v>2058</v>
      </c>
      <c r="Y3244" s="62" t="s">
        <v>2064</v>
      </c>
      <c r="Z3244" s="62" t="s">
        <v>5895</v>
      </c>
      <c r="AA3244" s="62" t="s">
        <v>5896</v>
      </c>
      <c r="AB3244" s="62" t="n">
        <v>1</v>
      </c>
      <c r="AC3244" s="62" t="n">
        <v>0</v>
      </c>
      <c r="AD3244" s="62" t="n">
        <v>1</v>
      </c>
      <c r="AE3244" s="62" t="n">
        <f aca="false">IF(AND(Dashboard!$C$9="Yes",AC3244=1),0,1)</f>
        <v>1</v>
      </c>
      <c r="AF3244" s="62" t="n">
        <v>0</v>
      </c>
    </row>
    <row r="3245" customFormat="false" ht="15" hidden="false" customHeight="false" outlineLevel="0" collapsed="false">
      <c r="A3245" s="62" t="n">
        <v>3244</v>
      </c>
      <c r="B3245" s="63" t="n">
        <v>46301.2280671296</v>
      </c>
      <c r="C3245" s="64" t="n">
        <v>46300</v>
      </c>
      <c r="D3245" s="62" t="s">
        <v>429</v>
      </c>
      <c r="E3245" s="62" t="s">
        <v>1314</v>
      </c>
      <c r="F3245" s="62" t="s">
        <v>1314</v>
      </c>
      <c r="G3245" s="62" t="s">
        <v>1315</v>
      </c>
      <c r="H3245" s="62" t="s">
        <v>51</v>
      </c>
      <c r="I3245" s="62" t="s">
        <v>47</v>
      </c>
      <c r="J3245" s="62" t="s">
        <v>146</v>
      </c>
      <c r="K3245" s="62" t="s">
        <v>209</v>
      </c>
      <c r="L3245" s="62" t="s">
        <v>148</v>
      </c>
      <c r="M3245" s="62" t="n">
        <v>0</v>
      </c>
      <c r="N3245" s="62" t="n">
        <v>1</v>
      </c>
      <c r="O3245" s="62" t="n">
        <v>1</v>
      </c>
      <c r="P3245" s="62" t="n">
        <v>0</v>
      </c>
      <c r="Q3245" s="62" t="n">
        <v>1</v>
      </c>
      <c r="R3245" s="62" t="n">
        <v>0</v>
      </c>
      <c r="S3245" s="62" t="n">
        <v>0</v>
      </c>
      <c r="T3245" s="62" t="n">
        <v>0</v>
      </c>
      <c r="U3245" s="62"/>
      <c r="V3245" s="62"/>
      <c r="W3245" s="62"/>
      <c r="X3245" s="62"/>
      <c r="Y3245" s="62"/>
      <c r="Z3245" s="62" t="s">
        <v>5897</v>
      </c>
      <c r="AA3245" s="62" t="s">
        <v>5898</v>
      </c>
      <c r="AB3245" s="62" t="n">
        <v>1</v>
      </c>
      <c r="AC3245" s="62" t="n">
        <v>0</v>
      </c>
      <c r="AD3245" s="62" t="n">
        <v>1</v>
      </c>
      <c r="AE3245" s="62" t="n">
        <f aca="false">IF(AND(Dashboard!$C$9="Yes",AC3245=1),0,1)</f>
        <v>1</v>
      </c>
      <c r="AF3245" s="62" t="n">
        <v>1</v>
      </c>
    </row>
    <row r="3246" customFormat="false" ht="15" hidden="false" customHeight="false" outlineLevel="0" collapsed="false">
      <c r="A3246" s="62" t="n">
        <v>3245</v>
      </c>
      <c r="B3246" s="63" t="n">
        <v>46301.232025463</v>
      </c>
      <c r="C3246" s="64" t="n">
        <v>46300</v>
      </c>
      <c r="D3246" s="62" t="s">
        <v>429</v>
      </c>
      <c r="E3246" s="62" t="s">
        <v>5899</v>
      </c>
      <c r="F3246" s="62" t="s">
        <v>5900</v>
      </c>
      <c r="G3246" s="62" t="s">
        <v>153</v>
      </c>
      <c r="H3246" s="62" t="s">
        <v>153</v>
      </c>
      <c r="I3246" s="62" t="s">
        <v>153</v>
      </c>
      <c r="J3246" s="62" t="s">
        <v>64</v>
      </c>
      <c r="K3246" s="62" t="s">
        <v>64</v>
      </c>
      <c r="L3246" s="62" t="s">
        <v>4</v>
      </c>
      <c r="M3246" s="62" t="n">
        <v>2</v>
      </c>
      <c r="N3246" s="62" t="n">
        <v>0</v>
      </c>
      <c r="O3246" s="62" t="n">
        <v>2</v>
      </c>
      <c r="P3246" s="62" t="n">
        <v>0</v>
      </c>
      <c r="Q3246" s="62" t="n">
        <v>0</v>
      </c>
      <c r="R3246" s="62" t="n">
        <v>0</v>
      </c>
      <c r="S3246" s="62" t="n">
        <v>0</v>
      </c>
      <c r="T3246" s="62" t="n">
        <v>0</v>
      </c>
      <c r="U3246" s="62" t="s">
        <v>15</v>
      </c>
      <c r="V3246" s="62" t="s">
        <v>2057</v>
      </c>
      <c r="W3246" s="62" t="s">
        <v>15</v>
      </c>
      <c r="X3246" s="62" t="s">
        <v>2058</v>
      </c>
      <c r="Y3246" s="62" t="s">
        <v>2103</v>
      </c>
      <c r="Z3246" s="62" t="s">
        <v>5901</v>
      </c>
      <c r="AA3246" s="62" t="s">
        <v>5902</v>
      </c>
      <c r="AB3246" s="62" t="n">
        <v>1</v>
      </c>
      <c r="AC3246" s="62" t="n">
        <v>0</v>
      </c>
      <c r="AD3246" s="62" t="n">
        <v>0</v>
      </c>
      <c r="AE3246" s="62" t="n">
        <f aca="false">IF(AND(Dashboard!$C$9="Yes",AC3246=1),0,1)</f>
        <v>1</v>
      </c>
      <c r="AF3246" s="62" t="n">
        <v>1</v>
      </c>
    </row>
    <row r="3247" customFormat="false" ht="15" hidden="false" customHeight="false" outlineLevel="0" collapsed="false">
      <c r="A3247" s="62" t="n">
        <v>3246</v>
      </c>
      <c r="B3247" s="63" t="n">
        <v>46301.2369328704</v>
      </c>
      <c r="C3247" s="64" t="n">
        <v>46300</v>
      </c>
      <c r="D3247" s="62" t="s">
        <v>429</v>
      </c>
      <c r="E3247" s="62" t="s">
        <v>4817</v>
      </c>
      <c r="F3247" s="62" t="s">
        <v>4817</v>
      </c>
      <c r="G3247" s="62" t="s">
        <v>4818</v>
      </c>
      <c r="H3247" s="62" t="s">
        <v>53</v>
      </c>
      <c r="I3247" s="62" t="s">
        <v>47</v>
      </c>
      <c r="J3247" s="62" t="s">
        <v>3708</v>
      </c>
      <c r="K3247" s="62" t="s">
        <v>209</v>
      </c>
      <c r="L3247" s="62" t="s">
        <v>148</v>
      </c>
      <c r="M3247" s="62" t="n">
        <v>0</v>
      </c>
      <c r="N3247" s="62" t="n">
        <v>1</v>
      </c>
      <c r="O3247" s="62" t="n">
        <v>1</v>
      </c>
      <c r="P3247" s="62" t="n">
        <v>1</v>
      </c>
      <c r="Q3247" s="62" t="n">
        <v>0</v>
      </c>
      <c r="R3247" s="62" t="n">
        <v>0</v>
      </c>
      <c r="S3247" s="62" t="n">
        <v>0</v>
      </c>
      <c r="T3247" s="62" t="n">
        <v>0</v>
      </c>
      <c r="U3247" s="62"/>
      <c r="V3247" s="62"/>
      <c r="W3247" s="62"/>
      <c r="X3247" s="62"/>
      <c r="Y3247" s="62"/>
      <c r="Z3247" s="62" t="s">
        <v>5903</v>
      </c>
      <c r="AA3247" s="62" t="s">
        <v>5903</v>
      </c>
      <c r="AB3247" s="62" t="n">
        <v>1</v>
      </c>
      <c r="AC3247" s="62" t="n">
        <v>0</v>
      </c>
      <c r="AD3247" s="62" t="n">
        <v>1</v>
      </c>
      <c r="AE3247" s="62" t="n">
        <f aca="false">IF(AND(Dashboard!$C$9="Yes",AC3247=1),0,1)</f>
        <v>1</v>
      </c>
      <c r="AF3247" s="62" t="n">
        <v>1</v>
      </c>
    </row>
    <row r="3248" customFormat="false" ht="15" hidden="false" customHeight="false" outlineLevel="0" collapsed="false">
      <c r="A3248" s="62" t="n">
        <v>3247</v>
      </c>
      <c r="B3248" s="63" t="n">
        <v>46301.2416435185</v>
      </c>
      <c r="C3248" s="64" t="n">
        <v>46300</v>
      </c>
      <c r="D3248" s="62" t="s">
        <v>429</v>
      </c>
      <c r="E3248" s="62" t="s">
        <v>2959</v>
      </c>
      <c r="F3248" s="62" t="s">
        <v>2959</v>
      </c>
      <c r="G3248" s="62" t="s">
        <v>2960</v>
      </c>
      <c r="H3248" s="62" t="s">
        <v>58</v>
      </c>
      <c r="I3248" s="62" t="s">
        <v>49</v>
      </c>
      <c r="J3248" s="62" t="s">
        <v>146</v>
      </c>
      <c r="K3248" s="62" t="s">
        <v>175</v>
      </c>
      <c r="L3248" s="62" t="s">
        <v>148</v>
      </c>
      <c r="M3248" s="62" t="n">
        <v>0</v>
      </c>
      <c r="N3248" s="62" t="n">
        <v>1</v>
      </c>
      <c r="O3248" s="62" t="n">
        <v>1</v>
      </c>
      <c r="P3248" s="62" t="n">
        <v>1</v>
      </c>
      <c r="Q3248" s="62" t="n">
        <v>0</v>
      </c>
      <c r="R3248" s="62" t="n">
        <v>0</v>
      </c>
      <c r="S3248" s="62" t="n">
        <v>0</v>
      </c>
      <c r="T3248" s="62" t="n">
        <v>0</v>
      </c>
      <c r="U3248" s="62"/>
      <c r="V3248" s="62"/>
      <c r="W3248" s="62"/>
      <c r="X3248" s="62"/>
      <c r="Y3248" s="62"/>
      <c r="Z3248" s="62" t="s">
        <v>5904</v>
      </c>
      <c r="AA3248" s="62" t="s">
        <v>5905</v>
      </c>
      <c r="AB3248" s="62" t="n">
        <v>0</v>
      </c>
      <c r="AC3248" s="62" t="n">
        <v>0</v>
      </c>
      <c r="AD3248" s="62" t="n">
        <v>1</v>
      </c>
      <c r="AE3248" s="62" t="n">
        <f aca="false">IF(AND(Dashboard!$C$9="Yes",AC3248=1),0,1)</f>
        <v>1</v>
      </c>
      <c r="AF3248" s="62" t="n">
        <v>1</v>
      </c>
    </row>
    <row r="3249" customFormat="false" ht="15" hidden="false" customHeight="false" outlineLevel="0" collapsed="false">
      <c r="A3249" s="62" t="n">
        <v>3248</v>
      </c>
      <c r="B3249" s="63" t="n">
        <v>46301.2524305556</v>
      </c>
      <c r="C3249" s="64" t="n">
        <v>46300</v>
      </c>
      <c r="D3249" s="62" t="s">
        <v>429</v>
      </c>
      <c r="E3249" s="62" t="s">
        <v>5906</v>
      </c>
      <c r="F3249" s="62" t="s">
        <v>5906</v>
      </c>
      <c r="G3249" s="62" t="s">
        <v>5907</v>
      </c>
      <c r="H3249" s="62" t="s">
        <v>53</v>
      </c>
      <c r="I3249" s="62" t="s">
        <v>47</v>
      </c>
      <c r="J3249" s="62" t="s">
        <v>3708</v>
      </c>
      <c r="K3249" s="62" t="s">
        <v>209</v>
      </c>
      <c r="L3249" s="62" t="s">
        <v>4</v>
      </c>
      <c r="M3249" s="62" t="n">
        <v>1</v>
      </c>
      <c r="N3249" s="62" t="n">
        <v>0</v>
      </c>
      <c r="O3249" s="62" t="n">
        <v>1</v>
      </c>
      <c r="P3249" s="62" t="n">
        <v>0</v>
      </c>
      <c r="Q3249" s="62" t="n">
        <v>0</v>
      </c>
      <c r="R3249" s="62" t="n">
        <v>0</v>
      </c>
      <c r="S3249" s="62" t="n">
        <v>0</v>
      </c>
      <c r="T3249" s="62" t="n">
        <v>0</v>
      </c>
      <c r="U3249" s="62" t="s">
        <v>2056</v>
      </c>
      <c r="V3249" s="62" t="s">
        <v>2057</v>
      </c>
      <c r="W3249" s="62" t="s">
        <v>15</v>
      </c>
      <c r="X3249" s="62" t="s">
        <v>2103</v>
      </c>
      <c r="Y3249" s="62" t="s">
        <v>2059</v>
      </c>
      <c r="Z3249" s="62" t="s">
        <v>5908</v>
      </c>
      <c r="AA3249" s="62" t="s">
        <v>5909</v>
      </c>
      <c r="AB3249" s="62" t="n">
        <v>1</v>
      </c>
      <c r="AC3249" s="62" t="n">
        <v>0</v>
      </c>
      <c r="AD3249" s="62" t="n">
        <v>1</v>
      </c>
      <c r="AE3249" s="62" t="n">
        <f aca="false">IF(AND(Dashboard!$C$9="Yes",AC3249=1),0,1)</f>
        <v>1</v>
      </c>
      <c r="AF3249" s="62" t="n">
        <v>1</v>
      </c>
    </row>
    <row r="3250" customFormat="false" ht="15" hidden="false" customHeight="false" outlineLevel="0" collapsed="false">
      <c r="A3250" s="62" t="n">
        <v>3249</v>
      </c>
      <c r="B3250" s="63" t="n">
        <v>46301.2531365741</v>
      </c>
      <c r="C3250" s="64" t="n">
        <v>46300</v>
      </c>
      <c r="D3250" s="62" t="s">
        <v>429</v>
      </c>
      <c r="E3250" s="62" t="s">
        <v>5910</v>
      </c>
      <c r="F3250" s="62" t="s">
        <v>5906</v>
      </c>
      <c r="G3250" s="62" t="s">
        <v>5907</v>
      </c>
      <c r="H3250" s="62" t="s">
        <v>53</v>
      </c>
      <c r="I3250" s="62" t="s">
        <v>47</v>
      </c>
      <c r="J3250" s="62" t="s">
        <v>3708</v>
      </c>
      <c r="K3250" s="62" t="s">
        <v>209</v>
      </c>
      <c r="L3250" s="62" t="s">
        <v>148</v>
      </c>
      <c r="M3250" s="62" t="n">
        <v>0</v>
      </c>
      <c r="N3250" s="62" t="n">
        <v>1</v>
      </c>
      <c r="O3250" s="62" t="n">
        <v>1</v>
      </c>
      <c r="P3250" s="62" t="n">
        <v>0</v>
      </c>
      <c r="Q3250" s="62" t="n">
        <v>0</v>
      </c>
      <c r="R3250" s="62" t="n">
        <v>0</v>
      </c>
      <c r="S3250" s="62" t="n">
        <v>0</v>
      </c>
      <c r="T3250" s="62" t="n">
        <v>1</v>
      </c>
      <c r="U3250" s="62"/>
      <c r="V3250" s="62"/>
      <c r="W3250" s="62"/>
      <c r="X3250" s="62"/>
      <c r="Y3250" s="62"/>
      <c r="Z3250" s="62" t="s">
        <v>5911</v>
      </c>
      <c r="AA3250" s="62" t="s">
        <v>5912</v>
      </c>
      <c r="AB3250" s="62" t="n">
        <v>1</v>
      </c>
      <c r="AC3250" s="62" t="n">
        <v>0</v>
      </c>
      <c r="AD3250" s="62" t="n">
        <v>1</v>
      </c>
      <c r="AE3250" s="62" t="n">
        <f aca="false">IF(AND(Dashboard!$C$9="Yes",AC3250=1),0,1)</f>
        <v>1</v>
      </c>
      <c r="AF3250" s="62" t="n">
        <v>0</v>
      </c>
    </row>
    <row r="3251" customFormat="false" ht="15" hidden="false" customHeight="false" outlineLevel="0" collapsed="false">
      <c r="A3251" s="62" t="n">
        <v>3250</v>
      </c>
      <c r="B3251" s="63" t="n">
        <v>46301.2639467593</v>
      </c>
      <c r="C3251" s="64" t="n">
        <v>46300</v>
      </c>
      <c r="D3251" s="62" t="s">
        <v>429</v>
      </c>
      <c r="E3251" s="62" t="s">
        <v>2134</v>
      </c>
      <c r="F3251" s="62" t="s">
        <v>2134</v>
      </c>
      <c r="G3251" s="62" t="s">
        <v>2135</v>
      </c>
      <c r="H3251" s="62" t="s">
        <v>57</v>
      </c>
      <c r="I3251" s="62" t="s">
        <v>47</v>
      </c>
      <c r="J3251" s="62" t="s">
        <v>146</v>
      </c>
      <c r="K3251" s="62" t="s">
        <v>147</v>
      </c>
      <c r="L3251" s="62" t="s">
        <v>4</v>
      </c>
      <c r="M3251" s="62" t="n">
        <v>1</v>
      </c>
      <c r="N3251" s="62" t="n">
        <v>0</v>
      </c>
      <c r="O3251" s="62" t="n">
        <v>1</v>
      </c>
      <c r="P3251" s="62" t="n">
        <v>0</v>
      </c>
      <c r="Q3251" s="62" t="n">
        <v>0</v>
      </c>
      <c r="R3251" s="62" t="n">
        <v>0</v>
      </c>
      <c r="S3251" s="62" t="n">
        <v>0</v>
      </c>
      <c r="T3251" s="62" t="n">
        <v>0</v>
      </c>
      <c r="U3251" s="62" t="s">
        <v>15</v>
      </c>
      <c r="V3251" s="62" t="s">
        <v>2057</v>
      </c>
      <c r="W3251" s="62" t="s">
        <v>2056</v>
      </c>
      <c r="X3251" s="62" t="s">
        <v>2058</v>
      </c>
      <c r="Y3251" s="62" t="s">
        <v>2064</v>
      </c>
      <c r="Z3251" s="62" t="s">
        <v>5913</v>
      </c>
      <c r="AA3251" s="62" t="s">
        <v>5914</v>
      </c>
      <c r="AB3251" s="62" t="n">
        <v>1</v>
      </c>
      <c r="AC3251" s="62" t="n">
        <v>0</v>
      </c>
      <c r="AD3251" s="62" t="n">
        <v>1</v>
      </c>
      <c r="AE3251" s="62" t="n">
        <f aca="false">IF(AND(Dashboard!$C$9="Yes",AC3251=1),0,1)</f>
        <v>1</v>
      </c>
      <c r="AF3251" s="62" t="n">
        <v>0</v>
      </c>
    </row>
    <row r="3252" customFormat="false" ht="15" hidden="false" customHeight="false" outlineLevel="0" collapsed="false">
      <c r="A3252" s="62" t="n">
        <v>3251</v>
      </c>
      <c r="B3252" s="63" t="n">
        <v>46301.6030439815</v>
      </c>
      <c r="C3252" s="64" t="n">
        <v>46301</v>
      </c>
      <c r="D3252" s="62" t="s">
        <v>501</v>
      </c>
      <c r="E3252" s="62" t="s">
        <v>682</v>
      </c>
      <c r="F3252" s="62" t="s">
        <v>371</v>
      </c>
      <c r="G3252" s="62" t="s">
        <v>372</v>
      </c>
      <c r="H3252" s="62" t="s">
        <v>59</v>
      </c>
      <c r="I3252" s="62" t="s">
        <v>47</v>
      </c>
      <c r="J3252" s="62" t="s">
        <v>146</v>
      </c>
      <c r="K3252" s="62" t="s">
        <v>147</v>
      </c>
      <c r="L3252" s="62" t="s">
        <v>148</v>
      </c>
      <c r="M3252" s="62" t="n">
        <v>0</v>
      </c>
      <c r="N3252" s="62" t="n">
        <v>1</v>
      </c>
      <c r="O3252" s="62" t="n">
        <v>1</v>
      </c>
      <c r="P3252" s="62" t="n">
        <v>1</v>
      </c>
      <c r="Q3252" s="62" t="n">
        <v>0</v>
      </c>
      <c r="R3252" s="62" t="n">
        <v>0</v>
      </c>
      <c r="S3252" s="62" t="n">
        <v>0</v>
      </c>
      <c r="T3252" s="62" t="n">
        <v>0</v>
      </c>
      <c r="U3252" s="62"/>
      <c r="V3252" s="62"/>
      <c r="W3252" s="62"/>
      <c r="X3252" s="62"/>
      <c r="Y3252" s="62"/>
      <c r="Z3252" s="62" t="s">
        <v>5915</v>
      </c>
      <c r="AA3252" s="62" t="s">
        <v>5916</v>
      </c>
      <c r="AB3252" s="62" t="n">
        <v>1</v>
      </c>
      <c r="AC3252" s="62" t="n">
        <v>0</v>
      </c>
      <c r="AD3252" s="62" t="n">
        <v>1</v>
      </c>
      <c r="AE3252" s="62" t="n">
        <f aca="false">IF(AND(Dashboard!$C$9="Yes",AC3252=1),0,1)</f>
        <v>1</v>
      </c>
      <c r="AF3252" s="62" t="n">
        <v>1</v>
      </c>
    </row>
    <row r="3253" customFormat="false" ht="15" hidden="false" customHeight="false" outlineLevel="0" collapsed="false">
      <c r="A3253" s="62" t="n">
        <v>3252</v>
      </c>
      <c r="B3253" s="63" t="n">
        <v>46301.6135532407</v>
      </c>
      <c r="C3253" s="64" t="n">
        <v>46301</v>
      </c>
      <c r="D3253" s="62" t="s">
        <v>501</v>
      </c>
      <c r="E3253" s="62" t="s">
        <v>371</v>
      </c>
      <c r="F3253" s="62" t="s">
        <v>371</v>
      </c>
      <c r="G3253" s="62" t="s">
        <v>372</v>
      </c>
      <c r="H3253" s="62" t="s">
        <v>59</v>
      </c>
      <c r="I3253" s="62" t="s">
        <v>47</v>
      </c>
      <c r="J3253" s="62" t="s">
        <v>146</v>
      </c>
      <c r="K3253" s="62" t="s">
        <v>147</v>
      </c>
      <c r="L3253" s="62" t="s">
        <v>4</v>
      </c>
      <c r="M3253" s="62" t="n">
        <v>1</v>
      </c>
      <c r="N3253" s="62" t="n">
        <v>0</v>
      </c>
      <c r="O3253" s="62" t="n">
        <v>1</v>
      </c>
      <c r="P3253" s="62" t="n">
        <v>0</v>
      </c>
      <c r="Q3253" s="62" t="n">
        <v>0</v>
      </c>
      <c r="R3253" s="62" t="n">
        <v>0</v>
      </c>
      <c r="S3253" s="62" t="n">
        <v>0</v>
      </c>
      <c r="T3253" s="62" t="n">
        <v>0</v>
      </c>
      <c r="U3253" s="62" t="s">
        <v>2056</v>
      </c>
      <c r="V3253" s="62" t="s">
        <v>2068</v>
      </c>
      <c r="W3253" s="62"/>
      <c r="X3253" s="62" t="s">
        <v>2058</v>
      </c>
      <c r="Y3253" s="62" t="s">
        <v>2059</v>
      </c>
      <c r="Z3253" s="62" t="s">
        <v>5915</v>
      </c>
      <c r="AA3253" s="62" t="s">
        <v>5917</v>
      </c>
      <c r="AB3253" s="62" t="n">
        <v>1</v>
      </c>
      <c r="AC3253" s="62" t="n">
        <v>0</v>
      </c>
      <c r="AD3253" s="62" t="n">
        <v>1</v>
      </c>
      <c r="AE3253" s="62" t="n">
        <f aca="false">IF(AND(Dashboard!$C$9="Yes",AC3253=1),0,1)</f>
        <v>1</v>
      </c>
      <c r="AF3253" s="62" t="n">
        <v>0</v>
      </c>
    </row>
    <row r="3254" customFormat="false" ht="15" hidden="false" customHeight="false" outlineLevel="0" collapsed="false">
      <c r="A3254" s="62" t="n">
        <v>3253</v>
      </c>
      <c r="B3254" s="63" t="n">
        <v>46301.6584837963</v>
      </c>
      <c r="C3254" s="64" t="n">
        <v>46301</v>
      </c>
      <c r="D3254" s="62" t="s">
        <v>501</v>
      </c>
      <c r="E3254" s="62" t="s">
        <v>4524</v>
      </c>
      <c r="F3254" s="62" t="s">
        <v>4524</v>
      </c>
      <c r="G3254" s="62" t="s">
        <v>4525</v>
      </c>
      <c r="H3254" s="62" t="s">
        <v>44</v>
      </c>
      <c r="I3254" s="62" t="s">
        <v>49</v>
      </c>
      <c r="J3254" s="62" t="s">
        <v>146</v>
      </c>
      <c r="K3254" s="62" t="s">
        <v>147</v>
      </c>
      <c r="L3254" s="62" t="s">
        <v>148</v>
      </c>
      <c r="M3254" s="62" t="n">
        <v>0</v>
      </c>
      <c r="N3254" s="62" t="n">
        <v>1</v>
      </c>
      <c r="O3254" s="62" t="n">
        <v>1</v>
      </c>
      <c r="P3254" s="62" t="n">
        <v>1</v>
      </c>
      <c r="Q3254" s="62" t="n">
        <v>0</v>
      </c>
      <c r="R3254" s="62" t="n">
        <v>0</v>
      </c>
      <c r="S3254" s="62" t="n">
        <v>0</v>
      </c>
      <c r="T3254" s="62" t="n">
        <v>0</v>
      </c>
      <c r="U3254" s="62"/>
      <c r="V3254" s="62"/>
      <c r="W3254" s="62"/>
      <c r="X3254" s="62"/>
      <c r="Y3254" s="62"/>
      <c r="Z3254" s="62" t="s">
        <v>5918</v>
      </c>
      <c r="AA3254" s="62" t="s">
        <v>5919</v>
      </c>
      <c r="AB3254" s="62" t="n">
        <v>1</v>
      </c>
      <c r="AC3254" s="62" t="n">
        <v>0</v>
      </c>
      <c r="AD3254" s="62" t="n">
        <v>1</v>
      </c>
      <c r="AE3254" s="62" t="n">
        <f aca="false">IF(AND(Dashboard!$C$9="Yes",AC3254=1),0,1)</f>
        <v>1</v>
      </c>
      <c r="AF3254" s="62" t="n">
        <v>1</v>
      </c>
    </row>
    <row r="3255" customFormat="false" ht="15" hidden="false" customHeight="false" outlineLevel="0" collapsed="false">
      <c r="A3255" s="62" t="n">
        <v>3254</v>
      </c>
      <c r="B3255" s="63" t="n">
        <v>46301.6727662037</v>
      </c>
      <c r="C3255" s="64" t="n">
        <v>46301</v>
      </c>
      <c r="D3255" s="62" t="s">
        <v>501</v>
      </c>
      <c r="E3255" s="62" t="s">
        <v>4386</v>
      </c>
      <c r="F3255" s="62" t="s">
        <v>4386</v>
      </c>
      <c r="G3255" s="62" t="s">
        <v>4387</v>
      </c>
      <c r="H3255" s="62" t="s">
        <v>44</v>
      </c>
      <c r="I3255" s="62" t="s">
        <v>49</v>
      </c>
      <c r="J3255" s="62" t="s">
        <v>146</v>
      </c>
      <c r="K3255" s="62" t="s">
        <v>147</v>
      </c>
      <c r="L3255" s="62" t="s">
        <v>4</v>
      </c>
      <c r="M3255" s="62" t="n">
        <v>1</v>
      </c>
      <c r="N3255" s="62" t="n">
        <v>0</v>
      </c>
      <c r="O3255" s="62" t="n">
        <v>1</v>
      </c>
      <c r="P3255" s="62" t="n">
        <v>0</v>
      </c>
      <c r="Q3255" s="62" t="n">
        <v>0</v>
      </c>
      <c r="R3255" s="62" t="n">
        <v>0</v>
      </c>
      <c r="S3255" s="62" t="n">
        <v>0</v>
      </c>
      <c r="T3255" s="62" t="n">
        <v>0</v>
      </c>
      <c r="U3255" s="62" t="s">
        <v>2056</v>
      </c>
      <c r="V3255" s="62" t="s">
        <v>2057</v>
      </c>
      <c r="W3255" s="62" t="s">
        <v>15</v>
      </c>
      <c r="X3255" s="62" t="s">
        <v>2058</v>
      </c>
      <c r="Y3255" s="62" t="s">
        <v>2059</v>
      </c>
      <c r="Z3255" s="62" t="s">
        <v>5920</v>
      </c>
      <c r="AA3255" s="62" t="s">
        <v>5921</v>
      </c>
      <c r="AB3255" s="62" t="n">
        <v>1</v>
      </c>
      <c r="AC3255" s="62" t="n">
        <v>0</v>
      </c>
      <c r="AD3255" s="62" t="n">
        <v>1</v>
      </c>
      <c r="AE3255" s="62" t="n">
        <f aca="false">IF(AND(Dashboard!$C$9="Yes",AC3255=1),0,1)</f>
        <v>1</v>
      </c>
      <c r="AF3255" s="62" t="n">
        <v>1</v>
      </c>
    </row>
    <row r="3256" customFormat="false" ht="15" hidden="false" customHeight="false" outlineLevel="0" collapsed="false">
      <c r="A3256" s="62" t="n">
        <v>3255</v>
      </c>
      <c r="B3256" s="63" t="n">
        <v>46301.708900463</v>
      </c>
      <c r="C3256" s="64" t="n">
        <v>46301</v>
      </c>
      <c r="D3256" s="62" t="s">
        <v>501</v>
      </c>
      <c r="E3256" s="62" t="s">
        <v>4234</v>
      </c>
      <c r="F3256" s="62" t="s">
        <v>4234</v>
      </c>
      <c r="G3256" s="62" t="s">
        <v>4235</v>
      </c>
      <c r="H3256" s="62" t="s">
        <v>44</v>
      </c>
      <c r="I3256" s="62" t="s">
        <v>49</v>
      </c>
      <c r="J3256" s="62" t="s">
        <v>146</v>
      </c>
      <c r="K3256" s="62" t="s">
        <v>147</v>
      </c>
      <c r="L3256" s="62" t="s">
        <v>148</v>
      </c>
      <c r="M3256" s="62" t="n">
        <v>0</v>
      </c>
      <c r="N3256" s="62" t="n">
        <v>2</v>
      </c>
      <c r="O3256" s="62" t="n">
        <v>2</v>
      </c>
      <c r="P3256" s="62" t="n">
        <v>1</v>
      </c>
      <c r="Q3256" s="62" t="n">
        <v>1</v>
      </c>
      <c r="R3256" s="62" t="n">
        <v>0</v>
      </c>
      <c r="S3256" s="62" t="n">
        <v>0</v>
      </c>
      <c r="T3256" s="62" t="n">
        <v>0</v>
      </c>
      <c r="U3256" s="62"/>
      <c r="V3256" s="62"/>
      <c r="W3256" s="62"/>
      <c r="X3256" s="62"/>
      <c r="Y3256" s="62"/>
      <c r="Z3256" s="62" t="s">
        <v>5922</v>
      </c>
      <c r="AA3256" s="62" t="s">
        <v>5923</v>
      </c>
      <c r="AB3256" s="62" t="n">
        <v>1</v>
      </c>
      <c r="AC3256" s="62" t="n">
        <v>0</v>
      </c>
      <c r="AD3256" s="62" t="n">
        <v>1</v>
      </c>
      <c r="AE3256" s="62" t="n">
        <f aca="false">IF(AND(Dashboard!$C$9="Yes",AC3256=1),0,1)</f>
        <v>1</v>
      </c>
      <c r="AF3256" s="62" t="n">
        <v>1</v>
      </c>
    </row>
    <row r="3257" customFormat="false" ht="15" hidden="false" customHeight="false" outlineLevel="0" collapsed="false">
      <c r="A3257" s="62" t="n">
        <v>3256</v>
      </c>
      <c r="B3257" s="63" t="n">
        <v>46301.7132060185</v>
      </c>
      <c r="C3257" s="64" t="n">
        <v>46301</v>
      </c>
      <c r="D3257" s="62" t="s">
        <v>501</v>
      </c>
      <c r="E3257" s="62" t="s">
        <v>2156</v>
      </c>
      <c r="F3257" s="62" t="s">
        <v>2156</v>
      </c>
      <c r="G3257" s="62" t="s">
        <v>2157</v>
      </c>
      <c r="H3257" s="62" t="s">
        <v>52</v>
      </c>
      <c r="I3257" s="62" t="s">
        <v>47</v>
      </c>
      <c r="J3257" s="62" t="s">
        <v>146</v>
      </c>
      <c r="K3257" s="62" t="s">
        <v>209</v>
      </c>
      <c r="L3257" s="62" t="s">
        <v>148</v>
      </c>
      <c r="M3257" s="62" t="n">
        <v>0</v>
      </c>
      <c r="N3257" s="62" t="n">
        <v>1</v>
      </c>
      <c r="O3257" s="62" t="n">
        <v>1</v>
      </c>
      <c r="P3257" s="62" t="n">
        <v>0</v>
      </c>
      <c r="Q3257" s="62" t="n">
        <v>1</v>
      </c>
      <c r="R3257" s="62" t="n">
        <v>0</v>
      </c>
      <c r="S3257" s="62" t="n">
        <v>0</v>
      </c>
      <c r="T3257" s="62" t="n">
        <v>0</v>
      </c>
      <c r="U3257" s="62"/>
      <c r="V3257" s="62"/>
      <c r="W3257" s="62"/>
      <c r="X3257" s="62"/>
      <c r="Y3257" s="62"/>
      <c r="Z3257" s="62" t="s">
        <v>5924</v>
      </c>
      <c r="AA3257" s="62" t="s">
        <v>5925</v>
      </c>
      <c r="AB3257" s="62" t="n">
        <v>1</v>
      </c>
      <c r="AC3257" s="62" t="n">
        <v>0</v>
      </c>
      <c r="AD3257" s="62" t="n">
        <v>1</v>
      </c>
      <c r="AE3257" s="62" t="n">
        <f aca="false">IF(AND(Dashboard!$C$9="Yes",AC3257=1),0,1)</f>
        <v>1</v>
      </c>
      <c r="AF3257" s="62" t="n">
        <v>1</v>
      </c>
    </row>
    <row r="3258" customFormat="false" ht="15" hidden="false" customHeight="false" outlineLevel="0" collapsed="false">
      <c r="A3258" s="62" t="n">
        <v>3257</v>
      </c>
      <c r="B3258" s="63" t="n">
        <v>46301.723587963</v>
      </c>
      <c r="C3258" s="64" t="n">
        <v>46301</v>
      </c>
      <c r="D3258" s="62" t="s">
        <v>501</v>
      </c>
      <c r="E3258" s="62" t="s">
        <v>4506</v>
      </c>
      <c r="F3258" s="62" t="s">
        <v>4506</v>
      </c>
      <c r="G3258" s="62" t="s">
        <v>4507</v>
      </c>
      <c r="H3258" s="62" t="s">
        <v>44</v>
      </c>
      <c r="I3258" s="62" t="s">
        <v>49</v>
      </c>
      <c r="J3258" s="62" t="s">
        <v>146</v>
      </c>
      <c r="K3258" s="62" t="s">
        <v>147</v>
      </c>
      <c r="L3258" s="62" t="s">
        <v>4</v>
      </c>
      <c r="M3258" s="62" t="n">
        <v>1</v>
      </c>
      <c r="N3258" s="62" t="n">
        <v>0</v>
      </c>
      <c r="O3258" s="62" t="n">
        <v>1</v>
      </c>
      <c r="P3258" s="62" t="n">
        <v>0</v>
      </c>
      <c r="Q3258" s="62" t="n">
        <v>0</v>
      </c>
      <c r="R3258" s="62" t="n">
        <v>0</v>
      </c>
      <c r="S3258" s="62" t="n">
        <v>0</v>
      </c>
      <c r="T3258" s="62" t="n">
        <v>0</v>
      </c>
      <c r="U3258" s="62" t="s">
        <v>2056</v>
      </c>
      <c r="V3258" s="62" t="s">
        <v>2068</v>
      </c>
      <c r="W3258" s="62"/>
      <c r="X3258" s="62" t="s">
        <v>2103</v>
      </c>
      <c r="Y3258" s="62" t="s">
        <v>2059</v>
      </c>
      <c r="Z3258" s="62" t="s">
        <v>5926</v>
      </c>
      <c r="AA3258" s="62" t="s">
        <v>5927</v>
      </c>
      <c r="AB3258" s="62" t="n">
        <v>1</v>
      </c>
      <c r="AC3258" s="62" t="n">
        <v>0</v>
      </c>
      <c r="AD3258" s="62" t="n">
        <v>1</v>
      </c>
      <c r="AE3258" s="62" t="n">
        <f aca="false">IF(AND(Dashboard!$C$9="Yes",AC3258=1),0,1)</f>
        <v>1</v>
      </c>
      <c r="AF3258" s="62" t="n">
        <v>1</v>
      </c>
    </row>
    <row r="3259" customFormat="false" ht="15" hidden="false" customHeight="false" outlineLevel="0" collapsed="false">
      <c r="A3259" s="62" t="n">
        <v>3258</v>
      </c>
      <c r="B3259" s="63" t="n">
        <v>46301.7736574074</v>
      </c>
      <c r="C3259" s="64" t="n">
        <v>46301</v>
      </c>
      <c r="D3259" s="62" t="s">
        <v>501</v>
      </c>
      <c r="E3259" s="62" t="s">
        <v>4234</v>
      </c>
      <c r="F3259" s="62" t="s">
        <v>4234</v>
      </c>
      <c r="G3259" s="62" t="s">
        <v>4235</v>
      </c>
      <c r="H3259" s="62" t="s">
        <v>44</v>
      </c>
      <c r="I3259" s="62" t="s">
        <v>49</v>
      </c>
      <c r="J3259" s="62" t="s">
        <v>146</v>
      </c>
      <c r="K3259" s="62" t="s">
        <v>147</v>
      </c>
      <c r="L3259" s="62" t="s">
        <v>148</v>
      </c>
      <c r="M3259" s="62" t="n">
        <v>0</v>
      </c>
      <c r="N3259" s="62" t="n">
        <v>1</v>
      </c>
      <c r="O3259" s="62" t="n">
        <v>1</v>
      </c>
      <c r="P3259" s="62" t="n">
        <v>1</v>
      </c>
      <c r="Q3259" s="62" t="n">
        <v>0</v>
      </c>
      <c r="R3259" s="62" t="n">
        <v>0</v>
      </c>
      <c r="S3259" s="62" t="n">
        <v>0</v>
      </c>
      <c r="T3259" s="62" t="n">
        <v>0</v>
      </c>
      <c r="U3259" s="62"/>
      <c r="V3259" s="62"/>
      <c r="W3259" s="62"/>
      <c r="X3259" s="62"/>
      <c r="Y3259" s="62"/>
      <c r="Z3259" s="62" t="s">
        <v>5928</v>
      </c>
      <c r="AA3259" s="62" t="s">
        <v>5929</v>
      </c>
      <c r="AB3259" s="62" t="n">
        <v>1</v>
      </c>
      <c r="AC3259" s="62" t="n">
        <v>0</v>
      </c>
      <c r="AD3259" s="62" t="n">
        <v>1</v>
      </c>
      <c r="AE3259" s="62" t="n">
        <f aca="false">IF(AND(Dashboard!$C$9="Yes",AC3259=1),0,1)</f>
        <v>1</v>
      </c>
      <c r="AF3259" s="62" t="n">
        <v>0</v>
      </c>
    </row>
    <row r="3260" customFormat="false" ht="15" hidden="false" customHeight="false" outlineLevel="0" collapsed="false">
      <c r="A3260" s="62" t="n">
        <v>3259</v>
      </c>
      <c r="B3260" s="63" t="n">
        <v>46301.8204050926</v>
      </c>
      <c r="C3260" s="64" t="n">
        <v>46301</v>
      </c>
      <c r="D3260" s="62" t="s">
        <v>501</v>
      </c>
      <c r="E3260" s="62" t="s">
        <v>1749</v>
      </c>
      <c r="F3260" s="62" t="s">
        <v>1749</v>
      </c>
      <c r="G3260" s="62" t="s">
        <v>1750</v>
      </c>
      <c r="H3260" s="62" t="s">
        <v>57</v>
      </c>
      <c r="I3260" s="62" t="s">
        <v>47</v>
      </c>
      <c r="J3260" s="62" t="s">
        <v>146</v>
      </c>
      <c r="K3260" s="62" t="s">
        <v>209</v>
      </c>
      <c r="L3260" s="62" t="s">
        <v>148</v>
      </c>
      <c r="M3260" s="62" t="n">
        <v>0</v>
      </c>
      <c r="N3260" s="62" t="n">
        <v>2</v>
      </c>
      <c r="O3260" s="62" t="n">
        <v>2</v>
      </c>
      <c r="P3260" s="62" t="n">
        <v>1</v>
      </c>
      <c r="Q3260" s="62" t="n">
        <v>1</v>
      </c>
      <c r="R3260" s="62" t="n">
        <v>0</v>
      </c>
      <c r="S3260" s="62" t="n">
        <v>0</v>
      </c>
      <c r="T3260" s="62" t="n">
        <v>0</v>
      </c>
      <c r="U3260" s="62"/>
      <c r="V3260" s="62"/>
      <c r="W3260" s="62"/>
      <c r="X3260" s="62"/>
      <c r="Y3260" s="62"/>
      <c r="Z3260" s="62" t="s">
        <v>5930</v>
      </c>
      <c r="AA3260" s="62" t="s">
        <v>5931</v>
      </c>
      <c r="AB3260" s="62" t="n">
        <v>1</v>
      </c>
      <c r="AC3260" s="62" t="n">
        <v>0</v>
      </c>
      <c r="AD3260" s="62" t="n">
        <v>1</v>
      </c>
      <c r="AE3260" s="62" t="n">
        <f aca="false">IF(AND(Dashboard!$C$9="Yes",AC3260=1),0,1)</f>
        <v>1</v>
      </c>
      <c r="AF3260" s="62" t="n">
        <v>1</v>
      </c>
    </row>
    <row r="3261" customFormat="false" ht="15" hidden="false" customHeight="false" outlineLevel="0" collapsed="false">
      <c r="A3261" s="62" t="n">
        <v>3260</v>
      </c>
      <c r="B3261" s="63" t="n">
        <v>46301.8661921296</v>
      </c>
      <c r="C3261" s="64" t="n">
        <v>46301</v>
      </c>
      <c r="D3261" s="62" t="s">
        <v>501</v>
      </c>
      <c r="E3261" s="62" t="s">
        <v>3018</v>
      </c>
      <c r="F3261" s="62" t="s">
        <v>3018</v>
      </c>
      <c r="G3261" s="62" t="s">
        <v>3019</v>
      </c>
      <c r="H3261" s="62" t="s">
        <v>58</v>
      </c>
      <c r="I3261" s="62" t="s">
        <v>49</v>
      </c>
      <c r="J3261" s="62" t="s">
        <v>146</v>
      </c>
      <c r="K3261" s="62" t="s">
        <v>175</v>
      </c>
      <c r="L3261" s="62" t="s">
        <v>148</v>
      </c>
      <c r="M3261" s="62" t="n">
        <v>0</v>
      </c>
      <c r="N3261" s="62" t="n">
        <v>1</v>
      </c>
      <c r="O3261" s="62" t="n">
        <v>1</v>
      </c>
      <c r="P3261" s="62" t="n">
        <v>0</v>
      </c>
      <c r="Q3261" s="62" t="n">
        <v>0</v>
      </c>
      <c r="R3261" s="62" t="n">
        <v>0</v>
      </c>
      <c r="S3261" s="62" t="n">
        <v>0</v>
      </c>
      <c r="T3261" s="62" t="n">
        <v>1</v>
      </c>
      <c r="U3261" s="62"/>
      <c r="V3261" s="62"/>
      <c r="W3261" s="62"/>
      <c r="X3261" s="62"/>
      <c r="Y3261" s="62"/>
      <c r="Z3261" s="62" t="s">
        <v>5932</v>
      </c>
      <c r="AA3261" s="62" t="s">
        <v>5933</v>
      </c>
      <c r="AB3261" s="62" t="n">
        <v>1</v>
      </c>
      <c r="AC3261" s="62" t="n">
        <v>0</v>
      </c>
      <c r="AD3261" s="62" t="n">
        <v>1</v>
      </c>
      <c r="AE3261" s="62" t="n">
        <f aca="false">IF(AND(Dashboard!$C$9="Yes",AC3261=1),0,1)</f>
        <v>1</v>
      </c>
      <c r="AF3261" s="62" t="n">
        <v>1</v>
      </c>
    </row>
    <row r="3262" customFormat="false" ht="15" hidden="false" customHeight="false" outlineLevel="0" collapsed="false">
      <c r="A3262" s="62" t="n">
        <v>3261</v>
      </c>
      <c r="B3262" s="63" t="n">
        <v>46301.8828009259</v>
      </c>
      <c r="C3262" s="64" t="n">
        <v>46301</v>
      </c>
      <c r="D3262" s="62" t="s">
        <v>501</v>
      </c>
      <c r="E3262" s="62" t="s">
        <v>2119</v>
      </c>
      <c r="F3262" s="62" t="s">
        <v>2119</v>
      </c>
      <c r="G3262" s="62" t="s">
        <v>2120</v>
      </c>
      <c r="H3262" s="62" t="s">
        <v>52</v>
      </c>
      <c r="I3262" s="62" t="s">
        <v>47</v>
      </c>
      <c r="J3262" s="62" t="s">
        <v>146</v>
      </c>
      <c r="K3262" s="62" t="s">
        <v>147</v>
      </c>
      <c r="L3262" s="62" t="s">
        <v>4</v>
      </c>
      <c r="M3262" s="62" t="n">
        <v>1</v>
      </c>
      <c r="N3262" s="62" t="n">
        <v>0</v>
      </c>
      <c r="O3262" s="62" t="n">
        <v>1</v>
      </c>
      <c r="P3262" s="62" t="n">
        <v>0</v>
      </c>
      <c r="Q3262" s="62" t="n">
        <v>0</v>
      </c>
      <c r="R3262" s="62" t="n">
        <v>0</v>
      </c>
      <c r="S3262" s="62" t="n">
        <v>0</v>
      </c>
      <c r="T3262" s="62" t="n">
        <v>0</v>
      </c>
      <c r="U3262" s="62" t="s">
        <v>2056</v>
      </c>
      <c r="V3262" s="62" t="s">
        <v>2057</v>
      </c>
      <c r="W3262" s="62" t="s">
        <v>2056</v>
      </c>
      <c r="X3262" s="62" t="s">
        <v>2058</v>
      </c>
      <c r="Y3262" s="62" t="s">
        <v>2181</v>
      </c>
      <c r="Z3262" s="62" t="s">
        <v>5934</v>
      </c>
      <c r="AA3262" s="62" t="s">
        <v>5935</v>
      </c>
      <c r="AB3262" s="62" t="n">
        <v>1</v>
      </c>
      <c r="AC3262" s="62" t="n">
        <v>0</v>
      </c>
      <c r="AD3262" s="62" t="n">
        <v>1</v>
      </c>
      <c r="AE3262" s="62" t="n">
        <f aca="false">IF(AND(Dashboard!$C$9="Yes",AC3262=1),0,1)</f>
        <v>1</v>
      </c>
      <c r="AF3262" s="62" t="n">
        <v>1</v>
      </c>
    </row>
    <row r="3263" customFormat="false" ht="15" hidden="false" customHeight="false" outlineLevel="0" collapsed="false">
      <c r="A3263" s="62" t="n">
        <v>3262</v>
      </c>
      <c r="B3263" s="63" t="n">
        <v>46301.8864814815</v>
      </c>
      <c r="C3263" s="64" t="n">
        <v>46301</v>
      </c>
      <c r="D3263" s="62" t="s">
        <v>501</v>
      </c>
      <c r="E3263" s="62" t="s">
        <v>2540</v>
      </c>
      <c r="F3263" s="62" t="s">
        <v>2540</v>
      </c>
      <c r="G3263" s="62" t="s">
        <v>2541</v>
      </c>
      <c r="H3263" s="62" t="s">
        <v>48</v>
      </c>
      <c r="I3263" s="62" t="s">
        <v>49</v>
      </c>
      <c r="J3263" s="62" t="s">
        <v>146</v>
      </c>
      <c r="K3263" s="62" t="s">
        <v>209</v>
      </c>
      <c r="L3263" s="62" t="s">
        <v>148</v>
      </c>
      <c r="M3263" s="62" t="n">
        <v>0</v>
      </c>
      <c r="N3263" s="62" t="n">
        <v>1</v>
      </c>
      <c r="O3263" s="62" t="n">
        <v>1</v>
      </c>
      <c r="P3263" s="62" t="n">
        <v>0</v>
      </c>
      <c r="Q3263" s="62" t="n">
        <v>1</v>
      </c>
      <c r="R3263" s="62" t="n">
        <v>0</v>
      </c>
      <c r="S3263" s="62" t="n">
        <v>0</v>
      </c>
      <c r="T3263" s="62" t="n">
        <v>0</v>
      </c>
      <c r="U3263" s="62"/>
      <c r="V3263" s="62"/>
      <c r="W3263" s="62"/>
      <c r="X3263" s="62"/>
      <c r="Y3263" s="62"/>
      <c r="Z3263" s="62" t="s">
        <v>5936</v>
      </c>
      <c r="AA3263" s="62" t="s">
        <v>5937</v>
      </c>
      <c r="AB3263" s="62" t="n">
        <v>1</v>
      </c>
      <c r="AC3263" s="62" t="n">
        <v>0</v>
      </c>
      <c r="AD3263" s="62" t="n">
        <v>1</v>
      </c>
      <c r="AE3263" s="62" t="n">
        <f aca="false">IF(AND(Dashboard!$C$9="Yes",AC3263=1),0,1)</f>
        <v>1</v>
      </c>
      <c r="AF3263" s="62" t="n">
        <v>1</v>
      </c>
    </row>
    <row r="3264" customFormat="false" ht="15" hidden="false" customHeight="false" outlineLevel="0" collapsed="false">
      <c r="A3264" s="62" t="n">
        <v>3263</v>
      </c>
      <c r="B3264" s="63" t="n">
        <v>46301.8956134259</v>
      </c>
      <c r="C3264" s="64" t="n">
        <v>46301</v>
      </c>
      <c r="D3264" s="62" t="s">
        <v>501</v>
      </c>
      <c r="E3264" s="62" t="s">
        <v>3874</v>
      </c>
      <c r="F3264" s="62" t="s">
        <v>3874</v>
      </c>
      <c r="G3264" s="62" t="s">
        <v>3875</v>
      </c>
      <c r="H3264" s="62" t="s">
        <v>59</v>
      </c>
      <c r="I3264" s="62" t="s">
        <v>47</v>
      </c>
      <c r="J3264" s="62" t="s">
        <v>146</v>
      </c>
      <c r="K3264" s="62" t="s">
        <v>209</v>
      </c>
      <c r="L3264" s="62" t="s">
        <v>4</v>
      </c>
      <c r="M3264" s="62" t="n">
        <v>1</v>
      </c>
      <c r="N3264" s="62" t="n">
        <v>0</v>
      </c>
      <c r="O3264" s="62" t="n">
        <v>1</v>
      </c>
      <c r="P3264" s="62" t="n">
        <v>0</v>
      </c>
      <c r="Q3264" s="62" t="n">
        <v>0</v>
      </c>
      <c r="R3264" s="62" t="n">
        <v>0</v>
      </c>
      <c r="S3264" s="62" t="n">
        <v>0</v>
      </c>
      <c r="T3264" s="62" t="n">
        <v>0</v>
      </c>
      <c r="U3264" s="62" t="s">
        <v>2056</v>
      </c>
      <c r="V3264" s="62" t="s">
        <v>2057</v>
      </c>
      <c r="W3264" s="62" t="s">
        <v>2056</v>
      </c>
      <c r="X3264" s="62" t="s">
        <v>2125</v>
      </c>
      <c r="Y3264" s="62" t="s">
        <v>2059</v>
      </c>
      <c r="Z3264" s="62" t="s">
        <v>5938</v>
      </c>
      <c r="AA3264" s="62" t="s">
        <v>5939</v>
      </c>
      <c r="AB3264" s="62" t="n">
        <v>1</v>
      </c>
      <c r="AC3264" s="62" t="n">
        <v>0</v>
      </c>
      <c r="AD3264" s="62" t="n">
        <v>1</v>
      </c>
      <c r="AE3264" s="62" t="n">
        <f aca="false">IF(AND(Dashboard!$C$9="Yes",AC3264=1),0,1)</f>
        <v>1</v>
      </c>
      <c r="AF3264" s="62" t="n">
        <v>1</v>
      </c>
    </row>
    <row r="3265" customFormat="false" ht="15" hidden="false" customHeight="false" outlineLevel="0" collapsed="false">
      <c r="A3265" s="62" t="n">
        <v>3264</v>
      </c>
      <c r="B3265" s="63" t="n">
        <v>46301.9062384259</v>
      </c>
      <c r="C3265" s="64" t="n">
        <v>46301</v>
      </c>
      <c r="D3265" s="62" t="s">
        <v>501</v>
      </c>
      <c r="E3265" s="62" t="s">
        <v>4242</v>
      </c>
      <c r="F3265" s="62" t="s">
        <v>4242</v>
      </c>
      <c r="G3265" s="62" t="s">
        <v>4243</v>
      </c>
      <c r="H3265" s="62" t="s">
        <v>44</v>
      </c>
      <c r="I3265" s="62" t="s">
        <v>49</v>
      </c>
      <c r="J3265" s="62" t="s">
        <v>146</v>
      </c>
      <c r="K3265" s="62" t="s">
        <v>147</v>
      </c>
      <c r="L3265" s="62" t="s">
        <v>148</v>
      </c>
      <c r="M3265" s="62" t="n">
        <v>0</v>
      </c>
      <c r="N3265" s="62" t="n">
        <v>1</v>
      </c>
      <c r="O3265" s="62" t="n">
        <v>1</v>
      </c>
      <c r="P3265" s="62" t="n">
        <v>1</v>
      </c>
      <c r="Q3265" s="62" t="n">
        <v>0</v>
      </c>
      <c r="R3265" s="62" t="n">
        <v>0</v>
      </c>
      <c r="S3265" s="62" t="n">
        <v>0</v>
      </c>
      <c r="T3265" s="62" t="n">
        <v>0</v>
      </c>
      <c r="U3265" s="62"/>
      <c r="V3265" s="62"/>
      <c r="W3265" s="62"/>
      <c r="X3265" s="62"/>
      <c r="Y3265" s="62"/>
      <c r="Z3265" s="62" t="s">
        <v>5940</v>
      </c>
      <c r="AA3265" s="62" t="s">
        <v>5941</v>
      </c>
      <c r="AB3265" s="62" t="n">
        <v>1</v>
      </c>
      <c r="AC3265" s="62" t="n">
        <v>0</v>
      </c>
      <c r="AD3265" s="62" t="n">
        <v>1</v>
      </c>
      <c r="AE3265" s="62" t="n">
        <f aca="false">IF(AND(Dashboard!$C$9="Yes",AC3265=1),0,1)</f>
        <v>1</v>
      </c>
      <c r="AF3265" s="62" t="n">
        <v>1</v>
      </c>
    </row>
    <row r="3266" customFormat="false" ht="15" hidden="false" customHeight="false" outlineLevel="0" collapsed="false">
      <c r="A3266" s="62" t="n">
        <v>3265</v>
      </c>
      <c r="B3266" s="63" t="n">
        <v>46301.9178472222</v>
      </c>
      <c r="C3266" s="64" t="n">
        <v>46301</v>
      </c>
      <c r="D3266" s="62" t="s">
        <v>501</v>
      </c>
      <c r="E3266" s="62" t="s">
        <v>4242</v>
      </c>
      <c r="F3266" s="62" t="s">
        <v>4242</v>
      </c>
      <c r="G3266" s="62" t="s">
        <v>4243</v>
      </c>
      <c r="H3266" s="62" t="s">
        <v>44</v>
      </c>
      <c r="I3266" s="62" t="s">
        <v>49</v>
      </c>
      <c r="J3266" s="62" t="s">
        <v>146</v>
      </c>
      <c r="K3266" s="62" t="s">
        <v>147</v>
      </c>
      <c r="L3266" s="62" t="s">
        <v>148</v>
      </c>
      <c r="M3266" s="62" t="n">
        <v>0</v>
      </c>
      <c r="N3266" s="62" t="n">
        <v>1</v>
      </c>
      <c r="O3266" s="62" t="n">
        <v>1</v>
      </c>
      <c r="P3266" s="62" t="n">
        <v>1</v>
      </c>
      <c r="Q3266" s="62" t="n">
        <v>0</v>
      </c>
      <c r="R3266" s="62" t="n">
        <v>0</v>
      </c>
      <c r="S3266" s="62" t="n">
        <v>0</v>
      </c>
      <c r="T3266" s="62" t="n">
        <v>0</v>
      </c>
      <c r="U3266" s="62"/>
      <c r="V3266" s="62"/>
      <c r="W3266" s="62"/>
      <c r="X3266" s="62"/>
      <c r="Y3266" s="62"/>
      <c r="Z3266" s="62" t="s">
        <v>5942</v>
      </c>
      <c r="AA3266" s="62" t="s">
        <v>5943</v>
      </c>
      <c r="AB3266" s="62" t="n">
        <v>1</v>
      </c>
      <c r="AC3266" s="62" t="n">
        <v>0</v>
      </c>
      <c r="AD3266" s="62" t="n">
        <v>1</v>
      </c>
      <c r="AE3266" s="62" t="n">
        <f aca="false">IF(AND(Dashboard!$C$9="Yes",AC3266=1),0,1)</f>
        <v>1</v>
      </c>
      <c r="AF3266" s="62" t="n">
        <v>0</v>
      </c>
    </row>
    <row r="3267" customFormat="false" ht="15" hidden="false" customHeight="false" outlineLevel="0" collapsed="false">
      <c r="A3267" s="62" t="n">
        <v>3266</v>
      </c>
      <c r="B3267" s="63" t="n">
        <v>46301.9388194445</v>
      </c>
      <c r="C3267" s="64" t="n">
        <v>46301</v>
      </c>
      <c r="D3267" s="62" t="s">
        <v>501</v>
      </c>
      <c r="E3267" s="62" t="s">
        <v>4234</v>
      </c>
      <c r="F3267" s="62" t="s">
        <v>4234</v>
      </c>
      <c r="G3267" s="62" t="s">
        <v>4235</v>
      </c>
      <c r="H3267" s="62" t="s">
        <v>44</v>
      </c>
      <c r="I3267" s="62" t="s">
        <v>49</v>
      </c>
      <c r="J3267" s="62" t="s">
        <v>146</v>
      </c>
      <c r="K3267" s="62" t="s">
        <v>147</v>
      </c>
      <c r="L3267" s="62" t="s">
        <v>148</v>
      </c>
      <c r="M3267" s="62" t="n">
        <v>0</v>
      </c>
      <c r="N3267" s="62" t="n">
        <v>1</v>
      </c>
      <c r="O3267" s="62" t="n">
        <v>1</v>
      </c>
      <c r="P3267" s="62" t="n">
        <v>0</v>
      </c>
      <c r="Q3267" s="62" t="n">
        <v>1</v>
      </c>
      <c r="R3267" s="62" t="n">
        <v>0</v>
      </c>
      <c r="S3267" s="62" t="n">
        <v>0</v>
      </c>
      <c r="T3267" s="62" t="n">
        <v>0</v>
      </c>
      <c r="U3267" s="62"/>
      <c r="V3267" s="62"/>
      <c r="W3267" s="62"/>
      <c r="X3267" s="62"/>
      <c r="Y3267" s="62"/>
      <c r="Z3267" s="62" t="s">
        <v>5944</v>
      </c>
      <c r="AA3267" s="62" t="s">
        <v>5945</v>
      </c>
      <c r="AB3267" s="62" t="n">
        <v>1</v>
      </c>
      <c r="AC3267" s="62" t="n">
        <v>0</v>
      </c>
      <c r="AD3267" s="62" t="n">
        <v>1</v>
      </c>
      <c r="AE3267" s="62" t="n">
        <f aca="false">IF(AND(Dashboard!$C$9="Yes",AC3267=1),0,1)</f>
        <v>1</v>
      </c>
      <c r="AF3267" s="62" t="n">
        <v>0</v>
      </c>
    </row>
    <row r="3268" customFormat="false" ht="15" hidden="false" customHeight="false" outlineLevel="0" collapsed="false">
      <c r="A3268" s="62" t="n">
        <v>3267</v>
      </c>
      <c r="B3268" s="63" t="n">
        <v>46301.944224537</v>
      </c>
      <c r="C3268" s="64" t="n">
        <v>46301</v>
      </c>
      <c r="D3268" s="62" t="s">
        <v>501</v>
      </c>
      <c r="E3268" s="62" t="s">
        <v>4280</v>
      </c>
      <c r="F3268" s="62" t="s">
        <v>4280</v>
      </c>
      <c r="G3268" s="62" t="s">
        <v>4281</v>
      </c>
      <c r="H3268" s="62" t="s">
        <v>44</v>
      </c>
      <c r="I3268" s="62" t="s">
        <v>49</v>
      </c>
      <c r="J3268" s="62" t="s">
        <v>146</v>
      </c>
      <c r="K3268" s="62" t="s">
        <v>147</v>
      </c>
      <c r="L3268" s="62" t="s">
        <v>148</v>
      </c>
      <c r="M3268" s="62" t="n">
        <v>0</v>
      </c>
      <c r="N3268" s="62" t="n">
        <v>1</v>
      </c>
      <c r="O3268" s="62" t="n">
        <v>1</v>
      </c>
      <c r="P3268" s="62" t="n">
        <v>0</v>
      </c>
      <c r="Q3268" s="62" t="n">
        <v>0</v>
      </c>
      <c r="R3268" s="62" t="n">
        <v>0</v>
      </c>
      <c r="S3268" s="62" t="n">
        <v>0</v>
      </c>
      <c r="T3268" s="62" t="n">
        <v>1</v>
      </c>
      <c r="U3268" s="62"/>
      <c r="V3268" s="62"/>
      <c r="W3268" s="62"/>
      <c r="X3268" s="62"/>
      <c r="Y3268" s="62"/>
      <c r="Z3268" s="62" t="s">
        <v>5946</v>
      </c>
      <c r="AA3268" s="62" t="s">
        <v>5947</v>
      </c>
      <c r="AB3268" s="62" t="n">
        <v>1</v>
      </c>
      <c r="AC3268" s="62" t="n">
        <v>0</v>
      </c>
      <c r="AD3268" s="62" t="n">
        <v>1</v>
      </c>
      <c r="AE3268" s="62" t="n">
        <f aca="false">IF(AND(Dashboard!$C$9="Yes",AC3268=1),0,1)</f>
        <v>1</v>
      </c>
      <c r="AF3268" s="62" t="n">
        <v>1</v>
      </c>
    </row>
    <row r="3269" customFormat="false" ht="15" hidden="false" customHeight="false" outlineLevel="0" collapsed="false">
      <c r="A3269" s="62" t="n">
        <v>3268</v>
      </c>
      <c r="B3269" s="63" t="n">
        <v>46301.9538657407</v>
      </c>
      <c r="C3269" s="64" t="n">
        <v>46301</v>
      </c>
      <c r="D3269" s="62" t="s">
        <v>501</v>
      </c>
      <c r="E3269" s="62" t="s">
        <v>5948</v>
      </c>
      <c r="F3269" s="62" t="s">
        <v>5948</v>
      </c>
      <c r="G3269" s="62" t="s">
        <v>5949</v>
      </c>
      <c r="H3269" s="62" t="s">
        <v>50</v>
      </c>
      <c r="I3269" s="62" t="s">
        <v>49</v>
      </c>
      <c r="J3269" s="62" t="s">
        <v>3708</v>
      </c>
      <c r="K3269" s="62" t="s">
        <v>209</v>
      </c>
      <c r="L3269" s="62" t="s">
        <v>4</v>
      </c>
      <c r="M3269" s="62" t="n">
        <v>1</v>
      </c>
      <c r="N3269" s="62" t="n">
        <v>0</v>
      </c>
      <c r="O3269" s="62" t="n">
        <v>1</v>
      </c>
      <c r="P3269" s="62" t="n">
        <v>0</v>
      </c>
      <c r="Q3269" s="62" t="n">
        <v>0</v>
      </c>
      <c r="R3269" s="62" t="n">
        <v>0</v>
      </c>
      <c r="S3269" s="62" t="n">
        <v>0</v>
      </c>
      <c r="T3269" s="62" t="n">
        <v>0</v>
      </c>
      <c r="U3269" s="62" t="s">
        <v>2056</v>
      </c>
      <c r="V3269" s="62" t="s">
        <v>2057</v>
      </c>
      <c r="W3269" s="62" t="s">
        <v>2056</v>
      </c>
      <c r="X3269" s="62" t="s">
        <v>2125</v>
      </c>
      <c r="Y3269" s="62" t="s">
        <v>2181</v>
      </c>
      <c r="Z3269" s="62" t="s">
        <v>5950</v>
      </c>
      <c r="AA3269" s="62" t="s">
        <v>5951</v>
      </c>
      <c r="AB3269" s="62" t="n">
        <v>1</v>
      </c>
      <c r="AC3269" s="62" t="n">
        <v>0</v>
      </c>
      <c r="AD3269" s="62" t="n">
        <v>1</v>
      </c>
      <c r="AE3269" s="62" t="n">
        <f aca="false">IF(AND(Dashboard!$C$9="Yes",AC3269=1),0,1)</f>
        <v>1</v>
      </c>
      <c r="AF3269" s="62" t="n">
        <v>1</v>
      </c>
    </row>
    <row r="3270" customFormat="false" ht="15" hidden="false" customHeight="false" outlineLevel="0" collapsed="false">
      <c r="A3270" s="62" t="n">
        <v>3269</v>
      </c>
      <c r="B3270" s="63" t="n">
        <v>46301.9644212963</v>
      </c>
      <c r="C3270" s="64" t="n">
        <v>46301</v>
      </c>
      <c r="D3270" s="62" t="s">
        <v>501</v>
      </c>
      <c r="E3270" s="62" t="s">
        <v>3197</v>
      </c>
      <c r="F3270" s="62" t="s">
        <v>3197</v>
      </c>
      <c r="G3270" s="62" t="s">
        <v>3198</v>
      </c>
      <c r="H3270" s="62" t="s">
        <v>44</v>
      </c>
      <c r="I3270" s="62" t="s">
        <v>49</v>
      </c>
      <c r="J3270" s="62" t="s">
        <v>146</v>
      </c>
      <c r="K3270" s="62" t="s">
        <v>147</v>
      </c>
      <c r="L3270" s="62" t="s">
        <v>4</v>
      </c>
      <c r="M3270" s="62" t="n">
        <v>1</v>
      </c>
      <c r="N3270" s="62" t="n">
        <v>0</v>
      </c>
      <c r="O3270" s="62" t="n">
        <v>1</v>
      </c>
      <c r="P3270" s="62" t="n">
        <v>0</v>
      </c>
      <c r="Q3270" s="62" t="n">
        <v>0</v>
      </c>
      <c r="R3270" s="62" t="n">
        <v>0</v>
      </c>
      <c r="S3270" s="62" t="n">
        <v>0</v>
      </c>
      <c r="T3270" s="62" t="n">
        <v>0</v>
      </c>
      <c r="U3270" s="62" t="s">
        <v>2056</v>
      </c>
      <c r="V3270" s="62" t="s">
        <v>2057</v>
      </c>
      <c r="W3270" s="62" t="s">
        <v>15</v>
      </c>
      <c r="X3270" s="62" t="s">
        <v>2125</v>
      </c>
      <c r="Y3270" s="62" t="s">
        <v>2103</v>
      </c>
      <c r="Z3270" s="62" t="s">
        <v>5952</v>
      </c>
      <c r="AA3270" s="62" t="s">
        <v>5953</v>
      </c>
      <c r="AB3270" s="62" t="n">
        <v>1</v>
      </c>
      <c r="AC3270" s="62" t="n">
        <v>0</v>
      </c>
      <c r="AD3270" s="62" t="n">
        <v>1</v>
      </c>
      <c r="AE3270" s="62" t="n">
        <f aca="false">IF(AND(Dashboard!$C$9="Yes",AC3270=1),0,1)</f>
        <v>1</v>
      </c>
      <c r="AF3270" s="62" t="n">
        <v>1</v>
      </c>
    </row>
    <row r="3271" customFormat="false" ht="15" hidden="false" customHeight="false" outlineLevel="0" collapsed="false">
      <c r="A3271" s="62" t="n">
        <v>3270</v>
      </c>
      <c r="B3271" s="63" t="n">
        <v>46301.9723263889</v>
      </c>
      <c r="C3271" s="64" t="n">
        <v>46301</v>
      </c>
      <c r="D3271" s="62" t="s">
        <v>501</v>
      </c>
      <c r="E3271" s="62" t="s">
        <v>4280</v>
      </c>
      <c r="F3271" s="62" t="s">
        <v>4280</v>
      </c>
      <c r="G3271" s="62" t="s">
        <v>4281</v>
      </c>
      <c r="H3271" s="62" t="s">
        <v>44</v>
      </c>
      <c r="I3271" s="62" t="s">
        <v>49</v>
      </c>
      <c r="J3271" s="62" t="s">
        <v>146</v>
      </c>
      <c r="K3271" s="62" t="s">
        <v>147</v>
      </c>
      <c r="L3271" s="62" t="s">
        <v>148</v>
      </c>
      <c r="M3271" s="62" t="n">
        <v>0</v>
      </c>
      <c r="N3271" s="62" t="n">
        <v>1</v>
      </c>
      <c r="O3271" s="62" t="n">
        <v>1</v>
      </c>
      <c r="P3271" s="62" t="n">
        <v>0</v>
      </c>
      <c r="Q3271" s="62" t="n">
        <v>0</v>
      </c>
      <c r="R3271" s="62" t="n">
        <v>0</v>
      </c>
      <c r="S3271" s="62" t="n">
        <v>0</v>
      </c>
      <c r="T3271" s="62" t="n">
        <v>1</v>
      </c>
      <c r="U3271" s="62"/>
      <c r="V3271" s="62"/>
      <c r="W3271" s="62"/>
      <c r="X3271" s="62"/>
      <c r="Y3271" s="62"/>
      <c r="Z3271" s="62" t="s">
        <v>5954</v>
      </c>
      <c r="AA3271" s="62" t="s">
        <v>5955</v>
      </c>
      <c r="AB3271" s="62" t="n">
        <v>1</v>
      </c>
      <c r="AC3271" s="62" t="n">
        <v>0</v>
      </c>
      <c r="AD3271" s="62" t="n">
        <v>1</v>
      </c>
      <c r="AE3271" s="62" t="n">
        <f aca="false">IF(AND(Dashboard!$C$9="Yes",AC3271=1),0,1)</f>
        <v>1</v>
      </c>
      <c r="AF3271" s="62" t="n">
        <v>0</v>
      </c>
    </row>
    <row r="3272" customFormat="false" ht="15" hidden="false" customHeight="false" outlineLevel="0" collapsed="false">
      <c r="A3272" s="62" t="n">
        <v>3271</v>
      </c>
      <c r="B3272" s="63" t="n">
        <v>46301.9731712963</v>
      </c>
      <c r="C3272" s="64" t="n">
        <v>46301</v>
      </c>
      <c r="D3272" s="62" t="s">
        <v>501</v>
      </c>
      <c r="E3272" s="62" t="s">
        <v>5956</v>
      </c>
      <c r="F3272" s="62" t="s">
        <v>5957</v>
      </c>
      <c r="G3272" s="62" t="s">
        <v>153</v>
      </c>
      <c r="H3272" s="62" t="s">
        <v>153</v>
      </c>
      <c r="I3272" s="62" t="s">
        <v>153</v>
      </c>
      <c r="J3272" s="62" t="s">
        <v>64</v>
      </c>
      <c r="K3272" s="62" t="s">
        <v>64</v>
      </c>
      <c r="L3272" s="62" t="s">
        <v>148</v>
      </c>
      <c r="M3272" s="62" t="n">
        <v>0</v>
      </c>
      <c r="N3272" s="62" t="n">
        <v>1</v>
      </c>
      <c r="O3272" s="62" t="n">
        <v>1</v>
      </c>
      <c r="P3272" s="62" t="n">
        <v>1</v>
      </c>
      <c r="Q3272" s="62" t="n">
        <v>0</v>
      </c>
      <c r="R3272" s="62" t="n">
        <v>0</v>
      </c>
      <c r="S3272" s="62" t="n">
        <v>0</v>
      </c>
      <c r="T3272" s="62" t="n">
        <v>0</v>
      </c>
      <c r="U3272" s="62"/>
      <c r="V3272" s="62"/>
      <c r="W3272" s="62"/>
      <c r="X3272" s="62"/>
      <c r="Y3272" s="62"/>
      <c r="Z3272" s="62" t="s">
        <v>5958</v>
      </c>
      <c r="AA3272" s="62" t="s">
        <v>5959</v>
      </c>
      <c r="AB3272" s="62" t="n">
        <v>1</v>
      </c>
      <c r="AC3272" s="62" t="n">
        <v>0</v>
      </c>
      <c r="AD3272" s="62" t="n">
        <v>0</v>
      </c>
      <c r="AE3272" s="62" t="n">
        <f aca="false">IF(AND(Dashboard!$C$9="Yes",AC3272=1),0,1)</f>
        <v>1</v>
      </c>
      <c r="AF3272" s="62" t="n">
        <v>1</v>
      </c>
    </row>
    <row r="3273" customFormat="false" ht="15" hidden="false" customHeight="false" outlineLevel="0" collapsed="false">
      <c r="A3273" s="62" t="n">
        <v>3272</v>
      </c>
      <c r="B3273" s="63" t="n">
        <v>46301.9783796296</v>
      </c>
      <c r="C3273" s="64" t="n">
        <v>46301</v>
      </c>
      <c r="D3273" s="62" t="s">
        <v>501</v>
      </c>
      <c r="E3273" s="62" t="s">
        <v>4234</v>
      </c>
      <c r="F3273" s="62" t="s">
        <v>4234</v>
      </c>
      <c r="G3273" s="62" t="s">
        <v>4235</v>
      </c>
      <c r="H3273" s="62" t="s">
        <v>44</v>
      </c>
      <c r="I3273" s="62" t="s">
        <v>49</v>
      </c>
      <c r="J3273" s="62" t="s">
        <v>146</v>
      </c>
      <c r="K3273" s="62" t="s">
        <v>147</v>
      </c>
      <c r="L3273" s="62" t="s">
        <v>148</v>
      </c>
      <c r="M3273" s="62" t="n">
        <v>0</v>
      </c>
      <c r="N3273" s="62" t="n">
        <v>1</v>
      </c>
      <c r="O3273" s="62" t="n">
        <v>1</v>
      </c>
      <c r="P3273" s="62" t="n">
        <v>1</v>
      </c>
      <c r="Q3273" s="62" t="n">
        <v>0</v>
      </c>
      <c r="R3273" s="62" t="n">
        <v>0</v>
      </c>
      <c r="S3273" s="62" t="n">
        <v>0</v>
      </c>
      <c r="T3273" s="62" t="n">
        <v>0</v>
      </c>
      <c r="U3273" s="62"/>
      <c r="V3273" s="62"/>
      <c r="W3273" s="62"/>
      <c r="X3273" s="62"/>
      <c r="Y3273" s="62"/>
      <c r="Z3273" s="62" t="s">
        <v>5960</v>
      </c>
      <c r="AA3273" s="62" t="s">
        <v>5961</v>
      </c>
      <c r="AB3273" s="62" t="n">
        <v>1</v>
      </c>
      <c r="AC3273" s="62" t="n">
        <v>0</v>
      </c>
      <c r="AD3273" s="62" t="n">
        <v>1</v>
      </c>
      <c r="AE3273" s="62" t="n">
        <f aca="false">IF(AND(Dashboard!$C$9="Yes",AC3273=1),0,1)</f>
        <v>1</v>
      </c>
      <c r="AF3273" s="62" t="n">
        <v>0</v>
      </c>
    </row>
    <row r="3274" customFormat="false" ht="15" hidden="false" customHeight="false" outlineLevel="0" collapsed="false">
      <c r="A3274" s="62" t="n">
        <v>3273</v>
      </c>
      <c r="B3274" s="63" t="n">
        <v>46301.9839351852</v>
      </c>
      <c r="C3274" s="64" t="n">
        <v>46301</v>
      </c>
      <c r="D3274" s="62" t="s">
        <v>501</v>
      </c>
      <c r="E3274" s="62" t="s">
        <v>5956</v>
      </c>
      <c r="F3274" s="62" t="s">
        <v>5957</v>
      </c>
      <c r="G3274" s="62" t="s">
        <v>153</v>
      </c>
      <c r="H3274" s="62" t="s">
        <v>153</v>
      </c>
      <c r="I3274" s="62" t="s">
        <v>153</v>
      </c>
      <c r="J3274" s="62" t="s">
        <v>64</v>
      </c>
      <c r="K3274" s="62" t="s">
        <v>64</v>
      </c>
      <c r="L3274" s="62" t="s">
        <v>148</v>
      </c>
      <c r="M3274" s="62" t="n">
        <v>0</v>
      </c>
      <c r="N3274" s="62" t="n">
        <v>1</v>
      </c>
      <c r="O3274" s="62" t="n">
        <v>1</v>
      </c>
      <c r="P3274" s="62" t="n">
        <v>1</v>
      </c>
      <c r="Q3274" s="62" t="n">
        <v>0</v>
      </c>
      <c r="R3274" s="62" t="n">
        <v>0</v>
      </c>
      <c r="S3274" s="62" t="n">
        <v>0</v>
      </c>
      <c r="T3274" s="62" t="n">
        <v>0</v>
      </c>
      <c r="U3274" s="62"/>
      <c r="V3274" s="62"/>
      <c r="W3274" s="62"/>
      <c r="X3274" s="62"/>
      <c r="Y3274" s="62"/>
      <c r="Z3274" s="62" t="s">
        <v>5962</v>
      </c>
      <c r="AA3274" s="62" t="s">
        <v>5962</v>
      </c>
      <c r="AB3274" s="62" t="n">
        <v>1</v>
      </c>
      <c r="AC3274" s="62" t="n">
        <v>0</v>
      </c>
      <c r="AD3274" s="62" t="n">
        <v>0</v>
      </c>
      <c r="AE3274" s="62" t="n">
        <f aca="false">IF(AND(Dashboard!$C$9="Yes",AC3274=1),0,1)</f>
        <v>1</v>
      </c>
      <c r="AF3274" s="62" t="n">
        <v>0</v>
      </c>
    </row>
    <row r="3275" customFormat="false" ht="15" hidden="false" customHeight="false" outlineLevel="0" collapsed="false">
      <c r="A3275" s="62" t="n">
        <v>3274</v>
      </c>
      <c r="B3275" s="63" t="n">
        <v>46301.9937962963</v>
      </c>
      <c r="C3275" s="64" t="n">
        <v>46301</v>
      </c>
      <c r="D3275" s="62" t="s">
        <v>501</v>
      </c>
      <c r="E3275" s="62" t="s">
        <v>3061</v>
      </c>
      <c r="F3275" s="62" t="s">
        <v>3061</v>
      </c>
      <c r="G3275" s="62" t="s">
        <v>3062</v>
      </c>
      <c r="H3275" s="62" t="s">
        <v>44</v>
      </c>
      <c r="I3275" s="62" t="s">
        <v>49</v>
      </c>
      <c r="J3275" s="62" t="s">
        <v>146</v>
      </c>
      <c r="K3275" s="62" t="s">
        <v>147</v>
      </c>
      <c r="L3275" s="62" t="s">
        <v>148</v>
      </c>
      <c r="M3275" s="62" t="n">
        <v>0</v>
      </c>
      <c r="N3275" s="62" t="n">
        <v>1</v>
      </c>
      <c r="O3275" s="62" t="n">
        <v>1</v>
      </c>
      <c r="P3275" s="62" t="n">
        <v>1</v>
      </c>
      <c r="Q3275" s="62" t="n">
        <v>0</v>
      </c>
      <c r="R3275" s="62" t="n">
        <v>0</v>
      </c>
      <c r="S3275" s="62" t="n">
        <v>0</v>
      </c>
      <c r="T3275" s="62" t="n">
        <v>0</v>
      </c>
      <c r="U3275" s="62"/>
      <c r="V3275" s="62"/>
      <c r="W3275" s="62"/>
      <c r="X3275" s="62"/>
      <c r="Y3275" s="62"/>
      <c r="Z3275" s="62" t="s">
        <v>5963</v>
      </c>
      <c r="AA3275" s="62" t="s">
        <v>5964</v>
      </c>
      <c r="AB3275" s="62" t="n">
        <v>1</v>
      </c>
      <c r="AC3275" s="62" t="n">
        <v>0</v>
      </c>
      <c r="AD3275" s="62" t="n">
        <v>1</v>
      </c>
      <c r="AE3275" s="62" t="n">
        <f aca="false">IF(AND(Dashboard!$C$9="Yes",AC3275=1),0,1)</f>
        <v>1</v>
      </c>
      <c r="AF3275" s="62" t="n">
        <v>1</v>
      </c>
    </row>
    <row r="3276" customFormat="false" ht="15" hidden="false" customHeight="false" outlineLevel="0" collapsed="false">
      <c r="A3276" s="62" t="n">
        <v>3275</v>
      </c>
      <c r="B3276" s="63" t="n">
        <v>46302.0066666667</v>
      </c>
      <c r="C3276" s="64" t="n">
        <v>46301</v>
      </c>
      <c r="D3276" s="62" t="s">
        <v>501</v>
      </c>
      <c r="E3276" s="62" t="s">
        <v>4280</v>
      </c>
      <c r="F3276" s="62" t="s">
        <v>4280</v>
      </c>
      <c r="G3276" s="62" t="s">
        <v>4281</v>
      </c>
      <c r="H3276" s="62" t="s">
        <v>44</v>
      </c>
      <c r="I3276" s="62" t="s">
        <v>49</v>
      </c>
      <c r="J3276" s="62" t="s">
        <v>146</v>
      </c>
      <c r="K3276" s="62" t="s">
        <v>147</v>
      </c>
      <c r="L3276" s="62" t="s">
        <v>4</v>
      </c>
      <c r="M3276" s="62" t="n">
        <v>1</v>
      </c>
      <c r="N3276" s="62" t="n">
        <v>0</v>
      </c>
      <c r="O3276" s="62" t="n">
        <v>1</v>
      </c>
      <c r="P3276" s="62" t="n">
        <v>0</v>
      </c>
      <c r="Q3276" s="62" t="n">
        <v>0</v>
      </c>
      <c r="R3276" s="62" t="n">
        <v>0</v>
      </c>
      <c r="S3276" s="62" t="n">
        <v>0</v>
      </c>
      <c r="T3276" s="62" t="n">
        <v>0</v>
      </c>
      <c r="U3276" s="62" t="s">
        <v>2056</v>
      </c>
      <c r="V3276" s="62" t="s">
        <v>2057</v>
      </c>
      <c r="W3276" s="62" t="s">
        <v>2056</v>
      </c>
      <c r="X3276" s="62" t="s">
        <v>2058</v>
      </c>
      <c r="Y3276" s="62" t="s">
        <v>2059</v>
      </c>
      <c r="Z3276" s="62" t="s">
        <v>5965</v>
      </c>
      <c r="AA3276" s="62" t="s">
        <v>5966</v>
      </c>
      <c r="AB3276" s="62" t="n">
        <v>1</v>
      </c>
      <c r="AC3276" s="62" t="n">
        <v>0</v>
      </c>
      <c r="AD3276" s="62" t="n">
        <v>1</v>
      </c>
      <c r="AE3276" s="62" t="n">
        <f aca="false">IF(AND(Dashboard!$C$9="Yes",AC3276=1),0,1)</f>
        <v>1</v>
      </c>
      <c r="AF3276" s="62" t="n">
        <v>0</v>
      </c>
    </row>
    <row r="3277" customFormat="false" ht="15" hidden="false" customHeight="false" outlineLevel="0" collapsed="false">
      <c r="A3277" s="62" t="n">
        <v>3276</v>
      </c>
      <c r="B3277" s="63" t="n">
        <v>46302.0087731482</v>
      </c>
      <c r="C3277" s="64" t="n">
        <v>46301</v>
      </c>
      <c r="D3277" s="62" t="s">
        <v>501</v>
      </c>
      <c r="E3277" s="62" t="s">
        <v>4386</v>
      </c>
      <c r="F3277" s="62" t="s">
        <v>4386</v>
      </c>
      <c r="G3277" s="62" t="s">
        <v>4387</v>
      </c>
      <c r="H3277" s="62" t="s">
        <v>44</v>
      </c>
      <c r="I3277" s="62" t="s">
        <v>49</v>
      </c>
      <c r="J3277" s="62" t="s">
        <v>146</v>
      </c>
      <c r="K3277" s="62" t="s">
        <v>147</v>
      </c>
      <c r="L3277" s="62" t="s">
        <v>148</v>
      </c>
      <c r="M3277" s="62" t="n">
        <v>0</v>
      </c>
      <c r="N3277" s="62" t="n">
        <v>1</v>
      </c>
      <c r="O3277" s="62" t="n">
        <v>1</v>
      </c>
      <c r="P3277" s="62" t="n">
        <v>1</v>
      </c>
      <c r="Q3277" s="62" t="n">
        <v>0</v>
      </c>
      <c r="R3277" s="62" t="n">
        <v>0</v>
      </c>
      <c r="S3277" s="62" t="n">
        <v>0</v>
      </c>
      <c r="T3277" s="62" t="n">
        <v>0</v>
      </c>
      <c r="U3277" s="62"/>
      <c r="V3277" s="62"/>
      <c r="W3277" s="62"/>
      <c r="X3277" s="62"/>
      <c r="Y3277" s="62"/>
      <c r="Z3277" s="62" t="s">
        <v>5967</v>
      </c>
      <c r="AA3277" s="62" t="s">
        <v>5968</v>
      </c>
      <c r="AB3277" s="62" t="n">
        <v>1</v>
      </c>
      <c r="AC3277" s="62" t="n">
        <v>0</v>
      </c>
      <c r="AD3277" s="62" t="n">
        <v>1</v>
      </c>
      <c r="AE3277" s="62" t="n">
        <f aca="false">IF(AND(Dashboard!$C$9="Yes",AC3277=1),0,1)</f>
        <v>1</v>
      </c>
      <c r="AF3277" s="62" t="n">
        <v>0</v>
      </c>
    </row>
    <row r="3278" customFormat="false" ht="15" hidden="false" customHeight="false" outlineLevel="0" collapsed="false">
      <c r="A3278" s="62" t="n">
        <v>3277</v>
      </c>
      <c r="B3278" s="63" t="n">
        <v>46302.0285300926</v>
      </c>
      <c r="C3278" s="64" t="n">
        <v>46301</v>
      </c>
      <c r="D3278" s="62" t="s">
        <v>501</v>
      </c>
      <c r="E3278" s="62" t="s">
        <v>5969</v>
      </c>
      <c r="F3278" s="62" t="s">
        <v>5969</v>
      </c>
      <c r="G3278" s="62" t="s">
        <v>5970</v>
      </c>
      <c r="H3278" s="62" t="s">
        <v>50</v>
      </c>
      <c r="I3278" s="62" t="s">
        <v>49</v>
      </c>
      <c r="J3278" s="62" t="s">
        <v>3708</v>
      </c>
      <c r="K3278" s="62" t="s">
        <v>209</v>
      </c>
      <c r="L3278" s="62" t="s">
        <v>148</v>
      </c>
      <c r="M3278" s="62" t="n">
        <v>0</v>
      </c>
      <c r="N3278" s="62" t="n">
        <v>1</v>
      </c>
      <c r="O3278" s="62" t="n">
        <v>1</v>
      </c>
      <c r="P3278" s="62" t="n">
        <v>0</v>
      </c>
      <c r="Q3278" s="62" t="n">
        <v>1</v>
      </c>
      <c r="R3278" s="62" t="n">
        <v>0</v>
      </c>
      <c r="S3278" s="62" t="n">
        <v>0</v>
      </c>
      <c r="T3278" s="62" t="n">
        <v>0</v>
      </c>
      <c r="U3278" s="62"/>
      <c r="V3278" s="62"/>
      <c r="W3278" s="62"/>
      <c r="X3278" s="62"/>
      <c r="Y3278" s="62"/>
      <c r="Z3278" s="62" t="s">
        <v>5971</v>
      </c>
      <c r="AA3278" s="62" t="s">
        <v>5972</v>
      </c>
      <c r="AB3278" s="62" t="n">
        <v>1</v>
      </c>
      <c r="AC3278" s="62" t="n">
        <v>0</v>
      </c>
      <c r="AD3278" s="62" t="n">
        <v>1</v>
      </c>
      <c r="AE3278" s="62" t="n">
        <f aca="false">IF(AND(Dashboard!$C$9="Yes",AC3278=1),0,1)</f>
        <v>1</v>
      </c>
      <c r="AF3278" s="62" t="n">
        <v>1</v>
      </c>
    </row>
    <row r="3279" customFormat="false" ht="15" hidden="false" customHeight="false" outlineLevel="0" collapsed="false">
      <c r="A3279" s="62" t="n">
        <v>3278</v>
      </c>
      <c r="B3279" s="63" t="n">
        <v>46302.0296875</v>
      </c>
      <c r="C3279" s="64" t="n">
        <v>46301</v>
      </c>
      <c r="D3279" s="62" t="s">
        <v>501</v>
      </c>
      <c r="E3279" s="62" t="s">
        <v>5973</v>
      </c>
      <c r="F3279" s="62" t="s">
        <v>5973</v>
      </c>
      <c r="G3279" s="62" t="s">
        <v>5974</v>
      </c>
      <c r="H3279" s="62" t="s">
        <v>53</v>
      </c>
      <c r="I3279" s="62" t="s">
        <v>47</v>
      </c>
      <c r="J3279" s="62" t="s">
        <v>3708</v>
      </c>
      <c r="K3279" s="62" t="s">
        <v>209</v>
      </c>
      <c r="L3279" s="62" t="s">
        <v>148</v>
      </c>
      <c r="M3279" s="62" t="n">
        <v>0</v>
      </c>
      <c r="N3279" s="62" t="n">
        <v>1</v>
      </c>
      <c r="O3279" s="62" t="n">
        <v>1</v>
      </c>
      <c r="P3279" s="62" t="n">
        <v>1</v>
      </c>
      <c r="Q3279" s="62" t="n">
        <v>0</v>
      </c>
      <c r="R3279" s="62" t="n">
        <v>0</v>
      </c>
      <c r="S3279" s="62" t="n">
        <v>0</v>
      </c>
      <c r="T3279" s="62" t="n">
        <v>0</v>
      </c>
      <c r="U3279" s="62"/>
      <c r="V3279" s="62"/>
      <c r="W3279" s="62"/>
      <c r="X3279" s="62"/>
      <c r="Y3279" s="62"/>
      <c r="Z3279" s="62" t="s">
        <v>5975</v>
      </c>
      <c r="AA3279" s="62" t="s">
        <v>5976</v>
      </c>
      <c r="AB3279" s="62" t="n">
        <v>1</v>
      </c>
      <c r="AC3279" s="62" t="n">
        <v>0</v>
      </c>
      <c r="AD3279" s="62" t="n">
        <v>1</v>
      </c>
      <c r="AE3279" s="62" t="n">
        <f aca="false">IF(AND(Dashboard!$C$9="Yes",AC3279=1),0,1)</f>
        <v>1</v>
      </c>
      <c r="AF3279" s="62" t="n">
        <v>1</v>
      </c>
    </row>
    <row r="3280" customFormat="false" ht="15" hidden="false" customHeight="false" outlineLevel="0" collapsed="false">
      <c r="A3280" s="62" t="n">
        <v>3279</v>
      </c>
      <c r="B3280" s="63" t="n">
        <v>46302.0431134259</v>
      </c>
      <c r="C3280" s="64" t="n">
        <v>46301</v>
      </c>
      <c r="D3280" s="62" t="s">
        <v>501</v>
      </c>
      <c r="E3280" s="62" t="s">
        <v>1732</v>
      </c>
      <c r="F3280" s="62" t="s">
        <v>1732</v>
      </c>
      <c r="G3280" s="62" t="s">
        <v>1733</v>
      </c>
      <c r="H3280" s="62" t="s">
        <v>58</v>
      </c>
      <c r="I3280" s="62" t="s">
        <v>49</v>
      </c>
      <c r="J3280" s="62" t="s">
        <v>146</v>
      </c>
      <c r="K3280" s="62" t="s">
        <v>209</v>
      </c>
      <c r="L3280" s="62" t="s">
        <v>4</v>
      </c>
      <c r="M3280" s="62" t="n">
        <v>1</v>
      </c>
      <c r="N3280" s="62" t="n">
        <v>0</v>
      </c>
      <c r="O3280" s="62" t="n">
        <v>1</v>
      </c>
      <c r="P3280" s="62" t="n">
        <v>0</v>
      </c>
      <c r="Q3280" s="62" t="n">
        <v>0</v>
      </c>
      <c r="R3280" s="62" t="n">
        <v>0</v>
      </c>
      <c r="S3280" s="62" t="n">
        <v>0</v>
      </c>
      <c r="T3280" s="62" t="n">
        <v>0</v>
      </c>
      <c r="U3280" s="62" t="s">
        <v>2056</v>
      </c>
      <c r="V3280" s="62" t="s">
        <v>2057</v>
      </c>
      <c r="W3280" s="62" t="s">
        <v>15</v>
      </c>
      <c r="X3280" s="62" t="s">
        <v>2058</v>
      </c>
      <c r="Y3280" s="62" t="s">
        <v>2059</v>
      </c>
      <c r="Z3280" s="62" t="s">
        <v>5977</v>
      </c>
      <c r="AA3280" s="62" t="s">
        <v>5978</v>
      </c>
      <c r="AB3280" s="62" t="n">
        <v>1</v>
      </c>
      <c r="AC3280" s="62" t="n">
        <v>0</v>
      </c>
      <c r="AD3280" s="62" t="n">
        <v>1</v>
      </c>
      <c r="AE3280" s="62" t="n">
        <f aca="false">IF(AND(Dashboard!$C$9="Yes",AC3280=1),0,1)</f>
        <v>1</v>
      </c>
      <c r="AF3280" s="62" t="n">
        <v>1</v>
      </c>
    </row>
    <row r="3281" customFormat="false" ht="15" hidden="false" customHeight="false" outlineLevel="0" collapsed="false">
      <c r="A3281" s="62" t="n">
        <v>3280</v>
      </c>
      <c r="B3281" s="63" t="n">
        <v>46302.0518055556</v>
      </c>
      <c r="C3281" s="64" t="n">
        <v>46301</v>
      </c>
      <c r="D3281" s="62" t="s">
        <v>501</v>
      </c>
      <c r="E3281" s="62" t="s">
        <v>5979</v>
      </c>
      <c r="F3281" s="62" t="s">
        <v>5979</v>
      </c>
      <c r="G3281" s="62" t="s">
        <v>5980</v>
      </c>
      <c r="H3281" s="62" t="s">
        <v>50</v>
      </c>
      <c r="I3281" s="62" t="s">
        <v>49</v>
      </c>
      <c r="J3281" s="62" t="s">
        <v>3708</v>
      </c>
      <c r="K3281" s="62" t="s">
        <v>209</v>
      </c>
      <c r="L3281" s="62" t="s">
        <v>148</v>
      </c>
      <c r="M3281" s="62" t="n">
        <v>0</v>
      </c>
      <c r="N3281" s="62" t="n">
        <v>1</v>
      </c>
      <c r="O3281" s="62" t="n">
        <v>1</v>
      </c>
      <c r="P3281" s="62" t="n">
        <v>0</v>
      </c>
      <c r="Q3281" s="62" t="n">
        <v>0</v>
      </c>
      <c r="R3281" s="62" t="n">
        <v>0</v>
      </c>
      <c r="S3281" s="62" t="n">
        <v>1</v>
      </c>
      <c r="T3281" s="62" t="n">
        <v>0</v>
      </c>
      <c r="U3281" s="62"/>
      <c r="V3281" s="62"/>
      <c r="W3281" s="62"/>
      <c r="X3281" s="62"/>
      <c r="Y3281" s="62"/>
      <c r="Z3281" s="62" t="s">
        <v>5981</v>
      </c>
      <c r="AA3281" s="62" t="s">
        <v>5982</v>
      </c>
      <c r="AB3281" s="62" t="n">
        <v>1</v>
      </c>
      <c r="AC3281" s="62" t="n">
        <v>0</v>
      </c>
      <c r="AD3281" s="62" t="n">
        <v>1</v>
      </c>
      <c r="AE3281" s="62" t="n">
        <f aca="false">IF(AND(Dashboard!$C$9="Yes",AC3281=1),0,1)</f>
        <v>1</v>
      </c>
      <c r="AF3281" s="62" t="n">
        <v>1</v>
      </c>
    </row>
    <row r="3282" customFormat="false" ht="15" hidden="false" customHeight="false" outlineLevel="0" collapsed="false">
      <c r="A3282" s="62" t="n">
        <v>3281</v>
      </c>
      <c r="B3282" s="63" t="n">
        <v>46302.0540046296</v>
      </c>
      <c r="C3282" s="64" t="n">
        <v>46301</v>
      </c>
      <c r="D3282" s="62" t="s">
        <v>501</v>
      </c>
      <c r="E3282" s="62" t="s">
        <v>5948</v>
      </c>
      <c r="F3282" s="62" t="s">
        <v>5948</v>
      </c>
      <c r="G3282" s="62" t="s">
        <v>5949</v>
      </c>
      <c r="H3282" s="62" t="s">
        <v>50</v>
      </c>
      <c r="I3282" s="62" t="s">
        <v>49</v>
      </c>
      <c r="J3282" s="62" t="s">
        <v>3708</v>
      </c>
      <c r="K3282" s="62" t="s">
        <v>209</v>
      </c>
      <c r="L3282" s="62" t="s">
        <v>4</v>
      </c>
      <c r="M3282" s="62" t="n">
        <v>1</v>
      </c>
      <c r="N3282" s="62" t="n">
        <v>0</v>
      </c>
      <c r="O3282" s="62" t="n">
        <v>1</v>
      </c>
      <c r="P3282" s="62" t="n">
        <v>0</v>
      </c>
      <c r="Q3282" s="62" t="n">
        <v>0</v>
      </c>
      <c r="R3282" s="62" t="n">
        <v>0</v>
      </c>
      <c r="S3282" s="62" t="n">
        <v>0</v>
      </c>
      <c r="T3282" s="62" t="n">
        <v>0</v>
      </c>
      <c r="U3282" s="62" t="s">
        <v>2056</v>
      </c>
      <c r="V3282" s="62" t="s">
        <v>2057</v>
      </c>
      <c r="W3282" s="62" t="s">
        <v>2056</v>
      </c>
      <c r="X3282" s="62" t="s">
        <v>2234</v>
      </c>
      <c r="Y3282" s="62" t="s">
        <v>2165</v>
      </c>
      <c r="Z3282" s="62" t="s">
        <v>5983</v>
      </c>
      <c r="AA3282" s="62" t="s">
        <v>5984</v>
      </c>
      <c r="AB3282" s="62" t="n">
        <v>1</v>
      </c>
      <c r="AC3282" s="62" t="n">
        <v>0</v>
      </c>
      <c r="AD3282" s="62" t="n">
        <v>1</v>
      </c>
      <c r="AE3282" s="62" t="n">
        <f aca="false">IF(AND(Dashboard!$C$9="Yes",AC3282=1),0,1)</f>
        <v>1</v>
      </c>
      <c r="AF3282" s="62" t="n">
        <v>0</v>
      </c>
    </row>
    <row r="3283" customFormat="false" ht="15" hidden="false" customHeight="false" outlineLevel="0" collapsed="false">
      <c r="A3283" s="62" t="n">
        <v>3282</v>
      </c>
      <c r="B3283" s="63" t="n">
        <v>46302.0628356482</v>
      </c>
      <c r="C3283" s="64" t="n">
        <v>46301</v>
      </c>
      <c r="D3283" s="62" t="s">
        <v>501</v>
      </c>
      <c r="E3283" s="62" t="s">
        <v>5948</v>
      </c>
      <c r="F3283" s="62" t="s">
        <v>5948</v>
      </c>
      <c r="G3283" s="62" t="s">
        <v>5949</v>
      </c>
      <c r="H3283" s="62" t="s">
        <v>50</v>
      </c>
      <c r="I3283" s="62" t="s">
        <v>49</v>
      </c>
      <c r="J3283" s="62" t="s">
        <v>3708</v>
      </c>
      <c r="K3283" s="62" t="s">
        <v>209</v>
      </c>
      <c r="L3283" s="62" t="s">
        <v>148</v>
      </c>
      <c r="M3283" s="62" t="n">
        <v>0</v>
      </c>
      <c r="N3283" s="62" t="n">
        <v>1</v>
      </c>
      <c r="O3283" s="62" t="n">
        <v>1</v>
      </c>
      <c r="P3283" s="62" t="n">
        <v>1</v>
      </c>
      <c r="Q3283" s="62" t="n">
        <v>0</v>
      </c>
      <c r="R3283" s="62" t="n">
        <v>0</v>
      </c>
      <c r="S3283" s="62" t="n">
        <v>0</v>
      </c>
      <c r="T3283" s="62" t="n">
        <v>0</v>
      </c>
      <c r="U3283" s="62"/>
      <c r="V3283" s="62"/>
      <c r="W3283" s="62"/>
      <c r="X3283" s="62"/>
      <c r="Y3283" s="62"/>
      <c r="Z3283" s="62" t="s">
        <v>5983</v>
      </c>
      <c r="AA3283" s="62" t="s">
        <v>5985</v>
      </c>
      <c r="AB3283" s="62" t="n">
        <v>1</v>
      </c>
      <c r="AC3283" s="62" t="n">
        <v>0</v>
      </c>
      <c r="AD3283" s="62" t="n">
        <v>1</v>
      </c>
      <c r="AE3283" s="62" t="n">
        <f aca="false">IF(AND(Dashboard!$C$9="Yes",AC3283=1),0,1)</f>
        <v>1</v>
      </c>
      <c r="AF3283" s="62" t="n">
        <v>0</v>
      </c>
    </row>
    <row r="3284" customFormat="false" ht="15" hidden="false" customHeight="false" outlineLevel="0" collapsed="false">
      <c r="A3284" s="62" t="n">
        <v>3283</v>
      </c>
      <c r="B3284" s="63" t="n">
        <v>46302.0672337963</v>
      </c>
      <c r="C3284" s="64" t="n">
        <v>46301</v>
      </c>
      <c r="D3284" s="62" t="s">
        <v>501</v>
      </c>
      <c r="E3284" s="62" t="s">
        <v>4420</v>
      </c>
      <c r="F3284" s="62" t="s">
        <v>4420</v>
      </c>
      <c r="G3284" s="62" t="s">
        <v>4421</v>
      </c>
      <c r="H3284" s="62" t="s">
        <v>44</v>
      </c>
      <c r="I3284" s="62" t="s">
        <v>49</v>
      </c>
      <c r="J3284" s="62" t="s">
        <v>146</v>
      </c>
      <c r="K3284" s="62" t="s">
        <v>147</v>
      </c>
      <c r="L3284" s="62" t="s">
        <v>4</v>
      </c>
      <c r="M3284" s="62" t="n">
        <v>1</v>
      </c>
      <c r="N3284" s="62" t="n">
        <v>0</v>
      </c>
      <c r="O3284" s="62" t="n">
        <v>1</v>
      </c>
      <c r="P3284" s="62" t="n">
        <v>0</v>
      </c>
      <c r="Q3284" s="62" t="n">
        <v>0</v>
      </c>
      <c r="R3284" s="62" t="n">
        <v>0</v>
      </c>
      <c r="S3284" s="62" t="n">
        <v>0</v>
      </c>
      <c r="T3284" s="62" t="n">
        <v>0</v>
      </c>
      <c r="U3284" s="62" t="s">
        <v>2056</v>
      </c>
      <c r="V3284" s="62" t="s">
        <v>2057</v>
      </c>
      <c r="W3284" s="62" t="s">
        <v>15</v>
      </c>
      <c r="X3284" s="62" t="s">
        <v>2164</v>
      </c>
      <c r="Y3284" s="62" t="s">
        <v>2165</v>
      </c>
      <c r="Z3284" s="62" t="s">
        <v>5986</v>
      </c>
      <c r="AA3284" s="62" t="s">
        <v>5987</v>
      </c>
      <c r="AB3284" s="62" t="n">
        <v>1</v>
      </c>
      <c r="AC3284" s="62" t="n">
        <v>0</v>
      </c>
      <c r="AD3284" s="62" t="n">
        <v>1</v>
      </c>
      <c r="AE3284" s="62" t="n">
        <f aca="false">IF(AND(Dashboard!$C$9="Yes",AC3284=1),0,1)</f>
        <v>1</v>
      </c>
      <c r="AF3284" s="62" t="n">
        <v>1</v>
      </c>
    </row>
    <row r="3285" customFormat="false" ht="15" hidden="false" customHeight="false" outlineLevel="0" collapsed="false">
      <c r="A3285" s="62" t="n">
        <v>3284</v>
      </c>
      <c r="B3285" s="63" t="n">
        <v>46302.0674537037</v>
      </c>
      <c r="C3285" s="64" t="n">
        <v>46301</v>
      </c>
      <c r="D3285" s="62" t="s">
        <v>501</v>
      </c>
      <c r="E3285" s="62" t="s">
        <v>414</v>
      </c>
      <c r="F3285" s="62" t="s">
        <v>414</v>
      </c>
      <c r="G3285" s="62" t="s">
        <v>415</v>
      </c>
      <c r="H3285" s="62" t="s">
        <v>57</v>
      </c>
      <c r="I3285" s="62" t="s">
        <v>47</v>
      </c>
      <c r="J3285" s="62" t="s">
        <v>146</v>
      </c>
      <c r="K3285" s="62" t="s">
        <v>147</v>
      </c>
      <c r="L3285" s="62" t="s">
        <v>4</v>
      </c>
      <c r="M3285" s="62" t="n">
        <v>1</v>
      </c>
      <c r="N3285" s="62" t="n">
        <v>0</v>
      </c>
      <c r="O3285" s="62" t="n">
        <v>1</v>
      </c>
      <c r="P3285" s="62" t="n">
        <v>0</v>
      </c>
      <c r="Q3285" s="62" t="n">
        <v>0</v>
      </c>
      <c r="R3285" s="62" t="n">
        <v>0</v>
      </c>
      <c r="S3285" s="62" t="n">
        <v>0</v>
      </c>
      <c r="T3285" s="62" t="n">
        <v>0</v>
      </c>
      <c r="U3285" s="62" t="s">
        <v>2056</v>
      </c>
      <c r="V3285" s="62" t="s">
        <v>2057</v>
      </c>
      <c r="W3285" s="62" t="s">
        <v>15</v>
      </c>
      <c r="X3285" s="62" t="s">
        <v>2164</v>
      </c>
      <c r="Y3285" s="62" t="s">
        <v>2165</v>
      </c>
      <c r="Z3285" s="62" t="s">
        <v>5988</v>
      </c>
      <c r="AA3285" s="62" t="s">
        <v>5989</v>
      </c>
      <c r="AB3285" s="62" t="n">
        <v>1</v>
      </c>
      <c r="AC3285" s="62" t="n">
        <v>0</v>
      </c>
      <c r="AD3285" s="62" t="n">
        <v>1</v>
      </c>
      <c r="AE3285" s="62" t="n">
        <f aca="false">IF(AND(Dashboard!$C$9="Yes",AC3285=1),0,1)</f>
        <v>1</v>
      </c>
      <c r="AF3285" s="62" t="n">
        <v>1</v>
      </c>
    </row>
    <row r="3286" customFormat="false" ht="15" hidden="false" customHeight="false" outlineLevel="0" collapsed="false">
      <c r="A3286" s="62" t="n">
        <v>3285</v>
      </c>
      <c r="B3286" s="63" t="n">
        <v>46302.0733564815</v>
      </c>
      <c r="C3286" s="64" t="n">
        <v>46301</v>
      </c>
      <c r="D3286" s="62" t="s">
        <v>501</v>
      </c>
      <c r="E3286" s="62" t="s">
        <v>5246</v>
      </c>
      <c r="F3286" s="62" t="s">
        <v>5246</v>
      </c>
      <c r="G3286" s="62" t="s">
        <v>5247</v>
      </c>
      <c r="H3286" s="62" t="s">
        <v>55</v>
      </c>
      <c r="I3286" s="62" t="s">
        <v>49</v>
      </c>
      <c r="J3286" s="62" t="s">
        <v>3708</v>
      </c>
      <c r="K3286" s="62" t="s">
        <v>209</v>
      </c>
      <c r="L3286" s="62" t="s">
        <v>148</v>
      </c>
      <c r="M3286" s="62" t="n">
        <v>0</v>
      </c>
      <c r="N3286" s="62" t="n">
        <v>1</v>
      </c>
      <c r="O3286" s="62" t="n">
        <v>1</v>
      </c>
      <c r="P3286" s="62" t="n">
        <v>1</v>
      </c>
      <c r="Q3286" s="62" t="n">
        <v>0</v>
      </c>
      <c r="R3286" s="62" t="n">
        <v>0</v>
      </c>
      <c r="S3286" s="62" t="n">
        <v>0</v>
      </c>
      <c r="T3286" s="62" t="n">
        <v>0</v>
      </c>
      <c r="U3286" s="62"/>
      <c r="V3286" s="62"/>
      <c r="W3286" s="62"/>
      <c r="X3286" s="62"/>
      <c r="Y3286" s="62"/>
      <c r="Z3286" s="62" t="s">
        <v>5990</v>
      </c>
      <c r="AA3286" s="62" t="s">
        <v>5991</v>
      </c>
      <c r="AB3286" s="62" t="n">
        <v>1</v>
      </c>
      <c r="AC3286" s="62" t="n">
        <v>0</v>
      </c>
      <c r="AD3286" s="62" t="n">
        <v>1</v>
      </c>
      <c r="AE3286" s="62" t="n">
        <f aca="false">IF(AND(Dashboard!$C$9="Yes",AC3286=1),0,1)</f>
        <v>1</v>
      </c>
      <c r="AF3286" s="62" t="n">
        <v>1</v>
      </c>
    </row>
    <row r="3287" customFormat="false" ht="15" hidden="false" customHeight="false" outlineLevel="0" collapsed="false">
      <c r="A3287" s="62" t="n">
        <v>3286</v>
      </c>
      <c r="B3287" s="63" t="n">
        <v>46302.082962963</v>
      </c>
      <c r="C3287" s="64" t="n">
        <v>46301</v>
      </c>
      <c r="D3287" s="62" t="s">
        <v>501</v>
      </c>
      <c r="E3287" s="62" t="s">
        <v>5992</v>
      </c>
      <c r="F3287" s="62" t="s">
        <v>5992</v>
      </c>
      <c r="G3287" s="62" t="s">
        <v>5993</v>
      </c>
      <c r="H3287" s="62" t="s">
        <v>55</v>
      </c>
      <c r="I3287" s="62" t="s">
        <v>49</v>
      </c>
      <c r="J3287" s="62" t="s">
        <v>3708</v>
      </c>
      <c r="K3287" s="62" t="s">
        <v>209</v>
      </c>
      <c r="L3287" s="62" t="s">
        <v>4</v>
      </c>
      <c r="M3287" s="62" t="n">
        <v>1</v>
      </c>
      <c r="N3287" s="62" t="n">
        <v>0</v>
      </c>
      <c r="O3287" s="62" t="n">
        <v>1</v>
      </c>
      <c r="P3287" s="62" t="n">
        <v>0</v>
      </c>
      <c r="Q3287" s="62" t="n">
        <v>0</v>
      </c>
      <c r="R3287" s="62" t="n">
        <v>0</v>
      </c>
      <c r="S3287" s="62" t="n">
        <v>0</v>
      </c>
      <c r="T3287" s="62" t="n">
        <v>0</v>
      </c>
      <c r="U3287" s="62" t="s">
        <v>2056</v>
      </c>
      <c r="V3287" s="62" t="s">
        <v>2068</v>
      </c>
      <c r="W3287" s="62"/>
      <c r="X3287" s="62" t="s">
        <v>2058</v>
      </c>
      <c r="Y3287" s="62" t="s">
        <v>2059</v>
      </c>
      <c r="Z3287" s="62" t="s">
        <v>5994</v>
      </c>
      <c r="AA3287" s="62" t="s">
        <v>5995</v>
      </c>
      <c r="AB3287" s="62" t="n">
        <v>1</v>
      </c>
      <c r="AC3287" s="62" t="n">
        <v>0</v>
      </c>
      <c r="AD3287" s="62" t="n">
        <v>1</v>
      </c>
      <c r="AE3287" s="62" t="n">
        <f aca="false">IF(AND(Dashboard!$C$9="Yes",AC3287=1),0,1)</f>
        <v>1</v>
      </c>
      <c r="AF3287" s="62" t="n">
        <v>1</v>
      </c>
    </row>
    <row r="3288" customFormat="false" ht="15" hidden="false" customHeight="false" outlineLevel="0" collapsed="false">
      <c r="A3288" s="62" t="n">
        <v>3287</v>
      </c>
      <c r="B3288" s="63" t="n">
        <v>46302.0875462963</v>
      </c>
      <c r="C3288" s="64" t="n">
        <v>46301</v>
      </c>
      <c r="D3288" s="62" t="s">
        <v>501</v>
      </c>
      <c r="E3288" s="62" t="s">
        <v>2530</v>
      </c>
      <c r="F3288" s="62" t="s">
        <v>2530</v>
      </c>
      <c r="G3288" s="62" t="s">
        <v>2531</v>
      </c>
      <c r="H3288" s="62" t="s">
        <v>48</v>
      </c>
      <c r="I3288" s="62" t="s">
        <v>49</v>
      </c>
      <c r="J3288" s="62" t="s">
        <v>146</v>
      </c>
      <c r="K3288" s="62" t="s">
        <v>209</v>
      </c>
      <c r="L3288" s="62" t="s">
        <v>4</v>
      </c>
      <c r="M3288" s="62" t="n">
        <v>1</v>
      </c>
      <c r="N3288" s="62" t="n">
        <v>0</v>
      </c>
      <c r="O3288" s="62" t="n">
        <v>1</v>
      </c>
      <c r="P3288" s="62" t="n">
        <v>0</v>
      </c>
      <c r="Q3288" s="62" t="n">
        <v>0</v>
      </c>
      <c r="R3288" s="62" t="n">
        <v>0</v>
      </c>
      <c r="S3288" s="62" t="n">
        <v>0</v>
      </c>
      <c r="T3288" s="62" t="n">
        <v>0</v>
      </c>
      <c r="U3288" s="62" t="s">
        <v>2056</v>
      </c>
      <c r="V3288" s="62" t="s">
        <v>2057</v>
      </c>
      <c r="W3288" s="62" t="s">
        <v>15</v>
      </c>
      <c r="X3288" s="62" t="s">
        <v>2125</v>
      </c>
      <c r="Y3288" s="62" t="s">
        <v>2059</v>
      </c>
      <c r="Z3288" s="62" t="s">
        <v>5996</v>
      </c>
      <c r="AA3288" s="62" t="s">
        <v>5997</v>
      </c>
      <c r="AB3288" s="62" t="n">
        <v>0</v>
      </c>
      <c r="AC3288" s="62" t="n">
        <v>0</v>
      </c>
      <c r="AD3288" s="62" t="n">
        <v>1</v>
      </c>
      <c r="AE3288" s="62" t="n">
        <f aca="false">IF(AND(Dashboard!$C$9="Yes",AC3288=1),0,1)</f>
        <v>1</v>
      </c>
      <c r="AF3288" s="62" t="n">
        <v>1</v>
      </c>
    </row>
    <row r="3289" customFormat="false" ht="15" hidden="false" customHeight="false" outlineLevel="0" collapsed="false">
      <c r="A3289" s="62" t="n">
        <v>3288</v>
      </c>
      <c r="B3289" s="63" t="n">
        <v>46302.0987037037</v>
      </c>
      <c r="C3289" s="64" t="n">
        <v>46301</v>
      </c>
      <c r="D3289" s="62" t="s">
        <v>501</v>
      </c>
      <c r="E3289" s="62" t="s">
        <v>5250</v>
      </c>
      <c r="F3289" s="62" t="s">
        <v>5250</v>
      </c>
      <c r="G3289" s="62" t="s">
        <v>5251</v>
      </c>
      <c r="H3289" s="62" t="s">
        <v>55</v>
      </c>
      <c r="I3289" s="62" t="s">
        <v>49</v>
      </c>
      <c r="J3289" s="62" t="s">
        <v>3708</v>
      </c>
      <c r="K3289" s="62" t="s">
        <v>209</v>
      </c>
      <c r="L3289" s="62" t="s">
        <v>148</v>
      </c>
      <c r="M3289" s="62" t="n">
        <v>0</v>
      </c>
      <c r="N3289" s="62" t="n">
        <v>1</v>
      </c>
      <c r="O3289" s="62" t="n">
        <v>1</v>
      </c>
      <c r="P3289" s="62" t="n">
        <v>0</v>
      </c>
      <c r="Q3289" s="62" t="n">
        <v>0</v>
      </c>
      <c r="R3289" s="62" t="n">
        <v>0</v>
      </c>
      <c r="S3289" s="62" t="n">
        <v>0</v>
      </c>
      <c r="T3289" s="62" t="n">
        <v>1</v>
      </c>
      <c r="U3289" s="62"/>
      <c r="V3289" s="62"/>
      <c r="W3289" s="62"/>
      <c r="X3289" s="62"/>
      <c r="Y3289" s="62"/>
      <c r="Z3289" s="62" t="s">
        <v>5998</v>
      </c>
      <c r="AA3289" s="62" t="s">
        <v>5999</v>
      </c>
      <c r="AB3289" s="62" t="n">
        <v>1</v>
      </c>
      <c r="AC3289" s="62" t="n">
        <v>0</v>
      </c>
      <c r="AD3289" s="62" t="n">
        <v>1</v>
      </c>
      <c r="AE3289" s="62" t="n">
        <f aca="false">IF(AND(Dashboard!$C$9="Yes",AC3289=1),0,1)</f>
        <v>1</v>
      </c>
      <c r="AF3289" s="62" t="n">
        <v>1</v>
      </c>
    </row>
    <row r="3290" customFormat="false" ht="15" hidden="false" customHeight="false" outlineLevel="0" collapsed="false">
      <c r="A3290" s="62" t="n">
        <v>3289</v>
      </c>
      <c r="B3290" s="63" t="n">
        <v>46302.1066550926</v>
      </c>
      <c r="C3290" s="64" t="n">
        <v>46301</v>
      </c>
      <c r="D3290" s="62" t="s">
        <v>501</v>
      </c>
      <c r="E3290" s="62" t="s">
        <v>2365</v>
      </c>
      <c r="F3290" s="62" t="s">
        <v>2365</v>
      </c>
      <c r="G3290" s="62" t="s">
        <v>2366</v>
      </c>
      <c r="H3290" s="62" t="s">
        <v>52</v>
      </c>
      <c r="I3290" s="62" t="s">
        <v>47</v>
      </c>
      <c r="J3290" s="62" t="s">
        <v>146</v>
      </c>
      <c r="K3290" s="62" t="s">
        <v>147</v>
      </c>
      <c r="L3290" s="62" t="s">
        <v>148</v>
      </c>
      <c r="M3290" s="62" t="n">
        <v>0</v>
      </c>
      <c r="N3290" s="62" t="n">
        <v>1</v>
      </c>
      <c r="O3290" s="62" t="n">
        <v>1</v>
      </c>
      <c r="P3290" s="62" t="n">
        <v>0</v>
      </c>
      <c r="Q3290" s="62" t="n">
        <v>1</v>
      </c>
      <c r="R3290" s="62" t="n">
        <v>0</v>
      </c>
      <c r="S3290" s="62" t="n">
        <v>0</v>
      </c>
      <c r="T3290" s="62" t="n">
        <v>0</v>
      </c>
      <c r="U3290" s="62"/>
      <c r="V3290" s="62"/>
      <c r="W3290" s="62"/>
      <c r="X3290" s="62"/>
      <c r="Y3290" s="62"/>
      <c r="Z3290" s="62" t="s">
        <v>6000</v>
      </c>
      <c r="AA3290" s="62" t="s">
        <v>6001</v>
      </c>
      <c r="AB3290" s="62" t="n">
        <v>1</v>
      </c>
      <c r="AC3290" s="62" t="n">
        <v>0</v>
      </c>
      <c r="AD3290" s="62" t="n">
        <v>1</v>
      </c>
      <c r="AE3290" s="62" t="n">
        <f aca="false">IF(AND(Dashboard!$C$9="Yes",AC3290=1),0,1)</f>
        <v>1</v>
      </c>
      <c r="AF3290" s="62" t="n">
        <v>1</v>
      </c>
    </row>
    <row r="3291" customFormat="false" ht="15" hidden="false" customHeight="false" outlineLevel="0" collapsed="false">
      <c r="A3291" s="62" t="n">
        <v>3290</v>
      </c>
      <c r="B3291" s="63" t="n">
        <v>46302.1092708333</v>
      </c>
      <c r="C3291" s="64" t="n">
        <v>46301</v>
      </c>
      <c r="D3291" s="62" t="s">
        <v>501</v>
      </c>
      <c r="E3291" s="62" t="s">
        <v>5891</v>
      </c>
      <c r="F3291" s="62" t="s">
        <v>5891</v>
      </c>
      <c r="G3291" s="62" t="s">
        <v>5892</v>
      </c>
      <c r="H3291" s="62" t="s">
        <v>53</v>
      </c>
      <c r="I3291" s="62" t="s">
        <v>47</v>
      </c>
      <c r="J3291" s="62" t="s">
        <v>3708</v>
      </c>
      <c r="K3291" s="62" t="s">
        <v>209</v>
      </c>
      <c r="L3291" s="62" t="s">
        <v>148</v>
      </c>
      <c r="M3291" s="62" t="n">
        <v>0</v>
      </c>
      <c r="N3291" s="62" t="n">
        <v>1</v>
      </c>
      <c r="O3291" s="62" t="n">
        <v>1</v>
      </c>
      <c r="P3291" s="62" t="n">
        <v>0</v>
      </c>
      <c r="Q3291" s="62" t="n">
        <v>1</v>
      </c>
      <c r="R3291" s="62" t="n">
        <v>0</v>
      </c>
      <c r="S3291" s="62" t="n">
        <v>0</v>
      </c>
      <c r="T3291" s="62" t="n">
        <v>0</v>
      </c>
      <c r="U3291" s="62"/>
      <c r="V3291" s="62"/>
      <c r="W3291" s="62"/>
      <c r="X3291" s="62"/>
      <c r="Y3291" s="62"/>
      <c r="Z3291" s="62" t="s">
        <v>6002</v>
      </c>
      <c r="AA3291" s="62" t="s">
        <v>6003</v>
      </c>
      <c r="AB3291" s="62" t="n">
        <v>1</v>
      </c>
      <c r="AC3291" s="62" t="n">
        <v>0</v>
      </c>
      <c r="AD3291" s="62" t="n">
        <v>1</v>
      </c>
      <c r="AE3291" s="62" t="n">
        <f aca="false">IF(AND(Dashboard!$C$9="Yes",AC3291=1),0,1)</f>
        <v>1</v>
      </c>
      <c r="AF3291" s="62" t="n">
        <v>1</v>
      </c>
    </row>
    <row r="3292" customFormat="false" ht="15" hidden="false" customHeight="false" outlineLevel="0" collapsed="false">
      <c r="A3292" s="62" t="n">
        <v>3291</v>
      </c>
      <c r="B3292" s="63" t="n">
        <v>46302.1168518519</v>
      </c>
      <c r="C3292" s="64" t="n">
        <v>46301</v>
      </c>
      <c r="D3292" s="62" t="s">
        <v>501</v>
      </c>
      <c r="E3292" s="62" t="s">
        <v>273</v>
      </c>
      <c r="F3292" s="62" t="s">
        <v>273</v>
      </c>
      <c r="G3292" s="62" t="s">
        <v>274</v>
      </c>
      <c r="H3292" s="62" t="s">
        <v>59</v>
      </c>
      <c r="I3292" s="62" t="s">
        <v>47</v>
      </c>
      <c r="J3292" s="62" t="s">
        <v>146</v>
      </c>
      <c r="K3292" s="62" t="s">
        <v>147</v>
      </c>
      <c r="L3292" s="62" t="s">
        <v>148</v>
      </c>
      <c r="M3292" s="62" t="n">
        <v>0</v>
      </c>
      <c r="N3292" s="62" t="n">
        <v>1</v>
      </c>
      <c r="O3292" s="62" t="n">
        <v>1</v>
      </c>
      <c r="P3292" s="62" t="n">
        <v>1</v>
      </c>
      <c r="Q3292" s="62" t="n">
        <v>0</v>
      </c>
      <c r="R3292" s="62" t="n">
        <v>0</v>
      </c>
      <c r="S3292" s="62" t="n">
        <v>0</v>
      </c>
      <c r="T3292" s="62" t="n">
        <v>0</v>
      </c>
      <c r="U3292" s="62"/>
      <c r="V3292" s="62"/>
      <c r="W3292" s="62"/>
      <c r="X3292" s="62"/>
      <c r="Y3292" s="62"/>
      <c r="Z3292" s="62" t="s">
        <v>6004</v>
      </c>
      <c r="AA3292" s="62" t="s">
        <v>6005</v>
      </c>
      <c r="AB3292" s="62" t="n">
        <v>1</v>
      </c>
      <c r="AC3292" s="62" t="n">
        <v>0</v>
      </c>
      <c r="AD3292" s="62" t="n">
        <v>1</v>
      </c>
      <c r="AE3292" s="62" t="n">
        <f aca="false">IF(AND(Dashboard!$C$9="Yes",AC3292=1),0,1)</f>
        <v>1</v>
      </c>
      <c r="AF3292" s="62" t="n">
        <v>1</v>
      </c>
    </row>
    <row r="3293" customFormat="false" ht="15" hidden="false" customHeight="false" outlineLevel="0" collapsed="false">
      <c r="A3293" s="62" t="n">
        <v>3292</v>
      </c>
      <c r="B3293" s="63" t="n">
        <v>46302.125625</v>
      </c>
      <c r="C3293" s="64" t="n">
        <v>46301</v>
      </c>
      <c r="D3293" s="62" t="s">
        <v>501</v>
      </c>
      <c r="E3293" s="62" t="s">
        <v>5004</v>
      </c>
      <c r="F3293" s="62" t="s">
        <v>5004</v>
      </c>
      <c r="G3293" s="62" t="s">
        <v>5005</v>
      </c>
      <c r="H3293" s="62" t="s">
        <v>46</v>
      </c>
      <c r="I3293" s="62" t="s">
        <v>47</v>
      </c>
      <c r="J3293" s="62" t="s">
        <v>146</v>
      </c>
      <c r="K3293" s="62" t="s">
        <v>147</v>
      </c>
      <c r="L3293" s="62" t="s">
        <v>4</v>
      </c>
      <c r="M3293" s="62" t="n">
        <v>1</v>
      </c>
      <c r="N3293" s="62" t="n">
        <v>0</v>
      </c>
      <c r="O3293" s="62" t="n">
        <v>1</v>
      </c>
      <c r="P3293" s="62" t="n">
        <v>0</v>
      </c>
      <c r="Q3293" s="62" t="n">
        <v>0</v>
      </c>
      <c r="R3293" s="62" t="n">
        <v>0</v>
      </c>
      <c r="S3293" s="62" t="n">
        <v>0</v>
      </c>
      <c r="T3293" s="62" t="n">
        <v>0</v>
      </c>
      <c r="U3293" s="62" t="s">
        <v>2056</v>
      </c>
      <c r="V3293" s="62" t="s">
        <v>2057</v>
      </c>
      <c r="W3293" s="62" t="s">
        <v>15</v>
      </c>
      <c r="X3293" s="62" t="s">
        <v>2180</v>
      </c>
      <c r="Y3293" s="62" t="s">
        <v>2103</v>
      </c>
      <c r="Z3293" s="62" t="s">
        <v>6006</v>
      </c>
      <c r="AA3293" s="62" t="s">
        <v>6007</v>
      </c>
      <c r="AB3293" s="62" t="n">
        <v>1</v>
      </c>
      <c r="AC3293" s="62" t="n">
        <v>0</v>
      </c>
      <c r="AD3293" s="62" t="n">
        <v>1</v>
      </c>
      <c r="AE3293" s="62" t="n">
        <f aca="false">IF(AND(Dashboard!$C$9="Yes",AC3293=1),0,1)</f>
        <v>1</v>
      </c>
      <c r="AF3293" s="62" t="n">
        <v>1</v>
      </c>
    </row>
    <row r="3294" customFormat="false" ht="15" hidden="false" customHeight="false" outlineLevel="0" collapsed="false">
      <c r="A3294" s="62" t="n">
        <v>3293</v>
      </c>
      <c r="B3294" s="63" t="n">
        <v>46302.1418287037</v>
      </c>
      <c r="C3294" s="64" t="n">
        <v>46301</v>
      </c>
      <c r="D3294" s="62" t="s">
        <v>501</v>
      </c>
      <c r="E3294" s="62" t="s">
        <v>5255</v>
      </c>
      <c r="F3294" s="62" t="s">
        <v>5255</v>
      </c>
      <c r="G3294" s="62" t="s">
        <v>5256</v>
      </c>
      <c r="H3294" s="62" t="s">
        <v>55</v>
      </c>
      <c r="I3294" s="62" t="s">
        <v>49</v>
      </c>
      <c r="J3294" s="62" t="s">
        <v>3708</v>
      </c>
      <c r="K3294" s="62" t="s">
        <v>209</v>
      </c>
      <c r="L3294" s="62" t="s">
        <v>4</v>
      </c>
      <c r="M3294" s="62" t="n">
        <v>1</v>
      </c>
      <c r="N3294" s="62" t="n">
        <v>0</v>
      </c>
      <c r="O3294" s="62" t="n">
        <v>1</v>
      </c>
      <c r="P3294" s="62" t="n">
        <v>0</v>
      </c>
      <c r="Q3294" s="62" t="n">
        <v>0</v>
      </c>
      <c r="R3294" s="62" t="n">
        <v>0</v>
      </c>
      <c r="S3294" s="62" t="n">
        <v>0</v>
      </c>
      <c r="T3294" s="62" t="n">
        <v>0</v>
      </c>
      <c r="U3294" s="62" t="s">
        <v>15</v>
      </c>
      <c r="V3294" s="62" t="s">
        <v>2057</v>
      </c>
      <c r="W3294" s="62" t="s">
        <v>2056</v>
      </c>
      <c r="X3294" s="62" t="s">
        <v>2058</v>
      </c>
      <c r="Y3294" s="62" t="s">
        <v>2064</v>
      </c>
      <c r="Z3294" s="62" t="s">
        <v>6008</v>
      </c>
      <c r="AA3294" s="62" t="s">
        <v>6009</v>
      </c>
      <c r="AB3294" s="62" t="n">
        <v>1</v>
      </c>
      <c r="AC3294" s="62" t="n">
        <v>0</v>
      </c>
      <c r="AD3294" s="62" t="n">
        <v>1</v>
      </c>
      <c r="AE3294" s="62" t="n">
        <f aca="false">IF(AND(Dashboard!$C$9="Yes",AC3294=1),0,1)</f>
        <v>1</v>
      </c>
      <c r="AF3294" s="62" t="n">
        <v>1</v>
      </c>
    </row>
    <row r="3295" customFormat="false" ht="15" hidden="false" customHeight="false" outlineLevel="0" collapsed="false">
      <c r="A3295" s="62" t="n">
        <v>3294</v>
      </c>
      <c r="B3295" s="63" t="n">
        <v>46302.1421527778</v>
      </c>
      <c r="C3295" s="64" t="n">
        <v>46301</v>
      </c>
      <c r="D3295" s="62" t="s">
        <v>501</v>
      </c>
      <c r="E3295" s="62" t="s">
        <v>3018</v>
      </c>
      <c r="F3295" s="62" t="s">
        <v>3018</v>
      </c>
      <c r="G3295" s="62" t="s">
        <v>3019</v>
      </c>
      <c r="H3295" s="62" t="s">
        <v>58</v>
      </c>
      <c r="I3295" s="62" t="s">
        <v>49</v>
      </c>
      <c r="J3295" s="62" t="s">
        <v>146</v>
      </c>
      <c r="K3295" s="62" t="s">
        <v>175</v>
      </c>
      <c r="L3295" s="62" t="s">
        <v>4</v>
      </c>
      <c r="M3295" s="62" t="n">
        <v>1</v>
      </c>
      <c r="N3295" s="62" t="n">
        <v>0</v>
      </c>
      <c r="O3295" s="62" t="n">
        <v>1</v>
      </c>
      <c r="P3295" s="62" t="n">
        <v>0</v>
      </c>
      <c r="Q3295" s="62" t="n">
        <v>0</v>
      </c>
      <c r="R3295" s="62" t="n">
        <v>0</v>
      </c>
      <c r="S3295" s="62" t="n">
        <v>0</v>
      </c>
      <c r="T3295" s="62" t="n">
        <v>0</v>
      </c>
      <c r="U3295" s="62" t="s">
        <v>2056</v>
      </c>
      <c r="V3295" s="62" t="s">
        <v>2057</v>
      </c>
      <c r="W3295" s="62" t="s">
        <v>15</v>
      </c>
      <c r="X3295" s="62" t="s">
        <v>2058</v>
      </c>
      <c r="Y3295" s="62" t="s">
        <v>2059</v>
      </c>
      <c r="Z3295" s="62" t="s">
        <v>6010</v>
      </c>
      <c r="AA3295" s="62" t="s">
        <v>6011</v>
      </c>
      <c r="AB3295" s="62" t="n">
        <v>1</v>
      </c>
      <c r="AC3295" s="62" t="n">
        <v>0</v>
      </c>
      <c r="AD3295" s="62" t="n">
        <v>1</v>
      </c>
      <c r="AE3295" s="62" t="n">
        <f aca="false">IF(AND(Dashboard!$C$9="Yes",AC3295=1),0,1)</f>
        <v>1</v>
      </c>
      <c r="AF3295" s="62" t="n">
        <v>0</v>
      </c>
    </row>
    <row r="3296" customFormat="false" ht="15" hidden="false" customHeight="false" outlineLevel="0" collapsed="false">
      <c r="A3296" s="62" t="n">
        <v>3295</v>
      </c>
      <c r="B3296" s="63" t="n">
        <v>46302.1556828704</v>
      </c>
      <c r="C3296" s="64" t="n">
        <v>46301</v>
      </c>
      <c r="D3296" s="62" t="s">
        <v>501</v>
      </c>
      <c r="E3296" s="62" t="s">
        <v>2183</v>
      </c>
      <c r="F3296" s="62" t="s">
        <v>2183</v>
      </c>
      <c r="G3296" s="62" t="s">
        <v>2184</v>
      </c>
      <c r="H3296" s="62" t="s">
        <v>59</v>
      </c>
      <c r="I3296" s="62" t="s">
        <v>47</v>
      </c>
      <c r="J3296" s="62" t="s">
        <v>146</v>
      </c>
      <c r="K3296" s="62" t="s">
        <v>209</v>
      </c>
      <c r="L3296" s="62" t="s">
        <v>148</v>
      </c>
      <c r="M3296" s="62" t="n">
        <v>0</v>
      </c>
      <c r="N3296" s="62" t="n">
        <v>1</v>
      </c>
      <c r="O3296" s="62" t="n">
        <v>1</v>
      </c>
      <c r="P3296" s="62" t="n">
        <v>0</v>
      </c>
      <c r="Q3296" s="62" t="n">
        <v>0</v>
      </c>
      <c r="R3296" s="62" t="n">
        <v>0</v>
      </c>
      <c r="S3296" s="62" t="n">
        <v>1</v>
      </c>
      <c r="T3296" s="62" t="n">
        <v>0</v>
      </c>
      <c r="U3296" s="62"/>
      <c r="V3296" s="62"/>
      <c r="W3296" s="62"/>
      <c r="X3296" s="62"/>
      <c r="Y3296" s="62"/>
      <c r="Z3296" s="62" t="s">
        <v>6012</v>
      </c>
      <c r="AA3296" s="62" t="s">
        <v>6012</v>
      </c>
      <c r="AB3296" s="62" t="n">
        <v>1</v>
      </c>
      <c r="AC3296" s="62" t="n">
        <v>0</v>
      </c>
      <c r="AD3296" s="62" t="n">
        <v>1</v>
      </c>
      <c r="AE3296" s="62" t="n">
        <f aca="false">IF(AND(Dashboard!$C$9="Yes",AC3296=1),0,1)</f>
        <v>1</v>
      </c>
      <c r="AF3296" s="62" t="n">
        <v>1</v>
      </c>
    </row>
    <row r="3297" customFormat="false" ht="15" hidden="false" customHeight="false" outlineLevel="0" collapsed="false">
      <c r="A3297" s="62" t="n">
        <v>3296</v>
      </c>
      <c r="B3297" s="63" t="n">
        <v>46302.158125</v>
      </c>
      <c r="C3297" s="64" t="n">
        <v>46301</v>
      </c>
      <c r="D3297" s="62" t="s">
        <v>501</v>
      </c>
      <c r="E3297" s="62" t="s">
        <v>3714</v>
      </c>
      <c r="F3297" s="62" t="s">
        <v>3714</v>
      </c>
      <c r="G3297" s="62" t="s">
        <v>3715</v>
      </c>
      <c r="H3297" s="62" t="s">
        <v>55</v>
      </c>
      <c r="I3297" s="62" t="s">
        <v>49</v>
      </c>
      <c r="J3297" s="62" t="s">
        <v>3708</v>
      </c>
      <c r="K3297" s="62" t="s">
        <v>209</v>
      </c>
      <c r="L3297" s="62" t="s">
        <v>4</v>
      </c>
      <c r="M3297" s="62" t="n">
        <v>1</v>
      </c>
      <c r="N3297" s="62" t="n">
        <v>0</v>
      </c>
      <c r="O3297" s="62" t="n">
        <v>1</v>
      </c>
      <c r="P3297" s="62" t="n">
        <v>0</v>
      </c>
      <c r="Q3297" s="62" t="n">
        <v>0</v>
      </c>
      <c r="R3297" s="62" t="n">
        <v>0</v>
      </c>
      <c r="S3297" s="62" t="n">
        <v>0</v>
      </c>
      <c r="T3297" s="62" t="n">
        <v>0</v>
      </c>
      <c r="U3297" s="62" t="s">
        <v>15</v>
      </c>
      <c r="V3297" s="62" t="s">
        <v>2057</v>
      </c>
      <c r="W3297" s="62" t="s">
        <v>2056</v>
      </c>
      <c r="X3297" s="62" t="s">
        <v>2125</v>
      </c>
      <c r="Y3297" s="62" t="s">
        <v>2181</v>
      </c>
      <c r="Z3297" s="62" t="s">
        <v>6013</v>
      </c>
      <c r="AA3297" s="62" t="s">
        <v>6014</v>
      </c>
      <c r="AB3297" s="62" t="n">
        <v>1</v>
      </c>
      <c r="AC3297" s="62" t="n">
        <v>0</v>
      </c>
      <c r="AD3297" s="62" t="n">
        <v>1</v>
      </c>
      <c r="AE3297" s="62" t="n">
        <f aca="false">IF(AND(Dashboard!$C$9="Yes",AC3297=1),0,1)</f>
        <v>1</v>
      </c>
      <c r="AF3297" s="62" t="n">
        <v>1</v>
      </c>
    </row>
    <row r="3298" customFormat="false" ht="15" hidden="false" customHeight="false" outlineLevel="0" collapsed="false">
      <c r="A3298" s="62" t="n">
        <v>3297</v>
      </c>
      <c r="B3298" s="63" t="n">
        <v>46302.1623726852</v>
      </c>
      <c r="C3298" s="64" t="n">
        <v>46301</v>
      </c>
      <c r="D3298" s="62" t="s">
        <v>501</v>
      </c>
      <c r="E3298" s="62" t="s">
        <v>2845</v>
      </c>
      <c r="F3298" s="62" t="s">
        <v>2845</v>
      </c>
      <c r="G3298" s="62" t="s">
        <v>181</v>
      </c>
      <c r="H3298" s="62" t="s">
        <v>48</v>
      </c>
      <c r="I3298" s="62" t="s">
        <v>49</v>
      </c>
      <c r="J3298" s="62" t="s">
        <v>146</v>
      </c>
      <c r="K3298" s="62" t="s">
        <v>209</v>
      </c>
      <c r="L3298" s="62" t="s">
        <v>148</v>
      </c>
      <c r="M3298" s="62" t="n">
        <v>0</v>
      </c>
      <c r="N3298" s="62" t="n">
        <v>1</v>
      </c>
      <c r="O3298" s="62" t="n">
        <v>1</v>
      </c>
      <c r="P3298" s="62" t="n">
        <v>0</v>
      </c>
      <c r="Q3298" s="62" t="n">
        <v>0</v>
      </c>
      <c r="R3298" s="62" t="n">
        <v>0</v>
      </c>
      <c r="S3298" s="62" t="n">
        <v>1</v>
      </c>
      <c r="T3298" s="62" t="n">
        <v>1</v>
      </c>
      <c r="U3298" s="62"/>
      <c r="V3298" s="62"/>
      <c r="W3298" s="62"/>
      <c r="X3298" s="62"/>
      <c r="Y3298" s="62"/>
      <c r="Z3298" s="62" t="s">
        <v>6015</v>
      </c>
      <c r="AA3298" s="62" t="s">
        <v>6016</v>
      </c>
      <c r="AB3298" s="62" t="n">
        <v>1</v>
      </c>
      <c r="AC3298" s="62" t="n">
        <v>0</v>
      </c>
      <c r="AD3298" s="62" t="n">
        <v>1</v>
      </c>
      <c r="AE3298" s="62" t="n">
        <f aca="false">IF(AND(Dashboard!$C$9="Yes",AC3298=1),0,1)</f>
        <v>1</v>
      </c>
      <c r="AF3298" s="62" t="n">
        <v>1</v>
      </c>
    </row>
    <row r="3299" customFormat="false" ht="15" hidden="false" customHeight="false" outlineLevel="0" collapsed="false">
      <c r="A3299" s="62" t="n">
        <v>3298</v>
      </c>
      <c r="B3299" s="63" t="n">
        <v>46302.1633217593</v>
      </c>
      <c r="C3299" s="64" t="n">
        <v>46301</v>
      </c>
      <c r="D3299" s="62" t="s">
        <v>501</v>
      </c>
      <c r="E3299" s="62" t="s">
        <v>5333</v>
      </c>
      <c r="F3299" s="62" t="s">
        <v>5333</v>
      </c>
      <c r="G3299" s="62" t="s">
        <v>5334</v>
      </c>
      <c r="H3299" s="62" t="s">
        <v>55</v>
      </c>
      <c r="I3299" s="62" t="s">
        <v>49</v>
      </c>
      <c r="J3299" s="62" t="s">
        <v>3708</v>
      </c>
      <c r="K3299" s="62" t="s">
        <v>209</v>
      </c>
      <c r="L3299" s="62" t="s">
        <v>148</v>
      </c>
      <c r="M3299" s="62" t="n">
        <v>0</v>
      </c>
      <c r="N3299" s="62" t="n">
        <v>1</v>
      </c>
      <c r="O3299" s="62" t="n">
        <v>1</v>
      </c>
      <c r="P3299" s="62" t="n">
        <v>1</v>
      </c>
      <c r="Q3299" s="62" t="n">
        <v>0</v>
      </c>
      <c r="R3299" s="62" t="n">
        <v>0</v>
      </c>
      <c r="S3299" s="62" t="n">
        <v>0</v>
      </c>
      <c r="T3299" s="62" t="n">
        <v>0</v>
      </c>
      <c r="U3299" s="62"/>
      <c r="V3299" s="62"/>
      <c r="W3299" s="62"/>
      <c r="X3299" s="62"/>
      <c r="Y3299" s="62"/>
      <c r="Z3299" s="62" t="s">
        <v>6017</v>
      </c>
      <c r="AA3299" s="62" t="s">
        <v>6018</v>
      </c>
      <c r="AB3299" s="62" t="n">
        <v>1</v>
      </c>
      <c r="AC3299" s="62" t="n">
        <v>0</v>
      </c>
      <c r="AD3299" s="62" t="n">
        <v>1</v>
      </c>
      <c r="AE3299" s="62" t="n">
        <f aca="false">IF(AND(Dashboard!$C$9="Yes",AC3299=1),0,1)</f>
        <v>1</v>
      </c>
      <c r="AF3299" s="62" t="n">
        <v>1</v>
      </c>
    </row>
    <row r="3300" customFormat="false" ht="15" hidden="false" customHeight="false" outlineLevel="0" collapsed="false">
      <c r="A3300" s="62" t="n">
        <v>3299</v>
      </c>
      <c r="B3300" s="63" t="n">
        <v>46302.1636574074</v>
      </c>
      <c r="C3300" s="64" t="n">
        <v>46301</v>
      </c>
      <c r="D3300" s="62" t="s">
        <v>501</v>
      </c>
      <c r="E3300" s="62" t="s">
        <v>5333</v>
      </c>
      <c r="F3300" s="62" t="s">
        <v>5333</v>
      </c>
      <c r="G3300" s="62" t="s">
        <v>5334</v>
      </c>
      <c r="H3300" s="62" t="s">
        <v>55</v>
      </c>
      <c r="I3300" s="62" t="s">
        <v>49</v>
      </c>
      <c r="J3300" s="62" t="s">
        <v>3708</v>
      </c>
      <c r="K3300" s="62" t="s">
        <v>209</v>
      </c>
      <c r="L3300" s="62" t="s">
        <v>148</v>
      </c>
      <c r="M3300" s="62" t="n">
        <v>0</v>
      </c>
      <c r="N3300" s="62" t="n">
        <v>1</v>
      </c>
      <c r="O3300" s="62" t="n">
        <v>1</v>
      </c>
      <c r="P3300" s="62" t="n">
        <v>0</v>
      </c>
      <c r="Q3300" s="62" t="n">
        <v>0</v>
      </c>
      <c r="R3300" s="62" t="n">
        <v>0</v>
      </c>
      <c r="S3300" s="62" t="n">
        <v>0</v>
      </c>
      <c r="T3300" s="62" t="n">
        <v>1</v>
      </c>
      <c r="U3300" s="62"/>
      <c r="V3300" s="62"/>
      <c r="W3300" s="62"/>
      <c r="X3300" s="62"/>
      <c r="Y3300" s="62"/>
      <c r="Z3300" s="62" t="s">
        <v>6019</v>
      </c>
      <c r="AA3300" s="62" t="s">
        <v>6020</v>
      </c>
      <c r="AB3300" s="62" t="n">
        <v>1</v>
      </c>
      <c r="AC3300" s="62" t="n">
        <v>0</v>
      </c>
      <c r="AD3300" s="62" t="n">
        <v>1</v>
      </c>
      <c r="AE3300" s="62" t="n">
        <f aca="false">IF(AND(Dashboard!$C$9="Yes",AC3300=1),0,1)</f>
        <v>1</v>
      </c>
      <c r="AF3300" s="62" t="n">
        <v>0</v>
      </c>
    </row>
    <row r="3301" customFormat="false" ht="15" hidden="false" customHeight="false" outlineLevel="0" collapsed="false">
      <c r="A3301" s="62" t="n">
        <v>3300</v>
      </c>
      <c r="B3301" s="63" t="n">
        <v>46302.1676157407</v>
      </c>
      <c r="C3301" s="64" t="n">
        <v>46301</v>
      </c>
      <c r="D3301" s="62" t="s">
        <v>501</v>
      </c>
      <c r="E3301" s="62" t="s">
        <v>1827</v>
      </c>
      <c r="F3301" s="62" t="s">
        <v>1827</v>
      </c>
      <c r="G3301" s="62" t="s">
        <v>1828</v>
      </c>
      <c r="H3301" s="62" t="s">
        <v>59</v>
      </c>
      <c r="I3301" s="62" t="s">
        <v>47</v>
      </c>
      <c r="J3301" s="62" t="s">
        <v>146</v>
      </c>
      <c r="K3301" s="62" t="s">
        <v>209</v>
      </c>
      <c r="L3301" s="62" t="s">
        <v>4</v>
      </c>
      <c r="M3301" s="62" t="n">
        <v>1</v>
      </c>
      <c r="N3301" s="62" t="n">
        <v>0</v>
      </c>
      <c r="O3301" s="62" t="n">
        <v>1</v>
      </c>
      <c r="P3301" s="62" t="n">
        <v>0</v>
      </c>
      <c r="Q3301" s="62" t="n">
        <v>0</v>
      </c>
      <c r="R3301" s="62" t="n">
        <v>0</v>
      </c>
      <c r="S3301" s="62" t="n">
        <v>0</v>
      </c>
      <c r="T3301" s="62" t="n">
        <v>0</v>
      </c>
      <c r="U3301" s="62" t="s">
        <v>2056</v>
      </c>
      <c r="V3301" s="62" t="s">
        <v>2057</v>
      </c>
      <c r="W3301" s="62" t="s">
        <v>2056</v>
      </c>
      <c r="X3301" s="62" t="s">
        <v>2125</v>
      </c>
      <c r="Y3301" s="62" t="s">
        <v>2181</v>
      </c>
      <c r="Z3301" s="62" t="s">
        <v>6021</v>
      </c>
      <c r="AA3301" s="62" t="s">
        <v>6022</v>
      </c>
      <c r="AB3301" s="62" t="n">
        <v>1</v>
      </c>
      <c r="AC3301" s="62" t="n">
        <v>0</v>
      </c>
      <c r="AD3301" s="62" t="n">
        <v>1</v>
      </c>
      <c r="AE3301" s="62" t="n">
        <f aca="false">IF(AND(Dashboard!$C$9="Yes",AC3301=1),0,1)</f>
        <v>1</v>
      </c>
      <c r="AF3301" s="62" t="n">
        <v>1</v>
      </c>
    </row>
    <row r="3302" customFormat="false" ht="15" hidden="false" customHeight="false" outlineLevel="0" collapsed="false">
      <c r="A3302" s="62" t="n">
        <v>3301</v>
      </c>
      <c r="B3302" s="63" t="n">
        <v>46302.1913078704</v>
      </c>
      <c r="C3302" s="64" t="n">
        <v>46301</v>
      </c>
      <c r="D3302" s="62" t="s">
        <v>501</v>
      </c>
      <c r="E3302" s="62" t="s">
        <v>2395</v>
      </c>
      <c r="F3302" s="62" t="s">
        <v>2395</v>
      </c>
      <c r="G3302" s="62" t="s">
        <v>2396</v>
      </c>
      <c r="H3302" s="62" t="s">
        <v>59</v>
      </c>
      <c r="I3302" s="62" t="s">
        <v>47</v>
      </c>
      <c r="J3302" s="62" t="s">
        <v>146</v>
      </c>
      <c r="K3302" s="62" t="s">
        <v>209</v>
      </c>
      <c r="L3302" s="62" t="s">
        <v>148</v>
      </c>
      <c r="M3302" s="62" t="n">
        <v>0</v>
      </c>
      <c r="N3302" s="62" t="n">
        <v>1</v>
      </c>
      <c r="O3302" s="62" t="n">
        <v>1</v>
      </c>
      <c r="P3302" s="62" t="n">
        <v>1</v>
      </c>
      <c r="Q3302" s="62" t="n">
        <v>0</v>
      </c>
      <c r="R3302" s="62" t="n">
        <v>0</v>
      </c>
      <c r="S3302" s="62" t="n">
        <v>0</v>
      </c>
      <c r="T3302" s="62" t="n">
        <v>0</v>
      </c>
      <c r="U3302" s="62"/>
      <c r="V3302" s="62"/>
      <c r="W3302" s="62"/>
      <c r="X3302" s="62"/>
      <c r="Y3302" s="62"/>
      <c r="Z3302" s="62" t="s">
        <v>6023</v>
      </c>
      <c r="AA3302" s="62" t="s">
        <v>6024</v>
      </c>
      <c r="AB3302" s="62" t="n">
        <v>1</v>
      </c>
      <c r="AC3302" s="62" t="n">
        <v>0</v>
      </c>
      <c r="AD3302" s="62" t="n">
        <v>1</v>
      </c>
      <c r="AE3302" s="62" t="n">
        <f aca="false">IF(AND(Dashboard!$C$9="Yes",AC3302=1),0,1)</f>
        <v>1</v>
      </c>
      <c r="AF3302" s="62" t="n">
        <v>1</v>
      </c>
    </row>
    <row r="3303" customFormat="false" ht="15" hidden="false" customHeight="false" outlineLevel="0" collapsed="false">
      <c r="A3303" s="62" t="n">
        <v>3302</v>
      </c>
      <c r="B3303" s="63" t="n">
        <v>46302.6204282407</v>
      </c>
      <c r="C3303" s="64" t="n">
        <v>46302</v>
      </c>
      <c r="D3303" s="62" t="s">
        <v>143</v>
      </c>
      <c r="E3303" s="62" t="s">
        <v>4524</v>
      </c>
      <c r="F3303" s="62" t="s">
        <v>4524</v>
      </c>
      <c r="G3303" s="62" t="s">
        <v>4525</v>
      </c>
      <c r="H3303" s="62" t="s">
        <v>44</v>
      </c>
      <c r="I3303" s="62" t="s">
        <v>49</v>
      </c>
      <c r="J3303" s="62" t="s">
        <v>146</v>
      </c>
      <c r="K3303" s="62" t="s">
        <v>147</v>
      </c>
      <c r="L3303" s="62" t="s">
        <v>148</v>
      </c>
      <c r="M3303" s="62" t="n">
        <v>0</v>
      </c>
      <c r="N3303" s="62" t="n">
        <v>1</v>
      </c>
      <c r="O3303" s="62" t="n">
        <v>1</v>
      </c>
      <c r="P3303" s="62" t="n">
        <v>1</v>
      </c>
      <c r="Q3303" s="62" t="n">
        <v>0</v>
      </c>
      <c r="R3303" s="62" t="n">
        <v>0</v>
      </c>
      <c r="S3303" s="62" t="n">
        <v>0</v>
      </c>
      <c r="T3303" s="62" t="n">
        <v>0</v>
      </c>
      <c r="U3303" s="62"/>
      <c r="V3303" s="62"/>
      <c r="W3303" s="62"/>
      <c r="X3303" s="62"/>
      <c r="Y3303" s="62"/>
      <c r="Z3303" s="62" t="s">
        <v>6025</v>
      </c>
      <c r="AA3303" s="62" t="s">
        <v>6026</v>
      </c>
      <c r="AB3303" s="62" t="n">
        <v>1</v>
      </c>
      <c r="AC3303" s="62" t="n">
        <v>0</v>
      </c>
      <c r="AD3303" s="62" t="n">
        <v>1</v>
      </c>
      <c r="AE3303" s="62" t="n">
        <f aca="false">IF(AND(Dashboard!$C$9="Yes",AC3303=1),0,1)</f>
        <v>1</v>
      </c>
      <c r="AF3303" s="62" t="n">
        <v>1</v>
      </c>
    </row>
    <row r="3304" customFormat="false" ht="15" hidden="false" customHeight="false" outlineLevel="0" collapsed="false">
      <c r="A3304" s="62" t="n">
        <v>3303</v>
      </c>
      <c r="B3304" s="63" t="n">
        <v>46302.6759837963</v>
      </c>
      <c r="C3304" s="64" t="n">
        <v>46302</v>
      </c>
      <c r="D3304" s="62" t="s">
        <v>143</v>
      </c>
      <c r="E3304" s="62" t="s">
        <v>4242</v>
      </c>
      <c r="F3304" s="62" t="s">
        <v>4242</v>
      </c>
      <c r="G3304" s="62" t="s">
        <v>4243</v>
      </c>
      <c r="H3304" s="62" t="s">
        <v>44</v>
      </c>
      <c r="I3304" s="62" t="s">
        <v>49</v>
      </c>
      <c r="J3304" s="62" t="s">
        <v>146</v>
      </c>
      <c r="K3304" s="62" t="s">
        <v>147</v>
      </c>
      <c r="L3304" s="62" t="s">
        <v>148</v>
      </c>
      <c r="M3304" s="62" t="n">
        <v>0</v>
      </c>
      <c r="N3304" s="62" t="n">
        <v>1</v>
      </c>
      <c r="O3304" s="62" t="n">
        <v>1</v>
      </c>
      <c r="P3304" s="62" t="n">
        <v>1</v>
      </c>
      <c r="Q3304" s="62" t="n">
        <v>0</v>
      </c>
      <c r="R3304" s="62" t="n">
        <v>0</v>
      </c>
      <c r="S3304" s="62" t="n">
        <v>0</v>
      </c>
      <c r="T3304" s="62" t="n">
        <v>0</v>
      </c>
      <c r="U3304" s="62"/>
      <c r="V3304" s="62"/>
      <c r="W3304" s="62"/>
      <c r="X3304" s="62"/>
      <c r="Y3304" s="62"/>
      <c r="Z3304" s="62" t="s">
        <v>6027</v>
      </c>
      <c r="AA3304" s="62" t="s">
        <v>6028</v>
      </c>
      <c r="AB3304" s="62" t="n">
        <v>1</v>
      </c>
      <c r="AC3304" s="62" t="n">
        <v>0</v>
      </c>
      <c r="AD3304" s="62" t="n">
        <v>1</v>
      </c>
      <c r="AE3304" s="62" t="n">
        <f aca="false">IF(AND(Dashboard!$C$9="Yes",AC3304=1),0,1)</f>
        <v>1</v>
      </c>
      <c r="AF3304" s="62" t="n">
        <v>1</v>
      </c>
    </row>
    <row r="3305" customFormat="false" ht="15" hidden="false" customHeight="false" outlineLevel="0" collapsed="false">
      <c r="A3305" s="62" t="n">
        <v>3304</v>
      </c>
      <c r="B3305" s="63" t="n">
        <v>46302.6997453704</v>
      </c>
      <c r="C3305" s="64" t="n">
        <v>46302</v>
      </c>
      <c r="D3305" s="62" t="s">
        <v>143</v>
      </c>
      <c r="E3305" s="62" t="s">
        <v>3874</v>
      </c>
      <c r="F3305" s="62" t="s">
        <v>3874</v>
      </c>
      <c r="G3305" s="62" t="s">
        <v>3875</v>
      </c>
      <c r="H3305" s="62" t="s">
        <v>59</v>
      </c>
      <c r="I3305" s="62" t="s">
        <v>47</v>
      </c>
      <c r="J3305" s="62" t="s">
        <v>146</v>
      </c>
      <c r="K3305" s="62" t="s">
        <v>209</v>
      </c>
      <c r="L3305" s="62" t="s">
        <v>148</v>
      </c>
      <c r="M3305" s="62" t="n">
        <v>0</v>
      </c>
      <c r="N3305" s="62" t="n">
        <v>1</v>
      </c>
      <c r="O3305" s="62" t="n">
        <v>1</v>
      </c>
      <c r="P3305" s="62" t="n">
        <v>0</v>
      </c>
      <c r="Q3305" s="62" t="n">
        <v>0</v>
      </c>
      <c r="R3305" s="62" t="n">
        <v>1</v>
      </c>
      <c r="S3305" s="62" t="n">
        <v>0</v>
      </c>
      <c r="T3305" s="62" t="n">
        <v>0</v>
      </c>
      <c r="U3305" s="62"/>
      <c r="V3305" s="62"/>
      <c r="W3305" s="62"/>
      <c r="X3305" s="62"/>
      <c r="Y3305" s="62"/>
      <c r="Z3305" s="62" t="s">
        <v>6029</v>
      </c>
      <c r="AA3305" s="62" t="s">
        <v>6030</v>
      </c>
      <c r="AB3305" s="62" t="n">
        <v>1</v>
      </c>
      <c r="AC3305" s="62" t="n">
        <v>0</v>
      </c>
      <c r="AD3305" s="62" t="n">
        <v>1</v>
      </c>
      <c r="AE3305" s="62" t="n">
        <f aca="false">IF(AND(Dashboard!$C$9="Yes",AC3305=1),0,1)</f>
        <v>1</v>
      </c>
      <c r="AF3305" s="62" t="n">
        <v>1</v>
      </c>
    </row>
    <row r="3306" customFormat="false" ht="15" hidden="false" customHeight="false" outlineLevel="0" collapsed="false">
      <c r="A3306" s="62" t="n">
        <v>3305</v>
      </c>
      <c r="B3306" s="63" t="n">
        <v>46302.7008217593</v>
      </c>
      <c r="C3306" s="64" t="n">
        <v>46302</v>
      </c>
      <c r="D3306" s="62" t="s">
        <v>143</v>
      </c>
      <c r="E3306" s="62" t="s">
        <v>3197</v>
      </c>
      <c r="F3306" s="62" t="s">
        <v>3197</v>
      </c>
      <c r="G3306" s="62" t="s">
        <v>3198</v>
      </c>
      <c r="H3306" s="62" t="s">
        <v>44</v>
      </c>
      <c r="I3306" s="62" t="s">
        <v>49</v>
      </c>
      <c r="J3306" s="62" t="s">
        <v>146</v>
      </c>
      <c r="K3306" s="62" t="s">
        <v>147</v>
      </c>
      <c r="L3306" s="62" t="s">
        <v>148</v>
      </c>
      <c r="M3306" s="62" t="n">
        <v>0</v>
      </c>
      <c r="N3306" s="62" t="n">
        <v>1</v>
      </c>
      <c r="O3306" s="62" t="n">
        <v>1</v>
      </c>
      <c r="P3306" s="62" t="n">
        <v>1</v>
      </c>
      <c r="Q3306" s="62" t="n">
        <v>0</v>
      </c>
      <c r="R3306" s="62" t="n">
        <v>0</v>
      </c>
      <c r="S3306" s="62" t="n">
        <v>0</v>
      </c>
      <c r="T3306" s="62" t="n">
        <v>0</v>
      </c>
      <c r="U3306" s="62"/>
      <c r="V3306" s="62"/>
      <c r="W3306" s="62"/>
      <c r="X3306" s="62"/>
      <c r="Y3306" s="62"/>
      <c r="Z3306" s="62" t="s">
        <v>6031</v>
      </c>
      <c r="AA3306" s="62" t="s">
        <v>6032</v>
      </c>
      <c r="AB3306" s="62" t="n">
        <v>1</v>
      </c>
      <c r="AC3306" s="62" t="n">
        <v>0</v>
      </c>
      <c r="AD3306" s="62" t="n">
        <v>1</v>
      </c>
      <c r="AE3306" s="62" t="n">
        <f aca="false">IF(AND(Dashboard!$C$9="Yes",AC3306=1),0,1)</f>
        <v>1</v>
      </c>
      <c r="AF3306" s="62" t="n">
        <v>1</v>
      </c>
    </row>
    <row r="3307" customFormat="false" ht="15" hidden="false" customHeight="false" outlineLevel="0" collapsed="false">
      <c r="A3307" s="62" t="n">
        <v>3306</v>
      </c>
      <c r="B3307" s="63" t="n">
        <v>46302.7040277778</v>
      </c>
      <c r="C3307" s="64" t="n">
        <v>46302</v>
      </c>
      <c r="D3307" s="62" t="s">
        <v>143</v>
      </c>
      <c r="E3307" s="62" t="s">
        <v>3181</v>
      </c>
      <c r="F3307" s="62" t="s">
        <v>3181</v>
      </c>
      <c r="G3307" s="62" t="s">
        <v>3182</v>
      </c>
      <c r="H3307" s="62" t="s">
        <v>58</v>
      </c>
      <c r="I3307" s="62" t="s">
        <v>49</v>
      </c>
      <c r="J3307" s="62" t="s">
        <v>146</v>
      </c>
      <c r="K3307" s="62" t="s">
        <v>209</v>
      </c>
      <c r="L3307" s="62" t="s">
        <v>148</v>
      </c>
      <c r="M3307" s="62" t="n">
        <v>0</v>
      </c>
      <c r="N3307" s="62" t="n">
        <v>2</v>
      </c>
      <c r="O3307" s="62" t="n">
        <v>2</v>
      </c>
      <c r="P3307" s="62" t="n">
        <v>1</v>
      </c>
      <c r="Q3307" s="62" t="n">
        <v>1</v>
      </c>
      <c r="R3307" s="62" t="n">
        <v>0</v>
      </c>
      <c r="S3307" s="62" t="n">
        <v>0</v>
      </c>
      <c r="T3307" s="62" t="n">
        <v>0</v>
      </c>
      <c r="U3307" s="62"/>
      <c r="V3307" s="62"/>
      <c r="W3307" s="62"/>
      <c r="X3307" s="62"/>
      <c r="Y3307" s="62"/>
      <c r="Z3307" s="62" t="s">
        <v>6033</v>
      </c>
      <c r="AA3307" s="62" t="s">
        <v>3868</v>
      </c>
      <c r="AB3307" s="62" t="n">
        <v>0</v>
      </c>
      <c r="AC3307" s="62" t="n">
        <v>0</v>
      </c>
      <c r="AD3307" s="62" t="n">
        <v>1</v>
      </c>
      <c r="AE3307" s="62" t="n">
        <f aca="false">IF(AND(Dashboard!$C$9="Yes",AC3307=1),0,1)</f>
        <v>1</v>
      </c>
      <c r="AF3307" s="62" t="n">
        <v>1</v>
      </c>
    </row>
    <row r="3308" customFormat="false" ht="15" hidden="false" customHeight="false" outlineLevel="0" collapsed="false">
      <c r="A3308" s="62" t="n">
        <v>3307</v>
      </c>
      <c r="B3308" s="63" t="n">
        <v>46302.7147337963</v>
      </c>
      <c r="C3308" s="64" t="n">
        <v>46302</v>
      </c>
      <c r="D3308" s="62" t="s">
        <v>143</v>
      </c>
      <c r="E3308" s="62" t="s">
        <v>3197</v>
      </c>
      <c r="F3308" s="62" t="s">
        <v>3197</v>
      </c>
      <c r="G3308" s="62" t="s">
        <v>3198</v>
      </c>
      <c r="H3308" s="62" t="s">
        <v>44</v>
      </c>
      <c r="I3308" s="62" t="s">
        <v>49</v>
      </c>
      <c r="J3308" s="62" t="s">
        <v>146</v>
      </c>
      <c r="K3308" s="62" t="s">
        <v>147</v>
      </c>
      <c r="L3308" s="62" t="s">
        <v>4</v>
      </c>
      <c r="M3308" s="62" t="n">
        <v>1</v>
      </c>
      <c r="N3308" s="62" t="n">
        <v>0</v>
      </c>
      <c r="O3308" s="62" t="n">
        <v>1</v>
      </c>
      <c r="P3308" s="62" t="n">
        <v>0</v>
      </c>
      <c r="Q3308" s="62" t="n">
        <v>0</v>
      </c>
      <c r="R3308" s="62" t="n">
        <v>0</v>
      </c>
      <c r="S3308" s="62" t="n">
        <v>0</v>
      </c>
      <c r="T3308" s="62" t="n">
        <v>0</v>
      </c>
      <c r="U3308" s="62" t="s">
        <v>2056</v>
      </c>
      <c r="V3308" s="62" t="s">
        <v>2057</v>
      </c>
      <c r="W3308" s="62" t="s">
        <v>15</v>
      </c>
      <c r="X3308" s="62" t="s">
        <v>2058</v>
      </c>
      <c r="Y3308" s="62" t="s">
        <v>2059</v>
      </c>
      <c r="Z3308" s="62" t="s">
        <v>6031</v>
      </c>
      <c r="AA3308" s="62" t="s">
        <v>6034</v>
      </c>
      <c r="AB3308" s="62" t="n">
        <v>1</v>
      </c>
      <c r="AC3308" s="62" t="n">
        <v>0</v>
      </c>
      <c r="AD3308" s="62" t="n">
        <v>1</v>
      </c>
      <c r="AE3308" s="62" t="n">
        <f aca="false">IF(AND(Dashboard!$C$9="Yes",AC3308=1),0,1)</f>
        <v>1</v>
      </c>
      <c r="AF3308" s="62" t="n">
        <v>0</v>
      </c>
    </row>
    <row r="3309" customFormat="false" ht="15" hidden="false" customHeight="false" outlineLevel="0" collapsed="false">
      <c r="A3309" s="62" t="n">
        <v>3308</v>
      </c>
      <c r="B3309" s="63" t="n">
        <v>46302.7270138889</v>
      </c>
      <c r="C3309" s="64" t="n">
        <v>46302</v>
      </c>
      <c r="D3309" s="62" t="s">
        <v>143</v>
      </c>
      <c r="E3309" s="62" t="s">
        <v>3181</v>
      </c>
      <c r="F3309" s="62" t="s">
        <v>3181</v>
      </c>
      <c r="G3309" s="62" t="s">
        <v>3182</v>
      </c>
      <c r="H3309" s="62" t="s">
        <v>58</v>
      </c>
      <c r="I3309" s="62" t="s">
        <v>49</v>
      </c>
      <c r="J3309" s="62" t="s">
        <v>146</v>
      </c>
      <c r="K3309" s="62" t="s">
        <v>209</v>
      </c>
      <c r="L3309" s="62" t="s">
        <v>148</v>
      </c>
      <c r="M3309" s="62" t="n">
        <v>0</v>
      </c>
      <c r="N3309" s="62" t="n">
        <v>2</v>
      </c>
      <c r="O3309" s="62" t="n">
        <v>2</v>
      </c>
      <c r="P3309" s="62" t="n">
        <v>1</v>
      </c>
      <c r="Q3309" s="62" t="n">
        <v>1</v>
      </c>
      <c r="R3309" s="62" t="n">
        <v>0</v>
      </c>
      <c r="S3309" s="62" t="n">
        <v>0</v>
      </c>
      <c r="T3309" s="62" t="n">
        <v>0</v>
      </c>
      <c r="U3309" s="62"/>
      <c r="V3309" s="62"/>
      <c r="W3309" s="62"/>
      <c r="X3309" s="62"/>
      <c r="Y3309" s="62"/>
      <c r="Z3309" s="62" t="s">
        <v>6035</v>
      </c>
      <c r="AA3309" s="62" t="s">
        <v>3868</v>
      </c>
      <c r="AB3309" s="62" t="n">
        <v>0</v>
      </c>
      <c r="AC3309" s="62" t="n">
        <v>0</v>
      </c>
      <c r="AD3309" s="62" t="n">
        <v>1</v>
      </c>
      <c r="AE3309" s="62" t="n">
        <f aca="false">IF(AND(Dashboard!$C$9="Yes",AC3309=1),0,1)</f>
        <v>1</v>
      </c>
      <c r="AF3309" s="62" t="n">
        <v>0</v>
      </c>
    </row>
    <row r="3310" customFormat="false" ht="15" hidden="false" customHeight="false" outlineLevel="0" collapsed="false">
      <c r="A3310" s="62" t="n">
        <v>3309</v>
      </c>
      <c r="B3310" s="63" t="n">
        <v>46302.7419675926</v>
      </c>
      <c r="C3310" s="64" t="n">
        <v>46302</v>
      </c>
      <c r="D3310" s="62" t="s">
        <v>143</v>
      </c>
      <c r="E3310" s="62" t="s">
        <v>2101</v>
      </c>
      <c r="F3310" s="62" t="s">
        <v>2101</v>
      </c>
      <c r="G3310" s="62" t="s">
        <v>2102</v>
      </c>
      <c r="H3310" s="62" t="s">
        <v>52</v>
      </c>
      <c r="I3310" s="62" t="s">
        <v>47</v>
      </c>
      <c r="J3310" s="62" t="s">
        <v>146</v>
      </c>
      <c r="K3310" s="62" t="s">
        <v>147</v>
      </c>
      <c r="L3310" s="62" t="s">
        <v>148</v>
      </c>
      <c r="M3310" s="62" t="n">
        <v>0</v>
      </c>
      <c r="N3310" s="62" t="n">
        <v>1</v>
      </c>
      <c r="O3310" s="62" t="n">
        <v>1</v>
      </c>
      <c r="P3310" s="62" t="n">
        <v>1</v>
      </c>
      <c r="Q3310" s="62" t="n">
        <v>0</v>
      </c>
      <c r="R3310" s="62" t="n">
        <v>0</v>
      </c>
      <c r="S3310" s="62" t="n">
        <v>0</v>
      </c>
      <c r="T3310" s="62" t="n">
        <v>0</v>
      </c>
      <c r="U3310" s="62"/>
      <c r="V3310" s="62"/>
      <c r="W3310" s="62"/>
      <c r="X3310" s="62"/>
      <c r="Y3310" s="62"/>
      <c r="Z3310" s="62" t="s">
        <v>6036</v>
      </c>
      <c r="AA3310" s="62" t="s">
        <v>6037</v>
      </c>
      <c r="AB3310" s="62" t="n">
        <v>1</v>
      </c>
      <c r="AC3310" s="62" t="n">
        <v>0</v>
      </c>
      <c r="AD3310" s="62" t="n">
        <v>1</v>
      </c>
      <c r="AE3310" s="62" t="n">
        <f aca="false">IF(AND(Dashboard!$C$9="Yes",AC3310=1),0,1)</f>
        <v>1</v>
      </c>
      <c r="AF3310" s="62" t="n">
        <v>1</v>
      </c>
    </row>
    <row r="3311" customFormat="false" ht="15" hidden="false" customHeight="false" outlineLevel="0" collapsed="false">
      <c r="A3311" s="62" t="n">
        <v>3310</v>
      </c>
      <c r="B3311" s="63" t="n">
        <v>46302.7643055556</v>
      </c>
      <c r="C3311" s="64" t="n">
        <v>46302</v>
      </c>
      <c r="D3311" s="62" t="s">
        <v>143</v>
      </c>
      <c r="E3311" s="62" t="s">
        <v>371</v>
      </c>
      <c r="F3311" s="62" t="s">
        <v>371</v>
      </c>
      <c r="G3311" s="62" t="s">
        <v>372</v>
      </c>
      <c r="H3311" s="62" t="s">
        <v>59</v>
      </c>
      <c r="I3311" s="62" t="s">
        <v>47</v>
      </c>
      <c r="J3311" s="62" t="s">
        <v>146</v>
      </c>
      <c r="K3311" s="62" t="s">
        <v>147</v>
      </c>
      <c r="L3311" s="62" t="s">
        <v>4</v>
      </c>
      <c r="M3311" s="62" t="n">
        <v>1</v>
      </c>
      <c r="N3311" s="62" t="n">
        <v>0</v>
      </c>
      <c r="O3311" s="62" t="n">
        <v>1</v>
      </c>
      <c r="P3311" s="62" t="n">
        <v>0</v>
      </c>
      <c r="Q3311" s="62" t="n">
        <v>0</v>
      </c>
      <c r="R3311" s="62" t="n">
        <v>0</v>
      </c>
      <c r="S3311" s="62" t="n">
        <v>0</v>
      </c>
      <c r="T3311" s="62" t="n">
        <v>0</v>
      </c>
      <c r="U3311" s="62" t="s">
        <v>2056</v>
      </c>
      <c r="V3311" s="62" t="s">
        <v>2057</v>
      </c>
      <c r="W3311" s="62" t="s">
        <v>2056</v>
      </c>
      <c r="X3311" s="62" t="s">
        <v>3214</v>
      </c>
      <c r="Y3311" s="62" t="s">
        <v>2059</v>
      </c>
      <c r="Z3311" s="62" t="s">
        <v>6038</v>
      </c>
      <c r="AA3311" s="62" t="s">
        <v>6039</v>
      </c>
      <c r="AB3311" s="62" t="n">
        <v>1</v>
      </c>
      <c r="AC3311" s="62" t="n">
        <v>0</v>
      </c>
      <c r="AD3311" s="62" t="n">
        <v>1</v>
      </c>
      <c r="AE3311" s="62" t="n">
        <f aca="false">IF(AND(Dashboard!$C$9="Yes",AC3311=1),0,1)</f>
        <v>1</v>
      </c>
      <c r="AF3311" s="62" t="n">
        <v>1</v>
      </c>
    </row>
    <row r="3312" customFormat="false" ht="15" hidden="false" customHeight="false" outlineLevel="0" collapsed="false">
      <c r="A3312" s="62" t="n">
        <v>3311</v>
      </c>
      <c r="B3312" s="63" t="n">
        <v>46302.7819212963</v>
      </c>
      <c r="C3312" s="64" t="n">
        <v>46302</v>
      </c>
      <c r="D3312" s="62" t="s">
        <v>143</v>
      </c>
      <c r="E3312" s="62" t="s">
        <v>4506</v>
      </c>
      <c r="F3312" s="62" t="s">
        <v>4506</v>
      </c>
      <c r="G3312" s="62" t="s">
        <v>4507</v>
      </c>
      <c r="H3312" s="62" t="s">
        <v>44</v>
      </c>
      <c r="I3312" s="62" t="s">
        <v>49</v>
      </c>
      <c r="J3312" s="62" t="s">
        <v>146</v>
      </c>
      <c r="K3312" s="62" t="s">
        <v>147</v>
      </c>
      <c r="L3312" s="62" t="s">
        <v>4</v>
      </c>
      <c r="M3312" s="62" t="n">
        <v>1</v>
      </c>
      <c r="N3312" s="62" t="n">
        <v>0</v>
      </c>
      <c r="O3312" s="62" t="n">
        <v>1</v>
      </c>
      <c r="P3312" s="62" t="n">
        <v>0</v>
      </c>
      <c r="Q3312" s="62" t="n">
        <v>0</v>
      </c>
      <c r="R3312" s="62" t="n">
        <v>0</v>
      </c>
      <c r="S3312" s="62" t="n">
        <v>0</v>
      </c>
      <c r="T3312" s="62" t="n">
        <v>0</v>
      </c>
      <c r="U3312" s="62" t="s">
        <v>15</v>
      </c>
      <c r="V3312" s="62" t="s">
        <v>2057</v>
      </c>
      <c r="W3312" s="62" t="s">
        <v>2056</v>
      </c>
      <c r="X3312" s="62" t="s">
        <v>2058</v>
      </c>
      <c r="Y3312" s="62" t="s">
        <v>2181</v>
      </c>
      <c r="Z3312" s="62" t="s">
        <v>6040</v>
      </c>
      <c r="AA3312" s="62" t="s">
        <v>6041</v>
      </c>
      <c r="AB3312" s="62" t="n">
        <v>1</v>
      </c>
      <c r="AC3312" s="62" t="n">
        <v>0</v>
      </c>
      <c r="AD3312" s="62" t="n">
        <v>1</v>
      </c>
      <c r="AE3312" s="62" t="n">
        <f aca="false">IF(AND(Dashboard!$C$9="Yes",AC3312=1),0,1)</f>
        <v>1</v>
      </c>
      <c r="AF3312" s="62" t="n">
        <v>1</v>
      </c>
    </row>
    <row r="3313" customFormat="false" ht="15" hidden="false" customHeight="false" outlineLevel="0" collapsed="false">
      <c r="A3313" s="62" t="n">
        <v>3312</v>
      </c>
      <c r="B3313" s="63" t="n">
        <v>46302.7863310185</v>
      </c>
      <c r="C3313" s="64" t="n">
        <v>46302</v>
      </c>
      <c r="D3313" s="62" t="s">
        <v>143</v>
      </c>
      <c r="E3313" s="62" t="s">
        <v>4382</v>
      </c>
      <c r="F3313" s="62" t="s">
        <v>4382</v>
      </c>
      <c r="G3313" s="62" t="s">
        <v>4383</v>
      </c>
      <c r="H3313" s="62" t="s">
        <v>44</v>
      </c>
      <c r="I3313" s="62" t="s">
        <v>61</v>
      </c>
      <c r="J3313" s="62" t="s">
        <v>3708</v>
      </c>
      <c r="K3313" s="62" t="s">
        <v>175</v>
      </c>
      <c r="L3313" s="62" t="s">
        <v>148</v>
      </c>
      <c r="M3313" s="62" t="n">
        <v>0</v>
      </c>
      <c r="N3313" s="62" t="n">
        <v>2</v>
      </c>
      <c r="O3313" s="62" t="n">
        <v>2</v>
      </c>
      <c r="P3313" s="62" t="n">
        <v>0</v>
      </c>
      <c r="Q3313" s="62" t="n">
        <v>0</v>
      </c>
      <c r="R3313" s="62" t="n">
        <v>0</v>
      </c>
      <c r="S3313" s="62" t="n">
        <v>1</v>
      </c>
      <c r="T3313" s="62" t="n">
        <v>1</v>
      </c>
      <c r="U3313" s="62"/>
      <c r="V3313" s="62"/>
      <c r="W3313" s="62"/>
      <c r="X3313" s="62"/>
      <c r="Y3313" s="62"/>
      <c r="Z3313" s="62" t="s">
        <v>6042</v>
      </c>
      <c r="AA3313" s="62" t="s">
        <v>6042</v>
      </c>
      <c r="AB3313" s="62" t="n">
        <v>1</v>
      </c>
      <c r="AC3313" s="62" t="n">
        <v>0</v>
      </c>
      <c r="AD3313" s="62" t="n">
        <v>1</v>
      </c>
      <c r="AE3313" s="62" t="n">
        <f aca="false">IF(AND(Dashboard!$C$9="Yes",AC3313=1),0,1)</f>
        <v>1</v>
      </c>
      <c r="AF3313" s="62" t="n">
        <v>1</v>
      </c>
    </row>
    <row r="3314" customFormat="false" ht="15" hidden="false" customHeight="false" outlineLevel="0" collapsed="false">
      <c r="A3314" s="62" t="n">
        <v>3313</v>
      </c>
      <c r="B3314" s="63" t="n">
        <v>46302.7871296296</v>
      </c>
      <c r="C3314" s="64" t="n">
        <v>46302</v>
      </c>
      <c r="D3314" s="62" t="s">
        <v>143</v>
      </c>
      <c r="E3314" s="62" t="s">
        <v>4382</v>
      </c>
      <c r="F3314" s="62" t="s">
        <v>4382</v>
      </c>
      <c r="G3314" s="62" t="s">
        <v>4383</v>
      </c>
      <c r="H3314" s="62" t="s">
        <v>44</v>
      </c>
      <c r="I3314" s="62" t="s">
        <v>61</v>
      </c>
      <c r="J3314" s="62" t="s">
        <v>3708</v>
      </c>
      <c r="K3314" s="62" t="s">
        <v>175</v>
      </c>
      <c r="L3314" s="62" t="s">
        <v>148</v>
      </c>
      <c r="M3314" s="62" t="n">
        <v>0</v>
      </c>
      <c r="N3314" s="62" t="n">
        <v>1</v>
      </c>
      <c r="O3314" s="62" t="n">
        <v>1</v>
      </c>
      <c r="P3314" s="62" t="n">
        <v>1</v>
      </c>
      <c r="Q3314" s="62" t="n">
        <v>0</v>
      </c>
      <c r="R3314" s="62" t="n">
        <v>0</v>
      </c>
      <c r="S3314" s="62" t="n">
        <v>0</v>
      </c>
      <c r="T3314" s="62" t="n">
        <v>0</v>
      </c>
      <c r="U3314" s="62"/>
      <c r="V3314" s="62"/>
      <c r="W3314" s="62"/>
      <c r="X3314" s="62"/>
      <c r="Y3314" s="62"/>
      <c r="Z3314" s="62" t="s">
        <v>6043</v>
      </c>
      <c r="AA3314" s="62" t="s">
        <v>6044</v>
      </c>
      <c r="AB3314" s="62" t="n">
        <v>1</v>
      </c>
      <c r="AC3314" s="62" t="n">
        <v>0</v>
      </c>
      <c r="AD3314" s="62" t="n">
        <v>1</v>
      </c>
      <c r="AE3314" s="62" t="n">
        <f aca="false">IF(AND(Dashboard!$C$9="Yes",AC3314=1),0,1)</f>
        <v>1</v>
      </c>
      <c r="AF3314" s="62" t="n">
        <v>0</v>
      </c>
    </row>
    <row r="3315" customFormat="false" ht="15" hidden="false" customHeight="false" outlineLevel="0" collapsed="false">
      <c r="A3315" s="62" t="n">
        <v>3314</v>
      </c>
      <c r="B3315" s="63" t="n">
        <v>46302.7894675926</v>
      </c>
      <c r="C3315" s="64" t="n">
        <v>46302</v>
      </c>
      <c r="D3315" s="62" t="s">
        <v>143</v>
      </c>
      <c r="E3315" s="62" t="s">
        <v>4238</v>
      </c>
      <c r="F3315" s="62" t="s">
        <v>4238</v>
      </c>
      <c r="G3315" s="62" t="s">
        <v>4239</v>
      </c>
      <c r="H3315" s="62" t="s">
        <v>44</v>
      </c>
      <c r="I3315" s="62" t="s">
        <v>49</v>
      </c>
      <c r="J3315" s="62" t="s">
        <v>146</v>
      </c>
      <c r="K3315" s="62" t="s">
        <v>147</v>
      </c>
      <c r="L3315" s="62" t="s">
        <v>148</v>
      </c>
      <c r="M3315" s="62" t="n">
        <v>0</v>
      </c>
      <c r="N3315" s="62" t="n">
        <v>1</v>
      </c>
      <c r="O3315" s="62" t="n">
        <v>1</v>
      </c>
      <c r="P3315" s="62" t="n">
        <v>0</v>
      </c>
      <c r="Q3315" s="62" t="n">
        <v>1</v>
      </c>
      <c r="R3315" s="62" t="n">
        <v>0</v>
      </c>
      <c r="S3315" s="62" t="n">
        <v>0</v>
      </c>
      <c r="T3315" s="62" t="n">
        <v>0</v>
      </c>
      <c r="U3315" s="62"/>
      <c r="V3315" s="62"/>
      <c r="W3315" s="62"/>
      <c r="X3315" s="62"/>
      <c r="Y3315" s="62"/>
      <c r="Z3315" s="62" t="s">
        <v>6045</v>
      </c>
      <c r="AA3315" s="62" t="s">
        <v>6046</v>
      </c>
      <c r="AB3315" s="62" t="n">
        <v>1</v>
      </c>
      <c r="AC3315" s="62" t="n">
        <v>0</v>
      </c>
      <c r="AD3315" s="62" t="n">
        <v>1</v>
      </c>
      <c r="AE3315" s="62" t="n">
        <f aca="false">IF(AND(Dashboard!$C$9="Yes",AC3315=1),0,1)</f>
        <v>1</v>
      </c>
      <c r="AF3315" s="62" t="n">
        <v>1</v>
      </c>
    </row>
    <row r="3316" customFormat="false" ht="15" hidden="false" customHeight="false" outlineLevel="0" collapsed="false">
      <c r="A3316" s="62" t="n">
        <v>3315</v>
      </c>
      <c r="B3316" s="63" t="n">
        <v>46302.7901851852</v>
      </c>
      <c r="C3316" s="64" t="n">
        <v>46302</v>
      </c>
      <c r="D3316" s="62" t="s">
        <v>143</v>
      </c>
      <c r="E3316" s="62" t="s">
        <v>1344</v>
      </c>
      <c r="F3316" s="62" t="s">
        <v>1344</v>
      </c>
      <c r="G3316" s="62" t="s">
        <v>1345</v>
      </c>
      <c r="H3316" s="62" t="s">
        <v>48</v>
      </c>
      <c r="I3316" s="62" t="s">
        <v>49</v>
      </c>
      <c r="J3316" s="62" t="s">
        <v>146</v>
      </c>
      <c r="K3316" s="62" t="s">
        <v>209</v>
      </c>
      <c r="L3316" s="62" t="s">
        <v>4</v>
      </c>
      <c r="M3316" s="62" t="n">
        <v>1</v>
      </c>
      <c r="N3316" s="62" t="n">
        <v>0</v>
      </c>
      <c r="O3316" s="62" t="n">
        <v>1</v>
      </c>
      <c r="P3316" s="62" t="n">
        <v>0</v>
      </c>
      <c r="Q3316" s="62" t="n">
        <v>0</v>
      </c>
      <c r="R3316" s="62" t="n">
        <v>0</v>
      </c>
      <c r="S3316" s="62" t="n">
        <v>0</v>
      </c>
      <c r="T3316" s="62" t="n">
        <v>0</v>
      </c>
      <c r="U3316" s="62" t="s">
        <v>2056</v>
      </c>
      <c r="V3316" s="62" t="s">
        <v>2057</v>
      </c>
      <c r="W3316" s="62" t="s">
        <v>2056</v>
      </c>
      <c r="X3316" s="62" t="s">
        <v>2058</v>
      </c>
      <c r="Y3316" s="62" t="s">
        <v>2059</v>
      </c>
      <c r="Z3316" s="62" t="s">
        <v>6047</v>
      </c>
      <c r="AA3316" s="62" t="s">
        <v>6048</v>
      </c>
      <c r="AB3316" s="62" t="n">
        <v>1</v>
      </c>
      <c r="AC3316" s="62" t="n">
        <v>0</v>
      </c>
      <c r="AD3316" s="62" t="n">
        <v>1</v>
      </c>
      <c r="AE3316" s="62" t="n">
        <f aca="false">IF(AND(Dashboard!$C$9="Yes",AC3316=1),0,1)</f>
        <v>1</v>
      </c>
      <c r="AF3316" s="62" t="n">
        <v>1</v>
      </c>
    </row>
    <row r="3317" customFormat="false" ht="15" hidden="false" customHeight="false" outlineLevel="0" collapsed="false">
      <c r="A3317" s="62" t="n">
        <v>3316</v>
      </c>
      <c r="B3317" s="63" t="n">
        <v>46302.7906134259</v>
      </c>
      <c r="C3317" s="64" t="n">
        <v>46302</v>
      </c>
      <c r="D3317" s="62" t="s">
        <v>143</v>
      </c>
      <c r="E3317" s="62" t="s">
        <v>1344</v>
      </c>
      <c r="F3317" s="62" t="s">
        <v>1344</v>
      </c>
      <c r="G3317" s="62" t="s">
        <v>1345</v>
      </c>
      <c r="H3317" s="62" t="s">
        <v>48</v>
      </c>
      <c r="I3317" s="62" t="s">
        <v>49</v>
      </c>
      <c r="J3317" s="62" t="s">
        <v>146</v>
      </c>
      <c r="K3317" s="62" t="s">
        <v>209</v>
      </c>
      <c r="L3317" s="62" t="s">
        <v>4</v>
      </c>
      <c r="M3317" s="62" t="n">
        <v>1</v>
      </c>
      <c r="N3317" s="62" t="n">
        <v>0</v>
      </c>
      <c r="O3317" s="62" t="n">
        <v>1</v>
      </c>
      <c r="P3317" s="62" t="n">
        <v>0</v>
      </c>
      <c r="Q3317" s="62" t="n">
        <v>0</v>
      </c>
      <c r="R3317" s="62" t="n">
        <v>0</v>
      </c>
      <c r="S3317" s="62" t="n">
        <v>0</v>
      </c>
      <c r="T3317" s="62" t="n">
        <v>0</v>
      </c>
      <c r="U3317" s="62" t="s">
        <v>2056</v>
      </c>
      <c r="V3317" s="62" t="s">
        <v>2057</v>
      </c>
      <c r="W3317" s="62" t="s">
        <v>2056</v>
      </c>
      <c r="X3317" s="62" t="s">
        <v>2058</v>
      </c>
      <c r="Y3317" s="62" t="s">
        <v>2064</v>
      </c>
      <c r="Z3317" s="62" t="s">
        <v>6047</v>
      </c>
      <c r="AA3317" s="62" t="s">
        <v>6049</v>
      </c>
      <c r="AB3317" s="62" t="n">
        <v>1</v>
      </c>
      <c r="AC3317" s="62" t="n">
        <v>0</v>
      </c>
      <c r="AD3317" s="62" t="n">
        <v>1</v>
      </c>
      <c r="AE3317" s="62" t="n">
        <f aca="false">IF(AND(Dashboard!$C$9="Yes",AC3317=1),0,1)</f>
        <v>1</v>
      </c>
      <c r="AF3317" s="62" t="n">
        <v>0</v>
      </c>
    </row>
    <row r="3318" customFormat="false" ht="15" hidden="false" customHeight="false" outlineLevel="0" collapsed="false">
      <c r="A3318" s="62" t="n">
        <v>3317</v>
      </c>
      <c r="B3318" s="63" t="n">
        <v>46302.8004050926</v>
      </c>
      <c r="C3318" s="64" t="n">
        <v>46302</v>
      </c>
      <c r="D3318" s="62" t="s">
        <v>143</v>
      </c>
      <c r="E3318" s="62" t="s">
        <v>1382</v>
      </c>
      <c r="F3318" s="62" t="s">
        <v>1382</v>
      </c>
      <c r="G3318" s="62" t="s">
        <v>1383</v>
      </c>
      <c r="H3318" s="62" t="s">
        <v>58</v>
      </c>
      <c r="I3318" s="62" t="s">
        <v>49</v>
      </c>
      <c r="J3318" s="62" t="s">
        <v>146</v>
      </c>
      <c r="K3318" s="62" t="s">
        <v>175</v>
      </c>
      <c r="L3318" s="62" t="s">
        <v>148</v>
      </c>
      <c r="M3318" s="62" t="n">
        <v>0</v>
      </c>
      <c r="N3318" s="62" t="n">
        <v>1</v>
      </c>
      <c r="O3318" s="62" t="n">
        <v>1</v>
      </c>
      <c r="P3318" s="62" t="n">
        <v>1</v>
      </c>
      <c r="Q3318" s="62" t="n">
        <v>0</v>
      </c>
      <c r="R3318" s="62" t="n">
        <v>0</v>
      </c>
      <c r="S3318" s="62" t="n">
        <v>0</v>
      </c>
      <c r="T3318" s="62" t="n">
        <v>0</v>
      </c>
      <c r="U3318" s="62"/>
      <c r="V3318" s="62"/>
      <c r="W3318" s="62"/>
      <c r="X3318" s="62"/>
      <c r="Y3318" s="62"/>
      <c r="Z3318" s="62" t="s">
        <v>6050</v>
      </c>
      <c r="AA3318" s="62" t="s">
        <v>6051</v>
      </c>
      <c r="AB3318" s="62" t="n">
        <v>1</v>
      </c>
      <c r="AC3318" s="62" t="n">
        <v>0</v>
      </c>
      <c r="AD3318" s="62" t="n">
        <v>1</v>
      </c>
      <c r="AE3318" s="62" t="n">
        <f aca="false">IF(AND(Dashboard!$C$9="Yes",AC3318=1),0,1)</f>
        <v>1</v>
      </c>
      <c r="AF3318" s="62" t="n">
        <v>1</v>
      </c>
    </row>
    <row r="3319" customFormat="false" ht="15" hidden="false" customHeight="false" outlineLevel="0" collapsed="false">
      <c r="A3319" s="62" t="n">
        <v>3318</v>
      </c>
      <c r="B3319" s="63" t="n">
        <v>46302.8036574074</v>
      </c>
      <c r="C3319" s="64" t="n">
        <v>46302</v>
      </c>
      <c r="D3319" s="62" t="s">
        <v>143</v>
      </c>
      <c r="E3319" s="62" t="s">
        <v>4329</v>
      </c>
      <c r="F3319" s="62" t="s">
        <v>4329</v>
      </c>
      <c r="G3319" s="62" t="s">
        <v>4330</v>
      </c>
      <c r="H3319" s="62" t="s">
        <v>44</v>
      </c>
      <c r="I3319" s="62" t="s">
        <v>49</v>
      </c>
      <c r="J3319" s="62" t="s">
        <v>146</v>
      </c>
      <c r="K3319" s="62" t="s">
        <v>147</v>
      </c>
      <c r="L3319" s="62" t="s">
        <v>148</v>
      </c>
      <c r="M3319" s="62" t="n">
        <v>0</v>
      </c>
      <c r="N3319" s="62" t="n">
        <v>2</v>
      </c>
      <c r="O3319" s="62" t="n">
        <v>2</v>
      </c>
      <c r="P3319" s="62" t="n">
        <v>1</v>
      </c>
      <c r="Q3319" s="62" t="n">
        <v>0</v>
      </c>
      <c r="R3319" s="62" t="n">
        <v>1</v>
      </c>
      <c r="S3319" s="62" t="n">
        <v>0</v>
      </c>
      <c r="T3319" s="62" t="n">
        <v>0</v>
      </c>
      <c r="U3319" s="62"/>
      <c r="V3319" s="62"/>
      <c r="W3319" s="62"/>
      <c r="X3319" s="62"/>
      <c r="Y3319" s="62"/>
      <c r="Z3319" s="62" t="s">
        <v>6052</v>
      </c>
      <c r="AA3319" s="62" t="s">
        <v>6053</v>
      </c>
      <c r="AB3319" s="62" t="n">
        <v>1</v>
      </c>
      <c r="AC3319" s="62" t="n">
        <v>0</v>
      </c>
      <c r="AD3319" s="62" t="n">
        <v>1</v>
      </c>
      <c r="AE3319" s="62" t="n">
        <f aca="false">IF(AND(Dashboard!$C$9="Yes",AC3319=1),0,1)</f>
        <v>1</v>
      </c>
      <c r="AF3319" s="62" t="n">
        <v>1</v>
      </c>
    </row>
    <row r="3320" customFormat="false" ht="15" hidden="false" customHeight="false" outlineLevel="0" collapsed="false">
      <c r="A3320" s="62" t="n">
        <v>3319</v>
      </c>
      <c r="B3320" s="63" t="n">
        <v>46302.8078009259</v>
      </c>
      <c r="C3320" s="64" t="n">
        <v>46302</v>
      </c>
      <c r="D3320" s="62" t="s">
        <v>143</v>
      </c>
      <c r="E3320" s="62" t="s">
        <v>4242</v>
      </c>
      <c r="F3320" s="62" t="s">
        <v>4242</v>
      </c>
      <c r="G3320" s="62" t="s">
        <v>4243</v>
      </c>
      <c r="H3320" s="62" t="s">
        <v>44</v>
      </c>
      <c r="I3320" s="62" t="s">
        <v>49</v>
      </c>
      <c r="J3320" s="62" t="s">
        <v>146</v>
      </c>
      <c r="K3320" s="62" t="s">
        <v>147</v>
      </c>
      <c r="L3320" s="62" t="s">
        <v>148</v>
      </c>
      <c r="M3320" s="62" t="n">
        <v>0</v>
      </c>
      <c r="N3320" s="62" t="n">
        <v>1</v>
      </c>
      <c r="O3320" s="62" t="n">
        <v>1</v>
      </c>
      <c r="P3320" s="62" t="n">
        <v>1</v>
      </c>
      <c r="Q3320" s="62" t="n">
        <v>0</v>
      </c>
      <c r="R3320" s="62" t="n">
        <v>0</v>
      </c>
      <c r="S3320" s="62" t="n">
        <v>0</v>
      </c>
      <c r="T3320" s="62" t="n">
        <v>0</v>
      </c>
      <c r="U3320" s="62"/>
      <c r="V3320" s="62"/>
      <c r="W3320" s="62"/>
      <c r="X3320" s="62"/>
      <c r="Y3320" s="62"/>
      <c r="Z3320" s="62" t="s">
        <v>6054</v>
      </c>
      <c r="AA3320" s="62" t="s">
        <v>6055</v>
      </c>
      <c r="AB3320" s="62" t="n">
        <v>1</v>
      </c>
      <c r="AC3320" s="62" t="n">
        <v>0</v>
      </c>
      <c r="AD3320" s="62" t="n">
        <v>1</v>
      </c>
      <c r="AE3320" s="62" t="n">
        <f aca="false">IF(AND(Dashboard!$C$9="Yes",AC3320=1),0,1)</f>
        <v>1</v>
      </c>
      <c r="AF3320" s="62" t="n">
        <v>0</v>
      </c>
    </row>
    <row r="3321" customFormat="false" ht="15" hidden="false" customHeight="false" outlineLevel="0" collapsed="false">
      <c r="A3321" s="62" t="n">
        <v>3320</v>
      </c>
      <c r="B3321" s="63" t="n">
        <v>46302.8116319445</v>
      </c>
      <c r="C3321" s="64" t="n">
        <v>46302</v>
      </c>
      <c r="D3321" s="62" t="s">
        <v>143</v>
      </c>
      <c r="E3321" s="62" t="s">
        <v>3371</v>
      </c>
      <c r="F3321" s="62" t="s">
        <v>3371</v>
      </c>
      <c r="G3321" s="62" t="s">
        <v>3372</v>
      </c>
      <c r="H3321" s="62" t="s">
        <v>48</v>
      </c>
      <c r="I3321" s="62" t="s">
        <v>49</v>
      </c>
      <c r="J3321" s="62" t="s">
        <v>146</v>
      </c>
      <c r="K3321" s="62" t="s">
        <v>209</v>
      </c>
      <c r="L3321" s="62" t="s">
        <v>148</v>
      </c>
      <c r="M3321" s="62" t="n">
        <v>0</v>
      </c>
      <c r="N3321" s="62" t="n">
        <v>1</v>
      </c>
      <c r="O3321" s="62" t="n">
        <v>1</v>
      </c>
      <c r="P3321" s="62" t="n">
        <v>1</v>
      </c>
      <c r="Q3321" s="62" t="n">
        <v>0</v>
      </c>
      <c r="R3321" s="62" t="n">
        <v>0</v>
      </c>
      <c r="S3321" s="62" t="n">
        <v>0</v>
      </c>
      <c r="T3321" s="62" t="n">
        <v>0</v>
      </c>
      <c r="U3321" s="62"/>
      <c r="V3321" s="62"/>
      <c r="W3321" s="62"/>
      <c r="X3321" s="62"/>
      <c r="Y3321" s="62"/>
      <c r="Z3321" s="62" t="s">
        <v>6056</v>
      </c>
      <c r="AA3321" s="62" t="s">
        <v>6057</v>
      </c>
      <c r="AB3321" s="62" t="n">
        <v>1</v>
      </c>
      <c r="AC3321" s="62" t="n">
        <v>0</v>
      </c>
      <c r="AD3321" s="62" t="n">
        <v>1</v>
      </c>
      <c r="AE3321" s="62" t="n">
        <f aca="false">IF(AND(Dashboard!$C$9="Yes",AC3321=1),0,1)</f>
        <v>1</v>
      </c>
      <c r="AF3321" s="62" t="n">
        <v>1</v>
      </c>
    </row>
    <row r="3322" customFormat="false" ht="15" hidden="false" customHeight="false" outlineLevel="0" collapsed="false">
      <c r="A3322" s="62" t="n">
        <v>3321</v>
      </c>
      <c r="B3322" s="63" t="n">
        <v>46302.8228819444</v>
      </c>
      <c r="C3322" s="64" t="n">
        <v>46302</v>
      </c>
      <c r="D3322" s="62" t="s">
        <v>143</v>
      </c>
      <c r="E3322" s="62" t="s">
        <v>1732</v>
      </c>
      <c r="F3322" s="62" t="s">
        <v>1732</v>
      </c>
      <c r="G3322" s="62" t="s">
        <v>1733</v>
      </c>
      <c r="H3322" s="62" t="s">
        <v>58</v>
      </c>
      <c r="I3322" s="62" t="s">
        <v>49</v>
      </c>
      <c r="J3322" s="62" t="s">
        <v>146</v>
      </c>
      <c r="K3322" s="62" t="s">
        <v>209</v>
      </c>
      <c r="L3322" s="62" t="s">
        <v>148</v>
      </c>
      <c r="M3322" s="62" t="n">
        <v>0</v>
      </c>
      <c r="N3322" s="62" t="n">
        <v>1</v>
      </c>
      <c r="O3322" s="62" t="n">
        <v>1</v>
      </c>
      <c r="P3322" s="62" t="n">
        <v>1</v>
      </c>
      <c r="Q3322" s="62" t="n">
        <v>0</v>
      </c>
      <c r="R3322" s="62" t="n">
        <v>0</v>
      </c>
      <c r="S3322" s="62" t="n">
        <v>0</v>
      </c>
      <c r="T3322" s="62" t="n">
        <v>0</v>
      </c>
      <c r="U3322" s="62"/>
      <c r="V3322" s="62"/>
      <c r="W3322" s="62"/>
      <c r="X3322" s="62"/>
      <c r="Y3322" s="62"/>
      <c r="Z3322" s="62" t="s">
        <v>6058</v>
      </c>
      <c r="AA3322" s="62" t="s">
        <v>6059</v>
      </c>
      <c r="AB3322" s="62" t="n">
        <v>1</v>
      </c>
      <c r="AC3322" s="62" t="n">
        <v>0</v>
      </c>
      <c r="AD3322" s="62" t="n">
        <v>1</v>
      </c>
      <c r="AE3322" s="62" t="n">
        <f aca="false">IF(AND(Dashboard!$C$9="Yes",AC3322=1),0,1)</f>
        <v>1</v>
      </c>
      <c r="AF3322" s="62" t="n">
        <v>1</v>
      </c>
    </row>
    <row r="3323" customFormat="false" ht="15" hidden="false" customHeight="false" outlineLevel="0" collapsed="false">
      <c r="A3323" s="62" t="n">
        <v>3322</v>
      </c>
      <c r="B3323" s="63" t="n">
        <v>46302.8441666667</v>
      </c>
      <c r="C3323" s="64" t="n">
        <v>46302</v>
      </c>
      <c r="D3323" s="62" t="s">
        <v>143</v>
      </c>
      <c r="E3323" s="62" t="s">
        <v>6060</v>
      </c>
      <c r="F3323" s="62" t="s">
        <v>6061</v>
      </c>
      <c r="G3323" s="62" t="s">
        <v>153</v>
      </c>
      <c r="H3323" s="62" t="s">
        <v>153</v>
      </c>
      <c r="I3323" s="62" t="s">
        <v>153</v>
      </c>
      <c r="J3323" s="62" t="s">
        <v>64</v>
      </c>
      <c r="K3323" s="62" t="s">
        <v>64</v>
      </c>
      <c r="L3323" s="62" t="s">
        <v>148</v>
      </c>
      <c r="M3323" s="62" t="n">
        <v>0</v>
      </c>
      <c r="N3323" s="62" t="n">
        <v>1</v>
      </c>
      <c r="O3323" s="62" t="n">
        <v>1</v>
      </c>
      <c r="P3323" s="62" t="n">
        <v>1</v>
      </c>
      <c r="Q3323" s="62" t="n">
        <v>0</v>
      </c>
      <c r="R3323" s="62" t="n">
        <v>0</v>
      </c>
      <c r="S3323" s="62" t="n">
        <v>0</v>
      </c>
      <c r="T3323" s="62" t="n">
        <v>0</v>
      </c>
      <c r="U3323" s="62"/>
      <c r="V3323" s="62"/>
      <c r="W3323" s="62"/>
      <c r="X3323" s="62"/>
      <c r="Y3323" s="62"/>
      <c r="Z3323" s="62" t="s">
        <v>6062</v>
      </c>
      <c r="AA3323" s="62" t="s">
        <v>6063</v>
      </c>
      <c r="AB3323" s="62" t="n">
        <v>1</v>
      </c>
      <c r="AC3323" s="62" t="n">
        <v>0</v>
      </c>
      <c r="AD3323" s="62" t="n">
        <v>0</v>
      </c>
      <c r="AE3323" s="62" t="n">
        <f aca="false">IF(AND(Dashboard!$C$9="Yes",AC3323=1),0,1)</f>
        <v>1</v>
      </c>
      <c r="AF3323" s="62" t="n">
        <v>1</v>
      </c>
    </row>
    <row r="3324" customFormat="false" ht="15" hidden="false" customHeight="false" outlineLevel="0" collapsed="false">
      <c r="A3324" s="62" t="n">
        <v>3323</v>
      </c>
      <c r="B3324" s="63" t="n">
        <v>46302.8445023148</v>
      </c>
      <c r="C3324" s="64" t="n">
        <v>46302</v>
      </c>
      <c r="D3324" s="62" t="s">
        <v>143</v>
      </c>
      <c r="E3324" s="62" t="s">
        <v>5333</v>
      </c>
      <c r="F3324" s="62" t="s">
        <v>5333</v>
      </c>
      <c r="G3324" s="62" t="s">
        <v>5334</v>
      </c>
      <c r="H3324" s="62" t="s">
        <v>55</v>
      </c>
      <c r="I3324" s="62" t="s">
        <v>49</v>
      </c>
      <c r="J3324" s="62" t="s">
        <v>3708</v>
      </c>
      <c r="K3324" s="62" t="s">
        <v>209</v>
      </c>
      <c r="L3324" s="62" t="s">
        <v>148</v>
      </c>
      <c r="M3324" s="62" t="n">
        <v>0</v>
      </c>
      <c r="N3324" s="62" t="n">
        <v>1</v>
      </c>
      <c r="O3324" s="62" t="n">
        <v>1</v>
      </c>
      <c r="P3324" s="62" t="n">
        <v>1</v>
      </c>
      <c r="Q3324" s="62" t="n">
        <v>0</v>
      </c>
      <c r="R3324" s="62" t="n">
        <v>0</v>
      </c>
      <c r="S3324" s="62" t="n">
        <v>0</v>
      </c>
      <c r="T3324" s="62" t="n">
        <v>0</v>
      </c>
      <c r="U3324" s="62"/>
      <c r="V3324" s="62"/>
      <c r="W3324" s="62"/>
      <c r="X3324" s="62"/>
      <c r="Y3324" s="62"/>
      <c r="Z3324" s="62" t="s">
        <v>6064</v>
      </c>
      <c r="AA3324" s="62" t="s">
        <v>6065</v>
      </c>
      <c r="AB3324" s="62" t="n">
        <v>1</v>
      </c>
      <c r="AC3324" s="62" t="n">
        <v>0</v>
      </c>
      <c r="AD3324" s="62" t="n">
        <v>1</v>
      </c>
      <c r="AE3324" s="62" t="n">
        <f aca="false">IF(AND(Dashboard!$C$9="Yes",AC3324=1),0,1)</f>
        <v>1</v>
      </c>
      <c r="AF3324" s="62" t="n">
        <v>1</v>
      </c>
    </row>
    <row r="3325" customFormat="false" ht="15" hidden="false" customHeight="false" outlineLevel="0" collapsed="false">
      <c r="A3325" s="62" t="n">
        <v>3324</v>
      </c>
      <c r="B3325" s="63" t="n">
        <v>46302.8464583333</v>
      </c>
      <c r="C3325" s="64" t="n">
        <v>46302</v>
      </c>
      <c r="D3325" s="62" t="s">
        <v>143</v>
      </c>
      <c r="E3325" s="62" t="s">
        <v>1382</v>
      </c>
      <c r="F3325" s="62" t="s">
        <v>1382</v>
      </c>
      <c r="G3325" s="62" t="s">
        <v>1383</v>
      </c>
      <c r="H3325" s="62" t="s">
        <v>58</v>
      </c>
      <c r="I3325" s="62" t="s">
        <v>49</v>
      </c>
      <c r="J3325" s="62" t="s">
        <v>146</v>
      </c>
      <c r="K3325" s="62" t="s">
        <v>175</v>
      </c>
      <c r="L3325" s="62" t="s">
        <v>148</v>
      </c>
      <c r="M3325" s="62" t="n">
        <v>0</v>
      </c>
      <c r="N3325" s="62" t="n">
        <v>1</v>
      </c>
      <c r="O3325" s="62" t="n">
        <v>1</v>
      </c>
      <c r="P3325" s="62" t="n">
        <v>0</v>
      </c>
      <c r="Q3325" s="62" t="n">
        <v>1</v>
      </c>
      <c r="R3325" s="62" t="n">
        <v>0</v>
      </c>
      <c r="S3325" s="62" t="n">
        <v>0</v>
      </c>
      <c r="T3325" s="62" t="n">
        <v>0</v>
      </c>
      <c r="U3325" s="62"/>
      <c r="V3325" s="62"/>
      <c r="W3325" s="62"/>
      <c r="X3325" s="62"/>
      <c r="Y3325" s="62"/>
      <c r="Z3325" s="62" t="s">
        <v>6066</v>
      </c>
      <c r="AA3325" s="62" t="s">
        <v>6067</v>
      </c>
      <c r="AB3325" s="62" t="n">
        <v>1</v>
      </c>
      <c r="AC3325" s="62" t="n">
        <v>0</v>
      </c>
      <c r="AD3325" s="62" t="n">
        <v>1</v>
      </c>
      <c r="AE3325" s="62" t="n">
        <f aca="false">IF(AND(Dashboard!$C$9="Yes",AC3325=1),0,1)</f>
        <v>1</v>
      </c>
      <c r="AF3325" s="62" t="n">
        <v>0</v>
      </c>
    </row>
    <row r="3326" customFormat="false" ht="15" hidden="false" customHeight="false" outlineLevel="0" collapsed="false">
      <c r="A3326" s="62" t="n">
        <v>3325</v>
      </c>
      <c r="B3326" s="63" t="n">
        <v>46302.8566550926</v>
      </c>
      <c r="C3326" s="64" t="n">
        <v>46302</v>
      </c>
      <c r="D3326" s="62" t="s">
        <v>143</v>
      </c>
      <c r="E3326" s="62" t="s">
        <v>3874</v>
      </c>
      <c r="F3326" s="62" t="s">
        <v>3874</v>
      </c>
      <c r="G3326" s="62" t="s">
        <v>3875</v>
      </c>
      <c r="H3326" s="62" t="s">
        <v>59</v>
      </c>
      <c r="I3326" s="62" t="s">
        <v>47</v>
      </c>
      <c r="J3326" s="62" t="s">
        <v>146</v>
      </c>
      <c r="K3326" s="62" t="s">
        <v>209</v>
      </c>
      <c r="L3326" s="62" t="s">
        <v>148</v>
      </c>
      <c r="M3326" s="62" t="n">
        <v>0</v>
      </c>
      <c r="N3326" s="62" t="n">
        <v>1</v>
      </c>
      <c r="O3326" s="62" t="n">
        <v>1</v>
      </c>
      <c r="P3326" s="62" t="n">
        <v>1</v>
      </c>
      <c r="Q3326" s="62" t="n">
        <v>0</v>
      </c>
      <c r="R3326" s="62" t="n">
        <v>0</v>
      </c>
      <c r="S3326" s="62" t="n">
        <v>0</v>
      </c>
      <c r="T3326" s="62" t="n">
        <v>0</v>
      </c>
      <c r="U3326" s="62"/>
      <c r="V3326" s="62"/>
      <c r="W3326" s="62"/>
      <c r="X3326" s="62"/>
      <c r="Y3326" s="62"/>
      <c r="Z3326" s="62" t="s">
        <v>6068</v>
      </c>
      <c r="AA3326" s="62" t="s">
        <v>6069</v>
      </c>
      <c r="AB3326" s="62" t="n">
        <v>1</v>
      </c>
      <c r="AC3326" s="62" t="n">
        <v>0</v>
      </c>
      <c r="AD3326" s="62" t="n">
        <v>1</v>
      </c>
      <c r="AE3326" s="62" t="n">
        <f aca="false">IF(AND(Dashboard!$C$9="Yes",AC3326=1),0,1)</f>
        <v>1</v>
      </c>
      <c r="AF3326" s="62" t="n">
        <v>0</v>
      </c>
    </row>
    <row r="3327" customFormat="false" ht="15" hidden="false" customHeight="false" outlineLevel="0" collapsed="false">
      <c r="A3327" s="62" t="n">
        <v>3326</v>
      </c>
      <c r="B3327" s="63" t="n">
        <v>46302.8611226852</v>
      </c>
      <c r="C3327" s="64" t="n">
        <v>46302</v>
      </c>
      <c r="D3327" s="62" t="s">
        <v>143</v>
      </c>
      <c r="E3327" s="62" t="s">
        <v>3756</v>
      </c>
      <c r="F3327" s="62" t="s">
        <v>3756</v>
      </c>
      <c r="G3327" s="62" t="s">
        <v>3757</v>
      </c>
      <c r="H3327" s="62" t="s">
        <v>55</v>
      </c>
      <c r="I3327" s="62" t="s">
        <v>49</v>
      </c>
      <c r="J3327" s="62" t="s">
        <v>3708</v>
      </c>
      <c r="K3327" s="62" t="s">
        <v>209</v>
      </c>
      <c r="L3327" s="62" t="s">
        <v>148</v>
      </c>
      <c r="M3327" s="62" t="n">
        <v>0</v>
      </c>
      <c r="N3327" s="62" t="n">
        <v>1</v>
      </c>
      <c r="O3327" s="62" t="n">
        <v>1</v>
      </c>
      <c r="P3327" s="62" t="n">
        <v>0</v>
      </c>
      <c r="Q3327" s="62" t="n">
        <v>1</v>
      </c>
      <c r="R3327" s="62" t="n">
        <v>0</v>
      </c>
      <c r="S3327" s="62" t="n">
        <v>0</v>
      </c>
      <c r="T3327" s="62" t="n">
        <v>0</v>
      </c>
      <c r="U3327" s="62"/>
      <c r="V3327" s="62"/>
      <c r="W3327" s="62"/>
      <c r="X3327" s="62"/>
      <c r="Y3327" s="62"/>
      <c r="Z3327" s="62" t="s">
        <v>6070</v>
      </c>
      <c r="AA3327" s="62" t="s">
        <v>6071</v>
      </c>
      <c r="AB3327" s="62" t="n">
        <v>1</v>
      </c>
      <c r="AC3327" s="62" t="n">
        <v>0</v>
      </c>
      <c r="AD3327" s="62" t="n">
        <v>1</v>
      </c>
      <c r="AE3327" s="62" t="n">
        <f aca="false">IF(AND(Dashboard!$C$9="Yes",AC3327=1),0,1)</f>
        <v>1</v>
      </c>
      <c r="AF3327" s="62" t="n">
        <v>1</v>
      </c>
    </row>
    <row r="3328" customFormat="false" ht="15" hidden="false" customHeight="false" outlineLevel="0" collapsed="false">
      <c r="A3328" s="62" t="n">
        <v>3327</v>
      </c>
      <c r="B3328" s="63" t="n">
        <v>46302.873912037</v>
      </c>
      <c r="C3328" s="64" t="n">
        <v>46302</v>
      </c>
      <c r="D3328" s="62" t="s">
        <v>143</v>
      </c>
      <c r="E3328" s="62" t="s">
        <v>2637</v>
      </c>
      <c r="F3328" s="62" t="s">
        <v>2637</v>
      </c>
      <c r="G3328" s="62" t="s">
        <v>2638</v>
      </c>
      <c r="H3328" s="62" t="s">
        <v>52</v>
      </c>
      <c r="I3328" s="62" t="s">
        <v>47</v>
      </c>
      <c r="J3328" s="62" t="s">
        <v>146</v>
      </c>
      <c r="K3328" s="62" t="s">
        <v>147</v>
      </c>
      <c r="L3328" s="62" t="s">
        <v>4</v>
      </c>
      <c r="M3328" s="62" t="n">
        <v>1</v>
      </c>
      <c r="N3328" s="62" t="n">
        <v>0</v>
      </c>
      <c r="O3328" s="62" t="n">
        <v>1</v>
      </c>
      <c r="P3328" s="62" t="n">
        <v>0</v>
      </c>
      <c r="Q3328" s="62" t="n">
        <v>0</v>
      </c>
      <c r="R3328" s="62" t="n">
        <v>0</v>
      </c>
      <c r="S3328" s="62" t="n">
        <v>0</v>
      </c>
      <c r="T3328" s="62" t="n">
        <v>0</v>
      </c>
      <c r="U3328" s="62" t="s">
        <v>15</v>
      </c>
      <c r="V3328" s="62" t="s">
        <v>2057</v>
      </c>
      <c r="W3328" s="62" t="s">
        <v>2056</v>
      </c>
      <c r="X3328" s="62"/>
      <c r="Y3328" s="62" t="s">
        <v>2059</v>
      </c>
      <c r="Z3328" s="62" t="s">
        <v>6072</v>
      </c>
      <c r="AA3328" s="62"/>
      <c r="AB3328" s="62" t="n">
        <v>0</v>
      </c>
      <c r="AC3328" s="62" t="n">
        <v>0</v>
      </c>
      <c r="AD3328" s="62" t="n">
        <v>1</v>
      </c>
      <c r="AE3328" s="62" t="n">
        <f aca="false">IF(AND(Dashboard!$C$9="Yes",AC3328=1),0,1)</f>
        <v>1</v>
      </c>
      <c r="AF3328" s="62" t="n">
        <v>1</v>
      </c>
    </row>
    <row r="3329" customFormat="false" ht="15" hidden="false" customHeight="false" outlineLevel="0" collapsed="false">
      <c r="A3329" s="62" t="n">
        <v>3328</v>
      </c>
      <c r="B3329" s="63" t="n">
        <v>46302.8786226852</v>
      </c>
      <c r="C3329" s="64" t="n">
        <v>46302</v>
      </c>
      <c r="D3329" s="62" t="s">
        <v>143</v>
      </c>
      <c r="E3329" s="62" t="s">
        <v>6073</v>
      </c>
      <c r="F3329" s="62" t="s">
        <v>3967</v>
      </c>
      <c r="G3329" s="62" t="s">
        <v>3968</v>
      </c>
      <c r="H3329" s="62" t="s">
        <v>46</v>
      </c>
      <c r="I3329" s="62" t="s">
        <v>47</v>
      </c>
      <c r="J3329" s="62" t="s">
        <v>146</v>
      </c>
      <c r="K3329" s="62" t="s">
        <v>209</v>
      </c>
      <c r="L3329" s="62" t="s">
        <v>4</v>
      </c>
      <c r="M3329" s="62" t="n">
        <v>1</v>
      </c>
      <c r="N3329" s="62" t="n">
        <v>0</v>
      </c>
      <c r="O3329" s="62" t="n">
        <v>1</v>
      </c>
      <c r="P3329" s="62" t="n">
        <v>0</v>
      </c>
      <c r="Q3329" s="62" t="n">
        <v>0</v>
      </c>
      <c r="R3329" s="62" t="n">
        <v>0</v>
      </c>
      <c r="S3329" s="62" t="n">
        <v>0</v>
      </c>
      <c r="T3329" s="62" t="n">
        <v>0</v>
      </c>
      <c r="U3329" s="62" t="s">
        <v>15</v>
      </c>
      <c r="V3329" s="62" t="s">
        <v>2057</v>
      </c>
      <c r="W3329" s="62" t="s">
        <v>15</v>
      </c>
      <c r="X3329" s="62" t="s">
        <v>2058</v>
      </c>
      <c r="Y3329" s="62" t="s">
        <v>2059</v>
      </c>
      <c r="Z3329" s="62" t="s">
        <v>6074</v>
      </c>
      <c r="AA3329" s="62" t="s">
        <v>4946</v>
      </c>
      <c r="AB3329" s="62" t="n">
        <v>0</v>
      </c>
      <c r="AC3329" s="62" t="n">
        <v>0</v>
      </c>
      <c r="AD3329" s="62" t="n">
        <v>1</v>
      </c>
      <c r="AE3329" s="62" t="n">
        <f aca="false">IF(AND(Dashboard!$C$9="Yes",AC3329=1),0,1)</f>
        <v>1</v>
      </c>
      <c r="AF3329" s="62" t="n">
        <v>1</v>
      </c>
    </row>
    <row r="3330" customFormat="false" ht="15" hidden="false" customHeight="false" outlineLevel="0" collapsed="false">
      <c r="A3330" s="62" t="n">
        <v>3329</v>
      </c>
      <c r="B3330" s="63" t="n">
        <v>46302.8809490741</v>
      </c>
      <c r="C3330" s="64" t="n">
        <v>46302</v>
      </c>
      <c r="D3330" s="62" t="s">
        <v>143</v>
      </c>
      <c r="E3330" s="62" t="s">
        <v>5246</v>
      </c>
      <c r="F3330" s="62" t="s">
        <v>5246</v>
      </c>
      <c r="G3330" s="62" t="s">
        <v>5247</v>
      </c>
      <c r="H3330" s="62" t="s">
        <v>55</v>
      </c>
      <c r="I3330" s="62" t="s">
        <v>49</v>
      </c>
      <c r="J3330" s="62" t="s">
        <v>3708</v>
      </c>
      <c r="K3330" s="62" t="s">
        <v>209</v>
      </c>
      <c r="L3330" s="62" t="s">
        <v>148</v>
      </c>
      <c r="M3330" s="62" t="n">
        <v>0</v>
      </c>
      <c r="N3330" s="62" t="n">
        <v>1</v>
      </c>
      <c r="O3330" s="62" t="n">
        <v>1</v>
      </c>
      <c r="P3330" s="62" t="n">
        <v>0</v>
      </c>
      <c r="Q3330" s="62" t="n">
        <v>1</v>
      </c>
      <c r="R3330" s="62" t="n">
        <v>0</v>
      </c>
      <c r="S3330" s="62" t="n">
        <v>0</v>
      </c>
      <c r="T3330" s="62" t="n">
        <v>0</v>
      </c>
      <c r="U3330" s="62"/>
      <c r="V3330" s="62"/>
      <c r="W3330" s="62"/>
      <c r="X3330" s="62"/>
      <c r="Y3330" s="62"/>
      <c r="Z3330" s="62" t="s">
        <v>6075</v>
      </c>
      <c r="AA3330" s="62" t="s">
        <v>6076</v>
      </c>
      <c r="AB3330" s="62" t="n">
        <v>1</v>
      </c>
      <c r="AC3330" s="62" t="n">
        <v>0</v>
      </c>
      <c r="AD3330" s="62" t="n">
        <v>1</v>
      </c>
      <c r="AE3330" s="62" t="n">
        <f aca="false">IF(AND(Dashboard!$C$9="Yes",AC3330=1),0,1)</f>
        <v>1</v>
      </c>
      <c r="AF3330" s="62" t="n">
        <v>1</v>
      </c>
    </row>
    <row r="3331" customFormat="false" ht="15" hidden="false" customHeight="false" outlineLevel="0" collapsed="false">
      <c r="A3331" s="62" t="n">
        <v>3330</v>
      </c>
      <c r="B3331" s="63" t="n">
        <v>46302.8846412037</v>
      </c>
      <c r="C3331" s="64" t="n">
        <v>46302</v>
      </c>
      <c r="D3331" s="62" t="s">
        <v>143</v>
      </c>
      <c r="E3331" s="62" t="s">
        <v>5270</v>
      </c>
      <c r="F3331" s="62" t="s">
        <v>5270</v>
      </c>
      <c r="G3331" s="62" t="s">
        <v>5271</v>
      </c>
      <c r="H3331" s="62" t="s">
        <v>55</v>
      </c>
      <c r="I3331" s="62" t="s">
        <v>49</v>
      </c>
      <c r="J3331" s="62" t="s">
        <v>3708</v>
      </c>
      <c r="K3331" s="62" t="s">
        <v>209</v>
      </c>
      <c r="L3331" s="62" t="s">
        <v>148</v>
      </c>
      <c r="M3331" s="62" t="n">
        <v>0</v>
      </c>
      <c r="N3331" s="62" t="n">
        <v>1</v>
      </c>
      <c r="O3331" s="62" t="n">
        <v>1</v>
      </c>
      <c r="P3331" s="62" t="n">
        <v>1</v>
      </c>
      <c r="Q3331" s="62" t="n">
        <v>0</v>
      </c>
      <c r="R3331" s="62" t="n">
        <v>0</v>
      </c>
      <c r="S3331" s="62" t="n">
        <v>0</v>
      </c>
      <c r="T3331" s="62" t="n">
        <v>0</v>
      </c>
      <c r="U3331" s="62"/>
      <c r="V3331" s="62"/>
      <c r="W3331" s="62"/>
      <c r="X3331" s="62"/>
      <c r="Y3331" s="62"/>
      <c r="Z3331" s="62" t="s">
        <v>6077</v>
      </c>
      <c r="AA3331" s="62" t="s">
        <v>6078</v>
      </c>
      <c r="AB3331" s="62" t="n">
        <v>1</v>
      </c>
      <c r="AC3331" s="62" t="n">
        <v>0</v>
      </c>
      <c r="AD3331" s="62" t="n">
        <v>1</v>
      </c>
      <c r="AE3331" s="62" t="n">
        <f aca="false">IF(AND(Dashboard!$C$9="Yes",AC3331=1),0,1)</f>
        <v>1</v>
      </c>
      <c r="AF3331" s="62" t="n">
        <v>1</v>
      </c>
    </row>
    <row r="3332" customFormat="false" ht="15" hidden="false" customHeight="false" outlineLevel="0" collapsed="false">
      <c r="A3332" s="62" t="n">
        <v>3331</v>
      </c>
      <c r="B3332" s="63" t="n">
        <v>46302.8894212963</v>
      </c>
      <c r="C3332" s="64" t="n">
        <v>46302</v>
      </c>
      <c r="D3332" s="62" t="s">
        <v>143</v>
      </c>
      <c r="E3332" s="62" t="s">
        <v>939</v>
      </c>
      <c r="F3332" s="62" t="s">
        <v>939</v>
      </c>
      <c r="G3332" s="62" t="s">
        <v>940</v>
      </c>
      <c r="H3332" s="62" t="s">
        <v>57</v>
      </c>
      <c r="I3332" s="62" t="s">
        <v>47</v>
      </c>
      <c r="J3332" s="62" t="s">
        <v>146</v>
      </c>
      <c r="K3332" s="62" t="s">
        <v>147</v>
      </c>
      <c r="L3332" s="62" t="s">
        <v>148</v>
      </c>
      <c r="M3332" s="62" t="n">
        <v>0</v>
      </c>
      <c r="N3332" s="62" t="n">
        <v>1</v>
      </c>
      <c r="O3332" s="62" t="n">
        <v>1</v>
      </c>
      <c r="P3332" s="62" t="n">
        <v>1</v>
      </c>
      <c r="Q3332" s="62" t="n">
        <v>0</v>
      </c>
      <c r="R3332" s="62" t="n">
        <v>0</v>
      </c>
      <c r="S3332" s="62" t="n">
        <v>0</v>
      </c>
      <c r="T3332" s="62" t="n">
        <v>0</v>
      </c>
      <c r="U3332" s="62"/>
      <c r="V3332" s="62"/>
      <c r="W3332" s="62"/>
      <c r="X3332" s="62"/>
      <c r="Y3332" s="62"/>
      <c r="Z3332" s="62" t="s">
        <v>6079</v>
      </c>
      <c r="AA3332" s="62" t="s">
        <v>6080</v>
      </c>
      <c r="AB3332" s="62" t="n">
        <v>1</v>
      </c>
      <c r="AC3332" s="62" t="n">
        <v>0</v>
      </c>
      <c r="AD3332" s="62" t="n">
        <v>1</v>
      </c>
      <c r="AE3332" s="62" t="n">
        <f aca="false">IF(AND(Dashboard!$C$9="Yes",AC3332=1),0,1)</f>
        <v>1</v>
      </c>
      <c r="AF3332" s="62" t="n">
        <v>1</v>
      </c>
    </row>
    <row r="3333" customFormat="false" ht="15" hidden="false" customHeight="false" outlineLevel="0" collapsed="false">
      <c r="A3333" s="62" t="n">
        <v>3332</v>
      </c>
      <c r="B3333" s="63" t="n">
        <v>46302.8949305556</v>
      </c>
      <c r="C3333" s="64" t="n">
        <v>46302</v>
      </c>
      <c r="D3333" s="62" t="s">
        <v>143</v>
      </c>
      <c r="E3333" s="62" t="s">
        <v>3735</v>
      </c>
      <c r="F3333" s="62" t="s">
        <v>1445</v>
      </c>
      <c r="G3333" s="62" t="s">
        <v>1446</v>
      </c>
      <c r="H3333" s="62" t="s">
        <v>58</v>
      </c>
      <c r="I3333" s="62" t="s">
        <v>49</v>
      </c>
      <c r="J3333" s="62" t="s">
        <v>146</v>
      </c>
      <c r="K3333" s="62" t="s">
        <v>175</v>
      </c>
      <c r="L3333" s="62" t="s">
        <v>148</v>
      </c>
      <c r="M3333" s="62" t="n">
        <v>0</v>
      </c>
      <c r="N3333" s="62" t="n">
        <v>2</v>
      </c>
      <c r="O3333" s="62" t="n">
        <v>2</v>
      </c>
      <c r="P3333" s="62" t="n">
        <v>1</v>
      </c>
      <c r="Q3333" s="62" t="n">
        <v>1</v>
      </c>
      <c r="R3333" s="62" t="n">
        <v>0</v>
      </c>
      <c r="S3333" s="62" t="n">
        <v>0</v>
      </c>
      <c r="T3333" s="62" t="n">
        <v>0</v>
      </c>
      <c r="U3333" s="62"/>
      <c r="V3333" s="62"/>
      <c r="W3333" s="62"/>
      <c r="X3333" s="62"/>
      <c r="Y3333" s="62"/>
      <c r="Z3333" s="62" t="s">
        <v>6081</v>
      </c>
      <c r="AA3333" s="62" t="s">
        <v>6082</v>
      </c>
      <c r="AB3333" s="62" t="n">
        <v>1</v>
      </c>
      <c r="AC3333" s="62" t="n">
        <v>0</v>
      </c>
      <c r="AD3333" s="62" t="n">
        <v>1</v>
      </c>
      <c r="AE3333" s="62" t="n">
        <f aca="false">IF(AND(Dashboard!$C$9="Yes",AC3333=1),0,1)</f>
        <v>1</v>
      </c>
      <c r="AF3333" s="62" t="n">
        <v>1</v>
      </c>
    </row>
    <row r="3334" customFormat="false" ht="15" hidden="false" customHeight="false" outlineLevel="0" collapsed="false">
      <c r="A3334" s="62" t="n">
        <v>3333</v>
      </c>
      <c r="B3334" s="63" t="n">
        <v>46302.8998611111</v>
      </c>
      <c r="C3334" s="64" t="n">
        <v>46302</v>
      </c>
      <c r="D3334" s="62" t="s">
        <v>143</v>
      </c>
      <c r="E3334" s="62" t="s">
        <v>4258</v>
      </c>
      <c r="F3334" s="62" t="s">
        <v>4258</v>
      </c>
      <c r="G3334" s="62" t="s">
        <v>4259</v>
      </c>
      <c r="H3334" s="62" t="s">
        <v>44</v>
      </c>
      <c r="I3334" s="62" t="s">
        <v>49</v>
      </c>
      <c r="J3334" s="62" t="s">
        <v>146</v>
      </c>
      <c r="K3334" s="62" t="s">
        <v>147</v>
      </c>
      <c r="L3334" s="62" t="s">
        <v>148</v>
      </c>
      <c r="M3334" s="62" t="n">
        <v>0</v>
      </c>
      <c r="N3334" s="62" t="n">
        <v>1</v>
      </c>
      <c r="O3334" s="62" t="n">
        <v>1</v>
      </c>
      <c r="P3334" s="62" t="n">
        <v>0</v>
      </c>
      <c r="Q3334" s="62" t="n">
        <v>1</v>
      </c>
      <c r="R3334" s="62" t="n">
        <v>0</v>
      </c>
      <c r="S3334" s="62" t="n">
        <v>0</v>
      </c>
      <c r="T3334" s="62" t="n">
        <v>0</v>
      </c>
      <c r="U3334" s="62"/>
      <c r="V3334" s="62"/>
      <c r="W3334" s="62"/>
      <c r="X3334" s="62"/>
      <c r="Y3334" s="62"/>
      <c r="Z3334" s="62" t="s">
        <v>6083</v>
      </c>
      <c r="AA3334" s="62" t="s">
        <v>6084</v>
      </c>
      <c r="AB3334" s="62" t="n">
        <v>1</v>
      </c>
      <c r="AC3334" s="62" t="n">
        <v>0</v>
      </c>
      <c r="AD3334" s="62" t="n">
        <v>1</v>
      </c>
      <c r="AE3334" s="62" t="n">
        <f aca="false">IF(AND(Dashboard!$C$9="Yes",AC3334=1),0,1)</f>
        <v>1</v>
      </c>
      <c r="AF3334" s="62" t="n">
        <v>1</v>
      </c>
    </row>
    <row r="3335" customFormat="false" ht="15" hidden="false" customHeight="false" outlineLevel="0" collapsed="false">
      <c r="A3335" s="62" t="n">
        <v>3334</v>
      </c>
      <c r="B3335" s="63" t="n">
        <v>46302.9028587963</v>
      </c>
      <c r="C3335" s="64" t="n">
        <v>46302</v>
      </c>
      <c r="D3335" s="62" t="s">
        <v>143</v>
      </c>
      <c r="E3335" s="62" t="s">
        <v>5956</v>
      </c>
      <c r="F3335" s="62" t="s">
        <v>5957</v>
      </c>
      <c r="G3335" s="62" t="s">
        <v>153</v>
      </c>
      <c r="H3335" s="62" t="s">
        <v>153</v>
      </c>
      <c r="I3335" s="62" t="s">
        <v>153</v>
      </c>
      <c r="J3335" s="62" t="s">
        <v>64</v>
      </c>
      <c r="K3335" s="62" t="s">
        <v>64</v>
      </c>
      <c r="L3335" s="62" t="s">
        <v>148</v>
      </c>
      <c r="M3335" s="62" t="n">
        <v>0</v>
      </c>
      <c r="N3335" s="62" t="n">
        <v>1</v>
      </c>
      <c r="O3335" s="62" t="n">
        <v>1</v>
      </c>
      <c r="P3335" s="62" t="n">
        <v>1</v>
      </c>
      <c r="Q3335" s="62" t="n">
        <v>0</v>
      </c>
      <c r="R3335" s="62" t="n">
        <v>0</v>
      </c>
      <c r="S3335" s="62" t="n">
        <v>0</v>
      </c>
      <c r="T3335" s="62" t="n">
        <v>0</v>
      </c>
      <c r="U3335" s="62"/>
      <c r="V3335" s="62"/>
      <c r="W3335" s="62"/>
      <c r="X3335" s="62"/>
      <c r="Y3335" s="62"/>
      <c r="Z3335" s="62" t="s">
        <v>6085</v>
      </c>
      <c r="AA3335" s="62" t="s">
        <v>6086</v>
      </c>
      <c r="AB3335" s="62" t="n">
        <v>1</v>
      </c>
      <c r="AC3335" s="62" t="n">
        <v>0</v>
      </c>
      <c r="AD3335" s="62" t="n">
        <v>0</v>
      </c>
      <c r="AE3335" s="62" t="n">
        <f aca="false">IF(AND(Dashboard!$C$9="Yes",AC3335=1),0,1)</f>
        <v>1</v>
      </c>
      <c r="AF3335" s="62" t="n">
        <v>1</v>
      </c>
    </row>
    <row r="3336" customFormat="false" ht="15" hidden="false" customHeight="false" outlineLevel="0" collapsed="false">
      <c r="A3336" s="62" t="n">
        <v>3335</v>
      </c>
      <c r="B3336" s="63" t="n">
        <v>46302.9101851852</v>
      </c>
      <c r="C3336" s="64" t="n">
        <v>46302</v>
      </c>
      <c r="D3336" s="62" t="s">
        <v>143</v>
      </c>
      <c r="E3336" s="62" t="s">
        <v>5270</v>
      </c>
      <c r="F3336" s="62" t="s">
        <v>5270</v>
      </c>
      <c r="G3336" s="62" t="s">
        <v>5271</v>
      </c>
      <c r="H3336" s="62" t="s">
        <v>55</v>
      </c>
      <c r="I3336" s="62" t="s">
        <v>49</v>
      </c>
      <c r="J3336" s="62" t="s">
        <v>3708</v>
      </c>
      <c r="K3336" s="62" t="s">
        <v>209</v>
      </c>
      <c r="L3336" s="62" t="s">
        <v>148</v>
      </c>
      <c r="M3336" s="62" t="n">
        <v>0</v>
      </c>
      <c r="N3336" s="62" t="n">
        <v>1</v>
      </c>
      <c r="O3336" s="62" t="n">
        <v>1</v>
      </c>
      <c r="P3336" s="62" t="n">
        <v>0</v>
      </c>
      <c r="Q3336" s="62" t="n">
        <v>1</v>
      </c>
      <c r="R3336" s="62" t="n">
        <v>0</v>
      </c>
      <c r="S3336" s="62" t="n">
        <v>0</v>
      </c>
      <c r="T3336" s="62" t="n">
        <v>0</v>
      </c>
      <c r="U3336" s="62"/>
      <c r="V3336" s="62"/>
      <c r="W3336" s="62"/>
      <c r="X3336" s="62"/>
      <c r="Y3336" s="62"/>
      <c r="Z3336" s="62" t="s">
        <v>6087</v>
      </c>
      <c r="AA3336" s="62" t="s">
        <v>6088</v>
      </c>
      <c r="AB3336" s="62" t="n">
        <v>1</v>
      </c>
      <c r="AC3336" s="62" t="n">
        <v>0</v>
      </c>
      <c r="AD3336" s="62" t="n">
        <v>1</v>
      </c>
      <c r="AE3336" s="62" t="n">
        <f aca="false">IF(AND(Dashboard!$C$9="Yes",AC3336=1),0,1)</f>
        <v>1</v>
      </c>
      <c r="AF3336" s="62" t="n">
        <v>0</v>
      </c>
    </row>
    <row r="3337" customFormat="false" ht="15" hidden="false" customHeight="false" outlineLevel="0" collapsed="false">
      <c r="A3337" s="62" t="n">
        <v>3336</v>
      </c>
      <c r="B3337" s="63" t="n">
        <v>46302.9191203704</v>
      </c>
      <c r="C3337" s="64" t="n">
        <v>46302</v>
      </c>
      <c r="D3337" s="62" t="s">
        <v>143</v>
      </c>
      <c r="E3337" s="62" t="s">
        <v>3874</v>
      </c>
      <c r="F3337" s="62" t="s">
        <v>3874</v>
      </c>
      <c r="G3337" s="62" t="s">
        <v>3875</v>
      </c>
      <c r="H3337" s="62" t="s">
        <v>59</v>
      </c>
      <c r="I3337" s="62" t="s">
        <v>47</v>
      </c>
      <c r="J3337" s="62" t="s">
        <v>146</v>
      </c>
      <c r="K3337" s="62" t="s">
        <v>209</v>
      </c>
      <c r="L3337" s="62" t="s">
        <v>148</v>
      </c>
      <c r="M3337" s="62" t="n">
        <v>0</v>
      </c>
      <c r="N3337" s="62" t="n">
        <v>1</v>
      </c>
      <c r="O3337" s="62" t="n">
        <v>1</v>
      </c>
      <c r="P3337" s="62" t="n">
        <v>0</v>
      </c>
      <c r="Q3337" s="62" t="n">
        <v>0</v>
      </c>
      <c r="R3337" s="62" t="n">
        <v>0</v>
      </c>
      <c r="S3337" s="62" t="n">
        <v>0</v>
      </c>
      <c r="T3337" s="62" t="n">
        <v>1</v>
      </c>
      <c r="U3337" s="62"/>
      <c r="V3337" s="62"/>
      <c r="W3337" s="62"/>
      <c r="X3337" s="62"/>
      <c r="Y3337" s="62"/>
      <c r="Z3337" s="62" t="s">
        <v>6089</v>
      </c>
      <c r="AA3337" s="62" t="s">
        <v>6090</v>
      </c>
      <c r="AB3337" s="62" t="n">
        <v>1</v>
      </c>
      <c r="AC3337" s="62" t="n">
        <v>0</v>
      </c>
      <c r="AD3337" s="62" t="n">
        <v>1</v>
      </c>
      <c r="AE3337" s="62" t="n">
        <f aca="false">IF(AND(Dashboard!$C$9="Yes",AC3337=1),0,1)</f>
        <v>1</v>
      </c>
      <c r="AF3337" s="62" t="n">
        <v>0</v>
      </c>
    </row>
    <row r="3338" customFormat="false" ht="15" hidden="false" customHeight="false" outlineLevel="0" collapsed="false">
      <c r="A3338" s="62" t="n">
        <v>3337</v>
      </c>
      <c r="B3338" s="63" t="n">
        <v>46302.9206134259</v>
      </c>
      <c r="C3338" s="64" t="n">
        <v>46302</v>
      </c>
      <c r="D3338" s="62" t="s">
        <v>143</v>
      </c>
      <c r="E3338" s="62" t="s">
        <v>4665</v>
      </c>
      <c r="F3338" s="62" t="s">
        <v>4665</v>
      </c>
      <c r="G3338" s="62" t="s">
        <v>4666</v>
      </c>
      <c r="H3338" s="62" t="s">
        <v>58</v>
      </c>
      <c r="I3338" s="62" t="s">
        <v>49</v>
      </c>
      <c r="J3338" s="62" t="s">
        <v>146</v>
      </c>
      <c r="K3338" s="62" t="s">
        <v>209</v>
      </c>
      <c r="L3338" s="62" t="s">
        <v>148</v>
      </c>
      <c r="M3338" s="62" t="n">
        <v>0</v>
      </c>
      <c r="N3338" s="62" t="n">
        <v>1</v>
      </c>
      <c r="O3338" s="62" t="n">
        <v>1</v>
      </c>
      <c r="P3338" s="62" t="n">
        <v>1</v>
      </c>
      <c r="Q3338" s="62" t="n">
        <v>0</v>
      </c>
      <c r="R3338" s="62" t="n">
        <v>0</v>
      </c>
      <c r="S3338" s="62" t="n">
        <v>0</v>
      </c>
      <c r="T3338" s="62" t="n">
        <v>0</v>
      </c>
      <c r="U3338" s="62"/>
      <c r="V3338" s="62"/>
      <c r="W3338" s="62"/>
      <c r="X3338" s="62"/>
      <c r="Y3338" s="62"/>
      <c r="Z3338" s="62" t="s">
        <v>6091</v>
      </c>
      <c r="AA3338" s="62" t="s">
        <v>5144</v>
      </c>
      <c r="AB3338" s="62" t="n">
        <v>0</v>
      </c>
      <c r="AC3338" s="62" t="n">
        <v>0</v>
      </c>
      <c r="AD3338" s="62" t="n">
        <v>1</v>
      </c>
      <c r="AE3338" s="62" t="n">
        <f aca="false">IF(AND(Dashboard!$C$9="Yes",AC3338=1),0,1)</f>
        <v>1</v>
      </c>
      <c r="AF3338" s="62" t="n">
        <v>1</v>
      </c>
    </row>
    <row r="3339" customFormat="false" ht="15" hidden="false" customHeight="false" outlineLevel="0" collapsed="false">
      <c r="A3339" s="62" t="n">
        <v>3338</v>
      </c>
      <c r="B3339" s="63" t="n">
        <v>46302.9225115741</v>
      </c>
      <c r="C3339" s="64" t="n">
        <v>46302</v>
      </c>
      <c r="D3339" s="62" t="s">
        <v>143</v>
      </c>
      <c r="E3339" s="62" t="s">
        <v>6092</v>
      </c>
      <c r="F3339" s="62" t="s">
        <v>3706</v>
      </c>
      <c r="G3339" s="62" t="s">
        <v>3707</v>
      </c>
      <c r="H3339" s="62" t="s">
        <v>55</v>
      </c>
      <c r="I3339" s="62" t="s">
        <v>49</v>
      </c>
      <c r="J3339" s="62" t="s">
        <v>3708</v>
      </c>
      <c r="K3339" s="62" t="s">
        <v>209</v>
      </c>
      <c r="L3339" s="62" t="s">
        <v>148</v>
      </c>
      <c r="M3339" s="62" t="n">
        <v>0</v>
      </c>
      <c r="N3339" s="62" t="n">
        <v>2</v>
      </c>
      <c r="O3339" s="62" t="n">
        <v>2</v>
      </c>
      <c r="P3339" s="62" t="n">
        <v>0</v>
      </c>
      <c r="Q3339" s="62" t="n">
        <v>0</v>
      </c>
      <c r="R3339" s="62" t="n">
        <v>0</v>
      </c>
      <c r="S3339" s="62" t="n">
        <v>2</v>
      </c>
      <c r="T3339" s="62" t="n">
        <v>0</v>
      </c>
      <c r="U3339" s="62"/>
      <c r="V3339" s="62"/>
      <c r="W3339" s="62"/>
      <c r="X3339" s="62"/>
      <c r="Y3339" s="62"/>
      <c r="Z3339" s="62" t="s">
        <v>6093</v>
      </c>
      <c r="AA3339" s="62" t="s">
        <v>337</v>
      </c>
      <c r="AB3339" s="62" t="n">
        <v>0</v>
      </c>
      <c r="AC3339" s="62" t="n">
        <v>0</v>
      </c>
      <c r="AD3339" s="62" t="n">
        <v>1</v>
      </c>
      <c r="AE3339" s="62" t="n">
        <f aca="false">IF(AND(Dashboard!$C$9="Yes",AC3339=1),0,1)</f>
        <v>1</v>
      </c>
      <c r="AF3339" s="62" t="n">
        <v>1</v>
      </c>
    </row>
    <row r="3340" customFormat="false" ht="15" hidden="false" customHeight="false" outlineLevel="0" collapsed="false">
      <c r="A3340" s="62" t="n">
        <v>3339</v>
      </c>
      <c r="B3340" s="63" t="n">
        <v>46302.9233912037</v>
      </c>
      <c r="C3340" s="64" t="n">
        <v>46302</v>
      </c>
      <c r="D3340" s="62" t="s">
        <v>143</v>
      </c>
      <c r="E3340" s="62" t="s">
        <v>3710</v>
      </c>
      <c r="F3340" s="62" t="s">
        <v>3710</v>
      </c>
      <c r="G3340" s="62" t="s">
        <v>3711</v>
      </c>
      <c r="H3340" s="62" t="s">
        <v>58</v>
      </c>
      <c r="I3340" s="62" t="s">
        <v>49</v>
      </c>
      <c r="J3340" s="62" t="s">
        <v>146</v>
      </c>
      <c r="K3340" s="62" t="s">
        <v>209</v>
      </c>
      <c r="L3340" s="62" t="s">
        <v>148</v>
      </c>
      <c r="M3340" s="62" t="n">
        <v>0</v>
      </c>
      <c r="N3340" s="62" t="n">
        <v>1</v>
      </c>
      <c r="O3340" s="62" t="n">
        <v>1</v>
      </c>
      <c r="P3340" s="62" t="n">
        <v>1</v>
      </c>
      <c r="Q3340" s="62" t="n">
        <v>0</v>
      </c>
      <c r="R3340" s="62" t="n">
        <v>0</v>
      </c>
      <c r="S3340" s="62" t="n">
        <v>0</v>
      </c>
      <c r="T3340" s="62" t="n">
        <v>0</v>
      </c>
      <c r="U3340" s="62"/>
      <c r="V3340" s="62"/>
      <c r="W3340" s="62"/>
      <c r="X3340" s="62"/>
      <c r="Y3340" s="62"/>
      <c r="Z3340" s="62" t="s">
        <v>6094</v>
      </c>
      <c r="AA3340" s="62" t="s">
        <v>6095</v>
      </c>
      <c r="AB3340" s="62" t="n">
        <v>1</v>
      </c>
      <c r="AC3340" s="62" t="n">
        <v>0</v>
      </c>
      <c r="AD3340" s="62" t="n">
        <v>1</v>
      </c>
      <c r="AE3340" s="62" t="n">
        <f aca="false">IF(AND(Dashboard!$C$9="Yes",AC3340=1),0,1)</f>
        <v>1</v>
      </c>
      <c r="AF3340" s="62" t="n">
        <v>1</v>
      </c>
    </row>
    <row r="3341" customFormat="false" ht="15" hidden="false" customHeight="false" outlineLevel="0" collapsed="false">
      <c r="A3341" s="62" t="n">
        <v>3340</v>
      </c>
      <c r="B3341" s="63" t="n">
        <v>46302.9348032407</v>
      </c>
      <c r="C3341" s="64" t="n">
        <v>46302</v>
      </c>
      <c r="D3341" s="62" t="s">
        <v>143</v>
      </c>
      <c r="E3341" s="62" t="s">
        <v>1749</v>
      </c>
      <c r="F3341" s="62" t="s">
        <v>1749</v>
      </c>
      <c r="G3341" s="62" t="s">
        <v>1750</v>
      </c>
      <c r="H3341" s="62" t="s">
        <v>57</v>
      </c>
      <c r="I3341" s="62" t="s">
        <v>47</v>
      </c>
      <c r="J3341" s="62" t="s">
        <v>146</v>
      </c>
      <c r="K3341" s="62" t="s">
        <v>209</v>
      </c>
      <c r="L3341" s="62" t="s">
        <v>148</v>
      </c>
      <c r="M3341" s="62" t="n">
        <v>0</v>
      </c>
      <c r="N3341" s="62" t="n">
        <v>1</v>
      </c>
      <c r="O3341" s="62" t="n">
        <v>1</v>
      </c>
      <c r="P3341" s="62" t="n">
        <v>0</v>
      </c>
      <c r="Q3341" s="62" t="n">
        <v>1</v>
      </c>
      <c r="R3341" s="62" t="n">
        <v>0</v>
      </c>
      <c r="S3341" s="62" t="n">
        <v>0</v>
      </c>
      <c r="T3341" s="62" t="n">
        <v>0</v>
      </c>
      <c r="U3341" s="62"/>
      <c r="V3341" s="62"/>
      <c r="W3341" s="62"/>
      <c r="X3341" s="62"/>
      <c r="Y3341" s="62"/>
      <c r="Z3341" s="62" t="s">
        <v>6096</v>
      </c>
      <c r="AA3341" s="62" t="s">
        <v>6097</v>
      </c>
      <c r="AB3341" s="62" t="n">
        <v>1</v>
      </c>
      <c r="AC3341" s="62" t="n">
        <v>0</v>
      </c>
      <c r="AD3341" s="62" t="n">
        <v>1</v>
      </c>
      <c r="AE3341" s="62" t="n">
        <f aca="false">IF(AND(Dashboard!$C$9="Yes",AC3341=1),0,1)</f>
        <v>1</v>
      </c>
      <c r="AF3341" s="62" t="n">
        <v>1</v>
      </c>
    </row>
    <row r="3342" customFormat="false" ht="15" hidden="false" customHeight="false" outlineLevel="0" collapsed="false">
      <c r="A3342" s="62" t="n">
        <v>3341</v>
      </c>
      <c r="B3342" s="63" t="n">
        <v>46302.9381944445</v>
      </c>
      <c r="C3342" s="64" t="n">
        <v>46302</v>
      </c>
      <c r="D3342" s="62" t="s">
        <v>143</v>
      </c>
      <c r="E3342" s="62" t="s">
        <v>144</v>
      </c>
      <c r="F3342" s="62" t="s">
        <v>144</v>
      </c>
      <c r="G3342" s="62" t="s">
        <v>145</v>
      </c>
      <c r="H3342" s="62" t="s">
        <v>59</v>
      </c>
      <c r="I3342" s="62" t="s">
        <v>47</v>
      </c>
      <c r="J3342" s="62" t="s">
        <v>146</v>
      </c>
      <c r="K3342" s="62" t="s">
        <v>147</v>
      </c>
      <c r="L3342" s="62" t="s">
        <v>148</v>
      </c>
      <c r="M3342" s="62" t="n">
        <v>0</v>
      </c>
      <c r="N3342" s="62" t="n">
        <v>1</v>
      </c>
      <c r="O3342" s="62" t="n">
        <v>1</v>
      </c>
      <c r="P3342" s="62" t="n">
        <v>1</v>
      </c>
      <c r="Q3342" s="62" t="n">
        <v>0</v>
      </c>
      <c r="R3342" s="62" t="n">
        <v>0</v>
      </c>
      <c r="S3342" s="62" t="n">
        <v>0</v>
      </c>
      <c r="T3342" s="62" t="n">
        <v>0</v>
      </c>
      <c r="U3342" s="62"/>
      <c r="V3342" s="62"/>
      <c r="W3342" s="62"/>
      <c r="X3342" s="62"/>
      <c r="Y3342" s="62"/>
      <c r="Z3342" s="62" t="s">
        <v>6098</v>
      </c>
      <c r="AA3342" s="62" t="s">
        <v>6099</v>
      </c>
      <c r="AB3342" s="62" t="n">
        <v>1</v>
      </c>
      <c r="AC3342" s="62" t="n">
        <v>0</v>
      </c>
      <c r="AD3342" s="62" t="n">
        <v>1</v>
      </c>
      <c r="AE3342" s="62" t="n">
        <f aca="false">IF(AND(Dashboard!$C$9="Yes",AC3342=1),0,1)</f>
        <v>1</v>
      </c>
      <c r="AF3342" s="62" t="n">
        <v>1</v>
      </c>
    </row>
    <row r="3343" customFormat="false" ht="15" hidden="false" customHeight="false" outlineLevel="0" collapsed="false">
      <c r="A3343" s="62" t="n">
        <v>3342</v>
      </c>
      <c r="B3343" s="63" t="n">
        <v>46302.9384259259</v>
      </c>
      <c r="C3343" s="64" t="n">
        <v>46302</v>
      </c>
      <c r="D3343" s="62" t="s">
        <v>143</v>
      </c>
      <c r="E3343" s="62" t="s">
        <v>144</v>
      </c>
      <c r="F3343" s="62" t="s">
        <v>144</v>
      </c>
      <c r="G3343" s="62" t="s">
        <v>145</v>
      </c>
      <c r="H3343" s="62" t="s">
        <v>59</v>
      </c>
      <c r="I3343" s="62" t="s">
        <v>47</v>
      </c>
      <c r="J3343" s="62" t="s">
        <v>146</v>
      </c>
      <c r="K3343" s="62" t="s">
        <v>147</v>
      </c>
      <c r="L3343" s="62" t="s">
        <v>148</v>
      </c>
      <c r="M3343" s="62" t="n">
        <v>0</v>
      </c>
      <c r="N3343" s="62" t="n">
        <v>1</v>
      </c>
      <c r="O3343" s="62" t="n">
        <v>1</v>
      </c>
      <c r="P3343" s="62" t="n">
        <v>1</v>
      </c>
      <c r="Q3343" s="62" t="n">
        <v>0</v>
      </c>
      <c r="R3343" s="62" t="n">
        <v>0</v>
      </c>
      <c r="S3343" s="62" t="n">
        <v>0</v>
      </c>
      <c r="T3343" s="62" t="n">
        <v>0</v>
      </c>
      <c r="U3343" s="62"/>
      <c r="V3343" s="62"/>
      <c r="W3343" s="62"/>
      <c r="X3343" s="62"/>
      <c r="Y3343" s="62"/>
      <c r="Z3343" s="62" t="s">
        <v>6098</v>
      </c>
      <c r="AA3343" s="62" t="s">
        <v>6099</v>
      </c>
      <c r="AB3343" s="62" t="n">
        <v>1</v>
      </c>
      <c r="AC3343" s="62" t="n">
        <v>1</v>
      </c>
      <c r="AD3343" s="62" t="n">
        <v>1</v>
      </c>
      <c r="AE3343" s="62" t="n">
        <f aca="false">IF(AND(Dashboard!$C$9="Yes",AC3343=1),0,1)</f>
        <v>0</v>
      </c>
      <c r="AF3343" s="62" t="n">
        <v>0</v>
      </c>
    </row>
    <row r="3344" customFormat="false" ht="15" hidden="false" customHeight="false" outlineLevel="0" collapsed="false">
      <c r="A3344" s="62" t="n">
        <v>3343</v>
      </c>
      <c r="B3344" s="63" t="n">
        <v>46302.9386111111</v>
      </c>
      <c r="C3344" s="64" t="n">
        <v>46302</v>
      </c>
      <c r="D3344" s="62" t="s">
        <v>143</v>
      </c>
      <c r="E3344" s="62" t="s">
        <v>144</v>
      </c>
      <c r="F3344" s="62" t="s">
        <v>144</v>
      </c>
      <c r="G3344" s="62" t="s">
        <v>145</v>
      </c>
      <c r="H3344" s="62" t="s">
        <v>59</v>
      </c>
      <c r="I3344" s="62" t="s">
        <v>47</v>
      </c>
      <c r="J3344" s="62" t="s">
        <v>146</v>
      </c>
      <c r="K3344" s="62" t="s">
        <v>147</v>
      </c>
      <c r="L3344" s="62" t="s">
        <v>148</v>
      </c>
      <c r="M3344" s="62" t="n">
        <v>0</v>
      </c>
      <c r="N3344" s="62" t="n">
        <v>1</v>
      </c>
      <c r="O3344" s="62" t="n">
        <v>1</v>
      </c>
      <c r="P3344" s="62" t="n">
        <v>1</v>
      </c>
      <c r="Q3344" s="62" t="n">
        <v>0</v>
      </c>
      <c r="R3344" s="62" t="n">
        <v>0</v>
      </c>
      <c r="S3344" s="62" t="n">
        <v>0</v>
      </c>
      <c r="T3344" s="62" t="n">
        <v>0</v>
      </c>
      <c r="U3344" s="62"/>
      <c r="V3344" s="62"/>
      <c r="W3344" s="62"/>
      <c r="X3344" s="62"/>
      <c r="Y3344" s="62"/>
      <c r="Z3344" s="62" t="s">
        <v>6098</v>
      </c>
      <c r="AA3344" s="62" t="s">
        <v>6099</v>
      </c>
      <c r="AB3344" s="62" t="n">
        <v>1</v>
      </c>
      <c r="AC3344" s="62" t="n">
        <v>1</v>
      </c>
      <c r="AD3344" s="62" t="n">
        <v>1</v>
      </c>
      <c r="AE3344" s="62" t="n">
        <f aca="false">IF(AND(Dashboard!$C$9="Yes",AC3344=1),0,1)</f>
        <v>0</v>
      </c>
      <c r="AF3344" s="62" t="n">
        <v>0</v>
      </c>
    </row>
    <row r="3345" customFormat="false" ht="15" hidden="false" customHeight="false" outlineLevel="0" collapsed="false">
      <c r="A3345" s="62" t="n">
        <v>3344</v>
      </c>
      <c r="B3345" s="63" t="n">
        <v>46302.9387731482</v>
      </c>
      <c r="C3345" s="64" t="n">
        <v>46302</v>
      </c>
      <c r="D3345" s="62" t="s">
        <v>143</v>
      </c>
      <c r="E3345" s="62" t="s">
        <v>144</v>
      </c>
      <c r="F3345" s="62" t="s">
        <v>144</v>
      </c>
      <c r="G3345" s="62" t="s">
        <v>145</v>
      </c>
      <c r="H3345" s="62" t="s">
        <v>59</v>
      </c>
      <c r="I3345" s="62" t="s">
        <v>47</v>
      </c>
      <c r="J3345" s="62" t="s">
        <v>146</v>
      </c>
      <c r="K3345" s="62" t="s">
        <v>147</v>
      </c>
      <c r="L3345" s="62" t="s">
        <v>148</v>
      </c>
      <c r="M3345" s="62" t="n">
        <v>0</v>
      </c>
      <c r="N3345" s="62" t="n">
        <v>1</v>
      </c>
      <c r="O3345" s="62" t="n">
        <v>1</v>
      </c>
      <c r="P3345" s="62" t="n">
        <v>1</v>
      </c>
      <c r="Q3345" s="62" t="n">
        <v>0</v>
      </c>
      <c r="R3345" s="62" t="n">
        <v>0</v>
      </c>
      <c r="S3345" s="62" t="n">
        <v>0</v>
      </c>
      <c r="T3345" s="62" t="n">
        <v>0</v>
      </c>
      <c r="U3345" s="62"/>
      <c r="V3345" s="62"/>
      <c r="W3345" s="62"/>
      <c r="X3345" s="62"/>
      <c r="Y3345" s="62"/>
      <c r="Z3345" s="62" t="s">
        <v>6098</v>
      </c>
      <c r="AA3345" s="62" t="s">
        <v>6099</v>
      </c>
      <c r="AB3345" s="62" t="n">
        <v>1</v>
      </c>
      <c r="AC3345" s="62" t="n">
        <v>1</v>
      </c>
      <c r="AD3345" s="62" t="n">
        <v>1</v>
      </c>
      <c r="AE3345" s="62" t="n">
        <f aca="false">IF(AND(Dashboard!$C$9="Yes",AC3345=1),0,1)</f>
        <v>0</v>
      </c>
      <c r="AF3345" s="62" t="n">
        <v>0</v>
      </c>
    </row>
    <row r="3346" customFormat="false" ht="15" hidden="false" customHeight="false" outlineLevel="0" collapsed="false">
      <c r="A3346" s="62" t="n">
        <v>3345</v>
      </c>
      <c r="B3346" s="63" t="n">
        <v>46302.9400347222</v>
      </c>
      <c r="C3346" s="64" t="n">
        <v>46302</v>
      </c>
      <c r="D3346" s="62" t="s">
        <v>143</v>
      </c>
      <c r="E3346" s="62" t="s">
        <v>2144</v>
      </c>
      <c r="F3346" s="62" t="s">
        <v>2144</v>
      </c>
      <c r="G3346" s="62" t="s">
        <v>2145</v>
      </c>
      <c r="H3346" s="62" t="s">
        <v>46</v>
      </c>
      <c r="I3346" s="62" t="s">
        <v>47</v>
      </c>
      <c r="J3346" s="62" t="s">
        <v>146</v>
      </c>
      <c r="K3346" s="62" t="s">
        <v>209</v>
      </c>
      <c r="L3346" s="62" t="s">
        <v>148</v>
      </c>
      <c r="M3346" s="62" t="n">
        <v>0</v>
      </c>
      <c r="N3346" s="62" t="n">
        <v>2</v>
      </c>
      <c r="O3346" s="62" t="n">
        <v>2</v>
      </c>
      <c r="P3346" s="62" t="n">
        <v>1</v>
      </c>
      <c r="Q3346" s="62" t="n">
        <v>0</v>
      </c>
      <c r="R3346" s="62" t="n">
        <v>1</v>
      </c>
      <c r="S3346" s="62" t="n">
        <v>0</v>
      </c>
      <c r="T3346" s="62" t="n">
        <v>0</v>
      </c>
      <c r="U3346" s="62"/>
      <c r="V3346" s="62"/>
      <c r="W3346" s="62"/>
      <c r="X3346" s="62"/>
      <c r="Y3346" s="62"/>
      <c r="Z3346" s="62" t="s">
        <v>6100</v>
      </c>
      <c r="AA3346" s="62" t="s">
        <v>237</v>
      </c>
      <c r="AB3346" s="62" t="n">
        <v>0</v>
      </c>
      <c r="AC3346" s="62" t="n">
        <v>0</v>
      </c>
      <c r="AD3346" s="62" t="n">
        <v>1</v>
      </c>
      <c r="AE3346" s="62" t="n">
        <f aca="false">IF(AND(Dashboard!$C$9="Yes",AC3346=1),0,1)</f>
        <v>1</v>
      </c>
      <c r="AF3346" s="62" t="n">
        <v>1</v>
      </c>
    </row>
    <row r="3347" customFormat="false" ht="15" hidden="false" customHeight="false" outlineLevel="0" collapsed="false">
      <c r="A3347" s="62" t="n">
        <v>3346</v>
      </c>
      <c r="B3347" s="63" t="n">
        <v>46302.9418287037</v>
      </c>
      <c r="C3347" s="64" t="n">
        <v>46302</v>
      </c>
      <c r="D3347" s="62" t="s">
        <v>143</v>
      </c>
      <c r="E3347" s="62" t="s">
        <v>6101</v>
      </c>
      <c r="F3347" s="62" t="s">
        <v>6101</v>
      </c>
      <c r="G3347" s="62" t="s">
        <v>6102</v>
      </c>
      <c r="H3347" s="62" t="s">
        <v>50</v>
      </c>
      <c r="I3347" s="62" t="s">
        <v>49</v>
      </c>
      <c r="J3347" s="62" t="s">
        <v>3708</v>
      </c>
      <c r="K3347" s="62" t="s">
        <v>209</v>
      </c>
      <c r="L3347" s="62" t="s">
        <v>4</v>
      </c>
      <c r="M3347" s="62" t="n">
        <v>1</v>
      </c>
      <c r="N3347" s="62" t="n">
        <v>0</v>
      </c>
      <c r="O3347" s="62" t="n">
        <v>1</v>
      </c>
      <c r="P3347" s="62" t="n">
        <v>0</v>
      </c>
      <c r="Q3347" s="62" t="n">
        <v>0</v>
      </c>
      <c r="R3347" s="62" t="n">
        <v>0</v>
      </c>
      <c r="S3347" s="62" t="n">
        <v>0</v>
      </c>
      <c r="T3347" s="62" t="n">
        <v>0</v>
      </c>
      <c r="U3347" s="62" t="s">
        <v>2056</v>
      </c>
      <c r="V3347" s="62" t="s">
        <v>2057</v>
      </c>
      <c r="W3347" s="62" t="s">
        <v>15</v>
      </c>
      <c r="X3347" s="62" t="s">
        <v>2164</v>
      </c>
      <c r="Y3347" s="62" t="s">
        <v>2059</v>
      </c>
      <c r="Z3347" s="62" t="s">
        <v>6103</v>
      </c>
      <c r="AA3347" s="62" t="s">
        <v>2483</v>
      </c>
      <c r="AB3347" s="62" t="n">
        <v>1</v>
      </c>
      <c r="AC3347" s="62" t="n">
        <v>0</v>
      </c>
      <c r="AD3347" s="62" t="n">
        <v>1</v>
      </c>
      <c r="AE3347" s="62" t="n">
        <f aca="false">IF(AND(Dashboard!$C$9="Yes",AC3347=1),0,1)</f>
        <v>1</v>
      </c>
      <c r="AF3347" s="62" t="n">
        <v>1</v>
      </c>
    </row>
    <row r="3348" customFormat="false" ht="15" hidden="false" customHeight="false" outlineLevel="0" collapsed="false">
      <c r="A3348" s="62" t="n">
        <v>3347</v>
      </c>
      <c r="B3348" s="63" t="n">
        <v>46302.9433564815</v>
      </c>
      <c r="C3348" s="64" t="n">
        <v>46302</v>
      </c>
      <c r="D3348" s="62" t="s">
        <v>143</v>
      </c>
      <c r="E3348" s="62" t="s">
        <v>4821</v>
      </c>
      <c r="F3348" s="62" t="s">
        <v>4821</v>
      </c>
      <c r="G3348" s="62" t="s">
        <v>4822</v>
      </c>
      <c r="H3348" s="62" t="s">
        <v>52</v>
      </c>
      <c r="I3348" s="62" t="s">
        <v>47</v>
      </c>
      <c r="J3348" s="62" t="s">
        <v>146</v>
      </c>
      <c r="K3348" s="62" t="s">
        <v>147</v>
      </c>
      <c r="L3348" s="62" t="s">
        <v>148</v>
      </c>
      <c r="M3348" s="62" t="n">
        <v>0</v>
      </c>
      <c r="N3348" s="62" t="n">
        <v>1</v>
      </c>
      <c r="O3348" s="62" t="n">
        <v>1</v>
      </c>
      <c r="P3348" s="62" t="n">
        <v>0</v>
      </c>
      <c r="Q3348" s="62" t="n">
        <v>1</v>
      </c>
      <c r="R3348" s="62" t="n">
        <v>0</v>
      </c>
      <c r="S3348" s="62" t="n">
        <v>0</v>
      </c>
      <c r="T3348" s="62" t="n">
        <v>0</v>
      </c>
      <c r="U3348" s="62"/>
      <c r="V3348" s="62"/>
      <c r="W3348" s="62"/>
      <c r="X3348" s="62"/>
      <c r="Y3348" s="62"/>
      <c r="Z3348" s="62" t="s">
        <v>6104</v>
      </c>
      <c r="AA3348" s="62" t="s">
        <v>6105</v>
      </c>
      <c r="AB3348" s="62" t="n">
        <v>1</v>
      </c>
      <c r="AC3348" s="62" t="n">
        <v>0</v>
      </c>
      <c r="AD3348" s="62" t="n">
        <v>1</v>
      </c>
      <c r="AE3348" s="62" t="n">
        <f aca="false">IF(AND(Dashboard!$C$9="Yes",AC3348=1),0,1)</f>
        <v>1</v>
      </c>
      <c r="AF3348" s="62" t="n">
        <v>1</v>
      </c>
    </row>
    <row r="3349" customFormat="false" ht="15" hidden="false" customHeight="false" outlineLevel="0" collapsed="false">
      <c r="A3349" s="62" t="n">
        <v>3348</v>
      </c>
      <c r="B3349" s="63" t="n">
        <v>46302.9516319444</v>
      </c>
      <c r="C3349" s="64" t="n">
        <v>46302</v>
      </c>
      <c r="D3349" s="62" t="s">
        <v>143</v>
      </c>
      <c r="E3349" s="62" t="s">
        <v>273</v>
      </c>
      <c r="F3349" s="62" t="s">
        <v>273</v>
      </c>
      <c r="G3349" s="62" t="s">
        <v>274</v>
      </c>
      <c r="H3349" s="62" t="s">
        <v>59</v>
      </c>
      <c r="I3349" s="62" t="s">
        <v>47</v>
      </c>
      <c r="J3349" s="62" t="s">
        <v>146</v>
      </c>
      <c r="K3349" s="62" t="s">
        <v>147</v>
      </c>
      <c r="L3349" s="62" t="s">
        <v>148</v>
      </c>
      <c r="M3349" s="62" t="n">
        <v>0</v>
      </c>
      <c r="N3349" s="62" t="n">
        <v>1</v>
      </c>
      <c r="O3349" s="62" t="n">
        <v>1</v>
      </c>
      <c r="P3349" s="62" t="n">
        <v>1</v>
      </c>
      <c r="Q3349" s="62" t="n">
        <v>0</v>
      </c>
      <c r="R3349" s="62" t="n">
        <v>0</v>
      </c>
      <c r="S3349" s="62" t="n">
        <v>0</v>
      </c>
      <c r="T3349" s="62" t="n">
        <v>0</v>
      </c>
      <c r="U3349" s="62"/>
      <c r="V3349" s="62"/>
      <c r="W3349" s="62"/>
      <c r="X3349" s="62"/>
      <c r="Y3349" s="62"/>
      <c r="Z3349" s="62" t="s">
        <v>6106</v>
      </c>
      <c r="AA3349" s="62" t="s">
        <v>6107</v>
      </c>
      <c r="AB3349" s="62" t="n">
        <v>1</v>
      </c>
      <c r="AC3349" s="62" t="n">
        <v>0</v>
      </c>
      <c r="AD3349" s="62" t="n">
        <v>1</v>
      </c>
      <c r="AE3349" s="62" t="n">
        <f aca="false">IF(AND(Dashboard!$C$9="Yes",AC3349=1),0,1)</f>
        <v>1</v>
      </c>
      <c r="AF3349" s="62" t="n">
        <v>1</v>
      </c>
    </row>
    <row r="3350" customFormat="false" ht="15" hidden="false" customHeight="false" outlineLevel="0" collapsed="false">
      <c r="A3350" s="62" t="n">
        <v>3349</v>
      </c>
      <c r="B3350" s="63" t="n">
        <v>46302.9525810185</v>
      </c>
      <c r="C3350" s="64" t="n">
        <v>46302</v>
      </c>
      <c r="D3350" s="62" t="s">
        <v>143</v>
      </c>
      <c r="E3350" s="62" t="s">
        <v>196</v>
      </c>
      <c r="F3350" s="62" t="s">
        <v>196</v>
      </c>
      <c r="G3350" s="62" t="s">
        <v>197</v>
      </c>
      <c r="H3350" s="62" t="s">
        <v>57</v>
      </c>
      <c r="I3350" s="62" t="s">
        <v>47</v>
      </c>
      <c r="J3350" s="62" t="s">
        <v>146</v>
      </c>
      <c r="K3350" s="62" t="s">
        <v>175</v>
      </c>
      <c r="L3350" s="62" t="s">
        <v>148</v>
      </c>
      <c r="M3350" s="62" t="n">
        <v>0</v>
      </c>
      <c r="N3350" s="62" t="n">
        <v>2</v>
      </c>
      <c r="O3350" s="62" t="n">
        <v>2</v>
      </c>
      <c r="P3350" s="62" t="n">
        <v>1</v>
      </c>
      <c r="Q3350" s="62" t="n">
        <v>1</v>
      </c>
      <c r="R3350" s="62" t="n">
        <v>0</v>
      </c>
      <c r="S3350" s="62" t="n">
        <v>0</v>
      </c>
      <c r="T3350" s="62" t="n">
        <v>0</v>
      </c>
      <c r="U3350" s="62"/>
      <c r="V3350" s="62"/>
      <c r="W3350" s="62"/>
      <c r="X3350" s="62"/>
      <c r="Y3350" s="62"/>
      <c r="Z3350" s="62" t="s">
        <v>6108</v>
      </c>
      <c r="AA3350" s="62" t="s">
        <v>6109</v>
      </c>
      <c r="AB3350" s="62" t="n">
        <v>1</v>
      </c>
      <c r="AC3350" s="62" t="n">
        <v>0</v>
      </c>
      <c r="AD3350" s="62" t="n">
        <v>1</v>
      </c>
      <c r="AE3350" s="62" t="n">
        <f aca="false">IF(AND(Dashboard!$C$9="Yes",AC3350=1),0,1)</f>
        <v>1</v>
      </c>
      <c r="AF3350" s="62" t="n">
        <v>1</v>
      </c>
    </row>
    <row r="3351" customFormat="false" ht="15" hidden="false" customHeight="false" outlineLevel="0" collapsed="false">
      <c r="A3351" s="62" t="n">
        <v>3350</v>
      </c>
      <c r="B3351" s="63" t="n">
        <v>46302.9540740741</v>
      </c>
      <c r="C3351" s="64" t="n">
        <v>46302</v>
      </c>
      <c r="D3351" s="62" t="s">
        <v>143</v>
      </c>
      <c r="E3351" s="62" t="s">
        <v>1842</v>
      </c>
      <c r="F3351" s="62" t="s">
        <v>1749</v>
      </c>
      <c r="G3351" s="62" t="s">
        <v>1750</v>
      </c>
      <c r="H3351" s="62" t="s">
        <v>57</v>
      </c>
      <c r="I3351" s="62" t="s">
        <v>47</v>
      </c>
      <c r="J3351" s="62" t="s">
        <v>146</v>
      </c>
      <c r="K3351" s="62" t="s">
        <v>209</v>
      </c>
      <c r="L3351" s="62" t="s">
        <v>148</v>
      </c>
      <c r="M3351" s="62" t="n">
        <v>0</v>
      </c>
      <c r="N3351" s="62" t="n">
        <v>1</v>
      </c>
      <c r="O3351" s="62" t="n">
        <v>1</v>
      </c>
      <c r="P3351" s="62" t="n">
        <v>0</v>
      </c>
      <c r="Q3351" s="62" t="n">
        <v>0</v>
      </c>
      <c r="R3351" s="62" t="n">
        <v>1</v>
      </c>
      <c r="S3351" s="62" t="n">
        <v>0</v>
      </c>
      <c r="T3351" s="62" t="n">
        <v>0</v>
      </c>
      <c r="U3351" s="62"/>
      <c r="V3351" s="62"/>
      <c r="W3351" s="62"/>
      <c r="X3351" s="62"/>
      <c r="Y3351" s="62"/>
      <c r="Z3351" s="62" t="s">
        <v>6110</v>
      </c>
      <c r="AA3351" s="62" t="s">
        <v>6111</v>
      </c>
      <c r="AB3351" s="62" t="n">
        <v>1</v>
      </c>
      <c r="AC3351" s="62" t="n">
        <v>0</v>
      </c>
      <c r="AD3351" s="62" t="n">
        <v>1</v>
      </c>
      <c r="AE3351" s="62" t="n">
        <f aca="false">IF(AND(Dashboard!$C$9="Yes",AC3351=1),0,1)</f>
        <v>1</v>
      </c>
      <c r="AF3351" s="62" t="n">
        <v>0</v>
      </c>
    </row>
    <row r="3352" customFormat="false" ht="15" hidden="false" customHeight="false" outlineLevel="0" collapsed="false">
      <c r="A3352" s="62" t="n">
        <v>3351</v>
      </c>
      <c r="B3352" s="63" t="n">
        <v>46302.9550810185</v>
      </c>
      <c r="C3352" s="64" t="n">
        <v>46302</v>
      </c>
      <c r="D3352" s="62" t="s">
        <v>143</v>
      </c>
      <c r="E3352" s="62" t="s">
        <v>939</v>
      </c>
      <c r="F3352" s="62" t="s">
        <v>939</v>
      </c>
      <c r="G3352" s="62" t="s">
        <v>940</v>
      </c>
      <c r="H3352" s="62" t="s">
        <v>57</v>
      </c>
      <c r="I3352" s="62" t="s">
        <v>47</v>
      </c>
      <c r="J3352" s="62" t="s">
        <v>146</v>
      </c>
      <c r="K3352" s="62" t="s">
        <v>147</v>
      </c>
      <c r="L3352" s="62" t="s">
        <v>148</v>
      </c>
      <c r="M3352" s="62" t="n">
        <v>0</v>
      </c>
      <c r="N3352" s="62" t="n">
        <v>1</v>
      </c>
      <c r="O3352" s="62" t="n">
        <v>1</v>
      </c>
      <c r="P3352" s="62" t="n">
        <v>0</v>
      </c>
      <c r="Q3352" s="62" t="n">
        <v>1</v>
      </c>
      <c r="R3352" s="62" t="n">
        <v>0</v>
      </c>
      <c r="S3352" s="62" t="n">
        <v>0</v>
      </c>
      <c r="T3352" s="62" t="n">
        <v>0</v>
      </c>
      <c r="U3352" s="62"/>
      <c r="V3352" s="62"/>
      <c r="W3352" s="62"/>
      <c r="X3352" s="62"/>
      <c r="Y3352" s="62"/>
      <c r="Z3352" s="62" t="s">
        <v>6112</v>
      </c>
      <c r="AA3352" s="62" t="s">
        <v>6113</v>
      </c>
      <c r="AB3352" s="62" t="n">
        <v>1</v>
      </c>
      <c r="AC3352" s="62" t="n">
        <v>0</v>
      </c>
      <c r="AD3352" s="62" t="n">
        <v>1</v>
      </c>
      <c r="AE3352" s="62" t="n">
        <f aca="false">IF(AND(Dashboard!$C$9="Yes",AC3352=1),0,1)</f>
        <v>1</v>
      </c>
      <c r="AF3352" s="62" t="n">
        <v>0</v>
      </c>
    </row>
    <row r="3353" customFormat="false" ht="15" hidden="false" customHeight="false" outlineLevel="0" collapsed="false">
      <c r="A3353" s="62" t="n">
        <v>3352</v>
      </c>
      <c r="B3353" s="63" t="n">
        <v>46302.9565046296</v>
      </c>
      <c r="C3353" s="64" t="n">
        <v>46302</v>
      </c>
      <c r="D3353" s="62" t="s">
        <v>143</v>
      </c>
      <c r="E3353" s="62" t="s">
        <v>4817</v>
      </c>
      <c r="F3353" s="62" t="s">
        <v>4817</v>
      </c>
      <c r="G3353" s="62" t="s">
        <v>4818</v>
      </c>
      <c r="H3353" s="62" t="s">
        <v>53</v>
      </c>
      <c r="I3353" s="62" t="s">
        <v>47</v>
      </c>
      <c r="J3353" s="62" t="s">
        <v>3708</v>
      </c>
      <c r="K3353" s="62" t="s">
        <v>209</v>
      </c>
      <c r="L3353" s="62" t="s">
        <v>4</v>
      </c>
      <c r="M3353" s="62" t="n">
        <v>1</v>
      </c>
      <c r="N3353" s="62" t="n">
        <v>0</v>
      </c>
      <c r="O3353" s="62" t="n">
        <v>1</v>
      </c>
      <c r="P3353" s="62" t="n">
        <v>0</v>
      </c>
      <c r="Q3353" s="62" t="n">
        <v>0</v>
      </c>
      <c r="R3353" s="62" t="n">
        <v>0</v>
      </c>
      <c r="S3353" s="62" t="n">
        <v>0</v>
      </c>
      <c r="T3353" s="62" t="n">
        <v>0</v>
      </c>
      <c r="U3353" s="62" t="s">
        <v>2056</v>
      </c>
      <c r="V3353" s="62" t="s">
        <v>2057</v>
      </c>
      <c r="W3353" s="62" t="s">
        <v>2056</v>
      </c>
      <c r="X3353" s="62" t="s">
        <v>2058</v>
      </c>
      <c r="Y3353" s="62" t="s">
        <v>2059</v>
      </c>
      <c r="Z3353" s="62" t="s">
        <v>6114</v>
      </c>
      <c r="AA3353" s="62" t="s">
        <v>6114</v>
      </c>
      <c r="AB3353" s="62" t="n">
        <v>1</v>
      </c>
      <c r="AC3353" s="62" t="n">
        <v>0</v>
      </c>
      <c r="AD3353" s="62" t="n">
        <v>1</v>
      </c>
      <c r="AE3353" s="62" t="n">
        <f aca="false">IF(AND(Dashboard!$C$9="Yes",AC3353=1),0,1)</f>
        <v>1</v>
      </c>
      <c r="AF3353" s="62" t="n">
        <v>1</v>
      </c>
    </row>
    <row r="3354" customFormat="false" ht="15" hidden="false" customHeight="false" outlineLevel="0" collapsed="false">
      <c r="A3354" s="62" t="n">
        <v>3353</v>
      </c>
      <c r="B3354" s="63" t="n">
        <v>46302.9646180556</v>
      </c>
      <c r="C3354" s="64" t="n">
        <v>46302</v>
      </c>
      <c r="D3354" s="62" t="s">
        <v>143</v>
      </c>
      <c r="E3354" s="62" t="s">
        <v>6115</v>
      </c>
      <c r="F3354" s="62" t="s">
        <v>6115</v>
      </c>
      <c r="G3354" s="62" t="s">
        <v>6116</v>
      </c>
      <c r="H3354" s="62" t="s">
        <v>54</v>
      </c>
      <c r="I3354" s="62" t="s">
        <v>49</v>
      </c>
      <c r="J3354" s="62" t="s">
        <v>3708</v>
      </c>
      <c r="K3354" s="62" t="s">
        <v>209</v>
      </c>
      <c r="L3354" s="62" t="s">
        <v>4</v>
      </c>
      <c r="M3354" s="62" t="n">
        <v>1</v>
      </c>
      <c r="N3354" s="62" t="n">
        <v>0</v>
      </c>
      <c r="O3354" s="62" t="n">
        <v>1</v>
      </c>
      <c r="P3354" s="62" t="n">
        <v>0</v>
      </c>
      <c r="Q3354" s="62" t="n">
        <v>0</v>
      </c>
      <c r="R3354" s="62" t="n">
        <v>0</v>
      </c>
      <c r="S3354" s="62" t="n">
        <v>0</v>
      </c>
      <c r="T3354" s="62" t="n">
        <v>0</v>
      </c>
      <c r="U3354" s="62" t="s">
        <v>2056</v>
      </c>
      <c r="V3354" s="62" t="s">
        <v>2057</v>
      </c>
      <c r="W3354" s="62" t="s">
        <v>2056</v>
      </c>
      <c r="X3354" s="62" t="s">
        <v>2069</v>
      </c>
      <c r="Y3354" s="62" t="s">
        <v>2064</v>
      </c>
      <c r="Z3354" s="62" t="s">
        <v>6117</v>
      </c>
      <c r="AA3354" s="62" t="s">
        <v>6118</v>
      </c>
      <c r="AB3354" s="62" t="n">
        <v>1</v>
      </c>
      <c r="AC3354" s="62" t="n">
        <v>0</v>
      </c>
      <c r="AD3354" s="62" t="n">
        <v>1</v>
      </c>
      <c r="AE3354" s="62" t="n">
        <f aca="false">IF(AND(Dashboard!$C$9="Yes",AC3354=1),0,1)</f>
        <v>1</v>
      </c>
      <c r="AF3354" s="62" t="n">
        <v>1</v>
      </c>
    </row>
    <row r="3355" customFormat="false" ht="15" hidden="false" customHeight="false" outlineLevel="0" collapsed="false">
      <c r="A3355" s="62" t="n">
        <v>3354</v>
      </c>
      <c r="B3355" s="63" t="n">
        <v>46302.9646875</v>
      </c>
      <c r="C3355" s="64" t="n">
        <v>46302</v>
      </c>
      <c r="D3355" s="62" t="s">
        <v>143</v>
      </c>
      <c r="E3355" s="62" t="s">
        <v>6119</v>
      </c>
      <c r="F3355" s="62" t="s">
        <v>6119</v>
      </c>
      <c r="G3355" s="62" t="s">
        <v>6120</v>
      </c>
      <c r="H3355" s="62" t="s">
        <v>54</v>
      </c>
      <c r="I3355" s="62" t="s">
        <v>49</v>
      </c>
      <c r="J3355" s="62" t="s">
        <v>3708</v>
      </c>
      <c r="K3355" s="62" t="s">
        <v>209</v>
      </c>
      <c r="L3355" s="62" t="s">
        <v>4</v>
      </c>
      <c r="M3355" s="62" t="n">
        <v>1</v>
      </c>
      <c r="N3355" s="62" t="n">
        <v>0</v>
      </c>
      <c r="O3355" s="62" t="n">
        <v>1</v>
      </c>
      <c r="P3355" s="62" t="n">
        <v>0</v>
      </c>
      <c r="Q3355" s="62" t="n">
        <v>0</v>
      </c>
      <c r="R3355" s="62" t="n">
        <v>0</v>
      </c>
      <c r="S3355" s="62" t="n">
        <v>0</v>
      </c>
      <c r="T3355" s="62" t="n">
        <v>0</v>
      </c>
      <c r="U3355" s="62" t="s">
        <v>15</v>
      </c>
      <c r="V3355" s="62" t="s">
        <v>2057</v>
      </c>
      <c r="W3355" s="62" t="s">
        <v>15</v>
      </c>
      <c r="X3355" s="62" t="s">
        <v>2058</v>
      </c>
      <c r="Y3355" s="62" t="s">
        <v>2064</v>
      </c>
      <c r="Z3355" s="62" t="s">
        <v>6121</v>
      </c>
      <c r="AA3355" s="62" t="s">
        <v>6122</v>
      </c>
      <c r="AB3355" s="62" t="n">
        <v>1</v>
      </c>
      <c r="AC3355" s="62" t="n">
        <v>0</v>
      </c>
      <c r="AD3355" s="62" t="n">
        <v>1</v>
      </c>
      <c r="AE3355" s="62" t="n">
        <f aca="false">IF(AND(Dashboard!$C$9="Yes",AC3355=1),0,1)</f>
        <v>1</v>
      </c>
      <c r="AF3355" s="62" t="n">
        <v>1</v>
      </c>
    </row>
    <row r="3356" customFormat="false" ht="15" hidden="false" customHeight="false" outlineLevel="0" collapsed="false">
      <c r="A3356" s="62" t="n">
        <v>3355</v>
      </c>
      <c r="B3356" s="63" t="n">
        <v>46302.9653587963</v>
      </c>
      <c r="C3356" s="64" t="n">
        <v>46302</v>
      </c>
      <c r="D3356" s="62" t="s">
        <v>143</v>
      </c>
      <c r="E3356" s="62" t="s">
        <v>4386</v>
      </c>
      <c r="F3356" s="62" t="s">
        <v>4386</v>
      </c>
      <c r="G3356" s="62" t="s">
        <v>4387</v>
      </c>
      <c r="H3356" s="62" t="s">
        <v>44</v>
      </c>
      <c r="I3356" s="62" t="s">
        <v>49</v>
      </c>
      <c r="J3356" s="62" t="s">
        <v>146</v>
      </c>
      <c r="K3356" s="62" t="s">
        <v>147</v>
      </c>
      <c r="L3356" s="62" t="s">
        <v>148</v>
      </c>
      <c r="M3356" s="62" t="n">
        <v>0</v>
      </c>
      <c r="N3356" s="62" t="n">
        <v>1</v>
      </c>
      <c r="O3356" s="62" t="n">
        <v>1</v>
      </c>
      <c r="P3356" s="62" t="n">
        <v>1</v>
      </c>
      <c r="Q3356" s="62" t="n">
        <v>0</v>
      </c>
      <c r="R3356" s="62" t="n">
        <v>0</v>
      </c>
      <c r="S3356" s="62" t="n">
        <v>0</v>
      </c>
      <c r="T3356" s="62" t="n">
        <v>0</v>
      </c>
      <c r="U3356" s="62"/>
      <c r="V3356" s="62"/>
      <c r="W3356" s="62"/>
      <c r="X3356" s="62"/>
      <c r="Y3356" s="62"/>
      <c r="Z3356" s="62" t="s">
        <v>6123</v>
      </c>
      <c r="AA3356" s="62" t="s">
        <v>6124</v>
      </c>
      <c r="AB3356" s="62" t="n">
        <v>1</v>
      </c>
      <c r="AC3356" s="62" t="n">
        <v>0</v>
      </c>
      <c r="AD3356" s="62" t="n">
        <v>1</v>
      </c>
      <c r="AE3356" s="62" t="n">
        <f aca="false">IF(AND(Dashboard!$C$9="Yes",AC3356=1),0,1)</f>
        <v>1</v>
      </c>
      <c r="AF3356" s="62" t="n">
        <v>1</v>
      </c>
    </row>
    <row r="3357" customFormat="false" ht="15" hidden="false" customHeight="false" outlineLevel="0" collapsed="false">
      <c r="A3357" s="62" t="n">
        <v>3356</v>
      </c>
      <c r="B3357" s="63" t="n">
        <v>46302.9702893519</v>
      </c>
      <c r="C3357" s="64" t="n">
        <v>46302</v>
      </c>
      <c r="D3357" s="62" t="s">
        <v>143</v>
      </c>
      <c r="E3357" s="62" t="s">
        <v>4524</v>
      </c>
      <c r="F3357" s="62" t="s">
        <v>4524</v>
      </c>
      <c r="G3357" s="62" t="s">
        <v>4525</v>
      </c>
      <c r="H3357" s="62" t="s">
        <v>44</v>
      </c>
      <c r="I3357" s="62" t="s">
        <v>49</v>
      </c>
      <c r="J3357" s="62" t="s">
        <v>146</v>
      </c>
      <c r="K3357" s="62" t="s">
        <v>147</v>
      </c>
      <c r="L3357" s="62" t="s">
        <v>148</v>
      </c>
      <c r="M3357" s="62" t="n">
        <v>0</v>
      </c>
      <c r="N3357" s="62" t="n">
        <v>1</v>
      </c>
      <c r="O3357" s="62" t="n">
        <v>1</v>
      </c>
      <c r="P3357" s="62" t="n">
        <v>0</v>
      </c>
      <c r="Q3357" s="62" t="n">
        <v>0</v>
      </c>
      <c r="R3357" s="62" t="n">
        <v>0</v>
      </c>
      <c r="S3357" s="62" t="n">
        <v>1</v>
      </c>
      <c r="T3357" s="62" t="n">
        <v>0</v>
      </c>
      <c r="U3357" s="62"/>
      <c r="V3357" s="62"/>
      <c r="W3357" s="62"/>
      <c r="X3357" s="62"/>
      <c r="Y3357" s="62"/>
      <c r="Z3357" s="62" t="s">
        <v>6125</v>
      </c>
      <c r="AA3357" s="62" t="s">
        <v>287</v>
      </c>
      <c r="AB3357" s="62" t="n">
        <v>0</v>
      </c>
      <c r="AC3357" s="62" t="n">
        <v>0</v>
      </c>
      <c r="AD3357" s="62" t="n">
        <v>1</v>
      </c>
      <c r="AE3357" s="62" t="n">
        <f aca="false">IF(AND(Dashboard!$C$9="Yes",AC3357=1),0,1)</f>
        <v>1</v>
      </c>
      <c r="AF3357" s="62" t="n">
        <v>0</v>
      </c>
    </row>
    <row r="3358" customFormat="false" ht="15" hidden="false" customHeight="false" outlineLevel="0" collapsed="false">
      <c r="A3358" s="62" t="n">
        <v>3357</v>
      </c>
      <c r="B3358" s="63" t="n">
        <v>46302.974375</v>
      </c>
      <c r="C3358" s="64" t="n">
        <v>46302</v>
      </c>
      <c r="D3358" s="62" t="s">
        <v>143</v>
      </c>
      <c r="E3358" s="62" t="s">
        <v>273</v>
      </c>
      <c r="F3358" s="62" t="s">
        <v>273</v>
      </c>
      <c r="G3358" s="62" t="s">
        <v>274</v>
      </c>
      <c r="H3358" s="62" t="s">
        <v>59</v>
      </c>
      <c r="I3358" s="62" t="s">
        <v>47</v>
      </c>
      <c r="J3358" s="62" t="s">
        <v>146</v>
      </c>
      <c r="K3358" s="62" t="s">
        <v>147</v>
      </c>
      <c r="L3358" s="62" t="s">
        <v>148</v>
      </c>
      <c r="M3358" s="62" t="n">
        <v>0</v>
      </c>
      <c r="N3358" s="62" t="n">
        <v>1</v>
      </c>
      <c r="O3358" s="62" t="n">
        <v>1</v>
      </c>
      <c r="P3358" s="62" t="n">
        <v>1</v>
      </c>
      <c r="Q3358" s="62" t="n">
        <v>0</v>
      </c>
      <c r="R3358" s="62" t="n">
        <v>0</v>
      </c>
      <c r="S3358" s="62" t="n">
        <v>0</v>
      </c>
      <c r="T3358" s="62" t="n">
        <v>0</v>
      </c>
      <c r="U3358" s="62"/>
      <c r="V3358" s="62"/>
      <c r="W3358" s="62"/>
      <c r="X3358" s="62"/>
      <c r="Y3358" s="62"/>
      <c r="Z3358" s="62" t="s">
        <v>6106</v>
      </c>
      <c r="AA3358" s="62" t="s">
        <v>6126</v>
      </c>
      <c r="AB3358" s="62" t="n">
        <v>1</v>
      </c>
      <c r="AC3358" s="62" t="n">
        <v>0</v>
      </c>
      <c r="AD3358" s="62" t="n">
        <v>1</v>
      </c>
      <c r="AE3358" s="62" t="n">
        <f aca="false">IF(AND(Dashboard!$C$9="Yes",AC3358=1),0,1)</f>
        <v>1</v>
      </c>
      <c r="AF3358" s="62" t="n">
        <v>0</v>
      </c>
    </row>
    <row r="3359" customFormat="false" ht="15" hidden="false" customHeight="false" outlineLevel="0" collapsed="false">
      <c r="A3359" s="62" t="n">
        <v>3358</v>
      </c>
      <c r="B3359" s="63" t="n">
        <v>46302.9771064815</v>
      </c>
      <c r="C3359" s="64" t="n">
        <v>46302</v>
      </c>
      <c r="D3359" s="62" t="s">
        <v>143</v>
      </c>
      <c r="E3359" s="62" t="s">
        <v>2156</v>
      </c>
      <c r="F3359" s="62" t="s">
        <v>2156</v>
      </c>
      <c r="G3359" s="62" t="s">
        <v>2157</v>
      </c>
      <c r="H3359" s="62" t="s">
        <v>52</v>
      </c>
      <c r="I3359" s="62" t="s">
        <v>47</v>
      </c>
      <c r="J3359" s="62" t="s">
        <v>146</v>
      </c>
      <c r="K3359" s="62" t="s">
        <v>209</v>
      </c>
      <c r="L3359" s="62" t="s">
        <v>148</v>
      </c>
      <c r="M3359" s="62" t="n">
        <v>0</v>
      </c>
      <c r="N3359" s="62" t="n">
        <v>2</v>
      </c>
      <c r="O3359" s="62" t="n">
        <v>2</v>
      </c>
      <c r="P3359" s="62" t="n">
        <v>0</v>
      </c>
      <c r="Q3359" s="62" t="n">
        <v>0</v>
      </c>
      <c r="R3359" s="62" t="n">
        <v>0</v>
      </c>
      <c r="S3359" s="62" t="n">
        <v>0</v>
      </c>
      <c r="T3359" s="62" t="n">
        <v>2</v>
      </c>
      <c r="U3359" s="62"/>
      <c r="V3359" s="62"/>
      <c r="W3359" s="62"/>
      <c r="X3359" s="62"/>
      <c r="Y3359" s="62"/>
      <c r="Z3359" s="62" t="s">
        <v>6127</v>
      </c>
      <c r="AA3359" s="62" t="s">
        <v>6128</v>
      </c>
      <c r="AB3359" s="62" t="n">
        <v>1</v>
      </c>
      <c r="AC3359" s="62" t="n">
        <v>0</v>
      </c>
      <c r="AD3359" s="62" t="n">
        <v>1</v>
      </c>
      <c r="AE3359" s="62" t="n">
        <f aca="false">IF(AND(Dashboard!$C$9="Yes",AC3359=1),0,1)</f>
        <v>1</v>
      </c>
      <c r="AF3359" s="62" t="n">
        <v>1</v>
      </c>
    </row>
    <row r="3360" customFormat="false" ht="15" hidden="false" customHeight="false" outlineLevel="0" collapsed="false">
      <c r="A3360" s="62" t="n">
        <v>3359</v>
      </c>
      <c r="B3360" s="63" t="n">
        <v>46302.9772222222</v>
      </c>
      <c r="C3360" s="64" t="n">
        <v>46302</v>
      </c>
      <c r="D3360" s="62" t="s">
        <v>143</v>
      </c>
      <c r="E3360" s="62" t="s">
        <v>6092</v>
      </c>
      <c r="F3360" s="62" t="s">
        <v>3706</v>
      </c>
      <c r="G3360" s="62" t="s">
        <v>3707</v>
      </c>
      <c r="H3360" s="62" t="s">
        <v>55</v>
      </c>
      <c r="I3360" s="62" t="s">
        <v>49</v>
      </c>
      <c r="J3360" s="62" t="s">
        <v>3708</v>
      </c>
      <c r="K3360" s="62" t="s">
        <v>209</v>
      </c>
      <c r="L3360" s="62" t="s">
        <v>148</v>
      </c>
      <c r="M3360" s="62" t="n">
        <v>0</v>
      </c>
      <c r="N3360" s="62" t="n">
        <v>1</v>
      </c>
      <c r="O3360" s="62" t="n">
        <v>1</v>
      </c>
      <c r="P3360" s="62" t="n">
        <v>0</v>
      </c>
      <c r="Q3360" s="62" t="n">
        <v>0</v>
      </c>
      <c r="R3360" s="62" t="n">
        <v>0</v>
      </c>
      <c r="S3360" s="62" t="n">
        <v>1</v>
      </c>
      <c r="T3360" s="62" t="n">
        <v>0</v>
      </c>
      <c r="U3360" s="62"/>
      <c r="V3360" s="62"/>
      <c r="W3360" s="62"/>
      <c r="X3360" s="62"/>
      <c r="Y3360" s="62"/>
      <c r="Z3360" s="62" t="s">
        <v>6129</v>
      </c>
      <c r="AA3360" s="62" t="s">
        <v>337</v>
      </c>
      <c r="AB3360" s="62" t="n">
        <v>0</v>
      </c>
      <c r="AC3360" s="62" t="n">
        <v>0</v>
      </c>
      <c r="AD3360" s="62" t="n">
        <v>1</v>
      </c>
      <c r="AE3360" s="62" t="n">
        <f aca="false">IF(AND(Dashboard!$C$9="Yes",AC3360=1),0,1)</f>
        <v>1</v>
      </c>
      <c r="AF3360" s="62" t="n">
        <v>0</v>
      </c>
    </row>
    <row r="3361" customFormat="false" ht="15" hidden="false" customHeight="false" outlineLevel="0" collapsed="false">
      <c r="A3361" s="62" t="n">
        <v>3360</v>
      </c>
      <c r="B3361" s="63" t="n">
        <v>46302.981724537</v>
      </c>
      <c r="C3361" s="64" t="n">
        <v>46302</v>
      </c>
      <c r="D3361" s="62" t="s">
        <v>143</v>
      </c>
      <c r="E3361" s="62" t="s">
        <v>6130</v>
      </c>
      <c r="F3361" s="62" t="s">
        <v>6131</v>
      </c>
      <c r="G3361" s="62" t="s">
        <v>153</v>
      </c>
      <c r="H3361" s="62" t="s">
        <v>153</v>
      </c>
      <c r="I3361" s="62" t="s">
        <v>153</v>
      </c>
      <c r="J3361" s="62" t="s">
        <v>64</v>
      </c>
      <c r="K3361" s="62" t="s">
        <v>64</v>
      </c>
      <c r="L3361" s="62" t="s">
        <v>148</v>
      </c>
      <c r="M3361" s="62" t="n">
        <v>0</v>
      </c>
      <c r="N3361" s="62" t="n">
        <v>1</v>
      </c>
      <c r="O3361" s="62" t="n">
        <v>1</v>
      </c>
      <c r="P3361" s="62" t="n">
        <v>1</v>
      </c>
      <c r="Q3361" s="62" t="n">
        <v>0</v>
      </c>
      <c r="R3361" s="62" t="n">
        <v>0</v>
      </c>
      <c r="S3361" s="62" t="n">
        <v>0</v>
      </c>
      <c r="T3361" s="62" t="n">
        <v>0</v>
      </c>
      <c r="U3361" s="62"/>
      <c r="V3361" s="62"/>
      <c r="W3361" s="62"/>
      <c r="X3361" s="62"/>
      <c r="Y3361" s="62"/>
      <c r="Z3361" s="62" t="s">
        <v>6132</v>
      </c>
      <c r="AA3361" s="62" t="s">
        <v>6133</v>
      </c>
      <c r="AB3361" s="62" t="n">
        <v>1</v>
      </c>
      <c r="AC3361" s="62" t="n">
        <v>0</v>
      </c>
      <c r="AD3361" s="62" t="n">
        <v>0</v>
      </c>
      <c r="AE3361" s="62" t="n">
        <f aca="false">IF(AND(Dashboard!$C$9="Yes",AC3361=1),0,1)</f>
        <v>1</v>
      </c>
      <c r="AF3361" s="62" t="n">
        <v>1</v>
      </c>
    </row>
    <row r="3362" customFormat="false" ht="15" hidden="false" customHeight="false" outlineLevel="0" collapsed="false">
      <c r="A3362" s="62" t="n">
        <v>3361</v>
      </c>
      <c r="B3362" s="63" t="n">
        <v>46302.9858217593</v>
      </c>
      <c r="C3362" s="64" t="n">
        <v>46302</v>
      </c>
      <c r="D3362" s="62" t="s">
        <v>143</v>
      </c>
      <c r="E3362" s="62" t="s">
        <v>6134</v>
      </c>
      <c r="F3362" s="62" t="s">
        <v>6135</v>
      </c>
      <c r="G3362" s="62" t="s">
        <v>153</v>
      </c>
      <c r="H3362" s="62" t="s">
        <v>153</v>
      </c>
      <c r="I3362" s="62" t="s">
        <v>153</v>
      </c>
      <c r="J3362" s="62" t="s">
        <v>64</v>
      </c>
      <c r="K3362" s="62" t="s">
        <v>64</v>
      </c>
      <c r="L3362" s="62" t="s">
        <v>148</v>
      </c>
      <c r="M3362" s="62" t="n">
        <v>0</v>
      </c>
      <c r="N3362" s="62" t="n">
        <v>1</v>
      </c>
      <c r="O3362" s="62" t="n">
        <v>1</v>
      </c>
      <c r="P3362" s="62" t="n">
        <v>0</v>
      </c>
      <c r="Q3362" s="62" t="n">
        <v>0</v>
      </c>
      <c r="R3362" s="62" t="n">
        <v>1</v>
      </c>
      <c r="S3362" s="62" t="n">
        <v>0</v>
      </c>
      <c r="T3362" s="62" t="n">
        <v>0</v>
      </c>
      <c r="U3362" s="62"/>
      <c r="V3362" s="62"/>
      <c r="W3362" s="62"/>
      <c r="X3362" s="62"/>
      <c r="Y3362" s="62"/>
      <c r="Z3362" s="62" t="s">
        <v>6136</v>
      </c>
      <c r="AA3362" s="62" t="s">
        <v>6137</v>
      </c>
      <c r="AB3362" s="62" t="n">
        <v>1</v>
      </c>
      <c r="AC3362" s="62" t="n">
        <v>0</v>
      </c>
      <c r="AD3362" s="62" t="n">
        <v>0</v>
      </c>
      <c r="AE3362" s="62" t="n">
        <f aca="false">IF(AND(Dashboard!$C$9="Yes",AC3362=1),0,1)</f>
        <v>1</v>
      </c>
      <c r="AF3362" s="62" t="n">
        <v>1</v>
      </c>
    </row>
    <row r="3363" customFormat="false" ht="15" hidden="false" customHeight="false" outlineLevel="0" collapsed="false">
      <c r="A3363" s="62" t="n">
        <v>3362</v>
      </c>
      <c r="B3363" s="63" t="n">
        <v>46302.9886226852</v>
      </c>
      <c r="C3363" s="64" t="n">
        <v>46302</v>
      </c>
      <c r="D3363" s="62" t="s">
        <v>143</v>
      </c>
      <c r="E3363" s="62" t="s">
        <v>6115</v>
      </c>
      <c r="F3363" s="62" t="s">
        <v>6115</v>
      </c>
      <c r="G3363" s="62" t="s">
        <v>6116</v>
      </c>
      <c r="H3363" s="62" t="s">
        <v>54</v>
      </c>
      <c r="I3363" s="62" t="s">
        <v>49</v>
      </c>
      <c r="J3363" s="62" t="s">
        <v>3708</v>
      </c>
      <c r="K3363" s="62" t="s">
        <v>209</v>
      </c>
      <c r="L3363" s="62" t="s">
        <v>148</v>
      </c>
      <c r="M3363" s="62" t="n">
        <v>0</v>
      </c>
      <c r="N3363" s="62" t="n">
        <v>2</v>
      </c>
      <c r="O3363" s="62" t="n">
        <v>2</v>
      </c>
      <c r="P3363" s="62" t="n">
        <v>1</v>
      </c>
      <c r="Q3363" s="62" t="n">
        <v>0</v>
      </c>
      <c r="R3363" s="62" t="n">
        <v>0</v>
      </c>
      <c r="S3363" s="62" t="n">
        <v>1</v>
      </c>
      <c r="T3363" s="62" t="n">
        <v>0</v>
      </c>
      <c r="U3363" s="62"/>
      <c r="V3363" s="62"/>
      <c r="W3363" s="62"/>
      <c r="X3363" s="62"/>
      <c r="Y3363" s="62"/>
      <c r="Z3363" s="62" t="s">
        <v>6138</v>
      </c>
      <c r="AA3363" s="62" t="s">
        <v>237</v>
      </c>
      <c r="AB3363" s="62" t="n">
        <v>0</v>
      </c>
      <c r="AC3363" s="62" t="n">
        <v>0</v>
      </c>
      <c r="AD3363" s="62" t="n">
        <v>1</v>
      </c>
      <c r="AE3363" s="62" t="n">
        <f aca="false">IF(AND(Dashboard!$C$9="Yes",AC3363=1),0,1)</f>
        <v>1</v>
      </c>
      <c r="AF3363" s="62" t="n">
        <v>0</v>
      </c>
    </row>
    <row r="3364" customFormat="false" ht="15" hidden="false" customHeight="false" outlineLevel="0" collapsed="false">
      <c r="A3364" s="62" t="n">
        <v>3363</v>
      </c>
      <c r="B3364" s="63" t="n">
        <v>46302.9889236111</v>
      </c>
      <c r="C3364" s="64" t="n">
        <v>46302</v>
      </c>
      <c r="D3364" s="62" t="s">
        <v>143</v>
      </c>
      <c r="E3364" s="62" t="s">
        <v>6115</v>
      </c>
      <c r="F3364" s="62" t="s">
        <v>6115</v>
      </c>
      <c r="G3364" s="62" t="s">
        <v>6116</v>
      </c>
      <c r="H3364" s="62" t="s">
        <v>54</v>
      </c>
      <c r="I3364" s="62" t="s">
        <v>49</v>
      </c>
      <c r="J3364" s="62" t="s">
        <v>3708</v>
      </c>
      <c r="K3364" s="62" t="s">
        <v>209</v>
      </c>
      <c r="L3364" s="62" t="s">
        <v>148</v>
      </c>
      <c r="M3364" s="62" t="n">
        <v>0</v>
      </c>
      <c r="N3364" s="62" t="n">
        <v>1</v>
      </c>
      <c r="O3364" s="62" t="n">
        <v>1</v>
      </c>
      <c r="P3364" s="62" t="n">
        <v>0</v>
      </c>
      <c r="Q3364" s="62" t="n">
        <v>0</v>
      </c>
      <c r="R3364" s="62" t="n">
        <v>0</v>
      </c>
      <c r="S3364" s="62" t="n">
        <v>1</v>
      </c>
      <c r="T3364" s="62" t="n">
        <v>0</v>
      </c>
      <c r="U3364" s="62"/>
      <c r="V3364" s="62"/>
      <c r="W3364" s="62"/>
      <c r="X3364" s="62"/>
      <c r="Y3364" s="62"/>
      <c r="Z3364" s="62" t="s">
        <v>6139</v>
      </c>
      <c r="AA3364" s="62" t="s">
        <v>237</v>
      </c>
      <c r="AB3364" s="62" t="n">
        <v>0</v>
      </c>
      <c r="AC3364" s="62" t="n">
        <v>0</v>
      </c>
      <c r="AD3364" s="62" t="n">
        <v>1</v>
      </c>
      <c r="AE3364" s="62" t="n">
        <f aca="false">IF(AND(Dashboard!$C$9="Yes",AC3364=1),0,1)</f>
        <v>1</v>
      </c>
      <c r="AF3364" s="62" t="n">
        <v>0</v>
      </c>
    </row>
    <row r="3365" customFormat="false" ht="15" hidden="false" customHeight="false" outlineLevel="0" collapsed="false">
      <c r="A3365" s="62" t="n">
        <v>3364</v>
      </c>
      <c r="B3365" s="63" t="n">
        <v>46302.9949537037</v>
      </c>
      <c r="C3365" s="64" t="n">
        <v>46302</v>
      </c>
      <c r="D3365" s="62" t="s">
        <v>143</v>
      </c>
      <c r="E3365" s="62" t="s">
        <v>6140</v>
      </c>
      <c r="F3365" s="62" t="s">
        <v>6141</v>
      </c>
      <c r="G3365" s="62" t="s">
        <v>153</v>
      </c>
      <c r="H3365" s="62" t="s">
        <v>153</v>
      </c>
      <c r="I3365" s="62" t="s">
        <v>153</v>
      </c>
      <c r="J3365" s="62" t="s">
        <v>64</v>
      </c>
      <c r="K3365" s="62" t="s">
        <v>64</v>
      </c>
      <c r="L3365" s="62" t="s">
        <v>148</v>
      </c>
      <c r="M3365" s="62" t="n">
        <v>0</v>
      </c>
      <c r="N3365" s="62" t="n">
        <v>1</v>
      </c>
      <c r="O3365" s="62" t="n">
        <v>1</v>
      </c>
      <c r="P3365" s="62" t="n">
        <v>1</v>
      </c>
      <c r="Q3365" s="62" t="n">
        <v>0</v>
      </c>
      <c r="R3365" s="62" t="n">
        <v>0</v>
      </c>
      <c r="S3365" s="62" t="n">
        <v>0</v>
      </c>
      <c r="T3365" s="62" t="n">
        <v>0</v>
      </c>
      <c r="U3365" s="62"/>
      <c r="V3365" s="62"/>
      <c r="W3365" s="62"/>
      <c r="X3365" s="62"/>
      <c r="Y3365" s="62"/>
      <c r="Z3365" s="62" t="s">
        <v>6142</v>
      </c>
      <c r="AA3365" s="62" t="s">
        <v>6143</v>
      </c>
      <c r="AB3365" s="62" t="n">
        <v>1</v>
      </c>
      <c r="AC3365" s="62" t="n">
        <v>0</v>
      </c>
      <c r="AD3365" s="62" t="n">
        <v>0</v>
      </c>
      <c r="AE3365" s="62" t="n">
        <f aca="false">IF(AND(Dashboard!$C$9="Yes",AC3365=1),0,1)</f>
        <v>1</v>
      </c>
      <c r="AF3365" s="62" t="n">
        <v>1</v>
      </c>
    </row>
    <row r="3366" customFormat="false" ht="15" hidden="false" customHeight="false" outlineLevel="0" collapsed="false">
      <c r="A3366" s="62" t="n">
        <v>3365</v>
      </c>
      <c r="B3366" s="63" t="n">
        <v>46302.9954282407</v>
      </c>
      <c r="C3366" s="64" t="n">
        <v>46302</v>
      </c>
      <c r="D3366" s="62" t="s">
        <v>143</v>
      </c>
      <c r="E3366" s="62" t="s">
        <v>5270</v>
      </c>
      <c r="F3366" s="62" t="s">
        <v>5270</v>
      </c>
      <c r="G3366" s="62" t="s">
        <v>5271</v>
      </c>
      <c r="H3366" s="62" t="s">
        <v>55</v>
      </c>
      <c r="I3366" s="62" t="s">
        <v>49</v>
      </c>
      <c r="J3366" s="62" t="s">
        <v>3708</v>
      </c>
      <c r="K3366" s="62" t="s">
        <v>209</v>
      </c>
      <c r="L3366" s="62" t="s">
        <v>148</v>
      </c>
      <c r="M3366" s="62" t="n">
        <v>0</v>
      </c>
      <c r="N3366" s="62" t="n">
        <v>1</v>
      </c>
      <c r="O3366" s="62" t="n">
        <v>1</v>
      </c>
      <c r="P3366" s="62" t="n">
        <v>1</v>
      </c>
      <c r="Q3366" s="62" t="n">
        <v>0</v>
      </c>
      <c r="R3366" s="62" t="n">
        <v>0</v>
      </c>
      <c r="S3366" s="62" t="n">
        <v>0</v>
      </c>
      <c r="T3366" s="62" t="n">
        <v>0</v>
      </c>
      <c r="U3366" s="62"/>
      <c r="V3366" s="62"/>
      <c r="W3366" s="62"/>
      <c r="X3366" s="62"/>
      <c r="Y3366" s="62"/>
      <c r="Z3366" s="62" t="s">
        <v>6144</v>
      </c>
      <c r="AA3366" s="62" t="s">
        <v>6145</v>
      </c>
      <c r="AB3366" s="62" t="n">
        <v>1</v>
      </c>
      <c r="AC3366" s="62" t="n">
        <v>0</v>
      </c>
      <c r="AD3366" s="62" t="n">
        <v>1</v>
      </c>
      <c r="AE3366" s="62" t="n">
        <f aca="false">IF(AND(Dashboard!$C$9="Yes",AC3366=1),0,1)</f>
        <v>1</v>
      </c>
      <c r="AF3366" s="62" t="n">
        <v>0</v>
      </c>
    </row>
    <row r="3367" customFormat="false" ht="15" hidden="false" customHeight="false" outlineLevel="0" collapsed="false">
      <c r="A3367" s="62" t="n">
        <v>3366</v>
      </c>
      <c r="B3367" s="63" t="n">
        <v>46303.0012731482</v>
      </c>
      <c r="C3367" s="64" t="n">
        <v>46302</v>
      </c>
      <c r="D3367" s="62" t="s">
        <v>143</v>
      </c>
      <c r="E3367" s="62" t="s">
        <v>4080</v>
      </c>
      <c r="F3367" s="62" t="s">
        <v>4080</v>
      </c>
      <c r="G3367" s="62" t="s">
        <v>4081</v>
      </c>
      <c r="H3367" s="62" t="s">
        <v>57</v>
      </c>
      <c r="I3367" s="62" t="s">
        <v>47</v>
      </c>
      <c r="J3367" s="62" t="s">
        <v>146</v>
      </c>
      <c r="K3367" s="62" t="s">
        <v>147</v>
      </c>
      <c r="L3367" s="62" t="s">
        <v>148</v>
      </c>
      <c r="M3367" s="62" t="n">
        <v>0</v>
      </c>
      <c r="N3367" s="62" t="n">
        <v>1</v>
      </c>
      <c r="O3367" s="62" t="n">
        <v>1</v>
      </c>
      <c r="P3367" s="62" t="n">
        <v>1</v>
      </c>
      <c r="Q3367" s="62" t="n">
        <v>0</v>
      </c>
      <c r="R3367" s="62" t="n">
        <v>0</v>
      </c>
      <c r="S3367" s="62" t="n">
        <v>0</v>
      </c>
      <c r="T3367" s="62" t="n">
        <v>0</v>
      </c>
      <c r="U3367" s="62"/>
      <c r="V3367" s="62"/>
      <c r="W3367" s="62"/>
      <c r="X3367" s="62"/>
      <c r="Y3367" s="62"/>
      <c r="Z3367" s="62" t="s">
        <v>6146</v>
      </c>
      <c r="AA3367" s="62" t="s">
        <v>6147</v>
      </c>
      <c r="AB3367" s="62" t="n">
        <v>1</v>
      </c>
      <c r="AC3367" s="62" t="n">
        <v>0</v>
      </c>
      <c r="AD3367" s="62" t="n">
        <v>1</v>
      </c>
      <c r="AE3367" s="62" t="n">
        <f aca="false">IF(AND(Dashboard!$C$9="Yes",AC3367=1),0,1)</f>
        <v>1</v>
      </c>
      <c r="AF3367" s="62" t="n">
        <v>1</v>
      </c>
    </row>
    <row r="3368" customFormat="false" ht="15" hidden="false" customHeight="false" outlineLevel="0" collapsed="false">
      <c r="A3368" s="62" t="n">
        <v>3367</v>
      </c>
      <c r="B3368" s="63" t="n">
        <v>46303.0019212963</v>
      </c>
      <c r="C3368" s="64" t="n">
        <v>46302</v>
      </c>
      <c r="D3368" s="62" t="s">
        <v>143</v>
      </c>
      <c r="E3368" s="62" t="s">
        <v>2540</v>
      </c>
      <c r="F3368" s="62" t="s">
        <v>2540</v>
      </c>
      <c r="G3368" s="62" t="s">
        <v>2541</v>
      </c>
      <c r="H3368" s="62" t="s">
        <v>48</v>
      </c>
      <c r="I3368" s="62" t="s">
        <v>49</v>
      </c>
      <c r="J3368" s="62" t="s">
        <v>146</v>
      </c>
      <c r="K3368" s="62" t="s">
        <v>209</v>
      </c>
      <c r="L3368" s="62" t="s">
        <v>148</v>
      </c>
      <c r="M3368" s="62" t="n">
        <v>0</v>
      </c>
      <c r="N3368" s="62" t="n">
        <v>1</v>
      </c>
      <c r="O3368" s="62" t="n">
        <v>1</v>
      </c>
      <c r="P3368" s="62" t="n">
        <v>1</v>
      </c>
      <c r="Q3368" s="62" t="n">
        <v>0</v>
      </c>
      <c r="R3368" s="62" t="n">
        <v>0</v>
      </c>
      <c r="S3368" s="62" t="n">
        <v>0</v>
      </c>
      <c r="T3368" s="62" t="n">
        <v>0</v>
      </c>
      <c r="U3368" s="62"/>
      <c r="V3368" s="62"/>
      <c r="W3368" s="62"/>
      <c r="X3368" s="62"/>
      <c r="Y3368" s="62"/>
      <c r="Z3368" s="62" t="s">
        <v>6148</v>
      </c>
      <c r="AA3368" s="62" t="s">
        <v>6149</v>
      </c>
      <c r="AB3368" s="62" t="n">
        <v>1</v>
      </c>
      <c r="AC3368" s="62" t="n">
        <v>0</v>
      </c>
      <c r="AD3368" s="62" t="n">
        <v>1</v>
      </c>
      <c r="AE3368" s="62" t="n">
        <f aca="false">IF(AND(Dashboard!$C$9="Yes",AC3368=1),0,1)</f>
        <v>1</v>
      </c>
      <c r="AF3368" s="62" t="n">
        <v>1</v>
      </c>
    </row>
    <row r="3369" customFormat="false" ht="15" hidden="false" customHeight="false" outlineLevel="0" collapsed="false">
      <c r="A3369" s="62" t="n">
        <v>3368</v>
      </c>
      <c r="B3369" s="63" t="n">
        <v>46303.0037615741</v>
      </c>
      <c r="C3369" s="64" t="n">
        <v>46302</v>
      </c>
      <c r="D3369" s="62" t="s">
        <v>143</v>
      </c>
      <c r="E3369" s="62" t="s">
        <v>6150</v>
      </c>
      <c r="F3369" s="62" t="s">
        <v>6150</v>
      </c>
      <c r="G3369" s="62" t="s">
        <v>6151</v>
      </c>
      <c r="H3369" s="62" t="s">
        <v>46</v>
      </c>
      <c r="I3369" s="62" t="s">
        <v>47</v>
      </c>
      <c r="J3369" s="62" t="s">
        <v>146</v>
      </c>
      <c r="K3369" s="62" t="s">
        <v>209</v>
      </c>
      <c r="L3369" s="62" t="s">
        <v>148</v>
      </c>
      <c r="M3369" s="62" t="n">
        <v>0</v>
      </c>
      <c r="N3369" s="62" t="n">
        <v>2</v>
      </c>
      <c r="O3369" s="62" t="n">
        <v>2</v>
      </c>
      <c r="P3369" s="62" t="n">
        <v>1</v>
      </c>
      <c r="Q3369" s="62" t="n">
        <v>1</v>
      </c>
      <c r="R3369" s="62" t="n">
        <v>0</v>
      </c>
      <c r="S3369" s="62" t="n">
        <v>0</v>
      </c>
      <c r="T3369" s="62" t="n">
        <v>0</v>
      </c>
      <c r="U3369" s="62"/>
      <c r="V3369" s="62"/>
      <c r="W3369" s="62"/>
      <c r="X3369" s="62"/>
      <c r="Y3369" s="62"/>
      <c r="Z3369" s="62" t="s">
        <v>6152</v>
      </c>
      <c r="AA3369" s="62" t="s">
        <v>6153</v>
      </c>
      <c r="AB3369" s="62" t="n">
        <v>1</v>
      </c>
      <c r="AC3369" s="62" t="n">
        <v>0</v>
      </c>
      <c r="AD3369" s="62" t="n">
        <v>1</v>
      </c>
      <c r="AE3369" s="62" t="n">
        <f aca="false">IF(AND(Dashboard!$C$9="Yes",AC3369=1),0,1)</f>
        <v>1</v>
      </c>
      <c r="AF3369" s="62" t="n">
        <v>1</v>
      </c>
    </row>
    <row r="3370" customFormat="false" ht="15" hidden="false" customHeight="false" outlineLevel="0" collapsed="false">
      <c r="A3370" s="62" t="n">
        <v>3369</v>
      </c>
      <c r="B3370" s="63" t="n">
        <v>46303.0040972222</v>
      </c>
      <c r="C3370" s="64" t="n">
        <v>46302</v>
      </c>
      <c r="D3370" s="62" t="s">
        <v>143</v>
      </c>
      <c r="E3370" s="62" t="s">
        <v>5979</v>
      </c>
      <c r="F3370" s="62" t="s">
        <v>5979</v>
      </c>
      <c r="G3370" s="62" t="s">
        <v>5980</v>
      </c>
      <c r="H3370" s="62" t="s">
        <v>50</v>
      </c>
      <c r="I3370" s="62" t="s">
        <v>49</v>
      </c>
      <c r="J3370" s="62" t="s">
        <v>3708</v>
      </c>
      <c r="K3370" s="62" t="s">
        <v>209</v>
      </c>
      <c r="L3370" s="62" t="s">
        <v>148</v>
      </c>
      <c r="M3370" s="62" t="n">
        <v>0</v>
      </c>
      <c r="N3370" s="62" t="n">
        <v>3</v>
      </c>
      <c r="O3370" s="62" t="n">
        <v>3</v>
      </c>
      <c r="P3370" s="62" t="n">
        <v>0</v>
      </c>
      <c r="Q3370" s="62" t="n">
        <v>0</v>
      </c>
      <c r="R3370" s="62" t="n">
        <v>0</v>
      </c>
      <c r="S3370" s="62" t="n">
        <v>0</v>
      </c>
      <c r="T3370" s="62" t="n">
        <v>3</v>
      </c>
      <c r="U3370" s="62"/>
      <c r="V3370" s="62"/>
      <c r="W3370" s="62"/>
      <c r="X3370" s="62"/>
      <c r="Y3370" s="62"/>
      <c r="Z3370" s="62" t="s">
        <v>6154</v>
      </c>
      <c r="AA3370" s="62" t="s">
        <v>6155</v>
      </c>
      <c r="AB3370" s="62" t="n">
        <v>1</v>
      </c>
      <c r="AC3370" s="62" t="n">
        <v>0</v>
      </c>
      <c r="AD3370" s="62" t="n">
        <v>1</v>
      </c>
      <c r="AE3370" s="62" t="n">
        <f aca="false">IF(AND(Dashboard!$C$9="Yes",AC3370=1),0,1)</f>
        <v>1</v>
      </c>
      <c r="AF3370" s="62" t="n">
        <v>1</v>
      </c>
    </row>
    <row r="3371" customFormat="false" ht="15" hidden="false" customHeight="false" outlineLevel="0" collapsed="false">
      <c r="A3371" s="62" t="n">
        <v>3370</v>
      </c>
      <c r="B3371" s="63" t="n">
        <v>46303.011724537</v>
      </c>
      <c r="C3371" s="64" t="n">
        <v>46302</v>
      </c>
      <c r="D3371" s="62" t="s">
        <v>143</v>
      </c>
      <c r="E3371" s="62" t="s">
        <v>5241</v>
      </c>
      <c r="F3371" s="62" t="s">
        <v>5241</v>
      </c>
      <c r="G3371" s="62" t="s">
        <v>5242</v>
      </c>
      <c r="H3371" s="62" t="s">
        <v>55</v>
      </c>
      <c r="I3371" s="62" t="s">
        <v>49</v>
      </c>
      <c r="J3371" s="62" t="s">
        <v>3708</v>
      </c>
      <c r="K3371" s="62" t="s">
        <v>209</v>
      </c>
      <c r="L3371" s="62" t="s">
        <v>4</v>
      </c>
      <c r="M3371" s="62" t="n">
        <v>1</v>
      </c>
      <c r="N3371" s="62" t="n">
        <v>0</v>
      </c>
      <c r="O3371" s="62" t="n">
        <v>1</v>
      </c>
      <c r="P3371" s="62" t="n">
        <v>0</v>
      </c>
      <c r="Q3371" s="62" t="n">
        <v>0</v>
      </c>
      <c r="R3371" s="62" t="n">
        <v>0</v>
      </c>
      <c r="S3371" s="62" t="n">
        <v>0</v>
      </c>
      <c r="T3371" s="62" t="n">
        <v>0</v>
      </c>
      <c r="U3371" s="62" t="s">
        <v>15</v>
      </c>
      <c r="V3371" s="62" t="s">
        <v>2057</v>
      </c>
      <c r="W3371" s="62" t="s">
        <v>2056</v>
      </c>
      <c r="X3371" s="62" t="s">
        <v>3214</v>
      </c>
      <c r="Y3371" s="62" t="s">
        <v>2059</v>
      </c>
      <c r="Z3371" s="62" t="s">
        <v>6156</v>
      </c>
      <c r="AA3371" s="62" t="s">
        <v>6157</v>
      </c>
      <c r="AB3371" s="62" t="n">
        <v>1</v>
      </c>
      <c r="AC3371" s="62" t="n">
        <v>0</v>
      </c>
      <c r="AD3371" s="62" t="n">
        <v>1</v>
      </c>
      <c r="AE3371" s="62" t="n">
        <f aca="false">IF(AND(Dashboard!$C$9="Yes",AC3371=1),0,1)</f>
        <v>1</v>
      </c>
      <c r="AF3371" s="62" t="n">
        <v>1</v>
      </c>
    </row>
    <row r="3372" customFormat="false" ht="15" hidden="false" customHeight="false" outlineLevel="0" collapsed="false">
      <c r="A3372" s="62" t="n">
        <v>3371</v>
      </c>
      <c r="B3372" s="63" t="n">
        <v>46303.0134143519</v>
      </c>
      <c r="C3372" s="64" t="n">
        <v>46302</v>
      </c>
      <c r="D3372" s="62" t="s">
        <v>143</v>
      </c>
      <c r="E3372" s="62" t="s">
        <v>5241</v>
      </c>
      <c r="F3372" s="62" t="s">
        <v>5241</v>
      </c>
      <c r="G3372" s="62" t="s">
        <v>5242</v>
      </c>
      <c r="H3372" s="62" t="s">
        <v>55</v>
      </c>
      <c r="I3372" s="62" t="s">
        <v>49</v>
      </c>
      <c r="J3372" s="62" t="s">
        <v>3708</v>
      </c>
      <c r="K3372" s="62" t="s">
        <v>209</v>
      </c>
      <c r="L3372" s="62" t="s">
        <v>148</v>
      </c>
      <c r="M3372" s="62" t="n">
        <v>0</v>
      </c>
      <c r="N3372" s="62" t="n">
        <v>1</v>
      </c>
      <c r="O3372" s="62" t="n">
        <v>1</v>
      </c>
      <c r="P3372" s="62" t="n">
        <v>0</v>
      </c>
      <c r="Q3372" s="62" t="n">
        <v>0</v>
      </c>
      <c r="R3372" s="62" t="n">
        <v>1</v>
      </c>
      <c r="S3372" s="62" t="n">
        <v>0</v>
      </c>
      <c r="T3372" s="62" t="n">
        <v>0</v>
      </c>
      <c r="U3372" s="62"/>
      <c r="V3372" s="62"/>
      <c r="W3372" s="62"/>
      <c r="X3372" s="62"/>
      <c r="Y3372" s="62"/>
      <c r="Z3372" s="62" t="s">
        <v>6156</v>
      </c>
      <c r="AA3372" s="62" t="s">
        <v>6158</v>
      </c>
      <c r="AB3372" s="62" t="n">
        <v>1</v>
      </c>
      <c r="AC3372" s="62" t="n">
        <v>0</v>
      </c>
      <c r="AD3372" s="62" t="n">
        <v>1</v>
      </c>
      <c r="AE3372" s="62" t="n">
        <f aca="false">IF(AND(Dashboard!$C$9="Yes",AC3372=1),0,1)</f>
        <v>1</v>
      </c>
      <c r="AF3372" s="62" t="n">
        <v>0</v>
      </c>
    </row>
    <row r="3373" customFormat="false" ht="15" hidden="false" customHeight="false" outlineLevel="0" collapsed="false">
      <c r="A3373" s="62" t="n">
        <v>3372</v>
      </c>
      <c r="B3373" s="63" t="n">
        <v>46303.0134259259</v>
      </c>
      <c r="C3373" s="64" t="n">
        <v>46302</v>
      </c>
      <c r="D3373" s="62" t="s">
        <v>143</v>
      </c>
      <c r="E3373" s="62" t="s">
        <v>6159</v>
      </c>
      <c r="F3373" s="62" t="s">
        <v>6160</v>
      </c>
      <c r="G3373" s="62" t="s">
        <v>153</v>
      </c>
      <c r="H3373" s="62" t="s">
        <v>153</v>
      </c>
      <c r="I3373" s="62" t="s">
        <v>153</v>
      </c>
      <c r="J3373" s="62" t="s">
        <v>64</v>
      </c>
      <c r="K3373" s="62" t="s">
        <v>64</v>
      </c>
      <c r="L3373" s="62" t="s">
        <v>148</v>
      </c>
      <c r="M3373" s="62" t="n">
        <v>0</v>
      </c>
      <c r="N3373" s="62" t="n">
        <v>1</v>
      </c>
      <c r="O3373" s="62" t="n">
        <v>1</v>
      </c>
      <c r="P3373" s="62" t="n">
        <v>1</v>
      </c>
      <c r="Q3373" s="62" t="n">
        <v>0</v>
      </c>
      <c r="R3373" s="62" t="n">
        <v>0</v>
      </c>
      <c r="S3373" s="62" t="n">
        <v>0</v>
      </c>
      <c r="T3373" s="62" t="n">
        <v>0</v>
      </c>
      <c r="U3373" s="62"/>
      <c r="V3373" s="62"/>
      <c r="W3373" s="62"/>
      <c r="X3373" s="62"/>
      <c r="Y3373" s="62"/>
      <c r="Z3373" s="62" t="s">
        <v>6161</v>
      </c>
      <c r="AA3373" s="62" t="s">
        <v>6162</v>
      </c>
      <c r="AB3373" s="62" t="n">
        <v>1</v>
      </c>
      <c r="AC3373" s="62" t="n">
        <v>0</v>
      </c>
      <c r="AD3373" s="62" t="n">
        <v>0</v>
      </c>
      <c r="AE3373" s="62" t="n">
        <f aca="false">IF(AND(Dashboard!$C$9="Yes",AC3373=1),0,1)</f>
        <v>1</v>
      </c>
      <c r="AF3373" s="62" t="n">
        <v>1</v>
      </c>
    </row>
    <row r="3374" customFormat="false" ht="15" hidden="false" customHeight="false" outlineLevel="0" collapsed="false">
      <c r="A3374" s="62" t="n">
        <v>3373</v>
      </c>
      <c r="B3374" s="63" t="n">
        <v>46303.0153009259</v>
      </c>
      <c r="C3374" s="64" t="n">
        <v>46302</v>
      </c>
      <c r="D3374" s="62" t="s">
        <v>143</v>
      </c>
      <c r="E3374" s="62" t="s">
        <v>1827</v>
      </c>
      <c r="F3374" s="62" t="s">
        <v>1827</v>
      </c>
      <c r="G3374" s="62" t="s">
        <v>1828</v>
      </c>
      <c r="H3374" s="62" t="s">
        <v>59</v>
      </c>
      <c r="I3374" s="62" t="s">
        <v>47</v>
      </c>
      <c r="J3374" s="62" t="s">
        <v>146</v>
      </c>
      <c r="K3374" s="62" t="s">
        <v>209</v>
      </c>
      <c r="L3374" s="62" t="s">
        <v>148</v>
      </c>
      <c r="M3374" s="62" t="n">
        <v>0</v>
      </c>
      <c r="N3374" s="62" t="n">
        <v>1</v>
      </c>
      <c r="O3374" s="62" t="n">
        <v>1</v>
      </c>
      <c r="P3374" s="62" t="n">
        <v>0</v>
      </c>
      <c r="Q3374" s="62" t="n">
        <v>0</v>
      </c>
      <c r="R3374" s="62" t="n">
        <v>0</v>
      </c>
      <c r="S3374" s="62" t="n">
        <v>1</v>
      </c>
      <c r="T3374" s="62" t="n">
        <v>1</v>
      </c>
      <c r="U3374" s="62"/>
      <c r="V3374" s="62"/>
      <c r="W3374" s="62"/>
      <c r="X3374" s="62"/>
      <c r="Y3374" s="62"/>
      <c r="Z3374" s="62" t="s">
        <v>6163</v>
      </c>
      <c r="AA3374" s="62" t="s">
        <v>6163</v>
      </c>
      <c r="AB3374" s="62" t="n">
        <v>1</v>
      </c>
      <c r="AC3374" s="62" t="n">
        <v>0</v>
      </c>
      <c r="AD3374" s="62" t="n">
        <v>1</v>
      </c>
      <c r="AE3374" s="62" t="n">
        <f aca="false">IF(AND(Dashboard!$C$9="Yes",AC3374=1),0,1)</f>
        <v>1</v>
      </c>
      <c r="AF3374" s="62" t="n">
        <v>1</v>
      </c>
    </row>
    <row r="3375" customFormat="false" ht="15" hidden="false" customHeight="false" outlineLevel="0" collapsed="false">
      <c r="A3375" s="62" t="n">
        <v>3374</v>
      </c>
      <c r="B3375" s="63" t="n">
        <v>46303.02625</v>
      </c>
      <c r="C3375" s="64" t="n">
        <v>46302</v>
      </c>
      <c r="D3375" s="62" t="s">
        <v>143</v>
      </c>
      <c r="E3375" s="62" t="s">
        <v>2156</v>
      </c>
      <c r="F3375" s="62" t="s">
        <v>2156</v>
      </c>
      <c r="G3375" s="62" t="s">
        <v>2157</v>
      </c>
      <c r="H3375" s="62" t="s">
        <v>52</v>
      </c>
      <c r="I3375" s="62" t="s">
        <v>47</v>
      </c>
      <c r="J3375" s="62" t="s">
        <v>146</v>
      </c>
      <c r="K3375" s="62" t="s">
        <v>209</v>
      </c>
      <c r="L3375" s="62" t="s">
        <v>4</v>
      </c>
      <c r="M3375" s="62" t="n">
        <v>2</v>
      </c>
      <c r="N3375" s="62" t="n">
        <v>0</v>
      </c>
      <c r="O3375" s="62" t="n">
        <v>2</v>
      </c>
      <c r="P3375" s="62" t="n">
        <v>0</v>
      </c>
      <c r="Q3375" s="62" t="n">
        <v>0</v>
      </c>
      <c r="R3375" s="62" t="n">
        <v>0</v>
      </c>
      <c r="S3375" s="62" t="n">
        <v>0</v>
      </c>
      <c r="T3375" s="62" t="n">
        <v>0</v>
      </c>
      <c r="U3375" s="62" t="s">
        <v>2056</v>
      </c>
      <c r="V3375" s="62" t="s">
        <v>2057</v>
      </c>
      <c r="W3375" s="62" t="s">
        <v>2056</v>
      </c>
      <c r="X3375" s="62" t="s">
        <v>2164</v>
      </c>
      <c r="Y3375" s="62" t="s">
        <v>2165</v>
      </c>
      <c r="Z3375" s="62" t="s">
        <v>6127</v>
      </c>
      <c r="AA3375" s="62" t="s">
        <v>6164</v>
      </c>
      <c r="AB3375" s="62" t="n">
        <v>1</v>
      </c>
      <c r="AC3375" s="62" t="n">
        <v>0</v>
      </c>
      <c r="AD3375" s="62" t="n">
        <v>1</v>
      </c>
      <c r="AE3375" s="62" t="n">
        <f aca="false">IF(AND(Dashboard!$C$9="Yes",AC3375=1),0,1)</f>
        <v>1</v>
      </c>
      <c r="AF3375" s="62" t="n">
        <v>0</v>
      </c>
    </row>
    <row r="3376" customFormat="false" ht="15" hidden="false" customHeight="false" outlineLevel="0" collapsed="false">
      <c r="A3376" s="62" t="n">
        <v>3375</v>
      </c>
      <c r="B3376" s="63" t="n">
        <v>46303.0314699074</v>
      </c>
      <c r="C3376" s="64" t="n">
        <v>46302</v>
      </c>
      <c r="D3376" s="62" t="s">
        <v>143</v>
      </c>
      <c r="E3376" s="62" t="s">
        <v>5250</v>
      </c>
      <c r="F3376" s="62" t="s">
        <v>5250</v>
      </c>
      <c r="G3376" s="62" t="s">
        <v>5251</v>
      </c>
      <c r="H3376" s="62" t="s">
        <v>55</v>
      </c>
      <c r="I3376" s="62" t="s">
        <v>49</v>
      </c>
      <c r="J3376" s="62" t="s">
        <v>3708</v>
      </c>
      <c r="K3376" s="62" t="s">
        <v>209</v>
      </c>
      <c r="L3376" s="62" t="s">
        <v>148</v>
      </c>
      <c r="M3376" s="62" t="n">
        <v>0</v>
      </c>
      <c r="N3376" s="62" t="n">
        <v>1</v>
      </c>
      <c r="O3376" s="62" t="n">
        <v>1</v>
      </c>
      <c r="P3376" s="62" t="n">
        <v>0</v>
      </c>
      <c r="Q3376" s="62" t="n">
        <v>1</v>
      </c>
      <c r="R3376" s="62" t="n">
        <v>0</v>
      </c>
      <c r="S3376" s="62" t="n">
        <v>0</v>
      </c>
      <c r="T3376" s="62" t="n">
        <v>0</v>
      </c>
      <c r="U3376" s="62"/>
      <c r="V3376" s="62"/>
      <c r="W3376" s="62"/>
      <c r="X3376" s="62"/>
      <c r="Y3376" s="62"/>
      <c r="Z3376" s="62" t="s">
        <v>6165</v>
      </c>
      <c r="AA3376" s="62" t="s">
        <v>6166</v>
      </c>
      <c r="AB3376" s="62" t="n">
        <v>1</v>
      </c>
      <c r="AC3376" s="62" t="n">
        <v>0</v>
      </c>
      <c r="AD3376" s="62" t="n">
        <v>1</v>
      </c>
      <c r="AE3376" s="62" t="n">
        <f aca="false">IF(AND(Dashboard!$C$9="Yes",AC3376=1),0,1)</f>
        <v>1</v>
      </c>
      <c r="AF3376" s="62" t="n">
        <v>1</v>
      </c>
    </row>
    <row r="3377" customFormat="false" ht="15" hidden="false" customHeight="false" outlineLevel="0" collapsed="false">
      <c r="A3377" s="62" t="n">
        <v>3376</v>
      </c>
      <c r="B3377" s="63" t="n">
        <v>46303.0378819444</v>
      </c>
      <c r="C3377" s="64" t="n">
        <v>46302</v>
      </c>
      <c r="D3377" s="62" t="s">
        <v>143</v>
      </c>
      <c r="E3377" s="62" t="s">
        <v>2637</v>
      </c>
      <c r="F3377" s="62" t="s">
        <v>2637</v>
      </c>
      <c r="G3377" s="62" t="s">
        <v>2638</v>
      </c>
      <c r="H3377" s="62" t="s">
        <v>52</v>
      </c>
      <c r="I3377" s="62" t="s">
        <v>47</v>
      </c>
      <c r="J3377" s="62" t="s">
        <v>146</v>
      </c>
      <c r="K3377" s="62" t="s">
        <v>147</v>
      </c>
      <c r="L3377" s="62" t="s">
        <v>148</v>
      </c>
      <c r="M3377" s="62" t="n">
        <v>0</v>
      </c>
      <c r="N3377" s="62" t="n">
        <v>1</v>
      </c>
      <c r="O3377" s="62" t="n">
        <v>1</v>
      </c>
      <c r="P3377" s="62" t="n">
        <v>0</v>
      </c>
      <c r="Q3377" s="62" t="n">
        <v>0</v>
      </c>
      <c r="R3377" s="62" t="n">
        <v>0</v>
      </c>
      <c r="S3377" s="62" t="n">
        <v>0</v>
      </c>
      <c r="T3377" s="62" t="n">
        <v>1</v>
      </c>
      <c r="U3377" s="62"/>
      <c r="V3377" s="62"/>
      <c r="W3377" s="62"/>
      <c r="X3377" s="62"/>
      <c r="Y3377" s="62"/>
      <c r="Z3377" s="62" t="s">
        <v>6167</v>
      </c>
      <c r="AA3377" s="62" t="s">
        <v>6168</v>
      </c>
      <c r="AB3377" s="62" t="n">
        <v>1</v>
      </c>
      <c r="AC3377" s="62" t="n">
        <v>0</v>
      </c>
      <c r="AD3377" s="62" t="n">
        <v>1</v>
      </c>
      <c r="AE3377" s="62" t="n">
        <f aca="false">IF(AND(Dashboard!$C$9="Yes",AC3377=1),0,1)</f>
        <v>1</v>
      </c>
      <c r="AF3377" s="62" t="n">
        <v>0</v>
      </c>
    </row>
    <row r="3378" customFormat="false" ht="15" hidden="false" customHeight="false" outlineLevel="0" collapsed="false">
      <c r="A3378" s="62" t="n">
        <v>3377</v>
      </c>
      <c r="B3378" s="63" t="n">
        <v>46303.055</v>
      </c>
      <c r="C3378" s="64" t="n">
        <v>46302</v>
      </c>
      <c r="D3378" s="62" t="s">
        <v>143</v>
      </c>
      <c r="E3378" s="62" t="s">
        <v>6119</v>
      </c>
      <c r="F3378" s="62" t="s">
        <v>6119</v>
      </c>
      <c r="G3378" s="62" t="s">
        <v>6120</v>
      </c>
      <c r="H3378" s="62" t="s">
        <v>54</v>
      </c>
      <c r="I3378" s="62" t="s">
        <v>49</v>
      </c>
      <c r="J3378" s="62" t="s">
        <v>3708</v>
      </c>
      <c r="K3378" s="62" t="s">
        <v>209</v>
      </c>
      <c r="L3378" s="62" t="s">
        <v>148</v>
      </c>
      <c r="M3378" s="62" t="n">
        <v>0</v>
      </c>
      <c r="N3378" s="62" t="n">
        <v>1</v>
      </c>
      <c r="O3378" s="62" t="n">
        <v>1</v>
      </c>
      <c r="P3378" s="62" t="n">
        <v>0</v>
      </c>
      <c r="Q3378" s="62" t="n">
        <v>0</v>
      </c>
      <c r="R3378" s="62" t="n">
        <v>1</v>
      </c>
      <c r="S3378" s="62" t="n">
        <v>0</v>
      </c>
      <c r="T3378" s="62" t="n">
        <v>0</v>
      </c>
      <c r="U3378" s="62"/>
      <c r="V3378" s="62"/>
      <c r="W3378" s="62"/>
      <c r="X3378" s="62"/>
      <c r="Y3378" s="62"/>
      <c r="Z3378" s="62" t="s">
        <v>6169</v>
      </c>
      <c r="AA3378" s="62" t="s">
        <v>6170</v>
      </c>
      <c r="AB3378" s="62" t="n">
        <v>1</v>
      </c>
      <c r="AC3378" s="62" t="n">
        <v>0</v>
      </c>
      <c r="AD3378" s="62" t="n">
        <v>1</v>
      </c>
      <c r="AE3378" s="62" t="n">
        <f aca="false">IF(AND(Dashboard!$C$9="Yes",AC3378=1),0,1)</f>
        <v>1</v>
      </c>
      <c r="AF3378" s="62" t="n">
        <v>0</v>
      </c>
    </row>
    <row r="3379" customFormat="false" ht="15" hidden="false" customHeight="false" outlineLevel="0" collapsed="false">
      <c r="A3379" s="62" t="n">
        <v>3378</v>
      </c>
      <c r="B3379" s="63" t="n">
        <v>46303.0606365741</v>
      </c>
      <c r="C3379" s="64" t="n">
        <v>46302</v>
      </c>
      <c r="D3379" s="62" t="s">
        <v>143</v>
      </c>
      <c r="E3379" s="62" t="s">
        <v>6092</v>
      </c>
      <c r="F3379" s="62" t="s">
        <v>3706</v>
      </c>
      <c r="G3379" s="62" t="s">
        <v>3707</v>
      </c>
      <c r="H3379" s="62" t="s">
        <v>55</v>
      </c>
      <c r="I3379" s="62" t="s">
        <v>49</v>
      </c>
      <c r="J3379" s="62" t="s">
        <v>3708</v>
      </c>
      <c r="K3379" s="62" t="s">
        <v>209</v>
      </c>
      <c r="L3379" s="62" t="s">
        <v>148</v>
      </c>
      <c r="M3379" s="62" t="n">
        <v>0</v>
      </c>
      <c r="N3379" s="62" t="n">
        <v>1</v>
      </c>
      <c r="O3379" s="62" t="n">
        <v>1</v>
      </c>
      <c r="P3379" s="62" t="n">
        <v>1</v>
      </c>
      <c r="Q3379" s="62" t="n">
        <v>0</v>
      </c>
      <c r="R3379" s="62" t="n">
        <v>0</v>
      </c>
      <c r="S3379" s="62" t="n">
        <v>0</v>
      </c>
      <c r="T3379" s="62" t="n">
        <v>0</v>
      </c>
      <c r="U3379" s="62"/>
      <c r="V3379" s="62"/>
      <c r="W3379" s="62"/>
      <c r="X3379" s="62"/>
      <c r="Y3379" s="62"/>
      <c r="Z3379" s="62" t="s">
        <v>6171</v>
      </c>
      <c r="AA3379" s="62" t="s">
        <v>337</v>
      </c>
      <c r="AB3379" s="62" t="n">
        <v>0</v>
      </c>
      <c r="AC3379" s="62" t="n">
        <v>0</v>
      </c>
      <c r="AD3379" s="62" t="n">
        <v>1</v>
      </c>
      <c r="AE3379" s="62" t="n">
        <f aca="false">IF(AND(Dashboard!$C$9="Yes",AC3379=1),0,1)</f>
        <v>1</v>
      </c>
      <c r="AF3379" s="62" t="n">
        <v>0</v>
      </c>
    </row>
    <row r="3380" customFormat="false" ht="15" hidden="false" customHeight="false" outlineLevel="0" collapsed="false">
      <c r="A3380" s="62" t="n">
        <v>3379</v>
      </c>
      <c r="B3380" s="63" t="n">
        <v>46303.0756944444</v>
      </c>
      <c r="C3380" s="64" t="n">
        <v>46302</v>
      </c>
      <c r="D3380" s="62" t="s">
        <v>143</v>
      </c>
      <c r="E3380" s="62" t="s">
        <v>5992</v>
      </c>
      <c r="F3380" s="62" t="s">
        <v>5992</v>
      </c>
      <c r="G3380" s="62" t="s">
        <v>5993</v>
      </c>
      <c r="H3380" s="62" t="s">
        <v>55</v>
      </c>
      <c r="I3380" s="62" t="s">
        <v>49</v>
      </c>
      <c r="J3380" s="62" t="s">
        <v>3708</v>
      </c>
      <c r="K3380" s="62" t="s">
        <v>209</v>
      </c>
      <c r="L3380" s="62" t="s">
        <v>148</v>
      </c>
      <c r="M3380" s="62" t="n">
        <v>0</v>
      </c>
      <c r="N3380" s="62" t="n">
        <v>1</v>
      </c>
      <c r="O3380" s="62" t="n">
        <v>1</v>
      </c>
      <c r="P3380" s="62" t="n">
        <v>1</v>
      </c>
      <c r="Q3380" s="62" t="n">
        <v>0</v>
      </c>
      <c r="R3380" s="62" t="n">
        <v>0</v>
      </c>
      <c r="S3380" s="62" t="n">
        <v>0</v>
      </c>
      <c r="T3380" s="62" t="n">
        <v>0</v>
      </c>
      <c r="U3380" s="62"/>
      <c r="V3380" s="62"/>
      <c r="W3380" s="62"/>
      <c r="X3380" s="62"/>
      <c r="Y3380" s="62"/>
      <c r="Z3380" s="62" t="s">
        <v>6172</v>
      </c>
      <c r="AA3380" s="62" t="s">
        <v>6173</v>
      </c>
      <c r="AB3380" s="62" t="n">
        <v>1</v>
      </c>
      <c r="AC3380" s="62" t="n">
        <v>0</v>
      </c>
      <c r="AD3380" s="62" t="n">
        <v>1</v>
      </c>
      <c r="AE3380" s="62" t="n">
        <f aca="false">IF(AND(Dashboard!$C$9="Yes",AC3380=1),0,1)</f>
        <v>1</v>
      </c>
      <c r="AF3380" s="62" t="n">
        <v>1</v>
      </c>
    </row>
    <row r="3381" customFormat="false" ht="15" hidden="false" customHeight="false" outlineLevel="0" collapsed="false">
      <c r="A3381" s="62" t="n">
        <v>3380</v>
      </c>
      <c r="B3381" s="63" t="n">
        <v>46303.0833217593</v>
      </c>
      <c r="C3381" s="64" t="n">
        <v>46302</v>
      </c>
      <c r="D3381" s="62" t="s">
        <v>143</v>
      </c>
      <c r="E3381" s="62" t="s">
        <v>4304</v>
      </c>
      <c r="F3381" s="62" t="s">
        <v>4304</v>
      </c>
      <c r="G3381" s="62" t="s">
        <v>4305</v>
      </c>
      <c r="H3381" s="62" t="s">
        <v>44</v>
      </c>
      <c r="I3381" s="62" t="s">
        <v>61</v>
      </c>
      <c r="J3381" s="62" t="s">
        <v>3708</v>
      </c>
      <c r="K3381" s="62" t="s">
        <v>175</v>
      </c>
      <c r="L3381" s="62" t="s">
        <v>4</v>
      </c>
      <c r="M3381" s="62" t="n">
        <v>1</v>
      </c>
      <c r="N3381" s="62" t="n">
        <v>0</v>
      </c>
      <c r="O3381" s="62" t="n">
        <v>1</v>
      </c>
      <c r="P3381" s="62" t="n">
        <v>0</v>
      </c>
      <c r="Q3381" s="62" t="n">
        <v>0</v>
      </c>
      <c r="R3381" s="62" t="n">
        <v>0</v>
      </c>
      <c r="S3381" s="62" t="n">
        <v>0</v>
      </c>
      <c r="T3381" s="62" t="n">
        <v>0</v>
      </c>
      <c r="U3381" s="62" t="s">
        <v>2056</v>
      </c>
      <c r="V3381" s="62" t="s">
        <v>2057</v>
      </c>
      <c r="W3381" s="62" t="s">
        <v>15</v>
      </c>
      <c r="X3381" s="62" t="s">
        <v>2164</v>
      </c>
      <c r="Y3381" s="62" t="s">
        <v>2165</v>
      </c>
      <c r="Z3381" s="62" t="s">
        <v>6174</v>
      </c>
      <c r="AA3381" s="62" t="s">
        <v>6175</v>
      </c>
      <c r="AB3381" s="62" t="n">
        <v>1</v>
      </c>
      <c r="AC3381" s="62" t="n">
        <v>0</v>
      </c>
      <c r="AD3381" s="62" t="n">
        <v>1</v>
      </c>
      <c r="AE3381" s="62" t="n">
        <f aca="false">IF(AND(Dashboard!$C$9="Yes",AC3381=1),0,1)</f>
        <v>1</v>
      </c>
      <c r="AF3381" s="62" t="n">
        <v>1</v>
      </c>
    </row>
    <row r="3382" customFormat="false" ht="15" hidden="false" customHeight="false" outlineLevel="0" collapsed="false">
      <c r="A3382" s="62" t="n">
        <v>3381</v>
      </c>
      <c r="B3382" s="63" t="n">
        <v>46303.0892708333</v>
      </c>
      <c r="C3382" s="64" t="n">
        <v>46302</v>
      </c>
      <c r="D3382" s="62" t="s">
        <v>143</v>
      </c>
      <c r="E3382" s="62" t="s">
        <v>3018</v>
      </c>
      <c r="F3382" s="62" t="s">
        <v>3018</v>
      </c>
      <c r="G3382" s="62" t="s">
        <v>3019</v>
      </c>
      <c r="H3382" s="62" t="s">
        <v>58</v>
      </c>
      <c r="I3382" s="62" t="s">
        <v>49</v>
      </c>
      <c r="J3382" s="62" t="s">
        <v>146</v>
      </c>
      <c r="K3382" s="62" t="s">
        <v>175</v>
      </c>
      <c r="L3382" s="62" t="s">
        <v>148</v>
      </c>
      <c r="M3382" s="62" t="n">
        <v>0</v>
      </c>
      <c r="N3382" s="62" t="n">
        <v>1</v>
      </c>
      <c r="O3382" s="62" t="n">
        <v>1</v>
      </c>
      <c r="P3382" s="62" t="n">
        <v>0</v>
      </c>
      <c r="Q3382" s="62" t="n">
        <v>1</v>
      </c>
      <c r="R3382" s="62" t="n">
        <v>0</v>
      </c>
      <c r="S3382" s="62" t="n">
        <v>0</v>
      </c>
      <c r="T3382" s="62" t="n">
        <v>0</v>
      </c>
      <c r="U3382" s="62"/>
      <c r="V3382" s="62"/>
      <c r="W3382" s="62"/>
      <c r="X3382" s="62"/>
      <c r="Y3382" s="62"/>
      <c r="Z3382" s="62" t="s">
        <v>6176</v>
      </c>
      <c r="AA3382" s="62" t="s">
        <v>6177</v>
      </c>
      <c r="AB3382" s="62" t="n">
        <v>1</v>
      </c>
      <c r="AC3382" s="62" t="n">
        <v>0</v>
      </c>
      <c r="AD3382" s="62" t="n">
        <v>1</v>
      </c>
      <c r="AE3382" s="62" t="n">
        <f aca="false">IF(AND(Dashboard!$C$9="Yes",AC3382=1),0,1)</f>
        <v>1</v>
      </c>
      <c r="AF3382" s="62" t="n">
        <v>1</v>
      </c>
    </row>
    <row r="3383" customFormat="false" ht="15" hidden="false" customHeight="false" outlineLevel="0" collapsed="false">
      <c r="A3383" s="62" t="n">
        <v>3382</v>
      </c>
      <c r="B3383" s="63" t="n">
        <v>46303.0988310185</v>
      </c>
      <c r="C3383" s="64" t="n">
        <v>46302</v>
      </c>
      <c r="D3383" s="62" t="s">
        <v>143</v>
      </c>
      <c r="E3383" s="62" t="s">
        <v>5867</v>
      </c>
      <c r="F3383" s="62" t="s">
        <v>5867</v>
      </c>
      <c r="G3383" s="62" t="s">
        <v>5868</v>
      </c>
      <c r="H3383" s="62" t="s">
        <v>53</v>
      </c>
      <c r="I3383" s="62" t="s">
        <v>47</v>
      </c>
      <c r="J3383" s="62" t="s">
        <v>3708</v>
      </c>
      <c r="K3383" s="62" t="s">
        <v>209</v>
      </c>
      <c r="L3383" s="62" t="s">
        <v>148</v>
      </c>
      <c r="M3383" s="62" t="n">
        <v>0</v>
      </c>
      <c r="N3383" s="62" t="n">
        <v>1</v>
      </c>
      <c r="O3383" s="62" t="n">
        <v>1</v>
      </c>
      <c r="P3383" s="62" t="n">
        <v>1</v>
      </c>
      <c r="Q3383" s="62" t="n">
        <v>0</v>
      </c>
      <c r="R3383" s="62" t="n">
        <v>0</v>
      </c>
      <c r="S3383" s="62" t="n">
        <v>0</v>
      </c>
      <c r="T3383" s="62" t="n">
        <v>0</v>
      </c>
      <c r="U3383" s="62"/>
      <c r="V3383" s="62"/>
      <c r="W3383" s="62"/>
      <c r="X3383" s="62"/>
      <c r="Y3383" s="62"/>
      <c r="Z3383" s="62" t="s">
        <v>6178</v>
      </c>
      <c r="AA3383" s="62" t="s">
        <v>6179</v>
      </c>
      <c r="AB3383" s="62" t="n">
        <v>1</v>
      </c>
      <c r="AC3383" s="62" t="n">
        <v>0</v>
      </c>
      <c r="AD3383" s="62" t="n">
        <v>1</v>
      </c>
      <c r="AE3383" s="62" t="n">
        <f aca="false">IF(AND(Dashboard!$C$9="Yes",AC3383=1),0,1)</f>
        <v>1</v>
      </c>
      <c r="AF3383" s="62" t="n">
        <v>1</v>
      </c>
    </row>
    <row r="3384" customFormat="false" ht="15" hidden="false" customHeight="false" outlineLevel="0" collapsed="false">
      <c r="A3384" s="62" t="n">
        <v>3383</v>
      </c>
      <c r="B3384" s="63" t="n">
        <v>46303.0989814815</v>
      </c>
      <c r="C3384" s="64" t="n">
        <v>46302</v>
      </c>
      <c r="D3384" s="62" t="s">
        <v>143</v>
      </c>
      <c r="E3384" s="62" t="s">
        <v>5979</v>
      </c>
      <c r="F3384" s="62" t="s">
        <v>5979</v>
      </c>
      <c r="G3384" s="62" t="s">
        <v>5980</v>
      </c>
      <c r="H3384" s="62" t="s">
        <v>50</v>
      </c>
      <c r="I3384" s="62" t="s">
        <v>49</v>
      </c>
      <c r="J3384" s="62" t="s">
        <v>3708</v>
      </c>
      <c r="K3384" s="62" t="s">
        <v>209</v>
      </c>
      <c r="L3384" s="62" t="s">
        <v>148</v>
      </c>
      <c r="M3384" s="62" t="n">
        <v>0</v>
      </c>
      <c r="N3384" s="62" t="n">
        <v>1</v>
      </c>
      <c r="O3384" s="62" t="n">
        <v>1</v>
      </c>
      <c r="P3384" s="62" t="n">
        <v>1</v>
      </c>
      <c r="Q3384" s="62" t="n">
        <v>0</v>
      </c>
      <c r="R3384" s="62" t="n">
        <v>0</v>
      </c>
      <c r="S3384" s="62" t="n">
        <v>0</v>
      </c>
      <c r="T3384" s="62" t="n">
        <v>0</v>
      </c>
      <c r="U3384" s="62"/>
      <c r="V3384" s="62"/>
      <c r="W3384" s="62"/>
      <c r="X3384" s="62"/>
      <c r="Y3384" s="62"/>
      <c r="Z3384" s="62" t="s">
        <v>6180</v>
      </c>
      <c r="AA3384" s="62" t="s">
        <v>6181</v>
      </c>
      <c r="AB3384" s="62" t="n">
        <v>1</v>
      </c>
      <c r="AC3384" s="62" t="n">
        <v>0</v>
      </c>
      <c r="AD3384" s="62" t="n">
        <v>1</v>
      </c>
      <c r="AE3384" s="62" t="n">
        <f aca="false">IF(AND(Dashboard!$C$9="Yes",AC3384=1),0,1)</f>
        <v>1</v>
      </c>
      <c r="AF3384" s="62" t="n">
        <v>0</v>
      </c>
    </row>
    <row r="3385" customFormat="false" ht="15" hidden="false" customHeight="false" outlineLevel="0" collapsed="false">
      <c r="A3385" s="62" t="n">
        <v>3384</v>
      </c>
      <c r="B3385" s="63" t="n">
        <v>46303.1009837963</v>
      </c>
      <c r="C3385" s="64" t="n">
        <v>46302</v>
      </c>
      <c r="D3385" s="62" t="s">
        <v>143</v>
      </c>
      <c r="E3385" s="62" t="s">
        <v>5004</v>
      </c>
      <c r="F3385" s="62" t="s">
        <v>5004</v>
      </c>
      <c r="G3385" s="62" t="s">
        <v>5005</v>
      </c>
      <c r="H3385" s="62" t="s">
        <v>46</v>
      </c>
      <c r="I3385" s="62" t="s">
        <v>47</v>
      </c>
      <c r="J3385" s="62" t="s">
        <v>146</v>
      </c>
      <c r="K3385" s="62" t="s">
        <v>147</v>
      </c>
      <c r="L3385" s="62" t="s">
        <v>148</v>
      </c>
      <c r="M3385" s="62" t="n">
        <v>0</v>
      </c>
      <c r="N3385" s="62" t="n">
        <v>1</v>
      </c>
      <c r="O3385" s="62" t="n">
        <v>1</v>
      </c>
      <c r="P3385" s="62" t="n">
        <v>0</v>
      </c>
      <c r="Q3385" s="62" t="n">
        <v>1</v>
      </c>
      <c r="R3385" s="62" t="n">
        <v>0</v>
      </c>
      <c r="S3385" s="62" t="n">
        <v>0</v>
      </c>
      <c r="T3385" s="62" t="n">
        <v>0</v>
      </c>
      <c r="U3385" s="62"/>
      <c r="V3385" s="62"/>
      <c r="W3385" s="62"/>
      <c r="X3385" s="62"/>
      <c r="Y3385" s="62"/>
      <c r="Z3385" s="62" t="s">
        <v>6182</v>
      </c>
      <c r="AA3385" s="62" t="s">
        <v>6183</v>
      </c>
      <c r="AB3385" s="62" t="n">
        <v>1</v>
      </c>
      <c r="AC3385" s="62" t="n">
        <v>0</v>
      </c>
      <c r="AD3385" s="62" t="n">
        <v>1</v>
      </c>
      <c r="AE3385" s="62" t="n">
        <f aca="false">IF(AND(Dashboard!$C$9="Yes",AC3385=1),0,1)</f>
        <v>1</v>
      </c>
      <c r="AF3385" s="62" t="n">
        <v>1</v>
      </c>
    </row>
    <row r="3386" customFormat="false" ht="15" hidden="false" customHeight="false" outlineLevel="0" collapsed="false">
      <c r="A3386" s="62" t="n">
        <v>3385</v>
      </c>
      <c r="B3386" s="63" t="n">
        <v>46303.1029513889</v>
      </c>
      <c r="C3386" s="64" t="n">
        <v>46302</v>
      </c>
      <c r="D3386" s="62" t="s">
        <v>143</v>
      </c>
      <c r="E3386" s="62" t="s">
        <v>6184</v>
      </c>
      <c r="F3386" s="62" t="s">
        <v>6184</v>
      </c>
      <c r="G3386" s="62" t="s">
        <v>6185</v>
      </c>
      <c r="H3386" s="62" t="s">
        <v>57</v>
      </c>
      <c r="I3386" s="62" t="s">
        <v>47</v>
      </c>
      <c r="J3386" s="62" t="s">
        <v>146</v>
      </c>
      <c r="K3386" s="62" t="s">
        <v>147</v>
      </c>
      <c r="L3386" s="62" t="s">
        <v>148</v>
      </c>
      <c r="M3386" s="62" t="n">
        <v>0</v>
      </c>
      <c r="N3386" s="62" t="n">
        <v>1</v>
      </c>
      <c r="O3386" s="62" t="n">
        <v>1</v>
      </c>
      <c r="P3386" s="62" t="n">
        <v>1</v>
      </c>
      <c r="Q3386" s="62" t="n">
        <v>0</v>
      </c>
      <c r="R3386" s="62" t="n">
        <v>0</v>
      </c>
      <c r="S3386" s="62" t="n">
        <v>0</v>
      </c>
      <c r="T3386" s="62" t="n">
        <v>0</v>
      </c>
      <c r="U3386" s="62"/>
      <c r="V3386" s="62"/>
      <c r="W3386" s="62"/>
      <c r="X3386" s="62"/>
      <c r="Y3386" s="62"/>
      <c r="Z3386" s="62" t="s">
        <v>6186</v>
      </c>
      <c r="AA3386" s="62" t="s">
        <v>6187</v>
      </c>
      <c r="AB3386" s="62" t="n">
        <v>1</v>
      </c>
      <c r="AC3386" s="62" t="n">
        <v>0</v>
      </c>
      <c r="AD3386" s="62" t="n">
        <v>1</v>
      </c>
      <c r="AE3386" s="62" t="n">
        <f aca="false">IF(AND(Dashboard!$C$9="Yes",AC3386=1),0,1)</f>
        <v>1</v>
      </c>
      <c r="AF3386" s="62" t="n">
        <v>1</v>
      </c>
    </row>
    <row r="3387" customFormat="false" ht="15" hidden="false" customHeight="false" outlineLevel="0" collapsed="false">
      <c r="A3387" s="62" t="n">
        <v>3386</v>
      </c>
      <c r="B3387" s="63" t="n">
        <v>46303.1102777778</v>
      </c>
      <c r="C3387" s="64" t="n">
        <v>46302</v>
      </c>
      <c r="D3387" s="62" t="s">
        <v>143</v>
      </c>
      <c r="E3387" s="62" t="s">
        <v>6150</v>
      </c>
      <c r="F3387" s="62" t="s">
        <v>6150</v>
      </c>
      <c r="G3387" s="62" t="s">
        <v>6151</v>
      </c>
      <c r="H3387" s="62" t="s">
        <v>46</v>
      </c>
      <c r="I3387" s="62" t="s">
        <v>47</v>
      </c>
      <c r="J3387" s="62" t="s">
        <v>146</v>
      </c>
      <c r="K3387" s="62" t="s">
        <v>209</v>
      </c>
      <c r="L3387" s="62" t="s">
        <v>148</v>
      </c>
      <c r="M3387" s="62" t="n">
        <v>0</v>
      </c>
      <c r="N3387" s="62" t="n">
        <v>1</v>
      </c>
      <c r="O3387" s="62" t="n">
        <v>1</v>
      </c>
      <c r="P3387" s="62" t="n">
        <v>1</v>
      </c>
      <c r="Q3387" s="62" t="n">
        <v>0</v>
      </c>
      <c r="R3387" s="62" t="n">
        <v>0</v>
      </c>
      <c r="S3387" s="62" t="n">
        <v>0</v>
      </c>
      <c r="T3387" s="62" t="n">
        <v>0</v>
      </c>
      <c r="U3387" s="62"/>
      <c r="V3387" s="62"/>
      <c r="W3387" s="62"/>
      <c r="X3387" s="62"/>
      <c r="Y3387" s="62"/>
      <c r="Z3387" s="62" t="s">
        <v>6188</v>
      </c>
      <c r="AA3387" s="62" t="s">
        <v>6189</v>
      </c>
      <c r="AB3387" s="62" t="n">
        <v>1</v>
      </c>
      <c r="AC3387" s="62" t="n">
        <v>0</v>
      </c>
      <c r="AD3387" s="62" t="n">
        <v>1</v>
      </c>
      <c r="AE3387" s="62" t="n">
        <f aca="false">IF(AND(Dashboard!$C$9="Yes",AC3387=1),0,1)</f>
        <v>1</v>
      </c>
      <c r="AF3387" s="62" t="n">
        <v>0</v>
      </c>
    </row>
    <row r="3388" customFormat="false" ht="15" hidden="false" customHeight="false" outlineLevel="0" collapsed="false">
      <c r="A3388" s="62" t="n">
        <v>3387</v>
      </c>
      <c r="B3388" s="63" t="n">
        <v>46303.1143171296</v>
      </c>
      <c r="C3388" s="64" t="n">
        <v>46302</v>
      </c>
      <c r="D3388" s="62" t="s">
        <v>143</v>
      </c>
      <c r="E3388" s="62" t="s">
        <v>5992</v>
      </c>
      <c r="F3388" s="62" t="s">
        <v>5992</v>
      </c>
      <c r="G3388" s="62" t="s">
        <v>5993</v>
      </c>
      <c r="H3388" s="62" t="s">
        <v>55</v>
      </c>
      <c r="I3388" s="62" t="s">
        <v>49</v>
      </c>
      <c r="J3388" s="62" t="s">
        <v>3708</v>
      </c>
      <c r="K3388" s="62" t="s">
        <v>209</v>
      </c>
      <c r="L3388" s="62" t="s">
        <v>148</v>
      </c>
      <c r="M3388" s="62" t="n">
        <v>0</v>
      </c>
      <c r="N3388" s="62" t="n">
        <v>1</v>
      </c>
      <c r="O3388" s="62" t="n">
        <v>1</v>
      </c>
      <c r="P3388" s="62" t="n">
        <v>0</v>
      </c>
      <c r="Q3388" s="62" t="n">
        <v>0</v>
      </c>
      <c r="R3388" s="62" t="n">
        <v>1</v>
      </c>
      <c r="S3388" s="62" t="n">
        <v>0</v>
      </c>
      <c r="T3388" s="62" t="n">
        <v>0</v>
      </c>
      <c r="U3388" s="62"/>
      <c r="V3388" s="62"/>
      <c r="W3388" s="62"/>
      <c r="X3388" s="62"/>
      <c r="Y3388" s="62"/>
      <c r="Z3388" s="62" t="s">
        <v>6190</v>
      </c>
      <c r="AA3388" s="62" t="s">
        <v>6191</v>
      </c>
      <c r="AB3388" s="62" t="n">
        <v>1</v>
      </c>
      <c r="AC3388" s="62" t="n">
        <v>0</v>
      </c>
      <c r="AD3388" s="62" t="n">
        <v>1</v>
      </c>
      <c r="AE3388" s="62" t="n">
        <f aca="false">IF(AND(Dashboard!$C$9="Yes",AC3388=1),0,1)</f>
        <v>1</v>
      </c>
      <c r="AF3388" s="62" t="n">
        <v>0</v>
      </c>
    </row>
    <row r="3389" customFormat="false" ht="15" hidden="false" customHeight="false" outlineLevel="0" collapsed="false">
      <c r="A3389" s="62" t="n">
        <v>3388</v>
      </c>
      <c r="B3389" s="63" t="n">
        <v>46303.116087963</v>
      </c>
      <c r="C3389" s="64" t="n">
        <v>46302</v>
      </c>
      <c r="D3389" s="62" t="s">
        <v>143</v>
      </c>
      <c r="E3389" s="62" t="s">
        <v>6184</v>
      </c>
      <c r="F3389" s="62" t="s">
        <v>6184</v>
      </c>
      <c r="G3389" s="62" t="s">
        <v>6185</v>
      </c>
      <c r="H3389" s="62" t="s">
        <v>57</v>
      </c>
      <c r="I3389" s="62" t="s">
        <v>47</v>
      </c>
      <c r="J3389" s="62" t="s">
        <v>146</v>
      </c>
      <c r="K3389" s="62" t="s">
        <v>147</v>
      </c>
      <c r="L3389" s="62" t="s">
        <v>148</v>
      </c>
      <c r="M3389" s="62" t="n">
        <v>0</v>
      </c>
      <c r="N3389" s="62" t="n">
        <v>2</v>
      </c>
      <c r="O3389" s="62" t="n">
        <v>2</v>
      </c>
      <c r="P3389" s="62" t="n">
        <v>0</v>
      </c>
      <c r="Q3389" s="62" t="n">
        <v>0</v>
      </c>
      <c r="R3389" s="62" t="n">
        <v>0</v>
      </c>
      <c r="S3389" s="62" t="n">
        <v>2</v>
      </c>
      <c r="T3389" s="62" t="n">
        <v>0</v>
      </c>
      <c r="U3389" s="62"/>
      <c r="V3389" s="62"/>
      <c r="W3389" s="62"/>
      <c r="X3389" s="62"/>
      <c r="Y3389" s="62"/>
      <c r="Z3389" s="62" t="s">
        <v>6186</v>
      </c>
      <c r="AA3389" s="62" t="s">
        <v>6192</v>
      </c>
      <c r="AB3389" s="62" t="n">
        <v>1</v>
      </c>
      <c r="AC3389" s="62" t="n">
        <v>0</v>
      </c>
      <c r="AD3389" s="62" t="n">
        <v>1</v>
      </c>
      <c r="AE3389" s="62" t="n">
        <f aca="false">IF(AND(Dashboard!$C$9="Yes",AC3389=1),0,1)</f>
        <v>1</v>
      </c>
      <c r="AF3389" s="62" t="n">
        <v>0</v>
      </c>
    </row>
    <row r="3390" customFormat="false" ht="15" hidden="false" customHeight="false" outlineLevel="0" collapsed="false">
      <c r="A3390" s="62" t="n">
        <v>3389</v>
      </c>
      <c r="B3390" s="63" t="n">
        <v>46303.1193865741</v>
      </c>
      <c r="C3390" s="64" t="n">
        <v>46302</v>
      </c>
      <c r="D3390" s="62" t="s">
        <v>143</v>
      </c>
      <c r="E3390" s="62" t="s">
        <v>5270</v>
      </c>
      <c r="F3390" s="62" t="s">
        <v>5270</v>
      </c>
      <c r="G3390" s="62" t="s">
        <v>5271</v>
      </c>
      <c r="H3390" s="62" t="s">
        <v>55</v>
      </c>
      <c r="I3390" s="62" t="s">
        <v>49</v>
      </c>
      <c r="J3390" s="62" t="s">
        <v>3708</v>
      </c>
      <c r="K3390" s="62" t="s">
        <v>209</v>
      </c>
      <c r="L3390" s="62" t="s">
        <v>148</v>
      </c>
      <c r="M3390" s="62" t="n">
        <v>0</v>
      </c>
      <c r="N3390" s="62" t="n">
        <v>2</v>
      </c>
      <c r="O3390" s="62" t="n">
        <v>2</v>
      </c>
      <c r="P3390" s="62" t="n">
        <v>1</v>
      </c>
      <c r="Q3390" s="62" t="n">
        <v>1</v>
      </c>
      <c r="R3390" s="62" t="n">
        <v>0</v>
      </c>
      <c r="S3390" s="62" t="n">
        <v>0</v>
      </c>
      <c r="T3390" s="62" t="n">
        <v>0</v>
      </c>
      <c r="U3390" s="62"/>
      <c r="V3390" s="62"/>
      <c r="W3390" s="62"/>
      <c r="X3390" s="62"/>
      <c r="Y3390" s="62"/>
      <c r="Z3390" s="62" t="s">
        <v>6193</v>
      </c>
      <c r="AA3390" s="62" t="s">
        <v>6194</v>
      </c>
      <c r="AB3390" s="62" t="n">
        <v>1</v>
      </c>
      <c r="AC3390" s="62" t="n">
        <v>0</v>
      </c>
      <c r="AD3390" s="62" t="n">
        <v>1</v>
      </c>
      <c r="AE3390" s="62" t="n">
        <f aca="false">IF(AND(Dashboard!$C$9="Yes",AC3390=1),0,1)</f>
        <v>1</v>
      </c>
      <c r="AF3390" s="62" t="n">
        <v>0</v>
      </c>
    </row>
    <row r="3391" customFormat="false" ht="15" hidden="false" customHeight="false" outlineLevel="0" collapsed="false">
      <c r="A3391" s="62" t="n">
        <v>3390</v>
      </c>
      <c r="B3391" s="63" t="n">
        <v>46303.1228819444</v>
      </c>
      <c r="C3391" s="64" t="n">
        <v>46302</v>
      </c>
      <c r="D3391" s="62" t="s">
        <v>143</v>
      </c>
      <c r="E3391" s="62" t="s">
        <v>5004</v>
      </c>
      <c r="F3391" s="62" t="s">
        <v>5004</v>
      </c>
      <c r="G3391" s="62" t="s">
        <v>5005</v>
      </c>
      <c r="H3391" s="62" t="s">
        <v>46</v>
      </c>
      <c r="I3391" s="62" t="s">
        <v>47</v>
      </c>
      <c r="J3391" s="62" t="s">
        <v>146</v>
      </c>
      <c r="K3391" s="62" t="s">
        <v>147</v>
      </c>
      <c r="L3391" s="62" t="s">
        <v>4</v>
      </c>
      <c r="M3391" s="62" t="n">
        <v>1</v>
      </c>
      <c r="N3391" s="62" t="n">
        <v>0</v>
      </c>
      <c r="O3391" s="62" t="n">
        <v>1</v>
      </c>
      <c r="P3391" s="62" t="n">
        <v>0</v>
      </c>
      <c r="Q3391" s="62" t="n">
        <v>0</v>
      </c>
      <c r="R3391" s="62" t="n">
        <v>0</v>
      </c>
      <c r="S3391" s="62" t="n">
        <v>0</v>
      </c>
      <c r="T3391" s="62" t="n">
        <v>0</v>
      </c>
      <c r="U3391" s="62" t="s">
        <v>2056</v>
      </c>
      <c r="V3391" s="62" t="s">
        <v>2057</v>
      </c>
      <c r="W3391" s="62" t="s">
        <v>15</v>
      </c>
      <c r="X3391" s="62" t="s">
        <v>2180</v>
      </c>
      <c r="Y3391" s="62" t="s">
        <v>2103</v>
      </c>
      <c r="Z3391" s="62" t="s">
        <v>6182</v>
      </c>
      <c r="AA3391" s="62" t="s">
        <v>6195</v>
      </c>
      <c r="AB3391" s="62" t="n">
        <v>1</v>
      </c>
      <c r="AC3391" s="62" t="n">
        <v>0</v>
      </c>
      <c r="AD3391" s="62" t="n">
        <v>1</v>
      </c>
      <c r="AE3391" s="62" t="n">
        <f aca="false">IF(AND(Dashboard!$C$9="Yes",AC3391=1),0,1)</f>
        <v>1</v>
      </c>
      <c r="AF3391" s="62" t="n">
        <v>0</v>
      </c>
    </row>
    <row r="3392" customFormat="false" ht="15" hidden="false" customHeight="false" outlineLevel="0" collapsed="false">
      <c r="A3392" s="62" t="n">
        <v>3391</v>
      </c>
      <c r="B3392" s="63" t="n">
        <v>46303.1305902778</v>
      </c>
      <c r="C3392" s="64" t="n">
        <v>46302</v>
      </c>
      <c r="D3392" s="62" t="s">
        <v>143</v>
      </c>
      <c r="E3392" s="62" t="s">
        <v>2134</v>
      </c>
      <c r="F3392" s="62" t="s">
        <v>2134</v>
      </c>
      <c r="G3392" s="62" t="s">
        <v>2135</v>
      </c>
      <c r="H3392" s="62" t="s">
        <v>57</v>
      </c>
      <c r="I3392" s="62" t="s">
        <v>47</v>
      </c>
      <c r="J3392" s="62" t="s">
        <v>146</v>
      </c>
      <c r="K3392" s="62" t="s">
        <v>147</v>
      </c>
      <c r="L3392" s="62" t="s">
        <v>148</v>
      </c>
      <c r="M3392" s="62" t="n">
        <v>0</v>
      </c>
      <c r="N3392" s="62" t="n">
        <v>1</v>
      </c>
      <c r="O3392" s="62" t="n">
        <v>1</v>
      </c>
      <c r="P3392" s="62" t="n">
        <v>1</v>
      </c>
      <c r="Q3392" s="62" t="n">
        <v>0</v>
      </c>
      <c r="R3392" s="62" t="n">
        <v>0</v>
      </c>
      <c r="S3392" s="62" t="n">
        <v>0</v>
      </c>
      <c r="T3392" s="62" t="n">
        <v>0</v>
      </c>
      <c r="U3392" s="62"/>
      <c r="V3392" s="62"/>
      <c r="W3392" s="62"/>
      <c r="X3392" s="62"/>
      <c r="Y3392" s="62"/>
      <c r="Z3392" s="62" t="s">
        <v>6196</v>
      </c>
      <c r="AA3392" s="62" t="s">
        <v>6197</v>
      </c>
      <c r="AB3392" s="62" t="n">
        <v>1</v>
      </c>
      <c r="AC3392" s="62" t="n">
        <v>0</v>
      </c>
      <c r="AD3392" s="62" t="n">
        <v>1</v>
      </c>
      <c r="AE3392" s="62" t="n">
        <f aca="false">IF(AND(Dashboard!$C$9="Yes",AC3392=1),0,1)</f>
        <v>1</v>
      </c>
      <c r="AF3392" s="62" t="n">
        <v>1</v>
      </c>
    </row>
    <row r="3393" customFormat="false" ht="15" hidden="false" customHeight="false" outlineLevel="0" collapsed="false">
      <c r="A3393" s="62" t="n">
        <v>3392</v>
      </c>
      <c r="B3393" s="63" t="n">
        <v>46303.1374884259</v>
      </c>
      <c r="C3393" s="64" t="n">
        <v>46302</v>
      </c>
      <c r="D3393" s="62" t="s">
        <v>143</v>
      </c>
      <c r="E3393" s="62" t="s">
        <v>2637</v>
      </c>
      <c r="F3393" s="62" t="s">
        <v>2637</v>
      </c>
      <c r="G3393" s="62" t="s">
        <v>2638</v>
      </c>
      <c r="H3393" s="62" t="s">
        <v>52</v>
      </c>
      <c r="I3393" s="62" t="s">
        <v>47</v>
      </c>
      <c r="J3393" s="62" t="s">
        <v>146</v>
      </c>
      <c r="K3393" s="62" t="s">
        <v>147</v>
      </c>
      <c r="L3393" s="62" t="s">
        <v>4</v>
      </c>
      <c r="M3393" s="62" t="n">
        <v>1</v>
      </c>
      <c r="N3393" s="62" t="n">
        <v>0</v>
      </c>
      <c r="O3393" s="62" t="n">
        <v>1</v>
      </c>
      <c r="P3393" s="62" t="n">
        <v>0</v>
      </c>
      <c r="Q3393" s="62" t="n">
        <v>0</v>
      </c>
      <c r="R3393" s="62" t="n">
        <v>0</v>
      </c>
      <c r="S3393" s="62" t="n">
        <v>0</v>
      </c>
      <c r="T3393" s="62" t="n">
        <v>0</v>
      </c>
      <c r="U3393" s="62" t="s">
        <v>2056</v>
      </c>
      <c r="V3393" s="62" t="s">
        <v>2057</v>
      </c>
      <c r="W3393" s="62" t="s">
        <v>15</v>
      </c>
      <c r="X3393" s="62"/>
      <c r="Y3393" s="62" t="s">
        <v>2059</v>
      </c>
      <c r="Z3393" s="62" t="s">
        <v>6198</v>
      </c>
      <c r="AA3393" s="62" t="s">
        <v>6199</v>
      </c>
      <c r="AB3393" s="62" t="n">
        <v>1</v>
      </c>
      <c r="AC3393" s="62" t="n">
        <v>0</v>
      </c>
      <c r="AD3393" s="62" t="n">
        <v>1</v>
      </c>
      <c r="AE3393" s="62" t="n">
        <f aca="false">IF(AND(Dashboard!$C$9="Yes",AC3393=1),0,1)</f>
        <v>1</v>
      </c>
      <c r="AF3393" s="62" t="n">
        <v>0</v>
      </c>
    </row>
    <row r="3394" customFormat="false" ht="15" hidden="false" customHeight="false" outlineLevel="0" collapsed="false">
      <c r="A3394" s="62" t="n">
        <v>3393</v>
      </c>
      <c r="B3394" s="63" t="n">
        <v>46303.1420601852</v>
      </c>
      <c r="C3394" s="64" t="n">
        <v>46302</v>
      </c>
      <c r="D3394" s="62" t="s">
        <v>143</v>
      </c>
      <c r="E3394" s="62" t="s">
        <v>2389</v>
      </c>
      <c r="F3394" s="62" t="s">
        <v>2389</v>
      </c>
      <c r="G3394" s="62" t="s">
        <v>2390</v>
      </c>
      <c r="H3394" s="62" t="s">
        <v>57</v>
      </c>
      <c r="I3394" s="62" t="s">
        <v>47</v>
      </c>
      <c r="J3394" s="62" t="s">
        <v>146</v>
      </c>
      <c r="K3394" s="62" t="s">
        <v>147</v>
      </c>
      <c r="L3394" s="62" t="s">
        <v>148</v>
      </c>
      <c r="M3394" s="62" t="n">
        <v>0</v>
      </c>
      <c r="N3394" s="62" t="n">
        <v>1</v>
      </c>
      <c r="O3394" s="62" t="n">
        <v>1</v>
      </c>
      <c r="P3394" s="62" t="n">
        <v>1</v>
      </c>
      <c r="Q3394" s="62" t="n">
        <v>0</v>
      </c>
      <c r="R3394" s="62" t="n">
        <v>0</v>
      </c>
      <c r="S3394" s="62" t="n">
        <v>0</v>
      </c>
      <c r="T3394" s="62" t="n">
        <v>0</v>
      </c>
      <c r="U3394" s="62"/>
      <c r="V3394" s="62"/>
      <c r="W3394" s="62"/>
      <c r="X3394" s="62"/>
      <c r="Y3394" s="62"/>
      <c r="Z3394" s="62" t="s">
        <v>6200</v>
      </c>
      <c r="AA3394" s="62" t="s">
        <v>6201</v>
      </c>
      <c r="AB3394" s="62" t="n">
        <v>1</v>
      </c>
      <c r="AC3394" s="62" t="n">
        <v>0</v>
      </c>
      <c r="AD3394" s="62" t="n">
        <v>1</v>
      </c>
      <c r="AE3394" s="62" t="n">
        <f aca="false">IF(AND(Dashboard!$C$9="Yes",AC3394=1),0,1)</f>
        <v>1</v>
      </c>
      <c r="AF3394" s="62" t="n">
        <v>1</v>
      </c>
    </row>
    <row r="3395" customFormat="false" ht="15" hidden="false" customHeight="false" outlineLevel="0" collapsed="false">
      <c r="A3395" s="62" t="n">
        <v>3394</v>
      </c>
      <c r="B3395" s="63" t="n">
        <v>46303.142974537</v>
      </c>
      <c r="C3395" s="64" t="n">
        <v>46302</v>
      </c>
      <c r="D3395" s="62" t="s">
        <v>143</v>
      </c>
      <c r="E3395" s="62" t="s">
        <v>2395</v>
      </c>
      <c r="F3395" s="62" t="s">
        <v>2395</v>
      </c>
      <c r="G3395" s="62" t="s">
        <v>2396</v>
      </c>
      <c r="H3395" s="62" t="s">
        <v>59</v>
      </c>
      <c r="I3395" s="62" t="s">
        <v>47</v>
      </c>
      <c r="J3395" s="62" t="s">
        <v>146</v>
      </c>
      <c r="K3395" s="62" t="s">
        <v>209</v>
      </c>
      <c r="L3395" s="62" t="s">
        <v>4</v>
      </c>
      <c r="M3395" s="62" t="n">
        <v>1</v>
      </c>
      <c r="N3395" s="62" t="n">
        <v>0</v>
      </c>
      <c r="O3395" s="62" t="n">
        <v>1</v>
      </c>
      <c r="P3395" s="62" t="n">
        <v>0</v>
      </c>
      <c r="Q3395" s="62" t="n">
        <v>0</v>
      </c>
      <c r="R3395" s="62" t="n">
        <v>0</v>
      </c>
      <c r="S3395" s="62" t="n">
        <v>0</v>
      </c>
      <c r="T3395" s="62" t="n">
        <v>0</v>
      </c>
      <c r="U3395" s="62" t="s">
        <v>2056</v>
      </c>
      <c r="V3395" s="62" t="s">
        <v>2057</v>
      </c>
      <c r="W3395" s="62" t="s">
        <v>15</v>
      </c>
      <c r="X3395" s="62" t="s">
        <v>2058</v>
      </c>
      <c r="Y3395" s="62" t="s">
        <v>2181</v>
      </c>
      <c r="Z3395" s="62" t="s">
        <v>6202</v>
      </c>
      <c r="AA3395" s="62" t="s">
        <v>6203</v>
      </c>
      <c r="AB3395" s="62" t="n">
        <v>1</v>
      </c>
      <c r="AC3395" s="62" t="n">
        <v>0</v>
      </c>
      <c r="AD3395" s="62" t="n">
        <v>1</v>
      </c>
      <c r="AE3395" s="62" t="n">
        <f aca="false">IF(AND(Dashboard!$C$9="Yes",AC3395=1),0,1)</f>
        <v>1</v>
      </c>
      <c r="AF3395" s="62" t="n">
        <v>1</v>
      </c>
    </row>
    <row r="3396" customFormat="false" ht="15" hidden="false" customHeight="false" outlineLevel="0" collapsed="false">
      <c r="A3396" s="62" t="n">
        <v>3395</v>
      </c>
      <c r="B3396" s="63" t="n">
        <v>46303.1431712963</v>
      </c>
      <c r="C3396" s="64" t="n">
        <v>46302</v>
      </c>
      <c r="D3396" s="62" t="s">
        <v>143</v>
      </c>
      <c r="E3396" s="62" t="s">
        <v>3766</v>
      </c>
      <c r="F3396" s="62" t="s">
        <v>3766</v>
      </c>
      <c r="G3396" s="62" t="s">
        <v>3767</v>
      </c>
      <c r="H3396" s="62" t="s">
        <v>57</v>
      </c>
      <c r="I3396" s="62" t="s">
        <v>47</v>
      </c>
      <c r="J3396" s="62" t="s">
        <v>146</v>
      </c>
      <c r="K3396" s="62" t="s">
        <v>147</v>
      </c>
      <c r="L3396" s="62" t="s">
        <v>148</v>
      </c>
      <c r="M3396" s="62" t="n">
        <v>0</v>
      </c>
      <c r="N3396" s="62" t="n">
        <v>1</v>
      </c>
      <c r="O3396" s="62" t="n">
        <v>1</v>
      </c>
      <c r="P3396" s="62" t="n">
        <v>0</v>
      </c>
      <c r="Q3396" s="62" t="n">
        <v>0</v>
      </c>
      <c r="R3396" s="62" t="n">
        <v>1</v>
      </c>
      <c r="S3396" s="62" t="n">
        <v>0</v>
      </c>
      <c r="T3396" s="62" t="n">
        <v>0</v>
      </c>
      <c r="U3396" s="62"/>
      <c r="V3396" s="62"/>
      <c r="W3396" s="62"/>
      <c r="X3396" s="62"/>
      <c r="Y3396" s="62"/>
      <c r="Z3396" s="62" t="s">
        <v>6204</v>
      </c>
      <c r="AA3396" s="62" t="s">
        <v>6205</v>
      </c>
      <c r="AB3396" s="62" t="n">
        <v>1</v>
      </c>
      <c r="AC3396" s="62" t="n">
        <v>0</v>
      </c>
      <c r="AD3396" s="62" t="n">
        <v>1</v>
      </c>
      <c r="AE3396" s="62" t="n">
        <f aca="false">IF(AND(Dashboard!$C$9="Yes",AC3396=1),0,1)</f>
        <v>1</v>
      </c>
      <c r="AF3396" s="62" t="n">
        <v>1</v>
      </c>
    </row>
    <row r="3397" customFormat="false" ht="15" hidden="false" customHeight="false" outlineLevel="0" collapsed="false">
      <c r="A3397" s="62" t="n">
        <v>3396</v>
      </c>
      <c r="B3397" s="63" t="n">
        <v>46303.1662152778</v>
      </c>
      <c r="C3397" s="64" t="n">
        <v>46302</v>
      </c>
      <c r="D3397" s="62" t="s">
        <v>143</v>
      </c>
      <c r="E3397" s="62" t="s">
        <v>5250</v>
      </c>
      <c r="F3397" s="62" t="s">
        <v>5250</v>
      </c>
      <c r="G3397" s="62" t="s">
        <v>5251</v>
      </c>
      <c r="H3397" s="62" t="s">
        <v>55</v>
      </c>
      <c r="I3397" s="62" t="s">
        <v>49</v>
      </c>
      <c r="J3397" s="62" t="s">
        <v>3708</v>
      </c>
      <c r="K3397" s="62" t="s">
        <v>209</v>
      </c>
      <c r="L3397" s="62" t="s">
        <v>148</v>
      </c>
      <c r="M3397" s="62" t="n">
        <v>0</v>
      </c>
      <c r="N3397" s="62" t="n">
        <v>1</v>
      </c>
      <c r="O3397" s="62" t="n">
        <v>1</v>
      </c>
      <c r="P3397" s="62" t="n">
        <v>0</v>
      </c>
      <c r="Q3397" s="62" t="n">
        <v>0</v>
      </c>
      <c r="R3397" s="62" t="n">
        <v>0</v>
      </c>
      <c r="S3397" s="62" t="n">
        <v>0</v>
      </c>
      <c r="T3397" s="62" t="n">
        <v>1</v>
      </c>
      <c r="U3397" s="62"/>
      <c r="V3397" s="62"/>
      <c r="W3397" s="62"/>
      <c r="X3397" s="62"/>
      <c r="Y3397" s="62"/>
      <c r="Z3397" s="62" t="s">
        <v>6206</v>
      </c>
      <c r="AA3397" s="62" t="s">
        <v>6207</v>
      </c>
      <c r="AB3397" s="62" t="n">
        <v>1</v>
      </c>
      <c r="AC3397" s="62" t="n">
        <v>0</v>
      </c>
      <c r="AD3397" s="62" t="n">
        <v>1</v>
      </c>
      <c r="AE3397" s="62" t="n">
        <f aca="false">IF(AND(Dashboard!$C$9="Yes",AC3397=1),0,1)</f>
        <v>1</v>
      </c>
      <c r="AF3397" s="62" t="n">
        <v>0</v>
      </c>
    </row>
    <row r="3398" customFormat="false" ht="15" hidden="false" customHeight="false" outlineLevel="0" collapsed="false">
      <c r="A3398" s="62" t="n">
        <v>3397</v>
      </c>
      <c r="B3398" s="63" t="n">
        <v>46303.1664467593</v>
      </c>
      <c r="C3398" s="64" t="n">
        <v>46302</v>
      </c>
      <c r="D3398" s="62" t="s">
        <v>143</v>
      </c>
      <c r="E3398" s="62" t="s">
        <v>967</v>
      </c>
      <c r="F3398" s="62" t="s">
        <v>967</v>
      </c>
      <c r="G3398" s="62" t="s">
        <v>968</v>
      </c>
      <c r="H3398" s="62" t="s">
        <v>46</v>
      </c>
      <c r="I3398" s="62" t="s">
        <v>47</v>
      </c>
      <c r="J3398" s="62" t="s">
        <v>146</v>
      </c>
      <c r="K3398" s="62" t="s">
        <v>209</v>
      </c>
      <c r="L3398" s="62" t="s">
        <v>4</v>
      </c>
      <c r="M3398" s="62" t="n">
        <v>1</v>
      </c>
      <c r="N3398" s="62" t="n">
        <v>0</v>
      </c>
      <c r="O3398" s="62" t="n">
        <v>1</v>
      </c>
      <c r="P3398" s="62" t="n">
        <v>0</v>
      </c>
      <c r="Q3398" s="62" t="n">
        <v>0</v>
      </c>
      <c r="R3398" s="62" t="n">
        <v>0</v>
      </c>
      <c r="S3398" s="62" t="n">
        <v>0</v>
      </c>
      <c r="T3398" s="62" t="n">
        <v>0</v>
      </c>
      <c r="U3398" s="62" t="s">
        <v>2056</v>
      </c>
      <c r="V3398" s="62" t="s">
        <v>2057</v>
      </c>
      <c r="W3398" s="62" t="s">
        <v>15</v>
      </c>
      <c r="X3398" s="62"/>
      <c r="Y3398" s="62" t="s">
        <v>2103</v>
      </c>
      <c r="Z3398" s="62" t="s">
        <v>6208</v>
      </c>
      <c r="AA3398" s="62" t="s">
        <v>6209</v>
      </c>
      <c r="AB3398" s="62" t="n">
        <v>1</v>
      </c>
      <c r="AC3398" s="62" t="n">
        <v>0</v>
      </c>
      <c r="AD3398" s="62" t="n">
        <v>1</v>
      </c>
      <c r="AE3398" s="62" t="n">
        <f aca="false">IF(AND(Dashboard!$C$9="Yes",AC3398=1),0,1)</f>
        <v>1</v>
      </c>
      <c r="AF3398" s="62" t="n">
        <v>1</v>
      </c>
    </row>
    <row r="3399" customFormat="false" ht="15" hidden="false" customHeight="false" outlineLevel="0" collapsed="false">
      <c r="A3399" s="62" t="n">
        <v>3398</v>
      </c>
      <c r="B3399" s="63" t="n">
        <v>46303.1711111111</v>
      </c>
      <c r="C3399" s="64" t="n">
        <v>46302</v>
      </c>
      <c r="D3399" s="62" t="s">
        <v>143</v>
      </c>
      <c r="E3399" s="62" t="s">
        <v>6210</v>
      </c>
      <c r="F3399" s="62" t="s">
        <v>6210</v>
      </c>
      <c r="G3399" s="62" t="s">
        <v>6211</v>
      </c>
      <c r="H3399" s="62" t="s">
        <v>53</v>
      </c>
      <c r="I3399" s="62" t="s">
        <v>47</v>
      </c>
      <c r="J3399" s="62" t="s">
        <v>3708</v>
      </c>
      <c r="K3399" s="62" t="s">
        <v>209</v>
      </c>
      <c r="L3399" s="62" t="s">
        <v>4</v>
      </c>
      <c r="M3399" s="62" t="n">
        <v>1</v>
      </c>
      <c r="N3399" s="62" t="n">
        <v>0</v>
      </c>
      <c r="O3399" s="62" t="n">
        <v>1</v>
      </c>
      <c r="P3399" s="62" t="n">
        <v>0</v>
      </c>
      <c r="Q3399" s="62" t="n">
        <v>0</v>
      </c>
      <c r="R3399" s="62" t="n">
        <v>0</v>
      </c>
      <c r="S3399" s="62" t="n">
        <v>0</v>
      </c>
      <c r="T3399" s="62" t="n">
        <v>0</v>
      </c>
      <c r="U3399" s="62" t="s">
        <v>2056</v>
      </c>
      <c r="V3399" s="62" t="s">
        <v>2057</v>
      </c>
      <c r="W3399" s="62" t="s">
        <v>15</v>
      </c>
      <c r="X3399" s="62" t="s">
        <v>2164</v>
      </c>
      <c r="Y3399" s="62" t="s">
        <v>2103</v>
      </c>
      <c r="Z3399" s="62" t="s">
        <v>6212</v>
      </c>
      <c r="AA3399" s="62" t="s">
        <v>6213</v>
      </c>
      <c r="AB3399" s="62" t="n">
        <v>1</v>
      </c>
      <c r="AC3399" s="62" t="n">
        <v>0</v>
      </c>
      <c r="AD3399" s="62" t="n">
        <v>1</v>
      </c>
      <c r="AE3399" s="62" t="n">
        <f aca="false">IF(AND(Dashboard!$C$9="Yes",AC3399=1),0,1)</f>
        <v>1</v>
      </c>
      <c r="AF3399" s="62" t="n">
        <v>1</v>
      </c>
    </row>
    <row r="3400" customFormat="false" ht="15" hidden="false" customHeight="false" outlineLevel="0" collapsed="false">
      <c r="A3400" s="62" t="n">
        <v>3399</v>
      </c>
      <c r="B3400" s="63" t="n">
        <v>46303.1715046296</v>
      </c>
      <c r="C3400" s="64" t="n">
        <v>46302</v>
      </c>
      <c r="D3400" s="62" t="s">
        <v>143</v>
      </c>
      <c r="E3400" s="62" t="s">
        <v>6210</v>
      </c>
      <c r="F3400" s="62" t="s">
        <v>6210</v>
      </c>
      <c r="G3400" s="62" t="s">
        <v>6211</v>
      </c>
      <c r="H3400" s="62" t="s">
        <v>53</v>
      </c>
      <c r="I3400" s="62" t="s">
        <v>47</v>
      </c>
      <c r="J3400" s="62" t="s">
        <v>3708</v>
      </c>
      <c r="K3400" s="62" t="s">
        <v>209</v>
      </c>
      <c r="L3400" s="62" t="s">
        <v>148</v>
      </c>
      <c r="M3400" s="62" t="n">
        <v>0</v>
      </c>
      <c r="N3400" s="62" t="n">
        <v>1</v>
      </c>
      <c r="O3400" s="62" t="n">
        <v>1</v>
      </c>
      <c r="P3400" s="62" t="n">
        <v>1</v>
      </c>
      <c r="Q3400" s="62" t="n">
        <v>0</v>
      </c>
      <c r="R3400" s="62" t="n">
        <v>0</v>
      </c>
      <c r="S3400" s="62" t="n">
        <v>0</v>
      </c>
      <c r="T3400" s="62" t="n">
        <v>0</v>
      </c>
      <c r="U3400" s="62"/>
      <c r="V3400" s="62"/>
      <c r="W3400" s="62"/>
      <c r="X3400" s="62"/>
      <c r="Y3400" s="62"/>
      <c r="Z3400" s="62" t="s">
        <v>6212</v>
      </c>
      <c r="AA3400" s="62" t="s">
        <v>6214</v>
      </c>
      <c r="AB3400" s="62" t="n">
        <v>1</v>
      </c>
      <c r="AC3400" s="62" t="n">
        <v>0</v>
      </c>
      <c r="AD3400" s="62" t="n">
        <v>1</v>
      </c>
      <c r="AE3400" s="62" t="n">
        <f aca="false">IF(AND(Dashboard!$C$9="Yes",AC3400=1),0,1)</f>
        <v>1</v>
      </c>
      <c r="AF3400" s="62" t="n">
        <v>0</v>
      </c>
    </row>
    <row r="3401" customFormat="false" ht="15" hidden="false" customHeight="false" outlineLevel="0" collapsed="false">
      <c r="A3401" s="62" t="n">
        <v>3400</v>
      </c>
      <c r="B3401" s="63" t="n">
        <v>46303.1727777778</v>
      </c>
      <c r="C3401" s="64" t="n">
        <v>46302</v>
      </c>
      <c r="D3401" s="62" t="s">
        <v>143</v>
      </c>
      <c r="E3401" s="62" t="s">
        <v>3789</v>
      </c>
      <c r="F3401" s="62" t="s">
        <v>3789</v>
      </c>
      <c r="G3401" s="62" t="s">
        <v>3790</v>
      </c>
      <c r="H3401" s="62" t="s">
        <v>55</v>
      </c>
      <c r="I3401" s="62" t="s">
        <v>49</v>
      </c>
      <c r="J3401" s="62" t="s">
        <v>3708</v>
      </c>
      <c r="K3401" s="62" t="s">
        <v>209</v>
      </c>
      <c r="L3401" s="62" t="s">
        <v>4</v>
      </c>
      <c r="M3401" s="62" t="n">
        <v>1</v>
      </c>
      <c r="N3401" s="62" t="n">
        <v>0</v>
      </c>
      <c r="O3401" s="62" t="n">
        <v>1</v>
      </c>
      <c r="P3401" s="62" t="n">
        <v>0</v>
      </c>
      <c r="Q3401" s="62" t="n">
        <v>0</v>
      </c>
      <c r="R3401" s="62" t="n">
        <v>0</v>
      </c>
      <c r="S3401" s="62" t="n">
        <v>0</v>
      </c>
      <c r="T3401" s="62" t="n">
        <v>0</v>
      </c>
      <c r="U3401" s="62" t="s">
        <v>2056</v>
      </c>
      <c r="V3401" s="62" t="s">
        <v>2057</v>
      </c>
      <c r="W3401" s="62" t="s">
        <v>15</v>
      </c>
      <c r="X3401" s="62" t="s">
        <v>2058</v>
      </c>
      <c r="Y3401" s="62" t="s">
        <v>2103</v>
      </c>
      <c r="Z3401" s="62" t="s">
        <v>6215</v>
      </c>
      <c r="AA3401" s="62" t="s">
        <v>6216</v>
      </c>
      <c r="AB3401" s="62" t="n">
        <v>1</v>
      </c>
      <c r="AC3401" s="62" t="n">
        <v>0</v>
      </c>
      <c r="AD3401" s="62" t="n">
        <v>1</v>
      </c>
      <c r="AE3401" s="62" t="n">
        <f aca="false">IF(AND(Dashboard!$C$9="Yes",AC3401=1),0,1)</f>
        <v>1</v>
      </c>
      <c r="AF3401" s="62" t="n">
        <v>1</v>
      </c>
    </row>
    <row r="3402" customFormat="false" ht="15" hidden="false" customHeight="false" outlineLevel="0" collapsed="false">
      <c r="A3402" s="62" t="n">
        <v>3401</v>
      </c>
      <c r="B3402" s="63" t="n">
        <v>46303.1758333333</v>
      </c>
      <c r="C3402" s="64" t="n">
        <v>46302</v>
      </c>
      <c r="D3402" s="62" t="s">
        <v>143</v>
      </c>
      <c r="E3402" s="62" t="s">
        <v>6217</v>
      </c>
      <c r="F3402" s="62" t="s">
        <v>5255</v>
      </c>
      <c r="G3402" s="62" t="s">
        <v>5256</v>
      </c>
      <c r="H3402" s="62" t="s">
        <v>55</v>
      </c>
      <c r="I3402" s="62" t="s">
        <v>49</v>
      </c>
      <c r="J3402" s="62" t="s">
        <v>3708</v>
      </c>
      <c r="K3402" s="62" t="s">
        <v>209</v>
      </c>
      <c r="L3402" s="62" t="s">
        <v>148</v>
      </c>
      <c r="M3402" s="62" t="n">
        <v>0</v>
      </c>
      <c r="N3402" s="62" t="n">
        <v>1</v>
      </c>
      <c r="O3402" s="62" t="n">
        <v>1</v>
      </c>
      <c r="P3402" s="62" t="n">
        <v>0</v>
      </c>
      <c r="Q3402" s="62" t="n">
        <v>0</v>
      </c>
      <c r="R3402" s="62" t="n">
        <v>0</v>
      </c>
      <c r="S3402" s="62" t="n">
        <v>1</v>
      </c>
      <c r="T3402" s="62" t="n">
        <v>1</v>
      </c>
      <c r="U3402" s="62"/>
      <c r="V3402" s="62"/>
      <c r="W3402" s="62"/>
      <c r="X3402" s="62"/>
      <c r="Y3402" s="62"/>
      <c r="Z3402" s="62" t="s">
        <v>6218</v>
      </c>
      <c r="AA3402" s="62" t="s">
        <v>6219</v>
      </c>
      <c r="AB3402" s="62" t="n">
        <v>1</v>
      </c>
      <c r="AC3402" s="62" t="n">
        <v>0</v>
      </c>
      <c r="AD3402" s="62" t="n">
        <v>1</v>
      </c>
      <c r="AE3402" s="62" t="n">
        <f aca="false">IF(AND(Dashboard!$C$9="Yes",AC3402=1),0,1)</f>
        <v>1</v>
      </c>
      <c r="AF3402" s="62" t="n">
        <v>1</v>
      </c>
    </row>
    <row r="3403" customFormat="false" ht="15" hidden="false" customHeight="false" outlineLevel="0" collapsed="false">
      <c r="A3403" s="62" t="n">
        <v>3402</v>
      </c>
      <c r="B3403" s="63" t="n">
        <v>46303.1792592593</v>
      </c>
      <c r="C3403" s="64" t="n">
        <v>46302</v>
      </c>
      <c r="D3403" s="62" t="s">
        <v>143</v>
      </c>
      <c r="E3403" s="62" t="s">
        <v>5992</v>
      </c>
      <c r="F3403" s="62" t="s">
        <v>5992</v>
      </c>
      <c r="G3403" s="62" t="s">
        <v>5993</v>
      </c>
      <c r="H3403" s="62" t="s">
        <v>55</v>
      </c>
      <c r="I3403" s="62" t="s">
        <v>49</v>
      </c>
      <c r="J3403" s="62" t="s">
        <v>3708</v>
      </c>
      <c r="K3403" s="62" t="s">
        <v>209</v>
      </c>
      <c r="L3403" s="62" t="s">
        <v>4</v>
      </c>
      <c r="M3403" s="62" t="n">
        <v>1</v>
      </c>
      <c r="N3403" s="62" t="n">
        <v>0</v>
      </c>
      <c r="O3403" s="62" t="n">
        <v>1</v>
      </c>
      <c r="P3403" s="62" t="n">
        <v>0</v>
      </c>
      <c r="Q3403" s="62" t="n">
        <v>0</v>
      </c>
      <c r="R3403" s="62" t="n">
        <v>0</v>
      </c>
      <c r="S3403" s="62" t="n">
        <v>0</v>
      </c>
      <c r="T3403" s="62" t="n">
        <v>0</v>
      </c>
      <c r="U3403" s="62" t="s">
        <v>15</v>
      </c>
      <c r="V3403" s="62" t="s">
        <v>2057</v>
      </c>
      <c r="W3403" s="62" t="s">
        <v>15</v>
      </c>
      <c r="X3403" s="62" t="s">
        <v>2058</v>
      </c>
      <c r="Y3403" s="62" t="s">
        <v>2103</v>
      </c>
      <c r="Z3403" s="62" t="s">
        <v>6220</v>
      </c>
      <c r="AA3403" s="62" t="s">
        <v>6221</v>
      </c>
      <c r="AB3403" s="62" t="n">
        <v>1</v>
      </c>
      <c r="AC3403" s="62" t="n">
        <v>0</v>
      </c>
      <c r="AD3403" s="62" t="n">
        <v>1</v>
      </c>
      <c r="AE3403" s="62" t="n">
        <f aca="false">IF(AND(Dashboard!$C$9="Yes",AC3403=1),0,1)</f>
        <v>1</v>
      </c>
      <c r="AF3403" s="62" t="n">
        <v>0</v>
      </c>
    </row>
    <row r="3404" customFormat="false" ht="15" hidden="false" customHeight="false" outlineLevel="0" collapsed="false">
      <c r="A3404" s="62" t="n">
        <v>3403</v>
      </c>
      <c r="B3404" s="63" t="n">
        <v>46303.1927083333</v>
      </c>
      <c r="C3404" s="64" t="n">
        <v>46302</v>
      </c>
      <c r="D3404" s="62" t="s">
        <v>143</v>
      </c>
      <c r="E3404" s="62" t="s">
        <v>5992</v>
      </c>
      <c r="F3404" s="62" t="s">
        <v>5992</v>
      </c>
      <c r="G3404" s="62" t="s">
        <v>5993</v>
      </c>
      <c r="H3404" s="62" t="s">
        <v>55</v>
      </c>
      <c r="I3404" s="62" t="s">
        <v>49</v>
      </c>
      <c r="J3404" s="62" t="s">
        <v>3708</v>
      </c>
      <c r="K3404" s="62" t="s">
        <v>209</v>
      </c>
      <c r="L3404" s="62" t="s">
        <v>4</v>
      </c>
      <c r="M3404" s="62" t="n">
        <v>1</v>
      </c>
      <c r="N3404" s="62" t="n">
        <v>0</v>
      </c>
      <c r="O3404" s="62" t="n">
        <v>1</v>
      </c>
      <c r="P3404" s="62" t="n">
        <v>0</v>
      </c>
      <c r="Q3404" s="62" t="n">
        <v>0</v>
      </c>
      <c r="R3404" s="62" t="n">
        <v>0</v>
      </c>
      <c r="S3404" s="62" t="n">
        <v>0</v>
      </c>
      <c r="T3404" s="62" t="n">
        <v>0</v>
      </c>
      <c r="U3404" s="62" t="s">
        <v>2056</v>
      </c>
      <c r="V3404" s="62" t="s">
        <v>2057</v>
      </c>
      <c r="W3404" s="62" t="s">
        <v>15</v>
      </c>
      <c r="X3404" s="62" t="s">
        <v>2058</v>
      </c>
      <c r="Y3404" s="62" t="s">
        <v>2103</v>
      </c>
      <c r="Z3404" s="62" t="s">
        <v>6220</v>
      </c>
      <c r="AA3404" s="62" t="s">
        <v>6222</v>
      </c>
      <c r="AB3404" s="62" t="n">
        <v>1</v>
      </c>
      <c r="AC3404" s="62" t="n">
        <v>0</v>
      </c>
      <c r="AD3404" s="62" t="n">
        <v>1</v>
      </c>
      <c r="AE3404" s="62" t="n">
        <f aca="false">IF(AND(Dashboard!$C$9="Yes",AC3404=1),0,1)</f>
        <v>1</v>
      </c>
      <c r="AF3404" s="62" t="n">
        <v>0</v>
      </c>
    </row>
    <row r="3405" customFormat="false" ht="15" hidden="false" customHeight="false" outlineLevel="0" collapsed="false">
      <c r="A3405" s="62" t="n">
        <v>3404</v>
      </c>
      <c r="B3405" s="63" t="n">
        <v>46303.2000231482</v>
      </c>
      <c r="C3405" s="64" t="n">
        <v>46302</v>
      </c>
      <c r="D3405" s="62" t="s">
        <v>143</v>
      </c>
      <c r="E3405" s="62" t="s">
        <v>273</v>
      </c>
      <c r="F3405" s="62" t="s">
        <v>273</v>
      </c>
      <c r="G3405" s="62" t="s">
        <v>274</v>
      </c>
      <c r="H3405" s="62" t="s">
        <v>59</v>
      </c>
      <c r="I3405" s="62" t="s">
        <v>47</v>
      </c>
      <c r="J3405" s="62" t="s">
        <v>146</v>
      </c>
      <c r="K3405" s="62" t="s">
        <v>147</v>
      </c>
      <c r="L3405" s="62" t="s">
        <v>148</v>
      </c>
      <c r="M3405" s="62" t="n">
        <v>0</v>
      </c>
      <c r="N3405" s="62" t="n">
        <v>1</v>
      </c>
      <c r="O3405" s="62" t="n">
        <v>1</v>
      </c>
      <c r="P3405" s="62" t="n">
        <v>1</v>
      </c>
      <c r="Q3405" s="62" t="n">
        <v>0</v>
      </c>
      <c r="R3405" s="62" t="n">
        <v>0</v>
      </c>
      <c r="S3405" s="62" t="n">
        <v>0</v>
      </c>
      <c r="T3405" s="62" t="n">
        <v>0</v>
      </c>
      <c r="U3405" s="62"/>
      <c r="V3405" s="62"/>
      <c r="W3405" s="62"/>
      <c r="X3405" s="62"/>
      <c r="Y3405" s="62"/>
      <c r="Z3405" s="62" t="s">
        <v>6223</v>
      </c>
      <c r="AA3405" s="62" t="s">
        <v>6224</v>
      </c>
      <c r="AB3405" s="62" t="n">
        <v>1</v>
      </c>
      <c r="AC3405" s="62" t="n">
        <v>0</v>
      </c>
      <c r="AD3405" s="62" t="n">
        <v>1</v>
      </c>
      <c r="AE3405" s="62" t="n">
        <f aca="false">IF(AND(Dashboard!$C$9="Yes",AC3405=1),0,1)</f>
        <v>1</v>
      </c>
      <c r="AF3405" s="62" t="n">
        <v>0</v>
      </c>
    </row>
    <row r="3406" customFormat="false" ht="15" hidden="false" customHeight="false" outlineLevel="0" collapsed="false">
      <c r="A3406" s="62" t="n">
        <v>3405</v>
      </c>
      <c r="B3406" s="63" t="n">
        <v>46303.2036342593</v>
      </c>
      <c r="C3406" s="64" t="n">
        <v>46302</v>
      </c>
      <c r="D3406" s="62" t="s">
        <v>143</v>
      </c>
      <c r="E3406" s="62" t="s">
        <v>5992</v>
      </c>
      <c r="F3406" s="62" t="s">
        <v>5992</v>
      </c>
      <c r="G3406" s="62" t="s">
        <v>5993</v>
      </c>
      <c r="H3406" s="62" t="s">
        <v>55</v>
      </c>
      <c r="I3406" s="62" t="s">
        <v>49</v>
      </c>
      <c r="J3406" s="62" t="s">
        <v>3708</v>
      </c>
      <c r="K3406" s="62" t="s">
        <v>209</v>
      </c>
      <c r="L3406" s="62" t="s">
        <v>148</v>
      </c>
      <c r="M3406" s="62" t="n">
        <v>0</v>
      </c>
      <c r="N3406" s="62" t="n">
        <v>1</v>
      </c>
      <c r="O3406" s="62" t="n">
        <v>1</v>
      </c>
      <c r="P3406" s="62" t="n">
        <v>0</v>
      </c>
      <c r="Q3406" s="62" t="n">
        <v>0</v>
      </c>
      <c r="R3406" s="62" t="n">
        <v>0</v>
      </c>
      <c r="S3406" s="62" t="n">
        <v>0</v>
      </c>
      <c r="T3406" s="62" t="n">
        <v>1</v>
      </c>
      <c r="U3406" s="62"/>
      <c r="V3406" s="62"/>
      <c r="W3406" s="62"/>
      <c r="X3406" s="62"/>
      <c r="Y3406" s="62"/>
      <c r="Z3406" s="62" t="s">
        <v>6220</v>
      </c>
      <c r="AA3406" s="62" t="s">
        <v>6225</v>
      </c>
      <c r="AB3406" s="62" t="n">
        <v>1</v>
      </c>
      <c r="AC3406" s="62" t="n">
        <v>0</v>
      </c>
      <c r="AD3406" s="62" t="n">
        <v>1</v>
      </c>
      <c r="AE3406" s="62" t="n">
        <f aca="false">IF(AND(Dashboard!$C$9="Yes",AC3406=1),0,1)</f>
        <v>1</v>
      </c>
      <c r="AF3406" s="62" t="n">
        <v>0</v>
      </c>
    </row>
    <row r="3407" customFormat="false" ht="15" hidden="false" customHeight="false" outlineLevel="0" collapsed="false">
      <c r="A3407" s="62" t="n">
        <v>3406</v>
      </c>
      <c r="B3407" s="63" t="n">
        <v>46303.2148842593</v>
      </c>
      <c r="C3407" s="64" t="n">
        <v>46302</v>
      </c>
      <c r="D3407" s="62" t="s">
        <v>143</v>
      </c>
      <c r="E3407" s="62" t="s">
        <v>4370</v>
      </c>
      <c r="F3407" s="62" t="s">
        <v>4370</v>
      </c>
      <c r="G3407" s="62" t="s">
        <v>4371</v>
      </c>
      <c r="H3407" s="62" t="s">
        <v>51</v>
      </c>
      <c r="I3407" s="62" t="s">
        <v>47</v>
      </c>
      <c r="J3407" s="62" t="s">
        <v>146</v>
      </c>
      <c r="K3407" s="62" t="s">
        <v>147</v>
      </c>
      <c r="L3407" s="62" t="s">
        <v>4</v>
      </c>
      <c r="M3407" s="62" t="n">
        <v>1</v>
      </c>
      <c r="N3407" s="62" t="n">
        <v>0</v>
      </c>
      <c r="O3407" s="62" t="n">
        <v>1</v>
      </c>
      <c r="P3407" s="62" t="n">
        <v>0</v>
      </c>
      <c r="Q3407" s="62" t="n">
        <v>0</v>
      </c>
      <c r="R3407" s="62" t="n">
        <v>0</v>
      </c>
      <c r="S3407" s="62" t="n">
        <v>0</v>
      </c>
      <c r="T3407" s="62" t="n">
        <v>0</v>
      </c>
      <c r="U3407" s="62" t="s">
        <v>2056</v>
      </c>
      <c r="V3407" s="62" t="s">
        <v>2057</v>
      </c>
      <c r="W3407" s="62" t="s">
        <v>15</v>
      </c>
      <c r="X3407" s="62" t="s">
        <v>2058</v>
      </c>
      <c r="Y3407" s="62" t="s">
        <v>2059</v>
      </c>
      <c r="Z3407" s="62" t="s">
        <v>6226</v>
      </c>
      <c r="AA3407" s="62" t="s">
        <v>6227</v>
      </c>
      <c r="AB3407" s="62" t="n">
        <v>1</v>
      </c>
      <c r="AC3407" s="62" t="n">
        <v>0</v>
      </c>
      <c r="AD3407" s="62" t="n">
        <v>1</v>
      </c>
      <c r="AE3407" s="62" t="n">
        <f aca="false">IF(AND(Dashboard!$C$9="Yes",AC3407=1),0,1)</f>
        <v>1</v>
      </c>
      <c r="AF3407" s="62" t="n">
        <v>1</v>
      </c>
    </row>
    <row r="3408" customFormat="false" ht="15" hidden="false" customHeight="false" outlineLevel="0" collapsed="false">
      <c r="A3408" s="62" t="n">
        <v>3407</v>
      </c>
      <c r="B3408" s="63" t="n">
        <v>46303.220150463</v>
      </c>
      <c r="C3408" s="64" t="n">
        <v>46302</v>
      </c>
      <c r="D3408" s="62" t="s">
        <v>143</v>
      </c>
      <c r="E3408" s="62" t="s">
        <v>3148</v>
      </c>
      <c r="F3408" s="62" t="s">
        <v>3148</v>
      </c>
      <c r="G3408" s="62" t="s">
        <v>3149</v>
      </c>
      <c r="H3408" s="62" t="s">
        <v>46</v>
      </c>
      <c r="I3408" s="62" t="s">
        <v>47</v>
      </c>
      <c r="J3408" s="62" t="s">
        <v>146</v>
      </c>
      <c r="K3408" s="62" t="s">
        <v>209</v>
      </c>
      <c r="L3408" s="62" t="s">
        <v>148</v>
      </c>
      <c r="M3408" s="62" t="n">
        <v>0</v>
      </c>
      <c r="N3408" s="62" t="n">
        <v>1</v>
      </c>
      <c r="O3408" s="62" t="n">
        <v>1</v>
      </c>
      <c r="P3408" s="62" t="n">
        <v>0</v>
      </c>
      <c r="Q3408" s="62" t="n">
        <v>1</v>
      </c>
      <c r="R3408" s="62" t="n">
        <v>0</v>
      </c>
      <c r="S3408" s="62" t="n">
        <v>0</v>
      </c>
      <c r="T3408" s="62" t="n">
        <v>0</v>
      </c>
      <c r="U3408" s="62"/>
      <c r="V3408" s="62"/>
      <c r="W3408" s="62"/>
      <c r="X3408" s="62"/>
      <c r="Y3408" s="62"/>
      <c r="Z3408" s="62" t="s">
        <v>6228</v>
      </c>
      <c r="AA3408" s="62" t="s">
        <v>6229</v>
      </c>
      <c r="AB3408" s="62" t="n">
        <v>1</v>
      </c>
      <c r="AC3408" s="62" t="n">
        <v>0</v>
      </c>
      <c r="AD3408" s="62" t="n">
        <v>1</v>
      </c>
      <c r="AE3408" s="62" t="n">
        <f aca="false">IF(AND(Dashboard!$C$9="Yes",AC3408=1),0,1)</f>
        <v>1</v>
      </c>
      <c r="AF3408" s="62" t="n">
        <v>1</v>
      </c>
    </row>
    <row r="3409" customFormat="false" ht="15" hidden="false" customHeight="false" outlineLevel="0" collapsed="false">
      <c r="A3409" s="62" t="n">
        <v>3408</v>
      </c>
      <c r="B3409" s="63" t="n">
        <v>46303.2550231482</v>
      </c>
      <c r="C3409" s="64" t="n">
        <v>46302</v>
      </c>
      <c r="D3409" s="62" t="s">
        <v>143</v>
      </c>
      <c r="E3409" s="62" t="s">
        <v>4821</v>
      </c>
      <c r="F3409" s="62" t="s">
        <v>4821</v>
      </c>
      <c r="G3409" s="62" t="s">
        <v>4822</v>
      </c>
      <c r="H3409" s="62" t="s">
        <v>52</v>
      </c>
      <c r="I3409" s="62" t="s">
        <v>47</v>
      </c>
      <c r="J3409" s="62" t="s">
        <v>146</v>
      </c>
      <c r="K3409" s="62" t="s">
        <v>147</v>
      </c>
      <c r="L3409" s="62" t="s">
        <v>4</v>
      </c>
      <c r="M3409" s="62" t="n">
        <v>2</v>
      </c>
      <c r="N3409" s="62" t="n">
        <v>0</v>
      </c>
      <c r="O3409" s="62" t="n">
        <v>2</v>
      </c>
      <c r="P3409" s="62" t="n">
        <v>0</v>
      </c>
      <c r="Q3409" s="62" t="n">
        <v>0</v>
      </c>
      <c r="R3409" s="62" t="n">
        <v>0</v>
      </c>
      <c r="S3409" s="62" t="n">
        <v>0</v>
      </c>
      <c r="T3409" s="62" t="n">
        <v>0</v>
      </c>
      <c r="U3409" s="62" t="s">
        <v>2056</v>
      </c>
      <c r="V3409" s="62" t="s">
        <v>2057</v>
      </c>
      <c r="W3409" s="62" t="s">
        <v>2056</v>
      </c>
      <c r="X3409" s="62" t="s">
        <v>2058</v>
      </c>
      <c r="Y3409" s="62" t="s">
        <v>2399</v>
      </c>
      <c r="Z3409" s="62" t="s">
        <v>6230</v>
      </c>
      <c r="AA3409" s="62" t="s">
        <v>6231</v>
      </c>
      <c r="AB3409" s="62" t="n">
        <v>0</v>
      </c>
      <c r="AC3409" s="62" t="n">
        <v>0</v>
      </c>
      <c r="AD3409" s="62" t="n">
        <v>1</v>
      </c>
      <c r="AE3409" s="62" t="n">
        <f aca="false">IF(AND(Dashboard!$C$9="Yes",AC3409=1),0,1)</f>
        <v>1</v>
      </c>
      <c r="AF3409" s="62" t="n">
        <v>0</v>
      </c>
    </row>
    <row r="3410" customFormat="false" ht="15" hidden="false" customHeight="false" outlineLevel="0" collapsed="false">
      <c r="A3410" s="62" t="n">
        <v>3409</v>
      </c>
      <c r="B3410" s="63" t="n">
        <v>46303.2570486111</v>
      </c>
      <c r="C3410" s="64" t="n">
        <v>46302</v>
      </c>
      <c r="D3410" s="62" t="s">
        <v>143</v>
      </c>
      <c r="E3410" s="62" t="s">
        <v>5979</v>
      </c>
      <c r="F3410" s="62" t="s">
        <v>5979</v>
      </c>
      <c r="G3410" s="62" t="s">
        <v>5980</v>
      </c>
      <c r="H3410" s="62" t="s">
        <v>50</v>
      </c>
      <c r="I3410" s="62" t="s">
        <v>49</v>
      </c>
      <c r="J3410" s="62" t="s">
        <v>3708</v>
      </c>
      <c r="K3410" s="62" t="s">
        <v>209</v>
      </c>
      <c r="L3410" s="62" t="s">
        <v>148</v>
      </c>
      <c r="M3410" s="62" t="n">
        <v>0</v>
      </c>
      <c r="N3410" s="62" t="n">
        <v>1</v>
      </c>
      <c r="O3410" s="62" t="n">
        <v>1</v>
      </c>
      <c r="P3410" s="62" t="n">
        <v>1</v>
      </c>
      <c r="Q3410" s="62" t="n">
        <v>0</v>
      </c>
      <c r="R3410" s="62" t="n">
        <v>0</v>
      </c>
      <c r="S3410" s="62" t="n">
        <v>0</v>
      </c>
      <c r="T3410" s="62" t="n">
        <v>0</v>
      </c>
      <c r="U3410" s="62"/>
      <c r="V3410" s="62"/>
      <c r="W3410" s="62"/>
      <c r="X3410" s="62"/>
      <c r="Y3410" s="62"/>
      <c r="Z3410" s="62" t="s">
        <v>6232</v>
      </c>
      <c r="AA3410" s="62" t="s">
        <v>6233</v>
      </c>
      <c r="AB3410" s="62" t="n">
        <v>1</v>
      </c>
      <c r="AC3410" s="62" t="n">
        <v>0</v>
      </c>
      <c r="AD3410" s="62" t="n">
        <v>1</v>
      </c>
      <c r="AE3410" s="62" t="n">
        <f aca="false">IF(AND(Dashboard!$C$9="Yes",AC3410=1),0,1)</f>
        <v>1</v>
      </c>
      <c r="AF3410" s="62" t="n">
        <v>0</v>
      </c>
    </row>
    <row r="3411" customFormat="false" ht="15" hidden="false" customHeight="false" outlineLevel="0" collapsed="false">
      <c r="A3411" s="62" t="n">
        <v>3410</v>
      </c>
      <c r="B3411" s="63" t="n">
        <v>46303.2896875</v>
      </c>
      <c r="C3411" s="64" t="n">
        <v>46302</v>
      </c>
      <c r="D3411" s="62" t="s">
        <v>143</v>
      </c>
      <c r="E3411" s="62" t="s">
        <v>967</v>
      </c>
      <c r="F3411" s="62" t="s">
        <v>967</v>
      </c>
      <c r="G3411" s="62" t="s">
        <v>968</v>
      </c>
      <c r="H3411" s="62" t="s">
        <v>46</v>
      </c>
      <c r="I3411" s="62" t="s">
        <v>47</v>
      </c>
      <c r="J3411" s="62" t="s">
        <v>146</v>
      </c>
      <c r="K3411" s="62" t="s">
        <v>209</v>
      </c>
      <c r="L3411" s="62" t="s">
        <v>148</v>
      </c>
      <c r="M3411" s="62" t="n">
        <v>0</v>
      </c>
      <c r="N3411" s="62" t="n">
        <v>1</v>
      </c>
      <c r="O3411" s="62" t="n">
        <v>1</v>
      </c>
      <c r="P3411" s="62" t="n">
        <v>1</v>
      </c>
      <c r="Q3411" s="62" t="n">
        <v>0</v>
      </c>
      <c r="R3411" s="62" t="n">
        <v>0</v>
      </c>
      <c r="S3411" s="62" t="n">
        <v>0</v>
      </c>
      <c r="T3411" s="62" t="n">
        <v>0</v>
      </c>
      <c r="U3411" s="62"/>
      <c r="V3411" s="62"/>
      <c r="W3411" s="62"/>
      <c r="X3411" s="62"/>
      <c r="Y3411" s="62"/>
      <c r="Z3411" s="62" t="s">
        <v>6234</v>
      </c>
      <c r="AA3411" s="62" t="s">
        <v>6235</v>
      </c>
      <c r="AB3411" s="62" t="n">
        <v>1</v>
      </c>
      <c r="AC3411" s="62" t="n">
        <v>0</v>
      </c>
      <c r="AD3411" s="62" t="n">
        <v>1</v>
      </c>
      <c r="AE3411" s="62" t="n">
        <f aca="false">IF(AND(Dashboard!$C$9="Yes",AC3411=1),0,1)</f>
        <v>1</v>
      </c>
      <c r="AF3411" s="62" t="n">
        <v>0</v>
      </c>
    </row>
    <row r="3412" customFormat="false" ht="15" hidden="false" customHeight="false" outlineLevel="0" collapsed="false">
      <c r="A3412" s="62" t="n">
        <v>3411</v>
      </c>
      <c r="B3412" s="63" t="n">
        <v>46303.2925347222</v>
      </c>
      <c r="C3412" s="64" t="n">
        <v>46302</v>
      </c>
      <c r="D3412" s="62" t="s">
        <v>143</v>
      </c>
      <c r="E3412" s="62" t="s">
        <v>2365</v>
      </c>
      <c r="F3412" s="62" t="s">
        <v>2365</v>
      </c>
      <c r="G3412" s="62" t="s">
        <v>2366</v>
      </c>
      <c r="H3412" s="62" t="s">
        <v>52</v>
      </c>
      <c r="I3412" s="62" t="s">
        <v>47</v>
      </c>
      <c r="J3412" s="62" t="s">
        <v>146</v>
      </c>
      <c r="K3412" s="62" t="s">
        <v>147</v>
      </c>
      <c r="L3412" s="62" t="s">
        <v>4</v>
      </c>
      <c r="M3412" s="62" t="n">
        <v>1</v>
      </c>
      <c r="N3412" s="62" t="n">
        <v>0</v>
      </c>
      <c r="O3412" s="62" t="n">
        <v>1</v>
      </c>
      <c r="P3412" s="62" t="n">
        <v>0</v>
      </c>
      <c r="Q3412" s="62" t="n">
        <v>0</v>
      </c>
      <c r="R3412" s="62" t="n">
        <v>0</v>
      </c>
      <c r="S3412" s="62" t="n">
        <v>0</v>
      </c>
      <c r="T3412" s="62" t="n">
        <v>0</v>
      </c>
      <c r="U3412" s="62" t="s">
        <v>15</v>
      </c>
      <c r="V3412" s="62" t="s">
        <v>2057</v>
      </c>
      <c r="W3412" s="62" t="s">
        <v>15</v>
      </c>
      <c r="X3412" s="62" t="s">
        <v>2058</v>
      </c>
      <c r="Y3412" s="62" t="s">
        <v>2399</v>
      </c>
      <c r="Z3412" s="62" t="s">
        <v>6236</v>
      </c>
      <c r="AA3412" s="62" t="s">
        <v>6237</v>
      </c>
      <c r="AB3412" s="62" t="n">
        <v>1</v>
      </c>
      <c r="AC3412" s="62" t="n">
        <v>0</v>
      </c>
      <c r="AD3412" s="62" t="n">
        <v>1</v>
      </c>
      <c r="AE3412" s="62" t="n">
        <f aca="false">IF(AND(Dashboard!$C$9="Yes",AC3412=1),0,1)</f>
        <v>1</v>
      </c>
      <c r="AF3412" s="62" t="n">
        <v>1</v>
      </c>
    </row>
    <row r="3413" customFormat="false" ht="15" hidden="false" customHeight="false" outlineLevel="0" collapsed="false">
      <c r="A3413" s="62" t="n">
        <v>3412</v>
      </c>
      <c r="B3413" s="63" t="n">
        <v>46303.3167361111</v>
      </c>
      <c r="C3413" s="64" t="n">
        <v>46302</v>
      </c>
      <c r="D3413" s="62" t="s">
        <v>143</v>
      </c>
      <c r="E3413" s="62" t="s">
        <v>967</v>
      </c>
      <c r="F3413" s="62" t="s">
        <v>967</v>
      </c>
      <c r="G3413" s="62" t="s">
        <v>968</v>
      </c>
      <c r="H3413" s="62" t="s">
        <v>46</v>
      </c>
      <c r="I3413" s="62" t="s">
        <v>47</v>
      </c>
      <c r="J3413" s="62" t="s">
        <v>146</v>
      </c>
      <c r="K3413" s="62" t="s">
        <v>209</v>
      </c>
      <c r="L3413" s="62" t="s">
        <v>4</v>
      </c>
      <c r="M3413" s="62" t="n">
        <v>1</v>
      </c>
      <c r="N3413" s="62" t="n">
        <v>0</v>
      </c>
      <c r="O3413" s="62" t="n">
        <v>1</v>
      </c>
      <c r="P3413" s="62" t="n">
        <v>0</v>
      </c>
      <c r="Q3413" s="62" t="n">
        <v>0</v>
      </c>
      <c r="R3413" s="62" t="n">
        <v>0</v>
      </c>
      <c r="S3413" s="62" t="n">
        <v>0</v>
      </c>
      <c r="T3413" s="62" t="n">
        <v>0</v>
      </c>
      <c r="U3413" s="62" t="s">
        <v>2056</v>
      </c>
      <c r="V3413" s="62" t="s">
        <v>2057</v>
      </c>
      <c r="W3413" s="62" t="s">
        <v>2056</v>
      </c>
      <c r="X3413" s="62" t="s">
        <v>2164</v>
      </c>
      <c r="Y3413" s="62" t="s">
        <v>2165</v>
      </c>
      <c r="Z3413" s="62" t="s">
        <v>6234</v>
      </c>
      <c r="AA3413" s="62" t="s">
        <v>6238</v>
      </c>
      <c r="AB3413" s="62" t="n">
        <v>1</v>
      </c>
      <c r="AC3413" s="62" t="n">
        <v>0</v>
      </c>
      <c r="AD3413" s="62" t="n">
        <v>1</v>
      </c>
      <c r="AE3413" s="62" t="n">
        <f aca="false">IF(AND(Dashboard!$C$9="Yes",AC3413=1),0,1)</f>
        <v>1</v>
      </c>
      <c r="AF3413" s="62" t="n">
        <v>0</v>
      </c>
    </row>
    <row r="3414" customFormat="false" ht="15" hidden="false" customHeight="false" outlineLevel="0" collapsed="false">
      <c r="A3414" s="62" t="n">
        <v>3413</v>
      </c>
      <c r="B3414" s="63" t="n">
        <v>46303.6223032407</v>
      </c>
      <c r="C3414" s="64" t="n">
        <v>46303</v>
      </c>
      <c r="D3414" s="62" t="s">
        <v>202</v>
      </c>
      <c r="E3414" s="62" t="s">
        <v>4234</v>
      </c>
      <c r="F3414" s="62" t="s">
        <v>4234</v>
      </c>
      <c r="G3414" s="62" t="s">
        <v>4235</v>
      </c>
      <c r="H3414" s="62" t="s">
        <v>44</v>
      </c>
      <c r="I3414" s="62" t="s">
        <v>49</v>
      </c>
      <c r="J3414" s="62" t="s">
        <v>146</v>
      </c>
      <c r="K3414" s="62" t="s">
        <v>147</v>
      </c>
      <c r="L3414" s="62" t="s">
        <v>148</v>
      </c>
      <c r="M3414" s="62" t="n">
        <v>0</v>
      </c>
      <c r="N3414" s="62" t="n">
        <v>1</v>
      </c>
      <c r="O3414" s="62" t="n">
        <v>1</v>
      </c>
      <c r="P3414" s="62" t="n">
        <v>1</v>
      </c>
      <c r="Q3414" s="62" t="n">
        <v>0</v>
      </c>
      <c r="R3414" s="62" t="n">
        <v>0</v>
      </c>
      <c r="S3414" s="62" t="n">
        <v>0</v>
      </c>
      <c r="T3414" s="62" t="n">
        <v>0</v>
      </c>
      <c r="U3414" s="62"/>
      <c r="V3414" s="62"/>
      <c r="W3414" s="62"/>
      <c r="X3414" s="62"/>
      <c r="Y3414" s="62"/>
      <c r="Z3414" s="62" t="s">
        <v>6239</v>
      </c>
      <c r="AA3414" s="62" t="s">
        <v>6239</v>
      </c>
      <c r="AB3414" s="62" t="n">
        <v>1</v>
      </c>
      <c r="AC3414" s="62" t="n">
        <v>0</v>
      </c>
      <c r="AD3414" s="62" t="n">
        <v>1</v>
      </c>
      <c r="AE3414" s="62" t="n">
        <f aca="false">IF(AND(Dashboard!$C$9="Yes",AC3414=1),0,1)</f>
        <v>1</v>
      </c>
      <c r="AF3414" s="62" t="n">
        <v>1</v>
      </c>
    </row>
    <row r="3415" customFormat="false" ht="15" hidden="false" customHeight="false" outlineLevel="0" collapsed="false">
      <c r="A3415" s="62" t="n">
        <v>3414</v>
      </c>
      <c r="B3415" s="63" t="n">
        <v>46303.6640393519</v>
      </c>
      <c r="C3415" s="64" t="n">
        <v>46303</v>
      </c>
      <c r="D3415" s="62" t="s">
        <v>202</v>
      </c>
      <c r="E3415" s="62" t="s">
        <v>2119</v>
      </c>
      <c r="F3415" s="62" t="s">
        <v>2119</v>
      </c>
      <c r="G3415" s="62" t="s">
        <v>2120</v>
      </c>
      <c r="H3415" s="62" t="s">
        <v>52</v>
      </c>
      <c r="I3415" s="62" t="s">
        <v>47</v>
      </c>
      <c r="J3415" s="62" t="s">
        <v>146</v>
      </c>
      <c r="K3415" s="62" t="s">
        <v>147</v>
      </c>
      <c r="L3415" s="62" t="s">
        <v>148</v>
      </c>
      <c r="M3415" s="62" t="n">
        <v>0</v>
      </c>
      <c r="N3415" s="62" t="n">
        <v>1</v>
      </c>
      <c r="O3415" s="62" t="n">
        <v>1</v>
      </c>
      <c r="P3415" s="62" t="n">
        <v>0</v>
      </c>
      <c r="Q3415" s="62" t="n">
        <v>1</v>
      </c>
      <c r="R3415" s="62" t="n">
        <v>0</v>
      </c>
      <c r="S3415" s="62" t="n">
        <v>0</v>
      </c>
      <c r="T3415" s="62" t="n">
        <v>0</v>
      </c>
      <c r="U3415" s="62"/>
      <c r="V3415" s="62"/>
      <c r="W3415" s="62"/>
      <c r="X3415" s="62"/>
      <c r="Y3415" s="62"/>
      <c r="Z3415" s="62" t="s">
        <v>6240</v>
      </c>
      <c r="AA3415" s="62" t="s">
        <v>6241</v>
      </c>
      <c r="AB3415" s="62" t="n">
        <v>1</v>
      </c>
      <c r="AC3415" s="62" t="n">
        <v>0</v>
      </c>
      <c r="AD3415" s="62" t="n">
        <v>1</v>
      </c>
      <c r="AE3415" s="62" t="n">
        <f aca="false">IF(AND(Dashboard!$C$9="Yes",AC3415=1),0,1)</f>
        <v>1</v>
      </c>
      <c r="AF3415" s="62" t="n">
        <v>1</v>
      </c>
    </row>
    <row r="3416" customFormat="false" ht="15" hidden="false" customHeight="false" outlineLevel="0" collapsed="false">
      <c r="A3416" s="62" t="n">
        <v>3415</v>
      </c>
      <c r="B3416" s="63" t="n">
        <v>46303.6760069444</v>
      </c>
      <c r="C3416" s="64" t="n">
        <v>46303</v>
      </c>
      <c r="D3416" s="62" t="s">
        <v>202</v>
      </c>
      <c r="E3416" s="62" t="s">
        <v>3197</v>
      </c>
      <c r="F3416" s="62" t="s">
        <v>3197</v>
      </c>
      <c r="G3416" s="62" t="s">
        <v>3198</v>
      </c>
      <c r="H3416" s="62" t="s">
        <v>44</v>
      </c>
      <c r="I3416" s="62" t="s">
        <v>49</v>
      </c>
      <c r="J3416" s="62" t="s">
        <v>146</v>
      </c>
      <c r="K3416" s="62" t="s">
        <v>147</v>
      </c>
      <c r="L3416" s="62" t="s">
        <v>4</v>
      </c>
      <c r="M3416" s="62" t="n">
        <v>1</v>
      </c>
      <c r="N3416" s="62" t="n">
        <v>0</v>
      </c>
      <c r="O3416" s="62" t="n">
        <v>1</v>
      </c>
      <c r="P3416" s="62" t="n">
        <v>0</v>
      </c>
      <c r="Q3416" s="62" t="n">
        <v>0</v>
      </c>
      <c r="R3416" s="62" t="n">
        <v>0</v>
      </c>
      <c r="S3416" s="62" t="n">
        <v>0</v>
      </c>
      <c r="T3416" s="62" t="n">
        <v>0</v>
      </c>
      <c r="U3416" s="62" t="s">
        <v>2056</v>
      </c>
      <c r="V3416" s="62" t="s">
        <v>2057</v>
      </c>
      <c r="W3416" s="62" t="s">
        <v>15</v>
      </c>
      <c r="X3416" s="62" t="s">
        <v>2058</v>
      </c>
      <c r="Y3416" s="62" t="s">
        <v>2059</v>
      </c>
      <c r="Z3416" s="62" t="s">
        <v>6242</v>
      </c>
      <c r="AA3416" s="62" t="s">
        <v>6243</v>
      </c>
      <c r="AB3416" s="62" t="n">
        <v>1</v>
      </c>
      <c r="AC3416" s="62" t="n">
        <v>0</v>
      </c>
      <c r="AD3416" s="62" t="n">
        <v>1</v>
      </c>
      <c r="AE3416" s="62" t="n">
        <f aca="false">IF(AND(Dashboard!$C$9="Yes",AC3416=1),0,1)</f>
        <v>1</v>
      </c>
      <c r="AF3416" s="62" t="n">
        <v>1</v>
      </c>
    </row>
    <row r="3417" customFormat="false" ht="15" hidden="false" customHeight="false" outlineLevel="0" collapsed="false">
      <c r="A3417" s="62" t="n">
        <v>3416</v>
      </c>
      <c r="B3417" s="63" t="n">
        <v>46303.6817939815</v>
      </c>
      <c r="C3417" s="64" t="n">
        <v>46303</v>
      </c>
      <c r="D3417" s="62" t="s">
        <v>202</v>
      </c>
      <c r="E3417" s="62" t="s">
        <v>2144</v>
      </c>
      <c r="F3417" s="62" t="s">
        <v>2144</v>
      </c>
      <c r="G3417" s="62" t="s">
        <v>2145</v>
      </c>
      <c r="H3417" s="62" t="s">
        <v>46</v>
      </c>
      <c r="I3417" s="62" t="s">
        <v>47</v>
      </c>
      <c r="J3417" s="62" t="s">
        <v>146</v>
      </c>
      <c r="K3417" s="62" t="s">
        <v>209</v>
      </c>
      <c r="L3417" s="62" t="s">
        <v>148</v>
      </c>
      <c r="M3417" s="62" t="n">
        <v>0</v>
      </c>
      <c r="N3417" s="62" t="n">
        <v>1</v>
      </c>
      <c r="O3417" s="62" t="n">
        <v>1</v>
      </c>
      <c r="P3417" s="62" t="n">
        <v>0</v>
      </c>
      <c r="Q3417" s="62" t="n">
        <v>0</v>
      </c>
      <c r="R3417" s="62" t="n">
        <v>1</v>
      </c>
      <c r="S3417" s="62" t="n">
        <v>0</v>
      </c>
      <c r="T3417" s="62" t="n">
        <v>0</v>
      </c>
      <c r="U3417" s="62"/>
      <c r="V3417" s="62"/>
      <c r="W3417" s="62"/>
      <c r="X3417" s="62"/>
      <c r="Y3417" s="62"/>
      <c r="Z3417" s="62" t="s">
        <v>6244</v>
      </c>
      <c r="AA3417" s="62" t="s">
        <v>237</v>
      </c>
      <c r="AB3417" s="62" t="n">
        <v>0</v>
      </c>
      <c r="AC3417" s="62" t="n">
        <v>0</v>
      </c>
      <c r="AD3417" s="62" t="n">
        <v>1</v>
      </c>
      <c r="AE3417" s="62" t="n">
        <f aca="false">IF(AND(Dashboard!$C$9="Yes",AC3417=1),0,1)</f>
        <v>1</v>
      </c>
      <c r="AF3417" s="62" t="n">
        <v>1</v>
      </c>
    </row>
    <row r="3418" customFormat="false" ht="15" hidden="false" customHeight="false" outlineLevel="0" collapsed="false">
      <c r="A3418" s="62" t="n">
        <v>3417</v>
      </c>
      <c r="B3418" s="63" t="n">
        <v>46303.7007291667</v>
      </c>
      <c r="C3418" s="64" t="n">
        <v>46303</v>
      </c>
      <c r="D3418" s="62" t="s">
        <v>202</v>
      </c>
      <c r="E3418" s="62" t="s">
        <v>2943</v>
      </c>
      <c r="F3418" s="62" t="s">
        <v>2943</v>
      </c>
      <c r="G3418" s="62" t="s">
        <v>2944</v>
      </c>
      <c r="H3418" s="62" t="s">
        <v>48</v>
      </c>
      <c r="I3418" s="62" t="s">
        <v>49</v>
      </c>
      <c r="J3418" s="62" t="s">
        <v>146</v>
      </c>
      <c r="K3418" s="62" t="s">
        <v>209</v>
      </c>
      <c r="L3418" s="62" t="s">
        <v>148</v>
      </c>
      <c r="M3418" s="62" t="n">
        <v>0</v>
      </c>
      <c r="N3418" s="62" t="n">
        <v>1</v>
      </c>
      <c r="O3418" s="62" t="n">
        <v>1</v>
      </c>
      <c r="P3418" s="62" t="n">
        <v>1</v>
      </c>
      <c r="Q3418" s="62" t="n">
        <v>0</v>
      </c>
      <c r="R3418" s="62" t="n">
        <v>0</v>
      </c>
      <c r="S3418" s="62" t="n">
        <v>0</v>
      </c>
      <c r="T3418" s="62" t="n">
        <v>0</v>
      </c>
      <c r="U3418" s="62"/>
      <c r="V3418" s="62"/>
      <c r="W3418" s="62"/>
      <c r="X3418" s="62"/>
      <c r="Y3418" s="62"/>
      <c r="Z3418" s="62" t="s">
        <v>6245</v>
      </c>
      <c r="AA3418" s="62" t="s">
        <v>6246</v>
      </c>
      <c r="AB3418" s="62" t="n">
        <v>1</v>
      </c>
      <c r="AC3418" s="62" t="n">
        <v>0</v>
      </c>
      <c r="AD3418" s="62" t="n">
        <v>1</v>
      </c>
      <c r="AE3418" s="62" t="n">
        <f aca="false">IF(AND(Dashboard!$C$9="Yes",AC3418=1),0,1)</f>
        <v>1</v>
      </c>
      <c r="AF3418" s="62" t="n">
        <v>1</v>
      </c>
    </row>
    <row r="3419" customFormat="false" ht="15" hidden="false" customHeight="false" outlineLevel="0" collapsed="false">
      <c r="A3419" s="62" t="n">
        <v>3418</v>
      </c>
      <c r="B3419" s="63" t="n">
        <v>46303.7027662037</v>
      </c>
      <c r="C3419" s="64" t="n">
        <v>46303</v>
      </c>
      <c r="D3419" s="62" t="s">
        <v>202</v>
      </c>
      <c r="E3419" s="62" t="s">
        <v>6247</v>
      </c>
      <c r="F3419" s="62" t="s">
        <v>6248</v>
      </c>
      <c r="G3419" s="62" t="s">
        <v>153</v>
      </c>
      <c r="H3419" s="62" t="s">
        <v>153</v>
      </c>
      <c r="I3419" s="62" t="s">
        <v>153</v>
      </c>
      <c r="J3419" s="62" t="s">
        <v>64</v>
      </c>
      <c r="K3419" s="62" t="s">
        <v>64</v>
      </c>
      <c r="L3419" s="62" t="s">
        <v>148</v>
      </c>
      <c r="M3419" s="62" t="n">
        <v>0</v>
      </c>
      <c r="N3419" s="62" t="n">
        <v>1</v>
      </c>
      <c r="O3419" s="62" t="n">
        <v>1</v>
      </c>
      <c r="P3419" s="62" t="n">
        <v>0</v>
      </c>
      <c r="Q3419" s="62" t="n">
        <v>1</v>
      </c>
      <c r="R3419" s="62" t="n">
        <v>0</v>
      </c>
      <c r="S3419" s="62" t="n">
        <v>0</v>
      </c>
      <c r="T3419" s="62" t="n">
        <v>0</v>
      </c>
      <c r="U3419" s="62"/>
      <c r="V3419" s="62"/>
      <c r="W3419" s="62"/>
      <c r="X3419" s="62"/>
      <c r="Y3419" s="62"/>
      <c r="Z3419" s="62" t="s">
        <v>6249</v>
      </c>
      <c r="AA3419" s="62" t="s">
        <v>6250</v>
      </c>
      <c r="AB3419" s="62" t="n">
        <v>1</v>
      </c>
      <c r="AC3419" s="62" t="n">
        <v>0</v>
      </c>
      <c r="AD3419" s="62" t="n">
        <v>0</v>
      </c>
      <c r="AE3419" s="62" t="n">
        <f aca="false">IF(AND(Dashboard!$C$9="Yes",AC3419=1),0,1)</f>
        <v>1</v>
      </c>
      <c r="AF3419" s="62" t="n">
        <v>1</v>
      </c>
    </row>
    <row r="3420" customFormat="false" ht="15" hidden="false" customHeight="false" outlineLevel="0" collapsed="false">
      <c r="A3420" s="62" t="n">
        <v>3419</v>
      </c>
      <c r="B3420" s="63" t="n">
        <v>46303.7128356482</v>
      </c>
      <c r="C3420" s="64" t="n">
        <v>46303</v>
      </c>
      <c r="D3420" s="62" t="s">
        <v>202</v>
      </c>
      <c r="E3420" s="62" t="s">
        <v>4524</v>
      </c>
      <c r="F3420" s="62" t="s">
        <v>4524</v>
      </c>
      <c r="G3420" s="62" t="s">
        <v>4525</v>
      </c>
      <c r="H3420" s="62" t="s">
        <v>44</v>
      </c>
      <c r="I3420" s="62" t="s">
        <v>49</v>
      </c>
      <c r="J3420" s="62" t="s">
        <v>146</v>
      </c>
      <c r="K3420" s="62" t="s">
        <v>147</v>
      </c>
      <c r="L3420" s="62" t="s">
        <v>148</v>
      </c>
      <c r="M3420" s="62" t="n">
        <v>0</v>
      </c>
      <c r="N3420" s="62" t="n">
        <v>1</v>
      </c>
      <c r="O3420" s="62" t="n">
        <v>1</v>
      </c>
      <c r="P3420" s="62" t="n">
        <v>0</v>
      </c>
      <c r="Q3420" s="62" t="n">
        <v>1</v>
      </c>
      <c r="R3420" s="62" t="n">
        <v>0</v>
      </c>
      <c r="S3420" s="62" t="n">
        <v>0</v>
      </c>
      <c r="T3420" s="62" t="n">
        <v>0</v>
      </c>
      <c r="U3420" s="62"/>
      <c r="V3420" s="62"/>
      <c r="W3420" s="62"/>
      <c r="X3420" s="62"/>
      <c r="Y3420" s="62"/>
      <c r="Z3420" s="62" t="s">
        <v>6251</v>
      </c>
      <c r="AA3420" s="62" t="s">
        <v>6252</v>
      </c>
      <c r="AB3420" s="62" t="n">
        <v>1</v>
      </c>
      <c r="AC3420" s="62" t="n">
        <v>0</v>
      </c>
      <c r="AD3420" s="62" t="n">
        <v>1</v>
      </c>
      <c r="AE3420" s="62" t="n">
        <f aca="false">IF(AND(Dashboard!$C$9="Yes",AC3420=1),0,1)</f>
        <v>1</v>
      </c>
      <c r="AF3420" s="62" t="n">
        <v>1</v>
      </c>
    </row>
    <row r="3421" customFormat="false" ht="15" hidden="false" customHeight="false" outlineLevel="0" collapsed="false">
      <c r="A3421" s="62" t="n">
        <v>3420</v>
      </c>
      <c r="B3421" s="63" t="n">
        <v>46303.7219444444</v>
      </c>
      <c r="C3421" s="64" t="n">
        <v>46303</v>
      </c>
      <c r="D3421" s="62" t="s">
        <v>202</v>
      </c>
      <c r="E3421" s="62" t="s">
        <v>1344</v>
      </c>
      <c r="F3421" s="62" t="s">
        <v>1344</v>
      </c>
      <c r="G3421" s="62" t="s">
        <v>1345</v>
      </c>
      <c r="H3421" s="62" t="s">
        <v>48</v>
      </c>
      <c r="I3421" s="62" t="s">
        <v>49</v>
      </c>
      <c r="J3421" s="62" t="s">
        <v>146</v>
      </c>
      <c r="K3421" s="62" t="s">
        <v>209</v>
      </c>
      <c r="L3421" s="62" t="s">
        <v>148</v>
      </c>
      <c r="M3421" s="62" t="n">
        <v>0</v>
      </c>
      <c r="N3421" s="62" t="n">
        <v>1</v>
      </c>
      <c r="O3421" s="62" t="n">
        <v>1</v>
      </c>
      <c r="P3421" s="62" t="n">
        <v>1</v>
      </c>
      <c r="Q3421" s="62" t="n">
        <v>0</v>
      </c>
      <c r="R3421" s="62" t="n">
        <v>0</v>
      </c>
      <c r="S3421" s="62" t="n">
        <v>0</v>
      </c>
      <c r="T3421" s="62" t="n">
        <v>0</v>
      </c>
      <c r="U3421" s="62"/>
      <c r="V3421" s="62"/>
      <c r="W3421" s="62"/>
      <c r="X3421" s="62"/>
      <c r="Y3421" s="62"/>
      <c r="Z3421" s="62" t="s">
        <v>6253</v>
      </c>
      <c r="AA3421" s="62" t="s">
        <v>6254</v>
      </c>
      <c r="AB3421" s="62" t="n">
        <v>1</v>
      </c>
      <c r="AC3421" s="62" t="n">
        <v>0</v>
      </c>
      <c r="AD3421" s="62" t="n">
        <v>1</v>
      </c>
      <c r="AE3421" s="62" t="n">
        <f aca="false">IF(AND(Dashboard!$C$9="Yes",AC3421=1),0,1)</f>
        <v>1</v>
      </c>
      <c r="AF3421" s="62" t="n">
        <v>1</v>
      </c>
    </row>
    <row r="3422" customFormat="false" ht="15" hidden="false" customHeight="false" outlineLevel="0" collapsed="false">
      <c r="A3422" s="62" t="n">
        <v>3421</v>
      </c>
      <c r="B3422" s="63" t="n">
        <v>46303.7221412037</v>
      </c>
      <c r="C3422" s="64" t="n">
        <v>46303</v>
      </c>
      <c r="D3422" s="62" t="s">
        <v>202</v>
      </c>
      <c r="E3422" s="62" t="s">
        <v>4506</v>
      </c>
      <c r="F3422" s="62" t="s">
        <v>4506</v>
      </c>
      <c r="G3422" s="62" t="s">
        <v>4507</v>
      </c>
      <c r="H3422" s="62" t="s">
        <v>44</v>
      </c>
      <c r="I3422" s="62" t="s">
        <v>49</v>
      </c>
      <c r="J3422" s="62" t="s">
        <v>146</v>
      </c>
      <c r="K3422" s="62" t="s">
        <v>147</v>
      </c>
      <c r="L3422" s="62" t="s">
        <v>4</v>
      </c>
      <c r="M3422" s="62" t="n">
        <v>2</v>
      </c>
      <c r="N3422" s="62" t="n">
        <v>0</v>
      </c>
      <c r="O3422" s="62" t="n">
        <v>2</v>
      </c>
      <c r="P3422" s="62" t="n">
        <v>0</v>
      </c>
      <c r="Q3422" s="62" t="n">
        <v>0</v>
      </c>
      <c r="R3422" s="62" t="n">
        <v>0</v>
      </c>
      <c r="S3422" s="62" t="n">
        <v>0</v>
      </c>
      <c r="T3422" s="62" t="n">
        <v>0</v>
      </c>
      <c r="U3422" s="62" t="s">
        <v>2056</v>
      </c>
      <c r="V3422" s="62" t="s">
        <v>2057</v>
      </c>
      <c r="W3422" s="62" t="s">
        <v>15</v>
      </c>
      <c r="X3422" s="62" t="s">
        <v>2103</v>
      </c>
      <c r="Y3422" s="62" t="s">
        <v>2181</v>
      </c>
      <c r="Z3422" s="62" t="s">
        <v>6255</v>
      </c>
      <c r="AA3422" s="62" t="s">
        <v>6256</v>
      </c>
      <c r="AB3422" s="62" t="n">
        <v>1</v>
      </c>
      <c r="AC3422" s="62" t="n">
        <v>0</v>
      </c>
      <c r="AD3422" s="62" t="n">
        <v>1</v>
      </c>
      <c r="AE3422" s="62" t="n">
        <f aca="false">IF(AND(Dashboard!$C$9="Yes",AC3422=1),0,1)</f>
        <v>1</v>
      </c>
      <c r="AF3422" s="62" t="n">
        <v>1</v>
      </c>
    </row>
    <row r="3423" customFormat="false" ht="15" hidden="false" customHeight="false" outlineLevel="0" collapsed="false">
      <c r="A3423" s="62" t="n">
        <v>3422</v>
      </c>
      <c r="B3423" s="63" t="n">
        <v>46303.7246064815</v>
      </c>
      <c r="C3423" s="64" t="n">
        <v>46303</v>
      </c>
      <c r="D3423" s="62" t="s">
        <v>202</v>
      </c>
      <c r="E3423" s="62" t="s">
        <v>255</v>
      </c>
      <c r="F3423" s="62" t="s">
        <v>255</v>
      </c>
      <c r="G3423" s="62" t="s">
        <v>256</v>
      </c>
      <c r="H3423" s="62" t="s">
        <v>57</v>
      </c>
      <c r="I3423" s="62" t="s">
        <v>47</v>
      </c>
      <c r="J3423" s="62" t="s">
        <v>146</v>
      </c>
      <c r="K3423" s="62" t="s">
        <v>147</v>
      </c>
      <c r="L3423" s="62" t="s">
        <v>148</v>
      </c>
      <c r="M3423" s="62" t="n">
        <v>0</v>
      </c>
      <c r="N3423" s="62" t="n">
        <v>1</v>
      </c>
      <c r="O3423" s="62" t="n">
        <v>1</v>
      </c>
      <c r="P3423" s="62" t="n">
        <v>0</v>
      </c>
      <c r="Q3423" s="62" t="n">
        <v>0</v>
      </c>
      <c r="R3423" s="62" t="n">
        <v>1</v>
      </c>
      <c r="S3423" s="62" t="n">
        <v>0</v>
      </c>
      <c r="T3423" s="62" t="n">
        <v>0</v>
      </c>
      <c r="U3423" s="62"/>
      <c r="V3423" s="62"/>
      <c r="W3423" s="62"/>
      <c r="X3423" s="62"/>
      <c r="Y3423" s="62"/>
      <c r="Z3423" s="62" t="s">
        <v>6257</v>
      </c>
      <c r="AA3423" s="62" t="s">
        <v>6258</v>
      </c>
      <c r="AB3423" s="62" t="n">
        <v>1</v>
      </c>
      <c r="AC3423" s="62" t="n">
        <v>0</v>
      </c>
      <c r="AD3423" s="62" t="n">
        <v>1</v>
      </c>
      <c r="AE3423" s="62" t="n">
        <f aca="false">IF(AND(Dashboard!$C$9="Yes",AC3423=1),0,1)</f>
        <v>1</v>
      </c>
      <c r="AF3423" s="62" t="n">
        <v>1</v>
      </c>
    </row>
    <row r="3424" customFormat="false" ht="15" hidden="false" customHeight="false" outlineLevel="0" collapsed="false">
      <c r="A3424" s="62" t="n">
        <v>3423</v>
      </c>
      <c r="B3424" s="63" t="n">
        <v>46303.7268865741</v>
      </c>
      <c r="C3424" s="64" t="n">
        <v>46303</v>
      </c>
      <c r="D3424" s="62" t="s">
        <v>202</v>
      </c>
      <c r="E3424" s="62" t="s">
        <v>6140</v>
      </c>
      <c r="F3424" s="62" t="s">
        <v>6141</v>
      </c>
      <c r="G3424" s="62" t="s">
        <v>153</v>
      </c>
      <c r="H3424" s="62" t="s">
        <v>153</v>
      </c>
      <c r="I3424" s="62" t="s">
        <v>153</v>
      </c>
      <c r="J3424" s="62" t="s">
        <v>64</v>
      </c>
      <c r="K3424" s="62" t="s">
        <v>64</v>
      </c>
      <c r="L3424" s="62" t="s">
        <v>148</v>
      </c>
      <c r="M3424" s="62" t="n">
        <v>0</v>
      </c>
      <c r="N3424" s="62" t="n">
        <v>1</v>
      </c>
      <c r="O3424" s="62" t="n">
        <v>1</v>
      </c>
      <c r="P3424" s="62" t="n">
        <v>1</v>
      </c>
      <c r="Q3424" s="62" t="n">
        <v>0</v>
      </c>
      <c r="R3424" s="62" t="n">
        <v>0</v>
      </c>
      <c r="S3424" s="62" t="n">
        <v>0</v>
      </c>
      <c r="T3424" s="62" t="n">
        <v>0</v>
      </c>
      <c r="U3424" s="62"/>
      <c r="V3424" s="62"/>
      <c r="W3424" s="62"/>
      <c r="X3424" s="62"/>
      <c r="Y3424" s="62"/>
      <c r="Z3424" s="62" t="s">
        <v>6259</v>
      </c>
      <c r="AA3424" s="62" t="s">
        <v>287</v>
      </c>
      <c r="AB3424" s="62" t="n">
        <v>0</v>
      </c>
      <c r="AC3424" s="62" t="n">
        <v>0</v>
      </c>
      <c r="AD3424" s="62" t="n">
        <v>0</v>
      </c>
      <c r="AE3424" s="62" t="n">
        <f aca="false">IF(AND(Dashboard!$C$9="Yes",AC3424=1),0,1)</f>
        <v>1</v>
      </c>
      <c r="AF3424" s="62" t="n">
        <v>1</v>
      </c>
    </row>
    <row r="3425" customFormat="false" ht="15" hidden="false" customHeight="false" outlineLevel="0" collapsed="false">
      <c r="A3425" s="62" t="n">
        <v>3424</v>
      </c>
      <c r="B3425" s="63" t="n">
        <v>46303.7299189815</v>
      </c>
      <c r="C3425" s="64" t="n">
        <v>46303</v>
      </c>
      <c r="D3425" s="62" t="s">
        <v>202</v>
      </c>
      <c r="E3425" s="62" t="s">
        <v>312</v>
      </c>
      <c r="F3425" s="62" t="s">
        <v>312</v>
      </c>
      <c r="G3425" s="62" t="s">
        <v>313</v>
      </c>
      <c r="H3425" s="62" t="s">
        <v>51</v>
      </c>
      <c r="I3425" s="62" t="s">
        <v>47</v>
      </c>
      <c r="J3425" s="62" t="s">
        <v>146</v>
      </c>
      <c r="K3425" s="62" t="s">
        <v>147</v>
      </c>
      <c r="L3425" s="62" t="s">
        <v>148</v>
      </c>
      <c r="M3425" s="62" t="n">
        <v>0</v>
      </c>
      <c r="N3425" s="62" t="n">
        <v>1</v>
      </c>
      <c r="O3425" s="62" t="n">
        <v>1</v>
      </c>
      <c r="P3425" s="62" t="n">
        <v>0</v>
      </c>
      <c r="Q3425" s="62" t="n">
        <v>0</v>
      </c>
      <c r="R3425" s="62" t="n">
        <v>1</v>
      </c>
      <c r="S3425" s="62" t="n">
        <v>0</v>
      </c>
      <c r="T3425" s="62" t="n">
        <v>0</v>
      </c>
      <c r="U3425" s="62"/>
      <c r="V3425" s="62"/>
      <c r="W3425" s="62"/>
      <c r="X3425" s="62"/>
      <c r="Y3425" s="62"/>
      <c r="Z3425" s="62" t="s">
        <v>6260</v>
      </c>
      <c r="AA3425" s="62" t="s">
        <v>2236</v>
      </c>
      <c r="AB3425" s="62" t="n">
        <v>0</v>
      </c>
      <c r="AC3425" s="62" t="n">
        <v>0</v>
      </c>
      <c r="AD3425" s="62" t="n">
        <v>1</v>
      </c>
      <c r="AE3425" s="62" t="n">
        <f aca="false">IF(AND(Dashboard!$C$9="Yes",AC3425=1),0,1)</f>
        <v>1</v>
      </c>
      <c r="AF3425" s="62" t="n">
        <v>1</v>
      </c>
    </row>
    <row r="3426" customFormat="false" ht="15" hidden="false" customHeight="false" outlineLevel="0" collapsed="false">
      <c r="A3426" s="62" t="n">
        <v>3425</v>
      </c>
      <c r="B3426" s="63" t="n">
        <v>46303.7340856482</v>
      </c>
      <c r="C3426" s="64" t="n">
        <v>46303</v>
      </c>
      <c r="D3426" s="62" t="s">
        <v>202</v>
      </c>
      <c r="E3426" s="62" t="s">
        <v>6261</v>
      </c>
      <c r="F3426" s="62" t="s">
        <v>6262</v>
      </c>
      <c r="G3426" s="62" t="s">
        <v>153</v>
      </c>
      <c r="H3426" s="62" t="s">
        <v>153</v>
      </c>
      <c r="I3426" s="62" t="s">
        <v>153</v>
      </c>
      <c r="J3426" s="62" t="s">
        <v>64</v>
      </c>
      <c r="K3426" s="62" t="s">
        <v>64</v>
      </c>
      <c r="L3426" s="62" t="s">
        <v>148</v>
      </c>
      <c r="M3426" s="62" t="n">
        <v>0</v>
      </c>
      <c r="N3426" s="62" t="n">
        <v>1</v>
      </c>
      <c r="O3426" s="62" t="n">
        <v>1</v>
      </c>
      <c r="P3426" s="62" t="n">
        <v>0</v>
      </c>
      <c r="Q3426" s="62" t="n">
        <v>1</v>
      </c>
      <c r="R3426" s="62" t="n">
        <v>0</v>
      </c>
      <c r="S3426" s="62" t="n">
        <v>0</v>
      </c>
      <c r="T3426" s="62" t="n">
        <v>0</v>
      </c>
      <c r="U3426" s="62"/>
      <c r="V3426" s="62"/>
      <c r="W3426" s="62"/>
      <c r="X3426" s="62"/>
      <c r="Y3426" s="62"/>
      <c r="Z3426" s="62" t="s">
        <v>6263</v>
      </c>
      <c r="AA3426" s="62" t="s">
        <v>6264</v>
      </c>
      <c r="AB3426" s="62" t="n">
        <v>1</v>
      </c>
      <c r="AC3426" s="62" t="n">
        <v>0</v>
      </c>
      <c r="AD3426" s="62" t="n">
        <v>0</v>
      </c>
      <c r="AE3426" s="62" t="n">
        <f aca="false">IF(AND(Dashboard!$C$9="Yes",AC3426=1),0,1)</f>
        <v>1</v>
      </c>
      <c r="AF3426" s="62" t="n">
        <v>1</v>
      </c>
    </row>
    <row r="3427" customFormat="false" ht="15" hidden="false" customHeight="false" outlineLevel="0" collapsed="false">
      <c r="A3427" s="62" t="n">
        <v>3426</v>
      </c>
      <c r="B3427" s="63" t="n">
        <v>46303.7475</v>
      </c>
      <c r="C3427" s="64" t="n">
        <v>46303</v>
      </c>
      <c r="D3427" s="62" t="s">
        <v>202</v>
      </c>
      <c r="E3427" s="62" t="s">
        <v>6134</v>
      </c>
      <c r="F3427" s="62" t="s">
        <v>6135</v>
      </c>
      <c r="G3427" s="62" t="s">
        <v>153</v>
      </c>
      <c r="H3427" s="62" t="s">
        <v>153</v>
      </c>
      <c r="I3427" s="62" t="s">
        <v>153</v>
      </c>
      <c r="J3427" s="62" t="s">
        <v>64</v>
      </c>
      <c r="K3427" s="62" t="s">
        <v>64</v>
      </c>
      <c r="L3427" s="62" t="s">
        <v>148</v>
      </c>
      <c r="M3427" s="62" t="n">
        <v>0</v>
      </c>
      <c r="N3427" s="62" t="n">
        <v>2</v>
      </c>
      <c r="O3427" s="62" t="n">
        <v>2</v>
      </c>
      <c r="P3427" s="62" t="n">
        <v>1</v>
      </c>
      <c r="Q3427" s="62" t="n">
        <v>1</v>
      </c>
      <c r="R3427" s="62" t="n">
        <v>0</v>
      </c>
      <c r="S3427" s="62" t="n">
        <v>0</v>
      </c>
      <c r="T3427" s="62" t="n">
        <v>0</v>
      </c>
      <c r="U3427" s="62"/>
      <c r="V3427" s="62"/>
      <c r="W3427" s="62"/>
      <c r="X3427" s="62"/>
      <c r="Y3427" s="62"/>
      <c r="Z3427" s="62" t="s">
        <v>6265</v>
      </c>
      <c r="AA3427" s="62" t="s">
        <v>6266</v>
      </c>
      <c r="AB3427" s="62" t="n">
        <v>1</v>
      </c>
      <c r="AC3427" s="62" t="n">
        <v>0</v>
      </c>
      <c r="AD3427" s="62" t="n">
        <v>0</v>
      </c>
      <c r="AE3427" s="62" t="n">
        <f aca="false">IF(AND(Dashboard!$C$9="Yes",AC3427=1),0,1)</f>
        <v>1</v>
      </c>
      <c r="AF3427" s="62" t="n">
        <v>1</v>
      </c>
    </row>
    <row r="3428" customFormat="false" ht="15" hidden="false" customHeight="false" outlineLevel="0" collapsed="false">
      <c r="A3428" s="62" t="n">
        <v>3427</v>
      </c>
      <c r="B3428" s="63" t="n">
        <v>46303.7598032407</v>
      </c>
      <c r="C3428" s="64" t="n">
        <v>46303</v>
      </c>
      <c r="D3428" s="62" t="s">
        <v>202</v>
      </c>
      <c r="E3428" s="62" t="s">
        <v>1571</v>
      </c>
      <c r="F3428" s="62" t="s">
        <v>1571</v>
      </c>
      <c r="G3428" s="62" t="s">
        <v>1572</v>
      </c>
      <c r="H3428" s="62" t="s">
        <v>52</v>
      </c>
      <c r="I3428" s="62" t="s">
        <v>47</v>
      </c>
      <c r="J3428" s="62" t="s">
        <v>146</v>
      </c>
      <c r="K3428" s="62" t="s">
        <v>209</v>
      </c>
      <c r="L3428" s="62" t="s">
        <v>148</v>
      </c>
      <c r="M3428" s="62" t="n">
        <v>0</v>
      </c>
      <c r="N3428" s="62" t="n">
        <v>2</v>
      </c>
      <c r="O3428" s="62" t="n">
        <v>2</v>
      </c>
      <c r="P3428" s="62" t="n">
        <v>1</v>
      </c>
      <c r="Q3428" s="62" t="n">
        <v>1</v>
      </c>
      <c r="R3428" s="62" t="n">
        <v>0</v>
      </c>
      <c r="S3428" s="62" t="n">
        <v>0</v>
      </c>
      <c r="T3428" s="62" t="n">
        <v>0</v>
      </c>
      <c r="U3428" s="62"/>
      <c r="V3428" s="62"/>
      <c r="W3428" s="62"/>
      <c r="X3428" s="62"/>
      <c r="Y3428" s="62"/>
      <c r="Z3428" s="62" t="s">
        <v>6267</v>
      </c>
      <c r="AA3428" s="62" t="s">
        <v>6268</v>
      </c>
      <c r="AB3428" s="62" t="n">
        <v>1</v>
      </c>
      <c r="AC3428" s="62" t="n">
        <v>0</v>
      </c>
      <c r="AD3428" s="62" t="n">
        <v>1</v>
      </c>
      <c r="AE3428" s="62" t="n">
        <f aca="false">IF(AND(Dashboard!$C$9="Yes",AC3428=1),0,1)</f>
        <v>1</v>
      </c>
      <c r="AF3428" s="62" t="n">
        <v>1</v>
      </c>
    </row>
    <row r="3429" customFormat="false" ht="15" hidden="false" customHeight="false" outlineLevel="0" collapsed="false">
      <c r="A3429" s="62" t="n">
        <v>3428</v>
      </c>
      <c r="B3429" s="63" t="n">
        <v>46303.7661805556</v>
      </c>
      <c r="C3429" s="64" t="n">
        <v>46303</v>
      </c>
      <c r="D3429" s="62" t="s">
        <v>202</v>
      </c>
      <c r="E3429" s="62" t="s">
        <v>4242</v>
      </c>
      <c r="F3429" s="62" t="s">
        <v>4242</v>
      </c>
      <c r="G3429" s="62" t="s">
        <v>4243</v>
      </c>
      <c r="H3429" s="62" t="s">
        <v>44</v>
      </c>
      <c r="I3429" s="62" t="s">
        <v>49</v>
      </c>
      <c r="J3429" s="62" t="s">
        <v>146</v>
      </c>
      <c r="K3429" s="62" t="s">
        <v>147</v>
      </c>
      <c r="L3429" s="62" t="s">
        <v>148</v>
      </c>
      <c r="M3429" s="62" t="n">
        <v>0</v>
      </c>
      <c r="N3429" s="62" t="n">
        <v>1</v>
      </c>
      <c r="O3429" s="62" t="n">
        <v>1</v>
      </c>
      <c r="P3429" s="62" t="n">
        <v>1</v>
      </c>
      <c r="Q3429" s="62" t="n">
        <v>0</v>
      </c>
      <c r="R3429" s="62" t="n">
        <v>0</v>
      </c>
      <c r="S3429" s="62" t="n">
        <v>0</v>
      </c>
      <c r="T3429" s="62" t="n">
        <v>0</v>
      </c>
      <c r="U3429" s="62"/>
      <c r="V3429" s="62"/>
      <c r="W3429" s="62"/>
      <c r="X3429" s="62"/>
      <c r="Y3429" s="62"/>
      <c r="Z3429" s="62" t="s">
        <v>6269</v>
      </c>
      <c r="AA3429" s="62" t="s">
        <v>6270</v>
      </c>
      <c r="AB3429" s="62" t="n">
        <v>1</v>
      </c>
      <c r="AC3429" s="62" t="n">
        <v>0</v>
      </c>
      <c r="AD3429" s="62" t="n">
        <v>1</v>
      </c>
      <c r="AE3429" s="62" t="n">
        <f aca="false">IF(AND(Dashboard!$C$9="Yes",AC3429=1),0,1)</f>
        <v>1</v>
      </c>
      <c r="AF3429" s="62" t="n">
        <v>1</v>
      </c>
    </row>
    <row r="3430" customFormat="false" ht="15" hidden="false" customHeight="false" outlineLevel="0" collapsed="false">
      <c r="A3430" s="62" t="n">
        <v>3429</v>
      </c>
      <c r="B3430" s="63" t="n">
        <v>46303.78</v>
      </c>
      <c r="C3430" s="64" t="n">
        <v>46303</v>
      </c>
      <c r="D3430" s="62" t="s">
        <v>202</v>
      </c>
      <c r="E3430" s="62" t="s">
        <v>3874</v>
      </c>
      <c r="F3430" s="62" t="s">
        <v>3874</v>
      </c>
      <c r="G3430" s="62" t="s">
        <v>3875</v>
      </c>
      <c r="H3430" s="62" t="s">
        <v>59</v>
      </c>
      <c r="I3430" s="62" t="s">
        <v>47</v>
      </c>
      <c r="J3430" s="62" t="s">
        <v>146</v>
      </c>
      <c r="K3430" s="62" t="s">
        <v>209</v>
      </c>
      <c r="L3430" s="62" t="s">
        <v>148</v>
      </c>
      <c r="M3430" s="62" t="n">
        <v>0</v>
      </c>
      <c r="N3430" s="62" t="n">
        <v>1</v>
      </c>
      <c r="O3430" s="62" t="n">
        <v>1</v>
      </c>
      <c r="P3430" s="62" t="n">
        <v>0</v>
      </c>
      <c r="Q3430" s="62" t="n">
        <v>1</v>
      </c>
      <c r="R3430" s="62" t="n">
        <v>0</v>
      </c>
      <c r="S3430" s="62" t="n">
        <v>0</v>
      </c>
      <c r="T3430" s="62" t="n">
        <v>0</v>
      </c>
      <c r="U3430" s="62"/>
      <c r="V3430" s="62"/>
      <c r="W3430" s="62"/>
      <c r="X3430" s="62"/>
      <c r="Y3430" s="62"/>
      <c r="Z3430" s="62" t="s">
        <v>6271</v>
      </c>
      <c r="AA3430" s="62" t="s">
        <v>6272</v>
      </c>
      <c r="AB3430" s="62" t="n">
        <v>1</v>
      </c>
      <c r="AC3430" s="62" t="n">
        <v>0</v>
      </c>
      <c r="AD3430" s="62" t="n">
        <v>1</v>
      </c>
      <c r="AE3430" s="62" t="n">
        <f aca="false">IF(AND(Dashboard!$C$9="Yes",AC3430=1),0,1)</f>
        <v>1</v>
      </c>
      <c r="AF3430" s="62" t="n">
        <v>1</v>
      </c>
    </row>
    <row r="3431" customFormat="false" ht="15" hidden="false" customHeight="false" outlineLevel="0" collapsed="false">
      <c r="A3431" s="62" t="n">
        <v>3430</v>
      </c>
      <c r="B3431" s="63" t="n">
        <v>46303.789224537</v>
      </c>
      <c r="C3431" s="64" t="n">
        <v>46303</v>
      </c>
      <c r="D3431" s="62" t="s">
        <v>202</v>
      </c>
      <c r="E3431" s="62" t="s">
        <v>6273</v>
      </c>
      <c r="F3431" s="62" t="s">
        <v>6273</v>
      </c>
      <c r="G3431" s="62" t="s">
        <v>6274</v>
      </c>
      <c r="H3431" s="62" t="s">
        <v>54</v>
      </c>
      <c r="I3431" s="62" t="s">
        <v>49</v>
      </c>
      <c r="J3431" s="62" t="s">
        <v>3708</v>
      </c>
      <c r="K3431" s="62" t="s">
        <v>209</v>
      </c>
      <c r="L3431" s="62" t="s">
        <v>4</v>
      </c>
      <c r="M3431" s="62" t="n">
        <v>1</v>
      </c>
      <c r="N3431" s="62" t="n">
        <v>0</v>
      </c>
      <c r="O3431" s="62" t="n">
        <v>1</v>
      </c>
      <c r="P3431" s="62" t="n">
        <v>0</v>
      </c>
      <c r="Q3431" s="62" t="n">
        <v>0</v>
      </c>
      <c r="R3431" s="62" t="n">
        <v>0</v>
      </c>
      <c r="S3431" s="62" t="n">
        <v>0</v>
      </c>
      <c r="T3431" s="62" t="n">
        <v>0</v>
      </c>
      <c r="U3431" s="62" t="s">
        <v>2056</v>
      </c>
      <c r="V3431" s="62" t="s">
        <v>2057</v>
      </c>
      <c r="W3431" s="62" t="s">
        <v>15</v>
      </c>
      <c r="X3431" s="62" t="s">
        <v>2058</v>
      </c>
      <c r="Y3431" s="62" t="s">
        <v>2059</v>
      </c>
      <c r="Z3431" s="62" t="s">
        <v>6275</v>
      </c>
      <c r="AA3431" s="62" t="s">
        <v>6276</v>
      </c>
      <c r="AB3431" s="62" t="n">
        <v>1</v>
      </c>
      <c r="AC3431" s="62" t="n">
        <v>0</v>
      </c>
      <c r="AD3431" s="62" t="n">
        <v>1</v>
      </c>
      <c r="AE3431" s="62" t="n">
        <f aca="false">IF(AND(Dashboard!$C$9="Yes",AC3431=1),0,1)</f>
        <v>1</v>
      </c>
      <c r="AF3431" s="62" t="n">
        <v>1</v>
      </c>
    </row>
    <row r="3432" customFormat="false" ht="15" hidden="false" customHeight="false" outlineLevel="0" collapsed="false">
      <c r="A3432" s="62" t="n">
        <v>3431</v>
      </c>
      <c r="B3432" s="63" t="n">
        <v>46303.7913194444</v>
      </c>
      <c r="C3432" s="64" t="n">
        <v>46303</v>
      </c>
      <c r="D3432" s="62" t="s">
        <v>202</v>
      </c>
      <c r="E3432" s="62" t="s">
        <v>255</v>
      </c>
      <c r="F3432" s="62" t="s">
        <v>255</v>
      </c>
      <c r="G3432" s="62" t="s">
        <v>256</v>
      </c>
      <c r="H3432" s="62" t="s">
        <v>57</v>
      </c>
      <c r="I3432" s="62" t="s">
        <v>47</v>
      </c>
      <c r="J3432" s="62" t="s">
        <v>146</v>
      </c>
      <c r="K3432" s="62" t="s">
        <v>147</v>
      </c>
      <c r="L3432" s="62" t="s">
        <v>148</v>
      </c>
      <c r="M3432" s="62" t="n">
        <v>0</v>
      </c>
      <c r="N3432" s="62" t="n">
        <v>3</v>
      </c>
      <c r="O3432" s="62" t="n">
        <v>3</v>
      </c>
      <c r="P3432" s="62" t="n">
        <v>0</v>
      </c>
      <c r="Q3432" s="62" t="n">
        <v>0</v>
      </c>
      <c r="R3432" s="62" t="n">
        <v>0</v>
      </c>
      <c r="S3432" s="62" t="n">
        <v>1</v>
      </c>
      <c r="T3432" s="62" t="n">
        <v>1</v>
      </c>
      <c r="U3432" s="62"/>
      <c r="V3432" s="62"/>
      <c r="W3432" s="62"/>
      <c r="X3432" s="62"/>
      <c r="Y3432" s="62"/>
      <c r="Z3432" s="62" t="s">
        <v>6277</v>
      </c>
      <c r="AA3432" s="62" t="s">
        <v>6277</v>
      </c>
      <c r="AB3432" s="62" t="n">
        <v>1</v>
      </c>
      <c r="AC3432" s="62" t="n">
        <v>0</v>
      </c>
      <c r="AD3432" s="62" t="n">
        <v>1</v>
      </c>
      <c r="AE3432" s="62" t="n">
        <f aca="false">IF(AND(Dashboard!$C$9="Yes",AC3432=1),0,1)</f>
        <v>1</v>
      </c>
      <c r="AF3432" s="62" t="n">
        <v>0</v>
      </c>
    </row>
    <row r="3433" customFormat="false" ht="15" hidden="false" customHeight="false" outlineLevel="0" collapsed="false">
      <c r="A3433" s="62" t="n">
        <v>3432</v>
      </c>
      <c r="B3433" s="63" t="n">
        <v>46303.7943171296</v>
      </c>
      <c r="C3433" s="64" t="n">
        <v>46303</v>
      </c>
      <c r="D3433" s="62" t="s">
        <v>202</v>
      </c>
      <c r="E3433" s="62" t="s">
        <v>4258</v>
      </c>
      <c r="F3433" s="62" t="s">
        <v>4258</v>
      </c>
      <c r="G3433" s="62" t="s">
        <v>4259</v>
      </c>
      <c r="H3433" s="62" t="s">
        <v>44</v>
      </c>
      <c r="I3433" s="62" t="s">
        <v>49</v>
      </c>
      <c r="J3433" s="62" t="s">
        <v>146</v>
      </c>
      <c r="K3433" s="62" t="s">
        <v>147</v>
      </c>
      <c r="L3433" s="62" t="s">
        <v>148</v>
      </c>
      <c r="M3433" s="62" t="n">
        <v>0</v>
      </c>
      <c r="N3433" s="62" t="n">
        <v>1</v>
      </c>
      <c r="O3433" s="62" t="n">
        <v>1</v>
      </c>
      <c r="P3433" s="62" t="n">
        <v>0</v>
      </c>
      <c r="Q3433" s="62" t="n">
        <v>0</v>
      </c>
      <c r="R3433" s="62" t="n">
        <v>1</v>
      </c>
      <c r="S3433" s="62" t="n">
        <v>0</v>
      </c>
      <c r="T3433" s="62" t="n">
        <v>0</v>
      </c>
      <c r="U3433" s="62"/>
      <c r="V3433" s="62"/>
      <c r="W3433" s="62"/>
      <c r="X3433" s="62"/>
      <c r="Y3433" s="62"/>
      <c r="Z3433" s="62" t="s">
        <v>6278</v>
      </c>
      <c r="AA3433" s="62" t="s">
        <v>6279</v>
      </c>
      <c r="AB3433" s="62" t="n">
        <v>1</v>
      </c>
      <c r="AC3433" s="62" t="n">
        <v>0</v>
      </c>
      <c r="AD3433" s="62" t="n">
        <v>1</v>
      </c>
      <c r="AE3433" s="62" t="n">
        <f aca="false">IF(AND(Dashboard!$C$9="Yes",AC3433=1),0,1)</f>
        <v>1</v>
      </c>
      <c r="AF3433" s="62" t="n">
        <v>1</v>
      </c>
    </row>
    <row r="3434" customFormat="false" ht="15" hidden="false" customHeight="false" outlineLevel="0" collapsed="false">
      <c r="A3434" s="62" t="n">
        <v>3433</v>
      </c>
      <c r="B3434" s="63" t="n">
        <v>46303.7952777778</v>
      </c>
      <c r="C3434" s="64" t="n">
        <v>46303</v>
      </c>
      <c r="D3434" s="62" t="s">
        <v>202</v>
      </c>
      <c r="E3434" s="62" t="s">
        <v>4649</v>
      </c>
      <c r="F3434" s="62" t="s">
        <v>4649</v>
      </c>
      <c r="G3434" s="62" t="s">
        <v>4650</v>
      </c>
      <c r="H3434" s="62" t="s">
        <v>51</v>
      </c>
      <c r="I3434" s="62" t="s">
        <v>47</v>
      </c>
      <c r="J3434" s="62" t="s">
        <v>146</v>
      </c>
      <c r="K3434" s="62" t="s">
        <v>175</v>
      </c>
      <c r="L3434" s="62" t="s">
        <v>4</v>
      </c>
      <c r="M3434" s="62" t="n">
        <v>1</v>
      </c>
      <c r="N3434" s="62" t="n">
        <v>0</v>
      </c>
      <c r="O3434" s="62" t="n">
        <v>1</v>
      </c>
      <c r="P3434" s="62" t="n">
        <v>0</v>
      </c>
      <c r="Q3434" s="62" t="n">
        <v>0</v>
      </c>
      <c r="R3434" s="62" t="n">
        <v>0</v>
      </c>
      <c r="S3434" s="62" t="n">
        <v>0</v>
      </c>
      <c r="T3434" s="62" t="n">
        <v>0</v>
      </c>
      <c r="U3434" s="62" t="s">
        <v>2056</v>
      </c>
      <c r="V3434" s="62" t="s">
        <v>2057</v>
      </c>
      <c r="W3434" s="62" t="s">
        <v>15</v>
      </c>
      <c r="X3434" s="62" t="s">
        <v>2253</v>
      </c>
      <c r="Y3434" s="62" t="s">
        <v>2059</v>
      </c>
      <c r="Z3434" s="62" t="s">
        <v>6280</v>
      </c>
      <c r="AA3434" s="62" t="s">
        <v>6281</v>
      </c>
      <c r="AB3434" s="62" t="n">
        <v>1</v>
      </c>
      <c r="AC3434" s="62" t="n">
        <v>0</v>
      </c>
      <c r="AD3434" s="62" t="n">
        <v>1</v>
      </c>
      <c r="AE3434" s="62" t="n">
        <f aca="false">IF(AND(Dashboard!$C$9="Yes",AC3434=1),0,1)</f>
        <v>1</v>
      </c>
      <c r="AF3434" s="62" t="n">
        <v>1</v>
      </c>
    </row>
    <row r="3435" customFormat="false" ht="15" hidden="false" customHeight="false" outlineLevel="0" collapsed="false">
      <c r="A3435" s="62" t="n">
        <v>3434</v>
      </c>
      <c r="B3435" s="63" t="n">
        <v>46303.7978472222</v>
      </c>
      <c r="C3435" s="64" t="n">
        <v>46303</v>
      </c>
      <c r="D3435" s="62" t="s">
        <v>202</v>
      </c>
      <c r="E3435" s="62" t="s">
        <v>3061</v>
      </c>
      <c r="F3435" s="62" t="s">
        <v>3061</v>
      </c>
      <c r="G3435" s="62" t="s">
        <v>3062</v>
      </c>
      <c r="H3435" s="62" t="s">
        <v>44</v>
      </c>
      <c r="I3435" s="62" t="s">
        <v>49</v>
      </c>
      <c r="J3435" s="62" t="s">
        <v>146</v>
      </c>
      <c r="K3435" s="62" t="s">
        <v>147</v>
      </c>
      <c r="L3435" s="62" t="s">
        <v>148</v>
      </c>
      <c r="M3435" s="62" t="n">
        <v>0</v>
      </c>
      <c r="N3435" s="62" t="n">
        <v>2</v>
      </c>
      <c r="O3435" s="62" t="n">
        <v>2</v>
      </c>
      <c r="P3435" s="62" t="n">
        <v>1</v>
      </c>
      <c r="Q3435" s="62" t="n">
        <v>1</v>
      </c>
      <c r="R3435" s="62" t="n">
        <v>0</v>
      </c>
      <c r="S3435" s="62" t="n">
        <v>0</v>
      </c>
      <c r="T3435" s="62" t="n">
        <v>0</v>
      </c>
      <c r="U3435" s="62"/>
      <c r="V3435" s="62"/>
      <c r="W3435" s="62"/>
      <c r="X3435" s="62"/>
      <c r="Y3435" s="62"/>
      <c r="Z3435" s="62" t="s">
        <v>6282</v>
      </c>
      <c r="AA3435" s="62" t="s">
        <v>6282</v>
      </c>
      <c r="AB3435" s="62" t="n">
        <v>1</v>
      </c>
      <c r="AC3435" s="62" t="n">
        <v>0</v>
      </c>
      <c r="AD3435" s="62" t="n">
        <v>1</v>
      </c>
      <c r="AE3435" s="62" t="n">
        <f aca="false">IF(AND(Dashboard!$C$9="Yes",AC3435=1),0,1)</f>
        <v>1</v>
      </c>
      <c r="AF3435" s="62" t="n">
        <v>1</v>
      </c>
    </row>
    <row r="3436" customFormat="false" ht="15" hidden="false" customHeight="false" outlineLevel="0" collapsed="false">
      <c r="A3436" s="62" t="n">
        <v>3435</v>
      </c>
      <c r="B3436" s="63" t="n">
        <v>46303.8023726852</v>
      </c>
      <c r="C3436" s="64" t="n">
        <v>46303</v>
      </c>
      <c r="D3436" s="62" t="s">
        <v>202</v>
      </c>
      <c r="E3436" s="62" t="s">
        <v>6273</v>
      </c>
      <c r="F3436" s="62" t="s">
        <v>6273</v>
      </c>
      <c r="G3436" s="62" t="s">
        <v>6274</v>
      </c>
      <c r="H3436" s="62" t="s">
        <v>54</v>
      </c>
      <c r="I3436" s="62" t="s">
        <v>49</v>
      </c>
      <c r="J3436" s="62" t="s">
        <v>3708</v>
      </c>
      <c r="K3436" s="62" t="s">
        <v>209</v>
      </c>
      <c r="L3436" s="62" t="s">
        <v>4</v>
      </c>
      <c r="M3436" s="62" t="n">
        <v>1</v>
      </c>
      <c r="N3436" s="62" t="n">
        <v>0</v>
      </c>
      <c r="O3436" s="62" t="n">
        <v>1</v>
      </c>
      <c r="P3436" s="62" t="n">
        <v>0</v>
      </c>
      <c r="Q3436" s="62" t="n">
        <v>0</v>
      </c>
      <c r="R3436" s="62" t="n">
        <v>0</v>
      </c>
      <c r="S3436" s="62" t="n">
        <v>0</v>
      </c>
      <c r="T3436" s="62" t="n">
        <v>0</v>
      </c>
      <c r="U3436" s="62" t="s">
        <v>2056</v>
      </c>
      <c r="V3436" s="62" t="s">
        <v>2057</v>
      </c>
      <c r="W3436" s="62" t="s">
        <v>2056</v>
      </c>
      <c r="X3436" s="62" t="s">
        <v>2164</v>
      </c>
      <c r="Y3436" s="62" t="s">
        <v>2165</v>
      </c>
      <c r="Z3436" s="62" t="s">
        <v>6275</v>
      </c>
      <c r="AA3436" s="62" t="s">
        <v>6283</v>
      </c>
      <c r="AB3436" s="62" t="n">
        <v>1</v>
      </c>
      <c r="AC3436" s="62" t="n">
        <v>0</v>
      </c>
      <c r="AD3436" s="62" t="n">
        <v>1</v>
      </c>
      <c r="AE3436" s="62" t="n">
        <f aca="false">IF(AND(Dashboard!$C$9="Yes",AC3436=1),0,1)</f>
        <v>1</v>
      </c>
      <c r="AF3436" s="62" t="n">
        <v>0</v>
      </c>
    </row>
    <row r="3437" customFormat="false" ht="15" hidden="false" customHeight="false" outlineLevel="0" collapsed="false">
      <c r="A3437" s="62" t="n">
        <v>3436</v>
      </c>
      <c r="B3437" s="63" t="n">
        <v>46303.8105439815</v>
      </c>
      <c r="C3437" s="64" t="n">
        <v>46303</v>
      </c>
      <c r="D3437" s="62" t="s">
        <v>202</v>
      </c>
      <c r="E3437" s="62" t="s">
        <v>255</v>
      </c>
      <c r="F3437" s="62" t="s">
        <v>255</v>
      </c>
      <c r="G3437" s="62" t="s">
        <v>256</v>
      </c>
      <c r="H3437" s="62" t="s">
        <v>57</v>
      </c>
      <c r="I3437" s="62" t="s">
        <v>47</v>
      </c>
      <c r="J3437" s="62" t="s">
        <v>146</v>
      </c>
      <c r="K3437" s="62" t="s">
        <v>147</v>
      </c>
      <c r="L3437" s="62" t="s">
        <v>148</v>
      </c>
      <c r="M3437" s="62" t="n">
        <v>0</v>
      </c>
      <c r="N3437" s="62" t="n">
        <v>1</v>
      </c>
      <c r="O3437" s="62" t="n">
        <v>1</v>
      </c>
      <c r="P3437" s="62" t="n">
        <v>0</v>
      </c>
      <c r="Q3437" s="62" t="n">
        <v>1</v>
      </c>
      <c r="R3437" s="62" t="n">
        <v>0</v>
      </c>
      <c r="S3437" s="62" t="n">
        <v>0</v>
      </c>
      <c r="T3437" s="62" t="n">
        <v>0</v>
      </c>
      <c r="U3437" s="62"/>
      <c r="V3437" s="62"/>
      <c r="W3437" s="62"/>
      <c r="X3437" s="62"/>
      <c r="Y3437" s="62"/>
      <c r="Z3437" s="62" t="s">
        <v>6277</v>
      </c>
      <c r="AA3437" s="62" t="s">
        <v>6284</v>
      </c>
      <c r="AB3437" s="62" t="n">
        <v>1</v>
      </c>
      <c r="AC3437" s="62" t="n">
        <v>0</v>
      </c>
      <c r="AD3437" s="62" t="n">
        <v>1</v>
      </c>
      <c r="AE3437" s="62" t="n">
        <f aca="false">IF(AND(Dashboard!$C$9="Yes",AC3437=1),0,1)</f>
        <v>1</v>
      </c>
      <c r="AF3437" s="62" t="n">
        <v>0</v>
      </c>
    </row>
    <row r="3438" customFormat="false" ht="15" hidden="false" customHeight="false" outlineLevel="0" collapsed="false">
      <c r="A3438" s="62" t="n">
        <v>3437</v>
      </c>
      <c r="B3438" s="63" t="n">
        <v>46303.8166666667</v>
      </c>
      <c r="C3438" s="64" t="n">
        <v>46303</v>
      </c>
      <c r="D3438" s="62" t="s">
        <v>202</v>
      </c>
      <c r="E3438" s="62" t="s">
        <v>5992</v>
      </c>
      <c r="F3438" s="62" t="s">
        <v>5992</v>
      </c>
      <c r="G3438" s="62" t="s">
        <v>5993</v>
      </c>
      <c r="H3438" s="62" t="s">
        <v>55</v>
      </c>
      <c r="I3438" s="62" t="s">
        <v>49</v>
      </c>
      <c r="J3438" s="62" t="s">
        <v>3708</v>
      </c>
      <c r="K3438" s="62" t="s">
        <v>209</v>
      </c>
      <c r="L3438" s="62" t="s">
        <v>148</v>
      </c>
      <c r="M3438" s="62" t="n">
        <v>0</v>
      </c>
      <c r="N3438" s="62" t="n">
        <v>1</v>
      </c>
      <c r="O3438" s="62" t="n">
        <v>1</v>
      </c>
      <c r="P3438" s="62" t="n">
        <v>0</v>
      </c>
      <c r="Q3438" s="62" t="n">
        <v>1</v>
      </c>
      <c r="R3438" s="62" t="n">
        <v>0</v>
      </c>
      <c r="S3438" s="62" t="n">
        <v>0</v>
      </c>
      <c r="T3438" s="62" t="n">
        <v>0</v>
      </c>
      <c r="U3438" s="62"/>
      <c r="V3438" s="62"/>
      <c r="W3438" s="62"/>
      <c r="X3438" s="62"/>
      <c r="Y3438" s="62"/>
      <c r="Z3438" s="62" t="s">
        <v>6285</v>
      </c>
      <c r="AA3438" s="62" t="s">
        <v>6286</v>
      </c>
      <c r="AB3438" s="62" t="n">
        <v>1</v>
      </c>
      <c r="AC3438" s="62" t="n">
        <v>0</v>
      </c>
      <c r="AD3438" s="62" t="n">
        <v>1</v>
      </c>
      <c r="AE3438" s="62" t="n">
        <f aca="false">IF(AND(Dashboard!$C$9="Yes",AC3438=1),0,1)</f>
        <v>1</v>
      </c>
      <c r="AF3438" s="62" t="n">
        <v>1</v>
      </c>
    </row>
    <row r="3439" customFormat="false" ht="15" hidden="false" customHeight="false" outlineLevel="0" collapsed="false">
      <c r="A3439" s="62" t="n">
        <v>3438</v>
      </c>
      <c r="B3439" s="63" t="n">
        <v>46303.8214467593</v>
      </c>
      <c r="C3439" s="64" t="n">
        <v>46303</v>
      </c>
      <c r="D3439" s="62" t="s">
        <v>202</v>
      </c>
      <c r="E3439" s="62" t="s">
        <v>5255</v>
      </c>
      <c r="F3439" s="62" t="s">
        <v>5255</v>
      </c>
      <c r="G3439" s="62" t="s">
        <v>5256</v>
      </c>
      <c r="H3439" s="62" t="s">
        <v>55</v>
      </c>
      <c r="I3439" s="62" t="s">
        <v>49</v>
      </c>
      <c r="J3439" s="62" t="s">
        <v>3708</v>
      </c>
      <c r="K3439" s="62" t="s">
        <v>209</v>
      </c>
      <c r="L3439" s="62" t="s">
        <v>148</v>
      </c>
      <c r="M3439" s="62" t="n">
        <v>0</v>
      </c>
      <c r="N3439" s="62" t="n">
        <v>1</v>
      </c>
      <c r="O3439" s="62" t="n">
        <v>1</v>
      </c>
      <c r="P3439" s="62" t="n">
        <v>1</v>
      </c>
      <c r="Q3439" s="62" t="n">
        <v>0</v>
      </c>
      <c r="R3439" s="62" t="n">
        <v>0</v>
      </c>
      <c r="S3439" s="62" t="n">
        <v>0</v>
      </c>
      <c r="T3439" s="62" t="n">
        <v>0</v>
      </c>
      <c r="U3439" s="62"/>
      <c r="V3439" s="62"/>
      <c r="W3439" s="62"/>
      <c r="X3439" s="62"/>
      <c r="Y3439" s="62"/>
      <c r="Z3439" s="62" t="s">
        <v>6287</v>
      </c>
      <c r="AA3439" s="62" t="s">
        <v>6288</v>
      </c>
      <c r="AB3439" s="62" t="n">
        <v>1</v>
      </c>
      <c r="AC3439" s="62" t="n">
        <v>0</v>
      </c>
      <c r="AD3439" s="62" t="n">
        <v>1</v>
      </c>
      <c r="AE3439" s="62" t="n">
        <f aca="false">IF(AND(Dashboard!$C$9="Yes",AC3439=1),0,1)</f>
        <v>1</v>
      </c>
      <c r="AF3439" s="62" t="n">
        <v>1</v>
      </c>
    </row>
    <row r="3440" customFormat="false" ht="15" hidden="false" customHeight="false" outlineLevel="0" collapsed="false">
      <c r="A3440" s="62" t="n">
        <v>3439</v>
      </c>
      <c r="B3440" s="63" t="n">
        <v>46303.8296527778</v>
      </c>
      <c r="C3440" s="64" t="n">
        <v>46303</v>
      </c>
      <c r="D3440" s="62" t="s">
        <v>202</v>
      </c>
      <c r="E3440" s="62" t="s">
        <v>1344</v>
      </c>
      <c r="F3440" s="62" t="s">
        <v>1344</v>
      </c>
      <c r="G3440" s="62" t="s">
        <v>1345</v>
      </c>
      <c r="H3440" s="62" t="s">
        <v>48</v>
      </c>
      <c r="I3440" s="62" t="s">
        <v>49</v>
      </c>
      <c r="J3440" s="62" t="s">
        <v>146</v>
      </c>
      <c r="K3440" s="62" t="s">
        <v>209</v>
      </c>
      <c r="L3440" s="62" t="s">
        <v>4</v>
      </c>
      <c r="M3440" s="62" t="n">
        <v>1</v>
      </c>
      <c r="N3440" s="62" t="n">
        <v>0</v>
      </c>
      <c r="O3440" s="62" t="n">
        <v>1</v>
      </c>
      <c r="P3440" s="62" t="n">
        <v>0</v>
      </c>
      <c r="Q3440" s="62" t="n">
        <v>0</v>
      </c>
      <c r="R3440" s="62" t="n">
        <v>0</v>
      </c>
      <c r="S3440" s="62" t="n">
        <v>0</v>
      </c>
      <c r="T3440" s="62" t="n">
        <v>0</v>
      </c>
      <c r="U3440" s="62" t="s">
        <v>2056</v>
      </c>
      <c r="V3440" s="62" t="s">
        <v>2057</v>
      </c>
      <c r="W3440" s="62" t="s">
        <v>2056</v>
      </c>
      <c r="X3440" s="62" t="s">
        <v>3214</v>
      </c>
      <c r="Y3440" s="62" t="s">
        <v>2103</v>
      </c>
      <c r="Z3440" s="62" t="s">
        <v>6289</v>
      </c>
      <c r="AA3440" s="62" t="s">
        <v>6290</v>
      </c>
      <c r="AB3440" s="62" t="n">
        <v>1</v>
      </c>
      <c r="AC3440" s="62" t="n">
        <v>0</v>
      </c>
      <c r="AD3440" s="62" t="n">
        <v>1</v>
      </c>
      <c r="AE3440" s="62" t="n">
        <f aca="false">IF(AND(Dashboard!$C$9="Yes",AC3440=1),0,1)</f>
        <v>1</v>
      </c>
      <c r="AF3440" s="62" t="n">
        <v>0</v>
      </c>
    </row>
    <row r="3441" customFormat="false" ht="15" hidden="false" customHeight="false" outlineLevel="0" collapsed="false">
      <c r="A3441" s="62" t="n">
        <v>3440</v>
      </c>
      <c r="B3441" s="63" t="n">
        <v>46303.8305902778</v>
      </c>
      <c r="C3441" s="64" t="n">
        <v>46303</v>
      </c>
      <c r="D3441" s="62" t="s">
        <v>202</v>
      </c>
      <c r="E3441" s="62" t="s">
        <v>2071</v>
      </c>
      <c r="F3441" s="62" t="s">
        <v>2071</v>
      </c>
      <c r="G3441" s="62" t="s">
        <v>2072</v>
      </c>
      <c r="H3441" s="62" t="s">
        <v>58</v>
      </c>
      <c r="I3441" s="62" t="s">
        <v>49</v>
      </c>
      <c r="J3441" s="62" t="s">
        <v>146</v>
      </c>
      <c r="K3441" s="62" t="s">
        <v>175</v>
      </c>
      <c r="L3441" s="62" t="s">
        <v>148</v>
      </c>
      <c r="M3441" s="62" t="n">
        <v>0</v>
      </c>
      <c r="N3441" s="62" t="n">
        <v>1</v>
      </c>
      <c r="O3441" s="62" t="n">
        <v>1</v>
      </c>
      <c r="P3441" s="62" t="n">
        <v>1</v>
      </c>
      <c r="Q3441" s="62" t="n">
        <v>0</v>
      </c>
      <c r="R3441" s="62" t="n">
        <v>0</v>
      </c>
      <c r="S3441" s="62" t="n">
        <v>0</v>
      </c>
      <c r="T3441" s="62" t="n">
        <v>0</v>
      </c>
      <c r="U3441" s="62"/>
      <c r="V3441" s="62"/>
      <c r="W3441" s="62"/>
      <c r="X3441" s="62"/>
      <c r="Y3441" s="62"/>
      <c r="Z3441" s="62" t="s">
        <v>6291</v>
      </c>
      <c r="AA3441" s="62" t="s">
        <v>6292</v>
      </c>
      <c r="AB3441" s="62" t="n">
        <v>1</v>
      </c>
      <c r="AC3441" s="62" t="n">
        <v>0</v>
      </c>
      <c r="AD3441" s="62" t="n">
        <v>1</v>
      </c>
      <c r="AE3441" s="62" t="n">
        <f aca="false">IF(AND(Dashboard!$C$9="Yes",AC3441=1),0,1)</f>
        <v>1</v>
      </c>
      <c r="AF3441" s="62" t="n">
        <v>1</v>
      </c>
    </row>
    <row r="3442" customFormat="false" ht="15" hidden="false" customHeight="false" outlineLevel="0" collapsed="false">
      <c r="A3442" s="62" t="n">
        <v>3441</v>
      </c>
      <c r="B3442" s="63" t="n">
        <v>46303.8402893519</v>
      </c>
      <c r="C3442" s="64" t="n">
        <v>46303</v>
      </c>
      <c r="D3442" s="62" t="s">
        <v>202</v>
      </c>
      <c r="E3442" s="62" t="s">
        <v>4524</v>
      </c>
      <c r="F3442" s="62" t="s">
        <v>4524</v>
      </c>
      <c r="G3442" s="62" t="s">
        <v>4525</v>
      </c>
      <c r="H3442" s="62" t="s">
        <v>44</v>
      </c>
      <c r="I3442" s="62" t="s">
        <v>49</v>
      </c>
      <c r="J3442" s="62" t="s">
        <v>146</v>
      </c>
      <c r="K3442" s="62" t="s">
        <v>147</v>
      </c>
      <c r="L3442" s="62" t="s">
        <v>148</v>
      </c>
      <c r="M3442" s="62" t="n">
        <v>0</v>
      </c>
      <c r="N3442" s="62" t="n">
        <v>1</v>
      </c>
      <c r="O3442" s="62" t="n">
        <v>1</v>
      </c>
      <c r="P3442" s="62" t="n">
        <v>0</v>
      </c>
      <c r="Q3442" s="62" t="n">
        <v>0</v>
      </c>
      <c r="R3442" s="62" t="n">
        <v>0</v>
      </c>
      <c r="S3442" s="62" t="n">
        <v>1</v>
      </c>
      <c r="T3442" s="62" t="n">
        <v>0</v>
      </c>
      <c r="U3442" s="62"/>
      <c r="V3442" s="62"/>
      <c r="W3442" s="62"/>
      <c r="X3442" s="62"/>
      <c r="Y3442" s="62"/>
      <c r="Z3442" s="62" t="s">
        <v>6293</v>
      </c>
      <c r="AA3442" s="62" t="s">
        <v>2105</v>
      </c>
      <c r="AB3442" s="62" t="n">
        <v>1</v>
      </c>
      <c r="AC3442" s="62" t="n">
        <v>0</v>
      </c>
      <c r="AD3442" s="62" t="n">
        <v>1</v>
      </c>
      <c r="AE3442" s="62" t="n">
        <f aca="false">IF(AND(Dashboard!$C$9="Yes",AC3442=1),0,1)</f>
        <v>1</v>
      </c>
      <c r="AF3442" s="62" t="n">
        <v>0</v>
      </c>
    </row>
    <row r="3443" customFormat="false" ht="15" hidden="false" customHeight="false" outlineLevel="0" collapsed="false">
      <c r="A3443" s="62" t="n">
        <v>3442</v>
      </c>
      <c r="B3443" s="63" t="n">
        <v>46303.8490509259</v>
      </c>
      <c r="C3443" s="64" t="n">
        <v>46303</v>
      </c>
      <c r="D3443" s="62" t="s">
        <v>202</v>
      </c>
      <c r="E3443" s="62" t="s">
        <v>5270</v>
      </c>
      <c r="F3443" s="62" t="s">
        <v>5270</v>
      </c>
      <c r="G3443" s="62" t="s">
        <v>5271</v>
      </c>
      <c r="H3443" s="62" t="s">
        <v>55</v>
      </c>
      <c r="I3443" s="62" t="s">
        <v>49</v>
      </c>
      <c r="J3443" s="62" t="s">
        <v>3708</v>
      </c>
      <c r="K3443" s="62" t="s">
        <v>209</v>
      </c>
      <c r="L3443" s="62" t="s">
        <v>148</v>
      </c>
      <c r="M3443" s="62" t="n">
        <v>0</v>
      </c>
      <c r="N3443" s="62" t="n">
        <v>1</v>
      </c>
      <c r="O3443" s="62" t="n">
        <v>1</v>
      </c>
      <c r="P3443" s="62" t="n">
        <v>1</v>
      </c>
      <c r="Q3443" s="62" t="n">
        <v>0</v>
      </c>
      <c r="R3443" s="62" t="n">
        <v>0</v>
      </c>
      <c r="S3443" s="62" t="n">
        <v>0</v>
      </c>
      <c r="T3443" s="62" t="n">
        <v>0</v>
      </c>
      <c r="U3443" s="62"/>
      <c r="V3443" s="62"/>
      <c r="W3443" s="62"/>
      <c r="X3443" s="62"/>
      <c r="Y3443" s="62"/>
      <c r="Z3443" s="62" t="s">
        <v>6294</v>
      </c>
      <c r="AA3443" s="62" t="s">
        <v>6295</v>
      </c>
      <c r="AB3443" s="62" t="n">
        <v>1</v>
      </c>
      <c r="AC3443" s="62" t="n">
        <v>0</v>
      </c>
      <c r="AD3443" s="62" t="n">
        <v>1</v>
      </c>
      <c r="AE3443" s="62" t="n">
        <f aca="false">IF(AND(Dashboard!$C$9="Yes",AC3443=1),0,1)</f>
        <v>1</v>
      </c>
      <c r="AF3443" s="62" t="n">
        <v>1</v>
      </c>
    </row>
    <row r="3444" customFormat="false" ht="15" hidden="false" customHeight="false" outlineLevel="0" collapsed="false">
      <c r="A3444" s="62" t="n">
        <v>3443</v>
      </c>
      <c r="B3444" s="63" t="n">
        <v>46303.8577893519</v>
      </c>
      <c r="C3444" s="64" t="n">
        <v>46303</v>
      </c>
      <c r="D3444" s="62" t="s">
        <v>202</v>
      </c>
      <c r="E3444" s="62" t="s">
        <v>6261</v>
      </c>
      <c r="F3444" s="62" t="s">
        <v>6262</v>
      </c>
      <c r="G3444" s="62" t="s">
        <v>153</v>
      </c>
      <c r="H3444" s="62" t="s">
        <v>153</v>
      </c>
      <c r="I3444" s="62" t="s">
        <v>153</v>
      </c>
      <c r="J3444" s="62" t="s">
        <v>64</v>
      </c>
      <c r="K3444" s="62" t="s">
        <v>64</v>
      </c>
      <c r="L3444" s="62" t="s">
        <v>148</v>
      </c>
      <c r="M3444" s="62" t="n">
        <v>0</v>
      </c>
      <c r="N3444" s="62" t="n">
        <v>1</v>
      </c>
      <c r="O3444" s="62" t="n">
        <v>1</v>
      </c>
      <c r="P3444" s="62" t="n">
        <v>1</v>
      </c>
      <c r="Q3444" s="62" t="n">
        <v>0</v>
      </c>
      <c r="R3444" s="62" t="n">
        <v>0</v>
      </c>
      <c r="S3444" s="62" t="n">
        <v>0</v>
      </c>
      <c r="T3444" s="62" t="n">
        <v>0</v>
      </c>
      <c r="U3444" s="62"/>
      <c r="V3444" s="62"/>
      <c r="W3444" s="62"/>
      <c r="X3444" s="62"/>
      <c r="Y3444" s="62"/>
      <c r="Z3444" s="62" t="s">
        <v>6296</v>
      </c>
      <c r="AA3444" s="62" t="s">
        <v>337</v>
      </c>
      <c r="AB3444" s="62" t="n">
        <v>0</v>
      </c>
      <c r="AC3444" s="62" t="n">
        <v>0</v>
      </c>
      <c r="AD3444" s="62" t="n">
        <v>0</v>
      </c>
      <c r="AE3444" s="62" t="n">
        <f aca="false">IF(AND(Dashboard!$C$9="Yes",AC3444=1),0,1)</f>
        <v>1</v>
      </c>
      <c r="AF3444" s="62" t="n">
        <v>0</v>
      </c>
    </row>
    <row r="3445" customFormat="false" ht="15" hidden="false" customHeight="false" outlineLevel="0" collapsed="false">
      <c r="A3445" s="62" t="n">
        <v>3444</v>
      </c>
      <c r="B3445" s="63" t="n">
        <v>46303.865</v>
      </c>
      <c r="C3445" s="64" t="n">
        <v>46303</v>
      </c>
      <c r="D3445" s="62" t="s">
        <v>202</v>
      </c>
      <c r="E3445" s="62" t="s">
        <v>3714</v>
      </c>
      <c r="F3445" s="62" t="s">
        <v>3714</v>
      </c>
      <c r="G3445" s="62" t="s">
        <v>3715</v>
      </c>
      <c r="H3445" s="62" t="s">
        <v>55</v>
      </c>
      <c r="I3445" s="62" t="s">
        <v>49</v>
      </c>
      <c r="J3445" s="62" t="s">
        <v>3708</v>
      </c>
      <c r="K3445" s="62" t="s">
        <v>209</v>
      </c>
      <c r="L3445" s="62" t="s">
        <v>4</v>
      </c>
      <c r="M3445" s="62" t="n">
        <v>1</v>
      </c>
      <c r="N3445" s="62" t="n">
        <v>0</v>
      </c>
      <c r="O3445" s="62" t="n">
        <v>1</v>
      </c>
      <c r="P3445" s="62" t="n">
        <v>0</v>
      </c>
      <c r="Q3445" s="62" t="n">
        <v>0</v>
      </c>
      <c r="R3445" s="62" t="n">
        <v>0</v>
      </c>
      <c r="S3445" s="62" t="n">
        <v>0</v>
      </c>
      <c r="T3445" s="62" t="n">
        <v>0</v>
      </c>
      <c r="U3445" s="62" t="s">
        <v>2056</v>
      </c>
      <c r="V3445" s="62" t="s">
        <v>2057</v>
      </c>
      <c r="W3445" s="62" t="s">
        <v>15</v>
      </c>
      <c r="X3445" s="62" t="s">
        <v>2058</v>
      </c>
      <c r="Y3445" s="62" t="s">
        <v>2059</v>
      </c>
      <c r="Z3445" s="62" t="s">
        <v>6297</v>
      </c>
      <c r="AA3445" s="62" t="s">
        <v>6298</v>
      </c>
      <c r="AB3445" s="62" t="n">
        <v>1</v>
      </c>
      <c r="AC3445" s="62" t="n">
        <v>0</v>
      </c>
      <c r="AD3445" s="62" t="n">
        <v>1</v>
      </c>
      <c r="AE3445" s="62" t="n">
        <f aca="false">IF(AND(Dashboard!$C$9="Yes",AC3445=1),0,1)</f>
        <v>1</v>
      </c>
      <c r="AF3445" s="62" t="n">
        <v>1</v>
      </c>
    </row>
    <row r="3446" customFormat="false" ht="15" hidden="false" customHeight="false" outlineLevel="0" collapsed="false">
      <c r="A3446" s="62" t="n">
        <v>3445</v>
      </c>
      <c r="B3446" s="63" t="n">
        <v>46303.8650115741</v>
      </c>
      <c r="C3446" s="64" t="n">
        <v>46303</v>
      </c>
      <c r="D3446" s="62" t="s">
        <v>202</v>
      </c>
      <c r="E3446" s="62" t="s">
        <v>5246</v>
      </c>
      <c r="F3446" s="62" t="s">
        <v>5246</v>
      </c>
      <c r="G3446" s="62" t="s">
        <v>5247</v>
      </c>
      <c r="H3446" s="62" t="s">
        <v>55</v>
      </c>
      <c r="I3446" s="62" t="s">
        <v>49</v>
      </c>
      <c r="J3446" s="62" t="s">
        <v>3708</v>
      </c>
      <c r="K3446" s="62" t="s">
        <v>209</v>
      </c>
      <c r="L3446" s="62" t="s">
        <v>148</v>
      </c>
      <c r="M3446" s="62" t="n">
        <v>0</v>
      </c>
      <c r="N3446" s="62" t="n">
        <v>1</v>
      </c>
      <c r="O3446" s="62" t="n">
        <v>1</v>
      </c>
      <c r="P3446" s="62" t="n">
        <v>0</v>
      </c>
      <c r="Q3446" s="62" t="n">
        <v>1</v>
      </c>
      <c r="R3446" s="62" t="n">
        <v>0</v>
      </c>
      <c r="S3446" s="62" t="n">
        <v>0</v>
      </c>
      <c r="T3446" s="62" t="n">
        <v>0</v>
      </c>
      <c r="U3446" s="62"/>
      <c r="V3446" s="62"/>
      <c r="W3446" s="62"/>
      <c r="X3446" s="62"/>
      <c r="Y3446" s="62"/>
      <c r="Z3446" s="62" t="s">
        <v>6299</v>
      </c>
      <c r="AA3446" s="62" t="s">
        <v>6300</v>
      </c>
      <c r="AB3446" s="62" t="n">
        <v>1</v>
      </c>
      <c r="AC3446" s="62" t="n">
        <v>0</v>
      </c>
      <c r="AD3446" s="62" t="n">
        <v>1</v>
      </c>
      <c r="AE3446" s="62" t="n">
        <f aca="false">IF(AND(Dashboard!$C$9="Yes",AC3446=1),0,1)</f>
        <v>1</v>
      </c>
      <c r="AF3446" s="62" t="n">
        <v>1</v>
      </c>
    </row>
    <row r="3447" customFormat="false" ht="15" hidden="false" customHeight="false" outlineLevel="0" collapsed="false">
      <c r="A3447" s="62" t="n">
        <v>3446</v>
      </c>
      <c r="B3447" s="63" t="n">
        <v>46303.8662731482</v>
      </c>
      <c r="C3447" s="64" t="n">
        <v>46303</v>
      </c>
      <c r="D3447" s="62" t="s">
        <v>202</v>
      </c>
      <c r="E3447" s="62" t="s">
        <v>156</v>
      </c>
      <c r="F3447" s="62" t="s">
        <v>156</v>
      </c>
      <c r="G3447" s="62" t="s">
        <v>157</v>
      </c>
      <c r="H3447" s="62" t="s">
        <v>51</v>
      </c>
      <c r="I3447" s="62" t="s">
        <v>47</v>
      </c>
      <c r="J3447" s="62" t="s">
        <v>146</v>
      </c>
      <c r="K3447" s="62" t="s">
        <v>147</v>
      </c>
      <c r="L3447" s="62" t="s">
        <v>148</v>
      </c>
      <c r="M3447" s="62" t="n">
        <v>0</v>
      </c>
      <c r="N3447" s="62" t="n">
        <v>1</v>
      </c>
      <c r="O3447" s="62" t="n">
        <v>1</v>
      </c>
      <c r="P3447" s="62" t="n">
        <v>0</v>
      </c>
      <c r="Q3447" s="62" t="n">
        <v>0</v>
      </c>
      <c r="R3447" s="62" t="n">
        <v>1</v>
      </c>
      <c r="S3447" s="62" t="n">
        <v>0</v>
      </c>
      <c r="T3447" s="62" t="n">
        <v>0</v>
      </c>
      <c r="U3447" s="62"/>
      <c r="V3447" s="62"/>
      <c r="W3447" s="62"/>
      <c r="X3447" s="62"/>
      <c r="Y3447" s="62"/>
      <c r="Z3447" s="62" t="s">
        <v>6301</v>
      </c>
      <c r="AA3447" s="62" t="s">
        <v>6302</v>
      </c>
      <c r="AB3447" s="62" t="n">
        <v>1</v>
      </c>
      <c r="AC3447" s="62" t="n">
        <v>0</v>
      </c>
      <c r="AD3447" s="62" t="n">
        <v>1</v>
      </c>
      <c r="AE3447" s="62" t="n">
        <f aca="false">IF(AND(Dashboard!$C$9="Yes",AC3447=1),0,1)</f>
        <v>1</v>
      </c>
      <c r="AF3447" s="62" t="n">
        <v>1</v>
      </c>
    </row>
    <row r="3448" customFormat="false" ht="15" hidden="false" customHeight="false" outlineLevel="0" collapsed="false">
      <c r="A3448" s="62" t="n">
        <v>3447</v>
      </c>
      <c r="B3448" s="63" t="n">
        <v>46303.8727083333</v>
      </c>
      <c r="C3448" s="64" t="n">
        <v>46303</v>
      </c>
      <c r="D3448" s="62" t="s">
        <v>202</v>
      </c>
      <c r="E3448" s="62" t="s">
        <v>156</v>
      </c>
      <c r="F3448" s="62" t="s">
        <v>156</v>
      </c>
      <c r="G3448" s="62" t="s">
        <v>157</v>
      </c>
      <c r="H3448" s="62" t="s">
        <v>51</v>
      </c>
      <c r="I3448" s="62" t="s">
        <v>47</v>
      </c>
      <c r="J3448" s="62" t="s">
        <v>146</v>
      </c>
      <c r="K3448" s="62" t="s">
        <v>147</v>
      </c>
      <c r="L3448" s="62" t="s">
        <v>148</v>
      </c>
      <c r="M3448" s="62" t="n">
        <v>0</v>
      </c>
      <c r="N3448" s="62" t="n">
        <v>1</v>
      </c>
      <c r="O3448" s="62" t="n">
        <v>1</v>
      </c>
      <c r="P3448" s="62" t="n">
        <v>0</v>
      </c>
      <c r="Q3448" s="62" t="n">
        <v>0</v>
      </c>
      <c r="R3448" s="62" t="n">
        <v>1</v>
      </c>
      <c r="S3448" s="62" t="n">
        <v>0</v>
      </c>
      <c r="T3448" s="62" t="n">
        <v>0</v>
      </c>
      <c r="U3448" s="62"/>
      <c r="V3448" s="62"/>
      <c r="W3448" s="62"/>
      <c r="X3448" s="62"/>
      <c r="Y3448" s="62"/>
      <c r="Z3448" s="62" t="s">
        <v>6301</v>
      </c>
      <c r="AA3448" s="62" t="s">
        <v>6303</v>
      </c>
      <c r="AB3448" s="62" t="n">
        <v>1</v>
      </c>
      <c r="AC3448" s="62" t="n">
        <v>0</v>
      </c>
      <c r="AD3448" s="62" t="n">
        <v>1</v>
      </c>
      <c r="AE3448" s="62" t="n">
        <f aca="false">IF(AND(Dashboard!$C$9="Yes",AC3448=1),0,1)</f>
        <v>1</v>
      </c>
      <c r="AF3448" s="62" t="n">
        <v>0</v>
      </c>
    </row>
    <row r="3449" customFormat="false" ht="15" hidden="false" customHeight="false" outlineLevel="0" collapsed="false">
      <c r="A3449" s="62" t="n">
        <v>3448</v>
      </c>
      <c r="B3449" s="63" t="n">
        <v>46303.8760185185</v>
      </c>
      <c r="C3449" s="64" t="n">
        <v>46303</v>
      </c>
      <c r="D3449" s="62" t="s">
        <v>202</v>
      </c>
      <c r="E3449" s="62" t="s">
        <v>751</v>
      </c>
      <c r="F3449" s="62" t="s">
        <v>752</v>
      </c>
      <c r="G3449" s="62" t="s">
        <v>153</v>
      </c>
      <c r="H3449" s="62" t="s">
        <v>153</v>
      </c>
      <c r="I3449" s="62" t="s">
        <v>153</v>
      </c>
      <c r="J3449" s="62" t="s">
        <v>64</v>
      </c>
      <c r="K3449" s="62" t="s">
        <v>64</v>
      </c>
      <c r="L3449" s="62" t="s">
        <v>4</v>
      </c>
      <c r="M3449" s="62" t="n">
        <v>1</v>
      </c>
      <c r="N3449" s="62" t="n">
        <v>0</v>
      </c>
      <c r="O3449" s="62" t="n">
        <v>1</v>
      </c>
      <c r="P3449" s="62" t="n">
        <v>0</v>
      </c>
      <c r="Q3449" s="62" t="n">
        <v>0</v>
      </c>
      <c r="R3449" s="62" t="n">
        <v>0</v>
      </c>
      <c r="S3449" s="62" t="n">
        <v>0</v>
      </c>
      <c r="T3449" s="62" t="n">
        <v>0</v>
      </c>
      <c r="U3449" s="62" t="s">
        <v>15</v>
      </c>
      <c r="V3449" s="62" t="s">
        <v>2057</v>
      </c>
      <c r="W3449" s="62" t="s">
        <v>15</v>
      </c>
      <c r="X3449" s="62" t="s">
        <v>2058</v>
      </c>
      <c r="Y3449" s="62" t="s">
        <v>2103</v>
      </c>
      <c r="Z3449" s="62" t="s">
        <v>6304</v>
      </c>
      <c r="AA3449" s="62" t="s">
        <v>6305</v>
      </c>
      <c r="AB3449" s="62" t="n">
        <v>1</v>
      </c>
      <c r="AC3449" s="62" t="n">
        <v>0</v>
      </c>
      <c r="AD3449" s="62" t="n">
        <v>0</v>
      </c>
      <c r="AE3449" s="62" t="n">
        <f aca="false">IF(AND(Dashboard!$C$9="Yes",AC3449=1),0,1)</f>
        <v>1</v>
      </c>
      <c r="AF3449" s="62" t="n">
        <v>1</v>
      </c>
    </row>
    <row r="3450" customFormat="false" ht="15" hidden="false" customHeight="false" outlineLevel="0" collapsed="false">
      <c r="A3450" s="62" t="n">
        <v>3449</v>
      </c>
      <c r="B3450" s="63" t="n">
        <v>46303.8762847222</v>
      </c>
      <c r="C3450" s="64" t="n">
        <v>46303</v>
      </c>
      <c r="D3450" s="62" t="s">
        <v>202</v>
      </c>
      <c r="E3450" s="62" t="s">
        <v>6306</v>
      </c>
      <c r="F3450" s="62" t="s">
        <v>6306</v>
      </c>
      <c r="G3450" s="62" t="s">
        <v>6307</v>
      </c>
      <c r="H3450" s="62" t="s">
        <v>55</v>
      </c>
      <c r="I3450" s="62" t="s">
        <v>49</v>
      </c>
      <c r="J3450" s="62" t="s">
        <v>3708</v>
      </c>
      <c r="K3450" s="62" t="s">
        <v>209</v>
      </c>
      <c r="L3450" s="62" t="s">
        <v>148</v>
      </c>
      <c r="M3450" s="62" t="n">
        <v>0</v>
      </c>
      <c r="N3450" s="62" t="n">
        <v>1</v>
      </c>
      <c r="O3450" s="62" t="n">
        <v>1</v>
      </c>
      <c r="P3450" s="62" t="n">
        <v>0</v>
      </c>
      <c r="Q3450" s="62" t="n">
        <v>0</v>
      </c>
      <c r="R3450" s="62" t="n">
        <v>0</v>
      </c>
      <c r="S3450" s="62" t="n">
        <v>0</v>
      </c>
      <c r="T3450" s="62" t="n">
        <v>1</v>
      </c>
      <c r="U3450" s="62"/>
      <c r="V3450" s="62"/>
      <c r="W3450" s="62"/>
      <c r="X3450" s="62"/>
      <c r="Y3450" s="62"/>
      <c r="Z3450" s="62" t="s">
        <v>6304</v>
      </c>
      <c r="AA3450" s="62" t="s">
        <v>6308</v>
      </c>
      <c r="AB3450" s="62" t="n">
        <v>1</v>
      </c>
      <c r="AC3450" s="62" t="n">
        <v>0</v>
      </c>
      <c r="AD3450" s="62" t="n">
        <v>1</v>
      </c>
      <c r="AE3450" s="62" t="n">
        <f aca="false">IF(AND(Dashboard!$C$9="Yes",AC3450=1),0,1)</f>
        <v>1</v>
      </c>
      <c r="AF3450" s="62" t="n">
        <v>1</v>
      </c>
    </row>
    <row r="3451" customFormat="false" ht="15" hidden="false" customHeight="false" outlineLevel="0" collapsed="false">
      <c r="A3451" s="62" t="n">
        <v>3450</v>
      </c>
      <c r="B3451" s="63" t="n">
        <v>46303.8808449074</v>
      </c>
      <c r="C3451" s="64" t="n">
        <v>46303</v>
      </c>
      <c r="D3451" s="62" t="s">
        <v>202</v>
      </c>
      <c r="E3451" s="62" t="s">
        <v>5270</v>
      </c>
      <c r="F3451" s="62" t="s">
        <v>5270</v>
      </c>
      <c r="G3451" s="62" t="s">
        <v>5271</v>
      </c>
      <c r="H3451" s="62" t="s">
        <v>55</v>
      </c>
      <c r="I3451" s="62" t="s">
        <v>49</v>
      </c>
      <c r="J3451" s="62" t="s">
        <v>3708</v>
      </c>
      <c r="K3451" s="62" t="s">
        <v>209</v>
      </c>
      <c r="L3451" s="62" t="s">
        <v>148</v>
      </c>
      <c r="M3451" s="62" t="n">
        <v>0</v>
      </c>
      <c r="N3451" s="62" t="n">
        <v>1</v>
      </c>
      <c r="O3451" s="62" t="n">
        <v>1</v>
      </c>
      <c r="P3451" s="62" t="n">
        <v>0</v>
      </c>
      <c r="Q3451" s="62" t="n">
        <v>0</v>
      </c>
      <c r="R3451" s="62" t="n">
        <v>1</v>
      </c>
      <c r="S3451" s="62" t="n">
        <v>0</v>
      </c>
      <c r="T3451" s="62" t="n">
        <v>0</v>
      </c>
      <c r="U3451" s="62"/>
      <c r="V3451" s="62"/>
      <c r="W3451" s="62"/>
      <c r="X3451" s="62"/>
      <c r="Y3451" s="62"/>
      <c r="Z3451" s="62" t="s">
        <v>6309</v>
      </c>
      <c r="AA3451" s="62" t="s">
        <v>6310</v>
      </c>
      <c r="AB3451" s="62" t="n">
        <v>1</v>
      </c>
      <c r="AC3451" s="62" t="n">
        <v>0</v>
      </c>
      <c r="AD3451" s="62" t="n">
        <v>1</v>
      </c>
      <c r="AE3451" s="62" t="n">
        <f aca="false">IF(AND(Dashboard!$C$9="Yes",AC3451=1),0,1)</f>
        <v>1</v>
      </c>
      <c r="AF3451" s="62" t="n">
        <v>0</v>
      </c>
    </row>
    <row r="3452" customFormat="false" ht="15" hidden="false" customHeight="false" outlineLevel="0" collapsed="false">
      <c r="A3452" s="62" t="n">
        <v>3451</v>
      </c>
      <c r="B3452" s="63" t="n">
        <v>46303.8832060185</v>
      </c>
      <c r="C3452" s="64" t="n">
        <v>46303</v>
      </c>
      <c r="D3452" s="62" t="s">
        <v>202</v>
      </c>
      <c r="E3452" s="62" t="s">
        <v>3792</v>
      </c>
      <c r="F3452" s="62" t="s">
        <v>3792</v>
      </c>
      <c r="G3452" s="62" t="s">
        <v>3793</v>
      </c>
      <c r="H3452" s="62" t="s">
        <v>55</v>
      </c>
      <c r="I3452" s="62" t="s">
        <v>49</v>
      </c>
      <c r="J3452" s="62" t="s">
        <v>3708</v>
      </c>
      <c r="K3452" s="62" t="s">
        <v>209</v>
      </c>
      <c r="L3452" s="62" t="s">
        <v>148</v>
      </c>
      <c r="M3452" s="62" t="n">
        <v>0</v>
      </c>
      <c r="N3452" s="62" t="n">
        <v>2</v>
      </c>
      <c r="O3452" s="62" t="n">
        <v>2</v>
      </c>
      <c r="P3452" s="62" t="n">
        <v>1</v>
      </c>
      <c r="Q3452" s="62" t="n">
        <v>0</v>
      </c>
      <c r="R3452" s="62" t="n">
        <v>1</v>
      </c>
      <c r="S3452" s="62" t="n">
        <v>0</v>
      </c>
      <c r="T3452" s="62" t="n">
        <v>0</v>
      </c>
      <c r="U3452" s="62"/>
      <c r="V3452" s="62"/>
      <c r="W3452" s="62"/>
      <c r="X3452" s="62"/>
      <c r="Y3452" s="62"/>
      <c r="Z3452" s="62" t="s">
        <v>6311</v>
      </c>
      <c r="AA3452" s="62" t="s">
        <v>6312</v>
      </c>
      <c r="AB3452" s="62" t="n">
        <v>1</v>
      </c>
      <c r="AC3452" s="62" t="n">
        <v>0</v>
      </c>
      <c r="AD3452" s="62" t="n">
        <v>1</v>
      </c>
      <c r="AE3452" s="62" t="n">
        <f aca="false">IF(AND(Dashboard!$C$9="Yes",AC3452=1),0,1)</f>
        <v>1</v>
      </c>
      <c r="AF3452" s="62" t="n">
        <v>1</v>
      </c>
    </row>
    <row r="3453" customFormat="false" ht="15" hidden="false" customHeight="false" outlineLevel="0" collapsed="false">
      <c r="A3453" s="62" t="n">
        <v>3452</v>
      </c>
      <c r="B3453" s="63" t="n">
        <v>46303.8833101852</v>
      </c>
      <c r="C3453" s="64" t="n">
        <v>46303</v>
      </c>
      <c r="D3453" s="62" t="s">
        <v>202</v>
      </c>
      <c r="E3453" s="62" t="s">
        <v>6313</v>
      </c>
      <c r="F3453" s="62" t="s">
        <v>6314</v>
      </c>
      <c r="G3453" s="62" t="s">
        <v>153</v>
      </c>
      <c r="H3453" s="62" t="s">
        <v>153</v>
      </c>
      <c r="I3453" s="62" t="s">
        <v>153</v>
      </c>
      <c r="J3453" s="62" t="s">
        <v>64</v>
      </c>
      <c r="K3453" s="62" t="s">
        <v>64</v>
      </c>
      <c r="L3453" s="62" t="s">
        <v>148</v>
      </c>
      <c r="M3453" s="62" t="n">
        <v>0</v>
      </c>
      <c r="N3453" s="62" t="n">
        <v>1</v>
      </c>
      <c r="O3453" s="62" t="n">
        <v>1</v>
      </c>
      <c r="P3453" s="62" t="n">
        <v>0</v>
      </c>
      <c r="Q3453" s="62" t="n">
        <v>0</v>
      </c>
      <c r="R3453" s="62" t="n">
        <v>1</v>
      </c>
      <c r="S3453" s="62" t="n">
        <v>0</v>
      </c>
      <c r="T3453" s="62" t="n">
        <v>0</v>
      </c>
      <c r="U3453" s="62"/>
      <c r="V3453" s="62"/>
      <c r="W3453" s="62"/>
      <c r="X3453" s="62"/>
      <c r="Y3453" s="62"/>
      <c r="Z3453" s="62" t="s">
        <v>6315</v>
      </c>
      <c r="AA3453" s="62" t="s">
        <v>6316</v>
      </c>
      <c r="AB3453" s="62" t="n">
        <v>1</v>
      </c>
      <c r="AC3453" s="62" t="n">
        <v>0</v>
      </c>
      <c r="AD3453" s="62" t="n">
        <v>0</v>
      </c>
      <c r="AE3453" s="62" t="n">
        <f aca="false">IF(AND(Dashboard!$C$9="Yes",AC3453=1),0,1)</f>
        <v>1</v>
      </c>
      <c r="AF3453" s="62" t="n">
        <v>1</v>
      </c>
    </row>
    <row r="3454" customFormat="false" ht="15" hidden="false" customHeight="false" outlineLevel="0" collapsed="false">
      <c r="A3454" s="62" t="n">
        <v>3453</v>
      </c>
      <c r="B3454" s="63" t="n">
        <v>46303.886099537</v>
      </c>
      <c r="C3454" s="64" t="n">
        <v>46303</v>
      </c>
      <c r="D3454" s="62" t="s">
        <v>202</v>
      </c>
      <c r="E3454" s="62" t="s">
        <v>4542</v>
      </c>
      <c r="F3454" s="62" t="s">
        <v>4542</v>
      </c>
      <c r="G3454" s="62" t="s">
        <v>4543</v>
      </c>
      <c r="H3454" s="62" t="s">
        <v>44</v>
      </c>
      <c r="I3454" s="62" t="s">
        <v>49</v>
      </c>
      <c r="J3454" s="62" t="s">
        <v>146</v>
      </c>
      <c r="K3454" s="62" t="s">
        <v>147</v>
      </c>
      <c r="L3454" s="62" t="s">
        <v>148</v>
      </c>
      <c r="M3454" s="62" t="n">
        <v>0</v>
      </c>
      <c r="N3454" s="62" t="n">
        <v>1</v>
      </c>
      <c r="O3454" s="62" t="n">
        <v>1</v>
      </c>
      <c r="P3454" s="62" t="n">
        <v>0</v>
      </c>
      <c r="Q3454" s="62" t="n">
        <v>1</v>
      </c>
      <c r="R3454" s="62" t="n">
        <v>0</v>
      </c>
      <c r="S3454" s="62" t="n">
        <v>0</v>
      </c>
      <c r="T3454" s="62" t="n">
        <v>0</v>
      </c>
      <c r="U3454" s="62"/>
      <c r="V3454" s="62"/>
      <c r="W3454" s="62"/>
      <c r="X3454" s="62"/>
      <c r="Y3454" s="62"/>
      <c r="Z3454" s="62" t="s">
        <v>6317</v>
      </c>
      <c r="AA3454" s="62" t="s">
        <v>6318</v>
      </c>
      <c r="AB3454" s="62" t="n">
        <v>1</v>
      </c>
      <c r="AC3454" s="62" t="n">
        <v>0</v>
      </c>
      <c r="AD3454" s="62" t="n">
        <v>1</v>
      </c>
      <c r="AE3454" s="62" t="n">
        <f aca="false">IF(AND(Dashboard!$C$9="Yes",AC3454=1),0,1)</f>
        <v>1</v>
      </c>
      <c r="AF3454" s="62" t="n">
        <v>1</v>
      </c>
    </row>
    <row r="3455" customFormat="false" ht="15" hidden="false" customHeight="false" outlineLevel="0" collapsed="false">
      <c r="A3455" s="62" t="n">
        <v>3454</v>
      </c>
      <c r="B3455" s="63" t="n">
        <v>46303.8884143519</v>
      </c>
      <c r="C3455" s="64" t="n">
        <v>46303</v>
      </c>
      <c r="D3455" s="62" t="s">
        <v>202</v>
      </c>
      <c r="E3455" s="62" t="s">
        <v>4242</v>
      </c>
      <c r="F3455" s="62" t="s">
        <v>4242</v>
      </c>
      <c r="G3455" s="62" t="s">
        <v>4243</v>
      </c>
      <c r="H3455" s="62" t="s">
        <v>44</v>
      </c>
      <c r="I3455" s="62" t="s">
        <v>49</v>
      </c>
      <c r="J3455" s="62" t="s">
        <v>146</v>
      </c>
      <c r="K3455" s="62" t="s">
        <v>147</v>
      </c>
      <c r="L3455" s="62" t="s">
        <v>148</v>
      </c>
      <c r="M3455" s="62" t="n">
        <v>0</v>
      </c>
      <c r="N3455" s="62" t="n">
        <v>1</v>
      </c>
      <c r="O3455" s="62" t="n">
        <v>1</v>
      </c>
      <c r="P3455" s="62" t="n">
        <v>1</v>
      </c>
      <c r="Q3455" s="62" t="n">
        <v>0</v>
      </c>
      <c r="R3455" s="62" t="n">
        <v>0</v>
      </c>
      <c r="S3455" s="62" t="n">
        <v>0</v>
      </c>
      <c r="T3455" s="62" t="n">
        <v>0</v>
      </c>
      <c r="U3455" s="62"/>
      <c r="V3455" s="62"/>
      <c r="W3455" s="62"/>
      <c r="X3455" s="62"/>
      <c r="Y3455" s="62"/>
      <c r="Z3455" s="62" t="s">
        <v>6319</v>
      </c>
      <c r="AA3455" s="62" t="s">
        <v>6320</v>
      </c>
      <c r="AB3455" s="62" t="n">
        <v>1</v>
      </c>
      <c r="AC3455" s="62" t="n">
        <v>0</v>
      </c>
      <c r="AD3455" s="62" t="n">
        <v>1</v>
      </c>
      <c r="AE3455" s="62" t="n">
        <f aca="false">IF(AND(Dashboard!$C$9="Yes",AC3455=1),0,1)</f>
        <v>1</v>
      </c>
      <c r="AF3455" s="62" t="n">
        <v>0</v>
      </c>
    </row>
    <row r="3456" customFormat="false" ht="15" hidden="false" customHeight="false" outlineLevel="0" collapsed="false">
      <c r="A3456" s="62" t="n">
        <v>3455</v>
      </c>
      <c r="B3456" s="63" t="n">
        <v>46303.8914467593</v>
      </c>
      <c r="C3456" s="64" t="n">
        <v>46303</v>
      </c>
      <c r="D3456" s="62" t="s">
        <v>202</v>
      </c>
      <c r="E3456" s="62" t="s">
        <v>6321</v>
      </c>
      <c r="F3456" s="62" t="s">
        <v>6321</v>
      </c>
      <c r="G3456" s="62" t="s">
        <v>6322</v>
      </c>
      <c r="H3456" s="62" t="s">
        <v>50</v>
      </c>
      <c r="I3456" s="62" t="s">
        <v>49</v>
      </c>
      <c r="J3456" s="62" t="s">
        <v>3708</v>
      </c>
      <c r="K3456" s="62" t="s">
        <v>209</v>
      </c>
      <c r="L3456" s="62" t="s">
        <v>148</v>
      </c>
      <c r="M3456" s="62" t="n">
        <v>0</v>
      </c>
      <c r="N3456" s="62" t="n">
        <v>1</v>
      </c>
      <c r="O3456" s="62" t="n">
        <v>1</v>
      </c>
      <c r="P3456" s="62" t="n">
        <v>1</v>
      </c>
      <c r="Q3456" s="62" t="n">
        <v>0</v>
      </c>
      <c r="R3456" s="62" t="n">
        <v>0</v>
      </c>
      <c r="S3456" s="62" t="n">
        <v>0</v>
      </c>
      <c r="T3456" s="62" t="n">
        <v>0</v>
      </c>
      <c r="U3456" s="62"/>
      <c r="V3456" s="62"/>
      <c r="W3456" s="62"/>
      <c r="X3456" s="62"/>
      <c r="Y3456" s="62"/>
      <c r="Z3456" s="62" t="s">
        <v>6323</v>
      </c>
      <c r="AA3456" s="62" t="s">
        <v>6324</v>
      </c>
      <c r="AB3456" s="62" t="n">
        <v>1</v>
      </c>
      <c r="AC3456" s="62" t="n">
        <v>0</v>
      </c>
      <c r="AD3456" s="62" t="n">
        <v>1</v>
      </c>
      <c r="AE3456" s="62" t="n">
        <f aca="false">IF(AND(Dashboard!$C$9="Yes",AC3456=1),0,1)</f>
        <v>1</v>
      </c>
      <c r="AF3456" s="62" t="n">
        <v>1</v>
      </c>
    </row>
    <row r="3457" customFormat="false" ht="15" hidden="false" customHeight="false" outlineLevel="0" collapsed="false">
      <c r="A3457" s="62" t="n">
        <v>3456</v>
      </c>
      <c r="B3457" s="63" t="n">
        <v>46303.8928125</v>
      </c>
      <c r="C3457" s="64" t="n">
        <v>46303</v>
      </c>
      <c r="D3457" s="62" t="s">
        <v>202</v>
      </c>
      <c r="E3457" s="62" t="s">
        <v>6321</v>
      </c>
      <c r="F3457" s="62" t="s">
        <v>6321</v>
      </c>
      <c r="G3457" s="62" t="s">
        <v>6322</v>
      </c>
      <c r="H3457" s="62" t="s">
        <v>50</v>
      </c>
      <c r="I3457" s="62" t="s">
        <v>49</v>
      </c>
      <c r="J3457" s="62" t="s">
        <v>3708</v>
      </c>
      <c r="K3457" s="62" t="s">
        <v>209</v>
      </c>
      <c r="L3457" s="62" t="s">
        <v>4</v>
      </c>
      <c r="M3457" s="62" t="n">
        <v>1</v>
      </c>
      <c r="N3457" s="62" t="n">
        <v>0</v>
      </c>
      <c r="O3457" s="62" t="n">
        <v>1</v>
      </c>
      <c r="P3457" s="62" t="n">
        <v>0</v>
      </c>
      <c r="Q3457" s="62" t="n">
        <v>0</v>
      </c>
      <c r="R3457" s="62" t="n">
        <v>0</v>
      </c>
      <c r="S3457" s="62" t="n">
        <v>0</v>
      </c>
      <c r="T3457" s="62" t="n">
        <v>0</v>
      </c>
      <c r="U3457" s="62" t="s">
        <v>2056</v>
      </c>
      <c r="V3457" s="62" t="s">
        <v>2057</v>
      </c>
      <c r="W3457" s="62" t="s">
        <v>15</v>
      </c>
      <c r="X3457" s="62" t="s">
        <v>2058</v>
      </c>
      <c r="Y3457" s="62" t="s">
        <v>2059</v>
      </c>
      <c r="Z3457" s="62" t="s">
        <v>6325</v>
      </c>
      <c r="AA3457" s="62" t="s">
        <v>287</v>
      </c>
      <c r="AB3457" s="62" t="n">
        <v>0</v>
      </c>
      <c r="AC3457" s="62" t="n">
        <v>0</v>
      </c>
      <c r="AD3457" s="62" t="n">
        <v>1</v>
      </c>
      <c r="AE3457" s="62" t="n">
        <f aca="false">IF(AND(Dashboard!$C$9="Yes",AC3457=1),0,1)</f>
        <v>1</v>
      </c>
      <c r="AF3457" s="62" t="n">
        <v>0</v>
      </c>
    </row>
    <row r="3458" customFormat="false" ht="15" hidden="false" customHeight="false" outlineLevel="0" collapsed="false">
      <c r="A3458" s="62" t="n">
        <v>3457</v>
      </c>
      <c r="B3458" s="63" t="n">
        <v>46303.8961574074</v>
      </c>
      <c r="C3458" s="64" t="n">
        <v>46303</v>
      </c>
      <c r="D3458" s="62" t="s">
        <v>202</v>
      </c>
      <c r="E3458" s="62" t="s">
        <v>2071</v>
      </c>
      <c r="F3458" s="62" t="s">
        <v>2071</v>
      </c>
      <c r="G3458" s="62" t="s">
        <v>2072</v>
      </c>
      <c r="H3458" s="62" t="s">
        <v>58</v>
      </c>
      <c r="I3458" s="62" t="s">
        <v>49</v>
      </c>
      <c r="J3458" s="62" t="s">
        <v>146</v>
      </c>
      <c r="K3458" s="62" t="s">
        <v>175</v>
      </c>
      <c r="L3458" s="62" t="s">
        <v>148</v>
      </c>
      <c r="M3458" s="62" t="n">
        <v>0</v>
      </c>
      <c r="N3458" s="62" t="n">
        <v>1</v>
      </c>
      <c r="O3458" s="62" t="n">
        <v>1</v>
      </c>
      <c r="P3458" s="62" t="n">
        <v>1</v>
      </c>
      <c r="Q3458" s="62" t="n">
        <v>0</v>
      </c>
      <c r="R3458" s="62" t="n">
        <v>0</v>
      </c>
      <c r="S3458" s="62" t="n">
        <v>0</v>
      </c>
      <c r="T3458" s="62" t="n">
        <v>0</v>
      </c>
      <c r="U3458" s="62"/>
      <c r="V3458" s="62"/>
      <c r="W3458" s="62"/>
      <c r="X3458" s="62"/>
      <c r="Y3458" s="62"/>
      <c r="Z3458" s="62" t="s">
        <v>6326</v>
      </c>
      <c r="AA3458" s="62" t="s">
        <v>6327</v>
      </c>
      <c r="AB3458" s="62" t="n">
        <v>1</v>
      </c>
      <c r="AC3458" s="62" t="n">
        <v>0</v>
      </c>
      <c r="AD3458" s="62" t="n">
        <v>1</v>
      </c>
      <c r="AE3458" s="62" t="n">
        <f aca="false">IF(AND(Dashboard!$C$9="Yes",AC3458=1),0,1)</f>
        <v>1</v>
      </c>
      <c r="AF3458" s="62" t="n">
        <v>0</v>
      </c>
    </row>
    <row r="3459" customFormat="false" ht="15" hidden="false" customHeight="false" outlineLevel="0" collapsed="false">
      <c r="A3459" s="62" t="n">
        <v>3458</v>
      </c>
      <c r="B3459" s="63" t="n">
        <v>46303.9013310185</v>
      </c>
      <c r="C3459" s="64" t="n">
        <v>46303</v>
      </c>
      <c r="D3459" s="62" t="s">
        <v>202</v>
      </c>
      <c r="E3459" s="62" t="s">
        <v>6328</v>
      </c>
      <c r="F3459" s="62" t="s">
        <v>6328</v>
      </c>
      <c r="G3459" s="62" t="s">
        <v>6329</v>
      </c>
      <c r="H3459" s="62" t="s">
        <v>55</v>
      </c>
      <c r="I3459" s="62" t="s">
        <v>49</v>
      </c>
      <c r="J3459" s="62" t="s">
        <v>3708</v>
      </c>
      <c r="K3459" s="62" t="s">
        <v>209</v>
      </c>
      <c r="L3459" s="62" t="s">
        <v>148</v>
      </c>
      <c r="M3459" s="62" t="n">
        <v>0</v>
      </c>
      <c r="N3459" s="62" t="n">
        <v>4</v>
      </c>
      <c r="O3459" s="62" t="n">
        <v>4</v>
      </c>
      <c r="P3459" s="62" t="n">
        <v>0</v>
      </c>
      <c r="Q3459" s="62" t="n">
        <v>1</v>
      </c>
      <c r="R3459" s="62" t="n">
        <v>1</v>
      </c>
      <c r="S3459" s="62" t="n">
        <v>0</v>
      </c>
      <c r="T3459" s="62" t="n">
        <v>0</v>
      </c>
      <c r="U3459" s="62"/>
      <c r="V3459" s="62"/>
      <c r="W3459" s="62"/>
      <c r="X3459" s="62"/>
      <c r="Y3459" s="62"/>
      <c r="Z3459" s="62" t="s">
        <v>6330</v>
      </c>
      <c r="AA3459" s="62" t="s">
        <v>6331</v>
      </c>
      <c r="AB3459" s="62" t="n">
        <v>1</v>
      </c>
      <c r="AC3459" s="62" t="n">
        <v>0</v>
      </c>
      <c r="AD3459" s="62" t="n">
        <v>1</v>
      </c>
      <c r="AE3459" s="62" t="n">
        <f aca="false">IF(AND(Dashboard!$C$9="Yes",AC3459=1),0,1)</f>
        <v>1</v>
      </c>
      <c r="AF3459" s="62" t="n">
        <v>1</v>
      </c>
    </row>
    <row r="3460" customFormat="false" ht="15" hidden="false" customHeight="false" outlineLevel="0" collapsed="false">
      <c r="A3460" s="62" t="n">
        <v>3459</v>
      </c>
      <c r="B3460" s="63" t="n">
        <v>46303.9130092593</v>
      </c>
      <c r="C3460" s="64" t="n">
        <v>46303</v>
      </c>
      <c r="D3460" s="62" t="s">
        <v>202</v>
      </c>
      <c r="E3460" s="62" t="s">
        <v>3789</v>
      </c>
      <c r="F3460" s="62" t="s">
        <v>3789</v>
      </c>
      <c r="G3460" s="62" t="s">
        <v>3790</v>
      </c>
      <c r="H3460" s="62" t="s">
        <v>55</v>
      </c>
      <c r="I3460" s="62" t="s">
        <v>49</v>
      </c>
      <c r="J3460" s="62" t="s">
        <v>3708</v>
      </c>
      <c r="K3460" s="62" t="s">
        <v>209</v>
      </c>
      <c r="L3460" s="62" t="s">
        <v>148</v>
      </c>
      <c r="M3460" s="62" t="n">
        <v>0</v>
      </c>
      <c r="N3460" s="62" t="n">
        <v>2</v>
      </c>
      <c r="O3460" s="62" t="n">
        <v>2</v>
      </c>
      <c r="P3460" s="62" t="n">
        <v>1</v>
      </c>
      <c r="Q3460" s="62" t="n">
        <v>1</v>
      </c>
      <c r="R3460" s="62" t="n">
        <v>0</v>
      </c>
      <c r="S3460" s="62" t="n">
        <v>0</v>
      </c>
      <c r="T3460" s="62" t="n">
        <v>0</v>
      </c>
      <c r="U3460" s="62"/>
      <c r="V3460" s="62"/>
      <c r="W3460" s="62"/>
      <c r="X3460" s="62"/>
      <c r="Y3460" s="62"/>
      <c r="Z3460" s="62" t="s">
        <v>6332</v>
      </c>
      <c r="AA3460" s="62" t="s">
        <v>6333</v>
      </c>
      <c r="AB3460" s="62" t="n">
        <v>1</v>
      </c>
      <c r="AC3460" s="62" t="n">
        <v>0</v>
      </c>
      <c r="AD3460" s="62" t="n">
        <v>1</v>
      </c>
      <c r="AE3460" s="62" t="n">
        <f aca="false">IF(AND(Dashboard!$C$9="Yes",AC3460=1),0,1)</f>
        <v>1</v>
      </c>
      <c r="AF3460" s="62" t="n">
        <v>1</v>
      </c>
    </row>
    <row r="3461" customFormat="false" ht="15" hidden="false" customHeight="false" outlineLevel="0" collapsed="false">
      <c r="A3461" s="62" t="n">
        <v>3460</v>
      </c>
      <c r="B3461" s="63" t="n">
        <v>46303.9162847222</v>
      </c>
      <c r="C3461" s="64" t="n">
        <v>46303</v>
      </c>
      <c r="D3461" s="62" t="s">
        <v>202</v>
      </c>
      <c r="E3461" s="62" t="s">
        <v>5270</v>
      </c>
      <c r="F3461" s="62" t="s">
        <v>5270</v>
      </c>
      <c r="G3461" s="62" t="s">
        <v>5271</v>
      </c>
      <c r="H3461" s="62" t="s">
        <v>55</v>
      </c>
      <c r="I3461" s="62" t="s">
        <v>49</v>
      </c>
      <c r="J3461" s="62" t="s">
        <v>3708</v>
      </c>
      <c r="K3461" s="62" t="s">
        <v>209</v>
      </c>
      <c r="L3461" s="62" t="s">
        <v>148</v>
      </c>
      <c r="M3461" s="62" t="n">
        <v>0</v>
      </c>
      <c r="N3461" s="62" t="n">
        <v>2</v>
      </c>
      <c r="O3461" s="62" t="n">
        <v>2</v>
      </c>
      <c r="P3461" s="62" t="n">
        <v>1</v>
      </c>
      <c r="Q3461" s="62" t="n">
        <v>1</v>
      </c>
      <c r="R3461" s="62" t="n">
        <v>0</v>
      </c>
      <c r="S3461" s="62" t="n">
        <v>0</v>
      </c>
      <c r="T3461" s="62" t="n">
        <v>0</v>
      </c>
      <c r="U3461" s="62"/>
      <c r="V3461" s="62"/>
      <c r="W3461" s="62"/>
      <c r="X3461" s="62"/>
      <c r="Y3461" s="62"/>
      <c r="Z3461" s="62" t="s">
        <v>6334</v>
      </c>
      <c r="AA3461" s="62" t="s">
        <v>6335</v>
      </c>
      <c r="AB3461" s="62" t="n">
        <v>1</v>
      </c>
      <c r="AC3461" s="62" t="n">
        <v>0</v>
      </c>
      <c r="AD3461" s="62" t="n">
        <v>1</v>
      </c>
      <c r="AE3461" s="62" t="n">
        <f aca="false">IF(AND(Dashboard!$C$9="Yes",AC3461=1),0,1)</f>
        <v>1</v>
      </c>
      <c r="AF3461" s="62" t="n">
        <v>0</v>
      </c>
    </row>
    <row r="3462" customFormat="false" ht="15" hidden="false" customHeight="false" outlineLevel="0" collapsed="false">
      <c r="A3462" s="62" t="n">
        <v>3461</v>
      </c>
      <c r="B3462" s="63" t="n">
        <v>46303.9246412037</v>
      </c>
      <c r="C3462" s="64" t="n">
        <v>46303</v>
      </c>
      <c r="D3462" s="62" t="s">
        <v>202</v>
      </c>
      <c r="E3462" s="62" t="s">
        <v>6261</v>
      </c>
      <c r="F3462" s="62" t="s">
        <v>6262</v>
      </c>
      <c r="G3462" s="62" t="s">
        <v>153</v>
      </c>
      <c r="H3462" s="62" t="s">
        <v>153</v>
      </c>
      <c r="I3462" s="62" t="s">
        <v>153</v>
      </c>
      <c r="J3462" s="62" t="s">
        <v>64</v>
      </c>
      <c r="K3462" s="62" t="s">
        <v>64</v>
      </c>
      <c r="L3462" s="62" t="s">
        <v>148</v>
      </c>
      <c r="M3462" s="62" t="n">
        <v>0</v>
      </c>
      <c r="N3462" s="62" t="n">
        <v>1</v>
      </c>
      <c r="O3462" s="62" t="n">
        <v>1</v>
      </c>
      <c r="P3462" s="62" t="n">
        <v>1</v>
      </c>
      <c r="Q3462" s="62" t="n">
        <v>0</v>
      </c>
      <c r="R3462" s="62" t="n">
        <v>0</v>
      </c>
      <c r="S3462" s="62" t="n">
        <v>0</v>
      </c>
      <c r="T3462" s="62" t="n">
        <v>0</v>
      </c>
      <c r="U3462" s="62"/>
      <c r="V3462" s="62"/>
      <c r="W3462" s="62"/>
      <c r="X3462" s="62"/>
      <c r="Y3462" s="62"/>
      <c r="Z3462" s="62" t="s">
        <v>6336</v>
      </c>
      <c r="AA3462" s="62" t="s">
        <v>6336</v>
      </c>
      <c r="AB3462" s="62" t="n">
        <v>1</v>
      </c>
      <c r="AC3462" s="62" t="n">
        <v>0</v>
      </c>
      <c r="AD3462" s="62" t="n">
        <v>0</v>
      </c>
      <c r="AE3462" s="62" t="n">
        <f aca="false">IF(AND(Dashboard!$C$9="Yes",AC3462=1),0,1)</f>
        <v>1</v>
      </c>
      <c r="AF3462" s="62" t="n">
        <v>0</v>
      </c>
    </row>
    <row r="3463" customFormat="false" ht="15" hidden="false" customHeight="false" outlineLevel="0" collapsed="false">
      <c r="A3463" s="62" t="n">
        <v>3462</v>
      </c>
      <c r="B3463" s="63" t="n">
        <v>46303.9249421296</v>
      </c>
      <c r="C3463" s="64" t="n">
        <v>46303</v>
      </c>
      <c r="D3463" s="62" t="s">
        <v>202</v>
      </c>
      <c r="E3463" s="62" t="s">
        <v>6261</v>
      </c>
      <c r="F3463" s="62" t="s">
        <v>6262</v>
      </c>
      <c r="G3463" s="62" t="s">
        <v>153</v>
      </c>
      <c r="H3463" s="62" t="s">
        <v>153</v>
      </c>
      <c r="I3463" s="62" t="s">
        <v>153</v>
      </c>
      <c r="J3463" s="62" t="s">
        <v>64</v>
      </c>
      <c r="K3463" s="62" t="s">
        <v>64</v>
      </c>
      <c r="L3463" s="62" t="s">
        <v>148</v>
      </c>
      <c r="M3463" s="62" t="n">
        <v>0</v>
      </c>
      <c r="N3463" s="62" t="n">
        <v>1</v>
      </c>
      <c r="O3463" s="62" t="n">
        <v>1</v>
      </c>
      <c r="P3463" s="62" t="n">
        <v>0</v>
      </c>
      <c r="Q3463" s="62" t="n">
        <v>0</v>
      </c>
      <c r="R3463" s="62" t="n">
        <v>1</v>
      </c>
      <c r="S3463" s="62" t="n">
        <v>0</v>
      </c>
      <c r="T3463" s="62" t="n">
        <v>0</v>
      </c>
      <c r="U3463" s="62"/>
      <c r="V3463" s="62"/>
      <c r="W3463" s="62"/>
      <c r="X3463" s="62"/>
      <c r="Y3463" s="62"/>
      <c r="Z3463" s="62" t="s">
        <v>6337</v>
      </c>
      <c r="AA3463" s="62" t="s">
        <v>6338</v>
      </c>
      <c r="AB3463" s="62" t="n">
        <v>1</v>
      </c>
      <c r="AC3463" s="62" t="n">
        <v>0</v>
      </c>
      <c r="AD3463" s="62" t="n">
        <v>0</v>
      </c>
      <c r="AE3463" s="62" t="n">
        <f aca="false">IF(AND(Dashboard!$C$9="Yes",AC3463=1),0,1)</f>
        <v>1</v>
      </c>
      <c r="AF3463" s="62" t="n">
        <v>0</v>
      </c>
    </row>
    <row r="3464" customFormat="false" ht="15" hidden="false" customHeight="false" outlineLevel="0" collapsed="false">
      <c r="A3464" s="62" t="n">
        <v>3463</v>
      </c>
      <c r="B3464" s="63" t="n">
        <v>46303.9258680556</v>
      </c>
      <c r="C3464" s="64" t="n">
        <v>46303</v>
      </c>
      <c r="D3464" s="62" t="s">
        <v>202</v>
      </c>
      <c r="E3464" s="62" t="s">
        <v>6339</v>
      </c>
      <c r="F3464" s="62" t="s">
        <v>6340</v>
      </c>
      <c r="G3464" s="62" t="s">
        <v>153</v>
      </c>
      <c r="H3464" s="62" t="s">
        <v>153</v>
      </c>
      <c r="I3464" s="62" t="s">
        <v>153</v>
      </c>
      <c r="J3464" s="62" t="s">
        <v>64</v>
      </c>
      <c r="K3464" s="62" t="s">
        <v>64</v>
      </c>
      <c r="L3464" s="62" t="s">
        <v>148</v>
      </c>
      <c r="M3464" s="62" t="n">
        <v>0</v>
      </c>
      <c r="N3464" s="62" t="n">
        <v>1</v>
      </c>
      <c r="O3464" s="62" t="n">
        <v>1</v>
      </c>
      <c r="P3464" s="62" t="n">
        <v>1</v>
      </c>
      <c r="Q3464" s="62" t="n">
        <v>0</v>
      </c>
      <c r="R3464" s="62" t="n">
        <v>0</v>
      </c>
      <c r="S3464" s="62" t="n">
        <v>0</v>
      </c>
      <c r="T3464" s="62" t="n">
        <v>0</v>
      </c>
      <c r="U3464" s="62"/>
      <c r="V3464" s="62"/>
      <c r="W3464" s="62"/>
      <c r="X3464" s="62"/>
      <c r="Y3464" s="62"/>
      <c r="Z3464" s="62" t="s">
        <v>6341</v>
      </c>
      <c r="AA3464" s="62" t="s">
        <v>6342</v>
      </c>
      <c r="AB3464" s="62" t="n">
        <v>1</v>
      </c>
      <c r="AC3464" s="62" t="n">
        <v>0</v>
      </c>
      <c r="AD3464" s="62" t="n">
        <v>0</v>
      </c>
      <c r="AE3464" s="62" t="n">
        <f aca="false">IF(AND(Dashboard!$C$9="Yes",AC3464=1),0,1)</f>
        <v>1</v>
      </c>
      <c r="AF3464" s="62" t="n">
        <v>1</v>
      </c>
    </row>
    <row r="3465" customFormat="false" ht="15" hidden="false" customHeight="false" outlineLevel="0" collapsed="false">
      <c r="A3465" s="62" t="n">
        <v>3464</v>
      </c>
      <c r="B3465" s="63" t="n">
        <v>46303.9294097222</v>
      </c>
      <c r="C3465" s="64" t="n">
        <v>46303</v>
      </c>
      <c r="D3465" s="62" t="s">
        <v>202</v>
      </c>
      <c r="E3465" s="62" t="s">
        <v>5255</v>
      </c>
      <c r="F3465" s="62" t="s">
        <v>5255</v>
      </c>
      <c r="G3465" s="62" t="s">
        <v>5256</v>
      </c>
      <c r="H3465" s="62" t="s">
        <v>55</v>
      </c>
      <c r="I3465" s="62" t="s">
        <v>49</v>
      </c>
      <c r="J3465" s="62" t="s">
        <v>3708</v>
      </c>
      <c r="K3465" s="62" t="s">
        <v>209</v>
      </c>
      <c r="L3465" s="62" t="s">
        <v>148</v>
      </c>
      <c r="M3465" s="62" t="n">
        <v>0</v>
      </c>
      <c r="N3465" s="62" t="n">
        <v>1</v>
      </c>
      <c r="O3465" s="62" t="n">
        <v>1</v>
      </c>
      <c r="P3465" s="62" t="n">
        <v>1</v>
      </c>
      <c r="Q3465" s="62" t="n">
        <v>0</v>
      </c>
      <c r="R3465" s="62" t="n">
        <v>0</v>
      </c>
      <c r="S3465" s="62" t="n">
        <v>0</v>
      </c>
      <c r="T3465" s="62" t="n">
        <v>0</v>
      </c>
      <c r="U3465" s="62"/>
      <c r="V3465" s="62"/>
      <c r="W3465" s="62"/>
      <c r="X3465" s="62"/>
      <c r="Y3465" s="62"/>
      <c r="Z3465" s="62" t="s">
        <v>6343</v>
      </c>
      <c r="AA3465" s="62" t="s">
        <v>6344</v>
      </c>
      <c r="AB3465" s="62" t="n">
        <v>1</v>
      </c>
      <c r="AC3465" s="62" t="n">
        <v>0</v>
      </c>
      <c r="AD3465" s="62" t="n">
        <v>1</v>
      </c>
      <c r="AE3465" s="62" t="n">
        <f aca="false">IF(AND(Dashboard!$C$9="Yes",AC3465=1),0,1)</f>
        <v>1</v>
      </c>
      <c r="AF3465" s="62" t="n">
        <v>0</v>
      </c>
    </row>
    <row r="3466" customFormat="false" ht="15" hidden="false" customHeight="false" outlineLevel="0" collapsed="false">
      <c r="A3466" s="62" t="n">
        <v>3465</v>
      </c>
      <c r="B3466" s="63" t="n">
        <v>46303.9332523148</v>
      </c>
      <c r="C3466" s="64" t="n">
        <v>46303</v>
      </c>
      <c r="D3466" s="62" t="s">
        <v>202</v>
      </c>
      <c r="E3466" s="62" t="s">
        <v>1571</v>
      </c>
      <c r="F3466" s="62" t="s">
        <v>1571</v>
      </c>
      <c r="G3466" s="62" t="s">
        <v>1572</v>
      </c>
      <c r="H3466" s="62" t="s">
        <v>52</v>
      </c>
      <c r="I3466" s="62" t="s">
        <v>47</v>
      </c>
      <c r="J3466" s="62" t="s">
        <v>146</v>
      </c>
      <c r="K3466" s="62" t="s">
        <v>209</v>
      </c>
      <c r="L3466" s="62" t="s">
        <v>4</v>
      </c>
      <c r="M3466" s="62" t="n">
        <v>1</v>
      </c>
      <c r="N3466" s="62" t="n">
        <v>0</v>
      </c>
      <c r="O3466" s="62" t="n">
        <v>1</v>
      </c>
      <c r="P3466" s="62" t="n">
        <v>0</v>
      </c>
      <c r="Q3466" s="62" t="n">
        <v>0</v>
      </c>
      <c r="R3466" s="62" t="n">
        <v>0</v>
      </c>
      <c r="S3466" s="62" t="n">
        <v>0</v>
      </c>
      <c r="T3466" s="62" t="n">
        <v>0</v>
      </c>
      <c r="U3466" s="62" t="s">
        <v>15</v>
      </c>
      <c r="V3466" s="62" t="s">
        <v>2057</v>
      </c>
      <c r="W3466" s="62" t="s">
        <v>2056</v>
      </c>
      <c r="X3466" s="62" t="s">
        <v>2058</v>
      </c>
      <c r="Y3466" s="62" t="s">
        <v>2399</v>
      </c>
      <c r="Z3466" s="62" t="s">
        <v>6345</v>
      </c>
      <c r="AA3466" s="62" t="s">
        <v>6346</v>
      </c>
      <c r="AB3466" s="62" t="n">
        <v>1</v>
      </c>
      <c r="AC3466" s="62" t="n">
        <v>0</v>
      </c>
      <c r="AD3466" s="62" t="n">
        <v>1</v>
      </c>
      <c r="AE3466" s="62" t="n">
        <f aca="false">IF(AND(Dashboard!$C$9="Yes",AC3466=1),0,1)</f>
        <v>1</v>
      </c>
      <c r="AF3466" s="62" t="n">
        <v>0</v>
      </c>
    </row>
    <row r="3467" customFormat="false" ht="15" hidden="false" customHeight="false" outlineLevel="0" collapsed="false">
      <c r="A3467" s="62" t="n">
        <v>3466</v>
      </c>
      <c r="B3467" s="63" t="n">
        <v>46303.9356365741</v>
      </c>
      <c r="C3467" s="64" t="n">
        <v>46303</v>
      </c>
      <c r="D3467" s="62" t="s">
        <v>202</v>
      </c>
      <c r="E3467" s="62" t="s">
        <v>1571</v>
      </c>
      <c r="F3467" s="62" t="s">
        <v>1571</v>
      </c>
      <c r="G3467" s="62" t="s">
        <v>1572</v>
      </c>
      <c r="H3467" s="62" t="s">
        <v>52</v>
      </c>
      <c r="I3467" s="62" t="s">
        <v>47</v>
      </c>
      <c r="J3467" s="62" t="s">
        <v>146</v>
      </c>
      <c r="K3467" s="62" t="s">
        <v>209</v>
      </c>
      <c r="L3467" s="62" t="s">
        <v>148</v>
      </c>
      <c r="M3467" s="62" t="n">
        <v>0</v>
      </c>
      <c r="N3467" s="62" t="n">
        <v>1</v>
      </c>
      <c r="O3467" s="62" t="n">
        <v>1</v>
      </c>
      <c r="P3467" s="62" t="n">
        <v>0</v>
      </c>
      <c r="Q3467" s="62" t="n">
        <v>0</v>
      </c>
      <c r="R3467" s="62" t="n">
        <v>0</v>
      </c>
      <c r="S3467" s="62" t="n">
        <v>1</v>
      </c>
      <c r="T3467" s="62" t="n">
        <v>0</v>
      </c>
      <c r="U3467" s="62"/>
      <c r="V3467" s="62"/>
      <c r="W3467" s="62"/>
      <c r="X3467" s="62"/>
      <c r="Y3467" s="62"/>
      <c r="Z3467" s="62" t="s">
        <v>6345</v>
      </c>
      <c r="AA3467" s="62" t="s">
        <v>6346</v>
      </c>
      <c r="AB3467" s="62" t="n">
        <v>1</v>
      </c>
      <c r="AC3467" s="62" t="n">
        <v>0</v>
      </c>
      <c r="AD3467" s="62" t="n">
        <v>1</v>
      </c>
      <c r="AE3467" s="62" t="n">
        <f aca="false">IF(AND(Dashboard!$C$9="Yes",AC3467=1),0,1)</f>
        <v>1</v>
      </c>
      <c r="AF3467" s="62" t="n">
        <v>0</v>
      </c>
    </row>
    <row r="3468" customFormat="false" ht="15" hidden="false" customHeight="false" outlineLevel="0" collapsed="false">
      <c r="A3468" s="62" t="n">
        <v>3467</v>
      </c>
      <c r="B3468" s="63" t="n">
        <v>46303.9364351852</v>
      </c>
      <c r="C3468" s="64" t="n">
        <v>46303</v>
      </c>
      <c r="D3468" s="62" t="s">
        <v>202</v>
      </c>
      <c r="E3468" s="62" t="s">
        <v>6347</v>
      </c>
      <c r="F3468" s="62" t="s">
        <v>6348</v>
      </c>
      <c r="G3468" s="62" t="s">
        <v>153</v>
      </c>
      <c r="H3468" s="62" t="s">
        <v>153</v>
      </c>
      <c r="I3468" s="62" t="s">
        <v>153</v>
      </c>
      <c r="J3468" s="62" t="s">
        <v>64</v>
      </c>
      <c r="K3468" s="62" t="s">
        <v>64</v>
      </c>
      <c r="L3468" s="62" t="s">
        <v>148</v>
      </c>
      <c r="M3468" s="62" t="n">
        <v>0</v>
      </c>
      <c r="N3468" s="62" t="n">
        <v>1</v>
      </c>
      <c r="O3468" s="62" t="n">
        <v>1</v>
      </c>
      <c r="P3468" s="62" t="n">
        <v>1</v>
      </c>
      <c r="Q3468" s="62" t="n">
        <v>0</v>
      </c>
      <c r="R3468" s="62" t="n">
        <v>0</v>
      </c>
      <c r="S3468" s="62" t="n">
        <v>0</v>
      </c>
      <c r="T3468" s="62" t="n">
        <v>0</v>
      </c>
      <c r="U3468" s="62"/>
      <c r="V3468" s="62"/>
      <c r="W3468" s="62"/>
      <c r="X3468" s="62"/>
      <c r="Y3468" s="62"/>
      <c r="Z3468" s="62" t="s">
        <v>6347</v>
      </c>
      <c r="AA3468" s="62" t="s">
        <v>6349</v>
      </c>
      <c r="AB3468" s="62" t="n">
        <v>1</v>
      </c>
      <c r="AC3468" s="62" t="n">
        <v>0</v>
      </c>
      <c r="AD3468" s="62" t="n">
        <v>0</v>
      </c>
      <c r="AE3468" s="62" t="n">
        <f aca="false">IF(AND(Dashboard!$C$9="Yes",AC3468=1),0,1)</f>
        <v>1</v>
      </c>
      <c r="AF3468" s="62" t="n">
        <v>1</v>
      </c>
    </row>
    <row r="3469" customFormat="false" ht="15" hidden="false" customHeight="false" outlineLevel="0" collapsed="false">
      <c r="A3469" s="62" t="n">
        <v>3468</v>
      </c>
      <c r="B3469" s="63" t="n">
        <v>46303.9441550926</v>
      </c>
      <c r="C3469" s="64" t="n">
        <v>46303</v>
      </c>
      <c r="D3469" s="62" t="s">
        <v>202</v>
      </c>
      <c r="E3469" s="62" t="s">
        <v>2910</v>
      </c>
      <c r="F3469" s="62" t="s">
        <v>2910</v>
      </c>
      <c r="G3469" s="62" t="s">
        <v>2911</v>
      </c>
      <c r="H3469" s="62" t="s">
        <v>48</v>
      </c>
      <c r="I3469" s="62" t="s">
        <v>49</v>
      </c>
      <c r="J3469" s="62" t="s">
        <v>146</v>
      </c>
      <c r="K3469" s="62" t="s">
        <v>209</v>
      </c>
      <c r="L3469" s="62" t="s">
        <v>148</v>
      </c>
      <c r="M3469" s="62" t="n">
        <v>0</v>
      </c>
      <c r="N3469" s="62" t="n">
        <v>1</v>
      </c>
      <c r="O3469" s="62" t="n">
        <v>1</v>
      </c>
      <c r="P3469" s="62" t="n">
        <v>0</v>
      </c>
      <c r="Q3469" s="62" t="n">
        <v>1</v>
      </c>
      <c r="R3469" s="62" t="n">
        <v>0</v>
      </c>
      <c r="S3469" s="62" t="n">
        <v>0</v>
      </c>
      <c r="T3469" s="62" t="n">
        <v>0</v>
      </c>
      <c r="U3469" s="62"/>
      <c r="V3469" s="62"/>
      <c r="W3469" s="62"/>
      <c r="X3469" s="62"/>
      <c r="Y3469" s="62"/>
      <c r="Z3469" s="62" t="s">
        <v>6350</v>
      </c>
      <c r="AA3469" s="62" t="s">
        <v>237</v>
      </c>
      <c r="AB3469" s="62" t="n">
        <v>0</v>
      </c>
      <c r="AC3469" s="62" t="n">
        <v>0</v>
      </c>
      <c r="AD3469" s="62" t="n">
        <v>1</v>
      </c>
      <c r="AE3469" s="62" t="n">
        <f aca="false">IF(AND(Dashboard!$C$9="Yes",AC3469=1),0,1)</f>
        <v>1</v>
      </c>
      <c r="AF3469" s="62" t="n">
        <v>1</v>
      </c>
    </row>
    <row r="3470" customFormat="false" ht="15" hidden="false" customHeight="false" outlineLevel="0" collapsed="false">
      <c r="A3470" s="62" t="n">
        <v>3469</v>
      </c>
      <c r="B3470" s="63" t="n">
        <v>46303.9547222222</v>
      </c>
      <c r="C3470" s="64" t="n">
        <v>46303</v>
      </c>
      <c r="D3470" s="62" t="s">
        <v>202</v>
      </c>
      <c r="E3470" s="62" t="s">
        <v>2081</v>
      </c>
      <c r="F3470" s="62" t="s">
        <v>2081</v>
      </c>
      <c r="G3470" s="62" t="s">
        <v>2082</v>
      </c>
      <c r="H3470" s="62" t="s">
        <v>57</v>
      </c>
      <c r="I3470" s="62" t="s">
        <v>47</v>
      </c>
      <c r="J3470" s="62" t="s">
        <v>146</v>
      </c>
      <c r="K3470" s="62" t="s">
        <v>147</v>
      </c>
      <c r="L3470" s="62" t="s">
        <v>148</v>
      </c>
      <c r="M3470" s="62" t="n">
        <v>0</v>
      </c>
      <c r="N3470" s="62" t="n">
        <v>2</v>
      </c>
      <c r="O3470" s="62" t="n">
        <v>2</v>
      </c>
      <c r="P3470" s="62" t="n">
        <v>0</v>
      </c>
      <c r="Q3470" s="62" t="n">
        <v>0</v>
      </c>
      <c r="R3470" s="62" t="n">
        <v>0</v>
      </c>
      <c r="S3470" s="62" t="n">
        <v>1</v>
      </c>
      <c r="T3470" s="62" t="n">
        <v>1</v>
      </c>
      <c r="U3470" s="62"/>
      <c r="V3470" s="62"/>
      <c r="W3470" s="62"/>
      <c r="X3470" s="62"/>
      <c r="Y3470" s="62"/>
      <c r="Z3470" s="62" t="s">
        <v>6351</v>
      </c>
      <c r="AA3470" s="62" t="s">
        <v>6352</v>
      </c>
      <c r="AB3470" s="62" t="n">
        <v>0</v>
      </c>
      <c r="AC3470" s="62" t="n">
        <v>0</v>
      </c>
      <c r="AD3470" s="62" t="n">
        <v>1</v>
      </c>
      <c r="AE3470" s="62" t="n">
        <f aca="false">IF(AND(Dashboard!$C$9="Yes",AC3470=1),0,1)</f>
        <v>1</v>
      </c>
      <c r="AF3470" s="62" t="n">
        <v>1</v>
      </c>
    </row>
    <row r="3471" customFormat="false" ht="15" hidden="false" customHeight="false" outlineLevel="0" collapsed="false">
      <c r="A3471" s="62" t="n">
        <v>3470</v>
      </c>
      <c r="B3471" s="63" t="n">
        <v>46303.9636689815</v>
      </c>
      <c r="C3471" s="64" t="n">
        <v>46303</v>
      </c>
      <c r="D3471" s="62" t="s">
        <v>202</v>
      </c>
      <c r="E3471" s="62" t="s">
        <v>4258</v>
      </c>
      <c r="F3471" s="62" t="s">
        <v>4258</v>
      </c>
      <c r="G3471" s="62" t="s">
        <v>4259</v>
      </c>
      <c r="H3471" s="62" t="s">
        <v>44</v>
      </c>
      <c r="I3471" s="62" t="s">
        <v>49</v>
      </c>
      <c r="J3471" s="62" t="s">
        <v>146</v>
      </c>
      <c r="K3471" s="62" t="s">
        <v>147</v>
      </c>
      <c r="L3471" s="62" t="s">
        <v>4</v>
      </c>
      <c r="M3471" s="62" t="n">
        <v>1</v>
      </c>
      <c r="N3471" s="62" t="n">
        <v>0</v>
      </c>
      <c r="O3471" s="62" t="n">
        <v>1</v>
      </c>
      <c r="P3471" s="62" t="n">
        <v>0</v>
      </c>
      <c r="Q3471" s="62" t="n">
        <v>0</v>
      </c>
      <c r="R3471" s="62" t="n">
        <v>0</v>
      </c>
      <c r="S3471" s="62" t="n">
        <v>0</v>
      </c>
      <c r="T3471" s="62" t="n">
        <v>0</v>
      </c>
      <c r="U3471" s="62" t="s">
        <v>15</v>
      </c>
      <c r="V3471" s="62" t="s">
        <v>2057</v>
      </c>
      <c r="W3471" s="62" t="s">
        <v>2056</v>
      </c>
      <c r="X3471" s="62" t="s">
        <v>2058</v>
      </c>
      <c r="Y3471" s="62" t="s">
        <v>2059</v>
      </c>
      <c r="Z3471" s="62" t="s">
        <v>6353</v>
      </c>
      <c r="AA3471" s="62" t="s">
        <v>6353</v>
      </c>
      <c r="AB3471" s="62" t="n">
        <v>1</v>
      </c>
      <c r="AC3471" s="62" t="n">
        <v>0</v>
      </c>
      <c r="AD3471" s="62" t="n">
        <v>1</v>
      </c>
      <c r="AE3471" s="62" t="n">
        <f aca="false">IF(AND(Dashboard!$C$9="Yes",AC3471=1),0,1)</f>
        <v>1</v>
      </c>
      <c r="AF3471" s="62" t="n">
        <v>0</v>
      </c>
    </row>
    <row r="3472" customFormat="false" ht="15" hidden="false" customHeight="false" outlineLevel="0" collapsed="false">
      <c r="A3472" s="62" t="n">
        <v>3471</v>
      </c>
      <c r="B3472" s="63" t="n">
        <v>46303.9751851852</v>
      </c>
      <c r="C3472" s="64" t="n">
        <v>46303</v>
      </c>
      <c r="D3472" s="62" t="s">
        <v>202</v>
      </c>
      <c r="E3472" s="62" t="s">
        <v>6354</v>
      </c>
      <c r="F3472" s="62" t="s">
        <v>6354</v>
      </c>
      <c r="G3472" s="62" t="s">
        <v>6355</v>
      </c>
      <c r="H3472" s="62" t="s">
        <v>54</v>
      </c>
      <c r="I3472" s="62" t="s">
        <v>49</v>
      </c>
      <c r="J3472" s="62" t="s">
        <v>3708</v>
      </c>
      <c r="K3472" s="62" t="s">
        <v>209</v>
      </c>
      <c r="L3472" s="62" t="s">
        <v>148</v>
      </c>
      <c r="M3472" s="62" t="n">
        <v>0</v>
      </c>
      <c r="N3472" s="62" t="n">
        <v>2</v>
      </c>
      <c r="O3472" s="62" t="n">
        <v>2</v>
      </c>
      <c r="P3472" s="62" t="n">
        <v>1</v>
      </c>
      <c r="Q3472" s="62" t="n">
        <v>1</v>
      </c>
      <c r="R3472" s="62" t="n">
        <v>0</v>
      </c>
      <c r="S3472" s="62" t="n">
        <v>0</v>
      </c>
      <c r="T3472" s="62" t="n">
        <v>0</v>
      </c>
      <c r="U3472" s="62"/>
      <c r="V3472" s="62"/>
      <c r="W3472" s="62"/>
      <c r="X3472" s="62"/>
      <c r="Y3472" s="62"/>
      <c r="Z3472" s="62" t="s">
        <v>6356</v>
      </c>
      <c r="AA3472" s="62" t="s">
        <v>287</v>
      </c>
      <c r="AB3472" s="62" t="n">
        <v>0</v>
      </c>
      <c r="AC3472" s="62" t="n">
        <v>0</v>
      </c>
      <c r="AD3472" s="62" t="n">
        <v>1</v>
      </c>
      <c r="AE3472" s="62" t="n">
        <f aca="false">IF(AND(Dashboard!$C$9="Yes",AC3472=1),0,1)</f>
        <v>1</v>
      </c>
      <c r="AF3472" s="62" t="n">
        <v>1</v>
      </c>
    </row>
    <row r="3473" customFormat="false" ht="15" hidden="false" customHeight="false" outlineLevel="0" collapsed="false">
      <c r="A3473" s="62" t="n">
        <v>3472</v>
      </c>
      <c r="B3473" s="63" t="n">
        <v>46303.9789467593</v>
      </c>
      <c r="C3473" s="64" t="n">
        <v>46303</v>
      </c>
      <c r="D3473" s="62" t="s">
        <v>202</v>
      </c>
      <c r="E3473" s="62" t="s">
        <v>3706</v>
      </c>
      <c r="F3473" s="62" t="s">
        <v>3706</v>
      </c>
      <c r="G3473" s="62" t="s">
        <v>3707</v>
      </c>
      <c r="H3473" s="62" t="s">
        <v>55</v>
      </c>
      <c r="I3473" s="62" t="s">
        <v>49</v>
      </c>
      <c r="J3473" s="62" t="s">
        <v>3708</v>
      </c>
      <c r="K3473" s="62" t="s">
        <v>209</v>
      </c>
      <c r="L3473" s="62" t="s">
        <v>148</v>
      </c>
      <c r="M3473" s="62" t="n">
        <v>0</v>
      </c>
      <c r="N3473" s="62" t="n">
        <v>1</v>
      </c>
      <c r="O3473" s="62" t="n">
        <v>1</v>
      </c>
      <c r="P3473" s="62" t="n">
        <v>0</v>
      </c>
      <c r="Q3473" s="62" t="n">
        <v>0</v>
      </c>
      <c r="R3473" s="62" t="n">
        <v>1</v>
      </c>
      <c r="S3473" s="62" t="n">
        <v>0</v>
      </c>
      <c r="T3473" s="62" t="n">
        <v>0</v>
      </c>
      <c r="U3473" s="62"/>
      <c r="V3473" s="62"/>
      <c r="W3473" s="62"/>
      <c r="X3473" s="62"/>
      <c r="Y3473" s="62"/>
      <c r="Z3473" s="62" t="s">
        <v>6357</v>
      </c>
      <c r="AA3473" s="62" t="s">
        <v>6358</v>
      </c>
      <c r="AB3473" s="62" t="n">
        <v>1</v>
      </c>
      <c r="AC3473" s="62" t="n">
        <v>0</v>
      </c>
      <c r="AD3473" s="62" t="n">
        <v>1</v>
      </c>
      <c r="AE3473" s="62" t="n">
        <f aca="false">IF(AND(Dashboard!$C$9="Yes",AC3473=1),0,1)</f>
        <v>1</v>
      </c>
      <c r="AF3473" s="62" t="n">
        <v>1</v>
      </c>
    </row>
    <row r="3474" customFormat="false" ht="15" hidden="false" customHeight="false" outlineLevel="0" collapsed="false">
      <c r="A3474" s="62" t="n">
        <v>3473</v>
      </c>
      <c r="B3474" s="63" t="n">
        <v>46303.9804398148</v>
      </c>
      <c r="C3474" s="64" t="n">
        <v>46303</v>
      </c>
      <c r="D3474" s="62" t="s">
        <v>202</v>
      </c>
      <c r="E3474" s="62" t="s">
        <v>1112</v>
      </c>
      <c r="F3474" s="62" t="s">
        <v>865</v>
      </c>
      <c r="G3474" s="62" t="s">
        <v>866</v>
      </c>
      <c r="H3474" s="62" t="s">
        <v>46</v>
      </c>
      <c r="I3474" s="62" t="s">
        <v>47</v>
      </c>
      <c r="J3474" s="62" t="s">
        <v>146</v>
      </c>
      <c r="K3474" s="62" t="s">
        <v>209</v>
      </c>
      <c r="L3474" s="62" t="s">
        <v>148</v>
      </c>
      <c r="M3474" s="62" t="n">
        <v>0</v>
      </c>
      <c r="N3474" s="62" t="n">
        <v>2</v>
      </c>
      <c r="O3474" s="62" t="n">
        <v>2</v>
      </c>
      <c r="P3474" s="62" t="n">
        <v>0</v>
      </c>
      <c r="Q3474" s="62" t="n">
        <v>0</v>
      </c>
      <c r="R3474" s="62" t="n">
        <v>0</v>
      </c>
      <c r="S3474" s="62" t="n">
        <v>0</v>
      </c>
      <c r="T3474" s="62" t="n">
        <v>2</v>
      </c>
      <c r="U3474" s="62"/>
      <c r="V3474" s="62"/>
      <c r="W3474" s="62"/>
      <c r="X3474" s="62"/>
      <c r="Y3474" s="62"/>
      <c r="Z3474" s="62" t="s">
        <v>6359</v>
      </c>
      <c r="AA3474" s="62" t="s">
        <v>3331</v>
      </c>
      <c r="AB3474" s="62" t="n">
        <v>1</v>
      </c>
      <c r="AC3474" s="62" t="n">
        <v>0</v>
      </c>
      <c r="AD3474" s="62" t="n">
        <v>1</v>
      </c>
      <c r="AE3474" s="62" t="n">
        <f aca="false">IF(AND(Dashboard!$C$9="Yes",AC3474=1),0,1)</f>
        <v>1</v>
      </c>
      <c r="AF3474" s="62" t="n">
        <v>1</v>
      </c>
    </row>
    <row r="3475" customFormat="false" ht="15" hidden="false" customHeight="false" outlineLevel="0" collapsed="false">
      <c r="A3475" s="62" t="n">
        <v>3474</v>
      </c>
      <c r="B3475" s="63" t="n">
        <v>46303.9898842593</v>
      </c>
      <c r="C3475" s="64" t="n">
        <v>46303</v>
      </c>
      <c r="D3475" s="62" t="s">
        <v>202</v>
      </c>
      <c r="E3475" s="62" t="s">
        <v>2081</v>
      </c>
      <c r="F3475" s="62" t="s">
        <v>2081</v>
      </c>
      <c r="G3475" s="62" t="s">
        <v>2082</v>
      </c>
      <c r="H3475" s="62" t="s">
        <v>57</v>
      </c>
      <c r="I3475" s="62" t="s">
        <v>47</v>
      </c>
      <c r="J3475" s="62" t="s">
        <v>146</v>
      </c>
      <c r="K3475" s="62" t="s">
        <v>147</v>
      </c>
      <c r="L3475" s="62" t="s">
        <v>148</v>
      </c>
      <c r="M3475" s="62" t="n">
        <v>0</v>
      </c>
      <c r="N3475" s="62" t="n">
        <v>1</v>
      </c>
      <c r="O3475" s="62" t="n">
        <v>1</v>
      </c>
      <c r="P3475" s="62" t="n">
        <v>0</v>
      </c>
      <c r="Q3475" s="62" t="n">
        <v>1</v>
      </c>
      <c r="R3475" s="62" t="n">
        <v>0</v>
      </c>
      <c r="S3475" s="62" t="n">
        <v>0</v>
      </c>
      <c r="T3475" s="62" t="n">
        <v>0</v>
      </c>
      <c r="U3475" s="62"/>
      <c r="V3475" s="62"/>
      <c r="W3475" s="62"/>
      <c r="X3475" s="62"/>
      <c r="Y3475" s="62"/>
      <c r="Z3475" s="62" t="s">
        <v>6360</v>
      </c>
      <c r="AA3475" s="62" t="s">
        <v>6361</v>
      </c>
      <c r="AB3475" s="62" t="n">
        <v>1</v>
      </c>
      <c r="AC3475" s="62" t="n">
        <v>0</v>
      </c>
      <c r="AD3475" s="62" t="n">
        <v>1</v>
      </c>
      <c r="AE3475" s="62" t="n">
        <f aca="false">IF(AND(Dashboard!$C$9="Yes",AC3475=1),0,1)</f>
        <v>1</v>
      </c>
      <c r="AF3475" s="62" t="n">
        <v>0</v>
      </c>
    </row>
    <row r="3476" customFormat="false" ht="15" hidden="false" customHeight="false" outlineLevel="0" collapsed="false">
      <c r="A3476" s="62" t="n">
        <v>3475</v>
      </c>
      <c r="B3476" s="63" t="n">
        <v>46303.9965277778</v>
      </c>
      <c r="C3476" s="64" t="n">
        <v>46303</v>
      </c>
      <c r="D3476" s="62" t="s">
        <v>202</v>
      </c>
      <c r="E3476" s="62" t="s">
        <v>4258</v>
      </c>
      <c r="F3476" s="62" t="s">
        <v>4258</v>
      </c>
      <c r="G3476" s="62" t="s">
        <v>4259</v>
      </c>
      <c r="H3476" s="62" t="s">
        <v>44</v>
      </c>
      <c r="I3476" s="62" t="s">
        <v>49</v>
      </c>
      <c r="J3476" s="62" t="s">
        <v>146</v>
      </c>
      <c r="K3476" s="62" t="s">
        <v>147</v>
      </c>
      <c r="L3476" s="62" t="s">
        <v>4</v>
      </c>
      <c r="M3476" s="62" t="n">
        <v>1</v>
      </c>
      <c r="N3476" s="62" t="n">
        <v>0</v>
      </c>
      <c r="O3476" s="62" t="n">
        <v>1</v>
      </c>
      <c r="P3476" s="62" t="n">
        <v>0</v>
      </c>
      <c r="Q3476" s="62" t="n">
        <v>0</v>
      </c>
      <c r="R3476" s="62" t="n">
        <v>0</v>
      </c>
      <c r="S3476" s="62" t="n">
        <v>0</v>
      </c>
      <c r="T3476" s="62" t="n">
        <v>0</v>
      </c>
      <c r="U3476" s="62" t="s">
        <v>2056</v>
      </c>
      <c r="V3476" s="62" t="s">
        <v>2057</v>
      </c>
      <c r="W3476" s="62" t="s">
        <v>2056</v>
      </c>
      <c r="X3476" s="62" t="s">
        <v>2058</v>
      </c>
      <c r="Y3476" s="62" t="s">
        <v>2059</v>
      </c>
      <c r="Z3476" s="62" t="s">
        <v>6362</v>
      </c>
      <c r="AA3476" s="62" t="s">
        <v>6362</v>
      </c>
      <c r="AB3476" s="62" t="n">
        <v>1</v>
      </c>
      <c r="AC3476" s="62" t="n">
        <v>0</v>
      </c>
      <c r="AD3476" s="62" t="n">
        <v>1</v>
      </c>
      <c r="AE3476" s="62" t="n">
        <f aca="false">IF(AND(Dashboard!$C$9="Yes",AC3476=1),0,1)</f>
        <v>1</v>
      </c>
      <c r="AF3476" s="62" t="n">
        <v>0</v>
      </c>
    </row>
    <row r="3477" customFormat="false" ht="15" hidden="false" customHeight="false" outlineLevel="0" collapsed="false">
      <c r="A3477" s="62" t="n">
        <v>3476</v>
      </c>
      <c r="B3477" s="63" t="n">
        <v>46303.9990393519</v>
      </c>
      <c r="C3477" s="64" t="n">
        <v>46303</v>
      </c>
      <c r="D3477" s="62" t="s">
        <v>202</v>
      </c>
      <c r="E3477" s="62" t="s">
        <v>3226</v>
      </c>
      <c r="F3477" s="62" t="s">
        <v>3226</v>
      </c>
      <c r="G3477" s="62" t="s">
        <v>3227</v>
      </c>
      <c r="H3477" s="62" t="s">
        <v>46</v>
      </c>
      <c r="I3477" s="62" t="s">
        <v>47</v>
      </c>
      <c r="J3477" s="62" t="s">
        <v>146</v>
      </c>
      <c r="K3477" s="62" t="s">
        <v>209</v>
      </c>
      <c r="L3477" s="62" t="s">
        <v>148</v>
      </c>
      <c r="M3477" s="62" t="n">
        <v>0</v>
      </c>
      <c r="N3477" s="62" t="n">
        <v>2</v>
      </c>
      <c r="O3477" s="62" t="n">
        <v>2</v>
      </c>
      <c r="P3477" s="62" t="n">
        <v>0</v>
      </c>
      <c r="Q3477" s="62" t="n">
        <v>0</v>
      </c>
      <c r="R3477" s="62" t="n">
        <v>2</v>
      </c>
      <c r="S3477" s="62" t="n">
        <v>0</v>
      </c>
      <c r="T3477" s="62" t="n">
        <v>0</v>
      </c>
      <c r="U3477" s="62"/>
      <c r="V3477" s="62"/>
      <c r="W3477" s="62"/>
      <c r="X3477" s="62"/>
      <c r="Y3477" s="62"/>
      <c r="Z3477" s="62" t="s">
        <v>6363</v>
      </c>
      <c r="AA3477" s="62" t="s">
        <v>6364</v>
      </c>
      <c r="AB3477" s="62" t="n">
        <v>1</v>
      </c>
      <c r="AC3477" s="62" t="n">
        <v>0</v>
      </c>
      <c r="AD3477" s="62" t="n">
        <v>1</v>
      </c>
      <c r="AE3477" s="62" t="n">
        <f aca="false">IF(AND(Dashboard!$C$9="Yes",AC3477=1),0,1)</f>
        <v>1</v>
      </c>
      <c r="AF3477" s="62" t="n">
        <v>1</v>
      </c>
    </row>
    <row r="3478" customFormat="false" ht="15" hidden="false" customHeight="false" outlineLevel="0" collapsed="false">
      <c r="A3478" s="62" t="n">
        <v>3477</v>
      </c>
      <c r="B3478" s="63" t="n">
        <v>46304.0019907407</v>
      </c>
      <c r="C3478" s="64" t="n">
        <v>46303</v>
      </c>
      <c r="D3478" s="62" t="s">
        <v>202</v>
      </c>
      <c r="E3478" s="62" t="s">
        <v>4258</v>
      </c>
      <c r="F3478" s="62" t="s">
        <v>4258</v>
      </c>
      <c r="G3478" s="62" t="s">
        <v>4259</v>
      </c>
      <c r="H3478" s="62" t="s">
        <v>44</v>
      </c>
      <c r="I3478" s="62" t="s">
        <v>49</v>
      </c>
      <c r="J3478" s="62" t="s">
        <v>146</v>
      </c>
      <c r="K3478" s="62" t="s">
        <v>147</v>
      </c>
      <c r="L3478" s="62" t="s">
        <v>148</v>
      </c>
      <c r="M3478" s="62" t="n">
        <v>0</v>
      </c>
      <c r="N3478" s="62" t="n">
        <v>1</v>
      </c>
      <c r="O3478" s="62" t="n">
        <v>1</v>
      </c>
      <c r="P3478" s="62" t="n">
        <v>1</v>
      </c>
      <c r="Q3478" s="62" t="n">
        <v>0</v>
      </c>
      <c r="R3478" s="62" t="n">
        <v>0</v>
      </c>
      <c r="S3478" s="62" t="n">
        <v>0</v>
      </c>
      <c r="T3478" s="62" t="n">
        <v>0</v>
      </c>
      <c r="U3478" s="62"/>
      <c r="V3478" s="62"/>
      <c r="W3478" s="62"/>
      <c r="X3478" s="62"/>
      <c r="Y3478" s="62"/>
      <c r="Z3478" s="62" t="s">
        <v>6365</v>
      </c>
      <c r="AA3478" s="62" t="s">
        <v>6366</v>
      </c>
      <c r="AB3478" s="62" t="n">
        <v>1</v>
      </c>
      <c r="AC3478" s="62" t="n">
        <v>0</v>
      </c>
      <c r="AD3478" s="62" t="n">
        <v>1</v>
      </c>
      <c r="AE3478" s="62" t="n">
        <f aca="false">IF(AND(Dashboard!$C$9="Yes",AC3478=1),0,1)</f>
        <v>1</v>
      </c>
      <c r="AF3478" s="62" t="n">
        <v>0</v>
      </c>
    </row>
    <row r="3479" customFormat="false" ht="15" hidden="false" customHeight="false" outlineLevel="0" collapsed="false">
      <c r="A3479" s="62" t="n">
        <v>3478</v>
      </c>
      <c r="B3479" s="63" t="n">
        <v>46304.0105671296</v>
      </c>
      <c r="C3479" s="64" t="n">
        <v>46303</v>
      </c>
      <c r="D3479" s="62" t="s">
        <v>202</v>
      </c>
      <c r="E3479" s="62" t="s">
        <v>312</v>
      </c>
      <c r="F3479" s="62" t="s">
        <v>312</v>
      </c>
      <c r="G3479" s="62" t="s">
        <v>313</v>
      </c>
      <c r="H3479" s="62" t="s">
        <v>51</v>
      </c>
      <c r="I3479" s="62" t="s">
        <v>47</v>
      </c>
      <c r="J3479" s="62" t="s">
        <v>146</v>
      </c>
      <c r="K3479" s="62" t="s">
        <v>147</v>
      </c>
      <c r="L3479" s="62" t="s">
        <v>4</v>
      </c>
      <c r="M3479" s="62" t="n">
        <v>1</v>
      </c>
      <c r="N3479" s="62" t="n">
        <v>0</v>
      </c>
      <c r="O3479" s="62" t="n">
        <v>1</v>
      </c>
      <c r="P3479" s="62" t="n">
        <v>0</v>
      </c>
      <c r="Q3479" s="62" t="n">
        <v>0</v>
      </c>
      <c r="R3479" s="62" t="n">
        <v>0</v>
      </c>
      <c r="S3479" s="62" t="n">
        <v>0</v>
      </c>
      <c r="T3479" s="62" t="n">
        <v>0</v>
      </c>
      <c r="U3479" s="62" t="s">
        <v>2056</v>
      </c>
      <c r="V3479" s="62" t="s">
        <v>2057</v>
      </c>
      <c r="W3479" s="62" t="s">
        <v>15</v>
      </c>
      <c r="X3479" s="62" t="s">
        <v>2253</v>
      </c>
      <c r="Y3479" s="62" t="s">
        <v>2103</v>
      </c>
      <c r="Z3479" s="62" t="s">
        <v>6347</v>
      </c>
      <c r="AA3479" s="62" t="s">
        <v>6367</v>
      </c>
      <c r="AB3479" s="62" t="n">
        <v>1</v>
      </c>
      <c r="AC3479" s="62" t="n">
        <v>0</v>
      </c>
      <c r="AD3479" s="62" t="n">
        <v>1</v>
      </c>
      <c r="AE3479" s="62" t="n">
        <f aca="false">IF(AND(Dashboard!$C$9="Yes",AC3479=1),0,1)</f>
        <v>1</v>
      </c>
      <c r="AF3479" s="62" t="n">
        <v>0</v>
      </c>
    </row>
    <row r="3480" customFormat="false" ht="15" hidden="false" customHeight="false" outlineLevel="0" collapsed="false">
      <c r="A3480" s="62" t="n">
        <v>3479</v>
      </c>
      <c r="B3480" s="63" t="n">
        <v>46304.0117013889</v>
      </c>
      <c r="C3480" s="64" t="n">
        <v>46303</v>
      </c>
      <c r="D3480" s="62" t="s">
        <v>202</v>
      </c>
      <c r="E3480" s="62" t="s">
        <v>5969</v>
      </c>
      <c r="F3480" s="62" t="s">
        <v>5969</v>
      </c>
      <c r="G3480" s="62" t="s">
        <v>5970</v>
      </c>
      <c r="H3480" s="62" t="s">
        <v>50</v>
      </c>
      <c r="I3480" s="62" t="s">
        <v>49</v>
      </c>
      <c r="J3480" s="62" t="s">
        <v>3708</v>
      </c>
      <c r="K3480" s="62" t="s">
        <v>209</v>
      </c>
      <c r="L3480" s="62" t="s">
        <v>148</v>
      </c>
      <c r="M3480" s="62" t="n">
        <v>0</v>
      </c>
      <c r="N3480" s="62" t="n">
        <v>1</v>
      </c>
      <c r="O3480" s="62" t="n">
        <v>1</v>
      </c>
      <c r="P3480" s="62" t="n">
        <v>0</v>
      </c>
      <c r="Q3480" s="62" t="n">
        <v>0</v>
      </c>
      <c r="R3480" s="62" t="n">
        <v>0</v>
      </c>
      <c r="S3480" s="62" t="n">
        <v>1</v>
      </c>
      <c r="T3480" s="62" t="n">
        <v>0</v>
      </c>
      <c r="U3480" s="62"/>
      <c r="V3480" s="62"/>
      <c r="W3480" s="62"/>
      <c r="X3480" s="62"/>
      <c r="Y3480" s="62"/>
      <c r="Z3480" s="62" t="s">
        <v>6368</v>
      </c>
      <c r="AA3480" s="62" t="s">
        <v>6369</v>
      </c>
      <c r="AB3480" s="62" t="n">
        <v>1</v>
      </c>
      <c r="AC3480" s="62" t="n">
        <v>0</v>
      </c>
      <c r="AD3480" s="62" t="n">
        <v>1</v>
      </c>
      <c r="AE3480" s="62" t="n">
        <f aca="false">IF(AND(Dashboard!$C$9="Yes",AC3480=1),0,1)</f>
        <v>1</v>
      </c>
      <c r="AF3480" s="62" t="n">
        <v>1</v>
      </c>
    </row>
    <row r="3481" customFormat="false" ht="15" hidden="false" customHeight="false" outlineLevel="0" collapsed="false">
      <c r="A3481" s="62" t="n">
        <v>3480</v>
      </c>
      <c r="B3481" s="63" t="n">
        <v>46304.0148726852</v>
      </c>
      <c r="C3481" s="64" t="n">
        <v>46303</v>
      </c>
      <c r="D3481" s="62" t="s">
        <v>202</v>
      </c>
      <c r="E3481" s="62" t="s">
        <v>2081</v>
      </c>
      <c r="F3481" s="62" t="s">
        <v>2081</v>
      </c>
      <c r="G3481" s="62" t="s">
        <v>2082</v>
      </c>
      <c r="H3481" s="62" t="s">
        <v>57</v>
      </c>
      <c r="I3481" s="62" t="s">
        <v>47</v>
      </c>
      <c r="J3481" s="62" t="s">
        <v>146</v>
      </c>
      <c r="K3481" s="62" t="s">
        <v>147</v>
      </c>
      <c r="L3481" s="62" t="s">
        <v>148</v>
      </c>
      <c r="M3481" s="62" t="n">
        <v>0</v>
      </c>
      <c r="N3481" s="62" t="n">
        <v>1</v>
      </c>
      <c r="O3481" s="62" t="n">
        <v>1</v>
      </c>
      <c r="P3481" s="62" t="n">
        <v>1</v>
      </c>
      <c r="Q3481" s="62" t="n">
        <v>0</v>
      </c>
      <c r="R3481" s="62" t="n">
        <v>0</v>
      </c>
      <c r="S3481" s="62" t="n">
        <v>0</v>
      </c>
      <c r="T3481" s="62" t="n">
        <v>0</v>
      </c>
      <c r="U3481" s="62"/>
      <c r="V3481" s="62"/>
      <c r="W3481" s="62"/>
      <c r="X3481" s="62"/>
      <c r="Y3481" s="62"/>
      <c r="Z3481" s="62" t="s">
        <v>6370</v>
      </c>
      <c r="AA3481" s="62" t="s">
        <v>6361</v>
      </c>
      <c r="AB3481" s="62" t="n">
        <v>1</v>
      </c>
      <c r="AC3481" s="62" t="n">
        <v>0</v>
      </c>
      <c r="AD3481" s="62" t="n">
        <v>1</v>
      </c>
      <c r="AE3481" s="62" t="n">
        <f aca="false">IF(AND(Dashboard!$C$9="Yes",AC3481=1),0,1)</f>
        <v>1</v>
      </c>
      <c r="AF3481" s="62" t="n">
        <v>0</v>
      </c>
    </row>
    <row r="3482" customFormat="false" ht="15" hidden="false" customHeight="false" outlineLevel="0" collapsed="false">
      <c r="A3482" s="62" t="n">
        <v>3481</v>
      </c>
      <c r="B3482" s="63" t="n">
        <v>46304.0226273148</v>
      </c>
      <c r="C3482" s="64" t="n">
        <v>46303</v>
      </c>
      <c r="D3482" s="62" t="s">
        <v>202</v>
      </c>
      <c r="E3482" s="62" t="s">
        <v>5969</v>
      </c>
      <c r="F3482" s="62" t="s">
        <v>5969</v>
      </c>
      <c r="G3482" s="62" t="s">
        <v>5970</v>
      </c>
      <c r="H3482" s="62" t="s">
        <v>50</v>
      </c>
      <c r="I3482" s="62" t="s">
        <v>49</v>
      </c>
      <c r="J3482" s="62" t="s">
        <v>3708</v>
      </c>
      <c r="K3482" s="62" t="s">
        <v>209</v>
      </c>
      <c r="L3482" s="62" t="s">
        <v>4</v>
      </c>
      <c r="M3482" s="62" t="n">
        <v>1</v>
      </c>
      <c r="N3482" s="62" t="n">
        <v>0</v>
      </c>
      <c r="O3482" s="62" t="n">
        <v>1</v>
      </c>
      <c r="P3482" s="62" t="n">
        <v>0</v>
      </c>
      <c r="Q3482" s="62" t="n">
        <v>0</v>
      </c>
      <c r="R3482" s="62" t="n">
        <v>0</v>
      </c>
      <c r="S3482" s="62" t="n">
        <v>0</v>
      </c>
      <c r="T3482" s="62" t="n">
        <v>0</v>
      </c>
      <c r="U3482" s="62" t="s">
        <v>15</v>
      </c>
      <c r="V3482" s="62" t="s">
        <v>2057</v>
      </c>
      <c r="W3482" s="62" t="s">
        <v>15</v>
      </c>
      <c r="X3482" s="62" t="s">
        <v>2058</v>
      </c>
      <c r="Y3482" s="62" t="s">
        <v>2103</v>
      </c>
      <c r="Z3482" s="62" t="s">
        <v>6368</v>
      </c>
      <c r="AA3482" s="62" t="s">
        <v>6371</v>
      </c>
      <c r="AB3482" s="62" t="n">
        <v>1</v>
      </c>
      <c r="AC3482" s="62" t="n">
        <v>0</v>
      </c>
      <c r="AD3482" s="62" t="n">
        <v>1</v>
      </c>
      <c r="AE3482" s="62" t="n">
        <f aca="false">IF(AND(Dashboard!$C$9="Yes",AC3482=1),0,1)</f>
        <v>1</v>
      </c>
      <c r="AF3482" s="62" t="n">
        <v>0</v>
      </c>
    </row>
    <row r="3483" customFormat="false" ht="15" hidden="false" customHeight="false" outlineLevel="0" collapsed="false">
      <c r="A3483" s="62" t="n">
        <v>3482</v>
      </c>
      <c r="B3483" s="63" t="n">
        <v>46304.0233449074</v>
      </c>
      <c r="C3483" s="64" t="n">
        <v>46303</v>
      </c>
      <c r="D3483" s="62" t="s">
        <v>202</v>
      </c>
      <c r="E3483" s="62" t="s">
        <v>6134</v>
      </c>
      <c r="F3483" s="62" t="s">
        <v>6135</v>
      </c>
      <c r="G3483" s="62" t="s">
        <v>153</v>
      </c>
      <c r="H3483" s="62" t="s">
        <v>153</v>
      </c>
      <c r="I3483" s="62" t="s">
        <v>153</v>
      </c>
      <c r="J3483" s="62" t="s">
        <v>64</v>
      </c>
      <c r="K3483" s="62" t="s">
        <v>64</v>
      </c>
      <c r="L3483" s="62" t="s">
        <v>148</v>
      </c>
      <c r="M3483" s="62" t="n">
        <v>0</v>
      </c>
      <c r="N3483" s="62" t="n">
        <v>1</v>
      </c>
      <c r="O3483" s="62" t="n">
        <v>1</v>
      </c>
      <c r="P3483" s="62" t="n">
        <v>0</v>
      </c>
      <c r="Q3483" s="62" t="n">
        <v>1</v>
      </c>
      <c r="R3483" s="62" t="n">
        <v>0</v>
      </c>
      <c r="S3483" s="62" t="n">
        <v>0</v>
      </c>
      <c r="T3483" s="62" t="n">
        <v>0</v>
      </c>
      <c r="U3483" s="62"/>
      <c r="V3483" s="62"/>
      <c r="W3483" s="62"/>
      <c r="X3483" s="62"/>
      <c r="Y3483" s="62"/>
      <c r="Z3483" s="62" t="s">
        <v>6372</v>
      </c>
      <c r="AA3483" s="62" t="s">
        <v>6373</v>
      </c>
      <c r="AB3483" s="62" t="n">
        <v>1</v>
      </c>
      <c r="AC3483" s="62" t="n">
        <v>0</v>
      </c>
      <c r="AD3483" s="62" t="n">
        <v>0</v>
      </c>
      <c r="AE3483" s="62" t="n">
        <f aca="false">IF(AND(Dashboard!$C$9="Yes",AC3483=1),0,1)</f>
        <v>1</v>
      </c>
      <c r="AF3483" s="62" t="n">
        <v>0</v>
      </c>
    </row>
    <row r="3484" customFormat="false" ht="15" hidden="false" customHeight="false" outlineLevel="0" collapsed="false">
      <c r="A3484" s="62" t="n">
        <v>3483</v>
      </c>
      <c r="B3484" s="63" t="n">
        <v>46304.0236342593</v>
      </c>
      <c r="C3484" s="64" t="n">
        <v>46303</v>
      </c>
      <c r="D3484" s="62" t="s">
        <v>202</v>
      </c>
      <c r="E3484" s="62" t="s">
        <v>218</v>
      </c>
      <c r="F3484" s="62" t="s">
        <v>218</v>
      </c>
      <c r="G3484" s="62" t="s">
        <v>219</v>
      </c>
      <c r="H3484" s="62" t="s">
        <v>51</v>
      </c>
      <c r="I3484" s="62" t="s">
        <v>47</v>
      </c>
      <c r="J3484" s="62" t="s">
        <v>146</v>
      </c>
      <c r="K3484" s="62" t="s">
        <v>147</v>
      </c>
      <c r="L3484" s="62" t="s">
        <v>148</v>
      </c>
      <c r="M3484" s="62" t="n">
        <v>0</v>
      </c>
      <c r="N3484" s="62" t="n">
        <v>1</v>
      </c>
      <c r="O3484" s="62" t="n">
        <v>1</v>
      </c>
      <c r="P3484" s="62" t="n">
        <v>0</v>
      </c>
      <c r="Q3484" s="62" t="n">
        <v>1</v>
      </c>
      <c r="R3484" s="62" t="n">
        <v>0</v>
      </c>
      <c r="S3484" s="62" t="n">
        <v>0</v>
      </c>
      <c r="T3484" s="62" t="n">
        <v>0</v>
      </c>
      <c r="U3484" s="62"/>
      <c r="V3484" s="62"/>
      <c r="W3484" s="62"/>
      <c r="X3484" s="62"/>
      <c r="Y3484" s="62"/>
      <c r="Z3484" s="62" t="s">
        <v>6374</v>
      </c>
      <c r="AA3484" s="62" t="s">
        <v>6375</v>
      </c>
      <c r="AB3484" s="62" t="n">
        <v>1</v>
      </c>
      <c r="AC3484" s="62" t="n">
        <v>0</v>
      </c>
      <c r="AD3484" s="62" t="n">
        <v>1</v>
      </c>
      <c r="AE3484" s="62" t="n">
        <f aca="false">IF(AND(Dashboard!$C$9="Yes",AC3484=1),0,1)</f>
        <v>1</v>
      </c>
      <c r="AF3484" s="62" t="n">
        <v>1</v>
      </c>
    </row>
    <row r="3485" customFormat="false" ht="15" hidden="false" customHeight="false" outlineLevel="0" collapsed="false">
      <c r="A3485" s="62" t="n">
        <v>3484</v>
      </c>
      <c r="B3485" s="63" t="n">
        <v>46304.0303703704</v>
      </c>
      <c r="C3485" s="64" t="n">
        <v>46303</v>
      </c>
      <c r="D3485" s="62" t="s">
        <v>202</v>
      </c>
      <c r="E3485" s="62" t="s">
        <v>6210</v>
      </c>
      <c r="F3485" s="62" t="s">
        <v>6210</v>
      </c>
      <c r="G3485" s="62" t="s">
        <v>6211</v>
      </c>
      <c r="H3485" s="62" t="s">
        <v>53</v>
      </c>
      <c r="I3485" s="62" t="s">
        <v>47</v>
      </c>
      <c r="J3485" s="62" t="s">
        <v>3708</v>
      </c>
      <c r="K3485" s="62" t="s">
        <v>209</v>
      </c>
      <c r="L3485" s="62" t="s">
        <v>148</v>
      </c>
      <c r="M3485" s="62" t="n">
        <v>0</v>
      </c>
      <c r="N3485" s="62" t="n">
        <v>1</v>
      </c>
      <c r="O3485" s="62" t="n">
        <v>1</v>
      </c>
      <c r="P3485" s="62" t="n">
        <v>1</v>
      </c>
      <c r="Q3485" s="62" t="n">
        <v>0</v>
      </c>
      <c r="R3485" s="62" t="n">
        <v>0</v>
      </c>
      <c r="S3485" s="62" t="n">
        <v>0</v>
      </c>
      <c r="T3485" s="62" t="n">
        <v>0</v>
      </c>
      <c r="U3485" s="62"/>
      <c r="V3485" s="62"/>
      <c r="W3485" s="62"/>
      <c r="X3485" s="62"/>
      <c r="Y3485" s="62"/>
      <c r="Z3485" s="62" t="s">
        <v>6376</v>
      </c>
      <c r="AA3485" s="62" t="s">
        <v>6376</v>
      </c>
      <c r="AB3485" s="62" t="n">
        <v>1</v>
      </c>
      <c r="AC3485" s="62" t="n">
        <v>0</v>
      </c>
      <c r="AD3485" s="62" t="n">
        <v>1</v>
      </c>
      <c r="AE3485" s="62" t="n">
        <f aca="false">IF(AND(Dashboard!$C$9="Yes",AC3485=1),0,1)</f>
        <v>1</v>
      </c>
      <c r="AF3485" s="62" t="n">
        <v>1</v>
      </c>
    </row>
    <row r="3486" customFormat="false" ht="15" hidden="false" customHeight="false" outlineLevel="0" collapsed="false">
      <c r="A3486" s="62" t="n">
        <v>3485</v>
      </c>
      <c r="B3486" s="63" t="n">
        <v>46304.0306944445</v>
      </c>
      <c r="C3486" s="64" t="n">
        <v>46303</v>
      </c>
      <c r="D3486" s="62" t="s">
        <v>202</v>
      </c>
      <c r="E3486" s="62" t="s">
        <v>3714</v>
      </c>
      <c r="F3486" s="62" t="s">
        <v>3714</v>
      </c>
      <c r="G3486" s="62" t="s">
        <v>3715</v>
      </c>
      <c r="H3486" s="62" t="s">
        <v>55</v>
      </c>
      <c r="I3486" s="62" t="s">
        <v>49</v>
      </c>
      <c r="J3486" s="62" t="s">
        <v>3708</v>
      </c>
      <c r="K3486" s="62" t="s">
        <v>209</v>
      </c>
      <c r="L3486" s="62" t="s">
        <v>148</v>
      </c>
      <c r="M3486" s="62" t="n">
        <v>0</v>
      </c>
      <c r="N3486" s="62" t="n">
        <v>1</v>
      </c>
      <c r="O3486" s="62" t="n">
        <v>1</v>
      </c>
      <c r="P3486" s="62" t="n">
        <v>0</v>
      </c>
      <c r="Q3486" s="62" t="n">
        <v>1</v>
      </c>
      <c r="R3486" s="62" t="n">
        <v>0</v>
      </c>
      <c r="S3486" s="62" t="n">
        <v>0</v>
      </c>
      <c r="T3486" s="62" t="n">
        <v>0</v>
      </c>
      <c r="U3486" s="62"/>
      <c r="V3486" s="62"/>
      <c r="W3486" s="62"/>
      <c r="X3486" s="62"/>
      <c r="Y3486" s="62"/>
      <c r="Z3486" s="62" t="s">
        <v>6377</v>
      </c>
      <c r="AA3486" s="62" t="s">
        <v>6378</v>
      </c>
      <c r="AB3486" s="62" t="n">
        <v>1</v>
      </c>
      <c r="AC3486" s="62" t="n">
        <v>0</v>
      </c>
      <c r="AD3486" s="62" t="n">
        <v>1</v>
      </c>
      <c r="AE3486" s="62" t="n">
        <f aca="false">IF(AND(Dashboard!$C$9="Yes",AC3486=1),0,1)</f>
        <v>1</v>
      </c>
      <c r="AF3486" s="62" t="n">
        <v>0</v>
      </c>
    </row>
    <row r="3487" customFormat="false" ht="15" hidden="false" customHeight="false" outlineLevel="0" collapsed="false">
      <c r="A3487" s="62" t="n">
        <v>3486</v>
      </c>
      <c r="B3487" s="63" t="n">
        <v>46304.0309953704</v>
      </c>
      <c r="C3487" s="64" t="n">
        <v>46303</v>
      </c>
      <c r="D3487" s="62" t="s">
        <v>202</v>
      </c>
      <c r="E3487" s="62" t="s">
        <v>6261</v>
      </c>
      <c r="F3487" s="62" t="s">
        <v>6262</v>
      </c>
      <c r="G3487" s="62" t="s">
        <v>153</v>
      </c>
      <c r="H3487" s="62" t="s">
        <v>153</v>
      </c>
      <c r="I3487" s="62" t="s">
        <v>153</v>
      </c>
      <c r="J3487" s="62" t="s">
        <v>64</v>
      </c>
      <c r="K3487" s="62" t="s">
        <v>64</v>
      </c>
      <c r="L3487" s="62" t="s">
        <v>148</v>
      </c>
      <c r="M3487" s="62" t="n">
        <v>0</v>
      </c>
      <c r="N3487" s="62" t="n">
        <v>1</v>
      </c>
      <c r="O3487" s="62" t="n">
        <v>1</v>
      </c>
      <c r="P3487" s="62" t="n">
        <v>1</v>
      </c>
      <c r="Q3487" s="62" t="n">
        <v>0</v>
      </c>
      <c r="R3487" s="62" t="n">
        <v>0</v>
      </c>
      <c r="S3487" s="62" t="n">
        <v>0</v>
      </c>
      <c r="T3487" s="62" t="n">
        <v>0</v>
      </c>
      <c r="U3487" s="62"/>
      <c r="V3487" s="62"/>
      <c r="W3487" s="62"/>
      <c r="X3487" s="62"/>
      <c r="Y3487" s="62"/>
      <c r="Z3487" s="62" t="s">
        <v>6379</v>
      </c>
      <c r="AA3487" s="62" t="s">
        <v>6380</v>
      </c>
      <c r="AB3487" s="62" t="n">
        <v>1</v>
      </c>
      <c r="AC3487" s="62" t="n">
        <v>0</v>
      </c>
      <c r="AD3487" s="62" t="n">
        <v>0</v>
      </c>
      <c r="AE3487" s="62" t="n">
        <f aca="false">IF(AND(Dashboard!$C$9="Yes",AC3487=1),0,1)</f>
        <v>1</v>
      </c>
      <c r="AF3487" s="62" t="n">
        <v>0</v>
      </c>
    </row>
    <row r="3488" customFormat="false" ht="15" hidden="false" customHeight="false" outlineLevel="0" collapsed="false">
      <c r="A3488" s="62" t="n">
        <v>3487</v>
      </c>
      <c r="B3488" s="63" t="n">
        <v>46304.0463657407</v>
      </c>
      <c r="C3488" s="64" t="n">
        <v>46303</v>
      </c>
      <c r="D3488" s="62" t="s">
        <v>202</v>
      </c>
      <c r="E3488" s="62" t="s">
        <v>144</v>
      </c>
      <c r="F3488" s="62" t="s">
        <v>144</v>
      </c>
      <c r="G3488" s="62" t="s">
        <v>145</v>
      </c>
      <c r="H3488" s="62" t="s">
        <v>59</v>
      </c>
      <c r="I3488" s="62" t="s">
        <v>47</v>
      </c>
      <c r="J3488" s="62" t="s">
        <v>146</v>
      </c>
      <c r="K3488" s="62" t="s">
        <v>147</v>
      </c>
      <c r="L3488" s="62" t="s">
        <v>148</v>
      </c>
      <c r="M3488" s="62" t="n">
        <v>0</v>
      </c>
      <c r="N3488" s="62" t="n">
        <v>1</v>
      </c>
      <c r="O3488" s="62" t="n">
        <v>1</v>
      </c>
      <c r="P3488" s="62" t="n">
        <v>0</v>
      </c>
      <c r="Q3488" s="62" t="n">
        <v>1</v>
      </c>
      <c r="R3488" s="62" t="n">
        <v>0</v>
      </c>
      <c r="S3488" s="62" t="n">
        <v>0</v>
      </c>
      <c r="T3488" s="62" t="n">
        <v>0</v>
      </c>
      <c r="U3488" s="62"/>
      <c r="V3488" s="62"/>
      <c r="W3488" s="62"/>
      <c r="X3488" s="62"/>
      <c r="Y3488" s="62"/>
      <c r="Z3488" s="62" t="s">
        <v>6381</v>
      </c>
      <c r="AA3488" s="62" t="s">
        <v>6382</v>
      </c>
      <c r="AB3488" s="62" t="n">
        <v>1</v>
      </c>
      <c r="AC3488" s="62" t="n">
        <v>0</v>
      </c>
      <c r="AD3488" s="62" t="n">
        <v>1</v>
      </c>
      <c r="AE3488" s="62" t="n">
        <f aca="false">IF(AND(Dashboard!$C$9="Yes",AC3488=1),0,1)</f>
        <v>1</v>
      </c>
      <c r="AF3488" s="62" t="n">
        <v>1</v>
      </c>
    </row>
    <row r="3489" customFormat="false" ht="15" hidden="false" customHeight="false" outlineLevel="0" collapsed="false">
      <c r="A3489" s="62" t="n">
        <v>3488</v>
      </c>
      <c r="B3489" s="63" t="n">
        <v>46304.0465625</v>
      </c>
      <c r="C3489" s="64" t="n">
        <v>46303</v>
      </c>
      <c r="D3489" s="62" t="s">
        <v>202</v>
      </c>
      <c r="E3489" s="62" t="s">
        <v>144</v>
      </c>
      <c r="F3489" s="62" t="s">
        <v>144</v>
      </c>
      <c r="G3489" s="62" t="s">
        <v>145</v>
      </c>
      <c r="H3489" s="62" t="s">
        <v>59</v>
      </c>
      <c r="I3489" s="62" t="s">
        <v>47</v>
      </c>
      <c r="J3489" s="62" t="s">
        <v>146</v>
      </c>
      <c r="K3489" s="62" t="s">
        <v>147</v>
      </c>
      <c r="L3489" s="62" t="s">
        <v>148</v>
      </c>
      <c r="M3489" s="62" t="n">
        <v>0</v>
      </c>
      <c r="N3489" s="62" t="n">
        <v>1</v>
      </c>
      <c r="O3489" s="62" t="n">
        <v>1</v>
      </c>
      <c r="P3489" s="62" t="n">
        <v>0</v>
      </c>
      <c r="Q3489" s="62" t="n">
        <v>1</v>
      </c>
      <c r="R3489" s="62" t="n">
        <v>0</v>
      </c>
      <c r="S3489" s="62" t="n">
        <v>0</v>
      </c>
      <c r="T3489" s="62" t="n">
        <v>0</v>
      </c>
      <c r="U3489" s="62"/>
      <c r="V3489" s="62"/>
      <c r="W3489" s="62"/>
      <c r="X3489" s="62"/>
      <c r="Y3489" s="62"/>
      <c r="Z3489" s="62" t="s">
        <v>6381</v>
      </c>
      <c r="AA3489" s="62" t="s">
        <v>6382</v>
      </c>
      <c r="AB3489" s="62" t="n">
        <v>1</v>
      </c>
      <c r="AC3489" s="62" t="n">
        <v>1</v>
      </c>
      <c r="AD3489" s="62" t="n">
        <v>1</v>
      </c>
      <c r="AE3489" s="62" t="n">
        <f aca="false">IF(AND(Dashboard!$C$9="Yes",AC3489=1),0,1)</f>
        <v>0</v>
      </c>
      <c r="AF3489" s="62" t="n">
        <v>0</v>
      </c>
    </row>
    <row r="3490" customFormat="false" ht="15" hidden="false" customHeight="false" outlineLevel="0" collapsed="false">
      <c r="A3490" s="62" t="n">
        <v>3489</v>
      </c>
      <c r="B3490" s="63" t="n">
        <v>46304.0468171296</v>
      </c>
      <c r="C3490" s="64" t="n">
        <v>46303</v>
      </c>
      <c r="D3490" s="62" t="s">
        <v>202</v>
      </c>
      <c r="E3490" s="62" t="s">
        <v>6383</v>
      </c>
      <c r="F3490" s="62" t="s">
        <v>6384</v>
      </c>
      <c r="G3490" s="62" t="s">
        <v>153</v>
      </c>
      <c r="H3490" s="62" t="s">
        <v>153</v>
      </c>
      <c r="I3490" s="62" t="s">
        <v>153</v>
      </c>
      <c r="J3490" s="62" t="s">
        <v>64</v>
      </c>
      <c r="K3490" s="62" t="s">
        <v>64</v>
      </c>
      <c r="L3490" s="62" t="s">
        <v>4</v>
      </c>
      <c r="M3490" s="62" t="n">
        <v>1</v>
      </c>
      <c r="N3490" s="62" t="n">
        <v>0</v>
      </c>
      <c r="O3490" s="62" t="n">
        <v>1</v>
      </c>
      <c r="P3490" s="62" t="n">
        <v>0</v>
      </c>
      <c r="Q3490" s="62" t="n">
        <v>0</v>
      </c>
      <c r="R3490" s="62" t="n">
        <v>0</v>
      </c>
      <c r="S3490" s="62" t="n">
        <v>0</v>
      </c>
      <c r="T3490" s="62" t="n">
        <v>0</v>
      </c>
      <c r="U3490" s="62" t="s">
        <v>2056</v>
      </c>
      <c r="V3490" s="62" t="s">
        <v>2057</v>
      </c>
      <c r="W3490" s="62" t="s">
        <v>2056</v>
      </c>
      <c r="X3490" s="62" t="s">
        <v>3214</v>
      </c>
      <c r="Y3490" s="62" t="s">
        <v>2059</v>
      </c>
      <c r="Z3490" s="62" t="s">
        <v>6385</v>
      </c>
      <c r="AA3490" s="62" t="s">
        <v>6386</v>
      </c>
      <c r="AB3490" s="62" t="n">
        <v>1</v>
      </c>
      <c r="AC3490" s="62" t="n">
        <v>0</v>
      </c>
      <c r="AD3490" s="62" t="n">
        <v>0</v>
      </c>
      <c r="AE3490" s="62" t="n">
        <f aca="false">IF(AND(Dashboard!$C$9="Yes",AC3490=1),0,1)</f>
        <v>1</v>
      </c>
      <c r="AF3490" s="62" t="n">
        <v>1</v>
      </c>
    </row>
    <row r="3491" customFormat="false" ht="15" hidden="false" customHeight="false" outlineLevel="0" collapsed="false">
      <c r="A3491" s="62" t="n">
        <v>3490</v>
      </c>
      <c r="B3491" s="63" t="n">
        <v>46304.0468518519</v>
      </c>
      <c r="C3491" s="64" t="n">
        <v>46303</v>
      </c>
      <c r="D3491" s="62" t="s">
        <v>202</v>
      </c>
      <c r="E3491" s="62" t="s">
        <v>144</v>
      </c>
      <c r="F3491" s="62" t="s">
        <v>144</v>
      </c>
      <c r="G3491" s="62" t="s">
        <v>145</v>
      </c>
      <c r="H3491" s="62" t="s">
        <v>59</v>
      </c>
      <c r="I3491" s="62" t="s">
        <v>47</v>
      </c>
      <c r="J3491" s="62" t="s">
        <v>146</v>
      </c>
      <c r="K3491" s="62" t="s">
        <v>147</v>
      </c>
      <c r="L3491" s="62" t="s">
        <v>148</v>
      </c>
      <c r="M3491" s="62" t="n">
        <v>0</v>
      </c>
      <c r="N3491" s="62" t="n">
        <v>1</v>
      </c>
      <c r="O3491" s="62" t="n">
        <v>1</v>
      </c>
      <c r="P3491" s="62" t="n">
        <v>0</v>
      </c>
      <c r="Q3491" s="62" t="n">
        <v>1</v>
      </c>
      <c r="R3491" s="62" t="n">
        <v>0</v>
      </c>
      <c r="S3491" s="62" t="n">
        <v>0</v>
      </c>
      <c r="T3491" s="62" t="n">
        <v>0</v>
      </c>
      <c r="U3491" s="62"/>
      <c r="V3491" s="62"/>
      <c r="W3491" s="62"/>
      <c r="X3491" s="62"/>
      <c r="Y3491" s="62"/>
      <c r="Z3491" s="62" t="s">
        <v>6381</v>
      </c>
      <c r="AA3491" s="62" t="s">
        <v>6381</v>
      </c>
      <c r="AB3491" s="62" t="n">
        <v>1</v>
      </c>
      <c r="AC3491" s="62" t="n">
        <v>0</v>
      </c>
      <c r="AD3491" s="62" t="n">
        <v>1</v>
      </c>
      <c r="AE3491" s="62" t="n">
        <f aca="false">IF(AND(Dashboard!$C$9="Yes",AC3491=1),0,1)</f>
        <v>1</v>
      </c>
      <c r="AF3491" s="62" t="n">
        <v>0</v>
      </c>
    </row>
    <row r="3492" customFormat="false" ht="15" hidden="false" customHeight="false" outlineLevel="0" collapsed="false">
      <c r="A3492" s="62" t="n">
        <v>3491</v>
      </c>
      <c r="B3492" s="63" t="n">
        <v>46304.0469907407</v>
      </c>
      <c r="C3492" s="64" t="n">
        <v>46303</v>
      </c>
      <c r="D3492" s="62" t="s">
        <v>202</v>
      </c>
      <c r="E3492" s="62" t="s">
        <v>144</v>
      </c>
      <c r="F3492" s="62" t="s">
        <v>144</v>
      </c>
      <c r="G3492" s="62" t="s">
        <v>145</v>
      </c>
      <c r="H3492" s="62" t="s">
        <v>59</v>
      </c>
      <c r="I3492" s="62" t="s">
        <v>47</v>
      </c>
      <c r="J3492" s="62" t="s">
        <v>146</v>
      </c>
      <c r="K3492" s="62" t="s">
        <v>147</v>
      </c>
      <c r="L3492" s="62" t="s">
        <v>148</v>
      </c>
      <c r="M3492" s="62" t="n">
        <v>0</v>
      </c>
      <c r="N3492" s="62" t="n">
        <v>1</v>
      </c>
      <c r="O3492" s="62" t="n">
        <v>1</v>
      </c>
      <c r="P3492" s="62" t="n">
        <v>0</v>
      </c>
      <c r="Q3492" s="62" t="n">
        <v>1</v>
      </c>
      <c r="R3492" s="62" t="n">
        <v>0</v>
      </c>
      <c r="S3492" s="62" t="n">
        <v>0</v>
      </c>
      <c r="T3492" s="62" t="n">
        <v>0</v>
      </c>
      <c r="U3492" s="62"/>
      <c r="V3492" s="62"/>
      <c r="W3492" s="62"/>
      <c r="X3492" s="62"/>
      <c r="Y3492" s="62"/>
      <c r="Z3492" s="62" t="s">
        <v>6381</v>
      </c>
      <c r="AA3492" s="62" t="s">
        <v>6382</v>
      </c>
      <c r="AB3492" s="62" t="n">
        <v>1</v>
      </c>
      <c r="AC3492" s="62" t="n">
        <v>1</v>
      </c>
      <c r="AD3492" s="62" t="n">
        <v>1</v>
      </c>
      <c r="AE3492" s="62" t="n">
        <f aca="false">IF(AND(Dashboard!$C$9="Yes",AC3492=1),0,1)</f>
        <v>0</v>
      </c>
      <c r="AF3492" s="62" t="n">
        <v>0</v>
      </c>
    </row>
    <row r="3493" customFormat="false" ht="15" hidden="false" customHeight="false" outlineLevel="0" collapsed="false">
      <c r="A3493" s="62" t="n">
        <v>3492</v>
      </c>
      <c r="B3493" s="63" t="n">
        <v>46304.0547685185</v>
      </c>
      <c r="C3493" s="64" t="n">
        <v>46303</v>
      </c>
      <c r="D3493" s="62" t="s">
        <v>202</v>
      </c>
      <c r="E3493" s="62" t="s">
        <v>3766</v>
      </c>
      <c r="F3493" s="62" t="s">
        <v>3766</v>
      </c>
      <c r="G3493" s="62" t="s">
        <v>3767</v>
      </c>
      <c r="H3493" s="62" t="s">
        <v>57</v>
      </c>
      <c r="I3493" s="62" t="s">
        <v>47</v>
      </c>
      <c r="J3493" s="62" t="s">
        <v>146</v>
      </c>
      <c r="K3493" s="62" t="s">
        <v>147</v>
      </c>
      <c r="L3493" s="62" t="s">
        <v>148</v>
      </c>
      <c r="M3493" s="62" t="n">
        <v>0</v>
      </c>
      <c r="N3493" s="62" t="n">
        <v>1</v>
      </c>
      <c r="O3493" s="62" t="n">
        <v>1</v>
      </c>
      <c r="P3493" s="62" t="n">
        <v>0</v>
      </c>
      <c r="Q3493" s="62" t="n">
        <v>1</v>
      </c>
      <c r="R3493" s="62" t="n">
        <v>0</v>
      </c>
      <c r="S3493" s="62" t="n">
        <v>0</v>
      </c>
      <c r="T3493" s="62" t="n">
        <v>0</v>
      </c>
      <c r="U3493" s="62"/>
      <c r="V3493" s="62"/>
      <c r="W3493" s="62"/>
      <c r="X3493" s="62"/>
      <c r="Y3493" s="62"/>
      <c r="Z3493" s="62" t="s">
        <v>6387</v>
      </c>
      <c r="AA3493" s="62" t="s">
        <v>6388</v>
      </c>
      <c r="AB3493" s="62" t="n">
        <v>1</v>
      </c>
      <c r="AC3493" s="62" t="n">
        <v>0</v>
      </c>
      <c r="AD3493" s="62" t="n">
        <v>1</v>
      </c>
      <c r="AE3493" s="62" t="n">
        <f aca="false">IF(AND(Dashboard!$C$9="Yes",AC3493=1),0,1)</f>
        <v>1</v>
      </c>
      <c r="AF3493" s="62" t="n">
        <v>1</v>
      </c>
    </row>
    <row r="3494" customFormat="false" ht="15" hidden="false" customHeight="false" outlineLevel="0" collapsed="false">
      <c r="A3494" s="62" t="n">
        <v>3493</v>
      </c>
      <c r="B3494" s="63" t="n">
        <v>46304.0566435185</v>
      </c>
      <c r="C3494" s="64" t="n">
        <v>46303</v>
      </c>
      <c r="D3494" s="62" t="s">
        <v>202</v>
      </c>
      <c r="E3494" s="62" t="s">
        <v>1112</v>
      </c>
      <c r="F3494" s="62" t="s">
        <v>865</v>
      </c>
      <c r="G3494" s="62" t="s">
        <v>866</v>
      </c>
      <c r="H3494" s="62" t="s">
        <v>46</v>
      </c>
      <c r="I3494" s="62" t="s">
        <v>47</v>
      </c>
      <c r="J3494" s="62" t="s">
        <v>146</v>
      </c>
      <c r="K3494" s="62" t="s">
        <v>209</v>
      </c>
      <c r="L3494" s="62" t="s">
        <v>148</v>
      </c>
      <c r="M3494" s="62" t="n">
        <v>0</v>
      </c>
      <c r="N3494" s="62" t="n">
        <v>1</v>
      </c>
      <c r="O3494" s="62" t="n">
        <v>1</v>
      </c>
      <c r="P3494" s="62" t="n">
        <v>0</v>
      </c>
      <c r="Q3494" s="62" t="n">
        <v>1</v>
      </c>
      <c r="R3494" s="62" t="n">
        <v>0</v>
      </c>
      <c r="S3494" s="62" t="n">
        <v>0</v>
      </c>
      <c r="T3494" s="62" t="n">
        <v>0</v>
      </c>
      <c r="U3494" s="62"/>
      <c r="V3494" s="62"/>
      <c r="W3494" s="62"/>
      <c r="X3494" s="62"/>
      <c r="Y3494" s="62"/>
      <c r="Z3494" s="62" t="s">
        <v>6389</v>
      </c>
      <c r="AA3494" s="62" t="s">
        <v>4706</v>
      </c>
      <c r="AB3494" s="62" t="n">
        <v>1</v>
      </c>
      <c r="AC3494" s="62" t="n">
        <v>0</v>
      </c>
      <c r="AD3494" s="62" t="n">
        <v>1</v>
      </c>
      <c r="AE3494" s="62" t="n">
        <f aca="false">IF(AND(Dashboard!$C$9="Yes",AC3494=1),0,1)</f>
        <v>1</v>
      </c>
      <c r="AF3494" s="62" t="n">
        <v>0</v>
      </c>
    </row>
    <row r="3495" customFormat="false" ht="15" hidden="false" customHeight="false" outlineLevel="0" collapsed="false">
      <c r="A3495" s="62" t="n">
        <v>3494</v>
      </c>
      <c r="B3495" s="63" t="n">
        <v>46304.0568518519</v>
      </c>
      <c r="C3495" s="64" t="n">
        <v>46303</v>
      </c>
      <c r="D3495" s="62" t="s">
        <v>202</v>
      </c>
      <c r="E3495" s="62" t="s">
        <v>1112</v>
      </c>
      <c r="F3495" s="62" t="s">
        <v>865</v>
      </c>
      <c r="G3495" s="62" t="s">
        <v>866</v>
      </c>
      <c r="H3495" s="62" t="s">
        <v>46</v>
      </c>
      <c r="I3495" s="62" t="s">
        <v>47</v>
      </c>
      <c r="J3495" s="62" t="s">
        <v>146</v>
      </c>
      <c r="K3495" s="62" t="s">
        <v>209</v>
      </c>
      <c r="L3495" s="62" t="s">
        <v>148</v>
      </c>
      <c r="M3495" s="62" t="n">
        <v>0</v>
      </c>
      <c r="N3495" s="62" t="n">
        <v>1</v>
      </c>
      <c r="O3495" s="62" t="n">
        <v>1</v>
      </c>
      <c r="P3495" s="62" t="n">
        <v>0</v>
      </c>
      <c r="Q3495" s="62" t="n">
        <v>0</v>
      </c>
      <c r="R3495" s="62" t="n">
        <v>0</v>
      </c>
      <c r="S3495" s="62" t="n">
        <v>1</v>
      </c>
      <c r="T3495" s="62" t="n">
        <v>0</v>
      </c>
      <c r="U3495" s="62"/>
      <c r="V3495" s="62"/>
      <c r="W3495" s="62"/>
      <c r="X3495" s="62"/>
      <c r="Y3495" s="62"/>
      <c r="Z3495" s="62" t="s">
        <v>6390</v>
      </c>
      <c r="AA3495" s="62" t="s">
        <v>6391</v>
      </c>
      <c r="AB3495" s="62" t="n">
        <v>1</v>
      </c>
      <c r="AC3495" s="62" t="n">
        <v>0</v>
      </c>
      <c r="AD3495" s="62" t="n">
        <v>1</v>
      </c>
      <c r="AE3495" s="62" t="n">
        <f aca="false">IF(AND(Dashboard!$C$9="Yes",AC3495=1),0,1)</f>
        <v>1</v>
      </c>
      <c r="AF3495" s="62" t="n">
        <v>0</v>
      </c>
    </row>
    <row r="3496" customFormat="false" ht="15" hidden="false" customHeight="false" outlineLevel="0" collapsed="false">
      <c r="A3496" s="62" t="n">
        <v>3495</v>
      </c>
      <c r="B3496" s="63" t="n">
        <v>46304.0575694444</v>
      </c>
      <c r="C3496" s="64" t="n">
        <v>46303</v>
      </c>
      <c r="D3496" s="62" t="s">
        <v>202</v>
      </c>
      <c r="E3496" s="62" t="s">
        <v>414</v>
      </c>
      <c r="F3496" s="62" t="s">
        <v>414</v>
      </c>
      <c r="G3496" s="62" t="s">
        <v>415</v>
      </c>
      <c r="H3496" s="62" t="s">
        <v>57</v>
      </c>
      <c r="I3496" s="62" t="s">
        <v>47</v>
      </c>
      <c r="J3496" s="62" t="s">
        <v>146</v>
      </c>
      <c r="K3496" s="62" t="s">
        <v>147</v>
      </c>
      <c r="L3496" s="62" t="s">
        <v>148</v>
      </c>
      <c r="M3496" s="62" t="n">
        <v>0</v>
      </c>
      <c r="N3496" s="62" t="n">
        <v>1</v>
      </c>
      <c r="O3496" s="62" t="n">
        <v>1</v>
      </c>
      <c r="P3496" s="62" t="n">
        <v>1</v>
      </c>
      <c r="Q3496" s="62" t="n">
        <v>0</v>
      </c>
      <c r="R3496" s="62" t="n">
        <v>0</v>
      </c>
      <c r="S3496" s="62" t="n">
        <v>0</v>
      </c>
      <c r="T3496" s="62" t="n">
        <v>0</v>
      </c>
      <c r="U3496" s="62"/>
      <c r="V3496" s="62"/>
      <c r="W3496" s="62"/>
      <c r="X3496" s="62"/>
      <c r="Y3496" s="62"/>
      <c r="Z3496" s="62" t="s">
        <v>6392</v>
      </c>
      <c r="AA3496" s="62" t="s">
        <v>6393</v>
      </c>
      <c r="AB3496" s="62" t="n">
        <v>1</v>
      </c>
      <c r="AC3496" s="62" t="n">
        <v>0</v>
      </c>
      <c r="AD3496" s="62" t="n">
        <v>1</v>
      </c>
      <c r="AE3496" s="62" t="n">
        <f aca="false">IF(AND(Dashboard!$C$9="Yes",AC3496=1),0,1)</f>
        <v>1</v>
      </c>
      <c r="AF3496" s="62" t="n">
        <v>1</v>
      </c>
    </row>
    <row r="3497" customFormat="false" ht="15" hidden="false" customHeight="false" outlineLevel="0" collapsed="false">
      <c r="A3497" s="62" t="n">
        <v>3496</v>
      </c>
      <c r="B3497" s="63" t="n">
        <v>46304.060787037</v>
      </c>
      <c r="C3497" s="64" t="n">
        <v>46303</v>
      </c>
      <c r="D3497" s="62" t="s">
        <v>202</v>
      </c>
      <c r="E3497" s="62" t="s">
        <v>1255</v>
      </c>
      <c r="F3497" s="62" t="s">
        <v>1255</v>
      </c>
      <c r="G3497" s="62" t="s">
        <v>1256</v>
      </c>
      <c r="H3497" s="62" t="s">
        <v>52</v>
      </c>
      <c r="I3497" s="62" t="s">
        <v>47</v>
      </c>
      <c r="J3497" s="62" t="s">
        <v>146</v>
      </c>
      <c r="K3497" s="62" t="s">
        <v>147</v>
      </c>
      <c r="L3497" s="62" t="s">
        <v>4</v>
      </c>
      <c r="M3497" s="62" t="n">
        <v>1</v>
      </c>
      <c r="N3497" s="62" t="n">
        <v>0</v>
      </c>
      <c r="O3497" s="62" t="n">
        <v>1</v>
      </c>
      <c r="P3497" s="62" t="n">
        <v>0</v>
      </c>
      <c r="Q3497" s="62" t="n">
        <v>0</v>
      </c>
      <c r="R3497" s="62" t="n">
        <v>0</v>
      </c>
      <c r="S3497" s="62" t="n">
        <v>0</v>
      </c>
      <c r="T3497" s="62" t="n">
        <v>0</v>
      </c>
      <c r="U3497" s="62" t="s">
        <v>2056</v>
      </c>
      <c r="V3497" s="62" t="s">
        <v>2057</v>
      </c>
      <c r="W3497" s="62" t="s">
        <v>2056</v>
      </c>
      <c r="X3497" s="62" t="s">
        <v>2125</v>
      </c>
      <c r="Y3497" s="62" t="s">
        <v>2064</v>
      </c>
      <c r="Z3497" s="62" t="s">
        <v>6394</v>
      </c>
      <c r="AA3497" s="62" t="s">
        <v>6395</v>
      </c>
      <c r="AB3497" s="62" t="n">
        <v>1</v>
      </c>
      <c r="AC3497" s="62" t="n">
        <v>0</v>
      </c>
      <c r="AD3497" s="62" t="n">
        <v>1</v>
      </c>
      <c r="AE3497" s="62" t="n">
        <f aca="false">IF(AND(Dashboard!$C$9="Yes",AC3497=1),0,1)</f>
        <v>1</v>
      </c>
      <c r="AF3497" s="62" t="n">
        <v>1</v>
      </c>
    </row>
    <row r="3498" customFormat="false" ht="15" hidden="false" customHeight="false" outlineLevel="0" collapsed="false">
      <c r="A3498" s="62" t="n">
        <v>3497</v>
      </c>
      <c r="B3498" s="63" t="n">
        <v>46304.0627777778</v>
      </c>
      <c r="C3498" s="64" t="n">
        <v>46303</v>
      </c>
      <c r="D3498" s="62" t="s">
        <v>202</v>
      </c>
      <c r="E3498" s="62" t="s">
        <v>2081</v>
      </c>
      <c r="F3498" s="62" t="s">
        <v>2081</v>
      </c>
      <c r="G3498" s="62" t="s">
        <v>2082</v>
      </c>
      <c r="H3498" s="62" t="s">
        <v>57</v>
      </c>
      <c r="I3498" s="62" t="s">
        <v>47</v>
      </c>
      <c r="J3498" s="62" t="s">
        <v>146</v>
      </c>
      <c r="K3498" s="62" t="s">
        <v>147</v>
      </c>
      <c r="L3498" s="62" t="s">
        <v>4</v>
      </c>
      <c r="M3498" s="62" t="n">
        <v>1</v>
      </c>
      <c r="N3498" s="62" t="n">
        <v>0</v>
      </c>
      <c r="O3498" s="62" t="n">
        <v>1</v>
      </c>
      <c r="P3498" s="62" t="n">
        <v>0</v>
      </c>
      <c r="Q3498" s="62" t="n">
        <v>0</v>
      </c>
      <c r="R3498" s="62" t="n">
        <v>0</v>
      </c>
      <c r="S3498" s="62" t="n">
        <v>0</v>
      </c>
      <c r="T3498" s="62" t="n">
        <v>0</v>
      </c>
      <c r="U3498" s="62" t="s">
        <v>2056</v>
      </c>
      <c r="V3498" s="62" t="s">
        <v>2068</v>
      </c>
      <c r="W3498" s="62"/>
      <c r="X3498" s="62" t="s">
        <v>2180</v>
      </c>
      <c r="Y3498" s="62" t="s">
        <v>2059</v>
      </c>
      <c r="Z3498" s="62" t="s">
        <v>5780</v>
      </c>
      <c r="AA3498" s="62" t="s">
        <v>6396</v>
      </c>
      <c r="AB3498" s="62" t="n">
        <v>1</v>
      </c>
      <c r="AC3498" s="62" t="n">
        <v>0</v>
      </c>
      <c r="AD3498" s="62" t="n">
        <v>1</v>
      </c>
      <c r="AE3498" s="62" t="n">
        <f aca="false">IF(AND(Dashboard!$C$9="Yes",AC3498=1),0,1)</f>
        <v>1</v>
      </c>
      <c r="AF3498" s="62" t="n">
        <v>0</v>
      </c>
    </row>
    <row r="3499" customFormat="false" ht="15" hidden="false" customHeight="false" outlineLevel="0" collapsed="false">
      <c r="A3499" s="62" t="n">
        <v>3498</v>
      </c>
      <c r="B3499" s="63" t="n">
        <v>46304.0668865741</v>
      </c>
      <c r="C3499" s="64" t="n">
        <v>46303</v>
      </c>
      <c r="D3499" s="62" t="s">
        <v>202</v>
      </c>
      <c r="E3499" s="62" t="s">
        <v>6397</v>
      </c>
      <c r="F3499" s="62" t="s">
        <v>6397</v>
      </c>
      <c r="G3499" s="62" t="s">
        <v>6398</v>
      </c>
      <c r="H3499" s="62" t="s">
        <v>53</v>
      </c>
      <c r="I3499" s="62" t="s">
        <v>47</v>
      </c>
      <c r="J3499" s="62" t="s">
        <v>3708</v>
      </c>
      <c r="K3499" s="62" t="s">
        <v>209</v>
      </c>
      <c r="L3499" s="62" t="s">
        <v>148</v>
      </c>
      <c r="M3499" s="62" t="n">
        <v>0</v>
      </c>
      <c r="N3499" s="62" t="n">
        <v>1</v>
      </c>
      <c r="O3499" s="62" t="n">
        <v>1</v>
      </c>
      <c r="P3499" s="62" t="n">
        <v>1</v>
      </c>
      <c r="Q3499" s="62" t="n">
        <v>0</v>
      </c>
      <c r="R3499" s="62" t="n">
        <v>0</v>
      </c>
      <c r="S3499" s="62" t="n">
        <v>0</v>
      </c>
      <c r="T3499" s="62" t="n">
        <v>0</v>
      </c>
      <c r="U3499" s="62"/>
      <c r="V3499" s="62"/>
      <c r="W3499" s="62"/>
      <c r="X3499" s="62"/>
      <c r="Y3499" s="62"/>
      <c r="Z3499" s="62" t="s">
        <v>6399</v>
      </c>
      <c r="AA3499" s="62" t="s">
        <v>6400</v>
      </c>
      <c r="AB3499" s="62" t="n">
        <v>1</v>
      </c>
      <c r="AC3499" s="62" t="n">
        <v>0</v>
      </c>
      <c r="AD3499" s="62" t="n">
        <v>1</v>
      </c>
      <c r="AE3499" s="62" t="n">
        <f aca="false">IF(AND(Dashboard!$C$9="Yes",AC3499=1),0,1)</f>
        <v>1</v>
      </c>
      <c r="AF3499" s="62" t="n">
        <v>1</v>
      </c>
    </row>
    <row r="3500" customFormat="false" ht="15" hidden="false" customHeight="false" outlineLevel="0" collapsed="false">
      <c r="A3500" s="62" t="n">
        <v>3499</v>
      </c>
      <c r="B3500" s="63" t="n">
        <v>46304.086712963</v>
      </c>
      <c r="C3500" s="64" t="n">
        <v>46303</v>
      </c>
      <c r="D3500" s="62" t="s">
        <v>202</v>
      </c>
      <c r="E3500" s="62" t="s">
        <v>6401</v>
      </c>
      <c r="F3500" s="62" t="s">
        <v>6402</v>
      </c>
      <c r="G3500" s="62" t="s">
        <v>153</v>
      </c>
      <c r="H3500" s="62" t="s">
        <v>153</v>
      </c>
      <c r="I3500" s="62" t="s">
        <v>153</v>
      </c>
      <c r="J3500" s="62" t="s">
        <v>64</v>
      </c>
      <c r="K3500" s="62" t="s">
        <v>64</v>
      </c>
      <c r="L3500" s="62" t="s">
        <v>4</v>
      </c>
      <c r="M3500" s="62" t="n">
        <v>1</v>
      </c>
      <c r="N3500" s="62" t="n">
        <v>0</v>
      </c>
      <c r="O3500" s="62" t="n">
        <v>1</v>
      </c>
      <c r="P3500" s="62" t="n">
        <v>0</v>
      </c>
      <c r="Q3500" s="62" t="n">
        <v>0</v>
      </c>
      <c r="R3500" s="62" t="n">
        <v>0</v>
      </c>
      <c r="S3500" s="62" t="n">
        <v>0</v>
      </c>
      <c r="T3500" s="62" t="n">
        <v>0</v>
      </c>
      <c r="U3500" s="62" t="s">
        <v>2056</v>
      </c>
      <c r="V3500" s="62" t="s">
        <v>2057</v>
      </c>
      <c r="W3500" s="62" t="s">
        <v>15</v>
      </c>
      <c r="X3500" s="62" t="s">
        <v>2125</v>
      </c>
      <c r="Y3500" s="62" t="s">
        <v>2059</v>
      </c>
      <c r="Z3500" s="62" t="s">
        <v>6403</v>
      </c>
      <c r="AA3500" s="62" t="s">
        <v>237</v>
      </c>
      <c r="AB3500" s="62" t="n">
        <v>0</v>
      </c>
      <c r="AC3500" s="62" t="n">
        <v>0</v>
      </c>
      <c r="AD3500" s="62" t="n">
        <v>0</v>
      </c>
      <c r="AE3500" s="62" t="n">
        <f aca="false">IF(AND(Dashboard!$C$9="Yes",AC3500=1),0,1)</f>
        <v>1</v>
      </c>
      <c r="AF3500" s="62" t="n">
        <v>1</v>
      </c>
    </row>
    <row r="3501" customFormat="false" ht="15" hidden="false" customHeight="false" outlineLevel="0" collapsed="false">
      <c r="A3501" s="62" t="n">
        <v>3500</v>
      </c>
      <c r="B3501" s="63" t="n">
        <v>46304.0871296296</v>
      </c>
      <c r="C3501" s="64" t="n">
        <v>46303</v>
      </c>
      <c r="D3501" s="62" t="s">
        <v>202</v>
      </c>
      <c r="E3501" s="62" t="s">
        <v>3022</v>
      </c>
      <c r="F3501" s="62" t="s">
        <v>3022</v>
      </c>
      <c r="G3501" s="62" t="s">
        <v>3023</v>
      </c>
      <c r="H3501" s="62" t="s">
        <v>46</v>
      </c>
      <c r="I3501" s="62" t="s">
        <v>47</v>
      </c>
      <c r="J3501" s="62" t="s">
        <v>146</v>
      </c>
      <c r="K3501" s="62" t="s">
        <v>209</v>
      </c>
      <c r="L3501" s="62" t="s">
        <v>148</v>
      </c>
      <c r="M3501" s="62" t="n">
        <v>0</v>
      </c>
      <c r="N3501" s="62" t="n">
        <v>1</v>
      </c>
      <c r="O3501" s="62" t="n">
        <v>1</v>
      </c>
      <c r="P3501" s="62" t="n">
        <v>1</v>
      </c>
      <c r="Q3501" s="62" t="n">
        <v>0</v>
      </c>
      <c r="R3501" s="62" t="n">
        <v>0</v>
      </c>
      <c r="S3501" s="62" t="n">
        <v>0</v>
      </c>
      <c r="T3501" s="62" t="n">
        <v>0</v>
      </c>
      <c r="U3501" s="62"/>
      <c r="V3501" s="62"/>
      <c r="W3501" s="62"/>
      <c r="X3501" s="62"/>
      <c r="Y3501" s="62"/>
      <c r="Z3501" s="62" t="s">
        <v>6403</v>
      </c>
      <c r="AA3501" s="62" t="s">
        <v>237</v>
      </c>
      <c r="AB3501" s="62" t="n">
        <v>0</v>
      </c>
      <c r="AC3501" s="62" t="n">
        <v>0</v>
      </c>
      <c r="AD3501" s="62" t="n">
        <v>1</v>
      </c>
      <c r="AE3501" s="62" t="n">
        <f aca="false">IF(AND(Dashboard!$C$9="Yes",AC3501=1),0,1)</f>
        <v>1</v>
      </c>
      <c r="AF3501" s="62" t="n">
        <v>1</v>
      </c>
    </row>
    <row r="3502" customFormat="false" ht="15" hidden="false" customHeight="false" outlineLevel="0" collapsed="false">
      <c r="A3502" s="62" t="n">
        <v>3501</v>
      </c>
      <c r="B3502" s="63" t="n">
        <v>46304.0902662037</v>
      </c>
      <c r="C3502" s="64" t="n">
        <v>46303</v>
      </c>
      <c r="D3502" s="62" t="s">
        <v>202</v>
      </c>
      <c r="E3502" s="62" t="s">
        <v>1445</v>
      </c>
      <c r="F3502" s="62" t="s">
        <v>1445</v>
      </c>
      <c r="G3502" s="62" t="s">
        <v>1446</v>
      </c>
      <c r="H3502" s="62" t="s">
        <v>58</v>
      </c>
      <c r="I3502" s="62" t="s">
        <v>49</v>
      </c>
      <c r="J3502" s="62" t="s">
        <v>146</v>
      </c>
      <c r="K3502" s="62" t="s">
        <v>175</v>
      </c>
      <c r="L3502" s="62" t="s">
        <v>148</v>
      </c>
      <c r="M3502" s="62" t="n">
        <v>0</v>
      </c>
      <c r="N3502" s="62" t="n">
        <v>1</v>
      </c>
      <c r="O3502" s="62" t="n">
        <v>1</v>
      </c>
      <c r="P3502" s="62" t="n">
        <v>1</v>
      </c>
      <c r="Q3502" s="62" t="n">
        <v>0</v>
      </c>
      <c r="R3502" s="62" t="n">
        <v>0</v>
      </c>
      <c r="S3502" s="62" t="n">
        <v>0</v>
      </c>
      <c r="T3502" s="62" t="n">
        <v>0</v>
      </c>
      <c r="U3502" s="62"/>
      <c r="V3502" s="62"/>
      <c r="W3502" s="62"/>
      <c r="X3502" s="62"/>
      <c r="Y3502" s="62"/>
      <c r="Z3502" s="62" t="s">
        <v>6404</v>
      </c>
      <c r="AA3502" s="62" t="s">
        <v>6405</v>
      </c>
      <c r="AB3502" s="62" t="n">
        <v>1</v>
      </c>
      <c r="AC3502" s="62" t="n">
        <v>0</v>
      </c>
      <c r="AD3502" s="62" t="n">
        <v>1</v>
      </c>
      <c r="AE3502" s="62" t="n">
        <f aca="false">IF(AND(Dashboard!$C$9="Yes",AC3502=1),0,1)</f>
        <v>1</v>
      </c>
      <c r="AF3502" s="62" t="n">
        <v>1</v>
      </c>
    </row>
    <row r="3503" customFormat="false" ht="15" hidden="false" customHeight="false" outlineLevel="0" collapsed="false">
      <c r="A3503" s="62" t="n">
        <v>3502</v>
      </c>
      <c r="B3503" s="63" t="n">
        <v>46304.0953356482</v>
      </c>
      <c r="C3503" s="64" t="n">
        <v>46303</v>
      </c>
      <c r="D3503" s="62" t="s">
        <v>202</v>
      </c>
      <c r="E3503" s="62" t="s">
        <v>2340</v>
      </c>
      <c r="F3503" s="62" t="s">
        <v>2340</v>
      </c>
      <c r="G3503" s="62" t="s">
        <v>2341</v>
      </c>
      <c r="H3503" s="62" t="s">
        <v>57</v>
      </c>
      <c r="I3503" s="62" t="s">
        <v>47</v>
      </c>
      <c r="J3503" s="62" t="s">
        <v>146</v>
      </c>
      <c r="K3503" s="62" t="s">
        <v>175</v>
      </c>
      <c r="L3503" s="62" t="s">
        <v>148</v>
      </c>
      <c r="M3503" s="62" t="n">
        <v>0</v>
      </c>
      <c r="N3503" s="62" t="n">
        <v>1</v>
      </c>
      <c r="O3503" s="62" t="n">
        <v>1</v>
      </c>
      <c r="P3503" s="62" t="n">
        <v>0</v>
      </c>
      <c r="Q3503" s="62" t="n">
        <v>0</v>
      </c>
      <c r="R3503" s="62" t="n">
        <v>1</v>
      </c>
      <c r="S3503" s="62" t="n">
        <v>0</v>
      </c>
      <c r="T3503" s="62" t="n">
        <v>0</v>
      </c>
      <c r="U3503" s="62"/>
      <c r="V3503" s="62"/>
      <c r="W3503" s="62"/>
      <c r="X3503" s="62"/>
      <c r="Y3503" s="62"/>
      <c r="Z3503" s="62" t="s">
        <v>6406</v>
      </c>
      <c r="AA3503" s="62" t="s">
        <v>6407</v>
      </c>
      <c r="AB3503" s="62" t="n">
        <v>1</v>
      </c>
      <c r="AC3503" s="62" t="n">
        <v>0</v>
      </c>
      <c r="AD3503" s="62" t="n">
        <v>1</v>
      </c>
      <c r="AE3503" s="62" t="n">
        <f aca="false">IF(AND(Dashboard!$C$9="Yes",AC3503=1),0,1)</f>
        <v>1</v>
      </c>
      <c r="AF3503" s="62" t="n">
        <v>1</v>
      </c>
    </row>
    <row r="3504" customFormat="false" ht="15" hidden="false" customHeight="false" outlineLevel="0" collapsed="false">
      <c r="A3504" s="62" t="n">
        <v>3503</v>
      </c>
      <c r="B3504" s="63" t="n">
        <v>46304.1000694444</v>
      </c>
      <c r="C3504" s="64" t="n">
        <v>46303</v>
      </c>
      <c r="D3504" s="62" t="s">
        <v>202</v>
      </c>
      <c r="E3504" s="62" t="s">
        <v>6408</v>
      </c>
      <c r="F3504" s="62" t="s">
        <v>6408</v>
      </c>
      <c r="G3504" s="62" t="s">
        <v>6409</v>
      </c>
      <c r="H3504" s="62" t="s">
        <v>54</v>
      </c>
      <c r="I3504" s="62" t="s">
        <v>49</v>
      </c>
      <c r="J3504" s="62" t="s">
        <v>3708</v>
      </c>
      <c r="K3504" s="62" t="s">
        <v>209</v>
      </c>
      <c r="L3504" s="62" t="s">
        <v>4</v>
      </c>
      <c r="M3504" s="62" t="n">
        <v>1</v>
      </c>
      <c r="N3504" s="62" t="n">
        <v>0</v>
      </c>
      <c r="O3504" s="62" t="n">
        <v>1</v>
      </c>
      <c r="P3504" s="62" t="n">
        <v>0</v>
      </c>
      <c r="Q3504" s="62" t="n">
        <v>0</v>
      </c>
      <c r="R3504" s="62" t="n">
        <v>0</v>
      </c>
      <c r="S3504" s="62" t="n">
        <v>0</v>
      </c>
      <c r="T3504" s="62" t="n">
        <v>0</v>
      </c>
      <c r="U3504" s="62" t="s">
        <v>2056</v>
      </c>
      <c r="V3504" s="62" t="s">
        <v>2057</v>
      </c>
      <c r="W3504" s="62" t="s">
        <v>2056</v>
      </c>
      <c r="X3504" s="62" t="s">
        <v>3214</v>
      </c>
      <c r="Y3504" s="62" t="s">
        <v>2059</v>
      </c>
      <c r="Z3504" s="62" t="s">
        <v>6410</v>
      </c>
      <c r="AA3504" s="62" t="s">
        <v>6411</v>
      </c>
      <c r="AB3504" s="62" t="n">
        <v>1</v>
      </c>
      <c r="AC3504" s="62" t="n">
        <v>0</v>
      </c>
      <c r="AD3504" s="62" t="n">
        <v>1</v>
      </c>
      <c r="AE3504" s="62" t="n">
        <f aca="false">IF(AND(Dashboard!$C$9="Yes",AC3504=1),0,1)</f>
        <v>1</v>
      </c>
      <c r="AF3504" s="62" t="n">
        <v>1</v>
      </c>
    </row>
    <row r="3505" customFormat="false" ht="15" hidden="false" customHeight="false" outlineLevel="0" collapsed="false">
      <c r="A3505" s="62" t="n">
        <v>3504</v>
      </c>
      <c r="B3505" s="63" t="n">
        <v>46304.1090277778</v>
      </c>
      <c r="C3505" s="64" t="n">
        <v>46303</v>
      </c>
      <c r="D3505" s="62" t="s">
        <v>202</v>
      </c>
      <c r="E3505" s="62" t="s">
        <v>3714</v>
      </c>
      <c r="F3505" s="62" t="s">
        <v>3714</v>
      </c>
      <c r="G3505" s="62" t="s">
        <v>3715</v>
      </c>
      <c r="H3505" s="62" t="s">
        <v>55</v>
      </c>
      <c r="I3505" s="62" t="s">
        <v>49</v>
      </c>
      <c r="J3505" s="62" t="s">
        <v>3708</v>
      </c>
      <c r="K3505" s="62" t="s">
        <v>209</v>
      </c>
      <c r="L3505" s="62" t="s">
        <v>148</v>
      </c>
      <c r="M3505" s="62" t="n">
        <v>0</v>
      </c>
      <c r="N3505" s="62" t="n">
        <v>1</v>
      </c>
      <c r="O3505" s="62" t="n">
        <v>1</v>
      </c>
      <c r="P3505" s="62" t="n">
        <v>0</v>
      </c>
      <c r="Q3505" s="62" t="n">
        <v>0</v>
      </c>
      <c r="R3505" s="62" t="n">
        <v>0</v>
      </c>
      <c r="S3505" s="62" t="n">
        <v>1</v>
      </c>
      <c r="T3505" s="62" t="n">
        <v>0</v>
      </c>
      <c r="U3505" s="62"/>
      <c r="V3505" s="62"/>
      <c r="W3505" s="62"/>
      <c r="X3505" s="62"/>
      <c r="Y3505" s="62"/>
      <c r="Z3505" s="62" t="s">
        <v>6412</v>
      </c>
      <c r="AA3505" s="62" t="s">
        <v>6413</v>
      </c>
      <c r="AB3505" s="62" t="n">
        <v>0</v>
      </c>
      <c r="AC3505" s="62" t="n">
        <v>0</v>
      </c>
      <c r="AD3505" s="62" t="n">
        <v>1</v>
      </c>
      <c r="AE3505" s="62" t="n">
        <f aca="false">IF(AND(Dashboard!$C$9="Yes",AC3505=1),0,1)</f>
        <v>1</v>
      </c>
      <c r="AF3505" s="62" t="n">
        <v>0</v>
      </c>
    </row>
    <row r="3506" customFormat="false" ht="15" hidden="false" customHeight="false" outlineLevel="0" collapsed="false">
      <c r="A3506" s="62" t="n">
        <v>3505</v>
      </c>
      <c r="B3506" s="63" t="n">
        <v>46304.1096527778</v>
      </c>
      <c r="C3506" s="64" t="n">
        <v>46303</v>
      </c>
      <c r="D3506" s="62" t="s">
        <v>202</v>
      </c>
      <c r="E3506" s="62" t="s">
        <v>173</v>
      </c>
      <c r="F3506" s="62" t="s">
        <v>173</v>
      </c>
      <c r="G3506" s="62" t="s">
        <v>174</v>
      </c>
      <c r="H3506" s="62" t="s">
        <v>58</v>
      </c>
      <c r="I3506" s="62" t="s">
        <v>49</v>
      </c>
      <c r="J3506" s="62" t="s">
        <v>146</v>
      </c>
      <c r="K3506" s="62" t="s">
        <v>175</v>
      </c>
      <c r="L3506" s="62" t="s">
        <v>148</v>
      </c>
      <c r="M3506" s="62" t="n">
        <v>0</v>
      </c>
      <c r="N3506" s="62" t="n">
        <v>1</v>
      </c>
      <c r="O3506" s="62" t="n">
        <v>1</v>
      </c>
      <c r="P3506" s="62" t="n">
        <v>1</v>
      </c>
      <c r="Q3506" s="62" t="n">
        <v>0</v>
      </c>
      <c r="R3506" s="62" t="n">
        <v>0</v>
      </c>
      <c r="S3506" s="62" t="n">
        <v>0</v>
      </c>
      <c r="T3506" s="62" t="n">
        <v>0</v>
      </c>
      <c r="U3506" s="62"/>
      <c r="V3506" s="62"/>
      <c r="W3506" s="62"/>
      <c r="X3506" s="62"/>
      <c r="Y3506" s="62"/>
      <c r="Z3506" s="62" t="s">
        <v>6414</v>
      </c>
      <c r="AA3506" s="62" t="s">
        <v>6415</v>
      </c>
      <c r="AB3506" s="62" t="n">
        <v>1</v>
      </c>
      <c r="AC3506" s="62" t="n">
        <v>0</v>
      </c>
      <c r="AD3506" s="62" t="n">
        <v>1</v>
      </c>
      <c r="AE3506" s="62" t="n">
        <f aca="false">IF(AND(Dashboard!$C$9="Yes",AC3506=1),0,1)</f>
        <v>1</v>
      </c>
      <c r="AF3506" s="62" t="n">
        <v>1</v>
      </c>
    </row>
    <row r="3507" customFormat="false" ht="15" hidden="false" customHeight="false" outlineLevel="0" collapsed="false">
      <c r="A3507" s="62" t="n">
        <v>3506</v>
      </c>
      <c r="B3507" s="63" t="n">
        <v>46304.1103356482</v>
      </c>
      <c r="C3507" s="64" t="n">
        <v>46303</v>
      </c>
      <c r="D3507" s="62" t="s">
        <v>202</v>
      </c>
      <c r="E3507" s="62" t="s">
        <v>5891</v>
      </c>
      <c r="F3507" s="62" t="s">
        <v>5891</v>
      </c>
      <c r="G3507" s="62" t="s">
        <v>5892</v>
      </c>
      <c r="H3507" s="62" t="s">
        <v>53</v>
      </c>
      <c r="I3507" s="62" t="s">
        <v>47</v>
      </c>
      <c r="J3507" s="62" t="s">
        <v>3708</v>
      </c>
      <c r="K3507" s="62" t="s">
        <v>209</v>
      </c>
      <c r="L3507" s="62" t="s">
        <v>148</v>
      </c>
      <c r="M3507" s="62" t="n">
        <v>0</v>
      </c>
      <c r="N3507" s="62" t="n">
        <v>1</v>
      </c>
      <c r="O3507" s="62" t="n">
        <v>1</v>
      </c>
      <c r="P3507" s="62" t="n">
        <v>1</v>
      </c>
      <c r="Q3507" s="62" t="n">
        <v>0</v>
      </c>
      <c r="R3507" s="62" t="n">
        <v>0</v>
      </c>
      <c r="S3507" s="62" t="n">
        <v>0</v>
      </c>
      <c r="T3507" s="62" t="n">
        <v>0</v>
      </c>
      <c r="U3507" s="62"/>
      <c r="V3507" s="62"/>
      <c r="W3507" s="62"/>
      <c r="X3507" s="62"/>
      <c r="Y3507" s="62"/>
      <c r="Z3507" s="62" t="s">
        <v>6416</v>
      </c>
      <c r="AA3507" s="62" t="s">
        <v>6417</v>
      </c>
      <c r="AB3507" s="62" t="n">
        <v>1</v>
      </c>
      <c r="AC3507" s="62" t="n">
        <v>0</v>
      </c>
      <c r="AD3507" s="62" t="n">
        <v>1</v>
      </c>
      <c r="AE3507" s="62" t="n">
        <f aca="false">IF(AND(Dashboard!$C$9="Yes",AC3507=1),0,1)</f>
        <v>1</v>
      </c>
      <c r="AF3507" s="62" t="n">
        <v>1</v>
      </c>
    </row>
    <row r="3508" customFormat="false" ht="15" hidden="false" customHeight="false" outlineLevel="0" collapsed="false">
      <c r="A3508" s="62" t="n">
        <v>3507</v>
      </c>
      <c r="B3508" s="63" t="n">
        <v>46304.1123726852</v>
      </c>
      <c r="C3508" s="64" t="n">
        <v>46303</v>
      </c>
      <c r="D3508" s="62" t="s">
        <v>202</v>
      </c>
      <c r="E3508" s="62" t="s">
        <v>5250</v>
      </c>
      <c r="F3508" s="62" t="s">
        <v>5250</v>
      </c>
      <c r="G3508" s="62" t="s">
        <v>5251</v>
      </c>
      <c r="H3508" s="62" t="s">
        <v>55</v>
      </c>
      <c r="I3508" s="62" t="s">
        <v>49</v>
      </c>
      <c r="J3508" s="62" t="s">
        <v>3708</v>
      </c>
      <c r="K3508" s="62" t="s">
        <v>209</v>
      </c>
      <c r="L3508" s="62" t="s">
        <v>148</v>
      </c>
      <c r="M3508" s="62" t="n">
        <v>0</v>
      </c>
      <c r="N3508" s="62" t="n">
        <v>1</v>
      </c>
      <c r="O3508" s="62" t="n">
        <v>1</v>
      </c>
      <c r="P3508" s="62" t="n">
        <v>0</v>
      </c>
      <c r="Q3508" s="62" t="n">
        <v>1</v>
      </c>
      <c r="R3508" s="62" t="n">
        <v>0</v>
      </c>
      <c r="S3508" s="62" t="n">
        <v>0</v>
      </c>
      <c r="T3508" s="62" t="n">
        <v>0</v>
      </c>
      <c r="U3508" s="62"/>
      <c r="V3508" s="62"/>
      <c r="W3508" s="62"/>
      <c r="X3508" s="62"/>
      <c r="Y3508" s="62"/>
      <c r="Z3508" s="62" t="s">
        <v>6418</v>
      </c>
      <c r="AA3508" s="62" t="s">
        <v>6419</v>
      </c>
      <c r="AB3508" s="62" t="n">
        <v>1</v>
      </c>
      <c r="AC3508" s="62" t="n">
        <v>0</v>
      </c>
      <c r="AD3508" s="62" t="n">
        <v>1</v>
      </c>
      <c r="AE3508" s="62" t="n">
        <f aca="false">IF(AND(Dashboard!$C$9="Yes",AC3508=1),0,1)</f>
        <v>1</v>
      </c>
      <c r="AF3508" s="62" t="n">
        <v>1</v>
      </c>
    </row>
    <row r="3509" customFormat="false" ht="15" hidden="false" customHeight="false" outlineLevel="0" collapsed="false">
      <c r="A3509" s="62" t="n">
        <v>3508</v>
      </c>
      <c r="B3509" s="63" t="n">
        <v>46304.113900463</v>
      </c>
      <c r="C3509" s="64" t="n">
        <v>46303</v>
      </c>
      <c r="D3509" s="62" t="s">
        <v>202</v>
      </c>
      <c r="E3509" s="62" t="s">
        <v>5227</v>
      </c>
      <c r="F3509" s="62" t="s">
        <v>5227</v>
      </c>
      <c r="G3509" s="62" t="s">
        <v>5228</v>
      </c>
      <c r="H3509" s="62" t="s">
        <v>55</v>
      </c>
      <c r="I3509" s="62" t="s">
        <v>49</v>
      </c>
      <c r="J3509" s="62" t="s">
        <v>3708</v>
      </c>
      <c r="K3509" s="62" t="s">
        <v>209</v>
      </c>
      <c r="L3509" s="62" t="s">
        <v>4</v>
      </c>
      <c r="M3509" s="62" t="n">
        <v>1</v>
      </c>
      <c r="N3509" s="62" t="n">
        <v>0</v>
      </c>
      <c r="O3509" s="62" t="n">
        <v>1</v>
      </c>
      <c r="P3509" s="62" t="n">
        <v>0</v>
      </c>
      <c r="Q3509" s="62" t="n">
        <v>0</v>
      </c>
      <c r="R3509" s="62" t="n">
        <v>0</v>
      </c>
      <c r="S3509" s="62" t="n">
        <v>0</v>
      </c>
      <c r="T3509" s="62" t="n">
        <v>0</v>
      </c>
      <c r="U3509" s="62" t="s">
        <v>15</v>
      </c>
      <c r="V3509" s="62" t="s">
        <v>2057</v>
      </c>
      <c r="W3509" s="62" t="s">
        <v>2056</v>
      </c>
      <c r="X3509" s="62" t="s">
        <v>2058</v>
      </c>
      <c r="Y3509" s="62" t="s">
        <v>2059</v>
      </c>
      <c r="Z3509" s="62" t="s">
        <v>6420</v>
      </c>
      <c r="AA3509" s="62" t="s">
        <v>6421</v>
      </c>
      <c r="AB3509" s="62" t="n">
        <v>1</v>
      </c>
      <c r="AC3509" s="62" t="n">
        <v>0</v>
      </c>
      <c r="AD3509" s="62" t="n">
        <v>1</v>
      </c>
      <c r="AE3509" s="62" t="n">
        <f aca="false">IF(AND(Dashboard!$C$9="Yes",AC3509=1),0,1)</f>
        <v>1</v>
      </c>
      <c r="AF3509" s="62" t="n">
        <v>1</v>
      </c>
    </row>
    <row r="3510" customFormat="false" ht="15" hidden="false" customHeight="false" outlineLevel="0" collapsed="false">
      <c r="A3510" s="62" t="n">
        <v>3509</v>
      </c>
      <c r="B3510" s="63" t="n">
        <v>46304.114849537</v>
      </c>
      <c r="C3510" s="64" t="n">
        <v>46303</v>
      </c>
      <c r="D3510" s="62" t="s">
        <v>202</v>
      </c>
      <c r="E3510" s="62" t="s">
        <v>6422</v>
      </c>
      <c r="F3510" s="62" t="s">
        <v>6422</v>
      </c>
      <c r="G3510" s="62" t="s">
        <v>6423</v>
      </c>
      <c r="H3510" s="62" t="s">
        <v>50</v>
      </c>
      <c r="I3510" s="62" t="s">
        <v>49</v>
      </c>
      <c r="J3510" s="62" t="s">
        <v>3708</v>
      </c>
      <c r="K3510" s="62" t="s">
        <v>209</v>
      </c>
      <c r="L3510" s="62" t="s">
        <v>4</v>
      </c>
      <c r="M3510" s="62" t="n">
        <v>1</v>
      </c>
      <c r="N3510" s="62" t="n">
        <v>0</v>
      </c>
      <c r="O3510" s="62" t="n">
        <v>1</v>
      </c>
      <c r="P3510" s="62" t="n">
        <v>0</v>
      </c>
      <c r="Q3510" s="62" t="n">
        <v>0</v>
      </c>
      <c r="R3510" s="62" t="n">
        <v>0</v>
      </c>
      <c r="S3510" s="62" t="n">
        <v>0</v>
      </c>
      <c r="T3510" s="62" t="n">
        <v>0</v>
      </c>
      <c r="U3510" s="62" t="s">
        <v>2056</v>
      </c>
      <c r="V3510" s="62" t="s">
        <v>2057</v>
      </c>
      <c r="W3510" s="62" t="s">
        <v>2056</v>
      </c>
      <c r="X3510" s="62" t="s">
        <v>2164</v>
      </c>
      <c r="Y3510" s="62" t="s">
        <v>2165</v>
      </c>
      <c r="Z3510" s="62" t="s">
        <v>6424</v>
      </c>
      <c r="AA3510" s="62" t="s">
        <v>6425</v>
      </c>
      <c r="AB3510" s="62" t="n">
        <v>1</v>
      </c>
      <c r="AC3510" s="62" t="n">
        <v>0</v>
      </c>
      <c r="AD3510" s="62" t="n">
        <v>1</v>
      </c>
      <c r="AE3510" s="62" t="n">
        <f aca="false">IF(AND(Dashboard!$C$9="Yes",AC3510=1),0,1)</f>
        <v>1</v>
      </c>
      <c r="AF3510" s="62" t="n">
        <v>1</v>
      </c>
    </row>
    <row r="3511" customFormat="false" ht="15" hidden="false" customHeight="false" outlineLevel="0" collapsed="false">
      <c r="A3511" s="62" t="n">
        <v>3510</v>
      </c>
      <c r="B3511" s="63" t="n">
        <v>46304.1182175926</v>
      </c>
      <c r="C3511" s="64" t="n">
        <v>46303</v>
      </c>
      <c r="D3511" s="62" t="s">
        <v>202</v>
      </c>
      <c r="E3511" s="62" t="s">
        <v>5246</v>
      </c>
      <c r="F3511" s="62" t="s">
        <v>5246</v>
      </c>
      <c r="G3511" s="62" t="s">
        <v>5247</v>
      </c>
      <c r="H3511" s="62" t="s">
        <v>55</v>
      </c>
      <c r="I3511" s="62" t="s">
        <v>49</v>
      </c>
      <c r="J3511" s="62" t="s">
        <v>3708</v>
      </c>
      <c r="K3511" s="62" t="s">
        <v>209</v>
      </c>
      <c r="L3511" s="62" t="s">
        <v>148</v>
      </c>
      <c r="M3511" s="62" t="n">
        <v>0</v>
      </c>
      <c r="N3511" s="62" t="n">
        <v>1</v>
      </c>
      <c r="O3511" s="62" t="n">
        <v>1</v>
      </c>
      <c r="P3511" s="62" t="n">
        <v>0</v>
      </c>
      <c r="Q3511" s="62" t="n">
        <v>0</v>
      </c>
      <c r="R3511" s="62" t="n">
        <v>1</v>
      </c>
      <c r="S3511" s="62" t="n">
        <v>0</v>
      </c>
      <c r="T3511" s="62" t="n">
        <v>0</v>
      </c>
      <c r="U3511" s="62"/>
      <c r="V3511" s="62"/>
      <c r="W3511" s="62"/>
      <c r="X3511" s="62"/>
      <c r="Y3511" s="62"/>
      <c r="Z3511" s="62" t="s">
        <v>6426</v>
      </c>
      <c r="AA3511" s="62" t="s">
        <v>6427</v>
      </c>
      <c r="AB3511" s="62" t="n">
        <v>1</v>
      </c>
      <c r="AC3511" s="62" t="n">
        <v>0</v>
      </c>
      <c r="AD3511" s="62" t="n">
        <v>1</v>
      </c>
      <c r="AE3511" s="62" t="n">
        <f aca="false">IF(AND(Dashboard!$C$9="Yes",AC3511=1),0,1)</f>
        <v>1</v>
      </c>
      <c r="AF3511" s="62" t="n">
        <v>0</v>
      </c>
    </row>
    <row r="3512" customFormat="false" ht="15" hidden="false" customHeight="false" outlineLevel="0" collapsed="false">
      <c r="A3512" s="62" t="n">
        <v>3511</v>
      </c>
      <c r="B3512" s="63" t="n">
        <v>46304.1189699074</v>
      </c>
      <c r="C3512" s="64" t="n">
        <v>46303</v>
      </c>
      <c r="D3512" s="62" t="s">
        <v>202</v>
      </c>
      <c r="E3512" s="62" t="s">
        <v>892</v>
      </c>
      <c r="F3512" s="62" t="s">
        <v>892</v>
      </c>
      <c r="G3512" s="62" t="s">
        <v>893</v>
      </c>
      <c r="H3512" s="62" t="s">
        <v>46</v>
      </c>
      <c r="I3512" s="62" t="s">
        <v>47</v>
      </c>
      <c r="J3512" s="62" t="s">
        <v>146</v>
      </c>
      <c r="K3512" s="62" t="s">
        <v>209</v>
      </c>
      <c r="L3512" s="62" t="s">
        <v>148</v>
      </c>
      <c r="M3512" s="62" t="n">
        <v>0</v>
      </c>
      <c r="N3512" s="62" t="n">
        <v>3</v>
      </c>
      <c r="O3512" s="62" t="n">
        <v>3</v>
      </c>
      <c r="P3512" s="62" t="n">
        <v>1</v>
      </c>
      <c r="Q3512" s="62" t="n">
        <v>1</v>
      </c>
      <c r="R3512" s="62" t="n">
        <v>1</v>
      </c>
      <c r="S3512" s="62" t="n">
        <v>0</v>
      </c>
      <c r="T3512" s="62" t="n">
        <v>0</v>
      </c>
      <c r="U3512" s="62"/>
      <c r="V3512" s="62"/>
      <c r="W3512" s="62"/>
      <c r="X3512" s="62"/>
      <c r="Y3512" s="62"/>
      <c r="Z3512" s="62" t="s">
        <v>6428</v>
      </c>
      <c r="AA3512" s="62" t="s">
        <v>337</v>
      </c>
      <c r="AB3512" s="62" t="n">
        <v>0</v>
      </c>
      <c r="AC3512" s="62" t="n">
        <v>0</v>
      </c>
      <c r="AD3512" s="62" t="n">
        <v>1</v>
      </c>
      <c r="AE3512" s="62" t="n">
        <f aca="false">IF(AND(Dashboard!$C$9="Yes",AC3512=1),0,1)</f>
        <v>1</v>
      </c>
      <c r="AF3512" s="62" t="n">
        <v>1</v>
      </c>
    </row>
    <row r="3513" customFormat="false" ht="15" hidden="false" customHeight="false" outlineLevel="0" collapsed="false">
      <c r="A3513" s="62" t="n">
        <v>3512</v>
      </c>
      <c r="B3513" s="63" t="n">
        <v>46304.12</v>
      </c>
      <c r="C3513" s="64" t="n">
        <v>46303</v>
      </c>
      <c r="D3513" s="62" t="s">
        <v>202</v>
      </c>
      <c r="E3513" s="62" t="s">
        <v>173</v>
      </c>
      <c r="F3513" s="62" t="s">
        <v>173</v>
      </c>
      <c r="G3513" s="62" t="s">
        <v>174</v>
      </c>
      <c r="H3513" s="62" t="s">
        <v>58</v>
      </c>
      <c r="I3513" s="62" t="s">
        <v>49</v>
      </c>
      <c r="J3513" s="62" t="s">
        <v>146</v>
      </c>
      <c r="K3513" s="62" t="s">
        <v>175</v>
      </c>
      <c r="L3513" s="62" t="s">
        <v>148</v>
      </c>
      <c r="M3513" s="62" t="n">
        <v>0</v>
      </c>
      <c r="N3513" s="62" t="n">
        <v>1</v>
      </c>
      <c r="O3513" s="62" t="n">
        <v>1</v>
      </c>
      <c r="P3513" s="62" t="n">
        <v>0</v>
      </c>
      <c r="Q3513" s="62" t="n">
        <v>0</v>
      </c>
      <c r="R3513" s="62" t="n">
        <v>0</v>
      </c>
      <c r="S3513" s="62" t="n">
        <v>0</v>
      </c>
      <c r="T3513" s="62" t="n">
        <v>1</v>
      </c>
      <c r="U3513" s="62"/>
      <c r="V3513" s="62"/>
      <c r="W3513" s="62"/>
      <c r="X3513" s="62"/>
      <c r="Y3513" s="62"/>
      <c r="Z3513" s="62" t="s">
        <v>6414</v>
      </c>
      <c r="AA3513" s="62" t="s">
        <v>6429</v>
      </c>
      <c r="AB3513" s="62" t="n">
        <v>0</v>
      </c>
      <c r="AC3513" s="62" t="n">
        <v>0</v>
      </c>
      <c r="AD3513" s="62" t="n">
        <v>1</v>
      </c>
      <c r="AE3513" s="62" t="n">
        <f aca="false">IF(AND(Dashboard!$C$9="Yes",AC3513=1),0,1)</f>
        <v>1</v>
      </c>
      <c r="AF3513" s="62" t="n">
        <v>0</v>
      </c>
    </row>
    <row r="3514" customFormat="false" ht="15" hidden="false" customHeight="false" outlineLevel="0" collapsed="false">
      <c r="A3514" s="62" t="n">
        <v>3513</v>
      </c>
      <c r="B3514" s="63" t="n">
        <v>46304.1295833333</v>
      </c>
      <c r="C3514" s="64" t="n">
        <v>46303</v>
      </c>
      <c r="D3514" s="62" t="s">
        <v>202</v>
      </c>
      <c r="E3514" s="62" t="s">
        <v>4821</v>
      </c>
      <c r="F3514" s="62" t="s">
        <v>4821</v>
      </c>
      <c r="G3514" s="62" t="s">
        <v>4822</v>
      </c>
      <c r="H3514" s="62" t="s">
        <v>52</v>
      </c>
      <c r="I3514" s="62" t="s">
        <v>47</v>
      </c>
      <c r="J3514" s="62" t="s">
        <v>146</v>
      </c>
      <c r="K3514" s="62" t="s">
        <v>147</v>
      </c>
      <c r="L3514" s="62" t="s">
        <v>148</v>
      </c>
      <c r="M3514" s="62" t="n">
        <v>0</v>
      </c>
      <c r="N3514" s="62" t="n">
        <v>1</v>
      </c>
      <c r="O3514" s="62" t="n">
        <v>1</v>
      </c>
      <c r="P3514" s="62" t="n">
        <v>0</v>
      </c>
      <c r="Q3514" s="62" t="n">
        <v>1</v>
      </c>
      <c r="R3514" s="62" t="n">
        <v>0</v>
      </c>
      <c r="S3514" s="62" t="n">
        <v>0</v>
      </c>
      <c r="T3514" s="62" t="n">
        <v>0</v>
      </c>
      <c r="U3514" s="62"/>
      <c r="V3514" s="62"/>
      <c r="W3514" s="62"/>
      <c r="X3514" s="62"/>
      <c r="Y3514" s="62"/>
      <c r="Z3514" s="62" t="s">
        <v>6430</v>
      </c>
      <c r="AA3514" s="62" t="s">
        <v>6431</v>
      </c>
      <c r="AB3514" s="62" t="n">
        <v>1</v>
      </c>
      <c r="AC3514" s="62" t="n">
        <v>0</v>
      </c>
      <c r="AD3514" s="62" t="n">
        <v>1</v>
      </c>
      <c r="AE3514" s="62" t="n">
        <f aca="false">IF(AND(Dashboard!$C$9="Yes",AC3514=1),0,1)</f>
        <v>1</v>
      </c>
      <c r="AF3514" s="62" t="n">
        <v>1</v>
      </c>
    </row>
    <row r="3515" customFormat="false" ht="15" hidden="false" customHeight="false" outlineLevel="0" collapsed="false">
      <c r="A3515" s="62" t="n">
        <v>3514</v>
      </c>
      <c r="B3515" s="63" t="n">
        <v>46304.1300925926</v>
      </c>
      <c r="C3515" s="64" t="n">
        <v>46303</v>
      </c>
      <c r="D3515" s="62" t="s">
        <v>202</v>
      </c>
      <c r="E3515" s="62" t="s">
        <v>3426</v>
      </c>
      <c r="F3515" s="62" t="s">
        <v>3426</v>
      </c>
      <c r="G3515" s="62" t="s">
        <v>3427</v>
      </c>
      <c r="H3515" s="62" t="s">
        <v>46</v>
      </c>
      <c r="I3515" s="62" t="s">
        <v>47</v>
      </c>
      <c r="J3515" s="62" t="s">
        <v>146</v>
      </c>
      <c r="K3515" s="62" t="s">
        <v>147</v>
      </c>
      <c r="L3515" s="62" t="s">
        <v>4</v>
      </c>
      <c r="M3515" s="62" t="n">
        <v>1</v>
      </c>
      <c r="N3515" s="62" t="n">
        <v>0</v>
      </c>
      <c r="O3515" s="62" t="n">
        <v>1</v>
      </c>
      <c r="P3515" s="62" t="n">
        <v>0</v>
      </c>
      <c r="Q3515" s="62" t="n">
        <v>0</v>
      </c>
      <c r="R3515" s="62" t="n">
        <v>0</v>
      </c>
      <c r="S3515" s="62" t="n">
        <v>0</v>
      </c>
      <c r="T3515" s="62" t="n">
        <v>0</v>
      </c>
      <c r="U3515" s="62" t="s">
        <v>2056</v>
      </c>
      <c r="V3515" s="62" t="s">
        <v>2057</v>
      </c>
      <c r="W3515" s="62" t="s">
        <v>2056</v>
      </c>
      <c r="X3515" s="62" t="s">
        <v>2058</v>
      </c>
      <c r="Y3515" s="62" t="s">
        <v>2059</v>
      </c>
      <c r="Z3515" s="62" t="s">
        <v>6432</v>
      </c>
      <c r="AA3515" s="62" t="s">
        <v>6433</v>
      </c>
      <c r="AB3515" s="62" t="n">
        <v>1</v>
      </c>
      <c r="AC3515" s="62" t="n">
        <v>0</v>
      </c>
      <c r="AD3515" s="62" t="n">
        <v>1</v>
      </c>
      <c r="AE3515" s="62" t="n">
        <f aca="false">IF(AND(Dashboard!$C$9="Yes",AC3515=1),0,1)</f>
        <v>1</v>
      </c>
      <c r="AF3515" s="62" t="n">
        <v>1</v>
      </c>
    </row>
    <row r="3516" customFormat="false" ht="15" hidden="false" customHeight="false" outlineLevel="0" collapsed="false">
      <c r="A3516" s="62" t="n">
        <v>3515</v>
      </c>
      <c r="B3516" s="63" t="n">
        <v>46304.1304050926</v>
      </c>
      <c r="C3516" s="64" t="n">
        <v>46303</v>
      </c>
      <c r="D3516" s="62" t="s">
        <v>202</v>
      </c>
      <c r="E3516" s="62" t="s">
        <v>3022</v>
      </c>
      <c r="F3516" s="62" t="s">
        <v>3022</v>
      </c>
      <c r="G3516" s="62" t="s">
        <v>3023</v>
      </c>
      <c r="H3516" s="62" t="s">
        <v>46</v>
      </c>
      <c r="I3516" s="62" t="s">
        <v>47</v>
      </c>
      <c r="J3516" s="62" t="s">
        <v>146</v>
      </c>
      <c r="K3516" s="62" t="s">
        <v>209</v>
      </c>
      <c r="L3516" s="62" t="s">
        <v>148</v>
      </c>
      <c r="M3516" s="62" t="n">
        <v>0</v>
      </c>
      <c r="N3516" s="62" t="n">
        <v>1</v>
      </c>
      <c r="O3516" s="62" t="n">
        <v>1</v>
      </c>
      <c r="P3516" s="62" t="n">
        <v>1</v>
      </c>
      <c r="Q3516" s="62" t="n">
        <v>0</v>
      </c>
      <c r="R3516" s="62" t="n">
        <v>0</v>
      </c>
      <c r="S3516" s="62" t="n">
        <v>0</v>
      </c>
      <c r="T3516" s="62" t="n">
        <v>0</v>
      </c>
      <c r="U3516" s="62"/>
      <c r="V3516" s="62"/>
      <c r="W3516" s="62"/>
      <c r="X3516" s="62"/>
      <c r="Y3516" s="62"/>
      <c r="Z3516" s="62" t="s">
        <v>6432</v>
      </c>
      <c r="AA3516" s="62" t="s">
        <v>6433</v>
      </c>
      <c r="AB3516" s="62" t="n">
        <v>1</v>
      </c>
      <c r="AC3516" s="62" t="n">
        <v>0</v>
      </c>
      <c r="AD3516" s="62" t="n">
        <v>1</v>
      </c>
      <c r="AE3516" s="62" t="n">
        <f aca="false">IF(AND(Dashboard!$C$9="Yes",AC3516=1),0,1)</f>
        <v>1</v>
      </c>
      <c r="AF3516" s="62" t="n">
        <v>0</v>
      </c>
    </row>
    <row r="3517" customFormat="false" ht="15" hidden="false" customHeight="false" outlineLevel="0" collapsed="false">
      <c r="A3517" s="62" t="n">
        <v>3516</v>
      </c>
      <c r="B3517" s="63" t="n">
        <v>46304.1332407407</v>
      </c>
      <c r="C3517" s="64" t="n">
        <v>46303</v>
      </c>
      <c r="D3517" s="62" t="s">
        <v>202</v>
      </c>
      <c r="E3517" s="62" t="s">
        <v>6434</v>
      </c>
      <c r="F3517" s="62" t="s">
        <v>6435</v>
      </c>
      <c r="G3517" s="62" t="s">
        <v>153</v>
      </c>
      <c r="H3517" s="62" t="s">
        <v>153</v>
      </c>
      <c r="I3517" s="62" t="s">
        <v>153</v>
      </c>
      <c r="J3517" s="62" t="s">
        <v>64</v>
      </c>
      <c r="K3517" s="62" t="s">
        <v>64</v>
      </c>
      <c r="L3517" s="62" t="s">
        <v>4</v>
      </c>
      <c r="M3517" s="62" t="n">
        <v>1</v>
      </c>
      <c r="N3517" s="62" t="n">
        <v>0</v>
      </c>
      <c r="O3517" s="62" t="n">
        <v>1</v>
      </c>
      <c r="P3517" s="62" t="n">
        <v>0</v>
      </c>
      <c r="Q3517" s="62" t="n">
        <v>0</v>
      </c>
      <c r="R3517" s="62" t="n">
        <v>0</v>
      </c>
      <c r="S3517" s="62" t="n">
        <v>0</v>
      </c>
      <c r="T3517" s="62" t="n">
        <v>0</v>
      </c>
      <c r="U3517" s="62" t="s">
        <v>2056</v>
      </c>
      <c r="V3517" s="62" t="s">
        <v>2057</v>
      </c>
      <c r="W3517" s="62" t="s">
        <v>2056</v>
      </c>
      <c r="X3517" s="62" t="s">
        <v>2058</v>
      </c>
      <c r="Y3517" s="62" t="s">
        <v>2059</v>
      </c>
      <c r="Z3517" s="62" t="s">
        <v>6432</v>
      </c>
      <c r="AA3517" s="62" t="s">
        <v>6433</v>
      </c>
      <c r="AB3517" s="62" t="n">
        <v>1</v>
      </c>
      <c r="AC3517" s="62" t="n">
        <v>0</v>
      </c>
      <c r="AD3517" s="62" t="n">
        <v>0</v>
      </c>
      <c r="AE3517" s="62" t="n">
        <f aca="false">IF(AND(Dashboard!$C$9="Yes",AC3517=1),0,1)</f>
        <v>1</v>
      </c>
      <c r="AF3517" s="62" t="n">
        <v>1</v>
      </c>
    </row>
    <row r="3518" customFormat="false" ht="15" hidden="false" customHeight="false" outlineLevel="0" collapsed="false">
      <c r="A3518" s="62" t="n">
        <v>3517</v>
      </c>
      <c r="B3518" s="63" t="n">
        <v>46304.1335185185</v>
      </c>
      <c r="C3518" s="64" t="n">
        <v>46303</v>
      </c>
      <c r="D3518" s="62" t="s">
        <v>202</v>
      </c>
      <c r="E3518" s="62" t="s">
        <v>3706</v>
      </c>
      <c r="F3518" s="62" t="s">
        <v>3706</v>
      </c>
      <c r="G3518" s="62" t="s">
        <v>3707</v>
      </c>
      <c r="H3518" s="62" t="s">
        <v>55</v>
      </c>
      <c r="I3518" s="62" t="s">
        <v>49</v>
      </c>
      <c r="J3518" s="62" t="s">
        <v>3708</v>
      </c>
      <c r="K3518" s="62" t="s">
        <v>209</v>
      </c>
      <c r="L3518" s="62" t="s">
        <v>148</v>
      </c>
      <c r="M3518" s="62" t="n">
        <v>0</v>
      </c>
      <c r="N3518" s="62" t="n">
        <v>1</v>
      </c>
      <c r="O3518" s="62" t="n">
        <v>1</v>
      </c>
      <c r="P3518" s="62" t="n">
        <v>0</v>
      </c>
      <c r="Q3518" s="62" t="n">
        <v>0</v>
      </c>
      <c r="R3518" s="62" t="n">
        <v>0</v>
      </c>
      <c r="S3518" s="62" t="n">
        <v>1</v>
      </c>
      <c r="T3518" s="62" t="n">
        <v>0</v>
      </c>
      <c r="U3518" s="62"/>
      <c r="V3518" s="62"/>
      <c r="W3518" s="62"/>
      <c r="X3518" s="62"/>
      <c r="Y3518" s="62"/>
      <c r="Z3518" s="62" t="s">
        <v>6436</v>
      </c>
      <c r="AA3518" s="62" t="s">
        <v>337</v>
      </c>
      <c r="AB3518" s="62" t="n">
        <v>0</v>
      </c>
      <c r="AC3518" s="62" t="n">
        <v>0</v>
      </c>
      <c r="AD3518" s="62" t="n">
        <v>1</v>
      </c>
      <c r="AE3518" s="62" t="n">
        <f aca="false">IF(AND(Dashboard!$C$9="Yes",AC3518=1),0,1)</f>
        <v>1</v>
      </c>
      <c r="AF3518" s="62" t="n">
        <v>0</v>
      </c>
    </row>
    <row r="3519" customFormat="false" ht="15" hidden="false" customHeight="false" outlineLevel="0" collapsed="false">
      <c r="A3519" s="62" t="n">
        <v>3518</v>
      </c>
      <c r="B3519" s="63" t="n">
        <v>46304.1341203704</v>
      </c>
      <c r="C3519" s="64" t="n">
        <v>46303</v>
      </c>
      <c r="D3519" s="62" t="s">
        <v>202</v>
      </c>
      <c r="E3519" s="62" t="s">
        <v>144</v>
      </c>
      <c r="F3519" s="62" t="s">
        <v>144</v>
      </c>
      <c r="G3519" s="62" t="s">
        <v>145</v>
      </c>
      <c r="H3519" s="62" t="s">
        <v>59</v>
      </c>
      <c r="I3519" s="62" t="s">
        <v>47</v>
      </c>
      <c r="J3519" s="62" t="s">
        <v>146</v>
      </c>
      <c r="K3519" s="62" t="s">
        <v>147</v>
      </c>
      <c r="L3519" s="62" t="s">
        <v>148</v>
      </c>
      <c r="M3519" s="62" t="n">
        <v>0</v>
      </c>
      <c r="N3519" s="62" t="n">
        <v>1</v>
      </c>
      <c r="O3519" s="62" t="n">
        <v>1</v>
      </c>
      <c r="P3519" s="62" t="n">
        <v>0</v>
      </c>
      <c r="Q3519" s="62" t="n">
        <v>1</v>
      </c>
      <c r="R3519" s="62" t="n">
        <v>0</v>
      </c>
      <c r="S3519" s="62" t="n">
        <v>0</v>
      </c>
      <c r="T3519" s="62" t="n">
        <v>0</v>
      </c>
      <c r="U3519" s="62"/>
      <c r="V3519" s="62"/>
      <c r="W3519" s="62"/>
      <c r="X3519" s="62"/>
      <c r="Y3519" s="62"/>
      <c r="Z3519" s="62" t="s">
        <v>6437</v>
      </c>
      <c r="AA3519" s="62" t="s">
        <v>6438</v>
      </c>
      <c r="AB3519" s="62" t="n">
        <v>1</v>
      </c>
      <c r="AC3519" s="62" t="n">
        <v>0</v>
      </c>
      <c r="AD3519" s="62" t="n">
        <v>1</v>
      </c>
      <c r="AE3519" s="62" t="n">
        <f aca="false">IF(AND(Dashboard!$C$9="Yes",AC3519=1),0,1)</f>
        <v>1</v>
      </c>
      <c r="AF3519" s="62" t="n">
        <v>0</v>
      </c>
    </row>
    <row r="3520" customFormat="false" ht="15" hidden="false" customHeight="false" outlineLevel="0" collapsed="false">
      <c r="A3520" s="62" t="n">
        <v>3519</v>
      </c>
      <c r="B3520" s="63" t="n">
        <v>46304.1372569444</v>
      </c>
      <c r="C3520" s="64" t="n">
        <v>46303</v>
      </c>
      <c r="D3520" s="62" t="s">
        <v>202</v>
      </c>
      <c r="E3520" s="62" t="s">
        <v>6439</v>
      </c>
      <c r="F3520" s="62" t="s">
        <v>6440</v>
      </c>
      <c r="G3520" s="62" t="s">
        <v>153</v>
      </c>
      <c r="H3520" s="62" t="s">
        <v>153</v>
      </c>
      <c r="I3520" s="62" t="s">
        <v>153</v>
      </c>
      <c r="J3520" s="62" t="s">
        <v>64</v>
      </c>
      <c r="K3520" s="62" t="s">
        <v>64</v>
      </c>
      <c r="L3520" s="62" t="s">
        <v>148</v>
      </c>
      <c r="M3520" s="62" t="n">
        <v>0</v>
      </c>
      <c r="N3520" s="62" t="n">
        <v>1</v>
      </c>
      <c r="O3520" s="62" t="n">
        <v>1</v>
      </c>
      <c r="P3520" s="62" t="n">
        <v>0</v>
      </c>
      <c r="Q3520" s="62" t="n">
        <v>1</v>
      </c>
      <c r="R3520" s="62" t="n">
        <v>0</v>
      </c>
      <c r="S3520" s="62" t="n">
        <v>0</v>
      </c>
      <c r="T3520" s="62" t="n">
        <v>0</v>
      </c>
      <c r="U3520" s="62"/>
      <c r="V3520" s="62"/>
      <c r="W3520" s="62"/>
      <c r="X3520" s="62"/>
      <c r="Y3520" s="62"/>
      <c r="Z3520" s="62" t="s">
        <v>6441</v>
      </c>
      <c r="AA3520" s="62" t="s">
        <v>6442</v>
      </c>
      <c r="AB3520" s="62" t="n">
        <v>1</v>
      </c>
      <c r="AC3520" s="62" t="n">
        <v>0</v>
      </c>
      <c r="AD3520" s="62" t="n">
        <v>0</v>
      </c>
      <c r="AE3520" s="62" t="n">
        <f aca="false">IF(AND(Dashboard!$C$9="Yes",AC3520=1),0,1)</f>
        <v>1</v>
      </c>
      <c r="AF3520" s="62" t="n">
        <v>1</v>
      </c>
    </row>
  </sheetData>
  <autoFilter ref="A1:AF352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K2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4"/>
    <col collapsed="false" customWidth="true" hidden="false" outlineLevel="0" max="3" min="3" style="0" width="40"/>
    <col collapsed="false" customWidth="true" hidden="false" outlineLevel="0" max="4" min="4" style="0" width="18"/>
    <col collapsed="false" customWidth="true" hidden="false" outlineLevel="0" max="5" min="5" style="0" width="16"/>
    <col collapsed="false" customWidth="true" hidden="false" outlineLevel="0" max="6" min="6" style="0" width="11"/>
    <col collapsed="false" customWidth="true" hidden="false" outlineLevel="0" max="7" min="7" style="0" width="13"/>
    <col collapsed="false" customWidth="true" hidden="false" outlineLevel="0" max="8" min="8" style="0" width="12"/>
    <col collapsed="false" customWidth="true" hidden="false" outlineLevel="0" max="9" min="9" style="0" width="13"/>
    <col collapsed="false" customWidth="true" hidden="false" outlineLevel="0" max="10" min="10" style="0" width="11"/>
    <col collapsed="false" customWidth="true" hidden="false" outlineLevel="0" max="11" min="11" style="0" width="22"/>
  </cols>
  <sheetData>
    <row r="1" customFormat="false" ht="28.35" hidden="false" customHeight="false" outlineLevel="0" collapsed="false">
      <c r="A1" s="61" t="s">
        <v>6443</v>
      </c>
      <c r="B1" s="61" t="s">
        <v>122</v>
      </c>
      <c r="C1" s="61" t="s">
        <v>6444</v>
      </c>
      <c r="D1" s="61" t="s">
        <v>13</v>
      </c>
      <c r="E1" s="61" t="s">
        <v>10</v>
      </c>
      <c r="F1" s="61" t="s">
        <v>123</v>
      </c>
      <c r="G1" s="61" t="s">
        <v>6445</v>
      </c>
      <c r="H1" s="61" t="s">
        <v>124</v>
      </c>
      <c r="I1" s="61" t="s">
        <v>6446</v>
      </c>
      <c r="J1" s="61" t="s">
        <v>6447</v>
      </c>
      <c r="K1" s="61" t="s">
        <v>6448</v>
      </c>
    </row>
    <row r="2" customFormat="false" ht="15" hidden="false" customHeight="false" outlineLevel="0" collapsed="false">
      <c r="A2" s="53" t="s">
        <v>3061</v>
      </c>
      <c r="B2" s="53" t="s">
        <v>3062</v>
      </c>
      <c r="C2" s="53" t="s">
        <v>6449</v>
      </c>
      <c r="D2" s="53" t="s">
        <v>44</v>
      </c>
      <c r="E2" s="53" t="s">
        <v>49</v>
      </c>
      <c r="F2" s="53" t="s">
        <v>146</v>
      </c>
      <c r="G2" s="53" t="s">
        <v>6450</v>
      </c>
      <c r="H2" s="53" t="s">
        <v>147</v>
      </c>
      <c r="I2" s="54" t="n">
        <v>46240</v>
      </c>
      <c r="J2" s="53" t="n">
        <v>62</v>
      </c>
      <c r="K2" s="53" t="str">
        <f aca="false">D2&amp;"|"&amp;COUNTIF($D$2:D2,D2)</f>
        <v>Ahmed Aboelgoud|1</v>
      </c>
    </row>
    <row r="3" customFormat="false" ht="15" hidden="false" customHeight="false" outlineLevel="0" collapsed="false">
      <c r="A3" s="53" t="s">
        <v>4310</v>
      </c>
      <c r="B3" s="53" t="s">
        <v>4311</v>
      </c>
      <c r="C3" s="53" t="s">
        <v>6451</v>
      </c>
      <c r="D3" s="53" t="s">
        <v>44</v>
      </c>
      <c r="E3" s="53" t="s">
        <v>61</v>
      </c>
      <c r="F3" s="53" t="s">
        <v>3708</v>
      </c>
      <c r="G3" s="53" t="s">
        <v>6450</v>
      </c>
      <c r="H3" s="53" t="s">
        <v>175</v>
      </c>
      <c r="I3" s="54" t="s">
        <v>64</v>
      </c>
      <c r="J3" s="53" t="s">
        <v>64</v>
      </c>
      <c r="K3" s="53" t="str">
        <f aca="false">D3&amp;"|"&amp;COUNTIF($D$2:D3,D3)</f>
        <v>Ahmed Aboelgoud|2</v>
      </c>
    </row>
    <row r="4" customFormat="false" ht="15" hidden="false" customHeight="false" outlineLevel="0" collapsed="false">
      <c r="A4" s="53" t="s">
        <v>6452</v>
      </c>
      <c r="B4" s="53" t="s">
        <v>6453</v>
      </c>
      <c r="C4" s="53" t="s">
        <v>6454</v>
      </c>
      <c r="D4" s="53" t="s">
        <v>44</v>
      </c>
      <c r="E4" s="53" t="s">
        <v>61</v>
      </c>
      <c r="F4" s="53" t="s">
        <v>3708</v>
      </c>
      <c r="G4" s="53" t="s">
        <v>6450</v>
      </c>
      <c r="H4" s="53" t="s">
        <v>175</v>
      </c>
      <c r="I4" s="54" t="s">
        <v>64</v>
      </c>
      <c r="J4" s="53" t="s">
        <v>64</v>
      </c>
      <c r="K4" s="53" t="str">
        <f aca="false">D4&amp;"|"&amp;COUNTIF($D$2:D4,D4)</f>
        <v>Ahmed Aboelgoud|3</v>
      </c>
    </row>
    <row r="5" customFormat="false" ht="15" hidden="false" customHeight="false" outlineLevel="0" collapsed="false">
      <c r="A5" s="53" t="s">
        <v>4506</v>
      </c>
      <c r="B5" s="53" t="s">
        <v>4507</v>
      </c>
      <c r="C5" s="53" t="s">
        <v>6455</v>
      </c>
      <c r="D5" s="53" t="s">
        <v>44</v>
      </c>
      <c r="E5" s="53" t="s">
        <v>49</v>
      </c>
      <c r="F5" s="53" t="s">
        <v>146</v>
      </c>
      <c r="G5" s="53" t="s">
        <v>6450</v>
      </c>
      <c r="H5" s="53" t="s">
        <v>147</v>
      </c>
      <c r="I5" s="54" t="n">
        <v>46240</v>
      </c>
      <c r="J5" s="53" t="n">
        <v>62</v>
      </c>
      <c r="K5" s="53" t="str">
        <f aca="false">D5&amp;"|"&amp;COUNTIF($D$2:D5,D5)</f>
        <v>Ahmed Aboelgoud|4</v>
      </c>
    </row>
    <row r="6" customFormat="false" ht="15" hidden="false" customHeight="false" outlineLevel="0" collapsed="false">
      <c r="A6" s="53" t="s">
        <v>6456</v>
      </c>
      <c r="B6" s="53" t="s">
        <v>6457</v>
      </c>
      <c r="C6" s="53" t="s">
        <v>6458</v>
      </c>
      <c r="D6" s="53" t="s">
        <v>44</v>
      </c>
      <c r="E6" s="53" t="s">
        <v>61</v>
      </c>
      <c r="F6" s="53" t="s">
        <v>3708</v>
      </c>
      <c r="G6" s="53" t="s">
        <v>6450</v>
      </c>
      <c r="H6" s="53" t="s">
        <v>175</v>
      </c>
      <c r="I6" s="54" t="s">
        <v>64</v>
      </c>
      <c r="J6" s="53" t="s">
        <v>64</v>
      </c>
      <c r="K6" s="53" t="str">
        <f aca="false">D6&amp;"|"&amp;COUNTIF($D$2:D6,D6)</f>
        <v>Ahmed Aboelgoud|5</v>
      </c>
    </row>
    <row r="7" customFormat="false" ht="15" hidden="false" customHeight="false" outlineLevel="0" collapsed="false">
      <c r="A7" s="53" t="s">
        <v>4329</v>
      </c>
      <c r="B7" s="53" t="s">
        <v>4330</v>
      </c>
      <c r="C7" s="53" t="s">
        <v>6459</v>
      </c>
      <c r="D7" s="53" t="s">
        <v>44</v>
      </c>
      <c r="E7" s="53" t="s">
        <v>49</v>
      </c>
      <c r="F7" s="53" t="s">
        <v>146</v>
      </c>
      <c r="G7" s="53" t="s">
        <v>6450</v>
      </c>
      <c r="H7" s="53" t="s">
        <v>147</v>
      </c>
      <c r="I7" s="54" t="n">
        <v>46240</v>
      </c>
      <c r="J7" s="53" t="n">
        <v>62</v>
      </c>
      <c r="K7" s="53" t="str">
        <f aca="false">D7&amp;"|"&amp;COUNTIF($D$2:D7,D7)</f>
        <v>Ahmed Aboelgoud|6</v>
      </c>
    </row>
    <row r="8" customFormat="false" ht="15" hidden="false" customHeight="false" outlineLevel="0" collapsed="false">
      <c r="A8" s="53" t="s">
        <v>4258</v>
      </c>
      <c r="B8" s="53" t="s">
        <v>4259</v>
      </c>
      <c r="C8" s="53" t="s">
        <v>6460</v>
      </c>
      <c r="D8" s="53" t="s">
        <v>44</v>
      </c>
      <c r="E8" s="53" t="s">
        <v>49</v>
      </c>
      <c r="F8" s="53" t="s">
        <v>146</v>
      </c>
      <c r="G8" s="53" t="s">
        <v>6450</v>
      </c>
      <c r="H8" s="53" t="s">
        <v>147</v>
      </c>
      <c r="I8" s="54" t="n">
        <v>46240</v>
      </c>
      <c r="J8" s="53" t="n">
        <v>62</v>
      </c>
      <c r="K8" s="53" t="str">
        <f aca="false">D8&amp;"|"&amp;COUNTIF($D$2:D8,D8)</f>
        <v>Ahmed Aboelgoud|7</v>
      </c>
    </row>
    <row r="9" customFormat="false" ht="15" hidden="false" customHeight="false" outlineLevel="0" collapsed="false">
      <c r="A9" s="53" t="s">
        <v>4542</v>
      </c>
      <c r="B9" s="53" t="s">
        <v>4543</v>
      </c>
      <c r="C9" s="53" t="s">
        <v>6461</v>
      </c>
      <c r="D9" s="53" t="s">
        <v>44</v>
      </c>
      <c r="E9" s="53" t="s">
        <v>49</v>
      </c>
      <c r="F9" s="53" t="s">
        <v>146</v>
      </c>
      <c r="G9" s="53" t="s">
        <v>6450</v>
      </c>
      <c r="H9" s="53" t="s">
        <v>147</v>
      </c>
      <c r="I9" s="54" t="n">
        <v>46240</v>
      </c>
      <c r="J9" s="53" t="n">
        <v>62</v>
      </c>
      <c r="K9" s="53" t="str">
        <f aca="false">D9&amp;"|"&amp;COUNTIF($D$2:D9,D9)</f>
        <v>Ahmed Aboelgoud|8</v>
      </c>
    </row>
    <row r="10" customFormat="false" ht="15" hidden="false" customHeight="false" outlineLevel="0" collapsed="false">
      <c r="A10" s="53" t="s">
        <v>4304</v>
      </c>
      <c r="B10" s="53" t="s">
        <v>4305</v>
      </c>
      <c r="C10" s="53" t="s">
        <v>6462</v>
      </c>
      <c r="D10" s="53" t="s">
        <v>44</v>
      </c>
      <c r="E10" s="53" t="s">
        <v>61</v>
      </c>
      <c r="F10" s="53" t="s">
        <v>3708</v>
      </c>
      <c r="G10" s="53" t="s">
        <v>6450</v>
      </c>
      <c r="H10" s="53" t="s">
        <v>175</v>
      </c>
      <c r="I10" s="54" t="s">
        <v>64</v>
      </c>
      <c r="J10" s="53" t="s">
        <v>64</v>
      </c>
      <c r="K10" s="53" t="str">
        <f aca="false">D10&amp;"|"&amp;COUNTIF($D$2:D10,D10)</f>
        <v>Ahmed Aboelgoud|9</v>
      </c>
    </row>
    <row r="11" customFormat="false" ht="15" hidden="false" customHeight="false" outlineLevel="0" collapsed="false">
      <c r="A11" s="53" t="s">
        <v>6463</v>
      </c>
      <c r="B11" s="53" t="s">
        <v>6464</v>
      </c>
      <c r="C11" s="53" t="s">
        <v>6465</v>
      </c>
      <c r="D11" s="53" t="s">
        <v>44</v>
      </c>
      <c r="E11" s="53" t="s">
        <v>61</v>
      </c>
      <c r="F11" s="53" t="s">
        <v>3708</v>
      </c>
      <c r="G11" s="53" t="s">
        <v>6450</v>
      </c>
      <c r="H11" s="53" t="s">
        <v>175</v>
      </c>
      <c r="I11" s="54" t="s">
        <v>64</v>
      </c>
      <c r="J11" s="53" t="s">
        <v>64</v>
      </c>
      <c r="K11" s="53" t="str">
        <f aca="false">D11&amp;"|"&amp;COUNTIF($D$2:D11,D11)</f>
        <v>Ahmed Aboelgoud|10</v>
      </c>
    </row>
    <row r="12" customFormat="false" ht="15" hidden="false" customHeight="false" outlineLevel="0" collapsed="false">
      <c r="A12" s="53" t="s">
        <v>4382</v>
      </c>
      <c r="B12" s="53" t="s">
        <v>4383</v>
      </c>
      <c r="C12" s="53" t="s">
        <v>6466</v>
      </c>
      <c r="D12" s="53" t="s">
        <v>44</v>
      </c>
      <c r="E12" s="53" t="s">
        <v>61</v>
      </c>
      <c r="F12" s="53" t="s">
        <v>3708</v>
      </c>
      <c r="G12" s="53" t="s">
        <v>6450</v>
      </c>
      <c r="H12" s="53" t="s">
        <v>175</v>
      </c>
      <c r="I12" s="54" t="s">
        <v>64</v>
      </c>
      <c r="J12" s="53" t="s">
        <v>64</v>
      </c>
      <c r="K12" s="53" t="str">
        <f aca="false">D12&amp;"|"&amp;COUNTIF($D$2:D12,D12)</f>
        <v>Ahmed Aboelgoud|11</v>
      </c>
    </row>
    <row r="13" customFormat="false" ht="15" hidden="false" customHeight="false" outlineLevel="0" collapsed="false">
      <c r="A13" s="53" t="s">
        <v>4234</v>
      </c>
      <c r="B13" s="53" t="s">
        <v>4235</v>
      </c>
      <c r="C13" s="53" t="s">
        <v>6467</v>
      </c>
      <c r="D13" s="53" t="s">
        <v>44</v>
      </c>
      <c r="E13" s="53" t="s">
        <v>49</v>
      </c>
      <c r="F13" s="53" t="s">
        <v>146</v>
      </c>
      <c r="G13" s="53" t="s">
        <v>6450</v>
      </c>
      <c r="H13" s="53" t="s">
        <v>147</v>
      </c>
      <c r="I13" s="54" t="n">
        <v>46240</v>
      </c>
      <c r="J13" s="53" t="n">
        <v>62</v>
      </c>
      <c r="K13" s="53" t="str">
        <f aca="false">D13&amp;"|"&amp;COUNTIF($D$2:D13,D13)</f>
        <v>Ahmed Aboelgoud|12</v>
      </c>
    </row>
    <row r="14" customFormat="false" ht="15" hidden="false" customHeight="false" outlineLevel="0" collapsed="false">
      <c r="A14" s="53" t="s">
        <v>4386</v>
      </c>
      <c r="B14" s="53" t="s">
        <v>4387</v>
      </c>
      <c r="C14" s="53" t="s">
        <v>6468</v>
      </c>
      <c r="D14" s="53" t="s">
        <v>44</v>
      </c>
      <c r="E14" s="53" t="s">
        <v>49</v>
      </c>
      <c r="F14" s="53" t="s">
        <v>146</v>
      </c>
      <c r="G14" s="53" t="s">
        <v>6450</v>
      </c>
      <c r="H14" s="53" t="s">
        <v>147</v>
      </c>
      <c r="I14" s="54" t="n">
        <v>46240</v>
      </c>
      <c r="J14" s="53" t="n">
        <v>62</v>
      </c>
      <c r="K14" s="53" t="str">
        <f aca="false">D14&amp;"|"&amp;COUNTIF($D$2:D14,D14)</f>
        <v>Ahmed Aboelgoud|13</v>
      </c>
    </row>
    <row r="15" customFormat="false" ht="15" hidden="false" customHeight="false" outlineLevel="0" collapsed="false">
      <c r="A15" s="53" t="s">
        <v>4530</v>
      </c>
      <c r="B15" s="53" t="s">
        <v>4531</v>
      </c>
      <c r="C15" s="53" t="s">
        <v>6469</v>
      </c>
      <c r="D15" s="53" t="s">
        <v>44</v>
      </c>
      <c r="E15" s="53" t="s">
        <v>49</v>
      </c>
      <c r="F15" s="53" t="s">
        <v>146</v>
      </c>
      <c r="G15" s="53" t="s">
        <v>6450</v>
      </c>
      <c r="H15" s="53" t="s">
        <v>147</v>
      </c>
      <c r="I15" s="54" t="n">
        <v>46240</v>
      </c>
      <c r="J15" s="53" t="n">
        <v>62</v>
      </c>
      <c r="K15" s="53" t="str">
        <f aca="false">D15&amp;"|"&amp;COUNTIF($D$2:D15,D15)</f>
        <v>Ahmed Aboelgoud|14</v>
      </c>
    </row>
    <row r="16" customFormat="false" ht="15" hidden="false" customHeight="false" outlineLevel="0" collapsed="false">
      <c r="A16" s="53" t="s">
        <v>6470</v>
      </c>
      <c r="B16" s="53" t="s">
        <v>6471</v>
      </c>
      <c r="C16" s="53" t="s">
        <v>6472</v>
      </c>
      <c r="D16" s="53" t="s">
        <v>44</v>
      </c>
      <c r="E16" s="53" t="s">
        <v>61</v>
      </c>
      <c r="F16" s="53" t="s">
        <v>3708</v>
      </c>
      <c r="G16" s="53" t="s">
        <v>6450</v>
      </c>
      <c r="H16" s="53" t="s">
        <v>175</v>
      </c>
      <c r="I16" s="54" t="s">
        <v>64</v>
      </c>
      <c r="J16" s="53" t="s">
        <v>64</v>
      </c>
      <c r="K16" s="53" t="str">
        <f aca="false">D16&amp;"|"&amp;COUNTIF($D$2:D16,D16)</f>
        <v>Ahmed Aboelgoud|15</v>
      </c>
    </row>
    <row r="17" customFormat="false" ht="15" hidden="false" customHeight="false" outlineLevel="0" collapsed="false">
      <c r="A17" s="53" t="s">
        <v>4242</v>
      </c>
      <c r="B17" s="53" t="s">
        <v>4243</v>
      </c>
      <c r="C17" s="53" t="s">
        <v>6473</v>
      </c>
      <c r="D17" s="53" t="s">
        <v>44</v>
      </c>
      <c r="E17" s="53" t="s">
        <v>49</v>
      </c>
      <c r="F17" s="53" t="s">
        <v>146</v>
      </c>
      <c r="G17" s="53" t="s">
        <v>6450</v>
      </c>
      <c r="H17" s="53" t="s">
        <v>147</v>
      </c>
      <c r="I17" s="54" t="n">
        <v>46240</v>
      </c>
      <c r="J17" s="53" t="n">
        <v>62</v>
      </c>
      <c r="K17" s="53" t="str">
        <f aca="false">D17&amp;"|"&amp;COUNTIF($D$2:D17,D17)</f>
        <v>Ahmed Aboelgoud|16</v>
      </c>
    </row>
    <row r="18" customFormat="false" ht="15" hidden="false" customHeight="false" outlineLevel="0" collapsed="false">
      <c r="A18" s="53" t="s">
        <v>4280</v>
      </c>
      <c r="B18" s="53" t="s">
        <v>4281</v>
      </c>
      <c r="C18" s="53" t="s">
        <v>6474</v>
      </c>
      <c r="D18" s="53" t="s">
        <v>44</v>
      </c>
      <c r="E18" s="53" t="s">
        <v>49</v>
      </c>
      <c r="F18" s="53" t="s">
        <v>146</v>
      </c>
      <c r="G18" s="53" t="s">
        <v>6450</v>
      </c>
      <c r="H18" s="53" t="s">
        <v>147</v>
      </c>
      <c r="I18" s="54" t="n">
        <v>46242</v>
      </c>
      <c r="J18" s="53" t="n">
        <v>60</v>
      </c>
      <c r="K18" s="53" t="str">
        <f aca="false">D18&amp;"|"&amp;COUNTIF($D$2:D18,D18)</f>
        <v>Ahmed Aboelgoud|17</v>
      </c>
    </row>
    <row r="19" customFormat="false" ht="15" hidden="false" customHeight="false" outlineLevel="0" collapsed="false">
      <c r="A19" s="53" t="s">
        <v>4391</v>
      </c>
      <c r="B19" s="53" t="s">
        <v>4392</v>
      </c>
      <c r="C19" s="53" t="s">
        <v>6475</v>
      </c>
      <c r="D19" s="53" t="s">
        <v>44</v>
      </c>
      <c r="E19" s="53" t="s">
        <v>49</v>
      </c>
      <c r="F19" s="53" t="s">
        <v>146</v>
      </c>
      <c r="G19" s="53" t="s">
        <v>6450</v>
      </c>
      <c r="H19" s="53" t="s">
        <v>147</v>
      </c>
      <c r="I19" s="54" t="n">
        <v>46242</v>
      </c>
      <c r="J19" s="53" t="n">
        <v>60</v>
      </c>
      <c r="K19" s="53" t="str">
        <f aca="false">D19&amp;"|"&amp;COUNTIF($D$2:D19,D19)</f>
        <v>Ahmed Aboelgoud|18</v>
      </c>
    </row>
    <row r="20" customFormat="false" ht="15" hidden="false" customHeight="false" outlineLevel="0" collapsed="false">
      <c r="A20" s="53" t="s">
        <v>3197</v>
      </c>
      <c r="B20" s="53" t="s">
        <v>3198</v>
      </c>
      <c r="C20" s="53" t="s">
        <v>6476</v>
      </c>
      <c r="D20" s="53" t="s">
        <v>44</v>
      </c>
      <c r="E20" s="53" t="s">
        <v>49</v>
      </c>
      <c r="F20" s="53" t="s">
        <v>146</v>
      </c>
      <c r="G20" s="53" t="s">
        <v>6450</v>
      </c>
      <c r="H20" s="53" t="s">
        <v>147</v>
      </c>
      <c r="I20" s="54" t="n">
        <v>46240</v>
      </c>
      <c r="J20" s="53" t="n">
        <v>62</v>
      </c>
      <c r="K20" s="53" t="str">
        <f aca="false">D20&amp;"|"&amp;COUNTIF($D$2:D20,D20)</f>
        <v>Ahmed Aboelgoud|19</v>
      </c>
    </row>
    <row r="21" customFormat="false" ht="15" hidden="false" customHeight="false" outlineLevel="0" collapsed="false">
      <c r="A21" s="53" t="s">
        <v>4238</v>
      </c>
      <c r="B21" s="53" t="s">
        <v>4239</v>
      </c>
      <c r="C21" s="53" t="s">
        <v>6477</v>
      </c>
      <c r="D21" s="53" t="s">
        <v>44</v>
      </c>
      <c r="E21" s="53" t="s">
        <v>49</v>
      </c>
      <c r="F21" s="53" t="s">
        <v>146</v>
      </c>
      <c r="G21" s="53" t="s">
        <v>6450</v>
      </c>
      <c r="H21" s="53" t="s">
        <v>147</v>
      </c>
      <c r="I21" s="54" t="n">
        <v>46240</v>
      </c>
      <c r="J21" s="53" t="n">
        <v>62</v>
      </c>
      <c r="K21" s="53" t="str">
        <f aca="false">D21&amp;"|"&amp;COUNTIF($D$2:D21,D21)</f>
        <v>Ahmed Aboelgoud|20</v>
      </c>
    </row>
    <row r="22" customFormat="false" ht="15" hidden="false" customHeight="false" outlineLevel="0" collapsed="false">
      <c r="A22" s="53" t="s">
        <v>4420</v>
      </c>
      <c r="B22" s="53" t="s">
        <v>4421</v>
      </c>
      <c r="C22" s="53" t="s">
        <v>6478</v>
      </c>
      <c r="D22" s="53" t="s">
        <v>44</v>
      </c>
      <c r="E22" s="53" t="s">
        <v>49</v>
      </c>
      <c r="F22" s="53" t="s">
        <v>146</v>
      </c>
      <c r="G22" s="53" t="s">
        <v>6450</v>
      </c>
      <c r="H22" s="53" t="s">
        <v>147</v>
      </c>
      <c r="I22" s="54" t="n">
        <v>46240</v>
      </c>
      <c r="J22" s="53" t="n">
        <v>62</v>
      </c>
      <c r="K22" s="53" t="str">
        <f aca="false">D22&amp;"|"&amp;COUNTIF($D$2:D22,D22)</f>
        <v>Ahmed Aboelgoud|21</v>
      </c>
    </row>
    <row r="23" customFormat="false" ht="15" hidden="false" customHeight="false" outlineLevel="0" collapsed="false">
      <c r="A23" s="53" t="s">
        <v>4226</v>
      </c>
      <c r="B23" s="53" t="s">
        <v>4227</v>
      </c>
      <c r="C23" s="53" t="s">
        <v>6479</v>
      </c>
      <c r="D23" s="53" t="s">
        <v>44</v>
      </c>
      <c r="E23" s="53" t="s">
        <v>49</v>
      </c>
      <c r="F23" s="53" t="s">
        <v>146</v>
      </c>
      <c r="G23" s="53" t="s">
        <v>6450</v>
      </c>
      <c r="H23" s="53" t="s">
        <v>147</v>
      </c>
      <c r="I23" s="54" t="n">
        <v>46240</v>
      </c>
      <c r="J23" s="53" t="n">
        <v>62</v>
      </c>
      <c r="K23" s="53" t="str">
        <f aca="false">D23&amp;"|"&amp;COUNTIF($D$2:D23,D23)</f>
        <v>Ahmed Aboelgoud|22</v>
      </c>
    </row>
    <row r="24" customFormat="false" ht="15" hidden="false" customHeight="false" outlineLevel="0" collapsed="false">
      <c r="A24" s="53" t="s">
        <v>4524</v>
      </c>
      <c r="B24" s="53" t="s">
        <v>4525</v>
      </c>
      <c r="C24" s="53" t="s">
        <v>6480</v>
      </c>
      <c r="D24" s="53" t="s">
        <v>44</v>
      </c>
      <c r="E24" s="53" t="s">
        <v>49</v>
      </c>
      <c r="F24" s="53" t="s">
        <v>146</v>
      </c>
      <c r="G24" s="53" t="s">
        <v>6450</v>
      </c>
      <c r="H24" s="53" t="s">
        <v>147</v>
      </c>
      <c r="I24" s="54" t="n">
        <v>46240</v>
      </c>
      <c r="J24" s="53" t="n">
        <v>62</v>
      </c>
      <c r="K24" s="53" t="str">
        <f aca="false">D24&amp;"|"&amp;COUNTIF($D$2:D24,D24)</f>
        <v>Ahmed Aboelgoud|23</v>
      </c>
    </row>
    <row r="25" customFormat="false" ht="15" hidden="false" customHeight="false" outlineLevel="0" collapsed="false">
      <c r="A25" s="53" t="s">
        <v>865</v>
      </c>
      <c r="B25" s="53" t="s">
        <v>866</v>
      </c>
      <c r="C25" s="53" t="s">
        <v>6481</v>
      </c>
      <c r="D25" s="53" t="s">
        <v>46</v>
      </c>
      <c r="E25" s="53" t="s">
        <v>47</v>
      </c>
      <c r="F25" s="53" t="s">
        <v>146</v>
      </c>
      <c r="G25" s="53" t="s">
        <v>6482</v>
      </c>
      <c r="H25" s="53" t="s">
        <v>209</v>
      </c>
      <c r="I25" s="54" t="n">
        <v>46258</v>
      </c>
      <c r="J25" s="53" t="n">
        <v>44</v>
      </c>
      <c r="K25" s="53" t="str">
        <f aca="false">D25&amp;"|"&amp;COUNTIF($D$2:D25,D25)</f>
        <v>Anas Sami|1</v>
      </c>
    </row>
    <row r="26" customFormat="false" ht="15" hidden="false" customHeight="false" outlineLevel="0" collapsed="false">
      <c r="A26" s="53" t="s">
        <v>892</v>
      </c>
      <c r="B26" s="53" t="s">
        <v>893</v>
      </c>
      <c r="C26" s="53" t="s">
        <v>6483</v>
      </c>
      <c r="D26" s="53" t="s">
        <v>46</v>
      </c>
      <c r="E26" s="53" t="s">
        <v>47</v>
      </c>
      <c r="F26" s="53" t="s">
        <v>146</v>
      </c>
      <c r="G26" s="53" t="s">
        <v>6482</v>
      </c>
      <c r="H26" s="53" t="s">
        <v>209</v>
      </c>
      <c r="I26" s="54" t="n">
        <v>46262</v>
      </c>
      <c r="J26" s="53" t="n">
        <v>40</v>
      </c>
      <c r="K26" s="53" t="str">
        <f aca="false">D26&amp;"|"&amp;COUNTIF($D$2:D26,D26)</f>
        <v>Anas Sami|2</v>
      </c>
    </row>
    <row r="27" customFormat="false" ht="15" hidden="false" customHeight="false" outlineLevel="0" collapsed="false">
      <c r="A27" s="53" t="s">
        <v>3447</v>
      </c>
      <c r="B27" s="53" t="s">
        <v>3448</v>
      </c>
      <c r="C27" s="53" t="s">
        <v>6484</v>
      </c>
      <c r="D27" s="53" t="s">
        <v>46</v>
      </c>
      <c r="E27" s="53" t="s">
        <v>47</v>
      </c>
      <c r="F27" s="53" t="s">
        <v>146</v>
      </c>
      <c r="G27" s="53" t="s">
        <v>6482</v>
      </c>
      <c r="H27" s="53" t="s">
        <v>209</v>
      </c>
      <c r="I27" s="54" t="n">
        <v>46258</v>
      </c>
      <c r="J27" s="53" t="n">
        <v>44</v>
      </c>
      <c r="K27" s="53" t="str">
        <f aca="false">D27&amp;"|"&amp;COUNTIF($D$2:D27,D27)</f>
        <v>Anas Sami|3</v>
      </c>
    </row>
    <row r="28" customFormat="false" ht="15" hidden="false" customHeight="false" outlineLevel="0" collapsed="false">
      <c r="A28" s="53" t="s">
        <v>3967</v>
      </c>
      <c r="B28" s="53" t="s">
        <v>3968</v>
      </c>
      <c r="C28" s="53" t="s">
        <v>6485</v>
      </c>
      <c r="D28" s="53" t="s">
        <v>46</v>
      </c>
      <c r="E28" s="53" t="s">
        <v>47</v>
      </c>
      <c r="F28" s="53" t="s">
        <v>146</v>
      </c>
      <c r="G28" s="53" t="s">
        <v>6482</v>
      </c>
      <c r="H28" s="53" t="s">
        <v>209</v>
      </c>
      <c r="I28" s="54" t="n">
        <v>46262</v>
      </c>
      <c r="J28" s="53" t="n">
        <v>40</v>
      </c>
      <c r="K28" s="53" t="str">
        <f aca="false">D28&amp;"|"&amp;COUNTIF($D$2:D28,D28)</f>
        <v>Anas Sami|4</v>
      </c>
    </row>
    <row r="29" customFormat="false" ht="15" hidden="false" customHeight="false" outlineLevel="0" collapsed="false">
      <c r="A29" s="53" t="s">
        <v>967</v>
      </c>
      <c r="B29" s="53" t="s">
        <v>968</v>
      </c>
      <c r="C29" s="53" t="s">
        <v>6486</v>
      </c>
      <c r="D29" s="53" t="s">
        <v>46</v>
      </c>
      <c r="E29" s="53" t="s">
        <v>47</v>
      </c>
      <c r="F29" s="53" t="s">
        <v>146</v>
      </c>
      <c r="G29" s="53" t="s">
        <v>6482</v>
      </c>
      <c r="H29" s="53" t="s">
        <v>209</v>
      </c>
      <c r="I29" s="54" t="n">
        <v>46258</v>
      </c>
      <c r="J29" s="53" t="n">
        <v>44</v>
      </c>
      <c r="K29" s="53" t="str">
        <f aca="false">D29&amp;"|"&amp;COUNTIF($D$2:D29,D29)</f>
        <v>Anas Sami|5</v>
      </c>
    </row>
    <row r="30" customFormat="false" ht="15" hidden="false" customHeight="false" outlineLevel="0" collapsed="false">
      <c r="A30" s="53" t="s">
        <v>3148</v>
      </c>
      <c r="B30" s="53" t="s">
        <v>3149</v>
      </c>
      <c r="C30" s="53" t="s">
        <v>6487</v>
      </c>
      <c r="D30" s="53" t="s">
        <v>46</v>
      </c>
      <c r="E30" s="53" t="s">
        <v>47</v>
      </c>
      <c r="F30" s="53" t="s">
        <v>146</v>
      </c>
      <c r="G30" s="53" t="s">
        <v>6482</v>
      </c>
      <c r="H30" s="53" t="s">
        <v>209</v>
      </c>
      <c r="I30" s="54" t="n">
        <v>46258</v>
      </c>
      <c r="J30" s="53" t="n">
        <v>44</v>
      </c>
      <c r="K30" s="53" t="str">
        <f aca="false">D30&amp;"|"&amp;COUNTIF($D$2:D30,D30)</f>
        <v>Anas Sami|6</v>
      </c>
    </row>
    <row r="31" customFormat="false" ht="15" hidden="false" customHeight="false" outlineLevel="0" collapsed="false">
      <c r="A31" s="53" t="s">
        <v>999</v>
      </c>
      <c r="B31" s="53" t="s">
        <v>1000</v>
      </c>
      <c r="C31" s="53" t="s">
        <v>6488</v>
      </c>
      <c r="D31" s="53" t="s">
        <v>46</v>
      </c>
      <c r="E31" s="53" t="s">
        <v>47</v>
      </c>
      <c r="F31" s="53" t="s">
        <v>146</v>
      </c>
      <c r="G31" s="53" t="s">
        <v>6482</v>
      </c>
      <c r="H31" s="53" t="s">
        <v>209</v>
      </c>
      <c r="I31" s="54" t="n">
        <v>46258</v>
      </c>
      <c r="J31" s="53" t="n">
        <v>44</v>
      </c>
      <c r="K31" s="53" t="str">
        <f aca="false">D31&amp;"|"&amp;COUNTIF($D$2:D31,D31)</f>
        <v>Anas Sami|7</v>
      </c>
    </row>
    <row r="32" customFormat="false" ht="15" hidden="false" customHeight="false" outlineLevel="0" collapsed="false">
      <c r="A32" s="53" t="s">
        <v>884</v>
      </c>
      <c r="B32" s="53" t="s">
        <v>885</v>
      </c>
      <c r="C32" s="53" t="s">
        <v>6489</v>
      </c>
      <c r="D32" s="53" t="s">
        <v>46</v>
      </c>
      <c r="E32" s="53" t="s">
        <v>47</v>
      </c>
      <c r="F32" s="53" t="s">
        <v>146</v>
      </c>
      <c r="G32" s="53" t="s">
        <v>6482</v>
      </c>
      <c r="H32" s="53" t="s">
        <v>209</v>
      </c>
      <c r="I32" s="54" t="n">
        <v>46258</v>
      </c>
      <c r="J32" s="53" t="n">
        <v>44</v>
      </c>
      <c r="K32" s="53" t="str">
        <f aca="false">D32&amp;"|"&amp;COUNTIF($D$2:D32,D32)</f>
        <v>Anas Sami|8</v>
      </c>
    </row>
    <row r="33" customFormat="false" ht="15" hidden="false" customHeight="false" outlineLevel="0" collapsed="false">
      <c r="A33" s="53" t="s">
        <v>3022</v>
      </c>
      <c r="B33" s="53" t="s">
        <v>3023</v>
      </c>
      <c r="C33" s="53" t="s">
        <v>6490</v>
      </c>
      <c r="D33" s="53" t="s">
        <v>46</v>
      </c>
      <c r="E33" s="53" t="s">
        <v>47</v>
      </c>
      <c r="F33" s="53" t="s">
        <v>146</v>
      </c>
      <c r="G33" s="53" t="s">
        <v>6482</v>
      </c>
      <c r="H33" s="53" t="s">
        <v>209</v>
      </c>
      <c r="I33" s="54" t="n">
        <v>46262</v>
      </c>
      <c r="J33" s="53" t="n">
        <v>40</v>
      </c>
      <c r="K33" s="53" t="str">
        <f aca="false">D33&amp;"|"&amp;COUNTIF($D$2:D33,D33)</f>
        <v>Anas Sami|9</v>
      </c>
    </row>
    <row r="34" customFormat="false" ht="15" hidden="false" customHeight="false" outlineLevel="0" collapsed="false">
      <c r="A34" s="53" t="s">
        <v>5004</v>
      </c>
      <c r="B34" s="53" t="s">
        <v>5005</v>
      </c>
      <c r="C34" s="53" t="s">
        <v>6491</v>
      </c>
      <c r="D34" s="53" t="s">
        <v>46</v>
      </c>
      <c r="E34" s="53" t="s">
        <v>47</v>
      </c>
      <c r="F34" s="53" t="s">
        <v>146</v>
      </c>
      <c r="G34" s="53" t="s">
        <v>6492</v>
      </c>
      <c r="H34" s="53" t="s">
        <v>147</v>
      </c>
      <c r="I34" s="54" t="n">
        <v>46233</v>
      </c>
      <c r="J34" s="53" t="n">
        <v>69</v>
      </c>
      <c r="K34" s="53" t="str">
        <f aca="false">D34&amp;"|"&amp;COUNTIF($D$2:D34,D34)</f>
        <v>Anas Sami|10</v>
      </c>
    </row>
    <row r="35" customFormat="false" ht="15" hidden="false" customHeight="false" outlineLevel="0" collapsed="false">
      <c r="A35" s="53" t="s">
        <v>3226</v>
      </c>
      <c r="B35" s="53" t="s">
        <v>3227</v>
      </c>
      <c r="C35" s="53" t="s">
        <v>6493</v>
      </c>
      <c r="D35" s="53" t="s">
        <v>46</v>
      </c>
      <c r="E35" s="53" t="s">
        <v>47</v>
      </c>
      <c r="F35" s="53" t="s">
        <v>146</v>
      </c>
      <c r="G35" s="53" t="s">
        <v>6482</v>
      </c>
      <c r="H35" s="53" t="s">
        <v>209</v>
      </c>
      <c r="I35" s="54" t="n">
        <v>46258</v>
      </c>
      <c r="J35" s="53" t="n">
        <v>44</v>
      </c>
      <c r="K35" s="53" t="str">
        <f aca="false">D35&amp;"|"&amp;COUNTIF($D$2:D35,D35)</f>
        <v>Anas Sami|11</v>
      </c>
    </row>
    <row r="36" customFormat="false" ht="15" hidden="false" customHeight="false" outlineLevel="0" collapsed="false">
      <c r="A36" s="53" t="s">
        <v>2144</v>
      </c>
      <c r="B36" s="53" t="s">
        <v>2145</v>
      </c>
      <c r="C36" s="53" t="s">
        <v>6494</v>
      </c>
      <c r="D36" s="53" t="s">
        <v>46</v>
      </c>
      <c r="E36" s="53" t="s">
        <v>47</v>
      </c>
      <c r="F36" s="53" t="s">
        <v>146</v>
      </c>
      <c r="G36" s="53" t="s">
        <v>6482</v>
      </c>
      <c r="H36" s="53" t="s">
        <v>209</v>
      </c>
      <c r="I36" s="54" t="n">
        <v>46258</v>
      </c>
      <c r="J36" s="53" t="n">
        <v>44</v>
      </c>
      <c r="K36" s="53" t="str">
        <f aca="false">D36&amp;"|"&amp;COUNTIF($D$2:D36,D36)</f>
        <v>Anas Sami|12</v>
      </c>
    </row>
    <row r="37" customFormat="false" ht="15" hidden="false" customHeight="false" outlineLevel="0" collapsed="false">
      <c r="A37" s="53" t="s">
        <v>6150</v>
      </c>
      <c r="B37" s="53" t="s">
        <v>6151</v>
      </c>
      <c r="C37" s="53" t="s">
        <v>6495</v>
      </c>
      <c r="D37" s="53" t="s">
        <v>46</v>
      </c>
      <c r="E37" s="53" t="s">
        <v>47</v>
      </c>
      <c r="F37" s="53" t="s">
        <v>146</v>
      </c>
      <c r="G37" s="53" t="s">
        <v>6482</v>
      </c>
      <c r="H37" s="53" t="s">
        <v>209</v>
      </c>
      <c r="I37" s="54" t="n">
        <v>46258</v>
      </c>
      <c r="J37" s="53" t="n">
        <v>44</v>
      </c>
      <c r="K37" s="53" t="str">
        <f aca="false">D37&amp;"|"&amp;COUNTIF($D$2:D37,D37)</f>
        <v>Anas Sami|13</v>
      </c>
    </row>
    <row r="38" customFormat="false" ht="15" hidden="false" customHeight="false" outlineLevel="0" collapsed="false">
      <c r="A38" s="53" t="s">
        <v>2050</v>
      </c>
      <c r="B38" s="53" t="s">
        <v>2051</v>
      </c>
      <c r="C38" s="53" t="s">
        <v>6496</v>
      </c>
      <c r="D38" s="53" t="s">
        <v>46</v>
      </c>
      <c r="E38" s="53" t="s">
        <v>47</v>
      </c>
      <c r="F38" s="53" t="s">
        <v>146</v>
      </c>
      <c r="G38" s="53" t="s">
        <v>6482</v>
      </c>
      <c r="H38" s="53" t="s">
        <v>209</v>
      </c>
      <c r="I38" s="54" t="n">
        <v>46258</v>
      </c>
      <c r="J38" s="53" t="n">
        <v>44</v>
      </c>
      <c r="K38" s="53" t="str">
        <f aca="false">D38&amp;"|"&amp;COUNTIF($D$2:D38,D38)</f>
        <v>Anas Sami|14</v>
      </c>
    </row>
    <row r="39" customFormat="false" ht="15" hidden="false" customHeight="false" outlineLevel="0" collapsed="false">
      <c r="A39" s="53" t="s">
        <v>1005</v>
      </c>
      <c r="B39" s="53" t="s">
        <v>1006</v>
      </c>
      <c r="C39" s="53" t="s">
        <v>6497</v>
      </c>
      <c r="D39" s="53" t="s">
        <v>46</v>
      </c>
      <c r="E39" s="53" t="s">
        <v>47</v>
      </c>
      <c r="F39" s="53" t="s">
        <v>146</v>
      </c>
      <c r="G39" s="53" t="s">
        <v>6482</v>
      </c>
      <c r="H39" s="53" t="s">
        <v>209</v>
      </c>
      <c r="I39" s="54" t="n">
        <v>46258</v>
      </c>
      <c r="J39" s="53" t="n">
        <v>44</v>
      </c>
      <c r="K39" s="53" t="str">
        <f aca="false">D39&amp;"|"&amp;COUNTIF($D$2:D39,D39)</f>
        <v>Anas Sami|15</v>
      </c>
    </row>
    <row r="40" customFormat="false" ht="15" hidden="false" customHeight="false" outlineLevel="0" collapsed="false">
      <c r="A40" s="53" t="s">
        <v>3426</v>
      </c>
      <c r="B40" s="53" t="s">
        <v>3427</v>
      </c>
      <c r="C40" s="53" t="s">
        <v>6498</v>
      </c>
      <c r="D40" s="53" t="s">
        <v>46</v>
      </c>
      <c r="E40" s="53" t="s">
        <v>47</v>
      </c>
      <c r="F40" s="53" t="s">
        <v>146</v>
      </c>
      <c r="G40" s="53" t="s">
        <v>6492</v>
      </c>
      <c r="H40" s="53" t="s">
        <v>147</v>
      </c>
      <c r="I40" s="54" t="n">
        <v>46233</v>
      </c>
      <c r="J40" s="53" t="n">
        <v>69</v>
      </c>
      <c r="K40" s="53" t="str">
        <f aca="false">D40&amp;"|"&amp;COUNTIF($D$2:D40,D40)</f>
        <v>Anas Sami|16</v>
      </c>
    </row>
    <row r="41" customFormat="false" ht="15" hidden="false" customHeight="false" outlineLevel="0" collapsed="false">
      <c r="A41" s="53" t="s">
        <v>2943</v>
      </c>
      <c r="B41" s="53" t="s">
        <v>2944</v>
      </c>
      <c r="C41" s="53" t="s">
        <v>6499</v>
      </c>
      <c r="D41" s="53" t="s">
        <v>48</v>
      </c>
      <c r="E41" s="53" t="s">
        <v>49</v>
      </c>
      <c r="F41" s="53" t="s">
        <v>146</v>
      </c>
      <c r="G41" s="53" t="s">
        <v>6500</v>
      </c>
      <c r="H41" s="53" t="s">
        <v>209</v>
      </c>
      <c r="I41" s="54" t="n">
        <v>46266</v>
      </c>
      <c r="J41" s="53" t="n">
        <v>36</v>
      </c>
      <c r="K41" s="53" t="str">
        <f aca="false">D41&amp;"|"&amp;COUNTIF($D$2:D41,D41)</f>
        <v>Essam Medhat|1</v>
      </c>
    </row>
    <row r="42" customFormat="false" ht="15" hidden="false" customHeight="false" outlineLevel="0" collapsed="false">
      <c r="A42" s="53" t="s">
        <v>4016</v>
      </c>
      <c r="B42" s="53" t="s">
        <v>4017</v>
      </c>
      <c r="C42" s="53" t="s">
        <v>6501</v>
      </c>
      <c r="D42" s="53" t="s">
        <v>48</v>
      </c>
      <c r="E42" s="53" t="s">
        <v>49</v>
      </c>
      <c r="F42" s="53" t="s">
        <v>146</v>
      </c>
      <c r="G42" s="53" t="s">
        <v>6500</v>
      </c>
      <c r="H42" s="53" t="s">
        <v>209</v>
      </c>
      <c r="I42" s="54" t="n">
        <v>46269</v>
      </c>
      <c r="J42" s="53" t="n">
        <v>33</v>
      </c>
      <c r="K42" s="53" t="str">
        <f aca="false">D42&amp;"|"&amp;COUNTIF($D$2:D42,D42)</f>
        <v>Essam Medhat|2</v>
      </c>
    </row>
    <row r="43" customFormat="false" ht="15" hidden="false" customHeight="false" outlineLevel="0" collapsed="false">
      <c r="A43" s="53" t="s">
        <v>2540</v>
      </c>
      <c r="B43" s="53" t="s">
        <v>2541</v>
      </c>
      <c r="C43" s="53" t="s">
        <v>6502</v>
      </c>
      <c r="D43" s="53" t="s">
        <v>48</v>
      </c>
      <c r="E43" s="53" t="s">
        <v>49</v>
      </c>
      <c r="F43" s="53" t="s">
        <v>146</v>
      </c>
      <c r="G43" s="53" t="s">
        <v>6500</v>
      </c>
      <c r="H43" s="53" t="s">
        <v>209</v>
      </c>
      <c r="I43" s="54" t="n">
        <v>46269</v>
      </c>
      <c r="J43" s="53" t="n">
        <v>33</v>
      </c>
      <c r="K43" s="53" t="str">
        <f aca="false">D43&amp;"|"&amp;COUNTIF($D$2:D43,D43)</f>
        <v>Essam Medhat|3</v>
      </c>
    </row>
    <row r="44" customFormat="false" ht="15" hidden="false" customHeight="false" outlineLevel="0" collapsed="false">
      <c r="A44" s="53" t="s">
        <v>4633</v>
      </c>
      <c r="B44" s="53" t="s">
        <v>4634</v>
      </c>
      <c r="C44" s="53" t="s">
        <v>6503</v>
      </c>
      <c r="D44" s="53" t="s">
        <v>48</v>
      </c>
      <c r="E44" s="53" t="s">
        <v>49</v>
      </c>
      <c r="F44" s="53" t="s">
        <v>146</v>
      </c>
      <c r="G44" s="53" t="s">
        <v>6500</v>
      </c>
      <c r="H44" s="53" t="s">
        <v>209</v>
      </c>
      <c r="I44" s="54" t="n">
        <v>46265</v>
      </c>
      <c r="J44" s="53" t="n">
        <v>37</v>
      </c>
      <c r="K44" s="53" t="str">
        <f aca="false">D44&amp;"|"&amp;COUNTIF($D$2:D44,D44)</f>
        <v>Essam Medhat|4</v>
      </c>
    </row>
    <row r="45" customFormat="false" ht="15" hidden="false" customHeight="false" outlineLevel="0" collapsed="false">
      <c r="A45" s="53" t="s">
        <v>2777</v>
      </c>
      <c r="B45" s="53" t="s">
        <v>2778</v>
      </c>
      <c r="C45" s="53" t="s">
        <v>6504</v>
      </c>
      <c r="D45" s="53" t="s">
        <v>48</v>
      </c>
      <c r="E45" s="53" t="s">
        <v>49</v>
      </c>
      <c r="F45" s="53" t="s">
        <v>146</v>
      </c>
      <c r="G45" s="53" t="s">
        <v>6500</v>
      </c>
      <c r="H45" s="53" t="s">
        <v>209</v>
      </c>
      <c r="I45" s="54" t="n">
        <v>46265</v>
      </c>
      <c r="J45" s="53" t="n">
        <v>37</v>
      </c>
      <c r="K45" s="53" t="str">
        <f aca="false">D45&amp;"|"&amp;COUNTIF($D$2:D45,D45)</f>
        <v>Essam Medhat|5</v>
      </c>
    </row>
    <row r="46" customFormat="false" ht="15" hidden="false" customHeight="false" outlineLevel="0" collapsed="false">
      <c r="A46" s="53" t="s">
        <v>2620</v>
      </c>
      <c r="B46" s="53" t="s">
        <v>2621</v>
      </c>
      <c r="C46" s="53" t="s">
        <v>6505</v>
      </c>
      <c r="D46" s="53" t="s">
        <v>48</v>
      </c>
      <c r="E46" s="53" t="s">
        <v>49</v>
      </c>
      <c r="F46" s="53" t="s">
        <v>146</v>
      </c>
      <c r="G46" s="53" t="s">
        <v>6500</v>
      </c>
      <c r="H46" s="53" t="s">
        <v>209</v>
      </c>
      <c r="I46" s="54" t="n">
        <v>46265</v>
      </c>
      <c r="J46" s="53" t="n">
        <v>37</v>
      </c>
      <c r="K46" s="53" t="str">
        <f aca="false">D46&amp;"|"&amp;COUNTIF($D$2:D46,D46)</f>
        <v>Essam Medhat|6</v>
      </c>
    </row>
    <row r="47" customFormat="false" ht="15" hidden="false" customHeight="false" outlineLevel="0" collapsed="false">
      <c r="A47" s="53" t="s">
        <v>2530</v>
      </c>
      <c r="B47" s="53" t="s">
        <v>2531</v>
      </c>
      <c r="C47" s="53" t="s">
        <v>6506</v>
      </c>
      <c r="D47" s="53" t="s">
        <v>48</v>
      </c>
      <c r="E47" s="53" t="s">
        <v>49</v>
      </c>
      <c r="F47" s="53" t="s">
        <v>146</v>
      </c>
      <c r="G47" s="53" t="s">
        <v>6500</v>
      </c>
      <c r="H47" s="53" t="s">
        <v>209</v>
      </c>
      <c r="I47" s="54" t="n">
        <v>46269</v>
      </c>
      <c r="J47" s="53" t="n">
        <v>33</v>
      </c>
      <c r="K47" s="53" t="str">
        <f aca="false">D47&amp;"|"&amp;COUNTIF($D$2:D47,D47)</f>
        <v>Essam Medhat|7</v>
      </c>
    </row>
    <row r="48" customFormat="false" ht="15" hidden="false" customHeight="false" outlineLevel="0" collapsed="false">
      <c r="A48" s="53" t="s">
        <v>1344</v>
      </c>
      <c r="B48" s="53" t="s">
        <v>1345</v>
      </c>
      <c r="C48" s="53" t="s">
        <v>6507</v>
      </c>
      <c r="D48" s="53" t="s">
        <v>48</v>
      </c>
      <c r="E48" s="53" t="s">
        <v>49</v>
      </c>
      <c r="F48" s="53" t="s">
        <v>146</v>
      </c>
      <c r="G48" s="53" t="s">
        <v>6500</v>
      </c>
      <c r="H48" s="53" t="s">
        <v>209</v>
      </c>
      <c r="I48" s="54" t="n">
        <v>46265</v>
      </c>
      <c r="J48" s="53" t="n">
        <v>37</v>
      </c>
      <c r="K48" s="53" t="str">
        <f aca="false">D48&amp;"|"&amp;COUNTIF($D$2:D48,D48)</f>
        <v>Essam Medhat|8</v>
      </c>
    </row>
    <row r="49" customFormat="false" ht="15" hidden="false" customHeight="false" outlineLevel="0" collapsed="false">
      <c r="A49" s="53" t="s">
        <v>207</v>
      </c>
      <c r="B49" s="53" t="s">
        <v>208</v>
      </c>
      <c r="C49" s="53" t="s">
        <v>6508</v>
      </c>
      <c r="D49" s="53" t="s">
        <v>48</v>
      </c>
      <c r="E49" s="53" t="s">
        <v>49</v>
      </c>
      <c r="F49" s="53" t="s">
        <v>146</v>
      </c>
      <c r="G49" s="53" t="s">
        <v>6509</v>
      </c>
      <c r="H49" s="53" t="s">
        <v>209</v>
      </c>
      <c r="I49" s="54" t="n">
        <v>46252</v>
      </c>
      <c r="J49" s="53" t="n">
        <v>50</v>
      </c>
      <c r="K49" s="53" t="str">
        <f aca="false">D49&amp;"|"&amp;COUNTIF($D$2:D49,D49)</f>
        <v>Essam Medhat|9</v>
      </c>
    </row>
    <row r="50" customFormat="false" ht="15" hidden="false" customHeight="false" outlineLevel="0" collapsed="false">
      <c r="A50" s="53" t="s">
        <v>2910</v>
      </c>
      <c r="B50" s="53" t="s">
        <v>2911</v>
      </c>
      <c r="C50" s="53" t="s">
        <v>6510</v>
      </c>
      <c r="D50" s="53" t="s">
        <v>48</v>
      </c>
      <c r="E50" s="53" t="s">
        <v>49</v>
      </c>
      <c r="F50" s="53" t="s">
        <v>146</v>
      </c>
      <c r="G50" s="53" t="s">
        <v>6500</v>
      </c>
      <c r="H50" s="53" t="s">
        <v>209</v>
      </c>
      <c r="I50" s="54" t="n">
        <v>46265</v>
      </c>
      <c r="J50" s="53" t="n">
        <v>37</v>
      </c>
      <c r="K50" s="53" t="str">
        <f aca="false">D50&amp;"|"&amp;COUNTIF($D$2:D50,D50)</f>
        <v>Essam Medhat|10</v>
      </c>
    </row>
    <row r="51" customFormat="false" ht="15" hidden="false" customHeight="false" outlineLevel="0" collapsed="false">
      <c r="A51" s="53" t="s">
        <v>2845</v>
      </c>
      <c r="B51" s="53" t="s">
        <v>181</v>
      </c>
      <c r="C51" s="53" t="s">
        <v>6511</v>
      </c>
      <c r="D51" s="53" t="s">
        <v>48</v>
      </c>
      <c r="E51" s="53" t="s">
        <v>49</v>
      </c>
      <c r="F51" s="53" t="s">
        <v>146</v>
      </c>
      <c r="G51" s="53" t="s">
        <v>6500</v>
      </c>
      <c r="H51" s="53" t="s">
        <v>209</v>
      </c>
      <c r="I51" s="54" t="n">
        <v>46265</v>
      </c>
      <c r="J51" s="53" t="n">
        <v>37</v>
      </c>
      <c r="K51" s="53" t="str">
        <f aca="false">D51&amp;"|"&amp;COUNTIF($D$2:D51,D51)</f>
        <v>Essam Medhat|11</v>
      </c>
    </row>
    <row r="52" customFormat="false" ht="15" hidden="false" customHeight="false" outlineLevel="0" collapsed="false">
      <c r="A52" s="53" t="s">
        <v>3272</v>
      </c>
      <c r="B52" s="53" t="s">
        <v>3273</v>
      </c>
      <c r="C52" s="53" t="s">
        <v>6512</v>
      </c>
      <c r="D52" s="53" t="s">
        <v>48</v>
      </c>
      <c r="E52" s="53" t="s">
        <v>49</v>
      </c>
      <c r="F52" s="53" t="s">
        <v>146</v>
      </c>
      <c r="G52" s="53" t="s">
        <v>6500</v>
      </c>
      <c r="H52" s="53" t="s">
        <v>209</v>
      </c>
      <c r="I52" s="54" t="n">
        <v>46265</v>
      </c>
      <c r="J52" s="53" t="n">
        <v>37</v>
      </c>
      <c r="K52" s="53" t="str">
        <f aca="false">D52&amp;"|"&amp;COUNTIF($D$2:D52,D52)</f>
        <v>Essam Medhat|12</v>
      </c>
    </row>
    <row r="53" customFormat="false" ht="15" hidden="false" customHeight="false" outlineLevel="0" collapsed="false">
      <c r="A53" s="53" t="s">
        <v>3371</v>
      </c>
      <c r="B53" s="53" t="s">
        <v>3372</v>
      </c>
      <c r="C53" s="53" t="s">
        <v>6513</v>
      </c>
      <c r="D53" s="53" t="s">
        <v>48</v>
      </c>
      <c r="E53" s="53" t="s">
        <v>49</v>
      </c>
      <c r="F53" s="53" t="s">
        <v>146</v>
      </c>
      <c r="G53" s="53" t="s">
        <v>6500</v>
      </c>
      <c r="H53" s="53" t="s">
        <v>209</v>
      </c>
      <c r="I53" s="54" t="n">
        <v>46265</v>
      </c>
      <c r="J53" s="53" t="n">
        <v>37</v>
      </c>
      <c r="K53" s="53" t="str">
        <f aca="false">D53&amp;"|"&amp;COUNTIF($D$2:D53,D53)</f>
        <v>Essam Medhat|13</v>
      </c>
    </row>
    <row r="54" customFormat="false" ht="15" hidden="false" customHeight="false" outlineLevel="0" collapsed="false">
      <c r="A54" s="53" t="s">
        <v>6514</v>
      </c>
      <c r="B54" s="53" t="s">
        <v>6515</v>
      </c>
      <c r="C54" s="53" t="s">
        <v>6516</v>
      </c>
      <c r="D54" s="53" t="s">
        <v>50</v>
      </c>
      <c r="E54" s="53" t="s">
        <v>49</v>
      </c>
      <c r="F54" s="53" t="s">
        <v>3708</v>
      </c>
      <c r="G54" s="53" t="s">
        <v>6517</v>
      </c>
      <c r="H54" s="53" t="s">
        <v>209</v>
      </c>
      <c r="I54" s="54" t="n">
        <v>46246</v>
      </c>
      <c r="J54" s="53" t="n">
        <v>56</v>
      </c>
      <c r="K54" s="53" t="str">
        <f aca="false">D54&amp;"|"&amp;COUNTIF($D$2:D54,D54)</f>
        <v>Islam Farouk|1</v>
      </c>
    </row>
    <row r="55" customFormat="false" ht="15" hidden="false" customHeight="false" outlineLevel="0" collapsed="false">
      <c r="A55" s="53" t="s">
        <v>6518</v>
      </c>
      <c r="B55" s="53" t="s">
        <v>6519</v>
      </c>
      <c r="C55" s="53" t="s">
        <v>6520</v>
      </c>
      <c r="D55" s="53" t="s">
        <v>50</v>
      </c>
      <c r="E55" s="53" t="s">
        <v>49</v>
      </c>
      <c r="F55" s="53" t="s">
        <v>3708</v>
      </c>
      <c r="G55" s="53" t="s">
        <v>6517</v>
      </c>
      <c r="H55" s="53" t="s">
        <v>209</v>
      </c>
      <c r="I55" s="54" t="n">
        <v>46245</v>
      </c>
      <c r="J55" s="53" t="n">
        <v>57</v>
      </c>
      <c r="K55" s="53" t="str">
        <f aca="false">D55&amp;"|"&amp;COUNTIF($D$2:D55,D55)</f>
        <v>Islam Farouk|2</v>
      </c>
    </row>
    <row r="56" customFormat="false" ht="15" hidden="false" customHeight="false" outlineLevel="0" collapsed="false">
      <c r="A56" s="53" t="s">
        <v>6521</v>
      </c>
      <c r="B56" s="53" t="s">
        <v>6522</v>
      </c>
      <c r="C56" s="53" t="s">
        <v>6523</v>
      </c>
      <c r="D56" s="53" t="s">
        <v>50</v>
      </c>
      <c r="E56" s="53" t="s">
        <v>49</v>
      </c>
      <c r="F56" s="53" t="s">
        <v>3708</v>
      </c>
      <c r="G56" s="53" t="s">
        <v>6524</v>
      </c>
      <c r="H56" s="53" t="s">
        <v>209</v>
      </c>
      <c r="I56" s="54" t="n">
        <v>46254</v>
      </c>
      <c r="J56" s="53" t="n">
        <v>48</v>
      </c>
      <c r="K56" s="53" t="str">
        <f aca="false">D56&amp;"|"&amp;COUNTIF($D$2:D56,D56)</f>
        <v>Islam Farouk|3</v>
      </c>
    </row>
    <row r="57" customFormat="false" ht="15" hidden="false" customHeight="false" outlineLevel="0" collapsed="false">
      <c r="A57" s="53" t="s">
        <v>6101</v>
      </c>
      <c r="B57" s="53" t="s">
        <v>6102</v>
      </c>
      <c r="C57" s="53" t="s">
        <v>6525</v>
      </c>
      <c r="D57" s="53" t="s">
        <v>50</v>
      </c>
      <c r="E57" s="53" t="s">
        <v>49</v>
      </c>
      <c r="F57" s="53" t="s">
        <v>3708</v>
      </c>
      <c r="G57" s="53" t="s">
        <v>6517</v>
      </c>
      <c r="H57" s="53" t="s">
        <v>209</v>
      </c>
      <c r="I57" s="54" t="n">
        <v>46245</v>
      </c>
      <c r="J57" s="53" t="n">
        <v>57</v>
      </c>
      <c r="K57" s="53" t="str">
        <f aca="false">D57&amp;"|"&amp;COUNTIF($D$2:D57,D57)</f>
        <v>Islam Farouk|4</v>
      </c>
    </row>
    <row r="58" customFormat="false" ht="15" hidden="false" customHeight="false" outlineLevel="0" collapsed="false">
      <c r="A58" s="53" t="s">
        <v>5948</v>
      </c>
      <c r="B58" s="53" t="s">
        <v>5949</v>
      </c>
      <c r="C58" s="53" t="s">
        <v>6526</v>
      </c>
      <c r="D58" s="53" t="s">
        <v>50</v>
      </c>
      <c r="E58" s="53" t="s">
        <v>49</v>
      </c>
      <c r="F58" s="53" t="s">
        <v>3708</v>
      </c>
      <c r="G58" s="53" t="s">
        <v>6517</v>
      </c>
      <c r="H58" s="53" t="s">
        <v>209</v>
      </c>
      <c r="I58" s="54" t="n">
        <v>46245</v>
      </c>
      <c r="J58" s="53" t="n">
        <v>57</v>
      </c>
      <c r="K58" s="53" t="str">
        <f aca="false">D58&amp;"|"&amp;COUNTIF($D$2:D58,D58)</f>
        <v>Islam Farouk|5</v>
      </c>
    </row>
    <row r="59" customFormat="false" ht="15" hidden="false" customHeight="false" outlineLevel="0" collapsed="false">
      <c r="A59" s="53" t="s">
        <v>6527</v>
      </c>
      <c r="B59" s="53" t="s">
        <v>6528</v>
      </c>
      <c r="C59" s="53" t="s">
        <v>6529</v>
      </c>
      <c r="D59" s="53" t="s">
        <v>50</v>
      </c>
      <c r="E59" s="53" t="s">
        <v>49</v>
      </c>
      <c r="F59" s="53" t="s">
        <v>3708</v>
      </c>
      <c r="G59" s="53" t="s">
        <v>6517</v>
      </c>
      <c r="H59" s="53" t="s">
        <v>209</v>
      </c>
      <c r="I59" s="54" t="n">
        <v>46245</v>
      </c>
      <c r="J59" s="53" t="n">
        <v>57</v>
      </c>
      <c r="K59" s="53" t="str">
        <f aca="false">D59&amp;"|"&amp;COUNTIF($D$2:D59,D59)</f>
        <v>Islam Farouk|6</v>
      </c>
    </row>
    <row r="60" customFormat="false" ht="15" hidden="false" customHeight="false" outlineLevel="0" collapsed="false">
      <c r="A60" s="53" t="s">
        <v>6321</v>
      </c>
      <c r="B60" s="53" t="s">
        <v>6322</v>
      </c>
      <c r="C60" s="53" t="s">
        <v>6530</v>
      </c>
      <c r="D60" s="53" t="s">
        <v>50</v>
      </c>
      <c r="E60" s="53" t="s">
        <v>49</v>
      </c>
      <c r="F60" s="53" t="s">
        <v>3708</v>
      </c>
      <c r="G60" s="53" t="s">
        <v>6524</v>
      </c>
      <c r="H60" s="53" t="s">
        <v>209</v>
      </c>
      <c r="I60" s="54" t="n">
        <v>46254</v>
      </c>
      <c r="J60" s="53" t="n">
        <v>48</v>
      </c>
      <c r="K60" s="53" t="str">
        <f aca="false">D60&amp;"|"&amp;COUNTIF($D$2:D60,D60)</f>
        <v>Islam Farouk|7</v>
      </c>
    </row>
    <row r="61" customFormat="false" ht="15" hidden="false" customHeight="false" outlineLevel="0" collapsed="false">
      <c r="A61" s="53" t="s">
        <v>6531</v>
      </c>
      <c r="B61" s="53" t="s">
        <v>6532</v>
      </c>
      <c r="C61" s="53" t="s">
        <v>6533</v>
      </c>
      <c r="D61" s="53" t="s">
        <v>50</v>
      </c>
      <c r="E61" s="53" t="s">
        <v>49</v>
      </c>
      <c r="F61" s="53" t="s">
        <v>3708</v>
      </c>
      <c r="G61" s="53" t="s">
        <v>6517</v>
      </c>
      <c r="H61" s="53" t="s">
        <v>209</v>
      </c>
      <c r="I61" s="54" t="n">
        <v>46245</v>
      </c>
      <c r="J61" s="53" t="n">
        <v>57</v>
      </c>
      <c r="K61" s="53" t="str">
        <f aca="false">D61&amp;"|"&amp;COUNTIF($D$2:D61,D61)</f>
        <v>Islam Farouk|8</v>
      </c>
    </row>
    <row r="62" customFormat="false" ht="15" hidden="false" customHeight="false" outlineLevel="0" collapsed="false">
      <c r="A62" s="53" t="s">
        <v>4800</v>
      </c>
      <c r="B62" s="53" t="s">
        <v>4801</v>
      </c>
      <c r="C62" s="53" t="s">
        <v>6534</v>
      </c>
      <c r="D62" s="53" t="s">
        <v>50</v>
      </c>
      <c r="E62" s="53" t="s">
        <v>49</v>
      </c>
      <c r="F62" s="53" t="s">
        <v>3708</v>
      </c>
      <c r="G62" s="53" t="s">
        <v>6517</v>
      </c>
      <c r="H62" s="53" t="s">
        <v>209</v>
      </c>
      <c r="I62" s="54" t="n">
        <v>46245</v>
      </c>
      <c r="J62" s="53" t="n">
        <v>57</v>
      </c>
      <c r="K62" s="53" t="str">
        <f aca="false">D62&amp;"|"&amp;COUNTIF($D$2:D62,D62)</f>
        <v>Islam Farouk|9</v>
      </c>
    </row>
    <row r="63" customFormat="false" ht="15" hidden="false" customHeight="false" outlineLevel="0" collapsed="false">
      <c r="A63" s="53" t="s">
        <v>6422</v>
      </c>
      <c r="B63" s="53" t="s">
        <v>6423</v>
      </c>
      <c r="C63" s="53" t="s">
        <v>6535</v>
      </c>
      <c r="D63" s="53" t="s">
        <v>50</v>
      </c>
      <c r="E63" s="53" t="s">
        <v>49</v>
      </c>
      <c r="F63" s="53" t="s">
        <v>3708</v>
      </c>
      <c r="G63" s="53" t="s">
        <v>6524</v>
      </c>
      <c r="H63" s="53" t="s">
        <v>209</v>
      </c>
      <c r="I63" s="54" t="n">
        <v>46253</v>
      </c>
      <c r="J63" s="53" t="n">
        <v>49</v>
      </c>
      <c r="K63" s="53" t="str">
        <f aca="false">D63&amp;"|"&amp;COUNTIF($D$2:D63,D63)</f>
        <v>Islam Farouk|10</v>
      </c>
    </row>
    <row r="64" customFormat="false" ht="15" hidden="false" customHeight="false" outlineLevel="0" collapsed="false">
      <c r="A64" s="53" t="s">
        <v>5979</v>
      </c>
      <c r="B64" s="53" t="s">
        <v>5980</v>
      </c>
      <c r="C64" s="53" t="s">
        <v>6536</v>
      </c>
      <c r="D64" s="53" t="s">
        <v>50</v>
      </c>
      <c r="E64" s="53" t="s">
        <v>49</v>
      </c>
      <c r="F64" s="53" t="s">
        <v>3708</v>
      </c>
      <c r="G64" s="53" t="s">
        <v>6517</v>
      </c>
      <c r="H64" s="53" t="s">
        <v>209</v>
      </c>
      <c r="I64" s="54" t="n">
        <v>46245</v>
      </c>
      <c r="J64" s="53" t="n">
        <v>57</v>
      </c>
      <c r="K64" s="53" t="str">
        <f aca="false">D64&amp;"|"&amp;COUNTIF($D$2:D64,D64)</f>
        <v>Islam Farouk|11</v>
      </c>
    </row>
    <row r="65" customFormat="false" ht="15" hidden="false" customHeight="false" outlineLevel="0" collapsed="false">
      <c r="A65" s="53" t="s">
        <v>6537</v>
      </c>
      <c r="B65" s="53" t="s">
        <v>6538</v>
      </c>
      <c r="C65" s="53" t="s">
        <v>6539</v>
      </c>
      <c r="D65" s="53" t="s">
        <v>50</v>
      </c>
      <c r="E65" s="53" t="s">
        <v>49</v>
      </c>
      <c r="F65" s="53" t="s">
        <v>3708</v>
      </c>
      <c r="G65" s="53" t="s">
        <v>6517</v>
      </c>
      <c r="H65" s="53" t="s">
        <v>209</v>
      </c>
      <c r="I65" s="54" t="n">
        <v>46245</v>
      </c>
      <c r="J65" s="53" t="n">
        <v>57</v>
      </c>
      <c r="K65" s="53" t="str">
        <f aca="false">D65&amp;"|"&amp;COUNTIF($D$2:D65,D65)</f>
        <v>Islam Farouk|12</v>
      </c>
    </row>
    <row r="66" customFormat="false" ht="15" hidden="false" customHeight="false" outlineLevel="0" collapsed="false">
      <c r="A66" s="53" t="s">
        <v>6540</v>
      </c>
      <c r="B66" s="53" t="s">
        <v>6541</v>
      </c>
      <c r="C66" s="53" t="s">
        <v>6542</v>
      </c>
      <c r="D66" s="53" t="s">
        <v>50</v>
      </c>
      <c r="E66" s="53" t="s">
        <v>49</v>
      </c>
      <c r="F66" s="53" t="s">
        <v>3708</v>
      </c>
      <c r="G66" s="53" t="s">
        <v>6524</v>
      </c>
      <c r="H66" s="53" t="s">
        <v>209</v>
      </c>
      <c r="I66" s="54" t="n">
        <v>46254</v>
      </c>
      <c r="J66" s="53" t="n">
        <v>48</v>
      </c>
      <c r="K66" s="53" t="str">
        <f aca="false">D66&amp;"|"&amp;COUNTIF($D$2:D66,D66)</f>
        <v>Islam Farouk|13</v>
      </c>
    </row>
    <row r="67" customFormat="false" ht="15" hidden="false" customHeight="false" outlineLevel="0" collapsed="false">
      <c r="A67" s="53" t="s">
        <v>6543</v>
      </c>
      <c r="B67" s="53" t="s">
        <v>6544</v>
      </c>
      <c r="C67" s="53" t="s">
        <v>6545</v>
      </c>
      <c r="D67" s="53" t="s">
        <v>50</v>
      </c>
      <c r="E67" s="53" t="s">
        <v>49</v>
      </c>
      <c r="F67" s="53" t="s">
        <v>3708</v>
      </c>
      <c r="G67" s="53" t="s">
        <v>6524</v>
      </c>
      <c r="H67" s="53" t="s">
        <v>209</v>
      </c>
      <c r="I67" s="54" t="n">
        <v>46253</v>
      </c>
      <c r="J67" s="53" t="n">
        <v>49</v>
      </c>
      <c r="K67" s="53" t="str">
        <f aca="false">D67&amp;"|"&amp;COUNTIF($D$2:D67,D67)</f>
        <v>Islam Farouk|14</v>
      </c>
    </row>
    <row r="68" customFormat="false" ht="15" hidden="false" customHeight="false" outlineLevel="0" collapsed="false">
      <c r="A68" s="53" t="s">
        <v>5969</v>
      </c>
      <c r="B68" s="53" t="s">
        <v>5970</v>
      </c>
      <c r="C68" s="53" t="s">
        <v>6546</v>
      </c>
      <c r="D68" s="53" t="s">
        <v>50</v>
      </c>
      <c r="E68" s="53" t="s">
        <v>49</v>
      </c>
      <c r="F68" s="53" t="s">
        <v>3708</v>
      </c>
      <c r="G68" s="53" t="s">
        <v>6517</v>
      </c>
      <c r="H68" s="53" t="s">
        <v>209</v>
      </c>
      <c r="I68" s="54" t="n">
        <v>46245</v>
      </c>
      <c r="J68" s="53" t="n">
        <v>57</v>
      </c>
      <c r="K68" s="53" t="str">
        <f aca="false">D68&amp;"|"&amp;COUNTIF($D$2:D68,D68)</f>
        <v>Islam Farouk|15</v>
      </c>
    </row>
    <row r="69" customFormat="false" ht="15" hidden="false" customHeight="false" outlineLevel="0" collapsed="false">
      <c r="A69" s="53" t="s">
        <v>3599</v>
      </c>
      <c r="B69" s="53" t="s">
        <v>3600</v>
      </c>
      <c r="C69" s="53" t="s">
        <v>6547</v>
      </c>
      <c r="D69" s="53" t="s">
        <v>51</v>
      </c>
      <c r="E69" s="53" t="s">
        <v>47</v>
      </c>
      <c r="F69" s="53" t="s">
        <v>146</v>
      </c>
      <c r="G69" s="53" t="s">
        <v>6548</v>
      </c>
      <c r="H69" s="53" t="s">
        <v>209</v>
      </c>
      <c r="I69" s="54" t="n">
        <v>46266</v>
      </c>
      <c r="J69" s="53" t="n">
        <v>36</v>
      </c>
      <c r="K69" s="53" t="str">
        <f aca="false">D69&amp;"|"&amp;COUNTIF($D$2:D69,D69)</f>
        <v>Mina Milad|1</v>
      </c>
    </row>
    <row r="70" customFormat="false" ht="15" hidden="false" customHeight="false" outlineLevel="0" collapsed="false">
      <c r="A70" s="53" t="s">
        <v>2097</v>
      </c>
      <c r="B70" s="53" t="s">
        <v>2098</v>
      </c>
      <c r="C70" s="53" t="s">
        <v>6549</v>
      </c>
      <c r="D70" s="53" t="s">
        <v>51</v>
      </c>
      <c r="E70" s="53" t="s">
        <v>47</v>
      </c>
      <c r="F70" s="53" t="s">
        <v>146</v>
      </c>
      <c r="G70" s="53" t="s">
        <v>6550</v>
      </c>
      <c r="H70" s="53" t="s">
        <v>147</v>
      </c>
      <c r="I70" s="54" t="n">
        <v>46204</v>
      </c>
      <c r="J70" s="53" t="n">
        <v>98</v>
      </c>
      <c r="K70" s="53" t="str">
        <f aca="false">D70&amp;"|"&amp;COUNTIF($D$2:D70,D70)</f>
        <v>Mina Milad|2</v>
      </c>
    </row>
    <row r="71" customFormat="false" ht="15" hidden="false" customHeight="false" outlineLevel="0" collapsed="false">
      <c r="A71" s="53" t="s">
        <v>4649</v>
      </c>
      <c r="B71" s="53" t="s">
        <v>4650</v>
      </c>
      <c r="C71" s="53" t="s">
        <v>6551</v>
      </c>
      <c r="D71" s="53" t="s">
        <v>51</v>
      </c>
      <c r="E71" s="53" t="s">
        <v>47</v>
      </c>
      <c r="F71" s="53" t="s">
        <v>146</v>
      </c>
      <c r="G71" s="53" t="s">
        <v>6552</v>
      </c>
      <c r="H71" s="53" t="s">
        <v>175</v>
      </c>
      <c r="I71" s="54" t="n">
        <v>46102</v>
      </c>
      <c r="J71" s="53" t="n">
        <v>200</v>
      </c>
      <c r="K71" s="53" t="str">
        <f aca="false">D71&amp;"|"&amp;COUNTIF($D$2:D71,D71)</f>
        <v>Mina Milad|3</v>
      </c>
    </row>
    <row r="72" customFormat="false" ht="15" hidden="false" customHeight="false" outlineLevel="0" collapsed="false">
      <c r="A72" s="53" t="s">
        <v>573</v>
      </c>
      <c r="B72" s="53" t="s">
        <v>574</v>
      </c>
      <c r="C72" s="53" t="s">
        <v>6553</v>
      </c>
      <c r="D72" s="53" t="s">
        <v>51</v>
      </c>
      <c r="E72" s="53" t="s">
        <v>47</v>
      </c>
      <c r="F72" s="53" t="s">
        <v>146</v>
      </c>
      <c r="G72" s="53" t="s">
        <v>6550</v>
      </c>
      <c r="H72" s="53" t="s">
        <v>147</v>
      </c>
      <c r="I72" s="54" t="n">
        <v>46204</v>
      </c>
      <c r="J72" s="53" t="n">
        <v>98</v>
      </c>
      <c r="K72" s="53" t="str">
        <f aca="false">D72&amp;"|"&amp;COUNTIF($D$2:D72,D72)</f>
        <v>Mina Milad|4</v>
      </c>
    </row>
    <row r="73" customFormat="false" ht="15" hidden="false" customHeight="false" outlineLevel="0" collapsed="false">
      <c r="A73" s="53" t="s">
        <v>439</v>
      </c>
      <c r="B73" s="53" t="s">
        <v>440</v>
      </c>
      <c r="C73" s="53" t="s">
        <v>6554</v>
      </c>
      <c r="D73" s="53" t="s">
        <v>51</v>
      </c>
      <c r="E73" s="53" t="s">
        <v>47</v>
      </c>
      <c r="F73" s="53" t="s">
        <v>146</v>
      </c>
      <c r="G73" s="53" t="s">
        <v>6555</v>
      </c>
      <c r="H73" s="53" t="s">
        <v>175</v>
      </c>
      <c r="I73" s="54" t="s">
        <v>64</v>
      </c>
      <c r="J73" s="53" t="s">
        <v>64</v>
      </c>
      <c r="K73" s="53" t="str">
        <f aca="false">D73&amp;"|"&amp;COUNTIF($D$2:D73,D73)</f>
        <v>Mina Milad|5</v>
      </c>
    </row>
    <row r="74" customFormat="false" ht="15" hidden="false" customHeight="false" outlineLevel="0" collapsed="false">
      <c r="A74" s="53" t="s">
        <v>164</v>
      </c>
      <c r="B74" s="53" t="s">
        <v>165</v>
      </c>
      <c r="C74" s="53" t="s">
        <v>6556</v>
      </c>
      <c r="D74" s="53" t="s">
        <v>51</v>
      </c>
      <c r="E74" s="53" t="s">
        <v>47</v>
      </c>
      <c r="F74" s="53" t="s">
        <v>146</v>
      </c>
      <c r="G74" s="53" t="s">
        <v>6550</v>
      </c>
      <c r="H74" s="53" t="s">
        <v>147</v>
      </c>
      <c r="I74" s="54" t="n">
        <v>46204</v>
      </c>
      <c r="J74" s="53" t="n">
        <v>98</v>
      </c>
      <c r="K74" s="53" t="str">
        <f aca="false">D74&amp;"|"&amp;COUNTIF($D$2:D74,D74)</f>
        <v>Mina Milad|6</v>
      </c>
    </row>
    <row r="75" customFormat="false" ht="15" hidden="false" customHeight="false" outlineLevel="0" collapsed="false">
      <c r="A75" s="53" t="s">
        <v>1616</v>
      </c>
      <c r="B75" s="53" t="s">
        <v>1617</v>
      </c>
      <c r="C75" s="53" t="s">
        <v>6557</v>
      </c>
      <c r="D75" s="53" t="s">
        <v>51</v>
      </c>
      <c r="E75" s="53" t="s">
        <v>47</v>
      </c>
      <c r="F75" s="53" t="s">
        <v>146</v>
      </c>
      <c r="G75" s="53" t="s">
        <v>6558</v>
      </c>
      <c r="H75" s="53" t="s">
        <v>175</v>
      </c>
      <c r="I75" s="54" t="n">
        <v>46102</v>
      </c>
      <c r="J75" s="53" t="n">
        <v>200</v>
      </c>
      <c r="K75" s="53" t="str">
        <f aca="false">D75&amp;"|"&amp;COUNTIF($D$2:D75,D75)</f>
        <v>Mina Milad|7</v>
      </c>
    </row>
    <row r="76" customFormat="false" ht="15" hidden="false" customHeight="false" outlineLevel="0" collapsed="false">
      <c r="A76" s="53" t="s">
        <v>218</v>
      </c>
      <c r="B76" s="53" t="s">
        <v>219</v>
      </c>
      <c r="C76" s="53" t="s">
        <v>6559</v>
      </c>
      <c r="D76" s="53" t="s">
        <v>51</v>
      </c>
      <c r="E76" s="53" t="s">
        <v>47</v>
      </c>
      <c r="F76" s="53" t="s">
        <v>146</v>
      </c>
      <c r="G76" s="53" t="s">
        <v>6550</v>
      </c>
      <c r="H76" s="53" t="s">
        <v>147</v>
      </c>
      <c r="I76" s="54" t="n">
        <v>46204</v>
      </c>
      <c r="J76" s="53" t="n">
        <v>98</v>
      </c>
      <c r="K76" s="53" t="str">
        <f aca="false">D76&amp;"|"&amp;COUNTIF($D$2:D76,D76)</f>
        <v>Mina Milad|8</v>
      </c>
    </row>
    <row r="77" customFormat="false" ht="15" hidden="false" customHeight="false" outlineLevel="0" collapsed="false">
      <c r="A77" s="53" t="s">
        <v>2476</v>
      </c>
      <c r="B77" s="53" t="s">
        <v>2477</v>
      </c>
      <c r="C77" s="53" t="s">
        <v>6560</v>
      </c>
      <c r="D77" s="53" t="s">
        <v>51</v>
      </c>
      <c r="E77" s="53" t="s">
        <v>47</v>
      </c>
      <c r="F77" s="53" t="s">
        <v>146</v>
      </c>
      <c r="G77" s="53" t="s">
        <v>6561</v>
      </c>
      <c r="H77" s="53" t="s">
        <v>209</v>
      </c>
      <c r="I77" s="54" t="n">
        <v>46255</v>
      </c>
      <c r="J77" s="53" t="n">
        <v>47</v>
      </c>
      <c r="K77" s="53" t="str">
        <f aca="false">D77&amp;"|"&amp;COUNTIF($D$2:D77,D77)</f>
        <v>Mina Milad|9</v>
      </c>
    </row>
    <row r="78" customFormat="false" ht="15" hidden="false" customHeight="false" outlineLevel="0" collapsed="false">
      <c r="A78" s="53" t="s">
        <v>203</v>
      </c>
      <c r="B78" s="53" t="s">
        <v>204</v>
      </c>
      <c r="C78" s="53" t="s">
        <v>6562</v>
      </c>
      <c r="D78" s="53" t="s">
        <v>51</v>
      </c>
      <c r="E78" s="53" t="s">
        <v>47</v>
      </c>
      <c r="F78" s="53" t="s">
        <v>146</v>
      </c>
      <c r="G78" s="53" t="s">
        <v>6550</v>
      </c>
      <c r="H78" s="53" t="s">
        <v>147</v>
      </c>
      <c r="I78" s="54" t="n">
        <v>46204</v>
      </c>
      <c r="J78" s="53" t="n">
        <v>98</v>
      </c>
      <c r="K78" s="53" t="str">
        <f aca="false">D78&amp;"|"&amp;COUNTIF($D$2:D78,D78)</f>
        <v>Mina Milad|10</v>
      </c>
    </row>
    <row r="79" customFormat="false" ht="15" hidden="false" customHeight="false" outlineLevel="0" collapsed="false">
      <c r="A79" s="53" t="s">
        <v>1314</v>
      </c>
      <c r="B79" s="53" t="s">
        <v>1315</v>
      </c>
      <c r="C79" s="53" t="s">
        <v>6563</v>
      </c>
      <c r="D79" s="53" t="s">
        <v>51</v>
      </c>
      <c r="E79" s="53" t="s">
        <v>47</v>
      </c>
      <c r="F79" s="53" t="s">
        <v>146</v>
      </c>
      <c r="G79" s="53" t="s">
        <v>6561</v>
      </c>
      <c r="H79" s="53" t="s">
        <v>209</v>
      </c>
      <c r="I79" s="54" t="n">
        <v>46255</v>
      </c>
      <c r="J79" s="53" t="n">
        <v>47</v>
      </c>
      <c r="K79" s="53" t="str">
        <f aca="false">D79&amp;"|"&amp;COUNTIF($D$2:D79,D79)</f>
        <v>Mina Milad|11</v>
      </c>
    </row>
    <row r="80" customFormat="false" ht="15" hidden="false" customHeight="false" outlineLevel="0" collapsed="false">
      <c r="A80" s="53" t="s">
        <v>3580</v>
      </c>
      <c r="B80" s="53" t="s">
        <v>3581</v>
      </c>
      <c r="C80" s="53" t="s">
        <v>6564</v>
      </c>
      <c r="D80" s="53" t="s">
        <v>51</v>
      </c>
      <c r="E80" s="53" t="s">
        <v>47</v>
      </c>
      <c r="F80" s="53" t="s">
        <v>146</v>
      </c>
      <c r="G80" s="53" t="s">
        <v>6548</v>
      </c>
      <c r="H80" s="53" t="s">
        <v>209</v>
      </c>
      <c r="I80" s="54" t="n">
        <v>46266</v>
      </c>
      <c r="J80" s="53" t="n">
        <v>36</v>
      </c>
      <c r="K80" s="53" t="str">
        <f aca="false">D80&amp;"|"&amp;COUNTIF($D$2:D80,D80)</f>
        <v>Mina Milad|12</v>
      </c>
    </row>
    <row r="81" customFormat="false" ht="15" hidden="false" customHeight="false" outlineLevel="0" collapsed="false">
      <c r="A81" s="53" t="s">
        <v>160</v>
      </c>
      <c r="B81" s="53" t="s">
        <v>161</v>
      </c>
      <c r="C81" s="53" t="s">
        <v>6565</v>
      </c>
      <c r="D81" s="53" t="s">
        <v>51</v>
      </c>
      <c r="E81" s="53" t="s">
        <v>47</v>
      </c>
      <c r="F81" s="53" t="s">
        <v>146</v>
      </c>
      <c r="G81" s="53" t="s">
        <v>6550</v>
      </c>
      <c r="H81" s="53" t="s">
        <v>147</v>
      </c>
      <c r="I81" s="54" t="n">
        <v>46204</v>
      </c>
      <c r="J81" s="53" t="n">
        <v>98</v>
      </c>
      <c r="K81" s="53" t="str">
        <f aca="false">D81&amp;"|"&amp;COUNTIF($D$2:D81,D81)</f>
        <v>Mina Milad|13</v>
      </c>
    </row>
    <row r="82" customFormat="false" ht="15" hidden="false" customHeight="false" outlineLevel="0" collapsed="false">
      <c r="A82" s="53" t="s">
        <v>156</v>
      </c>
      <c r="B82" s="53" t="s">
        <v>157</v>
      </c>
      <c r="C82" s="53" t="s">
        <v>6566</v>
      </c>
      <c r="D82" s="53" t="s">
        <v>51</v>
      </c>
      <c r="E82" s="53" t="s">
        <v>47</v>
      </c>
      <c r="F82" s="53" t="s">
        <v>146</v>
      </c>
      <c r="G82" s="53" t="s">
        <v>6550</v>
      </c>
      <c r="H82" s="53" t="s">
        <v>147</v>
      </c>
      <c r="I82" s="54" t="n">
        <v>46204</v>
      </c>
      <c r="J82" s="53" t="n">
        <v>98</v>
      </c>
      <c r="K82" s="53" t="str">
        <f aca="false">D82&amp;"|"&amp;COUNTIF($D$2:D82,D82)</f>
        <v>Mina Milad|14</v>
      </c>
    </row>
    <row r="83" customFormat="false" ht="15" hidden="false" customHeight="false" outlineLevel="0" collapsed="false">
      <c r="A83" s="53" t="s">
        <v>312</v>
      </c>
      <c r="B83" s="53" t="s">
        <v>313</v>
      </c>
      <c r="C83" s="53" t="s">
        <v>6567</v>
      </c>
      <c r="D83" s="53" t="s">
        <v>51</v>
      </c>
      <c r="E83" s="53" t="s">
        <v>47</v>
      </c>
      <c r="F83" s="53" t="s">
        <v>146</v>
      </c>
      <c r="G83" s="53" t="s">
        <v>6550</v>
      </c>
      <c r="H83" s="53" t="s">
        <v>147</v>
      </c>
      <c r="I83" s="54" t="n">
        <v>46204</v>
      </c>
      <c r="J83" s="53" t="n">
        <v>98</v>
      </c>
      <c r="K83" s="53" t="str">
        <f aca="false">D83&amp;"|"&amp;COUNTIF($D$2:D83,D83)</f>
        <v>Mina Milad|15</v>
      </c>
    </row>
    <row r="84" customFormat="false" ht="15" hidden="false" customHeight="false" outlineLevel="0" collapsed="false">
      <c r="A84" s="53" t="s">
        <v>4370</v>
      </c>
      <c r="B84" s="53" t="s">
        <v>4371</v>
      </c>
      <c r="C84" s="53" t="s">
        <v>6568</v>
      </c>
      <c r="D84" s="53" t="s">
        <v>51</v>
      </c>
      <c r="E84" s="53" t="s">
        <v>47</v>
      </c>
      <c r="F84" s="53" t="s">
        <v>146</v>
      </c>
      <c r="G84" s="53" t="s">
        <v>6550</v>
      </c>
      <c r="H84" s="53" t="s">
        <v>147</v>
      </c>
      <c r="I84" s="54" t="n">
        <v>46204</v>
      </c>
      <c r="J84" s="53" t="n">
        <v>98</v>
      </c>
      <c r="K84" s="53" t="str">
        <f aca="false">D84&amp;"|"&amp;COUNTIF($D$2:D84,D84)</f>
        <v>Mina Milad|16</v>
      </c>
    </row>
    <row r="85" customFormat="false" ht="15" hidden="false" customHeight="false" outlineLevel="0" collapsed="false">
      <c r="A85" s="53" t="s">
        <v>3928</v>
      </c>
      <c r="B85" s="53" t="s">
        <v>3929</v>
      </c>
      <c r="C85" s="53" t="s">
        <v>6569</v>
      </c>
      <c r="D85" s="53" t="s">
        <v>51</v>
      </c>
      <c r="E85" s="53" t="s">
        <v>47</v>
      </c>
      <c r="F85" s="53" t="s">
        <v>146</v>
      </c>
      <c r="G85" s="53" t="s">
        <v>6548</v>
      </c>
      <c r="H85" s="53" t="s">
        <v>209</v>
      </c>
      <c r="I85" s="54" t="n">
        <v>46266</v>
      </c>
      <c r="J85" s="53" t="n">
        <v>36</v>
      </c>
      <c r="K85" s="53" t="str">
        <f aca="false">D85&amp;"|"&amp;COUNTIF($D$2:D85,D85)</f>
        <v>Mina Milad|17</v>
      </c>
    </row>
    <row r="86" customFormat="false" ht="15" hidden="false" customHeight="false" outlineLevel="0" collapsed="false">
      <c r="A86" s="53" t="s">
        <v>518</v>
      </c>
      <c r="B86" s="53" t="s">
        <v>519</v>
      </c>
      <c r="C86" s="53" t="s">
        <v>6570</v>
      </c>
      <c r="D86" s="53" t="s">
        <v>52</v>
      </c>
      <c r="E86" s="53" t="s">
        <v>47</v>
      </c>
      <c r="F86" s="53" t="s">
        <v>146</v>
      </c>
      <c r="G86" s="53" t="s">
        <v>6571</v>
      </c>
      <c r="H86" s="53" t="s">
        <v>147</v>
      </c>
      <c r="I86" s="54" t="n">
        <v>46235</v>
      </c>
      <c r="J86" s="53" t="n">
        <v>67</v>
      </c>
      <c r="K86" s="53" t="str">
        <f aca="false">D86&amp;"|"&amp;COUNTIF($D$2:D86,D86)</f>
        <v>Mohamed Ashour|1</v>
      </c>
    </row>
    <row r="87" customFormat="false" ht="15" hidden="false" customHeight="false" outlineLevel="0" collapsed="false">
      <c r="A87" s="53" t="s">
        <v>1590</v>
      </c>
      <c r="B87" s="53" t="s">
        <v>1591</v>
      </c>
      <c r="C87" s="53" t="s">
        <v>6572</v>
      </c>
      <c r="D87" s="53" t="s">
        <v>52</v>
      </c>
      <c r="E87" s="53" t="s">
        <v>47</v>
      </c>
      <c r="F87" s="53" t="s">
        <v>146</v>
      </c>
      <c r="G87" s="53" t="s">
        <v>6571</v>
      </c>
      <c r="H87" s="53" t="s">
        <v>209</v>
      </c>
      <c r="I87" s="54" t="n">
        <v>46255</v>
      </c>
      <c r="J87" s="53" t="n">
        <v>47</v>
      </c>
      <c r="K87" s="53" t="str">
        <f aca="false">D87&amp;"|"&amp;COUNTIF($D$2:D87,D87)</f>
        <v>Mohamed Ashour|2</v>
      </c>
    </row>
    <row r="88" customFormat="false" ht="15" hidden="false" customHeight="false" outlineLevel="0" collapsed="false">
      <c r="A88" s="53" t="s">
        <v>2101</v>
      </c>
      <c r="B88" s="53" t="s">
        <v>2102</v>
      </c>
      <c r="C88" s="53" t="s">
        <v>6573</v>
      </c>
      <c r="D88" s="53" t="s">
        <v>52</v>
      </c>
      <c r="E88" s="53" t="s">
        <v>47</v>
      </c>
      <c r="F88" s="53" t="s">
        <v>146</v>
      </c>
      <c r="G88" s="53" t="s">
        <v>6574</v>
      </c>
      <c r="H88" s="53" t="s">
        <v>147</v>
      </c>
      <c r="I88" s="54" t="n">
        <v>46220</v>
      </c>
      <c r="J88" s="53" t="n">
        <v>82</v>
      </c>
      <c r="K88" s="53" t="str">
        <f aca="false">D88&amp;"|"&amp;COUNTIF($D$2:D88,D88)</f>
        <v>Mohamed Ashour|3</v>
      </c>
    </row>
    <row r="89" customFormat="false" ht="15" hidden="false" customHeight="false" outlineLevel="0" collapsed="false">
      <c r="A89" s="53" t="s">
        <v>1571</v>
      </c>
      <c r="B89" s="53" t="s">
        <v>1572</v>
      </c>
      <c r="C89" s="53" t="s">
        <v>6575</v>
      </c>
      <c r="D89" s="53" t="s">
        <v>52</v>
      </c>
      <c r="E89" s="53" t="s">
        <v>47</v>
      </c>
      <c r="F89" s="53" t="s">
        <v>146</v>
      </c>
      <c r="G89" s="53" t="s">
        <v>6548</v>
      </c>
      <c r="H89" s="53" t="s">
        <v>209</v>
      </c>
      <c r="I89" s="54" t="n">
        <v>46266</v>
      </c>
      <c r="J89" s="53" t="n">
        <v>36</v>
      </c>
      <c r="K89" s="53" t="str">
        <f aca="false">D89&amp;"|"&amp;COUNTIF($D$2:D89,D89)</f>
        <v>Mohamed Ashour|4</v>
      </c>
    </row>
    <row r="90" customFormat="false" ht="15" hidden="false" customHeight="false" outlineLevel="0" collapsed="false">
      <c r="A90" s="53" t="s">
        <v>1539</v>
      </c>
      <c r="B90" s="53" t="s">
        <v>1540</v>
      </c>
      <c r="C90" s="53" t="s">
        <v>6576</v>
      </c>
      <c r="D90" s="53" t="s">
        <v>52</v>
      </c>
      <c r="E90" s="53" t="s">
        <v>47</v>
      </c>
      <c r="F90" s="53" t="s">
        <v>146</v>
      </c>
      <c r="G90" s="53" t="s">
        <v>6574</v>
      </c>
      <c r="H90" s="53" t="s">
        <v>147</v>
      </c>
      <c r="I90" s="54" t="n">
        <v>46220</v>
      </c>
      <c r="J90" s="53" t="n">
        <v>82</v>
      </c>
      <c r="K90" s="53" t="str">
        <f aca="false">D90&amp;"|"&amp;COUNTIF($D$2:D90,D90)</f>
        <v>Mohamed Ashour|5</v>
      </c>
    </row>
    <row r="91" customFormat="false" ht="15" hidden="false" customHeight="false" outlineLevel="0" collapsed="false">
      <c r="A91" s="53" t="s">
        <v>1255</v>
      </c>
      <c r="B91" s="53" t="s">
        <v>1256</v>
      </c>
      <c r="C91" s="53" t="s">
        <v>6577</v>
      </c>
      <c r="D91" s="53" t="s">
        <v>52</v>
      </c>
      <c r="E91" s="53" t="s">
        <v>47</v>
      </c>
      <c r="F91" s="53" t="s">
        <v>146</v>
      </c>
      <c r="G91" s="53" t="s">
        <v>6574</v>
      </c>
      <c r="H91" s="53" t="s">
        <v>147</v>
      </c>
      <c r="I91" s="54" t="n">
        <v>46220</v>
      </c>
      <c r="J91" s="53" t="n">
        <v>82</v>
      </c>
      <c r="K91" s="53" t="str">
        <f aca="false">D91&amp;"|"&amp;COUNTIF($D$2:D91,D91)</f>
        <v>Mohamed Ashour|6</v>
      </c>
    </row>
    <row r="92" customFormat="false" ht="15" hidden="false" customHeight="false" outlineLevel="0" collapsed="false">
      <c r="A92" s="53" t="s">
        <v>5478</v>
      </c>
      <c r="B92" s="53" t="s">
        <v>5479</v>
      </c>
      <c r="C92" s="53" t="s">
        <v>6578</v>
      </c>
      <c r="D92" s="53" t="s">
        <v>52</v>
      </c>
      <c r="E92" s="53" t="s">
        <v>47</v>
      </c>
      <c r="F92" s="53" t="s">
        <v>146</v>
      </c>
      <c r="G92" s="53" t="s">
        <v>6492</v>
      </c>
      <c r="H92" s="53" t="s">
        <v>147</v>
      </c>
      <c r="I92" s="54" t="n">
        <v>46233</v>
      </c>
      <c r="J92" s="53" t="n">
        <v>69</v>
      </c>
      <c r="K92" s="53" t="str">
        <f aca="false">D92&amp;"|"&amp;COUNTIF($D$2:D92,D92)</f>
        <v>Mohamed Ashour|7</v>
      </c>
    </row>
    <row r="93" customFormat="false" ht="15" hidden="false" customHeight="false" outlineLevel="0" collapsed="false">
      <c r="A93" s="53" t="s">
        <v>1551</v>
      </c>
      <c r="B93" s="53" t="s">
        <v>1552</v>
      </c>
      <c r="C93" s="53" t="s">
        <v>6579</v>
      </c>
      <c r="D93" s="53" t="s">
        <v>52</v>
      </c>
      <c r="E93" s="53" t="s">
        <v>47</v>
      </c>
      <c r="F93" s="53" t="s">
        <v>146</v>
      </c>
      <c r="G93" s="53" t="s">
        <v>6548</v>
      </c>
      <c r="H93" s="53" t="s">
        <v>209</v>
      </c>
      <c r="I93" s="54" t="n">
        <v>46266</v>
      </c>
      <c r="J93" s="53" t="n">
        <v>36</v>
      </c>
      <c r="K93" s="53" t="str">
        <f aca="false">D93&amp;"|"&amp;COUNTIF($D$2:D93,D93)</f>
        <v>Mohamed Ashour|8</v>
      </c>
    </row>
    <row r="94" customFormat="false" ht="15" hidden="false" customHeight="false" outlineLevel="0" collapsed="false">
      <c r="A94" s="53" t="s">
        <v>2156</v>
      </c>
      <c r="B94" s="53" t="s">
        <v>2157</v>
      </c>
      <c r="C94" s="53" t="s">
        <v>6580</v>
      </c>
      <c r="D94" s="53" t="s">
        <v>52</v>
      </c>
      <c r="E94" s="53" t="s">
        <v>47</v>
      </c>
      <c r="F94" s="53" t="s">
        <v>146</v>
      </c>
      <c r="G94" s="53" t="s">
        <v>6571</v>
      </c>
      <c r="H94" s="53" t="s">
        <v>209</v>
      </c>
      <c r="I94" s="54" t="n">
        <v>46255</v>
      </c>
      <c r="J94" s="53" t="n">
        <v>47</v>
      </c>
      <c r="K94" s="53" t="str">
        <f aca="false">D94&amp;"|"&amp;COUNTIF($D$2:D94,D94)</f>
        <v>Mohamed Ashour|9</v>
      </c>
    </row>
    <row r="95" customFormat="false" ht="15" hidden="false" customHeight="false" outlineLevel="0" collapsed="false">
      <c r="A95" s="53" t="s">
        <v>2365</v>
      </c>
      <c r="B95" s="53" t="s">
        <v>2366</v>
      </c>
      <c r="C95" s="53" t="s">
        <v>6581</v>
      </c>
      <c r="D95" s="53" t="s">
        <v>52</v>
      </c>
      <c r="E95" s="53" t="s">
        <v>47</v>
      </c>
      <c r="F95" s="53" t="s">
        <v>146</v>
      </c>
      <c r="G95" s="53" t="s">
        <v>6492</v>
      </c>
      <c r="H95" s="53" t="s">
        <v>147</v>
      </c>
      <c r="I95" s="54" t="n">
        <v>46233</v>
      </c>
      <c r="J95" s="53" t="n">
        <v>69</v>
      </c>
      <c r="K95" s="53" t="str">
        <f aca="false">D95&amp;"|"&amp;COUNTIF($D$2:D95,D95)</f>
        <v>Mohamed Ashour|10</v>
      </c>
    </row>
    <row r="96" customFormat="false" ht="15" hidden="false" customHeight="false" outlineLevel="0" collapsed="false">
      <c r="A96" s="53" t="s">
        <v>2637</v>
      </c>
      <c r="B96" s="53" t="s">
        <v>2638</v>
      </c>
      <c r="C96" s="53" t="s">
        <v>6582</v>
      </c>
      <c r="D96" s="53" t="s">
        <v>52</v>
      </c>
      <c r="E96" s="53" t="s">
        <v>47</v>
      </c>
      <c r="F96" s="53" t="s">
        <v>146</v>
      </c>
      <c r="G96" s="53" t="s">
        <v>6492</v>
      </c>
      <c r="H96" s="53" t="s">
        <v>147</v>
      </c>
      <c r="I96" s="54" t="n">
        <v>46233</v>
      </c>
      <c r="J96" s="53" t="n">
        <v>69</v>
      </c>
      <c r="K96" s="53" t="str">
        <f aca="false">D96&amp;"|"&amp;COUNTIF($D$2:D96,D96)</f>
        <v>Mohamed Ashour|11</v>
      </c>
    </row>
    <row r="97" customFormat="false" ht="15" hidden="false" customHeight="false" outlineLevel="0" collapsed="false">
      <c r="A97" s="53" t="s">
        <v>4821</v>
      </c>
      <c r="B97" s="53" t="s">
        <v>4822</v>
      </c>
      <c r="C97" s="53" t="s">
        <v>6583</v>
      </c>
      <c r="D97" s="53" t="s">
        <v>52</v>
      </c>
      <c r="E97" s="53" t="s">
        <v>47</v>
      </c>
      <c r="F97" s="53" t="s">
        <v>146</v>
      </c>
      <c r="G97" s="53" t="s">
        <v>6492</v>
      </c>
      <c r="H97" s="53" t="s">
        <v>147</v>
      </c>
      <c r="I97" s="54" t="n">
        <v>46233</v>
      </c>
      <c r="J97" s="53" t="n">
        <v>69</v>
      </c>
      <c r="K97" s="53" t="str">
        <f aca="false">D97&amp;"|"&amp;COUNTIF($D$2:D97,D97)</f>
        <v>Mohamed Ashour|12</v>
      </c>
    </row>
    <row r="98" customFormat="false" ht="15" hidden="false" customHeight="false" outlineLevel="0" collapsed="false">
      <c r="A98" s="53" t="s">
        <v>6584</v>
      </c>
      <c r="B98" s="53" t="s">
        <v>6585</v>
      </c>
      <c r="C98" s="53" t="s">
        <v>6586</v>
      </c>
      <c r="D98" s="53" t="s">
        <v>52</v>
      </c>
      <c r="E98" s="53" t="s">
        <v>47</v>
      </c>
      <c r="F98" s="53" t="s">
        <v>146</v>
      </c>
      <c r="G98" s="53" t="s">
        <v>6571</v>
      </c>
      <c r="H98" s="53" t="s">
        <v>209</v>
      </c>
      <c r="I98" s="54" t="n">
        <v>46255</v>
      </c>
      <c r="J98" s="53" t="n">
        <v>47</v>
      </c>
      <c r="K98" s="53" t="str">
        <f aca="false">D98&amp;"|"&amp;COUNTIF($D$2:D98,D98)</f>
        <v>Mohamed Ashour|13</v>
      </c>
    </row>
    <row r="99" customFormat="false" ht="15" hidden="false" customHeight="false" outlineLevel="0" collapsed="false">
      <c r="A99" s="53" t="s">
        <v>2119</v>
      </c>
      <c r="B99" s="53" t="s">
        <v>2120</v>
      </c>
      <c r="C99" s="53" t="s">
        <v>6587</v>
      </c>
      <c r="D99" s="53" t="s">
        <v>52</v>
      </c>
      <c r="E99" s="53" t="s">
        <v>47</v>
      </c>
      <c r="F99" s="53" t="s">
        <v>146</v>
      </c>
      <c r="G99" s="53" t="s">
        <v>6574</v>
      </c>
      <c r="H99" s="53" t="s">
        <v>147</v>
      </c>
      <c r="I99" s="54" t="n">
        <v>46227</v>
      </c>
      <c r="J99" s="53" t="n">
        <v>75</v>
      </c>
      <c r="K99" s="53" t="str">
        <f aca="false">D99&amp;"|"&amp;COUNTIF($D$2:D99,D99)</f>
        <v>Mohamed Ashour|14</v>
      </c>
    </row>
    <row r="100" customFormat="false" ht="15" hidden="false" customHeight="false" outlineLevel="0" collapsed="false">
      <c r="A100" s="53" t="s">
        <v>2077</v>
      </c>
      <c r="B100" s="53" t="s">
        <v>2078</v>
      </c>
      <c r="C100" s="53" t="s">
        <v>6588</v>
      </c>
      <c r="D100" s="53" t="s">
        <v>52</v>
      </c>
      <c r="E100" s="53" t="s">
        <v>47</v>
      </c>
      <c r="F100" s="53" t="s">
        <v>146</v>
      </c>
      <c r="G100" s="53" t="s">
        <v>6492</v>
      </c>
      <c r="H100" s="53" t="s">
        <v>147</v>
      </c>
      <c r="I100" s="54" t="n">
        <v>46233</v>
      </c>
      <c r="J100" s="53" t="n">
        <v>69</v>
      </c>
      <c r="K100" s="53" t="str">
        <f aca="false">D100&amp;"|"&amp;COUNTIF($D$2:D100,D100)</f>
        <v>Mohamed Ashour|15</v>
      </c>
    </row>
    <row r="101" customFormat="false" ht="15" hidden="false" customHeight="false" outlineLevel="0" collapsed="false">
      <c r="A101" s="53" t="s">
        <v>6589</v>
      </c>
      <c r="B101" s="53" t="s">
        <v>6590</v>
      </c>
      <c r="C101" s="53" t="s">
        <v>6591</v>
      </c>
      <c r="D101" s="53" t="s">
        <v>53</v>
      </c>
      <c r="E101" s="53" t="s">
        <v>47</v>
      </c>
      <c r="F101" s="53" t="s">
        <v>3708</v>
      </c>
      <c r="G101" s="53" t="s">
        <v>6592</v>
      </c>
      <c r="H101" s="53" t="s">
        <v>209</v>
      </c>
      <c r="I101" s="54" t="n">
        <v>46255</v>
      </c>
      <c r="J101" s="53" t="n">
        <v>47</v>
      </c>
      <c r="K101" s="53" t="str">
        <f aca="false">D101&amp;"|"&amp;COUNTIF($D$2:D101,D101)</f>
        <v>Mohamed Kelany|1</v>
      </c>
    </row>
    <row r="102" customFormat="false" ht="15" hidden="false" customHeight="false" outlineLevel="0" collapsed="false">
      <c r="A102" s="53" t="s">
        <v>5867</v>
      </c>
      <c r="B102" s="53" t="s">
        <v>5868</v>
      </c>
      <c r="C102" s="53" t="s">
        <v>6593</v>
      </c>
      <c r="D102" s="53" t="s">
        <v>53</v>
      </c>
      <c r="E102" s="53" t="s">
        <v>47</v>
      </c>
      <c r="F102" s="53" t="s">
        <v>3708</v>
      </c>
      <c r="G102" s="53" t="s">
        <v>6592</v>
      </c>
      <c r="H102" s="53" t="s">
        <v>209</v>
      </c>
      <c r="I102" s="54" t="n">
        <v>46255</v>
      </c>
      <c r="J102" s="53" t="n">
        <v>47</v>
      </c>
      <c r="K102" s="53" t="str">
        <f aca="false">D102&amp;"|"&amp;COUNTIF($D$2:D102,D102)</f>
        <v>Mohamed Kelany|2</v>
      </c>
    </row>
    <row r="103" customFormat="false" ht="15" hidden="false" customHeight="false" outlineLevel="0" collapsed="false">
      <c r="A103" s="53" t="s">
        <v>5845</v>
      </c>
      <c r="B103" s="53" t="s">
        <v>5846</v>
      </c>
      <c r="C103" s="53" t="s">
        <v>6594</v>
      </c>
      <c r="D103" s="53" t="s">
        <v>53</v>
      </c>
      <c r="E103" s="53" t="s">
        <v>47</v>
      </c>
      <c r="F103" s="53" t="s">
        <v>3708</v>
      </c>
      <c r="G103" s="53" t="s">
        <v>6592</v>
      </c>
      <c r="H103" s="53" t="s">
        <v>209</v>
      </c>
      <c r="I103" s="54" t="n">
        <v>46255</v>
      </c>
      <c r="J103" s="53" t="n">
        <v>47</v>
      </c>
      <c r="K103" s="53" t="str">
        <f aca="false">D103&amp;"|"&amp;COUNTIF($D$2:D103,D103)</f>
        <v>Mohamed Kelany|3</v>
      </c>
    </row>
    <row r="104" customFormat="false" ht="15" hidden="false" customHeight="false" outlineLevel="0" collapsed="false">
      <c r="A104" s="53" t="s">
        <v>6210</v>
      </c>
      <c r="B104" s="53" t="s">
        <v>6211</v>
      </c>
      <c r="C104" s="53" t="s">
        <v>6595</v>
      </c>
      <c r="D104" s="53" t="s">
        <v>53</v>
      </c>
      <c r="E104" s="53" t="s">
        <v>47</v>
      </c>
      <c r="F104" s="53" t="s">
        <v>3708</v>
      </c>
      <c r="G104" s="53" t="s">
        <v>6592</v>
      </c>
      <c r="H104" s="53" t="s">
        <v>209</v>
      </c>
      <c r="I104" s="54" t="n">
        <v>46255</v>
      </c>
      <c r="J104" s="53" t="n">
        <v>47</v>
      </c>
      <c r="K104" s="53" t="str">
        <f aca="false">D104&amp;"|"&amp;COUNTIF($D$2:D104,D104)</f>
        <v>Mohamed Kelany|4</v>
      </c>
    </row>
    <row r="105" customFormat="false" ht="15" hidden="false" customHeight="false" outlineLevel="0" collapsed="false">
      <c r="A105" s="53" t="s">
        <v>5973</v>
      </c>
      <c r="B105" s="53" t="s">
        <v>5974</v>
      </c>
      <c r="C105" s="53" t="s">
        <v>6596</v>
      </c>
      <c r="D105" s="53" t="s">
        <v>53</v>
      </c>
      <c r="E105" s="53" t="s">
        <v>47</v>
      </c>
      <c r="F105" s="53" t="s">
        <v>3708</v>
      </c>
      <c r="G105" s="53" t="s">
        <v>6592</v>
      </c>
      <c r="H105" s="53" t="s">
        <v>209</v>
      </c>
      <c r="I105" s="54" t="n">
        <v>46255</v>
      </c>
      <c r="J105" s="53" t="n">
        <v>47</v>
      </c>
      <c r="K105" s="53" t="str">
        <f aca="false">D105&amp;"|"&amp;COUNTIF($D$2:D105,D105)</f>
        <v>Mohamed Kelany|5</v>
      </c>
    </row>
    <row r="106" customFormat="false" ht="15" hidden="false" customHeight="false" outlineLevel="0" collapsed="false">
      <c r="A106" s="53" t="s">
        <v>4814</v>
      </c>
      <c r="B106" s="53" t="s">
        <v>4815</v>
      </c>
      <c r="C106" s="53" t="s">
        <v>6597</v>
      </c>
      <c r="D106" s="53" t="s">
        <v>53</v>
      </c>
      <c r="E106" s="53" t="s">
        <v>47</v>
      </c>
      <c r="F106" s="53" t="s">
        <v>3708</v>
      </c>
      <c r="G106" s="53" t="s">
        <v>6592</v>
      </c>
      <c r="H106" s="53" t="s">
        <v>209</v>
      </c>
      <c r="I106" s="54" t="n">
        <v>46255</v>
      </c>
      <c r="J106" s="53" t="n">
        <v>47</v>
      </c>
      <c r="K106" s="53" t="str">
        <f aca="false">D106&amp;"|"&amp;COUNTIF($D$2:D106,D106)</f>
        <v>Mohamed Kelany|6</v>
      </c>
    </row>
    <row r="107" customFormat="false" ht="15" hidden="false" customHeight="false" outlineLevel="0" collapsed="false">
      <c r="A107" s="53" t="s">
        <v>6598</v>
      </c>
      <c r="B107" s="53" t="s">
        <v>6599</v>
      </c>
      <c r="C107" s="53" t="s">
        <v>6600</v>
      </c>
      <c r="D107" s="53" t="s">
        <v>53</v>
      </c>
      <c r="E107" s="53" t="s">
        <v>47</v>
      </c>
      <c r="F107" s="53" t="s">
        <v>3708</v>
      </c>
      <c r="G107" s="53" t="s">
        <v>6592</v>
      </c>
      <c r="H107" s="53" t="s">
        <v>209</v>
      </c>
      <c r="I107" s="54" t="n">
        <v>46255</v>
      </c>
      <c r="J107" s="53" t="n">
        <v>47</v>
      </c>
      <c r="K107" s="53" t="str">
        <f aca="false">D107&amp;"|"&amp;COUNTIF($D$2:D107,D107)</f>
        <v>Mohamed Kelany|7</v>
      </c>
    </row>
    <row r="108" customFormat="false" ht="15" hidden="false" customHeight="false" outlineLevel="0" collapsed="false">
      <c r="A108" s="53" t="s">
        <v>6601</v>
      </c>
      <c r="B108" s="53" t="s">
        <v>6602</v>
      </c>
      <c r="C108" s="53" t="s">
        <v>6603</v>
      </c>
      <c r="D108" s="53" t="s">
        <v>53</v>
      </c>
      <c r="E108" s="53" t="s">
        <v>47</v>
      </c>
      <c r="F108" s="53" t="s">
        <v>3708</v>
      </c>
      <c r="G108" s="53" t="s">
        <v>6592</v>
      </c>
      <c r="H108" s="53" t="s">
        <v>209</v>
      </c>
      <c r="I108" s="54" t="n">
        <v>46255</v>
      </c>
      <c r="J108" s="53" t="n">
        <v>47</v>
      </c>
      <c r="K108" s="53" t="str">
        <f aca="false">D108&amp;"|"&amp;COUNTIF($D$2:D108,D108)</f>
        <v>Mohamed Kelany|8</v>
      </c>
    </row>
    <row r="109" customFormat="false" ht="15" hidden="false" customHeight="false" outlineLevel="0" collapsed="false">
      <c r="A109" s="53" t="s">
        <v>5906</v>
      </c>
      <c r="B109" s="53" t="s">
        <v>5907</v>
      </c>
      <c r="C109" s="53" t="s">
        <v>6604</v>
      </c>
      <c r="D109" s="53" t="s">
        <v>53</v>
      </c>
      <c r="E109" s="53" t="s">
        <v>47</v>
      </c>
      <c r="F109" s="53" t="s">
        <v>3708</v>
      </c>
      <c r="G109" s="53" t="s">
        <v>6592</v>
      </c>
      <c r="H109" s="53" t="s">
        <v>209</v>
      </c>
      <c r="I109" s="54" t="n">
        <v>46255</v>
      </c>
      <c r="J109" s="53" t="n">
        <v>47</v>
      </c>
      <c r="K109" s="53" t="str">
        <f aca="false">D109&amp;"|"&amp;COUNTIF($D$2:D109,D109)</f>
        <v>Mohamed Kelany|9</v>
      </c>
    </row>
    <row r="110" customFormat="false" ht="15" hidden="false" customHeight="false" outlineLevel="0" collapsed="false">
      <c r="A110" s="53" t="s">
        <v>6397</v>
      </c>
      <c r="B110" s="53" t="s">
        <v>6398</v>
      </c>
      <c r="C110" s="53" t="s">
        <v>6605</v>
      </c>
      <c r="D110" s="53" t="s">
        <v>53</v>
      </c>
      <c r="E110" s="53" t="s">
        <v>47</v>
      </c>
      <c r="F110" s="53" t="s">
        <v>3708</v>
      </c>
      <c r="G110" s="53" t="s">
        <v>6592</v>
      </c>
      <c r="H110" s="53" t="s">
        <v>209</v>
      </c>
      <c r="I110" s="54" t="n">
        <v>46255</v>
      </c>
      <c r="J110" s="53" t="n">
        <v>47</v>
      </c>
      <c r="K110" s="53" t="str">
        <f aca="false">D110&amp;"|"&amp;COUNTIF($D$2:D110,D110)</f>
        <v>Mohamed Kelany|10</v>
      </c>
    </row>
    <row r="111" customFormat="false" ht="15" hidden="false" customHeight="false" outlineLevel="0" collapsed="false">
      <c r="A111" s="53" t="s">
        <v>6606</v>
      </c>
      <c r="B111" s="53" t="s">
        <v>6607</v>
      </c>
      <c r="C111" s="53" t="s">
        <v>6608</v>
      </c>
      <c r="D111" s="53" t="s">
        <v>53</v>
      </c>
      <c r="E111" s="53" t="s">
        <v>47</v>
      </c>
      <c r="F111" s="53" t="s">
        <v>3708</v>
      </c>
      <c r="G111" s="53" t="s">
        <v>6592</v>
      </c>
      <c r="H111" s="53" t="s">
        <v>209</v>
      </c>
      <c r="I111" s="54" t="n">
        <v>46255</v>
      </c>
      <c r="J111" s="53" t="n">
        <v>47</v>
      </c>
      <c r="K111" s="53" t="str">
        <f aca="false">D111&amp;"|"&amp;COUNTIF($D$2:D111,D111)</f>
        <v>Mohamed Kelany|11</v>
      </c>
    </row>
    <row r="112" customFormat="false" ht="15" hidden="false" customHeight="false" outlineLevel="0" collapsed="false">
      <c r="A112" s="53" t="s">
        <v>5891</v>
      </c>
      <c r="B112" s="53" t="s">
        <v>5892</v>
      </c>
      <c r="C112" s="53" t="s">
        <v>6609</v>
      </c>
      <c r="D112" s="53" t="s">
        <v>53</v>
      </c>
      <c r="E112" s="53" t="s">
        <v>47</v>
      </c>
      <c r="F112" s="53" t="s">
        <v>3708</v>
      </c>
      <c r="G112" s="53" t="s">
        <v>6592</v>
      </c>
      <c r="H112" s="53" t="s">
        <v>209</v>
      </c>
      <c r="I112" s="54" t="n">
        <v>46255</v>
      </c>
      <c r="J112" s="53" t="n">
        <v>47</v>
      </c>
      <c r="K112" s="53" t="str">
        <f aca="false">D112&amp;"|"&amp;COUNTIF($D$2:D112,D112)</f>
        <v>Mohamed Kelany|12</v>
      </c>
    </row>
    <row r="113" customFormat="false" ht="15" hidden="false" customHeight="false" outlineLevel="0" collapsed="false">
      <c r="A113" s="53" t="s">
        <v>6610</v>
      </c>
      <c r="B113" s="53" t="s">
        <v>6611</v>
      </c>
      <c r="C113" s="53" t="s">
        <v>6612</v>
      </c>
      <c r="D113" s="53" t="s">
        <v>53</v>
      </c>
      <c r="E113" s="53" t="s">
        <v>47</v>
      </c>
      <c r="F113" s="53" t="s">
        <v>3708</v>
      </c>
      <c r="G113" s="53" t="s">
        <v>6592</v>
      </c>
      <c r="H113" s="53" t="s">
        <v>209</v>
      </c>
      <c r="I113" s="54" t="n">
        <v>46255</v>
      </c>
      <c r="J113" s="53" t="n">
        <v>47</v>
      </c>
      <c r="K113" s="53" t="str">
        <f aca="false">D113&amp;"|"&amp;COUNTIF($D$2:D113,D113)</f>
        <v>Mohamed Kelany|13</v>
      </c>
    </row>
    <row r="114" customFormat="false" ht="15" hidden="false" customHeight="false" outlineLevel="0" collapsed="false">
      <c r="A114" s="53" t="s">
        <v>6613</v>
      </c>
      <c r="B114" s="53" t="s">
        <v>6614</v>
      </c>
      <c r="C114" s="53" t="s">
        <v>6615</v>
      </c>
      <c r="D114" s="53" t="s">
        <v>53</v>
      </c>
      <c r="E114" s="53" t="s">
        <v>47</v>
      </c>
      <c r="F114" s="53" t="s">
        <v>3708</v>
      </c>
      <c r="G114" s="53" t="s">
        <v>6592</v>
      </c>
      <c r="H114" s="53" t="s">
        <v>209</v>
      </c>
      <c r="I114" s="54" t="n">
        <v>46259</v>
      </c>
      <c r="J114" s="53" t="n">
        <v>43</v>
      </c>
      <c r="K114" s="53" t="str">
        <f aca="false">D114&amp;"|"&amp;COUNTIF($D$2:D114,D114)</f>
        <v>Mohamed Kelany|14</v>
      </c>
    </row>
    <row r="115" customFormat="false" ht="15" hidden="false" customHeight="false" outlineLevel="0" collapsed="false">
      <c r="A115" s="53" t="s">
        <v>4817</v>
      </c>
      <c r="B115" s="53" t="s">
        <v>4818</v>
      </c>
      <c r="C115" s="53" t="s">
        <v>6616</v>
      </c>
      <c r="D115" s="53" t="s">
        <v>53</v>
      </c>
      <c r="E115" s="53" t="s">
        <v>47</v>
      </c>
      <c r="F115" s="53" t="s">
        <v>3708</v>
      </c>
      <c r="G115" s="53" t="s">
        <v>6592</v>
      </c>
      <c r="H115" s="53" t="s">
        <v>209</v>
      </c>
      <c r="I115" s="54" t="n">
        <v>46255</v>
      </c>
      <c r="J115" s="53" t="n">
        <v>47</v>
      </c>
      <c r="K115" s="53" t="str">
        <f aca="false">D115&amp;"|"&amp;COUNTIF($D$2:D115,D115)</f>
        <v>Mohamed Kelany|15</v>
      </c>
    </row>
    <row r="116" customFormat="false" ht="15" hidden="false" customHeight="false" outlineLevel="0" collapsed="false">
      <c r="A116" s="53" t="s">
        <v>6617</v>
      </c>
      <c r="B116" s="53" t="s">
        <v>6618</v>
      </c>
      <c r="C116" s="53" t="s">
        <v>6619</v>
      </c>
      <c r="D116" s="53" t="s">
        <v>53</v>
      </c>
      <c r="E116" s="53" t="s">
        <v>47</v>
      </c>
      <c r="F116" s="53" t="s">
        <v>3708</v>
      </c>
      <c r="G116" s="53" t="s">
        <v>6592</v>
      </c>
      <c r="H116" s="53" t="s">
        <v>209</v>
      </c>
      <c r="I116" s="54" t="n">
        <v>46255</v>
      </c>
      <c r="J116" s="53" t="n">
        <v>47</v>
      </c>
      <c r="K116" s="53" t="str">
        <f aca="false">D116&amp;"|"&amp;COUNTIF($D$2:D116,D116)</f>
        <v>Mohamed Kelany|16</v>
      </c>
    </row>
    <row r="117" customFormat="false" ht="15" hidden="false" customHeight="false" outlineLevel="0" collapsed="false">
      <c r="A117" s="53" t="s">
        <v>6620</v>
      </c>
      <c r="B117" s="53" t="s">
        <v>6621</v>
      </c>
      <c r="C117" s="53" t="s">
        <v>6622</v>
      </c>
      <c r="D117" s="53" t="s">
        <v>53</v>
      </c>
      <c r="E117" s="53" t="s">
        <v>47</v>
      </c>
      <c r="F117" s="53" t="s">
        <v>3708</v>
      </c>
      <c r="G117" s="53" t="s">
        <v>6592</v>
      </c>
      <c r="H117" s="53" t="s">
        <v>209</v>
      </c>
      <c r="I117" s="54" t="n">
        <v>46255</v>
      </c>
      <c r="J117" s="53" t="n">
        <v>47</v>
      </c>
      <c r="K117" s="53" t="str">
        <f aca="false">D117&amp;"|"&amp;COUNTIF($D$2:D117,D117)</f>
        <v>Mohamed Kelany|17</v>
      </c>
    </row>
    <row r="118" customFormat="false" ht="15" hidden="false" customHeight="false" outlineLevel="0" collapsed="false">
      <c r="A118" s="53" t="s">
        <v>6623</v>
      </c>
      <c r="B118" s="53" t="s">
        <v>6624</v>
      </c>
      <c r="C118" s="53" t="s">
        <v>6625</v>
      </c>
      <c r="D118" s="53" t="s">
        <v>53</v>
      </c>
      <c r="E118" s="53" t="s">
        <v>47</v>
      </c>
      <c r="F118" s="53" t="s">
        <v>3708</v>
      </c>
      <c r="G118" s="53" t="s">
        <v>6592</v>
      </c>
      <c r="H118" s="53" t="s">
        <v>209</v>
      </c>
      <c r="I118" s="54" t="n">
        <v>46255</v>
      </c>
      <c r="J118" s="53" t="n">
        <v>47</v>
      </c>
      <c r="K118" s="53" t="str">
        <f aca="false">D118&amp;"|"&amp;COUNTIF($D$2:D118,D118)</f>
        <v>Mohamed Kelany|18</v>
      </c>
    </row>
    <row r="119" customFormat="false" ht="15" hidden="false" customHeight="false" outlineLevel="0" collapsed="false">
      <c r="A119" s="53" t="s">
        <v>6626</v>
      </c>
      <c r="B119" s="53" t="s">
        <v>6627</v>
      </c>
      <c r="C119" s="53" t="s">
        <v>6628</v>
      </c>
      <c r="D119" s="53" t="s">
        <v>54</v>
      </c>
      <c r="E119" s="53" t="s">
        <v>49</v>
      </c>
      <c r="F119" s="53" t="s">
        <v>3708</v>
      </c>
      <c r="G119" s="53" t="s">
        <v>6524</v>
      </c>
      <c r="H119" s="53" t="s">
        <v>209</v>
      </c>
      <c r="I119" s="54" t="n">
        <v>46253</v>
      </c>
      <c r="J119" s="53" t="n">
        <v>49</v>
      </c>
      <c r="K119" s="53" t="str">
        <f aca="false">D119&amp;"|"&amp;COUNTIF($D$2:D119,D119)</f>
        <v>Mostafa Mokhtar|1</v>
      </c>
    </row>
    <row r="120" customFormat="false" ht="15" hidden="false" customHeight="false" outlineLevel="0" collapsed="false">
      <c r="A120" s="53" t="s">
        <v>6629</v>
      </c>
      <c r="B120" s="53" t="s">
        <v>6630</v>
      </c>
      <c r="C120" s="53" t="s">
        <v>6631</v>
      </c>
      <c r="D120" s="53" t="s">
        <v>54</v>
      </c>
      <c r="E120" s="53" t="s">
        <v>49</v>
      </c>
      <c r="F120" s="53" t="s">
        <v>3708</v>
      </c>
      <c r="G120" s="53" t="s">
        <v>6524</v>
      </c>
      <c r="H120" s="53" t="s">
        <v>209</v>
      </c>
      <c r="I120" s="54" t="n">
        <v>46253</v>
      </c>
      <c r="J120" s="53" t="n">
        <v>49</v>
      </c>
      <c r="K120" s="53" t="str">
        <f aca="false">D120&amp;"|"&amp;COUNTIF($D$2:D120,D120)</f>
        <v>Mostafa Mokhtar|2</v>
      </c>
    </row>
    <row r="121" customFormat="false" ht="15" hidden="false" customHeight="false" outlineLevel="0" collapsed="false">
      <c r="A121" s="53" t="s">
        <v>6632</v>
      </c>
      <c r="B121" s="53" t="s">
        <v>6633</v>
      </c>
      <c r="C121" s="53" t="s">
        <v>6634</v>
      </c>
      <c r="D121" s="53" t="s">
        <v>54</v>
      </c>
      <c r="E121" s="53" t="s">
        <v>49</v>
      </c>
      <c r="F121" s="53" t="s">
        <v>3708</v>
      </c>
      <c r="G121" s="53" t="s">
        <v>6524</v>
      </c>
      <c r="H121" s="53" t="s">
        <v>209</v>
      </c>
      <c r="I121" s="54" t="n">
        <v>46253</v>
      </c>
      <c r="J121" s="53" t="n">
        <v>49</v>
      </c>
      <c r="K121" s="53" t="str">
        <f aca="false">D121&amp;"|"&amp;COUNTIF($D$2:D121,D121)</f>
        <v>Mostafa Mokhtar|3</v>
      </c>
    </row>
    <row r="122" customFormat="false" ht="15" hidden="false" customHeight="false" outlineLevel="0" collapsed="false">
      <c r="A122" s="53" t="s">
        <v>6408</v>
      </c>
      <c r="B122" s="53" t="s">
        <v>6409</v>
      </c>
      <c r="C122" s="53" t="s">
        <v>6635</v>
      </c>
      <c r="D122" s="53" t="s">
        <v>54</v>
      </c>
      <c r="E122" s="53" t="s">
        <v>49</v>
      </c>
      <c r="F122" s="53" t="s">
        <v>3708</v>
      </c>
      <c r="G122" s="53" t="s">
        <v>6524</v>
      </c>
      <c r="H122" s="53" t="s">
        <v>209</v>
      </c>
      <c r="I122" s="54" t="n">
        <v>46260</v>
      </c>
      <c r="J122" s="53" t="n">
        <v>42</v>
      </c>
      <c r="K122" s="53" t="str">
        <f aca="false">D122&amp;"|"&amp;COUNTIF($D$2:D122,D122)</f>
        <v>Mostafa Mokhtar|4</v>
      </c>
    </row>
    <row r="123" customFormat="false" ht="15" hidden="false" customHeight="false" outlineLevel="0" collapsed="false">
      <c r="A123" s="53" t="s">
        <v>6636</v>
      </c>
      <c r="B123" s="53" t="s">
        <v>6637</v>
      </c>
      <c r="C123" s="53" t="s">
        <v>6638</v>
      </c>
      <c r="D123" s="53" t="s">
        <v>54</v>
      </c>
      <c r="E123" s="53" t="s">
        <v>49</v>
      </c>
      <c r="F123" s="53" t="s">
        <v>3708</v>
      </c>
      <c r="G123" s="53" t="s">
        <v>6524</v>
      </c>
      <c r="H123" s="53" t="s">
        <v>209</v>
      </c>
      <c r="I123" s="54" t="n">
        <v>46253</v>
      </c>
      <c r="J123" s="53" t="n">
        <v>49</v>
      </c>
      <c r="K123" s="53" t="str">
        <f aca="false">D123&amp;"|"&amp;COUNTIF($D$2:D123,D123)</f>
        <v>Mostafa Mokhtar|5</v>
      </c>
    </row>
    <row r="124" customFormat="false" ht="15" hidden="false" customHeight="false" outlineLevel="0" collapsed="false">
      <c r="A124" s="53" t="s">
        <v>6639</v>
      </c>
      <c r="B124" s="53" t="s">
        <v>6640</v>
      </c>
      <c r="C124" s="53" t="s">
        <v>6641</v>
      </c>
      <c r="D124" s="53" t="s">
        <v>54</v>
      </c>
      <c r="E124" s="53" t="s">
        <v>49</v>
      </c>
      <c r="F124" s="53" t="s">
        <v>3708</v>
      </c>
      <c r="G124" s="53" t="s">
        <v>6524</v>
      </c>
      <c r="H124" s="53" t="s">
        <v>209</v>
      </c>
      <c r="I124" s="54" t="n">
        <v>46253</v>
      </c>
      <c r="J124" s="53" t="n">
        <v>49</v>
      </c>
      <c r="K124" s="53" t="str">
        <f aca="false">D124&amp;"|"&amp;COUNTIF($D$2:D124,D124)</f>
        <v>Mostafa Mokhtar|6</v>
      </c>
    </row>
    <row r="125" customFormat="false" ht="15" hidden="false" customHeight="false" outlineLevel="0" collapsed="false">
      <c r="A125" s="53" t="s">
        <v>6642</v>
      </c>
      <c r="B125" s="53" t="s">
        <v>6643</v>
      </c>
      <c r="C125" s="53" t="s">
        <v>6644</v>
      </c>
      <c r="D125" s="53" t="s">
        <v>54</v>
      </c>
      <c r="E125" s="53" t="s">
        <v>49</v>
      </c>
      <c r="F125" s="53" t="s">
        <v>3708</v>
      </c>
      <c r="G125" s="53" t="s">
        <v>6524</v>
      </c>
      <c r="H125" s="53" t="s">
        <v>209</v>
      </c>
      <c r="I125" s="54" t="n">
        <v>46253</v>
      </c>
      <c r="J125" s="53" t="n">
        <v>49</v>
      </c>
      <c r="K125" s="53" t="str">
        <f aca="false">D125&amp;"|"&amp;COUNTIF($D$2:D125,D125)</f>
        <v>Mostafa Mokhtar|7</v>
      </c>
    </row>
    <row r="126" customFormat="false" ht="15" hidden="false" customHeight="false" outlineLevel="0" collapsed="false">
      <c r="A126" s="53" t="s">
        <v>6645</v>
      </c>
      <c r="B126" s="53" t="s">
        <v>6646</v>
      </c>
      <c r="C126" s="53" t="s">
        <v>6647</v>
      </c>
      <c r="D126" s="53" t="s">
        <v>54</v>
      </c>
      <c r="E126" s="53" t="s">
        <v>49</v>
      </c>
      <c r="F126" s="53" t="s">
        <v>3708</v>
      </c>
      <c r="G126" s="53" t="s">
        <v>6524</v>
      </c>
      <c r="H126" s="53" t="s">
        <v>209</v>
      </c>
      <c r="I126" s="54" t="n">
        <v>46253</v>
      </c>
      <c r="J126" s="53" t="n">
        <v>49</v>
      </c>
      <c r="K126" s="53" t="str">
        <f aca="false">D126&amp;"|"&amp;COUNTIF($D$2:D126,D126)</f>
        <v>Mostafa Mokhtar|8</v>
      </c>
    </row>
    <row r="127" customFormat="false" ht="15" hidden="false" customHeight="false" outlineLevel="0" collapsed="false">
      <c r="A127" s="53" t="s">
        <v>6648</v>
      </c>
      <c r="B127" s="53" t="s">
        <v>6649</v>
      </c>
      <c r="C127" s="53" t="s">
        <v>6650</v>
      </c>
      <c r="D127" s="53" t="s">
        <v>54</v>
      </c>
      <c r="E127" s="53" t="s">
        <v>49</v>
      </c>
      <c r="F127" s="53" t="s">
        <v>3708</v>
      </c>
      <c r="G127" s="53" t="s">
        <v>6524</v>
      </c>
      <c r="H127" s="53" t="s">
        <v>209</v>
      </c>
      <c r="I127" s="54" t="n">
        <v>46253</v>
      </c>
      <c r="J127" s="53" t="n">
        <v>49</v>
      </c>
      <c r="K127" s="53" t="str">
        <f aca="false">D127&amp;"|"&amp;COUNTIF($D$2:D127,D127)</f>
        <v>Mostafa Mokhtar|9</v>
      </c>
    </row>
    <row r="128" customFormat="false" ht="15" hidden="false" customHeight="false" outlineLevel="0" collapsed="false">
      <c r="A128" s="53" t="s">
        <v>6273</v>
      </c>
      <c r="B128" s="53" t="s">
        <v>6274</v>
      </c>
      <c r="C128" s="53" t="s">
        <v>6651</v>
      </c>
      <c r="D128" s="53" t="s">
        <v>54</v>
      </c>
      <c r="E128" s="53" t="s">
        <v>49</v>
      </c>
      <c r="F128" s="53" t="s">
        <v>3708</v>
      </c>
      <c r="G128" s="53" t="s">
        <v>6524</v>
      </c>
      <c r="H128" s="53" t="s">
        <v>209</v>
      </c>
      <c r="I128" s="54" t="n">
        <v>46253</v>
      </c>
      <c r="J128" s="53" t="n">
        <v>49</v>
      </c>
      <c r="K128" s="53" t="str">
        <f aca="false">D128&amp;"|"&amp;COUNTIF($D$2:D128,D128)</f>
        <v>Mostafa Mokhtar|10</v>
      </c>
    </row>
    <row r="129" customFormat="false" ht="15" hidden="false" customHeight="false" outlineLevel="0" collapsed="false">
      <c r="A129" s="53" t="s">
        <v>6652</v>
      </c>
      <c r="B129" s="53" t="s">
        <v>6653</v>
      </c>
      <c r="C129" s="53" t="s">
        <v>6654</v>
      </c>
      <c r="D129" s="53" t="s">
        <v>54</v>
      </c>
      <c r="E129" s="53" t="s">
        <v>49</v>
      </c>
      <c r="F129" s="53" t="s">
        <v>3708</v>
      </c>
      <c r="G129" s="53" t="s">
        <v>6524</v>
      </c>
      <c r="H129" s="53" t="s">
        <v>209</v>
      </c>
      <c r="I129" s="54" t="n">
        <v>46253</v>
      </c>
      <c r="J129" s="53" t="n">
        <v>49</v>
      </c>
      <c r="K129" s="53" t="str">
        <f aca="false">D129&amp;"|"&amp;COUNTIF($D$2:D129,D129)</f>
        <v>Mostafa Mokhtar|11</v>
      </c>
    </row>
    <row r="130" customFormat="false" ht="15" hidden="false" customHeight="false" outlineLevel="0" collapsed="false">
      <c r="A130" s="53" t="s">
        <v>6655</v>
      </c>
      <c r="B130" s="53" t="s">
        <v>6656</v>
      </c>
      <c r="C130" s="53" t="s">
        <v>6657</v>
      </c>
      <c r="D130" s="53" t="s">
        <v>54</v>
      </c>
      <c r="E130" s="53" t="s">
        <v>49</v>
      </c>
      <c r="F130" s="53" t="s">
        <v>3708</v>
      </c>
      <c r="G130" s="53" t="s">
        <v>6524</v>
      </c>
      <c r="H130" s="53" t="s">
        <v>209</v>
      </c>
      <c r="I130" s="54" t="n">
        <v>46253</v>
      </c>
      <c r="J130" s="53" t="n">
        <v>49</v>
      </c>
      <c r="K130" s="53" t="str">
        <f aca="false">D130&amp;"|"&amp;COUNTIF($D$2:D130,D130)</f>
        <v>Mostafa Mokhtar|12</v>
      </c>
    </row>
    <row r="131" customFormat="false" ht="15" hidden="false" customHeight="false" outlineLevel="0" collapsed="false">
      <c r="A131" s="53" t="s">
        <v>6658</v>
      </c>
      <c r="B131" s="53" t="s">
        <v>6659</v>
      </c>
      <c r="C131" s="53" t="s">
        <v>6660</v>
      </c>
      <c r="D131" s="53" t="s">
        <v>54</v>
      </c>
      <c r="E131" s="53" t="s">
        <v>49</v>
      </c>
      <c r="F131" s="53" t="s">
        <v>3708</v>
      </c>
      <c r="G131" s="53" t="s">
        <v>6524</v>
      </c>
      <c r="H131" s="53" t="s">
        <v>209</v>
      </c>
      <c r="I131" s="54" t="n">
        <v>46253</v>
      </c>
      <c r="J131" s="53" t="n">
        <v>49</v>
      </c>
      <c r="K131" s="53" t="str">
        <f aca="false">D131&amp;"|"&amp;COUNTIF($D$2:D131,D131)</f>
        <v>Mostafa Mokhtar|13</v>
      </c>
    </row>
    <row r="132" customFormat="false" ht="15" hidden="false" customHeight="false" outlineLevel="0" collapsed="false">
      <c r="A132" s="53" t="s">
        <v>6661</v>
      </c>
      <c r="B132" s="53" t="s">
        <v>6662</v>
      </c>
      <c r="C132" s="53" t="s">
        <v>6663</v>
      </c>
      <c r="D132" s="53" t="s">
        <v>54</v>
      </c>
      <c r="E132" s="53" t="s">
        <v>49</v>
      </c>
      <c r="F132" s="53" t="s">
        <v>3708</v>
      </c>
      <c r="G132" s="53" t="s">
        <v>6524</v>
      </c>
      <c r="H132" s="53" t="s">
        <v>209</v>
      </c>
      <c r="I132" s="54" t="n">
        <v>46253</v>
      </c>
      <c r="J132" s="53" t="n">
        <v>49</v>
      </c>
      <c r="K132" s="53" t="str">
        <f aca="false">D132&amp;"|"&amp;COUNTIF($D$2:D132,D132)</f>
        <v>Mostafa Mokhtar|14</v>
      </c>
    </row>
    <row r="133" customFormat="false" ht="15" hidden="false" customHeight="false" outlineLevel="0" collapsed="false">
      <c r="A133" s="53" t="s">
        <v>6664</v>
      </c>
      <c r="B133" s="53" t="s">
        <v>6665</v>
      </c>
      <c r="C133" s="53" t="s">
        <v>6666</v>
      </c>
      <c r="D133" s="53" t="s">
        <v>54</v>
      </c>
      <c r="E133" s="53" t="s">
        <v>49</v>
      </c>
      <c r="F133" s="53" t="s">
        <v>3708</v>
      </c>
      <c r="G133" s="53" t="s">
        <v>6524</v>
      </c>
      <c r="H133" s="53" t="s">
        <v>209</v>
      </c>
      <c r="I133" s="54" t="n">
        <v>46253</v>
      </c>
      <c r="J133" s="53" t="n">
        <v>49</v>
      </c>
      <c r="K133" s="53" t="str">
        <f aca="false">D133&amp;"|"&amp;COUNTIF($D$2:D133,D133)</f>
        <v>Mostafa Mokhtar|15</v>
      </c>
    </row>
    <row r="134" customFormat="false" ht="15" hidden="false" customHeight="false" outlineLevel="0" collapsed="false">
      <c r="A134" s="53" t="s">
        <v>6115</v>
      </c>
      <c r="B134" s="53" t="s">
        <v>6116</v>
      </c>
      <c r="C134" s="53" t="s">
        <v>6667</v>
      </c>
      <c r="D134" s="53" t="s">
        <v>54</v>
      </c>
      <c r="E134" s="53" t="s">
        <v>49</v>
      </c>
      <c r="F134" s="53" t="s">
        <v>3708</v>
      </c>
      <c r="G134" s="53" t="s">
        <v>6524</v>
      </c>
      <c r="H134" s="53" t="s">
        <v>209</v>
      </c>
      <c r="I134" s="54" t="n">
        <v>46253</v>
      </c>
      <c r="J134" s="53" t="n">
        <v>49</v>
      </c>
      <c r="K134" s="53" t="str">
        <f aca="false">D134&amp;"|"&amp;COUNTIF($D$2:D134,D134)</f>
        <v>Mostafa Mokhtar|16</v>
      </c>
    </row>
    <row r="135" customFormat="false" ht="15" hidden="false" customHeight="false" outlineLevel="0" collapsed="false">
      <c r="A135" s="53" t="s">
        <v>6119</v>
      </c>
      <c r="B135" s="53" t="s">
        <v>6120</v>
      </c>
      <c r="C135" s="53" t="s">
        <v>6668</v>
      </c>
      <c r="D135" s="53" t="s">
        <v>54</v>
      </c>
      <c r="E135" s="53" t="s">
        <v>49</v>
      </c>
      <c r="F135" s="53" t="s">
        <v>3708</v>
      </c>
      <c r="G135" s="53" t="s">
        <v>6524</v>
      </c>
      <c r="H135" s="53" t="s">
        <v>209</v>
      </c>
      <c r="I135" s="54" t="n">
        <v>46253</v>
      </c>
      <c r="J135" s="53" t="n">
        <v>49</v>
      </c>
      <c r="K135" s="53" t="str">
        <f aca="false">D135&amp;"|"&amp;COUNTIF($D$2:D135,D135)</f>
        <v>Mostafa Mokhtar|17</v>
      </c>
    </row>
    <row r="136" customFormat="false" ht="15" hidden="false" customHeight="false" outlineLevel="0" collapsed="false">
      <c r="A136" s="53" t="s">
        <v>6354</v>
      </c>
      <c r="B136" s="53" t="s">
        <v>6355</v>
      </c>
      <c r="C136" s="53" t="s">
        <v>6669</v>
      </c>
      <c r="D136" s="53" t="s">
        <v>54</v>
      </c>
      <c r="E136" s="53" t="s">
        <v>49</v>
      </c>
      <c r="F136" s="53" t="s">
        <v>3708</v>
      </c>
      <c r="G136" s="53" t="s">
        <v>6524</v>
      </c>
      <c r="H136" s="53" t="s">
        <v>209</v>
      </c>
      <c r="I136" s="54" t="n">
        <v>46253</v>
      </c>
      <c r="J136" s="53" t="n">
        <v>49</v>
      </c>
      <c r="K136" s="53" t="str">
        <f aca="false">D136&amp;"|"&amp;COUNTIF($D$2:D136,D136)</f>
        <v>Mostafa Mokhtar|18</v>
      </c>
    </row>
    <row r="137" customFormat="false" ht="15" hidden="false" customHeight="false" outlineLevel="0" collapsed="false">
      <c r="A137" s="53" t="s">
        <v>6670</v>
      </c>
      <c r="B137" s="53" t="s">
        <v>6671</v>
      </c>
      <c r="C137" s="53" t="s">
        <v>6672</v>
      </c>
      <c r="D137" s="53" t="s">
        <v>54</v>
      </c>
      <c r="E137" s="53" t="s">
        <v>49</v>
      </c>
      <c r="F137" s="53" t="s">
        <v>3708</v>
      </c>
      <c r="G137" s="53" t="s">
        <v>6524</v>
      </c>
      <c r="H137" s="53" t="s">
        <v>209</v>
      </c>
      <c r="I137" s="54" t="n">
        <v>46253</v>
      </c>
      <c r="J137" s="53" t="n">
        <v>49</v>
      </c>
      <c r="K137" s="53" t="str">
        <f aca="false">D137&amp;"|"&amp;COUNTIF($D$2:D137,D137)</f>
        <v>Mostafa Mokhtar|19</v>
      </c>
    </row>
    <row r="138" customFormat="false" ht="15" hidden="false" customHeight="false" outlineLevel="0" collapsed="false">
      <c r="A138" s="53" t="s">
        <v>5250</v>
      </c>
      <c r="B138" s="53" t="s">
        <v>5251</v>
      </c>
      <c r="C138" s="53" t="s">
        <v>6673</v>
      </c>
      <c r="D138" s="53" t="s">
        <v>55</v>
      </c>
      <c r="E138" s="53" t="s">
        <v>49</v>
      </c>
      <c r="F138" s="53" t="s">
        <v>3708</v>
      </c>
      <c r="G138" s="53" t="s">
        <v>6674</v>
      </c>
      <c r="H138" s="53" t="s">
        <v>209</v>
      </c>
      <c r="I138" s="54" t="n">
        <v>46246</v>
      </c>
      <c r="J138" s="53" t="n">
        <v>56</v>
      </c>
      <c r="K138" s="53" t="str">
        <f aca="false">D138&amp;"|"&amp;COUNTIF($D$2:D138,D138)</f>
        <v>Omar Mansour|1</v>
      </c>
    </row>
    <row r="139" customFormat="false" ht="15" hidden="false" customHeight="false" outlineLevel="0" collapsed="false">
      <c r="A139" s="53" t="s">
        <v>5241</v>
      </c>
      <c r="B139" s="53" t="s">
        <v>5242</v>
      </c>
      <c r="C139" s="53" t="s">
        <v>6675</v>
      </c>
      <c r="D139" s="53" t="s">
        <v>55</v>
      </c>
      <c r="E139" s="53" t="s">
        <v>49</v>
      </c>
      <c r="F139" s="53" t="s">
        <v>3708</v>
      </c>
      <c r="G139" s="53" t="s">
        <v>6674</v>
      </c>
      <c r="H139" s="53" t="s">
        <v>209</v>
      </c>
      <c r="I139" s="54" t="n">
        <v>46246</v>
      </c>
      <c r="J139" s="53" t="n">
        <v>56</v>
      </c>
      <c r="K139" s="53" t="str">
        <f aca="false">D139&amp;"|"&amp;COUNTIF($D$2:D139,D139)</f>
        <v>Omar Mansour|2</v>
      </c>
    </row>
    <row r="140" customFormat="false" ht="15" hidden="false" customHeight="false" outlineLevel="0" collapsed="false">
      <c r="A140" s="53" t="s">
        <v>3714</v>
      </c>
      <c r="B140" s="53" t="s">
        <v>3715</v>
      </c>
      <c r="C140" s="53" t="s">
        <v>6676</v>
      </c>
      <c r="D140" s="53" t="s">
        <v>55</v>
      </c>
      <c r="E140" s="53" t="s">
        <v>49</v>
      </c>
      <c r="F140" s="53" t="s">
        <v>3708</v>
      </c>
      <c r="G140" s="53" t="s">
        <v>6674</v>
      </c>
      <c r="H140" s="53" t="s">
        <v>209</v>
      </c>
      <c r="I140" s="54" t="n">
        <v>46246</v>
      </c>
      <c r="J140" s="53" t="n">
        <v>56</v>
      </c>
      <c r="K140" s="53" t="str">
        <f aca="false">D140&amp;"|"&amp;COUNTIF($D$2:D140,D140)</f>
        <v>Omar Mansour|3</v>
      </c>
    </row>
    <row r="141" customFormat="false" ht="15" hidden="false" customHeight="false" outlineLevel="0" collapsed="false">
      <c r="A141" s="53" t="s">
        <v>5246</v>
      </c>
      <c r="B141" s="53" t="s">
        <v>5247</v>
      </c>
      <c r="C141" s="53" t="s">
        <v>6677</v>
      </c>
      <c r="D141" s="53" t="s">
        <v>55</v>
      </c>
      <c r="E141" s="53" t="s">
        <v>49</v>
      </c>
      <c r="F141" s="53" t="s">
        <v>3708</v>
      </c>
      <c r="G141" s="53" t="s">
        <v>6674</v>
      </c>
      <c r="H141" s="53" t="s">
        <v>209</v>
      </c>
      <c r="I141" s="54" t="n">
        <v>46246</v>
      </c>
      <c r="J141" s="53" t="n">
        <v>56</v>
      </c>
      <c r="K141" s="53" t="str">
        <f aca="false">D141&amp;"|"&amp;COUNTIF($D$2:D141,D141)</f>
        <v>Omar Mansour|4</v>
      </c>
    </row>
    <row r="142" customFormat="false" ht="15" hidden="false" customHeight="false" outlineLevel="0" collapsed="false">
      <c r="A142" s="53" t="s">
        <v>5333</v>
      </c>
      <c r="B142" s="53" t="s">
        <v>5334</v>
      </c>
      <c r="C142" s="53" t="s">
        <v>6678</v>
      </c>
      <c r="D142" s="53" t="s">
        <v>55</v>
      </c>
      <c r="E142" s="53" t="s">
        <v>49</v>
      </c>
      <c r="F142" s="53" t="s">
        <v>3708</v>
      </c>
      <c r="G142" s="53" t="s">
        <v>6674</v>
      </c>
      <c r="H142" s="53" t="s">
        <v>209</v>
      </c>
      <c r="I142" s="54" t="n">
        <v>46246</v>
      </c>
      <c r="J142" s="53" t="n">
        <v>56</v>
      </c>
      <c r="K142" s="53" t="str">
        <f aca="false">D142&amp;"|"&amp;COUNTIF($D$2:D142,D142)</f>
        <v>Omar Mansour|5</v>
      </c>
    </row>
    <row r="143" customFormat="false" ht="15" hidden="false" customHeight="false" outlineLevel="0" collapsed="false">
      <c r="A143" s="53" t="s">
        <v>2722</v>
      </c>
      <c r="B143" s="53" t="s">
        <v>2723</v>
      </c>
      <c r="C143" s="53" t="s">
        <v>6679</v>
      </c>
      <c r="D143" s="53" t="s">
        <v>55</v>
      </c>
      <c r="E143" s="53" t="s">
        <v>49</v>
      </c>
      <c r="F143" s="53" t="s">
        <v>146</v>
      </c>
      <c r="G143" s="53" t="s">
        <v>6500</v>
      </c>
      <c r="H143" s="53" t="s">
        <v>209</v>
      </c>
      <c r="I143" s="54" t="n">
        <v>46265</v>
      </c>
      <c r="J143" s="53" t="n">
        <v>37</v>
      </c>
      <c r="K143" s="53" t="str">
        <f aca="false">D143&amp;"|"&amp;COUNTIF($D$2:D143,D143)</f>
        <v>Omar Mansour|6</v>
      </c>
    </row>
    <row r="144" customFormat="false" ht="15" hidden="false" customHeight="false" outlineLevel="0" collapsed="false">
      <c r="A144" s="53" t="s">
        <v>5992</v>
      </c>
      <c r="B144" s="53" t="s">
        <v>5993</v>
      </c>
      <c r="C144" s="53" t="s">
        <v>6680</v>
      </c>
      <c r="D144" s="53" t="s">
        <v>55</v>
      </c>
      <c r="E144" s="53" t="s">
        <v>49</v>
      </c>
      <c r="F144" s="53" t="s">
        <v>3708</v>
      </c>
      <c r="G144" s="53" t="s">
        <v>6674</v>
      </c>
      <c r="H144" s="53" t="s">
        <v>209</v>
      </c>
      <c r="I144" s="54" t="n">
        <v>46248</v>
      </c>
      <c r="J144" s="53" t="n">
        <v>54</v>
      </c>
      <c r="K144" s="53" t="str">
        <f aca="false">D144&amp;"|"&amp;COUNTIF($D$2:D144,D144)</f>
        <v>Omar Mansour|7</v>
      </c>
    </row>
    <row r="145" customFormat="false" ht="15" hidden="false" customHeight="false" outlineLevel="0" collapsed="false">
      <c r="A145" s="53" t="s">
        <v>6306</v>
      </c>
      <c r="B145" s="53" t="s">
        <v>6307</v>
      </c>
      <c r="C145" s="53" t="s">
        <v>6681</v>
      </c>
      <c r="D145" s="53" t="s">
        <v>55</v>
      </c>
      <c r="E145" s="53" t="s">
        <v>49</v>
      </c>
      <c r="F145" s="53" t="s">
        <v>3708</v>
      </c>
      <c r="G145" s="53" t="s">
        <v>6674</v>
      </c>
      <c r="H145" s="53" t="s">
        <v>209</v>
      </c>
      <c r="I145" s="54" t="n">
        <v>46246</v>
      </c>
      <c r="J145" s="53" t="n">
        <v>56</v>
      </c>
      <c r="K145" s="53" t="str">
        <f aca="false">D145&amp;"|"&amp;COUNTIF($D$2:D145,D145)</f>
        <v>Omar Mansour|8</v>
      </c>
    </row>
    <row r="146" customFormat="false" ht="15" hidden="false" customHeight="false" outlineLevel="0" collapsed="false">
      <c r="A146" s="53" t="s">
        <v>3756</v>
      </c>
      <c r="B146" s="53" t="s">
        <v>3757</v>
      </c>
      <c r="C146" s="53" t="s">
        <v>6682</v>
      </c>
      <c r="D146" s="53" t="s">
        <v>55</v>
      </c>
      <c r="E146" s="53" t="s">
        <v>49</v>
      </c>
      <c r="F146" s="53" t="s">
        <v>3708</v>
      </c>
      <c r="G146" s="53" t="s">
        <v>6674</v>
      </c>
      <c r="H146" s="53" t="s">
        <v>209</v>
      </c>
      <c r="I146" s="54" t="n">
        <v>46246</v>
      </c>
      <c r="J146" s="53" t="n">
        <v>56</v>
      </c>
      <c r="K146" s="53" t="str">
        <f aca="false">D146&amp;"|"&amp;COUNTIF($D$2:D146,D146)</f>
        <v>Omar Mansour|9</v>
      </c>
    </row>
    <row r="147" customFormat="false" ht="15" hidden="false" customHeight="false" outlineLevel="0" collapsed="false">
      <c r="A147" s="53" t="s">
        <v>3789</v>
      </c>
      <c r="B147" s="53" t="s">
        <v>3790</v>
      </c>
      <c r="C147" s="53" t="s">
        <v>6683</v>
      </c>
      <c r="D147" s="53" t="s">
        <v>55</v>
      </c>
      <c r="E147" s="53" t="s">
        <v>49</v>
      </c>
      <c r="F147" s="53" t="s">
        <v>3708</v>
      </c>
      <c r="G147" s="53" t="s">
        <v>6674</v>
      </c>
      <c r="H147" s="53" t="s">
        <v>209</v>
      </c>
      <c r="I147" s="54" t="n">
        <v>46246</v>
      </c>
      <c r="J147" s="53" t="n">
        <v>56</v>
      </c>
      <c r="K147" s="53" t="str">
        <f aca="false">D147&amp;"|"&amp;COUNTIF($D$2:D147,D147)</f>
        <v>Omar Mansour|10</v>
      </c>
    </row>
    <row r="148" customFormat="false" ht="15" hidden="false" customHeight="false" outlineLevel="0" collapsed="false">
      <c r="A148" s="53" t="s">
        <v>6684</v>
      </c>
      <c r="B148" s="53" t="s">
        <v>6685</v>
      </c>
      <c r="C148" s="53" t="s">
        <v>6686</v>
      </c>
      <c r="D148" s="53" t="s">
        <v>55</v>
      </c>
      <c r="E148" s="53" t="s">
        <v>49</v>
      </c>
      <c r="F148" s="53" t="s">
        <v>3708</v>
      </c>
      <c r="G148" s="53" t="s">
        <v>6674</v>
      </c>
      <c r="H148" s="53" t="s">
        <v>209</v>
      </c>
      <c r="I148" s="54" t="n">
        <v>46246</v>
      </c>
      <c r="J148" s="53" t="n">
        <v>56</v>
      </c>
      <c r="K148" s="53" t="str">
        <f aca="false">D148&amp;"|"&amp;COUNTIF($D$2:D148,D148)</f>
        <v>Omar Mansour|11</v>
      </c>
    </row>
    <row r="149" customFormat="false" ht="15" hidden="false" customHeight="false" outlineLevel="0" collapsed="false">
      <c r="A149" s="53" t="s">
        <v>6687</v>
      </c>
      <c r="B149" s="53" t="s">
        <v>6688</v>
      </c>
      <c r="C149" s="53" t="s">
        <v>6689</v>
      </c>
      <c r="D149" s="53" t="s">
        <v>55</v>
      </c>
      <c r="E149" s="53" t="s">
        <v>49</v>
      </c>
      <c r="F149" s="53" t="s">
        <v>3708</v>
      </c>
      <c r="G149" s="53" t="s">
        <v>6674</v>
      </c>
      <c r="H149" s="53" t="s">
        <v>209</v>
      </c>
      <c r="I149" s="54" t="n">
        <v>46246</v>
      </c>
      <c r="J149" s="53" t="n">
        <v>56</v>
      </c>
      <c r="K149" s="53" t="str">
        <f aca="false">D149&amp;"|"&amp;COUNTIF($D$2:D149,D149)</f>
        <v>Omar Mansour|12</v>
      </c>
    </row>
    <row r="150" customFormat="false" ht="15" hidden="false" customHeight="false" outlineLevel="0" collapsed="false">
      <c r="A150" s="53" t="s">
        <v>3706</v>
      </c>
      <c r="B150" s="53" t="s">
        <v>3707</v>
      </c>
      <c r="C150" s="53" t="s">
        <v>6690</v>
      </c>
      <c r="D150" s="53" t="s">
        <v>55</v>
      </c>
      <c r="E150" s="53" t="s">
        <v>49</v>
      </c>
      <c r="F150" s="53" t="s">
        <v>3708</v>
      </c>
      <c r="G150" s="53" t="s">
        <v>6674</v>
      </c>
      <c r="H150" s="53" t="s">
        <v>209</v>
      </c>
      <c r="I150" s="54" t="n">
        <v>46246</v>
      </c>
      <c r="J150" s="53" t="n">
        <v>56</v>
      </c>
      <c r="K150" s="53" t="str">
        <f aca="false">D150&amp;"|"&amp;COUNTIF($D$2:D150,D150)</f>
        <v>Omar Mansour|13</v>
      </c>
    </row>
    <row r="151" customFormat="false" ht="15" hidden="false" customHeight="false" outlineLevel="0" collapsed="false">
      <c r="A151" s="53" t="s">
        <v>3792</v>
      </c>
      <c r="B151" s="53" t="s">
        <v>3793</v>
      </c>
      <c r="C151" s="53" t="s">
        <v>6691</v>
      </c>
      <c r="D151" s="53" t="s">
        <v>55</v>
      </c>
      <c r="E151" s="53" t="s">
        <v>49</v>
      </c>
      <c r="F151" s="53" t="s">
        <v>3708</v>
      </c>
      <c r="G151" s="53" t="s">
        <v>6674</v>
      </c>
      <c r="H151" s="53" t="s">
        <v>209</v>
      </c>
      <c r="I151" s="54" t="n">
        <v>46246</v>
      </c>
      <c r="J151" s="53" t="n">
        <v>56</v>
      </c>
      <c r="K151" s="53" t="str">
        <f aca="false">D151&amp;"|"&amp;COUNTIF($D$2:D151,D151)</f>
        <v>Omar Mansour|14</v>
      </c>
    </row>
    <row r="152" customFormat="false" ht="15" hidden="false" customHeight="false" outlineLevel="0" collapsed="false">
      <c r="A152" s="53" t="s">
        <v>6328</v>
      </c>
      <c r="B152" s="53" t="s">
        <v>6329</v>
      </c>
      <c r="C152" s="53" t="s">
        <v>6692</v>
      </c>
      <c r="D152" s="53" t="s">
        <v>55</v>
      </c>
      <c r="E152" s="53" t="s">
        <v>49</v>
      </c>
      <c r="F152" s="53" t="s">
        <v>3708</v>
      </c>
      <c r="G152" s="53" t="s">
        <v>6674</v>
      </c>
      <c r="H152" s="53" t="s">
        <v>209</v>
      </c>
      <c r="I152" s="54" t="n">
        <v>46246</v>
      </c>
      <c r="J152" s="53" t="n">
        <v>56</v>
      </c>
      <c r="K152" s="53" t="str">
        <f aca="false">D152&amp;"|"&amp;COUNTIF($D$2:D152,D152)</f>
        <v>Omar Mansour|15</v>
      </c>
    </row>
    <row r="153" customFormat="false" ht="15" hidden="false" customHeight="false" outlineLevel="0" collapsed="false">
      <c r="A153" s="53" t="s">
        <v>5270</v>
      </c>
      <c r="B153" s="53" t="s">
        <v>5271</v>
      </c>
      <c r="C153" s="53" t="s">
        <v>6693</v>
      </c>
      <c r="D153" s="53" t="s">
        <v>55</v>
      </c>
      <c r="E153" s="53" t="s">
        <v>49</v>
      </c>
      <c r="F153" s="53" t="s">
        <v>3708</v>
      </c>
      <c r="G153" s="53" t="s">
        <v>6674</v>
      </c>
      <c r="H153" s="53" t="s">
        <v>209</v>
      </c>
      <c r="I153" s="54" t="n">
        <v>46246</v>
      </c>
      <c r="J153" s="53" t="n">
        <v>56</v>
      </c>
      <c r="K153" s="53" t="str">
        <f aca="false">D153&amp;"|"&amp;COUNTIF($D$2:D153,D153)</f>
        <v>Omar Mansour|16</v>
      </c>
    </row>
    <row r="154" customFormat="false" ht="15" hidden="false" customHeight="false" outlineLevel="0" collapsed="false">
      <c r="A154" s="53" t="s">
        <v>5227</v>
      </c>
      <c r="B154" s="53" t="s">
        <v>5228</v>
      </c>
      <c r="C154" s="53" t="s">
        <v>6694</v>
      </c>
      <c r="D154" s="53" t="s">
        <v>55</v>
      </c>
      <c r="E154" s="53" t="s">
        <v>49</v>
      </c>
      <c r="F154" s="53" t="s">
        <v>3708</v>
      </c>
      <c r="G154" s="53" t="s">
        <v>6674</v>
      </c>
      <c r="H154" s="53" t="s">
        <v>209</v>
      </c>
      <c r="I154" s="54" t="n">
        <v>46246</v>
      </c>
      <c r="J154" s="53" t="n">
        <v>56</v>
      </c>
      <c r="K154" s="53" t="str">
        <f aca="false">D154&amp;"|"&amp;COUNTIF($D$2:D154,D154)</f>
        <v>Omar Mansour|17</v>
      </c>
    </row>
    <row r="155" customFormat="false" ht="15" hidden="false" customHeight="false" outlineLevel="0" collapsed="false">
      <c r="A155" s="53" t="s">
        <v>5255</v>
      </c>
      <c r="B155" s="53" t="s">
        <v>5256</v>
      </c>
      <c r="C155" s="53" t="s">
        <v>6695</v>
      </c>
      <c r="D155" s="53" t="s">
        <v>55</v>
      </c>
      <c r="E155" s="53" t="s">
        <v>49</v>
      </c>
      <c r="F155" s="53" t="s">
        <v>3708</v>
      </c>
      <c r="G155" s="53" t="s">
        <v>6674</v>
      </c>
      <c r="H155" s="53" t="s">
        <v>209</v>
      </c>
      <c r="I155" s="54" t="n">
        <v>46246</v>
      </c>
      <c r="J155" s="53" t="n">
        <v>56</v>
      </c>
      <c r="K155" s="53" t="str">
        <f aca="false">D155&amp;"|"&amp;COUNTIF($D$2:D155,D155)</f>
        <v>Omar Mansour|18</v>
      </c>
    </row>
    <row r="156" customFormat="false" ht="15" hidden="false" customHeight="false" outlineLevel="0" collapsed="false">
      <c r="A156" s="53" t="s">
        <v>6696</v>
      </c>
      <c r="B156" s="53" t="s">
        <v>6697</v>
      </c>
      <c r="C156" s="53" t="s">
        <v>6698</v>
      </c>
      <c r="D156" s="53" t="s">
        <v>56</v>
      </c>
      <c r="E156" s="53" t="s">
        <v>49</v>
      </c>
      <c r="F156" s="53" t="s">
        <v>3708</v>
      </c>
      <c r="G156" s="53" t="s">
        <v>6699</v>
      </c>
      <c r="H156" s="53" t="s">
        <v>209</v>
      </c>
      <c r="I156" s="54" t="n">
        <v>46260</v>
      </c>
      <c r="J156" s="53" t="n">
        <v>42</v>
      </c>
      <c r="K156" s="53" t="str">
        <f aca="false">D156&amp;"|"&amp;COUNTIF($D$2:D156,D156)</f>
        <v>Omar Osama|1</v>
      </c>
    </row>
    <row r="157" customFormat="false" ht="15" hidden="false" customHeight="false" outlineLevel="0" collapsed="false">
      <c r="A157" s="53" t="s">
        <v>6700</v>
      </c>
      <c r="B157" s="53" t="s">
        <v>6701</v>
      </c>
      <c r="C157" s="53" t="s">
        <v>6702</v>
      </c>
      <c r="D157" s="53" t="s">
        <v>56</v>
      </c>
      <c r="E157" s="53" t="s">
        <v>49</v>
      </c>
      <c r="F157" s="53" t="s">
        <v>3708</v>
      </c>
      <c r="G157" s="53" t="s">
        <v>6699</v>
      </c>
      <c r="H157" s="53" t="s">
        <v>209</v>
      </c>
      <c r="I157" s="54" t="n">
        <v>46262</v>
      </c>
      <c r="J157" s="53" t="n">
        <v>40</v>
      </c>
      <c r="K157" s="53" t="str">
        <f aca="false">D157&amp;"|"&amp;COUNTIF($D$2:D157,D157)</f>
        <v>Omar Osama|2</v>
      </c>
    </row>
    <row r="158" customFormat="false" ht="15" hidden="false" customHeight="false" outlineLevel="0" collapsed="false">
      <c r="A158" s="53" t="s">
        <v>6703</v>
      </c>
      <c r="B158" s="53" t="s">
        <v>6704</v>
      </c>
      <c r="C158" s="53" t="s">
        <v>6705</v>
      </c>
      <c r="D158" s="53" t="s">
        <v>56</v>
      </c>
      <c r="E158" s="53" t="s">
        <v>49</v>
      </c>
      <c r="F158" s="53" t="s">
        <v>3708</v>
      </c>
      <c r="G158" s="53" t="s">
        <v>6699</v>
      </c>
      <c r="H158" s="53" t="s">
        <v>209</v>
      </c>
      <c r="I158" s="54" t="n">
        <v>46260</v>
      </c>
      <c r="J158" s="53" t="n">
        <v>42</v>
      </c>
      <c r="K158" s="53" t="str">
        <f aca="false">D158&amp;"|"&amp;COUNTIF($D$2:D158,D158)</f>
        <v>Omar Osama|3</v>
      </c>
    </row>
    <row r="159" customFormat="false" ht="15" hidden="false" customHeight="false" outlineLevel="0" collapsed="false">
      <c r="A159" s="53" t="s">
        <v>6706</v>
      </c>
      <c r="B159" s="53" t="s">
        <v>6707</v>
      </c>
      <c r="C159" s="53" t="s">
        <v>6708</v>
      </c>
      <c r="D159" s="53" t="s">
        <v>56</v>
      </c>
      <c r="E159" s="53" t="s">
        <v>49</v>
      </c>
      <c r="F159" s="53" t="s">
        <v>3708</v>
      </c>
      <c r="G159" s="53" t="s">
        <v>6699</v>
      </c>
      <c r="H159" s="53" t="s">
        <v>209</v>
      </c>
      <c r="I159" s="54" t="n">
        <v>46260</v>
      </c>
      <c r="J159" s="53" t="n">
        <v>42</v>
      </c>
      <c r="K159" s="53" t="str">
        <f aca="false">D159&amp;"|"&amp;COUNTIF($D$2:D159,D159)</f>
        <v>Omar Osama|4</v>
      </c>
    </row>
    <row r="160" customFormat="false" ht="15" hidden="false" customHeight="false" outlineLevel="0" collapsed="false">
      <c r="A160" s="53" t="s">
        <v>5521</v>
      </c>
      <c r="B160" s="53" t="s">
        <v>5522</v>
      </c>
      <c r="C160" s="53" t="s">
        <v>6709</v>
      </c>
      <c r="D160" s="53" t="s">
        <v>56</v>
      </c>
      <c r="E160" s="53" t="s">
        <v>49</v>
      </c>
      <c r="F160" s="53" t="s">
        <v>3708</v>
      </c>
      <c r="G160" s="53" t="s">
        <v>6699</v>
      </c>
      <c r="H160" s="53" t="s">
        <v>209</v>
      </c>
      <c r="I160" s="54" t="n">
        <v>46265</v>
      </c>
      <c r="J160" s="53" t="n">
        <v>37</v>
      </c>
      <c r="K160" s="53" t="str">
        <f aca="false">D160&amp;"|"&amp;COUNTIF($D$2:D160,D160)</f>
        <v>Omar Osama|5</v>
      </c>
    </row>
    <row r="161" customFormat="false" ht="15" hidden="false" customHeight="false" outlineLevel="0" collapsed="false">
      <c r="A161" s="53" t="s">
        <v>5139</v>
      </c>
      <c r="B161" s="53" t="s">
        <v>5140</v>
      </c>
      <c r="C161" s="53" t="s">
        <v>6710</v>
      </c>
      <c r="D161" s="53" t="s">
        <v>56</v>
      </c>
      <c r="E161" s="53" t="s">
        <v>49</v>
      </c>
      <c r="F161" s="53" t="s">
        <v>3708</v>
      </c>
      <c r="G161" s="53" t="s">
        <v>6699</v>
      </c>
      <c r="H161" s="53" t="s">
        <v>209</v>
      </c>
      <c r="I161" s="54" t="n">
        <v>46260</v>
      </c>
      <c r="J161" s="53" t="n">
        <v>42</v>
      </c>
      <c r="K161" s="53" t="str">
        <f aca="false">D161&amp;"|"&amp;COUNTIF($D$2:D161,D161)</f>
        <v>Omar Osama|6</v>
      </c>
    </row>
    <row r="162" customFormat="false" ht="15" hidden="false" customHeight="false" outlineLevel="0" collapsed="false">
      <c r="A162" s="53" t="s">
        <v>6711</v>
      </c>
      <c r="B162" s="53" t="s">
        <v>6712</v>
      </c>
      <c r="C162" s="53" t="s">
        <v>6713</v>
      </c>
      <c r="D162" s="53" t="s">
        <v>56</v>
      </c>
      <c r="E162" s="53" t="s">
        <v>49</v>
      </c>
      <c r="F162" s="53" t="s">
        <v>3708</v>
      </c>
      <c r="G162" s="53" t="s">
        <v>6699</v>
      </c>
      <c r="H162" s="53" t="s">
        <v>209</v>
      </c>
      <c r="I162" s="54" t="n">
        <v>46260</v>
      </c>
      <c r="J162" s="53" t="n">
        <v>42</v>
      </c>
      <c r="K162" s="53" t="str">
        <f aca="false">D162&amp;"|"&amp;COUNTIF($D$2:D162,D162)</f>
        <v>Omar Osama|7</v>
      </c>
    </row>
    <row r="163" customFormat="false" ht="15" hidden="false" customHeight="false" outlineLevel="0" collapsed="false">
      <c r="A163" s="53" t="s">
        <v>6714</v>
      </c>
      <c r="B163" s="53" t="s">
        <v>6715</v>
      </c>
      <c r="C163" s="53" t="s">
        <v>6716</v>
      </c>
      <c r="D163" s="53" t="s">
        <v>56</v>
      </c>
      <c r="E163" s="53" t="s">
        <v>49</v>
      </c>
      <c r="F163" s="53" t="s">
        <v>3708</v>
      </c>
      <c r="G163" s="53" t="s">
        <v>6699</v>
      </c>
      <c r="H163" s="53" t="s">
        <v>209</v>
      </c>
      <c r="I163" s="54" t="n">
        <v>46260</v>
      </c>
      <c r="J163" s="53" t="n">
        <v>42</v>
      </c>
      <c r="K163" s="53" t="str">
        <f aca="false">D163&amp;"|"&amp;COUNTIF($D$2:D163,D163)</f>
        <v>Omar Osama|8</v>
      </c>
    </row>
    <row r="164" customFormat="false" ht="15" hidden="false" customHeight="false" outlineLevel="0" collapsed="false">
      <c r="A164" s="53" t="s">
        <v>6717</v>
      </c>
      <c r="B164" s="53" t="s">
        <v>6718</v>
      </c>
      <c r="C164" s="53" t="s">
        <v>6719</v>
      </c>
      <c r="D164" s="53" t="s">
        <v>56</v>
      </c>
      <c r="E164" s="53" t="s">
        <v>49</v>
      </c>
      <c r="F164" s="53" t="s">
        <v>3708</v>
      </c>
      <c r="G164" s="53" t="s">
        <v>6699</v>
      </c>
      <c r="H164" s="53" t="s">
        <v>209</v>
      </c>
      <c r="I164" s="54" t="n">
        <v>46260</v>
      </c>
      <c r="J164" s="53" t="n">
        <v>42</v>
      </c>
      <c r="K164" s="53" t="str">
        <f aca="false">D164&amp;"|"&amp;COUNTIF($D$2:D164,D164)</f>
        <v>Omar Osama|9</v>
      </c>
    </row>
    <row r="165" customFormat="false" ht="15" hidden="false" customHeight="false" outlineLevel="0" collapsed="false">
      <c r="A165" s="53" t="s">
        <v>6720</v>
      </c>
      <c r="B165" s="53" t="s">
        <v>6721</v>
      </c>
      <c r="C165" s="53" t="s">
        <v>6722</v>
      </c>
      <c r="D165" s="53" t="s">
        <v>56</v>
      </c>
      <c r="E165" s="53" t="s">
        <v>49</v>
      </c>
      <c r="F165" s="53" t="s">
        <v>3708</v>
      </c>
      <c r="G165" s="53" t="s">
        <v>6699</v>
      </c>
      <c r="H165" s="53" t="s">
        <v>209</v>
      </c>
      <c r="I165" s="54" t="n">
        <v>46260</v>
      </c>
      <c r="J165" s="53" t="n">
        <v>42</v>
      </c>
      <c r="K165" s="53" t="str">
        <f aca="false">D165&amp;"|"&amp;COUNTIF($D$2:D165,D165)</f>
        <v>Omar Osama|10</v>
      </c>
    </row>
    <row r="166" customFormat="false" ht="15" hidden="false" customHeight="false" outlineLevel="0" collapsed="false">
      <c r="A166" s="53" t="s">
        <v>6723</v>
      </c>
      <c r="B166" s="53" t="s">
        <v>6724</v>
      </c>
      <c r="C166" s="53" t="s">
        <v>6725</v>
      </c>
      <c r="D166" s="53" t="s">
        <v>56</v>
      </c>
      <c r="E166" s="53" t="s">
        <v>49</v>
      </c>
      <c r="F166" s="53" t="s">
        <v>3708</v>
      </c>
      <c r="G166" s="53" t="s">
        <v>6699</v>
      </c>
      <c r="H166" s="53" t="s">
        <v>209</v>
      </c>
      <c r="I166" s="54" t="n">
        <v>46260</v>
      </c>
      <c r="J166" s="53" t="n">
        <v>42</v>
      </c>
      <c r="K166" s="53" t="str">
        <f aca="false">D166&amp;"|"&amp;COUNTIF($D$2:D166,D166)</f>
        <v>Omar Osama|11</v>
      </c>
    </row>
    <row r="167" customFormat="false" ht="15" hidden="false" customHeight="false" outlineLevel="0" collapsed="false">
      <c r="A167" s="53" t="s">
        <v>6726</v>
      </c>
      <c r="B167" s="53" t="s">
        <v>6727</v>
      </c>
      <c r="C167" s="53" t="s">
        <v>6728</v>
      </c>
      <c r="D167" s="53" t="s">
        <v>56</v>
      </c>
      <c r="E167" s="53" t="s">
        <v>49</v>
      </c>
      <c r="F167" s="53" t="s">
        <v>3708</v>
      </c>
      <c r="G167" s="53" t="s">
        <v>6699</v>
      </c>
      <c r="H167" s="53" t="s">
        <v>209</v>
      </c>
      <c r="I167" s="54" t="n">
        <v>46260</v>
      </c>
      <c r="J167" s="53" t="n">
        <v>42</v>
      </c>
      <c r="K167" s="53" t="str">
        <f aca="false">D167&amp;"|"&amp;COUNTIF($D$2:D167,D167)</f>
        <v>Omar Osama|12</v>
      </c>
    </row>
    <row r="168" customFormat="false" ht="15" hidden="false" customHeight="false" outlineLevel="0" collapsed="false">
      <c r="A168" s="53" t="s">
        <v>6729</v>
      </c>
      <c r="B168" s="53" t="s">
        <v>6730</v>
      </c>
      <c r="C168" s="53" t="s">
        <v>6731</v>
      </c>
      <c r="D168" s="53" t="s">
        <v>56</v>
      </c>
      <c r="E168" s="53" t="s">
        <v>49</v>
      </c>
      <c r="F168" s="53" t="s">
        <v>3708</v>
      </c>
      <c r="G168" s="53" t="s">
        <v>6699</v>
      </c>
      <c r="H168" s="53" t="s">
        <v>209</v>
      </c>
      <c r="I168" s="54" t="n">
        <v>46260</v>
      </c>
      <c r="J168" s="53" t="n">
        <v>42</v>
      </c>
      <c r="K168" s="53" t="str">
        <f aca="false">D168&amp;"|"&amp;COUNTIF($D$2:D168,D168)</f>
        <v>Omar Osama|13</v>
      </c>
    </row>
    <row r="169" customFormat="false" ht="15" hidden="false" customHeight="false" outlineLevel="0" collapsed="false">
      <c r="A169" s="53" t="s">
        <v>6732</v>
      </c>
      <c r="B169" s="53" t="s">
        <v>6733</v>
      </c>
      <c r="C169" s="53" t="s">
        <v>6734</v>
      </c>
      <c r="D169" s="53" t="s">
        <v>56</v>
      </c>
      <c r="E169" s="53" t="s">
        <v>49</v>
      </c>
      <c r="F169" s="53" t="s">
        <v>3708</v>
      </c>
      <c r="G169" s="53" t="s">
        <v>6699</v>
      </c>
      <c r="H169" s="53" t="s">
        <v>209</v>
      </c>
      <c r="I169" s="54" t="n">
        <v>46260</v>
      </c>
      <c r="J169" s="53" t="n">
        <v>42</v>
      </c>
      <c r="K169" s="53" t="str">
        <f aca="false">D169&amp;"|"&amp;COUNTIF($D$2:D169,D169)</f>
        <v>Omar Osama|14</v>
      </c>
    </row>
    <row r="170" customFormat="false" ht="15" hidden="false" customHeight="false" outlineLevel="0" collapsed="false">
      <c r="A170" s="53" t="s">
        <v>6735</v>
      </c>
      <c r="B170" s="53" t="s">
        <v>6736</v>
      </c>
      <c r="C170" s="53" t="s">
        <v>6737</v>
      </c>
      <c r="D170" s="53" t="s">
        <v>56</v>
      </c>
      <c r="E170" s="53" t="s">
        <v>49</v>
      </c>
      <c r="F170" s="53" t="s">
        <v>3708</v>
      </c>
      <c r="G170" s="53" t="s">
        <v>6699</v>
      </c>
      <c r="H170" s="53" t="s">
        <v>209</v>
      </c>
      <c r="I170" s="54" t="n">
        <v>46262</v>
      </c>
      <c r="J170" s="53" t="n">
        <v>40</v>
      </c>
      <c r="K170" s="53" t="str">
        <f aca="false">D170&amp;"|"&amp;COUNTIF($D$2:D170,D170)</f>
        <v>Omar Osama|15</v>
      </c>
    </row>
    <row r="171" customFormat="false" ht="15" hidden="false" customHeight="false" outlineLevel="0" collapsed="false">
      <c r="A171" s="53" t="s">
        <v>6738</v>
      </c>
      <c r="B171" s="53" t="s">
        <v>6739</v>
      </c>
      <c r="C171" s="53" t="s">
        <v>6740</v>
      </c>
      <c r="D171" s="53" t="s">
        <v>56</v>
      </c>
      <c r="E171" s="53" t="s">
        <v>49</v>
      </c>
      <c r="F171" s="53" t="s">
        <v>3708</v>
      </c>
      <c r="G171" s="53" t="s">
        <v>6699</v>
      </c>
      <c r="H171" s="53" t="s">
        <v>209</v>
      </c>
      <c r="I171" s="54" t="n">
        <v>46260</v>
      </c>
      <c r="J171" s="53" t="n">
        <v>42</v>
      </c>
      <c r="K171" s="53" t="str">
        <f aca="false">D171&amp;"|"&amp;COUNTIF($D$2:D171,D171)</f>
        <v>Omar Osama|16</v>
      </c>
    </row>
    <row r="172" customFormat="false" ht="15" hidden="false" customHeight="false" outlineLevel="0" collapsed="false">
      <c r="A172" s="53" t="s">
        <v>6741</v>
      </c>
      <c r="B172" s="53" t="s">
        <v>6742</v>
      </c>
      <c r="C172" s="53" t="s">
        <v>6743</v>
      </c>
      <c r="D172" s="53" t="s">
        <v>56</v>
      </c>
      <c r="E172" s="53" t="s">
        <v>49</v>
      </c>
      <c r="F172" s="53" t="s">
        <v>3708</v>
      </c>
      <c r="G172" s="53" t="s">
        <v>6699</v>
      </c>
      <c r="H172" s="53" t="s">
        <v>209</v>
      </c>
      <c r="I172" s="54" t="n">
        <v>46260</v>
      </c>
      <c r="J172" s="53" t="n">
        <v>42</v>
      </c>
      <c r="K172" s="53" t="str">
        <f aca="false">D172&amp;"|"&amp;COUNTIF($D$2:D172,D172)</f>
        <v>Omar Osama|17</v>
      </c>
    </row>
    <row r="173" customFormat="false" ht="15" hidden="false" customHeight="false" outlineLevel="0" collapsed="false">
      <c r="A173" s="53" t="s">
        <v>6744</v>
      </c>
      <c r="B173" s="53" t="s">
        <v>6745</v>
      </c>
      <c r="C173" s="53" t="s">
        <v>6746</v>
      </c>
      <c r="D173" s="53" t="s">
        <v>56</v>
      </c>
      <c r="E173" s="53" t="s">
        <v>49</v>
      </c>
      <c r="F173" s="53" t="s">
        <v>3708</v>
      </c>
      <c r="G173" s="53" t="s">
        <v>6699</v>
      </c>
      <c r="H173" s="53" t="s">
        <v>209</v>
      </c>
      <c r="I173" s="54" t="n">
        <v>46260</v>
      </c>
      <c r="J173" s="53" t="n">
        <v>42</v>
      </c>
      <c r="K173" s="53" t="str">
        <f aca="false">D173&amp;"|"&amp;COUNTIF($D$2:D173,D173)</f>
        <v>Omar Osama|18</v>
      </c>
    </row>
    <row r="174" customFormat="false" ht="15" hidden="false" customHeight="false" outlineLevel="0" collapsed="false">
      <c r="A174" s="53" t="s">
        <v>6747</v>
      </c>
      <c r="B174" s="53" t="s">
        <v>6748</v>
      </c>
      <c r="C174" s="53" t="s">
        <v>6749</v>
      </c>
      <c r="D174" s="53" t="s">
        <v>56</v>
      </c>
      <c r="E174" s="53" t="s">
        <v>49</v>
      </c>
      <c r="F174" s="53" t="s">
        <v>3708</v>
      </c>
      <c r="G174" s="53" t="s">
        <v>6699</v>
      </c>
      <c r="H174" s="53" t="s">
        <v>209</v>
      </c>
      <c r="I174" s="54" t="n">
        <v>46262</v>
      </c>
      <c r="J174" s="53" t="n">
        <v>40</v>
      </c>
      <c r="K174" s="53" t="str">
        <f aca="false">D174&amp;"|"&amp;COUNTIF($D$2:D174,D174)</f>
        <v>Omar Osama|19</v>
      </c>
    </row>
    <row r="175" customFormat="false" ht="15" hidden="false" customHeight="false" outlineLevel="0" collapsed="false">
      <c r="A175" s="53" t="s">
        <v>6750</v>
      </c>
      <c r="B175" s="53" t="s">
        <v>6751</v>
      </c>
      <c r="C175" s="53" t="s">
        <v>6752</v>
      </c>
      <c r="D175" s="53" t="s">
        <v>56</v>
      </c>
      <c r="E175" s="53" t="s">
        <v>49</v>
      </c>
      <c r="F175" s="53" t="s">
        <v>3708</v>
      </c>
      <c r="G175" s="53" t="s">
        <v>6699</v>
      </c>
      <c r="H175" s="53" t="s">
        <v>209</v>
      </c>
      <c r="I175" s="54" t="n">
        <v>46260</v>
      </c>
      <c r="J175" s="53" t="n">
        <v>42</v>
      </c>
      <c r="K175" s="53" t="str">
        <f aca="false">D175&amp;"|"&amp;COUNTIF($D$2:D175,D175)</f>
        <v>Omar Osama|20</v>
      </c>
    </row>
    <row r="176" customFormat="false" ht="15" hidden="false" customHeight="false" outlineLevel="0" collapsed="false">
      <c r="A176" s="53" t="s">
        <v>6753</v>
      </c>
      <c r="B176" s="53" t="s">
        <v>6754</v>
      </c>
      <c r="C176" s="53" t="s">
        <v>6755</v>
      </c>
      <c r="D176" s="53" t="s">
        <v>56</v>
      </c>
      <c r="E176" s="53" t="s">
        <v>49</v>
      </c>
      <c r="F176" s="53" t="s">
        <v>3708</v>
      </c>
      <c r="G176" s="53" t="s">
        <v>6699</v>
      </c>
      <c r="H176" s="53" t="s">
        <v>209</v>
      </c>
      <c r="I176" s="54" t="n">
        <v>46260</v>
      </c>
      <c r="J176" s="53" t="n">
        <v>42</v>
      </c>
      <c r="K176" s="53" t="str">
        <f aca="false">D176&amp;"|"&amp;COUNTIF($D$2:D176,D176)</f>
        <v>Omar Osama|21</v>
      </c>
    </row>
    <row r="177" customFormat="false" ht="15" hidden="false" customHeight="false" outlineLevel="0" collapsed="false">
      <c r="A177" s="53" t="s">
        <v>5088</v>
      </c>
      <c r="B177" s="53" t="s">
        <v>5089</v>
      </c>
      <c r="C177" s="53" t="s">
        <v>6756</v>
      </c>
      <c r="D177" s="53" t="s">
        <v>56</v>
      </c>
      <c r="E177" s="53" t="s">
        <v>49</v>
      </c>
      <c r="F177" s="53" t="s">
        <v>3708</v>
      </c>
      <c r="G177" s="53" t="s">
        <v>6699</v>
      </c>
      <c r="H177" s="53" t="s">
        <v>209</v>
      </c>
      <c r="I177" s="54" t="n">
        <v>46260</v>
      </c>
      <c r="J177" s="53" t="n">
        <v>42</v>
      </c>
      <c r="K177" s="53" t="str">
        <f aca="false">D177&amp;"|"&amp;COUNTIF($D$2:D177,D177)</f>
        <v>Omar Osama|22</v>
      </c>
    </row>
    <row r="178" customFormat="false" ht="15" hidden="false" customHeight="false" outlineLevel="0" collapsed="false">
      <c r="A178" s="53" t="s">
        <v>2389</v>
      </c>
      <c r="B178" s="53" t="s">
        <v>2390</v>
      </c>
      <c r="C178" s="53" t="s">
        <v>6757</v>
      </c>
      <c r="D178" s="53" t="s">
        <v>57</v>
      </c>
      <c r="E178" s="53" t="s">
        <v>47</v>
      </c>
      <c r="F178" s="53" t="s">
        <v>146</v>
      </c>
      <c r="G178" s="53" t="s">
        <v>6492</v>
      </c>
      <c r="H178" s="53" t="s">
        <v>147</v>
      </c>
      <c r="I178" s="54" t="n">
        <v>46233</v>
      </c>
      <c r="J178" s="53" t="n">
        <v>69</v>
      </c>
      <c r="K178" s="53" t="str">
        <f aca="false">D178&amp;"|"&amp;COUNTIF($D$2:D178,D178)</f>
        <v>Rahma Samir|1</v>
      </c>
    </row>
    <row r="179" customFormat="false" ht="15" hidden="false" customHeight="false" outlineLevel="0" collapsed="false">
      <c r="A179" s="53" t="s">
        <v>255</v>
      </c>
      <c r="B179" s="53" t="s">
        <v>256</v>
      </c>
      <c r="C179" s="53" t="s">
        <v>6758</v>
      </c>
      <c r="D179" s="53" t="s">
        <v>57</v>
      </c>
      <c r="E179" s="53" t="s">
        <v>47</v>
      </c>
      <c r="F179" s="53" t="s">
        <v>146</v>
      </c>
      <c r="G179" s="53" t="s">
        <v>6509</v>
      </c>
      <c r="H179" s="53" t="s">
        <v>147</v>
      </c>
      <c r="I179" s="54" t="n">
        <v>46235</v>
      </c>
      <c r="J179" s="53" t="n">
        <v>67</v>
      </c>
      <c r="K179" s="53" t="str">
        <f aca="false">D179&amp;"|"&amp;COUNTIF($D$2:D179,D179)</f>
        <v>Rahma Samir|2</v>
      </c>
    </row>
    <row r="180" customFormat="false" ht="15" hidden="false" customHeight="false" outlineLevel="0" collapsed="false">
      <c r="A180" s="53" t="s">
        <v>737</v>
      </c>
      <c r="B180" s="53" t="s">
        <v>738</v>
      </c>
      <c r="C180" s="53" t="s">
        <v>6759</v>
      </c>
      <c r="D180" s="53" t="s">
        <v>57</v>
      </c>
      <c r="E180" s="53" t="s">
        <v>47</v>
      </c>
      <c r="F180" s="53" t="s">
        <v>146</v>
      </c>
      <c r="G180" s="53" t="s">
        <v>6760</v>
      </c>
      <c r="H180" s="53" t="s">
        <v>175</v>
      </c>
      <c r="I180" s="54" t="s">
        <v>64</v>
      </c>
      <c r="J180" s="53" t="s">
        <v>64</v>
      </c>
      <c r="K180" s="53" t="str">
        <f aca="false">D180&amp;"|"&amp;COUNTIF($D$2:D180,D180)</f>
        <v>Rahma Samir|3</v>
      </c>
    </row>
    <row r="181" customFormat="false" ht="15" hidden="false" customHeight="false" outlineLevel="0" collapsed="false">
      <c r="A181" s="53" t="s">
        <v>6761</v>
      </c>
      <c r="B181" s="53" t="s">
        <v>6762</v>
      </c>
      <c r="C181" s="53" t="s">
        <v>6763</v>
      </c>
      <c r="D181" s="53" t="s">
        <v>57</v>
      </c>
      <c r="E181" s="53" t="s">
        <v>47</v>
      </c>
      <c r="F181" s="53" t="s">
        <v>146</v>
      </c>
      <c r="G181" s="53" t="s">
        <v>6764</v>
      </c>
      <c r="H181" s="53" t="s">
        <v>175</v>
      </c>
      <c r="I181" s="54" t="s">
        <v>64</v>
      </c>
      <c r="J181" s="53" t="s">
        <v>64</v>
      </c>
      <c r="K181" s="53" t="str">
        <f aca="false">D181&amp;"|"&amp;COUNTIF($D$2:D181,D181)</f>
        <v>Rahma Samir|4</v>
      </c>
    </row>
    <row r="182" customFormat="false" ht="15" hidden="false" customHeight="false" outlineLevel="0" collapsed="false">
      <c r="A182" s="53" t="s">
        <v>939</v>
      </c>
      <c r="B182" s="53" t="s">
        <v>940</v>
      </c>
      <c r="C182" s="53" t="s">
        <v>6765</v>
      </c>
      <c r="D182" s="53" t="s">
        <v>57</v>
      </c>
      <c r="E182" s="53" t="s">
        <v>47</v>
      </c>
      <c r="F182" s="53" t="s">
        <v>146</v>
      </c>
      <c r="G182" s="53" t="s">
        <v>6509</v>
      </c>
      <c r="H182" s="53" t="s">
        <v>147</v>
      </c>
      <c r="I182" s="54" t="n">
        <v>46235</v>
      </c>
      <c r="J182" s="53" t="n">
        <v>67</v>
      </c>
      <c r="K182" s="53" t="str">
        <f aca="false">D182&amp;"|"&amp;COUNTIF($D$2:D182,D182)</f>
        <v>Rahma Samir|5</v>
      </c>
    </row>
    <row r="183" customFormat="false" ht="15" hidden="false" customHeight="false" outlineLevel="0" collapsed="false">
      <c r="A183" s="53" t="s">
        <v>6766</v>
      </c>
      <c r="B183" s="53" t="s">
        <v>6767</v>
      </c>
      <c r="C183" s="53" t="s">
        <v>6768</v>
      </c>
      <c r="D183" s="53" t="s">
        <v>57</v>
      </c>
      <c r="E183" s="53" t="s">
        <v>47</v>
      </c>
      <c r="F183" s="53" t="s">
        <v>146</v>
      </c>
      <c r="G183" s="53" t="s">
        <v>6558</v>
      </c>
      <c r="H183" s="53" t="s">
        <v>175</v>
      </c>
      <c r="I183" s="54" t="s">
        <v>64</v>
      </c>
      <c r="J183" s="53" t="s">
        <v>64</v>
      </c>
      <c r="K183" s="53" t="str">
        <f aca="false">D183&amp;"|"&amp;COUNTIF($D$2:D183,D183)</f>
        <v>Rahma Samir|6</v>
      </c>
    </row>
    <row r="184" customFormat="false" ht="15" hidden="false" customHeight="false" outlineLevel="0" collapsed="false">
      <c r="A184" s="53" t="s">
        <v>5104</v>
      </c>
      <c r="B184" s="53" t="s">
        <v>5105</v>
      </c>
      <c r="C184" s="53" t="s">
        <v>6769</v>
      </c>
      <c r="D184" s="53" t="s">
        <v>57</v>
      </c>
      <c r="E184" s="53" t="s">
        <v>47</v>
      </c>
      <c r="F184" s="53" t="s">
        <v>146</v>
      </c>
      <c r="G184" s="53" t="s">
        <v>6492</v>
      </c>
      <c r="H184" s="53" t="s">
        <v>147</v>
      </c>
      <c r="I184" s="54" t="n">
        <v>46233</v>
      </c>
      <c r="J184" s="53" t="n">
        <v>69</v>
      </c>
      <c r="K184" s="53" t="str">
        <f aca="false">D184&amp;"|"&amp;COUNTIF($D$2:D184,D184)</f>
        <v>Rahma Samir|7</v>
      </c>
    </row>
    <row r="185" customFormat="false" ht="15" hidden="false" customHeight="false" outlineLevel="0" collapsed="false">
      <c r="A185" s="53" t="s">
        <v>2340</v>
      </c>
      <c r="B185" s="53" t="s">
        <v>2341</v>
      </c>
      <c r="C185" s="53" t="s">
        <v>6770</v>
      </c>
      <c r="D185" s="53" t="s">
        <v>57</v>
      </c>
      <c r="E185" s="53" t="s">
        <v>47</v>
      </c>
      <c r="F185" s="53" t="s">
        <v>146</v>
      </c>
      <c r="G185" s="53" t="s">
        <v>6771</v>
      </c>
      <c r="H185" s="53" t="s">
        <v>175</v>
      </c>
      <c r="I185" s="54" t="n">
        <v>46141</v>
      </c>
      <c r="J185" s="53" t="n">
        <v>161</v>
      </c>
      <c r="K185" s="53" t="str">
        <f aca="false">D185&amp;"|"&amp;COUNTIF($D$2:D185,D185)</f>
        <v>Rahma Samir|8</v>
      </c>
    </row>
    <row r="186" customFormat="false" ht="15" hidden="false" customHeight="false" outlineLevel="0" collapsed="false">
      <c r="A186" s="53" t="s">
        <v>1652</v>
      </c>
      <c r="B186" s="53" t="s">
        <v>1653</v>
      </c>
      <c r="C186" s="53" t="s">
        <v>6772</v>
      </c>
      <c r="D186" s="53" t="s">
        <v>57</v>
      </c>
      <c r="E186" s="53" t="s">
        <v>47</v>
      </c>
      <c r="F186" s="53" t="s">
        <v>146</v>
      </c>
      <c r="G186" s="53" t="s">
        <v>6773</v>
      </c>
      <c r="H186" s="53" t="s">
        <v>175</v>
      </c>
      <c r="I186" s="54" t="s">
        <v>64</v>
      </c>
      <c r="J186" s="53" t="s">
        <v>64</v>
      </c>
      <c r="K186" s="53" t="str">
        <f aca="false">D186&amp;"|"&amp;COUNTIF($D$2:D186,D186)</f>
        <v>Rahma Samir|9</v>
      </c>
    </row>
    <row r="187" customFormat="false" ht="15" hidden="false" customHeight="false" outlineLevel="0" collapsed="false">
      <c r="A187" s="53" t="s">
        <v>5497</v>
      </c>
      <c r="B187" s="53" t="s">
        <v>5498</v>
      </c>
      <c r="C187" s="53" t="s">
        <v>6774</v>
      </c>
      <c r="D187" s="53" t="s">
        <v>57</v>
      </c>
      <c r="E187" s="53" t="s">
        <v>47</v>
      </c>
      <c r="F187" s="53" t="s">
        <v>146</v>
      </c>
      <c r="G187" s="53" t="s">
        <v>6492</v>
      </c>
      <c r="H187" s="53" t="s">
        <v>147</v>
      </c>
      <c r="I187" s="54" t="n">
        <v>46233</v>
      </c>
      <c r="J187" s="53" t="n">
        <v>69</v>
      </c>
      <c r="K187" s="53" t="str">
        <f aca="false">D187&amp;"|"&amp;COUNTIF($D$2:D187,D187)</f>
        <v>Rahma Samir|10</v>
      </c>
    </row>
    <row r="188" customFormat="false" ht="15" hidden="false" customHeight="false" outlineLevel="0" collapsed="false">
      <c r="A188" s="53" t="s">
        <v>2081</v>
      </c>
      <c r="B188" s="53" t="s">
        <v>2082</v>
      </c>
      <c r="C188" s="53" t="s">
        <v>6775</v>
      </c>
      <c r="D188" s="53" t="s">
        <v>57</v>
      </c>
      <c r="E188" s="53" t="s">
        <v>47</v>
      </c>
      <c r="F188" s="53" t="s">
        <v>146</v>
      </c>
      <c r="G188" s="53" t="s">
        <v>6492</v>
      </c>
      <c r="H188" s="53" t="s">
        <v>147</v>
      </c>
      <c r="I188" s="54" t="n">
        <v>46233</v>
      </c>
      <c r="J188" s="53" t="n">
        <v>69</v>
      </c>
      <c r="K188" s="53" t="str">
        <f aca="false">D188&amp;"|"&amp;COUNTIF($D$2:D188,D188)</f>
        <v>Rahma Samir|11</v>
      </c>
    </row>
    <row r="189" customFormat="false" ht="15" hidden="false" customHeight="false" outlineLevel="0" collapsed="false">
      <c r="A189" s="53" t="s">
        <v>2134</v>
      </c>
      <c r="B189" s="53" t="s">
        <v>2135</v>
      </c>
      <c r="C189" s="53" t="s">
        <v>6776</v>
      </c>
      <c r="D189" s="53" t="s">
        <v>57</v>
      </c>
      <c r="E189" s="53" t="s">
        <v>47</v>
      </c>
      <c r="F189" s="53" t="s">
        <v>146</v>
      </c>
      <c r="G189" s="53" t="s">
        <v>6492</v>
      </c>
      <c r="H189" s="53" t="s">
        <v>147</v>
      </c>
      <c r="I189" s="54" t="n">
        <v>46233</v>
      </c>
      <c r="J189" s="53" t="n">
        <v>69</v>
      </c>
      <c r="K189" s="53" t="str">
        <f aca="false">D189&amp;"|"&amp;COUNTIF($D$2:D189,D189)</f>
        <v>Rahma Samir|12</v>
      </c>
    </row>
    <row r="190" customFormat="false" ht="15" hidden="false" customHeight="false" outlineLevel="0" collapsed="false">
      <c r="A190" s="53" t="s">
        <v>414</v>
      </c>
      <c r="B190" s="53" t="s">
        <v>415</v>
      </c>
      <c r="C190" s="53" t="s">
        <v>6777</v>
      </c>
      <c r="D190" s="53" t="s">
        <v>57</v>
      </c>
      <c r="E190" s="53" t="s">
        <v>47</v>
      </c>
      <c r="F190" s="53" t="s">
        <v>146</v>
      </c>
      <c r="G190" s="53" t="s">
        <v>6778</v>
      </c>
      <c r="H190" s="53" t="s">
        <v>147</v>
      </c>
      <c r="I190" s="54" t="n">
        <v>46211</v>
      </c>
      <c r="J190" s="53" t="n">
        <v>91</v>
      </c>
      <c r="K190" s="53" t="str">
        <f aca="false">D190&amp;"|"&amp;COUNTIF($D$2:D190,D190)</f>
        <v>Rahma Samir|13</v>
      </c>
    </row>
    <row r="191" customFormat="false" ht="15" hidden="false" customHeight="false" outlineLevel="0" collapsed="false">
      <c r="A191" s="53" t="s">
        <v>4080</v>
      </c>
      <c r="B191" s="53" t="s">
        <v>4081</v>
      </c>
      <c r="C191" s="53" t="s">
        <v>6779</v>
      </c>
      <c r="D191" s="53" t="s">
        <v>57</v>
      </c>
      <c r="E191" s="53" t="s">
        <v>47</v>
      </c>
      <c r="F191" s="53" t="s">
        <v>146</v>
      </c>
      <c r="G191" s="53" t="s">
        <v>6492</v>
      </c>
      <c r="H191" s="53" t="s">
        <v>147</v>
      </c>
      <c r="I191" s="54" t="n">
        <v>46233</v>
      </c>
      <c r="J191" s="53" t="n">
        <v>69</v>
      </c>
      <c r="K191" s="53" t="str">
        <f aca="false">D191&amp;"|"&amp;COUNTIF($D$2:D191,D191)</f>
        <v>Rahma Samir|14</v>
      </c>
    </row>
    <row r="192" customFormat="false" ht="15" hidden="false" customHeight="false" outlineLevel="0" collapsed="false">
      <c r="A192" s="53" t="s">
        <v>1326</v>
      </c>
      <c r="B192" s="53" t="s">
        <v>1327</v>
      </c>
      <c r="C192" s="53" t="s">
        <v>6780</v>
      </c>
      <c r="D192" s="53" t="s">
        <v>57</v>
      </c>
      <c r="E192" s="53" t="s">
        <v>47</v>
      </c>
      <c r="F192" s="53" t="s">
        <v>146</v>
      </c>
      <c r="G192" s="53" t="s">
        <v>6555</v>
      </c>
      <c r="H192" s="53" t="s">
        <v>175</v>
      </c>
      <c r="I192" s="54" t="s">
        <v>64</v>
      </c>
      <c r="J192" s="53" t="s">
        <v>64</v>
      </c>
      <c r="K192" s="53" t="str">
        <f aca="false">D192&amp;"|"&amp;COUNTIF($D$2:D192,D192)</f>
        <v>Rahma Samir|15</v>
      </c>
    </row>
    <row r="193" customFormat="false" ht="15" hidden="false" customHeight="false" outlineLevel="0" collapsed="false">
      <c r="A193" s="53" t="s">
        <v>196</v>
      </c>
      <c r="B193" s="53" t="s">
        <v>197</v>
      </c>
      <c r="C193" s="53" t="s">
        <v>6781</v>
      </c>
      <c r="D193" s="53" t="s">
        <v>57</v>
      </c>
      <c r="E193" s="53" t="s">
        <v>47</v>
      </c>
      <c r="F193" s="53" t="s">
        <v>146</v>
      </c>
      <c r="G193" s="53" t="s">
        <v>6509</v>
      </c>
      <c r="H193" s="53" t="s">
        <v>175</v>
      </c>
      <c r="I193" s="54" t="n">
        <v>46178</v>
      </c>
      <c r="J193" s="53" t="n">
        <v>124</v>
      </c>
      <c r="K193" s="53" t="str">
        <f aca="false">D193&amp;"|"&amp;COUNTIF($D$2:D193,D193)</f>
        <v>Rahma Samir|16</v>
      </c>
    </row>
    <row r="194" customFormat="false" ht="15" hidden="false" customHeight="false" outlineLevel="0" collapsed="false">
      <c r="A194" s="53" t="s">
        <v>6184</v>
      </c>
      <c r="B194" s="53" t="s">
        <v>6185</v>
      </c>
      <c r="C194" s="53" t="s">
        <v>6782</v>
      </c>
      <c r="D194" s="53" t="s">
        <v>57</v>
      </c>
      <c r="E194" s="53" t="s">
        <v>47</v>
      </c>
      <c r="F194" s="53" t="s">
        <v>146</v>
      </c>
      <c r="G194" s="53" t="s">
        <v>6492</v>
      </c>
      <c r="H194" s="53" t="s">
        <v>147</v>
      </c>
      <c r="I194" s="54" t="n">
        <v>46233</v>
      </c>
      <c r="J194" s="53" t="n">
        <v>69</v>
      </c>
      <c r="K194" s="53" t="str">
        <f aca="false">D194&amp;"|"&amp;COUNTIF($D$2:D194,D194)</f>
        <v>Rahma Samir|17</v>
      </c>
    </row>
    <row r="195" customFormat="false" ht="15" hidden="false" customHeight="false" outlineLevel="0" collapsed="false">
      <c r="A195" s="53" t="s">
        <v>6783</v>
      </c>
      <c r="B195" s="53" t="s">
        <v>6784</v>
      </c>
      <c r="C195" s="53" t="s">
        <v>6785</v>
      </c>
      <c r="D195" s="53" t="s">
        <v>57</v>
      </c>
      <c r="E195" s="53" t="s">
        <v>47</v>
      </c>
      <c r="F195" s="53" t="s">
        <v>146</v>
      </c>
      <c r="G195" s="53" t="s">
        <v>6764</v>
      </c>
      <c r="H195" s="53" t="s">
        <v>175</v>
      </c>
      <c r="I195" s="54" t="n">
        <v>46143</v>
      </c>
      <c r="J195" s="53" t="n">
        <v>159</v>
      </c>
      <c r="K195" s="53" t="str">
        <f aca="false">D195&amp;"|"&amp;COUNTIF($D$2:D195,D195)</f>
        <v>Rahma Samir|18</v>
      </c>
    </row>
    <row r="196" customFormat="false" ht="15" hidden="false" customHeight="false" outlineLevel="0" collapsed="false">
      <c r="A196" s="53" t="s">
        <v>586</v>
      </c>
      <c r="B196" s="53" t="s">
        <v>587</v>
      </c>
      <c r="C196" s="53" t="s">
        <v>6786</v>
      </c>
      <c r="D196" s="53" t="s">
        <v>57</v>
      </c>
      <c r="E196" s="53" t="s">
        <v>47</v>
      </c>
      <c r="F196" s="53" t="s">
        <v>146</v>
      </c>
      <c r="G196" s="53" t="s">
        <v>6509</v>
      </c>
      <c r="H196" s="53" t="s">
        <v>175</v>
      </c>
      <c r="I196" s="54" t="s">
        <v>64</v>
      </c>
      <c r="J196" s="53" t="s">
        <v>64</v>
      </c>
      <c r="K196" s="53" t="str">
        <f aca="false">D196&amp;"|"&amp;COUNTIF($D$2:D196,D196)</f>
        <v>Rahma Samir|19</v>
      </c>
    </row>
    <row r="197" customFormat="false" ht="15" hidden="false" customHeight="false" outlineLevel="0" collapsed="false">
      <c r="A197" s="53" t="s">
        <v>1749</v>
      </c>
      <c r="B197" s="53" t="s">
        <v>1750</v>
      </c>
      <c r="C197" s="53" t="s">
        <v>6787</v>
      </c>
      <c r="D197" s="53" t="s">
        <v>57</v>
      </c>
      <c r="E197" s="53" t="s">
        <v>47</v>
      </c>
      <c r="F197" s="53" t="s">
        <v>146</v>
      </c>
      <c r="G197" s="53" t="s">
        <v>6788</v>
      </c>
      <c r="H197" s="53" t="s">
        <v>209</v>
      </c>
      <c r="I197" s="54" t="n">
        <v>46251</v>
      </c>
      <c r="J197" s="53" t="n">
        <v>51</v>
      </c>
      <c r="K197" s="53" t="str">
        <f aca="false">D197&amp;"|"&amp;COUNTIF($D$2:D197,D197)</f>
        <v>Rahma Samir|20</v>
      </c>
    </row>
    <row r="198" customFormat="false" ht="15" hidden="false" customHeight="false" outlineLevel="0" collapsed="false">
      <c r="A198" s="53" t="s">
        <v>2645</v>
      </c>
      <c r="B198" s="53" t="s">
        <v>2646</v>
      </c>
      <c r="C198" s="53" t="s">
        <v>6789</v>
      </c>
      <c r="D198" s="53" t="s">
        <v>57</v>
      </c>
      <c r="E198" s="53" t="s">
        <v>47</v>
      </c>
      <c r="F198" s="53" t="s">
        <v>146</v>
      </c>
      <c r="G198" s="53" t="s">
        <v>6790</v>
      </c>
      <c r="H198" s="53" t="s">
        <v>175</v>
      </c>
      <c r="I198" s="54" t="s">
        <v>64</v>
      </c>
      <c r="J198" s="53" t="s">
        <v>64</v>
      </c>
      <c r="K198" s="53" t="str">
        <f aca="false">D198&amp;"|"&amp;COUNTIF($D$2:D198,D198)</f>
        <v>Rahma Samir|21</v>
      </c>
    </row>
    <row r="199" customFormat="false" ht="15" hidden="false" customHeight="false" outlineLevel="0" collapsed="false">
      <c r="A199" s="53" t="s">
        <v>3766</v>
      </c>
      <c r="B199" s="53" t="s">
        <v>3767</v>
      </c>
      <c r="C199" s="53" t="s">
        <v>6791</v>
      </c>
      <c r="D199" s="53" t="s">
        <v>57</v>
      </c>
      <c r="E199" s="53" t="s">
        <v>47</v>
      </c>
      <c r="F199" s="53" t="s">
        <v>146</v>
      </c>
      <c r="G199" s="53" t="s">
        <v>6492</v>
      </c>
      <c r="H199" s="53" t="s">
        <v>147</v>
      </c>
      <c r="I199" s="54" t="n">
        <v>46233</v>
      </c>
      <c r="J199" s="53" t="n">
        <v>69</v>
      </c>
      <c r="K199" s="53" t="str">
        <f aca="false">D199&amp;"|"&amp;COUNTIF($D$2:D199,D199)</f>
        <v>Rahma Samir|22</v>
      </c>
    </row>
    <row r="200" customFormat="false" ht="15" hidden="false" customHeight="false" outlineLevel="0" collapsed="false">
      <c r="A200" s="53" t="s">
        <v>4665</v>
      </c>
      <c r="B200" s="53" t="s">
        <v>4666</v>
      </c>
      <c r="C200" s="53" t="s">
        <v>6792</v>
      </c>
      <c r="D200" s="53" t="s">
        <v>58</v>
      </c>
      <c r="E200" s="53" t="s">
        <v>49</v>
      </c>
      <c r="F200" s="53" t="s">
        <v>146</v>
      </c>
      <c r="G200" s="53" t="s">
        <v>6548</v>
      </c>
      <c r="H200" s="53" t="s">
        <v>209</v>
      </c>
      <c r="I200" s="54" t="n">
        <v>46266</v>
      </c>
      <c r="J200" s="53" t="n">
        <v>36</v>
      </c>
      <c r="K200" s="53" t="str">
        <f aca="false">D200&amp;"|"&amp;COUNTIF($D$2:D200,D200)</f>
        <v>Salma Ahmed|1</v>
      </c>
    </row>
    <row r="201" customFormat="false" ht="15" hidden="false" customHeight="false" outlineLevel="0" collapsed="false">
      <c r="A201" s="53" t="s">
        <v>212</v>
      </c>
      <c r="B201" s="53" t="s">
        <v>213</v>
      </c>
      <c r="C201" s="53" t="s">
        <v>6793</v>
      </c>
      <c r="D201" s="53" t="s">
        <v>58</v>
      </c>
      <c r="E201" s="53" t="s">
        <v>49</v>
      </c>
      <c r="F201" s="53" t="s">
        <v>146</v>
      </c>
      <c r="G201" s="53" t="s">
        <v>6790</v>
      </c>
      <c r="H201" s="53" t="s">
        <v>175</v>
      </c>
      <c r="I201" s="54" t="s">
        <v>64</v>
      </c>
      <c r="J201" s="53" t="s">
        <v>64</v>
      </c>
      <c r="K201" s="53" t="str">
        <f aca="false">D201&amp;"|"&amp;COUNTIF($D$2:D201,D201)</f>
        <v>Salma Ahmed|2</v>
      </c>
    </row>
    <row r="202" customFormat="false" ht="15" hidden="false" customHeight="false" outlineLevel="0" collapsed="false">
      <c r="A202" s="53" t="s">
        <v>2328</v>
      </c>
      <c r="B202" s="53" t="s">
        <v>2329</v>
      </c>
      <c r="C202" s="53" t="s">
        <v>6794</v>
      </c>
      <c r="D202" s="53" t="s">
        <v>58</v>
      </c>
      <c r="E202" s="53" t="s">
        <v>49</v>
      </c>
      <c r="F202" s="53" t="s">
        <v>146</v>
      </c>
      <c r="G202" s="53" t="s">
        <v>6561</v>
      </c>
      <c r="H202" s="53" t="s">
        <v>209</v>
      </c>
      <c r="I202" s="54" t="n">
        <v>46255</v>
      </c>
      <c r="J202" s="53" t="n">
        <v>47</v>
      </c>
      <c r="K202" s="53" t="str">
        <f aca="false">D202&amp;"|"&amp;COUNTIF($D$2:D202,D202)</f>
        <v>Salma Ahmed|3</v>
      </c>
    </row>
    <row r="203" customFormat="false" ht="15" hidden="false" customHeight="false" outlineLevel="0" collapsed="false">
      <c r="A203" s="53" t="s">
        <v>3399</v>
      </c>
      <c r="B203" s="53" t="s">
        <v>3400</v>
      </c>
      <c r="C203" s="53" t="s">
        <v>6795</v>
      </c>
      <c r="D203" s="53" t="s">
        <v>58</v>
      </c>
      <c r="E203" s="53" t="s">
        <v>49</v>
      </c>
      <c r="F203" s="53" t="s">
        <v>146</v>
      </c>
      <c r="G203" s="53" t="s">
        <v>6548</v>
      </c>
      <c r="H203" s="53" t="s">
        <v>209</v>
      </c>
      <c r="I203" s="54" t="n">
        <v>46266</v>
      </c>
      <c r="J203" s="53" t="n">
        <v>36</v>
      </c>
      <c r="K203" s="53" t="str">
        <f aca="false">D203&amp;"|"&amp;COUNTIF($D$2:D203,D203)</f>
        <v>Salma Ahmed|4</v>
      </c>
    </row>
    <row r="204" customFormat="false" ht="15" hidden="false" customHeight="false" outlineLevel="0" collapsed="false">
      <c r="A204" s="53" t="s">
        <v>234</v>
      </c>
      <c r="B204" s="53" t="s">
        <v>235</v>
      </c>
      <c r="C204" s="53" t="s">
        <v>6796</v>
      </c>
      <c r="D204" s="53" t="s">
        <v>58</v>
      </c>
      <c r="E204" s="53" t="s">
        <v>49</v>
      </c>
      <c r="F204" s="53" t="s">
        <v>146</v>
      </c>
      <c r="G204" s="53" t="s">
        <v>6760</v>
      </c>
      <c r="H204" s="53" t="s">
        <v>209</v>
      </c>
      <c r="I204" s="54" t="n">
        <v>46252</v>
      </c>
      <c r="J204" s="53" t="n">
        <v>50</v>
      </c>
      <c r="K204" s="53" t="str">
        <f aca="false">D204&amp;"|"&amp;COUNTIF($D$2:D204,D204)</f>
        <v>Salma Ahmed|5</v>
      </c>
    </row>
    <row r="205" customFormat="false" ht="15" hidden="false" customHeight="false" outlineLevel="0" collapsed="false">
      <c r="A205" s="53" t="s">
        <v>1445</v>
      </c>
      <c r="B205" s="53" t="s">
        <v>1446</v>
      </c>
      <c r="C205" s="53" t="s">
        <v>6797</v>
      </c>
      <c r="D205" s="53" t="s">
        <v>58</v>
      </c>
      <c r="E205" s="53" t="s">
        <v>49</v>
      </c>
      <c r="F205" s="53" t="s">
        <v>146</v>
      </c>
      <c r="G205" s="53" t="s">
        <v>6790</v>
      </c>
      <c r="H205" s="53" t="s">
        <v>175</v>
      </c>
      <c r="I205" s="54" t="n">
        <v>46107</v>
      </c>
      <c r="J205" s="53" t="n">
        <v>195</v>
      </c>
      <c r="K205" s="53" t="str">
        <f aca="false">D205&amp;"|"&amp;COUNTIF($D$2:D205,D205)</f>
        <v>Salma Ahmed|6</v>
      </c>
    </row>
    <row r="206" customFormat="false" ht="15" hidden="false" customHeight="false" outlineLevel="0" collapsed="false">
      <c r="A206" s="53" t="s">
        <v>1382</v>
      </c>
      <c r="B206" s="53" t="s">
        <v>1383</v>
      </c>
      <c r="C206" s="53" t="s">
        <v>6798</v>
      </c>
      <c r="D206" s="53" t="s">
        <v>58</v>
      </c>
      <c r="E206" s="53" t="s">
        <v>49</v>
      </c>
      <c r="F206" s="53" t="s">
        <v>146</v>
      </c>
      <c r="G206" s="53" t="s">
        <v>6764</v>
      </c>
      <c r="H206" s="53" t="s">
        <v>175</v>
      </c>
      <c r="I206" s="54" t="n">
        <v>46074</v>
      </c>
      <c r="J206" s="53" t="n">
        <v>228</v>
      </c>
      <c r="K206" s="53" t="str">
        <f aca="false">D206&amp;"|"&amp;COUNTIF($D$2:D206,D206)</f>
        <v>Salma Ahmed|7</v>
      </c>
    </row>
    <row r="207" customFormat="false" ht="15" hidden="false" customHeight="false" outlineLevel="0" collapsed="false">
      <c r="A207" s="53" t="s">
        <v>3710</v>
      </c>
      <c r="B207" s="53" t="s">
        <v>3711</v>
      </c>
      <c r="C207" s="53" t="s">
        <v>6799</v>
      </c>
      <c r="D207" s="53" t="s">
        <v>58</v>
      </c>
      <c r="E207" s="53" t="s">
        <v>49</v>
      </c>
      <c r="F207" s="53" t="s">
        <v>146</v>
      </c>
      <c r="G207" s="53" t="s">
        <v>6548</v>
      </c>
      <c r="H207" s="53" t="s">
        <v>209</v>
      </c>
      <c r="I207" s="54" t="n">
        <v>46266</v>
      </c>
      <c r="J207" s="53" t="n">
        <v>36</v>
      </c>
      <c r="K207" s="53" t="str">
        <f aca="false">D207&amp;"|"&amp;COUNTIF($D$2:D207,D207)</f>
        <v>Salma Ahmed|8</v>
      </c>
    </row>
    <row r="208" customFormat="false" ht="15" hidden="false" customHeight="false" outlineLevel="0" collapsed="false">
      <c r="A208" s="53" t="s">
        <v>180</v>
      </c>
      <c r="B208" s="53" t="s">
        <v>181</v>
      </c>
      <c r="C208" s="53" t="s">
        <v>6800</v>
      </c>
      <c r="D208" s="53" t="s">
        <v>58</v>
      </c>
      <c r="E208" s="53" t="s">
        <v>49</v>
      </c>
      <c r="F208" s="53" t="s">
        <v>146</v>
      </c>
      <c r="G208" s="53" t="s">
        <v>6801</v>
      </c>
      <c r="H208" s="53" t="s">
        <v>175</v>
      </c>
      <c r="I208" s="54" t="n">
        <v>46133</v>
      </c>
      <c r="J208" s="53" t="n">
        <v>169</v>
      </c>
      <c r="K208" s="53" t="str">
        <f aca="false">D208&amp;"|"&amp;COUNTIF($D$2:D208,D208)</f>
        <v>Salma Ahmed|9</v>
      </c>
    </row>
    <row r="209" customFormat="false" ht="15" hidden="false" customHeight="false" outlineLevel="0" collapsed="false">
      <c r="A209" s="53" t="s">
        <v>2071</v>
      </c>
      <c r="B209" s="53" t="s">
        <v>2072</v>
      </c>
      <c r="C209" s="53" t="s">
        <v>6802</v>
      </c>
      <c r="D209" s="53" t="s">
        <v>58</v>
      </c>
      <c r="E209" s="53" t="s">
        <v>49</v>
      </c>
      <c r="F209" s="53" t="s">
        <v>146</v>
      </c>
      <c r="G209" s="53" t="s">
        <v>6790</v>
      </c>
      <c r="H209" s="53" t="s">
        <v>175</v>
      </c>
      <c r="I209" s="54" t="n">
        <v>46100</v>
      </c>
      <c r="J209" s="53" t="n">
        <v>202</v>
      </c>
      <c r="K209" s="53" t="str">
        <f aca="false">D209&amp;"|"&amp;COUNTIF($D$2:D209,D209)</f>
        <v>Salma Ahmed|10</v>
      </c>
    </row>
    <row r="210" customFormat="false" ht="15" hidden="false" customHeight="false" outlineLevel="0" collapsed="false">
      <c r="A210" s="53" t="s">
        <v>3181</v>
      </c>
      <c r="B210" s="53" t="s">
        <v>3182</v>
      </c>
      <c r="C210" s="53" t="s">
        <v>6803</v>
      </c>
      <c r="D210" s="53" t="s">
        <v>58</v>
      </c>
      <c r="E210" s="53" t="s">
        <v>49</v>
      </c>
      <c r="F210" s="53" t="s">
        <v>146</v>
      </c>
      <c r="G210" s="53" t="s">
        <v>6788</v>
      </c>
      <c r="H210" s="53" t="s">
        <v>209</v>
      </c>
      <c r="I210" s="54" t="n">
        <v>46255</v>
      </c>
      <c r="J210" s="53" t="n">
        <v>47</v>
      </c>
      <c r="K210" s="53" t="str">
        <f aca="false">D210&amp;"|"&amp;COUNTIF($D$2:D210,D210)</f>
        <v>Salma Ahmed|11</v>
      </c>
    </row>
    <row r="211" customFormat="false" ht="15" hidden="false" customHeight="false" outlineLevel="0" collapsed="false">
      <c r="A211" s="53" t="s">
        <v>173</v>
      </c>
      <c r="B211" s="53" t="s">
        <v>174</v>
      </c>
      <c r="C211" s="53" t="s">
        <v>6804</v>
      </c>
      <c r="D211" s="53" t="s">
        <v>58</v>
      </c>
      <c r="E211" s="53" t="s">
        <v>49</v>
      </c>
      <c r="F211" s="53" t="s">
        <v>146</v>
      </c>
      <c r="G211" s="53" t="s">
        <v>6790</v>
      </c>
      <c r="H211" s="53" t="s">
        <v>175</v>
      </c>
      <c r="I211" s="54" t="s">
        <v>64</v>
      </c>
      <c r="J211" s="53" t="s">
        <v>64</v>
      </c>
      <c r="K211" s="53" t="str">
        <f aca="false">D211&amp;"|"&amp;COUNTIF($D$2:D211,D211)</f>
        <v>Salma Ahmed|12</v>
      </c>
    </row>
    <row r="212" customFormat="false" ht="15" hidden="false" customHeight="false" outlineLevel="0" collapsed="false">
      <c r="A212" s="53" t="s">
        <v>6805</v>
      </c>
      <c r="B212" s="53" t="s">
        <v>6806</v>
      </c>
      <c r="C212" s="53" t="s">
        <v>6807</v>
      </c>
      <c r="D212" s="53" t="s">
        <v>58</v>
      </c>
      <c r="E212" s="53" t="s">
        <v>49</v>
      </c>
      <c r="F212" s="53" t="s">
        <v>146</v>
      </c>
      <c r="G212" s="53" t="s">
        <v>6808</v>
      </c>
      <c r="H212" s="53" t="s">
        <v>175</v>
      </c>
      <c r="I212" s="54" t="s">
        <v>64</v>
      </c>
      <c r="J212" s="53" t="s">
        <v>64</v>
      </c>
      <c r="K212" s="53" t="str">
        <f aca="false">D212&amp;"|"&amp;COUNTIF($D$2:D212,D212)</f>
        <v>Salma Ahmed|13</v>
      </c>
    </row>
    <row r="213" customFormat="false" ht="15" hidden="false" customHeight="false" outlineLevel="0" collapsed="false">
      <c r="A213" s="53" t="s">
        <v>1732</v>
      </c>
      <c r="B213" s="53" t="s">
        <v>1733</v>
      </c>
      <c r="C213" s="53" t="s">
        <v>6809</v>
      </c>
      <c r="D213" s="53" t="s">
        <v>58</v>
      </c>
      <c r="E213" s="53" t="s">
        <v>49</v>
      </c>
      <c r="F213" s="53" t="s">
        <v>146</v>
      </c>
      <c r="G213" s="53" t="s">
        <v>6788</v>
      </c>
      <c r="H213" s="53" t="s">
        <v>209</v>
      </c>
      <c r="I213" s="54" t="n">
        <v>46251</v>
      </c>
      <c r="J213" s="53" t="n">
        <v>51</v>
      </c>
      <c r="K213" s="53" t="str">
        <f aca="false">D213&amp;"|"&amp;COUNTIF($D$2:D213,D213)</f>
        <v>Salma Ahmed|14</v>
      </c>
    </row>
    <row r="214" customFormat="false" ht="15" hidden="false" customHeight="false" outlineLevel="0" collapsed="false">
      <c r="A214" s="53" t="s">
        <v>2959</v>
      </c>
      <c r="B214" s="53" t="s">
        <v>2960</v>
      </c>
      <c r="C214" s="53" t="s">
        <v>6810</v>
      </c>
      <c r="D214" s="53" t="s">
        <v>58</v>
      </c>
      <c r="E214" s="53" t="s">
        <v>49</v>
      </c>
      <c r="F214" s="53" t="s">
        <v>146</v>
      </c>
      <c r="G214" s="53" t="s">
        <v>6509</v>
      </c>
      <c r="H214" s="53" t="s">
        <v>175</v>
      </c>
      <c r="I214" s="54" t="n">
        <v>46178</v>
      </c>
      <c r="J214" s="53" t="n">
        <v>124</v>
      </c>
      <c r="K214" s="53" t="str">
        <f aca="false">D214&amp;"|"&amp;COUNTIF($D$2:D214,D214)</f>
        <v>Salma Ahmed|15</v>
      </c>
    </row>
    <row r="215" customFormat="false" ht="15" hidden="false" customHeight="false" outlineLevel="0" collapsed="false">
      <c r="A215" s="53" t="s">
        <v>3018</v>
      </c>
      <c r="B215" s="53" t="s">
        <v>3019</v>
      </c>
      <c r="C215" s="53" t="s">
        <v>6811</v>
      </c>
      <c r="D215" s="53" t="s">
        <v>58</v>
      </c>
      <c r="E215" s="53" t="s">
        <v>49</v>
      </c>
      <c r="F215" s="53" t="s">
        <v>146</v>
      </c>
      <c r="G215" s="53" t="s">
        <v>6812</v>
      </c>
      <c r="H215" s="53" t="s">
        <v>175</v>
      </c>
      <c r="I215" s="54" t="n">
        <v>46107</v>
      </c>
      <c r="J215" s="53" t="n">
        <v>195</v>
      </c>
      <c r="K215" s="53" t="str">
        <f aca="false">D215&amp;"|"&amp;COUNTIF($D$2:D215,D215)</f>
        <v>Salma Ahmed|16</v>
      </c>
    </row>
    <row r="216" customFormat="false" ht="15" hidden="false" customHeight="false" outlineLevel="0" collapsed="false">
      <c r="A216" s="53" t="s">
        <v>2228</v>
      </c>
      <c r="B216" s="53" t="s">
        <v>2229</v>
      </c>
      <c r="C216" s="53" t="s">
        <v>6813</v>
      </c>
      <c r="D216" s="53" t="s">
        <v>58</v>
      </c>
      <c r="E216" s="53" t="s">
        <v>49</v>
      </c>
      <c r="F216" s="53" t="s">
        <v>146</v>
      </c>
      <c r="G216" s="53" t="s">
        <v>6561</v>
      </c>
      <c r="H216" s="53" t="s">
        <v>209</v>
      </c>
      <c r="I216" s="54" t="n">
        <v>46255</v>
      </c>
      <c r="J216" s="53" t="n">
        <v>47</v>
      </c>
      <c r="K216" s="53" t="str">
        <f aca="false">D216&amp;"|"&amp;COUNTIF($D$2:D216,D216)</f>
        <v>Salma Ahmed|17</v>
      </c>
    </row>
    <row r="217" customFormat="false" ht="15" hidden="false" customHeight="false" outlineLevel="0" collapsed="false">
      <c r="A217" s="53" t="s">
        <v>2183</v>
      </c>
      <c r="B217" s="53" t="s">
        <v>2184</v>
      </c>
      <c r="C217" s="53" t="s">
        <v>6814</v>
      </c>
      <c r="D217" s="53" t="s">
        <v>59</v>
      </c>
      <c r="E217" s="53" t="s">
        <v>47</v>
      </c>
      <c r="F217" s="53" t="s">
        <v>146</v>
      </c>
      <c r="G217" s="53" t="s">
        <v>6561</v>
      </c>
      <c r="H217" s="53" t="s">
        <v>209</v>
      </c>
      <c r="I217" s="54" t="n">
        <v>46251</v>
      </c>
      <c r="J217" s="53" t="n">
        <v>51</v>
      </c>
      <c r="K217" s="53" t="str">
        <f aca="false">D217&amp;"|"&amp;COUNTIF($D$2:D217,D217)</f>
        <v>Shereen Kamal|1</v>
      </c>
    </row>
    <row r="218" customFormat="false" ht="15" hidden="false" customHeight="false" outlineLevel="0" collapsed="false">
      <c r="A218" s="53" t="s">
        <v>2583</v>
      </c>
      <c r="B218" s="53" t="s">
        <v>2584</v>
      </c>
      <c r="C218" s="53" t="s">
        <v>6815</v>
      </c>
      <c r="D218" s="53" t="s">
        <v>59</v>
      </c>
      <c r="E218" s="53" t="s">
        <v>47</v>
      </c>
      <c r="F218" s="53" t="s">
        <v>146</v>
      </c>
      <c r="G218" s="53" t="s">
        <v>6492</v>
      </c>
      <c r="H218" s="53" t="s">
        <v>147</v>
      </c>
      <c r="I218" s="54" t="n">
        <v>46233</v>
      </c>
      <c r="J218" s="53" t="n">
        <v>69</v>
      </c>
      <c r="K218" s="53" t="str">
        <f aca="false">D218&amp;"|"&amp;COUNTIF($D$2:D218,D218)</f>
        <v>Shereen Kamal|2</v>
      </c>
    </row>
    <row r="219" customFormat="false" ht="15" hidden="false" customHeight="false" outlineLevel="0" collapsed="false">
      <c r="A219" s="53" t="s">
        <v>273</v>
      </c>
      <c r="B219" s="53" t="s">
        <v>274</v>
      </c>
      <c r="C219" s="53" t="s">
        <v>6816</v>
      </c>
      <c r="D219" s="53" t="s">
        <v>59</v>
      </c>
      <c r="E219" s="53" t="s">
        <v>47</v>
      </c>
      <c r="F219" s="53" t="s">
        <v>146</v>
      </c>
      <c r="G219" s="53" t="s">
        <v>6817</v>
      </c>
      <c r="H219" s="53" t="s">
        <v>147</v>
      </c>
      <c r="I219" s="54" t="n">
        <v>46204</v>
      </c>
      <c r="J219" s="53" t="n">
        <v>98</v>
      </c>
      <c r="K219" s="53" t="str">
        <f aca="false">D219&amp;"|"&amp;COUNTIF($D$2:D219,D219)</f>
        <v>Shereen Kamal|3</v>
      </c>
    </row>
    <row r="220" customFormat="false" ht="15" hidden="false" customHeight="false" outlineLevel="0" collapsed="false">
      <c r="A220" s="53" t="s">
        <v>650</v>
      </c>
      <c r="B220" s="53" t="s">
        <v>651</v>
      </c>
      <c r="C220" s="53" t="s">
        <v>6818</v>
      </c>
      <c r="D220" s="53" t="s">
        <v>59</v>
      </c>
      <c r="E220" s="53" t="s">
        <v>47</v>
      </c>
      <c r="F220" s="53" t="s">
        <v>146</v>
      </c>
      <c r="G220" s="53" t="s">
        <v>6819</v>
      </c>
      <c r="H220" s="53" t="s">
        <v>209</v>
      </c>
      <c r="I220" s="54" t="n">
        <v>46252</v>
      </c>
      <c r="J220" s="53" t="n">
        <v>50</v>
      </c>
      <c r="K220" s="53" t="str">
        <f aca="false">D220&amp;"|"&amp;COUNTIF($D$2:D220,D220)</f>
        <v>Shereen Kamal|4</v>
      </c>
    </row>
    <row r="221" customFormat="false" ht="15" hidden="false" customHeight="false" outlineLevel="0" collapsed="false">
      <c r="A221" s="53" t="s">
        <v>3874</v>
      </c>
      <c r="B221" s="53" t="s">
        <v>3875</v>
      </c>
      <c r="C221" s="53" t="s">
        <v>6820</v>
      </c>
      <c r="D221" s="53" t="s">
        <v>59</v>
      </c>
      <c r="E221" s="53" t="s">
        <v>47</v>
      </c>
      <c r="F221" s="53" t="s">
        <v>146</v>
      </c>
      <c r="G221" s="53" t="s">
        <v>6548</v>
      </c>
      <c r="H221" s="53" t="s">
        <v>209</v>
      </c>
      <c r="I221" s="54" t="n">
        <v>46266</v>
      </c>
      <c r="J221" s="53" t="n">
        <v>36</v>
      </c>
      <c r="K221" s="53" t="str">
        <f aca="false">D221&amp;"|"&amp;COUNTIF($D$2:D221,D221)</f>
        <v>Shereen Kamal|5</v>
      </c>
    </row>
    <row r="222" customFormat="false" ht="15" hidden="false" customHeight="false" outlineLevel="0" collapsed="false">
      <c r="A222" s="53" t="s">
        <v>1155</v>
      </c>
      <c r="B222" s="53" t="s">
        <v>1156</v>
      </c>
      <c r="C222" s="53" t="s">
        <v>6821</v>
      </c>
      <c r="D222" s="53" t="s">
        <v>59</v>
      </c>
      <c r="E222" s="53" t="s">
        <v>47</v>
      </c>
      <c r="F222" s="53" t="s">
        <v>146</v>
      </c>
      <c r="G222" s="53" t="s">
        <v>6788</v>
      </c>
      <c r="H222" s="53" t="s">
        <v>209</v>
      </c>
      <c r="I222" s="54" t="n">
        <v>46251</v>
      </c>
      <c r="J222" s="53" t="n">
        <v>51</v>
      </c>
      <c r="K222" s="53" t="str">
        <f aca="false">D222&amp;"|"&amp;COUNTIF($D$2:D222,D222)</f>
        <v>Shereen Kamal|6</v>
      </c>
    </row>
    <row r="223" customFormat="false" ht="15" hidden="false" customHeight="false" outlineLevel="0" collapsed="false">
      <c r="A223" s="53" t="s">
        <v>2395</v>
      </c>
      <c r="B223" s="53" t="s">
        <v>2396</v>
      </c>
      <c r="C223" s="53" t="s">
        <v>6822</v>
      </c>
      <c r="D223" s="53" t="s">
        <v>59</v>
      </c>
      <c r="E223" s="53" t="s">
        <v>47</v>
      </c>
      <c r="F223" s="53" t="s">
        <v>146</v>
      </c>
      <c r="G223" s="53" t="s">
        <v>6561</v>
      </c>
      <c r="H223" s="53" t="s">
        <v>209</v>
      </c>
      <c r="I223" s="54" t="n">
        <v>46255</v>
      </c>
      <c r="J223" s="53" t="n">
        <v>47</v>
      </c>
      <c r="K223" s="53" t="str">
        <f aca="false">D223&amp;"|"&amp;COUNTIF($D$2:D223,D223)</f>
        <v>Shereen Kamal|7</v>
      </c>
    </row>
    <row r="224" customFormat="false" ht="15" hidden="false" customHeight="false" outlineLevel="0" collapsed="false">
      <c r="A224" s="53" t="s">
        <v>1827</v>
      </c>
      <c r="B224" s="53" t="s">
        <v>1828</v>
      </c>
      <c r="C224" s="53" t="s">
        <v>6823</v>
      </c>
      <c r="D224" s="53" t="s">
        <v>59</v>
      </c>
      <c r="E224" s="53" t="s">
        <v>47</v>
      </c>
      <c r="F224" s="53" t="s">
        <v>146</v>
      </c>
      <c r="G224" s="53" t="s">
        <v>6561</v>
      </c>
      <c r="H224" s="53" t="s">
        <v>209</v>
      </c>
      <c r="I224" s="54" t="n">
        <v>46255</v>
      </c>
      <c r="J224" s="53" t="n">
        <v>47</v>
      </c>
      <c r="K224" s="53" t="str">
        <f aca="false">D224&amp;"|"&amp;COUNTIF($D$2:D224,D224)</f>
        <v>Shereen Kamal|8</v>
      </c>
    </row>
    <row r="225" customFormat="false" ht="15" hidden="false" customHeight="false" outlineLevel="0" collapsed="false">
      <c r="A225" s="53" t="s">
        <v>910</v>
      </c>
      <c r="B225" s="53" t="s">
        <v>911</v>
      </c>
      <c r="C225" s="53" t="s">
        <v>6824</v>
      </c>
      <c r="D225" s="53" t="s">
        <v>59</v>
      </c>
      <c r="E225" s="53" t="s">
        <v>47</v>
      </c>
      <c r="F225" s="53" t="s">
        <v>146</v>
      </c>
      <c r="G225" s="53" t="s">
        <v>6812</v>
      </c>
      <c r="H225" s="53" t="s">
        <v>175</v>
      </c>
      <c r="I225" s="54" t="s">
        <v>64</v>
      </c>
      <c r="J225" s="53" t="s">
        <v>64</v>
      </c>
      <c r="K225" s="53" t="str">
        <f aca="false">D225&amp;"|"&amp;COUNTIF($D$2:D225,D225)</f>
        <v>Shereen Kamal|9</v>
      </c>
    </row>
    <row r="226" customFormat="false" ht="15" hidden="false" customHeight="false" outlineLevel="0" collapsed="false">
      <c r="A226" s="53" t="s">
        <v>3869</v>
      </c>
      <c r="B226" s="53" t="s">
        <v>3870</v>
      </c>
      <c r="C226" s="53" t="s">
        <v>6825</v>
      </c>
      <c r="D226" s="53" t="s">
        <v>59</v>
      </c>
      <c r="E226" s="53" t="s">
        <v>47</v>
      </c>
      <c r="F226" s="53" t="s">
        <v>146</v>
      </c>
      <c r="G226" s="53" t="s">
        <v>6561</v>
      </c>
      <c r="H226" s="53" t="s">
        <v>209</v>
      </c>
      <c r="I226" s="54" t="n">
        <v>46266</v>
      </c>
      <c r="J226" s="53" t="n">
        <v>36</v>
      </c>
      <c r="K226" s="53" t="str">
        <f aca="false">D226&amp;"|"&amp;COUNTIF($D$2:D226,D226)</f>
        <v>Shereen Kamal|10</v>
      </c>
    </row>
    <row r="227" customFormat="false" ht="15" hidden="false" customHeight="false" outlineLevel="0" collapsed="false">
      <c r="A227" s="53" t="s">
        <v>2464</v>
      </c>
      <c r="B227" s="53" t="s">
        <v>2465</v>
      </c>
      <c r="C227" s="53" t="s">
        <v>6826</v>
      </c>
      <c r="D227" s="53" t="s">
        <v>59</v>
      </c>
      <c r="E227" s="53" t="s">
        <v>47</v>
      </c>
      <c r="F227" s="53" t="s">
        <v>146</v>
      </c>
      <c r="G227" s="53" t="s">
        <v>6790</v>
      </c>
      <c r="H227" s="53" t="s">
        <v>175</v>
      </c>
      <c r="I227" s="54" t="n">
        <v>46100</v>
      </c>
      <c r="J227" s="53" t="n">
        <v>202</v>
      </c>
      <c r="K227" s="53" t="str">
        <f aca="false">D227&amp;"|"&amp;COUNTIF($D$2:D227,D227)</f>
        <v>Shereen Kamal|11</v>
      </c>
    </row>
    <row r="228" customFormat="false" ht="15" hidden="false" customHeight="false" outlineLevel="0" collapsed="false">
      <c r="A228" s="53" t="s">
        <v>2385</v>
      </c>
      <c r="B228" s="53" t="s">
        <v>2386</v>
      </c>
      <c r="C228" s="53" t="s">
        <v>6827</v>
      </c>
      <c r="D228" s="53" t="s">
        <v>59</v>
      </c>
      <c r="E228" s="53" t="s">
        <v>47</v>
      </c>
      <c r="F228" s="53" t="s">
        <v>146</v>
      </c>
      <c r="G228" s="53" t="s">
        <v>6561</v>
      </c>
      <c r="H228" s="53" t="s">
        <v>209</v>
      </c>
      <c r="I228" s="54" t="n">
        <v>46255</v>
      </c>
      <c r="J228" s="53" t="n">
        <v>47</v>
      </c>
      <c r="K228" s="53" t="str">
        <f aca="false">D228&amp;"|"&amp;COUNTIF($D$2:D228,D228)</f>
        <v>Shereen Kamal|12</v>
      </c>
    </row>
    <row r="229" customFormat="false" ht="15" hidden="false" customHeight="false" outlineLevel="0" collapsed="false">
      <c r="A229" s="53" t="s">
        <v>6828</v>
      </c>
      <c r="B229" s="53" t="s">
        <v>6829</v>
      </c>
      <c r="C229" s="53" t="s">
        <v>6830</v>
      </c>
      <c r="D229" s="53" t="s">
        <v>59</v>
      </c>
      <c r="E229" s="53" t="s">
        <v>47</v>
      </c>
      <c r="F229" s="53" t="s">
        <v>146</v>
      </c>
      <c r="G229" s="53" t="s">
        <v>6548</v>
      </c>
      <c r="H229" s="53" t="s">
        <v>209</v>
      </c>
      <c r="I229" s="54" t="n">
        <v>46266</v>
      </c>
      <c r="J229" s="53" t="n">
        <v>36</v>
      </c>
      <c r="K229" s="53" t="str">
        <f aca="false">D229&amp;"|"&amp;COUNTIF($D$2:D229,D229)</f>
        <v>Shereen Kamal|13</v>
      </c>
    </row>
    <row r="230" customFormat="false" ht="15" hidden="false" customHeight="false" outlineLevel="0" collapsed="false">
      <c r="A230" s="53" t="s">
        <v>1172</v>
      </c>
      <c r="B230" s="53" t="s">
        <v>1173</v>
      </c>
      <c r="C230" s="53" t="s">
        <v>6831</v>
      </c>
      <c r="D230" s="53" t="s">
        <v>59</v>
      </c>
      <c r="E230" s="53" t="s">
        <v>47</v>
      </c>
      <c r="F230" s="53" t="s">
        <v>146</v>
      </c>
      <c r="G230" s="53" t="s">
        <v>6817</v>
      </c>
      <c r="H230" s="53" t="s">
        <v>209</v>
      </c>
      <c r="I230" s="54" t="n">
        <v>46255</v>
      </c>
      <c r="J230" s="53" t="n">
        <v>47</v>
      </c>
      <c r="K230" s="53" t="str">
        <f aca="false">D230&amp;"|"&amp;COUNTIF($D$2:D230,D230)</f>
        <v>Shereen Kamal|14</v>
      </c>
    </row>
    <row r="231" customFormat="false" ht="15" hidden="false" customHeight="false" outlineLevel="0" collapsed="false">
      <c r="A231" s="53" t="s">
        <v>144</v>
      </c>
      <c r="B231" s="53" t="s">
        <v>145</v>
      </c>
      <c r="C231" s="53" t="s">
        <v>6832</v>
      </c>
      <c r="D231" s="53" t="s">
        <v>59</v>
      </c>
      <c r="E231" s="53" t="s">
        <v>47</v>
      </c>
      <c r="F231" s="53" t="s">
        <v>146</v>
      </c>
      <c r="G231" s="53" t="s">
        <v>6817</v>
      </c>
      <c r="H231" s="53" t="s">
        <v>147</v>
      </c>
      <c r="I231" s="54" t="n">
        <v>46204</v>
      </c>
      <c r="J231" s="53" t="n">
        <v>98</v>
      </c>
      <c r="K231" s="53" t="str">
        <f aca="false">D231&amp;"|"&amp;COUNTIF($D$2:D231,D231)</f>
        <v>Shereen Kamal|15</v>
      </c>
    </row>
    <row r="232" customFormat="false" ht="15" hidden="false" customHeight="false" outlineLevel="0" collapsed="false">
      <c r="A232" s="53" t="s">
        <v>371</v>
      </c>
      <c r="B232" s="53" t="s">
        <v>372</v>
      </c>
      <c r="C232" s="53" t="s">
        <v>6833</v>
      </c>
      <c r="D232" s="53" t="s">
        <v>59</v>
      </c>
      <c r="E232" s="53" t="s">
        <v>47</v>
      </c>
      <c r="F232" s="53" t="s">
        <v>146</v>
      </c>
      <c r="G232" s="53" t="s">
        <v>6817</v>
      </c>
      <c r="H232" s="53" t="s">
        <v>147</v>
      </c>
      <c r="I232" s="54" t="n">
        <v>46204</v>
      </c>
      <c r="J232" s="53" t="n">
        <v>98</v>
      </c>
      <c r="K232" s="53" t="str">
        <f aca="false">D232&amp;"|"&amp;COUNTIF($D$2:D232,D232)</f>
        <v>Shereen Kamal|16</v>
      </c>
    </row>
    <row r="233" customFormat="false" ht="15" hidden="false" customHeight="false" outlineLevel="0" collapsed="false">
      <c r="A233" s="53" t="s">
        <v>6834</v>
      </c>
      <c r="B233" s="53" t="s">
        <v>6835</v>
      </c>
      <c r="C233" s="53" t="s">
        <v>6836</v>
      </c>
      <c r="D233" s="53" t="s">
        <v>60</v>
      </c>
      <c r="E233" s="53" t="s">
        <v>61</v>
      </c>
      <c r="F233" s="53" t="s">
        <v>3708</v>
      </c>
      <c r="G233" s="53" t="s">
        <v>6837</v>
      </c>
      <c r="H233" s="53" t="s">
        <v>175</v>
      </c>
      <c r="I233" s="54" t="s">
        <v>64</v>
      </c>
      <c r="J233" s="53" t="s">
        <v>64</v>
      </c>
      <c r="K233" s="53" t="str">
        <f aca="false">D233&amp;"|"&amp;COUNTIF($D$2:D233,D233)</f>
        <v>Taher Yehia|1</v>
      </c>
    </row>
    <row r="234" customFormat="false" ht="15" hidden="false" customHeight="false" outlineLevel="0" collapsed="false">
      <c r="A234" s="53" t="s">
        <v>6838</v>
      </c>
      <c r="B234" s="53" t="s">
        <v>6839</v>
      </c>
      <c r="C234" s="53" t="s">
        <v>6840</v>
      </c>
      <c r="D234" s="53" t="s">
        <v>60</v>
      </c>
      <c r="E234" s="53" t="s">
        <v>61</v>
      </c>
      <c r="F234" s="53" t="s">
        <v>3708</v>
      </c>
      <c r="G234" s="53" t="s">
        <v>6837</v>
      </c>
      <c r="H234" s="53" t="s">
        <v>175</v>
      </c>
      <c r="I234" s="54" t="s">
        <v>64</v>
      </c>
      <c r="J234" s="53" t="s">
        <v>64</v>
      </c>
      <c r="K234" s="53" t="str">
        <f aca="false">D234&amp;"|"&amp;COUNTIF($D$2:D234,D234)</f>
        <v>Taher Yehia|2</v>
      </c>
    </row>
    <row r="235" customFormat="false" ht="15" hidden="false" customHeight="false" outlineLevel="0" collapsed="false">
      <c r="A235" s="53" t="s">
        <v>6841</v>
      </c>
      <c r="B235" s="53" t="s">
        <v>6842</v>
      </c>
      <c r="C235" s="53" t="s">
        <v>6843</v>
      </c>
      <c r="D235" s="53" t="s">
        <v>60</v>
      </c>
      <c r="E235" s="53" t="s">
        <v>61</v>
      </c>
      <c r="F235" s="53" t="s">
        <v>3708</v>
      </c>
      <c r="G235" s="53" t="s">
        <v>6837</v>
      </c>
      <c r="H235" s="53" t="s">
        <v>175</v>
      </c>
      <c r="I235" s="54" t="s">
        <v>64</v>
      </c>
      <c r="J235" s="53" t="s">
        <v>64</v>
      </c>
      <c r="K235" s="53" t="str">
        <f aca="false">D235&amp;"|"&amp;COUNTIF($D$2:D235,D235)</f>
        <v>Taher Yehia|3</v>
      </c>
    </row>
    <row r="236" customFormat="false" ht="15" hidden="false" customHeight="false" outlineLevel="0" collapsed="false">
      <c r="A236" s="53" t="s">
        <v>6844</v>
      </c>
      <c r="B236" s="53" t="s">
        <v>6845</v>
      </c>
      <c r="C236" s="53" t="s">
        <v>6846</v>
      </c>
      <c r="D236" s="53" t="s">
        <v>60</v>
      </c>
      <c r="E236" s="53" t="s">
        <v>61</v>
      </c>
      <c r="F236" s="53" t="s">
        <v>3708</v>
      </c>
      <c r="G236" s="53" t="s">
        <v>6837</v>
      </c>
      <c r="H236" s="53" t="s">
        <v>175</v>
      </c>
      <c r="I236" s="54" t="s">
        <v>64</v>
      </c>
      <c r="J236" s="53" t="s">
        <v>64</v>
      </c>
      <c r="K236" s="53" t="str">
        <f aca="false">D236&amp;"|"&amp;COUNTIF($D$2:D236,D236)</f>
        <v>Taher Yehia|4</v>
      </c>
    </row>
    <row r="237" customFormat="false" ht="15" hidden="false" customHeight="false" outlineLevel="0" collapsed="false">
      <c r="A237" s="53" t="s">
        <v>6847</v>
      </c>
      <c r="B237" s="53" t="s">
        <v>6848</v>
      </c>
      <c r="C237" s="53" t="s">
        <v>6849</v>
      </c>
      <c r="D237" s="53" t="s">
        <v>60</v>
      </c>
      <c r="E237" s="53" t="s">
        <v>61</v>
      </c>
      <c r="F237" s="53" t="s">
        <v>3708</v>
      </c>
      <c r="G237" s="53" t="s">
        <v>6837</v>
      </c>
      <c r="H237" s="53" t="s">
        <v>175</v>
      </c>
      <c r="I237" s="54" t="s">
        <v>64</v>
      </c>
      <c r="J237" s="53" t="s">
        <v>64</v>
      </c>
      <c r="K237" s="53" t="str">
        <f aca="false">D237&amp;"|"&amp;COUNTIF($D$2:D237,D237)</f>
        <v>Taher Yehia|5</v>
      </c>
    </row>
    <row r="238" customFormat="false" ht="15" hidden="false" customHeight="false" outlineLevel="0" collapsed="false">
      <c r="A238" s="53" t="s">
        <v>6850</v>
      </c>
      <c r="B238" s="53" t="s">
        <v>6851</v>
      </c>
      <c r="C238" s="53" t="s">
        <v>6852</v>
      </c>
      <c r="D238" s="53" t="s">
        <v>60</v>
      </c>
      <c r="E238" s="53" t="s">
        <v>61</v>
      </c>
      <c r="F238" s="53" t="s">
        <v>3708</v>
      </c>
      <c r="G238" s="53" t="s">
        <v>6837</v>
      </c>
      <c r="H238" s="53" t="s">
        <v>175</v>
      </c>
      <c r="I238" s="54" t="s">
        <v>64</v>
      </c>
      <c r="J238" s="53" t="s">
        <v>64</v>
      </c>
      <c r="K238" s="53" t="str">
        <f aca="false">D238&amp;"|"&amp;COUNTIF($D$2:D238,D238)</f>
        <v>Taher Yehia|6</v>
      </c>
    </row>
    <row r="239" customFormat="false" ht="15" hidden="false" customHeight="false" outlineLevel="0" collapsed="false">
      <c r="A239" s="53" t="s">
        <v>6853</v>
      </c>
      <c r="B239" s="53" t="s">
        <v>6854</v>
      </c>
      <c r="C239" s="53" t="s">
        <v>6855</v>
      </c>
      <c r="D239" s="53" t="s">
        <v>60</v>
      </c>
      <c r="E239" s="53" t="s">
        <v>61</v>
      </c>
      <c r="F239" s="53" t="s">
        <v>3708</v>
      </c>
      <c r="G239" s="53" t="s">
        <v>6837</v>
      </c>
      <c r="H239" s="53" t="s">
        <v>175</v>
      </c>
      <c r="I239" s="54" t="s">
        <v>64</v>
      </c>
      <c r="J239" s="53" t="s">
        <v>64</v>
      </c>
      <c r="K239" s="53" t="str">
        <f aca="false">D239&amp;"|"&amp;COUNTIF($D$2:D239,D239)</f>
        <v>Taher Yehia|7</v>
      </c>
    </row>
    <row r="240" customFormat="false" ht="15" hidden="false" customHeight="false" outlineLevel="0" collapsed="false">
      <c r="A240" s="53" t="s">
        <v>6856</v>
      </c>
      <c r="B240" s="53" t="s">
        <v>6857</v>
      </c>
      <c r="C240" s="53" t="s">
        <v>6858</v>
      </c>
      <c r="D240" s="53" t="s">
        <v>60</v>
      </c>
      <c r="E240" s="53" t="s">
        <v>61</v>
      </c>
      <c r="F240" s="53" t="s">
        <v>3708</v>
      </c>
      <c r="G240" s="53" t="s">
        <v>6837</v>
      </c>
      <c r="H240" s="53" t="s">
        <v>175</v>
      </c>
      <c r="I240" s="54" t="s">
        <v>64</v>
      </c>
      <c r="J240" s="53" t="s">
        <v>64</v>
      </c>
      <c r="K240" s="53" t="str">
        <f aca="false">D240&amp;"|"&amp;COUNTIF($D$2:D240,D240)</f>
        <v>Taher Yehia|8</v>
      </c>
    </row>
    <row r="241" customFormat="false" ht="15" hidden="false" customHeight="false" outlineLevel="0" collapsed="false">
      <c r="A241" s="53" t="s">
        <v>6859</v>
      </c>
      <c r="B241" s="53" t="s">
        <v>6860</v>
      </c>
      <c r="C241" s="53" t="s">
        <v>6861</v>
      </c>
      <c r="D241" s="53" t="s">
        <v>60</v>
      </c>
      <c r="E241" s="53" t="s">
        <v>61</v>
      </c>
      <c r="F241" s="53" t="s">
        <v>3708</v>
      </c>
      <c r="G241" s="53" t="s">
        <v>6837</v>
      </c>
      <c r="H241" s="53" t="s">
        <v>175</v>
      </c>
      <c r="I241" s="54" t="s">
        <v>64</v>
      </c>
      <c r="J241" s="53" t="s">
        <v>64</v>
      </c>
      <c r="K241" s="53" t="str">
        <f aca="false">D241&amp;"|"&amp;COUNTIF($D$2:D241,D241)</f>
        <v>Taher Yehia|9</v>
      </c>
    </row>
    <row r="242" customFormat="false" ht="15" hidden="false" customHeight="false" outlineLevel="0" collapsed="false">
      <c r="A242" s="53" t="s">
        <v>6862</v>
      </c>
      <c r="B242" s="53" t="s">
        <v>6863</v>
      </c>
      <c r="C242" s="53" t="s">
        <v>6864</v>
      </c>
      <c r="D242" s="53" t="s">
        <v>60</v>
      </c>
      <c r="E242" s="53" t="s">
        <v>61</v>
      </c>
      <c r="F242" s="53" t="s">
        <v>3708</v>
      </c>
      <c r="G242" s="53" t="s">
        <v>6837</v>
      </c>
      <c r="H242" s="53" t="s">
        <v>175</v>
      </c>
      <c r="I242" s="54" t="s">
        <v>64</v>
      </c>
      <c r="J242" s="53" t="s">
        <v>64</v>
      </c>
      <c r="K242" s="53" t="str">
        <f aca="false">D242&amp;"|"&amp;COUNTIF($D$2:D242,D242)</f>
        <v>Taher Yehia|10</v>
      </c>
    </row>
    <row r="243" customFormat="false" ht="15" hidden="false" customHeight="false" outlineLevel="0" collapsed="false">
      <c r="A243" s="53" t="s">
        <v>6865</v>
      </c>
      <c r="B243" s="53" t="s">
        <v>6866</v>
      </c>
      <c r="C243" s="53" t="s">
        <v>6867</v>
      </c>
      <c r="D243" s="53" t="s">
        <v>60</v>
      </c>
      <c r="E243" s="53" t="s">
        <v>61</v>
      </c>
      <c r="F243" s="53" t="s">
        <v>3708</v>
      </c>
      <c r="G243" s="53" t="s">
        <v>6837</v>
      </c>
      <c r="H243" s="53" t="s">
        <v>175</v>
      </c>
      <c r="I243" s="54" t="s">
        <v>64</v>
      </c>
      <c r="J243" s="53" t="s">
        <v>64</v>
      </c>
      <c r="K243" s="53" t="str">
        <f aca="false">D243&amp;"|"&amp;COUNTIF($D$2:D243,D243)</f>
        <v>Taher Yehia|11</v>
      </c>
    </row>
    <row r="244" customFormat="false" ht="15" hidden="false" customHeight="false" outlineLevel="0" collapsed="false">
      <c r="A244" s="53" t="s">
        <v>6868</v>
      </c>
      <c r="B244" s="53" t="s">
        <v>6869</v>
      </c>
      <c r="C244" s="53" t="s">
        <v>6870</v>
      </c>
      <c r="D244" s="53" t="s">
        <v>60</v>
      </c>
      <c r="E244" s="53" t="s">
        <v>61</v>
      </c>
      <c r="F244" s="53" t="s">
        <v>3708</v>
      </c>
      <c r="G244" s="53" t="s">
        <v>6837</v>
      </c>
      <c r="H244" s="53" t="s">
        <v>175</v>
      </c>
      <c r="I244" s="54" t="s">
        <v>64</v>
      </c>
      <c r="J244" s="53" t="s">
        <v>64</v>
      </c>
      <c r="K244" s="53" t="str">
        <f aca="false">D244&amp;"|"&amp;COUNTIF($D$2:D244,D244)</f>
        <v>Taher Yehia|12</v>
      </c>
    </row>
    <row r="245" customFormat="false" ht="15" hidden="false" customHeight="false" outlineLevel="0" collapsed="false">
      <c r="A245" s="53" t="s">
        <v>6871</v>
      </c>
      <c r="B245" s="53" t="s">
        <v>6872</v>
      </c>
      <c r="C245" s="53" t="s">
        <v>6873</v>
      </c>
      <c r="D245" s="53" t="s">
        <v>60</v>
      </c>
      <c r="E245" s="53" t="s">
        <v>61</v>
      </c>
      <c r="F245" s="53" t="s">
        <v>3708</v>
      </c>
      <c r="G245" s="53" t="s">
        <v>6837</v>
      </c>
      <c r="H245" s="53" t="s">
        <v>175</v>
      </c>
      <c r="I245" s="54" t="s">
        <v>64</v>
      </c>
      <c r="J245" s="53" t="s">
        <v>64</v>
      </c>
      <c r="K245" s="53" t="str">
        <f aca="false">D245&amp;"|"&amp;COUNTIF($D$2:D245,D245)</f>
        <v>Taher Yehia|13</v>
      </c>
    </row>
    <row r="246" customFormat="false" ht="15" hidden="false" customHeight="false" outlineLevel="0" collapsed="false">
      <c r="A246" s="53" t="s">
        <v>6874</v>
      </c>
      <c r="B246" s="53" t="s">
        <v>6875</v>
      </c>
      <c r="C246" s="53" t="s">
        <v>6876</v>
      </c>
      <c r="D246" s="53" t="s">
        <v>60</v>
      </c>
      <c r="E246" s="53" t="s">
        <v>61</v>
      </c>
      <c r="F246" s="53" t="s">
        <v>3708</v>
      </c>
      <c r="G246" s="53" t="s">
        <v>6837</v>
      </c>
      <c r="H246" s="53" t="s">
        <v>175</v>
      </c>
      <c r="I246" s="54" t="s">
        <v>64</v>
      </c>
      <c r="J246" s="53" t="s">
        <v>64</v>
      </c>
      <c r="K246" s="53" t="str">
        <f aca="false">D246&amp;"|"&amp;COUNTIF($D$2:D246,D246)</f>
        <v>Taher Yehia|14</v>
      </c>
    </row>
    <row r="247" customFormat="false" ht="15" hidden="false" customHeight="false" outlineLevel="0" collapsed="false">
      <c r="A247" s="53" t="s">
        <v>6877</v>
      </c>
      <c r="B247" s="53" t="s">
        <v>6878</v>
      </c>
      <c r="C247" s="53" t="s">
        <v>6879</v>
      </c>
      <c r="D247" s="53" t="s">
        <v>60</v>
      </c>
      <c r="E247" s="53" t="s">
        <v>61</v>
      </c>
      <c r="F247" s="53" t="s">
        <v>3708</v>
      </c>
      <c r="G247" s="53" t="s">
        <v>6837</v>
      </c>
      <c r="H247" s="53" t="s">
        <v>175</v>
      </c>
      <c r="I247" s="54" t="s">
        <v>64</v>
      </c>
      <c r="J247" s="53" t="s">
        <v>64</v>
      </c>
      <c r="K247" s="53" t="str">
        <f aca="false">D247&amp;"|"&amp;COUNTIF($D$2:D247,D247)</f>
        <v>Taher Yehia|15</v>
      </c>
    </row>
    <row r="248" customFormat="false" ht="15" hidden="false" customHeight="false" outlineLevel="0" collapsed="false">
      <c r="A248" s="53" t="s">
        <v>6880</v>
      </c>
      <c r="B248" s="53" t="s">
        <v>6881</v>
      </c>
      <c r="C248" s="53" t="s">
        <v>6882</v>
      </c>
      <c r="D248" s="53" t="s">
        <v>60</v>
      </c>
      <c r="E248" s="53" t="s">
        <v>61</v>
      </c>
      <c r="F248" s="53" t="s">
        <v>3708</v>
      </c>
      <c r="G248" s="53" t="s">
        <v>6837</v>
      </c>
      <c r="H248" s="53" t="s">
        <v>175</v>
      </c>
      <c r="I248" s="54" t="s">
        <v>64</v>
      </c>
      <c r="J248" s="53" t="s">
        <v>64</v>
      </c>
      <c r="K248" s="53" t="str">
        <f aca="false">D248&amp;"|"&amp;COUNTIF($D$2:D248,D248)</f>
        <v>Taher Yehia|16</v>
      </c>
    </row>
    <row r="249" customFormat="false" ht="15" hidden="false" customHeight="false" outlineLevel="0" collapsed="false">
      <c r="A249" s="53" t="s">
        <v>6883</v>
      </c>
      <c r="B249" s="53" t="s">
        <v>6884</v>
      </c>
      <c r="C249" s="53" t="s">
        <v>6885</v>
      </c>
      <c r="D249" s="53" t="s">
        <v>60</v>
      </c>
      <c r="E249" s="53" t="s">
        <v>61</v>
      </c>
      <c r="F249" s="53" t="s">
        <v>3708</v>
      </c>
      <c r="G249" s="53" t="s">
        <v>6837</v>
      </c>
      <c r="H249" s="53" t="s">
        <v>209</v>
      </c>
      <c r="I249" s="54" t="n">
        <v>46266</v>
      </c>
      <c r="J249" s="53" t="n">
        <v>36</v>
      </c>
      <c r="K249" s="53" t="str">
        <f aca="false">D249&amp;"|"&amp;COUNTIF($D$2:D249,D249)</f>
        <v>Taher Yehia|17</v>
      </c>
    </row>
    <row r="250" customFormat="false" ht="15" hidden="false" customHeight="false" outlineLevel="0" collapsed="false">
      <c r="A250" s="53" t="s">
        <v>6886</v>
      </c>
      <c r="B250" s="53" t="s">
        <v>6887</v>
      </c>
      <c r="C250" s="53" t="s">
        <v>6888</v>
      </c>
      <c r="D250" s="53" t="s">
        <v>60</v>
      </c>
      <c r="E250" s="53" t="s">
        <v>61</v>
      </c>
      <c r="F250" s="53" t="s">
        <v>3708</v>
      </c>
      <c r="G250" s="53" t="s">
        <v>6837</v>
      </c>
      <c r="H250" s="53" t="s">
        <v>209</v>
      </c>
      <c r="I250" s="54" t="n">
        <v>46266</v>
      </c>
      <c r="J250" s="53" t="n">
        <v>36</v>
      </c>
      <c r="K250" s="53" t="str">
        <f aca="false">D250&amp;"|"&amp;COUNTIF($D$2:D250,D250)</f>
        <v>Taher Yehia|18</v>
      </c>
    </row>
    <row r="251" customFormat="false" ht="15" hidden="false" customHeight="false" outlineLevel="0" collapsed="false">
      <c r="A251" s="53" t="s">
        <v>6889</v>
      </c>
      <c r="B251" s="53" t="s">
        <v>6890</v>
      </c>
      <c r="C251" s="53" t="s">
        <v>6891</v>
      </c>
      <c r="D251" s="53" t="s">
        <v>60</v>
      </c>
      <c r="E251" s="53" t="s">
        <v>61</v>
      </c>
      <c r="F251" s="53" t="s">
        <v>3708</v>
      </c>
      <c r="G251" s="53" t="s">
        <v>6837</v>
      </c>
      <c r="H251" s="53" t="s">
        <v>209</v>
      </c>
      <c r="I251" s="54" t="n">
        <v>46266</v>
      </c>
      <c r="J251" s="53" t="n">
        <v>36</v>
      </c>
      <c r="K251" s="53" t="str">
        <f aca="false">D251&amp;"|"&amp;COUNTIF($D$2:D251,D251)</f>
        <v>Taher Yehia|19</v>
      </c>
    </row>
  </sheetData>
  <autoFilter ref="A1:K25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E2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8"/>
    <col collapsed="false" customWidth="true" hidden="false" outlineLevel="0" max="3" min="3" style="0" width="14"/>
    <col collapsed="false" customWidth="true" hidden="false" outlineLevel="0" max="4" min="4" style="0" width="42"/>
    <col collapsed="false" customWidth="true" hidden="false" outlineLevel="0" max="5" min="5" style="0" width="8"/>
  </cols>
  <sheetData>
    <row r="1" customFormat="false" ht="15" hidden="false" customHeight="false" outlineLevel="0" collapsed="false">
      <c r="A1" s="61" t="s">
        <v>6892</v>
      </c>
      <c r="B1" s="61" t="s">
        <v>6893</v>
      </c>
      <c r="C1" s="61" t="s">
        <v>6894</v>
      </c>
      <c r="D1" s="61" t="s">
        <v>6895</v>
      </c>
      <c r="E1" s="61" t="s">
        <v>6896</v>
      </c>
    </row>
    <row r="2" customFormat="false" ht="15" hidden="false" customHeight="false" outlineLevel="0" collapsed="false">
      <c r="A2" s="53" t="s">
        <v>11</v>
      </c>
      <c r="B2" s="53" t="s">
        <v>11</v>
      </c>
      <c r="C2" s="53" t="s">
        <v>3</v>
      </c>
      <c r="D2" s="53" t="s">
        <v>6792</v>
      </c>
      <c r="E2" s="53" t="s">
        <v>15</v>
      </c>
    </row>
    <row r="3" customFormat="false" ht="15" hidden="false" customHeight="false" outlineLevel="0" collapsed="false">
      <c r="A3" s="53" t="s">
        <v>44</v>
      </c>
      <c r="B3" s="53" t="s">
        <v>47</v>
      </c>
      <c r="C3" s="53" t="s">
        <v>4</v>
      </c>
      <c r="D3" s="53" t="s">
        <v>6547</v>
      </c>
      <c r="E3" s="53" t="s">
        <v>2056</v>
      </c>
    </row>
    <row r="4" customFormat="false" ht="15" hidden="false" customHeight="false" outlineLevel="0" collapsed="false">
      <c r="A4" s="53" t="s">
        <v>46</v>
      </c>
      <c r="B4" s="53" t="s">
        <v>61</v>
      </c>
      <c r="C4" s="53" t="s">
        <v>5</v>
      </c>
      <c r="D4" s="53" t="s">
        <v>6814</v>
      </c>
      <c r="E4" s="3"/>
    </row>
    <row r="5" customFormat="false" ht="15" hidden="false" customHeight="false" outlineLevel="0" collapsed="false">
      <c r="A5" s="53" t="s">
        <v>48</v>
      </c>
      <c r="B5" s="53" t="s">
        <v>49</v>
      </c>
      <c r="C5" s="53" t="s">
        <v>6</v>
      </c>
      <c r="D5" s="53" t="s">
        <v>6499</v>
      </c>
      <c r="E5" s="3"/>
    </row>
    <row r="6" customFormat="false" ht="15" hidden="false" customHeight="false" outlineLevel="0" collapsed="false">
      <c r="A6" s="53" t="s">
        <v>50</v>
      </c>
      <c r="B6" s="3"/>
      <c r="C6" s="3"/>
      <c r="D6" s="53" t="s">
        <v>6501</v>
      </c>
      <c r="E6" s="3"/>
    </row>
    <row r="7" customFormat="false" ht="15" hidden="false" customHeight="false" outlineLevel="0" collapsed="false">
      <c r="A7" s="53" t="s">
        <v>51</v>
      </c>
      <c r="B7" s="3"/>
      <c r="C7" s="3"/>
      <c r="D7" s="53" t="s">
        <v>6570</v>
      </c>
      <c r="E7" s="3"/>
    </row>
    <row r="8" customFormat="false" ht="15" hidden="false" customHeight="false" outlineLevel="0" collapsed="false">
      <c r="A8" s="53" t="s">
        <v>52</v>
      </c>
      <c r="B8" s="3"/>
      <c r="C8" s="3"/>
      <c r="D8" s="53" t="s">
        <v>6549</v>
      </c>
      <c r="E8" s="3"/>
    </row>
    <row r="9" customFormat="false" ht="15" hidden="false" customHeight="false" outlineLevel="0" collapsed="false">
      <c r="A9" s="53" t="s">
        <v>53</v>
      </c>
      <c r="B9" s="3"/>
      <c r="C9" s="3"/>
      <c r="D9" s="53" t="s">
        <v>6757</v>
      </c>
      <c r="E9" s="3"/>
    </row>
    <row r="10" customFormat="false" ht="15" hidden="false" customHeight="false" outlineLevel="0" collapsed="false">
      <c r="A10" s="53" t="s">
        <v>54</v>
      </c>
      <c r="B10" s="3"/>
      <c r="C10" s="3"/>
      <c r="D10" s="53" t="s">
        <v>6815</v>
      </c>
      <c r="E10" s="3"/>
    </row>
    <row r="11" customFormat="false" ht="15" hidden="false" customHeight="false" outlineLevel="0" collapsed="false">
      <c r="A11" s="53" t="s">
        <v>55</v>
      </c>
      <c r="B11" s="3"/>
      <c r="C11" s="3"/>
      <c r="D11" s="53" t="s">
        <v>6502</v>
      </c>
      <c r="E11" s="3"/>
    </row>
    <row r="12" customFormat="false" ht="15" hidden="false" customHeight="false" outlineLevel="0" collapsed="false">
      <c r="A12" s="53" t="s">
        <v>56</v>
      </c>
      <c r="B12" s="3"/>
      <c r="C12" s="3"/>
      <c r="D12" s="53" t="s">
        <v>6698</v>
      </c>
      <c r="E12" s="3"/>
    </row>
    <row r="13" customFormat="false" ht="15" hidden="false" customHeight="false" outlineLevel="0" collapsed="false">
      <c r="A13" s="53" t="s">
        <v>57</v>
      </c>
      <c r="B13" s="3"/>
      <c r="C13" s="3"/>
      <c r="D13" s="53" t="s">
        <v>6702</v>
      </c>
      <c r="E13" s="3"/>
    </row>
    <row r="14" customFormat="false" ht="15" hidden="false" customHeight="false" outlineLevel="0" collapsed="false">
      <c r="A14" s="53" t="s">
        <v>58</v>
      </c>
      <c r="B14" s="3"/>
      <c r="C14" s="3"/>
      <c r="D14" s="53" t="s">
        <v>6836</v>
      </c>
      <c r="E14" s="3"/>
    </row>
    <row r="15" customFormat="false" ht="15" hidden="false" customHeight="false" outlineLevel="0" collapsed="false">
      <c r="A15" s="53" t="s">
        <v>59</v>
      </c>
      <c r="B15" s="3"/>
      <c r="C15" s="3"/>
      <c r="D15" s="53" t="s">
        <v>6449</v>
      </c>
      <c r="E15" s="3"/>
    </row>
    <row r="16" customFormat="false" ht="15" hidden="false" customHeight="false" outlineLevel="0" collapsed="false">
      <c r="A16" s="53" t="s">
        <v>60</v>
      </c>
      <c r="B16" s="3"/>
      <c r="C16" s="3"/>
      <c r="D16" s="53" t="s">
        <v>6840</v>
      </c>
      <c r="E16" s="3"/>
    </row>
    <row r="17" customFormat="false" ht="15" hidden="false" customHeight="false" outlineLevel="0" collapsed="false">
      <c r="A17" s="3"/>
      <c r="B17" s="3"/>
      <c r="C17" s="3"/>
      <c r="D17" s="53" t="s">
        <v>6572</v>
      </c>
      <c r="E17" s="3"/>
    </row>
    <row r="18" customFormat="false" ht="15" hidden="false" customHeight="false" outlineLevel="0" collapsed="false">
      <c r="A18" s="3"/>
      <c r="B18" s="3"/>
      <c r="C18" s="3"/>
      <c r="D18" s="53" t="s">
        <v>6673</v>
      </c>
      <c r="E18" s="3"/>
    </row>
    <row r="19" customFormat="false" ht="15" hidden="false" customHeight="false" outlineLevel="0" collapsed="false">
      <c r="A19" s="3"/>
      <c r="B19" s="3"/>
      <c r="C19" s="3"/>
      <c r="D19" s="53" t="s">
        <v>6758</v>
      </c>
      <c r="E19" s="3"/>
    </row>
    <row r="20" customFormat="false" ht="15" hidden="false" customHeight="false" outlineLevel="0" collapsed="false">
      <c r="A20" s="3"/>
      <c r="B20" s="3"/>
      <c r="C20" s="3"/>
      <c r="D20" s="53" t="s">
        <v>6843</v>
      </c>
      <c r="E20" s="3"/>
    </row>
    <row r="21" customFormat="false" ht="15" hidden="false" customHeight="false" outlineLevel="0" collapsed="false">
      <c r="A21" s="3"/>
      <c r="B21" s="3"/>
      <c r="C21" s="3"/>
      <c r="D21" s="53" t="s">
        <v>6516</v>
      </c>
      <c r="E21" s="3"/>
    </row>
    <row r="22" customFormat="false" ht="15" hidden="false" customHeight="false" outlineLevel="0" collapsed="false">
      <c r="A22" s="3"/>
      <c r="B22" s="3"/>
      <c r="C22" s="3"/>
      <c r="D22" s="53" t="s">
        <v>6705</v>
      </c>
      <c r="E22" s="3"/>
    </row>
    <row r="23" customFormat="false" ht="15" hidden="false" customHeight="false" outlineLevel="0" collapsed="false">
      <c r="A23" s="3"/>
      <c r="B23" s="3"/>
      <c r="C23" s="3"/>
      <c r="D23" s="53" t="s">
        <v>6708</v>
      </c>
      <c r="E23" s="3"/>
    </row>
    <row r="24" customFormat="false" ht="15" hidden="false" customHeight="false" outlineLevel="0" collapsed="false">
      <c r="A24" s="3"/>
      <c r="B24" s="3"/>
      <c r="C24" s="3"/>
      <c r="D24" s="53" t="s">
        <v>6709</v>
      </c>
      <c r="E24" s="3"/>
    </row>
    <row r="25" customFormat="false" ht="15" hidden="false" customHeight="false" outlineLevel="0" collapsed="false">
      <c r="A25" s="3"/>
      <c r="B25" s="3"/>
      <c r="C25" s="3"/>
      <c r="D25" s="53" t="s">
        <v>6759</v>
      </c>
      <c r="E25" s="3"/>
    </row>
    <row r="26" customFormat="false" ht="15" hidden="false" customHeight="false" outlineLevel="0" collapsed="false">
      <c r="A26" s="3"/>
      <c r="B26" s="3"/>
      <c r="C26" s="3"/>
      <c r="D26" s="53" t="s">
        <v>6763</v>
      </c>
      <c r="E26" s="3"/>
    </row>
    <row r="27" customFormat="false" ht="15" hidden="false" customHeight="false" outlineLevel="0" collapsed="false">
      <c r="A27" s="3"/>
      <c r="B27" s="3"/>
      <c r="C27" s="3"/>
      <c r="D27" s="53" t="s">
        <v>6793</v>
      </c>
      <c r="E27" s="3"/>
    </row>
    <row r="28" customFormat="false" ht="15" hidden="false" customHeight="false" outlineLevel="0" collapsed="false">
      <c r="A28" s="3"/>
      <c r="B28" s="3"/>
      <c r="C28" s="3"/>
      <c r="D28" s="53" t="s">
        <v>6675</v>
      </c>
      <c r="E28" s="3"/>
    </row>
    <row r="29" customFormat="false" ht="15" hidden="false" customHeight="false" outlineLevel="0" collapsed="false">
      <c r="A29" s="3"/>
      <c r="B29" s="3"/>
      <c r="C29" s="3"/>
      <c r="D29" s="53" t="s">
        <v>6451</v>
      </c>
      <c r="E29" s="3"/>
    </row>
    <row r="30" customFormat="false" ht="15" hidden="false" customHeight="false" outlineLevel="0" collapsed="false">
      <c r="A30" s="3"/>
      <c r="B30" s="3"/>
      <c r="C30" s="3"/>
      <c r="D30" s="53" t="s">
        <v>6765</v>
      </c>
      <c r="E30" s="3"/>
    </row>
    <row r="31" customFormat="false" ht="15" hidden="false" customHeight="false" outlineLevel="0" collapsed="false">
      <c r="A31" s="3"/>
      <c r="B31" s="3"/>
      <c r="C31" s="3"/>
      <c r="D31" s="53" t="s">
        <v>6454</v>
      </c>
      <c r="E31" s="3"/>
    </row>
    <row r="32" customFormat="false" ht="15" hidden="false" customHeight="false" outlineLevel="0" collapsed="false">
      <c r="A32" s="3"/>
      <c r="B32" s="3"/>
      <c r="C32" s="3"/>
      <c r="D32" s="53" t="s">
        <v>6455</v>
      </c>
      <c r="E32" s="3"/>
    </row>
    <row r="33" customFormat="false" ht="15" hidden="false" customHeight="false" outlineLevel="0" collapsed="false">
      <c r="A33" s="3"/>
      <c r="B33" s="3"/>
      <c r="C33" s="3"/>
      <c r="D33" s="53" t="s">
        <v>6676</v>
      </c>
      <c r="E33" s="3"/>
    </row>
    <row r="34" customFormat="false" ht="15" hidden="false" customHeight="false" outlineLevel="0" collapsed="false">
      <c r="A34" s="3"/>
      <c r="B34" s="3"/>
      <c r="C34" s="3"/>
      <c r="D34" s="53" t="s">
        <v>6628</v>
      </c>
      <c r="E34" s="3"/>
    </row>
    <row r="35" customFormat="false" ht="15" hidden="false" customHeight="false" outlineLevel="0" collapsed="false">
      <c r="A35" s="3"/>
      <c r="B35" s="3"/>
      <c r="C35" s="3"/>
      <c r="D35" s="53" t="s">
        <v>6551</v>
      </c>
      <c r="E35" s="3"/>
    </row>
    <row r="36" customFormat="false" ht="15" hidden="false" customHeight="false" outlineLevel="0" collapsed="false">
      <c r="A36" s="3"/>
      <c r="B36" s="3"/>
      <c r="C36" s="3"/>
      <c r="D36" s="53" t="s">
        <v>6458</v>
      </c>
      <c r="E36" s="3"/>
    </row>
    <row r="37" customFormat="false" ht="15" hidden="false" customHeight="false" outlineLevel="0" collapsed="false">
      <c r="A37" s="3"/>
      <c r="B37" s="3"/>
      <c r="C37" s="3"/>
      <c r="D37" s="53" t="s">
        <v>6677</v>
      </c>
      <c r="E37" s="3"/>
    </row>
    <row r="38" customFormat="false" ht="15" hidden="false" customHeight="false" outlineLevel="0" collapsed="false">
      <c r="A38" s="3"/>
      <c r="B38" s="3"/>
      <c r="C38" s="3"/>
      <c r="D38" s="53" t="s">
        <v>6481</v>
      </c>
      <c r="E38" s="3"/>
    </row>
    <row r="39" customFormat="false" ht="15" hidden="false" customHeight="false" outlineLevel="0" collapsed="false">
      <c r="A39" s="3"/>
      <c r="B39" s="3"/>
      <c r="C39" s="3"/>
      <c r="D39" s="53" t="s">
        <v>6591</v>
      </c>
      <c r="E39" s="3"/>
    </row>
    <row r="40" customFormat="false" ht="15" hidden="false" customHeight="false" outlineLevel="0" collapsed="false">
      <c r="A40" s="3"/>
      <c r="B40" s="3"/>
      <c r="C40" s="3"/>
      <c r="D40" s="53" t="s">
        <v>6459</v>
      </c>
      <c r="E40" s="3"/>
    </row>
    <row r="41" customFormat="false" ht="15" hidden="false" customHeight="false" outlineLevel="0" collapsed="false">
      <c r="A41" s="3"/>
      <c r="B41" s="3"/>
      <c r="C41" s="3"/>
      <c r="D41" s="53" t="s">
        <v>6520</v>
      </c>
      <c r="E41" s="3"/>
    </row>
    <row r="42" customFormat="false" ht="15" hidden="false" customHeight="false" outlineLevel="0" collapsed="false">
      <c r="A42" s="3"/>
      <c r="B42" s="3"/>
      <c r="C42" s="3"/>
      <c r="D42" s="53" t="s">
        <v>6631</v>
      </c>
      <c r="E42" s="3"/>
    </row>
    <row r="43" customFormat="false" ht="15" hidden="false" customHeight="false" outlineLevel="0" collapsed="false">
      <c r="A43" s="3"/>
      <c r="B43" s="3"/>
      <c r="C43" s="3"/>
      <c r="D43" s="53" t="s">
        <v>6523</v>
      </c>
      <c r="E43" s="3"/>
    </row>
    <row r="44" customFormat="false" ht="15" hidden="false" customHeight="false" outlineLevel="0" collapsed="false">
      <c r="A44" s="3"/>
      <c r="B44" s="3"/>
      <c r="C44" s="3"/>
      <c r="D44" s="53" t="s">
        <v>6678</v>
      </c>
      <c r="E44" s="3"/>
    </row>
    <row r="45" customFormat="false" ht="15" hidden="false" customHeight="false" outlineLevel="0" collapsed="false">
      <c r="A45" s="3"/>
      <c r="B45" s="3"/>
      <c r="C45" s="3"/>
      <c r="D45" s="53" t="s">
        <v>6483</v>
      </c>
      <c r="E45" s="3"/>
    </row>
    <row r="46" customFormat="false" ht="15" hidden="false" customHeight="false" outlineLevel="0" collapsed="false">
      <c r="A46" s="3"/>
      <c r="B46" s="3"/>
      <c r="C46" s="3"/>
      <c r="D46" s="53" t="s">
        <v>6484</v>
      </c>
      <c r="E46" s="3"/>
    </row>
    <row r="47" customFormat="false" ht="15" hidden="false" customHeight="false" outlineLevel="0" collapsed="false">
      <c r="A47" s="3"/>
      <c r="B47" s="3"/>
      <c r="C47" s="3"/>
      <c r="D47" s="53" t="s">
        <v>6634</v>
      </c>
      <c r="E47" s="3"/>
    </row>
    <row r="48" customFormat="false" ht="15" hidden="false" customHeight="false" outlineLevel="0" collapsed="false">
      <c r="A48" s="3"/>
      <c r="B48" s="3"/>
      <c r="C48" s="3"/>
      <c r="D48" s="53" t="s">
        <v>6593</v>
      </c>
      <c r="E48" s="3"/>
    </row>
    <row r="49" customFormat="false" ht="15" hidden="false" customHeight="false" outlineLevel="0" collapsed="false">
      <c r="A49" s="3"/>
      <c r="B49" s="3"/>
      <c r="C49" s="3"/>
      <c r="D49" s="53" t="s">
        <v>6816</v>
      </c>
      <c r="E49" s="3"/>
    </row>
    <row r="50" customFormat="false" ht="15" hidden="false" customHeight="false" outlineLevel="0" collapsed="false">
      <c r="A50" s="3"/>
      <c r="B50" s="3"/>
      <c r="C50" s="3"/>
      <c r="D50" s="53" t="s">
        <v>6768</v>
      </c>
      <c r="E50" s="3"/>
    </row>
    <row r="51" customFormat="false" ht="15" hidden="false" customHeight="false" outlineLevel="0" collapsed="false">
      <c r="A51" s="3"/>
      <c r="B51" s="3"/>
      <c r="C51" s="3"/>
      <c r="D51" s="53" t="s">
        <v>6594</v>
      </c>
      <c r="E51" s="3"/>
    </row>
    <row r="52" customFormat="false" ht="15" hidden="false" customHeight="false" outlineLevel="0" collapsed="false">
      <c r="A52" s="3"/>
      <c r="B52" s="3"/>
      <c r="C52" s="3"/>
      <c r="D52" s="53" t="s">
        <v>6460</v>
      </c>
      <c r="E52" s="3"/>
    </row>
    <row r="53" customFormat="false" ht="15" hidden="false" customHeight="false" outlineLevel="0" collapsed="false">
      <c r="A53" s="3"/>
      <c r="B53" s="3"/>
      <c r="C53" s="3"/>
      <c r="D53" s="53" t="s">
        <v>6846</v>
      </c>
      <c r="E53" s="3"/>
    </row>
    <row r="54" customFormat="false" ht="15" hidden="false" customHeight="false" outlineLevel="0" collapsed="false">
      <c r="A54" s="3"/>
      <c r="B54" s="3"/>
      <c r="C54" s="3"/>
      <c r="D54" s="53" t="s">
        <v>6461</v>
      </c>
      <c r="E54" s="3"/>
    </row>
    <row r="55" customFormat="false" ht="15" hidden="false" customHeight="false" outlineLevel="0" collapsed="false">
      <c r="A55" s="3"/>
      <c r="B55" s="3"/>
      <c r="C55" s="3"/>
      <c r="D55" s="53" t="s">
        <v>6679</v>
      </c>
      <c r="E55" s="3"/>
    </row>
    <row r="56" customFormat="false" ht="15" hidden="false" customHeight="false" outlineLevel="0" collapsed="false">
      <c r="A56" s="3"/>
      <c r="B56" s="3"/>
      <c r="C56" s="3"/>
      <c r="D56" s="53" t="s">
        <v>6680</v>
      </c>
      <c r="E56" s="3"/>
    </row>
    <row r="57" customFormat="false" ht="15" hidden="false" customHeight="false" outlineLevel="0" collapsed="false">
      <c r="A57" s="3"/>
      <c r="B57" s="3"/>
      <c r="C57" s="3"/>
      <c r="D57" s="53" t="s">
        <v>6553</v>
      </c>
      <c r="E57" s="3"/>
    </row>
    <row r="58" customFormat="false" ht="15" hidden="false" customHeight="false" outlineLevel="0" collapsed="false">
      <c r="A58" s="3"/>
      <c r="B58" s="3"/>
      <c r="C58" s="3"/>
      <c r="D58" s="53" t="s">
        <v>6710</v>
      </c>
      <c r="E58" s="3"/>
    </row>
    <row r="59" customFormat="false" ht="15" hidden="false" customHeight="false" outlineLevel="0" collapsed="false">
      <c r="A59" s="3"/>
      <c r="B59" s="3"/>
      <c r="C59" s="3"/>
      <c r="D59" s="53" t="s">
        <v>6503</v>
      </c>
      <c r="E59" s="3"/>
    </row>
    <row r="60" customFormat="false" ht="15" hidden="false" customHeight="false" outlineLevel="0" collapsed="false">
      <c r="A60" s="3"/>
      <c r="B60" s="3"/>
      <c r="C60" s="3"/>
      <c r="D60" s="53" t="s">
        <v>6635</v>
      </c>
      <c r="E60" s="3"/>
    </row>
    <row r="61" customFormat="false" ht="15" hidden="false" customHeight="false" outlineLevel="0" collapsed="false">
      <c r="A61" s="3"/>
      <c r="B61" s="3"/>
      <c r="C61" s="3"/>
      <c r="D61" s="53" t="s">
        <v>6462</v>
      </c>
      <c r="E61" s="3"/>
    </row>
    <row r="62" customFormat="false" ht="15" hidden="false" customHeight="false" outlineLevel="0" collapsed="false">
      <c r="A62" s="3"/>
      <c r="B62" s="3"/>
      <c r="C62" s="3"/>
      <c r="D62" s="53" t="s">
        <v>6818</v>
      </c>
      <c r="E62" s="3"/>
    </row>
    <row r="63" customFormat="false" ht="15" hidden="false" customHeight="false" outlineLevel="0" collapsed="false">
      <c r="A63" s="3"/>
      <c r="B63" s="3"/>
      <c r="C63" s="3"/>
      <c r="D63" s="53" t="s">
        <v>6769</v>
      </c>
      <c r="E63" s="3"/>
    </row>
    <row r="64" customFormat="false" ht="15" hidden="false" customHeight="false" outlineLevel="0" collapsed="false">
      <c r="A64" s="3"/>
      <c r="B64" s="3"/>
      <c r="C64" s="3"/>
      <c r="D64" s="53" t="s">
        <v>6595</v>
      </c>
      <c r="E64" s="3"/>
    </row>
    <row r="65" customFormat="false" ht="15" hidden="false" customHeight="false" outlineLevel="0" collapsed="false">
      <c r="A65" s="3"/>
      <c r="B65" s="3"/>
      <c r="C65" s="3"/>
      <c r="D65" s="53" t="s">
        <v>6465</v>
      </c>
      <c r="E65" s="3"/>
    </row>
    <row r="66" customFormat="false" ht="15" hidden="false" customHeight="false" outlineLevel="0" collapsed="false">
      <c r="A66" s="3"/>
      <c r="B66" s="3"/>
      <c r="C66" s="3"/>
      <c r="D66" s="53" t="s">
        <v>6638</v>
      </c>
      <c r="E66" s="3"/>
    </row>
    <row r="67" customFormat="false" ht="15" hidden="false" customHeight="false" outlineLevel="0" collapsed="false">
      <c r="A67" s="3"/>
      <c r="B67" s="3"/>
      <c r="C67" s="3"/>
      <c r="D67" s="53" t="s">
        <v>6820</v>
      </c>
      <c r="E67" s="3"/>
    </row>
    <row r="68" customFormat="false" ht="15" hidden="false" customHeight="false" outlineLevel="0" collapsed="false">
      <c r="A68" s="3"/>
      <c r="B68" s="3"/>
      <c r="C68" s="3"/>
      <c r="D68" s="53" t="s">
        <v>6554</v>
      </c>
      <c r="E68" s="3"/>
    </row>
    <row r="69" customFormat="false" ht="15" hidden="false" customHeight="false" outlineLevel="0" collapsed="false">
      <c r="A69" s="3"/>
      <c r="B69" s="3"/>
      <c r="C69" s="3"/>
      <c r="D69" s="53" t="s">
        <v>6466</v>
      </c>
      <c r="E69" s="3"/>
    </row>
    <row r="70" customFormat="false" ht="15" hidden="false" customHeight="false" outlineLevel="0" collapsed="false">
      <c r="A70" s="3"/>
      <c r="B70" s="3"/>
      <c r="C70" s="3"/>
      <c r="D70" s="53" t="s">
        <v>6794</v>
      </c>
      <c r="E70" s="3"/>
    </row>
    <row r="71" customFormat="false" ht="15" hidden="false" customHeight="false" outlineLevel="0" collapsed="false">
      <c r="A71" s="3"/>
      <c r="B71" s="3"/>
      <c r="C71" s="3"/>
      <c r="D71" s="53" t="s">
        <v>6596</v>
      </c>
      <c r="E71" s="3"/>
    </row>
    <row r="72" customFormat="false" ht="15" hidden="false" customHeight="false" outlineLevel="0" collapsed="false">
      <c r="A72" s="3"/>
      <c r="B72" s="3"/>
      <c r="C72" s="3"/>
      <c r="D72" s="53" t="s">
        <v>6504</v>
      </c>
      <c r="E72" s="3"/>
    </row>
    <row r="73" customFormat="false" ht="15" hidden="false" customHeight="false" outlineLevel="0" collapsed="false">
      <c r="A73" s="3"/>
      <c r="B73" s="3"/>
      <c r="C73" s="3"/>
      <c r="D73" s="53" t="s">
        <v>6556</v>
      </c>
      <c r="E73" s="3"/>
    </row>
    <row r="74" customFormat="false" ht="15" hidden="false" customHeight="false" outlineLevel="0" collapsed="false">
      <c r="A74" s="3"/>
      <c r="B74" s="3"/>
      <c r="C74" s="3"/>
      <c r="D74" s="53" t="s">
        <v>6597</v>
      </c>
      <c r="E74" s="3"/>
    </row>
    <row r="75" customFormat="false" ht="15" hidden="false" customHeight="false" outlineLevel="0" collapsed="false">
      <c r="A75" s="3"/>
      <c r="B75" s="3"/>
      <c r="C75" s="3"/>
      <c r="D75" s="53" t="s">
        <v>6849</v>
      </c>
      <c r="E75" s="3"/>
    </row>
    <row r="76" customFormat="false" ht="15" hidden="false" customHeight="false" outlineLevel="0" collapsed="false">
      <c r="A76" s="3"/>
      <c r="B76" s="3"/>
      <c r="C76" s="3"/>
      <c r="D76" s="53" t="s">
        <v>6852</v>
      </c>
      <c r="E76" s="3"/>
    </row>
    <row r="77" customFormat="false" ht="15" hidden="false" customHeight="false" outlineLevel="0" collapsed="false">
      <c r="A77" s="3"/>
      <c r="B77" s="3"/>
      <c r="C77" s="3"/>
      <c r="D77" s="53" t="s">
        <v>6467</v>
      </c>
      <c r="E77" s="3"/>
    </row>
    <row r="78" customFormat="false" ht="15" hidden="false" customHeight="false" outlineLevel="0" collapsed="false">
      <c r="A78" s="3"/>
      <c r="B78" s="3"/>
      <c r="C78" s="3"/>
      <c r="D78" s="53" t="s">
        <v>6770</v>
      </c>
      <c r="E78" s="3"/>
    </row>
    <row r="79" customFormat="false" ht="15" hidden="false" customHeight="false" outlineLevel="0" collapsed="false">
      <c r="A79" s="3"/>
      <c r="B79" s="3"/>
      <c r="C79" s="3"/>
      <c r="D79" s="53" t="s">
        <v>6795</v>
      </c>
      <c r="E79" s="3"/>
    </row>
    <row r="80" customFormat="false" ht="15" hidden="false" customHeight="false" outlineLevel="0" collapsed="false">
      <c r="A80" s="3"/>
      <c r="B80" s="3"/>
      <c r="C80" s="3"/>
      <c r="D80" s="53" t="s">
        <v>6573</v>
      </c>
      <c r="E80" s="3"/>
    </row>
    <row r="81" customFormat="false" ht="15" hidden="false" customHeight="false" outlineLevel="0" collapsed="false">
      <c r="A81" s="3"/>
      <c r="B81" s="3"/>
      <c r="C81" s="3"/>
      <c r="D81" s="53" t="s">
        <v>6600</v>
      </c>
      <c r="E81" s="3"/>
    </row>
    <row r="82" customFormat="false" ht="15" hidden="false" customHeight="false" outlineLevel="0" collapsed="false">
      <c r="A82" s="3"/>
      <c r="B82" s="3"/>
      <c r="C82" s="3"/>
      <c r="D82" s="53" t="s">
        <v>6641</v>
      </c>
      <c r="E82" s="3"/>
    </row>
    <row r="83" customFormat="false" ht="15" hidden="false" customHeight="false" outlineLevel="0" collapsed="false">
      <c r="A83" s="3"/>
      <c r="B83" s="3"/>
      <c r="C83" s="3"/>
      <c r="D83" s="53" t="s">
        <v>6575</v>
      </c>
      <c r="E83" s="3"/>
    </row>
    <row r="84" customFormat="false" ht="15" hidden="false" customHeight="false" outlineLevel="0" collapsed="false">
      <c r="A84" s="3"/>
      <c r="B84" s="3"/>
      <c r="C84" s="3"/>
      <c r="D84" s="53" t="s">
        <v>6505</v>
      </c>
      <c r="E84" s="3"/>
    </row>
    <row r="85" customFormat="false" ht="15" hidden="false" customHeight="false" outlineLevel="0" collapsed="false">
      <c r="A85" s="3"/>
      <c r="B85" s="3"/>
      <c r="C85" s="3"/>
      <c r="D85" s="53" t="s">
        <v>6576</v>
      </c>
      <c r="E85" s="3"/>
    </row>
    <row r="86" customFormat="false" ht="15" hidden="false" customHeight="false" outlineLevel="0" collapsed="false">
      <c r="A86" s="3"/>
      <c r="B86" s="3"/>
      <c r="C86" s="3"/>
      <c r="D86" s="53" t="s">
        <v>6821</v>
      </c>
      <c r="E86" s="3"/>
    </row>
    <row r="87" customFormat="false" ht="15" hidden="false" customHeight="false" outlineLevel="0" collapsed="false">
      <c r="A87" s="3"/>
      <c r="B87" s="3"/>
      <c r="C87" s="3"/>
      <c r="D87" s="53" t="s">
        <v>6796</v>
      </c>
      <c r="E87" s="3"/>
    </row>
    <row r="88" customFormat="false" ht="15" hidden="false" customHeight="false" outlineLevel="0" collapsed="false">
      <c r="A88" s="3"/>
      <c r="B88" s="3"/>
      <c r="C88" s="3"/>
      <c r="D88" s="53" t="s">
        <v>6772</v>
      </c>
      <c r="E88" s="3"/>
    </row>
    <row r="89" customFormat="false" ht="15" hidden="false" customHeight="false" outlineLevel="0" collapsed="false">
      <c r="A89" s="3"/>
      <c r="B89" s="3"/>
      <c r="C89" s="3"/>
      <c r="D89" s="53" t="s">
        <v>6855</v>
      </c>
      <c r="E89" s="3"/>
    </row>
    <row r="90" customFormat="false" ht="15" hidden="false" customHeight="false" outlineLevel="0" collapsed="false">
      <c r="A90" s="3"/>
      <c r="B90" s="3"/>
      <c r="C90" s="3"/>
      <c r="D90" s="53" t="s">
        <v>6603</v>
      </c>
      <c r="E90" s="3"/>
    </row>
    <row r="91" customFormat="false" ht="15" hidden="false" customHeight="false" outlineLevel="0" collapsed="false">
      <c r="A91" s="3"/>
      <c r="B91" s="3"/>
      <c r="C91" s="3"/>
      <c r="D91" s="53" t="s">
        <v>6713</v>
      </c>
      <c r="E91" s="3"/>
    </row>
    <row r="92" customFormat="false" ht="15" hidden="false" customHeight="false" outlineLevel="0" collapsed="false">
      <c r="A92" s="3"/>
      <c r="B92" s="3"/>
      <c r="C92" s="3"/>
      <c r="D92" s="53" t="s">
        <v>6485</v>
      </c>
      <c r="E92" s="3"/>
    </row>
    <row r="93" customFormat="false" ht="15" hidden="false" customHeight="false" outlineLevel="0" collapsed="false">
      <c r="A93" s="3"/>
      <c r="B93" s="3"/>
      <c r="C93" s="3"/>
      <c r="D93" s="53" t="s">
        <v>6525</v>
      </c>
      <c r="E93" s="3"/>
    </row>
    <row r="94" customFormat="false" ht="15" hidden="false" customHeight="false" outlineLevel="0" collapsed="false">
      <c r="A94" s="3"/>
      <c r="B94" s="3"/>
      <c r="C94" s="3"/>
      <c r="D94" s="53" t="s">
        <v>6858</v>
      </c>
      <c r="E94" s="3"/>
    </row>
    <row r="95" customFormat="false" ht="15" hidden="false" customHeight="false" outlineLevel="0" collapsed="false">
      <c r="A95" s="3"/>
      <c r="B95" s="3"/>
      <c r="C95" s="3"/>
      <c r="D95" s="53" t="s">
        <v>6506</v>
      </c>
      <c r="E95" s="3"/>
    </row>
    <row r="96" customFormat="false" ht="15" hidden="false" customHeight="false" outlineLevel="0" collapsed="false">
      <c r="A96" s="3"/>
      <c r="B96" s="3"/>
      <c r="C96" s="3"/>
      <c r="D96" s="53" t="s">
        <v>6604</v>
      </c>
      <c r="E96" s="3"/>
    </row>
    <row r="97" customFormat="false" ht="15" hidden="false" customHeight="false" outlineLevel="0" collapsed="false">
      <c r="A97" s="3"/>
      <c r="B97" s="3"/>
      <c r="C97" s="3"/>
      <c r="D97" s="53" t="s">
        <v>6526</v>
      </c>
      <c r="E97" s="3"/>
    </row>
    <row r="98" customFormat="false" ht="15" hidden="false" customHeight="false" outlineLevel="0" collapsed="false">
      <c r="A98" s="3"/>
      <c r="B98" s="3"/>
      <c r="C98" s="3"/>
      <c r="D98" s="53" t="s">
        <v>6529</v>
      </c>
      <c r="E98" s="3"/>
    </row>
    <row r="99" customFormat="false" ht="15" hidden="false" customHeight="false" outlineLevel="0" collapsed="false">
      <c r="A99" s="3"/>
      <c r="B99" s="3"/>
      <c r="C99" s="3"/>
      <c r="D99" s="53" t="s">
        <v>6605</v>
      </c>
      <c r="E99" s="3"/>
    </row>
    <row r="100" customFormat="false" ht="15" hidden="false" customHeight="false" outlineLevel="0" collapsed="false">
      <c r="A100" s="3"/>
      <c r="B100" s="3"/>
      <c r="C100" s="3"/>
      <c r="D100" s="53" t="s">
        <v>6557</v>
      </c>
      <c r="E100" s="3"/>
    </row>
    <row r="101" customFormat="false" ht="15" hidden="false" customHeight="false" outlineLevel="0" collapsed="false">
      <c r="A101" s="3"/>
      <c r="B101" s="3"/>
      <c r="C101" s="3"/>
      <c r="D101" s="53" t="s">
        <v>6797</v>
      </c>
      <c r="E101" s="3"/>
    </row>
    <row r="102" customFormat="false" ht="15" hidden="false" customHeight="false" outlineLevel="0" collapsed="false">
      <c r="A102" s="3"/>
      <c r="B102" s="3"/>
      <c r="C102" s="3"/>
      <c r="D102" s="53" t="s">
        <v>6822</v>
      </c>
      <c r="E102" s="3"/>
    </row>
    <row r="103" customFormat="false" ht="15" hidden="false" customHeight="false" outlineLevel="0" collapsed="false">
      <c r="A103" s="3"/>
      <c r="B103" s="3"/>
      <c r="C103" s="3"/>
      <c r="D103" s="53" t="s">
        <v>6823</v>
      </c>
      <c r="E103" s="3"/>
    </row>
    <row r="104" customFormat="false" ht="15" hidden="false" customHeight="false" outlineLevel="0" collapsed="false">
      <c r="A104" s="3"/>
      <c r="B104" s="3"/>
      <c r="C104" s="3"/>
      <c r="D104" s="53" t="s">
        <v>6798</v>
      </c>
      <c r="E104" s="3"/>
    </row>
    <row r="105" customFormat="false" ht="15" hidden="false" customHeight="false" outlineLevel="0" collapsed="false">
      <c r="A105" s="3"/>
      <c r="B105" s="3"/>
      <c r="C105" s="3"/>
      <c r="D105" s="53" t="s">
        <v>6861</v>
      </c>
      <c r="E105" s="3"/>
    </row>
    <row r="106" customFormat="false" ht="15" hidden="false" customHeight="false" outlineLevel="0" collapsed="false">
      <c r="A106" s="3"/>
      <c r="B106" s="3"/>
      <c r="C106" s="3"/>
      <c r="D106" s="53" t="s">
        <v>6864</v>
      </c>
      <c r="E106" s="3"/>
    </row>
    <row r="107" customFormat="false" ht="15" hidden="false" customHeight="false" outlineLevel="0" collapsed="false">
      <c r="A107" s="3"/>
      <c r="B107" s="3"/>
      <c r="C107" s="3"/>
      <c r="D107" s="53" t="s">
        <v>6867</v>
      </c>
      <c r="E107" s="3"/>
    </row>
    <row r="108" customFormat="false" ht="15" hidden="false" customHeight="false" outlineLevel="0" collapsed="false">
      <c r="A108" s="3"/>
      <c r="B108" s="3"/>
      <c r="C108" s="3"/>
      <c r="D108" s="53" t="s">
        <v>6774</v>
      </c>
      <c r="E108" s="3"/>
    </row>
    <row r="109" customFormat="false" ht="15" hidden="false" customHeight="false" outlineLevel="0" collapsed="false">
      <c r="A109" s="3"/>
      <c r="B109" s="3"/>
      <c r="C109" s="3"/>
      <c r="D109" s="53" t="s">
        <v>6468</v>
      </c>
      <c r="E109" s="3"/>
    </row>
    <row r="110" customFormat="false" ht="15" hidden="false" customHeight="false" outlineLevel="0" collapsed="false">
      <c r="A110" s="3"/>
      <c r="B110" s="3"/>
      <c r="C110" s="3"/>
      <c r="D110" s="53" t="s">
        <v>6681</v>
      </c>
      <c r="E110" s="3"/>
    </row>
    <row r="111" customFormat="false" ht="15" hidden="false" customHeight="false" outlineLevel="0" collapsed="false">
      <c r="A111" s="3"/>
      <c r="B111" s="3"/>
      <c r="C111" s="3"/>
      <c r="D111" s="53" t="s">
        <v>6824</v>
      </c>
      <c r="E111" s="3"/>
    </row>
    <row r="112" customFormat="false" ht="15" hidden="false" customHeight="false" outlineLevel="0" collapsed="false">
      <c r="A112" s="3"/>
      <c r="B112" s="3"/>
      <c r="C112" s="3"/>
      <c r="D112" s="53" t="s">
        <v>6469</v>
      </c>
      <c r="E112" s="3"/>
    </row>
    <row r="113" customFormat="false" ht="15" hidden="false" customHeight="false" outlineLevel="0" collapsed="false">
      <c r="A113" s="3"/>
      <c r="B113" s="3"/>
      <c r="C113" s="3"/>
      <c r="D113" s="53" t="s">
        <v>6472</v>
      </c>
      <c r="E113" s="3"/>
    </row>
    <row r="114" customFormat="false" ht="15" hidden="false" customHeight="false" outlineLevel="0" collapsed="false">
      <c r="A114" s="3"/>
      <c r="B114" s="3"/>
      <c r="C114" s="3"/>
      <c r="D114" s="53" t="s">
        <v>6682</v>
      </c>
      <c r="E114" s="3"/>
    </row>
    <row r="115" customFormat="false" ht="15" hidden="false" customHeight="false" outlineLevel="0" collapsed="false">
      <c r="A115" s="3"/>
      <c r="B115" s="3"/>
      <c r="C115" s="3"/>
      <c r="D115" s="53" t="s">
        <v>6825</v>
      </c>
      <c r="E115" s="3"/>
    </row>
    <row r="116" customFormat="false" ht="15" hidden="false" customHeight="false" outlineLevel="0" collapsed="false">
      <c r="A116" s="3"/>
      <c r="B116" s="3"/>
      <c r="C116" s="3"/>
      <c r="D116" s="53" t="s">
        <v>6608</v>
      </c>
      <c r="E116" s="3"/>
    </row>
    <row r="117" customFormat="false" ht="15" hidden="false" customHeight="false" outlineLevel="0" collapsed="false">
      <c r="A117" s="3"/>
      <c r="B117" s="3"/>
      <c r="C117" s="3"/>
      <c r="D117" s="53" t="s">
        <v>6530</v>
      </c>
      <c r="E117" s="3"/>
    </row>
    <row r="118" customFormat="false" ht="15" hidden="false" customHeight="false" outlineLevel="0" collapsed="false">
      <c r="A118" s="3"/>
      <c r="B118" s="3"/>
      <c r="C118" s="3"/>
      <c r="D118" s="53" t="s">
        <v>6486</v>
      </c>
      <c r="E118" s="3"/>
    </row>
    <row r="119" customFormat="false" ht="15" hidden="false" customHeight="false" outlineLevel="0" collapsed="false">
      <c r="A119" s="3"/>
      <c r="B119" s="3"/>
      <c r="C119" s="3"/>
      <c r="D119" s="53" t="s">
        <v>6559</v>
      </c>
      <c r="E119" s="3"/>
    </row>
    <row r="120" customFormat="false" ht="15" hidden="false" customHeight="false" outlineLevel="0" collapsed="false">
      <c r="A120" s="3"/>
      <c r="B120" s="3"/>
      <c r="C120" s="3"/>
      <c r="D120" s="53" t="s">
        <v>6487</v>
      </c>
      <c r="E120" s="3"/>
    </row>
    <row r="121" customFormat="false" ht="15" hidden="false" customHeight="false" outlineLevel="0" collapsed="false">
      <c r="A121" s="3"/>
      <c r="B121" s="3"/>
      <c r="C121" s="3"/>
      <c r="D121" s="53" t="s">
        <v>6507</v>
      </c>
      <c r="E121" s="3"/>
    </row>
    <row r="122" customFormat="false" ht="15" hidden="false" customHeight="false" outlineLevel="0" collapsed="false">
      <c r="A122" s="3"/>
      <c r="B122" s="3"/>
      <c r="C122" s="3"/>
      <c r="D122" s="53" t="s">
        <v>6473</v>
      </c>
      <c r="E122" s="3"/>
    </row>
    <row r="123" customFormat="false" ht="15" hidden="false" customHeight="false" outlineLevel="0" collapsed="false">
      <c r="A123" s="3"/>
      <c r="B123" s="3"/>
      <c r="C123" s="3"/>
      <c r="D123" s="53" t="s">
        <v>6870</v>
      </c>
      <c r="E123" s="3"/>
    </row>
    <row r="124" customFormat="false" ht="15" hidden="false" customHeight="false" outlineLevel="0" collapsed="false">
      <c r="A124" s="3"/>
      <c r="B124" s="3"/>
      <c r="C124" s="3"/>
      <c r="D124" s="53" t="s">
        <v>6488</v>
      </c>
      <c r="E124" s="3"/>
    </row>
    <row r="125" customFormat="false" ht="15" hidden="false" customHeight="false" outlineLevel="0" collapsed="false">
      <c r="A125" s="3"/>
      <c r="B125" s="3"/>
      <c r="C125" s="3"/>
      <c r="D125" s="53" t="s">
        <v>6577</v>
      </c>
      <c r="E125" s="3"/>
    </row>
    <row r="126" customFormat="false" ht="15" hidden="false" customHeight="false" outlineLevel="0" collapsed="false">
      <c r="A126" s="3"/>
      <c r="B126" s="3"/>
      <c r="C126" s="3"/>
      <c r="D126" s="53" t="s">
        <v>6775</v>
      </c>
      <c r="E126" s="3"/>
    </row>
    <row r="127" customFormat="false" ht="15" hidden="false" customHeight="false" outlineLevel="0" collapsed="false">
      <c r="A127" s="3"/>
      <c r="B127" s="3"/>
      <c r="C127" s="3"/>
      <c r="D127" s="53" t="s">
        <v>6489</v>
      </c>
      <c r="E127" s="3"/>
    </row>
    <row r="128" customFormat="false" ht="15" hidden="false" customHeight="false" outlineLevel="0" collapsed="false">
      <c r="A128" s="3"/>
      <c r="B128" s="3"/>
      <c r="C128" s="3"/>
      <c r="D128" s="53" t="s">
        <v>6644</v>
      </c>
      <c r="E128" s="3"/>
    </row>
    <row r="129" customFormat="false" ht="15" hidden="false" customHeight="false" outlineLevel="0" collapsed="false">
      <c r="A129" s="3"/>
      <c r="B129" s="3"/>
      <c r="C129" s="3"/>
      <c r="D129" s="53" t="s">
        <v>6609</v>
      </c>
      <c r="E129" s="3"/>
    </row>
    <row r="130" customFormat="false" ht="15" hidden="false" customHeight="false" outlineLevel="0" collapsed="false">
      <c r="A130" s="3"/>
      <c r="B130" s="3"/>
      <c r="C130" s="3"/>
      <c r="D130" s="53" t="s">
        <v>6533</v>
      </c>
      <c r="E130" s="3"/>
    </row>
    <row r="131" customFormat="false" ht="15" hidden="false" customHeight="false" outlineLevel="0" collapsed="false">
      <c r="A131" s="3"/>
      <c r="B131" s="3"/>
      <c r="C131" s="3"/>
      <c r="D131" s="53" t="s">
        <v>6560</v>
      </c>
      <c r="E131" s="3"/>
    </row>
    <row r="132" customFormat="false" ht="15" hidden="false" customHeight="false" outlineLevel="0" collapsed="false">
      <c r="A132" s="3"/>
      <c r="B132" s="3"/>
      <c r="C132" s="3"/>
      <c r="D132" s="53" t="s">
        <v>6683</v>
      </c>
      <c r="E132" s="3"/>
    </row>
    <row r="133" customFormat="false" ht="15" hidden="false" customHeight="false" outlineLevel="0" collapsed="false">
      <c r="A133" s="3"/>
      <c r="B133" s="3"/>
      <c r="C133" s="3"/>
      <c r="D133" s="53" t="s">
        <v>6873</v>
      </c>
      <c r="E133" s="3"/>
    </row>
    <row r="134" customFormat="false" ht="15" hidden="false" customHeight="false" outlineLevel="0" collapsed="false">
      <c r="A134" s="3"/>
      <c r="B134" s="3"/>
      <c r="C134" s="3"/>
      <c r="D134" s="53" t="s">
        <v>6686</v>
      </c>
      <c r="E134" s="3"/>
    </row>
    <row r="135" customFormat="false" ht="15" hidden="false" customHeight="false" outlineLevel="0" collapsed="false">
      <c r="A135" s="3"/>
      <c r="B135" s="3"/>
      <c r="C135" s="3"/>
      <c r="D135" s="53" t="s">
        <v>6826</v>
      </c>
      <c r="E135" s="3"/>
    </row>
    <row r="136" customFormat="false" ht="15" hidden="false" customHeight="false" outlineLevel="0" collapsed="false">
      <c r="A136" s="3"/>
      <c r="B136" s="3"/>
      <c r="C136" s="3"/>
      <c r="D136" s="53" t="s">
        <v>6647</v>
      </c>
      <c r="E136" s="3"/>
    </row>
    <row r="137" customFormat="false" ht="15" hidden="false" customHeight="false" outlineLevel="0" collapsed="false">
      <c r="A137" s="3"/>
      <c r="B137" s="3"/>
      <c r="C137" s="3"/>
      <c r="D137" s="53" t="s">
        <v>6716</v>
      </c>
      <c r="E137" s="3"/>
    </row>
    <row r="138" customFormat="false" ht="15" hidden="false" customHeight="false" outlineLevel="0" collapsed="false">
      <c r="A138" s="3"/>
      <c r="B138" s="3"/>
      <c r="C138" s="3"/>
      <c r="D138" s="53" t="s">
        <v>6474</v>
      </c>
      <c r="E138" s="3"/>
    </row>
    <row r="139" customFormat="false" ht="15" hidden="false" customHeight="false" outlineLevel="0" collapsed="false">
      <c r="A139" s="3"/>
      <c r="B139" s="3"/>
      <c r="C139" s="3"/>
      <c r="D139" s="53" t="s">
        <v>6719</v>
      </c>
      <c r="E139" s="3"/>
    </row>
    <row r="140" customFormat="false" ht="15" hidden="false" customHeight="false" outlineLevel="0" collapsed="false">
      <c r="A140" s="3"/>
      <c r="B140" s="3"/>
      <c r="C140" s="3"/>
      <c r="D140" s="53" t="s">
        <v>6578</v>
      </c>
      <c r="E140" s="3"/>
    </row>
    <row r="141" customFormat="false" ht="15" hidden="false" customHeight="false" outlineLevel="0" collapsed="false">
      <c r="A141" s="3"/>
      <c r="B141" s="3"/>
      <c r="C141" s="3"/>
      <c r="D141" s="53" t="s">
        <v>6799</v>
      </c>
      <c r="E141" s="3"/>
    </row>
    <row r="142" customFormat="false" ht="15" hidden="false" customHeight="false" outlineLevel="0" collapsed="false">
      <c r="A142" s="3"/>
      <c r="B142" s="3"/>
      <c r="C142" s="3"/>
      <c r="D142" s="53" t="s">
        <v>6534</v>
      </c>
      <c r="E142" s="3"/>
    </row>
    <row r="143" customFormat="false" ht="15" hidden="false" customHeight="false" outlineLevel="0" collapsed="false">
      <c r="A143" s="3"/>
      <c r="B143" s="3"/>
      <c r="C143" s="3"/>
      <c r="D143" s="53" t="s">
        <v>6776</v>
      </c>
      <c r="E143" s="3"/>
    </row>
    <row r="144" customFormat="false" ht="15" hidden="false" customHeight="false" outlineLevel="0" collapsed="false">
      <c r="A144" s="3"/>
      <c r="B144" s="3"/>
      <c r="C144" s="3"/>
      <c r="D144" s="53" t="s">
        <v>6650</v>
      </c>
      <c r="E144" s="3"/>
    </row>
    <row r="145" customFormat="false" ht="15" hidden="false" customHeight="false" outlineLevel="0" collapsed="false">
      <c r="A145" s="3"/>
      <c r="B145" s="3"/>
      <c r="C145" s="3"/>
      <c r="D145" s="53" t="s">
        <v>6722</v>
      </c>
      <c r="E145" s="3"/>
    </row>
    <row r="146" customFormat="false" ht="15" hidden="false" customHeight="false" outlineLevel="0" collapsed="false">
      <c r="A146" s="3"/>
      <c r="B146" s="3"/>
      <c r="C146" s="3"/>
      <c r="D146" s="53" t="s">
        <v>6827</v>
      </c>
      <c r="E146" s="3"/>
    </row>
    <row r="147" customFormat="false" ht="15" hidden="false" customHeight="false" outlineLevel="0" collapsed="false">
      <c r="A147" s="3"/>
      <c r="B147" s="3"/>
      <c r="C147" s="3"/>
      <c r="D147" s="53" t="s">
        <v>6508</v>
      </c>
      <c r="E147" s="3"/>
    </row>
    <row r="148" customFormat="false" ht="15" hidden="false" customHeight="false" outlineLevel="0" collapsed="false">
      <c r="A148" s="3"/>
      <c r="B148" s="3"/>
      <c r="C148" s="3"/>
      <c r="D148" s="53" t="s">
        <v>6510</v>
      </c>
      <c r="E148" s="3"/>
    </row>
    <row r="149" customFormat="false" ht="15" hidden="false" customHeight="false" outlineLevel="0" collapsed="false">
      <c r="A149" s="3"/>
      <c r="B149" s="3"/>
      <c r="C149" s="3"/>
      <c r="D149" s="53" t="s">
        <v>6800</v>
      </c>
      <c r="E149" s="3"/>
    </row>
    <row r="150" customFormat="false" ht="15" hidden="false" customHeight="false" outlineLevel="0" collapsed="false">
      <c r="A150" s="3"/>
      <c r="B150" s="3"/>
      <c r="C150" s="3"/>
      <c r="D150" s="53" t="s">
        <v>6511</v>
      </c>
      <c r="E150" s="3"/>
    </row>
    <row r="151" customFormat="false" ht="15" hidden="false" customHeight="false" outlineLevel="0" collapsed="false">
      <c r="A151" s="3"/>
      <c r="B151" s="3"/>
      <c r="C151" s="3"/>
      <c r="D151" s="53" t="s">
        <v>6725</v>
      </c>
      <c r="E151" s="3"/>
    </row>
    <row r="152" customFormat="false" ht="15" hidden="false" customHeight="false" outlineLevel="0" collapsed="false">
      <c r="A152" s="3"/>
      <c r="B152" s="3"/>
      <c r="C152" s="3"/>
      <c r="D152" s="53" t="s">
        <v>6777</v>
      </c>
      <c r="E152" s="3"/>
    </row>
    <row r="153" customFormat="false" ht="15" hidden="false" customHeight="false" outlineLevel="0" collapsed="false">
      <c r="A153" s="3"/>
      <c r="B153" s="3"/>
      <c r="C153" s="3"/>
      <c r="D153" s="53" t="s">
        <v>6779</v>
      </c>
      <c r="E153" s="3"/>
    </row>
    <row r="154" customFormat="false" ht="15" hidden="false" customHeight="false" outlineLevel="0" collapsed="false">
      <c r="A154" s="3"/>
      <c r="B154" s="3"/>
      <c r="C154" s="3"/>
      <c r="D154" s="53" t="s">
        <v>6651</v>
      </c>
      <c r="E154" s="3"/>
    </row>
    <row r="155" customFormat="false" ht="15" hidden="false" customHeight="false" outlineLevel="0" collapsed="false">
      <c r="A155" s="3"/>
      <c r="B155" s="3"/>
      <c r="C155" s="3"/>
      <c r="D155" s="53" t="s">
        <v>6802</v>
      </c>
      <c r="E155" s="3"/>
    </row>
    <row r="156" customFormat="false" ht="15" hidden="false" customHeight="false" outlineLevel="0" collapsed="false">
      <c r="A156" s="3"/>
      <c r="B156" s="3"/>
      <c r="C156" s="3"/>
      <c r="D156" s="53" t="s">
        <v>6612</v>
      </c>
      <c r="E156" s="3"/>
    </row>
    <row r="157" customFormat="false" ht="15" hidden="false" customHeight="false" outlineLevel="0" collapsed="false">
      <c r="A157" s="3"/>
      <c r="B157" s="3"/>
      <c r="C157" s="3"/>
      <c r="D157" s="53" t="s">
        <v>6535</v>
      </c>
      <c r="E157" s="3"/>
    </row>
    <row r="158" customFormat="false" ht="15" hidden="false" customHeight="false" outlineLevel="0" collapsed="false">
      <c r="A158" s="3"/>
      <c r="B158" s="3"/>
      <c r="C158" s="3"/>
      <c r="D158" s="53" t="s">
        <v>6803</v>
      </c>
      <c r="E158" s="3"/>
    </row>
    <row r="159" customFormat="false" ht="15" hidden="false" customHeight="false" outlineLevel="0" collapsed="false">
      <c r="A159" s="3"/>
      <c r="B159" s="3"/>
      <c r="C159" s="3"/>
      <c r="D159" s="53" t="s">
        <v>6876</v>
      </c>
      <c r="E159" s="3"/>
    </row>
    <row r="160" customFormat="false" ht="15" hidden="false" customHeight="false" outlineLevel="0" collapsed="false">
      <c r="A160" s="3"/>
      <c r="B160" s="3"/>
      <c r="C160" s="3"/>
      <c r="D160" s="53" t="s">
        <v>6728</v>
      </c>
      <c r="E160" s="3"/>
    </row>
    <row r="161" customFormat="false" ht="15" hidden="false" customHeight="false" outlineLevel="0" collapsed="false">
      <c r="A161" s="3"/>
      <c r="B161" s="3"/>
      <c r="C161" s="3"/>
      <c r="D161" s="53" t="s">
        <v>6731</v>
      </c>
      <c r="E161" s="3"/>
    </row>
    <row r="162" customFormat="false" ht="15" hidden="false" customHeight="false" outlineLevel="0" collapsed="false">
      <c r="A162" s="3"/>
      <c r="B162" s="3"/>
      <c r="C162" s="3"/>
      <c r="D162" s="53" t="s">
        <v>6562</v>
      </c>
      <c r="E162" s="3"/>
    </row>
    <row r="163" customFormat="false" ht="15" hidden="false" customHeight="false" outlineLevel="0" collapsed="false">
      <c r="A163" s="3"/>
      <c r="B163" s="3"/>
      <c r="C163" s="3"/>
      <c r="D163" s="53" t="s">
        <v>6879</v>
      </c>
      <c r="E163" s="3"/>
    </row>
    <row r="164" customFormat="false" ht="15" hidden="false" customHeight="false" outlineLevel="0" collapsed="false">
      <c r="A164" s="3"/>
      <c r="B164" s="3"/>
      <c r="C164" s="3"/>
      <c r="D164" s="53" t="s">
        <v>6654</v>
      </c>
      <c r="E164" s="3"/>
    </row>
    <row r="165" customFormat="false" ht="15" hidden="false" customHeight="false" outlineLevel="0" collapsed="false">
      <c r="A165" s="3"/>
      <c r="B165" s="3"/>
      <c r="C165" s="3"/>
      <c r="D165" s="53" t="s">
        <v>6780</v>
      </c>
      <c r="E165" s="3"/>
    </row>
    <row r="166" customFormat="false" ht="15" hidden="false" customHeight="false" outlineLevel="0" collapsed="false">
      <c r="A166" s="3"/>
      <c r="B166" s="3"/>
      <c r="C166" s="3"/>
      <c r="D166" s="53" t="s">
        <v>6734</v>
      </c>
      <c r="E166" s="3"/>
    </row>
    <row r="167" customFormat="false" ht="15" hidden="false" customHeight="false" outlineLevel="0" collapsed="false">
      <c r="A167" s="3"/>
      <c r="B167" s="3"/>
      <c r="C167" s="3"/>
      <c r="D167" s="53" t="s">
        <v>6689</v>
      </c>
      <c r="E167" s="3"/>
    </row>
    <row r="168" customFormat="false" ht="15" hidden="false" customHeight="false" outlineLevel="0" collapsed="false">
      <c r="A168" s="3"/>
      <c r="B168" s="3"/>
      <c r="C168" s="3"/>
      <c r="D168" s="53" t="s">
        <v>6475</v>
      </c>
      <c r="E168" s="3"/>
    </row>
    <row r="169" customFormat="false" ht="15" hidden="false" customHeight="false" outlineLevel="0" collapsed="false">
      <c r="A169" s="3"/>
      <c r="B169" s="3"/>
      <c r="C169" s="3"/>
      <c r="D169" s="53" t="s">
        <v>6737</v>
      </c>
      <c r="E169" s="3"/>
    </row>
    <row r="170" customFormat="false" ht="15" hidden="false" customHeight="false" outlineLevel="0" collapsed="false">
      <c r="A170" s="3"/>
      <c r="B170" s="3"/>
      <c r="C170" s="3"/>
      <c r="D170" s="53" t="s">
        <v>6476</v>
      </c>
      <c r="E170" s="3"/>
    </row>
    <row r="171" customFormat="false" ht="15" hidden="false" customHeight="false" outlineLevel="0" collapsed="false">
      <c r="A171" s="3"/>
      <c r="B171" s="3"/>
      <c r="C171" s="3"/>
      <c r="D171" s="53" t="s">
        <v>6830</v>
      </c>
      <c r="E171" s="3"/>
    </row>
    <row r="172" customFormat="false" ht="15" hidden="false" customHeight="false" outlineLevel="0" collapsed="false">
      <c r="A172" s="3"/>
      <c r="B172" s="3"/>
      <c r="C172" s="3"/>
      <c r="D172" s="53" t="s">
        <v>6690</v>
      </c>
      <c r="E172" s="3"/>
    </row>
    <row r="173" customFormat="false" ht="15" hidden="false" customHeight="false" outlineLevel="0" collapsed="false">
      <c r="A173" s="3"/>
      <c r="B173" s="3"/>
      <c r="C173" s="3"/>
      <c r="D173" s="53" t="s">
        <v>6691</v>
      </c>
      <c r="E173" s="3"/>
    </row>
    <row r="174" customFormat="false" ht="15" hidden="false" customHeight="false" outlineLevel="0" collapsed="false">
      <c r="A174" s="3"/>
      <c r="B174" s="3"/>
      <c r="C174" s="3"/>
      <c r="D174" s="53" t="s">
        <v>6579</v>
      </c>
      <c r="E174" s="3"/>
    </row>
    <row r="175" customFormat="false" ht="15" hidden="false" customHeight="false" outlineLevel="0" collapsed="false">
      <c r="A175" s="3"/>
      <c r="B175" s="3"/>
      <c r="C175" s="3"/>
      <c r="D175" s="53" t="s">
        <v>6657</v>
      </c>
      <c r="E175" s="3"/>
    </row>
    <row r="176" customFormat="false" ht="15" hidden="false" customHeight="false" outlineLevel="0" collapsed="false">
      <c r="A176" s="3"/>
      <c r="B176" s="3"/>
      <c r="C176" s="3"/>
      <c r="D176" s="53" t="s">
        <v>6882</v>
      </c>
      <c r="E176" s="3"/>
    </row>
    <row r="177" customFormat="false" ht="15" hidden="false" customHeight="false" outlineLevel="0" collapsed="false">
      <c r="A177" s="3"/>
      <c r="B177" s="3"/>
      <c r="C177" s="3"/>
      <c r="D177" s="53" t="s">
        <v>6490</v>
      </c>
      <c r="E177" s="3"/>
    </row>
    <row r="178" customFormat="false" ht="15" hidden="false" customHeight="false" outlineLevel="0" collapsed="false">
      <c r="A178" s="3"/>
      <c r="B178" s="3"/>
      <c r="C178" s="3"/>
      <c r="D178" s="53" t="s">
        <v>6563</v>
      </c>
      <c r="E178" s="3"/>
    </row>
    <row r="179" customFormat="false" ht="15" hidden="false" customHeight="false" outlineLevel="0" collapsed="false">
      <c r="A179" s="3"/>
      <c r="B179" s="3"/>
      <c r="C179" s="3"/>
      <c r="D179" s="53" t="s">
        <v>6740</v>
      </c>
      <c r="E179" s="3"/>
    </row>
    <row r="180" customFormat="false" ht="15" hidden="false" customHeight="false" outlineLevel="0" collapsed="false">
      <c r="A180" s="3"/>
      <c r="B180" s="3"/>
      <c r="C180" s="3"/>
      <c r="D180" s="53" t="s">
        <v>6615</v>
      </c>
      <c r="E180" s="3"/>
    </row>
    <row r="181" customFormat="false" ht="15" hidden="false" customHeight="false" outlineLevel="0" collapsed="false">
      <c r="A181" s="3"/>
      <c r="B181" s="3"/>
      <c r="C181" s="3"/>
      <c r="D181" s="53" t="s">
        <v>6564</v>
      </c>
      <c r="E181" s="3"/>
    </row>
    <row r="182" customFormat="false" ht="15" hidden="false" customHeight="false" outlineLevel="0" collapsed="false">
      <c r="A182" s="3"/>
      <c r="B182" s="3"/>
      <c r="C182" s="3"/>
      <c r="D182" s="53" t="s">
        <v>6885</v>
      </c>
      <c r="E182" s="3"/>
    </row>
    <row r="183" customFormat="false" ht="15" hidden="false" customHeight="false" outlineLevel="0" collapsed="false">
      <c r="A183" s="3"/>
      <c r="B183" s="3"/>
      <c r="C183" s="3"/>
      <c r="D183" s="53" t="s">
        <v>6831</v>
      </c>
      <c r="E183" s="3"/>
    </row>
    <row r="184" customFormat="false" ht="15" hidden="false" customHeight="false" outlineLevel="0" collapsed="false">
      <c r="A184" s="3"/>
      <c r="B184" s="3"/>
      <c r="C184" s="3"/>
      <c r="D184" s="53" t="s">
        <v>6743</v>
      </c>
      <c r="E184" s="3"/>
    </row>
    <row r="185" customFormat="false" ht="15" hidden="false" customHeight="false" outlineLevel="0" collapsed="false">
      <c r="A185" s="3"/>
      <c r="B185" s="3"/>
      <c r="C185" s="3"/>
      <c r="D185" s="53" t="s">
        <v>6580</v>
      </c>
      <c r="E185" s="3"/>
    </row>
    <row r="186" customFormat="false" ht="15" hidden="false" customHeight="false" outlineLevel="0" collapsed="false">
      <c r="A186" s="3"/>
      <c r="B186" s="3"/>
      <c r="C186" s="3"/>
      <c r="D186" s="53" t="s">
        <v>6804</v>
      </c>
      <c r="E186" s="3"/>
    </row>
    <row r="187" customFormat="false" ht="15" hidden="false" customHeight="false" outlineLevel="0" collapsed="false">
      <c r="A187" s="3"/>
      <c r="B187" s="3"/>
      <c r="C187" s="3"/>
      <c r="D187" s="53" t="s">
        <v>6491</v>
      </c>
      <c r="E187" s="3"/>
    </row>
    <row r="188" customFormat="false" ht="15" hidden="false" customHeight="false" outlineLevel="0" collapsed="false">
      <c r="A188" s="3"/>
      <c r="B188" s="3"/>
      <c r="C188" s="3"/>
      <c r="D188" s="53" t="s">
        <v>6746</v>
      </c>
      <c r="E188" s="3"/>
    </row>
    <row r="189" customFormat="false" ht="15" hidden="false" customHeight="false" outlineLevel="0" collapsed="false">
      <c r="A189" s="3"/>
      <c r="B189" s="3"/>
      <c r="C189" s="3"/>
      <c r="D189" s="53" t="s">
        <v>6616</v>
      </c>
      <c r="E189" s="3"/>
    </row>
    <row r="190" customFormat="false" ht="15" hidden="false" customHeight="false" outlineLevel="0" collapsed="false">
      <c r="A190" s="3"/>
      <c r="B190" s="3"/>
      <c r="C190" s="3"/>
      <c r="D190" s="53" t="s">
        <v>6660</v>
      </c>
      <c r="E190" s="3"/>
    </row>
    <row r="191" customFormat="false" ht="15" hidden="false" customHeight="false" outlineLevel="0" collapsed="false">
      <c r="A191" s="3"/>
      <c r="B191" s="3"/>
      <c r="C191" s="3"/>
      <c r="D191" s="53" t="s">
        <v>6663</v>
      </c>
      <c r="E191" s="3"/>
    </row>
    <row r="192" customFormat="false" ht="15" hidden="false" customHeight="false" outlineLevel="0" collapsed="false">
      <c r="A192" s="3"/>
      <c r="B192" s="3"/>
      <c r="C192" s="3"/>
      <c r="D192" s="53" t="s">
        <v>6581</v>
      </c>
      <c r="E192" s="3"/>
    </row>
    <row r="193" customFormat="false" ht="15" hidden="false" customHeight="false" outlineLevel="0" collapsed="false">
      <c r="A193" s="3"/>
      <c r="B193" s="3"/>
      <c r="C193" s="3"/>
      <c r="D193" s="53" t="s">
        <v>6493</v>
      </c>
      <c r="E193" s="3"/>
    </row>
    <row r="194" customFormat="false" ht="15" hidden="false" customHeight="false" outlineLevel="0" collapsed="false">
      <c r="A194" s="3"/>
      <c r="B194" s="3"/>
      <c r="C194" s="3"/>
      <c r="D194" s="53" t="s">
        <v>6536</v>
      </c>
      <c r="E194" s="3"/>
    </row>
    <row r="195" customFormat="false" ht="15" hidden="false" customHeight="false" outlineLevel="0" collapsed="false">
      <c r="A195" s="3"/>
      <c r="B195" s="3"/>
      <c r="C195" s="3"/>
      <c r="D195" s="53" t="s">
        <v>6619</v>
      </c>
      <c r="E195" s="3"/>
    </row>
    <row r="196" customFormat="false" ht="15" hidden="false" customHeight="false" outlineLevel="0" collapsed="false">
      <c r="A196" s="3"/>
      <c r="B196" s="3"/>
      <c r="C196" s="3"/>
      <c r="D196" s="53" t="s">
        <v>6582</v>
      </c>
      <c r="E196" s="3"/>
    </row>
    <row r="197" customFormat="false" ht="15" hidden="false" customHeight="false" outlineLevel="0" collapsed="false">
      <c r="A197" s="3"/>
      <c r="B197" s="3"/>
      <c r="C197" s="3"/>
      <c r="D197" s="53" t="s">
        <v>6692</v>
      </c>
      <c r="E197" s="3"/>
    </row>
    <row r="198" customFormat="false" ht="15" hidden="false" customHeight="false" outlineLevel="0" collapsed="false">
      <c r="A198" s="3"/>
      <c r="B198" s="3"/>
      <c r="C198" s="3"/>
      <c r="D198" s="53" t="s">
        <v>6477</v>
      </c>
      <c r="E198" s="3"/>
    </row>
    <row r="199" customFormat="false" ht="15" hidden="false" customHeight="false" outlineLevel="0" collapsed="false">
      <c r="A199" s="3"/>
      <c r="B199" s="3"/>
      <c r="C199" s="3"/>
      <c r="D199" s="53" t="s">
        <v>6781</v>
      </c>
      <c r="E199" s="3"/>
    </row>
    <row r="200" customFormat="false" ht="15" hidden="false" customHeight="false" outlineLevel="0" collapsed="false">
      <c r="A200" s="3"/>
      <c r="B200" s="3"/>
      <c r="C200" s="3"/>
      <c r="D200" s="53" t="s">
        <v>6583</v>
      </c>
      <c r="E200" s="3"/>
    </row>
    <row r="201" customFormat="false" ht="15" hidden="false" customHeight="false" outlineLevel="0" collapsed="false">
      <c r="A201" s="3"/>
      <c r="B201" s="3"/>
      <c r="C201" s="3"/>
      <c r="D201" s="53" t="s">
        <v>6539</v>
      </c>
      <c r="E201" s="3"/>
    </row>
    <row r="202" customFormat="false" ht="15" hidden="false" customHeight="false" outlineLevel="0" collapsed="false">
      <c r="A202" s="3"/>
      <c r="B202" s="3"/>
      <c r="C202" s="3"/>
      <c r="D202" s="53" t="s">
        <v>6749</v>
      </c>
      <c r="E202" s="3"/>
    </row>
    <row r="203" customFormat="false" ht="15" hidden="false" customHeight="false" outlineLevel="0" collapsed="false">
      <c r="A203" s="3"/>
      <c r="B203" s="3"/>
      <c r="C203" s="3"/>
      <c r="D203" s="53" t="s">
        <v>6693</v>
      </c>
      <c r="E203" s="3"/>
    </row>
    <row r="204" customFormat="false" ht="15" hidden="false" customHeight="false" outlineLevel="0" collapsed="false">
      <c r="A204" s="3"/>
      <c r="B204" s="3"/>
      <c r="C204" s="3"/>
      <c r="D204" s="53" t="s">
        <v>6542</v>
      </c>
      <c r="E204" s="3"/>
    </row>
    <row r="205" customFormat="false" ht="15" hidden="false" customHeight="false" outlineLevel="0" collapsed="false">
      <c r="A205" s="3"/>
      <c r="B205" s="3"/>
      <c r="C205" s="3"/>
      <c r="D205" s="53" t="s">
        <v>6565</v>
      </c>
      <c r="E205" s="3"/>
    </row>
    <row r="206" customFormat="false" ht="15" hidden="false" customHeight="false" outlineLevel="0" collapsed="false">
      <c r="A206" s="3"/>
      <c r="B206" s="3"/>
      <c r="C206" s="3"/>
      <c r="D206" s="53" t="s">
        <v>6478</v>
      </c>
      <c r="E206" s="3"/>
    </row>
    <row r="207" customFormat="false" ht="15" hidden="false" customHeight="false" outlineLevel="0" collapsed="false">
      <c r="A207" s="3"/>
      <c r="B207" s="3"/>
      <c r="C207" s="3"/>
      <c r="D207" s="53" t="s">
        <v>6622</v>
      </c>
      <c r="E207" s="3"/>
    </row>
    <row r="208" customFormat="false" ht="15" hidden="false" customHeight="false" outlineLevel="0" collapsed="false">
      <c r="A208" s="3"/>
      <c r="B208" s="3"/>
      <c r="C208" s="3"/>
      <c r="D208" s="53" t="s">
        <v>6494</v>
      </c>
      <c r="E208" s="3"/>
    </row>
    <row r="209" customFormat="false" ht="15" hidden="false" customHeight="false" outlineLevel="0" collapsed="false">
      <c r="A209" s="3"/>
      <c r="B209" s="3"/>
      <c r="C209" s="3"/>
      <c r="D209" s="53" t="s">
        <v>6666</v>
      </c>
      <c r="E209" s="3"/>
    </row>
    <row r="210" customFormat="false" ht="15" hidden="false" customHeight="false" outlineLevel="0" collapsed="false">
      <c r="A210" s="3"/>
      <c r="B210" s="3"/>
      <c r="C210" s="3"/>
      <c r="D210" s="53" t="s">
        <v>6832</v>
      </c>
      <c r="E210" s="3"/>
    </row>
    <row r="211" customFormat="false" ht="15" hidden="false" customHeight="false" outlineLevel="0" collapsed="false">
      <c r="A211" s="3"/>
      <c r="B211" s="3"/>
      <c r="C211" s="3"/>
      <c r="D211" s="53" t="s">
        <v>6782</v>
      </c>
      <c r="E211" s="3"/>
    </row>
    <row r="212" customFormat="false" ht="15" hidden="false" customHeight="false" outlineLevel="0" collapsed="false">
      <c r="A212" s="3"/>
      <c r="B212" s="3"/>
      <c r="C212" s="3"/>
      <c r="D212" s="53" t="s">
        <v>6495</v>
      </c>
      <c r="E212" s="3"/>
    </row>
    <row r="213" customFormat="false" ht="15" hidden="false" customHeight="false" outlineLevel="0" collapsed="false">
      <c r="A213" s="3"/>
      <c r="B213" s="3"/>
      <c r="C213" s="3"/>
      <c r="D213" s="53" t="s">
        <v>6807</v>
      </c>
      <c r="E213" s="3"/>
    </row>
    <row r="214" customFormat="false" ht="15" hidden="false" customHeight="false" outlineLevel="0" collapsed="false">
      <c r="A214" s="3"/>
      <c r="B214" s="3"/>
      <c r="C214" s="3"/>
      <c r="D214" s="53" t="s">
        <v>6496</v>
      </c>
      <c r="E214" s="3"/>
    </row>
    <row r="215" customFormat="false" ht="15" hidden="false" customHeight="false" outlineLevel="0" collapsed="false">
      <c r="A215" s="3"/>
      <c r="B215" s="3"/>
      <c r="C215" s="3"/>
      <c r="D215" s="53" t="s">
        <v>6586</v>
      </c>
      <c r="E215" s="3"/>
    </row>
    <row r="216" customFormat="false" ht="15" hidden="false" customHeight="false" outlineLevel="0" collapsed="false">
      <c r="A216" s="3"/>
      <c r="B216" s="3"/>
      <c r="C216" s="3"/>
      <c r="D216" s="53" t="s">
        <v>6479</v>
      </c>
      <c r="E216" s="3"/>
    </row>
    <row r="217" customFormat="false" ht="15" hidden="false" customHeight="false" outlineLevel="0" collapsed="false">
      <c r="A217" s="3"/>
      <c r="B217" s="3"/>
      <c r="C217" s="3"/>
      <c r="D217" s="53" t="s">
        <v>6785</v>
      </c>
      <c r="E217" s="3"/>
    </row>
    <row r="218" customFormat="false" ht="15" hidden="false" customHeight="false" outlineLevel="0" collapsed="false">
      <c r="A218" s="3"/>
      <c r="B218" s="3"/>
      <c r="C218" s="3"/>
      <c r="D218" s="53" t="s">
        <v>6545</v>
      </c>
      <c r="E218" s="3"/>
    </row>
    <row r="219" customFormat="false" ht="15" hidden="false" customHeight="false" outlineLevel="0" collapsed="false">
      <c r="A219" s="3"/>
      <c r="B219" s="3"/>
      <c r="C219" s="3"/>
      <c r="D219" s="53" t="s">
        <v>6512</v>
      </c>
      <c r="E219" s="3"/>
    </row>
    <row r="220" customFormat="false" ht="15" hidden="false" customHeight="false" outlineLevel="0" collapsed="false">
      <c r="A220" s="3"/>
      <c r="B220" s="3"/>
      <c r="C220" s="3"/>
      <c r="D220" s="53" t="s">
        <v>6809</v>
      </c>
      <c r="E220" s="3"/>
    </row>
    <row r="221" customFormat="false" ht="15" hidden="false" customHeight="false" outlineLevel="0" collapsed="false">
      <c r="A221" s="3"/>
      <c r="B221" s="3"/>
      <c r="C221" s="3"/>
      <c r="D221" s="53" t="s">
        <v>6566</v>
      </c>
      <c r="E221" s="3"/>
    </row>
    <row r="222" customFormat="false" ht="15" hidden="false" customHeight="false" outlineLevel="0" collapsed="false">
      <c r="A222" s="3"/>
      <c r="B222" s="3"/>
      <c r="C222" s="3"/>
      <c r="D222" s="53" t="s">
        <v>6587</v>
      </c>
      <c r="E222" s="3"/>
    </row>
    <row r="223" customFormat="false" ht="15" hidden="false" customHeight="false" outlineLevel="0" collapsed="false">
      <c r="A223" s="3"/>
      <c r="B223" s="3"/>
      <c r="C223" s="3"/>
      <c r="D223" s="53" t="s">
        <v>6786</v>
      </c>
      <c r="E223" s="3"/>
    </row>
    <row r="224" customFormat="false" ht="15" hidden="false" customHeight="false" outlineLevel="0" collapsed="false">
      <c r="A224" s="3"/>
      <c r="B224" s="3"/>
      <c r="C224" s="3"/>
      <c r="D224" s="53" t="s">
        <v>6810</v>
      </c>
      <c r="E224" s="3"/>
    </row>
    <row r="225" customFormat="false" ht="15" hidden="false" customHeight="false" outlineLevel="0" collapsed="false">
      <c r="A225" s="3"/>
      <c r="B225" s="3"/>
      <c r="C225" s="3"/>
      <c r="D225" s="53" t="s">
        <v>6497</v>
      </c>
      <c r="E225" s="3"/>
    </row>
    <row r="226" customFormat="false" ht="15" hidden="false" customHeight="false" outlineLevel="0" collapsed="false">
      <c r="A226" s="3"/>
      <c r="B226" s="3"/>
      <c r="C226" s="3"/>
      <c r="D226" s="53" t="s">
        <v>6588</v>
      </c>
      <c r="E226" s="3"/>
    </row>
    <row r="227" customFormat="false" ht="15" hidden="false" customHeight="false" outlineLevel="0" collapsed="false">
      <c r="A227" s="3"/>
      <c r="B227" s="3"/>
      <c r="C227" s="3"/>
      <c r="D227" s="53" t="s">
        <v>6567</v>
      </c>
      <c r="E227" s="3"/>
    </row>
    <row r="228" customFormat="false" ht="15" hidden="false" customHeight="false" outlineLevel="0" collapsed="false">
      <c r="A228" s="3"/>
      <c r="B228" s="3"/>
      <c r="C228" s="3"/>
      <c r="D228" s="53" t="s">
        <v>6667</v>
      </c>
      <c r="E228" s="3"/>
    </row>
    <row r="229" customFormat="false" ht="15" hidden="false" customHeight="false" outlineLevel="0" collapsed="false">
      <c r="A229" s="3"/>
      <c r="B229" s="3"/>
      <c r="C229" s="3"/>
      <c r="D229" s="53" t="s">
        <v>6513</v>
      </c>
      <c r="E229" s="3"/>
    </row>
    <row r="230" customFormat="false" ht="15" hidden="false" customHeight="false" outlineLevel="0" collapsed="false">
      <c r="A230" s="3"/>
      <c r="B230" s="3"/>
      <c r="C230" s="3"/>
      <c r="D230" s="53" t="s">
        <v>6888</v>
      </c>
      <c r="E230" s="3"/>
    </row>
    <row r="231" customFormat="false" ht="15" hidden="false" customHeight="false" outlineLevel="0" collapsed="false">
      <c r="A231" s="3"/>
      <c r="B231" s="3"/>
      <c r="C231" s="3"/>
      <c r="D231" s="53" t="s">
        <v>6568</v>
      </c>
      <c r="E231" s="3"/>
    </row>
    <row r="232" customFormat="false" ht="15" hidden="false" customHeight="false" outlineLevel="0" collapsed="false">
      <c r="A232" s="3"/>
      <c r="B232" s="3"/>
      <c r="C232" s="3"/>
      <c r="D232" s="53" t="s">
        <v>6752</v>
      </c>
      <c r="E232" s="3"/>
    </row>
    <row r="233" customFormat="false" ht="15" hidden="false" customHeight="false" outlineLevel="0" collapsed="false">
      <c r="A233" s="3"/>
      <c r="B233" s="3"/>
      <c r="C233" s="3"/>
      <c r="D233" s="53" t="s">
        <v>6569</v>
      </c>
      <c r="E233" s="3"/>
    </row>
    <row r="234" customFormat="false" ht="15" hidden="false" customHeight="false" outlineLevel="0" collapsed="false">
      <c r="A234" s="3"/>
      <c r="B234" s="3"/>
      <c r="C234" s="3"/>
      <c r="D234" s="53" t="s">
        <v>6668</v>
      </c>
      <c r="E234" s="3"/>
    </row>
    <row r="235" customFormat="false" ht="15" hidden="false" customHeight="false" outlineLevel="0" collapsed="false">
      <c r="A235" s="3"/>
      <c r="B235" s="3"/>
      <c r="C235" s="3"/>
      <c r="D235" s="53" t="s">
        <v>6811</v>
      </c>
      <c r="E235" s="3"/>
    </row>
    <row r="236" customFormat="false" ht="15" hidden="false" customHeight="false" outlineLevel="0" collapsed="false">
      <c r="A236" s="3"/>
      <c r="B236" s="3"/>
      <c r="C236" s="3"/>
      <c r="D236" s="53" t="s">
        <v>6669</v>
      </c>
      <c r="E236" s="3"/>
    </row>
    <row r="237" customFormat="false" ht="15" hidden="false" customHeight="false" outlineLevel="0" collapsed="false">
      <c r="A237" s="3"/>
      <c r="B237" s="3"/>
      <c r="C237" s="3"/>
      <c r="D237" s="53" t="s">
        <v>6787</v>
      </c>
      <c r="E237" s="3"/>
    </row>
    <row r="238" customFormat="false" ht="15" hidden="false" customHeight="false" outlineLevel="0" collapsed="false">
      <c r="A238" s="3"/>
      <c r="B238" s="3"/>
      <c r="C238" s="3"/>
      <c r="D238" s="53" t="s">
        <v>6891</v>
      </c>
      <c r="E238" s="3"/>
    </row>
    <row r="239" customFormat="false" ht="15" hidden="false" customHeight="false" outlineLevel="0" collapsed="false">
      <c r="A239" s="3"/>
      <c r="B239" s="3"/>
      <c r="C239" s="3"/>
      <c r="D239" s="53" t="s">
        <v>6546</v>
      </c>
      <c r="E239" s="3"/>
    </row>
    <row r="240" customFormat="false" ht="15" hidden="false" customHeight="false" outlineLevel="0" collapsed="false">
      <c r="A240" s="3"/>
      <c r="B240" s="3"/>
      <c r="C240" s="3"/>
      <c r="D240" s="53" t="s">
        <v>6833</v>
      </c>
      <c r="E240" s="3"/>
    </row>
    <row r="241" customFormat="false" ht="15" hidden="false" customHeight="false" outlineLevel="0" collapsed="false">
      <c r="A241" s="3"/>
      <c r="B241" s="3"/>
      <c r="C241" s="3"/>
      <c r="D241" s="53" t="s">
        <v>6755</v>
      </c>
      <c r="E241" s="3"/>
    </row>
    <row r="242" customFormat="false" ht="15" hidden="false" customHeight="false" outlineLevel="0" collapsed="false">
      <c r="A242" s="3"/>
      <c r="B242" s="3"/>
      <c r="C242" s="3"/>
      <c r="D242" s="53" t="s">
        <v>6625</v>
      </c>
      <c r="E242" s="3"/>
    </row>
    <row r="243" customFormat="false" ht="15" hidden="false" customHeight="false" outlineLevel="0" collapsed="false">
      <c r="A243" s="3"/>
      <c r="B243" s="3"/>
      <c r="C243" s="3"/>
      <c r="D243" s="53" t="s">
        <v>6756</v>
      </c>
      <c r="E243" s="3"/>
    </row>
    <row r="244" customFormat="false" ht="15" hidden="false" customHeight="false" outlineLevel="0" collapsed="false">
      <c r="A244" s="3"/>
      <c r="B244" s="3"/>
      <c r="C244" s="3"/>
      <c r="D244" s="53" t="s">
        <v>6694</v>
      </c>
      <c r="E244" s="3"/>
    </row>
    <row r="245" customFormat="false" ht="15" hidden="false" customHeight="false" outlineLevel="0" collapsed="false">
      <c r="A245" s="3"/>
      <c r="B245" s="3"/>
      <c r="C245" s="3"/>
      <c r="D245" s="53" t="s">
        <v>6695</v>
      </c>
      <c r="E245" s="3"/>
    </row>
    <row r="246" customFormat="false" ht="15" hidden="false" customHeight="false" outlineLevel="0" collapsed="false">
      <c r="A246" s="3"/>
      <c r="B246" s="3"/>
      <c r="C246" s="3"/>
      <c r="D246" s="53" t="s">
        <v>6813</v>
      </c>
      <c r="E246" s="3"/>
    </row>
    <row r="247" customFormat="false" ht="15" hidden="false" customHeight="false" outlineLevel="0" collapsed="false">
      <c r="A247" s="3"/>
      <c r="B247" s="3"/>
      <c r="C247" s="3"/>
      <c r="D247" s="53" t="s">
        <v>6789</v>
      </c>
      <c r="E247" s="3"/>
    </row>
    <row r="248" customFormat="false" ht="15" hidden="false" customHeight="false" outlineLevel="0" collapsed="false">
      <c r="A248" s="3"/>
      <c r="B248" s="3"/>
      <c r="C248" s="3"/>
      <c r="D248" s="53" t="s">
        <v>6791</v>
      </c>
      <c r="E248" s="3"/>
    </row>
    <row r="249" customFormat="false" ht="15" hidden="false" customHeight="false" outlineLevel="0" collapsed="false">
      <c r="A249" s="3"/>
      <c r="B249" s="3"/>
      <c r="C249" s="3"/>
      <c r="D249" s="53" t="s">
        <v>6480</v>
      </c>
      <c r="E249" s="3"/>
    </row>
    <row r="250" customFormat="false" ht="15" hidden="false" customHeight="false" outlineLevel="0" collapsed="false">
      <c r="A250" s="3"/>
      <c r="B250" s="3"/>
      <c r="C250" s="3"/>
      <c r="D250" s="53" t="s">
        <v>6672</v>
      </c>
      <c r="E250" s="3"/>
    </row>
    <row r="251" customFormat="false" ht="15" hidden="false" customHeight="false" outlineLevel="0" collapsed="false">
      <c r="A251" s="3"/>
      <c r="B251" s="3"/>
      <c r="C251" s="3"/>
      <c r="D251" s="53" t="s">
        <v>6498</v>
      </c>
      <c r="E251"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Z8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8"/>
    <col collapsed="false" customWidth="true" hidden="false" outlineLevel="0" max="3" min="3" style="0" width="11"/>
    <col collapsed="false" customWidth="true" hidden="false" outlineLevel="0" max="5" min="4" style="0" width="9"/>
    <col collapsed="false" customWidth="true" hidden="false" outlineLevel="0" max="7" min="6" style="0" width="10"/>
    <col collapsed="false" customWidth="true" hidden="false" outlineLevel="0" max="12" min="8" style="0" width="9"/>
    <col collapsed="false" customWidth="true" hidden="false" outlineLevel="0" max="14" min="13" style="0" width="8"/>
    <col collapsed="false" customWidth="true" hidden="false" outlineLevel="0" max="19" min="15" style="0" width="9"/>
    <col collapsed="false" customWidth="true" hidden="false" outlineLevel="0" max="20" min="20" style="0" width="8"/>
    <col collapsed="false" customWidth="true" hidden="false" outlineLevel="0" max="24" min="21" style="0" width="9"/>
    <col collapsed="false" customWidth="true" hidden="false" outlineLevel="0" max="26" min="25" style="0" width="11"/>
  </cols>
  <sheetData>
    <row r="1" customFormat="false" ht="30" hidden="false" customHeight="true" outlineLevel="0" collapsed="false">
      <c r="A1" s="1" t="s">
        <v>6897</v>
      </c>
      <c r="B1" s="1"/>
      <c r="C1" s="1"/>
      <c r="D1" s="1"/>
      <c r="E1" s="1"/>
      <c r="F1" s="1"/>
      <c r="G1" s="1"/>
      <c r="H1" s="1"/>
      <c r="I1" s="1"/>
      <c r="J1" s="1"/>
      <c r="K1" s="1"/>
      <c r="L1" s="1"/>
      <c r="M1" s="1"/>
      <c r="N1" s="1"/>
      <c r="O1" s="1"/>
      <c r="P1" s="1"/>
      <c r="Q1" s="1"/>
      <c r="R1" s="1"/>
      <c r="S1" s="1"/>
      <c r="T1" s="1"/>
      <c r="U1" s="1"/>
      <c r="V1" s="1"/>
      <c r="W1" s="1"/>
      <c r="X1" s="1"/>
      <c r="Y1" s="1"/>
      <c r="Z1" s="1"/>
    </row>
    <row r="2" customFormat="false" ht="15" hidden="false" customHeight="false" outlineLevel="0" collapsed="false">
      <c r="A2" s="2" t="s">
        <v>6898</v>
      </c>
      <c r="B2" s="2"/>
      <c r="C2" s="2"/>
      <c r="D2" s="2"/>
      <c r="E2" s="2"/>
      <c r="F2" s="2"/>
      <c r="G2" s="2"/>
      <c r="H2" s="2"/>
      <c r="I2" s="2"/>
      <c r="J2" s="2"/>
      <c r="K2" s="2"/>
      <c r="L2" s="2"/>
      <c r="M2" s="2"/>
      <c r="N2" s="2"/>
      <c r="O2" s="2"/>
      <c r="P2" s="2"/>
      <c r="Q2" s="2"/>
      <c r="R2" s="2"/>
      <c r="S2" s="2"/>
      <c r="T2" s="2"/>
      <c r="U2" s="2"/>
      <c r="V2" s="2"/>
      <c r="W2" s="2"/>
      <c r="X2" s="2"/>
      <c r="Y2" s="2"/>
      <c r="Z2" s="2"/>
    </row>
    <row r="3" customFormat="false" ht="31.5" hidden="false" customHeight="true" outlineLevel="0" collapsed="false">
      <c r="A3" s="61" t="s">
        <v>28</v>
      </c>
      <c r="B3" s="61" t="s">
        <v>29</v>
      </c>
      <c r="C3" s="61" t="s">
        <v>6</v>
      </c>
      <c r="D3" s="61" t="s">
        <v>4</v>
      </c>
      <c r="E3" s="61" t="s">
        <v>5</v>
      </c>
      <c r="F3" s="61" t="s">
        <v>3</v>
      </c>
      <c r="G3" s="61" t="s">
        <v>6899</v>
      </c>
      <c r="H3" s="61" t="s">
        <v>31</v>
      </c>
      <c r="I3" s="61" t="s">
        <v>32</v>
      </c>
      <c r="J3" s="61" t="s">
        <v>33</v>
      </c>
      <c r="K3" s="61" t="s">
        <v>7</v>
      </c>
      <c r="L3" s="61" t="s">
        <v>34</v>
      </c>
      <c r="M3" s="61" t="s">
        <v>6900</v>
      </c>
      <c r="N3" s="61" t="s">
        <v>6901</v>
      </c>
      <c r="O3" s="61" t="s">
        <v>18</v>
      </c>
      <c r="P3" s="61" t="s">
        <v>6902</v>
      </c>
      <c r="Q3" s="61" t="s">
        <v>6903</v>
      </c>
      <c r="R3" s="61" t="s">
        <v>35</v>
      </c>
      <c r="S3" s="61" t="s">
        <v>126</v>
      </c>
      <c r="T3" s="61" t="s">
        <v>127</v>
      </c>
      <c r="U3" s="61" t="s">
        <v>128</v>
      </c>
      <c r="V3" s="61" t="s">
        <v>6904</v>
      </c>
      <c r="W3" s="61" t="s">
        <v>130</v>
      </c>
      <c r="X3" s="61" t="s">
        <v>6905</v>
      </c>
      <c r="Y3" s="61" t="s">
        <v>6906</v>
      </c>
      <c r="Z3" s="61" t="s">
        <v>6907</v>
      </c>
    </row>
    <row r="4" customFormat="false" ht="15" hidden="false" customHeight="false" outlineLevel="0" collapsed="false">
      <c r="A4" s="25" t="n">
        <v>46225</v>
      </c>
      <c r="B4" s="53" t="s">
        <v>143</v>
      </c>
      <c r="C4" s="26" t="n">
        <f aca="false">SUMIFS(Sales_Data!$AE$2:$AE$3520,Sales_Data!$C$2:$C$3520,$A4)</f>
        <v>17</v>
      </c>
      <c r="D4" s="26" t="n">
        <f aca="false">SUMIFS(Sales_Data!$M$2:$M$3520,Sales_Data!$C$2:$C$3520,$A4,Sales_Data!$AE$2:$AE$3520,1)</f>
        <v>6</v>
      </c>
      <c r="E4" s="26" t="n">
        <f aca="false">SUMIFS(Sales_Data!$N$2:$N$3520,Sales_Data!$C$2:$C$3520,$A4,Sales_Data!$AE$2:$AE$3520,1)</f>
        <v>14</v>
      </c>
      <c r="F4" s="26" t="n">
        <f aca="false">D4+E4</f>
        <v>20</v>
      </c>
      <c r="G4" s="28" t="s">
        <v>64</v>
      </c>
      <c r="H4" s="29" t="s">
        <v>64</v>
      </c>
      <c r="I4" s="30" t="n">
        <f aca="false">AVERAGE(F4:F4)</f>
        <v>20</v>
      </c>
      <c r="J4" s="29" t="s">
        <v>64</v>
      </c>
      <c r="K4" s="26" t="n">
        <f aca="false">SUMIFS(Sales_Data!$AF$2:$AF$3520,Sales_Data!$C$2:$C$3520,$A4)</f>
        <v>11</v>
      </c>
      <c r="L4" s="31" t="n">
        <f aca="false">IFERROR(F4/K4,0)</f>
        <v>1.81818181818182</v>
      </c>
      <c r="M4" s="26" t="n">
        <f aca="false">COUNTIFS(Sales_Data!$C$2:$C$3520,$A4,Sales_Data!$U$2:$U$3520,"Yes",Sales_Data!$AE$2:$AE$3520,1)</f>
        <v>0</v>
      </c>
      <c r="N4" s="26" t="n">
        <f aca="false">M4+COUNTIFS(Sales_Data!$C$2:$C$3520,$A4,Sales_Data!$U$2:$U$3520,"No",Sales_Data!$AE$2:$AE$3520,1)</f>
        <v>0</v>
      </c>
      <c r="O4" s="32" t="str">
        <f aca="false">IF(N4=0,"-",M4/N4)</f>
        <v>-</v>
      </c>
      <c r="P4" s="26" t="n">
        <f aca="false">COUNTIFS(Sales_Data!$C$2:$C$3520,$A4,Sales_Data!$W$2:$W$3520,"Yes",Sales_Data!$AE$2:$AE$3520,1)</f>
        <v>0</v>
      </c>
      <c r="Q4" s="26" t="n">
        <f aca="false">P4+COUNTIFS(Sales_Data!$C$2:$C$3520,$A4,Sales_Data!$W$2:$W$3520,"No",Sales_Data!$AE$2:$AE$3520,1)</f>
        <v>0</v>
      </c>
      <c r="R4" s="32" t="str">
        <f aca="false">IF(Q4=0,"-",P4/Q4)</f>
        <v>-</v>
      </c>
      <c r="S4" s="26" t="n">
        <f aca="false">SUMIFS(Sales_Data!$P$2:$P$3520,Sales_Data!$C$2:$C$3520,$A4,Sales_Data!$AE$2:$AE$3520,1)</f>
        <v>8</v>
      </c>
      <c r="T4" s="26" t="n">
        <f aca="false">SUMIFS(Sales_Data!$Q$2:$Q$3520,Sales_Data!$C$2:$C$3520,$A4,Sales_Data!$AE$2:$AE$3520,1)</f>
        <v>4</v>
      </c>
      <c r="U4" s="26" t="n">
        <f aca="false">SUMIFS(Sales_Data!$R$2:$R$3520,Sales_Data!$C$2:$C$3520,$A4,Sales_Data!$AE$2:$AE$3520,1)</f>
        <v>2</v>
      </c>
      <c r="V4" s="26" t="n">
        <f aca="false">SUMIFS(Sales_Data!$S$2:$S$3520,Sales_Data!$C$2:$C$3520,$A4,Sales_Data!$AE$2:$AE$3520,1)</f>
        <v>0</v>
      </c>
      <c r="W4" s="26" t="n">
        <f aca="false">SUMIFS(Sales_Data!$T$2:$T$3520,Sales_Data!$C$2:$C$3520,$A4,Sales_Data!$AE$2:$AE$3520,1)</f>
        <v>0</v>
      </c>
      <c r="X4" s="26" t="n">
        <f aca="false">COUNTIFS(Sales_Data!$C$2:$C$3520,$A4,Sales_Data!$X$2:$X$3520,"&lt;&gt;No Device",Sales_Data!$X$2:$X$3520,"&lt;&gt;",Sales_Data!$AE$2:$AE$3520,1)</f>
        <v>0</v>
      </c>
      <c r="Y4" s="26" t="n">
        <f aca="false">COUNTIFS(Sales_Data!$C$2:$C$3520,$A4,Sales_Data!$AD$2:$AD$3520,0,Sales_Data!$AE$2:$AE$3520,1)</f>
        <v>6</v>
      </c>
      <c r="Z4" s="26" t="n">
        <f aca="false">COUNTIFS(Sales_Data!$C$2:$C$3520,$A4,Sales_Data!$AC$2:$AC$3520,1)</f>
        <v>0</v>
      </c>
    </row>
    <row r="5" customFormat="false" ht="15" hidden="false" customHeight="false" outlineLevel="0" collapsed="false">
      <c r="A5" s="25" t="n">
        <v>46226</v>
      </c>
      <c r="B5" s="53" t="s">
        <v>202</v>
      </c>
      <c r="C5" s="26" t="n">
        <f aca="false">SUMIFS(Sales_Data!$AE$2:$AE$3520,Sales_Data!$C$2:$C$3520,$A5)</f>
        <v>32</v>
      </c>
      <c r="D5" s="26" t="n">
        <f aca="false">SUMIFS(Sales_Data!$M$2:$M$3520,Sales_Data!$C$2:$C$3520,$A5,Sales_Data!$AE$2:$AE$3520,1)</f>
        <v>12</v>
      </c>
      <c r="E5" s="26" t="n">
        <f aca="false">SUMIFS(Sales_Data!$N$2:$N$3520,Sales_Data!$C$2:$C$3520,$A5,Sales_Data!$AE$2:$AE$3520,1)</f>
        <v>25</v>
      </c>
      <c r="F5" s="26" t="n">
        <f aca="false">D5+E5</f>
        <v>37</v>
      </c>
      <c r="G5" s="28" t="n">
        <f aca="false">F5-F4</f>
        <v>17</v>
      </c>
      <c r="H5" s="29" t="n">
        <f aca="false">IF(F4=0,"-",(F5-F4)/F4)</f>
        <v>0.85</v>
      </c>
      <c r="I5" s="30" t="n">
        <f aca="false">AVERAGE(F4:F5)</f>
        <v>28.5</v>
      </c>
      <c r="J5" s="29" t="s">
        <v>64</v>
      </c>
      <c r="K5" s="26" t="n">
        <f aca="false">SUMIFS(Sales_Data!$AF$2:$AF$3520,Sales_Data!$C$2:$C$3520,$A5)</f>
        <v>16</v>
      </c>
      <c r="L5" s="31" t="n">
        <f aca="false">IFERROR(F5/K5,0)</f>
        <v>2.3125</v>
      </c>
      <c r="M5" s="26" t="n">
        <f aca="false">COUNTIFS(Sales_Data!$C$2:$C$3520,$A5,Sales_Data!$U$2:$U$3520,"Yes",Sales_Data!$AE$2:$AE$3520,1)</f>
        <v>0</v>
      </c>
      <c r="N5" s="26" t="n">
        <f aca="false">M5+COUNTIFS(Sales_Data!$C$2:$C$3520,$A5,Sales_Data!$U$2:$U$3520,"No",Sales_Data!$AE$2:$AE$3520,1)</f>
        <v>0</v>
      </c>
      <c r="O5" s="32" t="str">
        <f aca="false">IF(N5=0,"-",M5/N5)</f>
        <v>-</v>
      </c>
      <c r="P5" s="26" t="n">
        <f aca="false">COUNTIFS(Sales_Data!$C$2:$C$3520,$A5,Sales_Data!$W$2:$W$3520,"Yes",Sales_Data!$AE$2:$AE$3520,1)</f>
        <v>0</v>
      </c>
      <c r="Q5" s="26" t="n">
        <f aca="false">P5+COUNTIFS(Sales_Data!$C$2:$C$3520,$A5,Sales_Data!$W$2:$W$3520,"No",Sales_Data!$AE$2:$AE$3520,1)</f>
        <v>0</v>
      </c>
      <c r="R5" s="32" t="str">
        <f aca="false">IF(Q5=0,"-",P5/Q5)</f>
        <v>-</v>
      </c>
      <c r="S5" s="26" t="n">
        <f aca="false">SUMIFS(Sales_Data!$P$2:$P$3520,Sales_Data!$C$2:$C$3520,$A5,Sales_Data!$AE$2:$AE$3520,1)</f>
        <v>17</v>
      </c>
      <c r="T5" s="26" t="n">
        <f aca="false">SUMIFS(Sales_Data!$Q$2:$Q$3520,Sales_Data!$C$2:$C$3520,$A5,Sales_Data!$AE$2:$AE$3520,1)</f>
        <v>7</v>
      </c>
      <c r="U5" s="26" t="n">
        <f aca="false">SUMIFS(Sales_Data!$R$2:$R$3520,Sales_Data!$C$2:$C$3520,$A5,Sales_Data!$AE$2:$AE$3520,1)</f>
        <v>1</v>
      </c>
      <c r="V5" s="26" t="n">
        <f aca="false">SUMIFS(Sales_Data!$S$2:$S$3520,Sales_Data!$C$2:$C$3520,$A5,Sales_Data!$AE$2:$AE$3520,1)</f>
        <v>0</v>
      </c>
      <c r="W5" s="26" t="n">
        <f aca="false">SUMIFS(Sales_Data!$T$2:$T$3520,Sales_Data!$C$2:$C$3520,$A5,Sales_Data!$AE$2:$AE$3520,1)</f>
        <v>0</v>
      </c>
      <c r="X5" s="26" t="n">
        <f aca="false">COUNTIFS(Sales_Data!$C$2:$C$3520,$A5,Sales_Data!$X$2:$X$3520,"&lt;&gt;No Device",Sales_Data!$X$2:$X$3520,"&lt;&gt;",Sales_Data!$AE$2:$AE$3520,1)</f>
        <v>0</v>
      </c>
      <c r="Y5" s="26" t="n">
        <f aca="false">COUNTIFS(Sales_Data!$C$2:$C$3520,$A5,Sales_Data!$AD$2:$AD$3520,0,Sales_Data!$AE$2:$AE$3520,1)</f>
        <v>8</v>
      </c>
      <c r="Z5" s="26" t="n">
        <f aca="false">COUNTIFS(Sales_Data!$C$2:$C$3520,$A5,Sales_Data!$AC$2:$AC$3520,1)</f>
        <v>2</v>
      </c>
    </row>
    <row r="6" customFormat="false" ht="15" hidden="false" customHeight="false" outlineLevel="0" collapsed="false">
      <c r="A6" s="25" t="n">
        <v>46227</v>
      </c>
      <c r="B6" s="53" t="s">
        <v>288</v>
      </c>
      <c r="C6" s="26" t="n">
        <f aca="false">SUMIFS(Sales_Data!$AE$2:$AE$3520,Sales_Data!$C$2:$C$3520,$A6)</f>
        <v>36</v>
      </c>
      <c r="D6" s="26" t="n">
        <f aca="false">SUMIFS(Sales_Data!$M$2:$M$3520,Sales_Data!$C$2:$C$3520,$A6,Sales_Data!$AE$2:$AE$3520,1)</f>
        <v>8</v>
      </c>
      <c r="E6" s="26" t="n">
        <f aca="false">SUMIFS(Sales_Data!$N$2:$N$3520,Sales_Data!$C$2:$C$3520,$A6,Sales_Data!$AE$2:$AE$3520,1)</f>
        <v>35</v>
      </c>
      <c r="F6" s="26" t="n">
        <f aca="false">D6+E6</f>
        <v>43</v>
      </c>
      <c r="G6" s="28" t="n">
        <f aca="false">F6-F5</f>
        <v>6</v>
      </c>
      <c r="H6" s="29" t="n">
        <f aca="false">IF(F5=0,"-",(F6-F5)/F5)</f>
        <v>0.162162162162162</v>
      </c>
      <c r="I6" s="30" t="n">
        <f aca="false">AVERAGE(F4:F6)</f>
        <v>33.3333333333333</v>
      </c>
      <c r="J6" s="29" t="s">
        <v>64</v>
      </c>
      <c r="K6" s="26" t="n">
        <f aca="false">SUMIFS(Sales_Data!$AF$2:$AF$3520,Sales_Data!$C$2:$C$3520,$A6)</f>
        <v>18</v>
      </c>
      <c r="L6" s="31" t="n">
        <f aca="false">IFERROR(F6/K6,0)</f>
        <v>2.38888888888889</v>
      </c>
      <c r="M6" s="26" t="n">
        <f aca="false">COUNTIFS(Sales_Data!$C$2:$C$3520,$A6,Sales_Data!$U$2:$U$3520,"Yes",Sales_Data!$AE$2:$AE$3520,1)</f>
        <v>0</v>
      </c>
      <c r="N6" s="26" t="n">
        <f aca="false">M6+COUNTIFS(Sales_Data!$C$2:$C$3520,$A6,Sales_Data!$U$2:$U$3520,"No",Sales_Data!$AE$2:$AE$3520,1)</f>
        <v>0</v>
      </c>
      <c r="O6" s="32" t="str">
        <f aca="false">IF(N6=0,"-",M6/N6)</f>
        <v>-</v>
      </c>
      <c r="P6" s="26" t="n">
        <f aca="false">COUNTIFS(Sales_Data!$C$2:$C$3520,$A6,Sales_Data!$W$2:$W$3520,"Yes",Sales_Data!$AE$2:$AE$3520,1)</f>
        <v>0</v>
      </c>
      <c r="Q6" s="26" t="n">
        <f aca="false">P6+COUNTIFS(Sales_Data!$C$2:$C$3520,$A6,Sales_Data!$W$2:$W$3520,"No",Sales_Data!$AE$2:$AE$3520,1)</f>
        <v>0</v>
      </c>
      <c r="R6" s="32" t="str">
        <f aca="false">IF(Q6=0,"-",P6/Q6)</f>
        <v>-</v>
      </c>
      <c r="S6" s="26" t="n">
        <f aca="false">SUMIFS(Sales_Data!$P$2:$P$3520,Sales_Data!$C$2:$C$3520,$A6,Sales_Data!$AE$2:$AE$3520,1)</f>
        <v>20</v>
      </c>
      <c r="T6" s="26" t="n">
        <f aca="false">SUMIFS(Sales_Data!$Q$2:$Q$3520,Sales_Data!$C$2:$C$3520,$A6,Sales_Data!$AE$2:$AE$3520,1)</f>
        <v>13</v>
      </c>
      <c r="U6" s="26" t="n">
        <f aca="false">SUMIFS(Sales_Data!$R$2:$R$3520,Sales_Data!$C$2:$C$3520,$A6,Sales_Data!$AE$2:$AE$3520,1)</f>
        <v>1</v>
      </c>
      <c r="V6" s="26" t="n">
        <f aca="false">SUMIFS(Sales_Data!$S$2:$S$3520,Sales_Data!$C$2:$C$3520,$A6,Sales_Data!$AE$2:$AE$3520,1)</f>
        <v>1</v>
      </c>
      <c r="W6" s="26" t="n">
        <f aca="false">SUMIFS(Sales_Data!$T$2:$T$3520,Sales_Data!$C$2:$C$3520,$A6,Sales_Data!$AE$2:$AE$3520,1)</f>
        <v>0</v>
      </c>
      <c r="X6" s="26" t="n">
        <f aca="false">COUNTIFS(Sales_Data!$C$2:$C$3520,$A6,Sales_Data!$X$2:$X$3520,"&lt;&gt;No Device",Sales_Data!$X$2:$X$3520,"&lt;&gt;",Sales_Data!$AE$2:$AE$3520,1)</f>
        <v>0</v>
      </c>
      <c r="Y6" s="26" t="n">
        <f aca="false">COUNTIFS(Sales_Data!$C$2:$C$3520,$A6,Sales_Data!$AD$2:$AD$3520,0,Sales_Data!$AE$2:$AE$3520,1)</f>
        <v>12</v>
      </c>
      <c r="Z6" s="26" t="n">
        <f aca="false">COUNTIFS(Sales_Data!$C$2:$C$3520,$A6,Sales_Data!$AC$2:$AC$3520,1)</f>
        <v>0</v>
      </c>
    </row>
    <row r="7" customFormat="false" ht="15" hidden="false" customHeight="false" outlineLevel="0" collapsed="false">
      <c r="A7" s="25" t="n">
        <v>46228</v>
      </c>
      <c r="B7" s="53" t="s">
        <v>358</v>
      </c>
      <c r="C7" s="26" t="n">
        <f aca="false">SUMIFS(Sales_Data!$AE$2:$AE$3520,Sales_Data!$C$2:$C$3520,$A7)</f>
        <v>15</v>
      </c>
      <c r="D7" s="26" t="n">
        <f aca="false">SUMIFS(Sales_Data!$M$2:$M$3520,Sales_Data!$C$2:$C$3520,$A7,Sales_Data!$AE$2:$AE$3520,1)</f>
        <v>10</v>
      </c>
      <c r="E7" s="26" t="n">
        <f aca="false">SUMIFS(Sales_Data!$N$2:$N$3520,Sales_Data!$C$2:$C$3520,$A7,Sales_Data!$AE$2:$AE$3520,1)</f>
        <v>7</v>
      </c>
      <c r="F7" s="26" t="n">
        <f aca="false">D7+E7</f>
        <v>17</v>
      </c>
      <c r="G7" s="28" t="n">
        <f aca="false">F7-F6</f>
        <v>-26</v>
      </c>
      <c r="H7" s="29" t="n">
        <f aca="false">IF(F6=0,"-",(F7-F6)/F6)</f>
        <v>-0.604651162790698</v>
      </c>
      <c r="I7" s="30" t="n">
        <f aca="false">AVERAGE(F4:F7)</f>
        <v>29.25</v>
      </c>
      <c r="J7" s="29" t="s">
        <v>64</v>
      </c>
      <c r="K7" s="26" t="n">
        <f aca="false">SUMIFS(Sales_Data!$AF$2:$AF$3520,Sales_Data!$C$2:$C$3520,$A7)</f>
        <v>8</v>
      </c>
      <c r="L7" s="31" t="n">
        <f aca="false">IFERROR(F7/K7,0)</f>
        <v>2.125</v>
      </c>
      <c r="M7" s="26" t="n">
        <f aca="false">COUNTIFS(Sales_Data!$C$2:$C$3520,$A7,Sales_Data!$U$2:$U$3520,"Yes",Sales_Data!$AE$2:$AE$3520,1)</f>
        <v>0</v>
      </c>
      <c r="N7" s="26" t="n">
        <f aca="false">M7+COUNTIFS(Sales_Data!$C$2:$C$3520,$A7,Sales_Data!$U$2:$U$3520,"No",Sales_Data!$AE$2:$AE$3520,1)</f>
        <v>0</v>
      </c>
      <c r="O7" s="32" t="str">
        <f aca="false">IF(N7=0,"-",M7/N7)</f>
        <v>-</v>
      </c>
      <c r="P7" s="26" t="n">
        <f aca="false">COUNTIFS(Sales_Data!$C$2:$C$3520,$A7,Sales_Data!$W$2:$W$3520,"Yes",Sales_Data!$AE$2:$AE$3520,1)</f>
        <v>0</v>
      </c>
      <c r="Q7" s="26" t="n">
        <f aca="false">P7+COUNTIFS(Sales_Data!$C$2:$C$3520,$A7,Sales_Data!$W$2:$W$3520,"No",Sales_Data!$AE$2:$AE$3520,1)</f>
        <v>0</v>
      </c>
      <c r="R7" s="32" t="str">
        <f aca="false">IF(Q7=0,"-",P7/Q7)</f>
        <v>-</v>
      </c>
      <c r="S7" s="26" t="n">
        <f aca="false">SUMIFS(Sales_Data!$P$2:$P$3520,Sales_Data!$C$2:$C$3520,$A7,Sales_Data!$AE$2:$AE$3520,1)</f>
        <v>3</v>
      </c>
      <c r="T7" s="26" t="n">
        <f aca="false">SUMIFS(Sales_Data!$Q$2:$Q$3520,Sales_Data!$C$2:$C$3520,$A7,Sales_Data!$AE$2:$AE$3520,1)</f>
        <v>1</v>
      </c>
      <c r="U7" s="26" t="n">
        <f aca="false">SUMIFS(Sales_Data!$R$2:$R$3520,Sales_Data!$C$2:$C$3520,$A7,Sales_Data!$AE$2:$AE$3520,1)</f>
        <v>3</v>
      </c>
      <c r="V7" s="26" t="n">
        <f aca="false">SUMIFS(Sales_Data!$S$2:$S$3520,Sales_Data!$C$2:$C$3520,$A7,Sales_Data!$AE$2:$AE$3520,1)</f>
        <v>0</v>
      </c>
      <c r="W7" s="26" t="n">
        <f aca="false">SUMIFS(Sales_Data!$T$2:$T$3520,Sales_Data!$C$2:$C$3520,$A7,Sales_Data!$AE$2:$AE$3520,1)</f>
        <v>0</v>
      </c>
      <c r="X7" s="26" t="n">
        <f aca="false">COUNTIFS(Sales_Data!$C$2:$C$3520,$A7,Sales_Data!$X$2:$X$3520,"&lt;&gt;No Device",Sales_Data!$X$2:$X$3520,"&lt;&gt;",Sales_Data!$AE$2:$AE$3520,1)</f>
        <v>0</v>
      </c>
      <c r="Y7" s="26" t="n">
        <f aca="false">COUNTIFS(Sales_Data!$C$2:$C$3520,$A7,Sales_Data!$AD$2:$AD$3520,0,Sales_Data!$AE$2:$AE$3520,1)</f>
        <v>3</v>
      </c>
      <c r="Z7" s="26" t="n">
        <f aca="false">COUNTIFS(Sales_Data!$C$2:$C$3520,$A7,Sales_Data!$AC$2:$AC$3520,1)</f>
        <v>0</v>
      </c>
    </row>
    <row r="8" customFormat="false" ht="15" hidden="false" customHeight="false" outlineLevel="0" collapsed="false">
      <c r="A8" s="25" t="n">
        <v>46229</v>
      </c>
      <c r="B8" s="53" t="s">
        <v>393</v>
      </c>
      <c r="C8" s="26" t="n">
        <f aca="false">SUMIFS(Sales_Data!$AE$2:$AE$3520,Sales_Data!$C$2:$C$3520,$A8)</f>
        <v>19</v>
      </c>
      <c r="D8" s="26" t="n">
        <f aca="false">SUMIFS(Sales_Data!$M$2:$M$3520,Sales_Data!$C$2:$C$3520,$A8,Sales_Data!$AE$2:$AE$3520,1)</f>
        <v>3</v>
      </c>
      <c r="E8" s="26" t="n">
        <f aca="false">SUMIFS(Sales_Data!$N$2:$N$3520,Sales_Data!$C$2:$C$3520,$A8,Sales_Data!$AE$2:$AE$3520,1)</f>
        <v>19</v>
      </c>
      <c r="F8" s="26" t="n">
        <f aca="false">D8+E8</f>
        <v>22</v>
      </c>
      <c r="G8" s="28" t="n">
        <f aca="false">F8-F7</f>
        <v>5</v>
      </c>
      <c r="H8" s="29" t="n">
        <f aca="false">IF(F7=0,"-",(F8-F7)/F7)</f>
        <v>0.294117647058824</v>
      </c>
      <c r="I8" s="30" t="n">
        <f aca="false">AVERAGE(F4:F8)</f>
        <v>27.8</v>
      </c>
      <c r="J8" s="29" t="s">
        <v>64</v>
      </c>
      <c r="K8" s="26" t="n">
        <f aca="false">SUMIFS(Sales_Data!$AF$2:$AF$3520,Sales_Data!$C$2:$C$3520,$A8)</f>
        <v>9</v>
      </c>
      <c r="L8" s="31" t="n">
        <f aca="false">IFERROR(F8/K8,0)</f>
        <v>2.44444444444444</v>
      </c>
      <c r="M8" s="26" t="n">
        <f aca="false">COUNTIFS(Sales_Data!$C$2:$C$3520,$A8,Sales_Data!$U$2:$U$3520,"Yes",Sales_Data!$AE$2:$AE$3520,1)</f>
        <v>0</v>
      </c>
      <c r="N8" s="26" t="n">
        <f aca="false">M8+COUNTIFS(Sales_Data!$C$2:$C$3520,$A8,Sales_Data!$U$2:$U$3520,"No",Sales_Data!$AE$2:$AE$3520,1)</f>
        <v>0</v>
      </c>
      <c r="O8" s="32" t="str">
        <f aca="false">IF(N8=0,"-",M8/N8)</f>
        <v>-</v>
      </c>
      <c r="P8" s="26" t="n">
        <f aca="false">COUNTIFS(Sales_Data!$C$2:$C$3520,$A8,Sales_Data!$W$2:$W$3520,"Yes",Sales_Data!$AE$2:$AE$3520,1)</f>
        <v>0</v>
      </c>
      <c r="Q8" s="26" t="n">
        <f aca="false">P8+COUNTIFS(Sales_Data!$C$2:$C$3520,$A8,Sales_Data!$W$2:$W$3520,"No",Sales_Data!$AE$2:$AE$3520,1)</f>
        <v>0</v>
      </c>
      <c r="R8" s="32" t="str">
        <f aca="false">IF(Q8=0,"-",P8/Q8)</f>
        <v>-</v>
      </c>
      <c r="S8" s="26" t="n">
        <f aca="false">SUMIFS(Sales_Data!$P$2:$P$3520,Sales_Data!$C$2:$C$3520,$A8,Sales_Data!$AE$2:$AE$3520,1)</f>
        <v>10</v>
      </c>
      <c r="T8" s="26" t="n">
        <f aca="false">SUMIFS(Sales_Data!$Q$2:$Q$3520,Sales_Data!$C$2:$C$3520,$A8,Sales_Data!$AE$2:$AE$3520,1)</f>
        <v>6</v>
      </c>
      <c r="U8" s="26" t="n">
        <f aca="false">SUMIFS(Sales_Data!$R$2:$R$3520,Sales_Data!$C$2:$C$3520,$A8,Sales_Data!$AE$2:$AE$3520,1)</f>
        <v>2</v>
      </c>
      <c r="V8" s="26" t="n">
        <f aca="false">SUMIFS(Sales_Data!$S$2:$S$3520,Sales_Data!$C$2:$C$3520,$A8,Sales_Data!$AE$2:$AE$3520,1)</f>
        <v>0</v>
      </c>
      <c r="W8" s="26" t="n">
        <f aca="false">SUMIFS(Sales_Data!$T$2:$T$3520,Sales_Data!$C$2:$C$3520,$A8,Sales_Data!$AE$2:$AE$3520,1)</f>
        <v>1</v>
      </c>
      <c r="X8" s="26" t="n">
        <f aca="false">COUNTIFS(Sales_Data!$C$2:$C$3520,$A8,Sales_Data!$X$2:$X$3520,"&lt;&gt;No Device",Sales_Data!$X$2:$X$3520,"&lt;&gt;",Sales_Data!$AE$2:$AE$3520,1)</f>
        <v>0</v>
      </c>
      <c r="Y8" s="26" t="n">
        <f aca="false">COUNTIFS(Sales_Data!$C$2:$C$3520,$A8,Sales_Data!$AD$2:$AD$3520,0,Sales_Data!$AE$2:$AE$3520,1)</f>
        <v>0</v>
      </c>
      <c r="Z8" s="26" t="n">
        <f aca="false">COUNTIFS(Sales_Data!$C$2:$C$3520,$A8,Sales_Data!$AC$2:$AC$3520,1)</f>
        <v>1</v>
      </c>
    </row>
    <row r="9" customFormat="false" ht="15" hidden="false" customHeight="false" outlineLevel="0" collapsed="false">
      <c r="A9" s="25" t="n">
        <v>46230</v>
      </c>
      <c r="B9" s="53" t="s">
        <v>429</v>
      </c>
      <c r="C9" s="26" t="n">
        <f aca="false">SUMIFS(Sales_Data!$AE$2:$AE$3520,Sales_Data!$C$2:$C$3520,$A9)</f>
        <v>42</v>
      </c>
      <c r="D9" s="26" t="n">
        <f aca="false">SUMIFS(Sales_Data!$M$2:$M$3520,Sales_Data!$C$2:$C$3520,$A9,Sales_Data!$AE$2:$AE$3520,1)</f>
        <v>7</v>
      </c>
      <c r="E9" s="26" t="n">
        <f aca="false">SUMIFS(Sales_Data!$N$2:$N$3520,Sales_Data!$C$2:$C$3520,$A9,Sales_Data!$AE$2:$AE$3520,1)</f>
        <v>41</v>
      </c>
      <c r="F9" s="26" t="n">
        <f aca="false">D9+E9</f>
        <v>48</v>
      </c>
      <c r="G9" s="28" t="n">
        <f aca="false">F9-F8</f>
        <v>26</v>
      </c>
      <c r="H9" s="29" t="n">
        <f aca="false">IF(F8=0,"-",(F9-F8)/F8)</f>
        <v>1.18181818181818</v>
      </c>
      <c r="I9" s="30" t="n">
        <f aca="false">AVERAGE(F4:F9)</f>
        <v>31.1666666666667</v>
      </c>
      <c r="J9" s="29" t="s">
        <v>64</v>
      </c>
      <c r="K9" s="26" t="n">
        <f aca="false">SUMIFS(Sales_Data!$AF$2:$AF$3520,Sales_Data!$C$2:$C$3520,$A9)</f>
        <v>13</v>
      </c>
      <c r="L9" s="31" t="n">
        <f aca="false">IFERROR(F9/K9,0)</f>
        <v>3.69230769230769</v>
      </c>
      <c r="M9" s="26" t="n">
        <f aca="false">COUNTIFS(Sales_Data!$C$2:$C$3520,$A9,Sales_Data!$U$2:$U$3520,"Yes",Sales_Data!$AE$2:$AE$3520,1)</f>
        <v>0</v>
      </c>
      <c r="N9" s="26" t="n">
        <f aca="false">M9+COUNTIFS(Sales_Data!$C$2:$C$3520,$A9,Sales_Data!$U$2:$U$3520,"No",Sales_Data!$AE$2:$AE$3520,1)</f>
        <v>0</v>
      </c>
      <c r="O9" s="32" t="str">
        <f aca="false">IF(N9=0,"-",M9/N9)</f>
        <v>-</v>
      </c>
      <c r="P9" s="26" t="n">
        <f aca="false">COUNTIFS(Sales_Data!$C$2:$C$3520,$A9,Sales_Data!$W$2:$W$3520,"Yes",Sales_Data!$AE$2:$AE$3520,1)</f>
        <v>0</v>
      </c>
      <c r="Q9" s="26" t="n">
        <f aca="false">P9+COUNTIFS(Sales_Data!$C$2:$C$3520,$A9,Sales_Data!$W$2:$W$3520,"No",Sales_Data!$AE$2:$AE$3520,1)</f>
        <v>0</v>
      </c>
      <c r="R9" s="32" t="str">
        <f aca="false">IF(Q9=0,"-",P9/Q9)</f>
        <v>-</v>
      </c>
      <c r="S9" s="26" t="n">
        <f aca="false">SUMIFS(Sales_Data!$P$2:$P$3520,Sales_Data!$C$2:$C$3520,$A9,Sales_Data!$AE$2:$AE$3520,1)</f>
        <v>22</v>
      </c>
      <c r="T9" s="26" t="n">
        <f aca="false">SUMIFS(Sales_Data!$Q$2:$Q$3520,Sales_Data!$C$2:$C$3520,$A9,Sales_Data!$AE$2:$AE$3520,1)</f>
        <v>17</v>
      </c>
      <c r="U9" s="26" t="n">
        <f aca="false">SUMIFS(Sales_Data!$R$2:$R$3520,Sales_Data!$C$2:$C$3520,$A9,Sales_Data!$AE$2:$AE$3520,1)</f>
        <v>1</v>
      </c>
      <c r="V9" s="26" t="n">
        <f aca="false">SUMIFS(Sales_Data!$S$2:$S$3520,Sales_Data!$C$2:$C$3520,$A9,Sales_Data!$AE$2:$AE$3520,1)</f>
        <v>0</v>
      </c>
      <c r="W9" s="26" t="n">
        <f aca="false">SUMIFS(Sales_Data!$T$2:$T$3520,Sales_Data!$C$2:$C$3520,$A9,Sales_Data!$AE$2:$AE$3520,1)</f>
        <v>1</v>
      </c>
      <c r="X9" s="26" t="n">
        <f aca="false">COUNTIFS(Sales_Data!$C$2:$C$3520,$A9,Sales_Data!$X$2:$X$3520,"&lt;&gt;No Device",Sales_Data!$X$2:$X$3520,"&lt;&gt;",Sales_Data!$AE$2:$AE$3520,1)</f>
        <v>0</v>
      </c>
      <c r="Y9" s="26" t="n">
        <f aca="false">COUNTIFS(Sales_Data!$C$2:$C$3520,$A9,Sales_Data!$AD$2:$AD$3520,0,Sales_Data!$AE$2:$AE$3520,1)</f>
        <v>10</v>
      </c>
      <c r="Z9" s="26" t="n">
        <f aca="false">COUNTIFS(Sales_Data!$C$2:$C$3520,$A9,Sales_Data!$AC$2:$AC$3520,1)</f>
        <v>2</v>
      </c>
    </row>
    <row r="10" customFormat="false" ht="15" hidden="false" customHeight="false" outlineLevel="0" collapsed="false">
      <c r="A10" s="25" t="n">
        <v>46231</v>
      </c>
      <c r="B10" s="53" t="s">
        <v>501</v>
      </c>
      <c r="C10" s="26" t="n">
        <f aca="false">SUMIFS(Sales_Data!$AE$2:$AE$3520,Sales_Data!$C$2:$C$3520,$A10)</f>
        <v>39</v>
      </c>
      <c r="D10" s="26" t="n">
        <f aca="false">SUMIFS(Sales_Data!$M$2:$M$3520,Sales_Data!$C$2:$C$3520,$A10,Sales_Data!$AE$2:$AE$3520,1)</f>
        <v>6</v>
      </c>
      <c r="E10" s="26" t="n">
        <f aca="false">SUMIFS(Sales_Data!$N$2:$N$3520,Sales_Data!$C$2:$C$3520,$A10,Sales_Data!$AE$2:$AE$3520,1)</f>
        <v>40</v>
      </c>
      <c r="F10" s="26" t="n">
        <f aca="false">D10+E10</f>
        <v>46</v>
      </c>
      <c r="G10" s="28" t="n">
        <f aca="false">F10-F9</f>
        <v>-2</v>
      </c>
      <c r="H10" s="29" t="n">
        <f aca="false">IF(F9=0,"-",(F10-F9)/F9)</f>
        <v>-0.0416666666666667</v>
      </c>
      <c r="I10" s="30" t="n">
        <f aca="false">AVERAGE(F4:F10)</f>
        <v>33.2857142857143</v>
      </c>
      <c r="J10" s="29" t="s">
        <v>64</v>
      </c>
      <c r="K10" s="26" t="n">
        <f aca="false">SUMIFS(Sales_Data!$AF$2:$AF$3520,Sales_Data!$C$2:$C$3520,$A10)</f>
        <v>15</v>
      </c>
      <c r="L10" s="31" t="n">
        <f aca="false">IFERROR(F10/K10,0)</f>
        <v>3.06666666666667</v>
      </c>
      <c r="M10" s="26" t="n">
        <f aca="false">COUNTIFS(Sales_Data!$C$2:$C$3520,$A10,Sales_Data!$U$2:$U$3520,"Yes",Sales_Data!$AE$2:$AE$3520,1)</f>
        <v>0</v>
      </c>
      <c r="N10" s="26" t="n">
        <f aca="false">M10+COUNTIFS(Sales_Data!$C$2:$C$3520,$A10,Sales_Data!$U$2:$U$3520,"No",Sales_Data!$AE$2:$AE$3520,1)</f>
        <v>0</v>
      </c>
      <c r="O10" s="32" t="str">
        <f aca="false">IF(N10=0,"-",M10/N10)</f>
        <v>-</v>
      </c>
      <c r="P10" s="26" t="n">
        <f aca="false">COUNTIFS(Sales_Data!$C$2:$C$3520,$A10,Sales_Data!$W$2:$W$3520,"Yes",Sales_Data!$AE$2:$AE$3520,1)</f>
        <v>0</v>
      </c>
      <c r="Q10" s="26" t="n">
        <f aca="false">P10+COUNTIFS(Sales_Data!$C$2:$C$3520,$A10,Sales_Data!$W$2:$W$3520,"No",Sales_Data!$AE$2:$AE$3520,1)</f>
        <v>0</v>
      </c>
      <c r="R10" s="32" t="str">
        <f aca="false">IF(Q10=0,"-",P10/Q10)</f>
        <v>-</v>
      </c>
      <c r="S10" s="26" t="n">
        <f aca="false">SUMIFS(Sales_Data!$P$2:$P$3520,Sales_Data!$C$2:$C$3520,$A10,Sales_Data!$AE$2:$AE$3520,1)</f>
        <v>23</v>
      </c>
      <c r="T10" s="26" t="n">
        <f aca="false">SUMIFS(Sales_Data!$Q$2:$Q$3520,Sales_Data!$C$2:$C$3520,$A10,Sales_Data!$AE$2:$AE$3520,1)</f>
        <v>15</v>
      </c>
      <c r="U10" s="26" t="n">
        <f aca="false">SUMIFS(Sales_Data!$R$2:$R$3520,Sales_Data!$C$2:$C$3520,$A10,Sales_Data!$AE$2:$AE$3520,1)</f>
        <v>2</v>
      </c>
      <c r="V10" s="26" t="n">
        <f aca="false">SUMIFS(Sales_Data!$S$2:$S$3520,Sales_Data!$C$2:$C$3520,$A10,Sales_Data!$AE$2:$AE$3520,1)</f>
        <v>0</v>
      </c>
      <c r="W10" s="26" t="n">
        <f aca="false">SUMIFS(Sales_Data!$T$2:$T$3520,Sales_Data!$C$2:$C$3520,$A10,Sales_Data!$AE$2:$AE$3520,1)</f>
        <v>0</v>
      </c>
      <c r="X10" s="26" t="n">
        <f aca="false">COUNTIFS(Sales_Data!$C$2:$C$3520,$A10,Sales_Data!$X$2:$X$3520,"&lt;&gt;No Device",Sales_Data!$X$2:$X$3520,"&lt;&gt;",Sales_Data!$AE$2:$AE$3520,1)</f>
        <v>0</v>
      </c>
      <c r="Y10" s="26" t="n">
        <f aca="false">COUNTIFS(Sales_Data!$C$2:$C$3520,$A10,Sales_Data!$AD$2:$AD$3520,0,Sales_Data!$AE$2:$AE$3520,1)</f>
        <v>13</v>
      </c>
      <c r="Z10" s="26" t="n">
        <f aca="false">COUNTIFS(Sales_Data!$C$2:$C$3520,$A10,Sales_Data!$AC$2:$AC$3520,1)</f>
        <v>4</v>
      </c>
    </row>
    <row r="11" customFormat="false" ht="15" hidden="false" customHeight="false" outlineLevel="0" collapsed="false">
      <c r="A11" s="25" t="n">
        <v>46232</v>
      </c>
      <c r="B11" s="53" t="s">
        <v>143</v>
      </c>
      <c r="C11" s="26" t="n">
        <f aca="false">SUMIFS(Sales_Data!$AE$2:$AE$3520,Sales_Data!$C$2:$C$3520,$A11)</f>
        <v>43</v>
      </c>
      <c r="D11" s="26" t="n">
        <f aca="false">SUMIFS(Sales_Data!$M$2:$M$3520,Sales_Data!$C$2:$C$3520,$A11,Sales_Data!$AE$2:$AE$3520,1)</f>
        <v>4</v>
      </c>
      <c r="E11" s="26" t="n">
        <f aca="false">SUMIFS(Sales_Data!$N$2:$N$3520,Sales_Data!$C$2:$C$3520,$A11,Sales_Data!$AE$2:$AE$3520,1)</f>
        <v>44</v>
      </c>
      <c r="F11" s="26" t="n">
        <f aca="false">D11+E11</f>
        <v>48</v>
      </c>
      <c r="G11" s="28" t="n">
        <f aca="false">F11-F10</f>
        <v>2</v>
      </c>
      <c r="H11" s="29" t="n">
        <f aca="false">IF(F10=0,"-",(F11-F10)/F10)</f>
        <v>0.0434782608695652</v>
      </c>
      <c r="I11" s="30" t="n">
        <f aca="false">AVERAGE(F5:F11)</f>
        <v>37.2857142857143</v>
      </c>
      <c r="J11" s="29" t="n">
        <f aca="false">IF(F4=0,"-",(F11-F4)/F4)</f>
        <v>1.4</v>
      </c>
      <c r="K11" s="26" t="n">
        <f aca="false">SUMIFS(Sales_Data!$AF$2:$AF$3520,Sales_Data!$C$2:$C$3520,$A11)</f>
        <v>20</v>
      </c>
      <c r="L11" s="31" t="n">
        <f aca="false">IFERROR(F11/K11,0)</f>
        <v>2.4</v>
      </c>
      <c r="M11" s="26" t="n">
        <f aca="false">COUNTIFS(Sales_Data!$C$2:$C$3520,$A11,Sales_Data!$U$2:$U$3520,"Yes",Sales_Data!$AE$2:$AE$3520,1)</f>
        <v>0</v>
      </c>
      <c r="N11" s="26" t="n">
        <f aca="false">M11+COUNTIFS(Sales_Data!$C$2:$C$3520,$A11,Sales_Data!$U$2:$U$3520,"No",Sales_Data!$AE$2:$AE$3520,1)</f>
        <v>0</v>
      </c>
      <c r="O11" s="32" t="str">
        <f aca="false">IF(N11=0,"-",M11/N11)</f>
        <v>-</v>
      </c>
      <c r="P11" s="26" t="n">
        <f aca="false">COUNTIFS(Sales_Data!$C$2:$C$3520,$A11,Sales_Data!$W$2:$W$3520,"Yes",Sales_Data!$AE$2:$AE$3520,1)</f>
        <v>0</v>
      </c>
      <c r="Q11" s="26" t="n">
        <f aca="false">P11+COUNTIFS(Sales_Data!$C$2:$C$3520,$A11,Sales_Data!$W$2:$W$3520,"No",Sales_Data!$AE$2:$AE$3520,1)</f>
        <v>0</v>
      </c>
      <c r="R11" s="32" t="str">
        <f aca="false">IF(Q11=0,"-",P11/Q11)</f>
        <v>-</v>
      </c>
      <c r="S11" s="26" t="n">
        <f aca="false">SUMIFS(Sales_Data!$P$2:$P$3520,Sales_Data!$C$2:$C$3520,$A11,Sales_Data!$AE$2:$AE$3520,1)</f>
        <v>24</v>
      </c>
      <c r="T11" s="26" t="n">
        <f aca="false">SUMIFS(Sales_Data!$Q$2:$Q$3520,Sales_Data!$C$2:$C$3520,$A11,Sales_Data!$AE$2:$AE$3520,1)</f>
        <v>18</v>
      </c>
      <c r="U11" s="26" t="n">
        <f aca="false">SUMIFS(Sales_Data!$R$2:$R$3520,Sales_Data!$C$2:$C$3520,$A11,Sales_Data!$AE$2:$AE$3520,1)</f>
        <v>2</v>
      </c>
      <c r="V11" s="26" t="n">
        <f aca="false">SUMIFS(Sales_Data!$S$2:$S$3520,Sales_Data!$C$2:$C$3520,$A11,Sales_Data!$AE$2:$AE$3520,1)</f>
        <v>0</v>
      </c>
      <c r="W11" s="26" t="n">
        <f aca="false">SUMIFS(Sales_Data!$T$2:$T$3520,Sales_Data!$C$2:$C$3520,$A11,Sales_Data!$AE$2:$AE$3520,1)</f>
        <v>0</v>
      </c>
      <c r="X11" s="26" t="n">
        <f aca="false">COUNTIFS(Sales_Data!$C$2:$C$3520,$A11,Sales_Data!$X$2:$X$3520,"&lt;&gt;No Device",Sales_Data!$X$2:$X$3520,"&lt;&gt;",Sales_Data!$AE$2:$AE$3520,1)</f>
        <v>0</v>
      </c>
      <c r="Y11" s="26" t="n">
        <f aca="false">COUNTIFS(Sales_Data!$C$2:$C$3520,$A11,Sales_Data!$AD$2:$AD$3520,0,Sales_Data!$AE$2:$AE$3520,1)</f>
        <v>7</v>
      </c>
      <c r="Z11" s="26" t="n">
        <f aca="false">COUNTIFS(Sales_Data!$C$2:$C$3520,$A11,Sales_Data!$AC$2:$AC$3520,1)</f>
        <v>2</v>
      </c>
    </row>
    <row r="12" customFormat="false" ht="15" hidden="false" customHeight="false" outlineLevel="0" collapsed="false">
      <c r="A12" s="25" t="n">
        <v>46233</v>
      </c>
      <c r="B12" s="53" t="s">
        <v>202</v>
      </c>
      <c r="C12" s="26" t="n">
        <f aca="false">SUMIFS(Sales_Data!$AE$2:$AE$3520,Sales_Data!$C$2:$C$3520,$A12)</f>
        <v>34</v>
      </c>
      <c r="D12" s="26" t="n">
        <f aca="false">SUMIFS(Sales_Data!$M$2:$M$3520,Sales_Data!$C$2:$C$3520,$A12,Sales_Data!$AE$2:$AE$3520,1)</f>
        <v>7</v>
      </c>
      <c r="E12" s="26" t="n">
        <f aca="false">SUMIFS(Sales_Data!$N$2:$N$3520,Sales_Data!$C$2:$C$3520,$A12,Sales_Data!$AE$2:$AE$3520,1)</f>
        <v>31</v>
      </c>
      <c r="F12" s="26" t="n">
        <f aca="false">D12+E12</f>
        <v>38</v>
      </c>
      <c r="G12" s="28" t="n">
        <f aca="false">F12-F11</f>
        <v>-10</v>
      </c>
      <c r="H12" s="29" t="n">
        <f aca="false">IF(F11=0,"-",(F12-F11)/F11)</f>
        <v>-0.208333333333333</v>
      </c>
      <c r="I12" s="30" t="n">
        <f aca="false">AVERAGE(F6:F12)</f>
        <v>37.4285714285714</v>
      </c>
      <c r="J12" s="29" t="n">
        <f aca="false">IF(F5=0,"-",(F12-F5)/F5)</f>
        <v>0.027027027027027</v>
      </c>
      <c r="K12" s="26" t="n">
        <f aca="false">SUMIFS(Sales_Data!$AF$2:$AF$3520,Sales_Data!$C$2:$C$3520,$A12)</f>
        <v>14</v>
      </c>
      <c r="L12" s="31" t="n">
        <f aca="false">IFERROR(F12/K12,0)</f>
        <v>2.71428571428571</v>
      </c>
      <c r="M12" s="26" t="n">
        <f aca="false">COUNTIFS(Sales_Data!$C$2:$C$3520,$A12,Sales_Data!$U$2:$U$3520,"Yes",Sales_Data!$AE$2:$AE$3520,1)</f>
        <v>0</v>
      </c>
      <c r="N12" s="26" t="n">
        <f aca="false">M12+COUNTIFS(Sales_Data!$C$2:$C$3520,$A12,Sales_Data!$U$2:$U$3520,"No",Sales_Data!$AE$2:$AE$3520,1)</f>
        <v>0</v>
      </c>
      <c r="O12" s="32" t="str">
        <f aca="false">IF(N12=0,"-",M12/N12)</f>
        <v>-</v>
      </c>
      <c r="P12" s="26" t="n">
        <f aca="false">COUNTIFS(Sales_Data!$C$2:$C$3520,$A12,Sales_Data!$W$2:$W$3520,"Yes",Sales_Data!$AE$2:$AE$3520,1)</f>
        <v>0</v>
      </c>
      <c r="Q12" s="26" t="n">
        <f aca="false">P12+COUNTIFS(Sales_Data!$C$2:$C$3520,$A12,Sales_Data!$W$2:$W$3520,"No",Sales_Data!$AE$2:$AE$3520,1)</f>
        <v>0</v>
      </c>
      <c r="R12" s="32" t="str">
        <f aca="false">IF(Q12=0,"-",P12/Q12)</f>
        <v>-</v>
      </c>
      <c r="S12" s="26" t="n">
        <f aca="false">SUMIFS(Sales_Data!$P$2:$P$3520,Sales_Data!$C$2:$C$3520,$A12,Sales_Data!$AE$2:$AE$3520,1)</f>
        <v>15</v>
      </c>
      <c r="T12" s="26" t="n">
        <f aca="false">SUMIFS(Sales_Data!$Q$2:$Q$3520,Sales_Data!$C$2:$C$3520,$A12,Sales_Data!$AE$2:$AE$3520,1)</f>
        <v>12</v>
      </c>
      <c r="U12" s="26" t="n">
        <f aca="false">SUMIFS(Sales_Data!$R$2:$R$3520,Sales_Data!$C$2:$C$3520,$A12,Sales_Data!$AE$2:$AE$3520,1)</f>
        <v>3</v>
      </c>
      <c r="V12" s="26" t="n">
        <f aca="false">SUMIFS(Sales_Data!$S$2:$S$3520,Sales_Data!$C$2:$C$3520,$A12,Sales_Data!$AE$2:$AE$3520,1)</f>
        <v>0</v>
      </c>
      <c r="W12" s="26" t="n">
        <f aca="false">SUMIFS(Sales_Data!$T$2:$T$3520,Sales_Data!$C$2:$C$3520,$A12,Sales_Data!$AE$2:$AE$3520,1)</f>
        <v>1</v>
      </c>
      <c r="X12" s="26" t="n">
        <f aca="false">COUNTIFS(Sales_Data!$C$2:$C$3520,$A12,Sales_Data!$X$2:$X$3520,"&lt;&gt;No Device",Sales_Data!$X$2:$X$3520,"&lt;&gt;",Sales_Data!$AE$2:$AE$3520,1)</f>
        <v>0</v>
      </c>
      <c r="Y12" s="26" t="n">
        <f aca="false">COUNTIFS(Sales_Data!$C$2:$C$3520,$A12,Sales_Data!$AD$2:$AD$3520,0,Sales_Data!$AE$2:$AE$3520,1)</f>
        <v>13</v>
      </c>
      <c r="Z12" s="26" t="n">
        <f aca="false">COUNTIFS(Sales_Data!$C$2:$C$3520,$A12,Sales_Data!$AC$2:$AC$3520,1)</f>
        <v>2</v>
      </c>
    </row>
    <row r="13" customFormat="false" ht="15" hidden="false" customHeight="false" outlineLevel="0" collapsed="false">
      <c r="A13" s="25" t="n">
        <v>46234</v>
      </c>
      <c r="B13" s="53" t="s">
        <v>288</v>
      </c>
      <c r="C13" s="26" t="n">
        <f aca="false">SUMIFS(Sales_Data!$AE$2:$AE$3520,Sales_Data!$C$2:$C$3520,$A13)</f>
        <v>34</v>
      </c>
      <c r="D13" s="26" t="n">
        <f aca="false">SUMIFS(Sales_Data!$M$2:$M$3520,Sales_Data!$C$2:$C$3520,$A13,Sales_Data!$AE$2:$AE$3520,1)</f>
        <v>5</v>
      </c>
      <c r="E13" s="26" t="n">
        <f aca="false">SUMIFS(Sales_Data!$N$2:$N$3520,Sales_Data!$C$2:$C$3520,$A13,Sales_Data!$AE$2:$AE$3520,1)</f>
        <v>35</v>
      </c>
      <c r="F13" s="26" t="n">
        <f aca="false">D13+E13</f>
        <v>40</v>
      </c>
      <c r="G13" s="28" t="n">
        <f aca="false">F13-F12</f>
        <v>2</v>
      </c>
      <c r="H13" s="29" t="n">
        <f aca="false">IF(F12=0,"-",(F13-F12)/F12)</f>
        <v>0.0526315789473684</v>
      </c>
      <c r="I13" s="30" t="n">
        <f aca="false">AVERAGE(F7:F13)</f>
        <v>37</v>
      </c>
      <c r="J13" s="29" t="n">
        <f aca="false">IF(F6=0,"-",(F13-F6)/F6)</f>
        <v>-0.0697674418604651</v>
      </c>
      <c r="K13" s="26" t="n">
        <f aca="false">SUMIFS(Sales_Data!$AF$2:$AF$3520,Sales_Data!$C$2:$C$3520,$A13)</f>
        <v>18</v>
      </c>
      <c r="L13" s="31" t="n">
        <f aca="false">IFERROR(F13/K13,0)</f>
        <v>2.22222222222222</v>
      </c>
      <c r="M13" s="26" t="n">
        <f aca="false">COUNTIFS(Sales_Data!$C$2:$C$3520,$A13,Sales_Data!$U$2:$U$3520,"Yes",Sales_Data!$AE$2:$AE$3520,1)</f>
        <v>0</v>
      </c>
      <c r="N13" s="26" t="n">
        <f aca="false">M13+COUNTIFS(Sales_Data!$C$2:$C$3520,$A13,Sales_Data!$U$2:$U$3520,"No",Sales_Data!$AE$2:$AE$3520,1)</f>
        <v>0</v>
      </c>
      <c r="O13" s="32" t="str">
        <f aca="false">IF(N13=0,"-",M13/N13)</f>
        <v>-</v>
      </c>
      <c r="P13" s="26" t="n">
        <f aca="false">COUNTIFS(Sales_Data!$C$2:$C$3520,$A13,Sales_Data!$W$2:$W$3520,"Yes",Sales_Data!$AE$2:$AE$3520,1)</f>
        <v>0</v>
      </c>
      <c r="Q13" s="26" t="n">
        <f aca="false">P13+COUNTIFS(Sales_Data!$C$2:$C$3520,$A13,Sales_Data!$W$2:$W$3520,"No",Sales_Data!$AE$2:$AE$3520,1)</f>
        <v>0</v>
      </c>
      <c r="R13" s="32" t="str">
        <f aca="false">IF(Q13=0,"-",P13/Q13)</f>
        <v>-</v>
      </c>
      <c r="S13" s="26" t="n">
        <f aca="false">SUMIFS(Sales_Data!$P$2:$P$3520,Sales_Data!$C$2:$C$3520,$A13,Sales_Data!$AE$2:$AE$3520,1)</f>
        <v>15</v>
      </c>
      <c r="T13" s="26" t="n">
        <f aca="false">SUMIFS(Sales_Data!$Q$2:$Q$3520,Sales_Data!$C$2:$C$3520,$A13,Sales_Data!$AE$2:$AE$3520,1)</f>
        <v>13</v>
      </c>
      <c r="U13" s="26" t="n">
        <f aca="false">SUMIFS(Sales_Data!$R$2:$R$3520,Sales_Data!$C$2:$C$3520,$A13,Sales_Data!$AE$2:$AE$3520,1)</f>
        <v>5</v>
      </c>
      <c r="V13" s="26" t="n">
        <f aca="false">SUMIFS(Sales_Data!$S$2:$S$3520,Sales_Data!$C$2:$C$3520,$A13,Sales_Data!$AE$2:$AE$3520,1)</f>
        <v>1</v>
      </c>
      <c r="W13" s="26" t="n">
        <f aca="false">SUMIFS(Sales_Data!$T$2:$T$3520,Sales_Data!$C$2:$C$3520,$A13,Sales_Data!$AE$2:$AE$3520,1)</f>
        <v>1</v>
      </c>
      <c r="X13" s="26" t="n">
        <f aca="false">COUNTIFS(Sales_Data!$C$2:$C$3520,$A13,Sales_Data!$X$2:$X$3520,"&lt;&gt;No Device",Sales_Data!$X$2:$X$3520,"&lt;&gt;",Sales_Data!$AE$2:$AE$3520,1)</f>
        <v>0</v>
      </c>
      <c r="Y13" s="26" t="n">
        <f aca="false">COUNTIFS(Sales_Data!$C$2:$C$3520,$A13,Sales_Data!$AD$2:$AD$3520,0,Sales_Data!$AE$2:$AE$3520,1)</f>
        <v>12</v>
      </c>
      <c r="Z13" s="26" t="n">
        <f aca="false">COUNTIFS(Sales_Data!$C$2:$C$3520,$A13,Sales_Data!$AC$2:$AC$3520,1)</f>
        <v>0</v>
      </c>
    </row>
    <row r="14" customFormat="false" ht="15" hidden="false" customHeight="false" outlineLevel="0" collapsed="false">
      <c r="A14" s="25" t="n">
        <v>46235</v>
      </c>
      <c r="B14" s="53" t="s">
        <v>358</v>
      </c>
      <c r="C14" s="26" t="n">
        <f aca="false">SUMIFS(Sales_Data!$AE$2:$AE$3520,Sales_Data!$C$2:$C$3520,$A14)</f>
        <v>20</v>
      </c>
      <c r="D14" s="26" t="n">
        <f aca="false">SUMIFS(Sales_Data!$M$2:$M$3520,Sales_Data!$C$2:$C$3520,$A14,Sales_Data!$AE$2:$AE$3520,1)</f>
        <v>4</v>
      </c>
      <c r="E14" s="26" t="n">
        <f aca="false">SUMIFS(Sales_Data!$N$2:$N$3520,Sales_Data!$C$2:$C$3520,$A14,Sales_Data!$AE$2:$AE$3520,1)</f>
        <v>21</v>
      </c>
      <c r="F14" s="26" t="n">
        <f aca="false">D14+E14</f>
        <v>25</v>
      </c>
      <c r="G14" s="28" t="n">
        <f aca="false">F14-F13</f>
        <v>-15</v>
      </c>
      <c r="H14" s="29" t="n">
        <f aca="false">IF(F13=0,"-",(F14-F13)/F13)</f>
        <v>-0.375</v>
      </c>
      <c r="I14" s="30" t="n">
        <f aca="false">AVERAGE(F8:F14)</f>
        <v>38.1428571428571</v>
      </c>
      <c r="J14" s="29" t="n">
        <f aca="false">IF(F7=0,"-",(F14-F7)/F7)</f>
        <v>0.470588235294118</v>
      </c>
      <c r="K14" s="26" t="n">
        <f aca="false">SUMIFS(Sales_Data!$AF$2:$AF$3520,Sales_Data!$C$2:$C$3520,$A14)</f>
        <v>10</v>
      </c>
      <c r="L14" s="31" t="n">
        <f aca="false">IFERROR(F14/K14,0)</f>
        <v>2.5</v>
      </c>
      <c r="M14" s="26" t="n">
        <f aca="false">COUNTIFS(Sales_Data!$C$2:$C$3520,$A14,Sales_Data!$U$2:$U$3520,"Yes",Sales_Data!$AE$2:$AE$3520,1)</f>
        <v>0</v>
      </c>
      <c r="N14" s="26" t="n">
        <f aca="false">M14+COUNTIFS(Sales_Data!$C$2:$C$3520,$A14,Sales_Data!$U$2:$U$3520,"No",Sales_Data!$AE$2:$AE$3520,1)</f>
        <v>0</v>
      </c>
      <c r="O14" s="32" t="str">
        <f aca="false">IF(N14=0,"-",M14/N14)</f>
        <v>-</v>
      </c>
      <c r="P14" s="26" t="n">
        <f aca="false">COUNTIFS(Sales_Data!$C$2:$C$3520,$A14,Sales_Data!$W$2:$W$3520,"Yes",Sales_Data!$AE$2:$AE$3520,1)</f>
        <v>0</v>
      </c>
      <c r="Q14" s="26" t="n">
        <f aca="false">P14+COUNTIFS(Sales_Data!$C$2:$C$3520,$A14,Sales_Data!$W$2:$W$3520,"No",Sales_Data!$AE$2:$AE$3520,1)</f>
        <v>0</v>
      </c>
      <c r="R14" s="32" t="str">
        <f aca="false">IF(Q14=0,"-",P14/Q14)</f>
        <v>-</v>
      </c>
      <c r="S14" s="26" t="n">
        <f aca="false">SUMIFS(Sales_Data!$P$2:$P$3520,Sales_Data!$C$2:$C$3520,$A14,Sales_Data!$AE$2:$AE$3520,1)</f>
        <v>9</v>
      </c>
      <c r="T14" s="26" t="n">
        <f aca="false">SUMIFS(Sales_Data!$Q$2:$Q$3520,Sales_Data!$C$2:$C$3520,$A14,Sales_Data!$AE$2:$AE$3520,1)</f>
        <v>8</v>
      </c>
      <c r="U14" s="26" t="n">
        <f aca="false">SUMIFS(Sales_Data!$R$2:$R$3520,Sales_Data!$C$2:$C$3520,$A14,Sales_Data!$AE$2:$AE$3520,1)</f>
        <v>1</v>
      </c>
      <c r="V14" s="26" t="n">
        <f aca="false">SUMIFS(Sales_Data!$S$2:$S$3520,Sales_Data!$C$2:$C$3520,$A14,Sales_Data!$AE$2:$AE$3520,1)</f>
        <v>2</v>
      </c>
      <c r="W14" s="26" t="n">
        <f aca="false">SUMIFS(Sales_Data!$T$2:$T$3520,Sales_Data!$C$2:$C$3520,$A14,Sales_Data!$AE$2:$AE$3520,1)</f>
        <v>1</v>
      </c>
      <c r="X14" s="26" t="n">
        <f aca="false">COUNTIFS(Sales_Data!$C$2:$C$3520,$A14,Sales_Data!$X$2:$X$3520,"&lt;&gt;No Device",Sales_Data!$X$2:$X$3520,"&lt;&gt;",Sales_Data!$AE$2:$AE$3520,1)</f>
        <v>0</v>
      </c>
      <c r="Y14" s="26" t="n">
        <f aca="false">COUNTIFS(Sales_Data!$C$2:$C$3520,$A14,Sales_Data!$AD$2:$AD$3520,0,Sales_Data!$AE$2:$AE$3520,1)</f>
        <v>4</v>
      </c>
      <c r="Z14" s="26" t="n">
        <f aca="false">COUNTIFS(Sales_Data!$C$2:$C$3520,$A14,Sales_Data!$AC$2:$AC$3520,1)</f>
        <v>0</v>
      </c>
    </row>
    <row r="15" customFormat="false" ht="15" hidden="false" customHeight="false" outlineLevel="0" collapsed="false">
      <c r="A15" s="25" t="n">
        <v>46236</v>
      </c>
      <c r="B15" s="53" t="s">
        <v>393</v>
      </c>
      <c r="C15" s="26" t="n">
        <f aca="false">SUMIFS(Sales_Data!$AE$2:$AE$3520,Sales_Data!$C$2:$C$3520,$A15)</f>
        <v>28</v>
      </c>
      <c r="D15" s="26" t="n">
        <f aca="false">SUMIFS(Sales_Data!$M$2:$M$3520,Sales_Data!$C$2:$C$3520,$A15,Sales_Data!$AE$2:$AE$3520,1)</f>
        <v>10</v>
      </c>
      <c r="E15" s="26" t="n">
        <f aca="false">SUMIFS(Sales_Data!$N$2:$N$3520,Sales_Data!$C$2:$C$3520,$A15,Sales_Data!$AE$2:$AE$3520,1)</f>
        <v>23</v>
      </c>
      <c r="F15" s="26" t="n">
        <f aca="false">D15+E15</f>
        <v>33</v>
      </c>
      <c r="G15" s="28" t="n">
        <f aca="false">F15-F14</f>
        <v>8</v>
      </c>
      <c r="H15" s="29" t="n">
        <f aca="false">IF(F14=0,"-",(F15-F14)/F14)</f>
        <v>0.32</v>
      </c>
      <c r="I15" s="30" t="n">
        <f aca="false">AVERAGE(F9:F15)</f>
        <v>39.7142857142857</v>
      </c>
      <c r="J15" s="29" t="n">
        <f aca="false">IF(F8=0,"-",(F15-F8)/F8)</f>
        <v>0.5</v>
      </c>
      <c r="K15" s="26" t="n">
        <f aca="false">SUMIFS(Sales_Data!$AF$2:$AF$3520,Sales_Data!$C$2:$C$3520,$A15)</f>
        <v>8</v>
      </c>
      <c r="L15" s="31" t="n">
        <f aca="false">IFERROR(F15/K15,0)</f>
        <v>4.125</v>
      </c>
      <c r="M15" s="26" t="n">
        <f aca="false">COUNTIFS(Sales_Data!$C$2:$C$3520,$A15,Sales_Data!$U$2:$U$3520,"Yes",Sales_Data!$AE$2:$AE$3520,1)</f>
        <v>0</v>
      </c>
      <c r="N15" s="26" t="n">
        <f aca="false">M15+COUNTIFS(Sales_Data!$C$2:$C$3520,$A15,Sales_Data!$U$2:$U$3520,"No",Sales_Data!$AE$2:$AE$3520,1)</f>
        <v>0</v>
      </c>
      <c r="O15" s="32" t="str">
        <f aca="false">IF(N15=0,"-",M15/N15)</f>
        <v>-</v>
      </c>
      <c r="P15" s="26" t="n">
        <f aca="false">COUNTIFS(Sales_Data!$C$2:$C$3520,$A15,Sales_Data!$W$2:$W$3520,"Yes",Sales_Data!$AE$2:$AE$3520,1)</f>
        <v>0</v>
      </c>
      <c r="Q15" s="26" t="n">
        <f aca="false">P15+COUNTIFS(Sales_Data!$C$2:$C$3520,$A15,Sales_Data!$W$2:$W$3520,"No",Sales_Data!$AE$2:$AE$3520,1)</f>
        <v>0</v>
      </c>
      <c r="R15" s="32" t="str">
        <f aca="false">IF(Q15=0,"-",P15/Q15)</f>
        <v>-</v>
      </c>
      <c r="S15" s="26" t="n">
        <f aca="false">SUMIFS(Sales_Data!$P$2:$P$3520,Sales_Data!$C$2:$C$3520,$A15,Sales_Data!$AE$2:$AE$3520,1)</f>
        <v>9</v>
      </c>
      <c r="T15" s="26" t="n">
        <f aca="false">SUMIFS(Sales_Data!$Q$2:$Q$3520,Sales_Data!$C$2:$C$3520,$A15,Sales_Data!$AE$2:$AE$3520,1)</f>
        <v>8</v>
      </c>
      <c r="U15" s="26" t="n">
        <f aca="false">SUMIFS(Sales_Data!$R$2:$R$3520,Sales_Data!$C$2:$C$3520,$A15,Sales_Data!$AE$2:$AE$3520,1)</f>
        <v>2</v>
      </c>
      <c r="V15" s="26" t="n">
        <f aca="false">SUMIFS(Sales_Data!$S$2:$S$3520,Sales_Data!$C$2:$C$3520,$A15,Sales_Data!$AE$2:$AE$3520,1)</f>
        <v>0</v>
      </c>
      <c r="W15" s="26" t="n">
        <f aca="false">SUMIFS(Sales_Data!$T$2:$T$3520,Sales_Data!$C$2:$C$3520,$A15,Sales_Data!$AE$2:$AE$3520,1)</f>
        <v>4</v>
      </c>
      <c r="X15" s="26" t="n">
        <f aca="false">COUNTIFS(Sales_Data!$C$2:$C$3520,$A15,Sales_Data!$X$2:$X$3520,"&lt;&gt;No Device",Sales_Data!$X$2:$X$3520,"&lt;&gt;",Sales_Data!$AE$2:$AE$3520,1)</f>
        <v>0</v>
      </c>
      <c r="Y15" s="26" t="n">
        <f aca="false">COUNTIFS(Sales_Data!$C$2:$C$3520,$A15,Sales_Data!$AD$2:$AD$3520,0,Sales_Data!$AE$2:$AE$3520,1)</f>
        <v>6</v>
      </c>
      <c r="Z15" s="26" t="n">
        <f aca="false">COUNTIFS(Sales_Data!$C$2:$C$3520,$A15,Sales_Data!$AC$2:$AC$3520,1)</f>
        <v>3</v>
      </c>
    </row>
    <row r="16" customFormat="false" ht="15" hidden="false" customHeight="false" outlineLevel="0" collapsed="false">
      <c r="A16" s="25" t="n">
        <v>46237</v>
      </c>
      <c r="B16" s="53" t="s">
        <v>429</v>
      </c>
      <c r="C16" s="26" t="n">
        <f aca="false">SUMIFS(Sales_Data!$AE$2:$AE$3520,Sales_Data!$C$2:$C$3520,$A16)</f>
        <v>41</v>
      </c>
      <c r="D16" s="26" t="n">
        <f aca="false">SUMIFS(Sales_Data!$M$2:$M$3520,Sales_Data!$C$2:$C$3520,$A16,Sales_Data!$AE$2:$AE$3520,1)</f>
        <v>11</v>
      </c>
      <c r="E16" s="26" t="n">
        <f aca="false">SUMIFS(Sales_Data!$N$2:$N$3520,Sales_Data!$C$2:$C$3520,$A16,Sales_Data!$AE$2:$AE$3520,1)</f>
        <v>35</v>
      </c>
      <c r="F16" s="26" t="n">
        <f aca="false">D16+E16</f>
        <v>46</v>
      </c>
      <c r="G16" s="28" t="n">
        <f aca="false">F16-F15</f>
        <v>13</v>
      </c>
      <c r="H16" s="29" t="n">
        <f aca="false">IF(F15=0,"-",(F16-F15)/F15)</f>
        <v>0.393939393939394</v>
      </c>
      <c r="I16" s="30" t="n">
        <f aca="false">AVERAGE(F10:F16)</f>
        <v>39.4285714285714</v>
      </c>
      <c r="J16" s="29" t="n">
        <f aca="false">IF(F9=0,"-",(F16-F9)/F9)</f>
        <v>-0.0416666666666667</v>
      </c>
      <c r="K16" s="26" t="n">
        <f aca="false">SUMIFS(Sales_Data!$AF$2:$AF$3520,Sales_Data!$C$2:$C$3520,$A16)</f>
        <v>26</v>
      </c>
      <c r="L16" s="31" t="n">
        <f aca="false">IFERROR(F16/K16,0)</f>
        <v>1.76923076923077</v>
      </c>
      <c r="M16" s="26" t="n">
        <f aca="false">COUNTIFS(Sales_Data!$C$2:$C$3520,$A16,Sales_Data!$U$2:$U$3520,"Yes",Sales_Data!$AE$2:$AE$3520,1)</f>
        <v>0</v>
      </c>
      <c r="N16" s="26" t="n">
        <f aca="false">M16+COUNTIFS(Sales_Data!$C$2:$C$3520,$A16,Sales_Data!$U$2:$U$3520,"No",Sales_Data!$AE$2:$AE$3520,1)</f>
        <v>0</v>
      </c>
      <c r="O16" s="32" t="str">
        <f aca="false">IF(N16=0,"-",M16/N16)</f>
        <v>-</v>
      </c>
      <c r="P16" s="26" t="n">
        <f aca="false">COUNTIFS(Sales_Data!$C$2:$C$3520,$A16,Sales_Data!$W$2:$W$3520,"Yes",Sales_Data!$AE$2:$AE$3520,1)</f>
        <v>0</v>
      </c>
      <c r="Q16" s="26" t="n">
        <f aca="false">P16+COUNTIFS(Sales_Data!$C$2:$C$3520,$A16,Sales_Data!$W$2:$W$3520,"No",Sales_Data!$AE$2:$AE$3520,1)</f>
        <v>0</v>
      </c>
      <c r="R16" s="32" t="str">
        <f aca="false">IF(Q16=0,"-",P16/Q16)</f>
        <v>-</v>
      </c>
      <c r="S16" s="26" t="n">
        <f aca="false">SUMIFS(Sales_Data!$P$2:$P$3520,Sales_Data!$C$2:$C$3520,$A16,Sales_Data!$AE$2:$AE$3520,1)</f>
        <v>17</v>
      </c>
      <c r="T16" s="26" t="n">
        <f aca="false">SUMIFS(Sales_Data!$Q$2:$Q$3520,Sales_Data!$C$2:$C$3520,$A16,Sales_Data!$AE$2:$AE$3520,1)</f>
        <v>9</v>
      </c>
      <c r="U16" s="26" t="n">
        <f aca="false">SUMIFS(Sales_Data!$R$2:$R$3520,Sales_Data!$C$2:$C$3520,$A16,Sales_Data!$AE$2:$AE$3520,1)</f>
        <v>7</v>
      </c>
      <c r="V16" s="26" t="n">
        <f aca="false">SUMIFS(Sales_Data!$S$2:$S$3520,Sales_Data!$C$2:$C$3520,$A16,Sales_Data!$AE$2:$AE$3520,1)</f>
        <v>1</v>
      </c>
      <c r="W16" s="26" t="n">
        <f aca="false">SUMIFS(Sales_Data!$T$2:$T$3520,Sales_Data!$C$2:$C$3520,$A16,Sales_Data!$AE$2:$AE$3520,1)</f>
        <v>1</v>
      </c>
      <c r="X16" s="26" t="n">
        <f aca="false">COUNTIFS(Sales_Data!$C$2:$C$3520,$A16,Sales_Data!$X$2:$X$3520,"&lt;&gt;No Device",Sales_Data!$X$2:$X$3520,"&lt;&gt;",Sales_Data!$AE$2:$AE$3520,1)</f>
        <v>0</v>
      </c>
      <c r="Y16" s="26" t="n">
        <f aca="false">COUNTIFS(Sales_Data!$C$2:$C$3520,$A16,Sales_Data!$AD$2:$AD$3520,0,Sales_Data!$AE$2:$AE$3520,1)</f>
        <v>11</v>
      </c>
      <c r="Z16" s="26" t="n">
        <f aca="false">COUNTIFS(Sales_Data!$C$2:$C$3520,$A16,Sales_Data!$AC$2:$AC$3520,1)</f>
        <v>0</v>
      </c>
    </row>
    <row r="17" customFormat="false" ht="15" hidden="false" customHeight="false" outlineLevel="0" collapsed="false">
      <c r="A17" s="25" t="n">
        <v>46238</v>
      </c>
      <c r="B17" s="53" t="s">
        <v>501</v>
      </c>
      <c r="C17" s="26" t="n">
        <f aca="false">SUMIFS(Sales_Data!$AE$2:$AE$3520,Sales_Data!$C$2:$C$3520,$A17)</f>
        <v>33</v>
      </c>
      <c r="D17" s="26" t="n">
        <f aca="false">SUMIFS(Sales_Data!$M$2:$M$3520,Sales_Data!$C$2:$C$3520,$A17,Sales_Data!$AE$2:$AE$3520,1)</f>
        <v>8</v>
      </c>
      <c r="E17" s="26" t="n">
        <f aca="false">SUMIFS(Sales_Data!$N$2:$N$3520,Sales_Data!$C$2:$C$3520,$A17,Sales_Data!$AE$2:$AE$3520,1)</f>
        <v>30</v>
      </c>
      <c r="F17" s="26" t="n">
        <f aca="false">D17+E17</f>
        <v>38</v>
      </c>
      <c r="G17" s="28" t="n">
        <f aca="false">F17-F16</f>
        <v>-8</v>
      </c>
      <c r="H17" s="29" t="n">
        <f aca="false">IF(F16=0,"-",(F17-F16)/F16)</f>
        <v>-0.173913043478261</v>
      </c>
      <c r="I17" s="30" t="n">
        <f aca="false">AVERAGE(F11:F17)</f>
        <v>38.2857142857143</v>
      </c>
      <c r="J17" s="29" t="n">
        <f aca="false">IF(F10=0,"-",(F17-F10)/F10)</f>
        <v>-0.173913043478261</v>
      </c>
      <c r="K17" s="26" t="n">
        <f aca="false">SUMIFS(Sales_Data!$AF$2:$AF$3520,Sales_Data!$C$2:$C$3520,$A17)</f>
        <v>16</v>
      </c>
      <c r="L17" s="31" t="n">
        <f aca="false">IFERROR(F17/K17,0)</f>
        <v>2.375</v>
      </c>
      <c r="M17" s="26" t="n">
        <f aca="false">COUNTIFS(Sales_Data!$C$2:$C$3520,$A17,Sales_Data!$U$2:$U$3520,"Yes",Sales_Data!$AE$2:$AE$3520,1)</f>
        <v>0</v>
      </c>
      <c r="N17" s="26" t="n">
        <f aca="false">M17+COUNTIFS(Sales_Data!$C$2:$C$3520,$A17,Sales_Data!$U$2:$U$3520,"No",Sales_Data!$AE$2:$AE$3520,1)</f>
        <v>0</v>
      </c>
      <c r="O17" s="32" t="str">
        <f aca="false">IF(N17=0,"-",M17/N17)</f>
        <v>-</v>
      </c>
      <c r="P17" s="26" t="n">
        <f aca="false">COUNTIFS(Sales_Data!$C$2:$C$3520,$A17,Sales_Data!$W$2:$W$3520,"Yes",Sales_Data!$AE$2:$AE$3520,1)</f>
        <v>0</v>
      </c>
      <c r="Q17" s="26" t="n">
        <f aca="false">P17+COUNTIFS(Sales_Data!$C$2:$C$3520,$A17,Sales_Data!$W$2:$W$3520,"No",Sales_Data!$AE$2:$AE$3520,1)</f>
        <v>0</v>
      </c>
      <c r="R17" s="32" t="str">
        <f aca="false">IF(Q17=0,"-",P17/Q17)</f>
        <v>-</v>
      </c>
      <c r="S17" s="26" t="n">
        <f aca="false">SUMIFS(Sales_Data!$P$2:$P$3520,Sales_Data!$C$2:$C$3520,$A17,Sales_Data!$AE$2:$AE$3520,1)</f>
        <v>19</v>
      </c>
      <c r="T17" s="26" t="n">
        <f aca="false">SUMIFS(Sales_Data!$Q$2:$Q$3520,Sales_Data!$C$2:$C$3520,$A17,Sales_Data!$AE$2:$AE$3520,1)</f>
        <v>9</v>
      </c>
      <c r="U17" s="26" t="n">
        <f aca="false">SUMIFS(Sales_Data!$R$2:$R$3520,Sales_Data!$C$2:$C$3520,$A17,Sales_Data!$AE$2:$AE$3520,1)</f>
        <v>2</v>
      </c>
      <c r="V17" s="26" t="n">
        <f aca="false">SUMIFS(Sales_Data!$S$2:$S$3520,Sales_Data!$C$2:$C$3520,$A17,Sales_Data!$AE$2:$AE$3520,1)</f>
        <v>0</v>
      </c>
      <c r="W17" s="26" t="n">
        <f aca="false">SUMIFS(Sales_Data!$T$2:$T$3520,Sales_Data!$C$2:$C$3520,$A17,Sales_Data!$AE$2:$AE$3520,1)</f>
        <v>0</v>
      </c>
      <c r="X17" s="26" t="n">
        <f aca="false">COUNTIFS(Sales_Data!$C$2:$C$3520,$A17,Sales_Data!$X$2:$X$3520,"&lt;&gt;No Device",Sales_Data!$X$2:$X$3520,"&lt;&gt;",Sales_Data!$AE$2:$AE$3520,1)</f>
        <v>0</v>
      </c>
      <c r="Y17" s="26" t="n">
        <f aca="false">COUNTIFS(Sales_Data!$C$2:$C$3520,$A17,Sales_Data!$AD$2:$AD$3520,0,Sales_Data!$AE$2:$AE$3520,1)</f>
        <v>8</v>
      </c>
      <c r="Z17" s="26" t="n">
        <f aca="false">COUNTIFS(Sales_Data!$C$2:$C$3520,$A17,Sales_Data!$AC$2:$AC$3520,1)</f>
        <v>2</v>
      </c>
    </row>
    <row r="18" customFormat="false" ht="15" hidden="false" customHeight="false" outlineLevel="0" collapsed="false">
      <c r="A18" s="25" t="n">
        <v>46239</v>
      </c>
      <c r="B18" s="53" t="s">
        <v>143</v>
      </c>
      <c r="C18" s="26" t="n">
        <f aca="false">SUMIFS(Sales_Data!$AE$2:$AE$3520,Sales_Data!$C$2:$C$3520,$A18)</f>
        <v>26</v>
      </c>
      <c r="D18" s="26" t="n">
        <f aca="false">SUMIFS(Sales_Data!$M$2:$M$3520,Sales_Data!$C$2:$C$3520,$A18,Sales_Data!$AE$2:$AE$3520,1)</f>
        <v>6</v>
      </c>
      <c r="E18" s="26" t="n">
        <f aca="false">SUMIFS(Sales_Data!$N$2:$N$3520,Sales_Data!$C$2:$C$3520,$A18,Sales_Data!$AE$2:$AE$3520,1)</f>
        <v>24</v>
      </c>
      <c r="F18" s="26" t="n">
        <f aca="false">D18+E18</f>
        <v>30</v>
      </c>
      <c r="G18" s="28" t="n">
        <f aca="false">F18-F17</f>
        <v>-8</v>
      </c>
      <c r="H18" s="29" t="n">
        <f aca="false">IF(F17=0,"-",(F18-F17)/F17)</f>
        <v>-0.210526315789474</v>
      </c>
      <c r="I18" s="30" t="n">
        <f aca="false">AVERAGE(F12:F18)</f>
        <v>35.7142857142857</v>
      </c>
      <c r="J18" s="29" t="n">
        <f aca="false">IF(F11=0,"-",(F18-F11)/F11)</f>
        <v>-0.375</v>
      </c>
      <c r="K18" s="26" t="n">
        <f aca="false">SUMIFS(Sales_Data!$AF$2:$AF$3520,Sales_Data!$C$2:$C$3520,$A18)</f>
        <v>16</v>
      </c>
      <c r="L18" s="31" t="n">
        <f aca="false">IFERROR(F18/K18,0)</f>
        <v>1.875</v>
      </c>
      <c r="M18" s="26" t="n">
        <f aca="false">COUNTIFS(Sales_Data!$C$2:$C$3520,$A18,Sales_Data!$U$2:$U$3520,"Yes",Sales_Data!$AE$2:$AE$3520,1)</f>
        <v>0</v>
      </c>
      <c r="N18" s="26" t="n">
        <f aca="false">M18+COUNTIFS(Sales_Data!$C$2:$C$3520,$A18,Sales_Data!$U$2:$U$3520,"No",Sales_Data!$AE$2:$AE$3520,1)</f>
        <v>0</v>
      </c>
      <c r="O18" s="32" t="str">
        <f aca="false">IF(N18=0,"-",M18/N18)</f>
        <v>-</v>
      </c>
      <c r="P18" s="26" t="n">
        <f aca="false">COUNTIFS(Sales_Data!$C$2:$C$3520,$A18,Sales_Data!$W$2:$W$3520,"Yes",Sales_Data!$AE$2:$AE$3520,1)</f>
        <v>0</v>
      </c>
      <c r="Q18" s="26" t="n">
        <f aca="false">P18+COUNTIFS(Sales_Data!$C$2:$C$3520,$A18,Sales_Data!$W$2:$W$3520,"No",Sales_Data!$AE$2:$AE$3520,1)</f>
        <v>0</v>
      </c>
      <c r="R18" s="32" t="str">
        <f aca="false">IF(Q18=0,"-",P18/Q18)</f>
        <v>-</v>
      </c>
      <c r="S18" s="26" t="n">
        <f aca="false">SUMIFS(Sales_Data!$P$2:$P$3520,Sales_Data!$C$2:$C$3520,$A18,Sales_Data!$AE$2:$AE$3520,1)</f>
        <v>15</v>
      </c>
      <c r="T18" s="26" t="n">
        <f aca="false">SUMIFS(Sales_Data!$Q$2:$Q$3520,Sales_Data!$C$2:$C$3520,$A18,Sales_Data!$AE$2:$AE$3520,1)</f>
        <v>5</v>
      </c>
      <c r="U18" s="26" t="n">
        <f aca="false">SUMIFS(Sales_Data!$R$2:$R$3520,Sales_Data!$C$2:$C$3520,$A18,Sales_Data!$AE$2:$AE$3520,1)</f>
        <v>4</v>
      </c>
      <c r="V18" s="26" t="n">
        <f aca="false">SUMIFS(Sales_Data!$S$2:$S$3520,Sales_Data!$C$2:$C$3520,$A18,Sales_Data!$AE$2:$AE$3520,1)</f>
        <v>0</v>
      </c>
      <c r="W18" s="26" t="n">
        <f aca="false">SUMIFS(Sales_Data!$T$2:$T$3520,Sales_Data!$C$2:$C$3520,$A18,Sales_Data!$AE$2:$AE$3520,1)</f>
        <v>0</v>
      </c>
      <c r="X18" s="26" t="n">
        <f aca="false">COUNTIFS(Sales_Data!$C$2:$C$3520,$A18,Sales_Data!$X$2:$X$3520,"&lt;&gt;No Device",Sales_Data!$X$2:$X$3520,"&lt;&gt;",Sales_Data!$AE$2:$AE$3520,1)</f>
        <v>0</v>
      </c>
      <c r="Y18" s="26" t="n">
        <f aca="false">COUNTIFS(Sales_Data!$C$2:$C$3520,$A18,Sales_Data!$AD$2:$AD$3520,0,Sales_Data!$AE$2:$AE$3520,1)</f>
        <v>8</v>
      </c>
      <c r="Z18" s="26" t="n">
        <f aca="false">COUNTIFS(Sales_Data!$C$2:$C$3520,$A18,Sales_Data!$AC$2:$AC$3520,1)</f>
        <v>0</v>
      </c>
    </row>
    <row r="19" customFormat="false" ht="15" hidden="false" customHeight="false" outlineLevel="0" collapsed="false">
      <c r="A19" s="25" t="n">
        <v>46240</v>
      </c>
      <c r="B19" s="53" t="s">
        <v>202</v>
      </c>
      <c r="C19" s="26" t="n">
        <f aca="false">SUMIFS(Sales_Data!$AE$2:$AE$3520,Sales_Data!$C$2:$C$3520,$A19)</f>
        <v>29</v>
      </c>
      <c r="D19" s="26" t="n">
        <f aca="false">SUMIFS(Sales_Data!$M$2:$M$3520,Sales_Data!$C$2:$C$3520,$A19,Sales_Data!$AE$2:$AE$3520,1)</f>
        <v>5</v>
      </c>
      <c r="E19" s="26" t="n">
        <f aca="false">SUMIFS(Sales_Data!$N$2:$N$3520,Sales_Data!$C$2:$C$3520,$A19,Sales_Data!$AE$2:$AE$3520,1)</f>
        <v>30</v>
      </c>
      <c r="F19" s="26" t="n">
        <f aca="false">D19+E19</f>
        <v>35</v>
      </c>
      <c r="G19" s="28" t="n">
        <f aca="false">F19-F18</f>
        <v>5</v>
      </c>
      <c r="H19" s="29" t="n">
        <f aca="false">IF(F18=0,"-",(F19-F18)/F18)</f>
        <v>0.166666666666667</v>
      </c>
      <c r="I19" s="30" t="n">
        <f aca="false">AVERAGE(F13:F19)</f>
        <v>35.2857142857143</v>
      </c>
      <c r="J19" s="29" t="n">
        <f aca="false">IF(F12=0,"-",(F19-F12)/F12)</f>
        <v>-0.0789473684210526</v>
      </c>
      <c r="K19" s="26" t="n">
        <f aca="false">SUMIFS(Sales_Data!$AF$2:$AF$3520,Sales_Data!$C$2:$C$3520,$A19)</f>
        <v>14</v>
      </c>
      <c r="L19" s="31" t="n">
        <f aca="false">IFERROR(F19/K19,0)</f>
        <v>2.5</v>
      </c>
      <c r="M19" s="26" t="n">
        <f aca="false">COUNTIFS(Sales_Data!$C$2:$C$3520,$A19,Sales_Data!$U$2:$U$3520,"Yes",Sales_Data!$AE$2:$AE$3520,1)</f>
        <v>0</v>
      </c>
      <c r="N19" s="26" t="n">
        <f aca="false">M19+COUNTIFS(Sales_Data!$C$2:$C$3520,$A19,Sales_Data!$U$2:$U$3520,"No",Sales_Data!$AE$2:$AE$3520,1)</f>
        <v>0</v>
      </c>
      <c r="O19" s="32" t="str">
        <f aca="false">IF(N19=0,"-",M19/N19)</f>
        <v>-</v>
      </c>
      <c r="P19" s="26" t="n">
        <f aca="false">COUNTIFS(Sales_Data!$C$2:$C$3520,$A19,Sales_Data!$W$2:$W$3520,"Yes",Sales_Data!$AE$2:$AE$3520,1)</f>
        <v>0</v>
      </c>
      <c r="Q19" s="26" t="n">
        <f aca="false">P19+COUNTIFS(Sales_Data!$C$2:$C$3520,$A19,Sales_Data!$W$2:$W$3520,"No",Sales_Data!$AE$2:$AE$3520,1)</f>
        <v>0</v>
      </c>
      <c r="R19" s="32" t="str">
        <f aca="false">IF(Q19=0,"-",P19/Q19)</f>
        <v>-</v>
      </c>
      <c r="S19" s="26" t="n">
        <f aca="false">SUMIFS(Sales_Data!$P$2:$P$3520,Sales_Data!$C$2:$C$3520,$A19,Sales_Data!$AE$2:$AE$3520,1)</f>
        <v>18</v>
      </c>
      <c r="T19" s="26" t="n">
        <f aca="false">SUMIFS(Sales_Data!$Q$2:$Q$3520,Sales_Data!$C$2:$C$3520,$A19,Sales_Data!$AE$2:$AE$3520,1)</f>
        <v>9</v>
      </c>
      <c r="U19" s="26" t="n">
        <f aca="false">SUMIFS(Sales_Data!$R$2:$R$3520,Sales_Data!$C$2:$C$3520,$A19,Sales_Data!$AE$2:$AE$3520,1)</f>
        <v>3</v>
      </c>
      <c r="V19" s="26" t="n">
        <f aca="false">SUMIFS(Sales_Data!$S$2:$S$3520,Sales_Data!$C$2:$C$3520,$A19,Sales_Data!$AE$2:$AE$3520,1)</f>
        <v>0</v>
      </c>
      <c r="W19" s="26" t="n">
        <f aca="false">SUMIFS(Sales_Data!$T$2:$T$3520,Sales_Data!$C$2:$C$3520,$A19,Sales_Data!$AE$2:$AE$3520,1)</f>
        <v>0</v>
      </c>
      <c r="X19" s="26" t="n">
        <f aca="false">COUNTIFS(Sales_Data!$C$2:$C$3520,$A19,Sales_Data!$X$2:$X$3520,"&lt;&gt;No Device",Sales_Data!$X$2:$X$3520,"&lt;&gt;",Sales_Data!$AE$2:$AE$3520,1)</f>
        <v>0</v>
      </c>
      <c r="Y19" s="26" t="n">
        <f aca="false">COUNTIFS(Sales_Data!$C$2:$C$3520,$A19,Sales_Data!$AD$2:$AD$3520,0,Sales_Data!$AE$2:$AE$3520,1)</f>
        <v>12</v>
      </c>
      <c r="Z19" s="26" t="n">
        <f aca="false">COUNTIFS(Sales_Data!$C$2:$C$3520,$A19,Sales_Data!$AC$2:$AC$3520,1)</f>
        <v>0</v>
      </c>
    </row>
    <row r="20" customFormat="false" ht="15" hidden="false" customHeight="false" outlineLevel="0" collapsed="false">
      <c r="A20" s="25" t="n">
        <v>46241</v>
      </c>
      <c r="B20" s="53" t="s">
        <v>288</v>
      </c>
      <c r="C20" s="26" t="n">
        <f aca="false">SUMIFS(Sales_Data!$AE$2:$AE$3520,Sales_Data!$C$2:$C$3520,$A20)</f>
        <v>50</v>
      </c>
      <c r="D20" s="26" t="n">
        <f aca="false">SUMIFS(Sales_Data!$M$2:$M$3520,Sales_Data!$C$2:$C$3520,$A20,Sales_Data!$AE$2:$AE$3520,1)</f>
        <v>16</v>
      </c>
      <c r="E20" s="26" t="n">
        <f aca="false">SUMIFS(Sales_Data!$N$2:$N$3520,Sales_Data!$C$2:$C$3520,$A20,Sales_Data!$AE$2:$AE$3520,1)</f>
        <v>38</v>
      </c>
      <c r="F20" s="26" t="n">
        <f aca="false">D20+E20</f>
        <v>54</v>
      </c>
      <c r="G20" s="28" t="n">
        <f aca="false">F20-F19</f>
        <v>19</v>
      </c>
      <c r="H20" s="29" t="n">
        <f aca="false">IF(F19=0,"-",(F20-F19)/F19)</f>
        <v>0.542857142857143</v>
      </c>
      <c r="I20" s="30" t="n">
        <f aca="false">AVERAGE(F14:F20)</f>
        <v>37.2857142857143</v>
      </c>
      <c r="J20" s="29" t="n">
        <f aca="false">IF(F13=0,"-",(F20-F13)/F13)</f>
        <v>0.35</v>
      </c>
      <c r="K20" s="26" t="n">
        <f aca="false">SUMIFS(Sales_Data!$AF$2:$AF$3520,Sales_Data!$C$2:$C$3520,$A20)</f>
        <v>23</v>
      </c>
      <c r="L20" s="31" t="n">
        <f aca="false">IFERROR(F20/K20,0)</f>
        <v>2.34782608695652</v>
      </c>
      <c r="M20" s="26" t="n">
        <f aca="false">COUNTIFS(Sales_Data!$C$2:$C$3520,$A20,Sales_Data!$U$2:$U$3520,"Yes",Sales_Data!$AE$2:$AE$3520,1)</f>
        <v>0</v>
      </c>
      <c r="N20" s="26" t="n">
        <f aca="false">M20+COUNTIFS(Sales_Data!$C$2:$C$3520,$A20,Sales_Data!$U$2:$U$3520,"No",Sales_Data!$AE$2:$AE$3520,1)</f>
        <v>0</v>
      </c>
      <c r="O20" s="32" t="str">
        <f aca="false">IF(N20=0,"-",M20/N20)</f>
        <v>-</v>
      </c>
      <c r="P20" s="26" t="n">
        <f aca="false">COUNTIFS(Sales_Data!$C$2:$C$3520,$A20,Sales_Data!$W$2:$W$3520,"Yes",Sales_Data!$AE$2:$AE$3520,1)</f>
        <v>0</v>
      </c>
      <c r="Q20" s="26" t="n">
        <f aca="false">P20+COUNTIFS(Sales_Data!$C$2:$C$3520,$A20,Sales_Data!$W$2:$W$3520,"No",Sales_Data!$AE$2:$AE$3520,1)</f>
        <v>0</v>
      </c>
      <c r="R20" s="32" t="str">
        <f aca="false">IF(Q20=0,"-",P20/Q20)</f>
        <v>-</v>
      </c>
      <c r="S20" s="26" t="n">
        <f aca="false">SUMIFS(Sales_Data!$P$2:$P$3520,Sales_Data!$C$2:$C$3520,$A20,Sales_Data!$AE$2:$AE$3520,1)</f>
        <v>16</v>
      </c>
      <c r="T20" s="26" t="n">
        <f aca="false">SUMIFS(Sales_Data!$Q$2:$Q$3520,Sales_Data!$C$2:$C$3520,$A20,Sales_Data!$AE$2:$AE$3520,1)</f>
        <v>11</v>
      </c>
      <c r="U20" s="26" t="n">
        <f aca="false">SUMIFS(Sales_Data!$R$2:$R$3520,Sales_Data!$C$2:$C$3520,$A20,Sales_Data!$AE$2:$AE$3520,1)</f>
        <v>7</v>
      </c>
      <c r="V20" s="26" t="n">
        <f aca="false">SUMIFS(Sales_Data!$S$2:$S$3520,Sales_Data!$C$2:$C$3520,$A20,Sales_Data!$AE$2:$AE$3520,1)</f>
        <v>0</v>
      </c>
      <c r="W20" s="26" t="n">
        <f aca="false">SUMIFS(Sales_Data!$T$2:$T$3520,Sales_Data!$C$2:$C$3520,$A20,Sales_Data!$AE$2:$AE$3520,1)</f>
        <v>4</v>
      </c>
      <c r="X20" s="26" t="n">
        <f aca="false">COUNTIFS(Sales_Data!$C$2:$C$3520,$A20,Sales_Data!$X$2:$X$3520,"&lt;&gt;No Device",Sales_Data!$X$2:$X$3520,"&lt;&gt;",Sales_Data!$AE$2:$AE$3520,1)</f>
        <v>0</v>
      </c>
      <c r="Y20" s="26" t="n">
        <f aca="false">COUNTIFS(Sales_Data!$C$2:$C$3520,$A20,Sales_Data!$AD$2:$AD$3520,0,Sales_Data!$AE$2:$AE$3520,1)</f>
        <v>20</v>
      </c>
      <c r="Z20" s="26" t="n">
        <f aca="false">COUNTIFS(Sales_Data!$C$2:$C$3520,$A20,Sales_Data!$AC$2:$AC$3520,1)</f>
        <v>1</v>
      </c>
    </row>
    <row r="21" customFormat="false" ht="15" hidden="false" customHeight="false" outlineLevel="0" collapsed="false">
      <c r="A21" s="25" t="n">
        <v>46242</v>
      </c>
      <c r="B21" s="53" t="s">
        <v>358</v>
      </c>
      <c r="C21" s="26" t="n">
        <f aca="false">SUMIFS(Sales_Data!$AE$2:$AE$3520,Sales_Data!$C$2:$C$3520,$A21)</f>
        <v>27</v>
      </c>
      <c r="D21" s="26" t="n">
        <f aca="false">SUMIFS(Sales_Data!$M$2:$M$3520,Sales_Data!$C$2:$C$3520,$A21,Sales_Data!$AE$2:$AE$3520,1)</f>
        <v>9</v>
      </c>
      <c r="E21" s="26" t="n">
        <f aca="false">SUMIFS(Sales_Data!$N$2:$N$3520,Sales_Data!$C$2:$C$3520,$A21,Sales_Data!$AE$2:$AE$3520,1)</f>
        <v>20</v>
      </c>
      <c r="F21" s="26" t="n">
        <f aca="false">D21+E21</f>
        <v>29</v>
      </c>
      <c r="G21" s="28" t="n">
        <f aca="false">F21-F20</f>
        <v>-25</v>
      </c>
      <c r="H21" s="29" t="n">
        <f aca="false">IF(F20=0,"-",(F21-F20)/F20)</f>
        <v>-0.462962962962963</v>
      </c>
      <c r="I21" s="30" t="n">
        <f aca="false">AVERAGE(F15:F21)</f>
        <v>37.8571428571429</v>
      </c>
      <c r="J21" s="29" t="n">
        <f aca="false">IF(F14=0,"-",(F21-F14)/F14)</f>
        <v>0.16</v>
      </c>
      <c r="K21" s="26" t="n">
        <f aca="false">SUMIFS(Sales_Data!$AF$2:$AF$3520,Sales_Data!$C$2:$C$3520,$A21)</f>
        <v>12</v>
      </c>
      <c r="L21" s="31" t="n">
        <f aca="false">IFERROR(F21/K21,0)</f>
        <v>2.41666666666667</v>
      </c>
      <c r="M21" s="26" t="n">
        <f aca="false">COUNTIFS(Sales_Data!$C$2:$C$3520,$A21,Sales_Data!$U$2:$U$3520,"Yes",Sales_Data!$AE$2:$AE$3520,1)</f>
        <v>0</v>
      </c>
      <c r="N21" s="26" t="n">
        <f aca="false">M21+COUNTIFS(Sales_Data!$C$2:$C$3520,$A21,Sales_Data!$U$2:$U$3520,"No",Sales_Data!$AE$2:$AE$3520,1)</f>
        <v>0</v>
      </c>
      <c r="O21" s="32" t="str">
        <f aca="false">IF(N21=0,"-",M21/N21)</f>
        <v>-</v>
      </c>
      <c r="P21" s="26" t="n">
        <f aca="false">COUNTIFS(Sales_Data!$C$2:$C$3520,$A21,Sales_Data!$W$2:$W$3520,"Yes",Sales_Data!$AE$2:$AE$3520,1)</f>
        <v>0</v>
      </c>
      <c r="Q21" s="26" t="n">
        <f aca="false">P21+COUNTIFS(Sales_Data!$C$2:$C$3520,$A21,Sales_Data!$W$2:$W$3520,"No",Sales_Data!$AE$2:$AE$3520,1)</f>
        <v>0</v>
      </c>
      <c r="R21" s="32" t="str">
        <f aca="false">IF(Q21=0,"-",P21/Q21)</f>
        <v>-</v>
      </c>
      <c r="S21" s="26" t="n">
        <f aca="false">SUMIFS(Sales_Data!$P$2:$P$3520,Sales_Data!$C$2:$C$3520,$A21,Sales_Data!$AE$2:$AE$3520,1)</f>
        <v>12</v>
      </c>
      <c r="T21" s="26" t="n">
        <f aca="false">SUMIFS(Sales_Data!$Q$2:$Q$3520,Sales_Data!$C$2:$C$3520,$A21,Sales_Data!$AE$2:$AE$3520,1)</f>
        <v>5</v>
      </c>
      <c r="U21" s="26" t="n">
        <f aca="false">SUMIFS(Sales_Data!$R$2:$R$3520,Sales_Data!$C$2:$C$3520,$A21,Sales_Data!$AE$2:$AE$3520,1)</f>
        <v>3</v>
      </c>
      <c r="V21" s="26" t="n">
        <f aca="false">SUMIFS(Sales_Data!$S$2:$S$3520,Sales_Data!$C$2:$C$3520,$A21,Sales_Data!$AE$2:$AE$3520,1)</f>
        <v>0</v>
      </c>
      <c r="W21" s="26" t="n">
        <f aca="false">SUMIFS(Sales_Data!$T$2:$T$3520,Sales_Data!$C$2:$C$3520,$A21,Sales_Data!$AE$2:$AE$3520,1)</f>
        <v>0</v>
      </c>
      <c r="X21" s="26" t="n">
        <f aca="false">COUNTIFS(Sales_Data!$C$2:$C$3520,$A21,Sales_Data!$X$2:$X$3520,"&lt;&gt;No Device",Sales_Data!$X$2:$X$3520,"&lt;&gt;",Sales_Data!$AE$2:$AE$3520,1)</f>
        <v>0</v>
      </c>
      <c r="Y21" s="26" t="n">
        <f aca="false">COUNTIFS(Sales_Data!$C$2:$C$3520,$A21,Sales_Data!$AD$2:$AD$3520,0,Sales_Data!$AE$2:$AE$3520,1)</f>
        <v>11</v>
      </c>
      <c r="Z21" s="26" t="n">
        <f aca="false">COUNTIFS(Sales_Data!$C$2:$C$3520,$A21,Sales_Data!$AC$2:$AC$3520,1)</f>
        <v>1</v>
      </c>
    </row>
    <row r="22" customFormat="false" ht="15" hidden="false" customHeight="false" outlineLevel="0" collapsed="false">
      <c r="A22" s="25" t="n">
        <v>46243</v>
      </c>
      <c r="B22" s="53" t="s">
        <v>393</v>
      </c>
      <c r="C22" s="26" t="n">
        <f aca="false">SUMIFS(Sales_Data!$AE$2:$AE$3520,Sales_Data!$C$2:$C$3520,$A22)</f>
        <v>21</v>
      </c>
      <c r="D22" s="26" t="n">
        <f aca="false">SUMIFS(Sales_Data!$M$2:$M$3520,Sales_Data!$C$2:$C$3520,$A22,Sales_Data!$AE$2:$AE$3520,1)</f>
        <v>5</v>
      </c>
      <c r="E22" s="26" t="n">
        <f aca="false">SUMIFS(Sales_Data!$N$2:$N$3520,Sales_Data!$C$2:$C$3520,$A22,Sales_Data!$AE$2:$AE$3520,1)</f>
        <v>17</v>
      </c>
      <c r="F22" s="26" t="n">
        <f aca="false">D22+E22</f>
        <v>22</v>
      </c>
      <c r="G22" s="28" t="n">
        <f aca="false">F22-F21</f>
        <v>-7</v>
      </c>
      <c r="H22" s="29" t="n">
        <f aca="false">IF(F21=0,"-",(F22-F21)/F21)</f>
        <v>-0.241379310344828</v>
      </c>
      <c r="I22" s="30" t="n">
        <f aca="false">AVERAGE(F16:F22)</f>
        <v>36.2857142857143</v>
      </c>
      <c r="J22" s="29" t="n">
        <f aca="false">IF(F15=0,"-",(F22-F15)/F15)</f>
        <v>-0.333333333333333</v>
      </c>
      <c r="K22" s="26" t="n">
        <f aca="false">SUMIFS(Sales_Data!$AF$2:$AF$3520,Sales_Data!$C$2:$C$3520,$A22)</f>
        <v>12</v>
      </c>
      <c r="L22" s="31" t="n">
        <f aca="false">IFERROR(F22/K22,0)</f>
        <v>1.83333333333333</v>
      </c>
      <c r="M22" s="26" t="n">
        <f aca="false">COUNTIFS(Sales_Data!$C$2:$C$3520,$A22,Sales_Data!$U$2:$U$3520,"Yes",Sales_Data!$AE$2:$AE$3520,1)</f>
        <v>0</v>
      </c>
      <c r="N22" s="26" t="n">
        <f aca="false">M22+COUNTIFS(Sales_Data!$C$2:$C$3520,$A22,Sales_Data!$U$2:$U$3520,"No",Sales_Data!$AE$2:$AE$3520,1)</f>
        <v>0</v>
      </c>
      <c r="O22" s="32" t="str">
        <f aca="false">IF(N22=0,"-",M22/N22)</f>
        <v>-</v>
      </c>
      <c r="P22" s="26" t="n">
        <f aca="false">COUNTIFS(Sales_Data!$C$2:$C$3520,$A22,Sales_Data!$W$2:$W$3520,"Yes",Sales_Data!$AE$2:$AE$3520,1)</f>
        <v>0</v>
      </c>
      <c r="Q22" s="26" t="n">
        <f aca="false">P22+COUNTIFS(Sales_Data!$C$2:$C$3520,$A22,Sales_Data!$W$2:$W$3520,"No",Sales_Data!$AE$2:$AE$3520,1)</f>
        <v>0</v>
      </c>
      <c r="R22" s="32" t="str">
        <f aca="false">IF(Q22=0,"-",P22/Q22)</f>
        <v>-</v>
      </c>
      <c r="S22" s="26" t="n">
        <f aca="false">SUMIFS(Sales_Data!$P$2:$P$3520,Sales_Data!$C$2:$C$3520,$A22,Sales_Data!$AE$2:$AE$3520,1)</f>
        <v>9</v>
      </c>
      <c r="T22" s="26" t="n">
        <f aca="false">SUMIFS(Sales_Data!$Q$2:$Q$3520,Sales_Data!$C$2:$C$3520,$A22,Sales_Data!$AE$2:$AE$3520,1)</f>
        <v>6</v>
      </c>
      <c r="U22" s="26" t="n">
        <f aca="false">SUMIFS(Sales_Data!$R$2:$R$3520,Sales_Data!$C$2:$C$3520,$A22,Sales_Data!$AE$2:$AE$3520,1)</f>
        <v>2</v>
      </c>
      <c r="V22" s="26" t="n">
        <f aca="false">SUMIFS(Sales_Data!$S$2:$S$3520,Sales_Data!$C$2:$C$3520,$A22,Sales_Data!$AE$2:$AE$3520,1)</f>
        <v>0</v>
      </c>
      <c r="W22" s="26" t="n">
        <f aca="false">SUMIFS(Sales_Data!$T$2:$T$3520,Sales_Data!$C$2:$C$3520,$A22,Sales_Data!$AE$2:$AE$3520,1)</f>
        <v>0</v>
      </c>
      <c r="X22" s="26" t="n">
        <f aca="false">COUNTIFS(Sales_Data!$C$2:$C$3520,$A22,Sales_Data!$X$2:$X$3520,"&lt;&gt;No Device",Sales_Data!$X$2:$X$3520,"&lt;&gt;",Sales_Data!$AE$2:$AE$3520,1)</f>
        <v>0</v>
      </c>
      <c r="Y22" s="26" t="n">
        <f aca="false">COUNTIFS(Sales_Data!$C$2:$C$3520,$A22,Sales_Data!$AD$2:$AD$3520,0,Sales_Data!$AE$2:$AE$3520,1)</f>
        <v>6</v>
      </c>
      <c r="Z22" s="26" t="n">
        <f aca="false">COUNTIFS(Sales_Data!$C$2:$C$3520,$A22,Sales_Data!$AC$2:$AC$3520,1)</f>
        <v>2</v>
      </c>
    </row>
    <row r="23" customFormat="false" ht="15" hidden="false" customHeight="false" outlineLevel="0" collapsed="false">
      <c r="A23" s="25" t="n">
        <v>46244</v>
      </c>
      <c r="B23" s="53" t="s">
        <v>429</v>
      </c>
      <c r="C23" s="26" t="n">
        <f aca="false">SUMIFS(Sales_Data!$AE$2:$AE$3520,Sales_Data!$C$2:$C$3520,$A23)</f>
        <v>25</v>
      </c>
      <c r="D23" s="26" t="n">
        <f aca="false">SUMIFS(Sales_Data!$M$2:$M$3520,Sales_Data!$C$2:$C$3520,$A23,Sales_Data!$AE$2:$AE$3520,1)</f>
        <v>8</v>
      </c>
      <c r="E23" s="26" t="n">
        <f aca="false">SUMIFS(Sales_Data!$N$2:$N$3520,Sales_Data!$C$2:$C$3520,$A23,Sales_Data!$AE$2:$AE$3520,1)</f>
        <v>21</v>
      </c>
      <c r="F23" s="26" t="n">
        <f aca="false">D23+E23</f>
        <v>29</v>
      </c>
      <c r="G23" s="28" t="n">
        <f aca="false">F23-F22</f>
        <v>7</v>
      </c>
      <c r="H23" s="29" t="n">
        <f aca="false">IF(F22=0,"-",(F23-F22)/F22)</f>
        <v>0.318181818181818</v>
      </c>
      <c r="I23" s="30" t="n">
        <f aca="false">AVERAGE(F17:F23)</f>
        <v>33.8571428571429</v>
      </c>
      <c r="J23" s="29" t="n">
        <f aca="false">IF(F16=0,"-",(F23-F16)/F16)</f>
        <v>-0.369565217391304</v>
      </c>
      <c r="K23" s="26" t="n">
        <f aca="false">SUMIFS(Sales_Data!$AF$2:$AF$3520,Sales_Data!$C$2:$C$3520,$A23)</f>
        <v>18</v>
      </c>
      <c r="L23" s="31" t="n">
        <f aca="false">IFERROR(F23/K23,0)</f>
        <v>1.61111111111111</v>
      </c>
      <c r="M23" s="26" t="n">
        <f aca="false">COUNTIFS(Sales_Data!$C$2:$C$3520,$A23,Sales_Data!$U$2:$U$3520,"Yes",Sales_Data!$AE$2:$AE$3520,1)</f>
        <v>0</v>
      </c>
      <c r="N23" s="26" t="n">
        <f aca="false">M23+COUNTIFS(Sales_Data!$C$2:$C$3520,$A23,Sales_Data!$U$2:$U$3520,"No",Sales_Data!$AE$2:$AE$3520,1)</f>
        <v>0</v>
      </c>
      <c r="O23" s="32" t="str">
        <f aca="false">IF(N23=0,"-",M23/N23)</f>
        <v>-</v>
      </c>
      <c r="P23" s="26" t="n">
        <f aca="false">COUNTIFS(Sales_Data!$C$2:$C$3520,$A23,Sales_Data!$W$2:$W$3520,"Yes",Sales_Data!$AE$2:$AE$3520,1)</f>
        <v>0</v>
      </c>
      <c r="Q23" s="26" t="n">
        <f aca="false">P23+COUNTIFS(Sales_Data!$C$2:$C$3520,$A23,Sales_Data!$W$2:$W$3520,"No",Sales_Data!$AE$2:$AE$3520,1)</f>
        <v>0</v>
      </c>
      <c r="R23" s="32" t="str">
        <f aca="false">IF(Q23=0,"-",P23/Q23)</f>
        <v>-</v>
      </c>
      <c r="S23" s="26" t="n">
        <f aca="false">SUMIFS(Sales_Data!$P$2:$P$3520,Sales_Data!$C$2:$C$3520,$A23,Sales_Data!$AE$2:$AE$3520,1)</f>
        <v>13</v>
      </c>
      <c r="T23" s="26" t="n">
        <f aca="false">SUMIFS(Sales_Data!$Q$2:$Q$3520,Sales_Data!$C$2:$C$3520,$A23,Sales_Data!$AE$2:$AE$3520,1)</f>
        <v>4</v>
      </c>
      <c r="U23" s="26" t="n">
        <f aca="false">SUMIFS(Sales_Data!$R$2:$R$3520,Sales_Data!$C$2:$C$3520,$A23,Sales_Data!$AE$2:$AE$3520,1)</f>
        <v>2</v>
      </c>
      <c r="V23" s="26" t="n">
        <f aca="false">SUMIFS(Sales_Data!$S$2:$S$3520,Sales_Data!$C$2:$C$3520,$A23,Sales_Data!$AE$2:$AE$3520,1)</f>
        <v>1</v>
      </c>
      <c r="W23" s="26" t="n">
        <f aca="false">SUMIFS(Sales_Data!$T$2:$T$3520,Sales_Data!$C$2:$C$3520,$A23,Sales_Data!$AE$2:$AE$3520,1)</f>
        <v>1</v>
      </c>
      <c r="X23" s="26" t="n">
        <f aca="false">COUNTIFS(Sales_Data!$C$2:$C$3520,$A23,Sales_Data!$X$2:$X$3520,"&lt;&gt;No Device",Sales_Data!$X$2:$X$3520,"&lt;&gt;",Sales_Data!$AE$2:$AE$3520,1)</f>
        <v>0</v>
      </c>
      <c r="Y23" s="26" t="n">
        <f aca="false">COUNTIFS(Sales_Data!$C$2:$C$3520,$A23,Sales_Data!$AD$2:$AD$3520,0,Sales_Data!$AE$2:$AE$3520,1)</f>
        <v>7</v>
      </c>
      <c r="Z23" s="26" t="n">
        <f aca="false">COUNTIFS(Sales_Data!$C$2:$C$3520,$A23,Sales_Data!$AC$2:$AC$3520,1)</f>
        <v>0</v>
      </c>
    </row>
    <row r="24" customFormat="false" ht="15" hidden="false" customHeight="false" outlineLevel="0" collapsed="false">
      <c r="A24" s="25" t="n">
        <v>46245</v>
      </c>
      <c r="B24" s="53" t="s">
        <v>501</v>
      </c>
      <c r="C24" s="26" t="n">
        <f aca="false">SUMIFS(Sales_Data!$AE$2:$AE$3520,Sales_Data!$C$2:$C$3520,$A24)</f>
        <v>14</v>
      </c>
      <c r="D24" s="26" t="n">
        <f aca="false">SUMIFS(Sales_Data!$M$2:$M$3520,Sales_Data!$C$2:$C$3520,$A24,Sales_Data!$AE$2:$AE$3520,1)</f>
        <v>6</v>
      </c>
      <c r="E24" s="26" t="n">
        <f aca="false">SUMIFS(Sales_Data!$N$2:$N$3520,Sales_Data!$C$2:$C$3520,$A24,Sales_Data!$AE$2:$AE$3520,1)</f>
        <v>10</v>
      </c>
      <c r="F24" s="26" t="n">
        <f aca="false">D24+E24</f>
        <v>16</v>
      </c>
      <c r="G24" s="28" t="n">
        <f aca="false">F24-F23</f>
        <v>-13</v>
      </c>
      <c r="H24" s="29" t="n">
        <f aca="false">IF(F23=0,"-",(F24-F23)/F23)</f>
        <v>-0.448275862068966</v>
      </c>
      <c r="I24" s="30" t="n">
        <f aca="false">AVERAGE(F18:F24)</f>
        <v>30.7142857142857</v>
      </c>
      <c r="J24" s="29" t="n">
        <f aca="false">IF(F17=0,"-",(F24-F17)/F17)</f>
        <v>-0.578947368421053</v>
      </c>
      <c r="K24" s="26" t="n">
        <f aca="false">SUMIFS(Sales_Data!$AF$2:$AF$3520,Sales_Data!$C$2:$C$3520,$A24)</f>
        <v>10</v>
      </c>
      <c r="L24" s="31" t="n">
        <f aca="false">IFERROR(F24/K24,0)</f>
        <v>1.6</v>
      </c>
      <c r="M24" s="26" t="n">
        <f aca="false">COUNTIFS(Sales_Data!$C$2:$C$3520,$A24,Sales_Data!$U$2:$U$3520,"Yes",Sales_Data!$AE$2:$AE$3520,1)</f>
        <v>0</v>
      </c>
      <c r="N24" s="26" t="n">
        <f aca="false">M24+COUNTIFS(Sales_Data!$C$2:$C$3520,$A24,Sales_Data!$U$2:$U$3520,"No",Sales_Data!$AE$2:$AE$3520,1)</f>
        <v>0</v>
      </c>
      <c r="O24" s="32" t="str">
        <f aca="false">IF(N24=0,"-",M24/N24)</f>
        <v>-</v>
      </c>
      <c r="P24" s="26" t="n">
        <f aca="false">COUNTIFS(Sales_Data!$C$2:$C$3520,$A24,Sales_Data!$W$2:$W$3520,"Yes",Sales_Data!$AE$2:$AE$3520,1)</f>
        <v>0</v>
      </c>
      <c r="Q24" s="26" t="n">
        <f aca="false">P24+COUNTIFS(Sales_Data!$C$2:$C$3520,$A24,Sales_Data!$W$2:$W$3520,"No",Sales_Data!$AE$2:$AE$3520,1)</f>
        <v>0</v>
      </c>
      <c r="R24" s="32" t="str">
        <f aca="false">IF(Q24=0,"-",P24/Q24)</f>
        <v>-</v>
      </c>
      <c r="S24" s="26" t="n">
        <f aca="false">SUMIFS(Sales_Data!$P$2:$P$3520,Sales_Data!$C$2:$C$3520,$A24,Sales_Data!$AE$2:$AE$3520,1)</f>
        <v>6</v>
      </c>
      <c r="T24" s="26" t="n">
        <f aca="false">SUMIFS(Sales_Data!$Q$2:$Q$3520,Sales_Data!$C$2:$C$3520,$A24,Sales_Data!$AE$2:$AE$3520,1)</f>
        <v>1</v>
      </c>
      <c r="U24" s="26" t="n">
        <f aca="false">SUMIFS(Sales_Data!$R$2:$R$3520,Sales_Data!$C$2:$C$3520,$A24,Sales_Data!$AE$2:$AE$3520,1)</f>
        <v>1</v>
      </c>
      <c r="V24" s="26" t="n">
        <f aca="false">SUMIFS(Sales_Data!$S$2:$S$3520,Sales_Data!$C$2:$C$3520,$A24,Sales_Data!$AE$2:$AE$3520,1)</f>
        <v>1</v>
      </c>
      <c r="W24" s="26" t="n">
        <f aca="false">SUMIFS(Sales_Data!$T$2:$T$3520,Sales_Data!$C$2:$C$3520,$A24,Sales_Data!$AE$2:$AE$3520,1)</f>
        <v>1</v>
      </c>
      <c r="X24" s="26" t="n">
        <f aca="false">COUNTIFS(Sales_Data!$C$2:$C$3520,$A24,Sales_Data!$X$2:$X$3520,"&lt;&gt;No Device",Sales_Data!$X$2:$X$3520,"&lt;&gt;",Sales_Data!$AE$2:$AE$3520,1)</f>
        <v>0</v>
      </c>
      <c r="Y24" s="26" t="n">
        <f aca="false">COUNTIFS(Sales_Data!$C$2:$C$3520,$A24,Sales_Data!$AD$2:$AD$3520,0,Sales_Data!$AE$2:$AE$3520,1)</f>
        <v>4</v>
      </c>
      <c r="Z24" s="26" t="n">
        <f aca="false">COUNTIFS(Sales_Data!$C$2:$C$3520,$A24,Sales_Data!$AC$2:$AC$3520,1)</f>
        <v>0</v>
      </c>
    </row>
    <row r="25" customFormat="false" ht="15" hidden="false" customHeight="false" outlineLevel="0" collapsed="false">
      <c r="A25" s="25" t="n">
        <v>46246</v>
      </c>
      <c r="B25" s="53" t="s">
        <v>143</v>
      </c>
      <c r="C25" s="26" t="n">
        <f aca="false">SUMIFS(Sales_Data!$AE$2:$AE$3520,Sales_Data!$C$2:$C$3520,$A25)</f>
        <v>17</v>
      </c>
      <c r="D25" s="26" t="n">
        <f aca="false">SUMIFS(Sales_Data!$M$2:$M$3520,Sales_Data!$C$2:$C$3520,$A25,Sales_Data!$AE$2:$AE$3520,1)</f>
        <v>3</v>
      </c>
      <c r="E25" s="26" t="n">
        <f aca="false">SUMIFS(Sales_Data!$N$2:$N$3520,Sales_Data!$C$2:$C$3520,$A25,Sales_Data!$AE$2:$AE$3520,1)</f>
        <v>17</v>
      </c>
      <c r="F25" s="26" t="n">
        <f aca="false">D25+E25</f>
        <v>20</v>
      </c>
      <c r="G25" s="28" t="n">
        <f aca="false">F25-F24</f>
        <v>4</v>
      </c>
      <c r="H25" s="29" t="n">
        <f aca="false">IF(F24=0,"-",(F25-F24)/F24)</f>
        <v>0.25</v>
      </c>
      <c r="I25" s="30" t="n">
        <f aca="false">AVERAGE(F19:F25)</f>
        <v>29.2857142857143</v>
      </c>
      <c r="J25" s="29" t="n">
        <f aca="false">IF(F18=0,"-",(F25-F18)/F18)</f>
        <v>-0.333333333333333</v>
      </c>
      <c r="K25" s="26" t="n">
        <f aca="false">SUMIFS(Sales_Data!$AF$2:$AF$3520,Sales_Data!$C$2:$C$3520,$A25)</f>
        <v>12</v>
      </c>
      <c r="L25" s="31" t="n">
        <f aca="false">IFERROR(F25/K25,0)</f>
        <v>1.66666666666667</v>
      </c>
      <c r="M25" s="26" t="n">
        <f aca="false">COUNTIFS(Sales_Data!$C$2:$C$3520,$A25,Sales_Data!$U$2:$U$3520,"Yes",Sales_Data!$AE$2:$AE$3520,1)</f>
        <v>0</v>
      </c>
      <c r="N25" s="26" t="n">
        <f aca="false">M25+COUNTIFS(Sales_Data!$C$2:$C$3520,$A25,Sales_Data!$U$2:$U$3520,"No",Sales_Data!$AE$2:$AE$3520,1)</f>
        <v>0</v>
      </c>
      <c r="O25" s="32" t="str">
        <f aca="false">IF(N25=0,"-",M25/N25)</f>
        <v>-</v>
      </c>
      <c r="P25" s="26" t="n">
        <f aca="false">COUNTIFS(Sales_Data!$C$2:$C$3520,$A25,Sales_Data!$W$2:$W$3520,"Yes",Sales_Data!$AE$2:$AE$3520,1)</f>
        <v>0</v>
      </c>
      <c r="Q25" s="26" t="n">
        <f aca="false">P25+COUNTIFS(Sales_Data!$C$2:$C$3520,$A25,Sales_Data!$W$2:$W$3520,"No",Sales_Data!$AE$2:$AE$3520,1)</f>
        <v>0</v>
      </c>
      <c r="R25" s="32" t="str">
        <f aca="false">IF(Q25=0,"-",P25/Q25)</f>
        <v>-</v>
      </c>
      <c r="S25" s="26" t="n">
        <f aca="false">SUMIFS(Sales_Data!$P$2:$P$3520,Sales_Data!$C$2:$C$3520,$A25,Sales_Data!$AE$2:$AE$3520,1)</f>
        <v>6</v>
      </c>
      <c r="T25" s="26" t="n">
        <f aca="false">SUMIFS(Sales_Data!$Q$2:$Q$3520,Sales_Data!$C$2:$C$3520,$A25,Sales_Data!$AE$2:$AE$3520,1)</f>
        <v>6</v>
      </c>
      <c r="U25" s="26" t="n">
        <f aca="false">SUMIFS(Sales_Data!$R$2:$R$3520,Sales_Data!$C$2:$C$3520,$A25,Sales_Data!$AE$2:$AE$3520,1)</f>
        <v>5</v>
      </c>
      <c r="V25" s="26" t="n">
        <f aca="false">SUMIFS(Sales_Data!$S$2:$S$3520,Sales_Data!$C$2:$C$3520,$A25,Sales_Data!$AE$2:$AE$3520,1)</f>
        <v>0</v>
      </c>
      <c r="W25" s="26" t="n">
        <f aca="false">SUMIFS(Sales_Data!$T$2:$T$3520,Sales_Data!$C$2:$C$3520,$A25,Sales_Data!$AE$2:$AE$3520,1)</f>
        <v>0</v>
      </c>
      <c r="X25" s="26" t="n">
        <f aca="false">COUNTIFS(Sales_Data!$C$2:$C$3520,$A25,Sales_Data!$X$2:$X$3520,"&lt;&gt;No Device",Sales_Data!$X$2:$X$3520,"&lt;&gt;",Sales_Data!$AE$2:$AE$3520,1)</f>
        <v>0</v>
      </c>
      <c r="Y25" s="26" t="n">
        <f aca="false">COUNTIFS(Sales_Data!$C$2:$C$3520,$A25,Sales_Data!$AD$2:$AD$3520,0,Sales_Data!$AE$2:$AE$3520,1)</f>
        <v>1</v>
      </c>
      <c r="Z25" s="26" t="n">
        <f aca="false">COUNTIFS(Sales_Data!$C$2:$C$3520,$A25,Sales_Data!$AC$2:$AC$3520,1)</f>
        <v>1</v>
      </c>
    </row>
    <row r="26" customFormat="false" ht="15" hidden="false" customHeight="false" outlineLevel="0" collapsed="false">
      <c r="A26" s="25" t="n">
        <v>46247</v>
      </c>
      <c r="B26" s="53" t="s">
        <v>202</v>
      </c>
      <c r="C26" s="26" t="n">
        <f aca="false">SUMIFS(Sales_Data!$AE$2:$AE$3520,Sales_Data!$C$2:$C$3520,$A26)</f>
        <v>25</v>
      </c>
      <c r="D26" s="26" t="n">
        <f aca="false">SUMIFS(Sales_Data!$M$2:$M$3520,Sales_Data!$C$2:$C$3520,$A26,Sales_Data!$AE$2:$AE$3520,1)</f>
        <v>8</v>
      </c>
      <c r="E26" s="26" t="n">
        <f aca="false">SUMIFS(Sales_Data!$N$2:$N$3520,Sales_Data!$C$2:$C$3520,$A26,Sales_Data!$AE$2:$AE$3520,1)</f>
        <v>19</v>
      </c>
      <c r="F26" s="26" t="n">
        <f aca="false">D26+E26</f>
        <v>27</v>
      </c>
      <c r="G26" s="28" t="n">
        <f aca="false">F26-F25</f>
        <v>7</v>
      </c>
      <c r="H26" s="29" t="n">
        <f aca="false">IF(F25=0,"-",(F26-F25)/F25)</f>
        <v>0.35</v>
      </c>
      <c r="I26" s="30" t="n">
        <f aca="false">AVERAGE(F20:F26)</f>
        <v>28.1428571428571</v>
      </c>
      <c r="J26" s="29" t="n">
        <f aca="false">IF(F19=0,"-",(F26-F19)/F19)</f>
        <v>-0.228571428571429</v>
      </c>
      <c r="K26" s="26" t="n">
        <f aca="false">SUMIFS(Sales_Data!$AF$2:$AF$3520,Sales_Data!$C$2:$C$3520,$A26)</f>
        <v>13</v>
      </c>
      <c r="L26" s="31" t="n">
        <f aca="false">IFERROR(F26/K26,0)</f>
        <v>2.07692307692308</v>
      </c>
      <c r="M26" s="26" t="n">
        <f aca="false">COUNTIFS(Sales_Data!$C$2:$C$3520,$A26,Sales_Data!$U$2:$U$3520,"Yes",Sales_Data!$AE$2:$AE$3520,1)</f>
        <v>0</v>
      </c>
      <c r="N26" s="26" t="n">
        <f aca="false">M26+COUNTIFS(Sales_Data!$C$2:$C$3520,$A26,Sales_Data!$U$2:$U$3520,"No",Sales_Data!$AE$2:$AE$3520,1)</f>
        <v>0</v>
      </c>
      <c r="O26" s="32" t="str">
        <f aca="false">IF(N26=0,"-",M26/N26)</f>
        <v>-</v>
      </c>
      <c r="P26" s="26" t="n">
        <f aca="false">COUNTIFS(Sales_Data!$C$2:$C$3520,$A26,Sales_Data!$W$2:$W$3520,"Yes",Sales_Data!$AE$2:$AE$3520,1)</f>
        <v>0</v>
      </c>
      <c r="Q26" s="26" t="n">
        <f aca="false">P26+COUNTIFS(Sales_Data!$C$2:$C$3520,$A26,Sales_Data!$W$2:$W$3520,"No",Sales_Data!$AE$2:$AE$3520,1)</f>
        <v>0</v>
      </c>
      <c r="R26" s="32" t="str">
        <f aca="false">IF(Q26=0,"-",P26/Q26)</f>
        <v>-</v>
      </c>
      <c r="S26" s="26" t="n">
        <f aca="false">SUMIFS(Sales_Data!$P$2:$P$3520,Sales_Data!$C$2:$C$3520,$A26,Sales_Data!$AE$2:$AE$3520,1)</f>
        <v>10</v>
      </c>
      <c r="T26" s="26" t="n">
        <f aca="false">SUMIFS(Sales_Data!$Q$2:$Q$3520,Sales_Data!$C$2:$C$3520,$A26,Sales_Data!$AE$2:$AE$3520,1)</f>
        <v>6</v>
      </c>
      <c r="U26" s="26" t="n">
        <f aca="false">SUMIFS(Sales_Data!$R$2:$R$3520,Sales_Data!$C$2:$C$3520,$A26,Sales_Data!$AE$2:$AE$3520,1)</f>
        <v>2</v>
      </c>
      <c r="V26" s="26" t="n">
        <f aca="false">SUMIFS(Sales_Data!$S$2:$S$3520,Sales_Data!$C$2:$C$3520,$A26,Sales_Data!$AE$2:$AE$3520,1)</f>
        <v>1</v>
      </c>
      <c r="W26" s="26" t="n">
        <f aca="false">SUMIFS(Sales_Data!$T$2:$T$3520,Sales_Data!$C$2:$C$3520,$A26,Sales_Data!$AE$2:$AE$3520,1)</f>
        <v>0</v>
      </c>
      <c r="X26" s="26" t="n">
        <f aca="false">COUNTIFS(Sales_Data!$C$2:$C$3520,$A26,Sales_Data!$X$2:$X$3520,"&lt;&gt;No Device",Sales_Data!$X$2:$X$3520,"&lt;&gt;",Sales_Data!$AE$2:$AE$3520,1)</f>
        <v>0</v>
      </c>
      <c r="Y26" s="26" t="n">
        <f aca="false">COUNTIFS(Sales_Data!$C$2:$C$3520,$A26,Sales_Data!$AD$2:$AD$3520,0,Sales_Data!$AE$2:$AE$3520,1)</f>
        <v>7</v>
      </c>
      <c r="Z26" s="26" t="n">
        <f aca="false">COUNTIFS(Sales_Data!$C$2:$C$3520,$A26,Sales_Data!$AC$2:$AC$3520,1)</f>
        <v>1</v>
      </c>
    </row>
    <row r="27" customFormat="false" ht="15" hidden="false" customHeight="false" outlineLevel="0" collapsed="false">
      <c r="A27" s="25" t="n">
        <v>46248</v>
      </c>
      <c r="B27" s="53" t="s">
        <v>288</v>
      </c>
      <c r="C27" s="26" t="n">
        <f aca="false">SUMIFS(Sales_Data!$AE$2:$AE$3520,Sales_Data!$C$2:$C$3520,$A27)</f>
        <v>7</v>
      </c>
      <c r="D27" s="26" t="n">
        <f aca="false">SUMIFS(Sales_Data!$M$2:$M$3520,Sales_Data!$C$2:$C$3520,$A27,Sales_Data!$AE$2:$AE$3520,1)</f>
        <v>3</v>
      </c>
      <c r="E27" s="26" t="n">
        <f aca="false">SUMIFS(Sales_Data!$N$2:$N$3520,Sales_Data!$C$2:$C$3520,$A27,Sales_Data!$AE$2:$AE$3520,1)</f>
        <v>4</v>
      </c>
      <c r="F27" s="26" t="n">
        <f aca="false">D27+E27</f>
        <v>7</v>
      </c>
      <c r="G27" s="28" t="n">
        <f aca="false">F27-F26</f>
        <v>-20</v>
      </c>
      <c r="H27" s="29" t="n">
        <f aca="false">IF(F26=0,"-",(F27-F26)/F26)</f>
        <v>-0.740740740740741</v>
      </c>
      <c r="I27" s="30" t="n">
        <f aca="false">AVERAGE(F21:F27)</f>
        <v>21.4285714285714</v>
      </c>
      <c r="J27" s="29" t="n">
        <f aca="false">IF(F20=0,"-",(F27-F20)/F20)</f>
        <v>-0.87037037037037</v>
      </c>
      <c r="K27" s="26" t="n">
        <f aca="false">SUMIFS(Sales_Data!$AF$2:$AF$3520,Sales_Data!$C$2:$C$3520,$A27)</f>
        <v>7</v>
      </c>
      <c r="L27" s="31" t="n">
        <f aca="false">IFERROR(F27/K27,0)</f>
        <v>1</v>
      </c>
      <c r="M27" s="26" t="n">
        <f aca="false">COUNTIFS(Sales_Data!$C$2:$C$3520,$A27,Sales_Data!$U$2:$U$3520,"Yes",Sales_Data!$AE$2:$AE$3520,1)</f>
        <v>0</v>
      </c>
      <c r="N27" s="26" t="n">
        <f aca="false">M27+COUNTIFS(Sales_Data!$C$2:$C$3520,$A27,Sales_Data!$U$2:$U$3520,"No",Sales_Data!$AE$2:$AE$3520,1)</f>
        <v>0</v>
      </c>
      <c r="O27" s="32" t="str">
        <f aca="false">IF(N27=0,"-",M27/N27)</f>
        <v>-</v>
      </c>
      <c r="P27" s="26" t="n">
        <f aca="false">COUNTIFS(Sales_Data!$C$2:$C$3520,$A27,Sales_Data!$W$2:$W$3520,"Yes",Sales_Data!$AE$2:$AE$3520,1)</f>
        <v>0</v>
      </c>
      <c r="Q27" s="26" t="n">
        <f aca="false">P27+COUNTIFS(Sales_Data!$C$2:$C$3520,$A27,Sales_Data!$W$2:$W$3520,"No",Sales_Data!$AE$2:$AE$3520,1)</f>
        <v>0</v>
      </c>
      <c r="R27" s="32" t="str">
        <f aca="false">IF(Q27=0,"-",P27/Q27)</f>
        <v>-</v>
      </c>
      <c r="S27" s="26" t="n">
        <f aca="false">SUMIFS(Sales_Data!$P$2:$P$3520,Sales_Data!$C$2:$C$3520,$A27,Sales_Data!$AE$2:$AE$3520,1)</f>
        <v>3</v>
      </c>
      <c r="T27" s="26" t="n">
        <f aca="false">SUMIFS(Sales_Data!$Q$2:$Q$3520,Sales_Data!$C$2:$C$3520,$A27,Sales_Data!$AE$2:$AE$3520,1)</f>
        <v>0</v>
      </c>
      <c r="U27" s="26" t="n">
        <f aca="false">SUMIFS(Sales_Data!$R$2:$R$3520,Sales_Data!$C$2:$C$3520,$A27,Sales_Data!$AE$2:$AE$3520,1)</f>
        <v>1</v>
      </c>
      <c r="V27" s="26" t="n">
        <f aca="false">SUMIFS(Sales_Data!$S$2:$S$3520,Sales_Data!$C$2:$C$3520,$A27,Sales_Data!$AE$2:$AE$3520,1)</f>
        <v>0</v>
      </c>
      <c r="W27" s="26" t="n">
        <f aca="false">SUMIFS(Sales_Data!$T$2:$T$3520,Sales_Data!$C$2:$C$3520,$A27,Sales_Data!$AE$2:$AE$3520,1)</f>
        <v>0</v>
      </c>
      <c r="X27" s="26" t="n">
        <f aca="false">COUNTIFS(Sales_Data!$C$2:$C$3520,$A27,Sales_Data!$X$2:$X$3520,"&lt;&gt;No Device",Sales_Data!$X$2:$X$3520,"&lt;&gt;",Sales_Data!$AE$2:$AE$3520,1)</f>
        <v>0</v>
      </c>
      <c r="Y27" s="26" t="n">
        <f aca="false">COUNTIFS(Sales_Data!$C$2:$C$3520,$A27,Sales_Data!$AD$2:$AD$3520,0,Sales_Data!$AE$2:$AE$3520,1)</f>
        <v>1</v>
      </c>
      <c r="Z27" s="26" t="n">
        <f aca="false">COUNTIFS(Sales_Data!$C$2:$C$3520,$A27,Sales_Data!$AC$2:$AC$3520,1)</f>
        <v>0</v>
      </c>
    </row>
    <row r="28" customFormat="false" ht="15" hidden="false" customHeight="false" outlineLevel="0" collapsed="false">
      <c r="A28" s="25" t="n">
        <v>46249</v>
      </c>
      <c r="B28" s="53" t="s">
        <v>358</v>
      </c>
      <c r="C28" s="26" t="n">
        <f aca="false">SUMIFS(Sales_Data!$AE$2:$AE$3520,Sales_Data!$C$2:$C$3520,$A28)</f>
        <v>24</v>
      </c>
      <c r="D28" s="26" t="n">
        <f aca="false">SUMIFS(Sales_Data!$M$2:$M$3520,Sales_Data!$C$2:$C$3520,$A28,Sales_Data!$AE$2:$AE$3520,1)</f>
        <v>12</v>
      </c>
      <c r="E28" s="26" t="n">
        <f aca="false">SUMIFS(Sales_Data!$N$2:$N$3520,Sales_Data!$C$2:$C$3520,$A28,Sales_Data!$AE$2:$AE$3520,1)</f>
        <v>17</v>
      </c>
      <c r="F28" s="26" t="n">
        <f aca="false">D28+E28</f>
        <v>29</v>
      </c>
      <c r="G28" s="28" t="n">
        <f aca="false">F28-F27</f>
        <v>22</v>
      </c>
      <c r="H28" s="29" t="n">
        <f aca="false">IF(F27=0,"-",(F28-F27)/F27)</f>
        <v>3.14285714285714</v>
      </c>
      <c r="I28" s="30" t="n">
        <f aca="false">AVERAGE(F22:F28)</f>
        <v>21.4285714285714</v>
      </c>
      <c r="J28" s="29" t="n">
        <f aca="false">IF(F21=0,"-",(F28-F21)/F21)</f>
        <v>0</v>
      </c>
      <c r="K28" s="26" t="n">
        <f aca="false">SUMIFS(Sales_Data!$AF$2:$AF$3520,Sales_Data!$C$2:$C$3520,$A28)</f>
        <v>18</v>
      </c>
      <c r="L28" s="31" t="n">
        <f aca="false">IFERROR(F28/K28,0)</f>
        <v>1.61111111111111</v>
      </c>
      <c r="M28" s="26" t="n">
        <f aca="false">COUNTIFS(Sales_Data!$C$2:$C$3520,$A28,Sales_Data!$U$2:$U$3520,"Yes",Sales_Data!$AE$2:$AE$3520,1)</f>
        <v>0</v>
      </c>
      <c r="N28" s="26" t="n">
        <f aca="false">M28+COUNTIFS(Sales_Data!$C$2:$C$3520,$A28,Sales_Data!$U$2:$U$3520,"No",Sales_Data!$AE$2:$AE$3520,1)</f>
        <v>0</v>
      </c>
      <c r="O28" s="32" t="str">
        <f aca="false">IF(N28=0,"-",M28/N28)</f>
        <v>-</v>
      </c>
      <c r="P28" s="26" t="n">
        <f aca="false">COUNTIFS(Sales_Data!$C$2:$C$3520,$A28,Sales_Data!$W$2:$W$3520,"Yes",Sales_Data!$AE$2:$AE$3520,1)</f>
        <v>0</v>
      </c>
      <c r="Q28" s="26" t="n">
        <f aca="false">P28+COUNTIFS(Sales_Data!$C$2:$C$3520,$A28,Sales_Data!$W$2:$W$3520,"No",Sales_Data!$AE$2:$AE$3520,1)</f>
        <v>0</v>
      </c>
      <c r="R28" s="32" t="str">
        <f aca="false">IF(Q28=0,"-",P28/Q28)</f>
        <v>-</v>
      </c>
      <c r="S28" s="26" t="n">
        <f aca="false">SUMIFS(Sales_Data!$P$2:$P$3520,Sales_Data!$C$2:$C$3520,$A28,Sales_Data!$AE$2:$AE$3520,1)</f>
        <v>9</v>
      </c>
      <c r="T28" s="26" t="n">
        <f aca="false">SUMIFS(Sales_Data!$Q$2:$Q$3520,Sales_Data!$C$2:$C$3520,$A28,Sales_Data!$AE$2:$AE$3520,1)</f>
        <v>4</v>
      </c>
      <c r="U28" s="26" t="n">
        <f aca="false">SUMIFS(Sales_Data!$R$2:$R$3520,Sales_Data!$C$2:$C$3520,$A28,Sales_Data!$AE$2:$AE$3520,1)</f>
        <v>2</v>
      </c>
      <c r="V28" s="26" t="n">
        <f aca="false">SUMIFS(Sales_Data!$S$2:$S$3520,Sales_Data!$C$2:$C$3520,$A28,Sales_Data!$AE$2:$AE$3520,1)</f>
        <v>1</v>
      </c>
      <c r="W28" s="26" t="n">
        <f aca="false">SUMIFS(Sales_Data!$T$2:$T$3520,Sales_Data!$C$2:$C$3520,$A28,Sales_Data!$AE$2:$AE$3520,1)</f>
        <v>1</v>
      </c>
      <c r="X28" s="26" t="n">
        <f aca="false">COUNTIFS(Sales_Data!$C$2:$C$3520,$A28,Sales_Data!$X$2:$X$3520,"&lt;&gt;No Device",Sales_Data!$X$2:$X$3520,"&lt;&gt;",Sales_Data!$AE$2:$AE$3520,1)</f>
        <v>0</v>
      </c>
      <c r="Y28" s="26" t="n">
        <f aca="false">COUNTIFS(Sales_Data!$C$2:$C$3520,$A28,Sales_Data!$AD$2:$AD$3520,0,Sales_Data!$AE$2:$AE$3520,1)</f>
        <v>6</v>
      </c>
      <c r="Z28" s="26" t="n">
        <f aca="false">COUNTIFS(Sales_Data!$C$2:$C$3520,$A28,Sales_Data!$AC$2:$AC$3520,1)</f>
        <v>0</v>
      </c>
    </row>
    <row r="29" customFormat="false" ht="15" hidden="false" customHeight="false" outlineLevel="0" collapsed="false">
      <c r="A29" s="25" t="n">
        <v>46250</v>
      </c>
      <c r="B29" s="53" t="s">
        <v>393</v>
      </c>
      <c r="C29" s="26" t="n">
        <f aca="false">SUMIFS(Sales_Data!$AE$2:$AE$3520,Sales_Data!$C$2:$C$3520,$A29)</f>
        <v>27</v>
      </c>
      <c r="D29" s="26" t="n">
        <f aca="false">SUMIFS(Sales_Data!$M$2:$M$3520,Sales_Data!$C$2:$C$3520,$A29,Sales_Data!$AE$2:$AE$3520,1)</f>
        <v>8</v>
      </c>
      <c r="E29" s="26" t="n">
        <f aca="false">SUMIFS(Sales_Data!$N$2:$N$3520,Sales_Data!$C$2:$C$3520,$A29,Sales_Data!$AE$2:$AE$3520,1)</f>
        <v>20</v>
      </c>
      <c r="F29" s="26" t="n">
        <f aca="false">D29+E29</f>
        <v>28</v>
      </c>
      <c r="G29" s="28" t="n">
        <f aca="false">F29-F28</f>
        <v>-1</v>
      </c>
      <c r="H29" s="29" t="n">
        <f aca="false">IF(F28=0,"-",(F29-F28)/F28)</f>
        <v>-0.0344827586206897</v>
      </c>
      <c r="I29" s="30" t="n">
        <f aca="false">AVERAGE(F23:F29)</f>
        <v>22.2857142857143</v>
      </c>
      <c r="J29" s="29" t="n">
        <f aca="false">IF(F22=0,"-",(F29-F22)/F22)</f>
        <v>0.272727272727273</v>
      </c>
      <c r="K29" s="26" t="n">
        <f aca="false">SUMIFS(Sales_Data!$AF$2:$AF$3520,Sales_Data!$C$2:$C$3520,$A29)</f>
        <v>17</v>
      </c>
      <c r="L29" s="31" t="n">
        <f aca="false">IFERROR(F29/K29,0)</f>
        <v>1.64705882352941</v>
      </c>
      <c r="M29" s="26" t="n">
        <f aca="false">COUNTIFS(Sales_Data!$C$2:$C$3520,$A29,Sales_Data!$U$2:$U$3520,"Yes",Sales_Data!$AE$2:$AE$3520,1)</f>
        <v>0</v>
      </c>
      <c r="N29" s="26" t="n">
        <f aca="false">M29+COUNTIFS(Sales_Data!$C$2:$C$3520,$A29,Sales_Data!$U$2:$U$3520,"No",Sales_Data!$AE$2:$AE$3520,1)</f>
        <v>0</v>
      </c>
      <c r="O29" s="32" t="str">
        <f aca="false">IF(N29=0,"-",M29/N29)</f>
        <v>-</v>
      </c>
      <c r="P29" s="26" t="n">
        <f aca="false">COUNTIFS(Sales_Data!$C$2:$C$3520,$A29,Sales_Data!$W$2:$W$3520,"Yes",Sales_Data!$AE$2:$AE$3520,1)</f>
        <v>0</v>
      </c>
      <c r="Q29" s="26" t="n">
        <f aca="false">P29+COUNTIFS(Sales_Data!$C$2:$C$3520,$A29,Sales_Data!$W$2:$W$3520,"No",Sales_Data!$AE$2:$AE$3520,1)</f>
        <v>0</v>
      </c>
      <c r="R29" s="32" t="str">
        <f aca="false">IF(Q29=0,"-",P29/Q29)</f>
        <v>-</v>
      </c>
      <c r="S29" s="26" t="n">
        <f aca="false">SUMIFS(Sales_Data!$P$2:$P$3520,Sales_Data!$C$2:$C$3520,$A29,Sales_Data!$AE$2:$AE$3520,1)</f>
        <v>11</v>
      </c>
      <c r="T29" s="26" t="n">
        <f aca="false">SUMIFS(Sales_Data!$Q$2:$Q$3520,Sales_Data!$C$2:$C$3520,$A29,Sales_Data!$AE$2:$AE$3520,1)</f>
        <v>3</v>
      </c>
      <c r="U29" s="26" t="n">
        <f aca="false">SUMIFS(Sales_Data!$R$2:$R$3520,Sales_Data!$C$2:$C$3520,$A29,Sales_Data!$AE$2:$AE$3520,1)</f>
        <v>2</v>
      </c>
      <c r="V29" s="26" t="n">
        <f aca="false">SUMIFS(Sales_Data!$S$2:$S$3520,Sales_Data!$C$2:$C$3520,$A29,Sales_Data!$AE$2:$AE$3520,1)</f>
        <v>3</v>
      </c>
      <c r="W29" s="26" t="n">
        <f aca="false">SUMIFS(Sales_Data!$T$2:$T$3520,Sales_Data!$C$2:$C$3520,$A29,Sales_Data!$AE$2:$AE$3520,1)</f>
        <v>1</v>
      </c>
      <c r="X29" s="26" t="n">
        <f aca="false">COUNTIFS(Sales_Data!$C$2:$C$3520,$A29,Sales_Data!$X$2:$X$3520,"&lt;&gt;No Device",Sales_Data!$X$2:$X$3520,"&lt;&gt;",Sales_Data!$AE$2:$AE$3520,1)</f>
        <v>0</v>
      </c>
      <c r="Y29" s="26" t="n">
        <f aca="false">COUNTIFS(Sales_Data!$C$2:$C$3520,$A29,Sales_Data!$AD$2:$AD$3520,0,Sales_Data!$AE$2:$AE$3520,1)</f>
        <v>7</v>
      </c>
      <c r="Z29" s="26" t="n">
        <f aca="false">COUNTIFS(Sales_Data!$C$2:$C$3520,$A29,Sales_Data!$AC$2:$AC$3520,1)</f>
        <v>0</v>
      </c>
    </row>
    <row r="30" customFormat="false" ht="15" hidden="false" customHeight="false" outlineLevel="0" collapsed="false">
      <c r="A30" s="25" t="n">
        <v>46251</v>
      </c>
      <c r="B30" s="53" t="s">
        <v>429</v>
      </c>
      <c r="C30" s="26" t="n">
        <f aca="false">SUMIFS(Sales_Data!$AE$2:$AE$3520,Sales_Data!$C$2:$C$3520,$A30)</f>
        <v>22</v>
      </c>
      <c r="D30" s="26" t="n">
        <f aca="false">SUMIFS(Sales_Data!$M$2:$M$3520,Sales_Data!$C$2:$C$3520,$A30,Sales_Data!$AE$2:$AE$3520,1)</f>
        <v>3</v>
      </c>
      <c r="E30" s="26" t="n">
        <f aca="false">SUMIFS(Sales_Data!$N$2:$N$3520,Sales_Data!$C$2:$C$3520,$A30,Sales_Data!$AE$2:$AE$3520,1)</f>
        <v>21</v>
      </c>
      <c r="F30" s="26" t="n">
        <f aca="false">D30+E30</f>
        <v>24</v>
      </c>
      <c r="G30" s="28" t="n">
        <f aca="false">F30-F29</f>
        <v>-4</v>
      </c>
      <c r="H30" s="29" t="n">
        <f aca="false">IF(F29=0,"-",(F30-F29)/F29)</f>
        <v>-0.142857142857143</v>
      </c>
      <c r="I30" s="30" t="n">
        <f aca="false">AVERAGE(F24:F30)</f>
        <v>21.5714285714286</v>
      </c>
      <c r="J30" s="29" t="n">
        <f aca="false">IF(F23=0,"-",(F30-F23)/F23)</f>
        <v>-0.172413793103448</v>
      </c>
      <c r="K30" s="26" t="n">
        <f aca="false">SUMIFS(Sales_Data!$AF$2:$AF$3520,Sales_Data!$C$2:$C$3520,$A30)</f>
        <v>15</v>
      </c>
      <c r="L30" s="31" t="n">
        <f aca="false">IFERROR(F30/K30,0)</f>
        <v>1.6</v>
      </c>
      <c r="M30" s="26" t="n">
        <f aca="false">COUNTIFS(Sales_Data!$C$2:$C$3520,$A30,Sales_Data!$U$2:$U$3520,"Yes",Sales_Data!$AE$2:$AE$3520,1)</f>
        <v>0</v>
      </c>
      <c r="N30" s="26" t="n">
        <f aca="false">M30+COUNTIFS(Sales_Data!$C$2:$C$3520,$A30,Sales_Data!$U$2:$U$3520,"No",Sales_Data!$AE$2:$AE$3520,1)</f>
        <v>0</v>
      </c>
      <c r="O30" s="32" t="str">
        <f aca="false">IF(N30=0,"-",M30/N30)</f>
        <v>-</v>
      </c>
      <c r="P30" s="26" t="n">
        <f aca="false">COUNTIFS(Sales_Data!$C$2:$C$3520,$A30,Sales_Data!$W$2:$W$3520,"Yes",Sales_Data!$AE$2:$AE$3520,1)</f>
        <v>0</v>
      </c>
      <c r="Q30" s="26" t="n">
        <f aca="false">P30+COUNTIFS(Sales_Data!$C$2:$C$3520,$A30,Sales_Data!$W$2:$W$3520,"No",Sales_Data!$AE$2:$AE$3520,1)</f>
        <v>0</v>
      </c>
      <c r="R30" s="32" t="str">
        <f aca="false">IF(Q30=0,"-",P30/Q30)</f>
        <v>-</v>
      </c>
      <c r="S30" s="26" t="n">
        <f aca="false">SUMIFS(Sales_Data!$P$2:$P$3520,Sales_Data!$C$2:$C$3520,$A30,Sales_Data!$AE$2:$AE$3520,1)</f>
        <v>9</v>
      </c>
      <c r="T30" s="26" t="n">
        <f aca="false">SUMIFS(Sales_Data!$Q$2:$Q$3520,Sales_Data!$C$2:$C$3520,$A30,Sales_Data!$AE$2:$AE$3520,1)</f>
        <v>5</v>
      </c>
      <c r="U30" s="26" t="n">
        <f aca="false">SUMIFS(Sales_Data!$R$2:$R$3520,Sales_Data!$C$2:$C$3520,$A30,Sales_Data!$AE$2:$AE$3520,1)</f>
        <v>5</v>
      </c>
      <c r="V30" s="26" t="n">
        <f aca="false">SUMIFS(Sales_Data!$S$2:$S$3520,Sales_Data!$C$2:$C$3520,$A30,Sales_Data!$AE$2:$AE$3520,1)</f>
        <v>2</v>
      </c>
      <c r="W30" s="26" t="n">
        <f aca="false">SUMIFS(Sales_Data!$T$2:$T$3520,Sales_Data!$C$2:$C$3520,$A30,Sales_Data!$AE$2:$AE$3520,1)</f>
        <v>0</v>
      </c>
      <c r="X30" s="26" t="n">
        <f aca="false">COUNTIFS(Sales_Data!$C$2:$C$3520,$A30,Sales_Data!$X$2:$X$3520,"&lt;&gt;No Device",Sales_Data!$X$2:$X$3520,"&lt;&gt;",Sales_Data!$AE$2:$AE$3520,1)</f>
        <v>0</v>
      </c>
      <c r="Y30" s="26" t="n">
        <f aca="false">COUNTIFS(Sales_Data!$C$2:$C$3520,$A30,Sales_Data!$AD$2:$AD$3520,0,Sales_Data!$AE$2:$AE$3520,1)</f>
        <v>0</v>
      </c>
      <c r="Z30" s="26" t="n">
        <f aca="false">COUNTIFS(Sales_Data!$C$2:$C$3520,$A30,Sales_Data!$AC$2:$AC$3520,1)</f>
        <v>0</v>
      </c>
    </row>
    <row r="31" customFormat="false" ht="15" hidden="false" customHeight="false" outlineLevel="0" collapsed="false">
      <c r="A31" s="25" t="n">
        <v>46252</v>
      </c>
      <c r="B31" s="53" t="s">
        <v>501</v>
      </c>
      <c r="C31" s="26" t="n">
        <f aca="false">SUMIFS(Sales_Data!$AE$2:$AE$3520,Sales_Data!$C$2:$C$3520,$A31)</f>
        <v>15</v>
      </c>
      <c r="D31" s="26" t="n">
        <f aca="false">SUMIFS(Sales_Data!$M$2:$M$3520,Sales_Data!$C$2:$C$3520,$A31,Sales_Data!$AE$2:$AE$3520,1)</f>
        <v>8</v>
      </c>
      <c r="E31" s="26" t="n">
        <f aca="false">SUMIFS(Sales_Data!$N$2:$N$3520,Sales_Data!$C$2:$C$3520,$A31,Sales_Data!$AE$2:$AE$3520,1)</f>
        <v>11</v>
      </c>
      <c r="F31" s="26" t="n">
        <f aca="false">D31+E31</f>
        <v>19</v>
      </c>
      <c r="G31" s="28" t="n">
        <f aca="false">F31-F30</f>
        <v>-5</v>
      </c>
      <c r="H31" s="29" t="n">
        <f aca="false">IF(F30=0,"-",(F31-F30)/F30)</f>
        <v>-0.208333333333333</v>
      </c>
      <c r="I31" s="30" t="n">
        <f aca="false">AVERAGE(F25:F31)</f>
        <v>22</v>
      </c>
      <c r="J31" s="29" t="n">
        <f aca="false">IF(F24=0,"-",(F31-F24)/F24)</f>
        <v>0.1875</v>
      </c>
      <c r="K31" s="26" t="n">
        <f aca="false">SUMIFS(Sales_Data!$AF$2:$AF$3520,Sales_Data!$C$2:$C$3520,$A31)</f>
        <v>9</v>
      </c>
      <c r="L31" s="31" t="n">
        <f aca="false">IFERROR(F31/K31,0)</f>
        <v>2.11111111111111</v>
      </c>
      <c r="M31" s="26" t="n">
        <f aca="false">COUNTIFS(Sales_Data!$C$2:$C$3520,$A31,Sales_Data!$U$2:$U$3520,"Yes",Sales_Data!$AE$2:$AE$3520,1)</f>
        <v>0</v>
      </c>
      <c r="N31" s="26" t="n">
        <f aca="false">M31+COUNTIFS(Sales_Data!$C$2:$C$3520,$A31,Sales_Data!$U$2:$U$3520,"No",Sales_Data!$AE$2:$AE$3520,1)</f>
        <v>0</v>
      </c>
      <c r="O31" s="32" t="str">
        <f aca="false">IF(N31=0,"-",M31/N31)</f>
        <v>-</v>
      </c>
      <c r="P31" s="26" t="n">
        <f aca="false">COUNTIFS(Sales_Data!$C$2:$C$3520,$A31,Sales_Data!$W$2:$W$3520,"Yes",Sales_Data!$AE$2:$AE$3520,1)</f>
        <v>0</v>
      </c>
      <c r="Q31" s="26" t="n">
        <f aca="false">P31+COUNTIFS(Sales_Data!$C$2:$C$3520,$A31,Sales_Data!$W$2:$W$3520,"No",Sales_Data!$AE$2:$AE$3520,1)</f>
        <v>0</v>
      </c>
      <c r="R31" s="32" t="str">
        <f aca="false">IF(Q31=0,"-",P31/Q31)</f>
        <v>-</v>
      </c>
      <c r="S31" s="26" t="n">
        <f aca="false">SUMIFS(Sales_Data!$P$2:$P$3520,Sales_Data!$C$2:$C$3520,$A31,Sales_Data!$AE$2:$AE$3520,1)</f>
        <v>4</v>
      </c>
      <c r="T31" s="26" t="n">
        <f aca="false">SUMIFS(Sales_Data!$Q$2:$Q$3520,Sales_Data!$C$2:$C$3520,$A31,Sales_Data!$AE$2:$AE$3520,1)</f>
        <v>4</v>
      </c>
      <c r="U31" s="26" t="n">
        <f aca="false">SUMIFS(Sales_Data!$R$2:$R$3520,Sales_Data!$C$2:$C$3520,$A31,Sales_Data!$AE$2:$AE$3520,1)</f>
        <v>3</v>
      </c>
      <c r="V31" s="26" t="n">
        <f aca="false">SUMIFS(Sales_Data!$S$2:$S$3520,Sales_Data!$C$2:$C$3520,$A31,Sales_Data!$AE$2:$AE$3520,1)</f>
        <v>0</v>
      </c>
      <c r="W31" s="26" t="n">
        <f aca="false">SUMIFS(Sales_Data!$T$2:$T$3520,Sales_Data!$C$2:$C$3520,$A31,Sales_Data!$AE$2:$AE$3520,1)</f>
        <v>0</v>
      </c>
      <c r="X31" s="26" t="n">
        <f aca="false">COUNTIFS(Sales_Data!$C$2:$C$3520,$A31,Sales_Data!$X$2:$X$3520,"&lt;&gt;No Device",Sales_Data!$X$2:$X$3520,"&lt;&gt;",Sales_Data!$AE$2:$AE$3520,1)</f>
        <v>0</v>
      </c>
      <c r="Y31" s="26" t="n">
        <f aca="false">COUNTIFS(Sales_Data!$C$2:$C$3520,$A31,Sales_Data!$AD$2:$AD$3520,0,Sales_Data!$AE$2:$AE$3520,1)</f>
        <v>2</v>
      </c>
      <c r="Z31" s="26" t="n">
        <f aca="false">COUNTIFS(Sales_Data!$C$2:$C$3520,$A31,Sales_Data!$AC$2:$AC$3520,1)</f>
        <v>0</v>
      </c>
    </row>
    <row r="32" customFormat="false" ht="15" hidden="false" customHeight="false" outlineLevel="0" collapsed="false">
      <c r="A32" s="25" t="n">
        <v>46253</v>
      </c>
      <c r="B32" s="53" t="s">
        <v>143</v>
      </c>
      <c r="C32" s="26" t="n">
        <f aca="false">SUMIFS(Sales_Data!$AE$2:$AE$3520,Sales_Data!$C$2:$C$3520,$A32)</f>
        <v>21</v>
      </c>
      <c r="D32" s="26" t="n">
        <f aca="false">SUMIFS(Sales_Data!$M$2:$M$3520,Sales_Data!$C$2:$C$3520,$A32,Sales_Data!$AE$2:$AE$3520,1)</f>
        <v>9</v>
      </c>
      <c r="E32" s="26" t="n">
        <f aca="false">SUMIFS(Sales_Data!$N$2:$N$3520,Sales_Data!$C$2:$C$3520,$A32,Sales_Data!$AE$2:$AE$3520,1)</f>
        <v>17</v>
      </c>
      <c r="F32" s="26" t="n">
        <f aca="false">D32+E32</f>
        <v>26</v>
      </c>
      <c r="G32" s="28" t="n">
        <f aca="false">F32-F31</f>
        <v>7</v>
      </c>
      <c r="H32" s="29" t="n">
        <f aca="false">IF(F31=0,"-",(F32-F31)/F31)</f>
        <v>0.368421052631579</v>
      </c>
      <c r="I32" s="30" t="n">
        <f aca="false">AVERAGE(F26:F32)</f>
        <v>22.8571428571429</v>
      </c>
      <c r="J32" s="29" t="n">
        <f aca="false">IF(F25=0,"-",(F32-F25)/F25)</f>
        <v>0.3</v>
      </c>
      <c r="K32" s="26" t="n">
        <f aca="false">SUMIFS(Sales_Data!$AF$2:$AF$3520,Sales_Data!$C$2:$C$3520,$A32)</f>
        <v>10</v>
      </c>
      <c r="L32" s="31" t="n">
        <f aca="false">IFERROR(F32/K32,0)</f>
        <v>2.6</v>
      </c>
      <c r="M32" s="26" t="n">
        <f aca="false">COUNTIFS(Sales_Data!$C$2:$C$3520,$A32,Sales_Data!$U$2:$U$3520,"Yes",Sales_Data!$AE$2:$AE$3520,1)</f>
        <v>0</v>
      </c>
      <c r="N32" s="26" t="n">
        <f aca="false">M32+COUNTIFS(Sales_Data!$C$2:$C$3520,$A32,Sales_Data!$U$2:$U$3520,"No",Sales_Data!$AE$2:$AE$3520,1)</f>
        <v>0</v>
      </c>
      <c r="O32" s="32" t="str">
        <f aca="false">IF(N32=0,"-",M32/N32)</f>
        <v>-</v>
      </c>
      <c r="P32" s="26" t="n">
        <f aca="false">COUNTIFS(Sales_Data!$C$2:$C$3520,$A32,Sales_Data!$W$2:$W$3520,"Yes",Sales_Data!$AE$2:$AE$3520,1)</f>
        <v>0</v>
      </c>
      <c r="Q32" s="26" t="n">
        <f aca="false">P32+COUNTIFS(Sales_Data!$C$2:$C$3520,$A32,Sales_Data!$W$2:$W$3520,"No",Sales_Data!$AE$2:$AE$3520,1)</f>
        <v>0</v>
      </c>
      <c r="R32" s="32" t="str">
        <f aca="false">IF(Q32=0,"-",P32/Q32)</f>
        <v>-</v>
      </c>
      <c r="S32" s="26" t="n">
        <f aca="false">SUMIFS(Sales_Data!$P$2:$P$3520,Sales_Data!$C$2:$C$3520,$A32,Sales_Data!$AE$2:$AE$3520,1)</f>
        <v>11</v>
      </c>
      <c r="T32" s="26" t="n">
        <f aca="false">SUMIFS(Sales_Data!$Q$2:$Q$3520,Sales_Data!$C$2:$C$3520,$A32,Sales_Data!$AE$2:$AE$3520,1)</f>
        <v>5</v>
      </c>
      <c r="U32" s="26" t="n">
        <f aca="false">SUMIFS(Sales_Data!$R$2:$R$3520,Sales_Data!$C$2:$C$3520,$A32,Sales_Data!$AE$2:$AE$3520,1)</f>
        <v>1</v>
      </c>
      <c r="V32" s="26" t="n">
        <f aca="false">SUMIFS(Sales_Data!$S$2:$S$3520,Sales_Data!$C$2:$C$3520,$A32,Sales_Data!$AE$2:$AE$3520,1)</f>
        <v>0</v>
      </c>
      <c r="W32" s="26" t="n">
        <f aca="false">SUMIFS(Sales_Data!$T$2:$T$3520,Sales_Data!$C$2:$C$3520,$A32,Sales_Data!$AE$2:$AE$3520,1)</f>
        <v>0</v>
      </c>
      <c r="X32" s="26" t="n">
        <f aca="false">COUNTIFS(Sales_Data!$C$2:$C$3520,$A32,Sales_Data!$X$2:$X$3520,"&lt;&gt;No Device",Sales_Data!$X$2:$X$3520,"&lt;&gt;",Sales_Data!$AE$2:$AE$3520,1)</f>
        <v>0</v>
      </c>
      <c r="Y32" s="26" t="n">
        <f aca="false">COUNTIFS(Sales_Data!$C$2:$C$3520,$A32,Sales_Data!$AD$2:$AD$3520,0,Sales_Data!$AE$2:$AE$3520,1)</f>
        <v>1</v>
      </c>
      <c r="Z32" s="26" t="n">
        <f aca="false">COUNTIFS(Sales_Data!$C$2:$C$3520,$A32,Sales_Data!$AC$2:$AC$3520,1)</f>
        <v>2</v>
      </c>
    </row>
    <row r="33" customFormat="false" ht="15" hidden="false" customHeight="false" outlineLevel="0" collapsed="false">
      <c r="A33" s="25" t="n">
        <v>46254</v>
      </c>
      <c r="B33" s="53" t="s">
        <v>202</v>
      </c>
      <c r="C33" s="26" t="n">
        <f aca="false">SUMIFS(Sales_Data!$AE$2:$AE$3520,Sales_Data!$C$2:$C$3520,$A33)</f>
        <v>17</v>
      </c>
      <c r="D33" s="26" t="n">
        <f aca="false">SUMIFS(Sales_Data!$M$2:$M$3520,Sales_Data!$C$2:$C$3520,$A33,Sales_Data!$AE$2:$AE$3520,1)</f>
        <v>10</v>
      </c>
      <c r="E33" s="26" t="n">
        <f aca="false">SUMIFS(Sales_Data!$N$2:$N$3520,Sales_Data!$C$2:$C$3520,$A33,Sales_Data!$AE$2:$AE$3520,1)</f>
        <v>7</v>
      </c>
      <c r="F33" s="26" t="n">
        <f aca="false">D33+E33</f>
        <v>17</v>
      </c>
      <c r="G33" s="28" t="n">
        <f aca="false">F33-F32</f>
        <v>-9</v>
      </c>
      <c r="H33" s="29" t="n">
        <f aca="false">IF(F32=0,"-",(F33-F32)/F32)</f>
        <v>-0.346153846153846</v>
      </c>
      <c r="I33" s="30" t="n">
        <f aca="false">AVERAGE(F27:F33)</f>
        <v>21.4285714285714</v>
      </c>
      <c r="J33" s="29" t="n">
        <f aca="false">IF(F26=0,"-",(F33-F26)/F26)</f>
        <v>-0.37037037037037</v>
      </c>
      <c r="K33" s="26" t="n">
        <f aca="false">SUMIFS(Sales_Data!$AF$2:$AF$3520,Sales_Data!$C$2:$C$3520,$A33)</f>
        <v>10</v>
      </c>
      <c r="L33" s="31" t="n">
        <f aca="false">IFERROR(F33/K33,0)</f>
        <v>1.7</v>
      </c>
      <c r="M33" s="26" t="n">
        <f aca="false">COUNTIFS(Sales_Data!$C$2:$C$3520,$A33,Sales_Data!$U$2:$U$3520,"Yes",Sales_Data!$AE$2:$AE$3520,1)</f>
        <v>0</v>
      </c>
      <c r="N33" s="26" t="n">
        <f aca="false">M33+COUNTIFS(Sales_Data!$C$2:$C$3520,$A33,Sales_Data!$U$2:$U$3520,"No",Sales_Data!$AE$2:$AE$3520,1)</f>
        <v>0</v>
      </c>
      <c r="O33" s="32" t="str">
        <f aca="false">IF(N33=0,"-",M33/N33)</f>
        <v>-</v>
      </c>
      <c r="P33" s="26" t="n">
        <f aca="false">COUNTIFS(Sales_Data!$C$2:$C$3520,$A33,Sales_Data!$W$2:$W$3520,"Yes",Sales_Data!$AE$2:$AE$3520,1)</f>
        <v>0</v>
      </c>
      <c r="Q33" s="26" t="n">
        <f aca="false">P33+COUNTIFS(Sales_Data!$C$2:$C$3520,$A33,Sales_Data!$W$2:$W$3520,"No",Sales_Data!$AE$2:$AE$3520,1)</f>
        <v>0</v>
      </c>
      <c r="R33" s="32" t="str">
        <f aca="false">IF(Q33=0,"-",P33/Q33)</f>
        <v>-</v>
      </c>
      <c r="S33" s="26" t="n">
        <f aca="false">SUMIFS(Sales_Data!$P$2:$P$3520,Sales_Data!$C$2:$C$3520,$A33,Sales_Data!$AE$2:$AE$3520,1)</f>
        <v>4</v>
      </c>
      <c r="T33" s="26" t="n">
        <f aca="false">SUMIFS(Sales_Data!$Q$2:$Q$3520,Sales_Data!$C$2:$C$3520,$A33,Sales_Data!$AE$2:$AE$3520,1)</f>
        <v>2</v>
      </c>
      <c r="U33" s="26" t="n">
        <f aca="false">SUMIFS(Sales_Data!$R$2:$R$3520,Sales_Data!$C$2:$C$3520,$A33,Sales_Data!$AE$2:$AE$3520,1)</f>
        <v>1</v>
      </c>
      <c r="V33" s="26" t="n">
        <f aca="false">SUMIFS(Sales_Data!$S$2:$S$3520,Sales_Data!$C$2:$C$3520,$A33,Sales_Data!$AE$2:$AE$3520,1)</f>
        <v>0</v>
      </c>
      <c r="W33" s="26" t="n">
        <f aca="false">SUMIFS(Sales_Data!$T$2:$T$3520,Sales_Data!$C$2:$C$3520,$A33,Sales_Data!$AE$2:$AE$3520,1)</f>
        <v>0</v>
      </c>
      <c r="X33" s="26" t="n">
        <f aca="false">COUNTIFS(Sales_Data!$C$2:$C$3520,$A33,Sales_Data!$X$2:$X$3520,"&lt;&gt;No Device",Sales_Data!$X$2:$X$3520,"&lt;&gt;",Sales_Data!$AE$2:$AE$3520,1)</f>
        <v>0</v>
      </c>
      <c r="Y33" s="26" t="n">
        <f aca="false">COUNTIFS(Sales_Data!$C$2:$C$3520,$A33,Sales_Data!$AD$2:$AD$3520,0,Sales_Data!$AE$2:$AE$3520,1)</f>
        <v>4</v>
      </c>
      <c r="Z33" s="26" t="n">
        <f aca="false">COUNTIFS(Sales_Data!$C$2:$C$3520,$A33,Sales_Data!$AC$2:$AC$3520,1)</f>
        <v>1</v>
      </c>
    </row>
    <row r="34" customFormat="false" ht="15" hidden="false" customHeight="false" outlineLevel="0" collapsed="false">
      <c r="A34" s="25" t="n">
        <v>46255</v>
      </c>
      <c r="B34" s="53" t="s">
        <v>288</v>
      </c>
      <c r="C34" s="26" t="n">
        <f aca="false">SUMIFS(Sales_Data!$AE$2:$AE$3520,Sales_Data!$C$2:$C$3520,$A34)</f>
        <v>15</v>
      </c>
      <c r="D34" s="26" t="n">
        <f aca="false">SUMIFS(Sales_Data!$M$2:$M$3520,Sales_Data!$C$2:$C$3520,$A34,Sales_Data!$AE$2:$AE$3520,1)</f>
        <v>2</v>
      </c>
      <c r="E34" s="26" t="n">
        <f aca="false">SUMIFS(Sales_Data!$N$2:$N$3520,Sales_Data!$C$2:$C$3520,$A34,Sales_Data!$AE$2:$AE$3520,1)</f>
        <v>16</v>
      </c>
      <c r="F34" s="26" t="n">
        <f aca="false">D34+E34</f>
        <v>18</v>
      </c>
      <c r="G34" s="28" t="n">
        <f aca="false">F34-F33</f>
        <v>1</v>
      </c>
      <c r="H34" s="29" t="n">
        <f aca="false">IF(F33=0,"-",(F34-F33)/F33)</f>
        <v>0.0588235294117647</v>
      </c>
      <c r="I34" s="30" t="n">
        <f aca="false">AVERAGE(F28:F34)</f>
        <v>23</v>
      </c>
      <c r="J34" s="29" t="n">
        <f aca="false">IF(F27=0,"-",(F34-F27)/F27)</f>
        <v>1.57142857142857</v>
      </c>
      <c r="K34" s="26" t="n">
        <f aca="false">SUMIFS(Sales_Data!$AF$2:$AF$3520,Sales_Data!$C$2:$C$3520,$A34)</f>
        <v>12</v>
      </c>
      <c r="L34" s="31" t="n">
        <f aca="false">IFERROR(F34/K34,0)</f>
        <v>1.5</v>
      </c>
      <c r="M34" s="26" t="n">
        <f aca="false">COUNTIFS(Sales_Data!$C$2:$C$3520,$A34,Sales_Data!$U$2:$U$3520,"Yes",Sales_Data!$AE$2:$AE$3520,1)</f>
        <v>0</v>
      </c>
      <c r="N34" s="26" t="n">
        <f aca="false">M34+COUNTIFS(Sales_Data!$C$2:$C$3520,$A34,Sales_Data!$U$2:$U$3520,"No",Sales_Data!$AE$2:$AE$3520,1)</f>
        <v>0</v>
      </c>
      <c r="O34" s="32" t="str">
        <f aca="false">IF(N34=0,"-",M34/N34)</f>
        <v>-</v>
      </c>
      <c r="P34" s="26" t="n">
        <f aca="false">COUNTIFS(Sales_Data!$C$2:$C$3520,$A34,Sales_Data!$W$2:$W$3520,"Yes",Sales_Data!$AE$2:$AE$3520,1)</f>
        <v>0</v>
      </c>
      <c r="Q34" s="26" t="n">
        <f aca="false">P34+COUNTIFS(Sales_Data!$C$2:$C$3520,$A34,Sales_Data!$W$2:$W$3520,"No",Sales_Data!$AE$2:$AE$3520,1)</f>
        <v>0</v>
      </c>
      <c r="R34" s="32" t="str">
        <f aca="false">IF(Q34=0,"-",P34/Q34)</f>
        <v>-</v>
      </c>
      <c r="S34" s="26" t="n">
        <f aca="false">SUMIFS(Sales_Data!$P$2:$P$3520,Sales_Data!$C$2:$C$3520,$A34,Sales_Data!$AE$2:$AE$3520,1)</f>
        <v>7</v>
      </c>
      <c r="T34" s="26" t="n">
        <f aca="false">SUMIFS(Sales_Data!$Q$2:$Q$3520,Sales_Data!$C$2:$C$3520,$A34,Sales_Data!$AE$2:$AE$3520,1)</f>
        <v>4</v>
      </c>
      <c r="U34" s="26" t="n">
        <f aca="false">SUMIFS(Sales_Data!$R$2:$R$3520,Sales_Data!$C$2:$C$3520,$A34,Sales_Data!$AE$2:$AE$3520,1)</f>
        <v>3</v>
      </c>
      <c r="V34" s="26" t="n">
        <f aca="false">SUMIFS(Sales_Data!$S$2:$S$3520,Sales_Data!$C$2:$C$3520,$A34,Sales_Data!$AE$2:$AE$3520,1)</f>
        <v>1</v>
      </c>
      <c r="W34" s="26" t="n">
        <f aca="false">SUMIFS(Sales_Data!$T$2:$T$3520,Sales_Data!$C$2:$C$3520,$A34,Sales_Data!$AE$2:$AE$3520,1)</f>
        <v>1</v>
      </c>
      <c r="X34" s="26" t="n">
        <f aca="false">COUNTIFS(Sales_Data!$C$2:$C$3520,$A34,Sales_Data!$X$2:$X$3520,"&lt;&gt;No Device",Sales_Data!$X$2:$X$3520,"&lt;&gt;",Sales_Data!$AE$2:$AE$3520,1)</f>
        <v>0</v>
      </c>
      <c r="Y34" s="26" t="n">
        <f aca="false">COUNTIFS(Sales_Data!$C$2:$C$3520,$A34,Sales_Data!$AD$2:$AD$3520,0,Sales_Data!$AE$2:$AE$3520,1)</f>
        <v>4</v>
      </c>
      <c r="Z34" s="26" t="n">
        <f aca="false">COUNTIFS(Sales_Data!$C$2:$C$3520,$A34,Sales_Data!$AC$2:$AC$3520,1)</f>
        <v>0</v>
      </c>
    </row>
    <row r="35" customFormat="false" ht="15" hidden="false" customHeight="false" outlineLevel="0" collapsed="false">
      <c r="A35" s="25" t="n">
        <v>46256</v>
      </c>
      <c r="B35" s="53" t="s">
        <v>358</v>
      </c>
      <c r="C35" s="26" t="n">
        <f aca="false">SUMIFS(Sales_Data!$AE$2:$AE$3520,Sales_Data!$C$2:$C$3520,$A35)</f>
        <v>32</v>
      </c>
      <c r="D35" s="26" t="n">
        <f aca="false">SUMIFS(Sales_Data!$M$2:$M$3520,Sales_Data!$C$2:$C$3520,$A35,Sales_Data!$AE$2:$AE$3520,1)</f>
        <v>12</v>
      </c>
      <c r="E35" s="26" t="n">
        <f aca="false">SUMIFS(Sales_Data!$N$2:$N$3520,Sales_Data!$C$2:$C$3520,$A35,Sales_Data!$AE$2:$AE$3520,1)</f>
        <v>23</v>
      </c>
      <c r="F35" s="26" t="n">
        <f aca="false">D35+E35</f>
        <v>35</v>
      </c>
      <c r="G35" s="28" t="n">
        <f aca="false">F35-F34</f>
        <v>17</v>
      </c>
      <c r="H35" s="29" t="n">
        <f aca="false">IF(F34=0,"-",(F35-F34)/F34)</f>
        <v>0.944444444444444</v>
      </c>
      <c r="I35" s="30" t="n">
        <f aca="false">AVERAGE(F29:F35)</f>
        <v>23.8571428571429</v>
      </c>
      <c r="J35" s="29" t="n">
        <f aca="false">IF(F28=0,"-",(F35-F28)/F28)</f>
        <v>0.206896551724138</v>
      </c>
      <c r="K35" s="26" t="n">
        <f aca="false">SUMIFS(Sales_Data!$AF$2:$AF$3520,Sales_Data!$C$2:$C$3520,$A35)</f>
        <v>16</v>
      </c>
      <c r="L35" s="31" t="n">
        <f aca="false">IFERROR(F35/K35,0)</f>
        <v>2.1875</v>
      </c>
      <c r="M35" s="26" t="n">
        <f aca="false">COUNTIFS(Sales_Data!$C$2:$C$3520,$A35,Sales_Data!$U$2:$U$3520,"Yes",Sales_Data!$AE$2:$AE$3520,1)</f>
        <v>0</v>
      </c>
      <c r="N35" s="26" t="n">
        <f aca="false">M35+COUNTIFS(Sales_Data!$C$2:$C$3520,$A35,Sales_Data!$U$2:$U$3520,"No",Sales_Data!$AE$2:$AE$3520,1)</f>
        <v>0</v>
      </c>
      <c r="O35" s="32" t="str">
        <f aca="false">IF(N35=0,"-",M35/N35)</f>
        <v>-</v>
      </c>
      <c r="P35" s="26" t="n">
        <f aca="false">COUNTIFS(Sales_Data!$C$2:$C$3520,$A35,Sales_Data!$W$2:$W$3520,"Yes",Sales_Data!$AE$2:$AE$3520,1)</f>
        <v>0</v>
      </c>
      <c r="Q35" s="26" t="n">
        <f aca="false">P35+COUNTIFS(Sales_Data!$C$2:$C$3520,$A35,Sales_Data!$W$2:$W$3520,"No",Sales_Data!$AE$2:$AE$3520,1)</f>
        <v>0</v>
      </c>
      <c r="R35" s="32" t="str">
        <f aca="false">IF(Q35=0,"-",P35/Q35)</f>
        <v>-</v>
      </c>
      <c r="S35" s="26" t="n">
        <f aca="false">SUMIFS(Sales_Data!$P$2:$P$3520,Sales_Data!$C$2:$C$3520,$A35,Sales_Data!$AE$2:$AE$3520,1)</f>
        <v>10</v>
      </c>
      <c r="T35" s="26" t="n">
        <f aca="false">SUMIFS(Sales_Data!$Q$2:$Q$3520,Sales_Data!$C$2:$C$3520,$A35,Sales_Data!$AE$2:$AE$3520,1)</f>
        <v>7</v>
      </c>
      <c r="U35" s="26" t="n">
        <f aca="false">SUMIFS(Sales_Data!$R$2:$R$3520,Sales_Data!$C$2:$C$3520,$A35,Sales_Data!$AE$2:$AE$3520,1)</f>
        <v>5</v>
      </c>
      <c r="V35" s="26" t="n">
        <f aca="false">SUMIFS(Sales_Data!$S$2:$S$3520,Sales_Data!$C$2:$C$3520,$A35,Sales_Data!$AE$2:$AE$3520,1)</f>
        <v>0</v>
      </c>
      <c r="W35" s="26" t="n">
        <f aca="false">SUMIFS(Sales_Data!$T$2:$T$3520,Sales_Data!$C$2:$C$3520,$A35,Sales_Data!$AE$2:$AE$3520,1)</f>
        <v>1</v>
      </c>
      <c r="X35" s="26" t="n">
        <f aca="false">COUNTIFS(Sales_Data!$C$2:$C$3520,$A35,Sales_Data!$X$2:$X$3520,"&lt;&gt;No Device",Sales_Data!$X$2:$X$3520,"&lt;&gt;",Sales_Data!$AE$2:$AE$3520,1)</f>
        <v>0</v>
      </c>
      <c r="Y35" s="26" t="n">
        <f aca="false">COUNTIFS(Sales_Data!$C$2:$C$3520,$A35,Sales_Data!$AD$2:$AD$3520,0,Sales_Data!$AE$2:$AE$3520,1)</f>
        <v>4</v>
      </c>
      <c r="Z35" s="26" t="n">
        <f aca="false">COUNTIFS(Sales_Data!$C$2:$C$3520,$A35,Sales_Data!$AC$2:$AC$3520,1)</f>
        <v>2</v>
      </c>
    </row>
    <row r="36" customFormat="false" ht="15" hidden="false" customHeight="false" outlineLevel="0" collapsed="false">
      <c r="A36" s="25" t="n">
        <v>46257</v>
      </c>
      <c r="B36" s="53" t="s">
        <v>393</v>
      </c>
      <c r="C36" s="26" t="n">
        <f aca="false">SUMIFS(Sales_Data!$AE$2:$AE$3520,Sales_Data!$C$2:$C$3520,$A36)</f>
        <v>55</v>
      </c>
      <c r="D36" s="26" t="n">
        <f aca="false">SUMIFS(Sales_Data!$M$2:$M$3520,Sales_Data!$C$2:$C$3520,$A36,Sales_Data!$AE$2:$AE$3520,1)</f>
        <v>13</v>
      </c>
      <c r="E36" s="26" t="n">
        <f aca="false">SUMIFS(Sales_Data!$N$2:$N$3520,Sales_Data!$C$2:$C$3520,$A36,Sales_Data!$AE$2:$AE$3520,1)</f>
        <v>50</v>
      </c>
      <c r="F36" s="26" t="n">
        <f aca="false">D36+E36</f>
        <v>63</v>
      </c>
      <c r="G36" s="28" t="n">
        <f aca="false">F36-F35</f>
        <v>28</v>
      </c>
      <c r="H36" s="29" t="n">
        <f aca="false">IF(F35=0,"-",(F36-F35)/F35)</f>
        <v>0.8</v>
      </c>
      <c r="I36" s="30" t="n">
        <f aca="false">AVERAGE(F30:F36)</f>
        <v>28.8571428571429</v>
      </c>
      <c r="J36" s="29" t="n">
        <f aca="false">IF(F29=0,"-",(F36-F29)/F29)</f>
        <v>1.25</v>
      </c>
      <c r="K36" s="26" t="n">
        <f aca="false">SUMIFS(Sales_Data!$AF$2:$AF$3520,Sales_Data!$C$2:$C$3520,$A36)</f>
        <v>22</v>
      </c>
      <c r="L36" s="31" t="n">
        <f aca="false">IFERROR(F36/K36,0)</f>
        <v>2.86363636363636</v>
      </c>
      <c r="M36" s="26" t="n">
        <f aca="false">COUNTIFS(Sales_Data!$C$2:$C$3520,$A36,Sales_Data!$U$2:$U$3520,"Yes",Sales_Data!$AE$2:$AE$3520,1)</f>
        <v>0</v>
      </c>
      <c r="N36" s="26" t="n">
        <f aca="false">M36+COUNTIFS(Sales_Data!$C$2:$C$3520,$A36,Sales_Data!$U$2:$U$3520,"No",Sales_Data!$AE$2:$AE$3520,1)</f>
        <v>0</v>
      </c>
      <c r="O36" s="32" t="str">
        <f aca="false">IF(N36=0,"-",M36/N36)</f>
        <v>-</v>
      </c>
      <c r="P36" s="26" t="n">
        <f aca="false">COUNTIFS(Sales_Data!$C$2:$C$3520,$A36,Sales_Data!$W$2:$W$3520,"Yes",Sales_Data!$AE$2:$AE$3520,1)</f>
        <v>0</v>
      </c>
      <c r="Q36" s="26" t="n">
        <f aca="false">P36+COUNTIFS(Sales_Data!$C$2:$C$3520,$A36,Sales_Data!$W$2:$W$3520,"No",Sales_Data!$AE$2:$AE$3520,1)</f>
        <v>0</v>
      </c>
      <c r="R36" s="32" t="str">
        <f aca="false">IF(Q36=0,"-",P36/Q36)</f>
        <v>-</v>
      </c>
      <c r="S36" s="26" t="n">
        <f aca="false">SUMIFS(Sales_Data!$P$2:$P$3520,Sales_Data!$C$2:$C$3520,$A36,Sales_Data!$AE$2:$AE$3520,1)</f>
        <v>24</v>
      </c>
      <c r="T36" s="26" t="n">
        <f aca="false">SUMIFS(Sales_Data!$Q$2:$Q$3520,Sales_Data!$C$2:$C$3520,$A36,Sales_Data!$AE$2:$AE$3520,1)</f>
        <v>18</v>
      </c>
      <c r="U36" s="26" t="n">
        <f aca="false">SUMIFS(Sales_Data!$R$2:$R$3520,Sales_Data!$C$2:$C$3520,$A36,Sales_Data!$AE$2:$AE$3520,1)</f>
        <v>8</v>
      </c>
      <c r="V36" s="26" t="n">
        <f aca="false">SUMIFS(Sales_Data!$S$2:$S$3520,Sales_Data!$C$2:$C$3520,$A36,Sales_Data!$AE$2:$AE$3520,1)</f>
        <v>0</v>
      </c>
      <c r="W36" s="26" t="n">
        <f aca="false">SUMIFS(Sales_Data!$T$2:$T$3520,Sales_Data!$C$2:$C$3520,$A36,Sales_Data!$AE$2:$AE$3520,1)</f>
        <v>0</v>
      </c>
      <c r="X36" s="26" t="n">
        <f aca="false">COUNTIFS(Sales_Data!$C$2:$C$3520,$A36,Sales_Data!$X$2:$X$3520,"&lt;&gt;No Device",Sales_Data!$X$2:$X$3520,"&lt;&gt;",Sales_Data!$AE$2:$AE$3520,1)</f>
        <v>0</v>
      </c>
      <c r="Y36" s="26" t="n">
        <f aca="false">COUNTIFS(Sales_Data!$C$2:$C$3520,$A36,Sales_Data!$AD$2:$AD$3520,0,Sales_Data!$AE$2:$AE$3520,1)</f>
        <v>11</v>
      </c>
      <c r="Z36" s="26" t="n">
        <f aca="false">COUNTIFS(Sales_Data!$C$2:$C$3520,$A36,Sales_Data!$AC$2:$AC$3520,1)</f>
        <v>9</v>
      </c>
    </row>
    <row r="37" customFormat="false" ht="15" hidden="false" customHeight="false" outlineLevel="0" collapsed="false">
      <c r="A37" s="25" t="n">
        <v>46258</v>
      </c>
      <c r="B37" s="53" t="s">
        <v>429</v>
      </c>
      <c r="C37" s="26" t="n">
        <f aca="false">SUMIFS(Sales_Data!$AE$2:$AE$3520,Sales_Data!$C$2:$C$3520,$A37)</f>
        <v>36</v>
      </c>
      <c r="D37" s="26" t="n">
        <f aca="false">SUMIFS(Sales_Data!$M$2:$M$3520,Sales_Data!$C$2:$C$3520,$A37,Sales_Data!$AE$2:$AE$3520,1)</f>
        <v>9</v>
      </c>
      <c r="E37" s="26" t="n">
        <f aca="false">SUMIFS(Sales_Data!$N$2:$N$3520,Sales_Data!$C$2:$C$3520,$A37,Sales_Data!$AE$2:$AE$3520,1)</f>
        <v>30</v>
      </c>
      <c r="F37" s="26" t="n">
        <f aca="false">D37+E37</f>
        <v>39</v>
      </c>
      <c r="G37" s="28" t="n">
        <f aca="false">F37-F36</f>
        <v>-24</v>
      </c>
      <c r="H37" s="29" t="n">
        <f aca="false">IF(F36=0,"-",(F37-F36)/F36)</f>
        <v>-0.380952380952381</v>
      </c>
      <c r="I37" s="30" t="n">
        <f aca="false">AVERAGE(F31:F37)</f>
        <v>31</v>
      </c>
      <c r="J37" s="29" t="n">
        <f aca="false">IF(F30=0,"-",(F37-F30)/F30)</f>
        <v>0.625</v>
      </c>
      <c r="K37" s="26" t="n">
        <f aca="false">SUMIFS(Sales_Data!$AF$2:$AF$3520,Sales_Data!$C$2:$C$3520,$A37)</f>
        <v>22</v>
      </c>
      <c r="L37" s="31" t="n">
        <f aca="false">IFERROR(F37/K37,0)</f>
        <v>1.77272727272727</v>
      </c>
      <c r="M37" s="26" t="n">
        <f aca="false">COUNTIFS(Sales_Data!$C$2:$C$3520,$A37,Sales_Data!$U$2:$U$3520,"Yes",Sales_Data!$AE$2:$AE$3520,1)</f>
        <v>0</v>
      </c>
      <c r="N37" s="26" t="n">
        <f aca="false">M37+COUNTIFS(Sales_Data!$C$2:$C$3520,$A37,Sales_Data!$U$2:$U$3520,"No",Sales_Data!$AE$2:$AE$3520,1)</f>
        <v>0</v>
      </c>
      <c r="O37" s="32" t="str">
        <f aca="false">IF(N37=0,"-",M37/N37)</f>
        <v>-</v>
      </c>
      <c r="P37" s="26" t="n">
        <f aca="false">COUNTIFS(Sales_Data!$C$2:$C$3520,$A37,Sales_Data!$W$2:$W$3520,"Yes",Sales_Data!$AE$2:$AE$3520,1)</f>
        <v>0</v>
      </c>
      <c r="Q37" s="26" t="n">
        <f aca="false">P37+COUNTIFS(Sales_Data!$C$2:$C$3520,$A37,Sales_Data!$W$2:$W$3520,"No",Sales_Data!$AE$2:$AE$3520,1)</f>
        <v>0</v>
      </c>
      <c r="R37" s="32" t="str">
        <f aca="false">IF(Q37=0,"-",P37/Q37)</f>
        <v>-</v>
      </c>
      <c r="S37" s="26" t="n">
        <f aca="false">SUMIFS(Sales_Data!$P$2:$P$3520,Sales_Data!$C$2:$C$3520,$A37,Sales_Data!$AE$2:$AE$3520,1)</f>
        <v>20</v>
      </c>
      <c r="T37" s="26" t="n">
        <f aca="false">SUMIFS(Sales_Data!$Q$2:$Q$3520,Sales_Data!$C$2:$C$3520,$A37,Sales_Data!$AE$2:$AE$3520,1)</f>
        <v>5</v>
      </c>
      <c r="U37" s="26" t="n">
        <f aca="false">SUMIFS(Sales_Data!$R$2:$R$3520,Sales_Data!$C$2:$C$3520,$A37,Sales_Data!$AE$2:$AE$3520,1)</f>
        <v>3</v>
      </c>
      <c r="V37" s="26" t="n">
        <f aca="false">SUMIFS(Sales_Data!$S$2:$S$3520,Sales_Data!$C$2:$C$3520,$A37,Sales_Data!$AE$2:$AE$3520,1)</f>
        <v>1</v>
      </c>
      <c r="W37" s="26" t="n">
        <f aca="false">SUMIFS(Sales_Data!$T$2:$T$3520,Sales_Data!$C$2:$C$3520,$A37,Sales_Data!$AE$2:$AE$3520,1)</f>
        <v>1</v>
      </c>
      <c r="X37" s="26" t="n">
        <f aca="false">COUNTIFS(Sales_Data!$C$2:$C$3520,$A37,Sales_Data!$X$2:$X$3520,"&lt;&gt;No Device",Sales_Data!$X$2:$X$3520,"&lt;&gt;",Sales_Data!$AE$2:$AE$3520,1)</f>
        <v>0</v>
      </c>
      <c r="Y37" s="26" t="n">
        <f aca="false">COUNTIFS(Sales_Data!$C$2:$C$3520,$A37,Sales_Data!$AD$2:$AD$3520,0,Sales_Data!$AE$2:$AE$3520,1)</f>
        <v>4</v>
      </c>
      <c r="Z37" s="26" t="n">
        <f aca="false">COUNTIFS(Sales_Data!$C$2:$C$3520,$A37,Sales_Data!$AC$2:$AC$3520,1)</f>
        <v>2</v>
      </c>
    </row>
    <row r="38" customFormat="false" ht="15" hidden="false" customHeight="false" outlineLevel="0" collapsed="false">
      <c r="A38" s="25" t="n">
        <v>46259</v>
      </c>
      <c r="B38" s="53" t="s">
        <v>501</v>
      </c>
      <c r="C38" s="26" t="n">
        <f aca="false">SUMIFS(Sales_Data!$AE$2:$AE$3520,Sales_Data!$C$2:$C$3520,$A38)</f>
        <v>27</v>
      </c>
      <c r="D38" s="26" t="n">
        <f aca="false">SUMIFS(Sales_Data!$M$2:$M$3520,Sales_Data!$C$2:$C$3520,$A38,Sales_Data!$AE$2:$AE$3520,1)</f>
        <v>3</v>
      </c>
      <c r="E38" s="26" t="n">
        <f aca="false">SUMIFS(Sales_Data!$N$2:$N$3520,Sales_Data!$C$2:$C$3520,$A38,Sales_Data!$AE$2:$AE$3520,1)</f>
        <v>27</v>
      </c>
      <c r="F38" s="26" t="n">
        <f aca="false">D38+E38</f>
        <v>30</v>
      </c>
      <c r="G38" s="28" t="n">
        <f aca="false">F38-F37</f>
        <v>-9</v>
      </c>
      <c r="H38" s="29" t="n">
        <f aca="false">IF(F37=0,"-",(F38-F37)/F37)</f>
        <v>-0.230769230769231</v>
      </c>
      <c r="I38" s="30" t="n">
        <f aca="false">AVERAGE(F32:F38)</f>
        <v>32.5714285714286</v>
      </c>
      <c r="J38" s="29" t="n">
        <f aca="false">IF(F31=0,"-",(F38-F31)/F31)</f>
        <v>0.578947368421053</v>
      </c>
      <c r="K38" s="26" t="n">
        <f aca="false">SUMIFS(Sales_Data!$AF$2:$AF$3520,Sales_Data!$C$2:$C$3520,$A38)</f>
        <v>14</v>
      </c>
      <c r="L38" s="31" t="n">
        <f aca="false">IFERROR(F38/K38,0)</f>
        <v>2.14285714285714</v>
      </c>
      <c r="M38" s="26" t="n">
        <f aca="false">COUNTIFS(Sales_Data!$C$2:$C$3520,$A38,Sales_Data!$U$2:$U$3520,"Yes",Sales_Data!$AE$2:$AE$3520,1)</f>
        <v>0</v>
      </c>
      <c r="N38" s="26" t="n">
        <f aca="false">M38+COUNTIFS(Sales_Data!$C$2:$C$3520,$A38,Sales_Data!$U$2:$U$3520,"No",Sales_Data!$AE$2:$AE$3520,1)</f>
        <v>0</v>
      </c>
      <c r="O38" s="32" t="str">
        <f aca="false">IF(N38=0,"-",M38/N38)</f>
        <v>-</v>
      </c>
      <c r="P38" s="26" t="n">
        <f aca="false">COUNTIFS(Sales_Data!$C$2:$C$3520,$A38,Sales_Data!$W$2:$W$3520,"Yes",Sales_Data!$AE$2:$AE$3520,1)</f>
        <v>0</v>
      </c>
      <c r="Q38" s="26" t="n">
        <f aca="false">P38+COUNTIFS(Sales_Data!$C$2:$C$3520,$A38,Sales_Data!$W$2:$W$3520,"No",Sales_Data!$AE$2:$AE$3520,1)</f>
        <v>0</v>
      </c>
      <c r="R38" s="32" t="str">
        <f aca="false">IF(Q38=0,"-",P38/Q38)</f>
        <v>-</v>
      </c>
      <c r="S38" s="26" t="n">
        <f aca="false">SUMIFS(Sales_Data!$P$2:$P$3520,Sales_Data!$C$2:$C$3520,$A38,Sales_Data!$AE$2:$AE$3520,1)</f>
        <v>11</v>
      </c>
      <c r="T38" s="26" t="n">
        <f aca="false">SUMIFS(Sales_Data!$Q$2:$Q$3520,Sales_Data!$C$2:$C$3520,$A38,Sales_Data!$AE$2:$AE$3520,1)</f>
        <v>9</v>
      </c>
      <c r="U38" s="26" t="n">
        <f aca="false">SUMIFS(Sales_Data!$R$2:$R$3520,Sales_Data!$C$2:$C$3520,$A38,Sales_Data!$AE$2:$AE$3520,1)</f>
        <v>4</v>
      </c>
      <c r="V38" s="26" t="n">
        <f aca="false">SUMIFS(Sales_Data!$S$2:$S$3520,Sales_Data!$C$2:$C$3520,$A38,Sales_Data!$AE$2:$AE$3520,1)</f>
        <v>3</v>
      </c>
      <c r="W38" s="26" t="n">
        <f aca="false">SUMIFS(Sales_Data!$T$2:$T$3520,Sales_Data!$C$2:$C$3520,$A38,Sales_Data!$AE$2:$AE$3520,1)</f>
        <v>0</v>
      </c>
      <c r="X38" s="26" t="n">
        <f aca="false">COUNTIFS(Sales_Data!$C$2:$C$3520,$A38,Sales_Data!$X$2:$X$3520,"&lt;&gt;No Device",Sales_Data!$X$2:$X$3520,"&lt;&gt;",Sales_Data!$AE$2:$AE$3520,1)</f>
        <v>0</v>
      </c>
      <c r="Y38" s="26" t="n">
        <f aca="false">COUNTIFS(Sales_Data!$C$2:$C$3520,$A38,Sales_Data!$AD$2:$AD$3520,0,Sales_Data!$AE$2:$AE$3520,1)</f>
        <v>6</v>
      </c>
      <c r="Z38" s="26" t="n">
        <f aca="false">COUNTIFS(Sales_Data!$C$2:$C$3520,$A38,Sales_Data!$AC$2:$AC$3520,1)</f>
        <v>3</v>
      </c>
    </row>
    <row r="39" customFormat="false" ht="15" hidden="false" customHeight="false" outlineLevel="0" collapsed="false">
      <c r="A39" s="25" t="n">
        <v>46260</v>
      </c>
      <c r="B39" s="53" t="s">
        <v>143</v>
      </c>
      <c r="C39" s="26" t="n">
        <f aca="false">SUMIFS(Sales_Data!$AE$2:$AE$3520,Sales_Data!$C$2:$C$3520,$A39)</f>
        <v>26</v>
      </c>
      <c r="D39" s="26" t="n">
        <f aca="false">SUMIFS(Sales_Data!$M$2:$M$3520,Sales_Data!$C$2:$C$3520,$A39,Sales_Data!$AE$2:$AE$3520,1)</f>
        <v>5</v>
      </c>
      <c r="E39" s="26" t="n">
        <f aca="false">SUMIFS(Sales_Data!$N$2:$N$3520,Sales_Data!$C$2:$C$3520,$A39,Sales_Data!$AE$2:$AE$3520,1)</f>
        <v>23</v>
      </c>
      <c r="F39" s="26" t="n">
        <f aca="false">D39+E39</f>
        <v>28</v>
      </c>
      <c r="G39" s="28" t="n">
        <f aca="false">F39-F38</f>
        <v>-2</v>
      </c>
      <c r="H39" s="29" t="n">
        <f aca="false">IF(F38=0,"-",(F39-F38)/F38)</f>
        <v>-0.0666666666666667</v>
      </c>
      <c r="I39" s="30" t="n">
        <f aca="false">AVERAGE(F33:F39)</f>
        <v>32.8571428571429</v>
      </c>
      <c r="J39" s="29" t="n">
        <f aca="false">IF(F32=0,"-",(F39-F32)/F32)</f>
        <v>0.0769230769230769</v>
      </c>
      <c r="K39" s="26" t="n">
        <f aca="false">SUMIFS(Sales_Data!$AF$2:$AF$3520,Sales_Data!$C$2:$C$3520,$A39)</f>
        <v>13</v>
      </c>
      <c r="L39" s="31" t="n">
        <f aca="false">IFERROR(F39/K39,0)</f>
        <v>2.15384615384615</v>
      </c>
      <c r="M39" s="26" t="n">
        <f aca="false">COUNTIFS(Sales_Data!$C$2:$C$3520,$A39,Sales_Data!$U$2:$U$3520,"Yes",Sales_Data!$AE$2:$AE$3520,1)</f>
        <v>0</v>
      </c>
      <c r="N39" s="26" t="n">
        <f aca="false">M39+COUNTIFS(Sales_Data!$C$2:$C$3520,$A39,Sales_Data!$U$2:$U$3520,"No",Sales_Data!$AE$2:$AE$3520,1)</f>
        <v>0</v>
      </c>
      <c r="O39" s="32" t="str">
        <f aca="false">IF(N39=0,"-",M39/N39)</f>
        <v>-</v>
      </c>
      <c r="P39" s="26" t="n">
        <f aca="false">COUNTIFS(Sales_Data!$C$2:$C$3520,$A39,Sales_Data!$W$2:$W$3520,"Yes",Sales_Data!$AE$2:$AE$3520,1)</f>
        <v>0</v>
      </c>
      <c r="Q39" s="26" t="n">
        <f aca="false">P39+COUNTIFS(Sales_Data!$C$2:$C$3520,$A39,Sales_Data!$W$2:$W$3520,"No",Sales_Data!$AE$2:$AE$3520,1)</f>
        <v>0</v>
      </c>
      <c r="R39" s="32" t="str">
        <f aca="false">IF(Q39=0,"-",P39/Q39)</f>
        <v>-</v>
      </c>
      <c r="S39" s="26" t="n">
        <f aca="false">SUMIFS(Sales_Data!$P$2:$P$3520,Sales_Data!$C$2:$C$3520,$A39,Sales_Data!$AE$2:$AE$3520,1)</f>
        <v>13</v>
      </c>
      <c r="T39" s="26" t="n">
        <f aca="false">SUMIFS(Sales_Data!$Q$2:$Q$3520,Sales_Data!$C$2:$C$3520,$A39,Sales_Data!$AE$2:$AE$3520,1)</f>
        <v>8</v>
      </c>
      <c r="U39" s="26" t="n">
        <f aca="false">SUMIFS(Sales_Data!$R$2:$R$3520,Sales_Data!$C$2:$C$3520,$A39,Sales_Data!$AE$2:$AE$3520,1)</f>
        <v>2</v>
      </c>
      <c r="V39" s="26" t="n">
        <f aca="false">SUMIFS(Sales_Data!$S$2:$S$3520,Sales_Data!$C$2:$C$3520,$A39,Sales_Data!$AE$2:$AE$3520,1)</f>
        <v>0</v>
      </c>
      <c r="W39" s="26" t="n">
        <f aca="false">SUMIFS(Sales_Data!$T$2:$T$3520,Sales_Data!$C$2:$C$3520,$A39,Sales_Data!$AE$2:$AE$3520,1)</f>
        <v>0</v>
      </c>
      <c r="X39" s="26" t="n">
        <f aca="false">COUNTIFS(Sales_Data!$C$2:$C$3520,$A39,Sales_Data!$X$2:$X$3520,"&lt;&gt;No Device",Sales_Data!$X$2:$X$3520,"&lt;&gt;",Sales_Data!$AE$2:$AE$3520,1)</f>
        <v>0</v>
      </c>
      <c r="Y39" s="26" t="n">
        <f aca="false">COUNTIFS(Sales_Data!$C$2:$C$3520,$A39,Sales_Data!$AD$2:$AD$3520,0,Sales_Data!$AE$2:$AE$3520,1)</f>
        <v>4</v>
      </c>
      <c r="Z39" s="26" t="n">
        <f aca="false">COUNTIFS(Sales_Data!$C$2:$C$3520,$A39,Sales_Data!$AC$2:$AC$3520,1)</f>
        <v>2</v>
      </c>
    </row>
    <row r="40" customFormat="false" ht="15" hidden="false" customHeight="false" outlineLevel="0" collapsed="false">
      <c r="A40" s="25" t="n">
        <v>46261</v>
      </c>
      <c r="B40" s="53" t="s">
        <v>202</v>
      </c>
      <c r="C40" s="26" t="n">
        <f aca="false">SUMIFS(Sales_Data!$AE$2:$AE$3520,Sales_Data!$C$2:$C$3520,$A40)</f>
        <v>31</v>
      </c>
      <c r="D40" s="26" t="n">
        <f aca="false">SUMIFS(Sales_Data!$M$2:$M$3520,Sales_Data!$C$2:$C$3520,$A40,Sales_Data!$AE$2:$AE$3520,1)</f>
        <v>10</v>
      </c>
      <c r="E40" s="26" t="n">
        <f aca="false">SUMIFS(Sales_Data!$N$2:$N$3520,Sales_Data!$C$2:$C$3520,$A40,Sales_Data!$AE$2:$AE$3520,1)</f>
        <v>27</v>
      </c>
      <c r="F40" s="26" t="n">
        <f aca="false">D40+E40</f>
        <v>37</v>
      </c>
      <c r="G40" s="28" t="n">
        <f aca="false">F40-F39</f>
        <v>9</v>
      </c>
      <c r="H40" s="29" t="n">
        <f aca="false">IF(F39=0,"-",(F40-F39)/F39)</f>
        <v>0.321428571428571</v>
      </c>
      <c r="I40" s="30" t="n">
        <f aca="false">AVERAGE(F34:F40)</f>
        <v>35.7142857142857</v>
      </c>
      <c r="J40" s="29" t="n">
        <f aca="false">IF(F33=0,"-",(F40-F33)/F33)</f>
        <v>1.17647058823529</v>
      </c>
      <c r="K40" s="26" t="n">
        <f aca="false">SUMIFS(Sales_Data!$AF$2:$AF$3520,Sales_Data!$C$2:$C$3520,$A40)</f>
        <v>15</v>
      </c>
      <c r="L40" s="31" t="n">
        <f aca="false">IFERROR(F40/K40,0)</f>
        <v>2.46666666666667</v>
      </c>
      <c r="M40" s="26" t="n">
        <f aca="false">COUNTIFS(Sales_Data!$C$2:$C$3520,$A40,Sales_Data!$U$2:$U$3520,"Yes",Sales_Data!$AE$2:$AE$3520,1)</f>
        <v>2</v>
      </c>
      <c r="N40" s="26" t="n">
        <f aca="false">M40+COUNTIFS(Sales_Data!$C$2:$C$3520,$A40,Sales_Data!$U$2:$U$3520,"No",Sales_Data!$AE$2:$AE$3520,1)</f>
        <v>5</v>
      </c>
      <c r="O40" s="32" t="n">
        <f aca="false">IF(N40=0,"-",M40/N40)</f>
        <v>0.4</v>
      </c>
      <c r="P40" s="26" t="n">
        <f aca="false">COUNTIFS(Sales_Data!$C$2:$C$3520,$A40,Sales_Data!$W$2:$W$3520,"Yes",Sales_Data!$AE$2:$AE$3520,1)</f>
        <v>3</v>
      </c>
      <c r="Q40" s="26" t="n">
        <f aca="false">P40+COUNTIFS(Sales_Data!$C$2:$C$3520,$A40,Sales_Data!$W$2:$W$3520,"No",Sales_Data!$AE$2:$AE$3520,1)</f>
        <v>4</v>
      </c>
      <c r="R40" s="32" t="n">
        <f aca="false">IF(Q40=0,"-",P40/Q40)</f>
        <v>0.75</v>
      </c>
      <c r="S40" s="26" t="n">
        <f aca="false">SUMIFS(Sales_Data!$P$2:$P$3520,Sales_Data!$C$2:$C$3520,$A40,Sales_Data!$AE$2:$AE$3520,1)</f>
        <v>13</v>
      </c>
      <c r="T40" s="26" t="n">
        <f aca="false">SUMIFS(Sales_Data!$Q$2:$Q$3520,Sales_Data!$C$2:$C$3520,$A40,Sales_Data!$AE$2:$AE$3520,1)</f>
        <v>4</v>
      </c>
      <c r="U40" s="26" t="n">
        <f aca="false">SUMIFS(Sales_Data!$R$2:$R$3520,Sales_Data!$C$2:$C$3520,$A40,Sales_Data!$AE$2:$AE$3520,1)</f>
        <v>4</v>
      </c>
      <c r="V40" s="26" t="n">
        <f aca="false">SUMIFS(Sales_Data!$S$2:$S$3520,Sales_Data!$C$2:$C$3520,$A40,Sales_Data!$AE$2:$AE$3520,1)</f>
        <v>1</v>
      </c>
      <c r="W40" s="26" t="n">
        <f aca="false">SUMIFS(Sales_Data!$T$2:$T$3520,Sales_Data!$C$2:$C$3520,$A40,Sales_Data!$AE$2:$AE$3520,1)</f>
        <v>2</v>
      </c>
      <c r="X40" s="26" t="n">
        <f aca="false">COUNTIFS(Sales_Data!$C$2:$C$3520,$A40,Sales_Data!$X$2:$X$3520,"&lt;&gt;No Device",Sales_Data!$X$2:$X$3520,"&lt;&gt;",Sales_Data!$AE$2:$AE$3520,1)</f>
        <v>5</v>
      </c>
      <c r="Y40" s="26" t="n">
        <f aca="false">COUNTIFS(Sales_Data!$C$2:$C$3520,$A40,Sales_Data!$AD$2:$AD$3520,0,Sales_Data!$AE$2:$AE$3520,1)</f>
        <v>3</v>
      </c>
      <c r="Z40" s="26" t="n">
        <f aca="false">COUNTIFS(Sales_Data!$C$2:$C$3520,$A40,Sales_Data!$AC$2:$AC$3520,1)</f>
        <v>1</v>
      </c>
    </row>
    <row r="41" customFormat="false" ht="15" hidden="false" customHeight="false" outlineLevel="0" collapsed="false">
      <c r="A41" s="25" t="n">
        <v>46262</v>
      </c>
      <c r="B41" s="53" t="s">
        <v>288</v>
      </c>
      <c r="C41" s="26" t="n">
        <f aca="false">SUMIFS(Sales_Data!$AE$2:$AE$3520,Sales_Data!$C$2:$C$3520,$A41)</f>
        <v>24</v>
      </c>
      <c r="D41" s="26" t="n">
        <f aca="false">SUMIFS(Sales_Data!$M$2:$M$3520,Sales_Data!$C$2:$C$3520,$A41,Sales_Data!$AE$2:$AE$3520,1)</f>
        <v>16</v>
      </c>
      <c r="E41" s="26" t="n">
        <f aca="false">SUMIFS(Sales_Data!$N$2:$N$3520,Sales_Data!$C$2:$C$3520,$A41,Sales_Data!$AE$2:$AE$3520,1)</f>
        <v>9</v>
      </c>
      <c r="F41" s="26" t="n">
        <f aca="false">D41+E41</f>
        <v>25</v>
      </c>
      <c r="G41" s="28" t="n">
        <f aca="false">F41-F40</f>
        <v>-12</v>
      </c>
      <c r="H41" s="29" t="n">
        <f aca="false">IF(F40=0,"-",(F41-F40)/F40)</f>
        <v>-0.324324324324324</v>
      </c>
      <c r="I41" s="30" t="n">
        <f aca="false">AVERAGE(F35:F41)</f>
        <v>36.7142857142857</v>
      </c>
      <c r="J41" s="29" t="n">
        <f aca="false">IF(F34=0,"-",(F41-F34)/F34)</f>
        <v>0.388888888888889</v>
      </c>
      <c r="K41" s="26" t="n">
        <f aca="false">SUMIFS(Sales_Data!$AF$2:$AF$3520,Sales_Data!$C$2:$C$3520,$A41)</f>
        <v>18</v>
      </c>
      <c r="L41" s="31" t="n">
        <f aca="false">IFERROR(F41/K41,0)</f>
        <v>1.38888888888889</v>
      </c>
      <c r="M41" s="26" t="n">
        <f aca="false">COUNTIFS(Sales_Data!$C$2:$C$3520,$A41,Sales_Data!$U$2:$U$3520,"Yes",Sales_Data!$AE$2:$AE$3520,1)</f>
        <v>1</v>
      </c>
      <c r="N41" s="26" t="n">
        <f aca="false">M41+COUNTIFS(Sales_Data!$C$2:$C$3520,$A41,Sales_Data!$U$2:$U$3520,"No",Sales_Data!$AE$2:$AE$3520,1)</f>
        <v>15</v>
      </c>
      <c r="O41" s="32" t="n">
        <f aca="false">IF(N41=0,"-",M41/N41)</f>
        <v>0.0666666666666667</v>
      </c>
      <c r="P41" s="26" t="n">
        <f aca="false">COUNTIFS(Sales_Data!$C$2:$C$3520,$A41,Sales_Data!$W$2:$W$3520,"Yes",Sales_Data!$AE$2:$AE$3520,1)</f>
        <v>15</v>
      </c>
      <c r="Q41" s="26" t="n">
        <f aca="false">P41+COUNTIFS(Sales_Data!$C$2:$C$3520,$A41,Sales_Data!$W$2:$W$3520,"No",Sales_Data!$AE$2:$AE$3520,1)</f>
        <v>15</v>
      </c>
      <c r="R41" s="32" t="n">
        <f aca="false">IF(Q41=0,"-",P41/Q41)</f>
        <v>1</v>
      </c>
      <c r="S41" s="26" t="n">
        <f aca="false">SUMIFS(Sales_Data!$P$2:$P$3520,Sales_Data!$C$2:$C$3520,$A41,Sales_Data!$AE$2:$AE$3520,1)</f>
        <v>5</v>
      </c>
      <c r="T41" s="26" t="n">
        <f aca="false">SUMIFS(Sales_Data!$Q$2:$Q$3520,Sales_Data!$C$2:$C$3520,$A41,Sales_Data!$AE$2:$AE$3520,1)</f>
        <v>2</v>
      </c>
      <c r="U41" s="26" t="n">
        <f aca="false">SUMIFS(Sales_Data!$R$2:$R$3520,Sales_Data!$C$2:$C$3520,$A41,Sales_Data!$AE$2:$AE$3520,1)</f>
        <v>2</v>
      </c>
      <c r="V41" s="26" t="n">
        <f aca="false">SUMIFS(Sales_Data!$S$2:$S$3520,Sales_Data!$C$2:$C$3520,$A41,Sales_Data!$AE$2:$AE$3520,1)</f>
        <v>0</v>
      </c>
      <c r="W41" s="26" t="n">
        <f aca="false">SUMIFS(Sales_Data!$T$2:$T$3520,Sales_Data!$C$2:$C$3520,$A41,Sales_Data!$AE$2:$AE$3520,1)</f>
        <v>0</v>
      </c>
      <c r="X41" s="26" t="n">
        <f aca="false">COUNTIFS(Sales_Data!$C$2:$C$3520,$A41,Sales_Data!$X$2:$X$3520,"&lt;&gt;No Device",Sales_Data!$X$2:$X$3520,"&lt;&gt;",Sales_Data!$AE$2:$AE$3520,1)</f>
        <v>15</v>
      </c>
      <c r="Y41" s="26" t="n">
        <f aca="false">COUNTIFS(Sales_Data!$C$2:$C$3520,$A41,Sales_Data!$AD$2:$AD$3520,0,Sales_Data!$AE$2:$AE$3520,1)</f>
        <v>3</v>
      </c>
      <c r="Z41" s="26" t="n">
        <f aca="false">COUNTIFS(Sales_Data!$C$2:$C$3520,$A41,Sales_Data!$AC$2:$AC$3520,1)</f>
        <v>2</v>
      </c>
    </row>
    <row r="42" customFormat="false" ht="15" hidden="false" customHeight="false" outlineLevel="0" collapsed="false">
      <c r="A42" s="25" t="n">
        <v>46263</v>
      </c>
      <c r="B42" s="53" t="s">
        <v>358</v>
      </c>
      <c r="C42" s="26" t="n">
        <f aca="false">SUMIFS(Sales_Data!$AE$2:$AE$3520,Sales_Data!$C$2:$C$3520,$A42)</f>
        <v>46</v>
      </c>
      <c r="D42" s="26" t="n">
        <f aca="false">SUMIFS(Sales_Data!$M$2:$M$3520,Sales_Data!$C$2:$C$3520,$A42,Sales_Data!$AE$2:$AE$3520,1)</f>
        <v>28</v>
      </c>
      <c r="E42" s="26" t="n">
        <f aca="false">SUMIFS(Sales_Data!$N$2:$N$3520,Sales_Data!$C$2:$C$3520,$A42,Sales_Data!$AE$2:$AE$3520,1)</f>
        <v>34</v>
      </c>
      <c r="F42" s="26" t="n">
        <f aca="false">D42+E42</f>
        <v>62</v>
      </c>
      <c r="G42" s="28" t="n">
        <f aca="false">F42-F41</f>
        <v>37</v>
      </c>
      <c r="H42" s="29" t="n">
        <f aca="false">IF(F41=0,"-",(F42-F41)/F41)</f>
        <v>1.48</v>
      </c>
      <c r="I42" s="30" t="n">
        <f aca="false">AVERAGE(F36:F42)</f>
        <v>40.5714285714286</v>
      </c>
      <c r="J42" s="29" t="n">
        <f aca="false">IF(F35=0,"-",(F42-F35)/F35)</f>
        <v>0.771428571428572</v>
      </c>
      <c r="K42" s="26" t="n">
        <f aca="false">SUMIFS(Sales_Data!$AF$2:$AF$3520,Sales_Data!$C$2:$C$3520,$A42)</f>
        <v>26</v>
      </c>
      <c r="L42" s="31" t="n">
        <f aca="false">IFERROR(F42/K42,0)</f>
        <v>2.38461538461538</v>
      </c>
      <c r="M42" s="26" t="n">
        <f aca="false">COUNTIFS(Sales_Data!$C$2:$C$3520,$A42,Sales_Data!$U$2:$U$3520,"Yes",Sales_Data!$AE$2:$AE$3520,1)</f>
        <v>5</v>
      </c>
      <c r="N42" s="26" t="n">
        <f aca="false">M42+COUNTIFS(Sales_Data!$C$2:$C$3520,$A42,Sales_Data!$U$2:$U$3520,"No",Sales_Data!$AE$2:$AE$3520,1)</f>
        <v>19</v>
      </c>
      <c r="O42" s="32" t="n">
        <f aca="false">IF(N42=0,"-",M42/N42)</f>
        <v>0.263157894736842</v>
      </c>
      <c r="P42" s="26" t="n">
        <f aca="false">COUNTIFS(Sales_Data!$C$2:$C$3520,$A42,Sales_Data!$W$2:$W$3520,"Yes",Sales_Data!$AE$2:$AE$3520,1)</f>
        <v>16</v>
      </c>
      <c r="Q42" s="26" t="n">
        <f aca="false">P42+COUNTIFS(Sales_Data!$C$2:$C$3520,$A42,Sales_Data!$W$2:$W$3520,"No",Sales_Data!$AE$2:$AE$3520,1)</f>
        <v>19</v>
      </c>
      <c r="R42" s="32" t="n">
        <f aca="false">IF(Q42=0,"-",P42/Q42)</f>
        <v>0.842105263157895</v>
      </c>
      <c r="S42" s="26" t="n">
        <f aca="false">SUMIFS(Sales_Data!$P$2:$P$3520,Sales_Data!$C$2:$C$3520,$A42,Sales_Data!$AE$2:$AE$3520,1)</f>
        <v>13</v>
      </c>
      <c r="T42" s="26" t="n">
        <f aca="false">SUMIFS(Sales_Data!$Q$2:$Q$3520,Sales_Data!$C$2:$C$3520,$A42,Sales_Data!$AE$2:$AE$3520,1)</f>
        <v>12</v>
      </c>
      <c r="U42" s="26" t="n">
        <f aca="false">SUMIFS(Sales_Data!$R$2:$R$3520,Sales_Data!$C$2:$C$3520,$A42,Sales_Data!$AE$2:$AE$3520,1)</f>
        <v>5</v>
      </c>
      <c r="V42" s="26" t="n">
        <f aca="false">SUMIFS(Sales_Data!$S$2:$S$3520,Sales_Data!$C$2:$C$3520,$A42,Sales_Data!$AE$2:$AE$3520,1)</f>
        <v>1</v>
      </c>
      <c r="W42" s="26" t="n">
        <f aca="false">SUMIFS(Sales_Data!$T$2:$T$3520,Sales_Data!$C$2:$C$3520,$A42,Sales_Data!$AE$2:$AE$3520,1)</f>
        <v>1</v>
      </c>
      <c r="X42" s="26" t="n">
        <f aca="false">COUNTIFS(Sales_Data!$C$2:$C$3520,$A42,Sales_Data!$X$2:$X$3520,"&lt;&gt;No Device",Sales_Data!$X$2:$X$3520,"&lt;&gt;",Sales_Data!$AE$2:$AE$3520,1)</f>
        <v>15</v>
      </c>
      <c r="Y42" s="26" t="n">
        <f aca="false">COUNTIFS(Sales_Data!$C$2:$C$3520,$A42,Sales_Data!$AD$2:$AD$3520,0,Sales_Data!$AE$2:$AE$3520,1)</f>
        <v>5</v>
      </c>
      <c r="Z42" s="26" t="n">
        <f aca="false">COUNTIFS(Sales_Data!$C$2:$C$3520,$A42,Sales_Data!$AC$2:$AC$3520,1)</f>
        <v>3</v>
      </c>
    </row>
    <row r="43" customFormat="false" ht="15" hidden="false" customHeight="false" outlineLevel="0" collapsed="false">
      <c r="A43" s="25" t="n">
        <v>46264</v>
      </c>
      <c r="B43" s="53" t="s">
        <v>393</v>
      </c>
      <c r="C43" s="26" t="n">
        <f aca="false">SUMIFS(Sales_Data!$AE$2:$AE$3520,Sales_Data!$C$2:$C$3520,$A43)</f>
        <v>36</v>
      </c>
      <c r="D43" s="26" t="n">
        <f aca="false">SUMIFS(Sales_Data!$M$2:$M$3520,Sales_Data!$C$2:$C$3520,$A43,Sales_Data!$AE$2:$AE$3520,1)</f>
        <v>11</v>
      </c>
      <c r="E43" s="26" t="n">
        <f aca="false">SUMIFS(Sales_Data!$N$2:$N$3520,Sales_Data!$C$2:$C$3520,$A43,Sales_Data!$AE$2:$AE$3520,1)</f>
        <v>27</v>
      </c>
      <c r="F43" s="26" t="n">
        <f aca="false">D43+E43</f>
        <v>38</v>
      </c>
      <c r="G43" s="28" t="n">
        <f aca="false">F43-F42</f>
        <v>-24</v>
      </c>
      <c r="H43" s="29" t="n">
        <f aca="false">IF(F42=0,"-",(F43-F42)/F42)</f>
        <v>-0.387096774193548</v>
      </c>
      <c r="I43" s="30" t="n">
        <f aca="false">AVERAGE(F37:F43)</f>
        <v>37</v>
      </c>
      <c r="J43" s="29" t="n">
        <f aca="false">IF(F36=0,"-",(F43-F36)/F36)</f>
        <v>-0.396825396825397</v>
      </c>
      <c r="K43" s="26" t="n">
        <f aca="false">SUMIFS(Sales_Data!$AF$2:$AF$3520,Sales_Data!$C$2:$C$3520,$A43)</f>
        <v>22</v>
      </c>
      <c r="L43" s="31" t="n">
        <f aca="false">IFERROR(F43/K43,0)</f>
        <v>1.72727272727273</v>
      </c>
      <c r="M43" s="26" t="n">
        <f aca="false">COUNTIFS(Sales_Data!$C$2:$C$3520,$A43,Sales_Data!$U$2:$U$3520,"Yes",Sales_Data!$AE$2:$AE$3520,1)</f>
        <v>2</v>
      </c>
      <c r="N43" s="26" t="n">
        <f aca="false">M43+COUNTIFS(Sales_Data!$C$2:$C$3520,$A43,Sales_Data!$U$2:$U$3520,"No",Sales_Data!$AE$2:$AE$3520,1)</f>
        <v>11</v>
      </c>
      <c r="O43" s="32" t="n">
        <f aca="false">IF(N43=0,"-",M43/N43)</f>
        <v>0.181818181818182</v>
      </c>
      <c r="P43" s="26" t="n">
        <f aca="false">COUNTIFS(Sales_Data!$C$2:$C$3520,$A43,Sales_Data!$W$2:$W$3520,"Yes",Sales_Data!$AE$2:$AE$3520,1)</f>
        <v>10</v>
      </c>
      <c r="Q43" s="26" t="n">
        <f aca="false">P43+COUNTIFS(Sales_Data!$C$2:$C$3520,$A43,Sales_Data!$W$2:$W$3520,"No",Sales_Data!$AE$2:$AE$3520,1)</f>
        <v>11</v>
      </c>
      <c r="R43" s="32" t="n">
        <f aca="false">IF(Q43=0,"-",P43/Q43)</f>
        <v>0.909090909090909</v>
      </c>
      <c r="S43" s="26" t="n">
        <f aca="false">SUMIFS(Sales_Data!$P$2:$P$3520,Sales_Data!$C$2:$C$3520,$A43,Sales_Data!$AE$2:$AE$3520,1)</f>
        <v>16</v>
      </c>
      <c r="T43" s="26" t="n">
        <f aca="false">SUMIFS(Sales_Data!$Q$2:$Q$3520,Sales_Data!$C$2:$C$3520,$A43,Sales_Data!$AE$2:$AE$3520,1)</f>
        <v>7</v>
      </c>
      <c r="U43" s="26" t="n">
        <f aca="false">SUMIFS(Sales_Data!$R$2:$R$3520,Sales_Data!$C$2:$C$3520,$A43,Sales_Data!$AE$2:$AE$3520,1)</f>
        <v>3</v>
      </c>
      <c r="V43" s="26" t="n">
        <f aca="false">SUMIFS(Sales_Data!$S$2:$S$3520,Sales_Data!$C$2:$C$3520,$A43,Sales_Data!$AE$2:$AE$3520,1)</f>
        <v>1</v>
      </c>
      <c r="W43" s="26" t="n">
        <f aca="false">SUMIFS(Sales_Data!$T$2:$T$3520,Sales_Data!$C$2:$C$3520,$A43,Sales_Data!$AE$2:$AE$3520,1)</f>
        <v>1</v>
      </c>
      <c r="X43" s="26" t="n">
        <f aca="false">COUNTIFS(Sales_Data!$C$2:$C$3520,$A43,Sales_Data!$X$2:$X$3520,"&lt;&gt;No Device",Sales_Data!$X$2:$X$3520,"&lt;&gt;",Sales_Data!$AE$2:$AE$3520,1)</f>
        <v>11</v>
      </c>
      <c r="Y43" s="26" t="n">
        <f aca="false">COUNTIFS(Sales_Data!$C$2:$C$3520,$A43,Sales_Data!$AD$2:$AD$3520,0,Sales_Data!$AE$2:$AE$3520,1)</f>
        <v>6</v>
      </c>
      <c r="Z43" s="26" t="n">
        <f aca="false">COUNTIFS(Sales_Data!$C$2:$C$3520,$A43,Sales_Data!$AC$2:$AC$3520,1)</f>
        <v>4</v>
      </c>
    </row>
    <row r="44" customFormat="false" ht="15" hidden="false" customHeight="false" outlineLevel="0" collapsed="false">
      <c r="A44" s="25" t="n">
        <v>46265</v>
      </c>
      <c r="B44" s="53" t="s">
        <v>429</v>
      </c>
      <c r="C44" s="26" t="n">
        <f aca="false">SUMIFS(Sales_Data!$AE$2:$AE$3520,Sales_Data!$C$2:$C$3520,$A44)</f>
        <v>62</v>
      </c>
      <c r="D44" s="26" t="n">
        <f aca="false">SUMIFS(Sales_Data!$M$2:$M$3520,Sales_Data!$C$2:$C$3520,$A44,Sales_Data!$AE$2:$AE$3520,1)</f>
        <v>15</v>
      </c>
      <c r="E44" s="26" t="n">
        <f aca="false">SUMIFS(Sales_Data!$N$2:$N$3520,Sales_Data!$C$2:$C$3520,$A44,Sales_Data!$AE$2:$AE$3520,1)</f>
        <v>51</v>
      </c>
      <c r="F44" s="26" t="n">
        <f aca="false">D44+E44</f>
        <v>66</v>
      </c>
      <c r="G44" s="28" t="n">
        <f aca="false">F44-F43</f>
        <v>28</v>
      </c>
      <c r="H44" s="29" t="n">
        <f aca="false">IF(F43=0,"-",(F44-F43)/F43)</f>
        <v>0.736842105263158</v>
      </c>
      <c r="I44" s="30" t="n">
        <f aca="false">AVERAGE(F38:F44)</f>
        <v>40.8571428571429</v>
      </c>
      <c r="J44" s="29" t="n">
        <f aca="false">IF(F37=0,"-",(F44-F37)/F37)</f>
        <v>0.692307692307692</v>
      </c>
      <c r="K44" s="26" t="n">
        <f aca="false">SUMIFS(Sales_Data!$AF$2:$AF$3520,Sales_Data!$C$2:$C$3520,$A44)</f>
        <v>30</v>
      </c>
      <c r="L44" s="31" t="n">
        <f aca="false">IFERROR(F44/K44,0)</f>
        <v>2.2</v>
      </c>
      <c r="M44" s="26" t="n">
        <f aca="false">COUNTIFS(Sales_Data!$C$2:$C$3520,$A44,Sales_Data!$U$2:$U$3520,"Yes",Sales_Data!$AE$2:$AE$3520,1)</f>
        <v>3</v>
      </c>
      <c r="N44" s="26" t="n">
        <f aca="false">M44+COUNTIFS(Sales_Data!$C$2:$C$3520,$A44,Sales_Data!$U$2:$U$3520,"No",Sales_Data!$AE$2:$AE$3520,1)</f>
        <v>15</v>
      </c>
      <c r="O44" s="32" t="n">
        <f aca="false">IF(N44=0,"-",M44/N44)</f>
        <v>0.2</v>
      </c>
      <c r="P44" s="26" t="n">
        <f aca="false">COUNTIFS(Sales_Data!$C$2:$C$3520,$A44,Sales_Data!$W$2:$W$3520,"Yes",Sales_Data!$AE$2:$AE$3520,1)</f>
        <v>13</v>
      </c>
      <c r="Q44" s="26" t="n">
        <f aca="false">P44+COUNTIFS(Sales_Data!$C$2:$C$3520,$A44,Sales_Data!$W$2:$W$3520,"No",Sales_Data!$AE$2:$AE$3520,1)</f>
        <v>14</v>
      </c>
      <c r="R44" s="32" t="n">
        <f aca="false">IF(Q44=0,"-",P44/Q44)</f>
        <v>0.928571428571429</v>
      </c>
      <c r="S44" s="26" t="n">
        <f aca="false">SUMIFS(Sales_Data!$P$2:$P$3520,Sales_Data!$C$2:$C$3520,$A44,Sales_Data!$AE$2:$AE$3520,1)</f>
        <v>23</v>
      </c>
      <c r="T44" s="26" t="n">
        <f aca="false">SUMIFS(Sales_Data!$Q$2:$Q$3520,Sales_Data!$C$2:$C$3520,$A44,Sales_Data!$AE$2:$AE$3520,1)</f>
        <v>14</v>
      </c>
      <c r="U44" s="26" t="n">
        <f aca="false">SUMIFS(Sales_Data!$R$2:$R$3520,Sales_Data!$C$2:$C$3520,$A44,Sales_Data!$AE$2:$AE$3520,1)</f>
        <v>11</v>
      </c>
      <c r="V44" s="26" t="n">
        <f aca="false">SUMIFS(Sales_Data!$S$2:$S$3520,Sales_Data!$C$2:$C$3520,$A44,Sales_Data!$AE$2:$AE$3520,1)</f>
        <v>3</v>
      </c>
      <c r="W44" s="26" t="n">
        <f aca="false">SUMIFS(Sales_Data!$T$2:$T$3520,Sales_Data!$C$2:$C$3520,$A44,Sales_Data!$AE$2:$AE$3520,1)</f>
        <v>0</v>
      </c>
      <c r="X44" s="26" t="n">
        <f aca="false">COUNTIFS(Sales_Data!$C$2:$C$3520,$A44,Sales_Data!$X$2:$X$3520,"&lt;&gt;No Device",Sales_Data!$X$2:$X$3520,"&lt;&gt;",Sales_Data!$AE$2:$AE$3520,1)</f>
        <v>13</v>
      </c>
      <c r="Y44" s="26" t="n">
        <f aca="false">COUNTIFS(Sales_Data!$C$2:$C$3520,$A44,Sales_Data!$AD$2:$AD$3520,0,Sales_Data!$AE$2:$AE$3520,1)</f>
        <v>6</v>
      </c>
      <c r="Z44" s="26" t="n">
        <f aca="false">COUNTIFS(Sales_Data!$C$2:$C$3520,$A44,Sales_Data!$AC$2:$AC$3520,1)</f>
        <v>15</v>
      </c>
    </row>
    <row r="45" customFormat="false" ht="15" hidden="false" customHeight="false" outlineLevel="0" collapsed="false">
      <c r="A45" s="25" t="n">
        <v>46266</v>
      </c>
      <c r="B45" s="53" t="s">
        <v>501</v>
      </c>
      <c r="C45" s="26" t="n">
        <f aca="false">SUMIFS(Sales_Data!$AE$2:$AE$3520,Sales_Data!$C$2:$C$3520,$A45)</f>
        <v>51</v>
      </c>
      <c r="D45" s="26" t="n">
        <f aca="false">SUMIFS(Sales_Data!$M$2:$M$3520,Sales_Data!$C$2:$C$3520,$A45,Sales_Data!$AE$2:$AE$3520,1)</f>
        <v>28</v>
      </c>
      <c r="E45" s="26" t="n">
        <f aca="false">SUMIFS(Sales_Data!$N$2:$N$3520,Sales_Data!$C$2:$C$3520,$A45,Sales_Data!$AE$2:$AE$3520,1)</f>
        <v>34</v>
      </c>
      <c r="F45" s="26" t="n">
        <f aca="false">D45+E45</f>
        <v>62</v>
      </c>
      <c r="G45" s="28" t="n">
        <f aca="false">F45-F44</f>
        <v>-4</v>
      </c>
      <c r="H45" s="29" t="n">
        <f aca="false">IF(F44=0,"-",(F45-F44)/F44)</f>
        <v>-0.0606060606060606</v>
      </c>
      <c r="I45" s="30" t="n">
        <f aca="false">AVERAGE(F39:F45)</f>
        <v>45.4285714285714</v>
      </c>
      <c r="J45" s="29" t="n">
        <f aca="false">IF(F38=0,"-",(F45-F38)/F38)</f>
        <v>1.06666666666667</v>
      </c>
      <c r="K45" s="26" t="n">
        <f aca="false">SUMIFS(Sales_Data!$AF$2:$AF$3520,Sales_Data!$C$2:$C$3520,$A45)</f>
        <v>24</v>
      </c>
      <c r="L45" s="31" t="n">
        <f aca="false">IFERROR(F45/K45,0)</f>
        <v>2.58333333333333</v>
      </c>
      <c r="M45" s="26" t="n">
        <f aca="false">COUNTIFS(Sales_Data!$C$2:$C$3520,$A45,Sales_Data!$U$2:$U$3520,"Yes",Sales_Data!$AE$2:$AE$3520,1)</f>
        <v>0</v>
      </c>
      <c r="N45" s="26" t="n">
        <f aca="false">M45+COUNTIFS(Sales_Data!$C$2:$C$3520,$A45,Sales_Data!$U$2:$U$3520,"No",Sales_Data!$AE$2:$AE$3520,1)</f>
        <v>22</v>
      </c>
      <c r="O45" s="32" t="n">
        <f aca="false">IF(N45=0,"-",M45/N45)</f>
        <v>0</v>
      </c>
      <c r="P45" s="26" t="n">
        <f aca="false">COUNTIFS(Sales_Data!$C$2:$C$3520,$A45,Sales_Data!$W$2:$W$3520,"Yes",Sales_Data!$AE$2:$AE$3520,1)</f>
        <v>17</v>
      </c>
      <c r="Q45" s="26" t="n">
        <f aca="false">P45+COUNTIFS(Sales_Data!$C$2:$C$3520,$A45,Sales_Data!$W$2:$W$3520,"No",Sales_Data!$AE$2:$AE$3520,1)</f>
        <v>21</v>
      </c>
      <c r="R45" s="32" t="n">
        <f aca="false">IF(Q45=0,"-",P45/Q45)</f>
        <v>0.80952380952381</v>
      </c>
      <c r="S45" s="26" t="n">
        <f aca="false">SUMIFS(Sales_Data!$P$2:$P$3520,Sales_Data!$C$2:$C$3520,$A45,Sales_Data!$AE$2:$AE$3520,1)</f>
        <v>17</v>
      </c>
      <c r="T45" s="26" t="n">
        <f aca="false">SUMIFS(Sales_Data!$Q$2:$Q$3520,Sales_Data!$C$2:$C$3520,$A45,Sales_Data!$AE$2:$AE$3520,1)</f>
        <v>8</v>
      </c>
      <c r="U45" s="26" t="n">
        <f aca="false">SUMIFS(Sales_Data!$R$2:$R$3520,Sales_Data!$C$2:$C$3520,$A45,Sales_Data!$AE$2:$AE$3520,1)</f>
        <v>4</v>
      </c>
      <c r="V45" s="26" t="n">
        <f aca="false">SUMIFS(Sales_Data!$S$2:$S$3520,Sales_Data!$C$2:$C$3520,$A45,Sales_Data!$AE$2:$AE$3520,1)</f>
        <v>4</v>
      </c>
      <c r="W45" s="26" t="n">
        <f aca="false">SUMIFS(Sales_Data!$T$2:$T$3520,Sales_Data!$C$2:$C$3520,$A45,Sales_Data!$AE$2:$AE$3520,1)</f>
        <v>1</v>
      </c>
      <c r="X45" s="26" t="n">
        <f aca="false">COUNTIFS(Sales_Data!$C$2:$C$3520,$A45,Sales_Data!$X$2:$X$3520,"&lt;&gt;No Device",Sales_Data!$X$2:$X$3520,"&lt;&gt;",Sales_Data!$AE$2:$AE$3520,1)</f>
        <v>16</v>
      </c>
      <c r="Y45" s="26" t="n">
        <f aca="false">COUNTIFS(Sales_Data!$C$2:$C$3520,$A45,Sales_Data!$AD$2:$AD$3520,0,Sales_Data!$AE$2:$AE$3520,1)</f>
        <v>10</v>
      </c>
      <c r="Z45" s="26" t="n">
        <f aca="false">COUNTIFS(Sales_Data!$C$2:$C$3520,$A45,Sales_Data!$AC$2:$AC$3520,1)</f>
        <v>6</v>
      </c>
    </row>
    <row r="46" customFormat="false" ht="15" hidden="false" customHeight="false" outlineLevel="0" collapsed="false">
      <c r="A46" s="25" t="n">
        <v>46267</v>
      </c>
      <c r="B46" s="53" t="s">
        <v>143</v>
      </c>
      <c r="C46" s="26" t="n">
        <f aca="false">SUMIFS(Sales_Data!$AE$2:$AE$3520,Sales_Data!$C$2:$C$3520,$A46)</f>
        <v>47</v>
      </c>
      <c r="D46" s="26" t="n">
        <f aca="false">SUMIFS(Sales_Data!$M$2:$M$3520,Sales_Data!$C$2:$C$3520,$A46,Sales_Data!$AE$2:$AE$3520,1)</f>
        <v>13</v>
      </c>
      <c r="E46" s="26" t="n">
        <f aca="false">SUMIFS(Sales_Data!$N$2:$N$3520,Sales_Data!$C$2:$C$3520,$A46,Sales_Data!$AE$2:$AE$3520,1)</f>
        <v>37</v>
      </c>
      <c r="F46" s="26" t="n">
        <f aca="false">D46+E46</f>
        <v>50</v>
      </c>
      <c r="G46" s="28" t="n">
        <f aca="false">F46-F45</f>
        <v>-12</v>
      </c>
      <c r="H46" s="29" t="n">
        <f aca="false">IF(F45=0,"-",(F46-F45)/F45)</f>
        <v>-0.193548387096774</v>
      </c>
      <c r="I46" s="30" t="n">
        <f aca="false">AVERAGE(F40:F46)</f>
        <v>48.5714285714286</v>
      </c>
      <c r="J46" s="29" t="n">
        <f aca="false">IF(F39=0,"-",(F46-F39)/F39)</f>
        <v>0.785714285714286</v>
      </c>
      <c r="K46" s="26" t="n">
        <f aca="false">SUMIFS(Sales_Data!$AF$2:$AF$3520,Sales_Data!$C$2:$C$3520,$A46)</f>
        <v>24</v>
      </c>
      <c r="L46" s="31" t="n">
        <f aca="false">IFERROR(F46/K46,0)</f>
        <v>2.08333333333333</v>
      </c>
      <c r="M46" s="26" t="n">
        <f aca="false">COUNTIFS(Sales_Data!$C$2:$C$3520,$A46,Sales_Data!$U$2:$U$3520,"Yes",Sales_Data!$AE$2:$AE$3520,1)</f>
        <v>1</v>
      </c>
      <c r="N46" s="26" t="n">
        <f aca="false">M46+COUNTIFS(Sales_Data!$C$2:$C$3520,$A46,Sales_Data!$U$2:$U$3520,"No",Sales_Data!$AE$2:$AE$3520,1)</f>
        <v>11</v>
      </c>
      <c r="O46" s="32" t="n">
        <f aca="false">IF(N46=0,"-",M46/N46)</f>
        <v>0.0909090909090909</v>
      </c>
      <c r="P46" s="26" t="n">
        <f aca="false">COUNTIFS(Sales_Data!$C$2:$C$3520,$A46,Sales_Data!$W$2:$W$3520,"Yes",Sales_Data!$AE$2:$AE$3520,1)</f>
        <v>5</v>
      </c>
      <c r="Q46" s="26" t="n">
        <f aca="false">P46+COUNTIFS(Sales_Data!$C$2:$C$3520,$A46,Sales_Data!$W$2:$W$3520,"No",Sales_Data!$AE$2:$AE$3520,1)</f>
        <v>10</v>
      </c>
      <c r="R46" s="32" t="n">
        <f aca="false">IF(Q46=0,"-",P46/Q46)</f>
        <v>0.5</v>
      </c>
      <c r="S46" s="26" t="n">
        <f aca="false">SUMIFS(Sales_Data!$P$2:$P$3520,Sales_Data!$C$2:$C$3520,$A46,Sales_Data!$AE$2:$AE$3520,1)</f>
        <v>20</v>
      </c>
      <c r="T46" s="26" t="n">
        <f aca="false">SUMIFS(Sales_Data!$Q$2:$Q$3520,Sales_Data!$C$2:$C$3520,$A46,Sales_Data!$AE$2:$AE$3520,1)</f>
        <v>11</v>
      </c>
      <c r="U46" s="26" t="n">
        <f aca="false">SUMIFS(Sales_Data!$R$2:$R$3520,Sales_Data!$C$2:$C$3520,$A46,Sales_Data!$AE$2:$AE$3520,1)</f>
        <v>5</v>
      </c>
      <c r="V46" s="26" t="n">
        <f aca="false">SUMIFS(Sales_Data!$S$2:$S$3520,Sales_Data!$C$2:$C$3520,$A46,Sales_Data!$AE$2:$AE$3520,1)</f>
        <v>1</v>
      </c>
      <c r="W46" s="26" t="n">
        <f aca="false">SUMIFS(Sales_Data!$T$2:$T$3520,Sales_Data!$C$2:$C$3520,$A46,Sales_Data!$AE$2:$AE$3520,1)</f>
        <v>0</v>
      </c>
      <c r="X46" s="26" t="n">
        <f aca="false">COUNTIFS(Sales_Data!$C$2:$C$3520,$A46,Sales_Data!$X$2:$X$3520,"&lt;&gt;No Device",Sales_Data!$X$2:$X$3520,"&lt;&gt;",Sales_Data!$AE$2:$AE$3520,1)</f>
        <v>10</v>
      </c>
      <c r="Y46" s="26" t="n">
        <f aca="false">COUNTIFS(Sales_Data!$C$2:$C$3520,$A46,Sales_Data!$AD$2:$AD$3520,0,Sales_Data!$AE$2:$AE$3520,1)</f>
        <v>7</v>
      </c>
      <c r="Z46" s="26" t="n">
        <f aca="false">COUNTIFS(Sales_Data!$C$2:$C$3520,$A46,Sales_Data!$AC$2:$AC$3520,1)</f>
        <v>4</v>
      </c>
    </row>
    <row r="47" customFormat="false" ht="15" hidden="false" customHeight="false" outlineLevel="0" collapsed="false">
      <c r="A47" s="25" t="n">
        <v>46268</v>
      </c>
      <c r="B47" s="53" t="s">
        <v>202</v>
      </c>
      <c r="C47" s="26" t="n">
        <f aca="false">SUMIFS(Sales_Data!$AE$2:$AE$3520,Sales_Data!$C$2:$C$3520,$A47)</f>
        <v>57</v>
      </c>
      <c r="D47" s="26" t="n">
        <f aca="false">SUMIFS(Sales_Data!$M$2:$M$3520,Sales_Data!$C$2:$C$3520,$A47,Sales_Data!$AE$2:$AE$3520,1)</f>
        <v>21</v>
      </c>
      <c r="E47" s="26" t="n">
        <f aca="false">SUMIFS(Sales_Data!$N$2:$N$3520,Sales_Data!$C$2:$C$3520,$A47,Sales_Data!$AE$2:$AE$3520,1)</f>
        <v>45</v>
      </c>
      <c r="F47" s="26" t="n">
        <f aca="false">D47+E47</f>
        <v>66</v>
      </c>
      <c r="G47" s="28" t="n">
        <f aca="false">F47-F46</f>
        <v>16</v>
      </c>
      <c r="H47" s="29" t="n">
        <f aca="false">IF(F46=0,"-",(F47-F46)/F46)</f>
        <v>0.32</v>
      </c>
      <c r="I47" s="30" t="n">
        <f aca="false">AVERAGE(F41:F47)</f>
        <v>52.7142857142857</v>
      </c>
      <c r="J47" s="29" t="n">
        <f aca="false">IF(F40=0,"-",(F47-F40)/F40)</f>
        <v>0.783783783783784</v>
      </c>
      <c r="K47" s="26" t="n">
        <f aca="false">SUMIFS(Sales_Data!$AF$2:$AF$3520,Sales_Data!$C$2:$C$3520,$A47)</f>
        <v>28</v>
      </c>
      <c r="L47" s="31" t="n">
        <f aca="false">IFERROR(F47/K47,0)</f>
        <v>2.35714285714286</v>
      </c>
      <c r="M47" s="26" t="n">
        <f aca="false">COUNTIFS(Sales_Data!$C$2:$C$3520,$A47,Sales_Data!$U$2:$U$3520,"Yes",Sales_Data!$AE$2:$AE$3520,1)</f>
        <v>2</v>
      </c>
      <c r="N47" s="26" t="n">
        <f aca="false">M47+COUNTIFS(Sales_Data!$C$2:$C$3520,$A47,Sales_Data!$U$2:$U$3520,"No",Sales_Data!$AE$2:$AE$3520,1)</f>
        <v>19</v>
      </c>
      <c r="O47" s="32" t="n">
        <f aca="false">IF(N47=0,"-",M47/N47)</f>
        <v>0.105263157894737</v>
      </c>
      <c r="P47" s="26" t="n">
        <f aca="false">COUNTIFS(Sales_Data!$C$2:$C$3520,$A47,Sales_Data!$W$2:$W$3520,"Yes",Sales_Data!$AE$2:$AE$3520,1)</f>
        <v>13</v>
      </c>
      <c r="Q47" s="26" t="n">
        <f aca="false">P47+COUNTIFS(Sales_Data!$C$2:$C$3520,$A47,Sales_Data!$W$2:$W$3520,"No",Sales_Data!$AE$2:$AE$3520,1)</f>
        <v>16</v>
      </c>
      <c r="R47" s="32" t="n">
        <f aca="false">IF(Q47=0,"-",P47/Q47)</f>
        <v>0.8125</v>
      </c>
      <c r="S47" s="26" t="n">
        <f aca="false">SUMIFS(Sales_Data!$P$2:$P$3520,Sales_Data!$C$2:$C$3520,$A47,Sales_Data!$AE$2:$AE$3520,1)</f>
        <v>20</v>
      </c>
      <c r="T47" s="26" t="n">
        <f aca="false">SUMIFS(Sales_Data!$Q$2:$Q$3520,Sales_Data!$C$2:$C$3520,$A47,Sales_Data!$AE$2:$AE$3520,1)</f>
        <v>13</v>
      </c>
      <c r="U47" s="26" t="n">
        <f aca="false">SUMIFS(Sales_Data!$R$2:$R$3520,Sales_Data!$C$2:$C$3520,$A47,Sales_Data!$AE$2:$AE$3520,1)</f>
        <v>5</v>
      </c>
      <c r="V47" s="26" t="n">
        <f aca="false">SUMIFS(Sales_Data!$S$2:$S$3520,Sales_Data!$C$2:$C$3520,$A47,Sales_Data!$AE$2:$AE$3520,1)</f>
        <v>2</v>
      </c>
      <c r="W47" s="26" t="n">
        <f aca="false">SUMIFS(Sales_Data!$T$2:$T$3520,Sales_Data!$C$2:$C$3520,$A47,Sales_Data!$AE$2:$AE$3520,1)</f>
        <v>6</v>
      </c>
      <c r="X47" s="26" t="n">
        <f aca="false">COUNTIFS(Sales_Data!$C$2:$C$3520,$A47,Sales_Data!$X$2:$X$3520,"&lt;&gt;No Device",Sales_Data!$X$2:$X$3520,"&lt;&gt;",Sales_Data!$AE$2:$AE$3520,1)</f>
        <v>16</v>
      </c>
      <c r="Y47" s="26" t="n">
        <f aca="false">COUNTIFS(Sales_Data!$C$2:$C$3520,$A47,Sales_Data!$AD$2:$AD$3520,0,Sales_Data!$AE$2:$AE$3520,1)</f>
        <v>1</v>
      </c>
      <c r="Z47" s="26" t="n">
        <f aca="false">COUNTIFS(Sales_Data!$C$2:$C$3520,$A47,Sales_Data!$AC$2:$AC$3520,1)</f>
        <v>9</v>
      </c>
    </row>
    <row r="48" customFormat="false" ht="15" hidden="false" customHeight="false" outlineLevel="0" collapsed="false">
      <c r="A48" s="25" t="n">
        <v>46269</v>
      </c>
      <c r="B48" s="53" t="s">
        <v>288</v>
      </c>
      <c r="C48" s="26" t="n">
        <f aca="false">SUMIFS(Sales_Data!$AE$2:$AE$3520,Sales_Data!$C$2:$C$3520,$A48)</f>
        <v>52</v>
      </c>
      <c r="D48" s="26" t="n">
        <f aca="false">SUMIFS(Sales_Data!$M$2:$M$3520,Sales_Data!$C$2:$C$3520,$A48,Sales_Data!$AE$2:$AE$3520,1)</f>
        <v>20</v>
      </c>
      <c r="E48" s="26" t="n">
        <f aca="false">SUMIFS(Sales_Data!$N$2:$N$3520,Sales_Data!$C$2:$C$3520,$A48,Sales_Data!$AE$2:$AE$3520,1)</f>
        <v>39</v>
      </c>
      <c r="F48" s="26" t="n">
        <f aca="false">D48+E48</f>
        <v>59</v>
      </c>
      <c r="G48" s="28" t="n">
        <f aca="false">F48-F47</f>
        <v>-7</v>
      </c>
      <c r="H48" s="29" t="n">
        <f aca="false">IF(F47=0,"-",(F48-F47)/F47)</f>
        <v>-0.106060606060606</v>
      </c>
      <c r="I48" s="30" t="n">
        <f aca="false">AVERAGE(F42:F48)</f>
        <v>57.5714285714286</v>
      </c>
      <c r="J48" s="29" t="n">
        <f aca="false">IF(F41=0,"-",(F48-F41)/F41)</f>
        <v>1.36</v>
      </c>
      <c r="K48" s="26" t="n">
        <f aca="false">SUMIFS(Sales_Data!$AF$2:$AF$3520,Sales_Data!$C$2:$C$3520,$A48)</f>
        <v>26</v>
      </c>
      <c r="L48" s="31" t="n">
        <f aca="false">IFERROR(F48/K48,0)</f>
        <v>2.26923076923077</v>
      </c>
      <c r="M48" s="26" t="n">
        <f aca="false">COUNTIFS(Sales_Data!$C$2:$C$3520,$A48,Sales_Data!$U$2:$U$3520,"Yes",Sales_Data!$AE$2:$AE$3520,1)</f>
        <v>1</v>
      </c>
      <c r="N48" s="26" t="n">
        <f aca="false">M48+COUNTIFS(Sales_Data!$C$2:$C$3520,$A48,Sales_Data!$U$2:$U$3520,"No",Sales_Data!$AE$2:$AE$3520,1)</f>
        <v>17</v>
      </c>
      <c r="O48" s="32" t="n">
        <f aca="false">IF(N48=0,"-",M48/N48)</f>
        <v>0.0588235294117647</v>
      </c>
      <c r="P48" s="26" t="n">
        <f aca="false">COUNTIFS(Sales_Data!$C$2:$C$3520,$A48,Sales_Data!$W$2:$W$3520,"Yes",Sales_Data!$AE$2:$AE$3520,1)</f>
        <v>11</v>
      </c>
      <c r="Q48" s="26" t="n">
        <f aca="false">P48+COUNTIFS(Sales_Data!$C$2:$C$3520,$A48,Sales_Data!$W$2:$W$3520,"No",Sales_Data!$AE$2:$AE$3520,1)</f>
        <v>14</v>
      </c>
      <c r="R48" s="32" t="n">
        <f aca="false">IF(Q48=0,"-",P48/Q48)</f>
        <v>0.785714285714286</v>
      </c>
      <c r="S48" s="26" t="n">
        <f aca="false">SUMIFS(Sales_Data!$P$2:$P$3520,Sales_Data!$C$2:$C$3520,$A48,Sales_Data!$AE$2:$AE$3520,1)</f>
        <v>20</v>
      </c>
      <c r="T48" s="26" t="n">
        <f aca="false">SUMIFS(Sales_Data!$Q$2:$Q$3520,Sales_Data!$C$2:$C$3520,$A48,Sales_Data!$AE$2:$AE$3520,1)</f>
        <v>9</v>
      </c>
      <c r="U48" s="26" t="n">
        <f aca="false">SUMIFS(Sales_Data!$R$2:$R$3520,Sales_Data!$C$2:$C$3520,$A48,Sales_Data!$AE$2:$AE$3520,1)</f>
        <v>9</v>
      </c>
      <c r="V48" s="26" t="n">
        <f aca="false">SUMIFS(Sales_Data!$S$2:$S$3520,Sales_Data!$C$2:$C$3520,$A48,Sales_Data!$AE$2:$AE$3520,1)</f>
        <v>1</v>
      </c>
      <c r="W48" s="26" t="n">
        <f aca="false">SUMIFS(Sales_Data!$T$2:$T$3520,Sales_Data!$C$2:$C$3520,$A48,Sales_Data!$AE$2:$AE$3520,1)</f>
        <v>0</v>
      </c>
      <c r="X48" s="26" t="n">
        <f aca="false">COUNTIFS(Sales_Data!$C$2:$C$3520,$A48,Sales_Data!$X$2:$X$3520,"&lt;&gt;No Device",Sales_Data!$X$2:$X$3520,"&lt;&gt;",Sales_Data!$AE$2:$AE$3520,1)</f>
        <v>14</v>
      </c>
      <c r="Y48" s="26" t="n">
        <f aca="false">COUNTIFS(Sales_Data!$C$2:$C$3520,$A48,Sales_Data!$AD$2:$AD$3520,0,Sales_Data!$AE$2:$AE$3520,1)</f>
        <v>2</v>
      </c>
      <c r="Z48" s="26" t="n">
        <f aca="false">COUNTIFS(Sales_Data!$C$2:$C$3520,$A48,Sales_Data!$AC$2:$AC$3520,1)</f>
        <v>10</v>
      </c>
    </row>
    <row r="49" customFormat="false" ht="15" hidden="false" customHeight="false" outlineLevel="0" collapsed="false">
      <c r="A49" s="25" t="n">
        <v>46270</v>
      </c>
      <c r="B49" s="53" t="s">
        <v>358</v>
      </c>
      <c r="C49" s="26" t="n">
        <f aca="false">SUMIFS(Sales_Data!$AE$2:$AE$3520,Sales_Data!$C$2:$C$3520,$A49)</f>
        <v>49</v>
      </c>
      <c r="D49" s="26" t="n">
        <f aca="false">SUMIFS(Sales_Data!$M$2:$M$3520,Sales_Data!$C$2:$C$3520,$A49,Sales_Data!$AE$2:$AE$3520,1)</f>
        <v>15</v>
      </c>
      <c r="E49" s="26" t="n">
        <f aca="false">SUMIFS(Sales_Data!$N$2:$N$3520,Sales_Data!$C$2:$C$3520,$A49,Sales_Data!$AE$2:$AE$3520,1)</f>
        <v>41</v>
      </c>
      <c r="F49" s="26" t="n">
        <f aca="false">D49+E49</f>
        <v>56</v>
      </c>
      <c r="G49" s="28" t="n">
        <f aca="false">F49-F48</f>
        <v>-3</v>
      </c>
      <c r="H49" s="29" t="n">
        <f aca="false">IF(F48=0,"-",(F49-F48)/F48)</f>
        <v>-0.0508474576271187</v>
      </c>
      <c r="I49" s="30" t="n">
        <f aca="false">AVERAGE(F43:F49)</f>
        <v>56.7142857142857</v>
      </c>
      <c r="J49" s="29" t="n">
        <f aca="false">IF(F42=0,"-",(F49-F42)/F42)</f>
        <v>-0.0967741935483871</v>
      </c>
      <c r="K49" s="26" t="n">
        <f aca="false">SUMIFS(Sales_Data!$AF$2:$AF$3520,Sales_Data!$C$2:$C$3520,$A49)</f>
        <v>26</v>
      </c>
      <c r="L49" s="31" t="n">
        <f aca="false">IFERROR(F49/K49,0)</f>
        <v>2.15384615384615</v>
      </c>
      <c r="M49" s="26" t="n">
        <f aca="false">COUNTIFS(Sales_Data!$C$2:$C$3520,$A49,Sales_Data!$U$2:$U$3520,"Yes",Sales_Data!$AE$2:$AE$3520,1)</f>
        <v>0</v>
      </c>
      <c r="N49" s="26" t="n">
        <f aca="false">M49+COUNTIFS(Sales_Data!$C$2:$C$3520,$A49,Sales_Data!$U$2:$U$3520,"No",Sales_Data!$AE$2:$AE$3520,1)</f>
        <v>15</v>
      </c>
      <c r="O49" s="32" t="n">
        <f aca="false">IF(N49=0,"-",M49/N49)</f>
        <v>0</v>
      </c>
      <c r="P49" s="26" t="n">
        <f aca="false">COUNTIFS(Sales_Data!$C$2:$C$3520,$A49,Sales_Data!$W$2:$W$3520,"Yes",Sales_Data!$AE$2:$AE$3520,1)</f>
        <v>10</v>
      </c>
      <c r="Q49" s="26" t="n">
        <f aca="false">P49+COUNTIFS(Sales_Data!$C$2:$C$3520,$A49,Sales_Data!$W$2:$W$3520,"No",Sales_Data!$AE$2:$AE$3520,1)</f>
        <v>12</v>
      </c>
      <c r="R49" s="32" t="n">
        <f aca="false">IF(Q49=0,"-",P49/Q49)</f>
        <v>0.833333333333333</v>
      </c>
      <c r="S49" s="26" t="n">
        <f aca="false">SUMIFS(Sales_Data!$P$2:$P$3520,Sales_Data!$C$2:$C$3520,$A49,Sales_Data!$AE$2:$AE$3520,1)</f>
        <v>24</v>
      </c>
      <c r="T49" s="26" t="n">
        <f aca="false">SUMIFS(Sales_Data!$Q$2:$Q$3520,Sales_Data!$C$2:$C$3520,$A49,Sales_Data!$AE$2:$AE$3520,1)</f>
        <v>9</v>
      </c>
      <c r="U49" s="26" t="n">
        <f aca="false">SUMIFS(Sales_Data!$R$2:$R$3520,Sales_Data!$C$2:$C$3520,$A49,Sales_Data!$AE$2:$AE$3520,1)</f>
        <v>7</v>
      </c>
      <c r="V49" s="26" t="n">
        <f aca="false">SUMIFS(Sales_Data!$S$2:$S$3520,Sales_Data!$C$2:$C$3520,$A49,Sales_Data!$AE$2:$AE$3520,1)</f>
        <v>1</v>
      </c>
      <c r="W49" s="26" t="n">
        <f aca="false">SUMIFS(Sales_Data!$T$2:$T$3520,Sales_Data!$C$2:$C$3520,$A49,Sales_Data!$AE$2:$AE$3520,1)</f>
        <v>0</v>
      </c>
      <c r="X49" s="26" t="n">
        <f aca="false">COUNTIFS(Sales_Data!$C$2:$C$3520,$A49,Sales_Data!$X$2:$X$3520,"&lt;&gt;No Device",Sales_Data!$X$2:$X$3520,"&lt;&gt;",Sales_Data!$AE$2:$AE$3520,1)</f>
        <v>15</v>
      </c>
      <c r="Y49" s="26" t="n">
        <f aca="false">COUNTIFS(Sales_Data!$C$2:$C$3520,$A49,Sales_Data!$AD$2:$AD$3520,0,Sales_Data!$AE$2:$AE$3520,1)</f>
        <v>5</v>
      </c>
      <c r="Z49" s="26" t="n">
        <f aca="false">COUNTIFS(Sales_Data!$C$2:$C$3520,$A49,Sales_Data!$AC$2:$AC$3520,1)</f>
        <v>7</v>
      </c>
    </row>
    <row r="50" customFormat="false" ht="15" hidden="false" customHeight="false" outlineLevel="0" collapsed="false">
      <c r="A50" s="25" t="n">
        <v>46271</v>
      </c>
      <c r="B50" s="53" t="s">
        <v>393</v>
      </c>
      <c r="C50" s="26" t="n">
        <f aca="false">SUMIFS(Sales_Data!$AE$2:$AE$3520,Sales_Data!$C$2:$C$3520,$A50)</f>
        <v>38</v>
      </c>
      <c r="D50" s="26" t="n">
        <f aca="false">SUMIFS(Sales_Data!$M$2:$M$3520,Sales_Data!$C$2:$C$3520,$A50,Sales_Data!$AE$2:$AE$3520,1)</f>
        <v>14</v>
      </c>
      <c r="E50" s="26" t="n">
        <f aca="false">SUMIFS(Sales_Data!$N$2:$N$3520,Sales_Data!$C$2:$C$3520,$A50,Sales_Data!$AE$2:$AE$3520,1)</f>
        <v>26</v>
      </c>
      <c r="F50" s="26" t="n">
        <f aca="false">D50+E50</f>
        <v>40</v>
      </c>
      <c r="G50" s="28" t="n">
        <f aca="false">F50-F49</f>
        <v>-16</v>
      </c>
      <c r="H50" s="29" t="n">
        <f aca="false">IF(F49=0,"-",(F50-F49)/F49)</f>
        <v>-0.285714285714286</v>
      </c>
      <c r="I50" s="30" t="n">
        <f aca="false">AVERAGE(F44:F50)</f>
        <v>57</v>
      </c>
      <c r="J50" s="29" t="n">
        <f aca="false">IF(F43=0,"-",(F50-F43)/F43)</f>
        <v>0.0526315789473684</v>
      </c>
      <c r="K50" s="26" t="n">
        <f aca="false">SUMIFS(Sales_Data!$AF$2:$AF$3520,Sales_Data!$C$2:$C$3520,$A50)</f>
        <v>21</v>
      </c>
      <c r="L50" s="31" t="n">
        <f aca="false">IFERROR(F50/K50,0)</f>
        <v>1.9047619047619</v>
      </c>
      <c r="M50" s="26" t="n">
        <f aca="false">COUNTIFS(Sales_Data!$C$2:$C$3520,$A50,Sales_Data!$U$2:$U$3520,"Yes",Sales_Data!$AE$2:$AE$3520,1)</f>
        <v>0</v>
      </c>
      <c r="N50" s="26" t="n">
        <f aca="false">M50+COUNTIFS(Sales_Data!$C$2:$C$3520,$A50,Sales_Data!$U$2:$U$3520,"No",Sales_Data!$AE$2:$AE$3520,1)</f>
        <v>14</v>
      </c>
      <c r="O50" s="32" t="n">
        <f aca="false">IF(N50=0,"-",M50/N50)</f>
        <v>0</v>
      </c>
      <c r="P50" s="26" t="n">
        <f aca="false">COUNTIFS(Sales_Data!$C$2:$C$3520,$A50,Sales_Data!$W$2:$W$3520,"Yes",Sales_Data!$AE$2:$AE$3520,1)</f>
        <v>13</v>
      </c>
      <c r="Q50" s="26" t="n">
        <f aca="false">P50+COUNTIFS(Sales_Data!$C$2:$C$3520,$A50,Sales_Data!$W$2:$W$3520,"No",Sales_Data!$AE$2:$AE$3520,1)</f>
        <v>14</v>
      </c>
      <c r="R50" s="32" t="n">
        <f aca="false">IF(Q50=0,"-",P50/Q50)</f>
        <v>0.928571428571429</v>
      </c>
      <c r="S50" s="26" t="n">
        <f aca="false">SUMIFS(Sales_Data!$P$2:$P$3520,Sales_Data!$C$2:$C$3520,$A50,Sales_Data!$AE$2:$AE$3520,1)</f>
        <v>15</v>
      </c>
      <c r="T50" s="26" t="n">
        <f aca="false">SUMIFS(Sales_Data!$Q$2:$Q$3520,Sales_Data!$C$2:$C$3520,$A50,Sales_Data!$AE$2:$AE$3520,1)</f>
        <v>8</v>
      </c>
      <c r="U50" s="26" t="n">
        <f aca="false">SUMIFS(Sales_Data!$R$2:$R$3520,Sales_Data!$C$2:$C$3520,$A50,Sales_Data!$AE$2:$AE$3520,1)</f>
        <v>3</v>
      </c>
      <c r="V50" s="26" t="n">
        <f aca="false">SUMIFS(Sales_Data!$S$2:$S$3520,Sales_Data!$C$2:$C$3520,$A50,Sales_Data!$AE$2:$AE$3520,1)</f>
        <v>0</v>
      </c>
      <c r="W50" s="26" t="n">
        <f aca="false">SUMIFS(Sales_Data!$T$2:$T$3520,Sales_Data!$C$2:$C$3520,$A50,Sales_Data!$AE$2:$AE$3520,1)</f>
        <v>0</v>
      </c>
      <c r="X50" s="26" t="n">
        <f aca="false">COUNTIFS(Sales_Data!$C$2:$C$3520,$A50,Sales_Data!$X$2:$X$3520,"&lt;&gt;No Device",Sales_Data!$X$2:$X$3520,"&lt;&gt;",Sales_Data!$AE$2:$AE$3520,1)</f>
        <v>12</v>
      </c>
      <c r="Y50" s="26" t="n">
        <f aca="false">COUNTIFS(Sales_Data!$C$2:$C$3520,$A50,Sales_Data!$AD$2:$AD$3520,0,Sales_Data!$AE$2:$AE$3520,1)</f>
        <v>2</v>
      </c>
      <c r="Z50" s="26" t="n">
        <f aca="false">COUNTIFS(Sales_Data!$C$2:$C$3520,$A50,Sales_Data!$AC$2:$AC$3520,1)</f>
        <v>0</v>
      </c>
    </row>
    <row r="51" customFormat="false" ht="15" hidden="false" customHeight="false" outlineLevel="0" collapsed="false">
      <c r="A51" s="25" t="n">
        <v>46272</v>
      </c>
      <c r="B51" s="53" t="s">
        <v>429</v>
      </c>
      <c r="C51" s="26" t="n">
        <f aca="false">SUMIFS(Sales_Data!$AE$2:$AE$3520,Sales_Data!$C$2:$C$3520,$A51)</f>
        <v>53</v>
      </c>
      <c r="D51" s="26" t="n">
        <f aca="false">SUMIFS(Sales_Data!$M$2:$M$3520,Sales_Data!$C$2:$C$3520,$A51,Sales_Data!$AE$2:$AE$3520,1)</f>
        <v>23</v>
      </c>
      <c r="E51" s="26" t="n">
        <f aca="false">SUMIFS(Sales_Data!$N$2:$N$3520,Sales_Data!$C$2:$C$3520,$A51,Sales_Data!$AE$2:$AE$3520,1)</f>
        <v>37</v>
      </c>
      <c r="F51" s="26" t="n">
        <f aca="false">D51+E51</f>
        <v>60</v>
      </c>
      <c r="G51" s="28" t="n">
        <f aca="false">F51-F50</f>
        <v>20</v>
      </c>
      <c r="H51" s="29" t="n">
        <f aca="false">IF(F50=0,"-",(F51-F50)/F50)</f>
        <v>0.5</v>
      </c>
      <c r="I51" s="30" t="n">
        <f aca="false">AVERAGE(F45:F51)</f>
        <v>56.1428571428571</v>
      </c>
      <c r="J51" s="29" t="n">
        <f aca="false">IF(F44=0,"-",(F51-F44)/F44)</f>
        <v>-0.0909090909090909</v>
      </c>
      <c r="K51" s="26" t="n">
        <f aca="false">SUMIFS(Sales_Data!$AF$2:$AF$3520,Sales_Data!$C$2:$C$3520,$A51)</f>
        <v>32</v>
      </c>
      <c r="L51" s="31" t="n">
        <f aca="false">IFERROR(F51/K51,0)</f>
        <v>1.875</v>
      </c>
      <c r="M51" s="26" t="n">
        <f aca="false">COUNTIFS(Sales_Data!$C$2:$C$3520,$A51,Sales_Data!$U$2:$U$3520,"Yes",Sales_Data!$AE$2:$AE$3520,1)</f>
        <v>1</v>
      </c>
      <c r="N51" s="26" t="n">
        <f aca="false">M51+COUNTIFS(Sales_Data!$C$2:$C$3520,$A51,Sales_Data!$U$2:$U$3520,"No",Sales_Data!$AE$2:$AE$3520,1)</f>
        <v>23</v>
      </c>
      <c r="O51" s="32" t="n">
        <f aca="false">IF(N51=0,"-",M51/N51)</f>
        <v>0.0434782608695652</v>
      </c>
      <c r="P51" s="26" t="n">
        <f aca="false">COUNTIFS(Sales_Data!$C$2:$C$3520,$A51,Sales_Data!$W$2:$W$3520,"Yes",Sales_Data!$AE$2:$AE$3520,1)</f>
        <v>21</v>
      </c>
      <c r="Q51" s="26" t="n">
        <f aca="false">P51+COUNTIFS(Sales_Data!$C$2:$C$3520,$A51,Sales_Data!$W$2:$W$3520,"No",Sales_Data!$AE$2:$AE$3520,1)</f>
        <v>23</v>
      </c>
      <c r="R51" s="32" t="n">
        <f aca="false">IF(Q51=0,"-",P51/Q51)</f>
        <v>0.91304347826087</v>
      </c>
      <c r="S51" s="26" t="n">
        <f aca="false">SUMIFS(Sales_Data!$P$2:$P$3520,Sales_Data!$C$2:$C$3520,$A51,Sales_Data!$AE$2:$AE$3520,1)</f>
        <v>22</v>
      </c>
      <c r="T51" s="26" t="n">
        <f aca="false">SUMIFS(Sales_Data!$Q$2:$Q$3520,Sales_Data!$C$2:$C$3520,$A51,Sales_Data!$AE$2:$AE$3520,1)</f>
        <v>10</v>
      </c>
      <c r="U51" s="26" t="n">
        <f aca="false">SUMIFS(Sales_Data!$R$2:$R$3520,Sales_Data!$C$2:$C$3520,$A51,Sales_Data!$AE$2:$AE$3520,1)</f>
        <v>3</v>
      </c>
      <c r="V51" s="26" t="n">
        <f aca="false">SUMIFS(Sales_Data!$S$2:$S$3520,Sales_Data!$C$2:$C$3520,$A51,Sales_Data!$AE$2:$AE$3520,1)</f>
        <v>0</v>
      </c>
      <c r="W51" s="26" t="n">
        <f aca="false">SUMIFS(Sales_Data!$T$2:$T$3520,Sales_Data!$C$2:$C$3520,$A51,Sales_Data!$AE$2:$AE$3520,1)</f>
        <v>2</v>
      </c>
      <c r="X51" s="26" t="n">
        <f aca="false">COUNTIFS(Sales_Data!$C$2:$C$3520,$A51,Sales_Data!$X$2:$X$3520,"&lt;&gt;No Device",Sales_Data!$X$2:$X$3520,"&lt;&gt;",Sales_Data!$AE$2:$AE$3520,1)</f>
        <v>22</v>
      </c>
      <c r="Y51" s="26" t="n">
        <f aca="false">COUNTIFS(Sales_Data!$C$2:$C$3520,$A51,Sales_Data!$AD$2:$AD$3520,0,Sales_Data!$AE$2:$AE$3520,1)</f>
        <v>4</v>
      </c>
      <c r="Z51" s="26" t="n">
        <f aca="false">COUNTIFS(Sales_Data!$C$2:$C$3520,$A51,Sales_Data!$AC$2:$AC$3520,1)</f>
        <v>6</v>
      </c>
    </row>
    <row r="52" customFormat="false" ht="15" hidden="false" customHeight="false" outlineLevel="0" collapsed="false">
      <c r="A52" s="25" t="n">
        <v>46273</v>
      </c>
      <c r="B52" s="53" t="s">
        <v>501</v>
      </c>
      <c r="C52" s="26" t="n">
        <f aca="false">SUMIFS(Sales_Data!$AE$2:$AE$3520,Sales_Data!$C$2:$C$3520,$A52)</f>
        <v>70</v>
      </c>
      <c r="D52" s="26" t="n">
        <f aca="false">SUMIFS(Sales_Data!$M$2:$M$3520,Sales_Data!$C$2:$C$3520,$A52,Sales_Data!$AE$2:$AE$3520,1)</f>
        <v>51</v>
      </c>
      <c r="E52" s="26" t="n">
        <f aca="false">SUMIFS(Sales_Data!$N$2:$N$3520,Sales_Data!$C$2:$C$3520,$A52,Sales_Data!$AE$2:$AE$3520,1)</f>
        <v>52</v>
      </c>
      <c r="F52" s="26" t="n">
        <f aca="false">D52+E52</f>
        <v>103</v>
      </c>
      <c r="G52" s="28" t="n">
        <f aca="false">F52-F51</f>
        <v>43</v>
      </c>
      <c r="H52" s="29" t="n">
        <f aca="false">IF(F51=0,"-",(F52-F51)/F51)</f>
        <v>0.716666666666667</v>
      </c>
      <c r="I52" s="30" t="n">
        <f aca="false">AVERAGE(F46:F52)</f>
        <v>62</v>
      </c>
      <c r="J52" s="29" t="n">
        <f aca="false">IF(F45=0,"-",(F52-F45)/F45)</f>
        <v>0.661290322580645</v>
      </c>
      <c r="K52" s="26" t="n">
        <f aca="false">SUMIFS(Sales_Data!$AF$2:$AF$3520,Sales_Data!$C$2:$C$3520,$A52)</f>
        <v>39</v>
      </c>
      <c r="L52" s="31" t="n">
        <f aca="false">IFERROR(F52/K52,0)</f>
        <v>2.64102564102564</v>
      </c>
      <c r="M52" s="26" t="n">
        <f aca="false">COUNTIFS(Sales_Data!$C$2:$C$3520,$A52,Sales_Data!$U$2:$U$3520,"Yes",Sales_Data!$AE$2:$AE$3520,1)</f>
        <v>6</v>
      </c>
      <c r="N52" s="26" t="n">
        <f aca="false">M52+COUNTIFS(Sales_Data!$C$2:$C$3520,$A52,Sales_Data!$U$2:$U$3520,"No",Sales_Data!$AE$2:$AE$3520,1)</f>
        <v>24</v>
      </c>
      <c r="O52" s="32" t="n">
        <f aca="false">IF(N52=0,"-",M52/N52)</f>
        <v>0.25</v>
      </c>
      <c r="P52" s="26" t="n">
        <f aca="false">COUNTIFS(Sales_Data!$C$2:$C$3520,$A52,Sales_Data!$W$2:$W$3520,"Yes",Sales_Data!$AE$2:$AE$3520,1)</f>
        <v>20</v>
      </c>
      <c r="Q52" s="26" t="n">
        <f aca="false">P52+COUNTIFS(Sales_Data!$C$2:$C$3520,$A52,Sales_Data!$W$2:$W$3520,"No",Sales_Data!$AE$2:$AE$3520,1)</f>
        <v>22</v>
      </c>
      <c r="R52" s="32" t="n">
        <f aca="false">IF(Q52=0,"-",P52/Q52)</f>
        <v>0.909090909090909</v>
      </c>
      <c r="S52" s="26" t="n">
        <f aca="false">SUMIFS(Sales_Data!$P$2:$P$3520,Sales_Data!$C$2:$C$3520,$A52,Sales_Data!$AE$2:$AE$3520,1)</f>
        <v>28</v>
      </c>
      <c r="T52" s="26" t="n">
        <f aca="false">SUMIFS(Sales_Data!$Q$2:$Q$3520,Sales_Data!$C$2:$C$3520,$A52,Sales_Data!$AE$2:$AE$3520,1)</f>
        <v>14</v>
      </c>
      <c r="U52" s="26" t="n">
        <f aca="false">SUMIFS(Sales_Data!$R$2:$R$3520,Sales_Data!$C$2:$C$3520,$A52,Sales_Data!$AE$2:$AE$3520,1)</f>
        <v>7</v>
      </c>
      <c r="V52" s="26" t="n">
        <f aca="false">SUMIFS(Sales_Data!$S$2:$S$3520,Sales_Data!$C$2:$C$3520,$A52,Sales_Data!$AE$2:$AE$3520,1)</f>
        <v>1</v>
      </c>
      <c r="W52" s="26" t="n">
        <f aca="false">SUMIFS(Sales_Data!$T$2:$T$3520,Sales_Data!$C$2:$C$3520,$A52,Sales_Data!$AE$2:$AE$3520,1)</f>
        <v>2</v>
      </c>
      <c r="X52" s="26" t="n">
        <f aca="false">COUNTIFS(Sales_Data!$C$2:$C$3520,$A52,Sales_Data!$X$2:$X$3520,"&lt;&gt;No Device",Sales_Data!$X$2:$X$3520,"&lt;&gt;",Sales_Data!$AE$2:$AE$3520,1)</f>
        <v>22</v>
      </c>
      <c r="Y52" s="26" t="n">
        <f aca="false">COUNTIFS(Sales_Data!$C$2:$C$3520,$A52,Sales_Data!$AD$2:$AD$3520,0,Sales_Data!$AE$2:$AE$3520,1)</f>
        <v>7</v>
      </c>
      <c r="Z52" s="26" t="n">
        <f aca="false">COUNTIFS(Sales_Data!$C$2:$C$3520,$A52,Sales_Data!$AC$2:$AC$3520,1)</f>
        <v>4</v>
      </c>
    </row>
    <row r="53" customFormat="false" ht="15" hidden="false" customHeight="false" outlineLevel="0" collapsed="false">
      <c r="A53" s="25" t="n">
        <v>46274</v>
      </c>
      <c r="B53" s="53" t="s">
        <v>143</v>
      </c>
      <c r="C53" s="26" t="n">
        <f aca="false">SUMIFS(Sales_Data!$AE$2:$AE$3520,Sales_Data!$C$2:$C$3520,$A53)</f>
        <v>34</v>
      </c>
      <c r="D53" s="26" t="n">
        <f aca="false">SUMIFS(Sales_Data!$M$2:$M$3520,Sales_Data!$C$2:$C$3520,$A53,Sales_Data!$AE$2:$AE$3520,1)</f>
        <v>14</v>
      </c>
      <c r="E53" s="26" t="n">
        <f aca="false">SUMIFS(Sales_Data!$N$2:$N$3520,Sales_Data!$C$2:$C$3520,$A53,Sales_Data!$AE$2:$AE$3520,1)</f>
        <v>26</v>
      </c>
      <c r="F53" s="26" t="n">
        <f aca="false">D53+E53</f>
        <v>40</v>
      </c>
      <c r="G53" s="28" t="n">
        <f aca="false">F53-F52</f>
        <v>-63</v>
      </c>
      <c r="H53" s="29" t="n">
        <f aca="false">IF(F52=0,"-",(F53-F52)/F52)</f>
        <v>-0.611650485436893</v>
      </c>
      <c r="I53" s="30" t="n">
        <f aca="false">AVERAGE(F47:F53)</f>
        <v>60.5714285714286</v>
      </c>
      <c r="J53" s="29" t="n">
        <f aca="false">IF(F46=0,"-",(F53-F46)/F46)</f>
        <v>-0.2</v>
      </c>
      <c r="K53" s="26" t="n">
        <f aca="false">SUMIFS(Sales_Data!$AF$2:$AF$3520,Sales_Data!$C$2:$C$3520,$A53)</f>
        <v>21</v>
      </c>
      <c r="L53" s="31" t="n">
        <f aca="false">IFERROR(F53/K53,0)</f>
        <v>1.9047619047619</v>
      </c>
      <c r="M53" s="26" t="n">
        <f aca="false">COUNTIFS(Sales_Data!$C$2:$C$3520,$A53,Sales_Data!$U$2:$U$3520,"Yes",Sales_Data!$AE$2:$AE$3520,1)</f>
        <v>1</v>
      </c>
      <c r="N53" s="26" t="n">
        <f aca="false">M53+COUNTIFS(Sales_Data!$C$2:$C$3520,$A53,Sales_Data!$U$2:$U$3520,"No",Sales_Data!$AE$2:$AE$3520,1)</f>
        <v>12</v>
      </c>
      <c r="O53" s="32" t="n">
        <f aca="false">IF(N53=0,"-",M53/N53)</f>
        <v>0.0833333333333333</v>
      </c>
      <c r="P53" s="26" t="n">
        <f aca="false">COUNTIFS(Sales_Data!$C$2:$C$3520,$A53,Sales_Data!$W$2:$W$3520,"Yes",Sales_Data!$AE$2:$AE$3520,1)</f>
        <v>8</v>
      </c>
      <c r="Q53" s="26" t="n">
        <f aca="false">P53+COUNTIFS(Sales_Data!$C$2:$C$3520,$A53,Sales_Data!$W$2:$W$3520,"No",Sales_Data!$AE$2:$AE$3520,1)</f>
        <v>9</v>
      </c>
      <c r="R53" s="32" t="n">
        <f aca="false">IF(Q53=0,"-",P53/Q53)</f>
        <v>0.888888888888889</v>
      </c>
      <c r="S53" s="26" t="n">
        <f aca="false">SUMIFS(Sales_Data!$P$2:$P$3520,Sales_Data!$C$2:$C$3520,$A53,Sales_Data!$AE$2:$AE$3520,1)</f>
        <v>10</v>
      </c>
      <c r="T53" s="26" t="n">
        <f aca="false">SUMIFS(Sales_Data!$Q$2:$Q$3520,Sales_Data!$C$2:$C$3520,$A53,Sales_Data!$AE$2:$AE$3520,1)</f>
        <v>11</v>
      </c>
      <c r="U53" s="26" t="n">
        <f aca="false">SUMIFS(Sales_Data!$R$2:$R$3520,Sales_Data!$C$2:$C$3520,$A53,Sales_Data!$AE$2:$AE$3520,1)</f>
        <v>4</v>
      </c>
      <c r="V53" s="26" t="n">
        <f aca="false">SUMIFS(Sales_Data!$S$2:$S$3520,Sales_Data!$C$2:$C$3520,$A53,Sales_Data!$AE$2:$AE$3520,1)</f>
        <v>0</v>
      </c>
      <c r="W53" s="26" t="n">
        <f aca="false">SUMIFS(Sales_Data!$T$2:$T$3520,Sales_Data!$C$2:$C$3520,$A53,Sales_Data!$AE$2:$AE$3520,1)</f>
        <v>1</v>
      </c>
      <c r="X53" s="26" t="n">
        <f aca="false">COUNTIFS(Sales_Data!$C$2:$C$3520,$A53,Sales_Data!$X$2:$X$3520,"&lt;&gt;No Device",Sales_Data!$X$2:$X$3520,"&lt;&gt;",Sales_Data!$AE$2:$AE$3520,1)</f>
        <v>11</v>
      </c>
      <c r="Y53" s="26" t="n">
        <f aca="false">COUNTIFS(Sales_Data!$C$2:$C$3520,$A53,Sales_Data!$AD$2:$AD$3520,0,Sales_Data!$AE$2:$AE$3520,1)</f>
        <v>0</v>
      </c>
      <c r="Z53" s="26" t="n">
        <f aca="false">COUNTIFS(Sales_Data!$C$2:$C$3520,$A53,Sales_Data!$AC$2:$AC$3520,1)</f>
        <v>7</v>
      </c>
    </row>
    <row r="54" customFormat="false" ht="15" hidden="false" customHeight="false" outlineLevel="0" collapsed="false">
      <c r="A54" s="25" t="n">
        <v>46275</v>
      </c>
      <c r="B54" s="53" t="s">
        <v>202</v>
      </c>
      <c r="C54" s="26" t="n">
        <f aca="false">SUMIFS(Sales_Data!$AE$2:$AE$3520,Sales_Data!$C$2:$C$3520,$A54)</f>
        <v>45</v>
      </c>
      <c r="D54" s="26" t="n">
        <f aca="false">SUMIFS(Sales_Data!$M$2:$M$3520,Sales_Data!$C$2:$C$3520,$A54,Sales_Data!$AE$2:$AE$3520,1)</f>
        <v>14</v>
      </c>
      <c r="E54" s="26" t="n">
        <f aca="false">SUMIFS(Sales_Data!$N$2:$N$3520,Sales_Data!$C$2:$C$3520,$A54,Sales_Data!$AE$2:$AE$3520,1)</f>
        <v>41</v>
      </c>
      <c r="F54" s="26" t="n">
        <f aca="false">D54+E54</f>
        <v>55</v>
      </c>
      <c r="G54" s="28" t="n">
        <f aca="false">F54-F53</f>
        <v>15</v>
      </c>
      <c r="H54" s="29" t="n">
        <f aca="false">IF(F53=0,"-",(F54-F53)/F53)</f>
        <v>0.375</v>
      </c>
      <c r="I54" s="30" t="n">
        <f aca="false">AVERAGE(F48:F54)</f>
        <v>59</v>
      </c>
      <c r="J54" s="29" t="n">
        <f aca="false">IF(F47=0,"-",(F54-F47)/F47)</f>
        <v>-0.166666666666667</v>
      </c>
      <c r="K54" s="26" t="n">
        <f aca="false">SUMIFS(Sales_Data!$AF$2:$AF$3520,Sales_Data!$C$2:$C$3520,$A54)</f>
        <v>25</v>
      </c>
      <c r="L54" s="31" t="n">
        <f aca="false">IFERROR(F54/K54,0)</f>
        <v>2.2</v>
      </c>
      <c r="M54" s="26" t="n">
        <f aca="false">COUNTIFS(Sales_Data!$C$2:$C$3520,$A54,Sales_Data!$U$2:$U$3520,"Yes",Sales_Data!$AE$2:$AE$3520,1)</f>
        <v>1</v>
      </c>
      <c r="N54" s="26" t="n">
        <f aca="false">M54+COUNTIFS(Sales_Data!$C$2:$C$3520,$A54,Sales_Data!$U$2:$U$3520,"No",Sales_Data!$AE$2:$AE$3520,1)</f>
        <v>14</v>
      </c>
      <c r="O54" s="32" t="n">
        <f aca="false">IF(N54=0,"-",M54/N54)</f>
        <v>0.0714285714285714</v>
      </c>
      <c r="P54" s="26" t="n">
        <f aca="false">COUNTIFS(Sales_Data!$C$2:$C$3520,$A54,Sales_Data!$W$2:$W$3520,"Yes",Sales_Data!$AE$2:$AE$3520,1)</f>
        <v>11</v>
      </c>
      <c r="Q54" s="26" t="n">
        <f aca="false">P54+COUNTIFS(Sales_Data!$C$2:$C$3520,$A54,Sales_Data!$W$2:$W$3520,"No",Sales_Data!$AE$2:$AE$3520,1)</f>
        <v>14</v>
      </c>
      <c r="R54" s="32" t="n">
        <f aca="false">IF(Q54=0,"-",P54/Q54)</f>
        <v>0.785714285714286</v>
      </c>
      <c r="S54" s="26" t="n">
        <f aca="false">SUMIFS(Sales_Data!$P$2:$P$3520,Sales_Data!$C$2:$C$3520,$A54,Sales_Data!$AE$2:$AE$3520,1)</f>
        <v>25</v>
      </c>
      <c r="T54" s="26" t="n">
        <f aca="false">SUMIFS(Sales_Data!$Q$2:$Q$3520,Sales_Data!$C$2:$C$3520,$A54,Sales_Data!$AE$2:$AE$3520,1)</f>
        <v>8</v>
      </c>
      <c r="U54" s="26" t="n">
        <f aca="false">SUMIFS(Sales_Data!$R$2:$R$3520,Sales_Data!$C$2:$C$3520,$A54,Sales_Data!$AE$2:$AE$3520,1)</f>
        <v>6</v>
      </c>
      <c r="V54" s="26" t="n">
        <f aca="false">SUMIFS(Sales_Data!$S$2:$S$3520,Sales_Data!$C$2:$C$3520,$A54,Sales_Data!$AE$2:$AE$3520,1)</f>
        <v>1</v>
      </c>
      <c r="W54" s="26" t="n">
        <f aca="false">SUMIFS(Sales_Data!$T$2:$T$3520,Sales_Data!$C$2:$C$3520,$A54,Sales_Data!$AE$2:$AE$3520,1)</f>
        <v>1</v>
      </c>
      <c r="X54" s="26" t="n">
        <f aca="false">COUNTIFS(Sales_Data!$C$2:$C$3520,$A54,Sales_Data!$X$2:$X$3520,"&lt;&gt;No Device",Sales_Data!$X$2:$X$3520,"&lt;&gt;",Sales_Data!$AE$2:$AE$3520,1)</f>
        <v>13</v>
      </c>
      <c r="Y54" s="26" t="n">
        <f aca="false">COUNTIFS(Sales_Data!$C$2:$C$3520,$A54,Sales_Data!$AD$2:$AD$3520,0,Sales_Data!$AE$2:$AE$3520,1)</f>
        <v>6</v>
      </c>
      <c r="Z54" s="26" t="n">
        <f aca="false">COUNTIFS(Sales_Data!$C$2:$C$3520,$A54,Sales_Data!$AC$2:$AC$3520,1)</f>
        <v>1</v>
      </c>
    </row>
    <row r="55" customFormat="false" ht="15" hidden="false" customHeight="false" outlineLevel="0" collapsed="false">
      <c r="A55" s="25" t="n">
        <v>46276</v>
      </c>
      <c r="B55" s="53" t="s">
        <v>288</v>
      </c>
      <c r="C55" s="26" t="n">
        <f aca="false">SUMIFS(Sales_Data!$AE$2:$AE$3520,Sales_Data!$C$2:$C$3520,$A55)</f>
        <v>60</v>
      </c>
      <c r="D55" s="26" t="n">
        <f aca="false">SUMIFS(Sales_Data!$M$2:$M$3520,Sales_Data!$C$2:$C$3520,$A55,Sales_Data!$AE$2:$AE$3520,1)</f>
        <v>17</v>
      </c>
      <c r="E55" s="26" t="n">
        <f aca="false">SUMIFS(Sales_Data!$N$2:$N$3520,Sales_Data!$C$2:$C$3520,$A55,Sales_Data!$AE$2:$AE$3520,1)</f>
        <v>53</v>
      </c>
      <c r="F55" s="26" t="n">
        <f aca="false">D55+E55</f>
        <v>70</v>
      </c>
      <c r="G55" s="28" t="n">
        <f aca="false">F55-F54</f>
        <v>15</v>
      </c>
      <c r="H55" s="29" t="n">
        <f aca="false">IF(F54=0,"-",(F55-F54)/F54)</f>
        <v>0.272727272727273</v>
      </c>
      <c r="I55" s="30" t="n">
        <f aca="false">AVERAGE(F49:F55)</f>
        <v>60.5714285714286</v>
      </c>
      <c r="J55" s="29" t="n">
        <f aca="false">IF(F48=0,"-",(F55-F48)/F48)</f>
        <v>0.186440677966102</v>
      </c>
      <c r="K55" s="26" t="n">
        <f aca="false">SUMIFS(Sales_Data!$AF$2:$AF$3520,Sales_Data!$C$2:$C$3520,$A55)</f>
        <v>37</v>
      </c>
      <c r="L55" s="31" t="n">
        <f aca="false">IFERROR(F55/K55,0)</f>
        <v>1.89189189189189</v>
      </c>
      <c r="M55" s="26" t="n">
        <f aca="false">COUNTIFS(Sales_Data!$C$2:$C$3520,$A55,Sales_Data!$U$2:$U$3520,"Yes",Sales_Data!$AE$2:$AE$3520,1)</f>
        <v>1</v>
      </c>
      <c r="N55" s="26" t="n">
        <f aca="false">M55+COUNTIFS(Sales_Data!$C$2:$C$3520,$A55,Sales_Data!$U$2:$U$3520,"No",Sales_Data!$AE$2:$AE$3520,1)</f>
        <v>16</v>
      </c>
      <c r="O55" s="32" t="n">
        <f aca="false">IF(N55=0,"-",M55/N55)</f>
        <v>0.0625</v>
      </c>
      <c r="P55" s="26" t="n">
        <f aca="false">COUNTIFS(Sales_Data!$C$2:$C$3520,$A55,Sales_Data!$W$2:$W$3520,"Yes",Sales_Data!$AE$2:$AE$3520,1)</f>
        <v>12</v>
      </c>
      <c r="Q55" s="26" t="n">
        <f aca="false">P55+COUNTIFS(Sales_Data!$C$2:$C$3520,$A55,Sales_Data!$W$2:$W$3520,"No",Sales_Data!$AE$2:$AE$3520,1)</f>
        <v>15</v>
      </c>
      <c r="R55" s="32" t="n">
        <f aca="false">IF(Q55=0,"-",P55/Q55)</f>
        <v>0.8</v>
      </c>
      <c r="S55" s="26" t="n">
        <f aca="false">SUMIFS(Sales_Data!$P$2:$P$3520,Sales_Data!$C$2:$C$3520,$A55,Sales_Data!$AE$2:$AE$3520,1)</f>
        <v>31</v>
      </c>
      <c r="T55" s="26" t="n">
        <f aca="false">SUMIFS(Sales_Data!$Q$2:$Q$3520,Sales_Data!$C$2:$C$3520,$A55,Sales_Data!$AE$2:$AE$3520,1)</f>
        <v>12</v>
      </c>
      <c r="U55" s="26" t="n">
        <f aca="false">SUMIFS(Sales_Data!$R$2:$R$3520,Sales_Data!$C$2:$C$3520,$A55,Sales_Data!$AE$2:$AE$3520,1)</f>
        <v>5</v>
      </c>
      <c r="V55" s="26" t="n">
        <f aca="false">SUMIFS(Sales_Data!$S$2:$S$3520,Sales_Data!$C$2:$C$3520,$A55,Sales_Data!$AE$2:$AE$3520,1)</f>
        <v>2</v>
      </c>
      <c r="W55" s="26" t="n">
        <f aca="false">SUMIFS(Sales_Data!$T$2:$T$3520,Sales_Data!$C$2:$C$3520,$A55,Sales_Data!$AE$2:$AE$3520,1)</f>
        <v>4</v>
      </c>
      <c r="X55" s="26" t="n">
        <f aca="false">COUNTIFS(Sales_Data!$C$2:$C$3520,$A55,Sales_Data!$X$2:$X$3520,"&lt;&gt;No Device",Sales_Data!$X$2:$X$3520,"&lt;&gt;",Sales_Data!$AE$2:$AE$3520,1)</f>
        <v>13</v>
      </c>
      <c r="Y55" s="26" t="n">
        <f aca="false">COUNTIFS(Sales_Data!$C$2:$C$3520,$A55,Sales_Data!$AD$2:$AD$3520,0,Sales_Data!$AE$2:$AE$3520,1)</f>
        <v>3</v>
      </c>
      <c r="Z55" s="26" t="n">
        <f aca="false">COUNTIFS(Sales_Data!$C$2:$C$3520,$A55,Sales_Data!$AC$2:$AC$3520,1)</f>
        <v>1</v>
      </c>
    </row>
    <row r="56" customFormat="false" ht="15" hidden="false" customHeight="false" outlineLevel="0" collapsed="false">
      <c r="A56" s="25" t="n">
        <v>46277</v>
      </c>
      <c r="B56" s="53" t="s">
        <v>358</v>
      </c>
      <c r="C56" s="26" t="n">
        <f aca="false">SUMIFS(Sales_Data!$AE$2:$AE$3520,Sales_Data!$C$2:$C$3520,$A56)</f>
        <v>81</v>
      </c>
      <c r="D56" s="26" t="n">
        <f aca="false">SUMIFS(Sales_Data!$M$2:$M$3520,Sales_Data!$C$2:$C$3520,$A56,Sales_Data!$AE$2:$AE$3520,1)</f>
        <v>28</v>
      </c>
      <c r="E56" s="26" t="n">
        <f aca="false">SUMIFS(Sales_Data!$N$2:$N$3520,Sales_Data!$C$2:$C$3520,$A56,Sales_Data!$AE$2:$AE$3520,1)</f>
        <v>57</v>
      </c>
      <c r="F56" s="26" t="n">
        <f aca="false">D56+E56</f>
        <v>85</v>
      </c>
      <c r="G56" s="28" t="n">
        <f aca="false">F56-F55</f>
        <v>15</v>
      </c>
      <c r="H56" s="29" t="n">
        <f aca="false">IF(F55=0,"-",(F56-F55)/F55)</f>
        <v>0.214285714285714</v>
      </c>
      <c r="I56" s="30" t="n">
        <f aca="false">AVERAGE(F50:F56)</f>
        <v>64.7142857142857</v>
      </c>
      <c r="J56" s="29" t="n">
        <f aca="false">IF(F49=0,"-",(F56-F49)/F49)</f>
        <v>0.517857142857143</v>
      </c>
      <c r="K56" s="26" t="n">
        <f aca="false">SUMIFS(Sales_Data!$AF$2:$AF$3520,Sales_Data!$C$2:$C$3520,$A56)</f>
        <v>43</v>
      </c>
      <c r="L56" s="31" t="n">
        <f aca="false">IFERROR(F56/K56,0)</f>
        <v>1.97674418604651</v>
      </c>
      <c r="M56" s="26" t="n">
        <f aca="false">COUNTIFS(Sales_Data!$C$2:$C$3520,$A56,Sales_Data!$U$2:$U$3520,"Yes",Sales_Data!$AE$2:$AE$3520,1)</f>
        <v>7</v>
      </c>
      <c r="N56" s="26" t="n">
        <f aca="false">M56+COUNTIFS(Sales_Data!$C$2:$C$3520,$A56,Sales_Data!$U$2:$U$3520,"No",Sales_Data!$AE$2:$AE$3520,1)</f>
        <v>28</v>
      </c>
      <c r="O56" s="32" t="n">
        <f aca="false">IF(N56=0,"-",M56/N56)</f>
        <v>0.25</v>
      </c>
      <c r="P56" s="26" t="n">
        <f aca="false">COUNTIFS(Sales_Data!$C$2:$C$3520,$A56,Sales_Data!$W$2:$W$3520,"Yes",Sales_Data!$AE$2:$AE$3520,1)</f>
        <v>22</v>
      </c>
      <c r="Q56" s="26" t="n">
        <f aca="false">P56+COUNTIFS(Sales_Data!$C$2:$C$3520,$A56,Sales_Data!$W$2:$W$3520,"No",Sales_Data!$AE$2:$AE$3520,1)</f>
        <v>25</v>
      </c>
      <c r="R56" s="32" t="n">
        <f aca="false">IF(Q56=0,"-",P56/Q56)</f>
        <v>0.88</v>
      </c>
      <c r="S56" s="26" t="n">
        <f aca="false">SUMIFS(Sales_Data!$P$2:$P$3520,Sales_Data!$C$2:$C$3520,$A56,Sales_Data!$AE$2:$AE$3520,1)</f>
        <v>35</v>
      </c>
      <c r="T56" s="26" t="n">
        <f aca="false">SUMIFS(Sales_Data!$Q$2:$Q$3520,Sales_Data!$C$2:$C$3520,$A56,Sales_Data!$AE$2:$AE$3520,1)</f>
        <v>13</v>
      </c>
      <c r="U56" s="26" t="n">
        <f aca="false">SUMIFS(Sales_Data!$R$2:$R$3520,Sales_Data!$C$2:$C$3520,$A56,Sales_Data!$AE$2:$AE$3520,1)</f>
        <v>4</v>
      </c>
      <c r="V56" s="26" t="n">
        <f aca="false">SUMIFS(Sales_Data!$S$2:$S$3520,Sales_Data!$C$2:$C$3520,$A56,Sales_Data!$AE$2:$AE$3520,1)</f>
        <v>2</v>
      </c>
      <c r="W56" s="26" t="n">
        <f aca="false">SUMIFS(Sales_Data!$T$2:$T$3520,Sales_Data!$C$2:$C$3520,$A56,Sales_Data!$AE$2:$AE$3520,1)</f>
        <v>3</v>
      </c>
      <c r="X56" s="26" t="n">
        <f aca="false">COUNTIFS(Sales_Data!$C$2:$C$3520,$A56,Sales_Data!$X$2:$X$3520,"&lt;&gt;No Device",Sales_Data!$X$2:$X$3520,"&lt;&gt;",Sales_Data!$AE$2:$AE$3520,1)</f>
        <v>28</v>
      </c>
      <c r="Y56" s="26" t="n">
        <f aca="false">COUNTIFS(Sales_Data!$C$2:$C$3520,$A56,Sales_Data!$AD$2:$AD$3520,0,Sales_Data!$AE$2:$AE$3520,1)</f>
        <v>2</v>
      </c>
      <c r="Z56" s="26" t="n">
        <f aca="false">COUNTIFS(Sales_Data!$C$2:$C$3520,$A56,Sales_Data!$AC$2:$AC$3520,1)</f>
        <v>7</v>
      </c>
    </row>
    <row r="57" customFormat="false" ht="15" hidden="false" customHeight="false" outlineLevel="0" collapsed="false">
      <c r="A57" s="25" t="n">
        <v>46278</v>
      </c>
      <c r="B57" s="53" t="s">
        <v>393</v>
      </c>
      <c r="C57" s="26" t="n">
        <f aca="false">SUMIFS(Sales_Data!$AE$2:$AE$3520,Sales_Data!$C$2:$C$3520,$A57)</f>
        <v>50</v>
      </c>
      <c r="D57" s="26" t="n">
        <f aca="false">SUMIFS(Sales_Data!$M$2:$M$3520,Sales_Data!$C$2:$C$3520,$A57,Sales_Data!$AE$2:$AE$3520,1)</f>
        <v>12</v>
      </c>
      <c r="E57" s="26" t="n">
        <f aca="false">SUMIFS(Sales_Data!$N$2:$N$3520,Sales_Data!$C$2:$C$3520,$A57,Sales_Data!$AE$2:$AE$3520,1)</f>
        <v>45</v>
      </c>
      <c r="F57" s="26" t="n">
        <f aca="false">D57+E57</f>
        <v>57</v>
      </c>
      <c r="G57" s="28" t="n">
        <f aca="false">F57-F56</f>
        <v>-28</v>
      </c>
      <c r="H57" s="29" t="n">
        <f aca="false">IF(F56=0,"-",(F57-F56)/F56)</f>
        <v>-0.329411764705882</v>
      </c>
      <c r="I57" s="30" t="n">
        <f aca="false">AVERAGE(F51:F57)</f>
        <v>67.1428571428571</v>
      </c>
      <c r="J57" s="29" t="n">
        <f aca="false">IF(F50=0,"-",(F57-F50)/F50)</f>
        <v>0.425</v>
      </c>
      <c r="K57" s="26" t="n">
        <f aca="false">SUMIFS(Sales_Data!$AF$2:$AF$3520,Sales_Data!$C$2:$C$3520,$A57)</f>
        <v>30</v>
      </c>
      <c r="L57" s="31" t="n">
        <f aca="false">IFERROR(F57/K57,0)</f>
        <v>1.9</v>
      </c>
      <c r="M57" s="26" t="n">
        <f aca="false">COUNTIFS(Sales_Data!$C$2:$C$3520,$A57,Sales_Data!$U$2:$U$3520,"Yes",Sales_Data!$AE$2:$AE$3520,1)</f>
        <v>0</v>
      </c>
      <c r="N57" s="26" t="n">
        <f aca="false">M57+COUNTIFS(Sales_Data!$C$2:$C$3520,$A57,Sales_Data!$U$2:$U$3520,"No",Sales_Data!$AE$2:$AE$3520,1)</f>
        <v>10</v>
      </c>
      <c r="O57" s="32" t="n">
        <f aca="false">IF(N57=0,"-",M57/N57)</f>
        <v>0</v>
      </c>
      <c r="P57" s="26" t="n">
        <f aca="false">COUNTIFS(Sales_Data!$C$2:$C$3520,$A57,Sales_Data!$W$2:$W$3520,"Yes",Sales_Data!$AE$2:$AE$3520,1)</f>
        <v>10</v>
      </c>
      <c r="Q57" s="26" t="n">
        <f aca="false">P57+COUNTIFS(Sales_Data!$C$2:$C$3520,$A57,Sales_Data!$W$2:$W$3520,"No",Sales_Data!$AE$2:$AE$3520,1)</f>
        <v>10</v>
      </c>
      <c r="R57" s="32" t="n">
        <f aca="false">IF(Q57=0,"-",P57/Q57)</f>
        <v>1</v>
      </c>
      <c r="S57" s="26" t="n">
        <f aca="false">SUMIFS(Sales_Data!$P$2:$P$3520,Sales_Data!$C$2:$C$3520,$A57,Sales_Data!$AE$2:$AE$3520,1)</f>
        <v>28</v>
      </c>
      <c r="T57" s="26" t="n">
        <f aca="false">SUMIFS(Sales_Data!$Q$2:$Q$3520,Sales_Data!$C$2:$C$3520,$A57,Sales_Data!$AE$2:$AE$3520,1)</f>
        <v>7</v>
      </c>
      <c r="U57" s="26" t="n">
        <f aca="false">SUMIFS(Sales_Data!$R$2:$R$3520,Sales_Data!$C$2:$C$3520,$A57,Sales_Data!$AE$2:$AE$3520,1)</f>
        <v>9</v>
      </c>
      <c r="V57" s="26" t="n">
        <f aca="false">SUMIFS(Sales_Data!$S$2:$S$3520,Sales_Data!$C$2:$C$3520,$A57,Sales_Data!$AE$2:$AE$3520,1)</f>
        <v>0</v>
      </c>
      <c r="W57" s="26" t="n">
        <f aca="false">SUMIFS(Sales_Data!$T$2:$T$3520,Sales_Data!$C$2:$C$3520,$A57,Sales_Data!$AE$2:$AE$3520,1)</f>
        <v>2</v>
      </c>
      <c r="X57" s="26" t="n">
        <f aca="false">COUNTIFS(Sales_Data!$C$2:$C$3520,$A57,Sales_Data!$X$2:$X$3520,"&lt;&gt;No Device",Sales_Data!$X$2:$X$3520,"&lt;&gt;",Sales_Data!$AE$2:$AE$3520,1)</f>
        <v>8</v>
      </c>
      <c r="Y57" s="26" t="n">
        <f aca="false">COUNTIFS(Sales_Data!$C$2:$C$3520,$A57,Sales_Data!$AD$2:$AD$3520,0,Sales_Data!$AE$2:$AE$3520,1)</f>
        <v>3</v>
      </c>
      <c r="Z57" s="26" t="n">
        <f aca="false">COUNTIFS(Sales_Data!$C$2:$C$3520,$A57,Sales_Data!$AC$2:$AC$3520,1)</f>
        <v>10</v>
      </c>
    </row>
    <row r="58" customFormat="false" ht="15" hidden="false" customHeight="false" outlineLevel="0" collapsed="false">
      <c r="A58" s="25" t="n">
        <v>46279</v>
      </c>
      <c r="B58" s="53" t="s">
        <v>429</v>
      </c>
      <c r="C58" s="26" t="n">
        <f aca="false">SUMIFS(Sales_Data!$AE$2:$AE$3520,Sales_Data!$C$2:$C$3520,$A58)</f>
        <v>55</v>
      </c>
      <c r="D58" s="26" t="n">
        <f aca="false">SUMIFS(Sales_Data!$M$2:$M$3520,Sales_Data!$C$2:$C$3520,$A58,Sales_Data!$AE$2:$AE$3520,1)</f>
        <v>11</v>
      </c>
      <c r="E58" s="26" t="n">
        <f aca="false">SUMIFS(Sales_Data!$N$2:$N$3520,Sales_Data!$C$2:$C$3520,$A58,Sales_Data!$AE$2:$AE$3520,1)</f>
        <v>51</v>
      </c>
      <c r="F58" s="26" t="n">
        <f aca="false">D58+E58</f>
        <v>62</v>
      </c>
      <c r="G58" s="28" t="n">
        <f aca="false">F58-F57</f>
        <v>5</v>
      </c>
      <c r="H58" s="29" t="n">
        <f aca="false">IF(F57=0,"-",(F58-F57)/F57)</f>
        <v>0.087719298245614</v>
      </c>
      <c r="I58" s="30" t="n">
        <f aca="false">AVERAGE(F52:F58)</f>
        <v>67.4285714285714</v>
      </c>
      <c r="J58" s="29" t="n">
        <f aca="false">IF(F51=0,"-",(F58-F51)/F51)</f>
        <v>0.0333333333333333</v>
      </c>
      <c r="K58" s="26" t="n">
        <f aca="false">SUMIFS(Sales_Data!$AF$2:$AF$3520,Sales_Data!$C$2:$C$3520,$A58)</f>
        <v>33</v>
      </c>
      <c r="L58" s="31" t="n">
        <f aca="false">IFERROR(F58/K58,0)</f>
        <v>1.87878787878788</v>
      </c>
      <c r="M58" s="26" t="n">
        <f aca="false">COUNTIFS(Sales_Data!$C$2:$C$3520,$A58,Sales_Data!$U$2:$U$3520,"Yes",Sales_Data!$AE$2:$AE$3520,1)</f>
        <v>1</v>
      </c>
      <c r="N58" s="26" t="n">
        <f aca="false">M58+COUNTIFS(Sales_Data!$C$2:$C$3520,$A58,Sales_Data!$U$2:$U$3520,"No",Sales_Data!$AE$2:$AE$3520,1)</f>
        <v>11</v>
      </c>
      <c r="O58" s="32" t="n">
        <f aca="false">IF(N58=0,"-",M58/N58)</f>
        <v>0.0909090909090909</v>
      </c>
      <c r="P58" s="26" t="n">
        <f aca="false">COUNTIFS(Sales_Data!$C$2:$C$3520,$A58,Sales_Data!$W$2:$W$3520,"Yes",Sales_Data!$AE$2:$AE$3520,1)</f>
        <v>9</v>
      </c>
      <c r="Q58" s="26" t="n">
        <f aca="false">P58+COUNTIFS(Sales_Data!$C$2:$C$3520,$A58,Sales_Data!$W$2:$W$3520,"No",Sales_Data!$AE$2:$AE$3520,1)</f>
        <v>11</v>
      </c>
      <c r="R58" s="32" t="n">
        <f aca="false">IF(Q58=0,"-",P58/Q58)</f>
        <v>0.818181818181818</v>
      </c>
      <c r="S58" s="26" t="n">
        <f aca="false">SUMIFS(Sales_Data!$P$2:$P$3520,Sales_Data!$C$2:$C$3520,$A58,Sales_Data!$AE$2:$AE$3520,1)</f>
        <v>41</v>
      </c>
      <c r="T58" s="26" t="n">
        <f aca="false">SUMIFS(Sales_Data!$Q$2:$Q$3520,Sales_Data!$C$2:$C$3520,$A58,Sales_Data!$AE$2:$AE$3520,1)</f>
        <v>9</v>
      </c>
      <c r="U58" s="26" t="n">
        <f aca="false">SUMIFS(Sales_Data!$R$2:$R$3520,Sales_Data!$C$2:$C$3520,$A58,Sales_Data!$AE$2:$AE$3520,1)</f>
        <v>0</v>
      </c>
      <c r="V58" s="26" t="n">
        <f aca="false">SUMIFS(Sales_Data!$S$2:$S$3520,Sales_Data!$C$2:$C$3520,$A58,Sales_Data!$AE$2:$AE$3520,1)</f>
        <v>0</v>
      </c>
      <c r="W58" s="26" t="n">
        <f aca="false">SUMIFS(Sales_Data!$T$2:$T$3520,Sales_Data!$C$2:$C$3520,$A58,Sales_Data!$AE$2:$AE$3520,1)</f>
        <v>1</v>
      </c>
      <c r="X58" s="26" t="n">
        <f aca="false">COUNTIFS(Sales_Data!$C$2:$C$3520,$A58,Sales_Data!$X$2:$X$3520,"&lt;&gt;No Device",Sales_Data!$X$2:$X$3520,"&lt;&gt;",Sales_Data!$AE$2:$AE$3520,1)</f>
        <v>10</v>
      </c>
      <c r="Y58" s="26" t="n">
        <f aca="false">COUNTIFS(Sales_Data!$C$2:$C$3520,$A58,Sales_Data!$AD$2:$AD$3520,0,Sales_Data!$AE$2:$AE$3520,1)</f>
        <v>2</v>
      </c>
      <c r="Z58" s="26" t="n">
        <f aca="false">COUNTIFS(Sales_Data!$C$2:$C$3520,$A58,Sales_Data!$AC$2:$AC$3520,1)</f>
        <v>5</v>
      </c>
    </row>
    <row r="59" customFormat="false" ht="15" hidden="false" customHeight="false" outlineLevel="0" collapsed="false">
      <c r="A59" s="25" t="n">
        <v>46280</v>
      </c>
      <c r="B59" s="53" t="s">
        <v>501</v>
      </c>
      <c r="C59" s="26" t="n">
        <f aca="false">SUMIFS(Sales_Data!$AE$2:$AE$3520,Sales_Data!$C$2:$C$3520,$A59)</f>
        <v>31</v>
      </c>
      <c r="D59" s="26" t="n">
        <f aca="false">SUMIFS(Sales_Data!$M$2:$M$3520,Sales_Data!$C$2:$C$3520,$A59,Sales_Data!$AE$2:$AE$3520,1)</f>
        <v>10</v>
      </c>
      <c r="E59" s="26" t="n">
        <f aca="false">SUMIFS(Sales_Data!$N$2:$N$3520,Sales_Data!$C$2:$C$3520,$A59,Sales_Data!$AE$2:$AE$3520,1)</f>
        <v>22</v>
      </c>
      <c r="F59" s="26" t="n">
        <f aca="false">D59+E59</f>
        <v>32</v>
      </c>
      <c r="G59" s="28" t="n">
        <f aca="false">F59-F58</f>
        <v>-30</v>
      </c>
      <c r="H59" s="29" t="n">
        <f aca="false">IF(F58=0,"-",(F59-F58)/F58)</f>
        <v>-0.483870967741936</v>
      </c>
      <c r="I59" s="30" t="n">
        <f aca="false">AVERAGE(F53:F59)</f>
        <v>57.2857142857143</v>
      </c>
      <c r="J59" s="29" t="n">
        <f aca="false">IF(F52=0,"-",(F59-F52)/F52)</f>
        <v>-0.689320388349515</v>
      </c>
      <c r="K59" s="26" t="n">
        <f aca="false">SUMIFS(Sales_Data!$AF$2:$AF$3520,Sales_Data!$C$2:$C$3520,$A59)</f>
        <v>23</v>
      </c>
      <c r="L59" s="31" t="n">
        <f aca="false">IFERROR(F59/K59,0)</f>
        <v>1.39130434782609</v>
      </c>
      <c r="M59" s="26" t="n">
        <f aca="false">COUNTIFS(Sales_Data!$C$2:$C$3520,$A59,Sales_Data!$U$2:$U$3520,"Yes",Sales_Data!$AE$2:$AE$3520,1)</f>
        <v>1</v>
      </c>
      <c r="N59" s="26" t="n">
        <f aca="false">M59+COUNTIFS(Sales_Data!$C$2:$C$3520,$A59,Sales_Data!$U$2:$U$3520,"No",Sales_Data!$AE$2:$AE$3520,1)</f>
        <v>10</v>
      </c>
      <c r="O59" s="32" t="n">
        <f aca="false">IF(N59=0,"-",M59/N59)</f>
        <v>0.1</v>
      </c>
      <c r="P59" s="26" t="n">
        <f aca="false">COUNTIFS(Sales_Data!$C$2:$C$3520,$A59,Sales_Data!$W$2:$W$3520,"Yes",Sales_Data!$AE$2:$AE$3520,1)</f>
        <v>7</v>
      </c>
      <c r="Q59" s="26" t="n">
        <f aca="false">P59+COUNTIFS(Sales_Data!$C$2:$C$3520,$A59,Sales_Data!$W$2:$W$3520,"No",Sales_Data!$AE$2:$AE$3520,1)</f>
        <v>9</v>
      </c>
      <c r="R59" s="32" t="n">
        <f aca="false">IF(Q59=0,"-",P59/Q59)</f>
        <v>0.777777777777778</v>
      </c>
      <c r="S59" s="26" t="n">
        <f aca="false">SUMIFS(Sales_Data!$P$2:$P$3520,Sales_Data!$C$2:$C$3520,$A59,Sales_Data!$AE$2:$AE$3520,1)</f>
        <v>11</v>
      </c>
      <c r="T59" s="26" t="n">
        <f aca="false">SUMIFS(Sales_Data!$Q$2:$Q$3520,Sales_Data!$C$2:$C$3520,$A59,Sales_Data!$AE$2:$AE$3520,1)</f>
        <v>5</v>
      </c>
      <c r="U59" s="26" t="n">
        <f aca="false">SUMIFS(Sales_Data!$R$2:$R$3520,Sales_Data!$C$2:$C$3520,$A59,Sales_Data!$AE$2:$AE$3520,1)</f>
        <v>6</v>
      </c>
      <c r="V59" s="26" t="n">
        <f aca="false">SUMIFS(Sales_Data!$S$2:$S$3520,Sales_Data!$C$2:$C$3520,$A59,Sales_Data!$AE$2:$AE$3520,1)</f>
        <v>0</v>
      </c>
      <c r="W59" s="26" t="n">
        <f aca="false">SUMIFS(Sales_Data!$T$2:$T$3520,Sales_Data!$C$2:$C$3520,$A59,Sales_Data!$AE$2:$AE$3520,1)</f>
        <v>0</v>
      </c>
      <c r="X59" s="26" t="n">
        <f aca="false">COUNTIFS(Sales_Data!$C$2:$C$3520,$A59,Sales_Data!$X$2:$X$3520,"&lt;&gt;No Device",Sales_Data!$X$2:$X$3520,"&lt;&gt;",Sales_Data!$AE$2:$AE$3520,1)</f>
        <v>10</v>
      </c>
      <c r="Y59" s="26" t="n">
        <f aca="false">COUNTIFS(Sales_Data!$C$2:$C$3520,$A59,Sales_Data!$AD$2:$AD$3520,0,Sales_Data!$AE$2:$AE$3520,1)</f>
        <v>1</v>
      </c>
      <c r="Z59" s="26" t="n">
        <f aca="false">COUNTIFS(Sales_Data!$C$2:$C$3520,$A59,Sales_Data!$AC$2:$AC$3520,1)</f>
        <v>0</v>
      </c>
    </row>
    <row r="60" customFormat="false" ht="15" hidden="false" customHeight="false" outlineLevel="0" collapsed="false">
      <c r="A60" s="25" t="n">
        <v>46281</v>
      </c>
      <c r="B60" s="53" t="s">
        <v>143</v>
      </c>
      <c r="C60" s="26" t="n">
        <f aca="false">SUMIFS(Sales_Data!$AE$2:$AE$3520,Sales_Data!$C$2:$C$3520,$A60)</f>
        <v>45</v>
      </c>
      <c r="D60" s="26" t="n">
        <f aca="false">SUMIFS(Sales_Data!$M$2:$M$3520,Sales_Data!$C$2:$C$3520,$A60,Sales_Data!$AE$2:$AE$3520,1)</f>
        <v>14</v>
      </c>
      <c r="E60" s="26" t="n">
        <f aca="false">SUMIFS(Sales_Data!$N$2:$N$3520,Sales_Data!$C$2:$C$3520,$A60,Sales_Data!$AE$2:$AE$3520,1)</f>
        <v>36</v>
      </c>
      <c r="F60" s="26" t="n">
        <f aca="false">D60+E60</f>
        <v>50</v>
      </c>
      <c r="G60" s="28" t="n">
        <f aca="false">F60-F59</f>
        <v>18</v>
      </c>
      <c r="H60" s="29" t="n">
        <f aca="false">IF(F59=0,"-",(F60-F59)/F59)</f>
        <v>0.5625</v>
      </c>
      <c r="I60" s="30" t="n">
        <f aca="false">AVERAGE(F54:F60)</f>
        <v>58.7142857142857</v>
      </c>
      <c r="J60" s="29" t="n">
        <f aca="false">IF(F53=0,"-",(F60-F53)/F53)</f>
        <v>0.25</v>
      </c>
      <c r="K60" s="26" t="n">
        <f aca="false">SUMIFS(Sales_Data!$AF$2:$AF$3520,Sales_Data!$C$2:$C$3520,$A60)</f>
        <v>28</v>
      </c>
      <c r="L60" s="31" t="n">
        <f aca="false">IFERROR(F60/K60,0)</f>
        <v>1.78571428571429</v>
      </c>
      <c r="M60" s="26" t="n">
        <f aca="false">COUNTIFS(Sales_Data!$C$2:$C$3520,$A60,Sales_Data!$U$2:$U$3520,"Yes",Sales_Data!$AE$2:$AE$3520,1)</f>
        <v>2</v>
      </c>
      <c r="N60" s="26" t="n">
        <f aca="false">M60+COUNTIFS(Sales_Data!$C$2:$C$3520,$A60,Sales_Data!$U$2:$U$3520,"No",Sales_Data!$AE$2:$AE$3520,1)</f>
        <v>14</v>
      </c>
      <c r="O60" s="32" t="n">
        <f aca="false">IF(N60=0,"-",M60/N60)</f>
        <v>0.142857142857143</v>
      </c>
      <c r="P60" s="26" t="n">
        <f aca="false">COUNTIFS(Sales_Data!$C$2:$C$3520,$A60,Sales_Data!$W$2:$W$3520,"Yes",Sales_Data!$AE$2:$AE$3520,1)</f>
        <v>11</v>
      </c>
      <c r="Q60" s="26" t="n">
        <f aca="false">P60+COUNTIFS(Sales_Data!$C$2:$C$3520,$A60,Sales_Data!$W$2:$W$3520,"No",Sales_Data!$AE$2:$AE$3520,1)</f>
        <v>13</v>
      </c>
      <c r="R60" s="32" t="n">
        <f aca="false">IF(Q60=0,"-",P60/Q60)</f>
        <v>0.846153846153846</v>
      </c>
      <c r="S60" s="26" t="n">
        <f aca="false">SUMIFS(Sales_Data!$P$2:$P$3520,Sales_Data!$C$2:$C$3520,$A60,Sales_Data!$AE$2:$AE$3520,1)</f>
        <v>22</v>
      </c>
      <c r="T60" s="26" t="n">
        <f aca="false">SUMIFS(Sales_Data!$Q$2:$Q$3520,Sales_Data!$C$2:$C$3520,$A60,Sales_Data!$AE$2:$AE$3520,1)</f>
        <v>11</v>
      </c>
      <c r="U60" s="26" t="n">
        <f aca="false">SUMIFS(Sales_Data!$R$2:$R$3520,Sales_Data!$C$2:$C$3520,$A60,Sales_Data!$AE$2:$AE$3520,1)</f>
        <v>2</v>
      </c>
      <c r="V60" s="26" t="n">
        <f aca="false">SUMIFS(Sales_Data!$S$2:$S$3520,Sales_Data!$C$2:$C$3520,$A60,Sales_Data!$AE$2:$AE$3520,1)</f>
        <v>1</v>
      </c>
      <c r="W60" s="26" t="n">
        <f aca="false">SUMIFS(Sales_Data!$T$2:$T$3520,Sales_Data!$C$2:$C$3520,$A60,Sales_Data!$AE$2:$AE$3520,1)</f>
        <v>0</v>
      </c>
      <c r="X60" s="26" t="n">
        <f aca="false">COUNTIFS(Sales_Data!$C$2:$C$3520,$A60,Sales_Data!$X$2:$X$3520,"&lt;&gt;No Device",Sales_Data!$X$2:$X$3520,"&lt;&gt;",Sales_Data!$AE$2:$AE$3520,1)</f>
        <v>14</v>
      </c>
      <c r="Y60" s="26" t="n">
        <f aca="false">COUNTIFS(Sales_Data!$C$2:$C$3520,$A60,Sales_Data!$AD$2:$AD$3520,0,Sales_Data!$AE$2:$AE$3520,1)</f>
        <v>3</v>
      </c>
      <c r="Z60" s="26" t="n">
        <f aca="false">COUNTIFS(Sales_Data!$C$2:$C$3520,$A60,Sales_Data!$AC$2:$AC$3520,1)</f>
        <v>4</v>
      </c>
    </row>
    <row r="61" customFormat="false" ht="15" hidden="false" customHeight="false" outlineLevel="0" collapsed="false">
      <c r="A61" s="25" t="n">
        <v>46282</v>
      </c>
      <c r="B61" s="53" t="s">
        <v>202</v>
      </c>
      <c r="C61" s="26" t="n">
        <f aca="false">SUMIFS(Sales_Data!$AE$2:$AE$3520,Sales_Data!$C$2:$C$3520,$A61)</f>
        <v>27</v>
      </c>
      <c r="D61" s="26" t="n">
        <f aca="false">SUMIFS(Sales_Data!$M$2:$M$3520,Sales_Data!$C$2:$C$3520,$A61,Sales_Data!$AE$2:$AE$3520,1)</f>
        <v>9</v>
      </c>
      <c r="E61" s="26" t="n">
        <f aca="false">SUMIFS(Sales_Data!$N$2:$N$3520,Sales_Data!$C$2:$C$3520,$A61,Sales_Data!$AE$2:$AE$3520,1)</f>
        <v>19</v>
      </c>
      <c r="F61" s="26" t="n">
        <f aca="false">D61+E61</f>
        <v>28</v>
      </c>
      <c r="G61" s="28" t="n">
        <f aca="false">F61-F60</f>
        <v>-22</v>
      </c>
      <c r="H61" s="29" t="n">
        <f aca="false">IF(F60=0,"-",(F61-F60)/F60)</f>
        <v>-0.44</v>
      </c>
      <c r="I61" s="30" t="n">
        <f aca="false">AVERAGE(F55:F61)</f>
        <v>54.8571428571429</v>
      </c>
      <c r="J61" s="29" t="n">
        <f aca="false">IF(F54=0,"-",(F61-F54)/F54)</f>
        <v>-0.490909090909091</v>
      </c>
      <c r="K61" s="26" t="n">
        <f aca="false">SUMIFS(Sales_Data!$AF$2:$AF$3520,Sales_Data!$C$2:$C$3520,$A61)</f>
        <v>18</v>
      </c>
      <c r="L61" s="31" t="n">
        <f aca="false">IFERROR(F61/K61,0)</f>
        <v>1.55555555555556</v>
      </c>
      <c r="M61" s="26" t="n">
        <f aca="false">COUNTIFS(Sales_Data!$C$2:$C$3520,$A61,Sales_Data!$U$2:$U$3520,"Yes",Sales_Data!$AE$2:$AE$3520,1)</f>
        <v>1</v>
      </c>
      <c r="N61" s="26" t="n">
        <f aca="false">M61+COUNTIFS(Sales_Data!$C$2:$C$3520,$A61,Sales_Data!$U$2:$U$3520,"No",Sales_Data!$AE$2:$AE$3520,1)</f>
        <v>9</v>
      </c>
      <c r="O61" s="32" t="n">
        <f aca="false">IF(N61=0,"-",M61/N61)</f>
        <v>0.111111111111111</v>
      </c>
      <c r="P61" s="26" t="n">
        <f aca="false">COUNTIFS(Sales_Data!$C$2:$C$3520,$A61,Sales_Data!$W$2:$W$3520,"Yes",Sales_Data!$AE$2:$AE$3520,1)</f>
        <v>7</v>
      </c>
      <c r="Q61" s="26" t="n">
        <f aca="false">P61+COUNTIFS(Sales_Data!$C$2:$C$3520,$A61,Sales_Data!$W$2:$W$3520,"No",Sales_Data!$AE$2:$AE$3520,1)</f>
        <v>8</v>
      </c>
      <c r="R61" s="32" t="n">
        <f aca="false">IF(Q61=0,"-",P61/Q61)</f>
        <v>0.875</v>
      </c>
      <c r="S61" s="26" t="n">
        <f aca="false">SUMIFS(Sales_Data!$P$2:$P$3520,Sales_Data!$C$2:$C$3520,$A61,Sales_Data!$AE$2:$AE$3520,1)</f>
        <v>12</v>
      </c>
      <c r="T61" s="26" t="n">
        <f aca="false">SUMIFS(Sales_Data!$Q$2:$Q$3520,Sales_Data!$C$2:$C$3520,$A61,Sales_Data!$AE$2:$AE$3520,1)</f>
        <v>3</v>
      </c>
      <c r="U61" s="26" t="n">
        <f aca="false">SUMIFS(Sales_Data!$R$2:$R$3520,Sales_Data!$C$2:$C$3520,$A61,Sales_Data!$AE$2:$AE$3520,1)</f>
        <v>1</v>
      </c>
      <c r="V61" s="26" t="n">
        <f aca="false">SUMIFS(Sales_Data!$S$2:$S$3520,Sales_Data!$C$2:$C$3520,$A61,Sales_Data!$AE$2:$AE$3520,1)</f>
        <v>3</v>
      </c>
      <c r="W61" s="26" t="n">
        <f aca="false">SUMIFS(Sales_Data!$T$2:$T$3520,Sales_Data!$C$2:$C$3520,$A61,Sales_Data!$AE$2:$AE$3520,1)</f>
        <v>0</v>
      </c>
      <c r="X61" s="26" t="n">
        <f aca="false">COUNTIFS(Sales_Data!$C$2:$C$3520,$A61,Sales_Data!$X$2:$X$3520,"&lt;&gt;No Device",Sales_Data!$X$2:$X$3520,"&lt;&gt;",Sales_Data!$AE$2:$AE$3520,1)</f>
        <v>9</v>
      </c>
      <c r="Y61" s="26" t="n">
        <f aca="false">COUNTIFS(Sales_Data!$C$2:$C$3520,$A61,Sales_Data!$AD$2:$AD$3520,0,Sales_Data!$AE$2:$AE$3520,1)</f>
        <v>1</v>
      </c>
      <c r="Z61" s="26" t="n">
        <f aca="false">COUNTIFS(Sales_Data!$C$2:$C$3520,$A61,Sales_Data!$AC$2:$AC$3520,1)</f>
        <v>0</v>
      </c>
    </row>
    <row r="62" customFormat="false" ht="15" hidden="false" customHeight="false" outlineLevel="0" collapsed="false">
      <c r="A62" s="25" t="n">
        <v>46283</v>
      </c>
      <c r="B62" s="53" t="s">
        <v>288</v>
      </c>
      <c r="C62" s="26" t="n">
        <f aca="false">SUMIFS(Sales_Data!$AE$2:$AE$3520,Sales_Data!$C$2:$C$3520,$A62)</f>
        <v>36</v>
      </c>
      <c r="D62" s="26" t="n">
        <f aca="false">SUMIFS(Sales_Data!$M$2:$M$3520,Sales_Data!$C$2:$C$3520,$A62,Sales_Data!$AE$2:$AE$3520,1)</f>
        <v>14</v>
      </c>
      <c r="E62" s="26" t="n">
        <f aca="false">SUMIFS(Sales_Data!$N$2:$N$3520,Sales_Data!$C$2:$C$3520,$A62,Sales_Data!$AE$2:$AE$3520,1)</f>
        <v>25</v>
      </c>
      <c r="F62" s="26" t="n">
        <f aca="false">D62+E62</f>
        <v>39</v>
      </c>
      <c r="G62" s="28" t="n">
        <f aca="false">F62-F61</f>
        <v>11</v>
      </c>
      <c r="H62" s="29" t="n">
        <f aca="false">IF(F61=0,"-",(F62-F61)/F61)</f>
        <v>0.392857142857143</v>
      </c>
      <c r="I62" s="30" t="n">
        <f aca="false">AVERAGE(F56:F62)</f>
        <v>50.4285714285714</v>
      </c>
      <c r="J62" s="29" t="n">
        <f aca="false">IF(F55=0,"-",(F62-F55)/F55)</f>
        <v>-0.442857142857143</v>
      </c>
      <c r="K62" s="26" t="n">
        <f aca="false">SUMIFS(Sales_Data!$AF$2:$AF$3520,Sales_Data!$C$2:$C$3520,$A62)</f>
        <v>25</v>
      </c>
      <c r="L62" s="31" t="n">
        <f aca="false">IFERROR(F62/K62,0)</f>
        <v>1.56</v>
      </c>
      <c r="M62" s="26" t="n">
        <f aca="false">COUNTIFS(Sales_Data!$C$2:$C$3520,$A62,Sales_Data!$U$2:$U$3520,"Yes",Sales_Data!$AE$2:$AE$3520,1)</f>
        <v>1</v>
      </c>
      <c r="N62" s="26" t="n">
        <f aca="false">M62+COUNTIFS(Sales_Data!$C$2:$C$3520,$A62,Sales_Data!$U$2:$U$3520,"No",Sales_Data!$AE$2:$AE$3520,1)</f>
        <v>14</v>
      </c>
      <c r="O62" s="32" t="n">
        <f aca="false">IF(N62=0,"-",M62/N62)</f>
        <v>0.0714285714285714</v>
      </c>
      <c r="P62" s="26" t="n">
        <f aca="false">COUNTIFS(Sales_Data!$C$2:$C$3520,$A62,Sales_Data!$W$2:$W$3520,"Yes",Sales_Data!$AE$2:$AE$3520,1)</f>
        <v>12</v>
      </c>
      <c r="Q62" s="26" t="n">
        <f aca="false">P62+COUNTIFS(Sales_Data!$C$2:$C$3520,$A62,Sales_Data!$W$2:$W$3520,"No",Sales_Data!$AE$2:$AE$3520,1)</f>
        <v>14</v>
      </c>
      <c r="R62" s="32" t="n">
        <f aca="false">IF(Q62=0,"-",P62/Q62)</f>
        <v>0.857142857142857</v>
      </c>
      <c r="S62" s="26" t="n">
        <f aca="false">SUMIFS(Sales_Data!$P$2:$P$3520,Sales_Data!$C$2:$C$3520,$A62,Sales_Data!$AE$2:$AE$3520,1)</f>
        <v>17</v>
      </c>
      <c r="T62" s="26" t="n">
        <f aca="false">SUMIFS(Sales_Data!$Q$2:$Q$3520,Sales_Data!$C$2:$C$3520,$A62,Sales_Data!$AE$2:$AE$3520,1)</f>
        <v>4</v>
      </c>
      <c r="U62" s="26" t="n">
        <f aca="false">SUMIFS(Sales_Data!$R$2:$R$3520,Sales_Data!$C$2:$C$3520,$A62,Sales_Data!$AE$2:$AE$3520,1)</f>
        <v>1</v>
      </c>
      <c r="V62" s="26" t="n">
        <f aca="false">SUMIFS(Sales_Data!$S$2:$S$3520,Sales_Data!$C$2:$C$3520,$A62,Sales_Data!$AE$2:$AE$3520,1)</f>
        <v>2</v>
      </c>
      <c r="W62" s="26" t="n">
        <f aca="false">SUMIFS(Sales_Data!$T$2:$T$3520,Sales_Data!$C$2:$C$3520,$A62,Sales_Data!$AE$2:$AE$3520,1)</f>
        <v>1</v>
      </c>
      <c r="X62" s="26" t="n">
        <f aca="false">COUNTIFS(Sales_Data!$C$2:$C$3520,$A62,Sales_Data!$X$2:$X$3520,"&lt;&gt;No Device",Sales_Data!$X$2:$X$3520,"&lt;&gt;",Sales_Data!$AE$2:$AE$3520,1)</f>
        <v>11</v>
      </c>
      <c r="Y62" s="26" t="n">
        <f aca="false">COUNTIFS(Sales_Data!$C$2:$C$3520,$A62,Sales_Data!$AD$2:$AD$3520,0,Sales_Data!$AE$2:$AE$3520,1)</f>
        <v>1</v>
      </c>
      <c r="Z62" s="26" t="n">
        <f aca="false">COUNTIFS(Sales_Data!$C$2:$C$3520,$A62,Sales_Data!$AC$2:$AC$3520,1)</f>
        <v>1</v>
      </c>
    </row>
    <row r="63" customFormat="false" ht="15" hidden="false" customHeight="false" outlineLevel="0" collapsed="false">
      <c r="A63" s="25" t="n">
        <v>46284</v>
      </c>
      <c r="B63" s="53" t="s">
        <v>358</v>
      </c>
      <c r="C63" s="26" t="n">
        <f aca="false">SUMIFS(Sales_Data!$AE$2:$AE$3520,Sales_Data!$C$2:$C$3520,$A63)</f>
        <v>55</v>
      </c>
      <c r="D63" s="26" t="n">
        <f aca="false">SUMIFS(Sales_Data!$M$2:$M$3520,Sales_Data!$C$2:$C$3520,$A63,Sales_Data!$AE$2:$AE$3520,1)</f>
        <v>13</v>
      </c>
      <c r="E63" s="26" t="n">
        <f aca="false">SUMIFS(Sales_Data!$N$2:$N$3520,Sales_Data!$C$2:$C$3520,$A63,Sales_Data!$AE$2:$AE$3520,1)</f>
        <v>47</v>
      </c>
      <c r="F63" s="26" t="n">
        <f aca="false">D63+E63</f>
        <v>60</v>
      </c>
      <c r="G63" s="28" t="n">
        <f aca="false">F63-F62</f>
        <v>21</v>
      </c>
      <c r="H63" s="29" t="n">
        <f aca="false">IF(F62=0,"-",(F63-F62)/F62)</f>
        <v>0.538461538461538</v>
      </c>
      <c r="I63" s="30" t="n">
        <f aca="false">AVERAGE(F57:F63)</f>
        <v>46.8571428571429</v>
      </c>
      <c r="J63" s="29" t="n">
        <f aca="false">IF(F56=0,"-",(F63-F56)/F56)</f>
        <v>-0.294117647058824</v>
      </c>
      <c r="K63" s="26" t="n">
        <f aca="false">SUMIFS(Sales_Data!$AF$2:$AF$3520,Sales_Data!$C$2:$C$3520,$A63)</f>
        <v>34</v>
      </c>
      <c r="L63" s="31" t="n">
        <f aca="false">IFERROR(F63/K63,0)</f>
        <v>1.76470588235294</v>
      </c>
      <c r="M63" s="26" t="n">
        <f aca="false">COUNTIFS(Sales_Data!$C$2:$C$3520,$A63,Sales_Data!$U$2:$U$3520,"Yes",Sales_Data!$AE$2:$AE$3520,1)</f>
        <v>3</v>
      </c>
      <c r="N63" s="26" t="n">
        <f aca="false">M63+COUNTIFS(Sales_Data!$C$2:$C$3520,$A63,Sales_Data!$U$2:$U$3520,"No",Sales_Data!$AE$2:$AE$3520,1)</f>
        <v>11</v>
      </c>
      <c r="O63" s="32" t="n">
        <f aca="false">IF(N63=0,"-",M63/N63)</f>
        <v>0.272727272727273</v>
      </c>
      <c r="P63" s="26" t="n">
        <f aca="false">COUNTIFS(Sales_Data!$C$2:$C$3520,$A63,Sales_Data!$W$2:$W$3520,"Yes",Sales_Data!$AE$2:$AE$3520,1)</f>
        <v>7</v>
      </c>
      <c r="Q63" s="26" t="n">
        <f aca="false">P63+COUNTIFS(Sales_Data!$C$2:$C$3520,$A63,Sales_Data!$W$2:$W$3520,"No",Sales_Data!$AE$2:$AE$3520,1)</f>
        <v>10</v>
      </c>
      <c r="R63" s="32" t="n">
        <f aca="false">IF(Q63=0,"-",P63/Q63)</f>
        <v>0.7</v>
      </c>
      <c r="S63" s="26" t="n">
        <f aca="false">SUMIFS(Sales_Data!$P$2:$P$3520,Sales_Data!$C$2:$C$3520,$A63,Sales_Data!$AE$2:$AE$3520,1)</f>
        <v>34</v>
      </c>
      <c r="T63" s="26" t="n">
        <f aca="false">SUMIFS(Sales_Data!$Q$2:$Q$3520,Sales_Data!$C$2:$C$3520,$A63,Sales_Data!$AE$2:$AE$3520,1)</f>
        <v>8</v>
      </c>
      <c r="U63" s="26" t="n">
        <f aca="false">SUMIFS(Sales_Data!$R$2:$R$3520,Sales_Data!$C$2:$C$3520,$A63,Sales_Data!$AE$2:$AE$3520,1)</f>
        <v>3</v>
      </c>
      <c r="V63" s="26" t="n">
        <f aca="false">SUMIFS(Sales_Data!$S$2:$S$3520,Sales_Data!$C$2:$C$3520,$A63,Sales_Data!$AE$2:$AE$3520,1)</f>
        <v>1</v>
      </c>
      <c r="W63" s="26" t="n">
        <f aca="false">SUMIFS(Sales_Data!$T$2:$T$3520,Sales_Data!$C$2:$C$3520,$A63,Sales_Data!$AE$2:$AE$3520,1)</f>
        <v>1</v>
      </c>
      <c r="X63" s="26" t="n">
        <f aca="false">COUNTIFS(Sales_Data!$C$2:$C$3520,$A63,Sales_Data!$X$2:$X$3520,"&lt;&gt;No Device",Sales_Data!$X$2:$X$3520,"&lt;&gt;",Sales_Data!$AE$2:$AE$3520,1)</f>
        <v>10</v>
      </c>
      <c r="Y63" s="26" t="n">
        <f aca="false">COUNTIFS(Sales_Data!$C$2:$C$3520,$A63,Sales_Data!$AD$2:$AD$3520,0,Sales_Data!$AE$2:$AE$3520,1)</f>
        <v>3</v>
      </c>
      <c r="Z63" s="26" t="n">
        <f aca="false">COUNTIFS(Sales_Data!$C$2:$C$3520,$A63,Sales_Data!$AC$2:$AC$3520,1)</f>
        <v>1</v>
      </c>
    </row>
    <row r="64" customFormat="false" ht="15" hidden="false" customHeight="false" outlineLevel="0" collapsed="false">
      <c r="A64" s="25" t="n">
        <v>46285</v>
      </c>
      <c r="B64" s="53" t="s">
        <v>393</v>
      </c>
      <c r="C64" s="26" t="n">
        <f aca="false">SUMIFS(Sales_Data!$AE$2:$AE$3520,Sales_Data!$C$2:$C$3520,$A64)</f>
        <v>44</v>
      </c>
      <c r="D64" s="26" t="n">
        <f aca="false">SUMIFS(Sales_Data!$M$2:$M$3520,Sales_Data!$C$2:$C$3520,$A64,Sales_Data!$AE$2:$AE$3520,1)</f>
        <v>16</v>
      </c>
      <c r="E64" s="26" t="n">
        <f aca="false">SUMIFS(Sales_Data!$N$2:$N$3520,Sales_Data!$C$2:$C$3520,$A64,Sales_Data!$AE$2:$AE$3520,1)</f>
        <v>33</v>
      </c>
      <c r="F64" s="26" t="n">
        <f aca="false">D64+E64</f>
        <v>49</v>
      </c>
      <c r="G64" s="28" t="n">
        <f aca="false">F64-F63</f>
        <v>-11</v>
      </c>
      <c r="H64" s="29" t="n">
        <f aca="false">IF(F63=0,"-",(F64-F63)/F63)</f>
        <v>-0.183333333333333</v>
      </c>
      <c r="I64" s="30" t="n">
        <f aca="false">AVERAGE(F58:F64)</f>
        <v>45.7142857142857</v>
      </c>
      <c r="J64" s="29" t="n">
        <f aca="false">IF(F57=0,"-",(F64-F57)/F57)</f>
        <v>-0.140350877192982</v>
      </c>
      <c r="K64" s="26" t="n">
        <f aca="false">SUMIFS(Sales_Data!$AF$2:$AF$3520,Sales_Data!$C$2:$C$3520,$A64)</f>
        <v>24</v>
      </c>
      <c r="L64" s="31" t="n">
        <f aca="false">IFERROR(F64/K64,0)</f>
        <v>2.04166666666667</v>
      </c>
      <c r="M64" s="26" t="n">
        <f aca="false">COUNTIFS(Sales_Data!$C$2:$C$3520,$A64,Sales_Data!$U$2:$U$3520,"Yes",Sales_Data!$AE$2:$AE$3520,1)</f>
        <v>0</v>
      </c>
      <c r="N64" s="26" t="n">
        <f aca="false">M64+COUNTIFS(Sales_Data!$C$2:$C$3520,$A64,Sales_Data!$U$2:$U$3520,"No",Sales_Data!$AE$2:$AE$3520,1)</f>
        <v>16</v>
      </c>
      <c r="O64" s="32" t="n">
        <f aca="false">IF(N64=0,"-",M64/N64)</f>
        <v>0</v>
      </c>
      <c r="P64" s="26" t="n">
        <f aca="false">COUNTIFS(Sales_Data!$C$2:$C$3520,$A64,Sales_Data!$W$2:$W$3520,"Yes",Sales_Data!$AE$2:$AE$3520,1)</f>
        <v>10</v>
      </c>
      <c r="Q64" s="26" t="n">
        <f aca="false">P64+COUNTIFS(Sales_Data!$C$2:$C$3520,$A64,Sales_Data!$W$2:$W$3520,"No",Sales_Data!$AE$2:$AE$3520,1)</f>
        <v>13</v>
      </c>
      <c r="R64" s="32" t="n">
        <f aca="false">IF(Q64=0,"-",P64/Q64)</f>
        <v>0.769230769230769</v>
      </c>
      <c r="S64" s="26" t="n">
        <f aca="false">SUMIFS(Sales_Data!$P$2:$P$3520,Sales_Data!$C$2:$C$3520,$A64,Sales_Data!$AE$2:$AE$3520,1)</f>
        <v>22</v>
      </c>
      <c r="T64" s="26" t="n">
        <f aca="false">SUMIFS(Sales_Data!$Q$2:$Q$3520,Sales_Data!$C$2:$C$3520,$A64,Sales_Data!$AE$2:$AE$3520,1)</f>
        <v>5</v>
      </c>
      <c r="U64" s="26" t="n">
        <f aca="false">SUMIFS(Sales_Data!$R$2:$R$3520,Sales_Data!$C$2:$C$3520,$A64,Sales_Data!$AE$2:$AE$3520,1)</f>
        <v>5</v>
      </c>
      <c r="V64" s="26" t="n">
        <f aca="false">SUMIFS(Sales_Data!$S$2:$S$3520,Sales_Data!$C$2:$C$3520,$A64,Sales_Data!$AE$2:$AE$3520,1)</f>
        <v>1</v>
      </c>
      <c r="W64" s="26" t="n">
        <f aca="false">SUMIFS(Sales_Data!$T$2:$T$3520,Sales_Data!$C$2:$C$3520,$A64,Sales_Data!$AE$2:$AE$3520,1)</f>
        <v>0</v>
      </c>
      <c r="X64" s="26" t="n">
        <f aca="false">COUNTIFS(Sales_Data!$C$2:$C$3520,$A64,Sales_Data!$X$2:$X$3520,"&lt;&gt;No Device",Sales_Data!$X$2:$X$3520,"&lt;&gt;",Sales_Data!$AE$2:$AE$3520,1)</f>
        <v>16</v>
      </c>
      <c r="Y64" s="26" t="n">
        <f aca="false">COUNTIFS(Sales_Data!$C$2:$C$3520,$A64,Sales_Data!$AD$2:$AD$3520,0,Sales_Data!$AE$2:$AE$3520,1)</f>
        <v>2</v>
      </c>
      <c r="Z64" s="26" t="n">
        <f aca="false">COUNTIFS(Sales_Data!$C$2:$C$3520,$A64,Sales_Data!$AC$2:$AC$3520,1)</f>
        <v>0</v>
      </c>
    </row>
    <row r="65" customFormat="false" ht="15" hidden="false" customHeight="false" outlineLevel="0" collapsed="false">
      <c r="A65" s="25" t="n">
        <v>46286</v>
      </c>
      <c r="B65" s="53" t="s">
        <v>429</v>
      </c>
      <c r="C65" s="26" t="n">
        <f aca="false">SUMIFS(Sales_Data!$AE$2:$AE$3520,Sales_Data!$C$2:$C$3520,$A65)</f>
        <v>74</v>
      </c>
      <c r="D65" s="26" t="n">
        <f aca="false">SUMIFS(Sales_Data!$M$2:$M$3520,Sales_Data!$C$2:$C$3520,$A65,Sales_Data!$AE$2:$AE$3520,1)</f>
        <v>13</v>
      </c>
      <c r="E65" s="26" t="n">
        <f aca="false">SUMIFS(Sales_Data!$N$2:$N$3520,Sales_Data!$C$2:$C$3520,$A65,Sales_Data!$AE$2:$AE$3520,1)</f>
        <v>72</v>
      </c>
      <c r="F65" s="26" t="n">
        <f aca="false">D65+E65</f>
        <v>85</v>
      </c>
      <c r="G65" s="28" t="n">
        <f aca="false">F65-F64</f>
        <v>36</v>
      </c>
      <c r="H65" s="29" t="n">
        <f aca="false">IF(F64=0,"-",(F65-F64)/F64)</f>
        <v>0.73469387755102</v>
      </c>
      <c r="I65" s="30" t="n">
        <f aca="false">AVERAGE(F59:F65)</f>
        <v>49</v>
      </c>
      <c r="J65" s="29" t="n">
        <f aca="false">IF(F58=0,"-",(F65-F58)/F58)</f>
        <v>0.370967741935484</v>
      </c>
      <c r="K65" s="26" t="n">
        <f aca="false">SUMIFS(Sales_Data!$AF$2:$AF$3520,Sales_Data!$C$2:$C$3520,$A65)</f>
        <v>38</v>
      </c>
      <c r="L65" s="31" t="n">
        <f aca="false">IFERROR(F65/K65,0)</f>
        <v>2.23684210526316</v>
      </c>
      <c r="M65" s="26" t="n">
        <f aca="false">COUNTIFS(Sales_Data!$C$2:$C$3520,$A65,Sales_Data!$U$2:$U$3520,"Yes",Sales_Data!$AE$2:$AE$3520,1)</f>
        <v>1</v>
      </c>
      <c r="N65" s="26" t="n">
        <f aca="false">M65+COUNTIFS(Sales_Data!$C$2:$C$3520,$A65,Sales_Data!$U$2:$U$3520,"No",Sales_Data!$AE$2:$AE$3520,1)</f>
        <v>12</v>
      </c>
      <c r="O65" s="32" t="n">
        <f aca="false">IF(N65=0,"-",M65/N65)</f>
        <v>0.0833333333333333</v>
      </c>
      <c r="P65" s="26" t="n">
        <f aca="false">COUNTIFS(Sales_Data!$C$2:$C$3520,$A65,Sales_Data!$W$2:$W$3520,"Yes",Sales_Data!$AE$2:$AE$3520,1)</f>
        <v>9</v>
      </c>
      <c r="Q65" s="26" t="n">
        <f aca="false">P65+COUNTIFS(Sales_Data!$C$2:$C$3520,$A65,Sales_Data!$W$2:$W$3520,"No",Sales_Data!$AE$2:$AE$3520,1)</f>
        <v>11</v>
      </c>
      <c r="R65" s="32" t="n">
        <f aca="false">IF(Q65=0,"-",P65/Q65)</f>
        <v>0.818181818181818</v>
      </c>
      <c r="S65" s="26" t="n">
        <f aca="false">SUMIFS(Sales_Data!$P$2:$P$3520,Sales_Data!$C$2:$C$3520,$A65,Sales_Data!$AE$2:$AE$3520,1)</f>
        <v>41</v>
      </c>
      <c r="T65" s="26" t="n">
        <f aca="false">SUMIFS(Sales_Data!$Q$2:$Q$3520,Sales_Data!$C$2:$C$3520,$A65,Sales_Data!$AE$2:$AE$3520,1)</f>
        <v>26</v>
      </c>
      <c r="U65" s="26" t="n">
        <f aca="false">SUMIFS(Sales_Data!$R$2:$R$3520,Sales_Data!$C$2:$C$3520,$A65,Sales_Data!$AE$2:$AE$3520,1)</f>
        <v>5</v>
      </c>
      <c r="V65" s="26" t="n">
        <f aca="false">SUMIFS(Sales_Data!$S$2:$S$3520,Sales_Data!$C$2:$C$3520,$A65,Sales_Data!$AE$2:$AE$3520,1)</f>
        <v>0</v>
      </c>
      <c r="W65" s="26" t="n">
        <f aca="false">SUMIFS(Sales_Data!$T$2:$T$3520,Sales_Data!$C$2:$C$3520,$A65,Sales_Data!$AE$2:$AE$3520,1)</f>
        <v>0</v>
      </c>
      <c r="X65" s="26" t="n">
        <f aca="false">COUNTIFS(Sales_Data!$C$2:$C$3520,$A65,Sales_Data!$X$2:$X$3520,"&lt;&gt;No Device",Sales_Data!$X$2:$X$3520,"&lt;&gt;",Sales_Data!$AE$2:$AE$3520,1)</f>
        <v>12</v>
      </c>
      <c r="Y65" s="26" t="n">
        <f aca="false">COUNTIFS(Sales_Data!$C$2:$C$3520,$A65,Sales_Data!$AD$2:$AD$3520,0,Sales_Data!$AE$2:$AE$3520,1)</f>
        <v>2</v>
      </c>
      <c r="Z65" s="26" t="n">
        <f aca="false">COUNTIFS(Sales_Data!$C$2:$C$3520,$A65,Sales_Data!$AC$2:$AC$3520,1)</f>
        <v>3</v>
      </c>
    </row>
    <row r="66" customFormat="false" ht="15" hidden="false" customHeight="false" outlineLevel="0" collapsed="false">
      <c r="A66" s="25" t="n">
        <v>46287</v>
      </c>
      <c r="B66" s="53" t="s">
        <v>501</v>
      </c>
      <c r="C66" s="26" t="n">
        <f aca="false">SUMIFS(Sales_Data!$AE$2:$AE$3520,Sales_Data!$C$2:$C$3520,$A66)</f>
        <v>58</v>
      </c>
      <c r="D66" s="26" t="n">
        <f aca="false">SUMIFS(Sales_Data!$M$2:$M$3520,Sales_Data!$C$2:$C$3520,$A66,Sales_Data!$AE$2:$AE$3520,1)</f>
        <v>26</v>
      </c>
      <c r="E66" s="26" t="n">
        <f aca="false">SUMIFS(Sales_Data!$N$2:$N$3520,Sales_Data!$C$2:$C$3520,$A66,Sales_Data!$AE$2:$AE$3520,1)</f>
        <v>51</v>
      </c>
      <c r="F66" s="26" t="n">
        <f aca="false">D66+E66</f>
        <v>77</v>
      </c>
      <c r="G66" s="28" t="n">
        <f aca="false">F66-F65</f>
        <v>-8</v>
      </c>
      <c r="H66" s="29" t="n">
        <f aca="false">IF(F65=0,"-",(F66-F65)/F65)</f>
        <v>-0.0941176470588235</v>
      </c>
      <c r="I66" s="30" t="n">
        <f aca="false">AVERAGE(F60:F66)</f>
        <v>55.4285714285714</v>
      </c>
      <c r="J66" s="29" t="n">
        <f aca="false">IF(F59=0,"-",(F66-F59)/F59)</f>
        <v>1.40625</v>
      </c>
      <c r="K66" s="26" t="n">
        <f aca="false">SUMIFS(Sales_Data!$AF$2:$AF$3520,Sales_Data!$C$2:$C$3520,$A66)</f>
        <v>35</v>
      </c>
      <c r="L66" s="31" t="n">
        <f aca="false">IFERROR(F66/K66,0)</f>
        <v>2.2</v>
      </c>
      <c r="M66" s="26" t="n">
        <f aca="false">COUNTIFS(Sales_Data!$C$2:$C$3520,$A66,Sales_Data!$U$2:$U$3520,"Yes",Sales_Data!$AE$2:$AE$3520,1)</f>
        <v>2</v>
      </c>
      <c r="N66" s="26" t="n">
        <f aca="false">M66+COUNTIFS(Sales_Data!$C$2:$C$3520,$A66,Sales_Data!$U$2:$U$3520,"No",Sales_Data!$AE$2:$AE$3520,1)</f>
        <v>15</v>
      </c>
      <c r="O66" s="32" t="n">
        <f aca="false">IF(N66=0,"-",M66/N66)</f>
        <v>0.133333333333333</v>
      </c>
      <c r="P66" s="26" t="n">
        <f aca="false">COUNTIFS(Sales_Data!$C$2:$C$3520,$A66,Sales_Data!$W$2:$W$3520,"Yes",Sales_Data!$AE$2:$AE$3520,1)</f>
        <v>11</v>
      </c>
      <c r="Q66" s="26" t="n">
        <f aca="false">P66+COUNTIFS(Sales_Data!$C$2:$C$3520,$A66,Sales_Data!$W$2:$W$3520,"No",Sales_Data!$AE$2:$AE$3520,1)</f>
        <v>14</v>
      </c>
      <c r="R66" s="32" t="n">
        <f aca="false">IF(Q66=0,"-",P66/Q66)</f>
        <v>0.785714285714286</v>
      </c>
      <c r="S66" s="26" t="n">
        <f aca="false">SUMIFS(Sales_Data!$P$2:$P$3520,Sales_Data!$C$2:$C$3520,$A66,Sales_Data!$AE$2:$AE$3520,1)</f>
        <v>28</v>
      </c>
      <c r="T66" s="26" t="n">
        <f aca="false">SUMIFS(Sales_Data!$Q$2:$Q$3520,Sales_Data!$C$2:$C$3520,$A66,Sales_Data!$AE$2:$AE$3520,1)</f>
        <v>16</v>
      </c>
      <c r="U66" s="26" t="n">
        <f aca="false">SUMIFS(Sales_Data!$R$2:$R$3520,Sales_Data!$C$2:$C$3520,$A66,Sales_Data!$AE$2:$AE$3520,1)</f>
        <v>5</v>
      </c>
      <c r="V66" s="26" t="n">
        <f aca="false">SUMIFS(Sales_Data!$S$2:$S$3520,Sales_Data!$C$2:$C$3520,$A66,Sales_Data!$AE$2:$AE$3520,1)</f>
        <v>2</v>
      </c>
      <c r="W66" s="26" t="n">
        <f aca="false">SUMIFS(Sales_Data!$T$2:$T$3520,Sales_Data!$C$2:$C$3520,$A66,Sales_Data!$AE$2:$AE$3520,1)</f>
        <v>0</v>
      </c>
      <c r="X66" s="26" t="n">
        <f aca="false">COUNTIFS(Sales_Data!$C$2:$C$3520,$A66,Sales_Data!$X$2:$X$3520,"&lt;&gt;No Device",Sales_Data!$X$2:$X$3520,"&lt;&gt;",Sales_Data!$AE$2:$AE$3520,1)</f>
        <v>15</v>
      </c>
      <c r="Y66" s="26" t="n">
        <f aca="false">COUNTIFS(Sales_Data!$C$2:$C$3520,$A66,Sales_Data!$AD$2:$AD$3520,0,Sales_Data!$AE$2:$AE$3520,1)</f>
        <v>4</v>
      </c>
      <c r="Z66" s="26" t="n">
        <f aca="false">COUNTIFS(Sales_Data!$C$2:$C$3520,$A66,Sales_Data!$AC$2:$AC$3520,1)</f>
        <v>1</v>
      </c>
    </row>
    <row r="67" customFormat="false" ht="15" hidden="false" customHeight="false" outlineLevel="0" collapsed="false">
      <c r="A67" s="25" t="n">
        <v>46288</v>
      </c>
      <c r="B67" s="53" t="s">
        <v>143</v>
      </c>
      <c r="C67" s="26" t="n">
        <f aca="false">SUMIFS(Sales_Data!$AE$2:$AE$3520,Sales_Data!$C$2:$C$3520,$A67)</f>
        <v>55</v>
      </c>
      <c r="D67" s="26" t="n">
        <f aca="false">SUMIFS(Sales_Data!$M$2:$M$3520,Sales_Data!$C$2:$C$3520,$A67,Sales_Data!$AE$2:$AE$3520,1)</f>
        <v>20</v>
      </c>
      <c r="E67" s="26" t="n">
        <f aca="false">SUMIFS(Sales_Data!$N$2:$N$3520,Sales_Data!$C$2:$C$3520,$A67,Sales_Data!$AE$2:$AE$3520,1)</f>
        <v>45</v>
      </c>
      <c r="F67" s="26" t="n">
        <f aca="false">D67+E67</f>
        <v>65</v>
      </c>
      <c r="G67" s="28" t="n">
        <f aca="false">F67-F66</f>
        <v>-12</v>
      </c>
      <c r="H67" s="29" t="n">
        <f aca="false">IF(F66=0,"-",(F67-F66)/F66)</f>
        <v>-0.155844155844156</v>
      </c>
      <c r="I67" s="30" t="n">
        <f aca="false">AVERAGE(F61:F67)</f>
        <v>57.5714285714286</v>
      </c>
      <c r="J67" s="29" t="n">
        <f aca="false">IF(F60=0,"-",(F67-F60)/F60)</f>
        <v>0.3</v>
      </c>
      <c r="K67" s="26" t="n">
        <f aca="false">SUMIFS(Sales_Data!$AF$2:$AF$3520,Sales_Data!$C$2:$C$3520,$A67)</f>
        <v>32</v>
      </c>
      <c r="L67" s="31" t="n">
        <f aca="false">IFERROR(F67/K67,0)</f>
        <v>2.03125</v>
      </c>
      <c r="M67" s="26" t="n">
        <f aca="false">COUNTIFS(Sales_Data!$C$2:$C$3520,$A67,Sales_Data!$U$2:$U$3520,"Yes",Sales_Data!$AE$2:$AE$3520,1)</f>
        <v>4</v>
      </c>
      <c r="N67" s="26" t="n">
        <f aca="false">M67+COUNTIFS(Sales_Data!$C$2:$C$3520,$A67,Sales_Data!$U$2:$U$3520,"No",Sales_Data!$AE$2:$AE$3520,1)</f>
        <v>20</v>
      </c>
      <c r="O67" s="32" t="n">
        <f aca="false">IF(N67=0,"-",M67/N67)</f>
        <v>0.2</v>
      </c>
      <c r="P67" s="26" t="n">
        <f aca="false">COUNTIFS(Sales_Data!$C$2:$C$3520,$A67,Sales_Data!$W$2:$W$3520,"Yes",Sales_Data!$AE$2:$AE$3520,1)</f>
        <v>11</v>
      </c>
      <c r="Q67" s="26" t="n">
        <f aca="false">P67+COUNTIFS(Sales_Data!$C$2:$C$3520,$A67,Sales_Data!$W$2:$W$3520,"No",Sales_Data!$AE$2:$AE$3520,1)</f>
        <v>19</v>
      </c>
      <c r="R67" s="32" t="n">
        <f aca="false">IF(Q67=0,"-",P67/Q67)</f>
        <v>0.578947368421053</v>
      </c>
      <c r="S67" s="26" t="n">
        <f aca="false">SUMIFS(Sales_Data!$P$2:$P$3520,Sales_Data!$C$2:$C$3520,$A67,Sales_Data!$AE$2:$AE$3520,1)</f>
        <v>21</v>
      </c>
      <c r="T67" s="26" t="n">
        <f aca="false">SUMIFS(Sales_Data!$Q$2:$Q$3520,Sales_Data!$C$2:$C$3520,$A67,Sales_Data!$AE$2:$AE$3520,1)</f>
        <v>15</v>
      </c>
      <c r="U67" s="26" t="n">
        <f aca="false">SUMIFS(Sales_Data!$R$2:$R$3520,Sales_Data!$C$2:$C$3520,$A67,Sales_Data!$AE$2:$AE$3520,1)</f>
        <v>7</v>
      </c>
      <c r="V67" s="26" t="n">
        <f aca="false">SUMIFS(Sales_Data!$S$2:$S$3520,Sales_Data!$C$2:$C$3520,$A67,Sales_Data!$AE$2:$AE$3520,1)</f>
        <v>2</v>
      </c>
      <c r="W67" s="26" t="n">
        <f aca="false">SUMIFS(Sales_Data!$T$2:$T$3520,Sales_Data!$C$2:$C$3520,$A67,Sales_Data!$AE$2:$AE$3520,1)</f>
        <v>0</v>
      </c>
      <c r="X67" s="26" t="n">
        <f aca="false">COUNTIFS(Sales_Data!$C$2:$C$3520,$A67,Sales_Data!$X$2:$X$3520,"&lt;&gt;No Device",Sales_Data!$X$2:$X$3520,"&lt;&gt;",Sales_Data!$AE$2:$AE$3520,1)</f>
        <v>20</v>
      </c>
      <c r="Y67" s="26" t="n">
        <f aca="false">COUNTIFS(Sales_Data!$C$2:$C$3520,$A67,Sales_Data!$AD$2:$AD$3520,0,Sales_Data!$AE$2:$AE$3520,1)</f>
        <v>0</v>
      </c>
      <c r="Z67" s="26" t="n">
        <f aca="false">COUNTIFS(Sales_Data!$C$2:$C$3520,$A67,Sales_Data!$AC$2:$AC$3520,1)</f>
        <v>0</v>
      </c>
    </row>
    <row r="68" customFormat="false" ht="15" hidden="false" customHeight="false" outlineLevel="0" collapsed="false">
      <c r="A68" s="25" t="n">
        <v>46289</v>
      </c>
      <c r="B68" s="53" t="s">
        <v>202</v>
      </c>
      <c r="C68" s="26" t="n">
        <f aca="false">SUMIFS(Sales_Data!$AE$2:$AE$3520,Sales_Data!$C$2:$C$3520,$A68)</f>
        <v>69</v>
      </c>
      <c r="D68" s="26" t="n">
        <f aca="false">SUMIFS(Sales_Data!$M$2:$M$3520,Sales_Data!$C$2:$C$3520,$A68,Sales_Data!$AE$2:$AE$3520,1)</f>
        <v>37</v>
      </c>
      <c r="E68" s="26" t="n">
        <f aca="false">SUMIFS(Sales_Data!$N$2:$N$3520,Sales_Data!$C$2:$C$3520,$A68,Sales_Data!$AE$2:$AE$3520,1)</f>
        <v>46</v>
      </c>
      <c r="F68" s="26" t="n">
        <f aca="false">D68+E68</f>
        <v>83</v>
      </c>
      <c r="G68" s="28" t="n">
        <f aca="false">F68-F67</f>
        <v>18</v>
      </c>
      <c r="H68" s="29" t="n">
        <f aca="false">IF(F67=0,"-",(F68-F67)/F67)</f>
        <v>0.276923076923077</v>
      </c>
      <c r="I68" s="30" t="n">
        <f aca="false">AVERAGE(F62:F68)</f>
        <v>65.4285714285714</v>
      </c>
      <c r="J68" s="29" t="n">
        <f aca="false">IF(F61=0,"-",(F68-F61)/F61)</f>
        <v>1.96428571428571</v>
      </c>
      <c r="K68" s="26" t="n">
        <f aca="false">SUMIFS(Sales_Data!$AF$2:$AF$3520,Sales_Data!$C$2:$C$3520,$A68)</f>
        <v>43</v>
      </c>
      <c r="L68" s="31" t="n">
        <f aca="false">IFERROR(F68/K68,0)</f>
        <v>1.93023255813954</v>
      </c>
      <c r="M68" s="26" t="n">
        <f aca="false">COUNTIFS(Sales_Data!$C$2:$C$3520,$A68,Sales_Data!$U$2:$U$3520,"Yes",Sales_Data!$AE$2:$AE$3520,1)</f>
        <v>4</v>
      </c>
      <c r="N68" s="26" t="n">
        <f aca="false">M68+COUNTIFS(Sales_Data!$C$2:$C$3520,$A68,Sales_Data!$U$2:$U$3520,"No",Sales_Data!$AE$2:$AE$3520,1)</f>
        <v>30</v>
      </c>
      <c r="O68" s="32" t="n">
        <f aca="false">IF(N68=0,"-",M68/N68)</f>
        <v>0.133333333333333</v>
      </c>
      <c r="P68" s="26" t="n">
        <f aca="false">COUNTIFS(Sales_Data!$C$2:$C$3520,$A68,Sales_Data!$W$2:$W$3520,"Yes",Sales_Data!$AE$2:$AE$3520,1)</f>
        <v>19</v>
      </c>
      <c r="Q68" s="26" t="n">
        <f aca="false">P68+COUNTIFS(Sales_Data!$C$2:$C$3520,$A68,Sales_Data!$W$2:$W$3520,"No",Sales_Data!$AE$2:$AE$3520,1)</f>
        <v>25</v>
      </c>
      <c r="R68" s="32" t="n">
        <f aca="false">IF(Q68=0,"-",P68/Q68)</f>
        <v>0.76</v>
      </c>
      <c r="S68" s="26" t="n">
        <f aca="false">SUMIFS(Sales_Data!$P$2:$P$3520,Sales_Data!$C$2:$C$3520,$A68,Sales_Data!$AE$2:$AE$3520,1)</f>
        <v>24</v>
      </c>
      <c r="T68" s="26" t="n">
        <f aca="false">SUMIFS(Sales_Data!$Q$2:$Q$3520,Sales_Data!$C$2:$C$3520,$A68,Sales_Data!$AE$2:$AE$3520,1)</f>
        <v>10</v>
      </c>
      <c r="U68" s="26" t="n">
        <f aca="false">SUMIFS(Sales_Data!$R$2:$R$3520,Sales_Data!$C$2:$C$3520,$A68,Sales_Data!$AE$2:$AE$3520,1)</f>
        <v>8</v>
      </c>
      <c r="V68" s="26" t="n">
        <f aca="false">SUMIFS(Sales_Data!$S$2:$S$3520,Sales_Data!$C$2:$C$3520,$A68,Sales_Data!$AE$2:$AE$3520,1)</f>
        <v>1</v>
      </c>
      <c r="W68" s="26" t="n">
        <f aca="false">SUMIFS(Sales_Data!$T$2:$T$3520,Sales_Data!$C$2:$C$3520,$A68,Sales_Data!$AE$2:$AE$3520,1)</f>
        <v>3</v>
      </c>
      <c r="X68" s="26" t="n">
        <f aca="false">COUNTIFS(Sales_Data!$C$2:$C$3520,$A68,Sales_Data!$X$2:$X$3520,"&lt;&gt;No Device",Sales_Data!$X$2:$X$3520,"&lt;&gt;",Sales_Data!$AE$2:$AE$3520,1)</f>
        <v>26</v>
      </c>
      <c r="Y68" s="26" t="n">
        <f aca="false">COUNTIFS(Sales_Data!$C$2:$C$3520,$A68,Sales_Data!$AD$2:$AD$3520,0,Sales_Data!$AE$2:$AE$3520,1)</f>
        <v>1</v>
      </c>
      <c r="Z68" s="26" t="n">
        <f aca="false">COUNTIFS(Sales_Data!$C$2:$C$3520,$A68,Sales_Data!$AC$2:$AC$3520,1)</f>
        <v>4</v>
      </c>
    </row>
    <row r="69" customFormat="false" ht="15" hidden="false" customHeight="false" outlineLevel="0" collapsed="false">
      <c r="A69" s="25" t="n">
        <v>46290</v>
      </c>
      <c r="B69" s="53" t="s">
        <v>288</v>
      </c>
      <c r="C69" s="26" t="n">
        <f aca="false">SUMIFS(Sales_Data!$AE$2:$AE$3520,Sales_Data!$C$2:$C$3520,$A69)</f>
        <v>59</v>
      </c>
      <c r="D69" s="26" t="n">
        <f aca="false">SUMIFS(Sales_Data!$M$2:$M$3520,Sales_Data!$C$2:$C$3520,$A69,Sales_Data!$AE$2:$AE$3520,1)</f>
        <v>29</v>
      </c>
      <c r="E69" s="26" t="n">
        <f aca="false">SUMIFS(Sales_Data!$N$2:$N$3520,Sales_Data!$C$2:$C$3520,$A69,Sales_Data!$AE$2:$AE$3520,1)</f>
        <v>40</v>
      </c>
      <c r="F69" s="26" t="n">
        <f aca="false">D69+E69</f>
        <v>69</v>
      </c>
      <c r="G69" s="28" t="n">
        <f aca="false">F69-F68</f>
        <v>-14</v>
      </c>
      <c r="H69" s="29" t="n">
        <f aca="false">IF(F68=0,"-",(F69-F68)/F68)</f>
        <v>-0.168674698795181</v>
      </c>
      <c r="I69" s="30" t="n">
        <f aca="false">AVERAGE(F63:F69)</f>
        <v>69.7142857142857</v>
      </c>
      <c r="J69" s="29" t="n">
        <f aca="false">IF(F62=0,"-",(F69-F62)/F62)</f>
        <v>0.769230769230769</v>
      </c>
      <c r="K69" s="26" t="n">
        <f aca="false">SUMIFS(Sales_Data!$AF$2:$AF$3520,Sales_Data!$C$2:$C$3520,$A69)</f>
        <v>41</v>
      </c>
      <c r="L69" s="31" t="n">
        <f aca="false">IFERROR(F69/K69,0)</f>
        <v>1.68292682926829</v>
      </c>
      <c r="M69" s="26" t="n">
        <f aca="false">COUNTIFS(Sales_Data!$C$2:$C$3520,$A69,Sales_Data!$U$2:$U$3520,"Yes",Sales_Data!$AE$2:$AE$3520,1)</f>
        <v>5</v>
      </c>
      <c r="N69" s="26" t="n">
        <f aca="false">M69+COUNTIFS(Sales_Data!$C$2:$C$3520,$A69,Sales_Data!$U$2:$U$3520,"No",Sales_Data!$AE$2:$AE$3520,1)</f>
        <v>24</v>
      </c>
      <c r="O69" s="32" t="n">
        <f aca="false">IF(N69=0,"-",M69/N69)</f>
        <v>0.208333333333333</v>
      </c>
      <c r="P69" s="26" t="n">
        <f aca="false">COUNTIFS(Sales_Data!$C$2:$C$3520,$A69,Sales_Data!$W$2:$W$3520,"Yes",Sales_Data!$AE$2:$AE$3520,1)</f>
        <v>20</v>
      </c>
      <c r="Q69" s="26" t="n">
        <f aca="false">P69+COUNTIFS(Sales_Data!$C$2:$C$3520,$A69,Sales_Data!$W$2:$W$3520,"No",Sales_Data!$AE$2:$AE$3520,1)</f>
        <v>24</v>
      </c>
      <c r="R69" s="32" t="n">
        <f aca="false">IF(Q69=0,"-",P69/Q69)</f>
        <v>0.833333333333333</v>
      </c>
      <c r="S69" s="26" t="n">
        <f aca="false">SUMIFS(Sales_Data!$P$2:$P$3520,Sales_Data!$C$2:$C$3520,$A69,Sales_Data!$AE$2:$AE$3520,1)</f>
        <v>24</v>
      </c>
      <c r="T69" s="26" t="n">
        <f aca="false">SUMIFS(Sales_Data!$Q$2:$Q$3520,Sales_Data!$C$2:$C$3520,$A69,Sales_Data!$AE$2:$AE$3520,1)</f>
        <v>7</v>
      </c>
      <c r="U69" s="26" t="n">
        <f aca="false">SUMIFS(Sales_Data!$R$2:$R$3520,Sales_Data!$C$2:$C$3520,$A69,Sales_Data!$AE$2:$AE$3520,1)</f>
        <v>6</v>
      </c>
      <c r="V69" s="26" t="n">
        <f aca="false">SUMIFS(Sales_Data!$S$2:$S$3520,Sales_Data!$C$2:$C$3520,$A69,Sales_Data!$AE$2:$AE$3520,1)</f>
        <v>1</v>
      </c>
      <c r="W69" s="26" t="n">
        <f aca="false">SUMIFS(Sales_Data!$T$2:$T$3520,Sales_Data!$C$2:$C$3520,$A69,Sales_Data!$AE$2:$AE$3520,1)</f>
        <v>2</v>
      </c>
      <c r="X69" s="26" t="n">
        <f aca="false">COUNTIFS(Sales_Data!$C$2:$C$3520,$A69,Sales_Data!$X$2:$X$3520,"&lt;&gt;No Device",Sales_Data!$X$2:$X$3520,"&lt;&gt;",Sales_Data!$AE$2:$AE$3520,1)</f>
        <v>20</v>
      </c>
      <c r="Y69" s="26" t="n">
        <f aca="false">COUNTIFS(Sales_Data!$C$2:$C$3520,$A69,Sales_Data!$AD$2:$AD$3520,0,Sales_Data!$AE$2:$AE$3520,1)</f>
        <v>6</v>
      </c>
      <c r="Z69" s="26" t="n">
        <f aca="false">COUNTIFS(Sales_Data!$C$2:$C$3520,$A69,Sales_Data!$AC$2:$AC$3520,1)</f>
        <v>4</v>
      </c>
    </row>
    <row r="70" customFormat="false" ht="15" hidden="false" customHeight="false" outlineLevel="0" collapsed="false">
      <c r="A70" s="25" t="n">
        <v>46291</v>
      </c>
      <c r="B70" s="53" t="s">
        <v>358</v>
      </c>
      <c r="C70" s="26" t="n">
        <f aca="false">SUMIFS(Sales_Data!$AE$2:$AE$3520,Sales_Data!$C$2:$C$3520,$A70)</f>
        <v>56</v>
      </c>
      <c r="D70" s="26" t="n">
        <f aca="false">SUMIFS(Sales_Data!$M$2:$M$3520,Sales_Data!$C$2:$C$3520,$A70,Sales_Data!$AE$2:$AE$3520,1)</f>
        <v>19</v>
      </c>
      <c r="E70" s="26" t="n">
        <f aca="false">SUMIFS(Sales_Data!$N$2:$N$3520,Sales_Data!$C$2:$C$3520,$A70,Sales_Data!$AE$2:$AE$3520,1)</f>
        <v>42</v>
      </c>
      <c r="F70" s="26" t="n">
        <f aca="false">D70+E70</f>
        <v>61</v>
      </c>
      <c r="G70" s="28" t="n">
        <f aca="false">F70-F69</f>
        <v>-8</v>
      </c>
      <c r="H70" s="29" t="n">
        <f aca="false">IF(F69=0,"-",(F70-F69)/F69)</f>
        <v>-0.115942028985507</v>
      </c>
      <c r="I70" s="30" t="n">
        <f aca="false">AVERAGE(F64:F70)</f>
        <v>69.8571428571429</v>
      </c>
      <c r="J70" s="29" t="n">
        <f aca="false">IF(F63=0,"-",(F70-F63)/F63)</f>
        <v>0.0166666666666667</v>
      </c>
      <c r="K70" s="26" t="n">
        <f aca="false">SUMIFS(Sales_Data!$AF$2:$AF$3520,Sales_Data!$C$2:$C$3520,$A70)</f>
        <v>40</v>
      </c>
      <c r="L70" s="31" t="n">
        <f aca="false">IFERROR(F70/K70,0)</f>
        <v>1.525</v>
      </c>
      <c r="M70" s="26" t="n">
        <f aca="false">COUNTIFS(Sales_Data!$C$2:$C$3520,$A70,Sales_Data!$U$2:$U$3520,"Yes",Sales_Data!$AE$2:$AE$3520,1)</f>
        <v>3</v>
      </c>
      <c r="N70" s="26" t="n">
        <f aca="false">M70+COUNTIFS(Sales_Data!$C$2:$C$3520,$A70,Sales_Data!$U$2:$U$3520,"No",Sales_Data!$AE$2:$AE$3520,1)</f>
        <v>17</v>
      </c>
      <c r="O70" s="32" t="n">
        <f aca="false">IF(N70=0,"-",M70/N70)</f>
        <v>0.176470588235294</v>
      </c>
      <c r="P70" s="26" t="n">
        <f aca="false">COUNTIFS(Sales_Data!$C$2:$C$3520,$A70,Sales_Data!$W$2:$W$3520,"Yes",Sales_Data!$AE$2:$AE$3520,1)</f>
        <v>9</v>
      </c>
      <c r="Q70" s="26" t="n">
        <f aca="false">P70+COUNTIFS(Sales_Data!$C$2:$C$3520,$A70,Sales_Data!$W$2:$W$3520,"No",Sales_Data!$AE$2:$AE$3520,1)</f>
        <v>16</v>
      </c>
      <c r="R70" s="32" t="n">
        <f aca="false">IF(Q70=0,"-",P70/Q70)</f>
        <v>0.5625</v>
      </c>
      <c r="S70" s="26" t="n">
        <f aca="false">SUMIFS(Sales_Data!$P$2:$P$3520,Sales_Data!$C$2:$C$3520,$A70,Sales_Data!$AE$2:$AE$3520,1)</f>
        <v>25</v>
      </c>
      <c r="T70" s="26" t="n">
        <f aca="false">SUMIFS(Sales_Data!$Q$2:$Q$3520,Sales_Data!$C$2:$C$3520,$A70,Sales_Data!$AE$2:$AE$3520,1)</f>
        <v>10</v>
      </c>
      <c r="U70" s="26" t="n">
        <f aca="false">SUMIFS(Sales_Data!$R$2:$R$3520,Sales_Data!$C$2:$C$3520,$A70,Sales_Data!$AE$2:$AE$3520,1)</f>
        <v>3</v>
      </c>
      <c r="V70" s="26" t="n">
        <f aca="false">SUMIFS(Sales_Data!$S$2:$S$3520,Sales_Data!$C$2:$C$3520,$A70,Sales_Data!$AE$2:$AE$3520,1)</f>
        <v>1</v>
      </c>
      <c r="W70" s="26" t="n">
        <f aca="false">SUMIFS(Sales_Data!$T$2:$T$3520,Sales_Data!$C$2:$C$3520,$A70,Sales_Data!$AE$2:$AE$3520,1)</f>
        <v>3</v>
      </c>
      <c r="X70" s="26" t="n">
        <f aca="false">COUNTIFS(Sales_Data!$C$2:$C$3520,$A70,Sales_Data!$X$2:$X$3520,"&lt;&gt;No Device",Sales_Data!$X$2:$X$3520,"&lt;&gt;",Sales_Data!$AE$2:$AE$3520,1)</f>
        <v>15</v>
      </c>
      <c r="Y70" s="26" t="n">
        <f aca="false">COUNTIFS(Sales_Data!$C$2:$C$3520,$A70,Sales_Data!$AD$2:$AD$3520,0,Sales_Data!$AE$2:$AE$3520,1)</f>
        <v>4</v>
      </c>
      <c r="Z70" s="26" t="n">
        <f aca="false">COUNTIFS(Sales_Data!$C$2:$C$3520,$A70,Sales_Data!$AC$2:$AC$3520,1)</f>
        <v>3</v>
      </c>
    </row>
    <row r="71" customFormat="false" ht="15" hidden="false" customHeight="false" outlineLevel="0" collapsed="false">
      <c r="A71" s="25" t="n">
        <v>46292</v>
      </c>
      <c r="B71" s="53" t="s">
        <v>393</v>
      </c>
      <c r="C71" s="26" t="n">
        <f aca="false">SUMIFS(Sales_Data!$AE$2:$AE$3520,Sales_Data!$C$2:$C$3520,$A71)</f>
        <v>47</v>
      </c>
      <c r="D71" s="26" t="n">
        <f aca="false">SUMIFS(Sales_Data!$M$2:$M$3520,Sales_Data!$C$2:$C$3520,$A71,Sales_Data!$AE$2:$AE$3520,1)</f>
        <v>16</v>
      </c>
      <c r="E71" s="26" t="n">
        <f aca="false">SUMIFS(Sales_Data!$N$2:$N$3520,Sales_Data!$C$2:$C$3520,$A71,Sales_Data!$AE$2:$AE$3520,1)</f>
        <v>35</v>
      </c>
      <c r="F71" s="26" t="n">
        <f aca="false">D71+E71</f>
        <v>51</v>
      </c>
      <c r="G71" s="28" t="n">
        <f aca="false">F71-F70</f>
        <v>-10</v>
      </c>
      <c r="H71" s="29" t="n">
        <f aca="false">IF(F70=0,"-",(F71-F70)/F70)</f>
        <v>-0.163934426229508</v>
      </c>
      <c r="I71" s="30" t="n">
        <f aca="false">AVERAGE(F65:F71)</f>
        <v>70.1428571428571</v>
      </c>
      <c r="J71" s="29" t="n">
        <f aca="false">IF(F64=0,"-",(F71-F64)/F64)</f>
        <v>0.0408163265306122</v>
      </c>
      <c r="K71" s="26" t="n">
        <f aca="false">SUMIFS(Sales_Data!$AF$2:$AF$3520,Sales_Data!$C$2:$C$3520,$A71)</f>
        <v>27</v>
      </c>
      <c r="L71" s="31" t="n">
        <f aca="false">IFERROR(F71/K71,0)</f>
        <v>1.88888888888889</v>
      </c>
      <c r="M71" s="26" t="n">
        <f aca="false">COUNTIFS(Sales_Data!$C$2:$C$3520,$A71,Sales_Data!$U$2:$U$3520,"Yes",Sales_Data!$AE$2:$AE$3520,1)</f>
        <v>0</v>
      </c>
      <c r="N71" s="26" t="n">
        <f aca="false">M71+COUNTIFS(Sales_Data!$C$2:$C$3520,$A71,Sales_Data!$U$2:$U$3520,"No",Sales_Data!$AE$2:$AE$3520,1)</f>
        <v>16</v>
      </c>
      <c r="O71" s="32" t="n">
        <f aca="false">IF(N71=0,"-",M71/N71)</f>
        <v>0</v>
      </c>
      <c r="P71" s="26" t="n">
        <f aca="false">COUNTIFS(Sales_Data!$C$2:$C$3520,$A71,Sales_Data!$W$2:$W$3520,"Yes",Sales_Data!$AE$2:$AE$3520,1)</f>
        <v>12</v>
      </c>
      <c r="Q71" s="26" t="n">
        <f aca="false">P71+COUNTIFS(Sales_Data!$C$2:$C$3520,$A71,Sales_Data!$W$2:$W$3520,"No",Sales_Data!$AE$2:$AE$3520,1)</f>
        <v>14</v>
      </c>
      <c r="R71" s="32" t="n">
        <f aca="false">IF(Q71=0,"-",P71/Q71)</f>
        <v>0.857142857142857</v>
      </c>
      <c r="S71" s="26" t="n">
        <f aca="false">SUMIFS(Sales_Data!$P$2:$P$3520,Sales_Data!$C$2:$C$3520,$A71,Sales_Data!$AE$2:$AE$3520,1)</f>
        <v>18</v>
      </c>
      <c r="T71" s="26" t="n">
        <f aca="false">SUMIFS(Sales_Data!$Q$2:$Q$3520,Sales_Data!$C$2:$C$3520,$A71,Sales_Data!$AE$2:$AE$3520,1)</f>
        <v>10</v>
      </c>
      <c r="U71" s="26" t="n">
        <f aca="false">SUMIFS(Sales_Data!$R$2:$R$3520,Sales_Data!$C$2:$C$3520,$A71,Sales_Data!$AE$2:$AE$3520,1)</f>
        <v>5</v>
      </c>
      <c r="V71" s="26" t="n">
        <f aca="false">SUMIFS(Sales_Data!$S$2:$S$3520,Sales_Data!$C$2:$C$3520,$A71,Sales_Data!$AE$2:$AE$3520,1)</f>
        <v>2</v>
      </c>
      <c r="W71" s="26" t="n">
        <f aca="false">SUMIFS(Sales_Data!$T$2:$T$3520,Sales_Data!$C$2:$C$3520,$A71,Sales_Data!$AE$2:$AE$3520,1)</f>
        <v>0</v>
      </c>
      <c r="X71" s="26" t="n">
        <f aca="false">COUNTIFS(Sales_Data!$C$2:$C$3520,$A71,Sales_Data!$X$2:$X$3520,"&lt;&gt;No Device",Sales_Data!$X$2:$X$3520,"&lt;&gt;",Sales_Data!$AE$2:$AE$3520,1)</f>
        <v>15</v>
      </c>
      <c r="Y71" s="26" t="n">
        <f aca="false">COUNTIFS(Sales_Data!$C$2:$C$3520,$A71,Sales_Data!$AD$2:$AD$3520,0,Sales_Data!$AE$2:$AE$3520,1)</f>
        <v>3</v>
      </c>
      <c r="Z71" s="26" t="n">
        <f aca="false">COUNTIFS(Sales_Data!$C$2:$C$3520,$A71,Sales_Data!$AC$2:$AC$3520,1)</f>
        <v>1</v>
      </c>
    </row>
    <row r="72" customFormat="false" ht="15" hidden="false" customHeight="false" outlineLevel="0" collapsed="false">
      <c r="A72" s="25" t="n">
        <v>46293</v>
      </c>
      <c r="B72" s="53" t="s">
        <v>429</v>
      </c>
      <c r="C72" s="26" t="n">
        <f aca="false">SUMIFS(Sales_Data!$AE$2:$AE$3520,Sales_Data!$C$2:$C$3520,$A72)</f>
        <v>65</v>
      </c>
      <c r="D72" s="26" t="n">
        <f aca="false">SUMIFS(Sales_Data!$M$2:$M$3520,Sales_Data!$C$2:$C$3520,$A72,Sales_Data!$AE$2:$AE$3520,1)</f>
        <v>12</v>
      </c>
      <c r="E72" s="26" t="n">
        <f aca="false">SUMIFS(Sales_Data!$N$2:$N$3520,Sales_Data!$C$2:$C$3520,$A72,Sales_Data!$AE$2:$AE$3520,1)</f>
        <v>60</v>
      </c>
      <c r="F72" s="26" t="n">
        <f aca="false">D72+E72</f>
        <v>72</v>
      </c>
      <c r="G72" s="28" t="n">
        <f aca="false">F72-F71</f>
        <v>21</v>
      </c>
      <c r="H72" s="29" t="n">
        <f aca="false">IF(F71=0,"-",(F72-F71)/F71)</f>
        <v>0.411764705882353</v>
      </c>
      <c r="I72" s="30" t="n">
        <f aca="false">AVERAGE(F66:F72)</f>
        <v>68.2857142857143</v>
      </c>
      <c r="J72" s="29" t="n">
        <f aca="false">IF(F65=0,"-",(F72-F65)/F65)</f>
        <v>-0.152941176470588</v>
      </c>
      <c r="K72" s="26" t="n">
        <f aca="false">SUMIFS(Sales_Data!$AF$2:$AF$3520,Sales_Data!$C$2:$C$3520,$A72)</f>
        <v>38</v>
      </c>
      <c r="L72" s="31" t="n">
        <f aca="false">IFERROR(F72/K72,0)</f>
        <v>1.89473684210526</v>
      </c>
      <c r="M72" s="26" t="n">
        <f aca="false">COUNTIFS(Sales_Data!$C$2:$C$3520,$A72,Sales_Data!$U$2:$U$3520,"Yes",Sales_Data!$AE$2:$AE$3520,1)</f>
        <v>0</v>
      </c>
      <c r="N72" s="26" t="n">
        <f aca="false">M72+COUNTIFS(Sales_Data!$C$2:$C$3520,$A72,Sales_Data!$U$2:$U$3520,"No",Sales_Data!$AE$2:$AE$3520,1)</f>
        <v>11</v>
      </c>
      <c r="O72" s="32" t="n">
        <f aca="false">IF(N72=0,"-",M72/N72)</f>
        <v>0</v>
      </c>
      <c r="P72" s="26" t="n">
        <f aca="false">COUNTIFS(Sales_Data!$C$2:$C$3520,$A72,Sales_Data!$W$2:$W$3520,"Yes",Sales_Data!$AE$2:$AE$3520,1)</f>
        <v>9</v>
      </c>
      <c r="Q72" s="26" t="n">
        <f aca="false">P72+COUNTIFS(Sales_Data!$C$2:$C$3520,$A72,Sales_Data!$W$2:$W$3520,"No",Sales_Data!$AE$2:$AE$3520,1)</f>
        <v>10</v>
      </c>
      <c r="R72" s="32" t="n">
        <f aca="false">IF(Q72=0,"-",P72/Q72)</f>
        <v>0.9</v>
      </c>
      <c r="S72" s="26" t="n">
        <f aca="false">SUMIFS(Sales_Data!$P$2:$P$3520,Sales_Data!$C$2:$C$3520,$A72,Sales_Data!$AE$2:$AE$3520,1)</f>
        <v>35</v>
      </c>
      <c r="T72" s="26" t="n">
        <f aca="false">SUMIFS(Sales_Data!$Q$2:$Q$3520,Sales_Data!$C$2:$C$3520,$A72,Sales_Data!$AE$2:$AE$3520,1)</f>
        <v>20</v>
      </c>
      <c r="U72" s="26" t="n">
        <f aca="false">SUMIFS(Sales_Data!$R$2:$R$3520,Sales_Data!$C$2:$C$3520,$A72,Sales_Data!$AE$2:$AE$3520,1)</f>
        <v>5</v>
      </c>
      <c r="V72" s="26" t="n">
        <f aca="false">SUMIFS(Sales_Data!$S$2:$S$3520,Sales_Data!$C$2:$C$3520,$A72,Sales_Data!$AE$2:$AE$3520,1)</f>
        <v>0</v>
      </c>
      <c r="W72" s="26" t="n">
        <f aca="false">SUMIFS(Sales_Data!$T$2:$T$3520,Sales_Data!$C$2:$C$3520,$A72,Sales_Data!$AE$2:$AE$3520,1)</f>
        <v>0</v>
      </c>
      <c r="X72" s="26" t="n">
        <f aca="false">COUNTIFS(Sales_Data!$C$2:$C$3520,$A72,Sales_Data!$X$2:$X$3520,"&lt;&gt;No Device",Sales_Data!$X$2:$X$3520,"&lt;&gt;",Sales_Data!$AE$2:$AE$3520,1)</f>
        <v>10</v>
      </c>
      <c r="Y72" s="26" t="n">
        <f aca="false">COUNTIFS(Sales_Data!$C$2:$C$3520,$A72,Sales_Data!$AD$2:$AD$3520,0,Sales_Data!$AE$2:$AE$3520,1)</f>
        <v>4</v>
      </c>
      <c r="Z72" s="26" t="n">
        <f aca="false">COUNTIFS(Sales_Data!$C$2:$C$3520,$A72,Sales_Data!$AC$2:$AC$3520,1)</f>
        <v>1</v>
      </c>
    </row>
    <row r="73" customFormat="false" ht="15" hidden="false" customHeight="false" outlineLevel="0" collapsed="false">
      <c r="A73" s="25" t="n">
        <v>46294</v>
      </c>
      <c r="B73" s="53" t="s">
        <v>501</v>
      </c>
      <c r="C73" s="26" t="n">
        <f aca="false">SUMIFS(Sales_Data!$AE$2:$AE$3520,Sales_Data!$C$2:$C$3520,$A73)</f>
        <v>69</v>
      </c>
      <c r="D73" s="26" t="n">
        <f aca="false">SUMIFS(Sales_Data!$M$2:$M$3520,Sales_Data!$C$2:$C$3520,$A73,Sales_Data!$AE$2:$AE$3520,1)</f>
        <v>20</v>
      </c>
      <c r="E73" s="26" t="n">
        <f aca="false">SUMIFS(Sales_Data!$N$2:$N$3520,Sales_Data!$C$2:$C$3520,$A73,Sales_Data!$AE$2:$AE$3520,1)</f>
        <v>59</v>
      </c>
      <c r="F73" s="26" t="n">
        <f aca="false">D73+E73</f>
        <v>79</v>
      </c>
      <c r="G73" s="28" t="n">
        <f aca="false">F73-F72</f>
        <v>7</v>
      </c>
      <c r="H73" s="29" t="n">
        <f aca="false">IF(F72=0,"-",(F73-F72)/F72)</f>
        <v>0.0972222222222222</v>
      </c>
      <c r="I73" s="30" t="n">
        <f aca="false">AVERAGE(F67:F73)</f>
        <v>68.5714285714286</v>
      </c>
      <c r="J73" s="29" t="n">
        <f aca="false">IF(F66=0,"-",(F73-F66)/F66)</f>
        <v>0.025974025974026</v>
      </c>
      <c r="K73" s="26" t="n">
        <f aca="false">SUMIFS(Sales_Data!$AF$2:$AF$3520,Sales_Data!$C$2:$C$3520,$A73)</f>
        <v>42</v>
      </c>
      <c r="L73" s="31" t="n">
        <f aca="false">IFERROR(F73/K73,0)</f>
        <v>1.88095238095238</v>
      </c>
      <c r="M73" s="26" t="n">
        <f aca="false">COUNTIFS(Sales_Data!$C$2:$C$3520,$A73,Sales_Data!$U$2:$U$3520,"Yes",Sales_Data!$AE$2:$AE$3520,1)</f>
        <v>3</v>
      </c>
      <c r="N73" s="26" t="n">
        <f aca="false">M73+COUNTIFS(Sales_Data!$C$2:$C$3520,$A73,Sales_Data!$U$2:$U$3520,"No",Sales_Data!$AE$2:$AE$3520,1)</f>
        <v>19</v>
      </c>
      <c r="O73" s="32" t="n">
        <f aca="false">IF(N73=0,"-",M73/N73)</f>
        <v>0.157894736842105</v>
      </c>
      <c r="P73" s="26" t="n">
        <f aca="false">COUNTIFS(Sales_Data!$C$2:$C$3520,$A73,Sales_Data!$W$2:$W$3520,"Yes",Sales_Data!$AE$2:$AE$3520,1)</f>
        <v>13</v>
      </c>
      <c r="Q73" s="26" t="n">
        <f aca="false">P73+COUNTIFS(Sales_Data!$C$2:$C$3520,$A73,Sales_Data!$W$2:$W$3520,"No",Sales_Data!$AE$2:$AE$3520,1)</f>
        <v>16</v>
      </c>
      <c r="R73" s="32" t="n">
        <f aca="false">IF(Q73=0,"-",P73/Q73)</f>
        <v>0.8125</v>
      </c>
      <c r="S73" s="26" t="n">
        <f aca="false">SUMIFS(Sales_Data!$P$2:$P$3520,Sales_Data!$C$2:$C$3520,$A73,Sales_Data!$AE$2:$AE$3520,1)</f>
        <v>32</v>
      </c>
      <c r="T73" s="26" t="n">
        <f aca="false">SUMIFS(Sales_Data!$Q$2:$Q$3520,Sales_Data!$C$2:$C$3520,$A73,Sales_Data!$AE$2:$AE$3520,1)</f>
        <v>18</v>
      </c>
      <c r="U73" s="26" t="n">
        <f aca="false">SUMIFS(Sales_Data!$R$2:$R$3520,Sales_Data!$C$2:$C$3520,$A73,Sales_Data!$AE$2:$AE$3520,1)</f>
        <v>5</v>
      </c>
      <c r="V73" s="26" t="n">
        <f aca="false">SUMIFS(Sales_Data!$S$2:$S$3520,Sales_Data!$C$2:$C$3520,$A73,Sales_Data!$AE$2:$AE$3520,1)</f>
        <v>4</v>
      </c>
      <c r="W73" s="26" t="n">
        <f aca="false">SUMIFS(Sales_Data!$T$2:$T$3520,Sales_Data!$C$2:$C$3520,$A73,Sales_Data!$AE$2:$AE$3520,1)</f>
        <v>1</v>
      </c>
      <c r="X73" s="26" t="n">
        <f aca="false">COUNTIFS(Sales_Data!$C$2:$C$3520,$A73,Sales_Data!$X$2:$X$3520,"&lt;&gt;No Device",Sales_Data!$X$2:$X$3520,"&lt;&gt;",Sales_Data!$AE$2:$AE$3520,1)</f>
        <v>17</v>
      </c>
      <c r="Y73" s="26" t="n">
        <f aca="false">COUNTIFS(Sales_Data!$C$2:$C$3520,$A73,Sales_Data!$AD$2:$AD$3520,0,Sales_Data!$AE$2:$AE$3520,1)</f>
        <v>2</v>
      </c>
      <c r="Z73" s="26" t="n">
        <f aca="false">COUNTIFS(Sales_Data!$C$2:$C$3520,$A73,Sales_Data!$AC$2:$AC$3520,1)</f>
        <v>3</v>
      </c>
    </row>
    <row r="74" customFormat="false" ht="15" hidden="false" customHeight="false" outlineLevel="0" collapsed="false">
      <c r="A74" s="25" t="n">
        <v>46295</v>
      </c>
      <c r="B74" s="53" t="s">
        <v>143</v>
      </c>
      <c r="C74" s="26" t="n">
        <f aca="false">SUMIFS(Sales_Data!$AE$2:$AE$3520,Sales_Data!$C$2:$C$3520,$A74)</f>
        <v>65</v>
      </c>
      <c r="D74" s="26" t="n">
        <f aca="false">SUMIFS(Sales_Data!$M$2:$M$3520,Sales_Data!$C$2:$C$3520,$A74,Sales_Data!$AE$2:$AE$3520,1)</f>
        <v>16</v>
      </c>
      <c r="E74" s="26" t="n">
        <f aca="false">SUMIFS(Sales_Data!$N$2:$N$3520,Sales_Data!$C$2:$C$3520,$A74,Sales_Data!$AE$2:$AE$3520,1)</f>
        <v>55</v>
      </c>
      <c r="F74" s="26" t="n">
        <f aca="false">D74+E74</f>
        <v>71</v>
      </c>
      <c r="G74" s="28" t="n">
        <f aca="false">F74-F73</f>
        <v>-8</v>
      </c>
      <c r="H74" s="29" t="n">
        <f aca="false">IF(F73=0,"-",(F74-F73)/F73)</f>
        <v>-0.10126582278481</v>
      </c>
      <c r="I74" s="30" t="n">
        <f aca="false">AVERAGE(F68:F74)</f>
        <v>69.4285714285714</v>
      </c>
      <c r="J74" s="29" t="n">
        <f aca="false">IF(F67=0,"-",(F74-F67)/F67)</f>
        <v>0.0923076923076923</v>
      </c>
      <c r="K74" s="26" t="n">
        <f aca="false">SUMIFS(Sales_Data!$AF$2:$AF$3520,Sales_Data!$C$2:$C$3520,$A74)</f>
        <v>40</v>
      </c>
      <c r="L74" s="31" t="n">
        <f aca="false">IFERROR(F74/K74,0)</f>
        <v>1.775</v>
      </c>
      <c r="M74" s="26" t="n">
        <f aca="false">COUNTIFS(Sales_Data!$C$2:$C$3520,$A74,Sales_Data!$U$2:$U$3520,"Yes",Sales_Data!$AE$2:$AE$3520,1)</f>
        <v>4</v>
      </c>
      <c r="N74" s="26" t="n">
        <f aca="false">M74+COUNTIFS(Sales_Data!$C$2:$C$3520,$A74,Sales_Data!$U$2:$U$3520,"No",Sales_Data!$AE$2:$AE$3520,1)</f>
        <v>15</v>
      </c>
      <c r="O74" s="32" t="n">
        <f aca="false">IF(N74=0,"-",M74/N74)</f>
        <v>0.266666666666667</v>
      </c>
      <c r="P74" s="26" t="n">
        <f aca="false">COUNTIFS(Sales_Data!$C$2:$C$3520,$A74,Sales_Data!$W$2:$W$3520,"Yes",Sales_Data!$AE$2:$AE$3520,1)</f>
        <v>11</v>
      </c>
      <c r="Q74" s="26" t="n">
        <f aca="false">P74+COUNTIFS(Sales_Data!$C$2:$C$3520,$A74,Sales_Data!$W$2:$W$3520,"No",Sales_Data!$AE$2:$AE$3520,1)</f>
        <v>13</v>
      </c>
      <c r="R74" s="32" t="n">
        <f aca="false">IF(Q74=0,"-",P74/Q74)</f>
        <v>0.846153846153846</v>
      </c>
      <c r="S74" s="26" t="n">
        <f aca="false">SUMIFS(Sales_Data!$P$2:$P$3520,Sales_Data!$C$2:$C$3520,$A74,Sales_Data!$AE$2:$AE$3520,1)</f>
        <v>32</v>
      </c>
      <c r="T74" s="26" t="n">
        <f aca="false">SUMIFS(Sales_Data!$Q$2:$Q$3520,Sales_Data!$C$2:$C$3520,$A74,Sales_Data!$AE$2:$AE$3520,1)</f>
        <v>14</v>
      </c>
      <c r="U74" s="26" t="n">
        <f aca="false">SUMIFS(Sales_Data!$R$2:$R$3520,Sales_Data!$C$2:$C$3520,$A74,Sales_Data!$AE$2:$AE$3520,1)</f>
        <v>7</v>
      </c>
      <c r="V74" s="26" t="n">
        <f aca="false">SUMIFS(Sales_Data!$S$2:$S$3520,Sales_Data!$C$2:$C$3520,$A74,Sales_Data!$AE$2:$AE$3520,1)</f>
        <v>1</v>
      </c>
      <c r="W74" s="26" t="n">
        <f aca="false">SUMIFS(Sales_Data!$T$2:$T$3520,Sales_Data!$C$2:$C$3520,$A74,Sales_Data!$AE$2:$AE$3520,1)</f>
        <v>1</v>
      </c>
      <c r="X74" s="26" t="n">
        <f aca="false">COUNTIFS(Sales_Data!$C$2:$C$3520,$A74,Sales_Data!$X$2:$X$3520,"&lt;&gt;No Device",Sales_Data!$X$2:$X$3520,"&lt;&gt;",Sales_Data!$AE$2:$AE$3520,1)</f>
        <v>14</v>
      </c>
      <c r="Y74" s="26" t="n">
        <f aca="false">COUNTIFS(Sales_Data!$C$2:$C$3520,$A74,Sales_Data!$AD$2:$AD$3520,0,Sales_Data!$AE$2:$AE$3520,1)</f>
        <v>0</v>
      </c>
      <c r="Z74" s="26" t="n">
        <f aca="false">COUNTIFS(Sales_Data!$C$2:$C$3520,$A74,Sales_Data!$AC$2:$AC$3520,1)</f>
        <v>7</v>
      </c>
    </row>
    <row r="75" customFormat="false" ht="15" hidden="false" customHeight="false" outlineLevel="0" collapsed="false">
      <c r="A75" s="25" t="n">
        <v>46296</v>
      </c>
      <c r="B75" s="53" t="s">
        <v>202</v>
      </c>
      <c r="C75" s="26" t="n">
        <f aca="false">SUMIFS(Sales_Data!$AE$2:$AE$3520,Sales_Data!$C$2:$C$3520,$A75)</f>
        <v>47</v>
      </c>
      <c r="D75" s="26" t="n">
        <f aca="false">SUMIFS(Sales_Data!$M$2:$M$3520,Sales_Data!$C$2:$C$3520,$A75,Sales_Data!$AE$2:$AE$3520,1)</f>
        <v>14</v>
      </c>
      <c r="E75" s="26" t="n">
        <f aca="false">SUMIFS(Sales_Data!$N$2:$N$3520,Sales_Data!$C$2:$C$3520,$A75,Sales_Data!$AE$2:$AE$3520,1)</f>
        <v>38</v>
      </c>
      <c r="F75" s="26" t="n">
        <f aca="false">D75+E75</f>
        <v>52</v>
      </c>
      <c r="G75" s="28" t="n">
        <f aca="false">F75-F74</f>
        <v>-19</v>
      </c>
      <c r="H75" s="29" t="n">
        <f aca="false">IF(F74=0,"-",(F75-F74)/F74)</f>
        <v>-0.267605633802817</v>
      </c>
      <c r="I75" s="30" t="n">
        <f aca="false">AVERAGE(F69:F75)</f>
        <v>65</v>
      </c>
      <c r="J75" s="29" t="n">
        <f aca="false">IF(F68=0,"-",(F75-F68)/F68)</f>
        <v>-0.373493975903614</v>
      </c>
      <c r="K75" s="26" t="n">
        <f aca="false">SUMIFS(Sales_Data!$AF$2:$AF$3520,Sales_Data!$C$2:$C$3520,$A75)</f>
        <v>28</v>
      </c>
      <c r="L75" s="31" t="n">
        <f aca="false">IFERROR(F75/K75,0)</f>
        <v>1.85714285714286</v>
      </c>
      <c r="M75" s="26" t="n">
        <f aca="false">COUNTIFS(Sales_Data!$C$2:$C$3520,$A75,Sales_Data!$U$2:$U$3520,"Yes",Sales_Data!$AE$2:$AE$3520,1)</f>
        <v>2</v>
      </c>
      <c r="N75" s="26" t="n">
        <f aca="false">M75+COUNTIFS(Sales_Data!$C$2:$C$3520,$A75,Sales_Data!$U$2:$U$3520,"No",Sales_Data!$AE$2:$AE$3520,1)</f>
        <v>13</v>
      </c>
      <c r="O75" s="32" t="n">
        <f aca="false">IF(N75=0,"-",M75/N75)</f>
        <v>0.153846153846154</v>
      </c>
      <c r="P75" s="26" t="n">
        <f aca="false">COUNTIFS(Sales_Data!$C$2:$C$3520,$A75,Sales_Data!$W$2:$W$3520,"Yes",Sales_Data!$AE$2:$AE$3520,1)</f>
        <v>5</v>
      </c>
      <c r="Q75" s="26" t="n">
        <f aca="false">P75+COUNTIFS(Sales_Data!$C$2:$C$3520,$A75,Sales_Data!$W$2:$W$3520,"No",Sales_Data!$AE$2:$AE$3520,1)</f>
        <v>10</v>
      </c>
      <c r="R75" s="32" t="n">
        <f aca="false">IF(Q75=0,"-",P75/Q75)</f>
        <v>0.5</v>
      </c>
      <c r="S75" s="26" t="n">
        <f aca="false">SUMIFS(Sales_Data!$P$2:$P$3520,Sales_Data!$C$2:$C$3520,$A75,Sales_Data!$AE$2:$AE$3520,1)</f>
        <v>23</v>
      </c>
      <c r="T75" s="26" t="n">
        <f aca="false">SUMIFS(Sales_Data!$Q$2:$Q$3520,Sales_Data!$C$2:$C$3520,$A75,Sales_Data!$AE$2:$AE$3520,1)</f>
        <v>9</v>
      </c>
      <c r="U75" s="26" t="n">
        <f aca="false">SUMIFS(Sales_Data!$R$2:$R$3520,Sales_Data!$C$2:$C$3520,$A75,Sales_Data!$AE$2:$AE$3520,1)</f>
        <v>2</v>
      </c>
      <c r="V75" s="26" t="n">
        <f aca="false">SUMIFS(Sales_Data!$S$2:$S$3520,Sales_Data!$C$2:$C$3520,$A75,Sales_Data!$AE$2:$AE$3520,1)</f>
        <v>2</v>
      </c>
      <c r="W75" s="26" t="n">
        <f aca="false">SUMIFS(Sales_Data!$T$2:$T$3520,Sales_Data!$C$2:$C$3520,$A75,Sales_Data!$AE$2:$AE$3520,1)</f>
        <v>3</v>
      </c>
      <c r="X75" s="26" t="n">
        <f aca="false">COUNTIFS(Sales_Data!$C$2:$C$3520,$A75,Sales_Data!$X$2:$X$3520,"&lt;&gt;No Device",Sales_Data!$X$2:$X$3520,"&lt;&gt;",Sales_Data!$AE$2:$AE$3520,1)</f>
        <v>10</v>
      </c>
      <c r="Y75" s="26" t="n">
        <f aca="false">COUNTIFS(Sales_Data!$C$2:$C$3520,$A75,Sales_Data!$AD$2:$AD$3520,0,Sales_Data!$AE$2:$AE$3520,1)</f>
        <v>0</v>
      </c>
      <c r="Z75" s="26" t="n">
        <f aca="false">COUNTIFS(Sales_Data!$C$2:$C$3520,$A75,Sales_Data!$AC$2:$AC$3520,1)</f>
        <v>9</v>
      </c>
    </row>
    <row r="76" customFormat="false" ht="15" hidden="false" customHeight="false" outlineLevel="0" collapsed="false">
      <c r="A76" s="25" t="n">
        <v>46297</v>
      </c>
      <c r="B76" s="53" t="s">
        <v>288</v>
      </c>
      <c r="C76" s="26" t="n">
        <f aca="false">SUMIFS(Sales_Data!$AE$2:$AE$3520,Sales_Data!$C$2:$C$3520,$A76)</f>
        <v>52</v>
      </c>
      <c r="D76" s="26" t="n">
        <f aca="false">SUMIFS(Sales_Data!$M$2:$M$3520,Sales_Data!$C$2:$C$3520,$A76,Sales_Data!$AE$2:$AE$3520,1)</f>
        <v>14</v>
      </c>
      <c r="E76" s="26" t="n">
        <f aca="false">SUMIFS(Sales_Data!$N$2:$N$3520,Sales_Data!$C$2:$C$3520,$A76,Sales_Data!$AE$2:$AE$3520,1)</f>
        <v>45</v>
      </c>
      <c r="F76" s="26" t="n">
        <f aca="false">D76+E76</f>
        <v>59</v>
      </c>
      <c r="G76" s="28" t="n">
        <f aca="false">F76-F75</f>
        <v>7</v>
      </c>
      <c r="H76" s="29" t="n">
        <f aca="false">IF(F75=0,"-",(F76-F75)/F75)</f>
        <v>0.134615384615385</v>
      </c>
      <c r="I76" s="30" t="n">
        <f aca="false">AVERAGE(F70:F76)</f>
        <v>63.5714285714286</v>
      </c>
      <c r="J76" s="29" t="n">
        <f aca="false">IF(F69=0,"-",(F76-F69)/F69)</f>
        <v>-0.144927536231884</v>
      </c>
      <c r="K76" s="26" t="n">
        <f aca="false">SUMIFS(Sales_Data!$AF$2:$AF$3520,Sales_Data!$C$2:$C$3520,$A76)</f>
        <v>40</v>
      </c>
      <c r="L76" s="31" t="n">
        <f aca="false">IFERROR(F76/K76,0)</f>
        <v>1.475</v>
      </c>
      <c r="M76" s="26" t="n">
        <f aca="false">COUNTIFS(Sales_Data!$C$2:$C$3520,$A76,Sales_Data!$U$2:$U$3520,"Yes",Sales_Data!$AE$2:$AE$3520,1)</f>
        <v>1</v>
      </c>
      <c r="N76" s="26" t="n">
        <f aca="false">M76+COUNTIFS(Sales_Data!$C$2:$C$3520,$A76,Sales_Data!$U$2:$U$3520,"No",Sales_Data!$AE$2:$AE$3520,1)</f>
        <v>14</v>
      </c>
      <c r="O76" s="32" t="n">
        <f aca="false">IF(N76=0,"-",M76/N76)</f>
        <v>0.0714285714285714</v>
      </c>
      <c r="P76" s="26" t="n">
        <f aca="false">COUNTIFS(Sales_Data!$C$2:$C$3520,$A76,Sales_Data!$W$2:$W$3520,"Yes",Sales_Data!$AE$2:$AE$3520,1)</f>
        <v>14</v>
      </c>
      <c r="Q76" s="26" t="n">
        <f aca="false">P76+COUNTIFS(Sales_Data!$C$2:$C$3520,$A76,Sales_Data!$W$2:$W$3520,"No",Sales_Data!$AE$2:$AE$3520,1)</f>
        <v>14</v>
      </c>
      <c r="R76" s="32" t="n">
        <f aca="false">IF(Q76=0,"-",P76/Q76)</f>
        <v>1</v>
      </c>
      <c r="S76" s="26" t="n">
        <f aca="false">SUMIFS(Sales_Data!$P$2:$P$3520,Sales_Data!$C$2:$C$3520,$A76,Sales_Data!$AE$2:$AE$3520,1)</f>
        <v>23</v>
      </c>
      <c r="T76" s="26" t="n">
        <f aca="false">SUMIFS(Sales_Data!$Q$2:$Q$3520,Sales_Data!$C$2:$C$3520,$A76,Sales_Data!$AE$2:$AE$3520,1)</f>
        <v>11</v>
      </c>
      <c r="U76" s="26" t="n">
        <f aca="false">SUMIFS(Sales_Data!$R$2:$R$3520,Sales_Data!$C$2:$C$3520,$A76,Sales_Data!$AE$2:$AE$3520,1)</f>
        <v>0</v>
      </c>
      <c r="V76" s="26" t="n">
        <f aca="false">SUMIFS(Sales_Data!$S$2:$S$3520,Sales_Data!$C$2:$C$3520,$A76,Sales_Data!$AE$2:$AE$3520,1)</f>
        <v>6</v>
      </c>
      <c r="W76" s="26" t="n">
        <f aca="false">SUMIFS(Sales_Data!$T$2:$T$3520,Sales_Data!$C$2:$C$3520,$A76,Sales_Data!$AE$2:$AE$3520,1)</f>
        <v>5</v>
      </c>
      <c r="X76" s="26" t="n">
        <f aca="false">COUNTIFS(Sales_Data!$C$2:$C$3520,$A76,Sales_Data!$X$2:$X$3520,"&lt;&gt;No Device",Sales_Data!$X$2:$X$3520,"&lt;&gt;",Sales_Data!$AE$2:$AE$3520,1)</f>
        <v>10</v>
      </c>
      <c r="Y76" s="26" t="n">
        <f aca="false">COUNTIFS(Sales_Data!$C$2:$C$3520,$A76,Sales_Data!$AD$2:$AD$3520,0,Sales_Data!$AE$2:$AE$3520,1)</f>
        <v>1</v>
      </c>
      <c r="Z76" s="26" t="n">
        <f aca="false">COUNTIFS(Sales_Data!$C$2:$C$3520,$A76,Sales_Data!$AC$2:$AC$3520,1)</f>
        <v>4</v>
      </c>
    </row>
    <row r="77" customFormat="false" ht="15" hidden="false" customHeight="false" outlineLevel="0" collapsed="false">
      <c r="A77" s="25" t="n">
        <v>46298</v>
      </c>
      <c r="B77" s="53" t="s">
        <v>358</v>
      </c>
      <c r="C77" s="26" t="n">
        <f aca="false">SUMIFS(Sales_Data!$AE$2:$AE$3520,Sales_Data!$C$2:$C$3520,$A77)</f>
        <v>61</v>
      </c>
      <c r="D77" s="26" t="n">
        <f aca="false">SUMIFS(Sales_Data!$M$2:$M$3520,Sales_Data!$C$2:$C$3520,$A77,Sales_Data!$AE$2:$AE$3520,1)</f>
        <v>31</v>
      </c>
      <c r="E77" s="26" t="n">
        <f aca="false">SUMIFS(Sales_Data!$N$2:$N$3520,Sales_Data!$C$2:$C$3520,$A77,Sales_Data!$AE$2:$AE$3520,1)</f>
        <v>56</v>
      </c>
      <c r="F77" s="26" t="n">
        <f aca="false">D77+E77</f>
        <v>87</v>
      </c>
      <c r="G77" s="28" t="n">
        <f aca="false">F77-F76</f>
        <v>28</v>
      </c>
      <c r="H77" s="29" t="n">
        <f aca="false">IF(F76=0,"-",(F77-F76)/F76)</f>
        <v>0.474576271186441</v>
      </c>
      <c r="I77" s="30" t="n">
        <f aca="false">AVERAGE(F71:F77)</f>
        <v>67.2857142857143</v>
      </c>
      <c r="J77" s="29" t="n">
        <f aca="false">IF(F70=0,"-",(F77-F70)/F70)</f>
        <v>0.426229508196721</v>
      </c>
      <c r="K77" s="26" t="n">
        <f aca="false">SUMIFS(Sales_Data!$AF$2:$AF$3520,Sales_Data!$C$2:$C$3520,$A77)</f>
        <v>33</v>
      </c>
      <c r="L77" s="31" t="n">
        <f aca="false">IFERROR(F77/K77,0)</f>
        <v>2.63636363636364</v>
      </c>
      <c r="M77" s="26" t="n">
        <f aca="false">COUNTIFS(Sales_Data!$C$2:$C$3520,$A77,Sales_Data!$U$2:$U$3520,"Yes",Sales_Data!$AE$2:$AE$3520,1)</f>
        <v>7</v>
      </c>
      <c r="N77" s="26" t="n">
        <f aca="false">M77+COUNTIFS(Sales_Data!$C$2:$C$3520,$A77,Sales_Data!$U$2:$U$3520,"No",Sales_Data!$AE$2:$AE$3520,1)</f>
        <v>21</v>
      </c>
      <c r="O77" s="32" t="n">
        <f aca="false">IF(N77=0,"-",M77/N77)</f>
        <v>0.333333333333333</v>
      </c>
      <c r="P77" s="26" t="n">
        <f aca="false">COUNTIFS(Sales_Data!$C$2:$C$3520,$A77,Sales_Data!$W$2:$W$3520,"Yes",Sales_Data!$AE$2:$AE$3520,1)</f>
        <v>17</v>
      </c>
      <c r="Q77" s="26" t="n">
        <f aca="false">P77+COUNTIFS(Sales_Data!$C$2:$C$3520,$A77,Sales_Data!$W$2:$W$3520,"No",Sales_Data!$AE$2:$AE$3520,1)</f>
        <v>20</v>
      </c>
      <c r="R77" s="32" t="n">
        <f aca="false">IF(Q77=0,"-",P77/Q77)</f>
        <v>0.85</v>
      </c>
      <c r="S77" s="26" t="n">
        <f aca="false">SUMIFS(Sales_Data!$P$2:$P$3520,Sales_Data!$C$2:$C$3520,$A77,Sales_Data!$AE$2:$AE$3520,1)</f>
        <v>24</v>
      </c>
      <c r="T77" s="26" t="n">
        <f aca="false">SUMIFS(Sales_Data!$Q$2:$Q$3520,Sales_Data!$C$2:$C$3520,$A77,Sales_Data!$AE$2:$AE$3520,1)</f>
        <v>12</v>
      </c>
      <c r="U77" s="26" t="n">
        <f aca="false">SUMIFS(Sales_Data!$R$2:$R$3520,Sales_Data!$C$2:$C$3520,$A77,Sales_Data!$AE$2:$AE$3520,1)</f>
        <v>6</v>
      </c>
      <c r="V77" s="26" t="n">
        <f aca="false">SUMIFS(Sales_Data!$S$2:$S$3520,Sales_Data!$C$2:$C$3520,$A77,Sales_Data!$AE$2:$AE$3520,1)</f>
        <v>3</v>
      </c>
      <c r="W77" s="26" t="n">
        <f aca="false">SUMIFS(Sales_Data!$T$2:$T$3520,Sales_Data!$C$2:$C$3520,$A77,Sales_Data!$AE$2:$AE$3520,1)</f>
        <v>4</v>
      </c>
      <c r="X77" s="26" t="n">
        <f aca="false">COUNTIFS(Sales_Data!$C$2:$C$3520,$A77,Sales_Data!$X$2:$X$3520,"&lt;&gt;No Device",Sales_Data!$X$2:$X$3520,"&lt;&gt;",Sales_Data!$AE$2:$AE$3520,1)</f>
        <v>19</v>
      </c>
      <c r="Y77" s="26" t="n">
        <f aca="false">COUNTIFS(Sales_Data!$C$2:$C$3520,$A77,Sales_Data!$AD$2:$AD$3520,0,Sales_Data!$AE$2:$AE$3520,1)</f>
        <v>1</v>
      </c>
      <c r="Z77" s="26" t="n">
        <f aca="false">COUNTIFS(Sales_Data!$C$2:$C$3520,$A77,Sales_Data!$AC$2:$AC$3520,1)</f>
        <v>7</v>
      </c>
    </row>
    <row r="78" customFormat="false" ht="15" hidden="false" customHeight="false" outlineLevel="0" collapsed="false">
      <c r="A78" s="25" t="n">
        <v>46299</v>
      </c>
      <c r="B78" s="53" t="s">
        <v>393</v>
      </c>
      <c r="C78" s="26" t="n">
        <f aca="false">SUMIFS(Sales_Data!$AE$2:$AE$3520,Sales_Data!$C$2:$C$3520,$A78)</f>
        <v>43</v>
      </c>
      <c r="D78" s="26" t="n">
        <f aca="false">SUMIFS(Sales_Data!$M$2:$M$3520,Sales_Data!$C$2:$C$3520,$A78,Sales_Data!$AE$2:$AE$3520,1)</f>
        <v>15</v>
      </c>
      <c r="E78" s="26" t="n">
        <f aca="false">SUMIFS(Sales_Data!$N$2:$N$3520,Sales_Data!$C$2:$C$3520,$A78,Sales_Data!$AE$2:$AE$3520,1)</f>
        <v>34</v>
      </c>
      <c r="F78" s="26" t="n">
        <f aca="false">D78+E78</f>
        <v>49</v>
      </c>
      <c r="G78" s="28" t="n">
        <f aca="false">F78-F77</f>
        <v>-38</v>
      </c>
      <c r="H78" s="29" t="n">
        <f aca="false">IF(F77=0,"-",(F78-F77)/F77)</f>
        <v>-0.436781609195402</v>
      </c>
      <c r="I78" s="30" t="n">
        <f aca="false">AVERAGE(F72:F78)</f>
        <v>67</v>
      </c>
      <c r="J78" s="29" t="n">
        <f aca="false">IF(F71=0,"-",(F78-F71)/F71)</f>
        <v>-0.0392156862745098</v>
      </c>
      <c r="K78" s="26" t="n">
        <f aca="false">SUMIFS(Sales_Data!$AF$2:$AF$3520,Sales_Data!$C$2:$C$3520,$A78)</f>
        <v>23</v>
      </c>
      <c r="L78" s="31" t="n">
        <f aca="false">IFERROR(F78/K78,0)</f>
        <v>2.1304347826087</v>
      </c>
      <c r="M78" s="26" t="n">
        <f aca="false">COUNTIFS(Sales_Data!$C$2:$C$3520,$A78,Sales_Data!$U$2:$U$3520,"Yes",Sales_Data!$AE$2:$AE$3520,1)</f>
        <v>1</v>
      </c>
      <c r="N78" s="26" t="n">
        <f aca="false">M78+COUNTIFS(Sales_Data!$C$2:$C$3520,$A78,Sales_Data!$U$2:$U$3520,"No",Sales_Data!$AE$2:$AE$3520,1)</f>
        <v>14</v>
      </c>
      <c r="O78" s="32" t="n">
        <f aca="false">IF(N78=0,"-",M78/N78)</f>
        <v>0.0714285714285714</v>
      </c>
      <c r="P78" s="26" t="n">
        <f aca="false">COUNTIFS(Sales_Data!$C$2:$C$3520,$A78,Sales_Data!$W$2:$W$3520,"Yes",Sales_Data!$AE$2:$AE$3520,1)</f>
        <v>10</v>
      </c>
      <c r="Q78" s="26" t="n">
        <f aca="false">P78+COUNTIFS(Sales_Data!$C$2:$C$3520,$A78,Sales_Data!$W$2:$W$3520,"No",Sales_Data!$AE$2:$AE$3520,1)</f>
        <v>12</v>
      </c>
      <c r="R78" s="32" t="n">
        <f aca="false">IF(Q78=0,"-",P78/Q78)</f>
        <v>0.833333333333333</v>
      </c>
      <c r="S78" s="26" t="n">
        <f aca="false">SUMIFS(Sales_Data!$P$2:$P$3520,Sales_Data!$C$2:$C$3520,$A78,Sales_Data!$AE$2:$AE$3520,1)</f>
        <v>20</v>
      </c>
      <c r="T78" s="26" t="n">
        <f aca="false">SUMIFS(Sales_Data!$Q$2:$Q$3520,Sales_Data!$C$2:$C$3520,$A78,Sales_Data!$AE$2:$AE$3520,1)</f>
        <v>7</v>
      </c>
      <c r="U78" s="26" t="n">
        <f aca="false">SUMIFS(Sales_Data!$R$2:$R$3520,Sales_Data!$C$2:$C$3520,$A78,Sales_Data!$AE$2:$AE$3520,1)</f>
        <v>1</v>
      </c>
      <c r="V78" s="26" t="n">
        <f aca="false">SUMIFS(Sales_Data!$S$2:$S$3520,Sales_Data!$C$2:$C$3520,$A78,Sales_Data!$AE$2:$AE$3520,1)</f>
        <v>1</v>
      </c>
      <c r="W78" s="26" t="n">
        <f aca="false">SUMIFS(Sales_Data!$T$2:$T$3520,Sales_Data!$C$2:$C$3520,$A78,Sales_Data!$AE$2:$AE$3520,1)</f>
        <v>5</v>
      </c>
      <c r="X78" s="26" t="n">
        <f aca="false">COUNTIFS(Sales_Data!$C$2:$C$3520,$A78,Sales_Data!$X$2:$X$3520,"&lt;&gt;No Device",Sales_Data!$X$2:$X$3520,"&lt;&gt;",Sales_Data!$AE$2:$AE$3520,1)</f>
        <v>13</v>
      </c>
      <c r="Y78" s="26" t="n">
        <f aca="false">COUNTIFS(Sales_Data!$C$2:$C$3520,$A78,Sales_Data!$AD$2:$AD$3520,0,Sales_Data!$AE$2:$AE$3520,1)</f>
        <v>0</v>
      </c>
      <c r="Z78" s="26" t="n">
        <f aca="false">COUNTIFS(Sales_Data!$C$2:$C$3520,$A78,Sales_Data!$AC$2:$AC$3520,1)</f>
        <v>2</v>
      </c>
    </row>
    <row r="79" customFormat="false" ht="15" hidden="false" customHeight="false" outlineLevel="0" collapsed="false">
      <c r="A79" s="25" t="n">
        <v>46300</v>
      </c>
      <c r="B79" s="53" t="s">
        <v>429</v>
      </c>
      <c r="C79" s="26" t="n">
        <f aca="false">SUMIFS(Sales_Data!$AE$2:$AE$3520,Sales_Data!$C$2:$C$3520,$A79)</f>
        <v>58</v>
      </c>
      <c r="D79" s="26" t="n">
        <f aca="false">SUMIFS(Sales_Data!$M$2:$M$3520,Sales_Data!$C$2:$C$3520,$A79,Sales_Data!$AE$2:$AE$3520,1)</f>
        <v>18</v>
      </c>
      <c r="E79" s="26" t="n">
        <f aca="false">SUMIFS(Sales_Data!$N$2:$N$3520,Sales_Data!$C$2:$C$3520,$A79,Sales_Data!$AE$2:$AE$3520,1)</f>
        <v>51</v>
      </c>
      <c r="F79" s="26" t="n">
        <f aca="false">D79+E79</f>
        <v>69</v>
      </c>
      <c r="G79" s="28" t="n">
        <f aca="false">F79-F78</f>
        <v>20</v>
      </c>
      <c r="H79" s="29" t="n">
        <f aca="false">IF(F78=0,"-",(F79-F78)/F78)</f>
        <v>0.408163265306122</v>
      </c>
      <c r="I79" s="30" t="n">
        <f aca="false">AVERAGE(F73:F79)</f>
        <v>66.5714285714286</v>
      </c>
      <c r="J79" s="29" t="n">
        <f aca="false">IF(F72=0,"-",(F79-F72)/F72)</f>
        <v>-0.0416666666666667</v>
      </c>
      <c r="K79" s="26" t="n">
        <f aca="false">SUMIFS(Sales_Data!$AF$2:$AF$3520,Sales_Data!$C$2:$C$3520,$A79)</f>
        <v>40</v>
      </c>
      <c r="L79" s="31" t="n">
        <f aca="false">IFERROR(F79/K79,0)</f>
        <v>1.725</v>
      </c>
      <c r="M79" s="26" t="n">
        <f aca="false">COUNTIFS(Sales_Data!$C$2:$C$3520,$A79,Sales_Data!$U$2:$U$3520,"Yes",Sales_Data!$AE$2:$AE$3520,1)</f>
        <v>6</v>
      </c>
      <c r="N79" s="26" t="n">
        <f aca="false">M79+COUNTIFS(Sales_Data!$C$2:$C$3520,$A79,Sales_Data!$U$2:$U$3520,"No",Sales_Data!$AE$2:$AE$3520,1)</f>
        <v>15</v>
      </c>
      <c r="O79" s="32" t="n">
        <f aca="false">IF(N79=0,"-",M79/N79)</f>
        <v>0.4</v>
      </c>
      <c r="P79" s="26" t="n">
        <f aca="false">COUNTIFS(Sales_Data!$C$2:$C$3520,$A79,Sales_Data!$W$2:$W$3520,"Yes",Sales_Data!$AE$2:$AE$3520,1)</f>
        <v>11</v>
      </c>
      <c r="Q79" s="26" t="n">
        <f aca="false">P79+COUNTIFS(Sales_Data!$C$2:$C$3520,$A79,Sales_Data!$W$2:$W$3520,"No",Sales_Data!$AE$2:$AE$3520,1)</f>
        <v>15</v>
      </c>
      <c r="R79" s="32" t="n">
        <f aca="false">IF(Q79=0,"-",P79/Q79)</f>
        <v>0.733333333333333</v>
      </c>
      <c r="S79" s="26" t="n">
        <f aca="false">SUMIFS(Sales_Data!$P$2:$P$3520,Sales_Data!$C$2:$C$3520,$A79,Sales_Data!$AE$2:$AE$3520,1)</f>
        <v>25</v>
      </c>
      <c r="T79" s="26" t="n">
        <f aca="false">SUMIFS(Sales_Data!$Q$2:$Q$3520,Sales_Data!$C$2:$C$3520,$A79,Sales_Data!$AE$2:$AE$3520,1)</f>
        <v>14</v>
      </c>
      <c r="U79" s="26" t="n">
        <f aca="false">SUMIFS(Sales_Data!$R$2:$R$3520,Sales_Data!$C$2:$C$3520,$A79,Sales_Data!$AE$2:$AE$3520,1)</f>
        <v>4</v>
      </c>
      <c r="V79" s="26" t="n">
        <f aca="false">SUMIFS(Sales_Data!$S$2:$S$3520,Sales_Data!$C$2:$C$3520,$A79,Sales_Data!$AE$2:$AE$3520,1)</f>
        <v>2</v>
      </c>
      <c r="W79" s="26" t="n">
        <f aca="false">SUMIFS(Sales_Data!$T$2:$T$3520,Sales_Data!$C$2:$C$3520,$A79,Sales_Data!$AE$2:$AE$3520,1)</f>
        <v>5</v>
      </c>
      <c r="X79" s="26" t="n">
        <f aca="false">COUNTIFS(Sales_Data!$C$2:$C$3520,$A79,Sales_Data!$X$2:$X$3520,"&lt;&gt;No Device",Sales_Data!$X$2:$X$3520,"&lt;&gt;",Sales_Data!$AE$2:$AE$3520,1)</f>
        <v>14</v>
      </c>
      <c r="Y79" s="26" t="n">
        <f aca="false">COUNTIFS(Sales_Data!$C$2:$C$3520,$A79,Sales_Data!$AD$2:$AD$3520,0,Sales_Data!$AE$2:$AE$3520,1)</f>
        <v>2</v>
      </c>
      <c r="Z79" s="26" t="n">
        <f aca="false">COUNTIFS(Sales_Data!$C$2:$C$3520,$A79,Sales_Data!$AC$2:$AC$3520,1)</f>
        <v>0</v>
      </c>
    </row>
    <row r="80" customFormat="false" ht="15" hidden="false" customHeight="false" outlineLevel="0" collapsed="false">
      <c r="A80" s="25" t="n">
        <v>46301</v>
      </c>
      <c r="B80" s="53" t="s">
        <v>501</v>
      </c>
      <c r="C80" s="26" t="n">
        <f aca="false">SUMIFS(Sales_Data!$AE$2:$AE$3520,Sales_Data!$C$2:$C$3520,$A80)</f>
        <v>51</v>
      </c>
      <c r="D80" s="26" t="n">
        <f aca="false">SUMIFS(Sales_Data!$M$2:$M$3520,Sales_Data!$C$2:$C$3520,$A80,Sales_Data!$AE$2:$AE$3520,1)</f>
        <v>19</v>
      </c>
      <c r="E80" s="26" t="n">
        <f aca="false">SUMIFS(Sales_Data!$N$2:$N$3520,Sales_Data!$C$2:$C$3520,$A80,Sales_Data!$AE$2:$AE$3520,1)</f>
        <v>34</v>
      </c>
      <c r="F80" s="26" t="n">
        <f aca="false">D80+E80</f>
        <v>53</v>
      </c>
      <c r="G80" s="28" t="n">
        <f aca="false">F80-F79</f>
        <v>-16</v>
      </c>
      <c r="H80" s="29" t="n">
        <f aca="false">IF(F79=0,"-",(F80-F79)/F79)</f>
        <v>-0.231884057971015</v>
      </c>
      <c r="I80" s="30" t="n">
        <f aca="false">AVERAGE(F74:F80)</f>
        <v>62.8571428571429</v>
      </c>
      <c r="J80" s="29" t="n">
        <f aca="false">IF(F73=0,"-",(F80-F73)/F73)</f>
        <v>-0.329113924050633</v>
      </c>
      <c r="K80" s="26" t="n">
        <f aca="false">SUMIFS(Sales_Data!$AF$2:$AF$3520,Sales_Data!$C$2:$C$3520,$A80)</f>
        <v>38</v>
      </c>
      <c r="L80" s="31" t="n">
        <f aca="false">IFERROR(F80/K80,0)</f>
        <v>1.39473684210526</v>
      </c>
      <c r="M80" s="26" t="n">
        <f aca="false">COUNTIFS(Sales_Data!$C$2:$C$3520,$A80,Sales_Data!$U$2:$U$3520,"Yes",Sales_Data!$AE$2:$AE$3520,1)</f>
        <v>2</v>
      </c>
      <c r="N80" s="26" t="n">
        <f aca="false">M80+COUNTIFS(Sales_Data!$C$2:$C$3520,$A80,Sales_Data!$U$2:$U$3520,"No",Sales_Data!$AE$2:$AE$3520,1)</f>
        <v>19</v>
      </c>
      <c r="O80" s="32" t="n">
        <f aca="false">IF(N80=0,"-",M80/N80)</f>
        <v>0.105263157894737</v>
      </c>
      <c r="P80" s="26" t="n">
        <f aca="false">COUNTIFS(Sales_Data!$C$2:$C$3520,$A80,Sales_Data!$W$2:$W$3520,"Yes",Sales_Data!$AE$2:$AE$3520,1)</f>
        <v>8</v>
      </c>
      <c r="Q80" s="26" t="n">
        <f aca="false">P80+COUNTIFS(Sales_Data!$C$2:$C$3520,$A80,Sales_Data!$W$2:$W$3520,"No",Sales_Data!$AE$2:$AE$3520,1)</f>
        <v>16</v>
      </c>
      <c r="R80" s="32" t="n">
        <f aca="false">IF(Q80=0,"-",P80/Q80)</f>
        <v>0.5</v>
      </c>
      <c r="S80" s="26" t="n">
        <f aca="false">SUMIFS(Sales_Data!$P$2:$P$3520,Sales_Data!$C$2:$C$3520,$A80,Sales_Data!$AE$2:$AE$3520,1)</f>
        <v>18</v>
      </c>
      <c r="T80" s="26" t="n">
        <f aca="false">SUMIFS(Sales_Data!$Q$2:$Q$3520,Sales_Data!$C$2:$C$3520,$A80,Sales_Data!$AE$2:$AE$3520,1)</f>
        <v>8</v>
      </c>
      <c r="U80" s="26" t="n">
        <f aca="false">SUMIFS(Sales_Data!$R$2:$R$3520,Sales_Data!$C$2:$C$3520,$A80,Sales_Data!$AE$2:$AE$3520,1)</f>
        <v>0</v>
      </c>
      <c r="V80" s="26" t="n">
        <f aca="false">SUMIFS(Sales_Data!$S$2:$S$3520,Sales_Data!$C$2:$C$3520,$A80,Sales_Data!$AE$2:$AE$3520,1)</f>
        <v>3</v>
      </c>
      <c r="W80" s="26" t="n">
        <f aca="false">SUMIFS(Sales_Data!$T$2:$T$3520,Sales_Data!$C$2:$C$3520,$A80,Sales_Data!$AE$2:$AE$3520,1)</f>
        <v>6</v>
      </c>
      <c r="X80" s="26" t="n">
        <f aca="false">COUNTIFS(Sales_Data!$C$2:$C$3520,$A80,Sales_Data!$X$2:$X$3520,"&lt;&gt;No Device",Sales_Data!$X$2:$X$3520,"&lt;&gt;",Sales_Data!$AE$2:$AE$3520,1)</f>
        <v>18</v>
      </c>
      <c r="Y80" s="26" t="n">
        <f aca="false">COUNTIFS(Sales_Data!$C$2:$C$3520,$A80,Sales_Data!$AD$2:$AD$3520,0,Sales_Data!$AE$2:$AE$3520,1)</f>
        <v>2</v>
      </c>
      <c r="Z80" s="26" t="n">
        <f aca="false">COUNTIFS(Sales_Data!$C$2:$C$3520,$A80,Sales_Data!$AC$2:$AC$3520,1)</f>
        <v>0</v>
      </c>
    </row>
    <row r="81" customFormat="false" ht="15" hidden="false" customHeight="false" outlineLevel="0" collapsed="false">
      <c r="A81" s="25" t="n">
        <v>46302</v>
      </c>
      <c r="B81" s="53" t="s">
        <v>143</v>
      </c>
      <c r="C81" s="26" t="n">
        <f aca="false">SUMIFS(Sales_Data!$AE$2:$AE$3520,Sales_Data!$C$2:$C$3520,$A81)</f>
        <v>108</v>
      </c>
      <c r="D81" s="26" t="n">
        <f aca="false">SUMIFS(Sales_Data!$M$2:$M$3520,Sales_Data!$C$2:$C$3520,$A81,Sales_Data!$AE$2:$AE$3520,1)</f>
        <v>28</v>
      </c>
      <c r="E81" s="26" t="n">
        <f aca="false">SUMIFS(Sales_Data!$N$2:$N$3520,Sales_Data!$C$2:$C$3520,$A81,Sales_Data!$AE$2:$AE$3520,1)</f>
        <v>97</v>
      </c>
      <c r="F81" s="26" t="n">
        <f aca="false">D81+E81</f>
        <v>125</v>
      </c>
      <c r="G81" s="28" t="n">
        <f aca="false">F81-F80</f>
        <v>72</v>
      </c>
      <c r="H81" s="29" t="n">
        <f aca="false">IF(F80=0,"-",(F81-F80)/F80)</f>
        <v>1.35849056603774</v>
      </c>
      <c r="I81" s="30" t="n">
        <f aca="false">AVERAGE(F75:F81)</f>
        <v>70.5714285714286</v>
      </c>
      <c r="J81" s="29" t="n">
        <f aca="false">IF(F74=0,"-",(F81-F74)/F74)</f>
        <v>0.76056338028169</v>
      </c>
      <c r="K81" s="26" t="n">
        <f aca="false">SUMIFS(Sales_Data!$AF$2:$AF$3520,Sales_Data!$C$2:$C$3520,$A81)</f>
        <v>69</v>
      </c>
      <c r="L81" s="31" t="n">
        <f aca="false">IFERROR(F81/K81,0)</f>
        <v>1.81159420289855</v>
      </c>
      <c r="M81" s="26" t="n">
        <f aca="false">COUNTIFS(Sales_Data!$C$2:$C$3520,$A81,Sales_Data!$U$2:$U$3520,"Yes",Sales_Data!$AE$2:$AE$3520,1)</f>
        <v>7</v>
      </c>
      <c r="N81" s="26" t="n">
        <f aca="false">M81+COUNTIFS(Sales_Data!$C$2:$C$3520,$A81,Sales_Data!$U$2:$U$3520,"No",Sales_Data!$AE$2:$AE$3520,1)</f>
        <v>26</v>
      </c>
      <c r="O81" s="32" t="n">
        <f aca="false">IF(N81=0,"-",M81/N81)</f>
        <v>0.269230769230769</v>
      </c>
      <c r="P81" s="26" t="n">
        <f aca="false">COUNTIFS(Sales_Data!$C$2:$C$3520,$A81,Sales_Data!$W$2:$W$3520,"Yes",Sales_Data!$AE$2:$AE$3520,1)</f>
        <v>15</v>
      </c>
      <c r="Q81" s="26" t="n">
        <f aca="false">P81+COUNTIFS(Sales_Data!$C$2:$C$3520,$A81,Sales_Data!$W$2:$W$3520,"No",Sales_Data!$AE$2:$AE$3520,1)</f>
        <v>26</v>
      </c>
      <c r="R81" s="32" t="n">
        <f aca="false">IF(Q81=0,"-",P81/Q81)</f>
        <v>0.576923076923077</v>
      </c>
      <c r="S81" s="26" t="n">
        <f aca="false">SUMIFS(Sales_Data!$P$2:$P$3520,Sales_Data!$C$2:$C$3520,$A81,Sales_Data!$AE$2:$AE$3520,1)</f>
        <v>48</v>
      </c>
      <c r="T81" s="26" t="n">
        <f aca="false">SUMIFS(Sales_Data!$Q$2:$Q$3520,Sales_Data!$C$2:$C$3520,$A81,Sales_Data!$AE$2:$AE$3520,1)</f>
        <v>19</v>
      </c>
      <c r="U81" s="26" t="n">
        <f aca="false">SUMIFS(Sales_Data!$R$2:$R$3520,Sales_Data!$C$2:$C$3520,$A81,Sales_Data!$AE$2:$AE$3520,1)</f>
        <v>9</v>
      </c>
      <c r="V81" s="26" t="n">
        <f aca="false">SUMIFS(Sales_Data!$S$2:$S$3520,Sales_Data!$C$2:$C$3520,$A81,Sales_Data!$AE$2:$AE$3520,1)</f>
        <v>11</v>
      </c>
      <c r="W81" s="26" t="n">
        <f aca="false">SUMIFS(Sales_Data!$T$2:$T$3520,Sales_Data!$C$2:$C$3520,$A81,Sales_Data!$AE$2:$AE$3520,1)</f>
        <v>12</v>
      </c>
      <c r="X81" s="26" t="n">
        <f aca="false">COUNTIFS(Sales_Data!$C$2:$C$3520,$A81,Sales_Data!$X$2:$X$3520,"&lt;&gt;No Device",Sales_Data!$X$2:$X$3520,"&lt;&gt;",Sales_Data!$AE$2:$AE$3520,1)</f>
        <v>22</v>
      </c>
      <c r="Y81" s="26" t="n">
        <f aca="false">COUNTIFS(Sales_Data!$C$2:$C$3520,$A81,Sales_Data!$AD$2:$AD$3520,0,Sales_Data!$AE$2:$AE$3520,1)</f>
        <v>6</v>
      </c>
      <c r="Z81" s="26" t="n">
        <f aca="false">COUNTIFS(Sales_Data!$C$2:$C$3520,$A81,Sales_Data!$AC$2:$AC$3520,1)</f>
        <v>3</v>
      </c>
    </row>
    <row r="82" customFormat="false" ht="15" hidden="false" customHeight="false" outlineLevel="0" collapsed="false">
      <c r="A82" s="25" t="n">
        <v>46303</v>
      </c>
      <c r="B82" s="53" t="s">
        <v>202</v>
      </c>
      <c r="C82" s="26" t="n">
        <f aca="false">SUMIFS(Sales_Data!$AE$2:$AE$3520,Sales_Data!$C$2:$C$3520,$A82)</f>
        <v>105</v>
      </c>
      <c r="D82" s="26" t="n">
        <f aca="false">SUMIFS(Sales_Data!$M$2:$M$3520,Sales_Data!$C$2:$C$3520,$A82,Sales_Data!$AE$2:$AE$3520,1)</f>
        <v>24</v>
      </c>
      <c r="E82" s="26" t="n">
        <f aca="false">SUMIFS(Sales_Data!$N$2:$N$3520,Sales_Data!$C$2:$C$3520,$A82,Sales_Data!$AE$2:$AE$3520,1)</f>
        <v>99</v>
      </c>
      <c r="F82" s="26" t="n">
        <f aca="false">D82+E82</f>
        <v>123</v>
      </c>
      <c r="G82" s="28" t="n">
        <f aca="false">F82-F81</f>
        <v>-2</v>
      </c>
      <c r="H82" s="29" t="n">
        <f aca="false">IF(F81=0,"-",(F82-F81)/F81)</f>
        <v>-0.016</v>
      </c>
      <c r="I82" s="30" t="n">
        <f aca="false">AVERAGE(F76:F82)</f>
        <v>80.7142857142857</v>
      </c>
      <c r="J82" s="29" t="n">
        <f aca="false">IF(F75=0,"-",(F82-F75)/F75)</f>
        <v>1.36538461538462</v>
      </c>
      <c r="K82" s="26" t="n">
        <f aca="false">SUMIFS(Sales_Data!$AF$2:$AF$3520,Sales_Data!$C$2:$C$3520,$A82)</f>
        <v>68</v>
      </c>
      <c r="L82" s="31" t="n">
        <f aca="false">IFERROR(F82/K82,0)</f>
        <v>1.80882352941176</v>
      </c>
      <c r="M82" s="26" t="n">
        <f aca="false">COUNTIFS(Sales_Data!$C$2:$C$3520,$A82,Sales_Data!$U$2:$U$3520,"Yes",Sales_Data!$AE$2:$AE$3520,1)</f>
        <v>5</v>
      </c>
      <c r="N82" s="26" t="n">
        <f aca="false">M82+COUNTIFS(Sales_Data!$C$2:$C$3520,$A82,Sales_Data!$U$2:$U$3520,"No",Sales_Data!$AE$2:$AE$3520,1)</f>
        <v>23</v>
      </c>
      <c r="O82" s="32" t="n">
        <f aca="false">IF(N82=0,"-",M82/N82)</f>
        <v>0.217391304347826</v>
      </c>
      <c r="P82" s="26" t="n">
        <f aca="false">COUNTIFS(Sales_Data!$C$2:$C$3520,$A82,Sales_Data!$W$2:$W$3520,"Yes",Sales_Data!$AE$2:$AE$3520,1)</f>
        <v>10</v>
      </c>
      <c r="Q82" s="26" t="n">
        <f aca="false">P82+COUNTIFS(Sales_Data!$C$2:$C$3520,$A82,Sales_Data!$W$2:$W$3520,"No",Sales_Data!$AE$2:$AE$3520,1)</f>
        <v>22</v>
      </c>
      <c r="R82" s="32" t="n">
        <f aca="false">IF(Q82=0,"-",P82/Q82)</f>
        <v>0.454545454545455</v>
      </c>
      <c r="S82" s="26" t="n">
        <f aca="false">SUMIFS(Sales_Data!$P$2:$P$3520,Sales_Data!$C$2:$C$3520,$A82,Sales_Data!$AE$2:$AE$3520,1)</f>
        <v>35</v>
      </c>
      <c r="T82" s="26" t="n">
        <f aca="false">SUMIFS(Sales_Data!$Q$2:$Q$3520,Sales_Data!$C$2:$C$3520,$A82,Sales_Data!$AE$2:$AE$3520,1)</f>
        <v>30</v>
      </c>
      <c r="U82" s="26" t="n">
        <f aca="false">SUMIFS(Sales_Data!$R$2:$R$3520,Sales_Data!$C$2:$C$3520,$A82,Sales_Data!$AE$2:$AE$3520,1)</f>
        <v>17</v>
      </c>
      <c r="V82" s="26" t="n">
        <f aca="false">SUMIFS(Sales_Data!$S$2:$S$3520,Sales_Data!$C$2:$C$3520,$A82,Sales_Data!$AE$2:$AE$3520,1)</f>
        <v>8</v>
      </c>
      <c r="W82" s="26" t="n">
        <f aca="false">SUMIFS(Sales_Data!$T$2:$T$3520,Sales_Data!$C$2:$C$3520,$A82,Sales_Data!$AE$2:$AE$3520,1)</f>
        <v>6</v>
      </c>
      <c r="X82" s="26" t="n">
        <f aca="false">COUNTIFS(Sales_Data!$C$2:$C$3520,$A82,Sales_Data!$X$2:$X$3520,"&lt;&gt;No Device",Sales_Data!$X$2:$X$3520,"&lt;&gt;",Sales_Data!$AE$2:$AE$3520,1)</f>
        <v>22</v>
      </c>
      <c r="Y82" s="26" t="n">
        <f aca="false">COUNTIFS(Sales_Data!$C$2:$C$3520,$A82,Sales_Data!$AD$2:$AD$3520,0,Sales_Data!$AE$2:$AE$3520,1)</f>
        <v>17</v>
      </c>
      <c r="Z82" s="26" t="n">
        <f aca="false">COUNTIFS(Sales_Data!$C$2:$C$3520,$A82,Sales_Data!$AC$2:$AC$3520,1)</f>
        <v>2</v>
      </c>
    </row>
    <row r="83" customFormat="false" ht="15" hidden="false" customHeight="false" outlineLevel="0" collapsed="false">
      <c r="A83" s="5" t="s">
        <v>6908</v>
      </c>
      <c r="B83" s="65"/>
      <c r="C83" s="35" t="n">
        <f aca="false">SUM(C4:C82)</f>
        <v>3312</v>
      </c>
      <c r="D83" s="35" t="n">
        <f aca="false">SUM(D4:D82)</f>
        <v>1072</v>
      </c>
      <c r="E83" s="35" t="n">
        <f aca="false">SUM(E4:E82)</f>
        <v>2735</v>
      </c>
      <c r="F83" s="35" t="n">
        <f aca="false">SUM(F4:F82)</f>
        <v>3807</v>
      </c>
      <c r="G83" s="51"/>
      <c r="H83" s="51"/>
      <c r="I83" s="50" t="n">
        <f aca="false">AVERAGE(F4:F82)</f>
        <v>48.1898734177215</v>
      </c>
      <c r="J83" s="51"/>
      <c r="K83" s="35" t="n">
        <f aca="false">SUM(K4:K82)</f>
        <v>1904</v>
      </c>
      <c r="L83" s="36" t="n">
        <f aca="false">IFERROR(F83/K83,0)</f>
        <v>1.99947478991597</v>
      </c>
      <c r="M83" s="35" t="n">
        <f aca="false">SUM(M4:M82)</f>
        <v>100</v>
      </c>
      <c r="N83" s="35" t="n">
        <f aca="false">SUM(N4:N82)</f>
        <v>699</v>
      </c>
      <c r="O83" s="37" t="n">
        <f aca="false">IF(N83=0,"-",M83/N83)</f>
        <v>0.143061516452074</v>
      </c>
      <c r="P83" s="35" t="n">
        <f aca="false">SUM(P4:P82)</f>
        <v>507</v>
      </c>
      <c r="Q83" s="35" t="n">
        <f aca="false">SUM(Q4:Q82)</f>
        <v>643</v>
      </c>
      <c r="R83" s="37" t="n">
        <f aca="false">IF(Q83=0,"-",P83/Q83)</f>
        <v>0.788491446345257</v>
      </c>
      <c r="S83" s="35" t="n">
        <f aca="false">SUM(S4:S82)</f>
        <v>1472</v>
      </c>
      <c r="T83" s="35" t="n">
        <f aca="false">SUM(T4:T82)</f>
        <v>740</v>
      </c>
      <c r="U83" s="35" t="n">
        <f aca="false">SUM(U4:U82)</f>
        <v>312</v>
      </c>
      <c r="V83" s="35" t="n">
        <f aca="false">SUM(V4:V82)</f>
        <v>98</v>
      </c>
      <c r="W83" s="35" t="n">
        <f aca="false">SUM(W4:W82)</f>
        <v>106</v>
      </c>
      <c r="X83" s="35" t="n">
        <f aca="false">SUM(X4:X82)</f>
        <v>631</v>
      </c>
      <c r="Y83" s="35" t="n">
        <f aca="false">SUM(Y4:Y82)</f>
        <v>386</v>
      </c>
      <c r="Z83" s="35" t="n">
        <f aca="false">SUM(Z4:Z82)</f>
        <v>207</v>
      </c>
    </row>
  </sheetData>
  <mergeCells count="2">
    <mergeCell ref="A1:Z1"/>
    <mergeCell ref="A2:Z2"/>
  </mergeCells>
  <conditionalFormatting sqref="G4:G82">
    <cfRule type="cellIs" priority="2" operator="greaterThan" aboveAverage="0" equalAverage="0" bottom="0" percent="0" rank="0" text="" dxfId="0">
      <formula>0</formula>
    </cfRule>
    <cfRule type="cellIs" priority="3" operator="lessThan" aboveAverage="0" equalAverage="0" bottom="0" percent="0" rank="0" text="" dxfId="1">
      <formula>0</formula>
    </cfRule>
  </conditionalFormatting>
  <conditionalFormatting sqref="H4:H82">
    <cfRule type="cellIs" priority="4" operator="greaterThan" aboveAverage="0" equalAverage="0" bottom="0" percent="0" rank="0" text="" dxfId="7">
      <formula>0</formula>
    </cfRule>
    <cfRule type="cellIs" priority="5" operator="lessThan" aboveAverage="0" equalAverage="0" bottom="0" percent="0" rank="0" text="" dxfId="8">
      <formula>0</formula>
    </cfRule>
  </conditionalFormatting>
  <conditionalFormatting sqref="J4:J82">
    <cfRule type="cellIs" priority="6" operator="greaterThan" aboveAverage="0" equalAverage="0" bottom="0" percent="0" rank="0" text="" dxfId="7">
      <formula>0</formula>
    </cfRule>
    <cfRule type="cellIs" priority="7" operator="lessThan" aboveAverage="0" equalAverage="0" bottom="0" percent="0" rank="0" text="" dxfId="8">
      <formula>0</formula>
    </cfRule>
  </conditionalFormatting>
  <conditionalFormatting sqref="F4:F82">
    <cfRule type="colorScale" priority="8">
      <colorScale>
        <cfvo type="min" val="0"/>
        <cfvo type="percentile" val="50"/>
        <cfvo type="max" val="0"/>
        <color rgb="FFF8696B"/>
        <color rgb="FFFFEB84"/>
        <color rgb="FF63BE7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AH9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4" topLeftCell="B15" activePane="bottomRight" state="frozen"/>
      <selection pane="topLeft" activeCell="A1" activeCellId="0" sqref="A1"/>
      <selection pane="topRight" activeCell="B1" activeCellId="0" sqref="B1"/>
      <selection pane="bottomLeft" activeCell="A15" activeCellId="0" sqref="A1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17" min="2" style="0" width="13"/>
    <col collapsed="false" customWidth="true" hidden="false" outlineLevel="0" max="18" min="18" style="0" width="2"/>
    <col collapsed="false" customWidth="true" hidden="false" outlineLevel="0" max="34" min="19" style="0" width="13"/>
  </cols>
  <sheetData>
    <row r="1" customFormat="false" ht="30" hidden="false" customHeight="true" outlineLevel="0" collapsed="false">
      <c r="A1" s="1" t="s">
        <v>6909</v>
      </c>
      <c r="B1" s="1"/>
      <c r="C1" s="1"/>
      <c r="D1" s="1"/>
      <c r="E1" s="1"/>
      <c r="F1" s="1"/>
      <c r="G1" s="1"/>
      <c r="H1" s="1"/>
      <c r="I1" s="1"/>
      <c r="J1" s="1"/>
      <c r="K1" s="1"/>
      <c r="L1" s="1"/>
      <c r="M1" s="1"/>
      <c r="N1" s="1"/>
      <c r="O1" s="1"/>
      <c r="P1" s="1"/>
      <c r="Q1" s="1"/>
      <c r="R1" s="3"/>
      <c r="S1" s="3"/>
      <c r="T1" s="3"/>
      <c r="U1" s="3"/>
      <c r="V1" s="3"/>
      <c r="W1" s="3"/>
      <c r="X1" s="3"/>
      <c r="Y1" s="3"/>
      <c r="Z1" s="3"/>
      <c r="AA1" s="3"/>
      <c r="AB1" s="3"/>
      <c r="AC1" s="3"/>
      <c r="AD1" s="3"/>
      <c r="AE1" s="3"/>
      <c r="AF1" s="3"/>
      <c r="AG1" s="3"/>
      <c r="AH1" s="3"/>
    </row>
    <row r="2" customFormat="false" ht="15" hidden="false" customHeight="false" outlineLevel="0" collapsed="false">
      <c r="A2" s="2" t="s">
        <v>6910</v>
      </c>
      <c r="B2" s="2"/>
      <c r="C2" s="2"/>
      <c r="D2" s="2"/>
      <c r="E2" s="2"/>
      <c r="F2" s="2"/>
      <c r="G2" s="2"/>
      <c r="H2" s="2"/>
      <c r="I2" s="2"/>
      <c r="J2" s="2"/>
      <c r="K2" s="2"/>
      <c r="L2" s="2"/>
      <c r="M2" s="2"/>
      <c r="N2" s="2"/>
      <c r="O2" s="2"/>
      <c r="P2" s="2"/>
      <c r="Q2" s="2"/>
      <c r="R2" s="3"/>
      <c r="S2" s="3"/>
      <c r="T2" s="3"/>
      <c r="U2" s="3"/>
      <c r="V2" s="3"/>
      <c r="W2" s="3"/>
      <c r="X2" s="3"/>
      <c r="Y2" s="3"/>
      <c r="Z2" s="3"/>
      <c r="AA2" s="3"/>
      <c r="AB2" s="3"/>
      <c r="AC2" s="3"/>
      <c r="AD2" s="3"/>
      <c r="AE2" s="3"/>
      <c r="AF2" s="3"/>
      <c r="AG2" s="3"/>
      <c r="AH2" s="3"/>
    </row>
    <row r="3" customFormat="false" ht="15" hidden="false" customHeight="false" outlineLevel="0" collapsed="false">
      <c r="A3" s="66" t="s">
        <v>6911</v>
      </c>
      <c r="B3" s="10" t="s">
        <v>3</v>
      </c>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row>
    <row r="4" customFormat="false" ht="15" hidden="false" customHeight="false" outlineLevel="0" collapsed="false">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row>
    <row r="5" customFormat="false" ht="30" hidden="false" customHeight="true" outlineLevel="0" collapsed="false">
      <c r="A5" s="5" t="s">
        <v>13</v>
      </c>
      <c r="B5" s="67" t="s">
        <v>44</v>
      </c>
      <c r="C5" s="67" t="s">
        <v>46</v>
      </c>
      <c r="D5" s="67" t="s">
        <v>48</v>
      </c>
      <c r="E5" s="67" t="s">
        <v>50</v>
      </c>
      <c r="F5" s="67" t="s">
        <v>51</v>
      </c>
      <c r="G5" s="67" t="s">
        <v>52</v>
      </c>
      <c r="H5" s="67" t="s">
        <v>53</v>
      </c>
      <c r="I5" s="67" t="s">
        <v>54</v>
      </c>
      <c r="J5" s="67" t="s">
        <v>55</v>
      </c>
      <c r="K5" s="67" t="s">
        <v>56</v>
      </c>
      <c r="L5" s="67" t="s">
        <v>57</v>
      </c>
      <c r="M5" s="67" t="s">
        <v>58</v>
      </c>
      <c r="N5" s="67" t="s">
        <v>59</v>
      </c>
      <c r="O5" s="67" t="s">
        <v>60</v>
      </c>
      <c r="P5" s="5" t="s">
        <v>6912</v>
      </c>
      <c r="Q5" s="5" t="s">
        <v>153</v>
      </c>
      <c r="R5" s="3"/>
      <c r="S5" s="3"/>
      <c r="T5" s="3"/>
      <c r="U5" s="3"/>
      <c r="V5" s="3"/>
      <c r="W5" s="3"/>
      <c r="X5" s="3"/>
      <c r="Y5" s="3"/>
      <c r="Z5" s="3"/>
      <c r="AA5" s="3"/>
      <c r="AB5" s="3"/>
      <c r="AC5" s="3"/>
      <c r="AD5" s="3"/>
      <c r="AE5" s="3"/>
      <c r="AF5" s="3"/>
      <c r="AG5" s="3"/>
      <c r="AH5" s="3"/>
    </row>
    <row r="6" customFormat="false" ht="15" hidden="false" customHeight="false" outlineLevel="0" collapsed="false">
      <c r="A6" s="68" t="s">
        <v>6913</v>
      </c>
      <c r="B6" s="26" t="n">
        <f aca="false">COUNTIF(Roster!$D$2:$D$251,B$5)</f>
        <v>23</v>
      </c>
      <c r="C6" s="26" t="n">
        <f aca="false">COUNTIF(Roster!$D$2:$D$251,C$5)</f>
        <v>16</v>
      </c>
      <c r="D6" s="26" t="n">
        <f aca="false">COUNTIF(Roster!$D$2:$D$251,D$5)</f>
        <v>13</v>
      </c>
      <c r="E6" s="26" t="n">
        <f aca="false">COUNTIF(Roster!$D$2:$D$251,E$5)</f>
        <v>15</v>
      </c>
      <c r="F6" s="26" t="n">
        <f aca="false">COUNTIF(Roster!$D$2:$D$251,F$5)</f>
        <v>17</v>
      </c>
      <c r="G6" s="26" t="n">
        <f aca="false">COUNTIF(Roster!$D$2:$D$251,G$5)</f>
        <v>15</v>
      </c>
      <c r="H6" s="26" t="n">
        <f aca="false">COUNTIF(Roster!$D$2:$D$251,H$5)</f>
        <v>18</v>
      </c>
      <c r="I6" s="26" t="n">
        <f aca="false">COUNTIF(Roster!$D$2:$D$251,I$5)</f>
        <v>19</v>
      </c>
      <c r="J6" s="26" t="n">
        <f aca="false">COUNTIF(Roster!$D$2:$D$251,J$5)</f>
        <v>18</v>
      </c>
      <c r="K6" s="26" t="n">
        <f aca="false">COUNTIF(Roster!$D$2:$D$251,K$5)</f>
        <v>22</v>
      </c>
      <c r="L6" s="26" t="n">
        <f aca="false">COUNTIF(Roster!$D$2:$D$251,L$5)</f>
        <v>22</v>
      </c>
      <c r="M6" s="26" t="n">
        <f aca="false">COUNTIF(Roster!$D$2:$D$251,M$5)</f>
        <v>17</v>
      </c>
      <c r="N6" s="26" t="n">
        <f aca="false">COUNTIF(Roster!$D$2:$D$251,N$5)</f>
        <v>16</v>
      </c>
      <c r="O6" s="26" t="n">
        <f aca="false">COUNTIF(Roster!$D$2:$D$251,O$5)</f>
        <v>19</v>
      </c>
      <c r="P6" s="26" t="n">
        <f aca="false">COUNTA(Roster!$D$2:$D$251)</f>
        <v>250</v>
      </c>
      <c r="Q6" s="26" t="s">
        <v>64</v>
      </c>
      <c r="R6" s="3"/>
      <c r="S6" s="3"/>
      <c r="T6" s="3"/>
      <c r="U6" s="3"/>
      <c r="V6" s="3"/>
      <c r="W6" s="3"/>
      <c r="X6" s="3"/>
      <c r="Y6" s="3"/>
      <c r="Z6" s="3"/>
      <c r="AA6" s="3"/>
      <c r="AB6" s="3"/>
      <c r="AC6" s="3"/>
      <c r="AD6" s="3"/>
      <c r="AE6" s="3"/>
      <c r="AF6" s="3"/>
      <c r="AG6" s="3"/>
      <c r="AH6" s="3"/>
    </row>
    <row r="7" customFormat="false" ht="15" hidden="false" customHeight="false" outlineLevel="0" collapsed="false">
      <c r="A7" s="68" t="s">
        <v>6914</v>
      </c>
      <c r="B7" s="27" t="n">
        <f aca="false">CHOOSE(MATCH($B$3,Lists!$C$2:$C$5,0),SUMIFS(Sales_Data!$O$2:$O$3520,Sales_Data!$C$2:$C$3520,"&gt;="&amp;Dashboard!$C$5,Sales_Data!$C$2:$C$3520,"&lt;="&amp;Dashboard!$C$6,Sales_Data!$H$2:$H$3520,B$5,Sales_Data!$AE$2:$AE$3520,1),SUMIFS(Sales_Data!$M$2:$M$3520,Sales_Data!$C$2:$C$3520,"&gt;="&amp;Dashboard!$C$5,Sales_Data!$C$2:$C$3520,"&lt;="&amp;Dashboard!$C$6,Sales_Data!$H$2:$H$3520,B$5,Sales_Data!$AE$2:$AE$3520,1),SUMIFS(Sales_Data!$N$2:$N$3520,Sales_Data!$C$2:$C$3520,"&gt;="&amp;Dashboard!$C$5,Sales_Data!$C$2:$C$3520,"&lt;="&amp;Dashboard!$C$6,Sales_Data!$H$2:$H$3520,B$5,Sales_Data!$AE$2:$AE$3520,1),SUMIFS(Sales_Data!$AE$2:$AE$3520,Sales_Data!$C$2:$C$3520,"&gt;="&amp;Dashboard!$C$5,Sales_Data!$C$2:$C$3520,"&lt;="&amp;Dashboard!$C$6,Sales_Data!$H$2:$H$3520,B$5))</f>
        <v>75</v>
      </c>
      <c r="C7" s="27" t="n">
        <f aca="false">CHOOSE(MATCH($B$3,Lists!$C$2:$C$5,0),SUMIFS(Sales_Data!$O$2:$O$3520,Sales_Data!$C$2:$C$3520,"&gt;="&amp;Dashboard!$C$5,Sales_Data!$C$2:$C$3520,"&lt;="&amp;Dashboard!$C$6,Sales_Data!$H$2:$H$3520,C$5,Sales_Data!$AE$2:$AE$3520,1),SUMIFS(Sales_Data!$M$2:$M$3520,Sales_Data!$C$2:$C$3520,"&gt;="&amp;Dashboard!$C$5,Sales_Data!$C$2:$C$3520,"&lt;="&amp;Dashboard!$C$6,Sales_Data!$H$2:$H$3520,C$5,Sales_Data!$AE$2:$AE$3520,1),SUMIFS(Sales_Data!$N$2:$N$3520,Sales_Data!$C$2:$C$3520,"&gt;="&amp;Dashboard!$C$5,Sales_Data!$C$2:$C$3520,"&lt;="&amp;Dashboard!$C$6,Sales_Data!$H$2:$H$3520,C$5,Sales_Data!$AE$2:$AE$3520,1),SUMIFS(Sales_Data!$AE$2:$AE$3520,Sales_Data!$C$2:$C$3520,"&gt;="&amp;Dashboard!$C$5,Sales_Data!$C$2:$C$3520,"&lt;="&amp;Dashboard!$C$6,Sales_Data!$H$2:$H$3520,C$5))</f>
        <v>42</v>
      </c>
      <c r="D7" s="27" t="n">
        <f aca="false">CHOOSE(MATCH($B$3,Lists!$C$2:$C$5,0),SUMIFS(Sales_Data!$O$2:$O$3520,Sales_Data!$C$2:$C$3520,"&gt;="&amp;Dashboard!$C$5,Sales_Data!$C$2:$C$3520,"&lt;="&amp;Dashboard!$C$6,Sales_Data!$H$2:$H$3520,D$5,Sales_Data!$AE$2:$AE$3520,1),SUMIFS(Sales_Data!$M$2:$M$3520,Sales_Data!$C$2:$C$3520,"&gt;="&amp;Dashboard!$C$5,Sales_Data!$C$2:$C$3520,"&lt;="&amp;Dashboard!$C$6,Sales_Data!$H$2:$H$3520,D$5,Sales_Data!$AE$2:$AE$3520,1),SUMIFS(Sales_Data!$N$2:$N$3520,Sales_Data!$C$2:$C$3520,"&gt;="&amp;Dashboard!$C$5,Sales_Data!$C$2:$C$3520,"&lt;="&amp;Dashboard!$C$6,Sales_Data!$H$2:$H$3520,D$5,Sales_Data!$AE$2:$AE$3520,1),SUMIFS(Sales_Data!$AE$2:$AE$3520,Sales_Data!$C$2:$C$3520,"&gt;="&amp;Dashboard!$C$5,Sales_Data!$C$2:$C$3520,"&lt;="&amp;Dashboard!$C$6,Sales_Data!$H$2:$H$3520,D$5))</f>
        <v>25</v>
      </c>
      <c r="E7" s="27" t="n">
        <f aca="false">CHOOSE(MATCH($B$3,Lists!$C$2:$C$5,0),SUMIFS(Sales_Data!$O$2:$O$3520,Sales_Data!$C$2:$C$3520,"&gt;="&amp;Dashboard!$C$5,Sales_Data!$C$2:$C$3520,"&lt;="&amp;Dashboard!$C$6,Sales_Data!$H$2:$H$3520,E$5,Sales_Data!$AE$2:$AE$3520,1),SUMIFS(Sales_Data!$M$2:$M$3520,Sales_Data!$C$2:$C$3520,"&gt;="&amp;Dashboard!$C$5,Sales_Data!$C$2:$C$3520,"&lt;="&amp;Dashboard!$C$6,Sales_Data!$H$2:$H$3520,E$5,Sales_Data!$AE$2:$AE$3520,1),SUMIFS(Sales_Data!$N$2:$N$3520,Sales_Data!$C$2:$C$3520,"&gt;="&amp;Dashboard!$C$5,Sales_Data!$C$2:$C$3520,"&lt;="&amp;Dashboard!$C$6,Sales_Data!$H$2:$H$3520,E$5,Sales_Data!$AE$2:$AE$3520,1),SUMIFS(Sales_Data!$AE$2:$AE$3520,Sales_Data!$C$2:$C$3520,"&gt;="&amp;Dashboard!$C$5,Sales_Data!$C$2:$C$3520,"&lt;="&amp;Dashboard!$C$6,Sales_Data!$H$2:$H$3520,E$5))</f>
        <v>16</v>
      </c>
      <c r="F7" s="27" t="n">
        <f aca="false">CHOOSE(MATCH($B$3,Lists!$C$2:$C$5,0),SUMIFS(Sales_Data!$O$2:$O$3520,Sales_Data!$C$2:$C$3520,"&gt;="&amp;Dashboard!$C$5,Sales_Data!$C$2:$C$3520,"&lt;="&amp;Dashboard!$C$6,Sales_Data!$H$2:$H$3520,F$5,Sales_Data!$AE$2:$AE$3520,1),SUMIFS(Sales_Data!$M$2:$M$3520,Sales_Data!$C$2:$C$3520,"&gt;="&amp;Dashboard!$C$5,Sales_Data!$C$2:$C$3520,"&lt;="&amp;Dashboard!$C$6,Sales_Data!$H$2:$H$3520,F$5,Sales_Data!$AE$2:$AE$3520,1),SUMIFS(Sales_Data!$N$2:$N$3520,Sales_Data!$C$2:$C$3520,"&gt;="&amp;Dashboard!$C$5,Sales_Data!$C$2:$C$3520,"&lt;="&amp;Dashboard!$C$6,Sales_Data!$H$2:$H$3520,F$5,Sales_Data!$AE$2:$AE$3520,1),SUMIFS(Sales_Data!$AE$2:$AE$3520,Sales_Data!$C$2:$C$3520,"&gt;="&amp;Dashboard!$C$5,Sales_Data!$C$2:$C$3520,"&lt;="&amp;Dashboard!$C$6,Sales_Data!$H$2:$H$3520,F$5))</f>
        <v>25</v>
      </c>
      <c r="G7" s="27" t="n">
        <f aca="false">CHOOSE(MATCH($B$3,Lists!$C$2:$C$5,0),SUMIFS(Sales_Data!$O$2:$O$3520,Sales_Data!$C$2:$C$3520,"&gt;="&amp;Dashboard!$C$5,Sales_Data!$C$2:$C$3520,"&lt;="&amp;Dashboard!$C$6,Sales_Data!$H$2:$H$3520,G$5,Sales_Data!$AE$2:$AE$3520,1),SUMIFS(Sales_Data!$M$2:$M$3520,Sales_Data!$C$2:$C$3520,"&gt;="&amp;Dashboard!$C$5,Sales_Data!$C$2:$C$3520,"&lt;="&amp;Dashboard!$C$6,Sales_Data!$H$2:$H$3520,G$5,Sales_Data!$AE$2:$AE$3520,1),SUMIFS(Sales_Data!$N$2:$N$3520,Sales_Data!$C$2:$C$3520,"&gt;="&amp;Dashboard!$C$5,Sales_Data!$C$2:$C$3520,"&lt;="&amp;Dashboard!$C$6,Sales_Data!$H$2:$H$3520,G$5,Sales_Data!$AE$2:$AE$3520,1),SUMIFS(Sales_Data!$AE$2:$AE$3520,Sales_Data!$C$2:$C$3520,"&gt;="&amp;Dashboard!$C$5,Sales_Data!$C$2:$C$3520,"&lt;="&amp;Dashboard!$C$6,Sales_Data!$H$2:$H$3520,G$5))</f>
        <v>47</v>
      </c>
      <c r="H7" s="27" t="n">
        <f aca="false">CHOOSE(MATCH($B$3,Lists!$C$2:$C$5,0),SUMIFS(Sales_Data!$O$2:$O$3520,Sales_Data!$C$2:$C$3520,"&gt;="&amp;Dashboard!$C$5,Sales_Data!$C$2:$C$3520,"&lt;="&amp;Dashboard!$C$6,Sales_Data!$H$2:$H$3520,H$5,Sales_Data!$AE$2:$AE$3520,1),SUMIFS(Sales_Data!$M$2:$M$3520,Sales_Data!$C$2:$C$3520,"&gt;="&amp;Dashboard!$C$5,Sales_Data!$C$2:$C$3520,"&lt;="&amp;Dashboard!$C$6,Sales_Data!$H$2:$H$3520,H$5,Sales_Data!$AE$2:$AE$3520,1),SUMIFS(Sales_Data!$N$2:$N$3520,Sales_Data!$C$2:$C$3520,"&gt;="&amp;Dashboard!$C$5,Sales_Data!$C$2:$C$3520,"&lt;="&amp;Dashboard!$C$6,Sales_Data!$H$2:$H$3520,H$5,Sales_Data!$AE$2:$AE$3520,1),SUMIFS(Sales_Data!$AE$2:$AE$3520,Sales_Data!$C$2:$C$3520,"&gt;="&amp;Dashboard!$C$5,Sales_Data!$C$2:$C$3520,"&lt;="&amp;Dashboard!$C$6,Sales_Data!$H$2:$H$3520,H$5))</f>
        <v>18</v>
      </c>
      <c r="I7" s="27" t="n">
        <f aca="false">CHOOSE(MATCH($B$3,Lists!$C$2:$C$5,0),SUMIFS(Sales_Data!$O$2:$O$3520,Sales_Data!$C$2:$C$3520,"&gt;="&amp;Dashboard!$C$5,Sales_Data!$C$2:$C$3520,"&lt;="&amp;Dashboard!$C$6,Sales_Data!$H$2:$H$3520,I$5,Sales_Data!$AE$2:$AE$3520,1),SUMIFS(Sales_Data!$M$2:$M$3520,Sales_Data!$C$2:$C$3520,"&gt;="&amp;Dashboard!$C$5,Sales_Data!$C$2:$C$3520,"&lt;="&amp;Dashboard!$C$6,Sales_Data!$H$2:$H$3520,I$5,Sales_Data!$AE$2:$AE$3520,1),SUMIFS(Sales_Data!$N$2:$N$3520,Sales_Data!$C$2:$C$3520,"&gt;="&amp;Dashboard!$C$5,Sales_Data!$C$2:$C$3520,"&lt;="&amp;Dashboard!$C$6,Sales_Data!$H$2:$H$3520,I$5,Sales_Data!$AE$2:$AE$3520,1),SUMIFS(Sales_Data!$AE$2:$AE$3520,Sales_Data!$C$2:$C$3520,"&gt;="&amp;Dashboard!$C$5,Sales_Data!$C$2:$C$3520,"&lt;="&amp;Dashboard!$C$6,Sales_Data!$H$2:$H$3520,I$5))</f>
        <v>11</v>
      </c>
      <c r="J7" s="27" t="n">
        <f aca="false">CHOOSE(MATCH($B$3,Lists!$C$2:$C$5,0),SUMIFS(Sales_Data!$O$2:$O$3520,Sales_Data!$C$2:$C$3520,"&gt;="&amp;Dashboard!$C$5,Sales_Data!$C$2:$C$3520,"&lt;="&amp;Dashboard!$C$6,Sales_Data!$H$2:$H$3520,J$5,Sales_Data!$AE$2:$AE$3520,1),SUMIFS(Sales_Data!$M$2:$M$3520,Sales_Data!$C$2:$C$3520,"&gt;="&amp;Dashboard!$C$5,Sales_Data!$C$2:$C$3520,"&lt;="&amp;Dashboard!$C$6,Sales_Data!$H$2:$H$3520,J$5,Sales_Data!$AE$2:$AE$3520,1),SUMIFS(Sales_Data!$N$2:$N$3520,Sales_Data!$C$2:$C$3520,"&gt;="&amp;Dashboard!$C$5,Sales_Data!$C$2:$C$3520,"&lt;="&amp;Dashboard!$C$6,Sales_Data!$H$2:$H$3520,J$5,Sales_Data!$AE$2:$AE$3520,1),SUMIFS(Sales_Data!$AE$2:$AE$3520,Sales_Data!$C$2:$C$3520,"&gt;="&amp;Dashboard!$C$5,Sales_Data!$C$2:$C$3520,"&lt;="&amp;Dashboard!$C$6,Sales_Data!$H$2:$H$3520,J$5))</f>
        <v>76</v>
      </c>
      <c r="K7" s="27" t="n">
        <f aca="false">CHOOSE(MATCH($B$3,Lists!$C$2:$C$5,0),SUMIFS(Sales_Data!$O$2:$O$3520,Sales_Data!$C$2:$C$3520,"&gt;="&amp;Dashboard!$C$5,Sales_Data!$C$2:$C$3520,"&lt;="&amp;Dashboard!$C$6,Sales_Data!$H$2:$H$3520,K$5,Sales_Data!$AE$2:$AE$3520,1),SUMIFS(Sales_Data!$M$2:$M$3520,Sales_Data!$C$2:$C$3520,"&gt;="&amp;Dashboard!$C$5,Sales_Data!$C$2:$C$3520,"&lt;="&amp;Dashboard!$C$6,Sales_Data!$H$2:$H$3520,K$5,Sales_Data!$AE$2:$AE$3520,1),SUMIFS(Sales_Data!$N$2:$N$3520,Sales_Data!$C$2:$C$3520,"&gt;="&amp;Dashboard!$C$5,Sales_Data!$C$2:$C$3520,"&lt;="&amp;Dashboard!$C$6,Sales_Data!$H$2:$H$3520,K$5,Sales_Data!$AE$2:$AE$3520,1),SUMIFS(Sales_Data!$AE$2:$AE$3520,Sales_Data!$C$2:$C$3520,"&gt;="&amp;Dashboard!$C$5,Sales_Data!$C$2:$C$3520,"&lt;="&amp;Dashboard!$C$6,Sales_Data!$H$2:$H$3520,K$5))</f>
        <v>1</v>
      </c>
      <c r="L7" s="27" t="n">
        <f aca="false">CHOOSE(MATCH($B$3,Lists!$C$2:$C$5,0),SUMIFS(Sales_Data!$O$2:$O$3520,Sales_Data!$C$2:$C$3520,"&gt;="&amp;Dashboard!$C$5,Sales_Data!$C$2:$C$3520,"&lt;="&amp;Dashboard!$C$6,Sales_Data!$H$2:$H$3520,L$5,Sales_Data!$AE$2:$AE$3520,1),SUMIFS(Sales_Data!$M$2:$M$3520,Sales_Data!$C$2:$C$3520,"&gt;="&amp;Dashboard!$C$5,Sales_Data!$C$2:$C$3520,"&lt;="&amp;Dashboard!$C$6,Sales_Data!$H$2:$H$3520,L$5,Sales_Data!$AE$2:$AE$3520,1),SUMIFS(Sales_Data!$N$2:$N$3520,Sales_Data!$C$2:$C$3520,"&gt;="&amp;Dashboard!$C$5,Sales_Data!$C$2:$C$3520,"&lt;="&amp;Dashboard!$C$6,Sales_Data!$H$2:$H$3520,L$5,Sales_Data!$AE$2:$AE$3520,1),SUMIFS(Sales_Data!$AE$2:$AE$3520,Sales_Data!$C$2:$C$3520,"&gt;="&amp;Dashboard!$C$5,Sales_Data!$C$2:$C$3520,"&lt;="&amp;Dashboard!$C$6,Sales_Data!$H$2:$H$3520,L$5))</f>
        <v>54</v>
      </c>
      <c r="M7" s="27" t="n">
        <f aca="false">CHOOSE(MATCH($B$3,Lists!$C$2:$C$5,0),SUMIFS(Sales_Data!$O$2:$O$3520,Sales_Data!$C$2:$C$3520,"&gt;="&amp;Dashboard!$C$5,Sales_Data!$C$2:$C$3520,"&lt;="&amp;Dashboard!$C$6,Sales_Data!$H$2:$H$3520,M$5,Sales_Data!$AE$2:$AE$3520,1),SUMIFS(Sales_Data!$M$2:$M$3520,Sales_Data!$C$2:$C$3520,"&gt;="&amp;Dashboard!$C$5,Sales_Data!$C$2:$C$3520,"&lt;="&amp;Dashboard!$C$6,Sales_Data!$H$2:$H$3520,M$5,Sales_Data!$AE$2:$AE$3520,1),SUMIFS(Sales_Data!$N$2:$N$3520,Sales_Data!$C$2:$C$3520,"&gt;="&amp;Dashboard!$C$5,Sales_Data!$C$2:$C$3520,"&lt;="&amp;Dashboard!$C$6,Sales_Data!$H$2:$H$3520,M$5,Sales_Data!$AE$2:$AE$3520,1),SUMIFS(Sales_Data!$AE$2:$AE$3520,Sales_Data!$C$2:$C$3520,"&gt;="&amp;Dashboard!$C$5,Sales_Data!$C$2:$C$3520,"&lt;="&amp;Dashboard!$C$6,Sales_Data!$H$2:$H$3520,M$5))</f>
        <v>85</v>
      </c>
      <c r="N7" s="27" t="n">
        <f aca="false">CHOOSE(MATCH($B$3,Lists!$C$2:$C$5,0),SUMIFS(Sales_Data!$O$2:$O$3520,Sales_Data!$C$2:$C$3520,"&gt;="&amp;Dashboard!$C$5,Sales_Data!$C$2:$C$3520,"&lt;="&amp;Dashboard!$C$6,Sales_Data!$H$2:$H$3520,N$5,Sales_Data!$AE$2:$AE$3520,1),SUMIFS(Sales_Data!$M$2:$M$3520,Sales_Data!$C$2:$C$3520,"&gt;="&amp;Dashboard!$C$5,Sales_Data!$C$2:$C$3520,"&lt;="&amp;Dashboard!$C$6,Sales_Data!$H$2:$H$3520,N$5,Sales_Data!$AE$2:$AE$3520,1),SUMIFS(Sales_Data!$N$2:$N$3520,Sales_Data!$C$2:$C$3520,"&gt;="&amp;Dashboard!$C$5,Sales_Data!$C$2:$C$3520,"&lt;="&amp;Dashboard!$C$6,Sales_Data!$H$2:$H$3520,N$5,Sales_Data!$AE$2:$AE$3520,1),SUMIFS(Sales_Data!$AE$2:$AE$3520,Sales_Data!$C$2:$C$3520,"&gt;="&amp;Dashboard!$C$5,Sales_Data!$C$2:$C$3520,"&lt;="&amp;Dashboard!$C$6,Sales_Data!$H$2:$H$3520,N$5))</f>
        <v>59</v>
      </c>
      <c r="O7" s="27" t="n">
        <f aca="false">CHOOSE(MATCH($B$3,Lists!$C$2:$C$5,0),SUMIFS(Sales_Data!$O$2:$O$3520,Sales_Data!$C$2:$C$3520,"&gt;="&amp;Dashboard!$C$5,Sales_Data!$C$2:$C$3520,"&lt;="&amp;Dashboard!$C$6,Sales_Data!$H$2:$H$3520,O$5,Sales_Data!$AE$2:$AE$3520,1),SUMIFS(Sales_Data!$M$2:$M$3520,Sales_Data!$C$2:$C$3520,"&gt;="&amp;Dashboard!$C$5,Sales_Data!$C$2:$C$3520,"&lt;="&amp;Dashboard!$C$6,Sales_Data!$H$2:$H$3520,O$5,Sales_Data!$AE$2:$AE$3520,1),SUMIFS(Sales_Data!$N$2:$N$3520,Sales_Data!$C$2:$C$3520,"&gt;="&amp;Dashboard!$C$5,Sales_Data!$C$2:$C$3520,"&lt;="&amp;Dashboard!$C$6,Sales_Data!$H$2:$H$3520,O$5,Sales_Data!$AE$2:$AE$3520,1),SUMIFS(Sales_Data!$AE$2:$AE$3520,Sales_Data!$C$2:$C$3520,"&gt;="&amp;Dashboard!$C$5,Sales_Data!$C$2:$C$3520,"&lt;="&amp;Dashboard!$C$6,Sales_Data!$H$2:$H$3520,O$5))</f>
        <v>0</v>
      </c>
      <c r="P7" s="27" t="n">
        <f aca="false">CHOOSE(MATCH($B$3,Lists!$C$2:$C$5,0),SUMIFS(Sales_Data!$O$2:$O$3520,Sales_Data!$C$2:$C$3520,"&gt;="&amp;Dashboard!$C$5,Sales_Data!$C$2:$C$3520,"&lt;="&amp;Dashboard!$C$6,Sales_Data!$AE$2:$AE$3520,1),SUMIFS(Sales_Data!$M$2:$M$3520,Sales_Data!$C$2:$C$3520,"&gt;="&amp;Dashboard!$C$5,Sales_Data!$C$2:$C$3520,"&lt;="&amp;Dashboard!$C$6,Sales_Data!$AE$2:$AE$3520,1),SUMIFS(Sales_Data!$N$2:$N$3520,Sales_Data!$C$2:$C$3520,"&gt;="&amp;Dashboard!$C$5,Sales_Data!$C$2:$C$3520,"&lt;="&amp;Dashboard!$C$6,Sales_Data!$AE$2:$AE$3520,1),SUMIFS(Sales_Data!$AE$2:$AE$3520,Sales_Data!$C$2:$C$3520,"&gt;="&amp;Dashboard!$C$5,Sales_Data!$C$2:$C$3520,"&lt;="&amp;Dashboard!$C$6))</f>
        <v>565</v>
      </c>
      <c r="Q7" s="27" t="n">
        <f aca="false">CHOOSE(MATCH($B$3,Lists!$C$2:$C$5,0),SUMIFS(Sales_Data!$O$2:$O$3520,Sales_Data!$C$2:$C$3520,"&gt;="&amp;Dashboard!$C$5,Sales_Data!$C$2:$C$3520,"&lt;="&amp;Dashboard!$C$6,Sales_Data!$H$2:$H$3520,"Not in Roster",Sales_Data!$AE$2:$AE$3520,1),SUMIFS(Sales_Data!$M$2:$M$3520,Sales_Data!$C$2:$C$3520,"&gt;="&amp;Dashboard!$C$5,Sales_Data!$C$2:$C$3520,"&lt;="&amp;Dashboard!$C$6,Sales_Data!$H$2:$H$3520,"Not in Roster",Sales_Data!$AE$2:$AE$3520,1),SUMIFS(Sales_Data!$N$2:$N$3520,Sales_Data!$C$2:$C$3520,"&gt;="&amp;Dashboard!$C$5,Sales_Data!$C$2:$C$3520,"&lt;="&amp;Dashboard!$C$6,Sales_Data!$H$2:$H$3520,"Not in Roster",Sales_Data!$AE$2:$AE$3520,1),SUMIFS(Sales_Data!$AE$2:$AE$3520,Sales_Data!$C$2:$C$3520,"&gt;="&amp;Dashboard!$C$5,Sales_Data!$C$2:$C$3520,"&lt;="&amp;Dashboard!$C$6,Sales_Data!$H$2:$H$3520,"Not in Roster"))</f>
        <v>31</v>
      </c>
      <c r="R7" s="3"/>
      <c r="S7" s="3"/>
      <c r="T7" s="3"/>
      <c r="U7" s="3"/>
      <c r="V7" s="3"/>
      <c r="W7" s="3"/>
      <c r="X7" s="3"/>
      <c r="Y7" s="3"/>
      <c r="Z7" s="3"/>
      <c r="AA7" s="3"/>
      <c r="AB7" s="3"/>
      <c r="AC7" s="3"/>
      <c r="AD7" s="3"/>
      <c r="AE7" s="3"/>
      <c r="AF7" s="3"/>
      <c r="AG7" s="3"/>
      <c r="AH7" s="3"/>
    </row>
    <row r="8" customFormat="false" ht="15" hidden="false" customHeight="false" outlineLevel="0" collapsed="false">
      <c r="A8" s="68" t="s">
        <v>69</v>
      </c>
      <c r="B8" s="30" t="n">
        <f aca="false">IFERROR(B7/Dashboard!$C$10,0)</f>
        <v>10.7142857142857</v>
      </c>
      <c r="C8" s="30" t="n">
        <f aca="false">IFERROR(C7/Dashboard!$C$10,0)</f>
        <v>6</v>
      </c>
      <c r="D8" s="30" t="n">
        <f aca="false">IFERROR(D7/Dashboard!$C$10,0)</f>
        <v>3.57142857142857</v>
      </c>
      <c r="E8" s="30" t="n">
        <f aca="false">IFERROR(E7/Dashboard!$C$10,0)</f>
        <v>2.28571428571429</v>
      </c>
      <c r="F8" s="30" t="n">
        <f aca="false">IFERROR(F7/Dashboard!$C$10,0)</f>
        <v>3.57142857142857</v>
      </c>
      <c r="G8" s="30" t="n">
        <f aca="false">IFERROR(G7/Dashboard!$C$10,0)</f>
        <v>6.71428571428571</v>
      </c>
      <c r="H8" s="30" t="n">
        <f aca="false">IFERROR(H7/Dashboard!$C$10,0)</f>
        <v>2.57142857142857</v>
      </c>
      <c r="I8" s="30" t="n">
        <f aca="false">IFERROR(I7/Dashboard!$C$10,0)</f>
        <v>1.57142857142857</v>
      </c>
      <c r="J8" s="30" t="n">
        <f aca="false">IFERROR(J7/Dashboard!$C$10,0)</f>
        <v>10.8571428571429</v>
      </c>
      <c r="K8" s="30" t="n">
        <f aca="false">IFERROR(K7/Dashboard!$C$10,0)</f>
        <v>0.142857142857143</v>
      </c>
      <c r="L8" s="30" t="n">
        <f aca="false">IFERROR(L7/Dashboard!$C$10,0)</f>
        <v>7.71428571428571</v>
      </c>
      <c r="M8" s="30" t="n">
        <f aca="false">IFERROR(M7/Dashboard!$C$10,0)</f>
        <v>12.1428571428571</v>
      </c>
      <c r="N8" s="30" t="n">
        <f aca="false">IFERROR(N7/Dashboard!$C$10,0)</f>
        <v>8.42857142857143</v>
      </c>
      <c r="O8" s="30" t="n">
        <f aca="false">IFERROR(O7/Dashboard!$C$10,0)</f>
        <v>0</v>
      </c>
      <c r="P8" s="30" t="n">
        <f aca="false">IFERROR(P7/Dashboard!$C$10,0)</f>
        <v>80.7142857142857</v>
      </c>
      <c r="Q8" s="30" t="n">
        <f aca="false">IFERROR(Q7/Dashboard!$C$10,0)</f>
        <v>4.42857142857143</v>
      </c>
      <c r="R8" s="3"/>
      <c r="S8" s="3"/>
      <c r="T8" s="3"/>
      <c r="U8" s="3"/>
      <c r="V8" s="3"/>
      <c r="W8" s="3"/>
      <c r="X8" s="3"/>
      <c r="Y8" s="3"/>
      <c r="Z8" s="3"/>
      <c r="AA8" s="3"/>
      <c r="AB8" s="3"/>
      <c r="AC8" s="3"/>
      <c r="AD8" s="3"/>
      <c r="AE8" s="3"/>
      <c r="AF8" s="3"/>
      <c r="AG8" s="3"/>
      <c r="AH8" s="3"/>
    </row>
    <row r="9" customFormat="false" ht="15" hidden="false" customHeight="false" outlineLevel="0" collapsed="false">
      <c r="A9" s="68" t="s">
        <v>6915</v>
      </c>
      <c r="B9" s="26" t="n">
        <f aca="false">CHOOSE(MATCH($B$3,Lists!$C$2:$C$5,0),SUMIFS(Sales_Data!$O$2:$O$3520,Sales_Data!$C$2:$C$3520,Dashboard!$C$6,Sales_Data!$H$2:$H$3520,B$5,Sales_Data!$AE$2:$AE$3520,1),SUMIFS(Sales_Data!$M$2:$M$3520,Sales_Data!$C$2:$C$3520,Dashboard!$C$6,Sales_Data!$H$2:$H$3520,B$5,Sales_Data!$AE$2:$AE$3520,1),SUMIFS(Sales_Data!$N$2:$N$3520,Sales_Data!$C$2:$C$3520,Dashboard!$C$6,Sales_Data!$H$2:$H$3520,B$5,Sales_Data!$AE$2:$AE$3520,1),SUMIFS(Sales_Data!$AE$2:$AE$3520,Sales_Data!$C$2:$C$3520,Dashboard!$C$6,Sales_Data!$H$2:$H$3520,B$5))</f>
        <v>15</v>
      </c>
      <c r="C9" s="26" t="n">
        <f aca="false">CHOOSE(MATCH($B$3,Lists!$C$2:$C$5,0),SUMIFS(Sales_Data!$O$2:$O$3520,Sales_Data!$C$2:$C$3520,Dashboard!$C$6,Sales_Data!$H$2:$H$3520,C$5,Sales_Data!$AE$2:$AE$3520,1),SUMIFS(Sales_Data!$M$2:$M$3520,Sales_Data!$C$2:$C$3520,Dashboard!$C$6,Sales_Data!$H$2:$H$3520,C$5,Sales_Data!$AE$2:$AE$3520,1),SUMIFS(Sales_Data!$N$2:$N$3520,Sales_Data!$C$2:$C$3520,Dashboard!$C$6,Sales_Data!$H$2:$H$3520,C$5,Sales_Data!$AE$2:$AE$3520,1),SUMIFS(Sales_Data!$AE$2:$AE$3520,Sales_Data!$C$2:$C$3520,Dashboard!$C$6,Sales_Data!$H$2:$H$3520,C$5))</f>
        <v>13</v>
      </c>
      <c r="D9" s="26" t="n">
        <f aca="false">CHOOSE(MATCH($B$3,Lists!$C$2:$C$5,0),SUMIFS(Sales_Data!$O$2:$O$3520,Sales_Data!$C$2:$C$3520,Dashboard!$C$6,Sales_Data!$H$2:$H$3520,D$5,Sales_Data!$AE$2:$AE$3520,1),SUMIFS(Sales_Data!$M$2:$M$3520,Sales_Data!$C$2:$C$3520,Dashboard!$C$6,Sales_Data!$H$2:$H$3520,D$5,Sales_Data!$AE$2:$AE$3520,1),SUMIFS(Sales_Data!$N$2:$N$3520,Sales_Data!$C$2:$C$3520,Dashboard!$C$6,Sales_Data!$H$2:$H$3520,D$5,Sales_Data!$AE$2:$AE$3520,1),SUMIFS(Sales_Data!$AE$2:$AE$3520,Sales_Data!$C$2:$C$3520,Dashboard!$C$6,Sales_Data!$H$2:$H$3520,D$5))</f>
        <v>4</v>
      </c>
      <c r="E9" s="26" t="n">
        <f aca="false">CHOOSE(MATCH($B$3,Lists!$C$2:$C$5,0),SUMIFS(Sales_Data!$O$2:$O$3520,Sales_Data!$C$2:$C$3520,Dashboard!$C$6,Sales_Data!$H$2:$H$3520,E$5,Sales_Data!$AE$2:$AE$3520,1),SUMIFS(Sales_Data!$M$2:$M$3520,Sales_Data!$C$2:$C$3520,Dashboard!$C$6,Sales_Data!$H$2:$H$3520,E$5,Sales_Data!$AE$2:$AE$3520,1),SUMIFS(Sales_Data!$N$2:$N$3520,Sales_Data!$C$2:$C$3520,Dashboard!$C$6,Sales_Data!$H$2:$H$3520,E$5,Sales_Data!$AE$2:$AE$3520,1),SUMIFS(Sales_Data!$AE$2:$AE$3520,Sales_Data!$C$2:$C$3520,Dashboard!$C$6,Sales_Data!$H$2:$H$3520,E$5))</f>
        <v>5</v>
      </c>
      <c r="F9" s="26" t="n">
        <f aca="false">CHOOSE(MATCH($B$3,Lists!$C$2:$C$5,0),SUMIFS(Sales_Data!$O$2:$O$3520,Sales_Data!$C$2:$C$3520,Dashboard!$C$6,Sales_Data!$H$2:$H$3520,F$5,Sales_Data!$AE$2:$AE$3520,1),SUMIFS(Sales_Data!$M$2:$M$3520,Sales_Data!$C$2:$C$3520,Dashboard!$C$6,Sales_Data!$H$2:$H$3520,F$5,Sales_Data!$AE$2:$AE$3520,1),SUMIFS(Sales_Data!$N$2:$N$3520,Sales_Data!$C$2:$C$3520,Dashboard!$C$6,Sales_Data!$H$2:$H$3520,F$5,Sales_Data!$AE$2:$AE$3520,1),SUMIFS(Sales_Data!$AE$2:$AE$3520,Sales_Data!$C$2:$C$3520,Dashboard!$C$6,Sales_Data!$H$2:$H$3520,F$5))</f>
        <v>6</v>
      </c>
      <c r="G9" s="26" t="n">
        <f aca="false">CHOOSE(MATCH($B$3,Lists!$C$2:$C$5,0),SUMIFS(Sales_Data!$O$2:$O$3520,Sales_Data!$C$2:$C$3520,Dashboard!$C$6,Sales_Data!$H$2:$H$3520,G$5,Sales_Data!$AE$2:$AE$3520,1),SUMIFS(Sales_Data!$M$2:$M$3520,Sales_Data!$C$2:$C$3520,Dashboard!$C$6,Sales_Data!$H$2:$H$3520,G$5,Sales_Data!$AE$2:$AE$3520,1),SUMIFS(Sales_Data!$N$2:$N$3520,Sales_Data!$C$2:$C$3520,Dashboard!$C$6,Sales_Data!$H$2:$H$3520,G$5,Sales_Data!$AE$2:$AE$3520,1),SUMIFS(Sales_Data!$AE$2:$AE$3520,Sales_Data!$C$2:$C$3520,Dashboard!$C$6,Sales_Data!$H$2:$H$3520,G$5))</f>
        <v>7</v>
      </c>
      <c r="H9" s="26" t="n">
        <f aca="false">CHOOSE(MATCH($B$3,Lists!$C$2:$C$5,0),SUMIFS(Sales_Data!$O$2:$O$3520,Sales_Data!$C$2:$C$3520,Dashboard!$C$6,Sales_Data!$H$2:$H$3520,H$5,Sales_Data!$AE$2:$AE$3520,1),SUMIFS(Sales_Data!$M$2:$M$3520,Sales_Data!$C$2:$C$3520,Dashboard!$C$6,Sales_Data!$H$2:$H$3520,H$5,Sales_Data!$AE$2:$AE$3520,1),SUMIFS(Sales_Data!$N$2:$N$3520,Sales_Data!$C$2:$C$3520,Dashboard!$C$6,Sales_Data!$H$2:$H$3520,H$5,Sales_Data!$AE$2:$AE$3520,1),SUMIFS(Sales_Data!$AE$2:$AE$3520,Sales_Data!$C$2:$C$3520,Dashboard!$C$6,Sales_Data!$H$2:$H$3520,H$5))</f>
        <v>3</v>
      </c>
      <c r="I9" s="26" t="n">
        <f aca="false">CHOOSE(MATCH($B$3,Lists!$C$2:$C$5,0),SUMIFS(Sales_Data!$O$2:$O$3520,Sales_Data!$C$2:$C$3520,Dashboard!$C$6,Sales_Data!$H$2:$H$3520,I$5,Sales_Data!$AE$2:$AE$3520,1),SUMIFS(Sales_Data!$M$2:$M$3520,Sales_Data!$C$2:$C$3520,Dashboard!$C$6,Sales_Data!$H$2:$H$3520,I$5,Sales_Data!$AE$2:$AE$3520,1),SUMIFS(Sales_Data!$N$2:$N$3520,Sales_Data!$C$2:$C$3520,Dashboard!$C$6,Sales_Data!$H$2:$H$3520,I$5,Sales_Data!$AE$2:$AE$3520,1),SUMIFS(Sales_Data!$AE$2:$AE$3520,Sales_Data!$C$2:$C$3520,Dashboard!$C$6,Sales_Data!$H$2:$H$3520,I$5))</f>
        <v>5</v>
      </c>
      <c r="J9" s="26" t="n">
        <f aca="false">CHOOSE(MATCH($B$3,Lists!$C$2:$C$5,0),SUMIFS(Sales_Data!$O$2:$O$3520,Sales_Data!$C$2:$C$3520,Dashboard!$C$6,Sales_Data!$H$2:$H$3520,J$5,Sales_Data!$AE$2:$AE$3520,1),SUMIFS(Sales_Data!$M$2:$M$3520,Sales_Data!$C$2:$C$3520,Dashboard!$C$6,Sales_Data!$H$2:$H$3520,J$5,Sales_Data!$AE$2:$AE$3520,1),SUMIFS(Sales_Data!$N$2:$N$3520,Sales_Data!$C$2:$C$3520,Dashboard!$C$6,Sales_Data!$H$2:$H$3520,J$5,Sales_Data!$AE$2:$AE$3520,1),SUMIFS(Sales_Data!$AE$2:$AE$3520,Sales_Data!$C$2:$C$3520,Dashboard!$C$6,Sales_Data!$H$2:$H$3520,J$5))</f>
        <v>25</v>
      </c>
      <c r="K9" s="26" t="n">
        <f aca="false">CHOOSE(MATCH($B$3,Lists!$C$2:$C$5,0),SUMIFS(Sales_Data!$O$2:$O$3520,Sales_Data!$C$2:$C$3520,Dashboard!$C$6,Sales_Data!$H$2:$H$3520,K$5,Sales_Data!$AE$2:$AE$3520,1),SUMIFS(Sales_Data!$M$2:$M$3520,Sales_Data!$C$2:$C$3520,Dashboard!$C$6,Sales_Data!$H$2:$H$3520,K$5,Sales_Data!$AE$2:$AE$3520,1),SUMIFS(Sales_Data!$N$2:$N$3520,Sales_Data!$C$2:$C$3520,Dashboard!$C$6,Sales_Data!$H$2:$H$3520,K$5,Sales_Data!$AE$2:$AE$3520,1),SUMIFS(Sales_Data!$AE$2:$AE$3520,Sales_Data!$C$2:$C$3520,Dashboard!$C$6,Sales_Data!$H$2:$H$3520,K$5))</f>
        <v>0</v>
      </c>
      <c r="L9" s="26" t="n">
        <f aca="false">CHOOSE(MATCH($B$3,Lists!$C$2:$C$5,0),SUMIFS(Sales_Data!$O$2:$O$3520,Sales_Data!$C$2:$C$3520,Dashboard!$C$6,Sales_Data!$H$2:$H$3520,L$5,Sales_Data!$AE$2:$AE$3520,1),SUMIFS(Sales_Data!$M$2:$M$3520,Sales_Data!$C$2:$C$3520,Dashboard!$C$6,Sales_Data!$H$2:$H$3520,L$5,Sales_Data!$AE$2:$AE$3520,1),SUMIFS(Sales_Data!$N$2:$N$3520,Sales_Data!$C$2:$C$3520,Dashboard!$C$6,Sales_Data!$H$2:$H$3520,L$5,Sales_Data!$AE$2:$AE$3520,1),SUMIFS(Sales_Data!$AE$2:$AE$3520,Sales_Data!$C$2:$C$3520,Dashboard!$C$6,Sales_Data!$H$2:$H$3520,L$5))</f>
        <v>13</v>
      </c>
      <c r="M9" s="26" t="n">
        <f aca="false">CHOOSE(MATCH($B$3,Lists!$C$2:$C$5,0),SUMIFS(Sales_Data!$O$2:$O$3520,Sales_Data!$C$2:$C$3520,Dashboard!$C$6,Sales_Data!$H$2:$H$3520,M$5,Sales_Data!$AE$2:$AE$3520,1),SUMIFS(Sales_Data!$M$2:$M$3520,Sales_Data!$C$2:$C$3520,Dashboard!$C$6,Sales_Data!$H$2:$H$3520,M$5,Sales_Data!$AE$2:$AE$3520,1),SUMIFS(Sales_Data!$N$2:$N$3520,Sales_Data!$C$2:$C$3520,Dashboard!$C$6,Sales_Data!$H$2:$H$3520,M$5,Sales_Data!$AE$2:$AE$3520,1),SUMIFS(Sales_Data!$AE$2:$AE$3520,Sales_Data!$C$2:$C$3520,Dashboard!$C$6,Sales_Data!$H$2:$H$3520,M$5))</f>
        <v>5</v>
      </c>
      <c r="N9" s="26" t="n">
        <f aca="false">CHOOSE(MATCH($B$3,Lists!$C$2:$C$5,0),SUMIFS(Sales_Data!$O$2:$O$3520,Sales_Data!$C$2:$C$3520,Dashboard!$C$6,Sales_Data!$H$2:$H$3520,N$5,Sales_Data!$AE$2:$AE$3520,1),SUMIFS(Sales_Data!$M$2:$M$3520,Sales_Data!$C$2:$C$3520,Dashboard!$C$6,Sales_Data!$H$2:$H$3520,N$5,Sales_Data!$AE$2:$AE$3520,1),SUMIFS(Sales_Data!$N$2:$N$3520,Sales_Data!$C$2:$C$3520,Dashboard!$C$6,Sales_Data!$H$2:$H$3520,N$5,Sales_Data!$AE$2:$AE$3520,1),SUMIFS(Sales_Data!$AE$2:$AE$3520,Sales_Data!$C$2:$C$3520,Dashboard!$C$6,Sales_Data!$H$2:$H$3520,N$5))</f>
        <v>4</v>
      </c>
      <c r="O9" s="26" t="n">
        <f aca="false">CHOOSE(MATCH($B$3,Lists!$C$2:$C$5,0),SUMIFS(Sales_Data!$O$2:$O$3520,Sales_Data!$C$2:$C$3520,Dashboard!$C$6,Sales_Data!$H$2:$H$3520,O$5,Sales_Data!$AE$2:$AE$3520,1),SUMIFS(Sales_Data!$M$2:$M$3520,Sales_Data!$C$2:$C$3520,Dashboard!$C$6,Sales_Data!$H$2:$H$3520,O$5,Sales_Data!$AE$2:$AE$3520,1),SUMIFS(Sales_Data!$N$2:$N$3520,Sales_Data!$C$2:$C$3520,Dashboard!$C$6,Sales_Data!$H$2:$H$3520,O$5,Sales_Data!$AE$2:$AE$3520,1),SUMIFS(Sales_Data!$AE$2:$AE$3520,Sales_Data!$C$2:$C$3520,Dashboard!$C$6,Sales_Data!$H$2:$H$3520,O$5))</f>
        <v>0</v>
      </c>
      <c r="P9" s="26" t="n">
        <f aca="false">CHOOSE(MATCH($B$3,Lists!$C$2:$C$5,0),SUMIFS(Sales_Data!$O$2:$O$3520,Sales_Data!$C$2:$C$3520,Dashboard!$C$6,Sales_Data!$AE$2:$AE$3520,1),SUMIFS(Sales_Data!$M$2:$M$3520,Sales_Data!$C$2:$C$3520,Dashboard!$C$6,Sales_Data!$AE$2:$AE$3520,1),SUMIFS(Sales_Data!$N$2:$N$3520,Sales_Data!$C$2:$C$3520,Dashboard!$C$6,Sales_Data!$AE$2:$AE$3520,1),SUMIFS(Sales_Data!$AE$2:$AE$3520,Sales_Data!$C$2:$C$3520,Dashboard!$C$6))</f>
        <v>123</v>
      </c>
      <c r="Q9" s="26" t="n">
        <f aca="false">CHOOSE(MATCH($B$3,Lists!$C$2:$C$5,0),SUMIFS(Sales_Data!$O$2:$O$3520,Sales_Data!$C$2:$C$3520,Dashboard!$C$6,Sales_Data!$H$2:$H$3520,"Not in Roster",Sales_Data!$AE$2:$AE$3520,1),SUMIFS(Sales_Data!$M$2:$M$3520,Sales_Data!$C$2:$C$3520,Dashboard!$C$6,Sales_Data!$H$2:$H$3520,"Not in Roster",Sales_Data!$AE$2:$AE$3520,1),SUMIFS(Sales_Data!$N$2:$N$3520,Sales_Data!$C$2:$C$3520,Dashboard!$C$6,Sales_Data!$H$2:$H$3520,"Not in Roster",Sales_Data!$AE$2:$AE$3520,1),SUMIFS(Sales_Data!$AE$2:$AE$3520,Sales_Data!$C$2:$C$3520,Dashboard!$C$6,Sales_Data!$H$2:$H$3520,"Not in Roster"))</f>
        <v>18</v>
      </c>
      <c r="R9" s="3"/>
      <c r="S9" s="3"/>
      <c r="T9" s="3"/>
      <c r="U9" s="3"/>
      <c r="V9" s="3"/>
      <c r="W9" s="3"/>
      <c r="X9" s="3"/>
      <c r="Y9" s="3"/>
      <c r="Z9" s="3"/>
      <c r="AA9" s="3"/>
      <c r="AB9" s="3"/>
      <c r="AC9" s="3"/>
      <c r="AD9" s="3"/>
      <c r="AE9" s="3"/>
      <c r="AF9" s="3"/>
      <c r="AG9" s="3"/>
      <c r="AH9" s="3"/>
    </row>
    <row r="10" customFormat="false" ht="15" hidden="false" customHeight="false" outlineLevel="0" collapsed="false">
      <c r="A10" s="68" t="s">
        <v>6916</v>
      </c>
      <c r="B10" s="26" t="n">
        <f aca="false">CHOOSE(MATCH($B$3,Lists!$C$2:$C$5,0),SUMIFS(Sales_Data!$O$2:$O$3520,Sales_Data!$C$2:$C$3520,Dashboard!$C$6-1,Sales_Data!$H$2:$H$3520,B$5,Sales_Data!$AE$2:$AE$3520,1),SUMIFS(Sales_Data!$M$2:$M$3520,Sales_Data!$C$2:$C$3520,Dashboard!$C$6-1,Sales_Data!$H$2:$H$3520,B$5,Sales_Data!$AE$2:$AE$3520,1),SUMIFS(Sales_Data!$N$2:$N$3520,Sales_Data!$C$2:$C$3520,Dashboard!$C$6-1,Sales_Data!$H$2:$H$3520,B$5,Sales_Data!$AE$2:$AE$3520,1),SUMIFS(Sales_Data!$AE$2:$AE$3520,Sales_Data!$C$2:$C$3520,Dashboard!$C$6-1,Sales_Data!$H$2:$H$3520,B$5))</f>
        <v>16</v>
      </c>
      <c r="C10" s="26" t="n">
        <f aca="false">CHOOSE(MATCH($B$3,Lists!$C$2:$C$5,0),SUMIFS(Sales_Data!$O$2:$O$3520,Sales_Data!$C$2:$C$3520,Dashboard!$C$6-1,Sales_Data!$H$2:$H$3520,C$5,Sales_Data!$AE$2:$AE$3520,1),SUMIFS(Sales_Data!$M$2:$M$3520,Sales_Data!$C$2:$C$3520,Dashboard!$C$6-1,Sales_Data!$H$2:$H$3520,C$5,Sales_Data!$AE$2:$AE$3520,1),SUMIFS(Sales_Data!$N$2:$N$3520,Sales_Data!$C$2:$C$3520,Dashboard!$C$6-1,Sales_Data!$H$2:$H$3520,C$5,Sales_Data!$AE$2:$AE$3520,1),SUMIFS(Sales_Data!$AE$2:$AE$3520,Sales_Data!$C$2:$C$3520,Dashboard!$C$6-1,Sales_Data!$H$2:$H$3520,C$5))</f>
        <v>12</v>
      </c>
      <c r="D10" s="26" t="n">
        <f aca="false">CHOOSE(MATCH($B$3,Lists!$C$2:$C$5,0),SUMIFS(Sales_Data!$O$2:$O$3520,Sales_Data!$C$2:$C$3520,Dashboard!$C$6-1,Sales_Data!$H$2:$H$3520,D$5,Sales_Data!$AE$2:$AE$3520,1),SUMIFS(Sales_Data!$M$2:$M$3520,Sales_Data!$C$2:$C$3520,Dashboard!$C$6-1,Sales_Data!$H$2:$H$3520,D$5,Sales_Data!$AE$2:$AE$3520,1),SUMIFS(Sales_Data!$N$2:$N$3520,Sales_Data!$C$2:$C$3520,Dashboard!$C$6-1,Sales_Data!$H$2:$H$3520,D$5,Sales_Data!$AE$2:$AE$3520,1),SUMIFS(Sales_Data!$AE$2:$AE$3520,Sales_Data!$C$2:$C$3520,Dashboard!$C$6-1,Sales_Data!$H$2:$H$3520,D$5))</f>
        <v>4</v>
      </c>
      <c r="E10" s="26" t="n">
        <f aca="false">CHOOSE(MATCH($B$3,Lists!$C$2:$C$5,0),SUMIFS(Sales_Data!$O$2:$O$3520,Sales_Data!$C$2:$C$3520,Dashboard!$C$6-1,Sales_Data!$H$2:$H$3520,E$5,Sales_Data!$AE$2:$AE$3520,1),SUMIFS(Sales_Data!$M$2:$M$3520,Sales_Data!$C$2:$C$3520,Dashboard!$C$6-1,Sales_Data!$H$2:$H$3520,E$5,Sales_Data!$AE$2:$AE$3520,1),SUMIFS(Sales_Data!$N$2:$N$3520,Sales_Data!$C$2:$C$3520,Dashboard!$C$6-1,Sales_Data!$H$2:$H$3520,E$5,Sales_Data!$AE$2:$AE$3520,1),SUMIFS(Sales_Data!$AE$2:$AE$3520,Sales_Data!$C$2:$C$3520,Dashboard!$C$6-1,Sales_Data!$H$2:$H$3520,E$5))</f>
        <v>6</v>
      </c>
      <c r="F10" s="26" t="n">
        <f aca="false">CHOOSE(MATCH($B$3,Lists!$C$2:$C$5,0),SUMIFS(Sales_Data!$O$2:$O$3520,Sales_Data!$C$2:$C$3520,Dashboard!$C$6-1,Sales_Data!$H$2:$H$3520,F$5,Sales_Data!$AE$2:$AE$3520,1),SUMIFS(Sales_Data!$M$2:$M$3520,Sales_Data!$C$2:$C$3520,Dashboard!$C$6-1,Sales_Data!$H$2:$H$3520,F$5,Sales_Data!$AE$2:$AE$3520,1),SUMIFS(Sales_Data!$N$2:$N$3520,Sales_Data!$C$2:$C$3520,Dashboard!$C$6-1,Sales_Data!$H$2:$H$3520,F$5,Sales_Data!$AE$2:$AE$3520,1),SUMIFS(Sales_Data!$AE$2:$AE$3520,Sales_Data!$C$2:$C$3520,Dashboard!$C$6-1,Sales_Data!$H$2:$H$3520,F$5))</f>
        <v>1</v>
      </c>
      <c r="G10" s="26" t="n">
        <f aca="false">CHOOSE(MATCH($B$3,Lists!$C$2:$C$5,0),SUMIFS(Sales_Data!$O$2:$O$3520,Sales_Data!$C$2:$C$3520,Dashboard!$C$6-1,Sales_Data!$H$2:$H$3520,G$5,Sales_Data!$AE$2:$AE$3520,1),SUMIFS(Sales_Data!$M$2:$M$3520,Sales_Data!$C$2:$C$3520,Dashboard!$C$6-1,Sales_Data!$H$2:$H$3520,G$5,Sales_Data!$AE$2:$AE$3520,1),SUMIFS(Sales_Data!$N$2:$N$3520,Sales_Data!$C$2:$C$3520,Dashboard!$C$6-1,Sales_Data!$H$2:$H$3520,G$5,Sales_Data!$AE$2:$AE$3520,1),SUMIFS(Sales_Data!$AE$2:$AE$3520,Sales_Data!$C$2:$C$3520,Dashboard!$C$6-1,Sales_Data!$H$2:$H$3520,G$5))</f>
        <v>12</v>
      </c>
      <c r="H10" s="26" t="n">
        <f aca="false">CHOOSE(MATCH($B$3,Lists!$C$2:$C$5,0),SUMIFS(Sales_Data!$O$2:$O$3520,Sales_Data!$C$2:$C$3520,Dashboard!$C$6-1,Sales_Data!$H$2:$H$3520,H$5,Sales_Data!$AE$2:$AE$3520,1),SUMIFS(Sales_Data!$M$2:$M$3520,Sales_Data!$C$2:$C$3520,Dashboard!$C$6-1,Sales_Data!$H$2:$H$3520,H$5,Sales_Data!$AE$2:$AE$3520,1),SUMIFS(Sales_Data!$N$2:$N$3520,Sales_Data!$C$2:$C$3520,Dashboard!$C$6-1,Sales_Data!$H$2:$H$3520,H$5,Sales_Data!$AE$2:$AE$3520,1),SUMIFS(Sales_Data!$AE$2:$AE$3520,Sales_Data!$C$2:$C$3520,Dashboard!$C$6-1,Sales_Data!$H$2:$H$3520,H$5))</f>
        <v>4</v>
      </c>
      <c r="I10" s="26" t="n">
        <f aca="false">CHOOSE(MATCH($B$3,Lists!$C$2:$C$5,0),SUMIFS(Sales_Data!$O$2:$O$3520,Sales_Data!$C$2:$C$3520,Dashboard!$C$6-1,Sales_Data!$H$2:$H$3520,I$5,Sales_Data!$AE$2:$AE$3520,1),SUMIFS(Sales_Data!$M$2:$M$3520,Sales_Data!$C$2:$C$3520,Dashboard!$C$6-1,Sales_Data!$H$2:$H$3520,I$5,Sales_Data!$AE$2:$AE$3520,1),SUMIFS(Sales_Data!$N$2:$N$3520,Sales_Data!$C$2:$C$3520,Dashboard!$C$6-1,Sales_Data!$H$2:$H$3520,I$5,Sales_Data!$AE$2:$AE$3520,1),SUMIFS(Sales_Data!$AE$2:$AE$3520,Sales_Data!$C$2:$C$3520,Dashboard!$C$6-1,Sales_Data!$H$2:$H$3520,I$5))</f>
        <v>6</v>
      </c>
      <c r="J10" s="26" t="n">
        <f aca="false">CHOOSE(MATCH($B$3,Lists!$C$2:$C$5,0),SUMIFS(Sales_Data!$O$2:$O$3520,Sales_Data!$C$2:$C$3520,Dashboard!$C$6-1,Sales_Data!$H$2:$H$3520,J$5,Sales_Data!$AE$2:$AE$3520,1),SUMIFS(Sales_Data!$M$2:$M$3520,Sales_Data!$C$2:$C$3520,Dashboard!$C$6-1,Sales_Data!$H$2:$H$3520,J$5,Sales_Data!$AE$2:$AE$3520,1),SUMIFS(Sales_Data!$N$2:$N$3520,Sales_Data!$C$2:$C$3520,Dashboard!$C$6-1,Sales_Data!$H$2:$H$3520,J$5,Sales_Data!$AE$2:$AE$3520,1),SUMIFS(Sales_Data!$AE$2:$AE$3520,Sales_Data!$C$2:$C$3520,Dashboard!$C$6-1,Sales_Data!$H$2:$H$3520,J$5))</f>
        <v>23</v>
      </c>
      <c r="K10" s="26" t="n">
        <f aca="false">CHOOSE(MATCH($B$3,Lists!$C$2:$C$5,0),SUMIFS(Sales_Data!$O$2:$O$3520,Sales_Data!$C$2:$C$3520,Dashboard!$C$6-1,Sales_Data!$H$2:$H$3520,K$5,Sales_Data!$AE$2:$AE$3520,1),SUMIFS(Sales_Data!$M$2:$M$3520,Sales_Data!$C$2:$C$3520,Dashboard!$C$6-1,Sales_Data!$H$2:$H$3520,K$5,Sales_Data!$AE$2:$AE$3520,1),SUMIFS(Sales_Data!$N$2:$N$3520,Sales_Data!$C$2:$C$3520,Dashboard!$C$6-1,Sales_Data!$H$2:$H$3520,K$5,Sales_Data!$AE$2:$AE$3520,1),SUMIFS(Sales_Data!$AE$2:$AE$3520,Sales_Data!$C$2:$C$3520,Dashboard!$C$6-1,Sales_Data!$H$2:$H$3520,K$5))</f>
        <v>0</v>
      </c>
      <c r="L10" s="26" t="n">
        <f aca="false">CHOOSE(MATCH($B$3,Lists!$C$2:$C$5,0),SUMIFS(Sales_Data!$O$2:$O$3520,Sales_Data!$C$2:$C$3520,Dashboard!$C$6-1,Sales_Data!$H$2:$H$3520,L$5,Sales_Data!$AE$2:$AE$3520,1),SUMIFS(Sales_Data!$M$2:$M$3520,Sales_Data!$C$2:$C$3520,Dashboard!$C$6-1,Sales_Data!$H$2:$H$3520,L$5,Sales_Data!$AE$2:$AE$3520,1),SUMIFS(Sales_Data!$N$2:$N$3520,Sales_Data!$C$2:$C$3520,Dashboard!$C$6-1,Sales_Data!$H$2:$H$3520,L$5,Sales_Data!$AE$2:$AE$3520,1),SUMIFS(Sales_Data!$AE$2:$AE$3520,Sales_Data!$C$2:$C$3520,Dashboard!$C$6-1,Sales_Data!$H$2:$H$3520,L$5))</f>
        <v>13</v>
      </c>
      <c r="M10" s="26" t="n">
        <f aca="false">CHOOSE(MATCH($B$3,Lists!$C$2:$C$5,0),SUMIFS(Sales_Data!$O$2:$O$3520,Sales_Data!$C$2:$C$3520,Dashboard!$C$6-1,Sales_Data!$H$2:$H$3520,M$5,Sales_Data!$AE$2:$AE$3520,1),SUMIFS(Sales_Data!$M$2:$M$3520,Sales_Data!$C$2:$C$3520,Dashboard!$C$6-1,Sales_Data!$H$2:$H$3520,M$5,Sales_Data!$AE$2:$AE$3520,1),SUMIFS(Sales_Data!$N$2:$N$3520,Sales_Data!$C$2:$C$3520,Dashboard!$C$6-1,Sales_Data!$H$2:$H$3520,M$5,Sales_Data!$AE$2:$AE$3520,1),SUMIFS(Sales_Data!$AE$2:$AE$3520,Sales_Data!$C$2:$C$3520,Dashboard!$C$6-1,Sales_Data!$H$2:$H$3520,M$5))</f>
        <v>12</v>
      </c>
      <c r="N10" s="26" t="n">
        <f aca="false">CHOOSE(MATCH($B$3,Lists!$C$2:$C$5,0),SUMIFS(Sales_Data!$O$2:$O$3520,Sales_Data!$C$2:$C$3520,Dashboard!$C$6-1,Sales_Data!$H$2:$H$3520,N$5,Sales_Data!$AE$2:$AE$3520,1),SUMIFS(Sales_Data!$M$2:$M$3520,Sales_Data!$C$2:$C$3520,Dashboard!$C$6-1,Sales_Data!$H$2:$H$3520,N$5,Sales_Data!$AE$2:$AE$3520,1),SUMIFS(Sales_Data!$N$2:$N$3520,Sales_Data!$C$2:$C$3520,Dashboard!$C$6-1,Sales_Data!$H$2:$H$3520,N$5,Sales_Data!$AE$2:$AE$3520,1),SUMIFS(Sales_Data!$AE$2:$AE$3520,Sales_Data!$C$2:$C$3520,Dashboard!$C$6-1,Sales_Data!$H$2:$H$3520,N$5))</f>
        <v>10</v>
      </c>
      <c r="O10" s="26" t="n">
        <f aca="false">CHOOSE(MATCH($B$3,Lists!$C$2:$C$5,0),SUMIFS(Sales_Data!$O$2:$O$3520,Sales_Data!$C$2:$C$3520,Dashboard!$C$6-1,Sales_Data!$H$2:$H$3520,O$5,Sales_Data!$AE$2:$AE$3520,1),SUMIFS(Sales_Data!$M$2:$M$3520,Sales_Data!$C$2:$C$3520,Dashboard!$C$6-1,Sales_Data!$H$2:$H$3520,O$5,Sales_Data!$AE$2:$AE$3520,1),SUMIFS(Sales_Data!$N$2:$N$3520,Sales_Data!$C$2:$C$3520,Dashboard!$C$6-1,Sales_Data!$H$2:$H$3520,O$5,Sales_Data!$AE$2:$AE$3520,1),SUMIFS(Sales_Data!$AE$2:$AE$3520,Sales_Data!$C$2:$C$3520,Dashboard!$C$6-1,Sales_Data!$H$2:$H$3520,O$5))</f>
        <v>0</v>
      </c>
      <c r="P10" s="26" t="n">
        <f aca="false">CHOOSE(MATCH($B$3,Lists!$C$2:$C$5,0),SUMIFS(Sales_Data!$O$2:$O$3520,Sales_Data!$C$2:$C$3520,Dashboard!$C$6-1,Sales_Data!$AE$2:$AE$3520,1),SUMIFS(Sales_Data!$M$2:$M$3520,Sales_Data!$C$2:$C$3520,Dashboard!$C$6-1,Sales_Data!$AE$2:$AE$3520,1),SUMIFS(Sales_Data!$N$2:$N$3520,Sales_Data!$C$2:$C$3520,Dashboard!$C$6-1,Sales_Data!$AE$2:$AE$3520,1),SUMIFS(Sales_Data!$AE$2:$AE$3520,Sales_Data!$C$2:$C$3520,Dashboard!$C$6-1))</f>
        <v>125</v>
      </c>
      <c r="Q10" s="26" t="n">
        <f aca="false">CHOOSE(MATCH($B$3,Lists!$C$2:$C$5,0),SUMIFS(Sales_Data!$O$2:$O$3520,Sales_Data!$C$2:$C$3520,Dashboard!$C$6-1,Sales_Data!$H$2:$H$3520,"Not in Roster",Sales_Data!$AE$2:$AE$3520,1),SUMIFS(Sales_Data!$M$2:$M$3520,Sales_Data!$C$2:$C$3520,Dashboard!$C$6-1,Sales_Data!$H$2:$H$3520,"Not in Roster",Sales_Data!$AE$2:$AE$3520,1),SUMIFS(Sales_Data!$N$2:$N$3520,Sales_Data!$C$2:$C$3520,Dashboard!$C$6-1,Sales_Data!$H$2:$H$3520,"Not in Roster",Sales_Data!$AE$2:$AE$3520,1),SUMIFS(Sales_Data!$AE$2:$AE$3520,Sales_Data!$C$2:$C$3520,Dashboard!$C$6-1,Sales_Data!$H$2:$H$3520,"Not in Roster"))</f>
        <v>6</v>
      </c>
      <c r="R10" s="3"/>
      <c r="S10" s="3"/>
      <c r="T10" s="3"/>
      <c r="U10" s="3"/>
      <c r="V10" s="3"/>
      <c r="W10" s="3"/>
      <c r="X10" s="3"/>
      <c r="Y10" s="3"/>
      <c r="Z10" s="3"/>
      <c r="AA10" s="3"/>
      <c r="AB10" s="3"/>
      <c r="AC10" s="3"/>
      <c r="AD10" s="3"/>
      <c r="AE10" s="3"/>
      <c r="AF10" s="3"/>
      <c r="AG10" s="3"/>
      <c r="AH10" s="3"/>
    </row>
    <row r="11" customFormat="false" ht="15" hidden="false" customHeight="false" outlineLevel="0" collapsed="false">
      <c r="A11" s="68" t="s">
        <v>30</v>
      </c>
      <c r="B11" s="49" t="n">
        <f aca="false">B9-B10</f>
        <v>-1</v>
      </c>
      <c r="C11" s="49" t="n">
        <f aca="false">C9-C10</f>
        <v>1</v>
      </c>
      <c r="D11" s="49" t="n">
        <f aca="false">D9-D10</f>
        <v>0</v>
      </c>
      <c r="E11" s="49" t="n">
        <f aca="false">E9-E10</f>
        <v>-1</v>
      </c>
      <c r="F11" s="49" t="n">
        <f aca="false">F9-F10</f>
        <v>5</v>
      </c>
      <c r="G11" s="49" t="n">
        <f aca="false">G9-G10</f>
        <v>-5</v>
      </c>
      <c r="H11" s="49" t="n">
        <f aca="false">H9-H10</f>
        <v>-1</v>
      </c>
      <c r="I11" s="49" t="n">
        <f aca="false">I9-I10</f>
        <v>-1</v>
      </c>
      <c r="J11" s="49" t="n">
        <f aca="false">J9-J10</f>
        <v>2</v>
      </c>
      <c r="K11" s="49" t="n">
        <f aca="false">K9-K10</f>
        <v>0</v>
      </c>
      <c r="L11" s="49" t="n">
        <f aca="false">L9-L10</f>
        <v>0</v>
      </c>
      <c r="M11" s="49" t="n">
        <f aca="false">M9-M10</f>
        <v>-7</v>
      </c>
      <c r="N11" s="49" t="n">
        <f aca="false">N9-N10</f>
        <v>-6</v>
      </c>
      <c r="O11" s="49" t="n">
        <f aca="false">O9-O10</f>
        <v>0</v>
      </c>
      <c r="P11" s="49" t="n">
        <f aca="false">P9-P10</f>
        <v>-2</v>
      </c>
      <c r="Q11" s="49" t="n">
        <f aca="false">Q9-Q10</f>
        <v>12</v>
      </c>
      <c r="R11" s="3"/>
      <c r="S11" s="3"/>
      <c r="T11" s="3"/>
      <c r="U11" s="3"/>
      <c r="V11" s="3"/>
      <c r="W11" s="3"/>
      <c r="X11" s="3"/>
      <c r="Y11" s="3"/>
      <c r="Z11" s="3"/>
      <c r="AA11" s="3"/>
      <c r="AB11" s="3"/>
      <c r="AC11" s="3"/>
      <c r="AD11" s="3"/>
      <c r="AE11" s="3"/>
      <c r="AF11" s="3"/>
      <c r="AG11" s="3"/>
      <c r="AH11" s="3"/>
    </row>
    <row r="12" customFormat="false" ht="15" hidden="false" customHeight="false" outlineLevel="0" collapsed="false">
      <c r="A12" s="68" t="s">
        <v>6917</v>
      </c>
      <c r="B12" s="33" t="n">
        <f aca="false">RANK(B7,$B$7:$O$7)</f>
        <v>3</v>
      </c>
      <c r="C12" s="33" t="n">
        <f aca="false">RANK(C7,$B$7:$O$7)</f>
        <v>7</v>
      </c>
      <c r="D12" s="33" t="n">
        <f aca="false">RANK(D7,$B$7:$O$7)</f>
        <v>8</v>
      </c>
      <c r="E12" s="33" t="n">
        <f aca="false">RANK(E7,$B$7:$O$7)</f>
        <v>11</v>
      </c>
      <c r="F12" s="33" t="n">
        <f aca="false">RANK(F7,$B$7:$O$7)</f>
        <v>8</v>
      </c>
      <c r="G12" s="33" t="n">
        <f aca="false">RANK(G7,$B$7:$O$7)</f>
        <v>6</v>
      </c>
      <c r="H12" s="33" t="n">
        <f aca="false">RANK(H7,$B$7:$O$7)</f>
        <v>10</v>
      </c>
      <c r="I12" s="33" t="n">
        <f aca="false">RANK(I7,$B$7:$O$7)</f>
        <v>12</v>
      </c>
      <c r="J12" s="33" t="n">
        <f aca="false">RANK(J7,$B$7:$O$7)</f>
        <v>2</v>
      </c>
      <c r="K12" s="33" t="n">
        <f aca="false">RANK(K7,$B$7:$O$7)</f>
        <v>13</v>
      </c>
      <c r="L12" s="33" t="n">
        <f aca="false">RANK(L7,$B$7:$O$7)</f>
        <v>5</v>
      </c>
      <c r="M12" s="33" t="n">
        <f aca="false">RANK(M7,$B$7:$O$7)</f>
        <v>1</v>
      </c>
      <c r="N12" s="33" t="n">
        <f aca="false">RANK(N7,$B$7:$O$7)</f>
        <v>4</v>
      </c>
      <c r="O12" s="33" t="n">
        <f aca="false">RANK(O7,$B$7:$O$7)</f>
        <v>14</v>
      </c>
      <c r="P12" s="33" t="s">
        <v>64</v>
      </c>
      <c r="Q12" s="33" t="s">
        <v>64</v>
      </c>
      <c r="R12" s="3"/>
      <c r="S12" s="3"/>
      <c r="T12" s="3"/>
      <c r="U12" s="3"/>
      <c r="V12" s="3"/>
      <c r="W12" s="3"/>
      <c r="X12" s="3"/>
      <c r="Y12" s="3"/>
      <c r="Z12" s="3"/>
      <c r="AA12" s="3"/>
      <c r="AB12" s="3"/>
      <c r="AC12" s="3"/>
      <c r="AD12" s="3"/>
      <c r="AE12" s="3"/>
      <c r="AF12" s="3"/>
      <c r="AG12" s="3"/>
      <c r="AH12" s="3"/>
    </row>
    <row r="13" customFormat="false" ht="15" hidden="false" customHeight="false" outlineLevel="0" collapsed="false">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row>
    <row r="14" customFormat="false" ht="30" hidden="false" customHeight="true" outlineLevel="0" collapsed="false">
      <c r="A14" s="5" t="s">
        <v>28</v>
      </c>
      <c r="B14" s="67" t="str">
        <f aca="false">B$5</f>
        <v>Ahmed Aboelgoud</v>
      </c>
      <c r="C14" s="67" t="str">
        <f aca="false">C$5</f>
        <v>Anas Sami</v>
      </c>
      <c r="D14" s="67" t="str">
        <f aca="false">D$5</f>
        <v>Essam Medhat</v>
      </c>
      <c r="E14" s="67" t="str">
        <f aca="false">E$5</f>
        <v>Islam Farouk</v>
      </c>
      <c r="F14" s="67" t="str">
        <f aca="false">F$5</f>
        <v>Mina Milad</v>
      </c>
      <c r="G14" s="67" t="str">
        <f aca="false">G$5</f>
        <v>Mohamed Ashour</v>
      </c>
      <c r="H14" s="67" t="str">
        <f aca="false">H$5</f>
        <v>Mohamed Kelany</v>
      </c>
      <c r="I14" s="67" t="str">
        <f aca="false">I$5</f>
        <v>Mostafa Mokhtar</v>
      </c>
      <c r="J14" s="67" t="str">
        <f aca="false">J$5</f>
        <v>Omar Mansour</v>
      </c>
      <c r="K14" s="67" t="str">
        <f aca="false">K$5</f>
        <v>Omar Osama</v>
      </c>
      <c r="L14" s="67" t="str">
        <f aca="false">L$5</f>
        <v>Rahma Samir</v>
      </c>
      <c r="M14" s="67" t="str">
        <f aca="false">M$5</f>
        <v>Salma Ahmed</v>
      </c>
      <c r="N14" s="67" t="str">
        <f aca="false">N$5</f>
        <v>Shereen Kamal</v>
      </c>
      <c r="O14" s="67" t="str">
        <f aca="false">O$5</f>
        <v>Taher Yehia</v>
      </c>
      <c r="P14" s="67" t="str">
        <f aca="false">P$5</f>
        <v>Account Total</v>
      </c>
      <c r="Q14" s="67" t="str">
        <f aca="false">Q$5</f>
        <v>Not in Roster</v>
      </c>
      <c r="R14" s="69"/>
      <c r="S14" s="70" t="s">
        <v>28</v>
      </c>
      <c r="T14" s="71" t="str">
        <f aca="false">"DoD Δ "&amp;B$5</f>
        <v>DoD Δ Ahmed Aboelgoud</v>
      </c>
      <c r="U14" s="71" t="str">
        <f aca="false">"DoD Δ "&amp;C$5</f>
        <v>DoD Δ Anas Sami</v>
      </c>
      <c r="V14" s="71" t="str">
        <f aca="false">"DoD Δ "&amp;D$5</f>
        <v>DoD Δ Essam Medhat</v>
      </c>
      <c r="W14" s="71" t="str">
        <f aca="false">"DoD Δ "&amp;E$5</f>
        <v>DoD Δ Islam Farouk</v>
      </c>
      <c r="X14" s="71" t="str">
        <f aca="false">"DoD Δ "&amp;F$5</f>
        <v>DoD Δ Mina Milad</v>
      </c>
      <c r="Y14" s="71" t="str">
        <f aca="false">"DoD Δ "&amp;G$5</f>
        <v>DoD Δ Mohamed Ashour</v>
      </c>
      <c r="Z14" s="71" t="str">
        <f aca="false">"DoD Δ "&amp;H$5</f>
        <v>DoD Δ Mohamed Kelany</v>
      </c>
      <c r="AA14" s="71" t="str">
        <f aca="false">"DoD Δ "&amp;I$5</f>
        <v>DoD Δ Mostafa Mokhtar</v>
      </c>
      <c r="AB14" s="71" t="str">
        <f aca="false">"DoD Δ "&amp;J$5</f>
        <v>DoD Δ Omar Mansour</v>
      </c>
      <c r="AC14" s="71" t="str">
        <f aca="false">"DoD Δ "&amp;K$5</f>
        <v>DoD Δ Omar Osama</v>
      </c>
      <c r="AD14" s="71" t="str">
        <f aca="false">"DoD Δ "&amp;L$5</f>
        <v>DoD Δ Rahma Samir</v>
      </c>
      <c r="AE14" s="71" t="str">
        <f aca="false">"DoD Δ "&amp;M$5</f>
        <v>DoD Δ Salma Ahmed</v>
      </c>
      <c r="AF14" s="71" t="str">
        <f aca="false">"DoD Δ "&amp;N$5</f>
        <v>DoD Δ Shereen Kamal</v>
      </c>
      <c r="AG14" s="71" t="str">
        <f aca="false">"DoD Δ "&amp;O$5</f>
        <v>DoD Δ Taher Yehia</v>
      </c>
      <c r="AH14" s="71" t="str">
        <f aca="false">"DoD Δ "&amp;P$5</f>
        <v>DoD Δ Account Total</v>
      </c>
    </row>
    <row r="15" customFormat="false" ht="15" hidden="false" customHeight="false" outlineLevel="0" collapsed="false">
      <c r="A15" s="72" t="n">
        <v>46225</v>
      </c>
      <c r="B15" s="26" t="n">
        <f aca="false">CHOOSE(MATCH($B$3,Lists!$C$2:$C$5,0),SUMIFS(Sales_Data!$O$2:$O$3520,Sales_Data!$C$2:$C$3520,$A15,Sales_Data!$H$2:$H$3520,B$14,Sales_Data!$AE$2:$AE$3520,1),SUMIFS(Sales_Data!$M$2:$M$3520,Sales_Data!$C$2:$C$3520,$A15,Sales_Data!$H$2:$H$3520,B$14,Sales_Data!$AE$2:$AE$3520,1),SUMIFS(Sales_Data!$N$2:$N$3520,Sales_Data!$C$2:$C$3520,$A15,Sales_Data!$H$2:$H$3520,B$14,Sales_Data!$AE$2:$AE$3520,1),SUMIFS(Sales_Data!$AE$2:$AE$3520,Sales_Data!$C$2:$C$3520,$A15,Sales_Data!$H$2:$H$3520,B$14))</f>
        <v>0</v>
      </c>
      <c r="C15" s="26" t="n">
        <f aca="false">CHOOSE(MATCH($B$3,Lists!$C$2:$C$5,0),SUMIFS(Sales_Data!$O$2:$O$3520,Sales_Data!$C$2:$C$3520,$A15,Sales_Data!$H$2:$H$3520,C$14,Sales_Data!$AE$2:$AE$3520,1),SUMIFS(Sales_Data!$M$2:$M$3520,Sales_Data!$C$2:$C$3520,$A15,Sales_Data!$H$2:$H$3520,C$14,Sales_Data!$AE$2:$AE$3520,1),SUMIFS(Sales_Data!$N$2:$N$3520,Sales_Data!$C$2:$C$3520,$A15,Sales_Data!$H$2:$H$3520,C$14,Sales_Data!$AE$2:$AE$3520,1),SUMIFS(Sales_Data!$AE$2:$AE$3520,Sales_Data!$C$2:$C$3520,$A15,Sales_Data!$H$2:$H$3520,C$14))</f>
        <v>0</v>
      </c>
      <c r="D15" s="26" t="n">
        <f aca="false">CHOOSE(MATCH($B$3,Lists!$C$2:$C$5,0),SUMIFS(Sales_Data!$O$2:$O$3520,Sales_Data!$C$2:$C$3520,$A15,Sales_Data!$H$2:$H$3520,D$14,Sales_Data!$AE$2:$AE$3520,1),SUMIFS(Sales_Data!$M$2:$M$3520,Sales_Data!$C$2:$C$3520,$A15,Sales_Data!$H$2:$H$3520,D$14,Sales_Data!$AE$2:$AE$3520,1),SUMIFS(Sales_Data!$N$2:$N$3520,Sales_Data!$C$2:$C$3520,$A15,Sales_Data!$H$2:$H$3520,D$14,Sales_Data!$AE$2:$AE$3520,1),SUMIFS(Sales_Data!$AE$2:$AE$3520,Sales_Data!$C$2:$C$3520,$A15,Sales_Data!$H$2:$H$3520,D$14))</f>
        <v>0</v>
      </c>
      <c r="E15" s="26" t="n">
        <f aca="false">CHOOSE(MATCH($B$3,Lists!$C$2:$C$5,0),SUMIFS(Sales_Data!$O$2:$O$3520,Sales_Data!$C$2:$C$3520,$A15,Sales_Data!$H$2:$H$3520,E$14,Sales_Data!$AE$2:$AE$3520,1),SUMIFS(Sales_Data!$M$2:$M$3520,Sales_Data!$C$2:$C$3520,$A15,Sales_Data!$H$2:$H$3520,E$14,Sales_Data!$AE$2:$AE$3520,1),SUMIFS(Sales_Data!$N$2:$N$3520,Sales_Data!$C$2:$C$3520,$A15,Sales_Data!$H$2:$H$3520,E$14,Sales_Data!$AE$2:$AE$3520,1),SUMIFS(Sales_Data!$AE$2:$AE$3520,Sales_Data!$C$2:$C$3520,$A15,Sales_Data!$H$2:$H$3520,E$14))</f>
        <v>0</v>
      </c>
      <c r="F15" s="26" t="n">
        <f aca="false">CHOOSE(MATCH($B$3,Lists!$C$2:$C$5,0),SUMIFS(Sales_Data!$O$2:$O$3520,Sales_Data!$C$2:$C$3520,$A15,Sales_Data!$H$2:$H$3520,F$14,Sales_Data!$AE$2:$AE$3520,1),SUMIFS(Sales_Data!$M$2:$M$3520,Sales_Data!$C$2:$C$3520,$A15,Sales_Data!$H$2:$H$3520,F$14,Sales_Data!$AE$2:$AE$3520,1),SUMIFS(Sales_Data!$N$2:$N$3520,Sales_Data!$C$2:$C$3520,$A15,Sales_Data!$H$2:$H$3520,F$14,Sales_Data!$AE$2:$AE$3520,1),SUMIFS(Sales_Data!$AE$2:$AE$3520,Sales_Data!$C$2:$C$3520,$A15,Sales_Data!$H$2:$H$3520,F$14))</f>
        <v>3</v>
      </c>
      <c r="G15" s="26" t="n">
        <f aca="false">CHOOSE(MATCH($B$3,Lists!$C$2:$C$5,0),SUMIFS(Sales_Data!$O$2:$O$3520,Sales_Data!$C$2:$C$3520,$A15,Sales_Data!$H$2:$H$3520,G$14,Sales_Data!$AE$2:$AE$3520,1),SUMIFS(Sales_Data!$M$2:$M$3520,Sales_Data!$C$2:$C$3520,$A15,Sales_Data!$H$2:$H$3520,G$14,Sales_Data!$AE$2:$AE$3520,1),SUMIFS(Sales_Data!$N$2:$N$3520,Sales_Data!$C$2:$C$3520,$A15,Sales_Data!$H$2:$H$3520,G$14,Sales_Data!$AE$2:$AE$3520,1),SUMIFS(Sales_Data!$AE$2:$AE$3520,Sales_Data!$C$2:$C$3520,$A15,Sales_Data!$H$2:$H$3520,G$14))</f>
        <v>0</v>
      </c>
      <c r="H15" s="26" t="n">
        <f aca="false">CHOOSE(MATCH($B$3,Lists!$C$2:$C$5,0),SUMIFS(Sales_Data!$O$2:$O$3520,Sales_Data!$C$2:$C$3520,$A15,Sales_Data!$H$2:$H$3520,H$14,Sales_Data!$AE$2:$AE$3520,1),SUMIFS(Sales_Data!$M$2:$M$3520,Sales_Data!$C$2:$C$3520,$A15,Sales_Data!$H$2:$H$3520,H$14,Sales_Data!$AE$2:$AE$3520,1),SUMIFS(Sales_Data!$N$2:$N$3520,Sales_Data!$C$2:$C$3520,$A15,Sales_Data!$H$2:$H$3520,H$14,Sales_Data!$AE$2:$AE$3520,1),SUMIFS(Sales_Data!$AE$2:$AE$3520,Sales_Data!$C$2:$C$3520,$A15,Sales_Data!$H$2:$H$3520,H$14))</f>
        <v>0</v>
      </c>
      <c r="I15" s="26" t="n">
        <f aca="false">CHOOSE(MATCH($B$3,Lists!$C$2:$C$5,0),SUMIFS(Sales_Data!$O$2:$O$3520,Sales_Data!$C$2:$C$3520,$A15,Sales_Data!$H$2:$H$3520,I$14,Sales_Data!$AE$2:$AE$3520,1),SUMIFS(Sales_Data!$M$2:$M$3520,Sales_Data!$C$2:$C$3520,$A15,Sales_Data!$H$2:$H$3520,I$14,Sales_Data!$AE$2:$AE$3520,1),SUMIFS(Sales_Data!$N$2:$N$3520,Sales_Data!$C$2:$C$3520,$A15,Sales_Data!$H$2:$H$3520,I$14,Sales_Data!$AE$2:$AE$3520,1),SUMIFS(Sales_Data!$AE$2:$AE$3520,Sales_Data!$C$2:$C$3520,$A15,Sales_Data!$H$2:$H$3520,I$14))</f>
        <v>0</v>
      </c>
      <c r="J15" s="26" t="n">
        <f aca="false">CHOOSE(MATCH($B$3,Lists!$C$2:$C$5,0),SUMIFS(Sales_Data!$O$2:$O$3520,Sales_Data!$C$2:$C$3520,$A15,Sales_Data!$H$2:$H$3520,J$14,Sales_Data!$AE$2:$AE$3520,1),SUMIFS(Sales_Data!$M$2:$M$3520,Sales_Data!$C$2:$C$3520,$A15,Sales_Data!$H$2:$H$3520,J$14,Sales_Data!$AE$2:$AE$3520,1),SUMIFS(Sales_Data!$N$2:$N$3520,Sales_Data!$C$2:$C$3520,$A15,Sales_Data!$H$2:$H$3520,J$14,Sales_Data!$AE$2:$AE$3520,1),SUMIFS(Sales_Data!$AE$2:$AE$3520,Sales_Data!$C$2:$C$3520,$A15,Sales_Data!$H$2:$H$3520,J$14))</f>
        <v>0</v>
      </c>
      <c r="K15" s="26" t="n">
        <f aca="false">CHOOSE(MATCH($B$3,Lists!$C$2:$C$5,0),SUMIFS(Sales_Data!$O$2:$O$3520,Sales_Data!$C$2:$C$3520,$A15,Sales_Data!$H$2:$H$3520,K$14,Sales_Data!$AE$2:$AE$3520,1),SUMIFS(Sales_Data!$M$2:$M$3520,Sales_Data!$C$2:$C$3520,$A15,Sales_Data!$H$2:$H$3520,K$14,Sales_Data!$AE$2:$AE$3520,1),SUMIFS(Sales_Data!$N$2:$N$3520,Sales_Data!$C$2:$C$3520,$A15,Sales_Data!$H$2:$H$3520,K$14,Sales_Data!$AE$2:$AE$3520,1),SUMIFS(Sales_Data!$AE$2:$AE$3520,Sales_Data!$C$2:$C$3520,$A15,Sales_Data!$H$2:$H$3520,K$14))</f>
        <v>0</v>
      </c>
      <c r="L15" s="26" t="n">
        <f aca="false">CHOOSE(MATCH($B$3,Lists!$C$2:$C$5,0),SUMIFS(Sales_Data!$O$2:$O$3520,Sales_Data!$C$2:$C$3520,$A15,Sales_Data!$H$2:$H$3520,L$14,Sales_Data!$AE$2:$AE$3520,1),SUMIFS(Sales_Data!$M$2:$M$3520,Sales_Data!$C$2:$C$3520,$A15,Sales_Data!$H$2:$H$3520,L$14,Sales_Data!$AE$2:$AE$3520,1),SUMIFS(Sales_Data!$N$2:$N$3520,Sales_Data!$C$2:$C$3520,$A15,Sales_Data!$H$2:$H$3520,L$14,Sales_Data!$AE$2:$AE$3520,1),SUMIFS(Sales_Data!$AE$2:$AE$3520,Sales_Data!$C$2:$C$3520,$A15,Sales_Data!$H$2:$H$3520,L$14))</f>
        <v>1</v>
      </c>
      <c r="M15" s="26" t="n">
        <f aca="false">CHOOSE(MATCH($B$3,Lists!$C$2:$C$5,0),SUMIFS(Sales_Data!$O$2:$O$3520,Sales_Data!$C$2:$C$3520,$A15,Sales_Data!$H$2:$H$3520,M$14,Sales_Data!$AE$2:$AE$3520,1),SUMIFS(Sales_Data!$M$2:$M$3520,Sales_Data!$C$2:$C$3520,$A15,Sales_Data!$H$2:$H$3520,M$14,Sales_Data!$AE$2:$AE$3520,1),SUMIFS(Sales_Data!$N$2:$N$3520,Sales_Data!$C$2:$C$3520,$A15,Sales_Data!$H$2:$H$3520,M$14,Sales_Data!$AE$2:$AE$3520,1),SUMIFS(Sales_Data!$AE$2:$AE$3520,Sales_Data!$C$2:$C$3520,$A15,Sales_Data!$H$2:$H$3520,M$14))</f>
        <v>3</v>
      </c>
      <c r="N15" s="26" t="n">
        <f aca="false">CHOOSE(MATCH($B$3,Lists!$C$2:$C$5,0),SUMIFS(Sales_Data!$O$2:$O$3520,Sales_Data!$C$2:$C$3520,$A15,Sales_Data!$H$2:$H$3520,N$14,Sales_Data!$AE$2:$AE$3520,1),SUMIFS(Sales_Data!$M$2:$M$3520,Sales_Data!$C$2:$C$3520,$A15,Sales_Data!$H$2:$H$3520,N$14,Sales_Data!$AE$2:$AE$3520,1),SUMIFS(Sales_Data!$N$2:$N$3520,Sales_Data!$C$2:$C$3520,$A15,Sales_Data!$H$2:$H$3520,N$14,Sales_Data!$AE$2:$AE$3520,1),SUMIFS(Sales_Data!$AE$2:$AE$3520,Sales_Data!$C$2:$C$3520,$A15,Sales_Data!$H$2:$H$3520,N$14))</f>
        <v>7</v>
      </c>
      <c r="O15" s="26" t="n">
        <f aca="false">CHOOSE(MATCH($B$3,Lists!$C$2:$C$5,0),SUMIFS(Sales_Data!$O$2:$O$3520,Sales_Data!$C$2:$C$3520,$A15,Sales_Data!$H$2:$H$3520,O$14,Sales_Data!$AE$2:$AE$3520,1),SUMIFS(Sales_Data!$M$2:$M$3520,Sales_Data!$C$2:$C$3520,$A15,Sales_Data!$H$2:$H$3520,O$14,Sales_Data!$AE$2:$AE$3520,1),SUMIFS(Sales_Data!$N$2:$N$3520,Sales_Data!$C$2:$C$3520,$A15,Sales_Data!$H$2:$H$3520,O$14,Sales_Data!$AE$2:$AE$3520,1),SUMIFS(Sales_Data!$AE$2:$AE$3520,Sales_Data!$C$2:$C$3520,$A15,Sales_Data!$H$2:$H$3520,O$14))</f>
        <v>0</v>
      </c>
      <c r="P15" s="27" t="n">
        <f aca="false">CHOOSE(MATCH($B$3,Lists!$C$2:$C$5,0),SUMIFS(Sales_Data!$O$2:$O$3520,Sales_Data!$C$2:$C$3520,$A15,Sales_Data!$AE$2:$AE$3520,1),SUMIFS(Sales_Data!$M$2:$M$3520,Sales_Data!$C$2:$C$3520,$A15,Sales_Data!$AE$2:$AE$3520,1),SUMIFS(Sales_Data!$N$2:$N$3520,Sales_Data!$C$2:$C$3520,$A15,Sales_Data!$AE$2:$AE$3520,1),SUMIFS(Sales_Data!$AE$2:$AE$3520,Sales_Data!$C$2:$C$3520,$A15))</f>
        <v>20</v>
      </c>
      <c r="Q15" s="27" t="n">
        <f aca="false">P15-SUM(B15:O15)</f>
        <v>6</v>
      </c>
      <c r="R15" s="3"/>
      <c r="S15" s="72" t="n">
        <f aca="false">A15</f>
        <v>46225</v>
      </c>
      <c r="T15" s="28" t="s">
        <v>64</v>
      </c>
      <c r="U15" s="28" t="s">
        <v>64</v>
      </c>
      <c r="V15" s="28" t="s">
        <v>64</v>
      </c>
      <c r="W15" s="28" t="s">
        <v>64</v>
      </c>
      <c r="X15" s="28" t="s">
        <v>64</v>
      </c>
      <c r="Y15" s="28" t="s">
        <v>64</v>
      </c>
      <c r="Z15" s="28" t="s">
        <v>64</v>
      </c>
      <c r="AA15" s="28" t="s">
        <v>64</v>
      </c>
      <c r="AB15" s="28" t="s">
        <v>64</v>
      </c>
      <c r="AC15" s="28" t="s">
        <v>64</v>
      </c>
      <c r="AD15" s="28" t="s">
        <v>64</v>
      </c>
      <c r="AE15" s="28" t="s">
        <v>64</v>
      </c>
      <c r="AF15" s="28" t="s">
        <v>64</v>
      </c>
      <c r="AG15" s="28" t="s">
        <v>64</v>
      </c>
      <c r="AH15" s="28" t="s">
        <v>64</v>
      </c>
    </row>
    <row r="16" customFormat="false" ht="15" hidden="false" customHeight="false" outlineLevel="0" collapsed="false">
      <c r="A16" s="72" t="n">
        <v>46226</v>
      </c>
      <c r="B16" s="26" t="n">
        <f aca="false">CHOOSE(MATCH($B$3,Lists!$C$2:$C$5,0),SUMIFS(Sales_Data!$O$2:$O$3520,Sales_Data!$C$2:$C$3520,$A16,Sales_Data!$H$2:$H$3520,B$14,Sales_Data!$AE$2:$AE$3520,1),SUMIFS(Sales_Data!$M$2:$M$3520,Sales_Data!$C$2:$C$3520,$A16,Sales_Data!$H$2:$H$3520,B$14,Sales_Data!$AE$2:$AE$3520,1),SUMIFS(Sales_Data!$N$2:$N$3520,Sales_Data!$C$2:$C$3520,$A16,Sales_Data!$H$2:$H$3520,B$14,Sales_Data!$AE$2:$AE$3520,1),SUMIFS(Sales_Data!$AE$2:$AE$3520,Sales_Data!$C$2:$C$3520,$A16,Sales_Data!$H$2:$H$3520,B$14))</f>
        <v>0</v>
      </c>
      <c r="C16" s="26" t="n">
        <f aca="false">CHOOSE(MATCH($B$3,Lists!$C$2:$C$5,0),SUMIFS(Sales_Data!$O$2:$O$3520,Sales_Data!$C$2:$C$3520,$A16,Sales_Data!$H$2:$H$3520,C$14,Sales_Data!$AE$2:$AE$3520,1),SUMIFS(Sales_Data!$M$2:$M$3520,Sales_Data!$C$2:$C$3520,$A16,Sales_Data!$H$2:$H$3520,C$14,Sales_Data!$AE$2:$AE$3520,1),SUMIFS(Sales_Data!$N$2:$N$3520,Sales_Data!$C$2:$C$3520,$A16,Sales_Data!$H$2:$H$3520,C$14,Sales_Data!$AE$2:$AE$3520,1),SUMIFS(Sales_Data!$AE$2:$AE$3520,Sales_Data!$C$2:$C$3520,$A16,Sales_Data!$H$2:$H$3520,C$14))</f>
        <v>0</v>
      </c>
      <c r="D16" s="26" t="n">
        <f aca="false">CHOOSE(MATCH($B$3,Lists!$C$2:$C$5,0),SUMIFS(Sales_Data!$O$2:$O$3520,Sales_Data!$C$2:$C$3520,$A16,Sales_Data!$H$2:$H$3520,D$14,Sales_Data!$AE$2:$AE$3520,1),SUMIFS(Sales_Data!$M$2:$M$3520,Sales_Data!$C$2:$C$3520,$A16,Sales_Data!$H$2:$H$3520,D$14,Sales_Data!$AE$2:$AE$3520,1),SUMIFS(Sales_Data!$N$2:$N$3520,Sales_Data!$C$2:$C$3520,$A16,Sales_Data!$H$2:$H$3520,D$14,Sales_Data!$AE$2:$AE$3520,1),SUMIFS(Sales_Data!$AE$2:$AE$3520,Sales_Data!$C$2:$C$3520,$A16,Sales_Data!$H$2:$H$3520,D$14))</f>
        <v>1</v>
      </c>
      <c r="E16" s="26" t="n">
        <f aca="false">CHOOSE(MATCH($B$3,Lists!$C$2:$C$5,0),SUMIFS(Sales_Data!$O$2:$O$3520,Sales_Data!$C$2:$C$3520,$A16,Sales_Data!$H$2:$H$3520,E$14,Sales_Data!$AE$2:$AE$3520,1),SUMIFS(Sales_Data!$M$2:$M$3520,Sales_Data!$C$2:$C$3520,$A16,Sales_Data!$H$2:$H$3520,E$14,Sales_Data!$AE$2:$AE$3520,1),SUMIFS(Sales_Data!$N$2:$N$3520,Sales_Data!$C$2:$C$3520,$A16,Sales_Data!$H$2:$H$3520,E$14,Sales_Data!$AE$2:$AE$3520,1),SUMIFS(Sales_Data!$AE$2:$AE$3520,Sales_Data!$C$2:$C$3520,$A16,Sales_Data!$H$2:$H$3520,E$14))</f>
        <v>0</v>
      </c>
      <c r="F16" s="26" t="n">
        <f aca="false">CHOOSE(MATCH($B$3,Lists!$C$2:$C$5,0),SUMIFS(Sales_Data!$O$2:$O$3520,Sales_Data!$C$2:$C$3520,$A16,Sales_Data!$H$2:$H$3520,F$14,Sales_Data!$AE$2:$AE$3520,1),SUMIFS(Sales_Data!$M$2:$M$3520,Sales_Data!$C$2:$C$3520,$A16,Sales_Data!$H$2:$H$3520,F$14,Sales_Data!$AE$2:$AE$3520,1),SUMIFS(Sales_Data!$N$2:$N$3520,Sales_Data!$C$2:$C$3520,$A16,Sales_Data!$H$2:$H$3520,F$14,Sales_Data!$AE$2:$AE$3520,1),SUMIFS(Sales_Data!$AE$2:$AE$3520,Sales_Data!$C$2:$C$3520,$A16,Sales_Data!$H$2:$H$3520,F$14))</f>
        <v>5</v>
      </c>
      <c r="G16" s="26" t="n">
        <f aca="false">CHOOSE(MATCH($B$3,Lists!$C$2:$C$5,0),SUMIFS(Sales_Data!$O$2:$O$3520,Sales_Data!$C$2:$C$3520,$A16,Sales_Data!$H$2:$H$3520,G$14,Sales_Data!$AE$2:$AE$3520,1),SUMIFS(Sales_Data!$M$2:$M$3520,Sales_Data!$C$2:$C$3520,$A16,Sales_Data!$H$2:$H$3520,G$14,Sales_Data!$AE$2:$AE$3520,1),SUMIFS(Sales_Data!$N$2:$N$3520,Sales_Data!$C$2:$C$3520,$A16,Sales_Data!$H$2:$H$3520,G$14,Sales_Data!$AE$2:$AE$3520,1),SUMIFS(Sales_Data!$AE$2:$AE$3520,Sales_Data!$C$2:$C$3520,$A16,Sales_Data!$H$2:$H$3520,G$14))</f>
        <v>0</v>
      </c>
      <c r="H16" s="26" t="n">
        <f aca="false">CHOOSE(MATCH($B$3,Lists!$C$2:$C$5,0),SUMIFS(Sales_Data!$O$2:$O$3520,Sales_Data!$C$2:$C$3520,$A16,Sales_Data!$H$2:$H$3520,H$14,Sales_Data!$AE$2:$AE$3520,1),SUMIFS(Sales_Data!$M$2:$M$3520,Sales_Data!$C$2:$C$3520,$A16,Sales_Data!$H$2:$H$3520,H$14,Sales_Data!$AE$2:$AE$3520,1),SUMIFS(Sales_Data!$N$2:$N$3520,Sales_Data!$C$2:$C$3520,$A16,Sales_Data!$H$2:$H$3520,H$14,Sales_Data!$AE$2:$AE$3520,1),SUMIFS(Sales_Data!$AE$2:$AE$3520,Sales_Data!$C$2:$C$3520,$A16,Sales_Data!$H$2:$H$3520,H$14))</f>
        <v>0</v>
      </c>
      <c r="I16" s="26" t="n">
        <f aca="false">CHOOSE(MATCH($B$3,Lists!$C$2:$C$5,0),SUMIFS(Sales_Data!$O$2:$O$3520,Sales_Data!$C$2:$C$3520,$A16,Sales_Data!$H$2:$H$3520,I$14,Sales_Data!$AE$2:$AE$3520,1),SUMIFS(Sales_Data!$M$2:$M$3520,Sales_Data!$C$2:$C$3520,$A16,Sales_Data!$H$2:$H$3520,I$14,Sales_Data!$AE$2:$AE$3520,1),SUMIFS(Sales_Data!$N$2:$N$3520,Sales_Data!$C$2:$C$3520,$A16,Sales_Data!$H$2:$H$3520,I$14,Sales_Data!$AE$2:$AE$3520,1),SUMIFS(Sales_Data!$AE$2:$AE$3520,Sales_Data!$C$2:$C$3520,$A16,Sales_Data!$H$2:$H$3520,I$14))</f>
        <v>0</v>
      </c>
      <c r="J16" s="26" t="n">
        <f aca="false">CHOOSE(MATCH($B$3,Lists!$C$2:$C$5,0),SUMIFS(Sales_Data!$O$2:$O$3520,Sales_Data!$C$2:$C$3520,$A16,Sales_Data!$H$2:$H$3520,J$14,Sales_Data!$AE$2:$AE$3520,1),SUMIFS(Sales_Data!$M$2:$M$3520,Sales_Data!$C$2:$C$3520,$A16,Sales_Data!$H$2:$H$3520,J$14,Sales_Data!$AE$2:$AE$3520,1),SUMIFS(Sales_Data!$N$2:$N$3520,Sales_Data!$C$2:$C$3520,$A16,Sales_Data!$H$2:$H$3520,J$14,Sales_Data!$AE$2:$AE$3520,1),SUMIFS(Sales_Data!$AE$2:$AE$3520,Sales_Data!$C$2:$C$3520,$A16,Sales_Data!$H$2:$H$3520,J$14))</f>
        <v>0</v>
      </c>
      <c r="K16" s="26" t="n">
        <f aca="false">CHOOSE(MATCH($B$3,Lists!$C$2:$C$5,0),SUMIFS(Sales_Data!$O$2:$O$3520,Sales_Data!$C$2:$C$3520,$A16,Sales_Data!$H$2:$H$3520,K$14,Sales_Data!$AE$2:$AE$3520,1),SUMIFS(Sales_Data!$M$2:$M$3520,Sales_Data!$C$2:$C$3520,$A16,Sales_Data!$H$2:$H$3520,K$14,Sales_Data!$AE$2:$AE$3520,1),SUMIFS(Sales_Data!$N$2:$N$3520,Sales_Data!$C$2:$C$3520,$A16,Sales_Data!$H$2:$H$3520,K$14,Sales_Data!$AE$2:$AE$3520,1),SUMIFS(Sales_Data!$AE$2:$AE$3520,Sales_Data!$C$2:$C$3520,$A16,Sales_Data!$H$2:$H$3520,K$14))</f>
        <v>0</v>
      </c>
      <c r="L16" s="26" t="n">
        <f aca="false">CHOOSE(MATCH($B$3,Lists!$C$2:$C$5,0),SUMIFS(Sales_Data!$O$2:$O$3520,Sales_Data!$C$2:$C$3520,$A16,Sales_Data!$H$2:$H$3520,L$14,Sales_Data!$AE$2:$AE$3520,1),SUMIFS(Sales_Data!$M$2:$M$3520,Sales_Data!$C$2:$C$3520,$A16,Sales_Data!$H$2:$H$3520,L$14,Sales_Data!$AE$2:$AE$3520,1),SUMIFS(Sales_Data!$N$2:$N$3520,Sales_Data!$C$2:$C$3520,$A16,Sales_Data!$H$2:$H$3520,L$14,Sales_Data!$AE$2:$AE$3520,1),SUMIFS(Sales_Data!$AE$2:$AE$3520,Sales_Data!$C$2:$C$3520,$A16,Sales_Data!$H$2:$H$3520,L$14))</f>
        <v>4</v>
      </c>
      <c r="M16" s="26" t="n">
        <f aca="false">CHOOSE(MATCH($B$3,Lists!$C$2:$C$5,0),SUMIFS(Sales_Data!$O$2:$O$3520,Sales_Data!$C$2:$C$3520,$A16,Sales_Data!$H$2:$H$3520,M$14,Sales_Data!$AE$2:$AE$3520,1),SUMIFS(Sales_Data!$M$2:$M$3520,Sales_Data!$C$2:$C$3520,$A16,Sales_Data!$H$2:$H$3520,M$14,Sales_Data!$AE$2:$AE$3520,1),SUMIFS(Sales_Data!$N$2:$N$3520,Sales_Data!$C$2:$C$3520,$A16,Sales_Data!$H$2:$H$3520,M$14,Sales_Data!$AE$2:$AE$3520,1),SUMIFS(Sales_Data!$AE$2:$AE$3520,Sales_Data!$C$2:$C$3520,$A16,Sales_Data!$H$2:$H$3520,M$14))</f>
        <v>8</v>
      </c>
      <c r="N16" s="26" t="n">
        <f aca="false">CHOOSE(MATCH($B$3,Lists!$C$2:$C$5,0),SUMIFS(Sales_Data!$O$2:$O$3520,Sales_Data!$C$2:$C$3520,$A16,Sales_Data!$H$2:$H$3520,N$14,Sales_Data!$AE$2:$AE$3520,1),SUMIFS(Sales_Data!$M$2:$M$3520,Sales_Data!$C$2:$C$3520,$A16,Sales_Data!$H$2:$H$3520,N$14,Sales_Data!$AE$2:$AE$3520,1),SUMIFS(Sales_Data!$N$2:$N$3520,Sales_Data!$C$2:$C$3520,$A16,Sales_Data!$H$2:$H$3520,N$14,Sales_Data!$AE$2:$AE$3520,1),SUMIFS(Sales_Data!$AE$2:$AE$3520,Sales_Data!$C$2:$C$3520,$A16,Sales_Data!$H$2:$H$3520,N$14))</f>
        <v>10</v>
      </c>
      <c r="O16" s="26" t="n">
        <f aca="false">CHOOSE(MATCH($B$3,Lists!$C$2:$C$5,0),SUMIFS(Sales_Data!$O$2:$O$3520,Sales_Data!$C$2:$C$3520,$A16,Sales_Data!$H$2:$H$3520,O$14,Sales_Data!$AE$2:$AE$3520,1),SUMIFS(Sales_Data!$M$2:$M$3520,Sales_Data!$C$2:$C$3520,$A16,Sales_Data!$H$2:$H$3520,O$14,Sales_Data!$AE$2:$AE$3520,1),SUMIFS(Sales_Data!$N$2:$N$3520,Sales_Data!$C$2:$C$3520,$A16,Sales_Data!$H$2:$H$3520,O$14,Sales_Data!$AE$2:$AE$3520,1),SUMIFS(Sales_Data!$AE$2:$AE$3520,Sales_Data!$C$2:$C$3520,$A16,Sales_Data!$H$2:$H$3520,O$14))</f>
        <v>0</v>
      </c>
      <c r="P16" s="27" t="n">
        <f aca="false">CHOOSE(MATCH($B$3,Lists!$C$2:$C$5,0),SUMIFS(Sales_Data!$O$2:$O$3520,Sales_Data!$C$2:$C$3520,$A16,Sales_Data!$AE$2:$AE$3520,1),SUMIFS(Sales_Data!$M$2:$M$3520,Sales_Data!$C$2:$C$3520,$A16,Sales_Data!$AE$2:$AE$3520,1),SUMIFS(Sales_Data!$N$2:$N$3520,Sales_Data!$C$2:$C$3520,$A16,Sales_Data!$AE$2:$AE$3520,1),SUMIFS(Sales_Data!$AE$2:$AE$3520,Sales_Data!$C$2:$C$3520,$A16))</f>
        <v>37</v>
      </c>
      <c r="Q16" s="27" t="n">
        <f aca="false">P16-SUM(B16:O16)</f>
        <v>9</v>
      </c>
      <c r="R16" s="3"/>
      <c r="S16" s="72" t="n">
        <f aca="false">A16</f>
        <v>46226</v>
      </c>
      <c r="T16" s="28" t="n">
        <f aca="false">B16-B15</f>
        <v>0</v>
      </c>
      <c r="U16" s="28" t="n">
        <f aca="false">C16-C15</f>
        <v>0</v>
      </c>
      <c r="V16" s="28" t="n">
        <f aca="false">D16-D15</f>
        <v>1</v>
      </c>
      <c r="W16" s="28" t="n">
        <f aca="false">E16-E15</f>
        <v>0</v>
      </c>
      <c r="X16" s="28" t="n">
        <f aca="false">F16-F15</f>
        <v>2</v>
      </c>
      <c r="Y16" s="28" t="n">
        <f aca="false">G16-G15</f>
        <v>0</v>
      </c>
      <c r="Z16" s="28" t="n">
        <f aca="false">H16-H15</f>
        <v>0</v>
      </c>
      <c r="AA16" s="28" t="n">
        <f aca="false">I16-I15</f>
        <v>0</v>
      </c>
      <c r="AB16" s="28" t="n">
        <f aca="false">J16-J15</f>
        <v>0</v>
      </c>
      <c r="AC16" s="28" t="n">
        <f aca="false">K16-K15</f>
        <v>0</v>
      </c>
      <c r="AD16" s="28" t="n">
        <f aca="false">L16-L15</f>
        <v>3</v>
      </c>
      <c r="AE16" s="28" t="n">
        <f aca="false">M16-M15</f>
        <v>5</v>
      </c>
      <c r="AF16" s="28" t="n">
        <f aca="false">N16-N15</f>
        <v>3</v>
      </c>
      <c r="AG16" s="28" t="n">
        <f aca="false">O16-O15</f>
        <v>0</v>
      </c>
      <c r="AH16" s="28" t="n">
        <f aca="false">P16-P15</f>
        <v>17</v>
      </c>
    </row>
    <row r="17" customFormat="false" ht="15" hidden="false" customHeight="false" outlineLevel="0" collapsed="false">
      <c r="A17" s="72" t="n">
        <v>46227</v>
      </c>
      <c r="B17" s="26" t="n">
        <f aca="false">CHOOSE(MATCH($B$3,Lists!$C$2:$C$5,0),SUMIFS(Sales_Data!$O$2:$O$3520,Sales_Data!$C$2:$C$3520,$A17,Sales_Data!$H$2:$H$3520,B$14,Sales_Data!$AE$2:$AE$3520,1),SUMIFS(Sales_Data!$M$2:$M$3520,Sales_Data!$C$2:$C$3520,$A17,Sales_Data!$H$2:$H$3520,B$14,Sales_Data!$AE$2:$AE$3520,1),SUMIFS(Sales_Data!$N$2:$N$3520,Sales_Data!$C$2:$C$3520,$A17,Sales_Data!$H$2:$H$3520,B$14,Sales_Data!$AE$2:$AE$3520,1),SUMIFS(Sales_Data!$AE$2:$AE$3520,Sales_Data!$C$2:$C$3520,$A17,Sales_Data!$H$2:$H$3520,B$14))</f>
        <v>0</v>
      </c>
      <c r="C17" s="26" t="n">
        <f aca="false">CHOOSE(MATCH($B$3,Lists!$C$2:$C$5,0),SUMIFS(Sales_Data!$O$2:$O$3520,Sales_Data!$C$2:$C$3520,$A17,Sales_Data!$H$2:$H$3520,C$14,Sales_Data!$AE$2:$AE$3520,1),SUMIFS(Sales_Data!$M$2:$M$3520,Sales_Data!$C$2:$C$3520,$A17,Sales_Data!$H$2:$H$3520,C$14,Sales_Data!$AE$2:$AE$3520,1),SUMIFS(Sales_Data!$N$2:$N$3520,Sales_Data!$C$2:$C$3520,$A17,Sales_Data!$H$2:$H$3520,C$14,Sales_Data!$AE$2:$AE$3520,1),SUMIFS(Sales_Data!$AE$2:$AE$3520,Sales_Data!$C$2:$C$3520,$A17,Sales_Data!$H$2:$H$3520,C$14))</f>
        <v>0</v>
      </c>
      <c r="D17" s="26" t="n">
        <f aca="false">CHOOSE(MATCH($B$3,Lists!$C$2:$C$5,0),SUMIFS(Sales_Data!$O$2:$O$3520,Sales_Data!$C$2:$C$3520,$A17,Sales_Data!$H$2:$H$3520,D$14,Sales_Data!$AE$2:$AE$3520,1),SUMIFS(Sales_Data!$M$2:$M$3520,Sales_Data!$C$2:$C$3520,$A17,Sales_Data!$H$2:$H$3520,D$14,Sales_Data!$AE$2:$AE$3520,1),SUMIFS(Sales_Data!$N$2:$N$3520,Sales_Data!$C$2:$C$3520,$A17,Sales_Data!$H$2:$H$3520,D$14,Sales_Data!$AE$2:$AE$3520,1),SUMIFS(Sales_Data!$AE$2:$AE$3520,Sales_Data!$C$2:$C$3520,$A17,Sales_Data!$H$2:$H$3520,D$14))</f>
        <v>0</v>
      </c>
      <c r="E17" s="26" t="n">
        <f aca="false">CHOOSE(MATCH($B$3,Lists!$C$2:$C$5,0),SUMIFS(Sales_Data!$O$2:$O$3520,Sales_Data!$C$2:$C$3520,$A17,Sales_Data!$H$2:$H$3520,E$14,Sales_Data!$AE$2:$AE$3520,1),SUMIFS(Sales_Data!$M$2:$M$3520,Sales_Data!$C$2:$C$3520,$A17,Sales_Data!$H$2:$H$3520,E$14,Sales_Data!$AE$2:$AE$3520,1),SUMIFS(Sales_Data!$N$2:$N$3520,Sales_Data!$C$2:$C$3520,$A17,Sales_Data!$H$2:$H$3520,E$14,Sales_Data!$AE$2:$AE$3520,1),SUMIFS(Sales_Data!$AE$2:$AE$3520,Sales_Data!$C$2:$C$3520,$A17,Sales_Data!$H$2:$H$3520,E$14))</f>
        <v>0</v>
      </c>
      <c r="F17" s="26" t="n">
        <f aca="false">CHOOSE(MATCH($B$3,Lists!$C$2:$C$5,0),SUMIFS(Sales_Data!$O$2:$O$3520,Sales_Data!$C$2:$C$3520,$A17,Sales_Data!$H$2:$H$3520,F$14,Sales_Data!$AE$2:$AE$3520,1),SUMIFS(Sales_Data!$M$2:$M$3520,Sales_Data!$C$2:$C$3520,$A17,Sales_Data!$H$2:$H$3520,F$14,Sales_Data!$AE$2:$AE$3520,1),SUMIFS(Sales_Data!$N$2:$N$3520,Sales_Data!$C$2:$C$3520,$A17,Sales_Data!$H$2:$H$3520,F$14,Sales_Data!$AE$2:$AE$3520,1),SUMIFS(Sales_Data!$AE$2:$AE$3520,Sales_Data!$C$2:$C$3520,$A17,Sales_Data!$H$2:$H$3520,F$14))</f>
        <v>5</v>
      </c>
      <c r="G17" s="26" t="n">
        <f aca="false">CHOOSE(MATCH($B$3,Lists!$C$2:$C$5,0),SUMIFS(Sales_Data!$O$2:$O$3520,Sales_Data!$C$2:$C$3520,$A17,Sales_Data!$H$2:$H$3520,G$14,Sales_Data!$AE$2:$AE$3520,1),SUMIFS(Sales_Data!$M$2:$M$3520,Sales_Data!$C$2:$C$3520,$A17,Sales_Data!$H$2:$H$3520,G$14,Sales_Data!$AE$2:$AE$3520,1),SUMIFS(Sales_Data!$N$2:$N$3520,Sales_Data!$C$2:$C$3520,$A17,Sales_Data!$H$2:$H$3520,G$14,Sales_Data!$AE$2:$AE$3520,1),SUMIFS(Sales_Data!$AE$2:$AE$3520,Sales_Data!$C$2:$C$3520,$A17,Sales_Data!$H$2:$H$3520,G$14))</f>
        <v>0</v>
      </c>
      <c r="H17" s="26" t="n">
        <f aca="false">CHOOSE(MATCH($B$3,Lists!$C$2:$C$5,0),SUMIFS(Sales_Data!$O$2:$O$3520,Sales_Data!$C$2:$C$3520,$A17,Sales_Data!$H$2:$H$3520,H$14,Sales_Data!$AE$2:$AE$3520,1),SUMIFS(Sales_Data!$M$2:$M$3520,Sales_Data!$C$2:$C$3520,$A17,Sales_Data!$H$2:$H$3520,H$14,Sales_Data!$AE$2:$AE$3520,1),SUMIFS(Sales_Data!$N$2:$N$3520,Sales_Data!$C$2:$C$3520,$A17,Sales_Data!$H$2:$H$3520,H$14,Sales_Data!$AE$2:$AE$3520,1),SUMIFS(Sales_Data!$AE$2:$AE$3520,Sales_Data!$C$2:$C$3520,$A17,Sales_Data!$H$2:$H$3520,H$14))</f>
        <v>0</v>
      </c>
      <c r="I17" s="26" t="n">
        <f aca="false">CHOOSE(MATCH($B$3,Lists!$C$2:$C$5,0),SUMIFS(Sales_Data!$O$2:$O$3520,Sales_Data!$C$2:$C$3520,$A17,Sales_Data!$H$2:$H$3520,I$14,Sales_Data!$AE$2:$AE$3520,1),SUMIFS(Sales_Data!$M$2:$M$3520,Sales_Data!$C$2:$C$3520,$A17,Sales_Data!$H$2:$H$3520,I$14,Sales_Data!$AE$2:$AE$3520,1),SUMIFS(Sales_Data!$N$2:$N$3520,Sales_Data!$C$2:$C$3520,$A17,Sales_Data!$H$2:$H$3520,I$14,Sales_Data!$AE$2:$AE$3520,1),SUMIFS(Sales_Data!$AE$2:$AE$3520,Sales_Data!$C$2:$C$3520,$A17,Sales_Data!$H$2:$H$3520,I$14))</f>
        <v>0</v>
      </c>
      <c r="J17" s="26" t="n">
        <f aca="false">CHOOSE(MATCH($B$3,Lists!$C$2:$C$5,0),SUMIFS(Sales_Data!$O$2:$O$3520,Sales_Data!$C$2:$C$3520,$A17,Sales_Data!$H$2:$H$3520,J$14,Sales_Data!$AE$2:$AE$3520,1),SUMIFS(Sales_Data!$M$2:$M$3520,Sales_Data!$C$2:$C$3520,$A17,Sales_Data!$H$2:$H$3520,J$14,Sales_Data!$AE$2:$AE$3520,1),SUMIFS(Sales_Data!$N$2:$N$3520,Sales_Data!$C$2:$C$3520,$A17,Sales_Data!$H$2:$H$3520,J$14,Sales_Data!$AE$2:$AE$3520,1),SUMIFS(Sales_Data!$AE$2:$AE$3520,Sales_Data!$C$2:$C$3520,$A17,Sales_Data!$H$2:$H$3520,J$14))</f>
        <v>0</v>
      </c>
      <c r="K17" s="26" t="n">
        <f aca="false">CHOOSE(MATCH($B$3,Lists!$C$2:$C$5,0),SUMIFS(Sales_Data!$O$2:$O$3520,Sales_Data!$C$2:$C$3520,$A17,Sales_Data!$H$2:$H$3520,K$14,Sales_Data!$AE$2:$AE$3520,1),SUMIFS(Sales_Data!$M$2:$M$3520,Sales_Data!$C$2:$C$3520,$A17,Sales_Data!$H$2:$H$3520,K$14,Sales_Data!$AE$2:$AE$3520,1),SUMIFS(Sales_Data!$N$2:$N$3520,Sales_Data!$C$2:$C$3520,$A17,Sales_Data!$H$2:$H$3520,K$14,Sales_Data!$AE$2:$AE$3520,1),SUMIFS(Sales_Data!$AE$2:$AE$3520,Sales_Data!$C$2:$C$3520,$A17,Sales_Data!$H$2:$H$3520,K$14))</f>
        <v>0</v>
      </c>
      <c r="L17" s="26" t="n">
        <f aca="false">CHOOSE(MATCH($B$3,Lists!$C$2:$C$5,0),SUMIFS(Sales_Data!$O$2:$O$3520,Sales_Data!$C$2:$C$3520,$A17,Sales_Data!$H$2:$H$3520,L$14,Sales_Data!$AE$2:$AE$3520,1),SUMIFS(Sales_Data!$M$2:$M$3520,Sales_Data!$C$2:$C$3520,$A17,Sales_Data!$H$2:$H$3520,L$14,Sales_Data!$AE$2:$AE$3520,1),SUMIFS(Sales_Data!$N$2:$N$3520,Sales_Data!$C$2:$C$3520,$A17,Sales_Data!$H$2:$H$3520,L$14,Sales_Data!$AE$2:$AE$3520,1),SUMIFS(Sales_Data!$AE$2:$AE$3520,Sales_Data!$C$2:$C$3520,$A17,Sales_Data!$H$2:$H$3520,L$14))</f>
        <v>1</v>
      </c>
      <c r="M17" s="26" t="n">
        <f aca="false">CHOOSE(MATCH($B$3,Lists!$C$2:$C$5,0),SUMIFS(Sales_Data!$O$2:$O$3520,Sales_Data!$C$2:$C$3520,$A17,Sales_Data!$H$2:$H$3520,M$14,Sales_Data!$AE$2:$AE$3520,1),SUMIFS(Sales_Data!$M$2:$M$3520,Sales_Data!$C$2:$C$3520,$A17,Sales_Data!$H$2:$H$3520,M$14,Sales_Data!$AE$2:$AE$3520,1),SUMIFS(Sales_Data!$N$2:$N$3520,Sales_Data!$C$2:$C$3520,$A17,Sales_Data!$H$2:$H$3520,M$14,Sales_Data!$AE$2:$AE$3520,1),SUMIFS(Sales_Data!$AE$2:$AE$3520,Sales_Data!$C$2:$C$3520,$A17,Sales_Data!$H$2:$H$3520,M$14))</f>
        <v>6</v>
      </c>
      <c r="N17" s="26" t="n">
        <f aca="false">CHOOSE(MATCH($B$3,Lists!$C$2:$C$5,0),SUMIFS(Sales_Data!$O$2:$O$3520,Sales_Data!$C$2:$C$3520,$A17,Sales_Data!$H$2:$H$3520,N$14,Sales_Data!$AE$2:$AE$3520,1),SUMIFS(Sales_Data!$M$2:$M$3520,Sales_Data!$C$2:$C$3520,$A17,Sales_Data!$H$2:$H$3520,N$14,Sales_Data!$AE$2:$AE$3520,1),SUMIFS(Sales_Data!$N$2:$N$3520,Sales_Data!$C$2:$C$3520,$A17,Sales_Data!$H$2:$H$3520,N$14,Sales_Data!$AE$2:$AE$3520,1),SUMIFS(Sales_Data!$AE$2:$AE$3520,Sales_Data!$C$2:$C$3520,$A17,Sales_Data!$H$2:$H$3520,N$14))</f>
        <v>17</v>
      </c>
      <c r="O17" s="26" t="n">
        <f aca="false">CHOOSE(MATCH($B$3,Lists!$C$2:$C$5,0),SUMIFS(Sales_Data!$O$2:$O$3520,Sales_Data!$C$2:$C$3520,$A17,Sales_Data!$H$2:$H$3520,O$14,Sales_Data!$AE$2:$AE$3520,1),SUMIFS(Sales_Data!$M$2:$M$3520,Sales_Data!$C$2:$C$3520,$A17,Sales_Data!$H$2:$H$3520,O$14,Sales_Data!$AE$2:$AE$3520,1),SUMIFS(Sales_Data!$N$2:$N$3520,Sales_Data!$C$2:$C$3520,$A17,Sales_Data!$H$2:$H$3520,O$14,Sales_Data!$AE$2:$AE$3520,1),SUMIFS(Sales_Data!$AE$2:$AE$3520,Sales_Data!$C$2:$C$3520,$A17,Sales_Data!$H$2:$H$3520,O$14))</f>
        <v>0</v>
      </c>
      <c r="P17" s="27" t="n">
        <f aca="false">CHOOSE(MATCH($B$3,Lists!$C$2:$C$5,0),SUMIFS(Sales_Data!$O$2:$O$3520,Sales_Data!$C$2:$C$3520,$A17,Sales_Data!$AE$2:$AE$3520,1),SUMIFS(Sales_Data!$M$2:$M$3520,Sales_Data!$C$2:$C$3520,$A17,Sales_Data!$AE$2:$AE$3520,1),SUMIFS(Sales_Data!$N$2:$N$3520,Sales_Data!$C$2:$C$3520,$A17,Sales_Data!$AE$2:$AE$3520,1),SUMIFS(Sales_Data!$AE$2:$AE$3520,Sales_Data!$C$2:$C$3520,$A17))</f>
        <v>43</v>
      </c>
      <c r="Q17" s="27" t="n">
        <f aca="false">P17-SUM(B17:O17)</f>
        <v>14</v>
      </c>
      <c r="R17" s="3"/>
      <c r="S17" s="72" t="n">
        <f aca="false">A17</f>
        <v>46227</v>
      </c>
      <c r="T17" s="28" t="n">
        <f aca="false">B17-B16</f>
        <v>0</v>
      </c>
      <c r="U17" s="28" t="n">
        <f aca="false">C17-C16</f>
        <v>0</v>
      </c>
      <c r="V17" s="28" t="n">
        <f aca="false">D17-D16</f>
        <v>-1</v>
      </c>
      <c r="W17" s="28" t="n">
        <f aca="false">E17-E16</f>
        <v>0</v>
      </c>
      <c r="X17" s="28" t="n">
        <f aca="false">F17-F16</f>
        <v>0</v>
      </c>
      <c r="Y17" s="28" t="n">
        <f aca="false">G17-G16</f>
        <v>0</v>
      </c>
      <c r="Z17" s="28" t="n">
        <f aca="false">H17-H16</f>
        <v>0</v>
      </c>
      <c r="AA17" s="28" t="n">
        <f aca="false">I17-I16</f>
        <v>0</v>
      </c>
      <c r="AB17" s="28" t="n">
        <f aca="false">J17-J16</f>
        <v>0</v>
      </c>
      <c r="AC17" s="28" t="n">
        <f aca="false">K17-K16</f>
        <v>0</v>
      </c>
      <c r="AD17" s="28" t="n">
        <f aca="false">L17-L16</f>
        <v>-3</v>
      </c>
      <c r="AE17" s="28" t="n">
        <f aca="false">M17-M16</f>
        <v>-2</v>
      </c>
      <c r="AF17" s="28" t="n">
        <f aca="false">N17-N16</f>
        <v>7</v>
      </c>
      <c r="AG17" s="28" t="n">
        <f aca="false">O17-O16</f>
        <v>0</v>
      </c>
      <c r="AH17" s="28" t="n">
        <f aca="false">P17-P16</f>
        <v>6</v>
      </c>
    </row>
    <row r="18" customFormat="false" ht="15" hidden="false" customHeight="false" outlineLevel="0" collapsed="false">
      <c r="A18" s="72" t="n">
        <v>46228</v>
      </c>
      <c r="B18" s="26" t="n">
        <f aca="false">CHOOSE(MATCH($B$3,Lists!$C$2:$C$5,0),SUMIFS(Sales_Data!$O$2:$O$3520,Sales_Data!$C$2:$C$3520,$A18,Sales_Data!$H$2:$H$3520,B$14,Sales_Data!$AE$2:$AE$3520,1),SUMIFS(Sales_Data!$M$2:$M$3520,Sales_Data!$C$2:$C$3520,$A18,Sales_Data!$H$2:$H$3520,B$14,Sales_Data!$AE$2:$AE$3520,1),SUMIFS(Sales_Data!$N$2:$N$3520,Sales_Data!$C$2:$C$3520,$A18,Sales_Data!$H$2:$H$3520,B$14,Sales_Data!$AE$2:$AE$3520,1),SUMIFS(Sales_Data!$AE$2:$AE$3520,Sales_Data!$C$2:$C$3520,$A18,Sales_Data!$H$2:$H$3520,B$14))</f>
        <v>0</v>
      </c>
      <c r="C18" s="26" t="n">
        <f aca="false">CHOOSE(MATCH($B$3,Lists!$C$2:$C$5,0),SUMIFS(Sales_Data!$O$2:$O$3520,Sales_Data!$C$2:$C$3520,$A18,Sales_Data!$H$2:$H$3520,C$14,Sales_Data!$AE$2:$AE$3520,1),SUMIFS(Sales_Data!$M$2:$M$3520,Sales_Data!$C$2:$C$3520,$A18,Sales_Data!$H$2:$H$3520,C$14,Sales_Data!$AE$2:$AE$3520,1),SUMIFS(Sales_Data!$N$2:$N$3520,Sales_Data!$C$2:$C$3520,$A18,Sales_Data!$H$2:$H$3520,C$14,Sales_Data!$AE$2:$AE$3520,1),SUMIFS(Sales_Data!$AE$2:$AE$3520,Sales_Data!$C$2:$C$3520,$A18,Sales_Data!$H$2:$H$3520,C$14))</f>
        <v>0</v>
      </c>
      <c r="D18" s="26" t="n">
        <f aca="false">CHOOSE(MATCH($B$3,Lists!$C$2:$C$5,0),SUMIFS(Sales_Data!$O$2:$O$3520,Sales_Data!$C$2:$C$3520,$A18,Sales_Data!$H$2:$H$3520,D$14,Sales_Data!$AE$2:$AE$3520,1),SUMIFS(Sales_Data!$M$2:$M$3520,Sales_Data!$C$2:$C$3520,$A18,Sales_Data!$H$2:$H$3520,D$14,Sales_Data!$AE$2:$AE$3520,1),SUMIFS(Sales_Data!$N$2:$N$3520,Sales_Data!$C$2:$C$3520,$A18,Sales_Data!$H$2:$H$3520,D$14,Sales_Data!$AE$2:$AE$3520,1),SUMIFS(Sales_Data!$AE$2:$AE$3520,Sales_Data!$C$2:$C$3520,$A18,Sales_Data!$H$2:$H$3520,D$14))</f>
        <v>1</v>
      </c>
      <c r="E18" s="26" t="n">
        <f aca="false">CHOOSE(MATCH($B$3,Lists!$C$2:$C$5,0),SUMIFS(Sales_Data!$O$2:$O$3520,Sales_Data!$C$2:$C$3520,$A18,Sales_Data!$H$2:$H$3520,E$14,Sales_Data!$AE$2:$AE$3520,1),SUMIFS(Sales_Data!$M$2:$M$3520,Sales_Data!$C$2:$C$3520,$A18,Sales_Data!$H$2:$H$3520,E$14,Sales_Data!$AE$2:$AE$3520,1),SUMIFS(Sales_Data!$N$2:$N$3520,Sales_Data!$C$2:$C$3520,$A18,Sales_Data!$H$2:$H$3520,E$14,Sales_Data!$AE$2:$AE$3520,1),SUMIFS(Sales_Data!$AE$2:$AE$3520,Sales_Data!$C$2:$C$3520,$A18,Sales_Data!$H$2:$H$3520,E$14))</f>
        <v>0</v>
      </c>
      <c r="F18" s="26" t="n">
        <f aca="false">CHOOSE(MATCH($B$3,Lists!$C$2:$C$5,0),SUMIFS(Sales_Data!$O$2:$O$3520,Sales_Data!$C$2:$C$3520,$A18,Sales_Data!$H$2:$H$3520,F$14,Sales_Data!$AE$2:$AE$3520,1),SUMIFS(Sales_Data!$M$2:$M$3520,Sales_Data!$C$2:$C$3520,$A18,Sales_Data!$H$2:$H$3520,F$14,Sales_Data!$AE$2:$AE$3520,1),SUMIFS(Sales_Data!$N$2:$N$3520,Sales_Data!$C$2:$C$3520,$A18,Sales_Data!$H$2:$H$3520,F$14,Sales_Data!$AE$2:$AE$3520,1),SUMIFS(Sales_Data!$AE$2:$AE$3520,Sales_Data!$C$2:$C$3520,$A18,Sales_Data!$H$2:$H$3520,F$14))</f>
        <v>0</v>
      </c>
      <c r="G18" s="26" t="n">
        <f aca="false">CHOOSE(MATCH($B$3,Lists!$C$2:$C$5,0),SUMIFS(Sales_Data!$O$2:$O$3520,Sales_Data!$C$2:$C$3520,$A18,Sales_Data!$H$2:$H$3520,G$14,Sales_Data!$AE$2:$AE$3520,1),SUMIFS(Sales_Data!$M$2:$M$3520,Sales_Data!$C$2:$C$3520,$A18,Sales_Data!$H$2:$H$3520,G$14,Sales_Data!$AE$2:$AE$3520,1),SUMIFS(Sales_Data!$N$2:$N$3520,Sales_Data!$C$2:$C$3520,$A18,Sales_Data!$H$2:$H$3520,G$14,Sales_Data!$AE$2:$AE$3520,1),SUMIFS(Sales_Data!$AE$2:$AE$3520,Sales_Data!$C$2:$C$3520,$A18,Sales_Data!$H$2:$H$3520,G$14))</f>
        <v>0</v>
      </c>
      <c r="H18" s="26" t="n">
        <f aca="false">CHOOSE(MATCH($B$3,Lists!$C$2:$C$5,0),SUMIFS(Sales_Data!$O$2:$O$3520,Sales_Data!$C$2:$C$3520,$A18,Sales_Data!$H$2:$H$3520,H$14,Sales_Data!$AE$2:$AE$3520,1),SUMIFS(Sales_Data!$M$2:$M$3520,Sales_Data!$C$2:$C$3520,$A18,Sales_Data!$H$2:$H$3520,H$14,Sales_Data!$AE$2:$AE$3520,1),SUMIFS(Sales_Data!$N$2:$N$3520,Sales_Data!$C$2:$C$3520,$A18,Sales_Data!$H$2:$H$3520,H$14,Sales_Data!$AE$2:$AE$3520,1),SUMIFS(Sales_Data!$AE$2:$AE$3520,Sales_Data!$C$2:$C$3520,$A18,Sales_Data!$H$2:$H$3520,H$14))</f>
        <v>0</v>
      </c>
      <c r="I18" s="26" t="n">
        <f aca="false">CHOOSE(MATCH($B$3,Lists!$C$2:$C$5,0),SUMIFS(Sales_Data!$O$2:$O$3520,Sales_Data!$C$2:$C$3520,$A18,Sales_Data!$H$2:$H$3520,I$14,Sales_Data!$AE$2:$AE$3520,1),SUMIFS(Sales_Data!$M$2:$M$3520,Sales_Data!$C$2:$C$3520,$A18,Sales_Data!$H$2:$H$3520,I$14,Sales_Data!$AE$2:$AE$3520,1),SUMIFS(Sales_Data!$N$2:$N$3520,Sales_Data!$C$2:$C$3520,$A18,Sales_Data!$H$2:$H$3520,I$14,Sales_Data!$AE$2:$AE$3520,1),SUMIFS(Sales_Data!$AE$2:$AE$3520,Sales_Data!$C$2:$C$3520,$A18,Sales_Data!$H$2:$H$3520,I$14))</f>
        <v>0</v>
      </c>
      <c r="J18" s="26" t="n">
        <f aca="false">CHOOSE(MATCH($B$3,Lists!$C$2:$C$5,0),SUMIFS(Sales_Data!$O$2:$O$3520,Sales_Data!$C$2:$C$3520,$A18,Sales_Data!$H$2:$H$3520,J$14,Sales_Data!$AE$2:$AE$3520,1),SUMIFS(Sales_Data!$M$2:$M$3520,Sales_Data!$C$2:$C$3520,$A18,Sales_Data!$H$2:$H$3520,J$14,Sales_Data!$AE$2:$AE$3520,1),SUMIFS(Sales_Data!$N$2:$N$3520,Sales_Data!$C$2:$C$3520,$A18,Sales_Data!$H$2:$H$3520,J$14,Sales_Data!$AE$2:$AE$3520,1),SUMIFS(Sales_Data!$AE$2:$AE$3520,Sales_Data!$C$2:$C$3520,$A18,Sales_Data!$H$2:$H$3520,J$14))</f>
        <v>0</v>
      </c>
      <c r="K18" s="26" t="n">
        <f aca="false">CHOOSE(MATCH($B$3,Lists!$C$2:$C$5,0),SUMIFS(Sales_Data!$O$2:$O$3520,Sales_Data!$C$2:$C$3520,$A18,Sales_Data!$H$2:$H$3520,K$14,Sales_Data!$AE$2:$AE$3520,1),SUMIFS(Sales_Data!$M$2:$M$3520,Sales_Data!$C$2:$C$3520,$A18,Sales_Data!$H$2:$H$3520,K$14,Sales_Data!$AE$2:$AE$3520,1),SUMIFS(Sales_Data!$N$2:$N$3520,Sales_Data!$C$2:$C$3520,$A18,Sales_Data!$H$2:$H$3520,K$14,Sales_Data!$AE$2:$AE$3520,1),SUMIFS(Sales_Data!$AE$2:$AE$3520,Sales_Data!$C$2:$C$3520,$A18,Sales_Data!$H$2:$H$3520,K$14))</f>
        <v>0</v>
      </c>
      <c r="L18" s="26" t="n">
        <f aca="false">CHOOSE(MATCH($B$3,Lists!$C$2:$C$5,0),SUMIFS(Sales_Data!$O$2:$O$3520,Sales_Data!$C$2:$C$3520,$A18,Sales_Data!$H$2:$H$3520,L$14,Sales_Data!$AE$2:$AE$3520,1),SUMIFS(Sales_Data!$M$2:$M$3520,Sales_Data!$C$2:$C$3520,$A18,Sales_Data!$H$2:$H$3520,L$14,Sales_Data!$AE$2:$AE$3520,1),SUMIFS(Sales_Data!$N$2:$N$3520,Sales_Data!$C$2:$C$3520,$A18,Sales_Data!$H$2:$H$3520,L$14,Sales_Data!$AE$2:$AE$3520,1),SUMIFS(Sales_Data!$AE$2:$AE$3520,Sales_Data!$C$2:$C$3520,$A18,Sales_Data!$H$2:$H$3520,L$14))</f>
        <v>1</v>
      </c>
      <c r="M18" s="26" t="n">
        <f aca="false">CHOOSE(MATCH($B$3,Lists!$C$2:$C$5,0),SUMIFS(Sales_Data!$O$2:$O$3520,Sales_Data!$C$2:$C$3520,$A18,Sales_Data!$H$2:$H$3520,M$14,Sales_Data!$AE$2:$AE$3520,1),SUMIFS(Sales_Data!$M$2:$M$3520,Sales_Data!$C$2:$C$3520,$A18,Sales_Data!$H$2:$H$3520,M$14,Sales_Data!$AE$2:$AE$3520,1),SUMIFS(Sales_Data!$N$2:$N$3520,Sales_Data!$C$2:$C$3520,$A18,Sales_Data!$H$2:$H$3520,M$14,Sales_Data!$AE$2:$AE$3520,1),SUMIFS(Sales_Data!$AE$2:$AE$3520,Sales_Data!$C$2:$C$3520,$A18,Sales_Data!$H$2:$H$3520,M$14))</f>
        <v>10</v>
      </c>
      <c r="N18" s="26" t="n">
        <f aca="false">CHOOSE(MATCH($B$3,Lists!$C$2:$C$5,0),SUMIFS(Sales_Data!$O$2:$O$3520,Sales_Data!$C$2:$C$3520,$A18,Sales_Data!$H$2:$H$3520,N$14,Sales_Data!$AE$2:$AE$3520,1),SUMIFS(Sales_Data!$M$2:$M$3520,Sales_Data!$C$2:$C$3520,$A18,Sales_Data!$H$2:$H$3520,N$14,Sales_Data!$AE$2:$AE$3520,1),SUMIFS(Sales_Data!$N$2:$N$3520,Sales_Data!$C$2:$C$3520,$A18,Sales_Data!$H$2:$H$3520,N$14,Sales_Data!$AE$2:$AE$3520,1),SUMIFS(Sales_Data!$AE$2:$AE$3520,Sales_Data!$C$2:$C$3520,$A18,Sales_Data!$H$2:$H$3520,N$14))</f>
        <v>2</v>
      </c>
      <c r="O18" s="26" t="n">
        <f aca="false">CHOOSE(MATCH($B$3,Lists!$C$2:$C$5,0),SUMIFS(Sales_Data!$O$2:$O$3520,Sales_Data!$C$2:$C$3520,$A18,Sales_Data!$H$2:$H$3520,O$14,Sales_Data!$AE$2:$AE$3520,1),SUMIFS(Sales_Data!$M$2:$M$3520,Sales_Data!$C$2:$C$3520,$A18,Sales_Data!$H$2:$H$3520,O$14,Sales_Data!$AE$2:$AE$3520,1),SUMIFS(Sales_Data!$N$2:$N$3520,Sales_Data!$C$2:$C$3520,$A18,Sales_Data!$H$2:$H$3520,O$14,Sales_Data!$AE$2:$AE$3520,1),SUMIFS(Sales_Data!$AE$2:$AE$3520,Sales_Data!$C$2:$C$3520,$A18,Sales_Data!$H$2:$H$3520,O$14))</f>
        <v>0</v>
      </c>
      <c r="P18" s="27" t="n">
        <f aca="false">CHOOSE(MATCH($B$3,Lists!$C$2:$C$5,0),SUMIFS(Sales_Data!$O$2:$O$3520,Sales_Data!$C$2:$C$3520,$A18,Sales_Data!$AE$2:$AE$3520,1),SUMIFS(Sales_Data!$M$2:$M$3520,Sales_Data!$C$2:$C$3520,$A18,Sales_Data!$AE$2:$AE$3520,1),SUMIFS(Sales_Data!$N$2:$N$3520,Sales_Data!$C$2:$C$3520,$A18,Sales_Data!$AE$2:$AE$3520,1),SUMIFS(Sales_Data!$AE$2:$AE$3520,Sales_Data!$C$2:$C$3520,$A18))</f>
        <v>17</v>
      </c>
      <c r="Q18" s="27" t="n">
        <f aca="false">P18-SUM(B18:O18)</f>
        <v>3</v>
      </c>
      <c r="R18" s="3"/>
      <c r="S18" s="72" t="n">
        <f aca="false">A18</f>
        <v>46228</v>
      </c>
      <c r="T18" s="28" t="n">
        <f aca="false">B18-B17</f>
        <v>0</v>
      </c>
      <c r="U18" s="28" t="n">
        <f aca="false">C18-C17</f>
        <v>0</v>
      </c>
      <c r="V18" s="28" t="n">
        <f aca="false">D18-D17</f>
        <v>1</v>
      </c>
      <c r="W18" s="28" t="n">
        <f aca="false">E18-E17</f>
        <v>0</v>
      </c>
      <c r="X18" s="28" t="n">
        <f aca="false">F18-F17</f>
        <v>-5</v>
      </c>
      <c r="Y18" s="28" t="n">
        <f aca="false">G18-G17</f>
        <v>0</v>
      </c>
      <c r="Z18" s="28" t="n">
        <f aca="false">H18-H17</f>
        <v>0</v>
      </c>
      <c r="AA18" s="28" t="n">
        <f aca="false">I18-I17</f>
        <v>0</v>
      </c>
      <c r="AB18" s="28" t="n">
        <f aca="false">J18-J17</f>
        <v>0</v>
      </c>
      <c r="AC18" s="28" t="n">
        <f aca="false">K18-K17</f>
        <v>0</v>
      </c>
      <c r="AD18" s="28" t="n">
        <f aca="false">L18-L17</f>
        <v>0</v>
      </c>
      <c r="AE18" s="28" t="n">
        <f aca="false">M18-M17</f>
        <v>4</v>
      </c>
      <c r="AF18" s="28" t="n">
        <f aca="false">N18-N17</f>
        <v>-15</v>
      </c>
      <c r="AG18" s="28" t="n">
        <f aca="false">O18-O17</f>
        <v>0</v>
      </c>
      <c r="AH18" s="28" t="n">
        <f aca="false">P18-P17</f>
        <v>-26</v>
      </c>
    </row>
    <row r="19" customFormat="false" ht="15" hidden="false" customHeight="false" outlineLevel="0" collapsed="false">
      <c r="A19" s="72" t="n">
        <v>46229</v>
      </c>
      <c r="B19" s="26" t="n">
        <f aca="false">CHOOSE(MATCH($B$3,Lists!$C$2:$C$5,0),SUMIFS(Sales_Data!$O$2:$O$3520,Sales_Data!$C$2:$C$3520,$A19,Sales_Data!$H$2:$H$3520,B$14,Sales_Data!$AE$2:$AE$3520,1),SUMIFS(Sales_Data!$M$2:$M$3520,Sales_Data!$C$2:$C$3520,$A19,Sales_Data!$H$2:$H$3520,B$14,Sales_Data!$AE$2:$AE$3520,1),SUMIFS(Sales_Data!$N$2:$N$3520,Sales_Data!$C$2:$C$3520,$A19,Sales_Data!$H$2:$H$3520,B$14,Sales_Data!$AE$2:$AE$3520,1),SUMIFS(Sales_Data!$AE$2:$AE$3520,Sales_Data!$C$2:$C$3520,$A19,Sales_Data!$H$2:$H$3520,B$14))</f>
        <v>0</v>
      </c>
      <c r="C19" s="26" t="n">
        <f aca="false">CHOOSE(MATCH($B$3,Lists!$C$2:$C$5,0),SUMIFS(Sales_Data!$O$2:$O$3520,Sales_Data!$C$2:$C$3520,$A19,Sales_Data!$H$2:$H$3520,C$14,Sales_Data!$AE$2:$AE$3520,1),SUMIFS(Sales_Data!$M$2:$M$3520,Sales_Data!$C$2:$C$3520,$A19,Sales_Data!$H$2:$H$3520,C$14,Sales_Data!$AE$2:$AE$3520,1),SUMIFS(Sales_Data!$N$2:$N$3520,Sales_Data!$C$2:$C$3520,$A19,Sales_Data!$H$2:$H$3520,C$14,Sales_Data!$AE$2:$AE$3520,1),SUMIFS(Sales_Data!$AE$2:$AE$3520,Sales_Data!$C$2:$C$3520,$A19,Sales_Data!$H$2:$H$3520,C$14))</f>
        <v>0</v>
      </c>
      <c r="D19" s="26" t="n">
        <f aca="false">CHOOSE(MATCH($B$3,Lists!$C$2:$C$5,0),SUMIFS(Sales_Data!$O$2:$O$3520,Sales_Data!$C$2:$C$3520,$A19,Sales_Data!$H$2:$H$3520,D$14,Sales_Data!$AE$2:$AE$3520,1),SUMIFS(Sales_Data!$M$2:$M$3520,Sales_Data!$C$2:$C$3520,$A19,Sales_Data!$H$2:$H$3520,D$14,Sales_Data!$AE$2:$AE$3520,1),SUMIFS(Sales_Data!$N$2:$N$3520,Sales_Data!$C$2:$C$3520,$A19,Sales_Data!$H$2:$H$3520,D$14,Sales_Data!$AE$2:$AE$3520,1),SUMIFS(Sales_Data!$AE$2:$AE$3520,Sales_Data!$C$2:$C$3520,$A19,Sales_Data!$H$2:$H$3520,D$14))</f>
        <v>4</v>
      </c>
      <c r="E19" s="26" t="n">
        <f aca="false">CHOOSE(MATCH($B$3,Lists!$C$2:$C$5,0),SUMIFS(Sales_Data!$O$2:$O$3520,Sales_Data!$C$2:$C$3520,$A19,Sales_Data!$H$2:$H$3520,E$14,Sales_Data!$AE$2:$AE$3520,1),SUMIFS(Sales_Data!$M$2:$M$3520,Sales_Data!$C$2:$C$3520,$A19,Sales_Data!$H$2:$H$3520,E$14,Sales_Data!$AE$2:$AE$3520,1),SUMIFS(Sales_Data!$N$2:$N$3520,Sales_Data!$C$2:$C$3520,$A19,Sales_Data!$H$2:$H$3520,E$14,Sales_Data!$AE$2:$AE$3520,1),SUMIFS(Sales_Data!$AE$2:$AE$3520,Sales_Data!$C$2:$C$3520,$A19,Sales_Data!$H$2:$H$3520,E$14))</f>
        <v>0</v>
      </c>
      <c r="F19" s="26" t="n">
        <f aca="false">CHOOSE(MATCH($B$3,Lists!$C$2:$C$5,0),SUMIFS(Sales_Data!$O$2:$O$3520,Sales_Data!$C$2:$C$3520,$A19,Sales_Data!$H$2:$H$3520,F$14,Sales_Data!$AE$2:$AE$3520,1),SUMIFS(Sales_Data!$M$2:$M$3520,Sales_Data!$C$2:$C$3520,$A19,Sales_Data!$H$2:$H$3520,F$14,Sales_Data!$AE$2:$AE$3520,1),SUMIFS(Sales_Data!$N$2:$N$3520,Sales_Data!$C$2:$C$3520,$A19,Sales_Data!$H$2:$H$3520,F$14,Sales_Data!$AE$2:$AE$3520,1),SUMIFS(Sales_Data!$AE$2:$AE$3520,Sales_Data!$C$2:$C$3520,$A19,Sales_Data!$H$2:$H$3520,F$14))</f>
        <v>0</v>
      </c>
      <c r="G19" s="26" t="n">
        <f aca="false">CHOOSE(MATCH($B$3,Lists!$C$2:$C$5,0),SUMIFS(Sales_Data!$O$2:$O$3520,Sales_Data!$C$2:$C$3520,$A19,Sales_Data!$H$2:$H$3520,G$14,Sales_Data!$AE$2:$AE$3520,1),SUMIFS(Sales_Data!$M$2:$M$3520,Sales_Data!$C$2:$C$3520,$A19,Sales_Data!$H$2:$H$3520,G$14,Sales_Data!$AE$2:$AE$3520,1),SUMIFS(Sales_Data!$N$2:$N$3520,Sales_Data!$C$2:$C$3520,$A19,Sales_Data!$H$2:$H$3520,G$14,Sales_Data!$AE$2:$AE$3520,1),SUMIFS(Sales_Data!$AE$2:$AE$3520,Sales_Data!$C$2:$C$3520,$A19,Sales_Data!$H$2:$H$3520,G$14))</f>
        <v>0</v>
      </c>
      <c r="H19" s="26" t="n">
        <f aca="false">CHOOSE(MATCH($B$3,Lists!$C$2:$C$5,0),SUMIFS(Sales_Data!$O$2:$O$3520,Sales_Data!$C$2:$C$3520,$A19,Sales_Data!$H$2:$H$3520,H$14,Sales_Data!$AE$2:$AE$3520,1),SUMIFS(Sales_Data!$M$2:$M$3520,Sales_Data!$C$2:$C$3520,$A19,Sales_Data!$H$2:$H$3520,H$14,Sales_Data!$AE$2:$AE$3520,1),SUMIFS(Sales_Data!$N$2:$N$3520,Sales_Data!$C$2:$C$3520,$A19,Sales_Data!$H$2:$H$3520,H$14,Sales_Data!$AE$2:$AE$3520,1),SUMIFS(Sales_Data!$AE$2:$AE$3520,Sales_Data!$C$2:$C$3520,$A19,Sales_Data!$H$2:$H$3520,H$14))</f>
        <v>0</v>
      </c>
      <c r="I19" s="26" t="n">
        <f aca="false">CHOOSE(MATCH($B$3,Lists!$C$2:$C$5,0),SUMIFS(Sales_Data!$O$2:$O$3520,Sales_Data!$C$2:$C$3520,$A19,Sales_Data!$H$2:$H$3520,I$14,Sales_Data!$AE$2:$AE$3520,1),SUMIFS(Sales_Data!$M$2:$M$3520,Sales_Data!$C$2:$C$3520,$A19,Sales_Data!$H$2:$H$3520,I$14,Sales_Data!$AE$2:$AE$3520,1),SUMIFS(Sales_Data!$N$2:$N$3520,Sales_Data!$C$2:$C$3520,$A19,Sales_Data!$H$2:$H$3520,I$14,Sales_Data!$AE$2:$AE$3520,1),SUMIFS(Sales_Data!$AE$2:$AE$3520,Sales_Data!$C$2:$C$3520,$A19,Sales_Data!$H$2:$H$3520,I$14))</f>
        <v>0</v>
      </c>
      <c r="J19" s="26" t="n">
        <f aca="false">CHOOSE(MATCH($B$3,Lists!$C$2:$C$5,0),SUMIFS(Sales_Data!$O$2:$O$3520,Sales_Data!$C$2:$C$3520,$A19,Sales_Data!$H$2:$H$3520,J$14,Sales_Data!$AE$2:$AE$3520,1),SUMIFS(Sales_Data!$M$2:$M$3520,Sales_Data!$C$2:$C$3520,$A19,Sales_Data!$H$2:$H$3520,J$14,Sales_Data!$AE$2:$AE$3520,1),SUMIFS(Sales_Data!$N$2:$N$3520,Sales_Data!$C$2:$C$3520,$A19,Sales_Data!$H$2:$H$3520,J$14,Sales_Data!$AE$2:$AE$3520,1),SUMIFS(Sales_Data!$AE$2:$AE$3520,Sales_Data!$C$2:$C$3520,$A19,Sales_Data!$H$2:$H$3520,J$14))</f>
        <v>0</v>
      </c>
      <c r="K19" s="26" t="n">
        <f aca="false">CHOOSE(MATCH($B$3,Lists!$C$2:$C$5,0),SUMIFS(Sales_Data!$O$2:$O$3520,Sales_Data!$C$2:$C$3520,$A19,Sales_Data!$H$2:$H$3520,K$14,Sales_Data!$AE$2:$AE$3520,1),SUMIFS(Sales_Data!$M$2:$M$3520,Sales_Data!$C$2:$C$3520,$A19,Sales_Data!$H$2:$H$3520,K$14,Sales_Data!$AE$2:$AE$3520,1),SUMIFS(Sales_Data!$N$2:$N$3520,Sales_Data!$C$2:$C$3520,$A19,Sales_Data!$H$2:$H$3520,K$14,Sales_Data!$AE$2:$AE$3520,1),SUMIFS(Sales_Data!$AE$2:$AE$3520,Sales_Data!$C$2:$C$3520,$A19,Sales_Data!$H$2:$H$3520,K$14))</f>
        <v>0</v>
      </c>
      <c r="L19" s="26" t="n">
        <f aca="false">CHOOSE(MATCH($B$3,Lists!$C$2:$C$5,0),SUMIFS(Sales_Data!$O$2:$O$3520,Sales_Data!$C$2:$C$3520,$A19,Sales_Data!$H$2:$H$3520,L$14,Sales_Data!$AE$2:$AE$3520,1),SUMIFS(Sales_Data!$M$2:$M$3520,Sales_Data!$C$2:$C$3520,$A19,Sales_Data!$H$2:$H$3520,L$14,Sales_Data!$AE$2:$AE$3520,1),SUMIFS(Sales_Data!$N$2:$N$3520,Sales_Data!$C$2:$C$3520,$A19,Sales_Data!$H$2:$H$3520,L$14,Sales_Data!$AE$2:$AE$3520,1),SUMIFS(Sales_Data!$AE$2:$AE$3520,Sales_Data!$C$2:$C$3520,$A19,Sales_Data!$H$2:$H$3520,L$14))</f>
        <v>4</v>
      </c>
      <c r="M19" s="26" t="n">
        <f aca="false">CHOOSE(MATCH($B$3,Lists!$C$2:$C$5,0),SUMIFS(Sales_Data!$O$2:$O$3520,Sales_Data!$C$2:$C$3520,$A19,Sales_Data!$H$2:$H$3520,M$14,Sales_Data!$AE$2:$AE$3520,1),SUMIFS(Sales_Data!$M$2:$M$3520,Sales_Data!$C$2:$C$3520,$A19,Sales_Data!$H$2:$H$3520,M$14,Sales_Data!$AE$2:$AE$3520,1),SUMIFS(Sales_Data!$N$2:$N$3520,Sales_Data!$C$2:$C$3520,$A19,Sales_Data!$H$2:$H$3520,M$14,Sales_Data!$AE$2:$AE$3520,1),SUMIFS(Sales_Data!$AE$2:$AE$3520,Sales_Data!$C$2:$C$3520,$A19,Sales_Data!$H$2:$H$3520,M$14))</f>
        <v>8</v>
      </c>
      <c r="N19" s="26" t="n">
        <f aca="false">CHOOSE(MATCH($B$3,Lists!$C$2:$C$5,0),SUMIFS(Sales_Data!$O$2:$O$3520,Sales_Data!$C$2:$C$3520,$A19,Sales_Data!$H$2:$H$3520,N$14,Sales_Data!$AE$2:$AE$3520,1),SUMIFS(Sales_Data!$M$2:$M$3520,Sales_Data!$C$2:$C$3520,$A19,Sales_Data!$H$2:$H$3520,N$14,Sales_Data!$AE$2:$AE$3520,1),SUMIFS(Sales_Data!$N$2:$N$3520,Sales_Data!$C$2:$C$3520,$A19,Sales_Data!$H$2:$H$3520,N$14,Sales_Data!$AE$2:$AE$3520,1),SUMIFS(Sales_Data!$AE$2:$AE$3520,Sales_Data!$C$2:$C$3520,$A19,Sales_Data!$H$2:$H$3520,N$14))</f>
        <v>6</v>
      </c>
      <c r="O19" s="26" t="n">
        <f aca="false">CHOOSE(MATCH($B$3,Lists!$C$2:$C$5,0),SUMIFS(Sales_Data!$O$2:$O$3520,Sales_Data!$C$2:$C$3520,$A19,Sales_Data!$H$2:$H$3520,O$14,Sales_Data!$AE$2:$AE$3520,1),SUMIFS(Sales_Data!$M$2:$M$3520,Sales_Data!$C$2:$C$3520,$A19,Sales_Data!$H$2:$H$3520,O$14,Sales_Data!$AE$2:$AE$3520,1),SUMIFS(Sales_Data!$N$2:$N$3520,Sales_Data!$C$2:$C$3520,$A19,Sales_Data!$H$2:$H$3520,O$14,Sales_Data!$AE$2:$AE$3520,1),SUMIFS(Sales_Data!$AE$2:$AE$3520,Sales_Data!$C$2:$C$3520,$A19,Sales_Data!$H$2:$H$3520,O$14))</f>
        <v>0</v>
      </c>
      <c r="P19" s="27" t="n">
        <f aca="false">CHOOSE(MATCH($B$3,Lists!$C$2:$C$5,0),SUMIFS(Sales_Data!$O$2:$O$3520,Sales_Data!$C$2:$C$3520,$A19,Sales_Data!$AE$2:$AE$3520,1),SUMIFS(Sales_Data!$M$2:$M$3520,Sales_Data!$C$2:$C$3520,$A19,Sales_Data!$AE$2:$AE$3520,1),SUMIFS(Sales_Data!$N$2:$N$3520,Sales_Data!$C$2:$C$3520,$A19,Sales_Data!$AE$2:$AE$3520,1),SUMIFS(Sales_Data!$AE$2:$AE$3520,Sales_Data!$C$2:$C$3520,$A19))</f>
        <v>22</v>
      </c>
      <c r="Q19" s="27" t="n">
        <f aca="false">P19-SUM(B19:O19)</f>
        <v>0</v>
      </c>
      <c r="R19" s="3"/>
      <c r="S19" s="72" t="n">
        <f aca="false">A19</f>
        <v>46229</v>
      </c>
      <c r="T19" s="28" t="n">
        <f aca="false">B19-B18</f>
        <v>0</v>
      </c>
      <c r="U19" s="28" t="n">
        <f aca="false">C19-C18</f>
        <v>0</v>
      </c>
      <c r="V19" s="28" t="n">
        <f aca="false">D19-D18</f>
        <v>3</v>
      </c>
      <c r="W19" s="28" t="n">
        <f aca="false">E19-E18</f>
        <v>0</v>
      </c>
      <c r="X19" s="28" t="n">
        <f aca="false">F19-F18</f>
        <v>0</v>
      </c>
      <c r="Y19" s="28" t="n">
        <f aca="false">G19-G18</f>
        <v>0</v>
      </c>
      <c r="Z19" s="28" t="n">
        <f aca="false">H19-H18</f>
        <v>0</v>
      </c>
      <c r="AA19" s="28" t="n">
        <f aca="false">I19-I18</f>
        <v>0</v>
      </c>
      <c r="AB19" s="28" t="n">
        <f aca="false">J19-J18</f>
        <v>0</v>
      </c>
      <c r="AC19" s="28" t="n">
        <f aca="false">K19-K18</f>
        <v>0</v>
      </c>
      <c r="AD19" s="28" t="n">
        <f aca="false">L19-L18</f>
        <v>3</v>
      </c>
      <c r="AE19" s="28" t="n">
        <f aca="false">M19-M18</f>
        <v>-2</v>
      </c>
      <c r="AF19" s="28" t="n">
        <f aca="false">N19-N18</f>
        <v>4</v>
      </c>
      <c r="AG19" s="28" t="n">
        <f aca="false">O19-O18</f>
        <v>0</v>
      </c>
      <c r="AH19" s="28" t="n">
        <f aca="false">P19-P18</f>
        <v>5</v>
      </c>
    </row>
    <row r="20" customFormat="false" ht="15" hidden="false" customHeight="false" outlineLevel="0" collapsed="false">
      <c r="A20" s="72" t="n">
        <v>46230</v>
      </c>
      <c r="B20" s="26" t="n">
        <f aca="false">CHOOSE(MATCH($B$3,Lists!$C$2:$C$5,0),SUMIFS(Sales_Data!$O$2:$O$3520,Sales_Data!$C$2:$C$3520,$A20,Sales_Data!$H$2:$H$3520,B$14,Sales_Data!$AE$2:$AE$3520,1),SUMIFS(Sales_Data!$M$2:$M$3520,Sales_Data!$C$2:$C$3520,$A20,Sales_Data!$H$2:$H$3520,B$14,Sales_Data!$AE$2:$AE$3520,1),SUMIFS(Sales_Data!$N$2:$N$3520,Sales_Data!$C$2:$C$3520,$A20,Sales_Data!$H$2:$H$3520,B$14,Sales_Data!$AE$2:$AE$3520,1),SUMIFS(Sales_Data!$AE$2:$AE$3520,Sales_Data!$C$2:$C$3520,$A20,Sales_Data!$H$2:$H$3520,B$14))</f>
        <v>0</v>
      </c>
      <c r="C20" s="26" t="n">
        <f aca="false">CHOOSE(MATCH($B$3,Lists!$C$2:$C$5,0),SUMIFS(Sales_Data!$O$2:$O$3520,Sales_Data!$C$2:$C$3520,$A20,Sales_Data!$H$2:$H$3520,C$14,Sales_Data!$AE$2:$AE$3520,1),SUMIFS(Sales_Data!$M$2:$M$3520,Sales_Data!$C$2:$C$3520,$A20,Sales_Data!$H$2:$H$3520,C$14,Sales_Data!$AE$2:$AE$3520,1),SUMIFS(Sales_Data!$N$2:$N$3520,Sales_Data!$C$2:$C$3520,$A20,Sales_Data!$H$2:$H$3520,C$14,Sales_Data!$AE$2:$AE$3520,1),SUMIFS(Sales_Data!$AE$2:$AE$3520,Sales_Data!$C$2:$C$3520,$A20,Sales_Data!$H$2:$H$3520,C$14))</f>
        <v>0</v>
      </c>
      <c r="D20" s="26" t="n">
        <f aca="false">CHOOSE(MATCH($B$3,Lists!$C$2:$C$5,0),SUMIFS(Sales_Data!$O$2:$O$3520,Sales_Data!$C$2:$C$3520,$A20,Sales_Data!$H$2:$H$3520,D$14,Sales_Data!$AE$2:$AE$3520,1),SUMIFS(Sales_Data!$M$2:$M$3520,Sales_Data!$C$2:$C$3520,$A20,Sales_Data!$H$2:$H$3520,D$14,Sales_Data!$AE$2:$AE$3520,1),SUMIFS(Sales_Data!$N$2:$N$3520,Sales_Data!$C$2:$C$3520,$A20,Sales_Data!$H$2:$H$3520,D$14,Sales_Data!$AE$2:$AE$3520,1),SUMIFS(Sales_Data!$AE$2:$AE$3520,Sales_Data!$C$2:$C$3520,$A20,Sales_Data!$H$2:$H$3520,D$14))</f>
        <v>3</v>
      </c>
      <c r="E20" s="26" t="n">
        <f aca="false">CHOOSE(MATCH($B$3,Lists!$C$2:$C$5,0),SUMIFS(Sales_Data!$O$2:$O$3520,Sales_Data!$C$2:$C$3520,$A20,Sales_Data!$H$2:$H$3520,E$14,Sales_Data!$AE$2:$AE$3520,1),SUMIFS(Sales_Data!$M$2:$M$3520,Sales_Data!$C$2:$C$3520,$A20,Sales_Data!$H$2:$H$3520,E$14,Sales_Data!$AE$2:$AE$3520,1),SUMIFS(Sales_Data!$N$2:$N$3520,Sales_Data!$C$2:$C$3520,$A20,Sales_Data!$H$2:$H$3520,E$14,Sales_Data!$AE$2:$AE$3520,1),SUMIFS(Sales_Data!$AE$2:$AE$3520,Sales_Data!$C$2:$C$3520,$A20,Sales_Data!$H$2:$H$3520,E$14))</f>
        <v>0</v>
      </c>
      <c r="F20" s="26" t="n">
        <f aca="false">CHOOSE(MATCH($B$3,Lists!$C$2:$C$5,0),SUMIFS(Sales_Data!$O$2:$O$3520,Sales_Data!$C$2:$C$3520,$A20,Sales_Data!$H$2:$H$3520,F$14,Sales_Data!$AE$2:$AE$3520,1),SUMIFS(Sales_Data!$M$2:$M$3520,Sales_Data!$C$2:$C$3520,$A20,Sales_Data!$H$2:$H$3520,F$14,Sales_Data!$AE$2:$AE$3520,1),SUMIFS(Sales_Data!$N$2:$N$3520,Sales_Data!$C$2:$C$3520,$A20,Sales_Data!$H$2:$H$3520,F$14,Sales_Data!$AE$2:$AE$3520,1),SUMIFS(Sales_Data!$AE$2:$AE$3520,Sales_Data!$C$2:$C$3520,$A20,Sales_Data!$H$2:$H$3520,F$14))</f>
        <v>10</v>
      </c>
      <c r="G20" s="26" t="n">
        <f aca="false">CHOOSE(MATCH($B$3,Lists!$C$2:$C$5,0),SUMIFS(Sales_Data!$O$2:$O$3520,Sales_Data!$C$2:$C$3520,$A20,Sales_Data!$H$2:$H$3520,G$14,Sales_Data!$AE$2:$AE$3520,1),SUMIFS(Sales_Data!$M$2:$M$3520,Sales_Data!$C$2:$C$3520,$A20,Sales_Data!$H$2:$H$3520,G$14,Sales_Data!$AE$2:$AE$3520,1),SUMIFS(Sales_Data!$N$2:$N$3520,Sales_Data!$C$2:$C$3520,$A20,Sales_Data!$H$2:$H$3520,G$14,Sales_Data!$AE$2:$AE$3520,1),SUMIFS(Sales_Data!$AE$2:$AE$3520,Sales_Data!$C$2:$C$3520,$A20,Sales_Data!$H$2:$H$3520,G$14))</f>
        <v>0</v>
      </c>
      <c r="H20" s="26" t="n">
        <f aca="false">CHOOSE(MATCH($B$3,Lists!$C$2:$C$5,0),SUMIFS(Sales_Data!$O$2:$O$3520,Sales_Data!$C$2:$C$3520,$A20,Sales_Data!$H$2:$H$3520,H$14,Sales_Data!$AE$2:$AE$3520,1),SUMIFS(Sales_Data!$M$2:$M$3520,Sales_Data!$C$2:$C$3520,$A20,Sales_Data!$H$2:$H$3520,H$14,Sales_Data!$AE$2:$AE$3520,1),SUMIFS(Sales_Data!$N$2:$N$3520,Sales_Data!$C$2:$C$3520,$A20,Sales_Data!$H$2:$H$3520,H$14,Sales_Data!$AE$2:$AE$3520,1),SUMIFS(Sales_Data!$AE$2:$AE$3520,Sales_Data!$C$2:$C$3520,$A20,Sales_Data!$H$2:$H$3520,H$14))</f>
        <v>0</v>
      </c>
      <c r="I20" s="26" t="n">
        <f aca="false">CHOOSE(MATCH($B$3,Lists!$C$2:$C$5,0),SUMIFS(Sales_Data!$O$2:$O$3520,Sales_Data!$C$2:$C$3520,$A20,Sales_Data!$H$2:$H$3520,I$14,Sales_Data!$AE$2:$AE$3520,1),SUMIFS(Sales_Data!$M$2:$M$3520,Sales_Data!$C$2:$C$3520,$A20,Sales_Data!$H$2:$H$3520,I$14,Sales_Data!$AE$2:$AE$3520,1),SUMIFS(Sales_Data!$N$2:$N$3520,Sales_Data!$C$2:$C$3520,$A20,Sales_Data!$H$2:$H$3520,I$14,Sales_Data!$AE$2:$AE$3520,1),SUMIFS(Sales_Data!$AE$2:$AE$3520,Sales_Data!$C$2:$C$3520,$A20,Sales_Data!$H$2:$H$3520,I$14))</f>
        <v>0</v>
      </c>
      <c r="J20" s="26" t="n">
        <f aca="false">CHOOSE(MATCH($B$3,Lists!$C$2:$C$5,0),SUMIFS(Sales_Data!$O$2:$O$3520,Sales_Data!$C$2:$C$3520,$A20,Sales_Data!$H$2:$H$3520,J$14,Sales_Data!$AE$2:$AE$3520,1),SUMIFS(Sales_Data!$M$2:$M$3520,Sales_Data!$C$2:$C$3520,$A20,Sales_Data!$H$2:$H$3520,J$14,Sales_Data!$AE$2:$AE$3520,1),SUMIFS(Sales_Data!$N$2:$N$3520,Sales_Data!$C$2:$C$3520,$A20,Sales_Data!$H$2:$H$3520,J$14,Sales_Data!$AE$2:$AE$3520,1),SUMIFS(Sales_Data!$AE$2:$AE$3520,Sales_Data!$C$2:$C$3520,$A20,Sales_Data!$H$2:$H$3520,J$14))</f>
        <v>0</v>
      </c>
      <c r="K20" s="26" t="n">
        <f aca="false">CHOOSE(MATCH($B$3,Lists!$C$2:$C$5,0),SUMIFS(Sales_Data!$O$2:$O$3520,Sales_Data!$C$2:$C$3520,$A20,Sales_Data!$H$2:$H$3520,K$14,Sales_Data!$AE$2:$AE$3520,1),SUMIFS(Sales_Data!$M$2:$M$3520,Sales_Data!$C$2:$C$3520,$A20,Sales_Data!$H$2:$H$3520,K$14,Sales_Data!$AE$2:$AE$3520,1),SUMIFS(Sales_Data!$N$2:$N$3520,Sales_Data!$C$2:$C$3520,$A20,Sales_Data!$H$2:$H$3520,K$14,Sales_Data!$AE$2:$AE$3520,1),SUMIFS(Sales_Data!$AE$2:$AE$3520,Sales_Data!$C$2:$C$3520,$A20,Sales_Data!$H$2:$H$3520,K$14))</f>
        <v>0</v>
      </c>
      <c r="L20" s="26" t="n">
        <f aca="false">CHOOSE(MATCH($B$3,Lists!$C$2:$C$5,0),SUMIFS(Sales_Data!$O$2:$O$3520,Sales_Data!$C$2:$C$3520,$A20,Sales_Data!$H$2:$H$3520,L$14,Sales_Data!$AE$2:$AE$3520,1),SUMIFS(Sales_Data!$M$2:$M$3520,Sales_Data!$C$2:$C$3520,$A20,Sales_Data!$H$2:$H$3520,L$14,Sales_Data!$AE$2:$AE$3520,1),SUMIFS(Sales_Data!$N$2:$N$3520,Sales_Data!$C$2:$C$3520,$A20,Sales_Data!$H$2:$H$3520,L$14,Sales_Data!$AE$2:$AE$3520,1),SUMIFS(Sales_Data!$AE$2:$AE$3520,Sales_Data!$C$2:$C$3520,$A20,Sales_Data!$H$2:$H$3520,L$14))</f>
        <v>4</v>
      </c>
      <c r="M20" s="26" t="n">
        <f aca="false">CHOOSE(MATCH($B$3,Lists!$C$2:$C$5,0),SUMIFS(Sales_Data!$O$2:$O$3520,Sales_Data!$C$2:$C$3520,$A20,Sales_Data!$H$2:$H$3520,M$14,Sales_Data!$AE$2:$AE$3520,1),SUMIFS(Sales_Data!$M$2:$M$3520,Sales_Data!$C$2:$C$3520,$A20,Sales_Data!$H$2:$H$3520,M$14,Sales_Data!$AE$2:$AE$3520,1),SUMIFS(Sales_Data!$N$2:$N$3520,Sales_Data!$C$2:$C$3520,$A20,Sales_Data!$H$2:$H$3520,M$14,Sales_Data!$AE$2:$AE$3520,1),SUMIFS(Sales_Data!$AE$2:$AE$3520,Sales_Data!$C$2:$C$3520,$A20,Sales_Data!$H$2:$H$3520,M$14))</f>
        <v>1</v>
      </c>
      <c r="N20" s="26" t="n">
        <f aca="false">CHOOSE(MATCH($B$3,Lists!$C$2:$C$5,0),SUMIFS(Sales_Data!$O$2:$O$3520,Sales_Data!$C$2:$C$3520,$A20,Sales_Data!$H$2:$H$3520,N$14,Sales_Data!$AE$2:$AE$3520,1),SUMIFS(Sales_Data!$M$2:$M$3520,Sales_Data!$C$2:$C$3520,$A20,Sales_Data!$H$2:$H$3520,N$14,Sales_Data!$AE$2:$AE$3520,1),SUMIFS(Sales_Data!$N$2:$N$3520,Sales_Data!$C$2:$C$3520,$A20,Sales_Data!$H$2:$H$3520,N$14,Sales_Data!$AE$2:$AE$3520,1),SUMIFS(Sales_Data!$AE$2:$AE$3520,Sales_Data!$C$2:$C$3520,$A20,Sales_Data!$H$2:$H$3520,N$14))</f>
        <v>20</v>
      </c>
      <c r="O20" s="26" t="n">
        <f aca="false">CHOOSE(MATCH($B$3,Lists!$C$2:$C$5,0),SUMIFS(Sales_Data!$O$2:$O$3520,Sales_Data!$C$2:$C$3520,$A20,Sales_Data!$H$2:$H$3520,O$14,Sales_Data!$AE$2:$AE$3520,1),SUMIFS(Sales_Data!$M$2:$M$3520,Sales_Data!$C$2:$C$3520,$A20,Sales_Data!$H$2:$H$3520,O$14,Sales_Data!$AE$2:$AE$3520,1),SUMIFS(Sales_Data!$N$2:$N$3520,Sales_Data!$C$2:$C$3520,$A20,Sales_Data!$H$2:$H$3520,O$14,Sales_Data!$AE$2:$AE$3520,1),SUMIFS(Sales_Data!$AE$2:$AE$3520,Sales_Data!$C$2:$C$3520,$A20,Sales_Data!$H$2:$H$3520,O$14))</f>
        <v>0</v>
      </c>
      <c r="P20" s="27" t="n">
        <f aca="false">CHOOSE(MATCH($B$3,Lists!$C$2:$C$5,0),SUMIFS(Sales_Data!$O$2:$O$3520,Sales_Data!$C$2:$C$3520,$A20,Sales_Data!$AE$2:$AE$3520,1),SUMIFS(Sales_Data!$M$2:$M$3520,Sales_Data!$C$2:$C$3520,$A20,Sales_Data!$AE$2:$AE$3520,1),SUMIFS(Sales_Data!$N$2:$N$3520,Sales_Data!$C$2:$C$3520,$A20,Sales_Data!$AE$2:$AE$3520,1),SUMIFS(Sales_Data!$AE$2:$AE$3520,Sales_Data!$C$2:$C$3520,$A20))</f>
        <v>48</v>
      </c>
      <c r="Q20" s="27" t="n">
        <f aca="false">P20-SUM(B20:O20)</f>
        <v>10</v>
      </c>
      <c r="R20" s="3"/>
      <c r="S20" s="72" t="n">
        <f aca="false">A20</f>
        <v>46230</v>
      </c>
      <c r="T20" s="28" t="n">
        <f aca="false">B20-B19</f>
        <v>0</v>
      </c>
      <c r="U20" s="28" t="n">
        <f aca="false">C20-C19</f>
        <v>0</v>
      </c>
      <c r="V20" s="28" t="n">
        <f aca="false">D20-D19</f>
        <v>-1</v>
      </c>
      <c r="W20" s="28" t="n">
        <f aca="false">E20-E19</f>
        <v>0</v>
      </c>
      <c r="X20" s="28" t="n">
        <f aca="false">F20-F19</f>
        <v>10</v>
      </c>
      <c r="Y20" s="28" t="n">
        <f aca="false">G20-G19</f>
        <v>0</v>
      </c>
      <c r="Z20" s="28" t="n">
        <f aca="false">H20-H19</f>
        <v>0</v>
      </c>
      <c r="AA20" s="28" t="n">
        <f aca="false">I20-I19</f>
        <v>0</v>
      </c>
      <c r="AB20" s="28" t="n">
        <f aca="false">J20-J19</f>
        <v>0</v>
      </c>
      <c r="AC20" s="28" t="n">
        <f aca="false">K20-K19</f>
        <v>0</v>
      </c>
      <c r="AD20" s="28" t="n">
        <f aca="false">L20-L19</f>
        <v>0</v>
      </c>
      <c r="AE20" s="28" t="n">
        <f aca="false">M20-M19</f>
        <v>-7</v>
      </c>
      <c r="AF20" s="28" t="n">
        <f aca="false">N20-N19</f>
        <v>14</v>
      </c>
      <c r="AG20" s="28" t="n">
        <f aca="false">O20-O19</f>
        <v>0</v>
      </c>
      <c r="AH20" s="28" t="n">
        <f aca="false">P20-P19</f>
        <v>26</v>
      </c>
    </row>
    <row r="21" customFormat="false" ht="15" hidden="false" customHeight="false" outlineLevel="0" collapsed="false">
      <c r="A21" s="72" t="n">
        <v>46231</v>
      </c>
      <c r="B21" s="26" t="n">
        <f aca="false">CHOOSE(MATCH($B$3,Lists!$C$2:$C$5,0),SUMIFS(Sales_Data!$O$2:$O$3520,Sales_Data!$C$2:$C$3520,$A21,Sales_Data!$H$2:$H$3520,B$14,Sales_Data!$AE$2:$AE$3520,1),SUMIFS(Sales_Data!$M$2:$M$3520,Sales_Data!$C$2:$C$3520,$A21,Sales_Data!$H$2:$H$3520,B$14,Sales_Data!$AE$2:$AE$3520,1),SUMIFS(Sales_Data!$N$2:$N$3520,Sales_Data!$C$2:$C$3520,$A21,Sales_Data!$H$2:$H$3520,B$14,Sales_Data!$AE$2:$AE$3520,1),SUMIFS(Sales_Data!$AE$2:$AE$3520,Sales_Data!$C$2:$C$3520,$A21,Sales_Data!$H$2:$H$3520,B$14))</f>
        <v>0</v>
      </c>
      <c r="C21" s="26" t="n">
        <f aca="false">CHOOSE(MATCH($B$3,Lists!$C$2:$C$5,0),SUMIFS(Sales_Data!$O$2:$O$3520,Sales_Data!$C$2:$C$3520,$A21,Sales_Data!$H$2:$H$3520,C$14,Sales_Data!$AE$2:$AE$3520,1),SUMIFS(Sales_Data!$M$2:$M$3520,Sales_Data!$C$2:$C$3520,$A21,Sales_Data!$H$2:$H$3520,C$14,Sales_Data!$AE$2:$AE$3520,1),SUMIFS(Sales_Data!$N$2:$N$3520,Sales_Data!$C$2:$C$3520,$A21,Sales_Data!$H$2:$H$3520,C$14,Sales_Data!$AE$2:$AE$3520,1),SUMIFS(Sales_Data!$AE$2:$AE$3520,Sales_Data!$C$2:$C$3520,$A21,Sales_Data!$H$2:$H$3520,C$14))</f>
        <v>0</v>
      </c>
      <c r="D21" s="26" t="n">
        <f aca="false">CHOOSE(MATCH($B$3,Lists!$C$2:$C$5,0),SUMIFS(Sales_Data!$O$2:$O$3520,Sales_Data!$C$2:$C$3520,$A21,Sales_Data!$H$2:$H$3520,D$14,Sales_Data!$AE$2:$AE$3520,1),SUMIFS(Sales_Data!$M$2:$M$3520,Sales_Data!$C$2:$C$3520,$A21,Sales_Data!$H$2:$H$3520,D$14,Sales_Data!$AE$2:$AE$3520,1),SUMIFS(Sales_Data!$N$2:$N$3520,Sales_Data!$C$2:$C$3520,$A21,Sales_Data!$H$2:$H$3520,D$14,Sales_Data!$AE$2:$AE$3520,1),SUMIFS(Sales_Data!$AE$2:$AE$3520,Sales_Data!$C$2:$C$3520,$A21,Sales_Data!$H$2:$H$3520,D$14))</f>
        <v>4</v>
      </c>
      <c r="E21" s="26" t="n">
        <f aca="false">CHOOSE(MATCH($B$3,Lists!$C$2:$C$5,0),SUMIFS(Sales_Data!$O$2:$O$3520,Sales_Data!$C$2:$C$3520,$A21,Sales_Data!$H$2:$H$3520,E$14,Sales_Data!$AE$2:$AE$3520,1),SUMIFS(Sales_Data!$M$2:$M$3520,Sales_Data!$C$2:$C$3520,$A21,Sales_Data!$H$2:$H$3520,E$14,Sales_Data!$AE$2:$AE$3520,1),SUMIFS(Sales_Data!$N$2:$N$3520,Sales_Data!$C$2:$C$3520,$A21,Sales_Data!$H$2:$H$3520,E$14,Sales_Data!$AE$2:$AE$3520,1),SUMIFS(Sales_Data!$AE$2:$AE$3520,Sales_Data!$C$2:$C$3520,$A21,Sales_Data!$H$2:$H$3520,E$14))</f>
        <v>0</v>
      </c>
      <c r="F21" s="26" t="n">
        <f aca="false">CHOOSE(MATCH($B$3,Lists!$C$2:$C$5,0),SUMIFS(Sales_Data!$O$2:$O$3520,Sales_Data!$C$2:$C$3520,$A21,Sales_Data!$H$2:$H$3520,F$14,Sales_Data!$AE$2:$AE$3520,1),SUMIFS(Sales_Data!$M$2:$M$3520,Sales_Data!$C$2:$C$3520,$A21,Sales_Data!$H$2:$H$3520,F$14,Sales_Data!$AE$2:$AE$3520,1),SUMIFS(Sales_Data!$N$2:$N$3520,Sales_Data!$C$2:$C$3520,$A21,Sales_Data!$H$2:$H$3520,F$14,Sales_Data!$AE$2:$AE$3520,1),SUMIFS(Sales_Data!$AE$2:$AE$3520,Sales_Data!$C$2:$C$3520,$A21,Sales_Data!$H$2:$H$3520,F$14))</f>
        <v>12</v>
      </c>
      <c r="G21" s="26" t="n">
        <f aca="false">CHOOSE(MATCH($B$3,Lists!$C$2:$C$5,0),SUMIFS(Sales_Data!$O$2:$O$3520,Sales_Data!$C$2:$C$3520,$A21,Sales_Data!$H$2:$H$3520,G$14,Sales_Data!$AE$2:$AE$3520,1),SUMIFS(Sales_Data!$M$2:$M$3520,Sales_Data!$C$2:$C$3520,$A21,Sales_Data!$H$2:$H$3520,G$14,Sales_Data!$AE$2:$AE$3520,1),SUMIFS(Sales_Data!$N$2:$N$3520,Sales_Data!$C$2:$C$3520,$A21,Sales_Data!$H$2:$H$3520,G$14,Sales_Data!$AE$2:$AE$3520,1),SUMIFS(Sales_Data!$AE$2:$AE$3520,Sales_Data!$C$2:$C$3520,$A21,Sales_Data!$H$2:$H$3520,G$14))</f>
        <v>3</v>
      </c>
      <c r="H21" s="26" t="n">
        <f aca="false">CHOOSE(MATCH($B$3,Lists!$C$2:$C$5,0),SUMIFS(Sales_Data!$O$2:$O$3520,Sales_Data!$C$2:$C$3520,$A21,Sales_Data!$H$2:$H$3520,H$14,Sales_Data!$AE$2:$AE$3520,1),SUMIFS(Sales_Data!$M$2:$M$3520,Sales_Data!$C$2:$C$3520,$A21,Sales_Data!$H$2:$H$3520,H$14,Sales_Data!$AE$2:$AE$3520,1),SUMIFS(Sales_Data!$N$2:$N$3520,Sales_Data!$C$2:$C$3520,$A21,Sales_Data!$H$2:$H$3520,H$14,Sales_Data!$AE$2:$AE$3520,1),SUMIFS(Sales_Data!$AE$2:$AE$3520,Sales_Data!$C$2:$C$3520,$A21,Sales_Data!$H$2:$H$3520,H$14))</f>
        <v>0</v>
      </c>
      <c r="I21" s="26" t="n">
        <f aca="false">CHOOSE(MATCH($B$3,Lists!$C$2:$C$5,0),SUMIFS(Sales_Data!$O$2:$O$3520,Sales_Data!$C$2:$C$3520,$A21,Sales_Data!$H$2:$H$3520,I$14,Sales_Data!$AE$2:$AE$3520,1),SUMIFS(Sales_Data!$M$2:$M$3520,Sales_Data!$C$2:$C$3520,$A21,Sales_Data!$H$2:$H$3520,I$14,Sales_Data!$AE$2:$AE$3520,1),SUMIFS(Sales_Data!$N$2:$N$3520,Sales_Data!$C$2:$C$3520,$A21,Sales_Data!$H$2:$H$3520,I$14,Sales_Data!$AE$2:$AE$3520,1),SUMIFS(Sales_Data!$AE$2:$AE$3520,Sales_Data!$C$2:$C$3520,$A21,Sales_Data!$H$2:$H$3520,I$14))</f>
        <v>0</v>
      </c>
      <c r="J21" s="26" t="n">
        <f aca="false">CHOOSE(MATCH($B$3,Lists!$C$2:$C$5,0),SUMIFS(Sales_Data!$O$2:$O$3520,Sales_Data!$C$2:$C$3520,$A21,Sales_Data!$H$2:$H$3520,J$14,Sales_Data!$AE$2:$AE$3520,1),SUMIFS(Sales_Data!$M$2:$M$3520,Sales_Data!$C$2:$C$3520,$A21,Sales_Data!$H$2:$H$3520,J$14,Sales_Data!$AE$2:$AE$3520,1),SUMIFS(Sales_Data!$N$2:$N$3520,Sales_Data!$C$2:$C$3520,$A21,Sales_Data!$H$2:$H$3520,J$14,Sales_Data!$AE$2:$AE$3520,1),SUMIFS(Sales_Data!$AE$2:$AE$3520,Sales_Data!$C$2:$C$3520,$A21,Sales_Data!$H$2:$H$3520,J$14))</f>
        <v>0</v>
      </c>
      <c r="K21" s="26" t="n">
        <f aca="false">CHOOSE(MATCH($B$3,Lists!$C$2:$C$5,0),SUMIFS(Sales_Data!$O$2:$O$3520,Sales_Data!$C$2:$C$3520,$A21,Sales_Data!$H$2:$H$3520,K$14,Sales_Data!$AE$2:$AE$3520,1),SUMIFS(Sales_Data!$M$2:$M$3520,Sales_Data!$C$2:$C$3520,$A21,Sales_Data!$H$2:$H$3520,K$14,Sales_Data!$AE$2:$AE$3520,1),SUMIFS(Sales_Data!$N$2:$N$3520,Sales_Data!$C$2:$C$3520,$A21,Sales_Data!$H$2:$H$3520,K$14,Sales_Data!$AE$2:$AE$3520,1),SUMIFS(Sales_Data!$AE$2:$AE$3520,Sales_Data!$C$2:$C$3520,$A21,Sales_Data!$H$2:$H$3520,K$14))</f>
        <v>0</v>
      </c>
      <c r="L21" s="26" t="n">
        <f aca="false">CHOOSE(MATCH($B$3,Lists!$C$2:$C$5,0),SUMIFS(Sales_Data!$O$2:$O$3520,Sales_Data!$C$2:$C$3520,$A21,Sales_Data!$H$2:$H$3520,L$14,Sales_Data!$AE$2:$AE$3520,1),SUMIFS(Sales_Data!$M$2:$M$3520,Sales_Data!$C$2:$C$3520,$A21,Sales_Data!$H$2:$H$3520,L$14,Sales_Data!$AE$2:$AE$3520,1),SUMIFS(Sales_Data!$N$2:$N$3520,Sales_Data!$C$2:$C$3520,$A21,Sales_Data!$H$2:$H$3520,L$14,Sales_Data!$AE$2:$AE$3520,1),SUMIFS(Sales_Data!$AE$2:$AE$3520,Sales_Data!$C$2:$C$3520,$A21,Sales_Data!$H$2:$H$3520,L$14))</f>
        <v>0</v>
      </c>
      <c r="M21" s="26" t="n">
        <f aca="false">CHOOSE(MATCH($B$3,Lists!$C$2:$C$5,0),SUMIFS(Sales_Data!$O$2:$O$3520,Sales_Data!$C$2:$C$3520,$A21,Sales_Data!$H$2:$H$3520,M$14,Sales_Data!$AE$2:$AE$3520,1),SUMIFS(Sales_Data!$M$2:$M$3520,Sales_Data!$C$2:$C$3520,$A21,Sales_Data!$H$2:$H$3520,M$14,Sales_Data!$AE$2:$AE$3520,1),SUMIFS(Sales_Data!$N$2:$N$3520,Sales_Data!$C$2:$C$3520,$A21,Sales_Data!$H$2:$H$3520,M$14,Sales_Data!$AE$2:$AE$3520,1),SUMIFS(Sales_Data!$AE$2:$AE$3520,Sales_Data!$C$2:$C$3520,$A21,Sales_Data!$H$2:$H$3520,M$14))</f>
        <v>3</v>
      </c>
      <c r="N21" s="26" t="n">
        <f aca="false">CHOOSE(MATCH($B$3,Lists!$C$2:$C$5,0),SUMIFS(Sales_Data!$O$2:$O$3520,Sales_Data!$C$2:$C$3520,$A21,Sales_Data!$H$2:$H$3520,N$14,Sales_Data!$AE$2:$AE$3520,1),SUMIFS(Sales_Data!$M$2:$M$3520,Sales_Data!$C$2:$C$3520,$A21,Sales_Data!$H$2:$H$3520,N$14,Sales_Data!$AE$2:$AE$3520,1),SUMIFS(Sales_Data!$N$2:$N$3520,Sales_Data!$C$2:$C$3520,$A21,Sales_Data!$H$2:$H$3520,N$14,Sales_Data!$AE$2:$AE$3520,1),SUMIFS(Sales_Data!$AE$2:$AE$3520,Sales_Data!$C$2:$C$3520,$A21,Sales_Data!$H$2:$H$3520,N$14))</f>
        <v>11</v>
      </c>
      <c r="O21" s="26" t="n">
        <f aca="false">CHOOSE(MATCH($B$3,Lists!$C$2:$C$5,0),SUMIFS(Sales_Data!$O$2:$O$3520,Sales_Data!$C$2:$C$3520,$A21,Sales_Data!$H$2:$H$3520,O$14,Sales_Data!$AE$2:$AE$3520,1),SUMIFS(Sales_Data!$M$2:$M$3520,Sales_Data!$C$2:$C$3520,$A21,Sales_Data!$H$2:$H$3520,O$14,Sales_Data!$AE$2:$AE$3520,1),SUMIFS(Sales_Data!$N$2:$N$3520,Sales_Data!$C$2:$C$3520,$A21,Sales_Data!$H$2:$H$3520,O$14,Sales_Data!$AE$2:$AE$3520,1),SUMIFS(Sales_Data!$AE$2:$AE$3520,Sales_Data!$C$2:$C$3520,$A21,Sales_Data!$H$2:$H$3520,O$14))</f>
        <v>0</v>
      </c>
      <c r="P21" s="27" t="n">
        <f aca="false">CHOOSE(MATCH($B$3,Lists!$C$2:$C$5,0),SUMIFS(Sales_Data!$O$2:$O$3520,Sales_Data!$C$2:$C$3520,$A21,Sales_Data!$AE$2:$AE$3520,1),SUMIFS(Sales_Data!$M$2:$M$3520,Sales_Data!$C$2:$C$3520,$A21,Sales_Data!$AE$2:$AE$3520,1),SUMIFS(Sales_Data!$N$2:$N$3520,Sales_Data!$C$2:$C$3520,$A21,Sales_Data!$AE$2:$AE$3520,1),SUMIFS(Sales_Data!$AE$2:$AE$3520,Sales_Data!$C$2:$C$3520,$A21))</f>
        <v>46</v>
      </c>
      <c r="Q21" s="27" t="n">
        <f aca="false">P21-SUM(B21:O21)</f>
        <v>13</v>
      </c>
      <c r="R21" s="3"/>
      <c r="S21" s="72" t="n">
        <f aca="false">A21</f>
        <v>46231</v>
      </c>
      <c r="T21" s="28" t="n">
        <f aca="false">B21-B20</f>
        <v>0</v>
      </c>
      <c r="U21" s="28" t="n">
        <f aca="false">C21-C20</f>
        <v>0</v>
      </c>
      <c r="V21" s="28" t="n">
        <f aca="false">D21-D20</f>
        <v>1</v>
      </c>
      <c r="W21" s="28" t="n">
        <f aca="false">E21-E20</f>
        <v>0</v>
      </c>
      <c r="X21" s="28" t="n">
        <f aca="false">F21-F20</f>
        <v>2</v>
      </c>
      <c r="Y21" s="28" t="n">
        <f aca="false">G21-G20</f>
        <v>3</v>
      </c>
      <c r="Z21" s="28" t="n">
        <f aca="false">H21-H20</f>
        <v>0</v>
      </c>
      <c r="AA21" s="28" t="n">
        <f aca="false">I21-I20</f>
        <v>0</v>
      </c>
      <c r="AB21" s="28" t="n">
        <f aca="false">J21-J20</f>
        <v>0</v>
      </c>
      <c r="AC21" s="28" t="n">
        <f aca="false">K21-K20</f>
        <v>0</v>
      </c>
      <c r="AD21" s="28" t="n">
        <f aca="false">L21-L20</f>
        <v>-4</v>
      </c>
      <c r="AE21" s="28" t="n">
        <f aca="false">M21-M20</f>
        <v>2</v>
      </c>
      <c r="AF21" s="28" t="n">
        <f aca="false">N21-N20</f>
        <v>-9</v>
      </c>
      <c r="AG21" s="28" t="n">
        <f aca="false">O21-O20</f>
        <v>0</v>
      </c>
      <c r="AH21" s="28" t="n">
        <f aca="false">P21-P20</f>
        <v>-2</v>
      </c>
    </row>
    <row r="22" customFormat="false" ht="15" hidden="false" customHeight="false" outlineLevel="0" collapsed="false">
      <c r="A22" s="72" t="n">
        <v>46232</v>
      </c>
      <c r="B22" s="26" t="n">
        <f aca="false">CHOOSE(MATCH($B$3,Lists!$C$2:$C$5,0),SUMIFS(Sales_Data!$O$2:$O$3520,Sales_Data!$C$2:$C$3520,$A22,Sales_Data!$H$2:$H$3520,B$14,Sales_Data!$AE$2:$AE$3520,1),SUMIFS(Sales_Data!$M$2:$M$3520,Sales_Data!$C$2:$C$3520,$A22,Sales_Data!$H$2:$H$3520,B$14,Sales_Data!$AE$2:$AE$3520,1),SUMIFS(Sales_Data!$N$2:$N$3520,Sales_Data!$C$2:$C$3520,$A22,Sales_Data!$H$2:$H$3520,B$14,Sales_Data!$AE$2:$AE$3520,1),SUMIFS(Sales_Data!$AE$2:$AE$3520,Sales_Data!$C$2:$C$3520,$A22,Sales_Data!$H$2:$H$3520,B$14))</f>
        <v>0</v>
      </c>
      <c r="C22" s="26" t="n">
        <f aca="false">CHOOSE(MATCH($B$3,Lists!$C$2:$C$5,0),SUMIFS(Sales_Data!$O$2:$O$3520,Sales_Data!$C$2:$C$3520,$A22,Sales_Data!$H$2:$H$3520,C$14,Sales_Data!$AE$2:$AE$3520,1),SUMIFS(Sales_Data!$M$2:$M$3520,Sales_Data!$C$2:$C$3520,$A22,Sales_Data!$H$2:$H$3520,C$14,Sales_Data!$AE$2:$AE$3520,1),SUMIFS(Sales_Data!$N$2:$N$3520,Sales_Data!$C$2:$C$3520,$A22,Sales_Data!$H$2:$H$3520,C$14,Sales_Data!$AE$2:$AE$3520,1),SUMIFS(Sales_Data!$AE$2:$AE$3520,Sales_Data!$C$2:$C$3520,$A22,Sales_Data!$H$2:$H$3520,C$14))</f>
        <v>0</v>
      </c>
      <c r="D22" s="26" t="n">
        <f aca="false">CHOOSE(MATCH($B$3,Lists!$C$2:$C$5,0),SUMIFS(Sales_Data!$O$2:$O$3520,Sales_Data!$C$2:$C$3520,$A22,Sales_Data!$H$2:$H$3520,D$14,Sales_Data!$AE$2:$AE$3520,1),SUMIFS(Sales_Data!$M$2:$M$3520,Sales_Data!$C$2:$C$3520,$A22,Sales_Data!$H$2:$H$3520,D$14,Sales_Data!$AE$2:$AE$3520,1),SUMIFS(Sales_Data!$N$2:$N$3520,Sales_Data!$C$2:$C$3520,$A22,Sales_Data!$H$2:$H$3520,D$14,Sales_Data!$AE$2:$AE$3520,1),SUMIFS(Sales_Data!$AE$2:$AE$3520,Sales_Data!$C$2:$C$3520,$A22,Sales_Data!$H$2:$H$3520,D$14))</f>
        <v>1</v>
      </c>
      <c r="E22" s="26" t="n">
        <f aca="false">CHOOSE(MATCH($B$3,Lists!$C$2:$C$5,0),SUMIFS(Sales_Data!$O$2:$O$3520,Sales_Data!$C$2:$C$3520,$A22,Sales_Data!$H$2:$H$3520,E$14,Sales_Data!$AE$2:$AE$3520,1),SUMIFS(Sales_Data!$M$2:$M$3520,Sales_Data!$C$2:$C$3520,$A22,Sales_Data!$H$2:$H$3520,E$14,Sales_Data!$AE$2:$AE$3520,1),SUMIFS(Sales_Data!$N$2:$N$3520,Sales_Data!$C$2:$C$3520,$A22,Sales_Data!$H$2:$H$3520,E$14,Sales_Data!$AE$2:$AE$3520,1),SUMIFS(Sales_Data!$AE$2:$AE$3520,Sales_Data!$C$2:$C$3520,$A22,Sales_Data!$H$2:$H$3520,E$14))</f>
        <v>0</v>
      </c>
      <c r="F22" s="26" t="n">
        <f aca="false">CHOOSE(MATCH($B$3,Lists!$C$2:$C$5,0),SUMIFS(Sales_Data!$O$2:$O$3520,Sales_Data!$C$2:$C$3520,$A22,Sales_Data!$H$2:$H$3520,F$14,Sales_Data!$AE$2:$AE$3520,1),SUMIFS(Sales_Data!$M$2:$M$3520,Sales_Data!$C$2:$C$3520,$A22,Sales_Data!$H$2:$H$3520,F$14,Sales_Data!$AE$2:$AE$3520,1),SUMIFS(Sales_Data!$N$2:$N$3520,Sales_Data!$C$2:$C$3520,$A22,Sales_Data!$H$2:$H$3520,F$14,Sales_Data!$AE$2:$AE$3520,1),SUMIFS(Sales_Data!$AE$2:$AE$3520,Sales_Data!$C$2:$C$3520,$A22,Sales_Data!$H$2:$H$3520,F$14))</f>
        <v>13</v>
      </c>
      <c r="G22" s="26" t="n">
        <f aca="false">CHOOSE(MATCH($B$3,Lists!$C$2:$C$5,0),SUMIFS(Sales_Data!$O$2:$O$3520,Sales_Data!$C$2:$C$3520,$A22,Sales_Data!$H$2:$H$3520,G$14,Sales_Data!$AE$2:$AE$3520,1),SUMIFS(Sales_Data!$M$2:$M$3520,Sales_Data!$C$2:$C$3520,$A22,Sales_Data!$H$2:$H$3520,G$14,Sales_Data!$AE$2:$AE$3520,1),SUMIFS(Sales_Data!$N$2:$N$3520,Sales_Data!$C$2:$C$3520,$A22,Sales_Data!$H$2:$H$3520,G$14,Sales_Data!$AE$2:$AE$3520,1),SUMIFS(Sales_Data!$AE$2:$AE$3520,Sales_Data!$C$2:$C$3520,$A22,Sales_Data!$H$2:$H$3520,G$14))</f>
        <v>1</v>
      </c>
      <c r="H22" s="26" t="n">
        <f aca="false">CHOOSE(MATCH($B$3,Lists!$C$2:$C$5,0),SUMIFS(Sales_Data!$O$2:$O$3520,Sales_Data!$C$2:$C$3520,$A22,Sales_Data!$H$2:$H$3520,H$14,Sales_Data!$AE$2:$AE$3520,1),SUMIFS(Sales_Data!$M$2:$M$3520,Sales_Data!$C$2:$C$3520,$A22,Sales_Data!$H$2:$H$3520,H$14,Sales_Data!$AE$2:$AE$3520,1),SUMIFS(Sales_Data!$N$2:$N$3520,Sales_Data!$C$2:$C$3520,$A22,Sales_Data!$H$2:$H$3520,H$14,Sales_Data!$AE$2:$AE$3520,1),SUMIFS(Sales_Data!$AE$2:$AE$3520,Sales_Data!$C$2:$C$3520,$A22,Sales_Data!$H$2:$H$3520,H$14))</f>
        <v>0</v>
      </c>
      <c r="I22" s="26" t="n">
        <f aca="false">CHOOSE(MATCH($B$3,Lists!$C$2:$C$5,0),SUMIFS(Sales_Data!$O$2:$O$3520,Sales_Data!$C$2:$C$3520,$A22,Sales_Data!$H$2:$H$3520,I$14,Sales_Data!$AE$2:$AE$3520,1),SUMIFS(Sales_Data!$M$2:$M$3520,Sales_Data!$C$2:$C$3520,$A22,Sales_Data!$H$2:$H$3520,I$14,Sales_Data!$AE$2:$AE$3520,1),SUMIFS(Sales_Data!$N$2:$N$3520,Sales_Data!$C$2:$C$3520,$A22,Sales_Data!$H$2:$H$3520,I$14,Sales_Data!$AE$2:$AE$3520,1),SUMIFS(Sales_Data!$AE$2:$AE$3520,Sales_Data!$C$2:$C$3520,$A22,Sales_Data!$H$2:$H$3520,I$14))</f>
        <v>0</v>
      </c>
      <c r="J22" s="26" t="n">
        <f aca="false">CHOOSE(MATCH($B$3,Lists!$C$2:$C$5,0),SUMIFS(Sales_Data!$O$2:$O$3520,Sales_Data!$C$2:$C$3520,$A22,Sales_Data!$H$2:$H$3520,J$14,Sales_Data!$AE$2:$AE$3520,1),SUMIFS(Sales_Data!$M$2:$M$3520,Sales_Data!$C$2:$C$3520,$A22,Sales_Data!$H$2:$H$3520,J$14,Sales_Data!$AE$2:$AE$3520,1),SUMIFS(Sales_Data!$N$2:$N$3520,Sales_Data!$C$2:$C$3520,$A22,Sales_Data!$H$2:$H$3520,J$14,Sales_Data!$AE$2:$AE$3520,1),SUMIFS(Sales_Data!$AE$2:$AE$3520,Sales_Data!$C$2:$C$3520,$A22,Sales_Data!$H$2:$H$3520,J$14))</f>
        <v>0</v>
      </c>
      <c r="K22" s="26" t="n">
        <f aca="false">CHOOSE(MATCH($B$3,Lists!$C$2:$C$5,0),SUMIFS(Sales_Data!$O$2:$O$3520,Sales_Data!$C$2:$C$3520,$A22,Sales_Data!$H$2:$H$3520,K$14,Sales_Data!$AE$2:$AE$3520,1),SUMIFS(Sales_Data!$M$2:$M$3520,Sales_Data!$C$2:$C$3520,$A22,Sales_Data!$H$2:$H$3520,K$14,Sales_Data!$AE$2:$AE$3520,1),SUMIFS(Sales_Data!$N$2:$N$3520,Sales_Data!$C$2:$C$3520,$A22,Sales_Data!$H$2:$H$3520,K$14,Sales_Data!$AE$2:$AE$3520,1),SUMIFS(Sales_Data!$AE$2:$AE$3520,Sales_Data!$C$2:$C$3520,$A22,Sales_Data!$H$2:$H$3520,K$14))</f>
        <v>0</v>
      </c>
      <c r="L22" s="26" t="n">
        <f aca="false">CHOOSE(MATCH($B$3,Lists!$C$2:$C$5,0),SUMIFS(Sales_Data!$O$2:$O$3520,Sales_Data!$C$2:$C$3520,$A22,Sales_Data!$H$2:$H$3520,L$14,Sales_Data!$AE$2:$AE$3520,1),SUMIFS(Sales_Data!$M$2:$M$3520,Sales_Data!$C$2:$C$3520,$A22,Sales_Data!$H$2:$H$3520,L$14,Sales_Data!$AE$2:$AE$3520,1),SUMIFS(Sales_Data!$N$2:$N$3520,Sales_Data!$C$2:$C$3520,$A22,Sales_Data!$H$2:$H$3520,L$14,Sales_Data!$AE$2:$AE$3520,1),SUMIFS(Sales_Data!$AE$2:$AE$3520,Sales_Data!$C$2:$C$3520,$A22,Sales_Data!$H$2:$H$3520,L$14))</f>
        <v>3</v>
      </c>
      <c r="M22" s="26" t="n">
        <f aca="false">CHOOSE(MATCH($B$3,Lists!$C$2:$C$5,0),SUMIFS(Sales_Data!$O$2:$O$3520,Sales_Data!$C$2:$C$3520,$A22,Sales_Data!$H$2:$H$3520,M$14,Sales_Data!$AE$2:$AE$3520,1),SUMIFS(Sales_Data!$M$2:$M$3520,Sales_Data!$C$2:$C$3520,$A22,Sales_Data!$H$2:$H$3520,M$14,Sales_Data!$AE$2:$AE$3520,1),SUMIFS(Sales_Data!$N$2:$N$3520,Sales_Data!$C$2:$C$3520,$A22,Sales_Data!$H$2:$H$3520,M$14,Sales_Data!$AE$2:$AE$3520,1),SUMIFS(Sales_Data!$AE$2:$AE$3520,Sales_Data!$C$2:$C$3520,$A22,Sales_Data!$H$2:$H$3520,M$14))</f>
        <v>1</v>
      </c>
      <c r="N22" s="26" t="n">
        <f aca="false">CHOOSE(MATCH($B$3,Lists!$C$2:$C$5,0),SUMIFS(Sales_Data!$O$2:$O$3520,Sales_Data!$C$2:$C$3520,$A22,Sales_Data!$H$2:$H$3520,N$14,Sales_Data!$AE$2:$AE$3520,1),SUMIFS(Sales_Data!$M$2:$M$3520,Sales_Data!$C$2:$C$3520,$A22,Sales_Data!$H$2:$H$3520,N$14,Sales_Data!$AE$2:$AE$3520,1),SUMIFS(Sales_Data!$N$2:$N$3520,Sales_Data!$C$2:$C$3520,$A22,Sales_Data!$H$2:$H$3520,N$14,Sales_Data!$AE$2:$AE$3520,1),SUMIFS(Sales_Data!$AE$2:$AE$3520,Sales_Data!$C$2:$C$3520,$A22,Sales_Data!$H$2:$H$3520,N$14))</f>
        <v>22</v>
      </c>
      <c r="O22" s="26" t="n">
        <f aca="false">CHOOSE(MATCH($B$3,Lists!$C$2:$C$5,0),SUMIFS(Sales_Data!$O$2:$O$3520,Sales_Data!$C$2:$C$3520,$A22,Sales_Data!$H$2:$H$3520,O$14,Sales_Data!$AE$2:$AE$3520,1),SUMIFS(Sales_Data!$M$2:$M$3520,Sales_Data!$C$2:$C$3520,$A22,Sales_Data!$H$2:$H$3520,O$14,Sales_Data!$AE$2:$AE$3520,1),SUMIFS(Sales_Data!$N$2:$N$3520,Sales_Data!$C$2:$C$3520,$A22,Sales_Data!$H$2:$H$3520,O$14,Sales_Data!$AE$2:$AE$3520,1),SUMIFS(Sales_Data!$AE$2:$AE$3520,Sales_Data!$C$2:$C$3520,$A22,Sales_Data!$H$2:$H$3520,O$14))</f>
        <v>0</v>
      </c>
      <c r="P22" s="27" t="n">
        <f aca="false">CHOOSE(MATCH($B$3,Lists!$C$2:$C$5,0),SUMIFS(Sales_Data!$O$2:$O$3520,Sales_Data!$C$2:$C$3520,$A22,Sales_Data!$AE$2:$AE$3520,1),SUMIFS(Sales_Data!$M$2:$M$3520,Sales_Data!$C$2:$C$3520,$A22,Sales_Data!$AE$2:$AE$3520,1),SUMIFS(Sales_Data!$N$2:$N$3520,Sales_Data!$C$2:$C$3520,$A22,Sales_Data!$AE$2:$AE$3520,1),SUMIFS(Sales_Data!$AE$2:$AE$3520,Sales_Data!$C$2:$C$3520,$A22))</f>
        <v>48</v>
      </c>
      <c r="Q22" s="27" t="n">
        <f aca="false">P22-SUM(B22:O22)</f>
        <v>7</v>
      </c>
      <c r="R22" s="3"/>
      <c r="S22" s="72" t="n">
        <f aca="false">A22</f>
        <v>46232</v>
      </c>
      <c r="T22" s="28" t="n">
        <f aca="false">B22-B21</f>
        <v>0</v>
      </c>
      <c r="U22" s="28" t="n">
        <f aca="false">C22-C21</f>
        <v>0</v>
      </c>
      <c r="V22" s="28" t="n">
        <f aca="false">D22-D21</f>
        <v>-3</v>
      </c>
      <c r="W22" s="28" t="n">
        <f aca="false">E22-E21</f>
        <v>0</v>
      </c>
      <c r="X22" s="28" t="n">
        <f aca="false">F22-F21</f>
        <v>1</v>
      </c>
      <c r="Y22" s="28" t="n">
        <f aca="false">G22-G21</f>
        <v>-2</v>
      </c>
      <c r="Z22" s="28" t="n">
        <f aca="false">H22-H21</f>
        <v>0</v>
      </c>
      <c r="AA22" s="28" t="n">
        <f aca="false">I22-I21</f>
        <v>0</v>
      </c>
      <c r="AB22" s="28" t="n">
        <f aca="false">J22-J21</f>
        <v>0</v>
      </c>
      <c r="AC22" s="28" t="n">
        <f aca="false">K22-K21</f>
        <v>0</v>
      </c>
      <c r="AD22" s="28" t="n">
        <f aca="false">L22-L21</f>
        <v>3</v>
      </c>
      <c r="AE22" s="28" t="n">
        <f aca="false">M22-M21</f>
        <v>-2</v>
      </c>
      <c r="AF22" s="28" t="n">
        <f aca="false">N22-N21</f>
        <v>11</v>
      </c>
      <c r="AG22" s="28" t="n">
        <f aca="false">O22-O21</f>
        <v>0</v>
      </c>
      <c r="AH22" s="28" t="n">
        <f aca="false">P22-P21</f>
        <v>2</v>
      </c>
    </row>
    <row r="23" customFormat="false" ht="15" hidden="false" customHeight="false" outlineLevel="0" collapsed="false">
      <c r="A23" s="72" t="n">
        <v>46233</v>
      </c>
      <c r="B23" s="26" t="n">
        <f aca="false">CHOOSE(MATCH($B$3,Lists!$C$2:$C$5,0),SUMIFS(Sales_Data!$O$2:$O$3520,Sales_Data!$C$2:$C$3520,$A23,Sales_Data!$H$2:$H$3520,B$14,Sales_Data!$AE$2:$AE$3520,1),SUMIFS(Sales_Data!$M$2:$M$3520,Sales_Data!$C$2:$C$3520,$A23,Sales_Data!$H$2:$H$3520,B$14,Sales_Data!$AE$2:$AE$3520,1),SUMIFS(Sales_Data!$N$2:$N$3520,Sales_Data!$C$2:$C$3520,$A23,Sales_Data!$H$2:$H$3520,B$14,Sales_Data!$AE$2:$AE$3520,1),SUMIFS(Sales_Data!$AE$2:$AE$3520,Sales_Data!$C$2:$C$3520,$A23,Sales_Data!$H$2:$H$3520,B$14))</f>
        <v>0</v>
      </c>
      <c r="C23" s="26" t="n">
        <f aca="false">CHOOSE(MATCH($B$3,Lists!$C$2:$C$5,0),SUMIFS(Sales_Data!$O$2:$O$3520,Sales_Data!$C$2:$C$3520,$A23,Sales_Data!$H$2:$H$3520,C$14,Sales_Data!$AE$2:$AE$3520,1),SUMIFS(Sales_Data!$M$2:$M$3520,Sales_Data!$C$2:$C$3520,$A23,Sales_Data!$H$2:$H$3520,C$14,Sales_Data!$AE$2:$AE$3520,1),SUMIFS(Sales_Data!$N$2:$N$3520,Sales_Data!$C$2:$C$3520,$A23,Sales_Data!$H$2:$H$3520,C$14,Sales_Data!$AE$2:$AE$3520,1),SUMIFS(Sales_Data!$AE$2:$AE$3520,Sales_Data!$C$2:$C$3520,$A23,Sales_Data!$H$2:$H$3520,C$14))</f>
        <v>0</v>
      </c>
      <c r="D23" s="26" t="n">
        <f aca="false">CHOOSE(MATCH($B$3,Lists!$C$2:$C$5,0),SUMIFS(Sales_Data!$O$2:$O$3520,Sales_Data!$C$2:$C$3520,$A23,Sales_Data!$H$2:$H$3520,D$14,Sales_Data!$AE$2:$AE$3520,1),SUMIFS(Sales_Data!$M$2:$M$3520,Sales_Data!$C$2:$C$3520,$A23,Sales_Data!$H$2:$H$3520,D$14,Sales_Data!$AE$2:$AE$3520,1),SUMIFS(Sales_Data!$N$2:$N$3520,Sales_Data!$C$2:$C$3520,$A23,Sales_Data!$H$2:$H$3520,D$14,Sales_Data!$AE$2:$AE$3520,1),SUMIFS(Sales_Data!$AE$2:$AE$3520,Sales_Data!$C$2:$C$3520,$A23,Sales_Data!$H$2:$H$3520,D$14))</f>
        <v>0</v>
      </c>
      <c r="E23" s="26" t="n">
        <f aca="false">CHOOSE(MATCH($B$3,Lists!$C$2:$C$5,0),SUMIFS(Sales_Data!$O$2:$O$3520,Sales_Data!$C$2:$C$3520,$A23,Sales_Data!$H$2:$H$3520,E$14,Sales_Data!$AE$2:$AE$3520,1),SUMIFS(Sales_Data!$M$2:$M$3520,Sales_Data!$C$2:$C$3520,$A23,Sales_Data!$H$2:$H$3520,E$14,Sales_Data!$AE$2:$AE$3520,1),SUMIFS(Sales_Data!$N$2:$N$3520,Sales_Data!$C$2:$C$3520,$A23,Sales_Data!$H$2:$H$3520,E$14,Sales_Data!$AE$2:$AE$3520,1),SUMIFS(Sales_Data!$AE$2:$AE$3520,Sales_Data!$C$2:$C$3520,$A23,Sales_Data!$H$2:$H$3520,E$14))</f>
        <v>0</v>
      </c>
      <c r="F23" s="26" t="n">
        <f aca="false">CHOOSE(MATCH($B$3,Lists!$C$2:$C$5,0),SUMIFS(Sales_Data!$O$2:$O$3520,Sales_Data!$C$2:$C$3520,$A23,Sales_Data!$H$2:$H$3520,F$14,Sales_Data!$AE$2:$AE$3520,1),SUMIFS(Sales_Data!$M$2:$M$3520,Sales_Data!$C$2:$C$3520,$A23,Sales_Data!$H$2:$H$3520,F$14,Sales_Data!$AE$2:$AE$3520,1),SUMIFS(Sales_Data!$N$2:$N$3520,Sales_Data!$C$2:$C$3520,$A23,Sales_Data!$H$2:$H$3520,F$14,Sales_Data!$AE$2:$AE$3520,1),SUMIFS(Sales_Data!$AE$2:$AE$3520,Sales_Data!$C$2:$C$3520,$A23,Sales_Data!$H$2:$H$3520,F$14))</f>
        <v>5</v>
      </c>
      <c r="G23" s="26" t="n">
        <f aca="false">CHOOSE(MATCH($B$3,Lists!$C$2:$C$5,0),SUMIFS(Sales_Data!$O$2:$O$3520,Sales_Data!$C$2:$C$3520,$A23,Sales_Data!$H$2:$H$3520,G$14,Sales_Data!$AE$2:$AE$3520,1),SUMIFS(Sales_Data!$M$2:$M$3520,Sales_Data!$C$2:$C$3520,$A23,Sales_Data!$H$2:$H$3520,G$14,Sales_Data!$AE$2:$AE$3520,1),SUMIFS(Sales_Data!$N$2:$N$3520,Sales_Data!$C$2:$C$3520,$A23,Sales_Data!$H$2:$H$3520,G$14,Sales_Data!$AE$2:$AE$3520,1),SUMIFS(Sales_Data!$AE$2:$AE$3520,Sales_Data!$C$2:$C$3520,$A23,Sales_Data!$H$2:$H$3520,G$14))</f>
        <v>0</v>
      </c>
      <c r="H23" s="26" t="n">
        <f aca="false">CHOOSE(MATCH($B$3,Lists!$C$2:$C$5,0),SUMIFS(Sales_Data!$O$2:$O$3520,Sales_Data!$C$2:$C$3520,$A23,Sales_Data!$H$2:$H$3520,H$14,Sales_Data!$AE$2:$AE$3520,1),SUMIFS(Sales_Data!$M$2:$M$3520,Sales_Data!$C$2:$C$3520,$A23,Sales_Data!$H$2:$H$3520,H$14,Sales_Data!$AE$2:$AE$3520,1),SUMIFS(Sales_Data!$N$2:$N$3520,Sales_Data!$C$2:$C$3520,$A23,Sales_Data!$H$2:$H$3520,H$14,Sales_Data!$AE$2:$AE$3520,1),SUMIFS(Sales_Data!$AE$2:$AE$3520,Sales_Data!$C$2:$C$3520,$A23,Sales_Data!$H$2:$H$3520,H$14))</f>
        <v>0</v>
      </c>
      <c r="I23" s="26" t="n">
        <f aca="false">CHOOSE(MATCH($B$3,Lists!$C$2:$C$5,0),SUMIFS(Sales_Data!$O$2:$O$3520,Sales_Data!$C$2:$C$3520,$A23,Sales_Data!$H$2:$H$3520,I$14,Sales_Data!$AE$2:$AE$3520,1),SUMIFS(Sales_Data!$M$2:$M$3520,Sales_Data!$C$2:$C$3520,$A23,Sales_Data!$H$2:$H$3520,I$14,Sales_Data!$AE$2:$AE$3520,1),SUMIFS(Sales_Data!$N$2:$N$3520,Sales_Data!$C$2:$C$3520,$A23,Sales_Data!$H$2:$H$3520,I$14,Sales_Data!$AE$2:$AE$3520,1),SUMIFS(Sales_Data!$AE$2:$AE$3520,Sales_Data!$C$2:$C$3520,$A23,Sales_Data!$H$2:$H$3520,I$14))</f>
        <v>0</v>
      </c>
      <c r="J23" s="26" t="n">
        <f aca="false">CHOOSE(MATCH($B$3,Lists!$C$2:$C$5,0),SUMIFS(Sales_Data!$O$2:$O$3520,Sales_Data!$C$2:$C$3520,$A23,Sales_Data!$H$2:$H$3520,J$14,Sales_Data!$AE$2:$AE$3520,1),SUMIFS(Sales_Data!$M$2:$M$3520,Sales_Data!$C$2:$C$3520,$A23,Sales_Data!$H$2:$H$3520,J$14,Sales_Data!$AE$2:$AE$3520,1),SUMIFS(Sales_Data!$N$2:$N$3520,Sales_Data!$C$2:$C$3520,$A23,Sales_Data!$H$2:$H$3520,J$14,Sales_Data!$AE$2:$AE$3520,1),SUMIFS(Sales_Data!$AE$2:$AE$3520,Sales_Data!$C$2:$C$3520,$A23,Sales_Data!$H$2:$H$3520,J$14))</f>
        <v>0</v>
      </c>
      <c r="K23" s="26" t="n">
        <f aca="false">CHOOSE(MATCH($B$3,Lists!$C$2:$C$5,0),SUMIFS(Sales_Data!$O$2:$O$3520,Sales_Data!$C$2:$C$3520,$A23,Sales_Data!$H$2:$H$3520,K$14,Sales_Data!$AE$2:$AE$3520,1),SUMIFS(Sales_Data!$M$2:$M$3520,Sales_Data!$C$2:$C$3520,$A23,Sales_Data!$H$2:$H$3520,K$14,Sales_Data!$AE$2:$AE$3520,1),SUMIFS(Sales_Data!$N$2:$N$3520,Sales_Data!$C$2:$C$3520,$A23,Sales_Data!$H$2:$H$3520,K$14,Sales_Data!$AE$2:$AE$3520,1),SUMIFS(Sales_Data!$AE$2:$AE$3520,Sales_Data!$C$2:$C$3520,$A23,Sales_Data!$H$2:$H$3520,K$14))</f>
        <v>0</v>
      </c>
      <c r="L23" s="26" t="n">
        <f aca="false">CHOOSE(MATCH($B$3,Lists!$C$2:$C$5,0),SUMIFS(Sales_Data!$O$2:$O$3520,Sales_Data!$C$2:$C$3520,$A23,Sales_Data!$H$2:$H$3520,L$14,Sales_Data!$AE$2:$AE$3520,1),SUMIFS(Sales_Data!$M$2:$M$3520,Sales_Data!$C$2:$C$3520,$A23,Sales_Data!$H$2:$H$3520,L$14,Sales_Data!$AE$2:$AE$3520,1),SUMIFS(Sales_Data!$N$2:$N$3520,Sales_Data!$C$2:$C$3520,$A23,Sales_Data!$H$2:$H$3520,L$14,Sales_Data!$AE$2:$AE$3520,1),SUMIFS(Sales_Data!$AE$2:$AE$3520,Sales_Data!$C$2:$C$3520,$A23,Sales_Data!$H$2:$H$3520,L$14))</f>
        <v>1</v>
      </c>
      <c r="M23" s="26" t="n">
        <f aca="false">CHOOSE(MATCH($B$3,Lists!$C$2:$C$5,0),SUMIFS(Sales_Data!$O$2:$O$3520,Sales_Data!$C$2:$C$3520,$A23,Sales_Data!$H$2:$H$3520,M$14,Sales_Data!$AE$2:$AE$3520,1),SUMIFS(Sales_Data!$M$2:$M$3520,Sales_Data!$C$2:$C$3520,$A23,Sales_Data!$H$2:$H$3520,M$14,Sales_Data!$AE$2:$AE$3520,1),SUMIFS(Sales_Data!$N$2:$N$3520,Sales_Data!$C$2:$C$3520,$A23,Sales_Data!$H$2:$H$3520,M$14,Sales_Data!$AE$2:$AE$3520,1),SUMIFS(Sales_Data!$AE$2:$AE$3520,Sales_Data!$C$2:$C$3520,$A23,Sales_Data!$H$2:$H$3520,M$14))</f>
        <v>2</v>
      </c>
      <c r="N23" s="26" t="n">
        <f aca="false">CHOOSE(MATCH($B$3,Lists!$C$2:$C$5,0),SUMIFS(Sales_Data!$O$2:$O$3520,Sales_Data!$C$2:$C$3520,$A23,Sales_Data!$H$2:$H$3520,N$14,Sales_Data!$AE$2:$AE$3520,1),SUMIFS(Sales_Data!$M$2:$M$3520,Sales_Data!$C$2:$C$3520,$A23,Sales_Data!$H$2:$H$3520,N$14,Sales_Data!$AE$2:$AE$3520,1),SUMIFS(Sales_Data!$N$2:$N$3520,Sales_Data!$C$2:$C$3520,$A23,Sales_Data!$H$2:$H$3520,N$14,Sales_Data!$AE$2:$AE$3520,1),SUMIFS(Sales_Data!$AE$2:$AE$3520,Sales_Data!$C$2:$C$3520,$A23,Sales_Data!$H$2:$H$3520,N$14))</f>
        <v>16</v>
      </c>
      <c r="O23" s="26" t="n">
        <f aca="false">CHOOSE(MATCH($B$3,Lists!$C$2:$C$5,0),SUMIFS(Sales_Data!$O$2:$O$3520,Sales_Data!$C$2:$C$3520,$A23,Sales_Data!$H$2:$H$3520,O$14,Sales_Data!$AE$2:$AE$3520,1),SUMIFS(Sales_Data!$M$2:$M$3520,Sales_Data!$C$2:$C$3520,$A23,Sales_Data!$H$2:$H$3520,O$14,Sales_Data!$AE$2:$AE$3520,1),SUMIFS(Sales_Data!$N$2:$N$3520,Sales_Data!$C$2:$C$3520,$A23,Sales_Data!$H$2:$H$3520,O$14,Sales_Data!$AE$2:$AE$3520,1),SUMIFS(Sales_Data!$AE$2:$AE$3520,Sales_Data!$C$2:$C$3520,$A23,Sales_Data!$H$2:$H$3520,O$14))</f>
        <v>0</v>
      </c>
      <c r="P23" s="27" t="n">
        <f aca="false">CHOOSE(MATCH($B$3,Lists!$C$2:$C$5,0),SUMIFS(Sales_Data!$O$2:$O$3520,Sales_Data!$C$2:$C$3520,$A23,Sales_Data!$AE$2:$AE$3520,1),SUMIFS(Sales_Data!$M$2:$M$3520,Sales_Data!$C$2:$C$3520,$A23,Sales_Data!$AE$2:$AE$3520,1),SUMIFS(Sales_Data!$N$2:$N$3520,Sales_Data!$C$2:$C$3520,$A23,Sales_Data!$AE$2:$AE$3520,1),SUMIFS(Sales_Data!$AE$2:$AE$3520,Sales_Data!$C$2:$C$3520,$A23))</f>
        <v>38</v>
      </c>
      <c r="Q23" s="27" t="n">
        <f aca="false">P23-SUM(B23:O23)</f>
        <v>14</v>
      </c>
      <c r="R23" s="3"/>
      <c r="S23" s="72" t="n">
        <f aca="false">A23</f>
        <v>46233</v>
      </c>
      <c r="T23" s="28" t="n">
        <f aca="false">B23-B22</f>
        <v>0</v>
      </c>
      <c r="U23" s="28" t="n">
        <f aca="false">C23-C22</f>
        <v>0</v>
      </c>
      <c r="V23" s="28" t="n">
        <f aca="false">D23-D22</f>
        <v>-1</v>
      </c>
      <c r="W23" s="28" t="n">
        <f aca="false">E23-E22</f>
        <v>0</v>
      </c>
      <c r="X23" s="28" t="n">
        <f aca="false">F23-F22</f>
        <v>-8</v>
      </c>
      <c r="Y23" s="28" t="n">
        <f aca="false">G23-G22</f>
        <v>-1</v>
      </c>
      <c r="Z23" s="28" t="n">
        <f aca="false">H23-H22</f>
        <v>0</v>
      </c>
      <c r="AA23" s="28" t="n">
        <f aca="false">I23-I22</f>
        <v>0</v>
      </c>
      <c r="AB23" s="28" t="n">
        <f aca="false">J23-J22</f>
        <v>0</v>
      </c>
      <c r="AC23" s="28" t="n">
        <f aca="false">K23-K22</f>
        <v>0</v>
      </c>
      <c r="AD23" s="28" t="n">
        <f aca="false">L23-L22</f>
        <v>-2</v>
      </c>
      <c r="AE23" s="28" t="n">
        <f aca="false">M23-M22</f>
        <v>1</v>
      </c>
      <c r="AF23" s="28" t="n">
        <f aca="false">N23-N22</f>
        <v>-6</v>
      </c>
      <c r="AG23" s="28" t="n">
        <f aca="false">O23-O22</f>
        <v>0</v>
      </c>
      <c r="AH23" s="28" t="n">
        <f aca="false">P23-P22</f>
        <v>-10</v>
      </c>
    </row>
    <row r="24" customFormat="false" ht="15" hidden="false" customHeight="false" outlineLevel="0" collapsed="false">
      <c r="A24" s="72" t="n">
        <v>46234</v>
      </c>
      <c r="B24" s="26" t="n">
        <f aca="false">CHOOSE(MATCH($B$3,Lists!$C$2:$C$5,0),SUMIFS(Sales_Data!$O$2:$O$3520,Sales_Data!$C$2:$C$3520,$A24,Sales_Data!$H$2:$H$3520,B$14,Sales_Data!$AE$2:$AE$3520,1),SUMIFS(Sales_Data!$M$2:$M$3520,Sales_Data!$C$2:$C$3520,$A24,Sales_Data!$H$2:$H$3520,B$14,Sales_Data!$AE$2:$AE$3520,1),SUMIFS(Sales_Data!$N$2:$N$3520,Sales_Data!$C$2:$C$3520,$A24,Sales_Data!$H$2:$H$3520,B$14,Sales_Data!$AE$2:$AE$3520,1),SUMIFS(Sales_Data!$AE$2:$AE$3520,Sales_Data!$C$2:$C$3520,$A24,Sales_Data!$H$2:$H$3520,B$14))</f>
        <v>0</v>
      </c>
      <c r="C24" s="26" t="n">
        <f aca="false">CHOOSE(MATCH($B$3,Lists!$C$2:$C$5,0),SUMIFS(Sales_Data!$O$2:$O$3520,Sales_Data!$C$2:$C$3520,$A24,Sales_Data!$H$2:$H$3520,C$14,Sales_Data!$AE$2:$AE$3520,1),SUMIFS(Sales_Data!$M$2:$M$3520,Sales_Data!$C$2:$C$3520,$A24,Sales_Data!$H$2:$H$3520,C$14,Sales_Data!$AE$2:$AE$3520,1),SUMIFS(Sales_Data!$N$2:$N$3520,Sales_Data!$C$2:$C$3520,$A24,Sales_Data!$H$2:$H$3520,C$14,Sales_Data!$AE$2:$AE$3520,1),SUMIFS(Sales_Data!$AE$2:$AE$3520,Sales_Data!$C$2:$C$3520,$A24,Sales_Data!$H$2:$H$3520,C$14))</f>
        <v>0</v>
      </c>
      <c r="D24" s="26" t="n">
        <f aca="false">CHOOSE(MATCH($B$3,Lists!$C$2:$C$5,0),SUMIFS(Sales_Data!$O$2:$O$3520,Sales_Data!$C$2:$C$3520,$A24,Sales_Data!$H$2:$H$3520,D$14,Sales_Data!$AE$2:$AE$3520,1),SUMIFS(Sales_Data!$M$2:$M$3520,Sales_Data!$C$2:$C$3520,$A24,Sales_Data!$H$2:$H$3520,D$14,Sales_Data!$AE$2:$AE$3520,1),SUMIFS(Sales_Data!$N$2:$N$3520,Sales_Data!$C$2:$C$3520,$A24,Sales_Data!$H$2:$H$3520,D$14,Sales_Data!$AE$2:$AE$3520,1),SUMIFS(Sales_Data!$AE$2:$AE$3520,Sales_Data!$C$2:$C$3520,$A24,Sales_Data!$H$2:$H$3520,D$14))</f>
        <v>0</v>
      </c>
      <c r="E24" s="26" t="n">
        <f aca="false">CHOOSE(MATCH($B$3,Lists!$C$2:$C$5,0),SUMIFS(Sales_Data!$O$2:$O$3520,Sales_Data!$C$2:$C$3520,$A24,Sales_Data!$H$2:$H$3520,E$14,Sales_Data!$AE$2:$AE$3520,1),SUMIFS(Sales_Data!$M$2:$M$3520,Sales_Data!$C$2:$C$3520,$A24,Sales_Data!$H$2:$H$3520,E$14,Sales_Data!$AE$2:$AE$3520,1),SUMIFS(Sales_Data!$N$2:$N$3520,Sales_Data!$C$2:$C$3520,$A24,Sales_Data!$H$2:$H$3520,E$14,Sales_Data!$AE$2:$AE$3520,1),SUMIFS(Sales_Data!$AE$2:$AE$3520,Sales_Data!$C$2:$C$3520,$A24,Sales_Data!$H$2:$H$3520,E$14))</f>
        <v>0</v>
      </c>
      <c r="F24" s="26" t="n">
        <f aca="false">CHOOSE(MATCH($B$3,Lists!$C$2:$C$5,0),SUMIFS(Sales_Data!$O$2:$O$3520,Sales_Data!$C$2:$C$3520,$A24,Sales_Data!$H$2:$H$3520,F$14,Sales_Data!$AE$2:$AE$3520,1),SUMIFS(Sales_Data!$M$2:$M$3520,Sales_Data!$C$2:$C$3520,$A24,Sales_Data!$H$2:$H$3520,F$14,Sales_Data!$AE$2:$AE$3520,1),SUMIFS(Sales_Data!$N$2:$N$3520,Sales_Data!$C$2:$C$3520,$A24,Sales_Data!$H$2:$H$3520,F$14,Sales_Data!$AE$2:$AE$3520,1),SUMIFS(Sales_Data!$AE$2:$AE$3520,Sales_Data!$C$2:$C$3520,$A24,Sales_Data!$H$2:$H$3520,F$14))</f>
        <v>8</v>
      </c>
      <c r="G24" s="26" t="n">
        <f aca="false">CHOOSE(MATCH($B$3,Lists!$C$2:$C$5,0),SUMIFS(Sales_Data!$O$2:$O$3520,Sales_Data!$C$2:$C$3520,$A24,Sales_Data!$H$2:$H$3520,G$14,Sales_Data!$AE$2:$AE$3520,1),SUMIFS(Sales_Data!$M$2:$M$3520,Sales_Data!$C$2:$C$3520,$A24,Sales_Data!$H$2:$H$3520,G$14,Sales_Data!$AE$2:$AE$3520,1),SUMIFS(Sales_Data!$N$2:$N$3520,Sales_Data!$C$2:$C$3520,$A24,Sales_Data!$H$2:$H$3520,G$14,Sales_Data!$AE$2:$AE$3520,1),SUMIFS(Sales_Data!$AE$2:$AE$3520,Sales_Data!$C$2:$C$3520,$A24,Sales_Data!$H$2:$H$3520,G$14))</f>
        <v>3</v>
      </c>
      <c r="H24" s="26" t="n">
        <f aca="false">CHOOSE(MATCH($B$3,Lists!$C$2:$C$5,0),SUMIFS(Sales_Data!$O$2:$O$3520,Sales_Data!$C$2:$C$3520,$A24,Sales_Data!$H$2:$H$3520,H$14,Sales_Data!$AE$2:$AE$3520,1),SUMIFS(Sales_Data!$M$2:$M$3520,Sales_Data!$C$2:$C$3520,$A24,Sales_Data!$H$2:$H$3520,H$14,Sales_Data!$AE$2:$AE$3520,1),SUMIFS(Sales_Data!$N$2:$N$3520,Sales_Data!$C$2:$C$3520,$A24,Sales_Data!$H$2:$H$3520,H$14,Sales_Data!$AE$2:$AE$3520,1),SUMIFS(Sales_Data!$AE$2:$AE$3520,Sales_Data!$C$2:$C$3520,$A24,Sales_Data!$H$2:$H$3520,H$14))</f>
        <v>0</v>
      </c>
      <c r="I24" s="26" t="n">
        <f aca="false">CHOOSE(MATCH($B$3,Lists!$C$2:$C$5,0),SUMIFS(Sales_Data!$O$2:$O$3520,Sales_Data!$C$2:$C$3520,$A24,Sales_Data!$H$2:$H$3520,I$14,Sales_Data!$AE$2:$AE$3520,1),SUMIFS(Sales_Data!$M$2:$M$3520,Sales_Data!$C$2:$C$3520,$A24,Sales_Data!$H$2:$H$3520,I$14,Sales_Data!$AE$2:$AE$3520,1),SUMIFS(Sales_Data!$N$2:$N$3520,Sales_Data!$C$2:$C$3520,$A24,Sales_Data!$H$2:$H$3520,I$14,Sales_Data!$AE$2:$AE$3520,1),SUMIFS(Sales_Data!$AE$2:$AE$3520,Sales_Data!$C$2:$C$3520,$A24,Sales_Data!$H$2:$H$3520,I$14))</f>
        <v>0</v>
      </c>
      <c r="J24" s="26" t="n">
        <f aca="false">CHOOSE(MATCH($B$3,Lists!$C$2:$C$5,0),SUMIFS(Sales_Data!$O$2:$O$3520,Sales_Data!$C$2:$C$3520,$A24,Sales_Data!$H$2:$H$3520,J$14,Sales_Data!$AE$2:$AE$3520,1),SUMIFS(Sales_Data!$M$2:$M$3520,Sales_Data!$C$2:$C$3520,$A24,Sales_Data!$H$2:$H$3520,J$14,Sales_Data!$AE$2:$AE$3520,1),SUMIFS(Sales_Data!$N$2:$N$3520,Sales_Data!$C$2:$C$3520,$A24,Sales_Data!$H$2:$H$3520,J$14,Sales_Data!$AE$2:$AE$3520,1),SUMIFS(Sales_Data!$AE$2:$AE$3520,Sales_Data!$C$2:$C$3520,$A24,Sales_Data!$H$2:$H$3520,J$14))</f>
        <v>0</v>
      </c>
      <c r="K24" s="26" t="n">
        <f aca="false">CHOOSE(MATCH($B$3,Lists!$C$2:$C$5,0),SUMIFS(Sales_Data!$O$2:$O$3520,Sales_Data!$C$2:$C$3520,$A24,Sales_Data!$H$2:$H$3520,K$14,Sales_Data!$AE$2:$AE$3520,1),SUMIFS(Sales_Data!$M$2:$M$3520,Sales_Data!$C$2:$C$3520,$A24,Sales_Data!$H$2:$H$3520,K$14,Sales_Data!$AE$2:$AE$3520,1),SUMIFS(Sales_Data!$N$2:$N$3520,Sales_Data!$C$2:$C$3520,$A24,Sales_Data!$H$2:$H$3520,K$14,Sales_Data!$AE$2:$AE$3520,1),SUMIFS(Sales_Data!$AE$2:$AE$3520,Sales_Data!$C$2:$C$3520,$A24,Sales_Data!$H$2:$H$3520,K$14))</f>
        <v>0</v>
      </c>
      <c r="L24" s="26" t="n">
        <f aca="false">CHOOSE(MATCH($B$3,Lists!$C$2:$C$5,0),SUMIFS(Sales_Data!$O$2:$O$3520,Sales_Data!$C$2:$C$3520,$A24,Sales_Data!$H$2:$H$3520,L$14,Sales_Data!$AE$2:$AE$3520,1),SUMIFS(Sales_Data!$M$2:$M$3520,Sales_Data!$C$2:$C$3520,$A24,Sales_Data!$H$2:$H$3520,L$14,Sales_Data!$AE$2:$AE$3520,1),SUMIFS(Sales_Data!$N$2:$N$3520,Sales_Data!$C$2:$C$3520,$A24,Sales_Data!$H$2:$H$3520,L$14,Sales_Data!$AE$2:$AE$3520,1),SUMIFS(Sales_Data!$AE$2:$AE$3520,Sales_Data!$C$2:$C$3520,$A24,Sales_Data!$H$2:$H$3520,L$14))</f>
        <v>4</v>
      </c>
      <c r="M24" s="26" t="n">
        <f aca="false">CHOOSE(MATCH($B$3,Lists!$C$2:$C$5,0),SUMIFS(Sales_Data!$O$2:$O$3520,Sales_Data!$C$2:$C$3520,$A24,Sales_Data!$H$2:$H$3520,M$14,Sales_Data!$AE$2:$AE$3520,1),SUMIFS(Sales_Data!$M$2:$M$3520,Sales_Data!$C$2:$C$3520,$A24,Sales_Data!$H$2:$H$3520,M$14,Sales_Data!$AE$2:$AE$3520,1),SUMIFS(Sales_Data!$N$2:$N$3520,Sales_Data!$C$2:$C$3520,$A24,Sales_Data!$H$2:$H$3520,M$14,Sales_Data!$AE$2:$AE$3520,1),SUMIFS(Sales_Data!$AE$2:$AE$3520,Sales_Data!$C$2:$C$3520,$A24,Sales_Data!$H$2:$H$3520,M$14))</f>
        <v>2</v>
      </c>
      <c r="N24" s="26" t="n">
        <f aca="false">CHOOSE(MATCH($B$3,Lists!$C$2:$C$5,0),SUMIFS(Sales_Data!$O$2:$O$3520,Sales_Data!$C$2:$C$3520,$A24,Sales_Data!$H$2:$H$3520,N$14,Sales_Data!$AE$2:$AE$3520,1),SUMIFS(Sales_Data!$M$2:$M$3520,Sales_Data!$C$2:$C$3520,$A24,Sales_Data!$H$2:$H$3520,N$14,Sales_Data!$AE$2:$AE$3520,1),SUMIFS(Sales_Data!$N$2:$N$3520,Sales_Data!$C$2:$C$3520,$A24,Sales_Data!$H$2:$H$3520,N$14,Sales_Data!$AE$2:$AE$3520,1),SUMIFS(Sales_Data!$AE$2:$AE$3520,Sales_Data!$C$2:$C$3520,$A24,Sales_Data!$H$2:$H$3520,N$14))</f>
        <v>9</v>
      </c>
      <c r="O24" s="26" t="n">
        <f aca="false">CHOOSE(MATCH($B$3,Lists!$C$2:$C$5,0),SUMIFS(Sales_Data!$O$2:$O$3520,Sales_Data!$C$2:$C$3520,$A24,Sales_Data!$H$2:$H$3520,O$14,Sales_Data!$AE$2:$AE$3520,1),SUMIFS(Sales_Data!$M$2:$M$3520,Sales_Data!$C$2:$C$3520,$A24,Sales_Data!$H$2:$H$3520,O$14,Sales_Data!$AE$2:$AE$3520,1),SUMIFS(Sales_Data!$N$2:$N$3520,Sales_Data!$C$2:$C$3520,$A24,Sales_Data!$H$2:$H$3520,O$14,Sales_Data!$AE$2:$AE$3520,1),SUMIFS(Sales_Data!$AE$2:$AE$3520,Sales_Data!$C$2:$C$3520,$A24,Sales_Data!$H$2:$H$3520,O$14))</f>
        <v>0</v>
      </c>
      <c r="P24" s="27" t="n">
        <f aca="false">CHOOSE(MATCH($B$3,Lists!$C$2:$C$5,0),SUMIFS(Sales_Data!$O$2:$O$3520,Sales_Data!$C$2:$C$3520,$A24,Sales_Data!$AE$2:$AE$3520,1),SUMIFS(Sales_Data!$M$2:$M$3520,Sales_Data!$C$2:$C$3520,$A24,Sales_Data!$AE$2:$AE$3520,1),SUMIFS(Sales_Data!$N$2:$N$3520,Sales_Data!$C$2:$C$3520,$A24,Sales_Data!$AE$2:$AE$3520,1),SUMIFS(Sales_Data!$AE$2:$AE$3520,Sales_Data!$C$2:$C$3520,$A24))</f>
        <v>40</v>
      </c>
      <c r="Q24" s="27" t="n">
        <f aca="false">P24-SUM(B24:O24)</f>
        <v>14</v>
      </c>
      <c r="R24" s="3"/>
      <c r="S24" s="72" t="n">
        <f aca="false">A24</f>
        <v>46234</v>
      </c>
      <c r="T24" s="28" t="n">
        <f aca="false">B24-B23</f>
        <v>0</v>
      </c>
      <c r="U24" s="28" t="n">
        <f aca="false">C24-C23</f>
        <v>0</v>
      </c>
      <c r="V24" s="28" t="n">
        <f aca="false">D24-D23</f>
        <v>0</v>
      </c>
      <c r="W24" s="28" t="n">
        <f aca="false">E24-E23</f>
        <v>0</v>
      </c>
      <c r="X24" s="28" t="n">
        <f aca="false">F24-F23</f>
        <v>3</v>
      </c>
      <c r="Y24" s="28" t="n">
        <f aca="false">G24-G23</f>
        <v>3</v>
      </c>
      <c r="Z24" s="28" t="n">
        <f aca="false">H24-H23</f>
        <v>0</v>
      </c>
      <c r="AA24" s="28" t="n">
        <f aca="false">I24-I23</f>
        <v>0</v>
      </c>
      <c r="AB24" s="28" t="n">
        <f aca="false">J24-J23</f>
        <v>0</v>
      </c>
      <c r="AC24" s="28" t="n">
        <f aca="false">K24-K23</f>
        <v>0</v>
      </c>
      <c r="AD24" s="28" t="n">
        <f aca="false">L24-L23</f>
        <v>3</v>
      </c>
      <c r="AE24" s="28" t="n">
        <f aca="false">M24-M23</f>
        <v>0</v>
      </c>
      <c r="AF24" s="28" t="n">
        <f aca="false">N24-N23</f>
        <v>-7</v>
      </c>
      <c r="AG24" s="28" t="n">
        <f aca="false">O24-O23</f>
        <v>0</v>
      </c>
      <c r="AH24" s="28" t="n">
        <f aca="false">P24-P23</f>
        <v>2</v>
      </c>
    </row>
    <row r="25" customFormat="false" ht="15" hidden="false" customHeight="false" outlineLevel="0" collapsed="false">
      <c r="A25" s="72" t="n">
        <v>46235</v>
      </c>
      <c r="B25" s="26" t="n">
        <f aca="false">CHOOSE(MATCH($B$3,Lists!$C$2:$C$5,0),SUMIFS(Sales_Data!$O$2:$O$3520,Sales_Data!$C$2:$C$3520,$A25,Sales_Data!$H$2:$H$3520,B$14,Sales_Data!$AE$2:$AE$3520,1),SUMIFS(Sales_Data!$M$2:$M$3520,Sales_Data!$C$2:$C$3520,$A25,Sales_Data!$H$2:$H$3520,B$14,Sales_Data!$AE$2:$AE$3520,1),SUMIFS(Sales_Data!$N$2:$N$3520,Sales_Data!$C$2:$C$3520,$A25,Sales_Data!$H$2:$H$3520,B$14,Sales_Data!$AE$2:$AE$3520,1),SUMIFS(Sales_Data!$AE$2:$AE$3520,Sales_Data!$C$2:$C$3520,$A25,Sales_Data!$H$2:$H$3520,B$14))</f>
        <v>0</v>
      </c>
      <c r="C25" s="26" t="n">
        <f aca="false">CHOOSE(MATCH($B$3,Lists!$C$2:$C$5,0),SUMIFS(Sales_Data!$O$2:$O$3520,Sales_Data!$C$2:$C$3520,$A25,Sales_Data!$H$2:$H$3520,C$14,Sales_Data!$AE$2:$AE$3520,1),SUMIFS(Sales_Data!$M$2:$M$3520,Sales_Data!$C$2:$C$3520,$A25,Sales_Data!$H$2:$H$3520,C$14,Sales_Data!$AE$2:$AE$3520,1),SUMIFS(Sales_Data!$N$2:$N$3520,Sales_Data!$C$2:$C$3520,$A25,Sales_Data!$H$2:$H$3520,C$14,Sales_Data!$AE$2:$AE$3520,1),SUMIFS(Sales_Data!$AE$2:$AE$3520,Sales_Data!$C$2:$C$3520,$A25,Sales_Data!$H$2:$H$3520,C$14))</f>
        <v>0</v>
      </c>
      <c r="D25" s="26" t="n">
        <f aca="false">CHOOSE(MATCH($B$3,Lists!$C$2:$C$5,0),SUMIFS(Sales_Data!$O$2:$O$3520,Sales_Data!$C$2:$C$3520,$A25,Sales_Data!$H$2:$H$3520,D$14,Sales_Data!$AE$2:$AE$3520,1),SUMIFS(Sales_Data!$M$2:$M$3520,Sales_Data!$C$2:$C$3520,$A25,Sales_Data!$H$2:$H$3520,D$14,Sales_Data!$AE$2:$AE$3520,1),SUMIFS(Sales_Data!$N$2:$N$3520,Sales_Data!$C$2:$C$3520,$A25,Sales_Data!$H$2:$H$3520,D$14,Sales_Data!$AE$2:$AE$3520,1),SUMIFS(Sales_Data!$AE$2:$AE$3520,Sales_Data!$C$2:$C$3520,$A25,Sales_Data!$H$2:$H$3520,D$14))</f>
        <v>2</v>
      </c>
      <c r="E25" s="26" t="n">
        <f aca="false">CHOOSE(MATCH($B$3,Lists!$C$2:$C$5,0),SUMIFS(Sales_Data!$O$2:$O$3520,Sales_Data!$C$2:$C$3520,$A25,Sales_Data!$H$2:$H$3520,E$14,Sales_Data!$AE$2:$AE$3520,1),SUMIFS(Sales_Data!$M$2:$M$3520,Sales_Data!$C$2:$C$3520,$A25,Sales_Data!$H$2:$H$3520,E$14,Sales_Data!$AE$2:$AE$3520,1),SUMIFS(Sales_Data!$N$2:$N$3520,Sales_Data!$C$2:$C$3520,$A25,Sales_Data!$H$2:$H$3520,E$14,Sales_Data!$AE$2:$AE$3520,1),SUMIFS(Sales_Data!$AE$2:$AE$3520,Sales_Data!$C$2:$C$3520,$A25,Sales_Data!$H$2:$H$3520,E$14))</f>
        <v>0</v>
      </c>
      <c r="F25" s="26" t="n">
        <f aca="false">CHOOSE(MATCH($B$3,Lists!$C$2:$C$5,0),SUMIFS(Sales_Data!$O$2:$O$3520,Sales_Data!$C$2:$C$3520,$A25,Sales_Data!$H$2:$H$3520,F$14,Sales_Data!$AE$2:$AE$3520,1),SUMIFS(Sales_Data!$M$2:$M$3520,Sales_Data!$C$2:$C$3520,$A25,Sales_Data!$H$2:$H$3520,F$14,Sales_Data!$AE$2:$AE$3520,1),SUMIFS(Sales_Data!$N$2:$N$3520,Sales_Data!$C$2:$C$3520,$A25,Sales_Data!$H$2:$H$3520,F$14,Sales_Data!$AE$2:$AE$3520,1),SUMIFS(Sales_Data!$AE$2:$AE$3520,Sales_Data!$C$2:$C$3520,$A25,Sales_Data!$H$2:$H$3520,F$14))</f>
        <v>3</v>
      </c>
      <c r="G25" s="26" t="n">
        <f aca="false">CHOOSE(MATCH($B$3,Lists!$C$2:$C$5,0),SUMIFS(Sales_Data!$O$2:$O$3520,Sales_Data!$C$2:$C$3520,$A25,Sales_Data!$H$2:$H$3520,G$14,Sales_Data!$AE$2:$AE$3520,1),SUMIFS(Sales_Data!$M$2:$M$3520,Sales_Data!$C$2:$C$3520,$A25,Sales_Data!$H$2:$H$3520,G$14,Sales_Data!$AE$2:$AE$3520,1),SUMIFS(Sales_Data!$N$2:$N$3520,Sales_Data!$C$2:$C$3520,$A25,Sales_Data!$H$2:$H$3520,G$14,Sales_Data!$AE$2:$AE$3520,1),SUMIFS(Sales_Data!$AE$2:$AE$3520,Sales_Data!$C$2:$C$3520,$A25,Sales_Data!$H$2:$H$3520,G$14))</f>
        <v>0</v>
      </c>
      <c r="H25" s="26" t="n">
        <f aca="false">CHOOSE(MATCH($B$3,Lists!$C$2:$C$5,0),SUMIFS(Sales_Data!$O$2:$O$3520,Sales_Data!$C$2:$C$3520,$A25,Sales_Data!$H$2:$H$3520,H$14,Sales_Data!$AE$2:$AE$3520,1),SUMIFS(Sales_Data!$M$2:$M$3520,Sales_Data!$C$2:$C$3520,$A25,Sales_Data!$H$2:$H$3520,H$14,Sales_Data!$AE$2:$AE$3520,1),SUMIFS(Sales_Data!$N$2:$N$3520,Sales_Data!$C$2:$C$3520,$A25,Sales_Data!$H$2:$H$3520,H$14,Sales_Data!$AE$2:$AE$3520,1),SUMIFS(Sales_Data!$AE$2:$AE$3520,Sales_Data!$C$2:$C$3520,$A25,Sales_Data!$H$2:$H$3520,H$14))</f>
        <v>0</v>
      </c>
      <c r="I25" s="26" t="n">
        <f aca="false">CHOOSE(MATCH($B$3,Lists!$C$2:$C$5,0),SUMIFS(Sales_Data!$O$2:$O$3520,Sales_Data!$C$2:$C$3520,$A25,Sales_Data!$H$2:$H$3520,I$14,Sales_Data!$AE$2:$AE$3520,1),SUMIFS(Sales_Data!$M$2:$M$3520,Sales_Data!$C$2:$C$3520,$A25,Sales_Data!$H$2:$H$3520,I$14,Sales_Data!$AE$2:$AE$3520,1),SUMIFS(Sales_Data!$N$2:$N$3520,Sales_Data!$C$2:$C$3520,$A25,Sales_Data!$H$2:$H$3520,I$14,Sales_Data!$AE$2:$AE$3520,1),SUMIFS(Sales_Data!$AE$2:$AE$3520,Sales_Data!$C$2:$C$3520,$A25,Sales_Data!$H$2:$H$3520,I$14))</f>
        <v>0</v>
      </c>
      <c r="J25" s="26" t="n">
        <f aca="false">CHOOSE(MATCH($B$3,Lists!$C$2:$C$5,0),SUMIFS(Sales_Data!$O$2:$O$3520,Sales_Data!$C$2:$C$3520,$A25,Sales_Data!$H$2:$H$3520,J$14,Sales_Data!$AE$2:$AE$3520,1),SUMIFS(Sales_Data!$M$2:$M$3520,Sales_Data!$C$2:$C$3520,$A25,Sales_Data!$H$2:$H$3520,J$14,Sales_Data!$AE$2:$AE$3520,1),SUMIFS(Sales_Data!$N$2:$N$3520,Sales_Data!$C$2:$C$3520,$A25,Sales_Data!$H$2:$H$3520,J$14,Sales_Data!$AE$2:$AE$3520,1),SUMIFS(Sales_Data!$AE$2:$AE$3520,Sales_Data!$C$2:$C$3520,$A25,Sales_Data!$H$2:$H$3520,J$14))</f>
        <v>0</v>
      </c>
      <c r="K25" s="26" t="n">
        <f aca="false">CHOOSE(MATCH($B$3,Lists!$C$2:$C$5,0),SUMIFS(Sales_Data!$O$2:$O$3520,Sales_Data!$C$2:$C$3520,$A25,Sales_Data!$H$2:$H$3520,K$14,Sales_Data!$AE$2:$AE$3520,1),SUMIFS(Sales_Data!$M$2:$M$3520,Sales_Data!$C$2:$C$3520,$A25,Sales_Data!$H$2:$H$3520,K$14,Sales_Data!$AE$2:$AE$3520,1),SUMIFS(Sales_Data!$N$2:$N$3520,Sales_Data!$C$2:$C$3520,$A25,Sales_Data!$H$2:$H$3520,K$14,Sales_Data!$AE$2:$AE$3520,1),SUMIFS(Sales_Data!$AE$2:$AE$3520,Sales_Data!$C$2:$C$3520,$A25,Sales_Data!$H$2:$H$3520,K$14))</f>
        <v>0</v>
      </c>
      <c r="L25" s="26" t="n">
        <f aca="false">CHOOSE(MATCH($B$3,Lists!$C$2:$C$5,0),SUMIFS(Sales_Data!$O$2:$O$3520,Sales_Data!$C$2:$C$3520,$A25,Sales_Data!$H$2:$H$3520,L$14,Sales_Data!$AE$2:$AE$3520,1),SUMIFS(Sales_Data!$M$2:$M$3520,Sales_Data!$C$2:$C$3520,$A25,Sales_Data!$H$2:$H$3520,L$14,Sales_Data!$AE$2:$AE$3520,1),SUMIFS(Sales_Data!$N$2:$N$3520,Sales_Data!$C$2:$C$3520,$A25,Sales_Data!$H$2:$H$3520,L$14,Sales_Data!$AE$2:$AE$3520,1),SUMIFS(Sales_Data!$AE$2:$AE$3520,Sales_Data!$C$2:$C$3520,$A25,Sales_Data!$H$2:$H$3520,L$14))</f>
        <v>10</v>
      </c>
      <c r="M25" s="26" t="n">
        <f aca="false">CHOOSE(MATCH($B$3,Lists!$C$2:$C$5,0),SUMIFS(Sales_Data!$O$2:$O$3520,Sales_Data!$C$2:$C$3520,$A25,Sales_Data!$H$2:$H$3520,M$14,Sales_Data!$AE$2:$AE$3520,1),SUMIFS(Sales_Data!$M$2:$M$3520,Sales_Data!$C$2:$C$3520,$A25,Sales_Data!$H$2:$H$3520,M$14,Sales_Data!$AE$2:$AE$3520,1),SUMIFS(Sales_Data!$N$2:$N$3520,Sales_Data!$C$2:$C$3520,$A25,Sales_Data!$H$2:$H$3520,M$14,Sales_Data!$AE$2:$AE$3520,1),SUMIFS(Sales_Data!$AE$2:$AE$3520,Sales_Data!$C$2:$C$3520,$A25,Sales_Data!$H$2:$H$3520,M$14))</f>
        <v>3</v>
      </c>
      <c r="N25" s="26" t="n">
        <f aca="false">CHOOSE(MATCH($B$3,Lists!$C$2:$C$5,0),SUMIFS(Sales_Data!$O$2:$O$3520,Sales_Data!$C$2:$C$3520,$A25,Sales_Data!$H$2:$H$3520,N$14,Sales_Data!$AE$2:$AE$3520,1),SUMIFS(Sales_Data!$M$2:$M$3520,Sales_Data!$C$2:$C$3520,$A25,Sales_Data!$H$2:$H$3520,N$14,Sales_Data!$AE$2:$AE$3520,1),SUMIFS(Sales_Data!$N$2:$N$3520,Sales_Data!$C$2:$C$3520,$A25,Sales_Data!$H$2:$H$3520,N$14,Sales_Data!$AE$2:$AE$3520,1),SUMIFS(Sales_Data!$AE$2:$AE$3520,Sales_Data!$C$2:$C$3520,$A25,Sales_Data!$H$2:$H$3520,N$14))</f>
        <v>3</v>
      </c>
      <c r="O25" s="26" t="n">
        <f aca="false">CHOOSE(MATCH($B$3,Lists!$C$2:$C$5,0),SUMIFS(Sales_Data!$O$2:$O$3520,Sales_Data!$C$2:$C$3520,$A25,Sales_Data!$H$2:$H$3520,O$14,Sales_Data!$AE$2:$AE$3520,1),SUMIFS(Sales_Data!$M$2:$M$3520,Sales_Data!$C$2:$C$3520,$A25,Sales_Data!$H$2:$H$3520,O$14,Sales_Data!$AE$2:$AE$3520,1),SUMIFS(Sales_Data!$N$2:$N$3520,Sales_Data!$C$2:$C$3520,$A25,Sales_Data!$H$2:$H$3520,O$14,Sales_Data!$AE$2:$AE$3520,1),SUMIFS(Sales_Data!$AE$2:$AE$3520,Sales_Data!$C$2:$C$3520,$A25,Sales_Data!$H$2:$H$3520,O$14))</f>
        <v>0</v>
      </c>
      <c r="P25" s="27" t="n">
        <f aca="false">CHOOSE(MATCH($B$3,Lists!$C$2:$C$5,0),SUMIFS(Sales_Data!$O$2:$O$3520,Sales_Data!$C$2:$C$3520,$A25,Sales_Data!$AE$2:$AE$3520,1),SUMIFS(Sales_Data!$M$2:$M$3520,Sales_Data!$C$2:$C$3520,$A25,Sales_Data!$AE$2:$AE$3520,1),SUMIFS(Sales_Data!$N$2:$N$3520,Sales_Data!$C$2:$C$3520,$A25,Sales_Data!$AE$2:$AE$3520,1),SUMIFS(Sales_Data!$AE$2:$AE$3520,Sales_Data!$C$2:$C$3520,$A25))</f>
        <v>25</v>
      </c>
      <c r="Q25" s="27" t="n">
        <f aca="false">P25-SUM(B25:O25)</f>
        <v>4</v>
      </c>
      <c r="R25" s="3"/>
      <c r="S25" s="72" t="n">
        <f aca="false">A25</f>
        <v>46235</v>
      </c>
      <c r="T25" s="28" t="n">
        <f aca="false">B25-B24</f>
        <v>0</v>
      </c>
      <c r="U25" s="28" t="n">
        <f aca="false">C25-C24</f>
        <v>0</v>
      </c>
      <c r="V25" s="28" t="n">
        <f aca="false">D25-D24</f>
        <v>2</v>
      </c>
      <c r="W25" s="28" t="n">
        <f aca="false">E25-E24</f>
        <v>0</v>
      </c>
      <c r="X25" s="28" t="n">
        <f aca="false">F25-F24</f>
        <v>-5</v>
      </c>
      <c r="Y25" s="28" t="n">
        <f aca="false">G25-G24</f>
        <v>-3</v>
      </c>
      <c r="Z25" s="28" t="n">
        <f aca="false">H25-H24</f>
        <v>0</v>
      </c>
      <c r="AA25" s="28" t="n">
        <f aca="false">I25-I24</f>
        <v>0</v>
      </c>
      <c r="AB25" s="28" t="n">
        <f aca="false">J25-J24</f>
        <v>0</v>
      </c>
      <c r="AC25" s="28" t="n">
        <f aca="false">K25-K24</f>
        <v>0</v>
      </c>
      <c r="AD25" s="28" t="n">
        <f aca="false">L25-L24</f>
        <v>6</v>
      </c>
      <c r="AE25" s="28" t="n">
        <f aca="false">M25-M24</f>
        <v>1</v>
      </c>
      <c r="AF25" s="28" t="n">
        <f aca="false">N25-N24</f>
        <v>-6</v>
      </c>
      <c r="AG25" s="28" t="n">
        <f aca="false">O25-O24</f>
        <v>0</v>
      </c>
      <c r="AH25" s="28" t="n">
        <f aca="false">P25-P24</f>
        <v>-15</v>
      </c>
    </row>
    <row r="26" customFormat="false" ht="15" hidden="false" customHeight="false" outlineLevel="0" collapsed="false">
      <c r="A26" s="72" t="n">
        <v>46236</v>
      </c>
      <c r="B26" s="26" t="n">
        <f aca="false">CHOOSE(MATCH($B$3,Lists!$C$2:$C$5,0),SUMIFS(Sales_Data!$O$2:$O$3520,Sales_Data!$C$2:$C$3520,$A26,Sales_Data!$H$2:$H$3520,B$14,Sales_Data!$AE$2:$AE$3520,1),SUMIFS(Sales_Data!$M$2:$M$3520,Sales_Data!$C$2:$C$3520,$A26,Sales_Data!$H$2:$H$3520,B$14,Sales_Data!$AE$2:$AE$3520,1),SUMIFS(Sales_Data!$N$2:$N$3520,Sales_Data!$C$2:$C$3520,$A26,Sales_Data!$H$2:$H$3520,B$14,Sales_Data!$AE$2:$AE$3520,1),SUMIFS(Sales_Data!$AE$2:$AE$3520,Sales_Data!$C$2:$C$3520,$A26,Sales_Data!$H$2:$H$3520,B$14))</f>
        <v>0</v>
      </c>
      <c r="C26" s="26" t="n">
        <f aca="false">CHOOSE(MATCH($B$3,Lists!$C$2:$C$5,0),SUMIFS(Sales_Data!$O$2:$O$3520,Sales_Data!$C$2:$C$3520,$A26,Sales_Data!$H$2:$H$3520,C$14,Sales_Data!$AE$2:$AE$3520,1),SUMIFS(Sales_Data!$M$2:$M$3520,Sales_Data!$C$2:$C$3520,$A26,Sales_Data!$H$2:$H$3520,C$14,Sales_Data!$AE$2:$AE$3520,1),SUMIFS(Sales_Data!$N$2:$N$3520,Sales_Data!$C$2:$C$3520,$A26,Sales_Data!$H$2:$H$3520,C$14,Sales_Data!$AE$2:$AE$3520,1),SUMIFS(Sales_Data!$AE$2:$AE$3520,Sales_Data!$C$2:$C$3520,$A26,Sales_Data!$H$2:$H$3520,C$14))</f>
        <v>0</v>
      </c>
      <c r="D26" s="26" t="n">
        <f aca="false">CHOOSE(MATCH($B$3,Lists!$C$2:$C$5,0),SUMIFS(Sales_Data!$O$2:$O$3520,Sales_Data!$C$2:$C$3520,$A26,Sales_Data!$H$2:$H$3520,D$14,Sales_Data!$AE$2:$AE$3520,1),SUMIFS(Sales_Data!$M$2:$M$3520,Sales_Data!$C$2:$C$3520,$A26,Sales_Data!$H$2:$H$3520,D$14,Sales_Data!$AE$2:$AE$3520,1),SUMIFS(Sales_Data!$N$2:$N$3520,Sales_Data!$C$2:$C$3520,$A26,Sales_Data!$H$2:$H$3520,D$14,Sales_Data!$AE$2:$AE$3520,1),SUMIFS(Sales_Data!$AE$2:$AE$3520,Sales_Data!$C$2:$C$3520,$A26,Sales_Data!$H$2:$H$3520,D$14))</f>
        <v>0</v>
      </c>
      <c r="E26" s="26" t="n">
        <f aca="false">CHOOSE(MATCH($B$3,Lists!$C$2:$C$5,0),SUMIFS(Sales_Data!$O$2:$O$3520,Sales_Data!$C$2:$C$3520,$A26,Sales_Data!$H$2:$H$3520,E$14,Sales_Data!$AE$2:$AE$3520,1),SUMIFS(Sales_Data!$M$2:$M$3520,Sales_Data!$C$2:$C$3520,$A26,Sales_Data!$H$2:$H$3520,E$14,Sales_Data!$AE$2:$AE$3520,1),SUMIFS(Sales_Data!$N$2:$N$3520,Sales_Data!$C$2:$C$3520,$A26,Sales_Data!$H$2:$H$3520,E$14,Sales_Data!$AE$2:$AE$3520,1),SUMIFS(Sales_Data!$AE$2:$AE$3520,Sales_Data!$C$2:$C$3520,$A26,Sales_Data!$H$2:$H$3520,E$14))</f>
        <v>0</v>
      </c>
      <c r="F26" s="26" t="n">
        <f aca="false">CHOOSE(MATCH($B$3,Lists!$C$2:$C$5,0),SUMIFS(Sales_Data!$O$2:$O$3520,Sales_Data!$C$2:$C$3520,$A26,Sales_Data!$H$2:$H$3520,F$14,Sales_Data!$AE$2:$AE$3520,1),SUMIFS(Sales_Data!$M$2:$M$3520,Sales_Data!$C$2:$C$3520,$A26,Sales_Data!$H$2:$H$3520,F$14,Sales_Data!$AE$2:$AE$3520,1),SUMIFS(Sales_Data!$N$2:$N$3520,Sales_Data!$C$2:$C$3520,$A26,Sales_Data!$H$2:$H$3520,F$14,Sales_Data!$AE$2:$AE$3520,1),SUMIFS(Sales_Data!$AE$2:$AE$3520,Sales_Data!$C$2:$C$3520,$A26,Sales_Data!$H$2:$H$3520,F$14))</f>
        <v>1</v>
      </c>
      <c r="G26" s="26" t="n">
        <f aca="false">CHOOSE(MATCH($B$3,Lists!$C$2:$C$5,0),SUMIFS(Sales_Data!$O$2:$O$3520,Sales_Data!$C$2:$C$3520,$A26,Sales_Data!$H$2:$H$3520,G$14,Sales_Data!$AE$2:$AE$3520,1),SUMIFS(Sales_Data!$M$2:$M$3520,Sales_Data!$C$2:$C$3520,$A26,Sales_Data!$H$2:$H$3520,G$14,Sales_Data!$AE$2:$AE$3520,1),SUMIFS(Sales_Data!$N$2:$N$3520,Sales_Data!$C$2:$C$3520,$A26,Sales_Data!$H$2:$H$3520,G$14,Sales_Data!$AE$2:$AE$3520,1),SUMIFS(Sales_Data!$AE$2:$AE$3520,Sales_Data!$C$2:$C$3520,$A26,Sales_Data!$H$2:$H$3520,G$14))</f>
        <v>0</v>
      </c>
      <c r="H26" s="26" t="n">
        <f aca="false">CHOOSE(MATCH($B$3,Lists!$C$2:$C$5,0),SUMIFS(Sales_Data!$O$2:$O$3520,Sales_Data!$C$2:$C$3520,$A26,Sales_Data!$H$2:$H$3520,H$14,Sales_Data!$AE$2:$AE$3520,1),SUMIFS(Sales_Data!$M$2:$M$3520,Sales_Data!$C$2:$C$3520,$A26,Sales_Data!$H$2:$H$3520,H$14,Sales_Data!$AE$2:$AE$3520,1),SUMIFS(Sales_Data!$N$2:$N$3520,Sales_Data!$C$2:$C$3520,$A26,Sales_Data!$H$2:$H$3520,H$14,Sales_Data!$AE$2:$AE$3520,1),SUMIFS(Sales_Data!$AE$2:$AE$3520,Sales_Data!$C$2:$C$3520,$A26,Sales_Data!$H$2:$H$3520,H$14))</f>
        <v>0</v>
      </c>
      <c r="I26" s="26" t="n">
        <f aca="false">CHOOSE(MATCH($B$3,Lists!$C$2:$C$5,0),SUMIFS(Sales_Data!$O$2:$O$3520,Sales_Data!$C$2:$C$3520,$A26,Sales_Data!$H$2:$H$3520,I$14,Sales_Data!$AE$2:$AE$3520,1),SUMIFS(Sales_Data!$M$2:$M$3520,Sales_Data!$C$2:$C$3520,$A26,Sales_Data!$H$2:$H$3520,I$14,Sales_Data!$AE$2:$AE$3520,1),SUMIFS(Sales_Data!$N$2:$N$3520,Sales_Data!$C$2:$C$3520,$A26,Sales_Data!$H$2:$H$3520,I$14,Sales_Data!$AE$2:$AE$3520,1),SUMIFS(Sales_Data!$AE$2:$AE$3520,Sales_Data!$C$2:$C$3520,$A26,Sales_Data!$H$2:$H$3520,I$14))</f>
        <v>0</v>
      </c>
      <c r="J26" s="26" t="n">
        <f aca="false">CHOOSE(MATCH($B$3,Lists!$C$2:$C$5,0),SUMIFS(Sales_Data!$O$2:$O$3520,Sales_Data!$C$2:$C$3520,$A26,Sales_Data!$H$2:$H$3520,J$14,Sales_Data!$AE$2:$AE$3520,1),SUMIFS(Sales_Data!$M$2:$M$3520,Sales_Data!$C$2:$C$3520,$A26,Sales_Data!$H$2:$H$3520,J$14,Sales_Data!$AE$2:$AE$3520,1),SUMIFS(Sales_Data!$N$2:$N$3520,Sales_Data!$C$2:$C$3520,$A26,Sales_Data!$H$2:$H$3520,J$14,Sales_Data!$AE$2:$AE$3520,1),SUMIFS(Sales_Data!$AE$2:$AE$3520,Sales_Data!$C$2:$C$3520,$A26,Sales_Data!$H$2:$H$3520,J$14))</f>
        <v>0</v>
      </c>
      <c r="K26" s="26" t="n">
        <f aca="false">CHOOSE(MATCH($B$3,Lists!$C$2:$C$5,0),SUMIFS(Sales_Data!$O$2:$O$3520,Sales_Data!$C$2:$C$3520,$A26,Sales_Data!$H$2:$H$3520,K$14,Sales_Data!$AE$2:$AE$3520,1),SUMIFS(Sales_Data!$M$2:$M$3520,Sales_Data!$C$2:$C$3520,$A26,Sales_Data!$H$2:$H$3520,K$14,Sales_Data!$AE$2:$AE$3520,1),SUMIFS(Sales_Data!$N$2:$N$3520,Sales_Data!$C$2:$C$3520,$A26,Sales_Data!$H$2:$H$3520,K$14,Sales_Data!$AE$2:$AE$3520,1),SUMIFS(Sales_Data!$AE$2:$AE$3520,Sales_Data!$C$2:$C$3520,$A26,Sales_Data!$H$2:$H$3520,K$14))</f>
        <v>0</v>
      </c>
      <c r="L26" s="26" t="n">
        <f aca="false">CHOOSE(MATCH($B$3,Lists!$C$2:$C$5,0),SUMIFS(Sales_Data!$O$2:$O$3520,Sales_Data!$C$2:$C$3520,$A26,Sales_Data!$H$2:$H$3520,L$14,Sales_Data!$AE$2:$AE$3520,1),SUMIFS(Sales_Data!$M$2:$M$3520,Sales_Data!$C$2:$C$3520,$A26,Sales_Data!$H$2:$H$3520,L$14,Sales_Data!$AE$2:$AE$3520,1),SUMIFS(Sales_Data!$N$2:$N$3520,Sales_Data!$C$2:$C$3520,$A26,Sales_Data!$H$2:$H$3520,L$14,Sales_Data!$AE$2:$AE$3520,1),SUMIFS(Sales_Data!$AE$2:$AE$3520,Sales_Data!$C$2:$C$3520,$A26,Sales_Data!$H$2:$H$3520,L$14))</f>
        <v>1</v>
      </c>
      <c r="M26" s="26" t="n">
        <f aca="false">CHOOSE(MATCH($B$3,Lists!$C$2:$C$5,0),SUMIFS(Sales_Data!$O$2:$O$3520,Sales_Data!$C$2:$C$3520,$A26,Sales_Data!$H$2:$H$3520,M$14,Sales_Data!$AE$2:$AE$3520,1),SUMIFS(Sales_Data!$M$2:$M$3520,Sales_Data!$C$2:$C$3520,$A26,Sales_Data!$H$2:$H$3520,M$14,Sales_Data!$AE$2:$AE$3520,1),SUMIFS(Sales_Data!$N$2:$N$3520,Sales_Data!$C$2:$C$3520,$A26,Sales_Data!$H$2:$H$3520,M$14,Sales_Data!$AE$2:$AE$3520,1),SUMIFS(Sales_Data!$AE$2:$AE$3520,Sales_Data!$C$2:$C$3520,$A26,Sales_Data!$H$2:$H$3520,M$14))</f>
        <v>3</v>
      </c>
      <c r="N26" s="26" t="n">
        <f aca="false">CHOOSE(MATCH($B$3,Lists!$C$2:$C$5,0),SUMIFS(Sales_Data!$O$2:$O$3520,Sales_Data!$C$2:$C$3520,$A26,Sales_Data!$H$2:$H$3520,N$14,Sales_Data!$AE$2:$AE$3520,1),SUMIFS(Sales_Data!$M$2:$M$3520,Sales_Data!$C$2:$C$3520,$A26,Sales_Data!$H$2:$H$3520,N$14,Sales_Data!$AE$2:$AE$3520,1),SUMIFS(Sales_Data!$N$2:$N$3520,Sales_Data!$C$2:$C$3520,$A26,Sales_Data!$H$2:$H$3520,N$14,Sales_Data!$AE$2:$AE$3520,1),SUMIFS(Sales_Data!$AE$2:$AE$3520,Sales_Data!$C$2:$C$3520,$A26,Sales_Data!$H$2:$H$3520,N$14))</f>
        <v>22</v>
      </c>
      <c r="O26" s="26" t="n">
        <f aca="false">CHOOSE(MATCH($B$3,Lists!$C$2:$C$5,0),SUMIFS(Sales_Data!$O$2:$O$3520,Sales_Data!$C$2:$C$3520,$A26,Sales_Data!$H$2:$H$3520,O$14,Sales_Data!$AE$2:$AE$3520,1),SUMIFS(Sales_Data!$M$2:$M$3520,Sales_Data!$C$2:$C$3520,$A26,Sales_Data!$H$2:$H$3520,O$14,Sales_Data!$AE$2:$AE$3520,1),SUMIFS(Sales_Data!$N$2:$N$3520,Sales_Data!$C$2:$C$3520,$A26,Sales_Data!$H$2:$H$3520,O$14,Sales_Data!$AE$2:$AE$3520,1),SUMIFS(Sales_Data!$AE$2:$AE$3520,Sales_Data!$C$2:$C$3520,$A26,Sales_Data!$H$2:$H$3520,O$14))</f>
        <v>0</v>
      </c>
      <c r="P26" s="27" t="n">
        <f aca="false">CHOOSE(MATCH($B$3,Lists!$C$2:$C$5,0),SUMIFS(Sales_Data!$O$2:$O$3520,Sales_Data!$C$2:$C$3520,$A26,Sales_Data!$AE$2:$AE$3520,1),SUMIFS(Sales_Data!$M$2:$M$3520,Sales_Data!$C$2:$C$3520,$A26,Sales_Data!$AE$2:$AE$3520,1),SUMIFS(Sales_Data!$N$2:$N$3520,Sales_Data!$C$2:$C$3520,$A26,Sales_Data!$AE$2:$AE$3520,1),SUMIFS(Sales_Data!$AE$2:$AE$3520,Sales_Data!$C$2:$C$3520,$A26))</f>
        <v>33</v>
      </c>
      <c r="Q26" s="27" t="n">
        <f aca="false">P26-SUM(B26:O26)</f>
        <v>6</v>
      </c>
      <c r="R26" s="3"/>
      <c r="S26" s="72" t="n">
        <f aca="false">A26</f>
        <v>46236</v>
      </c>
      <c r="T26" s="28" t="n">
        <f aca="false">B26-B25</f>
        <v>0</v>
      </c>
      <c r="U26" s="28" t="n">
        <f aca="false">C26-C25</f>
        <v>0</v>
      </c>
      <c r="V26" s="28" t="n">
        <f aca="false">D26-D25</f>
        <v>-2</v>
      </c>
      <c r="W26" s="28" t="n">
        <f aca="false">E26-E25</f>
        <v>0</v>
      </c>
      <c r="X26" s="28" t="n">
        <f aca="false">F26-F25</f>
        <v>-2</v>
      </c>
      <c r="Y26" s="28" t="n">
        <f aca="false">G26-G25</f>
        <v>0</v>
      </c>
      <c r="Z26" s="28" t="n">
        <f aca="false">H26-H25</f>
        <v>0</v>
      </c>
      <c r="AA26" s="28" t="n">
        <f aca="false">I26-I25</f>
        <v>0</v>
      </c>
      <c r="AB26" s="28" t="n">
        <f aca="false">J26-J25</f>
        <v>0</v>
      </c>
      <c r="AC26" s="28" t="n">
        <f aca="false">K26-K25</f>
        <v>0</v>
      </c>
      <c r="AD26" s="28" t="n">
        <f aca="false">L26-L25</f>
        <v>-9</v>
      </c>
      <c r="AE26" s="28" t="n">
        <f aca="false">M26-M25</f>
        <v>0</v>
      </c>
      <c r="AF26" s="28" t="n">
        <f aca="false">N26-N25</f>
        <v>19</v>
      </c>
      <c r="AG26" s="28" t="n">
        <f aca="false">O26-O25</f>
        <v>0</v>
      </c>
      <c r="AH26" s="28" t="n">
        <f aca="false">P26-P25</f>
        <v>8</v>
      </c>
    </row>
    <row r="27" customFormat="false" ht="15" hidden="false" customHeight="false" outlineLevel="0" collapsed="false">
      <c r="A27" s="72" t="n">
        <v>46237</v>
      </c>
      <c r="B27" s="26" t="n">
        <f aca="false">CHOOSE(MATCH($B$3,Lists!$C$2:$C$5,0),SUMIFS(Sales_Data!$O$2:$O$3520,Sales_Data!$C$2:$C$3520,$A27,Sales_Data!$H$2:$H$3520,B$14,Sales_Data!$AE$2:$AE$3520,1),SUMIFS(Sales_Data!$M$2:$M$3520,Sales_Data!$C$2:$C$3520,$A27,Sales_Data!$H$2:$H$3520,B$14,Sales_Data!$AE$2:$AE$3520,1),SUMIFS(Sales_Data!$N$2:$N$3520,Sales_Data!$C$2:$C$3520,$A27,Sales_Data!$H$2:$H$3520,B$14,Sales_Data!$AE$2:$AE$3520,1),SUMIFS(Sales_Data!$AE$2:$AE$3520,Sales_Data!$C$2:$C$3520,$A27,Sales_Data!$H$2:$H$3520,B$14))</f>
        <v>0</v>
      </c>
      <c r="C27" s="26" t="n">
        <f aca="false">CHOOSE(MATCH($B$3,Lists!$C$2:$C$5,0),SUMIFS(Sales_Data!$O$2:$O$3520,Sales_Data!$C$2:$C$3520,$A27,Sales_Data!$H$2:$H$3520,C$14,Sales_Data!$AE$2:$AE$3520,1),SUMIFS(Sales_Data!$M$2:$M$3520,Sales_Data!$C$2:$C$3520,$A27,Sales_Data!$H$2:$H$3520,C$14,Sales_Data!$AE$2:$AE$3520,1),SUMIFS(Sales_Data!$N$2:$N$3520,Sales_Data!$C$2:$C$3520,$A27,Sales_Data!$H$2:$H$3520,C$14,Sales_Data!$AE$2:$AE$3520,1),SUMIFS(Sales_Data!$AE$2:$AE$3520,Sales_Data!$C$2:$C$3520,$A27,Sales_Data!$H$2:$H$3520,C$14))</f>
        <v>5</v>
      </c>
      <c r="D27" s="26" t="n">
        <f aca="false">CHOOSE(MATCH($B$3,Lists!$C$2:$C$5,0),SUMIFS(Sales_Data!$O$2:$O$3520,Sales_Data!$C$2:$C$3520,$A27,Sales_Data!$H$2:$H$3520,D$14,Sales_Data!$AE$2:$AE$3520,1),SUMIFS(Sales_Data!$M$2:$M$3520,Sales_Data!$C$2:$C$3520,$A27,Sales_Data!$H$2:$H$3520,D$14,Sales_Data!$AE$2:$AE$3520,1),SUMIFS(Sales_Data!$N$2:$N$3520,Sales_Data!$C$2:$C$3520,$A27,Sales_Data!$H$2:$H$3520,D$14,Sales_Data!$AE$2:$AE$3520,1),SUMIFS(Sales_Data!$AE$2:$AE$3520,Sales_Data!$C$2:$C$3520,$A27,Sales_Data!$H$2:$H$3520,D$14))</f>
        <v>1</v>
      </c>
      <c r="E27" s="26" t="n">
        <f aca="false">CHOOSE(MATCH($B$3,Lists!$C$2:$C$5,0),SUMIFS(Sales_Data!$O$2:$O$3520,Sales_Data!$C$2:$C$3520,$A27,Sales_Data!$H$2:$H$3520,E$14,Sales_Data!$AE$2:$AE$3520,1),SUMIFS(Sales_Data!$M$2:$M$3520,Sales_Data!$C$2:$C$3520,$A27,Sales_Data!$H$2:$H$3520,E$14,Sales_Data!$AE$2:$AE$3520,1),SUMIFS(Sales_Data!$N$2:$N$3520,Sales_Data!$C$2:$C$3520,$A27,Sales_Data!$H$2:$H$3520,E$14,Sales_Data!$AE$2:$AE$3520,1),SUMIFS(Sales_Data!$AE$2:$AE$3520,Sales_Data!$C$2:$C$3520,$A27,Sales_Data!$H$2:$H$3520,E$14))</f>
        <v>0</v>
      </c>
      <c r="F27" s="26" t="n">
        <f aca="false">CHOOSE(MATCH($B$3,Lists!$C$2:$C$5,0),SUMIFS(Sales_Data!$O$2:$O$3520,Sales_Data!$C$2:$C$3520,$A27,Sales_Data!$H$2:$H$3520,F$14,Sales_Data!$AE$2:$AE$3520,1),SUMIFS(Sales_Data!$M$2:$M$3520,Sales_Data!$C$2:$C$3520,$A27,Sales_Data!$H$2:$H$3520,F$14,Sales_Data!$AE$2:$AE$3520,1),SUMIFS(Sales_Data!$N$2:$N$3520,Sales_Data!$C$2:$C$3520,$A27,Sales_Data!$H$2:$H$3520,F$14,Sales_Data!$AE$2:$AE$3520,1),SUMIFS(Sales_Data!$AE$2:$AE$3520,Sales_Data!$C$2:$C$3520,$A27,Sales_Data!$H$2:$H$3520,F$14))</f>
        <v>12</v>
      </c>
      <c r="G27" s="26" t="n">
        <f aca="false">CHOOSE(MATCH($B$3,Lists!$C$2:$C$5,0),SUMIFS(Sales_Data!$O$2:$O$3520,Sales_Data!$C$2:$C$3520,$A27,Sales_Data!$H$2:$H$3520,G$14,Sales_Data!$AE$2:$AE$3520,1),SUMIFS(Sales_Data!$M$2:$M$3520,Sales_Data!$C$2:$C$3520,$A27,Sales_Data!$H$2:$H$3520,G$14,Sales_Data!$AE$2:$AE$3520,1),SUMIFS(Sales_Data!$N$2:$N$3520,Sales_Data!$C$2:$C$3520,$A27,Sales_Data!$H$2:$H$3520,G$14,Sales_Data!$AE$2:$AE$3520,1),SUMIFS(Sales_Data!$AE$2:$AE$3520,Sales_Data!$C$2:$C$3520,$A27,Sales_Data!$H$2:$H$3520,G$14))</f>
        <v>1</v>
      </c>
      <c r="H27" s="26" t="n">
        <f aca="false">CHOOSE(MATCH($B$3,Lists!$C$2:$C$5,0),SUMIFS(Sales_Data!$O$2:$O$3520,Sales_Data!$C$2:$C$3520,$A27,Sales_Data!$H$2:$H$3520,H$14,Sales_Data!$AE$2:$AE$3520,1),SUMIFS(Sales_Data!$M$2:$M$3520,Sales_Data!$C$2:$C$3520,$A27,Sales_Data!$H$2:$H$3520,H$14,Sales_Data!$AE$2:$AE$3520,1),SUMIFS(Sales_Data!$N$2:$N$3520,Sales_Data!$C$2:$C$3520,$A27,Sales_Data!$H$2:$H$3520,H$14,Sales_Data!$AE$2:$AE$3520,1),SUMIFS(Sales_Data!$AE$2:$AE$3520,Sales_Data!$C$2:$C$3520,$A27,Sales_Data!$H$2:$H$3520,H$14))</f>
        <v>0</v>
      </c>
      <c r="I27" s="26" t="n">
        <f aca="false">CHOOSE(MATCH($B$3,Lists!$C$2:$C$5,0),SUMIFS(Sales_Data!$O$2:$O$3520,Sales_Data!$C$2:$C$3520,$A27,Sales_Data!$H$2:$H$3520,I$14,Sales_Data!$AE$2:$AE$3520,1),SUMIFS(Sales_Data!$M$2:$M$3520,Sales_Data!$C$2:$C$3520,$A27,Sales_Data!$H$2:$H$3520,I$14,Sales_Data!$AE$2:$AE$3520,1),SUMIFS(Sales_Data!$N$2:$N$3520,Sales_Data!$C$2:$C$3520,$A27,Sales_Data!$H$2:$H$3520,I$14,Sales_Data!$AE$2:$AE$3520,1),SUMIFS(Sales_Data!$AE$2:$AE$3520,Sales_Data!$C$2:$C$3520,$A27,Sales_Data!$H$2:$H$3520,I$14))</f>
        <v>0</v>
      </c>
      <c r="J27" s="26" t="n">
        <f aca="false">CHOOSE(MATCH($B$3,Lists!$C$2:$C$5,0),SUMIFS(Sales_Data!$O$2:$O$3520,Sales_Data!$C$2:$C$3520,$A27,Sales_Data!$H$2:$H$3520,J$14,Sales_Data!$AE$2:$AE$3520,1),SUMIFS(Sales_Data!$M$2:$M$3520,Sales_Data!$C$2:$C$3520,$A27,Sales_Data!$H$2:$H$3520,J$14,Sales_Data!$AE$2:$AE$3520,1),SUMIFS(Sales_Data!$N$2:$N$3520,Sales_Data!$C$2:$C$3520,$A27,Sales_Data!$H$2:$H$3520,J$14,Sales_Data!$AE$2:$AE$3520,1),SUMIFS(Sales_Data!$AE$2:$AE$3520,Sales_Data!$C$2:$C$3520,$A27,Sales_Data!$H$2:$H$3520,J$14))</f>
        <v>0</v>
      </c>
      <c r="K27" s="26" t="n">
        <f aca="false">CHOOSE(MATCH($B$3,Lists!$C$2:$C$5,0),SUMIFS(Sales_Data!$O$2:$O$3520,Sales_Data!$C$2:$C$3520,$A27,Sales_Data!$H$2:$H$3520,K$14,Sales_Data!$AE$2:$AE$3520,1),SUMIFS(Sales_Data!$M$2:$M$3520,Sales_Data!$C$2:$C$3520,$A27,Sales_Data!$H$2:$H$3520,K$14,Sales_Data!$AE$2:$AE$3520,1),SUMIFS(Sales_Data!$N$2:$N$3520,Sales_Data!$C$2:$C$3520,$A27,Sales_Data!$H$2:$H$3520,K$14,Sales_Data!$AE$2:$AE$3520,1),SUMIFS(Sales_Data!$AE$2:$AE$3520,Sales_Data!$C$2:$C$3520,$A27,Sales_Data!$H$2:$H$3520,K$14))</f>
        <v>0</v>
      </c>
      <c r="L27" s="26" t="n">
        <f aca="false">CHOOSE(MATCH($B$3,Lists!$C$2:$C$5,0),SUMIFS(Sales_Data!$O$2:$O$3520,Sales_Data!$C$2:$C$3520,$A27,Sales_Data!$H$2:$H$3520,L$14,Sales_Data!$AE$2:$AE$3520,1),SUMIFS(Sales_Data!$M$2:$M$3520,Sales_Data!$C$2:$C$3520,$A27,Sales_Data!$H$2:$H$3520,L$14,Sales_Data!$AE$2:$AE$3520,1),SUMIFS(Sales_Data!$N$2:$N$3520,Sales_Data!$C$2:$C$3520,$A27,Sales_Data!$H$2:$H$3520,L$14,Sales_Data!$AE$2:$AE$3520,1),SUMIFS(Sales_Data!$AE$2:$AE$3520,Sales_Data!$C$2:$C$3520,$A27,Sales_Data!$H$2:$H$3520,L$14))</f>
        <v>2</v>
      </c>
      <c r="M27" s="26" t="n">
        <f aca="false">CHOOSE(MATCH($B$3,Lists!$C$2:$C$5,0),SUMIFS(Sales_Data!$O$2:$O$3520,Sales_Data!$C$2:$C$3520,$A27,Sales_Data!$H$2:$H$3520,M$14,Sales_Data!$AE$2:$AE$3520,1),SUMIFS(Sales_Data!$M$2:$M$3520,Sales_Data!$C$2:$C$3520,$A27,Sales_Data!$H$2:$H$3520,M$14,Sales_Data!$AE$2:$AE$3520,1),SUMIFS(Sales_Data!$N$2:$N$3520,Sales_Data!$C$2:$C$3520,$A27,Sales_Data!$H$2:$H$3520,M$14,Sales_Data!$AE$2:$AE$3520,1),SUMIFS(Sales_Data!$AE$2:$AE$3520,Sales_Data!$C$2:$C$3520,$A27,Sales_Data!$H$2:$H$3520,M$14))</f>
        <v>3</v>
      </c>
      <c r="N27" s="26" t="n">
        <f aca="false">CHOOSE(MATCH($B$3,Lists!$C$2:$C$5,0),SUMIFS(Sales_Data!$O$2:$O$3520,Sales_Data!$C$2:$C$3520,$A27,Sales_Data!$H$2:$H$3520,N$14,Sales_Data!$AE$2:$AE$3520,1),SUMIFS(Sales_Data!$M$2:$M$3520,Sales_Data!$C$2:$C$3520,$A27,Sales_Data!$H$2:$H$3520,N$14,Sales_Data!$AE$2:$AE$3520,1),SUMIFS(Sales_Data!$N$2:$N$3520,Sales_Data!$C$2:$C$3520,$A27,Sales_Data!$H$2:$H$3520,N$14,Sales_Data!$AE$2:$AE$3520,1),SUMIFS(Sales_Data!$AE$2:$AE$3520,Sales_Data!$C$2:$C$3520,$A27,Sales_Data!$H$2:$H$3520,N$14))</f>
        <v>11</v>
      </c>
      <c r="O27" s="26" t="n">
        <f aca="false">CHOOSE(MATCH($B$3,Lists!$C$2:$C$5,0),SUMIFS(Sales_Data!$O$2:$O$3520,Sales_Data!$C$2:$C$3520,$A27,Sales_Data!$H$2:$H$3520,O$14,Sales_Data!$AE$2:$AE$3520,1),SUMIFS(Sales_Data!$M$2:$M$3520,Sales_Data!$C$2:$C$3520,$A27,Sales_Data!$H$2:$H$3520,O$14,Sales_Data!$AE$2:$AE$3520,1),SUMIFS(Sales_Data!$N$2:$N$3520,Sales_Data!$C$2:$C$3520,$A27,Sales_Data!$H$2:$H$3520,O$14,Sales_Data!$AE$2:$AE$3520,1),SUMIFS(Sales_Data!$AE$2:$AE$3520,Sales_Data!$C$2:$C$3520,$A27,Sales_Data!$H$2:$H$3520,O$14))</f>
        <v>0</v>
      </c>
      <c r="P27" s="27" t="n">
        <f aca="false">CHOOSE(MATCH($B$3,Lists!$C$2:$C$5,0),SUMIFS(Sales_Data!$O$2:$O$3520,Sales_Data!$C$2:$C$3520,$A27,Sales_Data!$AE$2:$AE$3520,1),SUMIFS(Sales_Data!$M$2:$M$3520,Sales_Data!$C$2:$C$3520,$A27,Sales_Data!$AE$2:$AE$3520,1),SUMIFS(Sales_Data!$N$2:$N$3520,Sales_Data!$C$2:$C$3520,$A27,Sales_Data!$AE$2:$AE$3520,1),SUMIFS(Sales_Data!$AE$2:$AE$3520,Sales_Data!$C$2:$C$3520,$A27))</f>
        <v>46</v>
      </c>
      <c r="Q27" s="27" t="n">
        <f aca="false">P27-SUM(B27:O27)</f>
        <v>11</v>
      </c>
      <c r="R27" s="3"/>
      <c r="S27" s="72" t="n">
        <f aca="false">A27</f>
        <v>46237</v>
      </c>
      <c r="T27" s="28" t="n">
        <f aca="false">B27-B26</f>
        <v>0</v>
      </c>
      <c r="U27" s="28" t="n">
        <f aca="false">C27-C26</f>
        <v>5</v>
      </c>
      <c r="V27" s="28" t="n">
        <f aca="false">D27-D26</f>
        <v>1</v>
      </c>
      <c r="W27" s="28" t="n">
        <f aca="false">E27-E26</f>
        <v>0</v>
      </c>
      <c r="X27" s="28" t="n">
        <f aca="false">F27-F26</f>
        <v>11</v>
      </c>
      <c r="Y27" s="28" t="n">
        <f aca="false">G27-G26</f>
        <v>1</v>
      </c>
      <c r="Z27" s="28" t="n">
        <f aca="false">H27-H26</f>
        <v>0</v>
      </c>
      <c r="AA27" s="28" t="n">
        <f aca="false">I27-I26</f>
        <v>0</v>
      </c>
      <c r="AB27" s="28" t="n">
        <f aca="false">J27-J26</f>
        <v>0</v>
      </c>
      <c r="AC27" s="28" t="n">
        <f aca="false">K27-K26</f>
        <v>0</v>
      </c>
      <c r="AD27" s="28" t="n">
        <f aca="false">L27-L26</f>
        <v>1</v>
      </c>
      <c r="AE27" s="28" t="n">
        <f aca="false">M27-M26</f>
        <v>0</v>
      </c>
      <c r="AF27" s="28" t="n">
        <f aca="false">N27-N26</f>
        <v>-11</v>
      </c>
      <c r="AG27" s="28" t="n">
        <f aca="false">O27-O26</f>
        <v>0</v>
      </c>
      <c r="AH27" s="28" t="n">
        <f aca="false">P27-P26</f>
        <v>13</v>
      </c>
    </row>
    <row r="28" customFormat="false" ht="15" hidden="false" customHeight="false" outlineLevel="0" collapsed="false">
      <c r="A28" s="72" t="n">
        <v>46238</v>
      </c>
      <c r="B28" s="26" t="n">
        <f aca="false">CHOOSE(MATCH($B$3,Lists!$C$2:$C$5,0),SUMIFS(Sales_Data!$O$2:$O$3520,Sales_Data!$C$2:$C$3520,$A28,Sales_Data!$H$2:$H$3520,B$14,Sales_Data!$AE$2:$AE$3520,1),SUMIFS(Sales_Data!$M$2:$M$3520,Sales_Data!$C$2:$C$3520,$A28,Sales_Data!$H$2:$H$3520,B$14,Sales_Data!$AE$2:$AE$3520,1),SUMIFS(Sales_Data!$N$2:$N$3520,Sales_Data!$C$2:$C$3520,$A28,Sales_Data!$H$2:$H$3520,B$14,Sales_Data!$AE$2:$AE$3520,1),SUMIFS(Sales_Data!$AE$2:$AE$3520,Sales_Data!$C$2:$C$3520,$A28,Sales_Data!$H$2:$H$3520,B$14))</f>
        <v>0</v>
      </c>
      <c r="C28" s="26" t="n">
        <f aca="false">CHOOSE(MATCH($B$3,Lists!$C$2:$C$5,0),SUMIFS(Sales_Data!$O$2:$O$3520,Sales_Data!$C$2:$C$3520,$A28,Sales_Data!$H$2:$H$3520,C$14,Sales_Data!$AE$2:$AE$3520,1),SUMIFS(Sales_Data!$M$2:$M$3520,Sales_Data!$C$2:$C$3520,$A28,Sales_Data!$H$2:$H$3520,C$14,Sales_Data!$AE$2:$AE$3520,1),SUMIFS(Sales_Data!$N$2:$N$3520,Sales_Data!$C$2:$C$3520,$A28,Sales_Data!$H$2:$H$3520,C$14,Sales_Data!$AE$2:$AE$3520,1),SUMIFS(Sales_Data!$AE$2:$AE$3520,Sales_Data!$C$2:$C$3520,$A28,Sales_Data!$H$2:$H$3520,C$14))</f>
        <v>5</v>
      </c>
      <c r="D28" s="26" t="n">
        <f aca="false">CHOOSE(MATCH($B$3,Lists!$C$2:$C$5,0),SUMIFS(Sales_Data!$O$2:$O$3520,Sales_Data!$C$2:$C$3520,$A28,Sales_Data!$H$2:$H$3520,D$14,Sales_Data!$AE$2:$AE$3520,1),SUMIFS(Sales_Data!$M$2:$M$3520,Sales_Data!$C$2:$C$3520,$A28,Sales_Data!$H$2:$H$3520,D$14,Sales_Data!$AE$2:$AE$3520,1),SUMIFS(Sales_Data!$N$2:$N$3520,Sales_Data!$C$2:$C$3520,$A28,Sales_Data!$H$2:$H$3520,D$14,Sales_Data!$AE$2:$AE$3520,1),SUMIFS(Sales_Data!$AE$2:$AE$3520,Sales_Data!$C$2:$C$3520,$A28,Sales_Data!$H$2:$H$3520,D$14))</f>
        <v>2</v>
      </c>
      <c r="E28" s="26" t="n">
        <f aca="false">CHOOSE(MATCH($B$3,Lists!$C$2:$C$5,0),SUMIFS(Sales_Data!$O$2:$O$3520,Sales_Data!$C$2:$C$3520,$A28,Sales_Data!$H$2:$H$3520,E$14,Sales_Data!$AE$2:$AE$3520,1),SUMIFS(Sales_Data!$M$2:$M$3520,Sales_Data!$C$2:$C$3520,$A28,Sales_Data!$H$2:$H$3520,E$14,Sales_Data!$AE$2:$AE$3520,1),SUMIFS(Sales_Data!$N$2:$N$3520,Sales_Data!$C$2:$C$3520,$A28,Sales_Data!$H$2:$H$3520,E$14,Sales_Data!$AE$2:$AE$3520,1),SUMIFS(Sales_Data!$AE$2:$AE$3520,Sales_Data!$C$2:$C$3520,$A28,Sales_Data!$H$2:$H$3520,E$14))</f>
        <v>0</v>
      </c>
      <c r="F28" s="26" t="n">
        <f aca="false">CHOOSE(MATCH($B$3,Lists!$C$2:$C$5,0),SUMIFS(Sales_Data!$O$2:$O$3520,Sales_Data!$C$2:$C$3520,$A28,Sales_Data!$H$2:$H$3520,F$14,Sales_Data!$AE$2:$AE$3520,1),SUMIFS(Sales_Data!$M$2:$M$3520,Sales_Data!$C$2:$C$3520,$A28,Sales_Data!$H$2:$H$3520,F$14,Sales_Data!$AE$2:$AE$3520,1),SUMIFS(Sales_Data!$N$2:$N$3520,Sales_Data!$C$2:$C$3520,$A28,Sales_Data!$H$2:$H$3520,F$14,Sales_Data!$AE$2:$AE$3520,1),SUMIFS(Sales_Data!$AE$2:$AE$3520,Sales_Data!$C$2:$C$3520,$A28,Sales_Data!$H$2:$H$3520,F$14))</f>
        <v>8</v>
      </c>
      <c r="G28" s="26" t="n">
        <f aca="false">CHOOSE(MATCH($B$3,Lists!$C$2:$C$5,0),SUMIFS(Sales_Data!$O$2:$O$3520,Sales_Data!$C$2:$C$3520,$A28,Sales_Data!$H$2:$H$3520,G$14,Sales_Data!$AE$2:$AE$3520,1),SUMIFS(Sales_Data!$M$2:$M$3520,Sales_Data!$C$2:$C$3520,$A28,Sales_Data!$H$2:$H$3520,G$14,Sales_Data!$AE$2:$AE$3520,1),SUMIFS(Sales_Data!$N$2:$N$3520,Sales_Data!$C$2:$C$3520,$A28,Sales_Data!$H$2:$H$3520,G$14,Sales_Data!$AE$2:$AE$3520,1),SUMIFS(Sales_Data!$AE$2:$AE$3520,Sales_Data!$C$2:$C$3520,$A28,Sales_Data!$H$2:$H$3520,G$14))</f>
        <v>1</v>
      </c>
      <c r="H28" s="26" t="n">
        <f aca="false">CHOOSE(MATCH($B$3,Lists!$C$2:$C$5,0),SUMIFS(Sales_Data!$O$2:$O$3520,Sales_Data!$C$2:$C$3520,$A28,Sales_Data!$H$2:$H$3520,H$14,Sales_Data!$AE$2:$AE$3520,1),SUMIFS(Sales_Data!$M$2:$M$3520,Sales_Data!$C$2:$C$3520,$A28,Sales_Data!$H$2:$H$3520,H$14,Sales_Data!$AE$2:$AE$3520,1),SUMIFS(Sales_Data!$N$2:$N$3520,Sales_Data!$C$2:$C$3520,$A28,Sales_Data!$H$2:$H$3520,H$14,Sales_Data!$AE$2:$AE$3520,1),SUMIFS(Sales_Data!$AE$2:$AE$3520,Sales_Data!$C$2:$C$3520,$A28,Sales_Data!$H$2:$H$3520,H$14))</f>
        <v>0</v>
      </c>
      <c r="I28" s="26" t="n">
        <f aca="false">CHOOSE(MATCH($B$3,Lists!$C$2:$C$5,0),SUMIFS(Sales_Data!$O$2:$O$3520,Sales_Data!$C$2:$C$3520,$A28,Sales_Data!$H$2:$H$3520,I$14,Sales_Data!$AE$2:$AE$3520,1),SUMIFS(Sales_Data!$M$2:$M$3520,Sales_Data!$C$2:$C$3520,$A28,Sales_Data!$H$2:$H$3520,I$14,Sales_Data!$AE$2:$AE$3520,1),SUMIFS(Sales_Data!$N$2:$N$3520,Sales_Data!$C$2:$C$3520,$A28,Sales_Data!$H$2:$H$3520,I$14,Sales_Data!$AE$2:$AE$3520,1),SUMIFS(Sales_Data!$AE$2:$AE$3520,Sales_Data!$C$2:$C$3520,$A28,Sales_Data!$H$2:$H$3520,I$14))</f>
        <v>0</v>
      </c>
      <c r="J28" s="26" t="n">
        <f aca="false">CHOOSE(MATCH($B$3,Lists!$C$2:$C$5,0),SUMIFS(Sales_Data!$O$2:$O$3520,Sales_Data!$C$2:$C$3520,$A28,Sales_Data!$H$2:$H$3520,J$14,Sales_Data!$AE$2:$AE$3520,1),SUMIFS(Sales_Data!$M$2:$M$3520,Sales_Data!$C$2:$C$3520,$A28,Sales_Data!$H$2:$H$3520,J$14,Sales_Data!$AE$2:$AE$3520,1),SUMIFS(Sales_Data!$N$2:$N$3520,Sales_Data!$C$2:$C$3520,$A28,Sales_Data!$H$2:$H$3520,J$14,Sales_Data!$AE$2:$AE$3520,1),SUMIFS(Sales_Data!$AE$2:$AE$3520,Sales_Data!$C$2:$C$3520,$A28,Sales_Data!$H$2:$H$3520,J$14))</f>
        <v>0</v>
      </c>
      <c r="K28" s="26" t="n">
        <f aca="false">CHOOSE(MATCH($B$3,Lists!$C$2:$C$5,0),SUMIFS(Sales_Data!$O$2:$O$3520,Sales_Data!$C$2:$C$3520,$A28,Sales_Data!$H$2:$H$3520,K$14,Sales_Data!$AE$2:$AE$3520,1),SUMIFS(Sales_Data!$M$2:$M$3520,Sales_Data!$C$2:$C$3520,$A28,Sales_Data!$H$2:$H$3520,K$14,Sales_Data!$AE$2:$AE$3520,1),SUMIFS(Sales_Data!$N$2:$N$3520,Sales_Data!$C$2:$C$3520,$A28,Sales_Data!$H$2:$H$3520,K$14,Sales_Data!$AE$2:$AE$3520,1),SUMIFS(Sales_Data!$AE$2:$AE$3520,Sales_Data!$C$2:$C$3520,$A28,Sales_Data!$H$2:$H$3520,K$14))</f>
        <v>0</v>
      </c>
      <c r="L28" s="26" t="n">
        <f aca="false">CHOOSE(MATCH($B$3,Lists!$C$2:$C$5,0),SUMIFS(Sales_Data!$O$2:$O$3520,Sales_Data!$C$2:$C$3520,$A28,Sales_Data!$H$2:$H$3520,L$14,Sales_Data!$AE$2:$AE$3520,1),SUMIFS(Sales_Data!$M$2:$M$3520,Sales_Data!$C$2:$C$3520,$A28,Sales_Data!$H$2:$H$3520,L$14,Sales_Data!$AE$2:$AE$3520,1),SUMIFS(Sales_Data!$N$2:$N$3520,Sales_Data!$C$2:$C$3520,$A28,Sales_Data!$H$2:$H$3520,L$14,Sales_Data!$AE$2:$AE$3520,1),SUMIFS(Sales_Data!$AE$2:$AE$3520,Sales_Data!$C$2:$C$3520,$A28,Sales_Data!$H$2:$H$3520,L$14))</f>
        <v>4</v>
      </c>
      <c r="M28" s="26" t="n">
        <f aca="false">CHOOSE(MATCH($B$3,Lists!$C$2:$C$5,0),SUMIFS(Sales_Data!$O$2:$O$3520,Sales_Data!$C$2:$C$3520,$A28,Sales_Data!$H$2:$H$3520,M$14,Sales_Data!$AE$2:$AE$3520,1),SUMIFS(Sales_Data!$M$2:$M$3520,Sales_Data!$C$2:$C$3520,$A28,Sales_Data!$H$2:$H$3520,M$14,Sales_Data!$AE$2:$AE$3520,1),SUMIFS(Sales_Data!$N$2:$N$3520,Sales_Data!$C$2:$C$3520,$A28,Sales_Data!$H$2:$H$3520,M$14,Sales_Data!$AE$2:$AE$3520,1),SUMIFS(Sales_Data!$AE$2:$AE$3520,Sales_Data!$C$2:$C$3520,$A28,Sales_Data!$H$2:$H$3520,M$14))</f>
        <v>6</v>
      </c>
      <c r="N28" s="26" t="n">
        <f aca="false">CHOOSE(MATCH($B$3,Lists!$C$2:$C$5,0),SUMIFS(Sales_Data!$O$2:$O$3520,Sales_Data!$C$2:$C$3520,$A28,Sales_Data!$H$2:$H$3520,N$14,Sales_Data!$AE$2:$AE$3520,1),SUMIFS(Sales_Data!$M$2:$M$3520,Sales_Data!$C$2:$C$3520,$A28,Sales_Data!$H$2:$H$3520,N$14,Sales_Data!$AE$2:$AE$3520,1),SUMIFS(Sales_Data!$N$2:$N$3520,Sales_Data!$C$2:$C$3520,$A28,Sales_Data!$H$2:$H$3520,N$14,Sales_Data!$AE$2:$AE$3520,1),SUMIFS(Sales_Data!$AE$2:$AE$3520,Sales_Data!$C$2:$C$3520,$A28,Sales_Data!$H$2:$H$3520,N$14))</f>
        <v>4</v>
      </c>
      <c r="O28" s="26" t="n">
        <f aca="false">CHOOSE(MATCH($B$3,Lists!$C$2:$C$5,0),SUMIFS(Sales_Data!$O$2:$O$3520,Sales_Data!$C$2:$C$3520,$A28,Sales_Data!$H$2:$H$3520,O$14,Sales_Data!$AE$2:$AE$3520,1),SUMIFS(Sales_Data!$M$2:$M$3520,Sales_Data!$C$2:$C$3520,$A28,Sales_Data!$H$2:$H$3520,O$14,Sales_Data!$AE$2:$AE$3520,1),SUMIFS(Sales_Data!$N$2:$N$3520,Sales_Data!$C$2:$C$3520,$A28,Sales_Data!$H$2:$H$3520,O$14,Sales_Data!$AE$2:$AE$3520,1),SUMIFS(Sales_Data!$AE$2:$AE$3520,Sales_Data!$C$2:$C$3520,$A28,Sales_Data!$H$2:$H$3520,O$14))</f>
        <v>0</v>
      </c>
      <c r="P28" s="27" t="n">
        <f aca="false">CHOOSE(MATCH($B$3,Lists!$C$2:$C$5,0),SUMIFS(Sales_Data!$O$2:$O$3520,Sales_Data!$C$2:$C$3520,$A28,Sales_Data!$AE$2:$AE$3520,1),SUMIFS(Sales_Data!$M$2:$M$3520,Sales_Data!$C$2:$C$3520,$A28,Sales_Data!$AE$2:$AE$3520,1),SUMIFS(Sales_Data!$N$2:$N$3520,Sales_Data!$C$2:$C$3520,$A28,Sales_Data!$AE$2:$AE$3520,1),SUMIFS(Sales_Data!$AE$2:$AE$3520,Sales_Data!$C$2:$C$3520,$A28))</f>
        <v>38</v>
      </c>
      <c r="Q28" s="27" t="n">
        <f aca="false">P28-SUM(B28:O28)</f>
        <v>8</v>
      </c>
      <c r="R28" s="3"/>
      <c r="S28" s="72" t="n">
        <f aca="false">A28</f>
        <v>46238</v>
      </c>
      <c r="T28" s="28" t="n">
        <f aca="false">B28-B27</f>
        <v>0</v>
      </c>
      <c r="U28" s="28" t="n">
        <f aca="false">C28-C27</f>
        <v>0</v>
      </c>
      <c r="V28" s="28" t="n">
        <f aca="false">D28-D27</f>
        <v>1</v>
      </c>
      <c r="W28" s="28" t="n">
        <f aca="false">E28-E27</f>
        <v>0</v>
      </c>
      <c r="X28" s="28" t="n">
        <f aca="false">F28-F27</f>
        <v>-4</v>
      </c>
      <c r="Y28" s="28" t="n">
        <f aca="false">G28-G27</f>
        <v>0</v>
      </c>
      <c r="Z28" s="28" t="n">
        <f aca="false">H28-H27</f>
        <v>0</v>
      </c>
      <c r="AA28" s="28" t="n">
        <f aca="false">I28-I27</f>
        <v>0</v>
      </c>
      <c r="AB28" s="28" t="n">
        <f aca="false">J28-J27</f>
        <v>0</v>
      </c>
      <c r="AC28" s="28" t="n">
        <f aca="false">K28-K27</f>
        <v>0</v>
      </c>
      <c r="AD28" s="28" t="n">
        <f aca="false">L28-L27</f>
        <v>2</v>
      </c>
      <c r="AE28" s="28" t="n">
        <f aca="false">M28-M27</f>
        <v>3</v>
      </c>
      <c r="AF28" s="28" t="n">
        <f aca="false">N28-N27</f>
        <v>-7</v>
      </c>
      <c r="AG28" s="28" t="n">
        <f aca="false">O28-O27</f>
        <v>0</v>
      </c>
      <c r="AH28" s="28" t="n">
        <f aca="false">P28-P27</f>
        <v>-8</v>
      </c>
    </row>
    <row r="29" customFormat="false" ht="15" hidden="false" customHeight="false" outlineLevel="0" collapsed="false">
      <c r="A29" s="72" t="n">
        <v>46239</v>
      </c>
      <c r="B29" s="26" t="n">
        <f aca="false">CHOOSE(MATCH($B$3,Lists!$C$2:$C$5,0),SUMIFS(Sales_Data!$O$2:$O$3520,Sales_Data!$C$2:$C$3520,$A29,Sales_Data!$H$2:$H$3520,B$14,Sales_Data!$AE$2:$AE$3520,1),SUMIFS(Sales_Data!$M$2:$M$3520,Sales_Data!$C$2:$C$3520,$A29,Sales_Data!$H$2:$H$3520,B$14,Sales_Data!$AE$2:$AE$3520,1),SUMIFS(Sales_Data!$N$2:$N$3520,Sales_Data!$C$2:$C$3520,$A29,Sales_Data!$H$2:$H$3520,B$14,Sales_Data!$AE$2:$AE$3520,1),SUMIFS(Sales_Data!$AE$2:$AE$3520,Sales_Data!$C$2:$C$3520,$A29,Sales_Data!$H$2:$H$3520,B$14))</f>
        <v>0</v>
      </c>
      <c r="C29" s="26" t="n">
        <f aca="false">CHOOSE(MATCH($B$3,Lists!$C$2:$C$5,0),SUMIFS(Sales_Data!$O$2:$O$3520,Sales_Data!$C$2:$C$3520,$A29,Sales_Data!$H$2:$H$3520,C$14,Sales_Data!$AE$2:$AE$3520,1),SUMIFS(Sales_Data!$M$2:$M$3520,Sales_Data!$C$2:$C$3520,$A29,Sales_Data!$H$2:$H$3520,C$14,Sales_Data!$AE$2:$AE$3520,1),SUMIFS(Sales_Data!$N$2:$N$3520,Sales_Data!$C$2:$C$3520,$A29,Sales_Data!$H$2:$H$3520,C$14,Sales_Data!$AE$2:$AE$3520,1),SUMIFS(Sales_Data!$AE$2:$AE$3520,Sales_Data!$C$2:$C$3520,$A29,Sales_Data!$H$2:$H$3520,C$14))</f>
        <v>3</v>
      </c>
      <c r="D29" s="26" t="n">
        <f aca="false">CHOOSE(MATCH($B$3,Lists!$C$2:$C$5,0),SUMIFS(Sales_Data!$O$2:$O$3520,Sales_Data!$C$2:$C$3520,$A29,Sales_Data!$H$2:$H$3520,D$14,Sales_Data!$AE$2:$AE$3520,1),SUMIFS(Sales_Data!$M$2:$M$3520,Sales_Data!$C$2:$C$3520,$A29,Sales_Data!$H$2:$H$3520,D$14,Sales_Data!$AE$2:$AE$3520,1),SUMIFS(Sales_Data!$N$2:$N$3520,Sales_Data!$C$2:$C$3520,$A29,Sales_Data!$H$2:$H$3520,D$14,Sales_Data!$AE$2:$AE$3520,1),SUMIFS(Sales_Data!$AE$2:$AE$3520,Sales_Data!$C$2:$C$3520,$A29,Sales_Data!$H$2:$H$3520,D$14))</f>
        <v>1</v>
      </c>
      <c r="E29" s="26" t="n">
        <f aca="false">CHOOSE(MATCH($B$3,Lists!$C$2:$C$5,0),SUMIFS(Sales_Data!$O$2:$O$3520,Sales_Data!$C$2:$C$3520,$A29,Sales_Data!$H$2:$H$3520,E$14,Sales_Data!$AE$2:$AE$3520,1),SUMIFS(Sales_Data!$M$2:$M$3520,Sales_Data!$C$2:$C$3520,$A29,Sales_Data!$H$2:$H$3520,E$14,Sales_Data!$AE$2:$AE$3520,1),SUMIFS(Sales_Data!$N$2:$N$3520,Sales_Data!$C$2:$C$3520,$A29,Sales_Data!$H$2:$H$3520,E$14,Sales_Data!$AE$2:$AE$3520,1),SUMIFS(Sales_Data!$AE$2:$AE$3520,Sales_Data!$C$2:$C$3520,$A29,Sales_Data!$H$2:$H$3520,E$14))</f>
        <v>0</v>
      </c>
      <c r="F29" s="26" t="n">
        <f aca="false">CHOOSE(MATCH($B$3,Lists!$C$2:$C$5,0),SUMIFS(Sales_Data!$O$2:$O$3520,Sales_Data!$C$2:$C$3520,$A29,Sales_Data!$H$2:$H$3520,F$14,Sales_Data!$AE$2:$AE$3520,1),SUMIFS(Sales_Data!$M$2:$M$3520,Sales_Data!$C$2:$C$3520,$A29,Sales_Data!$H$2:$H$3520,F$14,Sales_Data!$AE$2:$AE$3520,1),SUMIFS(Sales_Data!$N$2:$N$3520,Sales_Data!$C$2:$C$3520,$A29,Sales_Data!$H$2:$H$3520,F$14,Sales_Data!$AE$2:$AE$3520,1),SUMIFS(Sales_Data!$AE$2:$AE$3520,Sales_Data!$C$2:$C$3520,$A29,Sales_Data!$H$2:$H$3520,F$14))</f>
        <v>10</v>
      </c>
      <c r="G29" s="26" t="n">
        <f aca="false">CHOOSE(MATCH($B$3,Lists!$C$2:$C$5,0),SUMIFS(Sales_Data!$O$2:$O$3520,Sales_Data!$C$2:$C$3520,$A29,Sales_Data!$H$2:$H$3520,G$14,Sales_Data!$AE$2:$AE$3520,1),SUMIFS(Sales_Data!$M$2:$M$3520,Sales_Data!$C$2:$C$3520,$A29,Sales_Data!$H$2:$H$3520,G$14,Sales_Data!$AE$2:$AE$3520,1),SUMIFS(Sales_Data!$N$2:$N$3520,Sales_Data!$C$2:$C$3520,$A29,Sales_Data!$H$2:$H$3520,G$14,Sales_Data!$AE$2:$AE$3520,1),SUMIFS(Sales_Data!$AE$2:$AE$3520,Sales_Data!$C$2:$C$3520,$A29,Sales_Data!$H$2:$H$3520,G$14))</f>
        <v>0</v>
      </c>
      <c r="H29" s="26" t="n">
        <f aca="false">CHOOSE(MATCH($B$3,Lists!$C$2:$C$5,0),SUMIFS(Sales_Data!$O$2:$O$3520,Sales_Data!$C$2:$C$3520,$A29,Sales_Data!$H$2:$H$3520,H$14,Sales_Data!$AE$2:$AE$3520,1),SUMIFS(Sales_Data!$M$2:$M$3520,Sales_Data!$C$2:$C$3520,$A29,Sales_Data!$H$2:$H$3520,H$14,Sales_Data!$AE$2:$AE$3520,1),SUMIFS(Sales_Data!$N$2:$N$3520,Sales_Data!$C$2:$C$3520,$A29,Sales_Data!$H$2:$H$3520,H$14,Sales_Data!$AE$2:$AE$3520,1),SUMIFS(Sales_Data!$AE$2:$AE$3520,Sales_Data!$C$2:$C$3520,$A29,Sales_Data!$H$2:$H$3520,H$14))</f>
        <v>0</v>
      </c>
      <c r="I29" s="26" t="n">
        <f aca="false">CHOOSE(MATCH($B$3,Lists!$C$2:$C$5,0),SUMIFS(Sales_Data!$O$2:$O$3520,Sales_Data!$C$2:$C$3520,$A29,Sales_Data!$H$2:$H$3520,I$14,Sales_Data!$AE$2:$AE$3520,1),SUMIFS(Sales_Data!$M$2:$M$3520,Sales_Data!$C$2:$C$3520,$A29,Sales_Data!$H$2:$H$3520,I$14,Sales_Data!$AE$2:$AE$3520,1),SUMIFS(Sales_Data!$N$2:$N$3520,Sales_Data!$C$2:$C$3520,$A29,Sales_Data!$H$2:$H$3520,I$14,Sales_Data!$AE$2:$AE$3520,1),SUMIFS(Sales_Data!$AE$2:$AE$3520,Sales_Data!$C$2:$C$3520,$A29,Sales_Data!$H$2:$H$3520,I$14))</f>
        <v>0</v>
      </c>
      <c r="J29" s="26" t="n">
        <f aca="false">CHOOSE(MATCH($B$3,Lists!$C$2:$C$5,0),SUMIFS(Sales_Data!$O$2:$O$3520,Sales_Data!$C$2:$C$3520,$A29,Sales_Data!$H$2:$H$3520,J$14,Sales_Data!$AE$2:$AE$3520,1),SUMIFS(Sales_Data!$M$2:$M$3520,Sales_Data!$C$2:$C$3520,$A29,Sales_Data!$H$2:$H$3520,J$14,Sales_Data!$AE$2:$AE$3520,1),SUMIFS(Sales_Data!$N$2:$N$3520,Sales_Data!$C$2:$C$3520,$A29,Sales_Data!$H$2:$H$3520,J$14,Sales_Data!$AE$2:$AE$3520,1),SUMIFS(Sales_Data!$AE$2:$AE$3520,Sales_Data!$C$2:$C$3520,$A29,Sales_Data!$H$2:$H$3520,J$14))</f>
        <v>0</v>
      </c>
      <c r="K29" s="26" t="n">
        <f aca="false">CHOOSE(MATCH($B$3,Lists!$C$2:$C$5,0),SUMIFS(Sales_Data!$O$2:$O$3520,Sales_Data!$C$2:$C$3520,$A29,Sales_Data!$H$2:$H$3520,K$14,Sales_Data!$AE$2:$AE$3520,1),SUMIFS(Sales_Data!$M$2:$M$3520,Sales_Data!$C$2:$C$3520,$A29,Sales_Data!$H$2:$H$3520,K$14,Sales_Data!$AE$2:$AE$3520,1),SUMIFS(Sales_Data!$N$2:$N$3520,Sales_Data!$C$2:$C$3520,$A29,Sales_Data!$H$2:$H$3520,K$14,Sales_Data!$AE$2:$AE$3520,1),SUMIFS(Sales_Data!$AE$2:$AE$3520,Sales_Data!$C$2:$C$3520,$A29,Sales_Data!$H$2:$H$3520,K$14))</f>
        <v>0</v>
      </c>
      <c r="L29" s="26" t="n">
        <f aca="false">CHOOSE(MATCH($B$3,Lists!$C$2:$C$5,0),SUMIFS(Sales_Data!$O$2:$O$3520,Sales_Data!$C$2:$C$3520,$A29,Sales_Data!$H$2:$H$3520,L$14,Sales_Data!$AE$2:$AE$3520,1),SUMIFS(Sales_Data!$M$2:$M$3520,Sales_Data!$C$2:$C$3520,$A29,Sales_Data!$H$2:$H$3520,L$14,Sales_Data!$AE$2:$AE$3520,1),SUMIFS(Sales_Data!$N$2:$N$3520,Sales_Data!$C$2:$C$3520,$A29,Sales_Data!$H$2:$H$3520,L$14,Sales_Data!$AE$2:$AE$3520,1),SUMIFS(Sales_Data!$AE$2:$AE$3520,Sales_Data!$C$2:$C$3520,$A29,Sales_Data!$H$2:$H$3520,L$14))</f>
        <v>4</v>
      </c>
      <c r="M29" s="26" t="n">
        <f aca="false">CHOOSE(MATCH($B$3,Lists!$C$2:$C$5,0),SUMIFS(Sales_Data!$O$2:$O$3520,Sales_Data!$C$2:$C$3520,$A29,Sales_Data!$H$2:$H$3520,M$14,Sales_Data!$AE$2:$AE$3520,1),SUMIFS(Sales_Data!$M$2:$M$3520,Sales_Data!$C$2:$C$3520,$A29,Sales_Data!$H$2:$H$3520,M$14,Sales_Data!$AE$2:$AE$3520,1),SUMIFS(Sales_Data!$N$2:$N$3520,Sales_Data!$C$2:$C$3520,$A29,Sales_Data!$H$2:$H$3520,M$14,Sales_Data!$AE$2:$AE$3520,1),SUMIFS(Sales_Data!$AE$2:$AE$3520,Sales_Data!$C$2:$C$3520,$A29,Sales_Data!$H$2:$H$3520,M$14))</f>
        <v>0</v>
      </c>
      <c r="N29" s="26" t="n">
        <f aca="false">CHOOSE(MATCH($B$3,Lists!$C$2:$C$5,0),SUMIFS(Sales_Data!$O$2:$O$3520,Sales_Data!$C$2:$C$3520,$A29,Sales_Data!$H$2:$H$3520,N$14,Sales_Data!$AE$2:$AE$3520,1),SUMIFS(Sales_Data!$M$2:$M$3520,Sales_Data!$C$2:$C$3520,$A29,Sales_Data!$H$2:$H$3520,N$14,Sales_Data!$AE$2:$AE$3520,1),SUMIFS(Sales_Data!$N$2:$N$3520,Sales_Data!$C$2:$C$3520,$A29,Sales_Data!$H$2:$H$3520,N$14,Sales_Data!$AE$2:$AE$3520,1),SUMIFS(Sales_Data!$AE$2:$AE$3520,Sales_Data!$C$2:$C$3520,$A29,Sales_Data!$H$2:$H$3520,N$14))</f>
        <v>4</v>
      </c>
      <c r="O29" s="26" t="n">
        <f aca="false">CHOOSE(MATCH($B$3,Lists!$C$2:$C$5,0),SUMIFS(Sales_Data!$O$2:$O$3520,Sales_Data!$C$2:$C$3520,$A29,Sales_Data!$H$2:$H$3520,O$14,Sales_Data!$AE$2:$AE$3520,1),SUMIFS(Sales_Data!$M$2:$M$3520,Sales_Data!$C$2:$C$3520,$A29,Sales_Data!$H$2:$H$3520,O$14,Sales_Data!$AE$2:$AE$3520,1),SUMIFS(Sales_Data!$N$2:$N$3520,Sales_Data!$C$2:$C$3520,$A29,Sales_Data!$H$2:$H$3520,O$14,Sales_Data!$AE$2:$AE$3520,1),SUMIFS(Sales_Data!$AE$2:$AE$3520,Sales_Data!$C$2:$C$3520,$A29,Sales_Data!$H$2:$H$3520,O$14))</f>
        <v>0</v>
      </c>
      <c r="P29" s="27" t="n">
        <f aca="false">CHOOSE(MATCH($B$3,Lists!$C$2:$C$5,0),SUMIFS(Sales_Data!$O$2:$O$3520,Sales_Data!$C$2:$C$3520,$A29,Sales_Data!$AE$2:$AE$3520,1),SUMIFS(Sales_Data!$M$2:$M$3520,Sales_Data!$C$2:$C$3520,$A29,Sales_Data!$AE$2:$AE$3520,1),SUMIFS(Sales_Data!$N$2:$N$3520,Sales_Data!$C$2:$C$3520,$A29,Sales_Data!$AE$2:$AE$3520,1),SUMIFS(Sales_Data!$AE$2:$AE$3520,Sales_Data!$C$2:$C$3520,$A29))</f>
        <v>30</v>
      </c>
      <c r="Q29" s="27" t="n">
        <f aca="false">P29-SUM(B29:O29)</f>
        <v>8</v>
      </c>
      <c r="R29" s="3"/>
      <c r="S29" s="72" t="n">
        <f aca="false">A29</f>
        <v>46239</v>
      </c>
      <c r="T29" s="28" t="n">
        <f aca="false">B29-B28</f>
        <v>0</v>
      </c>
      <c r="U29" s="28" t="n">
        <f aca="false">C29-C28</f>
        <v>-2</v>
      </c>
      <c r="V29" s="28" t="n">
        <f aca="false">D29-D28</f>
        <v>-1</v>
      </c>
      <c r="W29" s="28" t="n">
        <f aca="false">E29-E28</f>
        <v>0</v>
      </c>
      <c r="X29" s="28" t="n">
        <f aca="false">F29-F28</f>
        <v>2</v>
      </c>
      <c r="Y29" s="28" t="n">
        <f aca="false">G29-G28</f>
        <v>-1</v>
      </c>
      <c r="Z29" s="28" t="n">
        <f aca="false">H29-H28</f>
        <v>0</v>
      </c>
      <c r="AA29" s="28" t="n">
        <f aca="false">I29-I28</f>
        <v>0</v>
      </c>
      <c r="AB29" s="28" t="n">
        <f aca="false">J29-J28</f>
        <v>0</v>
      </c>
      <c r="AC29" s="28" t="n">
        <f aca="false">K29-K28</f>
        <v>0</v>
      </c>
      <c r="AD29" s="28" t="n">
        <f aca="false">L29-L28</f>
        <v>0</v>
      </c>
      <c r="AE29" s="28" t="n">
        <f aca="false">M29-M28</f>
        <v>-6</v>
      </c>
      <c r="AF29" s="28" t="n">
        <f aca="false">N29-N28</f>
        <v>0</v>
      </c>
      <c r="AG29" s="28" t="n">
        <f aca="false">O29-O28</f>
        <v>0</v>
      </c>
      <c r="AH29" s="28" t="n">
        <f aca="false">P29-P28</f>
        <v>-8</v>
      </c>
    </row>
    <row r="30" customFormat="false" ht="15" hidden="false" customHeight="false" outlineLevel="0" collapsed="false">
      <c r="A30" s="72" t="n">
        <v>46240</v>
      </c>
      <c r="B30" s="26" t="n">
        <f aca="false">CHOOSE(MATCH($B$3,Lists!$C$2:$C$5,0),SUMIFS(Sales_Data!$O$2:$O$3520,Sales_Data!$C$2:$C$3520,$A30,Sales_Data!$H$2:$H$3520,B$14,Sales_Data!$AE$2:$AE$3520,1),SUMIFS(Sales_Data!$M$2:$M$3520,Sales_Data!$C$2:$C$3520,$A30,Sales_Data!$H$2:$H$3520,B$14,Sales_Data!$AE$2:$AE$3520,1),SUMIFS(Sales_Data!$N$2:$N$3520,Sales_Data!$C$2:$C$3520,$A30,Sales_Data!$H$2:$H$3520,B$14,Sales_Data!$AE$2:$AE$3520,1),SUMIFS(Sales_Data!$AE$2:$AE$3520,Sales_Data!$C$2:$C$3520,$A30,Sales_Data!$H$2:$H$3520,B$14))</f>
        <v>0</v>
      </c>
      <c r="C30" s="26" t="n">
        <f aca="false">CHOOSE(MATCH($B$3,Lists!$C$2:$C$5,0),SUMIFS(Sales_Data!$O$2:$O$3520,Sales_Data!$C$2:$C$3520,$A30,Sales_Data!$H$2:$H$3520,C$14,Sales_Data!$AE$2:$AE$3520,1),SUMIFS(Sales_Data!$M$2:$M$3520,Sales_Data!$C$2:$C$3520,$A30,Sales_Data!$H$2:$H$3520,C$14,Sales_Data!$AE$2:$AE$3520,1),SUMIFS(Sales_Data!$N$2:$N$3520,Sales_Data!$C$2:$C$3520,$A30,Sales_Data!$H$2:$H$3520,C$14,Sales_Data!$AE$2:$AE$3520,1),SUMIFS(Sales_Data!$AE$2:$AE$3520,Sales_Data!$C$2:$C$3520,$A30,Sales_Data!$H$2:$H$3520,C$14))</f>
        <v>4</v>
      </c>
      <c r="D30" s="26" t="n">
        <f aca="false">CHOOSE(MATCH($B$3,Lists!$C$2:$C$5,0),SUMIFS(Sales_Data!$O$2:$O$3520,Sales_Data!$C$2:$C$3520,$A30,Sales_Data!$H$2:$H$3520,D$14,Sales_Data!$AE$2:$AE$3520,1),SUMIFS(Sales_Data!$M$2:$M$3520,Sales_Data!$C$2:$C$3520,$A30,Sales_Data!$H$2:$H$3520,D$14,Sales_Data!$AE$2:$AE$3520,1),SUMIFS(Sales_Data!$N$2:$N$3520,Sales_Data!$C$2:$C$3520,$A30,Sales_Data!$H$2:$H$3520,D$14,Sales_Data!$AE$2:$AE$3520,1),SUMIFS(Sales_Data!$AE$2:$AE$3520,Sales_Data!$C$2:$C$3520,$A30,Sales_Data!$H$2:$H$3520,D$14))</f>
        <v>0</v>
      </c>
      <c r="E30" s="26" t="n">
        <f aca="false">CHOOSE(MATCH($B$3,Lists!$C$2:$C$5,0),SUMIFS(Sales_Data!$O$2:$O$3520,Sales_Data!$C$2:$C$3520,$A30,Sales_Data!$H$2:$H$3520,E$14,Sales_Data!$AE$2:$AE$3520,1),SUMIFS(Sales_Data!$M$2:$M$3520,Sales_Data!$C$2:$C$3520,$A30,Sales_Data!$H$2:$H$3520,E$14,Sales_Data!$AE$2:$AE$3520,1),SUMIFS(Sales_Data!$N$2:$N$3520,Sales_Data!$C$2:$C$3520,$A30,Sales_Data!$H$2:$H$3520,E$14,Sales_Data!$AE$2:$AE$3520,1),SUMIFS(Sales_Data!$AE$2:$AE$3520,Sales_Data!$C$2:$C$3520,$A30,Sales_Data!$H$2:$H$3520,E$14))</f>
        <v>0</v>
      </c>
      <c r="F30" s="26" t="n">
        <f aca="false">CHOOSE(MATCH($B$3,Lists!$C$2:$C$5,0),SUMIFS(Sales_Data!$O$2:$O$3520,Sales_Data!$C$2:$C$3520,$A30,Sales_Data!$H$2:$H$3520,F$14,Sales_Data!$AE$2:$AE$3520,1),SUMIFS(Sales_Data!$M$2:$M$3520,Sales_Data!$C$2:$C$3520,$A30,Sales_Data!$H$2:$H$3520,F$14,Sales_Data!$AE$2:$AE$3520,1),SUMIFS(Sales_Data!$N$2:$N$3520,Sales_Data!$C$2:$C$3520,$A30,Sales_Data!$H$2:$H$3520,F$14,Sales_Data!$AE$2:$AE$3520,1),SUMIFS(Sales_Data!$AE$2:$AE$3520,Sales_Data!$C$2:$C$3520,$A30,Sales_Data!$H$2:$H$3520,F$14))</f>
        <v>5</v>
      </c>
      <c r="G30" s="26" t="n">
        <f aca="false">CHOOSE(MATCH($B$3,Lists!$C$2:$C$5,0),SUMIFS(Sales_Data!$O$2:$O$3520,Sales_Data!$C$2:$C$3520,$A30,Sales_Data!$H$2:$H$3520,G$14,Sales_Data!$AE$2:$AE$3520,1),SUMIFS(Sales_Data!$M$2:$M$3520,Sales_Data!$C$2:$C$3520,$A30,Sales_Data!$H$2:$H$3520,G$14,Sales_Data!$AE$2:$AE$3520,1),SUMIFS(Sales_Data!$N$2:$N$3520,Sales_Data!$C$2:$C$3520,$A30,Sales_Data!$H$2:$H$3520,G$14,Sales_Data!$AE$2:$AE$3520,1),SUMIFS(Sales_Data!$AE$2:$AE$3520,Sales_Data!$C$2:$C$3520,$A30,Sales_Data!$H$2:$H$3520,G$14))</f>
        <v>2</v>
      </c>
      <c r="H30" s="26" t="n">
        <f aca="false">CHOOSE(MATCH($B$3,Lists!$C$2:$C$5,0),SUMIFS(Sales_Data!$O$2:$O$3520,Sales_Data!$C$2:$C$3520,$A30,Sales_Data!$H$2:$H$3520,H$14,Sales_Data!$AE$2:$AE$3520,1),SUMIFS(Sales_Data!$M$2:$M$3520,Sales_Data!$C$2:$C$3520,$A30,Sales_Data!$H$2:$H$3520,H$14,Sales_Data!$AE$2:$AE$3520,1),SUMIFS(Sales_Data!$N$2:$N$3520,Sales_Data!$C$2:$C$3520,$A30,Sales_Data!$H$2:$H$3520,H$14,Sales_Data!$AE$2:$AE$3520,1),SUMIFS(Sales_Data!$AE$2:$AE$3520,Sales_Data!$C$2:$C$3520,$A30,Sales_Data!$H$2:$H$3520,H$14))</f>
        <v>0</v>
      </c>
      <c r="I30" s="26" t="n">
        <f aca="false">CHOOSE(MATCH($B$3,Lists!$C$2:$C$5,0),SUMIFS(Sales_Data!$O$2:$O$3520,Sales_Data!$C$2:$C$3520,$A30,Sales_Data!$H$2:$H$3520,I$14,Sales_Data!$AE$2:$AE$3520,1),SUMIFS(Sales_Data!$M$2:$M$3520,Sales_Data!$C$2:$C$3520,$A30,Sales_Data!$H$2:$H$3520,I$14,Sales_Data!$AE$2:$AE$3520,1),SUMIFS(Sales_Data!$N$2:$N$3520,Sales_Data!$C$2:$C$3520,$A30,Sales_Data!$H$2:$H$3520,I$14,Sales_Data!$AE$2:$AE$3520,1),SUMIFS(Sales_Data!$AE$2:$AE$3520,Sales_Data!$C$2:$C$3520,$A30,Sales_Data!$H$2:$H$3520,I$14))</f>
        <v>0</v>
      </c>
      <c r="J30" s="26" t="n">
        <f aca="false">CHOOSE(MATCH($B$3,Lists!$C$2:$C$5,0),SUMIFS(Sales_Data!$O$2:$O$3520,Sales_Data!$C$2:$C$3520,$A30,Sales_Data!$H$2:$H$3520,J$14,Sales_Data!$AE$2:$AE$3520,1),SUMIFS(Sales_Data!$M$2:$M$3520,Sales_Data!$C$2:$C$3520,$A30,Sales_Data!$H$2:$H$3520,J$14,Sales_Data!$AE$2:$AE$3520,1),SUMIFS(Sales_Data!$N$2:$N$3520,Sales_Data!$C$2:$C$3520,$A30,Sales_Data!$H$2:$H$3520,J$14,Sales_Data!$AE$2:$AE$3520,1),SUMIFS(Sales_Data!$AE$2:$AE$3520,Sales_Data!$C$2:$C$3520,$A30,Sales_Data!$H$2:$H$3520,J$14))</f>
        <v>0</v>
      </c>
      <c r="K30" s="26" t="n">
        <f aca="false">CHOOSE(MATCH($B$3,Lists!$C$2:$C$5,0),SUMIFS(Sales_Data!$O$2:$O$3520,Sales_Data!$C$2:$C$3520,$A30,Sales_Data!$H$2:$H$3520,K$14,Sales_Data!$AE$2:$AE$3520,1),SUMIFS(Sales_Data!$M$2:$M$3520,Sales_Data!$C$2:$C$3520,$A30,Sales_Data!$H$2:$H$3520,K$14,Sales_Data!$AE$2:$AE$3520,1),SUMIFS(Sales_Data!$N$2:$N$3520,Sales_Data!$C$2:$C$3520,$A30,Sales_Data!$H$2:$H$3520,K$14,Sales_Data!$AE$2:$AE$3520,1),SUMIFS(Sales_Data!$AE$2:$AE$3520,Sales_Data!$C$2:$C$3520,$A30,Sales_Data!$H$2:$H$3520,K$14))</f>
        <v>0</v>
      </c>
      <c r="L30" s="26" t="n">
        <f aca="false">CHOOSE(MATCH($B$3,Lists!$C$2:$C$5,0),SUMIFS(Sales_Data!$O$2:$O$3520,Sales_Data!$C$2:$C$3520,$A30,Sales_Data!$H$2:$H$3520,L$14,Sales_Data!$AE$2:$AE$3520,1),SUMIFS(Sales_Data!$M$2:$M$3520,Sales_Data!$C$2:$C$3520,$A30,Sales_Data!$H$2:$H$3520,L$14,Sales_Data!$AE$2:$AE$3520,1),SUMIFS(Sales_Data!$N$2:$N$3520,Sales_Data!$C$2:$C$3520,$A30,Sales_Data!$H$2:$H$3520,L$14,Sales_Data!$AE$2:$AE$3520,1),SUMIFS(Sales_Data!$AE$2:$AE$3520,Sales_Data!$C$2:$C$3520,$A30,Sales_Data!$H$2:$H$3520,L$14))</f>
        <v>2</v>
      </c>
      <c r="M30" s="26" t="n">
        <f aca="false">CHOOSE(MATCH($B$3,Lists!$C$2:$C$5,0),SUMIFS(Sales_Data!$O$2:$O$3520,Sales_Data!$C$2:$C$3520,$A30,Sales_Data!$H$2:$H$3520,M$14,Sales_Data!$AE$2:$AE$3520,1),SUMIFS(Sales_Data!$M$2:$M$3520,Sales_Data!$C$2:$C$3520,$A30,Sales_Data!$H$2:$H$3520,M$14,Sales_Data!$AE$2:$AE$3520,1),SUMIFS(Sales_Data!$N$2:$N$3520,Sales_Data!$C$2:$C$3520,$A30,Sales_Data!$H$2:$H$3520,M$14,Sales_Data!$AE$2:$AE$3520,1),SUMIFS(Sales_Data!$AE$2:$AE$3520,Sales_Data!$C$2:$C$3520,$A30,Sales_Data!$H$2:$H$3520,M$14))</f>
        <v>0</v>
      </c>
      <c r="N30" s="26" t="n">
        <f aca="false">CHOOSE(MATCH($B$3,Lists!$C$2:$C$5,0),SUMIFS(Sales_Data!$O$2:$O$3520,Sales_Data!$C$2:$C$3520,$A30,Sales_Data!$H$2:$H$3520,N$14,Sales_Data!$AE$2:$AE$3520,1),SUMIFS(Sales_Data!$M$2:$M$3520,Sales_Data!$C$2:$C$3520,$A30,Sales_Data!$H$2:$H$3520,N$14,Sales_Data!$AE$2:$AE$3520,1),SUMIFS(Sales_Data!$N$2:$N$3520,Sales_Data!$C$2:$C$3520,$A30,Sales_Data!$H$2:$H$3520,N$14,Sales_Data!$AE$2:$AE$3520,1),SUMIFS(Sales_Data!$AE$2:$AE$3520,Sales_Data!$C$2:$C$3520,$A30,Sales_Data!$H$2:$H$3520,N$14))</f>
        <v>8</v>
      </c>
      <c r="O30" s="26" t="n">
        <f aca="false">CHOOSE(MATCH($B$3,Lists!$C$2:$C$5,0),SUMIFS(Sales_Data!$O$2:$O$3520,Sales_Data!$C$2:$C$3520,$A30,Sales_Data!$H$2:$H$3520,O$14,Sales_Data!$AE$2:$AE$3520,1),SUMIFS(Sales_Data!$M$2:$M$3520,Sales_Data!$C$2:$C$3520,$A30,Sales_Data!$H$2:$H$3520,O$14,Sales_Data!$AE$2:$AE$3520,1),SUMIFS(Sales_Data!$N$2:$N$3520,Sales_Data!$C$2:$C$3520,$A30,Sales_Data!$H$2:$H$3520,O$14,Sales_Data!$AE$2:$AE$3520,1),SUMIFS(Sales_Data!$AE$2:$AE$3520,Sales_Data!$C$2:$C$3520,$A30,Sales_Data!$H$2:$H$3520,O$14))</f>
        <v>0</v>
      </c>
      <c r="P30" s="27" t="n">
        <f aca="false">CHOOSE(MATCH($B$3,Lists!$C$2:$C$5,0),SUMIFS(Sales_Data!$O$2:$O$3520,Sales_Data!$C$2:$C$3520,$A30,Sales_Data!$AE$2:$AE$3520,1),SUMIFS(Sales_Data!$M$2:$M$3520,Sales_Data!$C$2:$C$3520,$A30,Sales_Data!$AE$2:$AE$3520,1),SUMIFS(Sales_Data!$N$2:$N$3520,Sales_Data!$C$2:$C$3520,$A30,Sales_Data!$AE$2:$AE$3520,1),SUMIFS(Sales_Data!$AE$2:$AE$3520,Sales_Data!$C$2:$C$3520,$A30))</f>
        <v>35</v>
      </c>
      <c r="Q30" s="27" t="n">
        <f aca="false">P30-SUM(B30:O30)</f>
        <v>14</v>
      </c>
      <c r="R30" s="3"/>
      <c r="S30" s="72" t="n">
        <f aca="false">A30</f>
        <v>46240</v>
      </c>
      <c r="T30" s="28" t="n">
        <f aca="false">B30-B29</f>
        <v>0</v>
      </c>
      <c r="U30" s="28" t="n">
        <f aca="false">C30-C29</f>
        <v>1</v>
      </c>
      <c r="V30" s="28" t="n">
        <f aca="false">D30-D29</f>
        <v>-1</v>
      </c>
      <c r="W30" s="28" t="n">
        <f aca="false">E30-E29</f>
        <v>0</v>
      </c>
      <c r="X30" s="28" t="n">
        <f aca="false">F30-F29</f>
        <v>-5</v>
      </c>
      <c r="Y30" s="28" t="n">
        <f aca="false">G30-G29</f>
        <v>2</v>
      </c>
      <c r="Z30" s="28" t="n">
        <f aca="false">H30-H29</f>
        <v>0</v>
      </c>
      <c r="AA30" s="28" t="n">
        <f aca="false">I30-I29</f>
        <v>0</v>
      </c>
      <c r="AB30" s="28" t="n">
        <f aca="false">J30-J29</f>
        <v>0</v>
      </c>
      <c r="AC30" s="28" t="n">
        <f aca="false">K30-K29</f>
        <v>0</v>
      </c>
      <c r="AD30" s="28" t="n">
        <f aca="false">L30-L29</f>
        <v>-2</v>
      </c>
      <c r="AE30" s="28" t="n">
        <f aca="false">M30-M29</f>
        <v>0</v>
      </c>
      <c r="AF30" s="28" t="n">
        <f aca="false">N30-N29</f>
        <v>4</v>
      </c>
      <c r="AG30" s="28" t="n">
        <f aca="false">O30-O29</f>
        <v>0</v>
      </c>
      <c r="AH30" s="28" t="n">
        <f aca="false">P30-P29</f>
        <v>5</v>
      </c>
    </row>
    <row r="31" customFormat="false" ht="15" hidden="false" customHeight="false" outlineLevel="0" collapsed="false">
      <c r="A31" s="72" t="n">
        <v>46241</v>
      </c>
      <c r="B31" s="26" t="n">
        <f aca="false">CHOOSE(MATCH($B$3,Lists!$C$2:$C$5,0),SUMIFS(Sales_Data!$O$2:$O$3520,Sales_Data!$C$2:$C$3520,$A31,Sales_Data!$H$2:$H$3520,B$14,Sales_Data!$AE$2:$AE$3520,1),SUMIFS(Sales_Data!$M$2:$M$3520,Sales_Data!$C$2:$C$3520,$A31,Sales_Data!$H$2:$H$3520,B$14,Sales_Data!$AE$2:$AE$3520,1),SUMIFS(Sales_Data!$N$2:$N$3520,Sales_Data!$C$2:$C$3520,$A31,Sales_Data!$H$2:$H$3520,B$14,Sales_Data!$AE$2:$AE$3520,1),SUMIFS(Sales_Data!$AE$2:$AE$3520,Sales_Data!$C$2:$C$3520,$A31,Sales_Data!$H$2:$H$3520,B$14))</f>
        <v>0</v>
      </c>
      <c r="C31" s="26" t="n">
        <f aca="false">CHOOSE(MATCH($B$3,Lists!$C$2:$C$5,0),SUMIFS(Sales_Data!$O$2:$O$3520,Sales_Data!$C$2:$C$3520,$A31,Sales_Data!$H$2:$H$3520,C$14,Sales_Data!$AE$2:$AE$3520,1),SUMIFS(Sales_Data!$M$2:$M$3520,Sales_Data!$C$2:$C$3520,$A31,Sales_Data!$H$2:$H$3520,C$14,Sales_Data!$AE$2:$AE$3520,1),SUMIFS(Sales_Data!$N$2:$N$3520,Sales_Data!$C$2:$C$3520,$A31,Sales_Data!$H$2:$H$3520,C$14,Sales_Data!$AE$2:$AE$3520,1),SUMIFS(Sales_Data!$AE$2:$AE$3520,Sales_Data!$C$2:$C$3520,$A31,Sales_Data!$H$2:$H$3520,C$14))</f>
        <v>5</v>
      </c>
      <c r="D31" s="26" t="n">
        <f aca="false">CHOOSE(MATCH($B$3,Lists!$C$2:$C$5,0),SUMIFS(Sales_Data!$O$2:$O$3520,Sales_Data!$C$2:$C$3520,$A31,Sales_Data!$H$2:$H$3520,D$14,Sales_Data!$AE$2:$AE$3520,1),SUMIFS(Sales_Data!$M$2:$M$3520,Sales_Data!$C$2:$C$3520,$A31,Sales_Data!$H$2:$H$3520,D$14,Sales_Data!$AE$2:$AE$3520,1),SUMIFS(Sales_Data!$N$2:$N$3520,Sales_Data!$C$2:$C$3520,$A31,Sales_Data!$H$2:$H$3520,D$14,Sales_Data!$AE$2:$AE$3520,1),SUMIFS(Sales_Data!$AE$2:$AE$3520,Sales_Data!$C$2:$C$3520,$A31,Sales_Data!$H$2:$H$3520,D$14))</f>
        <v>0</v>
      </c>
      <c r="E31" s="26" t="n">
        <f aca="false">CHOOSE(MATCH($B$3,Lists!$C$2:$C$5,0),SUMIFS(Sales_Data!$O$2:$O$3520,Sales_Data!$C$2:$C$3520,$A31,Sales_Data!$H$2:$H$3520,E$14,Sales_Data!$AE$2:$AE$3520,1),SUMIFS(Sales_Data!$M$2:$M$3520,Sales_Data!$C$2:$C$3520,$A31,Sales_Data!$H$2:$H$3520,E$14,Sales_Data!$AE$2:$AE$3520,1),SUMIFS(Sales_Data!$N$2:$N$3520,Sales_Data!$C$2:$C$3520,$A31,Sales_Data!$H$2:$H$3520,E$14,Sales_Data!$AE$2:$AE$3520,1),SUMIFS(Sales_Data!$AE$2:$AE$3520,Sales_Data!$C$2:$C$3520,$A31,Sales_Data!$H$2:$H$3520,E$14))</f>
        <v>0</v>
      </c>
      <c r="F31" s="26" t="n">
        <f aca="false">CHOOSE(MATCH($B$3,Lists!$C$2:$C$5,0),SUMIFS(Sales_Data!$O$2:$O$3520,Sales_Data!$C$2:$C$3520,$A31,Sales_Data!$H$2:$H$3520,F$14,Sales_Data!$AE$2:$AE$3520,1),SUMIFS(Sales_Data!$M$2:$M$3520,Sales_Data!$C$2:$C$3520,$A31,Sales_Data!$H$2:$H$3520,F$14,Sales_Data!$AE$2:$AE$3520,1),SUMIFS(Sales_Data!$N$2:$N$3520,Sales_Data!$C$2:$C$3520,$A31,Sales_Data!$H$2:$H$3520,F$14,Sales_Data!$AE$2:$AE$3520,1),SUMIFS(Sales_Data!$AE$2:$AE$3520,Sales_Data!$C$2:$C$3520,$A31,Sales_Data!$H$2:$H$3520,F$14))</f>
        <v>13</v>
      </c>
      <c r="G31" s="26" t="n">
        <f aca="false">CHOOSE(MATCH($B$3,Lists!$C$2:$C$5,0),SUMIFS(Sales_Data!$O$2:$O$3520,Sales_Data!$C$2:$C$3520,$A31,Sales_Data!$H$2:$H$3520,G$14,Sales_Data!$AE$2:$AE$3520,1),SUMIFS(Sales_Data!$M$2:$M$3520,Sales_Data!$C$2:$C$3520,$A31,Sales_Data!$H$2:$H$3520,G$14,Sales_Data!$AE$2:$AE$3520,1),SUMIFS(Sales_Data!$N$2:$N$3520,Sales_Data!$C$2:$C$3520,$A31,Sales_Data!$H$2:$H$3520,G$14,Sales_Data!$AE$2:$AE$3520,1),SUMIFS(Sales_Data!$AE$2:$AE$3520,Sales_Data!$C$2:$C$3520,$A31,Sales_Data!$H$2:$H$3520,G$14))</f>
        <v>0</v>
      </c>
      <c r="H31" s="26" t="n">
        <f aca="false">CHOOSE(MATCH($B$3,Lists!$C$2:$C$5,0),SUMIFS(Sales_Data!$O$2:$O$3520,Sales_Data!$C$2:$C$3520,$A31,Sales_Data!$H$2:$H$3520,H$14,Sales_Data!$AE$2:$AE$3520,1),SUMIFS(Sales_Data!$M$2:$M$3520,Sales_Data!$C$2:$C$3520,$A31,Sales_Data!$H$2:$H$3520,H$14,Sales_Data!$AE$2:$AE$3520,1),SUMIFS(Sales_Data!$N$2:$N$3520,Sales_Data!$C$2:$C$3520,$A31,Sales_Data!$H$2:$H$3520,H$14,Sales_Data!$AE$2:$AE$3520,1),SUMIFS(Sales_Data!$AE$2:$AE$3520,Sales_Data!$C$2:$C$3520,$A31,Sales_Data!$H$2:$H$3520,H$14))</f>
        <v>0</v>
      </c>
      <c r="I31" s="26" t="n">
        <f aca="false">CHOOSE(MATCH($B$3,Lists!$C$2:$C$5,0),SUMIFS(Sales_Data!$O$2:$O$3520,Sales_Data!$C$2:$C$3520,$A31,Sales_Data!$H$2:$H$3520,I$14,Sales_Data!$AE$2:$AE$3520,1),SUMIFS(Sales_Data!$M$2:$M$3520,Sales_Data!$C$2:$C$3520,$A31,Sales_Data!$H$2:$H$3520,I$14,Sales_Data!$AE$2:$AE$3520,1),SUMIFS(Sales_Data!$N$2:$N$3520,Sales_Data!$C$2:$C$3520,$A31,Sales_Data!$H$2:$H$3520,I$14,Sales_Data!$AE$2:$AE$3520,1),SUMIFS(Sales_Data!$AE$2:$AE$3520,Sales_Data!$C$2:$C$3520,$A31,Sales_Data!$H$2:$H$3520,I$14))</f>
        <v>0</v>
      </c>
      <c r="J31" s="26" t="n">
        <f aca="false">CHOOSE(MATCH($B$3,Lists!$C$2:$C$5,0),SUMIFS(Sales_Data!$O$2:$O$3520,Sales_Data!$C$2:$C$3520,$A31,Sales_Data!$H$2:$H$3520,J$14,Sales_Data!$AE$2:$AE$3520,1),SUMIFS(Sales_Data!$M$2:$M$3520,Sales_Data!$C$2:$C$3520,$A31,Sales_Data!$H$2:$H$3520,J$14,Sales_Data!$AE$2:$AE$3520,1),SUMIFS(Sales_Data!$N$2:$N$3520,Sales_Data!$C$2:$C$3520,$A31,Sales_Data!$H$2:$H$3520,J$14,Sales_Data!$AE$2:$AE$3520,1),SUMIFS(Sales_Data!$AE$2:$AE$3520,Sales_Data!$C$2:$C$3520,$A31,Sales_Data!$H$2:$H$3520,J$14))</f>
        <v>0</v>
      </c>
      <c r="K31" s="26" t="n">
        <f aca="false">CHOOSE(MATCH($B$3,Lists!$C$2:$C$5,0),SUMIFS(Sales_Data!$O$2:$O$3520,Sales_Data!$C$2:$C$3520,$A31,Sales_Data!$H$2:$H$3520,K$14,Sales_Data!$AE$2:$AE$3520,1),SUMIFS(Sales_Data!$M$2:$M$3520,Sales_Data!$C$2:$C$3520,$A31,Sales_Data!$H$2:$H$3520,K$14,Sales_Data!$AE$2:$AE$3520,1),SUMIFS(Sales_Data!$N$2:$N$3520,Sales_Data!$C$2:$C$3520,$A31,Sales_Data!$H$2:$H$3520,K$14,Sales_Data!$AE$2:$AE$3520,1),SUMIFS(Sales_Data!$AE$2:$AE$3520,Sales_Data!$C$2:$C$3520,$A31,Sales_Data!$H$2:$H$3520,K$14))</f>
        <v>0</v>
      </c>
      <c r="L31" s="26" t="n">
        <f aca="false">CHOOSE(MATCH($B$3,Lists!$C$2:$C$5,0),SUMIFS(Sales_Data!$O$2:$O$3520,Sales_Data!$C$2:$C$3520,$A31,Sales_Data!$H$2:$H$3520,L$14,Sales_Data!$AE$2:$AE$3520,1),SUMIFS(Sales_Data!$M$2:$M$3520,Sales_Data!$C$2:$C$3520,$A31,Sales_Data!$H$2:$H$3520,L$14,Sales_Data!$AE$2:$AE$3520,1),SUMIFS(Sales_Data!$N$2:$N$3520,Sales_Data!$C$2:$C$3520,$A31,Sales_Data!$H$2:$H$3520,L$14,Sales_Data!$AE$2:$AE$3520,1),SUMIFS(Sales_Data!$AE$2:$AE$3520,Sales_Data!$C$2:$C$3520,$A31,Sales_Data!$H$2:$H$3520,L$14))</f>
        <v>3</v>
      </c>
      <c r="M31" s="26" t="n">
        <f aca="false">CHOOSE(MATCH($B$3,Lists!$C$2:$C$5,0),SUMIFS(Sales_Data!$O$2:$O$3520,Sales_Data!$C$2:$C$3520,$A31,Sales_Data!$H$2:$H$3520,M$14,Sales_Data!$AE$2:$AE$3520,1),SUMIFS(Sales_Data!$M$2:$M$3520,Sales_Data!$C$2:$C$3520,$A31,Sales_Data!$H$2:$H$3520,M$14,Sales_Data!$AE$2:$AE$3520,1),SUMIFS(Sales_Data!$N$2:$N$3520,Sales_Data!$C$2:$C$3520,$A31,Sales_Data!$H$2:$H$3520,M$14,Sales_Data!$AE$2:$AE$3520,1),SUMIFS(Sales_Data!$AE$2:$AE$3520,Sales_Data!$C$2:$C$3520,$A31,Sales_Data!$H$2:$H$3520,M$14))</f>
        <v>2</v>
      </c>
      <c r="N31" s="26" t="n">
        <f aca="false">CHOOSE(MATCH($B$3,Lists!$C$2:$C$5,0),SUMIFS(Sales_Data!$O$2:$O$3520,Sales_Data!$C$2:$C$3520,$A31,Sales_Data!$H$2:$H$3520,N$14,Sales_Data!$AE$2:$AE$3520,1),SUMIFS(Sales_Data!$M$2:$M$3520,Sales_Data!$C$2:$C$3520,$A31,Sales_Data!$H$2:$H$3520,N$14,Sales_Data!$AE$2:$AE$3520,1),SUMIFS(Sales_Data!$N$2:$N$3520,Sales_Data!$C$2:$C$3520,$A31,Sales_Data!$H$2:$H$3520,N$14,Sales_Data!$AE$2:$AE$3520,1),SUMIFS(Sales_Data!$AE$2:$AE$3520,Sales_Data!$C$2:$C$3520,$A31,Sales_Data!$H$2:$H$3520,N$14))</f>
        <v>9</v>
      </c>
      <c r="O31" s="26" t="n">
        <f aca="false">CHOOSE(MATCH($B$3,Lists!$C$2:$C$5,0),SUMIFS(Sales_Data!$O$2:$O$3520,Sales_Data!$C$2:$C$3520,$A31,Sales_Data!$H$2:$H$3520,O$14,Sales_Data!$AE$2:$AE$3520,1),SUMIFS(Sales_Data!$M$2:$M$3520,Sales_Data!$C$2:$C$3520,$A31,Sales_Data!$H$2:$H$3520,O$14,Sales_Data!$AE$2:$AE$3520,1),SUMIFS(Sales_Data!$N$2:$N$3520,Sales_Data!$C$2:$C$3520,$A31,Sales_Data!$H$2:$H$3520,O$14,Sales_Data!$AE$2:$AE$3520,1),SUMIFS(Sales_Data!$AE$2:$AE$3520,Sales_Data!$C$2:$C$3520,$A31,Sales_Data!$H$2:$H$3520,O$14))</f>
        <v>0</v>
      </c>
      <c r="P31" s="27" t="n">
        <f aca="false">CHOOSE(MATCH($B$3,Lists!$C$2:$C$5,0),SUMIFS(Sales_Data!$O$2:$O$3520,Sales_Data!$C$2:$C$3520,$A31,Sales_Data!$AE$2:$AE$3520,1),SUMIFS(Sales_Data!$M$2:$M$3520,Sales_Data!$C$2:$C$3520,$A31,Sales_Data!$AE$2:$AE$3520,1),SUMIFS(Sales_Data!$N$2:$N$3520,Sales_Data!$C$2:$C$3520,$A31,Sales_Data!$AE$2:$AE$3520,1),SUMIFS(Sales_Data!$AE$2:$AE$3520,Sales_Data!$C$2:$C$3520,$A31))</f>
        <v>54</v>
      </c>
      <c r="Q31" s="27" t="n">
        <f aca="false">P31-SUM(B31:O31)</f>
        <v>22</v>
      </c>
      <c r="R31" s="3"/>
      <c r="S31" s="72" t="n">
        <f aca="false">A31</f>
        <v>46241</v>
      </c>
      <c r="T31" s="28" t="n">
        <f aca="false">B31-B30</f>
        <v>0</v>
      </c>
      <c r="U31" s="28" t="n">
        <f aca="false">C31-C30</f>
        <v>1</v>
      </c>
      <c r="V31" s="28" t="n">
        <f aca="false">D31-D30</f>
        <v>0</v>
      </c>
      <c r="W31" s="28" t="n">
        <f aca="false">E31-E30</f>
        <v>0</v>
      </c>
      <c r="X31" s="28" t="n">
        <f aca="false">F31-F30</f>
        <v>8</v>
      </c>
      <c r="Y31" s="28" t="n">
        <f aca="false">G31-G30</f>
        <v>-2</v>
      </c>
      <c r="Z31" s="28" t="n">
        <f aca="false">H31-H30</f>
        <v>0</v>
      </c>
      <c r="AA31" s="28" t="n">
        <f aca="false">I31-I30</f>
        <v>0</v>
      </c>
      <c r="AB31" s="28" t="n">
        <f aca="false">J31-J30</f>
        <v>0</v>
      </c>
      <c r="AC31" s="28" t="n">
        <f aca="false">K31-K30</f>
        <v>0</v>
      </c>
      <c r="AD31" s="28" t="n">
        <f aca="false">L31-L30</f>
        <v>1</v>
      </c>
      <c r="AE31" s="28" t="n">
        <f aca="false">M31-M30</f>
        <v>2</v>
      </c>
      <c r="AF31" s="28" t="n">
        <f aca="false">N31-N30</f>
        <v>1</v>
      </c>
      <c r="AG31" s="28" t="n">
        <f aca="false">O31-O30</f>
        <v>0</v>
      </c>
      <c r="AH31" s="28" t="n">
        <f aca="false">P31-P30</f>
        <v>19</v>
      </c>
    </row>
    <row r="32" customFormat="false" ht="15" hidden="false" customHeight="false" outlineLevel="0" collapsed="false">
      <c r="A32" s="72" t="n">
        <v>46242</v>
      </c>
      <c r="B32" s="26" t="n">
        <f aca="false">CHOOSE(MATCH($B$3,Lists!$C$2:$C$5,0),SUMIFS(Sales_Data!$O$2:$O$3520,Sales_Data!$C$2:$C$3520,$A32,Sales_Data!$H$2:$H$3520,B$14,Sales_Data!$AE$2:$AE$3520,1),SUMIFS(Sales_Data!$M$2:$M$3520,Sales_Data!$C$2:$C$3520,$A32,Sales_Data!$H$2:$H$3520,B$14,Sales_Data!$AE$2:$AE$3520,1),SUMIFS(Sales_Data!$N$2:$N$3520,Sales_Data!$C$2:$C$3520,$A32,Sales_Data!$H$2:$H$3520,B$14,Sales_Data!$AE$2:$AE$3520,1),SUMIFS(Sales_Data!$AE$2:$AE$3520,Sales_Data!$C$2:$C$3520,$A32,Sales_Data!$H$2:$H$3520,B$14))</f>
        <v>0</v>
      </c>
      <c r="C32" s="26" t="n">
        <f aca="false">CHOOSE(MATCH($B$3,Lists!$C$2:$C$5,0),SUMIFS(Sales_Data!$O$2:$O$3520,Sales_Data!$C$2:$C$3520,$A32,Sales_Data!$H$2:$H$3520,C$14,Sales_Data!$AE$2:$AE$3520,1),SUMIFS(Sales_Data!$M$2:$M$3520,Sales_Data!$C$2:$C$3520,$A32,Sales_Data!$H$2:$H$3520,C$14,Sales_Data!$AE$2:$AE$3520,1),SUMIFS(Sales_Data!$N$2:$N$3520,Sales_Data!$C$2:$C$3520,$A32,Sales_Data!$H$2:$H$3520,C$14,Sales_Data!$AE$2:$AE$3520,1),SUMIFS(Sales_Data!$AE$2:$AE$3520,Sales_Data!$C$2:$C$3520,$A32,Sales_Data!$H$2:$H$3520,C$14))</f>
        <v>0</v>
      </c>
      <c r="D32" s="26" t="n">
        <f aca="false">CHOOSE(MATCH($B$3,Lists!$C$2:$C$5,0),SUMIFS(Sales_Data!$O$2:$O$3520,Sales_Data!$C$2:$C$3520,$A32,Sales_Data!$H$2:$H$3520,D$14,Sales_Data!$AE$2:$AE$3520,1),SUMIFS(Sales_Data!$M$2:$M$3520,Sales_Data!$C$2:$C$3520,$A32,Sales_Data!$H$2:$H$3520,D$14,Sales_Data!$AE$2:$AE$3520,1),SUMIFS(Sales_Data!$N$2:$N$3520,Sales_Data!$C$2:$C$3520,$A32,Sales_Data!$H$2:$H$3520,D$14,Sales_Data!$AE$2:$AE$3520,1),SUMIFS(Sales_Data!$AE$2:$AE$3520,Sales_Data!$C$2:$C$3520,$A32,Sales_Data!$H$2:$H$3520,D$14))</f>
        <v>2</v>
      </c>
      <c r="E32" s="26" t="n">
        <f aca="false">CHOOSE(MATCH($B$3,Lists!$C$2:$C$5,0),SUMIFS(Sales_Data!$O$2:$O$3520,Sales_Data!$C$2:$C$3520,$A32,Sales_Data!$H$2:$H$3520,E$14,Sales_Data!$AE$2:$AE$3520,1),SUMIFS(Sales_Data!$M$2:$M$3520,Sales_Data!$C$2:$C$3520,$A32,Sales_Data!$H$2:$H$3520,E$14,Sales_Data!$AE$2:$AE$3520,1),SUMIFS(Sales_Data!$N$2:$N$3520,Sales_Data!$C$2:$C$3520,$A32,Sales_Data!$H$2:$H$3520,E$14,Sales_Data!$AE$2:$AE$3520,1),SUMIFS(Sales_Data!$AE$2:$AE$3520,Sales_Data!$C$2:$C$3520,$A32,Sales_Data!$H$2:$H$3520,E$14))</f>
        <v>0</v>
      </c>
      <c r="F32" s="26" t="n">
        <f aca="false">CHOOSE(MATCH($B$3,Lists!$C$2:$C$5,0),SUMIFS(Sales_Data!$O$2:$O$3520,Sales_Data!$C$2:$C$3520,$A32,Sales_Data!$H$2:$H$3520,F$14,Sales_Data!$AE$2:$AE$3520,1),SUMIFS(Sales_Data!$M$2:$M$3520,Sales_Data!$C$2:$C$3520,$A32,Sales_Data!$H$2:$H$3520,F$14,Sales_Data!$AE$2:$AE$3520,1),SUMIFS(Sales_Data!$N$2:$N$3520,Sales_Data!$C$2:$C$3520,$A32,Sales_Data!$H$2:$H$3520,F$14,Sales_Data!$AE$2:$AE$3520,1),SUMIFS(Sales_Data!$AE$2:$AE$3520,Sales_Data!$C$2:$C$3520,$A32,Sales_Data!$H$2:$H$3520,F$14))</f>
        <v>4</v>
      </c>
      <c r="G32" s="26" t="n">
        <f aca="false">CHOOSE(MATCH($B$3,Lists!$C$2:$C$5,0),SUMIFS(Sales_Data!$O$2:$O$3520,Sales_Data!$C$2:$C$3520,$A32,Sales_Data!$H$2:$H$3520,G$14,Sales_Data!$AE$2:$AE$3520,1),SUMIFS(Sales_Data!$M$2:$M$3520,Sales_Data!$C$2:$C$3520,$A32,Sales_Data!$H$2:$H$3520,G$14,Sales_Data!$AE$2:$AE$3520,1),SUMIFS(Sales_Data!$N$2:$N$3520,Sales_Data!$C$2:$C$3520,$A32,Sales_Data!$H$2:$H$3520,G$14,Sales_Data!$AE$2:$AE$3520,1),SUMIFS(Sales_Data!$AE$2:$AE$3520,Sales_Data!$C$2:$C$3520,$A32,Sales_Data!$H$2:$H$3520,G$14))</f>
        <v>0</v>
      </c>
      <c r="H32" s="26" t="n">
        <f aca="false">CHOOSE(MATCH($B$3,Lists!$C$2:$C$5,0),SUMIFS(Sales_Data!$O$2:$O$3520,Sales_Data!$C$2:$C$3520,$A32,Sales_Data!$H$2:$H$3520,H$14,Sales_Data!$AE$2:$AE$3520,1),SUMIFS(Sales_Data!$M$2:$M$3520,Sales_Data!$C$2:$C$3520,$A32,Sales_Data!$H$2:$H$3520,H$14,Sales_Data!$AE$2:$AE$3520,1),SUMIFS(Sales_Data!$N$2:$N$3520,Sales_Data!$C$2:$C$3520,$A32,Sales_Data!$H$2:$H$3520,H$14,Sales_Data!$AE$2:$AE$3520,1),SUMIFS(Sales_Data!$AE$2:$AE$3520,Sales_Data!$C$2:$C$3520,$A32,Sales_Data!$H$2:$H$3520,H$14))</f>
        <v>0</v>
      </c>
      <c r="I32" s="26" t="n">
        <f aca="false">CHOOSE(MATCH($B$3,Lists!$C$2:$C$5,0),SUMIFS(Sales_Data!$O$2:$O$3520,Sales_Data!$C$2:$C$3520,$A32,Sales_Data!$H$2:$H$3520,I$14,Sales_Data!$AE$2:$AE$3520,1),SUMIFS(Sales_Data!$M$2:$M$3520,Sales_Data!$C$2:$C$3520,$A32,Sales_Data!$H$2:$H$3520,I$14,Sales_Data!$AE$2:$AE$3520,1),SUMIFS(Sales_Data!$N$2:$N$3520,Sales_Data!$C$2:$C$3520,$A32,Sales_Data!$H$2:$H$3520,I$14,Sales_Data!$AE$2:$AE$3520,1),SUMIFS(Sales_Data!$AE$2:$AE$3520,Sales_Data!$C$2:$C$3520,$A32,Sales_Data!$H$2:$H$3520,I$14))</f>
        <v>0</v>
      </c>
      <c r="J32" s="26" t="n">
        <f aca="false">CHOOSE(MATCH($B$3,Lists!$C$2:$C$5,0),SUMIFS(Sales_Data!$O$2:$O$3520,Sales_Data!$C$2:$C$3520,$A32,Sales_Data!$H$2:$H$3520,J$14,Sales_Data!$AE$2:$AE$3520,1),SUMIFS(Sales_Data!$M$2:$M$3520,Sales_Data!$C$2:$C$3520,$A32,Sales_Data!$H$2:$H$3520,J$14,Sales_Data!$AE$2:$AE$3520,1),SUMIFS(Sales_Data!$N$2:$N$3520,Sales_Data!$C$2:$C$3520,$A32,Sales_Data!$H$2:$H$3520,J$14,Sales_Data!$AE$2:$AE$3520,1),SUMIFS(Sales_Data!$AE$2:$AE$3520,Sales_Data!$C$2:$C$3520,$A32,Sales_Data!$H$2:$H$3520,J$14))</f>
        <v>0</v>
      </c>
      <c r="K32" s="26" t="n">
        <f aca="false">CHOOSE(MATCH($B$3,Lists!$C$2:$C$5,0),SUMIFS(Sales_Data!$O$2:$O$3520,Sales_Data!$C$2:$C$3520,$A32,Sales_Data!$H$2:$H$3520,K$14,Sales_Data!$AE$2:$AE$3520,1),SUMIFS(Sales_Data!$M$2:$M$3520,Sales_Data!$C$2:$C$3520,$A32,Sales_Data!$H$2:$H$3520,K$14,Sales_Data!$AE$2:$AE$3520,1),SUMIFS(Sales_Data!$N$2:$N$3520,Sales_Data!$C$2:$C$3520,$A32,Sales_Data!$H$2:$H$3520,K$14,Sales_Data!$AE$2:$AE$3520,1),SUMIFS(Sales_Data!$AE$2:$AE$3520,Sales_Data!$C$2:$C$3520,$A32,Sales_Data!$H$2:$H$3520,K$14))</f>
        <v>0</v>
      </c>
      <c r="L32" s="26" t="n">
        <f aca="false">CHOOSE(MATCH($B$3,Lists!$C$2:$C$5,0),SUMIFS(Sales_Data!$O$2:$O$3520,Sales_Data!$C$2:$C$3520,$A32,Sales_Data!$H$2:$H$3520,L$14,Sales_Data!$AE$2:$AE$3520,1),SUMIFS(Sales_Data!$M$2:$M$3520,Sales_Data!$C$2:$C$3520,$A32,Sales_Data!$H$2:$H$3520,L$14,Sales_Data!$AE$2:$AE$3520,1),SUMIFS(Sales_Data!$N$2:$N$3520,Sales_Data!$C$2:$C$3520,$A32,Sales_Data!$H$2:$H$3520,L$14,Sales_Data!$AE$2:$AE$3520,1),SUMIFS(Sales_Data!$AE$2:$AE$3520,Sales_Data!$C$2:$C$3520,$A32,Sales_Data!$H$2:$H$3520,L$14))</f>
        <v>8</v>
      </c>
      <c r="M32" s="26" t="n">
        <f aca="false">CHOOSE(MATCH($B$3,Lists!$C$2:$C$5,0),SUMIFS(Sales_Data!$O$2:$O$3520,Sales_Data!$C$2:$C$3520,$A32,Sales_Data!$H$2:$H$3520,M$14,Sales_Data!$AE$2:$AE$3520,1),SUMIFS(Sales_Data!$M$2:$M$3520,Sales_Data!$C$2:$C$3520,$A32,Sales_Data!$H$2:$H$3520,M$14,Sales_Data!$AE$2:$AE$3520,1),SUMIFS(Sales_Data!$N$2:$N$3520,Sales_Data!$C$2:$C$3520,$A32,Sales_Data!$H$2:$H$3520,M$14,Sales_Data!$AE$2:$AE$3520,1),SUMIFS(Sales_Data!$AE$2:$AE$3520,Sales_Data!$C$2:$C$3520,$A32,Sales_Data!$H$2:$H$3520,M$14))</f>
        <v>4</v>
      </c>
      <c r="N32" s="26" t="n">
        <f aca="false">CHOOSE(MATCH($B$3,Lists!$C$2:$C$5,0),SUMIFS(Sales_Data!$O$2:$O$3520,Sales_Data!$C$2:$C$3520,$A32,Sales_Data!$H$2:$H$3520,N$14,Sales_Data!$AE$2:$AE$3520,1),SUMIFS(Sales_Data!$M$2:$M$3520,Sales_Data!$C$2:$C$3520,$A32,Sales_Data!$H$2:$H$3520,N$14,Sales_Data!$AE$2:$AE$3520,1),SUMIFS(Sales_Data!$N$2:$N$3520,Sales_Data!$C$2:$C$3520,$A32,Sales_Data!$H$2:$H$3520,N$14,Sales_Data!$AE$2:$AE$3520,1),SUMIFS(Sales_Data!$AE$2:$AE$3520,Sales_Data!$C$2:$C$3520,$A32,Sales_Data!$H$2:$H$3520,N$14))</f>
        <v>0</v>
      </c>
      <c r="O32" s="26" t="n">
        <f aca="false">CHOOSE(MATCH($B$3,Lists!$C$2:$C$5,0),SUMIFS(Sales_Data!$O$2:$O$3520,Sales_Data!$C$2:$C$3520,$A32,Sales_Data!$H$2:$H$3520,O$14,Sales_Data!$AE$2:$AE$3520,1),SUMIFS(Sales_Data!$M$2:$M$3520,Sales_Data!$C$2:$C$3520,$A32,Sales_Data!$H$2:$H$3520,O$14,Sales_Data!$AE$2:$AE$3520,1),SUMIFS(Sales_Data!$N$2:$N$3520,Sales_Data!$C$2:$C$3520,$A32,Sales_Data!$H$2:$H$3520,O$14,Sales_Data!$AE$2:$AE$3520,1),SUMIFS(Sales_Data!$AE$2:$AE$3520,Sales_Data!$C$2:$C$3520,$A32,Sales_Data!$H$2:$H$3520,O$14))</f>
        <v>0</v>
      </c>
      <c r="P32" s="27" t="n">
        <f aca="false">CHOOSE(MATCH($B$3,Lists!$C$2:$C$5,0),SUMIFS(Sales_Data!$O$2:$O$3520,Sales_Data!$C$2:$C$3520,$A32,Sales_Data!$AE$2:$AE$3520,1),SUMIFS(Sales_Data!$M$2:$M$3520,Sales_Data!$C$2:$C$3520,$A32,Sales_Data!$AE$2:$AE$3520,1),SUMIFS(Sales_Data!$N$2:$N$3520,Sales_Data!$C$2:$C$3520,$A32,Sales_Data!$AE$2:$AE$3520,1),SUMIFS(Sales_Data!$AE$2:$AE$3520,Sales_Data!$C$2:$C$3520,$A32))</f>
        <v>29</v>
      </c>
      <c r="Q32" s="27" t="n">
        <f aca="false">P32-SUM(B32:O32)</f>
        <v>11</v>
      </c>
      <c r="R32" s="3"/>
      <c r="S32" s="72" t="n">
        <f aca="false">A32</f>
        <v>46242</v>
      </c>
      <c r="T32" s="28" t="n">
        <f aca="false">B32-B31</f>
        <v>0</v>
      </c>
      <c r="U32" s="28" t="n">
        <f aca="false">C32-C31</f>
        <v>-5</v>
      </c>
      <c r="V32" s="28" t="n">
        <f aca="false">D32-D31</f>
        <v>2</v>
      </c>
      <c r="W32" s="28" t="n">
        <f aca="false">E32-E31</f>
        <v>0</v>
      </c>
      <c r="X32" s="28" t="n">
        <f aca="false">F32-F31</f>
        <v>-9</v>
      </c>
      <c r="Y32" s="28" t="n">
        <f aca="false">G32-G31</f>
        <v>0</v>
      </c>
      <c r="Z32" s="28" t="n">
        <f aca="false">H32-H31</f>
        <v>0</v>
      </c>
      <c r="AA32" s="28" t="n">
        <f aca="false">I32-I31</f>
        <v>0</v>
      </c>
      <c r="AB32" s="28" t="n">
        <f aca="false">J32-J31</f>
        <v>0</v>
      </c>
      <c r="AC32" s="28" t="n">
        <f aca="false">K32-K31</f>
        <v>0</v>
      </c>
      <c r="AD32" s="28" t="n">
        <f aca="false">L32-L31</f>
        <v>5</v>
      </c>
      <c r="AE32" s="28" t="n">
        <f aca="false">M32-M31</f>
        <v>2</v>
      </c>
      <c r="AF32" s="28" t="n">
        <f aca="false">N32-N31</f>
        <v>-9</v>
      </c>
      <c r="AG32" s="28" t="n">
        <f aca="false">O32-O31</f>
        <v>0</v>
      </c>
      <c r="AH32" s="28" t="n">
        <f aca="false">P32-P31</f>
        <v>-25</v>
      </c>
    </row>
    <row r="33" customFormat="false" ht="15" hidden="false" customHeight="false" outlineLevel="0" collapsed="false">
      <c r="A33" s="72" t="n">
        <v>46243</v>
      </c>
      <c r="B33" s="26" t="n">
        <f aca="false">CHOOSE(MATCH($B$3,Lists!$C$2:$C$5,0),SUMIFS(Sales_Data!$O$2:$O$3520,Sales_Data!$C$2:$C$3520,$A33,Sales_Data!$H$2:$H$3520,B$14,Sales_Data!$AE$2:$AE$3520,1),SUMIFS(Sales_Data!$M$2:$M$3520,Sales_Data!$C$2:$C$3520,$A33,Sales_Data!$H$2:$H$3520,B$14,Sales_Data!$AE$2:$AE$3520,1),SUMIFS(Sales_Data!$N$2:$N$3520,Sales_Data!$C$2:$C$3520,$A33,Sales_Data!$H$2:$H$3520,B$14,Sales_Data!$AE$2:$AE$3520,1),SUMIFS(Sales_Data!$AE$2:$AE$3520,Sales_Data!$C$2:$C$3520,$A33,Sales_Data!$H$2:$H$3520,B$14))</f>
        <v>0</v>
      </c>
      <c r="C33" s="26" t="n">
        <f aca="false">CHOOSE(MATCH($B$3,Lists!$C$2:$C$5,0),SUMIFS(Sales_Data!$O$2:$O$3520,Sales_Data!$C$2:$C$3520,$A33,Sales_Data!$H$2:$H$3520,C$14,Sales_Data!$AE$2:$AE$3520,1),SUMIFS(Sales_Data!$M$2:$M$3520,Sales_Data!$C$2:$C$3520,$A33,Sales_Data!$H$2:$H$3520,C$14,Sales_Data!$AE$2:$AE$3520,1),SUMIFS(Sales_Data!$N$2:$N$3520,Sales_Data!$C$2:$C$3520,$A33,Sales_Data!$H$2:$H$3520,C$14,Sales_Data!$AE$2:$AE$3520,1),SUMIFS(Sales_Data!$AE$2:$AE$3520,Sales_Data!$C$2:$C$3520,$A33,Sales_Data!$H$2:$H$3520,C$14))</f>
        <v>0</v>
      </c>
      <c r="D33" s="26" t="n">
        <f aca="false">CHOOSE(MATCH($B$3,Lists!$C$2:$C$5,0),SUMIFS(Sales_Data!$O$2:$O$3520,Sales_Data!$C$2:$C$3520,$A33,Sales_Data!$H$2:$H$3520,D$14,Sales_Data!$AE$2:$AE$3520,1),SUMIFS(Sales_Data!$M$2:$M$3520,Sales_Data!$C$2:$C$3520,$A33,Sales_Data!$H$2:$H$3520,D$14,Sales_Data!$AE$2:$AE$3520,1),SUMIFS(Sales_Data!$N$2:$N$3520,Sales_Data!$C$2:$C$3520,$A33,Sales_Data!$H$2:$H$3520,D$14,Sales_Data!$AE$2:$AE$3520,1),SUMIFS(Sales_Data!$AE$2:$AE$3520,Sales_Data!$C$2:$C$3520,$A33,Sales_Data!$H$2:$H$3520,D$14))</f>
        <v>2</v>
      </c>
      <c r="E33" s="26" t="n">
        <f aca="false">CHOOSE(MATCH($B$3,Lists!$C$2:$C$5,0),SUMIFS(Sales_Data!$O$2:$O$3520,Sales_Data!$C$2:$C$3520,$A33,Sales_Data!$H$2:$H$3520,E$14,Sales_Data!$AE$2:$AE$3520,1),SUMIFS(Sales_Data!$M$2:$M$3520,Sales_Data!$C$2:$C$3520,$A33,Sales_Data!$H$2:$H$3520,E$14,Sales_Data!$AE$2:$AE$3520,1),SUMIFS(Sales_Data!$N$2:$N$3520,Sales_Data!$C$2:$C$3520,$A33,Sales_Data!$H$2:$H$3520,E$14,Sales_Data!$AE$2:$AE$3520,1),SUMIFS(Sales_Data!$AE$2:$AE$3520,Sales_Data!$C$2:$C$3520,$A33,Sales_Data!$H$2:$H$3520,E$14))</f>
        <v>0</v>
      </c>
      <c r="F33" s="26" t="n">
        <f aca="false">CHOOSE(MATCH($B$3,Lists!$C$2:$C$5,0),SUMIFS(Sales_Data!$O$2:$O$3520,Sales_Data!$C$2:$C$3520,$A33,Sales_Data!$H$2:$H$3520,F$14,Sales_Data!$AE$2:$AE$3520,1),SUMIFS(Sales_Data!$M$2:$M$3520,Sales_Data!$C$2:$C$3520,$A33,Sales_Data!$H$2:$H$3520,F$14,Sales_Data!$AE$2:$AE$3520,1),SUMIFS(Sales_Data!$N$2:$N$3520,Sales_Data!$C$2:$C$3520,$A33,Sales_Data!$H$2:$H$3520,F$14,Sales_Data!$AE$2:$AE$3520,1),SUMIFS(Sales_Data!$AE$2:$AE$3520,Sales_Data!$C$2:$C$3520,$A33,Sales_Data!$H$2:$H$3520,F$14))</f>
        <v>4</v>
      </c>
      <c r="G33" s="26" t="n">
        <f aca="false">CHOOSE(MATCH($B$3,Lists!$C$2:$C$5,0),SUMIFS(Sales_Data!$O$2:$O$3520,Sales_Data!$C$2:$C$3520,$A33,Sales_Data!$H$2:$H$3520,G$14,Sales_Data!$AE$2:$AE$3520,1),SUMIFS(Sales_Data!$M$2:$M$3520,Sales_Data!$C$2:$C$3520,$A33,Sales_Data!$H$2:$H$3520,G$14,Sales_Data!$AE$2:$AE$3520,1),SUMIFS(Sales_Data!$N$2:$N$3520,Sales_Data!$C$2:$C$3520,$A33,Sales_Data!$H$2:$H$3520,G$14,Sales_Data!$AE$2:$AE$3520,1),SUMIFS(Sales_Data!$AE$2:$AE$3520,Sales_Data!$C$2:$C$3520,$A33,Sales_Data!$H$2:$H$3520,G$14))</f>
        <v>1</v>
      </c>
      <c r="H33" s="26" t="n">
        <f aca="false">CHOOSE(MATCH($B$3,Lists!$C$2:$C$5,0),SUMIFS(Sales_Data!$O$2:$O$3520,Sales_Data!$C$2:$C$3520,$A33,Sales_Data!$H$2:$H$3520,H$14,Sales_Data!$AE$2:$AE$3520,1),SUMIFS(Sales_Data!$M$2:$M$3520,Sales_Data!$C$2:$C$3520,$A33,Sales_Data!$H$2:$H$3520,H$14,Sales_Data!$AE$2:$AE$3520,1),SUMIFS(Sales_Data!$N$2:$N$3520,Sales_Data!$C$2:$C$3520,$A33,Sales_Data!$H$2:$H$3520,H$14,Sales_Data!$AE$2:$AE$3520,1),SUMIFS(Sales_Data!$AE$2:$AE$3520,Sales_Data!$C$2:$C$3520,$A33,Sales_Data!$H$2:$H$3520,H$14))</f>
        <v>0</v>
      </c>
      <c r="I33" s="26" t="n">
        <f aca="false">CHOOSE(MATCH($B$3,Lists!$C$2:$C$5,0),SUMIFS(Sales_Data!$O$2:$O$3520,Sales_Data!$C$2:$C$3520,$A33,Sales_Data!$H$2:$H$3520,I$14,Sales_Data!$AE$2:$AE$3520,1),SUMIFS(Sales_Data!$M$2:$M$3520,Sales_Data!$C$2:$C$3520,$A33,Sales_Data!$H$2:$H$3520,I$14,Sales_Data!$AE$2:$AE$3520,1),SUMIFS(Sales_Data!$N$2:$N$3520,Sales_Data!$C$2:$C$3520,$A33,Sales_Data!$H$2:$H$3520,I$14,Sales_Data!$AE$2:$AE$3520,1),SUMIFS(Sales_Data!$AE$2:$AE$3520,Sales_Data!$C$2:$C$3520,$A33,Sales_Data!$H$2:$H$3520,I$14))</f>
        <v>0</v>
      </c>
      <c r="J33" s="26" t="n">
        <f aca="false">CHOOSE(MATCH($B$3,Lists!$C$2:$C$5,0),SUMIFS(Sales_Data!$O$2:$O$3520,Sales_Data!$C$2:$C$3520,$A33,Sales_Data!$H$2:$H$3520,J$14,Sales_Data!$AE$2:$AE$3520,1),SUMIFS(Sales_Data!$M$2:$M$3520,Sales_Data!$C$2:$C$3520,$A33,Sales_Data!$H$2:$H$3520,J$14,Sales_Data!$AE$2:$AE$3520,1),SUMIFS(Sales_Data!$N$2:$N$3520,Sales_Data!$C$2:$C$3520,$A33,Sales_Data!$H$2:$H$3520,J$14,Sales_Data!$AE$2:$AE$3520,1),SUMIFS(Sales_Data!$AE$2:$AE$3520,Sales_Data!$C$2:$C$3520,$A33,Sales_Data!$H$2:$H$3520,J$14))</f>
        <v>0</v>
      </c>
      <c r="K33" s="26" t="n">
        <f aca="false">CHOOSE(MATCH($B$3,Lists!$C$2:$C$5,0),SUMIFS(Sales_Data!$O$2:$O$3520,Sales_Data!$C$2:$C$3520,$A33,Sales_Data!$H$2:$H$3520,K$14,Sales_Data!$AE$2:$AE$3520,1),SUMIFS(Sales_Data!$M$2:$M$3520,Sales_Data!$C$2:$C$3520,$A33,Sales_Data!$H$2:$H$3520,K$14,Sales_Data!$AE$2:$AE$3520,1),SUMIFS(Sales_Data!$N$2:$N$3520,Sales_Data!$C$2:$C$3520,$A33,Sales_Data!$H$2:$H$3520,K$14,Sales_Data!$AE$2:$AE$3520,1),SUMIFS(Sales_Data!$AE$2:$AE$3520,Sales_Data!$C$2:$C$3520,$A33,Sales_Data!$H$2:$H$3520,K$14))</f>
        <v>0</v>
      </c>
      <c r="L33" s="26" t="n">
        <f aca="false">CHOOSE(MATCH($B$3,Lists!$C$2:$C$5,0),SUMIFS(Sales_Data!$O$2:$O$3520,Sales_Data!$C$2:$C$3520,$A33,Sales_Data!$H$2:$H$3520,L$14,Sales_Data!$AE$2:$AE$3520,1),SUMIFS(Sales_Data!$M$2:$M$3520,Sales_Data!$C$2:$C$3520,$A33,Sales_Data!$H$2:$H$3520,L$14,Sales_Data!$AE$2:$AE$3520,1),SUMIFS(Sales_Data!$N$2:$N$3520,Sales_Data!$C$2:$C$3520,$A33,Sales_Data!$H$2:$H$3520,L$14,Sales_Data!$AE$2:$AE$3520,1),SUMIFS(Sales_Data!$AE$2:$AE$3520,Sales_Data!$C$2:$C$3520,$A33,Sales_Data!$H$2:$H$3520,L$14))</f>
        <v>3</v>
      </c>
      <c r="M33" s="26" t="n">
        <f aca="false">CHOOSE(MATCH($B$3,Lists!$C$2:$C$5,0),SUMIFS(Sales_Data!$O$2:$O$3520,Sales_Data!$C$2:$C$3520,$A33,Sales_Data!$H$2:$H$3520,M$14,Sales_Data!$AE$2:$AE$3520,1),SUMIFS(Sales_Data!$M$2:$M$3520,Sales_Data!$C$2:$C$3520,$A33,Sales_Data!$H$2:$H$3520,M$14,Sales_Data!$AE$2:$AE$3520,1),SUMIFS(Sales_Data!$N$2:$N$3520,Sales_Data!$C$2:$C$3520,$A33,Sales_Data!$H$2:$H$3520,M$14,Sales_Data!$AE$2:$AE$3520,1),SUMIFS(Sales_Data!$AE$2:$AE$3520,Sales_Data!$C$2:$C$3520,$A33,Sales_Data!$H$2:$H$3520,M$14))</f>
        <v>4</v>
      </c>
      <c r="N33" s="26" t="n">
        <f aca="false">CHOOSE(MATCH($B$3,Lists!$C$2:$C$5,0),SUMIFS(Sales_Data!$O$2:$O$3520,Sales_Data!$C$2:$C$3520,$A33,Sales_Data!$H$2:$H$3520,N$14,Sales_Data!$AE$2:$AE$3520,1),SUMIFS(Sales_Data!$M$2:$M$3520,Sales_Data!$C$2:$C$3520,$A33,Sales_Data!$H$2:$H$3520,N$14,Sales_Data!$AE$2:$AE$3520,1),SUMIFS(Sales_Data!$N$2:$N$3520,Sales_Data!$C$2:$C$3520,$A33,Sales_Data!$H$2:$H$3520,N$14,Sales_Data!$AE$2:$AE$3520,1),SUMIFS(Sales_Data!$AE$2:$AE$3520,Sales_Data!$C$2:$C$3520,$A33,Sales_Data!$H$2:$H$3520,N$14))</f>
        <v>1</v>
      </c>
      <c r="O33" s="26" t="n">
        <f aca="false">CHOOSE(MATCH($B$3,Lists!$C$2:$C$5,0),SUMIFS(Sales_Data!$O$2:$O$3520,Sales_Data!$C$2:$C$3520,$A33,Sales_Data!$H$2:$H$3520,O$14,Sales_Data!$AE$2:$AE$3520,1),SUMIFS(Sales_Data!$M$2:$M$3520,Sales_Data!$C$2:$C$3520,$A33,Sales_Data!$H$2:$H$3520,O$14,Sales_Data!$AE$2:$AE$3520,1),SUMIFS(Sales_Data!$N$2:$N$3520,Sales_Data!$C$2:$C$3520,$A33,Sales_Data!$H$2:$H$3520,O$14,Sales_Data!$AE$2:$AE$3520,1),SUMIFS(Sales_Data!$AE$2:$AE$3520,Sales_Data!$C$2:$C$3520,$A33,Sales_Data!$H$2:$H$3520,O$14))</f>
        <v>0</v>
      </c>
      <c r="P33" s="27" t="n">
        <f aca="false">CHOOSE(MATCH($B$3,Lists!$C$2:$C$5,0),SUMIFS(Sales_Data!$O$2:$O$3520,Sales_Data!$C$2:$C$3520,$A33,Sales_Data!$AE$2:$AE$3520,1),SUMIFS(Sales_Data!$M$2:$M$3520,Sales_Data!$C$2:$C$3520,$A33,Sales_Data!$AE$2:$AE$3520,1),SUMIFS(Sales_Data!$N$2:$N$3520,Sales_Data!$C$2:$C$3520,$A33,Sales_Data!$AE$2:$AE$3520,1),SUMIFS(Sales_Data!$AE$2:$AE$3520,Sales_Data!$C$2:$C$3520,$A33))</f>
        <v>22</v>
      </c>
      <c r="Q33" s="27" t="n">
        <f aca="false">P33-SUM(B33:O33)</f>
        <v>7</v>
      </c>
      <c r="R33" s="3"/>
      <c r="S33" s="72" t="n">
        <f aca="false">A33</f>
        <v>46243</v>
      </c>
      <c r="T33" s="28" t="n">
        <f aca="false">B33-B32</f>
        <v>0</v>
      </c>
      <c r="U33" s="28" t="n">
        <f aca="false">C33-C32</f>
        <v>0</v>
      </c>
      <c r="V33" s="28" t="n">
        <f aca="false">D33-D32</f>
        <v>0</v>
      </c>
      <c r="W33" s="28" t="n">
        <f aca="false">E33-E32</f>
        <v>0</v>
      </c>
      <c r="X33" s="28" t="n">
        <f aca="false">F33-F32</f>
        <v>0</v>
      </c>
      <c r="Y33" s="28" t="n">
        <f aca="false">G33-G32</f>
        <v>1</v>
      </c>
      <c r="Z33" s="28" t="n">
        <f aca="false">H33-H32</f>
        <v>0</v>
      </c>
      <c r="AA33" s="28" t="n">
        <f aca="false">I33-I32</f>
        <v>0</v>
      </c>
      <c r="AB33" s="28" t="n">
        <f aca="false">J33-J32</f>
        <v>0</v>
      </c>
      <c r="AC33" s="28" t="n">
        <f aca="false">K33-K32</f>
        <v>0</v>
      </c>
      <c r="AD33" s="28" t="n">
        <f aca="false">L33-L32</f>
        <v>-5</v>
      </c>
      <c r="AE33" s="28" t="n">
        <f aca="false">M33-M32</f>
        <v>0</v>
      </c>
      <c r="AF33" s="28" t="n">
        <f aca="false">N33-N32</f>
        <v>1</v>
      </c>
      <c r="AG33" s="28" t="n">
        <f aca="false">O33-O32</f>
        <v>0</v>
      </c>
      <c r="AH33" s="28" t="n">
        <f aca="false">P33-P32</f>
        <v>-7</v>
      </c>
    </row>
    <row r="34" customFormat="false" ht="15" hidden="false" customHeight="false" outlineLevel="0" collapsed="false">
      <c r="A34" s="72" t="n">
        <v>46244</v>
      </c>
      <c r="B34" s="26" t="n">
        <f aca="false">CHOOSE(MATCH($B$3,Lists!$C$2:$C$5,0),SUMIFS(Sales_Data!$O$2:$O$3520,Sales_Data!$C$2:$C$3520,$A34,Sales_Data!$H$2:$H$3520,B$14,Sales_Data!$AE$2:$AE$3520,1),SUMIFS(Sales_Data!$M$2:$M$3520,Sales_Data!$C$2:$C$3520,$A34,Sales_Data!$H$2:$H$3520,B$14,Sales_Data!$AE$2:$AE$3520,1),SUMIFS(Sales_Data!$N$2:$N$3520,Sales_Data!$C$2:$C$3520,$A34,Sales_Data!$H$2:$H$3520,B$14,Sales_Data!$AE$2:$AE$3520,1),SUMIFS(Sales_Data!$AE$2:$AE$3520,Sales_Data!$C$2:$C$3520,$A34,Sales_Data!$H$2:$H$3520,B$14))</f>
        <v>0</v>
      </c>
      <c r="C34" s="26" t="n">
        <f aca="false">CHOOSE(MATCH($B$3,Lists!$C$2:$C$5,0),SUMIFS(Sales_Data!$O$2:$O$3520,Sales_Data!$C$2:$C$3520,$A34,Sales_Data!$H$2:$H$3520,C$14,Sales_Data!$AE$2:$AE$3520,1),SUMIFS(Sales_Data!$M$2:$M$3520,Sales_Data!$C$2:$C$3520,$A34,Sales_Data!$H$2:$H$3520,C$14,Sales_Data!$AE$2:$AE$3520,1),SUMIFS(Sales_Data!$N$2:$N$3520,Sales_Data!$C$2:$C$3520,$A34,Sales_Data!$H$2:$H$3520,C$14,Sales_Data!$AE$2:$AE$3520,1),SUMIFS(Sales_Data!$AE$2:$AE$3520,Sales_Data!$C$2:$C$3520,$A34,Sales_Data!$H$2:$H$3520,C$14))</f>
        <v>0</v>
      </c>
      <c r="D34" s="26" t="n">
        <f aca="false">CHOOSE(MATCH($B$3,Lists!$C$2:$C$5,0),SUMIFS(Sales_Data!$O$2:$O$3520,Sales_Data!$C$2:$C$3520,$A34,Sales_Data!$H$2:$H$3520,D$14,Sales_Data!$AE$2:$AE$3520,1),SUMIFS(Sales_Data!$M$2:$M$3520,Sales_Data!$C$2:$C$3520,$A34,Sales_Data!$H$2:$H$3520,D$14,Sales_Data!$AE$2:$AE$3520,1),SUMIFS(Sales_Data!$N$2:$N$3520,Sales_Data!$C$2:$C$3520,$A34,Sales_Data!$H$2:$H$3520,D$14,Sales_Data!$AE$2:$AE$3520,1),SUMIFS(Sales_Data!$AE$2:$AE$3520,Sales_Data!$C$2:$C$3520,$A34,Sales_Data!$H$2:$H$3520,D$14))</f>
        <v>4</v>
      </c>
      <c r="E34" s="26" t="n">
        <f aca="false">CHOOSE(MATCH($B$3,Lists!$C$2:$C$5,0),SUMIFS(Sales_Data!$O$2:$O$3520,Sales_Data!$C$2:$C$3520,$A34,Sales_Data!$H$2:$H$3520,E$14,Sales_Data!$AE$2:$AE$3520,1),SUMIFS(Sales_Data!$M$2:$M$3520,Sales_Data!$C$2:$C$3520,$A34,Sales_Data!$H$2:$H$3520,E$14,Sales_Data!$AE$2:$AE$3520,1),SUMIFS(Sales_Data!$N$2:$N$3520,Sales_Data!$C$2:$C$3520,$A34,Sales_Data!$H$2:$H$3520,E$14,Sales_Data!$AE$2:$AE$3520,1),SUMIFS(Sales_Data!$AE$2:$AE$3520,Sales_Data!$C$2:$C$3520,$A34,Sales_Data!$H$2:$H$3520,E$14))</f>
        <v>0</v>
      </c>
      <c r="F34" s="26" t="n">
        <f aca="false">CHOOSE(MATCH($B$3,Lists!$C$2:$C$5,0),SUMIFS(Sales_Data!$O$2:$O$3520,Sales_Data!$C$2:$C$3520,$A34,Sales_Data!$H$2:$H$3520,F$14,Sales_Data!$AE$2:$AE$3520,1),SUMIFS(Sales_Data!$M$2:$M$3520,Sales_Data!$C$2:$C$3520,$A34,Sales_Data!$H$2:$H$3520,F$14,Sales_Data!$AE$2:$AE$3520,1),SUMIFS(Sales_Data!$N$2:$N$3520,Sales_Data!$C$2:$C$3520,$A34,Sales_Data!$H$2:$H$3520,F$14,Sales_Data!$AE$2:$AE$3520,1),SUMIFS(Sales_Data!$AE$2:$AE$3520,Sales_Data!$C$2:$C$3520,$A34,Sales_Data!$H$2:$H$3520,F$14))</f>
        <v>6</v>
      </c>
      <c r="G34" s="26" t="n">
        <f aca="false">CHOOSE(MATCH($B$3,Lists!$C$2:$C$5,0),SUMIFS(Sales_Data!$O$2:$O$3520,Sales_Data!$C$2:$C$3520,$A34,Sales_Data!$H$2:$H$3520,G$14,Sales_Data!$AE$2:$AE$3520,1),SUMIFS(Sales_Data!$M$2:$M$3520,Sales_Data!$C$2:$C$3520,$A34,Sales_Data!$H$2:$H$3520,G$14,Sales_Data!$AE$2:$AE$3520,1),SUMIFS(Sales_Data!$N$2:$N$3520,Sales_Data!$C$2:$C$3520,$A34,Sales_Data!$H$2:$H$3520,G$14,Sales_Data!$AE$2:$AE$3520,1),SUMIFS(Sales_Data!$AE$2:$AE$3520,Sales_Data!$C$2:$C$3520,$A34,Sales_Data!$H$2:$H$3520,G$14))</f>
        <v>0</v>
      </c>
      <c r="H34" s="26" t="n">
        <f aca="false">CHOOSE(MATCH($B$3,Lists!$C$2:$C$5,0),SUMIFS(Sales_Data!$O$2:$O$3520,Sales_Data!$C$2:$C$3520,$A34,Sales_Data!$H$2:$H$3520,H$14,Sales_Data!$AE$2:$AE$3520,1),SUMIFS(Sales_Data!$M$2:$M$3520,Sales_Data!$C$2:$C$3520,$A34,Sales_Data!$H$2:$H$3520,H$14,Sales_Data!$AE$2:$AE$3520,1),SUMIFS(Sales_Data!$N$2:$N$3520,Sales_Data!$C$2:$C$3520,$A34,Sales_Data!$H$2:$H$3520,H$14,Sales_Data!$AE$2:$AE$3520,1),SUMIFS(Sales_Data!$AE$2:$AE$3520,Sales_Data!$C$2:$C$3520,$A34,Sales_Data!$H$2:$H$3520,H$14))</f>
        <v>0</v>
      </c>
      <c r="I34" s="26" t="n">
        <f aca="false">CHOOSE(MATCH($B$3,Lists!$C$2:$C$5,0),SUMIFS(Sales_Data!$O$2:$O$3520,Sales_Data!$C$2:$C$3520,$A34,Sales_Data!$H$2:$H$3520,I$14,Sales_Data!$AE$2:$AE$3520,1),SUMIFS(Sales_Data!$M$2:$M$3520,Sales_Data!$C$2:$C$3520,$A34,Sales_Data!$H$2:$H$3520,I$14,Sales_Data!$AE$2:$AE$3520,1),SUMIFS(Sales_Data!$N$2:$N$3520,Sales_Data!$C$2:$C$3520,$A34,Sales_Data!$H$2:$H$3520,I$14,Sales_Data!$AE$2:$AE$3520,1),SUMIFS(Sales_Data!$AE$2:$AE$3520,Sales_Data!$C$2:$C$3520,$A34,Sales_Data!$H$2:$H$3520,I$14))</f>
        <v>0</v>
      </c>
      <c r="J34" s="26" t="n">
        <f aca="false">CHOOSE(MATCH($B$3,Lists!$C$2:$C$5,0),SUMIFS(Sales_Data!$O$2:$O$3520,Sales_Data!$C$2:$C$3520,$A34,Sales_Data!$H$2:$H$3520,J$14,Sales_Data!$AE$2:$AE$3520,1),SUMIFS(Sales_Data!$M$2:$M$3520,Sales_Data!$C$2:$C$3520,$A34,Sales_Data!$H$2:$H$3520,J$14,Sales_Data!$AE$2:$AE$3520,1),SUMIFS(Sales_Data!$N$2:$N$3520,Sales_Data!$C$2:$C$3520,$A34,Sales_Data!$H$2:$H$3520,J$14,Sales_Data!$AE$2:$AE$3520,1),SUMIFS(Sales_Data!$AE$2:$AE$3520,Sales_Data!$C$2:$C$3520,$A34,Sales_Data!$H$2:$H$3520,J$14))</f>
        <v>0</v>
      </c>
      <c r="K34" s="26" t="n">
        <f aca="false">CHOOSE(MATCH($B$3,Lists!$C$2:$C$5,0),SUMIFS(Sales_Data!$O$2:$O$3520,Sales_Data!$C$2:$C$3520,$A34,Sales_Data!$H$2:$H$3520,K$14,Sales_Data!$AE$2:$AE$3520,1),SUMIFS(Sales_Data!$M$2:$M$3520,Sales_Data!$C$2:$C$3520,$A34,Sales_Data!$H$2:$H$3520,K$14,Sales_Data!$AE$2:$AE$3520,1),SUMIFS(Sales_Data!$N$2:$N$3520,Sales_Data!$C$2:$C$3520,$A34,Sales_Data!$H$2:$H$3520,K$14,Sales_Data!$AE$2:$AE$3520,1),SUMIFS(Sales_Data!$AE$2:$AE$3520,Sales_Data!$C$2:$C$3520,$A34,Sales_Data!$H$2:$H$3520,K$14))</f>
        <v>0</v>
      </c>
      <c r="L34" s="26" t="n">
        <f aca="false">CHOOSE(MATCH($B$3,Lists!$C$2:$C$5,0),SUMIFS(Sales_Data!$O$2:$O$3520,Sales_Data!$C$2:$C$3520,$A34,Sales_Data!$H$2:$H$3520,L$14,Sales_Data!$AE$2:$AE$3520,1),SUMIFS(Sales_Data!$M$2:$M$3520,Sales_Data!$C$2:$C$3520,$A34,Sales_Data!$H$2:$H$3520,L$14,Sales_Data!$AE$2:$AE$3520,1),SUMIFS(Sales_Data!$N$2:$N$3520,Sales_Data!$C$2:$C$3520,$A34,Sales_Data!$H$2:$H$3520,L$14,Sales_Data!$AE$2:$AE$3520,1),SUMIFS(Sales_Data!$AE$2:$AE$3520,Sales_Data!$C$2:$C$3520,$A34,Sales_Data!$H$2:$H$3520,L$14))</f>
        <v>4</v>
      </c>
      <c r="M34" s="26" t="n">
        <f aca="false">CHOOSE(MATCH($B$3,Lists!$C$2:$C$5,0),SUMIFS(Sales_Data!$O$2:$O$3520,Sales_Data!$C$2:$C$3520,$A34,Sales_Data!$H$2:$H$3520,M$14,Sales_Data!$AE$2:$AE$3520,1),SUMIFS(Sales_Data!$M$2:$M$3520,Sales_Data!$C$2:$C$3520,$A34,Sales_Data!$H$2:$H$3520,M$14,Sales_Data!$AE$2:$AE$3520,1),SUMIFS(Sales_Data!$N$2:$N$3520,Sales_Data!$C$2:$C$3520,$A34,Sales_Data!$H$2:$H$3520,M$14,Sales_Data!$AE$2:$AE$3520,1),SUMIFS(Sales_Data!$AE$2:$AE$3520,Sales_Data!$C$2:$C$3520,$A34,Sales_Data!$H$2:$H$3520,M$14))</f>
        <v>1</v>
      </c>
      <c r="N34" s="26" t="n">
        <f aca="false">CHOOSE(MATCH($B$3,Lists!$C$2:$C$5,0),SUMIFS(Sales_Data!$O$2:$O$3520,Sales_Data!$C$2:$C$3520,$A34,Sales_Data!$H$2:$H$3520,N$14,Sales_Data!$AE$2:$AE$3520,1),SUMIFS(Sales_Data!$M$2:$M$3520,Sales_Data!$C$2:$C$3520,$A34,Sales_Data!$H$2:$H$3520,N$14,Sales_Data!$AE$2:$AE$3520,1),SUMIFS(Sales_Data!$N$2:$N$3520,Sales_Data!$C$2:$C$3520,$A34,Sales_Data!$H$2:$H$3520,N$14,Sales_Data!$AE$2:$AE$3520,1),SUMIFS(Sales_Data!$AE$2:$AE$3520,Sales_Data!$C$2:$C$3520,$A34,Sales_Data!$H$2:$H$3520,N$14))</f>
        <v>5</v>
      </c>
      <c r="O34" s="26" t="n">
        <f aca="false">CHOOSE(MATCH($B$3,Lists!$C$2:$C$5,0),SUMIFS(Sales_Data!$O$2:$O$3520,Sales_Data!$C$2:$C$3520,$A34,Sales_Data!$H$2:$H$3520,O$14,Sales_Data!$AE$2:$AE$3520,1),SUMIFS(Sales_Data!$M$2:$M$3520,Sales_Data!$C$2:$C$3520,$A34,Sales_Data!$H$2:$H$3520,O$14,Sales_Data!$AE$2:$AE$3520,1),SUMIFS(Sales_Data!$N$2:$N$3520,Sales_Data!$C$2:$C$3520,$A34,Sales_Data!$H$2:$H$3520,O$14,Sales_Data!$AE$2:$AE$3520,1),SUMIFS(Sales_Data!$AE$2:$AE$3520,Sales_Data!$C$2:$C$3520,$A34,Sales_Data!$H$2:$H$3520,O$14))</f>
        <v>0</v>
      </c>
      <c r="P34" s="27" t="n">
        <f aca="false">CHOOSE(MATCH($B$3,Lists!$C$2:$C$5,0),SUMIFS(Sales_Data!$O$2:$O$3520,Sales_Data!$C$2:$C$3520,$A34,Sales_Data!$AE$2:$AE$3520,1),SUMIFS(Sales_Data!$M$2:$M$3520,Sales_Data!$C$2:$C$3520,$A34,Sales_Data!$AE$2:$AE$3520,1),SUMIFS(Sales_Data!$N$2:$N$3520,Sales_Data!$C$2:$C$3520,$A34,Sales_Data!$AE$2:$AE$3520,1),SUMIFS(Sales_Data!$AE$2:$AE$3520,Sales_Data!$C$2:$C$3520,$A34))</f>
        <v>29</v>
      </c>
      <c r="Q34" s="27" t="n">
        <f aca="false">P34-SUM(B34:O34)</f>
        <v>9</v>
      </c>
      <c r="R34" s="3"/>
      <c r="S34" s="72" t="n">
        <f aca="false">A34</f>
        <v>46244</v>
      </c>
      <c r="T34" s="28" t="n">
        <f aca="false">B34-B33</f>
        <v>0</v>
      </c>
      <c r="U34" s="28" t="n">
        <f aca="false">C34-C33</f>
        <v>0</v>
      </c>
      <c r="V34" s="28" t="n">
        <f aca="false">D34-D33</f>
        <v>2</v>
      </c>
      <c r="W34" s="28" t="n">
        <f aca="false">E34-E33</f>
        <v>0</v>
      </c>
      <c r="X34" s="28" t="n">
        <f aca="false">F34-F33</f>
        <v>2</v>
      </c>
      <c r="Y34" s="28" t="n">
        <f aca="false">G34-G33</f>
        <v>-1</v>
      </c>
      <c r="Z34" s="28" t="n">
        <f aca="false">H34-H33</f>
        <v>0</v>
      </c>
      <c r="AA34" s="28" t="n">
        <f aca="false">I34-I33</f>
        <v>0</v>
      </c>
      <c r="AB34" s="28" t="n">
        <f aca="false">J34-J33</f>
        <v>0</v>
      </c>
      <c r="AC34" s="28" t="n">
        <f aca="false">K34-K33</f>
        <v>0</v>
      </c>
      <c r="AD34" s="28" t="n">
        <f aca="false">L34-L33</f>
        <v>1</v>
      </c>
      <c r="AE34" s="28" t="n">
        <f aca="false">M34-M33</f>
        <v>-3</v>
      </c>
      <c r="AF34" s="28" t="n">
        <f aca="false">N34-N33</f>
        <v>4</v>
      </c>
      <c r="AG34" s="28" t="n">
        <f aca="false">O34-O33</f>
        <v>0</v>
      </c>
      <c r="AH34" s="28" t="n">
        <f aca="false">P34-P33</f>
        <v>7</v>
      </c>
    </row>
    <row r="35" customFormat="false" ht="15" hidden="false" customHeight="false" outlineLevel="0" collapsed="false">
      <c r="A35" s="72" t="n">
        <v>46245</v>
      </c>
      <c r="B35" s="26" t="n">
        <f aca="false">CHOOSE(MATCH($B$3,Lists!$C$2:$C$5,0),SUMIFS(Sales_Data!$O$2:$O$3520,Sales_Data!$C$2:$C$3520,$A35,Sales_Data!$H$2:$H$3520,B$14,Sales_Data!$AE$2:$AE$3520,1),SUMIFS(Sales_Data!$M$2:$M$3520,Sales_Data!$C$2:$C$3520,$A35,Sales_Data!$H$2:$H$3520,B$14,Sales_Data!$AE$2:$AE$3520,1),SUMIFS(Sales_Data!$N$2:$N$3520,Sales_Data!$C$2:$C$3520,$A35,Sales_Data!$H$2:$H$3520,B$14,Sales_Data!$AE$2:$AE$3520,1),SUMIFS(Sales_Data!$AE$2:$AE$3520,Sales_Data!$C$2:$C$3520,$A35,Sales_Data!$H$2:$H$3520,B$14))</f>
        <v>0</v>
      </c>
      <c r="C35" s="26" t="n">
        <f aca="false">CHOOSE(MATCH($B$3,Lists!$C$2:$C$5,0),SUMIFS(Sales_Data!$O$2:$O$3520,Sales_Data!$C$2:$C$3520,$A35,Sales_Data!$H$2:$H$3520,C$14,Sales_Data!$AE$2:$AE$3520,1),SUMIFS(Sales_Data!$M$2:$M$3520,Sales_Data!$C$2:$C$3520,$A35,Sales_Data!$H$2:$H$3520,C$14,Sales_Data!$AE$2:$AE$3520,1),SUMIFS(Sales_Data!$N$2:$N$3520,Sales_Data!$C$2:$C$3520,$A35,Sales_Data!$H$2:$H$3520,C$14,Sales_Data!$AE$2:$AE$3520,1),SUMIFS(Sales_Data!$AE$2:$AE$3520,Sales_Data!$C$2:$C$3520,$A35,Sales_Data!$H$2:$H$3520,C$14))</f>
        <v>0</v>
      </c>
      <c r="D35" s="26" t="n">
        <f aca="false">CHOOSE(MATCH($B$3,Lists!$C$2:$C$5,0),SUMIFS(Sales_Data!$O$2:$O$3520,Sales_Data!$C$2:$C$3520,$A35,Sales_Data!$H$2:$H$3520,D$14,Sales_Data!$AE$2:$AE$3520,1),SUMIFS(Sales_Data!$M$2:$M$3520,Sales_Data!$C$2:$C$3520,$A35,Sales_Data!$H$2:$H$3520,D$14,Sales_Data!$AE$2:$AE$3520,1),SUMIFS(Sales_Data!$N$2:$N$3520,Sales_Data!$C$2:$C$3520,$A35,Sales_Data!$H$2:$H$3520,D$14,Sales_Data!$AE$2:$AE$3520,1),SUMIFS(Sales_Data!$AE$2:$AE$3520,Sales_Data!$C$2:$C$3520,$A35,Sales_Data!$H$2:$H$3520,D$14))</f>
        <v>2</v>
      </c>
      <c r="E35" s="26" t="n">
        <f aca="false">CHOOSE(MATCH($B$3,Lists!$C$2:$C$5,0),SUMIFS(Sales_Data!$O$2:$O$3520,Sales_Data!$C$2:$C$3520,$A35,Sales_Data!$H$2:$H$3520,E$14,Sales_Data!$AE$2:$AE$3520,1),SUMIFS(Sales_Data!$M$2:$M$3520,Sales_Data!$C$2:$C$3520,$A35,Sales_Data!$H$2:$H$3520,E$14,Sales_Data!$AE$2:$AE$3520,1),SUMIFS(Sales_Data!$N$2:$N$3520,Sales_Data!$C$2:$C$3520,$A35,Sales_Data!$H$2:$H$3520,E$14,Sales_Data!$AE$2:$AE$3520,1),SUMIFS(Sales_Data!$AE$2:$AE$3520,Sales_Data!$C$2:$C$3520,$A35,Sales_Data!$H$2:$H$3520,E$14))</f>
        <v>0</v>
      </c>
      <c r="F35" s="26" t="n">
        <f aca="false">CHOOSE(MATCH($B$3,Lists!$C$2:$C$5,0),SUMIFS(Sales_Data!$O$2:$O$3520,Sales_Data!$C$2:$C$3520,$A35,Sales_Data!$H$2:$H$3520,F$14,Sales_Data!$AE$2:$AE$3520,1),SUMIFS(Sales_Data!$M$2:$M$3520,Sales_Data!$C$2:$C$3520,$A35,Sales_Data!$H$2:$H$3520,F$14,Sales_Data!$AE$2:$AE$3520,1),SUMIFS(Sales_Data!$N$2:$N$3520,Sales_Data!$C$2:$C$3520,$A35,Sales_Data!$H$2:$H$3520,F$14,Sales_Data!$AE$2:$AE$3520,1),SUMIFS(Sales_Data!$AE$2:$AE$3520,Sales_Data!$C$2:$C$3520,$A35,Sales_Data!$H$2:$H$3520,F$14))</f>
        <v>1</v>
      </c>
      <c r="G35" s="26" t="n">
        <f aca="false">CHOOSE(MATCH($B$3,Lists!$C$2:$C$5,0),SUMIFS(Sales_Data!$O$2:$O$3520,Sales_Data!$C$2:$C$3520,$A35,Sales_Data!$H$2:$H$3520,G$14,Sales_Data!$AE$2:$AE$3520,1),SUMIFS(Sales_Data!$M$2:$M$3520,Sales_Data!$C$2:$C$3520,$A35,Sales_Data!$H$2:$H$3520,G$14,Sales_Data!$AE$2:$AE$3520,1),SUMIFS(Sales_Data!$N$2:$N$3520,Sales_Data!$C$2:$C$3520,$A35,Sales_Data!$H$2:$H$3520,G$14,Sales_Data!$AE$2:$AE$3520,1),SUMIFS(Sales_Data!$AE$2:$AE$3520,Sales_Data!$C$2:$C$3520,$A35,Sales_Data!$H$2:$H$3520,G$14))</f>
        <v>0</v>
      </c>
      <c r="H35" s="26" t="n">
        <f aca="false">CHOOSE(MATCH($B$3,Lists!$C$2:$C$5,0),SUMIFS(Sales_Data!$O$2:$O$3520,Sales_Data!$C$2:$C$3520,$A35,Sales_Data!$H$2:$H$3520,H$14,Sales_Data!$AE$2:$AE$3520,1),SUMIFS(Sales_Data!$M$2:$M$3520,Sales_Data!$C$2:$C$3520,$A35,Sales_Data!$H$2:$H$3520,H$14,Sales_Data!$AE$2:$AE$3520,1),SUMIFS(Sales_Data!$N$2:$N$3520,Sales_Data!$C$2:$C$3520,$A35,Sales_Data!$H$2:$H$3520,H$14,Sales_Data!$AE$2:$AE$3520,1),SUMIFS(Sales_Data!$AE$2:$AE$3520,Sales_Data!$C$2:$C$3520,$A35,Sales_Data!$H$2:$H$3520,H$14))</f>
        <v>0</v>
      </c>
      <c r="I35" s="26" t="n">
        <f aca="false">CHOOSE(MATCH($B$3,Lists!$C$2:$C$5,0),SUMIFS(Sales_Data!$O$2:$O$3520,Sales_Data!$C$2:$C$3520,$A35,Sales_Data!$H$2:$H$3520,I$14,Sales_Data!$AE$2:$AE$3520,1),SUMIFS(Sales_Data!$M$2:$M$3520,Sales_Data!$C$2:$C$3520,$A35,Sales_Data!$H$2:$H$3520,I$14,Sales_Data!$AE$2:$AE$3520,1),SUMIFS(Sales_Data!$N$2:$N$3520,Sales_Data!$C$2:$C$3520,$A35,Sales_Data!$H$2:$H$3520,I$14,Sales_Data!$AE$2:$AE$3520,1),SUMIFS(Sales_Data!$AE$2:$AE$3520,Sales_Data!$C$2:$C$3520,$A35,Sales_Data!$H$2:$H$3520,I$14))</f>
        <v>0</v>
      </c>
      <c r="J35" s="26" t="n">
        <f aca="false">CHOOSE(MATCH($B$3,Lists!$C$2:$C$5,0),SUMIFS(Sales_Data!$O$2:$O$3520,Sales_Data!$C$2:$C$3520,$A35,Sales_Data!$H$2:$H$3520,J$14,Sales_Data!$AE$2:$AE$3520,1),SUMIFS(Sales_Data!$M$2:$M$3520,Sales_Data!$C$2:$C$3520,$A35,Sales_Data!$H$2:$H$3520,J$14,Sales_Data!$AE$2:$AE$3520,1),SUMIFS(Sales_Data!$N$2:$N$3520,Sales_Data!$C$2:$C$3520,$A35,Sales_Data!$H$2:$H$3520,J$14,Sales_Data!$AE$2:$AE$3520,1),SUMIFS(Sales_Data!$AE$2:$AE$3520,Sales_Data!$C$2:$C$3520,$A35,Sales_Data!$H$2:$H$3520,J$14))</f>
        <v>0</v>
      </c>
      <c r="K35" s="26" t="n">
        <f aca="false">CHOOSE(MATCH($B$3,Lists!$C$2:$C$5,0),SUMIFS(Sales_Data!$O$2:$O$3520,Sales_Data!$C$2:$C$3520,$A35,Sales_Data!$H$2:$H$3520,K$14,Sales_Data!$AE$2:$AE$3520,1),SUMIFS(Sales_Data!$M$2:$M$3520,Sales_Data!$C$2:$C$3520,$A35,Sales_Data!$H$2:$H$3520,K$14,Sales_Data!$AE$2:$AE$3520,1),SUMIFS(Sales_Data!$N$2:$N$3520,Sales_Data!$C$2:$C$3520,$A35,Sales_Data!$H$2:$H$3520,K$14,Sales_Data!$AE$2:$AE$3520,1),SUMIFS(Sales_Data!$AE$2:$AE$3520,Sales_Data!$C$2:$C$3520,$A35,Sales_Data!$H$2:$H$3520,K$14))</f>
        <v>0</v>
      </c>
      <c r="L35" s="26" t="n">
        <f aca="false">CHOOSE(MATCH($B$3,Lists!$C$2:$C$5,0),SUMIFS(Sales_Data!$O$2:$O$3520,Sales_Data!$C$2:$C$3520,$A35,Sales_Data!$H$2:$H$3520,L$14,Sales_Data!$AE$2:$AE$3520,1),SUMIFS(Sales_Data!$M$2:$M$3520,Sales_Data!$C$2:$C$3520,$A35,Sales_Data!$H$2:$H$3520,L$14,Sales_Data!$AE$2:$AE$3520,1),SUMIFS(Sales_Data!$N$2:$N$3520,Sales_Data!$C$2:$C$3520,$A35,Sales_Data!$H$2:$H$3520,L$14,Sales_Data!$AE$2:$AE$3520,1),SUMIFS(Sales_Data!$AE$2:$AE$3520,Sales_Data!$C$2:$C$3520,$A35,Sales_Data!$H$2:$H$3520,L$14))</f>
        <v>4</v>
      </c>
      <c r="M35" s="26" t="n">
        <f aca="false">CHOOSE(MATCH($B$3,Lists!$C$2:$C$5,0),SUMIFS(Sales_Data!$O$2:$O$3520,Sales_Data!$C$2:$C$3520,$A35,Sales_Data!$H$2:$H$3520,M$14,Sales_Data!$AE$2:$AE$3520,1),SUMIFS(Sales_Data!$M$2:$M$3520,Sales_Data!$C$2:$C$3520,$A35,Sales_Data!$H$2:$H$3520,M$14,Sales_Data!$AE$2:$AE$3520,1),SUMIFS(Sales_Data!$N$2:$N$3520,Sales_Data!$C$2:$C$3520,$A35,Sales_Data!$H$2:$H$3520,M$14,Sales_Data!$AE$2:$AE$3520,1),SUMIFS(Sales_Data!$AE$2:$AE$3520,Sales_Data!$C$2:$C$3520,$A35,Sales_Data!$H$2:$H$3520,M$14))</f>
        <v>5</v>
      </c>
      <c r="N35" s="26" t="n">
        <f aca="false">CHOOSE(MATCH($B$3,Lists!$C$2:$C$5,0),SUMIFS(Sales_Data!$O$2:$O$3520,Sales_Data!$C$2:$C$3520,$A35,Sales_Data!$H$2:$H$3520,N$14,Sales_Data!$AE$2:$AE$3520,1),SUMIFS(Sales_Data!$M$2:$M$3520,Sales_Data!$C$2:$C$3520,$A35,Sales_Data!$H$2:$H$3520,N$14,Sales_Data!$AE$2:$AE$3520,1),SUMIFS(Sales_Data!$N$2:$N$3520,Sales_Data!$C$2:$C$3520,$A35,Sales_Data!$H$2:$H$3520,N$14,Sales_Data!$AE$2:$AE$3520,1),SUMIFS(Sales_Data!$AE$2:$AE$3520,Sales_Data!$C$2:$C$3520,$A35,Sales_Data!$H$2:$H$3520,N$14))</f>
        <v>0</v>
      </c>
      <c r="O35" s="26" t="n">
        <f aca="false">CHOOSE(MATCH($B$3,Lists!$C$2:$C$5,0),SUMIFS(Sales_Data!$O$2:$O$3520,Sales_Data!$C$2:$C$3520,$A35,Sales_Data!$H$2:$H$3520,O$14,Sales_Data!$AE$2:$AE$3520,1),SUMIFS(Sales_Data!$M$2:$M$3520,Sales_Data!$C$2:$C$3520,$A35,Sales_Data!$H$2:$H$3520,O$14,Sales_Data!$AE$2:$AE$3520,1),SUMIFS(Sales_Data!$N$2:$N$3520,Sales_Data!$C$2:$C$3520,$A35,Sales_Data!$H$2:$H$3520,O$14,Sales_Data!$AE$2:$AE$3520,1),SUMIFS(Sales_Data!$AE$2:$AE$3520,Sales_Data!$C$2:$C$3520,$A35,Sales_Data!$H$2:$H$3520,O$14))</f>
        <v>0</v>
      </c>
      <c r="P35" s="27" t="n">
        <f aca="false">CHOOSE(MATCH($B$3,Lists!$C$2:$C$5,0),SUMIFS(Sales_Data!$O$2:$O$3520,Sales_Data!$C$2:$C$3520,$A35,Sales_Data!$AE$2:$AE$3520,1),SUMIFS(Sales_Data!$M$2:$M$3520,Sales_Data!$C$2:$C$3520,$A35,Sales_Data!$AE$2:$AE$3520,1),SUMIFS(Sales_Data!$N$2:$N$3520,Sales_Data!$C$2:$C$3520,$A35,Sales_Data!$AE$2:$AE$3520,1),SUMIFS(Sales_Data!$AE$2:$AE$3520,Sales_Data!$C$2:$C$3520,$A35))</f>
        <v>16</v>
      </c>
      <c r="Q35" s="27" t="n">
        <f aca="false">P35-SUM(B35:O35)</f>
        <v>4</v>
      </c>
      <c r="R35" s="3"/>
      <c r="S35" s="72" t="n">
        <f aca="false">A35</f>
        <v>46245</v>
      </c>
      <c r="T35" s="28" t="n">
        <f aca="false">B35-B34</f>
        <v>0</v>
      </c>
      <c r="U35" s="28" t="n">
        <f aca="false">C35-C34</f>
        <v>0</v>
      </c>
      <c r="V35" s="28" t="n">
        <f aca="false">D35-D34</f>
        <v>-2</v>
      </c>
      <c r="W35" s="28" t="n">
        <f aca="false">E35-E34</f>
        <v>0</v>
      </c>
      <c r="X35" s="28" t="n">
        <f aca="false">F35-F34</f>
        <v>-5</v>
      </c>
      <c r="Y35" s="28" t="n">
        <f aca="false">G35-G34</f>
        <v>0</v>
      </c>
      <c r="Z35" s="28" t="n">
        <f aca="false">H35-H34</f>
        <v>0</v>
      </c>
      <c r="AA35" s="28" t="n">
        <f aca="false">I35-I34</f>
        <v>0</v>
      </c>
      <c r="AB35" s="28" t="n">
        <f aca="false">J35-J34</f>
        <v>0</v>
      </c>
      <c r="AC35" s="28" t="n">
        <f aca="false">K35-K34</f>
        <v>0</v>
      </c>
      <c r="AD35" s="28" t="n">
        <f aca="false">L35-L34</f>
        <v>0</v>
      </c>
      <c r="AE35" s="28" t="n">
        <f aca="false">M35-M34</f>
        <v>4</v>
      </c>
      <c r="AF35" s="28" t="n">
        <f aca="false">N35-N34</f>
        <v>-5</v>
      </c>
      <c r="AG35" s="28" t="n">
        <f aca="false">O35-O34</f>
        <v>0</v>
      </c>
      <c r="AH35" s="28" t="n">
        <f aca="false">P35-P34</f>
        <v>-13</v>
      </c>
    </row>
    <row r="36" customFormat="false" ht="15" hidden="false" customHeight="false" outlineLevel="0" collapsed="false">
      <c r="A36" s="72" t="n">
        <v>46246</v>
      </c>
      <c r="B36" s="26" t="n">
        <f aca="false">CHOOSE(MATCH($B$3,Lists!$C$2:$C$5,0),SUMIFS(Sales_Data!$O$2:$O$3520,Sales_Data!$C$2:$C$3520,$A36,Sales_Data!$H$2:$H$3520,B$14,Sales_Data!$AE$2:$AE$3520,1),SUMIFS(Sales_Data!$M$2:$M$3520,Sales_Data!$C$2:$C$3520,$A36,Sales_Data!$H$2:$H$3520,B$14,Sales_Data!$AE$2:$AE$3520,1),SUMIFS(Sales_Data!$N$2:$N$3520,Sales_Data!$C$2:$C$3520,$A36,Sales_Data!$H$2:$H$3520,B$14,Sales_Data!$AE$2:$AE$3520,1),SUMIFS(Sales_Data!$AE$2:$AE$3520,Sales_Data!$C$2:$C$3520,$A36,Sales_Data!$H$2:$H$3520,B$14))</f>
        <v>0</v>
      </c>
      <c r="C36" s="26" t="n">
        <f aca="false">CHOOSE(MATCH($B$3,Lists!$C$2:$C$5,0),SUMIFS(Sales_Data!$O$2:$O$3520,Sales_Data!$C$2:$C$3520,$A36,Sales_Data!$H$2:$H$3520,C$14,Sales_Data!$AE$2:$AE$3520,1),SUMIFS(Sales_Data!$M$2:$M$3520,Sales_Data!$C$2:$C$3520,$A36,Sales_Data!$H$2:$H$3520,C$14,Sales_Data!$AE$2:$AE$3520,1),SUMIFS(Sales_Data!$N$2:$N$3520,Sales_Data!$C$2:$C$3520,$A36,Sales_Data!$H$2:$H$3520,C$14,Sales_Data!$AE$2:$AE$3520,1),SUMIFS(Sales_Data!$AE$2:$AE$3520,Sales_Data!$C$2:$C$3520,$A36,Sales_Data!$H$2:$H$3520,C$14))</f>
        <v>0</v>
      </c>
      <c r="D36" s="26" t="n">
        <f aca="false">CHOOSE(MATCH($B$3,Lists!$C$2:$C$5,0),SUMIFS(Sales_Data!$O$2:$O$3520,Sales_Data!$C$2:$C$3520,$A36,Sales_Data!$H$2:$H$3520,D$14,Sales_Data!$AE$2:$AE$3520,1),SUMIFS(Sales_Data!$M$2:$M$3520,Sales_Data!$C$2:$C$3520,$A36,Sales_Data!$H$2:$H$3520,D$14,Sales_Data!$AE$2:$AE$3520,1),SUMIFS(Sales_Data!$N$2:$N$3520,Sales_Data!$C$2:$C$3520,$A36,Sales_Data!$H$2:$H$3520,D$14,Sales_Data!$AE$2:$AE$3520,1),SUMIFS(Sales_Data!$AE$2:$AE$3520,Sales_Data!$C$2:$C$3520,$A36,Sales_Data!$H$2:$H$3520,D$14))</f>
        <v>1</v>
      </c>
      <c r="E36" s="26" t="n">
        <f aca="false">CHOOSE(MATCH($B$3,Lists!$C$2:$C$5,0),SUMIFS(Sales_Data!$O$2:$O$3520,Sales_Data!$C$2:$C$3520,$A36,Sales_Data!$H$2:$H$3520,E$14,Sales_Data!$AE$2:$AE$3520,1),SUMIFS(Sales_Data!$M$2:$M$3520,Sales_Data!$C$2:$C$3520,$A36,Sales_Data!$H$2:$H$3520,E$14,Sales_Data!$AE$2:$AE$3520,1),SUMIFS(Sales_Data!$N$2:$N$3520,Sales_Data!$C$2:$C$3520,$A36,Sales_Data!$H$2:$H$3520,E$14,Sales_Data!$AE$2:$AE$3520,1),SUMIFS(Sales_Data!$AE$2:$AE$3520,Sales_Data!$C$2:$C$3520,$A36,Sales_Data!$H$2:$H$3520,E$14))</f>
        <v>0</v>
      </c>
      <c r="F36" s="26" t="n">
        <f aca="false">CHOOSE(MATCH($B$3,Lists!$C$2:$C$5,0),SUMIFS(Sales_Data!$O$2:$O$3520,Sales_Data!$C$2:$C$3520,$A36,Sales_Data!$H$2:$H$3520,F$14,Sales_Data!$AE$2:$AE$3520,1),SUMIFS(Sales_Data!$M$2:$M$3520,Sales_Data!$C$2:$C$3520,$A36,Sales_Data!$H$2:$H$3520,F$14,Sales_Data!$AE$2:$AE$3520,1),SUMIFS(Sales_Data!$N$2:$N$3520,Sales_Data!$C$2:$C$3520,$A36,Sales_Data!$H$2:$H$3520,F$14,Sales_Data!$AE$2:$AE$3520,1),SUMIFS(Sales_Data!$AE$2:$AE$3520,Sales_Data!$C$2:$C$3520,$A36,Sales_Data!$H$2:$H$3520,F$14))</f>
        <v>6</v>
      </c>
      <c r="G36" s="26" t="n">
        <f aca="false">CHOOSE(MATCH($B$3,Lists!$C$2:$C$5,0),SUMIFS(Sales_Data!$O$2:$O$3520,Sales_Data!$C$2:$C$3520,$A36,Sales_Data!$H$2:$H$3520,G$14,Sales_Data!$AE$2:$AE$3520,1),SUMIFS(Sales_Data!$M$2:$M$3520,Sales_Data!$C$2:$C$3520,$A36,Sales_Data!$H$2:$H$3520,G$14,Sales_Data!$AE$2:$AE$3520,1),SUMIFS(Sales_Data!$N$2:$N$3520,Sales_Data!$C$2:$C$3520,$A36,Sales_Data!$H$2:$H$3520,G$14,Sales_Data!$AE$2:$AE$3520,1),SUMIFS(Sales_Data!$AE$2:$AE$3520,Sales_Data!$C$2:$C$3520,$A36,Sales_Data!$H$2:$H$3520,G$14))</f>
        <v>0</v>
      </c>
      <c r="H36" s="26" t="n">
        <f aca="false">CHOOSE(MATCH($B$3,Lists!$C$2:$C$5,0),SUMIFS(Sales_Data!$O$2:$O$3520,Sales_Data!$C$2:$C$3520,$A36,Sales_Data!$H$2:$H$3520,H$14,Sales_Data!$AE$2:$AE$3520,1),SUMIFS(Sales_Data!$M$2:$M$3520,Sales_Data!$C$2:$C$3520,$A36,Sales_Data!$H$2:$H$3520,H$14,Sales_Data!$AE$2:$AE$3520,1),SUMIFS(Sales_Data!$N$2:$N$3520,Sales_Data!$C$2:$C$3520,$A36,Sales_Data!$H$2:$H$3520,H$14,Sales_Data!$AE$2:$AE$3520,1),SUMIFS(Sales_Data!$AE$2:$AE$3520,Sales_Data!$C$2:$C$3520,$A36,Sales_Data!$H$2:$H$3520,H$14))</f>
        <v>0</v>
      </c>
      <c r="I36" s="26" t="n">
        <f aca="false">CHOOSE(MATCH($B$3,Lists!$C$2:$C$5,0),SUMIFS(Sales_Data!$O$2:$O$3520,Sales_Data!$C$2:$C$3520,$A36,Sales_Data!$H$2:$H$3520,I$14,Sales_Data!$AE$2:$AE$3520,1),SUMIFS(Sales_Data!$M$2:$M$3520,Sales_Data!$C$2:$C$3520,$A36,Sales_Data!$H$2:$H$3520,I$14,Sales_Data!$AE$2:$AE$3520,1),SUMIFS(Sales_Data!$N$2:$N$3520,Sales_Data!$C$2:$C$3520,$A36,Sales_Data!$H$2:$H$3520,I$14,Sales_Data!$AE$2:$AE$3520,1),SUMIFS(Sales_Data!$AE$2:$AE$3520,Sales_Data!$C$2:$C$3520,$A36,Sales_Data!$H$2:$H$3520,I$14))</f>
        <v>0</v>
      </c>
      <c r="J36" s="26" t="n">
        <f aca="false">CHOOSE(MATCH($B$3,Lists!$C$2:$C$5,0),SUMIFS(Sales_Data!$O$2:$O$3520,Sales_Data!$C$2:$C$3520,$A36,Sales_Data!$H$2:$H$3520,J$14,Sales_Data!$AE$2:$AE$3520,1),SUMIFS(Sales_Data!$M$2:$M$3520,Sales_Data!$C$2:$C$3520,$A36,Sales_Data!$H$2:$H$3520,J$14,Sales_Data!$AE$2:$AE$3520,1),SUMIFS(Sales_Data!$N$2:$N$3520,Sales_Data!$C$2:$C$3520,$A36,Sales_Data!$H$2:$H$3520,J$14,Sales_Data!$AE$2:$AE$3520,1),SUMIFS(Sales_Data!$AE$2:$AE$3520,Sales_Data!$C$2:$C$3520,$A36,Sales_Data!$H$2:$H$3520,J$14))</f>
        <v>0</v>
      </c>
      <c r="K36" s="26" t="n">
        <f aca="false">CHOOSE(MATCH($B$3,Lists!$C$2:$C$5,0),SUMIFS(Sales_Data!$O$2:$O$3520,Sales_Data!$C$2:$C$3520,$A36,Sales_Data!$H$2:$H$3520,K$14,Sales_Data!$AE$2:$AE$3520,1),SUMIFS(Sales_Data!$M$2:$M$3520,Sales_Data!$C$2:$C$3520,$A36,Sales_Data!$H$2:$H$3520,K$14,Sales_Data!$AE$2:$AE$3520,1),SUMIFS(Sales_Data!$N$2:$N$3520,Sales_Data!$C$2:$C$3520,$A36,Sales_Data!$H$2:$H$3520,K$14,Sales_Data!$AE$2:$AE$3520,1),SUMIFS(Sales_Data!$AE$2:$AE$3520,Sales_Data!$C$2:$C$3520,$A36,Sales_Data!$H$2:$H$3520,K$14))</f>
        <v>0</v>
      </c>
      <c r="L36" s="26" t="n">
        <f aca="false">CHOOSE(MATCH($B$3,Lists!$C$2:$C$5,0),SUMIFS(Sales_Data!$O$2:$O$3520,Sales_Data!$C$2:$C$3520,$A36,Sales_Data!$H$2:$H$3520,L$14,Sales_Data!$AE$2:$AE$3520,1),SUMIFS(Sales_Data!$M$2:$M$3520,Sales_Data!$C$2:$C$3520,$A36,Sales_Data!$H$2:$H$3520,L$14,Sales_Data!$AE$2:$AE$3520,1),SUMIFS(Sales_Data!$N$2:$N$3520,Sales_Data!$C$2:$C$3520,$A36,Sales_Data!$H$2:$H$3520,L$14,Sales_Data!$AE$2:$AE$3520,1),SUMIFS(Sales_Data!$AE$2:$AE$3520,Sales_Data!$C$2:$C$3520,$A36,Sales_Data!$H$2:$H$3520,L$14))</f>
        <v>3</v>
      </c>
      <c r="M36" s="26" t="n">
        <f aca="false">CHOOSE(MATCH($B$3,Lists!$C$2:$C$5,0),SUMIFS(Sales_Data!$O$2:$O$3520,Sales_Data!$C$2:$C$3520,$A36,Sales_Data!$H$2:$H$3520,M$14,Sales_Data!$AE$2:$AE$3520,1),SUMIFS(Sales_Data!$M$2:$M$3520,Sales_Data!$C$2:$C$3520,$A36,Sales_Data!$H$2:$H$3520,M$14,Sales_Data!$AE$2:$AE$3520,1),SUMIFS(Sales_Data!$N$2:$N$3520,Sales_Data!$C$2:$C$3520,$A36,Sales_Data!$H$2:$H$3520,M$14,Sales_Data!$AE$2:$AE$3520,1),SUMIFS(Sales_Data!$AE$2:$AE$3520,Sales_Data!$C$2:$C$3520,$A36,Sales_Data!$H$2:$H$3520,M$14))</f>
        <v>9</v>
      </c>
      <c r="N36" s="26" t="n">
        <f aca="false">CHOOSE(MATCH($B$3,Lists!$C$2:$C$5,0),SUMIFS(Sales_Data!$O$2:$O$3520,Sales_Data!$C$2:$C$3520,$A36,Sales_Data!$H$2:$H$3520,N$14,Sales_Data!$AE$2:$AE$3520,1),SUMIFS(Sales_Data!$M$2:$M$3520,Sales_Data!$C$2:$C$3520,$A36,Sales_Data!$H$2:$H$3520,N$14,Sales_Data!$AE$2:$AE$3520,1),SUMIFS(Sales_Data!$N$2:$N$3520,Sales_Data!$C$2:$C$3520,$A36,Sales_Data!$H$2:$H$3520,N$14,Sales_Data!$AE$2:$AE$3520,1),SUMIFS(Sales_Data!$AE$2:$AE$3520,Sales_Data!$C$2:$C$3520,$A36,Sales_Data!$H$2:$H$3520,N$14))</f>
        <v>0</v>
      </c>
      <c r="O36" s="26" t="n">
        <f aca="false">CHOOSE(MATCH($B$3,Lists!$C$2:$C$5,0),SUMIFS(Sales_Data!$O$2:$O$3520,Sales_Data!$C$2:$C$3520,$A36,Sales_Data!$H$2:$H$3520,O$14,Sales_Data!$AE$2:$AE$3520,1),SUMIFS(Sales_Data!$M$2:$M$3520,Sales_Data!$C$2:$C$3520,$A36,Sales_Data!$H$2:$H$3520,O$14,Sales_Data!$AE$2:$AE$3520,1),SUMIFS(Sales_Data!$N$2:$N$3520,Sales_Data!$C$2:$C$3520,$A36,Sales_Data!$H$2:$H$3520,O$14,Sales_Data!$AE$2:$AE$3520,1),SUMIFS(Sales_Data!$AE$2:$AE$3520,Sales_Data!$C$2:$C$3520,$A36,Sales_Data!$H$2:$H$3520,O$14))</f>
        <v>0</v>
      </c>
      <c r="P36" s="27" t="n">
        <f aca="false">CHOOSE(MATCH($B$3,Lists!$C$2:$C$5,0),SUMIFS(Sales_Data!$O$2:$O$3520,Sales_Data!$C$2:$C$3520,$A36,Sales_Data!$AE$2:$AE$3520,1),SUMIFS(Sales_Data!$M$2:$M$3520,Sales_Data!$C$2:$C$3520,$A36,Sales_Data!$AE$2:$AE$3520,1),SUMIFS(Sales_Data!$N$2:$N$3520,Sales_Data!$C$2:$C$3520,$A36,Sales_Data!$AE$2:$AE$3520,1),SUMIFS(Sales_Data!$AE$2:$AE$3520,Sales_Data!$C$2:$C$3520,$A36))</f>
        <v>20</v>
      </c>
      <c r="Q36" s="27" t="n">
        <f aca="false">P36-SUM(B36:O36)</f>
        <v>1</v>
      </c>
      <c r="R36" s="3"/>
      <c r="S36" s="72" t="n">
        <f aca="false">A36</f>
        <v>46246</v>
      </c>
      <c r="T36" s="28" t="n">
        <f aca="false">B36-B35</f>
        <v>0</v>
      </c>
      <c r="U36" s="28" t="n">
        <f aca="false">C36-C35</f>
        <v>0</v>
      </c>
      <c r="V36" s="28" t="n">
        <f aca="false">D36-D35</f>
        <v>-1</v>
      </c>
      <c r="W36" s="28" t="n">
        <f aca="false">E36-E35</f>
        <v>0</v>
      </c>
      <c r="X36" s="28" t="n">
        <f aca="false">F36-F35</f>
        <v>5</v>
      </c>
      <c r="Y36" s="28" t="n">
        <f aca="false">G36-G35</f>
        <v>0</v>
      </c>
      <c r="Z36" s="28" t="n">
        <f aca="false">H36-H35</f>
        <v>0</v>
      </c>
      <c r="AA36" s="28" t="n">
        <f aca="false">I36-I35</f>
        <v>0</v>
      </c>
      <c r="AB36" s="28" t="n">
        <f aca="false">J36-J35</f>
        <v>0</v>
      </c>
      <c r="AC36" s="28" t="n">
        <f aca="false">K36-K35</f>
        <v>0</v>
      </c>
      <c r="AD36" s="28" t="n">
        <f aca="false">L36-L35</f>
        <v>-1</v>
      </c>
      <c r="AE36" s="28" t="n">
        <f aca="false">M36-M35</f>
        <v>4</v>
      </c>
      <c r="AF36" s="28" t="n">
        <f aca="false">N36-N35</f>
        <v>0</v>
      </c>
      <c r="AG36" s="28" t="n">
        <f aca="false">O36-O35</f>
        <v>0</v>
      </c>
      <c r="AH36" s="28" t="n">
        <f aca="false">P36-P35</f>
        <v>4</v>
      </c>
    </row>
    <row r="37" customFormat="false" ht="15" hidden="false" customHeight="false" outlineLevel="0" collapsed="false">
      <c r="A37" s="72" t="n">
        <v>46247</v>
      </c>
      <c r="B37" s="26" t="n">
        <f aca="false">CHOOSE(MATCH($B$3,Lists!$C$2:$C$5,0),SUMIFS(Sales_Data!$O$2:$O$3520,Sales_Data!$C$2:$C$3520,$A37,Sales_Data!$H$2:$H$3520,B$14,Sales_Data!$AE$2:$AE$3520,1),SUMIFS(Sales_Data!$M$2:$M$3520,Sales_Data!$C$2:$C$3520,$A37,Sales_Data!$H$2:$H$3520,B$14,Sales_Data!$AE$2:$AE$3520,1),SUMIFS(Sales_Data!$N$2:$N$3520,Sales_Data!$C$2:$C$3520,$A37,Sales_Data!$H$2:$H$3520,B$14,Sales_Data!$AE$2:$AE$3520,1),SUMIFS(Sales_Data!$AE$2:$AE$3520,Sales_Data!$C$2:$C$3520,$A37,Sales_Data!$H$2:$H$3520,B$14))</f>
        <v>0</v>
      </c>
      <c r="C37" s="26" t="n">
        <f aca="false">CHOOSE(MATCH($B$3,Lists!$C$2:$C$5,0),SUMIFS(Sales_Data!$O$2:$O$3520,Sales_Data!$C$2:$C$3520,$A37,Sales_Data!$H$2:$H$3520,C$14,Sales_Data!$AE$2:$AE$3520,1),SUMIFS(Sales_Data!$M$2:$M$3520,Sales_Data!$C$2:$C$3520,$A37,Sales_Data!$H$2:$H$3520,C$14,Sales_Data!$AE$2:$AE$3520,1),SUMIFS(Sales_Data!$N$2:$N$3520,Sales_Data!$C$2:$C$3520,$A37,Sales_Data!$H$2:$H$3520,C$14,Sales_Data!$AE$2:$AE$3520,1),SUMIFS(Sales_Data!$AE$2:$AE$3520,Sales_Data!$C$2:$C$3520,$A37,Sales_Data!$H$2:$H$3520,C$14))</f>
        <v>0</v>
      </c>
      <c r="D37" s="26" t="n">
        <f aca="false">CHOOSE(MATCH($B$3,Lists!$C$2:$C$5,0),SUMIFS(Sales_Data!$O$2:$O$3520,Sales_Data!$C$2:$C$3520,$A37,Sales_Data!$H$2:$H$3520,D$14,Sales_Data!$AE$2:$AE$3520,1),SUMIFS(Sales_Data!$M$2:$M$3520,Sales_Data!$C$2:$C$3520,$A37,Sales_Data!$H$2:$H$3520,D$14,Sales_Data!$AE$2:$AE$3520,1),SUMIFS(Sales_Data!$N$2:$N$3520,Sales_Data!$C$2:$C$3520,$A37,Sales_Data!$H$2:$H$3520,D$14,Sales_Data!$AE$2:$AE$3520,1),SUMIFS(Sales_Data!$AE$2:$AE$3520,Sales_Data!$C$2:$C$3520,$A37,Sales_Data!$H$2:$H$3520,D$14))</f>
        <v>0</v>
      </c>
      <c r="E37" s="26" t="n">
        <f aca="false">CHOOSE(MATCH($B$3,Lists!$C$2:$C$5,0),SUMIFS(Sales_Data!$O$2:$O$3520,Sales_Data!$C$2:$C$3520,$A37,Sales_Data!$H$2:$H$3520,E$14,Sales_Data!$AE$2:$AE$3520,1),SUMIFS(Sales_Data!$M$2:$M$3520,Sales_Data!$C$2:$C$3520,$A37,Sales_Data!$H$2:$H$3520,E$14,Sales_Data!$AE$2:$AE$3520,1),SUMIFS(Sales_Data!$N$2:$N$3520,Sales_Data!$C$2:$C$3520,$A37,Sales_Data!$H$2:$H$3520,E$14,Sales_Data!$AE$2:$AE$3520,1),SUMIFS(Sales_Data!$AE$2:$AE$3520,Sales_Data!$C$2:$C$3520,$A37,Sales_Data!$H$2:$H$3520,E$14))</f>
        <v>0</v>
      </c>
      <c r="F37" s="26" t="n">
        <f aca="false">CHOOSE(MATCH($B$3,Lists!$C$2:$C$5,0),SUMIFS(Sales_Data!$O$2:$O$3520,Sales_Data!$C$2:$C$3520,$A37,Sales_Data!$H$2:$H$3520,F$14,Sales_Data!$AE$2:$AE$3520,1),SUMIFS(Sales_Data!$M$2:$M$3520,Sales_Data!$C$2:$C$3520,$A37,Sales_Data!$H$2:$H$3520,F$14,Sales_Data!$AE$2:$AE$3520,1),SUMIFS(Sales_Data!$N$2:$N$3520,Sales_Data!$C$2:$C$3520,$A37,Sales_Data!$H$2:$H$3520,F$14,Sales_Data!$AE$2:$AE$3520,1),SUMIFS(Sales_Data!$AE$2:$AE$3520,Sales_Data!$C$2:$C$3520,$A37,Sales_Data!$H$2:$H$3520,F$14))</f>
        <v>13</v>
      </c>
      <c r="G37" s="26" t="n">
        <f aca="false">CHOOSE(MATCH($B$3,Lists!$C$2:$C$5,0),SUMIFS(Sales_Data!$O$2:$O$3520,Sales_Data!$C$2:$C$3520,$A37,Sales_Data!$H$2:$H$3520,G$14,Sales_Data!$AE$2:$AE$3520,1),SUMIFS(Sales_Data!$M$2:$M$3520,Sales_Data!$C$2:$C$3520,$A37,Sales_Data!$H$2:$H$3520,G$14,Sales_Data!$AE$2:$AE$3520,1),SUMIFS(Sales_Data!$N$2:$N$3520,Sales_Data!$C$2:$C$3520,$A37,Sales_Data!$H$2:$H$3520,G$14,Sales_Data!$AE$2:$AE$3520,1),SUMIFS(Sales_Data!$AE$2:$AE$3520,Sales_Data!$C$2:$C$3520,$A37,Sales_Data!$H$2:$H$3520,G$14))</f>
        <v>0</v>
      </c>
      <c r="H37" s="26" t="n">
        <f aca="false">CHOOSE(MATCH($B$3,Lists!$C$2:$C$5,0),SUMIFS(Sales_Data!$O$2:$O$3520,Sales_Data!$C$2:$C$3520,$A37,Sales_Data!$H$2:$H$3520,H$14,Sales_Data!$AE$2:$AE$3520,1),SUMIFS(Sales_Data!$M$2:$M$3520,Sales_Data!$C$2:$C$3520,$A37,Sales_Data!$H$2:$H$3520,H$14,Sales_Data!$AE$2:$AE$3520,1),SUMIFS(Sales_Data!$N$2:$N$3520,Sales_Data!$C$2:$C$3520,$A37,Sales_Data!$H$2:$H$3520,H$14,Sales_Data!$AE$2:$AE$3520,1),SUMIFS(Sales_Data!$AE$2:$AE$3520,Sales_Data!$C$2:$C$3520,$A37,Sales_Data!$H$2:$H$3520,H$14))</f>
        <v>0</v>
      </c>
      <c r="I37" s="26" t="n">
        <f aca="false">CHOOSE(MATCH($B$3,Lists!$C$2:$C$5,0),SUMIFS(Sales_Data!$O$2:$O$3520,Sales_Data!$C$2:$C$3520,$A37,Sales_Data!$H$2:$H$3520,I$14,Sales_Data!$AE$2:$AE$3520,1),SUMIFS(Sales_Data!$M$2:$M$3520,Sales_Data!$C$2:$C$3520,$A37,Sales_Data!$H$2:$H$3520,I$14,Sales_Data!$AE$2:$AE$3520,1),SUMIFS(Sales_Data!$N$2:$N$3520,Sales_Data!$C$2:$C$3520,$A37,Sales_Data!$H$2:$H$3520,I$14,Sales_Data!$AE$2:$AE$3520,1),SUMIFS(Sales_Data!$AE$2:$AE$3520,Sales_Data!$C$2:$C$3520,$A37,Sales_Data!$H$2:$H$3520,I$14))</f>
        <v>0</v>
      </c>
      <c r="J37" s="26" t="n">
        <f aca="false">CHOOSE(MATCH($B$3,Lists!$C$2:$C$5,0),SUMIFS(Sales_Data!$O$2:$O$3520,Sales_Data!$C$2:$C$3520,$A37,Sales_Data!$H$2:$H$3520,J$14,Sales_Data!$AE$2:$AE$3520,1),SUMIFS(Sales_Data!$M$2:$M$3520,Sales_Data!$C$2:$C$3520,$A37,Sales_Data!$H$2:$H$3520,J$14,Sales_Data!$AE$2:$AE$3520,1),SUMIFS(Sales_Data!$N$2:$N$3520,Sales_Data!$C$2:$C$3520,$A37,Sales_Data!$H$2:$H$3520,J$14,Sales_Data!$AE$2:$AE$3520,1),SUMIFS(Sales_Data!$AE$2:$AE$3520,Sales_Data!$C$2:$C$3520,$A37,Sales_Data!$H$2:$H$3520,J$14))</f>
        <v>0</v>
      </c>
      <c r="K37" s="26" t="n">
        <f aca="false">CHOOSE(MATCH($B$3,Lists!$C$2:$C$5,0),SUMIFS(Sales_Data!$O$2:$O$3520,Sales_Data!$C$2:$C$3520,$A37,Sales_Data!$H$2:$H$3520,K$14,Sales_Data!$AE$2:$AE$3520,1),SUMIFS(Sales_Data!$M$2:$M$3520,Sales_Data!$C$2:$C$3520,$A37,Sales_Data!$H$2:$H$3520,K$14,Sales_Data!$AE$2:$AE$3520,1),SUMIFS(Sales_Data!$N$2:$N$3520,Sales_Data!$C$2:$C$3520,$A37,Sales_Data!$H$2:$H$3520,K$14,Sales_Data!$AE$2:$AE$3520,1),SUMIFS(Sales_Data!$AE$2:$AE$3520,Sales_Data!$C$2:$C$3520,$A37,Sales_Data!$H$2:$H$3520,K$14))</f>
        <v>0</v>
      </c>
      <c r="L37" s="26" t="n">
        <f aca="false">CHOOSE(MATCH($B$3,Lists!$C$2:$C$5,0),SUMIFS(Sales_Data!$O$2:$O$3520,Sales_Data!$C$2:$C$3520,$A37,Sales_Data!$H$2:$H$3520,L$14,Sales_Data!$AE$2:$AE$3520,1),SUMIFS(Sales_Data!$M$2:$M$3520,Sales_Data!$C$2:$C$3520,$A37,Sales_Data!$H$2:$H$3520,L$14,Sales_Data!$AE$2:$AE$3520,1),SUMIFS(Sales_Data!$N$2:$N$3520,Sales_Data!$C$2:$C$3520,$A37,Sales_Data!$H$2:$H$3520,L$14,Sales_Data!$AE$2:$AE$3520,1),SUMIFS(Sales_Data!$AE$2:$AE$3520,Sales_Data!$C$2:$C$3520,$A37,Sales_Data!$H$2:$H$3520,L$14))</f>
        <v>3</v>
      </c>
      <c r="M37" s="26" t="n">
        <f aca="false">CHOOSE(MATCH($B$3,Lists!$C$2:$C$5,0),SUMIFS(Sales_Data!$O$2:$O$3520,Sales_Data!$C$2:$C$3520,$A37,Sales_Data!$H$2:$H$3520,M$14,Sales_Data!$AE$2:$AE$3520,1),SUMIFS(Sales_Data!$M$2:$M$3520,Sales_Data!$C$2:$C$3520,$A37,Sales_Data!$H$2:$H$3520,M$14,Sales_Data!$AE$2:$AE$3520,1),SUMIFS(Sales_Data!$N$2:$N$3520,Sales_Data!$C$2:$C$3520,$A37,Sales_Data!$H$2:$H$3520,M$14,Sales_Data!$AE$2:$AE$3520,1),SUMIFS(Sales_Data!$AE$2:$AE$3520,Sales_Data!$C$2:$C$3520,$A37,Sales_Data!$H$2:$H$3520,M$14))</f>
        <v>0</v>
      </c>
      <c r="N37" s="26" t="n">
        <f aca="false">CHOOSE(MATCH($B$3,Lists!$C$2:$C$5,0),SUMIFS(Sales_Data!$O$2:$O$3520,Sales_Data!$C$2:$C$3520,$A37,Sales_Data!$H$2:$H$3520,N$14,Sales_Data!$AE$2:$AE$3520,1),SUMIFS(Sales_Data!$M$2:$M$3520,Sales_Data!$C$2:$C$3520,$A37,Sales_Data!$H$2:$H$3520,N$14,Sales_Data!$AE$2:$AE$3520,1),SUMIFS(Sales_Data!$N$2:$N$3520,Sales_Data!$C$2:$C$3520,$A37,Sales_Data!$H$2:$H$3520,N$14,Sales_Data!$AE$2:$AE$3520,1),SUMIFS(Sales_Data!$AE$2:$AE$3520,Sales_Data!$C$2:$C$3520,$A37,Sales_Data!$H$2:$H$3520,N$14))</f>
        <v>3</v>
      </c>
      <c r="O37" s="26" t="n">
        <f aca="false">CHOOSE(MATCH($B$3,Lists!$C$2:$C$5,0),SUMIFS(Sales_Data!$O$2:$O$3520,Sales_Data!$C$2:$C$3520,$A37,Sales_Data!$H$2:$H$3520,O$14,Sales_Data!$AE$2:$AE$3520,1),SUMIFS(Sales_Data!$M$2:$M$3520,Sales_Data!$C$2:$C$3520,$A37,Sales_Data!$H$2:$H$3520,O$14,Sales_Data!$AE$2:$AE$3520,1),SUMIFS(Sales_Data!$N$2:$N$3520,Sales_Data!$C$2:$C$3520,$A37,Sales_Data!$H$2:$H$3520,O$14,Sales_Data!$AE$2:$AE$3520,1),SUMIFS(Sales_Data!$AE$2:$AE$3520,Sales_Data!$C$2:$C$3520,$A37,Sales_Data!$H$2:$H$3520,O$14))</f>
        <v>0</v>
      </c>
      <c r="P37" s="27" t="n">
        <f aca="false">CHOOSE(MATCH($B$3,Lists!$C$2:$C$5,0),SUMIFS(Sales_Data!$O$2:$O$3520,Sales_Data!$C$2:$C$3520,$A37,Sales_Data!$AE$2:$AE$3520,1),SUMIFS(Sales_Data!$M$2:$M$3520,Sales_Data!$C$2:$C$3520,$A37,Sales_Data!$AE$2:$AE$3520,1),SUMIFS(Sales_Data!$N$2:$N$3520,Sales_Data!$C$2:$C$3520,$A37,Sales_Data!$AE$2:$AE$3520,1),SUMIFS(Sales_Data!$AE$2:$AE$3520,Sales_Data!$C$2:$C$3520,$A37))</f>
        <v>27</v>
      </c>
      <c r="Q37" s="27" t="n">
        <f aca="false">P37-SUM(B37:O37)</f>
        <v>8</v>
      </c>
      <c r="R37" s="3"/>
      <c r="S37" s="72" t="n">
        <f aca="false">A37</f>
        <v>46247</v>
      </c>
      <c r="T37" s="28" t="n">
        <f aca="false">B37-B36</f>
        <v>0</v>
      </c>
      <c r="U37" s="28" t="n">
        <f aca="false">C37-C36</f>
        <v>0</v>
      </c>
      <c r="V37" s="28" t="n">
        <f aca="false">D37-D36</f>
        <v>-1</v>
      </c>
      <c r="W37" s="28" t="n">
        <f aca="false">E37-E36</f>
        <v>0</v>
      </c>
      <c r="X37" s="28" t="n">
        <f aca="false">F37-F36</f>
        <v>7</v>
      </c>
      <c r="Y37" s="28" t="n">
        <f aca="false">G37-G36</f>
        <v>0</v>
      </c>
      <c r="Z37" s="28" t="n">
        <f aca="false">H37-H36</f>
        <v>0</v>
      </c>
      <c r="AA37" s="28" t="n">
        <f aca="false">I37-I36</f>
        <v>0</v>
      </c>
      <c r="AB37" s="28" t="n">
        <f aca="false">J37-J36</f>
        <v>0</v>
      </c>
      <c r="AC37" s="28" t="n">
        <f aca="false">K37-K36</f>
        <v>0</v>
      </c>
      <c r="AD37" s="28" t="n">
        <f aca="false">L37-L36</f>
        <v>0</v>
      </c>
      <c r="AE37" s="28" t="n">
        <f aca="false">M37-M36</f>
        <v>-9</v>
      </c>
      <c r="AF37" s="28" t="n">
        <f aca="false">N37-N36</f>
        <v>3</v>
      </c>
      <c r="AG37" s="28" t="n">
        <f aca="false">O37-O36</f>
        <v>0</v>
      </c>
      <c r="AH37" s="28" t="n">
        <f aca="false">P37-P36</f>
        <v>7</v>
      </c>
    </row>
    <row r="38" customFormat="false" ht="15" hidden="false" customHeight="false" outlineLevel="0" collapsed="false">
      <c r="A38" s="72" t="n">
        <v>46248</v>
      </c>
      <c r="B38" s="26" t="n">
        <f aca="false">CHOOSE(MATCH($B$3,Lists!$C$2:$C$5,0),SUMIFS(Sales_Data!$O$2:$O$3520,Sales_Data!$C$2:$C$3520,$A38,Sales_Data!$H$2:$H$3520,B$14,Sales_Data!$AE$2:$AE$3520,1),SUMIFS(Sales_Data!$M$2:$M$3520,Sales_Data!$C$2:$C$3520,$A38,Sales_Data!$H$2:$H$3520,B$14,Sales_Data!$AE$2:$AE$3520,1),SUMIFS(Sales_Data!$N$2:$N$3520,Sales_Data!$C$2:$C$3520,$A38,Sales_Data!$H$2:$H$3520,B$14,Sales_Data!$AE$2:$AE$3520,1),SUMIFS(Sales_Data!$AE$2:$AE$3520,Sales_Data!$C$2:$C$3520,$A38,Sales_Data!$H$2:$H$3520,B$14))</f>
        <v>0</v>
      </c>
      <c r="C38" s="26" t="n">
        <f aca="false">CHOOSE(MATCH($B$3,Lists!$C$2:$C$5,0),SUMIFS(Sales_Data!$O$2:$O$3520,Sales_Data!$C$2:$C$3520,$A38,Sales_Data!$H$2:$H$3520,C$14,Sales_Data!$AE$2:$AE$3520,1),SUMIFS(Sales_Data!$M$2:$M$3520,Sales_Data!$C$2:$C$3520,$A38,Sales_Data!$H$2:$H$3520,C$14,Sales_Data!$AE$2:$AE$3520,1),SUMIFS(Sales_Data!$N$2:$N$3520,Sales_Data!$C$2:$C$3520,$A38,Sales_Data!$H$2:$H$3520,C$14,Sales_Data!$AE$2:$AE$3520,1),SUMIFS(Sales_Data!$AE$2:$AE$3520,Sales_Data!$C$2:$C$3520,$A38,Sales_Data!$H$2:$H$3520,C$14))</f>
        <v>0</v>
      </c>
      <c r="D38" s="26" t="n">
        <f aca="false">CHOOSE(MATCH($B$3,Lists!$C$2:$C$5,0),SUMIFS(Sales_Data!$O$2:$O$3520,Sales_Data!$C$2:$C$3520,$A38,Sales_Data!$H$2:$H$3520,D$14,Sales_Data!$AE$2:$AE$3520,1),SUMIFS(Sales_Data!$M$2:$M$3520,Sales_Data!$C$2:$C$3520,$A38,Sales_Data!$H$2:$H$3520,D$14,Sales_Data!$AE$2:$AE$3520,1),SUMIFS(Sales_Data!$N$2:$N$3520,Sales_Data!$C$2:$C$3520,$A38,Sales_Data!$H$2:$H$3520,D$14,Sales_Data!$AE$2:$AE$3520,1),SUMIFS(Sales_Data!$AE$2:$AE$3520,Sales_Data!$C$2:$C$3520,$A38,Sales_Data!$H$2:$H$3520,D$14))</f>
        <v>0</v>
      </c>
      <c r="E38" s="26" t="n">
        <f aca="false">CHOOSE(MATCH($B$3,Lists!$C$2:$C$5,0),SUMIFS(Sales_Data!$O$2:$O$3520,Sales_Data!$C$2:$C$3520,$A38,Sales_Data!$H$2:$H$3520,E$14,Sales_Data!$AE$2:$AE$3520,1),SUMIFS(Sales_Data!$M$2:$M$3520,Sales_Data!$C$2:$C$3520,$A38,Sales_Data!$H$2:$H$3520,E$14,Sales_Data!$AE$2:$AE$3520,1),SUMIFS(Sales_Data!$N$2:$N$3520,Sales_Data!$C$2:$C$3520,$A38,Sales_Data!$H$2:$H$3520,E$14,Sales_Data!$AE$2:$AE$3520,1),SUMIFS(Sales_Data!$AE$2:$AE$3520,Sales_Data!$C$2:$C$3520,$A38,Sales_Data!$H$2:$H$3520,E$14))</f>
        <v>0</v>
      </c>
      <c r="F38" s="26" t="n">
        <f aca="false">CHOOSE(MATCH($B$3,Lists!$C$2:$C$5,0),SUMIFS(Sales_Data!$O$2:$O$3520,Sales_Data!$C$2:$C$3520,$A38,Sales_Data!$H$2:$H$3520,F$14,Sales_Data!$AE$2:$AE$3520,1),SUMIFS(Sales_Data!$M$2:$M$3520,Sales_Data!$C$2:$C$3520,$A38,Sales_Data!$H$2:$H$3520,F$14,Sales_Data!$AE$2:$AE$3520,1),SUMIFS(Sales_Data!$N$2:$N$3520,Sales_Data!$C$2:$C$3520,$A38,Sales_Data!$H$2:$H$3520,F$14,Sales_Data!$AE$2:$AE$3520,1),SUMIFS(Sales_Data!$AE$2:$AE$3520,Sales_Data!$C$2:$C$3520,$A38,Sales_Data!$H$2:$H$3520,F$14))</f>
        <v>3</v>
      </c>
      <c r="G38" s="26" t="n">
        <f aca="false">CHOOSE(MATCH($B$3,Lists!$C$2:$C$5,0),SUMIFS(Sales_Data!$O$2:$O$3520,Sales_Data!$C$2:$C$3520,$A38,Sales_Data!$H$2:$H$3520,G$14,Sales_Data!$AE$2:$AE$3520,1),SUMIFS(Sales_Data!$M$2:$M$3520,Sales_Data!$C$2:$C$3520,$A38,Sales_Data!$H$2:$H$3520,G$14,Sales_Data!$AE$2:$AE$3520,1),SUMIFS(Sales_Data!$N$2:$N$3520,Sales_Data!$C$2:$C$3520,$A38,Sales_Data!$H$2:$H$3520,G$14,Sales_Data!$AE$2:$AE$3520,1),SUMIFS(Sales_Data!$AE$2:$AE$3520,Sales_Data!$C$2:$C$3520,$A38,Sales_Data!$H$2:$H$3520,G$14))</f>
        <v>0</v>
      </c>
      <c r="H38" s="26" t="n">
        <f aca="false">CHOOSE(MATCH($B$3,Lists!$C$2:$C$5,0),SUMIFS(Sales_Data!$O$2:$O$3520,Sales_Data!$C$2:$C$3520,$A38,Sales_Data!$H$2:$H$3520,H$14,Sales_Data!$AE$2:$AE$3520,1),SUMIFS(Sales_Data!$M$2:$M$3520,Sales_Data!$C$2:$C$3520,$A38,Sales_Data!$H$2:$H$3520,H$14,Sales_Data!$AE$2:$AE$3520,1),SUMIFS(Sales_Data!$N$2:$N$3520,Sales_Data!$C$2:$C$3520,$A38,Sales_Data!$H$2:$H$3520,H$14,Sales_Data!$AE$2:$AE$3520,1),SUMIFS(Sales_Data!$AE$2:$AE$3520,Sales_Data!$C$2:$C$3520,$A38,Sales_Data!$H$2:$H$3520,H$14))</f>
        <v>0</v>
      </c>
      <c r="I38" s="26" t="n">
        <f aca="false">CHOOSE(MATCH($B$3,Lists!$C$2:$C$5,0),SUMIFS(Sales_Data!$O$2:$O$3520,Sales_Data!$C$2:$C$3520,$A38,Sales_Data!$H$2:$H$3520,I$14,Sales_Data!$AE$2:$AE$3520,1),SUMIFS(Sales_Data!$M$2:$M$3520,Sales_Data!$C$2:$C$3520,$A38,Sales_Data!$H$2:$H$3520,I$14,Sales_Data!$AE$2:$AE$3520,1),SUMIFS(Sales_Data!$N$2:$N$3520,Sales_Data!$C$2:$C$3520,$A38,Sales_Data!$H$2:$H$3520,I$14,Sales_Data!$AE$2:$AE$3520,1),SUMIFS(Sales_Data!$AE$2:$AE$3520,Sales_Data!$C$2:$C$3520,$A38,Sales_Data!$H$2:$H$3520,I$14))</f>
        <v>0</v>
      </c>
      <c r="J38" s="26" t="n">
        <f aca="false">CHOOSE(MATCH($B$3,Lists!$C$2:$C$5,0),SUMIFS(Sales_Data!$O$2:$O$3520,Sales_Data!$C$2:$C$3520,$A38,Sales_Data!$H$2:$H$3520,J$14,Sales_Data!$AE$2:$AE$3520,1),SUMIFS(Sales_Data!$M$2:$M$3520,Sales_Data!$C$2:$C$3520,$A38,Sales_Data!$H$2:$H$3520,J$14,Sales_Data!$AE$2:$AE$3520,1),SUMIFS(Sales_Data!$N$2:$N$3520,Sales_Data!$C$2:$C$3520,$A38,Sales_Data!$H$2:$H$3520,J$14,Sales_Data!$AE$2:$AE$3520,1),SUMIFS(Sales_Data!$AE$2:$AE$3520,Sales_Data!$C$2:$C$3520,$A38,Sales_Data!$H$2:$H$3520,J$14))</f>
        <v>0</v>
      </c>
      <c r="K38" s="26" t="n">
        <f aca="false">CHOOSE(MATCH($B$3,Lists!$C$2:$C$5,0),SUMIFS(Sales_Data!$O$2:$O$3520,Sales_Data!$C$2:$C$3520,$A38,Sales_Data!$H$2:$H$3520,K$14,Sales_Data!$AE$2:$AE$3520,1),SUMIFS(Sales_Data!$M$2:$M$3520,Sales_Data!$C$2:$C$3520,$A38,Sales_Data!$H$2:$H$3520,K$14,Sales_Data!$AE$2:$AE$3520,1),SUMIFS(Sales_Data!$N$2:$N$3520,Sales_Data!$C$2:$C$3520,$A38,Sales_Data!$H$2:$H$3520,K$14,Sales_Data!$AE$2:$AE$3520,1),SUMIFS(Sales_Data!$AE$2:$AE$3520,Sales_Data!$C$2:$C$3520,$A38,Sales_Data!$H$2:$H$3520,K$14))</f>
        <v>0</v>
      </c>
      <c r="L38" s="26" t="n">
        <f aca="false">CHOOSE(MATCH($B$3,Lists!$C$2:$C$5,0),SUMIFS(Sales_Data!$O$2:$O$3520,Sales_Data!$C$2:$C$3520,$A38,Sales_Data!$H$2:$H$3520,L$14,Sales_Data!$AE$2:$AE$3520,1),SUMIFS(Sales_Data!$M$2:$M$3520,Sales_Data!$C$2:$C$3520,$A38,Sales_Data!$H$2:$H$3520,L$14,Sales_Data!$AE$2:$AE$3520,1),SUMIFS(Sales_Data!$N$2:$N$3520,Sales_Data!$C$2:$C$3520,$A38,Sales_Data!$H$2:$H$3520,L$14,Sales_Data!$AE$2:$AE$3520,1),SUMIFS(Sales_Data!$AE$2:$AE$3520,Sales_Data!$C$2:$C$3520,$A38,Sales_Data!$H$2:$H$3520,L$14))</f>
        <v>1</v>
      </c>
      <c r="M38" s="26" t="n">
        <f aca="false">CHOOSE(MATCH($B$3,Lists!$C$2:$C$5,0),SUMIFS(Sales_Data!$O$2:$O$3520,Sales_Data!$C$2:$C$3520,$A38,Sales_Data!$H$2:$H$3520,M$14,Sales_Data!$AE$2:$AE$3520,1),SUMIFS(Sales_Data!$M$2:$M$3520,Sales_Data!$C$2:$C$3520,$A38,Sales_Data!$H$2:$H$3520,M$14,Sales_Data!$AE$2:$AE$3520,1),SUMIFS(Sales_Data!$N$2:$N$3520,Sales_Data!$C$2:$C$3520,$A38,Sales_Data!$H$2:$H$3520,M$14,Sales_Data!$AE$2:$AE$3520,1),SUMIFS(Sales_Data!$AE$2:$AE$3520,Sales_Data!$C$2:$C$3520,$A38,Sales_Data!$H$2:$H$3520,M$14))</f>
        <v>1</v>
      </c>
      <c r="N38" s="26" t="n">
        <f aca="false">CHOOSE(MATCH($B$3,Lists!$C$2:$C$5,0),SUMIFS(Sales_Data!$O$2:$O$3520,Sales_Data!$C$2:$C$3520,$A38,Sales_Data!$H$2:$H$3520,N$14,Sales_Data!$AE$2:$AE$3520,1),SUMIFS(Sales_Data!$M$2:$M$3520,Sales_Data!$C$2:$C$3520,$A38,Sales_Data!$H$2:$H$3520,N$14,Sales_Data!$AE$2:$AE$3520,1),SUMIFS(Sales_Data!$N$2:$N$3520,Sales_Data!$C$2:$C$3520,$A38,Sales_Data!$H$2:$H$3520,N$14,Sales_Data!$AE$2:$AE$3520,1),SUMIFS(Sales_Data!$AE$2:$AE$3520,Sales_Data!$C$2:$C$3520,$A38,Sales_Data!$H$2:$H$3520,N$14))</f>
        <v>1</v>
      </c>
      <c r="O38" s="26" t="n">
        <f aca="false">CHOOSE(MATCH($B$3,Lists!$C$2:$C$5,0),SUMIFS(Sales_Data!$O$2:$O$3520,Sales_Data!$C$2:$C$3520,$A38,Sales_Data!$H$2:$H$3520,O$14,Sales_Data!$AE$2:$AE$3520,1),SUMIFS(Sales_Data!$M$2:$M$3520,Sales_Data!$C$2:$C$3520,$A38,Sales_Data!$H$2:$H$3520,O$14,Sales_Data!$AE$2:$AE$3520,1),SUMIFS(Sales_Data!$N$2:$N$3520,Sales_Data!$C$2:$C$3520,$A38,Sales_Data!$H$2:$H$3520,O$14,Sales_Data!$AE$2:$AE$3520,1),SUMIFS(Sales_Data!$AE$2:$AE$3520,Sales_Data!$C$2:$C$3520,$A38,Sales_Data!$H$2:$H$3520,O$14))</f>
        <v>0</v>
      </c>
      <c r="P38" s="27" t="n">
        <f aca="false">CHOOSE(MATCH($B$3,Lists!$C$2:$C$5,0),SUMIFS(Sales_Data!$O$2:$O$3520,Sales_Data!$C$2:$C$3520,$A38,Sales_Data!$AE$2:$AE$3520,1),SUMIFS(Sales_Data!$M$2:$M$3520,Sales_Data!$C$2:$C$3520,$A38,Sales_Data!$AE$2:$AE$3520,1),SUMIFS(Sales_Data!$N$2:$N$3520,Sales_Data!$C$2:$C$3520,$A38,Sales_Data!$AE$2:$AE$3520,1),SUMIFS(Sales_Data!$AE$2:$AE$3520,Sales_Data!$C$2:$C$3520,$A38))</f>
        <v>7</v>
      </c>
      <c r="Q38" s="27" t="n">
        <f aca="false">P38-SUM(B38:O38)</f>
        <v>1</v>
      </c>
      <c r="R38" s="3"/>
      <c r="S38" s="72" t="n">
        <f aca="false">A38</f>
        <v>46248</v>
      </c>
      <c r="T38" s="28" t="n">
        <f aca="false">B38-B37</f>
        <v>0</v>
      </c>
      <c r="U38" s="28" t="n">
        <f aca="false">C38-C37</f>
        <v>0</v>
      </c>
      <c r="V38" s="28" t="n">
        <f aca="false">D38-D37</f>
        <v>0</v>
      </c>
      <c r="W38" s="28" t="n">
        <f aca="false">E38-E37</f>
        <v>0</v>
      </c>
      <c r="X38" s="28" t="n">
        <f aca="false">F38-F37</f>
        <v>-10</v>
      </c>
      <c r="Y38" s="28" t="n">
        <f aca="false">G38-G37</f>
        <v>0</v>
      </c>
      <c r="Z38" s="28" t="n">
        <f aca="false">H38-H37</f>
        <v>0</v>
      </c>
      <c r="AA38" s="28" t="n">
        <f aca="false">I38-I37</f>
        <v>0</v>
      </c>
      <c r="AB38" s="28" t="n">
        <f aca="false">J38-J37</f>
        <v>0</v>
      </c>
      <c r="AC38" s="28" t="n">
        <f aca="false">K38-K37</f>
        <v>0</v>
      </c>
      <c r="AD38" s="28" t="n">
        <f aca="false">L38-L37</f>
        <v>-2</v>
      </c>
      <c r="AE38" s="28" t="n">
        <f aca="false">M38-M37</f>
        <v>1</v>
      </c>
      <c r="AF38" s="28" t="n">
        <f aca="false">N38-N37</f>
        <v>-2</v>
      </c>
      <c r="AG38" s="28" t="n">
        <f aca="false">O38-O37</f>
        <v>0</v>
      </c>
      <c r="AH38" s="28" t="n">
        <f aca="false">P38-P37</f>
        <v>-20</v>
      </c>
    </row>
    <row r="39" customFormat="false" ht="15" hidden="false" customHeight="false" outlineLevel="0" collapsed="false">
      <c r="A39" s="72" t="n">
        <v>46249</v>
      </c>
      <c r="B39" s="26" t="n">
        <f aca="false">CHOOSE(MATCH($B$3,Lists!$C$2:$C$5,0),SUMIFS(Sales_Data!$O$2:$O$3520,Sales_Data!$C$2:$C$3520,$A39,Sales_Data!$H$2:$H$3520,B$14,Sales_Data!$AE$2:$AE$3520,1),SUMIFS(Sales_Data!$M$2:$M$3520,Sales_Data!$C$2:$C$3520,$A39,Sales_Data!$H$2:$H$3520,B$14,Sales_Data!$AE$2:$AE$3520,1),SUMIFS(Sales_Data!$N$2:$N$3520,Sales_Data!$C$2:$C$3520,$A39,Sales_Data!$H$2:$H$3520,B$14,Sales_Data!$AE$2:$AE$3520,1),SUMIFS(Sales_Data!$AE$2:$AE$3520,Sales_Data!$C$2:$C$3520,$A39,Sales_Data!$H$2:$H$3520,B$14))</f>
        <v>0</v>
      </c>
      <c r="C39" s="26" t="n">
        <f aca="false">CHOOSE(MATCH($B$3,Lists!$C$2:$C$5,0),SUMIFS(Sales_Data!$O$2:$O$3520,Sales_Data!$C$2:$C$3520,$A39,Sales_Data!$H$2:$H$3520,C$14,Sales_Data!$AE$2:$AE$3520,1),SUMIFS(Sales_Data!$M$2:$M$3520,Sales_Data!$C$2:$C$3520,$A39,Sales_Data!$H$2:$H$3520,C$14,Sales_Data!$AE$2:$AE$3520,1),SUMIFS(Sales_Data!$N$2:$N$3520,Sales_Data!$C$2:$C$3520,$A39,Sales_Data!$H$2:$H$3520,C$14,Sales_Data!$AE$2:$AE$3520,1),SUMIFS(Sales_Data!$AE$2:$AE$3520,Sales_Data!$C$2:$C$3520,$A39,Sales_Data!$H$2:$H$3520,C$14))</f>
        <v>0</v>
      </c>
      <c r="D39" s="26" t="n">
        <f aca="false">CHOOSE(MATCH($B$3,Lists!$C$2:$C$5,0),SUMIFS(Sales_Data!$O$2:$O$3520,Sales_Data!$C$2:$C$3520,$A39,Sales_Data!$H$2:$H$3520,D$14,Sales_Data!$AE$2:$AE$3520,1),SUMIFS(Sales_Data!$M$2:$M$3520,Sales_Data!$C$2:$C$3520,$A39,Sales_Data!$H$2:$H$3520,D$14,Sales_Data!$AE$2:$AE$3520,1),SUMIFS(Sales_Data!$N$2:$N$3520,Sales_Data!$C$2:$C$3520,$A39,Sales_Data!$H$2:$H$3520,D$14,Sales_Data!$AE$2:$AE$3520,1),SUMIFS(Sales_Data!$AE$2:$AE$3520,Sales_Data!$C$2:$C$3520,$A39,Sales_Data!$H$2:$H$3520,D$14))</f>
        <v>1</v>
      </c>
      <c r="E39" s="26" t="n">
        <f aca="false">CHOOSE(MATCH($B$3,Lists!$C$2:$C$5,0),SUMIFS(Sales_Data!$O$2:$O$3520,Sales_Data!$C$2:$C$3520,$A39,Sales_Data!$H$2:$H$3520,E$14,Sales_Data!$AE$2:$AE$3520,1),SUMIFS(Sales_Data!$M$2:$M$3520,Sales_Data!$C$2:$C$3520,$A39,Sales_Data!$H$2:$H$3520,E$14,Sales_Data!$AE$2:$AE$3520,1),SUMIFS(Sales_Data!$N$2:$N$3520,Sales_Data!$C$2:$C$3520,$A39,Sales_Data!$H$2:$H$3520,E$14,Sales_Data!$AE$2:$AE$3520,1),SUMIFS(Sales_Data!$AE$2:$AE$3520,Sales_Data!$C$2:$C$3520,$A39,Sales_Data!$H$2:$H$3520,E$14))</f>
        <v>0</v>
      </c>
      <c r="F39" s="26" t="n">
        <f aca="false">CHOOSE(MATCH($B$3,Lists!$C$2:$C$5,0),SUMIFS(Sales_Data!$O$2:$O$3520,Sales_Data!$C$2:$C$3520,$A39,Sales_Data!$H$2:$H$3520,F$14,Sales_Data!$AE$2:$AE$3520,1),SUMIFS(Sales_Data!$M$2:$M$3520,Sales_Data!$C$2:$C$3520,$A39,Sales_Data!$H$2:$H$3520,F$14,Sales_Data!$AE$2:$AE$3520,1),SUMIFS(Sales_Data!$N$2:$N$3520,Sales_Data!$C$2:$C$3520,$A39,Sales_Data!$H$2:$H$3520,F$14,Sales_Data!$AE$2:$AE$3520,1),SUMIFS(Sales_Data!$AE$2:$AE$3520,Sales_Data!$C$2:$C$3520,$A39,Sales_Data!$H$2:$H$3520,F$14))</f>
        <v>7</v>
      </c>
      <c r="G39" s="26" t="n">
        <f aca="false">CHOOSE(MATCH($B$3,Lists!$C$2:$C$5,0),SUMIFS(Sales_Data!$O$2:$O$3520,Sales_Data!$C$2:$C$3520,$A39,Sales_Data!$H$2:$H$3520,G$14,Sales_Data!$AE$2:$AE$3520,1),SUMIFS(Sales_Data!$M$2:$M$3520,Sales_Data!$C$2:$C$3520,$A39,Sales_Data!$H$2:$H$3520,G$14,Sales_Data!$AE$2:$AE$3520,1),SUMIFS(Sales_Data!$N$2:$N$3520,Sales_Data!$C$2:$C$3520,$A39,Sales_Data!$H$2:$H$3520,G$14,Sales_Data!$AE$2:$AE$3520,1),SUMIFS(Sales_Data!$AE$2:$AE$3520,Sales_Data!$C$2:$C$3520,$A39,Sales_Data!$H$2:$H$3520,G$14))</f>
        <v>0</v>
      </c>
      <c r="H39" s="26" t="n">
        <f aca="false">CHOOSE(MATCH($B$3,Lists!$C$2:$C$5,0),SUMIFS(Sales_Data!$O$2:$O$3520,Sales_Data!$C$2:$C$3520,$A39,Sales_Data!$H$2:$H$3520,H$14,Sales_Data!$AE$2:$AE$3520,1),SUMIFS(Sales_Data!$M$2:$M$3520,Sales_Data!$C$2:$C$3520,$A39,Sales_Data!$H$2:$H$3520,H$14,Sales_Data!$AE$2:$AE$3520,1),SUMIFS(Sales_Data!$N$2:$N$3520,Sales_Data!$C$2:$C$3520,$A39,Sales_Data!$H$2:$H$3520,H$14,Sales_Data!$AE$2:$AE$3520,1),SUMIFS(Sales_Data!$AE$2:$AE$3520,Sales_Data!$C$2:$C$3520,$A39,Sales_Data!$H$2:$H$3520,H$14))</f>
        <v>0</v>
      </c>
      <c r="I39" s="26" t="n">
        <f aca="false">CHOOSE(MATCH($B$3,Lists!$C$2:$C$5,0),SUMIFS(Sales_Data!$O$2:$O$3520,Sales_Data!$C$2:$C$3520,$A39,Sales_Data!$H$2:$H$3520,I$14,Sales_Data!$AE$2:$AE$3520,1),SUMIFS(Sales_Data!$M$2:$M$3520,Sales_Data!$C$2:$C$3520,$A39,Sales_Data!$H$2:$H$3520,I$14,Sales_Data!$AE$2:$AE$3520,1),SUMIFS(Sales_Data!$N$2:$N$3520,Sales_Data!$C$2:$C$3520,$A39,Sales_Data!$H$2:$H$3520,I$14,Sales_Data!$AE$2:$AE$3520,1),SUMIFS(Sales_Data!$AE$2:$AE$3520,Sales_Data!$C$2:$C$3520,$A39,Sales_Data!$H$2:$H$3520,I$14))</f>
        <v>0</v>
      </c>
      <c r="J39" s="26" t="n">
        <f aca="false">CHOOSE(MATCH($B$3,Lists!$C$2:$C$5,0),SUMIFS(Sales_Data!$O$2:$O$3520,Sales_Data!$C$2:$C$3520,$A39,Sales_Data!$H$2:$H$3520,J$14,Sales_Data!$AE$2:$AE$3520,1),SUMIFS(Sales_Data!$M$2:$M$3520,Sales_Data!$C$2:$C$3520,$A39,Sales_Data!$H$2:$H$3520,J$14,Sales_Data!$AE$2:$AE$3520,1),SUMIFS(Sales_Data!$N$2:$N$3520,Sales_Data!$C$2:$C$3520,$A39,Sales_Data!$H$2:$H$3520,J$14,Sales_Data!$AE$2:$AE$3520,1),SUMIFS(Sales_Data!$AE$2:$AE$3520,Sales_Data!$C$2:$C$3520,$A39,Sales_Data!$H$2:$H$3520,J$14))</f>
        <v>0</v>
      </c>
      <c r="K39" s="26" t="n">
        <f aca="false">CHOOSE(MATCH($B$3,Lists!$C$2:$C$5,0),SUMIFS(Sales_Data!$O$2:$O$3520,Sales_Data!$C$2:$C$3520,$A39,Sales_Data!$H$2:$H$3520,K$14,Sales_Data!$AE$2:$AE$3520,1),SUMIFS(Sales_Data!$M$2:$M$3520,Sales_Data!$C$2:$C$3520,$A39,Sales_Data!$H$2:$H$3520,K$14,Sales_Data!$AE$2:$AE$3520,1),SUMIFS(Sales_Data!$N$2:$N$3520,Sales_Data!$C$2:$C$3520,$A39,Sales_Data!$H$2:$H$3520,K$14,Sales_Data!$AE$2:$AE$3520,1),SUMIFS(Sales_Data!$AE$2:$AE$3520,Sales_Data!$C$2:$C$3520,$A39,Sales_Data!$H$2:$H$3520,K$14))</f>
        <v>0</v>
      </c>
      <c r="L39" s="26" t="n">
        <f aca="false">CHOOSE(MATCH($B$3,Lists!$C$2:$C$5,0),SUMIFS(Sales_Data!$O$2:$O$3520,Sales_Data!$C$2:$C$3520,$A39,Sales_Data!$H$2:$H$3520,L$14,Sales_Data!$AE$2:$AE$3520,1),SUMIFS(Sales_Data!$M$2:$M$3520,Sales_Data!$C$2:$C$3520,$A39,Sales_Data!$H$2:$H$3520,L$14,Sales_Data!$AE$2:$AE$3520,1),SUMIFS(Sales_Data!$N$2:$N$3520,Sales_Data!$C$2:$C$3520,$A39,Sales_Data!$H$2:$H$3520,L$14,Sales_Data!$AE$2:$AE$3520,1),SUMIFS(Sales_Data!$AE$2:$AE$3520,Sales_Data!$C$2:$C$3520,$A39,Sales_Data!$H$2:$H$3520,L$14))</f>
        <v>3</v>
      </c>
      <c r="M39" s="26" t="n">
        <f aca="false">CHOOSE(MATCH($B$3,Lists!$C$2:$C$5,0),SUMIFS(Sales_Data!$O$2:$O$3520,Sales_Data!$C$2:$C$3520,$A39,Sales_Data!$H$2:$H$3520,M$14,Sales_Data!$AE$2:$AE$3520,1),SUMIFS(Sales_Data!$M$2:$M$3520,Sales_Data!$C$2:$C$3520,$A39,Sales_Data!$H$2:$H$3520,M$14,Sales_Data!$AE$2:$AE$3520,1),SUMIFS(Sales_Data!$N$2:$N$3520,Sales_Data!$C$2:$C$3520,$A39,Sales_Data!$H$2:$H$3520,M$14,Sales_Data!$AE$2:$AE$3520,1),SUMIFS(Sales_Data!$AE$2:$AE$3520,Sales_Data!$C$2:$C$3520,$A39,Sales_Data!$H$2:$H$3520,M$14))</f>
        <v>8</v>
      </c>
      <c r="N39" s="26" t="n">
        <f aca="false">CHOOSE(MATCH($B$3,Lists!$C$2:$C$5,0),SUMIFS(Sales_Data!$O$2:$O$3520,Sales_Data!$C$2:$C$3520,$A39,Sales_Data!$H$2:$H$3520,N$14,Sales_Data!$AE$2:$AE$3520,1),SUMIFS(Sales_Data!$M$2:$M$3520,Sales_Data!$C$2:$C$3520,$A39,Sales_Data!$H$2:$H$3520,N$14,Sales_Data!$AE$2:$AE$3520,1),SUMIFS(Sales_Data!$N$2:$N$3520,Sales_Data!$C$2:$C$3520,$A39,Sales_Data!$H$2:$H$3520,N$14,Sales_Data!$AE$2:$AE$3520,1),SUMIFS(Sales_Data!$AE$2:$AE$3520,Sales_Data!$C$2:$C$3520,$A39,Sales_Data!$H$2:$H$3520,N$14))</f>
        <v>1</v>
      </c>
      <c r="O39" s="26" t="n">
        <f aca="false">CHOOSE(MATCH($B$3,Lists!$C$2:$C$5,0),SUMIFS(Sales_Data!$O$2:$O$3520,Sales_Data!$C$2:$C$3520,$A39,Sales_Data!$H$2:$H$3520,O$14,Sales_Data!$AE$2:$AE$3520,1),SUMIFS(Sales_Data!$M$2:$M$3520,Sales_Data!$C$2:$C$3520,$A39,Sales_Data!$H$2:$H$3520,O$14,Sales_Data!$AE$2:$AE$3520,1),SUMIFS(Sales_Data!$N$2:$N$3520,Sales_Data!$C$2:$C$3520,$A39,Sales_Data!$H$2:$H$3520,O$14,Sales_Data!$AE$2:$AE$3520,1),SUMIFS(Sales_Data!$AE$2:$AE$3520,Sales_Data!$C$2:$C$3520,$A39,Sales_Data!$H$2:$H$3520,O$14))</f>
        <v>0</v>
      </c>
      <c r="P39" s="27" t="n">
        <f aca="false">CHOOSE(MATCH($B$3,Lists!$C$2:$C$5,0),SUMIFS(Sales_Data!$O$2:$O$3520,Sales_Data!$C$2:$C$3520,$A39,Sales_Data!$AE$2:$AE$3520,1),SUMIFS(Sales_Data!$M$2:$M$3520,Sales_Data!$C$2:$C$3520,$A39,Sales_Data!$AE$2:$AE$3520,1),SUMIFS(Sales_Data!$N$2:$N$3520,Sales_Data!$C$2:$C$3520,$A39,Sales_Data!$AE$2:$AE$3520,1),SUMIFS(Sales_Data!$AE$2:$AE$3520,Sales_Data!$C$2:$C$3520,$A39))</f>
        <v>29</v>
      </c>
      <c r="Q39" s="27" t="n">
        <f aca="false">P39-SUM(B39:O39)</f>
        <v>9</v>
      </c>
      <c r="R39" s="3"/>
      <c r="S39" s="72" t="n">
        <f aca="false">A39</f>
        <v>46249</v>
      </c>
      <c r="T39" s="28" t="n">
        <f aca="false">B39-B38</f>
        <v>0</v>
      </c>
      <c r="U39" s="28" t="n">
        <f aca="false">C39-C38</f>
        <v>0</v>
      </c>
      <c r="V39" s="28" t="n">
        <f aca="false">D39-D38</f>
        <v>1</v>
      </c>
      <c r="W39" s="28" t="n">
        <f aca="false">E39-E38</f>
        <v>0</v>
      </c>
      <c r="X39" s="28" t="n">
        <f aca="false">F39-F38</f>
        <v>4</v>
      </c>
      <c r="Y39" s="28" t="n">
        <f aca="false">G39-G38</f>
        <v>0</v>
      </c>
      <c r="Z39" s="28" t="n">
        <f aca="false">H39-H38</f>
        <v>0</v>
      </c>
      <c r="AA39" s="28" t="n">
        <f aca="false">I39-I38</f>
        <v>0</v>
      </c>
      <c r="AB39" s="28" t="n">
        <f aca="false">J39-J38</f>
        <v>0</v>
      </c>
      <c r="AC39" s="28" t="n">
        <f aca="false">K39-K38</f>
        <v>0</v>
      </c>
      <c r="AD39" s="28" t="n">
        <f aca="false">L39-L38</f>
        <v>2</v>
      </c>
      <c r="AE39" s="28" t="n">
        <f aca="false">M39-M38</f>
        <v>7</v>
      </c>
      <c r="AF39" s="28" t="n">
        <f aca="false">N39-N38</f>
        <v>0</v>
      </c>
      <c r="AG39" s="28" t="n">
        <f aca="false">O39-O38</f>
        <v>0</v>
      </c>
      <c r="AH39" s="28" t="n">
        <f aca="false">P39-P38</f>
        <v>22</v>
      </c>
    </row>
    <row r="40" customFormat="false" ht="15" hidden="false" customHeight="false" outlineLevel="0" collapsed="false">
      <c r="A40" s="72" t="n">
        <v>46250</v>
      </c>
      <c r="B40" s="26" t="n">
        <f aca="false">CHOOSE(MATCH($B$3,Lists!$C$2:$C$5,0),SUMIFS(Sales_Data!$O$2:$O$3520,Sales_Data!$C$2:$C$3520,$A40,Sales_Data!$H$2:$H$3520,B$14,Sales_Data!$AE$2:$AE$3520,1),SUMIFS(Sales_Data!$M$2:$M$3520,Sales_Data!$C$2:$C$3520,$A40,Sales_Data!$H$2:$H$3520,B$14,Sales_Data!$AE$2:$AE$3520,1),SUMIFS(Sales_Data!$N$2:$N$3520,Sales_Data!$C$2:$C$3520,$A40,Sales_Data!$H$2:$H$3520,B$14,Sales_Data!$AE$2:$AE$3520,1),SUMIFS(Sales_Data!$AE$2:$AE$3520,Sales_Data!$C$2:$C$3520,$A40,Sales_Data!$H$2:$H$3520,B$14))</f>
        <v>0</v>
      </c>
      <c r="C40" s="26" t="n">
        <f aca="false">CHOOSE(MATCH($B$3,Lists!$C$2:$C$5,0),SUMIFS(Sales_Data!$O$2:$O$3520,Sales_Data!$C$2:$C$3520,$A40,Sales_Data!$H$2:$H$3520,C$14,Sales_Data!$AE$2:$AE$3520,1),SUMIFS(Sales_Data!$M$2:$M$3520,Sales_Data!$C$2:$C$3520,$A40,Sales_Data!$H$2:$H$3520,C$14,Sales_Data!$AE$2:$AE$3520,1),SUMIFS(Sales_Data!$N$2:$N$3520,Sales_Data!$C$2:$C$3520,$A40,Sales_Data!$H$2:$H$3520,C$14,Sales_Data!$AE$2:$AE$3520,1),SUMIFS(Sales_Data!$AE$2:$AE$3520,Sales_Data!$C$2:$C$3520,$A40,Sales_Data!$H$2:$H$3520,C$14))</f>
        <v>0</v>
      </c>
      <c r="D40" s="26" t="n">
        <f aca="false">CHOOSE(MATCH($B$3,Lists!$C$2:$C$5,0),SUMIFS(Sales_Data!$O$2:$O$3520,Sales_Data!$C$2:$C$3520,$A40,Sales_Data!$H$2:$H$3520,D$14,Sales_Data!$AE$2:$AE$3520,1),SUMIFS(Sales_Data!$M$2:$M$3520,Sales_Data!$C$2:$C$3520,$A40,Sales_Data!$H$2:$H$3520,D$14,Sales_Data!$AE$2:$AE$3520,1),SUMIFS(Sales_Data!$N$2:$N$3520,Sales_Data!$C$2:$C$3520,$A40,Sales_Data!$H$2:$H$3520,D$14,Sales_Data!$AE$2:$AE$3520,1),SUMIFS(Sales_Data!$AE$2:$AE$3520,Sales_Data!$C$2:$C$3520,$A40,Sales_Data!$H$2:$H$3520,D$14))</f>
        <v>2</v>
      </c>
      <c r="E40" s="26" t="n">
        <f aca="false">CHOOSE(MATCH($B$3,Lists!$C$2:$C$5,0),SUMIFS(Sales_Data!$O$2:$O$3520,Sales_Data!$C$2:$C$3520,$A40,Sales_Data!$H$2:$H$3520,E$14,Sales_Data!$AE$2:$AE$3520,1),SUMIFS(Sales_Data!$M$2:$M$3520,Sales_Data!$C$2:$C$3520,$A40,Sales_Data!$H$2:$H$3520,E$14,Sales_Data!$AE$2:$AE$3520,1),SUMIFS(Sales_Data!$N$2:$N$3520,Sales_Data!$C$2:$C$3520,$A40,Sales_Data!$H$2:$H$3520,E$14,Sales_Data!$AE$2:$AE$3520,1),SUMIFS(Sales_Data!$AE$2:$AE$3520,Sales_Data!$C$2:$C$3520,$A40,Sales_Data!$H$2:$H$3520,E$14))</f>
        <v>0</v>
      </c>
      <c r="F40" s="26" t="n">
        <f aca="false">CHOOSE(MATCH($B$3,Lists!$C$2:$C$5,0),SUMIFS(Sales_Data!$O$2:$O$3520,Sales_Data!$C$2:$C$3520,$A40,Sales_Data!$H$2:$H$3520,F$14,Sales_Data!$AE$2:$AE$3520,1),SUMIFS(Sales_Data!$M$2:$M$3520,Sales_Data!$C$2:$C$3520,$A40,Sales_Data!$H$2:$H$3520,F$14,Sales_Data!$AE$2:$AE$3520,1),SUMIFS(Sales_Data!$N$2:$N$3520,Sales_Data!$C$2:$C$3520,$A40,Sales_Data!$H$2:$H$3520,F$14,Sales_Data!$AE$2:$AE$3520,1),SUMIFS(Sales_Data!$AE$2:$AE$3520,Sales_Data!$C$2:$C$3520,$A40,Sales_Data!$H$2:$H$3520,F$14))</f>
        <v>5</v>
      </c>
      <c r="G40" s="26" t="n">
        <f aca="false">CHOOSE(MATCH($B$3,Lists!$C$2:$C$5,0),SUMIFS(Sales_Data!$O$2:$O$3520,Sales_Data!$C$2:$C$3520,$A40,Sales_Data!$H$2:$H$3520,G$14,Sales_Data!$AE$2:$AE$3520,1),SUMIFS(Sales_Data!$M$2:$M$3520,Sales_Data!$C$2:$C$3520,$A40,Sales_Data!$H$2:$H$3520,G$14,Sales_Data!$AE$2:$AE$3520,1),SUMIFS(Sales_Data!$N$2:$N$3520,Sales_Data!$C$2:$C$3520,$A40,Sales_Data!$H$2:$H$3520,G$14,Sales_Data!$AE$2:$AE$3520,1),SUMIFS(Sales_Data!$AE$2:$AE$3520,Sales_Data!$C$2:$C$3520,$A40,Sales_Data!$H$2:$H$3520,G$14))</f>
        <v>1</v>
      </c>
      <c r="H40" s="26" t="n">
        <f aca="false">CHOOSE(MATCH($B$3,Lists!$C$2:$C$5,0),SUMIFS(Sales_Data!$O$2:$O$3520,Sales_Data!$C$2:$C$3520,$A40,Sales_Data!$H$2:$H$3520,H$14,Sales_Data!$AE$2:$AE$3520,1),SUMIFS(Sales_Data!$M$2:$M$3520,Sales_Data!$C$2:$C$3520,$A40,Sales_Data!$H$2:$H$3520,H$14,Sales_Data!$AE$2:$AE$3520,1),SUMIFS(Sales_Data!$N$2:$N$3520,Sales_Data!$C$2:$C$3520,$A40,Sales_Data!$H$2:$H$3520,H$14,Sales_Data!$AE$2:$AE$3520,1),SUMIFS(Sales_Data!$AE$2:$AE$3520,Sales_Data!$C$2:$C$3520,$A40,Sales_Data!$H$2:$H$3520,H$14))</f>
        <v>0</v>
      </c>
      <c r="I40" s="26" t="n">
        <f aca="false">CHOOSE(MATCH($B$3,Lists!$C$2:$C$5,0),SUMIFS(Sales_Data!$O$2:$O$3520,Sales_Data!$C$2:$C$3520,$A40,Sales_Data!$H$2:$H$3520,I$14,Sales_Data!$AE$2:$AE$3520,1),SUMIFS(Sales_Data!$M$2:$M$3520,Sales_Data!$C$2:$C$3520,$A40,Sales_Data!$H$2:$H$3520,I$14,Sales_Data!$AE$2:$AE$3520,1),SUMIFS(Sales_Data!$N$2:$N$3520,Sales_Data!$C$2:$C$3520,$A40,Sales_Data!$H$2:$H$3520,I$14,Sales_Data!$AE$2:$AE$3520,1),SUMIFS(Sales_Data!$AE$2:$AE$3520,Sales_Data!$C$2:$C$3520,$A40,Sales_Data!$H$2:$H$3520,I$14))</f>
        <v>0</v>
      </c>
      <c r="J40" s="26" t="n">
        <f aca="false">CHOOSE(MATCH($B$3,Lists!$C$2:$C$5,0),SUMIFS(Sales_Data!$O$2:$O$3520,Sales_Data!$C$2:$C$3520,$A40,Sales_Data!$H$2:$H$3520,J$14,Sales_Data!$AE$2:$AE$3520,1),SUMIFS(Sales_Data!$M$2:$M$3520,Sales_Data!$C$2:$C$3520,$A40,Sales_Data!$H$2:$H$3520,J$14,Sales_Data!$AE$2:$AE$3520,1),SUMIFS(Sales_Data!$N$2:$N$3520,Sales_Data!$C$2:$C$3520,$A40,Sales_Data!$H$2:$H$3520,J$14,Sales_Data!$AE$2:$AE$3520,1),SUMIFS(Sales_Data!$AE$2:$AE$3520,Sales_Data!$C$2:$C$3520,$A40,Sales_Data!$H$2:$H$3520,J$14))</f>
        <v>0</v>
      </c>
      <c r="K40" s="26" t="n">
        <f aca="false">CHOOSE(MATCH($B$3,Lists!$C$2:$C$5,0),SUMIFS(Sales_Data!$O$2:$O$3520,Sales_Data!$C$2:$C$3520,$A40,Sales_Data!$H$2:$H$3520,K$14,Sales_Data!$AE$2:$AE$3520,1),SUMIFS(Sales_Data!$M$2:$M$3520,Sales_Data!$C$2:$C$3520,$A40,Sales_Data!$H$2:$H$3520,K$14,Sales_Data!$AE$2:$AE$3520,1),SUMIFS(Sales_Data!$N$2:$N$3520,Sales_Data!$C$2:$C$3520,$A40,Sales_Data!$H$2:$H$3520,K$14,Sales_Data!$AE$2:$AE$3520,1),SUMIFS(Sales_Data!$AE$2:$AE$3520,Sales_Data!$C$2:$C$3520,$A40,Sales_Data!$H$2:$H$3520,K$14))</f>
        <v>0</v>
      </c>
      <c r="L40" s="26" t="n">
        <f aca="false">CHOOSE(MATCH($B$3,Lists!$C$2:$C$5,0),SUMIFS(Sales_Data!$O$2:$O$3520,Sales_Data!$C$2:$C$3520,$A40,Sales_Data!$H$2:$H$3520,L$14,Sales_Data!$AE$2:$AE$3520,1),SUMIFS(Sales_Data!$M$2:$M$3520,Sales_Data!$C$2:$C$3520,$A40,Sales_Data!$H$2:$H$3520,L$14,Sales_Data!$AE$2:$AE$3520,1),SUMIFS(Sales_Data!$N$2:$N$3520,Sales_Data!$C$2:$C$3520,$A40,Sales_Data!$H$2:$H$3520,L$14,Sales_Data!$AE$2:$AE$3520,1),SUMIFS(Sales_Data!$AE$2:$AE$3520,Sales_Data!$C$2:$C$3520,$A40,Sales_Data!$H$2:$H$3520,L$14))</f>
        <v>1</v>
      </c>
      <c r="M40" s="26" t="n">
        <f aca="false">CHOOSE(MATCH($B$3,Lists!$C$2:$C$5,0),SUMIFS(Sales_Data!$O$2:$O$3520,Sales_Data!$C$2:$C$3520,$A40,Sales_Data!$H$2:$H$3520,M$14,Sales_Data!$AE$2:$AE$3520,1),SUMIFS(Sales_Data!$M$2:$M$3520,Sales_Data!$C$2:$C$3520,$A40,Sales_Data!$H$2:$H$3520,M$14,Sales_Data!$AE$2:$AE$3520,1),SUMIFS(Sales_Data!$N$2:$N$3520,Sales_Data!$C$2:$C$3520,$A40,Sales_Data!$H$2:$H$3520,M$14,Sales_Data!$AE$2:$AE$3520,1),SUMIFS(Sales_Data!$AE$2:$AE$3520,Sales_Data!$C$2:$C$3520,$A40,Sales_Data!$H$2:$H$3520,M$14))</f>
        <v>10</v>
      </c>
      <c r="N40" s="26" t="n">
        <f aca="false">CHOOSE(MATCH($B$3,Lists!$C$2:$C$5,0),SUMIFS(Sales_Data!$O$2:$O$3520,Sales_Data!$C$2:$C$3520,$A40,Sales_Data!$H$2:$H$3520,N$14,Sales_Data!$AE$2:$AE$3520,1),SUMIFS(Sales_Data!$M$2:$M$3520,Sales_Data!$C$2:$C$3520,$A40,Sales_Data!$H$2:$H$3520,N$14,Sales_Data!$AE$2:$AE$3520,1),SUMIFS(Sales_Data!$N$2:$N$3520,Sales_Data!$C$2:$C$3520,$A40,Sales_Data!$H$2:$H$3520,N$14,Sales_Data!$AE$2:$AE$3520,1),SUMIFS(Sales_Data!$AE$2:$AE$3520,Sales_Data!$C$2:$C$3520,$A40,Sales_Data!$H$2:$H$3520,N$14))</f>
        <v>2</v>
      </c>
      <c r="O40" s="26" t="n">
        <f aca="false">CHOOSE(MATCH($B$3,Lists!$C$2:$C$5,0),SUMIFS(Sales_Data!$O$2:$O$3520,Sales_Data!$C$2:$C$3520,$A40,Sales_Data!$H$2:$H$3520,O$14,Sales_Data!$AE$2:$AE$3520,1),SUMIFS(Sales_Data!$M$2:$M$3520,Sales_Data!$C$2:$C$3520,$A40,Sales_Data!$H$2:$H$3520,O$14,Sales_Data!$AE$2:$AE$3520,1),SUMIFS(Sales_Data!$N$2:$N$3520,Sales_Data!$C$2:$C$3520,$A40,Sales_Data!$H$2:$H$3520,O$14,Sales_Data!$AE$2:$AE$3520,1),SUMIFS(Sales_Data!$AE$2:$AE$3520,Sales_Data!$C$2:$C$3520,$A40,Sales_Data!$H$2:$H$3520,O$14))</f>
        <v>0</v>
      </c>
      <c r="P40" s="27" t="n">
        <f aca="false">CHOOSE(MATCH($B$3,Lists!$C$2:$C$5,0),SUMIFS(Sales_Data!$O$2:$O$3520,Sales_Data!$C$2:$C$3520,$A40,Sales_Data!$AE$2:$AE$3520,1),SUMIFS(Sales_Data!$M$2:$M$3520,Sales_Data!$C$2:$C$3520,$A40,Sales_Data!$AE$2:$AE$3520,1),SUMIFS(Sales_Data!$N$2:$N$3520,Sales_Data!$C$2:$C$3520,$A40,Sales_Data!$AE$2:$AE$3520,1),SUMIFS(Sales_Data!$AE$2:$AE$3520,Sales_Data!$C$2:$C$3520,$A40))</f>
        <v>28</v>
      </c>
      <c r="Q40" s="27" t="n">
        <f aca="false">P40-SUM(B40:O40)</f>
        <v>7</v>
      </c>
      <c r="R40" s="3"/>
      <c r="S40" s="72" t="n">
        <f aca="false">A40</f>
        <v>46250</v>
      </c>
      <c r="T40" s="28" t="n">
        <f aca="false">B40-B39</f>
        <v>0</v>
      </c>
      <c r="U40" s="28" t="n">
        <f aca="false">C40-C39</f>
        <v>0</v>
      </c>
      <c r="V40" s="28" t="n">
        <f aca="false">D40-D39</f>
        <v>1</v>
      </c>
      <c r="W40" s="28" t="n">
        <f aca="false">E40-E39</f>
        <v>0</v>
      </c>
      <c r="X40" s="28" t="n">
        <f aca="false">F40-F39</f>
        <v>-2</v>
      </c>
      <c r="Y40" s="28" t="n">
        <f aca="false">G40-G39</f>
        <v>1</v>
      </c>
      <c r="Z40" s="28" t="n">
        <f aca="false">H40-H39</f>
        <v>0</v>
      </c>
      <c r="AA40" s="28" t="n">
        <f aca="false">I40-I39</f>
        <v>0</v>
      </c>
      <c r="AB40" s="28" t="n">
        <f aca="false">J40-J39</f>
        <v>0</v>
      </c>
      <c r="AC40" s="28" t="n">
        <f aca="false">K40-K39</f>
        <v>0</v>
      </c>
      <c r="AD40" s="28" t="n">
        <f aca="false">L40-L39</f>
        <v>-2</v>
      </c>
      <c r="AE40" s="28" t="n">
        <f aca="false">M40-M39</f>
        <v>2</v>
      </c>
      <c r="AF40" s="28" t="n">
        <f aca="false">N40-N39</f>
        <v>1</v>
      </c>
      <c r="AG40" s="28" t="n">
        <f aca="false">O40-O39</f>
        <v>0</v>
      </c>
      <c r="AH40" s="28" t="n">
        <f aca="false">P40-P39</f>
        <v>-1</v>
      </c>
    </row>
    <row r="41" customFormat="false" ht="15" hidden="false" customHeight="false" outlineLevel="0" collapsed="false">
      <c r="A41" s="72" t="n">
        <v>46251</v>
      </c>
      <c r="B41" s="26" t="n">
        <f aca="false">CHOOSE(MATCH($B$3,Lists!$C$2:$C$5,0),SUMIFS(Sales_Data!$O$2:$O$3520,Sales_Data!$C$2:$C$3520,$A41,Sales_Data!$H$2:$H$3520,B$14,Sales_Data!$AE$2:$AE$3520,1),SUMIFS(Sales_Data!$M$2:$M$3520,Sales_Data!$C$2:$C$3520,$A41,Sales_Data!$H$2:$H$3520,B$14,Sales_Data!$AE$2:$AE$3520,1),SUMIFS(Sales_Data!$N$2:$N$3520,Sales_Data!$C$2:$C$3520,$A41,Sales_Data!$H$2:$H$3520,B$14,Sales_Data!$AE$2:$AE$3520,1),SUMIFS(Sales_Data!$AE$2:$AE$3520,Sales_Data!$C$2:$C$3520,$A41,Sales_Data!$H$2:$H$3520,B$14))</f>
        <v>0</v>
      </c>
      <c r="C41" s="26" t="n">
        <f aca="false">CHOOSE(MATCH($B$3,Lists!$C$2:$C$5,0),SUMIFS(Sales_Data!$O$2:$O$3520,Sales_Data!$C$2:$C$3520,$A41,Sales_Data!$H$2:$H$3520,C$14,Sales_Data!$AE$2:$AE$3520,1),SUMIFS(Sales_Data!$M$2:$M$3520,Sales_Data!$C$2:$C$3520,$A41,Sales_Data!$H$2:$H$3520,C$14,Sales_Data!$AE$2:$AE$3520,1),SUMIFS(Sales_Data!$N$2:$N$3520,Sales_Data!$C$2:$C$3520,$A41,Sales_Data!$H$2:$H$3520,C$14,Sales_Data!$AE$2:$AE$3520,1),SUMIFS(Sales_Data!$AE$2:$AE$3520,Sales_Data!$C$2:$C$3520,$A41,Sales_Data!$H$2:$H$3520,C$14))</f>
        <v>6</v>
      </c>
      <c r="D41" s="26" t="n">
        <f aca="false">CHOOSE(MATCH($B$3,Lists!$C$2:$C$5,0),SUMIFS(Sales_Data!$O$2:$O$3520,Sales_Data!$C$2:$C$3520,$A41,Sales_Data!$H$2:$H$3520,D$14,Sales_Data!$AE$2:$AE$3520,1),SUMIFS(Sales_Data!$M$2:$M$3520,Sales_Data!$C$2:$C$3520,$A41,Sales_Data!$H$2:$H$3520,D$14,Sales_Data!$AE$2:$AE$3520,1),SUMIFS(Sales_Data!$N$2:$N$3520,Sales_Data!$C$2:$C$3520,$A41,Sales_Data!$H$2:$H$3520,D$14,Sales_Data!$AE$2:$AE$3520,1),SUMIFS(Sales_Data!$AE$2:$AE$3520,Sales_Data!$C$2:$C$3520,$A41,Sales_Data!$H$2:$H$3520,D$14))</f>
        <v>2</v>
      </c>
      <c r="E41" s="26" t="n">
        <f aca="false">CHOOSE(MATCH($B$3,Lists!$C$2:$C$5,0),SUMIFS(Sales_Data!$O$2:$O$3520,Sales_Data!$C$2:$C$3520,$A41,Sales_Data!$H$2:$H$3520,E$14,Sales_Data!$AE$2:$AE$3520,1),SUMIFS(Sales_Data!$M$2:$M$3520,Sales_Data!$C$2:$C$3520,$A41,Sales_Data!$H$2:$H$3520,E$14,Sales_Data!$AE$2:$AE$3520,1),SUMIFS(Sales_Data!$N$2:$N$3520,Sales_Data!$C$2:$C$3520,$A41,Sales_Data!$H$2:$H$3520,E$14,Sales_Data!$AE$2:$AE$3520,1),SUMIFS(Sales_Data!$AE$2:$AE$3520,Sales_Data!$C$2:$C$3520,$A41,Sales_Data!$H$2:$H$3520,E$14))</f>
        <v>0</v>
      </c>
      <c r="F41" s="26" t="n">
        <f aca="false">CHOOSE(MATCH($B$3,Lists!$C$2:$C$5,0),SUMIFS(Sales_Data!$O$2:$O$3520,Sales_Data!$C$2:$C$3520,$A41,Sales_Data!$H$2:$H$3520,F$14,Sales_Data!$AE$2:$AE$3520,1),SUMIFS(Sales_Data!$M$2:$M$3520,Sales_Data!$C$2:$C$3520,$A41,Sales_Data!$H$2:$H$3520,F$14,Sales_Data!$AE$2:$AE$3520,1),SUMIFS(Sales_Data!$N$2:$N$3520,Sales_Data!$C$2:$C$3520,$A41,Sales_Data!$H$2:$H$3520,F$14,Sales_Data!$AE$2:$AE$3520,1),SUMIFS(Sales_Data!$AE$2:$AE$3520,Sales_Data!$C$2:$C$3520,$A41,Sales_Data!$H$2:$H$3520,F$14))</f>
        <v>4</v>
      </c>
      <c r="G41" s="26" t="n">
        <f aca="false">CHOOSE(MATCH($B$3,Lists!$C$2:$C$5,0),SUMIFS(Sales_Data!$O$2:$O$3520,Sales_Data!$C$2:$C$3520,$A41,Sales_Data!$H$2:$H$3520,G$14,Sales_Data!$AE$2:$AE$3520,1),SUMIFS(Sales_Data!$M$2:$M$3520,Sales_Data!$C$2:$C$3520,$A41,Sales_Data!$H$2:$H$3520,G$14,Sales_Data!$AE$2:$AE$3520,1),SUMIFS(Sales_Data!$N$2:$N$3520,Sales_Data!$C$2:$C$3520,$A41,Sales_Data!$H$2:$H$3520,G$14,Sales_Data!$AE$2:$AE$3520,1),SUMIFS(Sales_Data!$AE$2:$AE$3520,Sales_Data!$C$2:$C$3520,$A41,Sales_Data!$H$2:$H$3520,G$14))</f>
        <v>2</v>
      </c>
      <c r="H41" s="26" t="n">
        <f aca="false">CHOOSE(MATCH($B$3,Lists!$C$2:$C$5,0),SUMIFS(Sales_Data!$O$2:$O$3520,Sales_Data!$C$2:$C$3520,$A41,Sales_Data!$H$2:$H$3520,H$14,Sales_Data!$AE$2:$AE$3520,1),SUMIFS(Sales_Data!$M$2:$M$3520,Sales_Data!$C$2:$C$3520,$A41,Sales_Data!$H$2:$H$3520,H$14,Sales_Data!$AE$2:$AE$3520,1),SUMIFS(Sales_Data!$N$2:$N$3520,Sales_Data!$C$2:$C$3520,$A41,Sales_Data!$H$2:$H$3520,H$14,Sales_Data!$AE$2:$AE$3520,1),SUMIFS(Sales_Data!$AE$2:$AE$3520,Sales_Data!$C$2:$C$3520,$A41,Sales_Data!$H$2:$H$3520,H$14))</f>
        <v>0</v>
      </c>
      <c r="I41" s="26" t="n">
        <f aca="false">CHOOSE(MATCH($B$3,Lists!$C$2:$C$5,0),SUMIFS(Sales_Data!$O$2:$O$3520,Sales_Data!$C$2:$C$3520,$A41,Sales_Data!$H$2:$H$3520,I$14,Sales_Data!$AE$2:$AE$3520,1),SUMIFS(Sales_Data!$M$2:$M$3520,Sales_Data!$C$2:$C$3520,$A41,Sales_Data!$H$2:$H$3520,I$14,Sales_Data!$AE$2:$AE$3520,1),SUMIFS(Sales_Data!$N$2:$N$3520,Sales_Data!$C$2:$C$3520,$A41,Sales_Data!$H$2:$H$3520,I$14,Sales_Data!$AE$2:$AE$3520,1),SUMIFS(Sales_Data!$AE$2:$AE$3520,Sales_Data!$C$2:$C$3520,$A41,Sales_Data!$H$2:$H$3520,I$14))</f>
        <v>0</v>
      </c>
      <c r="J41" s="26" t="n">
        <f aca="false">CHOOSE(MATCH($B$3,Lists!$C$2:$C$5,0),SUMIFS(Sales_Data!$O$2:$O$3520,Sales_Data!$C$2:$C$3520,$A41,Sales_Data!$H$2:$H$3520,J$14,Sales_Data!$AE$2:$AE$3520,1),SUMIFS(Sales_Data!$M$2:$M$3520,Sales_Data!$C$2:$C$3520,$A41,Sales_Data!$H$2:$H$3520,J$14,Sales_Data!$AE$2:$AE$3520,1),SUMIFS(Sales_Data!$N$2:$N$3520,Sales_Data!$C$2:$C$3520,$A41,Sales_Data!$H$2:$H$3520,J$14,Sales_Data!$AE$2:$AE$3520,1),SUMIFS(Sales_Data!$AE$2:$AE$3520,Sales_Data!$C$2:$C$3520,$A41,Sales_Data!$H$2:$H$3520,J$14))</f>
        <v>0</v>
      </c>
      <c r="K41" s="26" t="n">
        <f aca="false">CHOOSE(MATCH($B$3,Lists!$C$2:$C$5,0),SUMIFS(Sales_Data!$O$2:$O$3520,Sales_Data!$C$2:$C$3520,$A41,Sales_Data!$H$2:$H$3520,K$14,Sales_Data!$AE$2:$AE$3520,1),SUMIFS(Sales_Data!$M$2:$M$3520,Sales_Data!$C$2:$C$3520,$A41,Sales_Data!$H$2:$H$3520,K$14,Sales_Data!$AE$2:$AE$3520,1),SUMIFS(Sales_Data!$N$2:$N$3520,Sales_Data!$C$2:$C$3520,$A41,Sales_Data!$H$2:$H$3520,K$14,Sales_Data!$AE$2:$AE$3520,1),SUMIFS(Sales_Data!$AE$2:$AE$3520,Sales_Data!$C$2:$C$3520,$A41,Sales_Data!$H$2:$H$3520,K$14))</f>
        <v>0</v>
      </c>
      <c r="L41" s="26" t="n">
        <f aca="false">CHOOSE(MATCH($B$3,Lists!$C$2:$C$5,0),SUMIFS(Sales_Data!$O$2:$O$3520,Sales_Data!$C$2:$C$3520,$A41,Sales_Data!$H$2:$H$3520,L$14,Sales_Data!$AE$2:$AE$3520,1),SUMIFS(Sales_Data!$M$2:$M$3520,Sales_Data!$C$2:$C$3520,$A41,Sales_Data!$H$2:$H$3520,L$14,Sales_Data!$AE$2:$AE$3520,1),SUMIFS(Sales_Data!$N$2:$N$3520,Sales_Data!$C$2:$C$3520,$A41,Sales_Data!$H$2:$H$3520,L$14,Sales_Data!$AE$2:$AE$3520,1),SUMIFS(Sales_Data!$AE$2:$AE$3520,Sales_Data!$C$2:$C$3520,$A41,Sales_Data!$H$2:$H$3520,L$14))</f>
        <v>4</v>
      </c>
      <c r="M41" s="26" t="n">
        <f aca="false">CHOOSE(MATCH($B$3,Lists!$C$2:$C$5,0),SUMIFS(Sales_Data!$O$2:$O$3520,Sales_Data!$C$2:$C$3520,$A41,Sales_Data!$H$2:$H$3520,M$14,Sales_Data!$AE$2:$AE$3520,1),SUMIFS(Sales_Data!$M$2:$M$3520,Sales_Data!$C$2:$C$3520,$A41,Sales_Data!$H$2:$H$3520,M$14,Sales_Data!$AE$2:$AE$3520,1),SUMIFS(Sales_Data!$N$2:$N$3520,Sales_Data!$C$2:$C$3520,$A41,Sales_Data!$H$2:$H$3520,M$14,Sales_Data!$AE$2:$AE$3520,1),SUMIFS(Sales_Data!$AE$2:$AE$3520,Sales_Data!$C$2:$C$3520,$A41,Sales_Data!$H$2:$H$3520,M$14))</f>
        <v>3</v>
      </c>
      <c r="N41" s="26" t="n">
        <f aca="false">CHOOSE(MATCH($B$3,Lists!$C$2:$C$5,0),SUMIFS(Sales_Data!$O$2:$O$3520,Sales_Data!$C$2:$C$3520,$A41,Sales_Data!$H$2:$H$3520,N$14,Sales_Data!$AE$2:$AE$3520,1),SUMIFS(Sales_Data!$M$2:$M$3520,Sales_Data!$C$2:$C$3520,$A41,Sales_Data!$H$2:$H$3520,N$14,Sales_Data!$AE$2:$AE$3520,1),SUMIFS(Sales_Data!$N$2:$N$3520,Sales_Data!$C$2:$C$3520,$A41,Sales_Data!$H$2:$H$3520,N$14,Sales_Data!$AE$2:$AE$3520,1),SUMIFS(Sales_Data!$AE$2:$AE$3520,Sales_Data!$C$2:$C$3520,$A41,Sales_Data!$H$2:$H$3520,N$14))</f>
        <v>3</v>
      </c>
      <c r="O41" s="26" t="n">
        <f aca="false">CHOOSE(MATCH($B$3,Lists!$C$2:$C$5,0),SUMIFS(Sales_Data!$O$2:$O$3520,Sales_Data!$C$2:$C$3520,$A41,Sales_Data!$H$2:$H$3520,O$14,Sales_Data!$AE$2:$AE$3520,1),SUMIFS(Sales_Data!$M$2:$M$3520,Sales_Data!$C$2:$C$3520,$A41,Sales_Data!$H$2:$H$3520,O$14,Sales_Data!$AE$2:$AE$3520,1),SUMIFS(Sales_Data!$N$2:$N$3520,Sales_Data!$C$2:$C$3520,$A41,Sales_Data!$H$2:$H$3520,O$14,Sales_Data!$AE$2:$AE$3520,1),SUMIFS(Sales_Data!$AE$2:$AE$3520,Sales_Data!$C$2:$C$3520,$A41,Sales_Data!$H$2:$H$3520,O$14))</f>
        <v>0</v>
      </c>
      <c r="P41" s="27" t="n">
        <f aca="false">CHOOSE(MATCH($B$3,Lists!$C$2:$C$5,0),SUMIFS(Sales_Data!$O$2:$O$3520,Sales_Data!$C$2:$C$3520,$A41,Sales_Data!$AE$2:$AE$3520,1),SUMIFS(Sales_Data!$M$2:$M$3520,Sales_Data!$C$2:$C$3520,$A41,Sales_Data!$AE$2:$AE$3520,1),SUMIFS(Sales_Data!$N$2:$N$3520,Sales_Data!$C$2:$C$3520,$A41,Sales_Data!$AE$2:$AE$3520,1),SUMIFS(Sales_Data!$AE$2:$AE$3520,Sales_Data!$C$2:$C$3520,$A41))</f>
        <v>24</v>
      </c>
      <c r="Q41" s="27" t="n">
        <f aca="false">P41-SUM(B41:O41)</f>
        <v>0</v>
      </c>
      <c r="R41" s="3"/>
      <c r="S41" s="72" t="n">
        <f aca="false">A41</f>
        <v>46251</v>
      </c>
      <c r="T41" s="28" t="n">
        <f aca="false">B41-B40</f>
        <v>0</v>
      </c>
      <c r="U41" s="28" t="n">
        <f aca="false">C41-C40</f>
        <v>6</v>
      </c>
      <c r="V41" s="28" t="n">
        <f aca="false">D41-D40</f>
        <v>0</v>
      </c>
      <c r="W41" s="28" t="n">
        <f aca="false">E41-E40</f>
        <v>0</v>
      </c>
      <c r="X41" s="28" t="n">
        <f aca="false">F41-F40</f>
        <v>-1</v>
      </c>
      <c r="Y41" s="28" t="n">
        <f aca="false">G41-G40</f>
        <v>1</v>
      </c>
      <c r="Z41" s="28" t="n">
        <f aca="false">H41-H40</f>
        <v>0</v>
      </c>
      <c r="AA41" s="28" t="n">
        <f aca="false">I41-I40</f>
        <v>0</v>
      </c>
      <c r="AB41" s="28" t="n">
        <f aca="false">J41-J40</f>
        <v>0</v>
      </c>
      <c r="AC41" s="28" t="n">
        <f aca="false">K41-K40</f>
        <v>0</v>
      </c>
      <c r="AD41" s="28" t="n">
        <f aca="false">L41-L40</f>
        <v>3</v>
      </c>
      <c r="AE41" s="28" t="n">
        <f aca="false">M41-M40</f>
        <v>-7</v>
      </c>
      <c r="AF41" s="28" t="n">
        <f aca="false">N41-N40</f>
        <v>1</v>
      </c>
      <c r="AG41" s="28" t="n">
        <f aca="false">O41-O40</f>
        <v>0</v>
      </c>
      <c r="AH41" s="28" t="n">
        <f aca="false">P41-P40</f>
        <v>-4</v>
      </c>
    </row>
    <row r="42" customFormat="false" ht="15" hidden="false" customHeight="false" outlineLevel="0" collapsed="false">
      <c r="A42" s="72" t="n">
        <v>46252</v>
      </c>
      <c r="B42" s="26" t="n">
        <f aca="false">CHOOSE(MATCH($B$3,Lists!$C$2:$C$5,0),SUMIFS(Sales_Data!$O$2:$O$3520,Sales_Data!$C$2:$C$3520,$A42,Sales_Data!$H$2:$H$3520,B$14,Sales_Data!$AE$2:$AE$3520,1),SUMIFS(Sales_Data!$M$2:$M$3520,Sales_Data!$C$2:$C$3520,$A42,Sales_Data!$H$2:$H$3520,B$14,Sales_Data!$AE$2:$AE$3520,1),SUMIFS(Sales_Data!$N$2:$N$3520,Sales_Data!$C$2:$C$3520,$A42,Sales_Data!$H$2:$H$3520,B$14,Sales_Data!$AE$2:$AE$3520,1),SUMIFS(Sales_Data!$AE$2:$AE$3520,Sales_Data!$C$2:$C$3520,$A42,Sales_Data!$H$2:$H$3520,B$14))</f>
        <v>0</v>
      </c>
      <c r="C42" s="26" t="n">
        <f aca="false">CHOOSE(MATCH($B$3,Lists!$C$2:$C$5,0),SUMIFS(Sales_Data!$O$2:$O$3520,Sales_Data!$C$2:$C$3520,$A42,Sales_Data!$H$2:$H$3520,C$14,Sales_Data!$AE$2:$AE$3520,1),SUMIFS(Sales_Data!$M$2:$M$3520,Sales_Data!$C$2:$C$3520,$A42,Sales_Data!$H$2:$H$3520,C$14,Sales_Data!$AE$2:$AE$3520,1),SUMIFS(Sales_Data!$N$2:$N$3520,Sales_Data!$C$2:$C$3520,$A42,Sales_Data!$H$2:$H$3520,C$14,Sales_Data!$AE$2:$AE$3520,1),SUMIFS(Sales_Data!$AE$2:$AE$3520,Sales_Data!$C$2:$C$3520,$A42,Sales_Data!$H$2:$H$3520,C$14))</f>
        <v>3</v>
      </c>
      <c r="D42" s="26" t="n">
        <f aca="false">CHOOSE(MATCH($B$3,Lists!$C$2:$C$5,0),SUMIFS(Sales_Data!$O$2:$O$3520,Sales_Data!$C$2:$C$3520,$A42,Sales_Data!$H$2:$H$3520,D$14,Sales_Data!$AE$2:$AE$3520,1),SUMIFS(Sales_Data!$M$2:$M$3520,Sales_Data!$C$2:$C$3520,$A42,Sales_Data!$H$2:$H$3520,D$14,Sales_Data!$AE$2:$AE$3520,1),SUMIFS(Sales_Data!$N$2:$N$3520,Sales_Data!$C$2:$C$3520,$A42,Sales_Data!$H$2:$H$3520,D$14,Sales_Data!$AE$2:$AE$3520,1),SUMIFS(Sales_Data!$AE$2:$AE$3520,Sales_Data!$C$2:$C$3520,$A42,Sales_Data!$H$2:$H$3520,D$14))</f>
        <v>1</v>
      </c>
      <c r="E42" s="26" t="n">
        <f aca="false">CHOOSE(MATCH($B$3,Lists!$C$2:$C$5,0),SUMIFS(Sales_Data!$O$2:$O$3520,Sales_Data!$C$2:$C$3520,$A42,Sales_Data!$H$2:$H$3520,E$14,Sales_Data!$AE$2:$AE$3520,1),SUMIFS(Sales_Data!$M$2:$M$3520,Sales_Data!$C$2:$C$3520,$A42,Sales_Data!$H$2:$H$3520,E$14,Sales_Data!$AE$2:$AE$3520,1),SUMIFS(Sales_Data!$N$2:$N$3520,Sales_Data!$C$2:$C$3520,$A42,Sales_Data!$H$2:$H$3520,E$14,Sales_Data!$AE$2:$AE$3520,1),SUMIFS(Sales_Data!$AE$2:$AE$3520,Sales_Data!$C$2:$C$3520,$A42,Sales_Data!$H$2:$H$3520,E$14))</f>
        <v>0</v>
      </c>
      <c r="F42" s="26" t="n">
        <f aca="false">CHOOSE(MATCH($B$3,Lists!$C$2:$C$5,0),SUMIFS(Sales_Data!$O$2:$O$3520,Sales_Data!$C$2:$C$3520,$A42,Sales_Data!$H$2:$H$3520,F$14,Sales_Data!$AE$2:$AE$3520,1),SUMIFS(Sales_Data!$M$2:$M$3520,Sales_Data!$C$2:$C$3520,$A42,Sales_Data!$H$2:$H$3520,F$14,Sales_Data!$AE$2:$AE$3520,1),SUMIFS(Sales_Data!$N$2:$N$3520,Sales_Data!$C$2:$C$3520,$A42,Sales_Data!$H$2:$H$3520,F$14,Sales_Data!$AE$2:$AE$3520,1),SUMIFS(Sales_Data!$AE$2:$AE$3520,Sales_Data!$C$2:$C$3520,$A42,Sales_Data!$H$2:$H$3520,F$14))</f>
        <v>4</v>
      </c>
      <c r="G42" s="26" t="n">
        <f aca="false">CHOOSE(MATCH($B$3,Lists!$C$2:$C$5,0),SUMIFS(Sales_Data!$O$2:$O$3520,Sales_Data!$C$2:$C$3520,$A42,Sales_Data!$H$2:$H$3520,G$14,Sales_Data!$AE$2:$AE$3520,1),SUMIFS(Sales_Data!$M$2:$M$3520,Sales_Data!$C$2:$C$3520,$A42,Sales_Data!$H$2:$H$3520,G$14,Sales_Data!$AE$2:$AE$3520,1),SUMIFS(Sales_Data!$N$2:$N$3520,Sales_Data!$C$2:$C$3520,$A42,Sales_Data!$H$2:$H$3520,G$14,Sales_Data!$AE$2:$AE$3520,1),SUMIFS(Sales_Data!$AE$2:$AE$3520,Sales_Data!$C$2:$C$3520,$A42,Sales_Data!$H$2:$H$3520,G$14))</f>
        <v>1</v>
      </c>
      <c r="H42" s="26" t="n">
        <f aca="false">CHOOSE(MATCH($B$3,Lists!$C$2:$C$5,0),SUMIFS(Sales_Data!$O$2:$O$3520,Sales_Data!$C$2:$C$3520,$A42,Sales_Data!$H$2:$H$3520,H$14,Sales_Data!$AE$2:$AE$3520,1),SUMIFS(Sales_Data!$M$2:$M$3520,Sales_Data!$C$2:$C$3520,$A42,Sales_Data!$H$2:$H$3520,H$14,Sales_Data!$AE$2:$AE$3520,1),SUMIFS(Sales_Data!$N$2:$N$3520,Sales_Data!$C$2:$C$3520,$A42,Sales_Data!$H$2:$H$3520,H$14,Sales_Data!$AE$2:$AE$3520,1),SUMIFS(Sales_Data!$AE$2:$AE$3520,Sales_Data!$C$2:$C$3520,$A42,Sales_Data!$H$2:$H$3520,H$14))</f>
        <v>0</v>
      </c>
      <c r="I42" s="26" t="n">
        <f aca="false">CHOOSE(MATCH($B$3,Lists!$C$2:$C$5,0),SUMIFS(Sales_Data!$O$2:$O$3520,Sales_Data!$C$2:$C$3520,$A42,Sales_Data!$H$2:$H$3520,I$14,Sales_Data!$AE$2:$AE$3520,1),SUMIFS(Sales_Data!$M$2:$M$3520,Sales_Data!$C$2:$C$3520,$A42,Sales_Data!$H$2:$H$3520,I$14,Sales_Data!$AE$2:$AE$3520,1),SUMIFS(Sales_Data!$N$2:$N$3520,Sales_Data!$C$2:$C$3520,$A42,Sales_Data!$H$2:$H$3520,I$14,Sales_Data!$AE$2:$AE$3520,1),SUMIFS(Sales_Data!$AE$2:$AE$3520,Sales_Data!$C$2:$C$3520,$A42,Sales_Data!$H$2:$H$3520,I$14))</f>
        <v>0</v>
      </c>
      <c r="J42" s="26" t="n">
        <f aca="false">CHOOSE(MATCH($B$3,Lists!$C$2:$C$5,0),SUMIFS(Sales_Data!$O$2:$O$3520,Sales_Data!$C$2:$C$3520,$A42,Sales_Data!$H$2:$H$3520,J$14,Sales_Data!$AE$2:$AE$3520,1),SUMIFS(Sales_Data!$M$2:$M$3520,Sales_Data!$C$2:$C$3520,$A42,Sales_Data!$H$2:$H$3520,J$14,Sales_Data!$AE$2:$AE$3520,1),SUMIFS(Sales_Data!$N$2:$N$3520,Sales_Data!$C$2:$C$3520,$A42,Sales_Data!$H$2:$H$3520,J$14,Sales_Data!$AE$2:$AE$3520,1),SUMIFS(Sales_Data!$AE$2:$AE$3520,Sales_Data!$C$2:$C$3520,$A42,Sales_Data!$H$2:$H$3520,J$14))</f>
        <v>0</v>
      </c>
      <c r="K42" s="26" t="n">
        <f aca="false">CHOOSE(MATCH($B$3,Lists!$C$2:$C$5,0),SUMIFS(Sales_Data!$O$2:$O$3520,Sales_Data!$C$2:$C$3520,$A42,Sales_Data!$H$2:$H$3520,K$14,Sales_Data!$AE$2:$AE$3520,1),SUMIFS(Sales_Data!$M$2:$M$3520,Sales_Data!$C$2:$C$3520,$A42,Sales_Data!$H$2:$H$3520,K$14,Sales_Data!$AE$2:$AE$3520,1),SUMIFS(Sales_Data!$N$2:$N$3520,Sales_Data!$C$2:$C$3520,$A42,Sales_Data!$H$2:$H$3520,K$14,Sales_Data!$AE$2:$AE$3520,1),SUMIFS(Sales_Data!$AE$2:$AE$3520,Sales_Data!$C$2:$C$3520,$A42,Sales_Data!$H$2:$H$3520,K$14))</f>
        <v>0</v>
      </c>
      <c r="L42" s="26" t="n">
        <f aca="false">CHOOSE(MATCH($B$3,Lists!$C$2:$C$5,0),SUMIFS(Sales_Data!$O$2:$O$3520,Sales_Data!$C$2:$C$3520,$A42,Sales_Data!$H$2:$H$3520,L$14,Sales_Data!$AE$2:$AE$3520,1),SUMIFS(Sales_Data!$M$2:$M$3520,Sales_Data!$C$2:$C$3520,$A42,Sales_Data!$H$2:$H$3520,L$14,Sales_Data!$AE$2:$AE$3520,1),SUMIFS(Sales_Data!$N$2:$N$3520,Sales_Data!$C$2:$C$3520,$A42,Sales_Data!$H$2:$H$3520,L$14,Sales_Data!$AE$2:$AE$3520,1),SUMIFS(Sales_Data!$AE$2:$AE$3520,Sales_Data!$C$2:$C$3520,$A42,Sales_Data!$H$2:$H$3520,L$14))</f>
        <v>0</v>
      </c>
      <c r="M42" s="26" t="n">
        <f aca="false">CHOOSE(MATCH($B$3,Lists!$C$2:$C$5,0),SUMIFS(Sales_Data!$O$2:$O$3520,Sales_Data!$C$2:$C$3520,$A42,Sales_Data!$H$2:$H$3520,M$14,Sales_Data!$AE$2:$AE$3520,1),SUMIFS(Sales_Data!$M$2:$M$3520,Sales_Data!$C$2:$C$3520,$A42,Sales_Data!$H$2:$H$3520,M$14,Sales_Data!$AE$2:$AE$3520,1),SUMIFS(Sales_Data!$N$2:$N$3520,Sales_Data!$C$2:$C$3520,$A42,Sales_Data!$H$2:$H$3520,M$14,Sales_Data!$AE$2:$AE$3520,1),SUMIFS(Sales_Data!$AE$2:$AE$3520,Sales_Data!$C$2:$C$3520,$A42,Sales_Data!$H$2:$H$3520,M$14))</f>
        <v>2</v>
      </c>
      <c r="N42" s="26" t="n">
        <f aca="false">CHOOSE(MATCH($B$3,Lists!$C$2:$C$5,0),SUMIFS(Sales_Data!$O$2:$O$3520,Sales_Data!$C$2:$C$3520,$A42,Sales_Data!$H$2:$H$3520,N$14,Sales_Data!$AE$2:$AE$3520,1),SUMIFS(Sales_Data!$M$2:$M$3520,Sales_Data!$C$2:$C$3520,$A42,Sales_Data!$H$2:$H$3520,N$14,Sales_Data!$AE$2:$AE$3520,1),SUMIFS(Sales_Data!$N$2:$N$3520,Sales_Data!$C$2:$C$3520,$A42,Sales_Data!$H$2:$H$3520,N$14,Sales_Data!$AE$2:$AE$3520,1),SUMIFS(Sales_Data!$AE$2:$AE$3520,Sales_Data!$C$2:$C$3520,$A42,Sales_Data!$H$2:$H$3520,N$14))</f>
        <v>6</v>
      </c>
      <c r="O42" s="26" t="n">
        <f aca="false">CHOOSE(MATCH($B$3,Lists!$C$2:$C$5,0),SUMIFS(Sales_Data!$O$2:$O$3520,Sales_Data!$C$2:$C$3520,$A42,Sales_Data!$H$2:$H$3520,O$14,Sales_Data!$AE$2:$AE$3520,1),SUMIFS(Sales_Data!$M$2:$M$3520,Sales_Data!$C$2:$C$3520,$A42,Sales_Data!$H$2:$H$3520,O$14,Sales_Data!$AE$2:$AE$3520,1),SUMIFS(Sales_Data!$N$2:$N$3520,Sales_Data!$C$2:$C$3520,$A42,Sales_Data!$H$2:$H$3520,O$14,Sales_Data!$AE$2:$AE$3520,1),SUMIFS(Sales_Data!$AE$2:$AE$3520,Sales_Data!$C$2:$C$3520,$A42,Sales_Data!$H$2:$H$3520,O$14))</f>
        <v>0</v>
      </c>
      <c r="P42" s="27" t="n">
        <f aca="false">CHOOSE(MATCH($B$3,Lists!$C$2:$C$5,0),SUMIFS(Sales_Data!$O$2:$O$3520,Sales_Data!$C$2:$C$3520,$A42,Sales_Data!$AE$2:$AE$3520,1),SUMIFS(Sales_Data!$M$2:$M$3520,Sales_Data!$C$2:$C$3520,$A42,Sales_Data!$AE$2:$AE$3520,1),SUMIFS(Sales_Data!$N$2:$N$3520,Sales_Data!$C$2:$C$3520,$A42,Sales_Data!$AE$2:$AE$3520,1),SUMIFS(Sales_Data!$AE$2:$AE$3520,Sales_Data!$C$2:$C$3520,$A42))</f>
        <v>19</v>
      </c>
      <c r="Q42" s="27" t="n">
        <f aca="false">P42-SUM(B42:O42)</f>
        <v>2</v>
      </c>
      <c r="R42" s="3"/>
      <c r="S42" s="72" t="n">
        <f aca="false">A42</f>
        <v>46252</v>
      </c>
      <c r="T42" s="28" t="n">
        <f aca="false">B42-B41</f>
        <v>0</v>
      </c>
      <c r="U42" s="28" t="n">
        <f aca="false">C42-C41</f>
        <v>-3</v>
      </c>
      <c r="V42" s="28" t="n">
        <f aca="false">D42-D41</f>
        <v>-1</v>
      </c>
      <c r="W42" s="28" t="n">
        <f aca="false">E42-E41</f>
        <v>0</v>
      </c>
      <c r="X42" s="28" t="n">
        <f aca="false">F42-F41</f>
        <v>0</v>
      </c>
      <c r="Y42" s="28" t="n">
        <f aca="false">G42-G41</f>
        <v>-1</v>
      </c>
      <c r="Z42" s="28" t="n">
        <f aca="false">H42-H41</f>
        <v>0</v>
      </c>
      <c r="AA42" s="28" t="n">
        <f aca="false">I42-I41</f>
        <v>0</v>
      </c>
      <c r="AB42" s="28" t="n">
        <f aca="false">J42-J41</f>
        <v>0</v>
      </c>
      <c r="AC42" s="28" t="n">
        <f aca="false">K42-K41</f>
        <v>0</v>
      </c>
      <c r="AD42" s="28" t="n">
        <f aca="false">L42-L41</f>
        <v>-4</v>
      </c>
      <c r="AE42" s="28" t="n">
        <f aca="false">M42-M41</f>
        <v>-1</v>
      </c>
      <c r="AF42" s="28" t="n">
        <f aca="false">N42-N41</f>
        <v>3</v>
      </c>
      <c r="AG42" s="28" t="n">
        <f aca="false">O42-O41</f>
        <v>0</v>
      </c>
      <c r="AH42" s="28" t="n">
        <f aca="false">P42-P41</f>
        <v>-5</v>
      </c>
    </row>
    <row r="43" customFormat="false" ht="15" hidden="false" customHeight="false" outlineLevel="0" collapsed="false">
      <c r="A43" s="72" t="n">
        <v>46253</v>
      </c>
      <c r="B43" s="26" t="n">
        <f aca="false">CHOOSE(MATCH($B$3,Lists!$C$2:$C$5,0),SUMIFS(Sales_Data!$O$2:$O$3520,Sales_Data!$C$2:$C$3520,$A43,Sales_Data!$H$2:$H$3520,B$14,Sales_Data!$AE$2:$AE$3520,1),SUMIFS(Sales_Data!$M$2:$M$3520,Sales_Data!$C$2:$C$3520,$A43,Sales_Data!$H$2:$H$3520,B$14,Sales_Data!$AE$2:$AE$3520,1),SUMIFS(Sales_Data!$N$2:$N$3520,Sales_Data!$C$2:$C$3520,$A43,Sales_Data!$H$2:$H$3520,B$14,Sales_Data!$AE$2:$AE$3520,1),SUMIFS(Sales_Data!$AE$2:$AE$3520,Sales_Data!$C$2:$C$3520,$A43,Sales_Data!$H$2:$H$3520,B$14))</f>
        <v>0</v>
      </c>
      <c r="C43" s="26" t="n">
        <f aca="false">CHOOSE(MATCH($B$3,Lists!$C$2:$C$5,0),SUMIFS(Sales_Data!$O$2:$O$3520,Sales_Data!$C$2:$C$3520,$A43,Sales_Data!$H$2:$H$3520,C$14,Sales_Data!$AE$2:$AE$3520,1),SUMIFS(Sales_Data!$M$2:$M$3520,Sales_Data!$C$2:$C$3520,$A43,Sales_Data!$H$2:$H$3520,C$14,Sales_Data!$AE$2:$AE$3520,1),SUMIFS(Sales_Data!$N$2:$N$3520,Sales_Data!$C$2:$C$3520,$A43,Sales_Data!$H$2:$H$3520,C$14,Sales_Data!$AE$2:$AE$3520,1),SUMIFS(Sales_Data!$AE$2:$AE$3520,Sales_Data!$C$2:$C$3520,$A43,Sales_Data!$H$2:$H$3520,C$14))</f>
        <v>2</v>
      </c>
      <c r="D43" s="26" t="n">
        <f aca="false">CHOOSE(MATCH($B$3,Lists!$C$2:$C$5,0),SUMIFS(Sales_Data!$O$2:$O$3520,Sales_Data!$C$2:$C$3520,$A43,Sales_Data!$H$2:$H$3520,D$14,Sales_Data!$AE$2:$AE$3520,1),SUMIFS(Sales_Data!$M$2:$M$3520,Sales_Data!$C$2:$C$3520,$A43,Sales_Data!$H$2:$H$3520,D$14,Sales_Data!$AE$2:$AE$3520,1),SUMIFS(Sales_Data!$N$2:$N$3520,Sales_Data!$C$2:$C$3520,$A43,Sales_Data!$H$2:$H$3520,D$14,Sales_Data!$AE$2:$AE$3520,1),SUMIFS(Sales_Data!$AE$2:$AE$3520,Sales_Data!$C$2:$C$3520,$A43,Sales_Data!$H$2:$H$3520,D$14))</f>
        <v>4</v>
      </c>
      <c r="E43" s="26" t="n">
        <f aca="false">CHOOSE(MATCH($B$3,Lists!$C$2:$C$5,0),SUMIFS(Sales_Data!$O$2:$O$3520,Sales_Data!$C$2:$C$3520,$A43,Sales_Data!$H$2:$H$3520,E$14,Sales_Data!$AE$2:$AE$3520,1),SUMIFS(Sales_Data!$M$2:$M$3520,Sales_Data!$C$2:$C$3520,$A43,Sales_Data!$H$2:$H$3520,E$14,Sales_Data!$AE$2:$AE$3520,1),SUMIFS(Sales_Data!$N$2:$N$3520,Sales_Data!$C$2:$C$3520,$A43,Sales_Data!$H$2:$H$3520,E$14,Sales_Data!$AE$2:$AE$3520,1),SUMIFS(Sales_Data!$AE$2:$AE$3520,Sales_Data!$C$2:$C$3520,$A43,Sales_Data!$H$2:$H$3520,E$14))</f>
        <v>0</v>
      </c>
      <c r="F43" s="26" t="n">
        <f aca="false">CHOOSE(MATCH($B$3,Lists!$C$2:$C$5,0),SUMIFS(Sales_Data!$O$2:$O$3520,Sales_Data!$C$2:$C$3520,$A43,Sales_Data!$H$2:$H$3520,F$14,Sales_Data!$AE$2:$AE$3520,1),SUMIFS(Sales_Data!$M$2:$M$3520,Sales_Data!$C$2:$C$3520,$A43,Sales_Data!$H$2:$H$3520,F$14,Sales_Data!$AE$2:$AE$3520,1),SUMIFS(Sales_Data!$N$2:$N$3520,Sales_Data!$C$2:$C$3520,$A43,Sales_Data!$H$2:$H$3520,F$14,Sales_Data!$AE$2:$AE$3520,1),SUMIFS(Sales_Data!$AE$2:$AE$3520,Sales_Data!$C$2:$C$3520,$A43,Sales_Data!$H$2:$H$3520,F$14))</f>
        <v>13</v>
      </c>
      <c r="G43" s="26" t="n">
        <f aca="false">CHOOSE(MATCH($B$3,Lists!$C$2:$C$5,0),SUMIFS(Sales_Data!$O$2:$O$3520,Sales_Data!$C$2:$C$3520,$A43,Sales_Data!$H$2:$H$3520,G$14,Sales_Data!$AE$2:$AE$3520,1),SUMIFS(Sales_Data!$M$2:$M$3520,Sales_Data!$C$2:$C$3520,$A43,Sales_Data!$H$2:$H$3520,G$14,Sales_Data!$AE$2:$AE$3520,1),SUMIFS(Sales_Data!$N$2:$N$3520,Sales_Data!$C$2:$C$3520,$A43,Sales_Data!$H$2:$H$3520,G$14,Sales_Data!$AE$2:$AE$3520,1),SUMIFS(Sales_Data!$AE$2:$AE$3520,Sales_Data!$C$2:$C$3520,$A43,Sales_Data!$H$2:$H$3520,G$14))</f>
        <v>0</v>
      </c>
      <c r="H43" s="26" t="n">
        <f aca="false">CHOOSE(MATCH($B$3,Lists!$C$2:$C$5,0),SUMIFS(Sales_Data!$O$2:$O$3520,Sales_Data!$C$2:$C$3520,$A43,Sales_Data!$H$2:$H$3520,H$14,Sales_Data!$AE$2:$AE$3520,1),SUMIFS(Sales_Data!$M$2:$M$3520,Sales_Data!$C$2:$C$3520,$A43,Sales_Data!$H$2:$H$3520,H$14,Sales_Data!$AE$2:$AE$3520,1),SUMIFS(Sales_Data!$N$2:$N$3520,Sales_Data!$C$2:$C$3520,$A43,Sales_Data!$H$2:$H$3520,H$14,Sales_Data!$AE$2:$AE$3520,1),SUMIFS(Sales_Data!$AE$2:$AE$3520,Sales_Data!$C$2:$C$3520,$A43,Sales_Data!$H$2:$H$3520,H$14))</f>
        <v>0</v>
      </c>
      <c r="I43" s="26" t="n">
        <f aca="false">CHOOSE(MATCH($B$3,Lists!$C$2:$C$5,0),SUMIFS(Sales_Data!$O$2:$O$3520,Sales_Data!$C$2:$C$3520,$A43,Sales_Data!$H$2:$H$3520,I$14,Sales_Data!$AE$2:$AE$3520,1),SUMIFS(Sales_Data!$M$2:$M$3520,Sales_Data!$C$2:$C$3520,$A43,Sales_Data!$H$2:$H$3520,I$14,Sales_Data!$AE$2:$AE$3520,1),SUMIFS(Sales_Data!$N$2:$N$3520,Sales_Data!$C$2:$C$3520,$A43,Sales_Data!$H$2:$H$3520,I$14,Sales_Data!$AE$2:$AE$3520,1),SUMIFS(Sales_Data!$AE$2:$AE$3520,Sales_Data!$C$2:$C$3520,$A43,Sales_Data!$H$2:$H$3520,I$14))</f>
        <v>0</v>
      </c>
      <c r="J43" s="26" t="n">
        <f aca="false">CHOOSE(MATCH($B$3,Lists!$C$2:$C$5,0),SUMIFS(Sales_Data!$O$2:$O$3520,Sales_Data!$C$2:$C$3520,$A43,Sales_Data!$H$2:$H$3520,J$14,Sales_Data!$AE$2:$AE$3520,1),SUMIFS(Sales_Data!$M$2:$M$3520,Sales_Data!$C$2:$C$3520,$A43,Sales_Data!$H$2:$H$3520,J$14,Sales_Data!$AE$2:$AE$3520,1),SUMIFS(Sales_Data!$N$2:$N$3520,Sales_Data!$C$2:$C$3520,$A43,Sales_Data!$H$2:$H$3520,J$14,Sales_Data!$AE$2:$AE$3520,1),SUMIFS(Sales_Data!$AE$2:$AE$3520,Sales_Data!$C$2:$C$3520,$A43,Sales_Data!$H$2:$H$3520,J$14))</f>
        <v>0</v>
      </c>
      <c r="K43" s="26" t="n">
        <f aca="false">CHOOSE(MATCH($B$3,Lists!$C$2:$C$5,0),SUMIFS(Sales_Data!$O$2:$O$3520,Sales_Data!$C$2:$C$3520,$A43,Sales_Data!$H$2:$H$3520,K$14,Sales_Data!$AE$2:$AE$3520,1),SUMIFS(Sales_Data!$M$2:$M$3520,Sales_Data!$C$2:$C$3520,$A43,Sales_Data!$H$2:$H$3520,K$14,Sales_Data!$AE$2:$AE$3520,1),SUMIFS(Sales_Data!$N$2:$N$3520,Sales_Data!$C$2:$C$3520,$A43,Sales_Data!$H$2:$H$3520,K$14,Sales_Data!$AE$2:$AE$3520,1),SUMIFS(Sales_Data!$AE$2:$AE$3520,Sales_Data!$C$2:$C$3520,$A43,Sales_Data!$H$2:$H$3520,K$14))</f>
        <v>0</v>
      </c>
      <c r="L43" s="26" t="n">
        <f aca="false">CHOOSE(MATCH($B$3,Lists!$C$2:$C$5,0),SUMIFS(Sales_Data!$O$2:$O$3520,Sales_Data!$C$2:$C$3520,$A43,Sales_Data!$H$2:$H$3520,L$14,Sales_Data!$AE$2:$AE$3520,1),SUMIFS(Sales_Data!$M$2:$M$3520,Sales_Data!$C$2:$C$3520,$A43,Sales_Data!$H$2:$H$3520,L$14,Sales_Data!$AE$2:$AE$3520,1),SUMIFS(Sales_Data!$N$2:$N$3520,Sales_Data!$C$2:$C$3520,$A43,Sales_Data!$H$2:$H$3520,L$14,Sales_Data!$AE$2:$AE$3520,1),SUMIFS(Sales_Data!$AE$2:$AE$3520,Sales_Data!$C$2:$C$3520,$A43,Sales_Data!$H$2:$H$3520,L$14))</f>
        <v>4</v>
      </c>
      <c r="M43" s="26" t="n">
        <f aca="false">CHOOSE(MATCH($B$3,Lists!$C$2:$C$5,0),SUMIFS(Sales_Data!$O$2:$O$3520,Sales_Data!$C$2:$C$3520,$A43,Sales_Data!$H$2:$H$3520,M$14,Sales_Data!$AE$2:$AE$3520,1),SUMIFS(Sales_Data!$M$2:$M$3520,Sales_Data!$C$2:$C$3520,$A43,Sales_Data!$H$2:$H$3520,M$14,Sales_Data!$AE$2:$AE$3520,1),SUMIFS(Sales_Data!$N$2:$N$3520,Sales_Data!$C$2:$C$3520,$A43,Sales_Data!$H$2:$H$3520,M$14,Sales_Data!$AE$2:$AE$3520,1),SUMIFS(Sales_Data!$AE$2:$AE$3520,Sales_Data!$C$2:$C$3520,$A43,Sales_Data!$H$2:$H$3520,M$14))</f>
        <v>2</v>
      </c>
      <c r="N43" s="26" t="n">
        <f aca="false">CHOOSE(MATCH($B$3,Lists!$C$2:$C$5,0),SUMIFS(Sales_Data!$O$2:$O$3520,Sales_Data!$C$2:$C$3520,$A43,Sales_Data!$H$2:$H$3520,N$14,Sales_Data!$AE$2:$AE$3520,1),SUMIFS(Sales_Data!$M$2:$M$3520,Sales_Data!$C$2:$C$3520,$A43,Sales_Data!$H$2:$H$3520,N$14,Sales_Data!$AE$2:$AE$3520,1),SUMIFS(Sales_Data!$N$2:$N$3520,Sales_Data!$C$2:$C$3520,$A43,Sales_Data!$H$2:$H$3520,N$14,Sales_Data!$AE$2:$AE$3520,1),SUMIFS(Sales_Data!$AE$2:$AE$3520,Sales_Data!$C$2:$C$3520,$A43,Sales_Data!$H$2:$H$3520,N$14))</f>
        <v>0</v>
      </c>
      <c r="O43" s="26" t="n">
        <f aca="false">CHOOSE(MATCH($B$3,Lists!$C$2:$C$5,0),SUMIFS(Sales_Data!$O$2:$O$3520,Sales_Data!$C$2:$C$3520,$A43,Sales_Data!$H$2:$H$3520,O$14,Sales_Data!$AE$2:$AE$3520,1),SUMIFS(Sales_Data!$M$2:$M$3520,Sales_Data!$C$2:$C$3520,$A43,Sales_Data!$H$2:$H$3520,O$14,Sales_Data!$AE$2:$AE$3520,1),SUMIFS(Sales_Data!$N$2:$N$3520,Sales_Data!$C$2:$C$3520,$A43,Sales_Data!$H$2:$H$3520,O$14,Sales_Data!$AE$2:$AE$3520,1),SUMIFS(Sales_Data!$AE$2:$AE$3520,Sales_Data!$C$2:$C$3520,$A43,Sales_Data!$H$2:$H$3520,O$14))</f>
        <v>0</v>
      </c>
      <c r="P43" s="27" t="n">
        <f aca="false">CHOOSE(MATCH($B$3,Lists!$C$2:$C$5,0),SUMIFS(Sales_Data!$O$2:$O$3520,Sales_Data!$C$2:$C$3520,$A43,Sales_Data!$AE$2:$AE$3520,1),SUMIFS(Sales_Data!$M$2:$M$3520,Sales_Data!$C$2:$C$3520,$A43,Sales_Data!$AE$2:$AE$3520,1),SUMIFS(Sales_Data!$N$2:$N$3520,Sales_Data!$C$2:$C$3520,$A43,Sales_Data!$AE$2:$AE$3520,1),SUMIFS(Sales_Data!$AE$2:$AE$3520,Sales_Data!$C$2:$C$3520,$A43))</f>
        <v>26</v>
      </c>
      <c r="Q43" s="27" t="n">
        <f aca="false">P43-SUM(B43:O43)</f>
        <v>1</v>
      </c>
      <c r="R43" s="3"/>
      <c r="S43" s="72" t="n">
        <f aca="false">A43</f>
        <v>46253</v>
      </c>
      <c r="T43" s="28" t="n">
        <f aca="false">B43-B42</f>
        <v>0</v>
      </c>
      <c r="U43" s="28" t="n">
        <f aca="false">C43-C42</f>
        <v>-1</v>
      </c>
      <c r="V43" s="28" t="n">
        <f aca="false">D43-D42</f>
        <v>3</v>
      </c>
      <c r="W43" s="28" t="n">
        <f aca="false">E43-E42</f>
        <v>0</v>
      </c>
      <c r="X43" s="28" t="n">
        <f aca="false">F43-F42</f>
        <v>9</v>
      </c>
      <c r="Y43" s="28" t="n">
        <f aca="false">G43-G42</f>
        <v>-1</v>
      </c>
      <c r="Z43" s="28" t="n">
        <f aca="false">H43-H42</f>
        <v>0</v>
      </c>
      <c r="AA43" s="28" t="n">
        <f aca="false">I43-I42</f>
        <v>0</v>
      </c>
      <c r="AB43" s="28" t="n">
        <f aca="false">J43-J42</f>
        <v>0</v>
      </c>
      <c r="AC43" s="28" t="n">
        <f aca="false">K43-K42</f>
        <v>0</v>
      </c>
      <c r="AD43" s="28" t="n">
        <f aca="false">L43-L42</f>
        <v>4</v>
      </c>
      <c r="AE43" s="28" t="n">
        <f aca="false">M43-M42</f>
        <v>0</v>
      </c>
      <c r="AF43" s="28" t="n">
        <f aca="false">N43-N42</f>
        <v>-6</v>
      </c>
      <c r="AG43" s="28" t="n">
        <f aca="false">O43-O42</f>
        <v>0</v>
      </c>
      <c r="AH43" s="28" t="n">
        <f aca="false">P43-P42</f>
        <v>7</v>
      </c>
    </row>
    <row r="44" customFormat="false" ht="15" hidden="false" customHeight="false" outlineLevel="0" collapsed="false">
      <c r="A44" s="72" t="n">
        <v>46254</v>
      </c>
      <c r="B44" s="26" t="n">
        <f aca="false">CHOOSE(MATCH($B$3,Lists!$C$2:$C$5,0),SUMIFS(Sales_Data!$O$2:$O$3520,Sales_Data!$C$2:$C$3520,$A44,Sales_Data!$H$2:$H$3520,B$14,Sales_Data!$AE$2:$AE$3520,1),SUMIFS(Sales_Data!$M$2:$M$3520,Sales_Data!$C$2:$C$3520,$A44,Sales_Data!$H$2:$H$3520,B$14,Sales_Data!$AE$2:$AE$3520,1),SUMIFS(Sales_Data!$N$2:$N$3520,Sales_Data!$C$2:$C$3520,$A44,Sales_Data!$H$2:$H$3520,B$14,Sales_Data!$AE$2:$AE$3520,1),SUMIFS(Sales_Data!$AE$2:$AE$3520,Sales_Data!$C$2:$C$3520,$A44,Sales_Data!$H$2:$H$3520,B$14))</f>
        <v>0</v>
      </c>
      <c r="C44" s="26" t="n">
        <f aca="false">CHOOSE(MATCH($B$3,Lists!$C$2:$C$5,0),SUMIFS(Sales_Data!$O$2:$O$3520,Sales_Data!$C$2:$C$3520,$A44,Sales_Data!$H$2:$H$3520,C$14,Sales_Data!$AE$2:$AE$3520,1),SUMIFS(Sales_Data!$M$2:$M$3520,Sales_Data!$C$2:$C$3520,$A44,Sales_Data!$H$2:$H$3520,C$14,Sales_Data!$AE$2:$AE$3520,1),SUMIFS(Sales_Data!$N$2:$N$3520,Sales_Data!$C$2:$C$3520,$A44,Sales_Data!$H$2:$H$3520,C$14,Sales_Data!$AE$2:$AE$3520,1),SUMIFS(Sales_Data!$AE$2:$AE$3520,Sales_Data!$C$2:$C$3520,$A44,Sales_Data!$H$2:$H$3520,C$14))</f>
        <v>4</v>
      </c>
      <c r="D44" s="26" t="n">
        <f aca="false">CHOOSE(MATCH($B$3,Lists!$C$2:$C$5,0),SUMIFS(Sales_Data!$O$2:$O$3520,Sales_Data!$C$2:$C$3520,$A44,Sales_Data!$H$2:$H$3520,D$14,Sales_Data!$AE$2:$AE$3520,1),SUMIFS(Sales_Data!$M$2:$M$3520,Sales_Data!$C$2:$C$3520,$A44,Sales_Data!$H$2:$H$3520,D$14,Sales_Data!$AE$2:$AE$3520,1),SUMIFS(Sales_Data!$N$2:$N$3520,Sales_Data!$C$2:$C$3520,$A44,Sales_Data!$H$2:$H$3520,D$14,Sales_Data!$AE$2:$AE$3520,1),SUMIFS(Sales_Data!$AE$2:$AE$3520,Sales_Data!$C$2:$C$3520,$A44,Sales_Data!$H$2:$H$3520,D$14))</f>
        <v>0</v>
      </c>
      <c r="E44" s="26" t="n">
        <f aca="false">CHOOSE(MATCH($B$3,Lists!$C$2:$C$5,0),SUMIFS(Sales_Data!$O$2:$O$3520,Sales_Data!$C$2:$C$3520,$A44,Sales_Data!$H$2:$H$3520,E$14,Sales_Data!$AE$2:$AE$3520,1),SUMIFS(Sales_Data!$M$2:$M$3520,Sales_Data!$C$2:$C$3520,$A44,Sales_Data!$H$2:$H$3520,E$14,Sales_Data!$AE$2:$AE$3520,1),SUMIFS(Sales_Data!$N$2:$N$3520,Sales_Data!$C$2:$C$3520,$A44,Sales_Data!$H$2:$H$3520,E$14,Sales_Data!$AE$2:$AE$3520,1),SUMIFS(Sales_Data!$AE$2:$AE$3520,Sales_Data!$C$2:$C$3520,$A44,Sales_Data!$H$2:$H$3520,E$14))</f>
        <v>0</v>
      </c>
      <c r="F44" s="26" t="n">
        <f aca="false">CHOOSE(MATCH($B$3,Lists!$C$2:$C$5,0),SUMIFS(Sales_Data!$O$2:$O$3520,Sales_Data!$C$2:$C$3520,$A44,Sales_Data!$H$2:$H$3520,F$14,Sales_Data!$AE$2:$AE$3520,1),SUMIFS(Sales_Data!$M$2:$M$3520,Sales_Data!$C$2:$C$3520,$A44,Sales_Data!$H$2:$H$3520,F$14,Sales_Data!$AE$2:$AE$3520,1),SUMIFS(Sales_Data!$N$2:$N$3520,Sales_Data!$C$2:$C$3520,$A44,Sales_Data!$H$2:$H$3520,F$14,Sales_Data!$AE$2:$AE$3520,1),SUMIFS(Sales_Data!$AE$2:$AE$3520,Sales_Data!$C$2:$C$3520,$A44,Sales_Data!$H$2:$H$3520,F$14))</f>
        <v>4</v>
      </c>
      <c r="G44" s="26" t="n">
        <f aca="false">CHOOSE(MATCH($B$3,Lists!$C$2:$C$5,0),SUMIFS(Sales_Data!$O$2:$O$3520,Sales_Data!$C$2:$C$3520,$A44,Sales_Data!$H$2:$H$3520,G$14,Sales_Data!$AE$2:$AE$3520,1),SUMIFS(Sales_Data!$M$2:$M$3520,Sales_Data!$C$2:$C$3520,$A44,Sales_Data!$H$2:$H$3520,G$14,Sales_Data!$AE$2:$AE$3520,1),SUMIFS(Sales_Data!$N$2:$N$3520,Sales_Data!$C$2:$C$3520,$A44,Sales_Data!$H$2:$H$3520,G$14,Sales_Data!$AE$2:$AE$3520,1),SUMIFS(Sales_Data!$AE$2:$AE$3520,Sales_Data!$C$2:$C$3520,$A44,Sales_Data!$H$2:$H$3520,G$14))</f>
        <v>0</v>
      </c>
      <c r="H44" s="26" t="n">
        <f aca="false">CHOOSE(MATCH($B$3,Lists!$C$2:$C$5,0),SUMIFS(Sales_Data!$O$2:$O$3520,Sales_Data!$C$2:$C$3520,$A44,Sales_Data!$H$2:$H$3520,H$14,Sales_Data!$AE$2:$AE$3520,1),SUMIFS(Sales_Data!$M$2:$M$3520,Sales_Data!$C$2:$C$3520,$A44,Sales_Data!$H$2:$H$3520,H$14,Sales_Data!$AE$2:$AE$3520,1),SUMIFS(Sales_Data!$N$2:$N$3520,Sales_Data!$C$2:$C$3520,$A44,Sales_Data!$H$2:$H$3520,H$14,Sales_Data!$AE$2:$AE$3520,1),SUMIFS(Sales_Data!$AE$2:$AE$3520,Sales_Data!$C$2:$C$3520,$A44,Sales_Data!$H$2:$H$3520,H$14))</f>
        <v>0</v>
      </c>
      <c r="I44" s="26" t="n">
        <f aca="false">CHOOSE(MATCH($B$3,Lists!$C$2:$C$5,0),SUMIFS(Sales_Data!$O$2:$O$3520,Sales_Data!$C$2:$C$3520,$A44,Sales_Data!$H$2:$H$3520,I$14,Sales_Data!$AE$2:$AE$3520,1),SUMIFS(Sales_Data!$M$2:$M$3520,Sales_Data!$C$2:$C$3520,$A44,Sales_Data!$H$2:$H$3520,I$14,Sales_Data!$AE$2:$AE$3520,1),SUMIFS(Sales_Data!$N$2:$N$3520,Sales_Data!$C$2:$C$3520,$A44,Sales_Data!$H$2:$H$3520,I$14,Sales_Data!$AE$2:$AE$3520,1),SUMIFS(Sales_Data!$AE$2:$AE$3520,Sales_Data!$C$2:$C$3520,$A44,Sales_Data!$H$2:$H$3520,I$14))</f>
        <v>0</v>
      </c>
      <c r="J44" s="26" t="n">
        <f aca="false">CHOOSE(MATCH($B$3,Lists!$C$2:$C$5,0),SUMIFS(Sales_Data!$O$2:$O$3520,Sales_Data!$C$2:$C$3520,$A44,Sales_Data!$H$2:$H$3520,J$14,Sales_Data!$AE$2:$AE$3520,1),SUMIFS(Sales_Data!$M$2:$M$3520,Sales_Data!$C$2:$C$3520,$A44,Sales_Data!$H$2:$H$3520,J$14,Sales_Data!$AE$2:$AE$3520,1),SUMIFS(Sales_Data!$N$2:$N$3520,Sales_Data!$C$2:$C$3520,$A44,Sales_Data!$H$2:$H$3520,J$14,Sales_Data!$AE$2:$AE$3520,1),SUMIFS(Sales_Data!$AE$2:$AE$3520,Sales_Data!$C$2:$C$3520,$A44,Sales_Data!$H$2:$H$3520,J$14))</f>
        <v>0</v>
      </c>
      <c r="K44" s="26" t="n">
        <f aca="false">CHOOSE(MATCH($B$3,Lists!$C$2:$C$5,0),SUMIFS(Sales_Data!$O$2:$O$3520,Sales_Data!$C$2:$C$3520,$A44,Sales_Data!$H$2:$H$3520,K$14,Sales_Data!$AE$2:$AE$3520,1),SUMIFS(Sales_Data!$M$2:$M$3520,Sales_Data!$C$2:$C$3520,$A44,Sales_Data!$H$2:$H$3520,K$14,Sales_Data!$AE$2:$AE$3520,1),SUMIFS(Sales_Data!$N$2:$N$3520,Sales_Data!$C$2:$C$3520,$A44,Sales_Data!$H$2:$H$3520,K$14,Sales_Data!$AE$2:$AE$3520,1),SUMIFS(Sales_Data!$AE$2:$AE$3520,Sales_Data!$C$2:$C$3520,$A44,Sales_Data!$H$2:$H$3520,K$14))</f>
        <v>0</v>
      </c>
      <c r="L44" s="26" t="n">
        <f aca="false">CHOOSE(MATCH($B$3,Lists!$C$2:$C$5,0),SUMIFS(Sales_Data!$O$2:$O$3520,Sales_Data!$C$2:$C$3520,$A44,Sales_Data!$H$2:$H$3520,L$14,Sales_Data!$AE$2:$AE$3520,1),SUMIFS(Sales_Data!$M$2:$M$3520,Sales_Data!$C$2:$C$3520,$A44,Sales_Data!$H$2:$H$3520,L$14,Sales_Data!$AE$2:$AE$3520,1),SUMIFS(Sales_Data!$N$2:$N$3520,Sales_Data!$C$2:$C$3520,$A44,Sales_Data!$H$2:$H$3520,L$14,Sales_Data!$AE$2:$AE$3520,1),SUMIFS(Sales_Data!$AE$2:$AE$3520,Sales_Data!$C$2:$C$3520,$A44,Sales_Data!$H$2:$H$3520,L$14))</f>
        <v>0</v>
      </c>
      <c r="M44" s="26" t="n">
        <f aca="false">CHOOSE(MATCH($B$3,Lists!$C$2:$C$5,0),SUMIFS(Sales_Data!$O$2:$O$3520,Sales_Data!$C$2:$C$3520,$A44,Sales_Data!$H$2:$H$3520,M$14,Sales_Data!$AE$2:$AE$3520,1),SUMIFS(Sales_Data!$M$2:$M$3520,Sales_Data!$C$2:$C$3520,$A44,Sales_Data!$H$2:$H$3520,M$14,Sales_Data!$AE$2:$AE$3520,1),SUMIFS(Sales_Data!$N$2:$N$3520,Sales_Data!$C$2:$C$3520,$A44,Sales_Data!$H$2:$H$3520,M$14,Sales_Data!$AE$2:$AE$3520,1),SUMIFS(Sales_Data!$AE$2:$AE$3520,Sales_Data!$C$2:$C$3520,$A44,Sales_Data!$H$2:$H$3520,M$14))</f>
        <v>4</v>
      </c>
      <c r="N44" s="26" t="n">
        <f aca="false">CHOOSE(MATCH($B$3,Lists!$C$2:$C$5,0),SUMIFS(Sales_Data!$O$2:$O$3520,Sales_Data!$C$2:$C$3520,$A44,Sales_Data!$H$2:$H$3520,N$14,Sales_Data!$AE$2:$AE$3520,1),SUMIFS(Sales_Data!$M$2:$M$3520,Sales_Data!$C$2:$C$3520,$A44,Sales_Data!$H$2:$H$3520,N$14,Sales_Data!$AE$2:$AE$3520,1),SUMIFS(Sales_Data!$N$2:$N$3520,Sales_Data!$C$2:$C$3520,$A44,Sales_Data!$H$2:$H$3520,N$14,Sales_Data!$AE$2:$AE$3520,1),SUMIFS(Sales_Data!$AE$2:$AE$3520,Sales_Data!$C$2:$C$3520,$A44,Sales_Data!$H$2:$H$3520,N$14))</f>
        <v>1</v>
      </c>
      <c r="O44" s="26" t="n">
        <f aca="false">CHOOSE(MATCH($B$3,Lists!$C$2:$C$5,0),SUMIFS(Sales_Data!$O$2:$O$3520,Sales_Data!$C$2:$C$3520,$A44,Sales_Data!$H$2:$H$3520,O$14,Sales_Data!$AE$2:$AE$3520,1),SUMIFS(Sales_Data!$M$2:$M$3520,Sales_Data!$C$2:$C$3520,$A44,Sales_Data!$H$2:$H$3520,O$14,Sales_Data!$AE$2:$AE$3520,1),SUMIFS(Sales_Data!$N$2:$N$3520,Sales_Data!$C$2:$C$3520,$A44,Sales_Data!$H$2:$H$3520,O$14,Sales_Data!$AE$2:$AE$3520,1),SUMIFS(Sales_Data!$AE$2:$AE$3520,Sales_Data!$C$2:$C$3520,$A44,Sales_Data!$H$2:$H$3520,O$14))</f>
        <v>0</v>
      </c>
      <c r="P44" s="27" t="n">
        <f aca="false">CHOOSE(MATCH($B$3,Lists!$C$2:$C$5,0),SUMIFS(Sales_Data!$O$2:$O$3520,Sales_Data!$C$2:$C$3520,$A44,Sales_Data!$AE$2:$AE$3520,1),SUMIFS(Sales_Data!$M$2:$M$3520,Sales_Data!$C$2:$C$3520,$A44,Sales_Data!$AE$2:$AE$3520,1),SUMIFS(Sales_Data!$N$2:$N$3520,Sales_Data!$C$2:$C$3520,$A44,Sales_Data!$AE$2:$AE$3520,1),SUMIFS(Sales_Data!$AE$2:$AE$3520,Sales_Data!$C$2:$C$3520,$A44))</f>
        <v>17</v>
      </c>
      <c r="Q44" s="27" t="n">
        <f aca="false">P44-SUM(B44:O44)</f>
        <v>4</v>
      </c>
      <c r="R44" s="3"/>
      <c r="S44" s="72" t="n">
        <f aca="false">A44</f>
        <v>46254</v>
      </c>
      <c r="T44" s="28" t="n">
        <f aca="false">B44-B43</f>
        <v>0</v>
      </c>
      <c r="U44" s="28" t="n">
        <f aca="false">C44-C43</f>
        <v>2</v>
      </c>
      <c r="V44" s="28" t="n">
        <f aca="false">D44-D43</f>
        <v>-4</v>
      </c>
      <c r="W44" s="28" t="n">
        <f aca="false">E44-E43</f>
        <v>0</v>
      </c>
      <c r="X44" s="28" t="n">
        <f aca="false">F44-F43</f>
        <v>-9</v>
      </c>
      <c r="Y44" s="28" t="n">
        <f aca="false">G44-G43</f>
        <v>0</v>
      </c>
      <c r="Z44" s="28" t="n">
        <f aca="false">H44-H43</f>
        <v>0</v>
      </c>
      <c r="AA44" s="28" t="n">
        <f aca="false">I44-I43</f>
        <v>0</v>
      </c>
      <c r="AB44" s="28" t="n">
        <f aca="false">J44-J43</f>
        <v>0</v>
      </c>
      <c r="AC44" s="28" t="n">
        <f aca="false">K44-K43</f>
        <v>0</v>
      </c>
      <c r="AD44" s="28" t="n">
        <f aca="false">L44-L43</f>
        <v>-4</v>
      </c>
      <c r="AE44" s="28" t="n">
        <f aca="false">M44-M43</f>
        <v>2</v>
      </c>
      <c r="AF44" s="28" t="n">
        <f aca="false">N44-N43</f>
        <v>1</v>
      </c>
      <c r="AG44" s="28" t="n">
        <f aca="false">O44-O43</f>
        <v>0</v>
      </c>
      <c r="AH44" s="28" t="n">
        <f aca="false">P44-P43</f>
        <v>-9</v>
      </c>
    </row>
    <row r="45" customFormat="false" ht="15" hidden="false" customHeight="false" outlineLevel="0" collapsed="false">
      <c r="A45" s="72" t="n">
        <v>46255</v>
      </c>
      <c r="B45" s="26" t="n">
        <f aca="false">CHOOSE(MATCH($B$3,Lists!$C$2:$C$5,0),SUMIFS(Sales_Data!$O$2:$O$3520,Sales_Data!$C$2:$C$3520,$A45,Sales_Data!$H$2:$H$3520,B$14,Sales_Data!$AE$2:$AE$3520,1),SUMIFS(Sales_Data!$M$2:$M$3520,Sales_Data!$C$2:$C$3520,$A45,Sales_Data!$H$2:$H$3520,B$14,Sales_Data!$AE$2:$AE$3520,1),SUMIFS(Sales_Data!$N$2:$N$3520,Sales_Data!$C$2:$C$3520,$A45,Sales_Data!$H$2:$H$3520,B$14,Sales_Data!$AE$2:$AE$3520,1),SUMIFS(Sales_Data!$AE$2:$AE$3520,Sales_Data!$C$2:$C$3520,$A45,Sales_Data!$H$2:$H$3520,B$14))</f>
        <v>0</v>
      </c>
      <c r="C45" s="26" t="n">
        <f aca="false">CHOOSE(MATCH($B$3,Lists!$C$2:$C$5,0),SUMIFS(Sales_Data!$O$2:$O$3520,Sales_Data!$C$2:$C$3520,$A45,Sales_Data!$H$2:$H$3520,C$14,Sales_Data!$AE$2:$AE$3520,1),SUMIFS(Sales_Data!$M$2:$M$3520,Sales_Data!$C$2:$C$3520,$A45,Sales_Data!$H$2:$H$3520,C$14,Sales_Data!$AE$2:$AE$3520,1),SUMIFS(Sales_Data!$N$2:$N$3520,Sales_Data!$C$2:$C$3520,$A45,Sales_Data!$H$2:$H$3520,C$14,Sales_Data!$AE$2:$AE$3520,1),SUMIFS(Sales_Data!$AE$2:$AE$3520,Sales_Data!$C$2:$C$3520,$A45,Sales_Data!$H$2:$H$3520,C$14))</f>
        <v>0</v>
      </c>
      <c r="D45" s="26" t="n">
        <f aca="false">CHOOSE(MATCH($B$3,Lists!$C$2:$C$5,0),SUMIFS(Sales_Data!$O$2:$O$3520,Sales_Data!$C$2:$C$3520,$A45,Sales_Data!$H$2:$H$3520,D$14,Sales_Data!$AE$2:$AE$3520,1),SUMIFS(Sales_Data!$M$2:$M$3520,Sales_Data!$C$2:$C$3520,$A45,Sales_Data!$H$2:$H$3520,D$14,Sales_Data!$AE$2:$AE$3520,1),SUMIFS(Sales_Data!$N$2:$N$3520,Sales_Data!$C$2:$C$3520,$A45,Sales_Data!$H$2:$H$3520,D$14,Sales_Data!$AE$2:$AE$3520,1),SUMIFS(Sales_Data!$AE$2:$AE$3520,Sales_Data!$C$2:$C$3520,$A45,Sales_Data!$H$2:$H$3520,D$14))</f>
        <v>0</v>
      </c>
      <c r="E45" s="26" t="n">
        <f aca="false">CHOOSE(MATCH($B$3,Lists!$C$2:$C$5,0),SUMIFS(Sales_Data!$O$2:$O$3520,Sales_Data!$C$2:$C$3520,$A45,Sales_Data!$H$2:$H$3520,E$14,Sales_Data!$AE$2:$AE$3520,1),SUMIFS(Sales_Data!$M$2:$M$3520,Sales_Data!$C$2:$C$3520,$A45,Sales_Data!$H$2:$H$3520,E$14,Sales_Data!$AE$2:$AE$3520,1),SUMIFS(Sales_Data!$N$2:$N$3520,Sales_Data!$C$2:$C$3520,$A45,Sales_Data!$H$2:$H$3520,E$14,Sales_Data!$AE$2:$AE$3520,1),SUMIFS(Sales_Data!$AE$2:$AE$3520,Sales_Data!$C$2:$C$3520,$A45,Sales_Data!$H$2:$H$3520,E$14))</f>
        <v>0</v>
      </c>
      <c r="F45" s="26" t="n">
        <f aca="false">CHOOSE(MATCH($B$3,Lists!$C$2:$C$5,0),SUMIFS(Sales_Data!$O$2:$O$3520,Sales_Data!$C$2:$C$3520,$A45,Sales_Data!$H$2:$H$3520,F$14,Sales_Data!$AE$2:$AE$3520,1),SUMIFS(Sales_Data!$M$2:$M$3520,Sales_Data!$C$2:$C$3520,$A45,Sales_Data!$H$2:$H$3520,F$14,Sales_Data!$AE$2:$AE$3520,1),SUMIFS(Sales_Data!$N$2:$N$3520,Sales_Data!$C$2:$C$3520,$A45,Sales_Data!$H$2:$H$3520,F$14,Sales_Data!$AE$2:$AE$3520,1),SUMIFS(Sales_Data!$AE$2:$AE$3520,Sales_Data!$C$2:$C$3520,$A45,Sales_Data!$H$2:$H$3520,F$14))</f>
        <v>8</v>
      </c>
      <c r="G45" s="26" t="n">
        <f aca="false">CHOOSE(MATCH($B$3,Lists!$C$2:$C$5,0),SUMIFS(Sales_Data!$O$2:$O$3520,Sales_Data!$C$2:$C$3520,$A45,Sales_Data!$H$2:$H$3520,G$14,Sales_Data!$AE$2:$AE$3520,1),SUMIFS(Sales_Data!$M$2:$M$3520,Sales_Data!$C$2:$C$3520,$A45,Sales_Data!$H$2:$H$3520,G$14,Sales_Data!$AE$2:$AE$3520,1),SUMIFS(Sales_Data!$N$2:$N$3520,Sales_Data!$C$2:$C$3520,$A45,Sales_Data!$H$2:$H$3520,G$14,Sales_Data!$AE$2:$AE$3520,1),SUMIFS(Sales_Data!$AE$2:$AE$3520,Sales_Data!$C$2:$C$3520,$A45,Sales_Data!$H$2:$H$3520,G$14))</f>
        <v>0</v>
      </c>
      <c r="H45" s="26" t="n">
        <f aca="false">CHOOSE(MATCH($B$3,Lists!$C$2:$C$5,0),SUMIFS(Sales_Data!$O$2:$O$3520,Sales_Data!$C$2:$C$3520,$A45,Sales_Data!$H$2:$H$3520,H$14,Sales_Data!$AE$2:$AE$3520,1),SUMIFS(Sales_Data!$M$2:$M$3520,Sales_Data!$C$2:$C$3520,$A45,Sales_Data!$H$2:$H$3520,H$14,Sales_Data!$AE$2:$AE$3520,1),SUMIFS(Sales_Data!$N$2:$N$3520,Sales_Data!$C$2:$C$3520,$A45,Sales_Data!$H$2:$H$3520,H$14,Sales_Data!$AE$2:$AE$3520,1),SUMIFS(Sales_Data!$AE$2:$AE$3520,Sales_Data!$C$2:$C$3520,$A45,Sales_Data!$H$2:$H$3520,H$14))</f>
        <v>0</v>
      </c>
      <c r="I45" s="26" t="n">
        <f aca="false">CHOOSE(MATCH($B$3,Lists!$C$2:$C$5,0),SUMIFS(Sales_Data!$O$2:$O$3520,Sales_Data!$C$2:$C$3520,$A45,Sales_Data!$H$2:$H$3520,I$14,Sales_Data!$AE$2:$AE$3520,1),SUMIFS(Sales_Data!$M$2:$M$3520,Sales_Data!$C$2:$C$3520,$A45,Sales_Data!$H$2:$H$3520,I$14,Sales_Data!$AE$2:$AE$3520,1),SUMIFS(Sales_Data!$N$2:$N$3520,Sales_Data!$C$2:$C$3520,$A45,Sales_Data!$H$2:$H$3520,I$14,Sales_Data!$AE$2:$AE$3520,1),SUMIFS(Sales_Data!$AE$2:$AE$3520,Sales_Data!$C$2:$C$3520,$A45,Sales_Data!$H$2:$H$3520,I$14))</f>
        <v>0</v>
      </c>
      <c r="J45" s="26" t="n">
        <f aca="false">CHOOSE(MATCH($B$3,Lists!$C$2:$C$5,0),SUMIFS(Sales_Data!$O$2:$O$3520,Sales_Data!$C$2:$C$3520,$A45,Sales_Data!$H$2:$H$3520,J$14,Sales_Data!$AE$2:$AE$3520,1),SUMIFS(Sales_Data!$M$2:$M$3520,Sales_Data!$C$2:$C$3520,$A45,Sales_Data!$H$2:$H$3520,J$14,Sales_Data!$AE$2:$AE$3520,1),SUMIFS(Sales_Data!$N$2:$N$3520,Sales_Data!$C$2:$C$3520,$A45,Sales_Data!$H$2:$H$3520,J$14,Sales_Data!$AE$2:$AE$3520,1),SUMIFS(Sales_Data!$AE$2:$AE$3520,Sales_Data!$C$2:$C$3520,$A45,Sales_Data!$H$2:$H$3520,J$14))</f>
        <v>0</v>
      </c>
      <c r="K45" s="26" t="n">
        <f aca="false">CHOOSE(MATCH($B$3,Lists!$C$2:$C$5,0),SUMIFS(Sales_Data!$O$2:$O$3520,Sales_Data!$C$2:$C$3520,$A45,Sales_Data!$H$2:$H$3520,K$14,Sales_Data!$AE$2:$AE$3520,1),SUMIFS(Sales_Data!$M$2:$M$3520,Sales_Data!$C$2:$C$3520,$A45,Sales_Data!$H$2:$H$3520,K$14,Sales_Data!$AE$2:$AE$3520,1),SUMIFS(Sales_Data!$N$2:$N$3520,Sales_Data!$C$2:$C$3520,$A45,Sales_Data!$H$2:$H$3520,K$14,Sales_Data!$AE$2:$AE$3520,1),SUMIFS(Sales_Data!$AE$2:$AE$3520,Sales_Data!$C$2:$C$3520,$A45,Sales_Data!$H$2:$H$3520,K$14))</f>
        <v>0</v>
      </c>
      <c r="L45" s="26" t="n">
        <f aca="false">CHOOSE(MATCH($B$3,Lists!$C$2:$C$5,0),SUMIFS(Sales_Data!$O$2:$O$3520,Sales_Data!$C$2:$C$3520,$A45,Sales_Data!$H$2:$H$3520,L$14,Sales_Data!$AE$2:$AE$3520,1),SUMIFS(Sales_Data!$M$2:$M$3520,Sales_Data!$C$2:$C$3520,$A45,Sales_Data!$H$2:$H$3520,L$14,Sales_Data!$AE$2:$AE$3520,1),SUMIFS(Sales_Data!$N$2:$N$3520,Sales_Data!$C$2:$C$3520,$A45,Sales_Data!$H$2:$H$3520,L$14,Sales_Data!$AE$2:$AE$3520,1),SUMIFS(Sales_Data!$AE$2:$AE$3520,Sales_Data!$C$2:$C$3520,$A45,Sales_Data!$H$2:$H$3520,L$14))</f>
        <v>2</v>
      </c>
      <c r="M45" s="26" t="n">
        <f aca="false">CHOOSE(MATCH($B$3,Lists!$C$2:$C$5,0),SUMIFS(Sales_Data!$O$2:$O$3520,Sales_Data!$C$2:$C$3520,$A45,Sales_Data!$H$2:$H$3520,M$14,Sales_Data!$AE$2:$AE$3520,1),SUMIFS(Sales_Data!$M$2:$M$3520,Sales_Data!$C$2:$C$3520,$A45,Sales_Data!$H$2:$H$3520,M$14,Sales_Data!$AE$2:$AE$3520,1),SUMIFS(Sales_Data!$N$2:$N$3520,Sales_Data!$C$2:$C$3520,$A45,Sales_Data!$H$2:$H$3520,M$14,Sales_Data!$AE$2:$AE$3520,1),SUMIFS(Sales_Data!$AE$2:$AE$3520,Sales_Data!$C$2:$C$3520,$A45,Sales_Data!$H$2:$H$3520,M$14))</f>
        <v>1</v>
      </c>
      <c r="N45" s="26" t="n">
        <f aca="false">CHOOSE(MATCH($B$3,Lists!$C$2:$C$5,0),SUMIFS(Sales_Data!$O$2:$O$3520,Sales_Data!$C$2:$C$3520,$A45,Sales_Data!$H$2:$H$3520,N$14,Sales_Data!$AE$2:$AE$3520,1),SUMIFS(Sales_Data!$M$2:$M$3520,Sales_Data!$C$2:$C$3520,$A45,Sales_Data!$H$2:$H$3520,N$14,Sales_Data!$AE$2:$AE$3520,1),SUMIFS(Sales_Data!$N$2:$N$3520,Sales_Data!$C$2:$C$3520,$A45,Sales_Data!$H$2:$H$3520,N$14,Sales_Data!$AE$2:$AE$3520,1),SUMIFS(Sales_Data!$AE$2:$AE$3520,Sales_Data!$C$2:$C$3520,$A45,Sales_Data!$H$2:$H$3520,N$14))</f>
        <v>3</v>
      </c>
      <c r="O45" s="26" t="n">
        <f aca="false">CHOOSE(MATCH($B$3,Lists!$C$2:$C$5,0),SUMIFS(Sales_Data!$O$2:$O$3520,Sales_Data!$C$2:$C$3520,$A45,Sales_Data!$H$2:$H$3520,O$14,Sales_Data!$AE$2:$AE$3520,1),SUMIFS(Sales_Data!$M$2:$M$3520,Sales_Data!$C$2:$C$3520,$A45,Sales_Data!$H$2:$H$3520,O$14,Sales_Data!$AE$2:$AE$3520,1),SUMIFS(Sales_Data!$N$2:$N$3520,Sales_Data!$C$2:$C$3520,$A45,Sales_Data!$H$2:$H$3520,O$14,Sales_Data!$AE$2:$AE$3520,1),SUMIFS(Sales_Data!$AE$2:$AE$3520,Sales_Data!$C$2:$C$3520,$A45,Sales_Data!$H$2:$H$3520,O$14))</f>
        <v>0</v>
      </c>
      <c r="P45" s="27" t="n">
        <f aca="false">CHOOSE(MATCH($B$3,Lists!$C$2:$C$5,0),SUMIFS(Sales_Data!$O$2:$O$3520,Sales_Data!$C$2:$C$3520,$A45,Sales_Data!$AE$2:$AE$3520,1),SUMIFS(Sales_Data!$M$2:$M$3520,Sales_Data!$C$2:$C$3520,$A45,Sales_Data!$AE$2:$AE$3520,1),SUMIFS(Sales_Data!$N$2:$N$3520,Sales_Data!$C$2:$C$3520,$A45,Sales_Data!$AE$2:$AE$3520,1),SUMIFS(Sales_Data!$AE$2:$AE$3520,Sales_Data!$C$2:$C$3520,$A45))</f>
        <v>18</v>
      </c>
      <c r="Q45" s="27" t="n">
        <f aca="false">P45-SUM(B45:O45)</f>
        <v>4</v>
      </c>
      <c r="R45" s="3"/>
      <c r="S45" s="72" t="n">
        <f aca="false">A45</f>
        <v>46255</v>
      </c>
      <c r="T45" s="28" t="n">
        <f aca="false">B45-B44</f>
        <v>0</v>
      </c>
      <c r="U45" s="28" t="n">
        <f aca="false">C45-C44</f>
        <v>-4</v>
      </c>
      <c r="V45" s="28" t="n">
        <f aca="false">D45-D44</f>
        <v>0</v>
      </c>
      <c r="W45" s="28" t="n">
        <f aca="false">E45-E44</f>
        <v>0</v>
      </c>
      <c r="X45" s="28" t="n">
        <f aca="false">F45-F44</f>
        <v>4</v>
      </c>
      <c r="Y45" s="28" t="n">
        <f aca="false">G45-G44</f>
        <v>0</v>
      </c>
      <c r="Z45" s="28" t="n">
        <f aca="false">H45-H44</f>
        <v>0</v>
      </c>
      <c r="AA45" s="28" t="n">
        <f aca="false">I45-I44</f>
        <v>0</v>
      </c>
      <c r="AB45" s="28" t="n">
        <f aca="false">J45-J44</f>
        <v>0</v>
      </c>
      <c r="AC45" s="28" t="n">
        <f aca="false">K45-K44</f>
        <v>0</v>
      </c>
      <c r="AD45" s="28" t="n">
        <f aca="false">L45-L44</f>
        <v>2</v>
      </c>
      <c r="AE45" s="28" t="n">
        <f aca="false">M45-M44</f>
        <v>-3</v>
      </c>
      <c r="AF45" s="28" t="n">
        <f aca="false">N45-N44</f>
        <v>2</v>
      </c>
      <c r="AG45" s="28" t="n">
        <f aca="false">O45-O44</f>
        <v>0</v>
      </c>
      <c r="AH45" s="28" t="n">
        <f aca="false">P45-P44</f>
        <v>1</v>
      </c>
    </row>
    <row r="46" customFormat="false" ht="15" hidden="false" customHeight="false" outlineLevel="0" collapsed="false">
      <c r="A46" s="72" t="n">
        <v>46256</v>
      </c>
      <c r="B46" s="26" t="n">
        <f aca="false">CHOOSE(MATCH($B$3,Lists!$C$2:$C$5,0),SUMIFS(Sales_Data!$O$2:$O$3520,Sales_Data!$C$2:$C$3520,$A46,Sales_Data!$H$2:$H$3520,B$14,Sales_Data!$AE$2:$AE$3520,1),SUMIFS(Sales_Data!$M$2:$M$3520,Sales_Data!$C$2:$C$3520,$A46,Sales_Data!$H$2:$H$3520,B$14,Sales_Data!$AE$2:$AE$3520,1),SUMIFS(Sales_Data!$N$2:$N$3520,Sales_Data!$C$2:$C$3520,$A46,Sales_Data!$H$2:$H$3520,B$14,Sales_Data!$AE$2:$AE$3520,1),SUMIFS(Sales_Data!$AE$2:$AE$3520,Sales_Data!$C$2:$C$3520,$A46,Sales_Data!$H$2:$H$3520,B$14))</f>
        <v>0</v>
      </c>
      <c r="C46" s="26" t="n">
        <f aca="false">CHOOSE(MATCH($B$3,Lists!$C$2:$C$5,0),SUMIFS(Sales_Data!$O$2:$O$3520,Sales_Data!$C$2:$C$3520,$A46,Sales_Data!$H$2:$H$3520,C$14,Sales_Data!$AE$2:$AE$3520,1),SUMIFS(Sales_Data!$M$2:$M$3520,Sales_Data!$C$2:$C$3520,$A46,Sales_Data!$H$2:$H$3520,C$14,Sales_Data!$AE$2:$AE$3520,1),SUMIFS(Sales_Data!$N$2:$N$3520,Sales_Data!$C$2:$C$3520,$A46,Sales_Data!$H$2:$H$3520,C$14,Sales_Data!$AE$2:$AE$3520,1),SUMIFS(Sales_Data!$AE$2:$AE$3520,Sales_Data!$C$2:$C$3520,$A46,Sales_Data!$H$2:$H$3520,C$14))</f>
        <v>0</v>
      </c>
      <c r="D46" s="26" t="n">
        <f aca="false">CHOOSE(MATCH($B$3,Lists!$C$2:$C$5,0),SUMIFS(Sales_Data!$O$2:$O$3520,Sales_Data!$C$2:$C$3520,$A46,Sales_Data!$H$2:$H$3520,D$14,Sales_Data!$AE$2:$AE$3520,1),SUMIFS(Sales_Data!$M$2:$M$3520,Sales_Data!$C$2:$C$3520,$A46,Sales_Data!$H$2:$H$3520,D$14,Sales_Data!$AE$2:$AE$3520,1),SUMIFS(Sales_Data!$N$2:$N$3520,Sales_Data!$C$2:$C$3520,$A46,Sales_Data!$H$2:$H$3520,D$14,Sales_Data!$AE$2:$AE$3520,1),SUMIFS(Sales_Data!$AE$2:$AE$3520,Sales_Data!$C$2:$C$3520,$A46,Sales_Data!$H$2:$H$3520,D$14))</f>
        <v>2</v>
      </c>
      <c r="E46" s="26" t="n">
        <f aca="false">CHOOSE(MATCH($B$3,Lists!$C$2:$C$5,0),SUMIFS(Sales_Data!$O$2:$O$3520,Sales_Data!$C$2:$C$3520,$A46,Sales_Data!$H$2:$H$3520,E$14,Sales_Data!$AE$2:$AE$3520,1),SUMIFS(Sales_Data!$M$2:$M$3520,Sales_Data!$C$2:$C$3520,$A46,Sales_Data!$H$2:$H$3520,E$14,Sales_Data!$AE$2:$AE$3520,1),SUMIFS(Sales_Data!$N$2:$N$3520,Sales_Data!$C$2:$C$3520,$A46,Sales_Data!$H$2:$H$3520,E$14,Sales_Data!$AE$2:$AE$3520,1),SUMIFS(Sales_Data!$AE$2:$AE$3520,Sales_Data!$C$2:$C$3520,$A46,Sales_Data!$H$2:$H$3520,E$14))</f>
        <v>0</v>
      </c>
      <c r="F46" s="26" t="n">
        <f aca="false">CHOOSE(MATCH($B$3,Lists!$C$2:$C$5,0),SUMIFS(Sales_Data!$O$2:$O$3520,Sales_Data!$C$2:$C$3520,$A46,Sales_Data!$H$2:$H$3520,F$14,Sales_Data!$AE$2:$AE$3520,1),SUMIFS(Sales_Data!$M$2:$M$3520,Sales_Data!$C$2:$C$3520,$A46,Sales_Data!$H$2:$H$3520,F$14,Sales_Data!$AE$2:$AE$3520,1),SUMIFS(Sales_Data!$N$2:$N$3520,Sales_Data!$C$2:$C$3520,$A46,Sales_Data!$H$2:$H$3520,F$14,Sales_Data!$AE$2:$AE$3520,1),SUMIFS(Sales_Data!$AE$2:$AE$3520,Sales_Data!$C$2:$C$3520,$A46,Sales_Data!$H$2:$H$3520,F$14))</f>
        <v>5</v>
      </c>
      <c r="G46" s="26" t="n">
        <f aca="false">CHOOSE(MATCH($B$3,Lists!$C$2:$C$5,0),SUMIFS(Sales_Data!$O$2:$O$3520,Sales_Data!$C$2:$C$3520,$A46,Sales_Data!$H$2:$H$3520,G$14,Sales_Data!$AE$2:$AE$3520,1),SUMIFS(Sales_Data!$M$2:$M$3520,Sales_Data!$C$2:$C$3520,$A46,Sales_Data!$H$2:$H$3520,G$14,Sales_Data!$AE$2:$AE$3520,1),SUMIFS(Sales_Data!$N$2:$N$3520,Sales_Data!$C$2:$C$3520,$A46,Sales_Data!$H$2:$H$3520,G$14,Sales_Data!$AE$2:$AE$3520,1),SUMIFS(Sales_Data!$AE$2:$AE$3520,Sales_Data!$C$2:$C$3520,$A46,Sales_Data!$H$2:$H$3520,G$14))</f>
        <v>0</v>
      </c>
      <c r="H46" s="26" t="n">
        <f aca="false">CHOOSE(MATCH($B$3,Lists!$C$2:$C$5,0),SUMIFS(Sales_Data!$O$2:$O$3520,Sales_Data!$C$2:$C$3520,$A46,Sales_Data!$H$2:$H$3520,H$14,Sales_Data!$AE$2:$AE$3520,1),SUMIFS(Sales_Data!$M$2:$M$3520,Sales_Data!$C$2:$C$3520,$A46,Sales_Data!$H$2:$H$3520,H$14,Sales_Data!$AE$2:$AE$3520,1),SUMIFS(Sales_Data!$N$2:$N$3520,Sales_Data!$C$2:$C$3520,$A46,Sales_Data!$H$2:$H$3520,H$14,Sales_Data!$AE$2:$AE$3520,1),SUMIFS(Sales_Data!$AE$2:$AE$3520,Sales_Data!$C$2:$C$3520,$A46,Sales_Data!$H$2:$H$3520,H$14))</f>
        <v>0</v>
      </c>
      <c r="I46" s="26" t="n">
        <f aca="false">CHOOSE(MATCH($B$3,Lists!$C$2:$C$5,0),SUMIFS(Sales_Data!$O$2:$O$3520,Sales_Data!$C$2:$C$3520,$A46,Sales_Data!$H$2:$H$3520,I$14,Sales_Data!$AE$2:$AE$3520,1),SUMIFS(Sales_Data!$M$2:$M$3520,Sales_Data!$C$2:$C$3520,$A46,Sales_Data!$H$2:$H$3520,I$14,Sales_Data!$AE$2:$AE$3520,1),SUMIFS(Sales_Data!$N$2:$N$3520,Sales_Data!$C$2:$C$3520,$A46,Sales_Data!$H$2:$H$3520,I$14,Sales_Data!$AE$2:$AE$3520,1),SUMIFS(Sales_Data!$AE$2:$AE$3520,Sales_Data!$C$2:$C$3520,$A46,Sales_Data!$H$2:$H$3520,I$14))</f>
        <v>0</v>
      </c>
      <c r="J46" s="26" t="n">
        <f aca="false">CHOOSE(MATCH($B$3,Lists!$C$2:$C$5,0),SUMIFS(Sales_Data!$O$2:$O$3520,Sales_Data!$C$2:$C$3520,$A46,Sales_Data!$H$2:$H$3520,J$14,Sales_Data!$AE$2:$AE$3520,1),SUMIFS(Sales_Data!$M$2:$M$3520,Sales_Data!$C$2:$C$3520,$A46,Sales_Data!$H$2:$H$3520,J$14,Sales_Data!$AE$2:$AE$3520,1),SUMIFS(Sales_Data!$N$2:$N$3520,Sales_Data!$C$2:$C$3520,$A46,Sales_Data!$H$2:$H$3520,J$14,Sales_Data!$AE$2:$AE$3520,1),SUMIFS(Sales_Data!$AE$2:$AE$3520,Sales_Data!$C$2:$C$3520,$A46,Sales_Data!$H$2:$H$3520,J$14))</f>
        <v>0</v>
      </c>
      <c r="K46" s="26" t="n">
        <f aca="false">CHOOSE(MATCH($B$3,Lists!$C$2:$C$5,0),SUMIFS(Sales_Data!$O$2:$O$3520,Sales_Data!$C$2:$C$3520,$A46,Sales_Data!$H$2:$H$3520,K$14,Sales_Data!$AE$2:$AE$3520,1),SUMIFS(Sales_Data!$M$2:$M$3520,Sales_Data!$C$2:$C$3520,$A46,Sales_Data!$H$2:$H$3520,K$14,Sales_Data!$AE$2:$AE$3520,1),SUMIFS(Sales_Data!$N$2:$N$3520,Sales_Data!$C$2:$C$3520,$A46,Sales_Data!$H$2:$H$3520,K$14,Sales_Data!$AE$2:$AE$3520,1),SUMIFS(Sales_Data!$AE$2:$AE$3520,Sales_Data!$C$2:$C$3520,$A46,Sales_Data!$H$2:$H$3520,K$14))</f>
        <v>0</v>
      </c>
      <c r="L46" s="26" t="n">
        <f aca="false">CHOOSE(MATCH($B$3,Lists!$C$2:$C$5,0),SUMIFS(Sales_Data!$O$2:$O$3520,Sales_Data!$C$2:$C$3520,$A46,Sales_Data!$H$2:$H$3520,L$14,Sales_Data!$AE$2:$AE$3520,1),SUMIFS(Sales_Data!$M$2:$M$3520,Sales_Data!$C$2:$C$3520,$A46,Sales_Data!$H$2:$H$3520,L$14,Sales_Data!$AE$2:$AE$3520,1),SUMIFS(Sales_Data!$N$2:$N$3520,Sales_Data!$C$2:$C$3520,$A46,Sales_Data!$H$2:$H$3520,L$14,Sales_Data!$AE$2:$AE$3520,1),SUMIFS(Sales_Data!$AE$2:$AE$3520,Sales_Data!$C$2:$C$3520,$A46,Sales_Data!$H$2:$H$3520,L$14))</f>
        <v>9</v>
      </c>
      <c r="M46" s="26" t="n">
        <f aca="false">CHOOSE(MATCH($B$3,Lists!$C$2:$C$5,0),SUMIFS(Sales_Data!$O$2:$O$3520,Sales_Data!$C$2:$C$3520,$A46,Sales_Data!$H$2:$H$3520,M$14,Sales_Data!$AE$2:$AE$3520,1),SUMIFS(Sales_Data!$M$2:$M$3520,Sales_Data!$C$2:$C$3520,$A46,Sales_Data!$H$2:$H$3520,M$14,Sales_Data!$AE$2:$AE$3520,1),SUMIFS(Sales_Data!$N$2:$N$3520,Sales_Data!$C$2:$C$3520,$A46,Sales_Data!$H$2:$H$3520,M$14,Sales_Data!$AE$2:$AE$3520,1),SUMIFS(Sales_Data!$AE$2:$AE$3520,Sales_Data!$C$2:$C$3520,$A46,Sales_Data!$H$2:$H$3520,M$14))</f>
        <v>8</v>
      </c>
      <c r="N46" s="26" t="n">
        <f aca="false">CHOOSE(MATCH($B$3,Lists!$C$2:$C$5,0),SUMIFS(Sales_Data!$O$2:$O$3520,Sales_Data!$C$2:$C$3520,$A46,Sales_Data!$H$2:$H$3520,N$14,Sales_Data!$AE$2:$AE$3520,1),SUMIFS(Sales_Data!$M$2:$M$3520,Sales_Data!$C$2:$C$3520,$A46,Sales_Data!$H$2:$H$3520,N$14,Sales_Data!$AE$2:$AE$3520,1),SUMIFS(Sales_Data!$N$2:$N$3520,Sales_Data!$C$2:$C$3520,$A46,Sales_Data!$H$2:$H$3520,N$14,Sales_Data!$AE$2:$AE$3520,1),SUMIFS(Sales_Data!$AE$2:$AE$3520,Sales_Data!$C$2:$C$3520,$A46,Sales_Data!$H$2:$H$3520,N$14))</f>
        <v>7</v>
      </c>
      <c r="O46" s="26" t="n">
        <f aca="false">CHOOSE(MATCH($B$3,Lists!$C$2:$C$5,0),SUMIFS(Sales_Data!$O$2:$O$3520,Sales_Data!$C$2:$C$3520,$A46,Sales_Data!$H$2:$H$3520,O$14,Sales_Data!$AE$2:$AE$3520,1),SUMIFS(Sales_Data!$M$2:$M$3520,Sales_Data!$C$2:$C$3520,$A46,Sales_Data!$H$2:$H$3520,O$14,Sales_Data!$AE$2:$AE$3520,1),SUMIFS(Sales_Data!$N$2:$N$3520,Sales_Data!$C$2:$C$3520,$A46,Sales_Data!$H$2:$H$3520,O$14,Sales_Data!$AE$2:$AE$3520,1),SUMIFS(Sales_Data!$AE$2:$AE$3520,Sales_Data!$C$2:$C$3520,$A46,Sales_Data!$H$2:$H$3520,O$14))</f>
        <v>0</v>
      </c>
      <c r="P46" s="27" t="n">
        <f aca="false">CHOOSE(MATCH($B$3,Lists!$C$2:$C$5,0),SUMIFS(Sales_Data!$O$2:$O$3520,Sales_Data!$C$2:$C$3520,$A46,Sales_Data!$AE$2:$AE$3520,1),SUMIFS(Sales_Data!$M$2:$M$3520,Sales_Data!$C$2:$C$3520,$A46,Sales_Data!$AE$2:$AE$3520,1),SUMIFS(Sales_Data!$N$2:$N$3520,Sales_Data!$C$2:$C$3520,$A46,Sales_Data!$AE$2:$AE$3520,1),SUMIFS(Sales_Data!$AE$2:$AE$3520,Sales_Data!$C$2:$C$3520,$A46))</f>
        <v>35</v>
      </c>
      <c r="Q46" s="27" t="n">
        <f aca="false">P46-SUM(B46:O46)</f>
        <v>4</v>
      </c>
      <c r="R46" s="3"/>
      <c r="S46" s="72" t="n">
        <f aca="false">A46</f>
        <v>46256</v>
      </c>
      <c r="T46" s="28" t="n">
        <f aca="false">B46-B45</f>
        <v>0</v>
      </c>
      <c r="U46" s="28" t="n">
        <f aca="false">C46-C45</f>
        <v>0</v>
      </c>
      <c r="V46" s="28" t="n">
        <f aca="false">D46-D45</f>
        <v>2</v>
      </c>
      <c r="W46" s="28" t="n">
        <f aca="false">E46-E45</f>
        <v>0</v>
      </c>
      <c r="X46" s="28" t="n">
        <f aca="false">F46-F45</f>
        <v>-3</v>
      </c>
      <c r="Y46" s="28" t="n">
        <f aca="false">G46-G45</f>
        <v>0</v>
      </c>
      <c r="Z46" s="28" t="n">
        <f aca="false">H46-H45</f>
        <v>0</v>
      </c>
      <c r="AA46" s="28" t="n">
        <f aca="false">I46-I45</f>
        <v>0</v>
      </c>
      <c r="AB46" s="28" t="n">
        <f aca="false">J46-J45</f>
        <v>0</v>
      </c>
      <c r="AC46" s="28" t="n">
        <f aca="false">K46-K45</f>
        <v>0</v>
      </c>
      <c r="AD46" s="28" t="n">
        <f aca="false">L46-L45</f>
        <v>7</v>
      </c>
      <c r="AE46" s="28" t="n">
        <f aca="false">M46-M45</f>
        <v>7</v>
      </c>
      <c r="AF46" s="28" t="n">
        <f aca="false">N46-N45</f>
        <v>4</v>
      </c>
      <c r="AG46" s="28" t="n">
        <f aca="false">O46-O45</f>
        <v>0</v>
      </c>
      <c r="AH46" s="28" t="n">
        <f aca="false">P46-P45</f>
        <v>17</v>
      </c>
    </row>
    <row r="47" customFormat="false" ht="15" hidden="false" customHeight="false" outlineLevel="0" collapsed="false">
      <c r="A47" s="72" t="n">
        <v>46257</v>
      </c>
      <c r="B47" s="26" t="n">
        <f aca="false">CHOOSE(MATCH($B$3,Lists!$C$2:$C$5,0),SUMIFS(Sales_Data!$O$2:$O$3520,Sales_Data!$C$2:$C$3520,$A47,Sales_Data!$H$2:$H$3520,B$14,Sales_Data!$AE$2:$AE$3520,1),SUMIFS(Sales_Data!$M$2:$M$3520,Sales_Data!$C$2:$C$3520,$A47,Sales_Data!$H$2:$H$3520,B$14,Sales_Data!$AE$2:$AE$3520,1),SUMIFS(Sales_Data!$N$2:$N$3520,Sales_Data!$C$2:$C$3520,$A47,Sales_Data!$H$2:$H$3520,B$14,Sales_Data!$AE$2:$AE$3520,1),SUMIFS(Sales_Data!$AE$2:$AE$3520,Sales_Data!$C$2:$C$3520,$A47,Sales_Data!$H$2:$H$3520,B$14))</f>
        <v>0</v>
      </c>
      <c r="C47" s="26" t="n">
        <f aca="false">CHOOSE(MATCH($B$3,Lists!$C$2:$C$5,0),SUMIFS(Sales_Data!$O$2:$O$3520,Sales_Data!$C$2:$C$3520,$A47,Sales_Data!$H$2:$H$3520,C$14,Sales_Data!$AE$2:$AE$3520,1),SUMIFS(Sales_Data!$M$2:$M$3520,Sales_Data!$C$2:$C$3520,$A47,Sales_Data!$H$2:$H$3520,C$14,Sales_Data!$AE$2:$AE$3520,1),SUMIFS(Sales_Data!$N$2:$N$3520,Sales_Data!$C$2:$C$3520,$A47,Sales_Data!$H$2:$H$3520,C$14,Sales_Data!$AE$2:$AE$3520,1),SUMIFS(Sales_Data!$AE$2:$AE$3520,Sales_Data!$C$2:$C$3520,$A47,Sales_Data!$H$2:$H$3520,C$14))</f>
        <v>0</v>
      </c>
      <c r="D47" s="26" t="n">
        <f aca="false">CHOOSE(MATCH($B$3,Lists!$C$2:$C$5,0),SUMIFS(Sales_Data!$O$2:$O$3520,Sales_Data!$C$2:$C$3520,$A47,Sales_Data!$H$2:$H$3520,D$14,Sales_Data!$AE$2:$AE$3520,1),SUMIFS(Sales_Data!$M$2:$M$3520,Sales_Data!$C$2:$C$3520,$A47,Sales_Data!$H$2:$H$3520,D$14,Sales_Data!$AE$2:$AE$3520,1),SUMIFS(Sales_Data!$N$2:$N$3520,Sales_Data!$C$2:$C$3520,$A47,Sales_Data!$H$2:$H$3520,D$14,Sales_Data!$AE$2:$AE$3520,1),SUMIFS(Sales_Data!$AE$2:$AE$3520,Sales_Data!$C$2:$C$3520,$A47,Sales_Data!$H$2:$H$3520,D$14))</f>
        <v>1</v>
      </c>
      <c r="E47" s="26" t="n">
        <f aca="false">CHOOSE(MATCH($B$3,Lists!$C$2:$C$5,0),SUMIFS(Sales_Data!$O$2:$O$3520,Sales_Data!$C$2:$C$3520,$A47,Sales_Data!$H$2:$H$3520,E$14,Sales_Data!$AE$2:$AE$3520,1),SUMIFS(Sales_Data!$M$2:$M$3520,Sales_Data!$C$2:$C$3520,$A47,Sales_Data!$H$2:$H$3520,E$14,Sales_Data!$AE$2:$AE$3520,1),SUMIFS(Sales_Data!$N$2:$N$3520,Sales_Data!$C$2:$C$3520,$A47,Sales_Data!$H$2:$H$3520,E$14,Sales_Data!$AE$2:$AE$3520,1),SUMIFS(Sales_Data!$AE$2:$AE$3520,Sales_Data!$C$2:$C$3520,$A47,Sales_Data!$H$2:$H$3520,E$14))</f>
        <v>0</v>
      </c>
      <c r="F47" s="26" t="n">
        <f aca="false">CHOOSE(MATCH($B$3,Lists!$C$2:$C$5,0),SUMIFS(Sales_Data!$O$2:$O$3520,Sales_Data!$C$2:$C$3520,$A47,Sales_Data!$H$2:$H$3520,F$14,Sales_Data!$AE$2:$AE$3520,1),SUMIFS(Sales_Data!$M$2:$M$3520,Sales_Data!$C$2:$C$3520,$A47,Sales_Data!$H$2:$H$3520,F$14,Sales_Data!$AE$2:$AE$3520,1),SUMIFS(Sales_Data!$N$2:$N$3520,Sales_Data!$C$2:$C$3520,$A47,Sales_Data!$H$2:$H$3520,F$14,Sales_Data!$AE$2:$AE$3520,1),SUMIFS(Sales_Data!$AE$2:$AE$3520,Sales_Data!$C$2:$C$3520,$A47,Sales_Data!$H$2:$H$3520,F$14))</f>
        <v>8</v>
      </c>
      <c r="G47" s="26" t="n">
        <f aca="false">CHOOSE(MATCH($B$3,Lists!$C$2:$C$5,0),SUMIFS(Sales_Data!$O$2:$O$3520,Sales_Data!$C$2:$C$3520,$A47,Sales_Data!$H$2:$H$3520,G$14,Sales_Data!$AE$2:$AE$3520,1),SUMIFS(Sales_Data!$M$2:$M$3520,Sales_Data!$C$2:$C$3520,$A47,Sales_Data!$H$2:$H$3520,G$14,Sales_Data!$AE$2:$AE$3520,1),SUMIFS(Sales_Data!$N$2:$N$3520,Sales_Data!$C$2:$C$3520,$A47,Sales_Data!$H$2:$H$3520,G$14,Sales_Data!$AE$2:$AE$3520,1),SUMIFS(Sales_Data!$AE$2:$AE$3520,Sales_Data!$C$2:$C$3520,$A47,Sales_Data!$H$2:$H$3520,G$14))</f>
        <v>3</v>
      </c>
      <c r="H47" s="26" t="n">
        <f aca="false">CHOOSE(MATCH($B$3,Lists!$C$2:$C$5,0),SUMIFS(Sales_Data!$O$2:$O$3520,Sales_Data!$C$2:$C$3520,$A47,Sales_Data!$H$2:$H$3520,H$14,Sales_Data!$AE$2:$AE$3520,1),SUMIFS(Sales_Data!$M$2:$M$3520,Sales_Data!$C$2:$C$3520,$A47,Sales_Data!$H$2:$H$3520,H$14,Sales_Data!$AE$2:$AE$3520,1),SUMIFS(Sales_Data!$N$2:$N$3520,Sales_Data!$C$2:$C$3520,$A47,Sales_Data!$H$2:$H$3520,H$14,Sales_Data!$AE$2:$AE$3520,1),SUMIFS(Sales_Data!$AE$2:$AE$3520,Sales_Data!$C$2:$C$3520,$A47,Sales_Data!$H$2:$H$3520,H$14))</f>
        <v>0</v>
      </c>
      <c r="I47" s="26" t="n">
        <f aca="false">CHOOSE(MATCH($B$3,Lists!$C$2:$C$5,0),SUMIFS(Sales_Data!$O$2:$O$3520,Sales_Data!$C$2:$C$3520,$A47,Sales_Data!$H$2:$H$3520,I$14,Sales_Data!$AE$2:$AE$3520,1),SUMIFS(Sales_Data!$M$2:$M$3520,Sales_Data!$C$2:$C$3520,$A47,Sales_Data!$H$2:$H$3520,I$14,Sales_Data!$AE$2:$AE$3520,1),SUMIFS(Sales_Data!$N$2:$N$3520,Sales_Data!$C$2:$C$3520,$A47,Sales_Data!$H$2:$H$3520,I$14,Sales_Data!$AE$2:$AE$3520,1),SUMIFS(Sales_Data!$AE$2:$AE$3520,Sales_Data!$C$2:$C$3520,$A47,Sales_Data!$H$2:$H$3520,I$14))</f>
        <v>0</v>
      </c>
      <c r="J47" s="26" t="n">
        <f aca="false">CHOOSE(MATCH($B$3,Lists!$C$2:$C$5,0),SUMIFS(Sales_Data!$O$2:$O$3520,Sales_Data!$C$2:$C$3520,$A47,Sales_Data!$H$2:$H$3520,J$14,Sales_Data!$AE$2:$AE$3520,1),SUMIFS(Sales_Data!$M$2:$M$3520,Sales_Data!$C$2:$C$3520,$A47,Sales_Data!$H$2:$H$3520,J$14,Sales_Data!$AE$2:$AE$3520,1),SUMIFS(Sales_Data!$N$2:$N$3520,Sales_Data!$C$2:$C$3520,$A47,Sales_Data!$H$2:$H$3520,J$14,Sales_Data!$AE$2:$AE$3520,1),SUMIFS(Sales_Data!$AE$2:$AE$3520,Sales_Data!$C$2:$C$3520,$A47,Sales_Data!$H$2:$H$3520,J$14))</f>
        <v>0</v>
      </c>
      <c r="K47" s="26" t="n">
        <f aca="false">CHOOSE(MATCH($B$3,Lists!$C$2:$C$5,0),SUMIFS(Sales_Data!$O$2:$O$3520,Sales_Data!$C$2:$C$3520,$A47,Sales_Data!$H$2:$H$3520,K$14,Sales_Data!$AE$2:$AE$3520,1),SUMIFS(Sales_Data!$M$2:$M$3520,Sales_Data!$C$2:$C$3520,$A47,Sales_Data!$H$2:$H$3520,K$14,Sales_Data!$AE$2:$AE$3520,1),SUMIFS(Sales_Data!$N$2:$N$3520,Sales_Data!$C$2:$C$3520,$A47,Sales_Data!$H$2:$H$3520,K$14,Sales_Data!$AE$2:$AE$3520,1),SUMIFS(Sales_Data!$AE$2:$AE$3520,Sales_Data!$C$2:$C$3520,$A47,Sales_Data!$H$2:$H$3520,K$14))</f>
        <v>0</v>
      </c>
      <c r="L47" s="26" t="n">
        <f aca="false">CHOOSE(MATCH($B$3,Lists!$C$2:$C$5,0),SUMIFS(Sales_Data!$O$2:$O$3520,Sales_Data!$C$2:$C$3520,$A47,Sales_Data!$H$2:$H$3520,L$14,Sales_Data!$AE$2:$AE$3520,1),SUMIFS(Sales_Data!$M$2:$M$3520,Sales_Data!$C$2:$C$3520,$A47,Sales_Data!$H$2:$H$3520,L$14,Sales_Data!$AE$2:$AE$3520,1),SUMIFS(Sales_Data!$N$2:$N$3520,Sales_Data!$C$2:$C$3520,$A47,Sales_Data!$H$2:$H$3520,L$14,Sales_Data!$AE$2:$AE$3520,1),SUMIFS(Sales_Data!$AE$2:$AE$3520,Sales_Data!$C$2:$C$3520,$A47,Sales_Data!$H$2:$H$3520,L$14))</f>
        <v>14</v>
      </c>
      <c r="M47" s="26" t="n">
        <f aca="false">CHOOSE(MATCH($B$3,Lists!$C$2:$C$5,0),SUMIFS(Sales_Data!$O$2:$O$3520,Sales_Data!$C$2:$C$3520,$A47,Sales_Data!$H$2:$H$3520,M$14,Sales_Data!$AE$2:$AE$3520,1),SUMIFS(Sales_Data!$M$2:$M$3520,Sales_Data!$C$2:$C$3520,$A47,Sales_Data!$H$2:$H$3520,M$14,Sales_Data!$AE$2:$AE$3520,1),SUMIFS(Sales_Data!$N$2:$N$3520,Sales_Data!$C$2:$C$3520,$A47,Sales_Data!$H$2:$H$3520,M$14,Sales_Data!$AE$2:$AE$3520,1),SUMIFS(Sales_Data!$AE$2:$AE$3520,Sales_Data!$C$2:$C$3520,$A47,Sales_Data!$H$2:$H$3520,M$14))</f>
        <v>8</v>
      </c>
      <c r="N47" s="26" t="n">
        <f aca="false">CHOOSE(MATCH($B$3,Lists!$C$2:$C$5,0),SUMIFS(Sales_Data!$O$2:$O$3520,Sales_Data!$C$2:$C$3520,$A47,Sales_Data!$H$2:$H$3520,N$14,Sales_Data!$AE$2:$AE$3520,1),SUMIFS(Sales_Data!$M$2:$M$3520,Sales_Data!$C$2:$C$3520,$A47,Sales_Data!$H$2:$H$3520,N$14,Sales_Data!$AE$2:$AE$3520,1),SUMIFS(Sales_Data!$N$2:$N$3520,Sales_Data!$C$2:$C$3520,$A47,Sales_Data!$H$2:$H$3520,N$14,Sales_Data!$AE$2:$AE$3520,1),SUMIFS(Sales_Data!$AE$2:$AE$3520,Sales_Data!$C$2:$C$3520,$A47,Sales_Data!$H$2:$H$3520,N$14))</f>
        <v>18</v>
      </c>
      <c r="O47" s="26" t="n">
        <f aca="false">CHOOSE(MATCH($B$3,Lists!$C$2:$C$5,0),SUMIFS(Sales_Data!$O$2:$O$3520,Sales_Data!$C$2:$C$3520,$A47,Sales_Data!$H$2:$H$3520,O$14,Sales_Data!$AE$2:$AE$3520,1),SUMIFS(Sales_Data!$M$2:$M$3520,Sales_Data!$C$2:$C$3520,$A47,Sales_Data!$H$2:$H$3520,O$14,Sales_Data!$AE$2:$AE$3520,1),SUMIFS(Sales_Data!$N$2:$N$3520,Sales_Data!$C$2:$C$3520,$A47,Sales_Data!$H$2:$H$3520,O$14,Sales_Data!$AE$2:$AE$3520,1),SUMIFS(Sales_Data!$AE$2:$AE$3520,Sales_Data!$C$2:$C$3520,$A47,Sales_Data!$H$2:$H$3520,O$14))</f>
        <v>0</v>
      </c>
      <c r="P47" s="27" t="n">
        <f aca="false">CHOOSE(MATCH($B$3,Lists!$C$2:$C$5,0),SUMIFS(Sales_Data!$O$2:$O$3520,Sales_Data!$C$2:$C$3520,$A47,Sales_Data!$AE$2:$AE$3520,1),SUMIFS(Sales_Data!$M$2:$M$3520,Sales_Data!$C$2:$C$3520,$A47,Sales_Data!$AE$2:$AE$3520,1),SUMIFS(Sales_Data!$N$2:$N$3520,Sales_Data!$C$2:$C$3520,$A47,Sales_Data!$AE$2:$AE$3520,1),SUMIFS(Sales_Data!$AE$2:$AE$3520,Sales_Data!$C$2:$C$3520,$A47))</f>
        <v>63</v>
      </c>
      <c r="Q47" s="27" t="n">
        <f aca="false">P47-SUM(B47:O47)</f>
        <v>11</v>
      </c>
      <c r="R47" s="3"/>
      <c r="S47" s="72" t="n">
        <f aca="false">A47</f>
        <v>46257</v>
      </c>
      <c r="T47" s="28" t="n">
        <f aca="false">B47-B46</f>
        <v>0</v>
      </c>
      <c r="U47" s="28" t="n">
        <f aca="false">C47-C46</f>
        <v>0</v>
      </c>
      <c r="V47" s="28" t="n">
        <f aca="false">D47-D46</f>
        <v>-1</v>
      </c>
      <c r="W47" s="28" t="n">
        <f aca="false">E47-E46</f>
        <v>0</v>
      </c>
      <c r="X47" s="28" t="n">
        <f aca="false">F47-F46</f>
        <v>3</v>
      </c>
      <c r="Y47" s="28" t="n">
        <f aca="false">G47-G46</f>
        <v>3</v>
      </c>
      <c r="Z47" s="28" t="n">
        <f aca="false">H47-H46</f>
        <v>0</v>
      </c>
      <c r="AA47" s="28" t="n">
        <f aca="false">I47-I46</f>
        <v>0</v>
      </c>
      <c r="AB47" s="28" t="n">
        <f aca="false">J47-J46</f>
        <v>0</v>
      </c>
      <c r="AC47" s="28" t="n">
        <f aca="false">K47-K46</f>
        <v>0</v>
      </c>
      <c r="AD47" s="28" t="n">
        <f aca="false">L47-L46</f>
        <v>5</v>
      </c>
      <c r="AE47" s="28" t="n">
        <f aca="false">M47-M46</f>
        <v>0</v>
      </c>
      <c r="AF47" s="28" t="n">
        <f aca="false">N47-N46</f>
        <v>11</v>
      </c>
      <c r="AG47" s="28" t="n">
        <f aca="false">O47-O46</f>
        <v>0</v>
      </c>
      <c r="AH47" s="28" t="n">
        <f aca="false">P47-P46</f>
        <v>28</v>
      </c>
    </row>
    <row r="48" customFormat="false" ht="15" hidden="false" customHeight="false" outlineLevel="0" collapsed="false">
      <c r="A48" s="72" t="n">
        <v>46258</v>
      </c>
      <c r="B48" s="26" t="n">
        <f aca="false">CHOOSE(MATCH($B$3,Lists!$C$2:$C$5,0),SUMIFS(Sales_Data!$O$2:$O$3520,Sales_Data!$C$2:$C$3520,$A48,Sales_Data!$H$2:$H$3520,B$14,Sales_Data!$AE$2:$AE$3520,1),SUMIFS(Sales_Data!$M$2:$M$3520,Sales_Data!$C$2:$C$3520,$A48,Sales_Data!$H$2:$H$3520,B$14,Sales_Data!$AE$2:$AE$3520,1),SUMIFS(Sales_Data!$N$2:$N$3520,Sales_Data!$C$2:$C$3520,$A48,Sales_Data!$H$2:$H$3520,B$14,Sales_Data!$AE$2:$AE$3520,1),SUMIFS(Sales_Data!$AE$2:$AE$3520,Sales_Data!$C$2:$C$3520,$A48,Sales_Data!$H$2:$H$3520,B$14))</f>
        <v>0</v>
      </c>
      <c r="C48" s="26" t="n">
        <f aca="false">CHOOSE(MATCH($B$3,Lists!$C$2:$C$5,0),SUMIFS(Sales_Data!$O$2:$O$3520,Sales_Data!$C$2:$C$3520,$A48,Sales_Data!$H$2:$H$3520,C$14,Sales_Data!$AE$2:$AE$3520,1),SUMIFS(Sales_Data!$M$2:$M$3520,Sales_Data!$C$2:$C$3520,$A48,Sales_Data!$H$2:$H$3520,C$14,Sales_Data!$AE$2:$AE$3520,1),SUMIFS(Sales_Data!$N$2:$N$3520,Sales_Data!$C$2:$C$3520,$A48,Sales_Data!$H$2:$H$3520,C$14,Sales_Data!$AE$2:$AE$3520,1),SUMIFS(Sales_Data!$AE$2:$AE$3520,Sales_Data!$C$2:$C$3520,$A48,Sales_Data!$H$2:$H$3520,C$14))</f>
        <v>1</v>
      </c>
      <c r="D48" s="26" t="n">
        <f aca="false">CHOOSE(MATCH($B$3,Lists!$C$2:$C$5,0),SUMIFS(Sales_Data!$O$2:$O$3520,Sales_Data!$C$2:$C$3520,$A48,Sales_Data!$H$2:$H$3520,D$14,Sales_Data!$AE$2:$AE$3520,1),SUMIFS(Sales_Data!$M$2:$M$3520,Sales_Data!$C$2:$C$3520,$A48,Sales_Data!$H$2:$H$3520,D$14,Sales_Data!$AE$2:$AE$3520,1),SUMIFS(Sales_Data!$N$2:$N$3520,Sales_Data!$C$2:$C$3520,$A48,Sales_Data!$H$2:$H$3520,D$14,Sales_Data!$AE$2:$AE$3520,1),SUMIFS(Sales_Data!$AE$2:$AE$3520,Sales_Data!$C$2:$C$3520,$A48,Sales_Data!$H$2:$H$3520,D$14))</f>
        <v>2</v>
      </c>
      <c r="E48" s="26" t="n">
        <f aca="false">CHOOSE(MATCH($B$3,Lists!$C$2:$C$5,0),SUMIFS(Sales_Data!$O$2:$O$3520,Sales_Data!$C$2:$C$3520,$A48,Sales_Data!$H$2:$H$3520,E$14,Sales_Data!$AE$2:$AE$3520,1),SUMIFS(Sales_Data!$M$2:$M$3520,Sales_Data!$C$2:$C$3520,$A48,Sales_Data!$H$2:$H$3520,E$14,Sales_Data!$AE$2:$AE$3520,1),SUMIFS(Sales_Data!$N$2:$N$3520,Sales_Data!$C$2:$C$3520,$A48,Sales_Data!$H$2:$H$3520,E$14,Sales_Data!$AE$2:$AE$3520,1),SUMIFS(Sales_Data!$AE$2:$AE$3520,Sales_Data!$C$2:$C$3520,$A48,Sales_Data!$H$2:$H$3520,E$14))</f>
        <v>0</v>
      </c>
      <c r="F48" s="26" t="n">
        <f aca="false">CHOOSE(MATCH($B$3,Lists!$C$2:$C$5,0),SUMIFS(Sales_Data!$O$2:$O$3520,Sales_Data!$C$2:$C$3520,$A48,Sales_Data!$H$2:$H$3520,F$14,Sales_Data!$AE$2:$AE$3520,1),SUMIFS(Sales_Data!$M$2:$M$3520,Sales_Data!$C$2:$C$3520,$A48,Sales_Data!$H$2:$H$3520,F$14,Sales_Data!$AE$2:$AE$3520,1),SUMIFS(Sales_Data!$N$2:$N$3520,Sales_Data!$C$2:$C$3520,$A48,Sales_Data!$H$2:$H$3520,F$14,Sales_Data!$AE$2:$AE$3520,1),SUMIFS(Sales_Data!$AE$2:$AE$3520,Sales_Data!$C$2:$C$3520,$A48,Sales_Data!$H$2:$H$3520,F$14))</f>
        <v>7</v>
      </c>
      <c r="G48" s="26" t="n">
        <f aca="false">CHOOSE(MATCH($B$3,Lists!$C$2:$C$5,0),SUMIFS(Sales_Data!$O$2:$O$3520,Sales_Data!$C$2:$C$3520,$A48,Sales_Data!$H$2:$H$3520,G$14,Sales_Data!$AE$2:$AE$3520,1),SUMIFS(Sales_Data!$M$2:$M$3520,Sales_Data!$C$2:$C$3520,$A48,Sales_Data!$H$2:$H$3520,G$14,Sales_Data!$AE$2:$AE$3520,1),SUMIFS(Sales_Data!$N$2:$N$3520,Sales_Data!$C$2:$C$3520,$A48,Sales_Data!$H$2:$H$3520,G$14,Sales_Data!$AE$2:$AE$3520,1),SUMIFS(Sales_Data!$AE$2:$AE$3520,Sales_Data!$C$2:$C$3520,$A48,Sales_Data!$H$2:$H$3520,G$14))</f>
        <v>0</v>
      </c>
      <c r="H48" s="26" t="n">
        <f aca="false">CHOOSE(MATCH($B$3,Lists!$C$2:$C$5,0),SUMIFS(Sales_Data!$O$2:$O$3520,Sales_Data!$C$2:$C$3520,$A48,Sales_Data!$H$2:$H$3520,H$14,Sales_Data!$AE$2:$AE$3520,1),SUMIFS(Sales_Data!$M$2:$M$3520,Sales_Data!$C$2:$C$3520,$A48,Sales_Data!$H$2:$H$3520,H$14,Sales_Data!$AE$2:$AE$3520,1),SUMIFS(Sales_Data!$N$2:$N$3520,Sales_Data!$C$2:$C$3520,$A48,Sales_Data!$H$2:$H$3520,H$14,Sales_Data!$AE$2:$AE$3520,1),SUMIFS(Sales_Data!$AE$2:$AE$3520,Sales_Data!$C$2:$C$3520,$A48,Sales_Data!$H$2:$H$3520,H$14))</f>
        <v>0</v>
      </c>
      <c r="I48" s="26" t="n">
        <f aca="false">CHOOSE(MATCH($B$3,Lists!$C$2:$C$5,0),SUMIFS(Sales_Data!$O$2:$O$3520,Sales_Data!$C$2:$C$3520,$A48,Sales_Data!$H$2:$H$3520,I$14,Sales_Data!$AE$2:$AE$3520,1),SUMIFS(Sales_Data!$M$2:$M$3520,Sales_Data!$C$2:$C$3520,$A48,Sales_Data!$H$2:$H$3520,I$14,Sales_Data!$AE$2:$AE$3520,1),SUMIFS(Sales_Data!$N$2:$N$3520,Sales_Data!$C$2:$C$3520,$A48,Sales_Data!$H$2:$H$3520,I$14,Sales_Data!$AE$2:$AE$3520,1),SUMIFS(Sales_Data!$AE$2:$AE$3520,Sales_Data!$C$2:$C$3520,$A48,Sales_Data!$H$2:$H$3520,I$14))</f>
        <v>0</v>
      </c>
      <c r="J48" s="26" t="n">
        <f aca="false">CHOOSE(MATCH($B$3,Lists!$C$2:$C$5,0),SUMIFS(Sales_Data!$O$2:$O$3520,Sales_Data!$C$2:$C$3520,$A48,Sales_Data!$H$2:$H$3520,J$14,Sales_Data!$AE$2:$AE$3520,1),SUMIFS(Sales_Data!$M$2:$M$3520,Sales_Data!$C$2:$C$3520,$A48,Sales_Data!$H$2:$H$3520,J$14,Sales_Data!$AE$2:$AE$3520,1),SUMIFS(Sales_Data!$N$2:$N$3520,Sales_Data!$C$2:$C$3520,$A48,Sales_Data!$H$2:$H$3520,J$14,Sales_Data!$AE$2:$AE$3520,1),SUMIFS(Sales_Data!$AE$2:$AE$3520,Sales_Data!$C$2:$C$3520,$A48,Sales_Data!$H$2:$H$3520,J$14))</f>
        <v>0</v>
      </c>
      <c r="K48" s="26" t="n">
        <f aca="false">CHOOSE(MATCH($B$3,Lists!$C$2:$C$5,0),SUMIFS(Sales_Data!$O$2:$O$3520,Sales_Data!$C$2:$C$3520,$A48,Sales_Data!$H$2:$H$3520,K$14,Sales_Data!$AE$2:$AE$3520,1),SUMIFS(Sales_Data!$M$2:$M$3520,Sales_Data!$C$2:$C$3520,$A48,Sales_Data!$H$2:$H$3520,K$14,Sales_Data!$AE$2:$AE$3520,1),SUMIFS(Sales_Data!$N$2:$N$3520,Sales_Data!$C$2:$C$3520,$A48,Sales_Data!$H$2:$H$3520,K$14,Sales_Data!$AE$2:$AE$3520,1),SUMIFS(Sales_Data!$AE$2:$AE$3520,Sales_Data!$C$2:$C$3520,$A48,Sales_Data!$H$2:$H$3520,K$14))</f>
        <v>0</v>
      </c>
      <c r="L48" s="26" t="n">
        <f aca="false">CHOOSE(MATCH($B$3,Lists!$C$2:$C$5,0),SUMIFS(Sales_Data!$O$2:$O$3520,Sales_Data!$C$2:$C$3520,$A48,Sales_Data!$H$2:$H$3520,L$14,Sales_Data!$AE$2:$AE$3520,1),SUMIFS(Sales_Data!$M$2:$M$3520,Sales_Data!$C$2:$C$3520,$A48,Sales_Data!$H$2:$H$3520,L$14,Sales_Data!$AE$2:$AE$3520,1),SUMIFS(Sales_Data!$N$2:$N$3520,Sales_Data!$C$2:$C$3520,$A48,Sales_Data!$H$2:$H$3520,L$14,Sales_Data!$AE$2:$AE$3520,1),SUMIFS(Sales_Data!$AE$2:$AE$3520,Sales_Data!$C$2:$C$3520,$A48,Sales_Data!$H$2:$H$3520,L$14))</f>
        <v>13</v>
      </c>
      <c r="M48" s="26" t="n">
        <f aca="false">CHOOSE(MATCH($B$3,Lists!$C$2:$C$5,0),SUMIFS(Sales_Data!$O$2:$O$3520,Sales_Data!$C$2:$C$3520,$A48,Sales_Data!$H$2:$H$3520,M$14,Sales_Data!$AE$2:$AE$3520,1),SUMIFS(Sales_Data!$M$2:$M$3520,Sales_Data!$C$2:$C$3520,$A48,Sales_Data!$H$2:$H$3520,M$14,Sales_Data!$AE$2:$AE$3520,1),SUMIFS(Sales_Data!$N$2:$N$3520,Sales_Data!$C$2:$C$3520,$A48,Sales_Data!$H$2:$H$3520,M$14,Sales_Data!$AE$2:$AE$3520,1),SUMIFS(Sales_Data!$AE$2:$AE$3520,Sales_Data!$C$2:$C$3520,$A48,Sales_Data!$H$2:$H$3520,M$14))</f>
        <v>3</v>
      </c>
      <c r="N48" s="26" t="n">
        <f aca="false">CHOOSE(MATCH($B$3,Lists!$C$2:$C$5,0),SUMIFS(Sales_Data!$O$2:$O$3520,Sales_Data!$C$2:$C$3520,$A48,Sales_Data!$H$2:$H$3520,N$14,Sales_Data!$AE$2:$AE$3520,1),SUMIFS(Sales_Data!$M$2:$M$3520,Sales_Data!$C$2:$C$3520,$A48,Sales_Data!$H$2:$H$3520,N$14,Sales_Data!$AE$2:$AE$3520,1),SUMIFS(Sales_Data!$N$2:$N$3520,Sales_Data!$C$2:$C$3520,$A48,Sales_Data!$H$2:$H$3520,N$14,Sales_Data!$AE$2:$AE$3520,1),SUMIFS(Sales_Data!$AE$2:$AE$3520,Sales_Data!$C$2:$C$3520,$A48,Sales_Data!$H$2:$H$3520,N$14))</f>
        <v>9</v>
      </c>
      <c r="O48" s="26" t="n">
        <f aca="false">CHOOSE(MATCH($B$3,Lists!$C$2:$C$5,0),SUMIFS(Sales_Data!$O$2:$O$3520,Sales_Data!$C$2:$C$3520,$A48,Sales_Data!$H$2:$H$3520,O$14,Sales_Data!$AE$2:$AE$3520,1),SUMIFS(Sales_Data!$M$2:$M$3520,Sales_Data!$C$2:$C$3520,$A48,Sales_Data!$H$2:$H$3520,O$14,Sales_Data!$AE$2:$AE$3520,1),SUMIFS(Sales_Data!$N$2:$N$3520,Sales_Data!$C$2:$C$3520,$A48,Sales_Data!$H$2:$H$3520,O$14,Sales_Data!$AE$2:$AE$3520,1),SUMIFS(Sales_Data!$AE$2:$AE$3520,Sales_Data!$C$2:$C$3520,$A48,Sales_Data!$H$2:$H$3520,O$14))</f>
        <v>0</v>
      </c>
      <c r="P48" s="27" t="n">
        <f aca="false">CHOOSE(MATCH($B$3,Lists!$C$2:$C$5,0),SUMIFS(Sales_Data!$O$2:$O$3520,Sales_Data!$C$2:$C$3520,$A48,Sales_Data!$AE$2:$AE$3520,1),SUMIFS(Sales_Data!$M$2:$M$3520,Sales_Data!$C$2:$C$3520,$A48,Sales_Data!$AE$2:$AE$3520,1),SUMIFS(Sales_Data!$N$2:$N$3520,Sales_Data!$C$2:$C$3520,$A48,Sales_Data!$AE$2:$AE$3520,1),SUMIFS(Sales_Data!$AE$2:$AE$3520,Sales_Data!$C$2:$C$3520,$A48))</f>
        <v>39</v>
      </c>
      <c r="Q48" s="27" t="n">
        <f aca="false">P48-SUM(B48:O48)</f>
        <v>4</v>
      </c>
      <c r="R48" s="3"/>
      <c r="S48" s="72" t="n">
        <f aca="false">A48</f>
        <v>46258</v>
      </c>
      <c r="T48" s="28" t="n">
        <f aca="false">B48-B47</f>
        <v>0</v>
      </c>
      <c r="U48" s="28" t="n">
        <f aca="false">C48-C47</f>
        <v>1</v>
      </c>
      <c r="V48" s="28" t="n">
        <f aca="false">D48-D47</f>
        <v>1</v>
      </c>
      <c r="W48" s="28" t="n">
        <f aca="false">E48-E47</f>
        <v>0</v>
      </c>
      <c r="X48" s="28" t="n">
        <f aca="false">F48-F47</f>
        <v>-1</v>
      </c>
      <c r="Y48" s="28" t="n">
        <f aca="false">G48-G47</f>
        <v>-3</v>
      </c>
      <c r="Z48" s="28" t="n">
        <f aca="false">H48-H47</f>
        <v>0</v>
      </c>
      <c r="AA48" s="28" t="n">
        <f aca="false">I48-I47</f>
        <v>0</v>
      </c>
      <c r="AB48" s="28" t="n">
        <f aca="false">J48-J47</f>
        <v>0</v>
      </c>
      <c r="AC48" s="28" t="n">
        <f aca="false">K48-K47</f>
        <v>0</v>
      </c>
      <c r="AD48" s="28" t="n">
        <f aca="false">L48-L47</f>
        <v>-1</v>
      </c>
      <c r="AE48" s="28" t="n">
        <f aca="false">M48-M47</f>
        <v>-5</v>
      </c>
      <c r="AF48" s="28" t="n">
        <f aca="false">N48-N47</f>
        <v>-9</v>
      </c>
      <c r="AG48" s="28" t="n">
        <f aca="false">O48-O47</f>
        <v>0</v>
      </c>
      <c r="AH48" s="28" t="n">
        <f aca="false">P48-P47</f>
        <v>-24</v>
      </c>
    </row>
    <row r="49" customFormat="false" ht="15" hidden="false" customHeight="false" outlineLevel="0" collapsed="false">
      <c r="A49" s="72" t="n">
        <v>46259</v>
      </c>
      <c r="B49" s="26" t="n">
        <f aca="false">CHOOSE(MATCH($B$3,Lists!$C$2:$C$5,0),SUMIFS(Sales_Data!$O$2:$O$3520,Sales_Data!$C$2:$C$3520,$A49,Sales_Data!$H$2:$H$3520,B$14,Sales_Data!$AE$2:$AE$3520,1),SUMIFS(Sales_Data!$M$2:$M$3520,Sales_Data!$C$2:$C$3520,$A49,Sales_Data!$H$2:$H$3520,B$14,Sales_Data!$AE$2:$AE$3520,1),SUMIFS(Sales_Data!$N$2:$N$3520,Sales_Data!$C$2:$C$3520,$A49,Sales_Data!$H$2:$H$3520,B$14,Sales_Data!$AE$2:$AE$3520,1),SUMIFS(Sales_Data!$AE$2:$AE$3520,Sales_Data!$C$2:$C$3520,$A49,Sales_Data!$H$2:$H$3520,B$14))</f>
        <v>0</v>
      </c>
      <c r="C49" s="26" t="n">
        <f aca="false">CHOOSE(MATCH($B$3,Lists!$C$2:$C$5,0),SUMIFS(Sales_Data!$O$2:$O$3520,Sales_Data!$C$2:$C$3520,$A49,Sales_Data!$H$2:$H$3520,C$14,Sales_Data!$AE$2:$AE$3520,1),SUMIFS(Sales_Data!$M$2:$M$3520,Sales_Data!$C$2:$C$3520,$A49,Sales_Data!$H$2:$H$3520,C$14,Sales_Data!$AE$2:$AE$3520,1),SUMIFS(Sales_Data!$N$2:$N$3520,Sales_Data!$C$2:$C$3520,$A49,Sales_Data!$H$2:$H$3520,C$14,Sales_Data!$AE$2:$AE$3520,1),SUMIFS(Sales_Data!$AE$2:$AE$3520,Sales_Data!$C$2:$C$3520,$A49,Sales_Data!$H$2:$H$3520,C$14))</f>
        <v>2</v>
      </c>
      <c r="D49" s="26" t="n">
        <f aca="false">CHOOSE(MATCH($B$3,Lists!$C$2:$C$5,0),SUMIFS(Sales_Data!$O$2:$O$3520,Sales_Data!$C$2:$C$3520,$A49,Sales_Data!$H$2:$H$3520,D$14,Sales_Data!$AE$2:$AE$3520,1),SUMIFS(Sales_Data!$M$2:$M$3520,Sales_Data!$C$2:$C$3520,$A49,Sales_Data!$H$2:$H$3520,D$14,Sales_Data!$AE$2:$AE$3520,1),SUMIFS(Sales_Data!$N$2:$N$3520,Sales_Data!$C$2:$C$3520,$A49,Sales_Data!$H$2:$H$3520,D$14,Sales_Data!$AE$2:$AE$3520,1),SUMIFS(Sales_Data!$AE$2:$AE$3520,Sales_Data!$C$2:$C$3520,$A49,Sales_Data!$H$2:$H$3520,D$14))</f>
        <v>0</v>
      </c>
      <c r="E49" s="26" t="n">
        <f aca="false">CHOOSE(MATCH($B$3,Lists!$C$2:$C$5,0),SUMIFS(Sales_Data!$O$2:$O$3520,Sales_Data!$C$2:$C$3520,$A49,Sales_Data!$H$2:$H$3520,E$14,Sales_Data!$AE$2:$AE$3520,1),SUMIFS(Sales_Data!$M$2:$M$3520,Sales_Data!$C$2:$C$3520,$A49,Sales_Data!$H$2:$H$3520,E$14,Sales_Data!$AE$2:$AE$3520,1),SUMIFS(Sales_Data!$N$2:$N$3520,Sales_Data!$C$2:$C$3520,$A49,Sales_Data!$H$2:$H$3520,E$14,Sales_Data!$AE$2:$AE$3520,1),SUMIFS(Sales_Data!$AE$2:$AE$3520,Sales_Data!$C$2:$C$3520,$A49,Sales_Data!$H$2:$H$3520,E$14))</f>
        <v>0</v>
      </c>
      <c r="F49" s="26" t="n">
        <f aca="false">CHOOSE(MATCH($B$3,Lists!$C$2:$C$5,0),SUMIFS(Sales_Data!$O$2:$O$3520,Sales_Data!$C$2:$C$3520,$A49,Sales_Data!$H$2:$H$3520,F$14,Sales_Data!$AE$2:$AE$3520,1),SUMIFS(Sales_Data!$M$2:$M$3520,Sales_Data!$C$2:$C$3520,$A49,Sales_Data!$H$2:$H$3520,F$14,Sales_Data!$AE$2:$AE$3520,1),SUMIFS(Sales_Data!$N$2:$N$3520,Sales_Data!$C$2:$C$3520,$A49,Sales_Data!$H$2:$H$3520,F$14,Sales_Data!$AE$2:$AE$3520,1),SUMIFS(Sales_Data!$AE$2:$AE$3520,Sales_Data!$C$2:$C$3520,$A49,Sales_Data!$H$2:$H$3520,F$14))</f>
        <v>1</v>
      </c>
      <c r="G49" s="26" t="n">
        <f aca="false">CHOOSE(MATCH($B$3,Lists!$C$2:$C$5,0),SUMIFS(Sales_Data!$O$2:$O$3520,Sales_Data!$C$2:$C$3520,$A49,Sales_Data!$H$2:$H$3520,G$14,Sales_Data!$AE$2:$AE$3520,1),SUMIFS(Sales_Data!$M$2:$M$3520,Sales_Data!$C$2:$C$3520,$A49,Sales_Data!$H$2:$H$3520,G$14,Sales_Data!$AE$2:$AE$3520,1),SUMIFS(Sales_Data!$N$2:$N$3520,Sales_Data!$C$2:$C$3520,$A49,Sales_Data!$H$2:$H$3520,G$14,Sales_Data!$AE$2:$AE$3520,1),SUMIFS(Sales_Data!$AE$2:$AE$3520,Sales_Data!$C$2:$C$3520,$A49,Sales_Data!$H$2:$H$3520,G$14))</f>
        <v>0</v>
      </c>
      <c r="H49" s="26" t="n">
        <f aca="false">CHOOSE(MATCH($B$3,Lists!$C$2:$C$5,0),SUMIFS(Sales_Data!$O$2:$O$3520,Sales_Data!$C$2:$C$3520,$A49,Sales_Data!$H$2:$H$3520,H$14,Sales_Data!$AE$2:$AE$3520,1),SUMIFS(Sales_Data!$M$2:$M$3520,Sales_Data!$C$2:$C$3520,$A49,Sales_Data!$H$2:$H$3520,H$14,Sales_Data!$AE$2:$AE$3520,1),SUMIFS(Sales_Data!$N$2:$N$3520,Sales_Data!$C$2:$C$3520,$A49,Sales_Data!$H$2:$H$3520,H$14,Sales_Data!$AE$2:$AE$3520,1),SUMIFS(Sales_Data!$AE$2:$AE$3520,Sales_Data!$C$2:$C$3520,$A49,Sales_Data!$H$2:$H$3520,H$14))</f>
        <v>0</v>
      </c>
      <c r="I49" s="26" t="n">
        <f aca="false">CHOOSE(MATCH($B$3,Lists!$C$2:$C$5,0),SUMIFS(Sales_Data!$O$2:$O$3520,Sales_Data!$C$2:$C$3520,$A49,Sales_Data!$H$2:$H$3520,I$14,Sales_Data!$AE$2:$AE$3520,1),SUMIFS(Sales_Data!$M$2:$M$3520,Sales_Data!$C$2:$C$3520,$A49,Sales_Data!$H$2:$H$3520,I$14,Sales_Data!$AE$2:$AE$3520,1),SUMIFS(Sales_Data!$N$2:$N$3520,Sales_Data!$C$2:$C$3520,$A49,Sales_Data!$H$2:$H$3520,I$14,Sales_Data!$AE$2:$AE$3520,1),SUMIFS(Sales_Data!$AE$2:$AE$3520,Sales_Data!$C$2:$C$3520,$A49,Sales_Data!$H$2:$H$3520,I$14))</f>
        <v>0</v>
      </c>
      <c r="J49" s="26" t="n">
        <f aca="false">CHOOSE(MATCH($B$3,Lists!$C$2:$C$5,0),SUMIFS(Sales_Data!$O$2:$O$3520,Sales_Data!$C$2:$C$3520,$A49,Sales_Data!$H$2:$H$3520,J$14,Sales_Data!$AE$2:$AE$3520,1),SUMIFS(Sales_Data!$M$2:$M$3520,Sales_Data!$C$2:$C$3520,$A49,Sales_Data!$H$2:$H$3520,J$14,Sales_Data!$AE$2:$AE$3520,1),SUMIFS(Sales_Data!$N$2:$N$3520,Sales_Data!$C$2:$C$3520,$A49,Sales_Data!$H$2:$H$3520,J$14,Sales_Data!$AE$2:$AE$3520,1),SUMIFS(Sales_Data!$AE$2:$AE$3520,Sales_Data!$C$2:$C$3520,$A49,Sales_Data!$H$2:$H$3520,J$14))</f>
        <v>0</v>
      </c>
      <c r="K49" s="26" t="n">
        <f aca="false">CHOOSE(MATCH($B$3,Lists!$C$2:$C$5,0),SUMIFS(Sales_Data!$O$2:$O$3520,Sales_Data!$C$2:$C$3520,$A49,Sales_Data!$H$2:$H$3520,K$14,Sales_Data!$AE$2:$AE$3520,1),SUMIFS(Sales_Data!$M$2:$M$3520,Sales_Data!$C$2:$C$3520,$A49,Sales_Data!$H$2:$H$3520,K$14,Sales_Data!$AE$2:$AE$3520,1),SUMIFS(Sales_Data!$N$2:$N$3520,Sales_Data!$C$2:$C$3520,$A49,Sales_Data!$H$2:$H$3520,K$14,Sales_Data!$AE$2:$AE$3520,1),SUMIFS(Sales_Data!$AE$2:$AE$3520,Sales_Data!$C$2:$C$3520,$A49,Sales_Data!$H$2:$H$3520,K$14))</f>
        <v>0</v>
      </c>
      <c r="L49" s="26" t="n">
        <f aca="false">CHOOSE(MATCH($B$3,Lists!$C$2:$C$5,0),SUMIFS(Sales_Data!$O$2:$O$3520,Sales_Data!$C$2:$C$3520,$A49,Sales_Data!$H$2:$H$3520,L$14,Sales_Data!$AE$2:$AE$3520,1),SUMIFS(Sales_Data!$M$2:$M$3520,Sales_Data!$C$2:$C$3520,$A49,Sales_Data!$H$2:$H$3520,L$14,Sales_Data!$AE$2:$AE$3520,1),SUMIFS(Sales_Data!$N$2:$N$3520,Sales_Data!$C$2:$C$3520,$A49,Sales_Data!$H$2:$H$3520,L$14,Sales_Data!$AE$2:$AE$3520,1),SUMIFS(Sales_Data!$AE$2:$AE$3520,Sales_Data!$C$2:$C$3520,$A49,Sales_Data!$H$2:$H$3520,L$14))</f>
        <v>7</v>
      </c>
      <c r="M49" s="26" t="n">
        <f aca="false">CHOOSE(MATCH($B$3,Lists!$C$2:$C$5,0),SUMIFS(Sales_Data!$O$2:$O$3520,Sales_Data!$C$2:$C$3520,$A49,Sales_Data!$H$2:$H$3520,M$14,Sales_Data!$AE$2:$AE$3520,1),SUMIFS(Sales_Data!$M$2:$M$3520,Sales_Data!$C$2:$C$3520,$A49,Sales_Data!$H$2:$H$3520,M$14,Sales_Data!$AE$2:$AE$3520,1),SUMIFS(Sales_Data!$N$2:$N$3520,Sales_Data!$C$2:$C$3520,$A49,Sales_Data!$H$2:$H$3520,M$14,Sales_Data!$AE$2:$AE$3520,1),SUMIFS(Sales_Data!$AE$2:$AE$3520,Sales_Data!$C$2:$C$3520,$A49,Sales_Data!$H$2:$H$3520,M$14))</f>
        <v>5</v>
      </c>
      <c r="N49" s="26" t="n">
        <f aca="false">CHOOSE(MATCH($B$3,Lists!$C$2:$C$5,0),SUMIFS(Sales_Data!$O$2:$O$3520,Sales_Data!$C$2:$C$3520,$A49,Sales_Data!$H$2:$H$3520,N$14,Sales_Data!$AE$2:$AE$3520,1),SUMIFS(Sales_Data!$M$2:$M$3520,Sales_Data!$C$2:$C$3520,$A49,Sales_Data!$H$2:$H$3520,N$14,Sales_Data!$AE$2:$AE$3520,1),SUMIFS(Sales_Data!$N$2:$N$3520,Sales_Data!$C$2:$C$3520,$A49,Sales_Data!$H$2:$H$3520,N$14,Sales_Data!$AE$2:$AE$3520,1),SUMIFS(Sales_Data!$AE$2:$AE$3520,Sales_Data!$C$2:$C$3520,$A49,Sales_Data!$H$2:$H$3520,N$14))</f>
        <v>8</v>
      </c>
      <c r="O49" s="26" t="n">
        <f aca="false">CHOOSE(MATCH($B$3,Lists!$C$2:$C$5,0),SUMIFS(Sales_Data!$O$2:$O$3520,Sales_Data!$C$2:$C$3520,$A49,Sales_Data!$H$2:$H$3520,O$14,Sales_Data!$AE$2:$AE$3520,1),SUMIFS(Sales_Data!$M$2:$M$3520,Sales_Data!$C$2:$C$3520,$A49,Sales_Data!$H$2:$H$3520,O$14,Sales_Data!$AE$2:$AE$3520,1),SUMIFS(Sales_Data!$N$2:$N$3520,Sales_Data!$C$2:$C$3520,$A49,Sales_Data!$H$2:$H$3520,O$14,Sales_Data!$AE$2:$AE$3520,1),SUMIFS(Sales_Data!$AE$2:$AE$3520,Sales_Data!$C$2:$C$3520,$A49,Sales_Data!$H$2:$H$3520,O$14))</f>
        <v>0</v>
      </c>
      <c r="P49" s="27" t="n">
        <f aca="false">CHOOSE(MATCH($B$3,Lists!$C$2:$C$5,0),SUMIFS(Sales_Data!$O$2:$O$3520,Sales_Data!$C$2:$C$3520,$A49,Sales_Data!$AE$2:$AE$3520,1),SUMIFS(Sales_Data!$M$2:$M$3520,Sales_Data!$C$2:$C$3520,$A49,Sales_Data!$AE$2:$AE$3520,1),SUMIFS(Sales_Data!$N$2:$N$3520,Sales_Data!$C$2:$C$3520,$A49,Sales_Data!$AE$2:$AE$3520,1),SUMIFS(Sales_Data!$AE$2:$AE$3520,Sales_Data!$C$2:$C$3520,$A49))</f>
        <v>30</v>
      </c>
      <c r="Q49" s="27" t="n">
        <f aca="false">P49-SUM(B49:O49)</f>
        <v>7</v>
      </c>
      <c r="R49" s="3"/>
      <c r="S49" s="72" t="n">
        <f aca="false">A49</f>
        <v>46259</v>
      </c>
      <c r="T49" s="28" t="n">
        <f aca="false">B49-B48</f>
        <v>0</v>
      </c>
      <c r="U49" s="28" t="n">
        <f aca="false">C49-C48</f>
        <v>1</v>
      </c>
      <c r="V49" s="28" t="n">
        <f aca="false">D49-D48</f>
        <v>-2</v>
      </c>
      <c r="W49" s="28" t="n">
        <f aca="false">E49-E48</f>
        <v>0</v>
      </c>
      <c r="X49" s="28" t="n">
        <f aca="false">F49-F48</f>
        <v>-6</v>
      </c>
      <c r="Y49" s="28" t="n">
        <f aca="false">G49-G48</f>
        <v>0</v>
      </c>
      <c r="Z49" s="28" t="n">
        <f aca="false">H49-H48</f>
        <v>0</v>
      </c>
      <c r="AA49" s="28" t="n">
        <f aca="false">I49-I48</f>
        <v>0</v>
      </c>
      <c r="AB49" s="28" t="n">
        <f aca="false">J49-J48</f>
        <v>0</v>
      </c>
      <c r="AC49" s="28" t="n">
        <f aca="false">K49-K48</f>
        <v>0</v>
      </c>
      <c r="AD49" s="28" t="n">
        <f aca="false">L49-L48</f>
        <v>-6</v>
      </c>
      <c r="AE49" s="28" t="n">
        <f aca="false">M49-M48</f>
        <v>2</v>
      </c>
      <c r="AF49" s="28" t="n">
        <f aca="false">N49-N48</f>
        <v>-1</v>
      </c>
      <c r="AG49" s="28" t="n">
        <f aca="false">O49-O48</f>
        <v>0</v>
      </c>
      <c r="AH49" s="28" t="n">
        <f aca="false">P49-P48</f>
        <v>-9</v>
      </c>
    </row>
    <row r="50" customFormat="false" ht="15" hidden="false" customHeight="false" outlineLevel="0" collapsed="false">
      <c r="A50" s="72" t="n">
        <v>46260</v>
      </c>
      <c r="B50" s="26" t="n">
        <f aca="false">CHOOSE(MATCH($B$3,Lists!$C$2:$C$5,0),SUMIFS(Sales_Data!$O$2:$O$3520,Sales_Data!$C$2:$C$3520,$A50,Sales_Data!$H$2:$H$3520,B$14,Sales_Data!$AE$2:$AE$3520,1),SUMIFS(Sales_Data!$M$2:$M$3520,Sales_Data!$C$2:$C$3520,$A50,Sales_Data!$H$2:$H$3520,B$14,Sales_Data!$AE$2:$AE$3520,1),SUMIFS(Sales_Data!$N$2:$N$3520,Sales_Data!$C$2:$C$3520,$A50,Sales_Data!$H$2:$H$3520,B$14,Sales_Data!$AE$2:$AE$3520,1),SUMIFS(Sales_Data!$AE$2:$AE$3520,Sales_Data!$C$2:$C$3520,$A50,Sales_Data!$H$2:$H$3520,B$14))</f>
        <v>0</v>
      </c>
      <c r="C50" s="26" t="n">
        <f aca="false">CHOOSE(MATCH($B$3,Lists!$C$2:$C$5,0),SUMIFS(Sales_Data!$O$2:$O$3520,Sales_Data!$C$2:$C$3520,$A50,Sales_Data!$H$2:$H$3520,C$14,Sales_Data!$AE$2:$AE$3520,1),SUMIFS(Sales_Data!$M$2:$M$3520,Sales_Data!$C$2:$C$3520,$A50,Sales_Data!$H$2:$H$3520,C$14,Sales_Data!$AE$2:$AE$3520,1),SUMIFS(Sales_Data!$N$2:$N$3520,Sales_Data!$C$2:$C$3520,$A50,Sales_Data!$H$2:$H$3520,C$14,Sales_Data!$AE$2:$AE$3520,1),SUMIFS(Sales_Data!$AE$2:$AE$3520,Sales_Data!$C$2:$C$3520,$A50,Sales_Data!$H$2:$H$3520,C$14))</f>
        <v>2</v>
      </c>
      <c r="D50" s="26" t="n">
        <f aca="false">CHOOSE(MATCH($B$3,Lists!$C$2:$C$5,0),SUMIFS(Sales_Data!$O$2:$O$3520,Sales_Data!$C$2:$C$3520,$A50,Sales_Data!$H$2:$H$3520,D$14,Sales_Data!$AE$2:$AE$3520,1),SUMIFS(Sales_Data!$M$2:$M$3520,Sales_Data!$C$2:$C$3520,$A50,Sales_Data!$H$2:$H$3520,D$14,Sales_Data!$AE$2:$AE$3520,1),SUMIFS(Sales_Data!$N$2:$N$3520,Sales_Data!$C$2:$C$3520,$A50,Sales_Data!$H$2:$H$3520,D$14,Sales_Data!$AE$2:$AE$3520,1),SUMIFS(Sales_Data!$AE$2:$AE$3520,Sales_Data!$C$2:$C$3520,$A50,Sales_Data!$H$2:$H$3520,D$14))</f>
        <v>2</v>
      </c>
      <c r="E50" s="26" t="n">
        <f aca="false">CHOOSE(MATCH($B$3,Lists!$C$2:$C$5,0),SUMIFS(Sales_Data!$O$2:$O$3520,Sales_Data!$C$2:$C$3520,$A50,Sales_Data!$H$2:$H$3520,E$14,Sales_Data!$AE$2:$AE$3520,1),SUMIFS(Sales_Data!$M$2:$M$3520,Sales_Data!$C$2:$C$3520,$A50,Sales_Data!$H$2:$H$3520,E$14,Sales_Data!$AE$2:$AE$3520,1),SUMIFS(Sales_Data!$N$2:$N$3520,Sales_Data!$C$2:$C$3520,$A50,Sales_Data!$H$2:$H$3520,E$14,Sales_Data!$AE$2:$AE$3520,1),SUMIFS(Sales_Data!$AE$2:$AE$3520,Sales_Data!$C$2:$C$3520,$A50,Sales_Data!$H$2:$H$3520,E$14))</f>
        <v>0</v>
      </c>
      <c r="F50" s="26" t="n">
        <f aca="false">CHOOSE(MATCH($B$3,Lists!$C$2:$C$5,0),SUMIFS(Sales_Data!$O$2:$O$3520,Sales_Data!$C$2:$C$3520,$A50,Sales_Data!$H$2:$H$3520,F$14,Sales_Data!$AE$2:$AE$3520,1),SUMIFS(Sales_Data!$M$2:$M$3520,Sales_Data!$C$2:$C$3520,$A50,Sales_Data!$H$2:$H$3520,F$14,Sales_Data!$AE$2:$AE$3520,1),SUMIFS(Sales_Data!$N$2:$N$3520,Sales_Data!$C$2:$C$3520,$A50,Sales_Data!$H$2:$H$3520,F$14,Sales_Data!$AE$2:$AE$3520,1),SUMIFS(Sales_Data!$AE$2:$AE$3520,Sales_Data!$C$2:$C$3520,$A50,Sales_Data!$H$2:$H$3520,F$14))</f>
        <v>3</v>
      </c>
      <c r="G50" s="26" t="n">
        <f aca="false">CHOOSE(MATCH($B$3,Lists!$C$2:$C$5,0),SUMIFS(Sales_Data!$O$2:$O$3520,Sales_Data!$C$2:$C$3520,$A50,Sales_Data!$H$2:$H$3520,G$14,Sales_Data!$AE$2:$AE$3520,1),SUMIFS(Sales_Data!$M$2:$M$3520,Sales_Data!$C$2:$C$3520,$A50,Sales_Data!$H$2:$H$3520,G$14,Sales_Data!$AE$2:$AE$3520,1),SUMIFS(Sales_Data!$N$2:$N$3520,Sales_Data!$C$2:$C$3520,$A50,Sales_Data!$H$2:$H$3520,G$14,Sales_Data!$AE$2:$AE$3520,1),SUMIFS(Sales_Data!$AE$2:$AE$3520,Sales_Data!$C$2:$C$3520,$A50,Sales_Data!$H$2:$H$3520,G$14))</f>
        <v>0</v>
      </c>
      <c r="H50" s="26" t="n">
        <f aca="false">CHOOSE(MATCH($B$3,Lists!$C$2:$C$5,0),SUMIFS(Sales_Data!$O$2:$O$3520,Sales_Data!$C$2:$C$3520,$A50,Sales_Data!$H$2:$H$3520,H$14,Sales_Data!$AE$2:$AE$3520,1),SUMIFS(Sales_Data!$M$2:$M$3520,Sales_Data!$C$2:$C$3520,$A50,Sales_Data!$H$2:$H$3520,H$14,Sales_Data!$AE$2:$AE$3520,1),SUMIFS(Sales_Data!$N$2:$N$3520,Sales_Data!$C$2:$C$3520,$A50,Sales_Data!$H$2:$H$3520,H$14,Sales_Data!$AE$2:$AE$3520,1),SUMIFS(Sales_Data!$AE$2:$AE$3520,Sales_Data!$C$2:$C$3520,$A50,Sales_Data!$H$2:$H$3520,H$14))</f>
        <v>0</v>
      </c>
      <c r="I50" s="26" t="n">
        <f aca="false">CHOOSE(MATCH($B$3,Lists!$C$2:$C$5,0),SUMIFS(Sales_Data!$O$2:$O$3520,Sales_Data!$C$2:$C$3520,$A50,Sales_Data!$H$2:$H$3520,I$14,Sales_Data!$AE$2:$AE$3520,1),SUMIFS(Sales_Data!$M$2:$M$3520,Sales_Data!$C$2:$C$3520,$A50,Sales_Data!$H$2:$H$3520,I$14,Sales_Data!$AE$2:$AE$3520,1),SUMIFS(Sales_Data!$N$2:$N$3520,Sales_Data!$C$2:$C$3520,$A50,Sales_Data!$H$2:$H$3520,I$14,Sales_Data!$AE$2:$AE$3520,1),SUMIFS(Sales_Data!$AE$2:$AE$3520,Sales_Data!$C$2:$C$3520,$A50,Sales_Data!$H$2:$H$3520,I$14))</f>
        <v>0</v>
      </c>
      <c r="J50" s="26" t="n">
        <f aca="false">CHOOSE(MATCH($B$3,Lists!$C$2:$C$5,0),SUMIFS(Sales_Data!$O$2:$O$3520,Sales_Data!$C$2:$C$3520,$A50,Sales_Data!$H$2:$H$3520,J$14,Sales_Data!$AE$2:$AE$3520,1),SUMIFS(Sales_Data!$M$2:$M$3520,Sales_Data!$C$2:$C$3520,$A50,Sales_Data!$H$2:$H$3520,J$14,Sales_Data!$AE$2:$AE$3520,1),SUMIFS(Sales_Data!$N$2:$N$3520,Sales_Data!$C$2:$C$3520,$A50,Sales_Data!$H$2:$H$3520,J$14,Sales_Data!$AE$2:$AE$3520,1),SUMIFS(Sales_Data!$AE$2:$AE$3520,Sales_Data!$C$2:$C$3520,$A50,Sales_Data!$H$2:$H$3520,J$14))</f>
        <v>0</v>
      </c>
      <c r="K50" s="26" t="n">
        <f aca="false">CHOOSE(MATCH($B$3,Lists!$C$2:$C$5,0),SUMIFS(Sales_Data!$O$2:$O$3520,Sales_Data!$C$2:$C$3520,$A50,Sales_Data!$H$2:$H$3520,K$14,Sales_Data!$AE$2:$AE$3520,1),SUMIFS(Sales_Data!$M$2:$M$3520,Sales_Data!$C$2:$C$3520,$A50,Sales_Data!$H$2:$H$3520,K$14,Sales_Data!$AE$2:$AE$3520,1),SUMIFS(Sales_Data!$N$2:$N$3520,Sales_Data!$C$2:$C$3520,$A50,Sales_Data!$H$2:$H$3520,K$14,Sales_Data!$AE$2:$AE$3520,1),SUMIFS(Sales_Data!$AE$2:$AE$3520,Sales_Data!$C$2:$C$3520,$A50,Sales_Data!$H$2:$H$3520,K$14))</f>
        <v>0</v>
      </c>
      <c r="L50" s="26" t="n">
        <f aca="false">CHOOSE(MATCH($B$3,Lists!$C$2:$C$5,0),SUMIFS(Sales_Data!$O$2:$O$3520,Sales_Data!$C$2:$C$3520,$A50,Sales_Data!$H$2:$H$3520,L$14,Sales_Data!$AE$2:$AE$3520,1),SUMIFS(Sales_Data!$M$2:$M$3520,Sales_Data!$C$2:$C$3520,$A50,Sales_Data!$H$2:$H$3520,L$14,Sales_Data!$AE$2:$AE$3520,1),SUMIFS(Sales_Data!$N$2:$N$3520,Sales_Data!$C$2:$C$3520,$A50,Sales_Data!$H$2:$H$3520,L$14,Sales_Data!$AE$2:$AE$3520,1),SUMIFS(Sales_Data!$AE$2:$AE$3520,Sales_Data!$C$2:$C$3520,$A50,Sales_Data!$H$2:$H$3520,L$14))</f>
        <v>10</v>
      </c>
      <c r="M50" s="26" t="n">
        <f aca="false">CHOOSE(MATCH($B$3,Lists!$C$2:$C$5,0),SUMIFS(Sales_Data!$O$2:$O$3520,Sales_Data!$C$2:$C$3520,$A50,Sales_Data!$H$2:$H$3520,M$14,Sales_Data!$AE$2:$AE$3520,1),SUMIFS(Sales_Data!$M$2:$M$3520,Sales_Data!$C$2:$C$3520,$A50,Sales_Data!$H$2:$H$3520,M$14,Sales_Data!$AE$2:$AE$3520,1),SUMIFS(Sales_Data!$N$2:$N$3520,Sales_Data!$C$2:$C$3520,$A50,Sales_Data!$H$2:$H$3520,M$14,Sales_Data!$AE$2:$AE$3520,1),SUMIFS(Sales_Data!$AE$2:$AE$3520,Sales_Data!$C$2:$C$3520,$A50,Sales_Data!$H$2:$H$3520,M$14))</f>
        <v>3</v>
      </c>
      <c r="N50" s="26" t="n">
        <f aca="false">CHOOSE(MATCH($B$3,Lists!$C$2:$C$5,0),SUMIFS(Sales_Data!$O$2:$O$3520,Sales_Data!$C$2:$C$3520,$A50,Sales_Data!$H$2:$H$3520,N$14,Sales_Data!$AE$2:$AE$3520,1),SUMIFS(Sales_Data!$M$2:$M$3520,Sales_Data!$C$2:$C$3520,$A50,Sales_Data!$H$2:$H$3520,N$14,Sales_Data!$AE$2:$AE$3520,1),SUMIFS(Sales_Data!$N$2:$N$3520,Sales_Data!$C$2:$C$3520,$A50,Sales_Data!$H$2:$H$3520,N$14,Sales_Data!$AE$2:$AE$3520,1),SUMIFS(Sales_Data!$AE$2:$AE$3520,Sales_Data!$C$2:$C$3520,$A50,Sales_Data!$H$2:$H$3520,N$14))</f>
        <v>4</v>
      </c>
      <c r="O50" s="26" t="n">
        <f aca="false">CHOOSE(MATCH($B$3,Lists!$C$2:$C$5,0),SUMIFS(Sales_Data!$O$2:$O$3520,Sales_Data!$C$2:$C$3520,$A50,Sales_Data!$H$2:$H$3520,O$14,Sales_Data!$AE$2:$AE$3520,1),SUMIFS(Sales_Data!$M$2:$M$3520,Sales_Data!$C$2:$C$3520,$A50,Sales_Data!$H$2:$H$3520,O$14,Sales_Data!$AE$2:$AE$3520,1),SUMIFS(Sales_Data!$N$2:$N$3520,Sales_Data!$C$2:$C$3520,$A50,Sales_Data!$H$2:$H$3520,O$14,Sales_Data!$AE$2:$AE$3520,1),SUMIFS(Sales_Data!$AE$2:$AE$3520,Sales_Data!$C$2:$C$3520,$A50,Sales_Data!$H$2:$H$3520,O$14))</f>
        <v>0</v>
      </c>
      <c r="P50" s="27" t="n">
        <f aca="false">CHOOSE(MATCH($B$3,Lists!$C$2:$C$5,0),SUMIFS(Sales_Data!$O$2:$O$3520,Sales_Data!$C$2:$C$3520,$A50,Sales_Data!$AE$2:$AE$3520,1),SUMIFS(Sales_Data!$M$2:$M$3520,Sales_Data!$C$2:$C$3520,$A50,Sales_Data!$AE$2:$AE$3520,1),SUMIFS(Sales_Data!$N$2:$N$3520,Sales_Data!$C$2:$C$3520,$A50,Sales_Data!$AE$2:$AE$3520,1),SUMIFS(Sales_Data!$AE$2:$AE$3520,Sales_Data!$C$2:$C$3520,$A50))</f>
        <v>28</v>
      </c>
      <c r="Q50" s="27" t="n">
        <f aca="false">P50-SUM(B50:O50)</f>
        <v>4</v>
      </c>
      <c r="R50" s="3"/>
      <c r="S50" s="72" t="n">
        <f aca="false">A50</f>
        <v>46260</v>
      </c>
      <c r="T50" s="28" t="n">
        <f aca="false">B50-B49</f>
        <v>0</v>
      </c>
      <c r="U50" s="28" t="n">
        <f aca="false">C50-C49</f>
        <v>0</v>
      </c>
      <c r="V50" s="28" t="n">
        <f aca="false">D50-D49</f>
        <v>2</v>
      </c>
      <c r="W50" s="28" t="n">
        <f aca="false">E50-E49</f>
        <v>0</v>
      </c>
      <c r="X50" s="28" t="n">
        <f aca="false">F50-F49</f>
        <v>2</v>
      </c>
      <c r="Y50" s="28" t="n">
        <f aca="false">G50-G49</f>
        <v>0</v>
      </c>
      <c r="Z50" s="28" t="n">
        <f aca="false">H50-H49</f>
        <v>0</v>
      </c>
      <c r="AA50" s="28" t="n">
        <f aca="false">I50-I49</f>
        <v>0</v>
      </c>
      <c r="AB50" s="28" t="n">
        <f aca="false">J50-J49</f>
        <v>0</v>
      </c>
      <c r="AC50" s="28" t="n">
        <f aca="false">K50-K49</f>
        <v>0</v>
      </c>
      <c r="AD50" s="28" t="n">
        <f aca="false">L50-L49</f>
        <v>3</v>
      </c>
      <c r="AE50" s="28" t="n">
        <f aca="false">M50-M49</f>
        <v>-2</v>
      </c>
      <c r="AF50" s="28" t="n">
        <f aca="false">N50-N49</f>
        <v>-4</v>
      </c>
      <c r="AG50" s="28" t="n">
        <f aca="false">O50-O49</f>
        <v>0</v>
      </c>
      <c r="AH50" s="28" t="n">
        <f aca="false">P50-P49</f>
        <v>-2</v>
      </c>
    </row>
    <row r="51" customFormat="false" ht="15" hidden="false" customHeight="false" outlineLevel="0" collapsed="false">
      <c r="A51" s="72" t="n">
        <v>46261</v>
      </c>
      <c r="B51" s="26" t="n">
        <f aca="false">CHOOSE(MATCH($B$3,Lists!$C$2:$C$5,0),SUMIFS(Sales_Data!$O$2:$O$3520,Sales_Data!$C$2:$C$3520,$A51,Sales_Data!$H$2:$H$3520,B$14,Sales_Data!$AE$2:$AE$3520,1),SUMIFS(Sales_Data!$M$2:$M$3520,Sales_Data!$C$2:$C$3520,$A51,Sales_Data!$H$2:$H$3520,B$14,Sales_Data!$AE$2:$AE$3520,1),SUMIFS(Sales_Data!$N$2:$N$3520,Sales_Data!$C$2:$C$3520,$A51,Sales_Data!$H$2:$H$3520,B$14,Sales_Data!$AE$2:$AE$3520,1),SUMIFS(Sales_Data!$AE$2:$AE$3520,Sales_Data!$C$2:$C$3520,$A51,Sales_Data!$H$2:$H$3520,B$14))</f>
        <v>0</v>
      </c>
      <c r="C51" s="26" t="n">
        <f aca="false">CHOOSE(MATCH($B$3,Lists!$C$2:$C$5,0),SUMIFS(Sales_Data!$O$2:$O$3520,Sales_Data!$C$2:$C$3520,$A51,Sales_Data!$H$2:$H$3520,C$14,Sales_Data!$AE$2:$AE$3520,1),SUMIFS(Sales_Data!$M$2:$M$3520,Sales_Data!$C$2:$C$3520,$A51,Sales_Data!$H$2:$H$3520,C$14,Sales_Data!$AE$2:$AE$3520,1),SUMIFS(Sales_Data!$N$2:$N$3520,Sales_Data!$C$2:$C$3520,$A51,Sales_Data!$H$2:$H$3520,C$14,Sales_Data!$AE$2:$AE$3520,1),SUMIFS(Sales_Data!$AE$2:$AE$3520,Sales_Data!$C$2:$C$3520,$A51,Sales_Data!$H$2:$H$3520,C$14))</f>
        <v>14</v>
      </c>
      <c r="D51" s="26" t="n">
        <f aca="false">CHOOSE(MATCH($B$3,Lists!$C$2:$C$5,0),SUMIFS(Sales_Data!$O$2:$O$3520,Sales_Data!$C$2:$C$3520,$A51,Sales_Data!$H$2:$H$3520,D$14,Sales_Data!$AE$2:$AE$3520,1),SUMIFS(Sales_Data!$M$2:$M$3520,Sales_Data!$C$2:$C$3520,$A51,Sales_Data!$H$2:$H$3520,D$14,Sales_Data!$AE$2:$AE$3520,1),SUMIFS(Sales_Data!$N$2:$N$3520,Sales_Data!$C$2:$C$3520,$A51,Sales_Data!$H$2:$H$3520,D$14,Sales_Data!$AE$2:$AE$3520,1),SUMIFS(Sales_Data!$AE$2:$AE$3520,Sales_Data!$C$2:$C$3520,$A51,Sales_Data!$H$2:$H$3520,D$14))</f>
        <v>0</v>
      </c>
      <c r="E51" s="26" t="n">
        <f aca="false">CHOOSE(MATCH($B$3,Lists!$C$2:$C$5,0),SUMIFS(Sales_Data!$O$2:$O$3520,Sales_Data!$C$2:$C$3520,$A51,Sales_Data!$H$2:$H$3520,E$14,Sales_Data!$AE$2:$AE$3520,1),SUMIFS(Sales_Data!$M$2:$M$3520,Sales_Data!$C$2:$C$3520,$A51,Sales_Data!$H$2:$H$3520,E$14,Sales_Data!$AE$2:$AE$3520,1),SUMIFS(Sales_Data!$N$2:$N$3520,Sales_Data!$C$2:$C$3520,$A51,Sales_Data!$H$2:$H$3520,E$14,Sales_Data!$AE$2:$AE$3520,1),SUMIFS(Sales_Data!$AE$2:$AE$3520,Sales_Data!$C$2:$C$3520,$A51,Sales_Data!$H$2:$H$3520,E$14))</f>
        <v>0</v>
      </c>
      <c r="F51" s="26" t="n">
        <f aca="false">CHOOSE(MATCH($B$3,Lists!$C$2:$C$5,0),SUMIFS(Sales_Data!$O$2:$O$3520,Sales_Data!$C$2:$C$3520,$A51,Sales_Data!$H$2:$H$3520,F$14,Sales_Data!$AE$2:$AE$3520,1),SUMIFS(Sales_Data!$M$2:$M$3520,Sales_Data!$C$2:$C$3520,$A51,Sales_Data!$H$2:$H$3520,F$14,Sales_Data!$AE$2:$AE$3520,1),SUMIFS(Sales_Data!$N$2:$N$3520,Sales_Data!$C$2:$C$3520,$A51,Sales_Data!$H$2:$H$3520,F$14,Sales_Data!$AE$2:$AE$3520,1),SUMIFS(Sales_Data!$AE$2:$AE$3520,Sales_Data!$C$2:$C$3520,$A51,Sales_Data!$H$2:$H$3520,F$14))</f>
        <v>2</v>
      </c>
      <c r="G51" s="26" t="n">
        <f aca="false">CHOOSE(MATCH($B$3,Lists!$C$2:$C$5,0),SUMIFS(Sales_Data!$O$2:$O$3520,Sales_Data!$C$2:$C$3520,$A51,Sales_Data!$H$2:$H$3520,G$14,Sales_Data!$AE$2:$AE$3520,1),SUMIFS(Sales_Data!$M$2:$M$3520,Sales_Data!$C$2:$C$3520,$A51,Sales_Data!$H$2:$H$3520,G$14,Sales_Data!$AE$2:$AE$3520,1),SUMIFS(Sales_Data!$N$2:$N$3520,Sales_Data!$C$2:$C$3520,$A51,Sales_Data!$H$2:$H$3520,G$14,Sales_Data!$AE$2:$AE$3520,1),SUMIFS(Sales_Data!$AE$2:$AE$3520,Sales_Data!$C$2:$C$3520,$A51,Sales_Data!$H$2:$H$3520,G$14))</f>
        <v>6</v>
      </c>
      <c r="H51" s="26" t="n">
        <f aca="false">CHOOSE(MATCH($B$3,Lists!$C$2:$C$5,0),SUMIFS(Sales_Data!$O$2:$O$3520,Sales_Data!$C$2:$C$3520,$A51,Sales_Data!$H$2:$H$3520,H$14,Sales_Data!$AE$2:$AE$3520,1),SUMIFS(Sales_Data!$M$2:$M$3520,Sales_Data!$C$2:$C$3520,$A51,Sales_Data!$H$2:$H$3520,H$14,Sales_Data!$AE$2:$AE$3520,1),SUMIFS(Sales_Data!$N$2:$N$3520,Sales_Data!$C$2:$C$3520,$A51,Sales_Data!$H$2:$H$3520,H$14,Sales_Data!$AE$2:$AE$3520,1),SUMIFS(Sales_Data!$AE$2:$AE$3520,Sales_Data!$C$2:$C$3520,$A51,Sales_Data!$H$2:$H$3520,H$14))</f>
        <v>0</v>
      </c>
      <c r="I51" s="26" t="n">
        <f aca="false">CHOOSE(MATCH($B$3,Lists!$C$2:$C$5,0),SUMIFS(Sales_Data!$O$2:$O$3520,Sales_Data!$C$2:$C$3520,$A51,Sales_Data!$H$2:$H$3520,I$14,Sales_Data!$AE$2:$AE$3520,1),SUMIFS(Sales_Data!$M$2:$M$3520,Sales_Data!$C$2:$C$3520,$A51,Sales_Data!$H$2:$H$3520,I$14,Sales_Data!$AE$2:$AE$3520,1),SUMIFS(Sales_Data!$N$2:$N$3520,Sales_Data!$C$2:$C$3520,$A51,Sales_Data!$H$2:$H$3520,I$14,Sales_Data!$AE$2:$AE$3520,1),SUMIFS(Sales_Data!$AE$2:$AE$3520,Sales_Data!$C$2:$C$3520,$A51,Sales_Data!$H$2:$H$3520,I$14))</f>
        <v>0</v>
      </c>
      <c r="J51" s="26" t="n">
        <f aca="false">CHOOSE(MATCH($B$3,Lists!$C$2:$C$5,0),SUMIFS(Sales_Data!$O$2:$O$3520,Sales_Data!$C$2:$C$3520,$A51,Sales_Data!$H$2:$H$3520,J$14,Sales_Data!$AE$2:$AE$3520,1),SUMIFS(Sales_Data!$M$2:$M$3520,Sales_Data!$C$2:$C$3520,$A51,Sales_Data!$H$2:$H$3520,J$14,Sales_Data!$AE$2:$AE$3520,1),SUMIFS(Sales_Data!$N$2:$N$3520,Sales_Data!$C$2:$C$3520,$A51,Sales_Data!$H$2:$H$3520,J$14,Sales_Data!$AE$2:$AE$3520,1),SUMIFS(Sales_Data!$AE$2:$AE$3520,Sales_Data!$C$2:$C$3520,$A51,Sales_Data!$H$2:$H$3520,J$14))</f>
        <v>0</v>
      </c>
      <c r="K51" s="26" t="n">
        <f aca="false">CHOOSE(MATCH($B$3,Lists!$C$2:$C$5,0),SUMIFS(Sales_Data!$O$2:$O$3520,Sales_Data!$C$2:$C$3520,$A51,Sales_Data!$H$2:$H$3520,K$14,Sales_Data!$AE$2:$AE$3520,1),SUMIFS(Sales_Data!$M$2:$M$3520,Sales_Data!$C$2:$C$3520,$A51,Sales_Data!$H$2:$H$3520,K$14,Sales_Data!$AE$2:$AE$3520,1),SUMIFS(Sales_Data!$N$2:$N$3520,Sales_Data!$C$2:$C$3520,$A51,Sales_Data!$H$2:$H$3520,K$14,Sales_Data!$AE$2:$AE$3520,1),SUMIFS(Sales_Data!$AE$2:$AE$3520,Sales_Data!$C$2:$C$3520,$A51,Sales_Data!$H$2:$H$3520,K$14))</f>
        <v>0</v>
      </c>
      <c r="L51" s="26" t="n">
        <f aca="false">CHOOSE(MATCH($B$3,Lists!$C$2:$C$5,0),SUMIFS(Sales_Data!$O$2:$O$3520,Sales_Data!$C$2:$C$3520,$A51,Sales_Data!$H$2:$H$3520,L$14,Sales_Data!$AE$2:$AE$3520,1),SUMIFS(Sales_Data!$M$2:$M$3520,Sales_Data!$C$2:$C$3520,$A51,Sales_Data!$H$2:$H$3520,L$14,Sales_Data!$AE$2:$AE$3520,1),SUMIFS(Sales_Data!$N$2:$N$3520,Sales_Data!$C$2:$C$3520,$A51,Sales_Data!$H$2:$H$3520,L$14,Sales_Data!$AE$2:$AE$3520,1),SUMIFS(Sales_Data!$AE$2:$AE$3520,Sales_Data!$C$2:$C$3520,$A51,Sales_Data!$H$2:$H$3520,L$14))</f>
        <v>5</v>
      </c>
      <c r="M51" s="26" t="n">
        <f aca="false">CHOOSE(MATCH($B$3,Lists!$C$2:$C$5,0),SUMIFS(Sales_Data!$O$2:$O$3520,Sales_Data!$C$2:$C$3520,$A51,Sales_Data!$H$2:$H$3520,M$14,Sales_Data!$AE$2:$AE$3520,1),SUMIFS(Sales_Data!$M$2:$M$3520,Sales_Data!$C$2:$C$3520,$A51,Sales_Data!$H$2:$H$3520,M$14,Sales_Data!$AE$2:$AE$3520,1),SUMIFS(Sales_Data!$N$2:$N$3520,Sales_Data!$C$2:$C$3520,$A51,Sales_Data!$H$2:$H$3520,M$14,Sales_Data!$AE$2:$AE$3520,1),SUMIFS(Sales_Data!$AE$2:$AE$3520,Sales_Data!$C$2:$C$3520,$A51,Sales_Data!$H$2:$H$3520,M$14))</f>
        <v>5</v>
      </c>
      <c r="N51" s="26" t="n">
        <f aca="false">CHOOSE(MATCH($B$3,Lists!$C$2:$C$5,0),SUMIFS(Sales_Data!$O$2:$O$3520,Sales_Data!$C$2:$C$3520,$A51,Sales_Data!$H$2:$H$3520,N$14,Sales_Data!$AE$2:$AE$3520,1),SUMIFS(Sales_Data!$M$2:$M$3520,Sales_Data!$C$2:$C$3520,$A51,Sales_Data!$H$2:$H$3520,N$14,Sales_Data!$AE$2:$AE$3520,1),SUMIFS(Sales_Data!$N$2:$N$3520,Sales_Data!$C$2:$C$3520,$A51,Sales_Data!$H$2:$H$3520,N$14,Sales_Data!$AE$2:$AE$3520,1),SUMIFS(Sales_Data!$AE$2:$AE$3520,Sales_Data!$C$2:$C$3520,$A51,Sales_Data!$H$2:$H$3520,N$14))</f>
        <v>2</v>
      </c>
      <c r="O51" s="26" t="n">
        <f aca="false">CHOOSE(MATCH($B$3,Lists!$C$2:$C$5,0),SUMIFS(Sales_Data!$O$2:$O$3520,Sales_Data!$C$2:$C$3520,$A51,Sales_Data!$H$2:$H$3520,O$14,Sales_Data!$AE$2:$AE$3520,1),SUMIFS(Sales_Data!$M$2:$M$3520,Sales_Data!$C$2:$C$3520,$A51,Sales_Data!$H$2:$H$3520,O$14,Sales_Data!$AE$2:$AE$3520,1),SUMIFS(Sales_Data!$N$2:$N$3520,Sales_Data!$C$2:$C$3520,$A51,Sales_Data!$H$2:$H$3520,O$14,Sales_Data!$AE$2:$AE$3520,1),SUMIFS(Sales_Data!$AE$2:$AE$3520,Sales_Data!$C$2:$C$3520,$A51,Sales_Data!$H$2:$H$3520,O$14))</f>
        <v>0</v>
      </c>
      <c r="P51" s="27" t="n">
        <f aca="false">CHOOSE(MATCH($B$3,Lists!$C$2:$C$5,0),SUMIFS(Sales_Data!$O$2:$O$3520,Sales_Data!$C$2:$C$3520,$A51,Sales_Data!$AE$2:$AE$3520,1),SUMIFS(Sales_Data!$M$2:$M$3520,Sales_Data!$C$2:$C$3520,$A51,Sales_Data!$AE$2:$AE$3520,1),SUMIFS(Sales_Data!$N$2:$N$3520,Sales_Data!$C$2:$C$3520,$A51,Sales_Data!$AE$2:$AE$3520,1),SUMIFS(Sales_Data!$AE$2:$AE$3520,Sales_Data!$C$2:$C$3520,$A51))</f>
        <v>37</v>
      </c>
      <c r="Q51" s="27" t="n">
        <f aca="false">P51-SUM(B51:O51)</f>
        <v>3</v>
      </c>
      <c r="R51" s="3"/>
      <c r="S51" s="72" t="n">
        <f aca="false">A51</f>
        <v>46261</v>
      </c>
      <c r="T51" s="28" t="n">
        <f aca="false">B51-B50</f>
        <v>0</v>
      </c>
      <c r="U51" s="28" t="n">
        <f aca="false">C51-C50</f>
        <v>12</v>
      </c>
      <c r="V51" s="28" t="n">
        <f aca="false">D51-D50</f>
        <v>-2</v>
      </c>
      <c r="W51" s="28" t="n">
        <f aca="false">E51-E50</f>
        <v>0</v>
      </c>
      <c r="X51" s="28" t="n">
        <f aca="false">F51-F50</f>
        <v>-1</v>
      </c>
      <c r="Y51" s="28" t="n">
        <f aca="false">G51-G50</f>
        <v>6</v>
      </c>
      <c r="Z51" s="28" t="n">
        <f aca="false">H51-H50</f>
        <v>0</v>
      </c>
      <c r="AA51" s="28" t="n">
        <f aca="false">I51-I50</f>
        <v>0</v>
      </c>
      <c r="AB51" s="28" t="n">
        <f aca="false">J51-J50</f>
        <v>0</v>
      </c>
      <c r="AC51" s="28" t="n">
        <f aca="false">K51-K50</f>
        <v>0</v>
      </c>
      <c r="AD51" s="28" t="n">
        <f aca="false">L51-L50</f>
        <v>-5</v>
      </c>
      <c r="AE51" s="28" t="n">
        <f aca="false">M51-M50</f>
        <v>2</v>
      </c>
      <c r="AF51" s="28" t="n">
        <f aca="false">N51-N50</f>
        <v>-2</v>
      </c>
      <c r="AG51" s="28" t="n">
        <f aca="false">O51-O50</f>
        <v>0</v>
      </c>
      <c r="AH51" s="28" t="n">
        <f aca="false">P51-P50</f>
        <v>9</v>
      </c>
    </row>
    <row r="52" customFormat="false" ht="15" hidden="false" customHeight="false" outlineLevel="0" collapsed="false">
      <c r="A52" s="72" t="n">
        <v>46262</v>
      </c>
      <c r="B52" s="26" t="n">
        <f aca="false">CHOOSE(MATCH($B$3,Lists!$C$2:$C$5,0),SUMIFS(Sales_Data!$O$2:$O$3520,Sales_Data!$C$2:$C$3520,$A52,Sales_Data!$H$2:$H$3520,B$14,Sales_Data!$AE$2:$AE$3520,1),SUMIFS(Sales_Data!$M$2:$M$3520,Sales_Data!$C$2:$C$3520,$A52,Sales_Data!$H$2:$H$3520,B$14,Sales_Data!$AE$2:$AE$3520,1),SUMIFS(Sales_Data!$N$2:$N$3520,Sales_Data!$C$2:$C$3520,$A52,Sales_Data!$H$2:$H$3520,B$14,Sales_Data!$AE$2:$AE$3520,1),SUMIFS(Sales_Data!$AE$2:$AE$3520,Sales_Data!$C$2:$C$3520,$A52,Sales_Data!$H$2:$H$3520,B$14))</f>
        <v>0</v>
      </c>
      <c r="C52" s="26" t="n">
        <f aca="false">CHOOSE(MATCH($B$3,Lists!$C$2:$C$5,0),SUMIFS(Sales_Data!$O$2:$O$3520,Sales_Data!$C$2:$C$3520,$A52,Sales_Data!$H$2:$H$3520,C$14,Sales_Data!$AE$2:$AE$3520,1),SUMIFS(Sales_Data!$M$2:$M$3520,Sales_Data!$C$2:$C$3520,$A52,Sales_Data!$H$2:$H$3520,C$14,Sales_Data!$AE$2:$AE$3520,1),SUMIFS(Sales_Data!$N$2:$N$3520,Sales_Data!$C$2:$C$3520,$A52,Sales_Data!$H$2:$H$3520,C$14,Sales_Data!$AE$2:$AE$3520,1),SUMIFS(Sales_Data!$AE$2:$AE$3520,Sales_Data!$C$2:$C$3520,$A52,Sales_Data!$H$2:$H$3520,C$14))</f>
        <v>4</v>
      </c>
      <c r="D52" s="26" t="n">
        <f aca="false">CHOOSE(MATCH($B$3,Lists!$C$2:$C$5,0),SUMIFS(Sales_Data!$O$2:$O$3520,Sales_Data!$C$2:$C$3520,$A52,Sales_Data!$H$2:$H$3520,D$14,Sales_Data!$AE$2:$AE$3520,1),SUMIFS(Sales_Data!$M$2:$M$3520,Sales_Data!$C$2:$C$3520,$A52,Sales_Data!$H$2:$H$3520,D$14,Sales_Data!$AE$2:$AE$3520,1),SUMIFS(Sales_Data!$N$2:$N$3520,Sales_Data!$C$2:$C$3520,$A52,Sales_Data!$H$2:$H$3520,D$14,Sales_Data!$AE$2:$AE$3520,1),SUMIFS(Sales_Data!$AE$2:$AE$3520,Sales_Data!$C$2:$C$3520,$A52,Sales_Data!$H$2:$H$3520,D$14))</f>
        <v>0</v>
      </c>
      <c r="E52" s="26" t="n">
        <f aca="false">CHOOSE(MATCH($B$3,Lists!$C$2:$C$5,0),SUMIFS(Sales_Data!$O$2:$O$3520,Sales_Data!$C$2:$C$3520,$A52,Sales_Data!$H$2:$H$3520,E$14,Sales_Data!$AE$2:$AE$3520,1),SUMIFS(Sales_Data!$M$2:$M$3520,Sales_Data!$C$2:$C$3520,$A52,Sales_Data!$H$2:$H$3520,E$14,Sales_Data!$AE$2:$AE$3520,1),SUMIFS(Sales_Data!$N$2:$N$3520,Sales_Data!$C$2:$C$3520,$A52,Sales_Data!$H$2:$H$3520,E$14,Sales_Data!$AE$2:$AE$3520,1),SUMIFS(Sales_Data!$AE$2:$AE$3520,Sales_Data!$C$2:$C$3520,$A52,Sales_Data!$H$2:$H$3520,E$14))</f>
        <v>0</v>
      </c>
      <c r="F52" s="26" t="n">
        <f aca="false">CHOOSE(MATCH($B$3,Lists!$C$2:$C$5,0),SUMIFS(Sales_Data!$O$2:$O$3520,Sales_Data!$C$2:$C$3520,$A52,Sales_Data!$H$2:$H$3520,F$14,Sales_Data!$AE$2:$AE$3520,1),SUMIFS(Sales_Data!$M$2:$M$3520,Sales_Data!$C$2:$C$3520,$A52,Sales_Data!$H$2:$H$3520,F$14,Sales_Data!$AE$2:$AE$3520,1),SUMIFS(Sales_Data!$N$2:$N$3520,Sales_Data!$C$2:$C$3520,$A52,Sales_Data!$H$2:$H$3520,F$14,Sales_Data!$AE$2:$AE$3520,1),SUMIFS(Sales_Data!$AE$2:$AE$3520,Sales_Data!$C$2:$C$3520,$A52,Sales_Data!$H$2:$H$3520,F$14))</f>
        <v>6</v>
      </c>
      <c r="G52" s="26" t="n">
        <f aca="false">CHOOSE(MATCH($B$3,Lists!$C$2:$C$5,0),SUMIFS(Sales_Data!$O$2:$O$3520,Sales_Data!$C$2:$C$3520,$A52,Sales_Data!$H$2:$H$3520,G$14,Sales_Data!$AE$2:$AE$3520,1),SUMIFS(Sales_Data!$M$2:$M$3520,Sales_Data!$C$2:$C$3520,$A52,Sales_Data!$H$2:$H$3520,G$14,Sales_Data!$AE$2:$AE$3520,1),SUMIFS(Sales_Data!$N$2:$N$3520,Sales_Data!$C$2:$C$3520,$A52,Sales_Data!$H$2:$H$3520,G$14,Sales_Data!$AE$2:$AE$3520,1),SUMIFS(Sales_Data!$AE$2:$AE$3520,Sales_Data!$C$2:$C$3520,$A52,Sales_Data!$H$2:$H$3520,G$14))</f>
        <v>4</v>
      </c>
      <c r="H52" s="26" t="n">
        <f aca="false">CHOOSE(MATCH($B$3,Lists!$C$2:$C$5,0),SUMIFS(Sales_Data!$O$2:$O$3520,Sales_Data!$C$2:$C$3520,$A52,Sales_Data!$H$2:$H$3520,H$14,Sales_Data!$AE$2:$AE$3520,1),SUMIFS(Sales_Data!$M$2:$M$3520,Sales_Data!$C$2:$C$3520,$A52,Sales_Data!$H$2:$H$3520,H$14,Sales_Data!$AE$2:$AE$3520,1),SUMIFS(Sales_Data!$N$2:$N$3520,Sales_Data!$C$2:$C$3520,$A52,Sales_Data!$H$2:$H$3520,H$14,Sales_Data!$AE$2:$AE$3520,1),SUMIFS(Sales_Data!$AE$2:$AE$3520,Sales_Data!$C$2:$C$3520,$A52,Sales_Data!$H$2:$H$3520,H$14))</f>
        <v>0</v>
      </c>
      <c r="I52" s="26" t="n">
        <f aca="false">CHOOSE(MATCH($B$3,Lists!$C$2:$C$5,0),SUMIFS(Sales_Data!$O$2:$O$3520,Sales_Data!$C$2:$C$3520,$A52,Sales_Data!$H$2:$H$3520,I$14,Sales_Data!$AE$2:$AE$3520,1),SUMIFS(Sales_Data!$M$2:$M$3520,Sales_Data!$C$2:$C$3520,$A52,Sales_Data!$H$2:$H$3520,I$14,Sales_Data!$AE$2:$AE$3520,1),SUMIFS(Sales_Data!$N$2:$N$3520,Sales_Data!$C$2:$C$3520,$A52,Sales_Data!$H$2:$H$3520,I$14,Sales_Data!$AE$2:$AE$3520,1),SUMIFS(Sales_Data!$AE$2:$AE$3520,Sales_Data!$C$2:$C$3520,$A52,Sales_Data!$H$2:$H$3520,I$14))</f>
        <v>0</v>
      </c>
      <c r="J52" s="26" t="n">
        <f aca="false">CHOOSE(MATCH($B$3,Lists!$C$2:$C$5,0),SUMIFS(Sales_Data!$O$2:$O$3520,Sales_Data!$C$2:$C$3520,$A52,Sales_Data!$H$2:$H$3520,J$14,Sales_Data!$AE$2:$AE$3520,1),SUMIFS(Sales_Data!$M$2:$M$3520,Sales_Data!$C$2:$C$3520,$A52,Sales_Data!$H$2:$H$3520,J$14,Sales_Data!$AE$2:$AE$3520,1),SUMIFS(Sales_Data!$N$2:$N$3520,Sales_Data!$C$2:$C$3520,$A52,Sales_Data!$H$2:$H$3520,J$14,Sales_Data!$AE$2:$AE$3520,1),SUMIFS(Sales_Data!$AE$2:$AE$3520,Sales_Data!$C$2:$C$3520,$A52,Sales_Data!$H$2:$H$3520,J$14))</f>
        <v>0</v>
      </c>
      <c r="K52" s="26" t="n">
        <f aca="false">CHOOSE(MATCH($B$3,Lists!$C$2:$C$5,0),SUMIFS(Sales_Data!$O$2:$O$3520,Sales_Data!$C$2:$C$3520,$A52,Sales_Data!$H$2:$H$3520,K$14,Sales_Data!$AE$2:$AE$3520,1),SUMIFS(Sales_Data!$M$2:$M$3520,Sales_Data!$C$2:$C$3520,$A52,Sales_Data!$H$2:$H$3520,K$14,Sales_Data!$AE$2:$AE$3520,1),SUMIFS(Sales_Data!$N$2:$N$3520,Sales_Data!$C$2:$C$3520,$A52,Sales_Data!$H$2:$H$3520,K$14,Sales_Data!$AE$2:$AE$3520,1),SUMIFS(Sales_Data!$AE$2:$AE$3520,Sales_Data!$C$2:$C$3520,$A52,Sales_Data!$H$2:$H$3520,K$14))</f>
        <v>0</v>
      </c>
      <c r="L52" s="26" t="n">
        <f aca="false">CHOOSE(MATCH($B$3,Lists!$C$2:$C$5,0),SUMIFS(Sales_Data!$O$2:$O$3520,Sales_Data!$C$2:$C$3520,$A52,Sales_Data!$H$2:$H$3520,L$14,Sales_Data!$AE$2:$AE$3520,1),SUMIFS(Sales_Data!$M$2:$M$3520,Sales_Data!$C$2:$C$3520,$A52,Sales_Data!$H$2:$H$3520,L$14,Sales_Data!$AE$2:$AE$3520,1),SUMIFS(Sales_Data!$N$2:$N$3520,Sales_Data!$C$2:$C$3520,$A52,Sales_Data!$H$2:$H$3520,L$14,Sales_Data!$AE$2:$AE$3520,1),SUMIFS(Sales_Data!$AE$2:$AE$3520,Sales_Data!$C$2:$C$3520,$A52,Sales_Data!$H$2:$H$3520,L$14))</f>
        <v>4</v>
      </c>
      <c r="M52" s="26" t="n">
        <f aca="false">CHOOSE(MATCH($B$3,Lists!$C$2:$C$5,0),SUMIFS(Sales_Data!$O$2:$O$3520,Sales_Data!$C$2:$C$3520,$A52,Sales_Data!$H$2:$H$3520,M$14,Sales_Data!$AE$2:$AE$3520,1),SUMIFS(Sales_Data!$M$2:$M$3520,Sales_Data!$C$2:$C$3520,$A52,Sales_Data!$H$2:$H$3520,M$14,Sales_Data!$AE$2:$AE$3520,1),SUMIFS(Sales_Data!$N$2:$N$3520,Sales_Data!$C$2:$C$3520,$A52,Sales_Data!$H$2:$H$3520,M$14,Sales_Data!$AE$2:$AE$3520,1),SUMIFS(Sales_Data!$AE$2:$AE$3520,Sales_Data!$C$2:$C$3520,$A52,Sales_Data!$H$2:$H$3520,M$14))</f>
        <v>0</v>
      </c>
      <c r="N52" s="26" t="n">
        <f aca="false">CHOOSE(MATCH($B$3,Lists!$C$2:$C$5,0),SUMIFS(Sales_Data!$O$2:$O$3520,Sales_Data!$C$2:$C$3520,$A52,Sales_Data!$H$2:$H$3520,N$14,Sales_Data!$AE$2:$AE$3520,1),SUMIFS(Sales_Data!$M$2:$M$3520,Sales_Data!$C$2:$C$3520,$A52,Sales_Data!$H$2:$H$3520,N$14,Sales_Data!$AE$2:$AE$3520,1),SUMIFS(Sales_Data!$N$2:$N$3520,Sales_Data!$C$2:$C$3520,$A52,Sales_Data!$H$2:$H$3520,N$14,Sales_Data!$AE$2:$AE$3520,1),SUMIFS(Sales_Data!$AE$2:$AE$3520,Sales_Data!$C$2:$C$3520,$A52,Sales_Data!$H$2:$H$3520,N$14))</f>
        <v>4</v>
      </c>
      <c r="O52" s="26" t="n">
        <f aca="false">CHOOSE(MATCH($B$3,Lists!$C$2:$C$5,0),SUMIFS(Sales_Data!$O$2:$O$3520,Sales_Data!$C$2:$C$3520,$A52,Sales_Data!$H$2:$H$3520,O$14,Sales_Data!$AE$2:$AE$3520,1),SUMIFS(Sales_Data!$M$2:$M$3520,Sales_Data!$C$2:$C$3520,$A52,Sales_Data!$H$2:$H$3520,O$14,Sales_Data!$AE$2:$AE$3520,1),SUMIFS(Sales_Data!$N$2:$N$3520,Sales_Data!$C$2:$C$3520,$A52,Sales_Data!$H$2:$H$3520,O$14,Sales_Data!$AE$2:$AE$3520,1),SUMIFS(Sales_Data!$AE$2:$AE$3520,Sales_Data!$C$2:$C$3520,$A52,Sales_Data!$H$2:$H$3520,O$14))</f>
        <v>0</v>
      </c>
      <c r="P52" s="27" t="n">
        <f aca="false">CHOOSE(MATCH($B$3,Lists!$C$2:$C$5,0),SUMIFS(Sales_Data!$O$2:$O$3520,Sales_Data!$C$2:$C$3520,$A52,Sales_Data!$AE$2:$AE$3520,1),SUMIFS(Sales_Data!$M$2:$M$3520,Sales_Data!$C$2:$C$3520,$A52,Sales_Data!$AE$2:$AE$3520,1),SUMIFS(Sales_Data!$N$2:$N$3520,Sales_Data!$C$2:$C$3520,$A52,Sales_Data!$AE$2:$AE$3520,1),SUMIFS(Sales_Data!$AE$2:$AE$3520,Sales_Data!$C$2:$C$3520,$A52))</f>
        <v>25</v>
      </c>
      <c r="Q52" s="27" t="n">
        <f aca="false">P52-SUM(B52:O52)</f>
        <v>3</v>
      </c>
      <c r="R52" s="3"/>
      <c r="S52" s="72" t="n">
        <f aca="false">A52</f>
        <v>46262</v>
      </c>
      <c r="T52" s="28" t="n">
        <f aca="false">B52-B51</f>
        <v>0</v>
      </c>
      <c r="U52" s="28" t="n">
        <f aca="false">C52-C51</f>
        <v>-10</v>
      </c>
      <c r="V52" s="28" t="n">
        <f aca="false">D52-D51</f>
        <v>0</v>
      </c>
      <c r="W52" s="28" t="n">
        <f aca="false">E52-E51</f>
        <v>0</v>
      </c>
      <c r="X52" s="28" t="n">
        <f aca="false">F52-F51</f>
        <v>4</v>
      </c>
      <c r="Y52" s="28" t="n">
        <f aca="false">G52-G51</f>
        <v>-2</v>
      </c>
      <c r="Z52" s="28" t="n">
        <f aca="false">H52-H51</f>
        <v>0</v>
      </c>
      <c r="AA52" s="28" t="n">
        <f aca="false">I52-I51</f>
        <v>0</v>
      </c>
      <c r="AB52" s="28" t="n">
        <f aca="false">J52-J51</f>
        <v>0</v>
      </c>
      <c r="AC52" s="28" t="n">
        <f aca="false">K52-K51</f>
        <v>0</v>
      </c>
      <c r="AD52" s="28" t="n">
        <f aca="false">L52-L51</f>
        <v>-1</v>
      </c>
      <c r="AE52" s="28" t="n">
        <f aca="false">M52-M51</f>
        <v>-5</v>
      </c>
      <c r="AF52" s="28" t="n">
        <f aca="false">N52-N51</f>
        <v>2</v>
      </c>
      <c r="AG52" s="28" t="n">
        <f aca="false">O52-O51</f>
        <v>0</v>
      </c>
      <c r="AH52" s="28" t="n">
        <f aca="false">P52-P51</f>
        <v>-12</v>
      </c>
    </row>
    <row r="53" customFormat="false" ht="15" hidden="false" customHeight="false" outlineLevel="0" collapsed="false">
      <c r="A53" s="72" t="n">
        <v>46263</v>
      </c>
      <c r="B53" s="26" t="n">
        <f aca="false">CHOOSE(MATCH($B$3,Lists!$C$2:$C$5,0),SUMIFS(Sales_Data!$O$2:$O$3520,Sales_Data!$C$2:$C$3520,$A53,Sales_Data!$H$2:$H$3520,B$14,Sales_Data!$AE$2:$AE$3520,1),SUMIFS(Sales_Data!$M$2:$M$3520,Sales_Data!$C$2:$C$3520,$A53,Sales_Data!$H$2:$H$3520,B$14,Sales_Data!$AE$2:$AE$3520,1),SUMIFS(Sales_Data!$N$2:$N$3520,Sales_Data!$C$2:$C$3520,$A53,Sales_Data!$H$2:$H$3520,B$14,Sales_Data!$AE$2:$AE$3520,1),SUMIFS(Sales_Data!$AE$2:$AE$3520,Sales_Data!$C$2:$C$3520,$A53,Sales_Data!$H$2:$H$3520,B$14))</f>
        <v>0</v>
      </c>
      <c r="C53" s="26" t="n">
        <f aca="false">CHOOSE(MATCH($B$3,Lists!$C$2:$C$5,0),SUMIFS(Sales_Data!$O$2:$O$3520,Sales_Data!$C$2:$C$3520,$A53,Sales_Data!$H$2:$H$3520,C$14,Sales_Data!$AE$2:$AE$3520,1),SUMIFS(Sales_Data!$M$2:$M$3520,Sales_Data!$C$2:$C$3520,$A53,Sales_Data!$H$2:$H$3520,C$14,Sales_Data!$AE$2:$AE$3520,1),SUMIFS(Sales_Data!$N$2:$N$3520,Sales_Data!$C$2:$C$3520,$A53,Sales_Data!$H$2:$H$3520,C$14,Sales_Data!$AE$2:$AE$3520,1),SUMIFS(Sales_Data!$AE$2:$AE$3520,Sales_Data!$C$2:$C$3520,$A53,Sales_Data!$H$2:$H$3520,C$14))</f>
        <v>8</v>
      </c>
      <c r="D53" s="26" t="n">
        <f aca="false">CHOOSE(MATCH($B$3,Lists!$C$2:$C$5,0),SUMIFS(Sales_Data!$O$2:$O$3520,Sales_Data!$C$2:$C$3520,$A53,Sales_Data!$H$2:$H$3520,D$14,Sales_Data!$AE$2:$AE$3520,1),SUMIFS(Sales_Data!$M$2:$M$3520,Sales_Data!$C$2:$C$3520,$A53,Sales_Data!$H$2:$H$3520,D$14,Sales_Data!$AE$2:$AE$3520,1),SUMIFS(Sales_Data!$N$2:$N$3520,Sales_Data!$C$2:$C$3520,$A53,Sales_Data!$H$2:$H$3520,D$14,Sales_Data!$AE$2:$AE$3520,1),SUMIFS(Sales_Data!$AE$2:$AE$3520,Sales_Data!$C$2:$C$3520,$A53,Sales_Data!$H$2:$H$3520,D$14))</f>
        <v>2</v>
      </c>
      <c r="E53" s="26" t="n">
        <f aca="false">CHOOSE(MATCH($B$3,Lists!$C$2:$C$5,0),SUMIFS(Sales_Data!$O$2:$O$3520,Sales_Data!$C$2:$C$3520,$A53,Sales_Data!$H$2:$H$3520,E$14,Sales_Data!$AE$2:$AE$3520,1),SUMIFS(Sales_Data!$M$2:$M$3520,Sales_Data!$C$2:$C$3520,$A53,Sales_Data!$H$2:$H$3520,E$14,Sales_Data!$AE$2:$AE$3520,1),SUMIFS(Sales_Data!$N$2:$N$3520,Sales_Data!$C$2:$C$3520,$A53,Sales_Data!$H$2:$H$3520,E$14,Sales_Data!$AE$2:$AE$3520,1),SUMIFS(Sales_Data!$AE$2:$AE$3520,Sales_Data!$C$2:$C$3520,$A53,Sales_Data!$H$2:$H$3520,E$14))</f>
        <v>0</v>
      </c>
      <c r="F53" s="26" t="n">
        <f aca="false">CHOOSE(MATCH($B$3,Lists!$C$2:$C$5,0),SUMIFS(Sales_Data!$O$2:$O$3520,Sales_Data!$C$2:$C$3520,$A53,Sales_Data!$H$2:$H$3520,F$14,Sales_Data!$AE$2:$AE$3520,1),SUMIFS(Sales_Data!$M$2:$M$3520,Sales_Data!$C$2:$C$3520,$A53,Sales_Data!$H$2:$H$3520,F$14,Sales_Data!$AE$2:$AE$3520,1),SUMIFS(Sales_Data!$N$2:$N$3520,Sales_Data!$C$2:$C$3520,$A53,Sales_Data!$H$2:$H$3520,F$14,Sales_Data!$AE$2:$AE$3520,1),SUMIFS(Sales_Data!$AE$2:$AE$3520,Sales_Data!$C$2:$C$3520,$A53,Sales_Data!$H$2:$H$3520,F$14))</f>
        <v>5</v>
      </c>
      <c r="G53" s="26" t="n">
        <f aca="false">CHOOSE(MATCH($B$3,Lists!$C$2:$C$5,0),SUMIFS(Sales_Data!$O$2:$O$3520,Sales_Data!$C$2:$C$3520,$A53,Sales_Data!$H$2:$H$3520,G$14,Sales_Data!$AE$2:$AE$3520,1),SUMIFS(Sales_Data!$M$2:$M$3520,Sales_Data!$C$2:$C$3520,$A53,Sales_Data!$H$2:$H$3520,G$14,Sales_Data!$AE$2:$AE$3520,1),SUMIFS(Sales_Data!$N$2:$N$3520,Sales_Data!$C$2:$C$3520,$A53,Sales_Data!$H$2:$H$3520,G$14,Sales_Data!$AE$2:$AE$3520,1),SUMIFS(Sales_Data!$AE$2:$AE$3520,Sales_Data!$C$2:$C$3520,$A53,Sales_Data!$H$2:$H$3520,G$14))</f>
        <v>3</v>
      </c>
      <c r="H53" s="26" t="n">
        <f aca="false">CHOOSE(MATCH($B$3,Lists!$C$2:$C$5,0),SUMIFS(Sales_Data!$O$2:$O$3520,Sales_Data!$C$2:$C$3520,$A53,Sales_Data!$H$2:$H$3520,H$14,Sales_Data!$AE$2:$AE$3520,1),SUMIFS(Sales_Data!$M$2:$M$3520,Sales_Data!$C$2:$C$3520,$A53,Sales_Data!$H$2:$H$3520,H$14,Sales_Data!$AE$2:$AE$3520,1),SUMIFS(Sales_Data!$N$2:$N$3520,Sales_Data!$C$2:$C$3520,$A53,Sales_Data!$H$2:$H$3520,H$14,Sales_Data!$AE$2:$AE$3520,1),SUMIFS(Sales_Data!$AE$2:$AE$3520,Sales_Data!$C$2:$C$3520,$A53,Sales_Data!$H$2:$H$3520,H$14))</f>
        <v>0</v>
      </c>
      <c r="I53" s="26" t="n">
        <f aca="false">CHOOSE(MATCH($B$3,Lists!$C$2:$C$5,0),SUMIFS(Sales_Data!$O$2:$O$3520,Sales_Data!$C$2:$C$3520,$A53,Sales_Data!$H$2:$H$3520,I$14,Sales_Data!$AE$2:$AE$3520,1),SUMIFS(Sales_Data!$M$2:$M$3520,Sales_Data!$C$2:$C$3520,$A53,Sales_Data!$H$2:$H$3520,I$14,Sales_Data!$AE$2:$AE$3520,1),SUMIFS(Sales_Data!$N$2:$N$3520,Sales_Data!$C$2:$C$3520,$A53,Sales_Data!$H$2:$H$3520,I$14,Sales_Data!$AE$2:$AE$3520,1),SUMIFS(Sales_Data!$AE$2:$AE$3520,Sales_Data!$C$2:$C$3520,$A53,Sales_Data!$H$2:$H$3520,I$14))</f>
        <v>0</v>
      </c>
      <c r="J53" s="26" t="n">
        <f aca="false">CHOOSE(MATCH($B$3,Lists!$C$2:$C$5,0),SUMIFS(Sales_Data!$O$2:$O$3520,Sales_Data!$C$2:$C$3520,$A53,Sales_Data!$H$2:$H$3520,J$14,Sales_Data!$AE$2:$AE$3520,1),SUMIFS(Sales_Data!$M$2:$M$3520,Sales_Data!$C$2:$C$3520,$A53,Sales_Data!$H$2:$H$3520,J$14,Sales_Data!$AE$2:$AE$3520,1),SUMIFS(Sales_Data!$N$2:$N$3520,Sales_Data!$C$2:$C$3520,$A53,Sales_Data!$H$2:$H$3520,J$14,Sales_Data!$AE$2:$AE$3520,1),SUMIFS(Sales_Data!$AE$2:$AE$3520,Sales_Data!$C$2:$C$3520,$A53,Sales_Data!$H$2:$H$3520,J$14))</f>
        <v>0</v>
      </c>
      <c r="K53" s="26" t="n">
        <f aca="false">CHOOSE(MATCH($B$3,Lists!$C$2:$C$5,0),SUMIFS(Sales_Data!$O$2:$O$3520,Sales_Data!$C$2:$C$3520,$A53,Sales_Data!$H$2:$H$3520,K$14,Sales_Data!$AE$2:$AE$3520,1),SUMIFS(Sales_Data!$M$2:$M$3520,Sales_Data!$C$2:$C$3520,$A53,Sales_Data!$H$2:$H$3520,K$14,Sales_Data!$AE$2:$AE$3520,1),SUMIFS(Sales_Data!$N$2:$N$3520,Sales_Data!$C$2:$C$3520,$A53,Sales_Data!$H$2:$H$3520,K$14,Sales_Data!$AE$2:$AE$3520,1),SUMIFS(Sales_Data!$AE$2:$AE$3520,Sales_Data!$C$2:$C$3520,$A53,Sales_Data!$H$2:$H$3520,K$14))</f>
        <v>0</v>
      </c>
      <c r="L53" s="26" t="n">
        <f aca="false">CHOOSE(MATCH($B$3,Lists!$C$2:$C$5,0),SUMIFS(Sales_Data!$O$2:$O$3520,Sales_Data!$C$2:$C$3520,$A53,Sales_Data!$H$2:$H$3520,L$14,Sales_Data!$AE$2:$AE$3520,1),SUMIFS(Sales_Data!$M$2:$M$3520,Sales_Data!$C$2:$C$3520,$A53,Sales_Data!$H$2:$H$3520,L$14,Sales_Data!$AE$2:$AE$3520,1),SUMIFS(Sales_Data!$N$2:$N$3520,Sales_Data!$C$2:$C$3520,$A53,Sales_Data!$H$2:$H$3520,L$14,Sales_Data!$AE$2:$AE$3520,1),SUMIFS(Sales_Data!$AE$2:$AE$3520,Sales_Data!$C$2:$C$3520,$A53,Sales_Data!$H$2:$H$3520,L$14))</f>
        <v>19</v>
      </c>
      <c r="M53" s="26" t="n">
        <f aca="false">CHOOSE(MATCH($B$3,Lists!$C$2:$C$5,0),SUMIFS(Sales_Data!$O$2:$O$3520,Sales_Data!$C$2:$C$3520,$A53,Sales_Data!$H$2:$H$3520,M$14,Sales_Data!$AE$2:$AE$3520,1),SUMIFS(Sales_Data!$M$2:$M$3520,Sales_Data!$C$2:$C$3520,$A53,Sales_Data!$H$2:$H$3520,M$14,Sales_Data!$AE$2:$AE$3520,1),SUMIFS(Sales_Data!$N$2:$N$3520,Sales_Data!$C$2:$C$3520,$A53,Sales_Data!$H$2:$H$3520,M$14,Sales_Data!$AE$2:$AE$3520,1),SUMIFS(Sales_Data!$AE$2:$AE$3520,Sales_Data!$C$2:$C$3520,$A53,Sales_Data!$H$2:$H$3520,M$14))</f>
        <v>4</v>
      </c>
      <c r="N53" s="26" t="n">
        <f aca="false">CHOOSE(MATCH($B$3,Lists!$C$2:$C$5,0),SUMIFS(Sales_Data!$O$2:$O$3520,Sales_Data!$C$2:$C$3520,$A53,Sales_Data!$H$2:$H$3520,N$14,Sales_Data!$AE$2:$AE$3520,1),SUMIFS(Sales_Data!$M$2:$M$3520,Sales_Data!$C$2:$C$3520,$A53,Sales_Data!$H$2:$H$3520,N$14,Sales_Data!$AE$2:$AE$3520,1),SUMIFS(Sales_Data!$N$2:$N$3520,Sales_Data!$C$2:$C$3520,$A53,Sales_Data!$H$2:$H$3520,N$14,Sales_Data!$AE$2:$AE$3520,1),SUMIFS(Sales_Data!$AE$2:$AE$3520,Sales_Data!$C$2:$C$3520,$A53,Sales_Data!$H$2:$H$3520,N$14))</f>
        <v>15</v>
      </c>
      <c r="O53" s="26" t="n">
        <f aca="false">CHOOSE(MATCH($B$3,Lists!$C$2:$C$5,0),SUMIFS(Sales_Data!$O$2:$O$3520,Sales_Data!$C$2:$C$3520,$A53,Sales_Data!$H$2:$H$3520,O$14,Sales_Data!$AE$2:$AE$3520,1),SUMIFS(Sales_Data!$M$2:$M$3520,Sales_Data!$C$2:$C$3520,$A53,Sales_Data!$H$2:$H$3520,O$14,Sales_Data!$AE$2:$AE$3520,1),SUMIFS(Sales_Data!$N$2:$N$3520,Sales_Data!$C$2:$C$3520,$A53,Sales_Data!$H$2:$H$3520,O$14,Sales_Data!$AE$2:$AE$3520,1),SUMIFS(Sales_Data!$AE$2:$AE$3520,Sales_Data!$C$2:$C$3520,$A53,Sales_Data!$H$2:$H$3520,O$14))</f>
        <v>0</v>
      </c>
      <c r="P53" s="27" t="n">
        <f aca="false">CHOOSE(MATCH($B$3,Lists!$C$2:$C$5,0),SUMIFS(Sales_Data!$O$2:$O$3520,Sales_Data!$C$2:$C$3520,$A53,Sales_Data!$AE$2:$AE$3520,1),SUMIFS(Sales_Data!$M$2:$M$3520,Sales_Data!$C$2:$C$3520,$A53,Sales_Data!$AE$2:$AE$3520,1),SUMIFS(Sales_Data!$N$2:$N$3520,Sales_Data!$C$2:$C$3520,$A53,Sales_Data!$AE$2:$AE$3520,1),SUMIFS(Sales_Data!$AE$2:$AE$3520,Sales_Data!$C$2:$C$3520,$A53))</f>
        <v>62</v>
      </c>
      <c r="Q53" s="27" t="n">
        <f aca="false">P53-SUM(B53:O53)</f>
        <v>6</v>
      </c>
      <c r="R53" s="3"/>
      <c r="S53" s="72" t="n">
        <f aca="false">A53</f>
        <v>46263</v>
      </c>
      <c r="T53" s="28" t="n">
        <f aca="false">B53-B52</f>
        <v>0</v>
      </c>
      <c r="U53" s="28" t="n">
        <f aca="false">C53-C52</f>
        <v>4</v>
      </c>
      <c r="V53" s="28" t="n">
        <f aca="false">D53-D52</f>
        <v>2</v>
      </c>
      <c r="W53" s="28" t="n">
        <f aca="false">E53-E52</f>
        <v>0</v>
      </c>
      <c r="X53" s="28" t="n">
        <f aca="false">F53-F52</f>
        <v>-1</v>
      </c>
      <c r="Y53" s="28" t="n">
        <f aca="false">G53-G52</f>
        <v>-1</v>
      </c>
      <c r="Z53" s="28" t="n">
        <f aca="false">H53-H52</f>
        <v>0</v>
      </c>
      <c r="AA53" s="28" t="n">
        <f aca="false">I53-I52</f>
        <v>0</v>
      </c>
      <c r="AB53" s="28" t="n">
        <f aca="false">J53-J52</f>
        <v>0</v>
      </c>
      <c r="AC53" s="28" t="n">
        <f aca="false">K53-K52</f>
        <v>0</v>
      </c>
      <c r="AD53" s="28" t="n">
        <f aca="false">L53-L52</f>
        <v>15</v>
      </c>
      <c r="AE53" s="28" t="n">
        <f aca="false">M53-M52</f>
        <v>4</v>
      </c>
      <c r="AF53" s="28" t="n">
        <f aca="false">N53-N52</f>
        <v>11</v>
      </c>
      <c r="AG53" s="28" t="n">
        <f aca="false">O53-O52</f>
        <v>0</v>
      </c>
      <c r="AH53" s="28" t="n">
        <f aca="false">P53-P52</f>
        <v>37</v>
      </c>
    </row>
    <row r="54" customFormat="false" ht="15" hidden="false" customHeight="false" outlineLevel="0" collapsed="false">
      <c r="A54" s="72" t="n">
        <v>46264</v>
      </c>
      <c r="B54" s="26" t="n">
        <f aca="false">CHOOSE(MATCH($B$3,Lists!$C$2:$C$5,0),SUMIFS(Sales_Data!$O$2:$O$3520,Sales_Data!$C$2:$C$3520,$A54,Sales_Data!$H$2:$H$3520,B$14,Sales_Data!$AE$2:$AE$3520,1),SUMIFS(Sales_Data!$M$2:$M$3520,Sales_Data!$C$2:$C$3520,$A54,Sales_Data!$H$2:$H$3520,B$14,Sales_Data!$AE$2:$AE$3520,1),SUMIFS(Sales_Data!$N$2:$N$3520,Sales_Data!$C$2:$C$3520,$A54,Sales_Data!$H$2:$H$3520,B$14,Sales_Data!$AE$2:$AE$3520,1),SUMIFS(Sales_Data!$AE$2:$AE$3520,Sales_Data!$C$2:$C$3520,$A54,Sales_Data!$H$2:$H$3520,B$14))</f>
        <v>0</v>
      </c>
      <c r="C54" s="26" t="n">
        <f aca="false">CHOOSE(MATCH($B$3,Lists!$C$2:$C$5,0),SUMIFS(Sales_Data!$O$2:$O$3520,Sales_Data!$C$2:$C$3520,$A54,Sales_Data!$H$2:$H$3520,C$14,Sales_Data!$AE$2:$AE$3520,1),SUMIFS(Sales_Data!$M$2:$M$3520,Sales_Data!$C$2:$C$3520,$A54,Sales_Data!$H$2:$H$3520,C$14,Sales_Data!$AE$2:$AE$3520,1),SUMIFS(Sales_Data!$N$2:$N$3520,Sales_Data!$C$2:$C$3520,$A54,Sales_Data!$H$2:$H$3520,C$14,Sales_Data!$AE$2:$AE$3520,1),SUMIFS(Sales_Data!$AE$2:$AE$3520,Sales_Data!$C$2:$C$3520,$A54,Sales_Data!$H$2:$H$3520,C$14))</f>
        <v>4</v>
      </c>
      <c r="D54" s="26" t="n">
        <f aca="false">CHOOSE(MATCH($B$3,Lists!$C$2:$C$5,0),SUMIFS(Sales_Data!$O$2:$O$3520,Sales_Data!$C$2:$C$3520,$A54,Sales_Data!$H$2:$H$3520,D$14,Sales_Data!$AE$2:$AE$3520,1),SUMIFS(Sales_Data!$M$2:$M$3520,Sales_Data!$C$2:$C$3520,$A54,Sales_Data!$H$2:$H$3520,D$14,Sales_Data!$AE$2:$AE$3520,1),SUMIFS(Sales_Data!$N$2:$N$3520,Sales_Data!$C$2:$C$3520,$A54,Sales_Data!$H$2:$H$3520,D$14,Sales_Data!$AE$2:$AE$3520,1),SUMIFS(Sales_Data!$AE$2:$AE$3520,Sales_Data!$C$2:$C$3520,$A54,Sales_Data!$H$2:$H$3520,D$14))</f>
        <v>1</v>
      </c>
      <c r="E54" s="26" t="n">
        <f aca="false">CHOOSE(MATCH($B$3,Lists!$C$2:$C$5,0),SUMIFS(Sales_Data!$O$2:$O$3520,Sales_Data!$C$2:$C$3520,$A54,Sales_Data!$H$2:$H$3520,E$14,Sales_Data!$AE$2:$AE$3520,1),SUMIFS(Sales_Data!$M$2:$M$3520,Sales_Data!$C$2:$C$3520,$A54,Sales_Data!$H$2:$H$3520,E$14,Sales_Data!$AE$2:$AE$3520,1),SUMIFS(Sales_Data!$N$2:$N$3520,Sales_Data!$C$2:$C$3520,$A54,Sales_Data!$H$2:$H$3520,E$14,Sales_Data!$AE$2:$AE$3520,1),SUMIFS(Sales_Data!$AE$2:$AE$3520,Sales_Data!$C$2:$C$3520,$A54,Sales_Data!$H$2:$H$3520,E$14))</f>
        <v>0</v>
      </c>
      <c r="F54" s="26" t="n">
        <f aca="false">CHOOSE(MATCH($B$3,Lists!$C$2:$C$5,0),SUMIFS(Sales_Data!$O$2:$O$3520,Sales_Data!$C$2:$C$3520,$A54,Sales_Data!$H$2:$H$3520,F$14,Sales_Data!$AE$2:$AE$3520,1),SUMIFS(Sales_Data!$M$2:$M$3520,Sales_Data!$C$2:$C$3520,$A54,Sales_Data!$H$2:$H$3520,F$14,Sales_Data!$AE$2:$AE$3520,1),SUMIFS(Sales_Data!$N$2:$N$3520,Sales_Data!$C$2:$C$3520,$A54,Sales_Data!$H$2:$H$3520,F$14,Sales_Data!$AE$2:$AE$3520,1),SUMIFS(Sales_Data!$AE$2:$AE$3520,Sales_Data!$C$2:$C$3520,$A54,Sales_Data!$H$2:$H$3520,F$14))</f>
        <v>4</v>
      </c>
      <c r="G54" s="26" t="n">
        <f aca="false">CHOOSE(MATCH($B$3,Lists!$C$2:$C$5,0),SUMIFS(Sales_Data!$O$2:$O$3520,Sales_Data!$C$2:$C$3520,$A54,Sales_Data!$H$2:$H$3520,G$14,Sales_Data!$AE$2:$AE$3520,1),SUMIFS(Sales_Data!$M$2:$M$3520,Sales_Data!$C$2:$C$3520,$A54,Sales_Data!$H$2:$H$3520,G$14,Sales_Data!$AE$2:$AE$3520,1),SUMIFS(Sales_Data!$N$2:$N$3520,Sales_Data!$C$2:$C$3520,$A54,Sales_Data!$H$2:$H$3520,G$14,Sales_Data!$AE$2:$AE$3520,1),SUMIFS(Sales_Data!$AE$2:$AE$3520,Sales_Data!$C$2:$C$3520,$A54,Sales_Data!$H$2:$H$3520,G$14))</f>
        <v>2</v>
      </c>
      <c r="H54" s="26" t="n">
        <f aca="false">CHOOSE(MATCH($B$3,Lists!$C$2:$C$5,0),SUMIFS(Sales_Data!$O$2:$O$3520,Sales_Data!$C$2:$C$3520,$A54,Sales_Data!$H$2:$H$3520,H$14,Sales_Data!$AE$2:$AE$3520,1),SUMIFS(Sales_Data!$M$2:$M$3520,Sales_Data!$C$2:$C$3520,$A54,Sales_Data!$H$2:$H$3520,H$14,Sales_Data!$AE$2:$AE$3520,1),SUMIFS(Sales_Data!$N$2:$N$3520,Sales_Data!$C$2:$C$3520,$A54,Sales_Data!$H$2:$H$3520,H$14,Sales_Data!$AE$2:$AE$3520,1),SUMIFS(Sales_Data!$AE$2:$AE$3520,Sales_Data!$C$2:$C$3520,$A54,Sales_Data!$H$2:$H$3520,H$14))</f>
        <v>0</v>
      </c>
      <c r="I54" s="26" t="n">
        <f aca="false">CHOOSE(MATCH($B$3,Lists!$C$2:$C$5,0),SUMIFS(Sales_Data!$O$2:$O$3520,Sales_Data!$C$2:$C$3520,$A54,Sales_Data!$H$2:$H$3520,I$14,Sales_Data!$AE$2:$AE$3520,1),SUMIFS(Sales_Data!$M$2:$M$3520,Sales_Data!$C$2:$C$3520,$A54,Sales_Data!$H$2:$H$3520,I$14,Sales_Data!$AE$2:$AE$3520,1),SUMIFS(Sales_Data!$N$2:$N$3520,Sales_Data!$C$2:$C$3520,$A54,Sales_Data!$H$2:$H$3520,I$14,Sales_Data!$AE$2:$AE$3520,1),SUMIFS(Sales_Data!$AE$2:$AE$3520,Sales_Data!$C$2:$C$3520,$A54,Sales_Data!$H$2:$H$3520,I$14))</f>
        <v>0</v>
      </c>
      <c r="J54" s="26" t="n">
        <f aca="false">CHOOSE(MATCH($B$3,Lists!$C$2:$C$5,0),SUMIFS(Sales_Data!$O$2:$O$3520,Sales_Data!$C$2:$C$3520,$A54,Sales_Data!$H$2:$H$3520,J$14,Sales_Data!$AE$2:$AE$3520,1),SUMIFS(Sales_Data!$M$2:$M$3520,Sales_Data!$C$2:$C$3520,$A54,Sales_Data!$H$2:$H$3520,J$14,Sales_Data!$AE$2:$AE$3520,1),SUMIFS(Sales_Data!$N$2:$N$3520,Sales_Data!$C$2:$C$3520,$A54,Sales_Data!$H$2:$H$3520,J$14,Sales_Data!$AE$2:$AE$3520,1),SUMIFS(Sales_Data!$AE$2:$AE$3520,Sales_Data!$C$2:$C$3520,$A54,Sales_Data!$H$2:$H$3520,J$14))</f>
        <v>0</v>
      </c>
      <c r="K54" s="26" t="n">
        <f aca="false">CHOOSE(MATCH($B$3,Lists!$C$2:$C$5,0),SUMIFS(Sales_Data!$O$2:$O$3520,Sales_Data!$C$2:$C$3520,$A54,Sales_Data!$H$2:$H$3520,K$14,Sales_Data!$AE$2:$AE$3520,1),SUMIFS(Sales_Data!$M$2:$M$3520,Sales_Data!$C$2:$C$3520,$A54,Sales_Data!$H$2:$H$3520,K$14,Sales_Data!$AE$2:$AE$3520,1),SUMIFS(Sales_Data!$N$2:$N$3520,Sales_Data!$C$2:$C$3520,$A54,Sales_Data!$H$2:$H$3520,K$14,Sales_Data!$AE$2:$AE$3520,1),SUMIFS(Sales_Data!$AE$2:$AE$3520,Sales_Data!$C$2:$C$3520,$A54,Sales_Data!$H$2:$H$3520,K$14))</f>
        <v>0</v>
      </c>
      <c r="L54" s="26" t="n">
        <f aca="false">CHOOSE(MATCH($B$3,Lists!$C$2:$C$5,0),SUMIFS(Sales_Data!$O$2:$O$3520,Sales_Data!$C$2:$C$3520,$A54,Sales_Data!$H$2:$H$3520,L$14,Sales_Data!$AE$2:$AE$3520,1),SUMIFS(Sales_Data!$M$2:$M$3520,Sales_Data!$C$2:$C$3520,$A54,Sales_Data!$H$2:$H$3520,L$14,Sales_Data!$AE$2:$AE$3520,1),SUMIFS(Sales_Data!$N$2:$N$3520,Sales_Data!$C$2:$C$3520,$A54,Sales_Data!$H$2:$H$3520,L$14,Sales_Data!$AE$2:$AE$3520,1),SUMIFS(Sales_Data!$AE$2:$AE$3520,Sales_Data!$C$2:$C$3520,$A54,Sales_Data!$H$2:$H$3520,L$14))</f>
        <v>11</v>
      </c>
      <c r="M54" s="26" t="n">
        <f aca="false">CHOOSE(MATCH($B$3,Lists!$C$2:$C$5,0),SUMIFS(Sales_Data!$O$2:$O$3520,Sales_Data!$C$2:$C$3520,$A54,Sales_Data!$H$2:$H$3520,M$14,Sales_Data!$AE$2:$AE$3520,1),SUMIFS(Sales_Data!$M$2:$M$3520,Sales_Data!$C$2:$C$3520,$A54,Sales_Data!$H$2:$H$3520,M$14,Sales_Data!$AE$2:$AE$3520,1),SUMIFS(Sales_Data!$N$2:$N$3520,Sales_Data!$C$2:$C$3520,$A54,Sales_Data!$H$2:$H$3520,M$14,Sales_Data!$AE$2:$AE$3520,1),SUMIFS(Sales_Data!$AE$2:$AE$3520,Sales_Data!$C$2:$C$3520,$A54,Sales_Data!$H$2:$H$3520,M$14))</f>
        <v>4</v>
      </c>
      <c r="N54" s="26" t="n">
        <f aca="false">CHOOSE(MATCH($B$3,Lists!$C$2:$C$5,0),SUMIFS(Sales_Data!$O$2:$O$3520,Sales_Data!$C$2:$C$3520,$A54,Sales_Data!$H$2:$H$3520,N$14,Sales_Data!$AE$2:$AE$3520,1),SUMIFS(Sales_Data!$M$2:$M$3520,Sales_Data!$C$2:$C$3520,$A54,Sales_Data!$H$2:$H$3520,N$14,Sales_Data!$AE$2:$AE$3520,1),SUMIFS(Sales_Data!$N$2:$N$3520,Sales_Data!$C$2:$C$3520,$A54,Sales_Data!$H$2:$H$3520,N$14,Sales_Data!$AE$2:$AE$3520,1),SUMIFS(Sales_Data!$AE$2:$AE$3520,Sales_Data!$C$2:$C$3520,$A54,Sales_Data!$H$2:$H$3520,N$14))</f>
        <v>5</v>
      </c>
      <c r="O54" s="26" t="n">
        <f aca="false">CHOOSE(MATCH($B$3,Lists!$C$2:$C$5,0),SUMIFS(Sales_Data!$O$2:$O$3520,Sales_Data!$C$2:$C$3520,$A54,Sales_Data!$H$2:$H$3520,O$14,Sales_Data!$AE$2:$AE$3520,1),SUMIFS(Sales_Data!$M$2:$M$3520,Sales_Data!$C$2:$C$3520,$A54,Sales_Data!$H$2:$H$3520,O$14,Sales_Data!$AE$2:$AE$3520,1),SUMIFS(Sales_Data!$N$2:$N$3520,Sales_Data!$C$2:$C$3520,$A54,Sales_Data!$H$2:$H$3520,O$14,Sales_Data!$AE$2:$AE$3520,1),SUMIFS(Sales_Data!$AE$2:$AE$3520,Sales_Data!$C$2:$C$3520,$A54,Sales_Data!$H$2:$H$3520,O$14))</f>
        <v>0</v>
      </c>
      <c r="P54" s="27" t="n">
        <f aca="false">CHOOSE(MATCH($B$3,Lists!$C$2:$C$5,0),SUMIFS(Sales_Data!$O$2:$O$3520,Sales_Data!$C$2:$C$3520,$A54,Sales_Data!$AE$2:$AE$3520,1),SUMIFS(Sales_Data!$M$2:$M$3520,Sales_Data!$C$2:$C$3520,$A54,Sales_Data!$AE$2:$AE$3520,1),SUMIFS(Sales_Data!$N$2:$N$3520,Sales_Data!$C$2:$C$3520,$A54,Sales_Data!$AE$2:$AE$3520,1),SUMIFS(Sales_Data!$AE$2:$AE$3520,Sales_Data!$C$2:$C$3520,$A54))</f>
        <v>38</v>
      </c>
      <c r="Q54" s="27" t="n">
        <f aca="false">P54-SUM(B54:O54)</f>
        <v>7</v>
      </c>
      <c r="R54" s="3"/>
      <c r="S54" s="72" t="n">
        <f aca="false">A54</f>
        <v>46264</v>
      </c>
      <c r="T54" s="28" t="n">
        <f aca="false">B54-B53</f>
        <v>0</v>
      </c>
      <c r="U54" s="28" t="n">
        <f aca="false">C54-C53</f>
        <v>-4</v>
      </c>
      <c r="V54" s="28" t="n">
        <f aca="false">D54-D53</f>
        <v>-1</v>
      </c>
      <c r="W54" s="28" t="n">
        <f aca="false">E54-E53</f>
        <v>0</v>
      </c>
      <c r="X54" s="28" t="n">
        <f aca="false">F54-F53</f>
        <v>-1</v>
      </c>
      <c r="Y54" s="28" t="n">
        <f aca="false">G54-G53</f>
        <v>-1</v>
      </c>
      <c r="Z54" s="28" t="n">
        <f aca="false">H54-H53</f>
        <v>0</v>
      </c>
      <c r="AA54" s="28" t="n">
        <f aca="false">I54-I53</f>
        <v>0</v>
      </c>
      <c r="AB54" s="28" t="n">
        <f aca="false">J54-J53</f>
        <v>0</v>
      </c>
      <c r="AC54" s="28" t="n">
        <f aca="false">K54-K53</f>
        <v>0</v>
      </c>
      <c r="AD54" s="28" t="n">
        <f aca="false">L54-L53</f>
        <v>-8</v>
      </c>
      <c r="AE54" s="28" t="n">
        <f aca="false">M54-M53</f>
        <v>0</v>
      </c>
      <c r="AF54" s="28" t="n">
        <f aca="false">N54-N53</f>
        <v>-10</v>
      </c>
      <c r="AG54" s="28" t="n">
        <f aca="false">O54-O53</f>
        <v>0</v>
      </c>
      <c r="AH54" s="28" t="n">
        <f aca="false">P54-P53</f>
        <v>-24</v>
      </c>
    </row>
    <row r="55" customFormat="false" ht="15" hidden="false" customHeight="false" outlineLevel="0" collapsed="false">
      <c r="A55" s="72" t="n">
        <v>46265</v>
      </c>
      <c r="B55" s="26" t="n">
        <f aca="false">CHOOSE(MATCH($B$3,Lists!$C$2:$C$5,0),SUMIFS(Sales_Data!$O$2:$O$3520,Sales_Data!$C$2:$C$3520,$A55,Sales_Data!$H$2:$H$3520,B$14,Sales_Data!$AE$2:$AE$3520,1),SUMIFS(Sales_Data!$M$2:$M$3520,Sales_Data!$C$2:$C$3520,$A55,Sales_Data!$H$2:$H$3520,B$14,Sales_Data!$AE$2:$AE$3520,1),SUMIFS(Sales_Data!$N$2:$N$3520,Sales_Data!$C$2:$C$3520,$A55,Sales_Data!$H$2:$H$3520,B$14,Sales_Data!$AE$2:$AE$3520,1),SUMIFS(Sales_Data!$AE$2:$AE$3520,Sales_Data!$C$2:$C$3520,$A55,Sales_Data!$H$2:$H$3520,B$14))</f>
        <v>0</v>
      </c>
      <c r="C55" s="26" t="n">
        <f aca="false">CHOOSE(MATCH($B$3,Lists!$C$2:$C$5,0),SUMIFS(Sales_Data!$O$2:$O$3520,Sales_Data!$C$2:$C$3520,$A55,Sales_Data!$H$2:$H$3520,C$14,Sales_Data!$AE$2:$AE$3520,1),SUMIFS(Sales_Data!$M$2:$M$3520,Sales_Data!$C$2:$C$3520,$A55,Sales_Data!$H$2:$H$3520,C$14,Sales_Data!$AE$2:$AE$3520,1),SUMIFS(Sales_Data!$N$2:$N$3520,Sales_Data!$C$2:$C$3520,$A55,Sales_Data!$H$2:$H$3520,C$14,Sales_Data!$AE$2:$AE$3520,1),SUMIFS(Sales_Data!$AE$2:$AE$3520,Sales_Data!$C$2:$C$3520,$A55,Sales_Data!$H$2:$H$3520,C$14))</f>
        <v>0</v>
      </c>
      <c r="D55" s="26" t="n">
        <f aca="false">CHOOSE(MATCH($B$3,Lists!$C$2:$C$5,0),SUMIFS(Sales_Data!$O$2:$O$3520,Sales_Data!$C$2:$C$3520,$A55,Sales_Data!$H$2:$H$3520,D$14,Sales_Data!$AE$2:$AE$3520,1),SUMIFS(Sales_Data!$M$2:$M$3520,Sales_Data!$C$2:$C$3520,$A55,Sales_Data!$H$2:$H$3520,D$14,Sales_Data!$AE$2:$AE$3520,1),SUMIFS(Sales_Data!$N$2:$N$3520,Sales_Data!$C$2:$C$3520,$A55,Sales_Data!$H$2:$H$3520,D$14,Sales_Data!$AE$2:$AE$3520,1),SUMIFS(Sales_Data!$AE$2:$AE$3520,Sales_Data!$C$2:$C$3520,$A55,Sales_Data!$H$2:$H$3520,D$14))</f>
        <v>4</v>
      </c>
      <c r="E55" s="26" t="n">
        <f aca="false">CHOOSE(MATCH($B$3,Lists!$C$2:$C$5,0),SUMIFS(Sales_Data!$O$2:$O$3520,Sales_Data!$C$2:$C$3520,$A55,Sales_Data!$H$2:$H$3520,E$14,Sales_Data!$AE$2:$AE$3520,1),SUMIFS(Sales_Data!$M$2:$M$3520,Sales_Data!$C$2:$C$3520,$A55,Sales_Data!$H$2:$H$3520,E$14,Sales_Data!$AE$2:$AE$3520,1),SUMIFS(Sales_Data!$N$2:$N$3520,Sales_Data!$C$2:$C$3520,$A55,Sales_Data!$H$2:$H$3520,E$14,Sales_Data!$AE$2:$AE$3520,1),SUMIFS(Sales_Data!$AE$2:$AE$3520,Sales_Data!$C$2:$C$3520,$A55,Sales_Data!$H$2:$H$3520,E$14))</f>
        <v>0</v>
      </c>
      <c r="F55" s="26" t="n">
        <f aca="false">CHOOSE(MATCH($B$3,Lists!$C$2:$C$5,0),SUMIFS(Sales_Data!$O$2:$O$3520,Sales_Data!$C$2:$C$3520,$A55,Sales_Data!$H$2:$H$3520,F$14,Sales_Data!$AE$2:$AE$3520,1),SUMIFS(Sales_Data!$M$2:$M$3520,Sales_Data!$C$2:$C$3520,$A55,Sales_Data!$H$2:$H$3520,F$14,Sales_Data!$AE$2:$AE$3520,1),SUMIFS(Sales_Data!$N$2:$N$3520,Sales_Data!$C$2:$C$3520,$A55,Sales_Data!$H$2:$H$3520,F$14,Sales_Data!$AE$2:$AE$3520,1),SUMIFS(Sales_Data!$AE$2:$AE$3520,Sales_Data!$C$2:$C$3520,$A55,Sales_Data!$H$2:$H$3520,F$14))</f>
        <v>10</v>
      </c>
      <c r="G55" s="26" t="n">
        <f aca="false">CHOOSE(MATCH($B$3,Lists!$C$2:$C$5,0),SUMIFS(Sales_Data!$O$2:$O$3520,Sales_Data!$C$2:$C$3520,$A55,Sales_Data!$H$2:$H$3520,G$14,Sales_Data!$AE$2:$AE$3520,1),SUMIFS(Sales_Data!$M$2:$M$3520,Sales_Data!$C$2:$C$3520,$A55,Sales_Data!$H$2:$H$3520,G$14,Sales_Data!$AE$2:$AE$3520,1),SUMIFS(Sales_Data!$N$2:$N$3520,Sales_Data!$C$2:$C$3520,$A55,Sales_Data!$H$2:$H$3520,G$14,Sales_Data!$AE$2:$AE$3520,1),SUMIFS(Sales_Data!$AE$2:$AE$3520,Sales_Data!$C$2:$C$3520,$A55,Sales_Data!$H$2:$H$3520,G$14))</f>
        <v>4</v>
      </c>
      <c r="H55" s="26" t="n">
        <f aca="false">CHOOSE(MATCH($B$3,Lists!$C$2:$C$5,0),SUMIFS(Sales_Data!$O$2:$O$3520,Sales_Data!$C$2:$C$3520,$A55,Sales_Data!$H$2:$H$3520,H$14,Sales_Data!$AE$2:$AE$3520,1),SUMIFS(Sales_Data!$M$2:$M$3520,Sales_Data!$C$2:$C$3520,$A55,Sales_Data!$H$2:$H$3520,H$14,Sales_Data!$AE$2:$AE$3520,1),SUMIFS(Sales_Data!$N$2:$N$3520,Sales_Data!$C$2:$C$3520,$A55,Sales_Data!$H$2:$H$3520,H$14,Sales_Data!$AE$2:$AE$3520,1),SUMIFS(Sales_Data!$AE$2:$AE$3520,Sales_Data!$C$2:$C$3520,$A55,Sales_Data!$H$2:$H$3520,H$14))</f>
        <v>0</v>
      </c>
      <c r="I55" s="26" t="n">
        <f aca="false">CHOOSE(MATCH($B$3,Lists!$C$2:$C$5,0),SUMIFS(Sales_Data!$O$2:$O$3520,Sales_Data!$C$2:$C$3520,$A55,Sales_Data!$H$2:$H$3520,I$14,Sales_Data!$AE$2:$AE$3520,1),SUMIFS(Sales_Data!$M$2:$M$3520,Sales_Data!$C$2:$C$3520,$A55,Sales_Data!$H$2:$H$3520,I$14,Sales_Data!$AE$2:$AE$3520,1),SUMIFS(Sales_Data!$N$2:$N$3520,Sales_Data!$C$2:$C$3520,$A55,Sales_Data!$H$2:$H$3520,I$14,Sales_Data!$AE$2:$AE$3520,1),SUMIFS(Sales_Data!$AE$2:$AE$3520,Sales_Data!$C$2:$C$3520,$A55,Sales_Data!$H$2:$H$3520,I$14))</f>
        <v>0</v>
      </c>
      <c r="J55" s="26" t="n">
        <f aca="false">CHOOSE(MATCH($B$3,Lists!$C$2:$C$5,0),SUMIFS(Sales_Data!$O$2:$O$3520,Sales_Data!$C$2:$C$3520,$A55,Sales_Data!$H$2:$H$3520,J$14,Sales_Data!$AE$2:$AE$3520,1),SUMIFS(Sales_Data!$M$2:$M$3520,Sales_Data!$C$2:$C$3520,$A55,Sales_Data!$H$2:$H$3520,J$14,Sales_Data!$AE$2:$AE$3520,1),SUMIFS(Sales_Data!$N$2:$N$3520,Sales_Data!$C$2:$C$3520,$A55,Sales_Data!$H$2:$H$3520,J$14,Sales_Data!$AE$2:$AE$3520,1),SUMIFS(Sales_Data!$AE$2:$AE$3520,Sales_Data!$C$2:$C$3520,$A55,Sales_Data!$H$2:$H$3520,J$14))</f>
        <v>0</v>
      </c>
      <c r="K55" s="26" t="n">
        <f aca="false">CHOOSE(MATCH($B$3,Lists!$C$2:$C$5,0),SUMIFS(Sales_Data!$O$2:$O$3520,Sales_Data!$C$2:$C$3520,$A55,Sales_Data!$H$2:$H$3520,K$14,Sales_Data!$AE$2:$AE$3520,1),SUMIFS(Sales_Data!$M$2:$M$3520,Sales_Data!$C$2:$C$3520,$A55,Sales_Data!$H$2:$H$3520,K$14,Sales_Data!$AE$2:$AE$3520,1),SUMIFS(Sales_Data!$N$2:$N$3520,Sales_Data!$C$2:$C$3520,$A55,Sales_Data!$H$2:$H$3520,K$14,Sales_Data!$AE$2:$AE$3520,1),SUMIFS(Sales_Data!$AE$2:$AE$3520,Sales_Data!$C$2:$C$3520,$A55,Sales_Data!$H$2:$H$3520,K$14))</f>
        <v>0</v>
      </c>
      <c r="L55" s="26" t="n">
        <f aca="false">CHOOSE(MATCH($B$3,Lists!$C$2:$C$5,0),SUMIFS(Sales_Data!$O$2:$O$3520,Sales_Data!$C$2:$C$3520,$A55,Sales_Data!$H$2:$H$3520,L$14,Sales_Data!$AE$2:$AE$3520,1),SUMIFS(Sales_Data!$M$2:$M$3520,Sales_Data!$C$2:$C$3520,$A55,Sales_Data!$H$2:$H$3520,L$14,Sales_Data!$AE$2:$AE$3520,1),SUMIFS(Sales_Data!$N$2:$N$3520,Sales_Data!$C$2:$C$3520,$A55,Sales_Data!$H$2:$H$3520,L$14,Sales_Data!$AE$2:$AE$3520,1),SUMIFS(Sales_Data!$AE$2:$AE$3520,Sales_Data!$C$2:$C$3520,$A55,Sales_Data!$H$2:$H$3520,L$14))</f>
        <v>14</v>
      </c>
      <c r="M55" s="26" t="n">
        <f aca="false">CHOOSE(MATCH($B$3,Lists!$C$2:$C$5,0),SUMIFS(Sales_Data!$O$2:$O$3520,Sales_Data!$C$2:$C$3520,$A55,Sales_Data!$H$2:$H$3520,M$14,Sales_Data!$AE$2:$AE$3520,1),SUMIFS(Sales_Data!$M$2:$M$3520,Sales_Data!$C$2:$C$3520,$A55,Sales_Data!$H$2:$H$3520,M$14,Sales_Data!$AE$2:$AE$3520,1),SUMIFS(Sales_Data!$N$2:$N$3520,Sales_Data!$C$2:$C$3520,$A55,Sales_Data!$H$2:$H$3520,M$14,Sales_Data!$AE$2:$AE$3520,1),SUMIFS(Sales_Data!$AE$2:$AE$3520,Sales_Data!$C$2:$C$3520,$A55,Sales_Data!$H$2:$H$3520,M$14))</f>
        <v>5</v>
      </c>
      <c r="N55" s="26" t="n">
        <f aca="false">CHOOSE(MATCH($B$3,Lists!$C$2:$C$5,0),SUMIFS(Sales_Data!$O$2:$O$3520,Sales_Data!$C$2:$C$3520,$A55,Sales_Data!$H$2:$H$3520,N$14,Sales_Data!$AE$2:$AE$3520,1),SUMIFS(Sales_Data!$M$2:$M$3520,Sales_Data!$C$2:$C$3520,$A55,Sales_Data!$H$2:$H$3520,N$14,Sales_Data!$AE$2:$AE$3520,1),SUMIFS(Sales_Data!$N$2:$N$3520,Sales_Data!$C$2:$C$3520,$A55,Sales_Data!$H$2:$H$3520,N$14,Sales_Data!$AE$2:$AE$3520,1),SUMIFS(Sales_Data!$AE$2:$AE$3520,Sales_Data!$C$2:$C$3520,$A55,Sales_Data!$H$2:$H$3520,N$14))</f>
        <v>23</v>
      </c>
      <c r="O55" s="26" t="n">
        <f aca="false">CHOOSE(MATCH($B$3,Lists!$C$2:$C$5,0),SUMIFS(Sales_Data!$O$2:$O$3520,Sales_Data!$C$2:$C$3520,$A55,Sales_Data!$H$2:$H$3520,O$14,Sales_Data!$AE$2:$AE$3520,1),SUMIFS(Sales_Data!$M$2:$M$3520,Sales_Data!$C$2:$C$3520,$A55,Sales_Data!$H$2:$H$3520,O$14,Sales_Data!$AE$2:$AE$3520,1),SUMIFS(Sales_Data!$N$2:$N$3520,Sales_Data!$C$2:$C$3520,$A55,Sales_Data!$H$2:$H$3520,O$14,Sales_Data!$AE$2:$AE$3520,1),SUMIFS(Sales_Data!$AE$2:$AE$3520,Sales_Data!$C$2:$C$3520,$A55,Sales_Data!$H$2:$H$3520,O$14))</f>
        <v>0</v>
      </c>
      <c r="P55" s="27" t="n">
        <f aca="false">CHOOSE(MATCH($B$3,Lists!$C$2:$C$5,0),SUMIFS(Sales_Data!$O$2:$O$3520,Sales_Data!$C$2:$C$3520,$A55,Sales_Data!$AE$2:$AE$3520,1),SUMIFS(Sales_Data!$M$2:$M$3520,Sales_Data!$C$2:$C$3520,$A55,Sales_Data!$AE$2:$AE$3520,1),SUMIFS(Sales_Data!$N$2:$N$3520,Sales_Data!$C$2:$C$3520,$A55,Sales_Data!$AE$2:$AE$3520,1),SUMIFS(Sales_Data!$AE$2:$AE$3520,Sales_Data!$C$2:$C$3520,$A55))</f>
        <v>66</v>
      </c>
      <c r="Q55" s="27" t="n">
        <f aca="false">P55-SUM(B55:O55)</f>
        <v>6</v>
      </c>
      <c r="R55" s="3"/>
      <c r="S55" s="72" t="n">
        <f aca="false">A55</f>
        <v>46265</v>
      </c>
      <c r="T55" s="28" t="n">
        <f aca="false">B55-B54</f>
        <v>0</v>
      </c>
      <c r="U55" s="28" t="n">
        <f aca="false">C55-C54</f>
        <v>-4</v>
      </c>
      <c r="V55" s="28" t="n">
        <f aca="false">D55-D54</f>
        <v>3</v>
      </c>
      <c r="W55" s="28" t="n">
        <f aca="false">E55-E54</f>
        <v>0</v>
      </c>
      <c r="X55" s="28" t="n">
        <f aca="false">F55-F54</f>
        <v>6</v>
      </c>
      <c r="Y55" s="28" t="n">
        <f aca="false">G55-G54</f>
        <v>2</v>
      </c>
      <c r="Z55" s="28" t="n">
        <f aca="false">H55-H54</f>
        <v>0</v>
      </c>
      <c r="AA55" s="28" t="n">
        <f aca="false">I55-I54</f>
        <v>0</v>
      </c>
      <c r="AB55" s="28" t="n">
        <f aca="false">J55-J54</f>
        <v>0</v>
      </c>
      <c r="AC55" s="28" t="n">
        <f aca="false">K55-K54</f>
        <v>0</v>
      </c>
      <c r="AD55" s="28" t="n">
        <f aca="false">L55-L54</f>
        <v>3</v>
      </c>
      <c r="AE55" s="28" t="n">
        <f aca="false">M55-M54</f>
        <v>1</v>
      </c>
      <c r="AF55" s="28" t="n">
        <f aca="false">N55-N54</f>
        <v>18</v>
      </c>
      <c r="AG55" s="28" t="n">
        <f aca="false">O55-O54</f>
        <v>0</v>
      </c>
      <c r="AH55" s="28" t="n">
        <f aca="false">P55-P54</f>
        <v>28</v>
      </c>
    </row>
    <row r="56" customFormat="false" ht="15" hidden="false" customHeight="false" outlineLevel="0" collapsed="false">
      <c r="A56" s="72" t="n">
        <v>46266</v>
      </c>
      <c r="B56" s="26" t="n">
        <f aca="false">CHOOSE(MATCH($B$3,Lists!$C$2:$C$5,0),SUMIFS(Sales_Data!$O$2:$O$3520,Sales_Data!$C$2:$C$3520,$A56,Sales_Data!$H$2:$H$3520,B$14,Sales_Data!$AE$2:$AE$3520,1),SUMIFS(Sales_Data!$M$2:$M$3520,Sales_Data!$C$2:$C$3520,$A56,Sales_Data!$H$2:$H$3520,B$14,Sales_Data!$AE$2:$AE$3520,1),SUMIFS(Sales_Data!$N$2:$N$3520,Sales_Data!$C$2:$C$3520,$A56,Sales_Data!$H$2:$H$3520,B$14,Sales_Data!$AE$2:$AE$3520,1),SUMIFS(Sales_Data!$AE$2:$AE$3520,Sales_Data!$C$2:$C$3520,$A56,Sales_Data!$H$2:$H$3520,B$14))</f>
        <v>0</v>
      </c>
      <c r="C56" s="26" t="n">
        <f aca="false">CHOOSE(MATCH($B$3,Lists!$C$2:$C$5,0),SUMIFS(Sales_Data!$O$2:$O$3520,Sales_Data!$C$2:$C$3520,$A56,Sales_Data!$H$2:$H$3520,C$14,Sales_Data!$AE$2:$AE$3520,1),SUMIFS(Sales_Data!$M$2:$M$3520,Sales_Data!$C$2:$C$3520,$A56,Sales_Data!$H$2:$H$3520,C$14,Sales_Data!$AE$2:$AE$3520,1),SUMIFS(Sales_Data!$N$2:$N$3520,Sales_Data!$C$2:$C$3520,$A56,Sales_Data!$H$2:$H$3520,C$14,Sales_Data!$AE$2:$AE$3520,1),SUMIFS(Sales_Data!$AE$2:$AE$3520,Sales_Data!$C$2:$C$3520,$A56,Sales_Data!$H$2:$H$3520,C$14))</f>
        <v>3</v>
      </c>
      <c r="D56" s="26" t="n">
        <f aca="false">CHOOSE(MATCH($B$3,Lists!$C$2:$C$5,0),SUMIFS(Sales_Data!$O$2:$O$3520,Sales_Data!$C$2:$C$3520,$A56,Sales_Data!$H$2:$H$3520,D$14,Sales_Data!$AE$2:$AE$3520,1),SUMIFS(Sales_Data!$M$2:$M$3520,Sales_Data!$C$2:$C$3520,$A56,Sales_Data!$H$2:$H$3520,D$14,Sales_Data!$AE$2:$AE$3520,1),SUMIFS(Sales_Data!$N$2:$N$3520,Sales_Data!$C$2:$C$3520,$A56,Sales_Data!$H$2:$H$3520,D$14,Sales_Data!$AE$2:$AE$3520,1),SUMIFS(Sales_Data!$AE$2:$AE$3520,Sales_Data!$C$2:$C$3520,$A56,Sales_Data!$H$2:$H$3520,D$14))</f>
        <v>4</v>
      </c>
      <c r="E56" s="26" t="n">
        <f aca="false">CHOOSE(MATCH($B$3,Lists!$C$2:$C$5,0),SUMIFS(Sales_Data!$O$2:$O$3520,Sales_Data!$C$2:$C$3520,$A56,Sales_Data!$H$2:$H$3520,E$14,Sales_Data!$AE$2:$AE$3520,1),SUMIFS(Sales_Data!$M$2:$M$3520,Sales_Data!$C$2:$C$3520,$A56,Sales_Data!$H$2:$H$3520,E$14,Sales_Data!$AE$2:$AE$3520,1),SUMIFS(Sales_Data!$N$2:$N$3520,Sales_Data!$C$2:$C$3520,$A56,Sales_Data!$H$2:$H$3520,E$14,Sales_Data!$AE$2:$AE$3520,1),SUMIFS(Sales_Data!$AE$2:$AE$3520,Sales_Data!$C$2:$C$3520,$A56,Sales_Data!$H$2:$H$3520,E$14))</f>
        <v>0</v>
      </c>
      <c r="F56" s="26" t="n">
        <f aca="false">CHOOSE(MATCH($B$3,Lists!$C$2:$C$5,0),SUMIFS(Sales_Data!$O$2:$O$3520,Sales_Data!$C$2:$C$3520,$A56,Sales_Data!$H$2:$H$3520,F$14,Sales_Data!$AE$2:$AE$3520,1),SUMIFS(Sales_Data!$M$2:$M$3520,Sales_Data!$C$2:$C$3520,$A56,Sales_Data!$H$2:$H$3520,F$14,Sales_Data!$AE$2:$AE$3520,1),SUMIFS(Sales_Data!$N$2:$N$3520,Sales_Data!$C$2:$C$3520,$A56,Sales_Data!$H$2:$H$3520,F$14,Sales_Data!$AE$2:$AE$3520,1),SUMIFS(Sales_Data!$AE$2:$AE$3520,Sales_Data!$C$2:$C$3520,$A56,Sales_Data!$H$2:$H$3520,F$14))</f>
        <v>9</v>
      </c>
      <c r="G56" s="26" t="n">
        <f aca="false">CHOOSE(MATCH($B$3,Lists!$C$2:$C$5,0),SUMIFS(Sales_Data!$O$2:$O$3520,Sales_Data!$C$2:$C$3520,$A56,Sales_Data!$H$2:$H$3520,G$14,Sales_Data!$AE$2:$AE$3520,1),SUMIFS(Sales_Data!$M$2:$M$3520,Sales_Data!$C$2:$C$3520,$A56,Sales_Data!$H$2:$H$3520,G$14,Sales_Data!$AE$2:$AE$3520,1),SUMIFS(Sales_Data!$N$2:$N$3520,Sales_Data!$C$2:$C$3520,$A56,Sales_Data!$H$2:$H$3520,G$14,Sales_Data!$AE$2:$AE$3520,1),SUMIFS(Sales_Data!$AE$2:$AE$3520,Sales_Data!$C$2:$C$3520,$A56,Sales_Data!$H$2:$H$3520,G$14))</f>
        <v>1</v>
      </c>
      <c r="H56" s="26" t="n">
        <f aca="false">CHOOSE(MATCH($B$3,Lists!$C$2:$C$5,0),SUMIFS(Sales_Data!$O$2:$O$3520,Sales_Data!$C$2:$C$3520,$A56,Sales_Data!$H$2:$H$3520,H$14,Sales_Data!$AE$2:$AE$3520,1),SUMIFS(Sales_Data!$M$2:$M$3520,Sales_Data!$C$2:$C$3520,$A56,Sales_Data!$H$2:$H$3520,H$14,Sales_Data!$AE$2:$AE$3520,1),SUMIFS(Sales_Data!$N$2:$N$3520,Sales_Data!$C$2:$C$3520,$A56,Sales_Data!$H$2:$H$3520,H$14,Sales_Data!$AE$2:$AE$3520,1),SUMIFS(Sales_Data!$AE$2:$AE$3520,Sales_Data!$C$2:$C$3520,$A56,Sales_Data!$H$2:$H$3520,H$14))</f>
        <v>0</v>
      </c>
      <c r="I56" s="26" t="n">
        <f aca="false">CHOOSE(MATCH($B$3,Lists!$C$2:$C$5,0),SUMIFS(Sales_Data!$O$2:$O$3520,Sales_Data!$C$2:$C$3520,$A56,Sales_Data!$H$2:$H$3520,I$14,Sales_Data!$AE$2:$AE$3520,1),SUMIFS(Sales_Data!$M$2:$M$3520,Sales_Data!$C$2:$C$3520,$A56,Sales_Data!$H$2:$H$3520,I$14,Sales_Data!$AE$2:$AE$3520,1),SUMIFS(Sales_Data!$N$2:$N$3520,Sales_Data!$C$2:$C$3520,$A56,Sales_Data!$H$2:$H$3520,I$14,Sales_Data!$AE$2:$AE$3520,1),SUMIFS(Sales_Data!$AE$2:$AE$3520,Sales_Data!$C$2:$C$3520,$A56,Sales_Data!$H$2:$H$3520,I$14))</f>
        <v>0</v>
      </c>
      <c r="J56" s="26" t="n">
        <f aca="false">CHOOSE(MATCH($B$3,Lists!$C$2:$C$5,0),SUMIFS(Sales_Data!$O$2:$O$3520,Sales_Data!$C$2:$C$3520,$A56,Sales_Data!$H$2:$H$3520,J$14,Sales_Data!$AE$2:$AE$3520,1),SUMIFS(Sales_Data!$M$2:$M$3520,Sales_Data!$C$2:$C$3520,$A56,Sales_Data!$H$2:$H$3520,J$14,Sales_Data!$AE$2:$AE$3520,1),SUMIFS(Sales_Data!$N$2:$N$3520,Sales_Data!$C$2:$C$3520,$A56,Sales_Data!$H$2:$H$3520,J$14,Sales_Data!$AE$2:$AE$3520,1),SUMIFS(Sales_Data!$AE$2:$AE$3520,Sales_Data!$C$2:$C$3520,$A56,Sales_Data!$H$2:$H$3520,J$14))</f>
        <v>0</v>
      </c>
      <c r="K56" s="26" t="n">
        <f aca="false">CHOOSE(MATCH($B$3,Lists!$C$2:$C$5,0),SUMIFS(Sales_Data!$O$2:$O$3520,Sales_Data!$C$2:$C$3520,$A56,Sales_Data!$H$2:$H$3520,K$14,Sales_Data!$AE$2:$AE$3520,1),SUMIFS(Sales_Data!$M$2:$M$3520,Sales_Data!$C$2:$C$3520,$A56,Sales_Data!$H$2:$H$3520,K$14,Sales_Data!$AE$2:$AE$3520,1),SUMIFS(Sales_Data!$N$2:$N$3520,Sales_Data!$C$2:$C$3520,$A56,Sales_Data!$H$2:$H$3520,K$14,Sales_Data!$AE$2:$AE$3520,1),SUMIFS(Sales_Data!$AE$2:$AE$3520,Sales_Data!$C$2:$C$3520,$A56,Sales_Data!$H$2:$H$3520,K$14))</f>
        <v>0</v>
      </c>
      <c r="L56" s="26" t="n">
        <f aca="false">CHOOSE(MATCH($B$3,Lists!$C$2:$C$5,0),SUMIFS(Sales_Data!$O$2:$O$3520,Sales_Data!$C$2:$C$3520,$A56,Sales_Data!$H$2:$H$3520,L$14,Sales_Data!$AE$2:$AE$3520,1),SUMIFS(Sales_Data!$M$2:$M$3520,Sales_Data!$C$2:$C$3520,$A56,Sales_Data!$H$2:$H$3520,L$14,Sales_Data!$AE$2:$AE$3520,1),SUMIFS(Sales_Data!$N$2:$N$3520,Sales_Data!$C$2:$C$3520,$A56,Sales_Data!$H$2:$H$3520,L$14,Sales_Data!$AE$2:$AE$3520,1),SUMIFS(Sales_Data!$AE$2:$AE$3520,Sales_Data!$C$2:$C$3520,$A56,Sales_Data!$H$2:$H$3520,L$14))</f>
        <v>14</v>
      </c>
      <c r="M56" s="26" t="n">
        <f aca="false">CHOOSE(MATCH($B$3,Lists!$C$2:$C$5,0),SUMIFS(Sales_Data!$O$2:$O$3520,Sales_Data!$C$2:$C$3520,$A56,Sales_Data!$H$2:$H$3520,M$14,Sales_Data!$AE$2:$AE$3520,1),SUMIFS(Sales_Data!$M$2:$M$3520,Sales_Data!$C$2:$C$3520,$A56,Sales_Data!$H$2:$H$3520,M$14,Sales_Data!$AE$2:$AE$3520,1),SUMIFS(Sales_Data!$N$2:$N$3520,Sales_Data!$C$2:$C$3520,$A56,Sales_Data!$H$2:$H$3520,M$14,Sales_Data!$AE$2:$AE$3520,1),SUMIFS(Sales_Data!$AE$2:$AE$3520,Sales_Data!$C$2:$C$3520,$A56,Sales_Data!$H$2:$H$3520,M$14))</f>
        <v>8</v>
      </c>
      <c r="N56" s="26" t="n">
        <f aca="false">CHOOSE(MATCH($B$3,Lists!$C$2:$C$5,0),SUMIFS(Sales_Data!$O$2:$O$3520,Sales_Data!$C$2:$C$3520,$A56,Sales_Data!$H$2:$H$3520,N$14,Sales_Data!$AE$2:$AE$3520,1),SUMIFS(Sales_Data!$M$2:$M$3520,Sales_Data!$C$2:$C$3520,$A56,Sales_Data!$H$2:$H$3520,N$14,Sales_Data!$AE$2:$AE$3520,1),SUMIFS(Sales_Data!$N$2:$N$3520,Sales_Data!$C$2:$C$3520,$A56,Sales_Data!$H$2:$H$3520,N$14,Sales_Data!$AE$2:$AE$3520,1),SUMIFS(Sales_Data!$AE$2:$AE$3520,Sales_Data!$C$2:$C$3520,$A56,Sales_Data!$H$2:$H$3520,N$14))</f>
        <v>13</v>
      </c>
      <c r="O56" s="26" t="n">
        <f aca="false">CHOOSE(MATCH($B$3,Lists!$C$2:$C$5,0),SUMIFS(Sales_Data!$O$2:$O$3520,Sales_Data!$C$2:$C$3520,$A56,Sales_Data!$H$2:$H$3520,O$14,Sales_Data!$AE$2:$AE$3520,1),SUMIFS(Sales_Data!$M$2:$M$3520,Sales_Data!$C$2:$C$3520,$A56,Sales_Data!$H$2:$H$3520,O$14,Sales_Data!$AE$2:$AE$3520,1),SUMIFS(Sales_Data!$N$2:$N$3520,Sales_Data!$C$2:$C$3520,$A56,Sales_Data!$H$2:$H$3520,O$14,Sales_Data!$AE$2:$AE$3520,1),SUMIFS(Sales_Data!$AE$2:$AE$3520,Sales_Data!$C$2:$C$3520,$A56,Sales_Data!$H$2:$H$3520,O$14))</f>
        <v>0</v>
      </c>
      <c r="P56" s="27" t="n">
        <f aca="false">CHOOSE(MATCH($B$3,Lists!$C$2:$C$5,0),SUMIFS(Sales_Data!$O$2:$O$3520,Sales_Data!$C$2:$C$3520,$A56,Sales_Data!$AE$2:$AE$3520,1),SUMIFS(Sales_Data!$M$2:$M$3520,Sales_Data!$C$2:$C$3520,$A56,Sales_Data!$AE$2:$AE$3520,1),SUMIFS(Sales_Data!$N$2:$N$3520,Sales_Data!$C$2:$C$3520,$A56,Sales_Data!$AE$2:$AE$3520,1),SUMIFS(Sales_Data!$AE$2:$AE$3520,Sales_Data!$C$2:$C$3520,$A56))</f>
        <v>62</v>
      </c>
      <c r="Q56" s="27" t="n">
        <f aca="false">P56-SUM(B56:O56)</f>
        <v>10</v>
      </c>
      <c r="R56" s="3"/>
      <c r="S56" s="72" t="n">
        <f aca="false">A56</f>
        <v>46266</v>
      </c>
      <c r="T56" s="28" t="n">
        <f aca="false">B56-B55</f>
        <v>0</v>
      </c>
      <c r="U56" s="28" t="n">
        <f aca="false">C56-C55</f>
        <v>3</v>
      </c>
      <c r="V56" s="28" t="n">
        <f aca="false">D56-D55</f>
        <v>0</v>
      </c>
      <c r="W56" s="28" t="n">
        <f aca="false">E56-E55</f>
        <v>0</v>
      </c>
      <c r="X56" s="28" t="n">
        <f aca="false">F56-F55</f>
        <v>-1</v>
      </c>
      <c r="Y56" s="28" t="n">
        <f aca="false">G56-G55</f>
        <v>-3</v>
      </c>
      <c r="Z56" s="28" t="n">
        <f aca="false">H56-H55</f>
        <v>0</v>
      </c>
      <c r="AA56" s="28" t="n">
        <f aca="false">I56-I55</f>
        <v>0</v>
      </c>
      <c r="AB56" s="28" t="n">
        <f aca="false">J56-J55</f>
        <v>0</v>
      </c>
      <c r="AC56" s="28" t="n">
        <f aca="false">K56-K55</f>
        <v>0</v>
      </c>
      <c r="AD56" s="28" t="n">
        <f aca="false">L56-L55</f>
        <v>0</v>
      </c>
      <c r="AE56" s="28" t="n">
        <f aca="false">M56-M55</f>
        <v>3</v>
      </c>
      <c r="AF56" s="28" t="n">
        <f aca="false">N56-N55</f>
        <v>-10</v>
      </c>
      <c r="AG56" s="28" t="n">
        <f aca="false">O56-O55</f>
        <v>0</v>
      </c>
      <c r="AH56" s="28" t="n">
        <f aca="false">P56-P55</f>
        <v>-4</v>
      </c>
    </row>
    <row r="57" customFormat="false" ht="15" hidden="false" customHeight="false" outlineLevel="0" collapsed="false">
      <c r="A57" s="72" t="n">
        <v>46267</v>
      </c>
      <c r="B57" s="26" t="n">
        <f aca="false">CHOOSE(MATCH($B$3,Lists!$C$2:$C$5,0),SUMIFS(Sales_Data!$O$2:$O$3520,Sales_Data!$C$2:$C$3520,$A57,Sales_Data!$H$2:$H$3520,B$14,Sales_Data!$AE$2:$AE$3520,1),SUMIFS(Sales_Data!$M$2:$M$3520,Sales_Data!$C$2:$C$3520,$A57,Sales_Data!$H$2:$H$3520,B$14,Sales_Data!$AE$2:$AE$3520,1),SUMIFS(Sales_Data!$N$2:$N$3520,Sales_Data!$C$2:$C$3520,$A57,Sales_Data!$H$2:$H$3520,B$14,Sales_Data!$AE$2:$AE$3520,1),SUMIFS(Sales_Data!$AE$2:$AE$3520,Sales_Data!$C$2:$C$3520,$A57,Sales_Data!$H$2:$H$3520,B$14))</f>
        <v>0</v>
      </c>
      <c r="C57" s="26" t="n">
        <f aca="false">CHOOSE(MATCH($B$3,Lists!$C$2:$C$5,0),SUMIFS(Sales_Data!$O$2:$O$3520,Sales_Data!$C$2:$C$3520,$A57,Sales_Data!$H$2:$H$3520,C$14,Sales_Data!$AE$2:$AE$3520,1),SUMIFS(Sales_Data!$M$2:$M$3520,Sales_Data!$C$2:$C$3520,$A57,Sales_Data!$H$2:$H$3520,C$14,Sales_Data!$AE$2:$AE$3520,1),SUMIFS(Sales_Data!$N$2:$N$3520,Sales_Data!$C$2:$C$3520,$A57,Sales_Data!$H$2:$H$3520,C$14,Sales_Data!$AE$2:$AE$3520,1),SUMIFS(Sales_Data!$AE$2:$AE$3520,Sales_Data!$C$2:$C$3520,$A57,Sales_Data!$H$2:$H$3520,C$14))</f>
        <v>6</v>
      </c>
      <c r="D57" s="26" t="n">
        <f aca="false">CHOOSE(MATCH($B$3,Lists!$C$2:$C$5,0),SUMIFS(Sales_Data!$O$2:$O$3520,Sales_Data!$C$2:$C$3520,$A57,Sales_Data!$H$2:$H$3520,D$14,Sales_Data!$AE$2:$AE$3520,1),SUMIFS(Sales_Data!$M$2:$M$3520,Sales_Data!$C$2:$C$3520,$A57,Sales_Data!$H$2:$H$3520,D$14,Sales_Data!$AE$2:$AE$3520,1),SUMIFS(Sales_Data!$N$2:$N$3520,Sales_Data!$C$2:$C$3520,$A57,Sales_Data!$H$2:$H$3520,D$14,Sales_Data!$AE$2:$AE$3520,1),SUMIFS(Sales_Data!$AE$2:$AE$3520,Sales_Data!$C$2:$C$3520,$A57,Sales_Data!$H$2:$H$3520,D$14))</f>
        <v>7</v>
      </c>
      <c r="E57" s="26" t="n">
        <f aca="false">CHOOSE(MATCH($B$3,Lists!$C$2:$C$5,0),SUMIFS(Sales_Data!$O$2:$O$3520,Sales_Data!$C$2:$C$3520,$A57,Sales_Data!$H$2:$H$3520,E$14,Sales_Data!$AE$2:$AE$3520,1),SUMIFS(Sales_Data!$M$2:$M$3520,Sales_Data!$C$2:$C$3520,$A57,Sales_Data!$H$2:$H$3520,E$14,Sales_Data!$AE$2:$AE$3520,1),SUMIFS(Sales_Data!$N$2:$N$3520,Sales_Data!$C$2:$C$3520,$A57,Sales_Data!$H$2:$H$3520,E$14,Sales_Data!$AE$2:$AE$3520,1),SUMIFS(Sales_Data!$AE$2:$AE$3520,Sales_Data!$C$2:$C$3520,$A57,Sales_Data!$H$2:$H$3520,E$14))</f>
        <v>0</v>
      </c>
      <c r="F57" s="26" t="n">
        <f aca="false">CHOOSE(MATCH($B$3,Lists!$C$2:$C$5,0),SUMIFS(Sales_Data!$O$2:$O$3520,Sales_Data!$C$2:$C$3520,$A57,Sales_Data!$H$2:$H$3520,F$14,Sales_Data!$AE$2:$AE$3520,1),SUMIFS(Sales_Data!$M$2:$M$3520,Sales_Data!$C$2:$C$3520,$A57,Sales_Data!$H$2:$H$3520,F$14,Sales_Data!$AE$2:$AE$3520,1),SUMIFS(Sales_Data!$N$2:$N$3520,Sales_Data!$C$2:$C$3520,$A57,Sales_Data!$H$2:$H$3520,F$14,Sales_Data!$AE$2:$AE$3520,1),SUMIFS(Sales_Data!$AE$2:$AE$3520,Sales_Data!$C$2:$C$3520,$A57,Sales_Data!$H$2:$H$3520,F$14))</f>
        <v>5</v>
      </c>
      <c r="G57" s="26" t="n">
        <f aca="false">CHOOSE(MATCH($B$3,Lists!$C$2:$C$5,0),SUMIFS(Sales_Data!$O$2:$O$3520,Sales_Data!$C$2:$C$3520,$A57,Sales_Data!$H$2:$H$3520,G$14,Sales_Data!$AE$2:$AE$3520,1),SUMIFS(Sales_Data!$M$2:$M$3520,Sales_Data!$C$2:$C$3520,$A57,Sales_Data!$H$2:$H$3520,G$14,Sales_Data!$AE$2:$AE$3520,1),SUMIFS(Sales_Data!$N$2:$N$3520,Sales_Data!$C$2:$C$3520,$A57,Sales_Data!$H$2:$H$3520,G$14,Sales_Data!$AE$2:$AE$3520,1),SUMIFS(Sales_Data!$AE$2:$AE$3520,Sales_Data!$C$2:$C$3520,$A57,Sales_Data!$H$2:$H$3520,G$14))</f>
        <v>3</v>
      </c>
      <c r="H57" s="26" t="n">
        <f aca="false">CHOOSE(MATCH($B$3,Lists!$C$2:$C$5,0),SUMIFS(Sales_Data!$O$2:$O$3520,Sales_Data!$C$2:$C$3520,$A57,Sales_Data!$H$2:$H$3520,H$14,Sales_Data!$AE$2:$AE$3520,1),SUMIFS(Sales_Data!$M$2:$M$3520,Sales_Data!$C$2:$C$3520,$A57,Sales_Data!$H$2:$H$3520,H$14,Sales_Data!$AE$2:$AE$3520,1),SUMIFS(Sales_Data!$N$2:$N$3520,Sales_Data!$C$2:$C$3520,$A57,Sales_Data!$H$2:$H$3520,H$14,Sales_Data!$AE$2:$AE$3520,1),SUMIFS(Sales_Data!$AE$2:$AE$3520,Sales_Data!$C$2:$C$3520,$A57,Sales_Data!$H$2:$H$3520,H$14))</f>
        <v>0</v>
      </c>
      <c r="I57" s="26" t="n">
        <f aca="false">CHOOSE(MATCH($B$3,Lists!$C$2:$C$5,0),SUMIFS(Sales_Data!$O$2:$O$3520,Sales_Data!$C$2:$C$3520,$A57,Sales_Data!$H$2:$H$3520,I$14,Sales_Data!$AE$2:$AE$3520,1),SUMIFS(Sales_Data!$M$2:$M$3520,Sales_Data!$C$2:$C$3520,$A57,Sales_Data!$H$2:$H$3520,I$14,Sales_Data!$AE$2:$AE$3520,1),SUMIFS(Sales_Data!$N$2:$N$3520,Sales_Data!$C$2:$C$3520,$A57,Sales_Data!$H$2:$H$3520,I$14,Sales_Data!$AE$2:$AE$3520,1),SUMIFS(Sales_Data!$AE$2:$AE$3520,Sales_Data!$C$2:$C$3520,$A57,Sales_Data!$H$2:$H$3520,I$14))</f>
        <v>0</v>
      </c>
      <c r="J57" s="26" t="n">
        <f aca="false">CHOOSE(MATCH($B$3,Lists!$C$2:$C$5,0),SUMIFS(Sales_Data!$O$2:$O$3520,Sales_Data!$C$2:$C$3520,$A57,Sales_Data!$H$2:$H$3520,J$14,Sales_Data!$AE$2:$AE$3520,1),SUMIFS(Sales_Data!$M$2:$M$3520,Sales_Data!$C$2:$C$3520,$A57,Sales_Data!$H$2:$H$3520,J$14,Sales_Data!$AE$2:$AE$3520,1),SUMIFS(Sales_Data!$N$2:$N$3520,Sales_Data!$C$2:$C$3520,$A57,Sales_Data!$H$2:$H$3520,J$14,Sales_Data!$AE$2:$AE$3520,1),SUMIFS(Sales_Data!$AE$2:$AE$3520,Sales_Data!$C$2:$C$3520,$A57,Sales_Data!$H$2:$H$3520,J$14))</f>
        <v>0</v>
      </c>
      <c r="K57" s="26" t="n">
        <f aca="false">CHOOSE(MATCH($B$3,Lists!$C$2:$C$5,0),SUMIFS(Sales_Data!$O$2:$O$3520,Sales_Data!$C$2:$C$3520,$A57,Sales_Data!$H$2:$H$3520,K$14,Sales_Data!$AE$2:$AE$3520,1),SUMIFS(Sales_Data!$M$2:$M$3520,Sales_Data!$C$2:$C$3520,$A57,Sales_Data!$H$2:$H$3520,K$14,Sales_Data!$AE$2:$AE$3520,1),SUMIFS(Sales_Data!$N$2:$N$3520,Sales_Data!$C$2:$C$3520,$A57,Sales_Data!$H$2:$H$3520,K$14,Sales_Data!$AE$2:$AE$3520,1),SUMIFS(Sales_Data!$AE$2:$AE$3520,Sales_Data!$C$2:$C$3520,$A57,Sales_Data!$H$2:$H$3520,K$14))</f>
        <v>0</v>
      </c>
      <c r="L57" s="26" t="n">
        <f aca="false">CHOOSE(MATCH($B$3,Lists!$C$2:$C$5,0),SUMIFS(Sales_Data!$O$2:$O$3520,Sales_Data!$C$2:$C$3520,$A57,Sales_Data!$H$2:$H$3520,L$14,Sales_Data!$AE$2:$AE$3520,1),SUMIFS(Sales_Data!$M$2:$M$3520,Sales_Data!$C$2:$C$3520,$A57,Sales_Data!$H$2:$H$3520,L$14,Sales_Data!$AE$2:$AE$3520,1),SUMIFS(Sales_Data!$N$2:$N$3520,Sales_Data!$C$2:$C$3520,$A57,Sales_Data!$H$2:$H$3520,L$14,Sales_Data!$AE$2:$AE$3520,1),SUMIFS(Sales_Data!$AE$2:$AE$3520,Sales_Data!$C$2:$C$3520,$A57,Sales_Data!$H$2:$H$3520,L$14))</f>
        <v>6</v>
      </c>
      <c r="M57" s="26" t="n">
        <f aca="false">CHOOSE(MATCH($B$3,Lists!$C$2:$C$5,0),SUMIFS(Sales_Data!$O$2:$O$3520,Sales_Data!$C$2:$C$3520,$A57,Sales_Data!$H$2:$H$3520,M$14,Sales_Data!$AE$2:$AE$3520,1),SUMIFS(Sales_Data!$M$2:$M$3520,Sales_Data!$C$2:$C$3520,$A57,Sales_Data!$H$2:$H$3520,M$14,Sales_Data!$AE$2:$AE$3520,1),SUMIFS(Sales_Data!$N$2:$N$3520,Sales_Data!$C$2:$C$3520,$A57,Sales_Data!$H$2:$H$3520,M$14,Sales_Data!$AE$2:$AE$3520,1),SUMIFS(Sales_Data!$AE$2:$AE$3520,Sales_Data!$C$2:$C$3520,$A57,Sales_Data!$H$2:$H$3520,M$14))</f>
        <v>5</v>
      </c>
      <c r="N57" s="26" t="n">
        <f aca="false">CHOOSE(MATCH($B$3,Lists!$C$2:$C$5,0),SUMIFS(Sales_Data!$O$2:$O$3520,Sales_Data!$C$2:$C$3520,$A57,Sales_Data!$H$2:$H$3520,N$14,Sales_Data!$AE$2:$AE$3520,1),SUMIFS(Sales_Data!$M$2:$M$3520,Sales_Data!$C$2:$C$3520,$A57,Sales_Data!$H$2:$H$3520,N$14,Sales_Data!$AE$2:$AE$3520,1),SUMIFS(Sales_Data!$N$2:$N$3520,Sales_Data!$C$2:$C$3520,$A57,Sales_Data!$H$2:$H$3520,N$14,Sales_Data!$AE$2:$AE$3520,1),SUMIFS(Sales_Data!$AE$2:$AE$3520,Sales_Data!$C$2:$C$3520,$A57,Sales_Data!$H$2:$H$3520,N$14))</f>
        <v>11</v>
      </c>
      <c r="O57" s="26" t="n">
        <f aca="false">CHOOSE(MATCH($B$3,Lists!$C$2:$C$5,0),SUMIFS(Sales_Data!$O$2:$O$3520,Sales_Data!$C$2:$C$3520,$A57,Sales_Data!$H$2:$H$3520,O$14,Sales_Data!$AE$2:$AE$3520,1),SUMIFS(Sales_Data!$M$2:$M$3520,Sales_Data!$C$2:$C$3520,$A57,Sales_Data!$H$2:$H$3520,O$14,Sales_Data!$AE$2:$AE$3520,1),SUMIFS(Sales_Data!$N$2:$N$3520,Sales_Data!$C$2:$C$3520,$A57,Sales_Data!$H$2:$H$3520,O$14,Sales_Data!$AE$2:$AE$3520,1),SUMIFS(Sales_Data!$AE$2:$AE$3520,Sales_Data!$C$2:$C$3520,$A57,Sales_Data!$H$2:$H$3520,O$14))</f>
        <v>0</v>
      </c>
      <c r="P57" s="27" t="n">
        <f aca="false">CHOOSE(MATCH($B$3,Lists!$C$2:$C$5,0),SUMIFS(Sales_Data!$O$2:$O$3520,Sales_Data!$C$2:$C$3520,$A57,Sales_Data!$AE$2:$AE$3520,1),SUMIFS(Sales_Data!$M$2:$M$3520,Sales_Data!$C$2:$C$3520,$A57,Sales_Data!$AE$2:$AE$3520,1),SUMIFS(Sales_Data!$N$2:$N$3520,Sales_Data!$C$2:$C$3520,$A57,Sales_Data!$AE$2:$AE$3520,1),SUMIFS(Sales_Data!$AE$2:$AE$3520,Sales_Data!$C$2:$C$3520,$A57))</f>
        <v>50</v>
      </c>
      <c r="Q57" s="27" t="n">
        <f aca="false">P57-SUM(B57:O57)</f>
        <v>7</v>
      </c>
      <c r="R57" s="3"/>
      <c r="S57" s="72" t="n">
        <f aca="false">A57</f>
        <v>46267</v>
      </c>
      <c r="T57" s="28" t="n">
        <f aca="false">B57-B56</f>
        <v>0</v>
      </c>
      <c r="U57" s="28" t="n">
        <f aca="false">C57-C56</f>
        <v>3</v>
      </c>
      <c r="V57" s="28" t="n">
        <f aca="false">D57-D56</f>
        <v>3</v>
      </c>
      <c r="W57" s="28" t="n">
        <f aca="false">E57-E56</f>
        <v>0</v>
      </c>
      <c r="X57" s="28" t="n">
        <f aca="false">F57-F56</f>
        <v>-4</v>
      </c>
      <c r="Y57" s="28" t="n">
        <f aca="false">G57-G56</f>
        <v>2</v>
      </c>
      <c r="Z57" s="28" t="n">
        <f aca="false">H57-H56</f>
        <v>0</v>
      </c>
      <c r="AA57" s="28" t="n">
        <f aca="false">I57-I56</f>
        <v>0</v>
      </c>
      <c r="AB57" s="28" t="n">
        <f aca="false">J57-J56</f>
        <v>0</v>
      </c>
      <c r="AC57" s="28" t="n">
        <f aca="false">K57-K56</f>
        <v>0</v>
      </c>
      <c r="AD57" s="28" t="n">
        <f aca="false">L57-L56</f>
        <v>-8</v>
      </c>
      <c r="AE57" s="28" t="n">
        <f aca="false">M57-M56</f>
        <v>-3</v>
      </c>
      <c r="AF57" s="28" t="n">
        <f aca="false">N57-N56</f>
        <v>-2</v>
      </c>
      <c r="AG57" s="28" t="n">
        <f aca="false">O57-O56</f>
        <v>0</v>
      </c>
      <c r="AH57" s="28" t="n">
        <f aca="false">P57-P56</f>
        <v>-12</v>
      </c>
    </row>
    <row r="58" customFormat="false" ht="15" hidden="false" customHeight="false" outlineLevel="0" collapsed="false">
      <c r="A58" s="72" t="n">
        <v>46268</v>
      </c>
      <c r="B58" s="26" t="n">
        <f aca="false">CHOOSE(MATCH($B$3,Lists!$C$2:$C$5,0),SUMIFS(Sales_Data!$O$2:$O$3520,Sales_Data!$C$2:$C$3520,$A58,Sales_Data!$H$2:$H$3520,B$14,Sales_Data!$AE$2:$AE$3520,1),SUMIFS(Sales_Data!$M$2:$M$3520,Sales_Data!$C$2:$C$3520,$A58,Sales_Data!$H$2:$H$3520,B$14,Sales_Data!$AE$2:$AE$3520,1),SUMIFS(Sales_Data!$N$2:$N$3520,Sales_Data!$C$2:$C$3520,$A58,Sales_Data!$H$2:$H$3520,B$14,Sales_Data!$AE$2:$AE$3520,1),SUMIFS(Sales_Data!$AE$2:$AE$3520,Sales_Data!$C$2:$C$3520,$A58,Sales_Data!$H$2:$H$3520,B$14))</f>
        <v>0</v>
      </c>
      <c r="C58" s="26" t="n">
        <f aca="false">CHOOSE(MATCH($B$3,Lists!$C$2:$C$5,0),SUMIFS(Sales_Data!$O$2:$O$3520,Sales_Data!$C$2:$C$3520,$A58,Sales_Data!$H$2:$H$3520,C$14,Sales_Data!$AE$2:$AE$3520,1),SUMIFS(Sales_Data!$M$2:$M$3520,Sales_Data!$C$2:$C$3520,$A58,Sales_Data!$H$2:$H$3520,C$14,Sales_Data!$AE$2:$AE$3520,1),SUMIFS(Sales_Data!$N$2:$N$3520,Sales_Data!$C$2:$C$3520,$A58,Sales_Data!$H$2:$H$3520,C$14,Sales_Data!$AE$2:$AE$3520,1),SUMIFS(Sales_Data!$AE$2:$AE$3520,Sales_Data!$C$2:$C$3520,$A58,Sales_Data!$H$2:$H$3520,C$14))</f>
        <v>8</v>
      </c>
      <c r="D58" s="26" t="n">
        <f aca="false">CHOOSE(MATCH($B$3,Lists!$C$2:$C$5,0),SUMIFS(Sales_Data!$O$2:$O$3520,Sales_Data!$C$2:$C$3520,$A58,Sales_Data!$H$2:$H$3520,D$14,Sales_Data!$AE$2:$AE$3520,1),SUMIFS(Sales_Data!$M$2:$M$3520,Sales_Data!$C$2:$C$3520,$A58,Sales_Data!$H$2:$H$3520,D$14,Sales_Data!$AE$2:$AE$3520,1),SUMIFS(Sales_Data!$N$2:$N$3520,Sales_Data!$C$2:$C$3520,$A58,Sales_Data!$H$2:$H$3520,D$14,Sales_Data!$AE$2:$AE$3520,1),SUMIFS(Sales_Data!$AE$2:$AE$3520,Sales_Data!$C$2:$C$3520,$A58,Sales_Data!$H$2:$H$3520,D$14))</f>
        <v>10</v>
      </c>
      <c r="E58" s="26" t="n">
        <f aca="false">CHOOSE(MATCH($B$3,Lists!$C$2:$C$5,0),SUMIFS(Sales_Data!$O$2:$O$3520,Sales_Data!$C$2:$C$3520,$A58,Sales_Data!$H$2:$H$3520,E$14,Sales_Data!$AE$2:$AE$3520,1),SUMIFS(Sales_Data!$M$2:$M$3520,Sales_Data!$C$2:$C$3520,$A58,Sales_Data!$H$2:$H$3520,E$14,Sales_Data!$AE$2:$AE$3520,1),SUMIFS(Sales_Data!$N$2:$N$3520,Sales_Data!$C$2:$C$3520,$A58,Sales_Data!$H$2:$H$3520,E$14,Sales_Data!$AE$2:$AE$3520,1),SUMIFS(Sales_Data!$AE$2:$AE$3520,Sales_Data!$C$2:$C$3520,$A58,Sales_Data!$H$2:$H$3520,E$14))</f>
        <v>0</v>
      </c>
      <c r="F58" s="26" t="n">
        <f aca="false">CHOOSE(MATCH($B$3,Lists!$C$2:$C$5,0),SUMIFS(Sales_Data!$O$2:$O$3520,Sales_Data!$C$2:$C$3520,$A58,Sales_Data!$H$2:$H$3520,F$14,Sales_Data!$AE$2:$AE$3520,1),SUMIFS(Sales_Data!$M$2:$M$3520,Sales_Data!$C$2:$C$3520,$A58,Sales_Data!$H$2:$H$3520,F$14,Sales_Data!$AE$2:$AE$3520,1),SUMIFS(Sales_Data!$N$2:$N$3520,Sales_Data!$C$2:$C$3520,$A58,Sales_Data!$H$2:$H$3520,F$14,Sales_Data!$AE$2:$AE$3520,1),SUMIFS(Sales_Data!$AE$2:$AE$3520,Sales_Data!$C$2:$C$3520,$A58,Sales_Data!$H$2:$H$3520,F$14))</f>
        <v>13</v>
      </c>
      <c r="G58" s="26" t="n">
        <f aca="false">CHOOSE(MATCH($B$3,Lists!$C$2:$C$5,0),SUMIFS(Sales_Data!$O$2:$O$3520,Sales_Data!$C$2:$C$3520,$A58,Sales_Data!$H$2:$H$3520,G$14,Sales_Data!$AE$2:$AE$3520,1),SUMIFS(Sales_Data!$M$2:$M$3520,Sales_Data!$C$2:$C$3520,$A58,Sales_Data!$H$2:$H$3520,G$14,Sales_Data!$AE$2:$AE$3520,1),SUMIFS(Sales_Data!$N$2:$N$3520,Sales_Data!$C$2:$C$3520,$A58,Sales_Data!$H$2:$H$3520,G$14,Sales_Data!$AE$2:$AE$3520,1),SUMIFS(Sales_Data!$AE$2:$AE$3520,Sales_Data!$C$2:$C$3520,$A58,Sales_Data!$H$2:$H$3520,G$14))</f>
        <v>6</v>
      </c>
      <c r="H58" s="26" t="n">
        <f aca="false">CHOOSE(MATCH($B$3,Lists!$C$2:$C$5,0),SUMIFS(Sales_Data!$O$2:$O$3520,Sales_Data!$C$2:$C$3520,$A58,Sales_Data!$H$2:$H$3520,H$14,Sales_Data!$AE$2:$AE$3520,1),SUMIFS(Sales_Data!$M$2:$M$3520,Sales_Data!$C$2:$C$3520,$A58,Sales_Data!$H$2:$H$3520,H$14,Sales_Data!$AE$2:$AE$3520,1),SUMIFS(Sales_Data!$N$2:$N$3520,Sales_Data!$C$2:$C$3520,$A58,Sales_Data!$H$2:$H$3520,H$14,Sales_Data!$AE$2:$AE$3520,1),SUMIFS(Sales_Data!$AE$2:$AE$3520,Sales_Data!$C$2:$C$3520,$A58,Sales_Data!$H$2:$H$3520,H$14))</f>
        <v>0</v>
      </c>
      <c r="I58" s="26" t="n">
        <f aca="false">CHOOSE(MATCH($B$3,Lists!$C$2:$C$5,0),SUMIFS(Sales_Data!$O$2:$O$3520,Sales_Data!$C$2:$C$3520,$A58,Sales_Data!$H$2:$H$3520,I$14,Sales_Data!$AE$2:$AE$3520,1),SUMIFS(Sales_Data!$M$2:$M$3520,Sales_Data!$C$2:$C$3520,$A58,Sales_Data!$H$2:$H$3520,I$14,Sales_Data!$AE$2:$AE$3520,1),SUMIFS(Sales_Data!$N$2:$N$3520,Sales_Data!$C$2:$C$3520,$A58,Sales_Data!$H$2:$H$3520,I$14,Sales_Data!$AE$2:$AE$3520,1),SUMIFS(Sales_Data!$AE$2:$AE$3520,Sales_Data!$C$2:$C$3520,$A58,Sales_Data!$H$2:$H$3520,I$14))</f>
        <v>0</v>
      </c>
      <c r="J58" s="26" t="n">
        <f aca="false">CHOOSE(MATCH($B$3,Lists!$C$2:$C$5,0),SUMIFS(Sales_Data!$O$2:$O$3520,Sales_Data!$C$2:$C$3520,$A58,Sales_Data!$H$2:$H$3520,J$14,Sales_Data!$AE$2:$AE$3520,1),SUMIFS(Sales_Data!$M$2:$M$3520,Sales_Data!$C$2:$C$3520,$A58,Sales_Data!$H$2:$H$3520,J$14,Sales_Data!$AE$2:$AE$3520,1),SUMIFS(Sales_Data!$N$2:$N$3520,Sales_Data!$C$2:$C$3520,$A58,Sales_Data!$H$2:$H$3520,J$14,Sales_Data!$AE$2:$AE$3520,1),SUMIFS(Sales_Data!$AE$2:$AE$3520,Sales_Data!$C$2:$C$3520,$A58,Sales_Data!$H$2:$H$3520,J$14))</f>
        <v>0</v>
      </c>
      <c r="K58" s="26" t="n">
        <f aca="false">CHOOSE(MATCH($B$3,Lists!$C$2:$C$5,0),SUMIFS(Sales_Data!$O$2:$O$3520,Sales_Data!$C$2:$C$3520,$A58,Sales_Data!$H$2:$H$3520,K$14,Sales_Data!$AE$2:$AE$3520,1),SUMIFS(Sales_Data!$M$2:$M$3520,Sales_Data!$C$2:$C$3520,$A58,Sales_Data!$H$2:$H$3520,K$14,Sales_Data!$AE$2:$AE$3520,1),SUMIFS(Sales_Data!$N$2:$N$3520,Sales_Data!$C$2:$C$3520,$A58,Sales_Data!$H$2:$H$3520,K$14,Sales_Data!$AE$2:$AE$3520,1),SUMIFS(Sales_Data!$AE$2:$AE$3520,Sales_Data!$C$2:$C$3520,$A58,Sales_Data!$H$2:$H$3520,K$14))</f>
        <v>0</v>
      </c>
      <c r="L58" s="26" t="n">
        <f aca="false">CHOOSE(MATCH($B$3,Lists!$C$2:$C$5,0),SUMIFS(Sales_Data!$O$2:$O$3520,Sales_Data!$C$2:$C$3520,$A58,Sales_Data!$H$2:$H$3520,L$14,Sales_Data!$AE$2:$AE$3520,1),SUMIFS(Sales_Data!$M$2:$M$3520,Sales_Data!$C$2:$C$3520,$A58,Sales_Data!$H$2:$H$3520,L$14,Sales_Data!$AE$2:$AE$3520,1),SUMIFS(Sales_Data!$N$2:$N$3520,Sales_Data!$C$2:$C$3520,$A58,Sales_Data!$H$2:$H$3520,L$14,Sales_Data!$AE$2:$AE$3520,1),SUMIFS(Sales_Data!$AE$2:$AE$3520,Sales_Data!$C$2:$C$3520,$A58,Sales_Data!$H$2:$H$3520,L$14))</f>
        <v>11</v>
      </c>
      <c r="M58" s="26" t="n">
        <f aca="false">CHOOSE(MATCH($B$3,Lists!$C$2:$C$5,0),SUMIFS(Sales_Data!$O$2:$O$3520,Sales_Data!$C$2:$C$3520,$A58,Sales_Data!$H$2:$H$3520,M$14,Sales_Data!$AE$2:$AE$3520,1),SUMIFS(Sales_Data!$M$2:$M$3520,Sales_Data!$C$2:$C$3520,$A58,Sales_Data!$H$2:$H$3520,M$14,Sales_Data!$AE$2:$AE$3520,1),SUMIFS(Sales_Data!$N$2:$N$3520,Sales_Data!$C$2:$C$3520,$A58,Sales_Data!$H$2:$H$3520,M$14,Sales_Data!$AE$2:$AE$3520,1),SUMIFS(Sales_Data!$AE$2:$AE$3520,Sales_Data!$C$2:$C$3520,$A58,Sales_Data!$H$2:$H$3520,M$14))</f>
        <v>3</v>
      </c>
      <c r="N58" s="26" t="n">
        <f aca="false">CHOOSE(MATCH($B$3,Lists!$C$2:$C$5,0),SUMIFS(Sales_Data!$O$2:$O$3520,Sales_Data!$C$2:$C$3520,$A58,Sales_Data!$H$2:$H$3520,N$14,Sales_Data!$AE$2:$AE$3520,1),SUMIFS(Sales_Data!$M$2:$M$3520,Sales_Data!$C$2:$C$3520,$A58,Sales_Data!$H$2:$H$3520,N$14,Sales_Data!$AE$2:$AE$3520,1),SUMIFS(Sales_Data!$N$2:$N$3520,Sales_Data!$C$2:$C$3520,$A58,Sales_Data!$H$2:$H$3520,N$14,Sales_Data!$AE$2:$AE$3520,1),SUMIFS(Sales_Data!$AE$2:$AE$3520,Sales_Data!$C$2:$C$3520,$A58,Sales_Data!$H$2:$H$3520,N$14))</f>
        <v>14</v>
      </c>
      <c r="O58" s="26" t="n">
        <f aca="false">CHOOSE(MATCH($B$3,Lists!$C$2:$C$5,0),SUMIFS(Sales_Data!$O$2:$O$3520,Sales_Data!$C$2:$C$3520,$A58,Sales_Data!$H$2:$H$3520,O$14,Sales_Data!$AE$2:$AE$3520,1),SUMIFS(Sales_Data!$M$2:$M$3520,Sales_Data!$C$2:$C$3520,$A58,Sales_Data!$H$2:$H$3520,O$14,Sales_Data!$AE$2:$AE$3520,1),SUMIFS(Sales_Data!$N$2:$N$3520,Sales_Data!$C$2:$C$3520,$A58,Sales_Data!$H$2:$H$3520,O$14,Sales_Data!$AE$2:$AE$3520,1),SUMIFS(Sales_Data!$AE$2:$AE$3520,Sales_Data!$C$2:$C$3520,$A58,Sales_Data!$H$2:$H$3520,O$14))</f>
        <v>0</v>
      </c>
      <c r="P58" s="27" t="n">
        <f aca="false">CHOOSE(MATCH($B$3,Lists!$C$2:$C$5,0),SUMIFS(Sales_Data!$O$2:$O$3520,Sales_Data!$C$2:$C$3520,$A58,Sales_Data!$AE$2:$AE$3520,1),SUMIFS(Sales_Data!$M$2:$M$3520,Sales_Data!$C$2:$C$3520,$A58,Sales_Data!$AE$2:$AE$3520,1),SUMIFS(Sales_Data!$N$2:$N$3520,Sales_Data!$C$2:$C$3520,$A58,Sales_Data!$AE$2:$AE$3520,1),SUMIFS(Sales_Data!$AE$2:$AE$3520,Sales_Data!$C$2:$C$3520,$A58))</f>
        <v>66</v>
      </c>
      <c r="Q58" s="27" t="n">
        <f aca="false">P58-SUM(B58:O58)</f>
        <v>1</v>
      </c>
      <c r="R58" s="3"/>
      <c r="S58" s="72" t="n">
        <f aca="false">A58</f>
        <v>46268</v>
      </c>
      <c r="T58" s="28" t="n">
        <f aca="false">B58-B57</f>
        <v>0</v>
      </c>
      <c r="U58" s="28" t="n">
        <f aca="false">C58-C57</f>
        <v>2</v>
      </c>
      <c r="V58" s="28" t="n">
        <f aca="false">D58-D57</f>
        <v>3</v>
      </c>
      <c r="W58" s="28" t="n">
        <f aca="false">E58-E57</f>
        <v>0</v>
      </c>
      <c r="X58" s="28" t="n">
        <f aca="false">F58-F57</f>
        <v>8</v>
      </c>
      <c r="Y58" s="28" t="n">
        <f aca="false">G58-G57</f>
        <v>3</v>
      </c>
      <c r="Z58" s="28" t="n">
        <f aca="false">H58-H57</f>
        <v>0</v>
      </c>
      <c r="AA58" s="28" t="n">
        <f aca="false">I58-I57</f>
        <v>0</v>
      </c>
      <c r="AB58" s="28" t="n">
        <f aca="false">J58-J57</f>
        <v>0</v>
      </c>
      <c r="AC58" s="28" t="n">
        <f aca="false">K58-K57</f>
        <v>0</v>
      </c>
      <c r="AD58" s="28" t="n">
        <f aca="false">L58-L57</f>
        <v>5</v>
      </c>
      <c r="AE58" s="28" t="n">
        <f aca="false">M58-M57</f>
        <v>-2</v>
      </c>
      <c r="AF58" s="28" t="n">
        <f aca="false">N58-N57</f>
        <v>3</v>
      </c>
      <c r="AG58" s="28" t="n">
        <f aca="false">O58-O57</f>
        <v>0</v>
      </c>
      <c r="AH58" s="28" t="n">
        <f aca="false">P58-P57</f>
        <v>16</v>
      </c>
    </row>
    <row r="59" customFormat="false" ht="15" hidden="false" customHeight="false" outlineLevel="0" collapsed="false">
      <c r="A59" s="72" t="n">
        <v>46269</v>
      </c>
      <c r="B59" s="26" t="n">
        <f aca="false">CHOOSE(MATCH($B$3,Lists!$C$2:$C$5,0),SUMIFS(Sales_Data!$O$2:$O$3520,Sales_Data!$C$2:$C$3520,$A59,Sales_Data!$H$2:$H$3520,B$14,Sales_Data!$AE$2:$AE$3520,1),SUMIFS(Sales_Data!$M$2:$M$3520,Sales_Data!$C$2:$C$3520,$A59,Sales_Data!$H$2:$H$3520,B$14,Sales_Data!$AE$2:$AE$3520,1),SUMIFS(Sales_Data!$N$2:$N$3520,Sales_Data!$C$2:$C$3520,$A59,Sales_Data!$H$2:$H$3520,B$14,Sales_Data!$AE$2:$AE$3520,1),SUMIFS(Sales_Data!$AE$2:$AE$3520,Sales_Data!$C$2:$C$3520,$A59,Sales_Data!$H$2:$H$3520,B$14))</f>
        <v>0</v>
      </c>
      <c r="C59" s="26" t="n">
        <f aca="false">CHOOSE(MATCH($B$3,Lists!$C$2:$C$5,0),SUMIFS(Sales_Data!$O$2:$O$3520,Sales_Data!$C$2:$C$3520,$A59,Sales_Data!$H$2:$H$3520,C$14,Sales_Data!$AE$2:$AE$3520,1),SUMIFS(Sales_Data!$M$2:$M$3520,Sales_Data!$C$2:$C$3520,$A59,Sales_Data!$H$2:$H$3520,C$14,Sales_Data!$AE$2:$AE$3520,1),SUMIFS(Sales_Data!$N$2:$N$3520,Sales_Data!$C$2:$C$3520,$A59,Sales_Data!$H$2:$H$3520,C$14,Sales_Data!$AE$2:$AE$3520,1),SUMIFS(Sales_Data!$AE$2:$AE$3520,Sales_Data!$C$2:$C$3520,$A59,Sales_Data!$H$2:$H$3520,C$14))</f>
        <v>9</v>
      </c>
      <c r="D59" s="26" t="n">
        <f aca="false">CHOOSE(MATCH($B$3,Lists!$C$2:$C$5,0),SUMIFS(Sales_Data!$O$2:$O$3520,Sales_Data!$C$2:$C$3520,$A59,Sales_Data!$H$2:$H$3520,D$14,Sales_Data!$AE$2:$AE$3520,1),SUMIFS(Sales_Data!$M$2:$M$3520,Sales_Data!$C$2:$C$3520,$A59,Sales_Data!$H$2:$H$3520,D$14,Sales_Data!$AE$2:$AE$3520,1),SUMIFS(Sales_Data!$N$2:$N$3520,Sales_Data!$C$2:$C$3520,$A59,Sales_Data!$H$2:$H$3520,D$14,Sales_Data!$AE$2:$AE$3520,1),SUMIFS(Sales_Data!$AE$2:$AE$3520,Sales_Data!$C$2:$C$3520,$A59,Sales_Data!$H$2:$H$3520,D$14))</f>
        <v>3</v>
      </c>
      <c r="E59" s="26" t="n">
        <f aca="false">CHOOSE(MATCH($B$3,Lists!$C$2:$C$5,0),SUMIFS(Sales_Data!$O$2:$O$3520,Sales_Data!$C$2:$C$3520,$A59,Sales_Data!$H$2:$H$3520,E$14,Sales_Data!$AE$2:$AE$3520,1),SUMIFS(Sales_Data!$M$2:$M$3520,Sales_Data!$C$2:$C$3520,$A59,Sales_Data!$H$2:$H$3520,E$14,Sales_Data!$AE$2:$AE$3520,1),SUMIFS(Sales_Data!$N$2:$N$3520,Sales_Data!$C$2:$C$3520,$A59,Sales_Data!$H$2:$H$3520,E$14,Sales_Data!$AE$2:$AE$3520,1),SUMIFS(Sales_Data!$AE$2:$AE$3520,Sales_Data!$C$2:$C$3520,$A59,Sales_Data!$H$2:$H$3520,E$14))</f>
        <v>0</v>
      </c>
      <c r="F59" s="26" t="n">
        <f aca="false">CHOOSE(MATCH($B$3,Lists!$C$2:$C$5,0),SUMIFS(Sales_Data!$O$2:$O$3520,Sales_Data!$C$2:$C$3520,$A59,Sales_Data!$H$2:$H$3520,F$14,Sales_Data!$AE$2:$AE$3520,1),SUMIFS(Sales_Data!$M$2:$M$3520,Sales_Data!$C$2:$C$3520,$A59,Sales_Data!$H$2:$H$3520,F$14,Sales_Data!$AE$2:$AE$3520,1),SUMIFS(Sales_Data!$N$2:$N$3520,Sales_Data!$C$2:$C$3520,$A59,Sales_Data!$H$2:$H$3520,F$14,Sales_Data!$AE$2:$AE$3520,1),SUMIFS(Sales_Data!$AE$2:$AE$3520,Sales_Data!$C$2:$C$3520,$A59,Sales_Data!$H$2:$H$3520,F$14))</f>
        <v>6</v>
      </c>
      <c r="G59" s="26" t="n">
        <f aca="false">CHOOSE(MATCH($B$3,Lists!$C$2:$C$5,0),SUMIFS(Sales_Data!$O$2:$O$3520,Sales_Data!$C$2:$C$3520,$A59,Sales_Data!$H$2:$H$3520,G$14,Sales_Data!$AE$2:$AE$3520,1),SUMIFS(Sales_Data!$M$2:$M$3520,Sales_Data!$C$2:$C$3520,$A59,Sales_Data!$H$2:$H$3520,G$14,Sales_Data!$AE$2:$AE$3520,1),SUMIFS(Sales_Data!$N$2:$N$3520,Sales_Data!$C$2:$C$3520,$A59,Sales_Data!$H$2:$H$3520,G$14,Sales_Data!$AE$2:$AE$3520,1),SUMIFS(Sales_Data!$AE$2:$AE$3520,Sales_Data!$C$2:$C$3520,$A59,Sales_Data!$H$2:$H$3520,G$14))</f>
        <v>3</v>
      </c>
      <c r="H59" s="26" t="n">
        <f aca="false">CHOOSE(MATCH($B$3,Lists!$C$2:$C$5,0),SUMIFS(Sales_Data!$O$2:$O$3520,Sales_Data!$C$2:$C$3520,$A59,Sales_Data!$H$2:$H$3520,H$14,Sales_Data!$AE$2:$AE$3520,1),SUMIFS(Sales_Data!$M$2:$M$3520,Sales_Data!$C$2:$C$3520,$A59,Sales_Data!$H$2:$H$3520,H$14,Sales_Data!$AE$2:$AE$3520,1),SUMIFS(Sales_Data!$N$2:$N$3520,Sales_Data!$C$2:$C$3520,$A59,Sales_Data!$H$2:$H$3520,H$14,Sales_Data!$AE$2:$AE$3520,1),SUMIFS(Sales_Data!$AE$2:$AE$3520,Sales_Data!$C$2:$C$3520,$A59,Sales_Data!$H$2:$H$3520,H$14))</f>
        <v>0</v>
      </c>
      <c r="I59" s="26" t="n">
        <f aca="false">CHOOSE(MATCH($B$3,Lists!$C$2:$C$5,0),SUMIFS(Sales_Data!$O$2:$O$3520,Sales_Data!$C$2:$C$3520,$A59,Sales_Data!$H$2:$H$3520,I$14,Sales_Data!$AE$2:$AE$3520,1),SUMIFS(Sales_Data!$M$2:$M$3520,Sales_Data!$C$2:$C$3520,$A59,Sales_Data!$H$2:$H$3520,I$14,Sales_Data!$AE$2:$AE$3520,1),SUMIFS(Sales_Data!$N$2:$N$3520,Sales_Data!$C$2:$C$3520,$A59,Sales_Data!$H$2:$H$3520,I$14,Sales_Data!$AE$2:$AE$3520,1),SUMIFS(Sales_Data!$AE$2:$AE$3520,Sales_Data!$C$2:$C$3520,$A59,Sales_Data!$H$2:$H$3520,I$14))</f>
        <v>0</v>
      </c>
      <c r="J59" s="26" t="n">
        <f aca="false">CHOOSE(MATCH($B$3,Lists!$C$2:$C$5,0),SUMIFS(Sales_Data!$O$2:$O$3520,Sales_Data!$C$2:$C$3520,$A59,Sales_Data!$H$2:$H$3520,J$14,Sales_Data!$AE$2:$AE$3520,1),SUMIFS(Sales_Data!$M$2:$M$3520,Sales_Data!$C$2:$C$3520,$A59,Sales_Data!$H$2:$H$3520,J$14,Sales_Data!$AE$2:$AE$3520,1),SUMIFS(Sales_Data!$N$2:$N$3520,Sales_Data!$C$2:$C$3520,$A59,Sales_Data!$H$2:$H$3520,J$14,Sales_Data!$AE$2:$AE$3520,1),SUMIFS(Sales_Data!$AE$2:$AE$3520,Sales_Data!$C$2:$C$3520,$A59,Sales_Data!$H$2:$H$3520,J$14))</f>
        <v>7</v>
      </c>
      <c r="K59" s="26" t="n">
        <f aca="false">CHOOSE(MATCH($B$3,Lists!$C$2:$C$5,0),SUMIFS(Sales_Data!$O$2:$O$3520,Sales_Data!$C$2:$C$3520,$A59,Sales_Data!$H$2:$H$3520,K$14,Sales_Data!$AE$2:$AE$3520,1),SUMIFS(Sales_Data!$M$2:$M$3520,Sales_Data!$C$2:$C$3520,$A59,Sales_Data!$H$2:$H$3520,K$14,Sales_Data!$AE$2:$AE$3520,1),SUMIFS(Sales_Data!$N$2:$N$3520,Sales_Data!$C$2:$C$3520,$A59,Sales_Data!$H$2:$H$3520,K$14,Sales_Data!$AE$2:$AE$3520,1),SUMIFS(Sales_Data!$AE$2:$AE$3520,Sales_Data!$C$2:$C$3520,$A59,Sales_Data!$H$2:$H$3520,K$14))</f>
        <v>0</v>
      </c>
      <c r="L59" s="26" t="n">
        <f aca="false">CHOOSE(MATCH($B$3,Lists!$C$2:$C$5,0),SUMIFS(Sales_Data!$O$2:$O$3520,Sales_Data!$C$2:$C$3520,$A59,Sales_Data!$H$2:$H$3520,L$14,Sales_Data!$AE$2:$AE$3520,1),SUMIFS(Sales_Data!$M$2:$M$3520,Sales_Data!$C$2:$C$3520,$A59,Sales_Data!$H$2:$H$3520,L$14,Sales_Data!$AE$2:$AE$3520,1),SUMIFS(Sales_Data!$N$2:$N$3520,Sales_Data!$C$2:$C$3520,$A59,Sales_Data!$H$2:$H$3520,L$14,Sales_Data!$AE$2:$AE$3520,1),SUMIFS(Sales_Data!$AE$2:$AE$3520,Sales_Data!$C$2:$C$3520,$A59,Sales_Data!$H$2:$H$3520,L$14))</f>
        <v>11</v>
      </c>
      <c r="M59" s="26" t="n">
        <f aca="false">CHOOSE(MATCH($B$3,Lists!$C$2:$C$5,0),SUMIFS(Sales_Data!$O$2:$O$3520,Sales_Data!$C$2:$C$3520,$A59,Sales_Data!$H$2:$H$3520,M$14,Sales_Data!$AE$2:$AE$3520,1),SUMIFS(Sales_Data!$M$2:$M$3520,Sales_Data!$C$2:$C$3520,$A59,Sales_Data!$H$2:$H$3520,M$14,Sales_Data!$AE$2:$AE$3520,1),SUMIFS(Sales_Data!$N$2:$N$3520,Sales_Data!$C$2:$C$3520,$A59,Sales_Data!$H$2:$H$3520,M$14,Sales_Data!$AE$2:$AE$3520,1),SUMIFS(Sales_Data!$AE$2:$AE$3520,Sales_Data!$C$2:$C$3520,$A59,Sales_Data!$H$2:$H$3520,M$14))</f>
        <v>9</v>
      </c>
      <c r="N59" s="26" t="n">
        <f aca="false">CHOOSE(MATCH($B$3,Lists!$C$2:$C$5,0),SUMIFS(Sales_Data!$O$2:$O$3520,Sales_Data!$C$2:$C$3520,$A59,Sales_Data!$H$2:$H$3520,N$14,Sales_Data!$AE$2:$AE$3520,1),SUMIFS(Sales_Data!$M$2:$M$3520,Sales_Data!$C$2:$C$3520,$A59,Sales_Data!$H$2:$H$3520,N$14,Sales_Data!$AE$2:$AE$3520,1),SUMIFS(Sales_Data!$N$2:$N$3520,Sales_Data!$C$2:$C$3520,$A59,Sales_Data!$H$2:$H$3520,N$14,Sales_Data!$AE$2:$AE$3520,1),SUMIFS(Sales_Data!$AE$2:$AE$3520,Sales_Data!$C$2:$C$3520,$A59,Sales_Data!$H$2:$H$3520,N$14))</f>
        <v>9</v>
      </c>
      <c r="O59" s="26" t="n">
        <f aca="false">CHOOSE(MATCH($B$3,Lists!$C$2:$C$5,0),SUMIFS(Sales_Data!$O$2:$O$3520,Sales_Data!$C$2:$C$3520,$A59,Sales_Data!$H$2:$H$3520,O$14,Sales_Data!$AE$2:$AE$3520,1),SUMIFS(Sales_Data!$M$2:$M$3520,Sales_Data!$C$2:$C$3520,$A59,Sales_Data!$H$2:$H$3520,O$14,Sales_Data!$AE$2:$AE$3520,1),SUMIFS(Sales_Data!$N$2:$N$3520,Sales_Data!$C$2:$C$3520,$A59,Sales_Data!$H$2:$H$3520,O$14,Sales_Data!$AE$2:$AE$3520,1),SUMIFS(Sales_Data!$AE$2:$AE$3520,Sales_Data!$C$2:$C$3520,$A59,Sales_Data!$H$2:$H$3520,O$14))</f>
        <v>0</v>
      </c>
      <c r="P59" s="27" t="n">
        <f aca="false">CHOOSE(MATCH($B$3,Lists!$C$2:$C$5,0),SUMIFS(Sales_Data!$O$2:$O$3520,Sales_Data!$C$2:$C$3520,$A59,Sales_Data!$AE$2:$AE$3520,1),SUMIFS(Sales_Data!$M$2:$M$3520,Sales_Data!$C$2:$C$3520,$A59,Sales_Data!$AE$2:$AE$3520,1),SUMIFS(Sales_Data!$N$2:$N$3520,Sales_Data!$C$2:$C$3520,$A59,Sales_Data!$AE$2:$AE$3520,1),SUMIFS(Sales_Data!$AE$2:$AE$3520,Sales_Data!$C$2:$C$3520,$A59))</f>
        <v>59</v>
      </c>
      <c r="Q59" s="27" t="n">
        <f aca="false">P59-SUM(B59:O59)</f>
        <v>2</v>
      </c>
      <c r="R59" s="3"/>
      <c r="S59" s="72" t="n">
        <f aca="false">A59</f>
        <v>46269</v>
      </c>
      <c r="T59" s="28" t="n">
        <f aca="false">B59-B58</f>
        <v>0</v>
      </c>
      <c r="U59" s="28" t="n">
        <f aca="false">C59-C58</f>
        <v>1</v>
      </c>
      <c r="V59" s="28" t="n">
        <f aca="false">D59-D58</f>
        <v>-7</v>
      </c>
      <c r="W59" s="28" t="n">
        <f aca="false">E59-E58</f>
        <v>0</v>
      </c>
      <c r="X59" s="28" t="n">
        <f aca="false">F59-F58</f>
        <v>-7</v>
      </c>
      <c r="Y59" s="28" t="n">
        <f aca="false">G59-G58</f>
        <v>-3</v>
      </c>
      <c r="Z59" s="28" t="n">
        <f aca="false">H59-H58</f>
        <v>0</v>
      </c>
      <c r="AA59" s="28" t="n">
        <f aca="false">I59-I58</f>
        <v>0</v>
      </c>
      <c r="AB59" s="28" t="n">
        <f aca="false">J59-J58</f>
        <v>7</v>
      </c>
      <c r="AC59" s="28" t="n">
        <f aca="false">K59-K58</f>
        <v>0</v>
      </c>
      <c r="AD59" s="28" t="n">
        <f aca="false">L59-L58</f>
        <v>0</v>
      </c>
      <c r="AE59" s="28" t="n">
        <f aca="false">M59-M58</f>
        <v>6</v>
      </c>
      <c r="AF59" s="28" t="n">
        <f aca="false">N59-N58</f>
        <v>-5</v>
      </c>
      <c r="AG59" s="28" t="n">
        <f aca="false">O59-O58</f>
        <v>0</v>
      </c>
      <c r="AH59" s="28" t="n">
        <f aca="false">P59-P58</f>
        <v>-7</v>
      </c>
    </row>
    <row r="60" customFormat="false" ht="15" hidden="false" customHeight="false" outlineLevel="0" collapsed="false">
      <c r="A60" s="72" t="n">
        <v>46270</v>
      </c>
      <c r="B60" s="26" t="n">
        <f aca="false">CHOOSE(MATCH($B$3,Lists!$C$2:$C$5,0),SUMIFS(Sales_Data!$O$2:$O$3520,Sales_Data!$C$2:$C$3520,$A60,Sales_Data!$H$2:$H$3520,B$14,Sales_Data!$AE$2:$AE$3520,1),SUMIFS(Sales_Data!$M$2:$M$3520,Sales_Data!$C$2:$C$3520,$A60,Sales_Data!$H$2:$H$3520,B$14,Sales_Data!$AE$2:$AE$3520,1),SUMIFS(Sales_Data!$N$2:$N$3520,Sales_Data!$C$2:$C$3520,$A60,Sales_Data!$H$2:$H$3520,B$14,Sales_Data!$AE$2:$AE$3520,1),SUMIFS(Sales_Data!$AE$2:$AE$3520,Sales_Data!$C$2:$C$3520,$A60,Sales_Data!$H$2:$H$3520,B$14))</f>
        <v>0</v>
      </c>
      <c r="C60" s="26" t="n">
        <f aca="false">CHOOSE(MATCH($B$3,Lists!$C$2:$C$5,0),SUMIFS(Sales_Data!$O$2:$O$3520,Sales_Data!$C$2:$C$3520,$A60,Sales_Data!$H$2:$H$3520,C$14,Sales_Data!$AE$2:$AE$3520,1),SUMIFS(Sales_Data!$M$2:$M$3520,Sales_Data!$C$2:$C$3520,$A60,Sales_Data!$H$2:$H$3520,C$14,Sales_Data!$AE$2:$AE$3520,1),SUMIFS(Sales_Data!$N$2:$N$3520,Sales_Data!$C$2:$C$3520,$A60,Sales_Data!$H$2:$H$3520,C$14,Sales_Data!$AE$2:$AE$3520,1),SUMIFS(Sales_Data!$AE$2:$AE$3520,Sales_Data!$C$2:$C$3520,$A60,Sales_Data!$H$2:$H$3520,C$14))</f>
        <v>4</v>
      </c>
      <c r="D60" s="26" t="n">
        <f aca="false">CHOOSE(MATCH($B$3,Lists!$C$2:$C$5,0),SUMIFS(Sales_Data!$O$2:$O$3520,Sales_Data!$C$2:$C$3520,$A60,Sales_Data!$H$2:$H$3520,D$14,Sales_Data!$AE$2:$AE$3520,1),SUMIFS(Sales_Data!$M$2:$M$3520,Sales_Data!$C$2:$C$3520,$A60,Sales_Data!$H$2:$H$3520,D$14,Sales_Data!$AE$2:$AE$3520,1),SUMIFS(Sales_Data!$N$2:$N$3520,Sales_Data!$C$2:$C$3520,$A60,Sales_Data!$H$2:$H$3520,D$14,Sales_Data!$AE$2:$AE$3520,1),SUMIFS(Sales_Data!$AE$2:$AE$3520,Sales_Data!$C$2:$C$3520,$A60,Sales_Data!$H$2:$H$3520,D$14))</f>
        <v>5</v>
      </c>
      <c r="E60" s="26" t="n">
        <f aca="false">CHOOSE(MATCH($B$3,Lists!$C$2:$C$5,0),SUMIFS(Sales_Data!$O$2:$O$3520,Sales_Data!$C$2:$C$3520,$A60,Sales_Data!$H$2:$H$3520,E$14,Sales_Data!$AE$2:$AE$3520,1),SUMIFS(Sales_Data!$M$2:$M$3520,Sales_Data!$C$2:$C$3520,$A60,Sales_Data!$H$2:$H$3520,E$14,Sales_Data!$AE$2:$AE$3520,1),SUMIFS(Sales_Data!$N$2:$N$3520,Sales_Data!$C$2:$C$3520,$A60,Sales_Data!$H$2:$H$3520,E$14,Sales_Data!$AE$2:$AE$3520,1),SUMIFS(Sales_Data!$AE$2:$AE$3520,Sales_Data!$C$2:$C$3520,$A60,Sales_Data!$H$2:$H$3520,E$14))</f>
        <v>0</v>
      </c>
      <c r="F60" s="26" t="n">
        <f aca="false">CHOOSE(MATCH($B$3,Lists!$C$2:$C$5,0),SUMIFS(Sales_Data!$O$2:$O$3520,Sales_Data!$C$2:$C$3520,$A60,Sales_Data!$H$2:$H$3520,F$14,Sales_Data!$AE$2:$AE$3520,1),SUMIFS(Sales_Data!$M$2:$M$3520,Sales_Data!$C$2:$C$3520,$A60,Sales_Data!$H$2:$H$3520,F$14,Sales_Data!$AE$2:$AE$3520,1),SUMIFS(Sales_Data!$N$2:$N$3520,Sales_Data!$C$2:$C$3520,$A60,Sales_Data!$H$2:$H$3520,F$14,Sales_Data!$AE$2:$AE$3520,1),SUMIFS(Sales_Data!$AE$2:$AE$3520,Sales_Data!$C$2:$C$3520,$A60,Sales_Data!$H$2:$H$3520,F$14))</f>
        <v>3</v>
      </c>
      <c r="G60" s="26" t="n">
        <f aca="false">CHOOSE(MATCH($B$3,Lists!$C$2:$C$5,0),SUMIFS(Sales_Data!$O$2:$O$3520,Sales_Data!$C$2:$C$3520,$A60,Sales_Data!$H$2:$H$3520,G$14,Sales_Data!$AE$2:$AE$3520,1),SUMIFS(Sales_Data!$M$2:$M$3520,Sales_Data!$C$2:$C$3520,$A60,Sales_Data!$H$2:$H$3520,G$14,Sales_Data!$AE$2:$AE$3520,1),SUMIFS(Sales_Data!$N$2:$N$3520,Sales_Data!$C$2:$C$3520,$A60,Sales_Data!$H$2:$H$3520,G$14,Sales_Data!$AE$2:$AE$3520,1),SUMIFS(Sales_Data!$AE$2:$AE$3520,Sales_Data!$C$2:$C$3520,$A60,Sales_Data!$H$2:$H$3520,G$14))</f>
        <v>3</v>
      </c>
      <c r="H60" s="26" t="n">
        <f aca="false">CHOOSE(MATCH($B$3,Lists!$C$2:$C$5,0),SUMIFS(Sales_Data!$O$2:$O$3520,Sales_Data!$C$2:$C$3520,$A60,Sales_Data!$H$2:$H$3520,H$14,Sales_Data!$AE$2:$AE$3520,1),SUMIFS(Sales_Data!$M$2:$M$3520,Sales_Data!$C$2:$C$3520,$A60,Sales_Data!$H$2:$H$3520,H$14,Sales_Data!$AE$2:$AE$3520,1),SUMIFS(Sales_Data!$N$2:$N$3520,Sales_Data!$C$2:$C$3520,$A60,Sales_Data!$H$2:$H$3520,H$14,Sales_Data!$AE$2:$AE$3520,1),SUMIFS(Sales_Data!$AE$2:$AE$3520,Sales_Data!$C$2:$C$3520,$A60,Sales_Data!$H$2:$H$3520,H$14))</f>
        <v>0</v>
      </c>
      <c r="I60" s="26" t="n">
        <f aca="false">CHOOSE(MATCH($B$3,Lists!$C$2:$C$5,0),SUMIFS(Sales_Data!$O$2:$O$3520,Sales_Data!$C$2:$C$3520,$A60,Sales_Data!$H$2:$H$3520,I$14,Sales_Data!$AE$2:$AE$3520,1),SUMIFS(Sales_Data!$M$2:$M$3520,Sales_Data!$C$2:$C$3520,$A60,Sales_Data!$H$2:$H$3520,I$14,Sales_Data!$AE$2:$AE$3520,1),SUMIFS(Sales_Data!$N$2:$N$3520,Sales_Data!$C$2:$C$3520,$A60,Sales_Data!$H$2:$H$3520,I$14,Sales_Data!$AE$2:$AE$3520,1),SUMIFS(Sales_Data!$AE$2:$AE$3520,Sales_Data!$C$2:$C$3520,$A60,Sales_Data!$H$2:$H$3520,I$14))</f>
        <v>0</v>
      </c>
      <c r="J60" s="26" t="n">
        <f aca="false">CHOOSE(MATCH($B$3,Lists!$C$2:$C$5,0),SUMIFS(Sales_Data!$O$2:$O$3520,Sales_Data!$C$2:$C$3520,$A60,Sales_Data!$H$2:$H$3520,J$14,Sales_Data!$AE$2:$AE$3520,1),SUMIFS(Sales_Data!$M$2:$M$3520,Sales_Data!$C$2:$C$3520,$A60,Sales_Data!$H$2:$H$3520,J$14,Sales_Data!$AE$2:$AE$3520,1),SUMIFS(Sales_Data!$N$2:$N$3520,Sales_Data!$C$2:$C$3520,$A60,Sales_Data!$H$2:$H$3520,J$14,Sales_Data!$AE$2:$AE$3520,1),SUMIFS(Sales_Data!$AE$2:$AE$3520,Sales_Data!$C$2:$C$3520,$A60,Sales_Data!$H$2:$H$3520,J$14))</f>
        <v>0</v>
      </c>
      <c r="K60" s="26" t="n">
        <f aca="false">CHOOSE(MATCH($B$3,Lists!$C$2:$C$5,0),SUMIFS(Sales_Data!$O$2:$O$3520,Sales_Data!$C$2:$C$3520,$A60,Sales_Data!$H$2:$H$3520,K$14,Sales_Data!$AE$2:$AE$3520,1),SUMIFS(Sales_Data!$M$2:$M$3520,Sales_Data!$C$2:$C$3520,$A60,Sales_Data!$H$2:$H$3520,K$14,Sales_Data!$AE$2:$AE$3520,1),SUMIFS(Sales_Data!$N$2:$N$3520,Sales_Data!$C$2:$C$3520,$A60,Sales_Data!$H$2:$H$3520,K$14,Sales_Data!$AE$2:$AE$3520,1),SUMIFS(Sales_Data!$AE$2:$AE$3520,Sales_Data!$C$2:$C$3520,$A60,Sales_Data!$H$2:$H$3520,K$14))</f>
        <v>0</v>
      </c>
      <c r="L60" s="26" t="n">
        <f aca="false">CHOOSE(MATCH($B$3,Lists!$C$2:$C$5,0),SUMIFS(Sales_Data!$O$2:$O$3520,Sales_Data!$C$2:$C$3520,$A60,Sales_Data!$H$2:$H$3520,L$14,Sales_Data!$AE$2:$AE$3520,1),SUMIFS(Sales_Data!$M$2:$M$3520,Sales_Data!$C$2:$C$3520,$A60,Sales_Data!$H$2:$H$3520,L$14,Sales_Data!$AE$2:$AE$3520,1),SUMIFS(Sales_Data!$N$2:$N$3520,Sales_Data!$C$2:$C$3520,$A60,Sales_Data!$H$2:$H$3520,L$14,Sales_Data!$AE$2:$AE$3520,1),SUMIFS(Sales_Data!$AE$2:$AE$3520,Sales_Data!$C$2:$C$3520,$A60,Sales_Data!$H$2:$H$3520,L$14))</f>
        <v>8</v>
      </c>
      <c r="M60" s="26" t="n">
        <f aca="false">CHOOSE(MATCH($B$3,Lists!$C$2:$C$5,0),SUMIFS(Sales_Data!$O$2:$O$3520,Sales_Data!$C$2:$C$3520,$A60,Sales_Data!$H$2:$H$3520,M$14,Sales_Data!$AE$2:$AE$3520,1),SUMIFS(Sales_Data!$M$2:$M$3520,Sales_Data!$C$2:$C$3520,$A60,Sales_Data!$H$2:$H$3520,M$14,Sales_Data!$AE$2:$AE$3520,1),SUMIFS(Sales_Data!$N$2:$N$3520,Sales_Data!$C$2:$C$3520,$A60,Sales_Data!$H$2:$H$3520,M$14,Sales_Data!$AE$2:$AE$3520,1),SUMIFS(Sales_Data!$AE$2:$AE$3520,Sales_Data!$C$2:$C$3520,$A60,Sales_Data!$H$2:$H$3520,M$14))</f>
        <v>8</v>
      </c>
      <c r="N60" s="26" t="n">
        <f aca="false">CHOOSE(MATCH($B$3,Lists!$C$2:$C$5,0),SUMIFS(Sales_Data!$O$2:$O$3520,Sales_Data!$C$2:$C$3520,$A60,Sales_Data!$H$2:$H$3520,N$14,Sales_Data!$AE$2:$AE$3520,1),SUMIFS(Sales_Data!$M$2:$M$3520,Sales_Data!$C$2:$C$3520,$A60,Sales_Data!$H$2:$H$3520,N$14,Sales_Data!$AE$2:$AE$3520,1),SUMIFS(Sales_Data!$N$2:$N$3520,Sales_Data!$C$2:$C$3520,$A60,Sales_Data!$H$2:$H$3520,N$14,Sales_Data!$AE$2:$AE$3520,1),SUMIFS(Sales_Data!$AE$2:$AE$3520,Sales_Data!$C$2:$C$3520,$A60,Sales_Data!$H$2:$H$3520,N$14))</f>
        <v>20</v>
      </c>
      <c r="O60" s="26" t="n">
        <f aca="false">CHOOSE(MATCH($B$3,Lists!$C$2:$C$5,0),SUMIFS(Sales_Data!$O$2:$O$3520,Sales_Data!$C$2:$C$3520,$A60,Sales_Data!$H$2:$H$3520,O$14,Sales_Data!$AE$2:$AE$3520,1),SUMIFS(Sales_Data!$M$2:$M$3520,Sales_Data!$C$2:$C$3520,$A60,Sales_Data!$H$2:$H$3520,O$14,Sales_Data!$AE$2:$AE$3520,1),SUMIFS(Sales_Data!$N$2:$N$3520,Sales_Data!$C$2:$C$3520,$A60,Sales_Data!$H$2:$H$3520,O$14,Sales_Data!$AE$2:$AE$3520,1),SUMIFS(Sales_Data!$AE$2:$AE$3520,Sales_Data!$C$2:$C$3520,$A60,Sales_Data!$H$2:$H$3520,O$14))</f>
        <v>0</v>
      </c>
      <c r="P60" s="27" t="n">
        <f aca="false">CHOOSE(MATCH($B$3,Lists!$C$2:$C$5,0),SUMIFS(Sales_Data!$O$2:$O$3520,Sales_Data!$C$2:$C$3520,$A60,Sales_Data!$AE$2:$AE$3520,1),SUMIFS(Sales_Data!$M$2:$M$3520,Sales_Data!$C$2:$C$3520,$A60,Sales_Data!$AE$2:$AE$3520,1),SUMIFS(Sales_Data!$N$2:$N$3520,Sales_Data!$C$2:$C$3520,$A60,Sales_Data!$AE$2:$AE$3520,1),SUMIFS(Sales_Data!$AE$2:$AE$3520,Sales_Data!$C$2:$C$3520,$A60))</f>
        <v>56</v>
      </c>
      <c r="Q60" s="27" t="n">
        <f aca="false">P60-SUM(B60:O60)</f>
        <v>5</v>
      </c>
      <c r="R60" s="3"/>
      <c r="S60" s="72" t="n">
        <f aca="false">A60</f>
        <v>46270</v>
      </c>
      <c r="T60" s="28" t="n">
        <f aca="false">B60-B59</f>
        <v>0</v>
      </c>
      <c r="U60" s="28" t="n">
        <f aca="false">C60-C59</f>
        <v>-5</v>
      </c>
      <c r="V60" s="28" t="n">
        <f aca="false">D60-D59</f>
        <v>2</v>
      </c>
      <c r="W60" s="28" t="n">
        <f aca="false">E60-E59</f>
        <v>0</v>
      </c>
      <c r="X60" s="28" t="n">
        <f aca="false">F60-F59</f>
        <v>-3</v>
      </c>
      <c r="Y60" s="28" t="n">
        <f aca="false">G60-G59</f>
        <v>0</v>
      </c>
      <c r="Z60" s="28" t="n">
        <f aca="false">H60-H59</f>
        <v>0</v>
      </c>
      <c r="AA60" s="28" t="n">
        <f aca="false">I60-I59</f>
        <v>0</v>
      </c>
      <c r="AB60" s="28" t="n">
        <f aca="false">J60-J59</f>
        <v>-7</v>
      </c>
      <c r="AC60" s="28" t="n">
        <f aca="false">K60-K59</f>
        <v>0</v>
      </c>
      <c r="AD60" s="28" t="n">
        <f aca="false">L60-L59</f>
        <v>-3</v>
      </c>
      <c r="AE60" s="28" t="n">
        <f aca="false">M60-M59</f>
        <v>-1</v>
      </c>
      <c r="AF60" s="28" t="n">
        <f aca="false">N60-N59</f>
        <v>11</v>
      </c>
      <c r="AG60" s="28" t="n">
        <f aca="false">O60-O59</f>
        <v>0</v>
      </c>
      <c r="AH60" s="28" t="n">
        <f aca="false">P60-P59</f>
        <v>-3</v>
      </c>
    </row>
    <row r="61" customFormat="false" ht="15" hidden="false" customHeight="false" outlineLevel="0" collapsed="false">
      <c r="A61" s="72" t="n">
        <v>46271</v>
      </c>
      <c r="B61" s="26" t="n">
        <f aca="false">CHOOSE(MATCH($B$3,Lists!$C$2:$C$5,0),SUMIFS(Sales_Data!$O$2:$O$3520,Sales_Data!$C$2:$C$3520,$A61,Sales_Data!$H$2:$H$3520,B$14,Sales_Data!$AE$2:$AE$3520,1),SUMIFS(Sales_Data!$M$2:$M$3520,Sales_Data!$C$2:$C$3520,$A61,Sales_Data!$H$2:$H$3520,B$14,Sales_Data!$AE$2:$AE$3520,1),SUMIFS(Sales_Data!$N$2:$N$3520,Sales_Data!$C$2:$C$3520,$A61,Sales_Data!$H$2:$H$3520,B$14,Sales_Data!$AE$2:$AE$3520,1),SUMIFS(Sales_Data!$AE$2:$AE$3520,Sales_Data!$C$2:$C$3520,$A61,Sales_Data!$H$2:$H$3520,B$14))</f>
        <v>0</v>
      </c>
      <c r="C61" s="26" t="n">
        <f aca="false">CHOOSE(MATCH($B$3,Lists!$C$2:$C$5,0),SUMIFS(Sales_Data!$O$2:$O$3520,Sales_Data!$C$2:$C$3520,$A61,Sales_Data!$H$2:$H$3520,C$14,Sales_Data!$AE$2:$AE$3520,1),SUMIFS(Sales_Data!$M$2:$M$3520,Sales_Data!$C$2:$C$3520,$A61,Sales_Data!$H$2:$H$3520,C$14,Sales_Data!$AE$2:$AE$3520,1),SUMIFS(Sales_Data!$N$2:$N$3520,Sales_Data!$C$2:$C$3520,$A61,Sales_Data!$H$2:$H$3520,C$14,Sales_Data!$AE$2:$AE$3520,1),SUMIFS(Sales_Data!$AE$2:$AE$3520,Sales_Data!$C$2:$C$3520,$A61,Sales_Data!$H$2:$H$3520,C$14))</f>
        <v>1</v>
      </c>
      <c r="D61" s="26" t="n">
        <f aca="false">CHOOSE(MATCH($B$3,Lists!$C$2:$C$5,0),SUMIFS(Sales_Data!$O$2:$O$3520,Sales_Data!$C$2:$C$3520,$A61,Sales_Data!$H$2:$H$3520,D$14,Sales_Data!$AE$2:$AE$3520,1),SUMIFS(Sales_Data!$M$2:$M$3520,Sales_Data!$C$2:$C$3520,$A61,Sales_Data!$H$2:$H$3520,D$14,Sales_Data!$AE$2:$AE$3520,1),SUMIFS(Sales_Data!$N$2:$N$3520,Sales_Data!$C$2:$C$3520,$A61,Sales_Data!$H$2:$H$3520,D$14,Sales_Data!$AE$2:$AE$3520,1),SUMIFS(Sales_Data!$AE$2:$AE$3520,Sales_Data!$C$2:$C$3520,$A61,Sales_Data!$H$2:$H$3520,D$14))</f>
        <v>9</v>
      </c>
      <c r="E61" s="26" t="n">
        <f aca="false">CHOOSE(MATCH($B$3,Lists!$C$2:$C$5,0),SUMIFS(Sales_Data!$O$2:$O$3520,Sales_Data!$C$2:$C$3520,$A61,Sales_Data!$H$2:$H$3520,E$14,Sales_Data!$AE$2:$AE$3520,1),SUMIFS(Sales_Data!$M$2:$M$3520,Sales_Data!$C$2:$C$3520,$A61,Sales_Data!$H$2:$H$3520,E$14,Sales_Data!$AE$2:$AE$3520,1),SUMIFS(Sales_Data!$N$2:$N$3520,Sales_Data!$C$2:$C$3520,$A61,Sales_Data!$H$2:$H$3520,E$14,Sales_Data!$AE$2:$AE$3520,1),SUMIFS(Sales_Data!$AE$2:$AE$3520,Sales_Data!$C$2:$C$3520,$A61,Sales_Data!$H$2:$H$3520,E$14))</f>
        <v>0</v>
      </c>
      <c r="F61" s="26" t="n">
        <f aca="false">CHOOSE(MATCH($B$3,Lists!$C$2:$C$5,0),SUMIFS(Sales_Data!$O$2:$O$3520,Sales_Data!$C$2:$C$3520,$A61,Sales_Data!$H$2:$H$3520,F$14,Sales_Data!$AE$2:$AE$3520,1),SUMIFS(Sales_Data!$M$2:$M$3520,Sales_Data!$C$2:$C$3520,$A61,Sales_Data!$H$2:$H$3520,F$14,Sales_Data!$AE$2:$AE$3520,1),SUMIFS(Sales_Data!$N$2:$N$3520,Sales_Data!$C$2:$C$3520,$A61,Sales_Data!$H$2:$H$3520,F$14,Sales_Data!$AE$2:$AE$3520,1),SUMIFS(Sales_Data!$AE$2:$AE$3520,Sales_Data!$C$2:$C$3520,$A61,Sales_Data!$H$2:$H$3520,F$14))</f>
        <v>2</v>
      </c>
      <c r="G61" s="26" t="n">
        <f aca="false">CHOOSE(MATCH($B$3,Lists!$C$2:$C$5,0),SUMIFS(Sales_Data!$O$2:$O$3520,Sales_Data!$C$2:$C$3520,$A61,Sales_Data!$H$2:$H$3520,G$14,Sales_Data!$AE$2:$AE$3520,1),SUMIFS(Sales_Data!$M$2:$M$3520,Sales_Data!$C$2:$C$3520,$A61,Sales_Data!$H$2:$H$3520,G$14,Sales_Data!$AE$2:$AE$3520,1),SUMIFS(Sales_Data!$N$2:$N$3520,Sales_Data!$C$2:$C$3520,$A61,Sales_Data!$H$2:$H$3520,G$14,Sales_Data!$AE$2:$AE$3520,1),SUMIFS(Sales_Data!$AE$2:$AE$3520,Sales_Data!$C$2:$C$3520,$A61,Sales_Data!$H$2:$H$3520,G$14))</f>
        <v>0</v>
      </c>
      <c r="H61" s="26" t="n">
        <f aca="false">CHOOSE(MATCH($B$3,Lists!$C$2:$C$5,0),SUMIFS(Sales_Data!$O$2:$O$3520,Sales_Data!$C$2:$C$3520,$A61,Sales_Data!$H$2:$H$3520,H$14,Sales_Data!$AE$2:$AE$3520,1),SUMIFS(Sales_Data!$M$2:$M$3520,Sales_Data!$C$2:$C$3520,$A61,Sales_Data!$H$2:$H$3520,H$14,Sales_Data!$AE$2:$AE$3520,1),SUMIFS(Sales_Data!$N$2:$N$3520,Sales_Data!$C$2:$C$3520,$A61,Sales_Data!$H$2:$H$3520,H$14,Sales_Data!$AE$2:$AE$3520,1),SUMIFS(Sales_Data!$AE$2:$AE$3520,Sales_Data!$C$2:$C$3520,$A61,Sales_Data!$H$2:$H$3520,H$14))</f>
        <v>0</v>
      </c>
      <c r="I61" s="26" t="n">
        <f aca="false">CHOOSE(MATCH($B$3,Lists!$C$2:$C$5,0),SUMIFS(Sales_Data!$O$2:$O$3520,Sales_Data!$C$2:$C$3520,$A61,Sales_Data!$H$2:$H$3520,I$14,Sales_Data!$AE$2:$AE$3520,1),SUMIFS(Sales_Data!$M$2:$M$3520,Sales_Data!$C$2:$C$3520,$A61,Sales_Data!$H$2:$H$3520,I$14,Sales_Data!$AE$2:$AE$3520,1),SUMIFS(Sales_Data!$N$2:$N$3520,Sales_Data!$C$2:$C$3520,$A61,Sales_Data!$H$2:$H$3520,I$14,Sales_Data!$AE$2:$AE$3520,1),SUMIFS(Sales_Data!$AE$2:$AE$3520,Sales_Data!$C$2:$C$3520,$A61,Sales_Data!$H$2:$H$3520,I$14))</f>
        <v>0</v>
      </c>
      <c r="J61" s="26" t="n">
        <f aca="false">CHOOSE(MATCH($B$3,Lists!$C$2:$C$5,0),SUMIFS(Sales_Data!$O$2:$O$3520,Sales_Data!$C$2:$C$3520,$A61,Sales_Data!$H$2:$H$3520,J$14,Sales_Data!$AE$2:$AE$3520,1),SUMIFS(Sales_Data!$M$2:$M$3520,Sales_Data!$C$2:$C$3520,$A61,Sales_Data!$H$2:$H$3520,J$14,Sales_Data!$AE$2:$AE$3520,1),SUMIFS(Sales_Data!$N$2:$N$3520,Sales_Data!$C$2:$C$3520,$A61,Sales_Data!$H$2:$H$3520,J$14,Sales_Data!$AE$2:$AE$3520,1),SUMIFS(Sales_Data!$AE$2:$AE$3520,Sales_Data!$C$2:$C$3520,$A61,Sales_Data!$H$2:$H$3520,J$14))</f>
        <v>0</v>
      </c>
      <c r="K61" s="26" t="n">
        <f aca="false">CHOOSE(MATCH($B$3,Lists!$C$2:$C$5,0),SUMIFS(Sales_Data!$O$2:$O$3520,Sales_Data!$C$2:$C$3520,$A61,Sales_Data!$H$2:$H$3520,K$14,Sales_Data!$AE$2:$AE$3520,1),SUMIFS(Sales_Data!$M$2:$M$3520,Sales_Data!$C$2:$C$3520,$A61,Sales_Data!$H$2:$H$3520,K$14,Sales_Data!$AE$2:$AE$3520,1),SUMIFS(Sales_Data!$N$2:$N$3520,Sales_Data!$C$2:$C$3520,$A61,Sales_Data!$H$2:$H$3520,K$14,Sales_Data!$AE$2:$AE$3520,1),SUMIFS(Sales_Data!$AE$2:$AE$3520,Sales_Data!$C$2:$C$3520,$A61,Sales_Data!$H$2:$H$3520,K$14))</f>
        <v>0</v>
      </c>
      <c r="L61" s="26" t="n">
        <f aca="false">CHOOSE(MATCH($B$3,Lists!$C$2:$C$5,0),SUMIFS(Sales_Data!$O$2:$O$3520,Sales_Data!$C$2:$C$3520,$A61,Sales_Data!$H$2:$H$3520,L$14,Sales_Data!$AE$2:$AE$3520,1),SUMIFS(Sales_Data!$M$2:$M$3520,Sales_Data!$C$2:$C$3520,$A61,Sales_Data!$H$2:$H$3520,L$14,Sales_Data!$AE$2:$AE$3520,1),SUMIFS(Sales_Data!$N$2:$N$3520,Sales_Data!$C$2:$C$3520,$A61,Sales_Data!$H$2:$H$3520,L$14,Sales_Data!$AE$2:$AE$3520,1),SUMIFS(Sales_Data!$AE$2:$AE$3520,Sales_Data!$C$2:$C$3520,$A61,Sales_Data!$H$2:$H$3520,L$14))</f>
        <v>2</v>
      </c>
      <c r="M61" s="26" t="n">
        <f aca="false">CHOOSE(MATCH($B$3,Lists!$C$2:$C$5,0),SUMIFS(Sales_Data!$O$2:$O$3520,Sales_Data!$C$2:$C$3520,$A61,Sales_Data!$H$2:$H$3520,M$14,Sales_Data!$AE$2:$AE$3520,1),SUMIFS(Sales_Data!$M$2:$M$3520,Sales_Data!$C$2:$C$3520,$A61,Sales_Data!$H$2:$H$3520,M$14,Sales_Data!$AE$2:$AE$3520,1),SUMIFS(Sales_Data!$N$2:$N$3520,Sales_Data!$C$2:$C$3520,$A61,Sales_Data!$H$2:$H$3520,M$14,Sales_Data!$AE$2:$AE$3520,1),SUMIFS(Sales_Data!$AE$2:$AE$3520,Sales_Data!$C$2:$C$3520,$A61,Sales_Data!$H$2:$H$3520,M$14))</f>
        <v>16</v>
      </c>
      <c r="N61" s="26" t="n">
        <f aca="false">CHOOSE(MATCH($B$3,Lists!$C$2:$C$5,0),SUMIFS(Sales_Data!$O$2:$O$3520,Sales_Data!$C$2:$C$3520,$A61,Sales_Data!$H$2:$H$3520,N$14,Sales_Data!$AE$2:$AE$3520,1),SUMIFS(Sales_Data!$M$2:$M$3520,Sales_Data!$C$2:$C$3520,$A61,Sales_Data!$H$2:$H$3520,N$14,Sales_Data!$AE$2:$AE$3520,1),SUMIFS(Sales_Data!$N$2:$N$3520,Sales_Data!$C$2:$C$3520,$A61,Sales_Data!$H$2:$H$3520,N$14,Sales_Data!$AE$2:$AE$3520,1),SUMIFS(Sales_Data!$AE$2:$AE$3520,Sales_Data!$C$2:$C$3520,$A61,Sales_Data!$H$2:$H$3520,N$14))</f>
        <v>8</v>
      </c>
      <c r="O61" s="26" t="n">
        <f aca="false">CHOOSE(MATCH($B$3,Lists!$C$2:$C$5,0),SUMIFS(Sales_Data!$O$2:$O$3520,Sales_Data!$C$2:$C$3520,$A61,Sales_Data!$H$2:$H$3520,O$14,Sales_Data!$AE$2:$AE$3520,1),SUMIFS(Sales_Data!$M$2:$M$3520,Sales_Data!$C$2:$C$3520,$A61,Sales_Data!$H$2:$H$3520,O$14,Sales_Data!$AE$2:$AE$3520,1),SUMIFS(Sales_Data!$N$2:$N$3520,Sales_Data!$C$2:$C$3520,$A61,Sales_Data!$H$2:$H$3520,O$14,Sales_Data!$AE$2:$AE$3520,1),SUMIFS(Sales_Data!$AE$2:$AE$3520,Sales_Data!$C$2:$C$3520,$A61,Sales_Data!$H$2:$H$3520,O$14))</f>
        <v>0</v>
      </c>
      <c r="P61" s="27" t="n">
        <f aca="false">CHOOSE(MATCH($B$3,Lists!$C$2:$C$5,0),SUMIFS(Sales_Data!$O$2:$O$3520,Sales_Data!$C$2:$C$3520,$A61,Sales_Data!$AE$2:$AE$3520,1),SUMIFS(Sales_Data!$M$2:$M$3520,Sales_Data!$C$2:$C$3520,$A61,Sales_Data!$AE$2:$AE$3520,1),SUMIFS(Sales_Data!$N$2:$N$3520,Sales_Data!$C$2:$C$3520,$A61,Sales_Data!$AE$2:$AE$3520,1),SUMIFS(Sales_Data!$AE$2:$AE$3520,Sales_Data!$C$2:$C$3520,$A61))</f>
        <v>40</v>
      </c>
      <c r="Q61" s="27" t="n">
        <f aca="false">P61-SUM(B61:O61)</f>
        <v>2</v>
      </c>
      <c r="R61" s="3"/>
      <c r="S61" s="72" t="n">
        <f aca="false">A61</f>
        <v>46271</v>
      </c>
      <c r="T61" s="28" t="n">
        <f aca="false">B61-B60</f>
        <v>0</v>
      </c>
      <c r="U61" s="28" t="n">
        <f aca="false">C61-C60</f>
        <v>-3</v>
      </c>
      <c r="V61" s="28" t="n">
        <f aca="false">D61-D60</f>
        <v>4</v>
      </c>
      <c r="W61" s="28" t="n">
        <f aca="false">E61-E60</f>
        <v>0</v>
      </c>
      <c r="X61" s="28" t="n">
        <f aca="false">F61-F60</f>
        <v>-1</v>
      </c>
      <c r="Y61" s="28" t="n">
        <f aca="false">G61-G60</f>
        <v>-3</v>
      </c>
      <c r="Z61" s="28" t="n">
        <f aca="false">H61-H60</f>
        <v>0</v>
      </c>
      <c r="AA61" s="28" t="n">
        <f aca="false">I61-I60</f>
        <v>0</v>
      </c>
      <c r="AB61" s="28" t="n">
        <f aca="false">J61-J60</f>
        <v>0</v>
      </c>
      <c r="AC61" s="28" t="n">
        <f aca="false">K61-K60</f>
        <v>0</v>
      </c>
      <c r="AD61" s="28" t="n">
        <f aca="false">L61-L60</f>
        <v>-6</v>
      </c>
      <c r="AE61" s="28" t="n">
        <f aca="false">M61-M60</f>
        <v>8</v>
      </c>
      <c r="AF61" s="28" t="n">
        <f aca="false">N61-N60</f>
        <v>-12</v>
      </c>
      <c r="AG61" s="28" t="n">
        <f aca="false">O61-O60</f>
        <v>0</v>
      </c>
      <c r="AH61" s="28" t="n">
        <f aca="false">P61-P60</f>
        <v>-16</v>
      </c>
    </row>
    <row r="62" customFormat="false" ht="15" hidden="false" customHeight="false" outlineLevel="0" collapsed="false">
      <c r="A62" s="72" t="n">
        <v>46272</v>
      </c>
      <c r="B62" s="26" t="n">
        <f aca="false">CHOOSE(MATCH($B$3,Lists!$C$2:$C$5,0),SUMIFS(Sales_Data!$O$2:$O$3520,Sales_Data!$C$2:$C$3520,$A62,Sales_Data!$H$2:$H$3520,B$14,Sales_Data!$AE$2:$AE$3520,1),SUMIFS(Sales_Data!$M$2:$M$3520,Sales_Data!$C$2:$C$3520,$A62,Sales_Data!$H$2:$H$3520,B$14,Sales_Data!$AE$2:$AE$3520,1),SUMIFS(Sales_Data!$N$2:$N$3520,Sales_Data!$C$2:$C$3520,$A62,Sales_Data!$H$2:$H$3520,B$14,Sales_Data!$AE$2:$AE$3520,1),SUMIFS(Sales_Data!$AE$2:$AE$3520,Sales_Data!$C$2:$C$3520,$A62,Sales_Data!$H$2:$H$3520,B$14))</f>
        <v>2</v>
      </c>
      <c r="C62" s="26" t="n">
        <f aca="false">CHOOSE(MATCH($B$3,Lists!$C$2:$C$5,0),SUMIFS(Sales_Data!$O$2:$O$3520,Sales_Data!$C$2:$C$3520,$A62,Sales_Data!$H$2:$H$3520,C$14,Sales_Data!$AE$2:$AE$3520,1),SUMIFS(Sales_Data!$M$2:$M$3520,Sales_Data!$C$2:$C$3520,$A62,Sales_Data!$H$2:$H$3520,C$14,Sales_Data!$AE$2:$AE$3520,1),SUMIFS(Sales_Data!$N$2:$N$3520,Sales_Data!$C$2:$C$3520,$A62,Sales_Data!$H$2:$H$3520,C$14,Sales_Data!$AE$2:$AE$3520,1),SUMIFS(Sales_Data!$AE$2:$AE$3520,Sales_Data!$C$2:$C$3520,$A62,Sales_Data!$H$2:$H$3520,C$14))</f>
        <v>2</v>
      </c>
      <c r="D62" s="26" t="n">
        <f aca="false">CHOOSE(MATCH($B$3,Lists!$C$2:$C$5,0),SUMIFS(Sales_Data!$O$2:$O$3520,Sales_Data!$C$2:$C$3520,$A62,Sales_Data!$H$2:$H$3520,D$14,Sales_Data!$AE$2:$AE$3520,1),SUMIFS(Sales_Data!$M$2:$M$3520,Sales_Data!$C$2:$C$3520,$A62,Sales_Data!$H$2:$H$3520,D$14,Sales_Data!$AE$2:$AE$3520,1),SUMIFS(Sales_Data!$N$2:$N$3520,Sales_Data!$C$2:$C$3520,$A62,Sales_Data!$H$2:$H$3520,D$14,Sales_Data!$AE$2:$AE$3520,1),SUMIFS(Sales_Data!$AE$2:$AE$3520,Sales_Data!$C$2:$C$3520,$A62,Sales_Data!$H$2:$H$3520,D$14))</f>
        <v>3</v>
      </c>
      <c r="E62" s="26" t="n">
        <f aca="false">CHOOSE(MATCH($B$3,Lists!$C$2:$C$5,0),SUMIFS(Sales_Data!$O$2:$O$3520,Sales_Data!$C$2:$C$3520,$A62,Sales_Data!$H$2:$H$3520,E$14,Sales_Data!$AE$2:$AE$3520,1),SUMIFS(Sales_Data!$M$2:$M$3520,Sales_Data!$C$2:$C$3520,$A62,Sales_Data!$H$2:$H$3520,E$14,Sales_Data!$AE$2:$AE$3520,1),SUMIFS(Sales_Data!$N$2:$N$3520,Sales_Data!$C$2:$C$3520,$A62,Sales_Data!$H$2:$H$3520,E$14,Sales_Data!$AE$2:$AE$3520,1),SUMIFS(Sales_Data!$AE$2:$AE$3520,Sales_Data!$C$2:$C$3520,$A62,Sales_Data!$H$2:$H$3520,E$14))</f>
        <v>0</v>
      </c>
      <c r="F62" s="26" t="n">
        <f aca="false">CHOOSE(MATCH($B$3,Lists!$C$2:$C$5,0),SUMIFS(Sales_Data!$O$2:$O$3520,Sales_Data!$C$2:$C$3520,$A62,Sales_Data!$H$2:$H$3520,F$14,Sales_Data!$AE$2:$AE$3520,1),SUMIFS(Sales_Data!$M$2:$M$3520,Sales_Data!$C$2:$C$3520,$A62,Sales_Data!$H$2:$H$3520,F$14,Sales_Data!$AE$2:$AE$3520,1),SUMIFS(Sales_Data!$N$2:$N$3520,Sales_Data!$C$2:$C$3520,$A62,Sales_Data!$H$2:$H$3520,F$14,Sales_Data!$AE$2:$AE$3520,1),SUMIFS(Sales_Data!$AE$2:$AE$3520,Sales_Data!$C$2:$C$3520,$A62,Sales_Data!$H$2:$H$3520,F$14))</f>
        <v>7</v>
      </c>
      <c r="G62" s="26" t="n">
        <f aca="false">CHOOSE(MATCH($B$3,Lists!$C$2:$C$5,0),SUMIFS(Sales_Data!$O$2:$O$3520,Sales_Data!$C$2:$C$3520,$A62,Sales_Data!$H$2:$H$3520,G$14,Sales_Data!$AE$2:$AE$3520,1),SUMIFS(Sales_Data!$M$2:$M$3520,Sales_Data!$C$2:$C$3520,$A62,Sales_Data!$H$2:$H$3520,G$14,Sales_Data!$AE$2:$AE$3520,1),SUMIFS(Sales_Data!$N$2:$N$3520,Sales_Data!$C$2:$C$3520,$A62,Sales_Data!$H$2:$H$3520,G$14,Sales_Data!$AE$2:$AE$3520,1),SUMIFS(Sales_Data!$AE$2:$AE$3520,Sales_Data!$C$2:$C$3520,$A62,Sales_Data!$H$2:$H$3520,G$14))</f>
        <v>5</v>
      </c>
      <c r="H62" s="26" t="n">
        <f aca="false">CHOOSE(MATCH($B$3,Lists!$C$2:$C$5,0),SUMIFS(Sales_Data!$O$2:$O$3520,Sales_Data!$C$2:$C$3520,$A62,Sales_Data!$H$2:$H$3520,H$14,Sales_Data!$AE$2:$AE$3520,1),SUMIFS(Sales_Data!$M$2:$M$3520,Sales_Data!$C$2:$C$3520,$A62,Sales_Data!$H$2:$H$3520,H$14,Sales_Data!$AE$2:$AE$3520,1),SUMIFS(Sales_Data!$N$2:$N$3520,Sales_Data!$C$2:$C$3520,$A62,Sales_Data!$H$2:$H$3520,H$14,Sales_Data!$AE$2:$AE$3520,1),SUMIFS(Sales_Data!$AE$2:$AE$3520,Sales_Data!$C$2:$C$3520,$A62,Sales_Data!$H$2:$H$3520,H$14))</f>
        <v>0</v>
      </c>
      <c r="I62" s="26" t="n">
        <f aca="false">CHOOSE(MATCH($B$3,Lists!$C$2:$C$5,0),SUMIFS(Sales_Data!$O$2:$O$3520,Sales_Data!$C$2:$C$3520,$A62,Sales_Data!$H$2:$H$3520,I$14,Sales_Data!$AE$2:$AE$3520,1),SUMIFS(Sales_Data!$M$2:$M$3520,Sales_Data!$C$2:$C$3520,$A62,Sales_Data!$H$2:$H$3520,I$14,Sales_Data!$AE$2:$AE$3520,1),SUMIFS(Sales_Data!$N$2:$N$3520,Sales_Data!$C$2:$C$3520,$A62,Sales_Data!$H$2:$H$3520,I$14,Sales_Data!$AE$2:$AE$3520,1),SUMIFS(Sales_Data!$AE$2:$AE$3520,Sales_Data!$C$2:$C$3520,$A62,Sales_Data!$H$2:$H$3520,I$14))</f>
        <v>0</v>
      </c>
      <c r="J62" s="26" t="n">
        <f aca="false">CHOOSE(MATCH($B$3,Lists!$C$2:$C$5,0),SUMIFS(Sales_Data!$O$2:$O$3520,Sales_Data!$C$2:$C$3520,$A62,Sales_Data!$H$2:$H$3520,J$14,Sales_Data!$AE$2:$AE$3520,1),SUMIFS(Sales_Data!$M$2:$M$3520,Sales_Data!$C$2:$C$3520,$A62,Sales_Data!$H$2:$H$3520,J$14,Sales_Data!$AE$2:$AE$3520,1),SUMIFS(Sales_Data!$N$2:$N$3520,Sales_Data!$C$2:$C$3520,$A62,Sales_Data!$H$2:$H$3520,J$14,Sales_Data!$AE$2:$AE$3520,1),SUMIFS(Sales_Data!$AE$2:$AE$3520,Sales_Data!$C$2:$C$3520,$A62,Sales_Data!$H$2:$H$3520,J$14))</f>
        <v>0</v>
      </c>
      <c r="K62" s="26" t="n">
        <f aca="false">CHOOSE(MATCH($B$3,Lists!$C$2:$C$5,0),SUMIFS(Sales_Data!$O$2:$O$3520,Sales_Data!$C$2:$C$3520,$A62,Sales_Data!$H$2:$H$3520,K$14,Sales_Data!$AE$2:$AE$3520,1),SUMIFS(Sales_Data!$M$2:$M$3520,Sales_Data!$C$2:$C$3520,$A62,Sales_Data!$H$2:$H$3520,K$14,Sales_Data!$AE$2:$AE$3520,1),SUMIFS(Sales_Data!$N$2:$N$3520,Sales_Data!$C$2:$C$3520,$A62,Sales_Data!$H$2:$H$3520,K$14,Sales_Data!$AE$2:$AE$3520,1),SUMIFS(Sales_Data!$AE$2:$AE$3520,Sales_Data!$C$2:$C$3520,$A62,Sales_Data!$H$2:$H$3520,K$14))</f>
        <v>0</v>
      </c>
      <c r="L62" s="26" t="n">
        <f aca="false">CHOOSE(MATCH($B$3,Lists!$C$2:$C$5,0),SUMIFS(Sales_Data!$O$2:$O$3520,Sales_Data!$C$2:$C$3520,$A62,Sales_Data!$H$2:$H$3520,L$14,Sales_Data!$AE$2:$AE$3520,1),SUMIFS(Sales_Data!$M$2:$M$3520,Sales_Data!$C$2:$C$3520,$A62,Sales_Data!$H$2:$H$3520,L$14,Sales_Data!$AE$2:$AE$3520,1),SUMIFS(Sales_Data!$N$2:$N$3520,Sales_Data!$C$2:$C$3520,$A62,Sales_Data!$H$2:$H$3520,L$14,Sales_Data!$AE$2:$AE$3520,1),SUMIFS(Sales_Data!$AE$2:$AE$3520,Sales_Data!$C$2:$C$3520,$A62,Sales_Data!$H$2:$H$3520,L$14))</f>
        <v>13</v>
      </c>
      <c r="M62" s="26" t="n">
        <f aca="false">CHOOSE(MATCH($B$3,Lists!$C$2:$C$5,0),SUMIFS(Sales_Data!$O$2:$O$3520,Sales_Data!$C$2:$C$3520,$A62,Sales_Data!$H$2:$H$3520,M$14,Sales_Data!$AE$2:$AE$3520,1),SUMIFS(Sales_Data!$M$2:$M$3520,Sales_Data!$C$2:$C$3520,$A62,Sales_Data!$H$2:$H$3520,M$14,Sales_Data!$AE$2:$AE$3520,1),SUMIFS(Sales_Data!$N$2:$N$3520,Sales_Data!$C$2:$C$3520,$A62,Sales_Data!$H$2:$H$3520,M$14,Sales_Data!$AE$2:$AE$3520,1),SUMIFS(Sales_Data!$AE$2:$AE$3520,Sales_Data!$C$2:$C$3520,$A62,Sales_Data!$H$2:$H$3520,M$14))</f>
        <v>11</v>
      </c>
      <c r="N62" s="26" t="n">
        <f aca="false">CHOOSE(MATCH($B$3,Lists!$C$2:$C$5,0),SUMIFS(Sales_Data!$O$2:$O$3520,Sales_Data!$C$2:$C$3520,$A62,Sales_Data!$H$2:$H$3520,N$14,Sales_Data!$AE$2:$AE$3520,1),SUMIFS(Sales_Data!$M$2:$M$3520,Sales_Data!$C$2:$C$3520,$A62,Sales_Data!$H$2:$H$3520,N$14,Sales_Data!$AE$2:$AE$3520,1),SUMIFS(Sales_Data!$N$2:$N$3520,Sales_Data!$C$2:$C$3520,$A62,Sales_Data!$H$2:$H$3520,N$14,Sales_Data!$AE$2:$AE$3520,1),SUMIFS(Sales_Data!$AE$2:$AE$3520,Sales_Data!$C$2:$C$3520,$A62,Sales_Data!$H$2:$H$3520,N$14))</f>
        <v>13</v>
      </c>
      <c r="O62" s="26" t="n">
        <f aca="false">CHOOSE(MATCH($B$3,Lists!$C$2:$C$5,0),SUMIFS(Sales_Data!$O$2:$O$3520,Sales_Data!$C$2:$C$3520,$A62,Sales_Data!$H$2:$H$3520,O$14,Sales_Data!$AE$2:$AE$3520,1),SUMIFS(Sales_Data!$M$2:$M$3520,Sales_Data!$C$2:$C$3520,$A62,Sales_Data!$H$2:$H$3520,O$14,Sales_Data!$AE$2:$AE$3520,1),SUMIFS(Sales_Data!$N$2:$N$3520,Sales_Data!$C$2:$C$3520,$A62,Sales_Data!$H$2:$H$3520,O$14,Sales_Data!$AE$2:$AE$3520,1),SUMIFS(Sales_Data!$AE$2:$AE$3520,Sales_Data!$C$2:$C$3520,$A62,Sales_Data!$H$2:$H$3520,O$14))</f>
        <v>0</v>
      </c>
      <c r="P62" s="27" t="n">
        <f aca="false">CHOOSE(MATCH($B$3,Lists!$C$2:$C$5,0),SUMIFS(Sales_Data!$O$2:$O$3520,Sales_Data!$C$2:$C$3520,$A62,Sales_Data!$AE$2:$AE$3520,1),SUMIFS(Sales_Data!$M$2:$M$3520,Sales_Data!$C$2:$C$3520,$A62,Sales_Data!$AE$2:$AE$3520,1),SUMIFS(Sales_Data!$N$2:$N$3520,Sales_Data!$C$2:$C$3520,$A62,Sales_Data!$AE$2:$AE$3520,1),SUMIFS(Sales_Data!$AE$2:$AE$3520,Sales_Data!$C$2:$C$3520,$A62))</f>
        <v>60</v>
      </c>
      <c r="Q62" s="27" t="n">
        <f aca="false">P62-SUM(B62:O62)</f>
        <v>4</v>
      </c>
      <c r="R62" s="3"/>
      <c r="S62" s="72" t="n">
        <f aca="false">A62</f>
        <v>46272</v>
      </c>
      <c r="T62" s="28" t="n">
        <f aca="false">B62-B61</f>
        <v>2</v>
      </c>
      <c r="U62" s="28" t="n">
        <f aca="false">C62-C61</f>
        <v>1</v>
      </c>
      <c r="V62" s="28" t="n">
        <f aca="false">D62-D61</f>
        <v>-6</v>
      </c>
      <c r="W62" s="28" t="n">
        <f aca="false">E62-E61</f>
        <v>0</v>
      </c>
      <c r="X62" s="28" t="n">
        <f aca="false">F62-F61</f>
        <v>5</v>
      </c>
      <c r="Y62" s="28" t="n">
        <f aca="false">G62-G61</f>
        <v>5</v>
      </c>
      <c r="Z62" s="28" t="n">
        <f aca="false">H62-H61</f>
        <v>0</v>
      </c>
      <c r="AA62" s="28" t="n">
        <f aca="false">I62-I61</f>
        <v>0</v>
      </c>
      <c r="AB62" s="28" t="n">
        <f aca="false">J62-J61</f>
        <v>0</v>
      </c>
      <c r="AC62" s="28" t="n">
        <f aca="false">K62-K61</f>
        <v>0</v>
      </c>
      <c r="AD62" s="28" t="n">
        <f aca="false">L62-L61</f>
        <v>11</v>
      </c>
      <c r="AE62" s="28" t="n">
        <f aca="false">M62-M61</f>
        <v>-5</v>
      </c>
      <c r="AF62" s="28" t="n">
        <f aca="false">N62-N61</f>
        <v>5</v>
      </c>
      <c r="AG62" s="28" t="n">
        <f aca="false">O62-O61</f>
        <v>0</v>
      </c>
      <c r="AH62" s="28" t="n">
        <f aca="false">P62-P61</f>
        <v>20</v>
      </c>
    </row>
    <row r="63" customFormat="false" ht="15" hidden="false" customHeight="false" outlineLevel="0" collapsed="false">
      <c r="A63" s="72" t="n">
        <v>46273</v>
      </c>
      <c r="B63" s="26" t="n">
        <f aca="false">CHOOSE(MATCH($B$3,Lists!$C$2:$C$5,0),SUMIFS(Sales_Data!$O$2:$O$3520,Sales_Data!$C$2:$C$3520,$A63,Sales_Data!$H$2:$H$3520,B$14,Sales_Data!$AE$2:$AE$3520,1),SUMIFS(Sales_Data!$M$2:$M$3520,Sales_Data!$C$2:$C$3520,$A63,Sales_Data!$H$2:$H$3520,B$14,Sales_Data!$AE$2:$AE$3520,1),SUMIFS(Sales_Data!$N$2:$N$3520,Sales_Data!$C$2:$C$3520,$A63,Sales_Data!$H$2:$H$3520,B$14,Sales_Data!$AE$2:$AE$3520,1),SUMIFS(Sales_Data!$AE$2:$AE$3520,Sales_Data!$C$2:$C$3520,$A63,Sales_Data!$H$2:$H$3520,B$14))</f>
        <v>5</v>
      </c>
      <c r="C63" s="26" t="n">
        <f aca="false">CHOOSE(MATCH($B$3,Lists!$C$2:$C$5,0),SUMIFS(Sales_Data!$O$2:$O$3520,Sales_Data!$C$2:$C$3520,$A63,Sales_Data!$H$2:$H$3520,C$14,Sales_Data!$AE$2:$AE$3520,1),SUMIFS(Sales_Data!$M$2:$M$3520,Sales_Data!$C$2:$C$3520,$A63,Sales_Data!$H$2:$H$3520,C$14,Sales_Data!$AE$2:$AE$3520,1),SUMIFS(Sales_Data!$N$2:$N$3520,Sales_Data!$C$2:$C$3520,$A63,Sales_Data!$H$2:$H$3520,C$14,Sales_Data!$AE$2:$AE$3520,1),SUMIFS(Sales_Data!$AE$2:$AE$3520,Sales_Data!$C$2:$C$3520,$A63,Sales_Data!$H$2:$H$3520,C$14))</f>
        <v>9</v>
      </c>
      <c r="D63" s="26" t="n">
        <f aca="false">CHOOSE(MATCH($B$3,Lists!$C$2:$C$5,0),SUMIFS(Sales_Data!$O$2:$O$3520,Sales_Data!$C$2:$C$3520,$A63,Sales_Data!$H$2:$H$3520,D$14,Sales_Data!$AE$2:$AE$3520,1),SUMIFS(Sales_Data!$M$2:$M$3520,Sales_Data!$C$2:$C$3520,$A63,Sales_Data!$H$2:$H$3520,D$14,Sales_Data!$AE$2:$AE$3520,1),SUMIFS(Sales_Data!$N$2:$N$3520,Sales_Data!$C$2:$C$3520,$A63,Sales_Data!$H$2:$H$3520,D$14,Sales_Data!$AE$2:$AE$3520,1),SUMIFS(Sales_Data!$AE$2:$AE$3520,Sales_Data!$C$2:$C$3520,$A63,Sales_Data!$H$2:$H$3520,D$14))</f>
        <v>0</v>
      </c>
      <c r="E63" s="26" t="n">
        <f aca="false">CHOOSE(MATCH($B$3,Lists!$C$2:$C$5,0),SUMIFS(Sales_Data!$O$2:$O$3520,Sales_Data!$C$2:$C$3520,$A63,Sales_Data!$H$2:$H$3520,E$14,Sales_Data!$AE$2:$AE$3520,1),SUMIFS(Sales_Data!$M$2:$M$3520,Sales_Data!$C$2:$C$3520,$A63,Sales_Data!$H$2:$H$3520,E$14,Sales_Data!$AE$2:$AE$3520,1),SUMIFS(Sales_Data!$N$2:$N$3520,Sales_Data!$C$2:$C$3520,$A63,Sales_Data!$H$2:$H$3520,E$14,Sales_Data!$AE$2:$AE$3520,1),SUMIFS(Sales_Data!$AE$2:$AE$3520,Sales_Data!$C$2:$C$3520,$A63,Sales_Data!$H$2:$H$3520,E$14))</f>
        <v>0</v>
      </c>
      <c r="F63" s="26" t="n">
        <f aca="false">CHOOSE(MATCH($B$3,Lists!$C$2:$C$5,0),SUMIFS(Sales_Data!$O$2:$O$3520,Sales_Data!$C$2:$C$3520,$A63,Sales_Data!$H$2:$H$3520,F$14,Sales_Data!$AE$2:$AE$3520,1),SUMIFS(Sales_Data!$M$2:$M$3520,Sales_Data!$C$2:$C$3520,$A63,Sales_Data!$H$2:$H$3520,F$14,Sales_Data!$AE$2:$AE$3520,1),SUMIFS(Sales_Data!$N$2:$N$3520,Sales_Data!$C$2:$C$3520,$A63,Sales_Data!$H$2:$H$3520,F$14,Sales_Data!$AE$2:$AE$3520,1),SUMIFS(Sales_Data!$AE$2:$AE$3520,Sales_Data!$C$2:$C$3520,$A63,Sales_Data!$H$2:$H$3520,F$14))</f>
        <v>13</v>
      </c>
      <c r="G63" s="26" t="n">
        <f aca="false">CHOOSE(MATCH($B$3,Lists!$C$2:$C$5,0),SUMIFS(Sales_Data!$O$2:$O$3520,Sales_Data!$C$2:$C$3520,$A63,Sales_Data!$H$2:$H$3520,G$14,Sales_Data!$AE$2:$AE$3520,1),SUMIFS(Sales_Data!$M$2:$M$3520,Sales_Data!$C$2:$C$3520,$A63,Sales_Data!$H$2:$H$3520,G$14,Sales_Data!$AE$2:$AE$3520,1),SUMIFS(Sales_Data!$N$2:$N$3520,Sales_Data!$C$2:$C$3520,$A63,Sales_Data!$H$2:$H$3520,G$14,Sales_Data!$AE$2:$AE$3520,1),SUMIFS(Sales_Data!$AE$2:$AE$3520,Sales_Data!$C$2:$C$3520,$A63,Sales_Data!$H$2:$H$3520,G$14))</f>
        <v>6</v>
      </c>
      <c r="H63" s="26" t="n">
        <f aca="false">CHOOSE(MATCH($B$3,Lists!$C$2:$C$5,0),SUMIFS(Sales_Data!$O$2:$O$3520,Sales_Data!$C$2:$C$3520,$A63,Sales_Data!$H$2:$H$3520,H$14,Sales_Data!$AE$2:$AE$3520,1),SUMIFS(Sales_Data!$M$2:$M$3520,Sales_Data!$C$2:$C$3520,$A63,Sales_Data!$H$2:$H$3520,H$14,Sales_Data!$AE$2:$AE$3520,1),SUMIFS(Sales_Data!$N$2:$N$3520,Sales_Data!$C$2:$C$3520,$A63,Sales_Data!$H$2:$H$3520,H$14,Sales_Data!$AE$2:$AE$3520,1),SUMIFS(Sales_Data!$AE$2:$AE$3520,Sales_Data!$C$2:$C$3520,$A63,Sales_Data!$H$2:$H$3520,H$14))</f>
        <v>0</v>
      </c>
      <c r="I63" s="26" t="n">
        <f aca="false">CHOOSE(MATCH($B$3,Lists!$C$2:$C$5,0),SUMIFS(Sales_Data!$O$2:$O$3520,Sales_Data!$C$2:$C$3520,$A63,Sales_Data!$H$2:$H$3520,I$14,Sales_Data!$AE$2:$AE$3520,1),SUMIFS(Sales_Data!$M$2:$M$3520,Sales_Data!$C$2:$C$3520,$A63,Sales_Data!$H$2:$H$3520,I$14,Sales_Data!$AE$2:$AE$3520,1),SUMIFS(Sales_Data!$N$2:$N$3520,Sales_Data!$C$2:$C$3520,$A63,Sales_Data!$H$2:$H$3520,I$14,Sales_Data!$AE$2:$AE$3520,1),SUMIFS(Sales_Data!$AE$2:$AE$3520,Sales_Data!$C$2:$C$3520,$A63,Sales_Data!$H$2:$H$3520,I$14))</f>
        <v>0</v>
      </c>
      <c r="J63" s="26" t="n">
        <f aca="false">CHOOSE(MATCH($B$3,Lists!$C$2:$C$5,0),SUMIFS(Sales_Data!$O$2:$O$3520,Sales_Data!$C$2:$C$3520,$A63,Sales_Data!$H$2:$H$3520,J$14,Sales_Data!$AE$2:$AE$3520,1),SUMIFS(Sales_Data!$M$2:$M$3520,Sales_Data!$C$2:$C$3520,$A63,Sales_Data!$H$2:$H$3520,J$14,Sales_Data!$AE$2:$AE$3520,1),SUMIFS(Sales_Data!$N$2:$N$3520,Sales_Data!$C$2:$C$3520,$A63,Sales_Data!$H$2:$H$3520,J$14,Sales_Data!$AE$2:$AE$3520,1),SUMIFS(Sales_Data!$AE$2:$AE$3520,Sales_Data!$C$2:$C$3520,$A63,Sales_Data!$H$2:$H$3520,J$14))</f>
        <v>0</v>
      </c>
      <c r="K63" s="26" t="n">
        <f aca="false">CHOOSE(MATCH($B$3,Lists!$C$2:$C$5,0),SUMIFS(Sales_Data!$O$2:$O$3520,Sales_Data!$C$2:$C$3520,$A63,Sales_Data!$H$2:$H$3520,K$14,Sales_Data!$AE$2:$AE$3520,1),SUMIFS(Sales_Data!$M$2:$M$3520,Sales_Data!$C$2:$C$3520,$A63,Sales_Data!$H$2:$H$3520,K$14,Sales_Data!$AE$2:$AE$3520,1),SUMIFS(Sales_Data!$N$2:$N$3520,Sales_Data!$C$2:$C$3520,$A63,Sales_Data!$H$2:$H$3520,K$14,Sales_Data!$AE$2:$AE$3520,1),SUMIFS(Sales_Data!$AE$2:$AE$3520,Sales_Data!$C$2:$C$3520,$A63,Sales_Data!$H$2:$H$3520,K$14))</f>
        <v>0</v>
      </c>
      <c r="L63" s="26" t="n">
        <f aca="false">CHOOSE(MATCH($B$3,Lists!$C$2:$C$5,0),SUMIFS(Sales_Data!$O$2:$O$3520,Sales_Data!$C$2:$C$3520,$A63,Sales_Data!$H$2:$H$3520,L$14,Sales_Data!$AE$2:$AE$3520,1),SUMIFS(Sales_Data!$M$2:$M$3520,Sales_Data!$C$2:$C$3520,$A63,Sales_Data!$H$2:$H$3520,L$14,Sales_Data!$AE$2:$AE$3520,1),SUMIFS(Sales_Data!$N$2:$N$3520,Sales_Data!$C$2:$C$3520,$A63,Sales_Data!$H$2:$H$3520,L$14,Sales_Data!$AE$2:$AE$3520,1),SUMIFS(Sales_Data!$AE$2:$AE$3520,Sales_Data!$C$2:$C$3520,$A63,Sales_Data!$H$2:$H$3520,L$14))</f>
        <v>9</v>
      </c>
      <c r="M63" s="26" t="n">
        <f aca="false">CHOOSE(MATCH($B$3,Lists!$C$2:$C$5,0),SUMIFS(Sales_Data!$O$2:$O$3520,Sales_Data!$C$2:$C$3520,$A63,Sales_Data!$H$2:$H$3520,M$14,Sales_Data!$AE$2:$AE$3520,1),SUMIFS(Sales_Data!$M$2:$M$3520,Sales_Data!$C$2:$C$3520,$A63,Sales_Data!$H$2:$H$3520,M$14,Sales_Data!$AE$2:$AE$3520,1),SUMIFS(Sales_Data!$N$2:$N$3520,Sales_Data!$C$2:$C$3520,$A63,Sales_Data!$H$2:$H$3520,M$14,Sales_Data!$AE$2:$AE$3520,1),SUMIFS(Sales_Data!$AE$2:$AE$3520,Sales_Data!$C$2:$C$3520,$A63,Sales_Data!$H$2:$H$3520,M$14))</f>
        <v>14</v>
      </c>
      <c r="N63" s="26" t="n">
        <f aca="false">CHOOSE(MATCH($B$3,Lists!$C$2:$C$5,0),SUMIFS(Sales_Data!$O$2:$O$3520,Sales_Data!$C$2:$C$3520,$A63,Sales_Data!$H$2:$H$3520,N$14,Sales_Data!$AE$2:$AE$3520,1),SUMIFS(Sales_Data!$M$2:$M$3520,Sales_Data!$C$2:$C$3520,$A63,Sales_Data!$H$2:$H$3520,N$14,Sales_Data!$AE$2:$AE$3520,1),SUMIFS(Sales_Data!$N$2:$N$3520,Sales_Data!$C$2:$C$3520,$A63,Sales_Data!$H$2:$H$3520,N$14,Sales_Data!$AE$2:$AE$3520,1),SUMIFS(Sales_Data!$AE$2:$AE$3520,Sales_Data!$C$2:$C$3520,$A63,Sales_Data!$H$2:$H$3520,N$14))</f>
        <v>13</v>
      </c>
      <c r="O63" s="26" t="n">
        <f aca="false">CHOOSE(MATCH($B$3,Lists!$C$2:$C$5,0),SUMIFS(Sales_Data!$O$2:$O$3520,Sales_Data!$C$2:$C$3520,$A63,Sales_Data!$H$2:$H$3520,O$14,Sales_Data!$AE$2:$AE$3520,1),SUMIFS(Sales_Data!$M$2:$M$3520,Sales_Data!$C$2:$C$3520,$A63,Sales_Data!$H$2:$H$3520,O$14,Sales_Data!$AE$2:$AE$3520,1),SUMIFS(Sales_Data!$N$2:$N$3520,Sales_Data!$C$2:$C$3520,$A63,Sales_Data!$H$2:$H$3520,O$14,Sales_Data!$AE$2:$AE$3520,1),SUMIFS(Sales_Data!$AE$2:$AE$3520,Sales_Data!$C$2:$C$3520,$A63,Sales_Data!$H$2:$H$3520,O$14))</f>
        <v>0</v>
      </c>
      <c r="P63" s="27" t="n">
        <f aca="false">CHOOSE(MATCH($B$3,Lists!$C$2:$C$5,0),SUMIFS(Sales_Data!$O$2:$O$3520,Sales_Data!$C$2:$C$3520,$A63,Sales_Data!$AE$2:$AE$3520,1),SUMIFS(Sales_Data!$M$2:$M$3520,Sales_Data!$C$2:$C$3520,$A63,Sales_Data!$AE$2:$AE$3520,1),SUMIFS(Sales_Data!$N$2:$N$3520,Sales_Data!$C$2:$C$3520,$A63,Sales_Data!$AE$2:$AE$3520,1),SUMIFS(Sales_Data!$AE$2:$AE$3520,Sales_Data!$C$2:$C$3520,$A63))</f>
        <v>103</v>
      </c>
      <c r="Q63" s="27" t="n">
        <f aca="false">P63-SUM(B63:O63)</f>
        <v>34</v>
      </c>
      <c r="R63" s="3"/>
      <c r="S63" s="72" t="n">
        <f aca="false">A63</f>
        <v>46273</v>
      </c>
      <c r="T63" s="28" t="n">
        <f aca="false">B63-B62</f>
        <v>3</v>
      </c>
      <c r="U63" s="28" t="n">
        <f aca="false">C63-C62</f>
        <v>7</v>
      </c>
      <c r="V63" s="28" t="n">
        <f aca="false">D63-D62</f>
        <v>-3</v>
      </c>
      <c r="W63" s="28" t="n">
        <f aca="false">E63-E62</f>
        <v>0</v>
      </c>
      <c r="X63" s="28" t="n">
        <f aca="false">F63-F62</f>
        <v>6</v>
      </c>
      <c r="Y63" s="28" t="n">
        <f aca="false">G63-G62</f>
        <v>1</v>
      </c>
      <c r="Z63" s="28" t="n">
        <f aca="false">H63-H62</f>
        <v>0</v>
      </c>
      <c r="AA63" s="28" t="n">
        <f aca="false">I63-I62</f>
        <v>0</v>
      </c>
      <c r="AB63" s="28" t="n">
        <f aca="false">J63-J62</f>
        <v>0</v>
      </c>
      <c r="AC63" s="28" t="n">
        <f aca="false">K63-K62</f>
        <v>0</v>
      </c>
      <c r="AD63" s="28" t="n">
        <f aca="false">L63-L62</f>
        <v>-4</v>
      </c>
      <c r="AE63" s="28" t="n">
        <f aca="false">M63-M62</f>
        <v>3</v>
      </c>
      <c r="AF63" s="28" t="n">
        <f aca="false">N63-N62</f>
        <v>0</v>
      </c>
      <c r="AG63" s="28" t="n">
        <f aca="false">O63-O62</f>
        <v>0</v>
      </c>
      <c r="AH63" s="28" t="n">
        <f aca="false">P63-P62</f>
        <v>43</v>
      </c>
    </row>
    <row r="64" customFormat="false" ht="15" hidden="false" customHeight="false" outlineLevel="0" collapsed="false">
      <c r="A64" s="72" t="n">
        <v>46274</v>
      </c>
      <c r="B64" s="26" t="n">
        <f aca="false">CHOOSE(MATCH($B$3,Lists!$C$2:$C$5,0),SUMIFS(Sales_Data!$O$2:$O$3520,Sales_Data!$C$2:$C$3520,$A64,Sales_Data!$H$2:$H$3520,B$14,Sales_Data!$AE$2:$AE$3520,1),SUMIFS(Sales_Data!$M$2:$M$3520,Sales_Data!$C$2:$C$3520,$A64,Sales_Data!$H$2:$H$3520,B$14,Sales_Data!$AE$2:$AE$3520,1),SUMIFS(Sales_Data!$N$2:$N$3520,Sales_Data!$C$2:$C$3520,$A64,Sales_Data!$H$2:$H$3520,B$14,Sales_Data!$AE$2:$AE$3520,1),SUMIFS(Sales_Data!$AE$2:$AE$3520,Sales_Data!$C$2:$C$3520,$A64,Sales_Data!$H$2:$H$3520,B$14))</f>
        <v>0</v>
      </c>
      <c r="C64" s="26" t="n">
        <f aca="false">CHOOSE(MATCH($B$3,Lists!$C$2:$C$5,0),SUMIFS(Sales_Data!$O$2:$O$3520,Sales_Data!$C$2:$C$3520,$A64,Sales_Data!$H$2:$H$3520,C$14,Sales_Data!$AE$2:$AE$3520,1),SUMIFS(Sales_Data!$M$2:$M$3520,Sales_Data!$C$2:$C$3520,$A64,Sales_Data!$H$2:$H$3520,C$14,Sales_Data!$AE$2:$AE$3520,1),SUMIFS(Sales_Data!$N$2:$N$3520,Sales_Data!$C$2:$C$3520,$A64,Sales_Data!$H$2:$H$3520,C$14,Sales_Data!$AE$2:$AE$3520,1),SUMIFS(Sales_Data!$AE$2:$AE$3520,Sales_Data!$C$2:$C$3520,$A64,Sales_Data!$H$2:$H$3520,C$14))</f>
        <v>7</v>
      </c>
      <c r="D64" s="26" t="n">
        <f aca="false">CHOOSE(MATCH($B$3,Lists!$C$2:$C$5,0),SUMIFS(Sales_Data!$O$2:$O$3520,Sales_Data!$C$2:$C$3520,$A64,Sales_Data!$H$2:$H$3520,D$14,Sales_Data!$AE$2:$AE$3520,1),SUMIFS(Sales_Data!$M$2:$M$3520,Sales_Data!$C$2:$C$3520,$A64,Sales_Data!$H$2:$H$3520,D$14,Sales_Data!$AE$2:$AE$3520,1),SUMIFS(Sales_Data!$N$2:$N$3520,Sales_Data!$C$2:$C$3520,$A64,Sales_Data!$H$2:$H$3520,D$14,Sales_Data!$AE$2:$AE$3520,1),SUMIFS(Sales_Data!$AE$2:$AE$3520,Sales_Data!$C$2:$C$3520,$A64,Sales_Data!$H$2:$H$3520,D$14))</f>
        <v>2</v>
      </c>
      <c r="E64" s="26" t="n">
        <f aca="false">CHOOSE(MATCH($B$3,Lists!$C$2:$C$5,0),SUMIFS(Sales_Data!$O$2:$O$3520,Sales_Data!$C$2:$C$3520,$A64,Sales_Data!$H$2:$H$3520,E$14,Sales_Data!$AE$2:$AE$3520,1),SUMIFS(Sales_Data!$M$2:$M$3520,Sales_Data!$C$2:$C$3520,$A64,Sales_Data!$H$2:$H$3520,E$14,Sales_Data!$AE$2:$AE$3520,1),SUMIFS(Sales_Data!$N$2:$N$3520,Sales_Data!$C$2:$C$3520,$A64,Sales_Data!$H$2:$H$3520,E$14,Sales_Data!$AE$2:$AE$3520,1),SUMIFS(Sales_Data!$AE$2:$AE$3520,Sales_Data!$C$2:$C$3520,$A64,Sales_Data!$H$2:$H$3520,E$14))</f>
        <v>0</v>
      </c>
      <c r="F64" s="26" t="n">
        <f aca="false">CHOOSE(MATCH($B$3,Lists!$C$2:$C$5,0),SUMIFS(Sales_Data!$O$2:$O$3520,Sales_Data!$C$2:$C$3520,$A64,Sales_Data!$H$2:$H$3520,F$14,Sales_Data!$AE$2:$AE$3520,1),SUMIFS(Sales_Data!$M$2:$M$3520,Sales_Data!$C$2:$C$3520,$A64,Sales_Data!$H$2:$H$3520,F$14,Sales_Data!$AE$2:$AE$3520,1),SUMIFS(Sales_Data!$N$2:$N$3520,Sales_Data!$C$2:$C$3520,$A64,Sales_Data!$H$2:$H$3520,F$14,Sales_Data!$AE$2:$AE$3520,1),SUMIFS(Sales_Data!$AE$2:$AE$3520,Sales_Data!$C$2:$C$3520,$A64,Sales_Data!$H$2:$H$3520,F$14))</f>
        <v>3</v>
      </c>
      <c r="G64" s="26" t="n">
        <f aca="false">CHOOSE(MATCH($B$3,Lists!$C$2:$C$5,0),SUMIFS(Sales_Data!$O$2:$O$3520,Sales_Data!$C$2:$C$3520,$A64,Sales_Data!$H$2:$H$3520,G$14,Sales_Data!$AE$2:$AE$3520,1),SUMIFS(Sales_Data!$M$2:$M$3520,Sales_Data!$C$2:$C$3520,$A64,Sales_Data!$H$2:$H$3520,G$14,Sales_Data!$AE$2:$AE$3520,1),SUMIFS(Sales_Data!$N$2:$N$3520,Sales_Data!$C$2:$C$3520,$A64,Sales_Data!$H$2:$H$3520,G$14,Sales_Data!$AE$2:$AE$3520,1),SUMIFS(Sales_Data!$AE$2:$AE$3520,Sales_Data!$C$2:$C$3520,$A64,Sales_Data!$H$2:$H$3520,G$14))</f>
        <v>2</v>
      </c>
      <c r="H64" s="26" t="n">
        <f aca="false">CHOOSE(MATCH($B$3,Lists!$C$2:$C$5,0),SUMIFS(Sales_Data!$O$2:$O$3520,Sales_Data!$C$2:$C$3520,$A64,Sales_Data!$H$2:$H$3520,H$14,Sales_Data!$AE$2:$AE$3520,1),SUMIFS(Sales_Data!$M$2:$M$3520,Sales_Data!$C$2:$C$3520,$A64,Sales_Data!$H$2:$H$3520,H$14,Sales_Data!$AE$2:$AE$3520,1),SUMIFS(Sales_Data!$N$2:$N$3520,Sales_Data!$C$2:$C$3520,$A64,Sales_Data!$H$2:$H$3520,H$14,Sales_Data!$AE$2:$AE$3520,1),SUMIFS(Sales_Data!$AE$2:$AE$3520,Sales_Data!$C$2:$C$3520,$A64,Sales_Data!$H$2:$H$3520,H$14))</f>
        <v>0</v>
      </c>
      <c r="I64" s="26" t="n">
        <f aca="false">CHOOSE(MATCH($B$3,Lists!$C$2:$C$5,0),SUMIFS(Sales_Data!$O$2:$O$3520,Sales_Data!$C$2:$C$3520,$A64,Sales_Data!$H$2:$H$3520,I$14,Sales_Data!$AE$2:$AE$3520,1),SUMIFS(Sales_Data!$M$2:$M$3520,Sales_Data!$C$2:$C$3520,$A64,Sales_Data!$H$2:$H$3520,I$14,Sales_Data!$AE$2:$AE$3520,1),SUMIFS(Sales_Data!$N$2:$N$3520,Sales_Data!$C$2:$C$3520,$A64,Sales_Data!$H$2:$H$3520,I$14,Sales_Data!$AE$2:$AE$3520,1),SUMIFS(Sales_Data!$AE$2:$AE$3520,Sales_Data!$C$2:$C$3520,$A64,Sales_Data!$H$2:$H$3520,I$14))</f>
        <v>0</v>
      </c>
      <c r="J64" s="26" t="n">
        <f aca="false">CHOOSE(MATCH($B$3,Lists!$C$2:$C$5,0),SUMIFS(Sales_Data!$O$2:$O$3520,Sales_Data!$C$2:$C$3520,$A64,Sales_Data!$H$2:$H$3520,J$14,Sales_Data!$AE$2:$AE$3520,1),SUMIFS(Sales_Data!$M$2:$M$3520,Sales_Data!$C$2:$C$3520,$A64,Sales_Data!$H$2:$H$3520,J$14,Sales_Data!$AE$2:$AE$3520,1),SUMIFS(Sales_Data!$N$2:$N$3520,Sales_Data!$C$2:$C$3520,$A64,Sales_Data!$H$2:$H$3520,J$14,Sales_Data!$AE$2:$AE$3520,1),SUMIFS(Sales_Data!$AE$2:$AE$3520,Sales_Data!$C$2:$C$3520,$A64,Sales_Data!$H$2:$H$3520,J$14))</f>
        <v>0</v>
      </c>
      <c r="K64" s="26" t="n">
        <f aca="false">CHOOSE(MATCH($B$3,Lists!$C$2:$C$5,0),SUMIFS(Sales_Data!$O$2:$O$3520,Sales_Data!$C$2:$C$3520,$A64,Sales_Data!$H$2:$H$3520,K$14,Sales_Data!$AE$2:$AE$3520,1),SUMIFS(Sales_Data!$M$2:$M$3520,Sales_Data!$C$2:$C$3520,$A64,Sales_Data!$H$2:$H$3520,K$14,Sales_Data!$AE$2:$AE$3520,1),SUMIFS(Sales_Data!$N$2:$N$3520,Sales_Data!$C$2:$C$3520,$A64,Sales_Data!$H$2:$H$3520,K$14,Sales_Data!$AE$2:$AE$3520,1),SUMIFS(Sales_Data!$AE$2:$AE$3520,Sales_Data!$C$2:$C$3520,$A64,Sales_Data!$H$2:$H$3520,K$14))</f>
        <v>0</v>
      </c>
      <c r="L64" s="26" t="n">
        <f aca="false">CHOOSE(MATCH($B$3,Lists!$C$2:$C$5,0),SUMIFS(Sales_Data!$O$2:$O$3520,Sales_Data!$C$2:$C$3520,$A64,Sales_Data!$H$2:$H$3520,L$14,Sales_Data!$AE$2:$AE$3520,1),SUMIFS(Sales_Data!$M$2:$M$3520,Sales_Data!$C$2:$C$3520,$A64,Sales_Data!$H$2:$H$3520,L$14,Sales_Data!$AE$2:$AE$3520,1),SUMIFS(Sales_Data!$N$2:$N$3520,Sales_Data!$C$2:$C$3520,$A64,Sales_Data!$H$2:$H$3520,L$14,Sales_Data!$AE$2:$AE$3520,1),SUMIFS(Sales_Data!$AE$2:$AE$3520,Sales_Data!$C$2:$C$3520,$A64,Sales_Data!$H$2:$H$3520,L$14))</f>
        <v>4</v>
      </c>
      <c r="M64" s="26" t="n">
        <f aca="false">CHOOSE(MATCH($B$3,Lists!$C$2:$C$5,0),SUMIFS(Sales_Data!$O$2:$O$3520,Sales_Data!$C$2:$C$3520,$A64,Sales_Data!$H$2:$H$3520,M$14,Sales_Data!$AE$2:$AE$3520,1),SUMIFS(Sales_Data!$M$2:$M$3520,Sales_Data!$C$2:$C$3520,$A64,Sales_Data!$H$2:$H$3520,M$14,Sales_Data!$AE$2:$AE$3520,1),SUMIFS(Sales_Data!$N$2:$N$3520,Sales_Data!$C$2:$C$3520,$A64,Sales_Data!$H$2:$H$3520,M$14,Sales_Data!$AE$2:$AE$3520,1),SUMIFS(Sales_Data!$AE$2:$AE$3520,Sales_Data!$C$2:$C$3520,$A64,Sales_Data!$H$2:$H$3520,M$14))</f>
        <v>13</v>
      </c>
      <c r="N64" s="26" t="n">
        <f aca="false">CHOOSE(MATCH($B$3,Lists!$C$2:$C$5,0),SUMIFS(Sales_Data!$O$2:$O$3520,Sales_Data!$C$2:$C$3520,$A64,Sales_Data!$H$2:$H$3520,N$14,Sales_Data!$AE$2:$AE$3520,1),SUMIFS(Sales_Data!$M$2:$M$3520,Sales_Data!$C$2:$C$3520,$A64,Sales_Data!$H$2:$H$3520,N$14,Sales_Data!$AE$2:$AE$3520,1),SUMIFS(Sales_Data!$N$2:$N$3520,Sales_Data!$C$2:$C$3520,$A64,Sales_Data!$H$2:$H$3520,N$14,Sales_Data!$AE$2:$AE$3520,1),SUMIFS(Sales_Data!$AE$2:$AE$3520,Sales_Data!$C$2:$C$3520,$A64,Sales_Data!$H$2:$H$3520,N$14))</f>
        <v>9</v>
      </c>
      <c r="O64" s="26" t="n">
        <f aca="false">CHOOSE(MATCH($B$3,Lists!$C$2:$C$5,0),SUMIFS(Sales_Data!$O$2:$O$3520,Sales_Data!$C$2:$C$3520,$A64,Sales_Data!$H$2:$H$3520,O$14,Sales_Data!$AE$2:$AE$3520,1),SUMIFS(Sales_Data!$M$2:$M$3520,Sales_Data!$C$2:$C$3520,$A64,Sales_Data!$H$2:$H$3520,O$14,Sales_Data!$AE$2:$AE$3520,1),SUMIFS(Sales_Data!$N$2:$N$3520,Sales_Data!$C$2:$C$3520,$A64,Sales_Data!$H$2:$H$3520,O$14,Sales_Data!$AE$2:$AE$3520,1),SUMIFS(Sales_Data!$AE$2:$AE$3520,Sales_Data!$C$2:$C$3520,$A64,Sales_Data!$H$2:$H$3520,O$14))</f>
        <v>0</v>
      </c>
      <c r="P64" s="27" t="n">
        <f aca="false">CHOOSE(MATCH($B$3,Lists!$C$2:$C$5,0),SUMIFS(Sales_Data!$O$2:$O$3520,Sales_Data!$C$2:$C$3520,$A64,Sales_Data!$AE$2:$AE$3520,1),SUMIFS(Sales_Data!$M$2:$M$3520,Sales_Data!$C$2:$C$3520,$A64,Sales_Data!$AE$2:$AE$3520,1),SUMIFS(Sales_Data!$N$2:$N$3520,Sales_Data!$C$2:$C$3520,$A64,Sales_Data!$AE$2:$AE$3520,1),SUMIFS(Sales_Data!$AE$2:$AE$3520,Sales_Data!$C$2:$C$3520,$A64))</f>
        <v>40</v>
      </c>
      <c r="Q64" s="27" t="n">
        <f aca="false">P64-SUM(B64:O64)</f>
        <v>0</v>
      </c>
      <c r="R64" s="3"/>
      <c r="S64" s="72" t="n">
        <f aca="false">A64</f>
        <v>46274</v>
      </c>
      <c r="T64" s="28" t="n">
        <f aca="false">B64-B63</f>
        <v>-5</v>
      </c>
      <c r="U64" s="28" t="n">
        <f aca="false">C64-C63</f>
        <v>-2</v>
      </c>
      <c r="V64" s="28" t="n">
        <f aca="false">D64-D63</f>
        <v>2</v>
      </c>
      <c r="W64" s="28" t="n">
        <f aca="false">E64-E63</f>
        <v>0</v>
      </c>
      <c r="X64" s="28" t="n">
        <f aca="false">F64-F63</f>
        <v>-10</v>
      </c>
      <c r="Y64" s="28" t="n">
        <f aca="false">G64-G63</f>
        <v>-4</v>
      </c>
      <c r="Z64" s="28" t="n">
        <f aca="false">H64-H63</f>
        <v>0</v>
      </c>
      <c r="AA64" s="28" t="n">
        <f aca="false">I64-I63</f>
        <v>0</v>
      </c>
      <c r="AB64" s="28" t="n">
        <f aca="false">J64-J63</f>
        <v>0</v>
      </c>
      <c r="AC64" s="28" t="n">
        <f aca="false">K64-K63</f>
        <v>0</v>
      </c>
      <c r="AD64" s="28" t="n">
        <f aca="false">L64-L63</f>
        <v>-5</v>
      </c>
      <c r="AE64" s="28" t="n">
        <f aca="false">M64-M63</f>
        <v>-1</v>
      </c>
      <c r="AF64" s="28" t="n">
        <f aca="false">N64-N63</f>
        <v>-4</v>
      </c>
      <c r="AG64" s="28" t="n">
        <f aca="false">O64-O63</f>
        <v>0</v>
      </c>
      <c r="AH64" s="28" t="n">
        <f aca="false">P64-P63</f>
        <v>-63</v>
      </c>
    </row>
    <row r="65" customFormat="false" ht="15" hidden="false" customHeight="false" outlineLevel="0" collapsed="false">
      <c r="A65" s="72" t="n">
        <v>46275</v>
      </c>
      <c r="B65" s="26" t="n">
        <f aca="false">CHOOSE(MATCH($B$3,Lists!$C$2:$C$5,0),SUMIFS(Sales_Data!$O$2:$O$3520,Sales_Data!$C$2:$C$3520,$A65,Sales_Data!$H$2:$H$3520,B$14,Sales_Data!$AE$2:$AE$3520,1),SUMIFS(Sales_Data!$M$2:$M$3520,Sales_Data!$C$2:$C$3520,$A65,Sales_Data!$H$2:$H$3520,B$14,Sales_Data!$AE$2:$AE$3520,1),SUMIFS(Sales_Data!$N$2:$N$3520,Sales_Data!$C$2:$C$3520,$A65,Sales_Data!$H$2:$H$3520,B$14,Sales_Data!$AE$2:$AE$3520,1),SUMIFS(Sales_Data!$AE$2:$AE$3520,Sales_Data!$C$2:$C$3520,$A65,Sales_Data!$H$2:$H$3520,B$14))</f>
        <v>2</v>
      </c>
      <c r="C65" s="26" t="n">
        <f aca="false">CHOOSE(MATCH($B$3,Lists!$C$2:$C$5,0),SUMIFS(Sales_Data!$O$2:$O$3520,Sales_Data!$C$2:$C$3520,$A65,Sales_Data!$H$2:$H$3520,C$14,Sales_Data!$AE$2:$AE$3520,1),SUMIFS(Sales_Data!$M$2:$M$3520,Sales_Data!$C$2:$C$3520,$A65,Sales_Data!$H$2:$H$3520,C$14,Sales_Data!$AE$2:$AE$3520,1),SUMIFS(Sales_Data!$N$2:$N$3520,Sales_Data!$C$2:$C$3520,$A65,Sales_Data!$H$2:$H$3520,C$14,Sales_Data!$AE$2:$AE$3520,1),SUMIFS(Sales_Data!$AE$2:$AE$3520,Sales_Data!$C$2:$C$3520,$A65,Sales_Data!$H$2:$H$3520,C$14))</f>
        <v>5</v>
      </c>
      <c r="D65" s="26" t="n">
        <f aca="false">CHOOSE(MATCH($B$3,Lists!$C$2:$C$5,0),SUMIFS(Sales_Data!$O$2:$O$3520,Sales_Data!$C$2:$C$3520,$A65,Sales_Data!$H$2:$H$3520,D$14,Sales_Data!$AE$2:$AE$3520,1),SUMIFS(Sales_Data!$M$2:$M$3520,Sales_Data!$C$2:$C$3520,$A65,Sales_Data!$H$2:$H$3520,D$14,Sales_Data!$AE$2:$AE$3520,1),SUMIFS(Sales_Data!$N$2:$N$3520,Sales_Data!$C$2:$C$3520,$A65,Sales_Data!$H$2:$H$3520,D$14,Sales_Data!$AE$2:$AE$3520,1),SUMIFS(Sales_Data!$AE$2:$AE$3520,Sales_Data!$C$2:$C$3520,$A65,Sales_Data!$H$2:$H$3520,D$14))</f>
        <v>6</v>
      </c>
      <c r="E65" s="26" t="n">
        <f aca="false">CHOOSE(MATCH($B$3,Lists!$C$2:$C$5,0),SUMIFS(Sales_Data!$O$2:$O$3520,Sales_Data!$C$2:$C$3520,$A65,Sales_Data!$H$2:$H$3520,E$14,Sales_Data!$AE$2:$AE$3520,1),SUMIFS(Sales_Data!$M$2:$M$3520,Sales_Data!$C$2:$C$3520,$A65,Sales_Data!$H$2:$H$3520,E$14,Sales_Data!$AE$2:$AE$3520,1),SUMIFS(Sales_Data!$N$2:$N$3520,Sales_Data!$C$2:$C$3520,$A65,Sales_Data!$H$2:$H$3520,E$14,Sales_Data!$AE$2:$AE$3520,1),SUMIFS(Sales_Data!$AE$2:$AE$3520,Sales_Data!$C$2:$C$3520,$A65,Sales_Data!$H$2:$H$3520,E$14))</f>
        <v>0</v>
      </c>
      <c r="F65" s="26" t="n">
        <f aca="false">CHOOSE(MATCH($B$3,Lists!$C$2:$C$5,0),SUMIFS(Sales_Data!$O$2:$O$3520,Sales_Data!$C$2:$C$3520,$A65,Sales_Data!$H$2:$H$3520,F$14,Sales_Data!$AE$2:$AE$3520,1),SUMIFS(Sales_Data!$M$2:$M$3520,Sales_Data!$C$2:$C$3520,$A65,Sales_Data!$H$2:$H$3520,F$14,Sales_Data!$AE$2:$AE$3520,1),SUMIFS(Sales_Data!$N$2:$N$3520,Sales_Data!$C$2:$C$3520,$A65,Sales_Data!$H$2:$H$3520,F$14,Sales_Data!$AE$2:$AE$3520,1),SUMIFS(Sales_Data!$AE$2:$AE$3520,Sales_Data!$C$2:$C$3520,$A65,Sales_Data!$H$2:$H$3520,F$14))</f>
        <v>6</v>
      </c>
      <c r="G65" s="26" t="n">
        <f aca="false">CHOOSE(MATCH($B$3,Lists!$C$2:$C$5,0),SUMIFS(Sales_Data!$O$2:$O$3520,Sales_Data!$C$2:$C$3520,$A65,Sales_Data!$H$2:$H$3520,G$14,Sales_Data!$AE$2:$AE$3520,1),SUMIFS(Sales_Data!$M$2:$M$3520,Sales_Data!$C$2:$C$3520,$A65,Sales_Data!$H$2:$H$3520,G$14,Sales_Data!$AE$2:$AE$3520,1),SUMIFS(Sales_Data!$N$2:$N$3520,Sales_Data!$C$2:$C$3520,$A65,Sales_Data!$H$2:$H$3520,G$14,Sales_Data!$AE$2:$AE$3520,1),SUMIFS(Sales_Data!$AE$2:$AE$3520,Sales_Data!$C$2:$C$3520,$A65,Sales_Data!$H$2:$H$3520,G$14))</f>
        <v>8</v>
      </c>
      <c r="H65" s="26" t="n">
        <f aca="false">CHOOSE(MATCH($B$3,Lists!$C$2:$C$5,0),SUMIFS(Sales_Data!$O$2:$O$3520,Sales_Data!$C$2:$C$3520,$A65,Sales_Data!$H$2:$H$3520,H$14,Sales_Data!$AE$2:$AE$3520,1),SUMIFS(Sales_Data!$M$2:$M$3520,Sales_Data!$C$2:$C$3520,$A65,Sales_Data!$H$2:$H$3520,H$14,Sales_Data!$AE$2:$AE$3520,1),SUMIFS(Sales_Data!$N$2:$N$3520,Sales_Data!$C$2:$C$3520,$A65,Sales_Data!$H$2:$H$3520,H$14,Sales_Data!$AE$2:$AE$3520,1),SUMIFS(Sales_Data!$AE$2:$AE$3520,Sales_Data!$C$2:$C$3520,$A65,Sales_Data!$H$2:$H$3520,H$14))</f>
        <v>0</v>
      </c>
      <c r="I65" s="26" t="n">
        <f aca="false">CHOOSE(MATCH($B$3,Lists!$C$2:$C$5,0),SUMIFS(Sales_Data!$O$2:$O$3520,Sales_Data!$C$2:$C$3520,$A65,Sales_Data!$H$2:$H$3520,I$14,Sales_Data!$AE$2:$AE$3520,1),SUMIFS(Sales_Data!$M$2:$M$3520,Sales_Data!$C$2:$C$3520,$A65,Sales_Data!$H$2:$H$3520,I$14,Sales_Data!$AE$2:$AE$3520,1),SUMIFS(Sales_Data!$N$2:$N$3520,Sales_Data!$C$2:$C$3520,$A65,Sales_Data!$H$2:$H$3520,I$14,Sales_Data!$AE$2:$AE$3520,1),SUMIFS(Sales_Data!$AE$2:$AE$3520,Sales_Data!$C$2:$C$3520,$A65,Sales_Data!$H$2:$H$3520,I$14))</f>
        <v>0</v>
      </c>
      <c r="J65" s="26" t="n">
        <f aca="false">CHOOSE(MATCH($B$3,Lists!$C$2:$C$5,0),SUMIFS(Sales_Data!$O$2:$O$3520,Sales_Data!$C$2:$C$3520,$A65,Sales_Data!$H$2:$H$3520,J$14,Sales_Data!$AE$2:$AE$3520,1),SUMIFS(Sales_Data!$M$2:$M$3520,Sales_Data!$C$2:$C$3520,$A65,Sales_Data!$H$2:$H$3520,J$14,Sales_Data!$AE$2:$AE$3520,1),SUMIFS(Sales_Data!$N$2:$N$3520,Sales_Data!$C$2:$C$3520,$A65,Sales_Data!$H$2:$H$3520,J$14,Sales_Data!$AE$2:$AE$3520,1),SUMIFS(Sales_Data!$AE$2:$AE$3520,Sales_Data!$C$2:$C$3520,$A65,Sales_Data!$H$2:$H$3520,J$14))</f>
        <v>0</v>
      </c>
      <c r="K65" s="26" t="n">
        <f aca="false">CHOOSE(MATCH($B$3,Lists!$C$2:$C$5,0),SUMIFS(Sales_Data!$O$2:$O$3520,Sales_Data!$C$2:$C$3520,$A65,Sales_Data!$H$2:$H$3520,K$14,Sales_Data!$AE$2:$AE$3520,1),SUMIFS(Sales_Data!$M$2:$M$3520,Sales_Data!$C$2:$C$3520,$A65,Sales_Data!$H$2:$H$3520,K$14,Sales_Data!$AE$2:$AE$3520,1),SUMIFS(Sales_Data!$N$2:$N$3520,Sales_Data!$C$2:$C$3520,$A65,Sales_Data!$H$2:$H$3520,K$14,Sales_Data!$AE$2:$AE$3520,1),SUMIFS(Sales_Data!$AE$2:$AE$3520,Sales_Data!$C$2:$C$3520,$A65,Sales_Data!$H$2:$H$3520,K$14))</f>
        <v>0</v>
      </c>
      <c r="L65" s="26" t="n">
        <f aca="false">CHOOSE(MATCH($B$3,Lists!$C$2:$C$5,0),SUMIFS(Sales_Data!$O$2:$O$3520,Sales_Data!$C$2:$C$3520,$A65,Sales_Data!$H$2:$H$3520,L$14,Sales_Data!$AE$2:$AE$3520,1),SUMIFS(Sales_Data!$M$2:$M$3520,Sales_Data!$C$2:$C$3520,$A65,Sales_Data!$H$2:$H$3520,L$14,Sales_Data!$AE$2:$AE$3520,1),SUMIFS(Sales_Data!$N$2:$N$3520,Sales_Data!$C$2:$C$3520,$A65,Sales_Data!$H$2:$H$3520,L$14,Sales_Data!$AE$2:$AE$3520,1),SUMIFS(Sales_Data!$AE$2:$AE$3520,Sales_Data!$C$2:$C$3520,$A65,Sales_Data!$H$2:$H$3520,L$14))</f>
        <v>3</v>
      </c>
      <c r="M65" s="26" t="n">
        <f aca="false">CHOOSE(MATCH($B$3,Lists!$C$2:$C$5,0),SUMIFS(Sales_Data!$O$2:$O$3520,Sales_Data!$C$2:$C$3520,$A65,Sales_Data!$H$2:$H$3520,M$14,Sales_Data!$AE$2:$AE$3520,1),SUMIFS(Sales_Data!$M$2:$M$3520,Sales_Data!$C$2:$C$3520,$A65,Sales_Data!$H$2:$H$3520,M$14,Sales_Data!$AE$2:$AE$3520,1),SUMIFS(Sales_Data!$N$2:$N$3520,Sales_Data!$C$2:$C$3520,$A65,Sales_Data!$H$2:$H$3520,M$14,Sales_Data!$AE$2:$AE$3520,1),SUMIFS(Sales_Data!$AE$2:$AE$3520,Sales_Data!$C$2:$C$3520,$A65,Sales_Data!$H$2:$H$3520,M$14))</f>
        <v>11</v>
      </c>
      <c r="N65" s="26" t="n">
        <f aca="false">CHOOSE(MATCH($B$3,Lists!$C$2:$C$5,0),SUMIFS(Sales_Data!$O$2:$O$3520,Sales_Data!$C$2:$C$3520,$A65,Sales_Data!$H$2:$H$3520,N$14,Sales_Data!$AE$2:$AE$3520,1),SUMIFS(Sales_Data!$M$2:$M$3520,Sales_Data!$C$2:$C$3520,$A65,Sales_Data!$H$2:$H$3520,N$14,Sales_Data!$AE$2:$AE$3520,1),SUMIFS(Sales_Data!$N$2:$N$3520,Sales_Data!$C$2:$C$3520,$A65,Sales_Data!$H$2:$H$3520,N$14,Sales_Data!$AE$2:$AE$3520,1),SUMIFS(Sales_Data!$AE$2:$AE$3520,Sales_Data!$C$2:$C$3520,$A65,Sales_Data!$H$2:$H$3520,N$14))</f>
        <v>6</v>
      </c>
      <c r="O65" s="26" t="n">
        <f aca="false">CHOOSE(MATCH($B$3,Lists!$C$2:$C$5,0),SUMIFS(Sales_Data!$O$2:$O$3520,Sales_Data!$C$2:$C$3520,$A65,Sales_Data!$H$2:$H$3520,O$14,Sales_Data!$AE$2:$AE$3520,1),SUMIFS(Sales_Data!$M$2:$M$3520,Sales_Data!$C$2:$C$3520,$A65,Sales_Data!$H$2:$H$3520,O$14,Sales_Data!$AE$2:$AE$3520,1),SUMIFS(Sales_Data!$N$2:$N$3520,Sales_Data!$C$2:$C$3520,$A65,Sales_Data!$H$2:$H$3520,O$14,Sales_Data!$AE$2:$AE$3520,1),SUMIFS(Sales_Data!$AE$2:$AE$3520,Sales_Data!$C$2:$C$3520,$A65,Sales_Data!$H$2:$H$3520,O$14))</f>
        <v>0</v>
      </c>
      <c r="P65" s="27" t="n">
        <f aca="false">CHOOSE(MATCH($B$3,Lists!$C$2:$C$5,0),SUMIFS(Sales_Data!$O$2:$O$3520,Sales_Data!$C$2:$C$3520,$A65,Sales_Data!$AE$2:$AE$3520,1),SUMIFS(Sales_Data!$M$2:$M$3520,Sales_Data!$C$2:$C$3520,$A65,Sales_Data!$AE$2:$AE$3520,1),SUMIFS(Sales_Data!$N$2:$N$3520,Sales_Data!$C$2:$C$3520,$A65,Sales_Data!$AE$2:$AE$3520,1),SUMIFS(Sales_Data!$AE$2:$AE$3520,Sales_Data!$C$2:$C$3520,$A65))</f>
        <v>55</v>
      </c>
      <c r="Q65" s="27" t="n">
        <f aca="false">P65-SUM(B65:O65)</f>
        <v>8</v>
      </c>
      <c r="R65" s="3"/>
      <c r="S65" s="72" t="n">
        <f aca="false">A65</f>
        <v>46275</v>
      </c>
      <c r="T65" s="28" t="n">
        <f aca="false">B65-B64</f>
        <v>2</v>
      </c>
      <c r="U65" s="28" t="n">
        <f aca="false">C65-C64</f>
        <v>-2</v>
      </c>
      <c r="V65" s="28" t="n">
        <f aca="false">D65-D64</f>
        <v>4</v>
      </c>
      <c r="W65" s="28" t="n">
        <f aca="false">E65-E64</f>
        <v>0</v>
      </c>
      <c r="X65" s="28" t="n">
        <f aca="false">F65-F64</f>
        <v>3</v>
      </c>
      <c r="Y65" s="28" t="n">
        <f aca="false">G65-G64</f>
        <v>6</v>
      </c>
      <c r="Z65" s="28" t="n">
        <f aca="false">H65-H64</f>
        <v>0</v>
      </c>
      <c r="AA65" s="28" t="n">
        <f aca="false">I65-I64</f>
        <v>0</v>
      </c>
      <c r="AB65" s="28" t="n">
        <f aca="false">J65-J64</f>
        <v>0</v>
      </c>
      <c r="AC65" s="28" t="n">
        <f aca="false">K65-K64</f>
        <v>0</v>
      </c>
      <c r="AD65" s="28" t="n">
        <f aca="false">L65-L64</f>
        <v>-1</v>
      </c>
      <c r="AE65" s="28" t="n">
        <f aca="false">M65-M64</f>
        <v>-2</v>
      </c>
      <c r="AF65" s="28" t="n">
        <f aca="false">N65-N64</f>
        <v>-3</v>
      </c>
      <c r="AG65" s="28" t="n">
        <f aca="false">O65-O64</f>
        <v>0</v>
      </c>
      <c r="AH65" s="28" t="n">
        <f aca="false">P65-P64</f>
        <v>15</v>
      </c>
    </row>
    <row r="66" customFormat="false" ht="15" hidden="false" customHeight="false" outlineLevel="0" collapsed="false">
      <c r="A66" s="72" t="n">
        <v>46276</v>
      </c>
      <c r="B66" s="26" t="n">
        <f aca="false">CHOOSE(MATCH($B$3,Lists!$C$2:$C$5,0),SUMIFS(Sales_Data!$O$2:$O$3520,Sales_Data!$C$2:$C$3520,$A66,Sales_Data!$H$2:$H$3520,B$14,Sales_Data!$AE$2:$AE$3520,1),SUMIFS(Sales_Data!$M$2:$M$3520,Sales_Data!$C$2:$C$3520,$A66,Sales_Data!$H$2:$H$3520,B$14,Sales_Data!$AE$2:$AE$3520,1),SUMIFS(Sales_Data!$N$2:$N$3520,Sales_Data!$C$2:$C$3520,$A66,Sales_Data!$H$2:$H$3520,B$14,Sales_Data!$AE$2:$AE$3520,1),SUMIFS(Sales_Data!$AE$2:$AE$3520,Sales_Data!$C$2:$C$3520,$A66,Sales_Data!$H$2:$H$3520,B$14))</f>
        <v>0</v>
      </c>
      <c r="C66" s="26" t="n">
        <f aca="false">CHOOSE(MATCH($B$3,Lists!$C$2:$C$5,0),SUMIFS(Sales_Data!$O$2:$O$3520,Sales_Data!$C$2:$C$3520,$A66,Sales_Data!$H$2:$H$3520,C$14,Sales_Data!$AE$2:$AE$3520,1),SUMIFS(Sales_Data!$M$2:$M$3520,Sales_Data!$C$2:$C$3520,$A66,Sales_Data!$H$2:$H$3520,C$14,Sales_Data!$AE$2:$AE$3520,1),SUMIFS(Sales_Data!$N$2:$N$3520,Sales_Data!$C$2:$C$3520,$A66,Sales_Data!$H$2:$H$3520,C$14,Sales_Data!$AE$2:$AE$3520,1),SUMIFS(Sales_Data!$AE$2:$AE$3520,Sales_Data!$C$2:$C$3520,$A66,Sales_Data!$H$2:$H$3520,C$14))</f>
        <v>16</v>
      </c>
      <c r="D66" s="26" t="n">
        <f aca="false">CHOOSE(MATCH($B$3,Lists!$C$2:$C$5,0),SUMIFS(Sales_Data!$O$2:$O$3520,Sales_Data!$C$2:$C$3520,$A66,Sales_Data!$H$2:$H$3520,D$14,Sales_Data!$AE$2:$AE$3520,1),SUMIFS(Sales_Data!$M$2:$M$3520,Sales_Data!$C$2:$C$3520,$A66,Sales_Data!$H$2:$H$3520,D$14,Sales_Data!$AE$2:$AE$3520,1),SUMIFS(Sales_Data!$N$2:$N$3520,Sales_Data!$C$2:$C$3520,$A66,Sales_Data!$H$2:$H$3520,D$14,Sales_Data!$AE$2:$AE$3520,1),SUMIFS(Sales_Data!$AE$2:$AE$3520,Sales_Data!$C$2:$C$3520,$A66,Sales_Data!$H$2:$H$3520,D$14))</f>
        <v>8</v>
      </c>
      <c r="E66" s="26" t="n">
        <f aca="false">CHOOSE(MATCH($B$3,Lists!$C$2:$C$5,0),SUMIFS(Sales_Data!$O$2:$O$3520,Sales_Data!$C$2:$C$3520,$A66,Sales_Data!$H$2:$H$3520,E$14,Sales_Data!$AE$2:$AE$3520,1),SUMIFS(Sales_Data!$M$2:$M$3520,Sales_Data!$C$2:$C$3520,$A66,Sales_Data!$H$2:$H$3520,E$14,Sales_Data!$AE$2:$AE$3520,1),SUMIFS(Sales_Data!$N$2:$N$3520,Sales_Data!$C$2:$C$3520,$A66,Sales_Data!$H$2:$H$3520,E$14,Sales_Data!$AE$2:$AE$3520,1),SUMIFS(Sales_Data!$AE$2:$AE$3520,Sales_Data!$C$2:$C$3520,$A66,Sales_Data!$H$2:$H$3520,E$14))</f>
        <v>0</v>
      </c>
      <c r="F66" s="26" t="n">
        <f aca="false">CHOOSE(MATCH($B$3,Lists!$C$2:$C$5,0),SUMIFS(Sales_Data!$O$2:$O$3520,Sales_Data!$C$2:$C$3520,$A66,Sales_Data!$H$2:$H$3520,F$14,Sales_Data!$AE$2:$AE$3520,1),SUMIFS(Sales_Data!$M$2:$M$3520,Sales_Data!$C$2:$C$3520,$A66,Sales_Data!$H$2:$H$3520,F$14,Sales_Data!$AE$2:$AE$3520,1),SUMIFS(Sales_Data!$N$2:$N$3520,Sales_Data!$C$2:$C$3520,$A66,Sales_Data!$H$2:$H$3520,F$14,Sales_Data!$AE$2:$AE$3520,1),SUMIFS(Sales_Data!$AE$2:$AE$3520,Sales_Data!$C$2:$C$3520,$A66,Sales_Data!$H$2:$H$3520,F$14))</f>
        <v>9</v>
      </c>
      <c r="G66" s="26" t="n">
        <f aca="false">CHOOSE(MATCH($B$3,Lists!$C$2:$C$5,0),SUMIFS(Sales_Data!$O$2:$O$3520,Sales_Data!$C$2:$C$3520,$A66,Sales_Data!$H$2:$H$3520,G$14,Sales_Data!$AE$2:$AE$3520,1),SUMIFS(Sales_Data!$M$2:$M$3520,Sales_Data!$C$2:$C$3520,$A66,Sales_Data!$H$2:$H$3520,G$14,Sales_Data!$AE$2:$AE$3520,1),SUMIFS(Sales_Data!$N$2:$N$3520,Sales_Data!$C$2:$C$3520,$A66,Sales_Data!$H$2:$H$3520,G$14,Sales_Data!$AE$2:$AE$3520,1),SUMIFS(Sales_Data!$AE$2:$AE$3520,Sales_Data!$C$2:$C$3520,$A66,Sales_Data!$H$2:$H$3520,G$14))</f>
        <v>6</v>
      </c>
      <c r="H66" s="26" t="n">
        <f aca="false">CHOOSE(MATCH($B$3,Lists!$C$2:$C$5,0),SUMIFS(Sales_Data!$O$2:$O$3520,Sales_Data!$C$2:$C$3520,$A66,Sales_Data!$H$2:$H$3520,H$14,Sales_Data!$AE$2:$AE$3520,1),SUMIFS(Sales_Data!$M$2:$M$3520,Sales_Data!$C$2:$C$3520,$A66,Sales_Data!$H$2:$H$3520,H$14,Sales_Data!$AE$2:$AE$3520,1),SUMIFS(Sales_Data!$N$2:$N$3520,Sales_Data!$C$2:$C$3520,$A66,Sales_Data!$H$2:$H$3520,H$14,Sales_Data!$AE$2:$AE$3520,1),SUMIFS(Sales_Data!$AE$2:$AE$3520,Sales_Data!$C$2:$C$3520,$A66,Sales_Data!$H$2:$H$3520,H$14))</f>
        <v>0</v>
      </c>
      <c r="I66" s="26" t="n">
        <f aca="false">CHOOSE(MATCH($B$3,Lists!$C$2:$C$5,0),SUMIFS(Sales_Data!$O$2:$O$3520,Sales_Data!$C$2:$C$3520,$A66,Sales_Data!$H$2:$H$3520,I$14,Sales_Data!$AE$2:$AE$3520,1),SUMIFS(Sales_Data!$M$2:$M$3520,Sales_Data!$C$2:$C$3520,$A66,Sales_Data!$H$2:$H$3520,I$14,Sales_Data!$AE$2:$AE$3520,1),SUMIFS(Sales_Data!$N$2:$N$3520,Sales_Data!$C$2:$C$3520,$A66,Sales_Data!$H$2:$H$3520,I$14,Sales_Data!$AE$2:$AE$3520,1),SUMIFS(Sales_Data!$AE$2:$AE$3520,Sales_Data!$C$2:$C$3520,$A66,Sales_Data!$H$2:$H$3520,I$14))</f>
        <v>0</v>
      </c>
      <c r="J66" s="26" t="n">
        <f aca="false">CHOOSE(MATCH($B$3,Lists!$C$2:$C$5,0),SUMIFS(Sales_Data!$O$2:$O$3520,Sales_Data!$C$2:$C$3520,$A66,Sales_Data!$H$2:$H$3520,J$14,Sales_Data!$AE$2:$AE$3520,1),SUMIFS(Sales_Data!$M$2:$M$3520,Sales_Data!$C$2:$C$3520,$A66,Sales_Data!$H$2:$H$3520,J$14,Sales_Data!$AE$2:$AE$3520,1),SUMIFS(Sales_Data!$N$2:$N$3520,Sales_Data!$C$2:$C$3520,$A66,Sales_Data!$H$2:$H$3520,J$14,Sales_Data!$AE$2:$AE$3520,1),SUMIFS(Sales_Data!$AE$2:$AE$3520,Sales_Data!$C$2:$C$3520,$A66,Sales_Data!$H$2:$H$3520,J$14))</f>
        <v>0</v>
      </c>
      <c r="K66" s="26" t="n">
        <f aca="false">CHOOSE(MATCH($B$3,Lists!$C$2:$C$5,0),SUMIFS(Sales_Data!$O$2:$O$3520,Sales_Data!$C$2:$C$3520,$A66,Sales_Data!$H$2:$H$3520,K$14,Sales_Data!$AE$2:$AE$3520,1),SUMIFS(Sales_Data!$M$2:$M$3520,Sales_Data!$C$2:$C$3520,$A66,Sales_Data!$H$2:$H$3520,K$14,Sales_Data!$AE$2:$AE$3520,1),SUMIFS(Sales_Data!$N$2:$N$3520,Sales_Data!$C$2:$C$3520,$A66,Sales_Data!$H$2:$H$3520,K$14,Sales_Data!$AE$2:$AE$3520,1),SUMIFS(Sales_Data!$AE$2:$AE$3520,Sales_Data!$C$2:$C$3520,$A66,Sales_Data!$H$2:$H$3520,K$14))</f>
        <v>0</v>
      </c>
      <c r="L66" s="26" t="n">
        <f aca="false">CHOOSE(MATCH($B$3,Lists!$C$2:$C$5,0),SUMIFS(Sales_Data!$O$2:$O$3520,Sales_Data!$C$2:$C$3520,$A66,Sales_Data!$H$2:$H$3520,L$14,Sales_Data!$AE$2:$AE$3520,1),SUMIFS(Sales_Data!$M$2:$M$3520,Sales_Data!$C$2:$C$3520,$A66,Sales_Data!$H$2:$H$3520,L$14,Sales_Data!$AE$2:$AE$3520,1),SUMIFS(Sales_Data!$N$2:$N$3520,Sales_Data!$C$2:$C$3520,$A66,Sales_Data!$H$2:$H$3520,L$14,Sales_Data!$AE$2:$AE$3520,1),SUMIFS(Sales_Data!$AE$2:$AE$3520,Sales_Data!$C$2:$C$3520,$A66,Sales_Data!$H$2:$H$3520,L$14))</f>
        <v>10</v>
      </c>
      <c r="M66" s="26" t="n">
        <f aca="false">CHOOSE(MATCH($B$3,Lists!$C$2:$C$5,0),SUMIFS(Sales_Data!$O$2:$O$3520,Sales_Data!$C$2:$C$3520,$A66,Sales_Data!$H$2:$H$3520,M$14,Sales_Data!$AE$2:$AE$3520,1),SUMIFS(Sales_Data!$M$2:$M$3520,Sales_Data!$C$2:$C$3520,$A66,Sales_Data!$H$2:$H$3520,M$14,Sales_Data!$AE$2:$AE$3520,1),SUMIFS(Sales_Data!$N$2:$N$3520,Sales_Data!$C$2:$C$3520,$A66,Sales_Data!$H$2:$H$3520,M$14,Sales_Data!$AE$2:$AE$3520,1),SUMIFS(Sales_Data!$AE$2:$AE$3520,Sales_Data!$C$2:$C$3520,$A66,Sales_Data!$H$2:$H$3520,M$14))</f>
        <v>14</v>
      </c>
      <c r="N66" s="26" t="n">
        <f aca="false">CHOOSE(MATCH($B$3,Lists!$C$2:$C$5,0),SUMIFS(Sales_Data!$O$2:$O$3520,Sales_Data!$C$2:$C$3520,$A66,Sales_Data!$H$2:$H$3520,N$14,Sales_Data!$AE$2:$AE$3520,1),SUMIFS(Sales_Data!$M$2:$M$3520,Sales_Data!$C$2:$C$3520,$A66,Sales_Data!$H$2:$H$3520,N$14,Sales_Data!$AE$2:$AE$3520,1),SUMIFS(Sales_Data!$N$2:$N$3520,Sales_Data!$C$2:$C$3520,$A66,Sales_Data!$H$2:$H$3520,N$14,Sales_Data!$AE$2:$AE$3520,1),SUMIFS(Sales_Data!$AE$2:$AE$3520,Sales_Data!$C$2:$C$3520,$A66,Sales_Data!$H$2:$H$3520,N$14))</f>
        <v>4</v>
      </c>
      <c r="O66" s="26" t="n">
        <f aca="false">CHOOSE(MATCH($B$3,Lists!$C$2:$C$5,0),SUMIFS(Sales_Data!$O$2:$O$3520,Sales_Data!$C$2:$C$3520,$A66,Sales_Data!$H$2:$H$3520,O$14,Sales_Data!$AE$2:$AE$3520,1),SUMIFS(Sales_Data!$M$2:$M$3520,Sales_Data!$C$2:$C$3520,$A66,Sales_Data!$H$2:$H$3520,O$14,Sales_Data!$AE$2:$AE$3520,1),SUMIFS(Sales_Data!$N$2:$N$3520,Sales_Data!$C$2:$C$3520,$A66,Sales_Data!$H$2:$H$3520,O$14,Sales_Data!$AE$2:$AE$3520,1),SUMIFS(Sales_Data!$AE$2:$AE$3520,Sales_Data!$C$2:$C$3520,$A66,Sales_Data!$H$2:$H$3520,O$14))</f>
        <v>0</v>
      </c>
      <c r="P66" s="27" t="n">
        <f aca="false">CHOOSE(MATCH($B$3,Lists!$C$2:$C$5,0),SUMIFS(Sales_Data!$O$2:$O$3520,Sales_Data!$C$2:$C$3520,$A66,Sales_Data!$AE$2:$AE$3520,1),SUMIFS(Sales_Data!$M$2:$M$3520,Sales_Data!$C$2:$C$3520,$A66,Sales_Data!$AE$2:$AE$3520,1),SUMIFS(Sales_Data!$N$2:$N$3520,Sales_Data!$C$2:$C$3520,$A66,Sales_Data!$AE$2:$AE$3520,1),SUMIFS(Sales_Data!$AE$2:$AE$3520,Sales_Data!$C$2:$C$3520,$A66))</f>
        <v>70</v>
      </c>
      <c r="Q66" s="27" t="n">
        <f aca="false">P66-SUM(B66:O66)</f>
        <v>3</v>
      </c>
      <c r="R66" s="3"/>
      <c r="S66" s="72" t="n">
        <f aca="false">A66</f>
        <v>46276</v>
      </c>
      <c r="T66" s="28" t="n">
        <f aca="false">B66-B65</f>
        <v>-2</v>
      </c>
      <c r="U66" s="28" t="n">
        <f aca="false">C66-C65</f>
        <v>11</v>
      </c>
      <c r="V66" s="28" t="n">
        <f aca="false">D66-D65</f>
        <v>2</v>
      </c>
      <c r="W66" s="28" t="n">
        <f aca="false">E66-E65</f>
        <v>0</v>
      </c>
      <c r="X66" s="28" t="n">
        <f aca="false">F66-F65</f>
        <v>3</v>
      </c>
      <c r="Y66" s="28" t="n">
        <f aca="false">G66-G65</f>
        <v>-2</v>
      </c>
      <c r="Z66" s="28" t="n">
        <f aca="false">H66-H65</f>
        <v>0</v>
      </c>
      <c r="AA66" s="28" t="n">
        <f aca="false">I66-I65</f>
        <v>0</v>
      </c>
      <c r="AB66" s="28" t="n">
        <f aca="false">J66-J65</f>
        <v>0</v>
      </c>
      <c r="AC66" s="28" t="n">
        <f aca="false">K66-K65</f>
        <v>0</v>
      </c>
      <c r="AD66" s="28" t="n">
        <f aca="false">L66-L65</f>
        <v>7</v>
      </c>
      <c r="AE66" s="28" t="n">
        <f aca="false">M66-M65</f>
        <v>3</v>
      </c>
      <c r="AF66" s="28" t="n">
        <f aca="false">N66-N65</f>
        <v>-2</v>
      </c>
      <c r="AG66" s="28" t="n">
        <f aca="false">O66-O65</f>
        <v>0</v>
      </c>
      <c r="AH66" s="28" t="n">
        <f aca="false">P66-P65</f>
        <v>15</v>
      </c>
    </row>
    <row r="67" customFormat="false" ht="15" hidden="false" customHeight="false" outlineLevel="0" collapsed="false">
      <c r="A67" s="72" t="n">
        <v>46277</v>
      </c>
      <c r="B67" s="26" t="n">
        <f aca="false">CHOOSE(MATCH($B$3,Lists!$C$2:$C$5,0),SUMIFS(Sales_Data!$O$2:$O$3520,Sales_Data!$C$2:$C$3520,$A67,Sales_Data!$H$2:$H$3520,B$14,Sales_Data!$AE$2:$AE$3520,1),SUMIFS(Sales_Data!$M$2:$M$3520,Sales_Data!$C$2:$C$3520,$A67,Sales_Data!$H$2:$H$3520,B$14,Sales_Data!$AE$2:$AE$3520,1),SUMIFS(Sales_Data!$N$2:$N$3520,Sales_Data!$C$2:$C$3520,$A67,Sales_Data!$H$2:$H$3520,B$14,Sales_Data!$AE$2:$AE$3520,1),SUMIFS(Sales_Data!$AE$2:$AE$3520,Sales_Data!$C$2:$C$3520,$A67,Sales_Data!$H$2:$H$3520,B$14))</f>
        <v>0</v>
      </c>
      <c r="C67" s="26" t="n">
        <f aca="false">CHOOSE(MATCH($B$3,Lists!$C$2:$C$5,0),SUMIFS(Sales_Data!$O$2:$O$3520,Sales_Data!$C$2:$C$3520,$A67,Sales_Data!$H$2:$H$3520,C$14,Sales_Data!$AE$2:$AE$3520,1),SUMIFS(Sales_Data!$M$2:$M$3520,Sales_Data!$C$2:$C$3520,$A67,Sales_Data!$H$2:$H$3520,C$14,Sales_Data!$AE$2:$AE$3520,1),SUMIFS(Sales_Data!$N$2:$N$3520,Sales_Data!$C$2:$C$3520,$A67,Sales_Data!$H$2:$H$3520,C$14,Sales_Data!$AE$2:$AE$3520,1),SUMIFS(Sales_Data!$AE$2:$AE$3520,Sales_Data!$C$2:$C$3520,$A67,Sales_Data!$H$2:$H$3520,C$14))</f>
        <v>11</v>
      </c>
      <c r="D67" s="26" t="n">
        <f aca="false">CHOOSE(MATCH($B$3,Lists!$C$2:$C$5,0),SUMIFS(Sales_Data!$O$2:$O$3520,Sales_Data!$C$2:$C$3520,$A67,Sales_Data!$H$2:$H$3520,D$14,Sales_Data!$AE$2:$AE$3520,1),SUMIFS(Sales_Data!$M$2:$M$3520,Sales_Data!$C$2:$C$3520,$A67,Sales_Data!$H$2:$H$3520,D$14,Sales_Data!$AE$2:$AE$3520,1),SUMIFS(Sales_Data!$N$2:$N$3520,Sales_Data!$C$2:$C$3520,$A67,Sales_Data!$H$2:$H$3520,D$14,Sales_Data!$AE$2:$AE$3520,1),SUMIFS(Sales_Data!$AE$2:$AE$3520,Sales_Data!$C$2:$C$3520,$A67,Sales_Data!$H$2:$H$3520,D$14))</f>
        <v>10</v>
      </c>
      <c r="E67" s="26" t="n">
        <f aca="false">CHOOSE(MATCH($B$3,Lists!$C$2:$C$5,0),SUMIFS(Sales_Data!$O$2:$O$3520,Sales_Data!$C$2:$C$3520,$A67,Sales_Data!$H$2:$H$3520,E$14,Sales_Data!$AE$2:$AE$3520,1),SUMIFS(Sales_Data!$M$2:$M$3520,Sales_Data!$C$2:$C$3520,$A67,Sales_Data!$H$2:$H$3520,E$14,Sales_Data!$AE$2:$AE$3520,1),SUMIFS(Sales_Data!$N$2:$N$3520,Sales_Data!$C$2:$C$3520,$A67,Sales_Data!$H$2:$H$3520,E$14,Sales_Data!$AE$2:$AE$3520,1),SUMIFS(Sales_Data!$AE$2:$AE$3520,Sales_Data!$C$2:$C$3520,$A67,Sales_Data!$H$2:$H$3520,E$14))</f>
        <v>0</v>
      </c>
      <c r="F67" s="26" t="n">
        <f aca="false">CHOOSE(MATCH($B$3,Lists!$C$2:$C$5,0),SUMIFS(Sales_Data!$O$2:$O$3520,Sales_Data!$C$2:$C$3520,$A67,Sales_Data!$H$2:$H$3520,F$14,Sales_Data!$AE$2:$AE$3520,1),SUMIFS(Sales_Data!$M$2:$M$3520,Sales_Data!$C$2:$C$3520,$A67,Sales_Data!$H$2:$H$3520,F$14,Sales_Data!$AE$2:$AE$3520,1),SUMIFS(Sales_Data!$N$2:$N$3520,Sales_Data!$C$2:$C$3520,$A67,Sales_Data!$H$2:$H$3520,F$14,Sales_Data!$AE$2:$AE$3520,1),SUMIFS(Sales_Data!$AE$2:$AE$3520,Sales_Data!$C$2:$C$3520,$A67,Sales_Data!$H$2:$H$3520,F$14))</f>
        <v>8</v>
      </c>
      <c r="G67" s="26" t="n">
        <f aca="false">CHOOSE(MATCH($B$3,Lists!$C$2:$C$5,0),SUMIFS(Sales_Data!$O$2:$O$3520,Sales_Data!$C$2:$C$3520,$A67,Sales_Data!$H$2:$H$3520,G$14,Sales_Data!$AE$2:$AE$3520,1),SUMIFS(Sales_Data!$M$2:$M$3520,Sales_Data!$C$2:$C$3520,$A67,Sales_Data!$H$2:$H$3520,G$14,Sales_Data!$AE$2:$AE$3520,1),SUMIFS(Sales_Data!$N$2:$N$3520,Sales_Data!$C$2:$C$3520,$A67,Sales_Data!$H$2:$H$3520,G$14,Sales_Data!$AE$2:$AE$3520,1),SUMIFS(Sales_Data!$AE$2:$AE$3520,Sales_Data!$C$2:$C$3520,$A67,Sales_Data!$H$2:$H$3520,G$14))</f>
        <v>14</v>
      </c>
      <c r="H67" s="26" t="n">
        <f aca="false">CHOOSE(MATCH($B$3,Lists!$C$2:$C$5,0),SUMIFS(Sales_Data!$O$2:$O$3520,Sales_Data!$C$2:$C$3520,$A67,Sales_Data!$H$2:$H$3520,H$14,Sales_Data!$AE$2:$AE$3520,1),SUMIFS(Sales_Data!$M$2:$M$3520,Sales_Data!$C$2:$C$3520,$A67,Sales_Data!$H$2:$H$3520,H$14,Sales_Data!$AE$2:$AE$3520,1),SUMIFS(Sales_Data!$N$2:$N$3520,Sales_Data!$C$2:$C$3520,$A67,Sales_Data!$H$2:$H$3520,H$14,Sales_Data!$AE$2:$AE$3520,1),SUMIFS(Sales_Data!$AE$2:$AE$3520,Sales_Data!$C$2:$C$3520,$A67,Sales_Data!$H$2:$H$3520,H$14))</f>
        <v>0</v>
      </c>
      <c r="I67" s="26" t="n">
        <f aca="false">CHOOSE(MATCH($B$3,Lists!$C$2:$C$5,0),SUMIFS(Sales_Data!$O$2:$O$3520,Sales_Data!$C$2:$C$3520,$A67,Sales_Data!$H$2:$H$3520,I$14,Sales_Data!$AE$2:$AE$3520,1),SUMIFS(Sales_Data!$M$2:$M$3520,Sales_Data!$C$2:$C$3520,$A67,Sales_Data!$H$2:$H$3520,I$14,Sales_Data!$AE$2:$AE$3520,1),SUMIFS(Sales_Data!$N$2:$N$3520,Sales_Data!$C$2:$C$3520,$A67,Sales_Data!$H$2:$H$3520,I$14,Sales_Data!$AE$2:$AE$3520,1),SUMIFS(Sales_Data!$AE$2:$AE$3520,Sales_Data!$C$2:$C$3520,$A67,Sales_Data!$H$2:$H$3520,I$14))</f>
        <v>0</v>
      </c>
      <c r="J67" s="26" t="n">
        <f aca="false">CHOOSE(MATCH($B$3,Lists!$C$2:$C$5,0),SUMIFS(Sales_Data!$O$2:$O$3520,Sales_Data!$C$2:$C$3520,$A67,Sales_Data!$H$2:$H$3520,J$14,Sales_Data!$AE$2:$AE$3520,1),SUMIFS(Sales_Data!$M$2:$M$3520,Sales_Data!$C$2:$C$3520,$A67,Sales_Data!$H$2:$H$3520,J$14,Sales_Data!$AE$2:$AE$3520,1),SUMIFS(Sales_Data!$N$2:$N$3520,Sales_Data!$C$2:$C$3520,$A67,Sales_Data!$H$2:$H$3520,J$14,Sales_Data!$AE$2:$AE$3520,1),SUMIFS(Sales_Data!$AE$2:$AE$3520,Sales_Data!$C$2:$C$3520,$A67,Sales_Data!$H$2:$H$3520,J$14))</f>
        <v>6</v>
      </c>
      <c r="K67" s="26" t="n">
        <f aca="false">CHOOSE(MATCH($B$3,Lists!$C$2:$C$5,0),SUMIFS(Sales_Data!$O$2:$O$3520,Sales_Data!$C$2:$C$3520,$A67,Sales_Data!$H$2:$H$3520,K$14,Sales_Data!$AE$2:$AE$3520,1),SUMIFS(Sales_Data!$M$2:$M$3520,Sales_Data!$C$2:$C$3520,$A67,Sales_Data!$H$2:$H$3520,K$14,Sales_Data!$AE$2:$AE$3520,1),SUMIFS(Sales_Data!$N$2:$N$3520,Sales_Data!$C$2:$C$3520,$A67,Sales_Data!$H$2:$H$3520,K$14,Sales_Data!$AE$2:$AE$3520,1),SUMIFS(Sales_Data!$AE$2:$AE$3520,Sales_Data!$C$2:$C$3520,$A67,Sales_Data!$H$2:$H$3520,K$14))</f>
        <v>0</v>
      </c>
      <c r="L67" s="26" t="n">
        <f aca="false">CHOOSE(MATCH($B$3,Lists!$C$2:$C$5,0),SUMIFS(Sales_Data!$O$2:$O$3520,Sales_Data!$C$2:$C$3520,$A67,Sales_Data!$H$2:$H$3520,L$14,Sales_Data!$AE$2:$AE$3520,1),SUMIFS(Sales_Data!$M$2:$M$3520,Sales_Data!$C$2:$C$3520,$A67,Sales_Data!$H$2:$H$3520,L$14,Sales_Data!$AE$2:$AE$3520,1),SUMIFS(Sales_Data!$N$2:$N$3520,Sales_Data!$C$2:$C$3520,$A67,Sales_Data!$H$2:$H$3520,L$14,Sales_Data!$AE$2:$AE$3520,1),SUMIFS(Sales_Data!$AE$2:$AE$3520,Sales_Data!$C$2:$C$3520,$A67,Sales_Data!$H$2:$H$3520,L$14))</f>
        <v>7</v>
      </c>
      <c r="M67" s="26" t="n">
        <f aca="false">CHOOSE(MATCH($B$3,Lists!$C$2:$C$5,0),SUMIFS(Sales_Data!$O$2:$O$3520,Sales_Data!$C$2:$C$3520,$A67,Sales_Data!$H$2:$H$3520,M$14,Sales_Data!$AE$2:$AE$3520,1),SUMIFS(Sales_Data!$M$2:$M$3520,Sales_Data!$C$2:$C$3520,$A67,Sales_Data!$H$2:$H$3520,M$14,Sales_Data!$AE$2:$AE$3520,1),SUMIFS(Sales_Data!$N$2:$N$3520,Sales_Data!$C$2:$C$3520,$A67,Sales_Data!$H$2:$H$3520,M$14,Sales_Data!$AE$2:$AE$3520,1),SUMIFS(Sales_Data!$AE$2:$AE$3520,Sales_Data!$C$2:$C$3520,$A67,Sales_Data!$H$2:$H$3520,M$14))</f>
        <v>10</v>
      </c>
      <c r="N67" s="26" t="n">
        <f aca="false">CHOOSE(MATCH($B$3,Lists!$C$2:$C$5,0),SUMIFS(Sales_Data!$O$2:$O$3520,Sales_Data!$C$2:$C$3520,$A67,Sales_Data!$H$2:$H$3520,N$14,Sales_Data!$AE$2:$AE$3520,1),SUMIFS(Sales_Data!$M$2:$M$3520,Sales_Data!$C$2:$C$3520,$A67,Sales_Data!$H$2:$H$3520,N$14,Sales_Data!$AE$2:$AE$3520,1),SUMIFS(Sales_Data!$N$2:$N$3520,Sales_Data!$C$2:$C$3520,$A67,Sales_Data!$H$2:$H$3520,N$14,Sales_Data!$AE$2:$AE$3520,1),SUMIFS(Sales_Data!$AE$2:$AE$3520,Sales_Data!$C$2:$C$3520,$A67,Sales_Data!$H$2:$H$3520,N$14))</f>
        <v>17</v>
      </c>
      <c r="O67" s="26" t="n">
        <f aca="false">CHOOSE(MATCH($B$3,Lists!$C$2:$C$5,0),SUMIFS(Sales_Data!$O$2:$O$3520,Sales_Data!$C$2:$C$3520,$A67,Sales_Data!$H$2:$H$3520,O$14,Sales_Data!$AE$2:$AE$3520,1),SUMIFS(Sales_Data!$M$2:$M$3520,Sales_Data!$C$2:$C$3520,$A67,Sales_Data!$H$2:$H$3520,O$14,Sales_Data!$AE$2:$AE$3520,1),SUMIFS(Sales_Data!$N$2:$N$3520,Sales_Data!$C$2:$C$3520,$A67,Sales_Data!$H$2:$H$3520,O$14,Sales_Data!$AE$2:$AE$3520,1),SUMIFS(Sales_Data!$AE$2:$AE$3520,Sales_Data!$C$2:$C$3520,$A67,Sales_Data!$H$2:$H$3520,O$14))</f>
        <v>0</v>
      </c>
      <c r="P67" s="27" t="n">
        <f aca="false">CHOOSE(MATCH($B$3,Lists!$C$2:$C$5,0),SUMIFS(Sales_Data!$O$2:$O$3520,Sales_Data!$C$2:$C$3520,$A67,Sales_Data!$AE$2:$AE$3520,1),SUMIFS(Sales_Data!$M$2:$M$3520,Sales_Data!$C$2:$C$3520,$A67,Sales_Data!$AE$2:$AE$3520,1),SUMIFS(Sales_Data!$N$2:$N$3520,Sales_Data!$C$2:$C$3520,$A67,Sales_Data!$AE$2:$AE$3520,1),SUMIFS(Sales_Data!$AE$2:$AE$3520,Sales_Data!$C$2:$C$3520,$A67))</f>
        <v>85</v>
      </c>
      <c r="Q67" s="27" t="n">
        <f aca="false">P67-SUM(B67:O67)</f>
        <v>2</v>
      </c>
      <c r="R67" s="3"/>
      <c r="S67" s="72" t="n">
        <f aca="false">A67</f>
        <v>46277</v>
      </c>
      <c r="T67" s="28" t="n">
        <f aca="false">B67-B66</f>
        <v>0</v>
      </c>
      <c r="U67" s="28" t="n">
        <f aca="false">C67-C66</f>
        <v>-5</v>
      </c>
      <c r="V67" s="28" t="n">
        <f aca="false">D67-D66</f>
        <v>2</v>
      </c>
      <c r="W67" s="28" t="n">
        <f aca="false">E67-E66</f>
        <v>0</v>
      </c>
      <c r="X67" s="28" t="n">
        <f aca="false">F67-F66</f>
        <v>-1</v>
      </c>
      <c r="Y67" s="28" t="n">
        <f aca="false">G67-G66</f>
        <v>8</v>
      </c>
      <c r="Z67" s="28" t="n">
        <f aca="false">H67-H66</f>
        <v>0</v>
      </c>
      <c r="AA67" s="28" t="n">
        <f aca="false">I67-I66</f>
        <v>0</v>
      </c>
      <c r="AB67" s="28" t="n">
        <f aca="false">J67-J66</f>
        <v>6</v>
      </c>
      <c r="AC67" s="28" t="n">
        <f aca="false">K67-K66</f>
        <v>0</v>
      </c>
      <c r="AD67" s="28" t="n">
        <f aca="false">L67-L66</f>
        <v>-3</v>
      </c>
      <c r="AE67" s="28" t="n">
        <f aca="false">M67-M66</f>
        <v>-4</v>
      </c>
      <c r="AF67" s="28" t="n">
        <f aca="false">N67-N66</f>
        <v>13</v>
      </c>
      <c r="AG67" s="28" t="n">
        <f aca="false">O67-O66</f>
        <v>0</v>
      </c>
      <c r="AH67" s="28" t="n">
        <f aca="false">P67-P66</f>
        <v>15</v>
      </c>
    </row>
    <row r="68" customFormat="false" ht="15" hidden="false" customHeight="false" outlineLevel="0" collapsed="false">
      <c r="A68" s="72" t="n">
        <v>46278</v>
      </c>
      <c r="B68" s="26" t="n">
        <f aca="false">CHOOSE(MATCH($B$3,Lists!$C$2:$C$5,0),SUMIFS(Sales_Data!$O$2:$O$3520,Sales_Data!$C$2:$C$3520,$A68,Sales_Data!$H$2:$H$3520,B$14,Sales_Data!$AE$2:$AE$3520,1),SUMIFS(Sales_Data!$M$2:$M$3520,Sales_Data!$C$2:$C$3520,$A68,Sales_Data!$H$2:$H$3520,B$14,Sales_Data!$AE$2:$AE$3520,1),SUMIFS(Sales_Data!$N$2:$N$3520,Sales_Data!$C$2:$C$3520,$A68,Sales_Data!$H$2:$H$3520,B$14,Sales_Data!$AE$2:$AE$3520,1),SUMIFS(Sales_Data!$AE$2:$AE$3520,Sales_Data!$C$2:$C$3520,$A68,Sales_Data!$H$2:$H$3520,B$14))</f>
        <v>0</v>
      </c>
      <c r="C68" s="26" t="n">
        <f aca="false">CHOOSE(MATCH($B$3,Lists!$C$2:$C$5,0),SUMIFS(Sales_Data!$O$2:$O$3520,Sales_Data!$C$2:$C$3520,$A68,Sales_Data!$H$2:$H$3520,C$14,Sales_Data!$AE$2:$AE$3520,1),SUMIFS(Sales_Data!$M$2:$M$3520,Sales_Data!$C$2:$C$3520,$A68,Sales_Data!$H$2:$H$3520,C$14,Sales_Data!$AE$2:$AE$3520,1),SUMIFS(Sales_Data!$N$2:$N$3520,Sales_Data!$C$2:$C$3520,$A68,Sales_Data!$H$2:$H$3520,C$14,Sales_Data!$AE$2:$AE$3520,1),SUMIFS(Sales_Data!$AE$2:$AE$3520,Sales_Data!$C$2:$C$3520,$A68,Sales_Data!$H$2:$H$3520,C$14))</f>
        <v>3</v>
      </c>
      <c r="D68" s="26" t="n">
        <f aca="false">CHOOSE(MATCH($B$3,Lists!$C$2:$C$5,0),SUMIFS(Sales_Data!$O$2:$O$3520,Sales_Data!$C$2:$C$3520,$A68,Sales_Data!$H$2:$H$3520,D$14,Sales_Data!$AE$2:$AE$3520,1),SUMIFS(Sales_Data!$M$2:$M$3520,Sales_Data!$C$2:$C$3520,$A68,Sales_Data!$H$2:$H$3520,D$14,Sales_Data!$AE$2:$AE$3520,1),SUMIFS(Sales_Data!$N$2:$N$3520,Sales_Data!$C$2:$C$3520,$A68,Sales_Data!$H$2:$H$3520,D$14,Sales_Data!$AE$2:$AE$3520,1),SUMIFS(Sales_Data!$AE$2:$AE$3520,Sales_Data!$C$2:$C$3520,$A68,Sales_Data!$H$2:$H$3520,D$14))</f>
        <v>13</v>
      </c>
      <c r="E68" s="26" t="n">
        <f aca="false">CHOOSE(MATCH($B$3,Lists!$C$2:$C$5,0),SUMIFS(Sales_Data!$O$2:$O$3520,Sales_Data!$C$2:$C$3520,$A68,Sales_Data!$H$2:$H$3520,E$14,Sales_Data!$AE$2:$AE$3520,1),SUMIFS(Sales_Data!$M$2:$M$3520,Sales_Data!$C$2:$C$3520,$A68,Sales_Data!$H$2:$H$3520,E$14,Sales_Data!$AE$2:$AE$3520,1),SUMIFS(Sales_Data!$N$2:$N$3520,Sales_Data!$C$2:$C$3520,$A68,Sales_Data!$H$2:$H$3520,E$14,Sales_Data!$AE$2:$AE$3520,1),SUMIFS(Sales_Data!$AE$2:$AE$3520,Sales_Data!$C$2:$C$3520,$A68,Sales_Data!$H$2:$H$3520,E$14))</f>
        <v>0</v>
      </c>
      <c r="F68" s="26" t="n">
        <f aca="false">CHOOSE(MATCH($B$3,Lists!$C$2:$C$5,0),SUMIFS(Sales_Data!$O$2:$O$3520,Sales_Data!$C$2:$C$3520,$A68,Sales_Data!$H$2:$H$3520,F$14,Sales_Data!$AE$2:$AE$3520,1),SUMIFS(Sales_Data!$M$2:$M$3520,Sales_Data!$C$2:$C$3520,$A68,Sales_Data!$H$2:$H$3520,F$14,Sales_Data!$AE$2:$AE$3520,1),SUMIFS(Sales_Data!$N$2:$N$3520,Sales_Data!$C$2:$C$3520,$A68,Sales_Data!$H$2:$H$3520,F$14,Sales_Data!$AE$2:$AE$3520,1),SUMIFS(Sales_Data!$AE$2:$AE$3520,Sales_Data!$C$2:$C$3520,$A68,Sales_Data!$H$2:$H$3520,F$14))</f>
        <v>5</v>
      </c>
      <c r="G68" s="26" t="n">
        <f aca="false">CHOOSE(MATCH($B$3,Lists!$C$2:$C$5,0),SUMIFS(Sales_Data!$O$2:$O$3520,Sales_Data!$C$2:$C$3520,$A68,Sales_Data!$H$2:$H$3520,G$14,Sales_Data!$AE$2:$AE$3520,1),SUMIFS(Sales_Data!$M$2:$M$3520,Sales_Data!$C$2:$C$3520,$A68,Sales_Data!$H$2:$H$3520,G$14,Sales_Data!$AE$2:$AE$3520,1),SUMIFS(Sales_Data!$N$2:$N$3520,Sales_Data!$C$2:$C$3520,$A68,Sales_Data!$H$2:$H$3520,G$14,Sales_Data!$AE$2:$AE$3520,1),SUMIFS(Sales_Data!$AE$2:$AE$3520,Sales_Data!$C$2:$C$3520,$A68,Sales_Data!$H$2:$H$3520,G$14))</f>
        <v>13</v>
      </c>
      <c r="H68" s="26" t="n">
        <f aca="false">CHOOSE(MATCH($B$3,Lists!$C$2:$C$5,0),SUMIFS(Sales_Data!$O$2:$O$3520,Sales_Data!$C$2:$C$3520,$A68,Sales_Data!$H$2:$H$3520,H$14,Sales_Data!$AE$2:$AE$3520,1),SUMIFS(Sales_Data!$M$2:$M$3520,Sales_Data!$C$2:$C$3520,$A68,Sales_Data!$H$2:$H$3520,H$14,Sales_Data!$AE$2:$AE$3520,1),SUMIFS(Sales_Data!$N$2:$N$3520,Sales_Data!$C$2:$C$3520,$A68,Sales_Data!$H$2:$H$3520,H$14,Sales_Data!$AE$2:$AE$3520,1),SUMIFS(Sales_Data!$AE$2:$AE$3520,Sales_Data!$C$2:$C$3520,$A68,Sales_Data!$H$2:$H$3520,H$14))</f>
        <v>0</v>
      </c>
      <c r="I68" s="26" t="n">
        <f aca="false">CHOOSE(MATCH($B$3,Lists!$C$2:$C$5,0),SUMIFS(Sales_Data!$O$2:$O$3520,Sales_Data!$C$2:$C$3520,$A68,Sales_Data!$H$2:$H$3520,I$14,Sales_Data!$AE$2:$AE$3520,1),SUMIFS(Sales_Data!$M$2:$M$3520,Sales_Data!$C$2:$C$3520,$A68,Sales_Data!$H$2:$H$3520,I$14,Sales_Data!$AE$2:$AE$3520,1),SUMIFS(Sales_Data!$N$2:$N$3520,Sales_Data!$C$2:$C$3520,$A68,Sales_Data!$H$2:$H$3520,I$14,Sales_Data!$AE$2:$AE$3520,1),SUMIFS(Sales_Data!$AE$2:$AE$3520,Sales_Data!$C$2:$C$3520,$A68,Sales_Data!$H$2:$H$3520,I$14))</f>
        <v>0</v>
      </c>
      <c r="J68" s="26" t="n">
        <f aca="false">CHOOSE(MATCH($B$3,Lists!$C$2:$C$5,0),SUMIFS(Sales_Data!$O$2:$O$3520,Sales_Data!$C$2:$C$3520,$A68,Sales_Data!$H$2:$H$3520,J$14,Sales_Data!$AE$2:$AE$3520,1),SUMIFS(Sales_Data!$M$2:$M$3520,Sales_Data!$C$2:$C$3520,$A68,Sales_Data!$H$2:$H$3520,J$14,Sales_Data!$AE$2:$AE$3520,1),SUMIFS(Sales_Data!$N$2:$N$3520,Sales_Data!$C$2:$C$3520,$A68,Sales_Data!$H$2:$H$3520,J$14,Sales_Data!$AE$2:$AE$3520,1),SUMIFS(Sales_Data!$AE$2:$AE$3520,Sales_Data!$C$2:$C$3520,$A68,Sales_Data!$H$2:$H$3520,J$14))</f>
        <v>1</v>
      </c>
      <c r="K68" s="26" t="n">
        <f aca="false">CHOOSE(MATCH($B$3,Lists!$C$2:$C$5,0),SUMIFS(Sales_Data!$O$2:$O$3520,Sales_Data!$C$2:$C$3520,$A68,Sales_Data!$H$2:$H$3520,K$14,Sales_Data!$AE$2:$AE$3520,1),SUMIFS(Sales_Data!$M$2:$M$3520,Sales_Data!$C$2:$C$3520,$A68,Sales_Data!$H$2:$H$3520,K$14,Sales_Data!$AE$2:$AE$3520,1),SUMIFS(Sales_Data!$N$2:$N$3520,Sales_Data!$C$2:$C$3520,$A68,Sales_Data!$H$2:$H$3520,K$14,Sales_Data!$AE$2:$AE$3520,1),SUMIFS(Sales_Data!$AE$2:$AE$3520,Sales_Data!$C$2:$C$3520,$A68,Sales_Data!$H$2:$H$3520,K$14))</f>
        <v>0</v>
      </c>
      <c r="L68" s="26" t="n">
        <f aca="false">CHOOSE(MATCH($B$3,Lists!$C$2:$C$5,0),SUMIFS(Sales_Data!$O$2:$O$3520,Sales_Data!$C$2:$C$3520,$A68,Sales_Data!$H$2:$H$3520,L$14,Sales_Data!$AE$2:$AE$3520,1),SUMIFS(Sales_Data!$M$2:$M$3520,Sales_Data!$C$2:$C$3520,$A68,Sales_Data!$H$2:$H$3520,L$14,Sales_Data!$AE$2:$AE$3520,1),SUMIFS(Sales_Data!$N$2:$N$3520,Sales_Data!$C$2:$C$3520,$A68,Sales_Data!$H$2:$H$3520,L$14,Sales_Data!$AE$2:$AE$3520,1),SUMIFS(Sales_Data!$AE$2:$AE$3520,Sales_Data!$C$2:$C$3520,$A68,Sales_Data!$H$2:$H$3520,L$14))</f>
        <v>4</v>
      </c>
      <c r="M68" s="26" t="n">
        <f aca="false">CHOOSE(MATCH($B$3,Lists!$C$2:$C$5,0),SUMIFS(Sales_Data!$O$2:$O$3520,Sales_Data!$C$2:$C$3520,$A68,Sales_Data!$H$2:$H$3520,M$14,Sales_Data!$AE$2:$AE$3520,1),SUMIFS(Sales_Data!$M$2:$M$3520,Sales_Data!$C$2:$C$3520,$A68,Sales_Data!$H$2:$H$3520,M$14,Sales_Data!$AE$2:$AE$3520,1),SUMIFS(Sales_Data!$N$2:$N$3520,Sales_Data!$C$2:$C$3520,$A68,Sales_Data!$H$2:$H$3520,M$14,Sales_Data!$AE$2:$AE$3520,1),SUMIFS(Sales_Data!$AE$2:$AE$3520,Sales_Data!$C$2:$C$3520,$A68,Sales_Data!$H$2:$H$3520,M$14))</f>
        <v>5</v>
      </c>
      <c r="N68" s="26" t="n">
        <f aca="false">CHOOSE(MATCH($B$3,Lists!$C$2:$C$5,0),SUMIFS(Sales_Data!$O$2:$O$3520,Sales_Data!$C$2:$C$3520,$A68,Sales_Data!$H$2:$H$3520,N$14,Sales_Data!$AE$2:$AE$3520,1),SUMIFS(Sales_Data!$M$2:$M$3520,Sales_Data!$C$2:$C$3520,$A68,Sales_Data!$H$2:$H$3520,N$14,Sales_Data!$AE$2:$AE$3520,1),SUMIFS(Sales_Data!$N$2:$N$3520,Sales_Data!$C$2:$C$3520,$A68,Sales_Data!$H$2:$H$3520,N$14,Sales_Data!$AE$2:$AE$3520,1),SUMIFS(Sales_Data!$AE$2:$AE$3520,Sales_Data!$C$2:$C$3520,$A68,Sales_Data!$H$2:$H$3520,N$14))</f>
        <v>10</v>
      </c>
      <c r="O68" s="26" t="n">
        <f aca="false">CHOOSE(MATCH($B$3,Lists!$C$2:$C$5,0),SUMIFS(Sales_Data!$O$2:$O$3520,Sales_Data!$C$2:$C$3520,$A68,Sales_Data!$H$2:$H$3520,O$14,Sales_Data!$AE$2:$AE$3520,1),SUMIFS(Sales_Data!$M$2:$M$3520,Sales_Data!$C$2:$C$3520,$A68,Sales_Data!$H$2:$H$3520,O$14,Sales_Data!$AE$2:$AE$3520,1),SUMIFS(Sales_Data!$N$2:$N$3520,Sales_Data!$C$2:$C$3520,$A68,Sales_Data!$H$2:$H$3520,O$14,Sales_Data!$AE$2:$AE$3520,1),SUMIFS(Sales_Data!$AE$2:$AE$3520,Sales_Data!$C$2:$C$3520,$A68,Sales_Data!$H$2:$H$3520,O$14))</f>
        <v>0</v>
      </c>
      <c r="P68" s="27" t="n">
        <f aca="false">CHOOSE(MATCH($B$3,Lists!$C$2:$C$5,0),SUMIFS(Sales_Data!$O$2:$O$3520,Sales_Data!$C$2:$C$3520,$A68,Sales_Data!$AE$2:$AE$3520,1),SUMIFS(Sales_Data!$M$2:$M$3520,Sales_Data!$C$2:$C$3520,$A68,Sales_Data!$AE$2:$AE$3520,1),SUMIFS(Sales_Data!$N$2:$N$3520,Sales_Data!$C$2:$C$3520,$A68,Sales_Data!$AE$2:$AE$3520,1),SUMIFS(Sales_Data!$AE$2:$AE$3520,Sales_Data!$C$2:$C$3520,$A68))</f>
        <v>57</v>
      </c>
      <c r="Q68" s="27" t="n">
        <f aca="false">P68-SUM(B68:O68)</f>
        <v>3</v>
      </c>
      <c r="R68" s="3"/>
      <c r="S68" s="72" t="n">
        <f aca="false">A68</f>
        <v>46278</v>
      </c>
      <c r="T68" s="28" t="n">
        <f aca="false">B68-B67</f>
        <v>0</v>
      </c>
      <c r="U68" s="28" t="n">
        <f aca="false">C68-C67</f>
        <v>-8</v>
      </c>
      <c r="V68" s="28" t="n">
        <f aca="false">D68-D67</f>
        <v>3</v>
      </c>
      <c r="W68" s="28" t="n">
        <f aca="false">E68-E67</f>
        <v>0</v>
      </c>
      <c r="X68" s="28" t="n">
        <f aca="false">F68-F67</f>
        <v>-3</v>
      </c>
      <c r="Y68" s="28" t="n">
        <f aca="false">G68-G67</f>
        <v>-1</v>
      </c>
      <c r="Z68" s="28" t="n">
        <f aca="false">H68-H67</f>
        <v>0</v>
      </c>
      <c r="AA68" s="28" t="n">
        <f aca="false">I68-I67</f>
        <v>0</v>
      </c>
      <c r="AB68" s="28" t="n">
        <f aca="false">J68-J67</f>
        <v>-5</v>
      </c>
      <c r="AC68" s="28" t="n">
        <f aca="false">K68-K67</f>
        <v>0</v>
      </c>
      <c r="AD68" s="28" t="n">
        <f aca="false">L68-L67</f>
        <v>-3</v>
      </c>
      <c r="AE68" s="28" t="n">
        <f aca="false">M68-M67</f>
        <v>-5</v>
      </c>
      <c r="AF68" s="28" t="n">
        <f aca="false">N68-N67</f>
        <v>-7</v>
      </c>
      <c r="AG68" s="28" t="n">
        <f aca="false">O68-O67</f>
        <v>0</v>
      </c>
      <c r="AH68" s="28" t="n">
        <f aca="false">P68-P67</f>
        <v>-28</v>
      </c>
    </row>
    <row r="69" customFormat="false" ht="15" hidden="false" customHeight="false" outlineLevel="0" collapsed="false">
      <c r="A69" s="72" t="n">
        <v>46279</v>
      </c>
      <c r="B69" s="26" t="n">
        <f aca="false">CHOOSE(MATCH($B$3,Lists!$C$2:$C$5,0),SUMIFS(Sales_Data!$O$2:$O$3520,Sales_Data!$C$2:$C$3520,$A69,Sales_Data!$H$2:$H$3520,B$14,Sales_Data!$AE$2:$AE$3520,1),SUMIFS(Sales_Data!$M$2:$M$3520,Sales_Data!$C$2:$C$3520,$A69,Sales_Data!$H$2:$H$3520,B$14,Sales_Data!$AE$2:$AE$3520,1),SUMIFS(Sales_Data!$N$2:$N$3520,Sales_Data!$C$2:$C$3520,$A69,Sales_Data!$H$2:$H$3520,B$14,Sales_Data!$AE$2:$AE$3520,1),SUMIFS(Sales_Data!$AE$2:$AE$3520,Sales_Data!$C$2:$C$3520,$A69,Sales_Data!$H$2:$H$3520,B$14))</f>
        <v>0</v>
      </c>
      <c r="C69" s="26" t="n">
        <f aca="false">CHOOSE(MATCH($B$3,Lists!$C$2:$C$5,0),SUMIFS(Sales_Data!$O$2:$O$3520,Sales_Data!$C$2:$C$3520,$A69,Sales_Data!$H$2:$H$3520,C$14,Sales_Data!$AE$2:$AE$3520,1),SUMIFS(Sales_Data!$M$2:$M$3520,Sales_Data!$C$2:$C$3520,$A69,Sales_Data!$H$2:$H$3520,C$14,Sales_Data!$AE$2:$AE$3520,1),SUMIFS(Sales_Data!$N$2:$N$3520,Sales_Data!$C$2:$C$3520,$A69,Sales_Data!$H$2:$H$3520,C$14,Sales_Data!$AE$2:$AE$3520,1),SUMIFS(Sales_Data!$AE$2:$AE$3520,Sales_Data!$C$2:$C$3520,$A69,Sales_Data!$H$2:$H$3520,C$14))</f>
        <v>1</v>
      </c>
      <c r="D69" s="26" t="n">
        <f aca="false">CHOOSE(MATCH($B$3,Lists!$C$2:$C$5,0),SUMIFS(Sales_Data!$O$2:$O$3520,Sales_Data!$C$2:$C$3520,$A69,Sales_Data!$H$2:$H$3520,D$14,Sales_Data!$AE$2:$AE$3520,1),SUMIFS(Sales_Data!$M$2:$M$3520,Sales_Data!$C$2:$C$3520,$A69,Sales_Data!$H$2:$H$3520,D$14,Sales_Data!$AE$2:$AE$3520,1),SUMIFS(Sales_Data!$N$2:$N$3520,Sales_Data!$C$2:$C$3520,$A69,Sales_Data!$H$2:$H$3520,D$14,Sales_Data!$AE$2:$AE$3520,1),SUMIFS(Sales_Data!$AE$2:$AE$3520,Sales_Data!$C$2:$C$3520,$A69,Sales_Data!$H$2:$H$3520,D$14))</f>
        <v>5</v>
      </c>
      <c r="E69" s="26" t="n">
        <f aca="false">CHOOSE(MATCH($B$3,Lists!$C$2:$C$5,0),SUMIFS(Sales_Data!$O$2:$O$3520,Sales_Data!$C$2:$C$3520,$A69,Sales_Data!$H$2:$H$3520,E$14,Sales_Data!$AE$2:$AE$3520,1),SUMIFS(Sales_Data!$M$2:$M$3520,Sales_Data!$C$2:$C$3520,$A69,Sales_Data!$H$2:$H$3520,E$14,Sales_Data!$AE$2:$AE$3520,1),SUMIFS(Sales_Data!$N$2:$N$3520,Sales_Data!$C$2:$C$3520,$A69,Sales_Data!$H$2:$H$3520,E$14,Sales_Data!$AE$2:$AE$3520,1),SUMIFS(Sales_Data!$AE$2:$AE$3520,Sales_Data!$C$2:$C$3520,$A69,Sales_Data!$H$2:$H$3520,E$14))</f>
        <v>0</v>
      </c>
      <c r="F69" s="26" t="n">
        <f aca="false">CHOOSE(MATCH($B$3,Lists!$C$2:$C$5,0),SUMIFS(Sales_Data!$O$2:$O$3520,Sales_Data!$C$2:$C$3520,$A69,Sales_Data!$H$2:$H$3520,F$14,Sales_Data!$AE$2:$AE$3520,1),SUMIFS(Sales_Data!$M$2:$M$3520,Sales_Data!$C$2:$C$3520,$A69,Sales_Data!$H$2:$H$3520,F$14,Sales_Data!$AE$2:$AE$3520,1),SUMIFS(Sales_Data!$N$2:$N$3520,Sales_Data!$C$2:$C$3520,$A69,Sales_Data!$H$2:$H$3520,F$14,Sales_Data!$AE$2:$AE$3520,1),SUMIFS(Sales_Data!$AE$2:$AE$3520,Sales_Data!$C$2:$C$3520,$A69,Sales_Data!$H$2:$H$3520,F$14))</f>
        <v>7</v>
      </c>
      <c r="G69" s="26" t="n">
        <f aca="false">CHOOSE(MATCH($B$3,Lists!$C$2:$C$5,0),SUMIFS(Sales_Data!$O$2:$O$3520,Sales_Data!$C$2:$C$3520,$A69,Sales_Data!$H$2:$H$3520,G$14,Sales_Data!$AE$2:$AE$3520,1),SUMIFS(Sales_Data!$M$2:$M$3520,Sales_Data!$C$2:$C$3520,$A69,Sales_Data!$H$2:$H$3520,G$14,Sales_Data!$AE$2:$AE$3520,1),SUMIFS(Sales_Data!$N$2:$N$3520,Sales_Data!$C$2:$C$3520,$A69,Sales_Data!$H$2:$H$3520,G$14,Sales_Data!$AE$2:$AE$3520,1),SUMIFS(Sales_Data!$AE$2:$AE$3520,Sales_Data!$C$2:$C$3520,$A69,Sales_Data!$H$2:$H$3520,G$14))</f>
        <v>8</v>
      </c>
      <c r="H69" s="26" t="n">
        <f aca="false">CHOOSE(MATCH($B$3,Lists!$C$2:$C$5,0),SUMIFS(Sales_Data!$O$2:$O$3520,Sales_Data!$C$2:$C$3520,$A69,Sales_Data!$H$2:$H$3520,H$14,Sales_Data!$AE$2:$AE$3520,1),SUMIFS(Sales_Data!$M$2:$M$3520,Sales_Data!$C$2:$C$3520,$A69,Sales_Data!$H$2:$H$3520,H$14,Sales_Data!$AE$2:$AE$3520,1),SUMIFS(Sales_Data!$N$2:$N$3520,Sales_Data!$C$2:$C$3520,$A69,Sales_Data!$H$2:$H$3520,H$14,Sales_Data!$AE$2:$AE$3520,1),SUMIFS(Sales_Data!$AE$2:$AE$3520,Sales_Data!$C$2:$C$3520,$A69,Sales_Data!$H$2:$H$3520,H$14))</f>
        <v>0</v>
      </c>
      <c r="I69" s="26" t="n">
        <f aca="false">CHOOSE(MATCH($B$3,Lists!$C$2:$C$5,0),SUMIFS(Sales_Data!$O$2:$O$3520,Sales_Data!$C$2:$C$3520,$A69,Sales_Data!$H$2:$H$3520,I$14,Sales_Data!$AE$2:$AE$3520,1),SUMIFS(Sales_Data!$M$2:$M$3520,Sales_Data!$C$2:$C$3520,$A69,Sales_Data!$H$2:$H$3520,I$14,Sales_Data!$AE$2:$AE$3520,1),SUMIFS(Sales_Data!$N$2:$N$3520,Sales_Data!$C$2:$C$3520,$A69,Sales_Data!$H$2:$H$3520,I$14,Sales_Data!$AE$2:$AE$3520,1),SUMIFS(Sales_Data!$AE$2:$AE$3520,Sales_Data!$C$2:$C$3520,$A69,Sales_Data!$H$2:$H$3520,I$14))</f>
        <v>0</v>
      </c>
      <c r="J69" s="26" t="n">
        <f aca="false">CHOOSE(MATCH($B$3,Lists!$C$2:$C$5,0),SUMIFS(Sales_Data!$O$2:$O$3520,Sales_Data!$C$2:$C$3520,$A69,Sales_Data!$H$2:$H$3520,J$14,Sales_Data!$AE$2:$AE$3520,1),SUMIFS(Sales_Data!$M$2:$M$3520,Sales_Data!$C$2:$C$3520,$A69,Sales_Data!$H$2:$H$3520,J$14,Sales_Data!$AE$2:$AE$3520,1),SUMIFS(Sales_Data!$N$2:$N$3520,Sales_Data!$C$2:$C$3520,$A69,Sales_Data!$H$2:$H$3520,J$14,Sales_Data!$AE$2:$AE$3520,1),SUMIFS(Sales_Data!$AE$2:$AE$3520,Sales_Data!$C$2:$C$3520,$A69,Sales_Data!$H$2:$H$3520,J$14))</f>
        <v>8</v>
      </c>
      <c r="K69" s="26" t="n">
        <f aca="false">CHOOSE(MATCH($B$3,Lists!$C$2:$C$5,0),SUMIFS(Sales_Data!$O$2:$O$3520,Sales_Data!$C$2:$C$3520,$A69,Sales_Data!$H$2:$H$3520,K$14,Sales_Data!$AE$2:$AE$3520,1),SUMIFS(Sales_Data!$M$2:$M$3520,Sales_Data!$C$2:$C$3520,$A69,Sales_Data!$H$2:$H$3520,K$14,Sales_Data!$AE$2:$AE$3520,1),SUMIFS(Sales_Data!$N$2:$N$3520,Sales_Data!$C$2:$C$3520,$A69,Sales_Data!$H$2:$H$3520,K$14,Sales_Data!$AE$2:$AE$3520,1),SUMIFS(Sales_Data!$AE$2:$AE$3520,Sales_Data!$C$2:$C$3520,$A69,Sales_Data!$H$2:$H$3520,K$14))</f>
        <v>0</v>
      </c>
      <c r="L69" s="26" t="n">
        <f aca="false">CHOOSE(MATCH($B$3,Lists!$C$2:$C$5,0),SUMIFS(Sales_Data!$O$2:$O$3520,Sales_Data!$C$2:$C$3520,$A69,Sales_Data!$H$2:$H$3520,L$14,Sales_Data!$AE$2:$AE$3520,1),SUMIFS(Sales_Data!$M$2:$M$3520,Sales_Data!$C$2:$C$3520,$A69,Sales_Data!$H$2:$H$3520,L$14,Sales_Data!$AE$2:$AE$3520,1),SUMIFS(Sales_Data!$N$2:$N$3520,Sales_Data!$C$2:$C$3520,$A69,Sales_Data!$H$2:$H$3520,L$14,Sales_Data!$AE$2:$AE$3520,1),SUMIFS(Sales_Data!$AE$2:$AE$3520,Sales_Data!$C$2:$C$3520,$A69,Sales_Data!$H$2:$H$3520,L$14))</f>
        <v>7</v>
      </c>
      <c r="M69" s="26" t="n">
        <f aca="false">CHOOSE(MATCH($B$3,Lists!$C$2:$C$5,0),SUMIFS(Sales_Data!$O$2:$O$3520,Sales_Data!$C$2:$C$3520,$A69,Sales_Data!$H$2:$H$3520,M$14,Sales_Data!$AE$2:$AE$3520,1),SUMIFS(Sales_Data!$M$2:$M$3520,Sales_Data!$C$2:$C$3520,$A69,Sales_Data!$H$2:$H$3520,M$14,Sales_Data!$AE$2:$AE$3520,1),SUMIFS(Sales_Data!$N$2:$N$3520,Sales_Data!$C$2:$C$3520,$A69,Sales_Data!$H$2:$H$3520,M$14,Sales_Data!$AE$2:$AE$3520,1),SUMIFS(Sales_Data!$AE$2:$AE$3520,Sales_Data!$C$2:$C$3520,$A69,Sales_Data!$H$2:$H$3520,M$14))</f>
        <v>13</v>
      </c>
      <c r="N69" s="26" t="n">
        <f aca="false">CHOOSE(MATCH($B$3,Lists!$C$2:$C$5,0),SUMIFS(Sales_Data!$O$2:$O$3520,Sales_Data!$C$2:$C$3520,$A69,Sales_Data!$H$2:$H$3520,N$14,Sales_Data!$AE$2:$AE$3520,1),SUMIFS(Sales_Data!$M$2:$M$3520,Sales_Data!$C$2:$C$3520,$A69,Sales_Data!$H$2:$H$3520,N$14,Sales_Data!$AE$2:$AE$3520,1),SUMIFS(Sales_Data!$N$2:$N$3520,Sales_Data!$C$2:$C$3520,$A69,Sales_Data!$H$2:$H$3520,N$14,Sales_Data!$AE$2:$AE$3520,1),SUMIFS(Sales_Data!$AE$2:$AE$3520,Sales_Data!$C$2:$C$3520,$A69,Sales_Data!$H$2:$H$3520,N$14))</f>
        <v>11</v>
      </c>
      <c r="O69" s="26" t="n">
        <f aca="false">CHOOSE(MATCH($B$3,Lists!$C$2:$C$5,0),SUMIFS(Sales_Data!$O$2:$O$3520,Sales_Data!$C$2:$C$3520,$A69,Sales_Data!$H$2:$H$3520,O$14,Sales_Data!$AE$2:$AE$3520,1),SUMIFS(Sales_Data!$M$2:$M$3520,Sales_Data!$C$2:$C$3520,$A69,Sales_Data!$H$2:$H$3520,O$14,Sales_Data!$AE$2:$AE$3520,1),SUMIFS(Sales_Data!$N$2:$N$3520,Sales_Data!$C$2:$C$3520,$A69,Sales_Data!$H$2:$H$3520,O$14,Sales_Data!$AE$2:$AE$3520,1),SUMIFS(Sales_Data!$AE$2:$AE$3520,Sales_Data!$C$2:$C$3520,$A69,Sales_Data!$H$2:$H$3520,O$14))</f>
        <v>0</v>
      </c>
      <c r="P69" s="27" t="n">
        <f aca="false">CHOOSE(MATCH($B$3,Lists!$C$2:$C$5,0),SUMIFS(Sales_Data!$O$2:$O$3520,Sales_Data!$C$2:$C$3520,$A69,Sales_Data!$AE$2:$AE$3520,1),SUMIFS(Sales_Data!$M$2:$M$3520,Sales_Data!$C$2:$C$3520,$A69,Sales_Data!$AE$2:$AE$3520,1),SUMIFS(Sales_Data!$N$2:$N$3520,Sales_Data!$C$2:$C$3520,$A69,Sales_Data!$AE$2:$AE$3520,1),SUMIFS(Sales_Data!$AE$2:$AE$3520,Sales_Data!$C$2:$C$3520,$A69))</f>
        <v>62</v>
      </c>
      <c r="Q69" s="27" t="n">
        <f aca="false">P69-SUM(B69:O69)</f>
        <v>2</v>
      </c>
      <c r="R69" s="3"/>
      <c r="S69" s="72" t="n">
        <f aca="false">A69</f>
        <v>46279</v>
      </c>
      <c r="T69" s="28" t="n">
        <f aca="false">B69-B68</f>
        <v>0</v>
      </c>
      <c r="U69" s="28" t="n">
        <f aca="false">C69-C68</f>
        <v>-2</v>
      </c>
      <c r="V69" s="28" t="n">
        <f aca="false">D69-D68</f>
        <v>-8</v>
      </c>
      <c r="W69" s="28" t="n">
        <f aca="false">E69-E68</f>
        <v>0</v>
      </c>
      <c r="X69" s="28" t="n">
        <f aca="false">F69-F68</f>
        <v>2</v>
      </c>
      <c r="Y69" s="28" t="n">
        <f aca="false">G69-G68</f>
        <v>-5</v>
      </c>
      <c r="Z69" s="28" t="n">
        <f aca="false">H69-H68</f>
        <v>0</v>
      </c>
      <c r="AA69" s="28" t="n">
        <f aca="false">I69-I68</f>
        <v>0</v>
      </c>
      <c r="AB69" s="28" t="n">
        <f aca="false">J69-J68</f>
        <v>7</v>
      </c>
      <c r="AC69" s="28" t="n">
        <f aca="false">K69-K68</f>
        <v>0</v>
      </c>
      <c r="AD69" s="28" t="n">
        <f aca="false">L69-L68</f>
        <v>3</v>
      </c>
      <c r="AE69" s="28" t="n">
        <f aca="false">M69-M68</f>
        <v>8</v>
      </c>
      <c r="AF69" s="28" t="n">
        <f aca="false">N69-N68</f>
        <v>1</v>
      </c>
      <c r="AG69" s="28" t="n">
        <f aca="false">O69-O68</f>
        <v>0</v>
      </c>
      <c r="AH69" s="28" t="n">
        <f aca="false">P69-P68</f>
        <v>5</v>
      </c>
    </row>
    <row r="70" customFormat="false" ht="15" hidden="false" customHeight="false" outlineLevel="0" collapsed="false">
      <c r="A70" s="72" t="n">
        <v>46280</v>
      </c>
      <c r="B70" s="26" t="n">
        <f aca="false">CHOOSE(MATCH($B$3,Lists!$C$2:$C$5,0),SUMIFS(Sales_Data!$O$2:$O$3520,Sales_Data!$C$2:$C$3520,$A70,Sales_Data!$H$2:$H$3520,B$14,Sales_Data!$AE$2:$AE$3520,1),SUMIFS(Sales_Data!$M$2:$M$3520,Sales_Data!$C$2:$C$3520,$A70,Sales_Data!$H$2:$H$3520,B$14,Sales_Data!$AE$2:$AE$3520,1),SUMIFS(Sales_Data!$N$2:$N$3520,Sales_Data!$C$2:$C$3520,$A70,Sales_Data!$H$2:$H$3520,B$14,Sales_Data!$AE$2:$AE$3520,1),SUMIFS(Sales_Data!$AE$2:$AE$3520,Sales_Data!$C$2:$C$3520,$A70,Sales_Data!$H$2:$H$3520,B$14))</f>
        <v>0</v>
      </c>
      <c r="C70" s="26" t="n">
        <f aca="false">CHOOSE(MATCH($B$3,Lists!$C$2:$C$5,0),SUMIFS(Sales_Data!$O$2:$O$3520,Sales_Data!$C$2:$C$3520,$A70,Sales_Data!$H$2:$H$3520,C$14,Sales_Data!$AE$2:$AE$3520,1),SUMIFS(Sales_Data!$M$2:$M$3520,Sales_Data!$C$2:$C$3520,$A70,Sales_Data!$H$2:$H$3520,C$14,Sales_Data!$AE$2:$AE$3520,1),SUMIFS(Sales_Data!$N$2:$N$3520,Sales_Data!$C$2:$C$3520,$A70,Sales_Data!$H$2:$H$3520,C$14,Sales_Data!$AE$2:$AE$3520,1),SUMIFS(Sales_Data!$AE$2:$AE$3520,Sales_Data!$C$2:$C$3520,$A70,Sales_Data!$H$2:$H$3520,C$14))</f>
        <v>3</v>
      </c>
      <c r="D70" s="26" t="n">
        <f aca="false">CHOOSE(MATCH($B$3,Lists!$C$2:$C$5,0),SUMIFS(Sales_Data!$O$2:$O$3520,Sales_Data!$C$2:$C$3520,$A70,Sales_Data!$H$2:$H$3520,D$14,Sales_Data!$AE$2:$AE$3520,1),SUMIFS(Sales_Data!$M$2:$M$3520,Sales_Data!$C$2:$C$3520,$A70,Sales_Data!$H$2:$H$3520,D$14,Sales_Data!$AE$2:$AE$3520,1),SUMIFS(Sales_Data!$N$2:$N$3520,Sales_Data!$C$2:$C$3520,$A70,Sales_Data!$H$2:$H$3520,D$14,Sales_Data!$AE$2:$AE$3520,1),SUMIFS(Sales_Data!$AE$2:$AE$3520,Sales_Data!$C$2:$C$3520,$A70,Sales_Data!$H$2:$H$3520,D$14))</f>
        <v>10</v>
      </c>
      <c r="E70" s="26" t="n">
        <f aca="false">CHOOSE(MATCH($B$3,Lists!$C$2:$C$5,0),SUMIFS(Sales_Data!$O$2:$O$3520,Sales_Data!$C$2:$C$3520,$A70,Sales_Data!$H$2:$H$3520,E$14,Sales_Data!$AE$2:$AE$3520,1),SUMIFS(Sales_Data!$M$2:$M$3520,Sales_Data!$C$2:$C$3520,$A70,Sales_Data!$H$2:$H$3520,E$14,Sales_Data!$AE$2:$AE$3520,1),SUMIFS(Sales_Data!$N$2:$N$3520,Sales_Data!$C$2:$C$3520,$A70,Sales_Data!$H$2:$H$3520,E$14,Sales_Data!$AE$2:$AE$3520,1),SUMIFS(Sales_Data!$AE$2:$AE$3520,Sales_Data!$C$2:$C$3520,$A70,Sales_Data!$H$2:$H$3520,E$14))</f>
        <v>0</v>
      </c>
      <c r="F70" s="26" t="n">
        <f aca="false">CHOOSE(MATCH($B$3,Lists!$C$2:$C$5,0),SUMIFS(Sales_Data!$O$2:$O$3520,Sales_Data!$C$2:$C$3520,$A70,Sales_Data!$H$2:$H$3520,F$14,Sales_Data!$AE$2:$AE$3520,1),SUMIFS(Sales_Data!$M$2:$M$3520,Sales_Data!$C$2:$C$3520,$A70,Sales_Data!$H$2:$H$3520,F$14,Sales_Data!$AE$2:$AE$3520,1),SUMIFS(Sales_Data!$N$2:$N$3520,Sales_Data!$C$2:$C$3520,$A70,Sales_Data!$H$2:$H$3520,F$14,Sales_Data!$AE$2:$AE$3520,1),SUMIFS(Sales_Data!$AE$2:$AE$3520,Sales_Data!$C$2:$C$3520,$A70,Sales_Data!$H$2:$H$3520,F$14))</f>
        <v>1</v>
      </c>
      <c r="G70" s="26" t="n">
        <f aca="false">CHOOSE(MATCH($B$3,Lists!$C$2:$C$5,0),SUMIFS(Sales_Data!$O$2:$O$3520,Sales_Data!$C$2:$C$3520,$A70,Sales_Data!$H$2:$H$3520,G$14,Sales_Data!$AE$2:$AE$3520,1),SUMIFS(Sales_Data!$M$2:$M$3520,Sales_Data!$C$2:$C$3520,$A70,Sales_Data!$H$2:$H$3520,G$14,Sales_Data!$AE$2:$AE$3520,1),SUMIFS(Sales_Data!$N$2:$N$3520,Sales_Data!$C$2:$C$3520,$A70,Sales_Data!$H$2:$H$3520,G$14,Sales_Data!$AE$2:$AE$3520,1),SUMIFS(Sales_Data!$AE$2:$AE$3520,Sales_Data!$C$2:$C$3520,$A70,Sales_Data!$H$2:$H$3520,G$14))</f>
        <v>1</v>
      </c>
      <c r="H70" s="26" t="n">
        <f aca="false">CHOOSE(MATCH($B$3,Lists!$C$2:$C$5,0),SUMIFS(Sales_Data!$O$2:$O$3520,Sales_Data!$C$2:$C$3520,$A70,Sales_Data!$H$2:$H$3520,H$14,Sales_Data!$AE$2:$AE$3520,1),SUMIFS(Sales_Data!$M$2:$M$3520,Sales_Data!$C$2:$C$3520,$A70,Sales_Data!$H$2:$H$3520,H$14,Sales_Data!$AE$2:$AE$3520,1),SUMIFS(Sales_Data!$N$2:$N$3520,Sales_Data!$C$2:$C$3520,$A70,Sales_Data!$H$2:$H$3520,H$14,Sales_Data!$AE$2:$AE$3520,1),SUMIFS(Sales_Data!$AE$2:$AE$3520,Sales_Data!$C$2:$C$3520,$A70,Sales_Data!$H$2:$H$3520,H$14))</f>
        <v>0</v>
      </c>
      <c r="I70" s="26" t="n">
        <f aca="false">CHOOSE(MATCH($B$3,Lists!$C$2:$C$5,0),SUMIFS(Sales_Data!$O$2:$O$3520,Sales_Data!$C$2:$C$3520,$A70,Sales_Data!$H$2:$H$3520,I$14,Sales_Data!$AE$2:$AE$3520,1),SUMIFS(Sales_Data!$M$2:$M$3520,Sales_Data!$C$2:$C$3520,$A70,Sales_Data!$H$2:$H$3520,I$14,Sales_Data!$AE$2:$AE$3520,1),SUMIFS(Sales_Data!$N$2:$N$3520,Sales_Data!$C$2:$C$3520,$A70,Sales_Data!$H$2:$H$3520,I$14,Sales_Data!$AE$2:$AE$3520,1),SUMIFS(Sales_Data!$AE$2:$AE$3520,Sales_Data!$C$2:$C$3520,$A70,Sales_Data!$H$2:$H$3520,I$14))</f>
        <v>0</v>
      </c>
      <c r="J70" s="26" t="n">
        <f aca="false">CHOOSE(MATCH($B$3,Lists!$C$2:$C$5,0),SUMIFS(Sales_Data!$O$2:$O$3520,Sales_Data!$C$2:$C$3520,$A70,Sales_Data!$H$2:$H$3520,J$14,Sales_Data!$AE$2:$AE$3520,1),SUMIFS(Sales_Data!$M$2:$M$3520,Sales_Data!$C$2:$C$3520,$A70,Sales_Data!$H$2:$H$3520,J$14,Sales_Data!$AE$2:$AE$3520,1),SUMIFS(Sales_Data!$N$2:$N$3520,Sales_Data!$C$2:$C$3520,$A70,Sales_Data!$H$2:$H$3520,J$14,Sales_Data!$AE$2:$AE$3520,1),SUMIFS(Sales_Data!$AE$2:$AE$3520,Sales_Data!$C$2:$C$3520,$A70,Sales_Data!$H$2:$H$3520,J$14))</f>
        <v>2</v>
      </c>
      <c r="K70" s="26" t="n">
        <f aca="false">CHOOSE(MATCH($B$3,Lists!$C$2:$C$5,0),SUMIFS(Sales_Data!$O$2:$O$3520,Sales_Data!$C$2:$C$3520,$A70,Sales_Data!$H$2:$H$3520,K$14,Sales_Data!$AE$2:$AE$3520,1),SUMIFS(Sales_Data!$M$2:$M$3520,Sales_Data!$C$2:$C$3520,$A70,Sales_Data!$H$2:$H$3520,K$14,Sales_Data!$AE$2:$AE$3520,1),SUMIFS(Sales_Data!$N$2:$N$3520,Sales_Data!$C$2:$C$3520,$A70,Sales_Data!$H$2:$H$3520,K$14,Sales_Data!$AE$2:$AE$3520,1),SUMIFS(Sales_Data!$AE$2:$AE$3520,Sales_Data!$C$2:$C$3520,$A70,Sales_Data!$H$2:$H$3520,K$14))</f>
        <v>0</v>
      </c>
      <c r="L70" s="26" t="n">
        <f aca="false">CHOOSE(MATCH($B$3,Lists!$C$2:$C$5,0),SUMIFS(Sales_Data!$O$2:$O$3520,Sales_Data!$C$2:$C$3520,$A70,Sales_Data!$H$2:$H$3520,L$14,Sales_Data!$AE$2:$AE$3520,1),SUMIFS(Sales_Data!$M$2:$M$3520,Sales_Data!$C$2:$C$3520,$A70,Sales_Data!$H$2:$H$3520,L$14,Sales_Data!$AE$2:$AE$3520,1),SUMIFS(Sales_Data!$N$2:$N$3520,Sales_Data!$C$2:$C$3520,$A70,Sales_Data!$H$2:$H$3520,L$14,Sales_Data!$AE$2:$AE$3520,1),SUMIFS(Sales_Data!$AE$2:$AE$3520,Sales_Data!$C$2:$C$3520,$A70,Sales_Data!$H$2:$H$3520,L$14))</f>
        <v>4</v>
      </c>
      <c r="M70" s="26" t="n">
        <f aca="false">CHOOSE(MATCH($B$3,Lists!$C$2:$C$5,0),SUMIFS(Sales_Data!$O$2:$O$3520,Sales_Data!$C$2:$C$3520,$A70,Sales_Data!$H$2:$H$3520,M$14,Sales_Data!$AE$2:$AE$3520,1),SUMIFS(Sales_Data!$M$2:$M$3520,Sales_Data!$C$2:$C$3520,$A70,Sales_Data!$H$2:$H$3520,M$14,Sales_Data!$AE$2:$AE$3520,1),SUMIFS(Sales_Data!$N$2:$N$3520,Sales_Data!$C$2:$C$3520,$A70,Sales_Data!$H$2:$H$3520,M$14,Sales_Data!$AE$2:$AE$3520,1),SUMIFS(Sales_Data!$AE$2:$AE$3520,Sales_Data!$C$2:$C$3520,$A70,Sales_Data!$H$2:$H$3520,M$14))</f>
        <v>5</v>
      </c>
      <c r="N70" s="26" t="n">
        <f aca="false">CHOOSE(MATCH($B$3,Lists!$C$2:$C$5,0),SUMIFS(Sales_Data!$O$2:$O$3520,Sales_Data!$C$2:$C$3520,$A70,Sales_Data!$H$2:$H$3520,N$14,Sales_Data!$AE$2:$AE$3520,1),SUMIFS(Sales_Data!$M$2:$M$3520,Sales_Data!$C$2:$C$3520,$A70,Sales_Data!$H$2:$H$3520,N$14,Sales_Data!$AE$2:$AE$3520,1),SUMIFS(Sales_Data!$N$2:$N$3520,Sales_Data!$C$2:$C$3520,$A70,Sales_Data!$H$2:$H$3520,N$14,Sales_Data!$AE$2:$AE$3520,1),SUMIFS(Sales_Data!$AE$2:$AE$3520,Sales_Data!$C$2:$C$3520,$A70,Sales_Data!$H$2:$H$3520,N$14))</f>
        <v>5</v>
      </c>
      <c r="O70" s="26" t="n">
        <f aca="false">CHOOSE(MATCH($B$3,Lists!$C$2:$C$5,0),SUMIFS(Sales_Data!$O$2:$O$3520,Sales_Data!$C$2:$C$3520,$A70,Sales_Data!$H$2:$H$3520,O$14,Sales_Data!$AE$2:$AE$3520,1),SUMIFS(Sales_Data!$M$2:$M$3520,Sales_Data!$C$2:$C$3520,$A70,Sales_Data!$H$2:$H$3520,O$14,Sales_Data!$AE$2:$AE$3520,1),SUMIFS(Sales_Data!$N$2:$N$3520,Sales_Data!$C$2:$C$3520,$A70,Sales_Data!$H$2:$H$3520,O$14,Sales_Data!$AE$2:$AE$3520,1),SUMIFS(Sales_Data!$AE$2:$AE$3520,Sales_Data!$C$2:$C$3520,$A70,Sales_Data!$H$2:$H$3520,O$14))</f>
        <v>0</v>
      </c>
      <c r="P70" s="27" t="n">
        <f aca="false">CHOOSE(MATCH($B$3,Lists!$C$2:$C$5,0),SUMIFS(Sales_Data!$O$2:$O$3520,Sales_Data!$C$2:$C$3520,$A70,Sales_Data!$AE$2:$AE$3520,1),SUMIFS(Sales_Data!$M$2:$M$3520,Sales_Data!$C$2:$C$3520,$A70,Sales_Data!$AE$2:$AE$3520,1),SUMIFS(Sales_Data!$N$2:$N$3520,Sales_Data!$C$2:$C$3520,$A70,Sales_Data!$AE$2:$AE$3520,1),SUMIFS(Sales_Data!$AE$2:$AE$3520,Sales_Data!$C$2:$C$3520,$A70))</f>
        <v>32</v>
      </c>
      <c r="Q70" s="27" t="n">
        <f aca="false">P70-SUM(B70:O70)</f>
        <v>1</v>
      </c>
      <c r="R70" s="3"/>
      <c r="S70" s="72" t="n">
        <f aca="false">A70</f>
        <v>46280</v>
      </c>
      <c r="T70" s="28" t="n">
        <f aca="false">B70-B69</f>
        <v>0</v>
      </c>
      <c r="U70" s="28" t="n">
        <f aca="false">C70-C69</f>
        <v>2</v>
      </c>
      <c r="V70" s="28" t="n">
        <f aca="false">D70-D69</f>
        <v>5</v>
      </c>
      <c r="W70" s="28" t="n">
        <f aca="false">E70-E69</f>
        <v>0</v>
      </c>
      <c r="X70" s="28" t="n">
        <f aca="false">F70-F69</f>
        <v>-6</v>
      </c>
      <c r="Y70" s="28" t="n">
        <f aca="false">G70-G69</f>
        <v>-7</v>
      </c>
      <c r="Z70" s="28" t="n">
        <f aca="false">H70-H69</f>
        <v>0</v>
      </c>
      <c r="AA70" s="28" t="n">
        <f aca="false">I70-I69</f>
        <v>0</v>
      </c>
      <c r="AB70" s="28" t="n">
        <f aca="false">J70-J69</f>
        <v>-6</v>
      </c>
      <c r="AC70" s="28" t="n">
        <f aca="false">K70-K69</f>
        <v>0</v>
      </c>
      <c r="AD70" s="28" t="n">
        <f aca="false">L70-L69</f>
        <v>-3</v>
      </c>
      <c r="AE70" s="28" t="n">
        <f aca="false">M70-M69</f>
        <v>-8</v>
      </c>
      <c r="AF70" s="28" t="n">
        <f aca="false">N70-N69</f>
        <v>-6</v>
      </c>
      <c r="AG70" s="28" t="n">
        <f aca="false">O70-O69</f>
        <v>0</v>
      </c>
      <c r="AH70" s="28" t="n">
        <f aca="false">P70-P69</f>
        <v>-30</v>
      </c>
    </row>
    <row r="71" customFormat="false" ht="15" hidden="false" customHeight="false" outlineLevel="0" collapsed="false">
      <c r="A71" s="72" t="n">
        <v>46281</v>
      </c>
      <c r="B71" s="26" t="n">
        <f aca="false">CHOOSE(MATCH($B$3,Lists!$C$2:$C$5,0),SUMIFS(Sales_Data!$O$2:$O$3520,Sales_Data!$C$2:$C$3520,$A71,Sales_Data!$H$2:$H$3520,B$14,Sales_Data!$AE$2:$AE$3520,1),SUMIFS(Sales_Data!$M$2:$M$3520,Sales_Data!$C$2:$C$3520,$A71,Sales_Data!$H$2:$H$3520,B$14,Sales_Data!$AE$2:$AE$3520,1),SUMIFS(Sales_Data!$N$2:$N$3520,Sales_Data!$C$2:$C$3520,$A71,Sales_Data!$H$2:$H$3520,B$14,Sales_Data!$AE$2:$AE$3520,1),SUMIFS(Sales_Data!$AE$2:$AE$3520,Sales_Data!$C$2:$C$3520,$A71,Sales_Data!$H$2:$H$3520,B$14))</f>
        <v>0</v>
      </c>
      <c r="C71" s="26" t="n">
        <f aca="false">CHOOSE(MATCH($B$3,Lists!$C$2:$C$5,0),SUMIFS(Sales_Data!$O$2:$O$3520,Sales_Data!$C$2:$C$3520,$A71,Sales_Data!$H$2:$H$3520,C$14,Sales_Data!$AE$2:$AE$3520,1),SUMIFS(Sales_Data!$M$2:$M$3520,Sales_Data!$C$2:$C$3520,$A71,Sales_Data!$H$2:$H$3520,C$14,Sales_Data!$AE$2:$AE$3520,1),SUMIFS(Sales_Data!$N$2:$N$3520,Sales_Data!$C$2:$C$3520,$A71,Sales_Data!$H$2:$H$3520,C$14,Sales_Data!$AE$2:$AE$3520,1),SUMIFS(Sales_Data!$AE$2:$AE$3520,Sales_Data!$C$2:$C$3520,$A71,Sales_Data!$H$2:$H$3520,C$14))</f>
        <v>5</v>
      </c>
      <c r="D71" s="26" t="n">
        <f aca="false">CHOOSE(MATCH($B$3,Lists!$C$2:$C$5,0),SUMIFS(Sales_Data!$O$2:$O$3520,Sales_Data!$C$2:$C$3520,$A71,Sales_Data!$H$2:$H$3520,D$14,Sales_Data!$AE$2:$AE$3520,1),SUMIFS(Sales_Data!$M$2:$M$3520,Sales_Data!$C$2:$C$3520,$A71,Sales_Data!$H$2:$H$3520,D$14,Sales_Data!$AE$2:$AE$3520,1),SUMIFS(Sales_Data!$N$2:$N$3520,Sales_Data!$C$2:$C$3520,$A71,Sales_Data!$H$2:$H$3520,D$14,Sales_Data!$AE$2:$AE$3520,1),SUMIFS(Sales_Data!$AE$2:$AE$3520,Sales_Data!$C$2:$C$3520,$A71,Sales_Data!$H$2:$H$3520,D$14))</f>
        <v>5</v>
      </c>
      <c r="E71" s="26" t="n">
        <f aca="false">CHOOSE(MATCH($B$3,Lists!$C$2:$C$5,0),SUMIFS(Sales_Data!$O$2:$O$3520,Sales_Data!$C$2:$C$3520,$A71,Sales_Data!$H$2:$H$3520,E$14,Sales_Data!$AE$2:$AE$3520,1),SUMIFS(Sales_Data!$M$2:$M$3520,Sales_Data!$C$2:$C$3520,$A71,Sales_Data!$H$2:$H$3520,E$14,Sales_Data!$AE$2:$AE$3520,1),SUMIFS(Sales_Data!$N$2:$N$3520,Sales_Data!$C$2:$C$3520,$A71,Sales_Data!$H$2:$H$3520,E$14,Sales_Data!$AE$2:$AE$3520,1),SUMIFS(Sales_Data!$AE$2:$AE$3520,Sales_Data!$C$2:$C$3520,$A71,Sales_Data!$H$2:$H$3520,E$14))</f>
        <v>0</v>
      </c>
      <c r="F71" s="26" t="n">
        <f aca="false">CHOOSE(MATCH($B$3,Lists!$C$2:$C$5,0),SUMIFS(Sales_Data!$O$2:$O$3520,Sales_Data!$C$2:$C$3520,$A71,Sales_Data!$H$2:$H$3520,F$14,Sales_Data!$AE$2:$AE$3520,1),SUMIFS(Sales_Data!$M$2:$M$3520,Sales_Data!$C$2:$C$3520,$A71,Sales_Data!$H$2:$H$3520,F$14,Sales_Data!$AE$2:$AE$3520,1),SUMIFS(Sales_Data!$N$2:$N$3520,Sales_Data!$C$2:$C$3520,$A71,Sales_Data!$H$2:$H$3520,F$14,Sales_Data!$AE$2:$AE$3520,1),SUMIFS(Sales_Data!$AE$2:$AE$3520,Sales_Data!$C$2:$C$3520,$A71,Sales_Data!$H$2:$H$3520,F$14))</f>
        <v>3</v>
      </c>
      <c r="G71" s="26" t="n">
        <f aca="false">CHOOSE(MATCH($B$3,Lists!$C$2:$C$5,0),SUMIFS(Sales_Data!$O$2:$O$3520,Sales_Data!$C$2:$C$3520,$A71,Sales_Data!$H$2:$H$3520,G$14,Sales_Data!$AE$2:$AE$3520,1),SUMIFS(Sales_Data!$M$2:$M$3520,Sales_Data!$C$2:$C$3520,$A71,Sales_Data!$H$2:$H$3520,G$14,Sales_Data!$AE$2:$AE$3520,1),SUMIFS(Sales_Data!$N$2:$N$3520,Sales_Data!$C$2:$C$3520,$A71,Sales_Data!$H$2:$H$3520,G$14,Sales_Data!$AE$2:$AE$3520,1),SUMIFS(Sales_Data!$AE$2:$AE$3520,Sales_Data!$C$2:$C$3520,$A71,Sales_Data!$H$2:$H$3520,G$14))</f>
        <v>3</v>
      </c>
      <c r="H71" s="26" t="n">
        <f aca="false">CHOOSE(MATCH($B$3,Lists!$C$2:$C$5,0),SUMIFS(Sales_Data!$O$2:$O$3520,Sales_Data!$C$2:$C$3520,$A71,Sales_Data!$H$2:$H$3520,H$14,Sales_Data!$AE$2:$AE$3520,1),SUMIFS(Sales_Data!$M$2:$M$3520,Sales_Data!$C$2:$C$3520,$A71,Sales_Data!$H$2:$H$3520,H$14,Sales_Data!$AE$2:$AE$3520,1),SUMIFS(Sales_Data!$N$2:$N$3520,Sales_Data!$C$2:$C$3520,$A71,Sales_Data!$H$2:$H$3520,H$14,Sales_Data!$AE$2:$AE$3520,1),SUMIFS(Sales_Data!$AE$2:$AE$3520,Sales_Data!$C$2:$C$3520,$A71,Sales_Data!$H$2:$H$3520,H$14))</f>
        <v>0</v>
      </c>
      <c r="I71" s="26" t="n">
        <f aca="false">CHOOSE(MATCH($B$3,Lists!$C$2:$C$5,0),SUMIFS(Sales_Data!$O$2:$O$3520,Sales_Data!$C$2:$C$3520,$A71,Sales_Data!$H$2:$H$3520,I$14,Sales_Data!$AE$2:$AE$3520,1),SUMIFS(Sales_Data!$M$2:$M$3520,Sales_Data!$C$2:$C$3520,$A71,Sales_Data!$H$2:$H$3520,I$14,Sales_Data!$AE$2:$AE$3520,1),SUMIFS(Sales_Data!$N$2:$N$3520,Sales_Data!$C$2:$C$3520,$A71,Sales_Data!$H$2:$H$3520,I$14,Sales_Data!$AE$2:$AE$3520,1),SUMIFS(Sales_Data!$AE$2:$AE$3520,Sales_Data!$C$2:$C$3520,$A71,Sales_Data!$H$2:$H$3520,I$14))</f>
        <v>0</v>
      </c>
      <c r="J71" s="26" t="n">
        <f aca="false">CHOOSE(MATCH($B$3,Lists!$C$2:$C$5,0),SUMIFS(Sales_Data!$O$2:$O$3520,Sales_Data!$C$2:$C$3520,$A71,Sales_Data!$H$2:$H$3520,J$14,Sales_Data!$AE$2:$AE$3520,1),SUMIFS(Sales_Data!$M$2:$M$3520,Sales_Data!$C$2:$C$3520,$A71,Sales_Data!$H$2:$H$3520,J$14,Sales_Data!$AE$2:$AE$3520,1),SUMIFS(Sales_Data!$N$2:$N$3520,Sales_Data!$C$2:$C$3520,$A71,Sales_Data!$H$2:$H$3520,J$14,Sales_Data!$AE$2:$AE$3520,1),SUMIFS(Sales_Data!$AE$2:$AE$3520,Sales_Data!$C$2:$C$3520,$A71,Sales_Data!$H$2:$H$3520,J$14))</f>
        <v>0</v>
      </c>
      <c r="K71" s="26" t="n">
        <f aca="false">CHOOSE(MATCH($B$3,Lists!$C$2:$C$5,0),SUMIFS(Sales_Data!$O$2:$O$3520,Sales_Data!$C$2:$C$3520,$A71,Sales_Data!$H$2:$H$3520,K$14,Sales_Data!$AE$2:$AE$3520,1),SUMIFS(Sales_Data!$M$2:$M$3520,Sales_Data!$C$2:$C$3520,$A71,Sales_Data!$H$2:$H$3520,K$14,Sales_Data!$AE$2:$AE$3520,1),SUMIFS(Sales_Data!$N$2:$N$3520,Sales_Data!$C$2:$C$3520,$A71,Sales_Data!$H$2:$H$3520,K$14,Sales_Data!$AE$2:$AE$3520,1),SUMIFS(Sales_Data!$AE$2:$AE$3520,Sales_Data!$C$2:$C$3520,$A71,Sales_Data!$H$2:$H$3520,K$14))</f>
        <v>0</v>
      </c>
      <c r="L71" s="26" t="n">
        <f aca="false">CHOOSE(MATCH($B$3,Lists!$C$2:$C$5,0),SUMIFS(Sales_Data!$O$2:$O$3520,Sales_Data!$C$2:$C$3520,$A71,Sales_Data!$H$2:$H$3520,L$14,Sales_Data!$AE$2:$AE$3520,1),SUMIFS(Sales_Data!$M$2:$M$3520,Sales_Data!$C$2:$C$3520,$A71,Sales_Data!$H$2:$H$3520,L$14,Sales_Data!$AE$2:$AE$3520,1),SUMIFS(Sales_Data!$N$2:$N$3520,Sales_Data!$C$2:$C$3520,$A71,Sales_Data!$H$2:$H$3520,L$14,Sales_Data!$AE$2:$AE$3520,1),SUMIFS(Sales_Data!$AE$2:$AE$3520,Sales_Data!$C$2:$C$3520,$A71,Sales_Data!$H$2:$H$3520,L$14))</f>
        <v>7</v>
      </c>
      <c r="M71" s="26" t="n">
        <f aca="false">CHOOSE(MATCH($B$3,Lists!$C$2:$C$5,0),SUMIFS(Sales_Data!$O$2:$O$3520,Sales_Data!$C$2:$C$3520,$A71,Sales_Data!$H$2:$H$3520,M$14,Sales_Data!$AE$2:$AE$3520,1),SUMIFS(Sales_Data!$M$2:$M$3520,Sales_Data!$C$2:$C$3520,$A71,Sales_Data!$H$2:$H$3520,M$14,Sales_Data!$AE$2:$AE$3520,1),SUMIFS(Sales_Data!$N$2:$N$3520,Sales_Data!$C$2:$C$3520,$A71,Sales_Data!$H$2:$H$3520,M$14,Sales_Data!$AE$2:$AE$3520,1),SUMIFS(Sales_Data!$AE$2:$AE$3520,Sales_Data!$C$2:$C$3520,$A71,Sales_Data!$H$2:$H$3520,M$14))</f>
        <v>4</v>
      </c>
      <c r="N71" s="26" t="n">
        <f aca="false">CHOOSE(MATCH($B$3,Lists!$C$2:$C$5,0),SUMIFS(Sales_Data!$O$2:$O$3520,Sales_Data!$C$2:$C$3520,$A71,Sales_Data!$H$2:$H$3520,N$14,Sales_Data!$AE$2:$AE$3520,1),SUMIFS(Sales_Data!$M$2:$M$3520,Sales_Data!$C$2:$C$3520,$A71,Sales_Data!$H$2:$H$3520,N$14,Sales_Data!$AE$2:$AE$3520,1),SUMIFS(Sales_Data!$N$2:$N$3520,Sales_Data!$C$2:$C$3520,$A71,Sales_Data!$H$2:$H$3520,N$14,Sales_Data!$AE$2:$AE$3520,1),SUMIFS(Sales_Data!$AE$2:$AE$3520,Sales_Data!$C$2:$C$3520,$A71,Sales_Data!$H$2:$H$3520,N$14))</f>
        <v>20</v>
      </c>
      <c r="O71" s="26" t="n">
        <f aca="false">CHOOSE(MATCH($B$3,Lists!$C$2:$C$5,0),SUMIFS(Sales_Data!$O$2:$O$3520,Sales_Data!$C$2:$C$3520,$A71,Sales_Data!$H$2:$H$3520,O$14,Sales_Data!$AE$2:$AE$3520,1),SUMIFS(Sales_Data!$M$2:$M$3520,Sales_Data!$C$2:$C$3520,$A71,Sales_Data!$H$2:$H$3520,O$14,Sales_Data!$AE$2:$AE$3520,1),SUMIFS(Sales_Data!$N$2:$N$3520,Sales_Data!$C$2:$C$3520,$A71,Sales_Data!$H$2:$H$3520,O$14,Sales_Data!$AE$2:$AE$3520,1),SUMIFS(Sales_Data!$AE$2:$AE$3520,Sales_Data!$C$2:$C$3520,$A71,Sales_Data!$H$2:$H$3520,O$14))</f>
        <v>0</v>
      </c>
      <c r="P71" s="27" t="n">
        <f aca="false">CHOOSE(MATCH($B$3,Lists!$C$2:$C$5,0),SUMIFS(Sales_Data!$O$2:$O$3520,Sales_Data!$C$2:$C$3520,$A71,Sales_Data!$AE$2:$AE$3520,1),SUMIFS(Sales_Data!$M$2:$M$3520,Sales_Data!$C$2:$C$3520,$A71,Sales_Data!$AE$2:$AE$3520,1),SUMIFS(Sales_Data!$N$2:$N$3520,Sales_Data!$C$2:$C$3520,$A71,Sales_Data!$AE$2:$AE$3520,1),SUMIFS(Sales_Data!$AE$2:$AE$3520,Sales_Data!$C$2:$C$3520,$A71))</f>
        <v>50</v>
      </c>
      <c r="Q71" s="27" t="n">
        <f aca="false">P71-SUM(B71:O71)</f>
        <v>3</v>
      </c>
      <c r="R71" s="3"/>
      <c r="S71" s="72" t="n">
        <f aca="false">A71</f>
        <v>46281</v>
      </c>
      <c r="T71" s="28" t="n">
        <f aca="false">B71-B70</f>
        <v>0</v>
      </c>
      <c r="U71" s="28" t="n">
        <f aca="false">C71-C70</f>
        <v>2</v>
      </c>
      <c r="V71" s="28" t="n">
        <f aca="false">D71-D70</f>
        <v>-5</v>
      </c>
      <c r="W71" s="28" t="n">
        <f aca="false">E71-E70</f>
        <v>0</v>
      </c>
      <c r="X71" s="28" t="n">
        <f aca="false">F71-F70</f>
        <v>2</v>
      </c>
      <c r="Y71" s="28" t="n">
        <f aca="false">G71-G70</f>
        <v>2</v>
      </c>
      <c r="Z71" s="28" t="n">
        <f aca="false">H71-H70</f>
        <v>0</v>
      </c>
      <c r="AA71" s="28" t="n">
        <f aca="false">I71-I70</f>
        <v>0</v>
      </c>
      <c r="AB71" s="28" t="n">
        <f aca="false">J71-J70</f>
        <v>-2</v>
      </c>
      <c r="AC71" s="28" t="n">
        <f aca="false">K71-K70</f>
        <v>0</v>
      </c>
      <c r="AD71" s="28" t="n">
        <f aca="false">L71-L70</f>
        <v>3</v>
      </c>
      <c r="AE71" s="28" t="n">
        <f aca="false">M71-M70</f>
        <v>-1</v>
      </c>
      <c r="AF71" s="28" t="n">
        <f aca="false">N71-N70</f>
        <v>15</v>
      </c>
      <c r="AG71" s="28" t="n">
        <f aca="false">O71-O70</f>
        <v>0</v>
      </c>
      <c r="AH71" s="28" t="n">
        <f aca="false">P71-P70</f>
        <v>18</v>
      </c>
    </row>
    <row r="72" customFormat="false" ht="15" hidden="false" customHeight="false" outlineLevel="0" collapsed="false">
      <c r="A72" s="72" t="n">
        <v>46282</v>
      </c>
      <c r="B72" s="26" t="n">
        <f aca="false">CHOOSE(MATCH($B$3,Lists!$C$2:$C$5,0),SUMIFS(Sales_Data!$O$2:$O$3520,Sales_Data!$C$2:$C$3520,$A72,Sales_Data!$H$2:$H$3520,B$14,Sales_Data!$AE$2:$AE$3520,1),SUMIFS(Sales_Data!$M$2:$M$3520,Sales_Data!$C$2:$C$3520,$A72,Sales_Data!$H$2:$H$3520,B$14,Sales_Data!$AE$2:$AE$3520,1),SUMIFS(Sales_Data!$N$2:$N$3520,Sales_Data!$C$2:$C$3520,$A72,Sales_Data!$H$2:$H$3520,B$14,Sales_Data!$AE$2:$AE$3520,1),SUMIFS(Sales_Data!$AE$2:$AE$3520,Sales_Data!$C$2:$C$3520,$A72,Sales_Data!$H$2:$H$3520,B$14))</f>
        <v>0</v>
      </c>
      <c r="C72" s="26" t="n">
        <f aca="false">CHOOSE(MATCH($B$3,Lists!$C$2:$C$5,0),SUMIFS(Sales_Data!$O$2:$O$3520,Sales_Data!$C$2:$C$3520,$A72,Sales_Data!$H$2:$H$3520,C$14,Sales_Data!$AE$2:$AE$3520,1),SUMIFS(Sales_Data!$M$2:$M$3520,Sales_Data!$C$2:$C$3520,$A72,Sales_Data!$H$2:$H$3520,C$14,Sales_Data!$AE$2:$AE$3520,1),SUMIFS(Sales_Data!$N$2:$N$3520,Sales_Data!$C$2:$C$3520,$A72,Sales_Data!$H$2:$H$3520,C$14,Sales_Data!$AE$2:$AE$3520,1),SUMIFS(Sales_Data!$AE$2:$AE$3520,Sales_Data!$C$2:$C$3520,$A72,Sales_Data!$H$2:$H$3520,C$14))</f>
        <v>8</v>
      </c>
      <c r="D72" s="26" t="n">
        <f aca="false">CHOOSE(MATCH($B$3,Lists!$C$2:$C$5,0),SUMIFS(Sales_Data!$O$2:$O$3520,Sales_Data!$C$2:$C$3520,$A72,Sales_Data!$H$2:$H$3520,D$14,Sales_Data!$AE$2:$AE$3520,1),SUMIFS(Sales_Data!$M$2:$M$3520,Sales_Data!$C$2:$C$3520,$A72,Sales_Data!$H$2:$H$3520,D$14,Sales_Data!$AE$2:$AE$3520,1),SUMIFS(Sales_Data!$N$2:$N$3520,Sales_Data!$C$2:$C$3520,$A72,Sales_Data!$H$2:$H$3520,D$14,Sales_Data!$AE$2:$AE$3520,1),SUMIFS(Sales_Data!$AE$2:$AE$3520,Sales_Data!$C$2:$C$3520,$A72,Sales_Data!$H$2:$H$3520,D$14))</f>
        <v>2</v>
      </c>
      <c r="E72" s="26" t="n">
        <f aca="false">CHOOSE(MATCH($B$3,Lists!$C$2:$C$5,0),SUMIFS(Sales_Data!$O$2:$O$3520,Sales_Data!$C$2:$C$3520,$A72,Sales_Data!$H$2:$H$3520,E$14,Sales_Data!$AE$2:$AE$3520,1),SUMIFS(Sales_Data!$M$2:$M$3520,Sales_Data!$C$2:$C$3520,$A72,Sales_Data!$H$2:$H$3520,E$14,Sales_Data!$AE$2:$AE$3520,1),SUMIFS(Sales_Data!$N$2:$N$3520,Sales_Data!$C$2:$C$3520,$A72,Sales_Data!$H$2:$H$3520,E$14,Sales_Data!$AE$2:$AE$3520,1),SUMIFS(Sales_Data!$AE$2:$AE$3520,Sales_Data!$C$2:$C$3520,$A72,Sales_Data!$H$2:$H$3520,E$14))</f>
        <v>0</v>
      </c>
      <c r="F72" s="26" t="n">
        <f aca="false">CHOOSE(MATCH($B$3,Lists!$C$2:$C$5,0),SUMIFS(Sales_Data!$O$2:$O$3520,Sales_Data!$C$2:$C$3520,$A72,Sales_Data!$H$2:$H$3520,F$14,Sales_Data!$AE$2:$AE$3520,1),SUMIFS(Sales_Data!$M$2:$M$3520,Sales_Data!$C$2:$C$3520,$A72,Sales_Data!$H$2:$H$3520,F$14,Sales_Data!$AE$2:$AE$3520,1),SUMIFS(Sales_Data!$N$2:$N$3520,Sales_Data!$C$2:$C$3520,$A72,Sales_Data!$H$2:$H$3520,F$14,Sales_Data!$AE$2:$AE$3520,1),SUMIFS(Sales_Data!$AE$2:$AE$3520,Sales_Data!$C$2:$C$3520,$A72,Sales_Data!$H$2:$H$3520,F$14))</f>
        <v>5</v>
      </c>
      <c r="G72" s="26" t="n">
        <f aca="false">CHOOSE(MATCH($B$3,Lists!$C$2:$C$5,0),SUMIFS(Sales_Data!$O$2:$O$3520,Sales_Data!$C$2:$C$3520,$A72,Sales_Data!$H$2:$H$3520,G$14,Sales_Data!$AE$2:$AE$3520,1),SUMIFS(Sales_Data!$M$2:$M$3520,Sales_Data!$C$2:$C$3520,$A72,Sales_Data!$H$2:$H$3520,G$14,Sales_Data!$AE$2:$AE$3520,1),SUMIFS(Sales_Data!$N$2:$N$3520,Sales_Data!$C$2:$C$3520,$A72,Sales_Data!$H$2:$H$3520,G$14,Sales_Data!$AE$2:$AE$3520,1),SUMIFS(Sales_Data!$AE$2:$AE$3520,Sales_Data!$C$2:$C$3520,$A72,Sales_Data!$H$2:$H$3520,G$14))</f>
        <v>1</v>
      </c>
      <c r="H72" s="26" t="n">
        <f aca="false">CHOOSE(MATCH($B$3,Lists!$C$2:$C$5,0),SUMIFS(Sales_Data!$O$2:$O$3520,Sales_Data!$C$2:$C$3520,$A72,Sales_Data!$H$2:$H$3520,H$14,Sales_Data!$AE$2:$AE$3520,1),SUMIFS(Sales_Data!$M$2:$M$3520,Sales_Data!$C$2:$C$3520,$A72,Sales_Data!$H$2:$H$3520,H$14,Sales_Data!$AE$2:$AE$3520,1),SUMIFS(Sales_Data!$N$2:$N$3520,Sales_Data!$C$2:$C$3520,$A72,Sales_Data!$H$2:$H$3520,H$14,Sales_Data!$AE$2:$AE$3520,1),SUMIFS(Sales_Data!$AE$2:$AE$3520,Sales_Data!$C$2:$C$3520,$A72,Sales_Data!$H$2:$H$3520,H$14))</f>
        <v>0</v>
      </c>
      <c r="I72" s="26" t="n">
        <f aca="false">CHOOSE(MATCH($B$3,Lists!$C$2:$C$5,0),SUMIFS(Sales_Data!$O$2:$O$3520,Sales_Data!$C$2:$C$3520,$A72,Sales_Data!$H$2:$H$3520,I$14,Sales_Data!$AE$2:$AE$3520,1),SUMIFS(Sales_Data!$M$2:$M$3520,Sales_Data!$C$2:$C$3520,$A72,Sales_Data!$H$2:$H$3520,I$14,Sales_Data!$AE$2:$AE$3520,1),SUMIFS(Sales_Data!$N$2:$N$3520,Sales_Data!$C$2:$C$3520,$A72,Sales_Data!$H$2:$H$3520,I$14,Sales_Data!$AE$2:$AE$3520,1),SUMIFS(Sales_Data!$AE$2:$AE$3520,Sales_Data!$C$2:$C$3520,$A72,Sales_Data!$H$2:$H$3520,I$14))</f>
        <v>0</v>
      </c>
      <c r="J72" s="26" t="n">
        <f aca="false">CHOOSE(MATCH($B$3,Lists!$C$2:$C$5,0),SUMIFS(Sales_Data!$O$2:$O$3520,Sales_Data!$C$2:$C$3520,$A72,Sales_Data!$H$2:$H$3520,J$14,Sales_Data!$AE$2:$AE$3520,1),SUMIFS(Sales_Data!$M$2:$M$3520,Sales_Data!$C$2:$C$3520,$A72,Sales_Data!$H$2:$H$3520,J$14,Sales_Data!$AE$2:$AE$3520,1),SUMIFS(Sales_Data!$N$2:$N$3520,Sales_Data!$C$2:$C$3520,$A72,Sales_Data!$H$2:$H$3520,J$14,Sales_Data!$AE$2:$AE$3520,1),SUMIFS(Sales_Data!$AE$2:$AE$3520,Sales_Data!$C$2:$C$3520,$A72,Sales_Data!$H$2:$H$3520,J$14))</f>
        <v>1</v>
      </c>
      <c r="K72" s="26" t="n">
        <f aca="false">CHOOSE(MATCH($B$3,Lists!$C$2:$C$5,0),SUMIFS(Sales_Data!$O$2:$O$3520,Sales_Data!$C$2:$C$3520,$A72,Sales_Data!$H$2:$H$3520,K$14,Sales_Data!$AE$2:$AE$3520,1),SUMIFS(Sales_Data!$M$2:$M$3520,Sales_Data!$C$2:$C$3520,$A72,Sales_Data!$H$2:$H$3520,K$14,Sales_Data!$AE$2:$AE$3520,1),SUMIFS(Sales_Data!$N$2:$N$3520,Sales_Data!$C$2:$C$3520,$A72,Sales_Data!$H$2:$H$3520,K$14,Sales_Data!$AE$2:$AE$3520,1),SUMIFS(Sales_Data!$AE$2:$AE$3520,Sales_Data!$C$2:$C$3520,$A72,Sales_Data!$H$2:$H$3520,K$14))</f>
        <v>0</v>
      </c>
      <c r="L72" s="26" t="n">
        <f aca="false">CHOOSE(MATCH($B$3,Lists!$C$2:$C$5,0),SUMIFS(Sales_Data!$O$2:$O$3520,Sales_Data!$C$2:$C$3520,$A72,Sales_Data!$H$2:$H$3520,L$14,Sales_Data!$AE$2:$AE$3520,1),SUMIFS(Sales_Data!$M$2:$M$3520,Sales_Data!$C$2:$C$3520,$A72,Sales_Data!$H$2:$H$3520,L$14,Sales_Data!$AE$2:$AE$3520,1),SUMIFS(Sales_Data!$N$2:$N$3520,Sales_Data!$C$2:$C$3520,$A72,Sales_Data!$H$2:$H$3520,L$14,Sales_Data!$AE$2:$AE$3520,1),SUMIFS(Sales_Data!$AE$2:$AE$3520,Sales_Data!$C$2:$C$3520,$A72,Sales_Data!$H$2:$H$3520,L$14))</f>
        <v>2</v>
      </c>
      <c r="M72" s="26" t="n">
        <f aca="false">CHOOSE(MATCH($B$3,Lists!$C$2:$C$5,0),SUMIFS(Sales_Data!$O$2:$O$3520,Sales_Data!$C$2:$C$3520,$A72,Sales_Data!$H$2:$H$3520,M$14,Sales_Data!$AE$2:$AE$3520,1),SUMIFS(Sales_Data!$M$2:$M$3520,Sales_Data!$C$2:$C$3520,$A72,Sales_Data!$H$2:$H$3520,M$14,Sales_Data!$AE$2:$AE$3520,1),SUMIFS(Sales_Data!$N$2:$N$3520,Sales_Data!$C$2:$C$3520,$A72,Sales_Data!$H$2:$H$3520,M$14,Sales_Data!$AE$2:$AE$3520,1),SUMIFS(Sales_Data!$AE$2:$AE$3520,Sales_Data!$C$2:$C$3520,$A72,Sales_Data!$H$2:$H$3520,M$14))</f>
        <v>4</v>
      </c>
      <c r="N72" s="26" t="n">
        <f aca="false">CHOOSE(MATCH($B$3,Lists!$C$2:$C$5,0),SUMIFS(Sales_Data!$O$2:$O$3520,Sales_Data!$C$2:$C$3520,$A72,Sales_Data!$H$2:$H$3520,N$14,Sales_Data!$AE$2:$AE$3520,1),SUMIFS(Sales_Data!$M$2:$M$3520,Sales_Data!$C$2:$C$3520,$A72,Sales_Data!$H$2:$H$3520,N$14,Sales_Data!$AE$2:$AE$3520,1),SUMIFS(Sales_Data!$N$2:$N$3520,Sales_Data!$C$2:$C$3520,$A72,Sales_Data!$H$2:$H$3520,N$14,Sales_Data!$AE$2:$AE$3520,1),SUMIFS(Sales_Data!$AE$2:$AE$3520,Sales_Data!$C$2:$C$3520,$A72,Sales_Data!$H$2:$H$3520,N$14))</f>
        <v>4</v>
      </c>
      <c r="O72" s="26" t="n">
        <f aca="false">CHOOSE(MATCH($B$3,Lists!$C$2:$C$5,0),SUMIFS(Sales_Data!$O$2:$O$3520,Sales_Data!$C$2:$C$3520,$A72,Sales_Data!$H$2:$H$3520,O$14,Sales_Data!$AE$2:$AE$3520,1),SUMIFS(Sales_Data!$M$2:$M$3520,Sales_Data!$C$2:$C$3520,$A72,Sales_Data!$H$2:$H$3520,O$14,Sales_Data!$AE$2:$AE$3520,1),SUMIFS(Sales_Data!$N$2:$N$3520,Sales_Data!$C$2:$C$3520,$A72,Sales_Data!$H$2:$H$3520,O$14,Sales_Data!$AE$2:$AE$3520,1),SUMIFS(Sales_Data!$AE$2:$AE$3520,Sales_Data!$C$2:$C$3520,$A72,Sales_Data!$H$2:$H$3520,O$14))</f>
        <v>0</v>
      </c>
      <c r="P72" s="27" t="n">
        <f aca="false">CHOOSE(MATCH($B$3,Lists!$C$2:$C$5,0),SUMIFS(Sales_Data!$O$2:$O$3520,Sales_Data!$C$2:$C$3520,$A72,Sales_Data!$AE$2:$AE$3520,1),SUMIFS(Sales_Data!$M$2:$M$3520,Sales_Data!$C$2:$C$3520,$A72,Sales_Data!$AE$2:$AE$3520,1),SUMIFS(Sales_Data!$N$2:$N$3520,Sales_Data!$C$2:$C$3520,$A72,Sales_Data!$AE$2:$AE$3520,1),SUMIFS(Sales_Data!$AE$2:$AE$3520,Sales_Data!$C$2:$C$3520,$A72))</f>
        <v>28</v>
      </c>
      <c r="Q72" s="27" t="n">
        <f aca="false">P72-SUM(B72:O72)</f>
        <v>1</v>
      </c>
      <c r="R72" s="3"/>
      <c r="S72" s="72" t="n">
        <f aca="false">A72</f>
        <v>46282</v>
      </c>
      <c r="T72" s="28" t="n">
        <f aca="false">B72-B71</f>
        <v>0</v>
      </c>
      <c r="U72" s="28" t="n">
        <f aca="false">C72-C71</f>
        <v>3</v>
      </c>
      <c r="V72" s="28" t="n">
        <f aca="false">D72-D71</f>
        <v>-3</v>
      </c>
      <c r="W72" s="28" t="n">
        <f aca="false">E72-E71</f>
        <v>0</v>
      </c>
      <c r="X72" s="28" t="n">
        <f aca="false">F72-F71</f>
        <v>2</v>
      </c>
      <c r="Y72" s="28" t="n">
        <f aca="false">G72-G71</f>
        <v>-2</v>
      </c>
      <c r="Z72" s="28" t="n">
        <f aca="false">H72-H71</f>
        <v>0</v>
      </c>
      <c r="AA72" s="28" t="n">
        <f aca="false">I72-I71</f>
        <v>0</v>
      </c>
      <c r="AB72" s="28" t="n">
        <f aca="false">J72-J71</f>
        <v>1</v>
      </c>
      <c r="AC72" s="28" t="n">
        <f aca="false">K72-K71</f>
        <v>0</v>
      </c>
      <c r="AD72" s="28" t="n">
        <f aca="false">L72-L71</f>
        <v>-5</v>
      </c>
      <c r="AE72" s="28" t="n">
        <f aca="false">M72-M71</f>
        <v>0</v>
      </c>
      <c r="AF72" s="28" t="n">
        <f aca="false">N72-N71</f>
        <v>-16</v>
      </c>
      <c r="AG72" s="28" t="n">
        <f aca="false">O72-O71</f>
        <v>0</v>
      </c>
      <c r="AH72" s="28" t="n">
        <f aca="false">P72-P71</f>
        <v>-22</v>
      </c>
    </row>
    <row r="73" customFormat="false" ht="15" hidden="false" customHeight="false" outlineLevel="0" collapsed="false">
      <c r="A73" s="72" t="n">
        <v>46283</v>
      </c>
      <c r="B73" s="26" t="n">
        <f aca="false">CHOOSE(MATCH($B$3,Lists!$C$2:$C$5,0),SUMIFS(Sales_Data!$O$2:$O$3520,Sales_Data!$C$2:$C$3520,$A73,Sales_Data!$H$2:$H$3520,B$14,Sales_Data!$AE$2:$AE$3520,1),SUMIFS(Sales_Data!$M$2:$M$3520,Sales_Data!$C$2:$C$3520,$A73,Sales_Data!$H$2:$H$3520,B$14,Sales_Data!$AE$2:$AE$3520,1),SUMIFS(Sales_Data!$N$2:$N$3520,Sales_Data!$C$2:$C$3520,$A73,Sales_Data!$H$2:$H$3520,B$14,Sales_Data!$AE$2:$AE$3520,1),SUMIFS(Sales_Data!$AE$2:$AE$3520,Sales_Data!$C$2:$C$3520,$A73,Sales_Data!$H$2:$H$3520,B$14))</f>
        <v>0</v>
      </c>
      <c r="C73" s="26" t="n">
        <f aca="false">CHOOSE(MATCH($B$3,Lists!$C$2:$C$5,0),SUMIFS(Sales_Data!$O$2:$O$3520,Sales_Data!$C$2:$C$3520,$A73,Sales_Data!$H$2:$H$3520,C$14,Sales_Data!$AE$2:$AE$3520,1),SUMIFS(Sales_Data!$M$2:$M$3520,Sales_Data!$C$2:$C$3520,$A73,Sales_Data!$H$2:$H$3520,C$14,Sales_Data!$AE$2:$AE$3520,1),SUMIFS(Sales_Data!$N$2:$N$3520,Sales_Data!$C$2:$C$3520,$A73,Sales_Data!$H$2:$H$3520,C$14,Sales_Data!$AE$2:$AE$3520,1),SUMIFS(Sales_Data!$AE$2:$AE$3520,Sales_Data!$C$2:$C$3520,$A73,Sales_Data!$H$2:$H$3520,C$14))</f>
        <v>9</v>
      </c>
      <c r="D73" s="26" t="n">
        <f aca="false">CHOOSE(MATCH($B$3,Lists!$C$2:$C$5,0),SUMIFS(Sales_Data!$O$2:$O$3520,Sales_Data!$C$2:$C$3520,$A73,Sales_Data!$H$2:$H$3520,D$14,Sales_Data!$AE$2:$AE$3520,1),SUMIFS(Sales_Data!$M$2:$M$3520,Sales_Data!$C$2:$C$3520,$A73,Sales_Data!$H$2:$H$3520,D$14,Sales_Data!$AE$2:$AE$3520,1),SUMIFS(Sales_Data!$N$2:$N$3520,Sales_Data!$C$2:$C$3520,$A73,Sales_Data!$H$2:$H$3520,D$14,Sales_Data!$AE$2:$AE$3520,1),SUMIFS(Sales_Data!$AE$2:$AE$3520,Sales_Data!$C$2:$C$3520,$A73,Sales_Data!$H$2:$H$3520,D$14))</f>
        <v>6</v>
      </c>
      <c r="E73" s="26" t="n">
        <f aca="false">CHOOSE(MATCH($B$3,Lists!$C$2:$C$5,0),SUMIFS(Sales_Data!$O$2:$O$3520,Sales_Data!$C$2:$C$3520,$A73,Sales_Data!$H$2:$H$3520,E$14,Sales_Data!$AE$2:$AE$3520,1),SUMIFS(Sales_Data!$M$2:$M$3520,Sales_Data!$C$2:$C$3520,$A73,Sales_Data!$H$2:$H$3520,E$14,Sales_Data!$AE$2:$AE$3520,1),SUMIFS(Sales_Data!$N$2:$N$3520,Sales_Data!$C$2:$C$3520,$A73,Sales_Data!$H$2:$H$3520,E$14,Sales_Data!$AE$2:$AE$3520,1),SUMIFS(Sales_Data!$AE$2:$AE$3520,Sales_Data!$C$2:$C$3520,$A73,Sales_Data!$H$2:$H$3520,E$14))</f>
        <v>0</v>
      </c>
      <c r="F73" s="26" t="n">
        <f aca="false">CHOOSE(MATCH($B$3,Lists!$C$2:$C$5,0),SUMIFS(Sales_Data!$O$2:$O$3520,Sales_Data!$C$2:$C$3520,$A73,Sales_Data!$H$2:$H$3520,F$14,Sales_Data!$AE$2:$AE$3520,1),SUMIFS(Sales_Data!$M$2:$M$3520,Sales_Data!$C$2:$C$3520,$A73,Sales_Data!$H$2:$H$3520,F$14,Sales_Data!$AE$2:$AE$3520,1),SUMIFS(Sales_Data!$N$2:$N$3520,Sales_Data!$C$2:$C$3520,$A73,Sales_Data!$H$2:$H$3520,F$14,Sales_Data!$AE$2:$AE$3520,1),SUMIFS(Sales_Data!$AE$2:$AE$3520,Sales_Data!$C$2:$C$3520,$A73,Sales_Data!$H$2:$H$3520,F$14))</f>
        <v>5</v>
      </c>
      <c r="G73" s="26" t="n">
        <f aca="false">CHOOSE(MATCH($B$3,Lists!$C$2:$C$5,0),SUMIFS(Sales_Data!$O$2:$O$3520,Sales_Data!$C$2:$C$3520,$A73,Sales_Data!$H$2:$H$3520,G$14,Sales_Data!$AE$2:$AE$3520,1),SUMIFS(Sales_Data!$M$2:$M$3520,Sales_Data!$C$2:$C$3520,$A73,Sales_Data!$H$2:$H$3520,G$14,Sales_Data!$AE$2:$AE$3520,1),SUMIFS(Sales_Data!$N$2:$N$3520,Sales_Data!$C$2:$C$3520,$A73,Sales_Data!$H$2:$H$3520,G$14,Sales_Data!$AE$2:$AE$3520,1),SUMIFS(Sales_Data!$AE$2:$AE$3520,Sales_Data!$C$2:$C$3520,$A73,Sales_Data!$H$2:$H$3520,G$14))</f>
        <v>3</v>
      </c>
      <c r="H73" s="26" t="n">
        <f aca="false">CHOOSE(MATCH($B$3,Lists!$C$2:$C$5,0),SUMIFS(Sales_Data!$O$2:$O$3520,Sales_Data!$C$2:$C$3520,$A73,Sales_Data!$H$2:$H$3520,H$14,Sales_Data!$AE$2:$AE$3520,1),SUMIFS(Sales_Data!$M$2:$M$3520,Sales_Data!$C$2:$C$3520,$A73,Sales_Data!$H$2:$H$3520,H$14,Sales_Data!$AE$2:$AE$3520,1),SUMIFS(Sales_Data!$N$2:$N$3520,Sales_Data!$C$2:$C$3520,$A73,Sales_Data!$H$2:$H$3520,H$14,Sales_Data!$AE$2:$AE$3520,1),SUMIFS(Sales_Data!$AE$2:$AE$3520,Sales_Data!$C$2:$C$3520,$A73,Sales_Data!$H$2:$H$3520,H$14))</f>
        <v>0</v>
      </c>
      <c r="I73" s="26" t="n">
        <f aca="false">CHOOSE(MATCH($B$3,Lists!$C$2:$C$5,0),SUMIFS(Sales_Data!$O$2:$O$3520,Sales_Data!$C$2:$C$3520,$A73,Sales_Data!$H$2:$H$3520,I$14,Sales_Data!$AE$2:$AE$3520,1),SUMIFS(Sales_Data!$M$2:$M$3520,Sales_Data!$C$2:$C$3520,$A73,Sales_Data!$H$2:$H$3520,I$14,Sales_Data!$AE$2:$AE$3520,1),SUMIFS(Sales_Data!$N$2:$N$3520,Sales_Data!$C$2:$C$3520,$A73,Sales_Data!$H$2:$H$3520,I$14,Sales_Data!$AE$2:$AE$3520,1),SUMIFS(Sales_Data!$AE$2:$AE$3520,Sales_Data!$C$2:$C$3520,$A73,Sales_Data!$H$2:$H$3520,I$14))</f>
        <v>0</v>
      </c>
      <c r="J73" s="26" t="n">
        <f aca="false">CHOOSE(MATCH($B$3,Lists!$C$2:$C$5,0),SUMIFS(Sales_Data!$O$2:$O$3520,Sales_Data!$C$2:$C$3520,$A73,Sales_Data!$H$2:$H$3520,J$14,Sales_Data!$AE$2:$AE$3520,1),SUMIFS(Sales_Data!$M$2:$M$3520,Sales_Data!$C$2:$C$3520,$A73,Sales_Data!$H$2:$H$3520,J$14,Sales_Data!$AE$2:$AE$3520,1),SUMIFS(Sales_Data!$N$2:$N$3520,Sales_Data!$C$2:$C$3520,$A73,Sales_Data!$H$2:$H$3520,J$14,Sales_Data!$AE$2:$AE$3520,1),SUMIFS(Sales_Data!$AE$2:$AE$3520,Sales_Data!$C$2:$C$3520,$A73,Sales_Data!$H$2:$H$3520,J$14))</f>
        <v>2</v>
      </c>
      <c r="K73" s="26" t="n">
        <f aca="false">CHOOSE(MATCH($B$3,Lists!$C$2:$C$5,0),SUMIFS(Sales_Data!$O$2:$O$3520,Sales_Data!$C$2:$C$3520,$A73,Sales_Data!$H$2:$H$3520,K$14,Sales_Data!$AE$2:$AE$3520,1),SUMIFS(Sales_Data!$M$2:$M$3520,Sales_Data!$C$2:$C$3520,$A73,Sales_Data!$H$2:$H$3520,K$14,Sales_Data!$AE$2:$AE$3520,1),SUMIFS(Sales_Data!$N$2:$N$3520,Sales_Data!$C$2:$C$3520,$A73,Sales_Data!$H$2:$H$3520,K$14,Sales_Data!$AE$2:$AE$3520,1),SUMIFS(Sales_Data!$AE$2:$AE$3520,Sales_Data!$C$2:$C$3520,$A73,Sales_Data!$H$2:$H$3520,K$14))</f>
        <v>0</v>
      </c>
      <c r="L73" s="26" t="n">
        <f aca="false">CHOOSE(MATCH($B$3,Lists!$C$2:$C$5,0),SUMIFS(Sales_Data!$O$2:$O$3520,Sales_Data!$C$2:$C$3520,$A73,Sales_Data!$H$2:$H$3520,L$14,Sales_Data!$AE$2:$AE$3520,1),SUMIFS(Sales_Data!$M$2:$M$3520,Sales_Data!$C$2:$C$3520,$A73,Sales_Data!$H$2:$H$3520,L$14,Sales_Data!$AE$2:$AE$3520,1),SUMIFS(Sales_Data!$N$2:$N$3520,Sales_Data!$C$2:$C$3520,$A73,Sales_Data!$H$2:$H$3520,L$14,Sales_Data!$AE$2:$AE$3520,1),SUMIFS(Sales_Data!$AE$2:$AE$3520,Sales_Data!$C$2:$C$3520,$A73,Sales_Data!$H$2:$H$3520,L$14))</f>
        <v>2</v>
      </c>
      <c r="M73" s="26" t="n">
        <f aca="false">CHOOSE(MATCH($B$3,Lists!$C$2:$C$5,0),SUMIFS(Sales_Data!$O$2:$O$3520,Sales_Data!$C$2:$C$3520,$A73,Sales_Data!$H$2:$H$3520,M$14,Sales_Data!$AE$2:$AE$3520,1),SUMIFS(Sales_Data!$M$2:$M$3520,Sales_Data!$C$2:$C$3520,$A73,Sales_Data!$H$2:$H$3520,M$14,Sales_Data!$AE$2:$AE$3520,1),SUMIFS(Sales_Data!$N$2:$N$3520,Sales_Data!$C$2:$C$3520,$A73,Sales_Data!$H$2:$H$3520,M$14,Sales_Data!$AE$2:$AE$3520,1),SUMIFS(Sales_Data!$AE$2:$AE$3520,Sales_Data!$C$2:$C$3520,$A73,Sales_Data!$H$2:$H$3520,M$14))</f>
        <v>8</v>
      </c>
      <c r="N73" s="26" t="n">
        <f aca="false">CHOOSE(MATCH($B$3,Lists!$C$2:$C$5,0),SUMIFS(Sales_Data!$O$2:$O$3520,Sales_Data!$C$2:$C$3520,$A73,Sales_Data!$H$2:$H$3520,N$14,Sales_Data!$AE$2:$AE$3520,1),SUMIFS(Sales_Data!$M$2:$M$3520,Sales_Data!$C$2:$C$3520,$A73,Sales_Data!$H$2:$H$3520,N$14,Sales_Data!$AE$2:$AE$3520,1),SUMIFS(Sales_Data!$N$2:$N$3520,Sales_Data!$C$2:$C$3520,$A73,Sales_Data!$H$2:$H$3520,N$14,Sales_Data!$AE$2:$AE$3520,1),SUMIFS(Sales_Data!$AE$2:$AE$3520,Sales_Data!$C$2:$C$3520,$A73,Sales_Data!$H$2:$H$3520,N$14))</f>
        <v>3</v>
      </c>
      <c r="O73" s="26" t="n">
        <f aca="false">CHOOSE(MATCH($B$3,Lists!$C$2:$C$5,0),SUMIFS(Sales_Data!$O$2:$O$3520,Sales_Data!$C$2:$C$3520,$A73,Sales_Data!$H$2:$H$3520,O$14,Sales_Data!$AE$2:$AE$3520,1),SUMIFS(Sales_Data!$M$2:$M$3520,Sales_Data!$C$2:$C$3520,$A73,Sales_Data!$H$2:$H$3520,O$14,Sales_Data!$AE$2:$AE$3520,1),SUMIFS(Sales_Data!$N$2:$N$3520,Sales_Data!$C$2:$C$3520,$A73,Sales_Data!$H$2:$H$3520,O$14,Sales_Data!$AE$2:$AE$3520,1),SUMIFS(Sales_Data!$AE$2:$AE$3520,Sales_Data!$C$2:$C$3520,$A73,Sales_Data!$H$2:$H$3520,O$14))</f>
        <v>0</v>
      </c>
      <c r="P73" s="27" t="n">
        <f aca="false">CHOOSE(MATCH($B$3,Lists!$C$2:$C$5,0),SUMIFS(Sales_Data!$O$2:$O$3520,Sales_Data!$C$2:$C$3520,$A73,Sales_Data!$AE$2:$AE$3520,1),SUMIFS(Sales_Data!$M$2:$M$3520,Sales_Data!$C$2:$C$3520,$A73,Sales_Data!$AE$2:$AE$3520,1),SUMIFS(Sales_Data!$N$2:$N$3520,Sales_Data!$C$2:$C$3520,$A73,Sales_Data!$AE$2:$AE$3520,1),SUMIFS(Sales_Data!$AE$2:$AE$3520,Sales_Data!$C$2:$C$3520,$A73))</f>
        <v>39</v>
      </c>
      <c r="Q73" s="27" t="n">
        <f aca="false">P73-SUM(B73:O73)</f>
        <v>1</v>
      </c>
      <c r="R73" s="3"/>
      <c r="S73" s="72" t="n">
        <f aca="false">A73</f>
        <v>46283</v>
      </c>
      <c r="T73" s="28" t="n">
        <f aca="false">B73-B72</f>
        <v>0</v>
      </c>
      <c r="U73" s="28" t="n">
        <f aca="false">C73-C72</f>
        <v>1</v>
      </c>
      <c r="V73" s="28" t="n">
        <f aca="false">D73-D72</f>
        <v>4</v>
      </c>
      <c r="W73" s="28" t="n">
        <f aca="false">E73-E72</f>
        <v>0</v>
      </c>
      <c r="X73" s="28" t="n">
        <f aca="false">F73-F72</f>
        <v>0</v>
      </c>
      <c r="Y73" s="28" t="n">
        <f aca="false">G73-G72</f>
        <v>2</v>
      </c>
      <c r="Z73" s="28" t="n">
        <f aca="false">H73-H72</f>
        <v>0</v>
      </c>
      <c r="AA73" s="28" t="n">
        <f aca="false">I73-I72</f>
        <v>0</v>
      </c>
      <c r="AB73" s="28" t="n">
        <f aca="false">J73-J72</f>
        <v>1</v>
      </c>
      <c r="AC73" s="28" t="n">
        <f aca="false">K73-K72</f>
        <v>0</v>
      </c>
      <c r="AD73" s="28" t="n">
        <f aca="false">L73-L72</f>
        <v>0</v>
      </c>
      <c r="AE73" s="28" t="n">
        <f aca="false">M73-M72</f>
        <v>4</v>
      </c>
      <c r="AF73" s="28" t="n">
        <f aca="false">N73-N72</f>
        <v>-1</v>
      </c>
      <c r="AG73" s="28" t="n">
        <f aca="false">O73-O72</f>
        <v>0</v>
      </c>
      <c r="AH73" s="28" t="n">
        <f aca="false">P73-P72</f>
        <v>11</v>
      </c>
    </row>
    <row r="74" customFormat="false" ht="15" hidden="false" customHeight="false" outlineLevel="0" collapsed="false">
      <c r="A74" s="72" t="n">
        <v>46284</v>
      </c>
      <c r="B74" s="26" t="n">
        <f aca="false">CHOOSE(MATCH($B$3,Lists!$C$2:$C$5,0),SUMIFS(Sales_Data!$O$2:$O$3520,Sales_Data!$C$2:$C$3520,$A74,Sales_Data!$H$2:$H$3520,B$14,Sales_Data!$AE$2:$AE$3520,1),SUMIFS(Sales_Data!$M$2:$M$3520,Sales_Data!$C$2:$C$3520,$A74,Sales_Data!$H$2:$H$3520,B$14,Sales_Data!$AE$2:$AE$3520,1),SUMIFS(Sales_Data!$N$2:$N$3520,Sales_Data!$C$2:$C$3520,$A74,Sales_Data!$H$2:$H$3520,B$14,Sales_Data!$AE$2:$AE$3520,1),SUMIFS(Sales_Data!$AE$2:$AE$3520,Sales_Data!$C$2:$C$3520,$A74,Sales_Data!$H$2:$H$3520,B$14))</f>
        <v>0</v>
      </c>
      <c r="C74" s="26" t="n">
        <f aca="false">CHOOSE(MATCH($B$3,Lists!$C$2:$C$5,0),SUMIFS(Sales_Data!$O$2:$O$3520,Sales_Data!$C$2:$C$3520,$A74,Sales_Data!$H$2:$H$3520,C$14,Sales_Data!$AE$2:$AE$3520,1),SUMIFS(Sales_Data!$M$2:$M$3520,Sales_Data!$C$2:$C$3520,$A74,Sales_Data!$H$2:$H$3520,C$14,Sales_Data!$AE$2:$AE$3520,1),SUMIFS(Sales_Data!$N$2:$N$3520,Sales_Data!$C$2:$C$3520,$A74,Sales_Data!$H$2:$H$3520,C$14,Sales_Data!$AE$2:$AE$3520,1),SUMIFS(Sales_Data!$AE$2:$AE$3520,Sales_Data!$C$2:$C$3520,$A74,Sales_Data!$H$2:$H$3520,C$14))</f>
        <v>6</v>
      </c>
      <c r="D74" s="26" t="n">
        <f aca="false">CHOOSE(MATCH($B$3,Lists!$C$2:$C$5,0),SUMIFS(Sales_Data!$O$2:$O$3520,Sales_Data!$C$2:$C$3520,$A74,Sales_Data!$H$2:$H$3520,D$14,Sales_Data!$AE$2:$AE$3520,1),SUMIFS(Sales_Data!$M$2:$M$3520,Sales_Data!$C$2:$C$3520,$A74,Sales_Data!$H$2:$H$3520,D$14,Sales_Data!$AE$2:$AE$3520,1),SUMIFS(Sales_Data!$N$2:$N$3520,Sales_Data!$C$2:$C$3520,$A74,Sales_Data!$H$2:$H$3520,D$14,Sales_Data!$AE$2:$AE$3520,1),SUMIFS(Sales_Data!$AE$2:$AE$3520,Sales_Data!$C$2:$C$3520,$A74,Sales_Data!$H$2:$H$3520,D$14))</f>
        <v>6</v>
      </c>
      <c r="E74" s="26" t="n">
        <f aca="false">CHOOSE(MATCH($B$3,Lists!$C$2:$C$5,0),SUMIFS(Sales_Data!$O$2:$O$3520,Sales_Data!$C$2:$C$3520,$A74,Sales_Data!$H$2:$H$3520,E$14,Sales_Data!$AE$2:$AE$3520,1),SUMIFS(Sales_Data!$M$2:$M$3520,Sales_Data!$C$2:$C$3520,$A74,Sales_Data!$H$2:$H$3520,E$14,Sales_Data!$AE$2:$AE$3520,1),SUMIFS(Sales_Data!$N$2:$N$3520,Sales_Data!$C$2:$C$3520,$A74,Sales_Data!$H$2:$H$3520,E$14,Sales_Data!$AE$2:$AE$3520,1),SUMIFS(Sales_Data!$AE$2:$AE$3520,Sales_Data!$C$2:$C$3520,$A74,Sales_Data!$H$2:$H$3520,E$14))</f>
        <v>0</v>
      </c>
      <c r="F74" s="26" t="n">
        <f aca="false">CHOOSE(MATCH($B$3,Lists!$C$2:$C$5,0),SUMIFS(Sales_Data!$O$2:$O$3520,Sales_Data!$C$2:$C$3520,$A74,Sales_Data!$H$2:$H$3520,F$14,Sales_Data!$AE$2:$AE$3520,1),SUMIFS(Sales_Data!$M$2:$M$3520,Sales_Data!$C$2:$C$3520,$A74,Sales_Data!$H$2:$H$3520,F$14,Sales_Data!$AE$2:$AE$3520,1),SUMIFS(Sales_Data!$N$2:$N$3520,Sales_Data!$C$2:$C$3520,$A74,Sales_Data!$H$2:$H$3520,F$14,Sales_Data!$AE$2:$AE$3520,1),SUMIFS(Sales_Data!$AE$2:$AE$3520,Sales_Data!$C$2:$C$3520,$A74,Sales_Data!$H$2:$H$3520,F$14))</f>
        <v>5</v>
      </c>
      <c r="G74" s="26" t="n">
        <f aca="false">CHOOSE(MATCH($B$3,Lists!$C$2:$C$5,0),SUMIFS(Sales_Data!$O$2:$O$3520,Sales_Data!$C$2:$C$3520,$A74,Sales_Data!$H$2:$H$3520,G$14,Sales_Data!$AE$2:$AE$3520,1),SUMIFS(Sales_Data!$M$2:$M$3520,Sales_Data!$C$2:$C$3520,$A74,Sales_Data!$H$2:$H$3520,G$14,Sales_Data!$AE$2:$AE$3520,1),SUMIFS(Sales_Data!$N$2:$N$3520,Sales_Data!$C$2:$C$3520,$A74,Sales_Data!$H$2:$H$3520,G$14,Sales_Data!$AE$2:$AE$3520,1),SUMIFS(Sales_Data!$AE$2:$AE$3520,Sales_Data!$C$2:$C$3520,$A74,Sales_Data!$H$2:$H$3520,G$14))</f>
        <v>3</v>
      </c>
      <c r="H74" s="26" t="n">
        <f aca="false">CHOOSE(MATCH($B$3,Lists!$C$2:$C$5,0),SUMIFS(Sales_Data!$O$2:$O$3520,Sales_Data!$C$2:$C$3520,$A74,Sales_Data!$H$2:$H$3520,H$14,Sales_Data!$AE$2:$AE$3520,1),SUMIFS(Sales_Data!$M$2:$M$3520,Sales_Data!$C$2:$C$3520,$A74,Sales_Data!$H$2:$H$3520,H$14,Sales_Data!$AE$2:$AE$3520,1),SUMIFS(Sales_Data!$N$2:$N$3520,Sales_Data!$C$2:$C$3520,$A74,Sales_Data!$H$2:$H$3520,H$14,Sales_Data!$AE$2:$AE$3520,1),SUMIFS(Sales_Data!$AE$2:$AE$3520,Sales_Data!$C$2:$C$3520,$A74,Sales_Data!$H$2:$H$3520,H$14))</f>
        <v>0</v>
      </c>
      <c r="I74" s="26" t="n">
        <f aca="false">CHOOSE(MATCH($B$3,Lists!$C$2:$C$5,0),SUMIFS(Sales_Data!$O$2:$O$3520,Sales_Data!$C$2:$C$3520,$A74,Sales_Data!$H$2:$H$3520,I$14,Sales_Data!$AE$2:$AE$3520,1),SUMIFS(Sales_Data!$M$2:$M$3520,Sales_Data!$C$2:$C$3520,$A74,Sales_Data!$H$2:$H$3520,I$14,Sales_Data!$AE$2:$AE$3520,1),SUMIFS(Sales_Data!$N$2:$N$3520,Sales_Data!$C$2:$C$3520,$A74,Sales_Data!$H$2:$H$3520,I$14,Sales_Data!$AE$2:$AE$3520,1),SUMIFS(Sales_Data!$AE$2:$AE$3520,Sales_Data!$C$2:$C$3520,$A74,Sales_Data!$H$2:$H$3520,I$14))</f>
        <v>0</v>
      </c>
      <c r="J74" s="26" t="n">
        <f aca="false">CHOOSE(MATCH($B$3,Lists!$C$2:$C$5,0),SUMIFS(Sales_Data!$O$2:$O$3520,Sales_Data!$C$2:$C$3520,$A74,Sales_Data!$H$2:$H$3520,J$14,Sales_Data!$AE$2:$AE$3520,1),SUMIFS(Sales_Data!$M$2:$M$3520,Sales_Data!$C$2:$C$3520,$A74,Sales_Data!$H$2:$H$3520,J$14,Sales_Data!$AE$2:$AE$3520,1),SUMIFS(Sales_Data!$N$2:$N$3520,Sales_Data!$C$2:$C$3520,$A74,Sales_Data!$H$2:$H$3520,J$14,Sales_Data!$AE$2:$AE$3520,1),SUMIFS(Sales_Data!$AE$2:$AE$3520,Sales_Data!$C$2:$C$3520,$A74,Sales_Data!$H$2:$H$3520,J$14))</f>
        <v>1</v>
      </c>
      <c r="K74" s="26" t="n">
        <f aca="false">CHOOSE(MATCH($B$3,Lists!$C$2:$C$5,0),SUMIFS(Sales_Data!$O$2:$O$3520,Sales_Data!$C$2:$C$3520,$A74,Sales_Data!$H$2:$H$3520,K$14,Sales_Data!$AE$2:$AE$3520,1),SUMIFS(Sales_Data!$M$2:$M$3520,Sales_Data!$C$2:$C$3520,$A74,Sales_Data!$H$2:$H$3520,K$14,Sales_Data!$AE$2:$AE$3520,1),SUMIFS(Sales_Data!$N$2:$N$3520,Sales_Data!$C$2:$C$3520,$A74,Sales_Data!$H$2:$H$3520,K$14,Sales_Data!$AE$2:$AE$3520,1),SUMIFS(Sales_Data!$AE$2:$AE$3520,Sales_Data!$C$2:$C$3520,$A74,Sales_Data!$H$2:$H$3520,K$14))</f>
        <v>0</v>
      </c>
      <c r="L74" s="26" t="n">
        <f aca="false">CHOOSE(MATCH($B$3,Lists!$C$2:$C$5,0),SUMIFS(Sales_Data!$O$2:$O$3520,Sales_Data!$C$2:$C$3520,$A74,Sales_Data!$H$2:$H$3520,L$14,Sales_Data!$AE$2:$AE$3520,1),SUMIFS(Sales_Data!$M$2:$M$3520,Sales_Data!$C$2:$C$3520,$A74,Sales_Data!$H$2:$H$3520,L$14,Sales_Data!$AE$2:$AE$3520,1),SUMIFS(Sales_Data!$N$2:$N$3520,Sales_Data!$C$2:$C$3520,$A74,Sales_Data!$H$2:$H$3520,L$14,Sales_Data!$AE$2:$AE$3520,1),SUMIFS(Sales_Data!$AE$2:$AE$3520,Sales_Data!$C$2:$C$3520,$A74,Sales_Data!$H$2:$H$3520,L$14))</f>
        <v>6</v>
      </c>
      <c r="M74" s="26" t="n">
        <f aca="false">CHOOSE(MATCH($B$3,Lists!$C$2:$C$5,0),SUMIFS(Sales_Data!$O$2:$O$3520,Sales_Data!$C$2:$C$3520,$A74,Sales_Data!$H$2:$H$3520,M$14,Sales_Data!$AE$2:$AE$3520,1),SUMIFS(Sales_Data!$M$2:$M$3520,Sales_Data!$C$2:$C$3520,$A74,Sales_Data!$H$2:$H$3520,M$14,Sales_Data!$AE$2:$AE$3520,1),SUMIFS(Sales_Data!$N$2:$N$3520,Sales_Data!$C$2:$C$3520,$A74,Sales_Data!$H$2:$H$3520,M$14,Sales_Data!$AE$2:$AE$3520,1),SUMIFS(Sales_Data!$AE$2:$AE$3520,Sales_Data!$C$2:$C$3520,$A74,Sales_Data!$H$2:$H$3520,M$14))</f>
        <v>12</v>
      </c>
      <c r="N74" s="26" t="n">
        <f aca="false">CHOOSE(MATCH($B$3,Lists!$C$2:$C$5,0),SUMIFS(Sales_Data!$O$2:$O$3520,Sales_Data!$C$2:$C$3520,$A74,Sales_Data!$H$2:$H$3520,N$14,Sales_Data!$AE$2:$AE$3520,1),SUMIFS(Sales_Data!$M$2:$M$3520,Sales_Data!$C$2:$C$3520,$A74,Sales_Data!$H$2:$H$3520,N$14,Sales_Data!$AE$2:$AE$3520,1),SUMIFS(Sales_Data!$N$2:$N$3520,Sales_Data!$C$2:$C$3520,$A74,Sales_Data!$H$2:$H$3520,N$14,Sales_Data!$AE$2:$AE$3520,1),SUMIFS(Sales_Data!$AE$2:$AE$3520,Sales_Data!$C$2:$C$3520,$A74,Sales_Data!$H$2:$H$3520,N$14))</f>
        <v>17</v>
      </c>
      <c r="O74" s="26" t="n">
        <f aca="false">CHOOSE(MATCH($B$3,Lists!$C$2:$C$5,0),SUMIFS(Sales_Data!$O$2:$O$3520,Sales_Data!$C$2:$C$3520,$A74,Sales_Data!$H$2:$H$3520,O$14,Sales_Data!$AE$2:$AE$3520,1),SUMIFS(Sales_Data!$M$2:$M$3520,Sales_Data!$C$2:$C$3520,$A74,Sales_Data!$H$2:$H$3520,O$14,Sales_Data!$AE$2:$AE$3520,1),SUMIFS(Sales_Data!$N$2:$N$3520,Sales_Data!$C$2:$C$3520,$A74,Sales_Data!$H$2:$H$3520,O$14,Sales_Data!$AE$2:$AE$3520,1),SUMIFS(Sales_Data!$AE$2:$AE$3520,Sales_Data!$C$2:$C$3520,$A74,Sales_Data!$H$2:$H$3520,O$14))</f>
        <v>0</v>
      </c>
      <c r="P74" s="27" t="n">
        <f aca="false">CHOOSE(MATCH($B$3,Lists!$C$2:$C$5,0),SUMIFS(Sales_Data!$O$2:$O$3520,Sales_Data!$C$2:$C$3520,$A74,Sales_Data!$AE$2:$AE$3520,1),SUMIFS(Sales_Data!$M$2:$M$3520,Sales_Data!$C$2:$C$3520,$A74,Sales_Data!$AE$2:$AE$3520,1),SUMIFS(Sales_Data!$N$2:$N$3520,Sales_Data!$C$2:$C$3520,$A74,Sales_Data!$AE$2:$AE$3520,1),SUMIFS(Sales_Data!$AE$2:$AE$3520,Sales_Data!$C$2:$C$3520,$A74))</f>
        <v>60</v>
      </c>
      <c r="Q74" s="27" t="n">
        <f aca="false">P74-SUM(B74:O74)</f>
        <v>4</v>
      </c>
      <c r="R74" s="3"/>
      <c r="S74" s="72" t="n">
        <f aca="false">A74</f>
        <v>46284</v>
      </c>
      <c r="T74" s="28" t="n">
        <f aca="false">B74-B73</f>
        <v>0</v>
      </c>
      <c r="U74" s="28" t="n">
        <f aca="false">C74-C73</f>
        <v>-3</v>
      </c>
      <c r="V74" s="28" t="n">
        <f aca="false">D74-D73</f>
        <v>0</v>
      </c>
      <c r="W74" s="28" t="n">
        <f aca="false">E74-E73</f>
        <v>0</v>
      </c>
      <c r="X74" s="28" t="n">
        <f aca="false">F74-F73</f>
        <v>0</v>
      </c>
      <c r="Y74" s="28" t="n">
        <f aca="false">G74-G73</f>
        <v>0</v>
      </c>
      <c r="Z74" s="28" t="n">
        <f aca="false">H74-H73</f>
        <v>0</v>
      </c>
      <c r="AA74" s="28" t="n">
        <f aca="false">I74-I73</f>
        <v>0</v>
      </c>
      <c r="AB74" s="28" t="n">
        <f aca="false">J74-J73</f>
        <v>-1</v>
      </c>
      <c r="AC74" s="28" t="n">
        <f aca="false">K74-K73</f>
        <v>0</v>
      </c>
      <c r="AD74" s="28" t="n">
        <f aca="false">L74-L73</f>
        <v>4</v>
      </c>
      <c r="AE74" s="28" t="n">
        <f aca="false">M74-M73</f>
        <v>4</v>
      </c>
      <c r="AF74" s="28" t="n">
        <f aca="false">N74-N73</f>
        <v>14</v>
      </c>
      <c r="AG74" s="28" t="n">
        <f aca="false">O74-O73</f>
        <v>0</v>
      </c>
      <c r="AH74" s="28" t="n">
        <f aca="false">P74-P73</f>
        <v>21</v>
      </c>
    </row>
    <row r="75" customFormat="false" ht="15" hidden="false" customHeight="false" outlineLevel="0" collapsed="false">
      <c r="A75" s="72" t="n">
        <v>46285</v>
      </c>
      <c r="B75" s="26" t="n">
        <f aca="false">CHOOSE(MATCH($B$3,Lists!$C$2:$C$5,0),SUMIFS(Sales_Data!$O$2:$O$3520,Sales_Data!$C$2:$C$3520,$A75,Sales_Data!$H$2:$H$3520,B$14,Sales_Data!$AE$2:$AE$3520,1),SUMIFS(Sales_Data!$M$2:$M$3520,Sales_Data!$C$2:$C$3520,$A75,Sales_Data!$H$2:$H$3520,B$14,Sales_Data!$AE$2:$AE$3520,1),SUMIFS(Sales_Data!$N$2:$N$3520,Sales_Data!$C$2:$C$3520,$A75,Sales_Data!$H$2:$H$3520,B$14,Sales_Data!$AE$2:$AE$3520,1),SUMIFS(Sales_Data!$AE$2:$AE$3520,Sales_Data!$C$2:$C$3520,$A75,Sales_Data!$H$2:$H$3520,B$14))</f>
        <v>0</v>
      </c>
      <c r="C75" s="26" t="n">
        <f aca="false">CHOOSE(MATCH($B$3,Lists!$C$2:$C$5,0),SUMIFS(Sales_Data!$O$2:$O$3520,Sales_Data!$C$2:$C$3520,$A75,Sales_Data!$H$2:$H$3520,C$14,Sales_Data!$AE$2:$AE$3520,1),SUMIFS(Sales_Data!$M$2:$M$3520,Sales_Data!$C$2:$C$3520,$A75,Sales_Data!$H$2:$H$3520,C$14,Sales_Data!$AE$2:$AE$3520,1),SUMIFS(Sales_Data!$N$2:$N$3520,Sales_Data!$C$2:$C$3520,$A75,Sales_Data!$H$2:$H$3520,C$14,Sales_Data!$AE$2:$AE$3520,1),SUMIFS(Sales_Data!$AE$2:$AE$3520,Sales_Data!$C$2:$C$3520,$A75,Sales_Data!$H$2:$H$3520,C$14))</f>
        <v>4</v>
      </c>
      <c r="D75" s="26" t="n">
        <f aca="false">CHOOSE(MATCH($B$3,Lists!$C$2:$C$5,0),SUMIFS(Sales_Data!$O$2:$O$3520,Sales_Data!$C$2:$C$3520,$A75,Sales_Data!$H$2:$H$3520,D$14,Sales_Data!$AE$2:$AE$3520,1),SUMIFS(Sales_Data!$M$2:$M$3520,Sales_Data!$C$2:$C$3520,$A75,Sales_Data!$H$2:$H$3520,D$14,Sales_Data!$AE$2:$AE$3520,1),SUMIFS(Sales_Data!$N$2:$N$3520,Sales_Data!$C$2:$C$3520,$A75,Sales_Data!$H$2:$H$3520,D$14,Sales_Data!$AE$2:$AE$3520,1),SUMIFS(Sales_Data!$AE$2:$AE$3520,Sales_Data!$C$2:$C$3520,$A75,Sales_Data!$H$2:$H$3520,D$14))</f>
        <v>5</v>
      </c>
      <c r="E75" s="26" t="n">
        <f aca="false">CHOOSE(MATCH($B$3,Lists!$C$2:$C$5,0),SUMIFS(Sales_Data!$O$2:$O$3520,Sales_Data!$C$2:$C$3520,$A75,Sales_Data!$H$2:$H$3520,E$14,Sales_Data!$AE$2:$AE$3520,1),SUMIFS(Sales_Data!$M$2:$M$3520,Sales_Data!$C$2:$C$3520,$A75,Sales_Data!$H$2:$H$3520,E$14,Sales_Data!$AE$2:$AE$3520,1),SUMIFS(Sales_Data!$N$2:$N$3520,Sales_Data!$C$2:$C$3520,$A75,Sales_Data!$H$2:$H$3520,E$14,Sales_Data!$AE$2:$AE$3520,1),SUMIFS(Sales_Data!$AE$2:$AE$3520,Sales_Data!$C$2:$C$3520,$A75,Sales_Data!$H$2:$H$3520,E$14))</f>
        <v>0</v>
      </c>
      <c r="F75" s="26" t="n">
        <f aca="false">CHOOSE(MATCH($B$3,Lists!$C$2:$C$5,0),SUMIFS(Sales_Data!$O$2:$O$3520,Sales_Data!$C$2:$C$3520,$A75,Sales_Data!$H$2:$H$3520,F$14,Sales_Data!$AE$2:$AE$3520,1),SUMIFS(Sales_Data!$M$2:$M$3520,Sales_Data!$C$2:$C$3520,$A75,Sales_Data!$H$2:$H$3520,F$14,Sales_Data!$AE$2:$AE$3520,1),SUMIFS(Sales_Data!$N$2:$N$3520,Sales_Data!$C$2:$C$3520,$A75,Sales_Data!$H$2:$H$3520,F$14,Sales_Data!$AE$2:$AE$3520,1),SUMIFS(Sales_Data!$AE$2:$AE$3520,Sales_Data!$C$2:$C$3520,$A75,Sales_Data!$H$2:$H$3520,F$14))</f>
        <v>3</v>
      </c>
      <c r="G75" s="26" t="n">
        <f aca="false">CHOOSE(MATCH($B$3,Lists!$C$2:$C$5,0),SUMIFS(Sales_Data!$O$2:$O$3520,Sales_Data!$C$2:$C$3520,$A75,Sales_Data!$H$2:$H$3520,G$14,Sales_Data!$AE$2:$AE$3520,1),SUMIFS(Sales_Data!$M$2:$M$3520,Sales_Data!$C$2:$C$3520,$A75,Sales_Data!$H$2:$H$3520,G$14,Sales_Data!$AE$2:$AE$3520,1),SUMIFS(Sales_Data!$N$2:$N$3520,Sales_Data!$C$2:$C$3520,$A75,Sales_Data!$H$2:$H$3520,G$14,Sales_Data!$AE$2:$AE$3520,1),SUMIFS(Sales_Data!$AE$2:$AE$3520,Sales_Data!$C$2:$C$3520,$A75,Sales_Data!$H$2:$H$3520,G$14))</f>
        <v>8</v>
      </c>
      <c r="H75" s="26" t="n">
        <f aca="false">CHOOSE(MATCH($B$3,Lists!$C$2:$C$5,0),SUMIFS(Sales_Data!$O$2:$O$3520,Sales_Data!$C$2:$C$3520,$A75,Sales_Data!$H$2:$H$3520,H$14,Sales_Data!$AE$2:$AE$3520,1),SUMIFS(Sales_Data!$M$2:$M$3520,Sales_Data!$C$2:$C$3520,$A75,Sales_Data!$H$2:$H$3520,H$14,Sales_Data!$AE$2:$AE$3520,1),SUMIFS(Sales_Data!$N$2:$N$3520,Sales_Data!$C$2:$C$3520,$A75,Sales_Data!$H$2:$H$3520,H$14,Sales_Data!$AE$2:$AE$3520,1),SUMIFS(Sales_Data!$AE$2:$AE$3520,Sales_Data!$C$2:$C$3520,$A75,Sales_Data!$H$2:$H$3520,H$14))</f>
        <v>0</v>
      </c>
      <c r="I75" s="26" t="n">
        <f aca="false">CHOOSE(MATCH($B$3,Lists!$C$2:$C$5,0),SUMIFS(Sales_Data!$O$2:$O$3520,Sales_Data!$C$2:$C$3520,$A75,Sales_Data!$H$2:$H$3520,I$14,Sales_Data!$AE$2:$AE$3520,1),SUMIFS(Sales_Data!$M$2:$M$3520,Sales_Data!$C$2:$C$3520,$A75,Sales_Data!$H$2:$H$3520,I$14,Sales_Data!$AE$2:$AE$3520,1),SUMIFS(Sales_Data!$N$2:$N$3520,Sales_Data!$C$2:$C$3520,$A75,Sales_Data!$H$2:$H$3520,I$14,Sales_Data!$AE$2:$AE$3520,1),SUMIFS(Sales_Data!$AE$2:$AE$3520,Sales_Data!$C$2:$C$3520,$A75,Sales_Data!$H$2:$H$3520,I$14))</f>
        <v>0</v>
      </c>
      <c r="J75" s="26" t="n">
        <f aca="false">CHOOSE(MATCH($B$3,Lists!$C$2:$C$5,0),SUMIFS(Sales_Data!$O$2:$O$3520,Sales_Data!$C$2:$C$3520,$A75,Sales_Data!$H$2:$H$3520,J$14,Sales_Data!$AE$2:$AE$3520,1),SUMIFS(Sales_Data!$M$2:$M$3520,Sales_Data!$C$2:$C$3520,$A75,Sales_Data!$H$2:$H$3520,J$14,Sales_Data!$AE$2:$AE$3520,1),SUMIFS(Sales_Data!$N$2:$N$3520,Sales_Data!$C$2:$C$3520,$A75,Sales_Data!$H$2:$H$3520,J$14,Sales_Data!$AE$2:$AE$3520,1),SUMIFS(Sales_Data!$AE$2:$AE$3520,Sales_Data!$C$2:$C$3520,$A75,Sales_Data!$H$2:$H$3520,J$14))</f>
        <v>1</v>
      </c>
      <c r="K75" s="26" t="n">
        <f aca="false">CHOOSE(MATCH($B$3,Lists!$C$2:$C$5,0),SUMIFS(Sales_Data!$O$2:$O$3520,Sales_Data!$C$2:$C$3520,$A75,Sales_Data!$H$2:$H$3520,K$14,Sales_Data!$AE$2:$AE$3520,1),SUMIFS(Sales_Data!$M$2:$M$3520,Sales_Data!$C$2:$C$3520,$A75,Sales_Data!$H$2:$H$3520,K$14,Sales_Data!$AE$2:$AE$3520,1),SUMIFS(Sales_Data!$N$2:$N$3520,Sales_Data!$C$2:$C$3520,$A75,Sales_Data!$H$2:$H$3520,K$14,Sales_Data!$AE$2:$AE$3520,1),SUMIFS(Sales_Data!$AE$2:$AE$3520,Sales_Data!$C$2:$C$3520,$A75,Sales_Data!$H$2:$H$3520,K$14))</f>
        <v>0</v>
      </c>
      <c r="L75" s="26" t="n">
        <f aca="false">CHOOSE(MATCH($B$3,Lists!$C$2:$C$5,0),SUMIFS(Sales_Data!$O$2:$O$3520,Sales_Data!$C$2:$C$3520,$A75,Sales_Data!$H$2:$H$3520,L$14,Sales_Data!$AE$2:$AE$3520,1),SUMIFS(Sales_Data!$M$2:$M$3520,Sales_Data!$C$2:$C$3520,$A75,Sales_Data!$H$2:$H$3520,L$14,Sales_Data!$AE$2:$AE$3520,1),SUMIFS(Sales_Data!$N$2:$N$3520,Sales_Data!$C$2:$C$3520,$A75,Sales_Data!$H$2:$H$3520,L$14,Sales_Data!$AE$2:$AE$3520,1),SUMIFS(Sales_Data!$AE$2:$AE$3520,Sales_Data!$C$2:$C$3520,$A75,Sales_Data!$H$2:$H$3520,L$14))</f>
        <v>4</v>
      </c>
      <c r="M75" s="26" t="n">
        <f aca="false">CHOOSE(MATCH($B$3,Lists!$C$2:$C$5,0),SUMIFS(Sales_Data!$O$2:$O$3520,Sales_Data!$C$2:$C$3520,$A75,Sales_Data!$H$2:$H$3520,M$14,Sales_Data!$AE$2:$AE$3520,1),SUMIFS(Sales_Data!$M$2:$M$3520,Sales_Data!$C$2:$C$3520,$A75,Sales_Data!$H$2:$H$3520,M$14,Sales_Data!$AE$2:$AE$3520,1),SUMIFS(Sales_Data!$N$2:$N$3520,Sales_Data!$C$2:$C$3520,$A75,Sales_Data!$H$2:$H$3520,M$14,Sales_Data!$AE$2:$AE$3520,1),SUMIFS(Sales_Data!$AE$2:$AE$3520,Sales_Data!$C$2:$C$3520,$A75,Sales_Data!$H$2:$H$3520,M$14))</f>
        <v>14</v>
      </c>
      <c r="N75" s="26" t="n">
        <f aca="false">CHOOSE(MATCH($B$3,Lists!$C$2:$C$5,0),SUMIFS(Sales_Data!$O$2:$O$3520,Sales_Data!$C$2:$C$3520,$A75,Sales_Data!$H$2:$H$3520,N$14,Sales_Data!$AE$2:$AE$3520,1),SUMIFS(Sales_Data!$M$2:$M$3520,Sales_Data!$C$2:$C$3520,$A75,Sales_Data!$H$2:$H$3520,N$14,Sales_Data!$AE$2:$AE$3520,1),SUMIFS(Sales_Data!$N$2:$N$3520,Sales_Data!$C$2:$C$3520,$A75,Sales_Data!$H$2:$H$3520,N$14,Sales_Data!$AE$2:$AE$3520,1),SUMIFS(Sales_Data!$AE$2:$AE$3520,Sales_Data!$C$2:$C$3520,$A75,Sales_Data!$H$2:$H$3520,N$14))</f>
        <v>8</v>
      </c>
      <c r="O75" s="26" t="n">
        <f aca="false">CHOOSE(MATCH($B$3,Lists!$C$2:$C$5,0),SUMIFS(Sales_Data!$O$2:$O$3520,Sales_Data!$C$2:$C$3520,$A75,Sales_Data!$H$2:$H$3520,O$14,Sales_Data!$AE$2:$AE$3520,1),SUMIFS(Sales_Data!$M$2:$M$3520,Sales_Data!$C$2:$C$3520,$A75,Sales_Data!$H$2:$H$3520,O$14,Sales_Data!$AE$2:$AE$3520,1),SUMIFS(Sales_Data!$N$2:$N$3520,Sales_Data!$C$2:$C$3520,$A75,Sales_Data!$H$2:$H$3520,O$14,Sales_Data!$AE$2:$AE$3520,1),SUMIFS(Sales_Data!$AE$2:$AE$3520,Sales_Data!$C$2:$C$3520,$A75,Sales_Data!$H$2:$H$3520,O$14))</f>
        <v>0</v>
      </c>
      <c r="P75" s="27" t="n">
        <f aca="false">CHOOSE(MATCH($B$3,Lists!$C$2:$C$5,0),SUMIFS(Sales_Data!$O$2:$O$3520,Sales_Data!$C$2:$C$3520,$A75,Sales_Data!$AE$2:$AE$3520,1),SUMIFS(Sales_Data!$M$2:$M$3520,Sales_Data!$C$2:$C$3520,$A75,Sales_Data!$AE$2:$AE$3520,1),SUMIFS(Sales_Data!$N$2:$N$3520,Sales_Data!$C$2:$C$3520,$A75,Sales_Data!$AE$2:$AE$3520,1),SUMIFS(Sales_Data!$AE$2:$AE$3520,Sales_Data!$C$2:$C$3520,$A75))</f>
        <v>49</v>
      </c>
      <c r="Q75" s="27" t="n">
        <f aca="false">P75-SUM(B75:O75)</f>
        <v>2</v>
      </c>
      <c r="R75" s="3"/>
      <c r="S75" s="72" t="n">
        <f aca="false">A75</f>
        <v>46285</v>
      </c>
      <c r="T75" s="28" t="n">
        <f aca="false">B75-B74</f>
        <v>0</v>
      </c>
      <c r="U75" s="28" t="n">
        <f aca="false">C75-C74</f>
        <v>-2</v>
      </c>
      <c r="V75" s="28" t="n">
        <f aca="false">D75-D74</f>
        <v>-1</v>
      </c>
      <c r="W75" s="28" t="n">
        <f aca="false">E75-E74</f>
        <v>0</v>
      </c>
      <c r="X75" s="28" t="n">
        <f aca="false">F75-F74</f>
        <v>-2</v>
      </c>
      <c r="Y75" s="28" t="n">
        <f aca="false">G75-G74</f>
        <v>5</v>
      </c>
      <c r="Z75" s="28" t="n">
        <f aca="false">H75-H74</f>
        <v>0</v>
      </c>
      <c r="AA75" s="28" t="n">
        <f aca="false">I75-I74</f>
        <v>0</v>
      </c>
      <c r="AB75" s="28" t="n">
        <f aca="false">J75-J74</f>
        <v>0</v>
      </c>
      <c r="AC75" s="28" t="n">
        <f aca="false">K75-K74</f>
        <v>0</v>
      </c>
      <c r="AD75" s="28" t="n">
        <f aca="false">L75-L74</f>
        <v>-2</v>
      </c>
      <c r="AE75" s="28" t="n">
        <f aca="false">M75-M74</f>
        <v>2</v>
      </c>
      <c r="AF75" s="28" t="n">
        <f aca="false">N75-N74</f>
        <v>-9</v>
      </c>
      <c r="AG75" s="28" t="n">
        <f aca="false">O75-O74</f>
        <v>0</v>
      </c>
      <c r="AH75" s="28" t="n">
        <f aca="false">P75-P74</f>
        <v>-11</v>
      </c>
    </row>
    <row r="76" customFormat="false" ht="15" hidden="false" customHeight="false" outlineLevel="0" collapsed="false">
      <c r="A76" s="72" t="n">
        <v>46286</v>
      </c>
      <c r="B76" s="26" t="n">
        <f aca="false">CHOOSE(MATCH($B$3,Lists!$C$2:$C$5,0),SUMIFS(Sales_Data!$O$2:$O$3520,Sales_Data!$C$2:$C$3520,$A76,Sales_Data!$H$2:$H$3520,B$14,Sales_Data!$AE$2:$AE$3520,1),SUMIFS(Sales_Data!$M$2:$M$3520,Sales_Data!$C$2:$C$3520,$A76,Sales_Data!$H$2:$H$3520,B$14,Sales_Data!$AE$2:$AE$3520,1),SUMIFS(Sales_Data!$N$2:$N$3520,Sales_Data!$C$2:$C$3520,$A76,Sales_Data!$H$2:$H$3520,B$14,Sales_Data!$AE$2:$AE$3520,1),SUMIFS(Sales_Data!$AE$2:$AE$3520,Sales_Data!$C$2:$C$3520,$A76,Sales_Data!$H$2:$H$3520,B$14))</f>
        <v>22</v>
      </c>
      <c r="C76" s="26" t="n">
        <f aca="false">CHOOSE(MATCH($B$3,Lists!$C$2:$C$5,0),SUMIFS(Sales_Data!$O$2:$O$3520,Sales_Data!$C$2:$C$3520,$A76,Sales_Data!$H$2:$H$3520,C$14,Sales_Data!$AE$2:$AE$3520,1),SUMIFS(Sales_Data!$M$2:$M$3520,Sales_Data!$C$2:$C$3520,$A76,Sales_Data!$H$2:$H$3520,C$14,Sales_Data!$AE$2:$AE$3520,1),SUMIFS(Sales_Data!$N$2:$N$3520,Sales_Data!$C$2:$C$3520,$A76,Sales_Data!$H$2:$H$3520,C$14,Sales_Data!$AE$2:$AE$3520,1),SUMIFS(Sales_Data!$AE$2:$AE$3520,Sales_Data!$C$2:$C$3520,$A76,Sales_Data!$H$2:$H$3520,C$14))</f>
        <v>1</v>
      </c>
      <c r="D76" s="26" t="n">
        <f aca="false">CHOOSE(MATCH($B$3,Lists!$C$2:$C$5,0),SUMIFS(Sales_Data!$O$2:$O$3520,Sales_Data!$C$2:$C$3520,$A76,Sales_Data!$H$2:$H$3520,D$14,Sales_Data!$AE$2:$AE$3520,1),SUMIFS(Sales_Data!$M$2:$M$3520,Sales_Data!$C$2:$C$3520,$A76,Sales_Data!$H$2:$H$3520,D$14,Sales_Data!$AE$2:$AE$3520,1),SUMIFS(Sales_Data!$N$2:$N$3520,Sales_Data!$C$2:$C$3520,$A76,Sales_Data!$H$2:$H$3520,D$14,Sales_Data!$AE$2:$AE$3520,1),SUMIFS(Sales_Data!$AE$2:$AE$3520,Sales_Data!$C$2:$C$3520,$A76,Sales_Data!$H$2:$H$3520,D$14))</f>
        <v>6</v>
      </c>
      <c r="E76" s="26" t="n">
        <f aca="false">CHOOSE(MATCH($B$3,Lists!$C$2:$C$5,0),SUMIFS(Sales_Data!$O$2:$O$3520,Sales_Data!$C$2:$C$3520,$A76,Sales_Data!$H$2:$H$3520,E$14,Sales_Data!$AE$2:$AE$3520,1),SUMIFS(Sales_Data!$M$2:$M$3520,Sales_Data!$C$2:$C$3520,$A76,Sales_Data!$H$2:$H$3520,E$14,Sales_Data!$AE$2:$AE$3520,1),SUMIFS(Sales_Data!$N$2:$N$3520,Sales_Data!$C$2:$C$3520,$A76,Sales_Data!$H$2:$H$3520,E$14,Sales_Data!$AE$2:$AE$3520,1),SUMIFS(Sales_Data!$AE$2:$AE$3520,Sales_Data!$C$2:$C$3520,$A76,Sales_Data!$H$2:$H$3520,E$14))</f>
        <v>0</v>
      </c>
      <c r="F76" s="26" t="n">
        <f aca="false">CHOOSE(MATCH($B$3,Lists!$C$2:$C$5,0),SUMIFS(Sales_Data!$O$2:$O$3520,Sales_Data!$C$2:$C$3520,$A76,Sales_Data!$H$2:$H$3520,F$14,Sales_Data!$AE$2:$AE$3520,1),SUMIFS(Sales_Data!$M$2:$M$3520,Sales_Data!$C$2:$C$3520,$A76,Sales_Data!$H$2:$H$3520,F$14,Sales_Data!$AE$2:$AE$3520,1),SUMIFS(Sales_Data!$N$2:$N$3520,Sales_Data!$C$2:$C$3520,$A76,Sales_Data!$H$2:$H$3520,F$14,Sales_Data!$AE$2:$AE$3520,1),SUMIFS(Sales_Data!$AE$2:$AE$3520,Sales_Data!$C$2:$C$3520,$A76,Sales_Data!$H$2:$H$3520,F$14))</f>
        <v>9</v>
      </c>
      <c r="G76" s="26" t="n">
        <f aca="false">CHOOSE(MATCH($B$3,Lists!$C$2:$C$5,0),SUMIFS(Sales_Data!$O$2:$O$3520,Sales_Data!$C$2:$C$3520,$A76,Sales_Data!$H$2:$H$3520,G$14,Sales_Data!$AE$2:$AE$3520,1),SUMIFS(Sales_Data!$M$2:$M$3520,Sales_Data!$C$2:$C$3520,$A76,Sales_Data!$H$2:$H$3520,G$14,Sales_Data!$AE$2:$AE$3520,1),SUMIFS(Sales_Data!$N$2:$N$3520,Sales_Data!$C$2:$C$3520,$A76,Sales_Data!$H$2:$H$3520,G$14,Sales_Data!$AE$2:$AE$3520,1),SUMIFS(Sales_Data!$AE$2:$AE$3520,Sales_Data!$C$2:$C$3520,$A76,Sales_Data!$H$2:$H$3520,G$14))</f>
        <v>20</v>
      </c>
      <c r="H76" s="26" t="n">
        <f aca="false">CHOOSE(MATCH($B$3,Lists!$C$2:$C$5,0),SUMIFS(Sales_Data!$O$2:$O$3520,Sales_Data!$C$2:$C$3520,$A76,Sales_Data!$H$2:$H$3520,H$14,Sales_Data!$AE$2:$AE$3520,1),SUMIFS(Sales_Data!$M$2:$M$3520,Sales_Data!$C$2:$C$3520,$A76,Sales_Data!$H$2:$H$3520,H$14,Sales_Data!$AE$2:$AE$3520,1),SUMIFS(Sales_Data!$N$2:$N$3520,Sales_Data!$C$2:$C$3520,$A76,Sales_Data!$H$2:$H$3520,H$14,Sales_Data!$AE$2:$AE$3520,1),SUMIFS(Sales_Data!$AE$2:$AE$3520,Sales_Data!$C$2:$C$3520,$A76,Sales_Data!$H$2:$H$3520,H$14))</f>
        <v>0</v>
      </c>
      <c r="I76" s="26" t="n">
        <f aca="false">CHOOSE(MATCH($B$3,Lists!$C$2:$C$5,0),SUMIFS(Sales_Data!$O$2:$O$3520,Sales_Data!$C$2:$C$3520,$A76,Sales_Data!$H$2:$H$3520,I$14,Sales_Data!$AE$2:$AE$3520,1),SUMIFS(Sales_Data!$M$2:$M$3520,Sales_Data!$C$2:$C$3520,$A76,Sales_Data!$H$2:$H$3520,I$14,Sales_Data!$AE$2:$AE$3520,1),SUMIFS(Sales_Data!$N$2:$N$3520,Sales_Data!$C$2:$C$3520,$A76,Sales_Data!$H$2:$H$3520,I$14,Sales_Data!$AE$2:$AE$3520,1),SUMIFS(Sales_Data!$AE$2:$AE$3520,Sales_Data!$C$2:$C$3520,$A76,Sales_Data!$H$2:$H$3520,I$14))</f>
        <v>0</v>
      </c>
      <c r="J76" s="26" t="n">
        <f aca="false">CHOOSE(MATCH($B$3,Lists!$C$2:$C$5,0),SUMIFS(Sales_Data!$O$2:$O$3520,Sales_Data!$C$2:$C$3520,$A76,Sales_Data!$H$2:$H$3520,J$14,Sales_Data!$AE$2:$AE$3520,1),SUMIFS(Sales_Data!$M$2:$M$3520,Sales_Data!$C$2:$C$3520,$A76,Sales_Data!$H$2:$H$3520,J$14,Sales_Data!$AE$2:$AE$3520,1),SUMIFS(Sales_Data!$N$2:$N$3520,Sales_Data!$C$2:$C$3520,$A76,Sales_Data!$H$2:$H$3520,J$14,Sales_Data!$AE$2:$AE$3520,1),SUMIFS(Sales_Data!$AE$2:$AE$3520,Sales_Data!$C$2:$C$3520,$A76,Sales_Data!$H$2:$H$3520,J$14))</f>
        <v>5</v>
      </c>
      <c r="K76" s="26" t="n">
        <f aca="false">CHOOSE(MATCH($B$3,Lists!$C$2:$C$5,0),SUMIFS(Sales_Data!$O$2:$O$3520,Sales_Data!$C$2:$C$3520,$A76,Sales_Data!$H$2:$H$3520,K$14,Sales_Data!$AE$2:$AE$3520,1),SUMIFS(Sales_Data!$M$2:$M$3520,Sales_Data!$C$2:$C$3520,$A76,Sales_Data!$H$2:$H$3520,K$14,Sales_Data!$AE$2:$AE$3520,1),SUMIFS(Sales_Data!$N$2:$N$3520,Sales_Data!$C$2:$C$3520,$A76,Sales_Data!$H$2:$H$3520,K$14,Sales_Data!$AE$2:$AE$3520,1),SUMIFS(Sales_Data!$AE$2:$AE$3520,Sales_Data!$C$2:$C$3520,$A76,Sales_Data!$H$2:$H$3520,K$14))</f>
        <v>0</v>
      </c>
      <c r="L76" s="26" t="n">
        <f aca="false">CHOOSE(MATCH($B$3,Lists!$C$2:$C$5,0),SUMIFS(Sales_Data!$O$2:$O$3520,Sales_Data!$C$2:$C$3520,$A76,Sales_Data!$H$2:$H$3520,L$14,Sales_Data!$AE$2:$AE$3520,1),SUMIFS(Sales_Data!$M$2:$M$3520,Sales_Data!$C$2:$C$3520,$A76,Sales_Data!$H$2:$H$3520,L$14,Sales_Data!$AE$2:$AE$3520,1),SUMIFS(Sales_Data!$N$2:$N$3520,Sales_Data!$C$2:$C$3520,$A76,Sales_Data!$H$2:$H$3520,L$14,Sales_Data!$AE$2:$AE$3520,1),SUMIFS(Sales_Data!$AE$2:$AE$3520,Sales_Data!$C$2:$C$3520,$A76,Sales_Data!$H$2:$H$3520,L$14))</f>
        <v>0</v>
      </c>
      <c r="M76" s="26" t="n">
        <f aca="false">CHOOSE(MATCH($B$3,Lists!$C$2:$C$5,0),SUMIFS(Sales_Data!$O$2:$O$3520,Sales_Data!$C$2:$C$3520,$A76,Sales_Data!$H$2:$H$3520,M$14,Sales_Data!$AE$2:$AE$3520,1),SUMIFS(Sales_Data!$M$2:$M$3520,Sales_Data!$C$2:$C$3520,$A76,Sales_Data!$H$2:$H$3520,M$14,Sales_Data!$AE$2:$AE$3520,1),SUMIFS(Sales_Data!$N$2:$N$3520,Sales_Data!$C$2:$C$3520,$A76,Sales_Data!$H$2:$H$3520,M$14,Sales_Data!$AE$2:$AE$3520,1),SUMIFS(Sales_Data!$AE$2:$AE$3520,Sales_Data!$C$2:$C$3520,$A76,Sales_Data!$H$2:$H$3520,M$14))</f>
        <v>18</v>
      </c>
      <c r="N76" s="26" t="n">
        <f aca="false">CHOOSE(MATCH($B$3,Lists!$C$2:$C$5,0),SUMIFS(Sales_Data!$O$2:$O$3520,Sales_Data!$C$2:$C$3520,$A76,Sales_Data!$H$2:$H$3520,N$14,Sales_Data!$AE$2:$AE$3520,1),SUMIFS(Sales_Data!$M$2:$M$3520,Sales_Data!$C$2:$C$3520,$A76,Sales_Data!$H$2:$H$3520,N$14,Sales_Data!$AE$2:$AE$3520,1),SUMIFS(Sales_Data!$N$2:$N$3520,Sales_Data!$C$2:$C$3520,$A76,Sales_Data!$H$2:$H$3520,N$14,Sales_Data!$AE$2:$AE$3520,1),SUMIFS(Sales_Data!$AE$2:$AE$3520,Sales_Data!$C$2:$C$3520,$A76,Sales_Data!$H$2:$H$3520,N$14))</f>
        <v>2</v>
      </c>
      <c r="O76" s="26" t="n">
        <f aca="false">CHOOSE(MATCH($B$3,Lists!$C$2:$C$5,0),SUMIFS(Sales_Data!$O$2:$O$3520,Sales_Data!$C$2:$C$3520,$A76,Sales_Data!$H$2:$H$3520,O$14,Sales_Data!$AE$2:$AE$3520,1),SUMIFS(Sales_Data!$M$2:$M$3520,Sales_Data!$C$2:$C$3520,$A76,Sales_Data!$H$2:$H$3520,O$14,Sales_Data!$AE$2:$AE$3520,1),SUMIFS(Sales_Data!$N$2:$N$3520,Sales_Data!$C$2:$C$3520,$A76,Sales_Data!$H$2:$H$3520,O$14,Sales_Data!$AE$2:$AE$3520,1),SUMIFS(Sales_Data!$AE$2:$AE$3520,Sales_Data!$C$2:$C$3520,$A76,Sales_Data!$H$2:$H$3520,O$14))</f>
        <v>0</v>
      </c>
      <c r="P76" s="27" t="n">
        <f aca="false">CHOOSE(MATCH($B$3,Lists!$C$2:$C$5,0),SUMIFS(Sales_Data!$O$2:$O$3520,Sales_Data!$C$2:$C$3520,$A76,Sales_Data!$AE$2:$AE$3520,1),SUMIFS(Sales_Data!$M$2:$M$3520,Sales_Data!$C$2:$C$3520,$A76,Sales_Data!$AE$2:$AE$3520,1),SUMIFS(Sales_Data!$N$2:$N$3520,Sales_Data!$C$2:$C$3520,$A76,Sales_Data!$AE$2:$AE$3520,1),SUMIFS(Sales_Data!$AE$2:$AE$3520,Sales_Data!$C$2:$C$3520,$A76))</f>
        <v>85</v>
      </c>
      <c r="Q76" s="27" t="n">
        <f aca="false">P76-SUM(B76:O76)</f>
        <v>2</v>
      </c>
      <c r="R76" s="3"/>
      <c r="S76" s="72" t="n">
        <f aca="false">A76</f>
        <v>46286</v>
      </c>
      <c r="T76" s="28" t="n">
        <f aca="false">B76-B75</f>
        <v>22</v>
      </c>
      <c r="U76" s="28" t="n">
        <f aca="false">C76-C75</f>
        <v>-3</v>
      </c>
      <c r="V76" s="28" t="n">
        <f aca="false">D76-D75</f>
        <v>1</v>
      </c>
      <c r="W76" s="28" t="n">
        <f aca="false">E76-E75</f>
        <v>0</v>
      </c>
      <c r="X76" s="28" t="n">
        <f aca="false">F76-F75</f>
        <v>6</v>
      </c>
      <c r="Y76" s="28" t="n">
        <f aca="false">G76-G75</f>
        <v>12</v>
      </c>
      <c r="Z76" s="28" t="n">
        <f aca="false">H76-H75</f>
        <v>0</v>
      </c>
      <c r="AA76" s="28" t="n">
        <f aca="false">I76-I75</f>
        <v>0</v>
      </c>
      <c r="AB76" s="28" t="n">
        <f aca="false">J76-J75</f>
        <v>4</v>
      </c>
      <c r="AC76" s="28" t="n">
        <f aca="false">K76-K75</f>
        <v>0</v>
      </c>
      <c r="AD76" s="28" t="n">
        <f aca="false">L76-L75</f>
        <v>-4</v>
      </c>
      <c r="AE76" s="28" t="n">
        <f aca="false">M76-M75</f>
        <v>4</v>
      </c>
      <c r="AF76" s="28" t="n">
        <f aca="false">N76-N75</f>
        <v>-6</v>
      </c>
      <c r="AG76" s="28" t="n">
        <f aca="false">O76-O75</f>
        <v>0</v>
      </c>
      <c r="AH76" s="28" t="n">
        <f aca="false">P76-P75</f>
        <v>36</v>
      </c>
    </row>
    <row r="77" customFormat="false" ht="15" hidden="false" customHeight="false" outlineLevel="0" collapsed="false">
      <c r="A77" s="72" t="n">
        <v>46287</v>
      </c>
      <c r="B77" s="26" t="n">
        <f aca="false">CHOOSE(MATCH($B$3,Lists!$C$2:$C$5,0),SUMIFS(Sales_Data!$O$2:$O$3520,Sales_Data!$C$2:$C$3520,$A77,Sales_Data!$H$2:$H$3520,B$14,Sales_Data!$AE$2:$AE$3520,1),SUMIFS(Sales_Data!$M$2:$M$3520,Sales_Data!$C$2:$C$3520,$A77,Sales_Data!$H$2:$H$3520,B$14,Sales_Data!$AE$2:$AE$3520,1),SUMIFS(Sales_Data!$N$2:$N$3520,Sales_Data!$C$2:$C$3520,$A77,Sales_Data!$H$2:$H$3520,B$14,Sales_Data!$AE$2:$AE$3520,1),SUMIFS(Sales_Data!$AE$2:$AE$3520,Sales_Data!$C$2:$C$3520,$A77,Sales_Data!$H$2:$H$3520,B$14))</f>
        <v>17</v>
      </c>
      <c r="C77" s="26" t="n">
        <f aca="false">CHOOSE(MATCH($B$3,Lists!$C$2:$C$5,0),SUMIFS(Sales_Data!$O$2:$O$3520,Sales_Data!$C$2:$C$3520,$A77,Sales_Data!$H$2:$H$3520,C$14,Sales_Data!$AE$2:$AE$3520,1),SUMIFS(Sales_Data!$M$2:$M$3520,Sales_Data!$C$2:$C$3520,$A77,Sales_Data!$H$2:$H$3520,C$14,Sales_Data!$AE$2:$AE$3520,1),SUMIFS(Sales_Data!$N$2:$N$3520,Sales_Data!$C$2:$C$3520,$A77,Sales_Data!$H$2:$H$3520,C$14,Sales_Data!$AE$2:$AE$3520,1),SUMIFS(Sales_Data!$AE$2:$AE$3520,Sales_Data!$C$2:$C$3520,$A77,Sales_Data!$H$2:$H$3520,C$14))</f>
        <v>4</v>
      </c>
      <c r="D77" s="26" t="n">
        <f aca="false">CHOOSE(MATCH($B$3,Lists!$C$2:$C$5,0),SUMIFS(Sales_Data!$O$2:$O$3520,Sales_Data!$C$2:$C$3520,$A77,Sales_Data!$H$2:$H$3520,D$14,Sales_Data!$AE$2:$AE$3520,1),SUMIFS(Sales_Data!$M$2:$M$3520,Sales_Data!$C$2:$C$3520,$A77,Sales_Data!$H$2:$H$3520,D$14,Sales_Data!$AE$2:$AE$3520,1),SUMIFS(Sales_Data!$N$2:$N$3520,Sales_Data!$C$2:$C$3520,$A77,Sales_Data!$H$2:$H$3520,D$14,Sales_Data!$AE$2:$AE$3520,1),SUMIFS(Sales_Data!$AE$2:$AE$3520,Sales_Data!$C$2:$C$3520,$A77,Sales_Data!$H$2:$H$3520,D$14))</f>
        <v>9</v>
      </c>
      <c r="E77" s="26" t="n">
        <f aca="false">CHOOSE(MATCH($B$3,Lists!$C$2:$C$5,0),SUMIFS(Sales_Data!$O$2:$O$3520,Sales_Data!$C$2:$C$3520,$A77,Sales_Data!$H$2:$H$3520,E$14,Sales_Data!$AE$2:$AE$3520,1),SUMIFS(Sales_Data!$M$2:$M$3520,Sales_Data!$C$2:$C$3520,$A77,Sales_Data!$H$2:$H$3520,E$14,Sales_Data!$AE$2:$AE$3520,1),SUMIFS(Sales_Data!$N$2:$N$3520,Sales_Data!$C$2:$C$3520,$A77,Sales_Data!$H$2:$H$3520,E$14,Sales_Data!$AE$2:$AE$3520,1),SUMIFS(Sales_Data!$AE$2:$AE$3520,Sales_Data!$C$2:$C$3520,$A77,Sales_Data!$H$2:$H$3520,E$14))</f>
        <v>0</v>
      </c>
      <c r="F77" s="26" t="n">
        <f aca="false">CHOOSE(MATCH($B$3,Lists!$C$2:$C$5,0),SUMIFS(Sales_Data!$O$2:$O$3520,Sales_Data!$C$2:$C$3520,$A77,Sales_Data!$H$2:$H$3520,F$14,Sales_Data!$AE$2:$AE$3520,1),SUMIFS(Sales_Data!$M$2:$M$3520,Sales_Data!$C$2:$C$3520,$A77,Sales_Data!$H$2:$H$3520,F$14,Sales_Data!$AE$2:$AE$3520,1),SUMIFS(Sales_Data!$N$2:$N$3520,Sales_Data!$C$2:$C$3520,$A77,Sales_Data!$H$2:$H$3520,F$14,Sales_Data!$AE$2:$AE$3520,1),SUMIFS(Sales_Data!$AE$2:$AE$3520,Sales_Data!$C$2:$C$3520,$A77,Sales_Data!$H$2:$H$3520,F$14))</f>
        <v>5</v>
      </c>
      <c r="G77" s="26" t="n">
        <f aca="false">CHOOSE(MATCH($B$3,Lists!$C$2:$C$5,0),SUMIFS(Sales_Data!$O$2:$O$3520,Sales_Data!$C$2:$C$3520,$A77,Sales_Data!$H$2:$H$3520,G$14,Sales_Data!$AE$2:$AE$3520,1),SUMIFS(Sales_Data!$M$2:$M$3520,Sales_Data!$C$2:$C$3520,$A77,Sales_Data!$H$2:$H$3520,G$14,Sales_Data!$AE$2:$AE$3520,1),SUMIFS(Sales_Data!$N$2:$N$3520,Sales_Data!$C$2:$C$3520,$A77,Sales_Data!$H$2:$H$3520,G$14,Sales_Data!$AE$2:$AE$3520,1),SUMIFS(Sales_Data!$AE$2:$AE$3520,Sales_Data!$C$2:$C$3520,$A77,Sales_Data!$H$2:$H$3520,G$14))</f>
        <v>10</v>
      </c>
      <c r="H77" s="26" t="n">
        <f aca="false">CHOOSE(MATCH($B$3,Lists!$C$2:$C$5,0),SUMIFS(Sales_Data!$O$2:$O$3520,Sales_Data!$C$2:$C$3520,$A77,Sales_Data!$H$2:$H$3520,H$14,Sales_Data!$AE$2:$AE$3520,1),SUMIFS(Sales_Data!$M$2:$M$3520,Sales_Data!$C$2:$C$3520,$A77,Sales_Data!$H$2:$H$3520,H$14,Sales_Data!$AE$2:$AE$3520,1),SUMIFS(Sales_Data!$N$2:$N$3520,Sales_Data!$C$2:$C$3520,$A77,Sales_Data!$H$2:$H$3520,H$14,Sales_Data!$AE$2:$AE$3520,1),SUMIFS(Sales_Data!$AE$2:$AE$3520,Sales_Data!$C$2:$C$3520,$A77,Sales_Data!$H$2:$H$3520,H$14))</f>
        <v>0</v>
      </c>
      <c r="I77" s="26" t="n">
        <f aca="false">CHOOSE(MATCH($B$3,Lists!$C$2:$C$5,0),SUMIFS(Sales_Data!$O$2:$O$3520,Sales_Data!$C$2:$C$3520,$A77,Sales_Data!$H$2:$H$3520,I$14,Sales_Data!$AE$2:$AE$3520,1),SUMIFS(Sales_Data!$M$2:$M$3520,Sales_Data!$C$2:$C$3520,$A77,Sales_Data!$H$2:$H$3520,I$14,Sales_Data!$AE$2:$AE$3520,1),SUMIFS(Sales_Data!$N$2:$N$3520,Sales_Data!$C$2:$C$3520,$A77,Sales_Data!$H$2:$H$3520,I$14,Sales_Data!$AE$2:$AE$3520,1),SUMIFS(Sales_Data!$AE$2:$AE$3520,Sales_Data!$C$2:$C$3520,$A77,Sales_Data!$H$2:$H$3520,I$14))</f>
        <v>0</v>
      </c>
      <c r="J77" s="26" t="n">
        <f aca="false">CHOOSE(MATCH($B$3,Lists!$C$2:$C$5,0),SUMIFS(Sales_Data!$O$2:$O$3520,Sales_Data!$C$2:$C$3520,$A77,Sales_Data!$H$2:$H$3520,J$14,Sales_Data!$AE$2:$AE$3520,1),SUMIFS(Sales_Data!$M$2:$M$3520,Sales_Data!$C$2:$C$3520,$A77,Sales_Data!$H$2:$H$3520,J$14,Sales_Data!$AE$2:$AE$3520,1),SUMIFS(Sales_Data!$N$2:$N$3520,Sales_Data!$C$2:$C$3520,$A77,Sales_Data!$H$2:$H$3520,J$14,Sales_Data!$AE$2:$AE$3520,1),SUMIFS(Sales_Data!$AE$2:$AE$3520,Sales_Data!$C$2:$C$3520,$A77,Sales_Data!$H$2:$H$3520,J$14))</f>
        <v>2</v>
      </c>
      <c r="K77" s="26" t="n">
        <f aca="false">CHOOSE(MATCH($B$3,Lists!$C$2:$C$5,0),SUMIFS(Sales_Data!$O$2:$O$3520,Sales_Data!$C$2:$C$3520,$A77,Sales_Data!$H$2:$H$3520,K$14,Sales_Data!$AE$2:$AE$3520,1),SUMIFS(Sales_Data!$M$2:$M$3520,Sales_Data!$C$2:$C$3520,$A77,Sales_Data!$H$2:$H$3520,K$14,Sales_Data!$AE$2:$AE$3520,1),SUMIFS(Sales_Data!$N$2:$N$3520,Sales_Data!$C$2:$C$3520,$A77,Sales_Data!$H$2:$H$3520,K$14,Sales_Data!$AE$2:$AE$3520,1),SUMIFS(Sales_Data!$AE$2:$AE$3520,Sales_Data!$C$2:$C$3520,$A77,Sales_Data!$H$2:$H$3520,K$14))</f>
        <v>0</v>
      </c>
      <c r="L77" s="26" t="n">
        <f aca="false">CHOOSE(MATCH($B$3,Lists!$C$2:$C$5,0),SUMIFS(Sales_Data!$O$2:$O$3520,Sales_Data!$C$2:$C$3520,$A77,Sales_Data!$H$2:$H$3520,L$14,Sales_Data!$AE$2:$AE$3520,1),SUMIFS(Sales_Data!$M$2:$M$3520,Sales_Data!$C$2:$C$3520,$A77,Sales_Data!$H$2:$H$3520,L$14,Sales_Data!$AE$2:$AE$3520,1),SUMIFS(Sales_Data!$N$2:$N$3520,Sales_Data!$C$2:$C$3520,$A77,Sales_Data!$H$2:$H$3520,L$14,Sales_Data!$AE$2:$AE$3520,1),SUMIFS(Sales_Data!$AE$2:$AE$3520,Sales_Data!$C$2:$C$3520,$A77,Sales_Data!$H$2:$H$3520,L$14))</f>
        <v>6</v>
      </c>
      <c r="M77" s="26" t="n">
        <f aca="false">CHOOSE(MATCH($B$3,Lists!$C$2:$C$5,0),SUMIFS(Sales_Data!$O$2:$O$3520,Sales_Data!$C$2:$C$3520,$A77,Sales_Data!$H$2:$H$3520,M$14,Sales_Data!$AE$2:$AE$3520,1),SUMIFS(Sales_Data!$M$2:$M$3520,Sales_Data!$C$2:$C$3520,$A77,Sales_Data!$H$2:$H$3520,M$14,Sales_Data!$AE$2:$AE$3520,1),SUMIFS(Sales_Data!$N$2:$N$3520,Sales_Data!$C$2:$C$3520,$A77,Sales_Data!$H$2:$H$3520,M$14,Sales_Data!$AE$2:$AE$3520,1),SUMIFS(Sales_Data!$AE$2:$AE$3520,Sales_Data!$C$2:$C$3520,$A77,Sales_Data!$H$2:$H$3520,M$14))</f>
        <v>7</v>
      </c>
      <c r="N77" s="26" t="n">
        <f aca="false">CHOOSE(MATCH($B$3,Lists!$C$2:$C$5,0),SUMIFS(Sales_Data!$O$2:$O$3520,Sales_Data!$C$2:$C$3520,$A77,Sales_Data!$H$2:$H$3520,N$14,Sales_Data!$AE$2:$AE$3520,1),SUMIFS(Sales_Data!$M$2:$M$3520,Sales_Data!$C$2:$C$3520,$A77,Sales_Data!$H$2:$H$3520,N$14,Sales_Data!$AE$2:$AE$3520,1),SUMIFS(Sales_Data!$N$2:$N$3520,Sales_Data!$C$2:$C$3520,$A77,Sales_Data!$H$2:$H$3520,N$14,Sales_Data!$AE$2:$AE$3520,1),SUMIFS(Sales_Data!$AE$2:$AE$3520,Sales_Data!$C$2:$C$3520,$A77,Sales_Data!$H$2:$H$3520,N$14))</f>
        <v>4</v>
      </c>
      <c r="O77" s="26" t="n">
        <f aca="false">CHOOSE(MATCH($B$3,Lists!$C$2:$C$5,0),SUMIFS(Sales_Data!$O$2:$O$3520,Sales_Data!$C$2:$C$3520,$A77,Sales_Data!$H$2:$H$3520,O$14,Sales_Data!$AE$2:$AE$3520,1),SUMIFS(Sales_Data!$M$2:$M$3520,Sales_Data!$C$2:$C$3520,$A77,Sales_Data!$H$2:$H$3520,O$14,Sales_Data!$AE$2:$AE$3520,1),SUMIFS(Sales_Data!$N$2:$N$3520,Sales_Data!$C$2:$C$3520,$A77,Sales_Data!$H$2:$H$3520,O$14,Sales_Data!$AE$2:$AE$3520,1),SUMIFS(Sales_Data!$AE$2:$AE$3520,Sales_Data!$C$2:$C$3520,$A77,Sales_Data!$H$2:$H$3520,O$14))</f>
        <v>0</v>
      </c>
      <c r="P77" s="27" t="n">
        <f aca="false">CHOOSE(MATCH($B$3,Lists!$C$2:$C$5,0),SUMIFS(Sales_Data!$O$2:$O$3520,Sales_Data!$C$2:$C$3520,$A77,Sales_Data!$AE$2:$AE$3520,1),SUMIFS(Sales_Data!$M$2:$M$3520,Sales_Data!$C$2:$C$3520,$A77,Sales_Data!$AE$2:$AE$3520,1),SUMIFS(Sales_Data!$N$2:$N$3520,Sales_Data!$C$2:$C$3520,$A77,Sales_Data!$AE$2:$AE$3520,1),SUMIFS(Sales_Data!$AE$2:$AE$3520,Sales_Data!$C$2:$C$3520,$A77))</f>
        <v>77</v>
      </c>
      <c r="Q77" s="27" t="n">
        <f aca="false">P77-SUM(B77:O77)</f>
        <v>13</v>
      </c>
      <c r="R77" s="3"/>
      <c r="S77" s="72" t="n">
        <f aca="false">A77</f>
        <v>46287</v>
      </c>
      <c r="T77" s="28" t="n">
        <f aca="false">B77-B76</f>
        <v>-5</v>
      </c>
      <c r="U77" s="28" t="n">
        <f aca="false">C77-C76</f>
        <v>3</v>
      </c>
      <c r="V77" s="28" t="n">
        <f aca="false">D77-D76</f>
        <v>3</v>
      </c>
      <c r="W77" s="28" t="n">
        <f aca="false">E77-E76</f>
        <v>0</v>
      </c>
      <c r="X77" s="28" t="n">
        <f aca="false">F77-F76</f>
        <v>-4</v>
      </c>
      <c r="Y77" s="28" t="n">
        <f aca="false">G77-G76</f>
        <v>-10</v>
      </c>
      <c r="Z77" s="28" t="n">
        <f aca="false">H77-H76</f>
        <v>0</v>
      </c>
      <c r="AA77" s="28" t="n">
        <f aca="false">I77-I76</f>
        <v>0</v>
      </c>
      <c r="AB77" s="28" t="n">
        <f aca="false">J77-J76</f>
        <v>-3</v>
      </c>
      <c r="AC77" s="28" t="n">
        <f aca="false">K77-K76</f>
        <v>0</v>
      </c>
      <c r="AD77" s="28" t="n">
        <f aca="false">L77-L76</f>
        <v>6</v>
      </c>
      <c r="AE77" s="28" t="n">
        <f aca="false">M77-M76</f>
        <v>-11</v>
      </c>
      <c r="AF77" s="28" t="n">
        <f aca="false">N77-N76</f>
        <v>2</v>
      </c>
      <c r="AG77" s="28" t="n">
        <f aca="false">O77-O76</f>
        <v>0</v>
      </c>
      <c r="AH77" s="28" t="n">
        <f aca="false">P77-P76</f>
        <v>-8</v>
      </c>
    </row>
    <row r="78" customFormat="false" ht="15" hidden="false" customHeight="false" outlineLevel="0" collapsed="false">
      <c r="A78" s="72" t="n">
        <v>46288</v>
      </c>
      <c r="B78" s="26" t="n">
        <f aca="false">CHOOSE(MATCH($B$3,Lists!$C$2:$C$5,0),SUMIFS(Sales_Data!$O$2:$O$3520,Sales_Data!$C$2:$C$3520,$A78,Sales_Data!$H$2:$H$3520,B$14,Sales_Data!$AE$2:$AE$3520,1),SUMIFS(Sales_Data!$M$2:$M$3520,Sales_Data!$C$2:$C$3520,$A78,Sales_Data!$H$2:$H$3520,B$14,Sales_Data!$AE$2:$AE$3520,1),SUMIFS(Sales_Data!$N$2:$N$3520,Sales_Data!$C$2:$C$3520,$A78,Sales_Data!$H$2:$H$3520,B$14,Sales_Data!$AE$2:$AE$3520,1),SUMIFS(Sales_Data!$AE$2:$AE$3520,Sales_Data!$C$2:$C$3520,$A78,Sales_Data!$H$2:$H$3520,B$14))</f>
        <v>26</v>
      </c>
      <c r="C78" s="26" t="n">
        <f aca="false">CHOOSE(MATCH($B$3,Lists!$C$2:$C$5,0),SUMIFS(Sales_Data!$O$2:$O$3520,Sales_Data!$C$2:$C$3520,$A78,Sales_Data!$H$2:$H$3520,C$14,Sales_Data!$AE$2:$AE$3520,1),SUMIFS(Sales_Data!$M$2:$M$3520,Sales_Data!$C$2:$C$3520,$A78,Sales_Data!$H$2:$H$3520,C$14,Sales_Data!$AE$2:$AE$3520,1),SUMIFS(Sales_Data!$N$2:$N$3520,Sales_Data!$C$2:$C$3520,$A78,Sales_Data!$H$2:$H$3520,C$14,Sales_Data!$AE$2:$AE$3520,1),SUMIFS(Sales_Data!$AE$2:$AE$3520,Sales_Data!$C$2:$C$3520,$A78,Sales_Data!$H$2:$H$3520,C$14))</f>
        <v>11</v>
      </c>
      <c r="D78" s="26" t="n">
        <f aca="false">CHOOSE(MATCH($B$3,Lists!$C$2:$C$5,0),SUMIFS(Sales_Data!$O$2:$O$3520,Sales_Data!$C$2:$C$3520,$A78,Sales_Data!$H$2:$H$3520,D$14,Sales_Data!$AE$2:$AE$3520,1),SUMIFS(Sales_Data!$M$2:$M$3520,Sales_Data!$C$2:$C$3520,$A78,Sales_Data!$H$2:$H$3520,D$14,Sales_Data!$AE$2:$AE$3520,1),SUMIFS(Sales_Data!$N$2:$N$3520,Sales_Data!$C$2:$C$3520,$A78,Sales_Data!$H$2:$H$3520,D$14,Sales_Data!$AE$2:$AE$3520,1),SUMIFS(Sales_Data!$AE$2:$AE$3520,Sales_Data!$C$2:$C$3520,$A78,Sales_Data!$H$2:$H$3520,D$14))</f>
        <v>0</v>
      </c>
      <c r="E78" s="26" t="n">
        <f aca="false">CHOOSE(MATCH($B$3,Lists!$C$2:$C$5,0),SUMIFS(Sales_Data!$O$2:$O$3520,Sales_Data!$C$2:$C$3520,$A78,Sales_Data!$H$2:$H$3520,E$14,Sales_Data!$AE$2:$AE$3520,1),SUMIFS(Sales_Data!$M$2:$M$3520,Sales_Data!$C$2:$C$3520,$A78,Sales_Data!$H$2:$H$3520,E$14,Sales_Data!$AE$2:$AE$3520,1),SUMIFS(Sales_Data!$N$2:$N$3520,Sales_Data!$C$2:$C$3520,$A78,Sales_Data!$H$2:$H$3520,E$14,Sales_Data!$AE$2:$AE$3520,1),SUMIFS(Sales_Data!$AE$2:$AE$3520,Sales_Data!$C$2:$C$3520,$A78,Sales_Data!$H$2:$H$3520,E$14))</f>
        <v>0</v>
      </c>
      <c r="F78" s="26" t="n">
        <f aca="false">CHOOSE(MATCH($B$3,Lists!$C$2:$C$5,0),SUMIFS(Sales_Data!$O$2:$O$3520,Sales_Data!$C$2:$C$3520,$A78,Sales_Data!$H$2:$H$3520,F$14,Sales_Data!$AE$2:$AE$3520,1),SUMIFS(Sales_Data!$M$2:$M$3520,Sales_Data!$C$2:$C$3520,$A78,Sales_Data!$H$2:$H$3520,F$14,Sales_Data!$AE$2:$AE$3520,1),SUMIFS(Sales_Data!$N$2:$N$3520,Sales_Data!$C$2:$C$3520,$A78,Sales_Data!$H$2:$H$3520,F$14,Sales_Data!$AE$2:$AE$3520,1),SUMIFS(Sales_Data!$AE$2:$AE$3520,Sales_Data!$C$2:$C$3520,$A78,Sales_Data!$H$2:$H$3520,F$14))</f>
        <v>6</v>
      </c>
      <c r="G78" s="26" t="n">
        <f aca="false">CHOOSE(MATCH($B$3,Lists!$C$2:$C$5,0),SUMIFS(Sales_Data!$O$2:$O$3520,Sales_Data!$C$2:$C$3520,$A78,Sales_Data!$H$2:$H$3520,G$14,Sales_Data!$AE$2:$AE$3520,1),SUMIFS(Sales_Data!$M$2:$M$3520,Sales_Data!$C$2:$C$3520,$A78,Sales_Data!$H$2:$H$3520,G$14,Sales_Data!$AE$2:$AE$3520,1),SUMIFS(Sales_Data!$N$2:$N$3520,Sales_Data!$C$2:$C$3520,$A78,Sales_Data!$H$2:$H$3520,G$14,Sales_Data!$AE$2:$AE$3520,1),SUMIFS(Sales_Data!$AE$2:$AE$3520,Sales_Data!$C$2:$C$3520,$A78,Sales_Data!$H$2:$H$3520,G$14))</f>
        <v>10</v>
      </c>
      <c r="H78" s="26" t="n">
        <f aca="false">CHOOSE(MATCH($B$3,Lists!$C$2:$C$5,0),SUMIFS(Sales_Data!$O$2:$O$3520,Sales_Data!$C$2:$C$3520,$A78,Sales_Data!$H$2:$H$3520,H$14,Sales_Data!$AE$2:$AE$3520,1),SUMIFS(Sales_Data!$M$2:$M$3520,Sales_Data!$C$2:$C$3520,$A78,Sales_Data!$H$2:$H$3520,H$14,Sales_Data!$AE$2:$AE$3520,1),SUMIFS(Sales_Data!$N$2:$N$3520,Sales_Data!$C$2:$C$3520,$A78,Sales_Data!$H$2:$H$3520,H$14,Sales_Data!$AE$2:$AE$3520,1),SUMIFS(Sales_Data!$AE$2:$AE$3520,Sales_Data!$C$2:$C$3520,$A78,Sales_Data!$H$2:$H$3520,H$14))</f>
        <v>0</v>
      </c>
      <c r="I78" s="26" t="n">
        <f aca="false">CHOOSE(MATCH($B$3,Lists!$C$2:$C$5,0),SUMIFS(Sales_Data!$O$2:$O$3520,Sales_Data!$C$2:$C$3520,$A78,Sales_Data!$H$2:$H$3520,I$14,Sales_Data!$AE$2:$AE$3520,1),SUMIFS(Sales_Data!$M$2:$M$3520,Sales_Data!$C$2:$C$3520,$A78,Sales_Data!$H$2:$H$3520,I$14,Sales_Data!$AE$2:$AE$3520,1),SUMIFS(Sales_Data!$N$2:$N$3520,Sales_Data!$C$2:$C$3520,$A78,Sales_Data!$H$2:$H$3520,I$14,Sales_Data!$AE$2:$AE$3520,1),SUMIFS(Sales_Data!$AE$2:$AE$3520,Sales_Data!$C$2:$C$3520,$A78,Sales_Data!$H$2:$H$3520,I$14))</f>
        <v>0</v>
      </c>
      <c r="J78" s="26" t="n">
        <f aca="false">CHOOSE(MATCH($B$3,Lists!$C$2:$C$5,0),SUMIFS(Sales_Data!$O$2:$O$3520,Sales_Data!$C$2:$C$3520,$A78,Sales_Data!$H$2:$H$3520,J$14,Sales_Data!$AE$2:$AE$3520,1),SUMIFS(Sales_Data!$M$2:$M$3520,Sales_Data!$C$2:$C$3520,$A78,Sales_Data!$H$2:$H$3520,J$14,Sales_Data!$AE$2:$AE$3520,1),SUMIFS(Sales_Data!$N$2:$N$3520,Sales_Data!$C$2:$C$3520,$A78,Sales_Data!$H$2:$H$3520,J$14,Sales_Data!$AE$2:$AE$3520,1),SUMIFS(Sales_Data!$AE$2:$AE$3520,Sales_Data!$C$2:$C$3520,$A78,Sales_Data!$H$2:$H$3520,J$14))</f>
        <v>0</v>
      </c>
      <c r="K78" s="26" t="n">
        <f aca="false">CHOOSE(MATCH($B$3,Lists!$C$2:$C$5,0),SUMIFS(Sales_Data!$O$2:$O$3520,Sales_Data!$C$2:$C$3520,$A78,Sales_Data!$H$2:$H$3520,K$14,Sales_Data!$AE$2:$AE$3520,1),SUMIFS(Sales_Data!$M$2:$M$3520,Sales_Data!$C$2:$C$3520,$A78,Sales_Data!$H$2:$H$3520,K$14,Sales_Data!$AE$2:$AE$3520,1),SUMIFS(Sales_Data!$N$2:$N$3520,Sales_Data!$C$2:$C$3520,$A78,Sales_Data!$H$2:$H$3520,K$14,Sales_Data!$AE$2:$AE$3520,1),SUMIFS(Sales_Data!$AE$2:$AE$3520,Sales_Data!$C$2:$C$3520,$A78,Sales_Data!$H$2:$H$3520,K$14))</f>
        <v>0</v>
      </c>
      <c r="L78" s="26" t="n">
        <f aca="false">CHOOSE(MATCH($B$3,Lists!$C$2:$C$5,0),SUMIFS(Sales_Data!$O$2:$O$3520,Sales_Data!$C$2:$C$3520,$A78,Sales_Data!$H$2:$H$3520,L$14,Sales_Data!$AE$2:$AE$3520,1),SUMIFS(Sales_Data!$M$2:$M$3520,Sales_Data!$C$2:$C$3520,$A78,Sales_Data!$H$2:$H$3520,L$14,Sales_Data!$AE$2:$AE$3520,1),SUMIFS(Sales_Data!$N$2:$N$3520,Sales_Data!$C$2:$C$3520,$A78,Sales_Data!$H$2:$H$3520,L$14,Sales_Data!$AE$2:$AE$3520,1),SUMIFS(Sales_Data!$AE$2:$AE$3520,Sales_Data!$C$2:$C$3520,$A78,Sales_Data!$H$2:$H$3520,L$14))</f>
        <v>4</v>
      </c>
      <c r="M78" s="26" t="n">
        <f aca="false">CHOOSE(MATCH($B$3,Lists!$C$2:$C$5,0),SUMIFS(Sales_Data!$O$2:$O$3520,Sales_Data!$C$2:$C$3520,$A78,Sales_Data!$H$2:$H$3520,M$14,Sales_Data!$AE$2:$AE$3520,1),SUMIFS(Sales_Data!$M$2:$M$3520,Sales_Data!$C$2:$C$3520,$A78,Sales_Data!$H$2:$H$3520,M$14,Sales_Data!$AE$2:$AE$3520,1),SUMIFS(Sales_Data!$N$2:$N$3520,Sales_Data!$C$2:$C$3520,$A78,Sales_Data!$H$2:$H$3520,M$14,Sales_Data!$AE$2:$AE$3520,1),SUMIFS(Sales_Data!$AE$2:$AE$3520,Sales_Data!$C$2:$C$3520,$A78,Sales_Data!$H$2:$H$3520,M$14))</f>
        <v>7</v>
      </c>
      <c r="N78" s="26" t="n">
        <f aca="false">CHOOSE(MATCH($B$3,Lists!$C$2:$C$5,0),SUMIFS(Sales_Data!$O$2:$O$3520,Sales_Data!$C$2:$C$3520,$A78,Sales_Data!$H$2:$H$3520,N$14,Sales_Data!$AE$2:$AE$3520,1),SUMIFS(Sales_Data!$M$2:$M$3520,Sales_Data!$C$2:$C$3520,$A78,Sales_Data!$H$2:$H$3520,N$14,Sales_Data!$AE$2:$AE$3520,1),SUMIFS(Sales_Data!$N$2:$N$3520,Sales_Data!$C$2:$C$3520,$A78,Sales_Data!$H$2:$H$3520,N$14,Sales_Data!$AE$2:$AE$3520,1),SUMIFS(Sales_Data!$AE$2:$AE$3520,Sales_Data!$C$2:$C$3520,$A78,Sales_Data!$H$2:$H$3520,N$14))</f>
        <v>1</v>
      </c>
      <c r="O78" s="26" t="n">
        <f aca="false">CHOOSE(MATCH($B$3,Lists!$C$2:$C$5,0),SUMIFS(Sales_Data!$O$2:$O$3520,Sales_Data!$C$2:$C$3520,$A78,Sales_Data!$H$2:$H$3520,O$14,Sales_Data!$AE$2:$AE$3520,1),SUMIFS(Sales_Data!$M$2:$M$3520,Sales_Data!$C$2:$C$3520,$A78,Sales_Data!$H$2:$H$3520,O$14,Sales_Data!$AE$2:$AE$3520,1),SUMIFS(Sales_Data!$N$2:$N$3520,Sales_Data!$C$2:$C$3520,$A78,Sales_Data!$H$2:$H$3520,O$14,Sales_Data!$AE$2:$AE$3520,1),SUMIFS(Sales_Data!$AE$2:$AE$3520,Sales_Data!$C$2:$C$3520,$A78,Sales_Data!$H$2:$H$3520,O$14))</f>
        <v>0</v>
      </c>
      <c r="P78" s="27" t="n">
        <f aca="false">CHOOSE(MATCH($B$3,Lists!$C$2:$C$5,0),SUMIFS(Sales_Data!$O$2:$O$3520,Sales_Data!$C$2:$C$3520,$A78,Sales_Data!$AE$2:$AE$3520,1),SUMIFS(Sales_Data!$M$2:$M$3520,Sales_Data!$C$2:$C$3520,$A78,Sales_Data!$AE$2:$AE$3520,1),SUMIFS(Sales_Data!$N$2:$N$3520,Sales_Data!$C$2:$C$3520,$A78,Sales_Data!$AE$2:$AE$3520,1),SUMIFS(Sales_Data!$AE$2:$AE$3520,Sales_Data!$C$2:$C$3520,$A78))</f>
        <v>65</v>
      </c>
      <c r="Q78" s="27" t="n">
        <f aca="false">P78-SUM(B78:O78)</f>
        <v>0</v>
      </c>
      <c r="R78" s="3"/>
      <c r="S78" s="72" t="n">
        <f aca="false">A78</f>
        <v>46288</v>
      </c>
      <c r="T78" s="28" t="n">
        <f aca="false">B78-B77</f>
        <v>9</v>
      </c>
      <c r="U78" s="28" t="n">
        <f aca="false">C78-C77</f>
        <v>7</v>
      </c>
      <c r="V78" s="28" t="n">
        <f aca="false">D78-D77</f>
        <v>-9</v>
      </c>
      <c r="W78" s="28" t="n">
        <f aca="false">E78-E77</f>
        <v>0</v>
      </c>
      <c r="X78" s="28" t="n">
        <f aca="false">F78-F77</f>
        <v>1</v>
      </c>
      <c r="Y78" s="28" t="n">
        <f aca="false">G78-G77</f>
        <v>0</v>
      </c>
      <c r="Z78" s="28" t="n">
        <f aca="false">H78-H77</f>
        <v>0</v>
      </c>
      <c r="AA78" s="28" t="n">
        <f aca="false">I78-I77</f>
        <v>0</v>
      </c>
      <c r="AB78" s="28" t="n">
        <f aca="false">J78-J77</f>
        <v>-2</v>
      </c>
      <c r="AC78" s="28" t="n">
        <f aca="false">K78-K77</f>
        <v>0</v>
      </c>
      <c r="AD78" s="28" t="n">
        <f aca="false">L78-L77</f>
        <v>-2</v>
      </c>
      <c r="AE78" s="28" t="n">
        <f aca="false">M78-M77</f>
        <v>0</v>
      </c>
      <c r="AF78" s="28" t="n">
        <f aca="false">N78-N77</f>
        <v>-3</v>
      </c>
      <c r="AG78" s="28" t="n">
        <f aca="false">O78-O77</f>
        <v>0</v>
      </c>
      <c r="AH78" s="28" t="n">
        <f aca="false">P78-P77</f>
        <v>-12</v>
      </c>
    </row>
    <row r="79" customFormat="false" ht="15" hidden="false" customHeight="false" outlineLevel="0" collapsed="false">
      <c r="A79" s="72" t="n">
        <v>46289</v>
      </c>
      <c r="B79" s="26" t="n">
        <f aca="false">CHOOSE(MATCH($B$3,Lists!$C$2:$C$5,0),SUMIFS(Sales_Data!$O$2:$O$3520,Sales_Data!$C$2:$C$3520,$A79,Sales_Data!$H$2:$H$3520,B$14,Sales_Data!$AE$2:$AE$3520,1),SUMIFS(Sales_Data!$M$2:$M$3520,Sales_Data!$C$2:$C$3520,$A79,Sales_Data!$H$2:$H$3520,B$14,Sales_Data!$AE$2:$AE$3520,1),SUMIFS(Sales_Data!$N$2:$N$3520,Sales_Data!$C$2:$C$3520,$A79,Sales_Data!$H$2:$H$3520,B$14,Sales_Data!$AE$2:$AE$3520,1),SUMIFS(Sales_Data!$AE$2:$AE$3520,Sales_Data!$C$2:$C$3520,$A79,Sales_Data!$H$2:$H$3520,B$14))</f>
        <v>15</v>
      </c>
      <c r="C79" s="26" t="n">
        <f aca="false">CHOOSE(MATCH($B$3,Lists!$C$2:$C$5,0),SUMIFS(Sales_Data!$O$2:$O$3520,Sales_Data!$C$2:$C$3520,$A79,Sales_Data!$H$2:$H$3520,C$14,Sales_Data!$AE$2:$AE$3520,1),SUMIFS(Sales_Data!$M$2:$M$3520,Sales_Data!$C$2:$C$3520,$A79,Sales_Data!$H$2:$H$3520,C$14,Sales_Data!$AE$2:$AE$3520,1),SUMIFS(Sales_Data!$N$2:$N$3520,Sales_Data!$C$2:$C$3520,$A79,Sales_Data!$H$2:$H$3520,C$14,Sales_Data!$AE$2:$AE$3520,1),SUMIFS(Sales_Data!$AE$2:$AE$3520,Sales_Data!$C$2:$C$3520,$A79,Sales_Data!$H$2:$H$3520,C$14))</f>
        <v>19</v>
      </c>
      <c r="D79" s="26" t="n">
        <f aca="false">CHOOSE(MATCH($B$3,Lists!$C$2:$C$5,0),SUMIFS(Sales_Data!$O$2:$O$3520,Sales_Data!$C$2:$C$3520,$A79,Sales_Data!$H$2:$H$3520,D$14,Sales_Data!$AE$2:$AE$3520,1),SUMIFS(Sales_Data!$M$2:$M$3520,Sales_Data!$C$2:$C$3520,$A79,Sales_Data!$H$2:$H$3520,D$14,Sales_Data!$AE$2:$AE$3520,1),SUMIFS(Sales_Data!$N$2:$N$3520,Sales_Data!$C$2:$C$3520,$A79,Sales_Data!$H$2:$H$3520,D$14,Sales_Data!$AE$2:$AE$3520,1),SUMIFS(Sales_Data!$AE$2:$AE$3520,Sales_Data!$C$2:$C$3520,$A79,Sales_Data!$H$2:$H$3520,D$14))</f>
        <v>6</v>
      </c>
      <c r="E79" s="26" t="n">
        <f aca="false">CHOOSE(MATCH($B$3,Lists!$C$2:$C$5,0),SUMIFS(Sales_Data!$O$2:$O$3520,Sales_Data!$C$2:$C$3520,$A79,Sales_Data!$H$2:$H$3520,E$14,Sales_Data!$AE$2:$AE$3520,1),SUMIFS(Sales_Data!$M$2:$M$3520,Sales_Data!$C$2:$C$3520,$A79,Sales_Data!$H$2:$H$3520,E$14,Sales_Data!$AE$2:$AE$3520,1),SUMIFS(Sales_Data!$N$2:$N$3520,Sales_Data!$C$2:$C$3520,$A79,Sales_Data!$H$2:$H$3520,E$14,Sales_Data!$AE$2:$AE$3520,1),SUMIFS(Sales_Data!$AE$2:$AE$3520,Sales_Data!$C$2:$C$3520,$A79,Sales_Data!$H$2:$H$3520,E$14))</f>
        <v>0</v>
      </c>
      <c r="F79" s="26" t="n">
        <f aca="false">CHOOSE(MATCH($B$3,Lists!$C$2:$C$5,0),SUMIFS(Sales_Data!$O$2:$O$3520,Sales_Data!$C$2:$C$3520,$A79,Sales_Data!$H$2:$H$3520,F$14,Sales_Data!$AE$2:$AE$3520,1),SUMIFS(Sales_Data!$M$2:$M$3520,Sales_Data!$C$2:$C$3520,$A79,Sales_Data!$H$2:$H$3520,F$14,Sales_Data!$AE$2:$AE$3520,1),SUMIFS(Sales_Data!$N$2:$N$3520,Sales_Data!$C$2:$C$3520,$A79,Sales_Data!$H$2:$H$3520,F$14,Sales_Data!$AE$2:$AE$3520,1),SUMIFS(Sales_Data!$AE$2:$AE$3520,Sales_Data!$C$2:$C$3520,$A79,Sales_Data!$H$2:$H$3520,F$14))</f>
        <v>4</v>
      </c>
      <c r="G79" s="26" t="n">
        <f aca="false">CHOOSE(MATCH($B$3,Lists!$C$2:$C$5,0),SUMIFS(Sales_Data!$O$2:$O$3520,Sales_Data!$C$2:$C$3520,$A79,Sales_Data!$H$2:$H$3520,G$14,Sales_Data!$AE$2:$AE$3520,1),SUMIFS(Sales_Data!$M$2:$M$3520,Sales_Data!$C$2:$C$3520,$A79,Sales_Data!$H$2:$H$3520,G$14,Sales_Data!$AE$2:$AE$3520,1),SUMIFS(Sales_Data!$N$2:$N$3520,Sales_Data!$C$2:$C$3520,$A79,Sales_Data!$H$2:$H$3520,G$14,Sales_Data!$AE$2:$AE$3520,1),SUMIFS(Sales_Data!$AE$2:$AE$3520,Sales_Data!$C$2:$C$3520,$A79,Sales_Data!$H$2:$H$3520,G$14))</f>
        <v>6</v>
      </c>
      <c r="H79" s="26" t="n">
        <f aca="false">CHOOSE(MATCH($B$3,Lists!$C$2:$C$5,0),SUMIFS(Sales_Data!$O$2:$O$3520,Sales_Data!$C$2:$C$3520,$A79,Sales_Data!$H$2:$H$3520,H$14,Sales_Data!$AE$2:$AE$3520,1),SUMIFS(Sales_Data!$M$2:$M$3520,Sales_Data!$C$2:$C$3520,$A79,Sales_Data!$H$2:$H$3520,H$14,Sales_Data!$AE$2:$AE$3520,1),SUMIFS(Sales_Data!$N$2:$N$3520,Sales_Data!$C$2:$C$3520,$A79,Sales_Data!$H$2:$H$3520,H$14,Sales_Data!$AE$2:$AE$3520,1),SUMIFS(Sales_Data!$AE$2:$AE$3520,Sales_Data!$C$2:$C$3520,$A79,Sales_Data!$H$2:$H$3520,H$14))</f>
        <v>0</v>
      </c>
      <c r="I79" s="26" t="n">
        <f aca="false">CHOOSE(MATCH($B$3,Lists!$C$2:$C$5,0),SUMIFS(Sales_Data!$O$2:$O$3520,Sales_Data!$C$2:$C$3520,$A79,Sales_Data!$H$2:$H$3520,I$14,Sales_Data!$AE$2:$AE$3520,1),SUMIFS(Sales_Data!$M$2:$M$3520,Sales_Data!$C$2:$C$3520,$A79,Sales_Data!$H$2:$H$3520,I$14,Sales_Data!$AE$2:$AE$3520,1),SUMIFS(Sales_Data!$N$2:$N$3520,Sales_Data!$C$2:$C$3520,$A79,Sales_Data!$H$2:$H$3520,I$14,Sales_Data!$AE$2:$AE$3520,1),SUMIFS(Sales_Data!$AE$2:$AE$3520,Sales_Data!$C$2:$C$3520,$A79,Sales_Data!$H$2:$H$3520,I$14))</f>
        <v>0</v>
      </c>
      <c r="J79" s="26" t="n">
        <f aca="false">CHOOSE(MATCH($B$3,Lists!$C$2:$C$5,0),SUMIFS(Sales_Data!$O$2:$O$3520,Sales_Data!$C$2:$C$3520,$A79,Sales_Data!$H$2:$H$3520,J$14,Sales_Data!$AE$2:$AE$3520,1),SUMIFS(Sales_Data!$M$2:$M$3520,Sales_Data!$C$2:$C$3520,$A79,Sales_Data!$H$2:$H$3520,J$14,Sales_Data!$AE$2:$AE$3520,1),SUMIFS(Sales_Data!$N$2:$N$3520,Sales_Data!$C$2:$C$3520,$A79,Sales_Data!$H$2:$H$3520,J$14,Sales_Data!$AE$2:$AE$3520,1),SUMIFS(Sales_Data!$AE$2:$AE$3520,Sales_Data!$C$2:$C$3520,$A79,Sales_Data!$H$2:$H$3520,J$14))</f>
        <v>0</v>
      </c>
      <c r="K79" s="26" t="n">
        <f aca="false">CHOOSE(MATCH($B$3,Lists!$C$2:$C$5,0),SUMIFS(Sales_Data!$O$2:$O$3520,Sales_Data!$C$2:$C$3520,$A79,Sales_Data!$H$2:$H$3520,K$14,Sales_Data!$AE$2:$AE$3520,1),SUMIFS(Sales_Data!$M$2:$M$3520,Sales_Data!$C$2:$C$3520,$A79,Sales_Data!$H$2:$H$3520,K$14,Sales_Data!$AE$2:$AE$3520,1),SUMIFS(Sales_Data!$N$2:$N$3520,Sales_Data!$C$2:$C$3520,$A79,Sales_Data!$H$2:$H$3520,K$14,Sales_Data!$AE$2:$AE$3520,1),SUMIFS(Sales_Data!$AE$2:$AE$3520,Sales_Data!$C$2:$C$3520,$A79,Sales_Data!$H$2:$H$3520,K$14))</f>
        <v>0</v>
      </c>
      <c r="L79" s="26" t="n">
        <f aca="false">CHOOSE(MATCH($B$3,Lists!$C$2:$C$5,0),SUMIFS(Sales_Data!$O$2:$O$3520,Sales_Data!$C$2:$C$3520,$A79,Sales_Data!$H$2:$H$3520,L$14,Sales_Data!$AE$2:$AE$3520,1),SUMIFS(Sales_Data!$M$2:$M$3520,Sales_Data!$C$2:$C$3520,$A79,Sales_Data!$H$2:$H$3520,L$14,Sales_Data!$AE$2:$AE$3520,1),SUMIFS(Sales_Data!$N$2:$N$3520,Sales_Data!$C$2:$C$3520,$A79,Sales_Data!$H$2:$H$3520,L$14,Sales_Data!$AE$2:$AE$3520,1),SUMIFS(Sales_Data!$AE$2:$AE$3520,Sales_Data!$C$2:$C$3520,$A79,Sales_Data!$H$2:$H$3520,L$14))</f>
        <v>4</v>
      </c>
      <c r="M79" s="26" t="n">
        <f aca="false">CHOOSE(MATCH($B$3,Lists!$C$2:$C$5,0),SUMIFS(Sales_Data!$O$2:$O$3520,Sales_Data!$C$2:$C$3520,$A79,Sales_Data!$H$2:$H$3520,M$14,Sales_Data!$AE$2:$AE$3520,1),SUMIFS(Sales_Data!$M$2:$M$3520,Sales_Data!$C$2:$C$3520,$A79,Sales_Data!$H$2:$H$3520,M$14,Sales_Data!$AE$2:$AE$3520,1),SUMIFS(Sales_Data!$N$2:$N$3520,Sales_Data!$C$2:$C$3520,$A79,Sales_Data!$H$2:$H$3520,M$14,Sales_Data!$AE$2:$AE$3520,1),SUMIFS(Sales_Data!$AE$2:$AE$3520,Sales_Data!$C$2:$C$3520,$A79,Sales_Data!$H$2:$H$3520,M$14))</f>
        <v>17</v>
      </c>
      <c r="N79" s="26" t="n">
        <f aca="false">CHOOSE(MATCH($B$3,Lists!$C$2:$C$5,0),SUMIFS(Sales_Data!$O$2:$O$3520,Sales_Data!$C$2:$C$3520,$A79,Sales_Data!$H$2:$H$3520,N$14,Sales_Data!$AE$2:$AE$3520,1),SUMIFS(Sales_Data!$M$2:$M$3520,Sales_Data!$C$2:$C$3520,$A79,Sales_Data!$H$2:$H$3520,N$14,Sales_Data!$AE$2:$AE$3520,1),SUMIFS(Sales_Data!$N$2:$N$3520,Sales_Data!$C$2:$C$3520,$A79,Sales_Data!$H$2:$H$3520,N$14,Sales_Data!$AE$2:$AE$3520,1),SUMIFS(Sales_Data!$AE$2:$AE$3520,Sales_Data!$C$2:$C$3520,$A79,Sales_Data!$H$2:$H$3520,N$14))</f>
        <v>10</v>
      </c>
      <c r="O79" s="26" t="n">
        <f aca="false">CHOOSE(MATCH($B$3,Lists!$C$2:$C$5,0),SUMIFS(Sales_Data!$O$2:$O$3520,Sales_Data!$C$2:$C$3520,$A79,Sales_Data!$H$2:$H$3520,O$14,Sales_Data!$AE$2:$AE$3520,1),SUMIFS(Sales_Data!$M$2:$M$3520,Sales_Data!$C$2:$C$3520,$A79,Sales_Data!$H$2:$H$3520,O$14,Sales_Data!$AE$2:$AE$3520,1),SUMIFS(Sales_Data!$N$2:$N$3520,Sales_Data!$C$2:$C$3520,$A79,Sales_Data!$H$2:$H$3520,O$14,Sales_Data!$AE$2:$AE$3520,1),SUMIFS(Sales_Data!$AE$2:$AE$3520,Sales_Data!$C$2:$C$3520,$A79,Sales_Data!$H$2:$H$3520,O$14))</f>
        <v>0</v>
      </c>
      <c r="P79" s="27" t="n">
        <f aca="false">CHOOSE(MATCH($B$3,Lists!$C$2:$C$5,0),SUMIFS(Sales_Data!$O$2:$O$3520,Sales_Data!$C$2:$C$3520,$A79,Sales_Data!$AE$2:$AE$3520,1),SUMIFS(Sales_Data!$M$2:$M$3520,Sales_Data!$C$2:$C$3520,$A79,Sales_Data!$AE$2:$AE$3520,1),SUMIFS(Sales_Data!$N$2:$N$3520,Sales_Data!$C$2:$C$3520,$A79,Sales_Data!$AE$2:$AE$3520,1),SUMIFS(Sales_Data!$AE$2:$AE$3520,Sales_Data!$C$2:$C$3520,$A79))</f>
        <v>83</v>
      </c>
      <c r="Q79" s="27" t="n">
        <f aca="false">P79-SUM(B79:O79)</f>
        <v>2</v>
      </c>
      <c r="R79" s="3"/>
      <c r="S79" s="72" t="n">
        <f aca="false">A79</f>
        <v>46289</v>
      </c>
      <c r="T79" s="28" t="n">
        <f aca="false">B79-B78</f>
        <v>-11</v>
      </c>
      <c r="U79" s="28" t="n">
        <f aca="false">C79-C78</f>
        <v>8</v>
      </c>
      <c r="V79" s="28" t="n">
        <f aca="false">D79-D78</f>
        <v>6</v>
      </c>
      <c r="W79" s="28" t="n">
        <f aca="false">E79-E78</f>
        <v>0</v>
      </c>
      <c r="X79" s="28" t="n">
        <f aca="false">F79-F78</f>
        <v>-2</v>
      </c>
      <c r="Y79" s="28" t="n">
        <f aca="false">G79-G78</f>
        <v>-4</v>
      </c>
      <c r="Z79" s="28" t="n">
        <f aca="false">H79-H78</f>
        <v>0</v>
      </c>
      <c r="AA79" s="28" t="n">
        <f aca="false">I79-I78</f>
        <v>0</v>
      </c>
      <c r="AB79" s="28" t="n">
        <f aca="false">J79-J78</f>
        <v>0</v>
      </c>
      <c r="AC79" s="28" t="n">
        <f aca="false">K79-K78</f>
        <v>0</v>
      </c>
      <c r="AD79" s="28" t="n">
        <f aca="false">L79-L78</f>
        <v>0</v>
      </c>
      <c r="AE79" s="28" t="n">
        <f aca="false">M79-M78</f>
        <v>10</v>
      </c>
      <c r="AF79" s="28" t="n">
        <f aca="false">N79-N78</f>
        <v>9</v>
      </c>
      <c r="AG79" s="28" t="n">
        <f aca="false">O79-O78</f>
        <v>0</v>
      </c>
      <c r="AH79" s="28" t="n">
        <f aca="false">P79-P78</f>
        <v>18</v>
      </c>
    </row>
    <row r="80" customFormat="false" ht="15" hidden="false" customHeight="false" outlineLevel="0" collapsed="false">
      <c r="A80" s="72" t="n">
        <v>46290</v>
      </c>
      <c r="B80" s="26" t="n">
        <f aca="false">CHOOSE(MATCH($B$3,Lists!$C$2:$C$5,0),SUMIFS(Sales_Data!$O$2:$O$3520,Sales_Data!$C$2:$C$3520,$A80,Sales_Data!$H$2:$H$3520,B$14,Sales_Data!$AE$2:$AE$3520,1),SUMIFS(Sales_Data!$M$2:$M$3520,Sales_Data!$C$2:$C$3520,$A80,Sales_Data!$H$2:$H$3520,B$14,Sales_Data!$AE$2:$AE$3520,1),SUMIFS(Sales_Data!$N$2:$N$3520,Sales_Data!$C$2:$C$3520,$A80,Sales_Data!$H$2:$H$3520,B$14,Sales_Data!$AE$2:$AE$3520,1),SUMIFS(Sales_Data!$AE$2:$AE$3520,Sales_Data!$C$2:$C$3520,$A80,Sales_Data!$H$2:$H$3520,B$14))</f>
        <v>12</v>
      </c>
      <c r="C80" s="26" t="n">
        <f aca="false">CHOOSE(MATCH($B$3,Lists!$C$2:$C$5,0),SUMIFS(Sales_Data!$O$2:$O$3520,Sales_Data!$C$2:$C$3520,$A80,Sales_Data!$H$2:$H$3520,C$14,Sales_Data!$AE$2:$AE$3520,1),SUMIFS(Sales_Data!$M$2:$M$3520,Sales_Data!$C$2:$C$3520,$A80,Sales_Data!$H$2:$H$3520,C$14,Sales_Data!$AE$2:$AE$3520,1),SUMIFS(Sales_Data!$N$2:$N$3520,Sales_Data!$C$2:$C$3520,$A80,Sales_Data!$H$2:$H$3520,C$14,Sales_Data!$AE$2:$AE$3520,1),SUMIFS(Sales_Data!$AE$2:$AE$3520,Sales_Data!$C$2:$C$3520,$A80,Sales_Data!$H$2:$H$3520,C$14))</f>
        <v>8</v>
      </c>
      <c r="D80" s="26" t="n">
        <f aca="false">CHOOSE(MATCH($B$3,Lists!$C$2:$C$5,0),SUMIFS(Sales_Data!$O$2:$O$3520,Sales_Data!$C$2:$C$3520,$A80,Sales_Data!$H$2:$H$3520,D$14,Sales_Data!$AE$2:$AE$3520,1),SUMIFS(Sales_Data!$M$2:$M$3520,Sales_Data!$C$2:$C$3520,$A80,Sales_Data!$H$2:$H$3520,D$14,Sales_Data!$AE$2:$AE$3520,1),SUMIFS(Sales_Data!$N$2:$N$3520,Sales_Data!$C$2:$C$3520,$A80,Sales_Data!$H$2:$H$3520,D$14,Sales_Data!$AE$2:$AE$3520,1),SUMIFS(Sales_Data!$AE$2:$AE$3520,Sales_Data!$C$2:$C$3520,$A80,Sales_Data!$H$2:$H$3520,D$14))</f>
        <v>4</v>
      </c>
      <c r="E80" s="26" t="n">
        <f aca="false">CHOOSE(MATCH($B$3,Lists!$C$2:$C$5,0),SUMIFS(Sales_Data!$O$2:$O$3520,Sales_Data!$C$2:$C$3520,$A80,Sales_Data!$H$2:$H$3520,E$14,Sales_Data!$AE$2:$AE$3520,1),SUMIFS(Sales_Data!$M$2:$M$3520,Sales_Data!$C$2:$C$3520,$A80,Sales_Data!$H$2:$H$3520,E$14,Sales_Data!$AE$2:$AE$3520,1),SUMIFS(Sales_Data!$N$2:$N$3520,Sales_Data!$C$2:$C$3520,$A80,Sales_Data!$H$2:$H$3520,E$14,Sales_Data!$AE$2:$AE$3520,1),SUMIFS(Sales_Data!$AE$2:$AE$3520,Sales_Data!$C$2:$C$3520,$A80,Sales_Data!$H$2:$H$3520,E$14))</f>
        <v>1</v>
      </c>
      <c r="F80" s="26" t="n">
        <f aca="false">CHOOSE(MATCH($B$3,Lists!$C$2:$C$5,0),SUMIFS(Sales_Data!$O$2:$O$3520,Sales_Data!$C$2:$C$3520,$A80,Sales_Data!$H$2:$H$3520,F$14,Sales_Data!$AE$2:$AE$3520,1),SUMIFS(Sales_Data!$M$2:$M$3520,Sales_Data!$C$2:$C$3520,$A80,Sales_Data!$H$2:$H$3520,F$14,Sales_Data!$AE$2:$AE$3520,1),SUMIFS(Sales_Data!$N$2:$N$3520,Sales_Data!$C$2:$C$3520,$A80,Sales_Data!$H$2:$H$3520,F$14,Sales_Data!$AE$2:$AE$3520,1),SUMIFS(Sales_Data!$AE$2:$AE$3520,Sales_Data!$C$2:$C$3520,$A80,Sales_Data!$H$2:$H$3520,F$14))</f>
        <v>4</v>
      </c>
      <c r="G80" s="26" t="n">
        <f aca="false">CHOOSE(MATCH($B$3,Lists!$C$2:$C$5,0),SUMIFS(Sales_Data!$O$2:$O$3520,Sales_Data!$C$2:$C$3520,$A80,Sales_Data!$H$2:$H$3520,G$14,Sales_Data!$AE$2:$AE$3520,1),SUMIFS(Sales_Data!$M$2:$M$3520,Sales_Data!$C$2:$C$3520,$A80,Sales_Data!$H$2:$H$3520,G$14,Sales_Data!$AE$2:$AE$3520,1),SUMIFS(Sales_Data!$N$2:$N$3520,Sales_Data!$C$2:$C$3520,$A80,Sales_Data!$H$2:$H$3520,G$14,Sales_Data!$AE$2:$AE$3520,1),SUMIFS(Sales_Data!$AE$2:$AE$3520,Sales_Data!$C$2:$C$3520,$A80,Sales_Data!$H$2:$H$3520,G$14))</f>
        <v>9</v>
      </c>
      <c r="H80" s="26" t="n">
        <f aca="false">CHOOSE(MATCH($B$3,Lists!$C$2:$C$5,0),SUMIFS(Sales_Data!$O$2:$O$3520,Sales_Data!$C$2:$C$3520,$A80,Sales_Data!$H$2:$H$3520,H$14,Sales_Data!$AE$2:$AE$3520,1),SUMIFS(Sales_Data!$M$2:$M$3520,Sales_Data!$C$2:$C$3520,$A80,Sales_Data!$H$2:$H$3520,H$14,Sales_Data!$AE$2:$AE$3520,1),SUMIFS(Sales_Data!$N$2:$N$3520,Sales_Data!$C$2:$C$3520,$A80,Sales_Data!$H$2:$H$3520,H$14,Sales_Data!$AE$2:$AE$3520,1),SUMIFS(Sales_Data!$AE$2:$AE$3520,Sales_Data!$C$2:$C$3520,$A80,Sales_Data!$H$2:$H$3520,H$14))</f>
        <v>4</v>
      </c>
      <c r="I80" s="26" t="n">
        <f aca="false">CHOOSE(MATCH($B$3,Lists!$C$2:$C$5,0),SUMIFS(Sales_Data!$O$2:$O$3520,Sales_Data!$C$2:$C$3520,$A80,Sales_Data!$H$2:$H$3520,I$14,Sales_Data!$AE$2:$AE$3520,1),SUMIFS(Sales_Data!$M$2:$M$3520,Sales_Data!$C$2:$C$3520,$A80,Sales_Data!$H$2:$H$3520,I$14,Sales_Data!$AE$2:$AE$3520,1),SUMIFS(Sales_Data!$N$2:$N$3520,Sales_Data!$C$2:$C$3520,$A80,Sales_Data!$H$2:$H$3520,I$14,Sales_Data!$AE$2:$AE$3520,1),SUMIFS(Sales_Data!$AE$2:$AE$3520,Sales_Data!$C$2:$C$3520,$A80,Sales_Data!$H$2:$H$3520,I$14))</f>
        <v>0</v>
      </c>
      <c r="J80" s="26" t="n">
        <f aca="false">CHOOSE(MATCH($B$3,Lists!$C$2:$C$5,0),SUMIFS(Sales_Data!$O$2:$O$3520,Sales_Data!$C$2:$C$3520,$A80,Sales_Data!$H$2:$H$3520,J$14,Sales_Data!$AE$2:$AE$3520,1),SUMIFS(Sales_Data!$M$2:$M$3520,Sales_Data!$C$2:$C$3520,$A80,Sales_Data!$H$2:$H$3520,J$14,Sales_Data!$AE$2:$AE$3520,1),SUMIFS(Sales_Data!$N$2:$N$3520,Sales_Data!$C$2:$C$3520,$A80,Sales_Data!$H$2:$H$3520,J$14,Sales_Data!$AE$2:$AE$3520,1),SUMIFS(Sales_Data!$AE$2:$AE$3520,Sales_Data!$C$2:$C$3520,$A80,Sales_Data!$H$2:$H$3520,J$14))</f>
        <v>0</v>
      </c>
      <c r="K80" s="26" t="n">
        <f aca="false">CHOOSE(MATCH($B$3,Lists!$C$2:$C$5,0),SUMIFS(Sales_Data!$O$2:$O$3520,Sales_Data!$C$2:$C$3520,$A80,Sales_Data!$H$2:$H$3520,K$14,Sales_Data!$AE$2:$AE$3520,1),SUMIFS(Sales_Data!$M$2:$M$3520,Sales_Data!$C$2:$C$3520,$A80,Sales_Data!$H$2:$H$3520,K$14,Sales_Data!$AE$2:$AE$3520,1),SUMIFS(Sales_Data!$N$2:$N$3520,Sales_Data!$C$2:$C$3520,$A80,Sales_Data!$H$2:$H$3520,K$14,Sales_Data!$AE$2:$AE$3520,1),SUMIFS(Sales_Data!$AE$2:$AE$3520,Sales_Data!$C$2:$C$3520,$A80,Sales_Data!$H$2:$H$3520,K$14))</f>
        <v>0</v>
      </c>
      <c r="L80" s="26" t="n">
        <f aca="false">CHOOSE(MATCH($B$3,Lists!$C$2:$C$5,0),SUMIFS(Sales_Data!$O$2:$O$3520,Sales_Data!$C$2:$C$3520,$A80,Sales_Data!$H$2:$H$3520,L$14,Sales_Data!$AE$2:$AE$3520,1),SUMIFS(Sales_Data!$M$2:$M$3520,Sales_Data!$C$2:$C$3520,$A80,Sales_Data!$H$2:$H$3520,L$14,Sales_Data!$AE$2:$AE$3520,1),SUMIFS(Sales_Data!$N$2:$N$3520,Sales_Data!$C$2:$C$3520,$A80,Sales_Data!$H$2:$H$3520,L$14,Sales_Data!$AE$2:$AE$3520,1),SUMIFS(Sales_Data!$AE$2:$AE$3520,Sales_Data!$C$2:$C$3520,$A80,Sales_Data!$H$2:$H$3520,L$14))</f>
        <v>2</v>
      </c>
      <c r="M80" s="26" t="n">
        <f aca="false">CHOOSE(MATCH($B$3,Lists!$C$2:$C$5,0),SUMIFS(Sales_Data!$O$2:$O$3520,Sales_Data!$C$2:$C$3520,$A80,Sales_Data!$H$2:$H$3520,M$14,Sales_Data!$AE$2:$AE$3520,1),SUMIFS(Sales_Data!$M$2:$M$3520,Sales_Data!$C$2:$C$3520,$A80,Sales_Data!$H$2:$H$3520,M$14,Sales_Data!$AE$2:$AE$3520,1),SUMIFS(Sales_Data!$N$2:$N$3520,Sales_Data!$C$2:$C$3520,$A80,Sales_Data!$H$2:$H$3520,M$14,Sales_Data!$AE$2:$AE$3520,1),SUMIFS(Sales_Data!$AE$2:$AE$3520,Sales_Data!$C$2:$C$3520,$A80,Sales_Data!$H$2:$H$3520,M$14))</f>
        <v>10</v>
      </c>
      <c r="N80" s="26" t="n">
        <f aca="false">CHOOSE(MATCH($B$3,Lists!$C$2:$C$5,0),SUMIFS(Sales_Data!$O$2:$O$3520,Sales_Data!$C$2:$C$3520,$A80,Sales_Data!$H$2:$H$3520,N$14,Sales_Data!$AE$2:$AE$3520,1),SUMIFS(Sales_Data!$M$2:$M$3520,Sales_Data!$C$2:$C$3520,$A80,Sales_Data!$H$2:$H$3520,N$14,Sales_Data!$AE$2:$AE$3520,1),SUMIFS(Sales_Data!$N$2:$N$3520,Sales_Data!$C$2:$C$3520,$A80,Sales_Data!$H$2:$H$3520,N$14,Sales_Data!$AE$2:$AE$3520,1),SUMIFS(Sales_Data!$AE$2:$AE$3520,Sales_Data!$C$2:$C$3520,$A80,Sales_Data!$H$2:$H$3520,N$14))</f>
        <v>8</v>
      </c>
      <c r="O80" s="26" t="n">
        <f aca="false">CHOOSE(MATCH($B$3,Lists!$C$2:$C$5,0),SUMIFS(Sales_Data!$O$2:$O$3520,Sales_Data!$C$2:$C$3520,$A80,Sales_Data!$H$2:$H$3520,O$14,Sales_Data!$AE$2:$AE$3520,1),SUMIFS(Sales_Data!$M$2:$M$3520,Sales_Data!$C$2:$C$3520,$A80,Sales_Data!$H$2:$H$3520,O$14,Sales_Data!$AE$2:$AE$3520,1),SUMIFS(Sales_Data!$N$2:$N$3520,Sales_Data!$C$2:$C$3520,$A80,Sales_Data!$H$2:$H$3520,O$14,Sales_Data!$AE$2:$AE$3520,1),SUMIFS(Sales_Data!$AE$2:$AE$3520,Sales_Data!$C$2:$C$3520,$A80,Sales_Data!$H$2:$H$3520,O$14))</f>
        <v>0</v>
      </c>
      <c r="P80" s="27" t="n">
        <f aca="false">CHOOSE(MATCH($B$3,Lists!$C$2:$C$5,0),SUMIFS(Sales_Data!$O$2:$O$3520,Sales_Data!$C$2:$C$3520,$A80,Sales_Data!$AE$2:$AE$3520,1),SUMIFS(Sales_Data!$M$2:$M$3520,Sales_Data!$C$2:$C$3520,$A80,Sales_Data!$AE$2:$AE$3520,1),SUMIFS(Sales_Data!$N$2:$N$3520,Sales_Data!$C$2:$C$3520,$A80,Sales_Data!$AE$2:$AE$3520,1),SUMIFS(Sales_Data!$AE$2:$AE$3520,Sales_Data!$C$2:$C$3520,$A80))</f>
        <v>69</v>
      </c>
      <c r="Q80" s="27" t="n">
        <f aca="false">P80-SUM(B80:O80)</f>
        <v>7</v>
      </c>
      <c r="R80" s="3"/>
      <c r="S80" s="72" t="n">
        <f aca="false">A80</f>
        <v>46290</v>
      </c>
      <c r="T80" s="28" t="n">
        <f aca="false">B80-B79</f>
        <v>-3</v>
      </c>
      <c r="U80" s="28" t="n">
        <f aca="false">C80-C79</f>
        <v>-11</v>
      </c>
      <c r="V80" s="28" t="n">
        <f aca="false">D80-D79</f>
        <v>-2</v>
      </c>
      <c r="W80" s="28" t="n">
        <f aca="false">E80-E79</f>
        <v>1</v>
      </c>
      <c r="X80" s="28" t="n">
        <f aca="false">F80-F79</f>
        <v>0</v>
      </c>
      <c r="Y80" s="28" t="n">
        <f aca="false">G80-G79</f>
        <v>3</v>
      </c>
      <c r="Z80" s="28" t="n">
        <f aca="false">H80-H79</f>
        <v>4</v>
      </c>
      <c r="AA80" s="28" t="n">
        <f aca="false">I80-I79</f>
        <v>0</v>
      </c>
      <c r="AB80" s="28" t="n">
        <f aca="false">J80-J79</f>
        <v>0</v>
      </c>
      <c r="AC80" s="28" t="n">
        <f aca="false">K80-K79</f>
        <v>0</v>
      </c>
      <c r="AD80" s="28" t="n">
        <f aca="false">L80-L79</f>
        <v>-2</v>
      </c>
      <c r="AE80" s="28" t="n">
        <f aca="false">M80-M79</f>
        <v>-7</v>
      </c>
      <c r="AF80" s="28" t="n">
        <f aca="false">N80-N79</f>
        <v>-2</v>
      </c>
      <c r="AG80" s="28" t="n">
        <f aca="false">O80-O79</f>
        <v>0</v>
      </c>
      <c r="AH80" s="28" t="n">
        <f aca="false">P80-P79</f>
        <v>-14</v>
      </c>
    </row>
    <row r="81" customFormat="false" ht="15" hidden="false" customHeight="false" outlineLevel="0" collapsed="false">
      <c r="A81" s="72" t="n">
        <v>46291</v>
      </c>
      <c r="B81" s="26" t="n">
        <f aca="false">CHOOSE(MATCH($B$3,Lists!$C$2:$C$5,0),SUMIFS(Sales_Data!$O$2:$O$3520,Sales_Data!$C$2:$C$3520,$A81,Sales_Data!$H$2:$H$3520,B$14,Sales_Data!$AE$2:$AE$3520,1),SUMIFS(Sales_Data!$M$2:$M$3520,Sales_Data!$C$2:$C$3520,$A81,Sales_Data!$H$2:$H$3520,B$14,Sales_Data!$AE$2:$AE$3520,1),SUMIFS(Sales_Data!$N$2:$N$3520,Sales_Data!$C$2:$C$3520,$A81,Sales_Data!$H$2:$H$3520,B$14,Sales_Data!$AE$2:$AE$3520,1),SUMIFS(Sales_Data!$AE$2:$AE$3520,Sales_Data!$C$2:$C$3520,$A81,Sales_Data!$H$2:$H$3520,B$14))</f>
        <v>1</v>
      </c>
      <c r="C81" s="26" t="n">
        <f aca="false">CHOOSE(MATCH($B$3,Lists!$C$2:$C$5,0),SUMIFS(Sales_Data!$O$2:$O$3520,Sales_Data!$C$2:$C$3520,$A81,Sales_Data!$H$2:$H$3520,C$14,Sales_Data!$AE$2:$AE$3520,1),SUMIFS(Sales_Data!$M$2:$M$3520,Sales_Data!$C$2:$C$3520,$A81,Sales_Data!$H$2:$H$3520,C$14,Sales_Data!$AE$2:$AE$3520,1),SUMIFS(Sales_Data!$N$2:$N$3520,Sales_Data!$C$2:$C$3520,$A81,Sales_Data!$H$2:$H$3520,C$14,Sales_Data!$AE$2:$AE$3520,1),SUMIFS(Sales_Data!$AE$2:$AE$3520,Sales_Data!$C$2:$C$3520,$A81,Sales_Data!$H$2:$H$3520,C$14))</f>
        <v>6</v>
      </c>
      <c r="D81" s="26" t="n">
        <f aca="false">CHOOSE(MATCH($B$3,Lists!$C$2:$C$5,0),SUMIFS(Sales_Data!$O$2:$O$3520,Sales_Data!$C$2:$C$3520,$A81,Sales_Data!$H$2:$H$3520,D$14,Sales_Data!$AE$2:$AE$3520,1),SUMIFS(Sales_Data!$M$2:$M$3520,Sales_Data!$C$2:$C$3520,$A81,Sales_Data!$H$2:$H$3520,D$14,Sales_Data!$AE$2:$AE$3520,1),SUMIFS(Sales_Data!$N$2:$N$3520,Sales_Data!$C$2:$C$3520,$A81,Sales_Data!$H$2:$H$3520,D$14,Sales_Data!$AE$2:$AE$3520,1),SUMIFS(Sales_Data!$AE$2:$AE$3520,Sales_Data!$C$2:$C$3520,$A81,Sales_Data!$H$2:$H$3520,D$14))</f>
        <v>5</v>
      </c>
      <c r="E81" s="26" t="n">
        <f aca="false">CHOOSE(MATCH($B$3,Lists!$C$2:$C$5,0),SUMIFS(Sales_Data!$O$2:$O$3520,Sales_Data!$C$2:$C$3520,$A81,Sales_Data!$H$2:$H$3520,E$14,Sales_Data!$AE$2:$AE$3520,1),SUMIFS(Sales_Data!$M$2:$M$3520,Sales_Data!$C$2:$C$3520,$A81,Sales_Data!$H$2:$H$3520,E$14,Sales_Data!$AE$2:$AE$3520,1),SUMIFS(Sales_Data!$N$2:$N$3520,Sales_Data!$C$2:$C$3520,$A81,Sales_Data!$H$2:$H$3520,E$14,Sales_Data!$AE$2:$AE$3520,1),SUMIFS(Sales_Data!$AE$2:$AE$3520,Sales_Data!$C$2:$C$3520,$A81,Sales_Data!$H$2:$H$3520,E$14))</f>
        <v>0</v>
      </c>
      <c r="F81" s="26" t="n">
        <f aca="false">CHOOSE(MATCH($B$3,Lists!$C$2:$C$5,0),SUMIFS(Sales_Data!$O$2:$O$3520,Sales_Data!$C$2:$C$3520,$A81,Sales_Data!$H$2:$H$3520,F$14,Sales_Data!$AE$2:$AE$3520,1),SUMIFS(Sales_Data!$M$2:$M$3520,Sales_Data!$C$2:$C$3520,$A81,Sales_Data!$H$2:$H$3520,F$14,Sales_Data!$AE$2:$AE$3520,1),SUMIFS(Sales_Data!$N$2:$N$3520,Sales_Data!$C$2:$C$3520,$A81,Sales_Data!$H$2:$H$3520,F$14,Sales_Data!$AE$2:$AE$3520,1),SUMIFS(Sales_Data!$AE$2:$AE$3520,Sales_Data!$C$2:$C$3520,$A81,Sales_Data!$H$2:$H$3520,F$14))</f>
        <v>8</v>
      </c>
      <c r="G81" s="26" t="n">
        <f aca="false">CHOOSE(MATCH($B$3,Lists!$C$2:$C$5,0),SUMIFS(Sales_Data!$O$2:$O$3520,Sales_Data!$C$2:$C$3520,$A81,Sales_Data!$H$2:$H$3520,G$14,Sales_Data!$AE$2:$AE$3520,1),SUMIFS(Sales_Data!$M$2:$M$3520,Sales_Data!$C$2:$C$3520,$A81,Sales_Data!$H$2:$H$3520,G$14,Sales_Data!$AE$2:$AE$3520,1),SUMIFS(Sales_Data!$N$2:$N$3520,Sales_Data!$C$2:$C$3520,$A81,Sales_Data!$H$2:$H$3520,G$14,Sales_Data!$AE$2:$AE$3520,1),SUMIFS(Sales_Data!$AE$2:$AE$3520,Sales_Data!$C$2:$C$3520,$A81,Sales_Data!$H$2:$H$3520,G$14))</f>
        <v>8</v>
      </c>
      <c r="H81" s="26" t="n">
        <f aca="false">CHOOSE(MATCH($B$3,Lists!$C$2:$C$5,0),SUMIFS(Sales_Data!$O$2:$O$3520,Sales_Data!$C$2:$C$3520,$A81,Sales_Data!$H$2:$H$3520,H$14,Sales_Data!$AE$2:$AE$3520,1),SUMIFS(Sales_Data!$M$2:$M$3520,Sales_Data!$C$2:$C$3520,$A81,Sales_Data!$H$2:$H$3520,H$14,Sales_Data!$AE$2:$AE$3520,1),SUMIFS(Sales_Data!$N$2:$N$3520,Sales_Data!$C$2:$C$3520,$A81,Sales_Data!$H$2:$H$3520,H$14,Sales_Data!$AE$2:$AE$3520,1),SUMIFS(Sales_Data!$AE$2:$AE$3520,Sales_Data!$C$2:$C$3520,$A81,Sales_Data!$H$2:$H$3520,H$14))</f>
        <v>0</v>
      </c>
      <c r="I81" s="26" t="n">
        <f aca="false">CHOOSE(MATCH($B$3,Lists!$C$2:$C$5,0),SUMIFS(Sales_Data!$O$2:$O$3520,Sales_Data!$C$2:$C$3520,$A81,Sales_Data!$H$2:$H$3520,I$14,Sales_Data!$AE$2:$AE$3520,1),SUMIFS(Sales_Data!$M$2:$M$3520,Sales_Data!$C$2:$C$3520,$A81,Sales_Data!$H$2:$H$3520,I$14,Sales_Data!$AE$2:$AE$3520,1),SUMIFS(Sales_Data!$N$2:$N$3520,Sales_Data!$C$2:$C$3520,$A81,Sales_Data!$H$2:$H$3520,I$14,Sales_Data!$AE$2:$AE$3520,1),SUMIFS(Sales_Data!$AE$2:$AE$3520,Sales_Data!$C$2:$C$3520,$A81,Sales_Data!$H$2:$H$3520,I$14))</f>
        <v>0</v>
      </c>
      <c r="J81" s="26" t="n">
        <f aca="false">CHOOSE(MATCH($B$3,Lists!$C$2:$C$5,0),SUMIFS(Sales_Data!$O$2:$O$3520,Sales_Data!$C$2:$C$3520,$A81,Sales_Data!$H$2:$H$3520,J$14,Sales_Data!$AE$2:$AE$3520,1),SUMIFS(Sales_Data!$M$2:$M$3520,Sales_Data!$C$2:$C$3520,$A81,Sales_Data!$H$2:$H$3520,J$14,Sales_Data!$AE$2:$AE$3520,1),SUMIFS(Sales_Data!$N$2:$N$3520,Sales_Data!$C$2:$C$3520,$A81,Sales_Data!$H$2:$H$3520,J$14,Sales_Data!$AE$2:$AE$3520,1),SUMIFS(Sales_Data!$AE$2:$AE$3520,Sales_Data!$C$2:$C$3520,$A81,Sales_Data!$H$2:$H$3520,J$14))</f>
        <v>3</v>
      </c>
      <c r="K81" s="26" t="n">
        <f aca="false">CHOOSE(MATCH($B$3,Lists!$C$2:$C$5,0),SUMIFS(Sales_Data!$O$2:$O$3520,Sales_Data!$C$2:$C$3520,$A81,Sales_Data!$H$2:$H$3520,K$14,Sales_Data!$AE$2:$AE$3520,1),SUMIFS(Sales_Data!$M$2:$M$3520,Sales_Data!$C$2:$C$3520,$A81,Sales_Data!$H$2:$H$3520,K$14,Sales_Data!$AE$2:$AE$3520,1),SUMIFS(Sales_Data!$N$2:$N$3520,Sales_Data!$C$2:$C$3520,$A81,Sales_Data!$H$2:$H$3520,K$14,Sales_Data!$AE$2:$AE$3520,1),SUMIFS(Sales_Data!$AE$2:$AE$3520,Sales_Data!$C$2:$C$3520,$A81,Sales_Data!$H$2:$H$3520,K$14))</f>
        <v>0</v>
      </c>
      <c r="L81" s="26" t="n">
        <f aca="false">CHOOSE(MATCH($B$3,Lists!$C$2:$C$5,0),SUMIFS(Sales_Data!$O$2:$O$3520,Sales_Data!$C$2:$C$3520,$A81,Sales_Data!$H$2:$H$3520,L$14,Sales_Data!$AE$2:$AE$3520,1),SUMIFS(Sales_Data!$M$2:$M$3520,Sales_Data!$C$2:$C$3520,$A81,Sales_Data!$H$2:$H$3520,L$14,Sales_Data!$AE$2:$AE$3520,1),SUMIFS(Sales_Data!$N$2:$N$3520,Sales_Data!$C$2:$C$3520,$A81,Sales_Data!$H$2:$H$3520,L$14,Sales_Data!$AE$2:$AE$3520,1),SUMIFS(Sales_Data!$AE$2:$AE$3520,Sales_Data!$C$2:$C$3520,$A81,Sales_Data!$H$2:$H$3520,L$14))</f>
        <v>2</v>
      </c>
      <c r="M81" s="26" t="n">
        <f aca="false">CHOOSE(MATCH($B$3,Lists!$C$2:$C$5,0),SUMIFS(Sales_Data!$O$2:$O$3520,Sales_Data!$C$2:$C$3520,$A81,Sales_Data!$H$2:$H$3520,M$14,Sales_Data!$AE$2:$AE$3520,1),SUMIFS(Sales_Data!$M$2:$M$3520,Sales_Data!$C$2:$C$3520,$A81,Sales_Data!$H$2:$H$3520,M$14,Sales_Data!$AE$2:$AE$3520,1),SUMIFS(Sales_Data!$N$2:$N$3520,Sales_Data!$C$2:$C$3520,$A81,Sales_Data!$H$2:$H$3520,M$14,Sales_Data!$AE$2:$AE$3520,1),SUMIFS(Sales_Data!$AE$2:$AE$3520,Sales_Data!$C$2:$C$3520,$A81,Sales_Data!$H$2:$H$3520,M$14))</f>
        <v>9</v>
      </c>
      <c r="N81" s="26" t="n">
        <f aca="false">CHOOSE(MATCH($B$3,Lists!$C$2:$C$5,0),SUMIFS(Sales_Data!$O$2:$O$3520,Sales_Data!$C$2:$C$3520,$A81,Sales_Data!$H$2:$H$3520,N$14,Sales_Data!$AE$2:$AE$3520,1),SUMIFS(Sales_Data!$M$2:$M$3520,Sales_Data!$C$2:$C$3520,$A81,Sales_Data!$H$2:$H$3520,N$14,Sales_Data!$AE$2:$AE$3520,1),SUMIFS(Sales_Data!$N$2:$N$3520,Sales_Data!$C$2:$C$3520,$A81,Sales_Data!$H$2:$H$3520,N$14,Sales_Data!$AE$2:$AE$3520,1),SUMIFS(Sales_Data!$AE$2:$AE$3520,Sales_Data!$C$2:$C$3520,$A81,Sales_Data!$H$2:$H$3520,N$14))</f>
        <v>14</v>
      </c>
      <c r="O81" s="26" t="n">
        <f aca="false">CHOOSE(MATCH($B$3,Lists!$C$2:$C$5,0),SUMIFS(Sales_Data!$O$2:$O$3520,Sales_Data!$C$2:$C$3520,$A81,Sales_Data!$H$2:$H$3520,O$14,Sales_Data!$AE$2:$AE$3520,1),SUMIFS(Sales_Data!$M$2:$M$3520,Sales_Data!$C$2:$C$3520,$A81,Sales_Data!$H$2:$H$3520,O$14,Sales_Data!$AE$2:$AE$3520,1),SUMIFS(Sales_Data!$N$2:$N$3520,Sales_Data!$C$2:$C$3520,$A81,Sales_Data!$H$2:$H$3520,O$14,Sales_Data!$AE$2:$AE$3520,1),SUMIFS(Sales_Data!$AE$2:$AE$3520,Sales_Data!$C$2:$C$3520,$A81,Sales_Data!$H$2:$H$3520,O$14))</f>
        <v>0</v>
      </c>
      <c r="P81" s="27" t="n">
        <f aca="false">CHOOSE(MATCH($B$3,Lists!$C$2:$C$5,0),SUMIFS(Sales_Data!$O$2:$O$3520,Sales_Data!$C$2:$C$3520,$A81,Sales_Data!$AE$2:$AE$3520,1),SUMIFS(Sales_Data!$M$2:$M$3520,Sales_Data!$C$2:$C$3520,$A81,Sales_Data!$AE$2:$AE$3520,1),SUMIFS(Sales_Data!$N$2:$N$3520,Sales_Data!$C$2:$C$3520,$A81,Sales_Data!$AE$2:$AE$3520,1),SUMIFS(Sales_Data!$AE$2:$AE$3520,Sales_Data!$C$2:$C$3520,$A81))</f>
        <v>61</v>
      </c>
      <c r="Q81" s="27" t="n">
        <f aca="false">P81-SUM(B81:O81)</f>
        <v>5</v>
      </c>
      <c r="R81" s="3"/>
      <c r="S81" s="72" t="n">
        <f aca="false">A81</f>
        <v>46291</v>
      </c>
      <c r="T81" s="28" t="n">
        <f aca="false">B81-B80</f>
        <v>-11</v>
      </c>
      <c r="U81" s="28" t="n">
        <f aca="false">C81-C80</f>
        <v>-2</v>
      </c>
      <c r="V81" s="28" t="n">
        <f aca="false">D81-D80</f>
        <v>1</v>
      </c>
      <c r="W81" s="28" t="n">
        <f aca="false">E81-E80</f>
        <v>-1</v>
      </c>
      <c r="X81" s="28" t="n">
        <f aca="false">F81-F80</f>
        <v>4</v>
      </c>
      <c r="Y81" s="28" t="n">
        <f aca="false">G81-G80</f>
        <v>-1</v>
      </c>
      <c r="Z81" s="28" t="n">
        <f aca="false">H81-H80</f>
        <v>-4</v>
      </c>
      <c r="AA81" s="28" t="n">
        <f aca="false">I81-I80</f>
        <v>0</v>
      </c>
      <c r="AB81" s="28" t="n">
        <f aca="false">J81-J80</f>
        <v>3</v>
      </c>
      <c r="AC81" s="28" t="n">
        <f aca="false">K81-K80</f>
        <v>0</v>
      </c>
      <c r="AD81" s="28" t="n">
        <f aca="false">L81-L80</f>
        <v>0</v>
      </c>
      <c r="AE81" s="28" t="n">
        <f aca="false">M81-M80</f>
        <v>-1</v>
      </c>
      <c r="AF81" s="28" t="n">
        <f aca="false">N81-N80</f>
        <v>6</v>
      </c>
      <c r="AG81" s="28" t="n">
        <f aca="false">O81-O80</f>
        <v>0</v>
      </c>
      <c r="AH81" s="28" t="n">
        <f aca="false">P81-P80</f>
        <v>-8</v>
      </c>
    </row>
    <row r="82" customFormat="false" ht="15" hidden="false" customHeight="false" outlineLevel="0" collapsed="false">
      <c r="A82" s="72" t="n">
        <v>46292</v>
      </c>
      <c r="B82" s="26" t="n">
        <f aca="false">CHOOSE(MATCH($B$3,Lists!$C$2:$C$5,0),SUMIFS(Sales_Data!$O$2:$O$3520,Sales_Data!$C$2:$C$3520,$A82,Sales_Data!$H$2:$H$3520,B$14,Sales_Data!$AE$2:$AE$3520,1),SUMIFS(Sales_Data!$M$2:$M$3520,Sales_Data!$C$2:$C$3520,$A82,Sales_Data!$H$2:$H$3520,B$14,Sales_Data!$AE$2:$AE$3520,1),SUMIFS(Sales_Data!$N$2:$N$3520,Sales_Data!$C$2:$C$3520,$A82,Sales_Data!$H$2:$H$3520,B$14,Sales_Data!$AE$2:$AE$3520,1),SUMIFS(Sales_Data!$AE$2:$AE$3520,Sales_Data!$C$2:$C$3520,$A82,Sales_Data!$H$2:$H$3520,B$14))</f>
        <v>0</v>
      </c>
      <c r="C82" s="26" t="n">
        <f aca="false">CHOOSE(MATCH($B$3,Lists!$C$2:$C$5,0),SUMIFS(Sales_Data!$O$2:$O$3520,Sales_Data!$C$2:$C$3520,$A82,Sales_Data!$H$2:$H$3520,C$14,Sales_Data!$AE$2:$AE$3520,1),SUMIFS(Sales_Data!$M$2:$M$3520,Sales_Data!$C$2:$C$3520,$A82,Sales_Data!$H$2:$H$3520,C$14,Sales_Data!$AE$2:$AE$3520,1),SUMIFS(Sales_Data!$N$2:$N$3520,Sales_Data!$C$2:$C$3520,$A82,Sales_Data!$H$2:$H$3520,C$14,Sales_Data!$AE$2:$AE$3520,1),SUMIFS(Sales_Data!$AE$2:$AE$3520,Sales_Data!$C$2:$C$3520,$A82,Sales_Data!$H$2:$H$3520,C$14))</f>
        <v>11</v>
      </c>
      <c r="D82" s="26" t="n">
        <f aca="false">CHOOSE(MATCH($B$3,Lists!$C$2:$C$5,0),SUMIFS(Sales_Data!$O$2:$O$3520,Sales_Data!$C$2:$C$3520,$A82,Sales_Data!$H$2:$H$3520,D$14,Sales_Data!$AE$2:$AE$3520,1),SUMIFS(Sales_Data!$M$2:$M$3520,Sales_Data!$C$2:$C$3520,$A82,Sales_Data!$H$2:$H$3520,D$14,Sales_Data!$AE$2:$AE$3520,1),SUMIFS(Sales_Data!$N$2:$N$3520,Sales_Data!$C$2:$C$3520,$A82,Sales_Data!$H$2:$H$3520,D$14,Sales_Data!$AE$2:$AE$3520,1),SUMIFS(Sales_Data!$AE$2:$AE$3520,Sales_Data!$C$2:$C$3520,$A82,Sales_Data!$H$2:$H$3520,D$14))</f>
        <v>4</v>
      </c>
      <c r="E82" s="26" t="n">
        <f aca="false">CHOOSE(MATCH($B$3,Lists!$C$2:$C$5,0),SUMIFS(Sales_Data!$O$2:$O$3520,Sales_Data!$C$2:$C$3520,$A82,Sales_Data!$H$2:$H$3520,E$14,Sales_Data!$AE$2:$AE$3520,1),SUMIFS(Sales_Data!$M$2:$M$3520,Sales_Data!$C$2:$C$3520,$A82,Sales_Data!$H$2:$H$3520,E$14,Sales_Data!$AE$2:$AE$3520,1),SUMIFS(Sales_Data!$N$2:$N$3520,Sales_Data!$C$2:$C$3520,$A82,Sales_Data!$H$2:$H$3520,E$14,Sales_Data!$AE$2:$AE$3520,1),SUMIFS(Sales_Data!$AE$2:$AE$3520,Sales_Data!$C$2:$C$3520,$A82,Sales_Data!$H$2:$H$3520,E$14))</f>
        <v>0</v>
      </c>
      <c r="F82" s="26" t="n">
        <f aca="false">CHOOSE(MATCH($B$3,Lists!$C$2:$C$5,0),SUMIFS(Sales_Data!$O$2:$O$3520,Sales_Data!$C$2:$C$3520,$A82,Sales_Data!$H$2:$H$3520,F$14,Sales_Data!$AE$2:$AE$3520,1),SUMIFS(Sales_Data!$M$2:$M$3520,Sales_Data!$C$2:$C$3520,$A82,Sales_Data!$H$2:$H$3520,F$14,Sales_Data!$AE$2:$AE$3520,1),SUMIFS(Sales_Data!$N$2:$N$3520,Sales_Data!$C$2:$C$3520,$A82,Sales_Data!$H$2:$H$3520,F$14,Sales_Data!$AE$2:$AE$3520,1),SUMIFS(Sales_Data!$AE$2:$AE$3520,Sales_Data!$C$2:$C$3520,$A82,Sales_Data!$H$2:$H$3520,F$14))</f>
        <v>3</v>
      </c>
      <c r="G82" s="26" t="n">
        <f aca="false">CHOOSE(MATCH($B$3,Lists!$C$2:$C$5,0),SUMIFS(Sales_Data!$O$2:$O$3520,Sales_Data!$C$2:$C$3520,$A82,Sales_Data!$H$2:$H$3520,G$14,Sales_Data!$AE$2:$AE$3520,1),SUMIFS(Sales_Data!$M$2:$M$3520,Sales_Data!$C$2:$C$3520,$A82,Sales_Data!$H$2:$H$3520,G$14,Sales_Data!$AE$2:$AE$3520,1),SUMIFS(Sales_Data!$N$2:$N$3520,Sales_Data!$C$2:$C$3520,$A82,Sales_Data!$H$2:$H$3520,G$14,Sales_Data!$AE$2:$AE$3520,1),SUMIFS(Sales_Data!$AE$2:$AE$3520,Sales_Data!$C$2:$C$3520,$A82,Sales_Data!$H$2:$H$3520,G$14))</f>
        <v>11</v>
      </c>
      <c r="H82" s="26" t="n">
        <f aca="false">CHOOSE(MATCH($B$3,Lists!$C$2:$C$5,0),SUMIFS(Sales_Data!$O$2:$O$3520,Sales_Data!$C$2:$C$3520,$A82,Sales_Data!$H$2:$H$3520,H$14,Sales_Data!$AE$2:$AE$3520,1),SUMIFS(Sales_Data!$M$2:$M$3520,Sales_Data!$C$2:$C$3520,$A82,Sales_Data!$H$2:$H$3520,H$14,Sales_Data!$AE$2:$AE$3520,1),SUMIFS(Sales_Data!$N$2:$N$3520,Sales_Data!$C$2:$C$3520,$A82,Sales_Data!$H$2:$H$3520,H$14,Sales_Data!$AE$2:$AE$3520,1),SUMIFS(Sales_Data!$AE$2:$AE$3520,Sales_Data!$C$2:$C$3520,$A82,Sales_Data!$H$2:$H$3520,H$14))</f>
        <v>0</v>
      </c>
      <c r="I82" s="26" t="n">
        <f aca="false">CHOOSE(MATCH($B$3,Lists!$C$2:$C$5,0),SUMIFS(Sales_Data!$O$2:$O$3520,Sales_Data!$C$2:$C$3520,$A82,Sales_Data!$H$2:$H$3520,I$14,Sales_Data!$AE$2:$AE$3520,1),SUMIFS(Sales_Data!$M$2:$M$3520,Sales_Data!$C$2:$C$3520,$A82,Sales_Data!$H$2:$H$3520,I$14,Sales_Data!$AE$2:$AE$3520,1),SUMIFS(Sales_Data!$N$2:$N$3520,Sales_Data!$C$2:$C$3520,$A82,Sales_Data!$H$2:$H$3520,I$14,Sales_Data!$AE$2:$AE$3520,1),SUMIFS(Sales_Data!$AE$2:$AE$3520,Sales_Data!$C$2:$C$3520,$A82,Sales_Data!$H$2:$H$3520,I$14))</f>
        <v>0</v>
      </c>
      <c r="J82" s="26" t="n">
        <f aca="false">CHOOSE(MATCH($B$3,Lists!$C$2:$C$5,0),SUMIFS(Sales_Data!$O$2:$O$3520,Sales_Data!$C$2:$C$3520,$A82,Sales_Data!$H$2:$H$3520,J$14,Sales_Data!$AE$2:$AE$3520,1),SUMIFS(Sales_Data!$M$2:$M$3520,Sales_Data!$C$2:$C$3520,$A82,Sales_Data!$H$2:$H$3520,J$14,Sales_Data!$AE$2:$AE$3520,1),SUMIFS(Sales_Data!$N$2:$N$3520,Sales_Data!$C$2:$C$3520,$A82,Sales_Data!$H$2:$H$3520,J$14,Sales_Data!$AE$2:$AE$3520,1),SUMIFS(Sales_Data!$AE$2:$AE$3520,Sales_Data!$C$2:$C$3520,$A82,Sales_Data!$H$2:$H$3520,J$14))</f>
        <v>0</v>
      </c>
      <c r="K82" s="26" t="n">
        <f aca="false">CHOOSE(MATCH($B$3,Lists!$C$2:$C$5,0),SUMIFS(Sales_Data!$O$2:$O$3520,Sales_Data!$C$2:$C$3520,$A82,Sales_Data!$H$2:$H$3520,K$14,Sales_Data!$AE$2:$AE$3520,1),SUMIFS(Sales_Data!$M$2:$M$3520,Sales_Data!$C$2:$C$3520,$A82,Sales_Data!$H$2:$H$3520,K$14,Sales_Data!$AE$2:$AE$3520,1),SUMIFS(Sales_Data!$N$2:$N$3520,Sales_Data!$C$2:$C$3520,$A82,Sales_Data!$H$2:$H$3520,K$14,Sales_Data!$AE$2:$AE$3520,1),SUMIFS(Sales_Data!$AE$2:$AE$3520,Sales_Data!$C$2:$C$3520,$A82,Sales_Data!$H$2:$H$3520,K$14))</f>
        <v>0</v>
      </c>
      <c r="L82" s="26" t="n">
        <f aca="false">CHOOSE(MATCH($B$3,Lists!$C$2:$C$5,0),SUMIFS(Sales_Data!$O$2:$O$3520,Sales_Data!$C$2:$C$3520,$A82,Sales_Data!$H$2:$H$3520,L$14,Sales_Data!$AE$2:$AE$3520,1),SUMIFS(Sales_Data!$M$2:$M$3520,Sales_Data!$C$2:$C$3520,$A82,Sales_Data!$H$2:$H$3520,L$14,Sales_Data!$AE$2:$AE$3520,1),SUMIFS(Sales_Data!$N$2:$N$3520,Sales_Data!$C$2:$C$3520,$A82,Sales_Data!$H$2:$H$3520,L$14,Sales_Data!$AE$2:$AE$3520,1),SUMIFS(Sales_Data!$AE$2:$AE$3520,Sales_Data!$C$2:$C$3520,$A82,Sales_Data!$H$2:$H$3520,L$14))</f>
        <v>2</v>
      </c>
      <c r="M82" s="26" t="n">
        <f aca="false">CHOOSE(MATCH($B$3,Lists!$C$2:$C$5,0),SUMIFS(Sales_Data!$O$2:$O$3520,Sales_Data!$C$2:$C$3520,$A82,Sales_Data!$H$2:$H$3520,M$14,Sales_Data!$AE$2:$AE$3520,1),SUMIFS(Sales_Data!$M$2:$M$3520,Sales_Data!$C$2:$C$3520,$A82,Sales_Data!$H$2:$H$3520,M$14,Sales_Data!$AE$2:$AE$3520,1),SUMIFS(Sales_Data!$N$2:$N$3520,Sales_Data!$C$2:$C$3520,$A82,Sales_Data!$H$2:$H$3520,M$14,Sales_Data!$AE$2:$AE$3520,1),SUMIFS(Sales_Data!$AE$2:$AE$3520,Sales_Data!$C$2:$C$3520,$A82,Sales_Data!$H$2:$H$3520,M$14))</f>
        <v>9</v>
      </c>
      <c r="N82" s="26" t="n">
        <f aca="false">CHOOSE(MATCH($B$3,Lists!$C$2:$C$5,0),SUMIFS(Sales_Data!$O$2:$O$3520,Sales_Data!$C$2:$C$3520,$A82,Sales_Data!$H$2:$H$3520,N$14,Sales_Data!$AE$2:$AE$3520,1),SUMIFS(Sales_Data!$M$2:$M$3520,Sales_Data!$C$2:$C$3520,$A82,Sales_Data!$H$2:$H$3520,N$14,Sales_Data!$AE$2:$AE$3520,1),SUMIFS(Sales_Data!$N$2:$N$3520,Sales_Data!$C$2:$C$3520,$A82,Sales_Data!$H$2:$H$3520,N$14,Sales_Data!$AE$2:$AE$3520,1),SUMIFS(Sales_Data!$AE$2:$AE$3520,Sales_Data!$C$2:$C$3520,$A82,Sales_Data!$H$2:$H$3520,N$14))</f>
        <v>7</v>
      </c>
      <c r="O82" s="26" t="n">
        <f aca="false">CHOOSE(MATCH($B$3,Lists!$C$2:$C$5,0),SUMIFS(Sales_Data!$O$2:$O$3520,Sales_Data!$C$2:$C$3520,$A82,Sales_Data!$H$2:$H$3520,O$14,Sales_Data!$AE$2:$AE$3520,1),SUMIFS(Sales_Data!$M$2:$M$3520,Sales_Data!$C$2:$C$3520,$A82,Sales_Data!$H$2:$H$3520,O$14,Sales_Data!$AE$2:$AE$3520,1),SUMIFS(Sales_Data!$N$2:$N$3520,Sales_Data!$C$2:$C$3520,$A82,Sales_Data!$H$2:$H$3520,O$14,Sales_Data!$AE$2:$AE$3520,1),SUMIFS(Sales_Data!$AE$2:$AE$3520,Sales_Data!$C$2:$C$3520,$A82,Sales_Data!$H$2:$H$3520,O$14))</f>
        <v>0</v>
      </c>
      <c r="P82" s="27" t="n">
        <f aca="false">CHOOSE(MATCH($B$3,Lists!$C$2:$C$5,0),SUMIFS(Sales_Data!$O$2:$O$3520,Sales_Data!$C$2:$C$3520,$A82,Sales_Data!$AE$2:$AE$3520,1),SUMIFS(Sales_Data!$M$2:$M$3520,Sales_Data!$C$2:$C$3520,$A82,Sales_Data!$AE$2:$AE$3520,1),SUMIFS(Sales_Data!$N$2:$N$3520,Sales_Data!$C$2:$C$3520,$A82,Sales_Data!$AE$2:$AE$3520,1),SUMIFS(Sales_Data!$AE$2:$AE$3520,Sales_Data!$C$2:$C$3520,$A82))</f>
        <v>51</v>
      </c>
      <c r="Q82" s="27" t="n">
        <f aca="false">P82-SUM(B82:O82)</f>
        <v>4</v>
      </c>
      <c r="R82" s="3"/>
      <c r="S82" s="72" t="n">
        <f aca="false">A82</f>
        <v>46292</v>
      </c>
      <c r="T82" s="28" t="n">
        <f aca="false">B82-B81</f>
        <v>-1</v>
      </c>
      <c r="U82" s="28" t="n">
        <f aca="false">C82-C81</f>
        <v>5</v>
      </c>
      <c r="V82" s="28" t="n">
        <f aca="false">D82-D81</f>
        <v>-1</v>
      </c>
      <c r="W82" s="28" t="n">
        <f aca="false">E82-E81</f>
        <v>0</v>
      </c>
      <c r="X82" s="28" t="n">
        <f aca="false">F82-F81</f>
        <v>-5</v>
      </c>
      <c r="Y82" s="28" t="n">
        <f aca="false">G82-G81</f>
        <v>3</v>
      </c>
      <c r="Z82" s="28" t="n">
        <f aca="false">H82-H81</f>
        <v>0</v>
      </c>
      <c r="AA82" s="28" t="n">
        <f aca="false">I82-I81</f>
        <v>0</v>
      </c>
      <c r="AB82" s="28" t="n">
        <f aca="false">J82-J81</f>
        <v>-3</v>
      </c>
      <c r="AC82" s="28" t="n">
        <f aca="false">K82-K81</f>
        <v>0</v>
      </c>
      <c r="AD82" s="28" t="n">
        <f aca="false">L82-L81</f>
        <v>0</v>
      </c>
      <c r="AE82" s="28" t="n">
        <f aca="false">M82-M81</f>
        <v>0</v>
      </c>
      <c r="AF82" s="28" t="n">
        <f aca="false">N82-N81</f>
        <v>-7</v>
      </c>
      <c r="AG82" s="28" t="n">
        <f aca="false">O82-O81</f>
        <v>0</v>
      </c>
      <c r="AH82" s="28" t="n">
        <f aca="false">P82-P81</f>
        <v>-10</v>
      </c>
    </row>
    <row r="83" customFormat="false" ht="15" hidden="false" customHeight="false" outlineLevel="0" collapsed="false">
      <c r="A83" s="72" t="n">
        <v>46293</v>
      </c>
      <c r="B83" s="26" t="n">
        <f aca="false">CHOOSE(MATCH($B$3,Lists!$C$2:$C$5,0),SUMIFS(Sales_Data!$O$2:$O$3520,Sales_Data!$C$2:$C$3520,$A83,Sales_Data!$H$2:$H$3520,B$14,Sales_Data!$AE$2:$AE$3520,1),SUMIFS(Sales_Data!$M$2:$M$3520,Sales_Data!$C$2:$C$3520,$A83,Sales_Data!$H$2:$H$3520,B$14,Sales_Data!$AE$2:$AE$3520,1),SUMIFS(Sales_Data!$N$2:$N$3520,Sales_Data!$C$2:$C$3520,$A83,Sales_Data!$H$2:$H$3520,B$14,Sales_Data!$AE$2:$AE$3520,1),SUMIFS(Sales_Data!$AE$2:$AE$3520,Sales_Data!$C$2:$C$3520,$A83,Sales_Data!$H$2:$H$3520,B$14))</f>
        <v>15</v>
      </c>
      <c r="C83" s="26" t="n">
        <f aca="false">CHOOSE(MATCH($B$3,Lists!$C$2:$C$5,0),SUMIFS(Sales_Data!$O$2:$O$3520,Sales_Data!$C$2:$C$3520,$A83,Sales_Data!$H$2:$H$3520,C$14,Sales_Data!$AE$2:$AE$3520,1),SUMIFS(Sales_Data!$M$2:$M$3520,Sales_Data!$C$2:$C$3520,$A83,Sales_Data!$H$2:$H$3520,C$14,Sales_Data!$AE$2:$AE$3520,1),SUMIFS(Sales_Data!$N$2:$N$3520,Sales_Data!$C$2:$C$3520,$A83,Sales_Data!$H$2:$H$3520,C$14,Sales_Data!$AE$2:$AE$3520,1),SUMIFS(Sales_Data!$AE$2:$AE$3520,Sales_Data!$C$2:$C$3520,$A83,Sales_Data!$H$2:$H$3520,C$14))</f>
        <v>0</v>
      </c>
      <c r="D83" s="26" t="n">
        <f aca="false">CHOOSE(MATCH($B$3,Lists!$C$2:$C$5,0),SUMIFS(Sales_Data!$O$2:$O$3520,Sales_Data!$C$2:$C$3520,$A83,Sales_Data!$H$2:$H$3520,D$14,Sales_Data!$AE$2:$AE$3520,1),SUMIFS(Sales_Data!$M$2:$M$3520,Sales_Data!$C$2:$C$3520,$A83,Sales_Data!$H$2:$H$3520,D$14,Sales_Data!$AE$2:$AE$3520,1),SUMIFS(Sales_Data!$N$2:$N$3520,Sales_Data!$C$2:$C$3520,$A83,Sales_Data!$H$2:$H$3520,D$14,Sales_Data!$AE$2:$AE$3520,1),SUMIFS(Sales_Data!$AE$2:$AE$3520,Sales_Data!$C$2:$C$3520,$A83,Sales_Data!$H$2:$H$3520,D$14))</f>
        <v>2</v>
      </c>
      <c r="E83" s="26" t="n">
        <f aca="false">CHOOSE(MATCH($B$3,Lists!$C$2:$C$5,0),SUMIFS(Sales_Data!$O$2:$O$3520,Sales_Data!$C$2:$C$3520,$A83,Sales_Data!$H$2:$H$3520,E$14,Sales_Data!$AE$2:$AE$3520,1),SUMIFS(Sales_Data!$M$2:$M$3520,Sales_Data!$C$2:$C$3520,$A83,Sales_Data!$H$2:$H$3520,E$14,Sales_Data!$AE$2:$AE$3520,1),SUMIFS(Sales_Data!$N$2:$N$3520,Sales_Data!$C$2:$C$3520,$A83,Sales_Data!$H$2:$H$3520,E$14,Sales_Data!$AE$2:$AE$3520,1),SUMIFS(Sales_Data!$AE$2:$AE$3520,Sales_Data!$C$2:$C$3520,$A83,Sales_Data!$H$2:$H$3520,E$14))</f>
        <v>0</v>
      </c>
      <c r="F83" s="26" t="n">
        <f aca="false">CHOOSE(MATCH($B$3,Lists!$C$2:$C$5,0),SUMIFS(Sales_Data!$O$2:$O$3520,Sales_Data!$C$2:$C$3520,$A83,Sales_Data!$H$2:$H$3520,F$14,Sales_Data!$AE$2:$AE$3520,1),SUMIFS(Sales_Data!$M$2:$M$3520,Sales_Data!$C$2:$C$3520,$A83,Sales_Data!$H$2:$H$3520,F$14,Sales_Data!$AE$2:$AE$3520,1),SUMIFS(Sales_Data!$N$2:$N$3520,Sales_Data!$C$2:$C$3520,$A83,Sales_Data!$H$2:$H$3520,F$14,Sales_Data!$AE$2:$AE$3520,1),SUMIFS(Sales_Data!$AE$2:$AE$3520,Sales_Data!$C$2:$C$3520,$A83,Sales_Data!$H$2:$H$3520,F$14))</f>
        <v>5</v>
      </c>
      <c r="G83" s="26" t="n">
        <f aca="false">CHOOSE(MATCH($B$3,Lists!$C$2:$C$5,0),SUMIFS(Sales_Data!$O$2:$O$3520,Sales_Data!$C$2:$C$3520,$A83,Sales_Data!$H$2:$H$3520,G$14,Sales_Data!$AE$2:$AE$3520,1),SUMIFS(Sales_Data!$M$2:$M$3520,Sales_Data!$C$2:$C$3520,$A83,Sales_Data!$H$2:$H$3520,G$14,Sales_Data!$AE$2:$AE$3520,1),SUMIFS(Sales_Data!$N$2:$N$3520,Sales_Data!$C$2:$C$3520,$A83,Sales_Data!$H$2:$H$3520,G$14,Sales_Data!$AE$2:$AE$3520,1),SUMIFS(Sales_Data!$AE$2:$AE$3520,Sales_Data!$C$2:$C$3520,$A83,Sales_Data!$H$2:$H$3520,G$14))</f>
        <v>7</v>
      </c>
      <c r="H83" s="26" t="n">
        <f aca="false">CHOOSE(MATCH($B$3,Lists!$C$2:$C$5,0),SUMIFS(Sales_Data!$O$2:$O$3520,Sales_Data!$C$2:$C$3520,$A83,Sales_Data!$H$2:$H$3520,H$14,Sales_Data!$AE$2:$AE$3520,1),SUMIFS(Sales_Data!$M$2:$M$3520,Sales_Data!$C$2:$C$3520,$A83,Sales_Data!$H$2:$H$3520,H$14,Sales_Data!$AE$2:$AE$3520,1),SUMIFS(Sales_Data!$N$2:$N$3520,Sales_Data!$C$2:$C$3520,$A83,Sales_Data!$H$2:$H$3520,H$14,Sales_Data!$AE$2:$AE$3520,1),SUMIFS(Sales_Data!$AE$2:$AE$3520,Sales_Data!$C$2:$C$3520,$A83,Sales_Data!$H$2:$H$3520,H$14))</f>
        <v>0</v>
      </c>
      <c r="I83" s="26" t="n">
        <f aca="false">CHOOSE(MATCH($B$3,Lists!$C$2:$C$5,0),SUMIFS(Sales_Data!$O$2:$O$3520,Sales_Data!$C$2:$C$3520,$A83,Sales_Data!$H$2:$H$3520,I$14,Sales_Data!$AE$2:$AE$3520,1),SUMIFS(Sales_Data!$M$2:$M$3520,Sales_Data!$C$2:$C$3520,$A83,Sales_Data!$H$2:$H$3520,I$14,Sales_Data!$AE$2:$AE$3520,1),SUMIFS(Sales_Data!$N$2:$N$3520,Sales_Data!$C$2:$C$3520,$A83,Sales_Data!$H$2:$H$3520,I$14,Sales_Data!$AE$2:$AE$3520,1),SUMIFS(Sales_Data!$AE$2:$AE$3520,Sales_Data!$C$2:$C$3520,$A83,Sales_Data!$H$2:$H$3520,I$14))</f>
        <v>0</v>
      </c>
      <c r="J83" s="26" t="n">
        <f aca="false">CHOOSE(MATCH($B$3,Lists!$C$2:$C$5,0),SUMIFS(Sales_Data!$O$2:$O$3520,Sales_Data!$C$2:$C$3520,$A83,Sales_Data!$H$2:$H$3520,J$14,Sales_Data!$AE$2:$AE$3520,1),SUMIFS(Sales_Data!$M$2:$M$3520,Sales_Data!$C$2:$C$3520,$A83,Sales_Data!$H$2:$H$3520,J$14,Sales_Data!$AE$2:$AE$3520,1),SUMIFS(Sales_Data!$N$2:$N$3520,Sales_Data!$C$2:$C$3520,$A83,Sales_Data!$H$2:$H$3520,J$14,Sales_Data!$AE$2:$AE$3520,1),SUMIFS(Sales_Data!$AE$2:$AE$3520,Sales_Data!$C$2:$C$3520,$A83,Sales_Data!$H$2:$H$3520,J$14))</f>
        <v>0</v>
      </c>
      <c r="K83" s="26" t="n">
        <f aca="false">CHOOSE(MATCH($B$3,Lists!$C$2:$C$5,0),SUMIFS(Sales_Data!$O$2:$O$3520,Sales_Data!$C$2:$C$3520,$A83,Sales_Data!$H$2:$H$3520,K$14,Sales_Data!$AE$2:$AE$3520,1),SUMIFS(Sales_Data!$M$2:$M$3520,Sales_Data!$C$2:$C$3520,$A83,Sales_Data!$H$2:$H$3520,K$14,Sales_Data!$AE$2:$AE$3520,1),SUMIFS(Sales_Data!$N$2:$N$3520,Sales_Data!$C$2:$C$3520,$A83,Sales_Data!$H$2:$H$3520,K$14,Sales_Data!$AE$2:$AE$3520,1),SUMIFS(Sales_Data!$AE$2:$AE$3520,Sales_Data!$C$2:$C$3520,$A83,Sales_Data!$H$2:$H$3520,K$14))</f>
        <v>2</v>
      </c>
      <c r="L83" s="26" t="n">
        <f aca="false">CHOOSE(MATCH($B$3,Lists!$C$2:$C$5,0),SUMIFS(Sales_Data!$O$2:$O$3520,Sales_Data!$C$2:$C$3520,$A83,Sales_Data!$H$2:$H$3520,L$14,Sales_Data!$AE$2:$AE$3520,1),SUMIFS(Sales_Data!$M$2:$M$3520,Sales_Data!$C$2:$C$3520,$A83,Sales_Data!$H$2:$H$3520,L$14,Sales_Data!$AE$2:$AE$3520,1),SUMIFS(Sales_Data!$N$2:$N$3520,Sales_Data!$C$2:$C$3520,$A83,Sales_Data!$H$2:$H$3520,L$14,Sales_Data!$AE$2:$AE$3520,1),SUMIFS(Sales_Data!$AE$2:$AE$3520,Sales_Data!$C$2:$C$3520,$A83,Sales_Data!$H$2:$H$3520,L$14))</f>
        <v>12</v>
      </c>
      <c r="M83" s="26" t="n">
        <f aca="false">CHOOSE(MATCH($B$3,Lists!$C$2:$C$5,0),SUMIFS(Sales_Data!$O$2:$O$3520,Sales_Data!$C$2:$C$3520,$A83,Sales_Data!$H$2:$H$3520,M$14,Sales_Data!$AE$2:$AE$3520,1),SUMIFS(Sales_Data!$M$2:$M$3520,Sales_Data!$C$2:$C$3520,$A83,Sales_Data!$H$2:$H$3520,M$14,Sales_Data!$AE$2:$AE$3520,1),SUMIFS(Sales_Data!$N$2:$N$3520,Sales_Data!$C$2:$C$3520,$A83,Sales_Data!$H$2:$H$3520,M$14,Sales_Data!$AE$2:$AE$3520,1),SUMIFS(Sales_Data!$AE$2:$AE$3520,Sales_Data!$C$2:$C$3520,$A83,Sales_Data!$H$2:$H$3520,M$14))</f>
        <v>19</v>
      </c>
      <c r="N83" s="26" t="n">
        <f aca="false">CHOOSE(MATCH($B$3,Lists!$C$2:$C$5,0),SUMIFS(Sales_Data!$O$2:$O$3520,Sales_Data!$C$2:$C$3520,$A83,Sales_Data!$H$2:$H$3520,N$14,Sales_Data!$AE$2:$AE$3520,1),SUMIFS(Sales_Data!$M$2:$M$3520,Sales_Data!$C$2:$C$3520,$A83,Sales_Data!$H$2:$H$3520,N$14,Sales_Data!$AE$2:$AE$3520,1),SUMIFS(Sales_Data!$N$2:$N$3520,Sales_Data!$C$2:$C$3520,$A83,Sales_Data!$H$2:$H$3520,N$14,Sales_Data!$AE$2:$AE$3520,1),SUMIFS(Sales_Data!$AE$2:$AE$3520,Sales_Data!$C$2:$C$3520,$A83,Sales_Data!$H$2:$H$3520,N$14))</f>
        <v>5</v>
      </c>
      <c r="O83" s="26" t="n">
        <f aca="false">CHOOSE(MATCH($B$3,Lists!$C$2:$C$5,0),SUMIFS(Sales_Data!$O$2:$O$3520,Sales_Data!$C$2:$C$3520,$A83,Sales_Data!$H$2:$H$3520,O$14,Sales_Data!$AE$2:$AE$3520,1),SUMIFS(Sales_Data!$M$2:$M$3520,Sales_Data!$C$2:$C$3520,$A83,Sales_Data!$H$2:$H$3520,O$14,Sales_Data!$AE$2:$AE$3520,1),SUMIFS(Sales_Data!$N$2:$N$3520,Sales_Data!$C$2:$C$3520,$A83,Sales_Data!$H$2:$H$3520,O$14,Sales_Data!$AE$2:$AE$3520,1),SUMIFS(Sales_Data!$AE$2:$AE$3520,Sales_Data!$C$2:$C$3520,$A83,Sales_Data!$H$2:$H$3520,O$14))</f>
        <v>0</v>
      </c>
      <c r="P83" s="27" t="n">
        <f aca="false">CHOOSE(MATCH($B$3,Lists!$C$2:$C$5,0),SUMIFS(Sales_Data!$O$2:$O$3520,Sales_Data!$C$2:$C$3520,$A83,Sales_Data!$AE$2:$AE$3520,1),SUMIFS(Sales_Data!$M$2:$M$3520,Sales_Data!$C$2:$C$3520,$A83,Sales_Data!$AE$2:$AE$3520,1),SUMIFS(Sales_Data!$N$2:$N$3520,Sales_Data!$C$2:$C$3520,$A83,Sales_Data!$AE$2:$AE$3520,1),SUMIFS(Sales_Data!$AE$2:$AE$3520,Sales_Data!$C$2:$C$3520,$A83))</f>
        <v>72</v>
      </c>
      <c r="Q83" s="27" t="n">
        <f aca="false">P83-SUM(B83:O83)</f>
        <v>5</v>
      </c>
      <c r="R83" s="3"/>
      <c r="S83" s="72" t="n">
        <f aca="false">A83</f>
        <v>46293</v>
      </c>
      <c r="T83" s="28" t="n">
        <f aca="false">B83-B82</f>
        <v>15</v>
      </c>
      <c r="U83" s="28" t="n">
        <f aca="false">C83-C82</f>
        <v>-11</v>
      </c>
      <c r="V83" s="28" t="n">
        <f aca="false">D83-D82</f>
        <v>-2</v>
      </c>
      <c r="W83" s="28" t="n">
        <f aca="false">E83-E82</f>
        <v>0</v>
      </c>
      <c r="X83" s="28" t="n">
        <f aca="false">F83-F82</f>
        <v>2</v>
      </c>
      <c r="Y83" s="28" t="n">
        <f aca="false">G83-G82</f>
        <v>-4</v>
      </c>
      <c r="Z83" s="28" t="n">
        <f aca="false">H83-H82</f>
        <v>0</v>
      </c>
      <c r="AA83" s="28" t="n">
        <f aca="false">I83-I82</f>
        <v>0</v>
      </c>
      <c r="AB83" s="28" t="n">
        <f aca="false">J83-J82</f>
        <v>0</v>
      </c>
      <c r="AC83" s="28" t="n">
        <f aca="false">K83-K82</f>
        <v>2</v>
      </c>
      <c r="AD83" s="28" t="n">
        <f aca="false">L83-L82</f>
        <v>10</v>
      </c>
      <c r="AE83" s="28" t="n">
        <f aca="false">M83-M82</f>
        <v>10</v>
      </c>
      <c r="AF83" s="28" t="n">
        <f aca="false">N83-N82</f>
        <v>-2</v>
      </c>
      <c r="AG83" s="28" t="n">
        <f aca="false">O83-O82</f>
        <v>0</v>
      </c>
      <c r="AH83" s="28" t="n">
        <f aca="false">P83-P82</f>
        <v>21</v>
      </c>
    </row>
    <row r="84" customFormat="false" ht="15" hidden="false" customHeight="false" outlineLevel="0" collapsed="false">
      <c r="A84" s="72" t="n">
        <v>46294</v>
      </c>
      <c r="B84" s="26" t="n">
        <f aca="false">CHOOSE(MATCH($B$3,Lists!$C$2:$C$5,0),SUMIFS(Sales_Data!$O$2:$O$3520,Sales_Data!$C$2:$C$3520,$A84,Sales_Data!$H$2:$H$3520,B$14,Sales_Data!$AE$2:$AE$3520,1),SUMIFS(Sales_Data!$M$2:$M$3520,Sales_Data!$C$2:$C$3520,$A84,Sales_Data!$H$2:$H$3520,B$14,Sales_Data!$AE$2:$AE$3520,1),SUMIFS(Sales_Data!$N$2:$N$3520,Sales_Data!$C$2:$C$3520,$A84,Sales_Data!$H$2:$H$3520,B$14,Sales_Data!$AE$2:$AE$3520,1),SUMIFS(Sales_Data!$AE$2:$AE$3520,Sales_Data!$C$2:$C$3520,$A84,Sales_Data!$H$2:$H$3520,B$14))</f>
        <v>18</v>
      </c>
      <c r="C84" s="26" t="n">
        <f aca="false">CHOOSE(MATCH($B$3,Lists!$C$2:$C$5,0),SUMIFS(Sales_Data!$O$2:$O$3520,Sales_Data!$C$2:$C$3520,$A84,Sales_Data!$H$2:$H$3520,C$14,Sales_Data!$AE$2:$AE$3520,1),SUMIFS(Sales_Data!$M$2:$M$3520,Sales_Data!$C$2:$C$3520,$A84,Sales_Data!$H$2:$H$3520,C$14,Sales_Data!$AE$2:$AE$3520,1),SUMIFS(Sales_Data!$N$2:$N$3520,Sales_Data!$C$2:$C$3520,$A84,Sales_Data!$H$2:$H$3520,C$14,Sales_Data!$AE$2:$AE$3520,1),SUMIFS(Sales_Data!$AE$2:$AE$3520,Sales_Data!$C$2:$C$3520,$A84,Sales_Data!$H$2:$H$3520,C$14))</f>
        <v>6</v>
      </c>
      <c r="D84" s="26" t="n">
        <f aca="false">CHOOSE(MATCH($B$3,Lists!$C$2:$C$5,0),SUMIFS(Sales_Data!$O$2:$O$3520,Sales_Data!$C$2:$C$3520,$A84,Sales_Data!$H$2:$H$3520,D$14,Sales_Data!$AE$2:$AE$3520,1),SUMIFS(Sales_Data!$M$2:$M$3520,Sales_Data!$C$2:$C$3520,$A84,Sales_Data!$H$2:$H$3520,D$14,Sales_Data!$AE$2:$AE$3520,1),SUMIFS(Sales_Data!$N$2:$N$3520,Sales_Data!$C$2:$C$3520,$A84,Sales_Data!$H$2:$H$3520,D$14,Sales_Data!$AE$2:$AE$3520,1),SUMIFS(Sales_Data!$AE$2:$AE$3520,Sales_Data!$C$2:$C$3520,$A84,Sales_Data!$H$2:$H$3520,D$14))</f>
        <v>5</v>
      </c>
      <c r="E84" s="26" t="n">
        <f aca="false">CHOOSE(MATCH($B$3,Lists!$C$2:$C$5,0),SUMIFS(Sales_Data!$O$2:$O$3520,Sales_Data!$C$2:$C$3520,$A84,Sales_Data!$H$2:$H$3520,E$14,Sales_Data!$AE$2:$AE$3520,1),SUMIFS(Sales_Data!$M$2:$M$3520,Sales_Data!$C$2:$C$3520,$A84,Sales_Data!$H$2:$H$3520,E$14,Sales_Data!$AE$2:$AE$3520,1),SUMIFS(Sales_Data!$N$2:$N$3520,Sales_Data!$C$2:$C$3520,$A84,Sales_Data!$H$2:$H$3520,E$14,Sales_Data!$AE$2:$AE$3520,1),SUMIFS(Sales_Data!$AE$2:$AE$3520,Sales_Data!$C$2:$C$3520,$A84,Sales_Data!$H$2:$H$3520,E$14))</f>
        <v>0</v>
      </c>
      <c r="F84" s="26" t="n">
        <f aca="false">CHOOSE(MATCH($B$3,Lists!$C$2:$C$5,0),SUMIFS(Sales_Data!$O$2:$O$3520,Sales_Data!$C$2:$C$3520,$A84,Sales_Data!$H$2:$H$3520,F$14,Sales_Data!$AE$2:$AE$3520,1),SUMIFS(Sales_Data!$M$2:$M$3520,Sales_Data!$C$2:$C$3520,$A84,Sales_Data!$H$2:$H$3520,F$14,Sales_Data!$AE$2:$AE$3520,1),SUMIFS(Sales_Data!$N$2:$N$3520,Sales_Data!$C$2:$C$3520,$A84,Sales_Data!$H$2:$H$3520,F$14,Sales_Data!$AE$2:$AE$3520,1),SUMIFS(Sales_Data!$AE$2:$AE$3520,Sales_Data!$C$2:$C$3520,$A84,Sales_Data!$H$2:$H$3520,F$14))</f>
        <v>4</v>
      </c>
      <c r="G84" s="26" t="n">
        <f aca="false">CHOOSE(MATCH($B$3,Lists!$C$2:$C$5,0),SUMIFS(Sales_Data!$O$2:$O$3520,Sales_Data!$C$2:$C$3520,$A84,Sales_Data!$H$2:$H$3520,G$14,Sales_Data!$AE$2:$AE$3520,1),SUMIFS(Sales_Data!$M$2:$M$3520,Sales_Data!$C$2:$C$3520,$A84,Sales_Data!$H$2:$H$3520,G$14,Sales_Data!$AE$2:$AE$3520,1),SUMIFS(Sales_Data!$N$2:$N$3520,Sales_Data!$C$2:$C$3520,$A84,Sales_Data!$H$2:$H$3520,G$14,Sales_Data!$AE$2:$AE$3520,1),SUMIFS(Sales_Data!$AE$2:$AE$3520,Sales_Data!$C$2:$C$3520,$A84,Sales_Data!$H$2:$H$3520,G$14))</f>
        <v>1</v>
      </c>
      <c r="H84" s="26" t="n">
        <f aca="false">CHOOSE(MATCH($B$3,Lists!$C$2:$C$5,0),SUMIFS(Sales_Data!$O$2:$O$3520,Sales_Data!$C$2:$C$3520,$A84,Sales_Data!$H$2:$H$3520,H$14,Sales_Data!$AE$2:$AE$3520,1),SUMIFS(Sales_Data!$M$2:$M$3520,Sales_Data!$C$2:$C$3520,$A84,Sales_Data!$H$2:$H$3520,H$14,Sales_Data!$AE$2:$AE$3520,1),SUMIFS(Sales_Data!$N$2:$N$3520,Sales_Data!$C$2:$C$3520,$A84,Sales_Data!$H$2:$H$3520,H$14,Sales_Data!$AE$2:$AE$3520,1),SUMIFS(Sales_Data!$AE$2:$AE$3520,Sales_Data!$C$2:$C$3520,$A84,Sales_Data!$H$2:$H$3520,H$14))</f>
        <v>0</v>
      </c>
      <c r="I84" s="26" t="n">
        <f aca="false">CHOOSE(MATCH($B$3,Lists!$C$2:$C$5,0),SUMIFS(Sales_Data!$O$2:$O$3520,Sales_Data!$C$2:$C$3520,$A84,Sales_Data!$H$2:$H$3520,I$14,Sales_Data!$AE$2:$AE$3520,1),SUMIFS(Sales_Data!$M$2:$M$3520,Sales_Data!$C$2:$C$3520,$A84,Sales_Data!$H$2:$H$3520,I$14,Sales_Data!$AE$2:$AE$3520,1),SUMIFS(Sales_Data!$N$2:$N$3520,Sales_Data!$C$2:$C$3520,$A84,Sales_Data!$H$2:$H$3520,I$14,Sales_Data!$AE$2:$AE$3520,1),SUMIFS(Sales_Data!$AE$2:$AE$3520,Sales_Data!$C$2:$C$3520,$A84,Sales_Data!$H$2:$H$3520,I$14))</f>
        <v>0</v>
      </c>
      <c r="J84" s="26" t="n">
        <f aca="false">CHOOSE(MATCH($B$3,Lists!$C$2:$C$5,0),SUMIFS(Sales_Data!$O$2:$O$3520,Sales_Data!$C$2:$C$3520,$A84,Sales_Data!$H$2:$H$3520,J$14,Sales_Data!$AE$2:$AE$3520,1),SUMIFS(Sales_Data!$M$2:$M$3520,Sales_Data!$C$2:$C$3520,$A84,Sales_Data!$H$2:$H$3520,J$14,Sales_Data!$AE$2:$AE$3520,1),SUMIFS(Sales_Data!$N$2:$N$3520,Sales_Data!$C$2:$C$3520,$A84,Sales_Data!$H$2:$H$3520,J$14,Sales_Data!$AE$2:$AE$3520,1),SUMIFS(Sales_Data!$AE$2:$AE$3520,Sales_Data!$C$2:$C$3520,$A84,Sales_Data!$H$2:$H$3520,J$14))</f>
        <v>17</v>
      </c>
      <c r="K84" s="26" t="n">
        <f aca="false">CHOOSE(MATCH($B$3,Lists!$C$2:$C$5,0),SUMIFS(Sales_Data!$O$2:$O$3520,Sales_Data!$C$2:$C$3520,$A84,Sales_Data!$H$2:$H$3520,K$14,Sales_Data!$AE$2:$AE$3520,1),SUMIFS(Sales_Data!$M$2:$M$3520,Sales_Data!$C$2:$C$3520,$A84,Sales_Data!$H$2:$H$3520,K$14,Sales_Data!$AE$2:$AE$3520,1),SUMIFS(Sales_Data!$N$2:$N$3520,Sales_Data!$C$2:$C$3520,$A84,Sales_Data!$H$2:$H$3520,K$14,Sales_Data!$AE$2:$AE$3520,1),SUMIFS(Sales_Data!$AE$2:$AE$3520,Sales_Data!$C$2:$C$3520,$A84,Sales_Data!$H$2:$H$3520,K$14))</f>
        <v>1</v>
      </c>
      <c r="L84" s="26" t="n">
        <f aca="false">CHOOSE(MATCH($B$3,Lists!$C$2:$C$5,0),SUMIFS(Sales_Data!$O$2:$O$3520,Sales_Data!$C$2:$C$3520,$A84,Sales_Data!$H$2:$H$3520,L$14,Sales_Data!$AE$2:$AE$3520,1),SUMIFS(Sales_Data!$M$2:$M$3520,Sales_Data!$C$2:$C$3520,$A84,Sales_Data!$H$2:$H$3520,L$14,Sales_Data!$AE$2:$AE$3520,1),SUMIFS(Sales_Data!$N$2:$N$3520,Sales_Data!$C$2:$C$3520,$A84,Sales_Data!$H$2:$H$3520,L$14,Sales_Data!$AE$2:$AE$3520,1),SUMIFS(Sales_Data!$AE$2:$AE$3520,Sales_Data!$C$2:$C$3520,$A84,Sales_Data!$H$2:$H$3520,L$14))</f>
        <v>4</v>
      </c>
      <c r="M84" s="26" t="n">
        <f aca="false">CHOOSE(MATCH($B$3,Lists!$C$2:$C$5,0),SUMIFS(Sales_Data!$O$2:$O$3520,Sales_Data!$C$2:$C$3520,$A84,Sales_Data!$H$2:$H$3520,M$14,Sales_Data!$AE$2:$AE$3520,1),SUMIFS(Sales_Data!$M$2:$M$3520,Sales_Data!$C$2:$C$3520,$A84,Sales_Data!$H$2:$H$3520,M$14,Sales_Data!$AE$2:$AE$3520,1),SUMIFS(Sales_Data!$N$2:$N$3520,Sales_Data!$C$2:$C$3520,$A84,Sales_Data!$H$2:$H$3520,M$14,Sales_Data!$AE$2:$AE$3520,1),SUMIFS(Sales_Data!$AE$2:$AE$3520,Sales_Data!$C$2:$C$3520,$A84,Sales_Data!$H$2:$H$3520,M$14))</f>
        <v>5</v>
      </c>
      <c r="N84" s="26" t="n">
        <f aca="false">CHOOSE(MATCH($B$3,Lists!$C$2:$C$5,0),SUMIFS(Sales_Data!$O$2:$O$3520,Sales_Data!$C$2:$C$3520,$A84,Sales_Data!$H$2:$H$3520,N$14,Sales_Data!$AE$2:$AE$3520,1),SUMIFS(Sales_Data!$M$2:$M$3520,Sales_Data!$C$2:$C$3520,$A84,Sales_Data!$H$2:$H$3520,N$14,Sales_Data!$AE$2:$AE$3520,1),SUMIFS(Sales_Data!$N$2:$N$3520,Sales_Data!$C$2:$C$3520,$A84,Sales_Data!$H$2:$H$3520,N$14,Sales_Data!$AE$2:$AE$3520,1),SUMIFS(Sales_Data!$AE$2:$AE$3520,Sales_Data!$C$2:$C$3520,$A84,Sales_Data!$H$2:$H$3520,N$14))</f>
        <v>16</v>
      </c>
      <c r="O84" s="26" t="n">
        <f aca="false">CHOOSE(MATCH($B$3,Lists!$C$2:$C$5,0),SUMIFS(Sales_Data!$O$2:$O$3520,Sales_Data!$C$2:$C$3520,$A84,Sales_Data!$H$2:$H$3520,O$14,Sales_Data!$AE$2:$AE$3520,1),SUMIFS(Sales_Data!$M$2:$M$3520,Sales_Data!$C$2:$C$3520,$A84,Sales_Data!$H$2:$H$3520,O$14,Sales_Data!$AE$2:$AE$3520,1),SUMIFS(Sales_Data!$N$2:$N$3520,Sales_Data!$C$2:$C$3520,$A84,Sales_Data!$H$2:$H$3520,O$14,Sales_Data!$AE$2:$AE$3520,1),SUMIFS(Sales_Data!$AE$2:$AE$3520,Sales_Data!$C$2:$C$3520,$A84,Sales_Data!$H$2:$H$3520,O$14))</f>
        <v>0</v>
      </c>
      <c r="P84" s="27" t="n">
        <f aca="false">CHOOSE(MATCH($B$3,Lists!$C$2:$C$5,0),SUMIFS(Sales_Data!$O$2:$O$3520,Sales_Data!$C$2:$C$3520,$A84,Sales_Data!$AE$2:$AE$3520,1),SUMIFS(Sales_Data!$M$2:$M$3520,Sales_Data!$C$2:$C$3520,$A84,Sales_Data!$AE$2:$AE$3520,1),SUMIFS(Sales_Data!$N$2:$N$3520,Sales_Data!$C$2:$C$3520,$A84,Sales_Data!$AE$2:$AE$3520,1),SUMIFS(Sales_Data!$AE$2:$AE$3520,Sales_Data!$C$2:$C$3520,$A84))</f>
        <v>79</v>
      </c>
      <c r="Q84" s="27" t="n">
        <f aca="false">P84-SUM(B84:O84)</f>
        <v>2</v>
      </c>
      <c r="R84" s="3"/>
      <c r="S84" s="72" t="n">
        <f aca="false">A84</f>
        <v>46294</v>
      </c>
      <c r="T84" s="28" t="n">
        <f aca="false">B84-B83</f>
        <v>3</v>
      </c>
      <c r="U84" s="28" t="n">
        <f aca="false">C84-C83</f>
        <v>6</v>
      </c>
      <c r="V84" s="28" t="n">
        <f aca="false">D84-D83</f>
        <v>3</v>
      </c>
      <c r="W84" s="28" t="n">
        <f aca="false">E84-E83</f>
        <v>0</v>
      </c>
      <c r="X84" s="28" t="n">
        <f aca="false">F84-F83</f>
        <v>-1</v>
      </c>
      <c r="Y84" s="28" t="n">
        <f aca="false">G84-G83</f>
        <v>-6</v>
      </c>
      <c r="Z84" s="28" t="n">
        <f aca="false">H84-H83</f>
        <v>0</v>
      </c>
      <c r="AA84" s="28" t="n">
        <f aca="false">I84-I83</f>
        <v>0</v>
      </c>
      <c r="AB84" s="28" t="n">
        <f aca="false">J84-J83</f>
        <v>17</v>
      </c>
      <c r="AC84" s="28" t="n">
        <f aca="false">K84-K83</f>
        <v>-1</v>
      </c>
      <c r="AD84" s="28" t="n">
        <f aca="false">L84-L83</f>
        <v>-8</v>
      </c>
      <c r="AE84" s="28" t="n">
        <f aca="false">M84-M83</f>
        <v>-14</v>
      </c>
      <c r="AF84" s="28" t="n">
        <f aca="false">N84-N83</f>
        <v>11</v>
      </c>
      <c r="AG84" s="28" t="n">
        <f aca="false">O84-O83</f>
        <v>0</v>
      </c>
      <c r="AH84" s="28" t="n">
        <f aca="false">P84-P83</f>
        <v>7</v>
      </c>
    </row>
    <row r="85" customFormat="false" ht="15" hidden="false" customHeight="false" outlineLevel="0" collapsed="false">
      <c r="A85" s="72" t="n">
        <v>46295</v>
      </c>
      <c r="B85" s="26" t="n">
        <f aca="false">CHOOSE(MATCH($B$3,Lists!$C$2:$C$5,0),SUMIFS(Sales_Data!$O$2:$O$3520,Sales_Data!$C$2:$C$3520,$A85,Sales_Data!$H$2:$H$3520,B$14,Sales_Data!$AE$2:$AE$3520,1),SUMIFS(Sales_Data!$M$2:$M$3520,Sales_Data!$C$2:$C$3520,$A85,Sales_Data!$H$2:$H$3520,B$14,Sales_Data!$AE$2:$AE$3520,1),SUMIFS(Sales_Data!$N$2:$N$3520,Sales_Data!$C$2:$C$3520,$A85,Sales_Data!$H$2:$H$3520,B$14,Sales_Data!$AE$2:$AE$3520,1),SUMIFS(Sales_Data!$AE$2:$AE$3520,Sales_Data!$C$2:$C$3520,$A85,Sales_Data!$H$2:$H$3520,B$14))</f>
        <v>18</v>
      </c>
      <c r="C85" s="26" t="n">
        <f aca="false">CHOOSE(MATCH($B$3,Lists!$C$2:$C$5,0),SUMIFS(Sales_Data!$O$2:$O$3520,Sales_Data!$C$2:$C$3520,$A85,Sales_Data!$H$2:$H$3520,C$14,Sales_Data!$AE$2:$AE$3520,1),SUMIFS(Sales_Data!$M$2:$M$3520,Sales_Data!$C$2:$C$3520,$A85,Sales_Data!$H$2:$H$3520,C$14,Sales_Data!$AE$2:$AE$3520,1),SUMIFS(Sales_Data!$N$2:$N$3520,Sales_Data!$C$2:$C$3520,$A85,Sales_Data!$H$2:$H$3520,C$14,Sales_Data!$AE$2:$AE$3520,1),SUMIFS(Sales_Data!$AE$2:$AE$3520,Sales_Data!$C$2:$C$3520,$A85,Sales_Data!$H$2:$H$3520,C$14))</f>
        <v>4</v>
      </c>
      <c r="D85" s="26" t="n">
        <f aca="false">CHOOSE(MATCH($B$3,Lists!$C$2:$C$5,0),SUMIFS(Sales_Data!$O$2:$O$3520,Sales_Data!$C$2:$C$3520,$A85,Sales_Data!$H$2:$H$3520,D$14,Sales_Data!$AE$2:$AE$3520,1),SUMIFS(Sales_Data!$M$2:$M$3520,Sales_Data!$C$2:$C$3520,$A85,Sales_Data!$H$2:$H$3520,D$14,Sales_Data!$AE$2:$AE$3520,1),SUMIFS(Sales_Data!$N$2:$N$3520,Sales_Data!$C$2:$C$3520,$A85,Sales_Data!$H$2:$H$3520,D$14,Sales_Data!$AE$2:$AE$3520,1),SUMIFS(Sales_Data!$AE$2:$AE$3520,Sales_Data!$C$2:$C$3520,$A85,Sales_Data!$H$2:$H$3520,D$14))</f>
        <v>0</v>
      </c>
      <c r="E85" s="26" t="n">
        <f aca="false">CHOOSE(MATCH($B$3,Lists!$C$2:$C$5,0),SUMIFS(Sales_Data!$O$2:$O$3520,Sales_Data!$C$2:$C$3520,$A85,Sales_Data!$H$2:$H$3520,E$14,Sales_Data!$AE$2:$AE$3520,1),SUMIFS(Sales_Data!$M$2:$M$3520,Sales_Data!$C$2:$C$3520,$A85,Sales_Data!$H$2:$H$3520,E$14,Sales_Data!$AE$2:$AE$3520,1),SUMIFS(Sales_Data!$N$2:$N$3520,Sales_Data!$C$2:$C$3520,$A85,Sales_Data!$H$2:$H$3520,E$14,Sales_Data!$AE$2:$AE$3520,1),SUMIFS(Sales_Data!$AE$2:$AE$3520,Sales_Data!$C$2:$C$3520,$A85,Sales_Data!$H$2:$H$3520,E$14))</f>
        <v>2</v>
      </c>
      <c r="F85" s="26" t="n">
        <f aca="false">CHOOSE(MATCH($B$3,Lists!$C$2:$C$5,0),SUMIFS(Sales_Data!$O$2:$O$3520,Sales_Data!$C$2:$C$3520,$A85,Sales_Data!$H$2:$H$3520,F$14,Sales_Data!$AE$2:$AE$3520,1),SUMIFS(Sales_Data!$M$2:$M$3520,Sales_Data!$C$2:$C$3520,$A85,Sales_Data!$H$2:$H$3520,F$14,Sales_Data!$AE$2:$AE$3520,1),SUMIFS(Sales_Data!$N$2:$N$3520,Sales_Data!$C$2:$C$3520,$A85,Sales_Data!$H$2:$H$3520,F$14,Sales_Data!$AE$2:$AE$3520,1),SUMIFS(Sales_Data!$AE$2:$AE$3520,Sales_Data!$C$2:$C$3520,$A85,Sales_Data!$H$2:$H$3520,F$14))</f>
        <v>4</v>
      </c>
      <c r="G85" s="26" t="n">
        <f aca="false">CHOOSE(MATCH($B$3,Lists!$C$2:$C$5,0),SUMIFS(Sales_Data!$O$2:$O$3520,Sales_Data!$C$2:$C$3520,$A85,Sales_Data!$H$2:$H$3520,G$14,Sales_Data!$AE$2:$AE$3520,1),SUMIFS(Sales_Data!$M$2:$M$3520,Sales_Data!$C$2:$C$3520,$A85,Sales_Data!$H$2:$H$3520,G$14,Sales_Data!$AE$2:$AE$3520,1),SUMIFS(Sales_Data!$N$2:$N$3520,Sales_Data!$C$2:$C$3520,$A85,Sales_Data!$H$2:$H$3520,G$14,Sales_Data!$AE$2:$AE$3520,1),SUMIFS(Sales_Data!$AE$2:$AE$3520,Sales_Data!$C$2:$C$3520,$A85,Sales_Data!$H$2:$H$3520,G$14))</f>
        <v>4</v>
      </c>
      <c r="H85" s="26" t="n">
        <f aca="false">CHOOSE(MATCH($B$3,Lists!$C$2:$C$5,0),SUMIFS(Sales_Data!$O$2:$O$3520,Sales_Data!$C$2:$C$3520,$A85,Sales_Data!$H$2:$H$3520,H$14,Sales_Data!$AE$2:$AE$3520,1),SUMIFS(Sales_Data!$M$2:$M$3520,Sales_Data!$C$2:$C$3520,$A85,Sales_Data!$H$2:$H$3520,H$14,Sales_Data!$AE$2:$AE$3520,1),SUMIFS(Sales_Data!$N$2:$N$3520,Sales_Data!$C$2:$C$3520,$A85,Sales_Data!$H$2:$H$3520,H$14,Sales_Data!$AE$2:$AE$3520,1),SUMIFS(Sales_Data!$AE$2:$AE$3520,Sales_Data!$C$2:$C$3520,$A85,Sales_Data!$H$2:$H$3520,H$14))</f>
        <v>0</v>
      </c>
      <c r="I85" s="26" t="n">
        <f aca="false">CHOOSE(MATCH($B$3,Lists!$C$2:$C$5,0),SUMIFS(Sales_Data!$O$2:$O$3520,Sales_Data!$C$2:$C$3520,$A85,Sales_Data!$H$2:$H$3520,I$14,Sales_Data!$AE$2:$AE$3520,1),SUMIFS(Sales_Data!$M$2:$M$3520,Sales_Data!$C$2:$C$3520,$A85,Sales_Data!$H$2:$H$3520,I$14,Sales_Data!$AE$2:$AE$3520,1),SUMIFS(Sales_Data!$N$2:$N$3520,Sales_Data!$C$2:$C$3520,$A85,Sales_Data!$H$2:$H$3520,I$14,Sales_Data!$AE$2:$AE$3520,1),SUMIFS(Sales_Data!$AE$2:$AE$3520,Sales_Data!$C$2:$C$3520,$A85,Sales_Data!$H$2:$H$3520,I$14))</f>
        <v>0</v>
      </c>
      <c r="J85" s="26" t="n">
        <f aca="false">CHOOSE(MATCH($B$3,Lists!$C$2:$C$5,0),SUMIFS(Sales_Data!$O$2:$O$3520,Sales_Data!$C$2:$C$3520,$A85,Sales_Data!$H$2:$H$3520,J$14,Sales_Data!$AE$2:$AE$3520,1),SUMIFS(Sales_Data!$M$2:$M$3520,Sales_Data!$C$2:$C$3520,$A85,Sales_Data!$H$2:$H$3520,J$14,Sales_Data!$AE$2:$AE$3520,1),SUMIFS(Sales_Data!$N$2:$N$3520,Sales_Data!$C$2:$C$3520,$A85,Sales_Data!$H$2:$H$3520,J$14,Sales_Data!$AE$2:$AE$3520,1),SUMIFS(Sales_Data!$AE$2:$AE$3520,Sales_Data!$C$2:$C$3520,$A85,Sales_Data!$H$2:$H$3520,J$14))</f>
        <v>8</v>
      </c>
      <c r="K85" s="26" t="n">
        <f aca="false">CHOOSE(MATCH($B$3,Lists!$C$2:$C$5,0),SUMIFS(Sales_Data!$O$2:$O$3520,Sales_Data!$C$2:$C$3520,$A85,Sales_Data!$H$2:$H$3520,K$14,Sales_Data!$AE$2:$AE$3520,1),SUMIFS(Sales_Data!$M$2:$M$3520,Sales_Data!$C$2:$C$3520,$A85,Sales_Data!$H$2:$H$3520,K$14,Sales_Data!$AE$2:$AE$3520,1),SUMIFS(Sales_Data!$N$2:$N$3520,Sales_Data!$C$2:$C$3520,$A85,Sales_Data!$H$2:$H$3520,K$14,Sales_Data!$AE$2:$AE$3520,1),SUMIFS(Sales_Data!$AE$2:$AE$3520,Sales_Data!$C$2:$C$3520,$A85,Sales_Data!$H$2:$H$3520,K$14))</f>
        <v>0</v>
      </c>
      <c r="L85" s="26" t="n">
        <f aca="false">CHOOSE(MATCH($B$3,Lists!$C$2:$C$5,0),SUMIFS(Sales_Data!$O$2:$O$3520,Sales_Data!$C$2:$C$3520,$A85,Sales_Data!$H$2:$H$3520,L$14,Sales_Data!$AE$2:$AE$3520,1),SUMIFS(Sales_Data!$M$2:$M$3520,Sales_Data!$C$2:$C$3520,$A85,Sales_Data!$H$2:$H$3520,L$14,Sales_Data!$AE$2:$AE$3520,1),SUMIFS(Sales_Data!$N$2:$N$3520,Sales_Data!$C$2:$C$3520,$A85,Sales_Data!$H$2:$H$3520,L$14,Sales_Data!$AE$2:$AE$3520,1),SUMIFS(Sales_Data!$AE$2:$AE$3520,Sales_Data!$C$2:$C$3520,$A85,Sales_Data!$H$2:$H$3520,L$14))</f>
        <v>5</v>
      </c>
      <c r="M85" s="26" t="n">
        <f aca="false">CHOOSE(MATCH($B$3,Lists!$C$2:$C$5,0),SUMIFS(Sales_Data!$O$2:$O$3520,Sales_Data!$C$2:$C$3520,$A85,Sales_Data!$H$2:$H$3520,M$14,Sales_Data!$AE$2:$AE$3520,1),SUMIFS(Sales_Data!$M$2:$M$3520,Sales_Data!$C$2:$C$3520,$A85,Sales_Data!$H$2:$H$3520,M$14,Sales_Data!$AE$2:$AE$3520,1),SUMIFS(Sales_Data!$N$2:$N$3520,Sales_Data!$C$2:$C$3520,$A85,Sales_Data!$H$2:$H$3520,M$14,Sales_Data!$AE$2:$AE$3520,1),SUMIFS(Sales_Data!$AE$2:$AE$3520,Sales_Data!$C$2:$C$3520,$A85,Sales_Data!$H$2:$H$3520,M$14))</f>
        <v>7</v>
      </c>
      <c r="N85" s="26" t="n">
        <f aca="false">CHOOSE(MATCH($B$3,Lists!$C$2:$C$5,0),SUMIFS(Sales_Data!$O$2:$O$3520,Sales_Data!$C$2:$C$3520,$A85,Sales_Data!$H$2:$H$3520,N$14,Sales_Data!$AE$2:$AE$3520,1),SUMIFS(Sales_Data!$M$2:$M$3520,Sales_Data!$C$2:$C$3520,$A85,Sales_Data!$H$2:$H$3520,N$14,Sales_Data!$AE$2:$AE$3520,1),SUMIFS(Sales_Data!$N$2:$N$3520,Sales_Data!$C$2:$C$3520,$A85,Sales_Data!$H$2:$H$3520,N$14,Sales_Data!$AE$2:$AE$3520,1),SUMIFS(Sales_Data!$AE$2:$AE$3520,Sales_Data!$C$2:$C$3520,$A85,Sales_Data!$H$2:$H$3520,N$14))</f>
        <v>19</v>
      </c>
      <c r="O85" s="26" t="n">
        <f aca="false">CHOOSE(MATCH($B$3,Lists!$C$2:$C$5,0),SUMIFS(Sales_Data!$O$2:$O$3520,Sales_Data!$C$2:$C$3520,$A85,Sales_Data!$H$2:$H$3520,O$14,Sales_Data!$AE$2:$AE$3520,1),SUMIFS(Sales_Data!$M$2:$M$3520,Sales_Data!$C$2:$C$3520,$A85,Sales_Data!$H$2:$H$3520,O$14,Sales_Data!$AE$2:$AE$3520,1),SUMIFS(Sales_Data!$N$2:$N$3520,Sales_Data!$C$2:$C$3520,$A85,Sales_Data!$H$2:$H$3520,O$14,Sales_Data!$AE$2:$AE$3520,1),SUMIFS(Sales_Data!$AE$2:$AE$3520,Sales_Data!$C$2:$C$3520,$A85,Sales_Data!$H$2:$H$3520,O$14))</f>
        <v>0</v>
      </c>
      <c r="P85" s="27" t="n">
        <f aca="false">CHOOSE(MATCH($B$3,Lists!$C$2:$C$5,0),SUMIFS(Sales_Data!$O$2:$O$3520,Sales_Data!$C$2:$C$3520,$A85,Sales_Data!$AE$2:$AE$3520,1),SUMIFS(Sales_Data!$M$2:$M$3520,Sales_Data!$C$2:$C$3520,$A85,Sales_Data!$AE$2:$AE$3520,1),SUMIFS(Sales_Data!$N$2:$N$3520,Sales_Data!$C$2:$C$3520,$A85,Sales_Data!$AE$2:$AE$3520,1),SUMIFS(Sales_Data!$AE$2:$AE$3520,Sales_Data!$C$2:$C$3520,$A85))</f>
        <v>71</v>
      </c>
      <c r="Q85" s="27" t="n">
        <f aca="false">P85-SUM(B85:O85)</f>
        <v>0</v>
      </c>
      <c r="R85" s="3"/>
      <c r="S85" s="72" t="n">
        <f aca="false">A85</f>
        <v>46295</v>
      </c>
      <c r="T85" s="28" t="n">
        <f aca="false">B85-B84</f>
        <v>0</v>
      </c>
      <c r="U85" s="28" t="n">
        <f aca="false">C85-C84</f>
        <v>-2</v>
      </c>
      <c r="V85" s="28" t="n">
        <f aca="false">D85-D84</f>
        <v>-5</v>
      </c>
      <c r="W85" s="28" t="n">
        <f aca="false">E85-E84</f>
        <v>2</v>
      </c>
      <c r="X85" s="28" t="n">
        <f aca="false">F85-F84</f>
        <v>0</v>
      </c>
      <c r="Y85" s="28" t="n">
        <f aca="false">G85-G84</f>
        <v>3</v>
      </c>
      <c r="Z85" s="28" t="n">
        <f aca="false">H85-H84</f>
        <v>0</v>
      </c>
      <c r="AA85" s="28" t="n">
        <f aca="false">I85-I84</f>
        <v>0</v>
      </c>
      <c r="AB85" s="28" t="n">
        <f aca="false">J85-J84</f>
        <v>-9</v>
      </c>
      <c r="AC85" s="28" t="n">
        <f aca="false">K85-K84</f>
        <v>-1</v>
      </c>
      <c r="AD85" s="28" t="n">
        <f aca="false">L85-L84</f>
        <v>1</v>
      </c>
      <c r="AE85" s="28" t="n">
        <f aca="false">M85-M84</f>
        <v>2</v>
      </c>
      <c r="AF85" s="28" t="n">
        <f aca="false">N85-N84</f>
        <v>3</v>
      </c>
      <c r="AG85" s="28" t="n">
        <f aca="false">O85-O84</f>
        <v>0</v>
      </c>
      <c r="AH85" s="28" t="n">
        <f aca="false">P85-P84</f>
        <v>-8</v>
      </c>
    </row>
    <row r="86" customFormat="false" ht="15" hidden="false" customHeight="false" outlineLevel="0" collapsed="false">
      <c r="A86" s="72" t="n">
        <v>46296</v>
      </c>
      <c r="B86" s="26" t="n">
        <f aca="false">CHOOSE(MATCH($B$3,Lists!$C$2:$C$5,0),SUMIFS(Sales_Data!$O$2:$O$3520,Sales_Data!$C$2:$C$3520,$A86,Sales_Data!$H$2:$H$3520,B$14,Sales_Data!$AE$2:$AE$3520,1),SUMIFS(Sales_Data!$M$2:$M$3520,Sales_Data!$C$2:$C$3520,$A86,Sales_Data!$H$2:$H$3520,B$14,Sales_Data!$AE$2:$AE$3520,1),SUMIFS(Sales_Data!$N$2:$N$3520,Sales_Data!$C$2:$C$3520,$A86,Sales_Data!$H$2:$H$3520,B$14,Sales_Data!$AE$2:$AE$3520,1),SUMIFS(Sales_Data!$AE$2:$AE$3520,Sales_Data!$C$2:$C$3520,$A86,Sales_Data!$H$2:$H$3520,B$14))</f>
        <v>14</v>
      </c>
      <c r="C86" s="26" t="n">
        <f aca="false">CHOOSE(MATCH($B$3,Lists!$C$2:$C$5,0),SUMIFS(Sales_Data!$O$2:$O$3520,Sales_Data!$C$2:$C$3520,$A86,Sales_Data!$H$2:$H$3520,C$14,Sales_Data!$AE$2:$AE$3520,1),SUMIFS(Sales_Data!$M$2:$M$3520,Sales_Data!$C$2:$C$3520,$A86,Sales_Data!$H$2:$H$3520,C$14,Sales_Data!$AE$2:$AE$3520,1),SUMIFS(Sales_Data!$N$2:$N$3520,Sales_Data!$C$2:$C$3520,$A86,Sales_Data!$H$2:$H$3520,C$14,Sales_Data!$AE$2:$AE$3520,1),SUMIFS(Sales_Data!$AE$2:$AE$3520,Sales_Data!$C$2:$C$3520,$A86,Sales_Data!$H$2:$H$3520,C$14))</f>
        <v>1</v>
      </c>
      <c r="D86" s="26" t="n">
        <f aca="false">CHOOSE(MATCH($B$3,Lists!$C$2:$C$5,0),SUMIFS(Sales_Data!$O$2:$O$3520,Sales_Data!$C$2:$C$3520,$A86,Sales_Data!$H$2:$H$3520,D$14,Sales_Data!$AE$2:$AE$3520,1),SUMIFS(Sales_Data!$M$2:$M$3520,Sales_Data!$C$2:$C$3520,$A86,Sales_Data!$H$2:$H$3520,D$14,Sales_Data!$AE$2:$AE$3520,1),SUMIFS(Sales_Data!$N$2:$N$3520,Sales_Data!$C$2:$C$3520,$A86,Sales_Data!$H$2:$H$3520,D$14,Sales_Data!$AE$2:$AE$3520,1),SUMIFS(Sales_Data!$AE$2:$AE$3520,Sales_Data!$C$2:$C$3520,$A86,Sales_Data!$H$2:$H$3520,D$14))</f>
        <v>3</v>
      </c>
      <c r="E86" s="26" t="n">
        <f aca="false">CHOOSE(MATCH($B$3,Lists!$C$2:$C$5,0),SUMIFS(Sales_Data!$O$2:$O$3520,Sales_Data!$C$2:$C$3520,$A86,Sales_Data!$H$2:$H$3520,E$14,Sales_Data!$AE$2:$AE$3520,1),SUMIFS(Sales_Data!$M$2:$M$3520,Sales_Data!$C$2:$C$3520,$A86,Sales_Data!$H$2:$H$3520,E$14,Sales_Data!$AE$2:$AE$3520,1),SUMIFS(Sales_Data!$N$2:$N$3520,Sales_Data!$C$2:$C$3520,$A86,Sales_Data!$H$2:$H$3520,E$14,Sales_Data!$AE$2:$AE$3520,1),SUMIFS(Sales_Data!$AE$2:$AE$3520,Sales_Data!$C$2:$C$3520,$A86,Sales_Data!$H$2:$H$3520,E$14))</f>
        <v>0</v>
      </c>
      <c r="F86" s="26" t="n">
        <f aca="false">CHOOSE(MATCH($B$3,Lists!$C$2:$C$5,0),SUMIFS(Sales_Data!$O$2:$O$3520,Sales_Data!$C$2:$C$3520,$A86,Sales_Data!$H$2:$H$3520,F$14,Sales_Data!$AE$2:$AE$3520,1),SUMIFS(Sales_Data!$M$2:$M$3520,Sales_Data!$C$2:$C$3520,$A86,Sales_Data!$H$2:$H$3520,F$14,Sales_Data!$AE$2:$AE$3520,1),SUMIFS(Sales_Data!$N$2:$N$3520,Sales_Data!$C$2:$C$3520,$A86,Sales_Data!$H$2:$H$3520,F$14,Sales_Data!$AE$2:$AE$3520,1),SUMIFS(Sales_Data!$AE$2:$AE$3520,Sales_Data!$C$2:$C$3520,$A86,Sales_Data!$H$2:$H$3520,F$14))</f>
        <v>1</v>
      </c>
      <c r="G86" s="26" t="n">
        <f aca="false">CHOOSE(MATCH($B$3,Lists!$C$2:$C$5,0),SUMIFS(Sales_Data!$O$2:$O$3520,Sales_Data!$C$2:$C$3520,$A86,Sales_Data!$H$2:$H$3520,G$14,Sales_Data!$AE$2:$AE$3520,1),SUMIFS(Sales_Data!$M$2:$M$3520,Sales_Data!$C$2:$C$3520,$A86,Sales_Data!$H$2:$H$3520,G$14,Sales_Data!$AE$2:$AE$3520,1),SUMIFS(Sales_Data!$N$2:$N$3520,Sales_Data!$C$2:$C$3520,$A86,Sales_Data!$H$2:$H$3520,G$14,Sales_Data!$AE$2:$AE$3520,1),SUMIFS(Sales_Data!$AE$2:$AE$3520,Sales_Data!$C$2:$C$3520,$A86,Sales_Data!$H$2:$H$3520,G$14))</f>
        <v>6</v>
      </c>
      <c r="H86" s="26" t="n">
        <f aca="false">CHOOSE(MATCH($B$3,Lists!$C$2:$C$5,0),SUMIFS(Sales_Data!$O$2:$O$3520,Sales_Data!$C$2:$C$3520,$A86,Sales_Data!$H$2:$H$3520,H$14,Sales_Data!$AE$2:$AE$3520,1),SUMIFS(Sales_Data!$M$2:$M$3520,Sales_Data!$C$2:$C$3520,$A86,Sales_Data!$H$2:$H$3520,H$14,Sales_Data!$AE$2:$AE$3520,1),SUMIFS(Sales_Data!$N$2:$N$3520,Sales_Data!$C$2:$C$3520,$A86,Sales_Data!$H$2:$H$3520,H$14,Sales_Data!$AE$2:$AE$3520,1),SUMIFS(Sales_Data!$AE$2:$AE$3520,Sales_Data!$C$2:$C$3520,$A86,Sales_Data!$H$2:$H$3520,H$14))</f>
        <v>0</v>
      </c>
      <c r="I86" s="26" t="n">
        <f aca="false">CHOOSE(MATCH($B$3,Lists!$C$2:$C$5,0),SUMIFS(Sales_Data!$O$2:$O$3520,Sales_Data!$C$2:$C$3520,$A86,Sales_Data!$H$2:$H$3520,I$14,Sales_Data!$AE$2:$AE$3520,1),SUMIFS(Sales_Data!$M$2:$M$3520,Sales_Data!$C$2:$C$3520,$A86,Sales_Data!$H$2:$H$3520,I$14,Sales_Data!$AE$2:$AE$3520,1),SUMIFS(Sales_Data!$N$2:$N$3520,Sales_Data!$C$2:$C$3520,$A86,Sales_Data!$H$2:$H$3520,I$14,Sales_Data!$AE$2:$AE$3520,1),SUMIFS(Sales_Data!$AE$2:$AE$3520,Sales_Data!$C$2:$C$3520,$A86,Sales_Data!$H$2:$H$3520,I$14))</f>
        <v>0</v>
      </c>
      <c r="J86" s="26" t="n">
        <f aca="false">CHOOSE(MATCH($B$3,Lists!$C$2:$C$5,0),SUMIFS(Sales_Data!$O$2:$O$3520,Sales_Data!$C$2:$C$3520,$A86,Sales_Data!$H$2:$H$3520,J$14,Sales_Data!$AE$2:$AE$3520,1),SUMIFS(Sales_Data!$M$2:$M$3520,Sales_Data!$C$2:$C$3520,$A86,Sales_Data!$H$2:$H$3520,J$14,Sales_Data!$AE$2:$AE$3520,1),SUMIFS(Sales_Data!$N$2:$N$3520,Sales_Data!$C$2:$C$3520,$A86,Sales_Data!$H$2:$H$3520,J$14,Sales_Data!$AE$2:$AE$3520,1),SUMIFS(Sales_Data!$AE$2:$AE$3520,Sales_Data!$C$2:$C$3520,$A86,Sales_Data!$H$2:$H$3520,J$14))</f>
        <v>0</v>
      </c>
      <c r="K86" s="26" t="n">
        <f aca="false">CHOOSE(MATCH($B$3,Lists!$C$2:$C$5,0),SUMIFS(Sales_Data!$O$2:$O$3520,Sales_Data!$C$2:$C$3520,$A86,Sales_Data!$H$2:$H$3520,K$14,Sales_Data!$AE$2:$AE$3520,1),SUMIFS(Sales_Data!$M$2:$M$3520,Sales_Data!$C$2:$C$3520,$A86,Sales_Data!$H$2:$H$3520,K$14,Sales_Data!$AE$2:$AE$3520,1),SUMIFS(Sales_Data!$N$2:$N$3520,Sales_Data!$C$2:$C$3520,$A86,Sales_Data!$H$2:$H$3520,K$14,Sales_Data!$AE$2:$AE$3520,1),SUMIFS(Sales_Data!$AE$2:$AE$3520,Sales_Data!$C$2:$C$3520,$A86,Sales_Data!$H$2:$H$3520,K$14))</f>
        <v>0</v>
      </c>
      <c r="L86" s="26" t="n">
        <f aca="false">CHOOSE(MATCH($B$3,Lists!$C$2:$C$5,0),SUMIFS(Sales_Data!$O$2:$O$3520,Sales_Data!$C$2:$C$3520,$A86,Sales_Data!$H$2:$H$3520,L$14,Sales_Data!$AE$2:$AE$3520,1),SUMIFS(Sales_Data!$M$2:$M$3520,Sales_Data!$C$2:$C$3520,$A86,Sales_Data!$H$2:$H$3520,L$14,Sales_Data!$AE$2:$AE$3520,1),SUMIFS(Sales_Data!$N$2:$N$3520,Sales_Data!$C$2:$C$3520,$A86,Sales_Data!$H$2:$H$3520,L$14,Sales_Data!$AE$2:$AE$3520,1),SUMIFS(Sales_Data!$AE$2:$AE$3520,Sales_Data!$C$2:$C$3520,$A86,Sales_Data!$H$2:$H$3520,L$14))</f>
        <v>4</v>
      </c>
      <c r="M86" s="26" t="n">
        <f aca="false">CHOOSE(MATCH($B$3,Lists!$C$2:$C$5,0),SUMIFS(Sales_Data!$O$2:$O$3520,Sales_Data!$C$2:$C$3520,$A86,Sales_Data!$H$2:$H$3520,M$14,Sales_Data!$AE$2:$AE$3520,1),SUMIFS(Sales_Data!$M$2:$M$3520,Sales_Data!$C$2:$C$3520,$A86,Sales_Data!$H$2:$H$3520,M$14,Sales_Data!$AE$2:$AE$3520,1),SUMIFS(Sales_Data!$N$2:$N$3520,Sales_Data!$C$2:$C$3520,$A86,Sales_Data!$H$2:$H$3520,M$14,Sales_Data!$AE$2:$AE$3520,1),SUMIFS(Sales_Data!$AE$2:$AE$3520,Sales_Data!$C$2:$C$3520,$A86,Sales_Data!$H$2:$H$3520,M$14))</f>
        <v>16</v>
      </c>
      <c r="N86" s="26" t="n">
        <f aca="false">CHOOSE(MATCH($B$3,Lists!$C$2:$C$5,0),SUMIFS(Sales_Data!$O$2:$O$3520,Sales_Data!$C$2:$C$3520,$A86,Sales_Data!$H$2:$H$3520,N$14,Sales_Data!$AE$2:$AE$3520,1),SUMIFS(Sales_Data!$M$2:$M$3520,Sales_Data!$C$2:$C$3520,$A86,Sales_Data!$H$2:$H$3520,N$14,Sales_Data!$AE$2:$AE$3520,1),SUMIFS(Sales_Data!$N$2:$N$3520,Sales_Data!$C$2:$C$3520,$A86,Sales_Data!$H$2:$H$3520,N$14,Sales_Data!$AE$2:$AE$3520,1),SUMIFS(Sales_Data!$AE$2:$AE$3520,Sales_Data!$C$2:$C$3520,$A86,Sales_Data!$H$2:$H$3520,N$14))</f>
        <v>7</v>
      </c>
      <c r="O86" s="26" t="n">
        <f aca="false">CHOOSE(MATCH($B$3,Lists!$C$2:$C$5,0),SUMIFS(Sales_Data!$O$2:$O$3520,Sales_Data!$C$2:$C$3520,$A86,Sales_Data!$H$2:$H$3520,O$14,Sales_Data!$AE$2:$AE$3520,1),SUMIFS(Sales_Data!$M$2:$M$3520,Sales_Data!$C$2:$C$3520,$A86,Sales_Data!$H$2:$H$3520,O$14,Sales_Data!$AE$2:$AE$3520,1),SUMIFS(Sales_Data!$N$2:$N$3520,Sales_Data!$C$2:$C$3520,$A86,Sales_Data!$H$2:$H$3520,O$14,Sales_Data!$AE$2:$AE$3520,1),SUMIFS(Sales_Data!$AE$2:$AE$3520,Sales_Data!$C$2:$C$3520,$A86,Sales_Data!$H$2:$H$3520,O$14))</f>
        <v>0</v>
      </c>
      <c r="P86" s="27" t="n">
        <f aca="false">CHOOSE(MATCH($B$3,Lists!$C$2:$C$5,0),SUMIFS(Sales_Data!$O$2:$O$3520,Sales_Data!$C$2:$C$3520,$A86,Sales_Data!$AE$2:$AE$3520,1),SUMIFS(Sales_Data!$M$2:$M$3520,Sales_Data!$C$2:$C$3520,$A86,Sales_Data!$AE$2:$AE$3520,1),SUMIFS(Sales_Data!$N$2:$N$3520,Sales_Data!$C$2:$C$3520,$A86,Sales_Data!$AE$2:$AE$3520,1),SUMIFS(Sales_Data!$AE$2:$AE$3520,Sales_Data!$C$2:$C$3520,$A86))</f>
        <v>52</v>
      </c>
      <c r="Q86" s="27" t="n">
        <f aca="false">P86-SUM(B86:O86)</f>
        <v>0</v>
      </c>
      <c r="R86" s="3"/>
      <c r="S86" s="72" t="n">
        <f aca="false">A86</f>
        <v>46296</v>
      </c>
      <c r="T86" s="28" t="n">
        <f aca="false">B86-B85</f>
        <v>-4</v>
      </c>
      <c r="U86" s="28" t="n">
        <f aca="false">C86-C85</f>
        <v>-3</v>
      </c>
      <c r="V86" s="28" t="n">
        <f aca="false">D86-D85</f>
        <v>3</v>
      </c>
      <c r="W86" s="28" t="n">
        <f aca="false">E86-E85</f>
        <v>-2</v>
      </c>
      <c r="X86" s="28" t="n">
        <f aca="false">F86-F85</f>
        <v>-3</v>
      </c>
      <c r="Y86" s="28" t="n">
        <f aca="false">G86-G85</f>
        <v>2</v>
      </c>
      <c r="Z86" s="28" t="n">
        <f aca="false">H86-H85</f>
        <v>0</v>
      </c>
      <c r="AA86" s="28" t="n">
        <f aca="false">I86-I85</f>
        <v>0</v>
      </c>
      <c r="AB86" s="28" t="n">
        <f aca="false">J86-J85</f>
        <v>-8</v>
      </c>
      <c r="AC86" s="28" t="n">
        <f aca="false">K86-K85</f>
        <v>0</v>
      </c>
      <c r="AD86" s="28" t="n">
        <f aca="false">L86-L85</f>
        <v>-1</v>
      </c>
      <c r="AE86" s="28" t="n">
        <f aca="false">M86-M85</f>
        <v>9</v>
      </c>
      <c r="AF86" s="28" t="n">
        <f aca="false">N86-N85</f>
        <v>-12</v>
      </c>
      <c r="AG86" s="28" t="n">
        <f aca="false">O86-O85</f>
        <v>0</v>
      </c>
      <c r="AH86" s="28" t="n">
        <f aca="false">P86-P85</f>
        <v>-19</v>
      </c>
    </row>
    <row r="87" customFormat="false" ht="15" hidden="false" customHeight="false" outlineLevel="0" collapsed="false">
      <c r="A87" s="72" t="n">
        <v>46297</v>
      </c>
      <c r="B87" s="26" t="n">
        <f aca="false">CHOOSE(MATCH($B$3,Lists!$C$2:$C$5,0),SUMIFS(Sales_Data!$O$2:$O$3520,Sales_Data!$C$2:$C$3520,$A87,Sales_Data!$H$2:$H$3520,B$14,Sales_Data!$AE$2:$AE$3520,1),SUMIFS(Sales_Data!$M$2:$M$3520,Sales_Data!$C$2:$C$3520,$A87,Sales_Data!$H$2:$H$3520,B$14,Sales_Data!$AE$2:$AE$3520,1),SUMIFS(Sales_Data!$N$2:$N$3520,Sales_Data!$C$2:$C$3520,$A87,Sales_Data!$H$2:$H$3520,B$14,Sales_Data!$AE$2:$AE$3520,1),SUMIFS(Sales_Data!$AE$2:$AE$3520,Sales_Data!$C$2:$C$3520,$A87,Sales_Data!$H$2:$H$3520,B$14))</f>
        <v>8</v>
      </c>
      <c r="C87" s="26" t="n">
        <f aca="false">CHOOSE(MATCH($B$3,Lists!$C$2:$C$5,0),SUMIFS(Sales_Data!$O$2:$O$3520,Sales_Data!$C$2:$C$3520,$A87,Sales_Data!$H$2:$H$3520,C$14,Sales_Data!$AE$2:$AE$3520,1),SUMIFS(Sales_Data!$M$2:$M$3520,Sales_Data!$C$2:$C$3520,$A87,Sales_Data!$H$2:$H$3520,C$14,Sales_Data!$AE$2:$AE$3520,1),SUMIFS(Sales_Data!$N$2:$N$3520,Sales_Data!$C$2:$C$3520,$A87,Sales_Data!$H$2:$H$3520,C$14,Sales_Data!$AE$2:$AE$3520,1),SUMIFS(Sales_Data!$AE$2:$AE$3520,Sales_Data!$C$2:$C$3520,$A87,Sales_Data!$H$2:$H$3520,C$14))</f>
        <v>7</v>
      </c>
      <c r="D87" s="26" t="n">
        <f aca="false">CHOOSE(MATCH($B$3,Lists!$C$2:$C$5,0),SUMIFS(Sales_Data!$O$2:$O$3520,Sales_Data!$C$2:$C$3520,$A87,Sales_Data!$H$2:$H$3520,D$14,Sales_Data!$AE$2:$AE$3520,1),SUMIFS(Sales_Data!$M$2:$M$3520,Sales_Data!$C$2:$C$3520,$A87,Sales_Data!$H$2:$H$3520,D$14,Sales_Data!$AE$2:$AE$3520,1),SUMIFS(Sales_Data!$N$2:$N$3520,Sales_Data!$C$2:$C$3520,$A87,Sales_Data!$H$2:$H$3520,D$14,Sales_Data!$AE$2:$AE$3520,1),SUMIFS(Sales_Data!$AE$2:$AE$3520,Sales_Data!$C$2:$C$3520,$A87,Sales_Data!$H$2:$H$3520,D$14))</f>
        <v>5</v>
      </c>
      <c r="E87" s="26" t="n">
        <f aca="false">CHOOSE(MATCH($B$3,Lists!$C$2:$C$5,0),SUMIFS(Sales_Data!$O$2:$O$3520,Sales_Data!$C$2:$C$3520,$A87,Sales_Data!$H$2:$H$3520,E$14,Sales_Data!$AE$2:$AE$3520,1),SUMIFS(Sales_Data!$M$2:$M$3520,Sales_Data!$C$2:$C$3520,$A87,Sales_Data!$H$2:$H$3520,E$14,Sales_Data!$AE$2:$AE$3520,1),SUMIFS(Sales_Data!$N$2:$N$3520,Sales_Data!$C$2:$C$3520,$A87,Sales_Data!$H$2:$H$3520,E$14,Sales_Data!$AE$2:$AE$3520,1),SUMIFS(Sales_Data!$AE$2:$AE$3520,Sales_Data!$C$2:$C$3520,$A87,Sales_Data!$H$2:$H$3520,E$14))</f>
        <v>0</v>
      </c>
      <c r="F87" s="26" t="n">
        <f aca="false">CHOOSE(MATCH($B$3,Lists!$C$2:$C$5,0),SUMIFS(Sales_Data!$O$2:$O$3520,Sales_Data!$C$2:$C$3520,$A87,Sales_Data!$H$2:$H$3520,F$14,Sales_Data!$AE$2:$AE$3520,1),SUMIFS(Sales_Data!$M$2:$M$3520,Sales_Data!$C$2:$C$3520,$A87,Sales_Data!$H$2:$H$3520,F$14,Sales_Data!$AE$2:$AE$3520,1),SUMIFS(Sales_Data!$N$2:$N$3520,Sales_Data!$C$2:$C$3520,$A87,Sales_Data!$H$2:$H$3520,F$14,Sales_Data!$AE$2:$AE$3520,1),SUMIFS(Sales_Data!$AE$2:$AE$3520,Sales_Data!$C$2:$C$3520,$A87,Sales_Data!$H$2:$H$3520,F$14))</f>
        <v>5</v>
      </c>
      <c r="G87" s="26" t="n">
        <f aca="false">CHOOSE(MATCH($B$3,Lists!$C$2:$C$5,0),SUMIFS(Sales_Data!$O$2:$O$3520,Sales_Data!$C$2:$C$3520,$A87,Sales_Data!$H$2:$H$3520,G$14,Sales_Data!$AE$2:$AE$3520,1),SUMIFS(Sales_Data!$M$2:$M$3520,Sales_Data!$C$2:$C$3520,$A87,Sales_Data!$H$2:$H$3520,G$14,Sales_Data!$AE$2:$AE$3520,1),SUMIFS(Sales_Data!$N$2:$N$3520,Sales_Data!$C$2:$C$3520,$A87,Sales_Data!$H$2:$H$3520,G$14,Sales_Data!$AE$2:$AE$3520,1),SUMIFS(Sales_Data!$AE$2:$AE$3520,Sales_Data!$C$2:$C$3520,$A87,Sales_Data!$H$2:$H$3520,G$14))</f>
        <v>6</v>
      </c>
      <c r="H87" s="26" t="n">
        <f aca="false">CHOOSE(MATCH($B$3,Lists!$C$2:$C$5,0),SUMIFS(Sales_Data!$O$2:$O$3520,Sales_Data!$C$2:$C$3520,$A87,Sales_Data!$H$2:$H$3520,H$14,Sales_Data!$AE$2:$AE$3520,1),SUMIFS(Sales_Data!$M$2:$M$3520,Sales_Data!$C$2:$C$3520,$A87,Sales_Data!$H$2:$H$3520,H$14,Sales_Data!$AE$2:$AE$3520,1),SUMIFS(Sales_Data!$N$2:$N$3520,Sales_Data!$C$2:$C$3520,$A87,Sales_Data!$H$2:$H$3520,H$14,Sales_Data!$AE$2:$AE$3520,1),SUMIFS(Sales_Data!$AE$2:$AE$3520,Sales_Data!$C$2:$C$3520,$A87,Sales_Data!$H$2:$H$3520,H$14))</f>
        <v>0</v>
      </c>
      <c r="I87" s="26" t="n">
        <f aca="false">CHOOSE(MATCH($B$3,Lists!$C$2:$C$5,0),SUMIFS(Sales_Data!$O$2:$O$3520,Sales_Data!$C$2:$C$3520,$A87,Sales_Data!$H$2:$H$3520,I$14,Sales_Data!$AE$2:$AE$3520,1),SUMIFS(Sales_Data!$M$2:$M$3520,Sales_Data!$C$2:$C$3520,$A87,Sales_Data!$H$2:$H$3520,I$14,Sales_Data!$AE$2:$AE$3520,1),SUMIFS(Sales_Data!$N$2:$N$3520,Sales_Data!$C$2:$C$3520,$A87,Sales_Data!$H$2:$H$3520,I$14,Sales_Data!$AE$2:$AE$3520,1),SUMIFS(Sales_Data!$AE$2:$AE$3520,Sales_Data!$C$2:$C$3520,$A87,Sales_Data!$H$2:$H$3520,I$14))</f>
        <v>0</v>
      </c>
      <c r="J87" s="26" t="n">
        <f aca="false">CHOOSE(MATCH($B$3,Lists!$C$2:$C$5,0),SUMIFS(Sales_Data!$O$2:$O$3520,Sales_Data!$C$2:$C$3520,$A87,Sales_Data!$H$2:$H$3520,J$14,Sales_Data!$AE$2:$AE$3520,1),SUMIFS(Sales_Data!$M$2:$M$3520,Sales_Data!$C$2:$C$3520,$A87,Sales_Data!$H$2:$H$3520,J$14,Sales_Data!$AE$2:$AE$3520,1),SUMIFS(Sales_Data!$N$2:$N$3520,Sales_Data!$C$2:$C$3520,$A87,Sales_Data!$H$2:$H$3520,J$14,Sales_Data!$AE$2:$AE$3520,1),SUMIFS(Sales_Data!$AE$2:$AE$3520,Sales_Data!$C$2:$C$3520,$A87,Sales_Data!$H$2:$H$3520,J$14))</f>
        <v>9</v>
      </c>
      <c r="K87" s="26" t="n">
        <f aca="false">CHOOSE(MATCH($B$3,Lists!$C$2:$C$5,0),SUMIFS(Sales_Data!$O$2:$O$3520,Sales_Data!$C$2:$C$3520,$A87,Sales_Data!$H$2:$H$3520,K$14,Sales_Data!$AE$2:$AE$3520,1),SUMIFS(Sales_Data!$M$2:$M$3520,Sales_Data!$C$2:$C$3520,$A87,Sales_Data!$H$2:$H$3520,K$14,Sales_Data!$AE$2:$AE$3520,1),SUMIFS(Sales_Data!$N$2:$N$3520,Sales_Data!$C$2:$C$3520,$A87,Sales_Data!$H$2:$H$3520,K$14,Sales_Data!$AE$2:$AE$3520,1),SUMIFS(Sales_Data!$AE$2:$AE$3520,Sales_Data!$C$2:$C$3520,$A87,Sales_Data!$H$2:$H$3520,K$14))</f>
        <v>1</v>
      </c>
      <c r="L87" s="26" t="n">
        <f aca="false">CHOOSE(MATCH($B$3,Lists!$C$2:$C$5,0),SUMIFS(Sales_Data!$O$2:$O$3520,Sales_Data!$C$2:$C$3520,$A87,Sales_Data!$H$2:$H$3520,L$14,Sales_Data!$AE$2:$AE$3520,1),SUMIFS(Sales_Data!$M$2:$M$3520,Sales_Data!$C$2:$C$3520,$A87,Sales_Data!$H$2:$H$3520,L$14,Sales_Data!$AE$2:$AE$3520,1),SUMIFS(Sales_Data!$N$2:$N$3520,Sales_Data!$C$2:$C$3520,$A87,Sales_Data!$H$2:$H$3520,L$14,Sales_Data!$AE$2:$AE$3520,1),SUMIFS(Sales_Data!$AE$2:$AE$3520,Sales_Data!$C$2:$C$3520,$A87,Sales_Data!$H$2:$H$3520,L$14))</f>
        <v>5</v>
      </c>
      <c r="M87" s="26" t="n">
        <f aca="false">CHOOSE(MATCH($B$3,Lists!$C$2:$C$5,0),SUMIFS(Sales_Data!$O$2:$O$3520,Sales_Data!$C$2:$C$3520,$A87,Sales_Data!$H$2:$H$3520,M$14,Sales_Data!$AE$2:$AE$3520,1),SUMIFS(Sales_Data!$M$2:$M$3520,Sales_Data!$C$2:$C$3520,$A87,Sales_Data!$H$2:$H$3520,M$14,Sales_Data!$AE$2:$AE$3520,1),SUMIFS(Sales_Data!$N$2:$N$3520,Sales_Data!$C$2:$C$3520,$A87,Sales_Data!$H$2:$H$3520,M$14,Sales_Data!$AE$2:$AE$3520,1),SUMIFS(Sales_Data!$AE$2:$AE$3520,Sales_Data!$C$2:$C$3520,$A87,Sales_Data!$H$2:$H$3520,M$14))</f>
        <v>6</v>
      </c>
      <c r="N87" s="26" t="n">
        <f aca="false">CHOOSE(MATCH($B$3,Lists!$C$2:$C$5,0),SUMIFS(Sales_Data!$O$2:$O$3520,Sales_Data!$C$2:$C$3520,$A87,Sales_Data!$H$2:$H$3520,N$14,Sales_Data!$AE$2:$AE$3520,1),SUMIFS(Sales_Data!$M$2:$M$3520,Sales_Data!$C$2:$C$3520,$A87,Sales_Data!$H$2:$H$3520,N$14,Sales_Data!$AE$2:$AE$3520,1),SUMIFS(Sales_Data!$N$2:$N$3520,Sales_Data!$C$2:$C$3520,$A87,Sales_Data!$H$2:$H$3520,N$14,Sales_Data!$AE$2:$AE$3520,1),SUMIFS(Sales_Data!$AE$2:$AE$3520,Sales_Data!$C$2:$C$3520,$A87,Sales_Data!$H$2:$H$3520,N$14))</f>
        <v>6</v>
      </c>
      <c r="O87" s="26" t="n">
        <f aca="false">CHOOSE(MATCH($B$3,Lists!$C$2:$C$5,0),SUMIFS(Sales_Data!$O$2:$O$3520,Sales_Data!$C$2:$C$3520,$A87,Sales_Data!$H$2:$H$3520,O$14,Sales_Data!$AE$2:$AE$3520,1),SUMIFS(Sales_Data!$M$2:$M$3520,Sales_Data!$C$2:$C$3520,$A87,Sales_Data!$H$2:$H$3520,O$14,Sales_Data!$AE$2:$AE$3520,1),SUMIFS(Sales_Data!$N$2:$N$3520,Sales_Data!$C$2:$C$3520,$A87,Sales_Data!$H$2:$H$3520,O$14,Sales_Data!$AE$2:$AE$3520,1),SUMIFS(Sales_Data!$AE$2:$AE$3520,Sales_Data!$C$2:$C$3520,$A87,Sales_Data!$H$2:$H$3520,O$14))</f>
        <v>0</v>
      </c>
      <c r="P87" s="27" t="n">
        <f aca="false">CHOOSE(MATCH($B$3,Lists!$C$2:$C$5,0),SUMIFS(Sales_Data!$O$2:$O$3520,Sales_Data!$C$2:$C$3520,$A87,Sales_Data!$AE$2:$AE$3520,1),SUMIFS(Sales_Data!$M$2:$M$3520,Sales_Data!$C$2:$C$3520,$A87,Sales_Data!$AE$2:$AE$3520,1),SUMIFS(Sales_Data!$N$2:$N$3520,Sales_Data!$C$2:$C$3520,$A87,Sales_Data!$AE$2:$AE$3520,1),SUMIFS(Sales_Data!$AE$2:$AE$3520,Sales_Data!$C$2:$C$3520,$A87))</f>
        <v>59</v>
      </c>
      <c r="Q87" s="27" t="n">
        <f aca="false">P87-SUM(B87:O87)</f>
        <v>1</v>
      </c>
      <c r="R87" s="3"/>
      <c r="S87" s="72" t="n">
        <f aca="false">A87</f>
        <v>46297</v>
      </c>
      <c r="T87" s="28" t="n">
        <f aca="false">B87-B86</f>
        <v>-6</v>
      </c>
      <c r="U87" s="28" t="n">
        <f aca="false">C87-C86</f>
        <v>6</v>
      </c>
      <c r="V87" s="28" t="n">
        <f aca="false">D87-D86</f>
        <v>2</v>
      </c>
      <c r="W87" s="28" t="n">
        <f aca="false">E87-E86</f>
        <v>0</v>
      </c>
      <c r="X87" s="28" t="n">
        <f aca="false">F87-F86</f>
        <v>4</v>
      </c>
      <c r="Y87" s="28" t="n">
        <f aca="false">G87-G86</f>
        <v>0</v>
      </c>
      <c r="Z87" s="28" t="n">
        <f aca="false">H87-H86</f>
        <v>0</v>
      </c>
      <c r="AA87" s="28" t="n">
        <f aca="false">I87-I86</f>
        <v>0</v>
      </c>
      <c r="AB87" s="28" t="n">
        <f aca="false">J87-J86</f>
        <v>9</v>
      </c>
      <c r="AC87" s="28" t="n">
        <f aca="false">K87-K86</f>
        <v>1</v>
      </c>
      <c r="AD87" s="28" t="n">
        <f aca="false">L87-L86</f>
        <v>1</v>
      </c>
      <c r="AE87" s="28" t="n">
        <f aca="false">M87-M86</f>
        <v>-10</v>
      </c>
      <c r="AF87" s="28" t="n">
        <f aca="false">N87-N86</f>
        <v>-1</v>
      </c>
      <c r="AG87" s="28" t="n">
        <f aca="false">O87-O86</f>
        <v>0</v>
      </c>
      <c r="AH87" s="28" t="n">
        <f aca="false">P87-P86</f>
        <v>7</v>
      </c>
    </row>
    <row r="88" customFormat="false" ht="15" hidden="false" customHeight="false" outlineLevel="0" collapsed="false">
      <c r="A88" s="72" t="n">
        <v>46298</v>
      </c>
      <c r="B88" s="26" t="n">
        <f aca="false">CHOOSE(MATCH($B$3,Lists!$C$2:$C$5,0),SUMIFS(Sales_Data!$O$2:$O$3520,Sales_Data!$C$2:$C$3520,$A88,Sales_Data!$H$2:$H$3520,B$14,Sales_Data!$AE$2:$AE$3520,1),SUMIFS(Sales_Data!$M$2:$M$3520,Sales_Data!$C$2:$C$3520,$A88,Sales_Data!$H$2:$H$3520,B$14,Sales_Data!$AE$2:$AE$3520,1),SUMIFS(Sales_Data!$N$2:$N$3520,Sales_Data!$C$2:$C$3520,$A88,Sales_Data!$H$2:$H$3520,B$14,Sales_Data!$AE$2:$AE$3520,1),SUMIFS(Sales_Data!$AE$2:$AE$3520,Sales_Data!$C$2:$C$3520,$A88,Sales_Data!$H$2:$H$3520,B$14))</f>
        <v>0</v>
      </c>
      <c r="C88" s="26" t="n">
        <f aca="false">CHOOSE(MATCH($B$3,Lists!$C$2:$C$5,0),SUMIFS(Sales_Data!$O$2:$O$3520,Sales_Data!$C$2:$C$3520,$A88,Sales_Data!$H$2:$H$3520,C$14,Sales_Data!$AE$2:$AE$3520,1),SUMIFS(Sales_Data!$M$2:$M$3520,Sales_Data!$C$2:$C$3520,$A88,Sales_Data!$H$2:$H$3520,C$14,Sales_Data!$AE$2:$AE$3520,1),SUMIFS(Sales_Data!$N$2:$N$3520,Sales_Data!$C$2:$C$3520,$A88,Sales_Data!$H$2:$H$3520,C$14,Sales_Data!$AE$2:$AE$3520,1),SUMIFS(Sales_Data!$AE$2:$AE$3520,Sales_Data!$C$2:$C$3520,$A88,Sales_Data!$H$2:$H$3520,C$14))</f>
        <v>7</v>
      </c>
      <c r="D88" s="26" t="n">
        <f aca="false">CHOOSE(MATCH($B$3,Lists!$C$2:$C$5,0),SUMIFS(Sales_Data!$O$2:$O$3520,Sales_Data!$C$2:$C$3520,$A88,Sales_Data!$H$2:$H$3520,D$14,Sales_Data!$AE$2:$AE$3520,1),SUMIFS(Sales_Data!$M$2:$M$3520,Sales_Data!$C$2:$C$3520,$A88,Sales_Data!$H$2:$H$3520,D$14,Sales_Data!$AE$2:$AE$3520,1),SUMIFS(Sales_Data!$N$2:$N$3520,Sales_Data!$C$2:$C$3520,$A88,Sales_Data!$H$2:$H$3520,D$14,Sales_Data!$AE$2:$AE$3520,1),SUMIFS(Sales_Data!$AE$2:$AE$3520,Sales_Data!$C$2:$C$3520,$A88,Sales_Data!$H$2:$H$3520,D$14))</f>
        <v>4</v>
      </c>
      <c r="E88" s="26" t="n">
        <f aca="false">CHOOSE(MATCH($B$3,Lists!$C$2:$C$5,0),SUMIFS(Sales_Data!$O$2:$O$3520,Sales_Data!$C$2:$C$3520,$A88,Sales_Data!$H$2:$H$3520,E$14,Sales_Data!$AE$2:$AE$3520,1),SUMIFS(Sales_Data!$M$2:$M$3520,Sales_Data!$C$2:$C$3520,$A88,Sales_Data!$H$2:$H$3520,E$14,Sales_Data!$AE$2:$AE$3520,1),SUMIFS(Sales_Data!$N$2:$N$3520,Sales_Data!$C$2:$C$3520,$A88,Sales_Data!$H$2:$H$3520,E$14,Sales_Data!$AE$2:$AE$3520,1),SUMIFS(Sales_Data!$AE$2:$AE$3520,Sales_Data!$C$2:$C$3520,$A88,Sales_Data!$H$2:$H$3520,E$14))</f>
        <v>0</v>
      </c>
      <c r="F88" s="26" t="n">
        <f aca="false">CHOOSE(MATCH($B$3,Lists!$C$2:$C$5,0),SUMIFS(Sales_Data!$O$2:$O$3520,Sales_Data!$C$2:$C$3520,$A88,Sales_Data!$H$2:$H$3520,F$14,Sales_Data!$AE$2:$AE$3520,1),SUMIFS(Sales_Data!$M$2:$M$3520,Sales_Data!$C$2:$C$3520,$A88,Sales_Data!$H$2:$H$3520,F$14,Sales_Data!$AE$2:$AE$3520,1),SUMIFS(Sales_Data!$N$2:$N$3520,Sales_Data!$C$2:$C$3520,$A88,Sales_Data!$H$2:$H$3520,F$14,Sales_Data!$AE$2:$AE$3520,1),SUMIFS(Sales_Data!$AE$2:$AE$3520,Sales_Data!$C$2:$C$3520,$A88,Sales_Data!$H$2:$H$3520,F$14))</f>
        <v>7</v>
      </c>
      <c r="G88" s="26" t="n">
        <f aca="false">CHOOSE(MATCH($B$3,Lists!$C$2:$C$5,0),SUMIFS(Sales_Data!$O$2:$O$3520,Sales_Data!$C$2:$C$3520,$A88,Sales_Data!$H$2:$H$3520,G$14,Sales_Data!$AE$2:$AE$3520,1),SUMIFS(Sales_Data!$M$2:$M$3520,Sales_Data!$C$2:$C$3520,$A88,Sales_Data!$H$2:$H$3520,G$14,Sales_Data!$AE$2:$AE$3520,1),SUMIFS(Sales_Data!$N$2:$N$3520,Sales_Data!$C$2:$C$3520,$A88,Sales_Data!$H$2:$H$3520,G$14,Sales_Data!$AE$2:$AE$3520,1),SUMIFS(Sales_Data!$AE$2:$AE$3520,Sales_Data!$C$2:$C$3520,$A88,Sales_Data!$H$2:$H$3520,G$14))</f>
        <v>9</v>
      </c>
      <c r="H88" s="26" t="n">
        <f aca="false">CHOOSE(MATCH($B$3,Lists!$C$2:$C$5,0),SUMIFS(Sales_Data!$O$2:$O$3520,Sales_Data!$C$2:$C$3520,$A88,Sales_Data!$H$2:$H$3520,H$14,Sales_Data!$AE$2:$AE$3520,1),SUMIFS(Sales_Data!$M$2:$M$3520,Sales_Data!$C$2:$C$3520,$A88,Sales_Data!$H$2:$H$3520,H$14,Sales_Data!$AE$2:$AE$3520,1),SUMIFS(Sales_Data!$N$2:$N$3520,Sales_Data!$C$2:$C$3520,$A88,Sales_Data!$H$2:$H$3520,H$14,Sales_Data!$AE$2:$AE$3520,1),SUMIFS(Sales_Data!$AE$2:$AE$3520,Sales_Data!$C$2:$C$3520,$A88,Sales_Data!$H$2:$H$3520,H$14))</f>
        <v>0</v>
      </c>
      <c r="I88" s="26" t="n">
        <f aca="false">CHOOSE(MATCH($B$3,Lists!$C$2:$C$5,0),SUMIFS(Sales_Data!$O$2:$O$3520,Sales_Data!$C$2:$C$3520,$A88,Sales_Data!$H$2:$H$3520,I$14,Sales_Data!$AE$2:$AE$3520,1),SUMIFS(Sales_Data!$M$2:$M$3520,Sales_Data!$C$2:$C$3520,$A88,Sales_Data!$H$2:$H$3520,I$14,Sales_Data!$AE$2:$AE$3520,1),SUMIFS(Sales_Data!$N$2:$N$3520,Sales_Data!$C$2:$C$3520,$A88,Sales_Data!$H$2:$H$3520,I$14,Sales_Data!$AE$2:$AE$3520,1),SUMIFS(Sales_Data!$AE$2:$AE$3520,Sales_Data!$C$2:$C$3520,$A88,Sales_Data!$H$2:$H$3520,I$14))</f>
        <v>0</v>
      </c>
      <c r="J88" s="26" t="n">
        <f aca="false">CHOOSE(MATCH($B$3,Lists!$C$2:$C$5,0),SUMIFS(Sales_Data!$O$2:$O$3520,Sales_Data!$C$2:$C$3520,$A88,Sales_Data!$H$2:$H$3520,J$14,Sales_Data!$AE$2:$AE$3520,1),SUMIFS(Sales_Data!$M$2:$M$3520,Sales_Data!$C$2:$C$3520,$A88,Sales_Data!$H$2:$H$3520,J$14,Sales_Data!$AE$2:$AE$3520,1),SUMIFS(Sales_Data!$N$2:$N$3520,Sales_Data!$C$2:$C$3520,$A88,Sales_Data!$H$2:$H$3520,J$14,Sales_Data!$AE$2:$AE$3520,1),SUMIFS(Sales_Data!$AE$2:$AE$3520,Sales_Data!$C$2:$C$3520,$A88,Sales_Data!$H$2:$H$3520,J$14))</f>
        <v>0</v>
      </c>
      <c r="K88" s="26" t="n">
        <f aca="false">CHOOSE(MATCH($B$3,Lists!$C$2:$C$5,0),SUMIFS(Sales_Data!$O$2:$O$3520,Sales_Data!$C$2:$C$3520,$A88,Sales_Data!$H$2:$H$3520,K$14,Sales_Data!$AE$2:$AE$3520,1),SUMIFS(Sales_Data!$M$2:$M$3520,Sales_Data!$C$2:$C$3520,$A88,Sales_Data!$H$2:$H$3520,K$14,Sales_Data!$AE$2:$AE$3520,1),SUMIFS(Sales_Data!$N$2:$N$3520,Sales_Data!$C$2:$C$3520,$A88,Sales_Data!$H$2:$H$3520,K$14,Sales_Data!$AE$2:$AE$3520,1),SUMIFS(Sales_Data!$AE$2:$AE$3520,Sales_Data!$C$2:$C$3520,$A88,Sales_Data!$H$2:$H$3520,K$14))</f>
        <v>0</v>
      </c>
      <c r="L88" s="26" t="n">
        <f aca="false">CHOOSE(MATCH($B$3,Lists!$C$2:$C$5,0),SUMIFS(Sales_Data!$O$2:$O$3520,Sales_Data!$C$2:$C$3520,$A88,Sales_Data!$H$2:$H$3520,L$14,Sales_Data!$AE$2:$AE$3520,1),SUMIFS(Sales_Data!$M$2:$M$3520,Sales_Data!$C$2:$C$3520,$A88,Sales_Data!$H$2:$H$3520,L$14,Sales_Data!$AE$2:$AE$3520,1),SUMIFS(Sales_Data!$N$2:$N$3520,Sales_Data!$C$2:$C$3520,$A88,Sales_Data!$H$2:$H$3520,L$14,Sales_Data!$AE$2:$AE$3520,1),SUMIFS(Sales_Data!$AE$2:$AE$3520,Sales_Data!$C$2:$C$3520,$A88,Sales_Data!$H$2:$H$3520,L$14))</f>
        <v>0</v>
      </c>
      <c r="M88" s="26" t="n">
        <f aca="false">CHOOSE(MATCH($B$3,Lists!$C$2:$C$5,0),SUMIFS(Sales_Data!$O$2:$O$3520,Sales_Data!$C$2:$C$3520,$A88,Sales_Data!$H$2:$H$3520,M$14,Sales_Data!$AE$2:$AE$3520,1),SUMIFS(Sales_Data!$M$2:$M$3520,Sales_Data!$C$2:$C$3520,$A88,Sales_Data!$H$2:$H$3520,M$14,Sales_Data!$AE$2:$AE$3520,1),SUMIFS(Sales_Data!$N$2:$N$3520,Sales_Data!$C$2:$C$3520,$A88,Sales_Data!$H$2:$H$3520,M$14,Sales_Data!$AE$2:$AE$3520,1),SUMIFS(Sales_Data!$AE$2:$AE$3520,Sales_Data!$C$2:$C$3520,$A88,Sales_Data!$H$2:$H$3520,M$14))</f>
        <v>46</v>
      </c>
      <c r="N88" s="26" t="n">
        <f aca="false">CHOOSE(MATCH($B$3,Lists!$C$2:$C$5,0),SUMIFS(Sales_Data!$O$2:$O$3520,Sales_Data!$C$2:$C$3520,$A88,Sales_Data!$H$2:$H$3520,N$14,Sales_Data!$AE$2:$AE$3520,1),SUMIFS(Sales_Data!$M$2:$M$3520,Sales_Data!$C$2:$C$3520,$A88,Sales_Data!$H$2:$H$3520,N$14,Sales_Data!$AE$2:$AE$3520,1),SUMIFS(Sales_Data!$N$2:$N$3520,Sales_Data!$C$2:$C$3520,$A88,Sales_Data!$H$2:$H$3520,N$14,Sales_Data!$AE$2:$AE$3520,1),SUMIFS(Sales_Data!$AE$2:$AE$3520,Sales_Data!$C$2:$C$3520,$A88,Sales_Data!$H$2:$H$3520,N$14))</f>
        <v>13</v>
      </c>
      <c r="O88" s="26" t="n">
        <f aca="false">CHOOSE(MATCH($B$3,Lists!$C$2:$C$5,0),SUMIFS(Sales_Data!$O$2:$O$3520,Sales_Data!$C$2:$C$3520,$A88,Sales_Data!$H$2:$H$3520,O$14,Sales_Data!$AE$2:$AE$3520,1),SUMIFS(Sales_Data!$M$2:$M$3520,Sales_Data!$C$2:$C$3520,$A88,Sales_Data!$H$2:$H$3520,O$14,Sales_Data!$AE$2:$AE$3520,1),SUMIFS(Sales_Data!$N$2:$N$3520,Sales_Data!$C$2:$C$3520,$A88,Sales_Data!$H$2:$H$3520,O$14,Sales_Data!$AE$2:$AE$3520,1),SUMIFS(Sales_Data!$AE$2:$AE$3520,Sales_Data!$C$2:$C$3520,$A88,Sales_Data!$H$2:$H$3520,O$14))</f>
        <v>0</v>
      </c>
      <c r="P88" s="27" t="n">
        <f aca="false">CHOOSE(MATCH($B$3,Lists!$C$2:$C$5,0),SUMIFS(Sales_Data!$O$2:$O$3520,Sales_Data!$C$2:$C$3520,$A88,Sales_Data!$AE$2:$AE$3520,1),SUMIFS(Sales_Data!$M$2:$M$3520,Sales_Data!$C$2:$C$3520,$A88,Sales_Data!$AE$2:$AE$3520,1),SUMIFS(Sales_Data!$N$2:$N$3520,Sales_Data!$C$2:$C$3520,$A88,Sales_Data!$AE$2:$AE$3520,1),SUMIFS(Sales_Data!$AE$2:$AE$3520,Sales_Data!$C$2:$C$3520,$A88))</f>
        <v>87</v>
      </c>
      <c r="Q88" s="27" t="n">
        <f aca="false">P88-SUM(B88:O88)</f>
        <v>1</v>
      </c>
      <c r="R88" s="3"/>
      <c r="S88" s="72" t="n">
        <f aca="false">A88</f>
        <v>46298</v>
      </c>
      <c r="T88" s="28" t="n">
        <f aca="false">B88-B87</f>
        <v>-8</v>
      </c>
      <c r="U88" s="28" t="n">
        <f aca="false">C88-C87</f>
        <v>0</v>
      </c>
      <c r="V88" s="28" t="n">
        <f aca="false">D88-D87</f>
        <v>-1</v>
      </c>
      <c r="W88" s="28" t="n">
        <f aca="false">E88-E87</f>
        <v>0</v>
      </c>
      <c r="X88" s="28" t="n">
        <f aca="false">F88-F87</f>
        <v>2</v>
      </c>
      <c r="Y88" s="28" t="n">
        <f aca="false">G88-G87</f>
        <v>3</v>
      </c>
      <c r="Z88" s="28" t="n">
        <f aca="false">H88-H87</f>
        <v>0</v>
      </c>
      <c r="AA88" s="28" t="n">
        <f aca="false">I88-I87</f>
        <v>0</v>
      </c>
      <c r="AB88" s="28" t="n">
        <f aca="false">J88-J87</f>
        <v>-9</v>
      </c>
      <c r="AC88" s="28" t="n">
        <f aca="false">K88-K87</f>
        <v>-1</v>
      </c>
      <c r="AD88" s="28" t="n">
        <f aca="false">L88-L87</f>
        <v>-5</v>
      </c>
      <c r="AE88" s="28" t="n">
        <f aca="false">M88-M87</f>
        <v>40</v>
      </c>
      <c r="AF88" s="28" t="n">
        <f aca="false">N88-N87</f>
        <v>7</v>
      </c>
      <c r="AG88" s="28" t="n">
        <f aca="false">O88-O87</f>
        <v>0</v>
      </c>
      <c r="AH88" s="28" t="n">
        <f aca="false">P88-P87</f>
        <v>28</v>
      </c>
    </row>
    <row r="89" customFormat="false" ht="15" hidden="false" customHeight="false" outlineLevel="0" collapsed="false">
      <c r="A89" s="72" t="n">
        <v>46299</v>
      </c>
      <c r="B89" s="26" t="n">
        <f aca="false">CHOOSE(MATCH($B$3,Lists!$C$2:$C$5,0),SUMIFS(Sales_Data!$O$2:$O$3520,Sales_Data!$C$2:$C$3520,$A89,Sales_Data!$H$2:$H$3520,B$14,Sales_Data!$AE$2:$AE$3520,1),SUMIFS(Sales_Data!$M$2:$M$3520,Sales_Data!$C$2:$C$3520,$A89,Sales_Data!$H$2:$H$3520,B$14,Sales_Data!$AE$2:$AE$3520,1),SUMIFS(Sales_Data!$N$2:$N$3520,Sales_Data!$C$2:$C$3520,$A89,Sales_Data!$H$2:$H$3520,B$14,Sales_Data!$AE$2:$AE$3520,1),SUMIFS(Sales_Data!$AE$2:$AE$3520,Sales_Data!$C$2:$C$3520,$A89,Sales_Data!$H$2:$H$3520,B$14))</f>
        <v>1</v>
      </c>
      <c r="C89" s="26" t="n">
        <f aca="false">CHOOSE(MATCH($B$3,Lists!$C$2:$C$5,0),SUMIFS(Sales_Data!$O$2:$O$3520,Sales_Data!$C$2:$C$3520,$A89,Sales_Data!$H$2:$H$3520,C$14,Sales_Data!$AE$2:$AE$3520,1),SUMIFS(Sales_Data!$M$2:$M$3520,Sales_Data!$C$2:$C$3520,$A89,Sales_Data!$H$2:$H$3520,C$14,Sales_Data!$AE$2:$AE$3520,1),SUMIFS(Sales_Data!$N$2:$N$3520,Sales_Data!$C$2:$C$3520,$A89,Sales_Data!$H$2:$H$3520,C$14,Sales_Data!$AE$2:$AE$3520,1),SUMIFS(Sales_Data!$AE$2:$AE$3520,Sales_Data!$C$2:$C$3520,$A89,Sales_Data!$H$2:$H$3520,C$14))</f>
        <v>1</v>
      </c>
      <c r="D89" s="26" t="n">
        <f aca="false">CHOOSE(MATCH($B$3,Lists!$C$2:$C$5,0),SUMIFS(Sales_Data!$O$2:$O$3520,Sales_Data!$C$2:$C$3520,$A89,Sales_Data!$H$2:$H$3520,D$14,Sales_Data!$AE$2:$AE$3520,1),SUMIFS(Sales_Data!$M$2:$M$3520,Sales_Data!$C$2:$C$3520,$A89,Sales_Data!$H$2:$H$3520,D$14,Sales_Data!$AE$2:$AE$3520,1),SUMIFS(Sales_Data!$N$2:$N$3520,Sales_Data!$C$2:$C$3520,$A89,Sales_Data!$H$2:$H$3520,D$14,Sales_Data!$AE$2:$AE$3520,1),SUMIFS(Sales_Data!$AE$2:$AE$3520,Sales_Data!$C$2:$C$3520,$A89,Sales_Data!$H$2:$H$3520,D$14))</f>
        <v>2</v>
      </c>
      <c r="E89" s="26" t="n">
        <f aca="false">CHOOSE(MATCH($B$3,Lists!$C$2:$C$5,0),SUMIFS(Sales_Data!$O$2:$O$3520,Sales_Data!$C$2:$C$3520,$A89,Sales_Data!$H$2:$H$3520,E$14,Sales_Data!$AE$2:$AE$3520,1),SUMIFS(Sales_Data!$M$2:$M$3520,Sales_Data!$C$2:$C$3520,$A89,Sales_Data!$H$2:$H$3520,E$14,Sales_Data!$AE$2:$AE$3520,1),SUMIFS(Sales_Data!$N$2:$N$3520,Sales_Data!$C$2:$C$3520,$A89,Sales_Data!$H$2:$H$3520,E$14,Sales_Data!$AE$2:$AE$3520,1),SUMIFS(Sales_Data!$AE$2:$AE$3520,Sales_Data!$C$2:$C$3520,$A89,Sales_Data!$H$2:$H$3520,E$14))</f>
        <v>0</v>
      </c>
      <c r="F89" s="26" t="n">
        <f aca="false">CHOOSE(MATCH($B$3,Lists!$C$2:$C$5,0),SUMIFS(Sales_Data!$O$2:$O$3520,Sales_Data!$C$2:$C$3520,$A89,Sales_Data!$H$2:$H$3520,F$14,Sales_Data!$AE$2:$AE$3520,1),SUMIFS(Sales_Data!$M$2:$M$3520,Sales_Data!$C$2:$C$3520,$A89,Sales_Data!$H$2:$H$3520,F$14,Sales_Data!$AE$2:$AE$3520,1),SUMIFS(Sales_Data!$N$2:$N$3520,Sales_Data!$C$2:$C$3520,$A89,Sales_Data!$H$2:$H$3520,F$14,Sales_Data!$AE$2:$AE$3520,1),SUMIFS(Sales_Data!$AE$2:$AE$3520,Sales_Data!$C$2:$C$3520,$A89,Sales_Data!$H$2:$H$3520,F$14))</f>
        <v>5</v>
      </c>
      <c r="G89" s="26" t="n">
        <f aca="false">CHOOSE(MATCH($B$3,Lists!$C$2:$C$5,0),SUMIFS(Sales_Data!$O$2:$O$3520,Sales_Data!$C$2:$C$3520,$A89,Sales_Data!$H$2:$H$3520,G$14,Sales_Data!$AE$2:$AE$3520,1),SUMIFS(Sales_Data!$M$2:$M$3520,Sales_Data!$C$2:$C$3520,$A89,Sales_Data!$H$2:$H$3520,G$14,Sales_Data!$AE$2:$AE$3520,1),SUMIFS(Sales_Data!$N$2:$N$3520,Sales_Data!$C$2:$C$3520,$A89,Sales_Data!$H$2:$H$3520,G$14,Sales_Data!$AE$2:$AE$3520,1),SUMIFS(Sales_Data!$AE$2:$AE$3520,Sales_Data!$C$2:$C$3520,$A89,Sales_Data!$H$2:$H$3520,G$14))</f>
        <v>6</v>
      </c>
      <c r="H89" s="26" t="n">
        <f aca="false">CHOOSE(MATCH($B$3,Lists!$C$2:$C$5,0),SUMIFS(Sales_Data!$O$2:$O$3520,Sales_Data!$C$2:$C$3520,$A89,Sales_Data!$H$2:$H$3520,H$14,Sales_Data!$AE$2:$AE$3520,1),SUMIFS(Sales_Data!$M$2:$M$3520,Sales_Data!$C$2:$C$3520,$A89,Sales_Data!$H$2:$H$3520,H$14,Sales_Data!$AE$2:$AE$3520,1),SUMIFS(Sales_Data!$N$2:$N$3520,Sales_Data!$C$2:$C$3520,$A89,Sales_Data!$H$2:$H$3520,H$14,Sales_Data!$AE$2:$AE$3520,1),SUMIFS(Sales_Data!$AE$2:$AE$3520,Sales_Data!$C$2:$C$3520,$A89,Sales_Data!$H$2:$H$3520,H$14))</f>
        <v>0</v>
      </c>
      <c r="I89" s="26" t="n">
        <f aca="false">CHOOSE(MATCH($B$3,Lists!$C$2:$C$5,0),SUMIFS(Sales_Data!$O$2:$O$3520,Sales_Data!$C$2:$C$3520,$A89,Sales_Data!$H$2:$H$3520,I$14,Sales_Data!$AE$2:$AE$3520,1),SUMIFS(Sales_Data!$M$2:$M$3520,Sales_Data!$C$2:$C$3520,$A89,Sales_Data!$H$2:$H$3520,I$14,Sales_Data!$AE$2:$AE$3520,1),SUMIFS(Sales_Data!$N$2:$N$3520,Sales_Data!$C$2:$C$3520,$A89,Sales_Data!$H$2:$H$3520,I$14,Sales_Data!$AE$2:$AE$3520,1),SUMIFS(Sales_Data!$AE$2:$AE$3520,Sales_Data!$C$2:$C$3520,$A89,Sales_Data!$H$2:$H$3520,I$14))</f>
        <v>0</v>
      </c>
      <c r="J89" s="26" t="n">
        <f aca="false">CHOOSE(MATCH($B$3,Lists!$C$2:$C$5,0),SUMIFS(Sales_Data!$O$2:$O$3520,Sales_Data!$C$2:$C$3520,$A89,Sales_Data!$H$2:$H$3520,J$14,Sales_Data!$AE$2:$AE$3520,1),SUMIFS(Sales_Data!$M$2:$M$3520,Sales_Data!$C$2:$C$3520,$A89,Sales_Data!$H$2:$H$3520,J$14,Sales_Data!$AE$2:$AE$3520,1),SUMIFS(Sales_Data!$N$2:$N$3520,Sales_Data!$C$2:$C$3520,$A89,Sales_Data!$H$2:$H$3520,J$14,Sales_Data!$AE$2:$AE$3520,1),SUMIFS(Sales_Data!$AE$2:$AE$3520,Sales_Data!$C$2:$C$3520,$A89,Sales_Data!$H$2:$H$3520,J$14))</f>
        <v>5</v>
      </c>
      <c r="K89" s="26" t="n">
        <f aca="false">CHOOSE(MATCH($B$3,Lists!$C$2:$C$5,0),SUMIFS(Sales_Data!$O$2:$O$3520,Sales_Data!$C$2:$C$3520,$A89,Sales_Data!$H$2:$H$3520,K$14,Sales_Data!$AE$2:$AE$3520,1),SUMIFS(Sales_Data!$M$2:$M$3520,Sales_Data!$C$2:$C$3520,$A89,Sales_Data!$H$2:$H$3520,K$14,Sales_Data!$AE$2:$AE$3520,1),SUMIFS(Sales_Data!$N$2:$N$3520,Sales_Data!$C$2:$C$3520,$A89,Sales_Data!$H$2:$H$3520,K$14,Sales_Data!$AE$2:$AE$3520,1),SUMIFS(Sales_Data!$AE$2:$AE$3520,Sales_Data!$C$2:$C$3520,$A89,Sales_Data!$H$2:$H$3520,K$14))</f>
        <v>0</v>
      </c>
      <c r="L89" s="26" t="n">
        <f aca="false">CHOOSE(MATCH($B$3,Lists!$C$2:$C$5,0),SUMIFS(Sales_Data!$O$2:$O$3520,Sales_Data!$C$2:$C$3520,$A89,Sales_Data!$H$2:$H$3520,L$14,Sales_Data!$AE$2:$AE$3520,1),SUMIFS(Sales_Data!$M$2:$M$3520,Sales_Data!$C$2:$C$3520,$A89,Sales_Data!$H$2:$H$3520,L$14,Sales_Data!$AE$2:$AE$3520,1),SUMIFS(Sales_Data!$N$2:$N$3520,Sales_Data!$C$2:$C$3520,$A89,Sales_Data!$H$2:$H$3520,L$14,Sales_Data!$AE$2:$AE$3520,1),SUMIFS(Sales_Data!$AE$2:$AE$3520,Sales_Data!$C$2:$C$3520,$A89,Sales_Data!$H$2:$H$3520,L$14))</f>
        <v>12</v>
      </c>
      <c r="M89" s="26" t="n">
        <f aca="false">CHOOSE(MATCH($B$3,Lists!$C$2:$C$5,0),SUMIFS(Sales_Data!$O$2:$O$3520,Sales_Data!$C$2:$C$3520,$A89,Sales_Data!$H$2:$H$3520,M$14,Sales_Data!$AE$2:$AE$3520,1),SUMIFS(Sales_Data!$M$2:$M$3520,Sales_Data!$C$2:$C$3520,$A89,Sales_Data!$H$2:$H$3520,M$14,Sales_Data!$AE$2:$AE$3520,1),SUMIFS(Sales_Data!$N$2:$N$3520,Sales_Data!$C$2:$C$3520,$A89,Sales_Data!$H$2:$H$3520,M$14,Sales_Data!$AE$2:$AE$3520,1),SUMIFS(Sales_Data!$AE$2:$AE$3520,Sales_Data!$C$2:$C$3520,$A89,Sales_Data!$H$2:$H$3520,M$14))</f>
        <v>7</v>
      </c>
      <c r="N89" s="26" t="n">
        <f aca="false">CHOOSE(MATCH($B$3,Lists!$C$2:$C$5,0),SUMIFS(Sales_Data!$O$2:$O$3520,Sales_Data!$C$2:$C$3520,$A89,Sales_Data!$H$2:$H$3520,N$14,Sales_Data!$AE$2:$AE$3520,1),SUMIFS(Sales_Data!$M$2:$M$3520,Sales_Data!$C$2:$C$3520,$A89,Sales_Data!$H$2:$H$3520,N$14,Sales_Data!$AE$2:$AE$3520,1),SUMIFS(Sales_Data!$N$2:$N$3520,Sales_Data!$C$2:$C$3520,$A89,Sales_Data!$H$2:$H$3520,N$14,Sales_Data!$AE$2:$AE$3520,1),SUMIFS(Sales_Data!$AE$2:$AE$3520,Sales_Data!$C$2:$C$3520,$A89,Sales_Data!$H$2:$H$3520,N$14))</f>
        <v>10</v>
      </c>
      <c r="O89" s="26" t="n">
        <f aca="false">CHOOSE(MATCH($B$3,Lists!$C$2:$C$5,0),SUMIFS(Sales_Data!$O$2:$O$3520,Sales_Data!$C$2:$C$3520,$A89,Sales_Data!$H$2:$H$3520,O$14,Sales_Data!$AE$2:$AE$3520,1),SUMIFS(Sales_Data!$M$2:$M$3520,Sales_Data!$C$2:$C$3520,$A89,Sales_Data!$H$2:$H$3520,O$14,Sales_Data!$AE$2:$AE$3520,1),SUMIFS(Sales_Data!$N$2:$N$3520,Sales_Data!$C$2:$C$3520,$A89,Sales_Data!$H$2:$H$3520,O$14,Sales_Data!$AE$2:$AE$3520,1),SUMIFS(Sales_Data!$AE$2:$AE$3520,Sales_Data!$C$2:$C$3520,$A89,Sales_Data!$H$2:$H$3520,O$14))</f>
        <v>0</v>
      </c>
      <c r="P89" s="27" t="n">
        <f aca="false">CHOOSE(MATCH($B$3,Lists!$C$2:$C$5,0),SUMIFS(Sales_Data!$O$2:$O$3520,Sales_Data!$C$2:$C$3520,$A89,Sales_Data!$AE$2:$AE$3520,1),SUMIFS(Sales_Data!$M$2:$M$3520,Sales_Data!$C$2:$C$3520,$A89,Sales_Data!$AE$2:$AE$3520,1),SUMIFS(Sales_Data!$N$2:$N$3520,Sales_Data!$C$2:$C$3520,$A89,Sales_Data!$AE$2:$AE$3520,1),SUMIFS(Sales_Data!$AE$2:$AE$3520,Sales_Data!$C$2:$C$3520,$A89))</f>
        <v>49</v>
      </c>
      <c r="Q89" s="27" t="n">
        <f aca="false">P89-SUM(B89:O89)</f>
        <v>0</v>
      </c>
      <c r="R89" s="3"/>
      <c r="S89" s="72" t="n">
        <f aca="false">A89</f>
        <v>46299</v>
      </c>
      <c r="T89" s="28" t="n">
        <f aca="false">B89-B88</f>
        <v>1</v>
      </c>
      <c r="U89" s="28" t="n">
        <f aca="false">C89-C88</f>
        <v>-6</v>
      </c>
      <c r="V89" s="28" t="n">
        <f aca="false">D89-D88</f>
        <v>-2</v>
      </c>
      <c r="W89" s="28" t="n">
        <f aca="false">E89-E88</f>
        <v>0</v>
      </c>
      <c r="X89" s="28" t="n">
        <f aca="false">F89-F88</f>
        <v>-2</v>
      </c>
      <c r="Y89" s="28" t="n">
        <f aca="false">G89-G88</f>
        <v>-3</v>
      </c>
      <c r="Z89" s="28" t="n">
        <f aca="false">H89-H88</f>
        <v>0</v>
      </c>
      <c r="AA89" s="28" t="n">
        <f aca="false">I89-I88</f>
        <v>0</v>
      </c>
      <c r="AB89" s="28" t="n">
        <f aca="false">J89-J88</f>
        <v>5</v>
      </c>
      <c r="AC89" s="28" t="n">
        <f aca="false">K89-K88</f>
        <v>0</v>
      </c>
      <c r="AD89" s="28" t="n">
        <f aca="false">L89-L88</f>
        <v>12</v>
      </c>
      <c r="AE89" s="28" t="n">
        <f aca="false">M89-M88</f>
        <v>-39</v>
      </c>
      <c r="AF89" s="28" t="n">
        <f aca="false">N89-N88</f>
        <v>-3</v>
      </c>
      <c r="AG89" s="28" t="n">
        <f aca="false">O89-O88</f>
        <v>0</v>
      </c>
      <c r="AH89" s="28" t="n">
        <f aca="false">P89-P88</f>
        <v>-38</v>
      </c>
    </row>
    <row r="90" customFormat="false" ht="15" hidden="false" customHeight="false" outlineLevel="0" collapsed="false">
      <c r="A90" s="72" t="n">
        <v>46300</v>
      </c>
      <c r="B90" s="26" t="n">
        <f aca="false">CHOOSE(MATCH($B$3,Lists!$C$2:$C$5,0),SUMIFS(Sales_Data!$O$2:$O$3520,Sales_Data!$C$2:$C$3520,$A90,Sales_Data!$H$2:$H$3520,B$14,Sales_Data!$AE$2:$AE$3520,1),SUMIFS(Sales_Data!$M$2:$M$3520,Sales_Data!$C$2:$C$3520,$A90,Sales_Data!$H$2:$H$3520,B$14,Sales_Data!$AE$2:$AE$3520,1),SUMIFS(Sales_Data!$N$2:$N$3520,Sales_Data!$C$2:$C$3520,$A90,Sales_Data!$H$2:$H$3520,B$14,Sales_Data!$AE$2:$AE$3520,1),SUMIFS(Sales_Data!$AE$2:$AE$3520,Sales_Data!$C$2:$C$3520,$A90,Sales_Data!$H$2:$H$3520,B$14))</f>
        <v>18</v>
      </c>
      <c r="C90" s="26" t="n">
        <f aca="false">CHOOSE(MATCH($B$3,Lists!$C$2:$C$5,0),SUMIFS(Sales_Data!$O$2:$O$3520,Sales_Data!$C$2:$C$3520,$A90,Sales_Data!$H$2:$H$3520,C$14,Sales_Data!$AE$2:$AE$3520,1),SUMIFS(Sales_Data!$M$2:$M$3520,Sales_Data!$C$2:$C$3520,$A90,Sales_Data!$H$2:$H$3520,C$14,Sales_Data!$AE$2:$AE$3520,1),SUMIFS(Sales_Data!$N$2:$N$3520,Sales_Data!$C$2:$C$3520,$A90,Sales_Data!$H$2:$H$3520,C$14,Sales_Data!$AE$2:$AE$3520,1),SUMIFS(Sales_Data!$AE$2:$AE$3520,Sales_Data!$C$2:$C$3520,$A90,Sales_Data!$H$2:$H$3520,C$14))</f>
        <v>1</v>
      </c>
      <c r="D90" s="26" t="n">
        <f aca="false">CHOOSE(MATCH($B$3,Lists!$C$2:$C$5,0),SUMIFS(Sales_Data!$O$2:$O$3520,Sales_Data!$C$2:$C$3520,$A90,Sales_Data!$H$2:$H$3520,D$14,Sales_Data!$AE$2:$AE$3520,1),SUMIFS(Sales_Data!$M$2:$M$3520,Sales_Data!$C$2:$C$3520,$A90,Sales_Data!$H$2:$H$3520,D$14,Sales_Data!$AE$2:$AE$3520,1),SUMIFS(Sales_Data!$N$2:$N$3520,Sales_Data!$C$2:$C$3520,$A90,Sales_Data!$H$2:$H$3520,D$14,Sales_Data!$AE$2:$AE$3520,1),SUMIFS(Sales_Data!$AE$2:$AE$3520,Sales_Data!$C$2:$C$3520,$A90,Sales_Data!$H$2:$H$3520,D$14))</f>
        <v>3</v>
      </c>
      <c r="E90" s="26" t="n">
        <f aca="false">CHOOSE(MATCH($B$3,Lists!$C$2:$C$5,0),SUMIFS(Sales_Data!$O$2:$O$3520,Sales_Data!$C$2:$C$3520,$A90,Sales_Data!$H$2:$H$3520,E$14,Sales_Data!$AE$2:$AE$3520,1),SUMIFS(Sales_Data!$M$2:$M$3520,Sales_Data!$C$2:$C$3520,$A90,Sales_Data!$H$2:$H$3520,E$14,Sales_Data!$AE$2:$AE$3520,1),SUMIFS(Sales_Data!$N$2:$N$3520,Sales_Data!$C$2:$C$3520,$A90,Sales_Data!$H$2:$H$3520,E$14,Sales_Data!$AE$2:$AE$3520,1),SUMIFS(Sales_Data!$AE$2:$AE$3520,Sales_Data!$C$2:$C$3520,$A90,Sales_Data!$H$2:$H$3520,E$14))</f>
        <v>0</v>
      </c>
      <c r="F90" s="26" t="n">
        <f aca="false">CHOOSE(MATCH($B$3,Lists!$C$2:$C$5,0),SUMIFS(Sales_Data!$O$2:$O$3520,Sales_Data!$C$2:$C$3520,$A90,Sales_Data!$H$2:$H$3520,F$14,Sales_Data!$AE$2:$AE$3520,1),SUMIFS(Sales_Data!$M$2:$M$3520,Sales_Data!$C$2:$C$3520,$A90,Sales_Data!$H$2:$H$3520,F$14,Sales_Data!$AE$2:$AE$3520,1),SUMIFS(Sales_Data!$N$2:$N$3520,Sales_Data!$C$2:$C$3520,$A90,Sales_Data!$H$2:$H$3520,F$14,Sales_Data!$AE$2:$AE$3520,1),SUMIFS(Sales_Data!$AE$2:$AE$3520,Sales_Data!$C$2:$C$3520,$A90,Sales_Data!$H$2:$H$3520,F$14))</f>
        <v>1</v>
      </c>
      <c r="G90" s="26" t="n">
        <f aca="false">CHOOSE(MATCH($B$3,Lists!$C$2:$C$5,0),SUMIFS(Sales_Data!$O$2:$O$3520,Sales_Data!$C$2:$C$3520,$A90,Sales_Data!$H$2:$H$3520,G$14,Sales_Data!$AE$2:$AE$3520,1),SUMIFS(Sales_Data!$M$2:$M$3520,Sales_Data!$C$2:$C$3520,$A90,Sales_Data!$H$2:$H$3520,G$14,Sales_Data!$AE$2:$AE$3520,1),SUMIFS(Sales_Data!$N$2:$N$3520,Sales_Data!$C$2:$C$3520,$A90,Sales_Data!$H$2:$H$3520,G$14,Sales_Data!$AE$2:$AE$3520,1),SUMIFS(Sales_Data!$AE$2:$AE$3520,Sales_Data!$C$2:$C$3520,$A90,Sales_Data!$H$2:$H$3520,G$14))</f>
        <v>4</v>
      </c>
      <c r="H90" s="26" t="n">
        <f aca="false">CHOOSE(MATCH($B$3,Lists!$C$2:$C$5,0),SUMIFS(Sales_Data!$O$2:$O$3520,Sales_Data!$C$2:$C$3520,$A90,Sales_Data!$H$2:$H$3520,H$14,Sales_Data!$AE$2:$AE$3520,1),SUMIFS(Sales_Data!$M$2:$M$3520,Sales_Data!$C$2:$C$3520,$A90,Sales_Data!$H$2:$H$3520,H$14,Sales_Data!$AE$2:$AE$3520,1),SUMIFS(Sales_Data!$N$2:$N$3520,Sales_Data!$C$2:$C$3520,$A90,Sales_Data!$H$2:$H$3520,H$14,Sales_Data!$AE$2:$AE$3520,1),SUMIFS(Sales_Data!$AE$2:$AE$3520,Sales_Data!$C$2:$C$3520,$A90,Sales_Data!$H$2:$H$3520,H$14))</f>
        <v>9</v>
      </c>
      <c r="I90" s="26" t="n">
        <f aca="false">CHOOSE(MATCH($B$3,Lists!$C$2:$C$5,0),SUMIFS(Sales_Data!$O$2:$O$3520,Sales_Data!$C$2:$C$3520,$A90,Sales_Data!$H$2:$H$3520,I$14,Sales_Data!$AE$2:$AE$3520,1),SUMIFS(Sales_Data!$M$2:$M$3520,Sales_Data!$C$2:$C$3520,$A90,Sales_Data!$H$2:$H$3520,I$14,Sales_Data!$AE$2:$AE$3520,1),SUMIFS(Sales_Data!$N$2:$N$3520,Sales_Data!$C$2:$C$3520,$A90,Sales_Data!$H$2:$H$3520,I$14,Sales_Data!$AE$2:$AE$3520,1),SUMIFS(Sales_Data!$AE$2:$AE$3520,Sales_Data!$C$2:$C$3520,$A90,Sales_Data!$H$2:$H$3520,I$14))</f>
        <v>0</v>
      </c>
      <c r="J90" s="26" t="n">
        <f aca="false">CHOOSE(MATCH($B$3,Lists!$C$2:$C$5,0),SUMIFS(Sales_Data!$O$2:$O$3520,Sales_Data!$C$2:$C$3520,$A90,Sales_Data!$H$2:$H$3520,J$14,Sales_Data!$AE$2:$AE$3520,1),SUMIFS(Sales_Data!$M$2:$M$3520,Sales_Data!$C$2:$C$3520,$A90,Sales_Data!$H$2:$H$3520,J$14,Sales_Data!$AE$2:$AE$3520,1),SUMIFS(Sales_Data!$N$2:$N$3520,Sales_Data!$C$2:$C$3520,$A90,Sales_Data!$H$2:$H$3520,J$14,Sales_Data!$AE$2:$AE$3520,1),SUMIFS(Sales_Data!$AE$2:$AE$3520,Sales_Data!$C$2:$C$3520,$A90,Sales_Data!$H$2:$H$3520,J$14))</f>
        <v>7</v>
      </c>
      <c r="K90" s="26" t="n">
        <f aca="false">CHOOSE(MATCH($B$3,Lists!$C$2:$C$5,0),SUMIFS(Sales_Data!$O$2:$O$3520,Sales_Data!$C$2:$C$3520,$A90,Sales_Data!$H$2:$H$3520,K$14,Sales_Data!$AE$2:$AE$3520,1),SUMIFS(Sales_Data!$M$2:$M$3520,Sales_Data!$C$2:$C$3520,$A90,Sales_Data!$H$2:$H$3520,K$14,Sales_Data!$AE$2:$AE$3520,1),SUMIFS(Sales_Data!$N$2:$N$3520,Sales_Data!$C$2:$C$3520,$A90,Sales_Data!$H$2:$H$3520,K$14,Sales_Data!$AE$2:$AE$3520,1),SUMIFS(Sales_Data!$AE$2:$AE$3520,Sales_Data!$C$2:$C$3520,$A90,Sales_Data!$H$2:$H$3520,K$14))</f>
        <v>0</v>
      </c>
      <c r="L90" s="26" t="n">
        <f aca="false">CHOOSE(MATCH($B$3,Lists!$C$2:$C$5,0),SUMIFS(Sales_Data!$O$2:$O$3520,Sales_Data!$C$2:$C$3520,$A90,Sales_Data!$H$2:$H$3520,L$14,Sales_Data!$AE$2:$AE$3520,1),SUMIFS(Sales_Data!$M$2:$M$3520,Sales_Data!$C$2:$C$3520,$A90,Sales_Data!$H$2:$H$3520,L$14,Sales_Data!$AE$2:$AE$3520,1),SUMIFS(Sales_Data!$N$2:$N$3520,Sales_Data!$C$2:$C$3520,$A90,Sales_Data!$H$2:$H$3520,L$14,Sales_Data!$AE$2:$AE$3520,1),SUMIFS(Sales_Data!$AE$2:$AE$3520,Sales_Data!$C$2:$C$3520,$A90,Sales_Data!$H$2:$H$3520,L$14))</f>
        <v>8</v>
      </c>
      <c r="M90" s="26" t="n">
        <f aca="false">CHOOSE(MATCH($B$3,Lists!$C$2:$C$5,0),SUMIFS(Sales_Data!$O$2:$O$3520,Sales_Data!$C$2:$C$3520,$A90,Sales_Data!$H$2:$H$3520,M$14,Sales_Data!$AE$2:$AE$3520,1),SUMIFS(Sales_Data!$M$2:$M$3520,Sales_Data!$C$2:$C$3520,$A90,Sales_Data!$H$2:$H$3520,M$14,Sales_Data!$AE$2:$AE$3520,1),SUMIFS(Sales_Data!$N$2:$N$3520,Sales_Data!$C$2:$C$3520,$A90,Sales_Data!$H$2:$H$3520,M$14,Sales_Data!$AE$2:$AE$3520,1),SUMIFS(Sales_Data!$AE$2:$AE$3520,Sales_Data!$C$2:$C$3520,$A90,Sales_Data!$H$2:$H$3520,M$14))</f>
        <v>6</v>
      </c>
      <c r="N90" s="26" t="n">
        <f aca="false">CHOOSE(MATCH($B$3,Lists!$C$2:$C$5,0),SUMIFS(Sales_Data!$O$2:$O$3520,Sales_Data!$C$2:$C$3520,$A90,Sales_Data!$H$2:$H$3520,N$14,Sales_Data!$AE$2:$AE$3520,1),SUMIFS(Sales_Data!$M$2:$M$3520,Sales_Data!$C$2:$C$3520,$A90,Sales_Data!$H$2:$H$3520,N$14,Sales_Data!$AE$2:$AE$3520,1),SUMIFS(Sales_Data!$N$2:$N$3520,Sales_Data!$C$2:$C$3520,$A90,Sales_Data!$H$2:$H$3520,N$14,Sales_Data!$AE$2:$AE$3520,1),SUMIFS(Sales_Data!$AE$2:$AE$3520,Sales_Data!$C$2:$C$3520,$A90,Sales_Data!$H$2:$H$3520,N$14))</f>
        <v>9</v>
      </c>
      <c r="O90" s="26" t="n">
        <f aca="false">CHOOSE(MATCH($B$3,Lists!$C$2:$C$5,0),SUMIFS(Sales_Data!$O$2:$O$3520,Sales_Data!$C$2:$C$3520,$A90,Sales_Data!$H$2:$H$3520,O$14,Sales_Data!$AE$2:$AE$3520,1),SUMIFS(Sales_Data!$M$2:$M$3520,Sales_Data!$C$2:$C$3520,$A90,Sales_Data!$H$2:$H$3520,O$14,Sales_Data!$AE$2:$AE$3520,1),SUMIFS(Sales_Data!$N$2:$N$3520,Sales_Data!$C$2:$C$3520,$A90,Sales_Data!$H$2:$H$3520,O$14,Sales_Data!$AE$2:$AE$3520,1),SUMIFS(Sales_Data!$AE$2:$AE$3520,Sales_Data!$C$2:$C$3520,$A90,Sales_Data!$H$2:$H$3520,O$14))</f>
        <v>0</v>
      </c>
      <c r="P90" s="27" t="n">
        <f aca="false">CHOOSE(MATCH($B$3,Lists!$C$2:$C$5,0),SUMIFS(Sales_Data!$O$2:$O$3520,Sales_Data!$C$2:$C$3520,$A90,Sales_Data!$AE$2:$AE$3520,1),SUMIFS(Sales_Data!$M$2:$M$3520,Sales_Data!$C$2:$C$3520,$A90,Sales_Data!$AE$2:$AE$3520,1),SUMIFS(Sales_Data!$N$2:$N$3520,Sales_Data!$C$2:$C$3520,$A90,Sales_Data!$AE$2:$AE$3520,1),SUMIFS(Sales_Data!$AE$2:$AE$3520,Sales_Data!$C$2:$C$3520,$A90))</f>
        <v>69</v>
      </c>
      <c r="Q90" s="27" t="n">
        <f aca="false">P90-SUM(B90:O90)</f>
        <v>3</v>
      </c>
      <c r="R90" s="3"/>
      <c r="S90" s="72" t="n">
        <f aca="false">A90</f>
        <v>46300</v>
      </c>
      <c r="T90" s="28" t="n">
        <f aca="false">B90-B89</f>
        <v>17</v>
      </c>
      <c r="U90" s="28" t="n">
        <f aca="false">C90-C89</f>
        <v>0</v>
      </c>
      <c r="V90" s="28" t="n">
        <f aca="false">D90-D89</f>
        <v>1</v>
      </c>
      <c r="W90" s="28" t="n">
        <f aca="false">E90-E89</f>
        <v>0</v>
      </c>
      <c r="X90" s="28" t="n">
        <f aca="false">F90-F89</f>
        <v>-4</v>
      </c>
      <c r="Y90" s="28" t="n">
        <f aca="false">G90-G89</f>
        <v>-2</v>
      </c>
      <c r="Z90" s="28" t="n">
        <f aca="false">H90-H89</f>
        <v>9</v>
      </c>
      <c r="AA90" s="28" t="n">
        <f aca="false">I90-I89</f>
        <v>0</v>
      </c>
      <c r="AB90" s="28" t="n">
        <f aca="false">J90-J89</f>
        <v>2</v>
      </c>
      <c r="AC90" s="28" t="n">
        <f aca="false">K90-K89</f>
        <v>0</v>
      </c>
      <c r="AD90" s="28" t="n">
        <f aca="false">L90-L89</f>
        <v>-4</v>
      </c>
      <c r="AE90" s="28" t="n">
        <f aca="false">M90-M89</f>
        <v>-1</v>
      </c>
      <c r="AF90" s="28" t="n">
        <f aca="false">N90-N89</f>
        <v>-1</v>
      </c>
      <c r="AG90" s="28" t="n">
        <f aca="false">O90-O89</f>
        <v>0</v>
      </c>
      <c r="AH90" s="28" t="n">
        <f aca="false">P90-P89</f>
        <v>20</v>
      </c>
    </row>
    <row r="91" customFormat="false" ht="15" hidden="false" customHeight="false" outlineLevel="0" collapsed="false">
      <c r="A91" s="72" t="n">
        <v>46301</v>
      </c>
      <c r="B91" s="26" t="n">
        <f aca="false">CHOOSE(MATCH($B$3,Lists!$C$2:$C$5,0),SUMIFS(Sales_Data!$O$2:$O$3520,Sales_Data!$C$2:$C$3520,$A91,Sales_Data!$H$2:$H$3520,B$14,Sales_Data!$AE$2:$AE$3520,1),SUMIFS(Sales_Data!$M$2:$M$3520,Sales_Data!$C$2:$C$3520,$A91,Sales_Data!$H$2:$H$3520,B$14,Sales_Data!$AE$2:$AE$3520,1),SUMIFS(Sales_Data!$N$2:$N$3520,Sales_Data!$C$2:$C$3520,$A91,Sales_Data!$H$2:$H$3520,B$14,Sales_Data!$AE$2:$AE$3520,1),SUMIFS(Sales_Data!$AE$2:$AE$3520,Sales_Data!$C$2:$C$3520,$A91,Sales_Data!$H$2:$H$3520,B$14))</f>
        <v>17</v>
      </c>
      <c r="C91" s="26" t="n">
        <f aca="false">CHOOSE(MATCH($B$3,Lists!$C$2:$C$5,0),SUMIFS(Sales_Data!$O$2:$O$3520,Sales_Data!$C$2:$C$3520,$A91,Sales_Data!$H$2:$H$3520,C$14,Sales_Data!$AE$2:$AE$3520,1),SUMIFS(Sales_Data!$M$2:$M$3520,Sales_Data!$C$2:$C$3520,$A91,Sales_Data!$H$2:$H$3520,C$14,Sales_Data!$AE$2:$AE$3520,1),SUMIFS(Sales_Data!$N$2:$N$3520,Sales_Data!$C$2:$C$3520,$A91,Sales_Data!$H$2:$H$3520,C$14,Sales_Data!$AE$2:$AE$3520,1),SUMIFS(Sales_Data!$AE$2:$AE$3520,Sales_Data!$C$2:$C$3520,$A91,Sales_Data!$H$2:$H$3520,C$14))</f>
        <v>1</v>
      </c>
      <c r="D91" s="26" t="n">
        <f aca="false">CHOOSE(MATCH($B$3,Lists!$C$2:$C$5,0),SUMIFS(Sales_Data!$O$2:$O$3520,Sales_Data!$C$2:$C$3520,$A91,Sales_Data!$H$2:$H$3520,D$14,Sales_Data!$AE$2:$AE$3520,1),SUMIFS(Sales_Data!$M$2:$M$3520,Sales_Data!$C$2:$C$3520,$A91,Sales_Data!$H$2:$H$3520,D$14,Sales_Data!$AE$2:$AE$3520,1),SUMIFS(Sales_Data!$N$2:$N$3520,Sales_Data!$C$2:$C$3520,$A91,Sales_Data!$H$2:$H$3520,D$14,Sales_Data!$AE$2:$AE$3520,1),SUMIFS(Sales_Data!$AE$2:$AE$3520,Sales_Data!$C$2:$C$3520,$A91,Sales_Data!$H$2:$H$3520,D$14))</f>
        <v>3</v>
      </c>
      <c r="E91" s="26" t="n">
        <f aca="false">CHOOSE(MATCH($B$3,Lists!$C$2:$C$5,0),SUMIFS(Sales_Data!$O$2:$O$3520,Sales_Data!$C$2:$C$3520,$A91,Sales_Data!$H$2:$H$3520,E$14,Sales_Data!$AE$2:$AE$3520,1),SUMIFS(Sales_Data!$M$2:$M$3520,Sales_Data!$C$2:$C$3520,$A91,Sales_Data!$H$2:$H$3520,E$14,Sales_Data!$AE$2:$AE$3520,1),SUMIFS(Sales_Data!$N$2:$N$3520,Sales_Data!$C$2:$C$3520,$A91,Sales_Data!$H$2:$H$3520,E$14,Sales_Data!$AE$2:$AE$3520,1),SUMIFS(Sales_Data!$AE$2:$AE$3520,Sales_Data!$C$2:$C$3520,$A91,Sales_Data!$H$2:$H$3520,E$14))</f>
        <v>5</v>
      </c>
      <c r="F91" s="26" t="n">
        <f aca="false">CHOOSE(MATCH($B$3,Lists!$C$2:$C$5,0),SUMIFS(Sales_Data!$O$2:$O$3520,Sales_Data!$C$2:$C$3520,$A91,Sales_Data!$H$2:$H$3520,F$14,Sales_Data!$AE$2:$AE$3520,1),SUMIFS(Sales_Data!$M$2:$M$3520,Sales_Data!$C$2:$C$3520,$A91,Sales_Data!$H$2:$H$3520,F$14,Sales_Data!$AE$2:$AE$3520,1),SUMIFS(Sales_Data!$N$2:$N$3520,Sales_Data!$C$2:$C$3520,$A91,Sales_Data!$H$2:$H$3520,F$14,Sales_Data!$AE$2:$AE$3520,1),SUMIFS(Sales_Data!$AE$2:$AE$3520,Sales_Data!$C$2:$C$3520,$A91,Sales_Data!$H$2:$H$3520,F$14))</f>
        <v>0</v>
      </c>
      <c r="G91" s="26" t="n">
        <f aca="false">CHOOSE(MATCH($B$3,Lists!$C$2:$C$5,0),SUMIFS(Sales_Data!$O$2:$O$3520,Sales_Data!$C$2:$C$3520,$A91,Sales_Data!$H$2:$H$3520,G$14,Sales_Data!$AE$2:$AE$3520,1),SUMIFS(Sales_Data!$M$2:$M$3520,Sales_Data!$C$2:$C$3520,$A91,Sales_Data!$H$2:$H$3520,G$14,Sales_Data!$AE$2:$AE$3520,1),SUMIFS(Sales_Data!$N$2:$N$3520,Sales_Data!$C$2:$C$3520,$A91,Sales_Data!$H$2:$H$3520,G$14,Sales_Data!$AE$2:$AE$3520,1),SUMIFS(Sales_Data!$AE$2:$AE$3520,Sales_Data!$C$2:$C$3520,$A91,Sales_Data!$H$2:$H$3520,G$14))</f>
        <v>3</v>
      </c>
      <c r="H91" s="26" t="n">
        <f aca="false">CHOOSE(MATCH($B$3,Lists!$C$2:$C$5,0),SUMIFS(Sales_Data!$O$2:$O$3520,Sales_Data!$C$2:$C$3520,$A91,Sales_Data!$H$2:$H$3520,H$14,Sales_Data!$AE$2:$AE$3520,1),SUMIFS(Sales_Data!$M$2:$M$3520,Sales_Data!$C$2:$C$3520,$A91,Sales_Data!$H$2:$H$3520,H$14,Sales_Data!$AE$2:$AE$3520,1),SUMIFS(Sales_Data!$N$2:$N$3520,Sales_Data!$C$2:$C$3520,$A91,Sales_Data!$H$2:$H$3520,H$14,Sales_Data!$AE$2:$AE$3520,1),SUMIFS(Sales_Data!$AE$2:$AE$3520,Sales_Data!$C$2:$C$3520,$A91,Sales_Data!$H$2:$H$3520,H$14))</f>
        <v>2</v>
      </c>
      <c r="I91" s="26" t="n">
        <f aca="false">CHOOSE(MATCH($B$3,Lists!$C$2:$C$5,0),SUMIFS(Sales_Data!$O$2:$O$3520,Sales_Data!$C$2:$C$3520,$A91,Sales_Data!$H$2:$H$3520,I$14,Sales_Data!$AE$2:$AE$3520,1),SUMIFS(Sales_Data!$M$2:$M$3520,Sales_Data!$C$2:$C$3520,$A91,Sales_Data!$H$2:$H$3520,I$14,Sales_Data!$AE$2:$AE$3520,1),SUMIFS(Sales_Data!$N$2:$N$3520,Sales_Data!$C$2:$C$3520,$A91,Sales_Data!$H$2:$H$3520,I$14,Sales_Data!$AE$2:$AE$3520,1),SUMIFS(Sales_Data!$AE$2:$AE$3520,Sales_Data!$C$2:$C$3520,$A91,Sales_Data!$H$2:$H$3520,I$14))</f>
        <v>0</v>
      </c>
      <c r="J91" s="26" t="n">
        <f aca="false">CHOOSE(MATCH($B$3,Lists!$C$2:$C$5,0),SUMIFS(Sales_Data!$O$2:$O$3520,Sales_Data!$C$2:$C$3520,$A91,Sales_Data!$H$2:$H$3520,J$14,Sales_Data!$AE$2:$AE$3520,1),SUMIFS(Sales_Data!$M$2:$M$3520,Sales_Data!$C$2:$C$3520,$A91,Sales_Data!$H$2:$H$3520,J$14,Sales_Data!$AE$2:$AE$3520,1),SUMIFS(Sales_Data!$N$2:$N$3520,Sales_Data!$C$2:$C$3520,$A91,Sales_Data!$H$2:$H$3520,J$14,Sales_Data!$AE$2:$AE$3520,1),SUMIFS(Sales_Data!$AE$2:$AE$3520,Sales_Data!$C$2:$C$3520,$A91,Sales_Data!$H$2:$H$3520,J$14))</f>
        <v>7</v>
      </c>
      <c r="K91" s="26" t="n">
        <f aca="false">CHOOSE(MATCH($B$3,Lists!$C$2:$C$5,0),SUMIFS(Sales_Data!$O$2:$O$3520,Sales_Data!$C$2:$C$3520,$A91,Sales_Data!$H$2:$H$3520,K$14,Sales_Data!$AE$2:$AE$3520,1),SUMIFS(Sales_Data!$M$2:$M$3520,Sales_Data!$C$2:$C$3520,$A91,Sales_Data!$H$2:$H$3520,K$14,Sales_Data!$AE$2:$AE$3520,1),SUMIFS(Sales_Data!$N$2:$N$3520,Sales_Data!$C$2:$C$3520,$A91,Sales_Data!$H$2:$H$3520,K$14,Sales_Data!$AE$2:$AE$3520,1),SUMIFS(Sales_Data!$AE$2:$AE$3520,Sales_Data!$C$2:$C$3520,$A91,Sales_Data!$H$2:$H$3520,K$14))</f>
        <v>0</v>
      </c>
      <c r="L91" s="26" t="n">
        <f aca="false">CHOOSE(MATCH($B$3,Lists!$C$2:$C$5,0),SUMIFS(Sales_Data!$O$2:$O$3520,Sales_Data!$C$2:$C$3520,$A91,Sales_Data!$H$2:$H$3520,L$14,Sales_Data!$AE$2:$AE$3520,1),SUMIFS(Sales_Data!$M$2:$M$3520,Sales_Data!$C$2:$C$3520,$A91,Sales_Data!$H$2:$H$3520,L$14,Sales_Data!$AE$2:$AE$3520,1),SUMIFS(Sales_Data!$N$2:$N$3520,Sales_Data!$C$2:$C$3520,$A91,Sales_Data!$H$2:$H$3520,L$14,Sales_Data!$AE$2:$AE$3520,1),SUMIFS(Sales_Data!$AE$2:$AE$3520,Sales_Data!$C$2:$C$3520,$A91,Sales_Data!$H$2:$H$3520,L$14))</f>
        <v>3</v>
      </c>
      <c r="M91" s="26" t="n">
        <f aca="false">CHOOSE(MATCH($B$3,Lists!$C$2:$C$5,0),SUMIFS(Sales_Data!$O$2:$O$3520,Sales_Data!$C$2:$C$3520,$A91,Sales_Data!$H$2:$H$3520,M$14,Sales_Data!$AE$2:$AE$3520,1),SUMIFS(Sales_Data!$M$2:$M$3520,Sales_Data!$C$2:$C$3520,$A91,Sales_Data!$H$2:$H$3520,M$14,Sales_Data!$AE$2:$AE$3520,1),SUMIFS(Sales_Data!$N$2:$N$3520,Sales_Data!$C$2:$C$3520,$A91,Sales_Data!$H$2:$H$3520,M$14,Sales_Data!$AE$2:$AE$3520,1),SUMIFS(Sales_Data!$AE$2:$AE$3520,Sales_Data!$C$2:$C$3520,$A91,Sales_Data!$H$2:$H$3520,M$14))</f>
        <v>3</v>
      </c>
      <c r="N91" s="26" t="n">
        <f aca="false">CHOOSE(MATCH($B$3,Lists!$C$2:$C$5,0),SUMIFS(Sales_Data!$O$2:$O$3520,Sales_Data!$C$2:$C$3520,$A91,Sales_Data!$H$2:$H$3520,N$14,Sales_Data!$AE$2:$AE$3520,1),SUMIFS(Sales_Data!$M$2:$M$3520,Sales_Data!$C$2:$C$3520,$A91,Sales_Data!$H$2:$H$3520,N$14,Sales_Data!$AE$2:$AE$3520,1),SUMIFS(Sales_Data!$N$2:$N$3520,Sales_Data!$C$2:$C$3520,$A91,Sales_Data!$H$2:$H$3520,N$14,Sales_Data!$AE$2:$AE$3520,1),SUMIFS(Sales_Data!$AE$2:$AE$3520,Sales_Data!$C$2:$C$3520,$A91,Sales_Data!$H$2:$H$3520,N$14))</f>
        <v>7</v>
      </c>
      <c r="O91" s="26" t="n">
        <f aca="false">CHOOSE(MATCH($B$3,Lists!$C$2:$C$5,0),SUMIFS(Sales_Data!$O$2:$O$3520,Sales_Data!$C$2:$C$3520,$A91,Sales_Data!$H$2:$H$3520,O$14,Sales_Data!$AE$2:$AE$3520,1),SUMIFS(Sales_Data!$M$2:$M$3520,Sales_Data!$C$2:$C$3520,$A91,Sales_Data!$H$2:$H$3520,O$14,Sales_Data!$AE$2:$AE$3520,1),SUMIFS(Sales_Data!$N$2:$N$3520,Sales_Data!$C$2:$C$3520,$A91,Sales_Data!$H$2:$H$3520,O$14,Sales_Data!$AE$2:$AE$3520,1),SUMIFS(Sales_Data!$AE$2:$AE$3520,Sales_Data!$C$2:$C$3520,$A91,Sales_Data!$H$2:$H$3520,O$14))</f>
        <v>0</v>
      </c>
      <c r="P91" s="27" t="n">
        <f aca="false">CHOOSE(MATCH($B$3,Lists!$C$2:$C$5,0),SUMIFS(Sales_Data!$O$2:$O$3520,Sales_Data!$C$2:$C$3520,$A91,Sales_Data!$AE$2:$AE$3520,1),SUMIFS(Sales_Data!$M$2:$M$3520,Sales_Data!$C$2:$C$3520,$A91,Sales_Data!$AE$2:$AE$3520,1),SUMIFS(Sales_Data!$N$2:$N$3520,Sales_Data!$C$2:$C$3520,$A91,Sales_Data!$AE$2:$AE$3520,1),SUMIFS(Sales_Data!$AE$2:$AE$3520,Sales_Data!$C$2:$C$3520,$A91))</f>
        <v>53</v>
      </c>
      <c r="Q91" s="27" t="n">
        <f aca="false">P91-SUM(B91:O91)</f>
        <v>2</v>
      </c>
      <c r="R91" s="3"/>
      <c r="S91" s="72" t="n">
        <f aca="false">A91</f>
        <v>46301</v>
      </c>
      <c r="T91" s="28" t="n">
        <f aca="false">B91-B90</f>
        <v>-1</v>
      </c>
      <c r="U91" s="28" t="n">
        <f aca="false">C91-C90</f>
        <v>0</v>
      </c>
      <c r="V91" s="28" t="n">
        <f aca="false">D91-D90</f>
        <v>0</v>
      </c>
      <c r="W91" s="28" t="n">
        <f aca="false">E91-E90</f>
        <v>5</v>
      </c>
      <c r="X91" s="28" t="n">
        <f aca="false">F91-F90</f>
        <v>-1</v>
      </c>
      <c r="Y91" s="28" t="n">
        <f aca="false">G91-G90</f>
        <v>-1</v>
      </c>
      <c r="Z91" s="28" t="n">
        <f aca="false">H91-H90</f>
        <v>-7</v>
      </c>
      <c r="AA91" s="28" t="n">
        <f aca="false">I91-I90</f>
        <v>0</v>
      </c>
      <c r="AB91" s="28" t="n">
        <f aca="false">J91-J90</f>
        <v>0</v>
      </c>
      <c r="AC91" s="28" t="n">
        <f aca="false">K91-K90</f>
        <v>0</v>
      </c>
      <c r="AD91" s="28" t="n">
        <f aca="false">L91-L90</f>
        <v>-5</v>
      </c>
      <c r="AE91" s="28" t="n">
        <f aca="false">M91-M90</f>
        <v>-3</v>
      </c>
      <c r="AF91" s="28" t="n">
        <f aca="false">N91-N90</f>
        <v>-2</v>
      </c>
      <c r="AG91" s="28" t="n">
        <f aca="false">O91-O90</f>
        <v>0</v>
      </c>
      <c r="AH91" s="28" t="n">
        <f aca="false">P91-P90</f>
        <v>-16</v>
      </c>
    </row>
    <row r="92" customFormat="false" ht="15" hidden="false" customHeight="false" outlineLevel="0" collapsed="false">
      <c r="A92" s="72" t="n">
        <v>46302</v>
      </c>
      <c r="B92" s="26" t="n">
        <f aca="false">CHOOSE(MATCH($B$3,Lists!$C$2:$C$5,0),SUMIFS(Sales_Data!$O$2:$O$3520,Sales_Data!$C$2:$C$3520,$A92,Sales_Data!$H$2:$H$3520,B$14,Sales_Data!$AE$2:$AE$3520,1),SUMIFS(Sales_Data!$M$2:$M$3520,Sales_Data!$C$2:$C$3520,$A92,Sales_Data!$H$2:$H$3520,B$14,Sales_Data!$AE$2:$AE$3520,1),SUMIFS(Sales_Data!$N$2:$N$3520,Sales_Data!$C$2:$C$3520,$A92,Sales_Data!$H$2:$H$3520,B$14,Sales_Data!$AE$2:$AE$3520,1),SUMIFS(Sales_Data!$AE$2:$AE$3520,Sales_Data!$C$2:$C$3520,$A92,Sales_Data!$H$2:$H$3520,B$14))</f>
        <v>16</v>
      </c>
      <c r="C92" s="26" t="n">
        <f aca="false">CHOOSE(MATCH($B$3,Lists!$C$2:$C$5,0),SUMIFS(Sales_Data!$O$2:$O$3520,Sales_Data!$C$2:$C$3520,$A92,Sales_Data!$H$2:$H$3520,C$14,Sales_Data!$AE$2:$AE$3520,1),SUMIFS(Sales_Data!$M$2:$M$3520,Sales_Data!$C$2:$C$3520,$A92,Sales_Data!$H$2:$H$3520,C$14,Sales_Data!$AE$2:$AE$3520,1),SUMIFS(Sales_Data!$N$2:$N$3520,Sales_Data!$C$2:$C$3520,$A92,Sales_Data!$H$2:$H$3520,C$14,Sales_Data!$AE$2:$AE$3520,1),SUMIFS(Sales_Data!$AE$2:$AE$3520,Sales_Data!$C$2:$C$3520,$A92,Sales_Data!$H$2:$H$3520,C$14))</f>
        <v>12</v>
      </c>
      <c r="D92" s="26" t="n">
        <f aca="false">CHOOSE(MATCH($B$3,Lists!$C$2:$C$5,0),SUMIFS(Sales_Data!$O$2:$O$3520,Sales_Data!$C$2:$C$3520,$A92,Sales_Data!$H$2:$H$3520,D$14,Sales_Data!$AE$2:$AE$3520,1),SUMIFS(Sales_Data!$M$2:$M$3520,Sales_Data!$C$2:$C$3520,$A92,Sales_Data!$H$2:$H$3520,D$14,Sales_Data!$AE$2:$AE$3520,1),SUMIFS(Sales_Data!$N$2:$N$3520,Sales_Data!$C$2:$C$3520,$A92,Sales_Data!$H$2:$H$3520,D$14,Sales_Data!$AE$2:$AE$3520,1),SUMIFS(Sales_Data!$AE$2:$AE$3520,Sales_Data!$C$2:$C$3520,$A92,Sales_Data!$H$2:$H$3520,D$14))</f>
        <v>4</v>
      </c>
      <c r="E92" s="26" t="n">
        <f aca="false">CHOOSE(MATCH($B$3,Lists!$C$2:$C$5,0),SUMIFS(Sales_Data!$O$2:$O$3520,Sales_Data!$C$2:$C$3520,$A92,Sales_Data!$H$2:$H$3520,E$14,Sales_Data!$AE$2:$AE$3520,1),SUMIFS(Sales_Data!$M$2:$M$3520,Sales_Data!$C$2:$C$3520,$A92,Sales_Data!$H$2:$H$3520,E$14,Sales_Data!$AE$2:$AE$3520,1),SUMIFS(Sales_Data!$N$2:$N$3520,Sales_Data!$C$2:$C$3520,$A92,Sales_Data!$H$2:$H$3520,E$14,Sales_Data!$AE$2:$AE$3520,1),SUMIFS(Sales_Data!$AE$2:$AE$3520,Sales_Data!$C$2:$C$3520,$A92,Sales_Data!$H$2:$H$3520,E$14))</f>
        <v>6</v>
      </c>
      <c r="F92" s="26" t="n">
        <f aca="false">CHOOSE(MATCH($B$3,Lists!$C$2:$C$5,0),SUMIFS(Sales_Data!$O$2:$O$3520,Sales_Data!$C$2:$C$3520,$A92,Sales_Data!$H$2:$H$3520,F$14,Sales_Data!$AE$2:$AE$3520,1),SUMIFS(Sales_Data!$M$2:$M$3520,Sales_Data!$C$2:$C$3520,$A92,Sales_Data!$H$2:$H$3520,F$14,Sales_Data!$AE$2:$AE$3520,1),SUMIFS(Sales_Data!$N$2:$N$3520,Sales_Data!$C$2:$C$3520,$A92,Sales_Data!$H$2:$H$3520,F$14,Sales_Data!$AE$2:$AE$3520,1),SUMIFS(Sales_Data!$AE$2:$AE$3520,Sales_Data!$C$2:$C$3520,$A92,Sales_Data!$H$2:$H$3520,F$14))</f>
        <v>1</v>
      </c>
      <c r="G92" s="26" t="n">
        <f aca="false">CHOOSE(MATCH($B$3,Lists!$C$2:$C$5,0),SUMIFS(Sales_Data!$O$2:$O$3520,Sales_Data!$C$2:$C$3520,$A92,Sales_Data!$H$2:$H$3520,G$14,Sales_Data!$AE$2:$AE$3520,1),SUMIFS(Sales_Data!$M$2:$M$3520,Sales_Data!$C$2:$C$3520,$A92,Sales_Data!$H$2:$H$3520,G$14,Sales_Data!$AE$2:$AE$3520,1),SUMIFS(Sales_Data!$N$2:$N$3520,Sales_Data!$C$2:$C$3520,$A92,Sales_Data!$H$2:$H$3520,G$14,Sales_Data!$AE$2:$AE$3520,1),SUMIFS(Sales_Data!$AE$2:$AE$3520,Sales_Data!$C$2:$C$3520,$A92,Sales_Data!$H$2:$H$3520,G$14))</f>
        <v>12</v>
      </c>
      <c r="H92" s="26" t="n">
        <f aca="false">CHOOSE(MATCH($B$3,Lists!$C$2:$C$5,0),SUMIFS(Sales_Data!$O$2:$O$3520,Sales_Data!$C$2:$C$3520,$A92,Sales_Data!$H$2:$H$3520,H$14,Sales_Data!$AE$2:$AE$3520,1),SUMIFS(Sales_Data!$M$2:$M$3520,Sales_Data!$C$2:$C$3520,$A92,Sales_Data!$H$2:$H$3520,H$14,Sales_Data!$AE$2:$AE$3520,1),SUMIFS(Sales_Data!$N$2:$N$3520,Sales_Data!$C$2:$C$3520,$A92,Sales_Data!$H$2:$H$3520,H$14,Sales_Data!$AE$2:$AE$3520,1),SUMIFS(Sales_Data!$AE$2:$AE$3520,Sales_Data!$C$2:$C$3520,$A92,Sales_Data!$H$2:$H$3520,H$14))</f>
        <v>4</v>
      </c>
      <c r="I92" s="26" t="n">
        <f aca="false">CHOOSE(MATCH($B$3,Lists!$C$2:$C$5,0),SUMIFS(Sales_Data!$O$2:$O$3520,Sales_Data!$C$2:$C$3520,$A92,Sales_Data!$H$2:$H$3520,I$14,Sales_Data!$AE$2:$AE$3520,1),SUMIFS(Sales_Data!$M$2:$M$3520,Sales_Data!$C$2:$C$3520,$A92,Sales_Data!$H$2:$H$3520,I$14,Sales_Data!$AE$2:$AE$3520,1),SUMIFS(Sales_Data!$N$2:$N$3520,Sales_Data!$C$2:$C$3520,$A92,Sales_Data!$H$2:$H$3520,I$14,Sales_Data!$AE$2:$AE$3520,1),SUMIFS(Sales_Data!$AE$2:$AE$3520,Sales_Data!$C$2:$C$3520,$A92,Sales_Data!$H$2:$H$3520,I$14))</f>
        <v>6</v>
      </c>
      <c r="J92" s="26" t="n">
        <f aca="false">CHOOSE(MATCH($B$3,Lists!$C$2:$C$5,0),SUMIFS(Sales_Data!$O$2:$O$3520,Sales_Data!$C$2:$C$3520,$A92,Sales_Data!$H$2:$H$3520,J$14,Sales_Data!$AE$2:$AE$3520,1),SUMIFS(Sales_Data!$M$2:$M$3520,Sales_Data!$C$2:$C$3520,$A92,Sales_Data!$H$2:$H$3520,J$14,Sales_Data!$AE$2:$AE$3520,1),SUMIFS(Sales_Data!$N$2:$N$3520,Sales_Data!$C$2:$C$3520,$A92,Sales_Data!$H$2:$H$3520,J$14,Sales_Data!$AE$2:$AE$3520,1),SUMIFS(Sales_Data!$AE$2:$AE$3520,Sales_Data!$C$2:$C$3520,$A92,Sales_Data!$H$2:$H$3520,J$14))</f>
        <v>23</v>
      </c>
      <c r="K92" s="26" t="n">
        <f aca="false">CHOOSE(MATCH($B$3,Lists!$C$2:$C$5,0),SUMIFS(Sales_Data!$O$2:$O$3520,Sales_Data!$C$2:$C$3520,$A92,Sales_Data!$H$2:$H$3520,K$14,Sales_Data!$AE$2:$AE$3520,1),SUMIFS(Sales_Data!$M$2:$M$3520,Sales_Data!$C$2:$C$3520,$A92,Sales_Data!$H$2:$H$3520,K$14,Sales_Data!$AE$2:$AE$3520,1),SUMIFS(Sales_Data!$N$2:$N$3520,Sales_Data!$C$2:$C$3520,$A92,Sales_Data!$H$2:$H$3520,K$14,Sales_Data!$AE$2:$AE$3520,1),SUMIFS(Sales_Data!$AE$2:$AE$3520,Sales_Data!$C$2:$C$3520,$A92,Sales_Data!$H$2:$H$3520,K$14))</f>
        <v>0</v>
      </c>
      <c r="L92" s="26" t="n">
        <f aca="false">CHOOSE(MATCH($B$3,Lists!$C$2:$C$5,0),SUMIFS(Sales_Data!$O$2:$O$3520,Sales_Data!$C$2:$C$3520,$A92,Sales_Data!$H$2:$H$3520,L$14,Sales_Data!$AE$2:$AE$3520,1),SUMIFS(Sales_Data!$M$2:$M$3520,Sales_Data!$C$2:$C$3520,$A92,Sales_Data!$H$2:$H$3520,L$14,Sales_Data!$AE$2:$AE$3520,1),SUMIFS(Sales_Data!$N$2:$N$3520,Sales_Data!$C$2:$C$3520,$A92,Sales_Data!$H$2:$H$3520,L$14,Sales_Data!$AE$2:$AE$3520,1),SUMIFS(Sales_Data!$AE$2:$AE$3520,Sales_Data!$C$2:$C$3520,$A92,Sales_Data!$H$2:$H$3520,L$14))</f>
        <v>13</v>
      </c>
      <c r="M92" s="26" t="n">
        <f aca="false">CHOOSE(MATCH($B$3,Lists!$C$2:$C$5,0),SUMIFS(Sales_Data!$O$2:$O$3520,Sales_Data!$C$2:$C$3520,$A92,Sales_Data!$H$2:$H$3520,M$14,Sales_Data!$AE$2:$AE$3520,1),SUMIFS(Sales_Data!$M$2:$M$3520,Sales_Data!$C$2:$C$3520,$A92,Sales_Data!$H$2:$H$3520,M$14,Sales_Data!$AE$2:$AE$3520,1),SUMIFS(Sales_Data!$N$2:$N$3520,Sales_Data!$C$2:$C$3520,$A92,Sales_Data!$H$2:$H$3520,M$14,Sales_Data!$AE$2:$AE$3520,1),SUMIFS(Sales_Data!$AE$2:$AE$3520,Sales_Data!$C$2:$C$3520,$A92,Sales_Data!$H$2:$H$3520,M$14))</f>
        <v>12</v>
      </c>
      <c r="N92" s="26" t="n">
        <f aca="false">CHOOSE(MATCH($B$3,Lists!$C$2:$C$5,0),SUMIFS(Sales_Data!$O$2:$O$3520,Sales_Data!$C$2:$C$3520,$A92,Sales_Data!$H$2:$H$3520,N$14,Sales_Data!$AE$2:$AE$3520,1),SUMIFS(Sales_Data!$M$2:$M$3520,Sales_Data!$C$2:$C$3520,$A92,Sales_Data!$H$2:$H$3520,N$14,Sales_Data!$AE$2:$AE$3520,1),SUMIFS(Sales_Data!$N$2:$N$3520,Sales_Data!$C$2:$C$3520,$A92,Sales_Data!$H$2:$H$3520,N$14,Sales_Data!$AE$2:$AE$3520,1),SUMIFS(Sales_Data!$AE$2:$AE$3520,Sales_Data!$C$2:$C$3520,$A92,Sales_Data!$H$2:$H$3520,N$14))</f>
        <v>10</v>
      </c>
      <c r="O92" s="26" t="n">
        <f aca="false">CHOOSE(MATCH($B$3,Lists!$C$2:$C$5,0),SUMIFS(Sales_Data!$O$2:$O$3520,Sales_Data!$C$2:$C$3520,$A92,Sales_Data!$H$2:$H$3520,O$14,Sales_Data!$AE$2:$AE$3520,1),SUMIFS(Sales_Data!$M$2:$M$3520,Sales_Data!$C$2:$C$3520,$A92,Sales_Data!$H$2:$H$3520,O$14,Sales_Data!$AE$2:$AE$3520,1),SUMIFS(Sales_Data!$N$2:$N$3520,Sales_Data!$C$2:$C$3520,$A92,Sales_Data!$H$2:$H$3520,O$14,Sales_Data!$AE$2:$AE$3520,1),SUMIFS(Sales_Data!$AE$2:$AE$3520,Sales_Data!$C$2:$C$3520,$A92,Sales_Data!$H$2:$H$3520,O$14))</f>
        <v>0</v>
      </c>
      <c r="P92" s="27" t="n">
        <f aca="false">CHOOSE(MATCH($B$3,Lists!$C$2:$C$5,0),SUMIFS(Sales_Data!$O$2:$O$3520,Sales_Data!$C$2:$C$3520,$A92,Sales_Data!$AE$2:$AE$3520,1),SUMIFS(Sales_Data!$M$2:$M$3520,Sales_Data!$C$2:$C$3520,$A92,Sales_Data!$AE$2:$AE$3520,1),SUMIFS(Sales_Data!$N$2:$N$3520,Sales_Data!$C$2:$C$3520,$A92,Sales_Data!$AE$2:$AE$3520,1),SUMIFS(Sales_Data!$AE$2:$AE$3520,Sales_Data!$C$2:$C$3520,$A92))</f>
        <v>125</v>
      </c>
      <c r="Q92" s="27" t="n">
        <f aca="false">P92-SUM(B92:O92)</f>
        <v>6</v>
      </c>
      <c r="R92" s="3"/>
      <c r="S92" s="72" t="n">
        <f aca="false">A92</f>
        <v>46302</v>
      </c>
      <c r="T92" s="28" t="n">
        <f aca="false">B92-B91</f>
        <v>-1</v>
      </c>
      <c r="U92" s="28" t="n">
        <f aca="false">C92-C91</f>
        <v>11</v>
      </c>
      <c r="V92" s="28" t="n">
        <f aca="false">D92-D91</f>
        <v>1</v>
      </c>
      <c r="W92" s="28" t="n">
        <f aca="false">E92-E91</f>
        <v>1</v>
      </c>
      <c r="X92" s="28" t="n">
        <f aca="false">F92-F91</f>
        <v>1</v>
      </c>
      <c r="Y92" s="28" t="n">
        <f aca="false">G92-G91</f>
        <v>9</v>
      </c>
      <c r="Z92" s="28" t="n">
        <f aca="false">H92-H91</f>
        <v>2</v>
      </c>
      <c r="AA92" s="28" t="n">
        <f aca="false">I92-I91</f>
        <v>6</v>
      </c>
      <c r="AB92" s="28" t="n">
        <f aca="false">J92-J91</f>
        <v>16</v>
      </c>
      <c r="AC92" s="28" t="n">
        <f aca="false">K92-K91</f>
        <v>0</v>
      </c>
      <c r="AD92" s="28" t="n">
        <f aca="false">L92-L91</f>
        <v>10</v>
      </c>
      <c r="AE92" s="28" t="n">
        <f aca="false">M92-M91</f>
        <v>9</v>
      </c>
      <c r="AF92" s="28" t="n">
        <f aca="false">N92-N91</f>
        <v>3</v>
      </c>
      <c r="AG92" s="28" t="n">
        <f aca="false">O92-O91</f>
        <v>0</v>
      </c>
      <c r="AH92" s="28" t="n">
        <f aca="false">P92-P91</f>
        <v>72</v>
      </c>
    </row>
    <row r="93" customFormat="false" ht="15" hidden="false" customHeight="false" outlineLevel="0" collapsed="false">
      <c r="A93" s="72" t="n">
        <v>46303</v>
      </c>
      <c r="B93" s="26" t="n">
        <f aca="false">CHOOSE(MATCH($B$3,Lists!$C$2:$C$5,0),SUMIFS(Sales_Data!$O$2:$O$3520,Sales_Data!$C$2:$C$3520,$A93,Sales_Data!$H$2:$H$3520,B$14,Sales_Data!$AE$2:$AE$3520,1),SUMIFS(Sales_Data!$M$2:$M$3520,Sales_Data!$C$2:$C$3520,$A93,Sales_Data!$H$2:$H$3520,B$14,Sales_Data!$AE$2:$AE$3520,1),SUMIFS(Sales_Data!$N$2:$N$3520,Sales_Data!$C$2:$C$3520,$A93,Sales_Data!$H$2:$H$3520,B$14,Sales_Data!$AE$2:$AE$3520,1),SUMIFS(Sales_Data!$AE$2:$AE$3520,Sales_Data!$C$2:$C$3520,$A93,Sales_Data!$H$2:$H$3520,B$14))</f>
        <v>15</v>
      </c>
      <c r="C93" s="26" t="n">
        <f aca="false">CHOOSE(MATCH($B$3,Lists!$C$2:$C$5,0),SUMIFS(Sales_Data!$O$2:$O$3520,Sales_Data!$C$2:$C$3520,$A93,Sales_Data!$H$2:$H$3520,C$14,Sales_Data!$AE$2:$AE$3520,1),SUMIFS(Sales_Data!$M$2:$M$3520,Sales_Data!$C$2:$C$3520,$A93,Sales_Data!$H$2:$H$3520,C$14,Sales_Data!$AE$2:$AE$3520,1),SUMIFS(Sales_Data!$N$2:$N$3520,Sales_Data!$C$2:$C$3520,$A93,Sales_Data!$H$2:$H$3520,C$14,Sales_Data!$AE$2:$AE$3520,1),SUMIFS(Sales_Data!$AE$2:$AE$3520,Sales_Data!$C$2:$C$3520,$A93,Sales_Data!$H$2:$H$3520,C$14))</f>
        <v>13</v>
      </c>
      <c r="D93" s="26" t="n">
        <f aca="false">CHOOSE(MATCH($B$3,Lists!$C$2:$C$5,0),SUMIFS(Sales_Data!$O$2:$O$3520,Sales_Data!$C$2:$C$3520,$A93,Sales_Data!$H$2:$H$3520,D$14,Sales_Data!$AE$2:$AE$3520,1),SUMIFS(Sales_Data!$M$2:$M$3520,Sales_Data!$C$2:$C$3520,$A93,Sales_Data!$H$2:$H$3520,D$14,Sales_Data!$AE$2:$AE$3520,1),SUMIFS(Sales_Data!$N$2:$N$3520,Sales_Data!$C$2:$C$3520,$A93,Sales_Data!$H$2:$H$3520,D$14,Sales_Data!$AE$2:$AE$3520,1),SUMIFS(Sales_Data!$AE$2:$AE$3520,Sales_Data!$C$2:$C$3520,$A93,Sales_Data!$H$2:$H$3520,D$14))</f>
        <v>4</v>
      </c>
      <c r="E93" s="26" t="n">
        <f aca="false">CHOOSE(MATCH($B$3,Lists!$C$2:$C$5,0),SUMIFS(Sales_Data!$O$2:$O$3520,Sales_Data!$C$2:$C$3520,$A93,Sales_Data!$H$2:$H$3520,E$14,Sales_Data!$AE$2:$AE$3520,1),SUMIFS(Sales_Data!$M$2:$M$3520,Sales_Data!$C$2:$C$3520,$A93,Sales_Data!$H$2:$H$3520,E$14,Sales_Data!$AE$2:$AE$3520,1),SUMIFS(Sales_Data!$N$2:$N$3520,Sales_Data!$C$2:$C$3520,$A93,Sales_Data!$H$2:$H$3520,E$14,Sales_Data!$AE$2:$AE$3520,1),SUMIFS(Sales_Data!$AE$2:$AE$3520,Sales_Data!$C$2:$C$3520,$A93,Sales_Data!$H$2:$H$3520,E$14))</f>
        <v>5</v>
      </c>
      <c r="F93" s="26" t="n">
        <f aca="false">CHOOSE(MATCH($B$3,Lists!$C$2:$C$5,0),SUMIFS(Sales_Data!$O$2:$O$3520,Sales_Data!$C$2:$C$3520,$A93,Sales_Data!$H$2:$H$3520,F$14,Sales_Data!$AE$2:$AE$3520,1),SUMIFS(Sales_Data!$M$2:$M$3520,Sales_Data!$C$2:$C$3520,$A93,Sales_Data!$H$2:$H$3520,F$14,Sales_Data!$AE$2:$AE$3520,1),SUMIFS(Sales_Data!$N$2:$N$3520,Sales_Data!$C$2:$C$3520,$A93,Sales_Data!$H$2:$H$3520,F$14,Sales_Data!$AE$2:$AE$3520,1),SUMIFS(Sales_Data!$AE$2:$AE$3520,Sales_Data!$C$2:$C$3520,$A93,Sales_Data!$H$2:$H$3520,F$14))</f>
        <v>6</v>
      </c>
      <c r="G93" s="26" t="n">
        <f aca="false">CHOOSE(MATCH($B$3,Lists!$C$2:$C$5,0),SUMIFS(Sales_Data!$O$2:$O$3520,Sales_Data!$C$2:$C$3520,$A93,Sales_Data!$H$2:$H$3520,G$14,Sales_Data!$AE$2:$AE$3520,1),SUMIFS(Sales_Data!$M$2:$M$3520,Sales_Data!$C$2:$C$3520,$A93,Sales_Data!$H$2:$H$3520,G$14,Sales_Data!$AE$2:$AE$3520,1),SUMIFS(Sales_Data!$N$2:$N$3520,Sales_Data!$C$2:$C$3520,$A93,Sales_Data!$H$2:$H$3520,G$14,Sales_Data!$AE$2:$AE$3520,1),SUMIFS(Sales_Data!$AE$2:$AE$3520,Sales_Data!$C$2:$C$3520,$A93,Sales_Data!$H$2:$H$3520,G$14))</f>
        <v>7</v>
      </c>
      <c r="H93" s="26" t="n">
        <f aca="false">CHOOSE(MATCH($B$3,Lists!$C$2:$C$5,0),SUMIFS(Sales_Data!$O$2:$O$3520,Sales_Data!$C$2:$C$3520,$A93,Sales_Data!$H$2:$H$3520,H$14,Sales_Data!$AE$2:$AE$3520,1),SUMIFS(Sales_Data!$M$2:$M$3520,Sales_Data!$C$2:$C$3520,$A93,Sales_Data!$H$2:$H$3520,H$14,Sales_Data!$AE$2:$AE$3520,1),SUMIFS(Sales_Data!$N$2:$N$3520,Sales_Data!$C$2:$C$3520,$A93,Sales_Data!$H$2:$H$3520,H$14,Sales_Data!$AE$2:$AE$3520,1),SUMIFS(Sales_Data!$AE$2:$AE$3520,Sales_Data!$C$2:$C$3520,$A93,Sales_Data!$H$2:$H$3520,H$14))</f>
        <v>3</v>
      </c>
      <c r="I93" s="26" t="n">
        <f aca="false">CHOOSE(MATCH($B$3,Lists!$C$2:$C$5,0),SUMIFS(Sales_Data!$O$2:$O$3520,Sales_Data!$C$2:$C$3520,$A93,Sales_Data!$H$2:$H$3520,I$14,Sales_Data!$AE$2:$AE$3520,1),SUMIFS(Sales_Data!$M$2:$M$3520,Sales_Data!$C$2:$C$3520,$A93,Sales_Data!$H$2:$H$3520,I$14,Sales_Data!$AE$2:$AE$3520,1),SUMIFS(Sales_Data!$N$2:$N$3520,Sales_Data!$C$2:$C$3520,$A93,Sales_Data!$H$2:$H$3520,I$14,Sales_Data!$AE$2:$AE$3520,1),SUMIFS(Sales_Data!$AE$2:$AE$3520,Sales_Data!$C$2:$C$3520,$A93,Sales_Data!$H$2:$H$3520,I$14))</f>
        <v>5</v>
      </c>
      <c r="J93" s="26" t="n">
        <f aca="false">CHOOSE(MATCH($B$3,Lists!$C$2:$C$5,0),SUMIFS(Sales_Data!$O$2:$O$3520,Sales_Data!$C$2:$C$3520,$A93,Sales_Data!$H$2:$H$3520,J$14,Sales_Data!$AE$2:$AE$3520,1),SUMIFS(Sales_Data!$M$2:$M$3520,Sales_Data!$C$2:$C$3520,$A93,Sales_Data!$H$2:$H$3520,J$14,Sales_Data!$AE$2:$AE$3520,1),SUMIFS(Sales_Data!$N$2:$N$3520,Sales_Data!$C$2:$C$3520,$A93,Sales_Data!$H$2:$H$3520,J$14,Sales_Data!$AE$2:$AE$3520,1),SUMIFS(Sales_Data!$AE$2:$AE$3520,Sales_Data!$C$2:$C$3520,$A93,Sales_Data!$H$2:$H$3520,J$14))</f>
        <v>25</v>
      </c>
      <c r="K93" s="26" t="n">
        <f aca="false">CHOOSE(MATCH($B$3,Lists!$C$2:$C$5,0),SUMIFS(Sales_Data!$O$2:$O$3520,Sales_Data!$C$2:$C$3520,$A93,Sales_Data!$H$2:$H$3520,K$14,Sales_Data!$AE$2:$AE$3520,1),SUMIFS(Sales_Data!$M$2:$M$3520,Sales_Data!$C$2:$C$3520,$A93,Sales_Data!$H$2:$H$3520,K$14,Sales_Data!$AE$2:$AE$3520,1),SUMIFS(Sales_Data!$N$2:$N$3520,Sales_Data!$C$2:$C$3520,$A93,Sales_Data!$H$2:$H$3520,K$14,Sales_Data!$AE$2:$AE$3520,1),SUMIFS(Sales_Data!$AE$2:$AE$3520,Sales_Data!$C$2:$C$3520,$A93,Sales_Data!$H$2:$H$3520,K$14))</f>
        <v>0</v>
      </c>
      <c r="L93" s="26" t="n">
        <f aca="false">CHOOSE(MATCH($B$3,Lists!$C$2:$C$5,0),SUMIFS(Sales_Data!$O$2:$O$3520,Sales_Data!$C$2:$C$3520,$A93,Sales_Data!$H$2:$H$3520,L$14,Sales_Data!$AE$2:$AE$3520,1),SUMIFS(Sales_Data!$M$2:$M$3520,Sales_Data!$C$2:$C$3520,$A93,Sales_Data!$H$2:$H$3520,L$14,Sales_Data!$AE$2:$AE$3520,1),SUMIFS(Sales_Data!$N$2:$N$3520,Sales_Data!$C$2:$C$3520,$A93,Sales_Data!$H$2:$H$3520,L$14,Sales_Data!$AE$2:$AE$3520,1),SUMIFS(Sales_Data!$AE$2:$AE$3520,Sales_Data!$C$2:$C$3520,$A93,Sales_Data!$H$2:$H$3520,L$14))</f>
        <v>13</v>
      </c>
      <c r="M93" s="26" t="n">
        <f aca="false">CHOOSE(MATCH($B$3,Lists!$C$2:$C$5,0),SUMIFS(Sales_Data!$O$2:$O$3520,Sales_Data!$C$2:$C$3520,$A93,Sales_Data!$H$2:$H$3520,M$14,Sales_Data!$AE$2:$AE$3520,1),SUMIFS(Sales_Data!$M$2:$M$3520,Sales_Data!$C$2:$C$3520,$A93,Sales_Data!$H$2:$H$3520,M$14,Sales_Data!$AE$2:$AE$3520,1),SUMIFS(Sales_Data!$N$2:$N$3520,Sales_Data!$C$2:$C$3520,$A93,Sales_Data!$H$2:$H$3520,M$14,Sales_Data!$AE$2:$AE$3520,1),SUMIFS(Sales_Data!$AE$2:$AE$3520,Sales_Data!$C$2:$C$3520,$A93,Sales_Data!$H$2:$H$3520,M$14))</f>
        <v>5</v>
      </c>
      <c r="N93" s="26" t="n">
        <f aca="false">CHOOSE(MATCH($B$3,Lists!$C$2:$C$5,0),SUMIFS(Sales_Data!$O$2:$O$3520,Sales_Data!$C$2:$C$3520,$A93,Sales_Data!$H$2:$H$3520,N$14,Sales_Data!$AE$2:$AE$3520,1),SUMIFS(Sales_Data!$M$2:$M$3520,Sales_Data!$C$2:$C$3520,$A93,Sales_Data!$H$2:$H$3520,N$14,Sales_Data!$AE$2:$AE$3520,1),SUMIFS(Sales_Data!$N$2:$N$3520,Sales_Data!$C$2:$C$3520,$A93,Sales_Data!$H$2:$H$3520,N$14,Sales_Data!$AE$2:$AE$3520,1),SUMIFS(Sales_Data!$AE$2:$AE$3520,Sales_Data!$C$2:$C$3520,$A93,Sales_Data!$H$2:$H$3520,N$14))</f>
        <v>4</v>
      </c>
      <c r="O93" s="26" t="n">
        <f aca="false">CHOOSE(MATCH($B$3,Lists!$C$2:$C$5,0),SUMIFS(Sales_Data!$O$2:$O$3520,Sales_Data!$C$2:$C$3520,$A93,Sales_Data!$H$2:$H$3520,O$14,Sales_Data!$AE$2:$AE$3520,1),SUMIFS(Sales_Data!$M$2:$M$3520,Sales_Data!$C$2:$C$3520,$A93,Sales_Data!$H$2:$H$3520,O$14,Sales_Data!$AE$2:$AE$3520,1),SUMIFS(Sales_Data!$N$2:$N$3520,Sales_Data!$C$2:$C$3520,$A93,Sales_Data!$H$2:$H$3520,O$14,Sales_Data!$AE$2:$AE$3520,1),SUMIFS(Sales_Data!$AE$2:$AE$3520,Sales_Data!$C$2:$C$3520,$A93,Sales_Data!$H$2:$H$3520,O$14))</f>
        <v>0</v>
      </c>
      <c r="P93" s="27" t="n">
        <f aca="false">CHOOSE(MATCH($B$3,Lists!$C$2:$C$5,0),SUMIFS(Sales_Data!$O$2:$O$3520,Sales_Data!$C$2:$C$3520,$A93,Sales_Data!$AE$2:$AE$3520,1),SUMIFS(Sales_Data!$M$2:$M$3520,Sales_Data!$C$2:$C$3520,$A93,Sales_Data!$AE$2:$AE$3520,1),SUMIFS(Sales_Data!$N$2:$N$3520,Sales_Data!$C$2:$C$3520,$A93,Sales_Data!$AE$2:$AE$3520,1),SUMIFS(Sales_Data!$AE$2:$AE$3520,Sales_Data!$C$2:$C$3520,$A93))</f>
        <v>123</v>
      </c>
      <c r="Q93" s="27" t="n">
        <f aca="false">P93-SUM(B93:O93)</f>
        <v>18</v>
      </c>
      <c r="R93" s="3"/>
      <c r="S93" s="72" t="n">
        <f aca="false">A93</f>
        <v>46303</v>
      </c>
      <c r="T93" s="28" t="n">
        <f aca="false">B93-B92</f>
        <v>-1</v>
      </c>
      <c r="U93" s="28" t="n">
        <f aca="false">C93-C92</f>
        <v>1</v>
      </c>
      <c r="V93" s="28" t="n">
        <f aca="false">D93-D92</f>
        <v>0</v>
      </c>
      <c r="W93" s="28" t="n">
        <f aca="false">E93-E92</f>
        <v>-1</v>
      </c>
      <c r="X93" s="28" t="n">
        <f aca="false">F93-F92</f>
        <v>5</v>
      </c>
      <c r="Y93" s="28" t="n">
        <f aca="false">G93-G92</f>
        <v>-5</v>
      </c>
      <c r="Z93" s="28" t="n">
        <f aca="false">H93-H92</f>
        <v>-1</v>
      </c>
      <c r="AA93" s="28" t="n">
        <f aca="false">I93-I92</f>
        <v>-1</v>
      </c>
      <c r="AB93" s="28" t="n">
        <f aca="false">J93-J92</f>
        <v>2</v>
      </c>
      <c r="AC93" s="28" t="n">
        <f aca="false">K93-K92</f>
        <v>0</v>
      </c>
      <c r="AD93" s="28" t="n">
        <f aca="false">L93-L92</f>
        <v>0</v>
      </c>
      <c r="AE93" s="28" t="n">
        <f aca="false">M93-M92</f>
        <v>-7</v>
      </c>
      <c r="AF93" s="28" t="n">
        <f aca="false">N93-N92</f>
        <v>-6</v>
      </c>
      <c r="AG93" s="28" t="n">
        <f aca="false">O93-O92</f>
        <v>0</v>
      </c>
      <c r="AH93" s="28" t="n">
        <f aca="false">P93-P92</f>
        <v>-2</v>
      </c>
    </row>
  </sheetData>
  <mergeCells count="2">
    <mergeCell ref="A1:Q1"/>
    <mergeCell ref="A2:Q2"/>
  </mergeCells>
  <conditionalFormatting sqref="B15:O93">
    <cfRule type="colorScale" priority="2">
      <colorScale>
        <cfvo type="num" val="0"/>
        <cfvo type="max" val="0"/>
        <color rgb="FFFFFFFF"/>
        <color rgb="FF63BE7B"/>
      </colorScale>
    </cfRule>
  </conditionalFormatting>
  <conditionalFormatting sqref="T15:AH93">
    <cfRule type="cellIs" priority="3" operator="greaterThan" aboveAverage="0" equalAverage="0" bottom="0" percent="0" rank="0" text="" dxfId="0">
      <formula>0</formula>
    </cfRule>
    <cfRule type="cellIs" priority="4" operator="lessThan" aboveAverage="0" equalAverage="0" bottom="0" percent="0" rank="0" text="" dxfId="1">
      <formula>0</formula>
    </cfRule>
  </conditionalFormatting>
  <conditionalFormatting sqref="B11:Q11">
    <cfRule type="cellIs" priority="5" operator="greaterThan" aboveAverage="0" equalAverage="0" bottom="0" percent="0" rank="0" text="" dxfId="0">
      <formula>0</formula>
    </cfRule>
    <cfRule type="cellIs" priority="6" operator="lessThan" aboveAverage="0" equalAverage="0" bottom="0" percent="0" rank="0" text="" dxfId="1">
      <formula>0</formula>
    </cfRule>
  </conditionalFormatting>
  <conditionalFormatting sqref="B12:O12">
    <cfRule type="colorScale" priority="7">
      <colorScale>
        <cfvo type="min" val="0"/>
        <cfvo type="max" val="0"/>
        <color rgb="FF63BE7B"/>
        <color rgb="FFF8696B"/>
      </colorScale>
    </cfRule>
  </conditionalFormatting>
  <dataValidations count="1">
    <dataValidation allowBlank="false" errorStyle="stop" operator="between" showDropDown="false" showErrorMessage="false" showInputMessage="false" sqref="B3" type="list">
      <formula1>Lists!$C$2:$C$5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BC9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7" topLeftCell="B18" activePane="bottomRight" state="frozen"/>
      <selection pane="topLeft" activeCell="A1" activeCellId="0" sqref="A1"/>
      <selection pane="topRight" activeCell="B1" activeCellId="0" sqref="B1"/>
      <selection pane="bottomLeft" activeCell="A18" activeCellId="0" sqref="A18"/>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7" min="2" style="0" width="13"/>
    <col collapsed="false" customWidth="true" hidden="false" outlineLevel="0" max="28" min="28" style="0" width="2"/>
    <col collapsed="false" customWidth="true" hidden="false" outlineLevel="0" max="55" min="29" style="0" width="13"/>
  </cols>
  <sheetData>
    <row r="1" customFormat="false" ht="30" hidden="false" customHeight="true" outlineLevel="0" collapsed="false">
      <c r="A1" s="1" t="s">
        <v>6918</v>
      </c>
      <c r="B1" s="1"/>
      <c r="C1" s="1"/>
      <c r="D1" s="1"/>
      <c r="E1" s="1"/>
      <c r="F1" s="1"/>
      <c r="G1" s="1"/>
      <c r="H1" s="1"/>
      <c r="I1" s="1"/>
      <c r="J1" s="1"/>
      <c r="K1" s="1"/>
      <c r="L1" s="1"/>
      <c r="M1" s="1"/>
      <c r="N1" s="1"/>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row>
    <row r="2" customFormat="false" ht="15" hidden="false" customHeight="false" outlineLevel="0" collapsed="false">
      <c r="A2" s="2" t="s">
        <v>6919</v>
      </c>
      <c r="B2" s="2"/>
      <c r="C2" s="2"/>
      <c r="D2" s="2"/>
      <c r="E2" s="2"/>
      <c r="F2" s="2"/>
      <c r="G2" s="2"/>
      <c r="H2" s="2"/>
      <c r="I2" s="2"/>
      <c r="J2" s="2"/>
      <c r="K2" s="2"/>
      <c r="L2" s="2"/>
      <c r="M2" s="2"/>
      <c r="N2" s="2"/>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row>
    <row r="3" customFormat="false" ht="15" hidden="false" customHeight="false" outlineLevel="0" collapsed="false">
      <c r="A3" s="66" t="s">
        <v>6920</v>
      </c>
      <c r="B3" s="10" t="s">
        <v>55</v>
      </c>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row>
    <row r="4" customFormat="false" ht="15" hidden="false" customHeight="false" outlineLevel="0" collapsed="false">
      <c r="A4" s="66" t="s">
        <v>6911</v>
      </c>
      <c r="B4" s="10" t="s">
        <v>3</v>
      </c>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row>
    <row r="5" customFormat="false" ht="15" hidden="false" customHeight="false" outlineLevel="0" collapsed="false">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row>
    <row r="6" customFormat="false" ht="45" hidden="false" customHeight="true" outlineLevel="0" collapsed="false">
      <c r="A6" s="5" t="s">
        <v>76</v>
      </c>
      <c r="B6" s="67" t="str">
        <f aca="false">IFERROR(INDEX(Roster!$B$2:$B$251,MATCH($B$3&amp;"|"&amp;1,Roster!$K$2:$K$251,0)),"")</f>
        <v>Abdelwahab Ibrahim Mohamed Fahmy Elshafaay</v>
      </c>
      <c r="C6" s="67" t="str">
        <f aca="false">IFERROR(INDEX(Roster!$B$2:$B$251,MATCH($B$3&amp;"|"&amp;2,Roster!$K$2:$K$251,0)),"")</f>
        <v>Ahmad Salah Mohammed Abdelhafiez Kahala</v>
      </c>
      <c r="D6" s="67" t="str">
        <f aca="false">IFERROR(INDEX(Roster!$B$2:$B$251,MATCH($B$3&amp;"|"&amp;3,Roster!$K$2:$K$251,0)),"")</f>
        <v>Ahmed Ali Mohamed Ali</v>
      </c>
      <c r="E6" s="67" t="str">
        <f aca="false">IFERROR(INDEX(Roster!$B$2:$B$251,MATCH($B$3&amp;"|"&amp;4,Roster!$K$2:$K$251,0)),"")</f>
        <v>Ahmed Islam Hamed Elbanna</v>
      </c>
      <c r="F6" s="67" t="str">
        <f aca="false">IFERROR(INDEX(Roster!$B$2:$B$251,MATCH($B$3&amp;"|"&amp;5,Roster!$K$2:$K$251,0)),"")</f>
        <v>Ahmed Sabry Mohamed Attia</v>
      </c>
      <c r="G6" s="67" t="str">
        <f aca="false">IFERROR(INDEX(Roster!$B$2:$B$251,MATCH($B$3&amp;"|"&amp;6,Roster!$K$2:$K$251,0)),"")</f>
        <v>Amr Abdallah</v>
      </c>
      <c r="H6" s="67" t="str">
        <f aca="false">IFERROR(INDEX(Roster!$B$2:$B$251,MATCH($B$3&amp;"|"&amp;7,Roster!$K$2:$K$251,0)),"")</f>
        <v>Amr Hassan Abdellatif Hassanin</v>
      </c>
      <c r="I6" s="67" t="str">
        <f aca="false">IFERROR(INDEX(Roster!$B$2:$B$251,MATCH($B$3&amp;"|"&amp;8,Roster!$K$2:$K$251,0)),"")</f>
        <v>Jana Mostafa Abdelwahab Mostafa Soliman</v>
      </c>
      <c r="J6" s="67" t="str">
        <f aca="false">IFERROR(INDEX(Roster!$B$2:$B$251,MATCH($B$3&amp;"|"&amp;9,Roster!$K$2:$K$251,0)),"")</f>
        <v>Kareem Mohamed Abosrea Gharib</v>
      </c>
      <c r="K6" s="67" t="str">
        <f aca="false">IFERROR(INDEX(Roster!$B$2:$B$251,MATCH($B$3&amp;"|"&amp;10,Roster!$K$2:$K$251,0)),"")</f>
        <v>Marcus Gamil Hanna Tadros</v>
      </c>
      <c r="L6" s="67" t="str">
        <f aca="false">IFERROR(INDEX(Roster!$B$2:$B$251,MATCH($B$3&amp;"|"&amp;11,Roster!$K$2:$K$251,0)),"")</f>
        <v>Mariam Ibrahim Abdeldaym Saif Elden</v>
      </c>
      <c r="M6" s="67" t="str">
        <f aca="false">IFERROR(INDEX(Roster!$B$2:$B$251,MATCH($B$3&amp;"|"&amp;12,Roster!$K$2:$K$251,0)),"")</f>
        <v>Mohamed Kamal Ahmed Rashwan</v>
      </c>
      <c r="N6" s="67" t="str">
        <f aca="false">IFERROR(INDEX(Roster!$B$2:$B$251,MATCH($B$3&amp;"|"&amp;13,Roster!$K$2:$K$251,0)),"")</f>
        <v>Mohamed Tarek Ali Mahmoud</v>
      </c>
      <c r="O6" s="67" t="str">
        <f aca="false">IFERROR(INDEX(Roster!$B$2:$B$251,MATCH($B$3&amp;"|"&amp;14,Roster!$K$2:$K$251,0)),"")</f>
        <v>Mohammed Mahrous Ahmed Ammar</v>
      </c>
      <c r="P6" s="67" t="str">
        <f aca="false">IFERROR(INDEX(Roster!$B$2:$B$251,MATCH($B$3&amp;"|"&amp;15,Roster!$K$2:$K$251,0)),"")</f>
        <v>Omar Abdelgawad Ahmed Abdelglel</v>
      </c>
      <c r="Q6" s="67" t="str">
        <f aca="false">IFERROR(INDEX(Roster!$B$2:$B$251,MATCH($B$3&amp;"|"&amp;16,Roster!$K$2:$K$251,0)),"")</f>
        <v>Omar Ahmed Salah Eldin Mohamed Kamel</v>
      </c>
      <c r="R6" s="67" t="str">
        <f aca="false">IFERROR(INDEX(Roster!$B$2:$B$251,MATCH($B$3&amp;"|"&amp;17,Roster!$K$2:$K$251,0)),"")</f>
        <v>Youssef Osama Mohamed Abdelmneam</v>
      </c>
      <c r="S6" s="67" t="str">
        <f aca="false">IFERROR(INDEX(Roster!$B$2:$B$251,MATCH($B$3&amp;"|"&amp;18,Roster!$K$2:$K$251,0)),"")</f>
        <v>Youssef Sayed Ahmed Mahmoud Awadeen</v>
      </c>
      <c r="T6" s="67" t="str">
        <f aca="false">IFERROR(INDEX(Roster!$B$2:$B$251,MATCH($B$3&amp;"|"&amp;19,Roster!$K$2:$K$251,0)),"")</f>
        <v/>
      </c>
      <c r="U6" s="67" t="str">
        <f aca="false">IFERROR(INDEX(Roster!$B$2:$B$251,MATCH($B$3&amp;"|"&amp;20,Roster!$K$2:$K$251,0)),"")</f>
        <v/>
      </c>
      <c r="V6" s="67" t="str">
        <f aca="false">IFERROR(INDEX(Roster!$B$2:$B$251,MATCH($B$3&amp;"|"&amp;21,Roster!$K$2:$K$251,0)),"")</f>
        <v/>
      </c>
      <c r="W6" s="67" t="str">
        <f aca="false">IFERROR(INDEX(Roster!$B$2:$B$251,MATCH($B$3&amp;"|"&amp;22,Roster!$K$2:$K$251,0)),"")</f>
        <v/>
      </c>
      <c r="X6" s="67" t="str">
        <f aca="false">IFERROR(INDEX(Roster!$B$2:$B$251,MATCH($B$3&amp;"|"&amp;23,Roster!$K$2:$K$251,0)),"")</f>
        <v/>
      </c>
      <c r="Y6" s="67" t="str">
        <f aca="false">IFERROR(INDEX(Roster!$B$2:$B$251,MATCH($B$3&amp;"|"&amp;24,Roster!$K$2:$K$251,0)),"")</f>
        <v/>
      </c>
      <c r="Z6" s="67" t="str">
        <f aca="false">IFERROR(INDEX(Roster!$B$2:$B$251,MATCH($B$3&amp;"|"&amp;25,Roster!$K$2:$K$251,0)),"")</f>
        <v/>
      </c>
      <c r="AA6" s="5" t="s">
        <v>6921</v>
      </c>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row>
    <row r="7" customFormat="false" ht="15" hidden="false" customHeight="false" outlineLevel="0" collapsed="false">
      <c r="A7" s="68" t="s">
        <v>6443</v>
      </c>
      <c r="B7" s="53" t="str">
        <f aca="false">IFERROR(INDEX(Roster!$A$2:$A$251,MATCH($B$3&amp;"|"&amp;1,Roster!$K$2:$K$251,0)),"")</f>
        <v>100078343</v>
      </c>
      <c r="C7" s="53" t="str">
        <f aca="false">IFERROR(INDEX(Roster!$A$2:$A$251,MATCH($B$3&amp;"|"&amp;2,Roster!$K$2:$K$251,0)),"")</f>
        <v>100078347</v>
      </c>
      <c r="D7" s="53" t="str">
        <f aca="false">IFERROR(INDEX(Roster!$A$2:$A$251,MATCH($B$3&amp;"|"&amp;3,Roster!$K$2:$K$251,0)),"")</f>
        <v>100078338</v>
      </c>
      <c r="E7" s="53" t="str">
        <f aca="false">IFERROR(INDEX(Roster!$A$2:$A$251,MATCH($B$3&amp;"|"&amp;4,Roster!$K$2:$K$251,0)),"")</f>
        <v>100078329</v>
      </c>
      <c r="F7" s="53" t="str">
        <f aca="false">IFERROR(INDEX(Roster!$A$2:$A$251,MATCH($B$3&amp;"|"&amp;5,Roster!$K$2:$K$251,0)),"")</f>
        <v>100078334</v>
      </c>
      <c r="G7" s="53" t="str">
        <f aca="false">IFERROR(INDEX(Roster!$A$2:$A$251,MATCH($B$3&amp;"|"&amp;6,Roster!$K$2:$K$251,0)),"")</f>
        <v>100076216</v>
      </c>
      <c r="H7" s="53" t="str">
        <f aca="false">IFERROR(INDEX(Roster!$A$2:$A$251,MATCH($B$3&amp;"|"&amp;7,Roster!$K$2:$K$251,0)),"")</f>
        <v>100078615</v>
      </c>
      <c r="I7" s="53" t="str">
        <f aca="false">IFERROR(INDEX(Roster!$A$2:$A$251,MATCH($B$3&amp;"|"&amp;8,Roster!$K$2:$K$251,0)),"")</f>
        <v>100078333</v>
      </c>
      <c r="J7" s="53" t="str">
        <f aca="false">IFERROR(INDEX(Roster!$A$2:$A$251,MATCH($B$3&amp;"|"&amp;9,Roster!$K$2:$K$251,0)),"")</f>
        <v>100078346</v>
      </c>
      <c r="K7" s="53" t="str">
        <f aca="false">IFERROR(INDEX(Roster!$A$2:$A$251,MATCH($B$3&amp;"|"&amp;10,Roster!$K$2:$K$251,0)),"")</f>
        <v>100078339</v>
      </c>
      <c r="L7" s="53" t="str">
        <f aca="false">IFERROR(INDEX(Roster!$A$2:$A$251,MATCH($B$3&amp;"|"&amp;11,Roster!$K$2:$K$251,0)),"")</f>
        <v>100078340</v>
      </c>
      <c r="M7" s="53" t="str">
        <f aca="false">IFERROR(INDEX(Roster!$A$2:$A$251,MATCH($B$3&amp;"|"&amp;12,Roster!$K$2:$K$251,0)),"")</f>
        <v>100078325</v>
      </c>
      <c r="N7" s="53" t="str">
        <f aca="false">IFERROR(INDEX(Roster!$A$2:$A$251,MATCH($B$3&amp;"|"&amp;13,Roster!$K$2:$K$251,0)),"")</f>
        <v>100078344</v>
      </c>
      <c r="O7" s="53" t="str">
        <f aca="false">IFERROR(INDEX(Roster!$A$2:$A$251,MATCH($B$3&amp;"|"&amp;14,Roster!$K$2:$K$251,0)),"")</f>
        <v>100078336</v>
      </c>
      <c r="P7" s="53" t="str">
        <f aca="false">IFERROR(INDEX(Roster!$A$2:$A$251,MATCH($B$3&amp;"|"&amp;15,Roster!$K$2:$K$251,0)),"")</f>
        <v>100078342</v>
      </c>
      <c r="Q7" s="53" t="str">
        <f aca="false">IFERROR(INDEX(Roster!$A$2:$A$251,MATCH($B$3&amp;"|"&amp;16,Roster!$K$2:$K$251,0)),"")</f>
        <v>100078326</v>
      </c>
      <c r="R7" s="53" t="str">
        <f aca="false">IFERROR(INDEX(Roster!$A$2:$A$251,MATCH($B$3&amp;"|"&amp;17,Roster!$K$2:$K$251,0)),"")</f>
        <v>100078330</v>
      </c>
      <c r="S7" s="53" t="str">
        <f aca="false">IFERROR(INDEX(Roster!$A$2:$A$251,MATCH($B$3&amp;"|"&amp;18,Roster!$K$2:$K$251,0)),"")</f>
        <v>100078341</v>
      </c>
      <c r="T7" s="53" t="str">
        <f aca="false">IFERROR(INDEX(Roster!$A$2:$A$251,MATCH($B$3&amp;"|"&amp;19,Roster!$K$2:$K$251,0)),"")</f>
        <v/>
      </c>
      <c r="U7" s="53" t="str">
        <f aca="false">IFERROR(INDEX(Roster!$A$2:$A$251,MATCH($B$3&amp;"|"&amp;20,Roster!$K$2:$K$251,0)),"")</f>
        <v/>
      </c>
      <c r="V7" s="53" t="str">
        <f aca="false">IFERROR(INDEX(Roster!$A$2:$A$251,MATCH($B$3&amp;"|"&amp;21,Roster!$K$2:$K$251,0)),"")</f>
        <v/>
      </c>
      <c r="W7" s="53" t="str">
        <f aca="false">IFERROR(INDEX(Roster!$A$2:$A$251,MATCH($B$3&amp;"|"&amp;22,Roster!$K$2:$K$251,0)),"")</f>
        <v/>
      </c>
      <c r="X7" s="53" t="str">
        <f aca="false">IFERROR(INDEX(Roster!$A$2:$A$251,MATCH($B$3&amp;"|"&amp;23,Roster!$K$2:$K$251,0)),"")</f>
        <v/>
      </c>
      <c r="Y7" s="53" t="str">
        <f aca="false">IFERROR(INDEX(Roster!$A$2:$A$251,MATCH($B$3&amp;"|"&amp;24,Roster!$K$2:$K$251,0)),"")</f>
        <v/>
      </c>
      <c r="Z7" s="53" t="str">
        <f aca="false">IFERROR(INDEX(Roster!$A$2:$A$251,MATCH($B$3&amp;"|"&amp;25,Roster!$K$2:$K$251,0)),"")</f>
        <v/>
      </c>
      <c r="AA7" s="35"/>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row>
    <row r="8" customFormat="false" ht="15" hidden="false" customHeight="false" outlineLevel="0" collapsed="false">
      <c r="A8" s="68" t="s">
        <v>123</v>
      </c>
      <c r="B8" s="53" t="str">
        <f aca="false">IFERROR(INDEX(Roster!$F$2:$F$251,MATCH($B$3&amp;"|"&amp;1,Roster!$K$2:$K$251,0)),"")</f>
        <v>Training</v>
      </c>
      <c r="C8" s="53" t="str">
        <f aca="false">IFERROR(INDEX(Roster!$F$2:$F$251,MATCH($B$3&amp;"|"&amp;2,Roster!$K$2:$K$251,0)),"")</f>
        <v>Training</v>
      </c>
      <c r="D8" s="53" t="str">
        <f aca="false">IFERROR(INDEX(Roster!$F$2:$F$251,MATCH($B$3&amp;"|"&amp;3,Roster!$K$2:$K$251,0)),"")</f>
        <v>Training</v>
      </c>
      <c r="E8" s="53" t="str">
        <f aca="false">IFERROR(INDEX(Roster!$F$2:$F$251,MATCH($B$3&amp;"|"&amp;4,Roster!$K$2:$K$251,0)),"")</f>
        <v>Training</v>
      </c>
      <c r="F8" s="53" t="str">
        <f aca="false">IFERROR(INDEX(Roster!$F$2:$F$251,MATCH($B$3&amp;"|"&amp;5,Roster!$K$2:$K$251,0)),"")</f>
        <v>Training</v>
      </c>
      <c r="G8" s="53" t="str">
        <f aca="false">IFERROR(INDEX(Roster!$F$2:$F$251,MATCH($B$3&amp;"|"&amp;6,Roster!$K$2:$K$251,0)),"")</f>
        <v>Production</v>
      </c>
      <c r="H8" s="53" t="str">
        <f aca="false">IFERROR(INDEX(Roster!$F$2:$F$251,MATCH($B$3&amp;"|"&amp;7,Roster!$K$2:$K$251,0)),"")</f>
        <v>Training</v>
      </c>
      <c r="I8" s="53" t="str">
        <f aca="false">IFERROR(INDEX(Roster!$F$2:$F$251,MATCH($B$3&amp;"|"&amp;8,Roster!$K$2:$K$251,0)),"")</f>
        <v>Training</v>
      </c>
      <c r="J8" s="53" t="str">
        <f aca="false">IFERROR(INDEX(Roster!$F$2:$F$251,MATCH($B$3&amp;"|"&amp;9,Roster!$K$2:$K$251,0)),"")</f>
        <v>Training</v>
      </c>
      <c r="K8" s="53" t="str">
        <f aca="false">IFERROR(INDEX(Roster!$F$2:$F$251,MATCH($B$3&amp;"|"&amp;10,Roster!$K$2:$K$251,0)),"")</f>
        <v>Training</v>
      </c>
      <c r="L8" s="53" t="str">
        <f aca="false">IFERROR(INDEX(Roster!$F$2:$F$251,MATCH($B$3&amp;"|"&amp;11,Roster!$K$2:$K$251,0)),"")</f>
        <v>Training</v>
      </c>
      <c r="M8" s="53" t="str">
        <f aca="false">IFERROR(INDEX(Roster!$F$2:$F$251,MATCH($B$3&amp;"|"&amp;12,Roster!$K$2:$K$251,0)),"")</f>
        <v>Training</v>
      </c>
      <c r="N8" s="53" t="str">
        <f aca="false">IFERROR(INDEX(Roster!$F$2:$F$251,MATCH($B$3&amp;"|"&amp;13,Roster!$K$2:$K$251,0)),"")</f>
        <v>Training</v>
      </c>
      <c r="O8" s="53" t="str">
        <f aca="false">IFERROR(INDEX(Roster!$F$2:$F$251,MATCH($B$3&amp;"|"&amp;14,Roster!$K$2:$K$251,0)),"")</f>
        <v>Training</v>
      </c>
      <c r="P8" s="53" t="str">
        <f aca="false">IFERROR(INDEX(Roster!$F$2:$F$251,MATCH($B$3&amp;"|"&amp;15,Roster!$K$2:$K$251,0)),"")</f>
        <v>Training</v>
      </c>
      <c r="Q8" s="53" t="str">
        <f aca="false">IFERROR(INDEX(Roster!$F$2:$F$251,MATCH($B$3&amp;"|"&amp;16,Roster!$K$2:$K$251,0)),"")</f>
        <v>Training</v>
      </c>
      <c r="R8" s="53" t="str">
        <f aca="false">IFERROR(INDEX(Roster!$F$2:$F$251,MATCH($B$3&amp;"|"&amp;17,Roster!$K$2:$K$251,0)),"")</f>
        <v>Training</v>
      </c>
      <c r="S8" s="53" t="str">
        <f aca="false">IFERROR(INDEX(Roster!$F$2:$F$251,MATCH($B$3&amp;"|"&amp;18,Roster!$K$2:$K$251,0)),"")</f>
        <v>Training</v>
      </c>
      <c r="T8" s="53" t="str">
        <f aca="false">IFERROR(INDEX(Roster!$F$2:$F$251,MATCH($B$3&amp;"|"&amp;19,Roster!$K$2:$K$251,0)),"")</f>
        <v/>
      </c>
      <c r="U8" s="53" t="str">
        <f aca="false">IFERROR(INDEX(Roster!$F$2:$F$251,MATCH($B$3&amp;"|"&amp;20,Roster!$K$2:$K$251,0)),"")</f>
        <v/>
      </c>
      <c r="V8" s="53" t="str">
        <f aca="false">IFERROR(INDEX(Roster!$F$2:$F$251,MATCH($B$3&amp;"|"&amp;21,Roster!$K$2:$K$251,0)),"")</f>
        <v/>
      </c>
      <c r="W8" s="53" t="str">
        <f aca="false">IFERROR(INDEX(Roster!$F$2:$F$251,MATCH($B$3&amp;"|"&amp;22,Roster!$K$2:$K$251,0)),"")</f>
        <v/>
      </c>
      <c r="X8" s="53" t="str">
        <f aca="false">IFERROR(INDEX(Roster!$F$2:$F$251,MATCH($B$3&amp;"|"&amp;23,Roster!$K$2:$K$251,0)),"")</f>
        <v/>
      </c>
      <c r="Y8" s="53" t="str">
        <f aca="false">IFERROR(INDEX(Roster!$F$2:$F$251,MATCH($B$3&amp;"|"&amp;24,Roster!$K$2:$K$251,0)),"")</f>
        <v/>
      </c>
      <c r="Z8" s="53" t="str">
        <f aca="false">IFERROR(INDEX(Roster!$F$2:$F$251,MATCH($B$3&amp;"|"&amp;25,Roster!$K$2:$K$251,0)),"")</f>
        <v/>
      </c>
      <c r="AA8" s="35"/>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row>
    <row r="9" customFormat="false" ht="15" hidden="false" customHeight="false" outlineLevel="0" collapsed="false">
      <c r="A9" s="68" t="s">
        <v>6914</v>
      </c>
      <c r="B9" s="27" t="n">
        <f aca="false">IF(B$7="","",CHOOSE(MATCH($B$4,Lists!$C$2:$C$5,0),SUMIFS(Sales_Data!$O$2:$O$3520,Sales_Data!$C$2:$C$3520,"&gt;="&amp;Dashboard!$C$5,Sales_Data!$C$2:$C$3520,"&lt;="&amp;Dashboard!$C$6,Sales_Data!$F$2:$F$3520,B$7,Sales_Data!$AE$2:$AE$3520,1),SUMIFS(Sales_Data!$M$2:$M$3520,Sales_Data!$C$2:$C$3520,"&gt;="&amp;Dashboard!$C$5,Sales_Data!$C$2:$C$3520,"&lt;="&amp;Dashboard!$C$6,Sales_Data!$F$2:$F$3520,B$7,Sales_Data!$AE$2:$AE$3520,1),SUMIFS(Sales_Data!$N$2:$N$3520,Sales_Data!$C$2:$C$3520,"&gt;="&amp;Dashboard!$C$5,Sales_Data!$C$2:$C$3520,"&lt;="&amp;Dashboard!$C$6,Sales_Data!$F$2:$F$3520,B$7,Sales_Data!$AE$2:$AE$3520,1),SUMIFS(Sales_Data!$AE$2:$AE$3520,Sales_Data!$C$2:$C$3520,"&gt;="&amp;Dashboard!$C$5,Sales_Data!$C$2:$C$3520,"&lt;="&amp;Dashboard!$C$6,Sales_Data!$F$2:$F$3520,B$7)))</f>
        <v>6</v>
      </c>
      <c r="C9" s="27" t="n">
        <f aca="false">IF(C$7="","",CHOOSE(MATCH($B$4,Lists!$C$2:$C$5,0),SUMIFS(Sales_Data!$O$2:$O$3520,Sales_Data!$C$2:$C$3520,"&gt;="&amp;Dashboard!$C$5,Sales_Data!$C$2:$C$3520,"&lt;="&amp;Dashboard!$C$6,Sales_Data!$F$2:$F$3520,C$7,Sales_Data!$AE$2:$AE$3520,1),SUMIFS(Sales_Data!$M$2:$M$3520,Sales_Data!$C$2:$C$3520,"&gt;="&amp;Dashboard!$C$5,Sales_Data!$C$2:$C$3520,"&lt;="&amp;Dashboard!$C$6,Sales_Data!$F$2:$F$3520,C$7,Sales_Data!$AE$2:$AE$3520,1),SUMIFS(Sales_Data!$N$2:$N$3520,Sales_Data!$C$2:$C$3520,"&gt;="&amp;Dashboard!$C$5,Sales_Data!$C$2:$C$3520,"&lt;="&amp;Dashboard!$C$6,Sales_Data!$F$2:$F$3520,C$7,Sales_Data!$AE$2:$AE$3520,1),SUMIFS(Sales_Data!$AE$2:$AE$3520,Sales_Data!$C$2:$C$3520,"&gt;="&amp;Dashboard!$C$5,Sales_Data!$C$2:$C$3520,"&lt;="&amp;Dashboard!$C$6,Sales_Data!$F$2:$F$3520,C$7)))</f>
        <v>5</v>
      </c>
      <c r="D9" s="27" t="n">
        <f aca="false">IF(D$7="","",CHOOSE(MATCH($B$4,Lists!$C$2:$C$5,0),SUMIFS(Sales_Data!$O$2:$O$3520,Sales_Data!$C$2:$C$3520,"&gt;="&amp;Dashboard!$C$5,Sales_Data!$C$2:$C$3520,"&lt;="&amp;Dashboard!$C$6,Sales_Data!$F$2:$F$3520,D$7,Sales_Data!$AE$2:$AE$3520,1),SUMIFS(Sales_Data!$M$2:$M$3520,Sales_Data!$C$2:$C$3520,"&gt;="&amp;Dashboard!$C$5,Sales_Data!$C$2:$C$3520,"&lt;="&amp;Dashboard!$C$6,Sales_Data!$F$2:$F$3520,D$7,Sales_Data!$AE$2:$AE$3520,1),SUMIFS(Sales_Data!$N$2:$N$3520,Sales_Data!$C$2:$C$3520,"&gt;="&amp;Dashboard!$C$5,Sales_Data!$C$2:$C$3520,"&lt;="&amp;Dashboard!$C$6,Sales_Data!$F$2:$F$3520,D$7,Sales_Data!$AE$2:$AE$3520,1),SUMIFS(Sales_Data!$AE$2:$AE$3520,Sales_Data!$C$2:$C$3520,"&gt;="&amp;Dashboard!$C$5,Sales_Data!$C$2:$C$3520,"&lt;="&amp;Dashboard!$C$6,Sales_Data!$F$2:$F$3520,D$7)))</f>
        <v>5</v>
      </c>
      <c r="E9" s="27" t="n">
        <f aca="false">IF(E$7="","",CHOOSE(MATCH($B$4,Lists!$C$2:$C$5,0),SUMIFS(Sales_Data!$O$2:$O$3520,Sales_Data!$C$2:$C$3520,"&gt;="&amp;Dashboard!$C$5,Sales_Data!$C$2:$C$3520,"&lt;="&amp;Dashboard!$C$6,Sales_Data!$F$2:$F$3520,E$7,Sales_Data!$AE$2:$AE$3520,1),SUMIFS(Sales_Data!$M$2:$M$3520,Sales_Data!$C$2:$C$3520,"&gt;="&amp;Dashboard!$C$5,Sales_Data!$C$2:$C$3520,"&lt;="&amp;Dashboard!$C$6,Sales_Data!$F$2:$F$3520,E$7,Sales_Data!$AE$2:$AE$3520,1),SUMIFS(Sales_Data!$N$2:$N$3520,Sales_Data!$C$2:$C$3520,"&gt;="&amp;Dashboard!$C$5,Sales_Data!$C$2:$C$3520,"&lt;="&amp;Dashboard!$C$6,Sales_Data!$F$2:$F$3520,E$7,Sales_Data!$AE$2:$AE$3520,1),SUMIFS(Sales_Data!$AE$2:$AE$3520,Sales_Data!$C$2:$C$3520,"&gt;="&amp;Dashboard!$C$5,Sales_Data!$C$2:$C$3520,"&lt;="&amp;Dashboard!$C$6,Sales_Data!$F$2:$F$3520,E$7)))</f>
        <v>6</v>
      </c>
      <c r="F9" s="27" t="n">
        <f aca="false">IF(F$7="","",CHOOSE(MATCH($B$4,Lists!$C$2:$C$5,0),SUMIFS(Sales_Data!$O$2:$O$3520,Sales_Data!$C$2:$C$3520,"&gt;="&amp;Dashboard!$C$5,Sales_Data!$C$2:$C$3520,"&lt;="&amp;Dashboard!$C$6,Sales_Data!$F$2:$F$3520,F$7,Sales_Data!$AE$2:$AE$3520,1),SUMIFS(Sales_Data!$M$2:$M$3520,Sales_Data!$C$2:$C$3520,"&gt;="&amp;Dashboard!$C$5,Sales_Data!$C$2:$C$3520,"&lt;="&amp;Dashboard!$C$6,Sales_Data!$F$2:$F$3520,F$7,Sales_Data!$AE$2:$AE$3520,1),SUMIFS(Sales_Data!$N$2:$N$3520,Sales_Data!$C$2:$C$3520,"&gt;="&amp;Dashboard!$C$5,Sales_Data!$C$2:$C$3520,"&lt;="&amp;Dashboard!$C$6,Sales_Data!$F$2:$F$3520,F$7,Sales_Data!$AE$2:$AE$3520,1),SUMIFS(Sales_Data!$AE$2:$AE$3520,Sales_Data!$C$2:$C$3520,"&gt;="&amp;Dashboard!$C$5,Sales_Data!$C$2:$C$3520,"&lt;="&amp;Dashboard!$C$6,Sales_Data!$F$2:$F$3520,F$7)))</f>
        <v>3</v>
      </c>
      <c r="G9" s="27" t="n">
        <f aca="false">IF(G$7="","",CHOOSE(MATCH($B$4,Lists!$C$2:$C$5,0),SUMIFS(Sales_Data!$O$2:$O$3520,Sales_Data!$C$2:$C$3520,"&gt;="&amp;Dashboard!$C$5,Sales_Data!$C$2:$C$3520,"&lt;="&amp;Dashboard!$C$6,Sales_Data!$F$2:$F$3520,G$7,Sales_Data!$AE$2:$AE$3520,1),SUMIFS(Sales_Data!$M$2:$M$3520,Sales_Data!$C$2:$C$3520,"&gt;="&amp;Dashboard!$C$5,Sales_Data!$C$2:$C$3520,"&lt;="&amp;Dashboard!$C$6,Sales_Data!$F$2:$F$3520,G$7,Sales_Data!$AE$2:$AE$3520,1),SUMIFS(Sales_Data!$N$2:$N$3520,Sales_Data!$C$2:$C$3520,"&gt;="&amp;Dashboard!$C$5,Sales_Data!$C$2:$C$3520,"&lt;="&amp;Dashboard!$C$6,Sales_Data!$F$2:$F$3520,G$7,Sales_Data!$AE$2:$AE$3520,1),SUMIFS(Sales_Data!$AE$2:$AE$3520,Sales_Data!$C$2:$C$3520,"&gt;="&amp;Dashboard!$C$5,Sales_Data!$C$2:$C$3520,"&lt;="&amp;Dashboard!$C$6,Sales_Data!$F$2:$F$3520,G$7)))</f>
        <v>4</v>
      </c>
      <c r="H9" s="27" t="n">
        <f aca="false">IF(H$7="","",CHOOSE(MATCH($B$4,Lists!$C$2:$C$5,0),SUMIFS(Sales_Data!$O$2:$O$3520,Sales_Data!$C$2:$C$3520,"&gt;="&amp;Dashboard!$C$5,Sales_Data!$C$2:$C$3520,"&lt;="&amp;Dashboard!$C$6,Sales_Data!$F$2:$F$3520,H$7,Sales_Data!$AE$2:$AE$3520,1),SUMIFS(Sales_Data!$M$2:$M$3520,Sales_Data!$C$2:$C$3520,"&gt;="&amp;Dashboard!$C$5,Sales_Data!$C$2:$C$3520,"&lt;="&amp;Dashboard!$C$6,Sales_Data!$F$2:$F$3520,H$7,Sales_Data!$AE$2:$AE$3520,1),SUMIFS(Sales_Data!$N$2:$N$3520,Sales_Data!$C$2:$C$3520,"&gt;="&amp;Dashboard!$C$5,Sales_Data!$C$2:$C$3520,"&lt;="&amp;Dashboard!$C$6,Sales_Data!$F$2:$F$3520,H$7,Sales_Data!$AE$2:$AE$3520,1),SUMIFS(Sales_Data!$AE$2:$AE$3520,Sales_Data!$C$2:$C$3520,"&gt;="&amp;Dashboard!$C$5,Sales_Data!$C$2:$C$3520,"&lt;="&amp;Dashboard!$C$6,Sales_Data!$F$2:$F$3520,H$7)))</f>
        <v>7</v>
      </c>
      <c r="I9" s="27" t="n">
        <f aca="false">IF(I$7="","",CHOOSE(MATCH($B$4,Lists!$C$2:$C$5,0),SUMIFS(Sales_Data!$O$2:$O$3520,Sales_Data!$C$2:$C$3520,"&gt;="&amp;Dashboard!$C$5,Sales_Data!$C$2:$C$3520,"&lt;="&amp;Dashboard!$C$6,Sales_Data!$F$2:$F$3520,I$7,Sales_Data!$AE$2:$AE$3520,1),SUMIFS(Sales_Data!$M$2:$M$3520,Sales_Data!$C$2:$C$3520,"&gt;="&amp;Dashboard!$C$5,Sales_Data!$C$2:$C$3520,"&lt;="&amp;Dashboard!$C$6,Sales_Data!$F$2:$F$3520,I$7,Sales_Data!$AE$2:$AE$3520,1),SUMIFS(Sales_Data!$N$2:$N$3520,Sales_Data!$C$2:$C$3520,"&gt;="&amp;Dashboard!$C$5,Sales_Data!$C$2:$C$3520,"&lt;="&amp;Dashboard!$C$6,Sales_Data!$F$2:$F$3520,I$7,Sales_Data!$AE$2:$AE$3520,1),SUMIFS(Sales_Data!$AE$2:$AE$3520,Sales_Data!$C$2:$C$3520,"&gt;="&amp;Dashboard!$C$5,Sales_Data!$C$2:$C$3520,"&lt;="&amp;Dashboard!$C$6,Sales_Data!$F$2:$F$3520,I$7)))</f>
        <v>1</v>
      </c>
      <c r="J9" s="27" t="n">
        <f aca="false">IF(J$7="","",CHOOSE(MATCH($B$4,Lists!$C$2:$C$5,0),SUMIFS(Sales_Data!$O$2:$O$3520,Sales_Data!$C$2:$C$3520,"&gt;="&amp;Dashboard!$C$5,Sales_Data!$C$2:$C$3520,"&lt;="&amp;Dashboard!$C$6,Sales_Data!$F$2:$F$3520,J$7,Sales_Data!$AE$2:$AE$3520,1),SUMIFS(Sales_Data!$M$2:$M$3520,Sales_Data!$C$2:$C$3520,"&gt;="&amp;Dashboard!$C$5,Sales_Data!$C$2:$C$3520,"&lt;="&amp;Dashboard!$C$6,Sales_Data!$F$2:$F$3520,J$7,Sales_Data!$AE$2:$AE$3520,1),SUMIFS(Sales_Data!$N$2:$N$3520,Sales_Data!$C$2:$C$3520,"&gt;="&amp;Dashboard!$C$5,Sales_Data!$C$2:$C$3520,"&lt;="&amp;Dashboard!$C$6,Sales_Data!$F$2:$F$3520,J$7,Sales_Data!$AE$2:$AE$3520,1),SUMIFS(Sales_Data!$AE$2:$AE$3520,Sales_Data!$C$2:$C$3520,"&gt;="&amp;Dashboard!$C$5,Sales_Data!$C$2:$C$3520,"&lt;="&amp;Dashboard!$C$6,Sales_Data!$F$2:$F$3520,J$7)))</f>
        <v>1</v>
      </c>
      <c r="K9" s="27" t="n">
        <f aca="false">IF(K$7="","",CHOOSE(MATCH($B$4,Lists!$C$2:$C$5,0),SUMIFS(Sales_Data!$O$2:$O$3520,Sales_Data!$C$2:$C$3520,"&gt;="&amp;Dashboard!$C$5,Sales_Data!$C$2:$C$3520,"&lt;="&amp;Dashboard!$C$6,Sales_Data!$F$2:$F$3520,K$7,Sales_Data!$AE$2:$AE$3520,1),SUMIFS(Sales_Data!$M$2:$M$3520,Sales_Data!$C$2:$C$3520,"&gt;="&amp;Dashboard!$C$5,Sales_Data!$C$2:$C$3520,"&lt;="&amp;Dashboard!$C$6,Sales_Data!$F$2:$F$3520,K$7,Sales_Data!$AE$2:$AE$3520,1),SUMIFS(Sales_Data!$N$2:$N$3520,Sales_Data!$C$2:$C$3520,"&gt;="&amp;Dashboard!$C$5,Sales_Data!$C$2:$C$3520,"&lt;="&amp;Dashboard!$C$6,Sales_Data!$F$2:$F$3520,K$7,Sales_Data!$AE$2:$AE$3520,1),SUMIFS(Sales_Data!$AE$2:$AE$3520,Sales_Data!$C$2:$C$3520,"&gt;="&amp;Dashboard!$C$5,Sales_Data!$C$2:$C$3520,"&lt;="&amp;Dashboard!$C$6,Sales_Data!$F$2:$F$3520,K$7)))</f>
        <v>3</v>
      </c>
      <c r="L9" s="27" t="n">
        <f aca="false">IF(L$7="","",CHOOSE(MATCH($B$4,Lists!$C$2:$C$5,0),SUMIFS(Sales_Data!$O$2:$O$3520,Sales_Data!$C$2:$C$3520,"&gt;="&amp;Dashboard!$C$5,Sales_Data!$C$2:$C$3520,"&lt;="&amp;Dashboard!$C$6,Sales_Data!$F$2:$F$3520,L$7,Sales_Data!$AE$2:$AE$3520,1),SUMIFS(Sales_Data!$M$2:$M$3520,Sales_Data!$C$2:$C$3520,"&gt;="&amp;Dashboard!$C$5,Sales_Data!$C$2:$C$3520,"&lt;="&amp;Dashboard!$C$6,Sales_Data!$F$2:$F$3520,L$7,Sales_Data!$AE$2:$AE$3520,1),SUMIFS(Sales_Data!$N$2:$N$3520,Sales_Data!$C$2:$C$3520,"&gt;="&amp;Dashboard!$C$5,Sales_Data!$C$2:$C$3520,"&lt;="&amp;Dashboard!$C$6,Sales_Data!$F$2:$F$3520,L$7,Sales_Data!$AE$2:$AE$3520,1),SUMIFS(Sales_Data!$AE$2:$AE$3520,Sales_Data!$C$2:$C$3520,"&gt;="&amp;Dashboard!$C$5,Sales_Data!$C$2:$C$3520,"&lt;="&amp;Dashboard!$C$6,Sales_Data!$F$2:$F$3520,L$7)))</f>
        <v>0</v>
      </c>
      <c r="M9" s="27" t="n">
        <f aca="false">IF(M$7="","",CHOOSE(MATCH($B$4,Lists!$C$2:$C$5,0),SUMIFS(Sales_Data!$O$2:$O$3520,Sales_Data!$C$2:$C$3520,"&gt;="&amp;Dashboard!$C$5,Sales_Data!$C$2:$C$3520,"&lt;="&amp;Dashboard!$C$6,Sales_Data!$F$2:$F$3520,M$7,Sales_Data!$AE$2:$AE$3520,1),SUMIFS(Sales_Data!$M$2:$M$3520,Sales_Data!$C$2:$C$3520,"&gt;="&amp;Dashboard!$C$5,Sales_Data!$C$2:$C$3520,"&lt;="&amp;Dashboard!$C$6,Sales_Data!$F$2:$F$3520,M$7,Sales_Data!$AE$2:$AE$3520,1),SUMIFS(Sales_Data!$N$2:$N$3520,Sales_Data!$C$2:$C$3520,"&gt;="&amp;Dashboard!$C$5,Sales_Data!$C$2:$C$3520,"&lt;="&amp;Dashboard!$C$6,Sales_Data!$F$2:$F$3520,M$7,Sales_Data!$AE$2:$AE$3520,1),SUMIFS(Sales_Data!$AE$2:$AE$3520,Sales_Data!$C$2:$C$3520,"&gt;="&amp;Dashboard!$C$5,Sales_Data!$C$2:$C$3520,"&lt;="&amp;Dashboard!$C$6,Sales_Data!$F$2:$F$3520,M$7)))</f>
        <v>0</v>
      </c>
      <c r="N9" s="27" t="n">
        <f aca="false">IF(N$7="","",CHOOSE(MATCH($B$4,Lists!$C$2:$C$5,0),SUMIFS(Sales_Data!$O$2:$O$3520,Sales_Data!$C$2:$C$3520,"&gt;="&amp;Dashboard!$C$5,Sales_Data!$C$2:$C$3520,"&lt;="&amp;Dashboard!$C$6,Sales_Data!$F$2:$F$3520,N$7,Sales_Data!$AE$2:$AE$3520,1),SUMIFS(Sales_Data!$M$2:$M$3520,Sales_Data!$C$2:$C$3520,"&gt;="&amp;Dashboard!$C$5,Sales_Data!$C$2:$C$3520,"&lt;="&amp;Dashboard!$C$6,Sales_Data!$F$2:$F$3520,N$7,Sales_Data!$AE$2:$AE$3520,1),SUMIFS(Sales_Data!$N$2:$N$3520,Sales_Data!$C$2:$C$3520,"&gt;="&amp;Dashboard!$C$5,Sales_Data!$C$2:$C$3520,"&lt;="&amp;Dashboard!$C$6,Sales_Data!$F$2:$F$3520,N$7,Sales_Data!$AE$2:$AE$3520,1),SUMIFS(Sales_Data!$AE$2:$AE$3520,Sales_Data!$C$2:$C$3520,"&gt;="&amp;Dashboard!$C$5,Sales_Data!$C$2:$C$3520,"&lt;="&amp;Dashboard!$C$6,Sales_Data!$F$2:$F$3520,N$7)))</f>
        <v>6</v>
      </c>
      <c r="O9" s="27" t="n">
        <f aca="false">IF(O$7="","",CHOOSE(MATCH($B$4,Lists!$C$2:$C$5,0),SUMIFS(Sales_Data!$O$2:$O$3520,Sales_Data!$C$2:$C$3520,"&gt;="&amp;Dashboard!$C$5,Sales_Data!$C$2:$C$3520,"&lt;="&amp;Dashboard!$C$6,Sales_Data!$F$2:$F$3520,O$7,Sales_Data!$AE$2:$AE$3520,1),SUMIFS(Sales_Data!$M$2:$M$3520,Sales_Data!$C$2:$C$3520,"&gt;="&amp;Dashboard!$C$5,Sales_Data!$C$2:$C$3520,"&lt;="&amp;Dashboard!$C$6,Sales_Data!$F$2:$F$3520,O$7,Sales_Data!$AE$2:$AE$3520,1),SUMIFS(Sales_Data!$N$2:$N$3520,Sales_Data!$C$2:$C$3520,"&gt;="&amp;Dashboard!$C$5,Sales_Data!$C$2:$C$3520,"&lt;="&amp;Dashboard!$C$6,Sales_Data!$F$2:$F$3520,O$7,Sales_Data!$AE$2:$AE$3520,1),SUMIFS(Sales_Data!$AE$2:$AE$3520,Sales_Data!$C$2:$C$3520,"&gt;="&amp;Dashboard!$C$5,Sales_Data!$C$2:$C$3520,"&lt;="&amp;Dashboard!$C$6,Sales_Data!$F$2:$F$3520,O$7)))</f>
        <v>3</v>
      </c>
      <c r="P9" s="27" t="n">
        <f aca="false">IF(P$7="","",CHOOSE(MATCH($B$4,Lists!$C$2:$C$5,0),SUMIFS(Sales_Data!$O$2:$O$3520,Sales_Data!$C$2:$C$3520,"&gt;="&amp;Dashboard!$C$5,Sales_Data!$C$2:$C$3520,"&lt;="&amp;Dashboard!$C$6,Sales_Data!$F$2:$F$3520,P$7,Sales_Data!$AE$2:$AE$3520,1),SUMIFS(Sales_Data!$M$2:$M$3520,Sales_Data!$C$2:$C$3520,"&gt;="&amp;Dashboard!$C$5,Sales_Data!$C$2:$C$3520,"&lt;="&amp;Dashboard!$C$6,Sales_Data!$F$2:$F$3520,P$7,Sales_Data!$AE$2:$AE$3520,1),SUMIFS(Sales_Data!$N$2:$N$3520,Sales_Data!$C$2:$C$3520,"&gt;="&amp;Dashboard!$C$5,Sales_Data!$C$2:$C$3520,"&lt;="&amp;Dashboard!$C$6,Sales_Data!$F$2:$F$3520,P$7,Sales_Data!$AE$2:$AE$3520,1),SUMIFS(Sales_Data!$AE$2:$AE$3520,Sales_Data!$C$2:$C$3520,"&gt;="&amp;Dashboard!$C$5,Sales_Data!$C$2:$C$3520,"&lt;="&amp;Dashboard!$C$6,Sales_Data!$F$2:$F$3520,P$7)))</f>
        <v>4</v>
      </c>
      <c r="Q9" s="27" t="n">
        <f aca="false">IF(Q$7="","",CHOOSE(MATCH($B$4,Lists!$C$2:$C$5,0),SUMIFS(Sales_Data!$O$2:$O$3520,Sales_Data!$C$2:$C$3520,"&gt;="&amp;Dashboard!$C$5,Sales_Data!$C$2:$C$3520,"&lt;="&amp;Dashboard!$C$6,Sales_Data!$F$2:$F$3520,Q$7,Sales_Data!$AE$2:$AE$3520,1),SUMIFS(Sales_Data!$M$2:$M$3520,Sales_Data!$C$2:$C$3520,"&gt;="&amp;Dashboard!$C$5,Sales_Data!$C$2:$C$3520,"&lt;="&amp;Dashboard!$C$6,Sales_Data!$F$2:$F$3520,Q$7,Sales_Data!$AE$2:$AE$3520,1),SUMIFS(Sales_Data!$N$2:$N$3520,Sales_Data!$C$2:$C$3520,"&gt;="&amp;Dashboard!$C$5,Sales_Data!$C$2:$C$3520,"&lt;="&amp;Dashboard!$C$6,Sales_Data!$F$2:$F$3520,Q$7,Sales_Data!$AE$2:$AE$3520,1),SUMIFS(Sales_Data!$AE$2:$AE$3520,Sales_Data!$C$2:$C$3520,"&gt;="&amp;Dashboard!$C$5,Sales_Data!$C$2:$C$3520,"&lt;="&amp;Dashboard!$C$6,Sales_Data!$F$2:$F$3520,Q$7)))</f>
        <v>13</v>
      </c>
      <c r="R9" s="27" t="n">
        <f aca="false">IF(R$7="","",CHOOSE(MATCH($B$4,Lists!$C$2:$C$5,0),SUMIFS(Sales_Data!$O$2:$O$3520,Sales_Data!$C$2:$C$3520,"&gt;="&amp;Dashboard!$C$5,Sales_Data!$C$2:$C$3520,"&lt;="&amp;Dashboard!$C$6,Sales_Data!$F$2:$F$3520,R$7,Sales_Data!$AE$2:$AE$3520,1),SUMIFS(Sales_Data!$M$2:$M$3520,Sales_Data!$C$2:$C$3520,"&gt;="&amp;Dashboard!$C$5,Sales_Data!$C$2:$C$3520,"&lt;="&amp;Dashboard!$C$6,Sales_Data!$F$2:$F$3520,R$7,Sales_Data!$AE$2:$AE$3520,1),SUMIFS(Sales_Data!$N$2:$N$3520,Sales_Data!$C$2:$C$3520,"&gt;="&amp;Dashboard!$C$5,Sales_Data!$C$2:$C$3520,"&lt;="&amp;Dashboard!$C$6,Sales_Data!$F$2:$F$3520,R$7,Sales_Data!$AE$2:$AE$3520,1),SUMIFS(Sales_Data!$AE$2:$AE$3520,Sales_Data!$C$2:$C$3520,"&gt;="&amp;Dashboard!$C$5,Sales_Data!$C$2:$C$3520,"&lt;="&amp;Dashboard!$C$6,Sales_Data!$F$2:$F$3520,R$7)))</f>
        <v>4</v>
      </c>
      <c r="S9" s="27" t="n">
        <f aca="false">IF(S$7="","",CHOOSE(MATCH($B$4,Lists!$C$2:$C$5,0),SUMIFS(Sales_Data!$O$2:$O$3520,Sales_Data!$C$2:$C$3520,"&gt;="&amp;Dashboard!$C$5,Sales_Data!$C$2:$C$3520,"&lt;="&amp;Dashboard!$C$6,Sales_Data!$F$2:$F$3520,S$7,Sales_Data!$AE$2:$AE$3520,1),SUMIFS(Sales_Data!$M$2:$M$3520,Sales_Data!$C$2:$C$3520,"&gt;="&amp;Dashboard!$C$5,Sales_Data!$C$2:$C$3520,"&lt;="&amp;Dashboard!$C$6,Sales_Data!$F$2:$F$3520,S$7,Sales_Data!$AE$2:$AE$3520,1),SUMIFS(Sales_Data!$N$2:$N$3520,Sales_Data!$C$2:$C$3520,"&gt;="&amp;Dashboard!$C$5,Sales_Data!$C$2:$C$3520,"&lt;="&amp;Dashboard!$C$6,Sales_Data!$F$2:$F$3520,S$7,Sales_Data!$AE$2:$AE$3520,1),SUMIFS(Sales_Data!$AE$2:$AE$3520,Sales_Data!$C$2:$C$3520,"&gt;="&amp;Dashboard!$C$5,Sales_Data!$C$2:$C$3520,"&lt;="&amp;Dashboard!$C$6,Sales_Data!$F$2:$F$3520,S$7)))</f>
        <v>5</v>
      </c>
      <c r="T9" s="27" t="str">
        <f aca="false">IF(T$7="","",CHOOSE(MATCH($B$4,Lists!$C$2:$C$5,0),SUMIFS(Sales_Data!$O$2:$O$3520,Sales_Data!$C$2:$C$3520,"&gt;="&amp;Dashboard!$C$5,Sales_Data!$C$2:$C$3520,"&lt;="&amp;Dashboard!$C$6,Sales_Data!$F$2:$F$3520,T$7,Sales_Data!$AE$2:$AE$3520,1),SUMIFS(Sales_Data!$M$2:$M$3520,Sales_Data!$C$2:$C$3520,"&gt;="&amp;Dashboard!$C$5,Sales_Data!$C$2:$C$3520,"&lt;="&amp;Dashboard!$C$6,Sales_Data!$F$2:$F$3520,T$7,Sales_Data!$AE$2:$AE$3520,1),SUMIFS(Sales_Data!$N$2:$N$3520,Sales_Data!$C$2:$C$3520,"&gt;="&amp;Dashboard!$C$5,Sales_Data!$C$2:$C$3520,"&lt;="&amp;Dashboard!$C$6,Sales_Data!$F$2:$F$3520,T$7,Sales_Data!$AE$2:$AE$3520,1),SUMIFS(Sales_Data!$AE$2:$AE$3520,Sales_Data!$C$2:$C$3520,"&gt;="&amp;Dashboard!$C$5,Sales_Data!$C$2:$C$3520,"&lt;="&amp;Dashboard!$C$6,Sales_Data!$F$2:$F$3520,T$7)))</f>
        <v/>
      </c>
      <c r="U9" s="27" t="str">
        <f aca="false">IF(U$7="","",CHOOSE(MATCH($B$4,Lists!$C$2:$C$5,0),SUMIFS(Sales_Data!$O$2:$O$3520,Sales_Data!$C$2:$C$3520,"&gt;="&amp;Dashboard!$C$5,Sales_Data!$C$2:$C$3520,"&lt;="&amp;Dashboard!$C$6,Sales_Data!$F$2:$F$3520,U$7,Sales_Data!$AE$2:$AE$3520,1),SUMIFS(Sales_Data!$M$2:$M$3520,Sales_Data!$C$2:$C$3520,"&gt;="&amp;Dashboard!$C$5,Sales_Data!$C$2:$C$3520,"&lt;="&amp;Dashboard!$C$6,Sales_Data!$F$2:$F$3520,U$7,Sales_Data!$AE$2:$AE$3520,1),SUMIFS(Sales_Data!$N$2:$N$3520,Sales_Data!$C$2:$C$3520,"&gt;="&amp;Dashboard!$C$5,Sales_Data!$C$2:$C$3520,"&lt;="&amp;Dashboard!$C$6,Sales_Data!$F$2:$F$3520,U$7,Sales_Data!$AE$2:$AE$3520,1),SUMIFS(Sales_Data!$AE$2:$AE$3520,Sales_Data!$C$2:$C$3520,"&gt;="&amp;Dashboard!$C$5,Sales_Data!$C$2:$C$3520,"&lt;="&amp;Dashboard!$C$6,Sales_Data!$F$2:$F$3520,U$7)))</f>
        <v/>
      </c>
      <c r="V9" s="27" t="str">
        <f aca="false">IF(V$7="","",CHOOSE(MATCH($B$4,Lists!$C$2:$C$5,0),SUMIFS(Sales_Data!$O$2:$O$3520,Sales_Data!$C$2:$C$3520,"&gt;="&amp;Dashboard!$C$5,Sales_Data!$C$2:$C$3520,"&lt;="&amp;Dashboard!$C$6,Sales_Data!$F$2:$F$3520,V$7,Sales_Data!$AE$2:$AE$3520,1),SUMIFS(Sales_Data!$M$2:$M$3520,Sales_Data!$C$2:$C$3520,"&gt;="&amp;Dashboard!$C$5,Sales_Data!$C$2:$C$3520,"&lt;="&amp;Dashboard!$C$6,Sales_Data!$F$2:$F$3520,V$7,Sales_Data!$AE$2:$AE$3520,1),SUMIFS(Sales_Data!$N$2:$N$3520,Sales_Data!$C$2:$C$3520,"&gt;="&amp;Dashboard!$C$5,Sales_Data!$C$2:$C$3520,"&lt;="&amp;Dashboard!$C$6,Sales_Data!$F$2:$F$3520,V$7,Sales_Data!$AE$2:$AE$3520,1),SUMIFS(Sales_Data!$AE$2:$AE$3520,Sales_Data!$C$2:$C$3520,"&gt;="&amp;Dashboard!$C$5,Sales_Data!$C$2:$C$3520,"&lt;="&amp;Dashboard!$C$6,Sales_Data!$F$2:$F$3520,V$7)))</f>
        <v/>
      </c>
      <c r="W9" s="27" t="str">
        <f aca="false">IF(W$7="","",CHOOSE(MATCH($B$4,Lists!$C$2:$C$5,0),SUMIFS(Sales_Data!$O$2:$O$3520,Sales_Data!$C$2:$C$3520,"&gt;="&amp;Dashboard!$C$5,Sales_Data!$C$2:$C$3520,"&lt;="&amp;Dashboard!$C$6,Sales_Data!$F$2:$F$3520,W$7,Sales_Data!$AE$2:$AE$3520,1),SUMIFS(Sales_Data!$M$2:$M$3520,Sales_Data!$C$2:$C$3520,"&gt;="&amp;Dashboard!$C$5,Sales_Data!$C$2:$C$3520,"&lt;="&amp;Dashboard!$C$6,Sales_Data!$F$2:$F$3520,W$7,Sales_Data!$AE$2:$AE$3520,1),SUMIFS(Sales_Data!$N$2:$N$3520,Sales_Data!$C$2:$C$3520,"&gt;="&amp;Dashboard!$C$5,Sales_Data!$C$2:$C$3520,"&lt;="&amp;Dashboard!$C$6,Sales_Data!$F$2:$F$3520,W$7,Sales_Data!$AE$2:$AE$3520,1),SUMIFS(Sales_Data!$AE$2:$AE$3520,Sales_Data!$C$2:$C$3520,"&gt;="&amp;Dashboard!$C$5,Sales_Data!$C$2:$C$3520,"&lt;="&amp;Dashboard!$C$6,Sales_Data!$F$2:$F$3520,W$7)))</f>
        <v/>
      </c>
      <c r="X9" s="27" t="str">
        <f aca="false">IF(X$7="","",CHOOSE(MATCH($B$4,Lists!$C$2:$C$5,0),SUMIFS(Sales_Data!$O$2:$O$3520,Sales_Data!$C$2:$C$3520,"&gt;="&amp;Dashboard!$C$5,Sales_Data!$C$2:$C$3520,"&lt;="&amp;Dashboard!$C$6,Sales_Data!$F$2:$F$3520,X$7,Sales_Data!$AE$2:$AE$3520,1),SUMIFS(Sales_Data!$M$2:$M$3520,Sales_Data!$C$2:$C$3520,"&gt;="&amp;Dashboard!$C$5,Sales_Data!$C$2:$C$3520,"&lt;="&amp;Dashboard!$C$6,Sales_Data!$F$2:$F$3520,X$7,Sales_Data!$AE$2:$AE$3520,1),SUMIFS(Sales_Data!$N$2:$N$3520,Sales_Data!$C$2:$C$3520,"&gt;="&amp;Dashboard!$C$5,Sales_Data!$C$2:$C$3520,"&lt;="&amp;Dashboard!$C$6,Sales_Data!$F$2:$F$3520,X$7,Sales_Data!$AE$2:$AE$3520,1),SUMIFS(Sales_Data!$AE$2:$AE$3520,Sales_Data!$C$2:$C$3520,"&gt;="&amp;Dashboard!$C$5,Sales_Data!$C$2:$C$3520,"&lt;="&amp;Dashboard!$C$6,Sales_Data!$F$2:$F$3520,X$7)))</f>
        <v/>
      </c>
      <c r="Y9" s="27" t="str">
        <f aca="false">IF(Y$7="","",CHOOSE(MATCH($B$4,Lists!$C$2:$C$5,0),SUMIFS(Sales_Data!$O$2:$O$3520,Sales_Data!$C$2:$C$3520,"&gt;="&amp;Dashboard!$C$5,Sales_Data!$C$2:$C$3520,"&lt;="&amp;Dashboard!$C$6,Sales_Data!$F$2:$F$3520,Y$7,Sales_Data!$AE$2:$AE$3520,1),SUMIFS(Sales_Data!$M$2:$M$3520,Sales_Data!$C$2:$C$3520,"&gt;="&amp;Dashboard!$C$5,Sales_Data!$C$2:$C$3520,"&lt;="&amp;Dashboard!$C$6,Sales_Data!$F$2:$F$3520,Y$7,Sales_Data!$AE$2:$AE$3520,1),SUMIFS(Sales_Data!$N$2:$N$3520,Sales_Data!$C$2:$C$3520,"&gt;="&amp;Dashboard!$C$5,Sales_Data!$C$2:$C$3520,"&lt;="&amp;Dashboard!$C$6,Sales_Data!$F$2:$F$3520,Y$7,Sales_Data!$AE$2:$AE$3520,1),SUMIFS(Sales_Data!$AE$2:$AE$3520,Sales_Data!$C$2:$C$3520,"&gt;="&amp;Dashboard!$C$5,Sales_Data!$C$2:$C$3520,"&lt;="&amp;Dashboard!$C$6,Sales_Data!$F$2:$F$3520,Y$7)))</f>
        <v/>
      </c>
      <c r="Z9" s="27" t="str">
        <f aca="false">IF(Z$7="","",CHOOSE(MATCH($B$4,Lists!$C$2:$C$5,0),SUMIFS(Sales_Data!$O$2:$O$3520,Sales_Data!$C$2:$C$3520,"&gt;="&amp;Dashboard!$C$5,Sales_Data!$C$2:$C$3520,"&lt;="&amp;Dashboard!$C$6,Sales_Data!$F$2:$F$3520,Z$7,Sales_Data!$AE$2:$AE$3520,1),SUMIFS(Sales_Data!$M$2:$M$3520,Sales_Data!$C$2:$C$3520,"&gt;="&amp;Dashboard!$C$5,Sales_Data!$C$2:$C$3520,"&lt;="&amp;Dashboard!$C$6,Sales_Data!$F$2:$F$3520,Z$7,Sales_Data!$AE$2:$AE$3520,1),SUMIFS(Sales_Data!$N$2:$N$3520,Sales_Data!$C$2:$C$3520,"&gt;="&amp;Dashboard!$C$5,Sales_Data!$C$2:$C$3520,"&lt;="&amp;Dashboard!$C$6,Sales_Data!$F$2:$F$3520,Z$7,Sales_Data!$AE$2:$AE$3520,1),SUMIFS(Sales_Data!$AE$2:$AE$3520,Sales_Data!$C$2:$C$3520,"&gt;="&amp;Dashboard!$C$5,Sales_Data!$C$2:$C$3520,"&lt;="&amp;Dashboard!$C$6,Sales_Data!$F$2:$F$3520,Z$7)))</f>
        <v/>
      </c>
      <c r="AA9" s="35" t="n">
        <f aca="false">SUM(B9:Z9)</f>
        <v>76</v>
      </c>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row>
    <row r="10" customFormat="false" ht="15" hidden="false" customHeight="false" outlineLevel="0" collapsed="false">
      <c r="A10" s="68" t="s">
        <v>69</v>
      </c>
      <c r="B10" s="30" t="n">
        <f aca="false">IF(B$7="","",B9/Dashboard!$C$10)</f>
        <v>0.857142857142857</v>
      </c>
      <c r="C10" s="30" t="n">
        <f aca="false">IF(C$7="","",C9/Dashboard!$C$10)</f>
        <v>0.714285714285714</v>
      </c>
      <c r="D10" s="30" t="n">
        <f aca="false">IF(D$7="","",D9/Dashboard!$C$10)</f>
        <v>0.714285714285714</v>
      </c>
      <c r="E10" s="30" t="n">
        <f aca="false">IF(E$7="","",E9/Dashboard!$C$10)</f>
        <v>0.857142857142857</v>
      </c>
      <c r="F10" s="30" t="n">
        <f aca="false">IF(F$7="","",F9/Dashboard!$C$10)</f>
        <v>0.428571428571429</v>
      </c>
      <c r="G10" s="30" t="n">
        <f aca="false">IF(G$7="","",G9/Dashboard!$C$10)</f>
        <v>0.571428571428571</v>
      </c>
      <c r="H10" s="30" t="n">
        <f aca="false">IF(H$7="","",H9/Dashboard!$C$10)</f>
        <v>1</v>
      </c>
      <c r="I10" s="30" t="n">
        <f aca="false">IF(I$7="","",I9/Dashboard!$C$10)</f>
        <v>0.142857142857143</v>
      </c>
      <c r="J10" s="30" t="n">
        <f aca="false">IF(J$7="","",J9/Dashboard!$C$10)</f>
        <v>0.142857142857143</v>
      </c>
      <c r="K10" s="30" t="n">
        <f aca="false">IF(K$7="","",K9/Dashboard!$C$10)</f>
        <v>0.428571428571429</v>
      </c>
      <c r="L10" s="30" t="n">
        <f aca="false">IF(L$7="","",L9/Dashboard!$C$10)</f>
        <v>0</v>
      </c>
      <c r="M10" s="30" t="n">
        <f aca="false">IF(M$7="","",M9/Dashboard!$C$10)</f>
        <v>0</v>
      </c>
      <c r="N10" s="30" t="n">
        <f aca="false">IF(N$7="","",N9/Dashboard!$C$10)</f>
        <v>0.857142857142857</v>
      </c>
      <c r="O10" s="30" t="n">
        <f aca="false">IF(O$7="","",O9/Dashboard!$C$10)</f>
        <v>0.428571428571429</v>
      </c>
      <c r="P10" s="30" t="n">
        <f aca="false">IF(P$7="","",P9/Dashboard!$C$10)</f>
        <v>0.571428571428571</v>
      </c>
      <c r="Q10" s="30" t="n">
        <f aca="false">IF(Q$7="","",Q9/Dashboard!$C$10)</f>
        <v>1.85714285714286</v>
      </c>
      <c r="R10" s="30" t="n">
        <f aca="false">IF(R$7="","",R9/Dashboard!$C$10)</f>
        <v>0.571428571428571</v>
      </c>
      <c r="S10" s="30" t="n">
        <f aca="false">IF(S$7="","",S9/Dashboard!$C$10)</f>
        <v>0.714285714285714</v>
      </c>
      <c r="T10" s="30" t="str">
        <f aca="false">IF(T$7="","",T9/Dashboard!$C$10)</f>
        <v/>
      </c>
      <c r="U10" s="30" t="str">
        <f aca="false">IF(U$7="","",U9/Dashboard!$C$10)</f>
        <v/>
      </c>
      <c r="V10" s="30" t="str">
        <f aca="false">IF(V$7="","",V9/Dashboard!$C$10)</f>
        <v/>
      </c>
      <c r="W10" s="30" t="str">
        <f aca="false">IF(W$7="","",W9/Dashboard!$C$10)</f>
        <v/>
      </c>
      <c r="X10" s="30" t="str">
        <f aca="false">IF(X$7="","",X9/Dashboard!$C$10)</f>
        <v/>
      </c>
      <c r="Y10" s="30" t="str">
        <f aca="false">IF(Y$7="","",Y9/Dashboard!$C$10)</f>
        <v/>
      </c>
      <c r="Z10" s="30" t="str">
        <f aca="false">IF(Z$7="","",Z9/Dashboard!$C$10)</f>
        <v/>
      </c>
      <c r="AA10" s="35"/>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row>
    <row r="11" customFormat="false" ht="15" hidden="false" customHeight="false" outlineLevel="0" collapsed="false">
      <c r="A11" s="68" t="s">
        <v>6915</v>
      </c>
      <c r="B11" s="26" t="n">
        <f aca="false">IF(B$7="","",CHOOSE(MATCH($B$4,Lists!$C$2:$C$5,0),SUMIFS(Sales_Data!$O$2:$O$3520,Sales_Data!$C$2:$C$3520,Dashboard!$C$6,Sales_Data!$F$2:$F$3520,B$7,Sales_Data!$AE$2:$AE$3520,1),SUMIFS(Sales_Data!$M$2:$M$3520,Sales_Data!$C$2:$C$3520,Dashboard!$C$6,Sales_Data!$F$2:$F$3520,B$7,Sales_Data!$AE$2:$AE$3520,1),SUMIFS(Sales_Data!$N$2:$N$3520,Sales_Data!$C$2:$C$3520,Dashboard!$C$6,Sales_Data!$F$2:$F$3520,B$7,Sales_Data!$AE$2:$AE$3520,1),SUMIFS(Sales_Data!$AE$2:$AE$3520,Sales_Data!$C$2:$C$3520,Dashboard!$C$6,Sales_Data!$F$2:$F$3520,B$7)))</f>
        <v>1</v>
      </c>
      <c r="C11" s="26" t="n">
        <f aca="false">IF(C$7="","",CHOOSE(MATCH($B$4,Lists!$C$2:$C$5,0),SUMIFS(Sales_Data!$O$2:$O$3520,Sales_Data!$C$2:$C$3520,Dashboard!$C$6,Sales_Data!$F$2:$F$3520,C$7,Sales_Data!$AE$2:$AE$3520,1),SUMIFS(Sales_Data!$M$2:$M$3520,Sales_Data!$C$2:$C$3520,Dashboard!$C$6,Sales_Data!$F$2:$F$3520,C$7,Sales_Data!$AE$2:$AE$3520,1),SUMIFS(Sales_Data!$N$2:$N$3520,Sales_Data!$C$2:$C$3520,Dashboard!$C$6,Sales_Data!$F$2:$F$3520,C$7,Sales_Data!$AE$2:$AE$3520,1),SUMIFS(Sales_Data!$AE$2:$AE$3520,Sales_Data!$C$2:$C$3520,Dashboard!$C$6,Sales_Data!$F$2:$F$3520,C$7)))</f>
        <v>0</v>
      </c>
      <c r="D11" s="26" t="n">
        <f aca="false">IF(D$7="","",CHOOSE(MATCH($B$4,Lists!$C$2:$C$5,0),SUMIFS(Sales_Data!$O$2:$O$3520,Sales_Data!$C$2:$C$3520,Dashboard!$C$6,Sales_Data!$F$2:$F$3520,D$7,Sales_Data!$AE$2:$AE$3520,1),SUMIFS(Sales_Data!$M$2:$M$3520,Sales_Data!$C$2:$C$3520,Dashboard!$C$6,Sales_Data!$F$2:$F$3520,D$7,Sales_Data!$AE$2:$AE$3520,1),SUMIFS(Sales_Data!$N$2:$N$3520,Sales_Data!$C$2:$C$3520,Dashboard!$C$6,Sales_Data!$F$2:$F$3520,D$7,Sales_Data!$AE$2:$AE$3520,1),SUMIFS(Sales_Data!$AE$2:$AE$3520,Sales_Data!$C$2:$C$3520,Dashboard!$C$6,Sales_Data!$F$2:$F$3520,D$7)))</f>
        <v>3</v>
      </c>
      <c r="E11" s="26" t="n">
        <f aca="false">IF(E$7="","",CHOOSE(MATCH($B$4,Lists!$C$2:$C$5,0),SUMIFS(Sales_Data!$O$2:$O$3520,Sales_Data!$C$2:$C$3520,Dashboard!$C$6,Sales_Data!$F$2:$F$3520,E$7,Sales_Data!$AE$2:$AE$3520,1),SUMIFS(Sales_Data!$M$2:$M$3520,Sales_Data!$C$2:$C$3520,Dashboard!$C$6,Sales_Data!$F$2:$F$3520,E$7,Sales_Data!$AE$2:$AE$3520,1),SUMIFS(Sales_Data!$N$2:$N$3520,Sales_Data!$C$2:$C$3520,Dashboard!$C$6,Sales_Data!$F$2:$F$3520,E$7,Sales_Data!$AE$2:$AE$3520,1),SUMIFS(Sales_Data!$AE$2:$AE$3520,Sales_Data!$C$2:$C$3520,Dashboard!$C$6,Sales_Data!$F$2:$F$3520,E$7)))</f>
        <v>2</v>
      </c>
      <c r="F11" s="26" t="n">
        <f aca="false">IF(F$7="","",CHOOSE(MATCH($B$4,Lists!$C$2:$C$5,0),SUMIFS(Sales_Data!$O$2:$O$3520,Sales_Data!$C$2:$C$3520,Dashboard!$C$6,Sales_Data!$F$2:$F$3520,F$7,Sales_Data!$AE$2:$AE$3520,1),SUMIFS(Sales_Data!$M$2:$M$3520,Sales_Data!$C$2:$C$3520,Dashboard!$C$6,Sales_Data!$F$2:$F$3520,F$7,Sales_Data!$AE$2:$AE$3520,1),SUMIFS(Sales_Data!$N$2:$N$3520,Sales_Data!$C$2:$C$3520,Dashboard!$C$6,Sales_Data!$F$2:$F$3520,F$7,Sales_Data!$AE$2:$AE$3520,1),SUMIFS(Sales_Data!$AE$2:$AE$3520,Sales_Data!$C$2:$C$3520,Dashboard!$C$6,Sales_Data!$F$2:$F$3520,F$7)))</f>
        <v>0</v>
      </c>
      <c r="G11" s="26" t="n">
        <f aca="false">IF(G$7="","",CHOOSE(MATCH($B$4,Lists!$C$2:$C$5,0),SUMIFS(Sales_Data!$O$2:$O$3520,Sales_Data!$C$2:$C$3520,Dashboard!$C$6,Sales_Data!$F$2:$F$3520,G$7,Sales_Data!$AE$2:$AE$3520,1),SUMIFS(Sales_Data!$M$2:$M$3520,Sales_Data!$C$2:$C$3520,Dashboard!$C$6,Sales_Data!$F$2:$F$3520,G$7,Sales_Data!$AE$2:$AE$3520,1),SUMIFS(Sales_Data!$N$2:$N$3520,Sales_Data!$C$2:$C$3520,Dashboard!$C$6,Sales_Data!$F$2:$F$3520,G$7,Sales_Data!$AE$2:$AE$3520,1),SUMIFS(Sales_Data!$AE$2:$AE$3520,Sales_Data!$C$2:$C$3520,Dashboard!$C$6,Sales_Data!$F$2:$F$3520,G$7)))</f>
        <v>0</v>
      </c>
      <c r="H11" s="26" t="n">
        <f aca="false">IF(H$7="","",CHOOSE(MATCH($B$4,Lists!$C$2:$C$5,0),SUMIFS(Sales_Data!$O$2:$O$3520,Sales_Data!$C$2:$C$3520,Dashboard!$C$6,Sales_Data!$F$2:$F$3520,H$7,Sales_Data!$AE$2:$AE$3520,1),SUMIFS(Sales_Data!$M$2:$M$3520,Sales_Data!$C$2:$C$3520,Dashboard!$C$6,Sales_Data!$F$2:$F$3520,H$7,Sales_Data!$AE$2:$AE$3520,1),SUMIFS(Sales_Data!$N$2:$N$3520,Sales_Data!$C$2:$C$3520,Dashboard!$C$6,Sales_Data!$F$2:$F$3520,H$7,Sales_Data!$AE$2:$AE$3520,1),SUMIFS(Sales_Data!$AE$2:$AE$3520,Sales_Data!$C$2:$C$3520,Dashboard!$C$6,Sales_Data!$F$2:$F$3520,H$7)))</f>
        <v>1</v>
      </c>
      <c r="I11" s="26" t="n">
        <f aca="false">IF(I$7="","",CHOOSE(MATCH($B$4,Lists!$C$2:$C$5,0),SUMIFS(Sales_Data!$O$2:$O$3520,Sales_Data!$C$2:$C$3520,Dashboard!$C$6,Sales_Data!$F$2:$F$3520,I$7,Sales_Data!$AE$2:$AE$3520,1),SUMIFS(Sales_Data!$M$2:$M$3520,Sales_Data!$C$2:$C$3520,Dashboard!$C$6,Sales_Data!$F$2:$F$3520,I$7,Sales_Data!$AE$2:$AE$3520,1),SUMIFS(Sales_Data!$N$2:$N$3520,Sales_Data!$C$2:$C$3520,Dashboard!$C$6,Sales_Data!$F$2:$F$3520,I$7,Sales_Data!$AE$2:$AE$3520,1),SUMIFS(Sales_Data!$AE$2:$AE$3520,Sales_Data!$C$2:$C$3520,Dashboard!$C$6,Sales_Data!$F$2:$F$3520,I$7)))</f>
        <v>1</v>
      </c>
      <c r="J11" s="26" t="n">
        <f aca="false">IF(J$7="","",CHOOSE(MATCH($B$4,Lists!$C$2:$C$5,0),SUMIFS(Sales_Data!$O$2:$O$3520,Sales_Data!$C$2:$C$3520,Dashboard!$C$6,Sales_Data!$F$2:$F$3520,J$7,Sales_Data!$AE$2:$AE$3520,1),SUMIFS(Sales_Data!$M$2:$M$3520,Sales_Data!$C$2:$C$3520,Dashboard!$C$6,Sales_Data!$F$2:$F$3520,J$7,Sales_Data!$AE$2:$AE$3520,1),SUMIFS(Sales_Data!$N$2:$N$3520,Sales_Data!$C$2:$C$3520,Dashboard!$C$6,Sales_Data!$F$2:$F$3520,J$7,Sales_Data!$AE$2:$AE$3520,1),SUMIFS(Sales_Data!$AE$2:$AE$3520,Sales_Data!$C$2:$C$3520,Dashboard!$C$6,Sales_Data!$F$2:$F$3520,J$7)))</f>
        <v>0</v>
      </c>
      <c r="K11" s="26" t="n">
        <f aca="false">IF(K$7="","",CHOOSE(MATCH($B$4,Lists!$C$2:$C$5,0),SUMIFS(Sales_Data!$O$2:$O$3520,Sales_Data!$C$2:$C$3520,Dashboard!$C$6,Sales_Data!$F$2:$F$3520,K$7,Sales_Data!$AE$2:$AE$3520,1),SUMIFS(Sales_Data!$M$2:$M$3520,Sales_Data!$C$2:$C$3520,Dashboard!$C$6,Sales_Data!$F$2:$F$3520,K$7,Sales_Data!$AE$2:$AE$3520,1),SUMIFS(Sales_Data!$N$2:$N$3520,Sales_Data!$C$2:$C$3520,Dashboard!$C$6,Sales_Data!$F$2:$F$3520,K$7,Sales_Data!$AE$2:$AE$3520,1),SUMIFS(Sales_Data!$AE$2:$AE$3520,Sales_Data!$C$2:$C$3520,Dashboard!$C$6,Sales_Data!$F$2:$F$3520,K$7)))</f>
        <v>2</v>
      </c>
      <c r="L11" s="26" t="n">
        <f aca="false">IF(L$7="","",CHOOSE(MATCH($B$4,Lists!$C$2:$C$5,0),SUMIFS(Sales_Data!$O$2:$O$3520,Sales_Data!$C$2:$C$3520,Dashboard!$C$6,Sales_Data!$F$2:$F$3520,L$7,Sales_Data!$AE$2:$AE$3520,1),SUMIFS(Sales_Data!$M$2:$M$3520,Sales_Data!$C$2:$C$3520,Dashboard!$C$6,Sales_Data!$F$2:$F$3520,L$7,Sales_Data!$AE$2:$AE$3520,1),SUMIFS(Sales_Data!$N$2:$N$3520,Sales_Data!$C$2:$C$3520,Dashboard!$C$6,Sales_Data!$F$2:$F$3520,L$7,Sales_Data!$AE$2:$AE$3520,1),SUMIFS(Sales_Data!$AE$2:$AE$3520,Sales_Data!$C$2:$C$3520,Dashboard!$C$6,Sales_Data!$F$2:$F$3520,L$7)))</f>
        <v>0</v>
      </c>
      <c r="M11" s="26" t="n">
        <f aca="false">IF(M$7="","",CHOOSE(MATCH($B$4,Lists!$C$2:$C$5,0),SUMIFS(Sales_Data!$O$2:$O$3520,Sales_Data!$C$2:$C$3520,Dashboard!$C$6,Sales_Data!$F$2:$F$3520,M$7,Sales_Data!$AE$2:$AE$3520,1),SUMIFS(Sales_Data!$M$2:$M$3520,Sales_Data!$C$2:$C$3520,Dashboard!$C$6,Sales_Data!$F$2:$F$3520,M$7,Sales_Data!$AE$2:$AE$3520,1),SUMIFS(Sales_Data!$N$2:$N$3520,Sales_Data!$C$2:$C$3520,Dashboard!$C$6,Sales_Data!$F$2:$F$3520,M$7,Sales_Data!$AE$2:$AE$3520,1),SUMIFS(Sales_Data!$AE$2:$AE$3520,Sales_Data!$C$2:$C$3520,Dashboard!$C$6,Sales_Data!$F$2:$F$3520,M$7)))</f>
        <v>0</v>
      </c>
      <c r="N11" s="26" t="n">
        <f aca="false">IF(N$7="","",CHOOSE(MATCH($B$4,Lists!$C$2:$C$5,0),SUMIFS(Sales_Data!$O$2:$O$3520,Sales_Data!$C$2:$C$3520,Dashboard!$C$6,Sales_Data!$F$2:$F$3520,N$7,Sales_Data!$AE$2:$AE$3520,1),SUMIFS(Sales_Data!$M$2:$M$3520,Sales_Data!$C$2:$C$3520,Dashboard!$C$6,Sales_Data!$F$2:$F$3520,N$7,Sales_Data!$AE$2:$AE$3520,1),SUMIFS(Sales_Data!$N$2:$N$3520,Sales_Data!$C$2:$C$3520,Dashboard!$C$6,Sales_Data!$F$2:$F$3520,N$7,Sales_Data!$AE$2:$AE$3520,1),SUMIFS(Sales_Data!$AE$2:$AE$3520,Sales_Data!$C$2:$C$3520,Dashboard!$C$6,Sales_Data!$F$2:$F$3520,N$7)))</f>
        <v>2</v>
      </c>
      <c r="O11" s="26" t="n">
        <f aca="false">IF(O$7="","",CHOOSE(MATCH($B$4,Lists!$C$2:$C$5,0),SUMIFS(Sales_Data!$O$2:$O$3520,Sales_Data!$C$2:$C$3520,Dashboard!$C$6,Sales_Data!$F$2:$F$3520,O$7,Sales_Data!$AE$2:$AE$3520,1),SUMIFS(Sales_Data!$M$2:$M$3520,Sales_Data!$C$2:$C$3520,Dashboard!$C$6,Sales_Data!$F$2:$F$3520,O$7,Sales_Data!$AE$2:$AE$3520,1),SUMIFS(Sales_Data!$N$2:$N$3520,Sales_Data!$C$2:$C$3520,Dashboard!$C$6,Sales_Data!$F$2:$F$3520,O$7,Sales_Data!$AE$2:$AE$3520,1),SUMIFS(Sales_Data!$AE$2:$AE$3520,Sales_Data!$C$2:$C$3520,Dashboard!$C$6,Sales_Data!$F$2:$F$3520,O$7)))</f>
        <v>2</v>
      </c>
      <c r="P11" s="26" t="n">
        <f aca="false">IF(P$7="","",CHOOSE(MATCH($B$4,Lists!$C$2:$C$5,0),SUMIFS(Sales_Data!$O$2:$O$3520,Sales_Data!$C$2:$C$3520,Dashboard!$C$6,Sales_Data!$F$2:$F$3520,P$7,Sales_Data!$AE$2:$AE$3520,1),SUMIFS(Sales_Data!$M$2:$M$3520,Sales_Data!$C$2:$C$3520,Dashboard!$C$6,Sales_Data!$F$2:$F$3520,P$7,Sales_Data!$AE$2:$AE$3520,1),SUMIFS(Sales_Data!$N$2:$N$3520,Sales_Data!$C$2:$C$3520,Dashboard!$C$6,Sales_Data!$F$2:$F$3520,P$7,Sales_Data!$AE$2:$AE$3520,1),SUMIFS(Sales_Data!$AE$2:$AE$3520,Sales_Data!$C$2:$C$3520,Dashboard!$C$6,Sales_Data!$F$2:$F$3520,P$7)))</f>
        <v>4</v>
      </c>
      <c r="Q11" s="26" t="n">
        <f aca="false">IF(Q$7="","",CHOOSE(MATCH($B$4,Lists!$C$2:$C$5,0),SUMIFS(Sales_Data!$O$2:$O$3520,Sales_Data!$C$2:$C$3520,Dashboard!$C$6,Sales_Data!$F$2:$F$3520,Q$7,Sales_Data!$AE$2:$AE$3520,1),SUMIFS(Sales_Data!$M$2:$M$3520,Sales_Data!$C$2:$C$3520,Dashboard!$C$6,Sales_Data!$F$2:$F$3520,Q$7,Sales_Data!$AE$2:$AE$3520,1),SUMIFS(Sales_Data!$N$2:$N$3520,Sales_Data!$C$2:$C$3520,Dashboard!$C$6,Sales_Data!$F$2:$F$3520,Q$7,Sales_Data!$AE$2:$AE$3520,1),SUMIFS(Sales_Data!$AE$2:$AE$3520,Sales_Data!$C$2:$C$3520,Dashboard!$C$6,Sales_Data!$F$2:$F$3520,Q$7)))</f>
        <v>4</v>
      </c>
      <c r="R11" s="26" t="n">
        <f aca="false">IF(R$7="","",CHOOSE(MATCH($B$4,Lists!$C$2:$C$5,0),SUMIFS(Sales_Data!$O$2:$O$3520,Sales_Data!$C$2:$C$3520,Dashboard!$C$6,Sales_Data!$F$2:$F$3520,R$7,Sales_Data!$AE$2:$AE$3520,1),SUMIFS(Sales_Data!$M$2:$M$3520,Sales_Data!$C$2:$C$3520,Dashboard!$C$6,Sales_Data!$F$2:$F$3520,R$7,Sales_Data!$AE$2:$AE$3520,1),SUMIFS(Sales_Data!$N$2:$N$3520,Sales_Data!$C$2:$C$3520,Dashboard!$C$6,Sales_Data!$F$2:$F$3520,R$7,Sales_Data!$AE$2:$AE$3520,1),SUMIFS(Sales_Data!$AE$2:$AE$3520,Sales_Data!$C$2:$C$3520,Dashboard!$C$6,Sales_Data!$F$2:$F$3520,R$7)))</f>
        <v>1</v>
      </c>
      <c r="S11" s="26" t="n">
        <f aca="false">IF(S$7="","",CHOOSE(MATCH($B$4,Lists!$C$2:$C$5,0),SUMIFS(Sales_Data!$O$2:$O$3520,Sales_Data!$C$2:$C$3520,Dashboard!$C$6,Sales_Data!$F$2:$F$3520,S$7,Sales_Data!$AE$2:$AE$3520,1),SUMIFS(Sales_Data!$M$2:$M$3520,Sales_Data!$C$2:$C$3520,Dashboard!$C$6,Sales_Data!$F$2:$F$3520,S$7,Sales_Data!$AE$2:$AE$3520,1),SUMIFS(Sales_Data!$N$2:$N$3520,Sales_Data!$C$2:$C$3520,Dashboard!$C$6,Sales_Data!$F$2:$F$3520,S$7,Sales_Data!$AE$2:$AE$3520,1),SUMIFS(Sales_Data!$AE$2:$AE$3520,Sales_Data!$C$2:$C$3520,Dashboard!$C$6,Sales_Data!$F$2:$F$3520,S$7)))</f>
        <v>2</v>
      </c>
      <c r="T11" s="26" t="str">
        <f aca="false">IF(T$7="","",CHOOSE(MATCH($B$4,Lists!$C$2:$C$5,0),SUMIFS(Sales_Data!$O$2:$O$3520,Sales_Data!$C$2:$C$3520,Dashboard!$C$6,Sales_Data!$F$2:$F$3520,T$7,Sales_Data!$AE$2:$AE$3520,1),SUMIFS(Sales_Data!$M$2:$M$3520,Sales_Data!$C$2:$C$3520,Dashboard!$C$6,Sales_Data!$F$2:$F$3520,T$7,Sales_Data!$AE$2:$AE$3520,1),SUMIFS(Sales_Data!$N$2:$N$3520,Sales_Data!$C$2:$C$3520,Dashboard!$C$6,Sales_Data!$F$2:$F$3520,T$7,Sales_Data!$AE$2:$AE$3520,1),SUMIFS(Sales_Data!$AE$2:$AE$3520,Sales_Data!$C$2:$C$3520,Dashboard!$C$6,Sales_Data!$F$2:$F$3520,T$7)))</f>
        <v/>
      </c>
      <c r="U11" s="26" t="str">
        <f aca="false">IF(U$7="","",CHOOSE(MATCH($B$4,Lists!$C$2:$C$5,0),SUMIFS(Sales_Data!$O$2:$O$3520,Sales_Data!$C$2:$C$3520,Dashboard!$C$6,Sales_Data!$F$2:$F$3520,U$7,Sales_Data!$AE$2:$AE$3520,1),SUMIFS(Sales_Data!$M$2:$M$3520,Sales_Data!$C$2:$C$3520,Dashboard!$C$6,Sales_Data!$F$2:$F$3520,U$7,Sales_Data!$AE$2:$AE$3520,1),SUMIFS(Sales_Data!$N$2:$N$3520,Sales_Data!$C$2:$C$3520,Dashboard!$C$6,Sales_Data!$F$2:$F$3520,U$7,Sales_Data!$AE$2:$AE$3520,1),SUMIFS(Sales_Data!$AE$2:$AE$3520,Sales_Data!$C$2:$C$3520,Dashboard!$C$6,Sales_Data!$F$2:$F$3520,U$7)))</f>
        <v/>
      </c>
      <c r="V11" s="26" t="str">
        <f aca="false">IF(V$7="","",CHOOSE(MATCH($B$4,Lists!$C$2:$C$5,0),SUMIFS(Sales_Data!$O$2:$O$3520,Sales_Data!$C$2:$C$3520,Dashboard!$C$6,Sales_Data!$F$2:$F$3520,V$7,Sales_Data!$AE$2:$AE$3520,1),SUMIFS(Sales_Data!$M$2:$M$3520,Sales_Data!$C$2:$C$3520,Dashboard!$C$6,Sales_Data!$F$2:$F$3520,V$7,Sales_Data!$AE$2:$AE$3520,1),SUMIFS(Sales_Data!$N$2:$N$3520,Sales_Data!$C$2:$C$3520,Dashboard!$C$6,Sales_Data!$F$2:$F$3520,V$7,Sales_Data!$AE$2:$AE$3520,1),SUMIFS(Sales_Data!$AE$2:$AE$3520,Sales_Data!$C$2:$C$3520,Dashboard!$C$6,Sales_Data!$F$2:$F$3520,V$7)))</f>
        <v/>
      </c>
      <c r="W11" s="26" t="str">
        <f aca="false">IF(W$7="","",CHOOSE(MATCH($B$4,Lists!$C$2:$C$5,0),SUMIFS(Sales_Data!$O$2:$O$3520,Sales_Data!$C$2:$C$3520,Dashboard!$C$6,Sales_Data!$F$2:$F$3520,W$7,Sales_Data!$AE$2:$AE$3520,1),SUMIFS(Sales_Data!$M$2:$M$3520,Sales_Data!$C$2:$C$3520,Dashboard!$C$6,Sales_Data!$F$2:$F$3520,W$7,Sales_Data!$AE$2:$AE$3520,1),SUMIFS(Sales_Data!$N$2:$N$3520,Sales_Data!$C$2:$C$3520,Dashboard!$C$6,Sales_Data!$F$2:$F$3520,W$7,Sales_Data!$AE$2:$AE$3520,1),SUMIFS(Sales_Data!$AE$2:$AE$3520,Sales_Data!$C$2:$C$3520,Dashboard!$C$6,Sales_Data!$F$2:$F$3520,W$7)))</f>
        <v/>
      </c>
      <c r="X11" s="26" t="str">
        <f aca="false">IF(X$7="","",CHOOSE(MATCH($B$4,Lists!$C$2:$C$5,0),SUMIFS(Sales_Data!$O$2:$O$3520,Sales_Data!$C$2:$C$3520,Dashboard!$C$6,Sales_Data!$F$2:$F$3520,X$7,Sales_Data!$AE$2:$AE$3520,1),SUMIFS(Sales_Data!$M$2:$M$3520,Sales_Data!$C$2:$C$3520,Dashboard!$C$6,Sales_Data!$F$2:$F$3520,X$7,Sales_Data!$AE$2:$AE$3520,1),SUMIFS(Sales_Data!$N$2:$N$3520,Sales_Data!$C$2:$C$3520,Dashboard!$C$6,Sales_Data!$F$2:$F$3520,X$7,Sales_Data!$AE$2:$AE$3520,1),SUMIFS(Sales_Data!$AE$2:$AE$3520,Sales_Data!$C$2:$C$3520,Dashboard!$C$6,Sales_Data!$F$2:$F$3520,X$7)))</f>
        <v/>
      </c>
      <c r="Y11" s="26" t="str">
        <f aca="false">IF(Y$7="","",CHOOSE(MATCH($B$4,Lists!$C$2:$C$5,0),SUMIFS(Sales_Data!$O$2:$O$3520,Sales_Data!$C$2:$C$3520,Dashboard!$C$6,Sales_Data!$F$2:$F$3520,Y$7,Sales_Data!$AE$2:$AE$3520,1),SUMIFS(Sales_Data!$M$2:$M$3520,Sales_Data!$C$2:$C$3520,Dashboard!$C$6,Sales_Data!$F$2:$F$3520,Y$7,Sales_Data!$AE$2:$AE$3520,1),SUMIFS(Sales_Data!$N$2:$N$3520,Sales_Data!$C$2:$C$3520,Dashboard!$C$6,Sales_Data!$F$2:$F$3520,Y$7,Sales_Data!$AE$2:$AE$3520,1),SUMIFS(Sales_Data!$AE$2:$AE$3520,Sales_Data!$C$2:$C$3520,Dashboard!$C$6,Sales_Data!$F$2:$F$3520,Y$7)))</f>
        <v/>
      </c>
      <c r="Z11" s="26" t="str">
        <f aca="false">IF(Z$7="","",CHOOSE(MATCH($B$4,Lists!$C$2:$C$5,0),SUMIFS(Sales_Data!$O$2:$O$3520,Sales_Data!$C$2:$C$3520,Dashboard!$C$6,Sales_Data!$F$2:$F$3520,Z$7,Sales_Data!$AE$2:$AE$3520,1),SUMIFS(Sales_Data!$M$2:$M$3520,Sales_Data!$C$2:$C$3520,Dashboard!$C$6,Sales_Data!$F$2:$F$3520,Z$7,Sales_Data!$AE$2:$AE$3520,1),SUMIFS(Sales_Data!$N$2:$N$3520,Sales_Data!$C$2:$C$3520,Dashboard!$C$6,Sales_Data!$F$2:$F$3520,Z$7,Sales_Data!$AE$2:$AE$3520,1),SUMIFS(Sales_Data!$AE$2:$AE$3520,Sales_Data!$C$2:$C$3520,Dashboard!$C$6,Sales_Data!$F$2:$F$3520,Z$7)))</f>
        <v/>
      </c>
      <c r="AA11" s="35" t="n">
        <f aca="false">SUM(B11:Z11)</f>
        <v>25</v>
      </c>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row>
    <row r="12" customFormat="false" ht="15" hidden="false" customHeight="false" outlineLevel="0" collapsed="false">
      <c r="A12" s="68" t="s">
        <v>6916</v>
      </c>
      <c r="B12" s="26" t="n">
        <f aca="false">IF(B$7="","",CHOOSE(MATCH($B$4,Lists!$C$2:$C$5,0),SUMIFS(Sales_Data!$O$2:$O$3520,Sales_Data!$C$2:$C$3520,Dashboard!$C$6-1,Sales_Data!$F$2:$F$3520,B$7,Sales_Data!$AE$2:$AE$3520,1),SUMIFS(Sales_Data!$M$2:$M$3520,Sales_Data!$C$2:$C$3520,Dashboard!$C$6-1,Sales_Data!$F$2:$F$3520,B$7,Sales_Data!$AE$2:$AE$3520,1),SUMIFS(Sales_Data!$N$2:$N$3520,Sales_Data!$C$2:$C$3520,Dashboard!$C$6-1,Sales_Data!$F$2:$F$3520,B$7,Sales_Data!$AE$2:$AE$3520,1),SUMIFS(Sales_Data!$AE$2:$AE$3520,Sales_Data!$C$2:$C$3520,Dashboard!$C$6-1,Sales_Data!$F$2:$F$3520,B$7)))</f>
        <v>2</v>
      </c>
      <c r="C12" s="26" t="n">
        <f aca="false">IF(C$7="","",CHOOSE(MATCH($B$4,Lists!$C$2:$C$5,0),SUMIFS(Sales_Data!$O$2:$O$3520,Sales_Data!$C$2:$C$3520,Dashboard!$C$6-1,Sales_Data!$F$2:$F$3520,C$7,Sales_Data!$AE$2:$AE$3520,1),SUMIFS(Sales_Data!$M$2:$M$3520,Sales_Data!$C$2:$C$3520,Dashboard!$C$6-1,Sales_Data!$F$2:$F$3520,C$7,Sales_Data!$AE$2:$AE$3520,1),SUMIFS(Sales_Data!$N$2:$N$3520,Sales_Data!$C$2:$C$3520,Dashboard!$C$6-1,Sales_Data!$F$2:$F$3520,C$7,Sales_Data!$AE$2:$AE$3520,1),SUMIFS(Sales_Data!$AE$2:$AE$3520,Sales_Data!$C$2:$C$3520,Dashboard!$C$6-1,Sales_Data!$F$2:$F$3520,C$7)))</f>
        <v>2</v>
      </c>
      <c r="D12" s="26" t="n">
        <f aca="false">IF(D$7="","",CHOOSE(MATCH($B$4,Lists!$C$2:$C$5,0),SUMIFS(Sales_Data!$O$2:$O$3520,Sales_Data!$C$2:$C$3520,Dashboard!$C$6-1,Sales_Data!$F$2:$F$3520,D$7,Sales_Data!$AE$2:$AE$3520,1),SUMIFS(Sales_Data!$M$2:$M$3520,Sales_Data!$C$2:$C$3520,Dashboard!$C$6-1,Sales_Data!$F$2:$F$3520,D$7,Sales_Data!$AE$2:$AE$3520,1),SUMIFS(Sales_Data!$N$2:$N$3520,Sales_Data!$C$2:$C$3520,Dashboard!$C$6-1,Sales_Data!$F$2:$F$3520,D$7,Sales_Data!$AE$2:$AE$3520,1),SUMIFS(Sales_Data!$AE$2:$AE$3520,Sales_Data!$C$2:$C$3520,Dashboard!$C$6-1,Sales_Data!$F$2:$F$3520,D$7)))</f>
        <v>0</v>
      </c>
      <c r="E12" s="26" t="n">
        <f aca="false">IF(E$7="","",CHOOSE(MATCH($B$4,Lists!$C$2:$C$5,0),SUMIFS(Sales_Data!$O$2:$O$3520,Sales_Data!$C$2:$C$3520,Dashboard!$C$6-1,Sales_Data!$F$2:$F$3520,E$7,Sales_Data!$AE$2:$AE$3520,1),SUMIFS(Sales_Data!$M$2:$M$3520,Sales_Data!$C$2:$C$3520,Dashboard!$C$6-1,Sales_Data!$F$2:$F$3520,E$7,Sales_Data!$AE$2:$AE$3520,1),SUMIFS(Sales_Data!$N$2:$N$3520,Sales_Data!$C$2:$C$3520,Dashboard!$C$6-1,Sales_Data!$F$2:$F$3520,E$7,Sales_Data!$AE$2:$AE$3520,1),SUMIFS(Sales_Data!$AE$2:$AE$3520,Sales_Data!$C$2:$C$3520,Dashboard!$C$6-1,Sales_Data!$F$2:$F$3520,E$7)))</f>
        <v>1</v>
      </c>
      <c r="F12" s="26" t="n">
        <f aca="false">IF(F$7="","",CHOOSE(MATCH($B$4,Lists!$C$2:$C$5,0),SUMIFS(Sales_Data!$O$2:$O$3520,Sales_Data!$C$2:$C$3520,Dashboard!$C$6-1,Sales_Data!$F$2:$F$3520,F$7,Sales_Data!$AE$2:$AE$3520,1),SUMIFS(Sales_Data!$M$2:$M$3520,Sales_Data!$C$2:$C$3520,Dashboard!$C$6-1,Sales_Data!$F$2:$F$3520,F$7,Sales_Data!$AE$2:$AE$3520,1),SUMIFS(Sales_Data!$N$2:$N$3520,Sales_Data!$C$2:$C$3520,Dashboard!$C$6-1,Sales_Data!$F$2:$F$3520,F$7,Sales_Data!$AE$2:$AE$3520,1),SUMIFS(Sales_Data!$AE$2:$AE$3520,Sales_Data!$C$2:$C$3520,Dashboard!$C$6-1,Sales_Data!$F$2:$F$3520,F$7)))</f>
        <v>1</v>
      </c>
      <c r="G12" s="26" t="n">
        <f aca="false">IF(G$7="","",CHOOSE(MATCH($B$4,Lists!$C$2:$C$5,0),SUMIFS(Sales_Data!$O$2:$O$3520,Sales_Data!$C$2:$C$3520,Dashboard!$C$6-1,Sales_Data!$F$2:$F$3520,G$7,Sales_Data!$AE$2:$AE$3520,1),SUMIFS(Sales_Data!$M$2:$M$3520,Sales_Data!$C$2:$C$3520,Dashboard!$C$6-1,Sales_Data!$F$2:$F$3520,G$7,Sales_Data!$AE$2:$AE$3520,1),SUMIFS(Sales_Data!$N$2:$N$3520,Sales_Data!$C$2:$C$3520,Dashboard!$C$6-1,Sales_Data!$F$2:$F$3520,G$7,Sales_Data!$AE$2:$AE$3520,1),SUMIFS(Sales_Data!$AE$2:$AE$3520,Sales_Data!$C$2:$C$3520,Dashboard!$C$6-1,Sales_Data!$F$2:$F$3520,G$7)))</f>
        <v>0</v>
      </c>
      <c r="H12" s="26" t="n">
        <f aca="false">IF(H$7="","",CHOOSE(MATCH($B$4,Lists!$C$2:$C$5,0),SUMIFS(Sales_Data!$O$2:$O$3520,Sales_Data!$C$2:$C$3520,Dashboard!$C$6-1,Sales_Data!$F$2:$F$3520,H$7,Sales_Data!$AE$2:$AE$3520,1),SUMIFS(Sales_Data!$M$2:$M$3520,Sales_Data!$C$2:$C$3520,Dashboard!$C$6-1,Sales_Data!$F$2:$F$3520,H$7,Sales_Data!$AE$2:$AE$3520,1),SUMIFS(Sales_Data!$N$2:$N$3520,Sales_Data!$C$2:$C$3520,Dashboard!$C$6-1,Sales_Data!$F$2:$F$3520,H$7,Sales_Data!$AE$2:$AE$3520,1),SUMIFS(Sales_Data!$AE$2:$AE$3520,Sales_Data!$C$2:$C$3520,Dashboard!$C$6-1,Sales_Data!$F$2:$F$3520,H$7)))</f>
        <v>5</v>
      </c>
      <c r="I12" s="26" t="n">
        <f aca="false">IF(I$7="","",CHOOSE(MATCH($B$4,Lists!$C$2:$C$5,0),SUMIFS(Sales_Data!$O$2:$O$3520,Sales_Data!$C$2:$C$3520,Dashboard!$C$6-1,Sales_Data!$F$2:$F$3520,I$7,Sales_Data!$AE$2:$AE$3520,1),SUMIFS(Sales_Data!$M$2:$M$3520,Sales_Data!$C$2:$C$3520,Dashboard!$C$6-1,Sales_Data!$F$2:$F$3520,I$7,Sales_Data!$AE$2:$AE$3520,1),SUMIFS(Sales_Data!$N$2:$N$3520,Sales_Data!$C$2:$C$3520,Dashboard!$C$6-1,Sales_Data!$F$2:$F$3520,I$7,Sales_Data!$AE$2:$AE$3520,1),SUMIFS(Sales_Data!$AE$2:$AE$3520,Sales_Data!$C$2:$C$3520,Dashboard!$C$6-1,Sales_Data!$F$2:$F$3520,I$7)))</f>
        <v>0</v>
      </c>
      <c r="J12" s="26" t="n">
        <f aca="false">IF(J$7="","",CHOOSE(MATCH($B$4,Lists!$C$2:$C$5,0),SUMIFS(Sales_Data!$O$2:$O$3520,Sales_Data!$C$2:$C$3520,Dashboard!$C$6-1,Sales_Data!$F$2:$F$3520,J$7,Sales_Data!$AE$2:$AE$3520,1),SUMIFS(Sales_Data!$M$2:$M$3520,Sales_Data!$C$2:$C$3520,Dashboard!$C$6-1,Sales_Data!$F$2:$F$3520,J$7,Sales_Data!$AE$2:$AE$3520,1),SUMIFS(Sales_Data!$N$2:$N$3520,Sales_Data!$C$2:$C$3520,Dashboard!$C$6-1,Sales_Data!$F$2:$F$3520,J$7,Sales_Data!$AE$2:$AE$3520,1),SUMIFS(Sales_Data!$AE$2:$AE$3520,Sales_Data!$C$2:$C$3520,Dashboard!$C$6-1,Sales_Data!$F$2:$F$3520,J$7)))</f>
        <v>1</v>
      </c>
      <c r="K12" s="26" t="n">
        <f aca="false">IF(K$7="","",CHOOSE(MATCH($B$4,Lists!$C$2:$C$5,0),SUMIFS(Sales_Data!$O$2:$O$3520,Sales_Data!$C$2:$C$3520,Dashboard!$C$6-1,Sales_Data!$F$2:$F$3520,K$7,Sales_Data!$AE$2:$AE$3520,1),SUMIFS(Sales_Data!$M$2:$M$3520,Sales_Data!$C$2:$C$3520,Dashboard!$C$6-1,Sales_Data!$F$2:$F$3520,K$7,Sales_Data!$AE$2:$AE$3520,1),SUMIFS(Sales_Data!$N$2:$N$3520,Sales_Data!$C$2:$C$3520,Dashboard!$C$6-1,Sales_Data!$F$2:$F$3520,K$7,Sales_Data!$AE$2:$AE$3520,1),SUMIFS(Sales_Data!$AE$2:$AE$3520,Sales_Data!$C$2:$C$3520,Dashboard!$C$6-1,Sales_Data!$F$2:$F$3520,K$7)))</f>
        <v>1</v>
      </c>
      <c r="L12" s="26" t="n">
        <f aca="false">IF(L$7="","",CHOOSE(MATCH($B$4,Lists!$C$2:$C$5,0),SUMIFS(Sales_Data!$O$2:$O$3520,Sales_Data!$C$2:$C$3520,Dashboard!$C$6-1,Sales_Data!$F$2:$F$3520,L$7,Sales_Data!$AE$2:$AE$3520,1),SUMIFS(Sales_Data!$M$2:$M$3520,Sales_Data!$C$2:$C$3520,Dashboard!$C$6-1,Sales_Data!$F$2:$F$3520,L$7,Sales_Data!$AE$2:$AE$3520,1),SUMIFS(Sales_Data!$N$2:$N$3520,Sales_Data!$C$2:$C$3520,Dashboard!$C$6-1,Sales_Data!$F$2:$F$3520,L$7,Sales_Data!$AE$2:$AE$3520,1),SUMIFS(Sales_Data!$AE$2:$AE$3520,Sales_Data!$C$2:$C$3520,Dashboard!$C$6-1,Sales_Data!$F$2:$F$3520,L$7)))</f>
        <v>0</v>
      </c>
      <c r="M12" s="26" t="n">
        <f aca="false">IF(M$7="","",CHOOSE(MATCH($B$4,Lists!$C$2:$C$5,0),SUMIFS(Sales_Data!$O$2:$O$3520,Sales_Data!$C$2:$C$3520,Dashboard!$C$6-1,Sales_Data!$F$2:$F$3520,M$7,Sales_Data!$AE$2:$AE$3520,1),SUMIFS(Sales_Data!$M$2:$M$3520,Sales_Data!$C$2:$C$3520,Dashboard!$C$6-1,Sales_Data!$F$2:$F$3520,M$7,Sales_Data!$AE$2:$AE$3520,1),SUMIFS(Sales_Data!$N$2:$N$3520,Sales_Data!$C$2:$C$3520,Dashboard!$C$6-1,Sales_Data!$F$2:$F$3520,M$7,Sales_Data!$AE$2:$AE$3520,1),SUMIFS(Sales_Data!$AE$2:$AE$3520,Sales_Data!$C$2:$C$3520,Dashboard!$C$6-1,Sales_Data!$F$2:$F$3520,M$7)))</f>
        <v>0</v>
      </c>
      <c r="N12" s="26" t="n">
        <f aca="false">IF(N$7="","",CHOOSE(MATCH($B$4,Lists!$C$2:$C$5,0),SUMIFS(Sales_Data!$O$2:$O$3520,Sales_Data!$C$2:$C$3520,Dashboard!$C$6-1,Sales_Data!$F$2:$F$3520,N$7,Sales_Data!$AE$2:$AE$3520,1),SUMIFS(Sales_Data!$M$2:$M$3520,Sales_Data!$C$2:$C$3520,Dashboard!$C$6-1,Sales_Data!$F$2:$F$3520,N$7,Sales_Data!$AE$2:$AE$3520,1),SUMIFS(Sales_Data!$N$2:$N$3520,Sales_Data!$C$2:$C$3520,Dashboard!$C$6-1,Sales_Data!$F$2:$F$3520,N$7,Sales_Data!$AE$2:$AE$3520,1),SUMIFS(Sales_Data!$AE$2:$AE$3520,Sales_Data!$C$2:$C$3520,Dashboard!$C$6-1,Sales_Data!$F$2:$F$3520,N$7)))</f>
        <v>4</v>
      </c>
      <c r="O12" s="26" t="n">
        <f aca="false">IF(O$7="","",CHOOSE(MATCH($B$4,Lists!$C$2:$C$5,0),SUMIFS(Sales_Data!$O$2:$O$3520,Sales_Data!$C$2:$C$3520,Dashboard!$C$6-1,Sales_Data!$F$2:$F$3520,O$7,Sales_Data!$AE$2:$AE$3520,1),SUMIFS(Sales_Data!$M$2:$M$3520,Sales_Data!$C$2:$C$3520,Dashboard!$C$6-1,Sales_Data!$F$2:$F$3520,O$7,Sales_Data!$AE$2:$AE$3520,1),SUMIFS(Sales_Data!$N$2:$N$3520,Sales_Data!$C$2:$C$3520,Dashboard!$C$6-1,Sales_Data!$F$2:$F$3520,O$7,Sales_Data!$AE$2:$AE$3520,1),SUMIFS(Sales_Data!$AE$2:$AE$3520,Sales_Data!$C$2:$C$3520,Dashboard!$C$6-1,Sales_Data!$F$2:$F$3520,O$7)))</f>
        <v>0</v>
      </c>
      <c r="P12" s="26" t="n">
        <f aca="false">IF(P$7="","",CHOOSE(MATCH($B$4,Lists!$C$2:$C$5,0),SUMIFS(Sales_Data!$O$2:$O$3520,Sales_Data!$C$2:$C$3520,Dashboard!$C$6-1,Sales_Data!$F$2:$F$3520,P$7,Sales_Data!$AE$2:$AE$3520,1),SUMIFS(Sales_Data!$M$2:$M$3520,Sales_Data!$C$2:$C$3520,Dashboard!$C$6-1,Sales_Data!$F$2:$F$3520,P$7,Sales_Data!$AE$2:$AE$3520,1),SUMIFS(Sales_Data!$N$2:$N$3520,Sales_Data!$C$2:$C$3520,Dashboard!$C$6-1,Sales_Data!$F$2:$F$3520,P$7,Sales_Data!$AE$2:$AE$3520,1),SUMIFS(Sales_Data!$AE$2:$AE$3520,Sales_Data!$C$2:$C$3520,Dashboard!$C$6-1,Sales_Data!$F$2:$F$3520,P$7)))</f>
        <v>0</v>
      </c>
      <c r="Q12" s="26" t="n">
        <f aca="false">IF(Q$7="","",CHOOSE(MATCH($B$4,Lists!$C$2:$C$5,0),SUMIFS(Sales_Data!$O$2:$O$3520,Sales_Data!$C$2:$C$3520,Dashboard!$C$6-1,Sales_Data!$F$2:$F$3520,Q$7,Sales_Data!$AE$2:$AE$3520,1),SUMIFS(Sales_Data!$M$2:$M$3520,Sales_Data!$C$2:$C$3520,Dashboard!$C$6-1,Sales_Data!$F$2:$F$3520,Q$7,Sales_Data!$AE$2:$AE$3520,1),SUMIFS(Sales_Data!$N$2:$N$3520,Sales_Data!$C$2:$C$3520,Dashboard!$C$6-1,Sales_Data!$F$2:$F$3520,Q$7,Sales_Data!$AE$2:$AE$3520,1),SUMIFS(Sales_Data!$AE$2:$AE$3520,Sales_Data!$C$2:$C$3520,Dashboard!$C$6-1,Sales_Data!$F$2:$F$3520,Q$7)))</f>
        <v>5</v>
      </c>
      <c r="R12" s="26" t="n">
        <f aca="false">IF(R$7="","",CHOOSE(MATCH($B$4,Lists!$C$2:$C$5,0),SUMIFS(Sales_Data!$O$2:$O$3520,Sales_Data!$C$2:$C$3520,Dashboard!$C$6-1,Sales_Data!$F$2:$F$3520,R$7,Sales_Data!$AE$2:$AE$3520,1),SUMIFS(Sales_Data!$M$2:$M$3520,Sales_Data!$C$2:$C$3520,Dashboard!$C$6-1,Sales_Data!$F$2:$F$3520,R$7,Sales_Data!$AE$2:$AE$3520,1),SUMIFS(Sales_Data!$N$2:$N$3520,Sales_Data!$C$2:$C$3520,Dashboard!$C$6-1,Sales_Data!$F$2:$F$3520,R$7,Sales_Data!$AE$2:$AE$3520,1),SUMIFS(Sales_Data!$AE$2:$AE$3520,Sales_Data!$C$2:$C$3520,Dashboard!$C$6-1,Sales_Data!$F$2:$F$3520,R$7)))</f>
        <v>0</v>
      </c>
      <c r="S12" s="26" t="n">
        <f aca="false">IF(S$7="","",CHOOSE(MATCH($B$4,Lists!$C$2:$C$5,0),SUMIFS(Sales_Data!$O$2:$O$3520,Sales_Data!$C$2:$C$3520,Dashboard!$C$6-1,Sales_Data!$F$2:$F$3520,S$7,Sales_Data!$AE$2:$AE$3520,1),SUMIFS(Sales_Data!$M$2:$M$3520,Sales_Data!$C$2:$C$3520,Dashboard!$C$6-1,Sales_Data!$F$2:$F$3520,S$7,Sales_Data!$AE$2:$AE$3520,1),SUMIFS(Sales_Data!$N$2:$N$3520,Sales_Data!$C$2:$C$3520,Dashboard!$C$6-1,Sales_Data!$F$2:$F$3520,S$7,Sales_Data!$AE$2:$AE$3520,1),SUMIFS(Sales_Data!$AE$2:$AE$3520,Sales_Data!$C$2:$C$3520,Dashboard!$C$6-1,Sales_Data!$F$2:$F$3520,S$7)))</f>
        <v>1</v>
      </c>
      <c r="T12" s="26" t="str">
        <f aca="false">IF(T$7="","",CHOOSE(MATCH($B$4,Lists!$C$2:$C$5,0),SUMIFS(Sales_Data!$O$2:$O$3520,Sales_Data!$C$2:$C$3520,Dashboard!$C$6-1,Sales_Data!$F$2:$F$3520,T$7,Sales_Data!$AE$2:$AE$3520,1),SUMIFS(Sales_Data!$M$2:$M$3520,Sales_Data!$C$2:$C$3520,Dashboard!$C$6-1,Sales_Data!$F$2:$F$3520,T$7,Sales_Data!$AE$2:$AE$3520,1),SUMIFS(Sales_Data!$N$2:$N$3520,Sales_Data!$C$2:$C$3520,Dashboard!$C$6-1,Sales_Data!$F$2:$F$3520,T$7,Sales_Data!$AE$2:$AE$3520,1),SUMIFS(Sales_Data!$AE$2:$AE$3520,Sales_Data!$C$2:$C$3520,Dashboard!$C$6-1,Sales_Data!$F$2:$F$3520,T$7)))</f>
        <v/>
      </c>
      <c r="U12" s="26" t="str">
        <f aca="false">IF(U$7="","",CHOOSE(MATCH($B$4,Lists!$C$2:$C$5,0),SUMIFS(Sales_Data!$O$2:$O$3520,Sales_Data!$C$2:$C$3520,Dashboard!$C$6-1,Sales_Data!$F$2:$F$3520,U$7,Sales_Data!$AE$2:$AE$3520,1),SUMIFS(Sales_Data!$M$2:$M$3520,Sales_Data!$C$2:$C$3520,Dashboard!$C$6-1,Sales_Data!$F$2:$F$3520,U$7,Sales_Data!$AE$2:$AE$3520,1),SUMIFS(Sales_Data!$N$2:$N$3520,Sales_Data!$C$2:$C$3520,Dashboard!$C$6-1,Sales_Data!$F$2:$F$3520,U$7,Sales_Data!$AE$2:$AE$3520,1),SUMIFS(Sales_Data!$AE$2:$AE$3520,Sales_Data!$C$2:$C$3520,Dashboard!$C$6-1,Sales_Data!$F$2:$F$3520,U$7)))</f>
        <v/>
      </c>
      <c r="V12" s="26" t="str">
        <f aca="false">IF(V$7="","",CHOOSE(MATCH($B$4,Lists!$C$2:$C$5,0),SUMIFS(Sales_Data!$O$2:$O$3520,Sales_Data!$C$2:$C$3520,Dashboard!$C$6-1,Sales_Data!$F$2:$F$3520,V$7,Sales_Data!$AE$2:$AE$3520,1),SUMIFS(Sales_Data!$M$2:$M$3520,Sales_Data!$C$2:$C$3520,Dashboard!$C$6-1,Sales_Data!$F$2:$F$3520,V$7,Sales_Data!$AE$2:$AE$3520,1),SUMIFS(Sales_Data!$N$2:$N$3520,Sales_Data!$C$2:$C$3520,Dashboard!$C$6-1,Sales_Data!$F$2:$F$3520,V$7,Sales_Data!$AE$2:$AE$3520,1),SUMIFS(Sales_Data!$AE$2:$AE$3520,Sales_Data!$C$2:$C$3520,Dashboard!$C$6-1,Sales_Data!$F$2:$F$3520,V$7)))</f>
        <v/>
      </c>
      <c r="W12" s="26" t="str">
        <f aca="false">IF(W$7="","",CHOOSE(MATCH($B$4,Lists!$C$2:$C$5,0),SUMIFS(Sales_Data!$O$2:$O$3520,Sales_Data!$C$2:$C$3520,Dashboard!$C$6-1,Sales_Data!$F$2:$F$3520,W$7,Sales_Data!$AE$2:$AE$3520,1),SUMIFS(Sales_Data!$M$2:$M$3520,Sales_Data!$C$2:$C$3520,Dashboard!$C$6-1,Sales_Data!$F$2:$F$3520,W$7,Sales_Data!$AE$2:$AE$3520,1),SUMIFS(Sales_Data!$N$2:$N$3520,Sales_Data!$C$2:$C$3520,Dashboard!$C$6-1,Sales_Data!$F$2:$F$3520,W$7,Sales_Data!$AE$2:$AE$3520,1),SUMIFS(Sales_Data!$AE$2:$AE$3520,Sales_Data!$C$2:$C$3520,Dashboard!$C$6-1,Sales_Data!$F$2:$F$3520,W$7)))</f>
        <v/>
      </c>
      <c r="X12" s="26" t="str">
        <f aca="false">IF(X$7="","",CHOOSE(MATCH($B$4,Lists!$C$2:$C$5,0),SUMIFS(Sales_Data!$O$2:$O$3520,Sales_Data!$C$2:$C$3520,Dashboard!$C$6-1,Sales_Data!$F$2:$F$3520,X$7,Sales_Data!$AE$2:$AE$3520,1),SUMIFS(Sales_Data!$M$2:$M$3520,Sales_Data!$C$2:$C$3520,Dashboard!$C$6-1,Sales_Data!$F$2:$F$3520,X$7,Sales_Data!$AE$2:$AE$3520,1),SUMIFS(Sales_Data!$N$2:$N$3520,Sales_Data!$C$2:$C$3520,Dashboard!$C$6-1,Sales_Data!$F$2:$F$3520,X$7,Sales_Data!$AE$2:$AE$3520,1),SUMIFS(Sales_Data!$AE$2:$AE$3520,Sales_Data!$C$2:$C$3520,Dashboard!$C$6-1,Sales_Data!$F$2:$F$3520,X$7)))</f>
        <v/>
      </c>
      <c r="Y12" s="26" t="str">
        <f aca="false">IF(Y$7="","",CHOOSE(MATCH($B$4,Lists!$C$2:$C$5,0),SUMIFS(Sales_Data!$O$2:$O$3520,Sales_Data!$C$2:$C$3520,Dashboard!$C$6-1,Sales_Data!$F$2:$F$3520,Y$7,Sales_Data!$AE$2:$AE$3520,1),SUMIFS(Sales_Data!$M$2:$M$3520,Sales_Data!$C$2:$C$3520,Dashboard!$C$6-1,Sales_Data!$F$2:$F$3520,Y$7,Sales_Data!$AE$2:$AE$3520,1),SUMIFS(Sales_Data!$N$2:$N$3520,Sales_Data!$C$2:$C$3520,Dashboard!$C$6-1,Sales_Data!$F$2:$F$3520,Y$7,Sales_Data!$AE$2:$AE$3520,1),SUMIFS(Sales_Data!$AE$2:$AE$3520,Sales_Data!$C$2:$C$3520,Dashboard!$C$6-1,Sales_Data!$F$2:$F$3520,Y$7)))</f>
        <v/>
      </c>
      <c r="Z12" s="26" t="str">
        <f aca="false">IF(Z$7="","",CHOOSE(MATCH($B$4,Lists!$C$2:$C$5,0),SUMIFS(Sales_Data!$O$2:$O$3520,Sales_Data!$C$2:$C$3520,Dashboard!$C$6-1,Sales_Data!$F$2:$F$3520,Z$7,Sales_Data!$AE$2:$AE$3520,1),SUMIFS(Sales_Data!$M$2:$M$3520,Sales_Data!$C$2:$C$3520,Dashboard!$C$6-1,Sales_Data!$F$2:$F$3520,Z$7,Sales_Data!$AE$2:$AE$3520,1),SUMIFS(Sales_Data!$N$2:$N$3520,Sales_Data!$C$2:$C$3520,Dashboard!$C$6-1,Sales_Data!$F$2:$F$3520,Z$7,Sales_Data!$AE$2:$AE$3520,1),SUMIFS(Sales_Data!$AE$2:$AE$3520,Sales_Data!$C$2:$C$3520,Dashboard!$C$6-1,Sales_Data!$F$2:$F$3520,Z$7)))</f>
        <v/>
      </c>
      <c r="AA12" s="35" t="n">
        <f aca="false">SUM(B12:Z12)</f>
        <v>23</v>
      </c>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row>
    <row r="13" customFormat="false" ht="15" hidden="false" customHeight="false" outlineLevel="0" collapsed="false">
      <c r="A13" s="68" t="s">
        <v>30</v>
      </c>
      <c r="B13" s="49" t="n">
        <f aca="false">IF(B$7="","",B11-B12)</f>
        <v>-1</v>
      </c>
      <c r="C13" s="49" t="n">
        <f aca="false">IF(C$7="","",C11-C12)</f>
        <v>-2</v>
      </c>
      <c r="D13" s="49" t="n">
        <f aca="false">IF(D$7="","",D11-D12)</f>
        <v>3</v>
      </c>
      <c r="E13" s="49" t="n">
        <f aca="false">IF(E$7="","",E11-E12)</f>
        <v>1</v>
      </c>
      <c r="F13" s="49" t="n">
        <f aca="false">IF(F$7="","",F11-F12)</f>
        <v>-1</v>
      </c>
      <c r="G13" s="49" t="n">
        <f aca="false">IF(G$7="","",G11-G12)</f>
        <v>0</v>
      </c>
      <c r="H13" s="49" t="n">
        <f aca="false">IF(H$7="","",H11-H12)</f>
        <v>-4</v>
      </c>
      <c r="I13" s="49" t="n">
        <f aca="false">IF(I$7="","",I11-I12)</f>
        <v>1</v>
      </c>
      <c r="J13" s="49" t="n">
        <f aca="false">IF(J$7="","",J11-J12)</f>
        <v>-1</v>
      </c>
      <c r="K13" s="49" t="n">
        <f aca="false">IF(K$7="","",K11-K12)</f>
        <v>1</v>
      </c>
      <c r="L13" s="49" t="n">
        <f aca="false">IF(L$7="","",L11-L12)</f>
        <v>0</v>
      </c>
      <c r="M13" s="49" t="n">
        <f aca="false">IF(M$7="","",M11-M12)</f>
        <v>0</v>
      </c>
      <c r="N13" s="49" t="n">
        <f aca="false">IF(N$7="","",N11-N12)</f>
        <v>-2</v>
      </c>
      <c r="O13" s="49" t="n">
        <f aca="false">IF(O$7="","",O11-O12)</f>
        <v>2</v>
      </c>
      <c r="P13" s="49" t="n">
        <f aca="false">IF(P$7="","",P11-P12)</f>
        <v>4</v>
      </c>
      <c r="Q13" s="49" t="n">
        <f aca="false">IF(Q$7="","",Q11-Q12)</f>
        <v>-1</v>
      </c>
      <c r="R13" s="49" t="n">
        <f aca="false">IF(R$7="","",R11-R12)</f>
        <v>1</v>
      </c>
      <c r="S13" s="49" t="n">
        <f aca="false">IF(S$7="","",S11-S12)</f>
        <v>1</v>
      </c>
      <c r="T13" s="49" t="str">
        <f aca="false">IF(T$7="","",T11-T12)</f>
        <v/>
      </c>
      <c r="U13" s="49" t="str">
        <f aca="false">IF(U$7="","",U11-U12)</f>
        <v/>
      </c>
      <c r="V13" s="49" t="str">
        <f aca="false">IF(V$7="","",V11-V12)</f>
        <v/>
      </c>
      <c r="W13" s="49" t="str">
        <f aca="false">IF(W$7="","",W11-W12)</f>
        <v/>
      </c>
      <c r="X13" s="49" t="str">
        <f aca="false">IF(X$7="","",X11-X12)</f>
        <v/>
      </c>
      <c r="Y13" s="49" t="str">
        <f aca="false">IF(Y$7="","",Y11-Y12)</f>
        <v/>
      </c>
      <c r="Z13" s="49" t="str">
        <f aca="false">IF(Z$7="","",Z11-Z12)</f>
        <v/>
      </c>
      <c r="AA13" s="35" t="n">
        <f aca="false">SUM(B13:Z13)</f>
        <v>2</v>
      </c>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row>
    <row r="14" customFormat="false" ht="15" hidden="false" customHeight="false" outlineLevel="0" collapsed="false">
      <c r="A14" s="68" t="s">
        <v>6922</v>
      </c>
      <c r="B14" s="33" t="n">
        <f aca="false">IF(B$7="","",RANK(B9,$B$9:$Z$9))</f>
        <v>3</v>
      </c>
      <c r="C14" s="33" t="n">
        <f aca="false">IF(C$7="","",RANK(C9,$B$9:$Z$9))</f>
        <v>6</v>
      </c>
      <c r="D14" s="33" t="n">
        <f aca="false">IF(D$7="","",RANK(D9,$B$9:$Z$9))</f>
        <v>6</v>
      </c>
      <c r="E14" s="33" t="n">
        <f aca="false">IF(E$7="","",RANK(E9,$B$9:$Z$9))</f>
        <v>3</v>
      </c>
      <c r="F14" s="33" t="n">
        <f aca="false">IF(F$7="","",RANK(F9,$B$9:$Z$9))</f>
        <v>12</v>
      </c>
      <c r="G14" s="33" t="n">
        <f aca="false">IF(G$7="","",RANK(G9,$B$9:$Z$9))</f>
        <v>9</v>
      </c>
      <c r="H14" s="33" t="n">
        <f aca="false">IF(H$7="","",RANK(H9,$B$9:$Z$9))</f>
        <v>2</v>
      </c>
      <c r="I14" s="33" t="n">
        <f aca="false">IF(I$7="","",RANK(I9,$B$9:$Z$9))</f>
        <v>15</v>
      </c>
      <c r="J14" s="33" t="n">
        <f aca="false">IF(J$7="","",RANK(J9,$B$9:$Z$9))</f>
        <v>15</v>
      </c>
      <c r="K14" s="33" t="n">
        <f aca="false">IF(K$7="","",RANK(K9,$B$9:$Z$9))</f>
        <v>12</v>
      </c>
      <c r="L14" s="33" t="n">
        <f aca="false">IF(L$7="","",RANK(L9,$B$9:$Z$9))</f>
        <v>17</v>
      </c>
      <c r="M14" s="33" t="n">
        <f aca="false">IF(M$7="","",RANK(M9,$B$9:$Z$9))</f>
        <v>17</v>
      </c>
      <c r="N14" s="33" t="n">
        <f aca="false">IF(N$7="","",RANK(N9,$B$9:$Z$9))</f>
        <v>3</v>
      </c>
      <c r="O14" s="33" t="n">
        <f aca="false">IF(O$7="","",RANK(O9,$B$9:$Z$9))</f>
        <v>12</v>
      </c>
      <c r="P14" s="33" t="n">
        <f aca="false">IF(P$7="","",RANK(P9,$B$9:$Z$9))</f>
        <v>9</v>
      </c>
      <c r="Q14" s="33" t="n">
        <f aca="false">IF(Q$7="","",RANK(Q9,$B$9:$Z$9))</f>
        <v>1</v>
      </c>
      <c r="R14" s="33" t="n">
        <f aca="false">IF(R$7="","",RANK(R9,$B$9:$Z$9))</f>
        <v>9</v>
      </c>
      <c r="S14" s="33" t="n">
        <f aca="false">IF(S$7="","",RANK(S9,$B$9:$Z$9))</f>
        <v>6</v>
      </c>
      <c r="T14" s="33" t="str">
        <f aca="false">IF(T$7="","",RANK(T9,$B$9:$Z$9))</f>
        <v/>
      </c>
      <c r="U14" s="33" t="str">
        <f aca="false">IF(U$7="","",RANK(U9,$B$9:$Z$9))</f>
        <v/>
      </c>
      <c r="V14" s="33" t="str">
        <f aca="false">IF(V$7="","",RANK(V9,$B$9:$Z$9))</f>
        <v/>
      </c>
      <c r="W14" s="33" t="str">
        <f aca="false">IF(W$7="","",RANK(W9,$B$9:$Z$9))</f>
        <v/>
      </c>
      <c r="X14" s="33" t="str">
        <f aca="false">IF(X$7="","",RANK(X9,$B$9:$Z$9))</f>
        <v/>
      </c>
      <c r="Y14" s="33" t="str">
        <f aca="false">IF(Y$7="","",RANK(Y9,$B$9:$Z$9))</f>
        <v/>
      </c>
      <c r="Z14" s="33" t="str">
        <f aca="false">IF(Z$7="","",RANK(Z9,$B$9:$Z$9))</f>
        <v/>
      </c>
      <c r="AA14" s="35"/>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row>
    <row r="15" customFormat="false" ht="15" hidden="false" customHeight="false" outlineLevel="0" collapsed="false">
      <c r="A15" s="68" t="s">
        <v>6923</v>
      </c>
      <c r="B15" s="52" t="n">
        <f aca="false">IF(B$7="","",SUMIFS(Sales_Data!$AF$2:$AF$3520,Sales_Data!$F$2:$F$3520,B$7,Sales_Data!$C$2:$C$3520,"&gt;="&amp;Dashboard!$C$5,Sales_Data!$C$2:$C$3520,"&lt;="&amp;Dashboard!$C$6))</f>
        <v>4</v>
      </c>
      <c r="C15" s="52" t="n">
        <f aca="false">IF(C$7="","",SUMIFS(Sales_Data!$AF$2:$AF$3520,Sales_Data!$F$2:$F$3520,C$7,Sales_Data!$C$2:$C$3520,"&gt;="&amp;Dashboard!$C$5,Sales_Data!$C$2:$C$3520,"&lt;="&amp;Dashboard!$C$6))</f>
        <v>3</v>
      </c>
      <c r="D15" s="52" t="n">
        <f aca="false">IF(D$7="","",SUMIFS(Sales_Data!$AF$2:$AF$3520,Sales_Data!$F$2:$F$3520,D$7,Sales_Data!$C$2:$C$3520,"&gt;="&amp;Dashboard!$C$5,Sales_Data!$C$2:$C$3520,"&lt;="&amp;Dashboard!$C$6))</f>
        <v>3</v>
      </c>
      <c r="E15" s="52" t="n">
        <f aca="false">IF(E$7="","",SUMIFS(Sales_Data!$AF$2:$AF$3520,Sales_Data!$F$2:$F$3520,E$7,Sales_Data!$C$2:$C$3520,"&gt;="&amp;Dashboard!$C$5,Sales_Data!$C$2:$C$3520,"&lt;="&amp;Dashboard!$C$6))</f>
        <v>4</v>
      </c>
      <c r="F15" s="52" t="n">
        <f aca="false">IF(F$7="","",SUMIFS(Sales_Data!$AF$2:$AF$3520,Sales_Data!$F$2:$F$3520,F$7,Sales_Data!$C$2:$C$3520,"&gt;="&amp;Dashboard!$C$5,Sales_Data!$C$2:$C$3520,"&lt;="&amp;Dashboard!$C$6))</f>
        <v>2</v>
      </c>
      <c r="G15" s="52" t="n">
        <f aca="false">IF(G$7="","",SUMIFS(Sales_Data!$AF$2:$AF$3520,Sales_Data!$F$2:$F$3520,G$7,Sales_Data!$C$2:$C$3520,"&gt;="&amp;Dashboard!$C$5,Sales_Data!$C$2:$C$3520,"&lt;="&amp;Dashboard!$C$6))</f>
        <v>1</v>
      </c>
      <c r="H15" s="52" t="n">
        <f aca="false">IF(H$7="","",SUMIFS(Sales_Data!$AF$2:$AF$3520,Sales_Data!$F$2:$F$3520,H$7,Sales_Data!$C$2:$C$3520,"&gt;="&amp;Dashboard!$C$5,Sales_Data!$C$2:$C$3520,"&lt;="&amp;Dashboard!$C$6))</f>
        <v>3</v>
      </c>
      <c r="I15" s="52" t="n">
        <f aca="false">IF(I$7="","",SUMIFS(Sales_Data!$AF$2:$AF$3520,Sales_Data!$F$2:$F$3520,I$7,Sales_Data!$C$2:$C$3520,"&gt;="&amp;Dashboard!$C$5,Sales_Data!$C$2:$C$3520,"&lt;="&amp;Dashboard!$C$6))</f>
        <v>1</v>
      </c>
      <c r="J15" s="52" t="n">
        <f aca="false">IF(J$7="","",SUMIFS(Sales_Data!$AF$2:$AF$3520,Sales_Data!$F$2:$F$3520,J$7,Sales_Data!$C$2:$C$3520,"&gt;="&amp;Dashboard!$C$5,Sales_Data!$C$2:$C$3520,"&lt;="&amp;Dashboard!$C$6))</f>
        <v>1</v>
      </c>
      <c r="K15" s="52" t="n">
        <f aca="false">IF(K$7="","",SUMIFS(Sales_Data!$AF$2:$AF$3520,Sales_Data!$F$2:$F$3520,K$7,Sales_Data!$C$2:$C$3520,"&gt;="&amp;Dashboard!$C$5,Sales_Data!$C$2:$C$3520,"&lt;="&amp;Dashboard!$C$6))</f>
        <v>2</v>
      </c>
      <c r="L15" s="52" t="n">
        <f aca="false">IF(L$7="","",SUMIFS(Sales_Data!$AF$2:$AF$3520,Sales_Data!$F$2:$F$3520,L$7,Sales_Data!$C$2:$C$3520,"&gt;="&amp;Dashboard!$C$5,Sales_Data!$C$2:$C$3520,"&lt;="&amp;Dashboard!$C$6))</f>
        <v>0</v>
      </c>
      <c r="M15" s="52" t="n">
        <f aca="false">IF(M$7="","",SUMIFS(Sales_Data!$AF$2:$AF$3520,Sales_Data!$F$2:$F$3520,M$7,Sales_Data!$C$2:$C$3520,"&gt;="&amp;Dashboard!$C$5,Sales_Data!$C$2:$C$3520,"&lt;="&amp;Dashboard!$C$6))</f>
        <v>0</v>
      </c>
      <c r="N15" s="52" t="n">
        <f aca="false">IF(N$7="","",SUMIFS(Sales_Data!$AF$2:$AF$3520,Sales_Data!$F$2:$F$3520,N$7,Sales_Data!$C$2:$C$3520,"&gt;="&amp;Dashboard!$C$5,Sales_Data!$C$2:$C$3520,"&lt;="&amp;Dashboard!$C$6))</f>
        <v>2</v>
      </c>
      <c r="O15" s="52" t="n">
        <f aca="false">IF(O$7="","",SUMIFS(Sales_Data!$AF$2:$AF$3520,Sales_Data!$F$2:$F$3520,O$7,Sales_Data!$C$2:$C$3520,"&gt;="&amp;Dashboard!$C$5,Sales_Data!$C$2:$C$3520,"&lt;="&amp;Dashboard!$C$6))</f>
        <v>2</v>
      </c>
      <c r="P15" s="52" t="n">
        <f aca="false">IF(P$7="","",SUMIFS(Sales_Data!$AF$2:$AF$3520,Sales_Data!$F$2:$F$3520,P$7,Sales_Data!$C$2:$C$3520,"&gt;="&amp;Dashboard!$C$5,Sales_Data!$C$2:$C$3520,"&lt;="&amp;Dashboard!$C$6))</f>
        <v>1</v>
      </c>
      <c r="Q15" s="52" t="n">
        <f aca="false">IF(Q$7="","",SUMIFS(Sales_Data!$AF$2:$AF$3520,Sales_Data!$F$2:$F$3520,Q$7,Sales_Data!$C$2:$C$3520,"&gt;="&amp;Dashboard!$C$5,Sales_Data!$C$2:$C$3520,"&lt;="&amp;Dashboard!$C$6))</f>
        <v>4</v>
      </c>
      <c r="R15" s="52" t="n">
        <f aca="false">IF(R$7="","",SUMIFS(Sales_Data!$AF$2:$AF$3520,Sales_Data!$F$2:$F$3520,R$7,Sales_Data!$C$2:$C$3520,"&gt;="&amp;Dashboard!$C$5,Sales_Data!$C$2:$C$3520,"&lt;="&amp;Dashboard!$C$6))</f>
        <v>3</v>
      </c>
      <c r="S15" s="52" t="n">
        <f aca="false">IF(S$7="","",SUMIFS(Sales_Data!$AF$2:$AF$3520,Sales_Data!$F$2:$F$3520,S$7,Sales_Data!$C$2:$C$3520,"&gt;="&amp;Dashboard!$C$5,Sales_Data!$C$2:$C$3520,"&lt;="&amp;Dashboard!$C$6))</f>
        <v>4</v>
      </c>
      <c r="T15" s="52" t="str">
        <f aca="false">IF(T$7="","",SUMIFS(Sales_Data!$AF$2:$AF$3520,Sales_Data!$F$2:$F$3520,T$7,Sales_Data!$C$2:$C$3520,"&gt;="&amp;Dashboard!$C$5,Sales_Data!$C$2:$C$3520,"&lt;="&amp;Dashboard!$C$6))</f>
        <v/>
      </c>
      <c r="U15" s="52" t="str">
        <f aca="false">IF(U$7="","",SUMIFS(Sales_Data!$AF$2:$AF$3520,Sales_Data!$F$2:$F$3520,U$7,Sales_Data!$C$2:$C$3520,"&gt;="&amp;Dashboard!$C$5,Sales_Data!$C$2:$C$3520,"&lt;="&amp;Dashboard!$C$6))</f>
        <v/>
      </c>
      <c r="V15" s="52" t="str">
        <f aca="false">IF(V$7="","",SUMIFS(Sales_Data!$AF$2:$AF$3520,Sales_Data!$F$2:$F$3520,V$7,Sales_Data!$C$2:$C$3520,"&gt;="&amp;Dashboard!$C$5,Sales_Data!$C$2:$C$3520,"&lt;="&amp;Dashboard!$C$6))</f>
        <v/>
      </c>
      <c r="W15" s="52" t="str">
        <f aca="false">IF(W$7="","",SUMIFS(Sales_Data!$AF$2:$AF$3520,Sales_Data!$F$2:$F$3520,W$7,Sales_Data!$C$2:$C$3520,"&gt;="&amp;Dashboard!$C$5,Sales_Data!$C$2:$C$3520,"&lt;="&amp;Dashboard!$C$6))</f>
        <v/>
      </c>
      <c r="X15" s="52" t="str">
        <f aca="false">IF(X$7="","",SUMIFS(Sales_Data!$AF$2:$AF$3520,Sales_Data!$F$2:$F$3520,X$7,Sales_Data!$C$2:$C$3520,"&gt;="&amp;Dashboard!$C$5,Sales_Data!$C$2:$C$3520,"&lt;="&amp;Dashboard!$C$6))</f>
        <v/>
      </c>
      <c r="Y15" s="52" t="str">
        <f aca="false">IF(Y$7="","",SUMIFS(Sales_Data!$AF$2:$AF$3520,Sales_Data!$F$2:$F$3520,Y$7,Sales_Data!$C$2:$C$3520,"&gt;="&amp;Dashboard!$C$5,Sales_Data!$C$2:$C$3520,"&lt;="&amp;Dashboard!$C$6))</f>
        <v/>
      </c>
      <c r="Z15" s="52" t="str">
        <f aca="false">IF(Z$7="","",SUMIFS(Sales_Data!$AF$2:$AF$3520,Sales_Data!$F$2:$F$3520,Z$7,Sales_Data!$C$2:$C$3520,"&gt;="&amp;Dashboard!$C$5,Sales_Data!$C$2:$C$3520,"&lt;="&amp;Dashboard!$C$6))</f>
        <v/>
      </c>
      <c r="AA15" s="35"/>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row>
    <row r="16" customFormat="false" ht="15" hidden="false" customHeight="false" outlineLevel="0" collapsed="false">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row>
    <row r="17" customFormat="false" ht="45" hidden="false" customHeight="true" outlineLevel="0" collapsed="false">
      <c r="A17" s="5" t="s">
        <v>28</v>
      </c>
      <c r="B17" s="67" t="str">
        <f aca="false">B$6</f>
        <v>Abdelwahab Ibrahim Mohamed Fahmy Elshafaay</v>
      </c>
      <c r="C17" s="67" t="str">
        <f aca="false">C$6</f>
        <v>Ahmad Salah Mohammed Abdelhafiez Kahala</v>
      </c>
      <c r="D17" s="67" t="str">
        <f aca="false">D$6</f>
        <v>Ahmed Ali Mohamed Ali</v>
      </c>
      <c r="E17" s="67" t="str">
        <f aca="false">E$6</f>
        <v>Ahmed Islam Hamed Elbanna</v>
      </c>
      <c r="F17" s="67" t="str">
        <f aca="false">F$6</f>
        <v>Ahmed Sabry Mohamed Attia</v>
      </c>
      <c r="G17" s="67" t="str">
        <f aca="false">G$6</f>
        <v>Amr Abdallah</v>
      </c>
      <c r="H17" s="67" t="str">
        <f aca="false">H$6</f>
        <v>Amr Hassan Abdellatif Hassanin</v>
      </c>
      <c r="I17" s="67" t="str">
        <f aca="false">I$6</f>
        <v>Jana Mostafa Abdelwahab Mostafa Soliman</v>
      </c>
      <c r="J17" s="67" t="str">
        <f aca="false">J$6</f>
        <v>Kareem Mohamed Abosrea Gharib</v>
      </c>
      <c r="K17" s="67" t="str">
        <f aca="false">K$6</f>
        <v>Marcus Gamil Hanna Tadros</v>
      </c>
      <c r="L17" s="67" t="str">
        <f aca="false">L$6</f>
        <v>Mariam Ibrahim Abdeldaym Saif Elden</v>
      </c>
      <c r="M17" s="67" t="str">
        <f aca="false">M$6</f>
        <v>Mohamed Kamal Ahmed Rashwan</v>
      </c>
      <c r="N17" s="67" t="str">
        <f aca="false">N$6</f>
        <v>Mohamed Tarek Ali Mahmoud</v>
      </c>
      <c r="O17" s="67" t="str">
        <f aca="false">O$6</f>
        <v>Mohammed Mahrous Ahmed Ammar</v>
      </c>
      <c r="P17" s="67" t="str">
        <f aca="false">P$6</f>
        <v>Omar Abdelgawad Ahmed Abdelglel</v>
      </c>
      <c r="Q17" s="67" t="str">
        <f aca="false">Q$6</f>
        <v>Omar Ahmed Salah Eldin Mohamed Kamel</v>
      </c>
      <c r="R17" s="67" t="str">
        <f aca="false">R$6</f>
        <v>Youssef Osama Mohamed Abdelmneam</v>
      </c>
      <c r="S17" s="67" t="str">
        <f aca="false">S$6</f>
        <v>Youssef Sayed Ahmed Mahmoud Awadeen</v>
      </c>
      <c r="T17" s="67" t="str">
        <f aca="false">T$6</f>
        <v/>
      </c>
      <c r="U17" s="67" t="str">
        <f aca="false">U$6</f>
        <v/>
      </c>
      <c r="V17" s="67" t="str">
        <f aca="false">V$6</f>
        <v/>
      </c>
      <c r="W17" s="67" t="str">
        <f aca="false">W$6</f>
        <v/>
      </c>
      <c r="X17" s="67" t="str">
        <f aca="false">X$6</f>
        <v/>
      </c>
      <c r="Y17" s="67" t="str">
        <f aca="false">Y$6</f>
        <v/>
      </c>
      <c r="Z17" s="67" t="str">
        <f aca="false">Z$6</f>
        <v/>
      </c>
      <c r="AA17" s="5" t="s">
        <v>6921</v>
      </c>
      <c r="AB17" s="3"/>
      <c r="AC17" s="70" t="s">
        <v>28</v>
      </c>
      <c r="AD17" s="71" t="str">
        <f aca="false">IF(B$6="","","DoD Δ "&amp;B$6)</f>
        <v>DoD Δ Abdelwahab Ibrahim Mohamed Fahmy Elshafaay</v>
      </c>
      <c r="AE17" s="71" t="str">
        <f aca="false">IF(C$6="","","DoD Δ "&amp;C$6)</f>
        <v>DoD Δ Ahmad Salah Mohammed Abdelhafiez Kahala</v>
      </c>
      <c r="AF17" s="71" t="str">
        <f aca="false">IF(D$6="","","DoD Δ "&amp;D$6)</f>
        <v>DoD Δ Ahmed Ali Mohamed Ali</v>
      </c>
      <c r="AG17" s="71" t="str">
        <f aca="false">IF(E$6="","","DoD Δ "&amp;E$6)</f>
        <v>DoD Δ Ahmed Islam Hamed Elbanna</v>
      </c>
      <c r="AH17" s="71" t="str">
        <f aca="false">IF(F$6="","","DoD Δ "&amp;F$6)</f>
        <v>DoD Δ Ahmed Sabry Mohamed Attia</v>
      </c>
      <c r="AI17" s="71" t="str">
        <f aca="false">IF(G$6="","","DoD Δ "&amp;G$6)</f>
        <v>DoD Δ Amr Abdallah</v>
      </c>
      <c r="AJ17" s="71" t="str">
        <f aca="false">IF(H$6="","","DoD Δ "&amp;H$6)</f>
        <v>DoD Δ Amr Hassan Abdellatif Hassanin</v>
      </c>
      <c r="AK17" s="71" t="str">
        <f aca="false">IF(I$6="","","DoD Δ "&amp;I$6)</f>
        <v>DoD Δ Jana Mostafa Abdelwahab Mostafa Soliman</v>
      </c>
      <c r="AL17" s="71" t="str">
        <f aca="false">IF(J$6="","","DoD Δ "&amp;J$6)</f>
        <v>DoD Δ Kareem Mohamed Abosrea Gharib</v>
      </c>
      <c r="AM17" s="71" t="str">
        <f aca="false">IF(K$6="","","DoD Δ "&amp;K$6)</f>
        <v>DoD Δ Marcus Gamil Hanna Tadros</v>
      </c>
      <c r="AN17" s="71" t="str">
        <f aca="false">IF(L$6="","","DoD Δ "&amp;L$6)</f>
        <v>DoD Δ Mariam Ibrahim Abdeldaym Saif Elden</v>
      </c>
      <c r="AO17" s="71" t="str">
        <f aca="false">IF(M$6="","","DoD Δ "&amp;M$6)</f>
        <v>DoD Δ Mohamed Kamal Ahmed Rashwan</v>
      </c>
      <c r="AP17" s="71" t="str">
        <f aca="false">IF(N$6="","","DoD Δ "&amp;N$6)</f>
        <v>DoD Δ Mohamed Tarek Ali Mahmoud</v>
      </c>
      <c r="AQ17" s="71" t="str">
        <f aca="false">IF(O$6="","","DoD Δ "&amp;O$6)</f>
        <v>DoD Δ Mohammed Mahrous Ahmed Ammar</v>
      </c>
      <c r="AR17" s="71" t="str">
        <f aca="false">IF(P$6="","","DoD Δ "&amp;P$6)</f>
        <v>DoD Δ Omar Abdelgawad Ahmed Abdelglel</v>
      </c>
      <c r="AS17" s="71" t="str">
        <f aca="false">IF(Q$6="","","DoD Δ "&amp;Q$6)</f>
        <v>DoD Δ Omar Ahmed Salah Eldin Mohamed Kamel</v>
      </c>
      <c r="AT17" s="71" t="str">
        <f aca="false">IF(R$6="","","DoD Δ "&amp;R$6)</f>
        <v>DoD Δ Youssef Osama Mohamed Abdelmneam</v>
      </c>
      <c r="AU17" s="71" t="str">
        <f aca="false">IF(S$6="","","DoD Δ "&amp;S$6)</f>
        <v>DoD Δ Youssef Sayed Ahmed Mahmoud Awadeen</v>
      </c>
      <c r="AV17" s="71" t="str">
        <f aca="false">IF(T$6="","","DoD Δ "&amp;T$6)</f>
        <v/>
      </c>
      <c r="AW17" s="71" t="str">
        <f aca="false">IF(U$6="","","DoD Δ "&amp;U$6)</f>
        <v/>
      </c>
      <c r="AX17" s="71" t="str">
        <f aca="false">IF(V$6="","","DoD Δ "&amp;V$6)</f>
        <v/>
      </c>
      <c r="AY17" s="71" t="str">
        <f aca="false">IF(W$6="","","DoD Δ "&amp;W$6)</f>
        <v/>
      </c>
      <c r="AZ17" s="71" t="str">
        <f aca="false">IF(X$6="","","DoD Δ "&amp;X$6)</f>
        <v/>
      </c>
      <c r="BA17" s="71" t="str">
        <f aca="false">IF(Y$6="","","DoD Δ "&amp;Y$6)</f>
        <v/>
      </c>
      <c r="BB17" s="71" t="str">
        <f aca="false">IF(Z$6="","","DoD Δ "&amp;Z$6)</f>
        <v/>
      </c>
      <c r="BC17" s="71" t="str">
        <f aca="false">IF(AA$6="","","DoD Δ "&amp;AA$6)</f>
        <v>DoD Δ Team Total</v>
      </c>
    </row>
    <row r="18" customFormat="false" ht="15" hidden="false" customHeight="false" outlineLevel="0" collapsed="false">
      <c r="A18" s="72" t="n">
        <v>46225</v>
      </c>
      <c r="B18" s="26" t="n">
        <f aca="false">IF(B$7="","",CHOOSE(MATCH($B$4,Lists!$C$2:$C$5,0),SUMIFS(Sales_Data!$O$2:$O$3520,Sales_Data!$C$2:$C$3520,$A18,Sales_Data!$F$2:$F$3520,B$7,Sales_Data!$AE$2:$AE$3520,1),SUMIFS(Sales_Data!$M$2:$M$3520,Sales_Data!$C$2:$C$3520,$A18,Sales_Data!$F$2:$F$3520,B$7,Sales_Data!$AE$2:$AE$3520,1),SUMIFS(Sales_Data!$N$2:$N$3520,Sales_Data!$C$2:$C$3520,$A18,Sales_Data!$F$2:$F$3520,B$7,Sales_Data!$AE$2:$AE$3520,1),SUMIFS(Sales_Data!$AE$2:$AE$3520,Sales_Data!$C$2:$C$3520,$A18,Sales_Data!$F$2:$F$3520,B$7)))</f>
        <v>0</v>
      </c>
      <c r="C18" s="26" t="n">
        <f aca="false">IF(C$7="","",CHOOSE(MATCH($B$4,Lists!$C$2:$C$5,0),SUMIFS(Sales_Data!$O$2:$O$3520,Sales_Data!$C$2:$C$3520,$A18,Sales_Data!$F$2:$F$3520,C$7,Sales_Data!$AE$2:$AE$3520,1),SUMIFS(Sales_Data!$M$2:$M$3520,Sales_Data!$C$2:$C$3520,$A18,Sales_Data!$F$2:$F$3520,C$7,Sales_Data!$AE$2:$AE$3520,1),SUMIFS(Sales_Data!$N$2:$N$3520,Sales_Data!$C$2:$C$3520,$A18,Sales_Data!$F$2:$F$3520,C$7,Sales_Data!$AE$2:$AE$3520,1),SUMIFS(Sales_Data!$AE$2:$AE$3520,Sales_Data!$C$2:$C$3520,$A18,Sales_Data!$F$2:$F$3520,C$7)))</f>
        <v>0</v>
      </c>
      <c r="D18" s="26" t="n">
        <f aca="false">IF(D$7="","",CHOOSE(MATCH($B$4,Lists!$C$2:$C$5,0),SUMIFS(Sales_Data!$O$2:$O$3520,Sales_Data!$C$2:$C$3520,$A18,Sales_Data!$F$2:$F$3520,D$7,Sales_Data!$AE$2:$AE$3520,1),SUMIFS(Sales_Data!$M$2:$M$3520,Sales_Data!$C$2:$C$3520,$A18,Sales_Data!$F$2:$F$3520,D$7,Sales_Data!$AE$2:$AE$3520,1),SUMIFS(Sales_Data!$N$2:$N$3520,Sales_Data!$C$2:$C$3520,$A18,Sales_Data!$F$2:$F$3520,D$7,Sales_Data!$AE$2:$AE$3520,1),SUMIFS(Sales_Data!$AE$2:$AE$3520,Sales_Data!$C$2:$C$3520,$A18,Sales_Data!$F$2:$F$3520,D$7)))</f>
        <v>0</v>
      </c>
      <c r="E18" s="26" t="n">
        <f aca="false">IF(E$7="","",CHOOSE(MATCH($B$4,Lists!$C$2:$C$5,0),SUMIFS(Sales_Data!$O$2:$O$3520,Sales_Data!$C$2:$C$3520,$A18,Sales_Data!$F$2:$F$3520,E$7,Sales_Data!$AE$2:$AE$3520,1),SUMIFS(Sales_Data!$M$2:$M$3520,Sales_Data!$C$2:$C$3520,$A18,Sales_Data!$F$2:$F$3520,E$7,Sales_Data!$AE$2:$AE$3520,1),SUMIFS(Sales_Data!$N$2:$N$3520,Sales_Data!$C$2:$C$3520,$A18,Sales_Data!$F$2:$F$3520,E$7,Sales_Data!$AE$2:$AE$3520,1),SUMIFS(Sales_Data!$AE$2:$AE$3520,Sales_Data!$C$2:$C$3520,$A18,Sales_Data!$F$2:$F$3520,E$7)))</f>
        <v>0</v>
      </c>
      <c r="F18" s="26" t="n">
        <f aca="false">IF(F$7="","",CHOOSE(MATCH($B$4,Lists!$C$2:$C$5,0),SUMIFS(Sales_Data!$O$2:$O$3520,Sales_Data!$C$2:$C$3520,$A18,Sales_Data!$F$2:$F$3520,F$7,Sales_Data!$AE$2:$AE$3520,1),SUMIFS(Sales_Data!$M$2:$M$3520,Sales_Data!$C$2:$C$3520,$A18,Sales_Data!$F$2:$F$3520,F$7,Sales_Data!$AE$2:$AE$3520,1),SUMIFS(Sales_Data!$N$2:$N$3520,Sales_Data!$C$2:$C$3520,$A18,Sales_Data!$F$2:$F$3520,F$7,Sales_Data!$AE$2:$AE$3520,1),SUMIFS(Sales_Data!$AE$2:$AE$3520,Sales_Data!$C$2:$C$3520,$A18,Sales_Data!$F$2:$F$3520,F$7)))</f>
        <v>0</v>
      </c>
      <c r="G18" s="26" t="n">
        <f aca="false">IF(G$7="","",CHOOSE(MATCH($B$4,Lists!$C$2:$C$5,0),SUMIFS(Sales_Data!$O$2:$O$3520,Sales_Data!$C$2:$C$3520,$A18,Sales_Data!$F$2:$F$3520,G$7,Sales_Data!$AE$2:$AE$3520,1),SUMIFS(Sales_Data!$M$2:$M$3520,Sales_Data!$C$2:$C$3520,$A18,Sales_Data!$F$2:$F$3520,G$7,Sales_Data!$AE$2:$AE$3520,1),SUMIFS(Sales_Data!$N$2:$N$3520,Sales_Data!$C$2:$C$3520,$A18,Sales_Data!$F$2:$F$3520,G$7,Sales_Data!$AE$2:$AE$3520,1),SUMIFS(Sales_Data!$AE$2:$AE$3520,Sales_Data!$C$2:$C$3520,$A18,Sales_Data!$F$2:$F$3520,G$7)))</f>
        <v>0</v>
      </c>
      <c r="H18" s="26" t="n">
        <f aca="false">IF(H$7="","",CHOOSE(MATCH($B$4,Lists!$C$2:$C$5,0),SUMIFS(Sales_Data!$O$2:$O$3520,Sales_Data!$C$2:$C$3520,$A18,Sales_Data!$F$2:$F$3520,H$7,Sales_Data!$AE$2:$AE$3520,1),SUMIFS(Sales_Data!$M$2:$M$3520,Sales_Data!$C$2:$C$3520,$A18,Sales_Data!$F$2:$F$3520,H$7,Sales_Data!$AE$2:$AE$3520,1),SUMIFS(Sales_Data!$N$2:$N$3520,Sales_Data!$C$2:$C$3520,$A18,Sales_Data!$F$2:$F$3520,H$7,Sales_Data!$AE$2:$AE$3520,1),SUMIFS(Sales_Data!$AE$2:$AE$3520,Sales_Data!$C$2:$C$3520,$A18,Sales_Data!$F$2:$F$3520,H$7)))</f>
        <v>0</v>
      </c>
      <c r="I18" s="26" t="n">
        <f aca="false">IF(I$7="","",CHOOSE(MATCH($B$4,Lists!$C$2:$C$5,0),SUMIFS(Sales_Data!$O$2:$O$3520,Sales_Data!$C$2:$C$3520,$A18,Sales_Data!$F$2:$F$3520,I$7,Sales_Data!$AE$2:$AE$3520,1),SUMIFS(Sales_Data!$M$2:$M$3520,Sales_Data!$C$2:$C$3520,$A18,Sales_Data!$F$2:$F$3520,I$7,Sales_Data!$AE$2:$AE$3520,1),SUMIFS(Sales_Data!$N$2:$N$3520,Sales_Data!$C$2:$C$3520,$A18,Sales_Data!$F$2:$F$3520,I$7,Sales_Data!$AE$2:$AE$3520,1),SUMIFS(Sales_Data!$AE$2:$AE$3520,Sales_Data!$C$2:$C$3520,$A18,Sales_Data!$F$2:$F$3520,I$7)))</f>
        <v>0</v>
      </c>
      <c r="J18" s="26" t="n">
        <f aca="false">IF(J$7="","",CHOOSE(MATCH($B$4,Lists!$C$2:$C$5,0),SUMIFS(Sales_Data!$O$2:$O$3520,Sales_Data!$C$2:$C$3520,$A18,Sales_Data!$F$2:$F$3520,J$7,Sales_Data!$AE$2:$AE$3520,1),SUMIFS(Sales_Data!$M$2:$M$3520,Sales_Data!$C$2:$C$3520,$A18,Sales_Data!$F$2:$F$3520,J$7,Sales_Data!$AE$2:$AE$3520,1),SUMIFS(Sales_Data!$N$2:$N$3520,Sales_Data!$C$2:$C$3520,$A18,Sales_Data!$F$2:$F$3520,J$7,Sales_Data!$AE$2:$AE$3520,1),SUMIFS(Sales_Data!$AE$2:$AE$3520,Sales_Data!$C$2:$C$3520,$A18,Sales_Data!$F$2:$F$3520,J$7)))</f>
        <v>0</v>
      </c>
      <c r="K18" s="26" t="n">
        <f aca="false">IF(K$7="","",CHOOSE(MATCH($B$4,Lists!$C$2:$C$5,0),SUMIFS(Sales_Data!$O$2:$O$3520,Sales_Data!$C$2:$C$3520,$A18,Sales_Data!$F$2:$F$3520,K$7,Sales_Data!$AE$2:$AE$3520,1),SUMIFS(Sales_Data!$M$2:$M$3520,Sales_Data!$C$2:$C$3520,$A18,Sales_Data!$F$2:$F$3520,K$7,Sales_Data!$AE$2:$AE$3520,1),SUMIFS(Sales_Data!$N$2:$N$3520,Sales_Data!$C$2:$C$3520,$A18,Sales_Data!$F$2:$F$3520,K$7,Sales_Data!$AE$2:$AE$3520,1),SUMIFS(Sales_Data!$AE$2:$AE$3520,Sales_Data!$C$2:$C$3520,$A18,Sales_Data!$F$2:$F$3520,K$7)))</f>
        <v>0</v>
      </c>
      <c r="L18" s="26" t="n">
        <f aca="false">IF(L$7="","",CHOOSE(MATCH($B$4,Lists!$C$2:$C$5,0),SUMIFS(Sales_Data!$O$2:$O$3520,Sales_Data!$C$2:$C$3520,$A18,Sales_Data!$F$2:$F$3520,L$7,Sales_Data!$AE$2:$AE$3520,1),SUMIFS(Sales_Data!$M$2:$M$3520,Sales_Data!$C$2:$C$3520,$A18,Sales_Data!$F$2:$F$3520,L$7,Sales_Data!$AE$2:$AE$3520,1),SUMIFS(Sales_Data!$N$2:$N$3520,Sales_Data!$C$2:$C$3520,$A18,Sales_Data!$F$2:$F$3520,L$7,Sales_Data!$AE$2:$AE$3520,1),SUMIFS(Sales_Data!$AE$2:$AE$3520,Sales_Data!$C$2:$C$3520,$A18,Sales_Data!$F$2:$F$3520,L$7)))</f>
        <v>0</v>
      </c>
      <c r="M18" s="26" t="n">
        <f aca="false">IF(M$7="","",CHOOSE(MATCH($B$4,Lists!$C$2:$C$5,0),SUMIFS(Sales_Data!$O$2:$O$3520,Sales_Data!$C$2:$C$3520,$A18,Sales_Data!$F$2:$F$3520,M$7,Sales_Data!$AE$2:$AE$3520,1),SUMIFS(Sales_Data!$M$2:$M$3520,Sales_Data!$C$2:$C$3520,$A18,Sales_Data!$F$2:$F$3520,M$7,Sales_Data!$AE$2:$AE$3520,1),SUMIFS(Sales_Data!$N$2:$N$3520,Sales_Data!$C$2:$C$3520,$A18,Sales_Data!$F$2:$F$3520,M$7,Sales_Data!$AE$2:$AE$3520,1),SUMIFS(Sales_Data!$AE$2:$AE$3520,Sales_Data!$C$2:$C$3520,$A18,Sales_Data!$F$2:$F$3520,M$7)))</f>
        <v>0</v>
      </c>
      <c r="N18" s="26" t="n">
        <f aca="false">IF(N$7="","",CHOOSE(MATCH($B$4,Lists!$C$2:$C$5,0),SUMIFS(Sales_Data!$O$2:$O$3520,Sales_Data!$C$2:$C$3520,$A18,Sales_Data!$F$2:$F$3520,N$7,Sales_Data!$AE$2:$AE$3520,1),SUMIFS(Sales_Data!$M$2:$M$3520,Sales_Data!$C$2:$C$3520,$A18,Sales_Data!$F$2:$F$3520,N$7,Sales_Data!$AE$2:$AE$3520,1),SUMIFS(Sales_Data!$N$2:$N$3520,Sales_Data!$C$2:$C$3520,$A18,Sales_Data!$F$2:$F$3520,N$7,Sales_Data!$AE$2:$AE$3520,1),SUMIFS(Sales_Data!$AE$2:$AE$3520,Sales_Data!$C$2:$C$3520,$A18,Sales_Data!$F$2:$F$3520,N$7)))</f>
        <v>0</v>
      </c>
      <c r="O18" s="26" t="n">
        <f aca="false">IF(O$7="","",CHOOSE(MATCH($B$4,Lists!$C$2:$C$5,0),SUMIFS(Sales_Data!$O$2:$O$3520,Sales_Data!$C$2:$C$3520,$A18,Sales_Data!$F$2:$F$3520,O$7,Sales_Data!$AE$2:$AE$3520,1),SUMIFS(Sales_Data!$M$2:$M$3520,Sales_Data!$C$2:$C$3520,$A18,Sales_Data!$F$2:$F$3520,O$7,Sales_Data!$AE$2:$AE$3520,1),SUMIFS(Sales_Data!$N$2:$N$3520,Sales_Data!$C$2:$C$3520,$A18,Sales_Data!$F$2:$F$3520,O$7,Sales_Data!$AE$2:$AE$3520,1),SUMIFS(Sales_Data!$AE$2:$AE$3520,Sales_Data!$C$2:$C$3520,$A18,Sales_Data!$F$2:$F$3520,O$7)))</f>
        <v>0</v>
      </c>
      <c r="P18" s="26" t="n">
        <f aca="false">IF(P$7="","",CHOOSE(MATCH($B$4,Lists!$C$2:$C$5,0),SUMIFS(Sales_Data!$O$2:$O$3520,Sales_Data!$C$2:$C$3520,$A18,Sales_Data!$F$2:$F$3520,P$7,Sales_Data!$AE$2:$AE$3520,1),SUMIFS(Sales_Data!$M$2:$M$3520,Sales_Data!$C$2:$C$3520,$A18,Sales_Data!$F$2:$F$3520,P$7,Sales_Data!$AE$2:$AE$3520,1),SUMIFS(Sales_Data!$N$2:$N$3520,Sales_Data!$C$2:$C$3520,$A18,Sales_Data!$F$2:$F$3520,P$7,Sales_Data!$AE$2:$AE$3520,1),SUMIFS(Sales_Data!$AE$2:$AE$3520,Sales_Data!$C$2:$C$3520,$A18,Sales_Data!$F$2:$F$3520,P$7)))</f>
        <v>0</v>
      </c>
      <c r="Q18" s="26" t="n">
        <f aca="false">IF(Q$7="","",CHOOSE(MATCH($B$4,Lists!$C$2:$C$5,0),SUMIFS(Sales_Data!$O$2:$O$3520,Sales_Data!$C$2:$C$3520,$A18,Sales_Data!$F$2:$F$3520,Q$7,Sales_Data!$AE$2:$AE$3520,1),SUMIFS(Sales_Data!$M$2:$M$3520,Sales_Data!$C$2:$C$3520,$A18,Sales_Data!$F$2:$F$3520,Q$7,Sales_Data!$AE$2:$AE$3520,1),SUMIFS(Sales_Data!$N$2:$N$3520,Sales_Data!$C$2:$C$3520,$A18,Sales_Data!$F$2:$F$3520,Q$7,Sales_Data!$AE$2:$AE$3520,1),SUMIFS(Sales_Data!$AE$2:$AE$3520,Sales_Data!$C$2:$C$3520,$A18,Sales_Data!$F$2:$F$3520,Q$7)))</f>
        <v>0</v>
      </c>
      <c r="R18" s="26" t="n">
        <f aca="false">IF(R$7="","",CHOOSE(MATCH($B$4,Lists!$C$2:$C$5,0),SUMIFS(Sales_Data!$O$2:$O$3520,Sales_Data!$C$2:$C$3520,$A18,Sales_Data!$F$2:$F$3520,R$7,Sales_Data!$AE$2:$AE$3520,1),SUMIFS(Sales_Data!$M$2:$M$3520,Sales_Data!$C$2:$C$3520,$A18,Sales_Data!$F$2:$F$3520,R$7,Sales_Data!$AE$2:$AE$3520,1),SUMIFS(Sales_Data!$N$2:$N$3520,Sales_Data!$C$2:$C$3520,$A18,Sales_Data!$F$2:$F$3520,R$7,Sales_Data!$AE$2:$AE$3520,1),SUMIFS(Sales_Data!$AE$2:$AE$3520,Sales_Data!$C$2:$C$3520,$A18,Sales_Data!$F$2:$F$3520,R$7)))</f>
        <v>0</v>
      </c>
      <c r="S18" s="26" t="n">
        <f aca="false">IF(S$7="","",CHOOSE(MATCH($B$4,Lists!$C$2:$C$5,0),SUMIFS(Sales_Data!$O$2:$O$3520,Sales_Data!$C$2:$C$3520,$A18,Sales_Data!$F$2:$F$3520,S$7,Sales_Data!$AE$2:$AE$3520,1),SUMIFS(Sales_Data!$M$2:$M$3520,Sales_Data!$C$2:$C$3520,$A18,Sales_Data!$F$2:$F$3520,S$7,Sales_Data!$AE$2:$AE$3520,1),SUMIFS(Sales_Data!$N$2:$N$3520,Sales_Data!$C$2:$C$3520,$A18,Sales_Data!$F$2:$F$3520,S$7,Sales_Data!$AE$2:$AE$3520,1),SUMIFS(Sales_Data!$AE$2:$AE$3520,Sales_Data!$C$2:$C$3520,$A18,Sales_Data!$F$2:$F$3520,S$7)))</f>
        <v>0</v>
      </c>
      <c r="T18" s="26" t="str">
        <f aca="false">IF(T$7="","",CHOOSE(MATCH($B$4,Lists!$C$2:$C$5,0),SUMIFS(Sales_Data!$O$2:$O$3520,Sales_Data!$C$2:$C$3520,$A18,Sales_Data!$F$2:$F$3520,T$7,Sales_Data!$AE$2:$AE$3520,1),SUMIFS(Sales_Data!$M$2:$M$3520,Sales_Data!$C$2:$C$3520,$A18,Sales_Data!$F$2:$F$3520,T$7,Sales_Data!$AE$2:$AE$3520,1),SUMIFS(Sales_Data!$N$2:$N$3520,Sales_Data!$C$2:$C$3520,$A18,Sales_Data!$F$2:$F$3520,T$7,Sales_Data!$AE$2:$AE$3520,1),SUMIFS(Sales_Data!$AE$2:$AE$3520,Sales_Data!$C$2:$C$3520,$A18,Sales_Data!$F$2:$F$3520,T$7)))</f>
        <v/>
      </c>
      <c r="U18" s="26" t="str">
        <f aca="false">IF(U$7="","",CHOOSE(MATCH($B$4,Lists!$C$2:$C$5,0),SUMIFS(Sales_Data!$O$2:$O$3520,Sales_Data!$C$2:$C$3520,$A18,Sales_Data!$F$2:$F$3520,U$7,Sales_Data!$AE$2:$AE$3520,1),SUMIFS(Sales_Data!$M$2:$M$3520,Sales_Data!$C$2:$C$3520,$A18,Sales_Data!$F$2:$F$3520,U$7,Sales_Data!$AE$2:$AE$3520,1),SUMIFS(Sales_Data!$N$2:$N$3520,Sales_Data!$C$2:$C$3520,$A18,Sales_Data!$F$2:$F$3520,U$7,Sales_Data!$AE$2:$AE$3520,1),SUMIFS(Sales_Data!$AE$2:$AE$3520,Sales_Data!$C$2:$C$3520,$A18,Sales_Data!$F$2:$F$3520,U$7)))</f>
        <v/>
      </c>
      <c r="V18" s="26" t="str">
        <f aca="false">IF(V$7="","",CHOOSE(MATCH($B$4,Lists!$C$2:$C$5,0),SUMIFS(Sales_Data!$O$2:$O$3520,Sales_Data!$C$2:$C$3520,$A18,Sales_Data!$F$2:$F$3520,V$7,Sales_Data!$AE$2:$AE$3520,1),SUMIFS(Sales_Data!$M$2:$M$3520,Sales_Data!$C$2:$C$3520,$A18,Sales_Data!$F$2:$F$3520,V$7,Sales_Data!$AE$2:$AE$3520,1),SUMIFS(Sales_Data!$N$2:$N$3520,Sales_Data!$C$2:$C$3520,$A18,Sales_Data!$F$2:$F$3520,V$7,Sales_Data!$AE$2:$AE$3520,1),SUMIFS(Sales_Data!$AE$2:$AE$3520,Sales_Data!$C$2:$C$3520,$A18,Sales_Data!$F$2:$F$3520,V$7)))</f>
        <v/>
      </c>
      <c r="W18" s="26" t="str">
        <f aca="false">IF(W$7="","",CHOOSE(MATCH($B$4,Lists!$C$2:$C$5,0),SUMIFS(Sales_Data!$O$2:$O$3520,Sales_Data!$C$2:$C$3520,$A18,Sales_Data!$F$2:$F$3520,W$7,Sales_Data!$AE$2:$AE$3520,1),SUMIFS(Sales_Data!$M$2:$M$3520,Sales_Data!$C$2:$C$3520,$A18,Sales_Data!$F$2:$F$3520,W$7,Sales_Data!$AE$2:$AE$3520,1),SUMIFS(Sales_Data!$N$2:$N$3520,Sales_Data!$C$2:$C$3520,$A18,Sales_Data!$F$2:$F$3520,W$7,Sales_Data!$AE$2:$AE$3520,1),SUMIFS(Sales_Data!$AE$2:$AE$3520,Sales_Data!$C$2:$C$3520,$A18,Sales_Data!$F$2:$F$3520,W$7)))</f>
        <v/>
      </c>
      <c r="X18" s="26" t="str">
        <f aca="false">IF(X$7="","",CHOOSE(MATCH($B$4,Lists!$C$2:$C$5,0),SUMIFS(Sales_Data!$O$2:$O$3520,Sales_Data!$C$2:$C$3520,$A18,Sales_Data!$F$2:$F$3520,X$7,Sales_Data!$AE$2:$AE$3520,1),SUMIFS(Sales_Data!$M$2:$M$3520,Sales_Data!$C$2:$C$3520,$A18,Sales_Data!$F$2:$F$3520,X$7,Sales_Data!$AE$2:$AE$3520,1),SUMIFS(Sales_Data!$N$2:$N$3520,Sales_Data!$C$2:$C$3520,$A18,Sales_Data!$F$2:$F$3520,X$7,Sales_Data!$AE$2:$AE$3520,1),SUMIFS(Sales_Data!$AE$2:$AE$3520,Sales_Data!$C$2:$C$3520,$A18,Sales_Data!$F$2:$F$3520,X$7)))</f>
        <v/>
      </c>
      <c r="Y18" s="26" t="str">
        <f aca="false">IF(Y$7="","",CHOOSE(MATCH($B$4,Lists!$C$2:$C$5,0),SUMIFS(Sales_Data!$O$2:$O$3520,Sales_Data!$C$2:$C$3520,$A18,Sales_Data!$F$2:$F$3520,Y$7,Sales_Data!$AE$2:$AE$3520,1),SUMIFS(Sales_Data!$M$2:$M$3520,Sales_Data!$C$2:$C$3520,$A18,Sales_Data!$F$2:$F$3520,Y$7,Sales_Data!$AE$2:$AE$3520,1),SUMIFS(Sales_Data!$N$2:$N$3520,Sales_Data!$C$2:$C$3520,$A18,Sales_Data!$F$2:$F$3520,Y$7,Sales_Data!$AE$2:$AE$3520,1),SUMIFS(Sales_Data!$AE$2:$AE$3520,Sales_Data!$C$2:$C$3520,$A18,Sales_Data!$F$2:$F$3520,Y$7)))</f>
        <v/>
      </c>
      <c r="Z18" s="26" t="str">
        <f aca="false">IF(Z$7="","",CHOOSE(MATCH($B$4,Lists!$C$2:$C$5,0),SUMIFS(Sales_Data!$O$2:$O$3520,Sales_Data!$C$2:$C$3520,$A18,Sales_Data!$F$2:$F$3520,Z$7,Sales_Data!$AE$2:$AE$3520,1),SUMIFS(Sales_Data!$M$2:$M$3520,Sales_Data!$C$2:$C$3520,$A18,Sales_Data!$F$2:$F$3520,Z$7,Sales_Data!$AE$2:$AE$3520,1),SUMIFS(Sales_Data!$N$2:$N$3520,Sales_Data!$C$2:$C$3520,$A18,Sales_Data!$F$2:$F$3520,Z$7,Sales_Data!$AE$2:$AE$3520,1),SUMIFS(Sales_Data!$AE$2:$AE$3520,Sales_Data!$C$2:$C$3520,$A18,Sales_Data!$F$2:$F$3520,Z$7)))</f>
        <v/>
      </c>
      <c r="AA18" s="27" t="n">
        <f aca="false">SUM(B18:Z18)</f>
        <v>0</v>
      </c>
      <c r="AB18" s="3"/>
      <c r="AC18" s="72" t="n">
        <f aca="false">A18</f>
        <v>46225</v>
      </c>
      <c r="AD18" s="28" t="s">
        <v>64</v>
      </c>
      <c r="AE18" s="28" t="s">
        <v>64</v>
      </c>
      <c r="AF18" s="28" t="s">
        <v>64</v>
      </c>
      <c r="AG18" s="28" t="s">
        <v>64</v>
      </c>
      <c r="AH18" s="28" t="s">
        <v>64</v>
      </c>
      <c r="AI18" s="28" t="s">
        <v>64</v>
      </c>
      <c r="AJ18" s="28" t="s">
        <v>64</v>
      </c>
      <c r="AK18" s="28" t="s">
        <v>64</v>
      </c>
      <c r="AL18" s="28" t="s">
        <v>64</v>
      </c>
      <c r="AM18" s="28" t="s">
        <v>64</v>
      </c>
      <c r="AN18" s="28" t="s">
        <v>64</v>
      </c>
      <c r="AO18" s="28" t="s">
        <v>64</v>
      </c>
      <c r="AP18" s="28" t="s">
        <v>64</v>
      </c>
      <c r="AQ18" s="28" t="s">
        <v>64</v>
      </c>
      <c r="AR18" s="28" t="s">
        <v>64</v>
      </c>
      <c r="AS18" s="28" t="s">
        <v>64</v>
      </c>
      <c r="AT18" s="28" t="s">
        <v>64</v>
      </c>
      <c r="AU18" s="28" t="s">
        <v>64</v>
      </c>
      <c r="AV18" s="28" t="s">
        <v>64</v>
      </c>
      <c r="AW18" s="28" t="s">
        <v>64</v>
      </c>
      <c r="AX18" s="28" t="s">
        <v>64</v>
      </c>
      <c r="AY18" s="28" t="s">
        <v>64</v>
      </c>
      <c r="AZ18" s="28" t="s">
        <v>64</v>
      </c>
      <c r="BA18" s="28" t="s">
        <v>64</v>
      </c>
      <c r="BB18" s="28" t="s">
        <v>64</v>
      </c>
      <c r="BC18" s="28" t="s">
        <v>64</v>
      </c>
    </row>
    <row r="19" customFormat="false" ht="15" hidden="false" customHeight="false" outlineLevel="0" collapsed="false">
      <c r="A19" s="72" t="n">
        <v>46226</v>
      </c>
      <c r="B19" s="26" t="n">
        <f aca="false">IF(B$7="","",CHOOSE(MATCH($B$4,Lists!$C$2:$C$5,0),SUMIFS(Sales_Data!$O$2:$O$3520,Sales_Data!$C$2:$C$3520,$A19,Sales_Data!$F$2:$F$3520,B$7,Sales_Data!$AE$2:$AE$3520,1),SUMIFS(Sales_Data!$M$2:$M$3520,Sales_Data!$C$2:$C$3520,$A19,Sales_Data!$F$2:$F$3520,B$7,Sales_Data!$AE$2:$AE$3520,1),SUMIFS(Sales_Data!$N$2:$N$3520,Sales_Data!$C$2:$C$3520,$A19,Sales_Data!$F$2:$F$3520,B$7,Sales_Data!$AE$2:$AE$3520,1),SUMIFS(Sales_Data!$AE$2:$AE$3520,Sales_Data!$C$2:$C$3520,$A19,Sales_Data!$F$2:$F$3520,B$7)))</f>
        <v>0</v>
      </c>
      <c r="C19" s="26" t="n">
        <f aca="false">IF(C$7="","",CHOOSE(MATCH($B$4,Lists!$C$2:$C$5,0),SUMIFS(Sales_Data!$O$2:$O$3520,Sales_Data!$C$2:$C$3520,$A19,Sales_Data!$F$2:$F$3520,C$7,Sales_Data!$AE$2:$AE$3520,1),SUMIFS(Sales_Data!$M$2:$M$3520,Sales_Data!$C$2:$C$3520,$A19,Sales_Data!$F$2:$F$3520,C$7,Sales_Data!$AE$2:$AE$3520,1),SUMIFS(Sales_Data!$N$2:$N$3520,Sales_Data!$C$2:$C$3520,$A19,Sales_Data!$F$2:$F$3520,C$7,Sales_Data!$AE$2:$AE$3520,1),SUMIFS(Sales_Data!$AE$2:$AE$3520,Sales_Data!$C$2:$C$3520,$A19,Sales_Data!$F$2:$F$3520,C$7)))</f>
        <v>0</v>
      </c>
      <c r="D19" s="26" t="n">
        <f aca="false">IF(D$7="","",CHOOSE(MATCH($B$4,Lists!$C$2:$C$5,0),SUMIFS(Sales_Data!$O$2:$O$3520,Sales_Data!$C$2:$C$3520,$A19,Sales_Data!$F$2:$F$3520,D$7,Sales_Data!$AE$2:$AE$3520,1),SUMIFS(Sales_Data!$M$2:$M$3520,Sales_Data!$C$2:$C$3520,$A19,Sales_Data!$F$2:$F$3520,D$7,Sales_Data!$AE$2:$AE$3520,1),SUMIFS(Sales_Data!$N$2:$N$3520,Sales_Data!$C$2:$C$3520,$A19,Sales_Data!$F$2:$F$3520,D$7,Sales_Data!$AE$2:$AE$3520,1),SUMIFS(Sales_Data!$AE$2:$AE$3520,Sales_Data!$C$2:$C$3520,$A19,Sales_Data!$F$2:$F$3520,D$7)))</f>
        <v>0</v>
      </c>
      <c r="E19" s="26" t="n">
        <f aca="false">IF(E$7="","",CHOOSE(MATCH($B$4,Lists!$C$2:$C$5,0),SUMIFS(Sales_Data!$O$2:$O$3520,Sales_Data!$C$2:$C$3520,$A19,Sales_Data!$F$2:$F$3520,E$7,Sales_Data!$AE$2:$AE$3520,1),SUMIFS(Sales_Data!$M$2:$M$3520,Sales_Data!$C$2:$C$3520,$A19,Sales_Data!$F$2:$F$3520,E$7,Sales_Data!$AE$2:$AE$3520,1),SUMIFS(Sales_Data!$N$2:$N$3520,Sales_Data!$C$2:$C$3520,$A19,Sales_Data!$F$2:$F$3520,E$7,Sales_Data!$AE$2:$AE$3520,1),SUMIFS(Sales_Data!$AE$2:$AE$3520,Sales_Data!$C$2:$C$3520,$A19,Sales_Data!$F$2:$F$3520,E$7)))</f>
        <v>0</v>
      </c>
      <c r="F19" s="26" t="n">
        <f aca="false">IF(F$7="","",CHOOSE(MATCH($B$4,Lists!$C$2:$C$5,0),SUMIFS(Sales_Data!$O$2:$O$3520,Sales_Data!$C$2:$C$3520,$A19,Sales_Data!$F$2:$F$3520,F$7,Sales_Data!$AE$2:$AE$3520,1),SUMIFS(Sales_Data!$M$2:$M$3520,Sales_Data!$C$2:$C$3520,$A19,Sales_Data!$F$2:$F$3520,F$7,Sales_Data!$AE$2:$AE$3520,1),SUMIFS(Sales_Data!$N$2:$N$3520,Sales_Data!$C$2:$C$3520,$A19,Sales_Data!$F$2:$F$3520,F$7,Sales_Data!$AE$2:$AE$3520,1),SUMIFS(Sales_Data!$AE$2:$AE$3520,Sales_Data!$C$2:$C$3520,$A19,Sales_Data!$F$2:$F$3520,F$7)))</f>
        <v>0</v>
      </c>
      <c r="G19" s="26" t="n">
        <f aca="false">IF(G$7="","",CHOOSE(MATCH($B$4,Lists!$C$2:$C$5,0),SUMIFS(Sales_Data!$O$2:$O$3520,Sales_Data!$C$2:$C$3520,$A19,Sales_Data!$F$2:$F$3520,G$7,Sales_Data!$AE$2:$AE$3520,1),SUMIFS(Sales_Data!$M$2:$M$3520,Sales_Data!$C$2:$C$3520,$A19,Sales_Data!$F$2:$F$3520,G$7,Sales_Data!$AE$2:$AE$3520,1),SUMIFS(Sales_Data!$N$2:$N$3520,Sales_Data!$C$2:$C$3520,$A19,Sales_Data!$F$2:$F$3520,G$7,Sales_Data!$AE$2:$AE$3520,1),SUMIFS(Sales_Data!$AE$2:$AE$3520,Sales_Data!$C$2:$C$3520,$A19,Sales_Data!$F$2:$F$3520,G$7)))</f>
        <v>0</v>
      </c>
      <c r="H19" s="26" t="n">
        <f aca="false">IF(H$7="","",CHOOSE(MATCH($B$4,Lists!$C$2:$C$5,0),SUMIFS(Sales_Data!$O$2:$O$3520,Sales_Data!$C$2:$C$3520,$A19,Sales_Data!$F$2:$F$3520,H$7,Sales_Data!$AE$2:$AE$3520,1),SUMIFS(Sales_Data!$M$2:$M$3520,Sales_Data!$C$2:$C$3520,$A19,Sales_Data!$F$2:$F$3520,H$7,Sales_Data!$AE$2:$AE$3520,1),SUMIFS(Sales_Data!$N$2:$N$3520,Sales_Data!$C$2:$C$3520,$A19,Sales_Data!$F$2:$F$3520,H$7,Sales_Data!$AE$2:$AE$3520,1),SUMIFS(Sales_Data!$AE$2:$AE$3520,Sales_Data!$C$2:$C$3520,$A19,Sales_Data!$F$2:$F$3520,H$7)))</f>
        <v>0</v>
      </c>
      <c r="I19" s="26" t="n">
        <f aca="false">IF(I$7="","",CHOOSE(MATCH($B$4,Lists!$C$2:$C$5,0),SUMIFS(Sales_Data!$O$2:$O$3520,Sales_Data!$C$2:$C$3520,$A19,Sales_Data!$F$2:$F$3520,I$7,Sales_Data!$AE$2:$AE$3520,1),SUMIFS(Sales_Data!$M$2:$M$3520,Sales_Data!$C$2:$C$3520,$A19,Sales_Data!$F$2:$F$3520,I$7,Sales_Data!$AE$2:$AE$3520,1),SUMIFS(Sales_Data!$N$2:$N$3520,Sales_Data!$C$2:$C$3520,$A19,Sales_Data!$F$2:$F$3520,I$7,Sales_Data!$AE$2:$AE$3520,1),SUMIFS(Sales_Data!$AE$2:$AE$3520,Sales_Data!$C$2:$C$3520,$A19,Sales_Data!$F$2:$F$3520,I$7)))</f>
        <v>0</v>
      </c>
      <c r="J19" s="26" t="n">
        <f aca="false">IF(J$7="","",CHOOSE(MATCH($B$4,Lists!$C$2:$C$5,0),SUMIFS(Sales_Data!$O$2:$O$3520,Sales_Data!$C$2:$C$3520,$A19,Sales_Data!$F$2:$F$3520,J$7,Sales_Data!$AE$2:$AE$3520,1),SUMIFS(Sales_Data!$M$2:$M$3520,Sales_Data!$C$2:$C$3520,$A19,Sales_Data!$F$2:$F$3520,J$7,Sales_Data!$AE$2:$AE$3520,1),SUMIFS(Sales_Data!$N$2:$N$3520,Sales_Data!$C$2:$C$3520,$A19,Sales_Data!$F$2:$F$3520,J$7,Sales_Data!$AE$2:$AE$3520,1),SUMIFS(Sales_Data!$AE$2:$AE$3520,Sales_Data!$C$2:$C$3520,$A19,Sales_Data!$F$2:$F$3520,J$7)))</f>
        <v>0</v>
      </c>
      <c r="K19" s="26" t="n">
        <f aca="false">IF(K$7="","",CHOOSE(MATCH($B$4,Lists!$C$2:$C$5,0),SUMIFS(Sales_Data!$O$2:$O$3520,Sales_Data!$C$2:$C$3520,$A19,Sales_Data!$F$2:$F$3520,K$7,Sales_Data!$AE$2:$AE$3520,1),SUMIFS(Sales_Data!$M$2:$M$3520,Sales_Data!$C$2:$C$3520,$A19,Sales_Data!$F$2:$F$3520,K$7,Sales_Data!$AE$2:$AE$3520,1),SUMIFS(Sales_Data!$N$2:$N$3520,Sales_Data!$C$2:$C$3520,$A19,Sales_Data!$F$2:$F$3520,K$7,Sales_Data!$AE$2:$AE$3520,1),SUMIFS(Sales_Data!$AE$2:$AE$3520,Sales_Data!$C$2:$C$3520,$A19,Sales_Data!$F$2:$F$3520,K$7)))</f>
        <v>0</v>
      </c>
      <c r="L19" s="26" t="n">
        <f aca="false">IF(L$7="","",CHOOSE(MATCH($B$4,Lists!$C$2:$C$5,0),SUMIFS(Sales_Data!$O$2:$O$3520,Sales_Data!$C$2:$C$3520,$A19,Sales_Data!$F$2:$F$3520,L$7,Sales_Data!$AE$2:$AE$3520,1),SUMIFS(Sales_Data!$M$2:$M$3520,Sales_Data!$C$2:$C$3520,$A19,Sales_Data!$F$2:$F$3520,L$7,Sales_Data!$AE$2:$AE$3520,1),SUMIFS(Sales_Data!$N$2:$N$3520,Sales_Data!$C$2:$C$3520,$A19,Sales_Data!$F$2:$F$3520,L$7,Sales_Data!$AE$2:$AE$3520,1),SUMIFS(Sales_Data!$AE$2:$AE$3520,Sales_Data!$C$2:$C$3520,$A19,Sales_Data!$F$2:$F$3520,L$7)))</f>
        <v>0</v>
      </c>
      <c r="M19" s="26" t="n">
        <f aca="false">IF(M$7="","",CHOOSE(MATCH($B$4,Lists!$C$2:$C$5,0),SUMIFS(Sales_Data!$O$2:$O$3520,Sales_Data!$C$2:$C$3520,$A19,Sales_Data!$F$2:$F$3520,M$7,Sales_Data!$AE$2:$AE$3520,1),SUMIFS(Sales_Data!$M$2:$M$3520,Sales_Data!$C$2:$C$3520,$A19,Sales_Data!$F$2:$F$3520,M$7,Sales_Data!$AE$2:$AE$3520,1),SUMIFS(Sales_Data!$N$2:$N$3520,Sales_Data!$C$2:$C$3520,$A19,Sales_Data!$F$2:$F$3520,M$7,Sales_Data!$AE$2:$AE$3520,1),SUMIFS(Sales_Data!$AE$2:$AE$3520,Sales_Data!$C$2:$C$3520,$A19,Sales_Data!$F$2:$F$3520,M$7)))</f>
        <v>0</v>
      </c>
      <c r="N19" s="26" t="n">
        <f aca="false">IF(N$7="","",CHOOSE(MATCH($B$4,Lists!$C$2:$C$5,0),SUMIFS(Sales_Data!$O$2:$O$3520,Sales_Data!$C$2:$C$3520,$A19,Sales_Data!$F$2:$F$3520,N$7,Sales_Data!$AE$2:$AE$3520,1),SUMIFS(Sales_Data!$M$2:$M$3520,Sales_Data!$C$2:$C$3520,$A19,Sales_Data!$F$2:$F$3520,N$7,Sales_Data!$AE$2:$AE$3520,1),SUMIFS(Sales_Data!$N$2:$N$3520,Sales_Data!$C$2:$C$3520,$A19,Sales_Data!$F$2:$F$3520,N$7,Sales_Data!$AE$2:$AE$3520,1),SUMIFS(Sales_Data!$AE$2:$AE$3520,Sales_Data!$C$2:$C$3520,$A19,Sales_Data!$F$2:$F$3520,N$7)))</f>
        <v>0</v>
      </c>
      <c r="O19" s="26" t="n">
        <f aca="false">IF(O$7="","",CHOOSE(MATCH($B$4,Lists!$C$2:$C$5,0),SUMIFS(Sales_Data!$O$2:$O$3520,Sales_Data!$C$2:$C$3520,$A19,Sales_Data!$F$2:$F$3520,O$7,Sales_Data!$AE$2:$AE$3520,1),SUMIFS(Sales_Data!$M$2:$M$3520,Sales_Data!$C$2:$C$3520,$A19,Sales_Data!$F$2:$F$3520,O$7,Sales_Data!$AE$2:$AE$3520,1),SUMIFS(Sales_Data!$N$2:$N$3520,Sales_Data!$C$2:$C$3520,$A19,Sales_Data!$F$2:$F$3520,O$7,Sales_Data!$AE$2:$AE$3520,1),SUMIFS(Sales_Data!$AE$2:$AE$3520,Sales_Data!$C$2:$C$3520,$A19,Sales_Data!$F$2:$F$3520,O$7)))</f>
        <v>0</v>
      </c>
      <c r="P19" s="26" t="n">
        <f aca="false">IF(P$7="","",CHOOSE(MATCH($B$4,Lists!$C$2:$C$5,0),SUMIFS(Sales_Data!$O$2:$O$3520,Sales_Data!$C$2:$C$3520,$A19,Sales_Data!$F$2:$F$3520,P$7,Sales_Data!$AE$2:$AE$3520,1),SUMIFS(Sales_Data!$M$2:$M$3520,Sales_Data!$C$2:$C$3520,$A19,Sales_Data!$F$2:$F$3520,P$7,Sales_Data!$AE$2:$AE$3520,1),SUMIFS(Sales_Data!$N$2:$N$3520,Sales_Data!$C$2:$C$3520,$A19,Sales_Data!$F$2:$F$3520,P$7,Sales_Data!$AE$2:$AE$3520,1),SUMIFS(Sales_Data!$AE$2:$AE$3520,Sales_Data!$C$2:$C$3520,$A19,Sales_Data!$F$2:$F$3520,P$7)))</f>
        <v>0</v>
      </c>
      <c r="Q19" s="26" t="n">
        <f aca="false">IF(Q$7="","",CHOOSE(MATCH($B$4,Lists!$C$2:$C$5,0),SUMIFS(Sales_Data!$O$2:$O$3520,Sales_Data!$C$2:$C$3520,$A19,Sales_Data!$F$2:$F$3520,Q$7,Sales_Data!$AE$2:$AE$3520,1),SUMIFS(Sales_Data!$M$2:$M$3520,Sales_Data!$C$2:$C$3520,$A19,Sales_Data!$F$2:$F$3520,Q$7,Sales_Data!$AE$2:$AE$3520,1),SUMIFS(Sales_Data!$N$2:$N$3520,Sales_Data!$C$2:$C$3520,$A19,Sales_Data!$F$2:$F$3520,Q$7,Sales_Data!$AE$2:$AE$3520,1),SUMIFS(Sales_Data!$AE$2:$AE$3520,Sales_Data!$C$2:$C$3520,$A19,Sales_Data!$F$2:$F$3520,Q$7)))</f>
        <v>0</v>
      </c>
      <c r="R19" s="26" t="n">
        <f aca="false">IF(R$7="","",CHOOSE(MATCH($B$4,Lists!$C$2:$C$5,0),SUMIFS(Sales_Data!$O$2:$O$3520,Sales_Data!$C$2:$C$3520,$A19,Sales_Data!$F$2:$F$3520,R$7,Sales_Data!$AE$2:$AE$3520,1),SUMIFS(Sales_Data!$M$2:$M$3520,Sales_Data!$C$2:$C$3520,$A19,Sales_Data!$F$2:$F$3520,R$7,Sales_Data!$AE$2:$AE$3520,1),SUMIFS(Sales_Data!$N$2:$N$3520,Sales_Data!$C$2:$C$3520,$A19,Sales_Data!$F$2:$F$3520,R$7,Sales_Data!$AE$2:$AE$3520,1),SUMIFS(Sales_Data!$AE$2:$AE$3520,Sales_Data!$C$2:$C$3520,$A19,Sales_Data!$F$2:$F$3520,R$7)))</f>
        <v>0</v>
      </c>
      <c r="S19" s="26" t="n">
        <f aca="false">IF(S$7="","",CHOOSE(MATCH($B$4,Lists!$C$2:$C$5,0),SUMIFS(Sales_Data!$O$2:$O$3520,Sales_Data!$C$2:$C$3520,$A19,Sales_Data!$F$2:$F$3520,S$7,Sales_Data!$AE$2:$AE$3520,1),SUMIFS(Sales_Data!$M$2:$M$3520,Sales_Data!$C$2:$C$3520,$A19,Sales_Data!$F$2:$F$3520,S$7,Sales_Data!$AE$2:$AE$3520,1),SUMIFS(Sales_Data!$N$2:$N$3520,Sales_Data!$C$2:$C$3520,$A19,Sales_Data!$F$2:$F$3520,S$7,Sales_Data!$AE$2:$AE$3520,1),SUMIFS(Sales_Data!$AE$2:$AE$3520,Sales_Data!$C$2:$C$3520,$A19,Sales_Data!$F$2:$F$3520,S$7)))</f>
        <v>0</v>
      </c>
      <c r="T19" s="26" t="str">
        <f aca="false">IF(T$7="","",CHOOSE(MATCH($B$4,Lists!$C$2:$C$5,0),SUMIFS(Sales_Data!$O$2:$O$3520,Sales_Data!$C$2:$C$3520,$A19,Sales_Data!$F$2:$F$3520,T$7,Sales_Data!$AE$2:$AE$3520,1),SUMIFS(Sales_Data!$M$2:$M$3520,Sales_Data!$C$2:$C$3520,$A19,Sales_Data!$F$2:$F$3520,T$7,Sales_Data!$AE$2:$AE$3520,1),SUMIFS(Sales_Data!$N$2:$N$3520,Sales_Data!$C$2:$C$3520,$A19,Sales_Data!$F$2:$F$3520,T$7,Sales_Data!$AE$2:$AE$3520,1),SUMIFS(Sales_Data!$AE$2:$AE$3520,Sales_Data!$C$2:$C$3520,$A19,Sales_Data!$F$2:$F$3520,T$7)))</f>
        <v/>
      </c>
      <c r="U19" s="26" t="str">
        <f aca="false">IF(U$7="","",CHOOSE(MATCH($B$4,Lists!$C$2:$C$5,0),SUMIFS(Sales_Data!$O$2:$O$3520,Sales_Data!$C$2:$C$3520,$A19,Sales_Data!$F$2:$F$3520,U$7,Sales_Data!$AE$2:$AE$3520,1),SUMIFS(Sales_Data!$M$2:$M$3520,Sales_Data!$C$2:$C$3520,$A19,Sales_Data!$F$2:$F$3520,U$7,Sales_Data!$AE$2:$AE$3520,1),SUMIFS(Sales_Data!$N$2:$N$3520,Sales_Data!$C$2:$C$3520,$A19,Sales_Data!$F$2:$F$3520,U$7,Sales_Data!$AE$2:$AE$3520,1),SUMIFS(Sales_Data!$AE$2:$AE$3520,Sales_Data!$C$2:$C$3520,$A19,Sales_Data!$F$2:$F$3520,U$7)))</f>
        <v/>
      </c>
      <c r="V19" s="26" t="str">
        <f aca="false">IF(V$7="","",CHOOSE(MATCH($B$4,Lists!$C$2:$C$5,0),SUMIFS(Sales_Data!$O$2:$O$3520,Sales_Data!$C$2:$C$3520,$A19,Sales_Data!$F$2:$F$3520,V$7,Sales_Data!$AE$2:$AE$3520,1),SUMIFS(Sales_Data!$M$2:$M$3520,Sales_Data!$C$2:$C$3520,$A19,Sales_Data!$F$2:$F$3520,V$7,Sales_Data!$AE$2:$AE$3520,1),SUMIFS(Sales_Data!$N$2:$N$3520,Sales_Data!$C$2:$C$3520,$A19,Sales_Data!$F$2:$F$3520,V$7,Sales_Data!$AE$2:$AE$3520,1),SUMIFS(Sales_Data!$AE$2:$AE$3520,Sales_Data!$C$2:$C$3520,$A19,Sales_Data!$F$2:$F$3520,V$7)))</f>
        <v/>
      </c>
      <c r="W19" s="26" t="str">
        <f aca="false">IF(W$7="","",CHOOSE(MATCH($B$4,Lists!$C$2:$C$5,0),SUMIFS(Sales_Data!$O$2:$O$3520,Sales_Data!$C$2:$C$3520,$A19,Sales_Data!$F$2:$F$3520,W$7,Sales_Data!$AE$2:$AE$3520,1),SUMIFS(Sales_Data!$M$2:$M$3520,Sales_Data!$C$2:$C$3520,$A19,Sales_Data!$F$2:$F$3520,W$7,Sales_Data!$AE$2:$AE$3520,1),SUMIFS(Sales_Data!$N$2:$N$3520,Sales_Data!$C$2:$C$3520,$A19,Sales_Data!$F$2:$F$3520,W$7,Sales_Data!$AE$2:$AE$3520,1),SUMIFS(Sales_Data!$AE$2:$AE$3520,Sales_Data!$C$2:$C$3520,$A19,Sales_Data!$F$2:$F$3520,W$7)))</f>
        <v/>
      </c>
      <c r="X19" s="26" t="str">
        <f aca="false">IF(X$7="","",CHOOSE(MATCH($B$4,Lists!$C$2:$C$5,0),SUMIFS(Sales_Data!$O$2:$O$3520,Sales_Data!$C$2:$C$3520,$A19,Sales_Data!$F$2:$F$3520,X$7,Sales_Data!$AE$2:$AE$3520,1),SUMIFS(Sales_Data!$M$2:$M$3520,Sales_Data!$C$2:$C$3520,$A19,Sales_Data!$F$2:$F$3520,X$7,Sales_Data!$AE$2:$AE$3520,1),SUMIFS(Sales_Data!$N$2:$N$3520,Sales_Data!$C$2:$C$3520,$A19,Sales_Data!$F$2:$F$3520,X$7,Sales_Data!$AE$2:$AE$3520,1),SUMIFS(Sales_Data!$AE$2:$AE$3520,Sales_Data!$C$2:$C$3520,$A19,Sales_Data!$F$2:$F$3520,X$7)))</f>
        <v/>
      </c>
      <c r="Y19" s="26" t="str">
        <f aca="false">IF(Y$7="","",CHOOSE(MATCH($B$4,Lists!$C$2:$C$5,0),SUMIFS(Sales_Data!$O$2:$O$3520,Sales_Data!$C$2:$C$3520,$A19,Sales_Data!$F$2:$F$3520,Y$7,Sales_Data!$AE$2:$AE$3520,1),SUMIFS(Sales_Data!$M$2:$M$3520,Sales_Data!$C$2:$C$3520,$A19,Sales_Data!$F$2:$F$3520,Y$7,Sales_Data!$AE$2:$AE$3520,1),SUMIFS(Sales_Data!$N$2:$N$3520,Sales_Data!$C$2:$C$3520,$A19,Sales_Data!$F$2:$F$3520,Y$7,Sales_Data!$AE$2:$AE$3520,1),SUMIFS(Sales_Data!$AE$2:$AE$3520,Sales_Data!$C$2:$C$3520,$A19,Sales_Data!$F$2:$F$3520,Y$7)))</f>
        <v/>
      </c>
      <c r="Z19" s="26" t="str">
        <f aca="false">IF(Z$7="","",CHOOSE(MATCH($B$4,Lists!$C$2:$C$5,0),SUMIFS(Sales_Data!$O$2:$O$3520,Sales_Data!$C$2:$C$3520,$A19,Sales_Data!$F$2:$F$3520,Z$7,Sales_Data!$AE$2:$AE$3520,1),SUMIFS(Sales_Data!$M$2:$M$3520,Sales_Data!$C$2:$C$3520,$A19,Sales_Data!$F$2:$F$3520,Z$7,Sales_Data!$AE$2:$AE$3520,1),SUMIFS(Sales_Data!$N$2:$N$3520,Sales_Data!$C$2:$C$3520,$A19,Sales_Data!$F$2:$F$3520,Z$7,Sales_Data!$AE$2:$AE$3520,1),SUMIFS(Sales_Data!$AE$2:$AE$3520,Sales_Data!$C$2:$C$3520,$A19,Sales_Data!$F$2:$F$3520,Z$7)))</f>
        <v/>
      </c>
      <c r="AA19" s="27" t="n">
        <f aca="false">SUM(B19:Z19)</f>
        <v>0</v>
      </c>
      <c r="AB19" s="3"/>
      <c r="AC19" s="72" t="n">
        <f aca="false">A19</f>
        <v>46226</v>
      </c>
      <c r="AD19" s="28" t="n">
        <f aca="false">IF(B19="","",B19-B18)</f>
        <v>0</v>
      </c>
      <c r="AE19" s="28" t="n">
        <f aca="false">IF(C19="","",C19-C18)</f>
        <v>0</v>
      </c>
      <c r="AF19" s="28" t="n">
        <f aca="false">IF(D19="","",D19-D18)</f>
        <v>0</v>
      </c>
      <c r="AG19" s="28" t="n">
        <f aca="false">IF(E19="","",E19-E18)</f>
        <v>0</v>
      </c>
      <c r="AH19" s="28" t="n">
        <f aca="false">IF(F19="","",F19-F18)</f>
        <v>0</v>
      </c>
      <c r="AI19" s="28" t="n">
        <f aca="false">IF(G19="","",G19-G18)</f>
        <v>0</v>
      </c>
      <c r="AJ19" s="28" t="n">
        <f aca="false">IF(H19="","",H19-H18)</f>
        <v>0</v>
      </c>
      <c r="AK19" s="28" t="n">
        <f aca="false">IF(I19="","",I19-I18)</f>
        <v>0</v>
      </c>
      <c r="AL19" s="28" t="n">
        <f aca="false">IF(J19="","",J19-J18)</f>
        <v>0</v>
      </c>
      <c r="AM19" s="28" t="n">
        <f aca="false">IF(K19="","",K19-K18)</f>
        <v>0</v>
      </c>
      <c r="AN19" s="28" t="n">
        <f aca="false">IF(L19="","",L19-L18)</f>
        <v>0</v>
      </c>
      <c r="AO19" s="28" t="n">
        <f aca="false">IF(M19="","",M19-M18)</f>
        <v>0</v>
      </c>
      <c r="AP19" s="28" t="n">
        <f aca="false">IF(N19="","",N19-N18)</f>
        <v>0</v>
      </c>
      <c r="AQ19" s="28" t="n">
        <f aca="false">IF(O19="","",O19-O18)</f>
        <v>0</v>
      </c>
      <c r="AR19" s="28" t="n">
        <f aca="false">IF(P19="","",P19-P18)</f>
        <v>0</v>
      </c>
      <c r="AS19" s="28" t="n">
        <f aca="false">IF(Q19="","",Q19-Q18)</f>
        <v>0</v>
      </c>
      <c r="AT19" s="28" t="n">
        <f aca="false">IF(R19="","",R19-R18)</f>
        <v>0</v>
      </c>
      <c r="AU19" s="28" t="n">
        <f aca="false">IF(S19="","",S19-S18)</f>
        <v>0</v>
      </c>
      <c r="AV19" s="28" t="str">
        <f aca="false">IF(T19="","",T19-T18)</f>
        <v/>
      </c>
      <c r="AW19" s="28" t="str">
        <f aca="false">IF(U19="","",U19-U18)</f>
        <v/>
      </c>
      <c r="AX19" s="28" t="str">
        <f aca="false">IF(V19="","",V19-V18)</f>
        <v/>
      </c>
      <c r="AY19" s="28" t="str">
        <f aca="false">IF(W19="","",W19-W18)</f>
        <v/>
      </c>
      <c r="AZ19" s="28" t="str">
        <f aca="false">IF(X19="","",X19-X18)</f>
        <v/>
      </c>
      <c r="BA19" s="28" t="str">
        <f aca="false">IF(Y19="","",Y19-Y18)</f>
        <v/>
      </c>
      <c r="BB19" s="28" t="str">
        <f aca="false">IF(Z19="","",Z19-Z18)</f>
        <v/>
      </c>
      <c r="BC19" s="28" t="n">
        <f aca="false">IF(AA19="","",AA19-AA18)</f>
        <v>0</v>
      </c>
    </row>
    <row r="20" customFormat="false" ht="15" hidden="false" customHeight="false" outlineLevel="0" collapsed="false">
      <c r="A20" s="72" t="n">
        <v>46227</v>
      </c>
      <c r="B20" s="26" t="n">
        <f aca="false">IF(B$7="","",CHOOSE(MATCH($B$4,Lists!$C$2:$C$5,0),SUMIFS(Sales_Data!$O$2:$O$3520,Sales_Data!$C$2:$C$3520,$A20,Sales_Data!$F$2:$F$3520,B$7,Sales_Data!$AE$2:$AE$3520,1),SUMIFS(Sales_Data!$M$2:$M$3520,Sales_Data!$C$2:$C$3520,$A20,Sales_Data!$F$2:$F$3520,B$7,Sales_Data!$AE$2:$AE$3520,1),SUMIFS(Sales_Data!$N$2:$N$3520,Sales_Data!$C$2:$C$3520,$A20,Sales_Data!$F$2:$F$3520,B$7,Sales_Data!$AE$2:$AE$3520,1),SUMIFS(Sales_Data!$AE$2:$AE$3520,Sales_Data!$C$2:$C$3520,$A20,Sales_Data!$F$2:$F$3520,B$7)))</f>
        <v>0</v>
      </c>
      <c r="C20" s="26" t="n">
        <f aca="false">IF(C$7="","",CHOOSE(MATCH($B$4,Lists!$C$2:$C$5,0),SUMIFS(Sales_Data!$O$2:$O$3520,Sales_Data!$C$2:$C$3520,$A20,Sales_Data!$F$2:$F$3520,C$7,Sales_Data!$AE$2:$AE$3520,1),SUMIFS(Sales_Data!$M$2:$M$3520,Sales_Data!$C$2:$C$3520,$A20,Sales_Data!$F$2:$F$3520,C$7,Sales_Data!$AE$2:$AE$3520,1),SUMIFS(Sales_Data!$N$2:$N$3520,Sales_Data!$C$2:$C$3520,$A20,Sales_Data!$F$2:$F$3520,C$7,Sales_Data!$AE$2:$AE$3520,1),SUMIFS(Sales_Data!$AE$2:$AE$3520,Sales_Data!$C$2:$C$3520,$A20,Sales_Data!$F$2:$F$3520,C$7)))</f>
        <v>0</v>
      </c>
      <c r="D20" s="26" t="n">
        <f aca="false">IF(D$7="","",CHOOSE(MATCH($B$4,Lists!$C$2:$C$5,0),SUMIFS(Sales_Data!$O$2:$O$3520,Sales_Data!$C$2:$C$3520,$A20,Sales_Data!$F$2:$F$3520,D$7,Sales_Data!$AE$2:$AE$3520,1),SUMIFS(Sales_Data!$M$2:$M$3520,Sales_Data!$C$2:$C$3520,$A20,Sales_Data!$F$2:$F$3520,D$7,Sales_Data!$AE$2:$AE$3520,1),SUMIFS(Sales_Data!$N$2:$N$3520,Sales_Data!$C$2:$C$3520,$A20,Sales_Data!$F$2:$F$3520,D$7,Sales_Data!$AE$2:$AE$3520,1),SUMIFS(Sales_Data!$AE$2:$AE$3520,Sales_Data!$C$2:$C$3520,$A20,Sales_Data!$F$2:$F$3520,D$7)))</f>
        <v>0</v>
      </c>
      <c r="E20" s="26" t="n">
        <f aca="false">IF(E$7="","",CHOOSE(MATCH($B$4,Lists!$C$2:$C$5,0),SUMIFS(Sales_Data!$O$2:$O$3520,Sales_Data!$C$2:$C$3520,$A20,Sales_Data!$F$2:$F$3520,E$7,Sales_Data!$AE$2:$AE$3520,1),SUMIFS(Sales_Data!$M$2:$M$3520,Sales_Data!$C$2:$C$3520,$A20,Sales_Data!$F$2:$F$3520,E$7,Sales_Data!$AE$2:$AE$3520,1),SUMIFS(Sales_Data!$N$2:$N$3520,Sales_Data!$C$2:$C$3520,$A20,Sales_Data!$F$2:$F$3520,E$7,Sales_Data!$AE$2:$AE$3520,1),SUMIFS(Sales_Data!$AE$2:$AE$3520,Sales_Data!$C$2:$C$3520,$A20,Sales_Data!$F$2:$F$3520,E$7)))</f>
        <v>0</v>
      </c>
      <c r="F20" s="26" t="n">
        <f aca="false">IF(F$7="","",CHOOSE(MATCH($B$4,Lists!$C$2:$C$5,0),SUMIFS(Sales_Data!$O$2:$O$3520,Sales_Data!$C$2:$C$3520,$A20,Sales_Data!$F$2:$F$3520,F$7,Sales_Data!$AE$2:$AE$3520,1),SUMIFS(Sales_Data!$M$2:$M$3520,Sales_Data!$C$2:$C$3520,$A20,Sales_Data!$F$2:$F$3520,F$7,Sales_Data!$AE$2:$AE$3520,1),SUMIFS(Sales_Data!$N$2:$N$3520,Sales_Data!$C$2:$C$3520,$A20,Sales_Data!$F$2:$F$3520,F$7,Sales_Data!$AE$2:$AE$3520,1),SUMIFS(Sales_Data!$AE$2:$AE$3520,Sales_Data!$C$2:$C$3520,$A20,Sales_Data!$F$2:$F$3520,F$7)))</f>
        <v>0</v>
      </c>
      <c r="G20" s="26" t="n">
        <f aca="false">IF(G$7="","",CHOOSE(MATCH($B$4,Lists!$C$2:$C$5,0),SUMIFS(Sales_Data!$O$2:$O$3520,Sales_Data!$C$2:$C$3520,$A20,Sales_Data!$F$2:$F$3520,G$7,Sales_Data!$AE$2:$AE$3520,1),SUMIFS(Sales_Data!$M$2:$M$3520,Sales_Data!$C$2:$C$3520,$A20,Sales_Data!$F$2:$F$3520,G$7,Sales_Data!$AE$2:$AE$3520,1),SUMIFS(Sales_Data!$N$2:$N$3520,Sales_Data!$C$2:$C$3520,$A20,Sales_Data!$F$2:$F$3520,G$7,Sales_Data!$AE$2:$AE$3520,1),SUMIFS(Sales_Data!$AE$2:$AE$3520,Sales_Data!$C$2:$C$3520,$A20,Sales_Data!$F$2:$F$3520,G$7)))</f>
        <v>0</v>
      </c>
      <c r="H20" s="26" t="n">
        <f aca="false">IF(H$7="","",CHOOSE(MATCH($B$4,Lists!$C$2:$C$5,0),SUMIFS(Sales_Data!$O$2:$O$3520,Sales_Data!$C$2:$C$3520,$A20,Sales_Data!$F$2:$F$3520,H$7,Sales_Data!$AE$2:$AE$3520,1),SUMIFS(Sales_Data!$M$2:$M$3520,Sales_Data!$C$2:$C$3520,$A20,Sales_Data!$F$2:$F$3520,H$7,Sales_Data!$AE$2:$AE$3520,1),SUMIFS(Sales_Data!$N$2:$N$3520,Sales_Data!$C$2:$C$3520,$A20,Sales_Data!$F$2:$F$3520,H$7,Sales_Data!$AE$2:$AE$3520,1),SUMIFS(Sales_Data!$AE$2:$AE$3520,Sales_Data!$C$2:$C$3520,$A20,Sales_Data!$F$2:$F$3520,H$7)))</f>
        <v>0</v>
      </c>
      <c r="I20" s="26" t="n">
        <f aca="false">IF(I$7="","",CHOOSE(MATCH($B$4,Lists!$C$2:$C$5,0),SUMIFS(Sales_Data!$O$2:$O$3520,Sales_Data!$C$2:$C$3520,$A20,Sales_Data!$F$2:$F$3520,I$7,Sales_Data!$AE$2:$AE$3520,1),SUMIFS(Sales_Data!$M$2:$M$3520,Sales_Data!$C$2:$C$3520,$A20,Sales_Data!$F$2:$F$3520,I$7,Sales_Data!$AE$2:$AE$3520,1),SUMIFS(Sales_Data!$N$2:$N$3520,Sales_Data!$C$2:$C$3520,$A20,Sales_Data!$F$2:$F$3520,I$7,Sales_Data!$AE$2:$AE$3520,1),SUMIFS(Sales_Data!$AE$2:$AE$3520,Sales_Data!$C$2:$C$3520,$A20,Sales_Data!$F$2:$F$3520,I$7)))</f>
        <v>0</v>
      </c>
      <c r="J20" s="26" t="n">
        <f aca="false">IF(J$7="","",CHOOSE(MATCH($B$4,Lists!$C$2:$C$5,0),SUMIFS(Sales_Data!$O$2:$O$3520,Sales_Data!$C$2:$C$3520,$A20,Sales_Data!$F$2:$F$3520,J$7,Sales_Data!$AE$2:$AE$3520,1),SUMIFS(Sales_Data!$M$2:$M$3520,Sales_Data!$C$2:$C$3520,$A20,Sales_Data!$F$2:$F$3520,J$7,Sales_Data!$AE$2:$AE$3520,1),SUMIFS(Sales_Data!$N$2:$N$3520,Sales_Data!$C$2:$C$3520,$A20,Sales_Data!$F$2:$F$3520,J$7,Sales_Data!$AE$2:$AE$3520,1),SUMIFS(Sales_Data!$AE$2:$AE$3520,Sales_Data!$C$2:$C$3520,$A20,Sales_Data!$F$2:$F$3520,J$7)))</f>
        <v>0</v>
      </c>
      <c r="K20" s="26" t="n">
        <f aca="false">IF(K$7="","",CHOOSE(MATCH($B$4,Lists!$C$2:$C$5,0),SUMIFS(Sales_Data!$O$2:$O$3520,Sales_Data!$C$2:$C$3520,$A20,Sales_Data!$F$2:$F$3520,K$7,Sales_Data!$AE$2:$AE$3520,1),SUMIFS(Sales_Data!$M$2:$M$3520,Sales_Data!$C$2:$C$3520,$A20,Sales_Data!$F$2:$F$3520,K$7,Sales_Data!$AE$2:$AE$3520,1),SUMIFS(Sales_Data!$N$2:$N$3520,Sales_Data!$C$2:$C$3520,$A20,Sales_Data!$F$2:$F$3520,K$7,Sales_Data!$AE$2:$AE$3520,1),SUMIFS(Sales_Data!$AE$2:$AE$3520,Sales_Data!$C$2:$C$3520,$A20,Sales_Data!$F$2:$F$3520,K$7)))</f>
        <v>0</v>
      </c>
      <c r="L20" s="26" t="n">
        <f aca="false">IF(L$7="","",CHOOSE(MATCH($B$4,Lists!$C$2:$C$5,0),SUMIFS(Sales_Data!$O$2:$O$3520,Sales_Data!$C$2:$C$3520,$A20,Sales_Data!$F$2:$F$3520,L$7,Sales_Data!$AE$2:$AE$3520,1),SUMIFS(Sales_Data!$M$2:$M$3520,Sales_Data!$C$2:$C$3520,$A20,Sales_Data!$F$2:$F$3520,L$7,Sales_Data!$AE$2:$AE$3520,1),SUMIFS(Sales_Data!$N$2:$N$3520,Sales_Data!$C$2:$C$3520,$A20,Sales_Data!$F$2:$F$3520,L$7,Sales_Data!$AE$2:$AE$3520,1),SUMIFS(Sales_Data!$AE$2:$AE$3520,Sales_Data!$C$2:$C$3520,$A20,Sales_Data!$F$2:$F$3520,L$7)))</f>
        <v>0</v>
      </c>
      <c r="M20" s="26" t="n">
        <f aca="false">IF(M$7="","",CHOOSE(MATCH($B$4,Lists!$C$2:$C$5,0),SUMIFS(Sales_Data!$O$2:$O$3520,Sales_Data!$C$2:$C$3520,$A20,Sales_Data!$F$2:$F$3520,M$7,Sales_Data!$AE$2:$AE$3520,1),SUMIFS(Sales_Data!$M$2:$M$3520,Sales_Data!$C$2:$C$3520,$A20,Sales_Data!$F$2:$F$3520,M$7,Sales_Data!$AE$2:$AE$3520,1),SUMIFS(Sales_Data!$N$2:$N$3520,Sales_Data!$C$2:$C$3520,$A20,Sales_Data!$F$2:$F$3520,M$7,Sales_Data!$AE$2:$AE$3520,1),SUMIFS(Sales_Data!$AE$2:$AE$3520,Sales_Data!$C$2:$C$3520,$A20,Sales_Data!$F$2:$F$3520,M$7)))</f>
        <v>0</v>
      </c>
      <c r="N20" s="26" t="n">
        <f aca="false">IF(N$7="","",CHOOSE(MATCH($B$4,Lists!$C$2:$C$5,0),SUMIFS(Sales_Data!$O$2:$O$3520,Sales_Data!$C$2:$C$3520,$A20,Sales_Data!$F$2:$F$3520,N$7,Sales_Data!$AE$2:$AE$3520,1),SUMIFS(Sales_Data!$M$2:$M$3520,Sales_Data!$C$2:$C$3520,$A20,Sales_Data!$F$2:$F$3520,N$7,Sales_Data!$AE$2:$AE$3520,1),SUMIFS(Sales_Data!$N$2:$N$3520,Sales_Data!$C$2:$C$3520,$A20,Sales_Data!$F$2:$F$3520,N$7,Sales_Data!$AE$2:$AE$3520,1),SUMIFS(Sales_Data!$AE$2:$AE$3520,Sales_Data!$C$2:$C$3520,$A20,Sales_Data!$F$2:$F$3520,N$7)))</f>
        <v>0</v>
      </c>
      <c r="O20" s="26" t="n">
        <f aca="false">IF(O$7="","",CHOOSE(MATCH($B$4,Lists!$C$2:$C$5,0),SUMIFS(Sales_Data!$O$2:$O$3520,Sales_Data!$C$2:$C$3520,$A20,Sales_Data!$F$2:$F$3520,O$7,Sales_Data!$AE$2:$AE$3520,1),SUMIFS(Sales_Data!$M$2:$M$3520,Sales_Data!$C$2:$C$3520,$A20,Sales_Data!$F$2:$F$3520,O$7,Sales_Data!$AE$2:$AE$3520,1),SUMIFS(Sales_Data!$N$2:$N$3520,Sales_Data!$C$2:$C$3520,$A20,Sales_Data!$F$2:$F$3520,O$7,Sales_Data!$AE$2:$AE$3520,1),SUMIFS(Sales_Data!$AE$2:$AE$3520,Sales_Data!$C$2:$C$3520,$A20,Sales_Data!$F$2:$F$3520,O$7)))</f>
        <v>0</v>
      </c>
      <c r="P20" s="26" t="n">
        <f aca="false">IF(P$7="","",CHOOSE(MATCH($B$4,Lists!$C$2:$C$5,0),SUMIFS(Sales_Data!$O$2:$O$3520,Sales_Data!$C$2:$C$3520,$A20,Sales_Data!$F$2:$F$3520,P$7,Sales_Data!$AE$2:$AE$3520,1),SUMIFS(Sales_Data!$M$2:$M$3520,Sales_Data!$C$2:$C$3520,$A20,Sales_Data!$F$2:$F$3520,P$7,Sales_Data!$AE$2:$AE$3520,1),SUMIFS(Sales_Data!$N$2:$N$3520,Sales_Data!$C$2:$C$3520,$A20,Sales_Data!$F$2:$F$3520,P$7,Sales_Data!$AE$2:$AE$3520,1),SUMIFS(Sales_Data!$AE$2:$AE$3520,Sales_Data!$C$2:$C$3520,$A20,Sales_Data!$F$2:$F$3520,P$7)))</f>
        <v>0</v>
      </c>
      <c r="Q20" s="26" t="n">
        <f aca="false">IF(Q$7="","",CHOOSE(MATCH($B$4,Lists!$C$2:$C$5,0),SUMIFS(Sales_Data!$O$2:$O$3520,Sales_Data!$C$2:$C$3520,$A20,Sales_Data!$F$2:$F$3520,Q$7,Sales_Data!$AE$2:$AE$3520,1),SUMIFS(Sales_Data!$M$2:$M$3520,Sales_Data!$C$2:$C$3520,$A20,Sales_Data!$F$2:$F$3520,Q$7,Sales_Data!$AE$2:$AE$3520,1),SUMIFS(Sales_Data!$N$2:$N$3520,Sales_Data!$C$2:$C$3520,$A20,Sales_Data!$F$2:$F$3520,Q$7,Sales_Data!$AE$2:$AE$3520,1),SUMIFS(Sales_Data!$AE$2:$AE$3520,Sales_Data!$C$2:$C$3520,$A20,Sales_Data!$F$2:$F$3520,Q$7)))</f>
        <v>0</v>
      </c>
      <c r="R20" s="26" t="n">
        <f aca="false">IF(R$7="","",CHOOSE(MATCH($B$4,Lists!$C$2:$C$5,0),SUMIFS(Sales_Data!$O$2:$O$3520,Sales_Data!$C$2:$C$3520,$A20,Sales_Data!$F$2:$F$3520,R$7,Sales_Data!$AE$2:$AE$3520,1),SUMIFS(Sales_Data!$M$2:$M$3520,Sales_Data!$C$2:$C$3520,$A20,Sales_Data!$F$2:$F$3520,R$7,Sales_Data!$AE$2:$AE$3520,1),SUMIFS(Sales_Data!$N$2:$N$3520,Sales_Data!$C$2:$C$3520,$A20,Sales_Data!$F$2:$F$3520,R$7,Sales_Data!$AE$2:$AE$3520,1),SUMIFS(Sales_Data!$AE$2:$AE$3520,Sales_Data!$C$2:$C$3520,$A20,Sales_Data!$F$2:$F$3520,R$7)))</f>
        <v>0</v>
      </c>
      <c r="S20" s="26" t="n">
        <f aca="false">IF(S$7="","",CHOOSE(MATCH($B$4,Lists!$C$2:$C$5,0),SUMIFS(Sales_Data!$O$2:$O$3520,Sales_Data!$C$2:$C$3520,$A20,Sales_Data!$F$2:$F$3520,S$7,Sales_Data!$AE$2:$AE$3520,1),SUMIFS(Sales_Data!$M$2:$M$3520,Sales_Data!$C$2:$C$3520,$A20,Sales_Data!$F$2:$F$3520,S$7,Sales_Data!$AE$2:$AE$3520,1),SUMIFS(Sales_Data!$N$2:$N$3520,Sales_Data!$C$2:$C$3520,$A20,Sales_Data!$F$2:$F$3520,S$7,Sales_Data!$AE$2:$AE$3520,1),SUMIFS(Sales_Data!$AE$2:$AE$3520,Sales_Data!$C$2:$C$3520,$A20,Sales_Data!$F$2:$F$3520,S$7)))</f>
        <v>0</v>
      </c>
      <c r="T20" s="26" t="str">
        <f aca="false">IF(T$7="","",CHOOSE(MATCH($B$4,Lists!$C$2:$C$5,0),SUMIFS(Sales_Data!$O$2:$O$3520,Sales_Data!$C$2:$C$3520,$A20,Sales_Data!$F$2:$F$3520,T$7,Sales_Data!$AE$2:$AE$3520,1),SUMIFS(Sales_Data!$M$2:$M$3520,Sales_Data!$C$2:$C$3520,$A20,Sales_Data!$F$2:$F$3520,T$7,Sales_Data!$AE$2:$AE$3520,1),SUMIFS(Sales_Data!$N$2:$N$3520,Sales_Data!$C$2:$C$3520,$A20,Sales_Data!$F$2:$F$3520,T$7,Sales_Data!$AE$2:$AE$3520,1),SUMIFS(Sales_Data!$AE$2:$AE$3520,Sales_Data!$C$2:$C$3520,$A20,Sales_Data!$F$2:$F$3520,T$7)))</f>
        <v/>
      </c>
      <c r="U20" s="26" t="str">
        <f aca="false">IF(U$7="","",CHOOSE(MATCH($B$4,Lists!$C$2:$C$5,0),SUMIFS(Sales_Data!$O$2:$O$3520,Sales_Data!$C$2:$C$3520,$A20,Sales_Data!$F$2:$F$3520,U$7,Sales_Data!$AE$2:$AE$3520,1),SUMIFS(Sales_Data!$M$2:$M$3520,Sales_Data!$C$2:$C$3520,$A20,Sales_Data!$F$2:$F$3520,U$7,Sales_Data!$AE$2:$AE$3520,1),SUMIFS(Sales_Data!$N$2:$N$3520,Sales_Data!$C$2:$C$3520,$A20,Sales_Data!$F$2:$F$3520,U$7,Sales_Data!$AE$2:$AE$3520,1),SUMIFS(Sales_Data!$AE$2:$AE$3520,Sales_Data!$C$2:$C$3520,$A20,Sales_Data!$F$2:$F$3520,U$7)))</f>
        <v/>
      </c>
      <c r="V20" s="26" t="str">
        <f aca="false">IF(V$7="","",CHOOSE(MATCH($B$4,Lists!$C$2:$C$5,0),SUMIFS(Sales_Data!$O$2:$O$3520,Sales_Data!$C$2:$C$3520,$A20,Sales_Data!$F$2:$F$3520,V$7,Sales_Data!$AE$2:$AE$3520,1),SUMIFS(Sales_Data!$M$2:$M$3520,Sales_Data!$C$2:$C$3520,$A20,Sales_Data!$F$2:$F$3520,V$7,Sales_Data!$AE$2:$AE$3520,1),SUMIFS(Sales_Data!$N$2:$N$3520,Sales_Data!$C$2:$C$3520,$A20,Sales_Data!$F$2:$F$3520,V$7,Sales_Data!$AE$2:$AE$3520,1),SUMIFS(Sales_Data!$AE$2:$AE$3520,Sales_Data!$C$2:$C$3520,$A20,Sales_Data!$F$2:$F$3520,V$7)))</f>
        <v/>
      </c>
      <c r="W20" s="26" t="str">
        <f aca="false">IF(W$7="","",CHOOSE(MATCH($B$4,Lists!$C$2:$C$5,0),SUMIFS(Sales_Data!$O$2:$O$3520,Sales_Data!$C$2:$C$3520,$A20,Sales_Data!$F$2:$F$3520,W$7,Sales_Data!$AE$2:$AE$3520,1),SUMIFS(Sales_Data!$M$2:$M$3520,Sales_Data!$C$2:$C$3520,$A20,Sales_Data!$F$2:$F$3520,W$7,Sales_Data!$AE$2:$AE$3520,1),SUMIFS(Sales_Data!$N$2:$N$3520,Sales_Data!$C$2:$C$3520,$A20,Sales_Data!$F$2:$F$3520,W$7,Sales_Data!$AE$2:$AE$3520,1),SUMIFS(Sales_Data!$AE$2:$AE$3520,Sales_Data!$C$2:$C$3520,$A20,Sales_Data!$F$2:$F$3520,W$7)))</f>
        <v/>
      </c>
      <c r="X20" s="26" t="str">
        <f aca="false">IF(X$7="","",CHOOSE(MATCH($B$4,Lists!$C$2:$C$5,0),SUMIFS(Sales_Data!$O$2:$O$3520,Sales_Data!$C$2:$C$3520,$A20,Sales_Data!$F$2:$F$3520,X$7,Sales_Data!$AE$2:$AE$3520,1),SUMIFS(Sales_Data!$M$2:$M$3520,Sales_Data!$C$2:$C$3520,$A20,Sales_Data!$F$2:$F$3520,X$7,Sales_Data!$AE$2:$AE$3520,1),SUMIFS(Sales_Data!$N$2:$N$3520,Sales_Data!$C$2:$C$3520,$A20,Sales_Data!$F$2:$F$3520,X$7,Sales_Data!$AE$2:$AE$3520,1),SUMIFS(Sales_Data!$AE$2:$AE$3520,Sales_Data!$C$2:$C$3520,$A20,Sales_Data!$F$2:$F$3520,X$7)))</f>
        <v/>
      </c>
      <c r="Y20" s="26" t="str">
        <f aca="false">IF(Y$7="","",CHOOSE(MATCH($B$4,Lists!$C$2:$C$5,0),SUMIFS(Sales_Data!$O$2:$O$3520,Sales_Data!$C$2:$C$3520,$A20,Sales_Data!$F$2:$F$3520,Y$7,Sales_Data!$AE$2:$AE$3520,1),SUMIFS(Sales_Data!$M$2:$M$3520,Sales_Data!$C$2:$C$3520,$A20,Sales_Data!$F$2:$F$3520,Y$7,Sales_Data!$AE$2:$AE$3520,1),SUMIFS(Sales_Data!$N$2:$N$3520,Sales_Data!$C$2:$C$3520,$A20,Sales_Data!$F$2:$F$3520,Y$7,Sales_Data!$AE$2:$AE$3520,1),SUMIFS(Sales_Data!$AE$2:$AE$3520,Sales_Data!$C$2:$C$3520,$A20,Sales_Data!$F$2:$F$3520,Y$7)))</f>
        <v/>
      </c>
      <c r="Z20" s="26" t="str">
        <f aca="false">IF(Z$7="","",CHOOSE(MATCH($B$4,Lists!$C$2:$C$5,0),SUMIFS(Sales_Data!$O$2:$O$3520,Sales_Data!$C$2:$C$3520,$A20,Sales_Data!$F$2:$F$3520,Z$7,Sales_Data!$AE$2:$AE$3520,1),SUMIFS(Sales_Data!$M$2:$M$3520,Sales_Data!$C$2:$C$3520,$A20,Sales_Data!$F$2:$F$3520,Z$7,Sales_Data!$AE$2:$AE$3520,1),SUMIFS(Sales_Data!$N$2:$N$3520,Sales_Data!$C$2:$C$3520,$A20,Sales_Data!$F$2:$F$3520,Z$7,Sales_Data!$AE$2:$AE$3520,1),SUMIFS(Sales_Data!$AE$2:$AE$3520,Sales_Data!$C$2:$C$3520,$A20,Sales_Data!$F$2:$F$3520,Z$7)))</f>
        <v/>
      </c>
      <c r="AA20" s="27" t="n">
        <f aca="false">SUM(B20:Z20)</f>
        <v>0</v>
      </c>
      <c r="AB20" s="3"/>
      <c r="AC20" s="72" t="n">
        <f aca="false">A20</f>
        <v>46227</v>
      </c>
      <c r="AD20" s="28" t="n">
        <f aca="false">IF(B20="","",B20-B19)</f>
        <v>0</v>
      </c>
      <c r="AE20" s="28" t="n">
        <f aca="false">IF(C20="","",C20-C19)</f>
        <v>0</v>
      </c>
      <c r="AF20" s="28" t="n">
        <f aca="false">IF(D20="","",D20-D19)</f>
        <v>0</v>
      </c>
      <c r="AG20" s="28" t="n">
        <f aca="false">IF(E20="","",E20-E19)</f>
        <v>0</v>
      </c>
      <c r="AH20" s="28" t="n">
        <f aca="false">IF(F20="","",F20-F19)</f>
        <v>0</v>
      </c>
      <c r="AI20" s="28" t="n">
        <f aca="false">IF(G20="","",G20-G19)</f>
        <v>0</v>
      </c>
      <c r="AJ20" s="28" t="n">
        <f aca="false">IF(H20="","",H20-H19)</f>
        <v>0</v>
      </c>
      <c r="AK20" s="28" t="n">
        <f aca="false">IF(I20="","",I20-I19)</f>
        <v>0</v>
      </c>
      <c r="AL20" s="28" t="n">
        <f aca="false">IF(J20="","",J20-J19)</f>
        <v>0</v>
      </c>
      <c r="AM20" s="28" t="n">
        <f aca="false">IF(K20="","",K20-K19)</f>
        <v>0</v>
      </c>
      <c r="AN20" s="28" t="n">
        <f aca="false">IF(L20="","",L20-L19)</f>
        <v>0</v>
      </c>
      <c r="AO20" s="28" t="n">
        <f aca="false">IF(M20="","",M20-M19)</f>
        <v>0</v>
      </c>
      <c r="AP20" s="28" t="n">
        <f aca="false">IF(N20="","",N20-N19)</f>
        <v>0</v>
      </c>
      <c r="AQ20" s="28" t="n">
        <f aca="false">IF(O20="","",O20-O19)</f>
        <v>0</v>
      </c>
      <c r="AR20" s="28" t="n">
        <f aca="false">IF(P20="","",P20-P19)</f>
        <v>0</v>
      </c>
      <c r="AS20" s="28" t="n">
        <f aca="false">IF(Q20="","",Q20-Q19)</f>
        <v>0</v>
      </c>
      <c r="AT20" s="28" t="n">
        <f aca="false">IF(R20="","",R20-R19)</f>
        <v>0</v>
      </c>
      <c r="AU20" s="28" t="n">
        <f aca="false">IF(S20="","",S20-S19)</f>
        <v>0</v>
      </c>
      <c r="AV20" s="28" t="str">
        <f aca="false">IF(T20="","",T20-T19)</f>
        <v/>
      </c>
      <c r="AW20" s="28" t="str">
        <f aca="false">IF(U20="","",U20-U19)</f>
        <v/>
      </c>
      <c r="AX20" s="28" t="str">
        <f aca="false">IF(V20="","",V20-V19)</f>
        <v/>
      </c>
      <c r="AY20" s="28" t="str">
        <f aca="false">IF(W20="","",W20-W19)</f>
        <v/>
      </c>
      <c r="AZ20" s="28" t="str">
        <f aca="false">IF(X20="","",X20-X19)</f>
        <v/>
      </c>
      <c r="BA20" s="28" t="str">
        <f aca="false">IF(Y20="","",Y20-Y19)</f>
        <v/>
      </c>
      <c r="BB20" s="28" t="str">
        <f aca="false">IF(Z20="","",Z20-Z19)</f>
        <v/>
      </c>
      <c r="BC20" s="28" t="n">
        <f aca="false">IF(AA20="","",AA20-AA19)</f>
        <v>0</v>
      </c>
    </row>
    <row r="21" customFormat="false" ht="15" hidden="false" customHeight="false" outlineLevel="0" collapsed="false">
      <c r="A21" s="72" t="n">
        <v>46228</v>
      </c>
      <c r="B21" s="26" t="n">
        <f aca="false">IF(B$7="","",CHOOSE(MATCH($B$4,Lists!$C$2:$C$5,0),SUMIFS(Sales_Data!$O$2:$O$3520,Sales_Data!$C$2:$C$3520,$A21,Sales_Data!$F$2:$F$3520,B$7,Sales_Data!$AE$2:$AE$3520,1),SUMIFS(Sales_Data!$M$2:$M$3520,Sales_Data!$C$2:$C$3520,$A21,Sales_Data!$F$2:$F$3520,B$7,Sales_Data!$AE$2:$AE$3520,1),SUMIFS(Sales_Data!$N$2:$N$3520,Sales_Data!$C$2:$C$3520,$A21,Sales_Data!$F$2:$F$3520,B$7,Sales_Data!$AE$2:$AE$3520,1),SUMIFS(Sales_Data!$AE$2:$AE$3520,Sales_Data!$C$2:$C$3520,$A21,Sales_Data!$F$2:$F$3520,B$7)))</f>
        <v>0</v>
      </c>
      <c r="C21" s="26" t="n">
        <f aca="false">IF(C$7="","",CHOOSE(MATCH($B$4,Lists!$C$2:$C$5,0),SUMIFS(Sales_Data!$O$2:$O$3520,Sales_Data!$C$2:$C$3520,$A21,Sales_Data!$F$2:$F$3520,C$7,Sales_Data!$AE$2:$AE$3520,1),SUMIFS(Sales_Data!$M$2:$M$3520,Sales_Data!$C$2:$C$3520,$A21,Sales_Data!$F$2:$F$3520,C$7,Sales_Data!$AE$2:$AE$3520,1),SUMIFS(Sales_Data!$N$2:$N$3520,Sales_Data!$C$2:$C$3520,$A21,Sales_Data!$F$2:$F$3520,C$7,Sales_Data!$AE$2:$AE$3520,1),SUMIFS(Sales_Data!$AE$2:$AE$3520,Sales_Data!$C$2:$C$3520,$A21,Sales_Data!$F$2:$F$3520,C$7)))</f>
        <v>0</v>
      </c>
      <c r="D21" s="26" t="n">
        <f aca="false">IF(D$7="","",CHOOSE(MATCH($B$4,Lists!$C$2:$C$5,0),SUMIFS(Sales_Data!$O$2:$O$3520,Sales_Data!$C$2:$C$3520,$A21,Sales_Data!$F$2:$F$3520,D$7,Sales_Data!$AE$2:$AE$3520,1),SUMIFS(Sales_Data!$M$2:$M$3520,Sales_Data!$C$2:$C$3520,$A21,Sales_Data!$F$2:$F$3520,D$7,Sales_Data!$AE$2:$AE$3520,1),SUMIFS(Sales_Data!$N$2:$N$3520,Sales_Data!$C$2:$C$3520,$A21,Sales_Data!$F$2:$F$3520,D$7,Sales_Data!$AE$2:$AE$3520,1),SUMIFS(Sales_Data!$AE$2:$AE$3520,Sales_Data!$C$2:$C$3520,$A21,Sales_Data!$F$2:$F$3520,D$7)))</f>
        <v>0</v>
      </c>
      <c r="E21" s="26" t="n">
        <f aca="false">IF(E$7="","",CHOOSE(MATCH($B$4,Lists!$C$2:$C$5,0),SUMIFS(Sales_Data!$O$2:$O$3520,Sales_Data!$C$2:$C$3520,$A21,Sales_Data!$F$2:$F$3520,E$7,Sales_Data!$AE$2:$AE$3520,1),SUMIFS(Sales_Data!$M$2:$M$3520,Sales_Data!$C$2:$C$3520,$A21,Sales_Data!$F$2:$F$3520,E$7,Sales_Data!$AE$2:$AE$3520,1),SUMIFS(Sales_Data!$N$2:$N$3520,Sales_Data!$C$2:$C$3520,$A21,Sales_Data!$F$2:$F$3520,E$7,Sales_Data!$AE$2:$AE$3520,1),SUMIFS(Sales_Data!$AE$2:$AE$3520,Sales_Data!$C$2:$C$3520,$A21,Sales_Data!$F$2:$F$3520,E$7)))</f>
        <v>0</v>
      </c>
      <c r="F21" s="26" t="n">
        <f aca="false">IF(F$7="","",CHOOSE(MATCH($B$4,Lists!$C$2:$C$5,0),SUMIFS(Sales_Data!$O$2:$O$3520,Sales_Data!$C$2:$C$3520,$A21,Sales_Data!$F$2:$F$3520,F$7,Sales_Data!$AE$2:$AE$3520,1),SUMIFS(Sales_Data!$M$2:$M$3520,Sales_Data!$C$2:$C$3520,$A21,Sales_Data!$F$2:$F$3520,F$7,Sales_Data!$AE$2:$AE$3520,1),SUMIFS(Sales_Data!$N$2:$N$3520,Sales_Data!$C$2:$C$3520,$A21,Sales_Data!$F$2:$F$3520,F$7,Sales_Data!$AE$2:$AE$3520,1),SUMIFS(Sales_Data!$AE$2:$AE$3520,Sales_Data!$C$2:$C$3520,$A21,Sales_Data!$F$2:$F$3520,F$7)))</f>
        <v>0</v>
      </c>
      <c r="G21" s="26" t="n">
        <f aca="false">IF(G$7="","",CHOOSE(MATCH($B$4,Lists!$C$2:$C$5,0),SUMIFS(Sales_Data!$O$2:$O$3520,Sales_Data!$C$2:$C$3520,$A21,Sales_Data!$F$2:$F$3520,G$7,Sales_Data!$AE$2:$AE$3520,1),SUMIFS(Sales_Data!$M$2:$M$3520,Sales_Data!$C$2:$C$3520,$A21,Sales_Data!$F$2:$F$3520,G$7,Sales_Data!$AE$2:$AE$3520,1),SUMIFS(Sales_Data!$N$2:$N$3520,Sales_Data!$C$2:$C$3520,$A21,Sales_Data!$F$2:$F$3520,G$7,Sales_Data!$AE$2:$AE$3520,1),SUMIFS(Sales_Data!$AE$2:$AE$3520,Sales_Data!$C$2:$C$3520,$A21,Sales_Data!$F$2:$F$3520,G$7)))</f>
        <v>0</v>
      </c>
      <c r="H21" s="26" t="n">
        <f aca="false">IF(H$7="","",CHOOSE(MATCH($B$4,Lists!$C$2:$C$5,0),SUMIFS(Sales_Data!$O$2:$O$3520,Sales_Data!$C$2:$C$3520,$A21,Sales_Data!$F$2:$F$3520,H$7,Sales_Data!$AE$2:$AE$3520,1),SUMIFS(Sales_Data!$M$2:$M$3520,Sales_Data!$C$2:$C$3520,$A21,Sales_Data!$F$2:$F$3520,H$7,Sales_Data!$AE$2:$AE$3520,1),SUMIFS(Sales_Data!$N$2:$N$3520,Sales_Data!$C$2:$C$3520,$A21,Sales_Data!$F$2:$F$3520,H$7,Sales_Data!$AE$2:$AE$3520,1),SUMIFS(Sales_Data!$AE$2:$AE$3520,Sales_Data!$C$2:$C$3520,$A21,Sales_Data!$F$2:$F$3520,H$7)))</f>
        <v>0</v>
      </c>
      <c r="I21" s="26" t="n">
        <f aca="false">IF(I$7="","",CHOOSE(MATCH($B$4,Lists!$C$2:$C$5,0),SUMIFS(Sales_Data!$O$2:$O$3520,Sales_Data!$C$2:$C$3520,$A21,Sales_Data!$F$2:$F$3520,I$7,Sales_Data!$AE$2:$AE$3520,1),SUMIFS(Sales_Data!$M$2:$M$3520,Sales_Data!$C$2:$C$3520,$A21,Sales_Data!$F$2:$F$3520,I$7,Sales_Data!$AE$2:$AE$3520,1),SUMIFS(Sales_Data!$N$2:$N$3520,Sales_Data!$C$2:$C$3520,$A21,Sales_Data!$F$2:$F$3520,I$7,Sales_Data!$AE$2:$AE$3520,1),SUMIFS(Sales_Data!$AE$2:$AE$3520,Sales_Data!$C$2:$C$3520,$A21,Sales_Data!$F$2:$F$3520,I$7)))</f>
        <v>0</v>
      </c>
      <c r="J21" s="26" t="n">
        <f aca="false">IF(J$7="","",CHOOSE(MATCH($B$4,Lists!$C$2:$C$5,0),SUMIFS(Sales_Data!$O$2:$O$3520,Sales_Data!$C$2:$C$3520,$A21,Sales_Data!$F$2:$F$3520,J$7,Sales_Data!$AE$2:$AE$3520,1),SUMIFS(Sales_Data!$M$2:$M$3520,Sales_Data!$C$2:$C$3520,$A21,Sales_Data!$F$2:$F$3520,J$7,Sales_Data!$AE$2:$AE$3520,1),SUMIFS(Sales_Data!$N$2:$N$3520,Sales_Data!$C$2:$C$3520,$A21,Sales_Data!$F$2:$F$3520,J$7,Sales_Data!$AE$2:$AE$3520,1),SUMIFS(Sales_Data!$AE$2:$AE$3520,Sales_Data!$C$2:$C$3520,$A21,Sales_Data!$F$2:$F$3520,J$7)))</f>
        <v>0</v>
      </c>
      <c r="K21" s="26" t="n">
        <f aca="false">IF(K$7="","",CHOOSE(MATCH($B$4,Lists!$C$2:$C$5,0),SUMIFS(Sales_Data!$O$2:$O$3520,Sales_Data!$C$2:$C$3520,$A21,Sales_Data!$F$2:$F$3520,K$7,Sales_Data!$AE$2:$AE$3520,1),SUMIFS(Sales_Data!$M$2:$M$3520,Sales_Data!$C$2:$C$3520,$A21,Sales_Data!$F$2:$F$3520,K$7,Sales_Data!$AE$2:$AE$3520,1),SUMIFS(Sales_Data!$N$2:$N$3520,Sales_Data!$C$2:$C$3520,$A21,Sales_Data!$F$2:$F$3520,K$7,Sales_Data!$AE$2:$AE$3520,1),SUMIFS(Sales_Data!$AE$2:$AE$3520,Sales_Data!$C$2:$C$3520,$A21,Sales_Data!$F$2:$F$3520,K$7)))</f>
        <v>0</v>
      </c>
      <c r="L21" s="26" t="n">
        <f aca="false">IF(L$7="","",CHOOSE(MATCH($B$4,Lists!$C$2:$C$5,0),SUMIFS(Sales_Data!$O$2:$O$3520,Sales_Data!$C$2:$C$3520,$A21,Sales_Data!$F$2:$F$3520,L$7,Sales_Data!$AE$2:$AE$3520,1),SUMIFS(Sales_Data!$M$2:$M$3520,Sales_Data!$C$2:$C$3520,$A21,Sales_Data!$F$2:$F$3520,L$7,Sales_Data!$AE$2:$AE$3520,1),SUMIFS(Sales_Data!$N$2:$N$3520,Sales_Data!$C$2:$C$3520,$A21,Sales_Data!$F$2:$F$3520,L$7,Sales_Data!$AE$2:$AE$3520,1),SUMIFS(Sales_Data!$AE$2:$AE$3520,Sales_Data!$C$2:$C$3520,$A21,Sales_Data!$F$2:$F$3520,L$7)))</f>
        <v>0</v>
      </c>
      <c r="M21" s="26" t="n">
        <f aca="false">IF(M$7="","",CHOOSE(MATCH($B$4,Lists!$C$2:$C$5,0),SUMIFS(Sales_Data!$O$2:$O$3520,Sales_Data!$C$2:$C$3520,$A21,Sales_Data!$F$2:$F$3520,M$7,Sales_Data!$AE$2:$AE$3520,1),SUMIFS(Sales_Data!$M$2:$M$3520,Sales_Data!$C$2:$C$3520,$A21,Sales_Data!$F$2:$F$3520,M$7,Sales_Data!$AE$2:$AE$3520,1),SUMIFS(Sales_Data!$N$2:$N$3520,Sales_Data!$C$2:$C$3520,$A21,Sales_Data!$F$2:$F$3520,M$7,Sales_Data!$AE$2:$AE$3520,1),SUMIFS(Sales_Data!$AE$2:$AE$3520,Sales_Data!$C$2:$C$3520,$A21,Sales_Data!$F$2:$F$3520,M$7)))</f>
        <v>0</v>
      </c>
      <c r="N21" s="26" t="n">
        <f aca="false">IF(N$7="","",CHOOSE(MATCH($B$4,Lists!$C$2:$C$5,0),SUMIFS(Sales_Data!$O$2:$O$3520,Sales_Data!$C$2:$C$3520,$A21,Sales_Data!$F$2:$F$3520,N$7,Sales_Data!$AE$2:$AE$3520,1),SUMIFS(Sales_Data!$M$2:$M$3520,Sales_Data!$C$2:$C$3520,$A21,Sales_Data!$F$2:$F$3520,N$7,Sales_Data!$AE$2:$AE$3520,1),SUMIFS(Sales_Data!$N$2:$N$3520,Sales_Data!$C$2:$C$3520,$A21,Sales_Data!$F$2:$F$3520,N$7,Sales_Data!$AE$2:$AE$3520,1),SUMIFS(Sales_Data!$AE$2:$AE$3520,Sales_Data!$C$2:$C$3520,$A21,Sales_Data!$F$2:$F$3520,N$7)))</f>
        <v>0</v>
      </c>
      <c r="O21" s="26" t="n">
        <f aca="false">IF(O$7="","",CHOOSE(MATCH($B$4,Lists!$C$2:$C$5,0),SUMIFS(Sales_Data!$O$2:$O$3520,Sales_Data!$C$2:$C$3520,$A21,Sales_Data!$F$2:$F$3520,O$7,Sales_Data!$AE$2:$AE$3520,1),SUMIFS(Sales_Data!$M$2:$M$3520,Sales_Data!$C$2:$C$3520,$A21,Sales_Data!$F$2:$F$3520,O$7,Sales_Data!$AE$2:$AE$3520,1),SUMIFS(Sales_Data!$N$2:$N$3520,Sales_Data!$C$2:$C$3520,$A21,Sales_Data!$F$2:$F$3520,O$7,Sales_Data!$AE$2:$AE$3520,1),SUMIFS(Sales_Data!$AE$2:$AE$3520,Sales_Data!$C$2:$C$3520,$A21,Sales_Data!$F$2:$F$3520,O$7)))</f>
        <v>0</v>
      </c>
      <c r="P21" s="26" t="n">
        <f aca="false">IF(P$7="","",CHOOSE(MATCH($B$4,Lists!$C$2:$C$5,0),SUMIFS(Sales_Data!$O$2:$O$3520,Sales_Data!$C$2:$C$3520,$A21,Sales_Data!$F$2:$F$3520,P$7,Sales_Data!$AE$2:$AE$3520,1),SUMIFS(Sales_Data!$M$2:$M$3520,Sales_Data!$C$2:$C$3520,$A21,Sales_Data!$F$2:$F$3520,P$7,Sales_Data!$AE$2:$AE$3520,1),SUMIFS(Sales_Data!$N$2:$N$3520,Sales_Data!$C$2:$C$3520,$A21,Sales_Data!$F$2:$F$3520,P$7,Sales_Data!$AE$2:$AE$3520,1),SUMIFS(Sales_Data!$AE$2:$AE$3520,Sales_Data!$C$2:$C$3520,$A21,Sales_Data!$F$2:$F$3520,P$7)))</f>
        <v>0</v>
      </c>
      <c r="Q21" s="26" t="n">
        <f aca="false">IF(Q$7="","",CHOOSE(MATCH($B$4,Lists!$C$2:$C$5,0),SUMIFS(Sales_Data!$O$2:$O$3520,Sales_Data!$C$2:$C$3520,$A21,Sales_Data!$F$2:$F$3520,Q$7,Sales_Data!$AE$2:$AE$3520,1),SUMIFS(Sales_Data!$M$2:$M$3520,Sales_Data!$C$2:$C$3520,$A21,Sales_Data!$F$2:$F$3520,Q$7,Sales_Data!$AE$2:$AE$3520,1),SUMIFS(Sales_Data!$N$2:$N$3520,Sales_Data!$C$2:$C$3520,$A21,Sales_Data!$F$2:$F$3520,Q$7,Sales_Data!$AE$2:$AE$3520,1),SUMIFS(Sales_Data!$AE$2:$AE$3520,Sales_Data!$C$2:$C$3520,$A21,Sales_Data!$F$2:$F$3520,Q$7)))</f>
        <v>0</v>
      </c>
      <c r="R21" s="26" t="n">
        <f aca="false">IF(R$7="","",CHOOSE(MATCH($B$4,Lists!$C$2:$C$5,0),SUMIFS(Sales_Data!$O$2:$O$3520,Sales_Data!$C$2:$C$3520,$A21,Sales_Data!$F$2:$F$3520,R$7,Sales_Data!$AE$2:$AE$3520,1),SUMIFS(Sales_Data!$M$2:$M$3520,Sales_Data!$C$2:$C$3520,$A21,Sales_Data!$F$2:$F$3520,R$7,Sales_Data!$AE$2:$AE$3520,1),SUMIFS(Sales_Data!$N$2:$N$3520,Sales_Data!$C$2:$C$3520,$A21,Sales_Data!$F$2:$F$3520,R$7,Sales_Data!$AE$2:$AE$3520,1),SUMIFS(Sales_Data!$AE$2:$AE$3520,Sales_Data!$C$2:$C$3520,$A21,Sales_Data!$F$2:$F$3520,R$7)))</f>
        <v>0</v>
      </c>
      <c r="S21" s="26" t="n">
        <f aca="false">IF(S$7="","",CHOOSE(MATCH($B$4,Lists!$C$2:$C$5,0),SUMIFS(Sales_Data!$O$2:$O$3520,Sales_Data!$C$2:$C$3520,$A21,Sales_Data!$F$2:$F$3520,S$7,Sales_Data!$AE$2:$AE$3520,1),SUMIFS(Sales_Data!$M$2:$M$3520,Sales_Data!$C$2:$C$3520,$A21,Sales_Data!$F$2:$F$3520,S$7,Sales_Data!$AE$2:$AE$3520,1),SUMIFS(Sales_Data!$N$2:$N$3520,Sales_Data!$C$2:$C$3520,$A21,Sales_Data!$F$2:$F$3520,S$7,Sales_Data!$AE$2:$AE$3520,1),SUMIFS(Sales_Data!$AE$2:$AE$3520,Sales_Data!$C$2:$C$3520,$A21,Sales_Data!$F$2:$F$3520,S$7)))</f>
        <v>0</v>
      </c>
      <c r="T21" s="26" t="str">
        <f aca="false">IF(T$7="","",CHOOSE(MATCH($B$4,Lists!$C$2:$C$5,0),SUMIFS(Sales_Data!$O$2:$O$3520,Sales_Data!$C$2:$C$3520,$A21,Sales_Data!$F$2:$F$3520,T$7,Sales_Data!$AE$2:$AE$3520,1),SUMIFS(Sales_Data!$M$2:$M$3520,Sales_Data!$C$2:$C$3520,$A21,Sales_Data!$F$2:$F$3520,T$7,Sales_Data!$AE$2:$AE$3520,1),SUMIFS(Sales_Data!$N$2:$N$3520,Sales_Data!$C$2:$C$3520,$A21,Sales_Data!$F$2:$F$3520,T$7,Sales_Data!$AE$2:$AE$3520,1),SUMIFS(Sales_Data!$AE$2:$AE$3520,Sales_Data!$C$2:$C$3520,$A21,Sales_Data!$F$2:$F$3520,T$7)))</f>
        <v/>
      </c>
      <c r="U21" s="26" t="str">
        <f aca="false">IF(U$7="","",CHOOSE(MATCH($B$4,Lists!$C$2:$C$5,0),SUMIFS(Sales_Data!$O$2:$O$3520,Sales_Data!$C$2:$C$3520,$A21,Sales_Data!$F$2:$F$3520,U$7,Sales_Data!$AE$2:$AE$3520,1),SUMIFS(Sales_Data!$M$2:$M$3520,Sales_Data!$C$2:$C$3520,$A21,Sales_Data!$F$2:$F$3520,U$7,Sales_Data!$AE$2:$AE$3520,1),SUMIFS(Sales_Data!$N$2:$N$3520,Sales_Data!$C$2:$C$3520,$A21,Sales_Data!$F$2:$F$3520,U$7,Sales_Data!$AE$2:$AE$3520,1),SUMIFS(Sales_Data!$AE$2:$AE$3520,Sales_Data!$C$2:$C$3520,$A21,Sales_Data!$F$2:$F$3520,U$7)))</f>
        <v/>
      </c>
      <c r="V21" s="26" t="str">
        <f aca="false">IF(V$7="","",CHOOSE(MATCH($B$4,Lists!$C$2:$C$5,0),SUMIFS(Sales_Data!$O$2:$O$3520,Sales_Data!$C$2:$C$3520,$A21,Sales_Data!$F$2:$F$3520,V$7,Sales_Data!$AE$2:$AE$3520,1),SUMIFS(Sales_Data!$M$2:$M$3520,Sales_Data!$C$2:$C$3520,$A21,Sales_Data!$F$2:$F$3520,V$7,Sales_Data!$AE$2:$AE$3520,1),SUMIFS(Sales_Data!$N$2:$N$3520,Sales_Data!$C$2:$C$3520,$A21,Sales_Data!$F$2:$F$3520,V$7,Sales_Data!$AE$2:$AE$3520,1),SUMIFS(Sales_Data!$AE$2:$AE$3520,Sales_Data!$C$2:$C$3520,$A21,Sales_Data!$F$2:$F$3520,V$7)))</f>
        <v/>
      </c>
      <c r="W21" s="26" t="str">
        <f aca="false">IF(W$7="","",CHOOSE(MATCH($B$4,Lists!$C$2:$C$5,0),SUMIFS(Sales_Data!$O$2:$O$3520,Sales_Data!$C$2:$C$3520,$A21,Sales_Data!$F$2:$F$3520,W$7,Sales_Data!$AE$2:$AE$3520,1),SUMIFS(Sales_Data!$M$2:$M$3520,Sales_Data!$C$2:$C$3520,$A21,Sales_Data!$F$2:$F$3520,W$7,Sales_Data!$AE$2:$AE$3520,1),SUMIFS(Sales_Data!$N$2:$N$3520,Sales_Data!$C$2:$C$3520,$A21,Sales_Data!$F$2:$F$3520,W$7,Sales_Data!$AE$2:$AE$3520,1),SUMIFS(Sales_Data!$AE$2:$AE$3520,Sales_Data!$C$2:$C$3520,$A21,Sales_Data!$F$2:$F$3520,W$7)))</f>
        <v/>
      </c>
      <c r="X21" s="26" t="str">
        <f aca="false">IF(X$7="","",CHOOSE(MATCH($B$4,Lists!$C$2:$C$5,0),SUMIFS(Sales_Data!$O$2:$O$3520,Sales_Data!$C$2:$C$3520,$A21,Sales_Data!$F$2:$F$3520,X$7,Sales_Data!$AE$2:$AE$3520,1),SUMIFS(Sales_Data!$M$2:$M$3520,Sales_Data!$C$2:$C$3520,$A21,Sales_Data!$F$2:$F$3520,X$7,Sales_Data!$AE$2:$AE$3520,1),SUMIFS(Sales_Data!$N$2:$N$3520,Sales_Data!$C$2:$C$3520,$A21,Sales_Data!$F$2:$F$3520,X$7,Sales_Data!$AE$2:$AE$3520,1),SUMIFS(Sales_Data!$AE$2:$AE$3520,Sales_Data!$C$2:$C$3520,$A21,Sales_Data!$F$2:$F$3520,X$7)))</f>
        <v/>
      </c>
      <c r="Y21" s="26" t="str">
        <f aca="false">IF(Y$7="","",CHOOSE(MATCH($B$4,Lists!$C$2:$C$5,0),SUMIFS(Sales_Data!$O$2:$O$3520,Sales_Data!$C$2:$C$3520,$A21,Sales_Data!$F$2:$F$3520,Y$7,Sales_Data!$AE$2:$AE$3520,1),SUMIFS(Sales_Data!$M$2:$M$3520,Sales_Data!$C$2:$C$3520,$A21,Sales_Data!$F$2:$F$3520,Y$7,Sales_Data!$AE$2:$AE$3520,1),SUMIFS(Sales_Data!$N$2:$N$3520,Sales_Data!$C$2:$C$3520,$A21,Sales_Data!$F$2:$F$3520,Y$7,Sales_Data!$AE$2:$AE$3520,1),SUMIFS(Sales_Data!$AE$2:$AE$3520,Sales_Data!$C$2:$C$3520,$A21,Sales_Data!$F$2:$F$3520,Y$7)))</f>
        <v/>
      </c>
      <c r="Z21" s="26" t="str">
        <f aca="false">IF(Z$7="","",CHOOSE(MATCH($B$4,Lists!$C$2:$C$5,0),SUMIFS(Sales_Data!$O$2:$O$3520,Sales_Data!$C$2:$C$3520,$A21,Sales_Data!$F$2:$F$3520,Z$7,Sales_Data!$AE$2:$AE$3520,1),SUMIFS(Sales_Data!$M$2:$M$3520,Sales_Data!$C$2:$C$3520,$A21,Sales_Data!$F$2:$F$3520,Z$7,Sales_Data!$AE$2:$AE$3520,1),SUMIFS(Sales_Data!$N$2:$N$3520,Sales_Data!$C$2:$C$3520,$A21,Sales_Data!$F$2:$F$3520,Z$7,Sales_Data!$AE$2:$AE$3520,1),SUMIFS(Sales_Data!$AE$2:$AE$3520,Sales_Data!$C$2:$C$3520,$A21,Sales_Data!$F$2:$F$3520,Z$7)))</f>
        <v/>
      </c>
      <c r="AA21" s="27" t="n">
        <f aca="false">SUM(B21:Z21)</f>
        <v>0</v>
      </c>
      <c r="AB21" s="3"/>
      <c r="AC21" s="72" t="n">
        <f aca="false">A21</f>
        <v>46228</v>
      </c>
      <c r="AD21" s="28" t="n">
        <f aca="false">IF(B21="","",B21-B20)</f>
        <v>0</v>
      </c>
      <c r="AE21" s="28" t="n">
        <f aca="false">IF(C21="","",C21-C20)</f>
        <v>0</v>
      </c>
      <c r="AF21" s="28" t="n">
        <f aca="false">IF(D21="","",D21-D20)</f>
        <v>0</v>
      </c>
      <c r="AG21" s="28" t="n">
        <f aca="false">IF(E21="","",E21-E20)</f>
        <v>0</v>
      </c>
      <c r="AH21" s="28" t="n">
        <f aca="false">IF(F21="","",F21-F20)</f>
        <v>0</v>
      </c>
      <c r="AI21" s="28" t="n">
        <f aca="false">IF(G21="","",G21-G20)</f>
        <v>0</v>
      </c>
      <c r="AJ21" s="28" t="n">
        <f aca="false">IF(H21="","",H21-H20)</f>
        <v>0</v>
      </c>
      <c r="AK21" s="28" t="n">
        <f aca="false">IF(I21="","",I21-I20)</f>
        <v>0</v>
      </c>
      <c r="AL21" s="28" t="n">
        <f aca="false">IF(J21="","",J21-J20)</f>
        <v>0</v>
      </c>
      <c r="AM21" s="28" t="n">
        <f aca="false">IF(K21="","",K21-K20)</f>
        <v>0</v>
      </c>
      <c r="AN21" s="28" t="n">
        <f aca="false">IF(L21="","",L21-L20)</f>
        <v>0</v>
      </c>
      <c r="AO21" s="28" t="n">
        <f aca="false">IF(M21="","",M21-M20)</f>
        <v>0</v>
      </c>
      <c r="AP21" s="28" t="n">
        <f aca="false">IF(N21="","",N21-N20)</f>
        <v>0</v>
      </c>
      <c r="AQ21" s="28" t="n">
        <f aca="false">IF(O21="","",O21-O20)</f>
        <v>0</v>
      </c>
      <c r="AR21" s="28" t="n">
        <f aca="false">IF(P21="","",P21-P20)</f>
        <v>0</v>
      </c>
      <c r="AS21" s="28" t="n">
        <f aca="false">IF(Q21="","",Q21-Q20)</f>
        <v>0</v>
      </c>
      <c r="AT21" s="28" t="n">
        <f aca="false">IF(R21="","",R21-R20)</f>
        <v>0</v>
      </c>
      <c r="AU21" s="28" t="n">
        <f aca="false">IF(S21="","",S21-S20)</f>
        <v>0</v>
      </c>
      <c r="AV21" s="28" t="str">
        <f aca="false">IF(T21="","",T21-T20)</f>
        <v/>
      </c>
      <c r="AW21" s="28" t="str">
        <f aca="false">IF(U21="","",U21-U20)</f>
        <v/>
      </c>
      <c r="AX21" s="28" t="str">
        <f aca="false">IF(V21="","",V21-V20)</f>
        <v/>
      </c>
      <c r="AY21" s="28" t="str">
        <f aca="false">IF(W21="","",W21-W20)</f>
        <v/>
      </c>
      <c r="AZ21" s="28" t="str">
        <f aca="false">IF(X21="","",X21-X20)</f>
        <v/>
      </c>
      <c r="BA21" s="28" t="str">
        <f aca="false">IF(Y21="","",Y21-Y20)</f>
        <v/>
      </c>
      <c r="BB21" s="28" t="str">
        <f aca="false">IF(Z21="","",Z21-Z20)</f>
        <v/>
      </c>
      <c r="BC21" s="28" t="n">
        <f aca="false">IF(AA21="","",AA21-AA20)</f>
        <v>0</v>
      </c>
    </row>
    <row r="22" customFormat="false" ht="15" hidden="false" customHeight="false" outlineLevel="0" collapsed="false">
      <c r="A22" s="72" t="n">
        <v>46229</v>
      </c>
      <c r="B22" s="26" t="n">
        <f aca="false">IF(B$7="","",CHOOSE(MATCH($B$4,Lists!$C$2:$C$5,0),SUMIFS(Sales_Data!$O$2:$O$3520,Sales_Data!$C$2:$C$3520,$A22,Sales_Data!$F$2:$F$3520,B$7,Sales_Data!$AE$2:$AE$3520,1),SUMIFS(Sales_Data!$M$2:$M$3520,Sales_Data!$C$2:$C$3520,$A22,Sales_Data!$F$2:$F$3520,B$7,Sales_Data!$AE$2:$AE$3520,1),SUMIFS(Sales_Data!$N$2:$N$3520,Sales_Data!$C$2:$C$3520,$A22,Sales_Data!$F$2:$F$3520,B$7,Sales_Data!$AE$2:$AE$3520,1),SUMIFS(Sales_Data!$AE$2:$AE$3520,Sales_Data!$C$2:$C$3520,$A22,Sales_Data!$F$2:$F$3520,B$7)))</f>
        <v>0</v>
      </c>
      <c r="C22" s="26" t="n">
        <f aca="false">IF(C$7="","",CHOOSE(MATCH($B$4,Lists!$C$2:$C$5,0),SUMIFS(Sales_Data!$O$2:$O$3520,Sales_Data!$C$2:$C$3520,$A22,Sales_Data!$F$2:$F$3520,C$7,Sales_Data!$AE$2:$AE$3520,1),SUMIFS(Sales_Data!$M$2:$M$3520,Sales_Data!$C$2:$C$3520,$A22,Sales_Data!$F$2:$F$3520,C$7,Sales_Data!$AE$2:$AE$3520,1),SUMIFS(Sales_Data!$N$2:$N$3520,Sales_Data!$C$2:$C$3520,$A22,Sales_Data!$F$2:$F$3520,C$7,Sales_Data!$AE$2:$AE$3520,1),SUMIFS(Sales_Data!$AE$2:$AE$3520,Sales_Data!$C$2:$C$3520,$A22,Sales_Data!$F$2:$F$3520,C$7)))</f>
        <v>0</v>
      </c>
      <c r="D22" s="26" t="n">
        <f aca="false">IF(D$7="","",CHOOSE(MATCH($B$4,Lists!$C$2:$C$5,0),SUMIFS(Sales_Data!$O$2:$O$3520,Sales_Data!$C$2:$C$3520,$A22,Sales_Data!$F$2:$F$3520,D$7,Sales_Data!$AE$2:$AE$3520,1),SUMIFS(Sales_Data!$M$2:$M$3520,Sales_Data!$C$2:$C$3520,$A22,Sales_Data!$F$2:$F$3520,D$7,Sales_Data!$AE$2:$AE$3520,1),SUMIFS(Sales_Data!$N$2:$N$3520,Sales_Data!$C$2:$C$3520,$A22,Sales_Data!$F$2:$F$3520,D$7,Sales_Data!$AE$2:$AE$3520,1),SUMIFS(Sales_Data!$AE$2:$AE$3520,Sales_Data!$C$2:$C$3520,$A22,Sales_Data!$F$2:$F$3520,D$7)))</f>
        <v>0</v>
      </c>
      <c r="E22" s="26" t="n">
        <f aca="false">IF(E$7="","",CHOOSE(MATCH($B$4,Lists!$C$2:$C$5,0),SUMIFS(Sales_Data!$O$2:$O$3520,Sales_Data!$C$2:$C$3520,$A22,Sales_Data!$F$2:$F$3520,E$7,Sales_Data!$AE$2:$AE$3520,1),SUMIFS(Sales_Data!$M$2:$M$3520,Sales_Data!$C$2:$C$3520,$A22,Sales_Data!$F$2:$F$3520,E$7,Sales_Data!$AE$2:$AE$3520,1),SUMIFS(Sales_Data!$N$2:$N$3520,Sales_Data!$C$2:$C$3520,$A22,Sales_Data!$F$2:$F$3520,E$7,Sales_Data!$AE$2:$AE$3520,1),SUMIFS(Sales_Data!$AE$2:$AE$3520,Sales_Data!$C$2:$C$3520,$A22,Sales_Data!$F$2:$F$3520,E$7)))</f>
        <v>0</v>
      </c>
      <c r="F22" s="26" t="n">
        <f aca="false">IF(F$7="","",CHOOSE(MATCH($B$4,Lists!$C$2:$C$5,0),SUMIFS(Sales_Data!$O$2:$O$3520,Sales_Data!$C$2:$C$3520,$A22,Sales_Data!$F$2:$F$3520,F$7,Sales_Data!$AE$2:$AE$3520,1),SUMIFS(Sales_Data!$M$2:$M$3520,Sales_Data!$C$2:$C$3520,$A22,Sales_Data!$F$2:$F$3520,F$7,Sales_Data!$AE$2:$AE$3520,1),SUMIFS(Sales_Data!$N$2:$N$3520,Sales_Data!$C$2:$C$3520,$A22,Sales_Data!$F$2:$F$3520,F$7,Sales_Data!$AE$2:$AE$3520,1),SUMIFS(Sales_Data!$AE$2:$AE$3520,Sales_Data!$C$2:$C$3520,$A22,Sales_Data!$F$2:$F$3520,F$7)))</f>
        <v>0</v>
      </c>
      <c r="G22" s="26" t="n">
        <f aca="false">IF(G$7="","",CHOOSE(MATCH($B$4,Lists!$C$2:$C$5,0),SUMIFS(Sales_Data!$O$2:$O$3520,Sales_Data!$C$2:$C$3520,$A22,Sales_Data!$F$2:$F$3520,G$7,Sales_Data!$AE$2:$AE$3520,1),SUMIFS(Sales_Data!$M$2:$M$3520,Sales_Data!$C$2:$C$3520,$A22,Sales_Data!$F$2:$F$3520,G$7,Sales_Data!$AE$2:$AE$3520,1),SUMIFS(Sales_Data!$N$2:$N$3520,Sales_Data!$C$2:$C$3520,$A22,Sales_Data!$F$2:$F$3520,G$7,Sales_Data!$AE$2:$AE$3520,1),SUMIFS(Sales_Data!$AE$2:$AE$3520,Sales_Data!$C$2:$C$3520,$A22,Sales_Data!$F$2:$F$3520,G$7)))</f>
        <v>0</v>
      </c>
      <c r="H22" s="26" t="n">
        <f aca="false">IF(H$7="","",CHOOSE(MATCH($B$4,Lists!$C$2:$C$5,0),SUMIFS(Sales_Data!$O$2:$O$3520,Sales_Data!$C$2:$C$3520,$A22,Sales_Data!$F$2:$F$3520,H$7,Sales_Data!$AE$2:$AE$3520,1),SUMIFS(Sales_Data!$M$2:$M$3520,Sales_Data!$C$2:$C$3520,$A22,Sales_Data!$F$2:$F$3520,H$7,Sales_Data!$AE$2:$AE$3520,1),SUMIFS(Sales_Data!$N$2:$N$3520,Sales_Data!$C$2:$C$3520,$A22,Sales_Data!$F$2:$F$3520,H$7,Sales_Data!$AE$2:$AE$3520,1),SUMIFS(Sales_Data!$AE$2:$AE$3520,Sales_Data!$C$2:$C$3520,$A22,Sales_Data!$F$2:$F$3520,H$7)))</f>
        <v>0</v>
      </c>
      <c r="I22" s="26" t="n">
        <f aca="false">IF(I$7="","",CHOOSE(MATCH($B$4,Lists!$C$2:$C$5,0),SUMIFS(Sales_Data!$O$2:$O$3520,Sales_Data!$C$2:$C$3520,$A22,Sales_Data!$F$2:$F$3520,I$7,Sales_Data!$AE$2:$AE$3520,1),SUMIFS(Sales_Data!$M$2:$M$3520,Sales_Data!$C$2:$C$3520,$A22,Sales_Data!$F$2:$F$3520,I$7,Sales_Data!$AE$2:$AE$3520,1),SUMIFS(Sales_Data!$N$2:$N$3520,Sales_Data!$C$2:$C$3520,$A22,Sales_Data!$F$2:$F$3520,I$7,Sales_Data!$AE$2:$AE$3520,1),SUMIFS(Sales_Data!$AE$2:$AE$3520,Sales_Data!$C$2:$C$3520,$A22,Sales_Data!$F$2:$F$3520,I$7)))</f>
        <v>0</v>
      </c>
      <c r="J22" s="26" t="n">
        <f aca="false">IF(J$7="","",CHOOSE(MATCH($B$4,Lists!$C$2:$C$5,0),SUMIFS(Sales_Data!$O$2:$O$3520,Sales_Data!$C$2:$C$3520,$A22,Sales_Data!$F$2:$F$3520,J$7,Sales_Data!$AE$2:$AE$3520,1),SUMIFS(Sales_Data!$M$2:$M$3520,Sales_Data!$C$2:$C$3520,$A22,Sales_Data!$F$2:$F$3520,J$7,Sales_Data!$AE$2:$AE$3520,1),SUMIFS(Sales_Data!$N$2:$N$3520,Sales_Data!$C$2:$C$3520,$A22,Sales_Data!$F$2:$F$3520,J$7,Sales_Data!$AE$2:$AE$3520,1),SUMIFS(Sales_Data!$AE$2:$AE$3520,Sales_Data!$C$2:$C$3520,$A22,Sales_Data!$F$2:$F$3520,J$7)))</f>
        <v>0</v>
      </c>
      <c r="K22" s="26" t="n">
        <f aca="false">IF(K$7="","",CHOOSE(MATCH($B$4,Lists!$C$2:$C$5,0),SUMIFS(Sales_Data!$O$2:$O$3520,Sales_Data!$C$2:$C$3520,$A22,Sales_Data!$F$2:$F$3520,K$7,Sales_Data!$AE$2:$AE$3520,1),SUMIFS(Sales_Data!$M$2:$M$3520,Sales_Data!$C$2:$C$3520,$A22,Sales_Data!$F$2:$F$3520,K$7,Sales_Data!$AE$2:$AE$3520,1),SUMIFS(Sales_Data!$N$2:$N$3520,Sales_Data!$C$2:$C$3520,$A22,Sales_Data!$F$2:$F$3520,K$7,Sales_Data!$AE$2:$AE$3520,1),SUMIFS(Sales_Data!$AE$2:$AE$3520,Sales_Data!$C$2:$C$3520,$A22,Sales_Data!$F$2:$F$3520,K$7)))</f>
        <v>0</v>
      </c>
      <c r="L22" s="26" t="n">
        <f aca="false">IF(L$7="","",CHOOSE(MATCH($B$4,Lists!$C$2:$C$5,0),SUMIFS(Sales_Data!$O$2:$O$3520,Sales_Data!$C$2:$C$3520,$A22,Sales_Data!$F$2:$F$3520,L$7,Sales_Data!$AE$2:$AE$3520,1),SUMIFS(Sales_Data!$M$2:$M$3520,Sales_Data!$C$2:$C$3520,$A22,Sales_Data!$F$2:$F$3520,L$7,Sales_Data!$AE$2:$AE$3520,1),SUMIFS(Sales_Data!$N$2:$N$3520,Sales_Data!$C$2:$C$3520,$A22,Sales_Data!$F$2:$F$3520,L$7,Sales_Data!$AE$2:$AE$3520,1),SUMIFS(Sales_Data!$AE$2:$AE$3520,Sales_Data!$C$2:$C$3520,$A22,Sales_Data!$F$2:$F$3520,L$7)))</f>
        <v>0</v>
      </c>
      <c r="M22" s="26" t="n">
        <f aca="false">IF(M$7="","",CHOOSE(MATCH($B$4,Lists!$C$2:$C$5,0),SUMIFS(Sales_Data!$O$2:$O$3520,Sales_Data!$C$2:$C$3520,$A22,Sales_Data!$F$2:$F$3520,M$7,Sales_Data!$AE$2:$AE$3520,1),SUMIFS(Sales_Data!$M$2:$M$3520,Sales_Data!$C$2:$C$3520,$A22,Sales_Data!$F$2:$F$3520,M$7,Sales_Data!$AE$2:$AE$3520,1),SUMIFS(Sales_Data!$N$2:$N$3520,Sales_Data!$C$2:$C$3520,$A22,Sales_Data!$F$2:$F$3520,M$7,Sales_Data!$AE$2:$AE$3520,1),SUMIFS(Sales_Data!$AE$2:$AE$3520,Sales_Data!$C$2:$C$3520,$A22,Sales_Data!$F$2:$F$3520,M$7)))</f>
        <v>0</v>
      </c>
      <c r="N22" s="26" t="n">
        <f aca="false">IF(N$7="","",CHOOSE(MATCH($B$4,Lists!$C$2:$C$5,0),SUMIFS(Sales_Data!$O$2:$O$3520,Sales_Data!$C$2:$C$3520,$A22,Sales_Data!$F$2:$F$3520,N$7,Sales_Data!$AE$2:$AE$3520,1),SUMIFS(Sales_Data!$M$2:$M$3520,Sales_Data!$C$2:$C$3520,$A22,Sales_Data!$F$2:$F$3520,N$7,Sales_Data!$AE$2:$AE$3520,1),SUMIFS(Sales_Data!$N$2:$N$3520,Sales_Data!$C$2:$C$3520,$A22,Sales_Data!$F$2:$F$3520,N$7,Sales_Data!$AE$2:$AE$3520,1),SUMIFS(Sales_Data!$AE$2:$AE$3520,Sales_Data!$C$2:$C$3520,$A22,Sales_Data!$F$2:$F$3520,N$7)))</f>
        <v>0</v>
      </c>
      <c r="O22" s="26" t="n">
        <f aca="false">IF(O$7="","",CHOOSE(MATCH($B$4,Lists!$C$2:$C$5,0),SUMIFS(Sales_Data!$O$2:$O$3520,Sales_Data!$C$2:$C$3520,$A22,Sales_Data!$F$2:$F$3520,O$7,Sales_Data!$AE$2:$AE$3520,1),SUMIFS(Sales_Data!$M$2:$M$3520,Sales_Data!$C$2:$C$3520,$A22,Sales_Data!$F$2:$F$3520,O$7,Sales_Data!$AE$2:$AE$3520,1),SUMIFS(Sales_Data!$N$2:$N$3520,Sales_Data!$C$2:$C$3520,$A22,Sales_Data!$F$2:$F$3520,O$7,Sales_Data!$AE$2:$AE$3520,1),SUMIFS(Sales_Data!$AE$2:$AE$3520,Sales_Data!$C$2:$C$3520,$A22,Sales_Data!$F$2:$F$3520,O$7)))</f>
        <v>0</v>
      </c>
      <c r="P22" s="26" t="n">
        <f aca="false">IF(P$7="","",CHOOSE(MATCH($B$4,Lists!$C$2:$C$5,0),SUMIFS(Sales_Data!$O$2:$O$3520,Sales_Data!$C$2:$C$3520,$A22,Sales_Data!$F$2:$F$3520,P$7,Sales_Data!$AE$2:$AE$3520,1),SUMIFS(Sales_Data!$M$2:$M$3520,Sales_Data!$C$2:$C$3520,$A22,Sales_Data!$F$2:$F$3520,P$7,Sales_Data!$AE$2:$AE$3520,1),SUMIFS(Sales_Data!$N$2:$N$3520,Sales_Data!$C$2:$C$3520,$A22,Sales_Data!$F$2:$F$3520,P$7,Sales_Data!$AE$2:$AE$3520,1),SUMIFS(Sales_Data!$AE$2:$AE$3520,Sales_Data!$C$2:$C$3520,$A22,Sales_Data!$F$2:$F$3520,P$7)))</f>
        <v>0</v>
      </c>
      <c r="Q22" s="26" t="n">
        <f aca="false">IF(Q$7="","",CHOOSE(MATCH($B$4,Lists!$C$2:$C$5,0),SUMIFS(Sales_Data!$O$2:$O$3520,Sales_Data!$C$2:$C$3520,$A22,Sales_Data!$F$2:$F$3520,Q$7,Sales_Data!$AE$2:$AE$3520,1),SUMIFS(Sales_Data!$M$2:$M$3520,Sales_Data!$C$2:$C$3520,$A22,Sales_Data!$F$2:$F$3520,Q$7,Sales_Data!$AE$2:$AE$3520,1),SUMIFS(Sales_Data!$N$2:$N$3520,Sales_Data!$C$2:$C$3520,$A22,Sales_Data!$F$2:$F$3520,Q$7,Sales_Data!$AE$2:$AE$3520,1),SUMIFS(Sales_Data!$AE$2:$AE$3520,Sales_Data!$C$2:$C$3520,$A22,Sales_Data!$F$2:$F$3520,Q$7)))</f>
        <v>0</v>
      </c>
      <c r="R22" s="26" t="n">
        <f aca="false">IF(R$7="","",CHOOSE(MATCH($B$4,Lists!$C$2:$C$5,0),SUMIFS(Sales_Data!$O$2:$O$3520,Sales_Data!$C$2:$C$3520,$A22,Sales_Data!$F$2:$F$3520,R$7,Sales_Data!$AE$2:$AE$3520,1),SUMIFS(Sales_Data!$M$2:$M$3520,Sales_Data!$C$2:$C$3520,$A22,Sales_Data!$F$2:$F$3520,R$7,Sales_Data!$AE$2:$AE$3520,1),SUMIFS(Sales_Data!$N$2:$N$3520,Sales_Data!$C$2:$C$3520,$A22,Sales_Data!$F$2:$F$3520,R$7,Sales_Data!$AE$2:$AE$3520,1),SUMIFS(Sales_Data!$AE$2:$AE$3520,Sales_Data!$C$2:$C$3520,$A22,Sales_Data!$F$2:$F$3520,R$7)))</f>
        <v>0</v>
      </c>
      <c r="S22" s="26" t="n">
        <f aca="false">IF(S$7="","",CHOOSE(MATCH($B$4,Lists!$C$2:$C$5,0),SUMIFS(Sales_Data!$O$2:$O$3520,Sales_Data!$C$2:$C$3520,$A22,Sales_Data!$F$2:$F$3520,S$7,Sales_Data!$AE$2:$AE$3520,1),SUMIFS(Sales_Data!$M$2:$M$3520,Sales_Data!$C$2:$C$3520,$A22,Sales_Data!$F$2:$F$3520,S$7,Sales_Data!$AE$2:$AE$3520,1),SUMIFS(Sales_Data!$N$2:$N$3520,Sales_Data!$C$2:$C$3520,$A22,Sales_Data!$F$2:$F$3520,S$7,Sales_Data!$AE$2:$AE$3520,1),SUMIFS(Sales_Data!$AE$2:$AE$3520,Sales_Data!$C$2:$C$3520,$A22,Sales_Data!$F$2:$F$3520,S$7)))</f>
        <v>0</v>
      </c>
      <c r="T22" s="26" t="str">
        <f aca="false">IF(T$7="","",CHOOSE(MATCH($B$4,Lists!$C$2:$C$5,0),SUMIFS(Sales_Data!$O$2:$O$3520,Sales_Data!$C$2:$C$3520,$A22,Sales_Data!$F$2:$F$3520,T$7,Sales_Data!$AE$2:$AE$3520,1),SUMIFS(Sales_Data!$M$2:$M$3520,Sales_Data!$C$2:$C$3520,$A22,Sales_Data!$F$2:$F$3520,T$7,Sales_Data!$AE$2:$AE$3520,1),SUMIFS(Sales_Data!$N$2:$N$3520,Sales_Data!$C$2:$C$3520,$A22,Sales_Data!$F$2:$F$3520,T$7,Sales_Data!$AE$2:$AE$3520,1),SUMIFS(Sales_Data!$AE$2:$AE$3520,Sales_Data!$C$2:$C$3520,$A22,Sales_Data!$F$2:$F$3520,T$7)))</f>
        <v/>
      </c>
      <c r="U22" s="26" t="str">
        <f aca="false">IF(U$7="","",CHOOSE(MATCH($B$4,Lists!$C$2:$C$5,0),SUMIFS(Sales_Data!$O$2:$O$3520,Sales_Data!$C$2:$C$3520,$A22,Sales_Data!$F$2:$F$3520,U$7,Sales_Data!$AE$2:$AE$3520,1),SUMIFS(Sales_Data!$M$2:$M$3520,Sales_Data!$C$2:$C$3520,$A22,Sales_Data!$F$2:$F$3520,U$7,Sales_Data!$AE$2:$AE$3520,1),SUMIFS(Sales_Data!$N$2:$N$3520,Sales_Data!$C$2:$C$3520,$A22,Sales_Data!$F$2:$F$3520,U$7,Sales_Data!$AE$2:$AE$3520,1),SUMIFS(Sales_Data!$AE$2:$AE$3520,Sales_Data!$C$2:$C$3520,$A22,Sales_Data!$F$2:$F$3520,U$7)))</f>
        <v/>
      </c>
      <c r="V22" s="26" t="str">
        <f aca="false">IF(V$7="","",CHOOSE(MATCH($B$4,Lists!$C$2:$C$5,0),SUMIFS(Sales_Data!$O$2:$O$3520,Sales_Data!$C$2:$C$3520,$A22,Sales_Data!$F$2:$F$3520,V$7,Sales_Data!$AE$2:$AE$3520,1),SUMIFS(Sales_Data!$M$2:$M$3520,Sales_Data!$C$2:$C$3520,$A22,Sales_Data!$F$2:$F$3520,V$7,Sales_Data!$AE$2:$AE$3520,1),SUMIFS(Sales_Data!$N$2:$N$3520,Sales_Data!$C$2:$C$3520,$A22,Sales_Data!$F$2:$F$3520,V$7,Sales_Data!$AE$2:$AE$3520,1),SUMIFS(Sales_Data!$AE$2:$AE$3520,Sales_Data!$C$2:$C$3520,$A22,Sales_Data!$F$2:$F$3520,V$7)))</f>
        <v/>
      </c>
      <c r="W22" s="26" t="str">
        <f aca="false">IF(W$7="","",CHOOSE(MATCH($B$4,Lists!$C$2:$C$5,0),SUMIFS(Sales_Data!$O$2:$O$3520,Sales_Data!$C$2:$C$3520,$A22,Sales_Data!$F$2:$F$3520,W$7,Sales_Data!$AE$2:$AE$3520,1),SUMIFS(Sales_Data!$M$2:$M$3520,Sales_Data!$C$2:$C$3520,$A22,Sales_Data!$F$2:$F$3520,W$7,Sales_Data!$AE$2:$AE$3520,1),SUMIFS(Sales_Data!$N$2:$N$3520,Sales_Data!$C$2:$C$3520,$A22,Sales_Data!$F$2:$F$3520,W$7,Sales_Data!$AE$2:$AE$3520,1),SUMIFS(Sales_Data!$AE$2:$AE$3520,Sales_Data!$C$2:$C$3520,$A22,Sales_Data!$F$2:$F$3520,W$7)))</f>
        <v/>
      </c>
      <c r="X22" s="26" t="str">
        <f aca="false">IF(X$7="","",CHOOSE(MATCH($B$4,Lists!$C$2:$C$5,0),SUMIFS(Sales_Data!$O$2:$O$3520,Sales_Data!$C$2:$C$3520,$A22,Sales_Data!$F$2:$F$3520,X$7,Sales_Data!$AE$2:$AE$3520,1),SUMIFS(Sales_Data!$M$2:$M$3520,Sales_Data!$C$2:$C$3520,$A22,Sales_Data!$F$2:$F$3520,X$7,Sales_Data!$AE$2:$AE$3520,1),SUMIFS(Sales_Data!$N$2:$N$3520,Sales_Data!$C$2:$C$3520,$A22,Sales_Data!$F$2:$F$3520,X$7,Sales_Data!$AE$2:$AE$3520,1),SUMIFS(Sales_Data!$AE$2:$AE$3520,Sales_Data!$C$2:$C$3520,$A22,Sales_Data!$F$2:$F$3520,X$7)))</f>
        <v/>
      </c>
      <c r="Y22" s="26" t="str">
        <f aca="false">IF(Y$7="","",CHOOSE(MATCH($B$4,Lists!$C$2:$C$5,0),SUMIFS(Sales_Data!$O$2:$O$3520,Sales_Data!$C$2:$C$3520,$A22,Sales_Data!$F$2:$F$3520,Y$7,Sales_Data!$AE$2:$AE$3520,1),SUMIFS(Sales_Data!$M$2:$M$3520,Sales_Data!$C$2:$C$3520,$A22,Sales_Data!$F$2:$F$3520,Y$7,Sales_Data!$AE$2:$AE$3520,1),SUMIFS(Sales_Data!$N$2:$N$3520,Sales_Data!$C$2:$C$3520,$A22,Sales_Data!$F$2:$F$3520,Y$7,Sales_Data!$AE$2:$AE$3520,1),SUMIFS(Sales_Data!$AE$2:$AE$3520,Sales_Data!$C$2:$C$3520,$A22,Sales_Data!$F$2:$F$3520,Y$7)))</f>
        <v/>
      </c>
      <c r="Z22" s="26" t="str">
        <f aca="false">IF(Z$7="","",CHOOSE(MATCH($B$4,Lists!$C$2:$C$5,0),SUMIFS(Sales_Data!$O$2:$O$3520,Sales_Data!$C$2:$C$3520,$A22,Sales_Data!$F$2:$F$3520,Z$7,Sales_Data!$AE$2:$AE$3520,1),SUMIFS(Sales_Data!$M$2:$M$3520,Sales_Data!$C$2:$C$3520,$A22,Sales_Data!$F$2:$F$3520,Z$7,Sales_Data!$AE$2:$AE$3520,1),SUMIFS(Sales_Data!$N$2:$N$3520,Sales_Data!$C$2:$C$3520,$A22,Sales_Data!$F$2:$F$3520,Z$7,Sales_Data!$AE$2:$AE$3520,1),SUMIFS(Sales_Data!$AE$2:$AE$3520,Sales_Data!$C$2:$C$3520,$A22,Sales_Data!$F$2:$F$3520,Z$7)))</f>
        <v/>
      </c>
      <c r="AA22" s="27" t="n">
        <f aca="false">SUM(B22:Z22)</f>
        <v>0</v>
      </c>
      <c r="AB22" s="3"/>
      <c r="AC22" s="72" t="n">
        <f aca="false">A22</f>
        <v>46229</v>
      </c>
      <c r="AD22" s="28" t="n">
        <f aca="false">IF(B22="","",B22-B21)</f>
        <v>0</v>
      </c>
      <c r="AE22" s="28" t="n">
        <f aca="false">IF(C22="","",C22-C21)</f>
        <v>0</v>
      </c>
      <c r="AF22" s="28" t="n">
        <f aca="false">IF(D22="","",D22-D21)</f>
        <v>0</v>
      </c>
      <c r="AG22" s="28" t="n">
        <f aca="false">IF(E22="","",E22-E21)</f>
        <v>0</v>
      </c>
      <c r="AH22" s="28" t="n">
        <f aca="false">IF(F22="","",F22-F21)</f>
        <v>0</v>
      </c>
      <c r="AI22" s="28" t="n">
        <f aca="false">IF(G22="","",G22-G21)</f>
        <v>0</v>
      </c>
      <c r="AJ22" s="28" t="n">
        <f aca="false">IF(H22="","",H22-H21)</f>
        <v>0</v>
      </c>
      <c r="AK22" s="28" t="n">
        <f aca="false">IF(I22="","",I22-I21)</f>
        <v>0</v>
      </c>
      <c r="AL22" s="28" t="n">
        <f aca="false">IF(J22="","",J22-J21)</f>
        <v>0</v>
      </c>
      <c r="AM22" s="28" t="n">
        <f aca="false">IF(K22="","",K22-K21)</f>
        <v>0</v>
      </c>
      <c r="AN22" s="28" t="n">
        <f aca="false">IF(L22="","",L22-L21)</f>
        <v>0</v>
      </c>
      <c r="AO22" s="28" t="n">
        <f aca="false">IF(M22="","",M22-M21)</f>
        <v>0</v>
      </c>
      <c r="AP22" s="28" t="n">
        <f aca="false">IF(N22="","",N22-N21)</f>
        <v>0</v>
      </c>
      <c r="AQ22" s="28" t="n">
        <f aca="false">IF(O22="","",O22-O21)</f>
        <v>0</v>
      </c>
      <c r="AR22" s="28" t="n">
        <f aca="false">IF(P22="","",P22-P21)</f>
        <v>0</v>
      </c>
      <c r="AS22" s="28" t="n">
        <f aca="false">IF(Q22="","",Q22-Q21)</f>
        <v>0</v>
      </c>
      <c r="AT22" s="28" t="n">
        <f aca="false">IF(R22="","",R22-R21)</f>
        <v>0</v>
      </c>
      <c r="AU22" s="28" t="n">
        <f aca="false">IF(S22="","",S22-S21)</f>
        <v>0</v>
      </c>
      <c r="AV22" s="28" t="str">
        <f aca="false">IF(T22="","",T22-T21)</f>
        <v/>
      </c>
      <c r="AW22" s="28" t="str">
        <f aca="false">IF(U22="","",U22-U21)</f>
        <v/>
      </c>
      <c r="AX22" s="28" t="str">
        <f aca="false">IF(V22="","",V22-V21)</f>
        <v/>
      </c>
      <c r="AY22" s="28" t="str">
        <f aca="false">IF(W22="","",W22-W21)</f>
        <v/>
      </c>
      <c r="AZ22" s="28" t="str">
        <f aca="false">IF(X22="","",X22-X21)</f>
        <v/>
      </c>
      <c r="BA22" s="28" t="str">
        <f aca="false">IF(Y22="","",Y22-Y21)</f>
        <v/>
      </c>
      <c r="BB22" s="28" t="str">
        <f aca="false">IF(Z22="","",Z22-Z21)</f>
        <v/>
      </c>
      <c r="BC22" s="28" t="n">
        <f aca="false">IF(AA22="","",AA22-AA21)</f>
        <v>0</v>
      </c>
    </row>
    <row r="23" customFormat="false" ht="15" hidden="false" customHeight="false" outlineLevel="0" collapsed="false">
      <c r="A23" s="72" t="n">
        <v>46230</v>
      </c>
      <c r="B23" s="26" t="n">
        <f aca="false">IF(B$7="","",CHOOSE(MATCH($B$4,Lists!$C$2:$C$5,0),SUMIFS(Sales_Data!$O$2:$O$3520,Sales_Data!$C$2:$C$3520,$A23,Sales_Data!$F$2:$F$3520,B$7,Sales_Data!$AE$2:$AE$3520,1),SUMIFS(Sales_Data!$M$2:$M$3520,Sales_Data!$C$2:$C$3520,$A23,Sales_Data!$F$2:$F$3520,B$7,Sales_Data!$AE$2:$AE$3520,1),SUMIFS(Sales_Data!$N$2:$N$3520,Sales_Data!$C$2:$C$3520,$A23,Sales_Data!$F$2:$F$3520,B$7,Sales_Data!$AE$2:$AE$3520,1),SUMIFS(Sales_Data!$AE$2:$AE$3520,Sales_Data!$C$2:$C$3520,$A23,Sales_Data!$F$2:$F$3520,B$7)))</f>
        <v>0</v>
      </c>
      <c r="C23" s="26" t="n">
        <f aca="false">IF(C$7="","",CHOOSE(MATCH($B$4,Lists!$C$2:$C$5,0),SUMIFS(Sales_Data!$O$2:$O$3520,Sales_Data!$C$2:$C$3520,$A23,Sales_Data!$F$2:$F$3520,C$7,Sales_Data!$AE$2:$AE$3520,1),SUMIFS(Sales_Data!$M$2:$M$3520,Sales_Data!$C$2:$C$3520,$A23,Sales_Data!$F$2:$F$3520,C$7,Sales_Data!$AE$2:$AE$3520,1),SUMIFS(Sales_Data!$N$2:$N$3520,Sales_Data!$C$2:$C$3520,$A23,Sales_Data!$F$2:$F$3520,C$7,Sales_Data!$AE$2:$AE$3520,1),SUMIFS(Sales_Data!$AE$2:$AE$3520,Sales_Data!$C$2:$C$3520,$A23,Sales_Data!$F$2:$F$3520,C$7)))</f>
        <v>0</v>
      </c>
      <c r="D23" s="26" t="n">
        <f aca="false">IF(D$7="","",CHOOSE(MATCH($B$4,Lists!$C$2:$C$5,0),SUMIFS(Sales_Data!$O$2:$O$3520,Sales_Data!$C$2:$C$3520,$A23,Sales_Data!$F$2:$F$3520,D$7,Sales_Data!$AE$2:$AE$3520,1),SUMIFS(Sales_Data!$M$2:$M$3520,Sales_Data!$C$2:$C$3520,$A23,Sales_Data!$F$2:$F$3520,D$7,Sales_Data!$AE$2:$AE$3520,1),SUMIFS(Sales_Data!$N$2:$N$3520,Sales_Data!$C$2:$C$3520,$A23,Sales_Data!$F$2:$F$3520,D$7,Sales_Data!$AE$2:$AE$3520,1),SUMIFS(Sales_Data!$AE$2:$AE$3520,Sales_Data!$C$2:$C$3520,$A23,Sales_Data!$F$2:$F$3520,D$7)))</f>
        <v>0</v>
      </c>
      <c r="E23" s="26" t="n">
        <f aca="false">IF(E$7="","",CHOOSE(MATCH($B$4,Lists!$C$2:$C$5,0),SUMIFS(Sales_Data!$O$2:$O$3520,Sales_Data!$C$2:$C$3520,$A23,Sales_Data!$F$2:$F$3520,E$7,Sales_Data!$AE$2:$AE$3520,1),SUMIFS(Sales_Data!$M$2:$M$3520,Sales_Data!$C$2:$C$3520,$A23,Sales_Data!$F$2:$F$3520,E$7,Sales_Data!$AE$2:$AE$3520,1),SUMIFS(Sales_Data!$N$2:$N$3520,Sales_Data!$C$2:$C$3520,$A23,Sales_Data!$F$2:$F$3520,E$7,Sales_Data!$AE$2:$AE$3520,1),SUMIFS(Sales_Data!$AE$2:$AE$3520,Sales_Data!$C$2:$C$3520,$A23,Sales_Data!$F$2:$F$3520,E$7)))</f>
        <v>0</v>
      </c>
      <c r="F23" s="26" t="n">
        <f aca="false">IF(F$7="","",CHOOSE(MATCH($B$4,Lists!$C$2:$C$5,0),SUMIFS(Sales_Data!$O$2:$O$3520,Sales_Data!$C$2:$C$3520,$A23,Sales_Data!$F$2:$F$3520,F$7,Sales_Data!$AE$2:$AE$3520,1),SUMIFS(Sales_Data!$M$2:$M$3520,Sales_Data!$C$2:$C$3520,$A23,Sales_Data!$F$2:$F$3520,F$7,Sales_Data!$AE$2:$AE$3520,1),SUMIFS(Sales_Data!$N$2:$N$3520,Sales_Data!$C$2:$C$3520,$A23,Sales_Data!$F$2:$F$3520,F$7,Sales_Data!$AE$2:$AE$3520,1),SUMIFS(Sales_Data!$AE$2:$AE$3520,Sales_Data!$C$2:$C$3520,$A23,Sales_Data!$F$2:$F$3520,F$7)))</f>
        <v>0</v>
      </c>
      <c r="G23" s="26" t="n">
        <f aca="false">IF(G$7="","",CHOOSE(MATCH($B$4,Lists!$C$2:$C$5,0),SUMIFS(Sales_Data!$O$2:$O$3520,Sales_Data!$C$2:$C$3520,$A23,Sales_Data!$F$2:$F$3520,G$7,Sales_Data!$AE$2:$AE$3520,1),SUMIFS(Sales_Data!$M$2:$M$3520,Sales_Data!$C$2:$C$3520,$A23,Sales_Data!$F$2:$F$3520,G$7,Sales_Data!$AE$2:$AE$3520,1),SUMIFS(Sales_Data!$N$2:$N$3520,Sales_Data!$C$2:$C$3520,$A23,Sales_Data!$F$2:$F$3520,G$7,Sales_Data!$AE$2:$AE$3520,1),SUMIFS(Sales_Data!$AE$2:$AE$3520,Sales_Data!$C$2:$C$3520,$A23,Sales_Data!$F$2:$F$3520,G$7)))</f>
        <v>0</v>
      </c>
      <c r="H23" s="26" t="n">
        <f aca="false">IF(H$7="","",CHOOSE(MATCH($B$4,Lists!$C$2:$C$5,0),SUMIFS(Sales_Data!$O$2:$O$3520,Sales_Data!$C$2:$C$3520,$A23,Sales_Data!$F$2:$F$3520,H$7,Sales_Data!$AE$2:$AE$3520,1),SUMIFS(Sales_Data!$M$2:$M$3520,Sales_Data!$C$2:$C$3520,$A23,Sales_Data!$F$2:$F$3520,H$7,Sales_Data!$AE$2:$AE$3520,1),SUMIFS(Sales_Data!$N$2:$N$3520,Sales_Data!$C$2:$C$3520,$A23,Sales_Data!$F$2:$F$3520,H$7,Sales_Data!$AE$2:$AE$3520,1),SUMIFS(Sales_Data!$AE$2:$AE$3520,Sales_Data!$C$2:$C$3520,$A23,Sales_Data!$F$2:$F$3520,H$7)))</f>
        <v>0</v>
      </c>
      <c r="I23" s="26" t="n">
        <f aca="false">IF(I$7="","",CHOOSE(MATCH($B$4,Lists!$C$2:$C$5,0),SUMIFS(Sales_Data!$O$2:$O$3520,Sales_Data!$C$2:$C$3520,$A23,Sales_Data!$F$2:$F$3520,I$7,Sales_Data!$AE$2:$AE$3520,1),SUMIFS(Sales_Data!$M$2:$M$3520,Sales_Data!$C$2:$C$3520,$A23,Sales_Data!$F$2:$F$3520,I$7,Sales_Data!$AE$2:$AE$3520,1),SUMIFS(Sales_Data!$N$2:$N$3520,Sales_Data!$C$2:$C$3520,$A23,Sales_Data!$F$2:$F$3520,I$7,Sales_Data!$AE$2:$AE$3520,1),SUMIFS(Sales_Data!$AE$2:$AE$3520,Sales_Data!$C$2:$C$3520,$A23,Sales_Data!$F$2:$F$3520,I$7)))</f>
        <v>0</v>
      </c>
      <c r="J23" s="26" t="n">
        <f aca="false">IF(J$7="","",CHOOSE(MATCH($B$4,Lists!$C$2:$C$5,0),SUMIFS(Sales_Data!$O$2:$O$3520,Sales_Data!$C$2:$C$3520,$A23,Sales_Data!$F$2:$F$3520,J$7,Sales_Data!$AE$2:$AE$3520,1),SUMIFS(Sales_Data!$M$2:$M$3520,Sales_Data!$C$2:$C$3520,$A23,Sales_Data!$F$2:$F$3520,J$7,Sales_Data!$AE$2:$AE$3520,1),SUMIFS(Sales_Data!$N$2:$N$3520,Sales_Data!$C$2:$C$3520,$A23,Sales_Data!$F$2:$F$3520,J$7,Sales_Data!$AE$2:$AE$3520,1),SUMIFS(Sales_Data!$AE$2:$AE$3520,Sales_Data!$C$2:$C$3520,$A23,Sales_Data!$F$2:$F$3520,J$7)))</f>
        <v>0</v>
      </c>
      <c r="K23" s="26" t="n">
        <f aca="false">IF(K$7="","",CHOOSE(MATCH($B$4,Lists!$C$2:$C$5,0),SUMIFS(Sales_Data!$O$2:$O$3520,Sales_Data!$C$2:$C$3520,$A23,Sales_Data!$F$2:$F$3520,K$7,Sales_Data!$AE$2:$AE$3520,1),SUMIFS(Sales_Data!$M$2:$M$3520,Sales_Data!$C$2:$C$3520,$A23,Sales_Data!$F$2:$F$3520,K$7,Sales_Data!$AE$2:$AE$3520,1),SUMIFS(Sales_Data!$N$2:$N$3520,Sales_Data!$C$2:$C$3520,$A23,Sales_Data!$F$2:$F$3520,K$7,Sales_Data!$AE$2:$AE$3520,1),SUMIFS(Sales_Data!$AE$2:$AE$3520,Sales_Data!$C$2:$C$3520,$A23,Sales_Data!$F$2:$F$3520,K$7)))</f>
        <v>0</v>
      </c>
      <c r="L23" s="26" t="n">
        <f aca="false">IF(L$7="","",CHOOSE(MATCH($B$4,Lists!$C$2:$C$5,0),SUMIFS(Sales_Data!$O$2:$O$3520,Sales_Data!$C$2:$C$3520,$A23,Sales_Data!$F$2:$F$3520,L$7,Sales_Data!$AE$2:$AE$3520,1),SUMIFS(Sales_Data!$M$2:$M$3520,Sales_Data!$C$2:$C$3520,$A23,Sales_Data!$F$2:$F$3520,L$7,Sales_Data!$AE$2:$AE$3520,1),SUMIFS(Sales_Data!$N$2:$N$3520,Sales_Data!$C$2:$C$3520,$A23,Sales_Data!$F$2:$F$3520,L$7,Sales_Data!$AE$2:$AE$3520,1),SUMIFS(Sales_Data!$AE$2:$AE$3520,Sales_Data!$C$2:$C$3520,$A23,Sales_Data!$F$2:$F$3520,L$7)))</f>
        <v>0</v>
      </c>
      <c r="M23" s="26" t="n">
        <f aca="false">IF(M$7="","",CHOOSE(MATCH($B$4,Lists!$C$2:$C$5,0),SUMIFS(Sales_Data!$O$2:$O$3520,Sales_Data!$C$2:$C$3520,$A23,Sales_Data!$F$2:$F$3520,M$7,Sales_Data!$AE$2:$AE$3520,1),SUMIFS(Sales_Data!$M$2:$M$3520,Sales_Data!$C$2:$C$3520,$A23,Sales_Data!$F$2:$F$3520,M$7,Sales_Data!$AE$2:$AE$3520,1),SUMIFS(Sales_Data!$N$2:$N$3520,Sales_Data!$C$2:$C$3520,$A23,Sales_Data!$F$2:$F$3520,M$7,Sales_Data!$AE$2:$AE$3520,1),SUMIFS(Sales_Data!$AE$2:$AE$3520,Sales_Data!$C$2:$C$3520,$A23,Sales_Data!$F$2:$F$3520,M$7)))</f>
        <v>0</v>
      </c>
      <c r="N23" s="26" t="n">
        <f aca="false">IF(N$7="","",CHOOSE(MATCH($B$4,Lists!$C$2:$C$5,0),SUMIFS(Sales_Data!$O$2:$O$3520,Sales_Data!$C$2:$C$3520,$A23,Sales_Data!$F$2:$F$3520,N$7,Sales_Data!$AE$2:$AE$3520,1),SUMIFS(Sales_Data!$M$2:$M$3520,Sales_Data!$C$2:$C$3520,$A23,Sales_Data!$F$2:$F$3520,N$7,Sales_Data!$AE$2:$AE$3520,1),SUMIFS(Sales_Data!$N$2:$N$3520,Sales_Data!$C$2:$C$3520,$A23,Sales_Data!$F$2:$F$3520,N$7,Sales_Data!$AE$2:$AE$3520,1),SUMIFS(Sales_Data!$AE$2:$AE$3520,Sales_Data!$C$2:$C$3520,$A23,Sales_Data!$F$2:$F$3520,N$7)))</f>
        <v>0</v>
      </c>
      <c r="O23" s="26" t="n">
        <f aca="false">IF(O$7="","",CHOOSE(MATCH($B$4,Lists!$C$2:$C$5,0),SUMIFS(Sales_Data!$O$2:$O$3520,Sales_Data!$C$2:$C$3520,$A23,Sales_Data!$F$2:$F$3520,O$7,Sales_Data!$AE$2:$AE$3520,1),SUMIFS(Sales_Data!$M$2:$M$3520,Sales_Data!$C$2:$C$3520,$A23,Sales_Data!$F$2:$F$3520,O$7,Sales_Data!$AE$2:$AE$3520,1),SUMIFS(Sales_Data!$N$2:$N$3520,Sales_Data!$C$2:$C$3520,$A23,Sales_Data!$F$2:$F$3520,O$7,Sales_Data!$AE$2:$AE$3520,1),SUMIFS(Sales_Data!$AE$2:$AE$3520,Sales_Data!$C$2:$C$3520,$A23,Sales_Data!$F$2:$F$3520,O$7)))</f>
        <v>0</v>
      </c>
      <c r="P23" s="26" t="n">
        <f aca="false">IF(P$7="","",CHOOSE(MATCH($B$4,Lists!$C$2:$C$5,0),SUMIFS(Sales_Data!$O$2:$O$3520,Sales_Data!$C$2:$C$3520,$A23,Sales_Data!$F$2:$F$3520,P$7,Sales_Data!$AE$2:$AE$3520,1),SUMIFS(Sales_Data!$M$2:$M$3520,Sales_Data!$C$2:$C$3520,$A23,Sales_Data!$F$2:$F$3520,P$7,Sales_Data!$AE$2:$AE$3520,1),SUMIFS(Sales_Data!$N$2:$N$3520,Sales_Data!$C$2:$C$3520,$A23,Sales_Data!$F$2:$F$3520,P$7,Sales_Data!$AE$2:$AE$3520,1),SUMIFS(Sales_Data!$AE$2:$AE$3520,Sales_Data!$C$2:$C$3520,$A23,Sales_Data!$F$2:$F$3520,P$7)))</f>
        <v>0</v>
      </c>
      <c r="Q23" s="26" t="n">
        <f aca="false">IF(Q$7="","",CHOOSE(MATCH($B$4,Lists!$C$2:$C$5,0),SUMIFS(Sales_Data!$O$2:$O$3520,Sales_Data!$C$2:$C$3520,$A23,Sales_Data!$F$2:$F$3520,Q$7,Sales_Data!$AE$2:$AE$3520,1),SUMIFS(Sales_Data!$M$2:$M$3520,Sales_Data!$C$2:$C$3520,$A23,Sales_Data!$F$2:$F$3520,Q$7,Sales_Data!$AE$2:$AE$3520,1),SUMIFS(Sales_Data!$N$2:$N$3520,Sales_Data!$C$2:$C$3520,$A23,Sales_Data!$F$2:$F$3520,Q$7,Sales_Data!$AE$2:$AE$3520,1),SUMIFS(Sales_Data!$AE$2:$AE$3520,Sales_Data!$C$2:$C$3520,$A23,Sales_Data!$F$2:$F$3520,Q$7)))</f>
        <v>0</v>
      </c>
      <c r="R23" s="26" t="n">
        <f aca="false">IF(R$7="","",CHOOSE(MATCH($B$4,Lists!$C$2:$C$5,0),SUMIFS(Sales_Data!$O$2:$O$3520,Sales_Data!$C$2:$C$3520,$A23,Sales_Data!$F$2:$F$3520,R$7,Sales_Data!$AE$2:$AE$3520,1),SUMIFS(Sales_Data!$M$2:$M$3520,Sales_Data!$C$2:$C$3520,$A23,Sales_Data!$F$2:$F$3520,R$7,Sales_Data!$AE$2:$AE$3520,1),SUMIFS(Sales_Data!$N$2:$N$3520,Sales_Data!$C$2:$C$3520,$A23,Sales_Data!$F$2:$F$3520,R$7,Sales_Data!$AE$2:$AE$3520,1),SUMIFS(Sales_Data!$AE$2:$AE$3520,Sales_Data!$C$2:$C$3520,$A23,Sales_Data!$F$2:$F$3520,R$7)))</f>
        <v>0</v>
      </c>
      <c r="S23" s="26" t="n">
        <f aca="false">IF(S$7="","",CHOOSE(MATCH($B$4,Lists!$C$2:$C$5,0),SUMIFS(Sales_Data!$O$2:$O$3520,Sales_Data!$C$2:$C$3520,$A23,Sales_Data!$F$2:$F$3520,S$7,Sales_Data!$AE$2:$AE$3520,1),SUMIFS(Sales_Data!$M$2:$M$3520,Sales_Data!$C$2:$C$3520,$A23,Sales_Data!$F$2:$F$3520,S$7,Sales_Data!$AE$2:$AE$3520,1),SUMIFS(Sales_Data!$N$2:$N$3520,Sales_Data!$C$2:$C$3520,$A23,Sales_Data!$F$2:$F$3520,S$7,Sales_Data!$AE$2:$AE$3520,1),SUMIFS(Sales_Data!$AE$2:$AE$3520,Sales_Data!$C$2:$C$3520,$A23,Sales_Data!$F$2:$F$3520,S$7)))</f>
        <v>0</v>
      </c>
      <c r="T23" s="26" t="str">
        <f aca="false">IF(T$7="","",CHOOSE(MATCH($B$4,Lists!$C$2:$C$5,0),SUMIFS(Sales_Data!$O$2:$O$3520,Sales_Data!$C$2:$C$3520,$A23,Sales_Data!$F$2:$F$3520,T$7,Sales_Data!$AE$2:$AE$3520,1),SUMIFS(Sales_Data!$M$2:$M$3520,Sales_Data!$C$2:$C$3520,$A23,Sales_Data!$F$2:$F$3520,T$7,Sales_Data!$AE$2:$AE$3520,1),SUMIFS(Sales_Data!$N$2:$N$3520,Sales_Data!$C$2:$C$3520,$A23,Sales_Data!$F$2:$F$3520,T$7,Sales_Data!$AE$2:$AE$3520,1),SUMIFS(Sales_Data!$AE$2:$AE$3520,Sales_Data!$C$2:$C$3520,$A23,Sales_Data!$F$2:$F$3520,T$7)))</f>
        <v/>
      </c>
      <c r="U23" s="26" t="str">
        <f aca="false">IF(U$7="","",CHOOSE(MATCH($B$4,Lists!$C$2:$C$5,0),SUMIFS(Sales_Data!$O$2:$O$3520,Sales_Data!$C$2:$C$3520,$A23,Sales_Data!$F$2:$F$3520,U$7,Sales_Data!$AE$2:$AE$3520,1),SUMIFS(Sales_Data!$M$2:$M$3520,Sales_Data!$C$2:$C$3520,$A23,Sales_Data!$F$2:$F$3520,U$7,Sales_Data!$AE$2:$AE$3520,1),SUMIFS(Sales_Data!$N$2:$N$3520,Sales_Data!$C$2:$C$3520,$A23,Sales_Data!$F$2:$F$3520,U$7,Sales_Data!$AE$2:$AE$3520,1),SUMIFS(Sales_Data!$AE$2:$AE$3520,Sales_Data!$C$2:$C$3520,$A23,Sales_Data!$F$2:$F$3520,U$7)))</f>
        <v/>
      </c>
      <c r="V23" s="26" t="str">
        <f aca="false">IF(V$7="","",CHOOSE(MATCH($B$4,Lists!$C$2:$C$5,0),SUMIFS(Sales_Data!$O$2:$O$3520,Sales_Data!$C$2:$C$3520,$A23,Sales_Data!$F$2:$F$3520,V$7,Sales_Data!$AE$2:$AE$3520,1),SUMIFS(Sales_Data!$M$2:$M$3520,Sales_Data!$C$2:$C$3520,$A23,Sales_Data!$F$2:$F$3520,V$7,Sales_Data!$AE$2:$AE$3520,1),SUMIFS(Sales_Data!$N$2:$N$3520,Sales_Data!$C$2:$C$3520,$A23,Sales_Data!$F$2:$F$3520,V$7,Sales_Data!$AE$2:$AE$3520,1),SUMIFS(Sales_Data!$AE$2:$AE$3520,Sales_Data!$C$2:$C$3520,$A23,Sales_Data!$F$2:$F$3520,V$7)))</f>
        <v/>
      </c>
      <c r="W23" s="26" t="str">
        <f aca="false">IF(W$7="","",CHOOSE(MATCH($B$4,Lists!$C$2:$C$5,0),SUMIFS(Sales_Data!$O$2:$O$3520,Sales_Data!$C$2:$C$3520,$A23,Sales_Data!$F$2:$F$3520,W$7,Sales_Data!$AE$2:$AE$3520,1),SUMIFS(Sales_Data!$M$2:$M$3520,Sales_Data!$C$2:$C$3520,$A23,Sales_Data!$F$2:$F$3520,W$7,Sales_Data!$AE$2:$AE$3520,1),SUMIFS(Sales_Data!$N$2:$N$3520,Sales_Data!$C$2:$C$3520,$A23,Sales_Data!$F$2:$F$3520,W$7,Sales_Data!$AE$2:$AE$3520,1),SUMIFS(Sales_Data!$AE$2:$AE$3520,Sales_Data!$C$2:$C$3520,$A23,Sales_Data!$F$2:$F$3520,W$7)))</f>
        <v/>
      </c>
      <c r="X23" s="26" t="str">
        <f aca="false">IF(X$7="","",CHOOSE(MATCH($B$4,Lists!$C$2:$C$5,0),SUMIFS(Sales_Data!$O$2:$O$3520,Sales_Data!$C$2:$C$3520,$A23,Sales_Data!$F$2:$F$3520,X$7,Sales_Data!$AE$2:$AE$3520,1),SUMIFS(Sales_Data!$M$2:$M$3520,Sales_Data!$C$2:$C$3520,$A23,Sales_Data!$F$2:$F$3520,X$7,Sales_Data!$AE$2:$AE$3520,1),SUMIFS(Sales_Data!$N$2:$N$3520,Sales_Data!$C$2:$C$3520,$A23,Sales_Data!$F$2:$F$3520,X$7,Sales_Data!$AE$2:$AE$3520,1),SUMIFS(Sales_Data!$AE$2:$AE$3520,Sales_Data!$C$2:$C$3520,$A23,Sales_Data!$F$2:$F$3520,X$7)))</f>
        <v/>
      </c>
      <c r="Y23" s="26" t="str">
        <f aca="false">IF(Y$7="","",CHOOSE(MATCH($B$4,Lists!$C$2:$C$5,0),SUMIFS(Sales_Data!$O$2:$O$3520,Sales_Data!$C$2:$C$3520,$A23,Sales_Data!$F$2:$F$3520,Y$7,Sales_Data!$AE$2:$AE$3520,1),SUMIFS(Sales_Data!$M$2:$M$3520,Sales_Data!$C$2:$C$3520,$A23,Sales_Data!$F$2:$F$3520,Y$7,Sales_Data!$AE$2:$AE$3520,1),SUMIFS(Sales_Data!$N$2:$N$3520,Sales_Data!$C$2:$C$3520,$A23,Sales_Data!$F$2:$F$3520,Y$7,Sales_Data!$AE$2:$AE$3520,1),SUMIFS(Sales_Data!$AE$2:$AE$3520,Sales_Data!$C$2:$C$3520,$A23,Sales_Data!$F$2:$F$3520,Y$7)))</f>
        <v/>
      </c>
      <c r="Z23" s="26" t="str">
        <f aca="false">IF(Z$7="","",CHOOSE(MATCH($B$4,Lists!$C$2:$C$5,0),SUMIFS(Sales_Data!$O$2:$O$3520,Sales_Data!$C$2:$C$3520,$A23,Sales_Data!$F$2:$F$3520,Z$7,Sales_Data!$AE$2:$AE$3520,1),SUMIFS(Sales_Data!$M$2:$M$3520,Sales_Data!$C$2:$C$3520,$A23,Sales_Data!$F$2:$F$3520,Z$7,Sales_Data!$AE$2:$AE$3520,1),SUMIFS(Sales_Data!$N$2:$N$3520,Sales_Data!$C$2:$C$3520,$A23,Sales_Data!$F$2:$F$3520,Z$7,Sales_Data!$AE$2:$AE$3520,1),SUMIFS(Sales_Data!$AE$2:$AE$3520,Sales_Data!$C$2:$C$3520,$A23,Sales_Data!$F$2:$F$3520,Z$7)))</f>
        <v/>
      </c>
      <c r="AA23" s="27" t="n">
        <f aca="false">SUM(B23:Z23)</f>
        <v>0</v>
      </c>
      <c r="AB23" s="3"/>
      <c r="AC23" s="72" t="n">
        <f aca="false">A23</f>
        <v>46230</v>
      </c>
      <c r="AD23" s="28" t="n">
        <f aca="false">IF(B23="","",B23-B22)</f>
        <v>0</v>
      </c>
      <c r="AE23" s="28" t="n">
        <f aca="false">IF(C23="","",C23-C22)</f>
        <v>0</v>
      </c>
      <c r="AF23" s="28" t="n">
        <f aca="false">IF(D23="","",D23-D22)</f>
        <v>0</v>
      </c>
      <c r="AG23" s="28" t="n">
        <f aca="false">IF(E23="","",E23-E22)</f>
        <v>0</v>
      </c>
      <c r="AH23" s="28" t="n">
        <f aca="false">IF(F23="","",F23-F22)</f>
        <v>0</v>
      </c>
      <c r="AI23" s="28" t="n">
        <f aca="false">IF(G23="","",G23-G22)</f>
        <v>0</v>
      </c>
      <c r="AJ23" s="28" t="n">
        <f aca="false">IF(H23="","",H23-H22)</f>
        <v>0</v>
      </c>
      <c r="AK23" s="28" t="n">
        <f aca="false">IF(I23="","",I23-I22)</f>
        <v>0</v>
      </c>
      <c r="AL23" s="28" t="n">
        <f aca="false">IF(J23="","",J23-J22)</f>
        <v>0</v>
      </c>
      <c r="AM23" s="28" t="n">
        <f aca="false">IF(K23="","",K23-K22)</f>
        <v>0</v>
      </c>
      <c r="AN23" s="28" t="n">
        <f aca="false">IF(L23="","",L23-L22)</f>
        <v>0</v>
      </c>
      <c r="AO23" s="28" t="n">
        <f aca="false">IF(M23="","",M23-M22)</f>
        <v>0</v>
      </c>
      <c r="AP23" s="28" t="n">
        <f aca="false">IF(N23="","",N23-N22)</f>
        <v>0</v>
      </c>
      <c r="AQ23" s="28" t="n">
        <f aca="false">IF(O23="","",O23-O22)</f>
        <v>0</v>
      </c>
      <c r="AR23" s="28" t="n">
        <f aca="false">IF(P23="","",P23-P22)</f>
        <v>0</v>
      </c>
      <c r="AS23" s="28" t="n">
        <f aca="false">IF(Q23="","",Q23-Q22)</f>
        <v>0</v>
      </c>
      <c r="AT23" s="28" t="n">
        <f aca="false">IF(R23="","",R23-R22)</f>
        <v>0</v>
      </c>
      <c r="AU23" s="28" t="n">
        <f aca="false">IF(S23="","",S23-S22)</f>
        <v>0</v>
      </c>
      <c r="AV23" s="28" t="str">
        <f aca="false">IF(T23="","",T23-T22)</f>
        <v/>
      </c>
      <c r="AW23" s="28" t="str">
        <f aca="false">IF(U23="","",U23-U22)</f>
        <v/>
      </c>
      <c r="AX23" s="28" t="str">
        <f aca="false">IF(V23="","",V23-V22)</f>
        <v/>
      </c>
      <c r="AY23" s="28" t="str">
        <f aca="false">IF(W23="","",W23-W22)</f>
        <v/>
      </c>
      <c r="AZ23" s="28" t="str">
        <f aca="false">IF(X23="","",X23-X22)</f>
        <v/>
      </c>
      <c r="BA23" s="28" t="str">
        <f aca="false">IF(Y23="","",Y23-Y22)</f>
        <v/>
      </c>
      <c r="BB23" s="28" t="str">
        <f aca="false">IF(Z23="","",Z23-Z22)</f>
        <v/>
      </c>
      <c r="BC23" s="28" t="n">
        <f aca="false">IF(AA23="","",AA23-AA22)</f>
        <v>0</v>
      </c>
    </row>
    <row r="24" customFormat="false" ht="15" hidden="false" customHeight="false" outlineLevel="0" collapsed="false">
      <c r="A24" s="72" t="n">
        <v>46231</v>
      </c>
      <c r="B24" s="26" t="n">
        <f aca="false">IF(B$7="","",CHOOSE(MATCH($B$4,Lists!$C$2:$C$5,0),SUMIFS(Sales_Data!$O$2:$O$3520,Sales_Data!$C$2:$C$3520,$A24,Sales_Data!$F$2:$F$3520,B$7,Sales_Data!$AE$2:$AE$3520,1),SUMIFS(Sales_Data!$M$2:$M$3520,Sales_Data!$C$2:$C$3520,$A24,Sales_Data!$F$2:$F$3520,B$7,Sales_Data!$AE$2:$AE$3520,1),SUMIFS(Sales_Data!$N$2:$N$3520,Sales_Data!$C$2:$C$3520,$A24,Sales_Data!$F$2:$F$3520,B$7,Sales_Data!$AE$2:$AE$3520,1),SUMIFS(Sales_Data!$AE$2:$AE$3520,Sales_Data!$C$2:$C$3520,$A24,Sales_Data!$F$2:$F$3520,B$7)))</f>
        <v>0</v>
      </c>
      <c r="C24" s="26" t="n">
        <f aca="false">IF(C$7="","",CHOOSE(MATCH($B$4,Lists!$C$2:$C$5,0),SUMIFS(Sales_Data!$O$2:$O$3520,Sales_Data!$C$2:$C$3520,$A24,Sales_Data!$F$2:$F$3520,C$7,Sales_Data!$AE$2:$AE$3520,1),SUMIFS(Sales_Data!$M$2:$M$3520,Sales_Data!$C$2:$C$3520,$A24,Sales_Data!$F$2:$F$3520,C$7,Sales_Data!$AE$2:$AE$3520,1),SUMIFS(Sales_Data!$N$2:$N$3520,Sales_Data!$C$2:$C$3520,$A24,Sales_Data!$F$2:$F$3520,C$7,Sales_Data!$AE$2:$AE$3520,1),SUMIFS(Sales_Data!$AE$2:$AE$3520,Sales_Data!$C$2:$C$3520,$A24,Sales_Data!$F$2:$F$3520,C$7)))</f>
        <v>0</v>
      </c>
      <c r="D24" s="26" t="n">
        <f aca="false">IF(D$7="","",CHOOSE(MATCH($B$4,Lists!$C$2:$C$5,0),SUMIFS(Sales_Data!$O$2:$O$3520,Sales_Data!$C$2:$C$3520,$A24,Sales_Data!$F$2:$F$3520,D$7,Sales_Data!$AE$2:$AE$3520,1),SUMIFS(Sales_Data!$M$2:$M$3520,Sales_Data!$C$2:$C$3520,$A24,Sales_Data!$F$2:$F$3520,D$7,Sales_Data!$AE$2:$AE$3520,1),SUMIFS(Sales_Data!$N$2:$N$3520,Sales_Data!$C$2:$C$3520,$A24,Sales_Data!$F$2:$F$3520,D$7,Sales_Data!$AE$2:$AE$3520,1),SUMIFS(Sales_Data!$AE$2:$AE$3520,Sales_Data!$C$2:$C$3520,$A24,Sales_Data!$F$2:$F$3520,D$7)))</f>
        <v>0</v>
      </c>
      <c r="E24" s="26" t="n">
        <f aca="false">IF(E$7="","",CHOOSE(MATCH($B$4,Lists!$C$2:$C$5,0),SUMIFS(Sales_Data!$O$2:$O$3520,Sales_Data!$C$2:$C$3520,$A24,Sales_Data!$F$2:$F$3520,E$7,Sales_Data!$AE$2:$AE$3520,1),SUMIFS(Sales_Data!$M$2:$M$3520,Sales_Data!$C$2:$C$3520,$A24,Sales_Data!$F$2:$F$3520,E$7,Sales_Data!$AE$2:$AE$3520,1),SUMIFS(Sales_Data!$N$2:$N$3520,Sales_Data!$C$2:$C$3520,$A24,Sales_Data!$F$2:$F$3520,E$7,Sales_Data!$AE$2:$AE$3520,1),SUMIFS(Sales_Data!$AE$2:$AE$3520,Sales_Data!$C$2:$C$3520,$A24,Sales_Data!$F$2:$F$3520,E$7)))</f>
        <v>0</v>
      </c>
      <c r="F24" s="26" t="n">
        <f aca="false">IF(F$7="","",CHOOSE(MATCH($B$4,Lists!$C$2:$C$5,0),SUMIFS(Sales_Data!$O$2:$O$3520,Sales_Data!$C$2:$C$3520,$A24,Sales_Data!$F$2:$F$3520,F$7,Sales_Data!$AE$2:$AE$3520,1),SUMIFS(Sales_Data!$M$2:$M$3520,Sales_Data!$C$2:$C$3520,$A24,Sales_Data!$F$2:$F$3520,F$7,Sales_Data!$AE$2:$AE$3520,1),SUMIFS(Sales_Data!$N$2:$N$3520,Sales_Data!$C$2:$C$3520,$A24,Sales_Data!$F$2:$F$3520,F$7,Sales_Data!$AE$2:$AE$3520,1),SUMIFS(Sales_Data!$AE$2:$AE$3520,Sales_Data!$C$2:$C$3520,$A24,Sales_Data!$F$2:$F$3520,F$7)))</f>
        <v>0</v>
      </c>
      <c r="G24" s="26" t="n">
        <f aca="false">IF(G$7="","",CHOOSE(MATCH($B$4,Lists!$C$2:$C$5,0),SUMIFS(Sales_Data!$O$2:$O$3520,Sales_Data!$C$2:$C$3520,$A24,Sales_Data!$F$2:$F$3520,G$7,Sales_Data!$AE$2:$AE$3520,1),SUMIFS(Sales_Data!$M$2:$M$3520,Sales_Data!$C$2:$C$3520,$A24,Sales_Data!$F$2:$F$3520,G$7,Sales_Data!$AE$2:$AE$3520,1),SUMIFS(Sales_Data!$N$2:$N$3520,Sales_Data!$C$2:$C$3520,$A24,Sales_Data!$F$2:$F$3520,G$7,Sales_Data!$AE$2:$AE$3520,1),SUMIFS(Sales_Data!$AE$2:$AE$3520,Sales_Data!$C$2:$C$3520,$A24,Sales_Data!$F$2:$F$3520,G$7)))</f>
        <v>0</v>
      </c>
      <c r="H24" s="26" t="n">
        <f aca="false">IF(H$7="","",CHOOSE(MATCH($B$4,Lists!$C$2:$C$5,0),SUMIFS(Sales_Data!$O$2:$O$3520,Sales_Data!$C$2:$C$3520,$A24,Sales_Data!$F$2:$F$3520,H$7,Sales_Data!$AE$2:$AE$3520,1),SUMIFS(Sales_Data!$M$2:$M$3520,Sales_Data!$C$2:$C$3520,$A24,Sales_Data!$F$2:$F$3520,H$7,Sales_Data!$AE$2:$AE$3520,1),SUMIFS(Sales_Data!$N$2:$N$3520,Sales_Data!$C$2:$C$3520,$A24,Sales_Data!$F$2:$F$3520,H$7,Sales_Data!$AE$2:$AE$3520,1),SUMIFS(Sales_Data!$AE$2:$AE$3520,Sales_Data!$C$2:$C$3520,$A24,Sales_Data!$F$2:$F$3520,H$7)))</f>
        <v>0</v>
      </c>
      <c r="I24" s="26" t="n">
        <f aca="false">IF(I$7="","",CHOOSE(MATCH($B$4,Lists!$C$2:$C$5,0),SUMIFS(Sales_Data!$O$2:$O$3520,Sales_Data!$C$2:$C$3520,$A24,Sales_Data!$F$2:$F$3520,I$7,Sales_Data!$AE$2:$AE$3520,1),SUMIFS(Sales_Data!$M$2:$M$3520,Sales_Data!$C$2:$C$3520,$A24,Sales_Data!$F$2:$F$3520,I$7,Sales_Data!$AE$2:$AE$3520,1),SUMIFS(Sales_Data!$N$2:$N$3520,Sales_Data!$C$2:$C$3520,$A24,Sales_Data!$F$2:$F$3520,I$7,Sales_Data!$AE$2:$AE$3520,1),SUMIFS(Sales_Data!$AE$2:$AE$3520,Sales_Data!$C$2:$C$3520,$A24,Sales_Data!$F$2:$F$3520,I$7)))</f>
        <v>0</v>
      </c>
      <c r="J24" s="26" t="n">
        <f aca="false">IF(J$7="","",CHOOSE(MATCH($B$4,Lists!$C$2:$C$5,0),SUMIFS(Sales_Data!$O$2:$O$3520,Sales_Data!$C$2:$C$3520,$A24,Sales_Data!$F$2:$F$3520,J$7,Sales_Data!$AE$2:$AE$3520,1),SUMIFS(Sales_Data!$M$2:$M$3520,Sales_Data!$C$2:$C$3520,$A24,Sales_Data!$F$2:$F$3520,J$7,Sales_Data!$AE$2:$AE$3520,1),SUMIFS(Sales_Data!$N$2:$N$3520,Sales_Data!$C$2:$C$3520,$A24,Sales_Data!$F$2:$F$3520,J$7,Sales_Data!$AE$2:$AE$3520,1),SUMIFS(Sales_Data!$AE$2:$AE$3520,Sales_Data!$C$2:$C$3520,$A24,Sales_Data!$F$2:$F$3520,J$7)))</f>
        <v>0</v>
      </c>
      <c r="K24" s="26" t="n">
        <f aca="false">IF(K$7="","",CHOOSE(MATCH($B$4,Lists!$C$2:$C$5,0),SUMIFS(Sales_Data!$O$2:$O$3520,Sales_Data!$C$2:$C$3520,$A24,Sales_Data!$F$2:$F$3520,K$7,Sales_Data!$AE$2:$AE$3520,1),SUMIFS(Sales_Data!$M$2:$M$3520,Sales_Data!$C$2:$C$3520,$A24,Sales_Data!$F$2:$F$3520,K$7,Sales_Data!$AE$2:$AE$3520,1),SUMIFS(Sales_Data!$N$2:$N$3520,Sales_Data!$C$2:$C$3520,$A24,Sales_Data!$F$2:$F$3520,K$7,Sales_Data!$AE$2:$AE$3520,1),SUMIFS(Sales_Data!$AE$2:$AE$3520,Sales_Data!$C$2:$C$3520,$A24,Sales_Data!$F$2:$F$3520,K$7)))</f>
        <v>0</v>
      </c>
      <c r="L24" s="26" t="n">
        <f aca="false">IF(L$7="","",CHOOSE(MATCH($B$4,Lists!$C$2:$C$5,0),SUMIFS(Sales_Data!$O$2:$O$3520,Sales_Data!$C$2:$C$3520,$A24,Sales_Data!$F$2:$F$3520,L$7,Sales_Data!$AE$2:$AE$3520,1),SUMIFS(Sales_Data!$M$2:$M$3520,Sales_Data!$C$2:$C$3520,$A24,Sales_Data!$F$2:$F$3520,L$7,Sales_Data!$AE$2:$AE$3520,1),SUMIFS(Sales_Data!$N$2:$N$3520,Sales_Data!$C$2:$C$3520,$A24,Sales_Data!$F$2:$F$3520,L$7,Sales_Data!$AE$2:$AE$3520,1),SUMIFS(Sales_Data!$AE$2:$AE$3520,Sales_Data!$C$2:$C$3520,$A24,Sales_Data!$F$2:$F$3520,L$7)))</f>
        <v>0</v>
      </c>
      <c r="M24" s="26" t="n">
        <f aca="false">IF(M$7="","",CHOOSE(MATCH($B$4,Lists!$C$2:$C$5,0),SUMIFS(Sales_Data!$O$2:$O$3520,Sales_Data!$C$2:$C$3520,$A24,Sales_Data!$F$2:$F$3520,M$7,Sales_Data!$AE$2:$AE$3520,1),SUMIFS(Sales_Data!$M$2:$M$3520,Sales_Data!$C$2:$C$3520,$A24,Sales_Data!$F$2:$F$3520,M$7,Sales_Data!$AE$2:$AE$3520,1),SUMIFS(Sales_Data!$N$2:$N$3520,Sales_Data!$C$2:$C$3520,$A24,Sales_Data!$F$2:$F$3520,M$7,Sales_Data!$AE$2:$AE$3520,1),SUMIFS(Sales_Data!$AE$2:$AE$3520,Sales_Data!$C$2:$C$3520,$A24,Sales_Data!$F$2:$F$3520,M$7)))</f>
        <v>0</v>
      </c>
      <c r="N24" s="26" t="n">
        <f aca="false">IF(N$7="","",CHOOSE(MATCH($B$4,Lists!$C$2:$C$5,0),SUMIFS(Sales_Data!$O$2:$O$3520,Sales_Data!$C$2:$C$3520,$A24,Sales_Data!$F$2:$F$3520,N$7,Sales_Data!$AE$2:$AE$3520,1),SUMIFS(Sales_Data!$M$2:$M$3520,Sales_Data!$C$2:$C$3520,$A24,Sales_Data!$F$2:$F$3520,N$7,Sales_Data!$AE$2:$AE$3520,1),SUMIFS(Sales_Data!$N$2:$N$3520,Sales_Data!$C$2:$C$3520,$A24,Sales_Data!$F$2:$F$3520,N$7,Sales_Data!$AE$2:$AE$3520,1),SUMIFS(Sales_Data!$AE$2:$AE$3520,Sales_Data!$C$2:$C$3520,$A24,Sales_Data!$F$2:$F$3520,N$7)))</f>
        <v>0</v>
      </c>
      <c r="O24" s="26" t="n">
        <f aca="false">IF(O$7="","",CHOOSE(MATCH($B$4,Lists!$C$2:$C$5,0),SUMIFS(Sales_Data!$O$2:$O$3520,Sales_Data!$C$2:$C$3520,$A24,Sales_Data!$F$2:$F$3520,O$7,Sales_Data!$AE$2:$AE$3520,1),SUMIFS(Sales_Data!$M$2:$M$3520,Sales_Data!$C$2:$C$3520,$A24,Sales_Data!$F$2:$F$3520,O$7,Sales_Data!$AE$2:$AE$3520,1),SUMIFS(Sales_Data!$N$2:$N$3520,Sales_Data!$C$2:$C$3520,$A24,Sales_Data!$F$2:$F$3520,O$7,Sales_Data!$AE$2:$AE$3520,1),SUMIFS(Sales_Data!$AE$2:$AE$3520,Sales_Data!$C$2:$C$3520,$A24,Sales_Data!$F$2:$F$3520,O$7)))</f>
        <v>0</v>
      </c>
      <c r="P24" s="26" t="n">
        <f aca="false">IF(P$7="","",CHOOSE(MATCH($B$4,Lists!$C$2:$C$5,0),SUMIFS(Sales_Data!$O$2:$O$3520,Sales_Data!$C$2:$C$3520,$A24,Sales_Data!$F$2:$F$3520,P$7,Sales_Data!$AE$2:$AE$3520,1),SUMIFS(Sales_Data!$M$2:$M$3520,Sales_Data!$C$2:$C$3520,$A24,Sales_Data!$F$2:$F$3520,P$7,Sales_Data!$AE$2:$AE$3520,1),SUMIFS(Sales_Data!$N$2:$N$3520,Sales_Data!$C$2:$C$3520,$A24,Sales_Data!$F$2:$F$3520,P$7,Sales_Data!$AE$2:$AE$3520,1),SUMIFS(Sales_Data!$AE$2:$AE$3520,Sales_Data!$C$2:$C$3520,$A24,Sales_Data!$F$2:$F$3520,P$7)))</f>
        <v>0</v>
      </c>
      <c r="Q24" s="26" t="n">
        <f aca="false">IF(Q$7="","",CHOOSE(MATCH($B$4,Lists!$C$2:$C$5,0),SUMIFS(Sales_Data!$O$2:$O$3520,Sales_Data!$C$2:$C$3520,$A24,Sales_Data!$F$2:$F$3520,Q$7,Sales_Data!$AE$2:$AE$3520,1),SUMIFS(Sales_Data!$M$2:$M$3520,Sales_Data!$C$2:$C$3520,$A24,Sales_Data!$F$2:$F$3520,Q$7,Sales_Data!$AE$2:$AE$3520,1),SUMIFS(Sales_Data!$N$2:$N$3520,Sales_Data!$C$2:$C$3520,$A24,Sales_Data!$F$2:$F$3520,Q$7,Sales_Data!$AE$2:$AE$3520,1),SUMIFS(Sales_Data!$AE$2:$AE$3520,Sales_Data!$C$2:$C$3520,$A24,Sales_Data!$F$2:$F$3520,Q$7)))</f>
        <v>0</v>
      </c>
      <c r="R24" s="26" t="n">
        <f aca="false">IF(R$7="","",CHOOSE(MATCH($B$4,Lists!$C$2:$C$5,0),SUMIFS(Sales_Data!$O$2:$O$3520,Sales_Data!$C$2:$C$3520,$A24,Sales_Data!$F$2:$F$3520,R$7,Sales_Data!$AE$2:$AE$3520,1),SUMIFS(Sales_Data!$M$2:$M$3520,Sales_Data!$C$2:$C$3520,$A24,Sales_Data!$F$2:$F$3520,R$7,Sales_Data!$AE$2:$AE$3520,1),SUMIFS(Sales_Data!$N$2:$N$3520,Sales_Data!$C$2:$C$3520,$A24,Sales_Data!$F$2:$F$3520,R$7,Sales_Data!$AE$2:$AE$3520,1),SUMIFS(Sales_Data!$AE$2:$AE$3520,Sales_Data!$C$2:$C$3520,$A24,Sales_Data!$F$2:$F$3520,R$7)))</f>
        <v>0</v>
      </c>
      <c r="S24" s="26" t="n">
        <f aca="false">IF(S$7="","",CHOOSE(MATCH($B$4,Lists!$C$2:$C$5,0),SUMIFS(Sales_Data!$O$2:$O$3520,Sales_Data!$C$2:$C$3520,$A24,Sales_Data!$F$2:$F$3520,S$7,Sales_Data!$AE$2:$AE$3520,1),SUMIFS(Sales_Data!$M$2:$M$3520,Sales_Data!$C$2:$C$3520,$A24,Sales_Data!$F$2:$F$3520,S$7,Sales_Data!$AE$2:$AE$3520,1),SUMIFS(Sales_Data!$N$2:$N$3520,Sales_Data!$C$2:$C$3520,$A24,Sales_Data!$F$2:$F$3520,S$7,Sales_Data!$AE$2:$AE$3520,1),SUMIFS(Sales_Data!$AE$2:$AE$3520,Sales_Data!$C$2:$C$3520,$A24,Sales_Data!$F$2:$F$3520,S$7)))</f>
        <v>0</v>
      </c>
      <c r="T24" s="26" t="str">
        <f aca="false">IF(T$7="","",CHOOSE(MATCH($B$4,Lists!$C$2:$C$5,0),SUMIFS(Sales_Data!$O$2:$O$3520,Sales_Data!$C$2:$C$3520,$A24,Sales_Data!$F$2:$F$3520,T$7,Sales_Data!$AE$2:$AE$3520,1),SUMIFS(Sales_Data!$M$2:$M$3520,Sales_Data!$C$2:$C$3520,$A24,Sales_Data!$F$2:$F$3520,T$7,Sales_Data!$AE$2:$AE$3520,1),SUMIFS(Sales_Data!$N$2:$N$3520,Sales_Data!$C$2:$C$3520,$A24,Sales_Data!$F$2:$F$3520,T$7,Sales_Data!$AE$2:$AE$3520,1),SUMIFS(Sales_Data!$AE$2:$AE$3520,Sales_Data!$C$2:$C$3520,$A24,Sales_Data!$F$2:$F$3520,T$7)))</f>
        <v/>
      </c>
      <c r="U24" s="26" t="str">
        <f aca="false">IF(U$7="","",CHOOSE(MATCH($B$4,Lists!$C$2:$C$5,0),SUMIFS(Sales_Data!$O$2:$O$3520,Sales_Data!$C$2:$C$3520,$A24,Sales_Data!$F$2:$F$3520,U$7,Sales_Data!$AE$2:$AE$3520,1),SUMIFS(Sales_Data!$M$2:$M$3520,Sales_Data!$C$2:$C$3520,$A24,Sales_Data!$F$2:$F$3520,U$7,Sales_Data!$AE$2:$AE$3520,1),SUMIFS(Sales_Data!$N$2:$N$3520,Sales_Data!$C$2:$C$3520,$A24,Sales_Data!$F$2:$F$3520,U$7,Sales_Data!$AE$2:$AE$3520,1),SUMIFS(Sales_Data!$AE$2:$AE$3520,Sales_Data!$C$2:$C$3520,$A24,Sales_Data!$F$2:$F$3520,U$7)))</f>
        <v/>
      </c>
      <c r="V24" s="26" t="str">
        <f aca="false">IF(V$7="","",CHOOSE(MATCH($B$4,Lists!$C$2:$C$5,0),SUMIFS(Sales_Data!$O$2:$O$3520,Sales_Data!$C$2:$C$3520,$A24,Sales_Data!$F$2:$F$3520,V$7,Sales_Data!$AE$2:$AE$3520,1),SUMIFS(Sales_Data!$M$2:$M$3520,Sales_Data!$C$2:$C$3520,$A24,Sales_Data!$F$2:$F$3520,V$7,Sales_Data!$AE$2:$AE$3520,1),SUMIFS(Sales_Data!$N$2:$N$3520,Sales_Data!$C$2:$C$3520,$A24,Sales_Data!$F$2:$F$3520,V$7,Sales_Data!$AE$2:$AE$3520,1),SUMIFS(Sales_Data!$AE$2:$AE$3520,Sales_Data!$C$2:$C$3520,$A24,Sales_Data!$F$2:$F$3520,V$7)))</f>
        <v/>
      </c>
      <c r="W24" s="26" t="str">
        <f aca="false">IF(W$7="","",CHOOSE(MATCH($B$4,Lists!$C$2:$C$5,0),SUMIFS(Sales_Data!$O$2:$O$3520,Sales_Data!$C$2:$C$3520,$A24,Sales_Data!$F$2:$F$3520,W$7,Sales_Data!$AE$2:$AE$3520,1),SUMIFS(Sales_Data!$M$2:$M$3520,Sales_Data!$C$2:$C$3520,$A24,Sales_Data!$F$2:$F$3520,W$7,Sales_Data!$AE$2:$AE$3520,1),SUMIFS(Sales_Data!$N$2:$N$3520,Sales_Data!$C$2:$C$3520,$A24,Sales_Data!$F$2:$F$3520,W$7,Sales_Data!$AE$2:$AE$3520,1),SUMIFS(Sales_Data!$AE$2:$AE$3520,Sales_Data!$C$2:$C$3520,$A24,Sales_Data!$F$2:$F$3520,W$7)))</f>
        <v/>
      </c>
      <c r="X24" s="26" t="str">
        <f aca="false">IF(X$7="","",CHOOSE(MATCH($B$4,Lists!$C$2:$C$5,0),SUMIFS(Sales_Data!$O$2:$O$3520,Sales_Data!$C$2:$C$3520,$A24,Sales_Data!$F$2:$F$3520,X$7,Sales_Data!$AE$2:$AE$3520,1),SUMIFS(Sales_Data!$M$2:$M$3520,Sales_Data!$C$2:$C$3520,$A24,Sales_Data!$F$2:$F$3520,X$7,Sales_Data!$AE$2:$AE$3520,1),SUMIFS(Sales_Data!$N$2:$N$3520,Sales_Data!$C$2:$C$3520,$A24,Sales_Data!$F$2:$F$3520,X$7,Sales_Data!$AE$2:$AE$3520,1),SUMIFS(Sales_Data!$AE$2:$AE$3520,Sales_Data!$C$2:$C$3520,$A24,Sales_Data!$F$2:$F$3520,X$7)))</f>
        <v/>
      </c>
      <c r="Y24" s="26" t="str">
        <f aca="false">IF(Y$7="","",CHOOSE(MATCH($B$4,Lists!$C$2:$C$5,0),SUMIFS(Sales_Data!$O$2:$O$3520,Sales_Data!$C$2:$C$3520,$A24,Sales_Data!$F$2:$F$3520,Y$7,Sales_Data!$AE$2:$AE$3520,1),SUMIFS(Sales_Data!$M$2:$M$3520,Sales_Data!$C$2:$C$3520,$A24,Sales_Data!$F$2:$F$3520,Y$7,Sales_Data!$AE$2:$AE$3520,1),SUMIFS(Sales_Data!$N$2:$N$3520,Sales_Data!$C$2:$C$3520,$A24,Sales_Data!$F$2:$F$3520,Y$7,Sales_Data!$AE$2:$AE$3520,1),SUMIFS(Sales_Data!$AE$2:$AE$3520,Sales_Data!$C$2:$C$3520,$A24,Sales_Data!$F$2:$F$3520,Y$7)))</f>
        <v/>
      </c>
      <c r="Z24" s="26" t="str">
        <f aca="false">IF(Z$7="","",CHOOSE(MATCH($B$4,Lists!$C$2:$C$5,0),SUMIFS(Sales_Data!$O$2:$O$3520,Sales_Data!$C$2:$C$3520,$A24,Sales_Data!$F$2:$F$3520,Z$7,Sales_Data!$AE$2:$AE$3520,1),SUMIFS(Sales_Data!$M$2:$M$3520,Sales_Data!$C$2:$C$3520,$A24,Sales_Data!$F$2:$F$3520,Z$7,Sales_Data!$AE$2:$AE$3520,1),SUMIFS(Sales_Data!$N$2:$N$3520,Sales_Data!$C$2:$C$3520,$A24,Sales_Data!$F$2:$F$3520,Z$7,Sales_Data!$AE$2:$AE$3520,1),SUMIFS(Sales_Data!$AE$2:$AE$3520,Sales_Data!$C$2:$C$3520,$A24,Sales_Data!$F$2:$F$3520,Z$7)))</f>
        <v/>
      </c>
      <c r="AA24" s="27" t="n">
        <f aca="false">SUM(B24:Z24)</f>
        <v>0</v>
      </c>
      <c r="AB24" s="3"/>
      <c r="AC24" s="72" t="n">
        <f aca="false">A24</f>
        <v>46231</v>
      </c>
      <c r="AD24" s="28" t="n">
        <f aca="false">IF(B24="","",B24-B23)</f>
        <v>0</v>
      </c>
      <c r="AE24" s="28" t="n">
        <f aca="false">IF(C24="","",C24-C23)</f>
        <v>0</v>
      </c>
      <c r="AF24" s="28" t="n">
        <f aca="false">IF(D24="","",D24-D23)</f>
        <v>0</v>
      </c>
      <c r="AG24" s="28" t="n">
        <f aca="false">IF(E24="","",E24-E23)</f>
        <v>0</v>
      </c>
      <c r="AH24" s="28" t="n">
        <f aca="false">IF(F24="","",F24-F23)</f>
        <v>0</v>
      </c>
      <c r="AI24" s="28" t="n">
        <f aca="false">IF(G24="","",G24-G23)</f>
        <v>0</v>
      </c>
      <c r="AJ24" s="28" t="n">
        <f aca="false">IF(H24="","",H24-H23)</f>
        <v>0</v>
      </c>
      <c r="AK24" s="28" t="n">
        <f aca="false">IF(I24="","",I24-I23)</f>
        <v>0</v>
      </c>
      <c r="AL24" s="28" t="n">
        <f aca="false">IF(J24="","",J24-J23)</f>
        <v>0</v>
      </c>
      <c r="AM24" s="28" t="n">
        <f aca="false">IF(K24="","",K24-K23)</f>
        <v>0</v>
      </c>
      <c r="AN24" s="28" t="n">
        <f aca="false">IF(L24="","",L24-L23)</f>
        <v>0</v>
      </c>
      <c r="AO24" s="28" t="n">
        <f aca="false">IF(M24="","",M24-M23)</f>
        <v>0</v>
      </c>
      <c r="AP24" s="28" t="n">
        <f aca="false">IF(N24="","",N24-N23)</f>
        <v>0</v>
      </c>
      <c r="AQ24" s="28" t="n">
        <f aca="false">IF(O24="","",O24-O23)</f>
        <v>0</v>
      </c>
      <c r="AR24" s="28" t="n">
        <f aca="false">IF(P24="","",P24-P23)</f>
        <v>0</v>
      </c>
      <c r="AS24" s="28" t="n">
        <f aca="false">IF(Q24="","",Q24-Q23)</f>
        <v>0</v>
      </c>
      <c r="AT24" s="28" t="n">
        <f aca="false">IF(R24="","",R24-R23)</f>
        <v>0</v>
      </c>
      <c r="AU24" s="28" t="n">
        <f aca="false">IF(S24="","",S24-S23)</f>
        <v>0</v>
      </c>
      <c r="AV24" s="28" t="str">
        <f aca="false">IF(T24="","",T24-T23)</f>
        <v/>
      </c>
      <c r="AW24" s="28" t="str">
        <f aca="false">IF(U24="","",U24-U23)</f>
        <v/>
      </c>
      <c r="AX24" s="28" t="str">
        <f aca="false">IF(V24="","",V24-V23)</f>
        <v/>
      </c>
      <c r="AY24" s="28" t="str">
        <f aca="false">IF(W24="","",W24-W23)</f>
        <v/>
      </c>
      <c r="AZ24" s="28" t="str">
        <f aca="false">IF(X24="","",X24-X23)</f>
        <v/>
      </c>
      <c r="BA24" s="28" t="str">
        <f aca="false">IF(Y24="","",Y24-Y23)</f>
        <v/>
      </c>
      <c r="BB24" s="28" t="str">
        <f aca="false">IF(Z24="","",Z24-Z23)</f>
        <v/>
      </c>
      <c r="BC24" s="28" t="n">
        <f aca="false">IF(AA24="","",AA24-AA23)</f>
        <v>0</v>
      </c>
    </row>
    <row r="25" customFormat="false" ht="15" hidden="false" customHeight="false" outlineLevel="0" collapsed="false">
      <c r="A25" s="72" t="n">
        <v>46232</v>
      </c>
      <c r="B25" s="26" t="n">
        <f aca="false">IF(B$7="","",CHOOSE(MATCH($B$4,Lists!$C$2:$C$5,0),SUMIFS(Sales_Data!$O$2:$O$3520,Sales_Data!$C$2:$C$3520,$A25,Sales_Data!$F$2:$F$3520,B$7,Sales_Data!$AE$2:$AE$3520,1),SUMIFS(Sales_Data!$M$2:$M$3520,Sales_Data!$C$2:$C$3520,$A25,Sales_Data!$F$2:$F$3520,B$7,Sales_Data!$AE$2:$AE$3520,1),SUMIFS(Sales_Data!$N$2:$N$3520,Sales_Data!$C$2:$C$3520,$A25,Sales_Data!$F$2:$F$3520,B$7,Sales_Data!$AE$2:$AE$3520,1),SUMIFS(Sales_Data!$AE$2:$AE$3520,Sales_Data!$C$2:$C$3520,$A25,Sales_Data!$F$2:$F$3520,B$7)))</f>
        <v>0</v>
      </c>
      <c r="C25" s="26" t="n">
        <f aca="false">IF(C$7="","",CHOOSE(MATCH($B$4,Lists!$C$2:$C$5,0),SUMIFS(Sales_Data!$O$2:$O$3520,Sales_Data!$C$2:$C$3520,$A25,Sales_Data!$F$2:$F$3520,C$7,Sales_Data!$AE$2:$AE$3520,1),SUMIFS(Sales_Data!$M$2:$M$3520,Sales_Data!$C$2:$C$3520,$A25,Sales_Data!$F$2:$F$3520,C$7,Sales_Data!$AE$2:$AE$3520,1),SUMIFS(Sales_Data!$N$2:$N$3520,Sales_Data!$C$2:$C$3520,$A25,Sales_Data!$F$2:$F$3520,C$7,Sales_Data!$AE$2:$AE$3520,1),SUMIFS(Sales_Data!$AE$2:$AE$3520,Sales_Data!$C$2:$C$3520,$A25,Sales_Data!$F$2:$F$3520,C$7)))</f>
        <v>0</v>
      </c>
      <c r="D25" s="26" t="n">
        <f aca="false">IF(D$7="","",CHOOSE(MATCH($B$4,Lists!$C$2:$C$5,0),SUMIFS(Sales_Data!$O$2:$O$3520,Sales_Data!$C$2:$C$3520,$A25,Sales_Data!$F$2:$F$3520,D$7,Sales_Data!$AE$2:$AE$3520,1),SUMIFS(Sales_Data!$M$2:$M$3520,Sales_Data!$C$2:$C$3520,$A25,Sales_Data!$F$2:$F$3520,D$7,Sales_Data!$AE$2:$AE$3520,1),SUMIFS(Sales_Data!$N$2:$N$3520,Sales_Data!$C$2:$C$3520,$A25,Sales_Data!$F$2:$F$3520,D$7,Sales_Data!$AE$2:$AE$3520,1),SUMIFS(Sales_Data!$AE$2:$AE$3520,Sales_Data!$C$2:$C$3520,$A25,Sales_Data!$F$2:$F$3520,D$7)))</f>
        <v>0</v>
      </c>
      <c r="E25" s="26" t="n">
        <f aca="false">IF(E$7="","",CHOOSE(MATCH($B$4,Lists!$C$2:$C$5,0),SUMIFS(Sales_Data!$O$2:$O$3520,Sales_Data!$C$2:$C$3520,$A25,Sales_Data!$F$2:$F$3520,E$7,Sales_Data!$AE$2:$AE$3520,1),SUMIFS(Sales_Data!$M$2:$M$3520,Sales_Data!$C$2:$C$3520,$A25,Sales_Data!$F$2:$F$3520,E$7,Sales_Data!$AE$2:$AE$3520,1),SUMIFS(Sales_Data!$N$2:$N$3520,Sales_Data!$C$2:$C$3520,$A25,Sales_Data!$F$2:$F$3520,E$7,Sales_Data!$AE$2:$AE$3520,1),SUMIFS(Sales_Data!$AE$2:$AE$3520,Sales_Data!$C$2:$C$3520,$A25,Sales_Data!$F$2:$F$3520,E$7)))</f>
        <v>0</v>
      </c>
      <c r="F25" s="26" t="n">
        <f aca="false">IF(F$7="","",CHOOSE(MATCH($B$4,Lists!$C$2:$C$5,0),SUMIFS(Sales_Data!$O$2:$O$3520,Sales_Data!$C$2:$C$3520,$A25,Sales_Data!$F$2:$F$3520,F$7,Sales_Data!$AE$2:$AE$3520,1),SUMIFS(Sales_Data!$M$2:$M$3520,Sales_Data!$C$2:$C$3520,$A25,Sales_Data!$F$2:$F$3520,F$7,Sales_Data!$AE$2:$AE$3520,1),SUMIFS(Sales_Data!$N$2:$N$3520,Sales_Data!$C$2:$C$3520,$A25,Sales_Data!$F$2:$F$3520,F$7,Sales_Data!$AE$2:$AE$3520,1),SUMIFS(Sales_Data!$AE$2:$AE$3520,Sales_Data!$C$2:$C$3520,$A25,Sales_Data!$F$2:$F$3520,F$7)))</f>
        <v>0</v>
      </c>
      <c r="G25" s="26" t="n">
        <f aca="false">IF(G$7="","",CHOOSE(MATCH($B$4,Lists!$C$2:$C$5,0),SUMIFS(Sales_Data!$O$2:$O$3520,Sales_Data!$C$2:$C$3520,$A25,Sales_Data!$F$2:$F$3520,G$7,Sales_Data!$AE$2:$AE$3520,1),SUMIFS(Sales_Data!$M$2:$M$3520,Sales_Data!$C$2:$C$3520,$A25,Sales_Data!$F$2:$F$3520,G$7,Sales_Data!$AE$2:$AE$3520,1),SUMIFS(Sales_Data!$N$2:$N$3520,Sales_Data!$C$2:$C$3520,$A25,Sales_Data!$F$2:$F$3520,G$7,Sales_Data!$AE$2:$AE$3520,1),SUMIFS(Sales_Data!$AE$2:$AE$3520,Sales_Data!$C$2:$C$3520,$A25,Sales_Data!$F$2:$F$3520,G$7)))</f>
        <v>0</v>
      </c>
      <c r="H25" s="26" t="n">
        <f aca="false">IF(H$7="","",CHOOSE(MATCH($B$4,Lists!$C$2:$C$5,0),SUMIFS(Sales_Data!$O$2:$O$3520,Sales_Data!$C$2:$C$3520,$A25,Sales_Data!$F$2:$F$3520,H$7,Sales_Data!$AE$2:$AE$3520,1),SUMIFS(Sales_Data!$M$2:$M$3520,Sales_Data!$C$2:$C$3520,$A25,Sales_Data!$F$2:$F$3520,H$7,Sales_Data!$AE$2:$AE$3520,1),SUMIFS(Sales_Data!$N$2:$N$3520,Sales_Data!$C$2:$C$3520,$A25,Sales_Data!$F$2:$F$3520,H$7,Sales_Data!$AE$2:$AE$3520,1),SUMIFS(Sales_Data!$AE$2:$AE$3520,Sales_Data!$C$2:$C$3520,$A25,Sales_Data!$F$2:$F$3520,H$7)))</f>
        <v>0</v>
      </c>
      <c r="I25" s="26" t="n">
        <f aca="false">IF(I$7="","",CHOOSE(MATCH($B$4,Lists!$C$2:$C$5,0),SUMIFS(Sales_Data!$O$2:$O$3520,Sales_Data!$C$2:$C$3520,$A25,Sales_Data!$F$2:$F$3520,I$7,Sales_Data!$AE$2:$AE$3520,1),SUMIFS(Sales_Data!$M$2:$M$3520,Sales_Data!$C$2:$C$3520,$A25,Sales_Data!$F$2:$F$3520,I$7,Sales_Data!$AE$2:$AE$3520,1),SUMIFS(Sales_Data!$N$2:$N$3520,Sales_Data!$C$2:$C$3520,$A25,Sales_Data!$F$2:$F$3520,I$7,Sales_Data!$AE$2:$AE$3520,1),SUMIFS(Sales_Data!$AE$2:$AE$3520,Sales_Data!$C$2:$C$3520,$A25,Sales_Data!$F$2:$F$3520,I$7)))</f>
        <v>0</v>
      </c>
      <c r="J25" s="26" t="n">
        <f aca="false">IF(J$7="","",CHOOSE(MATCH($B$4,Lists!$C$2:$C$5,0),SUMIFS(Sales_Data!$O$2:$O$3520,Sales_Data!$C$2:$C$3520,$A25,Sales_Data!$F$2:$F$3520,J$7,Sales_Data!$AE$2:$AE$3520,1),SUMIFS(Sales_Data!$M$2:$M$3520,Sales_Data!$C$2:$C$3520,$A25,Sales_Data!$F$2:$F$3520,J$7,Sales_Data!$AE$2:$AE$3520,1),SUMIFS(Sales_Data!$N$2:$N$3520,Sales_Data!$C$2:$C$3520,$A25,Sales_Data!$F$2:$F$3520,J$7,Sales_Data!$AE$2:$AE$3520,1),SUMIFS(Sales_Data!$AE$2:$AE$3520,Sales_Data!$C$2:$C$3520,$A25,Sales_Data!$F$2:$F$3520,J$7)))</f>
        <v>0</v>
      </c>
      <c r="K25" s="26" t="n">
        <f aca="false">IF(K$7="","",CHOOSE(MATCH($B$4,Lists!$C$2:$C$5,0),SUMIFS(Sales_Data!$O$2:$O$3520,Sales_Data!$C$2:$C$3520,$A25,Sales_Data!$F$2:$F$3520,K$7,Sales_Data!$AE$2:$AE$3520,1),SUMIFS(Sales_Data!$M$2:$M$3520,Sales_Data!$C$2:$C$3520,$A25,Sales_Data!$F$2:$F$3520,K$7,Sales_Data!$AE$2:$AE$3520,1),SUMIFS(Sales_Data!$N$2:$N$3520,Sales_Data!$C$2:$C$3520,$A25,Sales_Data!$F$2:$F$3520,K$7,Sales_Data!$AE$2:$AE$3520,1),SUMIFS(Sales_Data!$AE$2:$AE$3520,Sales_Data!$C$2:$C$3520,$A25,Sales_Data!$F$2:$F$3520,K$7)))</f>
        <v>0</v>
      </c>
      <c r="L25" s="26" t="n">
        <f aca="false">IF(L$7="","",CHOOSE(MATCH($B$4,Lists!$C$2:$C$5,0),SUMIFS(Sales_Data!$O$2:$O$3520,Sales_Data!$C$2:$C$3520,$A25,Sales_Data!$F$2:$F$3520,L$7,Sales_Data!$AE$2:$AE$3520,1),SUMIFS(Sales_Data!$M$2:$M$3520,Sales_Data!$C$2:$C$3520,$A25,Sales_Data!$F$2:$F$3520,L$7,Sales_Data!$AE$2:$AE$3520,1),SUMIFS(Sales_Data!$N$2:$N$3520,Sales_Data!$C$2:$C$3520,$A25,Sales_Data!$F$2:$F$3520,L$7,Sales_Data!$AE$2:$AE$3520,1),SUMIFS(Sales_Data!$AE$2:$AE$3520,Sales_Data!$C$2:$C$3520,$A25,Sales_Data!$F$2:$F$3520,L$7)))</f>
        <v>0</v>
      </c>
      <c r="M25" s="26" t="n">
        <f aca="false">IF(M$7="","",CHOOSE(MATCH($B$4,Lists!$C$2:$C$5,0),SUMIFS(Sales_Data!$O$2:$O$3520,Sales_Data!$C$2:$C$3520,$A25,Sales_Data!$F$2:$F$3520,M$7,Sales_Data!$AE$2:$AE$3520,1),SUMIFS(Sales_Data!$M$2:$M$3520,Sales_Data!$C$2:$C$3520,$A25,Sales_Data!$F$2:$F$3520,M$7,Sales_Data!$AE$2:$AE$3520,1),SUMIFS(Sales_Data!$N$2:$N$3520,Sales_Data!$C$2:$C$3520,$A25,Sales_Data!$F$2:$F$3520,M$7,Sales_Data!$AE$2:$AE$3520,1),SUMIFS(Sales_Data!$AE$2:$AE$3520,Sales_Data!$C$2:$C$3520,$A25,Sales_Data!$F$2:$F$3520,M$7)))</f>
        <v>0</v>
      </c>
      <c r="N25" s="26" t="n">
        <f aca="false">IF(N$7="","",CHOOSE(MATCH($B$4,Lists!$C$2:$C$5,0),SUMIFS(Sales_Data!$O$2:$O$3520,Sales_Data!$C$2:$C$3520,$A25,Sales_Data!$F$2:$F$3520,N$7,Sales_Data!$AE$2:$AE$3520,1),SUMIFS(Sales_Data!$M$2:$M$3520,Sales_Data!$C$2:$C$3520,$A25,Sales_Data!$F$2:$F$3520,N$7,Sales_Data!$AE$2:$AE$3520,1),SUMIFS(Sales_Data!$N$2:$N$3520,Sales_Data!$C$2:$C$3520,$A25,Sales_Data!$F$2:$F$3520,N$7,Sales_Data!$AE$2:$AE$3520,1),SUMIFS(Sales_Data!$AE$2:$AE$3520,Sales_Data!$C$2:$C$3520,$A25,Sales_Data!$F$2:$F$3520,N$7)))</f>
        <v>0</v>
      </c>
      <c r="O25" s="26" t="n">
        <f aca="false">IF(O$7="","",CHOOSE(MATCH($B$4,Lists!$C$2:$C$5,0),SUMIFS(Sales_Data!$O$2:$O$3520,Sales_Data!$C$2:$C$3520,$A25,Sales_Data!$F$2:$F$3520,O$7,Sales_Data!$AE$2:$AE$3520,1),SUMIFS(Sales_Data!$M$2:$M$3520,Sales_Data!$C$2:$C$3520,$A25,Sales_Data!$F$2:$F$3520,O$7,Sales_Data!$AE$2:$AE$3520,1),SUMIFS(Sales_Data!$N$2:$N$3520,Sales_Data!$C$2:$C$3520,$A25,Sales_Data!$F$2:$F$3520,O$7,Sales_Data!$AE$2:$AE$3520,1),SUMIFS(Sales_Data!$AE$2:$AE$3520,Sales_Data!$C$2:$C$3520,$A25,Sales_Data!$F$2:$F$3520,O$7)))</f>
        <v>0</v>
      </c>
      <c r="P25" s="26" t="n">
        <f aca="false">IF(P$7="","",CHOOSE(MATCH($B$4,Lists!$C$2:$C$5,0),SUMIFS(Sales_Data!$O$2:$O$3520,Sales_Data!$C$2:$C$3520,$A25,Sales_Data!$F$2:$F$3520,P$7,Sales_Data!$AE$2:$AE$3520,1),SUMIFS(Sales_Data!$M$2:$M$3520,Sales_Data!$C$2:$C$3520,$A25,Sales_Data!$F$2:$F$3520,P$7,Sales_Data!$AE$2:$AE$3520,1),SUMIFS(Sales_Data!$N$2:$N$3520,Sales_Data!$C$2:$C$3520,$A25,Sales_Data!$F$2:$F$3520,P$7,Sales_Data!$AE$2:$AE$3520,1),SUMIFS(Sales_Data!$AE$2:$AE$3520,Sales_Data!$C$2:$C$3520,$A25,Sales_Data!$F$2:$F$3520,P$7)))</f>
        <v>0</v>
      </c>
      <c r="Q25" s="26" t="n">
        <f aca="false">IF(Q$7="","",CHOOSE(MATCH($B$4,Lists!$C$2:$C$5,0),SUMIFS(Sales_Data!$O$2:$O$3520,Sales_Data!$C$2:$C$3520,$A25,Sales_Data!$F$2:$F$3520,Q$7,Sales_Data!$AE$2:$AE$3520,1),SUMIFS(Sales_Data!$M$2:$M$3520,Sales_Data!$C$2:$C$3520,$A25,Sales_Data!$F$2:$F$3520,Q$7,Sales_Data!$AE$2:$AE$3520,1),SUMIFS(Sales_Data!$N$2:$N$3520,Sales_Data!$C$2:$C$3520,$A25,Sales_Data!$F$2:$F$3520,Q$7,Sales_Data!$AE$2:$AE$3520,1),SUMIFS(Sales_Data!$AE$2:$AE$3520,Sales_Data!$C$2:$C$3520,$A25,Sales_Data!$F$2:$F$3520,Q$7)))</f>
        <v>0</v>
      </c>
      <c r="R25" s="26" t="n">
        <f aca="false">IF(R$7="","",CHOOSE(MATCH($B$4,Lists!$C$2:$C$5,0),SUMIFS(Sales_Data!$O$2:$O$3520,Sales_Data!$C$2:$C$3520,$A25,Sales_Data!$F$2:$F$3520,R$7,Sales_Data!$AE$2:$AE$3520,1),SUMIFS(Sales_Data!$M$2:$M$3520,Sales_Data!$C$2:$C$3520,$A25,Sales_Data!$F$2:$F$3520,R$7,Sales_Data!$AE$2:$AE$3520,1),SUMIFS(Sales_Data!$N$2:$N$3520,Sales_Data!$C$2:$C$3520,$A25,Sales_Data!$F$2:$F$3520,R$7,Sales_Data!$AE$2:$AE$3520,1),SUMIFS(Sales_Data!$AE$2:$AE$3520,Sales_Data!$C$2:$C$3520,$A25,Sales_Data!$F$2:$F$3520,R$7)))</f>
        <v>0</v>
      </c>
      <c r="S25" s="26" t="n">
        <f aca="false">IF(S$7="","",CHOOSE(MATCH($B$4,Lists!$C$2:$C$5,0),SUMIFS(Sales_Data!$O$2:$O$3520,Sales_Data!$C$2:$C$3520,$A25,Sales_Data!$F$2:$F$3520,S$7,Sales_Data!$AE$2:$AE$3520,1),SUMIFS(Sales_Data!$M$2:$M$3520,Sales_Data!$C$2:$C$3520,$A25,Sales_Data!$F$2:$F$3520,S$7,Sales_Data!$AE$2:$AE$3520,1),SUMIFS(Sales_Data!$N$2:$N$3520,Sales_Data!$C$2:$C$3520,$A25,Sales_Data!$F$2:$F$3520,S$7,Sales_Data!$AE$2:$AE$3520,1),SUMIFS(Sales_Data!$AE$2:$AE$3520,Sales_Data!$C$2:$C$3520,$A25,Sales_Data!$F$2:$F$3520,S$7)))</f>
        <v>0</v>
      </c>
      <c r="T25" s="26" t="str">
        <f aca="false">IF(T$7="","",CHOOSE(MATCH($B$4,Lists!$C$2:$C$5,0),SUMIFS(Sales_Data!$O$2:$O$3520,Sales_Data!$C$2:$C$3520,$A25,Sales_Data!$F$2:$F$3520,T$7,Sales_Data!$AE$2:$AE$3520,1),SUMIFS(Sales_Data!$M$2:$M$3520,Sales_Data!$C$2:$C$3520,$A25,Sales_Data!$F$2:$F$3520,T$7,Sales_Data!$AE$2:$AE$3520,1),SUMIFS(Sales_Data!$N$2:$N$3520,Sales_Data!$C$2:$C$3520,$A25,Sales_Data!$F$2:$F$3520,T$7,Sales_Data!$AE$2:$AE$3520,1),SUMIFS(Sales_Data!$AE$2:$AE$3520,Sales_Data!$C$2:$C$3520,$A25,Sales_Data!$F$2:$F$3520,T$7)))</f>
        <v/>
      </c>
      <c r="U25" s="26" t="str">
        <f aca="false">IF(U$7="","",CHOOSE(MATCH($B$4,Lists!$C$2:$C$5,0),SUMIFS(Sales_Data!$O$2:$O$3520,Sales_Data!$C$2:$C$3520,$A25,Sales_Data!$F$2:$F$3520,U$7,Sales_Data!$AE$2:$AE$3520,1),SUMIFS(Sales_Data!$M$2:$M$3520,Sales_Data!$C$2:$C$3520,$A25,Sales_Data!$F$2:$F$3520,U$7,Sales_Data!$AE$2:$AE$3520,1),SUMIFS(Sales_Data!$N$2:$N$3520,Sales_Data!$C$2:$C$3520,$A25,Sales_Data!$F$2:$F$3520,U$7,Sales_Data!$AE$2:$AE$3520,1),SUMIFS(Sales_Data!$AE$2:$AE$3520,Sales_Data!$C$2:$C$3520,$A25,Sales_Data!$F$2:$F$3520,U$7)))</f>
        <v/>
      </c>
      <c r="V25" s="26" t="str">
        <f aca="false">IF(V$7="","",CHOOSE(MATCH($B$4,Lists!$C$2:$C$5,0),SUMIFS(Sales_Data!$O$2:$O$3520,Sales_Data!$C$2:$C$3520,$A25,Sales_Data!$F$2:$F$3520,V$7,Sales_Data!$AE$2:$AE$3520,1),SUMIFS(Sales_Data!$M$2:$M$3520,Sales_Data!$C$2:$C$3520,$A25,Sales_Data!$F$2:$F$3520,V$7,Sales_Data!$AE$2:$AE$3520,1),SUMIFS(Sales_Data!$N$2:$N$3520,Sales_Data!$C$2:$C$3520,$A25,Sales_Data!$F$2:$F$3520,V$7,Sales_Data!$AE$2:$AE$3520,1),SUMIFS(Sales_Data!$AE$2:$AE$3520,Sales_Data!$C$2:$C$3520,$A25,Sales_Data!$F$2:$F$3520,V$7)))</f>
        <v/>
      </c>
      <c r="W25" s="26" t="str">
        <f aca="false">IF(W$7="","",CHOOSE(MATCH($B$4,Lists!$C$2:$C$5,0),SUMIFS(Sales_Data!$O$2:$O$3520,Sales_Data!$C$2:$C$3520,$A25,Sales_Data!$F$2:$F$3520,W$7,Sales_Data!$AE$2:$AE$3520,1),SUMIFS(Sales_Data!$M$2:$M$3520,Sales_Data!$C$2:$C$3520,$A25,Sales_Data!$F$2:$F$3520,W$7,Sales_Data!$AE$2:$AE$3520,1),SUMIFS(Sales_Data!$N$2:$N$3520,Sales_Data!$C$2:$C$3520,$A25,Sales_Data!$F$2:$F$3520,W$7,Sales_Data!$AE$2:$AE$3520,1),SUMIFS(Sales_Data!$AE$2:$AE$3520,Sales_Data!$C$2:$C$3520,$A25,Sales_Data!$F$2:$F$3520,W$7)))</f>
        <v/>
      </c>
      <c r="X25" s="26" t="str">
        <f aca="false">IF(X$7="","",CHOOSE(MATCH($B$4,Lists!$C$2:$C$5,0),SUMIFS(Sales_Data!$O$2:$O$3520,Sales_Data!$C$2:$C$3520,$A25,Sales_Data!$F$2:$F$3520,X$7,Sales_Data!$AE$2:$AE$3520,1),SUMIFS(Sales_Data!$M$2:$M$3520,Sales_Data!$C$2:$C$3520,$A25,Sales_Data!$F$2:$F$3520,X$7,Sales_Data!$AE$2:$AE$3520,1),SUMIFS(Sales_Data!$N$2:$N$3520,Sales_Data!$C$2:$C$3520,$A25,Sales_Data!$F$2:$F$3520,X$7,Sales_Data!$AE$2:$AE$3520,1),SUMIFS(Sales_Data!$AE$2:$AE$3520,Sales_Data!$C$2:$C$3520,$A25,Sales_Data!$F$2:$F$3520,X$7)))</f>
        <v/>
      </c>
      <c r="Y25" s="26" t="str">
        <f aca="false">IF(Y$7="","",CHOOSE(MATCH($B$4,Lists!$C$2:$C$5,0),SUMIFS(Sales_Data!$O$2:$O$3520,Sales_Data!$C$2:$C$3520,$A25,Sales_Data!$F$2:$F$3520,Y$7,Sales_Data!$AE$2:$AE$3520,1),SUMIFS(Sales_Data!$M$2:$M$3520,Sales_Data!$C$2:$C$3520,$A25,Sales_Data!$F$2:$F$3520,Y$7,Sales_Data!$AE$2:$AE$3520,1),SUMIFS(Sales_Data!$N$2:$N$3520,Sales_Data!$C$2:$C$3520,$A25,Sales_Data!$F$2:$F$3520,Y$7,Sales_Data!$AE$2:$AE$3520,1),SUMIFS(Sales_Data!$AE$2:$AE$3520,Sales_Data!$C$2:$C$3520,$A25,Sales_Data!$F$2:$F$3520,Y$7)))</f>
        <v/>
      </c>
      <c r="Z25" s="26" t="str">
        <f aca="false">IF(Z$7="","",CHOOSE(MATCH($B$4,Lists!$C$2:$C$5,0),SUMIFS(Sales_Data!$O$2:$O$3520,Sales_Data!$C$2:$C$3520,$A25,Sales_Data!$F$2:$F$3520,Z$7,Sales_Data!$AE$2:$AE$3520,1),SUMIFS(Sales_Data!$M$2:$M$3520,Sales_Data!$C$2:$C$3520,$A25,Sales_Data!$F$2:$F$3520,Z$7,Sales_Data!$AE$2:$AE$3520,1),SUMIFS(Sales_Data!$N$2:$N$3520,Sales_Data!$C$2:$C$3520,$A25,Sales_Data!$F$2:$F$3520,Z$7,Sales_Data!$AE$2:$AE$3520,1),SUMIFS(Sales_Data!$AE$2:$AE$3520,Sales_Data!$C$2:$C$3520,$A25,Sales_Data!$F$2:$F$3520,Z$7)))</f>
        <v/>
      </c>
      <c r="AA25" s="27" t="n">
        <f aca="false">SUM(B25:Z25)</f>
        <v>0</v>
      </c>
      <c r="AB25" s="3"/>
      <c r="AC25" s="72" t="n">
        <f aca="false">A25</f>
        <v>46232</v>
      </c>
      <c r="AD25" s="28" t="n">
        <f aca="false">IF(B25="","",B25-B24)</f>
        <v>0</v>
      </c>
      <c r="AE25" s="28" t="n">
        <f aca="false">IF(C25="","",C25-C24)</f>
        <v>0</v>
      </c>
      <c r="AF25" s="28" t="n">
        <f aca="false">IF(D25="","",D25-D24)</f>
        <v>0</v>
      </c>
      <c r="AG25" s="28" t="n">
        <f aca="false">IF(E25="","",E25-E24)</f>
        <v>0</v>
      </c>
      <c r="AH25" s="28" t="n">
        <f aca="false">IF(F25="","",F25-F24)</f>
        <v>0</v>
      </c>
      <c r="AI25" s="28" t="n">
        <f aca="false">IF(G25="","",G25-G24)</f>
        <v>0</v>
      </c>
      <c r="AJ25" s="28" t="n">
        <f aca="false">IF(H25="","",H25-H24)</f>
        <v>0</v>
      </c>
      <c r="AK25" s="28" t="n">
        <f aca="false">IF(I25="","",I25-I24)</f>
        <v>0</v>
      </c>
      <c r="AL25" s="28" t="n">
        <f aca="false">IF(J25="","",J25-J24)</f>
        <v>0</v>
      </c>
      <c r="AM25" s="28" t="n">
        <f aca="false">IF(K25="","",K25-K24)</f>
        <v>0</v>
      </c>
      <c r="AN25" s="28" t="n">
        <f aca="false">IF(L25="","",L25-L24)</f>
        <v>0</v>
      </c>
      <c r="AO25" s="28" t="n">
        <f aca="false">IF(M25="","",M25-M24)</f>
        <v>0</v>
      </c>
      <c r="AP25" s="28" t="n">
        <f aca="false">IF(N25="","",N25-N24)</f>
        <v>0</v>
      </c>
      <c r="AQ25" s="28" t="n">
        <f aca="false">IF(O25="","",O25-O24)</f>
        <v>0</v>
      </c>
      <c r="AR25" s="28" t="n">
        <f aca="false">IF(P25="","",P25-P24)</f>
        <v>0</v>
      </c>
      <c r="AS25" s="28" t="n">
        <f aca="false">IF(Q25="","",Q25-Q24)</f>
        <v>0</v>
      </c>
      <c r="AT25" s="28" t="n">
        <f aca="false">IF(R25="","",R25-R24)</f>
        <v>0</v>
      </c>
      <c r="AU25" s="28" t="n">
        <f aca="false">IF(S25="","",S25-S24)</f>
        <v>0</v>
      </c>
      <c r="AV25" s="28" t="str">
        <f aca="false">IF(T25="","",T25-T24)</f>
        <v/>
      </c>
      <c r="AW25" s="28" t="str">
        <f aca="false">IF(U25="","",U25-U24)</f>
        <v/>
      </c>
      <c r="AX25" s="28" t="str">
        <f aca="false">IF(V25="","",V25-V24)</f>
        <v/>
      </c>
      <c r="AY25" s="28" t="str">
        <f aca="false">IF(W25="","",W25-W24)</f>
        <v/>
      </c>
      <c r="AZ25" s="28" t="str">
        <f aca="false">IF(X25="","",X25-X24)</f>
        <v/>
      </c>
      <c r="BA25" s="28" t="str">
        <f aca="false">IF(Y25="","",Y25-Y24)</f>
        <v/>
      </c>
      <c r="BB25" s="28" t="str">
        <f aca="false">IF(Z25="","",Z25-Z24)</f>
        <v/>
      </c>
      <c r="BC25" s="28" t="n">
        <f aca="false">IF(AA25="","",AA25-AA24)</f>
        <v>0</v>
      </c>
    </row>
    <row r="26" customFormat="false" ht="15" hidden="false" customHeight="false" outlineLevel="0" collapsed="false">
      <c r="A26" s="72" t="n">
        <v>46233</v>
      </c>
      <c r="B26" s="26" t="n">
        <f aca="false">IF(B$7="","",CHOOSE(MATCH($B$4,Lists!$C$2:$C$5,0),SUMIFS(Sales_Data!$O$2:$O$3520,Sales_Data!$C$2:$C$3520,$A26,Sales_Data!$F$2:$F$3520,B$7,Sales_Data!$AE$2:$AE$3520,1),SUMIFS(Sales_Data!$M$2:$M$3520,Sales_Data!$C$2:$C$3520,$A26,Sales_Data!$F$2:$F$3520,B$7,Sales_Data!$AE$2:$AE$3520,1),SUMIFS(Sales_Data!$N$2:$N$3520,Sales_Data!$C$2:$C$3520,$A26,Sales_Data!$F$2:$F$3520,B$7,Sales_Data!$AE$2:$AE$3520,1),SUMIFS(Sales_Data!$AE$2:$AE$3520,Sales_Data!$C$2:$C$3520,$A26,Sales_Data!$F$2:$F$3520,B$7)))</f>
        <v>0</v>
      </c>
      <c r="C26" s="26" t="n">
        <f aca="false">IF(C$7="","",CHOOSE(MATCH($B$4,Lists!$C$2:$C$5,0),SUMIFS(Sales_Data!$O$2:$O$3520,Sales_Data!$C$2:$C$3520,$A26,Sales_Data!$F$2:$F$3520,C$7,Sales_Data!$AE$2:$AE$3520,1),SUMIFS(Sales_Data!$M$2:$M$3520,Sales_Data!$C$2:$C$3520,$A26,Sales_Data!$F$2:$F$3520,C$7,Sales_Data!$AE$2:$AE$3520,1),SUMIFS(Sales_Data!$N$2:$N$3520,Sales_Data!$C$2:$C$3520,$A26,Sales_Data!$F$2:$F$3520,C$7,Sales_Data!$AE$2:$AE$3520,1),SUMIFS(Sales_Data!$AE$2:$AE$3520,Sales_Data!$C$2:$C$3520,$A26,Sales_Data!$F$2:$F$3520,C$7)))</f>
        <v>0</v>
      </c>
      <c r="D26" s="26" t="n">
        <f aca="false">IF(D$7="","",CHOOSE(MATCH($B$4,Lists!$C$2:$C$5,0),SUMIFS(Sales_Data!$O$2:$O$3520,Sales_Data!$C$2:$C$3520,$A26,Sales_Data!$F$2:$F$3520,D$7,Sales_Data!$AE$2:$AE$3520,1),SUMIFS(Sales_Data!$M$2:$M$3520,Sales_Data!$C$2:$C$3520,$A26,Sales_Data!$F$2:$F$3520,D$7,Sales_Data!$AE$2:$AE$3520,1),SUMIFS(Sales_Data!$N$2:$N$3520,Sales_Data!$C$2:$C$3520,$A26,Sales_Data!$F$2:$F$3520,D$7,Sales_Data!$AE$2:$AE$3520,1),SUMIFS(Sales_Data!$AE$2:$AE$3520,Sales_Data!$C$2:$C$3520,$A26,Sales_Data!$F$2:$F$3520,D$7)))</f>
        <v>0</v>
      </c>
      <c r="E26" s="26" t="n">
        <f aca="false">IF(E$7="","",CHOOSE(MATCH($B$4,Lists!$C$2:$C$5,0),SUMIFS(Sales_Data!$O$2:$O$3520,Sales_Data!$C$2:$C$3520,$A26,Sales_Data!$F$2:$F$3520,E$7,Sales_Data!$AE$2:$AE$3520,1),SUMIFS(Sales_Data!$M$2:$M$3520,Sales_Data!$C$2:$C$3520,$A26,Sales_Data!$F$2:$F$3520,E$7,Sales_Data!$AE$2:$AE$3520,1),SUMIFS(Sales_Data!$N$2:$N$3520,Sales_Data!$C$2:$C$3520,$A26,Sales_Data!$F$2:$F$3520,E$7,Sales_Data!$AE$2:$AE$3520,1),SUMIFS(Sales_Data!$AE$2:$AE$3520,Sales_Data!$C$2:$C$3520,$A26,Sales_Data!$F$2:$F$3520,E$7)))</f>
        <v>0</v>
      </c>
      <c r="F26" s="26" t="n">
        <f aca="false">IF(F$7="","",CHOOSE(MATCH($B$4,Lists!$C$2:$C$5,0),SUMIFS(Sales_Data!$O$2:$O$3520,Sales_Data!$C$2:$C$3520,$A26,Sales_Data!$F$2:$F$3520,F$7,Sales_Data!$AE$2:$AE$3520,1),SUMIFS(Sales_Data!$M$2:$M$3520,Sales_Data!$C$2:$C$3520,$A26,Sales_Data!$F$2:$F$3520,F$7,Sales_Data!$AE$2:$AE$3520,1),SUMIFS(Sales_Data!$N$2:$N$3520,Sales_Data!$C$2:$C$3520,$A26,Sales_Data!$F$2:$F$3520,F$7,Sales_Data!$AE$2:$AE$3520,1),SUMIFS(Sales_Data!$AE$2:$AE$3520,Sales_Data!$C$2:$C$3520,$A26,Sales_Data!$F$2:$F$3520,F$7)))</f>
        <v>0</v>
      </c>
      <c r="G26" s="26" t="n">
        <f aca="false">IF(G$7="","",CHOOSE(MATCH($B$4,Lists!$C$2:$C$5,0),SUMIFS(Sales_Data!$O$2:$O$3520,Sales_Data!$C$2:$C$3520,$A26,Sales_Data!$F$2:$F$3520,G$7,Sales_Data!$AE$2:$AE$3520,1),SUMIFS(Sales_Data!$M$2:$M$3520,Sales_Data!$C$2:$C$3520,$A26,Sales_Data!$F$2:$F$3520,G$7,Sales_Data!$AE$2:$AE$3520,1),SUMIFS(Sales_Data!$N$2:$N$3520,Sales_Data!$C$2:$C$3520,$A26,Sales_Data!$F$2:$F$3520,G$7,Sales_Data!$AE$2:$AE$3520,1),SUMIFS(Sales_Data!$AE$2:$AE$3520,Sales_Data!$C$2:$C$3520,$A26,Sales_Data!$F$2:$F$3520,G$7)))</f>
        <v>0</v>
      </c>
      <c r="H26" s="26" t="n">
        <f aca="false">IF(H$7="","",CHOOSE(MATCH($B$4,Lists!$C$2:$C$5,0),SUMIFS(Sales_Data!$O$2:$O$3520,Sales_Data!$C$2:$C$3520,$A26,Sales_Data!$F$2:$F$3520,H$7,Sales_Data!$AE$2:$AE$3520,1),SUMIFS(Sales_Data!$M$2:$M$3520,Sales_Data!$C$2:$C$3520,$A26,Sales_Data!$F$2:$F$3520,H$7,Sales_Data!$AE$2:$AE$3520,1),SUMIFS(Sales_Data!$N$2:$N$3520,Sales_Data!$C$2:$C$3520,$A26,Sales_Data!$F$2:$F$3520,H$7,Sales_Data!$AE$2:$AE$3520,1),SUMIFS(Sales_Data!$AE$2:$AE$3520,Sales_Data!$C$2:$C$3520,$A26,Sales_Data!$F$2:$F$3520,H$7)))</f>
        <v>0</v>
      </c>
      <c r="I26" s="26" t="n">
        <f aca="false">IF(I$7="","",CHOOSE(MATCH($B$4,Lists!$C$2:$C$5,0),SUMIFS(Sales_Data!$O$2:$O$3520,Sales_Data!$C$2:$C$3520,$A26,Sales_Data!$F$2:$F$3520,I$7,Sales_Data!$AE$2:$AE$3520,1),SUMIFS(Sales_Data!$M$2:$M$3520,Sales_Data!$C$2:$C$3520,$A26,Sales_Data!$F$2:$F$3520,I$7,Sales_Data!$AE$2:$AE$3520,1),SUMIFS(Sales_Data!$N$2:$N$3520,Sales_Data!$C$2:$C$3520,$A26,Sales_Data!$F$2:$F$3520,I$7,Sales_Data!$AE$2:$AE$3520,1),SUMIFS(Sales_Data!$AE$2:$AE$3520,Sales_Data!$C$2:$C$3520,$A26,Sales_Data!$F$2:$F$3520,I$7)))</f>
        <v>0</v>
      </c>
      <c r="J26" s="26" t="n">
        <f aca="false">IF(J$7="","",CHOOSE(MATCH($B$4,Lists!$C$2:$C$5,0),SUMIFS(Sales_Data!$O$2:$O$3520,Sales_Data!$C$2:$C$3520,$A26,Sales_Data!$F$2:$F$3520,J$7,Sales_Data!$AE$2:$AE$3520,1),SUMIFS(Sales_Data!$M$2:$M$3520,Sales_Data!$C$2:$C$3520,$A26,Sales_Data!$F$2:$F$3520,J$7,Sales_Data!$AE$2:$AE$3520,1),SUMIFS(Sales_Data!$N$2:$N$3520,Sales_Data!$C$2:$C$3520,$A26,Sales_Data!$F$2:$F$3520,J$7,Sales_Data!$AE$2:$AE$3520,1),SUMIFS(Sales_Data!$AE$2:$AE$3520,Sales_Data!$C$2:$C$3520,$A26,Sales_Data!$F$2:$F$3520,J$7)))</f>
        <v>0</v>
      </c>
      <c r="K26" s="26" t="n">
        <f aca="false">IF(K$7="","",CHOOSE(MATCH($B$4,Lists!$C$2:$C$5,0),SUMIFS(Sales_Data!$O$2:$O$3520,Sales_Data!$C$2:$C$3520,$A26,Sales_Data!$F$2:$F$3520,K$7,Sales_Data!$AE$2:$AE$3520,1),SUMIFS(Sales_Data!$M$2:$M$3520,Sales_Data!$C$2:$C$3520,$A26,Sales_Data!$F$2:$F$3520,K$7,Sales_Data!$AE$2:$AE$3520,1),SUMIFS(Sales_Data!$N$2:$N$3520,Sales_Data!$C$2:$C$3520,$A26,Sales_Data!$F$2:$F$3520,K$7,Sales_Data!$AE$2:$AE$3520,1),SUMIFS(Sales_Data!$AE$2:$AE$3520,Sales_Data!$C$2:$C$3520,$A26,Sales_Data!$F$2:$F$3520,K$7)))</f>
        <v>0</v>
      </c>
      <c r="L26" s="26" t="n">
        <f aca="false">IF(L$7="","",CHOOSE(MATCH($B$4,Lists!$C$2:$C$5,0),SUMIFS(Sales_Data!$O$2:$O$3520,Sales_Data!$C$2:$C$3520,$A26,Sales_Data!$F$2:$F$3520,L$7,Sales_Data!$AE$2:$AE$3520,1),SUMIFS(Sales_Data!$M$2:$M$3520,Sales_Data!$C$2:$C$3520,$A26,Sales_Data!$F$2:$F$3520,L$7,Sales_Data!$AE$2:$AE$3520,1),SUMIFS(Sales_Data!$N$2:$N$3520,Sales_Data!$C$2:$C$3520,$A26,Sales_Data!$F$2:$F$3520,L$7,Sales_Data!$AE$2:$AE$3520,1),SUMIFS(Sales_Data!$AE$2:$AE$3520,Sales_Data!$C$2:$C$3520,$A26,Sales_Data!$F$2:$F$3520,L$7)))</f>
        <v>0</v>
      </c>
      <c r="M26" s="26" t="n">
        <f aca="false">IF(M$7="","",CHOOSE(MATCH($B$4,Lists!$C$2:$C$5,0),SUMIFS(Sales_Data!$O$2:$O$3520,Sales_Data!$C$2:$C$3520,$A26,Sales_Data!$F$2:$F$3520,M$7,Sales_Data!$AE$2:$AE$3520,1),SUMIFS(Sales_Data!$M$2:$M$3520,Sales_Data!$C$2:$C$3520,$A26,Sales_Data!$F$2:$F$3520,M$7,Sales_Data!$AE$2:$AE$3520,1),SUMIFS(Sales_Data!$N$2:$N$3520,Sales_Data!$C$2:$C$3520,$A26,Sales_Data!$F$2:$F$3520,M$7,Sales_Data!$AE$2:$AE$3520,1),SUMIFS(Sales_Data!$AE$2:$AE$3520,Sales_Data!$C$2:$C$3520,$A26,Sales_Data!$F$2:$F$3520,M$7)))</f>
        <v>0</v>
      </c>
      <c r="N26" s="26" t="n">
        <f aca="false">IF(N$7="","",CHOOSE(MATCH($B$4,Lists!$C$2:$C$5,0),SUMIFS(Sales_Data!$O$2:$O$3520,Sales_Data!$C$2:$C$3520,$A26,Sales_Data!$F$2:$F$3520,N$7,Sales_Data!$AE$2:$AE$3520,1),SUMIFS(Sales_Data!$M$2:$M$3520,Sales_Data!$C$2:$C$3520,$A26,Sales_Data!$F$2:$F$3520,N$7,Sales_Data!$AE$2:$AE$3520,1),SUMIFS(Sales_Data!$N$2:$N$3520,Sales_Data!$C$2:$C$3520,$A26,Sales_Data!$F$2:$F$3520,N$7,Sales_Data!$AE$2:$AE$3520,1),SUMIFS(Sales_Data!$AE$2:$AE$3520,Sales_Data!$C$2:$C$3520,$A26,Sales_Data!$F$2:$F$3520,N$7)))</f>
        <v>0</v>
      </c>
      <c r="O26" s="26" t="n">
        <f aca="false">IF(O$7="","",CHOOSE(MATCH($B$4,Lists!$C$2:$C$5,0),SUMIFS(Sales_Data!$O$2:$O$3520,Sales_Data!$C$2:$C$3520,$A26,Sales_Data!$F$2:$F$3520,O$7,Sales_Data!$AE$2:$AE$3520,1),SUMIFS(Sales_Data!$M$2:$M$3520,Sales_Data!$C$2:$C$3520,$A26,Sales_Data!$F$2:$F$3520,O$7,Sales_Data!$AE$2:$AE$3520,1),SUMIFS(Sales_Data!$N$2:$N$3520,Sales_Data!$C$2:$C$3520,$A26,Sales_Data!$F$2:$F$3520,O$7,Sales_Data!$AE$2:$AE$3520,1),SUMIFS(Sales_Data!$AE$2:$AE$3520,Sales_Data!$C$2:$C$3520,$A26,Sales_Data!$F$2:$F$3520,O$7)))</f>
        <v>0</v>
      </c>
      <c r="P26" s="26" t="n">
        <f aca="false">IF(P$7="","",CHOOSE(MATCH($B$4,Lists!$C$2:$C$5,0),SUMIFS(Sales_Data!$O$2:$O$3520,Sales_Data!$C$2:$C$3520,$A26,Sales_Data!$F$2:$F$3520,P$7,Sales_Data!$AE$2:$AE$3520,1),SUMIFS(Sales_Data!$M$2:$M$3520,Sales_Data!$C$2:$C$3520,$A26,Sales_Data!$F$2:$F$3520,P$7,Sales_Data!$AE$2:$AE$3520,1),SUMIFS(Sales_Data!$N$2:$N$3520,Sales_Data!$C$2:$C$3520,$A26,Sales_Data!$F$2:$F$3520,P$7,Sales_Data!$AE$2:$AE$3520,1),SUMIFS(Sales_Data!$AE$2:$AE$3520,Sales_Data!$C$2:$C$3520,$A26,Sales_Data!$F$2:$F$3520,P$7)))</f>
        <v>0</v>
      </c>
      <c r="Q26" s="26" t="n">
        <f aca="false">IF(Q$7="","",CHOOSE(MATCH($B$4,Lists!$C$2:$C$5,0),SUMIFS(Sales_Data!$O$2:$O$3520,Sales_Data!$C$2:$C$3520,$A26,Sales_Data!$F$2:$F$3520,Q$7,Sales_Data!$AE$2:$AE$3520,1),SUMIFS(Sales_Data!$M$2:$M$3520,Sales_Data!$C$2:$C$3520,$A26,Sales_Data!$F$2:$F$3520,Q$7,Sales_Data!$AE$2:$AE$3520,1),SUMIFS(Sales_Data!$N$2:$N$3520,Sales_Data!$C$2:$C$3520,$A26,Sales_Data!$F$2:$F$3520,Q$7,Sales_Data!$AE$2:$AE$3520,1),SUMIFS(Sales_Data!$AE$2:$AE$3520,Sales_Data!$C$2:$C$3520,$A26,Sales_Data!$F$2:$F$3520,Q$7)))</f>
        <v>0</v>
      </c>
      <c r="R26" s="26" t="n">
        <f aca="false">IF(R$7="","",CHOOSE(MATCH($B$4,Lists!$C$2:$C$5,0),SUMIFS(Sales_Data!$O$2:$O$3520,Sales_Data!$C$2:$C$3520,$A26,Sales_Data!$F$2:$F$3520,R$7,Sales_Data!$AE$2:$AE$3520,1),SUMIFS(Sales_Data!$M$2:$M$3520,Sales_Data!$C$2:$C$3520,$A26,Sales_Data!$F$2:$F$3520,R$7,Sales_Data!$AE$2:$AE$3520,1),SUMIFS(Sales_Data!$N$2:$N$3520,Sales_Data!$C$2:$C$3520,$A26,Sales_Data!$F$2:$F$3520,R$7,Sales_Data!$AE$2:$AE$3520,1),SUMIFS(Sales_Data!$AE$2:$AE$3520,Sales_Data!$C$2:$C$3520,$A26,Sales_Data!$F$2:$F$3520,R$7)))</f>
        <v>0</v>
      </c>
      <c r="S26" s="26" t="n">
        <f aca="false">IF(S$7="","",CHOOSE(MATCH($B$4,Lists!$C$2:$C$5,0),SUMIFS(Sales_Data!$O$2:$O$3520,Sales_Data!$C$2:$C$3520,$A26,Sales_Data!$F$2:$F$3520,S$7,Sales_Data!$AE$2:$AE$3520,1),SUMIFS(Sales_Data!$M$2:$M$3520,Sales_Data!$C$2:$C$3520,$A26,Sales_Data!$F$2:$F$3520,S$7,Sales_Data!$AE$2:$AE$3520,1),SUMIFS(Sales_Data!$N$2:$N$3520,Sales_Data!$C$2:$C$3520,$A26,Sales_Data!$F$2:$F$3520,S$7,Sales_Data!$AE$2:$AE$3520,1),SUMIFS(Sales_Data!$AE$2:$AE$3520,Sales_Data!$C$2:$C$3520,$A26,Sales_Data!$F$2:$F$3520,S$7)))</f>
        <v>0</v>
      </c>
      <c r="T26" s="26" t="str">
        <f aca="false">IF(T$7="","",CHOOSE(MATCH($B$4,Lists!$C$2:$C$5,0),SUMIFS(Sales_Data!$O$2:$O$3520,Sales_Data!$C$2:$C$3520,$A26,Sales_Data!$F$2:$F$3520,T$7,Sales_Data!$AE$2:$AE$3520,1),SUMIFS(Sales_Data!$M$2:$M$3520,Sales_Data!$C$2:$C$3520,$A26,Sales_Data!$F$2:$F$3520,T$7,Sales_Data!$AE$2:$AE$3520,1),SUMIFS(Sales_Data!$N$2:$N$3520,Sales_Data!$C$2:$C$3520,$A26,Sales_Data!$F$2:$F$3520,T$7,Sales_Data!$AE$2:$AE$3520,1),SUMIFS(Sales_Data!$AE$2:$AE$3520,Sales_Data!$C$2:$C$3520,$A26,Sales_Data!$F$2:$F$3520,T$7)))</f>
        <v/>
      </c>
      <c r="U26" s="26" t="str">
        <f aca="false">IF(U$7="","",CHOOSE(MATCH($B$4,Lists!$C$2:$C$5,0),SUMIFS(Sales_Data!$O$2:$O$3520,Sales_Data!$C$2:$C$3520,$A26,Sales_Data!$F$2:$F$3520,U$7,Sales_Data!$AE$2:$AE$3520,1),SUMIFS(Sales_Data!$M$2:$M$3520,Sales_Data!$C$2:$C$3520,$A26,Sales_Data!$F$2:$F$3520,U$7,Sales_Data!$AE$2:$AE$3520,1),SUMIFS(Sales_Data!$N$2:$N$3520,Sales_Data!$C$2:$C$3520,$A26,Sales_Data!$F$2:$F$3520,U$7,Sales_Data!$AE$2:$AE$3520,1),SUMIFS(Sales_Data!$AE$2:$AE$3520,Sales_Data!$C$2:$C$3520,$A26,Sales_Data!$F$2:$F$3520,U$7)))</f>
        <v/>
      </c>
      <c r="V26" s="26" t="str">
        <f aca="false">IF(V$7="","",CHOOSE(MATCH($B$4,Lists!$C$2:$C$5,0),SUMIFS(Sales_Data!$O$2:$O$3520,Sales_Data!$C$2:$C$3520,$A26,Sales_Data!$F$2:$F$3520,V$7,Sales_Data!$AE$2:$AE$3520,1),SUMIFS(Sales_Data!$M$2:$M$3520,Sales_Data!$C$2:$C$3520,$A26,Sales_Data!$F$2:$F$3520,V$7,Sales_Data!$AE$2:$AE$3520,1),SUMIFS(Sales_Data!$N$2:$N$3520,Sales_Data!$C$2:$C$3520,$A26,Sales_Data!$F$2:$F$3520,V$7,Sales_Data!$AE$2:$AE$3520,1),SUMIFS(Sales_Data!$AE$2:$AE$3520,Sales_Data!$C$2:$C$3520,$A26,Sales_Data!$F$2:$F$3520,V$7)))</f>
        <v/>
      </c>
      <c r="W26" s="26" t="str">
        <f aca="false">IF(W$7="","",CHOOSE(MATCH($B$4,Lists!$C$2:$C$5,0),SUMIFS(Sales_Data!$O$2:$O$3520,Sales_Data!$C$2:$C$3520,$A26,Sales_Data!$F$2:$F$3520,W$7,Sales_Data!$AE$2:$AE$3520,1),SUMIFS(Sales_Data!$M$2:$M$3520,Sales_Data!$C$2:$C$3520,$A26,Sales_Data!$F$2:$F$3520,W$7,Sales_Data!$AE$2:$AE$3520,1),SUMIFS(Sales_Data!$N$2:$N$3520,Sales_Data!$C$2:$C$3520,$A26,Sales_Data!$F$2:$F$3520,W$7,Sales_Data!$AE$2:$AE$3520,1),SUMIFS(Sales_Data!$AE$2:$AE$3520,Sales_Data!$C$2:$C$3520,$A26,Sales_Data!$F$2:$F$3520,W$7)))</f>
        <v/>
      </c>
      <c r="X26" s="26" t="str">
        <f aca="false">IF(X$7="","",CHOOSE(MATCH($B$4,Lists!$C$2:$C$5,0),SUMIFS(Sales_Data!$O$2:$O$3520,Sales_Data!$C$2:$C$3520,$A26,Sales_Data!$F$2:$F$3520,X$7,Sales_Data!$AE$2:$AE$3520,1),SUMIFS(Sales_Data!$M$2:$M$3520,Sales_Data!$C$2:$C$3520,$A26,Sales_Data!$F$2:$F$3520,X$7,Sales_Data!$AE$2:$AE$3520,1),SUMIFS(Sales_Data!$N$2:$N$3520,Sales_Data!$C$2:$C$3520,$A26,Sales_Data!$F$2:$F$3520,X$7,Sales_Data!$AE$2:$AE$3520,1),SUMIFS(Sales_Data!$AE$2:$AE$3520,Sales_Data!$C$2:$C$3520,$A26,Sales_Data!$F$2:$F$3520,X$7)))</f>
        <v/>
      </c>
      <c r="Y26" s="26" t="str">
        <f aca="false">IF(Y$7="","",CHOOSE(MATCH($B$4,Lists!$C$2:$C$5,0),SUMIFS(Sales_Data!$O$2:$O$3520,Sales_Data!$C$2:$C$3520,$A26,Sales_Data!$F$2:$F$3520,Y$7,Sales_Data!$AE$2:$AE$3520,1),SUMIFS(Sales_Data!$M$2:$M$3520,Sales_Data!$C$2:$C$3520,$A26,Sales_Data!$F$2:$F$3520,Y$7,Sales_Data!$AE$2:$AE$3520,1),SUMIFS(Sales_Data!$N$2:$N$3520,Sales_Data!$C$2:$C$3520,$A26,Sales_Data!$F$2:$F$3520,Y$7,Sales_Data!$AE$2:$AE$3520,1),SUMIFS(Sales_Data!$AE$2:$AE$3520,Sales_Data!$C$2:$C$3520,$A26,Sales_Data!$F$2:$F$3520,Y$7)))</f>
        <v/>
      </c>
      <c r="Z26" s="26" t="str">
        <f aca="false">IF(Z$7="","",CHOOSE(MATCH($B$4,Lists!$C$2:$C$5,0),SUMIFS(Sales_Data!$O$2:$O$3520,Sales_Data!$C$2:$C$3520,$A26,Sales_Data!$F$2:$F$3520,Z$7,Sales_Data!$AE$2:$AE$3520,1),SUMIFS(Sales_Data!$M$2:$M$3520,Sales_Data!$C$2:$C$3520,$A26,Sales_Data!$F$2:$F$3520,Z$7,Sales_Data!$AE$2:$AE$3520,1),SUMIFS(Sales_Data!$N$2:$N$3520,Sales_Data!$C$2:$C$3520,$A26,Sales_Data!$F$2:$F$3520,Z$7,Sales_Data!$AE$2:$AE$3520,1),SUMIFS(Sales_Data!$AE$2:$AE$3520,Sales_Data!$C$2:$C$3520,$A26,Sales_Data!$F$2:$F$3520,Z$7)))</f>
        <v/>
      </c>
      <c r="AA26" s="27" t="n">
        <f aca="false">SUM(B26:Z26)</f>
        <v>0</v>
      </c>
      <c r="AB26" s="3"/>
      <c r="AC26" s="72" t="n">
        <f aca="false">A26</f>
        <v>46233</v>
      </c>
      <c r="AD26" s="28" t="n">
        <f aca="false">IF(B26="","",B26-B25)</f>
        <v>0</v>
      </c>
      <c r="AE26" s="28" t="n">
        <f aca="false">IF(C26="","",C26-C25)</f>
        <v>0</v>
      </c>
      <c r="AF26" s="28" t="n">
        <f aca="false">IF(D26="","",D26-D25)</f>
        <v>0</v>
      </c>
      <c r="AG26" s="28" t="n">
        <f aca="false">IF(E26="","",E26-E25)</f>
        <v>0</v>
      </c>
      <c r="AH26" s="28" t="n">
        <f aca="false">IF(F26="","",F26-F25)</f>
        <v>0</v>
      </c>
      <c r="AI26" s="28" t="n">
        <f aca="false">IF(G26="","",G26-G25)</f>
        <v>0</v>
      </c>
      <c r="AJ26" s="28" t="n">
        <f aca="false">IF(H26="","",H26-H25)</f>
        <v>0</v>
      </c>
      <c r="AK26" s="28" t="n">
        <f aca="false">IF(I26="","",I26-I25)</f>
        <v>0</v>
      </c>
      <c r="AL26" s="28" t="n">
        <f aca="false">IF(J26="","",J26-J25)</f>
        <v>0</v>
      </c>
      <c r="AM26" s="28" t="n">
        <f aca="false">IF(K26="","",K26-K25)</f>
        <v>0</v>
      </c>
      <c r="AN26" s="28" t="n">
        <f aca="false">IF(L26="","",L26-L25)</f>
        <v>0</v>
      </c>
      <c r="AO26" s="28" t="n">
        <f aca="false">IF(M26="","",M26-M25)</f>
        <v>0</v>
      </c>
      <c r="AP26" s="28" t="n">
        <f aca="false">IF(N26="","",N26-N25)</f>
        <v>0</v>
      </c>
      <c r="AQ26" s="28" t="n">
        <f aca="false">IF(O26="","",O26-O25)</f>
        <v>0</v>
      </c>
      <c r="AR26" s="28" t="n">
        <f aca="false">IF(P26="","",P26-P25)</f>
        <v>0</v>
      </c>
      <c r="AS26" s="28" t="n">
        <f aca="false">IF(Q26="","",Q26-Q25)</f>
        <v>0</v>
      </c>
      <c r="AT26" s="28" t="n">
        <f aca="false">IF(R26="","",R26-R25)</f>
        <v>0</v>
      </c>
      <c r="AU26" s="28" t="n">
        <f aca="false">IF(S26="","",S26-S25)</f>
        <v>0</v>
      </c>
      <c r="AV26" s="28" t="str">
        <f aca="false">IF(T26="","",T26-T25)</f>
        <v/>
      </c>
      <c r="AW26" s="28" t="str">
        <f aca="false">IF(U26="","",U26-U25)</f>
        <v/>
      </c>
      <c r="AX26" s="28" t="str">
        <f aca="false">IF(V26="","",V26-V25)</f>
        <v/>
      </c>
      <c r="AY26" s="28" t="str">
        <f aca="false">IF(W26="","",W26-W25)</f>
        <v/>
      </c>
      <c r="AZ26" s="28" t="str">
        <f aca="false">IF(X26="","",X26-X25)</f>
        <v/>
      </c>
      <c r="BA26" s="28" t="str">
        <f aca="false">IF(Y26="","",Y26-Y25)</f>
        <v/>
      </c>
      <c r="BB26" s="28" t="str">
        <f aca="false">IF(Z26="","",Z26-Z25)</f>
        <v/>
      </c>
      <c r="BC26" s="28" t="n">
        <f aca="false">IF(AA26="","",AA26-AA25)</f>
        <v>0</v>
      </c>
    </row>
    <row r="27" customFormat="false" ht="15" hidden="false" customHeight="false" outlineLevel="0" collapsed="false">
      <c r="A27" s="72" t="n">
        <v>46234</v>
      </c>
      <c r="B27" s="26" t="n">
        <f aca="false">IF(B$7="","",CHOOSE(MATCH($B$4,Lists!$C$2:$C$5,0),SUMIFS(Sales_Data!$O$2:$O$3520,Sales_Data!$C$2:$C$3520,$A27,Sales_Data!$F$2:$F$3520,B$7,Sales_Data!$AE$2:$AE$3520,1),SUMIFS(Sales_Data!$M$2:$M$3520,Sales_Data!$C$2:$C$3520,$A27,Sales_Data!$F$2:$F$3520,B$7,Sales_Data!$AE$2:$AE$3520,1),SUMIFS(Sales_Data!$N$2:$N$3520,Sales_Data!$C$2:$C$3520,$A27,Sales_Data!$F$2:$F$3520,B$7,Sales_Data!$AE$2:$AE$3520,1),SUMIFS(Sales_Data!$AE$2:$AE$3520,Sales_Data!$C$2:$C$3520,$A27,Sales_Data!$F$2:$F$3520,B$7)))</f>
        <v>0</v>
      </c>
      <c r="C27" s="26" t="n">
        <f aca="false">IF(C$7="","",CHOOSE(MATCH($B$4,Lists!$C$2:$C$5,0),SUMIFS(Sales_Data!$O$2:$O$3520,Sales_Data!$C$2:$C$3520,$A27,Sales_Data!$F$2:$F$3520,C$7,Sales_Data!$AE$2:$AE$3520,1),SUMIFS(Sales_Data!$M$2:$M$3520,Sales_Data!$C$2:$C$3520,$A27,Sales_Data!$F$2:$F$3520,C$7,Sales_Data!$AE$2:$AE$3520,1),SUMIFS(Sales_Data!$N$2:$N$3520,Sales_Data!$C$2:$C$3520,$A27,Sales_Data!$F$2:$F$3520,C$7,Sales_Data!$AE$2:$AE$3520,1),SUMIFS(Sales_Data!$AE$2:$AE$3520,Sales_Data!$C$2:$C$3520,$A27,Sales_Data!$F$2:$F$3520,C$7)))</f>
        <v>0</v>
      </c>
      <c r="D27" s="26" t="n">
        <f aca="false">IF(D$7="","",CHOOSE(MATCH($B$4,Lists!$C$2:$C$5,0),SUMIFS(Sales_Data!$O$2:$O$3520,Sales_Data!$C$2:$C$3520,$A27,Sales_Data!$F$2:$F$3520,D$7,Sales_Data!$AE$2:$AE$3520,1),SUMIFS(Sales_Data!$M$2:$M$3520,Sales_Data!$C$2:$C$3520,$A27,Sales_Data!$F$2:$F$3520,D$7,Sales_Data!$AE$2:$AE$3520,1),SUMIFS(Sales_Data!$N$2:$N$3520,Sales_Data!$C$2:$C$3520,$A27,Sales_Data!$F$2:$F$3520,D$7,Sales_Data!$AE$2:$AE$3520,1),SUMIFS(Sales_Data!$AE$2:$AE$3520,Sales_Data!$C$2:$C$3520,$A27,Sales_Data!$F$2:$F$3520,D$7)))</f>
        <v>0</v>
      </c>
      <c r="E27" s="26" t="n">
        <f aca="false">IF(E$7="","",CHOOSE(MATCH($B$4,Lists!$C$2:$C$5,0),SUMIFS(Sales_Data!$O$2:$O$3520,Sales_Data!$C$2:$C$3520,$A27,Sales_Data!$F$2:$F$3520,E$7,Sales_Data!$AE$2:$AE$3520,1),SUMIFS(Sales_Data!$M$2:$M$3520,Sales_Data!$C$2:$C$3520,$A27,Sales_Data!$F$2:$F$3520,E$7,Sales_Data!$AE$2:$AE$3520,1),SUMIFS(Sales_Data!$N$2:$N$3520,Sales_Data!$C$2:$C$3520,$A27,Sales_Data!$F$2:$F$3520,E$7,Sales_Data!$AE$2:$AE$3520,1),SUMIFS(Sales_Data!$AE$2:$AE$3520,Sales_Data!$C$2:$C$3520,$A27,Sales_Data!$F$2:$F$3520,E$7)))</f>
        <v>0</v>
      </c>
      <c r="F27" s="26" t="n">
        <f aca="false">IF(F$7="","",CHOOSE(MATCH($B$4,Lists!$C$2:$C$5,0),SUMIFS(Sales_Data!$O$2:$O$3520,Sales_Data!$C$2:$C$3520,$A27,Sales_Data!$F$2:$F$3520,F$7,Sales_Data!$AE$2:$AE$3520,1),SUMIFS(Sales_Data!$M$2:$M$3520,Sales_Data!$C$2:$C$3520,$A27,Sales_Data!$F$2:$F$3520,F$7,Sales_Data!$AE$2:$AE$3520,1),SUMIFS(Sales_Data!$N$2:$N$3520,Sales_Data!$C$2:$C$3520,$A27,Sales_Data!$F$2:$F$3520,F$7,Sales_Data!$AE$2:$AE$3520,1),SUMIFS(Sales_Data!$AE$2:$AE$3520,Sales_Data!$C$2:$C$3520,$A27,Sales_Data!$F$2:$F$3520,F$7)))</f>
        <v>0</v>
      </c>
      <c r="G27" s="26" t="n">
        <f aca="false">IF(G$7="","",CHOOSE(MATCH($B$4,Lists!$C$2:$C$5,0),SUMIFS(Sales_Data!$O$2:$O$3520,Sales_Data!$C$2:$C$3520,$A27,Sales_Data!$F$2:$F$3520,G$7,Sales_Data!$AE$2:$AE$3520,1),SUMIFS(Sales_Data!$M$2:$M$3520,Sales_Data!$C$2:$C$3520,$A27,Sales_Data!$F$2:$F$3520,G$7,Sales_Data!$AE$2:$AE$3520,1),SUMIFS(Sales_Data!$N$2:$N$3520,Sales_Data!$C$2:$C$3520,$A27,Sales_Data!$F$2:$F$3520,G$7,Sales_Data!$AE$2:$AE$3520,1),SUMIFS(Sales_Data!$AE$2:$AE$3520,Sales_Data!$C$2:$C$3520,$A27,Sales_Data!$F$2:$F$3520,G$7)))</f>
        <v>0</v>
      </c>
      <c r="H27" s="26" t="n">
        <f aca="false">IF(H$7="","",CHOOSE(MATCH($B$4,Lists!$C$2:$C$5,0),SUMIFS(Sales_Data!$O$2:$O$3520,Sales_Data!$C$2:$C$3520,$A27,Sales_Data!$F$2:$F$3520,H$7,Sales_Data!$AE$2:$AE$3520,1),SUMIFS(Sales_Data!$M$2:$M$3520,Sales_Data!$C$2:$C$3520,$A27,Sales_Data!$F$2:$F$3520,H$7,Sales_Data!$AE$2:$AE$3520,1),SUMIFS(Sales_Data!$N$2:$N$3520,Sales_Data!$C$2:$C$3520,$A27,Sales_Data!$F$2:$F$3520,H$7,Sales_Data!$AE$2:$AE$3520,1),SUMIFS(Sales_Data!$AE$2:$AE$3520,Sales_Data!$C$2:$C$3520,$A27,Sales_Data!$F$2:$F$3520,H$7)))</f>
        <v>0</v>
      </c>
      <c r="I27" s="26" t="n">
        <f aca="false">IF(I$7="","",CHOOSE(MATCH($B$4,Lists!$C$2:$C$5,0),SUMIFS(Sales_Data!$O$2:$O$3520,Sales_Data!$C$2:$C$3520,$A27,Sales_Data!$F$2:$F$3520,I$7,Sales_Data!$AE$2:$AE$3520,1),SUMIFS(Sales_Data!$M$2:$M$3520,Sales_Data!$C$2:$C$3520,$A27,Sales_Data!$F$2:$F$3520,I$7,Sales_Data!$AE$2:$AE$3520,1),SUMIFS(Sales_Data!$N$2:$N$3520,Sales_Data!$C$2:$C$3520,$A27,Sales_Data!$F$2:$F$3520,I$7,Sales_Data!$AE$2:$AE$3520,1),SUMIFS(Sales_Data!$AE$2:$AE$3520,Sales_Data!$C$2:$C$3520,$A27,Sales_Data!$F$2:$F$3520,I$7)))</f>
        <v>0</v>
      </c>
      <c r="J27" s="26" t="n">
        <f aca="false">IF(J$7="","",CHOOSE(MATCH($B$4,Lists!$C$2:$C$5,0),SUMIFS(Sales_Data!$O$2:$O$3520,Sales_Data!$C$2:$C$3520,$A27,Sales_Data!$F$2:$F$3520,J$7,Sales_Data!$AE$2:$AE$3520,1),SUMIFS(Sales_Data!$M$2:$M$3520,Sales_Data!$C$2:$C$3520,$A27,Sales_Data!$F$2:$F$3520,J$7,Sales_Data!$AE$2:$AE$3520,1),SUMIFS(Sales_Data!$N$2:$N$3520,Sales_Data!$C$2:$C$3520,$A27,Sales_Data!$F$2:$F$3520,J$7,Sales_Data!$AE$2:$AE$3520,1),SUMIFS(Sales_Data!$AE$2:$AE$3520,Sales_Data!$C$2:$C$3520,$A27,Sales_Data!$F$2:$F$3520,J$7)))</f>
        <v>0</v>
      </c>
      <c r="K27" s="26" t="n">
        <f aca="false">IF(K$7="","",CHOOSE(MATCH($B$4,Lists!$C$2:$C$5,0),SUMIFS(Sales_Data!$O$2:$O$3520,Sales_Data!$C$2:$C$3520,$A27,Sales_Data!$F$2:$F$3520,K$7,Sales_Data!$AE$2:$AE$3520,1),SUMIFS(Sales_Data!$M$2:$M$3520,Sales_Data!$C$2:$C$3520,$A27,Sales_Data!$F$2:$F$3520,K$7,Sales_Data!$AE$2:$AE$3520,1),SUMIFS(Sales_Data!$N$2:$N$3520,Sales_Data!$C$2:$C$3520,$A27,Sales_Data!$F$2:$F$3520,K$7,Sales_Data!$AE$2:$AE$3520,1),SUMIFS(Sales_Data!$AE$2:$AE$3520,Sales_Data!$C$2:$C$3520,$A27,Sales_Data!$F$2:$F$3520,K$7)))</f>
        <v>0</v>
      </c>
      <c r="L27" s="26" t="n">
        <f aca="false">IF(L$7="","",CHOOSE(MATCH($B$4,Lists!$C$2:$C$5,0),SUMIFS(Sales_Data!$O$2:$O$3520,Sales_Data!$C$2:$C$3520,$A27,Sales_Data!$F$2:$F$3520,L$7,Sales_Data!$AE$2:$AE$3520,1),SUMIFS(Sales_Data!$M$2:$M$3520,Sales_Data!$C$2:$C$3520,$A27,Sales_Data!$F$2:$F$3520,L$7,Sales_Data!$AE$2:$AE$3520,1),SUMIFS(Sales_Data!$N$2:$N$3520,Sales_Data!$C$2:$C$3520,$A27,Sales_Data!$F$2:$F$3520,L$7,Sales_Data!$AE$2:$AE$3520,1),SUMIFS(Sales_Data!$AE$2:$AE$3520,Sales_Data!$C$2:$C$3520,$A27,Sales_Data!$F$2:$F$3520,L$7)))</f>
        <v>0</v>
      </c>
      <c r="M27" s="26" t="n">
        <f aca="false">IF(M$7="","",CHOOSE(MATCH($B$4,Lists!$C$2:$C$5,0),SUMIFS(Sales_Data!$O$2:$O$3520,Sales_Data!$C$2:$C$3520,$A27,Sales_Data!$F$2:$F$3520,M$7,Sales_Data!$AE$2:$AE$3520,1),SUMIFS(Sales_Data!$M$2:$M$3520,Sales_Data!$C$2:$C$3520,$A27,Sales_Data!$F$2:$F$3520,M$7,Sales_Data!$AE$2:$AE$3520,1),SUMIFS(Sales_Data!$N$2:$N$3520,Sales_Data!$C$2:$C$3520,$A27,Sales_Data!$F$2:$F$3520,M$7,Sales_Data!$AE$2:$AE$3520,1),SUMIFS(Sales_Data!$AE$2:$AE$3520,Sales_Data!$C$2:$C$3520,$A27,Sales_Data!$F$2:$F$3520,M$7)))</f>
        <v>0</v>
      </c>
      <c r="N27" s="26" t="n">
        <f aca="false">IF(N$7="","",CHOOSE(MATCH($B$4,Lists!$C$2:$C$5,0),SUMIFS(Sales_Data!$O$2:$O$3520,Sales_Data!$C$2:$C$3520,$A27,Sales_Data!$F$2:$F$3520,N$7,Sales_Data!$AE$2:$AE$3520,1),SUMIFS(Sales_Data!$M$2:$M$3520,Sales_Data!$C$2:$C$3520,$A27,Sales_Data!$F$2:$F$3520,N$7,Sales_Data!$AE$2:$AE$3520,1),SUMIFS(Sales_Data!$N$2:$N$3520,Sales_Data!$C$2:$C$3520,$A27,Sales_Data!$F$2:$F$3520,N$7,Sales_Data!$AE$2:$AE$3520,1),SUMIFS(Sales_Data!$AE$2:$AE$3520,Sales_Data!$C$2:$C$3520,$A27,Sales_Data!$F$2:$F$3520,N$7)))</f>
        <v>0</v>
      </c>
      <c r="O27" s="26" t="n">
        <f aca="false">IF(O$7="","",CHOOSE(MATCH($B$4,Lists!$C$2:$C$5,0),SUMIFS(Sales_Data!$O$2:$O$3520,Sales_Data!$C$2:$C$3520,$A27,Sales_Data!$F$2:$F$3520,O$7,Sales_Data!$AE$2:$AE$3520,1),SUMIFS(Sales_Data!$M$2:$M$3520,Sales_Data!$C$2:$C$3520,$A27,Sales_Data!$F$2:$F$3520,O$7,Sales_Data!$AE$2:$AE$3520,1),SUMIFS(Sales_Data!$N$2:$N$3520,Sales_Data!$C$2:$C$3520,$A27,Sales_Data!$F$2:$F$3520,O$7,Sales_Data!$AE$2:$AE$3520,1),SUMIFS(Sales_Data!$AE$2:$AE$3520,Sales_Data!$C$2:$C$3520,$A27,Sales_Data!$F$2:$F$3520,O$7)))</f>
        <v>0</v>
      </c>
      <c r="P27" s="26" t="n">
        <f aca="false">IF(P$7="","",CHOOSE(MATCH($B$4,Lists!$C$2:$C$5,0),SUMIFS(Sales_Data!$O$2:$O$3520,Sales_Data!$C$2:$C$3520,$A27,Sales_Data!$F$2:$F$3520,P$7,Sales_Data!$AE$2:$AE$3520,1),SUMIFS(Sales_Data!$M$2:$M$3520,Sales_Data!$C$2:$C$3520,$A27,Sales_Data!$F$2:$F$3520,P$7,Sales_Data!$AE$2:$AE$3520,1),SUMIFS(Sales_Data!$N$2:$N$3520,Sales_Data!$C$2:$C$3520,$A27,Sales_Data!$F$2:$F$3520,P$7,Sales_Data!$AE$2:$AE$3520,1),SUMIFS(Sales_Data!$AE$2:$AE$3520,Sales_Data!$C$2:$C$3520,$A27,Sales_Data!$F$2:$F$3520,P$7)))</f>
        <v>0</v>
      </c>
      <c r="Q27" s="26" t="n">
        <f aca="false">IF(Q$7="","",CHOOSE(MATCH($B$4,Lists!$C$2:$C$5,0),SUMIFS(Sales_Data!$O$2:$O$3520,Sales_Data!$C$2:$C$3520,$A27,Sales_Data!$F$2:$F$3520,Q$7,Sales_Data!$AE$2:$AE$3520,1),SUMIFS(Sales_Data!$M$2:$M$3520,Sales_Data!$C$2:$C$3520,$A27,Sales_Data!$F$2:$F$3520,Q$7,Sales_Data!$AE$2:$AE$3520,1),SUMIFS(Sales_Data!$N$2:$N$3520,Sales_Data!$C$2:$C$3520,$A27,Sales_Data!$F$2:$F$3520,Q$7,Sales_Data!$AE$2:$AE$3520,1),SUMIFS(Sales_Data!$AE$2:$AE$3520,Sales_Data!$C$2:$C$3520,$A27,Sales_Data!$F$2:$F$3520,Q$7)))</f>
        <v>0</v>
      </c>
      <c r="R27" s="26" t="n">
        <f aca="false">IF(R$7="","",CHOOSE(MATCH($B$4,Lists!$C$2:$C$5,0),SUMIFS(Sales_Data!$O$2:$O$3520,Sales_Data!$C$2:$C$3520,$A27,Sales_Data!$F$2:$F$3520,R$7,Sales_Data!$AE$2:$AE$3520,1),SUMIFS(Sales_Data!$M$2:$M$3520,Sales_Data!$C$2:$C$3520,$A27,Sales_Data!$F$2:$F$3520,R$7,Sales_Data!$AE$2:$AE$3520,1),SUMIFS(Sales_Data!$N$2:$N$3520,Sales_Data!$C$2:$C$3520,$A27,Sales_Data!$F$2:$F$3520,R$7,Sales_Data!$AE$2:$AE$3520,1),SUMIFS(Sales_Data!$AE$2:$AE$3520,Sales_Data!$C$2:$C$3520,$A27,Sales_Data!$F$2:$F$3520,R$7)))</f>
        <v>0</v>
      </c>
      <c r="S27" s="26" t="n">
        <f aca="false">IF(S$7="","",CHOOSE(MATCH($B$4,Lists!$C$2:$C$5,0),SUMIFS(Sales_Data!$O$2:$O$3520,Sales_Data!$C$2:$C$3520,$A27,Sales_Data!$F$2:$F$3520,S$7,Sales_Data!$AE$2:$AE$3520,1),SUMIFS(Sales_Data!$M$2:$M$3520,Sales_Data!$C$2:$C$3520,$A27,Sales_Data!$F$2:$F$3520,S$7,Sales_Data!$AE$2:$AE$3520,1),SUMIFS(Sales_Data!$N$2:$N$3520,Sales_Data!$C$2:$C$3520,$A27,Sales_Data!$F$2:$F$3520,S$7,Sales_Data!$AE$2:$AE$3520,1),SUMIFS(Sales_Data!$AE$2:$AE$3520,Sales_Data!$C$2:$C$3520,$A27,Sales_Data!$F$2:$F$3520,S$7)))</f>
        <v>0</v>
      </c>
      <c r="T27" s="26" t="str">
        <f aca="false">IF(T$7="","",CHOOSE(MATCH($B$4,Lists!$C$2:$C$5,0),SUMIFS(Sales_Data!$O$2:$O$3520,Sales_Data!$C$2:$C$3520,$A27,Sales_Data!$F$2:$F$3520,T$7,Sales_Data!$AE$2:$AE$3520,1),SUMIFS(Sales_Data!$M$2:$M$3520,Sales_Data!$C$2:$C$3520,$A27,Sales_Data!$F$2:$F$3520,T$7,Sales_Data!$AE$2:$AE$3520,1),SUMIFS(Sales_Data!$N$2:$N$3520,Sales_Data!$C$2:$C$3520,$A27,Sales_Data!$F$2:$F$3520,T$7,Sales_Data!$AE$2:$AE$3520,1),SUMIFS(Sales_Data!$AE$2:$AE$3520,Sales_Data!$C$2:$C$3520,$A27,Sales_Data!$F$2:$F$3520,T$7)))</f>
        <v/>
      </c>
      <c r="U27" s="26" t="str">
        <f aca="false">IF(U$7="","",CHOOSE(MATCH($B$4,Lists!$C$2:$C$5,0),SUMIFS(Sales_Data!$O$2:$O$3520,Sales_Data!$C$2:$C$3520,$A27,Sales_Data!$F$2:$F$3520,U$7,Sales_Data!$AE$2:$AE$3520,1),SUMIFS(Sales_Data!$M$2:$M$3520,Sales_Data!$C$2:$C$3520,$A27,Sales_Data!$F$2:$F$3520,U$7,Sales_Data!$AE$2:$AE$3520,1),SUMIFS(Sales_Data!$N$2:$N$3520,Sales_Data!$C$2:$C$3520,$A27,Sales_Data!$F$2:$F$3520,U$7,Sales_Data!$AE$2:$AE$3520,1),SUMIFS(Sales_Data!$AE$2:$AE$3520,Sales_Data!$C$2:$C$3520,$A27,Sales_Data!$F$2:$F$3520,U$7)))</f>
        <v/>
      </c>
      <c r="V27" s="26" t="str">
        <f aca="false">IF(V$7="","",CHOOSE(MATCH($B$4,Lists!$C$2:$C$5,0),SUMIFS(Sales_Data!$O$2:$O$3520,Sales_Data!$C$2:$C$3520,$A27,Sales_Data!$F$2:$F$3520,V$7,Sales_Data!$AE$2:$AE$3520,1),SUMIFS(Sales_Data!$M$2:$M$3520,Sales_Data!$C$2:$C$3520,$A27,Sales_Data!$F$2:$F$3520,V$7,Sales_Data!$AE$2:$AE$3520,1),SUMIFS(Sales_Data!$N$2:$N$3520,Sales_Data!$C$2:$C$3520,$A27,Sales_Data!$F$2:$F$3520,V$7,Sales_Data!$AE$2:$AE$3520,1),SUMIFS(Sales_Data!$AE$2:$AE$3520,Sales_Data!$C$2:$C$3520,$A27,Sales_Data!$F$2:$F$3520,V$7)))</f>
        <v/>
      </c>
      <c r="W27" s="26" t="str">
        <f aca="false">IF(W$7="","",CHOOSE(MATCH($B$4,Lists!$C$2:$C$5,0),SUMIFS(Sales_Data!$O$2:$O$3520,Sales_Data!$C$2:$C$3520,$A27,Sales_Data!$F$2:$F$3520,W$7,Sales_Data!$AE$2:$AE$3520,1),SUMIFS(Sales_Data!$M$2:$M$3520,Sales_Data!$C$2:$C$3520,$A27,Sales_Data!$F$2:$F$3520,W$7,Sales_Data!$AE$2:$AE$3520,1),SUMIFS(Sales_Data!$N$2:$N$3520,Sales_Data!$C$2:$C$3520,$A27,Sales_Data!$F$2:$F$3520,W$7,Sales_Data!$AE$2:$AE$3520,1),SUMIFS(Sales_Data!$AE$2:$AE$3520,Sales_Data!$C$2:$C$3520,$A27,Sales_Data!$F$2:$F$3520,W$7)))</f>
        <v/>
      </c>
      <c r="X27" s="26" t="str">
        <f aca="false">IF(X$7="","",CHOOSE(MATCH($B$4,Lists!$C$2:$C$5,0),SUMIFS(Sales_Data!$O$2:$O$3520,Sales_Data!$C$2:$C$3520,$A27,Sales_Data!$F$2:$F$3520,X$7,Sales_Data!$AE$2:$AE$3520,1),SUMIFS(Sales_Data!$M$2:$M$3520,Sales_Data!$C$2:$C$3520,$A27,Sales_Data!$F$2:$F$3520,X$7,Sales_Data!$AE$2:$AE$3520,1),SUMIFS(Sales_Data!$N$2:$N$3520,Sales_Data!$C$2:$C$3520,$A27,Sales_Data!$F$2:$F$3520,X$7,Sales_Data!$AE$2:$AE$3520,1),SUMIFS(Sales_Data!$AE$2:$AE$3520,Sales_Data!$C$2:$C$3520,$A27,Sales_Data!$F$2:$F$3520,X$7)))</f>
        <v/>
      </c>
      <c r="Y27" s="26" t="str">
        <f aca="false">IF(Y$7="","",CHOOSE(MATCH($B$4,Lists!$C$2:$C$5,0),SUMIFS(Sales_Data!$O$2:$O$3520,Sales_Data!$C$2:$C$3520,$A27,Sales_Data!$F$2:$F$3520,Y$7,Sales_Data!$AE$2:$AE$3520,1),SUMIFS(Sales_Data!$M$2:$M$3520,Sales_Data!$C$2:$C$3520,$A27,Sales_Data!$F$2:$F$3520,Y$7,Sales_Data!$AE$2:$AE$3520,1),SUMIFS(Sales_Data!$N$2:$N$3520,Sales_Data!$C$2:$C$3520,$A27,Sales_Data!$F$2:$F$3520,Y$7,Sales_Data!$AE$2:$AE$3520,1),SUMIFS(Sales_Data!$AE$2:$AE$3520,Sales_Data!$C$2:$C$3520,$A27,Sales_Data!$F$2:$F$3520,Y$7)))</f>
        <v/>
      </c>
      <c r="Z27" s="26" t="str">
        <f aca="false">IF(Z$7="","",CHOOSE(MATCH($B$4,Lists!$C$2:$C$5,0),SUMIFS(Sales_Data!$O$2:$O$3520,Sales_Data!$C$2:$C$3520,$A27,Sales_Data!$F$2:$F$3520,Z$7,Sales_Data!$AE$2:$AE$3520,1),SUMIFS(Sales_Data!$M$2:$M$3520,Sales_Data!$C$2:$C$3520,$A27,Sales_Data!$F$2:$F$3520,Z$7,Sales_Data!$AE$2:$AE$3520,1),SUMIFS(Sales_Data!$N$2:$N$3520,Sales_Data!$C$2:$C$3520,$A27,Sales_Data!$F$2:$F$3520,Z$7,Sales_Data!$AE$2:$AE$3520,1),SUMIFS(Sales_Data!$AE$2:$AE$3520,Sales_Data!$C$2:$C$3520,$A27,Sales_Data!$F$2:$F$3520,Z$7)))</f>
        <v/>
      </c>
      <c r="AA27" s="27" t="n">
        <f aca="false">SUM(B27:Z27)</f>
        <v>0</v>
      </c>
      <c r="AB27" s="3"/>
      <c r="AC27" s="72" t="n">
        <f aca="false">A27</f>
        <v>46234</v>
      </c>
      <c r="AD27" s="28" t="n">
        <f aca="false">IF(B27="","",B27-B26)</f>
        <v>0</v>
      </c>
      <c r="AE27" s="28" t="n">
        <f aca="false">IF(C27="","",C27-C26)</f>
        <v>0</v>
      </c>
      <c r="AF27" s="28" t="n">
        <f aca="false">IF(D27="","",D27-D26)</f>
        <v>0</v>
      </c>
      <c r="AG27" s="28" t="n">
        <f aca="false">IF(E27="","",E27-E26)</f>
        <v>0</v>
      </c>
      <c r="AH27" s="28" t="n">
        <f aca="false">IF(F27="","",F27-F26)</f>
        <v>0</v>
      </c>
      <c r="AI27" s="28" t="n">
        <f aca="false">IF(G27="","",G27-G26)</f>
        <v>0</v>
      </c>
      <c r="AJ27" s="28" t="n">
        <f aca="false">IF(H27="","",H27-H26)</f>
        <v>0</v>
      </c>
      <c r="AK27" s="28" t="n">
        <f aca="false">IF(I27="","",I27-I26)</f>
        <v>0</v>
      </c>
      <c r="AL27" s="28" t="n">
        <f aca="false">IF(J27="","",J27-J26)</f>
        <v>0</v>
      </c>
      <c r="AM27" s="28" t="n">
        <f aca="false">IF(K27="","",K27-K26)</f>
        <v>0</v>
      </c>
      <c r="AN27" s="28" t="n">
        <f aca="false">IF(L27="","",L27-L26)</f>
        <v>0</v>
      </c>
      <c r="AO27" s="28" t="n">
        <f aca="false">IF(M27="","",M27-M26)</f>
        <v>0</v>
      </c>
      <c r="AP27" s="28" t="n">
        <f aca="false">IF(N27="","",N27-N26)</f>
        <v>0</v>
      </c>
      <c r="AQ27" s="28" t="n">
        <f aca="false">IF(O27="","",O27-O26)</f>
        <v>0</v>
      </c>
      <c r="AR27" s="28" t="n">
        <f aca="false">IF(P27="","",P27-P26)</f>
        <v>0</v>
      </c>
      <c r="AS27" s="28" t="n">
        <f aca="false">IF(Q27="","",Q27-Q26)</f>
        <v>0</v>
      </c>
      <c r="AT27" s="28" t="n">
        <f aca="false">IF(R27="","",R27-R26)</f>
        <v>0</v>
      </c>
      <c r="AU27" s="28" t="n">
        <f aca="false">IF(S27="","",S27-S26)</f>
        <v>0</v>
      </c>
      <c r="AV27" s="28" t="str">
        <f aca="false">IF(T27="","",T27-T26)</f>
        <v/>
      </c>
      <c r="AW27" s="28" t="str">
        <f aca="false">IF(U27="","",U27-U26)</f>
        <v/>
      </c>
      <c r="AX27" s="28" t="str">
        <f aca="false">IF(V27="","",V27-V26)</f>
        <v/>
      </c>
      <c r="AY27" s="28" t="str">
        <f aca="false">IF(W27="","",W27-W26)</f>
        <v/>
      </c>
      <c r="AZ27" s="28" t="str">
        <f aca="false">IF(X27="","",X27-X26)</f>
        <v/>
      </c>
      <c r="BA27" s="28" t="str">
        <f aca="false">IF(Y27="","",Y27-Y26)</f>
        <v/>
      </c>
      <c r="BB27" s="28" t="str">
        <f aca="false">IF(Z27="","",Z27-Z26)</f>
        <v/>
      </c>
      <c r="BC27" s="28" t="n">
        <f aca="false">IF(AA27="","",AA27-AA26)</f>
        <v>0</v>
      </c>
    </row>
    <row r="28" customFormat="false" ht="15" hidden="false" customHeight="false" outlineLevel="0" collapsed="false">
      <c r="A28" s="72" t="n">
        <v>46235</v>
      </c>
      <c r="B28" s="26" t="n">
        <f aca="false">IF(B$7="","",CHOOSE(MATCH($B$4,Lists!$C$2:$C$5,0),SUMIFS(Sales_Data!$O$2:$O$3520,Sales_Data!$C$2:$C$3520,$A28,Sales_Data!$F$2:$F$3520,B$7,Sales_Data!$AE$2:$AE$3520,1),SUMIFS(Sales_Data!$M$2:$M$3520,Sales_Data!$C$2:$C$3520,$A28,Sales_Data!$F$2:$F$3520,B$7,Sales_Data!$AE$2:$AE$3520,1),SUMIFS(Sales_Data!$N$2:$N$3520,Sales_Data!$C$2:$C$3520,$A28,Sales_Data!$F$2:$F$3520,B$7,Sales_Data!$AE$2:$AE$3520,1),SUMIFS(Sales_Data!$AE$2:$AE$3520,Sales_Data!$C$2:$C$3520,$A28,Sales_Data!$F$2:$F$3520,B$7)))</f>
        <v>0</v>
      </c>
      <c r="C28" s="26" t="n">
        <f aca="false">IF(C$7="","",CHOOSE(MATCH($B$4,Lists!$C$2:$C$5,0),SUMIFS(Sales_Data!$O$2:$O$3520,Sales_Data!$C$2:$C$3520,$A28,Sales_Data!$F$2:$F$3520,C$7,Sales_Data!$AE$2:$AE$3520,1),SUMIFS(Sales_Data!$M$2:$M$3520,Sales_Data!$C$2:$C$3520,$A28,Sales_Data!$F$2:$F$3520,C$7,Sales_Data!$AE$2:$AE$3520,1),SUMIFS(Sales_Data!$N$2:$N$3520,Sales_Data!$C$2:$C$3520,$A28,Sales_Data!$F$2:$F$3520,C$7,Sales_Data!$AE$2:$AE$3520,1),SUMIFS(Sales_Data!$AE$2:$AE$3520,Sales_Data!$C$2:$C$3520,$A28,Sales_Data!$F$2:$F$3520,C$7)))</f>
        <v>0</v>
      </c>
      <c r="D28" s="26" t="n">
        <f aca="false">IF(D$7="","",CHOOSE(MATCH($B$4,Lists!$C$2:$C$5,0),SUMIFS(Sales_Data!$O$2:$O$3520,Sales_Data!$C$2:$C$3520,$A28,Sales_Data!$F$2:$F$3520,D$7,Sales_Data!$AE$2:$AE$3520,1),SUMIFS(Sales_Data!$M$2:$M$3520,Sales_Data!$C$2:$C$3520,$A28,Sales_Data!$F$2:$F$3520,D$7,Sales_Data!$AE$2:$AE$3520,1),SUMIFS(Sales_Data!$N$2:$N$3520,Sales_Data!$C$2:$C$3520,$A28,Sales_Data!$F$2:$F$3520,D$7,Sales_Data!$AE$2:$AE$3520,1),SUMIFS(Sales_Data!$AE$2:$AE$3520,Sales_Data!$C$2:$C$3520,$A28,Sales_Data!$F$2:$F$3520,D$7)))</f>
        <v>0</v>
      </c>
      <c r="E28" s="26" t="n">
        <f aca="false">IF(E$7="","",CHOOSE(MATCH($B$4,Lists!$C$2:$C$5,0),SUMIFS(Sales_Data!$O$2:$O$3520,Sales_Data!$C$2:$C$3520,$A28,Sales_Data!$F$2:$F$3520,E$7,Sales_Data!$AE$2:$AE$3520,1),SUMIFS(Sales_Data!$M$2:$M$3520,Sales_Data!$C$2:$C$3520,$A28,Sales_Data!$F$2:$F$3520,E$7,Sales_Data!$AE$2:$AE$3520,1),SUMIFS(Sales_Data!$N$2:$N$3520,Sales_Data!$C$2:$C$3520,$A28,Sales_Data!$F$2:$F$3520,E$7,Sales_Data!$AE$2:$AE$3520,1),SUMIFS(Sales_Data!$AE$2:$AE$3520,Sales_Data!$C$2:$C$3520,$A28,Sales_Data!$F$2:$F$3520,E$7)))</f>
        <v>0</v>
      </c>
      <c r="F28" s="26" t="n">
        <f aca="false">IF(F$7="","",CHOOSE(MATCH($B$4,Lists!$C$2:$C$5,0),SUMIFS(Sales_Data!$O$2:$O$3520,Sales_Data!$C$2:$C$3520,$A28,Sales_Data!$F$2:$F$3520,F$7,Sales_Data!$AE$2:$AE$3520,1),SUMIFS(Sales_Data!$M$2:$M$3520,Sales_Data!$C$2:$C$3520,$A28,Sales_Data!$F$2:$F$3520,F$7,Sales_Data!$AE$2:$AE$3520,1),SUMIFS(Sales_Data!$N$2:$N$3520,Sales_Data!$C$2:$C$3520,$A28,Sales_Data!$F$2:$F$3520,F$7,Sales_Data!$AE$2:$AE$3520,1),SUMIFS(Sales_Data!$AE$2:$AE$3520,Sales_Data!$C$2:$C$3520,$A28,Sales_Data!$F$2:$F$3520,F$7)))</f>
        <v>0</v>
      </c>
      <c r="G28" s="26" t="n">
        <f aca="false">IF(G$7="","",CHOOSE(MATCH($B$4,Lists!$C$2:$C$5,0),SUMIFS(Sales_Data!$O$2:$O$3520,Sales_Data!$C$2:$C$3520,$A28,Sales_Data!$F$2:$F$3520,G$7,Sales_Data!$AE$2:$AE$3520,1),SUMIFS(Sales_Data!$M$2:$M$3520,Sales_Data!$C$2:$C$3520,$A28,Sales_Data!$F$2:$F$3520,G$7,Sales_Data!$AE$2:$AE$3520,1),SUMIFS(Sales_Data!$N$2:$N$3520,Sales_Data!$C$2:$C$3520,$A28,Sales_Data!$F$2:$F$3520,G$7,Sales_Data!$AE$2:$AE$3520,1),SUMIFS(Sales_Data!$AE$2:$AE$3520,Sales_Data!$C$2:$C$3520,$A28,Sales_Data!$F$2:$F$3520,G$7)))</f>
        <v>0</v>
      </c>
      <c r="H28" s="26" t="n">
        <f aca="false">IF(H$7="","",CHOOSE(MATCH($B$4,Lists!$C$2:$C$5,0),SUMIFS(Sales_Data!$O$2:$O$3520,Sales_Data!$C$2:$C$3520,$A28,Sales_Data!$F$2:$F$3520,H$7,Sales_Data!$AE$2:$AE$3520,1),SUMIFS(Sales_Data!$M$2:$M$3520,Sales_Data!$C$2:$C$3520,$A28,Sales_Data!$F$2:$F$3520,H$7,Sales_Data!$AE$2:$AE$3520,1),SUMIFS(Sales_Data!$N$2:$N$3520,Sales_Data!$C$2:$C$3520,$A28,Sales_Data!$F$2:$F$3520,H$7,Sales_Data!$AE$2:$AE$3520,1),SUMIFS(Sales_Data!$AE$2:$AE$3520,Sales_Data!$C$2:$C$3520,$A28,Sales_Data!$F$2:$F$3520,H$7)))</f>
        <v>0</v>
      </c>
      <c r="I28" s="26" t="n">
        <f aca="false">IF(I$7="","",CHOOSE(MATCH($B$4,Lists!$C$2:$C$5,0),SUMIFS(Sales_Data!$O$2:$O$3520,Sales_Data!$C$2:$C$3520,$A28,Sales_Data!$F$2:$F$3520,I$7,Sales_Data!$AE$2:$AE$3520,1),SUMIFS(Sales_Data!$M$2:$M$3520,Sales_Data!$C$2:$C$3520,$A28,Sales_Data!$F$2:$F$3520,I$7,Sales_Data!$AE$2:$AE$3520,1),SUMIFS(Sales_Data!$N$2:$N$3520,Sales_Data!$C$2:$C$3520,$A28,Sales_Data!$F$2:$F$3520,I$7,Sales_Data!$AE$2:$AE$3520,1),SUMIFS(Sales_Data!$AE$2:$AE$3520,Sales_Data!$C$2:$C$3520,$A28,Sales_Data!$F$2:$F$3520,I$7)))</f>
        <v>0</v>
      </c>
      <c r="J28" s="26" t="n">
        <f aca="false">IF(J$7="","",CHOOSE(MATCH($B$4,Lists!$C$2:$C$5,0),SUMIFS(Sales_Data!$O$2:$O$3520,Sales_Data!$C$2:$C$3520,$A28,Sales_Data!$F$2:$F$3520,J$7,Sales_Data!$AE$2:$AE$3520,1),SUMIFS(Sales_Data!$M$2:$M$3520,Sales_Data!$C$2:$C$3520,$A28,Sales_Data!$F$2:$F$3520,J$7,Sales_Data!$AE$2:$AE$3520,1),SUMIFS(Sales_Data!$N$2:$N$3520,Sales_Data!$C$2:$C$3520,$A28,Sales_Data!$F$2:$F$3520,J$7,Sales_Data!$AE$2:$AE$3520,1),SUMIFS(Sales_Data!$AE$2:$AE$3520,Sales_Data!$C$2:$C$3520,$A28,Sales_Data!$F$2:$F$3520,J$7)))</f>
        <v>0</v>
      </c>
      <c r="K28" s="26" t="n">
        <f aca="false">IF(K$7="","",CHOOSE(MATCH($B$4,Lists!$C$2:$C$5,0),SUMIFS(Sales_Data!$O$2:$O$3520,Sales_Data!$C$2:$C$3520,$A28,Sales_Data!$F$2:$F$3520,K$7,Sales_Data!$AE$2:$AE$3520,1),SUMIFS(Sales_Data!$M$2:$M$3520,Sales_Data!$C$2:$C$3520,$A28,Sales_Data!$F$2:$F$3520,K$7,Sales_Data!$AE$2:$AE$3520,1),SUMIFS(Sales_Data!$N$2:$N$3520,Sales_Data!$C$2:$C$3520,$A28,Sales_Data!$F$2:$F$3520,K$7,Sales_Data!$AE$2:$AE$3520,1),SUMIFS(Sales_Data!$AE$2:$AE$3520,Sales_Data!$C$2:$C$3520,$A28,Sales_Data!$F$2:$F$3520,K$7)))</f>
        <v>0</v>
      </c>
      <c r="L28" s="26" t="n">
        <f aca="false">IF(L$7="","",CHOOSE(MATCH($B$4,Lists!$C$2:$C$5,0),SUMIFS(Sales_Data!$O$2:$O$3520,Sales_Data!$C$2:$C$3520,$A28,Sales_Data!$F$2:$F$3520,L$7,Sales_Data!$AE$2:$AE$3520,1),SUMIFS(Sales_Data!$M$2:$M$3520,Sales_Data!$C$2:$C$3520,$A28,Sales_Data!$F$2:$F$3520,L$7,Sales_Data!$AE$2:$AE$3520,1),SUMIFS(Sales_Data!$N$2:$N$3520,Sales_Data!$C$2:$C$3520,$A28,Sales_Data!$F$2:$F$3520,L$7,Sales_Data!$AE$2:$AE$3520,1),SUMIFS(Sales_Data!$AE$2:$AE$3520,Sales_Data!$C$2:$C$3520,$A28,Sales_Data!$F$2:$F$3520,L$7)))</f>
        <v>0</v>
      </c>
      <c r="M28" s="26" t="n">
        <f aca="false">IF(M$7="","",CHOOSE(MATCH($B$4,Lists!$C$2:$C$5,0),SUMIFS(Sales_Data!$O$2:$O$3520,Sales_Data!$C$2:$C$3520,$A28,Sales_Data!$F$2:$F$3520,M$7,Sales_Data!$AE$2:$AE$3520,1),SUMIFS(Sales_Data!$M$2:$M$3520,Sales_Data!$C$2:$C$3520,$A28,Sales_Data!$F$2:$F$3520,M$7,Sales_Data!$AE$2:$AE$3520,1),SUMIFS(Sales_Data!$N$2:$N$3520,Sales_Data!$C$2:$C$3520,$A28,Sales_Data!$F$2:$F$3520,M$7,Sales_Data!$AE$2:$AE$3520,1),SUMIFS(Sales_Data!$AE$2:$AE$3520,Sales_Data!$C$2:$C$3520,$A28,Sales_Data!$F$2:$F$3520,M$7)))</f>
        <v>0</v>
      </c>
      <c r="N28" s="26" t="n">
        <f aca="false">IF(N$7="","",CHOOSE(MATCH($B$4,Lists!$C$2:$C$5,0),SUMIFS(Sales_Data!$O$2:$O$3520,Sales_Data!$C$2:$C$3520,$A28,Sales_Data!$F$2:$F$3520,N$7,Sales_Data!$AE$2:$AE$3520,1),SUMIFS(Sales_Data!$M$2:$M$3520,Sales_Data!$C$2:$C$3520,$A28,Sales_Data!$F$2:$F$3520,N$7,Sales_Data!$AE$2:$AE$3520,1),SUMIFS(Sales_Data!$N$2:$N$3520,Sales_Data!$C$2:$C$3520,$A28,Sales_Data!$F$2:$F$3520,N$7,Sales_Data!$AE$2:$AE$3520,1),SUMIFS(Sales_Data!$AE$2:$AE$3520,Sales_Data!$C$2:$C$3520,$A28,Sales_Data!$F$2:$F$3520,N$7)))</f>
        <v>0</v>
      </c>
      <c r="O28" s="26" t="n">
        <f aca="false">IF(O$7="","",CHOOSE(MATCH($B$4,Lists!$C$2:$C$5,0),SUMIFS(Sales_Data!$O$2:$O$3520,Sales_Data!$C$2:$C$3520,$A28,Sales_Data!$F$2:$F$3520,O$7,Sales_Data!$AE$2:$AE$3520,1),SUMIFS(Sales_Data!$M$2:$M$3520,Sales_Data!$C$2:$C$3520,$A28,Sales_Data!$F$2:$F$3520,O$7,Sales_Data!$AE$2:$AE$3520,1),SUMIFS(Sales_Data!$N$2:$N$3520,Sales_Data!$C$2:$C$3520,$A28,Sales_Data!$F$2:$F$3520,O$7,Sales_Data!$AE$2:$AE$3520,1),SUMIFS(Sales_Data!$AE$2:$AE$3520,Sales_Data!$C$2:$C$3520,$A28,Sales_Data!$F$2:$F$3520,O$7)))</f>
        <v>0</v>
      </c>
      <c r="P28" s="26" t="n">
        <f aca="false">IF(P$7="","",CHOOSE(MATCH($B$4,Lists!$C$2:$C$5,0),SUMIFS(Sales_Data!$O$2:$O$3520,Sales_Data!$C$2:$C$3520,$A28,Sales_Data!$F$2:$F$3520,P$7,Sales_Data!$AE$2:$AE$3520,1),SUMIFS(Sales_Data!$M$2:$M$3520,Sales_Data!$C$2:$C$3520,$A28,Sales_Data!$F$2:$F$3520,P$7,Sales_Data!$AE$2:$AE$3520,1),SUMIFS(Sales_Data!$N$2:$N$3520,Sales_Data!$C$2:$C$3520,$A28,Sales_Data!$F$2:$F$3520,P$7,Sales_Data!$AE$2:$AE$3520,1),SUMIFS(Sales_Data!$AE$2:$AE$3520,Sales_Data!$C$2:$C$3520,$A28,Sales_Data!$F$2:$F$3520,P$7)))</f>
        <v>0</v>
      </c>
      <c r="Q28" s="26" t="n">
        <f aca="false">IF(Q$7="","",CHOOSE(MATCH($B$4,Lists!$C$2:$C$5,0),SUMIFS(Sales_Data!$O$2:$O$3520,Sales_Data!$C$2:$C$3520,$A28,Sales_Data!$F$2:$F$3520,Q$7,Sales_Data!$AE$2:$AE$3520,1),SUMIFS(Sales_Data!$M$2:$M$3520,Sales_Data!$C$2:$C$3520,$A28,Sales_Data!$F$2:$F$3520,Q$7,Sales_Data!$AE$2:$AE$3520,1),SUMIFS(Sales_Data!$N$2:$N$3520,Sales_Data!$C$2:$C$3520,$A28,Sales_Data!$F$2:$F$3520,Q$7,Sales_Data!$AE$2:$AE$3520,1),SUMIFS(Sales_Data!$AE$2:$AE$3520,Sales_Data!$C$2:$C$3520,$A28,Sales_Data!$F$2:$F$3520,Q$7)))</f>
        <v>0</v>
      </c>
      <c r="R28" s="26" t="n">
        <f aca="false">IF(R$7="","",CHOOSE(MATCH($B$4,Lists!$C$2:$C$5,0),SUMIFS(Sales_Data!$O$2:$O$3520,Sales_Data!$C$2:$C$3520,$A28,Sales_Data!$F$2:$F$3520,R$7,Sales_Data!$AE$2:$AE$3520,1),SUMIFS(Sales_Data!$M$2:$M$3520,Sales_Data!$C$2:$C$3520,$A28,Sales_Data!$F$2:$F$3520,R$7,Sales_Data!$AE$2:$AE$3520,1),SUMIFS(Sales_Data!$N$2:$N$3520,Sales_Data!$C$2:$C$3520,$A28,Sales_Data!$F$2:$F$3520,R$7,Sales_Data!$AE$2:$AE$3520,1),SUMIFS(Sales_Data!$AE$2:$AE$3520,Sales_Data!$C$2:$C$3520,$A28,Sales_Data!$F$2:$F$3520,R$7)))</f>
        <v>0</v>
      </c>
      <c r="S28" s="26" t="n">
        <f aca="false">IF(S$7="","",CHOOSE(MATCH($B$4,Lists!$C$2:$C$5,0),SUMIFS(Sales_Data!$O$2:$O$3520,Sales_Data!$C$2:$C$3520,$A28,Sales_Data!$F$2:$F$3520,S$7,Sales_Data!$AE$2:$AE$3520,1),SUMIFS(Sales_Data!$M$2:$M$3520,Sales_Data!$C$2:$C$3520,$A28,Sales_Data!$F$2:$F$3520,S$7,Sales_Data!$AE$2:$AE$3520,1),SUMIFS(Sales_Data!$N$2:$N$3520,Sales_Data!$C$2:$C$3520,$A28,Sales_Data!$F$2:$F$3520,S$7,Sales_Data!$AE$2:$AE$3520,1),SUMIFS(Sales_Data!$AE$2:$AE$3520,Sales_Data!$C$2:$C$3520,$A28,Sales_Data!$F$2:$F$3520,S$7)))</f>
        <v>0</v>
      </c>
      <c r="T28" s="26" t="str">
        <f aca="false">IF(T$7="","",CHOOSE(MATCH($B$4,Lists!$C$2:$C$5,0),SUMIFS(Sales_Data!$O$2:$O$3520,Sales_Data!$C$2:$C$3520,$A28,Sales_Data!$F$2:$F$3520,T$7,Sales_Data!$AE$2:$AE$3520,1),SUMIFS(Sales_Data!$M$2:$M$3520,Sales_Data!$C$2:$C$3520,$A28,Sales_Data!$F$2:$F$3520,T$7,Sales_Data!$AE$2:$AE$3520,1),SUMIFS(Sales_Data!$N$2:$N$3520,Sales_Data!$C$2:$C$3520,$A28,Sales_Data!$F$2:$F$3520,T$7,Sales_Data!$AE$2:$AE$3520,1),SUMIFS(Sales_Data!$AE$2:$AE$3520,Sales_Data!$C$2:$C$3520,$A28,Sales_Data!$F$2:$F$3520,T$7)))</f>
        <v/>
      </c>
      <c r="U28" s="26" t="str">
        <f aca="false">IF(U$7="","",CHOOSE(MATCH($B$4,Lists!$C$2:$C$5,0),SUMIFS(Sales_Data!$O$2:$O$3520,Sales_Data!$C$2:$C$3520,$A28,Sales_Data!$F$2:$F$3520,U$7,Sales_Data!$AE$2:$AE$3520,1),SUMIFS(Sales_Data!$M$2:$M$3520,Sales_Data!$C$2:$C$3520,$A28,Sales_Data!$F$2:$F$3520,U$7,Sales_Data!$AE$2:$AE$3520,1),SUMIFS(Sales_Data!$N$2:$N$3520,Sales_Data!$C$2:$C$3520,$A28,Sales_Data!$F$2:$F$3520,U$7,Sales_Data!$AE$2:$AE$3520,1),SUMIFS(Sales_Data!$AE$2:$AE$3520,Sales_Data!$C$2:$C$3520,$A28,Sales_Data!$F$2:$F$3520,U$7)))</f>
        <v/>
      </c>
      <c r="V28" s="26" t="str">
        <f aca="false">IF(V$7="","",CHOOSE(MATCH($B$4,Lists!$C$2:$C$5,0),SUMIFS(Sales_Data!$O$2:$O$3520,Sales_Data!$C$2:$C$3520,$A28,Sales_Data!$F$2:$F$3520,V$7,Sales_Data!$AE$2:$AE$3520,1),SUMIFS(Sales_Data!$M$2:$M$3520,Sales_Data!$C$2:$C$3520,$A28,Sales_Data!$F$2:$F$3520,V$7,Sales_Data!$AE$2:$AE$3520,1),SUMIFS(Sales_Data!$N$2:$N$3520,Sales_Data!$C$2:$C$3520,$A28,Sales_Data!$F$2:$F$3520,V$7,Sales_Data!$AE$2:$AE$3520,1),SUMIFS(Sales_Data!$AE$2:$AE$3520,Sales_Data!$C$2:$C$3520,$A28,Sales_Data!$F$2:$F$3520,V$7)))</f>
        <v/>
      </c>
      <c r="W28" s="26" t="str">
        <f aca="false">IF(W$7="","",CHOOSE(MATCH($B$4,Lists!$C$2:$C$5,0),SUMIFS(Sales_Data!$O$2:$O$3520,Sales_Data!$C$2:$C$3520,$A28,Sales_Data!$F$2:$F$3520,W$7,Sales_Data!$AE$2:$AE$3520,1),SUMIFS(Sales_Data!$M$2:$M$3520,Sales_Data!$C$2:$C$3520,$A28,Sales_Data!$F$2:$F$3520,W$7,Sales_Data!$AE$2:$AE$3520,1),SUMIFS(Sales_Data!$N$2:$N$3520,Sales_Data!$C$2:$C$3520,$A28,Sales_Data!$F$2:$F$3520,W$7,Sales_Data!$AE$2:$AE$3520,1),SUMIFS(Sales_Data!$AE$2:$AE$3520,Sales_Data!$C$2:$C$3520,$A28,Sales_Data!$F$2:$F$3520,W$7)))</f>
        <v/>
      </c>
      <c r="X28" s="26" t="str">
        <f aca="false">IF(X$7="","",CHOOSE(MATCH($B$4,Lists!$C$2:$C$5,0),SUMIFS(Sales_Data!$O$2:$O$3520,Sales_Data!$C$2:$C$3520,$A28,Sales_Data!$F$2:$F$3520,X$7,Sales_Data!$AE$2:$AE$3520,1),SUMIFS(Sales_Data!$M$2:$M$3520,Sales_Data!$C$2:$C$3520,$A28,Sales_Data!$F$2:$F$3520,X$7,Sales_Data!$AE$2:$AE$3520,1),SUMIFS(Sales_Data!$N$2:$N$3520,Sales_Data!$C$2:$C$3520,$A28,Sales_Data!$F$2:$F$3520,X$7,Sales_Data!$AE$2:$AE$3520,1),SUMIFS(Sales_Data!$AE$2:$AE$3520,Sales_Data!$C$2:$C$3520,$A28,Sales_Data!$F$2:$F$3520,X$7)))</f>
        <v/>
      </c>
      <c r="Y28" s="26" t="str">
        <f aca="false">IF(Y$7="","",CHOOSE(MATCH($B$4,Lists!$C$2:$C$5,0),SUMIFS(Sales_Data!$O$2:$O$3520,Sales_Data!$C$2:$C$3520,$A28,Sales_Data!$F$2:$F$3520,Y$7,Sales_Data!$AE$2:$AE$3520,1),SUMIFS(Sales_Data!$M$2:$M$3520,Sales_Data!$C$2:$C$3520,$A28,Sales_Data!$F$2:$F$3520,Y$7,Sales_Data!$AE$2:$AE$3520,1),SUMIFS(Sales_Data!$N$2:$N$3520,Sales_Data!$C$2:$C$3520,$A28,Sales_Data!$F$2:$F$3520,Y$7,Sales_Data!$AE$2:$AE$3520,1),SUMIFS(Sales_Data!$AE$2:$AE$3520,Sales_Data!$C$2:$C$3520,$A28,Sales_Data!$F$2:$F$3520,Y$7)))</f>
        <v/>
      </c>
      <c r="Z28" s="26" t="str">
        <f aca="false">IF(Z$7="","",CHOOSE(MATCH($B$4,Lists!$C$2:$C$5,0),SUMIFS(Sales_Data!$O$2:$O$3520,Sales_Data!$C$2:$C$3520,$A28,Sales_Data!$F$2:$F$3520,Z$7,Sales_Data!$AE$2:$AE$3520,1),SUMIFS(Sales_Data!$M$2:$M$3520,Sales_Data!$C$2:$C$3520,$A28,Sales_Data!$F$2:$F$3520,Z$7,Sales_Data!$AE$2:$AE$3520,1),SUMIFS(Sales_Data!$N$2:$N$3520,Sales_Data!$C$2:$C$3520,$A28,Sales_Data!$F$2:$F$3520,Z$7,Sales_Data!$AE$2:$AE$3520,1),SUMIFS(Sales_Data!$AE$2:$AE$3520,Sales_Data!$C$2:$C$3520,$A28,Sales_Data!$F$2:$F$3520,Z$7)))</f>
        <v/>
      </c>
      <c r="AA28" s="27" t="n">
        <f aca="false">SUM(B28:Z28)</f>
        <v>0</v>
      </c>
      <c r="AB28" s="3"/>
      <c r="AC28" s="72" t="n">
        <f aca="false">A28</f>
        <v>46235</v>
      </c>
      <c r="AD28" s="28" t="n">
        <f aca="false">IF(B28="","",B28-B27)</f>
        <v>0</v>
      </c>
      <c r="AE28" s="28" t="n">
        <f aca="false">IF(C28="","",C28-C27)</f>
        <v>0</v>
      </c>
      <c r="AF28" s="28" t="n">
        <f aca="false">IF(D28="","",D28-D27)</f>
        <v>0</v>
      </c>
      <c r="AG28" s="28" t="n">
        <f aca="false">IF(E28="","",E28-E27)</f>
        <v>0</v>
      </c>
      <c r="AH28" s="28" t="n">
        <f aca="false">IF(F28="","",F28-F27)</f>
        <v>0</v>
      </c>
      <c r="AI28" s="28" t="n">
        <f aca="false">IF(G28="","",G28-G27)</f>
        <v>0</v>
      </c>
      <c r="AJ28" s="28" t="n">
        <f aca="false">IF(H28="","",H28-H27)</f>
        <v>0</v>
      </c>
      <c r="AK28" s="28" t="n">
        <f aca="false">IF(I28="","",I28-I27)</f>
        <v>0</v>
      </c>
      <c r="AL28" s="28" t="n">
        <f aca="false">IF(J28="","",J28-J27)</f>
        <v>0</v>
      </c>
      <c r="AM28" s="28" t="n">
        <f aca="false">IF(K28="","",K28-K27)</f>
        <v>0</v>
      </c>
      <c r="AN28" s="28" t="n">
        <f aca="false">IF(L28="","",L28-L27)</f>
        <v>0</v>
      </c>
      <c r="AO28" s="28" t="n">
        <f aca="false">IF(M28="","",M28-M27)</f>
        <v>0</v>
      </c>
      <c r="AP28" s="28" t="n">
        <f aca="false">IF(N28="","",N28-N27)</f>
        <v>0</v>
      </c>
      <c r="AQ28" s="28" t="n">
        <f aca="false">IF(O28="","",O28-O27)</f>
        <v>0</v>
      </c>
      <c r="AR28" s="28" t="n">
        <f aca="false">IF(P28="","",P28-P27)</f>
        <v>0</v>
      </c>
      <c r="AS28" s="28" t="n">
        <f aca="false">IF(Q28="","",Q28-Q27)</f>
        <v>0</v>
      </c>
      <c r="AT28" s="28" t="n">
        <f aca="false">IF(R28="","",R28-R27)</f>
        <v>0</v>
      </c>
      <c r="AU28" s="28" t="n">
        <f aca="false">IF(S28="","",S28-S27)</f>
        <v>0</v>
      </c>
      <c r="AV28" s="28" t="str">
        <f aca="false">IF(T28="","",T28-T27)</f>
        <v/>
      </c>
      <c r="AW28" s="28" t="str">
        <f aca="false">IF(U28="","",U28-U27)</f>
        <v/>
      </c>
      <c r="AX28" s="28" t="str">
        <f aca="false">IF(V28="","",V28-V27)</f>
        <v/>
      </c>
      <c r="AY28" s="28" t="str">
        <f aca="false">IF(W28="","",W28-W27)</f>
        <v/>
      </c>
      <c r="AZ28" s="28" t="str">
        <f aca="false">IF(X28="","",X28-X27)</f>
        <v/>
      </c>
      <c r="BA28" s="28" t="str">
        <f aca="false">IF(Y28="","",Y28-Y27)</f>
        <v/>
      </c>
      <c r="BB28" s="28" t="str">
        <f aca="false">IF(Z28="","",Z28-Z27)</f>
        <v/>
      </c>
      <c r="BC28" s="28" t="n">
        <f aca="false">IF(AA28="","",AA28-AA27)</f>
        <v>0</v>
      </c>
    </row>
    <row r="29" customFormat="false" ht="15" hidden="false" customHeight="false" outlineLevel="0" collapsed="false">
      <c r="A29" s="72" t="n">
        <v>46236</v>
      </c>
      <c r="B29" s="26" t="n">
        <f aca="false">IF(B$7="","",CHOOSE(MATCH($B$4,Lists!$C$2:$C$5,0),SUMIFS(Sales_Data!$O$2:$O$3520,Sales_Data!$C$2:$C$3520,$A29,Sales_Data!$F$2:$F$3520,B$7,Sales_Data!$AE$2:$AE$3520,1),SUMIFS(Sales_Data!$M$2:$M$3520,Sales_Data!$C$2:$C$3520,$A29,Sales_Data!$F$2:$F$3520,B$7,Sales_Data!$AE$2:$AE$3520,1),SUMIFS(Sales_Data!$N$2:$N$3520,Sales_Data!$C$2:$C$3520,$A29,Sales_Data!$F$2:$F$3520,B$7,Sales_Data!$AE$2:$AE$3520,1),SUMIFS(Sales_Data!$AE$2:$AE$3520,Sales_Data!$C$2:$C$3520,$A29,Sales_Data!$F$2:$F$3520,B$7)))</f>
        <v>0</v>
      </c>
      <c r="C29" s="26" t="n">
        <f aca="false">IF(C$7="","",CHOOSE(MATCH($B$4,Lists!$C$2:$C$5,0),SUMIFS(Sales_Data!$O$2:$O$3520,Sales_Data!$C$2:$C$3520,$A29,Sales_Data!$F$2:$F$3520,C$7,Sales_Data!$AE$2:$AE$3520,1),SUMIFS(Sales_Data!$M$2:$M$3520,Sales_Data!$C$2:$C$3520,$A29,Sales_Data!$F$2:$F$3520,C$7,Sales_Data!$AE$2:$AE$3520,1),SUMIFS(Sales_Data!$N$2:$N$3520,Sales_Data!$C$2:$C$3520,$A29,Sales_Data!$F$2:$F$3520,C$7,Sales_Data!$AE$2:$AE$3520,1),SUMIFS(Sales_Data!$AE$2:$AE$3520,Sales_Data!$C$2:$C$3520,$A29,Sales_Data!$F$2:$F$3520,C$7)))</f>
        <v>0</v>
      </c>
      <c r="D29" s="26" t="n">
        <f aca="false">IF(D$7="","",CHOOSE(MATCH($B$4,Lists!$C$2:$C$5,0),SUMIFS(Sales_Data!$O$2:$O$3520,Sales_Data!$C$2:$C$3520,$A29,Sales_Data!$F$2:$F$3520,D$7,Sales_Data!$AE$2:$AE$3520,1),SUMIFS(Sales_Data!$M$2:$M$3520,Sales_Data!$C$2:$C$3520,$A29,Sales_Data!$F$2:$F$3520,D$7,Sales_Data!$AE$2:$AE$3520,1),SUMIFS(Sales_Data!$N$2:$N$3520,Sales_Data!$C$2:$C$3520,$A29,Sales_Data!$F$2:$F$3520,D$7,Sales_Data!$AE$2:$AE$3520,1),SUMIFS(Sales_Data!$AE$2:$AE$3520,Sales_Data!$C$2:$C$3520,$A29,Sales_Data!$F$2:$F$3520,D$7)))</f>
        <v>0</v>
      </c>
      <c r="E29" s="26" t="n">
        <f aca="false">IF(E$7="","",CHOOSE(MATCH($B$4,Lists!$C$2:$C$5,0),SUMIFS(Sales_Data!$O$2:$O$3520,Sales_Data!$C$2:$C$3520,$A29,Sales_Data!$F$2:$F$3520,E$7,Sales_Data!$AE$2:$AE$3520,1),SUMIFS(Sales_Data!$M$2:$M$3520,Sales_Data!$C$2:$C$3520,$A29,Sales_Data!$F$2:$F$3520,E$7,Sales_Data!$AE$2:$AE$3520,1),SUMIFS(Sales_Data!$N$2:$N$3520,Sales_Data!$C$2:$C$3520,$A29,Sales_Data!$F$2:$F$3520,E$7,Sales_Data!$AE$2:$AE$3520,1),SUMIFS(Sales_Data!$AE$2:$AE$3520,Sales_Data!$C$2:$C$3520,$A29,Sales_Data!$F$2:$F$3520,E$7)))</f>
        <v>0</v>
      </c>
      <c r="F29" s="26" t="n">
        <f aca="false">IF(F$7="","",CHOOSE(MATCH($B$4,Lists!$C$2:$C$5,0),SUMIFS(Sales_Data!$O$2:$O$3520,Sales_Data!$C$2:$C$3520,$A29,Sales_Data!$F$2:$F$3520,F$7,Sales_Data!$AE$2:$AE$3520,1),SUMIFS(Sales_Data!$M$2:$M$3520,Sales_Data!$C$2:$C$3520,$A29,Sales_Data!$F$2:$F$3520,F$7,Sales_Data!$AE$2:$AE$3520,1),SUMIFS(Sales_Data!$N$2:$N$3520,Sales_Data!$C$2:$C$3520,$A29,Sales_Data!$F$2:$F$3520,F$7,Sales_Data!$AE$2:$AE$3520,1),SUMIFS(Sales_Data!$AE$2:$AE$3520,Sales_Data!$C$2:$C$3520,$A29,Sales_Data!$F$2:$F$3520,F$7)))</f>
        <v>0</v>
      </c>
      <c r="G29" s="26" t="n">
        <f aca="false">IF(G$7="","",CHOOSE(MATCH($B$4,Lists!$C$2:$C$5,0),SUMIFS(Sales_Data!$O$2:$O$3520,Sales_Data!$C$2:$C$3520,$A29,Sales_Data!$F$2:$F$3520,G$7,Sales_Data!$AE$2:$AE$3520,1),SUMIFS(Sales_Data!$M$2:$M$3520,Sales_Data!$C$2:$C$3520,$A29,Sales_Data!$F$2:$F$3520,G$7,Sales_Data!$AE$2:$AE$3520,1),SUMIFS(Sales_Data!$N$2:$N$3520,Sales_Data!$C$2:$C$3520,$A29,Sales_Data!$F$2:$F$3520,G$7,Sales_Data!$AE$2:$AE$3520,1),SUMIFS(Sales_Data!$AE$2:$AE$3520,Sales_Data!$C$2:$C$3520,$A29,Sales_Data!$F$2:$F$3520,G$7)))</f>
        <v>0</v>
      </c>
      <c r="H29" s="26" t="n">
        <f aca="false">IF(H$7="","",CHOOSE(MATCH($B$4,Lists!$C$2:$C$5,0),SUMIFS(Sales_Data!$O$2:$O$3520,Sales_Data!$C$2:$C$3520,$A29,Sales_Data!$F$2:$F$3520,H$7,Sales_Data!$AE$2:$AE$3520,1),SUMIFS(Sales_Data!$M$2:$M$3520,Sales_Data!$C$2:$C$3520,$A29,Sales_Data!$F$2:$F$3520,H$7,Sales_Data!$AE$2:$AE$3520,1),SUMIFS(Sales_Data!$N$2:$N$3520,Sales_Data!$C$2:$C$3520,$A29,Sales_Data!$F$2:$F$3520,H$7,Sales_Data!$AE$2:$AE$3520,1),SUMIFS(Sales_Data!$AE$2:$AE$3520,Sales_Data!$C$2:$C$3520,$A29,Sales_Data!$F$2:$F$3520,H$7)))</f>
        <v>0</v>
      </c>
      <c r="I29" s="26" t="n">
        <f aca="false">IF(I$7="","",CHOOSE(MATCH($B$4,Lists!$C$2:$C$5,0),SUMIFS(Sales_Data!$O$2:$O$3520,Sales_Data!$C$2:$C$3520,$A29,Sales_Data!$F$2:$F$3520,I$7,Sales_Data!$AE$2:$AE$3520,1),SUMIFS(Sales_Data!$M$2:$M$3520,Sales_Data!$C$2:$C$3520,$A29,Sales_Data!$F$2:$F$3520,I$7,Sales_Data!$AE$2:$AE$3520,1),SUMIFS(Sales_Data!$N$2:$N$3520,Sales_Data!$C$2:$C$3520,$A29,Sales_Data!$F$2:$F$3520,I$7,Sales_Data!$AE$2:$AE$3520,1),SUMIFS(Sales_Data!$AE$2:$AE$3520,Sales_Data!$C$2:$C$3520,$A29,Sales_Data!$F$2:$F$3520,I$7)))</f>
        <v>0</v>
      </c>
      <c r="J29" s="26" t="n">
        <f aca="false">IF(J$7="","",CHOOSE(MATCH($B$4,Lists!$C$2:$C$5,0),SUMIFS(Sales_Data!$O$2:$O$3520,Sales_Data!$C$2:$C$3520,$A29,Sales_Data!$F$2:$F$3520,J$7,Sales_Data!$AE$2:$AE$3520,1),SUMIFS(Sales_Data!$M$2:$M$3520,Sales_Data!$C$2:$C$3520,$A29,Sales_Data!$F$2:$F$3520,J$7,Sales_Data!$AE$2:$AE$3520,1),SUMIFS(Sales_Data!$N$2:$N$3520,Sales_Data!$C$2:$C$3520,$A29,Sales_Data!$F$2:$F$3520,J$7,Sales_Data!$AE$2:$AE$3520,1),SUMIFS(Sales_Data!$AE$2:$AE$3520,Sales_Data!$C$2:$C$3520,$A29,Sales_Data!$F$2:$F$3520,J$7)))</f>
        <v>0</v>
      </c>
      <c r="K29" s="26" t="n">
        <f aca="false">IF(K$7="","",CHOOSE(MATCH($B$4,Lists!$C$2:$C$5,0),SUMIFS(Sales_Data!$O$2:$O$3520,Sales_Data!$C$2:$C$3520,$A29,Sales_Data!$F$2:$F$3520,K$7,Sales_Data!$AE$2:$AE$3520,1),SUMIFS(Sales_Data!$M$2:$M$3520,Sales_Data!$C$2:$C$3520,$A29,Sales_Data!$F$2:$F$3520,K$7,Sales_Data!$AE$2:$AE$3520,1),SUMIFS(Sales_Data!$N$2:$N$3520,Sales_Data!$C$2:$C$3520,$A29,Sales_Data!$F$2:$F$3520,K$7,Sales_Data!$AE$2:$AE$3520,1),SUMIFS(Sales_Data!$AE$2:$AE$3520,Sales_Data!$C$2:$C$3520,$A29,Sales_Data!$F$2:$F$3520,K$7)))</f>
        <v>0</v>
      </c>
      <c r="L29" s="26" t="n">
        <f aca="false">IF(L$7="","",CHOOSE(MATCH($B$4,Lists!$C$2:$C$5,0),SUMIFS(Sales_Data!$O$2:$O$3520,Sales_Data!$C$2:$C$3520,$A29,Sales_Data!$F$2:$F$3520,L$7,Sales_Data!$AE$2:$AE$3520,1),SUMIFS(Sales_Data!$M$2:$M$3520,Sales_Data!$C$2:$C$3520,$A29,Sales_Data!$F$2:$F$3520,L$7,Sales_Data!$AE$2:$AE$3520,1),SUMIFS(Sales_Data!$N$2:$N$3520,Sales_Data!$C$2:$C$3520,$A29,Sales_Data!$F$2:$F$3520,L$7,Sales_Data!$AE$2:$AE$3520,1),SUMIFS(Sales_Data!$AE$2:$AE$3520,Sales_Data!$C$2:$C$3520,$A29,Sales_Data!$F$2:$F$3520,L$7)))</f>
        <v>0</v>
      </c>
      <c r="M29" s="26" t="n">
        <f aca="false">IF(M$7="","",CHOOSE(MATCH($B$4,Lists!$C$2:$C$5,0),SUMIFS(Sales_Data!$O$2:$O$3520,Sales_Data!$C$2:$C$3520,$A29,Sales_Data!$F$2:$F$3520,M$7,Sales_Data!$AE$2:$AE$3520,1),SUMIFS(Sales_Data!$M$2:$M$3520,Sales_Data!$C$2:$C$3520,$A29,Sales_Data!$F$2:$F$3520,M$7,Sales_Data!$AE$2:$AE$3520,1),SUMIFS(Sales_Data!$N$2:$N$3520,Sales_Data!$C$2:$C$3520,$A29,Sales_Data!$F$2:$F$3520,M$7,Sales_Data!$AE$2:$AE$3520,1),SUMIFS(Sales_Data!$AE$2:$AE$3520,Sales_Data!$C$2:$C$3520,$A29,Sales_Data!$F$2:$F$3520,M$7)))</f>
        <v>0</v>
      </c>
      <c r="N29" s="26" t="n">
        <f aca="false">IF(N$7="","",CHOOSE(MATCH($B$4,Lists!$C$2:$C$5,0),SUMIFS(Sales_Data!$O$2:$O$3520,Sales_Data!$C$2:$C$3520,$A29,Sales_Data!$F$2:$F$3520,N$7,Sales_Data!$AE$2:$AE$3520,1),SUMIFS(Sales_Data!$M$2:$M$3520,Sales_Data!$C$2:$C$3520,$A29,Sales_Data!$F$2:$F$3520,N$7,Sales_Data!$AE$2:$AE$3520,1),SUMIFS(Sales_Data!$N$2:$N$3520,Sales_Data!$C$2:$C$3520,$A29,Sales_Data!$F$2:$F$3520,N$7,Sales_Data!$AE$2:$AE$3520,1),SUMIFS(Sales_Data!$AE$2:$AE$3520,Sales_Data!$C$2:$C$3520,$A29,Sales_Data!$F$2:$F$3520,N$7)))</f>
        <v>0</v>
      </c>
      <c r="O29" s="26" t="n">
        <f aca="false">IF(O$7="","",CHOOSE(MATCH($B$4,Lists!$C$2:$C$5,0),SUMIFS(Sales_Data!$O$2:$O$3520,Sales_Data!$C$2:$C$3520,$A29,Sales_Data!$F$2:$F$3520,O$7,Sales_Data!$AE$2:$AE$3520,1),SUMIFS(Sales_Data!$M$2:$M$3520,Sales_Data!$C$2:$C$3520,$A29,Sales_Data!$F$2:$F$3520,O$7,Sales_Data!$AE$2:$AE$3520,1),SUMIFS(Sales_Data!$N$2:$N$3520,Sales_Data!$C$2:$C$3520,$A29,Sales_Data!$F$2:$F$3520,O$7,Sales_Data!$AE$2:$AE$3520,1),SUMIFS(Sales_Data!$AE$2:$AE$3520,Sales_Data!$C$2:$C$3520,$A29,Sales_Data!$F$2:$F$3520,O$7)))</f>
        <v>0</v>
      </c>
      <c r="P29" s="26" t="n">
        <f aca="false">IF(P$7="","",CHOOSE(MATCH($B$4,Lists!$C$2:$C$5,0),SUMIFS(Sales_Data!$O$2:$O$3520,Sales_Data!$C$2:$C$3520,$A29,Sales_Data!$F$2:$F$3520,P$7,Sales_Data!$AE$2:$AE$3520,1),SUMIFS(Sales_Data!$M$2:$M$3520,Sales_Data!$C$2:$C$3520,$A29,Sales_Data!$F$2:$F$3520,P$7,Sales_Data!$AE$2:$AE$3520,1),SUMIFS(Sales_Data!$N$2:$N$3520,Sales_Data!$C$2:$C$3520,$A29,Sales_Data!$F$2:$F$3520,P$7,Sales_Data!$AE$2:$AE$3520,1),SUMIFS(Sales_Data!$AE$2:$AE$3520,Sales_Data!$C$2:$C$3520,$A29,Sales_Data!$F$2:$F$3520,P$7)))</f>
        <v>0</v>
      </c>
      <c r="Q29" s="26" t="n">
        <f aca="false">IF(Q$7="","",CHOOSE(MATCH($B$4,Lists!$C$2:$C$5,0),SUMIFS(Sales_Data!$O$2:$O$3520,Sales_Data!$C$2:$C$3520,$A29,Sales_Data!$F$2:$F$3520,Q$7,Sales_Data!$AE$2:$AE$3520,1),SUMIFS(Sales_Data!$M$2:$M$3520,Sales_Data!$C$2:$C$3520,$A29,Sales_Data!$F$2:$F$3520,Q$7,Sales_Data!$AE$2:$AE$3520,1),SUMIFS(Sales_Data!$N$2:$N$3520,Sales_Data!$C$2:$C$3520,$A29,Sales_Data!$F$2:$F$3520,Q$7,Sales_Data!$AE$2:$AE$3520,1),SUMIFS(Sales_Data!$AE$2:$AE$3520,Sales_Data!$C$2:$C$3520,$A29,Sales_Data!$F$2:$F$3520,Q$7)))</f>
        <v>0</v>
      </c>
      <c r="R29" s="26" t="n">
        <f aca="false">IF(R$7="","",CHOOSE(MATCH($B$4,Lists!$C$2:$C$5,0),SUMIFS(Sales_Data!$O$2:$O$3520,Sales_Data!$C$2:$C$3520,$A29,Sales_Data!$F$2:$F$3520,R$7,Sales_Data!$AE$2:$AE$3520,1),SUMIFS(Sales_Data!$M$2:$M$3520,Sales_Data!$C$2:$C$3520,$A29,Sales_Data!$F$2:$F$3520,R$7,Sales_Data!$AE$2:$AE$3520,1),SUMIFS(Sales_Data!$N$2:$N$3520,Sales_Data!$C$2:$C$3520,$A29,Sales_Data!$F$2:$F$3520,R$7,Sales_Data!$AE$2:$AE$3520,1),SUMIFS(Sales_Data!$AE$2:$AE$3520,Sales_Data!$C$2:$C$3520,$A29,Sales_Data!$F$2:$F$3520,R$7)))</f>
        <v>0</v>
      </c>
      <c r="S29" s="26" t="n">
        <f aca="false">IF(S$7="","",CHOOSE(MATCH($B$4,Lists!$C$2:$C$5,0),SUMIFS(Sales_Data!$O$2:$O$3520,Sales_Data!$C$2:$C$3520,$A29,Sales_Data!$F$2:$F$3520,S$7,Sales_Data!$AE$2:$AE$3520,1),SUMIFS(Sales_Data!$M$2:$M$3520,Sales_Data!$C$2:$C$3520,$A29,Sales_Data!$F$2:$F$3520,S$7,Sales_Data!$AE$2:$AE$3520,1),SUMIFS(Sales_Data!$N$2:$N$3520,Sales_Data!$C$2:$C$3520,$A29,Sales_Data!$F$2:$F$3520,S$7,Sales_Data!$AE$2:$AE$3520,1),SUMIFS(Sales_Data!$AE$2:$AE$3520,Sales_Data!$C$2:$C$3520,$A29,Sales_Data!$F$2:$F$3520,S$7)))</f>
        <v>0</v>
      </c>
      <c r="T29" s="26" t="str">
        <f aca="false">IF(T$7="","",CHOOSE(MATCH($B$4,Lists!$C$2:$C$5,0),SUMIFS(Sales_Data!$O$2:$O$3520,Sales_Data!$C$2:$C$3520,$A29,Sales_Data!$F$2:$F$3520,T$7,Sales_Data!$AE$2:$AE$3520,1),SUMIFS(Sales_Data!$M$2:$M$3520,Sales_Data!$C$2:$C$3520,$A29,Sales_Data!$F$2:$F$3520,T$7,Sales_Data!$AE$2:$AE$3520,1),SUMIFS(Sales_Data!$N$2:$N$3520,Sales_Data!$C$2:$C$3520,$A29,Sales_Data!$F$2:$F$3520,T$7,Sales_Data!$AE$2:$AE$3520,1),SUMIFS(Sales_Data!$AE$2:$AE$3520,Sales_Data!$C$2:$C$3520,$A29,Sales_Data!$F$2:$F$3520,T$7)))</f>
        <v/>
      </c>
      <c r="U29" s="26" t="str">
        <f aca="false">IF(U$7="","",CHOOSE(MATCH($B$4,Lists!$C$2:$C$5,0),SUMIFS(Sales_Data!$O$2:$O$3520,Sales_Data!$C$2:$C$3520,$A29,Sales_Data!$F$2:$F$3520,U$7,Sales_Data!$AE$2:$AE$3520,1),SUMIFS(Sales_Data!$M$2:$M$3520,Sales_Data!$C$2:$C$3520,$A29,Sales_Data!$F$2:$F$3520,U$7,Sales_Data!$AE$2:$AE$3520,1),SUMIFS(Sales_Data!$N$2:$N$3520,Sales_Data!$C$2:$C$3520,$A29,Sales_Data!$F$2:$F$3520,U$7,Sales_Data!$AE$2:$AE$3520,1),SUMIFS(Sales_Data!$AE$2:$AE$3520,Sales_Data!$C$2:$C$3520,$A29,Sales_Data!$F$2:$F$3520,U$7)))</f>
        <v/>
      </c>
      <c r="V29" s="26" t="str">
        <f aca="false">IF(V$7="","",CHOOSE(MATCH($B$4,Lists!$C$2:$C$5,0),SUMIFS(Sales_Data!$O$2:$O$3520,Sales_Data!$C$2:$C$3520,$A29,Sales_Data!$F$2:$F$3520,V$7,Sales_Data!$AE$2:$AE$3520,1),SUMIFS(Sales_Data!$M$2:$M$3520,Sales_Data!$C$2:$C$3520,$A29,Sales_Data!$F$2:$F$3520,V$7,Sales_Data!$AE$2:$AE$3520,1),SUMIFS(Sales_Data!$N$2:$N$3520,Sales_Data!$C$2:$C$3520,$A29,Sales_Data!$F$2:$F$3520,V$7,Sales_Data!$AE$2:$AE$3520,1),SUMIFS(Sales_Data!$AE$2:$AE$3520,Sales_Data!$C$2:$C$3520,$A29,Sales_Data!$F$2:$F$3520,V$7)))</f>
        <v/>
      </c>
      <c r="W29" s="26" t="str">
        <f aca="false">IF(W$7="","",CHOOSE(MATCH($B$4,Lists!$C$2:$C$5,0),SUMIFS(Sales_Data!$O$2:$O$3520,Sales_Data!$C$2:$C$3520,$A29,Sales_Data!$F$2:$F$3520,W$7,Sales_Data!$AE$2:$AE$3520,1),SUMIFS(Sales_Data!$M$2:$M$3520,Sales_Data!$C$2:$C$3520,$A29,Sales_Data!$F$2:$F$3520,W$7,Sales_Data!$AE$2:$AE$3520,1),SUMIFS(Sales_Data!$N$2:$N$3520,Sales_Data!$C$2:$C$3520,$A29,Sales_Data!$F$2:$F$3520,W$7,Sales_Data!$AE$2:$AE$3520,1),SUMIFS(Sales_Data!$AE$2:$AE$3520,Sales_Data!$C$2:$C$3520,$A29,Sales_Data!$F$2:$F$3520,W$7)))</f>
        <v/>
      </c>
      <c r="X29" s="26" t="str">
        <f aca="false">IF(X$7="","",CHOOSE(MATCH($B$4,Lists!$C$2:$C$5,0),SUMIFS(Sales_Data!$O$2:$O$3520,Sales_Data!$C$2:$C$3520,$A29,Sales_Data!$F$2:$F$3520,X$7,Sales_Data!$AE$2:$AE$3520,1),SUMIFS(Sales_Data!$M$2:$M$3520,Sales_Data!$C$2:$C$3520,$A29,Sales_Data!$F$2:$F$3520,X$7,Sales_Data!$AE$2:$AE$3520,1),SUMIFS(Sales_Data!$N$2:$N$3520,Sales_Data!$C$2:$C$3520,$A29,Sales_Data!$F$2:$F$3520,X$7,Sales_Data!$AE$2:$AE$3520,1),SUMIFS(Sales_Data!$AE$2:$AE$3520,Sales_Data!$C$2:$C$3520,$A29,Sales_Data!$F$2:$F$3520,X$7)))</f>
        <v/>
      </c>
      <c r="Y29" s="26" t="str">
        <f aca="false">IF(Y$7="","",CHOOSE(MATCH($B$4,Lists!$C$2:$C$5,0),SUMIFS(Sales_Data!$O$2:$O$3520,Sales_Data!$C$2:$C$3520,$A29,Sales_Data!$F$2:$F$3520,Y$7,Sales_Data!$AE$2:$AE$3520,1),SUMIFS(Sales_Data!$M$2:$M$3520,Sales_Data!$C$2:$C$3520,$A29,Sales_Data!$F$2:$F$3520,Y$7,Sales_Data!$AE$2:$AE$3520,1),SUMIFS(Sales_Data!$N$2:$N$3520,Sales_Data!$C$2:$C$3520,$A29,Sales_Data!$F$2:$F$3520,Y$7,Sales_Data!$AE$2:$AE$3520,1),SUMIFS(Sales_Data!$AE$2:$AE$3520,Sales_Data!$C$2:$C$3520,$A29,Sales_Data!$F$2:$F$3520,Y$7)))</f>
        <v/>
      </c>
      <c r="Z29" s="26" t="str">
        <f aca="false">IF(Z$7="","",CHOOSE(MATCH($B$4,Lists!$C$2:$C$5,0),SUMIFS(Sales_Data!$O$2:$O$3520,Sales_Data!$C$2:$C$3520,$A29,Sales_Data!$F$2:$F$3520,Z$7,Sales_Data!$AE$2:$AE$3520,1),SUMIFS(Sales_Data!$M$2:$M$3520,Sales_Data!$C$2:$C$3520,$A29,Sales_Data!$F$2:$F$3520,Z$7,Sales_Data!$AE$2:$AE$3520,1),SUMIFS(Sales_Data!$N$2:$N$3520,Sales_Data!$C$2:$C$3520,$A29,Sales_Data!$F$2:$F$3520,Z$7,Sales_Data!$AE$2:$AE$3520,1),SUMIFS(Sales_Data!$AE$2:$AE$3520,Sales_Data!$C$2:$C$3520,$A29,Sales_Data!$F$2:$F$3520,Z$7)))</f>
        <v/>
      </c>
      <c r="AA29" s="27" t="n">
        <f aca="false">SUM(B29:Z29)</f>
        <v>0</v>
      </c>
      <c r="AB29" s="3"/>
      <c r="AC29" s="72" t="n">
        <f aca="false">A29</f>
        <v>46236</v>
      </c>
      <c r="AD29" s="28" t="n">
        <f aca="false">IF(B29="","",B29-B28)</f>
        <v>0</v>
      </c>
      <c r="AE29" s="28" t="n">
        <f aca="false">IF(C29="","",C29-C28)</f>
        <v>0</v>
      </c>
      <c r="AF29" s="28" t="n">
        <f aca="false">IF(D29="","",D29-D28)</f>
        <v>0</v>
      </c>
      <c r="AG29" s="28" t="n">
        <f aca="false">IF(E29="","",E29-E28)</f>
        <v>0</v>
      </c>
      <c r="AH29" s="28" t="n">
        <f aca="false">IF(F29="","",F29-F28)</f>
        <v>0</v>
      </c>
      <c r="AI29" s="28" t="n">
        <f aca="false">IF(G29="","",G29-G28)</f>
        <v>0</v>
      </c>
      <c r="AJ29" s="28" t="n">
        <f aca="false">IF(H29="","",H29-H28)</f>
        <v>0</v>
      </c>
      <c r="AK29" s="28" t="n">
        <f aca="false">IF(I29="","",I29-I28)</f>
        <v>0</v>
      </c>
      <c r="AL29" s="28" t="n">
        <f aca="false">IF(J29="","",J29-J28)</f>
        <v>0</v>
      </c>
      <c r="AM29" s="28" t="n">
        <f aca="false">IF(K29="","",K29-K28)</f>
        <v>0</v>
      </c>
      <c r="AN29" s="28" t="n">
        <f aca="false">IF(L29="","",L29-L28)</f>
        <v>0</v>
      </c>
      <c r="AO29" s="28" t="n">
        <f aca="false">IF(M29="","",M29-M28)</f>
        <v>0</v>
      </c>
      <c r="AP29" s="28" t="n">
        <f aca="false">IF(N29="","",N29-N28)</f>
        <v>0</v>
      </c>
      <c r="AQ29" s="28" t="n">
        <f aca="false">IF(O29="","",O29-O28)</f>
        <v>0</v>
      </c>
      <c r="AR29" s="28" t="n">
        <f aca="false">IF(P29="","",P29-P28)</f>
        <v>0</v>
      </c>
      <c r="AS29" s="28" t="n">
        <f aca="false">IF(Q29="","",Q29-Q28)</f>
        <v>0</v>
      </c>
      <c r="AT29" s="28" t="n">
        <f aca="false">IF(R29="","",R29-R28)</f>
        <v>0</v>
      </c>
      <c r="AU29" s="28" t="n">
        <f aca="false">IF(S29="","",S29-S28)</f>
        <v>0</v>
      </c>
      <c r="AV29" s="28" t="str">
        <f aca="false">IF(T29="","",T29-T28)</f>
        <v/>
      </c>
      <c r="AW29" s="28" t="str">
        <f aca="false">IF(U29="","",U29-U28)</f>
        <v/>
      </c>
      <c r="AX29" s="28" t="str">
        <f aca="false">IF(V29="","",V29-V28)</f>
        <v/>
      </c>
      <c r="AY29" s="28" t="str">
        <f aca="false">IF(W29="","",W29-W28)</f>
        <v/>
      </c>
      <c r="AZ29" s="28" t="str">
        <f aca="false">IF(X29="","",X29-X28)</f>
        <v/>
      </c>
      <c r="BA29" s="28" t="str">
        <f aca="false">IF(Y29="","",Y29-Y28)</f>
        <v/>
      </c>
      <c r="BB29" s="28" t="str">
        <f aca="false">IF(Z29="","",Z29-Z28)</f>
        <v/>
      </c>
      <c r="BC29" s="28" t="n">
        <f aca="false">IF(AA29="","",AA29-AA28)</f>
        <v>0</v>
      </c>
    </row>
    <row r="30" customFormat="false" ht="15" hidden="false" customHeight="false" outlineLevel="0" collapsed="false">
      <c r="A30" s="72" t="n">
        <v>46237</v>
      </c>
      <c r="B30" s="26" t="n">
        <f aca="false">IF(B$7="","",CHOOSE(MATCH($B$4,Lists!$C$2:$C$5,0),SUMIFS(Sales_Data!$O$2:$O$3520,Sales_Data!$C$2:$C$3520,$A30,Sales_Data!$F$2:$F$3520,B$7,Sales_Data!$AE$2:$AE$3520,1),SUMIFS(Sales_Data!$M$2:$M$3520,Sales_Data!$C$2:$C$3520,$A30,Sales_Data!$F$2:$F$3520,B$7,Sales_Data!$AE$2:$AE$3520,1),SUMIFS(Sales_Data!$N$2:$N$3520,Sales_Data!$C$2:$C$3520,$A30,Sales_Data!$F$2:$F$3520,B$7,Sales_Data!$AE$2:$AE$3520,1),SUMIFS(Sales_Data!$AE$2:$AE$3520,Sales_Data!$C$2:$C$3520,$A30,Sales_Data!$F$2:$F$3520,B$7)))</f>
        <v>0</v>
      </c>
      <c r="C30" s="26" t="n">
        <f aca="false">IF(C$7="","",CHOOSE(MATCH($B$4,Lists!$C$2:$C$5,0),SUMIFS(Sales_Data!$O$2:$O$3520,Sales_Data!$C$2:$C$3520,$A30,Sales_Data!$F$2:$F$3520,C$7,Sales_Data!$AE$2:$AE$3520,1),SUMIFS(Sales_Data!$M$2:$M$3520,Sales_Data!$C$2:$C$3520,$A30,Sales_Data!$F$2:$F$3520,C$7,Sales_Data!$AE$2:$AE$3520,1),SUMIFS(Sales_Data!$N$2:$N$3520,Sales_Data!$C$2:$C$3520,$A30,Sales_Data!$F$2:$F$3520,C$7,Sales_Data!$AE$2:$AE$3520,1),SUMIFS(Sales_Data!$AE$2:$AE$3520,Sales_Data!$C$2:$C$3520,$A30,Sales_Data!$F$2:$F$3520,C$7)))</f>
        <v>0</v>
      </c>
      <c r="D30" s="26" t="n">
        <f aca="false">IF(D$7="","",CHOOSE(MATCH($B$4,Lists!$C$2:$C$5,0),SUMIFS(Sales_Data!$O$2:$O$3520,Sales_Data!$C$2:$C$3520,$A30,Sales_Data!$F$2:$F$3520,D$7,Sales_Data!$AE$2:$AE$3520,1),SUMIFS(Sales_Data!$M$2:$M$3520,Sales_Data!$C$2:$C$3520,$A30,Sales_Data!$F$2:$F$3520,D$7,Sales_Data!$AE$2:$AE$3520,1),SUMIFS(Sales_Data!$N$2:$N$3520,Sales_Data!$C$2:$C$3520,$A30,Sales_Data!$F$2:$F$3520,D$7,Sales_Data!$AE$2:$AE$3520,1),SUMIFS(Sales_Data!$AE$2:$AE$3520,Sales_Data!$C$2:$C$3520,$A30,Sales_Data!$F$2:$F$3520,D$7)))</f>
        <v>0</v>
      </c>
      <c r="E30" s="26" t="n">
        <f aca="false">IF(E$7="","",CHOOSE(MATCH($B$4,Lists!$C$2:$C$5,0),SUMIFS(Sales_Data!$O$2:$O$3520,Sales_Data!$C$2:$C$3520,$A30,Sales_Data!$F$2:$F$3520,E$7,Sales_Data!$AE$2:$AE$3520,1),SUMIFS(Sales_Data!$M$2:$M$3520,Sales_Data!$C$2:$C$3520,$A30,Sales_Data!$F$2:$F$3520,E$7,Sales_Data!$AE$2:$AE$3520,1),SUMIFS(Sales_Data!$N$2:$N$3520,Sales_Data!$C$2:$C$3520,$A30,Sales_Data!$F$2:$F$3520,E$7,Sales_Data!$AE$2:$AE$3520,1),SUMIFS(Sales_Data!$AE$2:$AE$3520,Sales_Data!$C$2:$C$3520,$A30,Sales_Data!$F$2:$F$3520,E$7)))</f>
        <v>0</v>
      </c>
      <c r="F30" s="26" t="n">
        <f aca="false">IF(F$7="","",CHOOSE(MATCH($B$4,Lists!$C$2:$C$5,0),SUMIFS(Sales_Data!$O$2:$O$3520,Sales_Data!$C$2:$C$3520,$A30,Sales_Data!$F$2:$F$3520,F$7,Sales_Data!$AE$2:$AE$3520,1),SUMIFS(Sales_Data!$M$2:$M$3520,Sales_Data!$C$2:$C$3520,$A30,Sales_Data!$F$2:$F$3520,F$7,Sales_Data!$AE$2:$AE$3520,1),SUMIFS(Sales_Data!$N$2:$N$3520,Sales_Data!$C$2:$C$3520,$A30,Sales_Data!$F$2:$F$3520,F$7,Sales_Data!$AE$2:$AE$3520,1),SUMIFS(Sales_Data!$AE$2:$AE$3520,Sales_Data!$C$2:$C$3520,$A30,Sales_Data!$F$2:$F$3520,F$7)))</f>
        <v>0</v>
      </c>
      <c r="G30" s="26" t="n">
        <f aca="false">IF(G$7="","",CHOOSE(MATCH($B$4,Lists!$C$2:$C$5,0),SUMIFS(Sales_Data!$O$2:$O$3520,Sales_Data!$C$2:$C$3520,$A30,Sales_Data!$F$2:$F$3520,G$7,Sales_Data!$AE$2:$AE$3520,1),SUMIFS(Sales_Data!$M$2:$M$3520,Sales_Data!$C$2:$C$3520,$A30,Sales_Data!$F$2:$F$3520,G$7,Sales_Data!$AE$2:$AE$3520,1),SUMIFS(Sales_Data!$N$2:$N$3520,Sales_Data!$C$2:$C$3520,$A30,Sales_Data!$F$2:$F$3520,G$7,Sales_Data!$AE$2:$AE$3520,1),SUMIFS(Sales_Data!$AE$2:$AE$3520,Sales_Data!$C$2:$C$3520,$A30,Sales_Data!$F$2:$F$3520,G$7)))</f>
        <v>0</v>
      </c>
      <c r="H30" s="26" t="n">
        <f aca="false">IF(H$7="","",CHOOSE(MATCH($B$4,Lists!$C$2:$C$5,0),SUMIFS(Sales_Data!$O$2:$O$3520,Sales_Data!$C$2:$C$3520,$A30,Sales_Data!$F$2:$F$3520,H$7,Sales_Data!$AE$2:$AE$3520,1),SUMIFS(Sales_Data!$M$2:$M$3520,Sales_Data!$C$2:$C$3520,$A30,Sales_Data!$F$2:$F$3520,H$7,Sales_Data!$AE$2:$AE$3520,1),SUMIFS(Sales_Data!$N$2:$N$3520,Sales_Data!$C$2:$C$3520,$A30,Sales_Data!$F$2:$F$3520,H$7,Sales_Data!$AE$2:$AE$3520,1),SUMIFS(Sales_Data!$AE$2:$AE$3520,Sales_Data!$C$2:$C$3520,$A30,Sales_Data!$F$2:$F$3520,H$7)))</f>
        <v>0</v>
      </c>
      <c r="I30" s="26" t="n">
        <f aca="false">IF(I$7="","",CHOOSE(MATCH($B$4,Lists!$C$2:$C$5,0),SUMIFS(Sales_Data!$O$2:$O$3520,Sales_Data!$C$2:$C$3520,$A30,Sales_Data!$F$2:$F$3520,I$7,Sales_Data!$AE$2:$AE$3520,1),SUMIFS(Sales_Data!$M$2:$M$3520,Sales_Data!$C$2:$C$3520,$A30,Sales_Data!$F$2:$F$3520,I$7,Sales_Data!$AE$2:$AE$3520,1),SUMIFS(Sales_Data!$N$2:$N$3520,Sales_Data!$C$2:$C$3520,$A30,Sales_Data!$F$2:$F$3520,I$7,Sales_Data!$AE$2:$AE$3520,1),SUMIFS(Sales_Data!$AE$2:$AE$3520,Sales_Data!$C$2:$C$3520,$A30,Sales_Data!$F$2:$F$3520,I$7)))</f>
        <v>0</v>
      </c>
      <c r="J30" s="26" t="n">
        <f aca="false">IF(J$7="","",CHOOSE(MATCH($B$4,Lists!$C$2:$C$5,0),SUMIFS(Sales_Data!$O$2:$O$3520,Sales_Data!$C$2:$C$3520,$A30,Sales_Data!$F$2:$F$3520,J$7,Sales_Data!$AE$2:$AE$3520,1),SUMIFS(Sales_Data!$M$2:$M$3520,Sales_Data!$C$2:$C$3520,$A30,Sales_Data!$F$2:$F$3520,J$7,Sales_Data!$AE$2:$AE$3520,1),SUMIFS(Sales_Data!$N$2:$N$3520,Sales_Data!$C$2:$C$3520,$A30,Sales_Data!$F$2:$F$3520,J$7,Sales_Data!$AE$2:$AE$3520,1),SUMIFS(Sales_Data!$AE$2:$AE$3520,Sales_Data!$C$2:$C$3520,$A30,Sales_Data!$F$2:$F$3520,J$7)))</f>
        <v>0</v>
      </c>
      <c r="K30" s="26" t="n">
        <f aca="false">IF(K$7="","",CHOOSE(MATCH($B$4,Lists!$C$2:$C$5,0),SUMIFS(Sales_Data!$O$2:$O$3520,Sales_Data!$C$2:$C$3520,$A30,Sales_Data!$F$2:$F$3520,K$7,Sales_Data!$AE$2:$AE$3520,1),SUMIFS(Sales_Data!$M$2:$M$3520,Sales_Data!$C$2:$C$3520,$A30,Sales_Data!$F$2:$F$3520,K$7,Sales_Data!$AE$2:$AE$3520,1),SUMIFS(Sales_Data!$N$2:$N$3520,Sales_Data!$C$2:$C$3520,$A30,Sales_Data!$F$2:$F$3520,K$7,Sales_Data!$AE$2:$AE$3520,1),SUMIFS(Sales_Data!$AE$2:$AE$3520,Sales_Data!$C$2:$C$3520,$A30,Sales_Data!$F$2:$F$3520,K$7)))</f>
        <v>0</v>
      </c>
      <c r="L30" s="26" t="n">
        <f aca="false">IF(L$7="","",CHOOSE(MATCH($B$4,Lists!$C$2:$C$5,0),SUMIFS(Sales_Data!$O$2:$O$3520,Sales_Data!$C$2:$C$3520,$A30,Sales_Data!$F$2:$F$3520,L$7,Sales_Data!$AE$2:$AE$3520,1),SUMIFS(Sales_Data!$M$2:$M$3520,Sales_Data!$C$2:$C$3520,$A30,Sales_Data!$F$2:$F$3520,L$7,Sales_Data!$AE$2:$AE$3520,1),SUMIFS(Sales_Data!$N$2:$N$3520,Sales_Data!$C$2:$C$3520,$A30,Sales_Data!$F$2:$F$3520,L$7,Sales_Data!$AE$2:$AE$3520,1),SUMIFS(Sales_Data!$AE$2:$AE$3520,Sales_Data!$C$2:$C$3520,$A30,Sales_Data!$F$2:$F$3520,L$7)))</f>
        <v>0</v>
      </c>
      <c r="M30" s="26" t="n">
        <f aca="false">IF(M$7="","",CHOOSE(MATCH($B$4,Lists!$C$2:$C$5,0),SUMIFS(Sales_Data!$O$2:$O$3520,Sales_Data!$C$2:$C$3520,$A30,Sales_Data!$F$2:$F$3520,M$7,Sales_Data!$AE$2:$AE$3520,1),SUMIFS(Sales_Data!$M$2:$M$3520,Sales_Data!$C$2:$C$3520,$A30,Sales_Data!$F$2:$F$3520,M$7,Sales_Data!$AE$2:$AE$3520,1),SUMIFS(Sales_Data!$N$2:$N$3520,Sales_Data!$C$2:$C$3520,$A30,Sales_Data!$F$2:$F$3520,M$7,Sales_Data!$AE$2:$AE$3520,1),SUMIFS(Sales_Data!$AE$2:$AE$3520,Sales_Data!$C$2:$C$3520,$A30,Sales_Data!$F$2:$F$3520,M$7)))</f>
        <v>0</v>
      </c>
      <c r="N30" s="26" t="n">
        <f aca="false">IF(N$7="","",CHOOSE(MATCH($B$4,Lists!$C$2:$C$5,0),SUMIFS(Sales_Data!$O$2:$O$3520,Sales_Data!$C$2:$C$3520,$A30,Sales_Data!$F$2:$F$3520,N$7,Sales_Data!$AE$2:$AE$3520,1),SUMIFS(Sales_Data!$M$2:$M$3520,Sales_Data!$C$2:$C$3520,$A30,Sales_Data!$F$2:$F$3520,N$7,Sales_Data!$AE$2:$AE$3520,1),SUMIFS(Sales_Data!$N$2:$N$3520,Sales_Data!$C$2:$C$3520,$A30,Sales_Data!$F$2:$F$3520,N$7,Sales_Data!$AE$2:$AE$3520,1),SUMIFS(Sales_Data!$AE$2:$AE$3520,Sales_Data!$C$2:$C$3520,$A30,Sales_Data!$F$2:$F$3520,N$7)))</f>
        <v>0</v>
      </c>
      <c r="O30" s="26" t="n">
        <f aca="false">IF(O$7="","",CHOOSE(MATCH($B$4,Lists!$C$2:$C$5,0),SUMIFS(Sales_Data!$O$2:$O$3520,Sales_Data!$C$2:$C$3520,$A30,Sales_Data!$F$2:$F$3520,O$7,Sales_Data!$AE$2:$AE$3520,1),SUMIFS(Sales_Data!$M$2:$M$3520,Sales_Data!$C$2:$C$3520,$A30,Sales_Data!$F$2:$F$3520,O$7,Sales_Data!$AE$2:$AE$3520,1),SUMIFS(Sales_Data!$N$2:$N$3520,Sales_Data!$C$2:$C$3520,$A30,Sales_Data!$F$2:$F$3520,O$7,Sales_Data!$AE$2:$AE$3520,1),SUMIFS(Sales_Data!$AE$2:$AE$3520,Sales_Data!$C$2:$C$3520,$A30,Sales_Data!$F$2:$F$3520,O$7)))</f>
        <v>0</v>
      </c>
      <c r="P30" s="26" t="n">
        <f aca="false">IF(P$7="","",CHOOSE(MATCH($B$4,Lists!$C$2:$C$5,0),SUMIFS(Sales_Data!$O$2:$O$3520,Sales_Data!$C$2:$C$3520,$A30,Sales_Data!$F$2:$F$3520,P$7,Sales_Data!$AE$2:$AE$3520,1),SUMIFS(Sales_Data!$M$2:$M$3520,Sales_Data!$C$2:$C$3520,$A30,Sales_Data!$F$2:$F$3520,P$7,Sales_Data!$AE$2:$AE$3520,1),SUMIFS(Sales_Data!$N$2:$N$3520,Sales_Data!$C$2:$C$3520,$A30,Sales_Data!$F$2:$F$3520,P$7,Sales_Data!$AE$2:$AE$3520,1),SUMIFS(Sales_Data!$AE$2:$AE$3520,Sales_Data!$C$2:$C$3520,$A30,Sales_Data!$F$2:$F$3520,P$7)))</f>
        <v>0</v>
      </c>
      <c r="Q30" s="26" t="n">
        <f aca="false">IF(Q$7="","",CHOOSE(MATCH($B$4,Lists!$C$2:$C$5,0),SUMIFS(Sales_Data!$O$2:$O$3520,Sales_Data!$C$2:$C$3520,$A30,Sales_Data!$F$2:$F$3520,Q$7,Sales_Data!$AE$2:$AE$3520,1),SUMIFS(Sales_Data!$M$2:$M$3520,Sales_Data!$C$2:$C$3520,$A30,Sales_Data!$F$2:$F$3520,Q$7,Sales_Data!$AE$2:$AE$3520,1),SUMIFS(Sales_Data!$N$2:$N$3520,Sales_Data!$C$2:$C$3520,$A30,Sales_Data!$F$2:$F$3520,Q$7,Sales_Data!$AE$2:$AE$3520,1),SUMIFS(Sales_Data!$AE$2:$AE$3520,Sales_Data!$C$2:$C$3520,$A30,Sales_Data!$F$2:$F$3520,Q$7)))</f>
        <v>0</v>
      </c>
      <c r="R30" s="26" t="n">
        <f aca="false">IF(R$7="","",CHOOSE(MATCH($B$4,Lists!$C$2:$C$5,0),SUMIFS(Sales_Data!$O$2:$O$3520,Sales_Data!$C$2:$C$3520,$A30,Sales_Data!$F$2:$F$3520,R$7,Sales_Data!$AE$2:$AE$3520,1),SUMIFS(Sales_Data!$M$2:$M$3520,Sales_Data!$C$2:$C$3520,$A30,Sales_Data!$F$2:$F$3520,R$7,Sales_Data!$AE$2:$AE$3520,1),SUMIFS(Sales_Data!$N$2:$N$3520,Sales_Data!$C$2:$C$3520,$A30,Sales_Data!$F$2:$F$3520,R$7,Sales_Data!$AE$2:$AE$3520,1),SUMIFS(Sales_Data!$AE$2:$AE$3520,Sales_Data!$C$2:$C$3520,$A30,Sales_Data!$F$2:$F$3520,R$7)))</f>
        <v>0</v>
      </c>
      <c r="S30" s="26" t="n">
        <f aca="false">IF(S$7="","",CHOOSE(MATCH($B$4,Lists!$C$2:$C$5,0),SUMIFS(Sales_Data!$O$2:$O$3520,Sales_Data!$C$2:$C$3520,$A30,Sales_Data!$F$2:$F$3520,S$7,Sales_Data!$AE$2:$AE$3520,1),SUMIFS(Sales_Data!$M$2:$M$3520,Sales_Data!$C$2:$C$3520,$A30,Sales_Data!$F$2:$F$3520,S$7,Sales_Data!$AE$2:$AE$3520,1),SUMIFS(Sales_Data!$N$2:$N$3520,Sales_Data!$C$2:$C$3520,$A30,Sales_Data!$F$2:$F$3520,S$7,Sales_Data!$AE$2:$AE$3520,1),SUMIFS(Sales_Data!$AE$2:$AE$3520,Sales_Data!$C$2:$C$3520,$A30,Sales_Data!$F$2:$F$3520,S$7)))</f>
        <v>0</v>
      </c>
      <c r="T30" s="26" t="str">
        <f aca="false">IF(T$7="","",CHOOSE(MATCH($B$4,Lists!$C$2:$C$5,0),SUMIFS(Sales_Data!$O$2:$O$3520,Sales_Data!$C$2:$C$3520,$A30,Sales_Data!$F$2:$F$3520,T$7,Sales_Data!$AE$2:$AE$3520,1),SUMIFS(Sales_Data!$M$2:$M$3520,Sales_Data!$C$2:$C$3520,$A30,Sales_Data!$F$2:$F$3520,T$7,Sales_Data!$AE$2:$AE$3520,1),SUMIFS(Sales_Data!$N$2:$N$3520,Sales_Data!$C$2:$C$3520,$A30,Sales_Data!$F$2:$F$3520,T$7,Sales_Data!$AE$2:$AE$3520,1),SUMIFS(Sales_Data!$AE$2:$AE$3520,Sales_Data!$C$2:$C$3520,$A30,Sales_Data!$F$2:$F$3520,T$7)))</f>
        <v/>
      </c>
      <c r="U30" s="26" t="str">
        <f aca="false">IF(U$7="","",CHOOSE(MATCH($B$4,Lists!$C$2:$C$5,0),SUMIFS(Sales_Data!$O$2:$O$3520,Sales_Data!$C$2:$C$3520,$A30,Sales_Data!$F$2:$F$3520,U$7,Sales_Data!$AE$2:$AE$3520,1),SUMIFS(Sales_Data!$M$2:$M$3520,Sales_Data!$C$2:$C$3520,$A30,Sales_Data!$F$2:$F$3520,U$7,Sales_Data!$AE$2:$AE$3520,1),SUMIFS(Sales_Data!$N$2:$N$3520,Sales_Data!$C$2:$C$3520,$A30,Sales_Data!$F$2:$F$3520,U$7,Sales_Data!$AE$2:$AE$3520,1),SUMIFS(Sales_Data!$AE$2:$AE$3520,Sales_Data!$C$2:$C$3520,$A30,Sales_Data!$F$2:$F$3520,U$7)))</f>
        <v/>
      </c>
      <c r="V30" s="26" t="str">
        <f aca="false">IF(V$7="","",CHOOSE(MATCH($B$4,Lists!$C$2:$C$5,0),SUMIFS(Sales_Data!$O$2:$O$3520,Sales_Data!$C$2:$C$3520,$A30,Sales_Data!$F$2:$F$3520,V$7,Sales_Data!$AE$2:$AE$3520,1),SUMIFS(Sales_Data!$M$2:$M$3520,Sales_Data!$C$2:$C$3520,$A30,Sales_Data!$F$2:$F$3520,V$7,Sales_Data!$AE$2:$AE$3520,1),SUMIFS(Sales_Data!$N$2:$N$3520,Sales_Data!$C$2:$C$3520,$A30,Sales_Data!$F$2:$F$3520,V$7,Sales_Data!$AE$2:$AE$3520,1),SUMIFS(Sales_Data!$AE$2:$AE$3520,Sales_Data!$C$2:$C$3520,$A30,Sales_Data!$F$2:$F$3520,V$7)))</f>
        <v/>
      </c>
      <c r="W30" s="26" t="str">
        <f aca="false">IF(W$7="","",CHOOSE(MATCH($B$4,Lists!$C$2:$C$5,0),SUMIFS(Sales_Data!$O$2:$O$3520,Sales_Data!$C$2:$C$3520,$A30,Sales_Data!$F$2:$F$3520,W$7,Sales_Data!$AE$2:$AE$3520,1),SUMIFS(Sales_Data!$M$2:$M$3520,Sales_Data!$C$2:$C$3520,$A30,Sales_Data!$F$2:$F$3520,W$7,Sales_Data!$AE$2:$AE$3520,1),SUMIFS(Sales_Data!$N$2:$N$3520,Sales_Data!$C$2:$C$3520,$A30,Sales_Data!$F$2:$F$3520,W$7,Sales_Data!$AE$2:$AE$3520,1),SUMIFS(Sales_Data!$AE$2:$AE$3520,Sales_Data!$C$2:$C$3520,$A30,Sales_Data!$F$2:$F$3520,W$7)))</f>
        <v/>
      </c>
      <c r="X30" s="26" t="str">
        <f aca="false">IF(X$7="","",CHOOSE(MATCH($B$4,Lists!$C$2:$C$5,0),SUMIFS(Sales_Data!$O$2:$O$3520,Sales_Data!$C$2:$C$3520,$A30,Sales_Data!$F$2:$F$3520,X$7,Sales_Data!$AE$2:$AE$3520,1),SUMIFS(Sales_Data!$M$2:$M$3520,Sales_Data!$C$2:$C$3520,$A30,Sales_Data!$F$2:$F$3520,X$7,Sales_Data!$AE$2:$AE$3520,1),SUMIFS(Sales_Data!$N$2:$N$3520,Sales_Data!$C$2:$C$3520,$A30,Sales_Data!$F$2:$F$3520,X$7,Sales_Data!$AE$2:$AE$3520,1),SUMIFS(Sales_Data!$AE$2:$AE$3520,Sales_Data!$C$2:$C$3520,$A30,Sales_Data!$F$2:$F$3520,X$7)))</f>
        <v/>
      </c>
      <c r="Y30" s="26" t="str">
        <f aca="false">IF(Y$7="","",CHOOSE(MATCH($B$4,Lists!$C$2:$C$5,0),SUMIFS(Sales_Data!$O$2:$O$3520,Sales_Data!$C$2:$C$3520,$A30,Sales_Data!$F$2:$F$3520,Y$7,Sales_Data!$AE$2:$AE$3520,1),SUMIFS(Sales_Data!$M$2:$M$3520,Sales_Data!$C$2:$C$3520,$A30,Sales_Data!$F$2:$F$3520,Y$7,Sales_Data!$AE$2:$AE$3520,1),SUMIFS(Sales_Data!$N$2:$N$3520,Sales_Data!$C$2:$C$3520,$A30,Sales_Data!$F$2:$F$3520,Y$7,Sales_Data!$AE$2:$AE$3520,1),SUMIFS(Sales_Data!$AE$2:$AE$3520,Sales_Data!$C$2:$C$3520,$A30,Sales_Data!$F$2:$F$3520,Y$7)))</f>
        <v/>
      </c>
      <c r="Z30" s="26" t="str">
        <f aca="false">IF(Z$7="","",CHOOSE(MATCH($B$4,Lists!$C$2:$C$5,0),SUMIFS(Sales_Data!$O$2:$O$3520,Sales_Data!$C$2:$C$3520,$A30,Sales_Data!$F$2:$F$3520,Z$7,Sales_Data!$AE$2:$AE$3520,1),SUMIFS(Sales_Data!$M$2:$M$3520,Sales_Data!$C$2:$C$3520,$A30,Sales_Data!$F$2:$F$3520,Z$7,Sales_Data!$AE$2:$AE$3520,1),SUMIFS(Sales_Data!$N$2:$N$3520,Sales_Data!$C$2:$C$3520,$A30,Sales_Data!$F$2:$F$3520,Z$7,Sales_Data!$AE$2:$AE$3520,1),SUMIFS(Sales_Data!$AE$2:$AE$3520,Sales_Data!$C$2:$C$3520,$A30,Sales_Data!$F$2:$F$3520,Z$7)))</f>
        <v/>
      </c>
      <c r="AA30" s="27" t="n">
        <f aca="false">SUM(B30:Z30)</f>
        <v>0</v>
      </c>
      <c r="AB30" s="3"/>
      <c r="AC30" s="72" t="n">
        <f aca="false">A30</f>
        <v>46237</v>
      </c>
      <c r="AD30" s="28" t="n">
        <f aca="false">IF(B30="","",B30-B29)</f>
        <v>0</v>
      </c>
      <c r="AE30" s="28" t="n">
        <f aca="false">IF(C30="","",C30-C29)</f>
        <v>0</v>
      </c>
      <c r="AF30" s="28" t="n">
        <f aca="false">IF(D30="","",D30-D29)</f>
        <v>0</v>
      </c>
      <c r="AG30" s="28" t="n">
        <f aca="false">IF(E30="","",E30-E29)</f>
        <v>0</v>
      </c>
      <c r="AH30" s="28" t="n">
        <f aca="false">IF(F30="","",F30-F29)</f>
        <v>0</v>
      </c>
      <c r="AI30" s="28" t="n">
        <f aca="false">IF(G30="","",G30-G29)</f>
        <v>0</v>
      </c>
      <c r="AJ30" s="28" t="n">
        <f aca="false">IF(H30="","",H30-H29)</f>
        <v>0</v>
      </c>
      <c r="AK30" s="28" t="n">
        <f aca="false">IF(I30="","",I30-I29)</f>
        <v>0</v>
      </c>
      <c r="AL30" s="28" t="n">
        <f aca="false">IF(J30="","",J30-J29)</f>
        <v>0</v>
      </c>
      <c r="AM30" s="28" t="n">
        <f aca="false">IF(K30="","",K30-K29)</f>
        <v>0</v>
      </c>
      <c r="AN30" s="28" t="n">
        <f aca="false">IF(L30="","",L30-L29)</f>
        <v>0</v>
      </c>
      <c r="AO30" s="28" t="n">
        <f aca="false">IF(M30="","",M30-M29)</f>
        <v>0</v>
      </c>
      <c r="AP30" s="28" t="n">
        <f aca="false">IF(N30="","",N30-N29)</f>
        <v>0</v>
      </c>
      <c r="AQ30" s="28" t="n">
        <f aca="false">IF(O30="","",O30-O29)</f>
        <v>0</v>
      </c>
      <c r="AR30" s="28" t="n">
        <f aca="false">IF(P30="","",P30-P29)</f>
        <v>0</v>
      </c>
      <c r="AS30" s="28" t="n">
        <f aca="false">IF(Q30="","",Q30-Q29)</f>
        <v>0</v>
      </c>
      <c r="AT30" s="28" t="n">
        <f aca="false">IF(R30="","",R30-R29)</f>
        <v>0</v>
      </c>
      <c r="AU30" s="28" t="n">
        <f aca="false">IF(S30="","",S30-S29)</f>
        <v>0</v>
      </c>
      <c r="AV30" s="28" t="str">
        <f aca="false">IF(T30="","",T30-T29)</f>
        <v/>
      </c>
      <c r="AW30" s="28" t="str">
        <f aca="false">IF(U30="","",U30-U29)</f>
        <v/>
      </c>
      <c r="AX30" s="28" t="str">
        <f aca="false">IF(V30="","",V30-V29)</f>
        <v/>
      </c>
      <c r="AY30" s="28" t="str">
        <f aca="false">IF(W30="","",W30-W29)</f>
        <v/>
      </c>
      <c r="AZ30" s="28" t="str">
        <f aca="false">IF(X30="","",X30-X29)</f>
        <v/>
      </c>
      <c r="BA30" s="28" t="str">
        <f aca="false">IF(Y30="","",Y30-Y29)</f>
        <v/>
      </c>
      <c r="BB30" s="28" t="str">
        <f aca="false">IF(Z30="","",Z30-Z29)</f>
        <v/>
      </c>
      <c r="BC30" s="28" t="n">
        <f aca="false">IF(AA30="","",AA30-AA29)</f>
        <v>0</v>
      </c>
    </row>
    <row r="31" customFormat="false" ht="15" hidden="false" customHeight="false" outlineLevel="0" collapsed="false">
      <c r="A31" s="72" t="n">
        <v>46238</v>
      </c>
      <c r="B31" s="26" t="n">
        <f aca="false">IF(B$7="","",CHOOSE(MATCH($B$4,Lists!$C$2:$C$5,0),SUMIFS(Sales_Data!$O$2:$O$3520,Sales_Data!$C$2:$C$3520,$A31,Sales_Data!$F$2:$F$3520,B$7,Sales_Data!$AE$2:$AE$3520,1),SUMIFS(Sales_Data!$M$2:$M$3520,Sales_Data!$C$2:$C$3520,$A31,Sales_Data!$F$2:$F$3520,B$7,Sales_Data!$AE$2:$AE$3520,1),SUMIFS(Sales_Data!$N$2:$N$3520,Sales_Data!$C$2:$C$3520,$A31,Sales_Data!$F$2:$F$3520,B$7,Sales_Data!$AE$2:$AE$3520,1),SUMIFS(Sales_Data!$AE$2:$AE$3520,Sales_Data!$C$2:$C$3520,$A31,Sales_Data!$F$2:$F$3520,B$7)))</f>
        <v>0</v>
      </c>
      <c r="C31" s="26" t="n">
        <f aca="false">IF(C$7="","",CHOOSE(MATCH($B$4,Lists!$C$2:$C$5,0),SUMIFS(Sales_Data!$O$2:$O$3520,Sales_Data!$C$2:$C$3520,$A31,Sales_Data!$F$2:$F$3520,C$7,Sales_Data!$AE$2:$AE$3520,1),SUMIFS(Sales_Data!$M$2:$M$3520,Sales_Data!$C$2:$C$3520,$A31,Sales_Data!$F$2:$F$3520,C$7,Sales_Data!$AE$2:$AE$3520,1),SUMIFS(Sales_Data!$N$2:$N$3520,Sales_Data!$C$2:$C$3520,$A31,Sales_Data!$F$2:$F$3520,C$7,Sales_Data!$AE$2:$AE$3520,1),SUMIFS(Sales_Data!$AE$2:$AE$3520,Sales_Data!$C$2:$C$3520,$A31,Sales_Data!$F$2:$F$3520,C$7)))</f>
        <v>0</v>
      </c>
      <c r="D31" s="26" t="n">
        <f aca="false">IF(D$7="","",CHOOSE(MATCH($B$4,Lists!$C$2:$C$5,0),SUMIFS(Sales_Data!$O$2:$O$3520,Sales_Data!$C$2:$C$3520,$A31,Sales_Data!$F$2:$F$3520,D$7,Sales_Data!$AE$2:$AE$3520,1),SUMIFS(Sales_Data!$M$2:$M$3520,Sales_Data!$C$2:$C$3520,$A31,Sales_Data!$F$2:$F$3520,D$7,Sales_Data!$AE$2:$AE$3520,1),SUMIFS(Sales_Data!$N$2:$N$3520,Sales_Data!$C$2:$C$3520,$A31,Sales_Data!$F$2:$F$3520,D$7,Sales_Data!$AE$2:$AE$3520,1),SUMIFS(Sales_Data!$AE$2:$AE$3520,Sales_Data!$C$2:$C$3520,$A31,Sales_Data!$F$2:$F$3520,D$7)))</f>
        <v>0</v>
      </c>
      <c r="E31" s="26" t="n">
        <f aca="false">IF(E$7="","",CHOOSE(MATCH($B$4,Lists!$C$2:$C$5,0),SUMIFS(Sales_Data!$O$2:$O$3520,Sales_Data!$C$2:$C$3520,$A31,Sales_Data!$F$2:$F$3520,E$7,Sales_Data!$AE$2:$AE$3520,1),SUMIFS(Sales_Data!$M$2:$M$3520,Sales_Data!$C$2:$C$3520,$A31,Sales_Data!$F$2:$F$3520,E$7,Sales_Data!$AE$2:$AE$3520,1),SUMIFS(Sales_Data!$N$2:$N$3520,Sales_Data!$C$2:$C$3520,$A31,Sales_Data!$F$2:$F$3520,E$7,Sales_Data!$AE$2:$AE$3520,1),SUMIFS(Sales_Data!$AE$2:$AE$3520,Sales_Data!$C$2:$C$3520,$A31,Sales_Data!$F$2:$F$3520,E$7)))</f>
        <v>0</v>
      </c>
      <c r="F31" s="26" t="n">
        <f aca="false">IF(F$7="","",CHOOSE(MATCH($B$4,Lists!$C$2:$C$5,0),SUMIFS(Sales_Data!$O$2:$O$3520,Sales_Data!$C$2:$C$3520,$A31,Sales_Data!$F$2:$F$3520,F$7,Sales_Data!$AE$2:$AE$3520,1),SUMIFS(Sales_Data!$M$2:$M$3520,Sales_Data!$C$2:$C$3520,$A31,Sales_Data!$F$2:$F$3520,F$7,Sales_Data!$AE$2:$AE$3520,1),SUMIFS(Sales_Data!$N$2:$N$3520,Sales_Data!$C$2:$C$3520,$A31,Sales_Data!$F$2:$F$3520,F$7,Sales_Data!$AE$2:$AE$3520,1),SUMIFS(Sales_Data!$AE$2:$AE$3520,Sales_Data!$C$2:$C$3520,$A31,Sales_Data!$F$2:$F$3520,F$7)))</f>
        <v>0</v>
      </c>
      <c r="G31" s="26" t="n">
        <f aca="false">IF(G$7="","",CHOOSE(MATCH($B$4,Lists!$C$2:$C$5,0),SUMIFS(Sales_Data!$O$2:$O$3520,Sales_Data!$C$2:$C$3520,$A31,Sales_Data!$F$2:$F$3520,G$7,Sales_Data!$AE$2:$AE$3520,1),SUMIFS(Sales_Data!$M$2:$M$3520,Sales_Data!$C$2:$C$3520,$A31,Sales_Data!$F$2:$F$3520,G$7,Sales_Data!$AE$2:$AE$3520,1),SUMIFS(Sales_Data!$N$2:$N$3520,Sales_Data!$C$2:$C$3520,$A31,Sales_Data!$F$2:$F$3520,G$7,Sales_Data!$AE$2:$AE$3520,1),SUMIFS(Sales_Data!$AE$2:$AE$3520,Sales_Data!$C$2:$C$3520,$A31,Sales_Data!$F$2:$F$3520,G$7)))</f>
        <v>0</v>
      </c>
      <c r="H31" s="26" t="n">
        <f aca="false">IF(H$7="","",CHOOSE(MATCH($B$4,Lists!$C$2:$C$5,0),SUMIFS(Sales_Data!$O$2:$O$3520,Sales_Data!$C$2:$C$3520,$A31,Sales_Data!$F$2:$F$3520,H$7,Sales_Data!$AE$2:$AE$3520,1),SUMIFS(Sales_Data!$M$2:$M$3520,Sales_Data!$C$2:$C$3520,$A31,Sales_Data!$F$2:$F$3520,H$7,Sales_Data!$AE$2:$AE$3520,1),SUMIFS(Sales_Data!$N$2:$N$3520,Sales_Data!$C$2:$C$3520,$A31,Sales_Data!$F$2:$F$3520,H$7,Sales_Data!$AE$2:$AE$3520,1),SUMIFS(Sales_Data!$AE$2:$AE$3520,Sales_Data!$C$2:$C$3520,$A31,Sales_Data!$F$2:$F$3520,H$7)))</f>
        <v>0</v>
      </c>
      <c r="I31" s="26" t="n">
        <f aca="false">IF(I$7="","",CHOOSE(MATCH($B$4,Lists!$C$2:$C$5,0),SUMIFS(Sales_Data!$O$2:$O$3520,Sales_Data!$C$2:$C$3520,$A31,Sales_Data!$F$2:$F$3520,I$7,Sales_Data!$AE$2:$AE$3520,1),SUMIFS(Sales_Data!$M$2:$M$3520,Sales_Data!$C$2:$C$3520,$A31,Sales_Data!$F$2:$F$3520,I$7,Sales_Data!$AE$2:$AE$3520,1),SUMIFS(Sales_Data!$N$2:$N$3520,Sales_Data!$C$2:$C$3520,$A31,Sales_Data!$F$2:$F$3520,I$7,Sales_Data!$AE$2:$AE$3520,1),SUMIFS(Sales_Data!$AE$2:$AE$3520,Sales_Data!$C$2:$C$3520,$A31,Sales_Data!$F$2:$F$3520,I$7)))</f>
        <v>0</v>
      </c>
      <c r="J31" s="26" t="n">
        <f aca="false">IF(J$7="","",CHOOSE(MATCH($B$4,Lists!$C$2:$C$5,0),SUMIFS(Sales_Data!$O$2:$O$3520,Sales_Data!$C$2:$C$3520,$A31,Sales_Data!$F$2:$F$3520,J$7,Sales_Data!$AE$2:$AE$3520,1),SUMIFS(Sales_Data!$M$2:$M$3520,Sales_Data!$C$2:$C$3520,$A31,Sales_Data!$F$2:$F$3520,J$7,Sales_Data!$AE$2:$AE$3520,1),SUMIFS(Sales_Data!$N$2:$N$3520,Sales_Data!$C$2:$C$3520,$A31,Sales_Data!$F$2:$F$3520,J$7,Sales_Data!$AE$2:$AE$3520,1),SUMIFS(Sales_Data!$AE$2:$AE$3520,Sales_Data!$C$2:$C$3520,$A31,Sales_Data!$F$2:$F$3520,J$7)))</f>
        <v>0</v>
      </c>
      <c r="K31" s="26" t="n">
        <f aca="false">IF(K$7="","",CHOOSE(MATCH($B$4,Lists!$C$2:$C$5,0),SUMIFS(Sales_Data!$O$2:$O$3520,Sales_Data!$C$2:$C$3520,$A31,Sales_Data!$F$2:$F$3520,K$7,Sales_Data!$AE$2:$AE$3520,1),SUMIFS(Sales_Data!$M$2:$M$3520,Sales_Data!$C$2:$C$3520,$A31,Sales_Data!$F$2:$F$3520,K$7,Sales_Data!$AE$2:$AE$3520,1),SUMIFS(Sales_Data!$N$2:$N$3520,Sales_Data!$C$2:$C$3520,$A31,Sales_Data!$F$2:$F$3520,K$7,Sales_Data!$AE$2:$AE$3520,1),SUMIFS(Sales_Data!$AE$2:$AE$3520,Sales_Data!$C$2:$C$3520,$A31,Sales_Data!$F$2:$F$3520,K$7)))</f>
        <v>0</v>
      </c>
      <c r="L31" s="26" t="n">
        <f aca="false">IF(L$7="","",CHOOSE(MATCH($B$4,Lists!$C$2:$C$5,0),SUMIFS(Sales_Data!$O$2:$O$3520,Sales_Data!$C$2:$C$3520,$A31,Sales_Data!$F$2:$F$3520,L$7,Sales_Data!$AE$2:$AE$3520,1),SUMIFS(Sales_Data!$M$2:$M$3520,Sales_Data!$C$2:$C$3520,$A31,Sales_Data!$F$2:$F$3520,L$7,Sales_Data!$AE$2:$AE$3520,1),SUMIFS(Sales_Data!$N$2:$N$3520,Sales_Data!$C$2:$C$3520,$A31,Sales_Data!$F$2:$F$3520,L$7,Sales_Data!$AE$2:$AE$3520,1),SUMIFS(Sales_Data!$AE$2:$AE$3520,Sales_Data!$C$2:$C$3520,$A31,Sales_Data!$F$2:$F$3520,L$7)))</f>
        <v>0</v>
      </c>
      <c r="M31" s="26" t="n">
        <f aca="false">IF(M$7="","",CHOOSE(MATCH($B$4,Lists!$C$2:$C$5,0),SUMIFS(Sales_Data!$O$2:$O$3520,Sales_Data!$C$2:$C$3520,$A31,Sales_Data!$F$2:$F$3520,M$7,Sales_Data!$AE$2:$AE$3520,1),SUMIFS(Sales_Data!$M$2:$M$3520,Sales_Data!$C$2:$C$3520,$A31,Sales_Data!$F$2:$F$3520,M$7,Sales_Data!$AE$2:$AE$3520,1),SUMIFS(Sales_Data!$N$2:$N$3520,Sales_Data!$C$2:$C$3520,$A31,Sales_Data!$F$2:$F$3520,M$7,Sales_Data!$AE$2:$AE$3520,1),SUMIFS(Sales_Data!$AE$2:$AE$3520,Sales_Data!$C$2:$C$3520,$A31,Sales_Data!$F$2:$F$3520,M$7)))</f>
        <v>0</v>
      </c>
      <c r="N31" s="26" t="n">
        <f aca="false">IF(N$7="","",CHOOSE(MATCH($B$4,Lists!$C$2:$C$5,0),SUMIFS(Sales_Data!$O$2:$O$3520,Sales_Data!$C$2:$C$3520,$A31,Sales_Data!$F$2:$F$3520,N$7,Sales_Data!$AE$2:$AE$3520,1),SUMIFS(Sales_Data!$M$2:$M$3520,Sales_Data!$C$2:$C$3520,$A31,Sales_Data!$F$2:$F$3520,N$7,Sales_Data!$AE$2:$AE$3520,1),SUMIFS(Sales_Data!$N$2:$N$3520,Sales_Data!$C$2:$C$3520,$A31,Sales_Data!$F$2:$F$3520,N$7,Sales_Data!$AE$2:$AE$3520,1),SUMIFS(Sales_Data!$AE$2:$AE$3520,Sales_Data!$C$2:$C$3520,$A31,Sales_Data!$F$2:$F$3520,N$7)))</f>
        <v>0</v>
      </c>
      <c r="O31" s="26" t="n">
        <f aca="false">IF(O$7="","",CHOOSE(MATCH($B$4,Lists!$C$2:$C$5,0),SUMIFS(Sales_Data!$O$2:$O$3520,Sales_Data!$C$2:$C$3520,$A31,Sales_Data!$F$2:$F$3520,O$7,Sales_Data!$AE$2:$AE$3520,1),SUMIFS(Sales_Data!$M$2:$M$3520,Sales_Data!$C$2:$C$3520,$A31,Sales_Data!$F$2:$F$3520,O$7,Sales_Data!$AE$2:$AE$3520,1),SUMIFS(Sales_Data!$N$2:$N$3520,Sales_Data!$C$2:$C$3520,$A31,Sales_Data!$F$2:$F$3520,O$7,Sales_Data!$AE$2:$AE$3520,1),SUMIFS(Sales_Data!$AE$2:$AE$3520,Sales_Data!$C$2:$C$3520,$A31,Sales_Data!$F$2:$F$3520,O$7)))</f>
        <v>0</v>
      </c>
      <c r="P31" s="26" t="n">
        <f aca="false">IF(P$7="","",CHOOSE(MATCH($B$4,Lists!$C$2:$C$5,0),SUMIFS(Sales_Data!$O$2:$O$3520,Sales_Data!$C$2:$C$3520,$A31,Sales_Data!$F$2:$F$3520,P$7,Sales_Data!$AE$2:$AE$3520,1),SUMIFS(Sales_Data!$M$2:$M$3520,Sales_Data!$C$2:$C$3520,$A31,Sales_Data!$F$2:$F$3520,P$7,Sales_Data!$AE$2:$AE$3520,1),SUMIFS(Sales_Data!$N$2:$N$3520,Sales_Data!$C$2:$C$3520,$A31,Sales_Data!$F$2:$F$3520,P$7,Sales_Data!$AE$2:$AE$3520,1),SUMIFS(Sales_Data!$AE$2:$AE$3520,Sales_Data!$C$2:$C$3520,$A31,Sales_Data!$F$2:$F$3520,P$7)))</f>
        <v>0</v>
      </c>
      <c r="Q31" s="26" t="n">
        <f aca="false">IF(Q$7="","",CHOOSE(MATCH($B$4,Lists!$C$2:$C$5,0),SUMIFS(Sales_Data!$O$2:$O$3520,Sales_Data!$C$2:$C$3520,$A31,Sales_Data!$F$2:$F$3520,Q$7,Sales_Data!$AE$2:$AE$3520,1),SUMIFS(Sales_Data!$M$2:$M$3520,Sales_Data!$C$2:$C$3520,$A31,Sales_Data!$F$2:$F$3520,Q$7,Sales_Data!$AE$2:$AE$3520,1),SUMIFS(Sales_Data!$N$2:$N$3520,Sales_Data!$C$2:$C$3520,$A31,Sales_Data!$F$2:$F$3520,Q$7,Sales_Data!$AE$2:$AE$3520,1),SUMIFS(Sales_Data!$AE$2:$AE$3520,Sales_Data!$C$2:$C$3520,$A31,Sales_Data!$F$2:$F$3520,Q$7)))</f>
        <v>0</v>
      </c>
      <c r="R31" s="26" t="n">
        <f aca="false">IF(R$7="","",CHOOSE(MATCH($B$4,Lists!$C$2:$C$5,0),SUMIFS(Sales_Data!$O$2:$O$3520,Sales_Data!$C$2:$C$3520,$A31,Sales_Data!$F$2:$F$3520,R$7,Sales_Data!$AE$2:$AE$3520,1),SUMIFS(Sales_Data!$M$2:$M$3520,Sales_Data!$C$2:$C$3520,$A31,Sales_Data!$F$2:$F$3520,R$7,Sales_Data!$AE$2:$AE$3520,1),SUMIFS(Sales_Data!$N$2:$N$3520,Sales_Data!$C$2:$C$3520,$A31,Sales_Data!$F$2:$F$3520,R$7,Sales_Data!$AE$2:$AE$3520,1),SUMIFS(Sales_Data!$AE$2:$AE$3520,Sales_Data!$C$2:$C$3520,$A31,Sales_Data!$F$2:$F$3520,R$7)))</f>
        <v>0</v>
      </c>
      <c r="S31" s="26" t="n">
        <f aca="false">IF(S$7="","",CHOOSE(MATCH($B$4,Lists!$C$2:$C$5,0),SUMIFS(Sales_Data!$O$2:$O$3520,Sales_Data!$C$2:$C$3520,$A31,Sales_Data!$F$2:$F$3520,S$7,Sales_Data!$AE$2:$AE$3520,1),SUMIFS(Sales_Data!$M$2:$M$3520,Sales_Data!$C$2:$C$3520,$A31,Sales_Data!$F$2:$F$3520,S$7,Sales_Data!$AE$2:$AE$3520,1),SUMIFS(Sales_Data!$N$2:$N$3520,Sales_Data!$C$2:$C$3520,$A31,Sales_Data!$F$2:$F$3520,S$7,Sales_Data!$AE$2:$AE$3520,1),SUMIFS(Sales_Data!$AE$2:$AE$3520,Sales_Data!$C$2:$C$3520,$A31,Sales_Data!$F$2:$F$3520,S$7)))</f>
        <v>0</v>
      </c>
      <c r="T31" s="26" t="str">
        <f aca="false">IF(T$7="","",CHOOSE(MATCH($B$4,Lists!$C$2:$C$5,0),SUMIFS(Sales_Data!$O$2:$O$3520,Sales_Data!$C$2:$C$3520,$A31,Sales_Data!$F$2:$F$3520,T$7,Sales_Data!$AE$2:$AE$3520,1),SUMIFS(Sales_Data!$M$2:$M$3520,Sales_Data!$C$2:$C$3520,$A31,Sales_Data!$F$2:$F$3520,T$7,Sales_Data!$AE$2:$AE$3520,1),SUMIFS(Sales_Data!$N$2:$N$3520,Sales_Data!$C$2:$C$3520,$A31,Sales_Data!$F$2:$F$3520,T$7,Sales_Data!$AE$2:$AE$3520,1),SUMIFS(Sales_Data!$AE$2:$AE$3520,Sales_Data!$C$2:$C$3520,$A31,Sales_Data!$F$2:$F$3520,T$7)))</f>
        <v/>
      </c>
      <c r="U31" s="26" t="str">
        <f aca="false">IF(U$7="","",CHOOSE(MATCH($B$4,Lists!$C$2:$C$5,0),SUMIFS(Sales_Data!$O$2:$O$3520,Sales_Data!$C$2:$C$3520,$A31,Sales_Data!$F$2:$F$3520,U$7,Sales_Data!$AE$2:$AE$3520,1),SUMIFS(Sales_Data!$M$2:$M$3520,Sales_Data!$C$2:$C$3520,$A31,Sales_Data!$F$2:$F$3520,U$7,Sales_Data!$AE$2:$AE$3520,1),SUMIFS(Sales_Data!$N$2:$N$3520,Sales_Data!$C$2:$C$3520,$A31,Sales_Data!$F$2:$F$3520,U$7,Sales_Data!$AE$2:$AE$3520,1),SUMIFS(Sales_Data!$AE$2:$AE$3520,Sales_Data!$C$2:$C$3520,$A31,Sales_Data!$F$2:$F$3520,U$7)))</f>
        <v/>
      </c>
      <c r="V31" s="26" t="str">
        <f aca="false">IF(V$7="","",CHOOSE(MATCH($B$4,Lists!$C$2:$C$5,0),SUMIFS(Sales_Data!$O$2:$O$3520,Sales_Data!$C$2:$C$3520,$A31,Sales_Data!$F$2:$F$3520,V$7,Sales_Data!$AE$2:$AE$3520,1),SUMIFS(Sales_Data!$M$2:$M$3520,Sales_Data!$C$2:$C$3520,$A31,Sales_Data!$F$2:$F$3520,V$7,Sales_Data!$AE$2:$AE$3520,1),SUMIFS(Sales_Data!$N$2:$N$3520,Sales_Data!$C$2:$C$3520,$A31,Sales_Data!$F$2:$F$3520,V$7,Sales_Data!$AE$2:$AE$3520,1),SUMIFS(Sales_Data!$AE$2:$AE$3520,Sales_Data!$C$2:$C$3520,$A31,Sales_Data!$F$2:$F$3520,V$7)))</f>
        <v/>
      </c>
      <c r="W31" s="26" t="str">
        <f aca="false">IF(W$7="","",CHOOSE(MATCH($B$4,Lists!$C$2:$C$5,0),SUMIFS(Sales_Data!$O$2:$O$3520,Sales_Data!$C$2:$C$3520,$A31,Sales_Data!$F$2:$F$3520,W$7,Sales_Data!$AE$2:$AE$3520,1),SUMIFS(Sales_Data!$M$2:$M$3520,Sales_Data!$C$2:$C$3520,$A31,Sales_Data!$F$2:$F$3520,W$7,Sales_Data!$AE$2:$AE$3520,1),SUMIFS(Sales_Data!$N$2:$N$3520,Sales_Data!$C$2:$C$3520,$A31,Sales_Data!$F$2:$F$3520,W$7,Sales_Data!$AE$2:$AE$3520,1),SUMIFS(Sales_Data!$AE$2:$AE$3520,Sales_Data!$C$2:$C$3520,$A31,Sales_Data!$F$2:$F$3520,W$7)))</f>
        <v/>
      </c>
      <c r="X31" s="26" t="str">
        <f aca="false">IF(X$7="","",CHOOSE(MATCH($B$4,Lists!$C$2:$C$5,0),SUMIFS(Sales_Data!$O$2:$O$3520,Sales_Data!$C$2:$C$3520,$A31,Sales_Data!$F$2:$F$3520,X$7,Sales_Data!$AE$2:$AE$3520,1),SUMIFS(Sales_Data!$M$2:$M$3520,Sales_Data!$C$2:$C$3520,$A31,Sales_Data!$F$2:$F$3520,X$7,Sales_Data!$AE$2:$AE$3520,1),SUMIFS(Sales_Data!$N$2:$N$3520,Sales_Data!$C$2:$C$3520,$A31,Sales_Data!$F$2:$F$3520,X$7,Sales_Data!$AE$2:$AE$3520,1),SUMIFS(Sales_Data!$AE$2:$AE$3520,Sales_Data!$C$2:$C$3520,$A31,Sales_Data!$F$2:$F$3520,X$7)))</f>
        <v/>
      </c>
      <c r="Y31" s="26" t="str">
        <f aca="false">IF(Y$7="","",CHOOSE(MATCH($B$4,Lists!$C$2:$C$5,0),SUMIFS(Sales_Data!$O$2:$O$3520,Sales_Data!$C$2:$C$3520,$A31,Sales_Data!$F$2:$F$3520,Y$7,Sales_Data!$AE$2:$AE$3520,1),SUMIFS(Sales_Data!$M$2:$M$3520,Sales_Data!$C$2:$C$3520,$A31,Sales_Data!$F$2:$F$3520,Y$7,Sales_Data!$AE$2:$AE$3520,1),SUMIFS(Sales_Data!$N$2:$N$3520,Sales_Data!$C$2:$C$3520,$A31,Sales_Data!$F$2:$F$3520,Y$7,Sales_Data!$AE$2:$AE$3520,1),SUMIFS(Sales_Data!$AE$2:$AE$3520,Sales_Data!$C$2:$C$3520,$A31,Sales_Data!$F$2:$F$3520,Y$7)))</f>
        <v/>
      </c>
      <c r="Z31" s="26" t="str">
        <f aca="false">IF(Z$7="","",CHOOSE(MATCH($B$4,Lists!$C$2:$C$5,0),SUMIFS(Sales_Data!$O$2:$O$3520,Sales_Data!$C$2:$C$3520,$A31,Sales_Data!$F$2:$F$3520,Z$7,Sales_Data!$AE$2:$AE$3520,1),SUMIFS(Sales_Data!$M$2:$M$3520,Sales_Data!$C$2:$C$3520,$A31,Sales_Data!$F$2:$F$3520,Z$7,Sales_Data!$AE$2:$AE$3520,1),SUMIFS(Sales_Data!$N$2:$N$3520,Sales_Data!$C$2:$C$3520,$A31,Sales_Data!$F$2:$F$3520,Z$7,Sales_Data!$AE$2:$AE$3520,1),SUMIFS(Sales_Data!$AE$2:$AE$3520,Sales_Data!$C$2:$C$3520,$A31,Sales_Data!$F$2:$F$3520,Z$7)))</f>
        <v/>
      </c>
      <c r="AA31" s="27" t="n">
        <f aca="false">SUM(B31:Z31)</f>
        <v>0</v>
      </c>
      <c r="AB31" s="3"/>
      <c r="AC31" s="72" t="n">
        <f aca="false">A31</f>
        <v>46238</v>
      </c>
      <c r="AD31" s="28" t="n">
        <f aca="false">IF(B31="","",B31-B30)</f>
        <v>0</v>
      </c>
      <c r="AE31" s="28" t="n">
        <f aca="false">IF(C31="","",C31-C30)</f>
        <v>0</v>
      </c>
      <c r="AF31" s="28" t="n">
        <f aca="false">IF(D31="","",D31-D30)</f>
        <v>0</v>
      </c>
      <c r="AG31" s="28" t="n">
        <f aca="false">IF(E31="","",E31-E30)</f>
        <v>0</v>
      </c>
      <c r="AH31" s="28" t="n">
        <f aca="false">IF(F31="","",F31-F30)</f>
        <v>0</v>
      </c>
      <c r="AI31" s="28" t="n">
        <f aca="false">IF(G31="","",G31-G30)</f>
        <v>0</v>
      </c>
      <c r="AJ31" s="28" t="n">
        <f aca="false">IF(H31="","",H31-H30)</f>
        <v>0</v>
      </c>
      <c r="AK31" s="28" t="n">
        <f aca="false">IF(I31="","",I31-I30)</f>
        <v>0</v>
      </c>
      <c r="AL31" s="28" t="n">
        <f aca="false">IF(J31="","",J31-J30)</f>
        <v>0</v>
      </c>
      <c r="AM31" s="28" t="n">
        <f aca="false">IF(K31="","",K31-K30)</f>
        <v>0</v>
      </c>
      <c r="AN31" s="28" t="n">
        <f aca="false">IF(L31="","",L31-L30)</f>
        <v>0</v>
      </c>
      <c r="AO31" s="28" t="n">
        <f aca="false">IF(M31="","",M31-M30)</f>
        <v>0</v>
      </c>
      <c r="AP31" s="28" t="n">
        <f aca="false">IF(N31="","",N31-N30)</f>
        <v>0</v>
      </c>
      <c r="AQ31" s="28" t="n">
        <f aca="false">IF(O31="","",O31-O30)</f>
        <v>0</v>
      </c>
      <c r="AR31" s="28" t="n">
        <f aca="false">IF(P31="","",P31-P30)</f>
        <v>0</v>
      </c>
      <c r="AS31" s="28" t="n">
        <f aca="false">IF(Q31="","",Q31-Q30)</f>
        <v>0</v>
      </c>
      <c r="AT31" s="28" t="n">
        <f aca="false">IF(R31="","",R31-R30)</f>
        <v>0</v>
      </c>
      <c r="AU31" s="28" t="n">
        <f aca="false">IF(S31="","",S31-S30)</f>
        <v>0</v>
      </c>
      <c r="AV31" s="28" t="str">
        <f aca="false">IF(T31="","",T31-T30)</f>
        <v/>
      </c>
      <c r="AW31" s="28" t="str">
        <f aca="false">IF(U31="","",U31-U30)</f>
        <v/>
      </c>
      <c r="AX31" s="28" t="str">
        <f aca="false">IF(V31="","",V31-V30)</f>
        <v/>
      </c>
      <c r="AY31" s="28" t="str">
        <f aca="false">IF(W31="","",W31-W30)</f>
        <v/>
      </c>
      <c r="AZ31" s="28" t="str">
        <f aca="false">IF(X31="","",X31-X30)</f>
        <v/>
      </c>
      <c r="BA31" s="28" t="str">
        <f aca="false">IF(Y31="","",Y31-Y30)</f>
        <v/>
      </c>
      <c r="BB31" s="28" t="str">
        <f aca="false">IF(Z31="","",Z31-Z30)</f>
        <v/>
      </c>
      <c r="BC31" s="28" t="n">
        <f aca="false">IF(AA31="","",AA31-AA30)</f>
        <v>0</v>
      </c>
    </row>
    <row r="32" customFormat="false" ht="15" hidden="false" customHeight="false" outlineLevel="0" collapsed="false">
      <c r="A32" s="72" t="n">
        <v>46239</v>
      </c>
      <c r="B32" s="26" t="n">
        <f aca="false">IF(B$7="","",CHOOSE(MATCH($B$4,Lists!$C$2:$C$5,0),SUMIFS(Sales_Data!$O$2:$O$3520,Sales_Data!$C$2:$C$3520,$A32,Sales_Data!$F$2:$F$3520,B$7,Sales_Data!$AE$2:$AE$3520,1),SUMIFS(Sales_Data!$M$2:$M$3520,Sales_Data!$C$2:$C$3520,$A32,Sales_Data!$F$2:$F$3520,B$7,Sales_Data!$AE$2:$AE$3520,1),SUMIFS(Sales_Data!$N$2:$N$3520,Sales_Data!$C$2:$C$3520,$A32,Sales_Data!$F$2:$F$3520,B$7,Sales_Data!$AE$2:$AE$3520,1),SUMIFS(Sales_Data!$AE$2:$AE$3520,Sales_Data!$C$2:$C$3520,$A32,Sales_Data!$F$2:$F$3520,B$7)))</f>
        <v>0</v>
      </c>
      <c r="C32" s="26" t="n">
        <f aca="false">IF(C$7="","",CHOOSE(MATCH($B$4,Lists!$C$2:$C$5,0),SUMIFS(Sales_Data!$O$2:$O$3520,Sales_Data!$C$2:$C$3520,$A32,Sales_Data!$F$2:$F$3520,C$7,Sales_Data!$AE$2:$AE$3520,1),SUMIFS(Sales_Data!$M$2:$M$3520,Sales_Data!$C$2:$C$3520,$A32,Sales_Data!$F$2:$F$3520,C$7,Sales_Data!$AE$2:$AE$3520,1),SUMIFS(Sales_Data!$N$2:$N$3520,Sales_Data!$C$2:$C$3520,$A32,Sales_Data!$F$2:$F$3520,C$7,Sales_Data!$AE$2:$AE$3520,1),SUMIFS(Sales_Data!$AE$2:$AE$3520,Sales_Data!$C$2:$C$3520,$A32,Sales_Data!$F$2:$F$3520,C$7)))</f>
        <v>0</v>
      </c>
      <c r="D32" s="26" t="n">
        <f aca="false">IF(D$7="","",CHOOSE(MATCH($B$4,Lists!$C$2:$C$5,0),SUMIFS(Sales_Data!$O$2:$O$3520,Sales_Data!$C$2:$C$3520,$A32,Sales_Data!$F$2:$F$3520,D$7,Sales_Data!$AE$2:$AE$3520,1),SUMIFS(Sales_Data!$M$2:$M$3520,Sales_Data!$C$2:$C$3520,$A32,Sales_Data!$F$2:$F$3520,D$7,Sales_Data!$AE$2:$AE$3520,1),SUMIFS(Sales_Data!$N$2:$N$3520,Sales_Data!$C$2:$C$3520,$A32,Sales_Data!$F$2:$F$3520,D$7,Sales_Data!$AE$2:$AE$3520,1),SUMIFS(Sales_Data!$AE$2:$AE$3520,Sales_Data!$C$2:$C$3520,$A32,Sales_Data!$F$2:$F$3520,D$7)))</f>
        <v>0</v>
      </c>
      <c r="E32" s="26" t="n">
        <f aca="false">IF(E$7="","",CHOOSE(MATCH($B$4,Lists!$C$2:$C$5,0),SUMIFS(Sales_Data!$O$2:$O$3520,Sales_Data!$C$2:$C$3520,$A32,Sales_Data!$F$2:$F$3520,E$7,Sales_Data!$AE$2:$AE$3520,1),SUMIFS(Sales_Data!$M$2:$M$3520,Sales_Data!$C$2:$C$3520,$A32,Sales_Data!$F$2:$F$3520,E$7,Sales_Data!$AE$2:$AE$3520,1),SUMIFS(Sales_Data!$N$2:$N$3520,Sales_Data!$C$2:$C$3520,$A32,Sales_Data!$F$2:$F$3520,E$7,Sales_Data!$AE$2:$AE$3520,1),SUMIFS(Sales_Data!$AE$2:$AE$3520,Sales_Data!$C$2:$C$3520,$A32,Sales_Data!$F$2:$F$3520,E$7)))</f>
        <v>0</v>
      </c>
      <c r="F32" s="26" t="n">
        <f aca="false">IF(F$7="","",CHOOSE(MATCH($B$4,Lists!$C$2:$C$5,0),SUMIFS(Sales_Data!$O$2:$O$3520,Sales_Data!$C$2:$C$3520,$A32,Sales_Data!$F$2:$F$3520,F$7,Sales_Data!$AE$2:$AE$3520,1),SUMIFS(Sales_Data!$M$2:$M$3520,Sales_Data!$C$2:$C$3520,$A32,Sales_Data!$F$2:$F$3520,F$7,Sales_Data!$AE$2:$AE$3520,1),SUMIFS(Sales_Data!$N$2:$N$3520,Sales_Data!$C$2:$C$3520,$A32,Sales_Data!$F$2:$F$3520,F$7,Sales_Data!$AE$2:$AE$3520,1),SUMIFS(Sales_Data!$AE$2:$AE$3520,Sales_Data!$C$2:$C$3520,$A32,Sales_Data!$F$2:$F$3520,F$7)))</f>
        <v>0</v>
      </c>
      <c r="G32" s="26" t="n">
        <f aca="false">IF(G$7="","",CHOOSE(MATCH($B$4,Lists!$C$2:$C$5,0),SUMIFS(Sales_Data!$O$2:$O$3520,Sales_Data!$C$2:$C$3520,$A32,Sales_Data!$F$2:$F$3520,G$7,Sales_Data!$AE$2:$AE$3520,1),SUMIFS(Sales_Data!$M$2:$M$3520,Sales_Data!$C$2:$C$3520,$A32,Sales_Data!$F$2:$F$3520,G$7,Sales_Data!$AE$2:$AE$3520,1),SUMIFS(Sales_Data!$N$2:$N$3520,Sales_Data!$C$2:$C$3520,$A32,Sales_Data!$F$2:$F$3520,G$7,Sales_Data!$AE$2:$AE$3520,1),SUMIFS(Sales_Data!$AE$2:$AE$3520,Sales_Data!$C$2:$C$3520,$A32,Sales_Data!$F$2:$F$3520,G$7)))</f>
        <v>0</v>
      </c>
      <c r="H32" s="26" t="n">
        <f aca="false">IF(H$7="","",CHOOSE(MATCH($B$4,Lists!$C$2:$C$5,0),SUMIFS(Sales_Data!$O$2:$O$3520,Sales_Data!$C$2:$C$3520,$A32,Sales_Data!$F$2:$F$3520,H$7,Sales_Data!$AE$2:$AE$3520,1),SUMIFS(Sales_Data!$M$2:$M$3520,Sales_Data!$C$2:$C$3520,$A32,Sales_Data!$F$2:$F$3520,H$7,Sales_Data!$AE$2:$AE$3520,1),SUMIFS(Sales_Data!$N$2:$N$3520,Sales_Data!$C$2:$C$3520,$A32,Sales_Data!$F$2:$F$3520,H$7,Sales_Data!$AE$2:$AE$3520,1),SUMIFS(Sales_Data!$AE$2:$AE$3520,Sales_Data!$C$2:$C$3520,$A32,Sales_Data!$F$2:$F$3520,H$7)))</f>
        <v>0</v>
      </c>
      <c r="I32" s="26" t="n">
        <f aca="false">IF(I$7="","",CHOOSE(MATCH($B$4,Lists!$C$2:$C$5,0),SUMIFS(Sales_Data!$O$2:$O$3520,Sales_Data!$C$2:$C$3520,$A32,Sales_Data!$F$2:$F$3520,I$7,Sales_Data!$AE$2:$AE$3520,1),SUMIFS(Sales_Data!$M$2:$M$3520,Sales_Data!$C$2:$C$3520,$A32,Sales_Data!$F$2:$F$3520,I$7,Sales_Data!$AE$2:$AE$3520,1),SUMIFS(Sales_Data!$N$2:$N$3520,Sales_Data!$C$2:$C$3520,$A32,Sales_Data!$F$2:$F$3520,I$7,Sales_Data!$AE$2:$AE$3520,1),SUMIFS(Sales_Data!$AE$2:$AE$3520,Sales_Data!$C$2:$C$3520,$A32,Sales_Data!$F$2:$F$3520,I$7)))</f>
        <v>0</v>
      </c>
      <c r="J32" s="26" t="n">
        <f aca="false">IF(J$7="","",CHOOSE(MATCH($B$4,Lists!$C$2:$C$5,0),SUMIFS(Sales_Data!$O$2:$O$3520,Sales_Data!$C$2:$C$3520,$A32,Sales_Data!$F$2:$F$3520,J$7,Sales_Data!$AE$2:$AE$3520,1),SUMIFS(Sales_Data!$M$2:$M$3520,Sales_Data!$C$2:$C$3520,$A32,Sales_Data!$F$2:$F$3520,J$7,Sales_Data!$AE$2:$AE$3520,1),SUMIFS(Sales_Data!$N$2:$N$3520,Sales_Data!$C$2:$C$3520,$A32,Sales_Data!$F$2:$F$3520,J$7,Sales_Data!$AE$2:$AE$3520,1),SUMIFS(Sales_Data!$AE$2:$AE$3520,Sales_Data!$C$2:$C$3520,$A32,Sales_Data!$F$2:$F$3520,J$7)))</f>
        <v>0</v>
      </c>
      <c r="K32" s="26" t="n">
        <f aca="false">IF(K$7="","",CHOOSE(MATCH($B$4,Lists!$C$2:$C$5,0),SUMIFS(Sales_Data!$O$2:$O$3520,Sales_Data!$C$2:$C$3520,$A32,Sales_Data!$F$2:$F$3520,K$7,Sales_Data!$AE$2:$AE$3520,1),SUMIFS(Sales_Data!$M$2:$M$3520,Sales_Data!$C$2:$C$3520,$A32,Sales_Data!$F$2:$F$3520,K$7,Sales_Data!$AE$2:$AE$3520,1),SUMIFS(Sales_Data!$N$2:$N$3520,Sales_Data!$C$2:$C$3520,$A32,Sales_Data!$F$2:$F$3520,K$7,Sales_Data!$AE$2:$AE$3520,1),SUMIFS(Sales_Data!$AE$2:$AE$3520,Sales_Data!$C$2:$C$3520,$A32,Sales_Data!$F$2:$F$3520,K$7)))</f>
        <v>0</v>
      </c>
      <c r="L32" s="26" t="n">
        <f aca="false">IF(L$7="","",CHOOSE(MATCH($B$4,Lists!$C$2:$C$5,0),SUMIFS(Sales_Data!$O$2:$O$3520,Sales_Data!$C$2:$C$3520,$A32,Sales_Data!$F$2:$F$3520,L$7,Sales_Data!$AE$2:$AE$3520,1),SUMIFS(Sales_Data!$M$2:$M$3520,Sales_Data!$C$2:$C$3520,$A32,Sales_Data!$F$2:$F$3520,L$7,Sales_Data!$AE$2:$AE$3520,1),SUMIFS(Sales_Data!$N$2:$N$3520,Sales_Data!$C$2:$C$3520,$A32,Sales_Data!$F$2:$F$3520,L$7,Sales_Data!$AE$2:$AE$3520,1),SUMIFS(Sales_Data!$AE$2:$AE$3520,Sales_Data!$C$2:$C$3520,$A32,Sales_Data!$F$2:$F$3520,L$7)))</f>
        <v>0</v>
      </c>
      <c r="M32" s="26" t="n">
        <f aca="false">IF(M$7="","",CHOOSE(MATCH($B$4,Lists!$C$2:$C$5,0),SUMIFS(Sales_Data!$O$2:$O$3520,Sales_Data!$C$2:$C$3520,$A32,Sales_Data!$F$2:$F$3520,M$7,Sales_Data!$AE$2:$AE$3520,1),SUMIFS(Sales_Data!$M$2:$M$3520,Sales_Data!$C$2:$C$3520,$A32,Sales_Data!$F$2:$F$3520,M$7,Sales_Data!$AE$2:$AE$3520,1),SUMIFS(Sales_Data!$N$2:$N$3520,Sales_Data!$C$2:$C$3520,$A32,Sales_Data!$F$2:$F$3520,M$7,Sales_Data!$AE$2:$AE$3520,1),SUMIFS(Sales_Data!$AE$2:$AE$3520,Sales_Data!$C$2:$C$3520,$A32,Sales_Data!$F$2:$F$3520,M$7)))</f>
        <v>0</v>
      </c>
      <c r="N32" s="26" t="n">
        <f aca="false">IF(N$7="","",CHOOSE(MATCH($B$4,Lists!$C$2:$C$5,0),SUMIFS(Sales_Data!$O$2:$O$3520,Sales_Data!$C$2:$C$3520,$A32,Sales_Data!$F$2:$F$3520,N$7,Sales_Data!$AE$2:$AE$3520,1),SUMIFS(Sales_Data!$M$2:$M$3520,Sales_Data!$C$2:$C$3520,$A32,Sales_Data!$F$2:$F$3520,N$7,Sales_Data!$AE$2:$AE$3520,1),SUMIFS(Sales_Data!$N$2:$N$3520,Sales_Data!$C$2:$C$3520,$A32,Sales_Data!$F$2:$F$3520,N$7,Sales_Data!$AE$2:$AE$3520,1),SUMIFS(Sales_Data!$AE$2:$AE$3520,Sales_Data!$C$2:$C$3520,$A32,Sales_Data!$F$2:$F$3520,N$7)))</f>
        <v>0</v>
      </c>
      <c r="O32" s="26" t="n">
        <f aca="false">IF(O$7="","",CHOOSE(MATCH($B$4,Lists!$C$2:$C$5,0),SUMIFS(Sales_Data!$O$2:$O$3520,Sales_Data!$C$2:$C$3520,$A32,Sales_Data!$F$2:$F$3520,O$7,Sales_Data!$AE$2:$AE$3520,1),SUMIFS(Sales_Data!$M$2:$M$3520,Sales_Data!$C$2:$C$3520,$A32,Sales_Data!$F$2:$F$3520,O$7,Sales_Data!$AE$2:$AE$3520,1),SUMIFS(Sales_Data!$N$2:$N$3520,Sales_Data!$C$2:$C$3520,$A32,Sales_Data!$F$2:$F$3520,O$7,Sales_Data!$AE$2:$AE$3520,1),SUMIFS(Sales_Data!$AE$2:$AE$3520,Sales_Data!$C$2:$C$3520,$A32,Sales_Data!$F$2:$F$3520,O$7)))</f>
        <v>0</v>
      </c>
      <c r="P32" s="26" t="n">
        <f aca="false">IF(P$7="","",CHOOSE(MATCH($B$4,Lists!$C$2:$C$5,0),SUMIFS(Sales_Data!$O$2:$O$3520,Sales_Data!$C$2:$C$3520,$A32,Sales_Data!$F$2:$F$3520,P$7,Sales_Data!$AE$2:$AE$3520,1),SUMIFS(Sales_Data!$M$2:$M$3520,Sales_Data!$C$2:$C$3520,$A32,Sales_Data!$F$2:$F$3520,P$7,Sales_Data!$AE$2:$AE$3520,1),SUMIFS(Sales_Data!$N$2:$N$3520,Sales_Data!$C$2:$C$3520,$A32,Sales_Data!$F$2:$F$3520,P$7,Sales_Data!$AE$2:$AE$3520,1),SUMIFS(Sales_Data!$AE$2:$AE$3520,Sales_Data!$C$2:$C$3520,$A32,Sales_Data!$F$2:$F$3520,P$7)))</f>
        <v>0</v>
      </c>
      <c r="Q32" s="26" t="n">
        <f aca="false">IF(Q$7="","",CHOOSE(MATCH($B$4,Lists!$C$2:$C$5,0),SUMIFS(Sales_Data!$O$2:$O$3520,Sales_Data!$C$2:$C$3520,$A32,Sales_Data!$F$2:$F$3520,Q$7,Sales_Data!$AE$2:$AE$3520,1),SUMIFS(Sales_Data!$M$2:$M$3520,Sales_Data!$C$2:$C$3520,$A32,Sales_Data!$F$2:$F$3520,Q$7,Sales_Data!$AE$2:$AE$3520,1),SUMIFS(Sales_Data!$N$2:$N$3520,Sales_Data!$C$2:$C$3520,$A32,Sales_Data!$F$2:$F$3520,Q$7,Sales_Data!$AE$2:$AE$3520,1),SUMIFS(Sales_Data!$AE$2:$AE$3520,Sales_Data!$C$2:$C$3520,$A32,Sales_Data!$F$2:$F$3520,Q$7)))</f>
        <v>0</v>
      </c>
      <c r="R32" s="26" t="n">
        <f aca="false">IF(R$7="","",CHOOSE(MATCH($B$4,Lists!$C$2:$C$5,0),SUMIFS(Sales_Data!$O$2:$O$3520,Sales_Data!$C$2:$C$3520,$A32,Sales_Data!$F$2:$F$3520,R$7,Sales_Data!$AE$2:$AE$3520,1),SUMIFS(Sales_Data!$M$2:$M$3520,Sales_Data!$C$2:$C$3520,$A32,Sales_Data!$F$2:$F$3520,R$7,Sales_Data!$AE$2:$AE$3520,1),SUMIFS(Sales_Data!$N$2:$N$3520,Sales_Data!$C$2:$C$3520,$A32,Sales_Data!$F$2:$F$3520,R$7,Sales_Data!$AE$2:$AE$3520,1),SUMIFS(Sales_Data!$AE$2:$AE$3520,Sales_Data!$C$2:$C$3520,$A32,Sales_Data!$F$2:$F$3520,R$7)))</f>
        <v>0</v>
      </c>
      <c r="S32" s="26" t="n">
        <f aca="false">IF(S$7="","",CHOOSE(MATCH($B$4,Lists!$C$2:$C$5,0),SUMIFS(Sales_Data!$O$2:$O$3520,Sales_Data!$C$2:$C$3520,$A32,Sales_Data!$F$2:$F$3520,S$7,Sales_Data!$AE$2:$AE$3520,1),SUMIFS(Sales_Data!$M$2:$M$3520,Sales_Data!$C$2:$C$3520,$A32,Sales_Data!$F$2:$F$3520,S$7,Sales_Data!$AE$2:$AE$3520,1),SUMIFS(Sales_Data!$N$2:$N$3520,Sales_Data!$C$2:$C$3520,$A32,Sales_Data!$F$2:$F$3520,S$7,Sales_Data!$AE$2:$AE$3520,1),SUMIFS(Sales_Data!$AE$2:$AE$3520,Sales_Data!$C$2:$C$3520,$A32,Sales_Data!$F$2:$F$3520,S$7)))</f>
        <v>0</v>
      </c>
      <c r="T32" s="26" t="str">
        <f aca="false">IF(T$7="","",CHOOSE(MATCH($B$4,Lists!$C$2:$C$5,0),SUMIFS(Sales_Data!$O$2:$O$3520,Sales_Data!$C$2:$C$3520,$A32,Sales_Data!$F$2:$F$3520,T$7,Sales_Data!$AE$2:$AE$3520,1),SUMIFS(Sales_Data!$M$2:$M$3520,Sales_Data!$C$2:$C$3520,$A32,Sales_Data!$F$2:$F$3520,T$7,Sales_Data!$AE$2:$AE$3520,1),SUMIFS(Sales_Data!$N$2:$N$3520,Sales_Data!$C$2:$C$3520,$A32,Sales_Data!$F$2:$F$3520,T$7,Sales_Data!$AE$2:$AE$3520,1),SUMIFS(Sales_Data!$AE$2:$AE$3520,Sales_Data!$C$2:$C$3520,$A32,Sales_Data!$F$2:$F$3520,T$7)))</f>
        <v/>
      </c>
      <c r="U32" s="26" t="str">
        <f aca="false">IF(U$7="","",CHOOSE(MATCH($B$4,Lists!$C$2:$C$5,0),SUMIFS(Sales_Data!$O$2:$O$3520,Sales_Data!$C$2:$C$3520,$A32,Sales_Data!$F$2:$F$3520,U$7,Sales_Data!$AE$2:$AE$3520,1),SUMIFS(Sales_Data!$M$2:$M$3520,Sales_Data!$C$2:$C$3520,$A32,Sales_Data!$F$2:$F$3520,U$7,Sales_Data!$AE$2:$AE$3520,1),SUMIFS(Sales_Data!$N$2:$N$3520,Sales_Data!$C$2:$C$3520,$A32,Sales_Data!$F$2:$F$3520,U$7,Sales_Data!$AE$2:$AE$3520,1),SUMIFS(Sales_Data!$AE$2:$AE$3520,Sales_Data!$C$2:$C$3520,$A32,Sales_Data!$F$2:$F$3520,U$7)))</f>
        <v/>
      </c>
      <c r="V32" s="26" t="str">
        <f aca="false">IF(V$7="","",CHOOSE(MATCH($B$4,Lists!$C$2:$C$5,0),SUMIFS(Sales_Data!$O$2:$O$3520,Sales_Data!$C$2:$C$3520,$A32,Sales_Data!$F$2:$F$3520,V$7,Sales_Data!$AE$2:$AE$3520,1),SUMIFS(Sales_Data!$M$2:$M$3520,Sales_Data!$C$2:$C$3520,$A32,Sales_Data!$F$2:$F$3520,V$7,Sales_Data!$AE$2:$AE$3520,1),SUMIFS(Sales_Data!$N$2:$N$3520,Sales_Data!$C$2:$C$3520,$A32,Sales_Data!$F$2:$F$3520,V$7,Sales_Data!$AE$2:$AE$3520,1),SUMIFS(Sales_Data!$AE$2:$AE$3520,Sales_Data!$C$2:$C$3520,$A32,Sales_Data!$F$2:$F$3520,V$7)))</f>
        <v/>
      </c>
      <c r="W32" s="26" t="str">
        <f aca="false">IF(W$7="","",CHOOSE(MATCH($B$4,Lists!$C$2:$C$5,0),SUMIFS(Sales_Data!$O$2:$O$3520,Sales_Data!$C$2:$C$3520,$A32,Sales_Data!$F$2:$F$3520,W$7,Sales_Data!$AE$2:$AE$3520,1),SUMIFS(Sales_Data!$M$2:$M$3520,Sales_Data!$C$2:$C$3520,$A32,Sales_Data!$F$2:$F$3520,W$7,Sales_Data!$AE$2:$AE$3520,1),SUMIFS(Sales_Data!$N$2:$N$3520,Sales_Data!$C$2:$C$3520,$A32,Sales_Data!$F$2:$F$3520,W$7,Sales_Data!$AE$2:$AE$3520,1),SUMIFS(Sales_Data!$AE$2:$AE$3520,Sales_Data!$C$2:$C$3520,$A32,Sales_Data!$F$2:$F$3520,W$7)))</f>
        <v/>
      </c>
      <c r="X32" s="26" t="str">
        <f aca="false">IF(X$7="","",CHOOSE(MATCH($B$4,Lists!$C$2:$C$5,0),SUMIFS(Sales_Data!$O$2:$O$3520,Sales_Data!$C$2:$C$3520,$A32,Sales_Data!$F$2:$F$3520,X$7,Sales_Data!$AE$2:$AE$3520,1),SUMIFS(Sales_Data!$M$2:$M$3520,Sales_Data!$C$2:$C$3520,$A32,Sales_Data!$F$2:$F$3520,X$7,Sales_Data!$AE$2:$AE$3520,1),SUMIFS(Sales_Data!$N$2:$N$3520,Sales_Data!$C$2:$C$3520,$A32,Sales_Data!$F$2:$F$3520,X$7,Sales_Data!$AE$2:$AE$3520,1),SUMIFS(Sales_Data!$AE$2:$AE$3520,Sales_Data!$C$2:$C$3520,$A32,Sales_Data!$F$2:$F$3520,X$7)))</f>
        <v/>
      </c>
      <c r="Y32" s="26" t="str">
        <f aca="false">IF(Y$7="","",CHOOSE(MATCH($B$4,Lists!$C$2:$C$5,0),SUMIFS(Sales_Data!$O$2:$O$3520,Sales_Data!$C$2:$C$3520,$A32,Sales_Data!$F$2:$F$3520,Y$7,Sales_Data!$AE$2:$AE$3520,1),SUMIFS(Sales_Data!$M$2:$M$3520,Sales_Data!$C$2:$C$3520,$A32,Sales_Data!$F$2:$F$3520,Y$7,Sales_Data!$AE$2:$AE$3520,1),SUMIFS(Sales_Data!$N$2:$N$3520,Sales_Data!$C$2:$C$3520,$A32,Sales_Data!$F$2:$F$3520,Y$7,Sales_Data!$AE$2:$AE$3520,1),SUMIFS(Sales_Data!$AE$2:$AE$3520,Sales_Data!$C$2:$C$3520,$A32,Sales_Data!$F$2:$F$3520,Y$7)))</f>
        <v/>
      </c>
      <c r="Z32" s="26" t="str">
        <f aca="false">IF(Z$7="","",CHOOSE(MATCH($B$4,Lists!$C$2:$C$5,0),SUMIFS(Sales_Data!$O$2:$O$3520,Sales_Data!$C$2:$C$3520,$A32,Sales_Data!$F$2:$F$3520,Z$7,Sales_Data!$AE$2:$AE$3520,1),SUMIFS(Sales_Data!$M$2:$M$3520,Sales_Data!$C$2:$C$3520,$A32,Sales_Data!$F$2:$F$3520,Z$7,Sales_Data!$AE$2:$AE$3520,1),SUMIFS(Sales_Data!$N$2:$N$3520,Sales_Data!$C$2:$C$3520,$A32,Sales_Data!$F$2:$F$3520,Z$7,Sales_Data!$AE$2:$AE$3520,1),SUMIFS(Sales_Data!$AE$2:$AE$3520,Sales_Data!$C$2:$C$3520,$A32,Sales_Data!$F$2:$F$3520,Z$7)))</f>
        <v/>
      </c>
      <c r="AA32" s="27" t="n">
        <f aca="false">SUM(B32:Z32)</f>
        <v>0</v>
      </c>
      <c r="AB32" s="3"/>
      <c r="AC32" s="72" t="n">
        <f aca="false">A32</f>
        <v>46239</v>
      </c>
      <c r="AD32" s="28" t="n">
        <f aca="false">IF(B32="","",B32-B31)</f>
        <v>0</v>
      </c>
      <c r="AE32" s="28" t="n">
        <f aca="false">IF(C32="","",C32-C31)</f>
        <v>0</v>
      </c>
      <c r="AF32" s="28" t="n">
        <f aca="false">IF(D32="","",D32-D31)</f>
        <v>0</v>
      </c>
      <c r="AG32" s="28" t="n">
        <f aca="false">IF(E32="","",E32-E31)</f>
        <v>0</v>
      </c>
      <c r="AH32" s="28" t="n">
        <f aca="false">IF(F32="","",F32-F31)</f>
        <v>0</v>
      </c>
      <c r="AI32" s="28" t="n">
        <f aca="false">IF(G32="","",G32-G31)</f>
        <v>0</v>
      </c>
      <c r="AJ32" s="28" t="n">
        <f aca="false">IF(H32="","",H32-H31)</f>
        <v>0</v>
      </c>
      <c r="AK32" s="28" t="n">
        <f aca="false">IF(I32="","",I32-I31)</f>
        <v>0</v>
      </c>
      <c r="AL32" s="28" t="n">
        <f aca="false">IF(J32="","",J32-J31)</f>
        <v>0</v>
      </c>
      <c r="AM32" s="28" t="n">
        <f aca="false">IF(K32="","",K32-K31)</f>
        <v>0</v>
      </c>
      <c r="AN32" s="28" t="n">
        <f aca="false">IF(L32="","",L32-L31)</f>
        <v>0</v>
      </c>
      <c r="AO32" s="28" t="n">
        <f aca="false">IF(M32="","",M32-M31)</f>
        <v>0</v>
      </c>
      <c r="AP32" s="28" t="n">
        <f aca="false">IF(N32="","",N32-N31)</f>
        <v>0</v>
      </c>
      <c r="AQ32" s="28" t="n">
        <f aca="false">IF(O32="","",O32-O31)</f>
        <v>0</v>
      </c>
      <c r="AR32" s="28" t="n">
        <f aca="false">IF(P32="","",P32-P31)</f>
        <v>0</v>
      </c>
      <c r="AS32" s="28" t="n">
        <f aca="false">IF(Q32="","",Q32-Q31)</f>
        <v>0</v>
      </c>
      <c r="AT32" s="28" t="n">
        <f aca="false">IF(R32="","",R32-R31)</f>
        <v>0</v>
      </c>
      <c r="AU32" s="28" t="n">
        <f aca="false">IF(S32="","",S32-S31)</f>
        <v>0</v>
      </c>
      <c r="AV32" s="28" t="str">
        <f aca="false">IF(T32="","",T32-T31)</f>
        <v/>
      </c>
      <c r="AW32" s="28" t="str">
        <f aca="false">IF(U32="","",U32-U31)</f>
        <v/>
      </c>
      <c r="AX32" s="28" t="str">
        <f aca="false">IF(V32="","",V32-V31)</f>
        <v/>
      </c>
      <c r="AY32" s="28" t="str">
        <f aca="false">IF(W32="","",W32-W31)</f>
        <v/>
      </c>
      <c r="AZ32" s="28" t="str">
        <f aca="false">IF(X32="","",X32-X31)</f>
        <v/>
      </c>
      <c r="BA32" s="28" t="str">
        <f aca="false">IF(Y32="","",Y32-Y31)</f>
        <v/>
      </c>
      <c r="BB32" s="28" t="str">
        <f aca="false">IF(Z32="","",Z32-Z31)</f>
        <v/>
      </c>
      <c r="BC32" s="28" t="n">
        <f aca="false">IF(AA32="","",AA32-AA31)</f>
        <v>0</v>
      </c>
    </row>
    <row r="33" customFormat="false" ht="15" hidden="false" customHeight="false" outlineLevel="0" collapsed="false">
      <c r="A33" s="72" t="n">
        <v>46240</v>
      </c>
      <c r="B33" s="26" t="n">
        <f aca="false">IF(B$7="","",CHOOSE(MATCH($B$4,Lists!$C$2:$C$5,0),SUMIFS(Sales_Data!$O$2:$O$3520,Sales_Data!$C$2:$C$3520,$A33,Sales_Data!$F$2:$F$3520,B$7,Sales_Data!$AE$2:$AE$3520,1),SUMIFS(Sales_Data!$M$2:$M$3520,Sales_Data!$C$2:$C$3520,$A33,Sales_Data!$F$2:$F$3520,B$7,Sales_Data!$AE$2:$AE$3520,1),SUMIFS(Sales_Data!$N$2:$N$3520,Sales_Data!$C$2:$C$3520,$A33,Sales_Data!$F$2:$F$3520,B$7,Sales_Data!$AE$2:$AE$3520,1),SUMIFS(Sales_Data!$AE$2:$AE$3520,Sales_Data!$C$2:$C$3520,$A33,Sales_Data!$F$2:$F$3520,B$7)))</f>
        <v>0</v>
      </c>
      <c r="C33" s="26" t="n">
        <f aca="false">IF(C$7="","",CHOOSE(MATCH($B$4,Lists!$C$2:$C$5,0),SUMIFS(Sales_Data!$O$2:$O$3520,Sales_Data!$C$2:$C$3520,$A33,Sales_Data!$F$2:$F$3520,C$7,Sales_Data!$AE$2:$AE$3520,1),SUMIFS(Sales_Data!$M$2:$M$3520,Sales_Data!$C$2:$C$3520,$A33,Sales_Data!$F$2:$F$3520,C$7,Sales_Data!$AE$2:$AE$3520,1),SUMIFS(Sales_Data!$N$2:$N$3520,Sales_Data!$C$2:$C$3520,$A33,Sales_Data!$F$2:$F$3520,C$7,Sales_Data!$AE$2:$AE$3520,1),SUMIFS(Sales_Data!$AE$2:$AE$3520,Sales_Data!$C$2:$C$3520,$A33,Sales_Data!$F$2:$F$3520,C$7)))</f>
        <v>0</v>
      </c>
      <c r="D33" s="26" t="n">
        <f aca="false">IF(D$7="","",CHOOSE(MATCH($B$4,Lists!$C$2:$C$5,0),SUMIFS(Sales_Data!$O$2:$O$3520,Sales_Data!$C$2:$C$3520,$A33,Sales_Data!$F$2:$F$3520,D$7,Sales_Data!$AE$2:$AE$3520,1),SUMIFS(Sales_Data!$M$2:$M$3520,Sales_Data!$C$2:$C$3520,$A33,Sales_Data!$F$2:$F$3520,D$7,Sales_Data!$AE$2:$AE$3520,1),SUMIFS(Sales_Data!$N$2:$N$3520,Sales_Data!$C$2:$C$3520,$A33,Sales_Data!$F$2:$F$3520,D$7,Sales_Data!$AE$2:$AE$3520,1),SUMIFS(Sales_Data!$AE$2:$AE$3520,Sales_Data!$C$2:$C$3520,$A33,Sales_Data!$F$2:$F$3520,D$7)))</f>
        <v>0</v>
      </c>
      <c r="E33" s="26" t="n">
        <f aca="false">IF(E$7="","",CHOOSE(MATCH($B$4,Lists!$C$2:$C$5,0),SUMIFS(Sales_Data!$O$2:$O$3520,Sales_Data!$C$2:$C$3520,$A33,Sales_Data!$F$2:$F$3520,E$7,Sales_Data!$AE$2:$AE$3520,1),SUMIFS(Sales_Data!$M$2:$M$3520,Sales_Data!$C$2:$C$3520,$A33,Sales_Data!$F$2:$F$3520,E$7,Sales_Data!$AE$2:$AE$3520,1),SUMIFS(Sales_Data!$N$2:$N$3520,Sales_Data!$C$2:$C$3520,$A33,Sales_Data!$F$2:$F$3520,E$7,Sales_Data!$AE$2:$AE$3520,1),SUMIFS(Sales_Data!$AE$2:$AE$3520,Sales_Data!$C$2:$C$3520,$A33,Sales_Data!$F$2:$F$3520,E$7)))</f>
        <v>0</v>
      </c>
      <c r="F33" s="26" t="n">
        <f aca="false">IF(F$7="","",CHOOSE(MATCH($B$4,Lists!$C$2:$C$5,0),SUMIFS(Sales_Data!$O$2:$O$3520,Sales_Data!$C$2:$C$3520,$A33,Sales_Data!$F$2:$F$3520,F$7,Sales_Data!$AE$2:$AE$3520,1),SUMIFS(Sales_Data!$M$2:$M$3520,Sales_Data!$C$2:$C$3520,$A33,Sales_Data!$F$2:$F$3520,F$7,Sales_Data!$AE$2:$AE$3520,1),SUMIFS(Sales_Data!$N$2:$N$3520,Sales_Data!$C$2:$C$3520,$A33,Sales_Data!$F$2:$F$3520,F$7,Sales_Data!$AE$2:$AE$3520,1),SUMIFS(Sales_Data!$AE$2:$AE$3520,Sales_Data!$C$2:$C$3520,$A33,Sales_Data!$F$2:$F$3520,F$7)))</f>
        <v>0</v>
      </c>
      <c r="G33" s="26" t="n">
        <f aca="false">IF(G$7="","",CHOOSE(MATCH($B$4,Lists!$C$2:$C$5,0),SUMIFS(Sales_Data!$O$2:$O$3520,Sales_Data!$C$2:$C$3520,$A33,Sales_Data!$F$2:$F$3520,G$7,Sales_Data!$AE$2:$AE$3520,1),SUMIFS(Sales_Data!$M$2:$M$3520,Sales_Data!$C$2:$C$3520,$A33,Sales_Data!$F$2:$F$3520,G$7,Sales_Data!$AE$2:$AE$3520,1),SUMIFS(Sales_Data!$N$2:$N$3520,Sales_Data!$C$2:$C$3520,$A33,Sales_Data!$F$2:$F$3520,G$7,Sales_Data!$AE$2:$AE$3520,1),SUMIFS(Sales_Data!$AE$2:$AE$3520,Sales_Data!$C$2:$C$3520,$A33,Sales_Data!$F$2:$F$3520,G$7)))</f>
        <v>0</v>
      </c>
      <c r="H33" s="26" t="n">
        <f aca="false">IF(H$7="","",CHOOSE(MATCH($B$4,Lists!$C$2:$C$5,0),SUMIFS(Sales_Data!$O$2:$O$3520,Sales_Data!$C$2:$C$3520,$A33,Sales_Data!$F$2:$F$3520,H$7,Sales_Data!$AE$2:$AE$3520,1),SUMIFS(Sales_Data!$M$2:$M$3520,Sales_Data!$C$2:$C$3520,$A33,Sales_Data!$F$2:$F$3520,H$7,Sales_Data!$AE$2:$AE$3520,1),SUMIFS(Sales_Data!$N$2:$N$3520,Sales_Data!$C$2:$C$3520,$A33,Sales_Data!$F$2:$F$3520,H$7,Sales_Data!$AE$2:$AE$3520,1),SUMIFS(Sales_Data!$AE$2:$AE$3520,Sales_Data!$C$2:$C$3520,$A33,Sales_Data!$F$2:$F$3520,H$7)))</f>
        <v>0</v>
      </c>
      <c r="I33" s="26" t="n">
        <f aca="false">IF(I$7="","",CHOOSE(MATCH($B$4,Lists!$C$2:$C$5,0),SUMIFS(Sales_Data!$O$2:$O$3520,Sales_Data!$C$2:$C$3520,$A33,Sales_Data!$F$2:$F$3520,I$7,Sales_Data!$AE$2:$AE$3520,1),SUMIFS(Sales_Data!$M$2:$M$3520,Sales_Data!$C$2:$C$3520,$A33,Sales_Data!$F$2:$F$3520,I$7,Sales_Data!$AE$2:$AE$3520,1),SUMIFS(Sales_Data!$N$2:$N$3520,Sales_Data!$C$2:$C$3520,$A33,Sales_Data!$F$2:$F$3520,I$7,Sales_Data!$AE$2:$AE$3520,1),SUMIFS(Sales_Data!$AE$2:$AE$3520,Sales_Data!$C$2:$C$3520,$A33,Sales_Data!$F$2:$F$3520,I$7)))</f>
        <v>0</v>
      </c>
      <c r="J33" s="26" t="n">
        <f aca="false">IF(J$7="","",CHOOSE(MATCH($B$4,Lists!$C$2:$C$5,0),SUMIFS(Sales_Data!$O$2:$O$3520,Sales_Data!$C$2:$C$3520,$A33,Sales_Data!$F$2:$F$3520,J$7,Sales_Data!$AE$2:$AE$3520,1),SUMIFS(Sales_Data!$M$2:$M$3520,Sales_Data!$C$2:$C$3520,$A33,Sales_Data!$F$2:$F$3520,J$7,Sales_Data!$AE$2:$AE$3520,1),SUMIFS(Sales_Data!$N$2:$N$3520,Sales_Data!$C$2:$C$3520,$A33,Sales_Data!$F$2:$F$3520,J$7,Sales_Data!$AE$2:$AE$3520,1),SUMIFS(Sales_Data!$AE$2:$AE$3520,Sales_Data!$C$2:$C$3520,$A33,Sales_Data!$F$2:$F$3520,J$7)))</f>
        <v>0</v>
      </c>
      <c r="K33" s="26" t="n">
        <f aca="false">IF(K$7="","",CHOOSE(MATCH($B$4,Lists!$C$2:$C$5,0),SUMIFS(Sales_Data!$O$2:$O$3520,Sales_Data!$C$2:$C$3520,$A33,Sales_Data!$F$2:$F$3520,K$7,Sales_Data!$AE$2:$AE$3520,1),SUMIFS(Sales_Data!$M$2:$M$3520,Sales_Data!$C$2:$C$3520,$A33,Sales_Data!$F$2:$F$3520,K$7,Sales_Data!$AE$2:$AE$3520,1),SUMIFS(Sales_Data!$N$2:$N$3520,Sales_Data!$C$2:$C$3520,$A33,Sales_Data!$F$2:$F$3520,K$7,Sales_Data!$AE$2:$AE$3520,1),SUMIFS(Sales_Data!$AE$2:$AE$3520,Sales_Data!$C$2:$C$3520,$A33,Sales_Data!$F$2:$F$3520,K$7)))</f>
        <v>0</v>
      </c>
      <c r="L33" s="26" t="n">
        <f aca="false">IF(L$7="","",CHOOSE(MATCH($B$4,Lists!$C$2:$C$5,0),SUMIFS(Sales_Data!$O$2:$O$3520,Sales_Data!$C$2:$C$3520,$A33,Sales_Data!$F$2:$F$3520,L$7,Sales_Data!$AE$2:$AE$3520,1),SUMIFS(Sales_Data!$M$2:$M$3520,Sales_Data!$C$2:$C$3520,$A33,Sales_Data!$F$2:$F$3520,L$7,Sales_Data!$AE$2:$AE$3520,1),SUMIFS(Sales_Data!$N$2:$N$3520,Sales_Data!$C$2:$C$3520,$A33,Sales_Data!$F$2:$F$3520,L$7,Sales_Data!$AE$2:$AE$3520,1),SUMIFS(Sales_Data!$AE$2:$AE$3520,Sales_Data!$C$2:$C$3520,$A33,Sales_Data!$F$2:$F$3520,L$7)))</f>
        <v>0</v>
      </c>
      <c r="M33" s="26" t="n">
        <f aca="false">IF(M$7="","",CHOOSE(MATCH($B$4,Lists!$C$2:$C$5,0),SUMIFS(Sales_Data!$O$2:$O$3520,Sales_Data!$C$2:$C$3520,$A33,Sales_Data!$F$2:$F$3520,M$7,Sales_Data!$AE$2:$AE$3520,1),SUMIFS(Sales_Data!$M$2:$M$3520,Sales_Data!$C$2:$C$3520,$A33,Sales_Data!$F$2:$F$3520,M$7,Sales_Data!$AE$2:$AE$3520,1),SUMIFS(Sales_Data!$N$2:$N$3520,Sales_Data!$C$2:$C$3520,$A33,Sales_Data!$F$2:$F$3520,M$7,Sales_Data!$AE$2:$AE$3520,1),SUMIFS(Sales_Data!$AE$2:$AE$3520,Sales_Data!$C$2:$C$3520,$A33,Sales_Data!$F$2:$F$3520,M$7)))</f>
        <v>0</v>
      </c>
      <c r="N33" s="26" t="n">
        <f aca="false">IF(N$7="","",CHOOSE(MATCH($B$4,Lists!$C$2:$C$5,0),SUMIFS(Sales_Data!$O$2:$O$3520,Sales_Data!$C$2:$C$3520,$A33,Sales_Data!$F$2:$F$3520,N$7,Sales_Data!$AE$2:$AE$3520,1),SUMIFS(Sales_Data!$M$2:$M$3520,Sales_Data!$C$2:$C$3520,$A33,Sales_Data!$F$2:$F$3520,N$7,Sales_Data!$AE$2:$AE$3520,1),SUMIFS(Sales_Data!$N$2:$N$3520,Sales_Data!$C$2:$C$3520,$A33,Sales_Data!$F$2:$F$3520,N$7,Sales_Data!$AE$2:$AE$3520,1),SUMIFS(Sales_Data!$AE$2:$AE$3520,Sales_Data!$C$2:$C$3520,$A33,Sales_Data!$F$2:$F$3520,N$7)))</f>
        <v>0</v>
      </c>
      <c r="O33" s="26" t="n">
        <f aca="false">IF(O$7="","",CHOOSE(MATCH($B$4,Lists!$C$2:$C$5,0),SUMIFS(Sales_Data!$O$2:$O$3520,Sales_Data!$C$2:$C$3520,$A33,Sales_Data!$F$2:$F$3520,O$7,Sales_Data!$AE$2:$AE$3520,1),SUMIFS(Sales_Data!$M$2:$M$3520,Sales_Data!$C$2:$C$3520,$A33,Sales_Data!$F$2:$F$3520,O$7,Sales_Data!$AE$2:$AE$3520,1),SUMIFS(Sales_Data!$N$2:$N$3520,Sales_Data!$C$2:$C$3520,$A33,Sales_Data!$F$2:$F$3520,O$7,Sales_Data!$AE$2:$AE$3520,1),SUMIFS(Sales_Data!$AE$2:$AE$3520,Sales_Data!$C$2:$C$3520,$A33,Sales_Data!$F$2:$F$3520,O$7)))</f>
        <v>0</v>
      </c>
      <c r="P33" s="26" t="n">
        <f aca="false">IF(P$7="","",CHOOSE(MATCH($B$4,Lists!$C$2:$C$5,0),SUMIFS(Sales_Data!$O$2:$O$3520,Sales_Data!$C$2:$C$3520,$A33,Sales_Data!$F$2:$F$3520,P$7,Sales_Data!$AE$2:$AE$3520,1),SUMIFS(Sales_Data!$M$2:$M$3520,Sales_Data!$C$2:$C$3520,$A33,Sales_Data!$F$2:$F$3520,P$7,Sales_Data!$AE$2:$AE$3520,1),SUMIFS(Sales_Data!$N$2:$N$3520,Sales_Data!$C$2:$C$3520,$A33,Sales_Data!$F$2:$F$3520,P$7,Sales_Data!$AE$2:$AE$3520,1),SUMIFS(Sales_Data!$AE$2:$AE$3520,Sales_Data!$C$2:$C$3520,$A33,Sales_Data!$F$2:$F$3520,P$7)))</f>
        <v>0</v>
      </c>
      <c r="Q33" s="26" t="n">
        <f aca="false">IF(Q$7="","",CHOOSE(MATCH($B$4,Lists!$C$2:$C$5,0),SUMIFS(Sales_Data!$O$2:$O$3520,Sales_Data!$C$2:$C$3520,$A33,Sales_Data!$F$2:$F$3520,Q$7,Sales_Data!$AE$2:$AE$3520,1),SUMIFS(Sales_Data!$M$2:$M$3520,Sales_Data!$C$2:$C$3520,$A33,Sales_Data!$F$2:$F$3520,Q$7,Sales_Data!$AE$2:$AE$3520,1),SUMIFS(Sales_Data!$N$2:$N$3520,Sales_Data!$C$2:$C$3520,$A33,Sales_Data!$F$2:$F$3520,Q$7,Sales_Data!$AE$2:$AE$3520,1),SUMIFS(Sales_Data!$AE$2:$AE$3520,Sales_Data!$C$2:$C$3520,$A33,Sales_Data!$F$2:$F$3520,Q$7)))</f>
        <v>0</v>
      </c>
      <c r="R33" s="26" t="n">
        <f aca="false">IF(R$7="","",CHOOSE(MATCH($B$4,Lists!$C$2:$C$5,0),SUMIFS(Sales_Data!$O$2:$O$3520,Sales_Data!$C$2:$C$3520,$A33,Sales_Data!$F$2:$F$3520,R$7,Sales_Data!$AE$2:$AE$3520,1),SUMIFS(Sales_Data!$M$2:$M$3520,Sales_Data!$C$2:$C$3520,$A33,Sales_Data!$F$2:$F$3520,R$7,Sales_Data!$AE$2:$AE$3520,1),SUMIFS(Sales_Data!$N$2:$N$3520,Sales_Data!$C$2:$C$3520,$A33,Sales_Data!$F$2:$F$3520,R$7,Sales_Data!$AE$2:$AE$3520,1),SUMIFS(Sales_Data!$AE$2:$AE$3520,Sales_Data!$C$2:$C$3520,$A33,Sales_Data!$F$2:$F$3520,R$7)))</f>
        <v>0</v>
      </c>
      <c r="S33" s="26" t="n">
        <f aca="false">IF(S$7="","",CHOOSE(MATCH($B$4,Lists!$C$2:$C$5,0),SUMIFS(Sales_Data!$O$2:$O$3520,Sales_Data!$C$2:$C$3520,$A33,Sales_Data!$F$2:$F$3520,S$7,Sales_Data!$AE$2:$AE$3520,1),SUMIFS(Sales_Data!$M$2:$M$3520,Sales_Data!$C$2:$C$3520,$A33,Sales_Data!$F$2:$F$3520,S$7,Sales_Data!$AE$2:$AE$3520,1),SUMIFS(Sales_Data!$N$2:$N$3520,Sales_Data!$C$2:$C$3520,$A33,Sales_Data!$F$2:$F$3520,S$7,Sales_Data!$AE$2:$AE$3520,1),SUMIFS(Sales_Data!$AE$2:$AE$3520,Sales_Data!$C$2:$C$3520,$A33,Sales_Data!$F$2:$F$3520,S$7)))</f>
        <v>0</v>
      </c>
      <c r="T33" s="26" t="str">
        <f aca="false">IF(T$7="","",CHOOSE(MATCH($B$4,Lists!$C$2:$C$5,0),SUMIFS(Sales_Data!$O$2:$O$3520,Sales_Data!$C$2:$C$3520,$A33,Sales_Data!$F$2:$F$3520,T$7,Sales_Data!$AE$2:$AE$3520,1),SUMIFS(Sales_Data!$M$2:$M$3520,Sales_Data!$C$2:$C$3520,$A33,Sales_Data!$F$2:$F$3520,T$7,Sales_Data!$AE$2:$AE$3520,1),SUMIFS(Sales_Data!$N$2:$N$3520,Sales_Data!$C$2:$C$3520,$A33,Sales_Data!$F$2:$F$3520,T$7,Sales_Data!$AE$2:$AE$3520,1),SUMIFS(Sales_Data!$AE$2:$AE$3520,Sales_Data!$C$2:$C$3520,$A33,Sales_Data!$F$2:$F$3520,T$7)))</f>
        <v/>
      </c>
      <c r="U33" s="26" t="str">
        <f aca="false">IF(U$7="","",CHOOSE(MATCH($B$4,Lists!$C$2:$C$5,0),SUMIFS(Sales_Data!$O$2:$O$3520,Sales_Data!$C$2:$C$3520,$A33,Sales_Data!$F$2:$F$3520,U$7,Sales_Data!$AE$2:$AE$3520,1),SUMIFS(Sales_Data!$M$2:$M$3520,Sales_Data!$C$2:$C$3520,$A33,Sales_Data!$F$2:$F$3520,U$7,Sales_Data!$AE$2:$AE$3520,1),SUMIFS(Sales_Data!$N$2:$N$3520,Sales_Data!$C$2:$C$3520,$A33,Sales_Data!$F$2:$F$3520,U$7,Sales_Data!$AE$2:$AE$3520,1),SUMIFS(Sales_Data!$AE$2:$AE$3520,Sales_Data!$C$2:$C$3520,$A33,Sales_Data!$F$2:$F$3520,U$7)))</f>
        <v/>
      </c>
      <c r="V33" s="26" t="str">
        <f aca="false">IF(V$7="","",CHOOSE(MATCH($B$4,Lists!$C$2:$C$5,0),SUMIFS(Sales_Data!$O$2:$O$3520,Sales_Data!$C$2:$C$3520,$A33,Sales_Data!$F$2:$F$3520,V$7,Sales_Data!$AE$2:$AE$3520,1),SUMIFS(Sales_Data!$M$2:$M$3520,Sales_Data!$C$2:$C$3520,$A33,Sales_Data!$F$2:$F$3520,V$7,Sales_Data!$AE$2:$AE$3520,1),SUMIFS(Sales_Data!$N$2:$N$3520,Sales_Data!$C$2:$C$3520,$A33,Sales_Data!$F$2:$F$3520,V$7,Sales_Data!$AE$2:$AE$3520,1),SUMIFS(Sales_Data!$AE$2:$AE$3520,Sales_Data!$C$2:$C$3520,$A33,Sales_Data!$F$2:$F$3520,V$7)))</f>
        <v/>
      </c>
      <c r="W33" s="26" t="str">
        <f aca="false">IF(W$7="","",CHOOSE(MATCH($B$4,Lists!$C$2:$C$5,0),SUMIFS(Sales_Data!$O$2:$O$3520,Sales_Data!$C$2:$C$3520,$A33,Sales_Data!$F$2:$F$3520,W$7,Sales_Data!$AE$2:$AE$3520,1),SUMIFS(Sales_Data!$M$2:$M$3520,Sales_Data!$C$2:$C$3520,$A33,Sales_Data!$F$2:$F$3520,W$7,Sales_Data!$AE$2:$AE$3520,1),SUMIFS(Sales_Data!$N$2:$N$3520,Sales_Data!$C$2:$C$3520,$A33,Sales_Data!$F$2:$F$3520,W$7,Sales_Data!$AE$2:$AE$3520,1),SUMIFS(Sales_Data!$AE$2:$AE$3520,Sales_Data!$C$2:$C$3520,$A33,Sales_Data!$F$2:$F$3520,W$7)))</f>
        <v/>
      </c>
      <c r="X33" s="26" t="str">
        <f aca="false">IF(X$7="","",CHOOSE(MATCH($B$4,Lists!$C$2:$C$5,0),SUMIFS(Sales_Data!$O$2:$O$3520,Sales_Data!$C$2:$C$3520,$A33,Sales_Data!$F$2:$F$3520,X$7,Sales_Data!$AE$2:$AE$3520,1),SUMIFS(Sales_Data!$M$2:$M$3520,Sales_Data!$C$2:$C$3520,$A33,Sales_Data!$F$2:$F$3520,X$7,Sales_Data!$AE$2:$AE$3520,1),SUMIFS(Sales_Data!$N$2:$N$3520,Sales_Data!$C$2:$C$3520,$A33,Sales_Data!$F$2:$F$3520,X$7,Sales_Data!$AE$2:$AE$3520,1),SUMIFS(Sales_Data!$AE$2:$AE$3520,Sales_Data!$C$2:$C$3520,$A33,Sales_Data!$F$2:$F$3520,X$7)))</f>
        <v/>
      </c>
      <c r="Y33" s="26" t="str">
        <f aca="false">IF(Y$7="","",CHOOSE(MATCH($B$4,Lists!$C$2:$C$5,0),SUMIFS(Sales_Data!$O$2:$O$3520,Sales_Data!$C$2:$C$3520,$A33,Sales_Data!$F$2:$F$3520,Y$7,Sales_Data!$AE$2:$AE$3520,1),SUMIFS(Sales_Data!$M$2:$M$3520,Sales_Data!$C$2:$C$3520,$A33,Sales_Data!$F$2:$F$3520,Y$7,Sales_Data!$AE$2:$AE$3520,1),SUMIFS(Sales_Data!$N$2:$N$3520,Sales_Data!$C$2:$C$3520,$A33,Sales_Data!$F$2:$F$3520,Y$7,Sales_Data!$AE$2:$AE$3520,1),SUMIFS(Sales_Data!$AE$2:$AE$3520,Sales_Data!$C$2:$C$3520,$A33,Sales_Data!$F$2:$F$3520,Y$7)))</f>
        <v/>
      </c>
      <c r="Z33" s="26" t="str">
        <f aca="false">IF(Z$7="","",CHOOSE(MATCH($B$4,Lists!$C$2:$C$5,0),SUMIFS(Sales_Data!$O$2:$O$3520,Sales_Data!$C$2:$C$3520,$A33,Sales_Data!$F$2:$F$3520,Z$7,Sales_Data!$AE$2:$AE$3520,1),SUMIFS(Sales_Data!$M$2:$M$3520,Sales_Data!$C$2:$C$3520,$A33,Sales_Data!$F$2:$F$3520,Z$7,Sales_Data!$AE$2:$AE$3520,1),SUMIFS(Sales_Data!$N$2:$N$3520,Sales_Data!$C$2:$C$3520,$A33,Sales_Data!$F$2:$F$3520,Z$7,Sales_Data!$AE$2:$AE$3520,1),SUMIFS(Sales_Data!$AE$2:$AE$3520,Sales_Data!$C$2:$C$3520,$A33,Sales_Data!$F$2:$F$3520,Z$7)))</f>
        <v/>
      </c>
      <c r="AA33" s="27" t="n">
        <f aca="false">SUM(B33:Z33)</f>
        <v>0</v>
      </c>
      <c r="AB33" s="3"/>
      <c r="AC33" s="72" t="n">
        <f aca="false">A33</f>
        <v>46240</v>
      </c>
      <c r="AD33" s="28" t="n">
        <f aca="false">IF(B33="","",B33-B32)</f>
        <v>0</v>
      </c>
      <c r="AE33" s="28" t="n">
        <f aca="false">IF(C33="","",C33-C32)</f>
        <v>0</v>
      </c>
      <c r="AF33" s="28" t="n">
        <f aca="false">IF(D33="","",D33-D32)</f>
        <v>0</v>
      </c>
      <c r="AG33" s="28" t="n">
        <f aca="false">IF(E33="","",E33-E32)</f>
        <v>0</v>
      </c>
      <c r="AH33" s="28" t="n">
        <f aca="false">IF(F33="","",F33-F32)</f>
        <v>0</v>
      </c>
      <c r="AI33" s="28" t="n">
        <f aca="false">IF(G33="","",G33-G32)</f>
        <v>0</v>
      </c>
      <c r="AJ33" s="28" t="n">
        <f aca="false">IF(H33="","",H33-H32)</f>
        <v>0</v>
      </c>
      <c r="AK33" s="28" t="n">
        <f aca="false">IF(I33="","",I33-I32)</f>
        <v>0</v>
      </c>
      <c r="AL33" s="28" t="n">
        <f aca="false">IF(J33="","",J33-J32)</f>
        <v>0</v>
      </c>
      <c r="AM33" s="28" t="n">
        <f aca="false">IF(K33="","",K33-K32)</f>
        <v>0</v>
      </c>
      <c r="AN33" s="28" t="n">
        <f aca="false">IF(L33="","",L33-L32)</f>
        <v>0</v>
      </c>
      <c r="AO33" s="28" t="n">
        <f aca="false">IF(M33="","",M33-M32)</f>
        <v>0</v>
      </c>
      <c r="AP33" s="28" t="n">
        <f aca="false">IF(N33="","",N33-N32)</f>
        <v>0</v>
      </c>
      <c r="AQ33" s="28" t="n">
        <f aca="false">IF(O33="","",O33-O32)</f>
        <v>0</v>
      </c>
      <c r="AR33" s="28" t="n">
        <f aca="false">IF(P33="","",P33-P32)</f>
        <v>0</v>
      </c>
      <c r="AS33" s="28" t="n">
        <f aca="false">IF(Q33="","",Q33-Q32)</f>
        <v>0</v>
      </c>
      <c r="AT33" s="28" t="n">
        <f aca="false">IF(R33="","",R33-R32)</f>
        <v>0</v>
      </c>
      <c r="AU33" s="28" t="n">
        <f aca="false">IF(S33="","",S33-S32)</f>
        <v>0</v>
      </c>
      <c r="AV33" s="28" t="str">
        <f aca="false">IF(T33="","",T33-T32)</f>
        <v/>
      </c>
      <c r="AW33" s="28" t="str">
        <f aca="false">IF(U33="","",U33-U32)</f>
        <v/>
      </c>
      <c r="AX33" s="28" t="str">
        <f aca="false">IF(V33="","",V33-V32)</f>
        <v/>
      </c>
      <c r="AY33" s="28" t="str">
        <f aca="false">IF(W33="","",W33-W32)</f>
        <v/>
      </c>
      <c r="AZ33" s="28" t="str">
        <f aca="false">IF(X33="","",X33-X32)</f>
        <v/>
      </c>
      <c r="BA33" s="28" t="str">
        <f aca="false">IF(Y33="","",Y33-Y32)</f>
        <v/>
      </c>
      <c r="BB33" s="28" t="str">
        <f aca="false">IF(Z33="","",Z33-Z32)</f>
        <v/>
      </c>
      <c r="BC33" s="28" t="n">
        <f aca="false">IF(AA33="","",AA33-AA32)</f>
        <v>0</v>
      </c>
    </row>
    <row r="34" customFormat="false" ht="15" hidden="false" customHeight="false" outlineLevel="0" collapsed="false">
      <c r="A34" s="72" t="n">
        <v>46241</v>
      </c>
      <c r="B34" s="26" t="n">
        <f aca="false">IF(B$7="","",CHOOSE(MATCH($B$4,Lists!$C$2:$C$5,0),SUMIFS(Sales_Data!$O$2:$O$3520,Sales_Data!$C$2:$C$3520,$A34,Sales_Data!$F$2:$F$3520,B$7,Sales_Data!$AE$2:$AE$3520,1),SUMIFS(Sales_Data!$M$2:$M$3520,Sales_Data!$C$2:$C$3520,$A34,Sales_Data!$F$2:$F$3520,B$7,Sales_Data!$AE$2:$AE$3520,1),SUMIFS(Sales_Data!$N$2:$N$3520,Sales_Data!$C$2:$C$3520,$A34,Sales_Data!$F$2:$F$3520,B$7,Sales_Data!$AE$2:$AE$3520,1),SUMIFS(Sales_Data!$AE$2:$AE$3520,Sales_Data!$C$2:$C$3520,$A34,Sales_Data!$F$2:$F$3520,B$7)))</f>
        <v>0</v>
      </c>
      <c r="C34" s="26" t="n">
        <f aca="false">IF(C$7="","",CHOOSE(MATCH($B$4,Lists!$C$2:$C$5,0),SUMIFS(Sales_Data!$O$2:$O$3520,Sales_Data!$C$2:$C$3520,$A34,Sales_Data!$F$2:$F$3520,C$7,Sales_Data!$AE$2:$AE$3520,1),SUMIFS(Sales_Data!$M$2:$M$3520,Sales_Data!$C$2:$C$3520,$A34,Sales_Data!$F$2:$F$3520,C$7,Sales_Data!$AE$2:$AE$3520,1),SUMIFS(Sales_Data!$N$2:$N$3520,Sales_Data!$C$2:$C$3520,$A34,Sales_Data!$F$2:$F$3520,C$7,Sales_Data!$AE$2:$AE$3520,1),SUMIFS(Sales_Data!$AE$2:$AE$3520,Sales_Data!$C$2:$C$3520,$A34,Sales_Data!$F$2:$F$3520,C$7)))</f>
        <v>0</v>
      </c>
      <c r="D34" s="26" t="n">
        <f aca="false">IF(D$7="","",CHOOSE(MATCH($B$4,Lists!$C$2:$C$5,0),SUMIFS(Sales_Data!$O$2:$O$3520,Sales_Data!$C$2:$C$3520,$A34,Sales_Data!$F$2:$F$3520,D$7,Sales_Data!$AE$2:$AE$3520,1),SUMIFS(Sales_Data!$M$2:$M$3520,Sales_Data!$C$2:$C$3520,$A34,Sales_Data!$F$2:$F$3520,D$7,Sales_Data!$AE$2:$AE$3520,1),SUMIFS(Sales_Data!$N$2:$N$3520,Sales_Data!$C$2:$C$3520,$A34,Sales_Data!$F$2:$F$3520,D$7,Sales_Data!$AE$2:$AE$3520,1),SUMIFS(Sales_Data!$AE$2:$AE$3520,Sales_Data!$C$2:$C$3520,$A34,Sales_Data!$F$2:$F$3520,D$7)))</f>
        <v>0</v>
      </c>
      <c r="E34" s="26" t="n">
        <f aca="false">IF(E$7="","",CHOOSE(MATCH($B$4,Lists!$C$2:$C$5,0),SUMIFS(Sales_Data!$O$2:$O$3520,Sales_Data!$C$2:$C$3520,$A34,Sales_Data!$F$2:$F$3520,E$7,Sales_Data!$AE$2:$AE$3520,1),SUMIFS(Sales_Data!$M$2:$M$3520,Sales_Data!$C$2:$C$3520,$A34,Sales_Data!$F$2:$F$3520,E$7,Sales_Data!$AE$2:$AE$3520,1),SUMIFS(Sales_Data!$N$2:$N$3520,Sales_Data!$C$2:$C$3520,$A34,Sales_Data!$F$2:$F$3520,E$7,Sales_Data!$AE$2:$AE$3520,1),SUMIFS(Sales_Data!$AE$2:$AE$3520,Sales_Data!$C$2:$C$3520,$A34,Sales_Data!$F$2:$F$3520,E$7)))</f>
        <v>0</v>
      </c>
      <c r="F34" s="26" t="n">
        <f aca="false">IF(F$7="","",CHOOSE(MATCH($B$4,Lists!$C$2:$C$5,0),SUMIFS(Sales_Data!$O$2:$O$3520,Sales_Data!$C$2:$C$3520,$A34,Sales_Data!$F$2:$F$3520,F$7,Sales_Data!$AE$2:$AE$3520,1),SUMIFS(Sales_Data!$M$2:$M$3520,Sales_Data!$C$2:$C$3520,$A34,Sales_Data!$F$2:$F$3520,F$7,Sales_Data!$AE$2:$AE$3520,1),SUMIFS(Sales_Data!$N$2:$N$3520,Sales_Data!$C$2:$C$3520,$A34,Sales_Data!$F$2:$F$3520,F$7,Sales_Data!$AE$2:$AE$3520,1),SUMIFS(Sales_Data!$AE$2:$AE$3520,Sales_Data!$C$2:$C$3520,$A34,Sales_Data!$F$2:$F$3520,F$7)))</f>
        <v>0</v>
      </c>
      <c r="G34" s="26" t="n">
        <f aca="false">IF(G$7="","",CHOOSE(MATCH($B$4,Lists!$C$2:$C$5,0),SUMIFS(Sales_Data!$O$2:$O$3520,Sales_Data!$C$2:$C$3520,$A34,Sales_Data!$F$2:$F$3520,G$7,Sales_Data!$AE$2:$AE$3520,1),SUMIFS(Sales_Data!$M$2:$M$3520,Sales_Data!$C$2:$C$3520,$A34,Sales_Data!$F$2:$F$3520,G$7,Sales_Data!$AE$2:$AE$3520,1),SUMIFS(Sales_Data!$N$2:$N$3520,Sales_Data!$C$2:$C$3520,$A34,Sales_Data!$F$2:$F$3520,G$7,Sales_Data!$AE$2:$AE$3520,1),SUMIFS(Sales_Data!$AE$2:$AE$3520,Sales_Data!$C$2:$C$3520,$A34,Sales_Data!$F$2:$F$3520,G$7)))</f>
        <v>0</v>
      </c>
      <c r="H34" s="26" t="n">
        <f aca="false">IF(H$7="","",CHOOSE(MATCH($B$4,Lists!$C$2:$C$5,0),SUMIFS(Sales_Data!$O$2:$O$3520,Sales_Data!$C$2:$C$3520,$A34,Sales_Data!$F$2:$F$3520,H$7,Sales_Data!$AE$2:$AE$3520,1),SUMIFS(Sales_Data!$M$2:$M$3520,Sales_Data!$C$2:$C$3520,$A34,Sales_Data!$F$2:$F$3520,H$7,Sales_Data!$AE$2:$AE$3520,1),SUMIFS(Sales_Data!$N$2:$N$3520,Sales_Data!$C$2:$C$3520,$A34,Sales_Data!$F$2:$F$3520,H$7,Sales_Data!$AE$2:$AE$3520,1),SUMIFS(Sales_Data!$AE$2:$AE$3520,Sales_Data!$C$2:$C$3520,$A34,Sales_Data!$F$2:$F$3520,H$7)))</f>
        <v>0</v>
      </c>
      <c r="I34" s="26" t="n">
        <f aca="false">IF(I$7="","",CHOOSE(MATCH($B$4,Lists!$C$2:$C$5,0),SUMIFS(Sales_Data!$O$2:$O$3520,Sales_Data!$C$2:$C$3520,$A34,Sales_Data!$F$2:$F$3520,I$7,Sales_Data!$AE$2:$AE$3520,1),SUMIFS(Sales_Data!$M$2:$M$3520,Sales_Data!$C$2:$C$3520,$A34,Sales_Data!$F$2:$F$3520,I$7,Sales_Data!$AE$2:$AE$3520,1),SUMIFS(Sales_Data!$N$2:$N$3520,Sales_Data!$C$2:$C$3520,$A34,Sales_Data!$F$2:$F$3520,I$7,Sales_Data!$AE$2:$AE$3520,1),SUMIFS(Sales_Data!$AE$2:$AE$3520,Sales_Data!$C$2:$C$3520,$A34,Sales_Data!$F$2:$F$3520,I$7)))</f>
        <v>0</v>
      </c>
      <c r="J34" s="26" t="n">
        <f aca="false">IF(J$7="","",CHOOSE(MATCH($B$4,Lists!$C$2:$C$5,0),SUMIFS(Sales_Data!$O$2:$O$3520,Sales_Data!$C$2:$C$3520,$A34,Sales_Data!$F$2:$F$3520,J$7,Sales_Data!$AE$2:$AE$3520,1),SUMIFS(Sales_Data!$M$2:$M$3520,Sales_Data!$C$2:$C$3520,$A34,Sales_Data!$F$2:$F$3520,J$7,Sales_Data!$AE$2:$AE$3520,1),SUMIFS(Sales_Data!$N$2:$N$3520,Sales_Data!$C$2:$C$3520,$A34,Sales_Data!$F$2:$F$3520,J$7,Sales_Data!$AE$2:$AE$3520,1),SUMIFS(Sales_Data!$AE$2:$AE$3520,Sales_Data!$C$2:$C$3520,$A34,Sales_Data!$F$2:$F$3520,J$7)))</f>
        <v>0</v>
      </c>
      <c r="K34" s="26" t="n">
        <f aca="false">IF(K$7="","",CHOOSE(MATCH($B$4,Lists!$C$2:$C$5,0),SUMIFS(Sales_Data!$O$2:$O$3520,Sales_Data!$C$2:$C$3520,$A34,Sales_Data!$F$2:$F$3520,K$7,Sales_Data!$AE$2:$AE$3520,1),SUMIFS(Sales_Data!$M$2:$M$3520,Sales_Data!$C$2:$C$3520,$A34,Sales_Data!$F$2:$F$3520,K$7,Sales_Data!$AE$2:$AE$3520,1),SUMIFS(Sales_Data!$N$2:$N$3520,Sales_Data!$C$2:$C$3520,$A34,Sales_Data!$F$2:$F$3520,K$7,Sales_Data!$AE$2:$AE$3520,1),SUMIFS(Sales_Data!$AE$2:$AE$3520,Sales_Data!$C$2:$C$3520,$A34,Sales_Data!$F$2:$F$3520,K$7)))</f>
        <v>0</v>
      </c>
      <c r="L34" s="26" t="n">
        <f aca="false">IF(L$7="","",CHOOSE(MATCH($B$4,Lists!$C$2:$C$5,0),SUMIFS(Sales_Data!$O$2:$O$3520,Sales_Data!$C$2:$C$3520,$A34,Sales_Data!$F$2:$F$3520,L$7,Sales_Data!$AE$2:$AE$3520,1),SUMIFS(Sales_Data!$M$2:$M$3520,Sales_Data!$C$2:$C$3520,$A34,Sales_Data!$F$2:$F$3520,L$7,Sales_Data!$AE$2:$AE$3520,1),SUMIFS(Sales_Data!$N$2:$N$3520,Sales_Data!$C$2:$C$3520,$A34,Sales_Data!$F$2:$F$3520,L$7,Sales_Data!$AE$2:$AE$3520,1),SUMIFS(Sales_Data!$AE$2:$AE$3520,Sales_Data!$C$2:$C$3520,$A34,Sales_Data!$F$2:$F$3520,L$7)))</f>
        <v>0</v>
      </c>
      <c r="M34" s="26" t="n">
        <f aca="false">IF(M$7="","",CHOOSE(MATCH($B$4,Lists!$C$2:$C$5,0),SUMIFS(Sales_Data!$O$2:$O$3520,Sales_Data!$C$2:$C$3520,$A34,Sales_Data!$F$2:$F$3520,M$7,Sales_Data!$AE$2:$AE$3520,1),SUMIFS(Sales_Data!$M$2:$M$3520,Sales_Data!$C$2:$C$3520,$A34,Sales_Data!$F$2:$F$3520,M$7,Sales_Data!$AE$2:$AE$3520,1),SUMIFS(Sales_Data!$N$2:$N$3520,Sales_Data!$C$2:$C$3520,$A34,Sales_Data!$F$2:$F$3520,M$7,Sales_Data!$AE$2:$AE$3520,1),SUMIFS(Sales_Data!$AE$2:$AE$3520,Sales_Data!$C$2:$C$3520,$A34,Sales_Data!$F$2:$F$3520,M$7)))</f>
        <v>0</v>
      </c>
      <c r="N34" s="26" t="n">
        <f aca="false">IF(N$7="","",CHOOSE(MATCH($B$4,Lists!$C$2:$C$5,0),SUMIFS(Sales_Data!$O$2:$O$3520,Sales_Data!$C$2:$C$3520,$A34,Sales_Data!$F$2:$F$3520,N$7,Sales_Data!$AE$2:$AE$3520,1),SUMIFS(Sales_Data!$M$2:$M$3520,Sales_Data!$C$2:$C$3520,$A34,Sales_Data!$F$2:$F$3520,N$7,Sales_Data!$AE$2:$AE$3520,1),SUMIFS(Sales_Data!$N$2:$N$3520,Sales_Data!$C$2:$C$3520,$A34,Sales_Data!$F$2:$F$3520,N$7,Sales_Data!$AE$2:$AE$3520,1),SUMIFS(Sales_Data!$AE$2:$AE$3520,Sales_Data!$C$2:$C$3520,$A34,Sales_Data!$F$2:$F$3520,N$7)))</f>
        <v>0</v>
      </c>
      <c r="O34" s="26" t="n">
        <f aca="false">IF(O$7="","",CHOOSE(MATCH($B$4,Lists!$C$2:$C$5,0),SUMIFS(Sales_Data!$O$2:$O$3520,Sales_Data!$C$2:$C$3520,$A34,Sales_Data!$F$2:$F$3520,O$7,Sales_Data!$AE$2:$AE$3520,1),SUMIFS(Sales_Data!$M$2:$M$3520,Sales_Data!$C$2:$C$3520,$A34,Sales_Data!$F$2:$F$3520,O$7,Sales_Data!$AE$2:$AE$3520,1),SUMIFS(Sales_Data!$N$2:$N$3520,Sales_Data!$C$2:$C$3520,$A34,Sales_Data!$F$2:$F$3520,O$7,Sales_Data!$AE$2:$AE$3520,1),SUMIFS(Sales_Data!$AE$2:$AE$3520,Sales_Data!$C$2:$C$3520,$A34,Sales_Data!$F$2:$F$3520,O$7)))</f>
        <v>0</v>
      </c>
      <c r="P34" s="26" t="n">
        <f aca="false">IF(P$7="","",CHOOSE(MATCH($B$4,Lists!$C$2:$C$5,0),SUMIFS(Sales_Data!$O$2:$O$3520,Sales_Data!$C$2:$C$3520,$A34,Sales_Data!$F$2:$F$3520,P$7,Sales_Data!$AE$2:$AE$3520,1),SUMIFS(Sales_Data!$M$2:$M$3520,Sales_Data!$C$2:$C$3520,$A34,Sales_Data!$F$2:$F$3520,P$7,Sales_Data!$AE$2:$AE$3520,1),SUMIFS(Sales_Data!$N$2:$N$3520,Sales_Data!$C$2:$C$3520,$A34,Sales_Data!$F$2:$F$3520,P$7,Sales_Data!$AE$2:$AE$3520,1),SUMIFS(Sales_Data!$AE$2:$AE$3520,Sales_Data!$C$2:$C$3520,$A34,Sales_Data!$F$2:$F$3520,P$7)))</f>
        <v>0</v>
      </c>
      <c r="Q34" s="26" t="n">
        <f aca="false">IF(Q$7="","",CHOOSE(MATCH($B$4,Lists!$C$2:$C$5,0),SUMIFS(Sales_Data!$O$2:$O$3520,Sales_Data!$C$2:$C$3520,$A34,Sales_Data!$F$2:$F$3520,Q$7,Sales_Data!$AE$2:$AE$3520,1),SUMIFS(Sales_Data!$M$2:$M$3520,Sales_Data!$C$2:$C$3520,$A34,Sales_Data!$F$2:$F$3520,Q$7,Sales_Data!$AE$2:$AE$3520,1),SUMIFS(Sales_Data!$N$2:$N$3520,Sales_Data!$C$2:$C$3520,$A34,Sales_Data!$F$2:$F$3520,Q$7,Sales_Data!$AE$2:$AE$3520,1),SUMIFS(Sales_Data!$AE$2:$AE$3520,Sales_Data!$C$2:$C$3520,$A34,Sales_Data!$F$2:$F$3520,Q$7)))</f>
        <v>0</v>
      </c>
      <c r="R34" s="26" t="n">
        <f aca="false">IF(R$7="","",CHOOSE(MATCH($B$4,Lists!$C$2:$C$5,0),SUMIFS(Sales_Data!$O$2:$O$3520,Sales_Data!$C$2:$C$3520,$A34,Sales_Data!$F$2:$F$3520,R$7,Sales_Data!$AE$2:$AE$3520,1),SUMIFS(Sales_Data!$M$2:$M$3520,Sales_Data!$C$2:$C$3520,$A34,Sales_Data!$F$2:$F$3520,R$7,Sales_Data!$AE$2:$AE$3520,1),SUMIFS(Sales_Data!$N$2:$N$3520,Sales_Data!$C$2:$C$3520,$A34,Sales_Data!$F$2:$F$3520,R$7,Sales_Data!$AE$2:$AE$3520,1),SUMIFS(Sales_Data!$AE$2:$AE$3520,Sales_Data!$C$2:$C$3520,$A34,Sales_Data!$F$2:$F$3520,R$7)))</f>
        <v>0</v>
      </c>
      <c r="S34" s="26" t="n">
        <f aca="false">IF(S$7="","",CHOOSE(MATCH($B$4,Lists!$C$2:$C$5,0),SUMIFS(Sales_Data!$O$2:$O$3520,Sales_Data!$C$2:$C$3520,$A34,Sales_Data!$F$2:$F$3520,S$7,Sales_Data!$AE$2:$AE$3520,1),SUMIFS(Sales_Data!$M$2:$M$3520,Sales_Data!$C$2:$C$3520,$A34,Sales_Data!$F$2:$F$3520,S$7,Sales_Data!$AE$2:$AE$3520,1),SUMIFS(Sales_Data!$N$2:$N$3520,Sales_Data!$C$2:$C$3520,$A34,Sales_Data!$F$2:$F$3520,S$7,Sales_Data!$AE$2:$AE$3520,1),SUMIFS(Sales_Data!$AE$2:$AE$3520,Sales_Data!$C$2:$C$3520,$A34,Sales_Data!$F$2:$F$3520,S$7)))</f>
        <v>0</v>
      </c>
      <c r="T34" s="26" t="str">
        <f aca="false">IF(T$7="","",CHOOSE(MATCH($B$4,Lists!$C$2:$C$5,0),SUMIFS(Sales_Data!$O$2:$O$3520,Sales_Data!$C$2:$C$3520,$A34,Sales_Data!$F$2:$F$3520,T$7,Sales_Data!$AE$2:$AE$3520,1),SUMIFS(Sales_Data!$M$2:$M$3520,Sales_Data!$C$2:$C$3520,$A34,Sales_Data!$F$2:$F$3520,T$7,Sales_Data!$AE$2:$AE$3520,1),SUMIFS(Sales_Data!$N$2:$N$3520,Sales_Data!$C$2:$C$3520,$A34,Sales_Data!$F$2:$F$3520,T$7,Sales_Data!$AE$2:$AE$3520,1),SUMIFS(Sales_Data!$AE$2:$AE$3520,Sales_Data!$C$2:$C$3520,$A34,Sales_Data!$F$2:$F$3520,T$7)))</f>
        <v/>
      </c>
      <c r="U34" s="26" t="str">
        <f aca="false">IF(U$7="","",CHOOSE(MATCH($B$4,Lists!$C$2:$C$5,0),SUMIFS(Sales_Data!$O$2:$O$3520,Sales_Data!$C$2:$C$3520,$A34,Sales_Data!$F$2:$F$3520,U$7,Sales_Data!$AE$2:$AE$3520,1),SUMIFS(Sales_Data!$M$2:$M$3520,Sales_Data!$C$2:$C$3520,$A34,Sales_Data!$F$2:$F$3520,U$7,Sales_Data!$AE$2:$AE$3520,1),SUMIFS(Sales_Data!$N$2:$N$3520,Sales_Data!$C$2:$C$3520,$A34,Sales_Data!$F$2:$F$3520,U$7,Sales_Data!$AE$2:$AE$3520,1),SUMIFS(Sales_Data!$AE$2:$AE$3520,Sales_Data!$C$2:$C$3520,$A34,Sales_Data!$F$2:$F$3520,U$7)))</f>
        <v/>
      </c>
      <c r="V34" s="26" t="str">
        <f aca="false">IF(V$7="","",CHOOSE(MATCH($B$4,Lists!$C$2:$C$5,0),SUMIFS(Sales_Data!$O$2:$O$3520,Sales_Data!$C$2:$C$3520,$A34,Sales_Data!$F$2:$F$3520,V$7,Sales_Data!$AE$2:$AE$3520,1),SUMIFS(Sales_Data!$M$2:$M$3520,Sales_Data!$C$2:$C$3520,$A34,Sales_Data!$F$2:$F$3520,V$7,Sales_Data!$AE$2:$AE$3520,1),SUMIFS(Sales_Data!$N$2:$N$3520,Sales_Data!$C$2:$C$3520,$A34,Sales_Data!$F$2:$F$3520,V$7,Sales_Data!$AE$2:$AE$3520,1),SUMIFS(Sales_Data!$AE$2:$AE$3520,Sales_Data!$C$2:$C$3520,$A34,Sales_Data!$F$2:$F$3520,V$7)))</f>
        <v/>
      </c>
      <c r="W34" s="26" t="str">
        <f aca="false">IF(W$7="","",CHOOSE(MATCH($B$4,Lists!$C$2:$C$5,0),SUMIFS(Sales_Data!$O$2:$O$3520,Sales_Data!$C$2:$C$3520,$A34,Sales_Data!$F$2:$F$3520,W$7,Sales_Data!$AE$2:$AE$3520,1),SUMIFS(Sales_Data!$M$2:$M$3520,Sales_Data!$C$2:$C$3520,$A34,Sales_Data!$F$2:$F$3520,W$7,Sales_Data!$AE$2:$AE$3520,1),SUMIFS(Sales_Data!$N$2:$N$3520,Sales_Data!$C$2:$C$3520,$A34,Sales_Data!$F$2:$F$3520,W$7,Sales_Data!$AE$2:$AE$3520,1),SUMIFS(Sales_Data!$AE$2:$AE$3520,Sales_Data!$C$2:$C$3520,$A34,Sales_Data!$F$2:$F$3520,W$7)))</f>
        <v/>
      </c>
      <c r="X34" s="26" t="str">
        <f aca="false">IF(X$7="","",CHOOSE(MATCH($B$4,Lists!$C$2:$C$5,0),SUMIFS(Sales_Data!$O$2:$O$3520,Sales_Data!$C$2:$C$3520,$A34,Sales_Data!$F$2:$F$3520,X$7,Sales_Data!$AE$2:$AE$3520,1),SUMIFS(Sales_Data!$M$2:$M$3520,Sales_Data!$C$2:$C$3520,$A34,Sales_Data!$F$2:$F$3520,X$7,Sales_Data!$AE$2:$AE$3520,1),SUMIFS(Sales_Data!$N$2:$N$3520,Sales_Data!$C$2:$C$3520,$A34,Sales_Data!$F$2:$F$3520,X$7,Sales_Data!$AE$2:$AE$3520,1),SUMIFS(Sales_Data!$AE$2:$AE$3520,Sales_Data!$C$2:$C$3520,$A34,Sales_Data!$F$2:$F$3520,X$7)))</f>
        <v/>
      </c>
      <c r="Y34" s="26" t="str">
        <f aca="false">IF(Y$7="","",CHOOSE(MATCH($B$4,Lists!$C$2:$C$5,0),SUMIFS(Sales_Data!$O$2:$O$3520,Sales_Data!$C$2:$C$3520,$A34,Sales_Data!$F$2:$F$3520,Y$7,Sales_Data!$AE$2:$AE$3520,1),SUMIFS(Sales_Data!$M$2:$M$3520,Sales_Data!$C$2:$C$3520,$A34,Sales_Data!$F$2:$F$3520,Y$7,Sales_Data!$AE$2:$AE$3520,1),SUMIFS(Sales_Data!$N$2:$N$3520,Sales_Data!$C$2:$C$3520,$A34,Sales_Data!$F$2:$F$3520,Y$7,Sales_Data!$AE$2:$AE$3520,1),SUMIFS(Sales_Data!$AE$2:$AE$3520,Sales_Data!$C$2:$C$3520,$A34,Sales_Data!$F$2:$F$3520,Y$7)))</f>
        <v/>
      </c>
      <c r="Z34" s="26" t="str">
        <f aca="false">IF(Z$7="","",CHOOSE(MATCH($B$4,Lists!$C$2:$C$5,0),SUMIFS(Sales_Data!$O$2:$O$3520,Sales_Data!$C$2:$C$3520,$A34,Sales_Data!$F$2:$F$3520,Z$7,Sales_Data!$AE$2:$AE$3520,1),SUMIFS(Sales_Data!$M$2:$M$3520,Sales_Data!$C$2:$C$3520,$A34,Sales_Data!$F$2:$F$3520,Z$7,Sales_Data!$AE$2:$AE$3520,1),SUMIFS(Sales_Data!$N$2:$N$3520,Sales_Data!$C$2:$C$3520,$A34,Sales_Data!$F$2:$F$3520,Z$7,Sales_Data!$AE$2:$AE$3520,1),SUMIFS(Sales_Data!$AE$2:$AE$3520,Sales_Data!$C$2:$C$3520,$A34,Sales_Data!$F$2:$F$3520,Z$7)))</f>
        <v/>
      </c>
      <c r="AA34" s="27" t="n">
        <f aca="false">SUM(B34:Z34)</f>
        <v>0</v>
      </c>
      <c r="AB34" s="3"/>
      <c r="AC34" s="72" t="n">
        <f aca="false">A34</f>
        <v>46241</v>
      </c>
      <c r="AD34" s="28" t="n">
        <f aca="false">IF(B34="","",B34-B33)</f>
        <v>0</v>
      </c>
      <c r="AE34" s="28" t="n">
        <f aca="false">IF(C34="","",C34-C33)</f>
        <v>0</v>
      </c>
      <c r="AF34" s="28" t="n">
        <f aca="false">IF(D34="","",D34-D33)</f>
        <v>0</v>
      </c>
      <c r="AG34" s="28" t="n">
        <f aca="false">IF(E34="","",E34-E33)</f>
        <v>0</v>
      </c>
      <c r="AH34" s="28" t="n">
        <f aca="false">IF(F34="","",F34-F33)</f>
        <v>0</v>
      </c>
      <c r="AI34" s="28" t="n">
        <f aca="false">IF(G34="","",G34-G33)</f>
        <v>0</v>
      </c>
      <c r="AJ34" s="28" t="n">
        <f aca="false">IF(H34="","",H34-H33)</f>
        <v>0</v>
      </c>
      <c r="AK34" s="28" t="n">
        <f aca="false">IF(I34="","",I34-I33)</f>
        <v>0</v>
      </c>
      <c r="AL34" s="28" t="n">
        <f aca="false">IF(J34="","",J34-J33)</f>
        <v>0</v>
      </c>
      <c r="AM34" s="28" t="n">
        <f aca="false">IF(K34="","",K34-K33)</f>
        <v>0</v>
      </c>
      <c r="AN34" s="28" t="n">
        <f aca="false">IF(L34="","",L34-L33)</f>
        <v>0</v>
      </c>
      <c r="AO34" s="28" t="n">
        <f aca="false">IF(M34="","",M34-M33)</f>
        <v>0</v>
      </c>
      <c r="AP34" s="28" t="n">
        <f aca="false">IF(N34="","",N34-N33)</f>
        <v>0</v>
      </c>
      <c r="AQ34" s="28" t="n">
        <f aca="false">IF(O34="","",O34-O33)</f>
        <v>0</v>
      </c>
      <c r="AR34" s="28" t="n">
        <f aca="false">IF(P34="","",P34-P33)</f>
        <v>0</v>
      </c>
      <c r="AS34" s="28" t="n">
        <f aca="false">IF(Q34="","",Q34-Q33)</f>
        <v>0</v>
      </c>
      <c r="AT34" s="28" t="n">
        <f aca="false">IF(R34="","",R34-R33)</f>
        <v>0</v>
      </c>
      <c r="AU34" s="28" t="n">
        <f aca="false">IF(S34="","",S34-S33)</f>
        <v>0</v>
      </c>
      <c r="AV34" s="28" t="str">
        <f aca="false">IF(T34="","",T34-T33)</f>
        <v/>
      </c>
      <c r="AW34" s="28" t="str">
        <f aca="false">IF(U34="","",U34-U33)</f>
        <v/>
      </c>
      <c r="AX34" s="28" t="str">
        <f aca="false">IF(V34="","",V34-V33)</f>
        <v/>
      </c>
      <c r="AY34" s="28" t="str">
        <f aca="false">IF(W34="","",W34-W33)</f>
        <v/>
      </c>
      <c r="AZ34" s="28" t="str">
        <f aca="false">IF(X34="","",X34-X33)</f>
        <v/>
      </c>
      <c r="BA34" s="28" t="str">
        <f aca="false">IF(Y34="","",Y34-Y33)</f>
        <v/>
      </c>
      <c r="BB34" s="28" t="str">
        <f aca="false">IF(Z34="","",Z34-Z33)</f>
        <v/>
      </c>
      <c r="BC34" s="28" t="n">
        <f aca="false">IF(AA34="","",AA34-AA33)</f>
        <v>0</v>
      </c>
    </row>
    <row r="35" customFormat="false" ht="15" hidden="false" customHeight="false" outlineLevel="0" collapsed="false">
      <c r="A35" s="72" t="n">
        <v>46242</v>
      </c>
      <c r="B35" s="26" t="n">
        <f aca="false">IF(B$7="","",CHOOSE(MATCH($B$4,Lists!$C$2:$C$5,0),SUMIFS(Sales_Data!$O$2:$O$3520,Sales_Data!$C$2:$C$3520,$A35,Sales_Data!$F$2:$F$3520,B$7,Sales_Data!$AE$2:$AE$3520,1),SUMIFS(Sales_Data!$M$2:$M$3520,Sales_Data!$C$2:$C$3520,$A35,Sales_Data!$F$2:$F$3520,B$7,Sales_Data!$AE$2:$AE$3520,1),SUMIFS(Sales_Data!$N$2:$N$3520,Sales_Data!$C$2:$C$3520,$A35,Sales_Data!$F$2:$F$3520,B$7,Sales_Data!$AE$2:$AE$3520,1),SUMIFS(Sales_Data!$AE$2:$AE$3520,Sales_Data!$C$2:$C$3520,$A35,Sales_Data!$F$2:$F$3520,B$7)))</f>
        <v>0</v>
      </c>
      <c r="C35" s="26" t="n">
        <f aca="false">IF(C$7="","",CHOOSE(MATCH($B$4,Lists!$C$2:$C$5,0),SUMIFS(Sales_Data!$O$2:$O$3520,Sales_Data!$C$2:$C$3520,$A35,Sales_Data!$F$2:$F$3520,C$7,Sales_Data!$AE$2:$AE$3520,1),SUMIFS(Sales_Data!$M$2:$M$3520,Sales_Data!$C$2:$C$3520,$A35,Sales_Data!$F$2:$F$3520,C$7,Sales_Data!$AE$2:$AE$3520,1),SUMIFS(Sales_Data!$N$2:$N$3520,Sales_Data!$C$2:$C$3520,$A35,Sales_Data!$F$2:$F$3520,C$7,Sales_Data!$AE$2:$AE$3520,1),SUMIFS(Sales_Data!$AE$2:$AE$3520,Sales_Data!$C$2:$C$3520,$A35,Sales_Data!$F$2:$F$3520,C$7)))</f>
        <v>0</v>
      </c>
      <c r="D35" s="26" t="n">
        <f aca="false">IF(D$7="","",CHOOSE(MATCH($B$4,Lists!$C$2:$C$5,0),SUMIFS(Sales_Data!$O$2:$O$3520,Sales_Data!$C$2:$C$3520,$A35,Sales_Data!$F$2:$F$3520,D$7,Sales_Data!$AE$2:$AE$3520,1),SUMIFS(Sales_Data!$M$2:$M$3520,Sales_Data!$C$2:$C$3520,$A35,Sales_Data!$F$2:$F$3520,D$7,Sales_Data!$AE$2:$AE$3520,1),SUMIFS(Sales_Data!$N$2:$N$3520,Sales_Data!$C$2:$C$3520,$A35,Sales_Data!$F$2:$F$3520,D$7,Sales_Data!$AE$2:$AE$3520,1),SUMIFS(Sales_Data!$AE$2:$AE$3520,Sales_Data!$C$2:$C$3520,$A35,Sales_Data!$F$2:$F$3520,D$7)))</f>
        <v>0</v>
      </c>
      <c r="E35" s="26" t="n">
        <f aca="false">IF(E$7="","",CHOOSE(MATCH($B$4,Lists!$C$2:$C$5,0),SUMIFS(Sales_Data!$O$2:$O$3520,Sales_Data!$C$2:$C$3520,$A35,Sales_Data!$F$2:$F$3520,E$7,Sales_Data!$AE$2:$AE$3520,1),SUMIFS(Sales_Data!$M$2:$M$3520,Sales_Data!$C$2:$C$3520,$A35,Sales_Data!$F$2:$F$3520,E$7,Sales_Data!$AE$2:$AE$3520,1),SUMIFS(Sales_Data!$N$2:$N$3520,Sales_Data!$C$2:$C$3520,$A35,Sales_Data!$F$2:$F$3520,E$7,Sales_Data!$AE$2:$AE$3520,1),SUMIFS(Sales_Data!$AE$2:$AE$3520,Sales_Data!$C$2:$C$3520,$A35,Sales_Data!$F$2:$F$3520,E$7)))</f>
        <v>0</v>
      </c>
      <c r="F35" s="26" t="n">
        <f aca="false">IF(F$7="","",CHOOSE(MATCH($B$4,Lists!$C$2:$C$5,0),SUMIFS(Sales_Data!$O$2:$O$3520,Sales_Data!$C$2:$C$3520,$A35,Sales_Data!$F$2:$F$3520,F$7,Sales_Data!$AE$2:$AE$3520,1),SUMIFS(Sales_Data!$M$2:$M$3520,Sales_Data!$C$2:$C$3520,$A35,Sales_Data!$F$2:$F$3520,F$7,Sales_Data!$AE$2:$AE$3520,1),SUMIFS(Sales_Data!$N$2:$N$3520,Sales_Data!$C$2:$C$3520,$A35,Sales_Data!$F$2:$F$3520,F$7,Sales_Data!$AE$2:$AE$3520,1),SUMIFS(Sales_Data!$AE$2:$AE$3520,Sales_Data!$C$2:$C$3520,$A35,Sales_Data!$F$2:$F$3520,F$7)))</f>
        <v>0</v>
      </c>
      <c r="G35" s="26" t="n">
        <f aca="false">IF(G$7="","",CHOOSE(MATCH($B$4,Lists!$C$2:$C$5,0),SUMIFS(Sales_Data!$O$2:$O$3520,Sales_Data!$C$2:$C$3520,$A35,Sales_Data!$F$2:$F$3520,G$7,Sales_Data!$AE$2:$AE$3520,1),SUMIFS(Sales_Data!$M$2:$M$3520,Sales_Data!$C$2:$C$3520,$A35,Sales_Data!$F$2:$F$3520,G$7,Sales_Data!$AE$2:$AE$3520,1),SUMIFS(Sales_Data!$N$2:$N$3520,Sales_Data!$C$2:$C$3520,$A35,Sales_Data!$F$2:$F$3520,G$7,Sales_Data!$AE$2:$AE$3520,1),SUMIFS(Sales_Data!$AE$2:$AE$3520,Sales_Data!$C$2:$C$3520,$A35,Sales_Data!$F$2:$F$3520,G$7)))</f>
        <v>0</v>
      </c>
      <c r="H35" s="26" t="n">
        <f aca="false">IF(H$7="","",CHOOSE(MATCH($B$4,Lists!$C$2:$C$5,0),SUMIFS(Sales_Data!$O$2:$O$3520,Sales_Data!$C$2:$C$3520,$A35,Sales_Data!$F$2:$F$3520,H$7,Sales_Data!$AE$2:$AE$3520,1),SUMIFS(Sales_Data!$M$2:$M$3520,Sales_Data!$C$2:$C$3520,$A35,Sales_Data!$F$2:$F$3520,H$7,Sales_Data!$AE$2:$AE$3520,1),SUMIFS(Sales_Data!$N$2:$N$3520,Sales_Data!$C$2:$C$3520,$A35,Sales_Data!$F$2:$F$3520,H$7,Sales_Data!$AE$2:$AE$3520,1),SUMIFS(Sales_Data!$AE$2:$AE$3520,Sales_Data!$C$2:$C$3520,$A35,Sales_Data!$F$2:$F$3520,H$7)))</f>
        <v>0</v>
      </c>
      <c r="I35" s="26" t="n">
        <f aca="false">IF(I$7="","",CHOOSE(MATCH($B$4,Lists!$C$2:$C$5,0),SUMIFS(Sales_Data!$O$2:$O$3520,Sales_Data!$C$2:$C$3520,$A35,Sales_Data!$F$2:$F$3520,I$7,Sales_Data!$AE$2:$AE$3520,1),SUMIFS(Sales_Data!$M$2:$M$3520,Sales_Data!$C$2:$C$3520,$A35,Sales_Data!$F$2:$F$3520,I$7,Sales_Data!$AE$2:$AE$3520,1),SUMIFS(Sales_Data!$N$2:$N$3520,Sales_Data!$C$2:$C$3520,$A35,Sales_Data!$F$2:$F$3520,I$7,Sales_Data!$AE$2:$AE$3520,1),SUMIFS(Sales_Data!$AE$2:$AE$3520,Sales_Data!$C$2:$C$3520,$A35,Sales_Data!$F$2:$F$3520,I$7)))</f>
        <v>0</v>
      </c>
      <c r="J35" s="26" t="n">
        <f aca="false">IF(J$7="","",CHOOSE(MATCH($B$4,Lists!$C$2:$C$5,0),SUMIFS(Sales_Data!$O$2:$O$3520,Sales_Data!$C$2:$C$3520,$A35,Sales_Data!$F$2:$F$3520,J$7,Sales_Data!$AE$2:$AE$3520,1),SUMIFS(Sales_Data!$M$2:$M$3520,Sales_Data!$C$2:$C$3520,$A35,Sales_Data!$F$2:$F$3520,J$7,Sales_Data!$AE$2:$AE$3520,1),SUMIFS(Sales_Data!$N$2:$N$3520,Sales_Data!$C$2:$C$3520,$A35,Sales_Data!$F$2:$F$3520,J$7,Sales_Data!$AE$2:$AE$3520,1),SUMIFS(Sales_Data!$AE$2:$AE$3520,Sales_Data!$C$2:$C$3520,$A35,Sales_Data!$F$2:$F$3520,J$7)))</f>
        <v>0</v>
      </c>
      <c r="K35" s="26" t="n">
        <f aca="false">IF(K$7="","",CHOOSE(MATCH($B$4,Lists!$C$2:$C$5,0),SUMIFS(Sales_Data!$O$2:$O$3520,Sales_Data!$C$2:$C$3520,$A35,Sales_Data!$F$2:$F$3520,K$7,Sales_Data!$AE$2:$AE$3520,1),SUMIFS(Sales_Data!$M$2:$M$3520,Sales_Data!$C$2:$C$3520,$A35,Sales_Data!$F$2:$F$3520,K$7,Sales_Data!$AE$2:$AE$3520,1),SUMIFS(Sales_Data!$N$2:$N$3520,Sales_Data!$C$2:$C$3520,$A35,Sales_Data!$F$2:$F$3520,K$7,Sales_Data!$AE$2:$AE$3520,1),SUMIFS(Sales_Data!$AE$2:$AE$3520,Sales_Data!$C$2:$C$3520,$A35,Sales_Data!$F$2:$F$3520,K$7)))</f>
        <v>0</v>
      </c>
      <c r="L35" s="26" t="n">
        <f aca="false">IF(L$7="","",CHOOSE(MATCH($B$4,Lists!$C$2:$C$5,0),SUMIFS(Sales_Data!$O$2:$O$3520,Sales_Data!$C$2:$C$3520,$A35,Sales_Data!$F$2:$F$3520,L$7,Sales_Data!$AE$2:$AE$3520,1),SUMIFS(Sales_Data!$M$2:$M$3520,Sales_Data!$C$2:$C$3520,$A35,Sales_Data!$F$2:$F$3520,L$7,Sales_Data!$AE$2:$AE$3520,1),SUMIFS(Sales_Data!$N$2:$N$3520,Sales_Data!$C$2:$C$3520,$A35,Sales_Data!$F$2:$F$3520,L$7,Sales_Data!$AE$2:$AE$3520,1),SUMIFS(Sales_Data!$AE$2:$AE$3520,Sales_Data!$C$2:$C$3520,$A35,Sales_Data!$F$2:$F$3520,L$7)))</f>
        <v>0</v>
      </c>
      <c r="M35" s="26" t="n">
        <f aca="false">IF(M$7="","",CHOOSE(MATCH($B$4,Lists!$C$2:$C$5,0),SUMIFS(Sales_Data!$O$2:$O$3520,Sales_Data!$C$2:$C$3520,$A35,Sales_Data!$F$2:$F$3520,M$7,Sales_Data!$AE$2:$AE$3520,1),SUMIFS(Sales_Data!$M$2:$M$3520,Sales_Data!$C$2:$C$3520,$A35,Sales_Data!$F$2:$F$3520,M$7,Sales_Data!$AE$2:$AE$3520,1),SUMIFS(Sales_Data!$N$2:$N$3520,Sales_Data!$C$2:$C$3520,$A35,Sales_Data!$F$2:$F$3520,M$7,Sales_Data!$AE$2:$AE$3520,1),SUMIFS(Sales_Data!$AE$2:$AE$3520,Sales_Data!$C$2:$C$3520,$A35,Sales_Data!$F$2:$F$3520,M$7)))</f>
        <v>0</v>
      </c>
      <c r="N35" s="26" t="n">
        <f aca="false">IF(N$7="","",CHOOSE(MATCH($B$4,Lists!$C$2:$C$5,0),SUMIFS(Sales_Data!$O$2:$O$3520,Sales_Data!$C$2:$C$3520,$A35,Sales_Data!$F$2:$F$3520,N$7,Sales_Data!$AE$2:$AE$3520,1),SUMIFS(Sales_Data!$M$2:$M$3520,Sales_Data!$C$2:$C$3520,$A35,Sales_Data!$F$2:$F$3520,N$7,Sales_Data!$AE$2:$AE$3520,1),SUMIFS(Sales_Data!$N$2:$N$3520,Sales_Data!$C$2:$C$3520,$A35,Sales_Data!$F$2:$F$3520,N$7,Sales_Data!$AE$2:$AE$3520,1),SUMIFS(Sales_Data!$AE$2:$AE$3520,Sales_Data!$C$2:$C$3520,$A35,Sales_Data!$F$2:$F$3520,N$7)))</f>
        <v>0</v>
      </c>
      <c r="O35" s="26" t="n">
        <f aca="false">IF(O$7="","",CHOOSE(MATCH($B$4,Lists!$C$2:$C$5,0),SUMIFS(Sales_Data!$O$2:$O$3520,Sales_Data!$C$2:$C$3520,$A35,Sales_Data!$F$2:$F$3520,O$7,Sales_Data!$AE$2:$AE$3520,1),SUMIFS(Sales_Data!$M$2:$M$3520,Sales_Data!$C$2:$C$3520,$A35,Sales_Data!$F$2:$F$3520,O$7,Sales_Data!$AE$2:$AE$3520,1),SUMIFS(Sales_Data!$N$2:$N$3520,Sales_Data!$C$2:$C$3520,$A35,Sales_Data!$F$2:$F$3520,O$7,Sales_Data!$AE$2:$AE$3520,1),SUMIFS(Sales_Data!$AE$2:$AE$3520,Sales_Data!$C$2:$C$3520,$A35,Sales_Data!$F$2:$F$3520,O$7)))</f>
        <v>0</v>
      </c>
      <c r="P35" s="26" t="n">
        <f aca="false">IF(P$7="","",CHOOSE(MATCH($B$4,Lists!$C$2:$C$5,0),SUMIFS(Sales_Data!$O$2:$O$3520,Sales_Data!$C$2:$C$3520,$A35,Sales_Data!$F$2:$F$3520,P$7,Sales_Data!$AE$2:$AE$3520,1),SUMIFS(Sales_Data!$M$2:$M$3520,Sales_Data!$C$2:$C$3520,$A35,Sales_Data!$F$2:$F$3520,P$7,Sales_Data!$AE$2:$AE$3520,1),SUMIFS(Sales_Data!$N$2:$N$3520,Sales_Data!$C$2:$C$3520,$A35,Sales_Data!$F$2:$F$3520,P$7,Sales_Data!$AE$2:$AE$3520,1),SUMIFS(Sales_Data!$AE$2:$AE$3520,Sales_Data!$C$2:$C$3520,$A35,Sales_Data!$F$2:$F$3520,P$7)))</f>
        <v>0</v>
      </c>
      <c r="Q35" s="26" t="n">
        <f aca="false">IF(Q$7="","",CHOOSE(MATCH($B$4,Lists!$C$2:$C$5,0),SUMIFS(Sales_Data!$O$2:$O$3520,Sales_Data!$C$2:$C$3520,$A35,Sales_Data!$F$2:$F$3520,Q$7,Sales_Data!$AE$2:$AE$3520,1),SUMIFS(Sales_Data!$M$2:$M$3520,Sales_Data!$C$2:$C$3520,$A35,Sales_Data!$F$2:$F$3520,Q$7,Sales_Data!$AE$2:$AE$3520,1),SUMIFS(Sales_Data!$N$2:$N$3520,Sales_Data!$C$2:$C$3520,$A35,Sales_Data!$F$2:$F$3520,Q$7,Sales_Data!$AE$2:$AE$3520,1),SUMIFS(Sales_Data!$AE$2:$AE$3520,Sales_Data!$C$2:$C$3520,$A35,Sales_Data!$F$2:$F$3520,Q$7)))</f>
        <v>0</v>
      </c>
      <c r="R35" s="26" t="n">
        <f aca="false">IF(R$7="","",CHOOSE(MATCH($B$4,Lists!$C$2:$C$5,0),SUMIFS(Sales_Data!$O$2:$O$3520,Sales_Data!$C$2:$C$3520,$A35,Sales_Data!$F$2:$F$3520,R$7,Sales_Data!$AE$2:$AE$3520,1),SUMIFS(Sales_Data!$M$2:$M$3520,Sales_Data!$C$2:$C$3520,$A35,Sales_Data!$F$2:$F$3520,R$7,Sales_Data!$AE$2:$AE$3520,1),SUMIFS(Sales_Data!$N$2:$N$3520,Sales_Data!$C$2:$C$3520,$A35,Sales_Data!$F$2:$F$3520,R$7,Sales_Data!$AE$2:$AE$3520,1),SUMIFS(Sales_Data!$AE$2:$AE$3520,Sales_Data!$C$2:$C$3520,$A35,Sales_Data!$F$2:$F$3520,R$7)))</f>
        <v>0</v>
      </c>
      <c r="S35" s="26" t="n">
        <f aca="false">IF(S$7="","",CHOOSE(MATCH($B$4,Lists!$C$2:$C$5,0),SUMIFS(Sales_Data!$O$2:$O$3520,Sales_Data!$C$2:$C$3520,$A35,Sales_Data!$F$2:$F$3520,S$7,Sales_Data!$AE$2:$AE$3520,1),SUMIFS(Sales_Data!$M$2:$M$3520,Sales_Data!$C$2:$C$3520,$A35,Sales_Data!$F$2:$F$3520,S$7,Sales_Data!$AE$2:$AE$3520,1),SUMIFS(Sales_Data!$N$2:$N$3520,Sales_Data!$C$2:$C$3520,$A35,Sales_Data!$F$2:$F$3520,S$7,Sales_Data!$AE$2:$AE$3520,1),SUMIFS(Sales_Data!$AE$2:$AE$3520,Sales_Data!$C$2:$C$3520,$A35,Sales_Data!$F$2:$F$3520,S$7)))</f>
        <v>0</v>
      </c>
      <c r="T35" s="26" t="str">
        <f aca="false">IF(T$7="","",CHOOSE(MATCH($B$4,Lists!$C$2:$C$5,0),SUMIFS(Sales_Data!$O$2:$O$3520,Sales_Data!$C$2:$C$3520,$A35,Sales_Data!$F$2:$F$3520,T$7,Sales_Data!$AE$2:$AE$3520,1),SUMIFS(Sales_Data!$M$2:$M$3520,Sales_Data!$C$2:$C$3520,$A35,Sales_Data!$F$2:$F$3520,T$7,Sales_Data!$AE$2:$AE$3520,1),SUMIFS(Sales_Data!$N$2:$N$3520,Sales_Data!$C$2:$C$3520,$A35,Sales_Data!$F$2:$F$3520,T$7,Sales_Data!$AE$2:$AE$3520,1),SUMIFS(Sales_Data!$AE$2:$AE$3520,Sales_Data!$C$2:$C$3520,$A35,Sales_Data!$F$2:$F$3520,T$7)))</f>
        <v/>
      </c>
      <c r="U35" s="26" t="str">
        <f aca="false">IF(U$7="","",CHOOSE(MATCH($B$4,Lists!$C$2:$C$5,0),SUMIFS(Sales_Data!$O$2:$O$3520,Sales_Data!$C$2:$C$3520,$A35,Sales_Data!$F$2:$F$3520,U$7,Sales_Data!$AE$2:$AE$3520,1),SUMIFS(Sales_Data!$M$2:$M$3520,Sales_Data!$C$2:$C$3520,$A35,Sales_Data!$F$2:$F$3520,U$7,Sales_Data!$AE$2:$AE$3520,1),SUMIFS(Sales_Data!$N$2:$N$3520,Sales_Data!$C$2:$C$3520,$A35,Sales_Data!$F$2:$F$3520,U$7,Sales_Data!$AE$2:$AE$3520,1),SUMIFS(Sales_Data!$AE$2:$AE$3520,Sales_Data!$C$2:$C$3520,$A35,Sales_Data!$F$2:$F$3520,U$7)))</f>
        <v/>
      </c>
      <c r="V35" s="26" t="str">
        <f aca="false">IF(V$7="","",CHOOSE(MATCH($B$4,Lists!$C$2:$C$5,0),SUMIFS(Sales_Data!$O$2:$O$3520,Sales_Data!$C$2:$C$3520,$A35,Sales_Data!$F$2:$F$3520,V$7,Sales_Data!$AE$2:$AE$3520,1),SUMIFS(Sales_Data!$M$2:$M$3520,Sales_Data!$C$2:$C$3520,$A35,Sales_Data!$F$2:$F$3520,V$7,Sales_Data!$AE$2:$AE$3520,1),SUMIFS(Sales_Data!$N$2:$N$3520,Sales_Data!$C$2:$C$3520,$A35,Sales_Data!$F$2:$F$3520,V$7,Sales_Data!$AE$2:$AE$3520,1),SUMIFS(Sales_Data!$AE$2:$AE$3520,Sales_Data!$C$2:$C$3520,$A35,Sales_Data!$F$2:$F$3520,V$7)))</f>
        <v/>
      </c>
      <c r="W35" s="26" t="str">
        <f aca="false">IF(W$7="","",CHOOSE(MATCH($B$4,Lists!$C$2:$C$5,0),SUMIFS(Sales_Data!$O$2:$O$3520,Sales_Data!$C$2:$C$3520,$A35,Sales_Data!$F$2:$F$3520,W$7,Sales_Data!$AE$2:$AE$3520,1),SUMIFS(Sales_Data!$M$2:$M$3520,Sales_Data!$C$2:$C$3520,$A35,Sales_Data!$F$2:$F$3520,W$7,Sales_Data!$AE$2:$AE$3520,1),SUMIFS(Sales_Data!$N$2:$N$3520,Sales_Data!$C$2:$C$3520,$A35,Sales_Data!$F$2:$F$3520,W$7,Sales_Data!$AE$2:$AE$3520,1),SUMIFS(Sales_Data!$AE$2:$AE$3520,Sales_Data!$C$2:$C$3520,$A35,Sales_Data!$F$2:$F$3520,W$7)))</f>
        <v/>
      </c>
      <c r="X35" s="26" t="str">
        <f aca="false">IF(X$7="","",CHOOSE(MATCH($B$4,Lists!$C$2:$C$5,0),SUMIFS(Sales_Data!$O$2:$O$3520,Sales_Data!$C$2:$C$3520,$A35,Sales_Data!$F$2:$F$3520,X$7,Sales_Data!$AE$2:$AE$3520,1),SUMIFS(Sales_Data!$M$2:$M$3520,Sales_Data!$C$2:$C$3520,$A35,Sales_Data!$F$2:$F$3520,X$7,Sales_Data!$AE$2:$AE$3520,1),SUMIFS(Sales_Data!$N$2:$N$3520,Sales_Data!$C$2:$C$3520,$A35,Sales_Data!$F$2:$F$3520,X$7,Sales_Data!$AE$2:$AE$3520,1),SUMIFS(Sales_Data!$AE$2:$AE$3520,Sales_Data!$C$2:$C$3520,$A35,Sales_Data!$F$2:$F$3520,X$7)))</f>
        <v/>
      </c>
      <c r="Y35" s="26" t="str">
        <f aca="false">IF(Y$7="","",CHOOSE(MATCH($B$4,Lists!$C$2:$C$5,0),SUMIFS(Sales_Data!$O$2:$O$3520,Sales_Data!$C$2:$C$3520,$A35,Sales_Data!$F$2:$F$3520,Y$7,Sales_Data!$AE$2:$AE$3520,1),SUMIFS(Sales_Data!$M$2:$M$3520,Sales_Data!$C$2:$C$3520,$A35,Sales_Data!$F$2:$F$3520,Y$7,Sales_Data!$AE$2:$AE$3520,1),SUMIFS(Sales_Data!$N$2:$N$3520,Sales_Data!$C$2:$C$3520,$A35,Sales_Data!$F$2:$F$3520,Y$7,Sales_Data!$AE$2:$AE$3520,1),SUMIFS(Sales_Data!$AE$2:$AE$3520,Sales_Data!$C$2:$C$3520,$A35,Sales_Data!$F$2:$F$3520,Y$7)))</f>
        <v/>
      </c>
      <c r="Z35" s="26" t="str">
        <f aca="false">IF(Z$7="","",CHOOSE(MATCH($B$4,Lists!$C$2:$C$5,0),SUMIFS(Sales_Data!$O$2:$O$3520,Sales_Data!$C$2:$C$3520,$A35,Sales_Data!$F$2:$F$3520,Z$7,Sales_Data!$AE$2:$AE$3520,1),SUMIFS(Sales_Data!$M$2:$M$3520,Sales_Data!$C$2:$C$3520,$A35,Sales_Data!$F$2:$F$3520,Z$7,Sales_Data!$AE$2:$AE$3520,1),SUMIFS(Sales_Data!$N$2:$N$3520,Sales_Data!$C$2:$C$3520,$A35,Sales_Data!$F$2:$F$3520,Z$7,Sales_Data!$AE$2:$AE$3520,1),SUMIFS(Sales_Data!$AE$2:$AE$3520,Sales_Data!$C$2:$C$3520,$A35,Sales_Data!$F$2:$F$3520,Z$7)))</f>
        <v/>
      </c>
      <c r="AA35" s="27" t="n">
        <f aca="false">SUM(B35:Z35)</f>
        <v>0</v>
      </c>
      <c r="AB35" s="3"/>
      <c r="AC35" s="72" t="n">
        <f aca="false">A35</f>
        <v>46242</v>
      </c>
      <c r="AD35" s="28" t="n">
        <f aca="false">IF(B35="","",B35-B34)</f>
        <v>0</v>
      </c>
      <c r="AE35" s="28" t="n">
        <f aca="false">IF(C35="","",C35-C34)</f>
        <v>0</v>
      </c>
      <c r="AF35" s="28" t="n">
        <f aca="false">IF(D35="","",D35-D34)</f>
        <v>0</v>
      </c>
      <c r="AG35" s="28" t="n">
        <f aca="false">IF(E35="","",E35-E34)</f>
        <v>0</v>
      </c>
      <c r="AH35" s="28" t="n">
        <f aca="false">IF(F35="","",F35-F34)</f>
        <v>0</v>
      </c>
      <c r="AI35" s="28" t="n">
        <f aca="false">IF(G35="","",G35-G34)</f>
        <v>0</v>
      </c>
      <c r="AJ35" s="28" t="n">
        <f aca="false">IF(H35="","",H35-H34)</f>
        <v>0</v>
      </c>
      <c r="AK35" s="28" t="n">
        <f aca="false">IF(I35="","",I35-I34)</f>
        <v>0</v>
      </c>
      <c r="AL35" s="28" t="n">
        <f aca="false">IF(J35="","",J35-J34)</f>
        <v>0</v>
      </c>
      <c r="AM35" s="28" t="n">
        <f aca="false">IF(K35="","",K35-K34)</f>
        <v>0</v>
      </c>
      <c r="AN35" s="28" t="n">
        <f aca="false">IF(L35="","",L35-L34)</f>
        <v>0</v>
      </c>
      <c r="AO35" s="28" t="n">
        <f aca="false">IF(M35="","",M35-M34)</f>
        <v>0</v>
      </c>
      <c r="AP35" s="28" t="n">
        <f aca="false">IF(N35="","",N35-N34)</f>
        <v>0</v>
      </c>
      <c r="AQ35" s="28" t="n">
        <f aca="false">IF(O35="","",O35-O34)</f>
        <v>0</v>
      </c>
      <c r="AR35" s="28" t="n">
        <f aca="false">IF(P35="","",P35-P34)</f>
        <v>0</v>
      </c>
      <c r="AS35" s="28" t="n">
        <f aca="false">IF(Q35="","",Q35-Q34)</f>
        <v>0</v>
      </c>
      <c r="AT35" s="28" t="n">
        <f aca="false">IF(R35="","",R35-R34)</f>
        <v>0</v>
      </c>
      <c r="AU35" s="28" t="n">
        <f aca="false">IF(S35="","",S35-S34)</f>
        <v>0</v>
      </c>
      <c r="AV35" s="28" t="str">
        <f aca="false">IF(T35="","",T35-T34)</f>
        <v/>
      </c>
      <c r="AW35" s="28" t="str">
        <f aca="false">IF(U35="","",U35-U34)</f>
        <v/>
      </c>
      <c r="AX35" s="28" t="str">
        <f aca="false">IF(V35="","",V35-V34)</f>
        <v/>
      </c>
      <c r="AY35" s="28" t="str">
        <f aca="false">IF(W35="","",W35-W34)</f>
        <v/>
      </c>
      <c r="AZ35" s="28" t="str">
        <f aca="false">IF(X35="","",X35-X34)</f>
        <v/>
      </c>
      <c r="BA35" s="28" t="str">
        <f aca="false">IF(Y35="","",Y35-Y34)</f>
        <v/>
      </c>
      <c r="BB35" s="28" t="str">
        <f aca="false">IF(Z35="","",Z35-Z34)</f>
        <v/>
      </c>
      <c r="BC35" s="28" t="n">
        <f aca="false">IF(AA35="","",AA35-AA34)</f>
        <v>0</v>
      </c>
    </row>
    <row r="36" customFormat="false" ht="15" hidden="false" customHeight="false" outlineLevel="0" collapsed="false">
      <c r="A36" s="72" t="n">
        <v>46243</v>
      </c>
      <c r="B36" s="26" t="n">
        <f aca="false">IF(B$7="","",CHOOSE(MATCH($B$4,Lists!$C$2:$C$5,0),SUMIFS(Sales_Data!$O$2:$O$3520,Sales_Data!$C$2:$C$3520,$A36,Sales_Data!$F$2:$F$3520,B$7,Sales_Data!$AE$2:$AE$3520,1),SUMIFS(Sales_Data!$M$2:$M$3520,Sales_Data!$C$2:$C$3520,$A36,Sales_Data!$F$2:$F$3520,B$7,Sales_Data!$AE$2:$AE$3520,1),SUMIFS(Sales_Data!$N$2:$N$3520,Sales_Data!$C$2:$C$3520,$A36,Sales_Data!$F$2:$F$3520,B$7,Sales_Data!$AE$2:$AE$3520,1),SUMIFS(Sales_Data!$AE$2:$AE$3520,Sales_Data!$C$2:$C$3520,$A36,Sales_Data!$F$2:$F$3520,B$7)))</f>
        <v>0</v>
      </c>
      <c r="C36" s="26" t="n">
        <f aca="false">IF(C$7="","",CHOOSE(MATCH($B$4,Lists!$C$2:$C$5,0),SUMIFS(Sales_Data!$O$2:$O$3520,Sales_Data!$C$2:$C$3520,$A36,Sales_Data!$F$2:$F$3520,C$7,Sales_Data!$AE$2:$AE$3520,1),SUMIFS(Sales_Data!$M$2:$M$3520,Sales_Data!$C$2:$C$3520,$A36,Sales_Data!$F$2:$F$3520,C$7,Sales_Data!$AE$2:$AE$3520,1),SUMIFS(Sales_Data!$N$2:$N$3520,Sales_Data!$C$2:$C$3520,$A36,Sales_Data!$F$2:$F$3520,C$7,Sales_Data!$AE$2:$AE$3520,1),SUMIFS(Sales_Data!$AE$2:$AE$3520,Sales_Data!$C$2:$C$3520,$A36,Sales_Data!$F$2:$F$3520,C$7)))</f>
        <v>0</v>
      </c>
      <c r="D36" s="26" t="n">
        <f aca="false">IF(D$7="","",CHOOSE(MATCH($B$4,Lists!$C$2:$C$5,0),SUMIFS(Sales_Data!$O$2:$O$3520,Sales_Data!$C$2:$C$3520,$A36,Sales_Data!$F$2:$F$3520,D$7,Sales_Data!$AE$2:$AE$3520,1),SUMIFS(Sales_Data!$M$2:$M$3520,Sales_Data!$C$2:$C$3520,$A36,Sales_Data!$F$2:$F$3520,D$7,Sales_Data!$AE$2:$AE$3520,1),SUMIFS(Sales_Data!$N$2:$N$3520,Sales_Data!$C$2:$C$3520,$A36,Sales_Data!$F$2:$F$3520,D$7,Sales_Data!$AE$2:$AE$3520,1),SUMIFS(Sales_Data!$AE$2:$AE$3520,Sales_Data!$C$2:$C$3520,$A36,Sales_Data!$F$2:$F$3520,D$7)))</f>
        <v>0</v>
      </c>
      <c r="E36" s="26" t="n">
        <f aca="false">IF(E$7="","",CHOOSE(MATCH($B$4,Lists!$C$2:$C$5,0),SUMIFS(Sales_Data!$O$2:$O$3520,Sales_Data!$C$2:$C$3520,$A36,Sales_Data!$F$2:$F$3520,E$7,Sales_Data!$AE$2:$AE$3520,1),SUMIFS(Sales_Data!$M$2:$M$3520,Sales_Data!$C$2:$C$3520,$A36,Sales_Data!$F$2:$F$3520,E$7,Sales_Data!$AE$2:$AE$3520,1),SUMIFS(Sales_Data!$N$2:$N$3520,Sales_Data!$C$2:$C$3520,$A36,Sales_Data!$F$2:$F$3520,E$7,Sales_Data!$AE$2:$AE$3520,1),SUMIFS(Sales_Data!$AE$2:$AE$3520,Sales_Data!$C$2:$C$3520,$A36,Sales_Data!$F$2:$F$3520,E$7)))</f>
        <v>0</v>
      </c>
      <c r="F36" s="26" t="n">
        <f aca="false">IF(F$7="","",CHOOSE(MATCH($B$4,Lists!$C$2:$C$5,0),SUMIFS(Sales_Data!$O$2:$O$3520,Sales_Data!$C$2:$C$3520,$A36,Sales_Data!$F$2:$F$3520,F$7,Sales_Data!$AE$2:$AE$3520,1),SUMIFS(Sales_Data!$M$2:$M$3520,Sales_Data!$C$2:$C$3520,$A36,Sales_Data!$F$2:$F$3520,F$7,Sales_Data!$AE$2:$AE$3520,1),SUMIFS(Sales_Data!$N$2:$N$3520,Sales_Data!$C$2:$C$3520,$A36,Sales_Data!$F$2:$F$3520,F$7,Sales_Data!$AE$2:$AE$3520,1),SUMIFS(Sales_Data!$AE$2:$AE$3520,Sales_Data!$C$2:$C$3520,$A36,Sales_Data!$F$2:$F$3520,F$7)))</f>
        <v>0</v>
      </c>
      <c r="G36" s="26" t="n">
        <f aca="false">IF(G$7="","",CHOOSE(MATCH($B$4,Lists!$C$2:$C$5,0),SUMIFS(Sales_Data!$O$2:$O$3520,Sales_Data!$C$2:$C$3520,$A36,Sales_Data!$F$2:$F$3520,G$7,Sales_Data!$AE$2:$AE$3520,1),SUMIFS(Sales_Data!$M$2:$M$3520,Sales_Data!$C$2:$C$3520,$A36,Sales_Data!$F$2:$F$3520,G$7,Sales_Data!$AE$2:$AE$3520,1),SUMIFS(Sales_Data!$N$2:$N$3520,Sales_Data!$C$2:$C$3520,$A36,Sales_Data!$F$2:$F$3520,G$7,Sales_Data!$AE$2:$AE$3520,1),SUMIFS(Sales_Data!$AE$2:$AE$3520,Sales_Data!$C$2:$C$3520,$A36,Sales_Data!$F$2:$F$3520,G$7)))</f>
        <v>0</v>
      </c>
      <c r="H36" s="26" t="n">
        <f aca="false">IF(H$7="","",CHOOSE(MATCH($B$4,Lists!$C$2:$C$5,0),SUMIFS(Sales_Data!$O$2:$O$3520,Sales_Data!$C$2:$C$3520,$A36,Sales_Data!$F$2:$F$3520,H$7,Sales_Data!$AE$2:$AE$3520,1),SUMIFS(Sales_Data!$M$2:$M$3520,Sales_Data!$C$2:$C$3520,$A36,Sales_Data!$F$2:$F$3520,H$7,Sales_Data!$AE$2:$AE$3520,1),SUMIFS(Sales_Data!$N$2:$N$3520,Sales_Data!$C$2:$C$3520,$A36,Sales_Data!$F$2:$F$3520,H$7,Sales_Data!$AE$2:$AE$3520,1),SUMIFS(Sales_Data!$AE$2:$AE$3520,Sales_Data!$C$2:$C$3520,$A36,Sales_Data!$F$2:$F$3520,H$7)))</f>
        <v>0</v>
      </c>
      <c r="I36" s="26" t="n">
        <f aca="false">IF(I$7="","",CHOOSE(MATCH($B$4,Lists!$C$2:$C$5,0),SUMIFS(Sales_Data!$O$2:$O$3520,Sales_Data!$C$2:$C$3520,$A36,Sales_Data!$F$2:$F$3520,I$7,Sales_Data!$AE$2:$AE$3520,1),SUMIFS(Sales_Data!$M$2:$M$3520,Sales_Data!$C$2:$C$3520,$A36,Sales_Data!$F$2:$F$3520,I$7,Sales_Data!$AE$2:$AE$3520,1),SUMIFS(Sales_Data!$N$2:$N$3520,Sales_Data!$C$2:$C$3520,$A36,Sales_Data!$F$2:$F$3520,I$7,Sales_Data!$AE$2:$AE$3520,1),SUMIFS(Sales_Data!$AE$2:$AE$3520,Sales_Data!$C$2:$C$3520,$A36,Sales_Data!$F$2:$F$3520,I$7)))</f>
        <v>0</v>
      </c>
      <c r="J36" s="26" t="n">
        <f aca="false">IF(J$7="","",CHOOSE(MATCH($B$4,Lists!$C$2:$C$5,0),SUMIFS(Sales_Data!$O$2:$O$3520,Sales_Data!$C$2:$C$3520,$A36,Sales_Data!$F$2:$F$3520,J$7,Sales_Data!$AE$2:$AE$3520,1),SUMIFS(Sales_Data!$M$2:$M$3520,Sales_Data!$C$2:$C$3520,$A36,Sales_Data!$F$2:$F$3520,J$7,Sales_Data!$AE$2:$AE$3520,1),SUMIFS(Sales_Data!$N$2:$N$3520,Sales_Data!$C$2:$C$3520,$A36,Sales_Data!$F$2:$F$3520,J$7,Sales_Data!$AE$2:$AE$3520,1),SUMIFS(Sales_Data!$AE$2:$AE$3520,Sales_Data!$C$2:$C$3520,$A36,Sales_Data!$F$2:$F$3520,J$7)))</f>
        <v>0</v>
      </c>
      <c r="K36" s="26" t="n">
        <f aca="false">IF(K$7="","",CHOOSE(MATCH($B$4,Lists!$C$2:$C$5,0),SUMIFS(Sales_Data!$O$2:$O$3520,Sales_Data!$C$2:$C$3520,$A36,Sales_Data!$F$2:$F$3520,K$7,Sales_Data!$AE$2:$AE$3520,1),SUMIFS(Sales_Data!$M$2:$M$3520,Sales_Data!$C$2:$C$3520,$A36,Sales_Data!$F$2:$F$3520,K$7,Sales_Data!$AE$2:$AE$3520,1),SUMIFS(Sales_Data!$N$2:$N$3520,Sales_Data!$C$2:$C$3520,$A36,Sales_Data!$F$2:$F$3520,K$7,Sales_Data!$AE$2:$AE$3520,1),SUMIFS(Sales_Data!$AE$2:$AE$3520,Sales_Data!$C$2:$C$3520,$A36,Sales_Data!$F$2:$F$3520,K$7)))</f>
        <v>0</v>
      </c>
      <c r="L36" s="26" t="n">
        <f aca="false">IF(L$7="","",CHOOSE(MATCH($B$4,Lists!$C$2:$C$5,0),SUMIFS(Sales_Data!$O$2:$O$3520,Sales_Data!$C$2:$C$3520,$A36,Sales_Data!$F$2:$F$3520,L$7,Sales_Data!$AE$2:$AE$3520,1),SUMIFS(Sales_Data!$M$2:$M$3520,Sales_Data!$C$2:$C$3520,$A36,Sales_Data!$F$2:$F$3520,L$7,Sales_Data!$AE$2:$AE$3520,1),SUMIFS(Sales_Data!$N$2:$N$3520,Sales_Data!$C$2:$C$3520,$A36,Sales_Data!$F$2:$F$3520,L$7,Sales_Data!$AE$2:$AE$3520,1),SUMIFS(Sales_Data!$AE$2:$AE$3520,Sales_Data!$C$2:$C$3520,$A36,Sales_Data!$F$2:$F$3520,L$7)))</f>
        <v>0</v>
      </c>
      <c r="M36" s="26" t="n">
        <f aca="false">IF(M$7="","",CHOOSE(MATCH($B$4,Lists!$C$2:$C$5,0),SUMIFS(Sales_Data!$O$2:$O$3520,Sales_Data!$C$2:$C$3520,$A36,Sales_Data!$F$2:$F$3520,M$7,Sales_Data!$AE$2:$AE$3520,1),SUMIFS(Sales_Data!$M$2:$M$3520,Sales_Data!$C$2:$C$3520,$A36,Sales_Data!$F$2:$F$3520,M$7,Sales_Data!$AE$2:$AE$3520,1),SUMIFS(Sales_Data!$N$2:$N$3520,Sales_Data!$C$2:$C$3520,$A36,Sales_Data!$F$2:$F$3520,M$7,Sales_Data!$AE$2:$AE$3520,1),SUMIFS(Sales_Data!$AE$2:$AE$3520,Sales_Data!$C$2:$C$3520,$A36,Sales_Data!$F$2:$F$3520,M$7)))</f>
        <v>0</v>
      </c>
      <c r="N36" s="26" t="n">
        <f aca="false">IF(N$7="","",CHOOSE(MATCH($B$4,Lists!$C$2:$C$5,0),SUMIFS(Sales_Data!$O$2:$O$3520,Sales_Data!$C$2:$C$3520,$A36,Sales_Data!$F$2:$F$3520,N$7,Sales_Data!$AE$2:$AE$3520,1),SUMIFS(Sales_Data!$M$2:$M$3520,Sales_Data!$C$2:$C$3520,$A36,Sales_Data!$F$2:$F$3520,N$7,Sales_Data!$AE$2:$AE$3520,1),SUMIFS(Sales_Data!$N$2:$N$3520,Sales_Data!$C$2:$C$3520,$A36,Sales_Data!$F$2:$F$3520,N$7,Sales_Data!$AE$2:$AE$3520,1),SUMIFS(Sales_Data!$AE$2:$AE$3520,Sales_Data!$C$2:$C$3520,$A36,Sales_Data!$F$2:$F$3520,N$7)))</f>
        <v>0</v>
      </c>
      <c r="O36" s="26" t="n">
        <f aca="false">IF(O$7="","",CHOOSE(MATCH($B$4,Lists!$C$2:$C$5,0),SUMIFS(Sales_Data!$O$2:$O$3520,Sales_Data!$C$2:$C$3520,$A36,Sales_Data!$F$2:$F$3520,O$7,Sales_Data!$AE$2:$AE$3520,1),SUMIFS(Sales_Data!$M$2:$M$3520,Sales_Data!$C$2:$C$3520,$A36,Sales_Data!$F$2:$F$3520,O$7,Sales_Data!$AE$2:$AE$3520,1),SUMIFS(Sales_Data!$N$2:$N$3520,Sales_Data!$C$2:$C$3520,$A36,Sales_Data!$F$2:$F$3520,O$7,Sales_Data!$AE$2:$AE$3520,1),SUMIFS(Sales_Data!$AE$2:$AE$3520,Sales_Data!$C$2:$C$3520,$A36,Sales_Data!$F$2:$F$3520,O$7)))</f>
        <v>0</v>
      </c>
      <c r="P36" s="26" t="n">
        <f aca="false">IF(P$7="","",CHOOSE(MATCH($B$4,Lists!$C$2:$C$5,0),SUMIFS(Sales_Data!$O$2:$O$3520,Sales_Data!$C$2:$C$3520,$A36,Sales_Data!$F$2:$F$3520,P$7,Sales_Data!$AE$2:$AE$3520,1),SUMIFS(Sales_Data!$M$2:$M$3520,Sales_Data!$C$2:$C$3520,$A36,Sales_Data!$F$2:$F$3520,P$7,Sales_Data!$AE$2:$AE$3520,1),SUMIFS(Sales_Data!$N$2:$N$3520,Sales_Data!$C$2:$C$3520,$A36,Sales_Data!$F$2:$F$3520,P$7,Sales_Data!$AE$2:$AE$3520,1),SUMIFS(Sales_Data!$AE$2:$AE$3520,Sales_Data!$C$2:$C$3520,$A36,Sales_Data!$F$2:$F$3520,P$7)))</f>
        <v>0</v>
      </c>
      <c r="Q36" s="26" t="n">
        <f aca="false">IF(Q$7="","",CHOOSE(MATCH($B$4,Lists!$C$2:$C$5,0),SUMIFS(Sales_Data!$O$2:$O$3520,Sales_Data!$C$2:$C$3520,$A36,Sales_Data!$F$2:$F$3520,Q$7,Sales_Data!$AE$2:$AE$3520,1),SUMIFS(Sales_Data!$M$2:$M$3520,Sales_Data!$C$2:$C$3520,$A36,Sales_Data!$F$2:$F$3520,Q$7,Sales_Data!$AE$2:$AE$3520,1),SUMIFS(Sales_Data!$N$2:$N$3520,Sales_Data!$C$2:$C$3520,$A36,Sales_Data!$F$2:$F$3520,Q$7,Sales_Data!$AE$2:$AE$3520,1),SUMIFS(Sales_Data!$AE$2:$AE$3520,Sales_Data!$C$2:$C$3520,$A36,Sales_Data!$F$2:$F$3520,Q$7)))</f>
        <v>0</v>
      </c>
      <c r="R36" s="26" t="n">
        <f aca="false">IF(R$7="","",CHOOSE(MATCH($B$4,Lists!$C$2:$C$5,0),SUMIFS(Sales_Data!$O$2:$O$3520,Sales_Data!$C$2:$C$3520,$A36,Sales_Data!$F$2:$F$3520,R$7,Sales_Data!$AE$2:$AE$3520,1),SUMIFS(Sales_Data!$M$2:$M$3520,Sales_Data!$C$2:$C$3520,$A36,Sales_Data!$F$2:$F$3520,R$7,Sales_Data!$AE$2:$AE$3520,1),SUMIFS(Sales_Data!$N$2:$N$3520,Sales_Data!$C$2:$C$3520,$A36,Sales_Data!$F$2:$F$3520,R$7,Sales_Data!$AE$2:$AE$3520,1),SUMIFS(Sales_Data!$AE$2:$AE$3520,Sales_Data!$C$2:$C$3520,$A36,Sales_Data!$F$2:$F$3520,R$7)))</f>
        <v>0</v>
      </c>
      <c r="S36" s="26" t="n">
        <f aca="false">IF(S$7="","",CHOOSE(MATCH($B$4,Lists!$C$2:$C$5,0),SUMIFS(Sales_Data!$O$2:$O$3520,Sales_Data!$C$2:$C$3520,$A36,Sales_Data!$F$2:$F$3520,S$7,Sales_Data!$AE$2:$AE$3520,1),SUMIFS(Sales_Data!$M$2:$M$3520,Sales_Data!$C$2:$C$3520,$A36,Sales_Data!$F$2:$F$3520,S$7,Sales_Data!$AE$2:$AE$3520,1),SUMIFS(Sales_Data!$N$2:$N$3520,Sales_Data!$C$2:$C$3520,$A36,Sales_Data!$F$2:$F$3520,S$7,Sales_Data!$AE$2:$AE$3520,1),SUMIFS(Sales_Data!$AE$2:$AE$3520,Sales_Data!$C$2:$C$3520,$A36,Sales_Data!$F$2:$F$3520,S$7)))</f>
        <v>0</v>
      </c>
      <c r="T36" s="26" t="str">
        <f aca="false">IF(T$7="","",CHOOSE(MATCH($B$4,Lists!$C$2:$C$5,0),SUMIFS(Sales_Data!$O$2:$O$3520,Sales_Data!$C$2:$C$3520,$A36,Sales_Data!$F$2:$F$3520,T$7,Sales_Data!$AE$2:$AE$3520,1),SUMIFS(Sales_Data!$M$2:$M$3520,Sales_Data!$C$2:$C$3520,$A36,Sales_Data!$F$2:$F$3520,T$7,Sales_Data!$AE$2:$AE$3520,1),SUMIFS(Sales_Data!$N$2:$N$3520,Sales_Data!$C$2:$C$3520,$A36,Sales_Data!$F$2:$F$3520,T$7,Sales_Data!$AE$2:$AE$3520,1),SUMIFS(Sales_Data!$AE$2:$AE$3520,Sales_Data!$C$2:$C$3520,$A36,Sales_Data!$F$2:$F$3520,T$7)))</f>
        <v/>
      </c>
      <c r="U36" s="26" t="str">
        <f aca="false">IF(U$7="","",CHOOSE(MATCH($B$4,Lists!$C$2:$C$5,0),SUMIFS(Sales_Data!$O$2:$O$3520,Sales_Data!$C$2:$C$3520,$A36,Sales_Data!$F$2:$F$3520,U$7,Sales_Data!$AE$2:$AE$3520,1),SUMIFS(Sales_Data!$M$2:$M$3520,Sales_Data!$C$2:$C$3520,$A36,Sales_Data!$F$2:$F$3520,U$7,Sales_Data!$AE$2:$AE$3520,1),SUMIFS(Sales_Data!$N$2:$N$3520,Sales_Data!$C$2:$C$3520,$A36,Sales_Data!$F$2:$F$3520,U$7,Sales_Data!$AE$2:$AE$3520,1),SUMIFS(Sales_Data!$AE$2:$AE$3520,Sales_Data!$C$2:$C$3520,$A36,Sales_Data!$F$2:$F$3520,U$7)))</f>
        <v/>
      </c>
      <c r="V36" s="26" t="str">
        <f aca="false">IF(V$7="","",CHOOSE(MATCH($B$4,Lists!$C$2:$C$5,0),SUMIFS(Sales_Data!$O$2:$O$3520,Sales_Data!$C$2:$C$3520,$A36,Sales_Data!$F$2:$F$3520,V$7,Sales_Data!$AE$2:$AE$3520,1),SUMIFS(Sales_Data!$M$2:$M$3520,Sales_Data!$C$2:$C$3520,$A36,Sales_Data!$F$2:$F$3520,V$7,Sales_Data!$AE$2:$AE$3520,1),SUMIFS(Sales_Data!$N$2:$N$3520,Sales_Data!$C$2:$C$3520,$A36,Sales_Data!$F$2:$F$3520,V$7,Sales_Data!$AE$2:$AE$3520,1),SUMIFS(Sales_Data!$AE$2:$AE$3520,Sales_Data!$C$2:$C$3520,$A36,Sales_Data!$F$2:$F$3520,V$7)))</f>
        <v/>
      </c>
      <c r="W36" s="26" t="str">
        <f aca="false">IF(W$7="","",CHOOSE(MATCH($B$4,Lists!$C$2:$C$5,0),SUMIFS(Sales_Data!$O$2:$O$3520,Sales_Data!$C$2:$C$3520,$A36,Sales_Data!$F$2:$F$3520,W$7,Sales_Data!$AE$2:$AE$3520,1),SUMIFS(Sales_Data!$M$2:$M$3520,Sales_Data!$C$2:$C$3520,$A36,Sales_Data!$F$2:$F$3520,W$7,Sales_Data!$AE$2:$AE$3520,1),SUMIFS(Sales_Data!$N$2:$N$3520,Sales_Data!$C$2:$C$3520,$A36,Sales_Data!$F$2:$F$3520,W$7,Sales_Data!$AE$2:$AE$3520,1),SUMIFS(Sales_Data!$AE$2:$AE$3520,Sales_Data!$C$2:$C$3520,$A36,Sales_Data!$F$2:$F$3520,W$7)))</f>
        <v/>
      </c>
      <c r="X36" s="26" t="str">
        <f aca="false">IF(X$7="","",CHOOSE(MATCH($B$4,Lists!$C$2:$C$5,0),SUMIFS(Sales_Data!$O$2:$O$3520,Sales_Data!$C$2:$C$3520,$A36,Sales_Data!$F$2:$F$3520,X$7,Sales_Data!$AE$2:$AE$3520,1),SUMIFS(Sales_Data!$M$2:$M$3520,Sales_Data!$C$2:$C$3520,$A36,Sales_Data!$F$2:$F$3520,X$7,Sales_Data!$AE$2:$AE$3520,1),SUMIFS(Sales_Data!$N$2:$N$3520,Sales_Data!$C$2:$C$3520,$A36,Sales_Data!$F$2:$F$3520,X$7,Sales_Data!$AE$2:$AE$3520,1),SUMIFS(Sales_Data!$AE$2:$AE$3520,Sales_Data!$C$2:$C$3520,$A36,Sales_Data!$F$2:$F$3520,X$7)))</f>
        <v/>
      </c>
      <c r="Y36" s="26" t="str">
        <f aca="false">IF(Y$7="","",CHOOSE(MATCH($B$4,Lists!$C$2:$C$5,0),SUMIFS(Sales_Data!$O$2:$O$3520,Sales_Data!$C$2:$C$3520,$A36,Sales_Data!$F$2:$F$3520,Y$7,Sales_Data!$AE$2:$AE$3520,1),SUMIFS(Sales_Data!$M$2:$M$3520,Sales_Data!$C$2:$C$3520,$A36,Sales_Data!$F$2:$F$3520,Y$7,Sales_Data!$AE$2:$AE$3520,1),SUMIFS(Sales_Data!$N$2:$N$3520,Sales_Data!$C$2:$C$3520,$A36,Sales_Data!$F$2:$F$3520,Y$7,Sales_Data!$AE$2:$AE$3520,1),SUMIFS(Sales_Data!$AE$2:$AE$3520,Sales_Data!$C$2:$C$3520,$A36,Sales_Data!$F$2:$F$3520,Y$7)))</f>
        <v/>
      </c>
      <c r="Z36" s="26" t="str">
        <f aca="false">IF(Z$7="","",CHOOSE(MATCH($B$4,Lists!$C$2:$C$5,0),SUMIFS(Sales_Data!$O$2:$O$3520,Sales_Data!$C$2:$C$3520,$A36,Sales_Data!$F$2:$F$3520,Z$7,Sales_Data!$AE$2:$AE$3520,1),SUMIFS(Sales_Data!$M$2:$M$3520,Sales_Data!$C$2:$C$3520,$A36,Sales_Data!$F$2:$F$3520,Z$7,Sales_Data!$AE$2:$AE$3520,1),SUMIFS(Sales_Data!$N$2:$N$3520,Sales_Data!$C$2:$C$3520,$A36,Sales_Data!$F$2:$F$3520,Z$7,Sales_Data!$AE$2:$AE$3520,1),SUMIFS(Sales_Data!$AE$2:$AE$3520,Sales_Data!$C$2:$C$3520,$A36,Sales_Data!$F$2:$F$3520,Z$7)))</f>
        <v/>
      </c>
      <c r="AA36" s="27" t="n">
        <f aca="false">SUM(B36:Z36)</f>
        <v>0</v>
      </c>
      <c r="AB36" s="3"/>
      <c r="AC36" s="72" t="n">
        <f aca="false">A36</f>
        <v>46243</v>
      </c>
      <c r="AD36" s="28" t="n">
        <f aca="false">IF(B36="","",B36-B35)</f>
        <v>0</v>
      </c>
      <c r="AE36" s="28" t="n">
        <f aca="false">IF(C36="","",C36-C35)</f>
        <v>0</v>
      </c>
      <c r="AF36" s="28" t="n">
        <f aca="false">IF(D36="","",D36-D35)</f>
        <v>0</v>
      </c>
      <c r="AG36" s="28" t="n">
        <f aca="false">IF(E36="","",E36-E35)</f>
        <v>0</v>
      </c>
      <c r="AH36" s="28" t="n">
        <f aca="false">IF(F36="","",F36-F35)</f>
        <v>0</v>
      </c>
      <c r="AI36" s="28" t="n">
        <f aca="false">IF(G36="","",G36-G35)</f>
        <v>0</v>
      </c>
      <c r="AJ36" s="28" t="n">
        <f aca="false">IF(H36="","",H36-H35)</f>
        <v>0</v>
      </c>
      <c r="AK36" s="28" t="n">
        <f aca="false">IF(I36="","",I36-I35)</f>
        <v>0</v>
      </c>
      <c r="AL36" s="28" t="n">
        <f aca="false">IF(J36="","",J36-J35)</f>
        <v>0</v>
      </c>
      <c r="AM36" s="28" t="n">
        <f aca="false">IF(K36="","",K36-K35)</f>
        <v>0</v>
      </c>
      <c r="AN36" s="28" t="n">
        <f aca="false">IF(L36="","",L36-L35)</f>
        <v>0</v>
      </c>
      <c r="AO36" s="28" t="n">
        <f aca="false">IF(M36="","",M36-M35)</f>
        <v>0</v>
      </c>
      <c r="AP36" s="28" t="n">
        <f aca="false">IF(N36="","",N36-N35)</f>
        <v>0</v>
      </c>
      <c r="AQ36" s="28" t="n">
        <f aca="false">IF(O36="","",O36-O35)</f>
        <v>0</v>
      </c>
      <c r="AR36" s="28" t="n">
        <f aca="false">IF(P36="","",P36-P35)</f>
        <v>0</v>
      </c>
      <c r="AS36" s="28" t="n">
        <f aca="false">IF(Q36="","",Q36-Q35)</f>
        <v>0</v>
      </c>
      <c r="AT36" s="28" t="n">
        <f aca="false">IF(R36="","",R36-R35)</f>
        <v>0</v>
      </c>
      <c r="AU36" s="28" t="n">
        <f aca="false">IF(S36="","",S36-S35)</f>
        <v>0</v>
      </c>
      <c r="AV36" s="28" t="str">
        <f aca="false">IF(T36="","",T36-T35)</f>
        <v/>
      </c>
      <c r="AW36" s="28" t="str">
        <f aca="false">IF(U36="","",U36-U35)</f>
        <v/>
      </c>
      <c r="AX36" s="28" t="str">
        <f aca="false">IF(V36="","",V36-V35)</f>
        <v/>
      </c>
      <c r="AY36" s="28" t="str">
        <f aca="false">IF(W36="","",W36-W35)</f>
        <v/>
      </c>
      <c r="AZ36" s="28" t="str">
        <f aca="false">IF(X36="","",X36-X35)</f>
        <v/>
      </c>
      <c r="BA36" s="28" t="str">
        <f aca="false">IF(Y36="","",Y36-Y35)</f>
        <v/>
      </c>
      <c r="BB36" s="28" t="str">
        <f aca="false">IF(Z36="","",Z36-Z35)</f>
        <v/>
      </c>
      <c r="BC36" s="28" t="n">
        <f aca="false">IF(AA36="","",AA36-AA35)</f>
        <v>0</v>
      </c>
    </row>
    <row r="37" customFormat="false" ht="15" hidden="false" customHeight="false" outlineLevel="0" collapsed="false">
      <c r="A37" s="72" t="n">
        <v>46244</v>
      </c>
      <c r="B37" s="26" t="n">
        <f aca="false">IF(B$7="","",CHOOSE(MATCH($B$4,Lists!$C$2:$C$5,0),SUMIFS(Sales_Data!$O$2:$O$3520,Sales_Data!$C$2:$C$3520,$A37,Sales_Data!$F$2:$F$3520,B$7,Sales_Data!$AE$2:$AE$3520,1),SUMIFS(Sales_Data!$M$2:$M$3520,Sales_Data!$C$2:$C$3520,$A37,Sales_Data!$F$2:$F$3520,B$7,Sales_Data!$AE$2:$AE$3520,1),SUMIFS(Sales_Data!$N$2:$N$3520,Sales_Data!$C$2:$C$3520,$A37,Sales_Data!$F$2:$F$3520,B$7,Sales_Data!$AE$2:$AE$3520,1),SUMIFS(Sales_Data!$AE$2:$AE$3520,Sales_Data!$C$2:$C$3520,$A37,Sales_Data!$F$2:$F$3520,B$7)))</f>
        <v>0</v>
      </c>
      <c r="C37" s="26" t="n">
        <f aca="false">IF(C$7="","",CHOOSE(MATCH($B$4,Lists!$C$2:$C$5,0),SUMIFS(Sales_Data!$O$2:$O$3520,Sales_Data!$C$2:$C$3520,$A37,Sales_Data!$F$2:$F$3520,C$7,Sales_Data!$AE$2:$AE$3520,1),SUMIFS(Sales_Data!$M$2:$M$3520,Sales_Data!$C$2:$C$3520,$A37,Sales_Data!$F$2:$F$3520,C$7,Sales_Data!$AE$2:$AE$3520,1),SUMIFS(Sales_Data!$N$2:$N$3520,Sales_Data!$C$2:$C$3520,$A37,Sales_Data!$F$2:$F$3520,C$7,Sales_Data!$AE$2:$AE$3520,1),SUMIFS(Sales_Data!$AE$2:$AE$3520,Sales_Data!$C$2:$C$3520,$A37,Sales_Data!$F$2:$F$3520,C$7)))</f>
        <v>0</v>
      </c>
      <c r="D37" s="26" t="n">
        <f aca="false">IF(D$7="","",CHOOSE(MATCH($B$4,Lists!$C$2:$C$5,0),SUMIFS(Sales_Data!$O$2:$O$3520,Sales_Data!$C$2:$C$3520,$A37,Sales_Data!$F$2:$F$3520,D$7,Sales_Data!$AE$2:$AE$3520,1),SUMIFS(Sales_Data!$M$2:$M$3520,Sales_Data!$C$2:$C$3520,$A37,Sales_Data!$F$2:$F$3520,D$7,Sales_Data!$AE$2:$AE$3520,1),SUMIFS(Sales_Data!$N$2:$N$3520,Sales_Data!$C$2:$C$3520,$A37,Sales_Data!$F$2:$F$3520,D$7,Sales_Data!$AE$2:$AE$3520,1),SUMIFS(Sales_Data!$AE$2:$AE$3520,Sales_Data!$C$2:$C$3520,$A37,Sales_Data!$F$2:$F$3520,D$7)))</f>
        <v>0</v>
      </c>
      <c r="E37" s="26" t="n">
        <f aca="false">IF(E$7="","",CHOOSE(MATCH($B$4,Lists!$C$2:$C$5,0),SUMIFS(Sales_Data!$O$2:$O$3520,Sales_Data!$C$2:$C$3520,$A37,Sales_Data!$F$2:$F$3520,E$7,Sales_Data!$AE$2:$AE$3520,1),SUMIFS(Sales_Data!$M$2:$M$3520,Sales_Data!$C$2:$C$3520,$A37,Sales_Data!$F$2:$F$3520,E$7,Sales_Data!$AE$2:$AE$3520,1),SUMIFS(Sales_Data!$N$2:$N$3520,Sales_Data!$C$2:$C$3520,$A37,Sales_Data!$F$2:$F$3520,E$7,Sales_Data!$AE$2:$AE$3520,1),SUMIFS(Sales_Data!$AE$2:$AE$3520,Sales_Data!$C$2:$C$3520,$A37,Sales_Data!$F$2:$F$3520,E$7)))</f>
        <v>0</v>
      </c>
      <c r="F37" s="26" t="n">
        <f aca="false">IF(F$7="","",CHOOSE(MATCH($B$4,Lists!$C$2:$C$5,0),SUMIFS(Sales_Data!$O$2:$O$3520,Sales_Data!$C$2:$C$3520,$A37,Sales_Data!$F$2:$F$3520,F$7,Sales_Data!$AE$2:$AE$3520,1),SUMIFS(Sales_Data!$M$2:$M$3520,Sales_Data!$C$2:$C$3520,$A37,Sales_Data!$F$2:$F$3520,F$7,Sales_Data!$AE$2:$AE$3520,1),SUMIFS(Sales_Data!$N$2:$N$3520,Sales_Data!$C$2:$C$3520,$A37,Sales_Data!$F$2:$F$3520,F$7,Sales_Data!$AE$2:$AE$3520,1),SUMIFS(Sales_Data!$AE$2:$AE$3520,Sales_Data!$C$2:$C$3520,$A37,Sales_Data!$F$2:$F$3520,F$7)))</f>
        <v>0</v>
      </c>
      <c r="G37" s="26" t="n">
        <f aca="false">IF(G$7="","",CHOOSE(MATCH($B$4,Lists!$C$2:$C$5,0),SUMIFS(Sales_Data!$O$2:$O$3520,Sales_Data!$C$2:$C$3520,$A37,Sales_Data!$F$2:$F$3520,G$7,Sales_Data!$AE$2:$AE$3520,1),SUMIFS(Sales_Data!$M$2:$M$3520,Sales_Data!$C$2:$C$3520,$A37,Sales_Data!$F$2:$F$3520,G$7,Sales_Data!$AE$2:$AE$3520,1),SUMIFS(Sales_Data!$N$2:$N$3520,Sales_Data!$C$2:$C$3520,$A37,Sales_Data!$F$2:$F$3520,G$7,Sales_Data!$AE$2:$AE$3520,1),SUMIFS(Sales_Data!$AE$2:$AE$3520,Sales_Data!$C$2:$C$3520,$A37,Sales_Data!$F$2:$F$3520,G$7)))</f>
        <v>0</v>
      </c>
      <c r="H37" s="26" t="n">
        <f aca="false">IF(H$7="","",CHOOSE(MATCH($B$4,Lists!$C$2:$C$5,0),SUMIFS(Sales_Data!$O$2:$O$3520,Sales_Data!$C$2:$C$3520,$A37,Sales_Data!$F$2:$F$3520,H$7,Sales_Data!$AE$2:$AE$3520,1),SUMIFS(Sales_Data!$M$2:$M$3520,Sales_Data!$C$2:$C$3520,$A37,Sales_Data!$F$2:$F$3520,H$7,Sales_Data!$AE$2:$AE$3520,1),SUMIFS(Sales_Data!$N$2:$N$3520,Sales_Data!$C$2:$C$3520,$A37,Sales_Data!$F$2:$F$3520,H$7,Sales_Data!$AE$2:$AE$3520,1),SUMIFS(Sales_Data!$AE$2:$AE$3520,Sales_Data!$C$2:$C$3520,$A37,Sales_Data!$F$2:$F$3520,H$7)))</f>
        <v>0</v>
      </c>
      <c r="I37" s="26" t="n">
        <f aca="false">IF(I$7="","",CHOOSE(MATCH($B$4,Lists!$C$2:$C$5,0),SUMIFS(Sales_Data!$O$2:$O$3520,Sales_Data!$C$2:$C$3520,$A37,Sales_Data!$F$2:$F$3520,I$7,Sales_Data!$AE$2:$AE$3520,1),SUMIFS(Sales_Data!$M$2:$M$3520,Sales_Data!$C$2:$C$3520,$A37,Sales_Data!$F$2:$F$3520,I$7,Sales_Data!$AE$2:$AE$3520,1),SUMIFS(Sales_Data!$N$2:$N$3520,Sales_Data!$C$2:$C$3520,$A37,Sales_Data!$F$2:$F$3520,I$7,Sales_Data!$AE$2:$AE$3520,1),SUMIFS(Sales_Data!$AE$2:$AE$3520,Sales_Data!$C$2:$C$3520,$A37,Sales_Data!$F$2:$F$3520,I$7)))</f>
        <v>0</v>
      </c>
      <c r="J37" s="26" t="n">
        <f aca="false">IF(J$7="","",CHOOSE(MATCH($B$4,Lists!$C$2:$C$5,0),SUMIFS(Sales_Data!$O$2:$O$3520,Sales_Data!$C$2:$C$3520,$A37,Sales_Data!$F$2:$F$3520,J$7,Sales_Data!$AE$2:$AE$3520,1),SUMIFS(Sales_Data!$M$2:$M$3520,Sales_Data!$C$2:$C$3520,$A37,Sales_Data!$F$2:$F$3520,J$7,Sales_Data!$AE$2:$AE$3520,1),SUMIFS(Sales_Data!$N$2:$N$3520,Sales_Data!$C$2:$C$3520,$A37,Sales_Data!$F$2:$F$3520,J$7,Sales_Data!$AE$2:$AE$3520,1),SUMIFS(Sales_Data!$AE$2:$AE$3520,Sales_Data!$C$2:$C$3520,$A37,Sales_Data!$F$2:$F$3520,J$7)))</f>
        <v>0</v>
      </c>
      <c r="K37" s="26" t="n">
        <f aca="false">IF(K$7="","",CHOOSE(MATCH($B$4,Lists!$C$2:$C$5,0),SUMIFS(Sales_Data!$O$2:$O$3520,Sales_Data!$C$2:$C$3520,$A37,Sales_Data!$F$2:$F$3520,K$7,Sales_Data!$AE$2:$AE$3520,1),SUMIFS(Sales_Data!$M$2:$M$3520,Sales_Data!$C$2:$C$3520,$A37,Sales_Data!$F$2:$F$3520,K$7,Sales_Data!$AE$2:$AE$3520,1),SUMIFS(Sales_Data!$N$2:$N$3520,Sales_Data!$C$2:$C$3520,$A37,Sales_Data!$F$2:$F$3520,K$7,Sales_Data!$AE$2:$AE$3520,1),SUMIFS(Sales_Data!$AE$2:$AE$3520,Sales_Data!$C$2:$C$3520,$A37,Sales_Data!$F$2:$F$3520,K$7)))</f>
        <v>0</v>
      </c>
      <c r="L37" s="26" t="n">
        <f aca="false">IF(L$7="","",CHOOSE(MATCH($B$4,Lists!$C$2:$C$5,0),SUMIFS(Sales_Data!$O$2:$O$3520,Sales_Data!$C$2:$C$3520,$A37,Sales_Data!$F$2:$F$3520,L$7,Sales_Data!$AE$2:$AE$3520,1),SUMIFS(Sales_Data!$M$2:$M$3520,Sales_Data!$C$2:$C$3520,$A37,Sales_Data!$F$2:$F$3520,L$7,Sales_Data!$AE$2:$AE$3520,1),SUMIFS(Sales_Data!$N$2:$N$3520,Sales_Data!$C$2:$C$3520,$A37,Sales_Data!$F$2:$F$3520,L$7,Sales_Data!$AE$2:$AE$3520,1),SUMIFS(Sales_Data!$AE$2:$AE$3520,Sales_Data!$C$2:$C$3520,$A37,Sales_Data!$F$2:$F$3520,L$7)))</f>
        <v>0</v>
      </c>
      <c r="M37" s="26" t="n">
        <f aca="false">IF(M$7="","",CHOOSE(MATCH($B$4,Lists!$C$2:$C$5,0),SUMIFS(Sales_Data!$O$2:$O$3520,Sales_Data!$C$2:$C$3520,$A37,Sales_Data!$F$2:$F$3520,M$7,Sales_Data!$AE$2:$AE$3520,1),SUMIFS(Sales_Data!$M$2:$M$3520,Sales_Data!$C$2:$C$3520,$A37,Sales_Data!$F$2:$F$3520,M$7,Sales_Data!$AE$2:$AE$3520,1),SUMIFS(Sales_Data!$N$2:$N$3520,Sales_Data!$C$2:$C$3520,$A37,Sales_Data!$F$2:$F$3520,M$7,Sales_Data!$AE$2:$AE$3520,1),SUMIFS(Sales_Data!$AE$2:$AE$3520,Sales_Data!$C$2:$C$3520,$A37,Sales_Data!$F$2:$F$3520,M$7)))</f>
        <v>0</v>
      </c>
      <c r="N37" s="26" t="n">
        <f aca="false">IF(N$7="","",CHOOSE(MATCH($B$4,Lists!$C$2:$C$5,0),SUMIFS(Sales_Data!$O$2:$O$3520,Sales_Data!$C$2:$C$3520,$A37,Sales_Data!$F$2:$F$3520,N$7,Sales_Data!$AE$2:$AE$3520,1),SUMIFS(Sales_Data!$M$2:$M$3520,Sales_Data!$C$2:$C$3520,$A37,Sales_Data!$F$2:$F$3520,N$7,Sales_Data!$AE$2:$AE$3520,1),SUMIFS(Sales_Data!$N$2:$N$3520,Sales_Data!$C$2:$C$3520,$A37,Sales_Data!$F$2:$F$3520,N$7,Sales_Data!$AE$2:$AE$3520,1),SUMIFS(Sales_Data!$AE$2:$AE$3520,Sales_Data!$C$2:$C$3520,$A37,Sales_Data!$F$2:$F$3520,N$7)))</f>
        <v>0</v>
      </c>
      <c r="O37" s="26" t="n">
        <f aca="false">IF(O$7="","",CHOOSE(MATCH($B$4,Lists!$C$2:$C$5,0),SUMIFS(Sales_Data!$O$2:$O$3520,Sales_Data!$C$2:$C$3520,$A37,Sales_Data!$F$2:$F$3520,O$7,Sales_Data!$AE$2:$AE$3520,1),SUMIFS(Sales_Data!$M$2:$M$3520,Sales_Data!$C$2:$C$3520,$A37,Sales_Data!$F$2:$F$3520,O$7,Sales_Data!$AE$2:$AE$3520,1),SUMIFS(Sales_Data!$N$2:$N$3520,Sales_Data!$C$2:$C$3520,$A37,Sales_Data!$F$2:$F$3520,O$7,Sales_Data!$AE$2:$AE$3520,1),SUMIFS(Sales_Data!$AE$2:$AE$3520,Sales_Data!$C$2:$C$3520,$A37,Sales_Data!$F$2:$F$3520,O$7)))</f>
        <v>0</v>
      </c>
      <c r="P37" s="26" t="n">
        <f aca="false">IF(P$7="","",CHOOSE(MATCH($B$4,Lists!$C$2:$C$5,0),SUMIFS(Sales_Data!$O$2:$O$3520,Sales_Data!$C$2:$C$3520,$A37,Sales_Data!$F$2:$F$3520,P$7,Sales_Data!$AE$2:$AE$3520,1),SUMIFS(Sales_Data!$M$2:$M$3520,Sales_Data!$C$2:$C$3520,$A37,Sales_Data!$F$2:$F$3520,P$7,Sales_Data!$AE$2:$AE$3520,1),SUMIFS(Sales_Data!$N$2:$N$3520,Sales_Data!$C$2:$C$3520,$A37,Sales_Data!$F$2:$F$3520,P$7,Sales_Data!$AE$2:$AE$3520,1),SUMIFS(Sales_Data!$AE$2:$AE$3520,Sales_Data!$C$2:$C$3520,$A37,Sales_Data!$F$2:$F$3520,P$7)))</f>
        <v>0</v>
      </c>
      <c r="Q37" s="26" t="n">
        <f aca="false">IF(Q$7="","",CHOOSE(MATCH($B$4,Lists!$C$2:$C$5,0),SUMIFS(Sales_Data!$O$2:$O$3520,Sales_Data!$C$2:$C$3520,$A37,Sales_Data!$F$2:$F$3520,Q$7,Sales_Data!$AE$2:$AE$3520,1),SUMIFS(Sales_Data!$M$2:$M$3520,Sales_Data!$C$2:$C$3520,$A37,Sales_Data!$F$2:$F$3520,Q$7,Sales_Data!$AE$2:$AE$3520,1),SUMIFS(Sales_Data!$N$2:$N$3520,Sales_Data!$C$2:$C$3520,$A37,Sales_Data!$F$2:$F$3520,Q$7,Sales_Data!$AE$2:$AE$3520,1),SUMIFS(Sales_Data!$AE$2:$AE$3520,Sales_Data!$C$2:$C$3520,$A37,Sales_Data!$F$2:$F$3520,Q$7)))</f>
        <v>0</v>
      </c>
      <c r="R37" s="26" t="n">
        <f aca="false">IF(R$7="","",CHOOSE(MATCH($B$4,Lists!$C$2:$C$5,0),SUMIFS(Sales_Data!$O$2:$O$3520,Sales_Data!$C$2:$C$3520,$A37,Sales_Data!$F$2:$F$3520,R$7,Sales_Data!$AE$2:$AE$3520,1),SUMIFS(Sales_Data!$M$2:$M$3520,Sales_Data!$C$2:$C$3520,$A37,Sales_Data!$F$2:$F$3520,R$7,Sales_Data!$AE$2:$AE$3520,1),SUMIFS(Sales_Data!$N$2:$N$3520,Sales_Data!$C$2:$C$3520,$A37,Sales_Data!$F$2:$F$3520,R$7,Sales_Data!$AE$2:$AE$3520,1),SUMIFS(Sales_Data!$AE$2:$AE$3520,Sales_Data!$C$2:$C$3520,$A37,Sales_Data!$F$2:$F$3520,R$7)))</f>
        <v>0</v>
      </c>
      <c r="S37" s="26" t="n">
        <f aca="false">IF(S$7="","",CHOOSE(MATCH($B$4,Lists!$C$2:$C$5,0),SUMIFS(Sales_Data!$O$2:$O$3520,Sales_Data!$C$2:$C$3520,$A37,Sales_Data!$F$2:$F$3520,S$7,Sales_Data!$AE$2:$AE$3520,1),SUMIFS(Sales_Data!$M$2:$M$3520,Sales_Data!$C$2:$C$3520,$A37,Sales_Data!$F$2:$F$3520,S$7,Sales_Data!$AE$2:$AE$3520,1),SUMIFS(Sales_Data!$N$2:$N$3520,Sales_Data!$C$2:$C$3520,$A37,Sales_Data!$F$2:$F$3520,S$7,Sales_Data!$AE$2:$AE$3520,1),SUMIFS(Sales_Data!$AE$2:$AE$3520,Sales_Data!$C$2:$C$3520,$A37,Sales_Data!$F$2:$F$3520,S$7)))</f>
        <v>0</v>
      </c>
      <c r="T37" s="26" t="str">
        <f aca="false">IF(T$7="","",CHOOSE(MATCH($B$4,Lists!$C$2:$C$5,0),SUMIFS(Sales_Data!$O$2:$O$3520,Sales_Data!$C$2:$C$3520,$A37,Sales_Data!$F$2:$F$3520,T$7,Sales_Data!$AE$2:$AE$3520,1),SUMIFS(Sales_Data!$M$2:$M$3520,Sales_Data!$C$2:$C$3520,$A37,Sales_Data!$F$2:$F$3520,T$7,Sales_Data!$AE$2:$AE$3520,1),SUMIFS(Sales_Data!$N$2:$N$3520,Sales_Data!$C$2:$C$3520,$A37,Sales_Data!$F$2:$F$3520,T$7,Sales_Data!$AE$2:$AE$3520,1),SUMIFS(Sales_Data!$AE$2:$AE$3520,Sales_Data!$C$2:$C$3520,$A37,Sales_Data!$F$2:$F$3520,T$7)))</f>
        <v/>
      </c>
      <c r="U37" s="26" t="str">
        <f aca="false">IF(U$7="","",CHOOSE(MATCH($B$4,Lists!$C$2:$C$5,0),SUMIFS(Sales_Data!$O$2:$O$3520,Sales_Data!$C$2:$C$3520,$A37,Sales_Data!$F$2:$F$3520,U$7,Sales_Data!$AE$2:$AE$3520,1),SUMIFS(Sales_Data!$M$2:$M$3520,Sales_Data!$C$2:$C$3520,$A37,Sales_Data!$F$2:$F$3520,U$7,Sales_Data!$AE$2:$AE$3520,1),SUMIFS(Sales_Data!$N$2:$N$3520,Sales_Data!$C$2:$C$3520,$A37,Sales_Data!$F$2:$F$3520,U$7,Sales_Data!$AE$2:$AE$3520,1),SUMIFS(Sales_Data!$AE$2:$AE$3520,Sales_Data!$C$2:$C$3520,$A37,Sales_Data!$F$2:$F$3520,U$7)))</f>
        <v/>
      </c>
      <c r="V37" s="26" t="str">
        <f aca="false">IF(V$7="","",CHOOSE(MATCH($B$4,Lists!$C$2:$C$5,0),SUMIFS(Sales_Data!$O$2:$O$3520,Sales_Data!$C$2:$C$3520,$A37,Sales_Data!$F$2:$F$3520,V$7,Sales_Data!$AE$2:$AE$3520,1),SUMIFS(Sales_Data!$M$2:$M$3520,Sales_Data!$C$2:$C$3520,$A37,Sales_Data!$F$2:$F$3520,V$7,Sales_Data!$AE$2:$AE$3520,1),SUMIFS(Sales_Data!$N$2:$N$3520,Sales_Data!$C$2:$C$3520,$A37,Sales_Data!$F$2:$F$3520,V$7,Sales_Data!$AE$2:$AE$3520,1),SUMIFS(Sales_Data!$AE$2:$AE$3520,Sales_Data!$C$2:$C$3520,$A37,Sales_Data!$F$2:$F$3520,V$7)))</f>
        <v/>
      </c>
      <c r="W37" s="26" t="str">
        <f aca="false">IF(W$7="","",CHOOSE(MATCH($B$4,Lists!$C$2:$C$5,0),SUMIFS(Sales_Data!$O$2:$O$3520,Sales_Data!$C$2:$C$3520,$A37,Sales_Data!$F$2:$F$3520,W$7,Sales_Data!$AE$2:$AE$3520,1),SUMIFS(Sales_Data!$M$2:$M$3520,Sales_Data!$C$2:$C$3520,$A37,Sales_Data!$F$2:$F$3520,W$7,Sales_Data!$AE$2:$AE$3520,1),SUMIFS(Sales_Data!$N$2:$N$3520,Sales_Data!$C$2:$C$3520,$A37,Sales_Data!$F$2:$F$3520,W$7,Sales_Data!$AE$2:$AE$3520,1),SUMIFS(Sales_Data!$AE$2:$AE$3520,Sales_Data!$C$2:$C$3520,$A37,Sales_Data!$F$2:$F$3520,W$7)))</f>
        <v/>
      </c>
      <c r="X37" s="26" t="str">
        <f aca="false">IF(X$7="","",CHOOSE(MATCH($B$4,Lists!$C$2:$C$5,0),SUMIFS(Sales_Data!$O$2:$O$3520,Sales_Data!$C$2:$C$3520,$A37,Sales_Data!$F$2:$F$3520,X$7,Sales_Data!$AE$2:$AE$3520,1),SUMIFS(Sales_Data!$M$2:$M$3520,Sales_Data!$C$2:$C$3520,$A37,Sales_Data!$F$2:$F$3520,X$7,Sales_Data!$AE$2:$AE$3520,1),SUMIFS(Sales_Data!$N$2:$N$3520,Sales_Data!$C$2:$C$3520,$A37,Sales_Data!$F$2:$F$3520,X$7,Sales_Data!$AE$2:$AE$3520,1),SUMIFS(Sales_Data!$AE$2:$AE$3520,Sales_Data!$C$2:$C$3520,$A37,Sales_Data!$F$2:$F$3520,X$7)))</f>
        <v/>
      </c>
      <c r="Y37" s="26" t="str">
        <f aca="false">IF(Y$7="","",CHOOSE(MATCH($B$4,Lists!$C$2:$C$5,0),SUMIFS(Sales_Data!$O$2:$O$3520,Sales_Data!$C$2:$C$3520,$A37,Sales_Data!$F$2:$F$3520,Y$7,Sales_Data!$AE$2:$AE$3520,1),SUMIFS(Sales_Data!$M$2:$M$3520,Sales_Data!$C$2:$C$3520,$A37,Sales_Data!$F$2:$F$3520,Y$7,Sales_Data!$AE$2:$AE$3520,1),SUMIFS(Sales_Data!$N$2:$N$3520,Sales_Data!$C$2:$C$3520,$A37,Sales_Data!$F$2:$F$3520,Y$7,Sales_Data!$AE$2:$AE$3520,1),SUMIFS(Sales_Data!$AE$2:$AE$3520,Sales_Data!$C$2:$C$3520,$A37,Sales_Data!$F$2:$F$3520,Y$7)))</f>
        <v/>
      </c>
      <c r="Z37" s="26" t="str">
        <f aca="false">IF(Z$7="","",CHOOSE(MATCH($B$4,Lists!$C$2:$C$5,0),SUMIFS(Sales_Data!$O$2:$O$3520,Sales_Data!$C$2:$C$3520,$A37,Sales_Data!$F$2:$F$3520,Z$7,Sales_Data!$AE$2:$AE$3520,1),SUMIFS(Sales_Data!$M$2:$M$3520,Sales_Data!$C$2:$C$3520,$A37,Sales_Data!$F$2:$F$3520,Z$7,Sales_Data!$AE$2:$AE$3520,1),SUMIFS(Sales_Data!$N$2:$N$3520,Sales_Data!$C$2:$C$3520,$A37,Sales_Data!$F$2:$F$3520,Z$7,Sales_Data!$AE$2:$AE$3520,1),SUMIFS(Sales_Data!$AE$2:$AE$3520,Sales_Data!$C$2:$C$3520,$A37,Sales_Data!$F$2:$F$3520,Z$7)))</f>
        <v/>
      </c>
      <c r="AA37" s="27" t="n">
        <f aca="false">SUM(B37:Z37)</f>
        <v>0</v>
      </c>
      <c r="AB37" s="3"/>
      <c r="AC37" s="72" t="n">
        <f aca="false">A37</f>
        <v>46244</v>
      </c>
      <c r="AD37" s="28" t="n">
        <f aca="false">IF(B37="","",B37-B36)</f>
        <v>0</v>
      </c>
      <c r="AE37" s="28" t="n">
        <f aca="false">IF(C37="","",C37-C36)</f>
        <v>0</v>
      </c>
      <c r="AF37" s="28" t="n">
        <f aca="false">IF(D37="","",D37-D36)</f>
        <v>0</v>
      </c>
      <c r="AG37" s="28" t="n">
        <f aca="false">IF(E37="","",E37-E36)</f>
        <v>0</v>
      </c>
      <c r="AH37" s="28" t="n">
        <f aca="false">IF(F37="","",F37-F36)</f>
        <v>0</v>
      </c>
      <c r="AI37" s="28" t="n">
        <f aca="false">IF(G37="","",G37-G36)</f>
        <v>0</v>
      </c>
      <c r="AJ37" s="28" t="n">
        <f aca="false">IF(H37="","",H37-H36)</f>
        <v>0</v>
      </c>
      <c r="AK37" s="28" t="n">
        <f aca="false">IF(I37="","",I37-I36)</f>
        <v>0</v>
      </c>
      <c r="AL37" s="28" t="n">
        <f aca="false">IF(J37="","",J37-J36)</f>
        <v>0</v>
      </c>
      <c r="AM37" s="28" t="n">
        <f aca="false">IF(K37="","",K37-K36)</f>
        <v>0</v>
      </c>
      <c r="AN37" s="28" t="n">
        <f aca="false">IF(L37="","",L37-L36)</f>
        <v>0</v>
      </c>
      <c r="AO37" s="28" t="n">
        <f aca="false">IF(M37="","",M37-M36)</f>
        <v>0</v>
      </c>
      <c r="AP37" s="28" t="n">
        <f aca="false">IF(N37="","",N37-N36)</f>
        <v>0</v>
      </c>
      <c r="AQ37" s="28" t="n">
        <f aca="false">IF(O37="","",O37-O36)</f>
        <v>0</v>
      </c>
      <c r="AR37" s="28" t="n">
        <f aca="false">IF(P37="","",P37-P36)</f>
        <v>0</v>
      </c>
      <c r="AS37" s="28" t="n">
        <f aca="false">IF(Q37="","",Q37-Q36)</f>
        <v>0</v>
      </c>
      <c r="AT37" s="28" t="n">
        <f aca="false">IF(R37="","",R37-R36)</f>
        <v>0</v>
      </c>
      <c r="AU37" s="28" t="n">
        <f aca="false">IF(S37="","",S37-S36)</f>
        <v>0</v>
      </c>
      <c r="AV37" s="28" t="str">
        <f aca="false">IF(T37="","",T37-T36)</f>
        <v/>
      </c>
      <c r="AW37" s="28" t="str">
        <f aca="false">IF(U37="","",U37-U36)</f>
        <v/>
      </c>
      <c r="AX37" s="28" t="str">
        <f aca="false">IF(V37="","",V37-V36)</f>
        <v/>
      </c>
      <c r="AY37" s="28" t="str">
        <f aca="false">IF(W37="","",W37-W36)</f>
        <v/>
      </c>
      <c r="AZ37" s="28" t="str">
        <f aca="false">IF(X37="","",X37-X36)</f>
        <v/>
      </c>
      <c r="BA37" s="28" t="str">
        <f aca="false">IF(Y37="","",Y37-Y36)</f>
        <v/>
      </c>
      <c r="BB37" s="28" t="str">
        <f aca="false">IF(Z37="","",Z37-Z36)</f>
        <v/>
      </c>
      <c r="BC37" s="28" t="n">
        <f aca="false">IF(AA37="","",AA37-AA36)</f>
        <v>0</v>
      </c>
    </row>
    <row r="38" customFormat="false" ht="15" hidden="false" customHeight="false" outlineLevel="0" collapsed="false">
      <c r="A38" s="72" t="n">
        <v>46245</v>
      </c>
      <c r="B38" s="26" t="n">
        <f aca="false">IF(B$7="","",CHOOSE(MATCH($B$4,Lists!$C$2:$C$5,0),SUMIFS(Sales_Data!$O$2:$O$3520,Sales_Data!$C$2:$C$3520,$A38,Sales_Data!$F$2:$F$3520,B$7,Sales_Data!$AE$2:$AE$3520,1),SUMIFS(Sales_Data!$M$2:$M$3520,Sales_Data!$C$2:$C$3520,$A38,Sales_Data!$F$2:$F$3520,B$7,Sales_Data!$AE$2:$AE$3520,1),SUMIFS(Sales_Data!$N$2:$N$3520,Sales_Data!$C$2:$C$3520,$A38,Sales_Data!$F$2:$F$3520,B$7,Sales_Data!$AE$2:$AE$3520,1),SUMIFS(Sales_Data!$AE$2:$AE$3520,Sales_Data!$C$2:$C$3520,$A38,Sales_Data!$F$2:$F$3520,B$7)))</f>
        <v>0</v>
      </c>
      <c r="C38" s="26" t="n">
        <f aca="false">IF(C$7="","",CHOOSE(MATCH($B$4,Lists!$C$2:$C$5,0),SUMIFS(Sales_Data!$O$2:$O$3520,Sales_Data!$C$2:$C$3520,$A38,Sales_Data!$F$2:$F$3520,C$7,Sales_Data!$AE$2:$AE$3520,1),SUMIFS(Sales_Data!$M$2:$M$3520,Sales_Data!$C$2:$C$3520,$A38,Sales_Data!$F$2:$F$3520,C$7,Sales_Data!$AE$2:$AE$3520,1),SUMIFS(Sales_Data!$N$2:$N$3520,Sales_Data!$C$2:$C$3520,$A38,Sales_Data!$F$2:$F$3520,C$7,Sales_Data!$AE$2:$AE$3520,1),SUMIFS(Sales_Data!$AE$2:$AE$3520,Sales_Data!$C$2:$C$3520,$A38,Sales_Data!$F$2:$F$3520,C$7)))</f>
        <v>0</v>
      </c>
      <c r="D38" s="26" t="n">
        <f aca="false">IF(D$7="","",CHOOSE(MATCH($B$4,Lists!$C$2:$C$5,0),SUMIFS(Sales_Data!$O$2:$O$3520,Sales_Data!$C$2:$C$3520,$A38,Sales_Data!$F$2:$F$3520,D$7,Sales_Data!$AE$2:$AE$3520,1),SUMIFS(Sales_Data!$M$2:$M$3520,Sales_Data!$C$2:$C$3520,$A38,Sales_Data!$F$2:$F$3520,D$7,Sales_Data!$AE$2:$AE$3520,1),SUMIFS(Sales_Data!$N$2:$N$3520,Sales_Data!$C$2:$C$3520,$A38,Sales_Data!$F$2:$F$3520,D$7,Sales_Data!$AE$2:$AE$3520,1),SUMIFS(Sales_Data!$AE$2:$AE$3520,Sales_Data!$C$2:$C$3520,$A38,Sales_Data!$F$2:$F$3520,D$7)))</f>
        <v>0</v>
      </c>
      <c r="E38" s="26" t="n">
        <f aca="false">IF(E$7="","",CHOOSE(MATCH($B$4,Lists!$C$2:$C$5,0),SUMIFS(Sales_Data!$O$2:$O$3520,Sales_Data!$C$2:$C$3520,$A38,Sales_Data!$F$2:$F$3520,E$7,Sales_Data!$AE$2:$AE$3520,1),SUMIFS(Sales_Data!$M$2:$M$3520,Sales_Data!$C$2:$C$3520,$A38,Sales_Data!$F$2:$F$3520,E$7,Sales_Data!$AE$2:$AE$3520,1),SUMIFS(Sales_Data!$N$2:$N$3520,Sales_Data!$C$2:$C$3520,$A38,Sales_Data!$F$2:$F$3520,E$7,Sales_Data!$AE$2:$AE$3520,1),SUMIFS(Sales_Data!$AE$2:$AE$3520,Sales_Data!$C$2:$C$3520,$A38,Sales_Data!$F$2:$F$3520,E$7)))</f>
        <v>0</v>
      </c>
      <c r="F38" s="26" t="n">
        <f aca="false">IF(F$7="","",CHOOSE(MATCH($B$4,Lists!$C$2:$C$5,0),SUMIFS(Sales_Data!$O$2:$O$3520,Sales_Data!$C$2:$C$3520,$A38,Sales_Data!$F$2:$F$3520,F$7,Sales_Data!$AE$2:$AE$3520,1),SUMIFS(Sales_Data!$M$2:$M$3520,Sales_Data!$C$2:$C$3520,$A38,Sales_Data!$F$2:$F$3520,F$7,Sales_Data!$AE$2:$AE$3520,1),SUMIFS(Sales_Data!$N$2:$N$3520,Sales_Data!$C$2:$C$3520,$A38,Sales_Data!$F$2:$F$3520,F$7,Sales_Data!$AE$2:$AE$3520,1),SUMIFS(Sales_Data!$AE$2:$AE$3520,Sales_Data!$C$2:$C$3520,$A38,Sales_Data!$F$2:$F$3520,F$7)))</f>
        <v>0</v>
      </c>
      <c r="G38" s="26" t="n">
        <f aca="false">IF(G$7="","",CHOOSE(MATCH($B$4,Lists!$C$2:$C$5,0),SUMIFS(Sales_Data!$O$2:$O$3520,Sales_Data!$C$2:$C$3520,$A38,Sales_Data!$F$2:$F$3520,G$7,Sales_Data!$AE$2:$AE$3520,1),SUMIFS(Sales_Data!$M$2:$M$3520,Sales_Data!$C$2:$C$3520,$A38,Sales_Data!$F$2:$F$3520,G$7,Sales_Data!$AE$2:$AE$3520,1),SUMIFS(Sales_Data!$N$2:$N$3520,Sales_Data!$C$2:$C$3520,$A38,Sales_Data!$F$2:$F$3520,G$7,Sales_Data!$AE$2:$AE$3520,1),SUMIFS(Sales_Data!$AE$2:$AE$3520,Sales_Data!$C$2:$C$3520,$A38,Sales_Data!$F$2:$F$3520,G$7)))</f>
        <v>0</v>
      </c>
      <c r="H38" s="26" t="n">
        <f aca="false">IF(H$7="","",CHOOSE(MATCH($B$4,Lists!$C$2:$C$5,0),SUMIFS(Sales_Data!$O$2:$O$3520,Sales_Data!$C$2:$C$3520,$A38,Sales_Data!$F$2:$F$3520,H$7,Sales_Data!$AE$2:$AE$3520,1),SUMIFS(Sales_Data!$M$2:$M$3520,Sales_Data!$C$2:$C$3520,$A38,Sales_Data!$F$2:$F$3520,H$7,Sales_Data!$AE$2:$AE$3520,1),SUMIFS(Sales_Data!$N$2:$N$3520,Sales_Data!$C$2:$C$3520,$A38,Sales_Data!$F$2:$F$3520,H$7,Sales_Data!$AE$2:$AE$3520,1),SUMIFS(Sales_Data!$AE$2:$AE$3520,Sales_Data!$C$2:$C$3520,$A38,Sales_Data!$F$2:$F$3520,H$7)))</f>
        <v>0</v>
      </c>
      <c r="I38" s="26" t="n">
        <f aca="false">IF(I$7="","",CHOOSE(MATCH($B$4,Lists!$C$2:$C$5,0),SUMIFS(Sales_Data!$O$2:$O$3520,Sales_Data!$C$2:$C$3520,$A38,Sales_Data!$F$2:$F$3520,I$7,Sales_Data!$AE$2:$AE$3520,1),SUMIFS(Sales_Data!$M$2:$M$3520,Sales_Data!$C$2:$C$3520,$A38,Sales_Data!$F$2:$F$3520,I$7,Sales_Data!$AE$2:$AE$3520,1),SUMIFS(Sales_Data!$N$2:$N$3520,Sales_Data!$C$2:$C$3520,$A38,Sales_Data!$F$2:$F$3520,I$7,Sales_Data!$AE$2:$AE$3520,1),SUMIFS(Sales_Data!$AE$2:$AE$3520,Sales_Data!$C$2:$C$3520,$A38,Sales_Data!$F$2:$F$3520,I$7)))</f>
        <v>0</v>
      </c>
      <c r="J38" s="26" t="n">
        <f aca="false">IF(J$7="","",CHOOSE(MATCH($B$4,Lists!$C$2:$C$5,0),SUMIFS(Sales_Data!$O$2:$O$3520,Sales_Data!$C$2:$C$3520,$A38,Sales_Data!$F$2:$F$3520,J$7,Sales_Data!$AE$2:$AE$3520,1),SUMIFS(Sales_Data!$M$2:$M$3520,Sales_Data!$C$2:$C$3520,$A38,Sales_Data!$F$2:$F$3520,J$7,Sales_Data!$AE$2:$AE$3520,1),SUMIFS(Sales_Data!$N$2:$N$3520,Sales_Data!$C$2:$C$3520,$A38,Sales_Data!$F$2:$F$3520,J$7,Sales_Data!$AE$2:$AE$3520,1),SUMIFS(Sales_Data!$AE$2:$AE$3520,Sales_Data!$C$2:$C$3520,$A38,Sales_Data!$F$2:$F$3520,J$7)))</f>
        <v>0</v>
      </c>
      <c r="K38" s="26" t="n">
        <f aca="false">IF(K$7="","",CHOOSE(MATCH($B$4,Lists!$C$2:$C$5,0),SUMIFS(Sales_Data!$O$2:$O$3520,Sales_Data!$C$2:$C$3520,$A38,Sales_Data!$F$2:$F$3520,K$7,Sales_Data!$AE$2:$AE$3520,1),SUMIFS(Sales_Data!$M$2:$M$3520,Sales_Data!$C$2:$C$3520,$A38,Sales_Data!$F$2:$F$3520,K$7,Sales_Data!$AE$2:$AE$3520,1),SUMIFS(Sales_Data!$N$2:$N$3520,Sales_Data!$C$2:$C$3520,$A38,Sales_Data!$F$2:$F$3520,K$7,Sales_Data!$AE$2:$AE$3520,1),SUMIFS(Sales_Data!$AE$2:$AE$3520,Sales_Data!$C$2:$C$3520,$A38,Sales_Data!$F$2:$F$3520,K$7)))</f>
        <v>0</v>
      </c>
      <c r="L38" s="26" t="n">
        <f aca="false">IF(L$7="","",CHOOSE(MATCH($B$4,Lists!$C$2:$C$5,0),SUMIFS(Sales_Data!$O$2:$O$3520,Sales_Data!$C$2:$C$3520,$A38,Sales_Data!$F$2:$F$3520,L$7,Sales_Data!$AE$2:$AE$3520,1),SUMIFS(Sales_Data!$M$2:$M$3520,Sales_Data!$C$2:$C$3520,$A38,Sales_Data!$F$2:$F$3520,L$7,Sales_Data!$AE$2:$AE$3520,1),SUMIFS(Sales_Data!$N$2:$N$3520,Sales_Data!$C$2:$C$3520,$A38,Sales_Data!$F$2:$F$3520,L$7,Sales_Data!$AE$2:$AE$3520,1),SUMIFS(Sales_Data!$AE$2:$AE$3520,Sales_Data!$C$2:$C$3520,$A38,Sales_Data!$F$2:$F$3520,L$7)))</f>
        <v>0</v>
      </c>
      <c r="M38" s="26" t="n">
        <f aca="false">IF(M$7="","",CHOOSE(MATCH($B$4,Lists!$C$2:$C$5,0),SUMIFS(Sales_Data!$O$2:$O$3520,Sales_Data!$C$2:$C$3520,$A38,Sales_Data!$F$2:$F$3520,M$7,Sales_Data!$AE$2:$AE$3520,1),SUMIFS(Sales_Data!$M$2:$M$3520,Sales_Data!$C$2:$C$3520,$A38,Sales_Data!$F$2:$F$3520,M$7,Sales_Data!$AE$2:$AE$3520,1),SUMIFS(Sales_Data!$N$2:$N$3520,Sales_Data!$C$2:$C$3520,$A38,Sales_Data!$F$2:$F$3520,M$7,Sales_Data!$AE$2:$AE$3520,1),SUMIFS(Sales_Data!$AE$2:$AE$3520,Sales_Data!$C$2:$C$3520,$A38,Sales_Data!$F$2:$F$3520,M$7)))</f>
        <v>0</v>
      </c>
      <c r="N38" s="26" t="n">
        <f aca="false">IF(N$7="","",CHOOSE(MATCH($B$4,Lists!$C$2:$C$5,0),SUMIFS(Sales_Data!$O$2:$O$3520,Sales_Data!$C$2:$C$3520,$A38,Sales_Data!$F$2:$F$3520,N$7,Sales_Data!$AE$2:$AE$3520,1),SUMIFS(Sales_Data!$M$2:$M$3520,Sales_Data!$C$2:$C$3520,$A38,Sales_Data!$F$2:$F$3520,N$7,Sales_Data!$AE$2:$AE$3520,1),SUMIFS(Sales_Data!$N$2:$N$3520,Sales_Data!$C$2:$C$3520,$A38,Sales_Data!$F$2:$F$3520,N$7,Sales_Data!$AE$2:$AE$3520,1),SUMIFS(Sales_Data!$AE$2:$AE$3520,Sales_Data!$C$2:$C$3520,$A38,Sales_Data!$F$2:$F$3520,N$7)))</f>
        <v>0</v>
      </c>
      <c r="O38" s="26" t="n">
        <f aca="false">IF(O$7="","",CHOOSE(MATCH($B$4,Lists!$C$2:$C$5,0),SUMIFS(Sales_Data!$O$2:$O$3520,Sales_Data!$C$2:$C$3520,$A38,Sales_Data!$F$2:$F$3520,O$7,Sales_Data!$AE$2:$AE$3520,1),SUMIFS(Sales_Data!$M$2:$M$3520,Sales_Data!$C$2:$C$3520,$A38,Sales_Data!$F$2:$F$3520,O$7,Sales_Data!$AE$2:$AE$3520,1),SUMIFS(Sales_Data!$N$2:$N$3520,Sales_Data!$C$2:$C$3520,$A38,Sales_Data!$F$2:$F$3520,O$7,Sales_Data!$AE$2:$AE$3520,1),SUMIFS(Sales_Data!$AE$2:$AE$3520,Sales_Data!$C$2:$C$3520,$A38,Sales_Data!$F$2:$F$3520,O$7)))</f>
        <v>0</v>
      </c>
      <c r="P38" s="26" t="n">
        <f aca="false">IF(P$7="","",CHOOSE(MATCH($B$4,Lists!$C$2:$C$5,0),SUMIFS(Sales_Data!$O$2:$O$3520,Sales_Data!$C$2:$C$3520,$A38,Sales_Data!$F$2:$F$3520,P$7,Sales_Data!$AE$2:$AE$3520,1),SUMIFS(Sales_Data!$M$2:$M$3520,Sales_Data!$C$2:$C$3520,$A38,Sales_Data!$F$2:$F$3520,P$7,Sales_Data!$AE$2:$AE$3520,1),SUMIFS(Sales_Data!$N$2:$N$3520,Sales_Data!$C$2:$C$3520,$A38,Sales_Data!$F$2:$F$3520,P$7,Sales_Data!$AE$2:$AE$3520,1),SUMIFS(Sales_Data!$AE$2:$AE$3520,Sales_Data!$C$2:$C$3520,$A38,Sales_Data!$F$2:$F$3520,P$7)))</f>
        <v>0</v>
      </c>
      <c r="Q38" s="26" t="n">
        <f aca="false">IF(Q$7="","",CHOOSE(MATCH($B$4,Lists!$C$2:$C$5,0),SUMIFS(Sales_Data!$O$2:$O$3520,Sales_Data!$C$2:$C$3520,$A38,Sales_Data!$F$2:$F$3520,Q$7,Sales_Data!$AE$2:$AE$3520,1),SUMIFS(Sales_Data!$M$2:$M$3520,Sales_Data!$C$2:$C$3520,$A38,Sales_Data!$F$2:$F$3520,Q$7,Sales_Data!$AE$2:$AE$3520,1),SUMIFS(Sales_Data!$N$2:$N$3520,Sales_Data!$C$2:$C$3520,$A38,Sales_Data!$F$2:$F$3520,Q$7,Sales_Data!$AE$2:$AE$3520,1),SUMIFS(Sales_Data!$AE$2:$AE$3520,Sales_Data!$C$2:$C$3520,$A38,Sales_Data!$F$2:$F$3520,Q$7)))</f>
        <v>0</v>
      </c>
      <c r="R38" s="26" t="n">
        <f aca="false">IF(R$7="","",CHOOSE(MATCH($B$4,Lists!$C$2:$C$5,0),SUMIFS(Sales_Data!$O$2:$O$3520,Sales_Data!$C$2:$C$3520,$A38,Sales_Data!$F$2:$F$3520,R$7,Sales_Data!$AE$2:$AE$3520,1),SUMIFS(Sales_Data!$M$2:$M$3520,Sales_Data!$C$2:$C$3520,$A38,Sales_Data!$F$2:$F$3520,R$7,Sales_Data!$AE$2:$AE$3520,1),SUMIFS(Sales_Data!$N$2:$N$3520,Sales_Data!$C$2:$C$3520,$A38,Sales_Data!$F$2:$F$3520,R$7,Sales_Data!$AE$2:$AE$3520,1),SUMIFS(Sales_Data!$AE$2:$AE$3520,Sales_Data!$C$2:$C$3520,$A38,Sales_Data!$F$2:$F$3520,R$7)))</f>
        <v>0</v>
      </c>
      <c r="S38" s="26" t="n">
        <f aca="false">IF(S$7="","",CHOOSE(MATCH($B$4,Lists!$C$2:$C$5,0),SUMIFS(Sales_Data!$O$2:$O$3520,Sales_Data!$C$2:$C$3520,$A38,Sales_Data!$F$2:$F$3520,S$7,Sales_Data!$AE$2:$AE$3520,1),SUMIFS(Sales_Data!$M$2:$M$3520,Sales_Data!$C$2:$C$3520,$A38,Sales_Data!$F$2:$F$3520,S$7,Sales_Data!$AE$2:$AE$3520,1),SUMIFS(Sales_Data!$N$2:$N$3520,Sales_Data!$C$2:$C$3520,$A38,Sales_Data!$F$2:$F$3520,S$7,Sales_Data!$AE$2:$AE$3520,1),SUMIFS(Sales_Data!$AE$2:$AE$3520,Sales_Data!$C$2:$C$3520,$A38,Sales_Data!$F$2:$F$3520,S$7)))</f>
        <v>0</v>
      </c>
      <c r="T38" s="26" t="str">
        <f aca="false">IF(T$7="","",CHOOSE(MATCH($B$4,Lists!$C$2:$C$5,0),SUMIFS(Sales_Data!$O$2:$O$3520,Sales_Data!$C$2:$C$3520,$A38,Sales_Data!$F$2:$F$3520,T$7,Sales_Data!$AE$2:$AE$3520,1),SUMIFS(Sales_Data!$M$2:$M$3520,Sales_Data!$C$2:$C$3520,$A38,Sales_Data!$F$2:$F$3520,T$7,Sales_Data!$AE$2:$AE$3520,1),SUMIFS(Sales_Data!$N$2:$N$3520,Sales_Data!$C$2:$C$3520,$A38,Sales_Data!$F$2:$F$3520,T$7,Sales_Data!$AE$2:$AE$3520,1),SUMIFS(Sales_Data!$AE$2:$AE$3520,Sales_Data!$C$2:$C$3520,$A38,Sales_Data!$F$2:$F$3520,T$7)))</f>
        <v/>
      </c>
      <c r="U38" s="26" t="str">
        <f aca="false">IF(U$7="","",CHOOSE(MATCH($B$4,Lists!$C$2:$C$5,0),SUMIFS(Sales_Data!$O$2:$O$3520,Sales_Data!$C$2:$C$3520,$A38,Sales_Data!$F$2:$F$3520,U$7,Sales_Data!$AE$2:$AE$3520,1),SUMIFS(Sales_Data!$M$2:$M$3520,Sales_Data!$C$2:$C$3520,$A38,Sales_Data!$F$2:$F$3520,U$7,Sales_Data!$AE$2:$AE$3520,1),SUMIFS(Sales_Data!$N$2:$N$3520,Sales_Data!$C$2:$C$3520,$A38,Sales_Data!$F$2:$F$3520,U$7,Sales_Data!$AE$2:$AE$3520,1),SUMIFS(Sales_Data!$AE$2:$AE$3520,Sales_Data!$C$2:$C$3520,$A38,Sales_Data!$F$2:$F$3520,U$7)))</f>
        <v/>
      </c>
      <c r="V38" s="26" t="str">
        <f aca="false">IF(V$7="","",CHOOSE(MATCH($B$4,Lists!$C$2:$C$5,0),SUMIFS(Sales_Data!$O$2:$O$3520,Sales_Data!$C$2:$C$3520,$A38,Sales_Data!$F$2:$F$3520,V$7,Sales_Data!$AE$2:$AE$3520,1),SUMIFS(Sales_Data!$M$2:$M$3520,Sales_Data!$C$2:$C$3520,$A38,Sales_Data!$F$2:$F$3520,V$7,Sales_Data!$AE$2:$AE$3520,1),SUMIFS(Sales_Data!$N$2:$N$3520,Sales_Data!$C$2:$C$3520,$A38,Sales_Data!$F$2:$F$3520,V$7,Sales_Data!$AE$2:$AE$3520,1),SUMIFS(Sales_Data!$AE$2:$AE$3520,Sales_Data!$C$2:$C$3520,$A38,Sales_Data!$F$2:$F$3520,V$7)))</f>
        <v/>
      </c>
      <c r="W38" s="26" t="str">
        <f aca="false">IF(W$7="","",CHOOSE(MATCH($B$4,Lists!$C$2:$C$5,0),SUMIFS(Sales_Data!$O$2:$O$3520,Sales_Data!$C$2:$C$3520,$A38,Sales_Data!$F$2:$F$3520,W$7,Sales_Data!$AE$2:$AE$3520,1),SUMIFS(Sales_Data!$M$2:$M$3520,Sales_Data!$C$2:$C$3520,$A38,Sales_Data!$F$2:$F$3520,W$7,Sales_Data!$AE$2:$AE$3520,1),SUMIFS(Sales_Data!$N$2:$N$3520,Sales_Data!$C$2:$C$3520,$A38,Sales_Data!$F$2:$F$3520,W$7,Sales_Data!$AE$2:$AE$3520,1),SUMIFS(Sales_Data!$AE$2:$AE$3520,Sales_Data!$C$2:$C$3520,$A38,Sales_Data!$F$2:$F$3520,W$7)))</f>
        <v/>
      </c>
      <c r="X38" s="26" t="str">
        <f aca="false">IF(X$7="","",CHOOSE(MATCH($B$4,Lists!$C$2:$C$5,0),SUMIFS(Sales_Data!$O$2:$O$3520,Sales_Data!$C$2:$C$3520,$A38,Sales_Data!$F$2:$F$3520,X$7,Sales_Data!$AE$2:$AE$3520,1),SUMIFS(Sales_Data!$M$2:$M$3520,Sales_Data!$C$2:$C$3520,$A38,Sales_Data!$F$2:$F$3520,X$7,Sales_Data!$AE$2:$AE$3520,1),SUMIFS(Sales_Data!$N$2:$N$3520,Sales_Data!$C$2:$C$3520,$A38,Sales_Data!$F$2:$F$3520,X$7,Sales_Data!$AE$2:$AE$3520,1),SUMIFS(Sales_Data!$AE$2:$AE$3520,Sales_Data!$C$2:$C$3520,$A38,Sales_Data!$F$2:$F$3520,X$7)))</f>
        <v/>
      </c>
      <c r="Y38" s="26" t="str">
        <f aca="false">IF(Y$7="","",CHOOSE(MATCH($B$4,Lists!$C$2:$C$5,0),SUMIFS(Sales_Data!$O$2:$O$3520,Sales_Data!$C$2:$C$3520,$A38,Sales_Data!$F$2:$F$3520,Y$7,Sales_Data!$AE$2:$AE$3520,1),SUMIFS(Sales_Data!$M$2:$M$3520,Sales_Data!$C$2:$C$3520,$A38,Sales_Data!$F$2:$F$3520,Y$7,Sales_Data!$AE$2:$AE$3520,1),SUMIFS(Sales_Data!$N$2:$N$3520,Sales_Data!$C$2:$C$3520,$A38,Sales_Data!$F$2:$F$3520,Y$7,Sales_Data!$AE$2:$AE$3520,1),SUMIFS(Sales_Data!$AE$2:$AE$3520,Sales_Data!$C$2:$C$3520,$A38,Sales_Data!$F$2:$F$3520,Y$7)))</f>
        <v/>
      </c>
      <c r="Z38" s="26" t="str">
        <f aca="false">IF(Z$7="","",CHOOSE(MATCH($B$4,Lists!$C$2:$C$5,0),SUMIFS(Sales_Data!$O$2:$O$3520,Sales_Data!$C$2:$C$3520,$A38,Sales_Data!$F$2:$F$3520,Z$7,Sales_Data!$AE$2:$AE$3520,1),SUMIFS(Sales_Data!$M$2:$M$3520,Sales_Data!$C$2:$C$3520,$A38,Sales_Data!$F$2:$F$3520,Z$7,Sales_Data!$AE$2:$AE$3520,1),SUMIFS(Sales_Data!$N$2:$N$3520,Sales_Data!$C$2:$C$3520,$A38,Sales_Data!$F$2:$F$3520,Z$7,Sales_Data!$AE$2:$AE$3520,1),SUMIFS(Sales_Data!$AE$2:$AE$3520,Sales_Data!$C$2:$C$3520,$A38,Sales_Data!$F$2:$F$3520,Z$7)))</f>
        <v/>
      </c>
      <c r="AA38" s="27" t="n">
        <f aca="false">SUM(B38:Z38)</f>
        <v>0</v>
      </c>
      <c r="AB38" s="3"/>
      <c r="AC38" s="72" t="n">
        <f aca="false">A38</f>
        <v>46245</v>
      </c>
      <c r="AD38" s="28" t="n">
        <f aca="false">IF(B38="","",B38-B37)</f>
        <v>0</v>
      </c>
      <c r="AE38" s="28" t="n">
        <f aca="false">IF(C38="","",C38-C37)</f>
        <v>0</v>
      </c>
      <c r="AF38" s="28" t="n">
        <f aca="false">IF(D38="","",D38-D37)</f>
        <v>0</v>
      </c>
      <c r="AG38" s="28" t="n">
        <f aca="false">IF(E38="","",E38-E37)</f>
        <v>0</v>
      </c>
      <c r="AH38" s="28" t="n">
        <f aca="false">IF(F38="","",F38-F37)</f>
        <v>0</v>
      </c>
      <c r="AI38" s="28" t="n">
        <f aca="false">IF(G38="","",G38-G37)</f>
        <v>0</v>
      </c>
      <c r="AJ38" s="28" t="n">
        <f aca="false">IF(H38="","",H38-H37)</f>
        <v>0</v>
      </c>
      <c r="AK38" s="28" t="n">
        <f aca="false">IF(I38="","",I38-I37)</f>
        <v>0</v>
      </c>
      <c r="AL38" s="28" t="n">
        <f aca="false">IF(J38="","",J38-J37)</f>
        <v>0</v>
      </c>
      <c r="AM38" s="28" t="n">
        <f aca="false">IF(K38="","",K38-K37)</f>
        <v>0</v>
      </c>
      <c r="AN38" s="28" t="n">
        <f aca="false">IF(L38="","",L38-L37)</f>
        <v>0</v>
      </c>
      <c r="AO38" s="28" t="n">
        <f aca="false">IF(M38="","",M38-M37)</f>
        <v>0</v>
      </c>
      <c r="AP38" s="28" t="n">
        <f aca="false">IF(N38="","",N38-N37)</f>
        <v>0</v>
      </c>
      <c r="AQ38" s="28" t="n">
        <f aca="false">IF(O38="","",O38-O37)</f>
        <v>0</v>
      </c>
      <c r="AR38" s="28" t="n">
        <f aca="false">IF(P38="","",P38-P37)</f>
        <v>0</v>
      </c>
      <c r="AS38" s="28" t="n">
        <f aca="false">IF(Q38="","",Q38-Q37)</f>
        <v>0</v>
      </c>
      <c r="AT38" s="28" t="n">
        <f aca="false">IF(R38="","",R38-R37)</f>
        <v>0</v>
      </c>
      <c r="AU38" s="28" t="n">
        <f aca="false">IF(S38="","",S38-S37)</f>
        <v>0</v>
      </c>
      <c r="AV38" s="28" t="str">
        <f aca="false">IF(T38="","",T38-T37)</f>
        <v/>
      </c>
      <c r="AW38" s="28" t="str">
        <f aca="false">IF(U38="","",U38-U37)</f>
        <v/>
      </c>
      <c r="AX38" s="28" t="str">
        <f aca="false">IF(V38="","",V38-V37)</f>
        <v/>
      </c>
      <c r="AY38" s="28" t="str">
        <f aca="false">IF(W38="","",W38-W37)</f>
        <v/>
      </c>
      <c r="AZ38" s="28" t="str">
        <f aca="false">IF(X38="","",X38-X37)</f>
        <v/>
      </c>
      <c r="BA38" s="28" t="str">
        <f aca="false">IF(Y38="","",Y38-Y37)</f>
        <v/>
      </c>
      <c r="BB38" s="28" t="str">
        <f aca="false">IF(Z38="","",Z38-Z37)</f>
        <v/>
      </c>
      <c r="BC38" s="28" t="n">
        <f aca="false">IF(AA38="","",AA38-AA37)</f>
        <v>0</v>
      </c>
    </row>
    <row r="39" customFormat="false" ht="15" hidden="false" customHeight="false" outlineLevel="0" collapsed="false">
      <c r="A39" s="72" t="n">
        <v>46246</v>
      </c>
      <c r="B39" s="26" t="n">
        <f aca="false">IF(B$7="","",CHOOSE(MATCH($B$4,Lists!$C$2:$C$5,0),SUMIFS(Sales_Data!$O$2:$O$3520,Sales_Data!$C$2:$C$3520,$A39,Sales_Data!$F$2:$F$3520,B$7,Sales_Data!$AE$2:$AE$3520,1),SUMIFS(Sales_Data!$M$2:$M$3520,Sales_Data!$C$2:$C$3520,$A39,Sales_Data!$F$2:$F$3520,B$7,Sales_Data!$AE$2:$AE$3520,1),SUMIFS(Sales_Data!$N$2:$N$3520,Sales_Data!$C$2:$C$3520,$A39,Sales_Data!$F$2:$F$3520,B$7,Sales_Data!$AE$2:$AE$3520,1),SUMIFS(Sales_Data!$AE$2:$AE$3520,Sales_Data!$C$2:$C$3520,$A39,Sales_Data!$F$2:$F$3520,B$7)))</f>
        <v>0</v>
      </c>
      <c r="C39" s="26" t="n">
        <f aca="false">IF(C$7="","",CHOOSE(MATCH($B$4,Lists!$C$2:$C$5,0),SUMIFS(Sales_Data!$O$2:$O$3520,Sales_Data!$C$2:$C$3520,$A39,Sales_Data!$F$2:$F$3520,C$7,Sales_Data!$AE$2:$AE$3520,1),SUMIFS(Sales_Data!$M$2:$M$3520,Sales_Data!$C$2:$C$3520,$A39,Sales_Data!$F$2:$F$3520,C$7,Sales_Data!$AE$2:$AE$3520,1),SUMIFS(Sales_Data!$N$2:$N$3520,Sales_Data!$C$2:$C$3520,$A39,Sales_Data!$F$2:$F$3520,C$7,Sales_Data!$AE$2:$AE$3520,1),SUMIFS(Sales_Data!$AE$2:$AE$3520,Sales_Data!$C$2:$C$3520,$A39,Sales_Data!$F$2:$F$3520,C$7)))</f>
        <v>0</v>
      </c>
      <c r="D39" s="26" t="n">
        <f aca="false">IF(D$7="","",CHOOSE(MATCH($B$4,Lists!$C$2:$C$5,0),SUMIFS(Sales_Data!$O$2:$O$3520,Sales_Data!$C$2:$C$3520,$A39,Sales_Data!$F$2:$F$3520,D$7,Sales_Data!$AE$2:$AE$3520,1),SUMIFS(Sales_Data!$M$2:$M$3520,Sales_Data!$C$2:$C$3520,$A39,Sales_Data!$F$2:$F$3520,D$7,Sales_Data!$AE$2:$AE$3520,1),SUMIFS(Sales_Data!$N$2:$N$3520,Sales_Data!$C$2:$C$3520,$A39,Sales_Data!$F$2:$F$3520,D$7,Sales_Data!$AE$2:$AE$3520,1),SUMIFS(Sales_Data!$AE$2:$AE$3520,Sales_Data!$C$2:$C$3520,$A39,Sales_Data!$F$2:$F$3520,D$7)))</f>
        <v>0</v>
      </c>
      <c r="E39" s="26" t="n">
        <f aca="false">IF(E$7="","",CHOOSE(MATCH($B$4,Lists!$C$2:$C$5,0),SUMIFS(Sales_Data!$O$2:$O$3520,Sales_Data!$C$2:$C$3520,$A39,Sales_Data!$F$2:$F$3520,E$7,Sales_Data!$AE$2:$AE$3520,1),SUMIFS(Sales_Data!$M$2:$M$3520,Sales_Data!$C$2:$C$3520,$A39,Sales_Data!$F$2:$F$3520,E$7,Sales_Data!$AE$2:$AE$3520,1),SUMIFS(Sales_Data!$N$2:$N$3520,Sales_Data!$C$2:$C$3520,$A39,Sales_Data!$F$2:$F$3520,E$7,Sales_Data!$AE$2:$AE$3520,1),SUMIFS(Sales_Data!$AE$2:$AE$3520,Sales_Data!$C$2:$C$3520,$A39,Sales_Data!$F$2:$F$3520,E$7)))</f>
        <v>0</v>
      </c>
      <c r="F39" s="26" t="n">
        <f aca="false">IF(F$7="","",CHOOSE(MATCH($B$4,Lists!$C$2:$C$5,0),SUMIFS(Sales_Data!$O$2:$O$3520,Sales_Data!$C$2:$C$3520,$A39,Sales_Data!$F$2:$F$3520,F$7,Sales_Data!$AE$2:$AE$3520,1),SUMIFS(Sales_Data!$M$2:$M$3520,Sales_Data!$C$2:$C$3520,$A39,Sales_Data!$F$2:$F$3520,F$7,Sales_Data!$AE$2:$AE$3520,1),SUMIFS(Sales_Data!$N$2:$N$3520,Sales_Data!$C$2:$C$3520,$A39,Sales_Data!$F$2:$F$3520,F$7,Sales_Data!$AE$2:$AE$3520,1),SUMIFS(Sales_Data!$AE$2:$AE$3520,Sales_Data!$C$2:$C$3520,$A39,Sales_Data!$F$2:$F$3520,F$7)))</f>
        <v>0</v>
      </c>
      <c r="G39" s="26" t="n">
        <f aca="false">IF(G$7="","",CHOOSE(MATCH($B$4,Lists!$C$2:$C$5,0),SUMIFS(Sales_Data!$O$2:$O$3520,Sales_Data!$C$2:$C$3520,$A39,Sales_Data!$F$2:$F$3520,G$7,Sales_Data!$AE$2:$AE$3520,1),SUMIFS(Sales_Data!$M$2:$M$3520,Sales_Data!$C$2:$C$3520,$A39,Sales_Data!$F$2:$F$3520,G$7,Sales_Data!$AE$2:$AE$3520,1),SUMIFS(Sales_Data!$N$2:$N$3520,Sales_Data!$C$2:$C$3520,$A39,Sales_Data!$F$2:$F$3520,G$7,Sales_Data!$AE$2:$AE$3520,1),SUMIFS(Sales_Data!$AE$2:$AE$3520,Sales_Data!$C$2:$C$3520,$A39,Sales_Data!$F$2:$F$3520,G$7)))</f>
        <v>0</v>
      </c>
      <c r="H39" s="26" t="n">
        <f aca="false">IF(H$7="","",CHOOSE(MATCH($B$4,Lists!$C$2:$C$5,0),SUMIFS(Sales_Data!$O$2:$O$3520,Sales_Data!$C$2:$C$3520,$A39,Sales_Data!$F$2:$F$3520,H$7,Sales_Data!$AE$2:$AE$3520,1),SUMIFS(Sales_Data!$M$2:$M$3520,Sales_Data!$C$2:$C$3520,$A39,Sales_Data!$F$2:$F$3520,H$7,Sales_Data!$AE$2:$AE$3520,1),SUMIFS(Sales_Data!$N$2:$N$3520,Sales_Data!$C$2:$C$3520,$A39,Sales_Data!$F$2:$F$3520,H$7,Sales_Data!$AE$2:$AE$3520,1),SUMIFS(Sales_Data!$AE$2:$AE$3520,Sales_Data!$C$2:$C$3520,$A39,Sales_Data!$F$2:$F$3520,H$7)))</f>
        <v>0</v>
      </c>
      <c r="I39" s="26" t="n">
        <f aca="false">IF(I$7="","",CHOOSE(MATCH($B$4,Lists!$C$2:$C$5,0),SUMIFS(Sales_Data!$O$2:$O$3520,Sales_Data!$C$2:$C$3520,$A39,Sales_Data!$F$2:$F$3520,I$7,Sales_Data!$AE$2:$AE$3520,1),SUMIFS(Sales_Data!$M$2:$M$3520,Sales_Data!$C$2:$C$3520,$A39,Sales_Data!$F$2:$F$3520,I$7,Sales_Data!$AE$2:$AE$3520,1),SUMIFS(Sales_Data!$N$2:$N$3520,Sales_Data!$C$2:$C$3520,$A39,Sales_Data!$F$2:$F$3520,I$7,Sales_Data!$AE$2:$AE$3520,1),SUMIFS(Sales_Data!$AE$2:$AE$3520,Sales_Data!$C$2:$C$3520,$A39,Sales_Data!$F$2:$F$3520,I$7)))</f>
        <v>0</v>
      </c>
      <c r="J39" s="26" t="n">
        <f aca="false">IF(J$7="","",CHOOSE(MATCH($B$4,Lists!$C$2:$C$5,0),SUMIFS(Sales_Data!$O$2:$O$3520,Sales_Data!$C$2:$C$3520,$A39,Sales_Data!$F$2:$F$3520,J$7,Sales_Data!$AE$2:$AE$3520,1),SUMIFS(Sales_Data!$M$2:$M$3520,Sales_Data!$C$2:$C$3520,$A39,Sales_Data!$F$2:$F$3520,J$7,Sales_Data!$AE$2:$AE$3520,1),SUMIFS(Sales_Data!$N$2:$N$3520,Sales_Data!$C$2:$C$3520,$A39,Sales_Data!$F$2:$F$3520,J$7,Sales_Data!$AE$2:$AE$3520,1),SUMIFS(Sales_Data!$AE$2:$AE$3520,Sales_Data!$C$2:$C$3520,$A39,Sales_Data!$F$2:$F$3520,J$7)))</f>
        <v>0</v>
      </c>
      <c r="K39" s="26" t="n">
        <f aca="false">IF(K$7="","",CHOOSE(MATCH($B$4,Lists!$C$2:$C$5,0),SUMIFS(Sales_Data!$O$2:$O$3520,Sales_Data!$C$2:$C$3520,$A39,Sales_Data!$F$2:$F$3520,K$7,Sales_Data!$AE$2:$AE$3520,1),SUMIFS(Sales_Data!$M$2:$M$3520,Sales_Data!$C$2:$C$3520,$A39,Sales_Data!$F$2:$F$3520,K$7,Sales_Data!$AE$2:$AE$3520,1),SUMIFS(Sales_Data!$N$2:$N$3520,Sales_Data!$C$2:$C$3520,$A39,Sales_Data!$F$2:$F$3520,K$7,Sales_Data!$AE$2:$AE$3520,1),SUMIFS(Sales_Data!$AE$2:$AE$3520,Sales_Data!$C$2:$C$3520,$A39,Sales_Data!$F$2:$F$3520,K$7)))</f>
        <v>0</v>
      </c>
      <c r="L39" s="26" t="n">
        <f aca="false">IF(L$7="","",CHOOSE(MATCH($B$4,Lists!$C$2:$C$5,0),SUMIFS(Sales_Data!$O$2:$O$3520,Sales_Data!$C$2:$C$3520,$A39,Sales_Data!$F$2:$F$3520,L$7,Sales_Data!$AE$2:$AE$3520,1),SUMIFS(Sales_Data!$M$2:$M$3520,Sales_Data!$C$2:$C$3520,$A39,Sales_Data!$F$2:$F$3520,L$7,Sales_Data!$AE$2:$AE$3520,1),SUMIFS(Sales_Data!$N$2:$N$3520,Sales_Data!$C$2:$C$3520,$A39,Sales_Data!$F$2:$F$3520,L$7,Sales_Data!$AE$2:$AE$3520,1),SUMIFS(Sales_Data!$AE$2:$AE$3520,Sales_Data!$C$2:$C$3520,$A39,Sales_Data!$F$2:$F$3520,L$7)))</f>
        <v>0</v>
      </c>
      <c r="M39" s="26" t="n">
        <f aca="false">IF(M$7="","",CHOOSE(MATCH($B$4,Lists!$C$2:$C$5,0),SUMIFS(Sales_Data!$O$2:$O$3520,Sales_Data!$C$2:$C$3520,$A39,Sales_Data!$F$2:$F$3520,M$7,Sales_Data!$AE$2:$AE$3520,1),SUMIFS(Sales_Data!$M$2:$M$3520,Sales_Data!$C$2:$C$3520,$A39,Sales_Data!$F$2:$F$3520,M$7,Sales_Data!$AE$2:$AE$3520,1),SUMIFS(Sales_Data!$N$2:$N$3520,Sales_Data!$C$2:$C$3520,$A39,Sales_Data!$F$2:$F$3520,M$7,Sales_Data!$AE$2:$AE$3520,1),SUMIFS(Sales_Data!$AE$2:$AE$3520,Sales_Data!$C$2:$C$3520,$A39,Sales_Data!$F$2:$F$3520,M$7)))</f>
        <v>0</v>
      </c>
      <c r="N39" s="26" t="n">
        <f aca="false">IF(N$7="","",CHOOSE(MATCH($B$4,Lists!$C$2:$C$5,0),SUMIFS(Sales_Data!$O$2:$O$3520,Sales_Data!$C$2:$C$3520,$A39,Sales_Data!$F$2:$F$3520,N$7,Sales_Data!$AE$2:$AE$3520,1),SUMIFS(Sales_Data!$M$2:$M$3520,Sales_Data!$C$2:$C$3520,$A39,Sales_Data!$F$2:$F$3520,N$7,Sales_Data!$AE$2:$AE$3520,1),SUMIFS(Sales_Data!$N$2:$N$3520,Sales_Data!$C$2:$C$3520,$A39,Sales_Data!$F$2:$F$3520,N$7,Sales_Data!$AE$2:$AE$3520,1),SUMIFS(Sales_Data!$AE$2:$AE$3520,Sales_Data!$C$2:$C$3520,$A39,Sales_Data!$F$2:$F$3520,N$7)))</f>
        <v>0</v>
      </c>
      <c r="O39" s="26" t="n">
        <f aca="false">IF(O$7="","",CHOOSE(MATCH($B$4,Lists!$C$2:$C$5,0),SUMIFS(Sales_Data!$O$2:$O$3520,Sales_Data!$C$2:$C$3520,$A39,Sales_Data!$F$2:$F$3520,O$7,Sales_Data!$AE$2:$AE$3520,1),SUMIFS(Sales_Data!$M$2:$M$3520,Sales_Data!$C$2:$C$3520,$A39,Sales_Data!$F$2:$F$3520,O$7,Sales_Data!$AE$2:$AE$3520,1),SUMIFS(Sales_Data!$N$2:$N$3520,Sales_Data!$C$2:$C$3520,$A39,Sales_Data!$F$2:$F$3520,O$7,Sales_Data!$AE$2:$AE$3520,1),SUMIFS(Sales_Data!$AE$2:$AE$3520,Sales_Data!$C$2:$C$3520,$A39,Sales_Data!$F$2:$F$3520,O$7)))</f>
        <v>0</v>
      </c>
      <c r="P39" s="26" t="n">
        <f aca="false">IF(P$7="","",CHOOSE(MATCH($B$4,Lists!$C$2:$C$5,0),SUMIFS(Sales_Data!$O$2:$O$3520,Sales_Data!$C$2:$C$3520,$A39,Sales_Data!$F$2:$F$3520,P$7,Sales_Data!$AE$2:$AE$3520,1),SUMIFS(Sales_Data!$M$2:$M$3520,Sales_Data!$C$2:$C$3520,$A39,Sales_Data!$F$2:$F$3520,P$7,Sales_Data!$AE$2:$AE$3520,1),SUMIFS(Sales_Data!$N$2:$N$3520,Sales_Data!$C$2:$C$3520,$A39,Sales_Data!$F$2:$F$3520,P$7,Sales_Data!$AE$2:$AE$3520,1),SUMIFS(Sales_Data!$AE$2:$AE$3520,Sales_Data!$C$2:$C$3520,$A39,Sales_Data!$F$2:$F$3520,P$7)))</f>
        <v>0</v>
      </c>
      <c r="Q39" s="26" t="n">
        <f aca="false">IF(Q$7="","",CHOOSE(MATCH($B$4,Lists!$C$2:$C$5,0),SUMIFS(Sales_Data!$O$2:$O$3520,Sales_Data!$C$2:$C$3520,$A39,Sales_Data!$F$2:$F$3520,Q$7,Sales_Data!$AE$2:$AE$3520,1),SUMIFS(Sales_Data!$M$2:$M$3520,Sales_Data!$C$2:$C$3520,$A39,Sales_Data!$F$2:$F$3520,Q$7,Sales_Data!$AE$2:$AE$3520,1),SUMIFS(Sales_Data!$N$2:$N$3520,Sales_Data!$C$2:$C$3520,$A39,Sales_Data!$F$2:$F$3520,Q$7,Sales_Data!$AE$2:$AE$3520,1),SUMIFS(Sales_Data!$AE$2:$AE$3520,Sales_Data!$C$2:$C$3520,$A39,Sales_Data!$F$2:$F$3520,Q$7)))</f>
        <v>0</v>
      </c>
      <c r="R39" s="26" t="n">
        <f aca="false">IF(R$7="","",CHOOSE(MATCH($B$4,Lists!$C$2:$C$5,0),SUMIFS(Sales_Data!$O$2:$O$3520,Sales_Data!$C$2:$C$3520,$A39,Sales_Data!$F$2:$F$3520,R$7,Sales_Data!$AE$2:$AE$3520,1),SUMIFS(Sales_Data!$M$2:$M$3520,Sales_Data!$C$2:$C$3520,$A39,Sales_Data!$F$2:$F$3520,R$7,Sales_Data!$AE$2:$AE$3520,1),SUMIFS(Sales_Data!$N$2:$N$3520,Sales_Data!$C$2:$C$3520,$A39,Sales_Data!$F$2:$F$3520,R$7,Sales_Data!$AE$2:$AE$3520,1),SUMIFS(Sales_Data!$AE$2:$AE$3520,Sales_Data!$C$2:$C$3520,$A39,Sales_Data!$F$2:$F$3520,R$7)))</f>
        <v>0</v>
      </c>
      <c r="S39" s="26" t="n">
        <f aca="false">IF(S$7="","",CHOOSE(MATCH($B$4,Lists!$C$2:$C$5,0),SUMIFS(Sales_Data!$O$2:$O$3520,Sales_Data!$C$2:$C$3520,$A39,Sales_Data!$F$2:$F$3520,S$7,Sales_Data!$AE$2:$AE$3520,1),SUMIFS(Sales_Data!$M$2:$M$3520,Sales_Data!$C$2:$C$3520,$A39,Sales_Data!$F$2:$F$3520,S$7,Sales_Data!$AE$2:$AE$3520,1),SUMIFS(Sales_Data!$N$2:$N$3520,Sales_Data!$C$2:$C$3520,$A39,Sales_Data!$F$2:$F$3520,S$7,Sales_Data!$AE$2:$AE$3520,1),SUMIFS(Sales_Data!$AE$2:$AE$3520,Sales_Data!$C$2:$C$3520,$A39,Sales_Data!$F$2:$F$3520,S$7)))</f>
        <v>0</v>
      </c>
      <c r="T39" s="26" t="str">
        <f aca="false">IF(T$7="","",CHOOSE(MATCH($B$4,Lists!$C$2:$C$5,0),SUMIFS(Sales_Data!$O$2:$O$3520,Sales_Data!$C$2:$C$3520,$A39,Sales_Data!$F$2:$F$3520,T$7,Sales_Data!$AE$2:$AE$3520,1),SUMIFS(Sales_Data!$M$2:$M$3520,Sales_Data!$C$2:$C$3520,$A39,Sales_Data!$F$2:$F$3520,T$7,Sales_Data!$AE$2:$AE$3520,1),SUMIFS(Sales_Data!$N$2:$N$3520,Sales_Data!$C$2:$C$3520,$A39,Sales_Data!$F$2:$F$3520,T$7,Sales_Data!$AE$2:$AE$3520,1),SUMIFS(Sales_Data!$AE$2:$AE$3520,Sales_Data!$C$2:$C$3520,$A39,Sales_Data!$F$2:$F$3520,T$7)))</f>
        <v/>
      </c>
      <c r="U39" s="26" t="str">
        <f aca="false">IF(U$7="","",CHOOSE(MATCH($B$4,Lists!$C$2:$C$5,0),SUMIFS(Sales_Data!$O$2:$O$3520,Sales_Data!$C$2:$C$3520,$A39,Sales_Data!$F$2:$F$3520,U$7,Sales_Data!$AE$2:$AE$3520,1),SUMIFS(Sales_Data!$M$2:$M$3520,Sales_Data!$C$2:$C$3520,$A39,Sales_Data!$F$2:$F$3520,U$7,Sales_Data!$AE$2:$AE$3520,1),SUMIFS(Sales_Data!$N$2:$N$3520,Sales_Data!$C$2:$C$3520,$A39,Sales_Data!$F$2:$F$3520,U$7,Sales_Data!$AE$2:$AE$3520,1),SUMIFS(Sales_Data!$AE$2:$AE$3520,Sales_Data!$C$2:$C$3520,$A39,Sales_Data!$F$2:$F$3520,U$7)))</f>
        <v/>
      </c>
      <c r="V39" s="26" t="str">
        <f aca="false">IF(V$7="","",CHOOSE(MATCH($B$4,Lists!$C$2:$C$5,0),SUMIFS(Sales_Data!$O$2:$O$3520,Sales_Data!$C$2:$C$3520,$A39,Sales_Data!$F$2:$F$3520,V$7,Sales_Data!$AE$2:$AE$3520,1),SUMIFS(Sales_Data!$M$2:$M$3520,Sales_Data!$C$2:$C$3520,$A39,Sales_Data!$F$2:$F$3520,V$7,Sales_Data!$AE$2:$AE$3520,1),SUMIFS(Sales_Data!$N$2:$N$3520,Sales_Data!$C$2:$C$3520,$A39,Sales_Data!$F$2:$F$3520,V$7,Sales_Data!$AE$2:$AE$3520,1),SUMIFS(Sales_Data!$AE$2:$AE$3520,Sales_Data!$C$2:$C$3520,$A39,Sales_Data!$F$2:$F$3520,V$7)))</f>
        <v/>
      </c>
      <c r="W39" s="26" t="str">
        <f aca="false">IF(W$7="","",CHOOSE(MATCH($B$4,Lists!$C$2:$C$5,0),SUMIFS(Sales_Data!$O$2:$O$3520,Sales_Data!$C$2:$C$3520,$A39,Sales_Data!$F$2:$F$3520,W$7,Sales_Data!$AE$2:$AE$3520,1),SUMIFS(Sales_Data!$M$2:$M$3520,Sales_Data!$C$2:$C$3520,$A39,Sales_Data!$F$2:$F$3520,W$7,Sales_Data!$AE$2:$AE$3520,1),SUMIFS(Sales_Data!$N$2:$N$3520,Sales_Data!$C$2:$C$3520,$A39,Sales_Data!$F$2:$F$3520,W$7,Sales_Data!$AE$2:$AE$3520,1),SUMIFS(Sales_Data!$AE$2:$AE$3520,Sales_Data!$C$2:$C$3520,$A39,Sales_Data!$F$2:$F$3520,W$7)))</f>
        <v/>
      </c>
      <c r="X39" s="26" t="str">
        <f aca="false">IF(X$7="","",CHOOSE(MATCH($B$4,Lists!$C$2:$C$5,0),SUMIFS(Sales_Data!$O$2:$O$3520,Sales_Data!$C$2:$C$3520,$A39,Sales_Data!$F$2:$F$3520,X$7,Sales_Data!$AE$2:$AE$3520,1),SUMIFS(Sales_Data!$M$2:$M$3520,Sales_Data!$C$2:$C$3520,$A39,Sales_Data!$F$2:$F$3520,X$7,Sales_Data!$AE$2:$AE$3520,1),SUMIFS(Sales_Data!$N$2:$N$3520,Sales_Data!$C$2:$C$3520,$A39,Sales_Data!$F$2:$F$3520,X$7,Sales_Data!$AE$2:$AE$3520,1),SUMIFS(Sales_Data!$AE$2:$AE$3520,Sales_Data!$C$2:$C$3520,$A39,Sales_Data!$F$2:$F$3520,X$7)))</f>
        <v/>
      </c>
      <c r="Y39" s="26" t="str">
        <f aca="false">IF(Y$7="","",CHOOSE(MATCH($B$4,Lists!$C$2:$C$5,0),SUMIFS(Sales_Data!$O$2:$O$3520,Sales_Data!$C$2:$C$3520,$A39,Sales_Data!$F$2:$F$3520,Y$7,Sales_Data!$AE$2:$AE$3520,1),SUMIFS(Sales_Data!$M$2:$M$3520,Sales_Data!$C$2:$C$3520,$A39,Sales_Data!$F$2:$F$3520,Y$7,Sales_Data!$AE$2:$AE$3520,1),SUMIFS(Sales_Data!$N$2:$N$3520,Sales_Data!$C$2:$C$3520,$A39,Sales_Data!$F$2:$F$3520,Y$7,Sales_Data!$AE$2:$AE$3520,1),SUMIFS(Sales_Data!$AE$2:$AE$3520,Sales_Data!$C$2:$C$3520,$A39,Sales_Data!$F$2:$F$3520,Y$7)))</f>
        <v/>
      </c>
      <c r="Z39" s="26" t="str">
        <f aca="false">IF(Z$7="","",CHOOSE(MATCH($B$4,Lists!$C$2:$C$5,0),SUMIFS(Sales_Data!$O$2:$O$3520,Sales_Data!$C$2:$C$3520,$A39,Sales_Data!$F$2:$F$3520,Z$7,Sales_Data!$AE$2:$AE$3520,1),SUMIFS(Sales_Data!$M$2:$M$3520,Sales_Data!$C$2:$C$3520,$A39,Sales_Data!$F$2:$F$3520,Z$7,Sales_Data!$AE$2:$AE$3520,1),SUMIFS(Sales_Data!$N$2:$N$3520,Sales_Data!$C$2:$C$3520,$A39,Sales_Data!$F$2:$F$3520,Z$7,Sales_Data!$AE$2:$AE$3520,1),SUMIFS(Sales_Data!$AE$2:$AE$3520,Sales_Data!$C$2:$C$3520,$A39,Sales_Data!$F$2:$F$3520,Z$7)))</f>
        <v/>
      </c>
      <c r="AA39" s="27" t="n">
        <f aca="false">SUM(B39:Z39)</f>
        <v>0</v>
      </c>
      <c r="AB39" s="3"/>
      <c r="AC39" s="72" t="n">
        <f aca="false">A39</f>
        <v>46246</v>
      </c>
      <c r="AD39" s="28" t="n">
        <f aca="false">IF(B39="","",B39-B38)</f>
        <v>0</v>
      </c>
      <c r="AE39" s="28" t="n">
        <f aca="false">IF(C39="","",C39-C38)</f>
        <v>0</v>
      </c>
      <c r="AF39" s="28" t="n">
        <f aca="false">IF(D39="","",D39-D38)</f>
        <v>0</v>
      </c>
      <c r="AG39" s="28" t="n">
        <f aca="false">IF(E39="","",E39-E38)</f>
        <v>0</v>
      </c>
      <c r="AH39" s="28" t="n">
        <f aca="false">IF(F39="","",F39-F38)</f>
        <v>0</v>
      </c>
      <c r="AI39" s="28" t="n">
        <f aca="false">IF(G39="","",G39-G38)</f>
        <v>0</v>
      </c>
      <c r="AJ39" s="28" t="n">
        <f aca="false">IF(H39="","",H39-H38)</f>
        <v>0</v>
      </c>
      <c r="AK39" s="28" t="n">
        <f aca="false">IF(I39="","",I39-I38)</f>
        <v>0</v>
      </c>
      <c r="AL39" s="28" t="n">
        <f aca="false">IF(J39="","",J39-J38)</f>
        <v>0</v>
      </c>
      <c r="AM39" s="28" t="n">
        <f aca="false">IF(K39="","",K39-K38)</f>
        <v>0</v>
      </c>
      <c r="AN39" s="28" t="n">
        <f aca="false">IF(L39="","",L39-L38)</f>
        <v>0</v>
      </c>
      <c r="AO39" s="28" t="n">
        <f aca="false">IF(M39="","",M39-M38)</f>
        <v>0</v>
      </c>
      <c r="AP39" s="28" t="n">
        <f aca="false">IF(N39="","",N39-N38)</f>
        <v>0</v>
      </c>
      <c r="AQ39" s="28" t="n">
        <f aca="false">IF(O39="","",O39-O38)</f>
        <v>0</v>
      </c>
      <c r="AR39" s="28" t="n">
        <f aca="false">IF(P39="","",P39-P38)</f>
        <v>0</v>
      </c>
      <c r="AS39" s="28" t="n">
        <f aca="false">IF(Q39="","",Q39-Q38)</f>
        <v>0</v>
      </c>
      <c r="AT39" s="28" t="n">
        <f aca="false">IF(R39="","",R39-R38)</f>
        <v>0</v>
      </c>
      <c r="AU39" s="28" t="n">
        <f aca="false">IF(S39="","",S39-S38)</f>
        <v>0</v>
      </c>
      <c r="AV39" s="28" t="str">
        <f aca="false">IF(T39="","",T39-T38)</f>
        <v/>
      </c>
      <c r="AW39" s="28" t="str">
        <f aca="false">IF(U39="","",U39-U38)</f>
        <v/>
      </c>
      <c r="AX39" s="28" t="str">
        <f aca="false">IF(V39="","",V39-V38)</f>
        <v/>
      </c>
      <c r="AY39" s="28" t="str">
        <f aca="false">IF(W39="","",W39-W38)</f>
        <v/>
      </c>
      <c r="AZ39" s="28" t="str">
        <f aca="false">IF(X39="","",X39-X38)</f>
        <v/>
      </c>
      <c r="BA39" s="28" t="str">
        <f aca="false">IF(Y39="","",Y39-Y38)</f>
        <v/>
      </c>
      <c r="BB39" s="28" t="str">
        <f aca="false">IF(Z39="","",Z39-Z38)</f>
        <v/>
      </c>
      <c r="BC39" s="28" t="n">
        <f aca="false">IF(AA39="","",AA39-AA38)</f>
        <v>0</v>
      </c>
    </row>
    <row r="40" customFormat="false" ht="15" hidden="false" customHeight="false" outlineLevel="0" collapsed="false">
      <c r="A40" s="72" t="n">
        <v>46247</v>
      </c>
      <c r="B40" s="26" t="n">
        <f aca="false">IF(B$7="","",CHOOSE(MATCH($B$4,Lists!$C$2:$C$5,0),SUMIFS(Sales_Data!$O$2:$O$3520,Sales_Data!$C$2:$C$3520,$A40,Sales_Data!$F$2:$F$3520,B$7,Sales_Data!$AE$2:$AE$3520,1),SUMIFS(Sales_Data!$M$2:$M$3520,Sales_Data!$C$2:$C$3520,$A40,Sales_Data!$F$2:$F$3520,B$7,Sales_Data!$AE$2:$AE$3520,1),SUMIFS(Sales_Data!$N$2:$N$3520,Sales_Data!$C$2:$C$3520,$A40,Sales_Data!$F$2:$F$3520,B$7,Sales_Data!$AE$2:$AE$3520,1),SUMIFS(Sales_Data!$AE$2:$AE$3520,Sales_Data!$C$2:$C$3520,$A40,Sales_Data!$F$2:$F$3520,B$7)))</f>
        <v>0</v>
      </c>
      <c r="C40" s="26" t="n">
        <f aca="false">IF(C$7="","",CHOOSE(MATCH($B$4,Lists!$C$2:$C$5,0),SUMIFS(Sales_Data!$O$2:$O$3520,Sales_Data!$C$2:$C$3520,$A40,Sales_Data!$F$2:$F$3520,C$7,Sales_Data!$AE$2:$AE$3520,1),SUMIFS(Sales_Data!$M$2:$M$3520,Sales_Data!$C$2:$C$3520,$A40,Sales_Data!$F$2:$F$3520,C$7,Sales_Data!$AE$2:$AE$3520,1),SUMIFS(Sales_Data!$N$2:$N$3520,Sales_Data!$C$2:$C$3520,$A40,Sales_Data!$F$2:$F$3520,C$7,Sales_Data!$AE$2:$AE$3520,1),SUMIFS(Sales_Data!$AE$2:$AE$3520,Sales_Data!$C$2:$C$3520,$A40,Sales_Data!$F$2:$F$3520,C$7)))</f>
        <v>0</v>
      </c>
      <c r="D40" s="26" t="n">
        <f aca="false">IF(D$7="","",CHOOSE(MATCH($B$4,Lists!$C$2:$C$5,0),SUMIFS(Sales_Data!$O$2:$O$3520,Sales_Data!$C$2:$C$3520,$A40,Sales_Data!$F$2:$F$3520,D$7,Sales_Data!$AE$2:$AE$3520,1),SUMIFS(Sales_Data!$M$2:$M$3520,Sales_Data!$C$2:$C$3520,$A40,Sales_Data!$F$2:$F$3520,D$7,Sales_Data!$AE$2:$AE$3520,1),SUMIFS(Sales_Data!$N$2:$N$3520,Sales_Data!$C$2:$C$3520,$A40,Sales_Data!$F$2:$F$3520,D$7,Sales_Data!$AE$2:$AE$3520,1),SUMIFS(Sales_Data!$AE$2:$AE$3520,Sales_Data!$C$2:$C$3520,$A40,Sales_Data!$F$2:$F$3520,D$7)))</f>
        <v>0</v>
      </c>
      <c r="E40" s="26" t="n">
        <f aca="false">IF(E$7="","",CHOOSE(MATCH($B$4,Lists!$C$2:$C$5,0),SUMIFS(Sales_Data!$O$2:$O$3520,Sales_Data!$C$2:$C$3520,$A40,Sales_Data!$F$2:$F$3520,E$7,Sales_Data!$AE$2:$AE$3520,1),SUMIFS(Sales_Data!$M$2:$M$3520,Sales_Data!$C$2:$C$3520,$A40,Sales_Data!$F$2:$F$3520,E$7,Sales_Data!$AE$2:$AE$3520,1),SUMIFS(Sales_Data!$N$2:$N$3520,Sales_Data!$C$2:$C$3520,$A40,Sales_Data!$F$2:$F$3520,E$7,Sales_Data!$AE$2:$AE$3520,1),SUMIFS(Sales_Data!$AE$2:$AE$3520,Sales_Data!$C$2:$C$3520,$A40,Sales_Data!$F$2:$F$3520,E$7)))</f>
        <v>0</v>
      </c>
      <c r="F40" s="26" t="n">
        <f aca="false">IF(F$7="","",CHOOSE(MATCH($B$4,Lists!$C$2:$C$5,0),SUMIFS(Sales_Data!$O$2:$O$3520,Sales_Data!$C$2:$C$3520,$A40,Sales_Data!$F$2:$F$3520,F$7,Sales_Data!$AE$2:$AE$3520,1),SUMIFS(Sales_Data!$M$2:$M$3520,Sales_Data!$C$2:$C$3520,$A40,Sales_Data!$F$2:$F$3520,F$7,Sales_Data!$AE$2:$AE$3520,1),SUMIFS(Sales_Data!$N$2:$N$3520,Sales_Data!$C$2:$C$3520,$A40,Sales_Data!$F$2:$F$3520,F$7,Sales_Data!$AE$2:$AE$3520,1),SUMIFS(Sales_Data!$AE$2:$AE$3520,Sales_Data!$C$2:$C$3520,$A40,Sales_Data!$F$2:$F$3520,F$7)))</f>
        <v>0</v>
      </c>
      <c r="G40" s="26" t="n">
        <f aca="false">IF(G$7="","",CHOOSE(MATCH($B$4,Lists!$C$2:$C$5,0),SUMIFS(Sales_Data!$O$2:$O$3520,Sales_Data!$C$2:$C$3520,$A40,Sales_Data!$F$2:$F$3520,G$7,Sales_Data!$AE$2:$AE$3520,1),SUMIFS(Sales_Data!$M$2:$M$3520,Sales_Data!$C$2:$C$3520,$A40,Sales_Data!$F$2:$F$3520,G$7,Sales_Data!$AE$2:$AE$3520,1),SUMIFS(Sales_Data!$N$2:$N$3520,Sales_Data!$C$2:$C$3520,$A40,Sales_Data!$F$2:$F$3520,G$7,Sales_Data!$AE$2:$AE$3520,1),SUMIFS(Sales_Data!$AE$2:$AE$3520,Sales_Data!$C$2:$C$3520,$A40,Sales_Data!$F$2:$F$3520,G$7)))</f>
        <v>0</v>
      </c>
      <c r="H40" s="26" t="n">
        <f aca="false">IF(H$7="","",CHOOSE(MATCH($B$4,Lists!$C$2:$C$5,0),SUMIFS(Sales_Data!$O$2:$O$3520,Sales_Data!$C$2:$C$3520,$A40,Sales_Data!$F$2:$F$3520,H$7,Sales_Data!$AE$2:$AE$3520,1),SUMIFS(Sales_Data!$M$2:$M$3520,Sales_Data!$C$2:$C$3520,$A40,Sales_Data!$F$2:$F$3520,H$7,Sales_Data!$AE$2:$AE$3520,1),SUMIFS(Sales_Data!$N$2:$N$3520,Sales_Data!$C$2:$C$3520,$A40,Sales_Data!$F$2:$F$3520,H$7,Sales_Data!$AE$2:$AE$3520,1),SUMIFS(Sales_Data!$AE$2:$AE$3520,Sales_Data!$C$2:$C$3520,$A40,Sales_Data!$F$2:$F$3520,H$7)))</f>
        <v>0</v>
      </c>
      <c r="I40" s="26" t="n">
        <f aca="false">IF(I$7="","",CHOOSE(MATCH($B$4,Lists!$C$2:$C$5,0),SUMIFS(Sales_Data!$O$2:$O$3520,Sales_Data!$C$2:$C$3520,$A40,Sales_Data!$F$2:$F$3520,I$7,Sales_Data!$AE$2:$AE$3520,1),SUMIFS(Sales_Data!$M$2:$M$3520,Sales_Data!$C$2:$C$3520,$A40,Sales_Data!$F$2:$F$3520,I$7,Sales_Data!$AE$2:$AE$3520,1),SUMIFS(Sales_Data!$N$2:$N$3520,Sales_Data!$C$2:$C$3520,$A40,Sales_Data!$F$2:$F$3520,I$7,Sales_Data!$AE$2:$AE$3520,1),SUMIFS(Sales_Data!$AE$2:$AE$3520,Sales_Data!$C$2:$C$3520,$A40,Sales_Data!$F$2:$F$3520,I$7)))</f>
        <v>0</v>
      </c>
      <c r="J40" s="26" t="n">
        <f aca="false">IF(J$7="","",CHOOSE(MATCH($B$4,Lists!$C$2:$C$5,0),SUMIFS(Sales_Data!$O$2:$O$3520,Sales_Data!$C$2:$C$3520,$A40,Sales_Data!$F$2:$F$3520,J$7,Sales_Data!$AE$2:$AE$3520,1),SUMIFS(Sales_Data!$M$2:$M$3520,Sales_Data!$C$2:$C$3520,$A40,Sales_Data!$F$2:$F$3520,J$7,Sales_Data!$AE$2:$AE$3520,1),SUMIFS(Sales_Data!$N$2:$N$3520,Sales_Data!$C$2:$C$3520,$A40,Sales_Data!$F$2:$F$3520,J$7,Sales_Data!$AE$2:$AE$3520,1),SUMIFS(Sales_Data!$AE$2:$AE$3520,Sales_Data!$C$2:$C$3520,$A40,Sales_Data!$F$2:$F$3520,J$7)))</f>
        <v>0</v>
      </c>
      <c r="K40" s="26" t="n">
        <f aca="false">IF(K$7="","",CHOOSE(MATCH($B$4,Lists!$C$2:$C$5,0),SUMIFS(Sales_Data!$O$2:$O$3520,Sales_Data!$C$2:$C$3520,$A40,Sales_Data!$F$2:$F$3520,K$7,Sales_Data!$AE$2:$AE$3520,1),SUMIFS(Sales_Data!$M$2:$M$3520,Sales_Data!$C$2:$C$3520,$A40,Sales_Data!$F$2:$F$3520,K$7,Sales_Data!$AE$2:$AE$3520,1),SUMIFS(Sales_Data!$N$2:$N$3520,Sales_Data!$C$2:$C$3520,$A40,Sales_Data!$F$2:$F$3520,K$7,Sales_Data!$AE$2:$AE$3520,1),SUMIFS(Sales_Data!$AE$2:$AE$3520,Sales_Data!$C$2:$C$3520,$A40,Sales_Data!$F$2:$F$3520,K$7)))</f>
        <v>0</v>
      </c>
      <c r="L40" s="26" t="n">
        <f aca="false">IF(L$7="","",CHOOSE(MATCH($B$4,Lists!$C$2:$C$5,0),SUMIFS(Sales_Data!$O$2:$O$3520,Sales_Data!$C$2:$C$3520,$A40,Sales_Data!$F$2:$F$3520,L$7,Sales_Data!$AE$2:$AE$3520,1),SUMIFS(Sales_Data!$M$2:$M$3520,Sales_Data!$C$2:$C$3520,$A40,Sales_Data!$F$2:$F$3520,L$7,Sales_Data!$AE$2:$AE$3520,1),SUMIFS(Sales_Data!$N$2:$N$3520,Sales_Data!$C$2:$C$3520,$A40,Sales_Data!$F$2:$F$3520,L$7,Sales_Data!$AE$2:$AE$3520,1),SUMIFS(Sales_Data!$AE$2:$AE$3520,Sales_Data!$C$2:$C$3520,$A40,Sales_Data!$F$2:$F$3520,L$7)))</f>
        <v>0</v>
      </c>
      <c r="M40" s="26" t="n">
        <f aca="false">IF(M$7="","",CHOOSE(MATCH($B$4,Lists!$C$2:$C$5,0),SUMIFS(Sales_Data!$O$2:$O$3520,Sales_Data!$C$2:$C$3520,$A40,Sales_Data!$F$2:$F$3520,M$7,Sales_Data!$AE$2:$AE$3520,1),SUMIFS(Sales_Data!$M$2:$M$3520,Sales_Data!$C$2:$C$3520,$A40,Sales_Data!$F$2:$F$3520,M$7,Sales_Data!$AE$2:$AE$3520,1),SUMIFS(Sales_Data!$N$2:$N$3520,Sales_Data!$C$2:$C$3520,$A40,Sales_Data!$F$2:$F$3520,M$7,Sales_Data!$AE$2:$AE$3520,1),SUMIFS(Sales_Data!$AE$2:$AE$3520,Sales_Data!$C$2:$C$3520,$A40,Sales_Data!$F$2:$F$3520,M$7)))</f>
        <v>0</v>
      </c>
      <c r="N40" s="26" t="n">
        <f aca="false">IF(N$7="","",CHOOSE(MATCH($B$4,Lists!$C$2:$C$5,0),SUMIFS(Sales_Data!$O$2:$O$3520,Sales_Data!$C$2:$C$3520,$A40,Sales_Data!$F$2:$F$3520,N$7,Sales_Data!$AE$2:$AE$3520,1),SUMIFS(Sales_Data!$M$2:$M$3520,Sales_Data!$C$2:$C$3520,$A40,Sales_Data!$F$2:$F$3520,N$7,Sales_Data!$AE$2:$AE$3520,1),SUMIFS(Sales_Data!$N$2:$N$3520,Sales_Data!$C$2:$C$3520,$A40,Sales_Data!$F$2:$F$3520,N$7,Sales_Data!$AE$2:$AE$3520,1),SUMIFS(Sales_Data!$AE$2:$AE$3520,Sales_Data!$C$2:$C$3520,$A40,Sales_Data!$F$2:$F$3520,N$7)))</f>
        <v>0</v>
      </c>
      <c r="O40" s="26" t="n">
        <f aca="false">IF(O$7="","",CHOOSE(MATCH($B$4,Lists!$C$2:$C$5,0),SUMIFS(Sales_Data!$O$2:$O$3520,Sales_Data!$C$2:$C$3520,$A40,Sales_Data!$F$2:$F$3520,O$7,Sales_Data!$AE$2:$AE$3520,1),SUMIFS(Sales_Data!$M$2:$M$3520,Sales_Data!$C$2:$C$3520,$A40,Sales_Data!$F$2:$F$3520,O$7,Sales_Data!$AE$2:$AE$3520,1),SUMIFS(Sales_Data!$N$2:$N$3520,Sales_Data!$C$2:$C$3520,$A40,Sales_Data!$F$2:$F$3520,O$7,Sales_Data!$AE$2:$AE$3520,1),SUMIFS(Sales_Data!$AE$2:$AE$3520,Sales_Data!$C$2:$C$3520,$A40,Sales_Data!$F$2:$F$3520,O$7)))</f>
        <v>0</v>
      </c>
      <c r="P40" s="26" t="n">
        <f aca="false">IF(P$7="","",CHOOSE(MATCH($B$4,Lists!$C$2:$C$5,0),SUMIFS(Sales_Data!$O$2:$O$3520,Sales_Data!$C$2:$C$3520,$A40,Sales_Data!$F$2:$F$3520,P$7,Sales_Data!$AE$2:$AE$3520,1),SUMIFS(Sales_Data!$M$2:$M$3520,Sales_Data!$C$2:$C$3520,$A40,Sales_Data!$F$2:$F$3520,P$7,Sales_Data!$AE$2:$AE$3520,1),SUMIFS(Sales_Data!$N$2:$N$3520,Sales_Data!$C$2:$C$3520,$A40,Sales_Data!$F$2:$F$3520,P$7,Sales_Data!$AE$2:$AE$3520,1),SUMIFS(Sales_Data!$AE$2:$AE$3520,Sales_Data!$C$2:$C$3520,$A40,Sales_Data!$F$2:$F$3520,P$7)))</f>
        <v>0</v>
      </c>
      <c r="Q40" s="26" t="n">
        <f aca="false">IF(Q$7="","",CHOOSE(MATCH($B$4,Lists!$C$2:$C$5,0),SUMIFS(Sales_Data!$O$2:$O$3520,Sales_Data!$C$2:$C$3520,$A40,Sales_Data!$F$2:$F$3520,Q$7,Sales_Data!$AE$2:$AE$3520,1),SUMIFS(Sales_Data!$M$2:$M$3520,Sales_Data!$C$2:$C$3520,$A40,Sales_Data!$F$2:$F$3520,Q$7,Sales_Data!$AE$2:$AE$3520,1),SUMIFS(Sales_Data!$N$2:$N$3520,Sales_Data!$C$2:$C$3520,$A40,Sales_Data!$F$2:$F$3520,Q$7,Sales_Data!$AE$2:$AE$3520,1),SUMIFS(Sales_Data!$AE$2:$AE$3520,Sales_Data!$C$2:$C$3520,$A40,Sales_Data!$F$2:$F$3520,Q$7)))</f>
        <v>0</v>
      </c>
      <c r="R40" s="26" t="n">
        <f aca="false">IF(R$7="","",CHOOSE(MATCH($B$4,Lists!$C$2:$C$5,0),SUMIFS(Sales_Data!$O$2:$O$3520,Sales_Data!$C$2:$C$3520,$A40,Sales_Data!$F$2:$F$3520,R$7,Sales_Data!$AE$2:$AE$3520,1),SUMIFS(Sales_Data!$M$2:$M$3520,Sales_Data!$C$2:$C$3520,$A40,Sales_Data!$F$2:$F$3520,R$7,Sales_Data!$AE$2:$AE$3520,1),SUMIFS(Sales_Data!$N$2:$N$3520,Sales_Data!$C$2:$C$3520,$A40,Sales_Data!$F$2:$F$3520,R$7,Sales_Data!$AE$2:$AE$3520,1),SUMIFS(Sales_Data!$AE$2:$AE$3520,Sales_Data!$C$2:$C$3520,$A40,Sales_Data!$F$2:$F$3520,R$7)))</f>
        <v>0</v>
      </c>
      <c r="S40" s="26" t="n">
        <f aca="false">IF(S$7="","",CHOOSE(MATCH($B$4,Lists!$C$2:$C$5,0),SUMIFS(Sales_Data!$O$2:$O$3520,Sales_Data!$C$2:$C$3520,$A40,Sales_Data!$F$2:$F$3520,S$7,Sales_Data!$AE$2:$AE$3520,1),SUMIFS(Sales_Data!$M$2:$M$3520,Sales_Data!$C$2:$C$3520,$A40,Sales_Data!$F$2:$F$3520,S$7,Sales_Data!$AE$2:$AE$3520,1),SUMIFS(Sales_Data!$N$2:$N$3520,Sales_Data!$C$2:$C$3520,$A40,Sales_Data!$F$2:$F$3520,S$7,Sales_Data!$AE$2:$AE$3520,1),SUMIFS(Sales_Data!$AE$2:$AE$3520,Sales_Data!$C$2:$C$3520,$A40,Sales_Data!$F$2:$F$3520,S$7)))</f>
        <v>0</v>
      </c>
      <c r="T40" s="26" t="str">
        <f aca="false">IF(T$7="","",CHOOSE(MATCH($B$4,Lists!$C$2:$C$5,0),SUMIFS(Sales_Data!$O$2:$O$3520,Sales_Data!$C$2:$C$3520,$A40,Sales_Data!$F$2:$F$3520,T$7,Sales_Data!$AE$2:$AE$3520,1),SUMIFS(Sales_Data!$M$2:$M$3520,Sales_Data!$C$2:$C$3520,$A40,Sales_Data!$F$2:$F$3520,T$7,Sales_Data!$AE$2:$AE$3520,1),SUMIFS(Sales_Data!$N$2:$N$3520,Sales_Data!$C$2:$C$3520,$A40,Sales_Data!$F$2:$F$3520,T$7,Sales_Data!$AE$2:$AE$3520,1),SUMIFS(Sales_Data!$AE$2:$AE$3520,Sales_Data!$C$2:$C$3520,$A40,Sales_Data!$F$2:$F$3520,T$7)))</f>
        <v/>
      </c>
      <c r="U40" s="26" t="str">
        <f aca="false">IF(U$7="","",CHOOSE(MATCH($B$4,Lists!$C$2:$C$5,0),SUMIFS(Sales_Data!$O$2:$O$3520,Sales_Data!$C$2:$C$3520,$A40,Sales_Data!$F$2:$F$3520,U$7,Sales_Data!$AE$2:$AE$3520,1),SUMIFS(Sales_Data!$M$2:$M$3520,Sales_Data!$C$2:$C$3520,$A40,Sales_Data!$F$2:$F$3520,U$7,Sales_Data!$AE$2:$AE$3520,1),SUMIFS(Sales_Data!$N$2:$N$3520,Sales_Data!$C$2:$C$3520,$A40,Sales_Data!$F$2:$F$3520,U$7,Sales_Data!$AE$2:$AE$3520,1),SUMIFS(Sales_Data!$AE$2:$AE$3520,Sales_Data!$C$2:$C$3520,$A40,Sales_Data!$F$2:$F$3520,U$7)))</f>
        <v/>
      </c>
      <c r="V40" s="26" t="str">
        <f aca="false">IF(V$7="","",CHOOSE(MATCH($B$4,Lists!$C$2:$C$5,0),SUMIFS(Sales_Data!$O$2:$O$3520,Sales_Data!$C$2:$C$3520,$A40,Sales_Data!$F$2:$F$3520,V$7,Sales_Data!$AE$2:$AE$3520,1),SUMIFS(Sales_Data!$M$2:$M$3520,Sales_Data!$C$2:$C$3520,$A40,Sales_Data!$F$2:$F$3520,V$7,Sales_Data!$AE$2:$AE$3520,1),SUMIFS(Sales_Data!$N$2:$N$3520,Sales_Data!$C$2:$C$3520,$A40,Sales_Data!$F$2:$F$3520,V$7,Sales_Data!$AE$2:$AE$3520,1),SUMIFS(Sales_Data!$AE$2:$AE$3520,Sales_Data!$C$2:$C$3520,$A40,Sales_Data!$F$2:$F$3520,V$7)))</f>
        <v/>
      </c>
      <c r="W40" s="26" t="str">
        <f aca="false">IF(W$7="","",CHOOSE(MATCH($B$4,Lists!$C$2:$C$5,0),SUMIFS(Sales_Data!$O$2:$O$3520,Sales_Data!$C$2:$C$3520,$A40,Sales_Data!$F$2:$F$3520,W$7,Sales_Data!$AE$2:$AE$3520,1),SUMIFS(Sales_Data!$M$2:$M$3520,Sales_Data!$C$2:$C$3520,$A40,Sales_Data!$F$2:$F$3520,W$7,Sales_Data!$AE$2:$AE$3520,1),SUMIFS(Sales_Data!$N$2:$N$3520,Sales_Data!$C$2:$C$3520,$A40,Sales_Data!$F$2:$F$3520,W$7,Sales_Data!$AE$2:$AE$3520,1),SUMIFS(Sales_Data!$AE$2:$AE$3520,Sales_Data!$C$2:$C$3520,$A40,Sales_Data!$F$2:$F$3520,W$7)))</f>
        <v/>
      </c>
      <c r="X40" s="26" t="str">
        <f aca="false">IF(X$7="","",CHOOSE(MATCH($B$4,Lists!$C$2:$C$5,0),SUMIFS(Sales_Data!$O$2:$O$3520,Sales_Data!$C$2:$C$3520,$A40,Sales_Data!$F$2:$F$3520,X$7,Sales_Data!$AE$2:$AE$3520,1),SUMIFS(Sales_Data!$M$2:$M$3520,Sales_Data!$C$2:$C$3520,$A40,Sales_Data!$F$2:$F$3520,X$7,Sales_Data!$AE$2:$AE$3520,1),SUMIFS(Sales_Data!$N$2:$N$3520,Sales_Data!$C$2:$C$3520,$A40,Sales_Data!$F$2:$F$3520,X$7,Sales_Data!$AE$2:$AE$3520,1),SUMIFS(Sales_Data!$AE$2:$AE$3520,Sales_Data!$C$2:$C$3520,$A40,Sales_Data!$F$2:$F$3520,X$7)))</f>
        <v/>
      </c>
      <c r="Y40" s="26" t="str">
        <f aca="false">IF(Y$7="","",CHOOSE(MATCH($B$4,Lists!$C$2:$C$5,0),SUMIFS(Sales_Data!$O$2:$O$3520,Sales_Data!$C$2:$C$3520,$A40,Sales_Data!$F$2:$F$3520,Y$7,Sales_Data!$AE$2:$AE$3520,1),SUMIFS(Sales_Data!$M$2:$M$3520,Sales_Data!$C$2:$C$3520,$A40,Sales_Data!$F$2:$F$3520,Y$7,Sales_Data!$AE$2:$AE$3520,1),SUMIFS(Sales_Data!$N$2:$N$3520,Sales_Data!$C$2:$C$3520,$A40,Sales_Data!$F$2:$F$3520,Y$7,Sales_Data!$AE$2:$AE$3520,1),SUMIFS(Sales_Data!$AE$2:$AE$3520,Sales_Data!$C$2:$C$3520,$A40,Sales_Data!$F$2:$F$3520,Y$7)))</f>
        <v/>
      </c>
      <c r="Z40" s="26" t="str">
        <f aca="false">IF(Z$7="","",CHOOSE(MATCH($B$4,Lists!$C$2:$C$5,0),SUMIFS(Sales_Data!$O$2:$O$3520,Sales_Data!$C$2:$C$3520,$A40,Sales_Data!$F$2:$F$3520,Z$7,Sales_Data!$AE$2:$AE$3520,1),SUMIFS(Sales_Data!$M$2:$M$3520,Sales_Data!$C$2:$C$3520,$A40,Sales_Data!$F$2:$F$3520,Z$7,Sales_Data!$AE$2:$AE$3520,1),SUMIFS(Sales_Data!$N$2:$N$3520,Sales_Data!$C$2:$C$3520,$A40,Sales_Data!$F$2:$F$3520,Z$7,Sales_Data!$AE$2:$AE$3520,1),SUMIFS(Sales_Data!$AE$2:$AE$3520,Sales_Data!$C$2:$C$3520,$A40,Sales_Data!$F$2:$F$3520,Z$7)))</f>
        <v/>
      </c>
      <c r="AA40" s="27" t="n">
        <f aca="false">SUM(B40:Z40)</f>
        <v>0</v>
      </c>
      <c r="AB40" s="3"/>
      <c r="AC40" s="72" t="n">
        <f aca="false">A40</f>
        <v>46247</v>
      </c>
      <c r="AD40" s="28" t="n">
        <f aca="false">IF(B40="","",B40-B39)</f>
        <v>0</v>
      </c>
      <c r="AE40" s="28" t="n">
        <f aca="false">IF(C40="","",C40-C39)</f>
        <v>0</v>
      </c>
      <c r="AF40" s="28" t="n">
        <f aca="false">IF(D40="","",D40-D39)</f>
        <v>0</v>
      </c>
      <c r="AG40" s="28" t="n">
        <f aca="false">IF(E40="","",E40-E39)</f>
        <v>0</v>
      </c>
      <c r="AH40" s="28" t="n">
        <f aca="false">IF(F40="","",F40-F39)</f>
        <v>0</v>
      </c>
      <c r="AI40" s="28" t="n">
        <f aca="false">IF(G40="","",G40-G39)</f>
        <v>0</v>
      </c>
      <c r="AJ40" s="28" t="n">
        <f aca="false">IF(H40="","",H40-H39)</f>
        <v>0</v>
      </c>
      <c r="AK40" s="28" t="n">
        <f aca="false">IF(I40="","",I40-I39)</f>
        <v>0</v>
      </c>
      <c r="AL40" s="28" t="n">
        <f aca="false">IF(J40="","",J40-J39)</f>
        <v>0</v>
      </c>
      <c r="AM40" s="28" t="n">
        <f aca="false">IF(K40="","",K40-K39)</f>
        <v>0</v>
      </c>
      <c r="AN40" s="28" t="n">
        <f aca="false">IF(L40="","",L40-L39)</f>
        <v>0</v>
      </c>
      <c r="AO40" s="28" t="n">
        <f aca="false">IF(M40="","",M40-M39)</f>
        <v>0</v>
      </c>
      <c r="AP40" s="28" t="n">
        <f aca="false">IF(N40="","",N40-N39)</f>
        <v>0</v>
      </c>
      <c r="AQ40" s="28" t="n">
        <f aca="false">IF(O40="","",O40-O39)</f>
        <v>0</v>
      </c>
      <c r="AR40" s="28" t="n">
        <f aca="false">IF(P40="","",P40-P39)</f>
        <v>0</v>
      </c>
      <c r="AS40" s="28" t="n">
        <f aca="false">IF(Q40="","",Q40-Q39)</f>
        <v>0</v>
      </c>
      <c r="AT40" s="28" t="n">
        <f aca="false">IF(R40="","",R40-R39)</f>
        <v>0</v>
      </c>
      <c r="AU40" s="28" t="n">
        <f aca="false">IF(S40="","",S40-S39)</f>
        <v>0</v>
      </c>
      <c r="AV40" s="28" t="str">
        <f aca="false">IF(T40="","",T40-T39)</f>
        <v/>
      </c>
      <c r="AW40" s="28" t="str">
        <f aca="false">IF(U40="","",U40-U39)</f>
        <v/>
      </c>
      <c r="AX40" s="28" t="str">
        <f aca="false">IF(V40="","",V40-V39)</f>
        <v/>
      </c>
      <c r="AY40" s="28" t="str">
        <f aca="false">IF(W40="","",W40-W39)</f>
        <v/>
      </c>
      <c r="AZ40" s="28" t="str">
        <f aca="false">IF(X40="","",X40-X39)</f>
        <v/>
      </c>
      <c r="BA40" s="28" t="str">
        <f aca="false">IF(Y40="","",Y40-Y39)</f>
        <v/>
      </c>
      <c r="BB40" s="28" t="str">
        <f aca="false">IF(Z40="","",Z40-Z39)</f>
        <v/>
      </c>
      <c r="BC40" s="28" t="n">
        <f aca="false">IF(AA40="","",AA40-AA39)</f>
        <v>0</v>
      </c>
    </row>
    <row r="41" customFormat="false" ht="15" hidden="false" customHeight="false" outlineLevel="0" collapsed="false">
      <c r="A41" s="72" t="n">
        <v>46248</v>
      </c>
      <c r="B41" s="26" t="n">
        <f aca="false">IF(B$7="","",CHOOSE(MATCH($B$4,Lists!$C$2:$C$5,0),SUMIFS(Sales_Data!$O$2:$O$3520,Sales_Data!$C$2:$C$3520,$A41,Sales_Data!$F$2:$F$3520,B$7,Sales_Data!$AE$2:$AE$3520,1),SUMIFS(Sales_Data!$M$2:$M$3520,Sales_Data!$C$2:$C$3520,$A41,Sales_Data!$F$2:$F$3520,B$7,Sales_Data!$AE$2:$AE$3520,1),SUMIFS(Sales_Data!$N$2:$N$3520,Sales_Data!$C$2:$C$3520,$A41,Sales_Data!$F$2:$F$3520,B$7,Sales_Data!$AE$2:$AE$3520,1),SUMIFS(Sales_Data!$AE$2:$AE$3520,Sales_Data!$C$2:$C$3520,$A41,Sales_Data!$F$2:$F$3520,B$7)))</f>
        <v>0</v>
      </c>
      <c r="C41" s="26" t="n">
        <f aca="false">IF(C$7="","",CHOOSE(MATCH($B$4,Lists!$C$2:$C$5,0),SUMIFS(Sales_Data!$O$2:$O$3520,Sales_Data!$C$2:$C$3520,$A41,Sales_Data!$F$2:$F$3520,C$7,Sales_Data!$AE$2:$AE$3520,1),SUMIFS(Sales_Data!$M$2:$M$3520,Sales_Data!$C$2:$C$3520,$A41,Sales_Data!$F$2:$F$3520,C$7,Sales_Data!$AE$2:$AE$3520,1),SUMIFS(Sales_Data!$N$2:$N$3520,Sales_Data!$C$2:$C$3520,$A41,Sales_Data!$F$2:$F$3520,C$7,Sales_Data!$AE$2:$AE$3520,1),SUMIFS(Sales_Data!$AE$2:$AE$3520,Sales_Data!$C$2:$C$3520,$A41,Sales_Data!$F$2:$F$3520,C$7)))</f>
        <v>0</v>
      </c>
      <c r="D41" s="26" t="n">
        <f aca="false">IF(D$7="","",CHOOSE(MATCH($B$4,Lists!$C$2:$C$5,0),SUMIFS(Sales_Data!$O$2:$O$3520,Sales_Data!$C$2:$C$3520,$A41,Sales_Data!$F$2:$F$3520,D$7,Sales_Data!$AE$2:$AE$3520,1),SUMIFS(Sales_Data!$M$2:$M$3520,Sales_Data!$C$2:$C$3520,$A41,Sales_Data!$F$2:$F$3520,D$7,Sales_Data!$AE$2:$AE$3520,1),SUMIFS(Sales_Data!$N$2:$N$3520,Sales_Data!$C$2:$C$3520,$A41,Sales_Data!$F$2:$F$3520,D$7,Sales_Data!$AE$2:$AE$3520,1),SUMIFS(Sales_Data!$AE$2:$AE$3520,Sales_Data!$C$2:$C$3520,$A41,Sales_Data!$F$2:$F$3520,D$7)))</f>
        <v>0</v>
      </c>
      <c r="E41" s="26" t="n">
        <f aca="false">IF(E$7="","",CHOOSE(MATCH($B$4,Lists!$C$2:$C$5,0),SUMIFS(Sales_Data!$O$2:$O$3520,Sales_Data!$C$2:$C$3520,$A41,Sales_Data!$F$2:$F$3520,E$7,Sales_Data!$AE$2:$AE$3520,1),SUMIFS(Sales_Data!$M$2:$M$3520,Sales_Data!$C$2:$C$3520,$A41,Sales_Data!$F$2:$F$3520,E$7,Sales_Data!$AE$2:$AE$3520,1),SUMIFS(Sales_Data!$N$2:$N$3520,Sales_Data!$C$2:$C$3520,$A41,Sales_Data!$F$2:$F$3520,E$7,Sales_Data!$AE$2:$AE$3520,1),SUMIFS(Sales_Data!$AE$2:$AE$3520,Sales_Data!$C$2:$C$3520,$A41,Sales_Data!$F$2:$F$3520,E$7)))</f>
        <v>0</v>
      </c>
      <c r="F41" s="26" t="n">
        <f aca="false">IF(F$7="","",CHOOSE(MATCH($B$4,Lists!$C$2:$C$5,0),SUMIFS(Sales_Data!$O$2:$O$3520,Sales_Data!$C$2:$C$3520,$A41,Sales_Data!$F$2:$F$3520,F$7,Sales_Data!$AE$2:$AE$3520,1),SUMIFS(Sales_Data!$M$2:$M$3520,Sales_Data!$C$2:$C$3520,$A41,Sales_Data!$F$2:$F$3520,F$7,Sales_Data!$AE$2:$AE$3520,1),SUMIFS(Sales_Data!$N$2:$N$3520,Sales_Data!$C$2:$C$3520,$A41,Sales_Data!$F$2:$F$3520,F$7,Sales_Data!$AE$2:$AE$3520,1),SUMIFS(Sales_Data!$AE$2:$AE$3520,Sales_Data!$C$2:$C$3520,$A41,Sales_Data!$F$2:$F$3520,F$7)))</f>
        <v>0</v>
      </c>
      <c r="G41" s="26" t="n">
        <f aca="false">IF(G$7="","",CHOOSE(MATCH($B$4,Lists!$C$2:$C$5,0),SUMIFS(Sales_Data!$O$2:$O$3520,Sales_Data!$C$2:$C$3520,$A41,Sales_Data!$F$2:$F$3520,G$7,Sales_Data!$AE$2:$AE$3520,1),SUMIFS(Sales_Data!$M$2:$M$3520,Sales_Data!$C$2:$C$3520,$A41,Sales_Data!$F$2:$F$3520,G$7,Sales_Data!$AE$2:$AE$3520,1),SUMIFS(Sales_Data!$N$2:$N$3520,Sales_Data!$C$2:$C$3520,$A41,Sales_Data!$F$2:$F$3520,G$7,Sales_Data!$AE$2:$AE$3520,1),SUMIFS(Sales_Data!$AE$2:$AE$3520,Sales_Data!$C$2:$C$3520,$A41,Sales_Data!$F$2:$F$3520,G$7)))</f>
        <v>0</v>
      </c>
      <c r="H41" s="26" t="n">
        <f aca="false">IF(H$7="","",CHOOSE(MATCH($B$4,Lists!$C$2:$C$5,0),SUMIFS(Sales_Data!$O$2:$O$3520,Sales_Data!$C$2:$C$3520,$A41,Sales_Data!$F$2:$F$3520,H$7,Sales_Data!$AE$2:$AE$3520,1),SUMIFS(Sales_Data!$M$2:$M$3520,Sales_Data!$C$2:$C$3520,$A41,Sales_Data!$F$2:$F$3520,H$7,Sales_Data!$AE$2:$AE$3520,1),SUMIFS(Sales_Data!$N$2:$N$3520,Sales_Data!$C$2:$C$3520,$A41,Sales_Data!$F$2:$F$3520,H$7,Sales_Data!$AE$2:$AE$3520,1),SUMIFS(Sales_Data!$AE$2:$AE$3520,Sales_Data!$C$2:$C$3520,$A41,Sales_Data!$F$2:$F$3520,H$7)))</f>
        <v>0</v>
      </c>
      <c r="I41" s="26" t="n">
        <f aca="false">IF(I$7="","",CHOOSE(MATCH($B$4,Lists!$C$2:$C$5,0),SUMIFS(Sales_Data!$O$2:$O$3520,Sales_Data!$C$2:$C$3520,$A41,Sales_Data!$F$2:$F$3520,I$7,Sales_Data!$AE$2:$AE$3520,1),SUMIFS(Sales_Data!$M$2:$M$3520,Sales_Data!$C$2:$C$3520,$A41,Sales_Data!$F$2:$F$3520,I$7,Sales_Data!$AE$2:$AE$3520,1),SUMIFS(Sales_Data!$N$2:$N$3520,Sales_Data!$C$2:$C$3520,$A41,Sales_Data!$F$2:$F$3520,I$7,Sales_Data!$AE$2:$AE$3520,1),SUMIFS(Sales_Data!$AE$2:$AE$3520,Sales_Data!$C$2:$C$3520,$A41,Sales_Data!$F$2:$F$3520,I$7)))</f>
        <v>0</v>
      </c>
      <c r="J41" s="26" t="n">
        <f aca="false">IF(J$7="","",CHOOSE(MATCH($B$4,Lists!$C$2:$C$5,0),SUMIFS(Sales_Data!$O$2:$O$3520,Sales_Data!$C$2:$C$3520,$A41,Sales_Data!$F$2:$F$3520,J$7,Sales_Data!$AE$2:$AE$3520,1),SUMIFS(Sales_Data!$M$2:$M$3520,Sales_Data!$C$2:$C$3520,$A41,Sales_Data!$F$2:$F$3520,J$7,Sales_Data!$AE$2:$AE$3520,1),SUMIFS(Sales_Data!$N$2:$N$3520,Sales_Data!$C$2:$C$3520,$A41,Sales_Data!$F$2:$F$3520,J$7,Sales_Data!$AE$2:$AE$3520,1),SUMIFS(Sales_Data!$AE$2:$AE$3520,Sales_Data!$C$2:$C$3520,$A41,Sales_Data!$F$2:$F$3520,J$7)))</f>
        <v>0</v>
      </c>
      <c r="K41" s="26" t="n">
        <f aca="false">IF(K$7="","",CHOOSE(MATCH($B$4,Lists!$C$2:$C$5,0),SUMIFS(Sales_Data!$O$2:$O$3520,Sales_Data!$C$2:$C$3520,$A41,Sales_Data!$F$2:$F$3520,K$7,Sales_Data!$AE$2:$AE$3520,1),SUMIFS(Sales_Data!$M$2:$M$3520,Sales_Data!$C$2:$C$3520,$A41,Sales_Data!$F$2:$F$3520,K$7,Sales_Data!$AE$2:$AE$3520,1),SUMIFS(Sales_Data!$N$2:$N$3520,Sales_Data!$C$2:$C$3520,$A41,Sales_Data!$F$2:$F$3520,K$7,Sales_Data!$AE$2:$AE$3520,1),SUMIFS(Sales_Data!$AE$2:$AE$3520,Sales_Data!$C$2:$C$3520,$A41,Sales_Data!$F$2:$F$3520,K$7)))</f>
        <v>0</v>
      </c>
      <c r="L41" s="26" t="n">
        <f aca="false">IF(L$7="","",CHOOSE(MATCH($B$4,Lists!$C$2:$C$5,0),SUMIFS(Sales_Data!$O$2:$O$3520,Sales_Data!$C$2:$C$3520,$A41,Sales_Data!$F$2:$F$3520,L$7,Sales_Data!$AE$2:$AE$3520,1),SUMIFS(Sales_Data!$M$2:$M$3520,Sales_Data!$C$2:$C$3520,$A41,Sales_Data!$F$2:$F$3520,L$7,Sales_Data!$AE$2:$AE$3520,1),SUMIFS(Sales_Data!$N$2:$N$3520,Sales_Data!$C$2:$C$3520,$A41,Sales_Data!$F$2:$F$3520,L$7,Sales_Data!$AE$2:$AE$3520,1),SUMIFS(Sales_Data!$AE$2:$AE$3520,Sales_Data!$C$2:$C$3520,$A41,Sales_Data!$F$2:$F$3520,L$7)))</f>
        <v>0</v>
      </c>
      <c r="M41" s="26" t="n">
        <f aca="false">IF(M$7="","",CHOOSE(MATCH($B$4,Lists!$C$2:$C$5,0),SUMIFS(Sales_Data!$O$2:$O$3520,Sales_Data!$C$2:$C$3520,$A41,Sales_Data!$F$2:$F$3520,M$7,Sales_Data!$AE$2:$AE$3520,1),SUMIFS(Sales_Data!$M$2:$M$3520,Sales_Data!$C$2:$C$3520,$A41,Sales_Data!$F$2:$F$3520,M$7,Sales_Data!$AE$2:$AE$3520,1),SUMIFS(Sales_Data!$N$2:$N$3520,Sales_Data!$C$2:$C$3520,$A41,Sales_Data!$F$2:$F$3520,M$7,Sales_Data!$AE$2:$AE$3520,1),SUMIFS(Sales_Data!$AE$2:$AE$3520,Sales_Data!$C$2:$C$3520,$A41,Sales_Data!$F$2:$F$3520,M$7)))</f>
        <v>0</v>
      </c>
      <c r="N41" s="26" t="n">
        <f aca="false">IF(N$7="","",CHOOSE(MATCH($B$4,Lists!$C$2:$C$5,0),SUMIFS(Sales_Data!$O$2:$O$3520,Sales_Data!$C$2:$C$3520,$A41,Sales_Data!$F$2:$F$3520,N$7,Sales_Data!$AE$2:$AE$3520,1),SUMIFS(Sales_Data!$M$2:$M$3520,Sales_Data!$C$2:$C$3520,$A41,Sales_Data!$F$2:$F$3520,N$7,Sales_Data!$AE$2:$AE$3520,1),SUMIFS(Sales_Data!$N$2:$N$3520,Sales_Data!$C$2:$C$3520,$A41,Sales_Data!$F$2:$F$3520,N$7,Sales_Data!$AE$2:$AE$3520,1),SUMIFS(Sales_Data!$AE$2:$AE$3520,Sales_Data!$C$2:$C$3520,$A41,Sales_Data!$F$2:$F$3520,N$7)))</f>
        <v>0</v>
      </c>
      <c r="O41" s="26" t="n">
        <f aca="false">IF(O$7="","",CHOOSE(MATCH($B$4,Lists!$C$2:$C$5,0),SUMIFS(Sales_Data!$O$2:$O$3520,Sales_Data!$C$2:$C$3520,$A41,Sales_Data!$F$2:$F$3520,O$7,Sales_Data!$AE$2:$AE$3520,1),SUMIFS(Sales_Data!$M$2:$M$3520,Sales_Data!$C$2:$C$3520,$A41,Sales_Data!$F$2:$F$3520,O$7,Sales_Data!$AE$2:$AE$3520,1),SUMIFS(Sales_Data!$N$2:$N$3520,Sales_Data!$C$2:$C$3520,$A41,Sales_Data!$F$2:$F$3520,O$7,Sales_Data!$AE$2:$AE$3520,1),SUMIFS(Sales_Data!$AE$2:$AE$3520,Sales_Data!$C$2:$C$3520,$A41,Sales_Data!$F$2:$F$3520,O$7)))</f>
        <v>0</v>
      </c>
      <c r="P41" s="26" t="n">
        <f aca="false">IF(P$7="","",CHOOSE(MATCH($B$4,Lists!$C$2:$C$5,0),SUMIFS(Sales_Data!$O$2:$O$3520,Sales_Data!$C$2:$C$3520,$A41,Sales_Data!$F$2:$F$3520,P$7,Sales_Data!$AE$2:$AE$3520,1),SUMIFS(Sales_Data!$M$2:$M$3520,Sales_Data!$C$2:$C$3520,$A41,Sales_Data!$F$2:$F$3520,P$7,Sales_Data!$AE$2:$AE$3520,1),SUMIFS(Sales_Data!$N$2:$N$3520,Sales_Data!$C$2:$C$3520,$A41,Sales_Data!$F$2:$F$3520,P$7,Sales_Data!$AE$2:$AE$3520,1),SUMIFS(Sales_Data!$AE$2:$AE$3520,Sales_Data!$C$2:$C$3520,$A41,Sales_Data!$F$2:$F$3520,P$7)))</f>
        <v>0</v>
      </c>
      <c r="Q41" s="26" t="n">
        <f aca="false">IF(Q$7="","",CHOOSE(MATCH($B$4,Lists!$C$2:$C$5,0),SUMIFS(Sales_Data!$O$2:$O$3520,Sales_Data!$C$2:$C$3520,$A41,Sales_Data!$F$2:$F$3520,Q$7,Sales_Data!$AE$2:$AE$3520,1),SUMIFS(Sales_Data!$M$2:$M$3520,Sales_Data!$C$2:$C$3520,$A41,Sales_Data!$F$2:$F$3520,Q$7,Sales_Data!$AE$2:$AE$3520,1),SUMIFS(Sales_Data!$N$2:$N$3520,Sales_Data!$C$2:$C$3520,$A41,Sales_Data!$F$2:$F$3520,Q$7,Sales_Data!$AE$2:$AE$3520,1),SUMIFS(Sales_Data!$AE$2:$AE$3520,Sales_Data!$C$2:$C$3520,$A41,Sales_Data!$F$2:$F$3520,Q$7)))</f>
        <v>0</v>
      </c>
      <c r="R41" s="26" t="n">
        <f aca="false">IF(R$7="","",CHOOSE(MATCH($B$4,Lists!$C$2:$C$5,0),SUMIFS(Sales_Data!$O$2:$O$3520,Sales_Data!$C$2:$C$3520,$A41,Sales_Data!$F$2:$F$3520,R$7,Sales_Data!$AE$2:$AE$3520,1),SUMIFS(Sales_Data!$M$2:$M$3520,Sales_Data!$C$2:$C$3520,$A41,Sales_Data!$F$2:$F$3520,R$7,Sales_Data!$AE$2:$AE$3520,1),SUMIFS(Sales_Data!$N$2:$N$3520,Sales_Data!$C$2:$C$3520,$A41,Sales_Data!$F$2:$F$3520,R$7,Sales_Data!$AE$2:$AE$3520,1),SUMIFS(Sales_Data!$AE$2:$AE$3520,Sales_Data!$C$2:$C$3520,$A41,Sales_Data!$F$2:$F$3520,R$7)))</f>
        <v>0</v>
      </c>
      <c r="S41" s="26" t="n">
        <f aca="false">IF(S$7="","",CHOOSE(MATCH($B$4,Lists!$C$2:$C$5,0),SUMIFS(Sales_Data!$O$2:$O$3520,Sales_Data!$C$2:$C$3520,$A41,Sales_Data!$F$2:$F$3520,S$7,Sales_Data!$AE$2:$AE$3520,1),SUMIFS(Sales_Data!$M$2:$M$3520,Sales_Data!$C$2:$C$3520,$A41,Sales_Data!$F$2:$F$3520,S$7,Sales_Data!$AE$2:$AE$3520,1),SUMIFS(Sales_Data!$N$2:$N$3520,Sales_Data!$C$2:$C$3520,$A41,Sales_Data!$F$2:$F$3520,S$7,Sales_Data!$AE$2:$AE$3520,1),SUMIFS(Sales_Data!$AE$2:$AE$3520,Sales_Data!$C$2:$C$3520,$A41,Sales_Data!$F$2:$F$3520,S$7)))</f>
        <v>0</v>
      </c>
      <c r="T41" s="26" t="str">
        <f aca="false">IF(T$7="","",CHOOSE(MATCH($B$4,Lists!$C$2:$C$5,0),SUMIFS(Sales_Data!$O$2:$O$3520,Sales_Data!$C$2:$C$3520,$A41,Sales_Data!$F$2:$F$3520,T$7,Sales_Data!$AE$2:$AE$3520,1),SUMIFS(Sales_Data!$M$2:$M$3520,Sales_Data!$C$2:$C$3520,$A41,Sales_Data!$F$2:$F$3520,T$7,Sales_Data!$AE$2:$AE$3520,1),SUMIFS(Sales_Data!$N$2:$N$3520,Sales_Data!$C$2:$C$3520,$A41,Sales_Data!$F$2:$F$3520,T$7,Sales_Data!$AE$2:$AE$3520,1),SUMIFS(Sales_Data!$AE$2:$AE$3520,Sales_Data!$C$2:$C$3520,$A41,Sales_Data!$F$2:$F$3520,T$7)))</f>
        <v/>
      </c>
      <c r="U41" s="26" t="str">
        <f aca="false">IF(U$7="","",CHOOSE(MATCH($B$4,Lists!$C$2:$C$5,0),SUMIFS(Sales_Data!$O$2:$O$3520,Sales_Data!$C$2:$C$3520,$A41,Sales_Data!$F$2:$F$3520,U$7,Sales_Data!$AE$2:$AE$3520,1),SUMIFS(Sales_Data!$M$2:$M$3520,Sales_Data!$C$2:$C$3520,$A41,Sales_Data!$F$2:$F$3520,U$7,Sales_Data!$AE$2:$AE$3520,1),SUMIFS(Sales_Data!$N$2:$N$3520,Sales_Data!$C$2:$C$3520,$A41,Sales_Data!$F$2:$F$3520,U$7,Sales_Data!$AE$2:$AE$3520,1),SUMIFS(Sales_Data!$AE$2:$AE$3520,Sales_Data!$C$2:$C$3520,$A41,Sales_Data!$F$2:$F$3520,U$7)))</f>
        <v/>
      </c>
      <c r="V41" s="26" t="str">
        <f aca="false">IF(V$7="","",CHOOSE(MATCH($B$4,Lists!$C$2:$C$5,0),SUMIFS(Sales_Data!$O$2:$O$3520,Sales_Data!$C$2:$C$3520,$A41,Sales_Data!$F$2:$F$3520,V$7,Sales_Data!$AE$2:$AE$3520,1),SUMIFS(Sales_Data!$M$2:$M$3520,Sales_Data!$C$2:$C$3520,$A41,Sales_Data!$F$2:$F$3520,V$7,Sales_Data!$AE$2:$AE$3520,1),SUMIFS(Sales_Data!$N$2:$N$3520,Sales_Data!$C$2:$C$3520,$A41,Sales_Data!$F$2:$F$3520,V$7,Sales_Data!$AE$2:$AE$3520,1),SUMIFS(Sales_Data!$AE$2:$AE$3520,Sales_Data!$C$2:$C$3520,$A41,Sales_Data!$F$2:$F$3520,V$7)))</f>
        <v/>
      </c>
      <c r="W41" s="26" t="str">
        <f aca="false">IF(W$7="","",CHOOSE(MATCH($B$4,Lists!$C$2:$C$5,0),SUMIFS(Sales_Data!$O$2:$O$3520,Sales_Data!$C$2:$C$3520,$A41,Sales_Data!$F$2:$F$3520,W$7,Sales_Data!$AE$2:$AE$3520,1),SUMIFS(Sales_Data!$M$2:$M$3520,Sales_Data!$C$2:$C$3520,$A41,Sales_Data!$F$2:$F$3520,W$7,Sales_Data!$AE$2:$AE$3520,1),SUMIFS(Sales_Data!$N$2:$N$3520,Sales_Data!$C$2:$C$3520,$A41,Sales_Data!$F$2:$F$3520,W$7,Sales_Data!$AE$2:$AE$3520,1),SUMIFS(Sales_Data!$AE$2:$AE$3520,Sales_Data!$C$2:$C$3520,$A41,Sales_Data!$F$2:$F$3520,W$7)))</f>
        <v/>
      </c>
      <c r="X41" s="26" t="str">
        <f aca="false">IF(X$7="","",CHOOSE(MATCH($B$4,Lists!$C$2:$C$5,0),SUMIFS(Sales_Data!$O$2:$O$3520,Sales_Data!$C$2:$C$3520,$A41,Sales_Data!$F$2:$F$3520,X$7,Sales_Data!$AE$2:$AE$3520,1),SUMIFS(Sales_Data!$M$2:$M$3520,Sales_Data!$C$2:$C$3520,$A41,Sales_Data!$F$2:$F$3520,X$7,Sales_Data!$AE$2:$AE$3520,1),SUMIFS(Sales_Data!$N$2:$N$3520,Sales_Data!$C$2:$C$3520,$A41,Sales_Data!$F$2:$F$3520,X$7,Sales_Data!$AE$2:$AE$3520,1),SUMIFS(Sales_Data!$AE$2:$AE$3520,Sales_Data!$C$2:$C$3520,$A41,Sales_Data!$F$2:$F$3520,X$7)))</f>
        <v/>
      </c>
      <c r="Y41" s="26" t="str">
        <f aca="false">IF(Y$7="","",CHOOSE(MATCH($B$4,Lists!$C$2:$C$5,0),SUMIFS(Sales_Data!$O$2:$O$3520,Sales_Data!$C$2:$C$3520,$A41,Sales_Data!$F$2:$F$3520,Y$7,Sales_Data!$AE$2:$AE$3520,1),SUMIFS(Sales_Data!$M$2:$M$3520,Sales_Data!$C$2:$C$3520,$A41,Sales_Data!$F$2:$F$3520,Y$7,Sales_Data!$AE$2:$AE$3520,1),SUMIFS(Sales_Data!$N$2:$N$3520,Sales_Data!$C$2:$C$3520,$A41,Sales_Data!$F$2:$F$3520,Y$7,Sales_Data!$AE$2:$AE$3520,1),SUMIFS(Sales_Data!$AE$2:$AE$3520,Sales_Data!$C$2:$C$3520,$A41,Sales_Data!$F$2:$F$3520,Y$7)))</f>
        <v/>
      </c>
      <c r="Z41" s="26" t="str">
        <f aca="false">IF(Z$7="","",CHOOSE(MATCH($B$4,Lists!$C$2:$C$5,0),SUMIFS(Sales_Data!$O$2:$O$3520,Sales_Data!$C$2:$C$3520,$A41,Sales_Data!$F$2:$F$3520,Z$7,Sales_Data!$AE$2:$AE$3520,1),SUMIFS(Sales_Data!$M$2:$M$3520,Sales_Data!$C$2:$C$3520,$A41,Sales_Data!$F$2:$F$3520,Z$7,Sales_Data!$AE$2:$AE$3520,1),SUMIFS(Sales_Data!$N$2:$N$3520,Sales_Data!$C$2:$C$3520,$A41,Sales_Data!$F$2:$F$3520,Z$7,Sales_Data!$AE$2:$AE$3520,1),SUMIFS(Sales_Data!$AE$2:$AE$3520,Sales_Data!$C$2:$C$3520,$A41,Sales_Data!$F$2:$F$3520,Z$7)))</f>
        <v/>
      </c>
      <c r="AA41" s="27" t="n">
        <f aca="false">SUM(B41:Z41)</f>
        <v>0</v>
      </c>
      <c r="AB41" s="3"/>
      <c r="AC41" s="72" t="n">
        <f aca="false">A41</f>
        <v>46248</v>
      </c>
      <c r="AD41" s="28" t="n">
        <f aca="false">IF(B41="","",B41-B40)</f>
        <v>0</v>
      </c>
      <c r="AE41" s="28" t="n">
        <f aca="false">IF(C41="","",C41-C40)</f>
        <v>0</v>
      </c>
      <c r="AF41" s="28" t="n">
        <f aca="false">IF(D41="","",D41-D40)</f>
        <v>0</v>
      </c>
      <c r="AG41" s="28" t="n">
        <f aca="false">IF(E41="","",E41-E40)</f>
        <v>0</v>
      </c>
      <c r="AH41" s="28" t="n">
        <f aca="false">IF(F41="","",F41-F40)</f>
        <v>0</v>
      </c>
      <c r="AI41" s="28" t="n">
        <f aca="false">IF(G41="","",G41-G40)</f>
        <v>0</v>
      </c>
      <c r="AJ41" s="28" t="n">
        <f aca="false">IF(H41="","",H41-H40)</f>
        <v>0</v>
      </c>
      <c r="AK41" s="28" t="n">
        <f aca="false">IF(I41="","",I41-I40)</f>
        <v>0</v>
      </c>
      <c r="AL41" s="28" t="n">
        <f aca="false">IF(J41="","",J41-J40)</f>
        <v>0</v>
      </c>
      <c r="AM41" s="28" t="n">
        <f aca="false">IF(K41="","",K41-K40)</f>
        <v>0</v>
      </c>
      <c r="AN41" s="28" t="n">
        <f aca="false">IF(L41="","",L41-L40)</f>
        <v>0</v>
      </c>
      <c r="AO41" s="28" t="n">
        <f aca="false">IF(M41="","",M41-M40)</f>
        <v>0</v>
      </c>
      <c r="AP41" s="28" t="n">
        <f aca="false">IF(N41="","",N41-N40)</f>
        <v>0</v>
      </c>
      <c r="AQ41" s="28" t="n">
        <f aca="false">IF(O41="","",O41-O40)</f>
        <v>0</v>
      </c>
      <c r="AR41" s="28" t="n">
        <f aca="false">IF(P41="","",P41-P40)</f>
        <v>0</v>
      </c>
      <c r="AS41" s="28" t="n">
        <f aca="false">IF(Q41="","",Q41-Q40)</f>
        <v>0</v>
      </c>
      <c r="AT41" s="28" t="n">
        <f aca="false">IF(R41="","",R41-R40)</f>
        <v>0</v>
      </c>
      <c r="AU41" s="28" t="n">
        <f aca="false">IF(S41="","",S41-S40)</f>
        <v>0</v>
      </c>
      <c r="AV41" s="28" t="str">
        <f aca="false">IF(T41="","",T41-T40)</f>
        <v/>
      </c>
      <c r="AW41" s="28" t="str">
        <f aca="false">IF(U41="","",U41-U40)</f>
        <v/>
      </c>
      <c r="AX41" s="28" t="str">
        <f aca="false">IF(V41="","",V41-V40)</f>
        <v/>
      </c>
      <c r="AY41" s="28" t="str">
        <f aca="false">IF(W41="","",W41-W40)</f>
        <v/>
      </c>
      <c r="AZ41" s="28" t="str">
        <f aca="false">IF(X41="","",X41-X40)</f>
        <v/>
      </c>
      <c r="BA41" s="28" t="str">
        <f aca="false">IF(Y41="","",Y41-Y40)</f>
        <v/>
      </c>
      <c r="BB41" s="28" t="str">
        <f aca="false">IF(Z41="","",Z41-Z40)</f>
        <v/>
      </c>
      <c r="BC41" s="28" t="n">
        <f aca="false">IF(AA41="","",AA41-AA40)</f>
        <v>0</v>
      </c>
    </row>
    <row r="42" customFormat="false" ht="15" hidden="false" customHeight="false" outlineLevel="0" collapsed="false">
      <c r="A42" s="72" t="n">
        <v>46249</v>
      </c>
      <c r="B42" s="26" t="n">
        <f aca="false">IF(B$7="","",CHOOSE(MATCH($B$4,Lists!$C$2:$C$5,0),SUMIFS(Sales_Data!$O$2:$O$3520,Sales_Data!$C$2:$C$3520,$A42,Sales_Data!$F$2:$F$3520,B$7,Sales_Data!$AE$2:$AE$3520,1),SUMIFS(Sales_Data!$M$2:$M$3520,Sales_Data!$C$2:$C$3520,$A42,Sales_Data!$F$2:$F$3520,B$7,Sales_Data!$AE$2:$AE$3520,1),SUMIFS(Sales_Data!$N$2:$N$3520,Sales_Data!$C$2:$C$3520,$A42,Sales_Data!$F$2:$F$3520,B$7,Sales_Data!$AE$2:$AE$3520,1),SUMIFS(Sales_Data!$AE$2:$AE$3520,Sales_Data!$C$2:$C$3520,$A42,Sales_Data!$F$2:$F$3520,B$7)))</f>
        <v>0</v>
      </c>
      <c r="C42" s="26" t="n">
        <f aca="false">IF(C$7="","",CHOOSE(MATCH($B$4,Lists!$C$2:$C$5,0),SUMIFS(Sales_Data!$O$2:$O$3520,Sales_Data!$C$2:$C$3520,$A42,Sales_Data!$F$2:$F$3520,C$7,Sales_Data!$AE$2:$AE$3520,1),SUMIFS(Sales_Data!$M$2:$M$3520,Sales_Data!$C$2:$C$3520,$A42,Sales_Data!$F$2:$F$3520,C$7,Sales_Data!$AE$2:$AE$3520,1),SUMIFS(Sales_Data!$N$2:$N$3520,Sales_Data!$C$2:$C$3520,$A42,Sales_Data!$F$2:$F$3520,C$7,Sales_Data!$AE$2:$AE$3520,1),SUMIFS(Sales_Data!$AE$2:$AE$3520,Sales_Data!$C$2:$C$3520,$A42,Sales_Data!$F$2:$F$3520,C$7)))</f>
        <v>0</v>
      </c>
      <c r="D42" s="26" t="n">
        <f aca="false">IF(D$7="","",CHOOSE(MATCH($B$4,Lists!$C$2:$C$5,0),SUMIFS(Sales_Data!$O$2:$O$3520,Sales_Data!$C$2:$C$3520,$A42,Sales_Data!$F$2:$F$3520,D$7,Sales_Data!$AE$2:$AE$3520,1),SUMIFS(Sales_Data!$M$2:$M$3520,Sales_Data!$C$2:$C$3520,$A42,Sales_Data!$F$2:$F$3520,D$7,Sales_Data!$AE$2:$AE$3520,1),SUMIFS(Sales_Data!$N$2:$N$3520,Sales_Data!$C$2:$C$3520,$A42,Sales_Data!$F$2:$F$3520,D$7,Sales_Data!$AE$2:$AE$3520,1),SUMIFS(Sales_Data!$AE$2:$AE$3520,Sales_Data!$C$2:$C$3520,$A42,Sales_Data!$F$2:$F$3520,D$7)))</f>
        <v>0</v>
      </c>
      <c r="E42" s="26" t="n">
        <f aca="false">IF(E$7="","",CHOOSE(MATCH($B$4,Lists!$C$2:$C$5,0),SUMIFS(Sales_Data!$O$2:$O$3520,Sales_Data!$C$2:$C$3520,$A42,Sales_Data!$F$2:$F$3520,E$7,Sales_Data!$AE$2:$AE$3520,1),SUMIFS(Sales_Data!$M$2:$M$3520,Sales_Data!$C$2:$C$3520,$A42,Sales_Data!$F$2:$F$3520,E$7,Sales_Data!$AE$2:$AE$3520,1),SUMIFS(Sales_Data!$N$2:$N$3520,Sales_Data!$C$2:$C$3520,$A42,Sales_Data!$F$2:$F$3520,E$7,Sales_Data!$AE$2:$AE$3520,1),SUMIFS(Sales_Data!$AE$2:$AE$3520,Sales_Data!$C$2:$C$3520,$A42,Sales_Data!$F$2:$F$3520,E$7)))</f>
        <v>0</v>
      </c>
      <c r="F42" s="26" t="n">
        <f aca="false">IF(F$7="","",CHOOSE(MATCH($B$4,Lists!$C$2:$C$5,0),SUMIFS(Sales_Data!$O$2:$O$3520,Sales_Data!$C$2:$C$3520,$A42,Sales_Data!$F$2:$F$3520,F$7,Sales_Data!$AE$2:$AE$3520,1),SUMIFS(Sales_Data!$M$2:$M$3520,Sales_Data!$C$2:$C$3520,$A42,Sales_Data!$F$2:$F$3520,F$7,Sales_Data!$AE$2:$AE$3520,1),SUMIFS(Sales_Data!$N$2:$N$3520,Sales_Data!$C$2:$C$3520,$A42,Sales_Data!$F$2:$F$3520,F$7,Sales_Data!$AE$2:$AE$3520,1),SUMIFS(Sales_Data!$AE$2:$AE$3520,Sales_Data!$C$2:$C$3520,$A42,Sales_Data!$F$2:$F$3520,F$7)))</f>
        <v>0</v>
      </c>
      <c r="G42" s="26" t="n">
        <f aca="false">IF(G$7="","",CHOOSE(MATCH($B$4,Lists!$C$2:$C$5,0),SUMIFS(Sales_Data!$O$2:$O$3520,Sales_Data!$C$2:$C$3520,$A42,Sales_Data!$F$2:$F$3520,G$7,Sales_Data!$AE$2:$AE$3520,1),SUMIFS(Sales_Data!$M$2:$M$3520,Sales_Data!$C$2:$C$3520,$A42,Sales_Data!$F$2:$F$3520,G$7,Sales_Data!$AE$2:$AE$3520,1),SUMIFS(Sales_Data!$N$2:$N$3520,Sales_Data!$C$2:$C$3520,$A42,Sales_Data!$F$2:$F$3520,G$7,Sales_Data!$AE$2:$AE$3520,1),SUMIFS(Sales_Data!$AE$2:$AE$3520,Sales_Data!$C$2:$C$3520,$A42,Sales_Data!$F$2:$F$3520,G$7)))</f>
        <v>0</v>
      </c>
      <c r="H42" s="26" t="n">
        <f aca="false">IF(H$7="","",CHOOSE(MATCH($B$4,Lists!$C$2:$C$5,0),SUMIFS(Sales_Data!$O$2:$O$3520,Sales_Data!$C$2:$C$3520,$A42,Sales_Data!$F$2:$F$3520,H$7,Sales_Data!$AE$2:$AE$3520,1),SUMIFS(Sales_Data!$M$2:$M$3520,Sales_Data!$C$2:$C$3520,$A42,Sales_Data!$F$2:$F$3520,H$7,Sales_Data!$AE$2:$AE$3520,1),SUMIFS(Sales_Data!$N$2:$N$3520,Sales_Data!$C$2:$C$3520,$A42,Sales_Data!$F$2:$F$3520,H$7,Sales_Data!$AE$2:$AE$3520,1),SUMIFS(Sales_Data!$AE$2:$AE$3520,Sales_Data!$C$2:$C$3520,$A42,Sales_Data!$F$2:$F$3520,H$7)))</f>
        <v>0</v>
      </c>
      <c r="I42" s="26" t="n">
        <f aca="false">IF(I$7="","",CHOOSE(MATCH($B$4,Lists!$C$2:$C$5,0),SUMIFS(Sales_Data!$O$2:$O$3520,Sales_Data!$C$2:$C$3520,$A42,Sales_Data!$F$2:$F$3520,I$7,Sales_Data!$AE$2:$AE$3520,1),SUMIFS(Sales_Data!$M$2:$M$3520,Sales_Data!$C$2:$C$3520,$A42,Sales_Data!$F$2:$F$3520,I$7,Sales_Data!$AE$2:$AE$3520,1),SUMIFS(Sales_Data!$N$2:$N$3520,Sales_Data!$C$2:$C$3520,$A42,Sales_Data!$F$2:$F$3520,I$7,Sales_Data!$AE$2:$AE$3520,1),SUMIFS(Sales_Data!$AE$2:$AE$3520,Sales_Data!$C$2:$C$3520,$A42,Sales_Data!$F$2:$F$3520,I$7)))</f>
        <v>0</v>
      </c>
      <c r="J42" s="26" t="n">
        <f aca="false">IF(J$7="","",CHOOSE(MATCH($B$4,Lists!$C$2:$C$5,0),SUMIFS(Sales_Data!$O$2:$O$3520,Sales_Data!$C$2:$C$3520,$A42,Sales_Data!$F$2:$F$3520,J$7,Sales_Data!$AE$2:$AE$3520,1),SUMIFS(Sales_Data!$M$2:$M$3520,Sales_Data!$C$2:$C$3520,$A42,Sales_Data!$F$2:$F$3520,J$7,Sales_Data!$AE$2:$AE$3520,1),SUMIFS(Sales_Data!$N$2:$N$3520,Sales_Data!$C$2:$C$3520,$A42,Sales_Data!$F$2:$F$3520,J$7,Sales_Data!$AE$2:$AE$3520,1),SUMIFS(Sales_Data!$AE$2:$AE$3520,Sales_Data!$C$2:$C$3520,$A42,Sales_Data!$F$2:$F$3520,J$7)))</f>
        <v>0</v>
      </c>
      <c r="K42" s="26" t="n">
        <f aca="false">IF(K$7="","",CHOOSE(MATCH($B$4,Lists!$C$2:$C$5,0),SUMIFS(Sales_Data!$O$2:$O$3520,Sales_Data!$C$2:$C$3520,$A42,Sales_Data!$F$2:$F$3520,K$7,Sales_Data!$AE$2:$AE$3520,1),SUMIFS(Sales_Data!$M$2:$M$3520,Sales_Data!$C$2:$C$3520,$A42,Sales_Data!$F$2:$F$3520,K$7,Sales_Data!$AE$2:$AE$3520,1),SUMIFS(Sales_Data!$N$2:$N$3520,Sales_Data!$C$2:$C$3520,$A42,Sales_Data!$F$2:$F$3520,K$7,Sales_Data!$AE$2:$AE$3520,1),SUMIFS(Sales_Data!$AE$2:$AE$3520,Sales_Data!$C$2:$C$3520,$A42,Sales_Data!$F$2:$F$3520,K$7)))</f>
        <v>0</v>
      </c>
      <c r="L42" s="26" t="n">
        <f aca="false">IF(L$7="","",CHOOSE(MATCH($B$4,Lists!$C$2:$C$5,0),SUMIFS(Sales_Data!$O$2:$O$3520,Sales_Data!$C$2:$C$3520,$A42,Sales_Data!$F$2:$F$3520,L$7,Sales_Data!$AE$2:$AE$3520,1),SUMIFS(Sales_Data!$M$2:$M$3520,Sales_Data!$C$2:$C$3520,$A42,Sales_Data!$F$2:$F$3520,L$7,Sales_Data!$AE$2:$AE$3520,1),SUMIFS(Sales_Data!$N$2:$N$3520,Sales_Data!$C$2:$C$3520,$A42,Sales_Data!$F$2:$F$3520,L$7,Sales_Data!$AE$2:$AE$3520,1),SUMIFS(Sales_Data!$AE$2:$AE$3520,Sales_Data!$C$2:$C$3520,$A42,Sales_Data!$F$2:$F$3520,L$7)))</f>
        <v>0</v>
      </c>
      <c r="M42" s="26" t="n">
        <f aca="false">IF(M$7="","",CHOOSE(MATCH($B$4,Lists!$C$2:$C$5,0),SUMIFS(Sales_Data!$O$2:$O$3520,Sales_Data!$C$2:$C$3520,$A42,Sales_Data!$F$2:$F$3520,M$7,Sales_Data!$AE$2:$AE$3520,1),SUMIFS(Sales_Data!$M$2:$M$3520,Sales_Data!$C$2:$C$3520,$A42,Sales_Data!$F$2:$F$3520,M$7,Sales_Data!$AE$2:$AE$3520,1),SUMIFS(Sales_Data!$N$2:$N$3520,Sales_Data!$C$2:$C$3520,$A42,Sales_Data!$F$2:$F$3520,M$7,Sales_Data!$AE$2:$AE$3520,1),SUMIFS(Sales_Data!$AE$2:$AE$3520,Sales_Data!$C$2:$C$3520,$A42,Sales_Data!$F$2:$F$3520,M$7)))</f>
        <v>0</v>
      </c>
      <c r="N42" s="26" t="n">
        <f aca="false">IF(N$7="","",CHOOSE(MATCH($B$4,Lists!$C$2:$C$5,0),SUMIFS(Sales_Data!$O$2:$O$3520,Sales_Data!$C$2:$C$3520,$A42,Sales_Data!$F$2:$F$3520,N$7,Sales_Data!$AE$2:$AE$3520,1),SUMIFS(Sales_Data!$M$2:$M$3520,Sales_Data!$C$2:$C$3520,$A42,Sales_Data!$F$2:$F$3520,N$7,Sales_Data!$AE$2:$AE$3520,1),SUMIFS(Sales_Data!$N$2:$N$3520,Sales_Data!$C$2:$C$3520,$A42,Sales_Data!$F$2:$F$3520,N$7,Sales_Data!$AE$2:$AE$3520,1),SUMIFS(Sales_Data!$AE$2:$AE$3520,Sales_Data!$C$2:$C$3520,$A42,Sales_Data!$F$2:$F$3520,N$7)))</f>
        <v>0</v>
      </c>
      <c r="O42" s="26" t="n">
        <f aca="false">IF(O$7="","",CHOOSE(MATCH($B$4,Lists!$C$2:$C$5,0),SUMIFS(Sales_Data!$O$2:$O$3520,Sales_Data!$C$2:$C$3520,$A42,Sales_Data!$F$2:$F$3520,O$7,Sales_Data!$AE$2:$AE$3520,1),SUMIFS(Sales_Data!$M$2:$M$3520,Sales_Data!$C$2:$C$3520,$A42,Sales_Data!$F$2:$F$3520,O$7,Sales_Data!$AE$2:$AE$3520,1),SUMIFS(Sales_Data!$N$2:$N$3520,Sales_Data!$C$2:$C$3520,$A42,Sales_Data!$F$2:$F$3520,O$7,Sales_Data!$AE$2:$AE$3520,1),SUMIFS(Sales_Data!$AE$2:$AE$3520,Sales_Data!$C$2:$C$3520,$A42,Sales_Data!$F$2:$F$3520,O$7)))</f>
        <v>0</v>
      </c>
      <c r="P42" s="26" t="n">
        <f aca="false">IF(P$7="","",CHOOSE(MATCH($B$4,Lists!$C$2:$C$5,0),SUMIFS(Sales_Data!$O$2:$O$3520,Sales_Data!$C$2:$C$3520,$A42,Sales_Data!$F$2:$F$3520,P$7,Sales_Data!$AE$2:$AE$3520,1),SUMIFS(Sales_Data!$M$2:$M$3520,Sales_Data!$C$2:$C$3520,$A42,Sales_Data!$F$2:$F$3520,P$7,Sales_Data!$AE$2:$AE$3520,1),SUMIFS(Sales_Data!$N$2:$N$3520,Sales_Data!$C$2:$C$3520,$A42,Sales_Data!$F$2:$F$3520,P$7,Sales_Data!$AE$2:$AE$3520,1),SUMIFS(Sales_Data!$AE$2:$AE$3520,Sales_Data!$C$2:$C$3520,$A42,Sales_Data!$F$2:$F$3520,P$7)))</f>
        <v>0</v>
      </c>
      <c r="Q42" s="26" t="n">
        <f aca="false">IF(Q$7="","",CHOOSE(MATCH($B$4,Lists!$C$2:$C$5,0),SUMIFS(Sales_Data!$O$2:$O$3520,Sales_Data!$C$2:$C$3520,$A42,Sales_Data!$F$2:$F$3520,Q$7,Sales_Data!$AE$2:$AE$3520,1),SUMIFS(Sales_Data!$M$2:$M$3520,Sales_Data!$C$2:$C$3520,$A42,Sales_Data!$F$2:$F$3520,Q$7,Sales_Data!$AE$2:$AE$3520,1),SUMIFS(Sales_Data!$N$2:$N$3520,Sales_Data!$C$2:$C$3520,$A42,Sales_Data!$F$2:$F$3520,Q$7,Sales_Data!$AE$2:$AE$3520,1),SUMIFS(Sales_Data!$AE$2:$AE$3520,Sales_Data!$C$2:$C$3520,$A42,Sales_Data!$F$2:$F$3520,Q$7)))</f>
        <v>0</v>
      </c>
      <c r="R42" s="26" t="n">
        <f aca="false">IF(R$7="","",CHOOSE(MATCH($B$4,Lists!$C$2:$C$5,0),SUMIFS(Sales_Data!$O$2:$O$3520,Sales_Data!$C$2:$C$3520,$A42,Sales_Data!$F$2:$F$3520,R$7,Sales_Data!$AE$2:$AE$3520,1),SUMIFS(Sales_Data!$M$2:$M$3520,Sales_Data!$C$2:$C$3520,$A42,Sales_Data!$F$2:$F$3520,R$7,Sales_Data!$AE$2:$AE$3520,1),SUMIFS(Sales_Data!$N$2:$N$3520,Sales_Data!$C$2:$C$3520,$A42,Sales_Data!$F$2:$F$3520,R$7,Sales_Data!$AE$2:$AE$3520,1),SUMIFS(Sales_Data!$AE$2:$AE$3520,Sales_Data!$C$2:$C$3520,$A42,Sales_Data!$F$2:$F$3520,R$7)))</f>
        <v>0</v>
      </c>
      <c r="S42" s="26" t="n">
        <f aca="false">IF(S$7="","",CHOOSE(MATCH($B$4,Lists!$C$2:$C$5,0),SUMIFS(Sales_Data!$O$2:$O$3520,Sales_Data!$C$2:$C$3520,$A42,Sales_Data!$F$2:$F$3520,S$7,Sales_Data!$AE$2:$AE$3520,1),SUMIFS(Sales_Data!$M$2:$M$3520,Sales_Data!$C$2:$C$3520,$A42,Sales_Data!$F$2:$F$3520,S$7,Sales_Data!$AE$2:$AE$3520,1),SUMIFS(Sales_Data!$N$2:$N$3520,Sales_Data!$C$2:$C$3520,$A42,Sales_Data!$F$2:$F$3520,S$7,Sales_Data!$AE$2:$AE$3520,1),SUMIFS(Sales_Data!$AE$2:$AE$3520,Sales_Data!$C$2:$C$3520,$A42,Sales_Data!$F$2:$F$3520,S$7)))</f>
        <v>0</v>
      </c>
      <c r="T42" s="26" t="str">
        <f aca="false">IF(T$7="","",CHOOSE(MATCH($B$4,Lists!$C$2:$C$5,0),SUMIFS(Sales_Data!$O$2:$O$3520,Sales_Data!$C$2:$C$3520,$A42,Sales_Data!$F$2:$F$3520,T$7,Sales_Data!$AE$2:$AE$3520,1),SUMIFS(Sales_Data!$M$2:$M$3520,Sales_Data!$C$2:$C$3520,$A42,Sales_Data!$F$2:$F$3520,T$7,Sales_Data!$AE$2:$AE$3520,1),SUMIFS(Sales_Data!$N$2:$N$3520,Sales_Data!$C$2:$C$3520,$A42,Sales_Data!$F$2:$F$3520,T$7,Sales_Data!$AE$2:$AE$3520,1),SUMIFS(Sales_Data!$AE$2:$AE$3520,Sales_Data!$C$2:$C$3520,$A42,Sales_Data!$F$2:$F$3520,T$7)))</f>
        <v/>
      </c>
      <c r="U42" s="26" t="str">
        <f aca="false">IF(U$7="","",CHOOSE(MATCH($B$4,Lists!$C$2:$C$5,0),SUMIFS(Sales_Data!$O$2:$O$3520,Sales_Data!$C$2:$C$3520,$A42,Sales_Data!$F$2:$F$3520,U$7,Sales_Data!$AE$2:$AE$3520,1),SUMIFS(Sales_Data!$M$2:$M$3520,Sales_Data!$C$2:$C$3520,$A42,Sales_Data!$F$2:$F$3520,U$7,Sales_Data!$AE$2:$AE$3520,1),SUMIFS(Sales_Data!$N$2:$N$3520,Sales_Data!$C$2:$C$3520,$A42,Sales_Data!$F$2:$F$3520,U$7,Sales_Data!$AE$2:$AE$3520,1),SUMIFS(Sales_Data!$AE$2:$AE$3520,Sales_Data!$C$2:$C$3520,$A42,Sales_Data!$F$2:$F$3520,U$7)))</f>
        <v/>
      </c>
      <c r="V42" s="26" t="str">
        <f aca="false">IF(V$7="","",CHOOSE(MATCH($B$4,Lists!$C$2:$C$5,0),SUMIFS(Sales_Data!$O$2:$O$3520,Sales_Data!$C$2:$C$3520,$A42,Sales_Data!$F$2:$F$3520,V$7,Sales_Data!$AE$2:$AE$3520,1),SUMIFS(Sales_Data!$M$2:$M$3520,Sales_Data!$C$2:$C$3520,$A42,Sales_Data!$F$2:$F$3520,V$7,Sales_Data!$AE$2:$AE$3520,1),SUMIFS(Sales_Data!$N$2:$N$3520,Sales_Data!$C$2:$C$3520,$A42,Sales_Data!$F$2:$F$3520,V$7,Sales_Data!$AE$2:$AE$3520,1),SUMIFS(Sales_Data!$AE$2:$AE$3520,Sales_Data!$C$2:$C$3520,$A42,Sales_Data!$F$2:$F$3520,V$7)))</f>
        <v/>
      </c>
      <c r="W42" s="26" t="str">
        <f aca="false">IF(W$7="","",CHOOSE(MATCH($B$4,Lists!$C$2:$C$5,0),SUMIFS(Sales_Data!$O$2:$O$3520,Sales_Data!$C$2:$C$3520,$A42,Sales_Data!$F$2:$F$3520,W$7,Sales_Data!$AE$2:$AE$3520,1),SUMIFS(Sales_Data!$M$2:$M$3520,Sales_Data!$C$2:$C$3520,$A42,Sales_Data!$F$2:$F$3520,W$7,Sales_Data!$AE$2:$AE$3520,1),SUMIFS(Sales_Data!$N$2:$N$3520,Sales_Data!$C$2:$C$3520,$A42,Sales_Data!$F$2:$F$3520,W$7,Sales_Data!$AE$2:$AE$3520,1),SUMIFS(Sales_Data!$AE$2:$AE$3520,Sales_Data!$C$2:$C$3520,$A42,Sales_Data!$F$2:$F$3520,W$7)))</f>
        <v/>
      </c>
      <c r="X42" s="26" t="str">
        <f aca="false">IF(X$7="","",CHOOSE(MATCH($B$4,Lists!$C$2:$C$5,0),SUMIFS(Sales_Data!$O$2:$O$3520,Sales_Data!$C$2:$C$3520,$A42,Sales_Data!$F$2:$F$3520,X$7,Sales_Data!$AE$2:$AE$3520,1),SUMIFS(Sales_Data!$M$2:$M$3520,Sales_Data!$C$2:$C$3520,$A42,Sales_Data!$F$2:$F$3520,X$7,Sales_Data!$AE$2:$AE$3520,1),SUMIFS(Sales_Data!$N$2:$N$3520,Sales_Data!$C$2:$C$3520,$A42,Sales_Data!$F$2:$F$3520,X$7,Sales_Data!$AE$2:$AE$3520,1),SUMIFS(Sales_Data!$AE$2:$AE$3520,Sales_Data!$C$2:$C$3520,$A42,Sales_Data!$F$2:$F$3520,X$7)))</f>
        <v/>
      </c>
      <c r="Y42" s="26" t="str">
        <f aca="false">IF(Y$7="","",CHOOSE(MATCH($B$4,Lists!$C$2:$C$5,0),SUMIFS(Sales_Data!$O$2:$O$3520,Sales_Data!$C$2:$C$3520,$A42,Sales_Data!$F$2:$F$3520,Y$7,Sales_Data!$AE$2:$AE$3520,1),SUMIFS(Sales_Data!$M$2:$M$3520,Sales_Data!$C$2:$C$3520,$A42,Sales_Data!$F$2:$F$3520,Y$7,Sales_Data!$AE$2:$AE$3520,1),SUMIFS(Sales_Data!$N$2:$N$3520,Sales_Data!$C$2:$C$3520,$A42,Sales_Data!$F$2:$F$3520,Y$7,Sales_Data!$AE$2:$AE$3520,1),SUMIFS(Sales_Data!$AE$2:$AE$3520,Sales_Data!$C$2:$C$3520,$A42,Sales_Data!$F$2:$F$3520,Y$7)))</f>
        <v/>
      </c>
      <c r="Z42" s="26" t="str">
        <f aca="false">IF(Z$7="","",CHOOSE(MATCH($B$4,Lists!$C$2:$C$5,0),SUMIFS(Sales_Data!$O$2:$O$3520,Sales_Data!$C$2:$C$3520,$A42,Sales_Data!$F$2:$F$3520,Z$7,Sales_Data!$AE$2:$AE$3520,1),SUMIFS(Sales_Data!$M$2:$M$3520,Sales_Data!$C$2:$C$3520,$A42,Sales_Data!$F$2:$F$3520,Z$7,Sales_Data!$AE$2:$AE$3520,1),SUMIFS(Sales_Data!$N$2:$N$3520,Sales_Data!$C$2:$C$3520,$A42,Sales_Data!$F$2:$F$3520,Z$7,Sales_Data!$AE$2:$AE$3520,1),SUMIFS(Sales_Data!$AE$2:$AE$3520,Sales_Data!$C$2:$C$3520,$A42,Sales_Data!$F$2:$F$3520,Z$7)))</f>
        <v/>
      </c>
      <c r="AA42" s="27" t="n">
        <f aca="false">SUM(B42:Z42)</f>
        <v>0</v>
      </c>
      <c r="AB42" s="3"/>
      <c r="AC42" s="72" t="n">
        <f aca="false">A42</f>
        <v>46249</v>
      </c>
      <c r="AD42" s="28" t="n">
        <f aca="false">IF(B42="","",B42-B41)</f>
        <v>0</v>
      </c>
      <c r="AE42" s="28" t="n">
        <f aca="false">IF(C42="","",C42-C41)</f>
        <v>0</v>
      </c>
      <c r="AF42" s="28" t="n">
        <f aca="false">IF(D42="","",D42-D41)</f>
        <v>0</v>
      </c>
      <c r="AG42" s="28" t="n">
        <f aca="false">IF(E42="","",E42-E41)</f>
        <v>0</v>
      </c>
      <c r="AH42" s="28" t="n">
        <f aca="false">IF(F42="","",F42-F41)</f>
        <v>0</v>
      </c>
      <c r="AI42" s="28" t="n">
        <f aca="false">IF(G42="","",G42-G41)</f>
        <v>0</v>
      </c>
      <c r="AJ42" s="28" t="n">
        <f aca="false">IF(H42="","",H42-H41)</f>
        <v>0</v>
      </c>
      <c r="AK42" s="28" t="n">
        <f aca="false">IF(I42="","",I42-I41)</f>
        <v>0</v>
      </c>
      <c r="AL42" s="28" t="n">
        <f aca="false">IF(J42="","",J42-J41)</f>
        <v>0</v>
      </c>
      <c r="AM42" s="28" t="n">
        <f aca="false">IF(K42="","",K42-K41)</f>
        <v>0</v>
      </c>
      <c r="AN42" s="28" t="n">
        <f aca="false">IF(L42="","",L42-L41)</f>
        <v>0</v>
      </c>
      <c r="AO42" s="28" t="n">
        <f aca="false">IF(M42="","",M42-M41)</f>
        <v>0</v>
      </c>
      <c r="AP42" s="28" t="n">
        <f aca="false">IF(N42="","",N42-N41)</f>
        <v>0</v>
      </c>
      <c r="AQ42" s="28" t="n">
        <f aca="false">IF(O42="","",O42-O41)</f>
        <v>0</v>
      </c>
      <c r="AR42" s="28" t="n">
        <f aca="false">IF(P42="","",P42-P41)</f>
        <v>0</v>
      </c>
      <c r="AS42" s="28" t="n">
        <f aca="false">IF(Q42="","",Q42-Q41)</f>
        <v>0</v>
      </c>
      <c r="AT42" s="28" t="n">
        <f aca="false">IF(R42="","",R42-R41)</f>
        <v>0</v>
      </c>
      <c r="AU42" s="28" t="n">
        <f aca="false">IF(S42="","",S42-S41)</f>
        <v>0</v>
      </c>
      <c r="AV42" s="28" t="str">
        <f aca="false">IF(T42="","",T42-T41)</f>
        <v/>
      </c>
      <c r="AW42" s="28" t="str">
        <f aca="false">IF(U42="","",U42-U41)</f>
        <v/>
      </c>
      <c r="AX42" s="28" t="str">
        <f aca="false">IF(V42="","",V42-V41)</f>
        <v/>
      </c>
      <c r="AY42" s="28" t="str">
        <f aca="false">IF(W42="","",W42-W41)</f>
        <v/>
      </c>
      <c r="AZ42" s="28" t="str">
        <f aca="false">IF(X42="","",X42-X41)</f>
        <v/>
      </c>
      <c r="BA42" s="28" t="str">
        <f aca="false">IF(Y42="","",Y42-Y41)</f>
        <v/>
      </c>
      <c r="BB42" s="28" t="str">
        <f aca="false">IF(Z42="","",Z42-Z41)</f>
        <v/>
      </c>
      <c r="BC42" s="28" t="n">
        <f aca="false">IF(AA42="","",AA42-AA41)</f>
        <v>0</v>
      </c>
    </row>
    <row r="43" customFormat="false" ht="15" hidden="false" customHeight="false" outlineLevel="0" collapsed="false">
      <c r="A43" s="72" t="n">
        <v>46250</v>
      </c>
      <c r="B43" s="26" t="n">
        <f aca="false">IF(B$7="","",CHOOSE(MATCH($B$4,Lists!$C$2:$C$5,0),SUMIFS(Sales_Data!$O$2:$O$3520,Sales_Data!$C$2:$C$3520,$A43,Sales_Data!$F$2:$F$3520,B$7,Sales_Data!$AE$2:$AE$3520,1),SUMIFS(Sales_Data!$M$2:$M$3520,Sales_Data!$C$2:$C$3520,$A43,Sales_Data!$F$2:$F$3520,B$7,Sales_Data!$AE$2:$AE$3520,1),SUMIFS(Sales_Data!$N$2:$N$3520,Sales_Data!$C$2:$C$3520,$A43,Sales_Data!$F$2:$F$3520,B$7,Sales_Data!$AE$2:$AE$3520,1),SUMIFS(Sales_Data!$AE$2:$AE$3520,Sales_Data!$C$2:$C$3520,$A43,Sales_Data!$F$2:$F$3520,B$7)))</f>
        <v>0</v>
      </c>
      <c r="C43" s="26" t="n">
        <f aca="false">IF(C$7="","",CHOOSE(MATCH($B$4,Lists!$C$2:$C$5,0),SUMIFS(Sales_Data!$O$2:$O$3520,Sales_Data!$C$2:$C$3520,$A43,Sales_Data!$F$2:$F$3520,C$7,Sales_Data!$AE$2:$AE$3520,1),SUMIFS(Sales_Data!$M$2:$M$3520,Sales_Data!$C$2:$C$3520,$A43,Sales_Data!$F$2:$F$3520,C$7,Sales_Data!$AE$2:$AE$3520,1),SUMIFS(Sales_Data!$N$2:$N$3520,Sales_Data!$C$2:$C$3520,$A43,Sales_Data!$F$2:$F$3520,C$7,Sales_Data!$AE$2:$AE$3520,1),SUMIFS(Sales_Data!$AE$2:$AE$3520,Sales_Data!$C$2:$C$3520,$A43,Sales_Data!$F$2:$F$3520,C$7)))</f>
        <v>0</v>
      </c>
      <c r="D43" s="26" t="n">
        <f aca="false">IF(D$7="","",CHOOSE(MATCH($B$4,Lists!$C$2:$C$5,0),SUMIFS(Sales_Data!$O$2:$O$3520,Sales_Data!$C$2:$C$3520,$A43,Sales_Data!$F$2:$F$3520,D$7,Sales_Data!$AE$2:$AE$3520,1),SUMIFS(Sales_Data!$M$2:$M$3520,Sales_Data!$C$2:$C$3520,$A43,Sales_Data!$F$2:$F$3520,D$7,Sales_Data!$AE$2:$AE$3520,1),SUMIFS(Sales_Data!$N$2:$N$3520,Sales_Data!$C$2:$C$3520,$A43,Sales_Data!$F$2:$F$3520,D$7,Sales_Data!$AE$2:$AE$3520,1),SUMIFS(Sales_Data!$AE$2:$AE$3520,Sales_Data!$C$2:$C$3520,$A43,Sales_Data!$F$2:$F$3520,D$7)))</f>
        <v>0</v>
      </c>
      <c r="E43" s="26" t="n">
        <f aca="false">IF(E$7="","",CHOOSE(MATCH($B$4,Lists!$C$2:$C$5,0),SUMIFS(Sales_Data!$O$2:$O$3520,Sales_Data!$C$2:$C$3520,$A43,Sales_Data!$F$2:$F$3520,E$7,Sales_Data!$AE$2:$AE$3520,1),SUMIFS(Sales_Data!$M$2:$M$3520,Sales_Data!$C$2:$C$3520,$A43,Sales_Data!$F$2:$F$3520,E$7,Sales_Data!$AE$2:$AE$3520,1),SUMIFS(Sales_Data!$N$2:$N$3520,Sales_Data!$C$2:$C$3520,$A43,Sales_Data!$F$2:$F$3520,E$7,Sales_Data!$AE$2:$AE$3520,1),SUMIFS(Sales_Data!$AE$2:$AE$3520,Sales_Data!$C$2:$C$3520,$A43,Sales_Data!$F$2:$F$3520,E$7)))</f>
        <v>0</v>
      </c>
      <c r="F43" s="26" t="n">
        <f aca="false">IF(F$7="","",CHOOSE(MATCH($B$4,Lists!$C$2:$C$5,0),SUMIFS(Sales_Data!$O$2:$O$3520,Sales_Data!$C$2:$C$3520,$A43,Sales_Data!$F$2:$F$3520,F$7,Sales_Data!$AE$2:$AE$3520,1),SUMIFS(Sales_Data!$M$2:$M$3520,Sales_Data!$C$2:$C$3520,$A43,Sales_Data!$F$2:$F$3520,F$7,Sales_Data!$AE$2:$AE$3520,1),SUMIFS(Sales_Data!$N$2:$N$3520,Sales_Data!$C$2:$C$3520,$A43,Sales_Data!$F$2:$F$3520,F$7,Sales_Data!$AE$2:$AE$3520,1),SUMIFS(Sales_Data!$AE$2:$AE$3520,Sales_Data!$C$2:$C$3520,$A43,Sales_Data!$F$2:$F$3520,F$7)))</f>
        <v>0</v>
      </c>
      <c r="G43" s="26" t="n">
        <f aca="false">IF(G$7="","",CHOOSE(MATCH($B$4,Lists!$C$2:$C$5,0),SUMIFS(Sales_Data!$O$2:$O$3520,Sales_Data!$C$2:$C$3520,$A43,Sales_Data!$F$2:$F$3520,G$7,Sales_Data!$AE$2:$AE$3520,1),SUMIFS(Sales_Data!$M$2:$M$3520,Sales_Data!$C$2:$C$3520,$A43,Sales_Data!$F$2:$F$3520,G$7,Sales_Data!$AE$2:$AE$3520,1),SUMIFS(Sales_Data!$N$2:$N$3520,Sales_Data!$C$2:$C$3520,$A43,Sales_Data!$F$2:$F$3520,G$7,Sales_Data!$AE$2:$AE$3520,1),SUMIFS(Sales_Data!$AE$2:$AE$3520,Sales_Data!$C$2:$C$3520,$A43,Sales_Data!$F$2:$F$3520,G$7)))</f>
        <v>0</v>
      </c>
      <c r="H43" s="26" t="n">
        <f aca="false">IF(H$7="","",CHOOSE(MATCH($B$4,Lists!$C$2:$C$5,0),SUMIFS(Sales_Data!$O$2:$O$3520,Sales_Data!$C$2:$C$3520,$A43,Sales_Data!$F$2:$F$3520,H$7,Sales_Data!$AE$2:$AE$3520,1),SUMIFS(Sales_Data!$M$2:$M$3520,Sales_Data!$C$2:$C$3520,$A43,Sales_Data!$F$2:$F$3520,H$7,Sales_Data!$AE$2:$AE$3520,1),SUMIFS(Sales_Data!$N$2:$N$3520,Sales_Data!$C$2:$C$3520,$A43,Sales_Data!$F$2:$F$3520,H$7,Sales_Data!$AE$2:$AE$3520,1),SUMIFS(Sales_Data!$AE$2:$AE$3520,Sales_Data!$C$2:$C$3520,$A43,Sales_Data!$F$2:$F$3520,H$7)))</f>
        <v>0</v>
      </c>
      <c r="I43" s="26" t="n">
        <f aca="false">IF(I$7="","",CHOOSE(MATCH($B$4,Lists!$C$2:$C$5,0),SUMIFS(Sales_Data!$O$2:$O$3520,Sales_Data!$C$2:$C$3520,$A43,Sales_Data!$F$2:$F$3520,I$7,Sales_Data!$AE$2:$AE$3520,1),SUMIFS(Sales_Data!$M$2:$M$3520,Sales_Data!$C$2:$C$3520,$A43,Sales_Data!$F$2:$F$3520,I$7,Sales_Data!$AE$2:$AE$3520,1),SUMIFS(Sales_Data!$N$2:$N$3520,Sales_Data!$C$2:$C$3520,$A43,Sales_Data!$F$2:$F$3520,I$7,Sales_Data!$AE$2:$AE$3520,1),SUMIFS(Sales_Data!$AE$2:$AE$3520,Sales_Data!$C$2:$C$3520,$A43,Sales_Data!$F$2:$F$3520,I$7)))</f>
        <v>0</v>
      </c>
      <c r="J43" s="26" t="n">
        <f aca="false">IF(J$7="","",CHOOSE(MATCH($B$4,Lists!$C$2:$C$5,0),SUMIFS(Sales_Data!$O$2:$O$3520,Sales_Data!$C$2:$C$3520,$A43,Sales_Data!$F$2:$F$3520,J$7,Sales_Data!$AE$2:$AE$3520,1),SUMIFS(Sales_Data!$M$2:$M$3520,Sales_Data!$C$2:$C$3520,$A43,Sales_Data!$F$2:$F$3520,J$7,Sales_Data!$AE$2:$AE$3520,1),SUMIFS(Sales_Data!$N$2:$N$3520,Sales_Data!$C$2:$C$3520,$A43,Sales_Data!$F$2:$F$3520,J$7,Sales_Data!$AE$2:$AE$3520,1),SUMIFS(Sales_Data!$AE$2:$AE$3520,Sales_Data!$C$2:$C$3520,$A43,Sales_Data!$F$2:$F$3520,J$7)))</f>
        <v>0</v>
      </c>
      <c r="K43" s="26" t="n">
        <f aca="false">IF(K$7="","",CHOOSE(MATCH($B$4,Lists!$C$2:$C$5,0),SUMIFS(Sales_Data!$O$2:$O$3520,Sales_Data!$C$2:$C$3520,$A43,Sales_Data!$F$2:$F$3520,K$7,Sales_Data!$AE$2:$AE$3520,1),SUMIFS(Sales_Data!$M$2:$M$3520,Sales_Data!$C$2:$C$3520,$A43,Sales_Data!$F$2:$F$3520,K$7,Sales_Data!$AE$2:$AE$3520,1),SUMIFS(Sales_Data!$N$2:$N$3520,Sales_Data!$C$2:$C$3520,$A43,Sales_Data!$F$2:$F$3520,K$7,Sales_Data!$AE$2:$AE$3520,1),SUMIFS(Sales_Data!$AE$2:$AE$3520,Sales_Data!$C$2:$C$3520,$A43,Sales_Data!$F$2:$F$3520,K$7)))</f>
        <v>0</v>
      </c>
      <c r="L43" s="26" t="n">
        <f aca="false">IF(L$7="","",CHOOSE(MATCH($B$4,Lists!$C$2:$C$5,0),SUMIFS(Sales_Data!$O$2:$O$3520,Sales_Data!$C$2:$C$3520,$A43,Sales_Data!$F$2:$F$3520,L$7,Sales_Data!$AE$2:$AE$3520,1),SUMIFS(Sales_Data!$M$2:$M$3520,Sales_Data!$C$2:$C$3520,$A43,Sales_Data!$F$2:$F$3520,L$7,Sales_Data!$AE$2:$AE$3520,1),SUMIFS(Sales_Data!$N$2:$N$3520,Sales_Data!$C$2:$C$3520,$A43,Sales_Data!$F$2:$F$3520,L$7,Sales_Data!$AE$2:$AE$3520,1),SUMIFS(Sales_Data!$AE$2:$AE$3520,Sales_Data!$C$2:$C$3520,$A43,Sales_Data!$F$2:$F$3520,L$7)))</f>
        <v>0</v>
      </c>
      <c r="M43" s="26" t="n">
        <f aca="false">IF(M$7="","",CHOOSE(MATCH($B$4,Lists!$C$2:$C$5,0),SUMIFS(Sales_Data!$O$2:$O$3520,Sales_Data!$C$2:$C$3520,$A43,Sales_Data!$F$2:$F$3520,M$7,Sales_Data!$AE$2:$AE$3520,1),SUMIFS(Sales_Data!$M$2:$M$3520,Sales_Data!$C$2:$C$3520,$A43,Sales_Data!$F$2:$F$3520,M$7,Sales_Data!$AE$2:$AE$3520,1),SUMIFS(Sales_Data!$N$2:$N$3520,Sales_Data!$C$2:$C$3520,$A43,Sales_Data!$F$2:$F$3520,M$7,Sales_Data!$AE$2:$AE$3520,1),SUMIFS(Sales_Data!$AE$2:$AE$3520,Sales_Data!$C$2:$C$3520,$A43,Sales_Data!$F$2:$F$3520,M$7)))</f>
        <v>0</v>
      </c>
      <c r="N43" s="26" t="n">
        <f aca="false">IF(N$7="","",CHOOSE(MATCH($B$4,Lists!$C$2:$C$5,0),SUMIFS(Sales_Data!$O$2:$O$3520,Sales_Data!$C$2:$C$3520,$A43,Sales_Data!$F$2:$F$3520,N$7,Sales_Data!$AE$2:$AE$3520,1),SUMIFS(Sales_Data!$M$2:$M$3520,Sales_Data!$C$2:$C$3520,$A43,Sales_Data!$F$2:$F$3520,N$7,Sales_Data!$AE$2:$AE$3520,1),SUMIFS(Sales_Data!$N$2:$N$3520,Sales_Data!$C$2:$C$3520,$A43,Sales_Data!$F$2:$F$3520,N$7,Sales_Data!$AE$2:$AE$3520,1),SUMIFS(Sales_Data!$AE$2:$AE$3520,Sales_Data!$C$2:$C$3520,$A43,Sales_Data!$F$2:$F$3520,N$7)))</f>
        <v>0</v>
      </c>
      <c r="O43" s="26" t="n">
        <f aca="false">IF(O$7="","",CHOOSE(MATCH($B$4,Lists!$C$2:$C$5,0),SUMIFS(Sales_Data!$O$2:$O$3520,Sales_Data!$C$2:$C$3520,$A43,Sales_Data!$F$2:$F$3520,O$7,Sales_Data!$AE$2:$AE$3520,1),SUMIFS(Sales_Data!$M$2:$M$3520,Sales_Data!$C$2:$C$3520,$A43,Sales_Data!$F$2:$F$3520,O$7,Sales_Data!$AE$2:$AE$3520,1),SUMIFS(Sales_Data!$N$2:$N$3520,Sales_Data!$C$2:$C$3520,$A43,Sales_Data!$F$2:$F$3520,O$7,Sales_Data!$AE$2:$AE$3520,1),SUMIFS(Sales_Data!$AE$2:$AE$3520,Sales_Data!$C$2:$C$3520,$A43,Sales_Data!$F$2:$F$3520,O$7)))</f>
        <v>0</v>
      </c>
      <c r="P43" s="26" t="n">
        <f aca="false">IF(P$7="","",CHOOSE(MATCH($B$4,Lists!$C$2:$C$5,0),SUMIFS(Sales_Data!$O$2:$O$3520,Sales_Data!$C$2:$C$3520,$A43,Sales_Data!$F$2:$F$3520,P$7,Sales_Data!$AE$2:$AE$3520,1),SUMIFS(Sales_Data!$M$2:$M$3520,Sales_Data!$C$2:$C$3520,$A43,Sales_Data!$F$2:$F$3520,P$7,Sales_Data!$AE$2:$AE$3520,1),SUMIFS(Sales_Data!$N$2:$N$3520,Sales_Data!$C$2:$C$3520,$A43,Sales_Data!$F$2:$F$3520,P$7,Sales_Data!$AE$2:$AE$3520,1),SUMIFS(Sales_Data!$AE$2:$AE$3520,Sales_Data!$C$2:$C$3520,$A43,Sales_Data!$F$2:$F$3520,P$7)))</f>
        <v>0</v>
      </c>
      <c r="Q43" s="26" t="n">
        <f aca="false">IF(Q$7="","",CHOOSE(MATCH($B$4,Lists!$C$2:$C$5,0),SUMIFS(Sales_Data!$O$2:$O$3520,Sales_Data!$C$2:$C$3520,$A43,Sales_Data!$F$2:$F$3520,Q$7,Sales_Data!$AE$2:$AE$3520,1),SUMIFS(Sales_Data!$M$2:$M$3520,Sales_Data!$C$2:$C$3520,$A43,Sales_Data!$F$2:$F$3520,Q$7,Sales_Data!$AE$2:$AE$3520,1),SUMIFS(Sales_Data!$N$2:$N$3520,Sales_Data!$C$2:$C$3520,$A43,Sales_Data!$F$2:$F$3520,Q$7,Sales_Data!$AE$2:$AE$3520,1),SUMIFS(Sales_Data!$AE$2:$AE$3520,Sales_Data!$C$2:$C$3520,$A43,Sales_Data!$F$2:$F$3520,Q$7)))</f>
        <v>0</v>
      </c>
      <c r="R43" s="26" t="n">
        <f aca="false">IF(R$7="","",CHOOSE(MATCH($B$4,Lists!$C$2:$C$5,0),SUMIFS(Sales_Data!$O$2:$O$3520,Sales_Data!$C$2:$C$3520,$A43,Sales_Data!$F$2:$F$3520,R$7,Sales_Data!$AE$2:$AE$3520,1),SUMIFS(Sales_Data!$M$2:$M$3520,Sales_Data!$C$2:$C$3520,$A43,Sales_Data!$F$2:$F$3520,R$7,Sales_Data!$AE$2:$AE$3520,1),SUMIFS(Sales_Data!$N$2:$N$3520,Sales_Data!$C$2:$C$3520,$A43,Sales_Data!$F$2:$F$3520,R$7,Sales_Data!$AE$2:$AE$3520,1),SUMIFS(Sales_Data!$AE$2:$AE$3520,Sales_Data!$C$2:$C$3520,$A43,Sales_Data!$F$2:$F$3520,R$7)))</f>
        <v>0</v>
      </c>
      <c r="S43" s="26" t="n">
        <f aca="false">IF(S$7="","",CHOOSE(MATCH($B$4,Lists!$C$2:$C$5,0),SUMIFS(Sales_Data!$O$2:$O$3520,Sales_Data!$C$2:$C$3520,$A43,Sales_Data!$F$2:$F$3520,S$7,Sales_Data!$AE$2:$AE$3520,1),SUMIFS(Sales_Data!$M$2:$M$3520,Sales_Data!$C$2:$C$3520,$A43,Sales_Data!$F$2:$F$3520,S$7,Sales_Data!$AE$2:$AE$3520,1),SUMIFS(Sales_Data!$N$2:$N$3520,Sales_Data!$C$2:$C$3520,$A43,Sales_Data!$F$2:$F$3520,S$7,Sales_Data!$AE$2:$AE$3520,1),SUMIFS(Sales_Data!$AE$2:$AE$3520,Sales_Data!$C$2:$C$3520,$A43,Sales_Data!$F$2:$F$3520,S$7)))</f>
        <v>0</v>
      </c>
      <c r="T43" s="26" t="str">
        <f aca="false">IF(T$7="","",CHOOSE(MATCH($B$4,Lists!$C$2:$C$5,0),SUMIFS(Sales_Data!$O$2:$O$3520,Sales_Data!$C$2:$C$3520,$A43,Sales_Data!$F$2:$F$3520,T$7,Sales_Data!$AE$2:$AE$3520,1),SUMIFS(Sales_Data!$M$2:$M$3520,Sales_Data!$C$2:$C$3520,$A43,Sales_Data!$F$2:$F$3520,T$7,Sales_Data!$AE$2:$AE$3520,1),SUMIFS(Sales_Data!$N$2:$N$3520,Sales_Data!$C$2:$C$3520,$A43,Sales_Data!$F$2:$F$3520,T$7,Sales_Data!$AE$2:$AE$3520,1),SUMIFS(Sales_Data!$AE$2:$AE$3520,Sales_Data!$C$2:$C$3520,$A43,Sales_Data!$F$2:$F$3520,T$7)))</f>
        <v/>
      </c>
      <c r="U43" s="26" t="str">
        <f aca="false">IF(U$7="","",CHOOSE(MATCH($B$4,Lists!$C$2:$C$5,0),SUMIFS(Sales_Data!$O$2:$O$3520,Sales_Data!$C$2:$C$3520,$A43,Sales_Data!$F$2:$F$3520,U$7,Sales_Data!$AE$2:$AE$3520,1),SUMIFS(Sales_Data!$M$2:$M$3520,Sales_Data!$C$2:$C$3520,$A43,Sales_Data!$F$2:$F$3520,U$7,Sales_Data!$AE$2:$AE$3520,1),SUMIFS(Sales_Data!$N$2:$N$3520,Sales_Data!$C$2:$C$3520,$A43,Sales_Data!$F$2:$F$3520,U$7,Sales_Data!$AE$2:$AE$3520,1),SUMIFS(Sales_Data!$AE$2:$AE$3520,Sales_Data!$C$2:$C$3520,$A43,Sales_Data!$F$2:$F$3520,U$7)))</f>
        <v/>
      </c>
      <c r="V43" s="26" t="str">
        <f aca="false">IF(V$7="","",CHOOSE(MATCH($B$4,Lists!$C$2:$C$5,0),SUMIFS(Sales_Data!$O$2:$O$3520,Sales_Data!$C$2:$C$3520,$A43,Sales_Data!$F$2:$F$3520,V$7,Sales_Data!$AE$2:$AE$3520,1),SUMIFS(Sales_Data!$M$2:$M$3520,Sales_Data!$C$2:$C$3520,$A43,Sales_Data!$F$2:$F$3520,V$7,Sales_Data!$AE$2:$AE$3520,1),SUMIFS(Sales_Data!$N$2:$N$3520,Sales_Data!$C$2:$C$3520,$A43,Sales_Data!$F$2:$F$3520,V$7,Sales_Data!$AE$2:$AE$3520,1),SUMIFS(Sales_Data!$AE$2:$AE$3520,Sales_Data!$C$2:$C$3520,$A43,Sales_Data!$F$2:$F$3520,V$7)))</f>
        <v/>
      </c>
      <c r="W43" s="26" t="str">
        <f aca="false">IF(W$7="","",CHOOSE(MATCH($B$4,Lists!$C$2:$C$5,0),SUMIFS(Sales_Data!$O$2:$O$3520,Sales_Data!$C$2:$C$3520,$A43,Sales_Data!$F$2:$F$3520,W$7,Sales_Data!$AE$2:$AE$3520,1),SUMIFS(Sales_Data!$M$2:$M$3520,Sales_Data!$C$2:$C$3520,$A43,Sales_Data!$F$2:$F$3520,W$7,Sales_Data!$AE$2:$AE$3520,1),SUMIFS(Sales_Data!$N$2:$N$3520,Sales_Data!$C$2:$C$3520,$A43,Sales_Data!$F$2:$F$3520,W$7,Sales_Data!$AE$2:$AE$3520,1),SUMIFS(Sales_Data!$AE$2:$AE$3520,Sales_Data!$C$2:$C$3520,$A43,Sales_Data!$F$2:$F$3520,W$7)))</f>
        <v/>
      </c>
      <c r="X43" s="26" t="str">
        <f aca="false">IF(X$7="","",CHOOSE(MATCH($B$4,Lists!$C$2:$C$5,0),SUMIFS(Sales_Data!$O$2:$O$3520,Sales_Data!$C$2:$C$3520,$A43,Sales_Data!$F$2:$F$3520,X$7,Sales_Data!$AE$2:$AE$3520,1),SUMIFS(Sales_Data!$M$2:$M$3520,Sales_Data!$C$2:$C$3520,$A43,Sales_Data!$F$2:$F$3520,X$7,Sales_Data!$AE$2:$AE$3520,1),SUMIFS(Sales_Data!$N$2:$N$3520,Sales_Data!$C$2:$C$3520,$A43,Sales_Data!$F$2:$F$3520,X$7,Sales_Data!$AE$2:$AE$3520,1),SUMIFS(Sales_Data!$AE$2:$AE$3520,Sales_Data!$C$2:$C$3520,$A43,Sales_Data!$F$2:$F$3520,X$7)))</f>
        <v/>
      </c>
      <c r="Y43" s="26" t="str">
        <f aca="false">IF(Y$7="","",CHOOSE(MATCH($B$4,Lists!$C$2:$C$5,0),SUMIFS(Sales_Data!$O$2:$O$3520,Sales_Data!$C$2:$C$3520,$A43,Sales_Data!$F$2:$F$3520,Y$7,Sales_Data!$AE$2:$AE$3520,1),SUMIFS(Sales_Data!$M$2:$M$3520,Sales_Data!$C$2:$C$3520,$A43,Sales_Data!$F$2:$F$3520,Y$7,Sales_Data!$AE$2:$AE$3520,1),SUMIFS(Sales_Data!$N$2:$N$3520,Sales_Data!$C$2:$C$3520,$A43,Sales_Data!$F$2:$F$3520,Y$7,Sales_Data!$AE$2:$AE$3520,1),SUMIFS(Sales_Data!$AE$2:$AE$3520,Sales_Data!$C$2:$C$3520,$A43,Sales_Data!$F$2:$F$3520,Y$7)))</f>
        <v/>
      </c>
      <c r="Z43" s="26" t="str">
        <f aca="false">IF(Z$7="","",CHOOSE(MATCH($B$4,Lists!$C$2:$C$5,0),SUMIFS(Sales_Data!$O$2:$O$3520,Sales_Data!$C$2:$C$3520,$A43,Sales_Data!$F$2:$F$3520,Z$7,Sales_Data!$AE$2:$AE$3520,1),SUMIFS(Sales_Data!$M$2:$M$3520,Sales_Data!$C$2:$C$3520,$A43,Sales_Data!$F$2:$F$3520,Z$7,Sales_Data!$AE$2:$AE$3520,1),SUMIFS(Sales_Data!$N$2:$N$3520,Sales_Data!$C$2:$C$3520,$A43,Sales_Data!$F$2:$F$3520,Z$7,Sales_Data!$AE$2:$AE$3520,1),SUMIFS(Sales_Data!$AE$2:$AE$3520,Sales_Data!$C$2:$C$3520,$A43,Sales_Data!$F$2:$F$3520,Z$7)))</f>
        <v/>
      </c>
      <c r="AA43" s="27" t="n">
        <f aca="false">SUM(B43:Z43)</f>
        <v>0</v>
      </c>
      <c r="AB43" s="3"/>
      <c r="AC43" s="72" t="n">
        <f aca="false">A43</f>
        <v>46250</v>
      </c>
      <c r="AD43" s="28" t="n">
        <f aca="false">IF(B43="","",B43-B42)</f>
        <v>0</v>
      </c>
      <c r="AE43" s="28" t="n">
        <f aca="false">IF(C43="","",C43-C42)</f>
        <v>0</v>
      </c>
      <c r="AF43" s="28" t="n">
        <f aca="false">IF(D43="","",D43-D42)</f>
        <v>0</v>
      </c>
      <c r="AG43" s="28" t="n">
        <f aca="false">IF(E43="","",E43-E42)</f>
        <v>0</v>
      </c>
      <c r="AH43" s="28" t="n">
        <f aca="false">IF(F43="","",F43-F42)</f>
        <v>0</v>
      </c>
      <c r="AI43" s="28" t="n">
        <f aca="false">IF(G43="","",G43-G42)</f>
        <v>0</v>
      </c>
      <c r="AJ43" s="28" t="n">
        <f aca="false">IF(H43="","",H43-H42)</f>
        <v>0</v>
      </c>
      <c r="AK43" s="28" t="n">
        <f aca="false">IF(I43="","",I43-I42)</f>
        <v>0</v>
      </c>
      <c r="AL43" s="28" t="n">
        <f aca="false">IF(J43="","",J43-J42)</f>
        <v>0</v>
      </c>
      <c r="AM43" s="28" t="n">
        <f aca="false">IF(K43="","",K43-K42)</f>
        <v>0</v>
      </c>
      <c r="AN43" s="28" t="n">
        <f aca="false">IF(L43="","",L43-L42)</f>
        <v>0</v>
      </c>
      <c r="AO43" s="28" t="n">
        <f aca="false">IF(M43="","",M43-M42)</f>
        <v>0</v>
      </c>
      <c r="AP43" s="28" t="n">
        <f aca="false">IF(N43="","",N43-N42)</f>
        <v>0</v>
      </c>
      <c r="AQ43" s="28" t="n">
        <f aca="false">IF(O43="","",O43-O42)</f>
        <v>0</v>
      </c>
      <c r="AR43" s="28" t="n">
        <f aca="false">IF(P43="","",P43-P42)</f>
        <v>0</v>
      </c>
      <c r="AS43" s="28" t="n">
        <f aca="false">IF(Q43="","",Q43-Q42)</f>
        <v>0</v>
      </c>
      <c r="AT43" s="28" t="n">
        <f aca="false">IF(R43="","",R43-R42)</f>
        <v>0</v>
      </c>
      <c r="AU43" s="28" t="n">
        <f aca="false">IF(S43="","",S43-S42)</f>
        <v>0</v>
      </c>
      <c r="AV43" s="28" t="str">
        <f aca="false">IF(T43="","",T43-T42)</f>
        <v/>
      </c>
      <c r="AW43" s="28" t="str">
        <f aca="false">IF(U43="","",U43-U42)</f>
        <v/>
      </c>
      <c r="AX43" s="28" t="str">
        <f aca="false">IF(V43="","",V43-V42)</f>
        <v/>
      </c>
      <c r="AY43" s="28" t="str">
        <f aca="false">IF(W43="","",W43-W42)</f>
        <v/>
      </c>
      <c r="AZ43" s="28" t="str">
        <f aca="false">IF(X43="","",X43-X42)</f>
        <v/>
      </c>
      <c r="BA43" s="28" t="str">
        <f aca="false">IF(Y43="","",Y43-Y42)</f>
        <v/>
      </c>
      <c r="BB43" s="28" t="str">
        <f aca="false">IF(Z43="","",Z43-Z42)</f>
        <v/>
      </c>
      <c r="BC43" s="28" t="n">
        <f aca="false">IF(AA43="","",AA43-AA42)</f>
        <v>0</v>
      </c>
    </row>
    <row r="44" customFormat="false" ht="15" hidden="false" customHeight="false" outlineLevel="0" collapsed="false">
      <c r="A44" s="72" t="n">
        <v>46251</v>
      </c>
      <c r="B44" s="26" t="n">
        <f aca="false">IF(B$7="","",CHOOSE(MATCH($B$4,Lists!$C$2:$C$5,0),SUMIFS(Sales_Data!$O$2:$O$3520,Sales_Data!$C$2:$C$3520,$A44,Sales_Data!$F$2:$F$3520,B$7,Sales_Data!$AE$2:$AE$3520,1),SUMIFS(Sales_Data!$M$2:$M$3520,Sales_Data!$C$2:$C$3520,$A44,Sales_Data!$F$2:$F$3520,B$7,Sales_Data!$AE$2:$AE$3520,1),SUMIFS(Sales_Data!$N$2:$N$3520,Sales_Data!$C$2:$C$3520,$A44,Sales_Data!$F$2:$F$3520,B$7,Sales_Data!$AE$2:$AE$3520,1),SUMIFS(Sales_Data!$AE$2:$AE$3520,Sales_Data!$C$2:$C$3520,$A44,Sales_Data!$F$2:$F$3520,B$7)))</f>
        <v>0</v>
      </c>
      <c r="C44" s="26" t="n">
        <f aca="false">IF(C$7="","",CHOOSE(MATCH($B$4,Lists!$C$2:$C$5,0),SUMIFS(Sales_Data!$O$2:$O$3520,Sales_Data!$C$2:$C$3520,$A44,Sales_Data!$F$2:$F$3520,C$7,Sales_Data!$AE$2:$AE$3520,1),SUMIFS(Sales_Data!$M$2:$M$3520,Sales_Data!$C$2:$C$3520,$A44,Sales_Data!$F$2:$F$3520,C$7,Sales_Data!$AE$2:$AE$3520,1),SUMIFS(Sales_Data!$N$2:$N$3520,Sales_Data!$C$2:$C$3520,$A44,Sales_Data!$F$2:$F$3520,C$7,Sales_Data!$AE$2:$AE$3520,1),SUMIFS(Sales_Data!$AE$2:$AE$3520,Sales_Data!$C$2:$C$3520,$A44,Sales_Data!$F$2:$F$3520,C$7)))</f>
        <v>0</v>
      </c>
      <c r="D44" s="26" t="n">
        <f aca="false">IF(D$7="","",CHOOSE(MATCH($B$4,Lists!$C$2:$C$5,0),SUMIFS(Sales_Data!$O$2:$O$3520,Sales_Data!$C$2:$C$3520,$A44,Sales_Data!$F$2:$F$3520,D$7,Sales_Data!$AE$2:$AE$3520,1),SUMIFS(Sales_Data!$M$2:$M$3520,Sales_Data!$C$2:$C$3520,$A44,Sales_Data!$F$2:$F$3520,D$7,Sales_Data!$AE$2:$AE$3520,1),SUMIFS(Sales_Data!$N$2:$N$3520,Sales_Data!$C$2:$C$3520,$A44,Sales_Data!$F$2:$F$3520,D$7,Sales_Data!$AE$2:$AE$3520,1),SUMIFS(Sales_Data!$AE$2:$AE$3520,Sales_Data!$C$2:$C$3520,$A44,Sales_Data!$F$2:$F$3520,D$7)))</f>
        <v>0</v>
      </c>
      <c r="E44" s="26" t="n">
        <f aca="false">IF(E$7="","",CHOOSE(MATCH($B$4,Lists!$C$2:$C$5,0),SUMIFS(Sales_Data!$O$2:$O$3520,Sales_Data!$C$2:$C$3520,$A44,Sales_Data!$F$2:$F$3520,E$7,Sales_Data!$AE$2:$AE$3520,1),SUMIFS(Sales_Data!$M$2:$M$3520,Sales_Data!$C$2:$C$3520,$A44,Sales_Data!$F$2:$F$3520,E$7,Sales_Data!$AE$2:$AE$3520,1),SUMIFS(Sales_Data!$N$2:$N$3520,Sales_Data!$C$2:$C$3520,$A44,Sales_Data!$F$2:$F$3520,E$7,Sales_Data!$AE$2:$AE$3520,1),SUMIFS(Sales_Data!$AE$2:$AE$3520,Sales_Data!$C$2:$C$3520,$A44,Sales_Data!$F$2:$F$3520,E$7)))</f>
        <v>0</v>
      </c>
      <c r="F44" s="26" t="n">
        <f aca="false">IF(F$7="","",CHOOSE(MATCH($B$4,Lists!$C$2:$C$5,0),SUMIFS(Sales_Data!$O$2:$O$3520,Sales_Data!$C$2:$C$3520,$A44,Sales_Data!$F$2:$F$3520,F$7,Sales_Data!$AE$2:$AE$3520,1),SUMIFS(Sales_Data!$M$2:$M$3520,Sales_Data!$C$2:$C$3520,$A44,Sales_Data!$F$2:$F$3520,F$7,Sales_Data!$AE$2:$AE$3520,1),SUMIFS(Sales_Data!$N$2:$N$3520,Sales_Data!$C$2:$C$3520,$A44,Sales_Data!$F$2:$F$3520,F$7,Sales_Data!$AE$2:$AE$3520,1),SUMIFS(Sales_Data!$AE$2:$AE$3520,Sales_Data!$C$2:$C$3520,$A44,Sales_Data!$F$2:$F$3520,F$7)))</f>
        <v>0</v>
      </c>
      <c r="G44" s="26" t="n">
        <f aca="false">IF(G$7="","",CHOOSE(MATCH($B$4,Lists!$C$2:$C$5,0),SUMIFS(Sales_Data!$O$2:$O$3520,Sales_Data!$C$2:$C$3520,$A44,Sales_Data!$F$2:$F$3520,G$7,Sales_Data!$AE$2:$AE$3520,1),SUMIFS(Sales_Data!$M$2:$M$3520,Sales_Data!$C$2:$C$3520,$A44,Sales_Data!$F$2:$F$3520,G$7,Sales_Data!$AE$2:$AE$3520,1),SUMIFS(Sales_Data!$N$2:$N$3520,Sales_Data!$C$2:$C$3520,$A44,Sales_Data!$F$2:$F$3520,G$7,Sales_Data!$AE$2:$AE$3520,1),SUMIFS(Sales_Data!$AE$2:$AE$3520,Sales_Data!$C$2:$C$3520,$A44,Sales_Data!$F$2:$F$3520,G$7)))</f>
        <v>0</v>
      </c>
      <c r="H44" s="26" t="n">
        <f aca="false">IF(H$7="","",CHOOSE(MATCH($B$4,Lists!$C$2:$C$5,0),SUMIFS(Sales_Data!$O$2:$O$3520,Sales_Data!$C$2:$C$3520,$A44,Sales_Data!$F$2:$F$3520,H$7,Sales_Data!$AE$2:$AE$3520,1),SUMIFS(Sales_Data!$M$2:$M$3520,Sales_Data!$C$2:$C$3520,$A44,Sales_Data!$F$2:$F$3520,H$7,Sales_Data!$AE$2:$AE$3520,1),SUMIFS(Sales_Data!$N$2:$N$3520,Sales_Data!$C$2:$C$3520,$A44,Sales_Data!$F$2:$F$3520,H$7,Sales_Data!$AE$2:$AE$3520,1),SUMIFS(Sales_Data!$AE$2:$AE$3520,Sales_Data!$C$2:$C$3520,$A44,Sales_Data!$F$2:$F$3520,H$7)))</f>
        <v>0</v>
      </c>
      <c r="I44" s="26" t="n">
        <f aca="false">IF(I$7="","",CHOOSE(MATCH($B$4,Lists!$C$2:$C$5,0),SUMIFS(Sales_Data!$O$2:$O$3520,Sales_Data!$C$2:$C$3520,$A44,Sales_Data!$F$2:$F$3520,I$7,Sales_Data!$AE$2:$AE$3520,1),SUMIFS(Sales_Data!$M$2:$M$3520,Sales_Data!$C$2:$C$3520,$A44,Sales_Data!$F$2:$F$3520,I$7,Sales_Data!$AE$2:$AE$3520,1),SUMIFS(Sales_Data!$N$2:$N$3520,Sales_Data!$C$2:$C$3520,$A44,Sales_Data!$F$2:$F$3520,I$7,Sales_Data!$AE$2:$AE$3520,1),SUMIFS(Sales_Data!$AE$2:$AE$3520,Sales_Data!$C$2:$C$3520,$A44,Sales_Data!$F$2:$F$3520,I$7)))</f>
        <v>0</v>
      </c>
      <c r="J44" s="26" t="n">
        <f aca="false">IF(J$7="","",CHOOSE(MATCH($B$4,Lists!$C$2:$C$5,0),SUMIFS(Sales_Data!$O$2:$O$3520,Sales_Data!$C$2:$C$3520,$A44,Sales_Data!$F$2:$F$3520,J$7,Sales_Data!$AE$2:$AE$3520,1),SUMIFS(Sales_Data!$M$2:$M$3520,Sales_Data!$C$2:$C$3520,$A44,Sales_Data!$F$2:$F$3520,J$7,Sales_Data!$AE$2:$AE$3520,1),SUMIFS(Sales_Data!$N$2:$N$3520,Sales_Data!$C$2:$C$3520,$A44,Sales_Data!$F$2:$F$3520,J$7,Sales_Data!$AE$2:$AE$3520,1),SUMIFS(Sales_Data!$AE$2:$AE$3520,Sales_Data!$C$2:$C$3520,$A44,Sales_Data!$F$2:$F$3520,J$7)))</f>
        <v>0</v>
      </c>
      <c r="K44" s="26" t="n">
        <f aca="false">IF(K$7="","",CHOOSE(MATCH($B$4,Lists!$C$2:$C$5,0),SUMIFS(Sales_Data!$O$2:$O$3520,Sales_Data!$C$2:$C$3520,$A44,Sales_Data!$F$2:$F$3520,K$7,Sales_Data!$AE$2:$AE$3520,1),SUMIFS(Sales_Data!$M$2:$M$3520,Sales_Data!$C$2:$C$3520,$A44,Sales_Data!$F$2:$F$3520,K$7,Sales_Data!$AE$2:$AE$3520,1),SUMIFS(Sales_Data!$N$2:$N$3520,Sales_Data!$C$2:$C$3520,$A44,Sales_Data!$F$2:$F$3520,K$7,Sales_Data!$AE$2:$AE$3520,1),SUMIFS(Sales_Data!$AE$2:$AE$3520,Sales_Data!$C$2:$C$3520,$A44,Sales_Data!$F$2:$F$3520,K$7)))</f>
        <v>0</v>
      </c>
      <c r="L44" s="26" t="n">
        <f aca="false">IF(L$7="","",CHOOSE(MATCH($B$4,Lists!$C$2:$C$5,0),SUMIFS(Sales_Data!$O$2:$O$3520,Sales_Data!$C$2:$C$3520,$A44,Sales_Data!$F$2:$F$3520,L$7,Sales_Data!$AE$2:$AE$3520,1),SUMIFS(Sales_Data!$M$2:$M$3520,Sales_Data!$C$2:$C$3520,$A44,Sales_Data!$F$2:$F$3520,L$7,Sales_Data!$AE$2:$AE$3520,1),SUMIFS(Sales_Data!$N$2:$N$3520,Sales_Data!$C$2:$C$3520,$A44,Sales_Data!$F$2:$F$3520,L$7,Sales_Data!$AE$2:$AE$3520,1),SUMIFS(Sales_Data!$AE$2:$AE$3520,Sales_Data!$C$2:$C$3520,$A44,Sales_Data!$F$2:$F$3520,L$7)))</f>
        <v>0</v>
      </c>
      <c r="M44" s="26" t="n">
        <f aca="false">IF(M$7="","",CHOOSE(MATCH($B$4,Lists!$C$2:$C$5,0),SUMIFS(Sales_Data!$O$2:$O$3520,Sales_Data!$C$2:$C$3520,$A44,Sales_Data!$F$2:$F$3520,M$7,Sales_Data!$AE$2:$AE$3520,1),SUMIFS(Sales_Data!$M$2:$M$3520,Sales_Data!$C$2:$C$3520,$A44,Sales_Data!$F$2:$F$3520,M$7,Sales_Data!$AE$2:$AE$3520,1),SUMIFS(Sales_Data!$N$2:$N$3520,Sales_Data!$C$2:$C$3520,$A44,Sales_Data!$F$2:$F$3520,M$7,Sales_Data!$AE$2:$AE$3520,1),SUMIFS(Sales_Data!$AE$2:$AE$3520,Sales_Data!$C$2:$C$3520,$A44,Sales_Data!$F$2:$F$3520,M$7)))</f>
        <v>0</v>
      </c>
      <c r="N44" s="26" t="n">
        <f aca="false">IF(N$7="","",CHOOSE(MATCH($B$4,Lists!$C$2:$C$5,0),SUMIFS(Sales_Data!$O$2:$O$3520,Sales_Data!$C$2:$C$3520,$A44,Sales_Data!$F$2:$F$3520,N$7,Sales_Data!$AE$2:$AE$3520,1),SUMIFS(Sales_Data!$M$2:$M$3520,Sales_Data!$C$2:$C$3520,$A44,Sales_Data!$F$2:$F$3520,N$7,Sales_Data!$AE$2:$AE$3520,1),SUMIFS(Sales_Data!$N$2:$N$3520,Sales_Data!$C$2:$C$3520,$A44,Sales_Data!$F$2:$F$3520,N$7,Sales_Data!$AE$2:$AE$3520,1),SUMIFS(Sales_Data!$AE$2:$AE$3520,Sales_Data!$C$2:$C$3520,$A44,Sales_Data!$F$2:$F$3520,N$7)))</f>
        <v>0</v>
      </c>
      <c r="O44" s="26" t="n">
        <f aca="false">IF(O$7="","",CHOOSE(MATCH($B$4,Lists!$C$2:$C$5,0),SUMIFS(Sales_Data!$O$2:$O$3520,Sales_Data!$C$2:$C$3520,$A44,Sales_Data!$F$2:$F$3520,O$7,Sales_Data!$AE$2:$AE$3520,1),SUMIFS(Sales_Data!$M$2:$M$3520,Sales_Data!$C$2:$C$3520,$A44,Sales_Data!$F$2:$F$3520,O$7,Sales_Data!$AE$2:$AE$3520,1),SUMIFS(Sales_Data!$N$2:$N$3520,Sales_Data!$C$2:$C$3520,$A44,Sales_Data!$F$2:$F$3520,O$7,Sales_Data!$AE$2:$AE$3520,1),SUMIFS(Sales_Data!$AE$2:$AE$3520,Sales_Data!$C$2:$C$3520,$A44,Sales_Data!$F$2:$F$3520,O$7)))</f>
        <v>0</v>
      </c>
      <c r="P44" s="26" t="n">
        <f aca="false">IF(P$7="","",CHOOSE(MATCH($B$4,Lists!$C$2:$C$5,0),SUMIFS(Sales_Data!$O$2:$O$3520,Sales_Data!$C$2:$C$3520,$A44,Sales_Data!$F$2:$F$3520,P$7,Sales_Data!$AE$2:$AE$3520,1),SUMIFS(Sales_Data!$M$2:$M$3520,Sales_Data!$C$2:$C$3520,$A44,Sales_Data!$F$2:$F$3520,P$7,Sales_Data!$AE$2:$AE$3520,1),SUMIFS(Sales_Data!$N$2:$N$3520,Sales_Data!$C$2:$C$3520,$A44,Sales_Data!$F$2:$F$3520,P$7,Sales_Data!$AE$2:$AE$3520,1),SUMIFS(Sales_Data!$AE$2:$AE$3520,Sales_Data!$C$2:$C$3520,$A44,Sales_Data!$F$2:$F$3520,P$7)))</f>
        <v>0</v>
      </c>
      <c r="Q44" s="26" t="n">
        <f aca="false">IF(Q$7="","",CHOOSE(MATCH($B$4,Lists!$C$2:$C$5,0),SUMIFS(Sales_Data!$O$2:$O$3520,Sales_Data!$C$2:$C$3520,$A44,Sales_Data!$F$2:$F$3520,Q$7,Sales_Data!$AE$2:$AE$3520,1),SUMIFS(Sales_Data!$M$2:$M$3520,Sales_Data!$C$2:$C$3520,$A44,Sales_Data!$F$2:$F$3520,Q$7,Sales_Data!$AE$2:$AE$3520,1),SUMIFS(Sales_Data!$N$2:$N$3520,Sales_Data!$C$2:$C$3520,$A44,Sales_Data!$F$2:$F$3520,Q$7,Sales_Data!$AE$2:$AE$3520,1),SUMIFS(Sales_Data!$AE$2:$AE$3520,Sales_Data!$C$2:$C$3520,$A44,Sales_Data!$F$2:$F$3520,Q$7)))</f>
        <v>0</v>
      </c>
      <c r="R44" s="26" t="n">
        <f aca="false">IF(R$7="","",CHOOSE(MATCH($B$4,Lists!$C$2:$C$5,0),SUMIFS(Sales_Data!$O$2:$O$3520,Sales_Data!$C$2:$C$3520,$A44,Sales_Data!$F$2:$F$3520,R$7,Sales_Data!$AE$2:$AE$3520,1),SUMIFS(Sales_Data!$M$2:$M$3520,Sales_Data!$C$2:$C$3520,$A44,Sales_Data!$F$2:$F$3520,R$7,Sales_Data!$AE$2:$AE$3520,1),SUMIFS(Sales_Data!$N$2:$N$3520,Sales_Data!$C$2:$C$3520,$A44,Sales_Data!$F$2:$F$3520,R$7,Sales_Data!$AE$2:$AE$3520,1),SUMIFS(Sales_Data!$AE$2:$AE$3520,Sales_Data!$C$2:$C$3520,$A44,Sales_Data!$F$2:$F$3520,R$7)))</f>
        <v>0</v>
      </c>
      <c r="S44" s="26" t="n">
        <f aca="false">IF(S$7="","",CHOOSE(MATCH($B$4,Lists!$C$2:$C$5,0),SUMIFS(Sales_Data!$O$2:$O$3520,Sales_Data!$C$2:$C$3520,$A44,Sales_Data!$F$2:$F$3520,S$7,Sales_Data!$AE$2:$AE$3520,1),SUMIFS(Sales_Data!$M$2:$M$3520,Sales_Data!$C$2:$C$3520,$A44,Sales_Data!$F$2:$F$3520,S$7,Sales_Data!$AE$2:$AE$3520,1),SUMIFS(Sales_Data!$N$2:$N$3520,Sales_Data!$C$2:$C$3520,$A44,Sales_Data!$F$2:$F$3520,S$7,Sales_Data!$AE$2:$AE$3520,1),SUMIFS(Sales_Data!$AE$2:$AE$3520,Sales_Data!$C$2:$C$3520,$A44,Sales_Data!$F$2:$F$3520,S$7)))</f>
        <v>0</v>
      </c>
      <c r="T44" s="26" t="str">
        <f aca="false">IF(T$7="","",CHOOSE(MATCH($B$4,Lists!$C$2:$C$5,0),SUMIFS(Sales_Data!$O$2:$O$3520,Sales_Data!$C$2:$C$3520,$A44,Sales_Data!$F$2:$F$3520,T$7,Sales_Data!$AE$2:$AE$3520,1),SUMIFS(Sales_Data!$M$2:$M$3520,Sales_Data!$C$2:$C$3520,$A44,Sales_Data!$F$2:$F$3520,T$7,Sales_Data!$AE$2:$AE$3520,1),SUMIFS(Sales_Data!$N$2:$N$3520,Sales_Data!$C$2:$C$3520,$A44,Sales_Data!$F$2:$F$3520,T$7,Sales_Data!$AE$2:$AE$3520,1),SUMIFS(Sales_Data!$AE$2:$AE$3520,Sales_Data!$C$2:$C$3520,$A44,Sales_Data!$F$2:$F$3520,T$7)))</f>
        <v/>
      </c>
      <c r="U44" s="26" t="str">
        <f aca="false">IF(U$7="","",CHOOSE(MATCH($B$4,Lists!$C$2:$C$5,0),SUMIFS(Sales_Data!$O$2:$O$3520,Sales_Data!$C$2:$C$3520,$A44,Sales_Data!$F$2:$F$3520,U$7,Sales_Data!$AE$2:$AE$3520,1),SUMIFS(Sales_Data!$M$2:$M$3520,Sales_Data!$C$2:$C$3520,$A44,Sales_Data!$F$2:$F$3520,U$7,Sales_Data!$AE$2:$AE$3520,1),SUMIFS(Sales_Data!$N$2:$N$3520,Sales_Data!$C$2:$C$3520,$A44,Sales_Data!$F$2:$F$3520,U$7,Sales_Data!$AE$2:$AE$3520,1),SUMIFS(Sales_Data!$AE$2:$AE$3520,Sales_Data!$C$2:$C$3520,$A44,Sales_Data!$F$2:$F$3520,U$7)))</f>
        <v/>
      </c>
      <c r="V44" s="26" t="str">
        <f aca="false">IF(V$7="","",CHOOSE(MATCH($B$4,Lists!$C$2:$C$5,0),SUMIFS(Sales_Data!$O$2:$O$3520,Sales_Data!$C$2:$C$3520,$A44,Sales_Data!$F$2:$F$3520,V$7,Sales_Data!$AE$2:$AE$3520,1),SUMIFS(Sales_Data!$M$2:$M$3520,Sales_Data!$C$2:$C$3520,$A44,Sales_Data!$F$2:$F$3520,V$7,Sales_Data!$AE$2:$AE$3520,1),SUMIFS(Sales_Data!$N$2:$N$3520,Sales_Data!$C$2:$C$3520,$A44,Sales_Data!$F$2:$F$3520,V$7,Sales_Data!$AE$2:$AE$3520,1),SUMIFS(Sales_Data!$AE$2:$AE$3520,Sales_Data!$C$2:$C$3520,$A44,Sales_Data!$F$2:$F$3520,V$7)))</f>
        <v/>
      </c>
      <c r="W44" s="26" t="str">
        <f aca="false">IF(W$7="","",CHOOSE(MATCH($B$4,Lists!$C$2:$C$5,0),SUMIFS(Sales_Data!$O$2:$O$3520,Sales_Data!$C$2:$C$3520,$A44,Sales_Data!$F$2:$F$3520,W$7,Sales_Data!$AE$2:$AE$3520,1),SUMIFS(Sales_Data!$M$2:$M$3520,Sales_Data!$C$2:$C$3520,$A44,Sales_Data!$F$2:$F$3520,W$7,Sales_Data!$AE$2:$AE$3520,1),SUMIFS(Sales_Data!$N$2:$N$3520,Sales_Data!$C$2:$C$3520,$A44,Sales_Data!$F$2:$F$3520,W$7,Sales_Data!$AE$2:$AE$3520,1),SUMIFS(Sales_Data!$AE$2:$AE$3520,Sales_Data!$C$2:$C$3520,$A44,Sales_Data!$F$2:$F$3520,W$7)))</f>
        <v/>
      </c>
      <c r="X44" s="26" t="str">
        <f aca="false">IF(X$7="","",CHOOSE(MATCH($B$4,Lists!$C$2:$C$5,0),SUMIFS(Sales_Data!$O$2:$O$3520,Sales_Data!$C$2:$C$3520,$A44,Sales_Data!$F$2:$F$3520,X$7,Sales_Data!$AE$2:$AE$3520,1),SUMIFS(Sales_Data!$M$2:$M$3520,Sales_Data!$C$2:$C$3520,$A44,Sales_Data!$F$2:$F$3520,X$7,Sales_Data!$AE$2:$AE$3520,1),SUMIFS(Sales_Data!$N$2:$N$3520,Sales_Data!$C$2:$C$3520,$A44,Sales_Data!$F$2:$F$3520,X$7,Sales_Data!$AE$2:$AE$3520,1),SUMIFS(Sales_Data!$AE$2:$AE$3520,Sales_Data!$C$2:$C$3520,$A44,Sales_Data!$F$2:$F$3520,X$7)))</f>
        <v/>
      </c>
      <c r="Y44" s="26" t="str">
        <f aca="false">IF(Y$7="","",CHOOSE(MATCH($B$4,Lists!$C$2:$C$5,0),SUMIFS(Sales_Data!$O$2:$O$3520,Sales_Data!$C$2:$C$3520,$A44,Sales_Data!$F$2:$F$3520,Y$7,Sales_Data!$AE$2:$AE$3520,1),SUMIFS(Sales_Data!$M$2:$M$3520,Sales_Data!$C$2:$C$3520,$A44,Sales_Data!$F$2:$F$3520,Y$7,Sales_Data!$AE$2:$AE$3520,1),SUMIFS(Sales_Data!$N$2:$N$3520,Sales_Data!$C$2:$C$3520,$A44,Sales_Data!$F$2:$F$3520,Y$7,Sales_Data!$AE$2:$AE$3520,1),SUMIFS(Sales_Data!$AE$2:$AE$3520,Sales_Data!$C$2:$C$3520,$A44,Sales_Data!$F$2:$F$3520,Y$7)))</f>
        <v/>
      </c>
      <c r="Z44" s="26" t="str">
        <f aca="false">IF(Z$7="","",CHOOSE(MATCH($B$4,Lists!$C$2:$C$5,0),SUMIFS(Sales_Data!$O$2:$O$3520,Sales_Data!$C$2:$C$3520,$A44,Sales_Data!$F$2:$F$3520,Z$7,Sales_Data!$AE$2:$AE$3520,1),SUMIFS(Sales_Data!$M$2:$M$3520,Sales_Data!$C$2:$C$3520,$A44,Sales_Data!$F$2:$F$3520,Z$7,Sales_Data!$AE$2:$AE$3520,1),SUMIFS(Sales_Data!$N$2:$N$3520,Sales_Data!$C$2:$C$3520,$A44,Sales_Data!$F$2:$F$3520,Z$7,Sales_Data!$AE$2:$AE$3520,1),SUMIFS(Sales_Data!$AE$2:$AE$3520,Sales_Data!$C$2:$C$3520,$A44,Sales_Data!$F$2:$F$3520,Z$7)))</f>
        <v/>
      </c>
      <c r="AA44" s="27" t="n">
        <f aca="false">SUM(B44:Z44)</f>
        <v>0</v>
      </c>
      <c r="AB44" s="3"/>
      <c r="AC44" s="72" t="n">
        <f aca="false">A44</f>
        <v>46251</v>
      </c>
      <c r="AD44" s="28" t="n">
        <f aca="false">IF(B44="","",B44-B43)</f>
        <v>0</v>
      </c>
      <c r="AE44" s="28" t="n">
        <f aca="false">IF(C44="","",C44-C43)</f>
        <v>0</v>
      </c>
      <c r="AF44" s="28" t="n">
        <f aca="false">IF(D44="","",D44-D43)</f>
        <v>0</v>
      </c>
      <c r="AG44" s="28" t="n">
        <f aca="false">IF(E44="","",E44-E43)</f>
        <v>0</v>
      </c>
      <c r="AH44" s="28" t="n">
        <f aca="false">IF(F44="","",F44-F43)</f>
        <v>0</v>
      </c>
      <c r="AI44" s="28" t="n">
        <f aca="false">IF(G44="","",G44-G43)</f>
        <v>0</v>
      </c>
      <c r="AJ44" s="28" t="n">
        <f aca="false">IF(H44="","",H44-H43)</f>
        <v>0</v>
      </c>
      <c r="AK44" s="28" t="n">
        <f aca="false">IF(I44="","",I44-I43)</f>
        <v>0</v>
      </c>
      <c r="AL44" s="28" t="n">
        <f aca="false">IF(J44="","",J44-J43)</f>
        <v>0</v>
      </c>
      <c r="AM44" s="28" t="n">
        <f aca="false">IF(K44="","",K44-K43)</f>
        <v>0</v>
      </c>
      <c r="AN44" s="28" t="n">
        <f aca="false">IF(L44="","",L44-L43)</f>
        <v>0</v>
      </c>
      <c r="AO44" s="28" t="n">
        <f aca="false">IF(M44="","",M44-M43)</f>
        <v>0</v>
      </c>
      <c r="AP44" s="28" t="n">
        <f aca="false">IF(N44="","",N44-N43)</f>
        <v>0</v>
      </c>
      <c r="AQ44" s="28" t="n">
        <f aca="false">IF(O44="","",O44-O43)</f>
        <v>0</v>
      </c>
      <c r="AR44" s="28" t="n">
        <f aca="false">IF(P44="","",P44-P43)</f>
        <v>0</v>
      </c>
      <c r="AS44" s="28" t="n">
        <f aca="false">IF(Q44="","",Q44-Q43)</f>
        <v>0</v>
      </c>
      <c r="AT44" s="28" t="n">
        <f aca="false">IF(R44="","",R44-R43)</f>
        <v>0</v>
      </c>
      <c r="AU44" s="28" t="n">
        <f aca="false">IF(S44="","",S44-S43)</f>
        <v>0</v>
      </c>
      <c r="AV44" s="28" t="str">
        <f aca="false">IF(T44="","",T44-T43)</f>
        <v/>
      </c>
      <c r="AW44" s="28" t="str">
        <f aca="false">IF(U44="","",U44-U43)</f>
        <v/>
      </c>
      <c r="AX44" s="28" t="str">
        <f aca="false">IF(V44="","",V44-V43)</f>
        <v/>
      </c>
      <c r="AY44" s="28" t="str">
        <f aca="false">IF(W44="","",W44-W43)</f>
        <v/>
      </c>
      <c r="AZ44" s="28" t="str">
        <f aca="false">IF(X44="","",X44-X43)</f>
        <v/>
      </c>
      <c r="BA44" s="28" t="str">
        <f aca="false">IF(Y44="","",Y44-Y43)</f>
        <v/>
      </c>
      <c r="BB44" s="28" t="str">
        <f aca="false">IF(Z44="","",Z44-Z43)</f>
        <v/>
      </c>
      <c r="BC44" s="28" t="n">
        <f aca="false">IF(AA44="","",AA44-AA43)</f>
        <v>0</v>
      </c>
    </row>
    <row r="45" customFormat="false" ht="15" hidden="false" customHeight="false" outlineLevel="0" collapsed="false">
      <c r="A45" s="72" t="n">
        <v>46252</v>
      </c>
      <c r="B45" s="26" t="n">
        <f aca="false">IF(B$7="","",CHOOSE(MATCH($B$4,Lists!$C$2:$C$5,0),SUMIFS(Sales_Data!$O$2:$O$3520,Sales_Data!$C$2:$C$3520,$A45,Sales_Data!$F$2:$F$3520,B$7,Sales_Data!$AE$2:$AE$3520,1),SUMIFS(Sales_Data!$M$2:$M$3520,Sales_Data!$C$2:$C$3520,$A45,Sales_Data!$F$2:$F$3520,B$7,Sales_Data!$AE$2:$AE$3520,1),SUMIFS(Sales_Data!$N$2:$N$3520,Sales_Data!$C$2:$C$3520,$A45,Sales_Data!$F$2:$F$3520,B$7,Sales_Data!$AE$2:$AE$3520,1),SUMIFS(Sales_Data!$AE$2:$AE$3520,Sales_Data!$C$2:$C$3520,$A45,Sales_Data!$F$2:$F$3520,B$7)))</f>
        <v>0</v>
      </c>
      <c r="C45" s="26" t="n">
        <f aca="false">IF(C$7="","",CHOOSE(MATCH($B$4,Lists!$C$2:$C$5,0),SUMIFS(Sales_Data!$O$2:$O$3520,Sales_Data!$C$2:$C$3520,$A45,Sales_Data!$F$2:$F$3520,C$7,Sales_Data!$AE$2:$AE$3520,1),SUMIFS(Sales_Data!$M$2:$M$3520,Sales_Data!$C$2:$C$3520,$A45,Sales_Data!$F$2:$F$3520,C$7,Sales_Data!$AE$2:$AE$3520,1),SUMIFS(Sales_Data!$N$2:$N$3520,Sales_Data!$C$2:$C$3520,$A45,Sales_Data!$F$2:$F$3520,C$7,Sales_Data!$AE$2:$AE$3520,1),SUMIFS(Sales_Data!$AE$2:$AE$3520,Sales_Data!$C$2:$C$3520,$A45,Sales_Data!$F$2:$F$3520,C$7)))</f>
        <v>0</v>
      </c>
      <c r="D45" s="26" t="n">
        <f aca="false">IF(D$7="","",CHOOSE(MATCH($B$4,Lists!$C$2:$C$5,0),SUMIFS(Sales_Data!$O$2:$O$3520,Sales_Data!$C$2:$C$3520,$A45,Sales_Data!$F$2:$F$3520,D$7,Sales_Data!$AE$2:$AE$3520,1),SUMIFS(Sales_Data!$M$2:$M$3520,Sales_Data!$C$2:$C$3520,$A45,Sales_Data!$F$2:$F$3520,D$7,Sales_Data!$AE$2:$AE$3520,1),SUMIFS(Sales_Data!$N$2:$N$3520,Sales_Data!$C$2:$C$3520,$A45,Sales_Data!$F$2:$F$3520,D$7,Sales_Data!$AE$2:$AE$3520,1),SUMIFS(Sales_Data!$AE$2:$AE$3520,Sales_Data!$C$2:$C$3520,$A45,Sales_Data!$F$2:$F$3520,D$7)))</f>
        <v>0</v>
      </c>
      <c r="E45" s="26" t="n">
        <f aca="false">IF(E$7="","",CHOOSE(MATCH($B$4,Lists!$C$2:$C$5,0),SUMIFS(Sales_Data!$O$2:$O$3520,Sales_Data!$C$2:$C$3520,$A45,Sales_Data!$F$2:$F$3520,E$7,Sales_Data!$AE$2:$AE$3520,1),SUMIFS(Sales_Data!$M$2:$M$3520,Sales_Data!$C$2:$C$3520,$A45,Sales_Data!$F$2:$F$3520,E$7,Sales_Data!$AE$2:$AE$3520,1),SUMIFS(Sales_Data!$N$2:$N$3520,Sales_Data!$C$2:$C$3520,$A45,Sales_Data!$F$2:$F$3520,E$7,Sales_Data!$AE$2:$AE$3520,1),SUMIFS(Sales_Data!$AE$2:$AE$3520,Sales_Data!$C$2:$C$3520,$A45,Sales_Data!$F$2:$F$3520,E$7)))</f>
        <v>0</v>
      </c>
      <c r="F45" s="26" t="n">
        <f aca="false">IF(F$7="","",CHOOSE(MATCH($B$4,Lists!$C$2:$C$5,0),SUMIFS(Sales_Data!$O$2:$O$3520,Sales_Data!$C$2:$C$3520,$A45,Sales_Data!$F$2:$F$3520,F$7,Sales_Data!$AE$2:$AE$3520,1),SUMIFS(Sales_Data!$M$2:$M$3520,Sales_Data!$C$2:$C$3520,$A45,Sales_Data!$F$2:$F$3520,F$7,Sales_Data!$AE$2:$AE$3520,1),SUMIFS(Sales_Data!$N$2:$N$3520,Sales_Data!$C$2:$C$3520,$A45,Sales_Data!$F$2:$F$3520,F$7,Sales_Data!$AE$2:$AE$3520,1),SUMIFS(Sales_Data!$AE$2:$AE$3520,Sales_Data!$C$2:$C$3520,$A45,Sales_Data!$F$2:$F$3520,F$7)))</f>
        <v>0</v>
      </c>
      <c r="G45" s="26" t="n">
        <f aca="false">IF(G$7="","",CHOOSE(MATCH($B$4,Lists!$C$2:$C$5,0),SUMIFS(Sales_Data!$O$2:$O$3520,Sales_Data!$C$2:$C$3520,$A45,Sales_Data!$F$2:$F$3520,G$7,Sales_Data!$AE$2:$AE$3520,1),SUMIFS(Sales_Data!$M$2:$M$3520,Sales_Data!$C$2:$C$3520,$A45,Sales_Data!$F$2:$F$3520,G$7,Sales_Data!$AE$2:$AE$3520,1),SUMIFS(Sales_Data!$N$2:$N$3520,Sales_Data!$C$2:$C$3520,$A45,Sales_Data!$F$2:$F$3520,G$7,Sales_Data!$AE$2:$AE$3520,1),SUMIFS(Sales_Data!$AE$2:$AE$3520,Sales_Data!$C$2:$C$3520,$A45,Sales_Data!$F$2:$F$3520,G$7)))</f>
        <v>0</v>
      </c>
      <c r="H45" s="26" t="n">
        <f aca="false">IF(H$7="","",CHOOSE(MATCH($B$4,Lists!$C$2:$C$5,0),SUMIFS(Sales_Data!$O$2:$O$3520,Sales_Data!$C$2:$C$3520,$A45,Sales_Data!$F$2:$F$3520,H$7,Sales_Data!$AE$2:$AE$3520,1),SUMIFS(Sales_Data!$M$2:$M$3520,Sales_Data!$C$2:$C$3520,$A45,Sales_Data!$F$2:$F$3520,H$7,Sales_Data!$AE$2:$AE$3520,1),SUMIFS(Sales_Data!$N$2:$N$3520,Sales_Data!$C$2:$C$3520,$A45,Sales_Data!$F$2:$F$3520,H$7,Sales_Data!$AE$2:$AE$3520,1),SUMIFS(Sales_Data!$AE$2:$AE$3520,Sales_Data!$C$2:$C$3520,$A45,Sales_Data!$F$2:$F$3520,H$7)))</f>
        <v>0</v>
      </c>
      <c r="I45" s="26" t="n">
        <f aca="false">IF(I$7="","",CHOOSE(MATCH($B$4,Lists!$C$2:$C$5,0),SUMIFS(Sales_Data!$O$2:$O$3520,Sales_Data!$C$2:$C$3520,$A45,Sales_Data!$F$2:$F$3520,I$7,Sales_Data!$AE$2:$AE$3520,1),SUMIFS(Sales_Data!$M$2:$M$3520,Sales_Data!$C$2:$C$3520,$A45,Sales_Data!$F$2:$F$3520,I$7,Sales_Data!$AE$2:$AE$3520,1),SUMIFS(Sales_Data!$N$2:$N$3520,Sales_Data!$C$2:$C$3520,$A45,Sales_Data!$F$2:$F$3520,I$7,Sales_Data!$AE$2:$AE$3520,1),SUMIFS(Sales_Data!$AE$2:$AE$3520,Sales_Data!$C$2:$C$3520,$A45,Sales_Data!$F$2:$F$3520,I$7)))</f>
        <v>0</v>
      </c>
      <c r="J45" s="26" t="n">
        <f aca="false">IF(J$7="","",CHOOSE(MATCH($B$4,Lists!$C$2:$C$5,0),SUMIFS(Sales_Data!$O$2:$O$3520,Sales_Data!$C$2:$C$3520,$A45,Sales_Data!$F$2:$F$3520,J$7,Sales_Data!$AE$2:$AE$3520,1),SUMIFS(Sales_Data!$M$2:$M$3520,Sales_Data!$C$2:$C$3520,$A45,Sales_Data!$F$2:$F$3520,J$7,Sales_Data!$AE$2:$AE$3520,1),SUMIFS(Sales_Data!$N$2:$N$3520,Sales_Data!$C$2:$C$3520,$A45,Sales_Data!$F$2:$F$3520,J$7,Sales_Data!$AE$2:$AE$3520,1),SUMIFS(Sales_Data!$AE$2:$AE$3520,Sales_Data!$C$2:$C$3520,$A45,Sales_Data!$F$2:$F$3520,J$7)))</f>
        <v>0</v>
      </c>
      <c r="K45" s="26" t="n">
        <f aca="false">IF(K$7="","",CHOOSE(MATCH($B$4,Lists!$C$2:$C$5,0),SUMIFS(Sales_Data!$O$2:$O$3520,Sales_Data!$C$2:$C$3520,$A45,Sales_Data!$F$2:$F$3520,K$7,Sales_Data!$AE$2:$AE$3520,1),SUMIFS(Sales_Data!$M$2:$M$3520,Sales_Data!$C$2:$C$3520,$A45,Sales_Data!$F$2:$F$3520,K$7,Sales_Data!$AE$2:$AE$3520,1),SUMIFS(Sales_Data!$N$2:$N$3520,Sales_Data!$C$2:$C$3520,$A45,Sales_Data!$F$2:$F$3520,K$7,Sales_Data!$AE$2:$AE$3520,1),SUMIFS(Sales_Data!$AE$2:$AE$3520,Sales_Data!$C$2:$C$3520,$A45,Sales_Data!$F$2:$F$3520,K$7)))</f>
        <v>0</v>
      </c>
      <c r="L45" s="26" t="n">
        <f aca="false">IF(L$7="","",CHOOSE(MATCH($B$4,Lists!$C$2:$C$5,0),SUMIFS(Sales_Data!$O$2:$O$3520,Sales_Data!$C$2:$C$3520,$A45,Sales_Data!$F$2:$F$3520,L$7,Sales_Data!$AE$2:$AE$3520,1),SUMIFS(Sales_Data!$M$2:$M$3520,Sales_Data!$C$2:$C$3520,$A45,Sales_Data!$F$2:$F$3520,L$7,Sales_Data!$AE$2:$AE$3520,1),SUMIFS(Sales_Data!$N$2:$N$3520,Sales_Data!$C$2:$C$3520,$A45,Sales_Data!$F$2:$F$3520,L$7,Sales_Data!$AE$2:$AE$3520,1),SUMIFS(Sales_Data!$AE$2:$AE$3520,Sales_Data!$C$2:$C$3520,$A45,Sales_Data!$F$2:$F$3520,L$7)))</f>
        <v>0</v>
      </c>
      <c r="M45" s="26" t="n">
        <f aca="false">IF(M$7="","",CHOOSE(MATCH($B$4,Lists!$C$2:$C$5,0),SUMIFS(Sales_Data!$O$2:$O$3520,Sales_Data!$C$2:$C$3520,$A45,Sales_Data!$F$2:$F$3520,M$7,Sales_Data!$AE$2:$AE$3520,1),SUMIFS(Sales_Data!$M$2:$M$3520,Sales_Data!$C$2:$C$3520,$A45,Sales_Data!$F$2:$F$3520,M$7,Sales_Data!$AE$2:$AE$3520,1),SUMIFS(Sales_Data!$N$2:$N$3520,Sales_Data!$C$2:$C$3520,$A45,Sales_Data!$F$2:$F$3520,M$7,Sales_Data!$AE$2:$AE$3520,1),SUMIFS(Sales_Data!$AE$2:$AE$3520,Sales_Data!$C$2:$C$3520,$A45,Sales_Data!$F$2:$F$3520,M$7)))</f>
        <v>0</v>
      </c>
      <c r="N45" s="26" t="n">
        <f aca="false">IF(N$7="","",CHOOSE(MATCH($B$4,Lists!$C$2:$C$5,0),SUMIFS(Sales_Data!$O$2:$O$3520,Sales_Data!$C$2:$C$3520,$A45,Sales_Data!$F$2:$F$3520,N$7,Sales_Data!$AE$2:$AE$3520,1),SUMIFS(Sales_Data!$M$2:$M$3520,Sales_Data!$C$2:$C$3520,$A45,Sales_Data!$F$2:$F$3520,N$7,Sales_Data!$AE$2:$AE$3520,1),SUMIFS(Sales_Data!$N$2:$N$3520,Sales_Data!$C$2:$C$3520,$A45,Sales_Data!$F$2:$F$3520,N$7,Sales_Data!$AE$2:$AE$3520,1),SUMIFS(Sales_Data!$AE$2:$AE$3520,Sales_Data!$C$2:$C$3520,$A45,Sales_Data!$F$2:$F$3520,N$7)))</f>
        <v>0</v>
      </c>
      <c r="O45" s="26" t="n">
        <f aca="false">IF(O$7="","",CHOOSE(MATCH($B$4,Lists!$C$2:$C$5,0),SUMIFS(Sales_Data!$O$2:$O$3520,Sales_Data!$C$2:$C$3520,$A45,Sales_Data!$F$2:$F$3520,O$7,Sales_Data!$AE$2:$AE$3520,1),SUMIFS(Sales_Data!$M$2:$M$3520,Sales_Data!$C$2:$C$3520,$A45,Sales_Data!$F$2:$F$3520,O$7,Sales_Data!$AE$2:$AE$3520,1),SUMIFS(Sales_Data!$N$2:$N$3520,Sales_Data!$C$2:$C$3520,$A45,Sales_Data!$F$2:$F$3520,O$7,Sales_Data!$AE$2:$AE$3520,1),SUMIFS(Sales_Data!$AE$2:$AE$3520,Sales_Data!$C$2:$C$3520,$A45,Sales_Data!$F$2:$F$3520,O$7)))</f>
        <v>0</v>
      </c>
      <c r="P45" s="26" t="n">
        <f aca="false">IF(P$7="","",CHOOSE(MATCH($B$4,Lists!$C$2:$C$5,0),SUMIFS(Sales_Data!$O$2:$O$3520,Sales_Data!$C$2:$C$3520,$A45,Sales_Data!$F$2:$F$3520,P$7,Sales_Data!$AE$2:$AE$3520,1),SUMIFS(Sales_Data!$M$2:$M$3520,Sales_Data!$C$2:$C$3520,$A45,Sales_Data!$F$2:$F$3520,P$7,Sales_Data!$AE$2:$AE$3520,1),SUMIFS(Sales_Data!$N$2:$N$3520,Sales_Data!$C$2:$C$3520,$A45,Sales_Data!$F$2:$F$3520,P$7,Sales_Data!$AE$2:$AE$3520,1),SUMIFS(Sales_Data!$AE$2:$AE$3520,Sales_Data!$C$2:$C$3520,$A45,Sales_Data!$F$2:$F$3520,P$7)))</f>
        <v>0</v>
      </c>
      <c r="Q45" s="26" t="n">
        <f aca="false">IF(Q$7="","",CHOOSE(MATCH($B$4,Lists!$C$2:$C$5,0),SUMIFS(Sales_Data!$O$2:$O$3520,Sales_Data!$C$2:$C$3520,$A45,Sales_Data!$F$2:$F$3520,Q$7,Sales_Data!$AE$2:$AE$3520,1),SUMIFS(Sales_Data!$M$2:$M$3520,Sales_Data!$C$2:$C$3520,$A45,Sales_Data!$F$2:$F$3520,Q$7,Sales_Data!$AE$2:$AE$3520,1),SUMIFS(Sales_Data!$N$2:$N$3520,Sales_Data!$C$2:$C$3520,$A45,Sales_Data!$F$2:$F$3520,Q$7,Sales_Data!$AE$2:$AE$3520,1),SUMIFS(Sales_Data!$AE$2:$AE$3520,Sales_Data!$C$2:$C$3520,$A45,Sales_Data!$F$2:$F$3520,Q$7)))</f>
        <v>0</v>
      </c>
      <c r="R45" s="26" t="n">
        <f aca="false">IF(R$7="","",CHOOSE(MATCH($B$4,Lists!$C$2:$C$5,0),SUMIFS(Sales_Data!$O$2:$O$3520,Sales_Data!$C$2:$C$3520,$A45,Sales_Data!$F$2:$F$3520,R$7,Sales_Data!$AE$2:$AE$3520,1),SUMIFS(Sales_Data!$M$2:$M$3520,Sales_Data!$C$2:$C$3520,$A45,Sales_Data!$F$2:$F$3520,R$7,Sales_Data!$AE$2:$AE$3520,1),SUMIFS(Sales_Data!$N$2:$N$3520,Sales_Data!$C$2:$C$3520,$A45,Sales_Data!$F$2:$F$3520,R$7,Sales_Data!$AE$2:$AE$3520,1),SUMIFS(Sales_Data!$AE$2:$AE$3520,Sales_Data!$C$2:$C$3520,$A45,Sales_Data!$F$2:$F$3520,R$7)))</f>
        <v>0</v>
      </c>
      <c r="S45" s="26" t="n">
        <f aca="false">IF(S$7="","",CHOOSE(MATCH($B$4,Lists!$C$2:$C$5,0),SUMIFS(Sales_Data!$O$2:$O$3520,Sales_Data!$C$2:$C$3520,$A45,Sales_Data!$F$2:$F$3520,S$7,Sales_Data!$AE$2:$AE$3520,1),SUMIFS(Sales_Data!$M$2:$M$3520,Sales_Data!$C$2:$C$3520,$A45,Sales_Data!$F$2:$F$3520,S$7,Sales_Data!$AE$2:$AE$3520,1),SUMIFS(Sales_Data!$N$2:$N$3520,Sales_Data!$C$2:$C$3520,$A45,Sales_Data!$F$2:$F$3520,S$7,Sales_Data!$AE$2:$AE$3520,1),SUMIFS(Sales_Data!$AE$2:$AE$3520,Sales_Data!$C$2:$C$3520,$A45,Sales_Data!$F$2:$F$3520,S$7)))</f>
        <v>0</v>
      </c>
      <c r="T45" s="26" t="str">
        <f aca="false">IF(T$7="","",CHOOSE(MATCH($B$4,Lists!$C$2:$C$5,0),SUMIFS(Sales_Data!$O$2:$O$3520,Sales_Data!$C$2:$C$3520,$A45,Sales_Data!$F$2:$F$3520,T$7,Sales_Data!$AE$2:$AE$3520,1),SUMIFS(Sales_Data!$M$2:$M$3520,Sales_Data!$C$2:$C$3520,$A45,Sales_Data!$F$2:$F$3520,T$7,Sales_Data!$AE$2:$AE$3520,1),SUMIFS(Sales_Data!$N$2:$N$3520,Sales_Data!$C$2:$C$3520,$A45,Sales_Data!$F$2:$F$3520,T$7,Sales_Data!$AE$2:$AE$3520,1),SUMIFS(Sales_Data!$AE$2:$AE$3520,Sales_Data!$C$2:$C$3520,$A45,Sales_Data!$F$2:$F$3520,T$7)))</f>
        <v/>
      </c>
      <c r="U45" s="26" t="str">
        <f aca="false">IF(U$7="","",CHOOSE(MATCH($B$4,Lists!$C$2:$C$5,0),SUMIFS(Sales_Data!$O$2:$O$3520,Sales_Data!$C$2:$C$3520,$A45,Sales_Data!$F$2:$F$3520,U$7,Sales_Data!$AE$2:$AE$3520,1),SUMIFS(Sales_Data!$M$2:$M$3520,Sales_Data!$C$2:$C$3520,$A45,Sales_Data!$F$2:$F$3520,U$7,Sales_Data!$AE$2:$AE$3520,1),SUMIFS(Sales_Data!$N$2:$N$3520,Sales_Data!$C$2:$C$3520,$A45,Sales_Data!$F$2:$F$3520,U$7,Sales_Data!$AE$2:$AE$3520,1),SUMIFS(Sales_Data!$AE$2:$AE$3520,Sales_Data!$C$2:$C$3520,$A45,Sales_Data!$F$2:$F$3520,U$7)))</f>
        <v/>
      </c>
      <c r="V45" s="26" t="str">
        <f aca="false">IF(V$7="","",CHOOSE(MATCH($B$4,Lists!$C$2:$C$5,0),SUMIFS(Sales_Data!$O$2:$O$3520,Sales_Data!$C$2:$C$3520,$A45,Sales_Data!$F$2:$F$3520,V$7,Sales_Data!$AE$2:$AE$3520,1),SUMIFS(Sales_Data!$M$2:$M$3520,Sales_Data!$C$2:$C$3520,$A45,Sales_Data!$F$2:$F$3520,V$7,Sales_Data!$AE$2:$AE$3520,1),SUMIFS(Sales_Data!$N$2:$N$3520,Sales_Data!$C$2:$C$3520,$A45,Sales_Data!$F$2:$F$3520,V$7,Sales_Data!$AE$2:$AE$3520,1),SUMIFS(Sales_Data!$AE$2:$AE$3520,Sales_Data!$C$2:$C$3520,$A45,Sales_Data!$F$2:$F$3520,V$7)))</f>
        <v/>
      </c>
      <c r="W45" s="26" t="str">
        <f aca="false">IF(W$7="","",CHOOSE(MATCH($B$4,Lists!$C$2:$C$5,0),SUMIFS(Sales_Data!$O$2:$O$3520,Sales_Data!$C$2:$C$3520,$A45,Sales_Data!$F$2:$F$3520,W$7,Sales_Data!$AE$2:$AE$3520,1),SUMIFS(Sales_Data!$M$2:$M$3520,Sales_Data!$C$2:$C$3520,$A45,Sales_Data!$F$2:$F$3520,W$7,Sales_Data!$AE$2:$AE$3520,1),SUMIFS(Sales_Data!$N$2:$N$3520,Sales_Data!$C$2:$C$3520,$A45,Sales_Data!$F$2:$F$3520,W$7,Sales_Data!$AE$2:$AE$3520,1),SUMIFS(Sales_Data!$AE$2:$AE$3520,Sales_Data!$C$2:$C$3520,$A45,Sales_Data!$F$2:$F$3520,W$7)))</f>
        <v/>
      </c>
      <c r="X45" s="26" t="str">
        <f aca="false">IF(X$7="","",CHOOSE(MATCH($B$4,Lists!$C$2:$C$5,0),SUMIFS(Sales_Data!$O$2:$O$3520,Sales_Data!$C$2:$C$3520,$A45,Sales_Data!$F$2:$F$3520,X$7,Sales_Data!$AE$2:$AE$3520,1),SUMIFS(Sales_Data!$M$2:$M$3520,Sales_Data!$C$2:$C$3520,$A45,Sales_Data!$F$2:$F$3520,X$7,Sales_Data!$AE$2:$AE$3520,1),SUMIFS(Sales_Data!$N$2:$N$3520,Sales_Data!$C$2:$C$3520,$A45,Sales_Data!$F$2:$F$3520,X$7,Sales_Data!$AE$2:$AE$3520,1),SUMIFS(Sales_Data!$AE$2:$AE$3520,Sales_Data!$C$2:$C$3520,$A45,Sales_Data!$F$2:$F$3520,X$7)))</f>
        <v/>
      </c>
      <c r="Y45" s="26" t="str">
        <f aca="false">IF(Y$7="","",CHOOSE(MATCH($B$4,Lists!$C$2:$C$5,0),SUMIFS(Sales_Data!$O$2:$O$3520,Sales_Data!$C$2:$C$3520,$A45,Sales_Data!$F$2:$F$3520,Y$7,Sales_Data!$AE$2:$AE$3520,1),SUMIFS(Sales_Data!$M$2:$M$3520,Sales_Data!$C$2:$C$3520,$A45,Sales_Data!$F$2:$F$3520,Y$7,Sales_Data!$AE$2:$AE$3520,1),SUMIFS(Sales_Data!$N$2:$N$3520,Sales_Data!$C$2:$C$3520,$A45,Sales_Data!$F$2:$F$3520,Y$7,Sales_Data!$AE$2:$AE$3520,1),SUMIFS(Sales_Data!$AE$2:$AE$3520,Sales_Data!$C$2:$C$3520,$A45,Sales_Data!$F$2:$F$3520,Y$7)))</f>
        <v/>
      </c>
      <c r="Z45" s="26" t="str">
        <f aca="false">IF(Z$7="","",CHOOSE(MATCH($B$4,Lists!$C$2:$C$5,0),SUMIFS(Sales_Data!$O$2:$O$3520,Sales_Data!$C$2:$C$3520,$A45,Sales_Data!$F$2:$F$3520,Z$7,Sales_Data!$AE$2:$AE$3520,1),SUMIFS(Sales_Data!$M$2:$M$3520,Sales_Data!$C$2:$C$3520,$A45,Sales_Data!$F$2:$F$3520,Z$7,Sales_Data!$AE$2:$AE$3520,1),SUMIFS(Sales_Data!$N$2:$N$3520,Sales_Data!$C$2:$C$3520,$A45,Sales_Data!$F$2:$F$3520,Z$7,Sales_Data!$AE$2:$AE$3520,1),SUMIFS(Sales_Data!$AE$2:$AE$3520,Sales_Data!$C$2:$C$3520,$A45,Sales_Data!$F$2:$F$3520,Z$7)))</f>
        <v/>
      </c>
      <c r="AA45" s="27" t="n">
        <f aca="false">SUM(B45:Z45)</f>
        <v>0</v>
      </c>
      <c r="AB45" s="3"/>
      <c r="AC45" s="72" t="n">
        <f aca="false">A45</f>
        <v>46252</v>
      </c>
      <c r="AD45" s="28" t="n">
        <f aca="false">IF(B45="","",B45-B44)</f>
        <v>0</v>
      </c>
      <c r="AE45" s="28" t="n">
        <f aca="false">IF(C45="","",C45-C44)</f>
        <v>0</v>
      </c>
      <c r="AF45" s="28" t="n">
        <f aca="false">IF(D45="","",D45-D44)</f>
        <v>0</v>
      </c>
      <c r="AG45" s="28" t="n">
        <f aca="false">IF(E45="","",E45-E44)</f>
        <v>0</v>
      </c>
      <c r="AH45" s="28" t="n">
        <f aca="false">IF(F45="","",F45-F44)</f>
        <v>0</v>
      </c>
      <c r="AI45" s="28" t="n">
        <f aca="false">IF(G45="","",G45-G44)</f>
        <v>0</v>
      </c>
      <c r="AJ45" s="28" t="n">
        <f aca="false">IF(H45="","",H45-H44)</f>
        <v>0</v>
      </c>
      <c r="AK45" s="28" t="n">
        <f aca="false">IF(I45="","",I45-I44)</f>
        <v>0</v>
      </c>
      <c r="AL45" s="28" t="n">
        <f aca="false">IF(J45="","",J45-J44)</f>
        <v>0</v>
      </c>
      <c r="AM45" s="28" t="n">
        <f aca="false">IF(K45="","",K45-K44)</f>
        <v>0</v>
      </c>
      <c r="AN45" s="28" t="n">
        <f aca="false">IF(L45="","",L45-L44)</f>
        <v>0</v>
      </c>
      <c r="AO45" s="28" t="n">
        <f aca="false">IF(M45="","",M45-M44)</f>
        <v>0</v>
      </c>
      <c r="AP45" s="28" t="n">
        <f aca="false">IF(N45="","",N45-N44)</f>
        <v>0</v>
      </c>
      <c r="AQ45" s="28" t="n">
        <f aca="false">IF(O45="","",O45-O44)</f>
        <v>0</v>
      </c>
      <c r="AR45" s="28" t="n">
        <f aca="false">IF(P45="","",P45-P44)</f>
        <v>0</v>
      </c>
      <c r="AS45" s="28" t="n">
        <f aca="false">IF(Q45="","",Q45-Q44)</f>
        <v>0</v>
      </c>
      <c r="AT45" s="28" t="n">
        <f aca="false">IF(R45="","",R45-R44)</f>
        <v>0</v>
      </c>
      <c r="AU45" s="28" t="n">
        <f aca="false">IF(S45="","",S45-S44)</f>
        <v>0</v>
      </c>
      <c r="AV45" s="28" t="str">
        <f aca="false">IF(T45="","",T45-T44)</f>
        <v/>
      </c>
      <c r="AW45" s="28" t="str">
        <f aca="false">IF(U45="","",U45-U44)</f>
        <v/>
      </c>
      <c r="AX45" s="28" t="str">
        <f aca="false">IF(V45="","",V45-V44)</f>
        <v/>
      </c>
      <c r="AY45" s="28" t="str">
        <f aca="false">IF(W45="","",W45-W44)</f>
        <v/>
      </c>
      <c r="AZ45" s="28" t="str">
        <f aca="false">IF(X45="","",X45-X44)</f>
        <v/>
      </c>
      <c r="BA45" s="28" t="str">
        <f aca="false">IF(Y45="","",Y45-Y44)</f>
        <v/>
      </c>
      <c r="BB45" s="28" t="str">
        <f aca="false">IF(Z45="","",Z45-Z44)</f>
        <v/>
      </c>
      <c r="BC45" s="28" t="n">
        <f aca="false">IF(AA45="","",AA45-AA44)</f>
        <v>0</v>
      </c>
    </row>
    <row r="46" customFormat="false" ht="15" hidden="false" customHeight="false" outlineLevel="0" collapsed="false">
      <c r="A46" s="72" t="n">
        <v>46253</v>
      </c>
      <c r="B46" s="26" t="n">
        <f aca="false">IF(B$7="","",CHOOSE(MATCH($B$4,Lists!$C$2:$C$5,0),SUMIFS(Sales_Data!$O$2:$O$3520,Sales_Data!$C$2:$C$3520,$A46,Sales_Data!$F$2:$F$3520,B$7,Sales_Data!$AE$2:$AE$3520,1),SUMIFS(Sales_Data!$M$2:$M$3520,Sales_Data!$C$2:$C$3520,$A46,Sales_Data!$F$2:$F$3520,B$7,Sales_Data!$AE$2:$AE$3520,1),SUMIFS(Sales_Data!$N$2:$N$3520,Sales_Data!$C$2:$C$3520,$A46,Sales_Data!$F$2:$F$3520,B$7,Sales_Data!$AE$2:$AE$3520,1),SUMIFS(Sales_Data!$AE$2:$AE$3520,Sales_Data!$C$2:$C$3520,$A46,Sales_Data!$F$2:$F$3520,B$7)))</f>
        <v>0</v>
      </c>
      <c r="C46" s="26" t="n">
        <f aca="false">IF(C$7="","",CHOOSE(MATCH($B$4,Lists!$C$2:$C$5,0),SUMIFS(Sales_Data!$O$2:$O$3520,Sales_Data!$C$2:$C$3520,$A46,Sales_Data!$F$2:$F$3520,C$7,Sales_Data!$AE$2:$AE$3520,1),SUMIFS(Sales_Data!$M$2:$M$3520,Sales_Data!$C$2:$C$3520,$A46,Sales_Data!$F$2:$F$3520,C$7,Sales_Data!$AE$2:$AE$3520,1),SUMIFS(Sales_Data!$N$2:$N$3520,Sales_Data!$C$2:$C$3520,$A46,Sales_Data!$F$2:$F$3520,C$7,Sales_Data!$AE$2:$AE$3520,1),SUMIFS(Sales_Data!$AE$2:$AE$3520,Sales_Data!$C$2:$C$3520,$A46,Sales_Data!$F$2:$F$3520,C$7)))</f>
        <v>0</v>
      </c>
      <c r="D46" s="26" t="n">
        <f aca="false">IF(D$7="","",CHOOSE(MATCH($B$4,Lists!$C$2:$C$5,0),SUMIFS(Sales_Data!$O$2:$O$3520,Sales_Data!$C$2:$C$3520,$A46,Sales_Data!$F$2:$F$3520,D$7,Sales_Data!$AE$2:$AE$3520,1),SUMIFS(Sales_Data!$M$2:$M$3520,Sales_Data!$C$2:$C$3520,$A46,Sales_Data!$F$2:$F$3520,D$7,Sales_Data!$AE$2:$AE$3520,1),SUMIFS(Sales_Data!$N$2:$N$3520,Sales_Data!$C$2:$C$3520,$A46,Sales_Data!$F$2:$F$3520,D$7,Sales_Data!$AE$2:$AE$3520,1),SUMIFS(Sales_Data!$AE$2:$AE$3520,Sales_Data!$C$2:$C$3520,$A46,Sales_Data!$F$2:$F$3520,D$7)))</f>
        <v>0</v>
      </c>
      <c r="E46" s="26" t="n">
        <f aca="false">IF(E$7="","",CHOOSE(MATCH($B$4,Lists!$C$2:$C$5,0),SUMIFS(Sales_Data!$O$2:$O$3520,Sales_Data!$C$2:$C$3520,$A46,Sales_Data!$F$2:$F$3520,E$7,Sales_Data!$AE$2:$AE$3520,1),SUMIFS(Sales_Data!$M$2:$M$3520,Sales_Data!$C$2:$C$3520,$A46,Sales_Data!$F$2:$F$3520,E$7,Sales_Data!$AE$2:$AE$3520,1),SUMIFS(Sales_Data!$N$2:$N$3520,Sales_Data!$C$2:$C$3520,$A46,Sales_Data!$F$2:$F$3520,E$7,Sales_Data!$AE$2:$AE$3520,1),SUMIFS(Sales_Data!$AE$2:$AE$3520,Sales_Data!$C$2:$C$3520,$A46,Sales_Data!$F$2:$F$3520,E$7)))</f>
        <v>0</v>
      </c>
      <c r="F46" s="26" t="n">
        <f aca="false">IF(F$7="","",CHOOSE(MATCH($B$4,Lists!$C$2:$C$5,0),SUMIFS(Sales_Data!$O$2:$O$3520,Sales_Data!$C$2:$C$3520,$A46,Sales_Data!$F$2:$F$3520,F$7,Sales_Data!$AE$2:$AE$3520,1),SUMIFS(Sales_Data!$M$2:$M$3520,Sales_Data!$C$2:$C$3520,$A46,Sales_Data!$F$2:$F$3520,F$7,Sales_Data!$AE$2:$AE$3520,1),SUMIFS(Sales_Data!$N$2:$N$3520,Sales_Data!$C$2:$C$3520,$A46,Sales_Data!$F$2:$F$3520,F$7,Sales_Data!$AE$2:$AE$3520,1),SUMIFS(Sales_Data!$AE$2:$AE$3520,Sales_Data!$C$2:$C$3520,$A46,Sales_Data!$F$2:$F$3520,F$7)))</f>
        <v>0</v>
      </c>
      <c r="G46" s="26" t="n">
        <f aca="false">IF(G$7="","",CHOOSE(MATCH($B$4,Lists!$C$2:$C$5,0),SUMIFS(Sales_Data!$O$2:$O$3520,Sales_Data!$C$2:$C$3520,$A46,Sales_Data!$F$2:$F$3520,G$7,Sales_Data!$AE$2:$AE$3520,1),SUMIFS(Sales_Data!$M$2:$M$3520,Sales_Data!$C$2:$C$3520,$A46,Sales_Data!$F$2:$F$3520,G$7,Sales_Data!$AE$2:$AE$3520,1),SUMIFS(Sales_Data!$N$2:$N$3520,Sales_Data!$C$2:$C$3520,$A46,Sales_Data!$F$2:$F$3520,G$7,Sales_Data!$AE$2:$AE$3520,1),SUMIFS(Sales_Data!$AE$2:$AE$3520,Sales_Data!$C$2:$C$3520,$A46,Sales_Data!$F$2:$F$3520,G$7)))</f>
        <v>0</v>
      </c>
      <c r="H46" s="26" t="n">
        <f aca="false">IF(H$7="","",CHOOSE(MATCH($B$4,Lists!$C$2:$C$5,0),SUMIFS(Sales_Data!$O$2:$O$3520,Sales_Data!$C$2:$C$3520,$A46,Sales_Data!$F$2:$F$3520,H$7,Sales_Data!$AE$2:$AE$3520,1),SUMIFS(Sales_Data!$M$2:$M$3520,Sales_Data!$C$2:$C$3520,$A46,Sales_Data!$F$2:$F$3520,H$7,Sales_Data!$AE$2:$AE$3520,1),SUMIFS(Sales_Data!$N$2:$N$3520,Sales_Data!$C$2:$C$3520,$A46,Sales_Data!$F$2:$F$3520,H$7,Sales_Data!$AE$2:$AE$3520,1),SUMIFS(Sales_Data!$AE$2:$AE$3520,Sales_Data!$C$2:$C$3520,$A46,Sales_Data!$F$2:$F$3520,H$7)))</f>
        <v>0</v>
      </c>
      <c r="I46" s="26" t="n">
        <f aca="false">IF(I$7="","",CHOOSE(MATCH($B$4,Lists!$C$2:$C$5,0),SUMIFS(Sales_Data!$O$2:$O$3520,Sales_Data!$C$2:$C$3520,$A46,Sales_Data!$F$2:$F$3520,I$7,Sales_Data!$AE$2:$AE$3520,1),SUMIFS(Sales_Data!$M$2:$M$3520,Sales_Data!$C$2:$C$3520,$A46,Sales_Data!$F$2:$F$3520,I$7,Sales_Data!$AE$2:$AE$3520,1),SUMIFS(Sales_Data!$N$2:$N$3520,Sales_Data!$C$2:$C$3520,$A46,Sales_Data!$F$2:$F$3520,I$7,Sales_Data!$AE$2:$AE$3520,1),SUMIFS(Sales_Data!$AE$2:$AE$3520,Sales_Data!$C$2:$C$3520,$A46,Sales_Data!$F$2:$F$3520,I$7)))</f>
        <v>0</v>
      </c>
      <c r="J46" s="26" t="n">
        <f aca="false">IF(J$7="","",CHOOSE(MATCH($B$4,Lists!$C$2:$C$5,0),SUMIFS(Sales_Data!$O$2:$O$3520,Sales_Data!$C$2:$C$3520,$A46,Sales_Data!$F$2:$F$3520,J$7,Sales_Data!$AE$2:$AE$3520,1),SUMIFS(Sales_Data!$M$2:$M$3520,Sales_Data!$C$2:$C$3520,$A46,Sales_Data!$F$2:$F$3520,J$7,Sales_Data!$AE$2:$AE$3520,1),SUMIFS(Sales_Data!$N$2:$N$3520,Sales_Data!$C$2:$C$3520,$A46,Sales_Data!$F$2:$F$3520,J$7,Sales_Data!$AE$2:$AE$3520,1),SUMIFS(Sales_Data!$AE$2:$AE$3520,Sales_Data!$C$2:$C$3520,$A46,Sales_Data!$F$2:$F$3520,J$7)))</f>
        <v>0</v>
      </c>
      <c r="K46" s="26" t="n">
        <f aca="false">IF(K$7="","",CHOOSE(MATCH($B$4,Lists!$C$2:$C$5,0),SUMIFS(Sales_Data!$O$2:$O$3520,Sales_Data!$C$2:$C$3520,$A46,Sales_Data!$F$2:$F$3520,K$7,Sales_Data!$AE$2:$AE$3520,1),SUMIFS(Sales_Data!$M$2:$M$3520,Sales_Data!$C$2:$C$3520,$A46,Sales_Data!$F$2:$F$3520,K$7,Sales_Data!$AE$2:$AE$3520,1),SUMIFS(Sales_Data!$N$2:$N$3520,Sales_Data!$C$2:$C$3520,$A46,Sales_Data!$F$2:$F$3520,K$7,Sales_Data!$AE$2:$AE$3520,1),SUMIFS(Sales_Data!$AE$2:$AE$3520,Sales_Data!$C$2:$C$3520,$A46,Sales_Data!$F$2:$F$3520,K$7)))</f>
        <v>0</v>
      </c>
      <c r="L46" s="26" t="n">
        <f aca="false">IF(L$7="","",CHOOSE(MATCH($B$4,Lists!$C$2:$C$5,0),SUMIFS(Sales_Data!$O$2:$O$3520,Sales_Data!$C$2:$C$3520,$A46,Sales_Data!$F$2:$F$3520,L$7,Sales_Data!$AE$2:$AE$3520,1),SUMIFS(Sales_Data!$M$2:$M$3520,Sales_Data!$C$2:$C$3520,$A46,Sales_Data!$F$2:$F$3520,L$7,Sales_Data!$AE$2:$AE$3520,1),SUMIFS(Sales_Data!$N$2:$N$3520,Sales_Data!$C$2:$C$3520,$A46,Sales_Data!$F$2:$F$3520,L$7,Sales_Data!$AE$2:$AE$3520,1),SUMIFS(Sales_Data!$AE$2:$AE$3520,Sales_Data!$C$2:$C$3520,$A46,Sales_Data!$F$2:$F$3520,L$7)))</f>
        <v>0</v>
      </c>
      <c r="M46" s="26" t="n">
        <f aca="false">IF(M$7="","",CHOOSE(MATCH($B$4,Lists!$C$2:$C$5,0),SUMIFS(Sales_Data!$O$2:$O$3520,Sales_Data!$C$2:$C$3520,$A46,Sales_Data!$F$2:$F$3520,M$7,Sales_Data!$AE$2:$AE$3520,1),SUMIFS(Sales_Data!$M$2:$M$3520,Sales_Data!$C$2:$C$3520,$A46,Sales_Data!$F$2:$F$3520,M$7,Sales_Data!$AE$2:$AE$3520,1),SUMIFS(Sales_Data!$N$2:$N$3520,Sales_Data!$C$2:$C$3520,$A46,Sales_Data!$F$2:$F$3520,M$7,Sales_Data!$AE$2:$AE$3520,1),SUMIFS(Sales_Data!$AE$2:$AE$3520,Sales_Data!$C$2:$C$3520,$A46,Sales_Data!$F$2:$F$3520,M$7)))</f>
        <v>0</v>
      </c>
      <c r="N46" s="26" t="n">
        <f aca="false">IF(N$7="","",CHOOSE(MATCH($B$4,Lists!$C$2:$C$5,0),SUMIFS(Sales_Data!$O$2:$O$3520,Sales_Data!$C$2:$C$3520,$A46,Sales_Data!$F$2:$F$3520,N$7,Sales_Data!$AE$2:$AE$3520,1),SUMIFS(Sales_Data!$M$2:$M$3520,Sales_Data!$C$2:$C$3520,$A46,Sales_Data!$F$2:$F$3520,N$7,Sales_Data!$AE$2:$AE$3520,1),SUMIFS(Sales_Data!$N$2:$N$3520,Sales_Data!$C$2:$C$3520,$A46,Sales_Data!$F$2:$F$3520,N$7,Sales_Data!$AE$2:$AE$3520,1),SUMIFS(Sales_Data!$AE$2:$AE$3520,Sales_Data!$C$2:$C$3520,$A46,Sales_Data!$F$2:$F$3520,N$7)))</f>
        <v>0</v>
      </c>
      <c r="O46" s="26" t="n">
        <f aca="false">IF(O$7="","",CHOOSE(MATCH($B$4,Lists!$C$2:$C$5,0),SUMIFS(Sales_Data!$O$2:$O$3520,Sales_Data!$C$2:$C$3520,$A46,Sales_Data!$F$2:$F$3520,O$7,Sales_Data!$AE$2:$AE$3520,1),SUMIFS(Sales_Data!$M$2:$M$3520,Sales_Data!$C$2:$C$3520,$A46,Sales_Data!$F$2:$F$3520,O$7,Sales_Data!$AE$2:$AE$3520,1),SUMIFS(Sales_Data!$N$2:$N$3520,Sales_Data!$C$2:$C$3520,$A46,Sales_Data!$F$2:$F$3520,O$7,Sales_Data!$AE$2:$AE$3520,1),SUMIFS(Sales_Data!$AE$2:$AE$3520,Sales_Data!$C$2:$C$3520,$A46,Sales_Data!$F$2:$F$3520,O$7)))</f>
        <v>0</v>
      </c>
      <c r="P46" s="26" t="n">
        <f aca="false">IF(P$7="","",CHOOSE(MATCH($B$4,Lists!$C$2:$C$5,0),SUMIFS(Sales_Data!$O$2:$O$3520,Sales_Data!$C$2:$C$3520,$A46,Sales_Data!$F$2:$F$3520,P$7,Sales_Data!$AE$2:$AE$3520,1),SUMIFS(Sales_Data!$M$2:$M$3520,Sales_Data!$C$2:$C$3520,$A46,Sales_Data!$F$2:$F$3520,P$7,Sales_Data!$AE$2:$AE$3520,1),SUMIFS(Sales_Data!$N$2:$N$3520,Sales_Data!$C$2:$C$3520,$A46,Sales_Data!$F$2:$F$3520,P$7,Sales_Data!$AE$2:$AE$3520,1),SUMIFS(Sales_Data!$AE$2:$AE$3520,Sales_Data!$C$2:$C$3520,$A46,Sales_Data!$F$2:$F$3520,P$7)))</f>
        <v>0</v>
      </c>
      <c r="Q46" s="26" t="n">
        <f aca="false">IF(Q$7="","",CHOOSE(MATCH($B$4,Lists!$C$2:$C$5,0),SUMIFS(Sales_Data!$O$2:$O$3520,Sales_Data!$C$2:$C$3520,$A46,Sales_Data!$F$2:$F$3520,Q$7,Sales_Data!$AE$2:$AE$3520,1),SUMIFS(Sales_Data!$M$2:$M$3520,Sales_Data!$C$2:$C$3520,$A46,Sales_Data!$F$2:$F$3520,Q$7,Sales_Data!$AE$2:$AE$3520,1),SUMIFS(Sales_Data!$N$2:$N$3520,Sales_Data!$C$2:$C$3520,$A46,Sales_Data!$F$2:$F$3520,Q$7,Sales_Data!$AE$2:$AE$3520,1),SUMIFS(Sales_Data!$AE$2:$AE$3520,Sales_Data!$C$2:$C$3520,$A46,Sales_Data!$F$2:$F$3520,Q$7)))</f>
        <v>0</v>
      </c>
      <c r="R46" s="26" t="n">
        <f aca="false">IF(R$7="","",CHOOSE(MATCH($B$4,Lists!$C$2:$C$5,0),SUMIFS(Sales_Data!$O$2:$O$3520,Sales_Data!$C$2:$C$3520,$A46,Sales_Data!$F$2:$F$3520,R$7,Sales_Data!$AE$2:$AE$3520,1),SUMIFS(Sales_Data!$M$2:$M$3520,Sales_Data!$C$2:$C$3520,$A46,Sales_Data!$F$2:$F$3520,R$7,Sales_Data!$AE$2:$AE$3520,1),SUMIFS(Sales_Data!$N$2:$N$3520,Sales_Data!$C$2:$C$3520,$A46,Sales_Data!$F$2:$F$3520,R$7,Sales_Data!$AE$2:$AE$3520,1),SUMIFS(Sales_Data!$AE$2:$AE$3520,Sales_Data!$C$2:$C$3520,$A46,Sales_Data!$F$2:$F$3520,R$7)))</f>
        <v>0</v>
      </c>
      <c r="S46" s="26" t="n">
        <f aca="false">IF(S$7="","",CHOOSE(MATCH($B$4,Lists!$C$2:$C$5,0),SUMIFS(Sales_Data!$O$2:$O$3520,Sales_Data!$C$2:$C$3520,$A46,Sales_Data!$F$2:$F$3520,S$7,Sales_Data!$AE$2:$AE$3520,1),SUMIFS(Sales_Data!$M$2:$M$3520,Sales_Data!$C$2:$C$3520,$A46,Sales_Data!$F$2:$F$3520,S$7,Sales_Data!$AE$2:$AE$3520,1),SUMIFS(Sales_Data!$N$2:$N$3520,Sales_Data!$C$2:$C$3520,$A46,Sales_Data!$F$2:$F$3520,S$7,Sales_Data!$AE$2:$AE$3520,1),SUMIFS(Sales_Data!$AE$2:$AE$3520,Sales_Data!$C$2:$C$3520,$A46,Sales_Data!$F$2:$F$3520,S$7)))</f>
        <v>0</v>
      </c>
      <c r="T46" s="26" t="str">
        <f aca="false">IF(T$7="","",CHOOSE(MATCH($B$4,Lists!$C$2:$C$5,0),SUMIFS(Sales_Data!$O$2:$O$3520,Sales_Data!$C$2:$C$3520,$A46,Sales_Data!$F$2:$F$3520,T$7,Sales_Data!$AE$2:$AE$3520,1),SUMIFS(Sales_Data!$M$2:$M$3520,Sales_Data!$C$2:$C$3520,$A46,Sales_Data!$F$2:$F$3520,T$7,Sales_Data!$AE$2:$AE$3520,1),SUMIFS(Sales_Data!$N$2:$N$3520,Sales_Data!$C$2:$C$3520,$A46,Sales_Data!$F$2:$F$3520,T$7,Sales_Data!$AE$2:$AE$3520,1),SUMIFS(Sales_Data!$AE$2:$AE$3520,Sales_Data!$C$2:$C$3520,$A46,Sales_Data!$F$2:$F$3520,T$7)))</f>
        <v/>
      </c>
      <c r="U46" s="26" t="str">
        <f aca="false">IF(U$7="","",CHOOSE(MATCH($B$4,Lists!$C$2:$C$5,0),SUMIFS(Sales_Data!$O$2:$O$3520,Sales_Data!$C$2:$C$3520,$A46,Sales_Data!$F$2:$F$3520,U$7,Sales_Data!$AE$2:$AE$3520,1),SUMIFS(Sales_Data!$M$2:$M$3520,Sales_Data!$C$2:$C$3520,$A46,Sales_Data!$F$2:$F$3520,U$7,Sales_Data!$AE$2:$AE$3520,1),SUMIFS(Sales_Data!$N$2:$N$3520,Sales_Data!$C$2:$C$3520,$A46,Sales_Data!$F$2:$F$3520,U$7,Sales_Data!$AE$2:$AE$3520,1),SUMIFS(Sales_Data!$AE$2:$AE$3520,Sales_Data!$C$2:$C$3520,$A46,Sales_Data!$F$2:$F$3520,U$7)))</f>
        <v/>
      </c>
      <c r="V46" s="26" t="str">
        <f aca="false">IF(V$7="","",CHOOSE(MATCH($B$4,Lists!$C$2:$C$5,0),SUMIFS(Sales_Data!$O$2:$O$3520,Sales_Data!$C$2:$C$3520,$A46,Sales_Data!$F$2:$F$3520,V$7,Sales_Data!$AE$2:$AE$3520,1),SUMIFS(Sales_Data!$M$2:$M$3520,Sales_Data!$C$2:$C$3520,$A46,Sales_Data!$F$2:$F$3520,V$7,Sales_Data!$AE$2:$AE$3520,1),SUMIFS(Sales_Data!$N$2:$N$3520,Sales_Data!$C$2:$C$3520,$A46,Sales_Data!$F$2:$F$3520,V$7,Sales_Data!$AE$2:$AE$3520,1),SUMIFS(Sales_Data!$AE$2:$AE$3520,Sales_Data!$C$2:$C$3520,$A46,Sales_Data!$F$2:$F$3520,V$7)))</f>
        <v/>
      </c>
      <c r="W46" s="26" t="str">
        <f aca="false">IF(W$7="","",CHOOSE(MATCH($B$4,Lists!$C$2:$C$5,0),SUMIFS(Sales_Data!$O$2:$O$3520,Sales_Data!$C$2:$C$3520,$A46,Sales_Data!$F$2:$F$3520,W$7,Sales_Data!$AE$2:$AE$3520,1),SUMIFS(Sales_Data!$M$2:$M$3520,Sales_Data!$C$2:$C$3520,$A46,Sales_Data!$F$2:$F$3520,W$7,Sales_Data!$AE$2:$AE$3520,1),SUMIFS(Sales_Data!$N$2:$N$3520,Sales_Data!$C$2:$C$3520,$A46,Sales_Data!$F$2:$F$3520,W$7,Sales_Data!$AE$2:$AE$3520,1),SUMIFS(Sales_Data!$AE$2:$AE$3520,Sales_Data!$C$2:$C$3520,$A46,Sales_Data!$F$2:$F$3520,W$7)))</f>
        <v/>
      </c>
      <c r="X46" s="26" t="str">
        <f aca="false">IF(X$7="","",CHOOSE(MATCH($B$4,Lists!$C$2:$C$5,0),SUMIFS(Sales_Data!$O$2:$O$3520,Sales_Data!$C$2:$C$3520,$A46,Sales_Data!$F$2:$F$3520,X$7,Sales_Data!$AE$2:$AE$3520,1),SUMIFS(Sales_Data!$M$2:$M$3520,Sales_Data!$C$2:$C$3520,$A46,Sales_Data!$F$2:$F$3520,X$7,Sales_Data!$AE$2:$AE$3520,1),SUMIFS(Sales_Data!$N$2:$N$3520,Sales_Data!$C$2:$C$3520,$A46,Sales_Data!$F$2:$F$3520,X$7,Sales_Data!$AE$2:$AE$3520,1),SUMIFS(Sales_Data!$AE$2:$AE$3520,Sales_Data!$C$2:$C$3520,$A46,Sales_Data!$F$2:$F$3520,X$7)))</f>
        <v/>
      </c>
      <c r="Y46" s="26" t="str">
        <f aca="false">IF(Y$7="","",CHOOSE(MATCH($B$4,Lists!$C$2:$C$5,0),SUMIFS(Sales_Data!$O$2:$O$3520,Sales_Data!$C$2:$C$3520,$A46,Sales_Data!$F$2:$F$3520,Y$7,Sales_Data!$AE$2:$AE$3520,1),SUMIFS(Sales_Data!$M$2:$M$3520,Sales_Data!$C$2:$C$3520,$A46,Sales_Data!$F$2:$F$3520,Y$7,Sales_Data!$AE$2:$AE$3520,1),SUMIFS(Sales_Data!$N$2:$N$3520,Sales_Data!$C$2:$C$3520,$A46,Sales_Data!$F$2:$F$3520,Y$7,Sales_Data!$AE$2:$AE$3520,1),SUMIFS(Sales_Data!$AE$2:$AE$3520,Sales_Data!$C$2:$C$3520,$A46,Sales_Data!$F$2:$F$3520,Y$7)))</f>
        <v/>
      </c>
      <c r="Z46" s="26" t="str">
        <f aca="false">IF(Z$7="","",CHOOSE(MATCH($B$4,Lists!$C$2:$C$5,0),SUMIFS(Sales_Data!$O$2:$O$3520,Sales_Data!$C$2:$C$3520,$A46,Sales_Data!$F$2:$F$3520,Z$7,Sales_Data!$AE$2:$AE$3520,1),SUMIFS(Sales_Data!$M$2:$M$3520,Sales_Data!$C$2:$C$3520,$A46,Sales_Data!$F$2:$F$3520,Z$7,Sales_Data!$AE$2:$AE$3520,1),SUMIFS(Sales_Data!$N$2:$N$3520,Sales_Data!$C$2:$C$3520,$A46,Sales_Data!$F$2:$F$3520,Z$7,Sales_Data!$AE$2:$AE$3520,1),SUMIFS(Sales_Data!$AE$2:$AE$3520,Sales_Data!$C$2:$C$3520,$A46,Sales_Data!$F$2:$F$3520,Z$7)))</f>
        <v/>
      </c>
      <c r="AA46" s="27" t="n">
        <f aca="false">SUM(B46:Z46)</f>
        <v>0</v>
      </c>
      <c r="AB46" s="3"/>
      <c r="AC46" s="72" t="n">
        <f aca="false">A46</f>
        <v>46253</v>
      </c>
      <c r="AD46" s="28" t="n">
        <f aca="false">IF(B46="","",B46-B45)</f>
        <v>0</v>
      </c>
      <c r="AE46" s="28" t="n">
        <f aca="false">IF(C46="","",C46-C45)</f>
        <v>0</v>
      </c>
      <c r="AF46" s="28" t="n">
        <f aca="false">IF(D46="","",D46-D45)</f>
        <v>0</v>
      </c>
      <c r="AG46" s="28" t="n">
        <f aca="false">IF(E46="","",E46-E45)</f>
        <v>0</v>
      </c>
      <c r="AH46" s="28" t="n">
        <f aca="false">IF(F46="","",F46-F45)</f>
        <v>0</v>
      </c>
      <c r="AI46" s="28" t="n">
        <f aca="false">IF(G46="","",G46-G45)</f>
        <v>0</v>
      </c>
      <c r="AJ46" s="28" t="n">
        <f aca="false">IF(H46="","",H46-H45)</f>
        <v>0</v>
      </c>
      <c r="AK46" s="28" t="n">
        <f aca="false">IF(I46="","",I46-I45)</f>
        <v>0</v>
      </c>
      <c r="AL46" s="28" t="n">
        <f aca="false">IF(J46="","",J46-J45)</f>
        <v>0</v>
      </c>
      <c r="AM46" s="28" t="n">
        <f aca="false">IF(K46="","",K46-K45)</f>
        <v>0</v>
      </c>
      <c r="AN46" s="28" t="n">
        <f aca="false">IF(L46="","",L46-L45)</f>
        <v>0</v>
      </c>
      <c r="AO46" s="28" t="n">
        <f aca="false">IF(M46="","",M46-M45)</f>
        <v>0</v>
      </c>
      <c r="AP46" s="28" t="n">
        <f aca="false">IF(N46="","",N46-N45)</f>
        <v>0</v>
      </c>
      <c r="AQ46" s="28" t="n">
        <f aca="false">IF(O46="","",O46-O45)</f>
        <v>0</v>
      </c>
      <c r="AR46" s="28" t="n">
        <f aca="false">IF(P46="","",P46-P45)</f>
        <v>0</v>
      </c>
      <c r="AS46" s="28" t="n">
        <f aca="false">IF(Q46="","",Q46-Q45)</f>
        <v>0</v>
      </c>
      <c r="AT46" s="28" t="n">
        <f aca="false">IF(R46="","",R46-R45)</f>
        <v>0</v>
      </c>
      <c r="AU46" s="28" t="n">
        <f aca="false">IF(S46="","",S46-S45)</f>
        <v>0</v>
      </c>
      <c r="AV46" s="28" t="str">
        <f aca="false">IF(T46="","",T46-T45)</f>
        <v/>
      </c>
      <c r="AW46" s="28" t="str">
        <f aca="false">IF(U46="","",U46-U45)</f>
        <v/>
      </c>
      <c r="AX46" s="28" t="str">
        <f aca="false">IF(V46="","",V46-V45)</f>
        <v/>
      </c>
      <c r="AY46" s="28" t="str">
        <f aca="false">IF(W46="","",W46-W45)</f>
        <v/>
      </c>
      <c r="AZ46" s="28" t="str">
        <f aca="false">IF(X46="","",X46-X45)</f>
        <v/>
      </c>
      <c r="BA46" s="28" t="str">
        <f aca="false">IF(Y46="","",Y46-Y45)</f>
        <v/>
      </c>
      <c r="BB46" s="28" t="str">
        <f aca="false">IF(Z46="","",Z46-Z45)</f>
        <v/>
      </c>
      <c r="BC46" s="28" t="n">
        <f aca="false">IF(AA46="","",AA46-AA45)</f>
        <v>0</v>
      </c>
    </row>
    <row r="47" customFormat="false" ht="15" hidden="false" customHeight="false" outlineLevel="0" collapsed="false">
      <c r="A47" s="72" t="n">
        <v>46254</v>
      </c>
      <c r="B47" s="26" t="n">
        <f aca="false">IF(B$7="","",CHOOSE(MATCH($B$4,Lists!$C$2:$C$5,0),SUMIFS(Sales_Data!$O$2:$O$3520,Sales_Data!$C$2:$C$3520,$A47,Sales_Data!$F$2:$F$3520,B$7,Sales_Data!$AE$2:$AE$3520,1),SUMIFS(Sales_Data!$M$2:$M$3520,Sales_Data!$C$2:$C$3520,$A47,Sales_Data!$F$2:$F$3520,B$7,Sales_Data!$AE$2:$AE$3520,1),SUMIFS(Sales_Data!$N$2:$N$3520,Sales_Data!$C$2:$C$3520,$A47,Sales_Data!$F$2:$F$3520,B$7,Sales_Data!$AE$2:$AE$3520,1),SUMIFS(Sales_Data!$AE$2:$AE$3520,Sales_Data!$C$2:$C$3520,$A47,Sales_Data!$F$2:$F$3520,B$7)))</f>
        <v>0</v>
      </c>
      <c r="C47" s="26" t="n">
        <f aca="false">IF(C$7="","",CHOOSE(MATCH($B$4,Lists!$C$2:$C$5,0),SUMIFS(Sales_Data!$O$2:$O$3520,Sales_Data!$C$2:$C$3520,$A47,Sales_Data!$F$2:$F$3520,C$7,Sales_Data!$AE$2:$AE$3520,1),SUMIFS(Sales_Data!$M$2:$M$3520,Sales_Data!$C$2:$C$3520,$A47,Sales_Data!$F$2:$F$3520,C$7,Sales_Data!$AE$2:$AE$3520,1),SUMIFS(Sales_Data!$N$2:$N$3520,Sales_Data!$C$2:$C$3520,$A47,Sales_Data!$F$2:$F$3520,C$7,Sales_Data!$AE$2:$AE$3520,1),SUMIFS(Sales_Data!$AE$2:$AE$3520,Sales_Data!$C$2:$C$3520,$A47,Sales_Data!$F$2:$F$3520,C$7)))</f>
        <v>0</v>
      </c>
      <c r="D47" s="26" t="n">
        <f aca="false">IF(D$7="","",CHOOSE(MATCH($B$4,Lists!$C$2:$C$5,0),SUMIFS(Sales_Data!$O$2:$O$3520,Sales_Data!$C$2:$C$3520,$A47,Sales_Data!$F$2:$F$3520,D$7,Sales_Data!$AE$2:$AE$3520,1),SUMIFS(Sales_Data!$M$2:$M$3520,Sales_Data!$C$2:$C$3520,$A47,Sales_Data!$F$2:$F$3520,D$7,Sales_Data!$AE$2:$AE$3520,1),SUMIFS(Sales_Data!$N$2:$N$3520,Sales_Data!$C$2:$C$3520,$A47,Sales_Data!$F$2:$F$3520,D$7,Sales_Data!$AE$2:$AE$3520,1),SUMIFS(Sales_Data!$AE$2:$AE$3520,Sales_Data!$C$2:$C$3520,$A47,Sales_Data!$F$2:$F$3520,D$7)))</f>
        <v>0</v>
      </c>
      <c r="E47" s="26" t="n">
        <f aca="false">IF(E$7="","",CHOOSE(MATCH($B$4,Lists!$C$2:$C$5,0),SUMIFS(Sales_Data!$O$2:$O$3520,Sales_Data!$C$2:$C$3520,$A47,Sales_Data!$F$2:$F$3520,E$7,Sales_Data!$AE$2:$AE$3520,1),SUMIFS(Sales_Data!$M$2:$M$3520,Sales_Data!$C$2:$C$3520,$A47,Sales_Data!$F$2:$F$3520,E$7,Sales_Data!$AE$2:$AE$3520,1),SUMIFS(Sales_Data!$N$2:$N$3520,Sales_Data!$C$2:$C$3520,$A47,Sales_Data!$F$2:$F$3520,E$7,Sales_Data!$AE$2:$AE$3520,1),SUMIFS(Sales_Data!$AE$2:$AE$3520,Sales_Data!$C$2:$C$3520,$A47,Sales_Data!$F$2:$F$3520,E$7)))</f>
        <v>0</v>
      </c>
      <c r="F47" s="26" t="n">
        <f aca="false">IF(F$7="","",CHOOSE(MATCH($B$4,Lists!$C$2:$C$5,0),SUMIFS(Sales_Data!$O$2:$O$3520,Sales_Data!$C$2:$C$3520,$A47,Sales_Data!$F$2:$F$3520,F$7,Sales_Data!$AE$2:$AE$3520,1),SUMIFS(Sales_Data!$M$2:$M$3520,Sales_Data!$C$2:$C$3520,$A47,Sales_Data!$F$2:$F$3520,F$7,Sales_Data!$AE$2:$AE$3520,1),SUMIFS(Sales_Data!$N$2:$N$3520,Sales_Data!$C$2:$C$3520,$A47,Sales_Data!$F$2:$F$3520,F$7,Sales_Data!$AE$2:$AE$3520,1),SUMIFS(Sales_Data!$AE$2:$AE$3520,Sales_Data!$C$2:$C$3520,$A47,Sales_Data!$F$2:$F$3520,F$7)))</f>
        <v>0</v>
      </c>
      <c r="G47" s="26" t="n">
        <f aca="false">IF(G$7="","",CHOOSE(MATCH($B$4,Lists!$C$2:$C$5,0),SUMIFS(Sales_Data!$O$2:$O$3520,Sales_Data!$C$2:$C$3520,$A47,Sales_Data!$F$2:$F$3520,G$7,Sales_Data!$AE$2:$AE$3520,1),SUMIFS(Sales_Data!$M$2:$M$3520,Sales_Data!$C$2:$C$3520,$A47,Sales_Data!$F$2:$F$3520,G$7,Sales_Data!$AE$2:$AE$3520,1),SUMIFS(Sales_Data!$N$2:$N$3520,Sales_Data!$C$2:$C$3520,$A47,Sales_Data!$F$2:$F$3520,G$7,Sales_Data!$AE$2:$AE$3520,1),SUMIFS(Sales_Data!$AE$2:$AE$3520,Sales_Data!$C$2:$C$3520,$A47,Sales_Data!$F$2:$F$3520,G$7)))</f>
        <v>0</v>
      </c>
      <c r="H47" s="26" t="n">
        <f aca="false">IF(H$7="","",CHOOSE(MATCH($B$4,Lists!$C$2:$C$5,0),SUMIFS(Sales_Data!$O$2:$O$3520,Sales_Data!$C$2:$C$3520,$A47,Sales_Data!$F$2:$F$3520,H$7,Sales_Data!$AE$2:$AE$3520,1),SUMIFS(Sales_Data!$M$2:$M$3520,Sales_Data!$C$2:$C$3520,$A47,Sales_Data!$F$2:$F$3520,H$7,Sales_Data!$AE$2:$AE$3520,1),SUMIFS(Sales_Data!$N$2:$N$3520,Sales_Data!$C$2:$C$3520,$A47,Sales_Data!$F$2:$F$3520,H$7,Sales_Data!$AE$2:$AE$3520,1),SUMIFS(Sales_Data!$AE$2:$AE$3520,Sales_Data!$C$2:$C$3520,$A47,Sales_Data!$F$2:$F$3520,H$7)))</f>
        <v>0</v>
      </c>
      <c r="I47" s="26" t="n">
        <f aca="false">IF(I$7="","",CHOOSE(MATCH($B$4,Lists!$C$2:$C$5,0),SUMIFS(Sales_Data!$O$2:$O$3520,Sales_Data!$C$2:$C$3520,$A47,Sales_Data!$F$2:$F$3520,I$7,Sales_Data!$AE$2:$AE$3520,1),SUMIFS(Sales_Data!$M$2:$M$3520,Sales_Data!$C$2:$C$3520,$A47,Sales_Data!$F$2:$F$3520,I$7,Sales_Data!$AE$2:$AE$3520,1),SUMIFS(Sales_Data!$N$2:$N$3520,Sales_Data!$C$2:$C$3520,$A47,Sales_Data!$F$2:$F$3520,I$7,Sales_Data!$AE$2:$AE$3520,1),SUMIFS(Sales_Data!$AE$2:$AE$3520,Sales_Data!$C$2:$C$3520,$A47,Sales_Data!$F$2:$F$3520,I$7)))</f>
        <v>0</v>
      </c>
      <c r="J47" s="26" t="n">
        <f aca="false">IF(J$7="","",CHOOSE(MATCH($B$4,Lists!$C$2:$C$5,0),SUMIFS(Sales_Data!$O$2:$O$3520,Sales_Data!$C$2:$C$3520,$A47,Sales_Data!$F$2:$F$3520,J$7,Sales_Data!$AE$2:$AE$3520,1),SUMIFS(Sales_Data!$M$2:$M$3520,Sales_Data!$C$2:$C$3520,$A47,Sales_Data!$F$2:$F$3520,J$7,Sales_Data!$AE$2:$AE$3520,1),SUMIFS(Sales_Data!$N$2:$N$3520,Sales_Data!$C$2:$C$3520,$A47,Sales_Data!$F$2:$F$3520,J$7,Sales_Data!$AE$2:$AE$3520,1),SUMIFS(Sales_Data!$AE$2:$AE$3520,Sales_Data!$C$2:$C$3520,$A47,Sales_Data!$F$2:$F$3520,J$7)))</f>
        <v>0</v>
      </c>
      <c r="K47" s="26" t="n">
        <f aca="false">IF(K$7="","",CHOOSE(MATCH($B$4,Lists!$C$2:$C$5,0),SUMIFS(Sales_Data!$O$2:$O$3520,Sales_Data!$C$2:$C$3520,$A47,Sales_Data!$F$2:$F$3520,K$7,Sales_Data!$AE$2:$AE$3520,1),SUMIFS(Sales_Data!$M$2:$M$3520,Sales_Data!$C$2:$C$3520,$A47,Sales_Data!$F$2:$F$3520,K$7,Sales_Data!$AE$2:$AE$3520,1),SUMIFS(Sales_Data!$N$2:$N$3520,Sales_Data!$C$2:$C$3520,$A47,Sales_Data!$F$2:$F$3520,K$7,Sales_Data!$AE$2:$AE$3520,1),SUMIFS(Sales_Data!$AE$2:$AE$3520,Sales_Data!$C$2:$C$3520,$A47,Sales_Data!$F$2:$F$3520,K$7)))</f>
        <v>0</v>
      </c>
      <c r="L47" s="26" t="n">
        <f aca="false">IF(L$7="","",CHOOSE(MATCH($B$4,Lists!$C$2:$C$5,0),SUMIFS(Sales_Data!$O$2:$O$3520,Sales_Data!$C$2:$C$3520,$A47,Sales_Data!$F$2:$F$3520,L$7,Sales_Data!$AE$2:$AE$3520,1),SUMIFS(Sales_Data!$M$2:$M$3520,Sales_Data!$C$2:$C$3520,$A47,Sales_Data!$F$2:$F$3520,L$7,Sales_Data!$AE$2:$AE$3520,1),SUMIFS(Sales_Data!$N$2:$N$3520,Sales_Data!$C$2:$C$3520,$A47,Sales_Data!$F$2:$F$3520,L$7,Sales_Data!$AE$2:$AE$3520,1),SUMIFS(Sales_Data!$AE$2:$AE$3520,Sales_Data!$C$2:$C$3520,$A47,Sales_Data!$F$2:$F$3520,L$7)))</f>
        <v>0</v>
      </c>
      <c r="M47" s="26" t="n">
        <f aca="false">IF(M$7="","",CHOOSE(MATCH($B$4,Lists!$C$2:$C$5,0),SUMIFS(Sales_Data!$O$2:$O$3520,Sales_Data!$C$2:$C$3520,$A47,Sales_Data!$F$2:$F$3520,M$7,Sales_Data!$AE$2:$AE$3520,1),SUMIFS(Sales_Data!$M$2:$M$3520,Sales_Data!$C$2:$C$3520,$A47,Sales_Data!$F$2:$F$3520,M$7,Sales_Data!$AE$2:$AE$3520,1),SUMIFS(Sales_Data!$N$2:$N$3520,Sales_Data!$C$2:$C$3520,$A47,Sales_Data!$F$2:$F$3520,M$7,Sales_Data!$AE$2:$AE$3520,1),SUMIFS(Sales_Data!$AE$2:$AE$3520,Sales_Data!$C$2:$C$3520,$A47,Sales_Data!$F$2:$F$3520,M$7)))</f>
        <v>0</v>
      </c>
      <c r="N47" s="26" t="n">
        <f aca="false">IF(N$7="","",CHOOSE(MATCH($B$4,Lists!$C$2:$C$5,0),SUMIFS(Sales_Data!$O$2:$O$3520,Sales_Data!$C$2:$C$3520,$A47,Sales_Data!$F$2:$F$3520,N$7,Sales_Data!$AE$2:$AE$3520,1),SUMIFS(Sales_Data!$M$2:$M$3520,Sales_Data!$C$2:$C$3520,$A47,Sales_Data!$F$2:$F$3520,N$7,Sales_Data!$AE$2:$AE$3520,1),SUMIFS(Sales_Data!$N$2:$N$3520,Sales_Data!$C$2:$C$3520,$A47,Sales_Data!$F$2:$F$3520,N$7,Sales_Data!$AE$2:$AE$3520,1),SUMIFS(Sales_Data!$AE$2:$AE$3520,Sales_Data!$C$2:$C$3520,$A47,Sales_Data!$F$2:$F$3520,N$7)))</f>
        <v>0</v>
      </c>
      <c r="O47" s="26" t="n">
        <f aca="false">IF(O$7="","",CHOOSE(MATCH($B$4,Lists!$C$2:$C$5,0),SUMIFS(Sales_Data!$O$2:$O$3520,Sales_Data!$C$2:$C$3520,$A47,Sales_Data!$F$2:$F$3520,O$7,Sales_Data!$AE$2:$AE$3520,1),SUMIFS(Sales_Data!$M$2:$M$3520,Sales_Data!$C$2:$C$3520,$A47,Sales_Data!$F$2:$F$3520,O$7,Sales_Data!$AE$2:$AE$3520,1),SUMIFS(Sales_Data!$N$2:$N$3520,Sales_Data!$C$2:$C$3520,$A47,Sales_Data!$F$2:$F$3520,O$7,Sales_Data!$AE$2:$AE$3520,1),SUMIFS(Sales_Data!$AE$2:$AE$3520,Sales_Data!$C$2:$C$3520,$A47,Sales_Data!$F$2:$F$3520,O$7)))</f>
        <v>0</v>
      </c>
      <c r="P47" s="26" t="n">
        <f aca="false">IF(P$7="","",CHOOSE(MATCH($B$4,Lists!$C$2:$C$5,0),SUMIFS(Sales_Data!$O$2:$O$3520,Sales_Data!$C$2:$C$3520,$A47,Sales_Data!$F$2:$F$3520,P$7,Sales_Data!$AE$2:$AE$3520,1),SUMIFS(Sales_Data!$M$2:$M$3520,Sales_Data!$C$2:$C$3520,$A47,Sales_Data!$F$2:$F$3520,P$7,Sales_Data!$AE$2:$AE$3520,1),SUMIFS(Sales_Data!$N$2:$N$3520,Sales_Data!$C$2:$C$3520,$A47,Sales_Data!$F$2:$F$3520,P$7,Sales_Data!$AE$2:$AE$3520,1),SUMIFS(Sales_Data!$AE$2:$AE$3520,Sales_Data!$C$2:$C$3520,$A47,Sales_Data!$F$2:$F$3520,P$7)))</f>
        <v>0</v>
      </c>
      <c r="Q47" s="26" t="n">
        <f aca="false">IF(Q$7="","",CHOOSE(MATCH($B$4,Lists!$C$2:$C$5,0),SUMIFS(Sales_Data!$O$2:$O$3520,Sales_Data!$C$2:$C$3520,$A47,Sales_Data!$F$2:$F$3520,Q$7,Sales_Data!$AE$2:$AE$3520,1),SUMIFS(Sales_Data!$M$2:$M$3520,Sales_Data!$C$2:$C$3520,$A47,Sales_Data!$F$2:$F$3520,Q$7,Sales_Data!$AE$2:$AE$3520,1),SUMIFS(Sales_Data!$N$2:$N$3520,Sales_Data!$C$2:$C$3520,$A47,Sales_Data!$F$2:$F$3520,Q$7,Sales_Data!$AE$2:$AE$3520,1),SUMIFS(Sales_Data!$AE$2:$AE$3520,Sales_Data!$C$2:$C$3520,$A47,Sales_Data!$F$2:$F$3520,Q$7)))</f>
        <v>0</v>
      </c>
      <c r="R47" s="26" t="n">
        <f aca="false">IF(R$7="","",CHOOSE(MATCH($B$4,Lists!$C$2:$C$5,0),SUMIFS(Sales_Data!$O$2:$O$3520,Sales_Data!$C$2:$C$3520,$A47,Sales_Data!$F$2:$F$3520,R$7,Sales_Data!$AE$2:$AE$3520,1),SUMIFS(Sales_Data!$M$2:$M$3520,Sales_Data!$C$2:$C$3520,$A47,Sales_Data!$F$2:$F$3520,R$7,Sales_Data!$AE$2:$AE$3520,1),SUMIFS(Sales_Data!$N$2:$N$3520,Sales_Data!$C$2:$C$3520,$A47,Sales_Data!$F$2:$F$3520,R$7,Sales_Data!$AE$2:$AE$3520,1),SUMIFS(Sales_Data!$AE$2:$AE$3520,Sales_Data!$C$2:$C$3520,$A47,Sales_Data!$F$2:$F$3520,R$7)))</f>
        <v>0</v>
      </c>
      <c r="S47" s="26" t="n">
        <f aca="false">IF(S$7="","",CHOOSE(MATCH($B$4,Lists!$C$2:$C$5,0),SUMIFS(Sales_Data!$O$2:$O$3520,Sales_Data!$C$2:$C$3520,$A47,Sales_Data!$F$2:$F$3520,S$7,Sales_Data!$AE$2:$AE$3520,1),SUMIFS(Sales_Data!$M$2:$M$3520,Sales_Data!$C$2:$C$3520,$A47,Sales_Data!$F$2:$F$3520,S$7,Sales_Data!$AE$2:$AE$3520,1),SUMIFS(Sales_Data!$N$2:$N$3520,Sales_Data!$C$2:$C$3520,$A47,Sales_Data!$F$2:$F$3520,S$7,Sales_Data!$AE$2:$AE$3520,1),SUMIFS(Sales_Data!$AE$2:$AE$3520,Sales_Data!$C$2:$C$3520,$A47,Sales_Data!$F$2:$F$3520,S$7)))</f>
        <v>0</v>
      </c>
      <c r="T47" s="26" t="str">
        <f aca="false">IF(T$7="","",CHOOSE(MATCH($B$4,Lists!$C$2:$C$5,0),SUMIFS(Sales_Data!$O$2:$O$3520,Sales_Data!$C$2:$C$3520,$A47,Sales_Data!$F$2:$F$3520,T$7,Sales_Data!$AE$2:$AE$3520,1),SUMIFS(Sales_Data!$M$2:$M$3520,Sales_Data!$C$2:$C$3520,$A47,Sales_Data!$F$2:$F$3520,T$7,Sales_Data!$AE$2:$AE$3520,1),SUMIFS(Sales_Data!$N$2:$N$3520,Sales_Data!$C$2:$C$3520,$A47,Sales_Data!$F$2:$F$3520,T$7,Sales_Data!$AE$2:$AE$3520,1),SUMIFS(Sales_Data!$AE$2:$AE$3520,Sales_Data!$C$2:$C$3520,$A47,Sales_Data!$F$2:$F$3520,T$7)))</f>
        <v/>
      </c>
      <c r="U47" s="26" t="str">
        <f aca="false">IF(U$7="","",CHOOSE(MATCH($B$4,Lists!$C$2:$C$5,0),SUMIFS(Sales_Data!$O$2:$O$3520,Sales_Data!$C$2:$C$3520,$A47,Sales_Data!$F$2:$F$3520,U$7,Sales_Data!$AE$2:$AE$3520,1),SUMIFS(Sales_Data!$M$2:$M$3520,Sales_Data!$C$2:$C$3520,$A47,Sales_Data!$F$2:$F$3520,U$7,Sales_Data!$AE$2:$AE$3520,1),SUMIFS(Sales_Data!$N$2:$N$3520,Sales_Data!$C$2:$C$3520,$A47,Sales_Data!$F$2:$F$3520,U$7,Sales_Data!$AE$2:$AE$3520,1),SUMIFS(Sales_Data!$AE$2:$AE$3520,Sales_Data!$C$2:$C$3520,$A47,Sales_Data!$F$2:$F$3520,U$7)))</f>
        <v/>
      </c>
      <c r="V47" s="26" t="str">
        <f aca="false">IF(V$7="","",CHOOSE(MATCH($B$4,Lists!$C$2:$C$5,0),SUMIFS(Sales_Data!$O$2:$O$3520,Sales_Data!$C$2:$C$3520,$A47,Sales_Data!$F$2:$F$3520,V$7,Sales_Data!$AE$2:$AE$3520,1),SUMIFS(Sales_Data!$M$2:$M$3520,Sales_Data!$C$2:$C$3520,$A47,Sales_Data!$F$2:$F$3520,V$7,Sales_Data!$AE$2:$AE$3520,1),SUMIFS(Sales_Data!$N$2:$N$3520,Sales_Data!$C$2:$C$3520,$A47,Sales_Data!$F$2:$F$3520,V$7,Sales_Data!$AE$2:$AE$3520,1),SUMIFS(Sales_Data!$AE$2:$AE$3520,Sales_Data!$C$2:$C$3520,$A47,Sales_Data!$F$2:$F$3520,V$7)))</f>
        <v/>
      </c>
      <c r="W47" s="26" t="str">
        <f aca="false">IF(W$7="","",CHOOSE(MATCH($B$4,Lists!$C$2:$C$5,0),SUMIFS(Sales_Data!$O$2:$O$3520,Sales_Data!$C$2:$C$3520,$A47,Sales_Data!$F$2:$F$3520,W$7,Sales_Data!$AE$2:$AE$3520,1),SUMIFS(Sales_Data!$M$2:$M$3520,Sales_Data!$C$2:$C$3520,$A47,Sales_Data!$F$2:$F$3520,W$7,Sales_Data!$AE$2:$AE$3520,1),SUMIFS(Sales_Data!$N$2:$N$3520,Sales_Data!$C$2:$C$3520,$A47,Sales_Data!$F$2:$F$3520,W$7,Sales_Data!$AE$2:$AE$3520,1),SUMIFS(Sales_Data!$AE$2:$AE$3520,Sales_Data!$C$2:$C$3520,$A47,Sales_Data!$F$2:$F$3520,W$7)))</f>
        <v/>
      </c>
      <c r="X47" s="26" t="str">
        <f aca="false">IF(X$7="","",CHOOSE(MATCH($B$4,Lists!$C$2:$C$5,0),SUMIFS(Sales_Data!$O$2:$O$3520,Sales_Data!$C$2:$C$3520,$A47,Sales_Data!$F$2:$F$3520,X$7,Sales_Data!$AE$2:$AE$3520,1),SUMIFS(Sales_Data!$M$2:$M$3520,Sales_Data!$C$2:$C$3520,$A47,Sales_Data!$F$2:$F$3520,X$7,Sales_Data!$AE$2:$AE$3520,1),SUMIFS(Sales_Data!$N$2:$N$3520,Sales_Data!$C$2:$C$3520,$A47,Sales_Data!$F$2:$F$3520,X$7,Sales_Data!$AE$2:$AE$3520,1),SUMIFS(Sales_Data!$AE$2:$AE$3520,Sales_Data!$C$2:$C$3520,$A47,Sales_Data!$F$2:$F$3520,X$7)))</f>
        <v/>
      </c>
      <c r="Y47" s="26" t="str">
        <f aca="false">IF(Y$7="","",CHOOSE(MATCH($B$4,Lists!$C$2:$C$5,0),SUMIFS(Sales_Data!$O$2:$O$3520,Sales_Data!$C$2:$C$3520,$A47,Sales_Data!$F$2:$F$3520,Y$7,Sales_Data!$AE$2:$AE$3520,1),SUMIFS(Sales_Data!$M$2:$M$3520,Sales_Data!$C$2:$C$3520,$A47,Sales_Data!$F$2:$F$3520,Y$7,Sales_Data!$AE$2:$AE$3520,1),SUMIFS(Sales_Data!$N$2:$N$3520,Sales_Data!$C$2:$C$3520,$A47,Sales_Data!$F$2:$F$3520,Y$7,Sales_Data!$AE$2:$AE$3520,1),SUMIFS(Sales_Data!$AE$2:$AE$3520,Sales_Data!$C$2:$C$3520,$A47,Sales_Data!$F$2:$F$3520,Y$7)))</f>
        <v/>
      </c>
      <c r="Z47" s="26" t="str">
        <f aca="false">IF(Z$7="","",CHOOSE(MATCH($B$4,Lists!$C$2:$C$5,0),SUMIFS(Sales_Data!$O$2:$O$3520,Sales_Data!$C$2:$C$3520,$A47,Sales_Data!$F$2:$F$3520,Z$7,Sales_Data!$AE$2:$AE$3520,1),SUMIFS(Sales_Data!$M$2:$M$3520,Sales_Data!$C$2:$C$3520,$A47,Sales_Data!$F$2:$F$3520,Z$7,Sales_Data!$AE$2:$AE$3520,1),SUMIFS(Sales_Data!$N$2:$N$3520,Sales_Data!$C$2:$C$3520,$A47,Sales_Data!$F$2:$F$3520,Z$7,Sales_Data!$AE$2:$AE$3520,1),SUMIFS(Sales_Data!$AE$2:$AE$3520,Sales_Data!$C$2:$C$3520,$A47,Sales_Data!$F$2:$F$3520,Z$7)))</f>
        <v/>
      </c>
      <c r="AA47" s="27" t="n">
        <f aca="false">SUM(B47:Z47)</f>
        <v>0</v>
      </c>
      <c r="AB47" s="3"/>
      <c r="AC47" s="72" t="n">
        <f aca="false">A47</f>
        <v>46254</v>
      </c>
      <c r="AD47" s="28" t="n">
        <f aca="false">IF(B47="","",B47-B46)</f>
        <v>0</v>
      </c>
      <c r="AE47" s="28" t="n">
        <f aca="false">IF(C47="","",C47-C46)</f>
        <v>0</v>
      </c>
      <c r="AF47" s="28" t="n">
        <f aca="false">IF(D47="","",D47-D46)</f>
        <v>0</v>
      </c>
      <c r="AG47" s="28" t="n">
        <f aca="false">IF(E47="","",E47-E46)</f>
        <v>0</v>
      </c>
      <c r="AH47" s="28" t="n">
        <f aca="false">IF(F47="","",F47-F46)</f>
        <v>0</v>
      </c>
      <c r="AI47" s="28" t="n">
        <f aca="false">IF(G47="","",G47-G46)</f>
        <v>0</v>
      </c>
      <c r="AJ47" s="28" t="n">
        <f aca="false">IF(H47="","",H47-H46)</f>
        <v>0</v>
      </c>
      <c r="AK47" s="28" t="n">
        <f aca="false">IF(I47="","",I47-I46)</f>
        <v>0</v>
      </c>
      <c r="AL47" s="28" t="n">
        <f aca="false">IF(J47="","",J47-J46)</f>
        <v>0</v>
      </c>
      <c r="AM47" s="28" t="n">
        <f aca="false">IF(K47="","",K47-K46)</f>
        <v>0</v>
      </c>
      <c r="AN47" s="28" t="n">
        <f aca="false">IF(L47="","",L47-L46)</f>
        <v>0</v>
      </c>
      <c r="AO47" s="28" t="n">
        <f aca="false">IF(M47="","",M47-M46)</f>
        <v>0</v>
      </c>
      <c r="AP47" s="28" t="n">
        <f aca="false">IF(N47="","",N47-N46)</f>
        <v>0</v>
      </c>
      <c r="AQ47" s="28" t="n">
        <f aca="false">IF(O47="","",O47-O46)</f>
        <v>0</v>
      </c>
      <c r="AR47" s="28" t="n">
        <f aca="false">IF(P47="","",P47-P46)</f>
        <v>0</v>
      </c>
      <c r="AS47" s="28" t="n">
        <f aca="false">IF(Q47="","",Q47-Q46)</f>
        <v>0</v>
      </c>
      <c r="AT47" s="28" t="n">
        <f aca="false">IF(R47="","",R47-R46)</f>
        <v>0</v>
      </c>
      <c r="AU47" s="28" t="n">
        <f aca="false">IF(S47="","",S47-S46)</f>
        <v>0</v>
      </c>
      <c r="AV47" s="28" t="str">
        <f aca="false">IF(T47="","",T47-T46)</f>
        <v/>
      </c>
      <c r="AW47" s="28" t="str">
        <f aca="false">IF(U47="","",U47-U46)</f>
        <v/>
      </c>
      <c r="AX47" s="28" t="str">
        <f aca="false">IF(V47="","",V47-V46)</f>
        <v/>
      </c>
      <c r="AY47" s="28" t="str">
        <f aca="false">IF(W47="","",W47-W46)</f>
        <v/>
      </c>
      <c r="AZ47" s="28" t="str">
        <f aca="false">IF(X47="","",X47-X46)</f>
        <v/>
      </c>
      <c r="BA47" s="28" t="str">
        <f aca="false">IF(Y47="","",Y47-Y46)</f>
        <v/>
      </c>
      <c r="BB47" s="28" t="str">
        <f aca="false">IF(Z47="","",Z47-Z46)</f>
        <v/>
      </c>
      <c r="BC47" s="28" t="n">
        <f aca="false">IF(AA47="","",AA47-AA46)</f>
        <v>0</v>
      </c>
    </row>
    <row r="48" customFormat="false" ht="15" hidden="false" customHeight="false" outlineLevel="0" collapsed="false">
      <c r="A48" s="72" t="n">
        <v>46255</v>
      </c>
      <c r="B48" s="26" t="n">
        <f aca="false">IF(B$7="","",CHOOSE(MATCH($B$4,Lists!$C$2:$C$5,0),SUMIFS(Sales_Data!$O$2:$O$3520,Sales_Data!$C$2:$C$3520,$A48,Sales_Data!$F$2:$F$3520,B$7,Sales_Data!$AE$2:$AE$3520,1),SUMIFS(Sales_Data!$M$2:$M$3520,Sales_Data!$C$2:$C$3520,$A48,Sales_Data!$F$2:$F$3520,B$7,Sales_Data!$AE$2:$AE$3520,1),SUMIFS(Sales_Data!$N$2:$N$3520,Sales_Data!$C$2:$C$3520,$A48,Sales_Data!$F$2:$F$3520,B$7,Sales_Data!$AE$2:$AE$3520,1),SUMIFS(Sales_Data!$AE$2:$AE$3520,Sales_Data!$C$2:$C$3520,$A48,Sales_Data!$F$2:$F$3520,B$7)))</f>
        <v>0</v>
      </c>
      <c r="C48" s="26" t="n">
        <f aca="false">IF(C$7="","",CHOOSE(MATCH($B$4,Lists!$C$2:$C$5,0),SUMIFS(Sales_Data!$O$2:$O$3520,Sales_Data!$C$2:$C$3520,$A48,Sales_Data!$F$2:$F$3520,C$7,Sales_Data!$AE$2:$AE$3520,1),SUMIFS(Sales_Data!$M$2:$M$3520,Sales_Data!$C$2:$C$3520,$A48,Sales_Data!$F$2:$F$3520,C$7,Sales_Data!$AE$2:$AE$3520,1),SUMIFS(Sales_Data!$N$2:$N$3520,Sales_Data!$C$2:$C$3520,$A48,Sales_Data!$F$2:$F$3520,C$7,Sales_Data!$AE$2:$AE$3520,1),SUMIFS(Sales_Data!$AE$2:$AE$3520,Sales_Data!$C$2:$C$3520,$A48,Sales_Data!$F$2:$F$3520,C$7)))</f>
        <v>0</v>
      </c>
      <c r="D48" s="26" t="n">
        <f aca="false">IF(D$7="","",CHOOSE(MATCH($B$4,Lists!$C$2:$C$5,0),SUMIFS(Sales_Data!$O$2:$O$3520,Sales_Data!$C$2:$C$3520,$A48,Sales_Data!$F$2:$F$3520,D$7,Sales_Data!$AE$2:$AE$3520,1),SUMIFS(Sales_Data!$M$2:$M$3520,Sales_Data!$C$2:$C$3520,$A48,Sales_Data!$F$2:$F$3520,D$7,Sales_Data!$AE$2:$AE$3520,1),SUMIFS(Sales_Data!$N$2:$N$3520,Sales_Data!$C$2:$C$3520,$A48,Sales_Data!$F$2:$F$3520,D$7,Sales_Data!$AE$2:$AE$3520,1),SUMIFS(Sales_Data!$AE$2:$AE$3520,Sales_Data!$C$2:$C$3520,$A48,Sales_Data!$F$2:$F$3520,D$7)))</f>
        <v>0</v>
      </c>
      <c r="E48" s="26" t="n">
        <f aca="false">IF(E$7="","",CHOOSE(MATCH($B$4,Lists!$C$2:$C$5,0),SUMIFS(Sales_Data!$O$2:$O$3520,Sales_Data!$C$2:$C$3520,$A48,Sales_Data!$F$2:$F$3520,E$7,Sales_Data!$AE$2:$AE$3520,1),SUMIFS(Sales_Data!$M$2:$M$3520,Sales_Data!$C$2:$C$3520,$A48,Sales_Data!$F$2:$F$3520,E$7,Sales_Data!$AE$2:$AE$3520,1),SUMIFS(Sales_Data!$N$2:$N$3520,Sales_Data!$C$2:$C$3520,$A48,Sales_Data!$F$2:$F$3520,E$7,Sales_Data!$AE$2:$AE$3520,1),SUMIFS(Sales_Data!$AE$2:$AE$3520,Sales_Data!$C$2:$C$3520,$A48,Sales_Data!$F$2:$F$3520,E$7)))</f>
        <v>0</v>
      </c>
      <c r="F48" s="26" t="n">
        <f aca="false">IF(F$7="","",CHOOSE(MATCH($B$4,Lists!$C$2:$C$5,0),SUMIFS(Sales_Data!$O$2:$O$3520,Sales_Data!$C$2:$C$3520,$A48,Sales_Data!$F$2:$F$3520,F$7,Sales_Data!$AE$2:$AE$3520,1),SUMIFS(Sales_Data!$M$2:$M$3520,Sales_Data!$C$2:$C$3520,$A48,Sales_Data!$F$2:$F$3520,F$7,Sales_Data!$AE$2:$AE$3520,1),SUMIFS(Sales_Data!$N$2:$N$3520,Sales_Data!$C$2:$C$3520,$A48,Sales_Data!$F$2:$F$3520,F$7,Sales_Data!$AE$2:$AE$3520,1),SUMIFS(Sales_Data!$AE$2:$AE$3520,Sales_Data!$C$2:$C$3520,$A48,Sales_Data!$F$2:$F$3520,F$7)))</f>
        <v>0</v>
      </c>
      <c r="G48" s="26" t="n">
        <f aca="false">IF(G$7="","",CHOOSE(MATCH($B$4,Lists!$C$2:$C$5,0),SUMIFS(Sales_Data!$O$2:$O$3520,Sales_Data!$C$2:$C$3520,$A48,Sales_Data!$F$2:$F$3520,G$7,Sales_Data!$AE$2:$AE$3520,1),SUMIFS(Sales_Data!$M$2:$M$3520,Sales_Data!$C$2:$C$3520,$A48,Sales_Data!$F$2:$F$3520,G$7,Sales_Data!$AE$2:$AE$3520,1),SUMIFS(Sales_Data!$N$2:$N$3520,Sales_Data!$C$2:$C$3520,$A48,Sales_Data!$F$2:$F$3520,G$7,Sales_Data!$AE$2:$AE$3520,1),SUMIFS(Sales_Data!$AE$2:$AE$3520,Sales_Data!$C$2:$C$3520,$A48,Sales_Data!$F$2:$F$3520,G$7)))</f>
        <v>0</v>
      </c>
      <c r="H48" s="26" t="n">
        <f aca="false">IF(H$7="","",CHOOSE(MATCH($B$4,Lists!$C$2:$C$5,0),SUMIFS(Sales_Data!$O$2:$O$3520,Sales_Data!$C$2:$C$3520,$A48,Sales_Data!$F$2:$F$3520,H$7,Sales_Data!$AE$2:$AE$3520,1),SUMIFS(Sales_Data!$M$2:$M$3520,Sales_Data!$C$2:$C$3520,$A48,Sales_Data!$F$2:$F$3520,H$7,Sales_Data!$AE$2:$AE$3520,1),SUMIFS(Sales_Data!$N$2:$N$3520,Sales_Data!$C$2:$C$3520,$A48,Sales_Data!$F$2:$F$3520,H$7,Sales_Data!$AE$2:$AE$3520,1),SUMIFS(Sales_Data!$AE$2:$AE$3520,Sales_Data!$C$2:$C$3520,$A48,Sales_Data!$F$2:$F$3520,H$7)))</f>
        <v>0</v>
      </c>
      <c r="I48" s="26" t="n">
        <f aca="false">IF(I$7="","",CHOOSE(MATCH($B$4,Lists!$C$2:$C$5,0),SUMIFS(Sales_Data!$O$2:$O$3520,Sales_Data!$C$2:$C$3520,$A48,Sales_Data!$F$2:$F$3520,I$7,Sales_Data!$AE$2:$AE$3520,1),SUMIFS(Sales_Data!$M$2:$M$3520,Sales_Data!$C$2:$C$3520,$A48,Sales_Data!$F$2:$F$3520,I$7,Sales_Data!$AE$2:$AE$3520,1),SUMIFS(Sales_Data!$N$2:$N$3520,Sales_Data!$C$2:$C$3520,$A48,Sales_Data!$F$2:$F$3520,I$7,Sales_Data!$AE$2:$AE$3520,1),SUMIFS(Sales_Data!$AE$2:$AE$3520,Sales_Data!$C$2:$C$3520,$A48,Sales_Data!$F$2:$F$3520,I$7)))</f>
        <v>0</v>
      </c>
      <c r="J48" s="26" t="n">
        <f aca="false">IF(J$7="","",CHOOSE(MATCH($B$4,Lists!$C$2:$C$5,0),SUMIFS(Sales_Data!$O$2:$O$3520,Sales_Data!$C$2:$C$3520,$A48,Sales_Data!$F$2:$F$3520,J$7,Sales_Data!$AE$2:$AE$3520,1),SUMIFS(Sales_Data!$M$2:$M$3520,Sales_Data!$C$2:$C$3520,$A48,Sales_Data!$F$2:$F$3520,J$7,Sales_Data!$AE$2:$AE$3520,1),SUMIFS(Sales_Data!$N$2:$N$3520,Sales_Data!$C$2:$C$3520,$A48,Sales_Data!$F$2:$F$3520,J$7,Sales_Data!$AE$2:$AE$3520,1),SUMIFS(Sales_Data!$AE$2:$AE$3520,Sales_Data!$C$2:$C$3520,$A48,Sales_Data!$F$2:$F$3520,J$7)))</f>
        <v>0</v>
      </c>
      <c r="K48" s="26" t="n">
        <f aca="false">IF(K$7="","",CHOOSE(MATCH($B$4,Lists!$C$2:$C$5,0),SUMIFS(Sales_Data!$O$2:$O$3520,Sales_Data!$C$2:$C$3520,$A48,Sales_Data!$F$2:$F$3520,K$7,Sales_Data!$AE$2:$AE$3520,1),SUMIFS(Sales_Data!$M$2:$M$3520,Sales_Data!$C$2:$C$3520,$A48,Sales_Data!$F$2:$F$3520,K$7,Sales_Data!$AE$2:$AE$3520,1),SUMIFS(Sales_Data!$N$2:$N$3520,Sales_Data!$C$2:$C$3520,$A48,Sales_Data!$F$2:$F$3520,K$7,Sales_Data!$AE$2:$AE$3520,1),SUMIFS(Sales_Data!$AE$2:$AE$3520,Sales_Data!$C$2:$C$3520,$A48,Sales_Data!$F$2:$F$3520,K$7)))</f>
        <v>0</v>
      </c>
      <c r="L48" s="26" t="n">
        <f aca="false">IF(L$7="","",CHOOSE(MATCH($B$4,Lists!$C$2:$C$5,0),SUMIFS(Sales_Data!$O$2:$O$3520,Sales_Data!$C$2:$C$3520,$A48,Sales_Data!$F$2:$F$3520,L$7,Sales_Data!$AE$2:$AE$3520,1),SUMIFS(Sales_Data!$M$2:$M$3520,Sales_Data!$C$2:$C$3520,$A48,Sales_Data!$F$2:$F$3520,L$7,Sales_Data!$AE$2:$AE$3520,1),SUMIFS(Sales_Data!$N$2:$N$3520,Sales_Data!$C$2:$C$3520,$A48,Sales_Data!$F$2:$F$3520,L$7,Sales_Data!$AE$2:$AE$3520,1),SUMIFS(Sales_Data!$AE$2:$AE$3520,Sales_Data!$C$2:$C$3520,$A48,Sales_Data!$F$2:$F$3520,L$7)))</f>
        <v>0</v>
      </c>
      <c r="M48" s="26" t="n">
        <f aca="false">IF(M$7="","",CHOOSE(MATCH($B$4,Lists!$C$2:$C$5,0),SUMIFS(Sales_Data!$O$2:$O$3520,Sales_Data!$C$2:$C$3520,$A48,Sales_Data!$F$2:$F$3520,M$7,Sales_Data!$AE$2:$AE$3520,1),SUMIFS(Sales_Data!$M$2:$M$3520,Sales_Data!$C$2:$C$3520,$A48,Sales_Data!$F$2:$F$3520,M$7,Sales_Data!$AE$2:$AE$3520,1),SUMIFS(Sales_Data!$N$2:$N$3520,Sales_Data!$C$2:$C$3520,$A48,Sales_Data!$F$2:$F$3520,M$7,Sales_Data!$AE$2:$AE$3520,1),SUMIFS(Sales_Data!$AE$2:$AE$3520,Sales_Data!$C$2:$C$3520,$A48,Sales_Data!$F$2:$F$3520,M$7)))</f>
        <v>0</v>
      </c>
      <c r="N48" s="26" t="n">
        <f aca="false">IF(N$7="","",CHOOSE(MATCH($B$4,Lists!$C$2:$C$5,0),SUMIFS(Sales_Data!$O$2:$O$3520,Sales_Data!$C$2:$C$3520,$A48,Sales_Data!$F$2:$F$3520,N$7,Sales_Data!$AE$2:$AE$3520,1),SUMIFS(Sales_Data!$M$2:$M$3520,Sales_Data!$C$2:$C$3520,$A48,Sales_Data!$F$2:$F$3520,N$7,Sales_Data!$AE$2:$AE$3520,1),SUMIFS(Sales_Data!$N$2:$N$3520,Sales_Data!$C$2:$C$3520,$A48,Sales_Data!$F$2:$F$3520,N$7,Sales_Data!$AE$2:$AE$3520,1),SUMIFS(Sales_Data!$AE$2:$AE$3520,Sales_Data!$C$2:$C$3520,$A48,Sales_Data!$F$2:$F$3520,N$7)))</f>
        <v>0</v>
      </c>
      <c r="O48" s="26" t="n">
        <f aca="false">IF(O$7="","",CHOOSE(MATCH($B$4,Lists!$C$2:$C$5,0),SUMIFS(Sales_Data!$O$2:$O$3520,Sales_Data!$C$2:$C$3520,$A48,Sales_Data!$F$2:$F$3520,O$7,Sales_Data!$AE$2:$AE$3520,1),SUMIFS(Sales_Data!$M$2:$M$3520,Sales_Data!$C$2:$C$3520,$A48,Sales_Data!$F$2:$F$3520,O$7,Sales_Data!$AE$2:$AE$3520,1),SUMIFS(Sales_Data!$N$2:$N$3520,Sales_Data!$C$2:$C$3520,$A48,Sales_Data!$F$2:$F$3520,O$7,Sales_Data!$AE$2:$AE$3520,1),SUMIFS(Sales_Data!$AE$2:$AE$3520,Sales_Data!$C$2:$C$3520,$A48,Sales_Data!$F$2:$F$3520,O$7)))</f>
        <v>0</v>
      </c>
      <c r="P48" s="26" t="n">
        <f aca="false">IF(P$7="","",CHOOSE(MATCH($B$4,Lists!$C$2:$C$5,0),SUMIFS(Sales_Data!$O$2:$O$3520,Sales_Data!$C$2:$C$3520,$A48,Sales_Data!$F$2:$F$3520,P$7,Sales_Data!$AE$2:$AE$3520,1),SUMIFS(Sales_Data!$M$2:$M$3520,Sales_Data!$C$2:$C$3520,$A48,Sales_Data!$F$2:$F$3520,P$7,Sales_Data!$AE$2:$AE$3520,1),SUMIFS(Sales_Data!$N$2:$N$3520,Sales_Data!$C$2:$C$3520,$A48,Sales_Data!$F$2:$F$3520,P$7,Sales_Data!$AE$2:$AE$3520,1),SUMIFS(Sales_Data!$AE$2:$AE$3520,Sales_Data!$C$2:$C$3520,$A48,Sales_Data!$F$2:$F$3520,P$7)))</f>
        <v>0</v>
      </c>
      <c r="Q48" s="26" t="n">
        <f aca="false">IF(Q$7="","",CHOOSE(MATCH($B$4,Lists!$C$2:$C$5,0),SUMIFS(Sales_Data!$O$2:$O$3520,Sales_Data!$C$2:$C$3520,$A48,Sales_Data!$F$2:$F$3520,Q$7,Sales_Data!$AE$2:$AE$3520,1),SUMIFS(Sales_Data!$M$2:$M$3520,Sales_Data!$C$2:$C$3520,$A48,Sales_Data!$F$2:$F$3520,Q$7,Sales_Data!$AE$2:$AE$3520,1),SUMIFS(Sales_Data!$N$2:$N$3520,Sales_Data!$C$2:$C$3520,$A48,Sales_Data!$F$2:$F$3520,Q$7,Sales_Data!$AE$2:$AE$3520,1),SUMIFS(Sales_Data!$AE$2:$AE$3520,Sales_Data!$C$2:$C$3520,$A48,Sales_Data!$F$2:$F$3520,Q$7)))</f>
        <v>0</v>
      </c>
      <c r="R48" s="26" t="n">
        <f aca="false">IF(R$7="","",CHOOSE(MATCH($B$4,Lists!$C$2:$C$5,0),SUMIFS(Sales_Data!$O$2:$O$3520,Sales_Data!$C$2:$C$3520,$A48,Sales_Data!$F$2:$F$3520,R$7,Sales_Data!$AE$2:$AE$3520,1),SUMIFS(Sales_Data!$M$2:$M$3520,Sales_Data!$C$2:$C$3520,$A48,Sales_Data!$F$2:$F$3520,R$7,Sales_Data!$AE$2:$AE$3520,1),SUMIFS(Sales_Data!$N$2:$N$3520,Sales_Data!$C$2:$C$3520,$A48,Sales_Data!$F$2:$F$3520,R$7,Sales_Data!$AE$2:$AE$3520,1),SUMIFS(Sales_Data!$AE$2:$AE$3520,Sales_Data!$C$2:$C$3520,$A48,Sales_Data!$F$2:$F$3520,R$7)))</f>
        <v>0</v>
      </c>
      <c r="S48" s="26" t="n">
        <f aca="false">IF(S$7="","",CHOOSE(MATCH($B$4,Lists!$C$2:$C$5,0),SUMIFS(Sales_Data!$O$2:$O$3520,Sales_Data!$C$2:$C$3520,$A48,Sales_Data!$F$2:$F$3520,S$7,Sales_Data!$AE$2:$AE$3520,1),SUMIFS(Sales_Data!$M$2:$M$3520,Sales_Data!$C$2:$C$3520,$A48,Sales_Data!$F$2:$F$3520,S$7,Sales_Data!$AE$2:$AE$3520,1),SUMIFS(Sales_Data!$N$2:$N$3520,Sales_Data!$C$2:$C$3520,$A48,Sales_Data!$F$2:$F$3520,S$7,Sales_Data!$AE$2:$AE$3520,1),SUMIFS(Sales_Data!$AE$2:$AE$3520,Sales_Data!$C$2:$C$3520,$A48,Sales_Data!$F$2:$F$3520,S$7)))</f>
        <v>0</v>
      </c>
      <c r="T48" s="26" t="str">
        <f aca="false">IF(T$7="","",CHOOSE(MATCH($B$4,Lists!$C$2:$C$5,0),SUMIFS(Sales_Data!$O$2:$O$3520,Sales_Data!$C$2:$C$3520,$A48,Sales_Data!$F$2:$F$3520,T$7,Sales_Data!$AE$2:$AE$3520,1),SUMIFS(Sales_Data!$M$2:$M$3520,Sales_Data!$C$2:$C$3520,$A48,Sales_Data!$F$2:$F$3520,T$7,Sales_Data!$AE$2:$AE$3520,1),SUMIFS(Sales_Data!$N$2:$N$3520,Sales_Data!$C$2:$C$3520,$A48,Sales_Data!$F$2:$F$3520,T$7,Sales_Data!$AE$2:$AE$3520,1),SUMIFS(Sales_Data!$AE$2:$AE$3520,Sales_Data!$C$2:$C$3520,$A48,Sales_Data!$F$2:$F$3520,T$7)))</f>
        <v/>
      </c>
      <c r="U48" s="26" t="str">
        <f aca="false">IF(U$7="","",CHOOSE(MATCH($B$4,Lists!$C$2:$C$5,0),SUMIFS(Sales_Data!$O$2:$O$3520,Sales_Data!$C$2:$C$3520,$A48,Sales_Data!$F$2:$F$3520,U$7,Sales_Data!$AE$2:$AE$3520,1),SUMIFS(Sales_Data!$M$2:$M$3520,Sales_Data!$C$2:$C$3520,$A48,Sales_Data!$F$2:$F$3520,U$7,Sales_Data!$AE$2:$AE$3520,1),SUMIFS(Sales_Data!$N$2:$N$3520,Sales_Data!$C$2:$C$3520,$A48,Sales_Data!$F$2:$F$3520,U$7,Sales_Data!$AE$2:$AE$3520,1),SUMIFS(Sales_Data!$AE$2:$AE$3520,Sales_Data!$C$2:$C$3520,$A48,Sales_Data!$F$2:$F$3520,U$7)))</f>
        <v/>
      </c>
      <c r="V48" s="26" t="str">
        <f aca="false">IF(V$7="","",CHOOSE(MATCH($B$4,Lists!$C$2:$C$5,0),SUMIFS(Sales_Data!$O$2:$O$3520,Sales_Data!$C$2:$C$3520,$A48,Sales_Data!$F$2:$F$3520,V$7,Sales_Data!$AE$2:$AE$3520,1),SUMIFS(Sales_Data!$M$2:$M$3520,Sales_Data!$C$2:$C$3520,$A48,Sales_Data!$F$2:$F$3520,V$7,Sales_Data!$AE$2:$AE$3520,1),SUMIFS(Sales_Data!$N$2:$N$3520,Sales_Data!$C$2:$C$3520,$A48,Sales_Data!$F$2:$F$3520,V$7,Sales_Data!$AE$2:$AE$3520,1),SUMIFS(Sales_Data!$AE$2:$AE$3520,Sales_Data!$C$2:$C$3520,$A48,Sales_Data!$F$2:$F$3520,V$7)))</f>
        <v/>
      </c>
      <c r="W48" s="26" t="str">
        <f aca="false">IF(W$7="","",CHOOSE(MATCH($B$4,Lists!$C$2:$C$5,0),SUMIFS(Sales_Data!$O$2:$O$3520,Sales_Data!$C$2:$C$3520,$A48,Sales_Data!$F$2:$F$3520,W$7,Sales_Data!$AE$2:$AE$3520,1),SUMIFS(Sales_Data!$M$2:$M$3520,Sales_Data!$C$2:$C$3520,$A48,Sales_Data!$F$2:$F$3520,W$7,Sales_Data!$AE$2:$AE$3520,1),SUMIFS(Sales_Data!$N$2:$N$3520,Sales_Data!$C$2:$C$3520,$A48,Sales_Data!$F$2:$F$3520,W$7,Sales_Data!$AE$2:$AE$3520,1),SUMIFS(Sales_Data!$AE$2:$AE$3520,Sales_Data!$C$2:$C$3520,$A48,Sales_Data!$F$2:$F$3520,W$7)))</f>
        <v/>
      </c>
      <c r="X48" s="26" t="str">
        <f aca="false">IF(X$7="","",CHOOSE(MATCH($B$4,Lists!$C$2:$C$5,0),SUMIFS(Sales_Data!$O$2:$O$3520,Sales_Data!$C$2:$C$3520,$A48,Sales_Data!$F$2:$F$3520,X$7,Sales_Data!$AE$2:$AE$3520,1),SUMIFS(Sales_Data!$M$2:$M$3520,Sales_Data!$C$2:$C$3520,$A48,Sales_Data!$F$2:$F$3520,X$7,Sales_Data!$AE$2:$AE$3520,1),SUMIFS(Sales_Data!$N$2:$N$3520,Sales_Data!$C$2:$C$3520,$A48,Sales_Data!$F$2:$F$3520,X$7,Sales_Data!$AE$2:$AE$3520,1),SUMIFS(Sales_Data!$AE$2:$AE$3520,Sales_Data!$C$2:$C$3520,$A48,Sales_Data!$F$2:$F$3520,X$7)))</f>
        <v/>
      </c>
      <c r="Y48" s="26" t="str">
        <f aca="false">IF(Y$7="","",CHOOSE(MATCH($B$4,Lists!$C$2:$C$5,0),SUMIFS(Sales_Data!$O$2:$O$3520,Sales_Data!$C$2:$C$3520,$A48,Sales_Data!$F$2:$F$3520,Y$7,Sales_Data!$AE$2:$AE$3520,1),SUMIFS(Sales_Data!$M$2:$M$3520,Sales_Data!$C$2:$C$3520,$A48,Sales_Data!$F$2:$F$3520,Y$7,Sales_Data!$AE$2:$AE$3520,1),SUMIFS(Sales_Data!$N$2:$N$3520,Sales_Data!$C$2:$C$3520,$A48,Sales_Data!$F$2:$F$3520,Y$7,Sales_Data!$AE$2:$AE$3520,1),SUMIFS(Sales_Data!$AE$2:$AE$3520,Sales_Data!$C$2:$C$3520,$A48,Sales_Data!$F$2:$F$3520,Y$7)))</f>
        <v/>
      </c>
      <c r="Z48" s="26" t="str">
        <f aca="false">IF(Z$7="","",CHOOSE(MATCH($B$4,Lists!$C$2:$C$5,0),SUMIFS(Sales_Data!$O$2:$O$3520,Sales_Data!$C$2:$C$3520,$A48,Sales_Data!$F$2:$F$3520,Z$7,Sales_Data!$AE$2:$AE$3520,1),SUMIFS(Sales_Data!$M$2:$M$3520,Sales_Data!$C$2:$C$3520,$A48,Sales_Data!$F$2:$F$3520,Z$7,Sales_Data!$AE$2:$AE$3520,1),SUMIFS(Sales_Data!$N$2:$N$3520,Sales_Data!$C$2:$C$3520,$A48,Sales_Data!$F$2:$F$3520,Z$7,Sales_Data!$AE$2:$AE$3520,1),SUMIFS(Sales_Data!$AE$2:$AE$3520,Sales_Data!$C$2:$C$3520,$A48,Sales_Data!$F$2:$F$3520,Z$7)))</f>
        <v/>
      </c>
      <c r="AA48" s="27" t="n">
        <f aca="false">SUM(B48:Z48)</f>
        <v>0</v>
      </c>
      <c r="AB48" s="3"/>
      <c r="AC48" s="72" t="n">
        <f aca="false">A48</f>
        <v>46255</v>
      </c>
      <c r="AD48" s="28" t="n">
        <f aca="false">IF(B48="","",B48-B47)</f>
        <v>0</v>
      </c>
      <c r="AE48" s="28" t="n">
        <f aca="false">IF(C48="","",C48-C47)</f>
        <v>0</v>
      </c>
      <c r="AF48" s="28" t="n">
        <f aca="false">IF(D48="","",D48-D47)</f>
        <v>0</v>
      </c>
      <c r="AG48" s="28" t="n">
        <f aca="false">IF(E48="","",E48-E47)</f>
        <v>0</v>
      </c>
      <c r="AH48" s="28" t="n">
        <f aca="false">IF(F48="","",F48-F47)</f>
        <v>0</v>
      </c>
      <c r="AI48" s="28" t="n">
        <f aca="false">IF(G48="","",G48-G47)</f>
        <v>0</v>
      </c>
      <c r="AJ48" s="28" t="n">
        <f aca="false">IF(H48="","",H48-H47)</f>
        <v>0</v>
      </c>
      <c r="AK48" s="28" t="n">
        <f aca="false">IF(I48="","",I48-I47)</f>
        <v>0</v>
      </c>
      <c r="AL48" s="28" t="n">
        <f aca="false">IF(J48="","",J48-J47)</f>
        <v>0</v>
      </c>
      <c r="AM48" s="28" t="n">
        <f aca="false">IF(K48="","",K48-K47)</f>
        <v>0</v>
      </c>
      <c r="AN48" s="28" t="n">
        <f aca="false">IF(L48="","",L48-L47)</f>
        <v>0</v>
      </c>
      <c r="AO48" s="28" t="n">
        <f aca="false">IF(M48="","",M48-M47)</f>
        <v>0</v>
      </c>
      <c r="AP48" s="28" t="n">
        <f aca="false">IF(N48="","",N48-N47)</f>
        <v>0</v>
      </c>
      <c r="AQ48" s="28" t="n">
        <f aca="false">IF(O48="","",O48-O47)</f>
        <v>0</v>
      </c>
      <c r="AR48" s="28" t="n">
        <f aca="false">IF(P48="","",P48-P47)</f>
        <v>0</v>
      </c>
      <c r="AS48" s="28" t="n">
        <f aca="false">IF(Q48="","",Q48-Q47)</f>
        <v>0</v>
      </c>
      <c r="AT48" s="28" t="n">
        <f aca="false">IF(R48="","",R48-R47)</f>
        <v>0</v>
      </c>
      <c r="AU48" s="28" t="n">
        <f aca="false">IF(S48="","",S48-S47)</f>
        <v>0</v>
      </c>
      <c r="AV48" s="28" t="str">
        <f aca="false">IF(T48="","",T48-T47)</f>
        <v/>
      </c>
      <c r="AW48" s="28" t="str">
        <f aca="false">IF(U48="","",U48-U47)</f>
        <v/>
      </c>
      <c r="AX48" s="28" t="str">
        <f aca="false">IF(V48="","",V48-V47)</f>
        <v/>
      </c>
      <c r="AY48" s="28" t="str">
        <f aca="false">IF(W48="","",W48-W47)</f>
        <v/>
      </c>
      <c r="AZ48" s="28" t="str">
        <f aca="false">IF(X48="","",X48-X47)</f>
        <v/>
      </c>
      <c r="BA48" s="28" t="str">
        <f aca="false">IF(Y48="","",Y48-Y47)</f>
        <v/>
      </c>
      <c r="BB48" s="28" t="str">
        <f aca="false">IF(Z48="","",Z48-Z47)</f>
        <v/>
      </c>
      <c r="BC48" s="28" t="n">
        <f aca="false">IF(AA48="","",AA48-AA47)</f>
        <v>0</v>
      </c>
    </row>
    <row r="49" customFormat="false" ht="15" hidden="false" customHeight="false" outlineLevel="0" collapsed="false">
      <c r="A49" s="72" t="n">
        <v>46256</v>
      </c>
      <c r="B49" s="26" t="n">
        <f aca="false">IF(B$7="","",CHOOSE(MATCH($B$4,Lists!$C$2:$C$5,0),SUMIFS(Sales_Data!$O$2:$O$3520,Sales_Data!$C$2:$C$3520,$A49,Sales_Data!$F$2:$F$3520,B$7,Sales_Data!$AE$2:$AE$3520,1),SUMIFS(Sales_Data!$M$2:$M$3520,Sales_Data!$C$2:$C$3520,$A49,Sales_Data!$F$2:$F$3520,B$7,Sales_Data!$AE$2:$AE$3520,1),SUMIFS(Sales_Data!$N$2:$N$3520,Sales_Data!$C$2:$C$3520,$A49,Sales_Data!$F$2:$F$3520,B$7,Sales_Data!$AE$2:$AE$3520,1),SUMIFS(Sales_Data!$AE$2:$AE$3520,Sales_Data!$C$2:$C$3520,$A49,Sales_Data!$F$2:$F$3520,B$7)))</f>
        <v>0</v>
      </c>
      <c r="C49" s="26" t="n">
        <f aca="false">IF(C$7="","",CHOOSE(MATCH($B$4,Lists!$C$2:$C$5,0),SUMIFS(Sales_Data!$O$2:$O$3520,Sales_Data!$C$2:$C$3520,$A49,Sales_Data!$F$2:$F$3520,C$7,Sales_Data!$AE$2:$AE$3520,1),SUMIFS(Sales_Data!$M$2:$M$3520,Sales_Data!$C$2:$C$3520,$A49,Sales_Data!$F$2:$F$3520,C$7,Sales_Data!$AE$2:$AE$3520,1),SUMIFS(Sales_Data!$N$2:$N$3520,Sales_Data!$C$2:$C$3520,$A49,Sales_Data!$F$2:$F$3520,C$7,Sales_Data!$AE$2:$AE$3520,1),SUMIFS(Sales_Data!$AE$2:$AE$3520,Sales_Data!$C$2:$C$3520,$A49,Sales_Data!$F$2:$F$3520,C$7)))</f>
        <v>0</v>
      </c>
      <c r="D49" s="26" t="n">
        <f aca="false">IF(D$7="","",CHOOSE(MATCH($B$4,Lists!$C$2:$C$5,0),SUMIFS(Sales_Data!$O$2:$O$3520,Sales_Data!$C$2:$C$3520,$A49,Sales_Data!$F$2:$F$3520,D$7,Sales_Data!$AE$2:$AE$3520,1),SUMIFS(Sales_Data!$M$2:$M$3520,Sales_Data!$C$2:$C$3520,$A49,Sales_Data!$F$2:$F$3520,D$7,Sales_Data!$AE$2:$AE$3520,1),SUMIFS(Sales_Data!$N$2:$N$3520,Sales_Data!$C$2:$C$3520,$A49,Sales_Data!$F$2:$F$3520,D$7,Sales_Data!$AE$2:$AE$3520,1),SUMIFS(Sales_Data!$AE$2:$AE$3520,Sales_Data!$C$2:$C$3520,$A49,Sales_Data!$F$2:$F$3520,D$7)))</f>
        <v>0</v>
      </c>
      <c r="E49" s="26" t="n">
        <f aca="false">IF(E$7="","",CHOOSE(MATCH($B$4,Lists!$C$2:$C$5,0),SUMIFS(Sales_Data!$O$2:$O$3520,Sales_Data!$C$2:$C$3520,$A49,Sales_Data!$F$2:$F$3520,E$7,Sales_Data!$AE$2:$AE$3520,1),SUMIFS(Sales_Data!$M$2:$M$3520,Sales_Data!$C$2:$C$3520,$A49,Sales_Data!$F$2:$F$3520,E$7,Sales_Data!$AE$2:$AE$3520,1),SUMIFS(Sales_Data!$N$2:$N$3520,Sales_Data!$C$2:$C$3520,$A49,Sales_Data!$F$2:$F$3520,E$7,Sales_Data!$AE$2:$AE$3520,1),SUMIFS(Sales_Data!$AE$2:$AE$3520,Sales_Data!$C$2:$C$3520,$A49,Sales_Data!$F$2:$F$3520,E$7)))</f>
        <v>0</v>
      </c>
      <c r="F49" s="26" t="n">
        <f aca="false">IF(F$7="","",CHOOSE(MATCH($B$4,Lists!$C$2:$C$5,0),SUMIFS(Sales_Data!$O$2:$O$3520,Sales_Data!$C$2:$C$3520,$A49,Sales_Data!$F$2:$F$3520,F$7,Sales_Data!$AE$2:$AE$3520,1),SUMIFS(Sales_Data!$M$2:$M$3520,Sales_Data!$C$2:$C$3520,$A49,Sales_Data!$F$2:$F$3520,F$7,Sales_Data!$AE$2:$AE$3520,1),SUMIFS(Sales_Data!$N$2:$N$3520,Sales_Data!$C$2:$C$3520,$A49,Sales_Data!$F$2:$F$3520,F$7,Sales_Data!$AE$2:$AE$3520,1),SUMIFS(Sales_Data!$AE$2:$AE$3520,Sales_Data!$C$2:$C$3520,$A49,Sales_Data!$F$2:$F$3520,F$7)))</f>
        <v>0</v>
      </c>
      <c r="G49" s="26" t="n">
        <f aca="false">IF(G$7="","",CHOOSE(MATCH($B$4,Lists!$C$2:$C$5,0),SUMIFS(Sales_Data!$O$2:$O$3520,Sales_Data!$C$2:$C$3520,$A49,Sales_Data!$F$2:$F$3520,G$7,Sales_Data!$AE$2:$AE$3520,1),SUMIFS(Sales_Data!$M$2:$M$3520,Sales_Data!$C$2:$C$3520,$A49,Sales_Data!$F$2:$F$3520,G$7,Sales_Data!$AE$2:$AE$3520,1),SUMIFS(Sales_Data!$N$2:$N$3520,Sales_Data!$C$2:$C$3520,$A49,Sales_Data!$F$2:$F$3520,G$7,Sales_Data!$AE$2:$AE$3520,1),SUMIFS(Sales_Data!$AE$2:$AE$3520,Sales_Data!$C$2:$C$3520,$A49,Sales_Data!$F$2:$F$3520,G$7)))</f>
        <v>0</v>
      </c>
      <c r="H49" s="26" t="n">
        <f aca="false">IF(H$7="","",CHOOSE(MATCH($B$4,Lists!$C$2:$C$5,0),SUMIFS(Sales_Data!$O$2:$O$3520,Sales_Data!$C$2:$C$3520,$A49,Sales_Data!$F$2:$F$3520,H$7,Sales_Data!$AE$2:$AE$3520,1),SUMIFS(Sales_Data!$M$2:$M$3520,Sales_Data!$C$2:$C$3520,$A49,Sales_Data!$F$2:$F$3520,H$7,Sales_Data!$AE$2:$AE$3520,1),SUMIFS(Sales_Data!$N$2:$N$3520,Sales_Data!$C$2:$C$3520,$A49,Sales_Data!$F$2:$F$3520,H$7,Sales_Data!$AE$2:$AE$3520,1),SUMIFS(Sales_Data!$AE$2:$AE$3520,Sales_Data!$C$2:$C$3520,$A49,Sales_Data!$F$2:$F$3520,H$7)))</f>
        <v>0</v>
      </c>
      <c r="I49" s="26" t="n">
        <f aca="false">IF(I$7="","",CHOOSE(MATCH($B$4,Lists!$C$2:$C$5,0),SUMIFS(Sales_Data!$O$2:$O$3520,Sales_Data!$C$2:$C$3520,$A49,Sales_Data!$F$2:$F$3520,I$7,Sales_Data!$AE$2:$AE$3520,1),SUMIFS(Sales_Data!$M$2:$M$3520,Sales_Data!$C$2:$C$3520,$A49,Sales_Data!$F$2:$F$3520,I$7,Sales_Data!$AE$2:$AE$3520,1),SUMIFS(Sales_Data!$N$2:$N$3520,Sales_Data!$C$2:$C$3520,$A49,Sales_Data!$F$2:$F$3520,I$7,Sales_Data!$AE$2:$AE$3520,1),SUMIFS(Sales_Data!$AE$2:$AE$3520,Sales_Data!$C$2:$C$3520,$A49,Sales_Data!$F$2:$F$3520,I$7)))</f>
        <v>0</v>
      </c>
      <c r="J49" s="26" t="n">
        <f aca="false">IF(J$7="","",CHOOSE(MATCH($B$4,Lists!$C$2:$C$5,0),SUMIFS(Sales_Data!$O$2:$O$3520,Sales_Data!$C$2:$C$3520,$A49,Sales_Data!$F$2:$F$3520,J$7,Sales_Data!$AE$2:$AE$3520,1),SUMIFS(Sales_Data!$M$2:$M$3520,Sales_Data!$C$2:$C$3520,$A49,Sales_Data!$F$2:$F$3520,J$7,Sales_Data!$AE$2:$AE$3520,1),SUMIFS(Sales_Data!$N$2:$N$3520,Sales_Data!$C$2:$C$3520,$A49,Sales_Data!$F$2:$F$3520,J$7,Sales_Data!$AE$2:$AE$3520,1),SUMIFS(Sales_Data!$AE$2:$AE$3520,Sales_Data!$C$2:$C$3520,$A49,Sales_Data!$F$2:$F$3520,J$7)))</f>
        <v>0</v>
      </c>
      <c r="K49" s="26" t="n">
        <f aca="false">IF(K$7="","",CHOOSE(MATCH($B$4,Lists!$C$2:$C$5,0),SUMIFS(Sales_Data!$O$2:$O$3520,Sales_Data!$C$2:$C$3520,$A49,Sales_Data!$F$2:$F$3520,K$7,Sales_Data!$AE$2:$AE$3520,1),SUMIFS(Sales_Data!$M$2:$M$3520,Sales_Data!$C$2:$C$3520,$A49,Sales_Data!$F$2:$F$3520,K$7,Sales_Data!$AE$2:$AE$3520,1),SUMIFS(Sales_Data!$N$2:$N$3520,Sales_Data!$C$2:$C$3520,$A49,Sales_Data!$F$2:$F$3520,K$7,Sales_Data!$AE$2:$AE$3520,1),SUMIFS(Sales_Data!$AE$2:$AE$3520,Sales_Data!$C$2:$C$3520,$A49,Sales_Data!$F$2:$F$3520,K$7)))</f>
        <v>0</v>
      </c>
      <c r="L49" s="26" t="n">
        <f aca="false">IF(L$7="","",CHOOSE(MATCH($B$4,Lists!$C$2:$C$5,0),SUMIFS(Sales_Data!$O$2:$O$3520,Sales_Data!$C$2:$C$3520,$A49,Sales_Data!$F$2:$F$3520,L$7,Sales_Data!$AE$2:$AE$3520,1),SUMIFS(Sales_Data!$M$2:$M$3520,Sales_Data!$C$2:$C$3520,$A49,Sales_Data!$F$2:$F$3520,L$7,Sales_Data!$AE$2:$AE$3520,1),SUMIFS(Sales_Data!$N$2:$N$3520,Sales_Data!$C$2:$C$3520,$A49,Sales_Data!$F$2:$F$3520,L$7,Sales_Data!$AE$2:$AE$3520,1),SUMIFS(Sales_Data!$AE$2:$AE$3520,Sales_Data!$C$2:$C$3520,$A49,Sales_Data!$F$2:$F$3520,L$7)))</f>
        <v>0</v>
      </c>
      <c r="M49" s="26" t="n">
        <f aca="false">IF(M$7="","",CHOOSE(MATCH($B$4,Lists!$C$2:$C$5,0),SUMIFS(Sales_Data!$O$2:$O$3520,Sales_Data!$C$2:$C$3520,$A49,Sales_Data!$F$2:$F$3520,M$7,Sales_Data!$AE$2:$AE$3520,1),SUMIFS(Sales_Data!$M$2:$M$3520,Sales_Data!$C$2:$C$3520,$A49,Sales_Data!$F$2:$F$3520,M$7,Sales_Data!$AE$2:$AE$3520,1),SUMIFS(Sales_Data!$N$2:$N$3520,Sales_Data!$C$2:$C$3520,$A49,Sales_Data!$F$2:$F$3520,M$7,Sales_Data!$AE$2:$AE$3520,1),SUMIFS(Sales_Data!$AE$2:$AE$3520,Sales_Data!$C$2:$C$3520,$A49,Sales_Data!$F$2:$F$3520,M$7)))</f>
        <v>0</v>
      </c>
      <c r="N49" s="26" t="n">
        <f aca="false">IF(N$7="","",CHOOSE(MATCH($B$4,Lists!$C$2:$C$5,0),SUMIFS(Sales_Data!$O$2:$O$3520,Sales_Data!$C$2:$C$3520,$A49,Sales_Data!$F$2:$F$3520,N$7,Sales_Data!$AE$2:$AE$3520,1),SUMIFS(Sales_Data!$M$2:$M$3520,Sales_Data!$C$2:$C$3520,$A49,Sales_Data!$F$2:$F$3520,N$7,Sales_Data!$AE$2:$AE$3520,1),SUMIFS(Sales_Data!$N$2:$N$3520,Sales_Data!$C$2:$C$3520,$A49,Sales_Data!$F$2:$F$3520,N$7,Sales_Data!$AE$2:$AE$3520,1),SUMIFS(Sales_Data!$AE$2:$AE$3520,Sales_Data!$C$2:$C$3520,$A49,Sales_Data!$F$2:$F$3520,N$7)))</f>
        <v>0</v>
      </c>
      <c r="O49" s="26" t="n">
        <f aca="false">IF(O$7="","",CHOOSE(MATCH($B$4,Lists!$C$2:$C$5,0),SUMIFS(Sales_Data!$O$2:$O$3520,Sales_Data!$C$2:$C$3520,$A49,Sales_Data!$F$2:$F$3520,O$7,Sales_Data!$AE$2:$AE$3520,1),SUMIFS(Sales_Data!$M$2:$M$3520,Sales_Data!$C$2:$C$3520,$A49,Sales_Data!$F$2:$F$3520,O$7,Sales_Data!$AE$2:$AE$3520,1),SUMIFS(Sales_Data!$N$2:$N$3520,Sales_Data!$C$2:$C$3520,$A49,Sales_Data!$F$2:$F$3520,O$7,Sales_Data!$AE$2:$AE$3520,1),SUMIFS(Sales_Data!$AE$2:$AE$3520,Sales_Data!$C$2:$C$3520,$A49,Sales_Data!$F$2:$F$3520,O$7)))</f>
        <v>0</v>
      </c>
      <c r="P49" s="26" t="n">
        <f aca="false">IF(P$7="","",CHOOSE(MATCH($B$4,Lists!$C$2:$C$5,0),SUMIFS(Sales_Data!$O$2:$O$3520,Sales_Data!$C$2:$C$3520,$A49,Sales_Data!$F$2:$F$3520,P$7,Sales_Data!$AE$2:$AE$3520,1),SUMIFS(Sales_Data!$M$2:$M$3520,Sales_Data!$C$2:$C$3520,$A49,Sales_Data!$F$2:$F$3520,P$7,Sales_Data!$AE$2:$AE$3520,1),SUMIFS(Sales_Data!$N$2:$N$3520,Sales_Data!$C$2:$C$3520,$A49,Sales_Data!$F$2:$F$3520,P$7,Sales_Data!$AE$2:$AE$3520,1),SUMIFS(Sales_Data!$AE$2:$AE$3520,Sales_Data!$C$2:$C$3520,$A49,Sales_Data!$F$2:$F$3520,P$7)))</f>
        <v>0</v>
      </c>
      <c r="Q49" s="26" t="n">
        <f aca="false">IF(Q$7="","",CHOOSE(MATCH($B$4,Lists!$C$2:$C$5,0),SUMIFS(Sales_Data!$O$2:$O$3520,Sales_Data!$C$2:$C$3520,$A49,Sales_Data!$F$2:$F$3520,Q$7,Sales_Data!$AE$2:$AE$3520,1),SUMIFS(Sales_Data!$M$2:$M$3520,Sales_Data!$C$2:$C$3520,$A49,Sales_Data!$F$2:$F$3520,Q$7,Sales_Data!$AE$2:$AE$3520,1),SUMIFS(Sales_Data!$N$2:$N$3520,Sales_Data!$C$2:$C$3520,$A49,Sales_Data!$F$2:$F$3520,Q$7,Sales_Data!$AE$2:$AE$3520,1),SUMIFS(Sales_Data!$AE$2:$AE$3520,Sales_Data!$C$2:$C$3520,$A49,Sales_Data!$F$2:$F$3520,Q$7)))</f>
        <v>0</v>
      </c>
      <c r="R49" s="26" t="n">
        <f aca="false">IF(R$7="","",CHOOSE(MATCH($B$4,Lists!$C$2:$C$5,0),SUMIFS(Sales_Data!$O$2:$O$3520,Sales_Data!$C$2:$C$3520,$A49,Sales_Data!$F$2:$F$3520,R$7,Sales_Data!$AE$2:$AE$3520,1),SUMIFS(Sales_Data!$M$2:$M$3520,Sales_Data!$C$2:$C$3520,$A49,Sales_Data!$F$2:$F$3520,R$7,Sales_Data!$AE$2:$AE$3520,1),SUMIFS(Sales_Data!$N$2:$N$3520,Sales_Data!$C$2:$C$3520,$A49,Sales_Data!$F$2:$F$3520,R$7,Sales_Data!$AE$2:$AE$3520,1),SUMIFS(Sales_Data!$AE$2:$AE$3520,Sales_Data!$C$2:$C$3520,$A49,Sales_Data!$F$2:$F$3520,R$7)))</f>
        <v>0</v>
      </c>
      <c r="S49" s="26" t="n">
        <f aca="false">IF(S$7="","",CHOOSE(MATCH($B$4,Lists!$C$2:$C$5,0),SUMIFS(Sales_Data!$O$2:$O$3520,Sales_Data!$C$2:$C$3520,$A49,Sales_Data!$F$2:$F$3520,S$7,Sales_Data!$AE$2:$AE$3520,1),SUMIFS(Sales_Data!$M$2:$M$3520,Sales_Data!$C$2:$C$3520,$A49,Sales_Data!$F$2:$F$3520,S$7,Sales_Data!$AE$2:$AE$3520,1),SUMIFS(Sales_Data!$N$2:$N$3520,Sales_Data!$C$2:$C$3520,$A49,Sales_Data!$F$2:$F$3520,S$7,Sales_Data!$AE$2:$AE$3520,1),SUMIFS(Sales_Data!$AE$2:$AE$3520,Sales_Data!$C$2:$C$3520,$A49,Sales_Data!$F$2:$F$3520,S$7)))</f>
        <v>0</v>
      </c>
      <c r="T49" s="26" t="str">
        <f aca="false">IF(T$7="","",CHOOSE(MATCH($B$4,Lists!$C$2:$C$5,0),SUMIFS(Sales_Data!$O$2:$O$3520,Sales_Data!$C$2:$C$3520,$A49,Sales_Data!$F$2:$F$3520,T$7,Sales_Data!$AE$2:$AE$3520,1),SUMIFS(Sales_Data!$M$2:$M$3520,Sales_Data!$C$2:$C$3520,$A49,Sales_Data!$F$2:$F$3520,T$7,Sales_Data!$AE$2:$AE$3520,1),SUMIFS(Sales_Data!$N$2:$N$3520,Sales_Data!$C$2:$C$3520,$A49,Sales_Data!$F$2:$F$3520,T$7,Sales_Data!$AE$2:$AE$3520,1),SUMIFS(Sales_Data!$AE$2:$AE$3520,Sales_Data!$C$2:$C$3520,$A49,Sales_Data!$F$2:$F$3520,T$7)))</f>
        <v/>
      </c>
      <c r="U49" s="26" t="str">
        <f aca="false">IF(U$7="","",CHOOSE(MATCH($B$4,Lists!$C$2:$C$5,0),SUMIFS(Sales_Data!$O$2:$O$3520,Sales_Data!$C$2:$C$3520,$A49,Sales_Data!$F$2:$F$3520,U$7,Sales_Data!$AE$2:$AE$3520,1),SUMIFS(Sales_Data!$M$2:$M$3520,Sales_Data!$C$2:$C$3520,$A49,Sales_Data!$F$2:$F$3520,U$7,Sales_Data!$AE$2:$AE$3520,1),SUMIFS(Sales_Data!$N$2:$N$3520,Sales_Data!$C$2:$C$3520,$A49,Sales_Data!$F$2:$F$3520,U$7,Sales_Data!$AE$2:$AE$3520,1),SUMIFS(Sales_Data!$AE$2:$AE$3520,Sales_Data!$C$2:$C$3520,$A49,Sales_Data!$F$2:$F$3520,U$7)))</f>
        <v/>
      </c>
      <c r="V49" s="26" t="str">
        <f aca="false">IF(V$7="","",CHOOSE(MATCH($B$4,Lists!$C$2:$C$5,0),SUMIFS(Sales_Data!$O$2:$O$3520,Sales_Data!$C$2:$C$3520,$A49,Sales_Data!$F$2:$F$3520,V$7,Sales_Data!$AE$2:$AE$3520,1),SUMIFS(Sales_Data!$M$2:$M$3520,Sales_Data!$C$2:$C$3520,$A49,Sales_Data!$F$2:$F$3520,V$7,Sales_Data!$AE$2:$AE$3520,1),SUMIFS(Sales_Data!$N$2:$N$3520,Sales_Data!$C$2:$C$3520,$A49,Sales_Data!$F$2:$F$3520,V$7,Sales_Data!$AE$2:$AE$3520,1),SUMIFS(Sales_Data!$AE$2:$AE$3520,Sales_Data!$C$2:$C$3520,$A49,Sales_Data!$F$2:$F$3520,V$7)))</f>
        <v/>
      </c>
      <c r="W49" s="26" t="str">
        <f aca="false">IF(W$7="","",CHOOSE(MATCH($B$4,Lists!$C$2:$C$5,0),SUMIFS(Sales_Data!$O$2:$O$3520,Sales_Data!$C$2:$C$3520,$A49,Sales_Data!$F$2:$F$3520,W$7,Sales_Data!$AE$2:$AE$3520,1),SUMIFS(Sales_Data!$M$2:$M$3520,Sales_Data!$C$2:$C$3520,$A49,Sales_Data!$F$2:$F$3520,W$7,Sales_Data!$AE$2:$AE$3520,1),SUMIFS(Sales_Data!$N$2:$N$3520,Sales_Data!$C$2:$C$3520,$A49,Sales_Data!$F$2:$F$3520,W$7,Sales_Data!$AE$2:$AE$3520,1),SUMIFS(Sales_Data!$AE$2:$AE$3520,Sales_Data!$C$2:$C$3520,$A49,Sales_Data!$F$2:$F$3520,W$7)))</f>
        <v/>
      </c>
      <c r="X49" s="26" t="str">
        <f aca="false">IF(X$7="","",CHOOSE(MATCH($B$4,Lists!$C$2:$C$5,0),SUMIFS(Sales_Data!$O$2:$O$3520,Sales_Data!$C$2:$C$3520,$A49,Sales_Data!$F$2:$F$3520,X$7,Sales_Data!$AE$2:$AE$3520,1),SUMIFS(Sales_Data!$M$2:$M$3520,Sales_Data!$C$2:$C$3520,$A49,Sales_Data!$F$2:$F$3520,X$7,Sales_Data!$AE$2:$AE$3520,1),SUMIFS(Sales_Data!$N$2:$N$3520,Sales_Data!$C$2:$C$3520,$A49,Sales_Data!$F$2:$F$3520,X$7,Sales_Data!$AE$2:$AE$3520,1),SUMIFS(Sales_Data!$AE$2:$AE$3520,Sales_Data!$C$2:$C$3520,$A49,Sales_Data!$F$2:$F$3520,X$7)))</f>
        <v/>
      </c>
      <c r="Y49" s="26" t="str">
        <f aca="false">IF(Y$7="","",CHOOSE(MATCH($B$4,Lists!$C$2:$C$5,0),SUMIFS(Sales_Data!$O$2:$O$3520,Sales_Data!$C$2:$C$3520,$A49,Sales_Data!$F$2:$F$3520,Y$7,Sales_Data!$AE$2:$AE$3520,1),SUMIFS(Sales_Data!$M$2:$M$3520,Sales_Data!$C$2:$C$3520,$A49,Sales_Data!$F$2:$F$3520,Y$7,Sales_Data!$AE$2:$AE$3520,1),SUMIFS(Sales_Data!$N$2:$N$3520,Sales_Data!$C$2:$C$3520,$A49,Sales_Data!$F$2:$F$3520,Y$7,Sales_Data!$AE$2:$AE$3520,1),SUMIFS(Sales_Data!$AE$2:$AE$3520,Sales_Data!$C$2:$C$3520,$A49,Sales_Data!$F$2:$F$3520,Y$7)))</f>
        <v/>
      </c>
      <c r="Z49" s="26" t="str">
        <f aca="false">IF(Z$7="","",CHOOSE(MATCH($B$4,Lists!$C$2:$C$5,0),SUMIFS(Sales_Data!$O$2:$O$3520,Sales_Data!$C$2:$C$3520,$A49,Sales_Data!$F$2:$F$3520,Z$7,Sales_Data!$AE$2:$AE$3520,1),SUMIFS(Sales_Data!$M$2:$M$3520,Sales_Data!$C$2:$C$3520,$A49,Sales_Data!$F$2:$F$3520,Z$7,Sales_Data!$AE$2:$AE$3520,1),SUMIFS(Sales_Data!$N$2:$N$3520,Sales_Data!$C$2:$C$3520,$A49,Sales_Data!$F$2:$F$3520,Z$7,Sales_Data!$AE$2:$AE$3520,1),SUMIFS(Sales_Data!$AE$2:$AE$3520,Sales_Data!$C$2:$C$3520,$A49,Sales_Data!$F$2:$F$3520,Z$7)))</f>
        <v/>
      </c>
      <c r="AA49" s="27" t="n">
        <f aca="false">SUM(B49:Z49)</f>
        <v>0</v>
      </c>
      <c r="AB49" s="3"/>
      <c r="AC49" s="72" t="n">
        <f aca="false">A49</f>
        <v>46256</v>
      </c>
      <c r="AD49" s="28" t="n">
        <f aca="false">IF(B49="","",B49-B48)</f>
        <v>0</v>
      </c>
      <c r="AE49" s="28" t="n">
        <f aca="false">IF(C49="","",C49-C48)</f>
        <v>0</v>
      </c>
      <c r="AF49" s="28" t="n">
        <f aca="false">IF(D49="","",D49-D48)</f>
        <v>0</v>
      </c>
      <c r="AG49" s="28" t="n">
        <f aca="false">IF(E49="","",E49-E48)</f>
        <v>0</v>
      </c>
      <c r="AH49" s="28" t="n">
        <f aca="false">IF(F49="","",F49-F48)</f>
        <v>0</v>
      </c>
      <c r="AI49" s="28" t="n">
        <f aca="false">IF(G49="","",G49-G48)</f>
        <v>0</v>
      </c>
      <c r="AJ49" s="28" t="n">
        <f aca="false">IF(H49="","",H49-H48)</f>
        <v>0</v>
      </c>
      <c r="AK49" s="28" t="n">
        <f aca="false">IF(I49="","",I49-I48)</f>
        <v>0</v>
      </c>
      <c r="AL49" s="28" t="n">
        <f aca="false">IF(J49="","",J49-J48)</f>
        <v>0</v>
      </c>
      <c r="AM49" s="28" t="n">
        <f aca="false">IF(K49="","",K49-K48)</f>
        <v>0</v>
      </c>
      <c r="AN49" s="28" t="n">
        <f aca="false">IF(L49="","",L49-L48)</f>
        <v>0</v>
      </c>
      <c r="AO49" s="28" t="n">
        <f aca="false">IF(M49="","",M49-M48)</f>
        <v>0</v>
      </c>
      <c r="AP49" s="28" t="n">
        <f aca="false">IF(N49="","",N49-N48)</f>
        <v>0</v>
      </c>
      <c r="AQ49" s="28" t="n">
        <f aca="false">IF(O49="","",O49-O48)</f>
        <v>0</v>
      </c>
      <c r="AR49" s="28" t="n">
        <f aca="false">IF(P49="","",P49-P48)</f>
        <v>0</v>
      </c>
      <c r="AS49" s="28" t="n">
        <f aca="false">IF(Q49="","",Q49-Q48)</f>
        <v>0</v>
      </c>
      <c r="AT49" s="28" t="n">
        <f aca="false">IF(R49="","",R49-R48)</f>
        <v>0</v>
      </c>
      <c r="AU49" s="28" t="n">
        <f aca="false">IF(S49="","",S49-S48)</f>
        <v>0</v>
      </c>
      <c r="AV49" s="28" t="str">
        <f aca="false">IF(T49="","",T49-T48)</f>
        <v/>
      </c>
      <c r="AW49" s="28" t="str">
        <f aca="false">IF(U49="","",U49-U48)</f>
        <v/>
      </c>
      <c r="AX49" s="28" t="str">
        <f aca="false">IF(V49="","",V49-V48)</f>
        <v/>
      </c>
      <c r="AY49" s="28" t="str">
        <f aca="false">IF(W49="","",W49-W48)</f>
        <v/>
      </c>
      <c r="AZ49" s="28" t="str">
        <f aca="false">IF(X49="","",X49-X48)</f>
        <v/>
      </c>
      <c r="BA49" s="28" t="str">
        <f aca="false">IF(Y49="","",Y49-Y48)</f>
        <v/>
      </c>
      <c r="BB49" s="28" t="str">
        <f aca="false">IF(Z49="","",Z49-Z48)</f>
        <v/>
      </c>
      <c r="BC49" s="28" t="n">
        <f aca="false">IF(AA49="","",AA49-AA48)</f>
        <v>0</v>
      </c>
    </row>
    <row r="50" customFormat="false" ht="15" hidden="false" customHeight="false" outlineLevel="0" collapsed="false">
      <c r="A50" s="72" t="n">
        <v>46257</v>
      </c>
      <c r="B50" s="26" t="n">
        <f aca="false">IF(B$7="","",CHOOSE(MATCH($B$4,Lists!$C$2:$C$5,0),SUMIFS(Sales_Data!$O$2:$O$3520,Sales_Data!$C$2:$C$3520,$A50,Sales_Data!$F$2:$F$3520,B$7,Sales_Data!$AE$2:$AE$3520,1),SUMIFS(Sales_Data!$M$2:$M$3520,Sales_Data!$C$2:$C$3520,$A50,Sales_Data!$F$2:$F$3520,B$7,Sales_Data!$AE$2:$AE$3520,1),SUMIFS(Sales_Data!$N$2:$N$3520,Sales_Data!$C$2:$C$3520,$A50,Sales_Data!$F$2:$F$3520,B$7,Sales_Data!$AE$2:$AE$3520,1),SUMIFS(Sales_Data!$AE$2:$AE$3520,Sales_Data!$C$2:$C$3520,$A50,Sales_Data!$F$2:$F$3520,B$7)))</f>
        <v>0</v>
      </c>
      <c r="C50" s="26" t="n">
        <f aca="false">IF(C$7="","",CHOOSE(MATCH($B$4,Lists!$C$2:$C$5,0),SUMIFS(Sales_Data!$O$2:$O$3520,Sales_Data!$C$2:$C$3520,$A50,Sales_Data!$F$2:$F$3520,C$7,Sales_Data!$AE$2:$AE$3520,1),SUMIFS(Sales_Data!$M$2:$M$3520,Sales_Data!$C$2:$C$3520,$A50,Sales_Data!$F$2:$F$3520,C$7,Sales_Data!$AE$2:$AE$3520,1),SUMIFS(Sales_Data!$N$2:$N$3520,Sales_Data!$C$2:$C$3520,$A50,Sales_Data!$F$2:$F$3520,C$7,Sales_Data!$AE$2:$AE$3520,1),SUMIFS(Sales_Data!$AE$2:$AE$3520,Sales_Data!$C$2:$C$3520,$A50,Sales_Data!$F$2:$F$3520,C$7)))</f>
        <v>0</v>
      </c>
      <c r="D50" s="26" t="n">
        <f aca="false">IF(D$7="","",CHOOSE(MATCH($B$4,Lists!$C$2:$C$5,0),SUMIFS(Sales_Data!$O$2:$O$3520,Sales_Data!$C$2:$C$3520,$A50,Sales_Data!$F$2:$F$3520,D$7,Sales_Data!$AE$2:$AE$3520,1),SUMIFS(Sales_Data!$M$2:$M$3520,Sales_Data!$C$2:$C$3520,$A50,Sales_Data!$F$2:$F$3520,D$7,Sales_Data!$AE$2:$AE$3520,1),SUMIFS(Sales_Data!$N$2:$N$3520,Sales_Data!$C$2:$C$3520,$A50,Sales_Data!$F$2:$F$3520,D$7,Sales_Data!$AE$2:$AE$3520,1),SUMIFS(Sales_Data!$AE$2:$AE$3520,Sales_Data!$C$2:$C$3520,$A50,Sales_Data!$F$2:$F$3520,D$7)))</f>
        <v>0</v>
      </c>
      <c r="E50" s="26" t="n">
        <f aca="false">IF(E$7="","",CHOOSE(MATCH($B$4,Lists!$C$2:$C$5,0),SUMIFS(Sales_Data!$O$2:$O$3520,Sales_Data!$C$2:$C$3520,$A50,Sales_Data!$F$2:$F$3520,E$7,Sales_Data!$AE$2:$AE$3520,1),SUMIFS(Sales_Data!$M$2:$M$3520,Sales_Data!$C$2:$C$3520,$A50,Sales_Data!$F$2:$F$3520,E$7,Sales_Data!$AE$2:$AE$3520,1),SUMIFS(Sales_Data!$N$2:$N$3520,Sales_Data!$C$2:$C$3520,$A50,Sales_Data!$F$2:$F$3520,E$7,Sales_Data!$AE$2:$AE$3520,1),SUMIFS(Sales_Data!$AE$2:$AE$3520,Sales_Data!$C$2:$C$3520,$A50,Sales_Data!$F$2:$F$3520,E$7)))</f>
        <v>0</v>
      </c>
      <c r="F50" s="26" t="n">
        <f aca="false">IF(F$7="","",CHOOSE(MATCH($B$4,Lists!$C$2:$C$5,0),SUMIFS(Sales_Data!$O$2:$O$3520,Sales_Data!$C$2:$C$3520,$A50,Sales_Data!$F$2:$F$3520,F$7,Sales_Data!$AE$2:$AE$3520,1),SUMIFS(Sales_Data!$M$2:$M$3520,Sales_Data!$C$2:$C$3520,$A50,Sales_Data!$F$2:$F$3520,F$7,Sales_Data!$AE$2:$AE$3520,1),SUMIFS(Sales_Data!$N$2:$N$3520,Sales_Data!$C$2:$C$3520,$A50,Sales_Data!$F$2:$F$3520,F$7,Sales_Data!$AE$2:$AE$3520,1),SUMIFS(Sales_Data!$AE$2:$AE$3520,Sales_Data!$C$2:$C$3520,$A50,Sales_Data!$F$2:$F$3520,F$7)))</f>
        <v>0</v>
      </c>
      <c r="G50" s="26" t="n">
        <f aca="false">IF(G$7="","",CHOOSE(MATCH($B$4,Lists!$C$2:$C$5,0),SUMIFS(Sales_Data!$O$2:$O$3520,Sales_Data!$C$2:$C$3520,$A50,Sales_Data!$F$2:$F$3520,G$7,Sales_Data!$AE$2:$AE$3520,1),SUMIFS(Sales_Data!$M$2:$M$3520,Sales_Data!$C$2:$C$3520,$A50,Sales_Data!$F$2:$F$3520,G$7,Sales_Data!$AE$2:$AE$3520,1),SUMIFS(Sales_Data!$N$2:$N$3520,Sales_Data!$C$2:$C$3520,$A50,Sales_Data!$F$2:$F$3520,G$7,Sales_Data!$AE$2:$AE$3520,1),SUMIFS(Sales_Data!$AE$2:$AE$3520,Sales_Data!$C$2:$C$3520,$A50,Sales_Data!$F$2:$F$3520,G$7)))</f>
        <v>0</v>
      </c>
      <c r="H50" s="26" t="n">
        <f aca="false">IF(H$7="","",CHOOSE(MATCH($B$4,Lists!$C$2:$C$5,0),SUMIFS(Sales_Data!$O$2:$O$3520,Sales_Data!$C$2:$C$3520,$A50,Sales_Data!$F$2:$F$3520,H$7,Sales_Data!$AE$2:$AE$3520,1),SUMIFS(Sales_Data!$M$2:$M$3520,Sales_Data!$C$2:$C$3520,$A50,Sales_Data!$F$2:$F$3520,H$7,Sales_Data!$AE$2:$AE$3520,1),SUMIFS(Sales_Data!$N$2:$N$3520,Sales_Data!$C$2:$C$3520,$A50,Sales_Data!$F$2:$F$3520,H$7,Sales_Data!$AE$2:$AE$3520,1),SUMIFS(Sales_Data!$AE$2:$AE$3520,Sales_Data!$C$2:$C$3520,$A50,Sales_Data!$F$2:$F$3520,H$7)))</f>
        <v>0</v>
      </c>
      <c r="I50" s="26" t="n">
        <f aca="false">IF(I$7="","",CHOOSE(MATCH($B$4,Lists!$C$2:$C$5,0),SUMIFS(Sales_Data!$O$2:$O$3520,Sales_Data!$C$2:$C$3520,$A50,Sales_Data!$F$2:$F$3520,I$7,Sales_Data!$AE$2:$AE$3520,1),SUMIFS(Sales_Data!$M$2:$M$3520,Sales_Data!$C$2:$C$3520,$A50,Sales_Data!$F$2:$F$3520,I$7,Sales_Data!$AE$2:$AE$3520,1),SUMIFS(Sales_Data!$N$2:$N$3520,Sales_Data!$C$2:$C$3520,$A50,Sales_Data!$F$2:$F$3520,I$7,Sales_Data!$AE$2:$AE$3520,1),SUMIFS(Sales_Data!$AE$2:$AE$3520,Sales_Data!$C$2:$C$3520,$A50,Sales_Data!$F$2:$F$3520,I$7)))</f>
        <v>0</v>
      </c>
      <c r="J50" s="26" t="n">
        <f aca="false">IF(J$7="","",CHOOSE(MATCH($B$4,Lists!$C$2:$C$5,0),SUMIFS(Sales_Data!$O$2:$O$3520,Sales_Data!$C$2:$C$3520,$A50,Sales_Data!$F$2:$F$3520,J$7,Sales_Data!$AE$2:$AE$3520,1),SUMIFS(Sales_Data!$M$2:$M$3520,Sales_Data!$C$2:$C$3520,$A50,Sales_Data!$F$2:$F$3520,J$7,Sales_Data!$AE$2:$AE$3520,1),SUMIFS(Sales_Data!$N$2:$N$3520,Sales_Data!$C$2:$C$3520,$A50,Sales_Data!$F$2:$F$3520,J$7,Sales_Data!$AE$2:$AE$3520,1),SUMIFS(Sales_Data!$AE$2:$AE$3520,Sales_Data!$C$2:$C$3520,$A50,Sales_Data!$F$2:$F$3520,J$7)))</f>
        <v>0</v>
      </c>
      <c r="K50" s="26" t="n">
        <f aca="false">IF(K$7="","",CHOOSE(MATCH($B$4,Lists!$C$2:$C$5,0),SUMIFS(Sales_Data!$O$2:$O$3520,Sales_Data!$C$2:$C$3520,$A50,Sales_Data!$F$2:$F$3520,K$7,Sales_Data!$AE$2:$AE$3520,1),SUMIFS(Sales_Data!$M$2:$M$3520,Sales_Data!$C$2:$C$3520,$A50,Sales_Data!$F$2:$F$3520,K$7,Sales_Data!$AE$2:$AE$3520,1),SUMIFS(Sales_Data!$N$2:$N$3520,Sales_Data!$C$2:$C$3520,$A50,Sales_Data!$F$2:$F$3520,K$7,Sales_Data!$AE$2:$AE$3520,1),SUMIFS(Sales_Data!$AE$2:$AE$3520,Sales_Data!$C$2:$C$3520,$A50,Sales_Data!$F$2:$F$3520,K$7)))</f>
        <v>0</v>
      </c>
      <c r="L50" s="26" t="n">
        <f aca="false">IF(L$7="","",CHOOSE(MATCH($B$4,Lists!$C$2:$C$5,0),SUMIFS(Sales_Data!$O$2:$O$3520,Sales_Data!$C$2:$C$3520,$A50,Sales_Data!$F$2:$F$3520,L$7,Sales_Data!$AE$2:$AE$3520,1),SUMIFS(Sales_Data!$M$2:$M$3520,Sales_Data!$C$2:$C$3520,$A50,Sales_Data!$F$2:$F$3520,L$7,Sales_Data!$AE$2:$AE$3520,1),SUMIFS(Sales_Data!$N$2:$N$3520,Sales_Data!$C$2:$C$3520,$A50,Sales_Data!$F$2:$F$3520,L$7,Sales_Data!$AE$2:$AE$3520,1),SUMIFS(Sales_Data!$AE$2:$AE$3520,Sales_Data!$C$2:$C$3520,$A50,Sales_Data!$F$2:$F$3520,L$7)))</f>
        <v>0</v>
      </c>
      <c r="M50" s="26" t="n">
        <f aca="false">IF(M$7="","",CHOOSE(MATCH($B$4,Lists!$C$2:$C$5,0),SUMIFS(Sales_Data!$O$2:$O$3520,Sales_Data!$C$2:$C$3520,$A50,Sales_Data!$F$2:$F$3520,M$7,Sales_Data!$AE$2:$AE$3520,1),SUMIFS(Sales_Data!$M$2:$M$3520,Sales_Data!$C$2:$C$3520,$A50,Sales_Data!$F$2:$F$3520,M$7,Sales_Data!$AE$2:$AE$3520,1),SUMIFS(Sales_Data!$N$2:$N$3520,Sales_Data!$C$2:$C$3520,$A50,Sales_Data!$F$2:$F$3520,M$7,Sales_Data!$AE$2:$AE$3520,1),SUMIFS(Sales_Data!$AE$2:$AE$3520,Sales_Data!$C$2:$C$3520,$A50,Sales_Data!$F$2:$F$3520,M$7)))</f>
        <v>0</v>
      </c>
      <c r="N50" s="26" t="n">
        <f aca="false">IF(N$7="","",CHOOSE(MATCH($B$4,Lists!$C$2:$C$5,0),SUMIFS(Sales_Data!$O$2:$O$3520,Sales_Data!$C$2:$C$3520,$A50,Sales_Data!$F$2:$F$3520,N$7,Sales_Data!$AE$2:$AE$3520,1),SUMIFS(Sales_Data!$M$2:$M$3520,Sales_Data!$C$2:$C$3520,$A50,Sales_Data!$F$2:$F$3520,N$7,Sales_Data!$AE$2:$AE$3520,1),SUMIFS(Sales_Data!$N$2:$N$3520,Sales_Data!$C$2:$C$3520,$A50,Sales_Data!$F$2:$F$3520,N$7,Sales_Data!$AE$2:$AE$3520,1),SUMIFS(Sales_Data!$AE$2:$AE$3520,Sales_Data!$C$2:$C$3520,$A50,Sales_Data!$F$2:$F$3520,N$7)))</f>
        <v>0</v>
      </c>
      <c r="O50" s="26" t="n">
        <f aca="false">IF(O$7="","",CHOOSE(MATCH($B$4,Lists!$C$2:$C$5,0),SUMIFS(Sales_Data!$O$2:$O$3520,Sales_Data!$C$2:$C$3520,$A50,Sales_Data!$F$2:$F$3520,O$7,Sales_Data!$AE$2:$AE$3520,1),SUMIFS(Sales_Data!$M$2:$M$3520,Sales_Data!$C$2:$C$3520,$A50,Sales_Data!$F$2:$F$3520,O$7,Sales_Data!$AE$2:$AE$3520,1),SUMIFS(Sales_Data!$N$2:$N$3520,Sales_Data!$C$2:$C$3520,$A50,Sales_Data!$F$2:$F$3520,O$7,Sales_Data!$AE$2:$AE$3520,1),SUMIFS(Sales_Data!$AE$2:$AE$3520,Sales_Data!$C$2:$C$3520,$A50,Sales_Data!$F$2:$F$3520,O$7)))</f>
        <v>0</v>
      </c>
      <c r="P50" s="26" t="n">
        <f aca="false">IF(P$7="","",CHOOSE(MATCH($B$4,Lists!$C$2:$C$5,0),SUMIFS(Sales_Data!$O$2:$O$3520,Sales_Data!$C$2:$C$3520,$A50,Sales_Data!$F$2:$F$3520,P$7,Sales_Data!$AE$2:$AE$3520,1),SUMIFS(Sales_Data!$M$2:$M$3520,Sales_Data!$C$2:$C$3520,$A50,Sales_Data!$F$2:$F$3520,P$7,Sales_Data!$AE$2:$AE$3520,1),SUMIFS(Sales_Data!$N$2:$N$3520,Sales_Data!$C$2:$C$3520,$A50,Sales_Data!$F$2:$F$3520,P$7,Sales_Data!$AE$2:$AE$3520,1),SUMIFS(Sales_Data!$AE$2:$AE$3520,Sales_Data!$C$2:$C$3520,$A50,Sales_Data!$F$2:$F$3520,P$7)))</f>
        <v>0</v>
      </c>
      <c r="Q50" s="26" t="n">
        <f aca="false">IF(Q$7="","",CHOOSE(MATCH($B$4,Lists!$C$2:$C$5,0),SUMIFS(Sales_Data!$O$2:$O$3520,Sales_Data!$C$2:$C$3520,$A50,Sales_Data!$F$2:$F$3520,Q$7,Sales_Data!$AE$2:$AE$3520,1),SUMIFS(Sales_Data!$M$2:$M$3520,Sales_Data!$C$2:$C$3520,$A50,Sales_Data!$F$2:$F$3520,Q$7,Sales_Data!$AE$2:$AE$3520,1),SUMIFS(Sales_Data!$N$2:$N$3520,Sales_Data!$C$2:$C$3520,$A50,Sales_Data!$F$2:$F$3520,Q$7,Sales_Data!$AE$2:$AE$3520,1),SUMIFS(Sales_Data!$AE$2:$AE$3520,Sales_Data!$C$2:$C$3520,$A50,Sales_Data!$F$2:$F$3520,Q$7)))</f>
        <v>0</v>
      </c>
      <c r="R50" s="26" t="n">
        <f aca="false">IF(R$7="","",CHOOSE(MATCH($B$4,Lists!$C$2:$C$5,0),SUMIFS(Sales_Data!$O$2:$O$3520,Sales_Data!$C$2:$C$3520,$A50,Sales_Data!$F$2:$F$3520,R$7,Sales_Data!$AE$2:$AE$3520,1),SUMIFS(Sales_Data!$M$2:$M$3520,Sales_Data!$C$2:$C$3520,$A50,Sales_Data!$F$2:$F$3520,R$7,Sales_Data!$AE$2:$AE$3520,1),SUMIFS(Sales_Data!$N$2:$N$3520,Sales_Data!$C$2:$C$3520,$A50,Sales_Data!$F$2:$F$3520,R$7,Sales_Data!$AE$2:$AE$3520,1),SUMIFS(Sales_Data!$AE$2:$AE$3520,Sales_Data!$C$2:$C$3520,$A50,Sales_Data!$F$2:$F$3520,R$7)))</f>
        <v>0</v>
      </c>
      <c r="S50" s="26" t="n">
        <f aca="false">IF(S$7="","",CHOOSE(MATCH($B$4,Lists!$C$2:$C$5,0),SUMIFS(Sales_Data!$O$2:$O$3520,Sales_Data!$C$2:$C$3520,$A50,Sales_Data!$F$2:$F$3520,S$7,Sales_Data!$AE$2:$AE$3520,1),SUMIFS(Sales_Data!$M$2:$M$3520,Sales_Data!$C$2:$C$3520,$A50,Sales_Data!$F$2:$F$3520,S$7,Sales_Data!$AE$2:$AE$3520,1),SUMIFS(Sales_Data!$N$2:$N$3520,Sales_Data!$C$2:$C$3520,$A50,Sales_Data!$F$2:$F$3520,S$7,Sales_Data!$AE$2:$AE$3520,1),SUMIFS(Sales_Data!$AE$2:$AE$3520,Sales_Data!$C$2:$C$3520,$A50,Sales_Data!$F$2:$F$3520,S$7)))</f>
        <v>0</v>
      </c>
      <c r="T50" s="26" t="str">
        <f aca="false">IF(T$7="","",CHOOSE(MATCH($B$4,Lists!$C$2:$C$5,0),SUMIFS(Sales_Data!$O$2:$O$3520,Sales_Data!$C$2:$C$3520,$A50,Sales_Data!$F$2:$F$3520,T$7,Sales_Data!$AE$2:$AE$3520,1),SUMIFS(Sales_Data!$M$2:$M$3520,Sales_Data!$C$2:$C$3520,$A50,Sales_Data!$F$2:$F$3520,T$7,Sales_Data!$AE$2:$AE$3520,1),SUMIFS(Sales_Data!$N$2:$N$3520,Sales_Data!$C$2:$C$3520,$A50,Sales_Data!$F$2:$F$3520,T$7,Sales_Data!$AE$2:$AE$3520,1),SUMIFS(Sales_Data!$AE$2:$AE$3520,Sales_Data!$C$2:$C$3520,$A50,Sales_Data!$F$2:$F$3520,T$7)))</f>
        <v/>
      </c>
      <c r="U50" s="26" t="str">
        <f aca="false">IF(U$7="","",CHOOSE(MATCH($B$4,Lists!$C$2:$C$5,0),SUMIFS(Sales_Data!$O$2:$O$3520,Sales_Data!$C$2:$C$3520,$A50,Sales_Data!$F$2:$F$3520,U$7,Sales_Data!$AE$2:$AE$3520,1),SUMIFS(Sales_Data!$M$2:$M$3520,Sales_Data!$C$2:$C$3520,$A50,Sales_Data!$F$2:$F$3520,U$7,Sales_Data!$AE$2:$AE$3520,1),SUMIFS(Sales_Data!$N$2:$N$3520,Sales_Data!$C$2:$C$3520,$A50,Sales_Data!$F$2:$F$3520,U$7,Sales_Data!$AE$2:$AE$3520,1),SUMIFS(Sales_Data!$AE$2:$AE$3520,Sales_Data!$C$2:$C$3520,$A50,Sales_Data!$F$2:$F$3520,U$7)))</f>
        <v/>
      </c>
      <c r="V50" s="26" t="str">
        <f aca="false">IF(V$7="","",CHOOSE(MATCH($B$4,Lists!$C$2:$C$5,0),SUMIFS(Sales_Data!$O$2:$O$3520,Sales_Data!$C$2:$C$3520,$A50,Sales_Data!$F$2:$F$3520,V$7,Sales_Data!$AE$2:$AE$3520,1),SUMIFS(Sales_Data!$M$2:$M$3520,Sales_Data!$C$2:$C$3520,$A50,Sales_Data!$F$2:$F$3520,V$7,Sales_Data!$AE$2:$AE$3520,1),SUMIFS(Sales_Data!$N$2:$N$3520,Sales_Data!$C$2:$C$3520,$A50,Sales_Data!$F$2:$F$3520,V$7,Sales_Data!$AE$2:$AE$3520,1),SUMIFS(Sales_Data!$AE$2:$AE$3520,Sales_Data!$C$2:$C$3520,$A50,Sales_Data!$F$2:$F$3520,V$7)))</f>
        <v/>
      </c>
      <c r="W50" s="26" t="str">
        <f aca="false">IF(W$7="","",CHOOSE(MATCH($B$4,Lists!$C$2:$C$5,0),SUMIFS(Sales_Data!$O$2:$O$3520,Sales_Data!$C$2:$C$3520,$A50,Sales_Data!$F$2:$F$3520,W$7,Sales_Data!$AE$2:$AE$3520,1),SUMIFS(Sales_Data!$M$2:$M$3520,Sales_Data!$C$2:$C$3520,$A50,Sales_Data!$F$2:$F$3520,W$7,Sales_Data!$AE$2:$AE$3520,1),SUMIFS(Sales_Data!$N$2:$N$3520,Sales_Data!$C$2:$C$3520,$A50,Sales_Data!$F$2:$F$3520,W$7,Sales_Data!$AE$2:$AE$3520,1),SUMIFS(Sales_Data!$AE$2:$AE$3520,Sales_Data!$C$2:$C$3520,$A50,Sales_Data!$F$2:$F$3520,W$7)))</f>
        <v/>
      </c>
      <c r="X50" s="26" t="str">
        <f aca="false">IF(X$7="","",CHOOSE(MATCH($B$4,Lists!$C$2:$C$5,0),SUMIFS(Sales_Data!$O$2:$O$3520,Sales_Data!$C$2:$C$3520,$A50,Sales_Data!$F$2:$F$3520,X$7,Sales_Data!$AE$2:$AE$3520,1),SUMIFS(Sales_Data!$M$2:$M$3520,Sales_Data!$C$2:$C$3520,$A50,Sales_Data!$F$2:$F$3520,X$7,Sales_Data!$AE$2:$AE$3520,1),SUMIFS(Sales_Data!$N$2:$N$3520,Sales_Data!$C$2:$C$3520,$A50,Sales_Data!$F$2:$F$3520,X$7,Sales_Data!$AE$2:$AE$3520,1),SUMIFS(Sales_Data!$AE$2:$AE$3520,Sales_Data!$C$2:$C$3520,$A50,Sales_Data!$F$2:$F$3520,X$7)))</f>
        <v/>
      </c>
      <c r="Y50" s="26" t="str">
        <f aca="false">IF(Y$7="","",CHOOSE(MATCH($B$4,Lists!$C$2:$C$5,0),SUMIFS(Sales_Data!$O$2:$O$3520,Sales_Data!$C$2:$C$3520,$A50,Sales_Data!$F$2:$F$3520,Y$7,Sales_Data!$AE$2:$AE$3520,1),SUMIFS(Sales_Data!$M$2:$M$3520,Sales_Data!$C$2:$C$3520,$A50,Sales_Data!$F$2:$F$3520,Y$7,Sales_Data!$AE$2:$AE$3520,1),SUMIFS(Sales_Data!$N$2:$N$3520,Sales_Data!$C$2:$C$3520,$A50,Sales_Data!$F$2:$F$3520,Y$7,Sales_Data!$AE$2:$AE$3520,1),SUMIFS(Sales_Data!$AE$2:$AE$3520,Sales_Data!$C$2:$C$3520,$A50,Sales_Data!$F$2:$F$3520,Y$7)))</f>
        <v/>
      </c>
      <c r="Z50" s="26" t="str">
        <f aca="false">IF(Z$7="","",CHOOSE(MATCH($B$4,Lists!$C$2:$C$5,0),SUMIFS(Sales_Data!$O$2:$O$3520,Sales_Data!$C$2:$C$3520,$A50,Sales_Data!$F$2:$F$3520,Z$7,Sales_Data!$AE$2:$AE$3520,1),SUMIFS(Sales_Data!$M$2:$M$3520,Sales_Data!$C$2:$C$3520,$A50,Sales_Data!$F$2:$F$3520,Z$7,Sales_Data!$AE$2:$AE$3520,1),SUMIFS(Sales_Data!$N$2:$N$3520,Sales_Data!$C$2:$C$3520,$A50,Sales_Data!$F$2:$F$3520,Z$7,Sales_Data!$AE$2:$AE$3520,1),SUMIFS(Sales_Data!$AE$2:$AE$3520,Sales_Data!$C$2:$C$3520,$A50,Sales_Data!$F$2:$F$3520,Z$7)))</f>
        <v/>
      </c>
      <c r="AA50" s="27" t="n">
        <f aca="false">SUM(B50:Z50)</f>
        <v>0</v>
      </c>
      <c r="AB50" s="3"/>
      <c r="AC50" s="72" t="n">
        <f aca="false">A50</f>
        <v>46257</v>
      </c>
      <c r="AD50" s="28" t="n">
        <f aca="false">IF(B50="","",B50-B49)</f>
        <v>0</v>
      </c>
      <c r="AE50" s="28" t="n">
        <f aca="false">IF(C50="","",C50-C49)</f>
        <v>0</v>
      </c>
      <c r="AF50" s="28" t="n">
        <f aca="false">IF(D50="","",D50-D49)</f>
        <v>0</v>
      </c>
      <c r="AG50" s="28" t="n">
        <f aca="false">IF(E50="","",E50-E49)</f>
        <v>0</v>
      </c>
      <c r="AH50" s="28" t="n">
        <f aca="false">IF(F50="","",F50-F49)</f>
        <v>0</v>
      </c>
      <c r="AI50" s="28" t="n">
        <f aca="false">IF(G50="","",G50-G49)</f>
        <v>0</v>
      </c>
      <c r="AJ50" s="28" t="n">
        <f aca="false">IF(H50="","",H50-H49)</f>
        <v>0</v>
      </c>
      <c r="AK50" s="28" t="n">
        <f aca="false">IF(I50="","",I50-I49)</f>
        <v>0</v>
      </c>
      <c r="AL50" s="28" t="n">
        <f aca="false">IF(J50="","",J50-J49)</f>
        <v>0</v>
      </c>
      <c r="AM50" s="28" t="n">
        <f aca="false">IF(K50="","",K50-K49)</f>
        <v>0</v>
      </c>
      <c r="AN50" s="28" t="n">
        <f aca="false">IF(L50="","",L50-L49)</f>
        <v>0</v>
      </c>
      <c r="AO50" s="28" t="n">
        <f aca="false">IF(M50="","",M50-M49)</f>
        <v>0</v>
      </c>
      <c r="AP50" s="28" t="n">
        <f aca="false">IF(N50="","",N50-N49)</f>
        <v>0</v>
      </c>
      <c r="AQ50" s="28" t="n">
        <f aca="false">IF(O50="","",O50-O49)</f>
        <v>0</v>
      </c>
      <c r="AR50" s="28" t="n">
        <f aca="false">IF(P50="","",P50-P49)</f>
        <v>0</v>
      </c>
      <c r="AS50" s="28" t="n">
        <f aca="false">IF(Q50="","",Q50-Q49)</f>
        <v>0</v>
      </c>
      <c r="AT50" s="28" t="n">
        <f aca="false">IF(R50="","",R50-R49)</f>
        <v>0</v>
      </c>
      <c r="AU50" s="28" t="n">
        <f aca="false">IF(S50="","",S50-S49)</f>
        <v>0</v>
      </c>
      <c r="AV50" s="28" t="str">
        <f aca="false">IF(T50="","",T50-T49)</f>
        <v/>
      </c>
      <c r="AW50" s="28" t="str">
        <f aca="false">IF(U50="","",U50-U49)</f>
        <v/>
      </c>
      <c r="AX50" s="28" t="str">
        <f aca="false">IF(V50="","",V50-V49)</f>
        <v/>
      </c>
      <c r="AY50" s="28" t="str">
        <f aca="false">IF(W50="","",W50-W49)</f>
        <v/>
      </c>
      <c r="AZ50" s="28" t="str">
        <f aca="false">IF(X50="","",X50-X49)</f>
        <v/>
      </c>
      <c r="BA50" s="28" t="str">
        <f aca="false">IF(Y50="","",Y50-Y49)</f>
        <v/>
      </c>
      <c r="BB50" s="28" t="str">
        <f aca="false">IF(Z50="","",Z50-Z49)</f>
        <v/>
      </c>
      <c r="BC50" s="28" t="n">
        <f aca="false">IF(AA50="","",AA50-AA49)</f>
        <v>0</v>
      </c>
    </row>
    <row r="51" customFormat="false" ht="15" hidden="false" customHeight="false" outlineLevel="0" collapsed="false">
      <c r="A51" s="72" t="n">
        <v>46258</v>
      </c>
      <c r="B51" s="26" t="n">
        <f aca="false">IF(B$7="","",CHOOSE(MATCH($B$4,Lists!$C$2:$C$5,0),SUMIFS(Sales_Data!$O$2:$O$3520,Sales_Data!$C$2:$C$3520,$A51,Sales_Data!$F$2:$F$3520,B$7,Sales_Data!$AE$2:$AE$3520,1),SUMIFS(Sales_Data!$M$2:$M$3520,Sales_Data!$C$2:$C$3520,$A51,Sales_Data!$F$2:$F$3520,B$7,Sales_Data!$AE$2:$AE$3520,1),SUMIFS(Sales_Data!$N$2:$N$3520,Sales_Data!$C$2:$C$3520,$A51,Sales_Data!$F$2:$F$3520,B$7,Sales_Data!$AE$2:$AE$3520,1),SUMIFS(Sales_Data!$AE$2:$AE$3520,Sales_Data!$C$2:$C$3520,$A51,Sales_Data!$F$2:$F$3520,B$7)))</f>
        <v>0</v>
      </c>
      <c r="C51" s="26" t="n">
        <f aca="false">IF(C$7="","",CHOOSE(MATCH($B$4,Lists!$C$2:$C$5,0),SUMIFS(Sales_Data!$O$2:$O$3520,Sales_Data!$C$2:$C$3520,$A51,Sales_Data!$F$2:$F$3520,C$7,Sales_Data!$AE$2:$AE$3520,1),SUMIFS(Sales_Data!$M$2:$M$3520,Sales_Data!$C$2:$C$3520,$A51,Sales_Data!$F$2:$F$3520,C$7,Sales_Data!$AE$2:$AE$3520,1),SUMIFS(Sales_Data!$N$2:$N$3520,Sales_Data!$C$2:$C$3520,$A51,Sales_Data!$F$2:$F$3520,C$7,Sales_Data!$AE$2:$AE$3520,1),SUMIFS(Sales_Data!$AE$2:$AE$3520,Sales_Data!$C$2:$C$3520,$A51,Sales_Data!$F$2:$F$3520,C$7)))</f>
        <v>0</v>
      </c>
      <c r="D51" s="26" t="n">
        <f aca="false">IF(D$7="","",CHOOSE(MATCH($B$4,Lists!$C$2:$C$5,0),SUMIFS(Sales_Data!$O$2:$O$3520,Sales_Data!$C$2:$C$3520,$A51,Sales_Data!$F$2:$F$3520,D$7,Sales_Data!$AE$2:$AE$3520,1),SUMIFS(Sales_Data!$M$2:$M$3520,Sales_Data!$C$2:$C$3520,$A51,Sales_Data!$F$2:$F$3520,D$7,Sales_Data!$AE$2:$AE$3520,1),SUMIFS(Sales_Data!$N$2:$N$3520,Sales_Data!$C$2:$C$3520,$A51,Sales_Data!$F$2:$F$3520,D$7,Sales_Data!$AE$2:$AE$3520,1),SUMIFS(Sales_Data!$AE$2:$AE$3520,Sales_Data!$C$2:$C$3520,$A51,Sales_Data!$F$2:$F$3520,D$7)))</f>
        <v>0</v>
      </c>
      <c r="E51" s="26" t="n">
        <f aca="false">IF(E$7="","",CHOOSE(MATCH($B$4,Lists!$C$2:$C$5,0),SUMIFS(Sales_Data!$O$2:$O$3520,Sales_Data!$C$2:$C$3520,$A51,Sales_Data!$F$2:$F$3520,E$7,Sales_Data!$AE$2:$AE$3520,1),SUMIFS(Sales_Data!$M$2:$M$3520,Sales_Data!$C$2:$C$3520,$A51,Sales_Data!$F$2:$F$3520,E$7,Sales_Data!$AE$2:$AE$3520,1),SUMIFS(Sales_Data!$N$2:$N$3520,Sales_Data!$C$2:$C$3520,$A51,Sales_Data!$F$2:$F$3520,E$7,Sales_Data!$AE$2:$AE$3520,1),SUMIFS(Sales_Data!$AE$2:$AE$3520,Sales_Data!$C$2:$C$3520,$A51,Sales_Data!$F$2:$F$3520,E$7)))</f>
        <v>0</v>
      </c>
      <c r="F51" s="26" t="n">
        <f aca="false">IF(F$7="","",CHOOSE(MATCH($B$4,Lists!$C$2:$C$5,0),SUMIFS(Sales_Data!$O$2:$O$3520,Sales_Data!$C$2:$C$3520,$A51,Sales_Data!$F$2:$F$3520,F$7,Sales_Data!$AE$2:$AE$3520,1),SUMIFS(Sales_Data!$M$2:$M$3520,Sales_Data!$C$2:$C$3520,$A51,Sales_Data!$F$2:$F$3520,F$7,Sales_Data!$AE$2:$AE$3520,1),SUMIFS(Sales_Data!$N$2:$N$3520,Sales_Data!$C$2:$C$3520,$A51,Sales_Data!$F$2:$F$3520,F$7,Sales_Data!$AE$2:$AE$3520,1),SUMIFS(Sales_Data!$AE$2:$AE$3520,Sales_Data!$C$2:$C$3520,$A51,Sales_Data!$F$2:$F$3520,F$7)))</f>
        <v>0</v>
      </c>
      <c r="G51" s="26" t="n">
        <f aca="false">IF(G$7="","",CHOOSE(MATCH($B$4,Lists!$C$2:$C$5,0),SUMIFS(Sales_Data!$O$2:$O$3520,Sales_Data!$C$2:$C$3520,$A51,Sales_Data!$F$2:$F$3520,G$7,Sales_Data!$AE$2:$AE$3520,1),SUMIFS(Sales_Data!$M$2:$M$3520,Sales_Data!$C$2:$C$3520,$A51,Sales_Data!$F$2:$F$3520,G$7,Sales_Data!$AE$2:$AE$3520,1),SUMIFS(Sales_Data!$N$2:$N$3520,Sales_Data!$C$2:$C$3520,$A51,Sales_Data!$F$2:$F$3520,G$7,Sales_Data!$AE$2:$AE$3520,1),SUMIFS(Sales_Data!$AE$2:$AE$3520,Sales_Data!$C$2:$C$3520,$A51,Sales_Data!$F$2:$F$3520,G$7)))</f>
        <v>0</v>
      </c>
      <c r="H51" s="26" t="n">
        <f aca="false">IF(H$7="","",CHOOSE(MATCH($B$4,Lists!$C$2:$C$5,0),SUMIFS(Sales_Data!$O$2:$O$3520,Sales_Data!$C$2:$C$3520,$A51,Sales_Data!$F$2:$F$3520,H$7,Sales_Data!$AE$2:$AE$3520,1),SUMIFS(Sales_Data!$M$2:$M$3520,Sales_Data!$C$2:$C$3520,$A51,Sales_Data!$F$2:$F$3520,H$7,Sales_Data!$AE$2:$AE$3520,1),SUMIFS(Sales_Data!$N$2:$N$3520,Sales_Data!$C$2:$C$3520,$A51,Sales_Data!$F$2:$F$3520,H$7,Sales_Data!$AE$2:$AE$3520,1),SUMIFS(Sales_Data!$AE$2:$AE$3520,Sales_Data!$C$2:$C$3520,$A51,Sales_Data!$F$2:$F$3520,H$7)))</f>
        <v>0</v>
      </c>
      <c r="I51" s="26" t="n">
        <f aca="false">IF(I$7="","",CHOOSE(MATCH($B$4,Lists!$C$2:$C$5,0),SUMIFS(Sales_Data!$O$2:$O$3520,Sales_Data!$C$2:$C$3520,$A51,Sales_Data!$F$2:$F$3520,I$7,Sales_Data!$AE$2:$AE$3520,1),SUMIFS(Sales_Data!$M$2:$M$3520,Sales_Data!$C$2:$C$3520,$A51,Sales_Data!$F$2:$F$3520,I$7,Sales_Data!$AE$2:$AE$3520,1),SUMIFS(Sales_Data!$N$2:$N$3520,Sales_Data!$C$2:$C$3520,$A51,Sales_Data!$F$2:$F$3520,I$7,Sales_Data!$AE$2:$AE$3520,1),SUMIFS(Sales_Data!$AE$2:$AE$3520,Sales_Data!$C$2:$C$3520,$A51,Sales_Data!$F$2:$F$3520,I$7)))</f>
        <v>0</v>
      </c>
      <c r="J51" s="26" t="n">
        <f aca="false">IF(J$7="","",CHOOSE(MATCH($B$4,Lists!$C$2:$C$5,0),SUMIFS(Sales_Data!$O$2:$O$3520,Sales_Data!$C$2:$C$3520,$A51,Sales_Data!$F$2:$F$3520,J$7,Sales_Data!$AE$2:$AE$3520,1),SUMIFS(Sales_Data!$M$2:$M$3520,Sales_Data!$C$2:$C$3520,$A51,Sales_Data!$F$2:$F$3520,J$7,Sales_Data!$AE$2:$AE$3520,1),SUMIFS(Sales_Data!$N$2:$N$3520,Sales_Data!$C$2:$C$3520,$A51,Sales_Data!$F$2:$F$3520,J$7,Sales_Data!$AE$2:$AE$3520,1),SUMIFS(Sales_Data!$AE$2:$AE$3520,Sales_Data!$C$2:$C$3520,$A51,Sales_Data!$F$2:$F$3520,J$7)))</f>
        <v>0</v>
      </c>
      <c r="K51" s="26" t="n">
        <f aca="false">IF(K$7="","",CHOOSE(MATCH($B$4,Lists!$C$2:$C$5,0),SUMIFS(Sales_Data!$O$2:$O$3520,Sales_Data!$C$2:$C$3520,$A51,Sales_Data!$F$2:$F$3520,K$7,Sales_Data!$AE$2:$AE$3520,1),SUMIFS(Sales_Data!$M$2:$M$3520,Sales_Data!$C$2:$C$3520,$A51,Sales_Data!$F$2:$F$3520,K$7,Sales_Data!$AE$2:$AE$3520,1),SUMIFS(Sales_Data!$N$2:$N$3520,Sales_Data!$C$2:$C$3520,$A51,Sales_Data!$F$2:$F$3520,K$7,Sales_Data!$AE$2:$AE$3520,1),SUMIFS(Sales_Data!$AE$2:$AE$3520,Sales_Data!$C$2:$C$3520,$A51,Sales_Data!$F$2:$F$3520,K$7)))</f>
        <v>0</v>
      </c>
      <c r="L51" s="26" t="n">
        <f aca="false">IF(L$7="","",CHOOSE(MATCH($B$4,Lists!$C$2:$C$5,0),SUMIFS(Sales_Data!$O$2:$O$3520,Sales_Data!$C$2:$C$3520,$A51,Sales_Data!$F$2:$F$3520,L$7,Sales_Data!$AE$2:$AE$3520,1),SUMIFS(Sales_Data!$M$2:$M$3520,Sales_Data!$C$2:$C$3520,$A51,Sales_Data!$F$2:$F$3520,L$7,Sales_Data!$AE$2:$AE$3520,1),SUMIFS(Sales_Data!$N$2:$N$3520,Sales_Data!$C$2:$C$3520,$A51,Sales_Data!$F$2:$F$3520,L$7,Sales_Data!$AE$2:$AE$3520,1),SUMIFS(Sales_Data!$AE$2:$AE$3520,Sales_Data!$C$2:$C$3520,$A51,Sales_Data!$F$2:$F$3520,L$7)))</f>
        <v>0</v>
      </c>
      <c r="M51" s="26" t="n">
        <f aca="false">IF(M$7="","",CHOOSE(MATCH($B$4,Lists!$C$2:$C$5,0),SUMIFS(Sales_Data!$O$2:$O$3520,Sales_Data!$C$2:$C$3520,$A51,Sales_Data!$F$2:$F$3520,M$7,Sales_Data!$AE$2:$AE$3520,1),SUMIFS(Sales_Data!$M$2:$M$3520,Sales_Data!$C$2:$C$3520,$A51,Sales_Data!$F$2:$F$3520,M$7,Sales_Data!$AE$2:$AE$3520,1),SUMIFS(Sales_Data!$N$2:$N$3520,Sales_Data!$C$2:$C$3520,$A51,Sales_Data!$F$2:$F$3520,M$7,Sales_Data!$AE$2:$AE$3520,1),SUMIFS(Sales_Data!$AE$2:$AE$3520,Sales_Data!$C$2:$C$3520,$A51,Sales_Data!$F$2:$F$3520,M$7)))</f>
        <v>0</v>
      </c>
      <c r="N51" s="26" t="n">
        <f aca="false">IF(N$7="","",CHOOSE(MATCH($B$4,Lists!$C$2:$C$5,0),SUMIFS(Sales_Data!$O$2:$O$3520,Sales_Data!$C$2:$C$3520,$A51,Sales_Data!$F$2:$F$3520,N$7,Sales_Data!$AE$2:$AE$3520,1),SUMIFS(Sales_Data!$M$2:$M$3520,Sales_Data!$C$2:$C$3520,$A51,Sales_Data!$F$2:$F$3520,N$7,Sales_Data!$AE$2:$AE$3520,1),SUMIFS(Sales_Data!$N$2:$N$3520,Sales_Data!$C$2:$C$3520,$A51,Sales_Data!$F$2:$F$3520,N$7,Sales_Data!$AE$2:$AE$3520,1),SUMIFS(Sales_Data!$AE$2:$AE$3520,Sales_Data!$C$2:$C$3520,$A51,Sales_Data!$F$2:$F$3520,N$7)))</f>
        <v>0</v>
      </c>
      <c r="O51" s="26" t="n">
        <f aca="false">IF(O$7="","",CHOOSE(MATCH($B$4,Lists!$C$2:$C$5,0),SUMIFS(Sales_Data!$O$2:$O$3520,Sales_Data!$C$2:$C$3520,$A51,Sales_Data!$F$2:$F$3520,O$7,Sales_Data!$AE$2:$AE$3520,1),SUMIFS(Sales_Data!$M$2:$M$3520,Sales_Data!$C$2:$C$3520,$A51,Sales_Data!$F$2:$F$3520,O$7,Sales_Data!$AE$2:$AE$3520,1),SUMIFS(Sales_Data!$N$2:$N$3520,Sales_Data!$C$2:$C$3520,$A51,Sales_Data!$F$2:$F$3520,O$7,Sales_Data!$AE$2:$AE$3520,1),SUMIFS(Sales_Data!$AE$2:$AE$3520,Sales_Data!$C$2:$C$3520,$A51,Sales_Data!$F$2:$F$3520,O$7)))</f>
        <v>0</v>
      </c>
      <c r="P51" s="26" t="n">
        <f aca="false">IF(P$7="","",CHOOSE(MATCH($B$4,Lists!$C$2:$C$5,0),SUMIFS(Sales_Data!$O$2:$O$3520,Sales_Data!$C$2:$C$3520,$A51,Sales_Data!$F$2:$F$3520,P$7,Sales_Data!$AE$2:$AE$3520,1),SUMIFS(Sales_Data!$M$2:$M$3520,Sales_Data!$C$2:$C$3520,$A51,Sales_Data!$F$2:$F$3520,P$7,Sales_Data!$AE$2:$AE$3520,1),SUMIFS(Sales_Data!$N$2:$N$3520,Sales_Data!$C$2:$C$3520,$A51,Sales_Data!$F$2:$F$3520,P$7,Sales_Data!$AE$2:$AE$3520,1),SUMIFS(Sales_Data!$AE$2:$AE$3520,Sales_Data!$C$2:$C$3520,$A51,Sales_Data!$F$2:$F$3520,P$7)))</f>
        <v>0</v>
      </c>
      <c r="Q51" s="26" t="n">
        <f aca="false">IF(Q$7="","",CHOOSE(MATCH($B$4,Lists!$C$2:$C$5,0),SUMIFS(Sales_Data!$O$2:$O$3520,Sales_Data!$C$2:$C$3520,$A51,Sales_Data!$F$2:$F$3520,Q$7,Sales_Data!$AE$2:$AE$3520,1),SUMIFS(Sales_Data!$M$2:$M$3520,Sales_Data!$C$2:$C$3520,$A51,Sales_Data!$F$2:$F$3520,Q$7,Sales_Data!$AE$2:$AE$3520,1),SUMIFS(Sales_Data!$N$2:$N$3520,Sales_Data!$C$2:$C$3520,$A51,Sales_Data!$F$2:$F$3520,Q$7,Sales_Data!$AE$2:$AE$3520,1),SUMIFS(Sales_Data!$AE$2:$AE$3520,Sales_Data!$C$2:$C$3520,$A51,Sales_Data!$F$2:$F$3520,Q$7)))</f>
        <v>0</v>
      </c>
      <c r="R51" s="26" t="n">
        <f aca="false">IF(R$7="","",CHOOSE(MATCH($B$4,Lists!$C$2:$C$5,0),SUMIFS(Sales_Data!$O$2:$O$3520,Sales_Data!$C$2:$C$3520,$A51,Sales_Data!$F$2:$F$3520,R$7,Sales_Data!$AE$2:$AE$3520,1),SUMIFS(Sales_Data!$M$2:$M$3520,Sales_Data!$C$2:$C$3520,$A51,Sales_Data!$F$2:$F$3520,R$7,Sales_Data!$AE$2:$AE$3520,1),SUMIFS(Sales_Data!$N$2:$N$3520,Sales_Data!$C$2:$C$3520,$A51,Sales_Data!$F$2:$F$3520,R$7,Sales_Data!$AE$2:$AE$3520,1),SUMIFS(Sales_Data!$AE$2:$AE$3520,Sales_Data!$C$2:$C$3520,$A51,Sales_Data!$F$2:$F$3520,R$7)))</f>
        <v>0</v>
      </c>
      <c r="S51" s="26" t="n">
        <f aca="false">IF(S$7="","",CHOOSE(MATCH($B$4,Lists!$C$2:$C$5,0),SUMIFS(Sales_Data!$O$2:$O$3520,Sales_Data!$C$2:$C$3520,$A51,Sales_Data!$F$2:$F$3520,S$7,Sales_Data!$AE$2:$AE$3520,1),SUMIFS(Sales_Data!$M$2:$M$3520,Sales_Data!$C$2:$C$3520,$A51,Sales_Data!$F$2:$F$3520,S$7,Sales_Data!$AE$2:$AE$3520,1),SUMIFS(Sales_Data!$N$2:$N$3520,Sales_Data!$C$2:$C$3520,$A51,Sales_Data!$F$2:$F$3520,S$7,Sales_Data!$AE$2:$AE$3520,1),SUMIFS(Sales_Data!$AE$2:$AE$3520,Sales_Data!$C$2:$C$3520,$A51,Sales_Data!$F$2:$F$3520,S$7)))</f>
        <v>0</v>
      </c>
      <c r="T51" s="26" t="str">
        <f aca="false">IF(T$7="","",CHOOSE(MATCH($B$4,Lists!$C$2:$C$5,0),SUMIFS(Sales_Data!$O$2:$O$3520,Sales_Data!$C$2:$C$3520,$A51,Sales_Data!$F$2:$F$3520,T$7,Sales_Data!$AE$2:$AE$3520,1),SUMIFS(Sales_Data!$M$2:$M$3520,Sales_Data!$C$2:$C$3520,$A51,Sales_Data!$F$2:$F$3520,T$7,Sales_Data!$AE$2:$AE$3520,1),SUMIFS(Sales_Data!$N$2:$N$3520,Sales_Data!$C$2:$C$3520,$A51,Sales_Data!$F$2:$F$3520,T$7,Sales_Data!$AE$2:$AE$3520,1),SUMIFS(Sales_Data!$AE$2:$AE$3520,Sales_Data!$C$2:$C$3520,$A51,Sales_Data!$F$2:$F$3520,T$7)))</f>
        <v/>
      </c>
      <c r="U51" s="26" t="str">
        <f aca="false">IF(U$7="","",CHOOSE(MATCH($B$4,Lists!$C$2:$C$5,0),SUMIFS(Sales_Data!$O$2:$O$3520,Sales_Data!$C$2:$C$3520,$A51,Sales_Data!$F$2:$F$3520,U$7,Sales_Data!$AE$2:$AE$3520,1),SUMIFS(Sales_Data!$M$2:$M$3520,Sales_Data!$C$2:$C$3520,$A51,Sales_Data!$F$2:$F$3520,U$7,Sales_Data!$AE$2:$AE$3520,1),SUMIFS(Sales_Data!$N$2:$N$3520,Sales_Data!$C$2:$C$3520,$A51,Sales_Data!$F$2:$F$3520,U$7,Sales_Data!$AE$2:$AE$3520,1),SUMIFS(Sales_Data!$AE$2:$AE$3520,Sales_Data!$C$2:$C$3520,$A51,Sales_Data!$F$2:$F$3520,U$7)))</f>
        <v/>
      </c>
      <c r="V51" s="26" t="str">
        <f aca="false">IF(V$7="","",CHOOSE(MATCH($B$4,Lists!$C$2:$C$5,0),SUMIFS(Sales_Data!$O$2:$O$3520,Sales_Data!$C$2:$C$3520,$A51,Sales_Data!$F$2:$F$3520,V$7,Sales_Data!$AE$2:$AE$3520,1),SUMIFS(Sales_Data!$M$2:$M$3520,Sales_Data!$C$2:$C$3520,$A51,Sales_Data!$F$2:$F$3520,V$7,Sales_Data!$AE$2:$AE$3520,1),SUMIFS(Sales_Data!$N$2:$N$3520,Sales_Data!$C$2:$C$3520,$A51,Sales_Data!$F$2:$F$3520,V$7,Sales_Data!$AE$2:$AE$3520,1),SUMIFS(Sales_Data!$AE$2:$AE$3520,Sales_Data!$C$2:$C$3520,$A51,Sales_Data!$F$2:$F$3520,V$7)))</f>
        <v/>
      </c>
      <c r="W51" s="26" t="str">
        <f aca="false">IF(W$7="","",CHOOSE(MATCH($B$4,Lists!$C$2:$C$5,0),SUMIFS(Sales_Data!$O$2:$O$3520,Sales_Data!$C$2:$C$3520,$A51,Sales_Data!$F$2:$F$3520,W$7,Sales_Data!$AE$2:$AE$3520,1),SUMIFS(Sales_Data!$M$2:$M$3520,Sales_Data!$C$2:$C$3520,$A51,Sales_Data!$F$2:$F$3520,W$7,Sales_Data!$AE$2:$AE$3520,1),SUMIFS(Sales_Data!$N$2:$N$3520,Sales_Data!$C$2:$C$3520,$A51,Sales_Data!$F$2:$F$3520,W$7,Sales_Data!$AE$2:$AE$3520,1),SUMIFS(Sales_Data!$AE$2:$AE$3520,Sales_Data!$C$2:$C$3520,$A51,Sales_Data!$F$2:$F$3520,W$7)))</f>
        <v/>
      </c>
      <c r="X51" s="26" t="str">
        <f aca="false">IF(X$7="","",CHOOSE(MATCH($B$4,Lists!$C$2:$C$5,0),SUMIFS(Sales_Data!$O$2:$O$3520,Sales_Data!$C$2:$C$3520,$A51,Sales_Data!$F$2:$F$3520,X$7,Sales_Data!$AE$2:$AE$3520,1),SUMIFS(Sales_Data!$M$2:$M$3520,Sales_Data!$C$2:$C$3520,$A51,Sales_Data!$F$2:$F$3520,X$7,Sales_Data!$AE$2:$AE$3520,1),SUMIFS(Sales_Data!$N$2:$N$3520,Sales_Data!$C$2:$C$3520,$A51,Sales_Data!$F$2:$F$3520,X$7,Sales_Data!$AE$2:$AE$3520,1),SUMIFS(Sales_Data!$AE$2:$AE$3520,Sales_Data!$C$2:$C$3520,$A51,Sales_Data!$F$2:$F$3520,X$7)))</f>
        <v/>
      </c>
      <c r="Y51" s="26" t="str">
        <f aca="false">IF(Y$7="","",CHOOSE(MATCH($B$4,Lists!$C$2:$C$5,0),SUMIFS(Sales_Data!$O$2:$O$3520,Sales_Data!$C$2:$C$3520,$A51,Sales_Data!$F$2:$F$3520,Y$7,Sales_Data!$AE$2:$AE$3520,1),SUMIFS(Sales_Data!$M$2:$M$3520,Sales_Data!$C$2:$C$3520,$A51,Sales_Data!$F$2:$F$3520,Y$7,Sales_Data!$AE$2:$AE$3520,1),SUMIFS(Sales_Data!$N$2:$N$3520,Sales_Data!$C$2:$C$3520,$A51,Sales_Data!$F$2:$F$3520,Y$7,Sales_Data!$AE$2:$AE$3520,1),SUMIFS(Sales_Data!$AE$2:$AE$3520,Sales_Data!$C$2:$C$3520,$A51,Sales_Data!$F$2:$F$3520,Y$7)))</f>
        <v/>
      </c>
      <c r="Z51" s="26" t="str">
        <f aca="false">IF(Z$7="","",CHOOSE(MATCH($B$4,Lists!$C$2:$C$5,0),SUMIFS(Sales_Data!$O$2:$O$3520,Sales_Data!$C$2:$C$3520,$A51,Sales_Data!$F$2:$F$3520,Z$7,Sales_Data!$AE$2:$AE$3520,1),SUMIFS(Sales_Data!$M$2:$M$3520,Sales_Data!$C$2:$C$3520,$A51,Sales_Data!$F$2:$F$3520,Z$7,Sales_Data!$AE$2:$AE$3520,1),SUMIFS(Sales_Data!$N$2:$N$3520,Sales_Data!$C$2:$C$3520,$A51,Sales_Data!$F$2:$F$3520,Z$7,Sales_Data!$AE$2:$AE$3520,1),SUMIFS(Sales_Data!$AE$2:$AE$3520,Sales_Data!$C$2:$C$3520,$A51,Sales_Data!$F$2:$F$3520,Z$7)))</f>
        <v/>
      </c>
      <c r="AA51" s="27" t="n">
        <f aca="false">SUM(B51:Z51)</f>
        <v>0</v>
      </c>
      <c r="AB51" s="3"/>
      <c r="AC51" s="72" t="n">
        <f aca="false">A51</f>
        <v>46258</v>
      </c>
      <c r="AD51" s="28" t="n">
        <f aca="false">IF(B51="","",B51-B50)</f>
        <v>0</v>
      </c>
      <c r="AE51" s="28" t="n">
        <f aca="false">IF(C51="","",C51-C50)</f>
        <v>0</v>
      </c>
      <c r="AF51" s="28" t="n">
        <f aca="false">IF(D51="","",D51-D50)</f>
        <v>0</v>
      </c>
      <c r="AG51" s="28" t="n">
        <f aca="false">IF(E51="","",E51-E50)</f>
        <v>0</v>
      </c>
      <c r="AH51" s="28" t="n">
        <f aca="false">IF(F51="","",F51-F50)</f>
        <v>0</v>
      </c>
      <c r="AI51" s="28" t="n">
        <f aca="false">IF(G51="","",G51-G50)</f>
        <v>0</v>
      </c>
      <c r="AJ51" s="28" t="n">
        <f aca="false">IF(H51="","",H51-H50)</f>
        <v>0</v>
      </c>
      <c r="AK51" s="28" t="n">
        <f aca="false">IF(I51="","",I51-I50)</f>
        <v>0</v>
      </c>
      <c r="AL51" s="28" t="n">
        <f aca="false">IF(J51="","",J51-J50)</f>
        <v>0</v>
      </c>
      <c r="AM51" s="28" t="n">
        <f aca="false">IF(K51="","",K51-K50)</f>
        <v>0</v>
      </c>
      <c r="AN51" s="28" t="n">
        <f aca="false">IF(L51="","",L51-L50)</f>
        <v>0</v>
      </c>
      <c r="AO51" s="28" t="n">
        <f aca="false">IF(M51="","",M51-M50)</f>
        <v>0</v>
      </c>
      <c r="AP51" s="28" t="n">
        <f aca="false">IF(N51="","",N51-N50)</f>
        <v>0</v>
      </c>
      <c r="AQ51" s="28" t="n">
        <f aca="false">IF(O51="","",O51-O50)</f>
        <v>0</v>
      </c>
      <c r="AR51" s="28" t="n">
        <f aca="false">IF(P51="","",P51-P50)</f>
        <v>0</v>
      </c>
      <c r="AS51" s="28" t="n">
        <f aca="false">IF(Q51="","",Q51-Q50)</f>
        <v>0</v>
      </c>
      <c r="AT51" s="28" t="n">
        <f aca="false">IF(R51="","",R51-R50)</f>
        <v>0</v>
      </c>
      <c r="AU51" s="28" t="n">
        <f aca="false">IF(S51="","",S51-S50)</f>
        <v>0</v>
      </c>
      <c r="AV51" s="28" t="str">
        <f aca="false">IF(T51="","",T51-T50)</f>
        <v/>
      </c>
      <c r="AW51" s="28" t="str">
        <f aca="false">IF(U51="","",U51-U50)</f>
        <v/>
      </c>
      <c r="AX51" s="28" t="str">
        <f aca="false">IF(V51="","",V51-V50)</f>
        <v/>
      </c>
      <c r="AY51" s="28" t="str">
        <f aca="false">IF(W51="","",W51-W50)</f>
        <v/>
      </c>
      <c r="AZ51" s="28" t="str">
        <f aca="false">IF(X51="","",X51-X50)</f>
        <v/>
      </c>
      <c r="BA51" s="28" t="str">
        <f aca="false">IF(Y51="","",Y51-Y50)</f>
        <v/>
      </c>
      <c r="BB51" s="28" t="str">
        <f aca="false">IF(Z51="","",Z51-Z50)</f>
        <v/>
      </c>
      <c r="BC51" s="28" t="n">
        <f aca="false">IF(AA51="","",AA51-AA50)</f>
        <v>0</v>
      </c>
    </row>
    <row r="52" customFormat="false" ht="15" hidden="false" customHeight="false" outlineLevel="0" collapsed="false">
      <c r="A52" s="72" t="n">
        <v>46259</v>
      </c>
      <c r="B52" s="26" t="n">
        <f aca="false">IF(B$7="","",CHOOSE(MATCH($B$4,Lists!$C$2:$C$5,0),SUMIFS(Sales_Data!$O$2:$O$3520,Sales_Data!$C$2:$C$3520,$A52,Sales_Data!$F$2:$F$3520,B$7,Sales_Data!$AE$2:$AE$3520,1),SUMIFS(Sales_Data!$M$2:$M$3520,Sales_Data!$C$2:$C$3520,$A52,Sales_Data!$F$2:$F$3520,B$7,Sales_Data!$AE$2:$AE$3520,1),SUMIFS(Sales_Data!$N$2:$N$3520,Sales_Data!$C$2:$C$3520,$A52,Sales_Data!$F$2:$F$3520,B$7,Sales_Data!$AE$2:$AE$3520,1),SUMIFS(Sales_Data!$AE$2:$AE$3520,Sales_Data!$C$2:$C$3520,$A52,Sales_Data!$F$2:$F$3520,B$7)))</f>
        <v>0</v>
      </c>
      <c r="C52" s="26" t="n">
        <f aca="false">IF(C$7="","",CHOOSE(MATCH($B$4,Lists!$C$2:$C$5,0),SUMIFS(Sales_Data!$O$2:$O$3520,Sales_Data!$C$2:$C$3520,$A52,Sales_Data!$F$2:$F$3520,C$7,Sales_Data!$AE$2:$AE$3520,1),SUMIFS(Sales_Data!$M$2:$M$3520,Sales_Data!$C$2:$C$3520,$A52,Sales_Data!$F$2:$F$3520,C$7,Sales_Data!$AE$2:$AE$3520,1),SUMIFS(Sales_Data!$N$2:$N$3520,Sales_Data!$C$2:$C$3520,$A52,Sales_Data!$F$2:$F$3520,C$7,Sales_Data!$AE$2:$AE$3520,1),SUMIFS(Sales_Data!$AE$2:$AE$3520,Sales_Data!$C$2:$C$3520,$A52,Sales_Data!$F$2:$F$3520,C$7)))</f>
        <v>0</v>
      </c>
      <c r="D52" s="26" t="n">
        <f aca="false">IF(D$7="","",CHOOSE(MATCH($B$4,Lists!$C$2:$C$5,0),SUMIFS(Sales_Data!$O$2:$O$3520,Sales_Data!$C$2:$C$3520,$A52,Sales_Data!$F$2:$F$3520,D$7,Sales_Data!$AE$2:$AE$3520,1),SUMIFS(Sales_Data!$M$2:$M$3520,Sales_Data!$C$2:$C$3520,$A52,Sales_Data!$F$2:$F$3520,D$7,Sales_Data!$AE$2:$AE$3520,1),SUMIFS(Sales_Data!$N$2:$N$3520,Sales_Data!$C$2:$C$3520,$A52,Sales_Data!$F$2:$F$3520,D$7,Sales_Data!$AE$2:$AE$3520,1),SUMIFS(Sales_Data!$AE$2:$AE$3520,Sales_Data!$C$2:$C$3520,$A52,Sales_Data!$F$2:$F$3520,D$7)))</f>
        <v>0</v>
      </c>
      <c r="E52" s="26" t="n">
        <f aca="false">IF(E$7="","",CHOOSE(MATCH($B$4,Lists!$C$2:$C$5,0),SUMIFS(Sales_Data!$O$2:$O$3520,Sales_Data!$C$2:$C$3520,$A52,Sales_Data!$F$2:$F$3520,E$7,Sales_Data!$AE$2:$AE$3520,1),SUMIFS(Sales_Data!$M$2:$M$3520,Sales_Data!$C$2:$C$3520,$A52,Sales_Data!$F$2:$F$3520,E$7,Sales_Data!$AE$2:$AE$3520,1),SUMIFS(Sales_Data!$N$2:$N$3520,Sales_Data!$C$2:$C$3520,$A52,Sales_Data!$F$2:$F$3520,E$7,Sales_Data!$AE$2:$AE$3520,1),SUMIFS(Sales_Data!$AE$2:$AE$3520,Sales_Data!$C$2:$C$3520,$A52,Sales_Data!$F$2:$F$3520,E$7)))</f>
        <v>0</v>
      </c>
      <c r="F52" s="26" t="n">
        <f aca="false">IF(F$7="","",CHOOSE(MATCH($B$4,Lists!$C$2:$C$5,0),SUMIFS(Sales_Data!$O$2:$O$3520,Sales_Data!$C$2:$C$3520,$A52,Sales_Data!$F$2:$F$3520,F$7,Sales_Data!$AE$2:$AE$3520,1),SUMIFS(Sales_Data!$M$2:$M$3520,Sales_Data!$C$2:$C$3520,$A52,Sales_Data!$F$2:$F$3520,F$7,Sales_Data!$AE$2:$AE$3520,1),SUMIFS(Sales_Data!$N$2:$N$3520,Sales_Data!$C$2:$C$3520,$A52,Sales_Data!$F$2:$F$3520,F$7,Sales_Data!$AE$2:$AE$3520,1),SUMIFS(Sales_Data!$AE$2:$AE$3520,Sales_Data!$C$2:$C$3520,$A52,Sales_Data!$F$2:$F$3520,F$7)))</f>
        <v>0</v>
      </c>
      <c r="G52" s="26" t="n">
        <f aca="false">IF(G$7="","",CHOOSE(MATCH($B$4,Lists!$C$2:$C$5,0),SUMIFS(Sales_Data!$O$2:$O$3520,Sales_Data!$C$2:$C$3520,$A52,Sales_Data!$F$2:$F$3520,G$7,Sales_Data!$AE$2:$AE$3520,1),SUMIFS(Sales_Data!$M$2:$M$3520,Sales_Data!$C$2:$C$3520,$A52,Sales_Data!$F$2:$F$3520,G$7,Sales_Data!$AE$2:$AE$3520,1),SUMIFS(Sales_Data!$N$2:$N$3520,Sales_Data!$C$2:$C$3520,$A52,Sales_Data!$F$2:$F$3520,G$7,Sales_Data!$AE$2:$AE$3520,1),SUMIFS(Sales_Data!$AE$2:$AE$3520,Sales_Data!$C$2:$C$3520,$A52,Sales_Data!$F$2:$F$3520,G$7)))</f>
        <v>0</v>
      </c>
      <c r="H52" s="26" t="n">
        <f aca="false">IF(H$7="","",CHOOSE(MATCH($B$4,Lists!$C$2:$C$5,0),SUMIFS(Sales_Data!$O$2:$O$3520,Sales_Data!$C$2:$C$3520,$A52,Sales_Data!$F$2:$F$3520,H$7,Sales_Data!$AE$2:$AE$3520,1),SUMIFS(Sales_Data!$M$2:$M$3520,Sales_Data!$C$2:$C$3520,$A52,Sales_Data!$F$2:$F$3520,H$7,Sales_Data!$AE$2:$AE$3520,1),SUMIFS(Sales_Data!$N$2:$N$3520,Sales_Data!$C$2:$C$3520,$A52,Sales_Data!$F$2:$F$3520,H$7,Sales_Data!$AE$2:$AE$3520,1),SUMIFS(Sales_Data!$AE$2:$AE$3520,Sales_Data!$C$2:$C$3520,$A52,Sales_Data!$F$2:$F$3520,H$7)))</f>
        <v>0</v>
      </c>
      <c r="I52" s="26" t="n">
        <f aca="false">IF(I$7="","",CHOOSE(MATCH($B$4,Lists!$C$2:$C$5,0),SUMIFS(Sales_Data!$O$2:$O$3520,Sales_Data!$C$2:$C$3520,$A52,Sales_Data!$F$2:$F$3520,I$7,Sales_Data!$AE$2:$AE$3520,1),SUMIFS(Sales_Data!$M$2:$M$3520,Sales_Data!$C$2:$C$3520,$A52,Sales_Data!$F$2:$F$3520,I$7,Sales_Data!$AE$2:$AE$3520,1),SUMIFS(Sales_Data!$N$2:$N$3520,Sales_Data!$C$2:$C$3520,$A52,Sales_Data!$F$2:$F$3520,I$7,Sales_Data!$AE$2:$AE$3520,1),SUMIFS(Sales_Data!$AE$2:$AE$3520,Sales_Data!$C$2:$C$3520,$A52,Sales_Data!$F$2:$F$3520,I$7)))</f>
        <v>0</v>
      </c>
      <c r="J52" s="26" t="n">
        <f aca="false">IF(J$7="","",CHOOSE(MATCH($B$4,Lists!$C$2:$C$5,0),SUMIFS(Sales_Data!$O$2:$O$3520,Sales_Data!$C$2:$C$3520,$A52,Sales_Data!$F$2:$F$3520,J$7,Sales_Data!$AE$2:$AE$3520,1),SUMIFS(Sales_Data!$M$2:$M$3520,Sales_Data!$C$2:$C$3520,$A52,Sales_Data!$F$2:$F$3520,J$7,Sales_Data!$AE$2:$AE$3520,1),SUMIFS(Sales_Data!$N$2:$N$3520,Sales_Data!$C$2:$C$3520,$A52,Sales_Data!$F$2:$F$3520,J$7,Sales_Data!$AE$2:$AE$3520,1),SUMIFS(Sales_Data!$AE$2:$AE$3520,Sales_Data!$C$2:$C$3520,$A52,Sales_Data!$F$2:$F$3520,J$7)))</f>
        <v>0</v>
      </c>
      <c r="K52" s="26" t="n">
        <f aca="false">IF(K$7="","",CHOOSE(MATCH($B$4,Lists!$C$2:$C$5,0),SUMIFS(Sales_Data!$O$2:$O$3520,Sales_Data!$C$2:$C$3520,$A52,Sales_Data!$F$2:$F$3520,K$7,Sales_Data!$AE$2:$AE$3520,1),SUMIFS(Sales_Data!$M$2:$M$3520,Sales_Data!$C$2:$C$3520,$A52,Sales_Data!$F$2:$F$3520,K$7,Sales_Data!$AE$2:$AE$3520,1),SUMIFS(Sales_Data!$N$2:$N$3520,Sales_Data!$C$2:$C$3520,$A52,Sales_Data!$F$2:$F$3520,K$7,Sales_Data!$AE$2:$AE$3520,1),SUMIFS(Sales_Data!$AE$2:$AE$3520,Sales_Data!$C$2:$C$3520,$A52,Sales_Data!$F$2:$F$3520,K$7)))</f>
        <v>0</v>
      </c>
      <c r="L52" s="26" t="n">
        <f aca="false">IF(L$7="","",CHOOSE(MATCH($B$4,Lists!$C$2:$C$5,0),SUMIFS(Sales_Data!$O$2:$O$3520,Sales_Data!$C$2:$C$3520,$A52,Sales_Data!$F$2:$F$3520,L$7,Sales_Data!$AE$2:$AE$3520,1),SUMIFS(Sales_Data!$M$2:$M$3520,Sales_Data!$C$2:$C$3520,$A52,Sales_Data!$F$2:$F$3520,L$7,Sales_Data!$AE$2:$AE$3520,1),SUMIFS(Sales_Data!$N$2:$N$3520,Sales_Data!$C$2:$C$3520,$A52,Sales_Data!$F$2:$F$3520,L$7,Sales_Data!$AE$2:$AE$3520,1),SUMIFS(Sales_Data!$AE$2:$AE$3520,Sales_Data!$C$2:$C$3520,$A52,Sales_Data!$F$2:$F$3520,L$7)))</f>
        <v>0</v>
      </c>
      <c r="M52" s="26" t="n">
        <f aca="false">IF(M$7="","",CHOOSE(MATCH($B$4,Lists!$C$2:$C$5,0),SUMIFS(Sales_Data!$O$2:$O$3520,Sales_Data!$C$2:$C$3520,$A52,Sales_Data!$F$2:$F$3520,M$7,Sales_Data!$AE$2:$AE$3520,1),SUMIFS(Sales_Data!$M$2:$M$3520,Sales_Data!$C$2:$C$3520,$A52,Sales_Data!$F$2:$F$3520,M$7,Sales_Data!$AE$2:$AE$3520,1),SUMIFS(Sales_Data!$N$2:$N$3520,Sales_Data!$C$2:$C$3520,$A52,Sales_Data!$F$2:$F$3520,M$7,Sales_Data!$AE$2:$AE$3520,1),SUMIFS(Sales_Data!$AE$2:$AE$3520,Sales_Data!$C$2:$C$3520,$A52,Sales_Data!$F$2:$F$3520,M$7)))</f>
        <v>0</v>
      </c>
      <c r="N52" s="26" t="n">
        <f aca="false">IF(N$7="","",CHOOSE(MATCH($B$4,Lists!$C$2:$C$5,0),SUMIFS(Sales_Data!$O$2:$O$3520,Sales_Data!$C$2:$C$3520,$A52,Sales_Data!$F$2:$F$3520,N$7,Sales_Data!$AE$2:$AE$3520,1),SUMIFS(Sales_Data!$M$2:$M$3520,Sales_Data!$C$2:$C$3520,$A52,Sales_Data!$F$2:$F$3520,N$7,Sales_Data!$AE$2:$AE$3520,1),SUMIFS(Sales_Data!$N$2:$N$3520,Sales_Data!$C$2:$C$3520,$A52,Sales_Data!$F$2:$F$3520,N$7,Sales_Data!$AE$2:$AE$3520,1),SUMIFS(Sales_Data!$AE$2:$AE$3520,Sales_Data!$C$2:$C$3520,$A52,Sales_Data!$F$2:$F$3520,N$7)))</f>
        <v>0</v>
      </c>
      <c r="O52" s="26" t="n">
        <f aca="false">IF(O$7="","",CHOOSE(MATCH($B$4,Lists!$C$2:$C$5,0),SUMIFS(Sales_Data!$O$2:$O$3520,Sales_Data!$C$2:$C$3520,$A52,Sales_Data!$F$2:$F$3520,O$7,Sales_Data!$AE$2:$AE$3520,1),SUMIFS(Sales_Data!$M$2:$M$3520,Sales_Data!$C$2:$C$3520,$A52,Sales_Data!$F$2:$F$3520,O$7,Sales_Data!$AE$2:$AE$3520,1),SUMIFS(Sales_Data!$N$2:$N$3520,Sales_Data!$C$2:$C$3520,$A52,Sales_Data!$F$2:$F$3520,O$7,Sales_Data!$AE$2:$AE$3520,1),SUMIFS(Sales_Data!$AE$2:$AE$3520,Sales_Data!$C$2:$C$3520,$A52,Sales_Data!$F$2:$F$3520,O$7)))</f>
        <v>0</v>
      </c>
      <c r="P52" s="26" t="n">
        <f aca="false">IF(P$7="","",CHOOSE(MATCH($B$4,Lists!$C$2:$C$5,0),SUMIFS(Sales_Data!$O$2:$O$3520,Sales_Data!$C$2:$C$3520,$A52,Sales_Data!$F$2:$F$3520,P$7,Sales_Data!$AE$2:$AE$3520,1),SUMIFS(Sales_Data!$M$2:$M$3520,Sales_Data!$C$2:$C$3520,$A52,Sales_Data!$F$2:$F$3520,P$7,Sales_Data!$AE$2:$AE$3520,1),SUMIFS(Sales_Data!$N$2:$N$3520,Sales_Data!$C$2:$C$3520,$A52,Sales_Data!$F$2:$F$3520,P$7,Sales_Data!$AE$2:$AE$3520,1),SUMIFS(Sales_Data!$AE$2:$AE$3520,Sales_Data!$C$2:$C$3520,$A52,Sales_Data!$F$2:$F$3520,P$7)))</f>
        <v>0</v>
      </c>
      <c r="Q52" s="26" t="n">
        <f aca="false">IF(Q$7="","",CHOOSE(MATCH($B$4,Lists!$C$2:$C$5,0),SUMIFS(Sales_Data!$O$2:$O$3520,Sales_Data!$C$2:$C$3520,$A52,Sales_Data!$F$2:$F$3520,Q$7,Sales_Data!$AE$2:$AE$3520,1),SUMIFS(Sales_Data!$M$2:$M$3520,Sales_Data!$C$2:$C$3520,$A52,Sales_Data!$F$2:$F$3520,Q$7,Sales_Data!$AE$2:$AE$3520,1),SUMIFS(Sales_Data!$N$2:$N$3520,Sales_Data!$C$2:$C$3520,$A52,Sales_Data!$F$2:$F$3520,Q$7,Sales_Data!$AE$2:$AE$3520,1),SUMIFS(Sales_Data!$AE$2:$AE$3520,Sales_Data!$C$2:$C$3520,$A52,Sales_Data!$F$2:$F$3520,Q$7)))</f>
        <v>0</v>
      </c>
      <c r="R52" s="26" t="n">
        <f aca="false">IF(R$7="","",CHOOSE(MATCH($B$4,Lists!$C$2:$C$5,0),SUMIFS(Sales_Data!$O$2:$O$3520,Sales_Data!$C$2:$C$3520,$A52,Sales_Data!$F$2:$F$3520,R$7,Sales_Data!$AE$2:$AE$3520,1),SUMIFS(Sales_Data!$M$2:$M$3520,Sales_Data!$C$2:$C$3520,$A52,Sales_Data!$F$2:$F$3520,R$7,Sales_Data!$AE$2:$AE$3520,1),SUMIFS(Sales_Data!$N$2:$N$3520,Sales_Data!$C$2:$C$3520,$A52,Sales_Data!$F$2:$F$3520,R$7,Sales_Data!$AE$2:$AE$3520,1),SUMIFS(Sales_Data!$AE$2:$AE$3520,Sales_Data!$C$2:$C$3520,$A52,Sales_Data!$F$2:$F$3520,R$7)))</f>
        <v>0</v>
      </c>
      <c r="S52" s="26" t="n">
        <f aca="false">IF(S$7="","",CHOOSE(MATCH($B$4,Lists!$C$2:$C$5,0),SUMIFS(Sales_Data!$O$2:$O$3520,Sales_Data!$C$2:$C$3520,$A52,Sales_Data!$F$2:$F$3520,S$7,Sales_Data!$AE$2:$AE$3520,1),SUMIFS(Sales_Data!$M$2:$M$3520,Sales_Data!$C$2:$C$3520,$A52,Sales_Data!$F$2:$F$3520,S$7,Sales_Data!$AE$2:$AE$3520,1),SUMIFS(Sales_Data!$N$2:$N$3520,Sales_Data!$C$2:$C$3520,$A52,Sales_Data!$F$2:$F$3520,S$7,Sales_Data!$AE$2:$AE$3520,1),SUMIFS(Sales_Data!$AE$2:$AE$3520,Sales_Data!$C$2:$C$3520,$A52,Sales_Data!$F$2:$F$3520,S$7)))</f>
        <v>0</v>
      </c>
      <c r="T52" s="26" t="str">
        <f aca="false">IF(T$7="","",CHOOSE(MATCH($B$4,Lists!$C$2:$C$5,0),SUMIFS(Sales_Data!$O$2:$O$3520,Sales_Data!$C$2:$C$3520,$A52,Sales_Data!$F$2:$F$3520,T$7,Sales_Data!$AE$2:$AE$3520,1),SUMIFS(Sales_Data!$M$2:$M$3520,Sales_Data!$C$2:$C$3520,$A52,Sales_Data!$F$2:$F$3520,T$7,Sales_Data!$AE$2:$AE$3520,1),SUMIFS(Sales_Data!$N$2:$N$3520,Sales_Data!$C$2:$C$3520,$A52,Sales_Data!$F$2:$F$3520,T$7,Sales_Data!$AE$2:$AE$3520,1),SUMIFS(Sales_Data!$AE$2:$AE$3520,Sales_Data!$C$2:$C$3520,$A52,Sales_Data!$F$2:$F$3520,T$7)))</f>
        <v/>
      </c>
      <c r="U52" s="26" t="str">
        <f aca="false">IF(U$7="","",CHOOSE(MATCH($B$4,Lists!$C$2:$C$5,0),SUMIFS(Sales_Data!$O$2:$O$3520,Sales_Data!$C$2:$C$3520,$A52,Sales_Data!$F$2:$F$3520,U$7,Sales_Data!$AE$2:$AE$3520,1),SUMIFS(Sales_Data!$M$2:$M$3520,Sales_Data!$C$2:$C$3520,$A52,Sales_Data!$F$2:$F$3520,U$7,Sales_Data!$AE$2:$AE$3520,1),SUMIFS(Sales_Data!$N$2:$N$3520,Sales_Data!$C$2:$C$3520,$A52,Sales_Data!$F$2:$F$3520,U$7,Sales_Data!$AE$2:$AE$3520,1),SUMIFS(Sales_Data!$AE$2:$AE$3520,Sales_Data!$C$2:$C$3520,$A52,Sales_Data!$F$2:$F$3520,U$7)))</f>
        <v/>
      </c>
      <c r="V52" s="26" t="str">
        <f aca="false">IF(V$7="","",CHOOSE(MATCH($B$4,Lists!$C$2:$C$5,0),SUMIFS(Sales_Data!$O$2:$O$3520,Sales_Data!$C$2:$C$3520,$A52,Sales_Data!$F$2:$F$3520,V$7,Sales_Data!$AE$2:$AE$3520,1),SUMIFS(Sales_Data!$M$2:$M$3520,Sales_Data!$C$2:$C$3520,$A52,Sales_Data!$F$2:$F$3520,V$7,Sales_Data!$AE$2:$AE$3520,1),SUMIFS(Sales_Data!$N$2:$N$3520,Sales_Data!$C$2:$C$3520,$A52,Sales_Data!$F$2:$F$3520,V$7,Sales_Data!$AE$2:$AE$3520,1),SUMIFS(Sales_Data!$AE$2:$AE$3520,Sales_Data!$C$2:$C$3520,$A52,Sales_Data!$F$2:$F$3520,V$7)))</f>
        <v/>
      </c>
      <c r="W52" s="26" t="str">
        <f aca="false">IF(W$7="","",CHOOSE(MATCH($B$4,Lists!$C$2:$C$5,0),SUMIFS(Sales_Data!$O$2:$O$3520,Sales_Data!$C$2:$C$3520,$A52,Sales_Data!$F$2:$F$3520,W$7,Sales_Data!$AE$2:$AE$3520,1),SUMIFS(Sales_Data!$M$2:$M$3520,Sales_Data!$C$2:$C$3520,$A52,Sales_Data!$F$2:$F$3520,W$7,Sales_Data!$AE$2:$AE$3520,1),SUMIFS(Sales_Data!$N$2:$N$3520,Sales_Data!$C$2:$C$3520,$A52,Sales_Data!$F$2:$F$3520,W$7,Sales_Data!$AE$2:$AE$3520,1),SUMIFS(Sales_Data!$AE$2:$AE$3520,Sales_Data!$C$2:$C$3520,$A52,Sales_Data!$F$2:$F$3520,W$7)))</f>
        <v/>
      </c>
      <c r="X52" s="26" t="str">
        <f aca="false">IF(X$7="","",CHOOSE(MATCH($B$4,Lists!$C$2:$C$5,0),SUMIFS(Sales_Data!$O$2:$O$3520,Sales_Data!$C$2:$C$3520,$A52,Sales_Data!$F$2:$F$3520,X$7,Sales_Data!$AE$2:$AE$3520,1),SUMIFS(Sales_Data!$M$2:$M$3520,Sales_Data!$C$2:$C$3520,$A52,Sales_Data!$F$2:$F$3520,X$7,Sales_Data!$AE$2:$AE$3520,1),SUMIFS(Sales_Data!$N$2:$N$3520,Sales_Data!$C$2:$C$3520,$A52,Sales_Data!$F$2:$F$3520,X$7,Sales_Data!$AE$2:$AE$3520,1),SUMIFS(Sales_Data!$AE$2:$AE$3520,Sales_Data!$C$2:$C$3520,$A52,Sales_Data!$F$2:$F$3520,X$7)))</f>
        <v/>
      </c>
      <c r="Y52" s="26" t="str">
        <f aca="false">IF(Y$7="","",CHOOSE(MATCH($B$4,Lists!$C$2:$C$5,0),SUMIFS(Sales_Data!$O$2:$O$3520,Sales_Data!$C$2:$C$3520,$A52,Sales_Data!$F$2:$F$3520,Y$7,Sales_Data!$AE$2:$AE$3520,1),SUMIFS(Sales_Data!$M$2:$M$3520,Sales_Data!$C$2:$C$3520,$A52,Sales_Data!$F$2:$F$3520,Y$7,Sales_Data!$AE$2:$AE$3520,1),SUMIFS(Sales_Data!$N$2:$N$3520,Sales_Data!$C$2:$C$3520,$A52,Sales_Data!$F$2:$F$3520,Y$7,Sales_Data!$AE$2:$AE$3520,1),SUMIFS(Sales_Data!$AE$2:$AE$3520,Sales_Data!$C$2:$C$3520,$A52,Sales_Data!$F$2:$F$3520,Y$7)))</f>
        <v/>
      </c>
      <c r="Z52" s="26" t="str">
        <f aca="false">IF(Z$7="","",CHOOSE(MATCH($B$4,Lists!$C$2:$C$5,0),SUMIFS(Sales_Data!$O$2:$O$3520,Sales_Data!$C$2:$C$3520,$A52,Sales_Data!$F$2:$F$3520,Z$7,Sales_Data!$AE$2:$AE$3520,1),SUMIFS(Sales_Data!$M$2:$M$3520,Sales_Data!$C$2:$C$3520,$A52,Sales_Data!$F$2:$F$3520,Z$7,Sales_Data!$AE$2:$AE$3520,1),SUMIFS(Sales_Data!$N$2:$N$3520,Sales_Data!$C$2:$C$3520,$A52,Sales_Data!$F$2:$F$3520,Z$7,Sales_Data!$AE$2:$AE$3520,1),SUMIFS(Sales_Data!$AE$2:$AE$3520,Sales_Data!$C$2:$C$3520,$A52,Sales_Data!$F$2:$F$3520,Z$7)))</f>
        <v/>
      </c>
      <c r="AA52" s="27" t="n">
        <f aca="false">SUM(B52:Z52)</f>
        <v>0</v>
      </c>
      <c r="AB52" s="3"/>
      <c r="AC52" s="72" t="n">
        <f aca="false">A52</f>
        <v>46259</v>
      </c>
      <c r="AD52" s="28" t="n">
        <f aca="false">IF(B52="","",B52-B51)</f>
        <v>0</v>
      </c>
      <c r="AE52" s="28" t="n">
        <f aca="false">IF(C52="","",C52-C51)</f>
        <v>0</v>
      </c>
      <c r="AF52" s="28" t="n">
        <f aca="false">IF(D52="","",D52-D51)</f>
        <v>0</v>
      </c>
      <c r="AG52" s="28" t="n">
        <f aca="false">IF(E52="","",E52-E51)</f>
        <v>0</v>
      </c>
      <c r="AH52" s="28" t="n">
        <f aca="false">IF(F52="","",F52-F51)</f>
        <v>0</v>
      </c>
      <c r="AI52" s="28" t="n">
        <f aca="false">IF(G52="","",G52-G51)</f>
        <v>0</v>
      </c>
      <c r="AJ52" s="28" t="n">
        <f aca="false">IF(H52="","",H52-H51)</f>
        <v>0</v>
      </c>
      <c r="AK52" s="28" t="n">
        <f aca="false">IF(I52="","",I52-I51)</f>
        <v>0</v>
      </c>
      <c r="AL52" s="28" t="n">
        <f aca="false">IF(J52="","",J52-J51)</f>
        <v>0</v>
      </c>
      <c r="AM52" s="28" t="n">
        <f aca="false">IF(K52="","",K52-K51)</f>
        <v>0</v>
      </c>
      <c r="AN52" s="28" t="n">
        <f aca="false">IF(L52="","",L52-L51)</f>
        <v>0</v>
      </c>
      <c r="AO52" s="28" t="n">
        <f aca="false">IF(M52="","",M52-M51)</f>
        <v>0</v>
      </c>
      <c r="AP52" s="28" t="n">
        <f aca="false">IF(N52="","",N52-N51)</f>
        <v>0</v>
      </c>
      <c r="AQ52" s="28" t="n">
        <f aca="false">IF(O52="","",O52-O51)</f>
        <v>0</v>
      </c>
      <c r="AR52" s="28" t="n">
        <f aca="false">IF(P52="","",P52-P51)</f>
        <v>0</v>
      </c>
      <c r="AS52" s="28" t="n">
        <f aca="false">IF(Q52="","",Q52-Q51)</f>
        <v>0</v>
      </c>
      <c r="AT52" s="28" t="n">
        <f aca="false">IF(R52="","",R52-R51)</f>
        <v>0</v>
      </c>
      <c r="AU52" s="28" t="n">
        <f aca="false">IF(S52="","",S52-S51)</f>
        <v>0</v>
      </c>
      <c r="AV52" s="28" t="str">
        <f aca="false">IF(T52="","",T52-T51)</f>
        <v/>
      </c>
      <c r="AW52" s="28" t="str">
        <f aca="false">IF(U52="","",U52-U51)</f>
        <v/>
      </c>
      <c r="AX52" s="28" t="str">
        <f aca="false">IF(V52="","",V52-V51)</f>
        <v/>
      </c>
      <c r="AY52" s="28" t="str">
        <f aca="false">IF(W52="","",W52-W51)</f>
        <v/>
      </c>
      <c r="AZ52" s="28" t="str">
        <f aca="false">IF(X52="","",X52-X51)</f>
        <v/>
      </c>
      <c r="BA52" s="28" t="str">
        <f aca="false">IF(Y52="","",Y52-Y51)</f>
        <v/>
      </c>
      <c r="BB52" s="28" t="str">
        <f aca="false">IF(Z52="","",Z52-Z51)</f>
        <v/>
      </c>
      <c r="BC52" s="28" t="n">
        <f aca="false">IF(AA52="","",AA52-AA51)</f>
        <v>0</v>
      </c>
    </row>
    <row r="53" customFormat="false" ht="15" hidden="false" customHeight="false" outlineLevel="0" collapsed="false">
      <c r="A53" s="72" t="n">
        <v>46260</v>
      </c>
      <c r="B53" s="26" t="n">
        <f aca="false">IF(B$7="","",CHOOSE(MATCH($B$4,Lists!$C$2:$C$5,0),SUMIFS(Sales_Data!$O$2:$O$3520,Sales_Data!$C$2:$C$3520,$A53,Sales_Data!$F$2:$F$3520,B$7,Sales_Data!$AE$2:$AE$3520,1),SUMIFS(Sales_Data!$M$2:$M$3520,Sales_Data!$C$2:$C$3520,$A53,Sales_Data!$F$2:$F$3520,B$7,Sales_Data!$AE$2:$AE$3520,1),SUMIFS(Sales_Data!$N$2:$N$3520,Sales_Data!$C$2:$C$3520,$A53,Sales_Data!$F$2:$F$3520,B$7,Sales_Data!$AE$2:$AE$3520,1),SUMIFS(Sales_Data!$AE$2:$AE$3520,Sales_Data!$C$2:$C$3520,$A53,Sales_Data!$F$2:$F$3520,B$7)))</f>
        <v>0</v>
      </c>
      <c r="C53" s="26" t="n">
        <f aca="false">IF(C$7="","",CHOOSE(MATCH($B$4,Lists!$C$2:$C$5,0),SUMIFS(Sales_Data!$O$2:$O$3520,Sales_Data!$C$2:$C$3520,$A53,Sales_Data!$F$2:$F$3520,C$7,Sales_Data!$AE$2:$AE$3520,1),SUMIFS(Sales_Data!$M$2:$M$3520,Sales_Data!$C$2:$C$3520,$A53,Sales_Data!$F$2:$F$3520,C$7,Sales_Data!$AE$2:$AE$3520,1),SUMIFS(Sales_Data!$N$2:$N$3520,Sales_Data!$C$2:$C$3520,$A53,Sales_Data!$F$2:$F$3520,C$7,Sales_Data!$AE$2:$AE$3520,1),SUMIFS(Sales_Data!$AE$2:$AE$3520,Sales_Data!$C$2:$C$3520,$A53,Sales_Data!$F$2:$F$3520,C$7)))</f>
        <v>0</v>
      </c>
      <c r="D53" s="26" t="n">
        <f aca="false">IF(D$7="","",CHOOSE(MATCH($B$4,Lists!$C$2:$C$5,0),SUMIFS(Sales_Data!$O$2:$O$3520,Sales_Data!$C$2:$C$3520,$A53,Sales_Data!$F$2:$F$3520,D$7,Sales_Data!$AE$2:$AE$3520,1),SUMIFS(Sales_Data!$M$2:$M$3520,Sales_Data!$C$2:$C$3520,$A53,Sales_Data!$F$2:$F$3520,D$7,Sales_Data!$AE$2:$AE$3520,1),SUMIFS(Sales_Data!$N$2:$N$3520,Sales_Data!$C$2:$C$3520,$A53,Sales_Data!$F$2:$F$3520,D$7,Sales_Data!$AE$2:$AE$3520,1),SUMIFS(Sales_Data!$AE$2:$AE$3520,Sales_Data!$C$2:$C$3520,$A53,Sales_Data!$F$2:$F$3520,D$7)))</f>
        <v>0</v>
      </c>
      <c r="E53" s="26" t="n">
        <f aca="false">IF(E$7="","",CHOOSE(MATCH($B$4,Lists!$C$2:$C$5,0),SUMIFS(Sales_Data!$O$2:$O$3520,Sales_Data!$C$2:$C$3520,$A53,Sales_Data!$F$2:$F$3520,E$7,Sales_Data!$AE$2:$AE$3520,1),SUMIFS(Sales_Data!$M$2:$M$3520,Sales_Data!$C$2:$C$3520,$A53,Sales_Data!$F$2:$F$3520,E$7,Sales_Data!$AE$2:$AE$3520,1),SUMIFS(Sales_Data!$N$2:$N$3520,Sales_Data!$C$2:$C$3520,$A53,Sales_Data!$F$2:$F$3520,E$7,Sales_Data!$AE$2:$AE$3520,1),SUMIFS(Sales_Data!$AE$2:$AE$3520,Sales_Data!$C$2:$C$3520,$A53,Sales_Data!$F$2:$F$3520,E$7)))</f>
        <v>0</v>
      </c>
      <c r="F53" s="26" t="n">
        <f aca="false">IF(F$7="","",CHOOSE(MATCH($B$4,Lists!$C$2:$C$5,0),SUMIFS(Sales_Data!$O$2:$O$3520,Sales_Data!$C$2:$C$3520,$A53,Sales_Data!$F$2:$F$3520,F$7,Sales_Data!$AE$2:$AE$3520,1),SUMIFS(Sales_Data!$M$2:$M$3520,Sales_Data!$C$2:$C$3520,$A53,Sales_Data!$F$2:$F$3520,F$7,Sales_Data!$AE$2:$AE$3520,1),SUMIFS(Sales_Data!$N$2:$N$3520,Sales_Data!$C$2:$C$3520,$A53,Sales_Data!$F$2:$F$3520,F$7,Sales_Data!$AE$2:$AE$3520,1),SUMIFS(Sales_Data!$AE$2:$AE$3520,Sales_Data!$C$2:$C$3520,$A53,Sales_Data!$F$2:$F$3520,F$7)))</f>
        <v>0</v>
      </c>
      <c r="G53" s="26" t="n">
        <f aca="false">IF(G$7="","",CHOOSE(MATCH($B$4,Lists!$C$2:$C$5,0),SUMIFS(Sales_Data!$O$2:$O$3520,Sales_Data!$C$2:$C$3520,$A53,Sales_Data!$F$2:$F$3520,G$7,Sales_Data!$AE$2:$AE$3520,1),SUMIFS(Sales_Data!$M$2:$M$3520,Sales_Data!$C$2:$C$3520,$A53,Sales_Data!$F$2:$F$3520,G$7,Sales_Data!$AE$2:$AE$3520,1),SUMIFS(Sales_Data!$N$2:$N$3520,Sales_Data!$C$2:$C$3520,$A53,Sales_Data!$F$2:$F$3520,G$7,Sales_Data!$AE$2:$AE$3520,1),SUMIFS(Sales_Data!$AE$2:$AE$3520,Sales_Data!$C$2:$C$3520,$A53,Sales_Data!$F$2:$F$3520,G$7)))</f>
        <v>0</v>
      </c>
      <c r="H53" s="26" t="n">
        <f aca="false">IF(H$7="","",CHOOSE(MATCH($B$4,Lists!$C$2:$C$5,0),SUMIFS(Sales_Data!$O$2:$O$3520,Sales_Data!$C$2:$C$3520,$A53,Sales_Data!$F$2:$F$3520,H$7,Sales_Data!$AE$2:$AE$3520,1),SUMIFS(Sales_Data!$M$2:$M$3520,Sales_Data!$C$2:$C$3520,$A53,Sales_Data!$F$2:$F$3520,H$7,Sales_Data!$AE$2:$AE$3520,1),SUMIFS(Sales_Data!$N$2:$N$3520,Sales_Data!$C$2:$C$3520,$A53,Sales_Data!$F$2:$F$3520,H$7,Sales_Data!$AE$2:$AE$3520,1),SUMIFS(Sales_Data!$AE$2:$AE$3520,Sales_Data!$C$2:$C$3520,$A53,Sales_Data!$F$2:$F$3520,H$7)))</f>
        <v>0</v>
      </c>
      <c r="I53" s="26" t="n">
        <f aca="false">IF(I$7="","",CHOOSE(MATCH($B$4,Lists!$C$2:$C$5,0),SUMIFS(Sales_Data!$O$2:$O$3520,Sales_Data!$C$2:$C$3520,$A53,Sales_Data!$F$2:$F$3520,I$7,Sales_Data!$AE$2:$AE$3520,1),SUMIFS(Sales_Data!$M$2:$M$3520,Sales_Data!$C$2:$C$3520,$A53,Sales_Data!$F$2:$F$3520,I$7,Sales_Data!$AE$2:$AE$3520,1),SUMIFS(Sales_Data!$N$2:$N$3520,Sales_Data!$C$2:$C$3520,$A53,Sales_Data!$F$2:$F$3520,I$7,Sales_Data!$AE$2:$AE$3520,1),SUMIFS(Sales_Data!$AE$2:$AE$3520,Sales_Data!$C$2:$C$3520,$A53,Sales_Data!$F$2:$F$3520,I$7)))</f>
        <v>0</v>
      </c>
      <c r="J53" s="26" t="n">
        <f aca="false">IF(J$7="","",CHOOSE(MATCH($B$4,Lists!$C$2:$C$5,0),SUMIFS(Sales_Data!$O$2:$O$3520,Sales_Data!$C$2:$C$3520,$A53,Sales_Data!$F$2:$F$3520,J$7,Sales_Data!$AE$2:$AE$3520,1),SUMIFS(Sales_Data!$M$2:$M$3520,Sales_Data!$C$2:$C$3520,$A53,Sales_Data!$F$2:$F$3520,J$7,Sales_Data!$AE$2:$AE$3520,1),SUMIFS(Sales_Data!$N$2:$N$3520,Sales_Data!$C$2:$C$3520,$A53,Sales_Data!$F$2:$F$3520,J$7,Sales_Data!$AE$2:$AE$3520,1),SUMIFS(Sales_Data!$AE$2:$AE$3520,Sales_Data!$C$2:$C$3520,$A53,Sales_Data!$F$2:$F$3520,J$7)))</f>
        <v>0</v>
      </c>
      <c r="K53" s="26" t="n">
        <f aca="false">IF(K$7="","",CHOOSE(MATCH($B$4,Lists!$C$2:$C$5,0),SUMIFS(Sales_Data!$O$2:$O$3520,Sales_Data!$C$2:$C$3520,$A53,Sales_Data!$F$2:$F$3520,K$7,Sales_Data!$AE$2:$AE$3520,1),SUMIFS(Sales_Data!$M$2:$M$3520,Sales_Data!$C$2:$C$3520,$A53,Sales_Data!$F$2:$F$3520,K$7,Sales_Data!$AE$2:$AE$3520,1),SUMIFS(Sales_Data!$N$2:$N$3520,Sales_Data!$C$2:$C$3520,$A53,Sales_Data!$F$2:$F$3520,K$7,Sales_Data!$AE$2:$AE$3520,1),SUMIFS(Sales_Data!$AE$2:$AE$3520,Sales_Data!$C$2:$C$3520,$A53,Sales_Data!$F$2:$F$3520,K$7)))</f>
        <v>0</v>
      </c>
      <c r="L53" s="26" t="n">
        <f aca="false">IF(L$7="","",CHOOSE(MATCH($B$4,Lists!$C$2:$C$5,0),SUMIFS(Sales_Data!$O$2:$O$3520,Sales_Data!$C$2:$C$3520,$A53,Sales_Data!$F$2:$F$3520,L$7,Sales_Data!$AE$2:$AE$3520,1),SUMIFS(Sales_Data!$M$2:$M$3520,Sales_Data!$C$2:$C$3520,$A53,Sales_Data!$F$2:$F$3520,L$7,Sales_Data!$AE$2:$AE$3520,1),SUMIFS(Sales_Data!$N$2:$N$3520,Sales_Data!$C$2:$C$3520,$A53,Sales_Data!$F$2:$F$3520,L$7,Sales_Data!$AE$2:$AE$3520,1),SUMIFS(Sales_Data!$AE$2:$AE$3520,Sales_Data!$C$2:$C$3520,$A53,Sales_Data!$F$2:$F$3520,L$7)))</f>
        <v>0</v>
      </c>
      <c r="M53" s="26" t="n">
        <f aca="false">IF(M$7="","",CHOOSE(MATCH($B$4,Lists!$C$2:$C$5,0),SUMIFS(Sales_Data!$O$2:$O$3520,Sales_Data!$C$2:$C$3520,$A53,Sales_Data!$F$2:$F$3520,M$7,Sales_Data!$AE$2:$AE$3520,1),SUMIFS(Sales_Data!$M$2:$M$3520,Sales_Data!$C$2:$C$3520,$A53,Sales_Data!$F$2:$F$3520,M$7,Sales_Data!$AE$2:$AE$3520,1),SUMIFS(Sales_Data!$N$2:$N$3520,Sales_Data!$C$2:$C$3520,$A53,Sales_Data!$F$2:$F$3520,M$7,Sales_Data!$AE$2:$AE$3520,1),SUMIFS(Sales_Data!$AE$2:$AE$3520,Sales_Data!$C$2:$C$3520,$A53,Sales_Data!$F$2:$F$3520,M$7)))</f>
        <v>0</v>
      </c>
      <c r="N53" s="26" t="n">
        <f aca="false">IF(N$7="","",CHOOSE(MATCH($B$4,Lists!$C$2:$C$5,0),SUMIFS(Sales_Data!$O$2:$O$3520,Sales_Data!$C$2:$C$3520,$A53,Sales_Data!$F$2:$F$3520,N$7,Sales_Data!$AE$2:$AE$3520,1),SUMIFS(Sales_Data!$M$2:$M$3520,Sales_Data!$C$2:$C$3520,$A53,Sales_Data!$F$2:$F$3520,N$7,Sales_Data!$AE$2:$AE$3520,1),SUMIFS(Sales_Data!$N$2:$N$3520,Sales_Data!$C$2:$C$3520,$A53,Sales_Data!$F$2:$F$3520,N$7,Sales_Data!$AE$2:$AE$3520,1),SUMIFS(Sales_Data!$AE$2:$AE$3520,Sales_Data!$C$2:$C$3520,$A53,Sales_Data!$F$2:$F$3520,N$7)))</f>
        <v>0</v>
      </c>
      <c r="O53" s="26" t="n">
        <f aca="false">IF(O$7="","",CHOOSE(MATCH($B$4,Lists!$C$2:$C$5,0),SUMIFS(Sales_Data!$O$2:$O$3520,Sales_Data!$C$2:$C$3520,$A53,Sales_Data!$F$2:$F$3520,O$7,Sales_Data!$AE$2:$AE$3520,1),SUMIFS(Sales_Data!$M$2:$M$3520,Sales_Data!$C$2:$C$3520,$A53,Sales_Data!$F$2:$F$3520,O$7,Sales_Data!$AE$2:$AE$3520,1),SUMIFS(Sales_Data!$N$2:$N$3520,Sales_Data!$C$2:$C$3520,$A53,Sales_Data!$F$2:$F$3520,O$7,Sales_Data!$AE$2:$AE$3520,1),SUMIFS(Sales_Data!$AE$2:$AE$3520,Sales_Data!$C$2:$C$3520,$A53,Sales_Data!$F$2:$F$3520,O$7)))</f>
        <v>0</v>
      </c>
      <c r="P53" s="26" t="n">
        <f aca="false">IF(P$7="","",CHOOSE(MATCH($B$4,Lists!$C$2:$C$5,0),SUMIFS(Sales_Data!$O$2:$O$3520,Sales_Data!$C$2:$C$3520,$A53,Sales_Data!$F$2:$F$3520,P$7,Sales_Data!$AE$2:$AE$3520,1),SUMIFS(Sales_Data!$M$2:$M$3520,Sales_Data!$C$2:$C$3520,$A53,Sales_Data!$F$2:$F$3520,P$7,Sales_Data!$AE$2:$AE$3520,1),SUMIFS(Sales_Data!$N$2:$N$3520,Sales_Data!$C$2:$C$3520,$A53,Sales_Data!$F$2:$F$3520,P$7,Sales_Data!$AE$2:$AE$3520,1),SUMIFS(Sales_Data!$AE$2:$AE$3520,Sales_Data!$C$2:$C$3520,$A53,Sales_Data!$F$2:$F$3520,P$7)))</f>
        <v>0</v>
      </c>
      <c r="Q53" s="26" t="n">
        <f aca="false">IF(Q$7="","",CHOOSE(MATCH($B$4,Lists!$C$2:$C$5,0),SUMIFS(Sales_Data!$O$2:$O$3520,Sales_Data!$C$2:$C$3520,$A53,Sales_Data!$F$2:$F$3520,Q$7,Sales_Data!$AE$2:$AE$3520,1),SUMIFS(Sales_Data!$M$2:$M$3520,Sales_Data!$C$2:$C$3520,$A53,Sales_Data!$F$2:$F$3520,Q$7,Sales_Data!$AE$2:$AE$3520,1),SUMIFS(Sales_Data!$N$2:$N$3520,Sales_Data!$C$2:$C$3520,$A53,Sales_Data!$F$2:$F$3520,Q$7,Sales_Data!$AE$2:$AE$3520,1),SUMIFS(Sales_Data!$AE$2:$AE$3520,Sales_Data!$C$2:$C$3520,$A53,Sales_Data!$F$2:$F$3520,Q$7)))</f>
        <v>0</v>
      </c>
      <c r="R53" s="26" t="n">
        <f aca="false">IF(R$7="","",CHOOSE(MATCH($B$4,Lists!$C$2:$C$5,0),SUMIFS(Sales_Data!$O$2:$O$3520,Sales_Data!$C$2:$C$3520,$A53,Sales_Data!$F$2:$F$3520,R$7,Sales_Data!$AE$2:$AE$3520,1),SUMIFS(Sales_Data!$M$2:$M$3520,Sales_Data!$C$2:$C$3520,$A53,Sales_Data!$F$2:$F$3520,R$7,Sales_Data!$AE$2:$AE$3520,1),SUMIFS(Sales_Data!$N$2:$N$3520,Sales_Data!$C$2:$C$3520,$A53,Sales_Data!$F$2:$F$3520,R$7,Sales_Data!$AE$2:$AE$3520,1),SUMIFS(Sales_Data!$AE$2:$AE$3520,Sales_Data!$C$2:$C$3520,$A53,Sales_Data!$F$2:$F$3520,R$7)))</f>
        <v>0</v>
      </c>
      <c r="S53" s="26" t="n">
        <f aca="false">IF(S$7="","",CHOOSE(MATCH($B$4,Lists!$C$2:$C$5,0),SUMIFS(Sales_Data!$O$2:$O$3520,Sales_Data!$C$2:$C$3520,$A53,Sales_Data!$F$2:$F$3520,S$7,Sales_Data!$AE$2:$AE$3520,1),SUMIFS(Sales_Data!$M$2:$M$3520,Sales_Data!$C$2:$C$3520,$A53,Sales_Data!$F$2:$F$3520,S$7,Sales_Data!$AE$2:$AE$3520,1),SUMIFS(Sales_Data!$N$2:$N$3520,Sales_Data!$C$2:$C$3520,$A53,Sales_Data!$F$2:$F$3520,S$7,Sales_Data!$AE$2:$AE$3520,1),SUMIFS(Sales_Data!$AE$2:$AE$3520,Sales_Data!$C$2:$C$3520,$A53,Sales_Data!$F$2:$F$3520,S$7)))</f>
        <v>0</v>
      </c>
      <c r="T53" s="26" t="str">
        <f aca="false">IF(T$7="","",CHOOSE(MATCH($B$4,Lists!$C$2:$C$5,0),SUMIFS(Sales_Data!$O$2:$O$3520,Sales_Data!$C$2:$C$3520,$A53,Sales_Data!$F$2:$F$3520,T$7,Sales_Data!$AE$2:$AE$3520,1),SUMIFS(Sales_Data!$M$2:$M$3520,Sales_Data!$C$2:$C$3520,$A53,Sales_Data!$F$2:$F$3520,T$7,Sales_Data!$AE$2:$AE$3520,1),SUMIFS(Sales_Data!$N$2:$N$3520,Sales_Data!$C$2:$C$3520,$A53,Sales_Data!$F$2:$F$3520,T$7,Sales_Data!$AE$2:$AE$3520,1),SUMIFS(Sales_Data!$AE$2:$AE$3520,Sales_Data!$C$2:$C$3520,$A53,Sales_Data!$F$2:$F$3520,T$7)))</f>
        <v/>
      </c>
      <c r="U53" s="26" t="str">
        <f aca="false">IF(U$7="","",CHOOSE(MATCH($B$4,Lists!$C$2:$C$5,0),SUMIFS(Sales_Data!$O$2:$O$3520,Sales_Data!$C$2:$C$3520,$A53,Sales_Data!$F$2:$F$3520,U$7,Sales_Data!$AE$2:$AE$3520,1),SUMIFS(Sales_Data!$M$2:$M$3520,Sales_Data!$C$2:$C$3520,$A53,Sales_Data!$F$2:$F$3520,U$7,Sales_Data!$AE$2:$AE$3520,1),SUMIFS(Sales_Data!$N$2:$N$3520,Sales_Data!$C$2:$C$3520,$A53,Sales_Data!$F$2:$F$3520,U$7,Sales_Data!$AE$2:$AE$3520,1),SUMIFS(Sales_Data!$AE$2:$AE$3520,Sales_Data!$C$2:$C$3520,$A53,Sales_Data!$F$2:$F$3520,U$7)))</f>
        <v/>
      </c>
      <c r="V53" s="26" t="str">
        <f aca="false">IF(V$7="","",CHOOSE(MATCH($B$4,Lists!$C$2:$C$5,0),SUMIFS(Sales_Data!$O$2:$O$3520,Sales_Data!$C$2:$C$3520,$A53,Sales_Data!$F$2:$F$3520,V$7,Sales_Data!$AE$2:$AE$3520,1),SUMIFS(Sales_Data!$M$2:$M$3520,Sales_Data!$C$2:$C$3520,$A53,Sales_Data!$F$2:$F$3520,V$7,Sales_Data!$AE$2:$AE$3520,1),SUMIFS(Sales_Data!$N$2:$N$3520,Sales_Data!$C$2:$C$3520,$A53,Sales_Data!$F$2:$F$3520,V$7,Sales_Data!$AE$2:$AE$3520,1),SUMIFS(Sales_Data!$AE$2:$AE$3520,Sales_Data!$C$2:$C$3520,$A53,Sales_Data!$F$2:$F$3520,V$7)))</f>
        <v/>
      </c>
      <c r="W53" s="26" t="str">
        <f aca="false">IF(W$7="","",CHOOSE(MATCH($B$4,Lists!$C$2:$C$5,0),SUMIFS(Sales_Data!$O$2:$O$3520,Sales_Data!$C$2:$C$3520,$A53,Sales_Data!$F$2:$F$3520,W$7,Sales_Data!$AE$2:$AE$3520,1),SUMIFS(Sales_Data!$M$2:$M$3520,Sales_Data!$C$2:$C$3520,$A53,Sales_Data!$F$2:$F$3520,W$7,Sales_Data!$AE$2:$AE$3520,1),SUMIFS(Sales_Data!$N$2:$N$3520,Sales_Data!$C$2:$C$3520,$A53,Sales_Data!$F$2:$F$3520,W$7,Sales_Data!$AE$2:$AE$3520,1),SUMIFS(Sales_Data!$AE$2:$AE$3520,Sales_Data!$C$2:$C$3520,$A53,Sales_Data!$F$2:$F$3520,W$7)))</f>
        <v/>
      </c>
      <c r="X53" s="26" t="str">
        <f aca="false">IF(X$7="","",CHOOSE(MATCH($B$4,Lists!$C$2:$C$5,0),SUMIFS(Sales_Data!$O$2:$O$3520,Sales_Data!$C$2:$C$3520,$A53,Sales_Data!$F$2:$F$3520,X$7,Sales_Data!$AE$2:$AE$3520,1),SUMIFS(Sales_Data!$M$2:$M$3520,Sales_Data!$C$2:$C$3520,$A53,Sales_Data!$F$2:$F$3520,X$7,Sales_Data!$AE$2:$AE$3520,1),SUMIFS(Sales_Data!$N$2:$N$3520,Sales_Data!$C$2:$C$3520,$A53,Sales_Data!$F$2:$F$3520,X$7,Sales_Data!$AE$2:$AE$3520,1),SUMIFS(Sales_Data!$AE$2:$AE$3520,Sales_Data!$C$2:$C$3520,$A53,Sales_Data!$F$2:$F$3520,X$7)))</f>
        <v/>
      </c>
      <c r="Y53" s="26" t="str">
        <f aca="false">IF(Y$7="","",CHOOSE(MATCH($B$4,Lists!$C$2:$C$5,0),SUMIFS(Sales_Data!$O$2:$O$3520,Sales_Data!$C$2:$C$3520,$A53,Sales_Data!$F$2:$F$3520,Y$7,Sales_Data!$AE$2:$AE$3520,1),SUMIFS(Sales_Data!$M$2:$M$3520,Sales_Data!$C$2:$C$3520,$A53,Sales_Data!$F$2:$F$3520,Y$7,Sales_Data!$AE$2:$AE$3520,1),SUMIFS(Sales_Data!$N$2:$N$3520,Sales_Data!$C$2:$C$3520,$A53,Sales_Data!$F$2:$F$3520,Y$7,Sales_Data!$AE$2:$AE$3520,1),SUMIFS(Sales_Data!$AE$2:$AE$3520,Sales_Data!$C$2:$C$3520,$A53,Sales_Data!$F$2:$F$3520,Y$7)))</f>
        <v/>
      </c>
      <c r="Z53" s="26" t="str">
        <f aca="false">IF(Z$7="","",CHOOSE(MATCH($B$4,Lists!$C$2:$C$5,0),SUMIFS(Sales_Data!$O$2:$O$3520,Sales_Data!$C$2:$C$3520,$A53,Sales_Data!$F$2:$F$3520,Z$7,Sales_Data!$AE$2:$AE$3520,1),SUMIFS(Sales_Data!$M$2:$M$3520,Sales_Data!$C$2:$C$3520,$A53,Sales_Data!$F$2:$F$3520,Z$7,Sales_Data!$AE$2:$AE$3520,1),SUMIFS(Sales_Data!$N$2:$N$3520,Sales_Data!$C$2:$C$3520,$A53,Sales_Data!$F$2:$F$3520,Z$7,Sales_Data!$AE$2:$AE$3520,1),SUMIFS(Sales_Data!$AE$2:$AE$3520,Sales_Data!$C$2:$C$3520,$A53,Sales_Data!$F$2:$F$3520,Z$7)))</f>
        <v/>
      </c>
      <c r="AA53" s="27" t="n">
        <f aca="false">SUM(B53:Z53)</f>
        <v>0</v>
      </c>
      <c r="AB53" s="3"/>
      <c r="AC53" s="72" t="n">
        <f aca="false">A53</f>
        <v>46260</v>
      </c>
      <c r="AD53" s="28" t="n">
        <f aca="false">IF(B53="","",B53-B52)</f>
        <v>0</v>
      </c>
      <c r="AE53" s="28" t="n">
        <f aca="false">IF(C53="","",C53-C52)</f>
        <v>0</v>
      </c>
      <c r="AF53" s="28" t="n">
        <f aca="false">IF(D53="","",D53-D52)</f>
        <v>0</v>
      </c>
      <c r="AG53" s="28" t="n">
        <f aca="false">IF(E53="","",E53-E52)</f>
        <v>0</v>
      </c>
      <c r="AH53" s="28" t="n">
        <f aca="false">IF(F53="","",F53-F52)</f>
        <v>0</v>
      </c>
      <c r="AI53" s="28" t="n">
        <f aca="false">IF(G53="","",G53-G52)</f>
        <v>0</v>
      </c>
      <c r="AJ53" s="28" t="n">
        <f aca="false">IF(H53="","",H53-H52)</f>
        <v>0</v>
      </c>
      <c r="AK53" s="28" t="n">
        <f aca="false">IF(I53="","",I53-I52)</f>
        <v>0</v>
      </c>
      <c r="AL53" s="28" t="n">
        <f aca="false">IF(J53="","",J53-J52)</f>
        <v>0</v>
      </c>
      <c r="AM53" s="28" t="n">
        <f aca="false">IF(K53="","",K53-K52)</f>
        <v>0</v>
      </c>
      <c r="AN53" s="28" t="n">
        <f aca="false">IF(L53="","",L53-L52)</f>
        <v>0</v>
      </c>
      <c r="AO53" s="28" t="n">
        <f aca="false">IF(M53="","",M53-M52)</f>
        <v>0</v>
      </c>
      <c r="AP53" s="28" t="n">
        <f aca="false">IF(N53="","",N53-N52)</f>
        <v>0</v>
      </c>
      <c r="AQ53" s="28" t="n">
        <f aca="false">IF(O53="","",O53-O52)</f>
        <v>0</v>
      </c>
      <c r="AR53" s="28" t="n">
        <f aca="false">IF(P53="","",P53-P52)</f>
        <v>0</v>
      </c>
      <c r="AS53" s="28" t="n">
        <f aca="false">IF(Q53="","",Q53-Q52)</f>
        <v>0</v>
      </c>
      <c r="AT53" s="28" t="n">
        <f aca="false">IF(R53="","",R53-R52)</f>
        <v>0</v>
      </c>
      <c r="AU53" s="28" t="n">
        <f aca="false">IF(S53="","",S53-S52)</f>
        <v>0</v>
      </c>
      <c r="AV53" s="28" t="str">
        <f aca="false">IF(T53="","",T53-T52)</f>
        <v/>
      </c>
      <c r="AW53" s="28" t="str">
        <f aca="false">IF(U53="","",U53-U52)</f>
        <v/>
      </c>
      <c r="AX53" s="28" t="str">
        <f aca="false">IF(V53="","",V53-V52)</f>
        <v/>
      </c>
      <c r="AY53" s="28" t="str">
        <f aca="false">IF(W53="","",W53-W52)</f>
        <v/>
      </c>
      <c r="AZ53" s="28" t="str">
        <f aca="false">IF(X53="","",X53-X52)</f>
        <v/>
      </c>
      <c r="BA53" s="28" t="str">
        <f aca="false">IF(Y53="","",Y53-Y52)</f>
        <v/>
      </c>
      <c r="BB53" s="28" t="str">
        <f aca="false">IF(Z53="","",Z53-Z52)</f>
        <v/>
      </c>
      <c r="BC53" s="28" t="n">
        <f aca="false">IF(AA53="","",AA53-AA52)</f>
        <v>0</v>
      </c>
    </row>
    <row r="54" customFormat="false" ht="15" hidden="false" customHeight="false" outlineLevel="0" collapsed="false">
      <c r="A54" s="72" t="n">
        <v>46261</v>
      </c>
      <c r="B54" s="26" t="n">
        <f aca="false">IF(B$7="","",CHOOSE(MATCH($B$4,Lists!$C$2:$C$5,0),SUMIFS(Sales_Data!$O$2:$O$3520,Sales_Data!$C$2:$C$3520,$A54,Sales_Data!$F$2:$F$3520,B$7,Sales_Data!$AE$2:$AE$3520,1),SUMIFS(Sales_Data!$M$2:$M$3520,Sales_Data!$C$2:$C$3520,$A54,Sales_Data!$F$2:$F$3520,B$7,Sales_Data!$AE$2:$AE$3520,1),SUMIFS(Sales_Data!$N$2:$N$3520,Sales_Data!$C$2:$C$3520,$A54,Sales_Data!$F$2:$F$3520,B$7,Sales_Data!$AE$2:$AE$3520,1),SUMIFS(Sales_Data!$AE$2:$AE$3520,Sales_Data!$C$2:$C$3520,$A54,Sales_Data!$F$2:$F$3520,B$7)))</f>
        <v>0</v>
      </c>
      <c r="C54" s="26" t="n">
        <f aca="false">IF(C$7="","",CHOOSE(MATCH($B$4,Lists!$C$2:$C$5,0),SUMIFS(Sales_Data!$O$2:$O$3520,Sales_Data!$C$2:$C$3520,$A54,Sales_Data!$F$2:$F$3520,C$7,Sales_Data!$AE$2:$AE$3520,1),SUMIFS(Sales_Data!$M$2:$M$3520,Sales_Data!$C$2:$C$3520,$A54,Sales_Data!$F$2:$F$3520,C$7,Sales_Data!$AE$2:$AE$3520,1),SUMIFS(Sales_Data!$N$2:$N$3520,Sales_Data!$C$2:$C$3520,$A54,Sales_Data!$F$2:$F$3520,C$7,Sales_Data!$AE$2:$AE$3520,1),SUMIFS(Sales_Data!$AE$2:$AE$3520,Sales_Data!$C$2:$C$3520,$A54,Sales_Data!$F$2:$F$3520,C$7)))</f>
        <v>0</v>
      </c>
      <c r="D54" s="26" t="n">
        <f aca="false">IF(D$7="","",CHOOSE(MATCH($B$4,Lists!$C$2:$C$5,0),SUMIFS(Sales_Data!$O$2:$O$3520,Sales_Data!$C$2:$C$3520,$A54,Sales_Data!$F$2:$F$3520,D$7,Sales_Data!$AE$2:$AE$3520,1),SUMIFS(Sales_Data!$M$2:$M$3520,Sales_Data!$C$2:$C$3520,$A54,Sales_Data!$F$2:$F$3520,D$7,Sales_Data!$AE$2:$AE$3520,1),SUMIFS(Sales_Data!$N$2:$N$3520,Sales_Data!$C$2:$C$3520,$A54,Sales_Data!$F$2:$F$3520,D$7,Sales_Data!$AE$2:$AE$3520,1),SUMIFS(Sales_Data!$AE$2:$AE$3520,Sales_Data!$C$2:$C$3520,$A54,Sales_Data!$F$2:$F$3520,D$7)))</f>
        <v>0</v>
      </c>
      <c r="E54" s="26" t="n">
        <f aca="false">IF(E$7="","",CHOOSE(MATCH($B$4,Lists!$C$2:$C$5,0),SUMIFS(Sales_Data!$O$2:$O$3520,Sales_Data!$C$2:$C$3520,$A54,Sales_Data!$F$2:$F$3520,E$7,Sales_Data!$AE$2:$AE$3520,1),SUMIFS(Sales_Data!$M$2:$M$3520,Sales_Data!$C$2:$C$3520,$A54,Sales_Data!$F$2:$F$3520,E$7,Sales_Data!$AE$2:$AE$3520,1),SUMIFS(Sales_Data!$N$2:$N$3520,Sales_Data!$C$2:$C$3520,$A54,Sales_Data!$F$2:$F$3520,E$7,Sales_Data!$AE$2:$AE$3520,1),SUMIFS(Sales_Data!$AE$2:$AE$3520,Sales_Data!$C$2:$C$3520,$A54,Sales_Data!$F$2:$F$3520,E$7)))</f>
        <v>0</v>
      </c>
      <c r="F54" s="26" t="n">
        <f aca="false">IF(F$7="","",CHOOSE(MATCH($B$4,Lists!$C$2:$C$5,0),SUMIFS(Sales_Data!$O$2:$O$3520,Sales_Data!$C$2:$C$3520,$A54,Sales_Data!$F$2:$F$3520,F$7,Sales_Data!$AE$2:$AE$3520,1),SUMIFS(Sales_Data!$M$2:$M$3520,Sales_Data!$C$2:$C$3520,$A54,Sales_Data!$F$2:$F$3520,F$7,Sales_Data!$AE$2:$AE$3520,1),SUMIFS(Sales_Data!$N$2:$N$3520,Sales_Data!$C$2:$C$3520,$A54,Sales_Data!$F$2:$F$3520,F$7,Sales_Data!$AE$2:$AE$3520,1),SUMIFS(Sales_Data!$AE$2:$AE$3520,Sales_Data!$C$2:$C$3520,$A54,Sales_Data!$F$2:$F$3520,F$7)))</f>
        <v>0</v>
      </c>
      <c r="G54" s="26" t="n">
        <f aca="false">IF(G$7="","",CHOOSE(MATCH($B$4,Lists!$C$2:$C$5,0),SUMIFS(Sales_Data!$O$2:$O$3520,Sales_Data!$C$2:$C$3520,$A54,Sales_Data!$F$2:$F$3520,G$7,Sales_Data!$AE$2:$AE$3520,1),SUMIFS(Sales_Data!$M$2:$M$3520,Sales_Data!$C$2:$C$3520,$A54,Sales_Data!$F$2:$F$3520,G$7,Sales_Data!$AE$2:$AE$3520,1),SUMIFS(Sales_Data!$N$2:$N$3520,Sales_Data!$C$2:$C$3520,$A54,Sales_Data!$F$2:$F$3520,G$7,Sales_Data!$AE$2:$AE$3520,1),SUMIFS(Sales_Data!$AE$2:$AE$3520,Sales_Data!$C$2:$C$3520,$A54,Sales_Data!$F$2:$F$3520,G$7)))</f>
        <v>0</v>
      </c>
      <c r="H54" s="26" t="n">
        <f aca="false">IF(H$7="","",CHOOSE(MATCH($B$4,Lists!$C$2:$C$5,0),SUMIFS(Sales_Data!$O$2:$O$3520,Sales_Data!$C$2:$C$3520,$A54,Sales_Data!$F$2:$F$3520,H$7,Sales_Data!$AE$2:$AE$3520,1),SUMIFS(Sales_Data!$M$2:$M$3520,Sales_Data!$C$2:$C$3520,$A54,Sales_Data!$F$2:$F$3520,H$7,Sales_Data!$AE$2:$AE$3520,1),SUMIFS(Sales_Data!$N$2:$N$3520,Sales_Data!$C$2:$C$3520,$A54,Sales_Data!$F$2:$F$3520,H$7,Sales_Data!$AE$2:$AE$3520,1),SUMIFS(Sales_Data!$AE$2:$AE$3520,Sales_Data!$C$2:$C$3520,$A54,Sales_Data!$F$2:$F$3520,H$7)))</f>
        <v>0</v>
      </c>
      <c r="I54" s="26" t="n">
        <f aca="false">IF(I$7="","",CHOOSE(MATCH($B$4,Lists!$C$2:$C$5,0),SUMIFS(Sales_Data!$O$2:$O$3520,Sales_Data!$C$2:$C$3520,$A54,Sales_Data!$F$2:$F$3520,I$7,Sales_Data!$AE$2:$AE$3520,1),SUMIFS(Sales_Data!$M$2:$M$3520,Sales_Data!$C$2:$C$3520,$A54,Sales_Data!$F$2:$F$3520,I$7,Sales_Data!$AE$2:$AE$3520,1),SUMIFS(Sales_Data!$N$2:$N$3520,Sales_Data!$C$2:$C$3520,$A54,Sales_Data!$F$2:$F$3520,I$7,Sales_Data!$AE$2:$AE$3520,1),SUMIFS(Sales_Data!$AE$2:$AE$3520,Sales_Data!$C$2:$C$3520,$A54,Sales_Data!$F$2:$F$3520,I$7)))</f>
        <v>0</v>
      </c>
      <c r="J54" s="26" t="n">
        <f aca="false">IF(J$7="","",CHOOSE(MATCH($B$4,Lists!$C$2:$C$5,0),SUMIFS(Sales_Data!$O$2:$O$3520,Sales_Data!$C$2:$C$3520,$A54,Sales_Data!$F$2:$F$3520,J$7,Sales_Data!$AE$2:$AE$3520,1),SUMIFS(Sales_Data!$M$2:$M$3520,Sales_Data!$C$2:$C$3520,$A54,Sales_Data!$F$2:$F$3520,J$7,Sales_Data!$AE$2:$AE$3520,1),SUMIFS(Sales_Data!$N$2:$N$3520,Sales_Data!$C$2:$C$3520,$A54,Sales_Data!$F$2:$F$3520,J$7,Sales_Data!$AE$2:$AE$3520,1),SUMIFS(Sales_Data!$AE$2:$AE$3520,Sales_Data!$C$2:$C$3520,$A54,Sales_Data!$F$2:$F$3520,J$7)))</f>
        <v>0</v>
      </c>
      <c r="K54" s="26" t="n">
        <f aca="false">IF(K$7="","",CHOOSE(MATCH($B$4,Lists!$C$2:$C$5,0),SUMIFS(Sales_Data!$O$2:$O$3520,Sales_Data!$C$2:$C$3520,$A54,Sales_Data!$F$2:$F$3520,K$7,Sales_Data!$AE$2:$AE$3520,1),SUMIFS(Sales_Data!$M$2:$M$3520,Sales_Data!$C$2:$C$3520,$A54,Sales_Data!$F$2:$F$3520,K$7,Sales_Data!$AE$2:$AE$3520,1),SUMIFS(Sales_Data!$N$2:$N$3520,Sales_Data!$C$2:$C$3520,$A54,Sales_Data!$F$2:$F$3520,K$7,Sales_Data!$AE$2:$AE$3520,1),SUMIFS(Sales_Data!$AE$2:$AE$3520,Sales_Data!$C$2:$C$3520,$A54,Sales_Data!$F$2:$F$3520,K$7)))</f>
        <v>0</v>
      </c>
      <c r="L54" s="26" t="n">
        <f aca="false">IF(L$7="","",CHOOSE(MATCH($B$4,Lists!$C$2:$C$5,0),SUMIFS(Sales_Data!$O$2:$O$3520,Sales_Data!$C$2:$C$3520,$A54,Sales_Data!$F$2:$F$3520,L$7,Sales_Data!$AE$2:$AE$3520,1),SUMIFS(Sales_Data!$M$2:$M$3520,Sales_Data!$C$2:$C$3520,$A54,Sales_Data!$F$2:$F$3520,L$7,Sales_Data!$AE$2:$AE$3520,1),SUMIFS(Sales_Data!$N$2:$N$3520,Sales_Data!$C$2:$C$3520,$A54,Sales_Data!$F$2:$F$3520,L$7,Sales_Data!$AE$2:$AE$3520,1),SUMIFS(Sales_Data!$AE$2:$AE$3520,Sales_Data!$C$2:$C$3520,$A54,Sales_Data!$F$2:$F$3520,L$7)))</f>
        <v>0</v>
      </c>
      <c r="M54" s="26" t="n">
        <f aca="false">IF(M$7="","",CHOOSE(MATCH($B$4,Lists!$C$2:$C$5,0),SUMIFS(Sales_Data!$O$2:$O$3520,Sales_Data!$C$2:$C$3520,$A54,Sales_Data!$F$2:$F$3520,M$7,Sales_Data!$AE$2:$AE$3520,1),SUMIFS(Sales_Data!$M$2:$M$3520,Sales_Data!$C$2:$C$3520,$A54,Sales_Data!$F$2:$F$3520,M$7,Sales_Data!$AE$2:$AE$3520,1),SUMIFS(Sales_Data!$N$2:$N$3520,Sales_Data!$C$2:$C$3520,$A54,Sales_Data!$F$2:$F$3520,M$7,Sales_Data!$AE$2:$AE$3520,1),SUMIFS(Sales_Data!$AE$2:$AE$3520,Sales_Data!$C$2:$C$3520,$A54,Sales_Data!$F$2:$F$3520,M$7)))</f>
        <v>0</v>
      </c>
      <c r="N54" s="26" t="n">
        <f aca="false">IF(N$7="","",CHOOSE(MATCH($B$4,Lists!$C$2:$C$5,0),SUMIFS(Sales_Data!$O$2:$O$3520,Sales_Data!$C$2:$C$3520,$A54,Sales_Data!$F$2:$F$3520,N$7,Sales_Data!$AE$2:$AE$3520,1),SUMIFS(Sales_Data!$M$2:$M$3520,Sales_Data!$C$2:$C$3520,$A54,Sales_Data!$F$2:$F$3520,N$7,Sales_Data!$AE$2:$AE$3520,1),SUMIFS(Sales_Data!$N$2:$N$3520,Sales_Data!$C$2:$C$3520,$A54,Sales_Data!$F$2:$F$3520,N$7,Sales_Data!$AE$2:$AE$3520,1),SUMIFS(Sales_Data!$AE$2:$AE$3520,Sales_Data!$C$2:$C$3520,$A54,Sales_Data!$F$2:$F$3520,N$7)))</f>
        <v>0</v>
      </c>
      <c r="O54" s="26" t="n">
        <f aca="false">IF(O$7="","",CHOOSE(MATCH($B$4,Lists!$C$2:$C$5,0),SUMIFS(Sales_Data!$O$2:$O$3520,Sales_Data!$C$2:$C$3520,$A54,Sales_Data!$F$2:$F$3520,O$7,Sales_Data!$AE$2:$AE$3520,1),SUMIFS(Sales_Data!$M$2:$M$3520,Sales_Data!$C$2:$C$3520,$A54,Sales_Data!$F$2:$F$3520,O$7,Sales_Data!$AE$2:$AE$3520,1),SUMIFS(Sales_Data!$N$2:$N$3520,Sales_Data!$C$2:$C$3520,$A54,Sales_Data!$F$2:$F$3520,O$7,Sales_Data!$AE$2:$AE$3520,1),SUMIFS(Sales_Data!$AE$2:$AE$3520,Sales_Data!$C$2:$C$3520,$A54,Sales_Data!$F$2:$F$3520,O$7)))</f>
        <v>0</v>
      </c>
      <c r="P54" s="26" t="n">
        <f aca="false">IF(P$7="","",CHOOSE(MATCH($B$4,Lists!$C$2:$C$5,0),SUMIFS(Sales_Data!$O$2:$O$3520,Sales_Data!$C$2:$C$3520,$A54,Sales_Data!$F$2:$F$3520,P$7,Sales_Data!$AE$2:$AE$3520,1),SUMIFS(Sales_Data!$M$2:$M$3520,Sales_Data!$C$2:$C$3520,$A54,Sales_Data!$F$2:$F$3520,P$7,Sales_Data!$AE$2:$AE$3520,1),SUMIFS(Sales_Data!$N$2:$N$3520,Sales_Data!$C$2:$C$3520,$A54,Sales_Data!$F$2:$F$3520,P$7,Sales_Data!$AE$2:$AE$3520,1),SUMIFS(Sales_Data!$AE$2:$AE$3520,Sales_Data!$C$2:$C$3520,$A54,Sales_Data!$F$2:$F$3520,P$7)))</f>
        <v>0</v>
      </c>
      <c r="Q54" s="26" t="n">
        <f aca="false">IF(Q$7="","",CHOOSE(MATCH($B$4,Lists!$C$2:$C$5,0),SUMIFS(Sales_Data!$O$2:$O$3520,Sales_Data!$C$2:$C$3520,$A54,Sales_Data!$F$2:$F$3520,Q$7,Sales_Data!$AE$2:$AE$3520,1),SUMIFS(Sales_Data!$M$2:$M$3520,Sales_Data!$C$2:$C$3520,$A54,Sales_Data!$F$2:$F$3520,Q$7,Sales_Data!$AE$2:$AE$3520,1),SUMIFS(Sales_Data!$N$2:$N$3520,Sales_Data!$C$2:$C$3520,$A54,Sales_Data!$F$2:$F$3520,Q$7,Sales_Data!$AE$2:$AE$3520,1),SUMIFS(Sales_Data!$AE$2:$AE$3520,Sales_Data!$C$2:$C$3520,$A54,Sales_Data!$F$2:$F$3520,Q$7)))</f>
        <v>0</v>
      </c>
      <c r="R54" s="26" t="n">
        <f aca="false">IF(R$7="","",CHOOSE(MATCH($B$4,Lists!$C$2:$C$5,0),SUMIFS(Sales_Data!$O$2:$O$3520,Sales_Data!$C$2:$C$3520,$A54,Sales_Data!$F$2:$F$3520,R$7,Sales_Data!$AE$2:$AE$3520,1),SUMIFS(Sales_Data!$M$2:$M$3520,Sales_Data!$C$2:$C$3520,$A54,Sales_Data!$F$2:$F$3520,R$7,Sales_Data!$AE$2:$AE$3520,1),SUMIFS(Sales_Data!$N$2:$N$3520,Sales_Data!$C$2:$C$3520,$A54,Sales_Data!$F$2:$F$3520,R$7,Sales_Data!$AE$2:$AE$3520,1),SUMIFS(Sales_Data!$AE$2:$AE$3520,Sales_Data!$C$2:$C$3520,$A54,Sales_Data!$F$2:$F$3520,R$7)))</f>
        <v>0</v>
      </c>
      <c r="S54" s="26" t="n">
        <f aca="false">IF(S$7="","",CHOOSE(MATCH($B$4,Lists!$C$2:$C$5,0),SUMIFS(Sales_Data!$O$2:$O$3520,Sales_Data!$C$2:$C$3520,$A54,Sales_Data!$F$2:$F$3520,S$7,Sales_Data!$AE$2:$AE$3520,1),SUMIFS(Sales_Data!$M$2:$M$3520,Sales_Data!$C$2:$C$3520,$A54,Sales_Data!$F$2:$F$3520,S$7,Sales_Data!$AE$2:$AE$3520,1),SUMIFS(Sales_Data!$N$2:$N$3520,Sales_Data!$C$2:$C$3520,$A54,Sales_Data!$F$2:$F$3520,S$7,Sales_Data!$AE$2:$AE$3520,1),SUMIFS(Sales_Data!$AE$2:$AE$3520,Sales_Data!$C$2:$C$3520,$A54,Sales_Data!$F$2:$F$3520,S$7)))</f>
        <v>0</v>
      </c>
      <c r="T54" s="26" t="str">
        <f aca="false">IF(T$7="","",CHOOSE(MATCH($B$4,Lists!$C$2:$C$5,0),SUMIFS(Sales_Data!$O$2:$O$3520,Sales_Data!$C$2:$C$3520,$A54,Sales_Data!$F$2:$F$3520,T$7,Sales_Data!$AE$2:$AE$3520,1),SUMIFS(Sales_Data!$M$2:$M$3520,Sales_Data!$C$2:$C$3520,$A54,Sales_Data!$F$2:$F$3520,T$7,Sales_Data!$AE$2:$AE$3520,1),SUMIFS(Sales_Data!$N$2:$N$3520,Sales_Data!$C$2:$C$3520,$A54,Sales_Data!$F$2:$F$3520,T$7,Sales_Data!$AE$2:$AE$3520,1),SUMIFS(Sales_Data!$AE$2:$AE$3520,Sales_Data!$C$2:$C$3520,$A54,Sales_Data!$F$2:$F$3520,T$7)))</f>
        <v/>
      </c>
      <c r="U54" s="26" t="str">
        <f aca="false">IF(U$7="","",CHOOSE(MATCH($B$4,Lists!$C$2:$C$5,0),SUMIFS(Sales_Data!$O$2:$O$3520,Sales_Data!$C$2:$C$3520,$A54,Sales_Data!$F$2:$F$3520,U$7,Sales_Data!$AE$2:$AE$3520,1),SUMIFS(Sales_Data!$M$2:$M$3520,Sales_Data!$C$2:$C$3520,$A54,Sales_Data!$F$2:$F$3520,U$7,Sales_Data!$AE$2:$AE$3520,1),SUMIFS(Sales_Data!$N$2:$N$3520,Sales_Data!$C$2:$C$3520,$A54,Sales_Data!$F$2:$F$3520,U$7,Sales_Data!$AE$2:$AE$3520,1),SUMIFS(Sales_Data!$AE$2:$AE$3520,Sales_Data!$C$2:$C$3520,$A54,Sales_Data!$F$2:$F$3520,U$7)))</f>
        <v/>
      </c>
      <c r="V54" s="26" t="str">
        <f aca="false">IF(V$7="","",CHOOSE(MATCH($B$4,Lists!$C$2:$C$5,0),SUMIFS(Sales_Data!$O$2:$O$3520,Sales_Data!$C$2:$C$3520,$A54,Sales_Data!$F$2:$F$3520,V$7,Sales_Data!$AE$2:$AE$3520,1),SUMIFS(Sales_Data!$M$2:$M$3520,Sales_Data!$C$2:$C$3520,$A54,Sales_Data!$F$2:$F$3520,V$7,Sales_Data!$AE$2:$AE$3520,1),SUMIFS(Sales_Data!$N$2:$N$3520,Sales_Data!$C$2:$C$3520,$A54,Sales_Data!$F$2:$F$3520,V$7,Sales_Data!$AE$2:$AE$3520,1),SUMIFS(Sales_Data!$AE$2:$AE$3520,Sales_Data!$C$2:$C$3520,$A54,Sales_Data!$F$2:$F$3520,V$7)))</f>
        <v/>
      </c>
      <c r="W54" s="26" t="str">
        <f aca="false">IF(W$7="","",CHOOSE(MATCH($B$4,Lists!$C$2:$C$5,0),SUMIFS(Sales_Data!$O$2:$O$3520,Sales_Data!$C$2:$C$3520,$A54,Sales_Data!$F$2:$F$3520,W$7,Sales_Data!$AE$2:$AE$3520,1),SUMIFS(Sales_Data!$M$2:$M$3520,Sales_Data!$C$2:$C$3520,$A54,Sales_Data!$F$2:$F$3520,W$7,Sales_Data!$AE$2:$AE$3520,1),SUMIFS(Sales_Data!$N$2:$N$3520,Sales_Data!$C$2:$C$3520,$A54,Sales_Data!$F$2:$F$3520,W$7,Sales_Data!$AE$2:$AE$3520,1),SUMIFS(Sales_Data!$AE$2:$AE$3520,Sales_Data!$C$2:$C$3520,$A54,Sales_Data!$F$2:$F$3520,W$7)))</f>
        <v/>
      </c>
      <c r="X54" s="26" t="str">
        <f aca="false">IF(X$7="","",CHOOSE(MATCH($B$4,Lists!$C$2:$C$5,0),SUMIFS(Sales_Data!$O$2:$O$3520,Sales_Data!$C$2:$C$3520,$A54,Sales_Data!$F$2:$F$3520,X$7,Sales_Data!$AE$2:$AE$3520,1),SUMIFS(Sales_Data!$M$2:$M$3520,Sales_Data!$C$2:$C$3520,$A54,Sales_Data!$F$2:$F$3520,X$7,Sales_Data!$AE$2:$AE$3520,1),SUMIFS(Sales_Data!$N$2:$N$3520,Sales_Data!$C$2:$C$3520,$A54,Sales_Data!$F$2:$F$3520,X$7,Sales_Data!$AE$2:$AE$3520,1),SUMIFS(Sales_Data!$AE$2:$AE$3520,Sales_Data!$C$2:$C$3520,$A54,Sales_Data!$F$2:$F$3520,X$7)))</f>
        <v/>
      </c>
      <c r="Y54" s="26" t="str">
        <f aca="false">IF(Y$7="","",CHOOSE(MATCH($B$4,Lists!$C$2:$C$5,0),SUMIFS(Sales_Data!$O$2:$O$3520,Sales_Data!$C$2:$C$3520,$A54,Sales_Data!$F$2:$F$3520,Y$7,Sales_Data!$AE$2:$AE$3520,1),SUMIFS(Sales_Data!$M$2:$M$3520,Sales_Data!$C$2:$C$3520,$A54,Sales_Data!$F$2:$F$3520,Y$7,Sales_Data!$AE$2:$AE$3520,1),SUMIFS(Sales_Data!$N$2:$N$3520,Sales_Data!$C$2:$C$3520,$A54,Sales_Data!$F$2:$F$3520,Y$7,Sales_Data!$AE$2:$AE$3520,1),SUMIFS(Sales_Data!$AE$2:$AE$3520,Sales_Data!$C$2:$C$3520,$A54,Sales_Data!$F$2:$F$3520,Y$7)))</f>
        <v/>
      </c>
      <c r="Z54" s="26" t="str">
        <f aca="false">IF(Z$7="","",CHOOSE(MATCH($B$4,Lists!$C$2:$C$5,0),SUMIFS(Sales_Data!$O$2:$O$3520,Sales_Data!$C$2:$C$3520,$A54,Sales_Data!$F$2:$F$3520,Z$7,Sales_Data!$AE$2:$AE$3520,1),SUMIFS(Sales_Data!$M$2:$M$3520,Sales_Data!$C$2:$C$3520,$A54,Sales_Data!$F$2:$F$3520,Z$7,Sales_Data!$AE$2:$AE$3520,1),SUMIFS(Sales_Data!$N$2:$N$3520,Sales_Data!$C$2:$C$3520,$A54,Sales_Data!$F$2:$F$3520,Z$7,Sales_Data!$AE$2:$AE$3520,1),SUMIFS(Sales_Data!$AE$2:$AE$3520,Sales_Data!$C$2:$C$3520,$A54,Sales_Data!$F$2:$F$3520,Z$7)))</f>
        <v/>
      </c>
      <c r="AA54" s="27" t="n">
        <f aca="false">SUM(B54:Z54)</f>
        <v>0</v>
      </c>
      <c r="AB54" s="3"/>
      <c r="AC54" s="72" t="n">
        <f aca="false">A54</f>
        <v>46261</v>
      </c>
      <c r="AD54" s="28" t="n">
        <f aca="false">IF(B54="","",B54-B53)</f>
        <v>0</v>
      </c>
      <c r="AE54" s="28" t="n">
        <f aca="false">IF(C54="","",C54-C53)</f>
        <v>0</v>
      </c>
      <c r="AF54" s="28" t="n">
        <f aca="false">IF(D54="","",D54-D53)</f>
        <v>0</v>
      </c>
      <c r="AG54" s="28" t="n">
        <f aca="false">IF(E54="","",E54-E53)</f>
        <v>0</v>
      </c>
      <c r="AH54" s="28" t="n">
        <f aca="false">IF(F54="","",F54-F53)</f>
        <v>0</v>
      </c>
      <c r="AI54" s="28" t="n">
        <f aca="false">IF(G54="","",G54-G53)</f>
        <v>0</v>
      </c>
      <c r="AJ54" s="28" t="n">
        <f aca="false">IF(H54="","",H54-H53)</f>
        <v>0</v>
      </c>
      <c r="AK54" s="28" t="n">
        <f aca="false">IF(I54="","",I54-I53)</f>
        <v>0</v>
      </c>
      <c r="AL54" s="28" t="n">
        <f aca="false">IF(J54="","",J54-J53)</f>
        <v>0</v>
      </c>
      <c r="AM54" s="28" t="n">
        <f aca="false">IF(K54="","",K54-K53)</f>
        <v>0</v>
      </c>
      <c r="AN54" s="28" t="n">
        <f aca="false">IF(L54="","",L54-L53)</f>
        <v>0</v>
      </c>
      <c r="AO54" s="28" t="n">
        <f aca="false">IF(M54="","",M54-M53)</f>
        <v>0</v>
      </c>
      <c r="AP54" s="28" t="n">
        <f aca="false">IF(N54="","",N54-N53)</f>
        <v>0</v>
      </c>
      <c r="AQ54" s="28" t="n">
        <f aca="false">IF(O54="","",O54-O53)</f>
        <v>0</v>
      </c>
      <c r="AR54" s="28" t="n">
        <f aca="false">IF(P54="","",P54-P53)</f>
        <v>0</v>
      </c>
      <c r="AS54" s="28" t="n">
        <f aca="false">IF(Q54="","",Q54-Q53)</f>
        <v>0</v>
      </c>
      <c r="AT54" s="28" t="n">
        <f aca="false">IF(R54="","",R54-R53)</f>
        <v>0</v>
      </c>
      <c r="AU54" s="28" t="n">
        <f aca="false">IF(S54="","",S54-S53)</f>
        <v>0</v>
      </c>
      <c r="AV54" s="28" t="str">
        <f aca="false">IF(T54="","",T54-T53)</f>
        <v/>
      </c>
      <c r="AW54" s="28" t="str">
        <f aca="false">IF(U54="","",U54-U53)</f>
        <v/>
      </c>
      <c r="AX54" s="28" t="str">
        <f aca="false">IF(V54="","",V54-V53)</f>
        <v/>
      </c>
      <c r="AY54" s="28" t="str">
        <f aca="false">IF(W54="","",W54-W53)</f>
        <v/>
      </c>
      <c r="AZ54" s="28" t="str">
        <f aca="false">IF(X54="","",X54-X53)</f>
        <v/>
      </c>
      <c r="BA54" s="28" t="str">
        <f aca="false">IF(Y54="","",Y54-Y53)</f>
        <v/>
      </c>
      <c r="BB54" s="28" t="str">
        <f aca="false">IF(Z54="","",Z54-Z53)</f>
        <v/>
      </c>
      <c r="BC54" s="28" t="n">
        <f aca="false">IF(AA54="","",AA54-AA53)</f>
        <v>0</v>
      </c>
    </row>
    <row r="55" customFormat="false" ht="15" hidden="false" customHeight="false" outlineLevel="0" collapsed="false">
      <c r="A55" s="72" t="n">
        <v>46262</v>
      </c>
      <c r="B55" s="26" t="n">
        <f aca="false">IF(B$7="","",CHOOSE(MATCH($B$4,Lists!$C$2:$C$5,0),SUMIFS(Sales_Data!$O$2:$O$3520,Sales_Data!$C$2:$C$3520,$A55,Sales_Data!$F$2:$F$3520,B$7,Sales_Data!$AE$2:$AE$3520,1),SUMIFS(Sales_Data!$M$2:$M$3520,Sales_Data!$C$2:$C$3520,$A55,Sales_Data!$F$2:$F$3520,B$7,Sales_Data!$AE$2:$AE$3520,1),SUMIFS(Sales_Data!$N$2:$N$3520,Sales_Data!$C$2:$C$3520,$A55,Sales_Data!$F$2:$F$3520,B$7,Sales_Data!$AE$2:$AE$3520,1),SUMIFS(Sales_Data!$AE$2:$AE$3520,Sales_Data!$C$2:$C$3520,$A55,Sales_Data!$F$2:$F$3520,B$7)))</f>
        <v>0</v>
      </c>
      <c r="C55" s="26" t="n">
        <f aca="false">IF(C$7="","",CHOOSE(MATCH($B$4,Lists!$C$2:$C$5,0),SUMIFS(Sales_Data!$O$2:$O$3520,Sales_Data!$C$2:$C$3520,$A55,Sales_Data!$F$2:$F$3520,C$7,Sales_Data!$AE$2:$AE$3520,1),SUMIFS(Sales_Data!$M$2:$M$3520,Sales_Data!$C$2:$C$3520,$A55,Sales_Data!$F$2:$F$3520,C$7,Sales_Data!$AE$2:$AE$3520,1),SUMIFS(Sales_Data!$N$2:$N$3520,Sales_Data!$C$2:$C$3520,$A55,Sales_Data!$F$2:$F$3520,C$7,Sales_Data!$AE$2:$AE$3520,1),SUMIFS(Sales_Data!$AE$2:$AE$3520,Sales_Data!$C$2:$C$3520,$A55,Sales_Data!$F$2:$F$3520,C$7)))</f>
        <v>0</v>
      </c>
      <c r="D55" s="26" t="n">
        <f aca="false">IF(D$7="","",CHOOSE(MATCH($B$4,Lists!$C$2:$C$5,0),SUMIFS(Sales_Data!$O$2:$O$3520,Sales_Data!$C$2:$C$3520,$A55,Sales_Data!$F$2:$F$3520,D$7,Sales_Data!$AE$2:$AE$3520,1),SUMIFS(Sales_Data!$M$2:$M$3520,Sales_Data!$C$2:$C$3520,$A55,Sales_Data!$F$2:$F$3520,D$7,Sales_Data!$AE$2:$AE$3520,1),SUMIFS(Sales_Data!$N$2:$N$3520,Sales_Data!$C$2:$C$3520,$A55,Sales_Data!$F$2:$F$3520,D$7,Sales_Data!$AE$2:$AE$3520,1),SUMIFS(Sales_Data!$AE$2:$AE$3520,Sales_Data!$C$2:$C$3520,$A55,Sales_Data!$F$2:$F$3520,D$7)))</f>
        <v>0</v>
      </c>
      <c r="E55" s="26" t="n">
        <f aca="false">IF(E$7="","",CHOOSE(MATCH($B$4,Lists!$C$2:$C$5,0),SUMIFS(Sales_Data!$O$2:$O$3520,Sales_Data!$C$2:$C$3520,$A55,Sales_Data!$F$2:$F$3520,E$7,Sales_Data!$AE$2:$AE$3520,1),SUMIFS(Sales_Data!$M$2:$M$3520,Sales_Data!$C$2:$C$3520,$A55,Sales_Data!$F$2:$F$3520,E$7,Sales_Data!$AE$2:$AE$3520,1),SUMIFS(Sales_Data!$N$2:$N$3520,Sales_Data!$C$2:$C$3520,$A55,Sales_Data!$F$2:$F$3520,E$7,Sales_Data!$AE$2:$AE$3520,1),SUMIFS(Sales_Data!$AE$2:$AE$3520,Sales_Data!$C$2:$C$3520,$A55,Sales_Data!$F$2:$F$3520,E$7)))</f>
        <v>0</v>
      </c>
      <c r="F55" s="26" t="n">
        <f aca="false">IF(F$7="","",CHOOSE(MATCH($B$4,Lists!$C$2:$C$5,0),SUMIFS(Sales_Data!$O$2:$O$3520,Sales_Data!$C$2:$C$3520,$A55,Sales_Data!$F$2:$F$3520,F$7,Sales_Data!$AE$2:$AE$3520,1),SUMIFS(Sales_Data!$M$2:$M$3520,Sales_Data!$C$2:$C$3520,$A55,Sales_Data!$F$2:$F$3520,F$7,Sales_Data!$AE$2:$AE$3520,1),SUMIFS(Sales_Data!$N$2:$N$3520,Sales_Data!$C$2:$C$3520,$A55,Sales_Data!$F$2:$F$3520,F$7,Sales_Data!$AE$2:$AE$3520,1),SUMIFS(Sales_Data!$AE$2:$AE$3520,Sales_Data!$C$2:$C$3520,$A55,Sales_Data!$F$2:$F$3520,F$7)))</f>
        <v>0</v>
      </c>
      <c r="G55" s="26" t="n">
        <f aca="false">IF(G$7="","",CHOOSE(MATCH($B$4,Lists!$C$2:$C$5,0),SUMIFS(Sales_Data!$O$2:$O$3520,Sales_Data!$C$2:$C$3520,$A55,Sales_Data!$F$2:$F$3520,G$7,Sales_Data!$AE$2:$AE$3520,1),SUMIFS(Sales_Data!$M$2:$M$3520,Sales_Data!$C$2:$C$3520,$A55,Sales_Data!$F$2:$F$3520,G$7,Sales_Data!$AE$2:$AE$3520,1),SUMIFS(Sales_Data!$N$2:$N$3520,Sales_Data!$C$2:$C$3520,$A55,Sales_Data!$F$2:$F$3520,G$7,Sales_Data!$AE$2:$AE$3520,1),SUMIFS(Sales_Data!$AE$2:$AE$3520,Sales_Data!$C$2:$C$3520,$A55,Sales_Data!$F$2:$F$3520,G$7)))</f>
        <v>0</v>
      </c>
      <c r="H55" s="26" t="n">
        <f aca="false">IF(H$7="","",CHOOSE(MATCH($B$4,Lists!$C$2:$C$5,0),SUMIFS(Sales_Data!$O$2:$O$3520,Sales_Data!$C$2:$C$3520,$A55,Sales_Data!$F$2:$F$3520,H$7,Sales_Data!$AE$2:$AE$3520,1),SUMIFS(Sales_Data!$M$2:$M$3520,Sales_Data!$C$2:$C$3520,$A55,Sales_Data!$F$2:$F$3520,H$7,Sales_Data!$AE$2:$AE$3520,1),SUMIFS(Sales_Data!$N$2:$N$3520,Sales_Data!$C$2:$C$3520,$A55,Sales_Data!$F$2:$F$3520,H$7,Sales_Data!$AE$2:$AE$3520,1),SUMIFS(Sales_Data!$AE$2:$AE$3520,Sales_Data!$C$2:$C$3520,$A55,Sales_Data!$F$2:$F$3520,H$7)))</f>
        <v>0</v>
      </c>
      <c r="I55" s="26" t="n">
        <f aca="false">IF(I$7="","",CHOOSE(MATCH($B$4,Lists!$C$2:$C$5,0),SUMIFS(Sales_Data!$O$2:$O$3520,Sales_Data!$C$2:$C$3520,$A55,Sales_Data!$F$2:$F$3520,I$7,Sales_Data!$AE$2:$AE$3520,1),SUMIFS(Sales_Data!$M$2:$M$3520,Sales_Data!$C$2:$C$3520,$A55,Sales_Data!$F$2:$F$3520,I$7,Sales_Data!$AE$2:$AE$3520,1),SUMIFS(Sales_Data!$N$2:$N$3520,Sales_Data!$C$2:$C$3520,$A55,Sales_Data!$F$2:$F$3520,I$7,Sales_Data!$AE$2:$AE$3520,1),SUMIFS(Sales_Data!$AE$2:$AE$3520,Sales_Data!$C$2:$C$3520,$A55,Sales_Data!$F$2:$F$3520,I$7)))</f>
        <v>0</v>
      </c>
      <c r="J55" s="26" t="n">
        <f aca="false">IF(J$7="","",CHOOSE(MATCH($B$4,Lists!$C$2:$C$5,0),SUMIFS(Sales_Data!$O$2:$O$3520,Sales_Data!$C$2:$C$3520,$A55,Sales_Data!$F$2:$F$3520,J$7,Sales_Data!$AE$2:$AE$3520,1),SUMIFS(Sales_Data!$M$2:$M$3520,Sales_Data!$C$2:$C$3520,$A55,Sales_Data!$F$2:$F$3520,J$7,Sales_Data!$AE$2:$AE$3520,1),SUMIFS(Sales_Data!$N$2:$N$3520,Sales_Data!$C$2:$C$3520,$A55,Sales_Data!$F$2:$F$3520,J$7,Sales_Data!$AE$2:$AE$3520,1),SUMIFS(Sales_Data!$AE$2:$AE$3520,Sales_Data!$C$2:$C$3520,$A55,Sales_Data!$F$2:$F$3520,J$7)))</f>
        <v>0</v>
      </c>
      <c r="K55" s="26" t="n">
        <f aca="false">IF(K$7="","",CHOOSE(MATCH($B$4,Lists!$C$2:$C$5,0),SUMIFS(Sales_Data!$O$2:$O$3520,Sales_Data!$C$2:$C$3520,$A55,Sales_Data!$F$2:$F$3520,K$7,Sales_Data!$AE$2:$AE$3520,1),SUMIFS(Sales_Data!$M$2:$M$3520,Sales_Data!$C$2:$C$3520,$A55,Sales_Data!$F$2:$F$3520,K$7,Sales_Data!$AE$2:$AE$3520,1),SUMIFS(Sales_Data!$N$2:$N$3520,Sales_Data!$C$2:$C$3520,$A55,Sales_Data!$F$2:$F$3520,K$7,Sales_Data!$AE$2:$AE$3520,1),SUMIFS(Sales_Data!$AE$2:$AE$3520,Sales_Data!$C$2:$C$3520,$A55,Sales_Data!$F$2:$F$3520,K$7)))</f>
        <v>0</v>
      </c>
      <c r="L55" s="26" t="n">
        <f aca="false">IF(L$7="","",CHOOSE(MATCH($B$4,Lists!$C$2:$C$5,0),SUMIFS(Sales_Data!$O$2:$O$3520,Sales_Data!$C$2:$C$3520,$A55,Sales_Data!$F$2:$F$3520,L$7,Sales_Data!$AE$2:$AE$3520,1),SUMIFS(Sales_Data!$M$2:$M$3520,Sales_Data!$C$2:$C$3520,$A55,Sales_Data!$F$2:$F$3520,L$7,Sales_Data!$AE$2:$AE$3520,1),SUMIFS(Sales_Data!$N$2:$N$3520,Sales_Data!$C$2:$C$3520,$A55,Sales_Data!$F$2:$F$3520,L$7,Sales_Data!$AE$2:$AE$3520,1),SUMIFS(Sales_Data!$AE$2:$AE$3520,Sales_Data!$C$2:$C$3520,$A55,Sales_Data!$F$2:$F$3520,L$7)))</f>
        <v>0</v>
      </c>
      <c r="M55" s="26" t="n">
        <f aca="false">IF(M$7="","",CHOOSE(MATCH($B$4,Lists!$C$2:$C$5,0),SUMIFS(Sales_Data!$O$2:$O$3520,Sales_Data!$C$2:$C$3520,$A55,Sales_Data!$F$2:$F$3520,M$7,Sales_Data!$AE$2:$AE$3520,1),SUMIFS(Sales_Data!$M$2:$M$3520,Sales_Data!$C$2:$C$3520,$A55,Sales_Data!$F$2:$F$3520,M$7,Sales_Data!$AE$2:$AE$3520,1),SUMIFS(Sales_Data!$N$2:$N$3520,Sales_Data!$C$2:$C$3520,$A55,Sales_Data!$F$2:$F$3520,M$7,Sales_Data!$AE$2:$AE$3520,1),SUMIFS(Sales_Data!$AE$2:$AE$3520,Sales_Data!$C$2:$C$3520,$A55,Sales_Data!$F$2:$F$3520,M$7)))</f>
        <v>0</v>
      </c>
      <c r="N55" s="26" t="n">
        <f aca="false">IF(N$7="","",CHOOSE(MATCH($B$4,Lists!$C$2:$C$5,0),SUMIFS(Sales_Data!$O$2:$O$3520,Sales_Data!$C$2:$C$3520,$A55,Sales_Data!$F$2:$F$3520,N$7,Sales_Data!$AE$2:$AE$3520,1),SUMIFS(Sales_Data!$M$2:$M$3520,Sales_Data!$C$2:$C$3520,$A55,Sales_Data!$F$2:$F$3520,N$7,Sales_Data!$AE$2:$AE$3520,1),SUMIFS(Sales_Data!$N$2:$N$3520,Sales_Data!$C$2:$C$3520,$A55,Sales_Data!$F$2:$F$3520,N$7,Sales_Data!$AE$2:$AE$3520,1),SUMIFS(Sales_Data!$AE$2:$AE$3520,Sales_Data!$C$2:$C$3520,$A55,Sales_Data!$F$2:$F$3520,N$7)))</f>
        <v>0</v>
      </c>
      <c r="O55" s="26" t="n">
        <f aca="false">IF(O$7="","",CHOOSE(MATCH($B$4,Lists!$C$2:$C$5,0),SUMIFS(Sales_Data!$O$2:$O$3520,Sales_Data!$C$2:$C$3520,$A55,Sales_Data!$F$2:$F$3520,O$7,Sales_Data!$AE$2:$AE$3520,1),SUMIFS(Sales_Data!$M$2:$M$3520,Sales_Data!$C$2:$C$3520,$A55,Sales_Data!$F$2:$F$3520,O$7,Sales_Data!$AE$2:$AE$3520,1),SUMIFS(Sales_Data!$N$2:$N$3520,Sales_Data!$C$2:$C$3520,$A55,Sales_Data!$F$2:$F$3520,O$7,Sales_Data!$AE$2:$AE$3520,1),SUMIFS(Sales_Data!$AE$2:$AE$3520,Sales_Data!$C$2:$C$3520,$A55,Sales_Data!$F$2:$F$3520,O$7)))</f>
        <v>0</v>
      </c>
      <c r="P55" s="26" t="n">
        <f aca="false">IF(P$7="","",CHOOSE(MATCH($B$4,Lists!$C$2:$C$5,0),SUMIFS(Sales_Data!$O$2:$O$3520,Sales_Data!$C$2:$C$3520,$A55,Sales_Data!$F$2:$F$3520,P$7,Sales_Data!$AE$2:$AE$3520,1),SUMIFS(Sales_Data!$M$2:$M$3520,Sales_Data!$C$2:$C$3520,$A55,Sales_Data!$F$2:$F$3520,P$7,Sales_Data!$AE$2:$AE$3520,1),SUMIFS(Sales_Data!$N$2:$N$3520,Sales_Data!$C$2:$C$3520,$A55,Sales_Data!$F$2:$F$3520,P$7,Sales_Data!$AE$2:$AE$3520,1),SUMIFS(Sales_Data!$AE$2:$AE$3520,Sales_Data!$C$2:$C$3520,$A55,Sales_Data!$F$2:$F$3520,P$7)))</f>
        <v>0</v>
      </c>
      <c r="Q55" s="26" t="n">
        <f aca="false">IF(Q$7="","",CHOOSE(MATCH($B$4,Lists!$C$2:$C$5,0),SUMIFS(Sales_Data!$O$2:$O$3520,Sales_Data!$C$2:$C$3520,$A55,Sales_Data!$F$2:$F$3520,Q$7,Sales_Data!$AE$2:$AE$3520,1),SUMIFS(Sales_Data!$M$2:$M$3520,Sales_Data!$C$2:$C$3520,$A55,Sales_Data!$F$2:$F$3520,Q$7,Sales_Data!$AE$2:$AE$3520,1),SUMIFS(Sales_Data!$N$2:$N$3520,Sales_Data!$C$2:$C$3520,$A55,Sales_Data!$F$2:$F$3520,Q$7,Sales_Data!$AE$2:$AE$3520,1),SUMIFS(Sales_Data!$AE$2:$AE$3520,Sales_Data!$C$2:$C$3520,$A55,Sales_Data!$F$2:$F$3520,Q$7)))</f>
        <v>0</v>
      </c>
      <c r="R55" s="26" t="n">
        <f aca="false">IF(R$7="","",CHOOSE(MATCH($B$4,Lists!$C$2:$C$5,0),SUMIFS(Sales_Data!$O$2:$O$3520,Sales_Data!$C$2:$C$3520,$A55,Sales_Data!$F$2:$F$3520,R$7,Sales_Data!$AE$2:$AE$3520,1),SUMIFS(Sales_Data!$M$2:$M$3520,Sales_Data!$C$2:$C$3520,$A55,Sales_Data!$F$2:$F$3520,R$7,Sales_Data!$AE$2:$AE$3520,1),SUMIFS(Sales_Data!$N$2:$N$3520,Sales_Data!$C$2:$C$3520,$A55,Sales_Data!$F$2:$F$3520,R$7,Sales_Data!$AE$2:$AE$3520,1),SUMIFS(Sales_Data!$AE$2:$AE$3520,Sales_Data!$C$2:$C$3520,$A55,Sales_Data!$F$2:$F$3520,R$7)))</f>
        <v>0</v>
      </c>
      <c r="S55" s="26" t="n">
        <f aca="false">IF(S$7="","",CHOOSE(MATCH($B$4,Lists!$C$2:$C$5,0),SUMIFS(Sales_Data!$O$2:$O$3520,Sales_Data!$C$2:$C$3520,$A55,Sales_Data!$F$2:$F$3520,S$7,Sales_Data!$AE$2:$AE$3520,1),SUMIFS(Sales_Data!$M$2:$M$3520,Sales_Data!$C$2:$C$3520,$A55,Sales_Data!$F$2:$F$3520,S$7,Sales_Data!$AE$2:$AE$3520,1),SUMIFS(Sales_Data!$N$2:$N$3520,Sales_Data!$C$2:$C$3520,$A55,Sales_Data!$F$2:$F$3520,S$7,Sales_Data!$AE$2:$AE$3520,1),SUMIFS(Sales_Data!$AE$2:$AE$3520,Sales_Data!$C$2:$C$3520,$A55,Sales_Data!$F$2:$F$3520,S$7)))</f>
        <v>0</v>
      </c>
      <c r="T55" s="26" t="str">
        <f aca="false">IF(T$7="","",CHOOSE(MATCH($B$4,Lists!$C$2:$C$5,0),SUMIFS(Sales_Data!$O$2:$O$3520,Sales_Data!$C$2:$C$3520,$A55,Sales_Data!$F$2:$F$3520,T$7,Sales_Data!$AE$2:$AE$3520,1),SUMIFS(Sales_Data!$M$2:$M$3520,Sales_Data!$C$2:$C$3520,$A55,Sales_Data!$F$2:$F$3520,T$7,Sales_Data!$AE$2:$AE$3520,1),SUMIFS(Sales_Data!$N$2:$N$3520,Sales_Data!$C$2:$C$3520,$A55,Sales_Data!$F$2:$F$3520,T$7,Sales_Data!$AE$2:$AE$3520,1),SUMIFS(Sales_Data!$AE$2:$AE$3520,Sales_Data!$C$2:$C$3520,$A55,Sales_Data!$F$2:$F$3520,T$7)))</f>
        <v/>
      </c>
      <c r="U55" s="26" t="str">
        <f aca="false">IF(U$7="","",CHOOSE(MATCH($B$4,Lists!$C$2:$C$5,0),SUMIFS(Sales_Data!$O$2:$O$3520,Sales_Data!$C$2:$C$3520,$A55,Sales_Data!$F$2:$F$3520,U$7,Sales_Data!$AE$2:$AE$3520,1),SUMIFS(Sales_Data!$M$2:$M$3520,Sales_Data!$C$2:$C$3520,$A55,Sales_Data!$F$2:$F$3520,U$7,Sales_Data!$AE$2:$AE$3520,1),SUMIFS(Sales_Data!$N$2:$N$3520,Sales_Data!$C$2:$C$3520,$A55,Sales_Data!$F$2:$F$3520,U$7,Sales_Data!$AE$2:$AE$3520,1),SUMIFS(Sales_Data!$AE$2:$AE$3520,Sales_Data!$C$2:$C$3520,$A55,Sales_Data!$F$2:$F$3520,U$7)))</f>
        <v/>
      </c>
      <c r="V55" s="26" t="str">
        <f aca="false">IF(V$7="","",CHOOSE(MATCH($B$4,Lists!$C$2:$C$5,0),SUMIFS(Sales_Data!$O$2:$O$3520,Sales_Data!$C$2:$C$3520,$A55,Sales_Data!$F$2:$F$3520,V$7,Sales_Data!$AE$2:$AE$3520,1),SUMIFS(Sales_Data!$M$2:$M$3520,Sales_Data!$C$2:$C$3520,$A55,Sales_Data!$F$2:$F$3520,V$7,Sales_Data!$AE$2:$AE$3520,1),SUMIFS(Sales_Data!$N$2:$N$3520,Sales_Data!$C$2:$C$3520,$A55,Sales_Data!$F$2:$F$3520,V$7,Sales_Data!$AE$2:$AE$3520,1),SUMIFS(Sales_Data!$AE$2:$AE$3520,Sales_Data!$C$2:$C$3520,$A55,Sales_Data!$F$2:$F$3520,V$7)))</f>
        <v/>
      </c>
      <c r="W55" s="26" t="str">
        <f aca="false">IF(W$7="","",CHOOSE(MATCH($B$4,Lists!$C$2:$C$5,0),SUMIFS(Sales_Data!$O$2:$O$3520,Sales_Data!$C$2:$C$3520,$A55,Sales_Data!$F$2:$F$3520,W$7,Sales_Data!$AE$2:$AE$3520,1),SUMIFS(Sales_Data!$M$2:$M$3520,Sales_Data!$C$2:$C$3520,$A55,Sales_Data!$F$2:$F$3520,W$7,Sales_Data!$AE$2:$AE$3520,1),SUMIFS(Sales_Data!$N$2:$N$3520,Sales_Data!$C$2:$C$3520,$A55,Sales_Data!$F$2:$F$3520,W$7,Sales_Data!$AE$2:$AE$3520,1),SUMIFS(Sales_Data!$AE$2:$AE$3520,Sales_Data!$C$2:$C$3520,$A55,Sales_Data!$F$2:$F$3520,W$7)))</f>
        <v/>
      </c>
      <c r="X55" s="26" t="str">
        <f aca="false">IF(X$7="","",CHOOSE(MATCH($B$4,Lists!$C$2:$C$5,0),SUMIFS(Sales_Data!$O$2:$O$3520,Sales_Data!$C$2:$C$3520,$A55,Sales_Data!$F$2:$F$3520,X$7,Sales_Data!$AE$2:$AE$3520,1),SUMIFS(Sales_Data!$M$2:$M$3520,Sales_Data!$C$2:$C$3520,$A55,Sales_Data!$F$2:$F$3520,X$7,Sales_Data!$AE$2:$AE$3520,1),SUMIFS(Sales_Data!$N$2:$N$3520,Sales_Data!$C$2:$C$3520,$A55,Sales_Data!$F$2:$F$3520,X$7,Sales_Data!$AE$2:$AE$3520,1),SUMIFS(Sales_Data!$AE$2:$AE$3520,Sales_Data!$C$2:$C$3520,$A55,Sales_Data!$F$2:$F$3520,X$7)))</f>
        <v/>
      </c>
      <c r="Y55" s="26" t="str">
        <f aca="false">IF(Y$7="","",CHOOSE(MATCH($B$4,Lists!$C$2:$C$5,0),SUMIFS(Sales_Data!$O$2:$O$3520,Sales_Data!$C$2:$C$3520,$A55,Sales_Data!$F$2:$F$3520,Y$7,Sales_Data!$AE$2:$AE$3520,1),SUMIFS(Sales_Data!$M$2:$M$3520,Sales_Data!$C$2:$C$3520,$A55,Sales_Data!$F$2:$F$3520,Y$7,Sales_Data!$AE$2:$AE$3520,1),SUMIFS(Sales_Data!$N$2:$N$3520,Sales_Data!$C$2:$C$3520,$A55,Sales_Data!$F$2:$F$3520,Y$7,Sales_Data!$AE$2:$AE$3520,1),SUMIFS(Sales_Data!$AE$2:$AE$3520,Sales_Data!$C$2:$C$3520,$A55,Sales_Data!$F$2:$F$3520,Y$7)))</f>
        <v/>
      </c>
      <c r="Z55" s="26" t="str">
        <f aca="false">IF(Z$7="","",CHOOSE(MATCH($B$4,Lists!$C$2:$C$5,0),SUMIFS(Sales_Data!$O$2:$O$3520,Sales_Data!$C$2:$C$3520,$A55,Sales_Data!$F$2:$F$3520,Z$7,Sales_Data!$AE$2:$AE$3520,1),SUMIFS(Sales_Data!$M$2:$M$3520,Sales_Data!$C$2:$C$3520,$A55,Sales_Data!$F$2:$F$3520,Z$7,Sales_Data!$AE$2:$AE$3520,1),SUMIFS(Sales_Data!$N$2:$N$3520,Sales_Data!$C$2:$C$3520,$A55,Sales_Data!$F$2:$F$3520,Z$7,Sales_Data!$AE$2:$AE$3520,1),SUMIFS(Sales_Data!$AE$2:$AE$3520,Sales_Data!$C$2:$C$3520,$A55,Sales_Data!$F$2:$F$3520,Z$7)))</f>
        <v/>
      </c>
      <c r="AA55" s="27" t="n">
        <f aca="false">SUM(B55:Z55)</f>
        <v>0</v>
      </c>
      <c r="AB55" s="3"/>
      <c r="AC55" s="72" t="n">
        <f aca="false">A55</f>
        <v>46262</v>
      </c>
      <c r="AD55" s="28" t="n">
        <f aca="false">IF(B55="","",B55-B54)</f>
        <v>0</v>
      </c>
      <c r="AE55" s="28" t="n">
        <f aca="false">IF(C55="","",C55-C54)</f>
        <v>0</v>
      </c>
      <c r="AF55" s="28" t="n">
        <f aca="false">IF(D55="","",D55-D54)</f>
        <v>0</v>
      </c>
      <c r="AG55" s="28" t="n">
        <f aca="false">IF(E55="","",E55-E54)</f>
        <v>0</v>
      </c>
      <c r="AH55" s="28" t="n">
        <f aca="false">IF(F55="","",F55-F54)</f>
        <v>0</v>
      </c>
      <c r="AI55" s="28" t="n">
        <f aca="false">IF(G55="","",G55-G54)</f>
        <v>0</v>
      </c>
      <c r="AJ55" s="28" t="n">
        <f aca="false">IF(H55="","",H55-H54)</f>
        <v>0</v>
      </c>
      <c r="AK55" s="28" t="n">
        <f aca="false">IF(I55="","",I55-I54)</f>
        <v>0</v>
      </c>
      <c r="AL55" s="28" t="n">
        <f aca="false">IF(J55="","",J55-J54)</f>
        <v>0</v>
      </c>
      <c r="AM55" s="28" t="n">
        <f aca="false">IF(K55="","",K55-K54)</f>
        <v>0</v>
      </c>
      <c r="AN55" s="28" t="n">
        <f aca="false">IF(L55="","",L55-L54)</f>
        <v>0</v>
      </c>
      <c r="AO55" s="28" t="n">
        <f aca="false">IF(M55="","",M55-M54)</f>
        <v>0</v>
      </c>
      <c r="AP55" s="28" t="n">
        <f aca="false">IF(N55="","",N55-N54)</f>
        <v>0</v>
      </c>
      <c r="AQ55" s="28" t="n">
        <f aca="false">IF(O55="","",O55-O54)</f>
        <v>0</v>
      </c>
      <c r="AR55" s="28" t="n">
        <f aca="false">IF(P55="","",P55-P54)</f>
        <v>0</v>
      </c>
      <c r="AS55" s="28" t="n">
        <f aca="false">IF(Q55="","",Q55-Q54)</f>
        <v>0</v>
      </c>
      <c r="AT55" s="28" t="n">
        <f aca="false">IF(R55="","",R55-R54)</f>
        <v>0</v>
      </c>
      <c r="AU55" s="28" t="n">
        <f aca="false">IF(S55="","",S55-S54)</f>
        <v>0</v>
      </c>
      <c r="AV55" s="28" t="str">
        <f aca="false">IF(T55="","",T55-T54)</f>
        <v/>
      </c>
      <c r="AW55" s="28" t="str">
        <f aca="false">IF(U55="","",U55-U54)</f>
        <v/>
      </c>
      <c r="AX55" s="28" t="str">
        <f aca="false">IF(V55="","",V55-V54)</f>
        <v/>
      </c>
      <c r="AY55" s="28" t="str">
        <f aca="false">IF(W55="","",W55-W54)</f>
        <v/>
      </c>
      <c r="AZ55" s="28" t="str">
        <f aca="false">IF(X55="","",X55-X54)</f>
        <v/>
      </c>
      <c r="BA55" s="28" t="str">
        <f aca="false">IF(Y55="","",Y55-Y54)</f>
        <v/>
      </c>
      <c r="BB55" s="28" t="str">
        <f aca="false">IF(Z55="","",Z55-Z54)</f>
        <v/>
      </c>
      <c r="BC55" s="28" t="n">
        <f aca="false">IF(AA55="","",AA55-AA54)</f>
        <v>0</v>
      </c>
    </row>
    <row r="56" customFormat="false" ht="15" hidden="false" customHeight="false" outlineLevel="0" collapsed="false">
      <c r="A56" s="72" t="n">
        <v>46263</v>
      </c>
      <c r="B56" s="26" t="n">
        <f aca="false">IF(B$7="","",CHOOSE(MATCH($B$4,Lists!$C$2:$C$5,0),SUMIFS(Sales_Data!$O$2:$O$3520,Sales_Data!$C$2:$C$3520,$A56,Sales_Data!$F$2:$F$3520,B$7,Sales_Data!$AE$2:$AE$3520,1),SUMIFS(Sales_Data!$M$2:$M$3520,Sales_Data!$C$2:$C$3520,$A56,Sales_Data!$F$2:$F$3520,B$7,Sales_Data!$AE$2:$AE$3520,1),SUMIFS(Sales_Data!$N$2:$N$3520,Sales_Data!$C$2:$C$3520,$A56,Sales_Data!$F$2:$F$3520,B$7,Sales_Data!$AE$2:$AE$3520,1),SUMIFS(Sales_Data!$AE$2:$AE$3520,Sales_Data!$C$2:$C$3520,$A56,Sales_Data!$F$2:$F$3520,B$7)))</f>
        <v>0</v>
      </c>
      <c r="C56" s="26" t="n">
        <f aca="false">IF(C$7="","",CHOOSE(MATCH($B$4,Lists!$C$2:$C$5,0),SUMIFS(Sales_Data!$O$2:$O$3520,Sales_Data!$C$2:$C$3520,$A56,Sales_Data!$F$2:$F$3520,C$7,Sales_Data!$AE$2:$AE$3520,1),SUMIFS(Sales_Data!$M$2:$M$3520,Sales_Data!$C$2:$C$3520,$A56,Sales_Data!$F$2:$F$3520,C$7,Sales_Data!$AE$2:$AE$3520,1),SUMIFS(Sales_Data!$N$2:$N$3520,Sales_Data!$C$2:$C$3520,$A56,Sales_Data!$F$2:$F$3520,C$7,Sales_Data!$AE$2:$AE$3520,1),SUMIFS(Sales_Data!$AE$2:$AE$3520,Sales_Data!$C$2:$C$3520,$A56,Sales_Data!$F$2:$F$3520,C$7)))</f>
        <v>0</v>
      </c>
      <c r="D56" s="26" t="n">
        <f aca="false">IF(D$7="","",CHOOSE(MATCH($B$4,Lists!$C$2:$C$5,0),SUMIFS(Sales_Data!$O$2:$O$3520,Sales_Data!$C$2:$C$3520,$A56,Sales_Data!$F$2:$F$3520,D$7,Sales_Data!$AE$2:$AE$3520,1),SUMIFS(Sales_Data!$M$2:$M$3520,Sales_Data!$C$2:$C$3520,$A56,Sales_Data!$F$2:$F$3520,D$7,Sales_Data!$AE$2:$AE$3520,1),SUMIFS(Sales_Data!$N$2:$N$3520,Sales_Data!$C$2:$C$3520,$A56,Sales_Data!$F$2:$F$3520,D$7,Sales_Data!$AE$2:$AE$3520,1),SUMIFS(Sales_Data!$AE$2:$AE$3520,Sales_Data!$C$2:$C$3520,$A56,Sales_Data!$F$2:$F$3520,D$7)))</f>
        <v>0</v>
      </c>
      <c r="E56" s="26" t="n">
        <f aca="false">IF(E$7="","",CHOOSE(MATCH($B$4,Lists!$C$2:$C$5,0),SUMIFS(Sales_Data!$O$2:$O$3520,Sales_Data!$C$2:$C$3520,$A56,Sales_Data!$F$2:$F$3520,E$7,Sales_Data!$AE$2:$AE$3520,1),SUMIFS(Sales_Data!$M$2:$M$3520,Sales_Data!$C$2:$C$3520,$A56,Sales_Data!$F$2:$F$3520,E$7,Sales_Data!$AE$2:$AE$3520,1),SUMIFS(Sales_Data!$N$2:$N$3520,Sales_Data!$C$2:$C$3520,$A56,Sales_Data!$F$2:$F$3520,E$7,Sales_Data!$AE$2:$AE$3520,1),SUMIFS(Sales_Data!$AE$2:$AE$3520,Sales_Data!$C$2:$C$3520,$A56,Sales_Data!$F$2:$F$3520,E$7)))</f>
        <v>0</v>
      </c>
      <c r="F56" s="26" t="n">
        <f aca="false">IF(F$7="","",CHOOSE(MATCH($B$4,Lists!$C$2:$C$5,0),SUMIFS(Sales_Data!$O$2:$O$3520,Sales_Data!$C$2:$C$3520,$A56,Sales_Data!$F$2:$F$3520,F$7,Sales_Data!$AE$2:$AE$3520,1),SUMIFS(Sales_Data!$M$2:$M$3520,Sales_Data!$C$2:$C$3520,$A56,Sales_Data!$F$2:$F$3520,F$7,Sales_Data!$AE$2:$AE$3520,1),SUMIFS(Sales_Data!$N$2:$N$3520,Sales_Data!$C$2:$C$3520,$A56,Sales_Data!$F$2:$F$3520,F$7,Sales_Data!$AE$2:$AE$3520,1),SUMIFS(Sales_Data!$AE$2:$AE$3520,Sales_Data!$C$2:$C$3520,$A56,Sales_Data!$F$2:$F$3520,F$7)))</f>
        <v>0</v>
      </c>
      <c r="G56" s="26" t="n">
        <f aca="false">IF(G$7="","",CHOOSE(MATCH($B$4,Lists!$C$2:$C$5,0),SUMIFS(Sales_Data!$O$2:$O$3520,Sales_Data!$C$2:$C$3520,$A56,Sales_Data!$F$2:$F$3520,G$7,Sales_Data!$AE$2:$AE$3520,1),SUMIFS(Sales_Data!$M$2:$M$3520,Sales_Data!$C$2:$C$3520,$A56,Sales_Data!$F$2:$F$3520,G$7,Sales_Data!$AE$2:$AE$3520,1),SUMIFS(Sales_Data!$N$2:$N$3520,Sales_Data!$C$2:$C$3520,$A56,Sales_Data!$F$2:$F$3520,G$7,Sales_Data!$AE$2:$AE$3520,1),SUMIFS(Sales_Data!$AE$2:$AE$3520,Sales_Data!$C$2:$C$3520,$A56,Sales_Data!$F$2:$F$3520,G$7)))</f>
        <v>0</v>
      </c>
      <c r="H56" s="26" t="n">
        <f aca="false">IF(H$7="","",CHOOSE(MATCH($B$4,Lists!$C$2:$C$5,0),SUMIFS(Sales_Data!$O$2:$O$3520,Sales_Data!$C$2:$C$3520,$A56,Sales_Data!$F$2:$F$3520,H$7,Sales_Data!$AE$2:$AE$3520,1),SUMIFS(Sales_Data!$M$2:$M$3520,Sales_Data!$C$2:$C$3520,$A56,Sales_Data!$F$2:$F$3520,H$7,Sales_Data!$AE$2:$AE$3520,1),SUMIFS(Sales_Data!$N$2:$N$3520,Sales_Data!$C$2:$C$3520,$A56,Sales_Data!$F$2:$F$3520,H$7,Sales_Data!$AE$2:$AE$3520,1),SUMIFS(Sales_Data!$AE$2:$AE$3520,Sales_Data!$C$2:$C$3520,$A56,Sales_Data!$F$2:$F$3520,H$7)))</f>
        <v>0</v>
      </c>
      <c r="I56" s="26" t="n">
        <f aca="false">IF(I$7="","",CHOOSE(MATCH($B$4,Lists!$C$2:$C$5,0),SUMIFS(Sales_Data!$O$2:$O$3520,Sales_Data!$C$2:$C$3520,$A56,Sales_Data!$F$2:$F$3520,I$7,Sales_Data!$AE$2:$AE$3520,1),SUMIFS(Sales_Data!$M$2:$M$3520,Sales_Data!$C$2:$C$3520,$A56,Sales_Data!$F$2:$F$3520,I$7,Sales_Data!$AE$2:$AE$3520,1),SUMIFS(Sales_Data!$N$2:$N$3520,Sales_Data!$C$2:$C$3520,$A56,Sales_Data!$F$2:$F$3520,I$7,Sales_Data!$AE$2:$AE$3520,1),SUMIFS(Sales_Data!$AE$2:$AE$3520,Sales_Data!$C$2:$C$3520,$A56,Sales_Data!$F$2:$F$3520,I$7)))</f>
        <v>0</v>
      </c>
      <c r="J56" s="26" t="n">
        <f aca="false">IF(J$7="","",CHOOSE(MATCH($B$4,Lists!$C$2:$C$5,0),SUMIFS(Sales_Data!$O$2:$O$3520,Sales_Data!$C$2:$C$3520,$A56,Sales_Data!$F$2:$F$3520,J$7,Sales_Data!$AE$2:$AE$3520,1),SUMIFS(Sales_Data!$M$2:$M$3520,Sales_Data!$C$2:$C$3520,$A56,Sales_Data!$F$2:$F$3520,J$7,Sales_Data!$AE$2:$AE$3520,1),SUMIFS(Sales_Data!$N$2:$N$3520,Sales_Data!$C$2:$C$3520,$A56,Sales_Data!$F$2:$F$3520,J$7,Sales_Data!$AE$2:$AE$3520,1),SUMIFS(Sales_Data!$AE$2:$AE$3520,Sales_Data!$C$2:$C$3520,$A56,Sales_Data!$F$2:$F$3520,J$7)))</f>
        <v>0</v>
      </c>
      <c r="K56" s="26" t="n">
        <f aca="false">IF(K$7="","",CHOOSE(MATCH($B$4,Lists!$C$2:$C$5,0),SUMIFS(Sales_Data!$O$2:$O$3520,Sales_Data!$C$2:$C$3520,$A56,Sales_Data!$F$2:$F$3520,K$7,Sales_Data!$AE$2:$AE$3520,1),SUMIFS(Sales_Data!$M$2:$M$3520,Sales_Data!$C$2:$C$3520,$A56,Sales_Data!$F$2:$F$3520,K$7,Sales_Data!$AE$2:$AE$3520,1),SUMIFS(Sales_Data!$N$2:$N$3520,Sales_Data!$C$2:$C$3520,$A56,Sales_Data!$F$2:$F$3520,K$7,Sales_Data!$AE$2:$AE$3520,1),SUMIFS(Sales_Data!$AE$2:$AE$3520,Sales_Data!$C$2:$C$3520,$A56,Sales_Data!$F$2:$F$3520,K$7)))</f>
        <v>0</v>
      </c>
      <c r="L56" s="26" t="n">
        <f aca="false">IF(L$7="","",CHOOSE(MATCH($B$4,Lists!$C$2:$C$5,0),SUMIFS(Sales_Data!$O$2:$O$3520,Sales_Data!$C$2:$C$3520,$A56,Sales_Data!$F$2:$F$3520,L$7,Sales_Data!$AE$2:$AE$3520,1),SUMIFS(Sales_Data!$M$2:$M$3520,Sales_Data!$C$2:$C$3520,$A56,Sales_Data!$F$2:$F$3520,L$7,Sales_Data!$AE$2:$AE$3520,1),SUMIFS(Sales_Data!$N$2:$N$3520,Sales_Data!$C$2:$C$3520,$A56,Sales_Data!$F$2:$F$3520,L$7,Sales_Data!$AE$2:$AE$3520,1),SUMIFS(Sales_Data!$AE$2:$AE$3520,Sales_Data!$C$2:$C$3520,$A56,Sales_Data!$F$2:$F$3520,L$7)))</f>
        <v>0</v>
      </c>
      <c r="M56" s="26" t="n">
        <f aca="false">IF(M$7="","",CHOOSE(MATCH($B$4,Lists!$C$2:$C$5,0),SUMIFS(Sales_Data!$O$2:$O$3520,Sales_Data!$C$2:$C$3520,$A56,Sales_Data!$F$2:$F$3520,M$7,Sales_Data!$AE$2:$AE$3520,1),SUMIFS(Sales_Data!$M$2:$M$3520,Sales_Data!$C$2:$C$3520,$A56,Sales_Data!$F$2:$F$3520,M$7,Sales_Data!$AE$2:$AE$3520,1),SUMIFS(Sales_Data!$N$2:$N$3520,Sales_Data!$C$2:$C$3520,$A56,Sales_Data!$F$2:$F$3520,M$7,Sales_Data!$AE$2:$AE$3520,1),SUMIFS(Sales_Data!$AE$2:$AE$3520,Sales_Data!$C$2:$C$3520,$A56,Sales_Data!$F$2:$F$3520,M$7)))</f>
        <v>0</v>
      </c>
      <c r="N56" s="26" t="n">
        <f aca="false">IF(N$7="","",CHOOSE(MATCH($B$4,Lists!$C$2:$C$5,0),SUMIFS(Sales_Data!$O$2:$O$3520,Sales_Data!$C$2:$C$3520,$A56,Sales_Data!$F$2:$F$3520,N$7,Sales_Data!$AE$2:$AE$3520,1),SUMIFS(Sales_Data!$M$2:$M$3520,Sales_Data!$C$2:$C$3520,$A56,Sales_Data!$F$2:$F$3520,N$7,Sales_Data!$AE$2:$AE$3520,1),SUMIFS(Sales_Data!$N$2:$N$3520,Sales_Data!$C$2:$C$3520,$A56,Sales_Data!$F$2:$F$3520,N$7,Sales_Data!$AE$2:$AE$3520,1),SUMIFS(Sales_Data!$AE$2:$AE$3520,Sales_Data!$C$2:$C$3520,$A56,Sales_Data!$F$2:$F$3520,N$7)))</f>
        <v>0</v>
      </c>
      <c r="O56" s="26" t="n">
        <f aca="false">IF(O$7="","",CHOOSE(MATCH($B$4,Lists!$C$2:$C$5,0),SUMIFS(Sales_Data!$O$2:$O$3520,Sales_Data!$C$2:$C$3520,$A56,Sales_Data!$F$2:$F$3520,O$7,Sales_Data!$AE$2:$AE$3520,1),SUMIFS(Sales_Data!$M$2:$M$3520,Sales_Data!$C$2:$C$3520,$A56,Sales_Data!$F$2:$F$3520,O$7,Sales_Data!$AE$2:$AE$3520,1),SUMIFS(Sales_Data!$N$2:$N$3520,Sales_Data!$C$2:$C$3520,$A56,Sales_Data!$F$2:$F$3520,O$7,Sales_Data!$AE$2:$AE$3520,1),SUMIFS(Sales_Data!$AE$2:$AE$3520,Sales_Data!$C$2:$C$3520,$A56,Sales_Data!$F$2:$F$3520,O$7)))</f>
        <v>0</v>
      </c>
      <c r="P56" s="26" t="n">
        <f aca="false">IF(P$7="","",CHOOSE(MATCH($B$4,Lists!$C$2:$C$5,0),SUMIFS(Sales_Data!$O$2:$O$3520,Sales_Data!$C$2:$C$3520,$A56,Sales_Data!$F$2:$F$3520,P$7,Sales_Data!$AE$2:$AE$3520,1),SUMIFS(Sales_Data!$M$2:$M$3520,Sales_Data!$C$2:$C$3520,$A56,Sales_Data!$F$2:$F$3520,P$7,Sales_Data!$AE$2:$AE$3520,1),SUMIFS(Sales_Data!$N$2:$N$3520,Sales_Data!$C$2:$C$3520,$A56,Sales_Data!$F$2:$F$3520,P$7,Sales_Data!$AE$2:$AE$3520,1),SUMIFS(Sales_Data!$AE$2:$AE$3520,Sales_Data!$C$2:$C$3520,$A56,Sales_Data!$F$2:$F$3520,P$7)))</f>
        <v>0</v>
      </c>
      <c r="Q56" s="26" t="n">
        <f aca="false">IF(Q$7="","",CHOOSE(MATCH($B$4,Lists!$C$2:$C$5,0),SUMIFS(Sales_Data!$O$2:$O$3520,Sales_Data!$C$2:$C$3520,$A56,Sales_Data!$F$2:$F$3520,Q$7,Sales_Data!$AE$2:$AE$3520,1),SUMIFS(Sales_Data!$M$2:$M$3520,Sales_Data!$C$2:$C$3520,$A56,Sales_Data!$F$2:$F$3520,Q$7,Sales_Data!$AE$2:$AE$3520,1),SUMIFS(Sales_Data!$N$2:$N$3520,Sales_Data!$C$2:$C$3520,$A56,Sales_Data!$F$2:$F$3520,Q$7,Sales_Data!$AE$2:$AE$3520,1),SUMIFS(Sales_Data!$AE$2:$AE$3520,Sales_Data!$C$2:$C$3520,$A56,Sales_Data!$F$2:$F$3520,Q$7)))</f>
        <v>0</v>
      </c>
      <c r="R56" s="26" t="n">
        <f aca="false">IF(R$7="","",CHOOSE(MATCH($B$4,Lists!$C$2:$C$5,0),SUMIFS(Sales_Data!$O$2:$O$3520,Sales_Data!$C$2:$C$3520,$A56,Sales_Data!$F$2:$F$3520,R$7,Sales_Data!$AE$2:$AE$3520,1),SUMIFS(Sales_Data!$M$2:$M$3520,Sales_Data!$C$2:$C$3520,$A56,Sales_Data!$F$2:$F$3520,R$7,Sales_Data!$AE$2:$AE$3520,1),SUMIFS(Sales_Data!$N$2:$N$3520,Sales_Data!$C$2:$C$3520,$A56,Sales_Data!$F$2:$F$3520,R$7,Sales_Data!$AE$2:$AE$3520,1),SUMIFS(Sales_Data!$AE$2:$AE$3520,Sales_Data!$C$2:$C$3520,$A56,Sales_Data!$F$2:$F$3520,R$7)))</f>
        <v>0</v>
      </c>
      <c r="S56" s="26" t="n">
        <f aca="false">IF(S$7="","",CHOOSE(MATCH($B$4,Lists!$C$2:$C$5,0),SUMIFS(Sales_Data!$O$2:$O$3520,Sales_Data!$C$2:$C$3520,$A56,Sales_Data!$F$2:$F$3520,S$7,Sales_Data!$AE$2:$AE$3520,1),SUMIFS(Sales_Data!$M$2:$M$3520,Sales_Data!$C$2:$C$3520,$A56,Sales_Data!$F$2:$F$3520,S$7,Sales_Data!$AE$2:$AE$3520,1),SUMIFS(Sales_Data!$N$2:$N$3520,Sales_Data!$C$2:$C$3520,$A56,Sales_Data!$F$2:$F$3520,S$7,Sales_Data!$AE$2:$AE$3520,1),SUMIFS(Sales_Data!$AE$2:$AE$3520,Sales_Data!$C$2:$C$3520,$A56,Sales_Data!$F$2:$F$3520,S$7)))</f>
        <v>0</v>
      </c>
      <c r="T56" s="26" t="str">
        <f aca="false">IF(T$7="","",CHOOSE(MATCH($B$4,Lists!$C$2:$C$5,0),SUMIFS(Sales_Data!$O$2:$O$3520,Sales_Data!$C$2:$C$3520,$A56,Sales_Data!$F$2:$F$3520,T$7,Sales_Data!$AE$2:$AE$3520,1),SUMIFS(Sales_Data!$M$2:$M$3520,Sales_Data!$C$2:$C$3520,$A56,Sales_Data!$F$2:$F$3520,T$7,Sales_Data!$AE$2:$AE$3520,1),SUMIFS(Sales_Data!$N$2:$N$3520,Sales_Data!$C$2:$C$3520,$A56,Sales_Data!$F$2:$F$3520,T$7,Sales_Data!$AE$2:$AE$3520,1),SUMIFS(Sales_Data!$AE$2:$AE$3520,Sales_Data!$C$2:$C$3520,$A56,Sales_Data!$F$2:$F$3520,T$7)))</f>
        <v/>
      </c>
      <c r="U56" s="26" t="str">
        <f aca="false">IF(U$7="","",CHOOSE(MATCH($B$4,Lists!$C$2:$C$5,0),SUMIFS(Sales_Data!$O$2:$O$3520,Sales_Data!$C$2:$C$3520,$A56,Sales_Data!$F$2:$F$3520,U$7,Sales_Data!$AE$2:$AE$3520,1),SUMIFS(Sales_Data!$M$2:$M$3520,Sales_Data!$C$2:$C$3520,$A56,Sales_Data!$F$2:$F$3520,U$7,Sales_Data!$AE$2:$AE$3520,1),SUMIFS(Sales_Data!$N$2:$N$3520,Sales_Data!$C$2:$C$3520,$A56,Sales_Data!$F$2:$F$3520,U$7,Sales_Data!$AE$2:$AE$3520,1),SUMIFS(Sales_Data!$AE$2:$AE$3520,Sales_Data!$C$2:$C$3520,$A56,Sales_Data!$F$2:$F$3520,U$7)))</f>
        <v/>
      </c>
      <c r="V56" s="26" t="str">
        <f aca="false">IF(V$7="","",CHOOSE(MATCH($B$4,Lists!$C$2:$C$5,0),SUMIFS(Sales_Data!$O$2:$O$3520,Sales_Data!$C$2:$C$3520,$A56,Sales_Data!$F$2:$F$3520,V$7,Sales_Data!$AE$2:$AE$3520,1),SUMIFS(Sales_Data!$M$2:$M$3520,Sales_Data!$C$2:$C$3520,$A56,Sales_Data!$F$2:$F$3520,V$7,Sales_Data!$AE$2:$AE$3520,1),SUMIFS(Sales_Data!$N$2:$N$3520,Sales_Data!$C$2:$C$3520,$A56,Sales_Data!$F$2:$F$3520,V$7,Sales_Data!$AE$2:$AE$3520,1),SUMIFS(Sales_Data!$AE$2:$AE$3520,Sales_Data!$C$2:$C$3520,$A56,Sales_Data!$F$2:$F$3520,V$7)))</f>
        <v/>
      </c>
      <c r="W56" s="26" t="str">
        <f aca="false">IF(W$7="","",CHOOSE(MATCH($B$4,Lists!$C$2:$C$5,0),SUMIFS(Sales_Data!$O$2:$O$3520,Sales_Data!$C$2:$C$3520,$A56,Sales_Data!$F$2:$F$3520,W$7,Sales_Data!$AE$2:$AE$3520,1),SUMIFS(Sales_Data!$M$2:$M$3520,Sales_Data!$C$2:$C$3520,$A56,Sales_Data!$F$2:$F$3520,W$7,Sales_Data!$AE$2:$AE$3520,1),SUMIFS(Sales_Data!$N$2:$N$3520,Sales_Data!$C$2:$C$3520,$A56,Sales_Data!$F$2:$F$3520,W$7,Sales_Data!$AE$2:$AE$3520,1),SUMIFS(Sales_Data!$AE$2:$AE$3520,Sales_Data!$C$2:$C$3520,$A56,Sales_Data!$F$2:$F$3520,W$7)))</f>
        <v/>
      </c>
      <c r="X56" s="26" t="str">
        <f aca="false">IF(X$7="","",CHOOSE(MATCH($B$4,Lists!$C$2:$C$5,0),SUMIFS(Sales_Data!$O$2:$O$3520,Sales_Data!$C$2:$C$3520,$A56,Sales_Data!$F$2:$F$3520,X$7,Sales_Data!$AE$2:$AE$3520,1),SUMIFS(Sales_Data!$M$2:$M$3520,Sales_Data!$C$2:$C$3520,$A56,Sales_Data!$F$2:$F$3520,X$7,Sales_Data!$AE$2:$AE$3520,1),SUMIFS(Sales_Data!$N$2:$N$3520,Sales_Data!$C$2:$C$3520,$A56,Sales_Data!$F$2:$F$3520,X$7,Sales_Data!$AE$2:$AE$3520,1),SUMIFS(Sales_Data!$AE$2:$AE$3520,Sales_Data!$C$2:$C$3520,$A56,Sales_Data!$F$2:$F$3520,X$7)))</f>
        <v/>
      </c>
      <c r="Y56" s="26" t="str">
        <f aca="false">IF(Y$7="","",CHOOSE(MATCH($B$4,Lists!$C$2:$C$5,0),SUMIFS(Sales_Data!$O$2:$O$3520,Sales_Data!$C$2:$C$3520,$A56,Sales_Data!$F$2:$F$3520,Y$7,Sales_Data!$AE$2:$AE$3520,1),SUMIFS(Sales_Data!$M$2:$M$3520,Sales_Data!$C$2:$C$3520,$A56,Sales_Data!$F$2:$F$3520,Y$7,Sales_Data!$AE$2:$AE$3520,1),SUMIFS(Sales_Data!$N$2:$N$3520,Sales_Data!$C$2:$C$3520,$A56,Sales_Data!$F$2:$F$3520,Y$7,Sales_Data!$AE$2:$AE$3520,1),SUMIFS(Sales_Data!$AE$2:$AE$3520,Sales_Data!$C$2:$C$3520,$A56,Sales_Data!$F$2:$F$3520,Y$7)))</f>
        <v/>
      </c>
      <c r="Z56" s="26" t="str">
        <f aca="false">IF(Z$7="","",CHOOSE(MATCH($B$4,Lists!$C$2:$C$5,0),SUMIFS(Sales_Data!$O$2:$O$3520,Sales_Data!$C$2:$C$3520,$A56,Sales_Data!$F$2:$F$3520,Z$7,Sales_Data!$AE$2:$AE$3520,1),SUMIFS(Sales_Data!$M$2:$M$3520,Sales_Data!$C$2:$C$3520,$A56,Sales_Data!$F$2:$F$3520,Z$7,Sales_Data!$AE$2:$AE$3520,1),SUMIFS(Sales_Data!$N$2:$N$3520,Sales_Data!$C$2:$C$3520,$A56,Sales_Data!$F$2:$F$3520,Z$7,Sales_Data!$AE$2:$AE$3520,1),SUMIFS(Sales_Data!$AE$2:$AE$3520,Sales_Data!$C$2:$C$3520,$A56,Sales_Data!$F$2:$F$3520,Z$7)))</f>
        <v/>
      </c>
      <c r="AA56" s="27" t="n">
        <f aca="false">SUM(B56:Z56)</f>
        <v>0</v>
      </c>
      <c r="AB56" s="3"/>
      <c r="AC56" s="72" t="n">
        <f aca="false">A56</f>
        <v>46263</v>
      </c>
      <c r="AD56" s="28" t="n">
        <f aca="false">IF(B56="","",B56-B55)</f>
        <v>0</v>
      </c>
      <c r="AE56" s="28" t="n">
        <f aca="false">IF(C56="","",C56-C55)</f>
        <v>0</v>
      </c>
      <c r="AF56" s="28" t="n">
        <f aca="false">IF(D56="","",D56-D55)</f>
        <v>0</v>
      </c>
      <c r="AG56" s="28" t="n">
        <f aca="false">IF(E56="","",E56-E55)</f>
        <v>0</v>
      </c>
      <c r="AH56" s="28" t="n">
        <f aca="false">IF(F56="","",F56-F55)</f>
        <v>0</v>
      </c>
      <c r="AI56" s="28" t="n">
        <f aca="false">IF(G56="","",G56-G55)</f>
        <v>0</v>
      </c>
      <c r="AJ56" s="28" t="n">
        <f aca="false">IF(H56="","",H56-H55)</f>
        <v>0</v>
      </c>
      <c r="AK56" s="28" t="n">
        <f aca="false">IF(I56="","",I56-I55)</f>
        <v>0</v>
      </c>
      <c r="AL56" s="28" t="n">
        <f aca="false">IF(J56="","",J56-J55)</f>
        <v>0</v>
      </c>
      <c r="AM56" s="28" t="n">
        <f aca="false">IF(K56="","",K56-K55)</f>
        <v>0</v>
      </c>
      <c r="AN56" s="28" t="n">
        <f aca="false">IF(L56="","",L56-L55)</f>
        <v>0</v>
      </c>
      <c r="AO56" s="28" t="n">
        <f aca="false">IF(M56="","",M56-M55)</f>
        <v>0</v>
      </c>
      <c r="AP56" s="28" t="n">
        <f aca="false">IF(N56="","",N56-N55)</f>
        <v>0</v>
      </c>
      <c r="AQ56" s="28" t="n">
        <f aca="false">IF(O56="","",O56-O55)</f>
        <v>0</v>
      </c>
      <c r="AR56" s="28" t="n">
        <f aca="false">IF(P56="","",P56-P55)</f>
        <v>0</v>
      </c>
      <c r="AS56" s="28" t="n">
        <f aca="false">IF(Q56="","",Q56-Q55)</f>
        <v>0</v>
      </c>
      <c r="AT56" s="28" t="n">
        <f aca="false">IF(R56="","",R56-R55)</f>
        <v>0</v>
      </c>
      <c r="AU56" s="28" t="n">
        <f aca="false">IF(S56="","",S56-S55)</f>
        <v>0</v>
      </c>
      <c r="AV56" s="28" t="str">
        <f aca="false">IF(T56="","",T56-T55)</f>
        <v/>
      </c>
      <c r="AW56" s="28" t="str">
        <f aca="false">IF(U56="","",U56-U55)</f>
        <v/>
      </c>
      <c r="AX56" s="28" t="str">
        <f aca="false">IF(V56="","",V56-V55)</f>
        <v/>
      </c>
      <c r="AY56" s="28" t="str">
        <f aca="false">IF(W56="","",W56-W55)</f>
        <v/>
      </c>
      <c r="AZ56" s="28" t="str">
        <f aca="false">IF(X56="","",X56-X55)</f>
        <v/>
      </c>
      <c r="BA56" s="28" t="str">
        <f aca="false">IF(Y56="","",Y56-Y55)</f>
        <v/>
      </c>
      <c r="BB56" s="28" t="str">
        <f aca="false">IF(Z56="","",Z56-Z55)</f>
        <v/>
      </c>
      <c r="BC56" s="28" t="n">
        <f aca="false">IF(AA56="","",AA56-AA55)</f>
        <v>0</v>
      </c>
    </row>
    <row r="57" customFormat="false" ht="15" hidden="false" customHeight="false" outlineLevel="0" collapsed="false">
      <c r="A57" s="72" t="n">
        <v>46264</v>
      </c>
      <c r="B57" s="26" t="n">
        <f aca="false">IF(B$7="","",CHOOSE(MATCH($B$4,Lists!$C$2:$C$5,0),SUMIFS(Sales_Data!$O$2:$O$3520,Sales_Data!$C$2:$C$3520,$A57,Sales_Data!$F$2:$F$3520,B$7,Sales_Data!$AE$2:$AE$3520,1),SUMIFS(Sales_Data!$M$2:$M$3520,Sales_Data!$C$2:$C$3520,$A57,Sales_Data!$F$2:$F$3520,B$7,Sales_Data!$AE$2:$AE$3520,1),SUMIFS(Sales_Data!$N$2:$N$3520,Sales_Data!$C$2:$C$3520,$A57,Sales_Data!$F$2:$F$3520,B$7,Sales_Data!$AE$2:$AE$3520,1),SUMIFS(Sales_Data!$AE$2:$AE$3520,Sales_Data!$C$2:$C$3520,$A57,Sales_Data!$F$2:$F$3520,B$7)))</f>
        <v>0</v>
      </c>
      <c r="C57" s="26" t="n">
        <f aca="false">IF(C$7="","",CHOOSE(MATCH($B$4,Lists!$C$2:$C$5,0),SUMIFS(Sales_Data!$O$2:$O$3520,Sales_Data!$C$2:$C$3520,$A57,Sales_Data!$F$2:$F$3520,C$7,Sales_Data!$AE$2:$AE$3520,1),SUMIFS(Sales_Data!$M$2:$M$3520,Sales_Data!$C$2:$C$3520,$A57,Sales_Data!$F$2:$F$3520,C$7,Sales_Data!$AE$2:$AE$3520,1),SUMIFS(Sales_Data!$N$2:$N$3520,Sales_Data!$C$2:$C$3520,$A57,Sales_Data!$F$2:$F$3520,C$7,Sales_Data!$AE$2:$AE$3520,1),SUMIFS(Sales_Data!$AE$2:$AE$3520,Sales_Data!$C$2:$C$3520,$A57,Sales_Data!$F$2:$F$3520,C$7)))</f>
        <v>0</v>
      </c>
      <c r="D57" s="26" t="n">
        <f aca="false">IF(D$7="","",CHOOSE(MATCH($B$4,Lists!$C$2:$C$5,0),SUMIFS(Sales_Data!$O$2:$O$3520,Sales_Data!$C$2:$C$3520,$A57,Sales_Data!$F$2:$F$3520,D$7,Sales_Data!$AE$2:$AE$3520,1),SUMIFS(Sales_Data!$M$2:$M$3520,Sales_Data!$C$2:$C$3520,$A57,Sales_Data!$F$2:$F$3520,D$7,Sales_Data!$AE$2:$AE$3520,1),SUMIFS(Sales_Data!$N$2:$N$3520,Sales_Data!$C$2:$C$3520,$A57,Sales_Data!$F$2:$F$3520,D$7,Sales_Data!$AE$2:$AE$3520,1),SUMIFS(Sales_Data!$AE$2:$AE$3520,Sales_Data!$C$2:$C$3520,$A57,Sales_Data!$F$2:$F$3520,D$7)))</f>
        <v>0</v>
      </c>
      <c r="E57" s="26" t="n">
        <f aca="false">IF(E$7="","",CHOOSE(MATCH($B$4,Lists!$C$2:$C$5,0),SUMIFS(Sales_Data!$O$2:$O$3520,Sales_Data!$C$2:$C$3520,$A57,Sales_Data!$F$2:$F$3520,E$7,Sales_Data!$AE$2:$AE$3520,1),SUMIFS(Sales_Data!$M$2:$M$3520,Sales_Data!$C$2:$C$3520,$A57,Sales_Data!$F$2:$F$3520,E$7,Sales_Data!$AE$2:$AE$3520,1),SUMIFS(Sales_Data!$N$2:$N$3520,Sales_Data!$C$2:$C$3520,$A57,Sales_Data!$F$2:$F$3520,E$7,Sales_Data!$AE$2:$AE$3520,1),SUMIFS(Sales_Data!$AE$2:$AE$3520,Sales_Data!$C$2:$C$3520,$A57,Sales_Data!$F$2:$F$3520,E$7)))</f>
        <v>0</v>
      </c>
      <c r="F57" s="26" t="n">
        <f aca="false">IF(F$7="","",CHOOSE(MATCH($B$4,Lists!$C$2:$C$5,0),SUMIFS(Sales_Data!$O$2:$O$3520,Sales_Data!$C$2:$C$3520,$A57,Sales_Data!$F$2:$F$3520,F$7,Sales_Data!$AE$2:$AE$3520,1),SUMIFS(Sales_Data!$M$2:$M$3520,Sales_Data!$C$2:$C$3520,$A57,Sales_Data!$F$2:$F$3520,F$7,Sales_Data!$AE$2:$AE$3520,1),SUMIFS(Sales_Data!$N$2:$N$3520,Sales_Data!$C$2:$C$3520,$A57,Sales_Data!$F$2:$F$3520,F$7,Sales_Data!$AE$2:$AE$3520,1),SUMIFS(Sales_Data!$AE$2:$AE$3520,Sales_Data!$C$2:$C$3520,$A57,Sales_Data!$F$2:$F$3520,F$7)))</f>
        <v>0</v>
      </c>
      <c r="G57" s="26" t="n">
        <f aca="false">IF(G$7="","",CHOOSE(MATCH($B$4,Lists!$C$2:$C$5,0),SUMIFS(Sales_Data!$O$2:$O$3520,Sales_Data!$C$2:$C$3520,$A57,Sales_Data!$F$2:$F$3520,G$7,Sales_Data!$AE$2:$AE$3520,1),SUMIFS(Sales_Data!$M$2:$M$3520,Sales_Data!$C$2:$C$3520,$A57,Sales_Data!$F$2:$F$3520,G$7,Sales_Data!$AE$2:$AE$3520,1),SUMIFS(Sales_Data!$N$2:$N$3520,Sales_Data!$C$2:$C$3520,$A57,Sales_Data!$F$2:$F$3520,G$7,Sales_Data!$AE$2:$AE$3520,1),SUMIFS(Sales_Data!$AE$2:$AE$3520,Sales_Data!$C$2:$C$3520,$A57,Sales_Data!$F$2:$F$3520,G$7)))</f>
        <v>0</v>
      </c>
      <c r="H57" s="26" t="n">
        <f aca="false">IF(H$7="","",CHOOSE(MATCH($B$4,Lists!$C$2:$C$5,0),SUMIFS(Sales_Data!$O$2:$O$3520,Sales_Data!$C$2:$C$3520,$A57,Sales_Data!$F$2:$F$3520,H$7,Sales_Data!$AE$2:$AE$3520,1),SUMIFS(Sales_Data!$M$2:$M$3520,Sales_Data!$C$2:$C$3520,$A57,Sales_Data!$F$2:$F$3520,H$7,Sales_Data!$AE$2:$AE$3520,1),SUMIFS(Sales_Data!$N$2:$N$3520,Sales_Data!$C$2:$C$3520,$A57,Sales_Data!$F$2:$F$3520,H$7,Sales_Data!$AE$2:$AE$3520,1),SUMIFS(Sales_Data!$AE$2:$AE$3520,Sales_Data!$C$2:$C$3520,$A57,Sales_Data!$F$2:$F$3520,H$7)))</f>
        <v>0</v>
      </c>
      <c r="I57" s="26" t="n">
        <f aca="false">IF(I$7="","",CHOOSE(MATCH($B$4,Lists!$C$2:$C$5,0),SUMIFS(Sales_Data!$O$2:$O$3520,Sales_Data!$C$2:$C$3520,$A57,Sales_Data!$F$2:$F$3520,I$7,Sales_Data!$AE$2:$AE$3520,1),SUMIFS(Sales_Data!$M$2:$M$3520,Sales_Data!$C$2:$C$3520,$A57,Sales_Data!$F$2:$F$3520,I$7,Sales_Data!$AE$2:$AE$3520,1),SUMIFS(Sales_Data!$N$2:$N$3520,Sales_Data!$C$2:$C$3520,$A57,Sales_Data!$F$2:$F$3520,I$7,Sales_Data!$AE$2:$AE$3520,1),SUMIFS(Sales_Data!$AE$2:$AE$3520,Sales_Data!$C$2:$C$3520,$A57,Sales_Data!$F$2:$F$3520,I$7)))</f>
        <v>0</v>
      </c>
      <c r="J57" s="26" t="n">
        <f aca="false">IF(J$7="","",CHOOSE(MATCH($B$4,Lists!$C$2:$C$5,0),SUMIFS(Sales_Data!$O$2:$O$3520,Sales_Data!$C$2:$C$3520,$A57,Sales_Data!$F$2:$F$3520,J$7,Sales_Data!$AE$2:$AE$3520,1),SUMIFS(Sales_Data!$M$2:$M$3520,Sales_Data!$C$2:$C$3520,$A57,Sales_Data!$F$2:$F$3520,J$7,Sales_Data!$AE$2:$AE$3520,1),SUMIFS(Sales_Data!$N$2:$N$3520,Sales_Data!$C$2:$C$3520,$A57,Sales_Data!$F$2:$F$3520,J$7,Sales_Data!$AE$2:$AE$3520,1),SUMIFS(Sales_Data!$AE$2:$AE$3520,Sales_Data!$C$2:$C$3520,$A57,Sales_Data!$F$2:$F$3520,J$7)))</f>
        <v>0</v>
      </c>
      <c r="K57" s="26" t="n">
        <f aca="false">IF(K$7="","",CHOOSE(MATCH($B$4,Lists!$C$2:$C$5,0),SUMIFS(Sales_Data!$O$2:$O$3520,Sales_Data!$C$2:$C$3520,$A57,Sales_Data!$F$2:$F$3520,K$7,Sales_Data!$AE$2:$AE$3520,1),SUMIFS(Sales_Data!$M$2:$M$3520,Sales_Data!$C$2:$C$3520,$A57,Sales_Data!$F$2:$F$3520,K$7,Sales_Data!$AE$2:$AE$3520,1),SUMIFS(Sales_Data!$N$2:$N$3520,Sales_Data!$C$2:$C$3520,$A57,Sales_Data!$F$2:$F$3520,K$7,Sales_Data!$AE$2:$AE$3520,1),SUMIFS(Sales_Data!$AE$2:$AE$3520,Sales_Data!$C$2:$C$3520,$A57,Sales_Data!$F$2:$F$3520,K$7)))</f>
        <v>0</v>
      </c>
      <c r="L57" s="26" t="n">
        <f aca="false">IF(L$7="","",CHOOSE(MATCH($B$4,Lists!$C$2:$C$5,0),SUMIFS(Sales_Data!$O$2:$O$3520,Sales_Data!$C$2:$C$3520,$A57,Sales_Data!$F$2:$F$3520,L$7,Sales_Data!$AE$2:$AE$3520,1),SUMIFS(Sales_Data!$M$2:$M$3520,Sales_Data!$C$2:$C$3520,$A57,Sales_Data!$F$2:$F$3520,L$7,Sales_Data!$AE$2:$AE$3520,1),SUMIFS(Sales_Data!$N$2:$N$3520,Sales_Data!$C$2:$C$3520,$A57,Sales_Data!$F$2:$F$3520,L$7,Sales_Data!$AE$2:$AE$3520,1),SUMIFS(Sales_Data!$AE$2:$AE$3520,Sales_Data!$C$2:$C$3520,$A57,Sales_Data!$F$2:$F$3520,L$7)))</f>
        <v>0</v>
      </c>
      <c r="M57" s="26" t="n">
        <f aca="false">IF(M$7="","",CHOOSE(MATCH($B$4,Lists!$C$2:$C$5,0),SUMIFS(Sales_Data!$O$2:$O$3520,Sales_Data!$C$2:$C$3520,$A57,Sales_Data!$F$2:$F$3520,M$7,Sales_Data!$AE$2:$AE$3520,1),SUMIFS(Sales_Data!$M$2:$M$3520,Sales_Data!$C$2:$C$3520,$A57,Sales_Data!$F$2:$F$3520,M$7,Sales_Data!$AE$2:$AE$3520,1),SUMIFS(Sales_Data!$N$2:$N$3520,Sales_Data!$C$2:$C$3520,$A57,Sales_Data!$F$2:$F$3520,M$7,Sales_Data!$AE$2:$AE$3520,1),SUMIFS(Sales_Data!$AE$2:$AE$3520,Sales_Data!$C$2:$C$3520,$A57,Sales_Data!$F$2:$F$3520,M$7)))</f>
        <v>0</v>
      </c>
      <c r="N57" s="26" t="n">
        <f aca="false">IF(N$7="","",CHOOSE(MATCH($B$4,Lists!$C$2:$C$5,0),SUMIFS(Sales_Data!$O$2:$O$3520,Sales_Data!$C$2:$C$3520,$A57,Sales_Data!$F$2:$F$3520,N$7,Sales_Data!$AE$2:$AE$3520,1),SUMIFS(Sales_Data!$M$2:$M$3520,Sales_Data!$C$2:$C$3520,$A57,Sales_Data!$F$2:$F$3520,N$7,Sales_Data!$AE$2:$AE$3520,1),SUMIFS(Sales_Data!$N$2:$N$3520,Sales_Data!$C$2:$C$3520,$A57,Sales_Data!$F$2:$F$3520,N$7,Sales_Data!$AE$2:$AE$3520,1),SUMIFS(Sales_Data!$AE$2:$AE$3520,Sales_Data!$C$2:$C$3520,$A57,Sales_Data!$F$2:$F$3520,N$7)))</f>
        <v>0</v>
      </c>
      <c r="O57" s="26" t="n">
        <f aca="false">IF(O$7="","",CHOOSE(MATCH($B$4,Lists!$C$2:$C$5,0),SUMIFS(Sales_Data!$O$2:$O$3520,Sales_Data!$C$2:$C$3520,$A57,Sales_Data!$F$2:$F$3520,O$7,Sales_Data!$AE$2:$AE$3520,1),SUMIFS(Sales_Data!$M$2:$M$3520,Sales_Data!$C$2:$C$3520,$A57,Sales_Data!$F$2:$F$3520,O$7,Sales_Data!$AE$2:$AE$3520,1),SUMIFS(Sales_Data!$N$2:$N$3520,Sales_Data!$C$2:$C$3520,$A57,Sales_Data!$F$2:$F$3520,O$7,Sales_Data!$AE$2:$AE$3520,1),SUMIFS(Sales_Data!$AE$2:$AE$3520,Sales_Data!$C$2:$C$3520,$A57,Sales_Data!$F$2:$F$3520,O$7)))</f>
        <v>0</v>
      </c>
      <c r="P57" s="26" t="n">
        <f aca="false">IF(P$7="","",CHOOSE(MATCH($B$4,Lists!$C$2:$C$5,0),SUMIFS(Sales_Data!$O$2:$O$3520,Sales_Data!$C$2:$C$3520,$A57,Sales_Data!$F$2:$F$3520,P$7,Sales_Data!$AE$2:$AE$3520,1),SUMIFS(Sales_Data!$M$2:$M$3520,Sales_Data!$C$2:$C$3520,$A57,Sales_Data!$F$2:$F$3520,P$7,Sales_Data!$AE$2:$AE$3520,1),SUMIFS(Sales_Data!$N$2:$N$3520,Sales_Data!$C$2:$C$3520,$A57,Sales_Data!$F$2:$F$3520,P$7,Sales_Data!$AE$2:$AE$3520,1),SUMIFS(Sales_Data!$AE$2:$AE$3520,Sales_Data!$C$2:$C$3520,$A57,Sales_Data!$F$2:$F$3520,P$7)))</f>
        <v>0</v>
      </c>
      <c r="Q57" s="26" t="n">
        <f aca="false">IF(Q$7="","",CHOOSE(MATCH($B$4,Lists!$C$2:$C$5,0),SUMIFS(Sales_Data!$O$2:$O$3520,Sales_Data!$C$2:$C$3520,$A57,Sales_Data!$F$2:$F$3520,Q$7,Sales_Data!$AE$2:$AE$3520,1),SUMIFS(Sales_Data!$M$2:$M$3520,Sales_Data!$C$2:$C$3520,$A57,Sales_Data!$F$2:$F$3520,Q$7,Sales_Data!$AE$2:$AE$3520,1),SUMIFS(Sales_Data!$N$2:$N$3520,Sales_Data!$C$2:$C$3520,$A57,Sales_Data!$F$2:$F$3520,Q$7,Sales_Data!$AE$2:$AE$3520,1),SUMIFS(Sales_Data!$AE$2:$AE$3520,Sales_Data!$C$2:$C$3520,$A57,Sales_Data!$F$2:$F$3520,Q$7)))</f>
        <v>0</v>
      </c>
      <c r="R57" s="26" t="n">
        <f aca="false">IF(R$7="","",CHOOSE(MATCH($B$4,Lists!$C$2:$C$5,0),SUMIFS(Sales_Data!$O$2:$O$3520,Sales_Data!$C$2:$C$3520,$A57,Sales_Data!$F$2:$F$3520,R$7,Sales_Data!$AE$2:$AE$3520,1),SUMIFS(Sales_Data!$M$2:$M$3520,Sales_Data!$C$2:$C$3520,$A57,Sales_Data!$F$2:$F$3520,R$7,Sales_Data!$AE$2:$AE$3520,1),SUMIFS(Sales_Data!$N$2:$N$3520,Sales_Data!$C$2:$C$3520,$A57,Sales_Data!$F$2:$F$3520,R$7,Sales_Data!$AE$2:$AE$3520,1),SUMIFS(Sales_Data!$AE$2:$AE$3520,Sales_Data!$C$2:$C$3520,$A57,Sales_Data!$F$2:$F$3520,R$7)))</f>
        <v>0</v>
      </c>
      <c r="S57" s="26" t="n">
        <f aca="false">IF(S$7="","",CHOOSE(MATCH($B$4,Lists!$C$2:$C$5,0),SUMIFS(Sales_Data!$O$2:$O$3520,Sales_Data!$C$2:$C$3520,$A57,Sales_Data!$F$2:$F$3520,S$7,Sales_Data!$AE$2:$AE$3520,1),SUMIFS(Sales_Data!$M$2:$M$3520,Sales_Data!$C$2:$C$3520,$A57,Sales_Data!$F$2:$F$3520,S$7,Sales_Data!$AE$2:$AE$3520,1),SUMIFS(Sales_Data!$N$2:$N$3520,Sales_Data!$C$2:$C$3520,$A57,Sales_Data!$F$2:$F$3520,S$7,Sales_Data!$AE$2:$AE$3520,1),SUMIFS(Sales_Data!$AE$2:$AE$3520,Sales_Data!$C$2:$C$3520,$A57,Sales_Data!$F$2:$F$3520,S$7)))</f>
        <v>0</v>
      </c>
      <c r="T57" s="26" t="str">
        <f aca="false">IF(T$7="","",CHOOSE(MATCH($B$4,Lists!$C$2:$C$5,0),SUMIFS(Sales_Data!$O$2:$O$3520,Sales_Data!$C$2:$C$3520,$A57,Sales_Data!$F$2:$F$3520,T$7,Sales_Data!$AE$2:$AE$3520,1),SUMIFS(Sales_Data!$M$2:$M$3520,Sales_Data!$C$2:$C$3520,$A57,Sales_Data!$F$2:$F$3520,T$7,Sales_Data!$AE$2:$AE$3520,1),SUMIFS(Sales_Data!$N$2:$N$3520,Sales_Data!$C$2:$C$3520,$A57,Sales_Data!$F$2:$F$3520,T$7,Sales_Data!$AE$2:$AE$3520,1),SUMIFS(Sales_Data!$AE$2:$AE$3520,Sales_Data!$C$2:$C$3520,$A57,Sales_Data!$F$2:$F$3520,T$7)))</f>
        <v/>
      </c>
      <c r="U57" s="26" t="str">
        <f aca="false">IF(U$7="","",CHOOSE(MATCH($B$4,Lists!$C$2:$C$5,0),SUMIFS(Sales_Data!$O$2:$O$3520,Sales_Data!$C$2:$C$3520,$A57,Sales_Data!$F$2:$F$3520,U$7,Sales_Data!$AE$2:$AE$3520,1),SUMIFS(Sales_Data!$M$2:$M$3520,Sales_Data!$C$2:$C$3520,$A57,Sales_Data!$F$2:$F$3520,U$7,Sales_Data!$AE$2:$AE$3520,1),SUMIFS(Sales_Data!$N$2:$N$3520,Sales_Data!$C$2:$C$3520,$A57,Sales_Data!$F$2:$F$3520,U$7,Sales_Data!$AE$2:$AE$3520,1),SUMIFS(Sales_Data!$AE$2:$AE$3520,Sales_Data!$C$2:$C$3520,$A57,Sales_Data!$F$2:$F$3520,U$7)))</f>
        <v/>
      </c>
      <c r="V57" s="26" t="str">
        <f aca="false">IF(V$7="","",CHOOSE(MATCH($B$4,Lists!$C$2:$C$5,0),SUMIFS(Sales_Data!$O$2:$O$3520,Sales_Data!$C$2:$C$3520,$A57,Sales_Data!$F$2:$F$3520,V$7,Sales_Data!$AE$2:$AE$3520,1),SUMIFS(Sales_Data!$M$2:$M$3520,Sales_Data!$C$2:$C$3520,$A57,Sales_Data!$F$2:$F$3520,V$7,Sales_Data!$AE$2:$AE$3520,1),SUMIFS(Sales_Data!$N$2:$N$3520,Sales_Data!$C$2:$C$3520,$A57,Sales_Data!$F$2:$F$3520,V$7,Sales_Data!$AE$2:$AE$3520,1),SUMIFS(Sales_Data!$AE$2:$AE$3520,Sales_Data!$C$2:$C$3520,$A57,Sales_Data!$F$2:$F$3520,V$7)))</f>
        <v/>
      </c>
      <c r="W57" s="26" t="str">
        <f aca="false">IF(W$7="","",CHOOSE(MATCH($B$4,Lists!$C$2:$C$5,0),SUMIFS(Sales_Data!$O$2:$O$3520,Sales_Data!$C$2:$C$3520,$A57,Sales_Data!$F$2:$F$3520,W$7,Sales_Data!$AE$2:$AE$3520,1),SUMIFS(Sales_Data!$M$2:$M$3520,Sales_Data!$C$2:$C$3520,$A57,Sales_Data!$F$2:$F$3520,W$7,Sales_Data!$AE$2:$AE$3520,1),SUMIFS(Sales_Data!$N$2:$N$3520,Sales_Data!$C$2:$C$3520,$A57,Sales_Data!$F$2:$F$3520,W$7,Sales_Data!$AE$2:$AE$3520,1),SUMIFS(Sales_Data!$AE$2:$AE$3520,Sales_Data!$C$2:$C$3520,$A57,Sales_Data!$F$2:$F$3520,W$7)))</f>
        <v/>
      </c>
      <c r="X57" s="26" t="str">
        <f aca="false">IF(X$7="","",CHOOSE(MATCH($B$4,Lists!$C$2:$C$5,0),SUMIFS(Sales_Data!$O$2:$O$3520,Sales_Data!$C$2:$C$3520,$A57,Sales_Data!$F$2:$F$3520,X$7,Sales_Data!$AE$2:$AE$3520,1),SUMIFS(Sales_Data!$M$2:$M$3520,Sales_Data!$C$2:$C$3520,$A57,Sales_Data!$F$2:$F$3520,X$7,Sales_Data!$AE$2:$AE$3520,1),SUMIFS(Sales_Data!$N$2:$N$3520,Sales_Data!$C$2:$C$3520,$A57,Sales_Data!$F$2:$F$3520,X$7,Sales_Data!$AE$2:$AE$3520,1),SUMIFS(Sales_Data!$AE$2:$AE$3520,Sales_Data!$C$2:$C$3520,$A57,Sales_Data!$F$2:$F$3520,X$7)))</f>
        <v/>
      </c>
      <c r="Y57" s="26" t="str">
        <f aca="false">IF(Y$7="","",CHOOSE(MATCH($B$4,Lists!$C$2:$C$5,0),SUMIFS(Sales_Data!$O$2:$O$3520,Sales_Data!$C$2:$C$3520,$A57,Sales_Data!$F$2:$F$3520,Y$7,Sales_Data!$AE$2:$AE$3520,1),SUMIFS(Sales_Data!$M$2:$M$3520,Sales_Data!$C$2:$C$3520,$A57,Sales_Data!$F$2:$F$3520,Y$7,Sales_Data!$AE$2:$AE$3520,1),SUMIFS(Sales_Data!$N$2:$N$3520,Sales_Data!$C$2:$C$3520,$A57,Sales_Data!$F$2:$F$3520,Y$7,Sales_Data!$AE$2:$AE$3520,1),SUMIFS(Sales_Data!$AE$2:$AE$3520,Sales_Data!$C$2:$C$3520,$A57,Sales_Data!$F$2:$F$3520,Y$7)))</f>
        <v/>
      </c>
      <c r="Z57" s="26" t="str">
        <f aca="false">IF(Z$7="","",CHOOSE(MATCH($B$4,Lists!$C$2:$C$5,0),SUMIFS(Sales_Data!$O$2:$O$3520,Sales_Data!$C$2:$C$3520,$A57,Sales_Data!$F$2:$F$3520,Z$7,Sales_Data!$AE$2:$AE$3520,1),SUMIFS(Sales_Data!$M$2:$M$3520,Sales_Data!$C$2:$C$3520,$A57,Sales_Data!$F$2:$F$3520,Z$7,Sales_Data!$AE$2:$AE$3520,1),SUMIFS(Sales_Data!$N$2:$N$3520,Sales_Data!$C$2:$C$3520,$A57,Sales_Data!$F$2:$F$3520,Z$7,Sales_Data!$AE$2:$AE$3520,1),SUMIFS(Sales_Data!$AE$2:$AE$3520,Sales_Data!$C$2:$C$3520,$A57,Sales_Data!$F$2:$F$3520,Z$7)))</f>
        <v/>
      </c>
      <c r="AA57" s="27" t="n">
        <f aca="false">SUM(B57:Z57)</f>
        <v>0</v>
      </c>
      <c r="AB57" s="3"/>
      <c r="AC57" s="72" t="n">
        <f aca="false">A57</f>
        <v>46264</v>
      </c>
      <c r="AD57" s="28" t="n">
        <f aca="false">IF(B57="","",B57-B56)</f>
        <v>0</v>
      </c>
      <c r="AE57" s="28" t="n">
        <f aca="false">IF(C57="","",C57-C56)</f>
        <v>0</v>
      </c>
      <c r="AF57" s="28" t="n">
        <f aca="false">IF(D57="","",D57-D56)</f>
        <v>0</v>
      </c>
      <c r="AG57" s="28" t="n">
        <f aca="false">IF(E57="","",E57-E56)</f>
        <v>0</v>
      </c>
      <c r="AH57" s="28" t="n">
        <f aca="false">IF(F57="","",F57-F56)</f>
        <v>0</v>
      </c>
      <c r="AI57" s="28" t="n">
        <f aca="false">IF(G57="","",G57-G56)</f>
        <v>0</v>
      </c>
      <c r="AJ57" s="28" t="n">
        <f aca="false">IF(H57="","",H57-H56)</f>
        <v>0</v>
      </c>
      <c r="AK57" s="28" t="n">
        <f aca="false">IF(I57="","",I57-I56)</f>
        <v>0</v>
      </c>
      <c r="AL57" s="28" t="n">
        <f aca="false">IF(J57="","",J57-J56)</f>
        <v>0</v>
      </c>
      <c r="AM57" s="28" t="n">
        <f aca="false">IF(K57="","",K57-K56)</f>
        <v>0</v>
      </c>
      <c r="AN57" s="28" t="n">
        <f aca="false">IF(L57="","",L57-L56)</f>
        <v>0</v>
      </c>
      <c r="AO57" s="28" t="n">
        <f aca="false">IF(M57="","",M57-M56)</f>
        <v>0</v>
      </c>
      <c r="AP57" s="28" t="n">
        <f aca="false">IF(N57="","",N57-N56)</f>
        <v>0</v>
      </c>
      <c r="AQ57" s="28" t="n">
        <f aca="false">IF(O57="","",O57-O56)</f>
        <v>0</v>
      </c>
      <c r="AR57" s="28" t="n">
        <f aca="false">IF(P57="","",P57-P56)</f>
        <v>0</v>
      </c>
      <c r="AS57" s="28" t="n">
        <f aca="false">IF(Q57="","",Q57-Q56)</f>
        <v>0</v>
      </c>
      <c r="AT57" s="28" t="n">
        <f aca="false">IF(R57="","",R57-R56)</f>
        <v>0</v>
      </c>
      <c r="AU57" s="28" t="n">
        <f aca="false">IF(S57="","",S57-S56)</f>
        <v>0</v>
      </c>
      <c r="AV57" s="28" t="str">
        <f aca="false">IF(T57="","",T57-T56)</f>
        <v/>
      </c>
      <c r="AW57" s="28" t="str">
        <f aca="false">IF(U57="","",U57-U56)</f>
        <v/>
      </c>
      <c r="AX57" s="28" t="str">
        <f aca="false">IF(V57="","",V57-V56)</f>
        <v/>
      </c>
      <c r="AY57" s="28" t="str">
        <f aca="false">IF(W57="","",W57-W56)</f>
        <v/>
      </c>
      <c r="AZ57" s="28" t="str">
        <f aca="false">IF(X57="","",X57-X56)</f>
        <v/>
      </c>
      <c r="BA57" s="28" t="str">
        <f aca="false">IF(Y57="","",Y57-Y56)</f>
        <v/>
      </c>
      <c r="BB57" s="28" t="str">
        <f aca="false">IF(Z57="","",Z57-Z56)</f>
        <v/>
      </c>
      <c r="BC57" s="28" t="n">
        <f aca="false">IF(AA57="","",AA57-AA56)</f>
        <v>0</v>
      </c>
    </row>
    <row r="58" customFormat="false" ht="15" hidden="false" customHeight="false" outlineLevel="0" collapsed="false">
      <c r="A58" s="72" t="n">
        <v>46265</v>
      </c>
      <c r="B58" s="26" t="n">
        <f aca="false">IF(B$7="","",CHOOSE(MATCH($B$4,Lists!$C$2:$C$5,0),SUMIFS(Sales_Data!$O$2:$O$3520,Sales_Data!$C$2:$C$3520,$A58,Sales_Data!$F$2:$F$3520,B$7,Sales_Data!$AE$2:$AE$3520,1),SUMIFS(Sales_Data!$M$2:$M$3520,Sales_Data!$C$2:$C$3520,$A58,Sales_Data!$F$2:$F$3520,B$7,Sales_Data!$AE$2:$AE$3520,1),SUMIFS(Sales_Data!$N$2:$N$3520,Sales_Data!$C$2:$C$3520,$A58,Sales_Data!$F$2:$F$3520,B$7,Sales_Data!$AE$2:$AE$3520,1),SUMIFS(Sales_Data!$AE$2:$AE$3520,Sales_Data!$C$2:$C$3520,$A58,Sales_Data!$F$2:$F$3520,B$7)))</f>
        <v>0</v>
      </c>
      <c r="C58" s="26" t="n">
        <f aca="false">IF(C$7="","",CHOOSE(MATCH($B$4,Lists!$C$2:$C$5,0),SUMIFS(Sales_Data!$O$2:$O$3520,Sales_Data!$C$2:$C$3520,$A58,Sales_Data!$F$2:$F$3520,C$7,Sales_Data!$AE$2:$AE$3520,1),SUMIFS(Sales_Data!$M$2:$M$3520,Sales_Data!$C$2:$C$3520,$A58,Sales_Data!$F$2:$F$3520,C$7,Sales_Data!$AE$2:$AE$3520,1),SUMIFS(Sales_Data!$N$2:$N$3520,Sales_Data!$C$2:$C$3520,$A58,Sales_Data!$F$2:$F$3520,C$7,Sales_Data!$AE$2:$AE$3520,1),SUMIFS(Sales_Data!$AE$2:$AE$3520,Sales_Data!$C$2:$C$3520,$A58,Sales_Data!$F$2:$F$3520,C$7)))</f>
        <v>0</v>
      </c>
      <c r="D58" s="26" t="n">
        <f aca="false">IF(D$7="","",CHOOSE(MATCH($B$4,Lists!$C$2:$C$5,0),SUMIFS(Sales_Data!$O$2:$O$3520,Sales_Data!$C$2:$C$3520,$A58,Sales_Data!$F$2:$F$3520,D$7,Sales_Data!$AE$2:$AE$3520,1),SUMIFS(Sales_Data!$M$2:$M$3520,Sales_Data!$C$2:$C$3520,$A58,Sales_Data!$F$2:$F$3520,D$7,Sales_Data!$AE$2:$AE$3520,1),SUMIFS(Sales_Data!$N$2:$N$3520,Sales_Data!$C$2:$C$3520,$A58,Sales_Data!$F$2:$F$3520,D$7,Sales_Data!$AE$2:$AE$3520,1),SUMIFS(Sales_Data!$AE$2:$AE$3520,Sales_Data!$C$2:$C$3520,$A58,Sales_Data!$F$2:$F$3520,D$7)))</f>
        <v>0</v>
      </c>
      <c r="E58" s="26" t="n">
        <f aca="false">IF(E$7="","",CHOOSE(MATCH($B$4,Lists!$C$2:$C$5,0),SUMIFS(Sales_Data!$O$2:$O$3520,Sales_Data!$C$2:$C$3520,$A58,Sales_Data!$F$2:$F$3520,E$7,Sales_Data!$AE$2:$AE$3520,1),SUMIFS(Sales_Data!$M$2:$M$3520,Sales_Data!$C$2:$C$3520,$A58,Sales_Data!$F$2:$F$3520,E$7,Sales_Data!$AE$2:$AE$3520,1),SUMIFS(Sales_Data!$N$2:$N$3520,Sales_Data!$C$2:$C$3520,$A58,Sales_Data!$F$2:$F$3520,E$7,Sales_Data!$AE$2:$AE$3520,1),SUMIFS(Sales_Data!$AE$2:$AE$3520,Sales_Data!$C$2:$C$3520,$A58,Sales_Data!$F$2:$F$3520,E$7)))</f>
        <v>0</v>
      </c>
      <c r="F58" s="26" t="n">
        <f aca="false">IF(F$7="","",CHOOSE(MATCH($B$4,Lists!$C$2:$C$5,0),SUMIFS(Sales_Data!$O$2:$O$3520,Sales_Data!$C$2:$C$3520,$A58,Sales_Data!$F$2:$F$3520,F$7,Sales_Data!$AE$2:$AE$3520,1),SUMIFS(Sales_Data!$M$2:$M$3520,Sales_Data!$C$2:$C$3520,$A58,Sales_Data!$F$2:$F$3520,F$7,Sales_Data!$AE$2:$AE$3520,1),SUMIFS(Sales_Data!$N$2:$N$3520,Sales_Data!$C$2:$C$3520,$A58,Sales_Data!$F$2:$F$3520,F$7,Sales_Data!$AE$2:$AE$3520,1),SUMIFS(Sales_Data!$AE$2:$AE$3520,Sales_Data!$C$2:$C$3520,$A58,Sales_Data!$F$2:$F$3520,F$7)))</f>
        <v>0</v>
      </c>
      <c r="G58" s="26" t="n">
        <f aca="false">IF(G$7="","",CHOOSE(MATCH($B$4,Lists!$C$2:$C$5,0),SUMIFS(Sales_Data!$O$2:$O$3520,Sales_Data!$C$2:$C$3520,$A58,Sales_Data!$F$2:$F$3520,G$7,Sales_Data!$AE$2:$AE$3520,1),SUMIFS(Sales_Data!$M$2:$M$3520,Sales_Data!$C$2:$C$3520,$A58,Sales_Data!$F$2:$F$3520,G$7,Sales_Data!$AE$2:$AE$3520,1),SUMIFS(Sales_Data!$N$2:$N$3520,Sales_Data!$C$2:$C$3520,$A58,Sales_Data!$F$2:$F$3520,G$7,Sales_Data!$AE$2:$AE$3520,1),SUMIFS(Sales_Data!$AE$2:$AE$3520,Sales_Data!$C$2:$C$3520,$A58,Sales_Data!$F$2:$F$3520,G$7)))</f>
        <v>0</v>
      </c>
      <c r="H58" s="26" t="n">
        <f aca="false">IF(H$7="","",CHOOSE(MATCH($B$4,Lists!$C$2:$C$5,0),SUMIFS(Sales_Data!$O$2:$O$3520,Sales_Data!$C$2:$C$3520,$A58,Sales_Data!$F$2:$F$3520,H$7,Sales_Data!$AE$2:$AE$3520,1),SUMIFS(Sales_Data!$M$2:$M$3520,Sales_Data!$C$2:$C$3520,$A58,Sales_Data!$F$2:$F$3520,H$7,Sales_Data!$AE$2:$AE$3520,1),SUMIFS(Sales_Data!$N$2:$N$3520,Sales_Data!$C$2:$C$3520,$A58,Sales_Data!$F$2:$F$3520,H$7,Sales_Data!$AE$2:$AE$3520,1),SUMIFS(Sales_Data!$AE$2:$AE$3520,Sales_Data!$C$2:$C$3520,$A58,Sales_Data!$F$2:$F$3520,H$7)))</f>
        <v>0</v>
      </c>
      <c r="I58" s="26" t="n">
        <f aca="false">IF(I$7="","",CHOOSE(MATCH($B$4,Lists!$C$2:$C$5,0),SUMIFS(Sales_Data!$O$2:$O$3520,Sales_Data!$C$2:$C$3520,$A58,Sales_Data!$F$2:$F$3520,I$7,Sales_Data!$AE$2:$AE$3520,1),SUMIFS(Sales_Data!$M$2:$M$3520,Sales_Data!$C$2:$C$3520,$A58,Sales_Data!$F$2:$F$3520,I$7,Sales_Data!$AE$2:$AE$3520,1),SUMIFS(Sales_Data!$N$2:$N$3520,Sales_Data!$C$2:$C$3520,$A58,Sales_Data!$F$2:$F$3520,I$7,Sales_Data!$AE$2:$AE$3520,1),SUMIFS(Sales_Data!$AE$2:$AE$3520,Sales_Data!$C$2:$C$3520,$A58,Sales_Data!$F$2:$F$3520,I$7)))</f>
        <v>0</v>
      </c>
      <c r="J58" s="26" t="n">
        <f aca="false">IF(J$7="","",CHOOSE(MATCH($B$4,Lists!$C$2:$C$5,0),SUMIFS(Sales_Data!$O$2:$O$3520,Sales_Data!$C$2:$C$3520,$A58,Sales_Data!$F$2:$F$3520,J$7,Sales_Data!$AE$2:$AE$3520,1),SUMIFS(Sales_Data!$M$2:$M$3520,Sales_Data!$C$2:$C$3520,$A58,Sales_Data!$F$2:$F$3520,J$7,Sales_Data!$AE$2:$AE$3520,1),SUMIFS(Sales_Data!$N$2:$N$3520,Sales_Data!$C$2:$C$3520,$A58,Sales_Data!$F$2:$F$3520,J$7,Sales_Data!$AE$2:$AE$3520,1),SUMIFS(Sales_Data!$AE$2:$AE$3520,Sales_Data!$C$2:$C$3520,$A58,Sales_Data!$F$2:$F$3520,J$7)))</f>
        <v>0</v>
      </c>
      <c r="K58" s="26" t="n">
        <f aca="false">IF(K$7="","",CHOOSE(MATCH($B$4,Lists!$C$2:$C$5,0),SUMIFS(Sales_Data!$O$2:$O$3520,Sales_Data!$C$2:$C$3520,$A58,Sales_Data!$F$2:$F$3520,K$7,Sales_Data!$AE$2:$AE$3520,1),SUMIFS(Sales_Data!$M$2:$M$3520,Sales_Data!$C$2:$C$3520,$A58,Sales_Data!$F$2:$F$3520,K$7,Sales_Data!$AE$2:$AE$3520,1),SUMIFS(Sales_Data!$N$2:$N$3520,Sales_Data!$C$2:$C$3520,$A58,Sales_Data!$F$2:$F$3520,K$7,Sales_Data!$AE$2:$AE$3520,1),SUMIFS(Sales_Data!$AE$2:$AE$3520,Sales_Data!$C$2:$C$3520,$A58,Sales_Data!$F$2:$F$3520,K$7)))</f>
        <v>0</v>
      </c>
      <c r="L58" s="26" t="n">
        <f aca="false">IF(L$7="","",CHOOSE(MATCH($B$4,Lists!$C$2:$C$5,0),SUMIFS(Sales_Data!$O$2:$O$3520,Sales_Data!$C$2:$C$3520,$A58,Sales_Data!$F$2:$F$3520,L$7,Sales_Data!$AE$2:$AE$3520,1),SUMIFS(Sales_Data!$M$2:$M$3520,Sales_Data!$C$2:$C$3520,$A58,Sales_Data!$F$2:$F$3520,L$7,Sales_Data!$AE$2:$AE$3520,1),SUMIFS(Sales_Data!$N$2:$N$3520,Sales_Data!$C$2:$C$3520,$A58,Sales_Data!$F$2:$F$3520,L$7,Sales_Data!$AE$2:$AE$3520,1),SUMIFS(Sales_Data!$AE$2:$AE$3520,Sales_Data!$C$2:$C$3520,$A58,Sales_Data!$F$2:$F$3520,L$7)))</f>
        <v>0</v>
      </c>
      <c r="M58" s="26" t="n">
        <f aca="false">IF(M$7="","",CHOOSE(MATCH($B$4,Lists!$C$2:$C$5,0),SUMIFS(Sales_Data!$O$2:$O$3520,Sales_Data!$C$2:$C$3520,$A58,Sales_Data!$F$2:$F$3520,M$7,Sales_Data!$AE$2:$AE$3520,1),SUMIFS(Sales_Data!$M$2:$M$3520,Sales_Data!$C$2:$C$3520,$A58,Sales_Data!$F$2:$F$3520,M$7,Sales_Data!$AE$2:$AE$3520,1),SUMIFS(Sales_Data!$N$2:$N$3520,Sales_Data!$C$2:$C$3520,$A58,Sales_Data!$F$2:$F$3520,M$7,Sales_Data!$AE$2:$AE$3520,1),SUMIFS(Sales_Data!$AE$2:$AE$3520,Sales_Data!$C$2:$C$3520,$A58,Sales_Data!$F$2:$F$3520,M$7)))</f>
        <v>0</v>
      </c>
      <c r="N58" s="26" t="n">
        <f aca="false">IF(N$7="","",CHOOSE(MATCH($B$4,Lists!$C$2:$C$5,0),SUMIFS(Sales_Data!$O$2:$O$3520,Sales_Data!$C$2:$C$3520,$A58,Sales_Data!$F$2:$F$3520,N$7,Sales_Data!$AE$2:$AE$3520,1),SUMIFS(Sales_Data!$M$2:$M$3520,Sales_Data!$C$2:$C$3520,$A58,Sales_Data!$F$2:$F$3520,N$7,Sales_Data!$AE$2:$AE$3520,1),SUMIFS(Sales_Data!$N$2:$N$3520,Sales_Data!$C$2:$C$3520,$A58,Sales_Data!$F$2:$F$3520,N$7,Sales_Data!$AE$2:$AE$3520,1),SUMIFS(Sales_Data!$AE$2:$AE$3520,Sales_Data!$C$2:$C$3520,$A58,Sales_Data!$F$2:$F$3520,N$7)))</f>
        <v>0</v>
      </c>
      <c r="O58" s="26" t="n">
        <f aca="false">IF(O$7="","",CHOOSE(MATCH($B$4,Lists!$C$2:$C$5,0),SUMIFS(Sales_Data!$O$2:$O$3520,Sales_Data!$C$2:$C$3520,$A58,Sales_Data!$F$2:$F$3520,O$7,Sales_Data!$AE$2:$AE$3520,1),SUMIFS(Sales_Data!$M$2:$M$3520,Sales_Data!$C$2:$C$3520,$A58,Sales_Data!$F$2:$F$3520,O$7,Sales_Data!$AE$2:$AE$3520,1),SUMIFS(Sales_Data!$N$2:$N$3520,Sales_Data!$C$2:$C$3520,$A58,Sales_Data!$F$2:$F$3520,O$7,Sales_Data!$AE$2:$AE$3520,1),SUMIFS(Sales_Data!$AE$2:$AE$3520,Sales_Data!$C$2:$C$3520,$A58,Sales_Data!$F$2:$F$3520,O$7)))</f>
        <v>0</v>
      </c>
      <c r="P58" s="26" t="n">
        <f aca="false">IF(P$7="","",CHOOSE(MATCH($B$4,Lists!$C$2:$C$5,0),SUMIFS(Sales_Data!$O$2:$O$3520,Sales_Data!$C$2:$C$3520,$A58,Sales_Data!$F$2:$F$3520,P$7,Sales_Data!$AE$2:$AE$3520,1),SUMIFS(Sales_Data!$M$2:$M$3520,Sales_Data!$C$2:$C$3520,$A58,Sales_Data!$F$2:$F$3520,P$7,Sales_Data!$AE$2:$AE$3520,1),SUMIFS(Sales_Data!$N$2:$N$3520,Sales_Data!$C$2:$C$3520,$A58,Sales_Data!$F$2:$F$3520,P$7,Sales_Data!$AE$2:$AE$3520,1),SUMIFS(Sales_Data!$AE$2:$AE$3520,Sales_Data!$C$2:$C$3520,$A58,Sales_Data!$F$2:$F$3520,P$7)))</f>
        <v>0</v>
      </c>
      <c r="Q58" s="26" t="n">
        <f aca="false">IF(Q$7="","",CHOOSE(MATCH($B$4,Lists!$C$2:$C$5,0),SUMIFS(Sales_Data!$O$2:$O$3520,Sales_Data!$C$2:$C$3520,$A58,Sales_Data!$F$2:$F$3520,Q$7,Sales_Data!$AE$2:$AE$3520,1),SUMIFS(Sales_Data!$M$2:$M$3520,Sales_Data!$C$2:$C$3520,$A58,Sales_Data!$F$2:$F$3520,Q$7,Sales_Data!$AE$2:$AE$3520,1),SUMIFS(Sales_Data!$N$2:$N$3520,Sales_Data!$C$2:$C$3520,$A58,Sales_Data!$F$2:$F$3520,Q$7,Sales_Data!$AE$2:$AE$3520,1),SUMIFS(Sales_Data!$AE$2:$AE$3520,Sales_Data!$C$2:$C$3520,$A58,Sales_Data!$F$2:$F$3520,Q$7)))</f>
        <v>0</v>
      </c>
      <c r="R58" s="26" t="n">
        <f aca="false">IF(R$7="","",CHOOSE(MATCH($B$4,Lists!$C$2:$C$5,0),SUMIFS(Sales_Data!$O$2:$O$3520,Sales_Data!$C$2:$C$3520,$A58,Sales_Data!$F$2:$F$3520,R$7,Sales_Data!$AE$2:$AE$3520,1),SUMIFS(Sales_Data!$M$2:$M$3520,Sales_Data!$C$2:$C$3520,$A58,Sales_Data!$F$2:$F$3520,R$7,Sales_Data!$AE$2:$AE$3520,1),SUMIFS(Sales_Data!$N$2:$N$3520,Sales_Data!$C$2:$C$3520,$A58,Sales_Data!$F$2:$F$3520,R$7,Sales_Data!$AE$2:$AE$3520,1),SUMIFS(Sales_Data!$AE$2:$AE$3520,Sales_Data!$C$2:$C$3520,$A58,Sales_Data!$F$2:$F$3520,R$7)))</f>
        <v>0</v>
      </c>
      <c r="S58" s="26" t="n">
        <f aca="false">IF(S$7="","",CHOOSE(MATCH($B$4,Lists!$C$2:$C$5,0),SUMIFS(Sales_Data!$O$2:$O$3520,Sales_Data!$C$2:$C$3520,$A58,Sales_Data!$F$2:$F$3520,S$7,Sales_Data!$AE$2:$AE$3520,1),SUMIFS(Sales_Data!$M$2:$M$3520,Sales_Data!$C$2:$C$3520,$A58,Sales_Data!$F$2:$F$3520,S$7,Sales_Data!$AE$2:$AE$3520,1),SUMIFS(Sales_Data!$N$2:$N$3520,Sales_Data!$C$2:$C$3520,$A58,Sales_Data!$F$2:$F$3520,S$7,Sales_Data!$AE$2:$AE$3520,1),SUMIFS(Sales_Data!$AE$2:$AE$3520,Sales_Data!$C$2:$C$3520,$A58,Sales_Data!$F$2:$F$3520,S$7)))</f>
        <v>0</v>
      </c>
      <c r="T58" s="26" t="str">
        <f aca="false">IF(T$7="","",CHOOSE(MATCH($B$4,Lists!$C$2:$C$5,0),SUMIFS(Sales_Data!$O$2:$O$3520,Sales_Data!$C$2:$C$3520,$A58,Sales_Data!$F$2:$F$3520,T$7,Sales_Data!$AE$2:$AE$3520,1),SUMIFS(Sales_Data!$M$2:$M$3520,Sales_Data!$C$2:$C$3520,$A58,Sales_Data!$F$2:$F$3520,T$7,Sales_Data!$AE$2:$AE$3520,1),SUMIFS(Sales_Data!$N$2:$N$3520,Sales_Data!$C$2:$C$3520,$A58,Sales_Data!$F$2:$F$3520,T$7,Sales_Data!$AE$2:$AE$3520,1),SUMIFS(Sales_Data!$AE$2:$AE$3520,Sales_Data!$C$2:$C$3520,$A58,Sales_Data!$F$2:$F$3520,T$7)))</f>
        <v/>
      </c>
      <c r="U58" s="26" t="str">
        <f aca="false">IF(U$7="","",CHOOSE(MATCH($B$4,Lists!$C$2:$C$5,0),SUMIFS(Sales_Data!$O$2:$O$3520,Sales_Data!$C$2:$C$3520,$A58,Sales_Data!$F$2:$F$3520,U$7,Sales_Data!$AE$2:$AE$3520,1),SUMIFS(Sales_Data!$M$2:$M$3520,Sales_Data!$C$2:$C$3520,$A58,Sales_Data!$F$2:$F$3520,U$7,Sales_Data!$AE$2:$AE$3520,1),SUMIFS(Sales_Data!$N$2:$N$3520,Sales_Data!$C$2:$C$3520,$A58,Sales_Data!$F$2:$F$3520,U$7,Sales_Data!$AE$2:$AE$3520,1),SUMIFS(Sales_Data!$AE$2:$AE$3520,Sales_Data!$C$2:$C$3520,$A58,Sales_Data!$F$2:$F$3520,U$7)))</f>
        <v/>
      </c>
      <c r="V58" s="26" t="str">
        <f aca="false">IF(V$7="","",CHOOSE(MATCH($B$4,Lists!$C$2:$C$5,0),SUMIFS(Sales_Data!$O$2:$O$3520,Sales_Data!$C$2:$C$3520,$A58,Sales_Data!$F$2:$F$3520,V$7,Sales_Data!$AE$2:$AE$3520,1),SUMIFS(Sales_Data!$M$2:$M$3520,Sales_Data!$C$2:$C$3520,$A58,Sales_Data!$F$2:$F$3520,V$7,Sales_Data!$AE$2:$AE$3520,1),SUMIFS(Sales_Data!$N$2:$N$3520,Sales_Data!$C$2:$C$3520,$A58,Sales_Data!$F$2:$F$3520,V$7,Sales_Data!$AE$2:$AE$3520,1),SUMIFS(Sales_Data!$AE$2:$AE$3520,Sales_Data!$C$2:$C$3520,$A58,Sales_Data!$F$2:$F$3520,V$7)))</f>
        <v/>
      </c>
      <c r="W58" s="26" t="str">
        <f aca="false">IF(W$7="","",CHOOSE(MATCH($B$4,Lists!$C$2:$C$5,0),SUMIFS(Sales_Data!$O$2:$O$3520,Sales_Data!$C$2:$C$3520,$A58,Sales_Data!$F$2:$F$3520,W$7,Sales_Data!$AE$2:$AE$3520,1),SUMIFS(Sales_Data!$M$2:$M$3520,Sales_Data!$C$2:$C$3520,$A58,Sales_Data!$F$2:$F$3520,W$7,Sales_Data!$AE$2:$AE$3520,1),SUMIFS(Sales_Data!$N$2:$N$3520,Sales_Data!$C$2:$C$3520,$A58,Sales_Data!$F$2:$F$3520,W$7,Sales_Data!$AE$2:$AE$3520,1),SUMIFS(Sales_Data!$AE$2:$AE$3520,Sales_Data!$C$2:$C$3520,$A58,Sales_Data!$F$2:$F$3520,W$7)))</f>
        <v/>
      </c>
      <c r="X58" s="26" t="str">
        <f aca="false">IF(X$7="","",CHOOSE(MATCH($B$4,Lists!$C$2:$C$5,0),SUMIFS(Sales_Data!$O$2:$O$3520,Sales_Data!$C$2:$C$3520,$A58,Sales_Data!$F$2:$F$3520,X$7,Sales_Data!$AE$2:$AE$3520,1),SUMIFS(Sales_Data!$M$2:$M$3520,Sales_Data!$C$2:$C$3520,$A58,Sales_Data!$F$2:$F$3520,X$7,Sales_Data!$AE$2:$AE$3520,1),SUMIFS(Sales_Data!$N$2:$N$3520,Sales_Data!$C$2:$C$3520,$A58,Sales_Data!$F$2:$F$3520,X$7,Sales_Data!$AE$2:$AE$3520,1),SUMIFS(Sales_Data!$AE$2:$AE$3520,Sales_Data!$C$2:$C$3520,$A58,Sales_Data!$F$2:$F$3520,X$7)))</f>
        <v/>
      </c>
      <c r="Y58" s="26" t="str">
        <f aca="false">IF(Y$7="","",CHOOSE(MATCH($B$4,Lists!$C$2:$C$5,0),SUMIFS(Sales_Data!$O$2:$O$3520,Sales_Data!$C$2:$C$3520,$A58,Sales_Data!$F$2:$F$3520,Y$7,Sales_Data!$AE$2:$AE$3520,1),SUMIFS(Sales_Data!$M$2:$M$3520,Sales_Data!$C$2:$C$3520,$A58,Sales_Data!$F$2:$F$3520,Y$7,Sales_Data!$AE$2:$AE$3520,1),SUMIFS(Sales_Data!$N$2:$N$3520,Sales_Data!$C$2:$C$3520,$A58,Sales_Data!$F$2:$F$3520,Y$7,Sales_Data!$AE$2:$AE$3520,1),SUMIFS(Sales_Data!$AE$2:$AE$3520,Sales_Data!$C$2:$C$3520,$A58,Sales_Data!$F$2:$F$3520,Y$7)))</f>
        <v/>
      </c>
      <c r="Z58" s="26" t="str">
        <f aca="false">IF(Z$7="","",CHOOSE(MATCH($B$4,Lists!$C$2:$C$5,0),SUMIFS(Sales_Data!$O$2:$O$3520,Sales_Data!$C$2:$C$3520,$A58,Sales_Data!$F$2:$F$3520,Z$7,Sales_Data!$AE$2:$AE$3520,1),SUMIFS(Sales_Data!$M$2:$M$3520,Sales_Data!$C$2:$C$3520,$A58,Sales_Data!$F$2:$F$3520,Z$7,Sales_Data!$AE$2:$AE$3520,1),SUMIFS(Sales_Data!$N$2:$N$3520,Sales_Data!$C$2:$C$3520,$A58,Sales_Data!$F$2:$F$3520,Z$7,Sales_Data!$AE$2:$AE$3520,1),SUMIFS(Sales_Data!$AE$2:$AE$3520,Sales_Data!$C$2:$C$3520,$A58,Sales_Data!$F$2:$F$3520,Z$7)))</f>
        <v/>
      </c>
      <c r="AA58" s="27" t="n">
        <f aca="false">SUM(B58:Z58)</f>
        <v>0</v>
      </c>
      <c r="AB58" s="3"/>
      <c r="AC58" s="72" t="n">
        <f aca="false">A58</f>
        <v>46265</v>
      </c>
      <c r="AD58" s="28" t="n">
        <f aca="false">IF(B58="","",B58-B57)</f>
        <v>0</v>
      </c>
      <c r="AE58" s="28" t="n">
        <f aca="false">IF(C58="","",C58-C57)</f>
        <v>0</v>
      </c>
      <c r="AF58" s="28" t="n">
        <f aca="false">IF(D58="","",D58-D57)</f>
        <v>0</v>
      </c>
      <c r="AG58" s="28" t="n">
        <f aca="false">IF(E58="","",E58-E57)</f>
        <v>0</v>
      </c>
      <c r="AH58" s="28" t="n">
        <f aca="false">IF(F58="","",F58-F57)</f>
        <v>0</v>
      </c>
      <c r="AI58" s="28" t="n">
        <f aca="false">IF(G58="","",G58-G57)</f>
        <v>0</v>
      </c>
      <c r="AJ58" s="28" t="n">
        <f aca="false">IF(H58="","",H58-H57)</f>
        <v>0</v>
      </c>
      <c r="AK58" s="28" t="n">
        <f aca="false">IF(I58="","",I58-I57)</f>
        <v>0</v>
      </c>
      <c r="AL58" s="28" t="n">
        <f aca="false">IF(J58="","",J58-J57)</f>
        <v>0</v>
      </c>
      <c r="AM58" s="28" t="n">
        <f aca="false">IF(K58="","",K58-K57)</f>
        <v>0</v>
      </c>
      <c r="AN58" s="28" t="n">
        <f aca="false">IF(L58="","",L58-L57)</f>
        <v>0</v>
      </c>
      <c r="AO58" s="28" t="n">
        <f aca="false">IF(M58="","",M58-M57)</f>
        <v>0</v>
      </c>
      <c r="AP58" s="28" t="n">
        <f aca="false">IF(N58="","",N58-N57)</f>
        <v>0</v>
      </c>
      <c r="AQ58" s="28" t="n">
        <f aca="false">IF(O58="","",O58-O57)</f>
        <v>0</v>
      </c>
      <c r="AR58" s="28" t="n">
        <f aca="false">IF(P58="","",P58-P57)</f>
        <v>0</v>
      </c>
      <c r="AS58" s="28" t="n">
        <f aca="false">IF(Q58="","",Q58-Q57)</f>
        <v>0</v>
      </c>
      <c r="AT58" s="28" t="n">
        <f aca="false">IF(R58="","",R58-R57)</f>
        <v>0</v>
      </c>
      <c r="AU58" s="28" t="n">
        <f aca="false">IF(S58="","",S58-S57)</f>
        <v>0</v>
      </c>
      <c r="AV58" s="28" t="str">
        <f aca="false">IF(T58="","",T58-T57)</f>
        <v/>
      </c>
      <c r="AW58" s="28" t="str">
        <f aca="false">IF(U58="","",U58-U57)</f>
        <v/>
      </c>
      <c r="AX58" s="28" t="str">
        <f aca="false">IF(V58="","",V58-V57)</f>
        <v/>
      </c>
      <c r="AY58" s="28" t="str">
        <f aca="false">IF(W58="","",W58-W57)</f>
        <v/>
      </c>
      <c r="AZ58" s="28" t="str">
        <f aca="false">IF(X58="","",X58-X57)</f>
        <v/>
      </c>
      <c r="BA58" s="28" t="str">
        <f aca="false">IF(Y58="","",Y58-Y57)</f>
        <v/>
      </c>
      <c r="BB58" s="28" t="str">
        <f aca="false">IF(Z58="","",Z58-Z57)</f>
        <v/>
      </c>
      <c r="BC58" s="28" t="n">
        <f aca="false">IF(AA58="","",AA58-AA57)</f>
        <v>0</v>
      </c>
    </row>
    <row r="59" customFormat="false" ht="15" hidden="false" customHeight="false" outlineLevel="0" collapsed="false">
      <c r="A59" s="72" t="n">
        <v>46266</v>
      </c>
      <c r="B59" s="26" t="n">
        <f aca="false">IF(B$7="","",CHOOSE(MATCH($B$4,Lists!$C$2:$C$5,0),SUMIFS(Sales_Data!$O$2:$O$3520,Sales_Data!$C$2:$C$3520,$A59,Sales_Data!$F$2:$F$3520,B$7,Sales_Data!$AE$2:$AE$3520,1),SUMIFS(Sales_Data!$M$2:$M$3520,Sales_Data!$C$2:$C$3520,$A59,Sales_Data!$F$2:$F$3520,B$7,Sales_Data!$AE$2:$AE$3520,1),SUMIFS(Sales_Data!$N$2:$N$3520,Sales_Data!$C$2:$C$3520,$A59,Sales_Data!$F$2:$F$3520,B$7,Sales_Data!$AE$2:$AE$3520,1),SUMIFS(Sales_Data!$AE$2:$AE$3520,Sales_Data!$C$2:$C$3520,$A59,Sales_Data!$F$2:$F$3520,B$7)))</f>
        <v>0</v>
      </c>
      <c r="C59" s="26" t="n">
        <f aca="false">IF(C$7="","",CHOOSE(MATCH($B$4,Lists!$C$2:$C$5,0),SUMIFS(Sales_Data!$O$2:$O$3520,Sales_Data!$C$2:$C$3520,$A59,Sales_Data!$F$2:$F$3520,C$7,Sales_Data!$AE$2:$AE$3520,1),SUMIFS(Sales_Data!$M$2:$M$3520,Sales_Data!$C$2:$C$3520,$A59,Sales_Data!$F$2:$F$3520,C$7,Sales_Data!$AE$2:$AE$3520,1),SUMIFS(Sales_Data!$N$2:$N$3520,Sales_Data!$C$2:$C$3520,$A59,Sales_Data!$F$2:$F$3520,C$7,Sales_Data!$AE$2:$AE$3520,1),SUMIFS(Sales_Data!$AE$2:$AE$3520,Sales_Data!$C$2:$C$3520,$A59,Sales_Data!$F$2:$F$3520,C$7)))</f>
        <v>0</v>
      </c>
      <c r="D59" s="26" t="n">
        <f aca="false">IF(D$7="","",CHOOSE(MATCH($B$4,Lists!$C$2:$C$5,0),SUMIFS(Sales_Data!$O$2:$O$3520,Sales_Data!$C$2:$C$3520,$A59,Sales_Data!$F$2:$F$3520,D$7,Sales_Data!$AE$2:$AE$3520,1),SUMIFS(Sales_Data!$M$2:$M$3520,Sales_Data!$C$2:$C$3520,$A59,Sales_Data!$F$2:$F$3520,D$7,Sales_Data!$AE$2:$AE$3520,1),SUMIFS(Sales_Data!$N$2:$N$3520,Sales_Data!$C$2:$C$3520,$A59,Sales_Data!$F$2:$F$3520,D$7,Sales_Data!$AE$2:$AE$3520,1),SUMIFS(Sales_Data!$AE$2:$AE$3520,Sales_Data!$C$2:$C$3520,$A59,Sales_Data!$F$2:$F$3520,D$7)))</f>
        <v>0</v>
      </c>
      <c r="E59" s="26" t="n">
        <f aca="false">IF(E$7="","",CHOOSE(MATCH($B$4,Lists!$C$2:$C$5,0),SUMIFS(Sales_Data!$O$2:$O$3520,Sales_Data!$C$2:$C$3520,$A59,Sales_Data!$F$2:$F$3520,E$7,Sales_Data!$AE$2:$AE$3520,1),SUMIFS(Sales_Data!$M$2:$M$3520,Sales_Data!$C$2:$C$3520,$A59,Sales_Data!$F$2:$F$3520,E$7,Sales_Data!$AE$2:$AE$3520,1),SUMIFS(Sales_Data!$N$2:$N$3520,Sales_Data!$C$2:$C$3520,$A59,Sales_Data!$F$2:$F$3520,E$7,Sales_Data!$AE$2:$AE$3520,1),SUMIFS(Sales_Data!$AE$2:$AE$3520,Sales_Data!$C$2:$C$3520,$A59,Sales_Data!$F$2:$F$3520,E$7)))</f>
        <v>0</v>
      </c>
      <c r="F59" s="26" t="n">
        <f aca="false">IF(F$7="","",CHOOSE(MATCH($B$4,Lists!$C$2:$C$5,0),SUMIFS(Sales_Data!$O$2:$O$3520,Sales_Data!$C$2:$C$3520,$A59,Sales_Data!$F$2:$F$3520,F$7,Sales_Data!$AE$2:$AE$3520,1),SUMIFS(Sales_Data!$M$2:$M$3520,Sales_Data!$C$2:$C$3520,$A59,Sales_Data!$F$2:$F$3520,F$7,Sales_Data!$AE$2:$AE$3520,1),SUMIFS(Sales_Data!$N$2:$N$3520,Sales_Data!$C$2:$C$3520,$A59,Sales_Data!$F$2:$F$3520,F$7,Sales_Data!$AE$2:$AE$3520,1),SUMIFS(Sales_Data!$AE$2:$AE$3520,Sales_Data!$C$2:$C$3520,$A59,Sales_Data!$F$2:$F$3520,F$7)))</f>
        <v>0</v>
      </c>
      <c r="G59" s="26" t="n">
        <f aca="false">IF(G$7="","",CHOOSE(MATCH($B$4,Lists!$C$2:$C$5,0),SUMIFS(Sales_Data!$O$2:$O$3520,Sales_Data!$C$2:$C$3520,$A59,Sales_Data!$F$2:$F$3520,G$7,Sales_Data!$AE$2:$AE$3520,1),SUMIFS(Sales_Data!$M$2:$M$3520,Sales_Data!$C$2:$C$3520,$A59,Sales_Data!$F$2:$F$3520,G$7,Sales_Data!$AE$2:$AE$3520,1),SUMIFS(Sales_Data!$N$2:$N$3520,Sales_Data!$C$2:$C$3520,$A59,Sales_Data!$F$2:$F$3520,G$7,Sales_Data!$AE$2:$AE$3520,1),SUMIFS(Sales_Data!$AE$2:$AE$3520,Sales_Data!$C$2:$C$3520,$A59,Sales_Data!$F$2:$F$3520,G$7)))</f>
        <v>0</v>
      </c>
      <c r="H59" s="26" t="n">
        <f aca="false">IF(H$7="","",CHOOSE(MATCH($B$4,Lists!$C$2:$C$5,0),SUMIFS(Sales_Data!$O$2:$O$3520,Sales_Data!$C$2:$C$3520,$A59,Sales_Data!$F$2:$F$3520,H$7,Sales_Data!$AE$2:$AE$3520,1),SUMIFS(Sales_Data!$M$2:$M$3520,Sales_Data!$C$2:$C$3520,$A59,Sales_Data!$F$2:$F$3520,H$7,Sales_Data!$AE$2:$AE$3520,1),SUMIFS(Sales_Data!$N$2:$N$3520,Sales_Data!$C$2:$C$3520,$A59,Sales_Data!$F$2:$F$3520,H$7,Sales_Data!$AE$2:$AE$3520,1),SUMIFS(Sales_Data!$AE$2:$AE$3520,Sales_Data!$C$2:$C$3520,$A59,Sales_Data!$F$2:$F$3520,H$7)))</f>
        <v>0</v>
      </c>
      <c r="I59" s="26" t="n">
        <f aca="false">IF(I$7="","",CHOOSE(MATCH($B$4,Lists!$C$2:$C$5,0),SUMIFS(Sales_Data!$O$2:$O$3520,Sales_Data!$C$2:$C$3520,$A59,Sales_Data!$F$2:$F$3520,I$7,Sales_Data!$AE$2:$AE$3520,1),SUMIFS(Sales_Data!$M$2:$M$3520,Sales_Data!$C$2:$C$3520,$A59,Sales_Data!$F$2:$F$3520,I$7,Sales_Data!$AE$2:$AE$3520,1),SUMIFS(Sales_Data!$N$2:$N$3520,Sales_Data!$C$2:$C$3520,$A59,Sales_Data!$F$2:$F$3520,I$7,Sales_Data!$AE$2:$AE$3520,1),SUMIFS(Sales_Data!$AE$2:$AE$3520,Sales_Data!$C$2:$C$3520,$A59,Sales_Data!$F$2:$F$3520,I$7)))</f>
        <v>0</v>
      </c>
      <c r="J59" s="26" t="n">
        <f aca="false">IF(J$7="","",CHOOSE(MATCH($B$4,Lists!$C$2:$C$5,0),SUMIFS(Sales_Data!$O$2:$O$3520,Sales_Data!$C$2:$C$3520,$A59,Sales_Data!$F$2:$F$3520,J$7,Sales_Data!$AE$2:$AE$3520,1),SUMIFS(Sales_Data!$M$2:$M$3520,Sales_Data!$C$2:$C$3520,$A59,Sales_Data!$F$2:$F$3520,J$7,Sales_Data!$AE$2:$AE$3520,1),SUMIFS(Sales_Data!$N$2:$N$3520,Sales_Data!$C$2:$C$3520,$A59,Sales_Data!$F$2:$F$3520,J$7,Sales_Data!$AE$2:$AE$3520,1),SUMIFS(Sales_Data!$AE$2:$AE$3520,Sales_Data!$C$2:$C$3520,$A59,Sales_Data!$F$2:$F$3520,J$7)))</f>
        <v>0</v>
      </c>
      <c r="K59" s="26" t="n">
        <f aca="false">IF(K$7="","",CHOOSE(MATCH($B$4,Lists!$C$2:$C$5,0),SUMIFS(Sales_Data!$O$2:$O$3520,Sales_Data!$C$2:$C$3520,$A59,Sales_Data!$F$2:$F$3520,K$7,Sales_Data!$AE$2:$AE$3520,1),SUMIFS(Sales_Data!$M$2:$M$3520,Sales_Data!$C$2:$C$3520,$A59,Sales_Data!$F$2:$F$3520,K$7,Sales_Data!$AE$2:$AE$3520,1),SUMIFS(Sales_Data!$N$2:$N$3520,Sales_Data!$C$2:$C$3520,$A59,Sales_Data!$F$2:$F$3520,K$7,Sales_Data!$AE$2:$AE$3520,1),SUMIFS(Sales_Data!$AE$2:$AE$3520,Sales_Data!$C$2:$C$3520,$A59,Sales_Data!$F$2:$F$3520,K$7)))</f>
        <v>0</v>
      </c>
      <c r="L59" s="26" t="n">
        <f aca="false">IF(L$7="","",CHOOSE(MATCH($B$4,Lists!$C$2:$C$5,0),SUMIFS(Sales_Data!$O$2:$O$3520,Sales_Data!$C$2:$C$3520,$A59,Sales_Data!$F$2:$F$3520,L$7,Sales_Data!$AE$2:$AE$3520,1),SUMIFS(Sales_Data!$M$2:$M$3520,Sales_Data!$C$2:$C$3520,$A59,Sales_Data!$F$2:$F$3520,L$7,Sales_Data!$AE$2:$AE$3520,1),SUMIFS(Sales_Data!$N$2:$N$3520,Sales_Data!$C$2:$C$3520,$A59,Sales_Data!$F$2:$F$3520,L$7,Sales_Data!$AE$2:$AE$3520,1),SUMIFS(Sales_Data!$AE$2:$AE$3520,Sales_Data!$C$2:$C$3520,$A59,Sales_Data!$F$2:$F$3520,L$7)))</f>
        <v>0</v>
      </c>
      <c r="M59" s="26" t="n">
        <f aca="false">IF(M$7="","",CHOOSE(MATCH($B$4,Lists!$C$2:$C$5,0),SUMIFS(Sales_Data!$O$2:$O$3520,Sales_Data!$C$2:$C$3520,$A59,Sales_Data!$F$2:$F$3520,M$7,Sales_Data!$AE$2:$AE$3520,1),SUMIFS(Sales_Data!$M$2:$M$3520,Sales_Data!$C$2:$C$3520,$A59,Sales_Data!$F$2:$F$3520,M$7,Sales_Data!$AE$2:$AE$3520,1),SUMIFS(Sales_Data!$N$2:$N$3520,Sales_Data!$C$2:$C$3520,$A59,Sales_Data!$F$2:$F$3520,M$7,Sales_Data!$AE$2:$AE$3520,1),SUMIFS(Sales_Data!$AE$2:$AE$3520,Sales_Data!$C$2:$C$3520,$A59,Sales_Data!$F$2:$F$3520,M$7)))</f>
        <v>0</v>
      </c>
      <c r="N59" s="26" t="n">
        <f aca="false">IF(N$7="","",CHOOSE(MATCH($B$4,Lists!$C$2:$C$5,0),SUMIFS(Sales_Data!$O$2:$O$3520,Sales_Data!$C$2:$C$3520,$A59,Sales_Data!$F$2:$F$3520,N$7,Sales_Data!$AE$2:$AE$3520,1),SUMIFS(Sales_Data!$M$2:$M$3520,Sales_Data!$C$2:$C$3520,$A59,Sales_Data!$F$2:$F$3520,N$7,Sales_Data!$AE$2:$AE$3520,1),SUMIFS(Sales_Data!$N$2:$N$3520,Sales_Data!$C$2:$C$3520,$A59,Sales_Data!$F$2:$F$3520,N$7,Sales_Data!$AE$2:$AE$3520,1),SUMIFS(Sales_Data!$AE$2:$AE$3520,Sales_Data!$C$2:$C$3520,$A59,Sales_Data!$F$2:$F$3520,N$7)))</f>
        <v>0</v>
      </c>
      <c r="O59" s="26" t="n">
        <f aca="false">IF(O$7="","",CHOOSE(MATCH($B$4,Lists!$C$2:$C$5,0),SUMIFS(Sales_Data!$O$2:$O$3520,Sales_Data!$C$2:$C$3520,$A59,Sales_Data!$F$2:$F$3520,O$7,Sales_Data!$AE$2:$AE$3520,1),SUMIFS(Sales_Data!$M$2:$M$3520,Sales_Data!$C$2:$C$3520,$A59,Sales_Data!$F$2:$F$3520,O$7,Sales_Data!$AE$2:$AE$3520,1),SUMIFS(Sales_Data!$N$2:$N$3520,Sales_Data!$C$2:$C$3520,$A59,Sales_Data!$F$2:$F$3520,O$7,Sales_Data!$AE$2:$AE$3520,1),SUMIFS(Sales_Data!$AE$2:$AE$3520,Sales_Data!$C$2:$C$3520,$A59,Sales_Data!$F$2:$F$3520,O$7)))</f>
        <v>0</v>
      </c>
      <c r="P59" s="26" t="n">
        <f aca="false">IF(P$7="","",CHOOSE(MATCH($B$4,Lists!$C$2:$C$5,0),SUMIFS(Sales_Data!$O$2:$O$3520,Sales_Data!$C$2:$C$3520,$A59,Sales_Data!$F$2:$F$3520,P$7,Sales_Data!$AE$2:$AE$3520,1),SUMIFS(Sales_Data!$M$2:$M$3520,Sales_Data!$C$2:$C$3520,$A59,Sales_Data!$F$2:$F$3520,P$7,Sales_Data!$AE$2:$AE$3520,1),SUMIFS(Sales_Data!$N$2:$N$3520,Sales_Data!$C$2:$C$3520,$A59,Sales_Data!$F$2:$F$3520,P$7,Sales_Data!$AE$2:$AE$3520,1),SUMIFS(Sales_Data!$AE$2:$AE$3520,Sales_Data!$C$2:$C$3520,$A59,Sales_Data!$F$2:$F$3520,P$7)))</f>
        <v>0</v>
      </c>
      <c r="Q59" s="26" t="n">
        <f aca="false">IF(Q$7="","",CHOOSE(MATCH($B$4,Lists!$C$2:$C$5,0),SUMIFS(Sales_Data!$O$2:$O$3520,Sales_Data!$C$2:$C$3520,$A59,Sales_Data!$F$2:$F$3520,Q$7,Sales_Data!$AE$2:$AE$3520,1),SUMIFS(Sales_Data!$M$2:$M$3520,Sales_Data!$C$2:$C$3520,$A59,Sales_Data!$F$2:$F$3520,Q$7,Sales_Data!$AE$2:$AE$3520,1),SUMIFS(Sales_Data!$N$2:$N$3520,Sales_Data!$C$2:$C$3520,$A59,Sales_Data!$F$2:$F$3520,Q$7,Sales_Data!$AE$2:$AE$3520,1),SUMIFS(Sales_Data!$AE$2:$AE$3520,Sales_Data!$C$2:$C$3520,$A59,Sales_Data!$F$2:$F$3520,Q$7)))</f>
        <v>0</v>
      </c>
      <c r="R59" s="26" t="n">
        <f aca="false">IF(R$7="","",CHOOSE(MATCH($B$4,Lists!$C$2:$C$5,0),SUMIFS(Sales_Data!$O$2:$O$3520,Sales_Data!$C$2:$C$3520,$A59,Sales_Data!$F$2:$F$3520,R$7,Sales_Data!$AE$2:$AE$3520,1),SUMIFS(Sales_Data!$M$2:$M$3520,Sales_Data!$C$2:$C$3520,$A59,Sales_Data!$F$2:$F$3520,R$7,Sales_Data!$AE$2:$AE$3520,1),SUMIFS(Sales_Data!$N$2:$N$3520,Sales_Data!$C$2:$C$3520,$A59,Sales_Data!$F$2:$F$3520,R$7,Sales_Data!$AE$2:$AE$3520,1),SUMIFS(Sales_Data!$AE$2:$AE$3520,Sales_Data!$C$2:$C$3520,$A59,Sales_Data!$F$2:$F$3520,R$7)))</f>
        <v>0</v>
      </c>
      <c r="S59" s="26" t="n">
        <f aca="false">IF(S$7="","",CHOOSE(MATCH($B$4,Lists!$C$2:$C$5,0),SUMIFS(Sales_Data!$O$2:$O$3520,Sales_Data!$C$2:$C$3520,$A59,Sales_Data!$F$2:$F$3520,S$7,Sales_Data!$AE$2:$AE$3520,1),SUMIFS(Sales_Data!$M$2:$M$3520,Sales_Data!$C$2:$C$3520,$A59,Sales_Data!$F$2:$F$3520,S$7,Sales_Data!$AE$2:$AE$3520,1),SUMIFS(Sales_Data!$N$2:$N$3520,Sales_Data!$C$2:$C$3520,$A59,Sales_Data!$F$2:$F$3520,S$7,Sales_Data!$AE$2:$AE$3520,1),SUMIFS(Sales_Data!$AE$2:$AE$3520,Sales_Data!$C$2:$C$3520,$A59,Sales_Data!$F$2:$F$3520,S$7)))</f>
        <v>0</v>
      </c>
      <c r="T59" s="26" t="str">
        <f aca="false">IF(T$7="","",CHOOSE(MATCH($B$4,Lists!$C$2:$C$5,0),SUMIFS(Sales_Data!$O$2:$O$3520,Sales_Data!$C$2:$C$3520,$A59,Sales_Data!$F$2:$F$3520,T$7,Sales_Data!$AE$2:$AE$3520,1),SUMIFS(Sales_Data!$M$2:$M$3520,Sales_Data!$C$2:$C$3520,$A59,Sales_Data!$F$2:$F$3520,T$7,Sales_Data!$AE$2:$AE$3520,1),SUMIFS(Sales_Data!$N$2:$N$3520,Sales_Data!$C$2:$C$3520,$A59,Sales_Data!$F$2:$F$3520,T$7,Sales_Data!$AE$2:$AE$3520,1),SUMIFS(Sales_Data!$AE$2:$AE$3520,Sales_Data!$C$2:$C$3520,$A59,Sales_Data!$F$2:$F$3520,T$7)))</f>
        <v/>
      </c>
      <c r="U59" s="26" t="str">
        <f aca="false">IF(U$7="","",CHOOSE(MATCH($B$4,Lists!$C$2:$C$5,0),SUMIFS(Sales_Data!$O$2:$O$3520,Sales_Data!$C$2:$C$3520,$A59,Sales_Data!$F$2:$F$3520,U$7,Sales_Data!$AE$2:$AE$3520,1),SUMIFS(Sales_Data!$M$2:$M$3520,Sales_Data!$C$2:$C$3520,$A59,Sales_Data!$F$2:$F$3520,U$7,Sales_Data!$AE$2:$AE$3520,1),SUMIFS(Sales_Data!$N$2:$N$3520,Sales_Data!$C$2:$C$3520,$A59,Sales_Data!$F$2:$F$3520,U$7,Sales_Data!$AE$2:$AE$3520,1),SUMIFS(Sales_Data!$AE$2:$AE$3520,Sales_Data!$C$2:$C$3520,$A59,Sales_Data!$F$2:$F$3520,U$7)))</f>
        <v/>
      </c>
      <c r="V59" s="26" t="str">
        <f aca="false">IF(V$7="","",CHOOSE(MATCH($B$4,Lists!$C$2:$C$5,0),SUMIFS(Sales_Data!$O$2:$O$3520,Sales_Data!$C$2:$C$3520,$A59,Sales_Data!$F$2:$F$3520,V$7,Sales_Data!$AE$2:$AE$3520,1),SUMIFS(Sales_Data!$M$2:$M$3520,Sales_Data!$C$2:$C$3520,$A59,Sales_Data!$F$2:$F$3520,V$7,Sales_Data!$AE$2:$AE$3520,1),SUMIFS(Sales_Data!$N$2:$N$3520,Sales_Data!$C$2:$C$3520,$A59,Sales_Data!$F$2:$F$3520,V$7,Sales_Data!$AE$2:$AE$3520,1),SUMIFS(Sales_Data!$AE$2:$AE$3520,Sales_Data!$C$2:$C$3520,$A59,Sales_Data!$F$2:$F$3520,V$7)))</f>
        <v/>
      </c>
      <c r="W59" s="26" t="str">
        <f aca="false">IF(W$7="","",CHOOSE(MATCH($B$4,Lists!$C$2:$C$5,0),SUMIFS(Sales_Data!$O$2:$O$3520,Sales_Data!$C$2:$C$3520,$A59,Sales_Data!$F$2:$F$3520,W$7,Sales_Data!$AE$2:$AE$3520,1),SUMIFS(Sales_Data!$M$2:$M$3520,Sales_Data!$C$2:$C$3520,$A59,Sales_Data!$F$2:$F$3520,W$7,Sales_Data!$AE$2:$AE$3520,1),SUMIFS(Sales_Data!$N$2:$N$3520,Sales_Data!$C$2:$C$3520,$A59,Sales_Data!$F$2:$F$3520,W$7,Sales_Data!$AE$2:$AE$3520,1),SUMIFS(Sales_Data!$AE$2:$AE$3520,Sales_Data!$C$2:$C$3520,$A59,Sales_Data!$F$2:$F$3520,W$7)))</f>
        <v/>
      </c>
      <c r="X59" s="26" t="str">
        <f aca="false">IF(X$7="","",CHOOSE(MATCH($B$4,Lists!$C$2:$C$5,0),SUMIFS(Sales_Data!$O$2:$O$3520,Sales_Data!$C$2:$C$3520,$A59,Sales_Data!$F$2:$F$3520,X$7,Sales_Data!$AE$2:$AE$3520,1),SUMIFS(Sales_Data!$M$2:$M$3520,Sales_Data!$C$2:$C$3520,$A59,Sales_Data!$F$2:$F$3520,X$7,Sales_Data!$AE$2:$AE$3520,1),SUMIFS(Sales_Data!$N$2:$N$3520,Sales_Data!$C$2:$C$3520,$A59,Sales_Data!$F$2:$F$3520,X$7,Sales_Data!$AE$2:$AE$3520,1),SUMIFS(Sales_Data!$AE$2:$AE$3520,Sales_Data!$C$2:$C$3520,$A59,Sales_Data!$F$2:$F$3520,X$7)))</f>
        <v/>
      </c>
      <c r="Y59" s="26" t="str">
        <f aca="false">IF(Y$7="","",CHOOSE(MATCH($B$4,Lists!$C$2:$C$5,0),SUMIFS(Sales_Data!$O$2:$O$3520,Sales_Data!$C$2:$C$3520,$A59,Sales_Data!$F$2:$F$3520,Y$7,Sales_Data!$AE$2:$AE$3520,1),SUMIFS(Sales_Data!$M$2:$M$3520,Sales_Data!$C$2:$C$3520,$A59,Sales_Data!$F$2:$F$3520,Y$7,Sales_Data!$AE$2:$AE$3520,1),SUMIFS(Sales_Data!$N$2:$N$3520,Sales_Data!$C$2:$C$3520,$A59,Sales_Data!$F$2:$F$3520,Y$7,Sales_Data!$AE$2:$AE$3520,1),SUMIFS(Sales_Data!$AE$2:$AE$3520,Sales_Data!$C$2:$C$3520,$A59,Sales_Data!$F$2:$F$3520,Y$7)))</f>
        <v/>
      </c>
      <c r="Z59" s="26" t="str">
        <f aca="false">IF(Z$7="","",CHOOSE(MATCH($B$4,Lists!$C$2:$C$5,0),SUMIFS(Sales_Data!$O$2:$O$3520,Sales_Data!$C$2:$C$3520,$A59,Sales_Data!$F$2:$F$3520,Z$7,Sales_Data!$AE$2:$AE$3520,1),SUMIFS(Sales_Data!$M$2:$M$3520,Sales_Data!$C$2:$C$3520,$A59,Sales_Data!$F$2:$F$3520,Z$7,Sales_Data!$AE$2:$AE$3520,1),SUMIFS(Sales_Data!$N$2:$N$3520,Sales_Data!$C$2:$C$3520,$A59,Sales_Data!$F$2:$F$3520,Z$7,Sales_Data!$AE$2:$AE$3520,1),SUMIFS(Sales_Data!$AE$2:$AE$3520,Sales_Data!$C$2:$C$3520,$A59,Sales_Data!$F$2:$F$3520,Z$7)))</f>
        <v/>
      </c>
      <c r="AA59" s="27" t="n">
        <f aca="false">SUM(B59:Z59)</f>
        <v>0</v>
      </c>
      <c r="AB59" s="3"/>
      <c r="AC59" s="72" t="n">
        <f aca="false">A59</f>
        <v>46266</v>
      </c>
      <c r="AD59" s="28" t="n">
        <f aca="false">IF(B59="","",B59-B58)</f>
        <v>0</v>
      </c>
      <c r="AE59" s="28" t="n">
        <f aca="false">IF(C59="","",C59-C58)</f>
        <v>0</v>
      </c>
      <c r="AF59" s="28" t="n">
        <f aca="false">IF(D59="","",D59-D58)</f>
        <v>0</v>
      </c>
      <c r="AG59" s="28" t="n">
        <f aca="false">IF(E59="","",E59-E58)</f>
        <v>0</v>
      </c>
      <c r="AH59" s="28" t="n">
        <f aca="false">IF(F59="","",F59-F58)</f>
        <v>0</v>
      </c>
      <c r="AI59" s="28" t="n">
        <f aca="false">IF(G59="","",G59-G58)</f>
        <v>0</v>
      </c>
      <c r="AJ59" s="28" t="n">
        <f aca="false">IF(H59="","",H59-H58)</f>
        <v>0</v>
      </c>
      <c r="AK59" s="28" t="n">
        <f aca="false">IF(I59="","",I59-I58)</f>
        <v>0</v>
      </c>
      <c r="AL59" s="28" t="n">
        <f aca="false">IF(J59="","",J59-J58)</f>
        <v>0</v>
      </c>
      <c r="AM59" s="28" t="n">
        <f aca="false">IF(K59="","",K59-K58)</f>
        <v>0</v>
      </c>
      <c r="AN59" s="28" t="n">
        <f aca="false">IF(L59="","",L59-L58)</f>
        <v>0</v>
      </c>
      <c r="AO59" s="28" t="n">
        <f aca="false">IF(M59="","",M59-M58)</f>
        <v>0</v>
      </c>
      <c r="AP59" s="28" t="n">
        <f aca="false">IF(N59="","",N59-N58)</f>
        <v>0</v>
      </c>
      <c r="AQ59" s="28" t="n">
        <f aca="false">IF(O59="","",O59-O58)</f>
        <v>0</v>
      </c>
      <c r="AR59" s="28" t="n">
        <f aca="false">IF(P59="","",P59-P58)</f>
        <v>0</v>
      </c>
      <c r="AS59" s="28" t="n">
        <f aca="false">IF(Q59="","",Q59-Q58)</f>
        <v>0</v>
      </c>
      <c r="AT59" s="28" t="n">
        <f aca="false">IF(R59="","",R59-R58)</f>
        <v>0</v>
      </c>
      <c r="AU59" s="28" t="n">
        <f aca="false">IF(S59="","",S59-S58)</f>
        <v>0</v>
      </c>
      <c r="AV59" s="28" t="str">
        <f aca="false">IF(T59="","",T59-T58)</f>
        <v/>
      </c>
      <c r="AW59" s="28" t="str">
        <f aca="false">IF(U59="","",U59-U58)</f>
        <v/>
      </c>
      <c r="AX59" s="28" t="str">
        <f aca="false">IF(V59="","",V59-V58)</f>
        <v/>
      </c>
      <c r="AY59" s="28" t="str">
        <f aca="false">IF(W59="","",W59-W58)</f>
        <v/>
      </c>
      <c r="AZ59" s="28" t="str">
        <f aca="false">IF(X59="","",X59-X58)</f>
        <v/>
      </c>
      <c r="BA59" s="28" t="str">
        <f aca="false">IF(Y59="","",Y59-Y58)</f>
        <v/>
      </c>
      <c r="BB59" s="28" t="str">
        <f aca="false">IF(Z59="","",Z59-Z58)</f>
        <v/>
      </c>
      <c r="BC59" s="28" t="n">
        <f aca="false">IF(AA59="","",AA59-AA58)</f>
        <v>0</v>
      </c>
    </row>
    <row r="60" customFormat="false" ht="15" hidden="false" customHeight="false" outlineLevel="0" collapsed="false">
      <c r="A60" s="72" t="n">
        <v>46267</v>
      </c>
      <c r="B60" s="26" t="n">
        <f aca="false">IF(B$7="","",CHOOSE(MATCH($B$4,Lists!$C$2:$C$5,0),SUMIFS(Sales_Data!$O$2:$O$3520,Sales_Data!$C$2:$C$3520,$A60,Sales_Data!$F$2:$F$3520,B$7,Sales_Data!$AE$2:$AE$3520,1),SUMIFS(Sales_Data!$M$2:$M$3520,Sales_Data!$C$2:$C$3520,$A60,Sales_Data!$F$2:$F$3520,B$7,Sales_Data!$AE$2:$AE$3520,1),SUMIFS(Sales_Data!$N$2:$N$3520,Sales_Data!$C$2:$C$3520,$A60,Sales_Data!$F$2:$F$3520,B$7,Sales_Data!$AE$2:$AE$3520,1),SUMIFS(Sales_Data!$AE$2:$AE$3520,Sales_Data!$C$2:$C$3520,$A60,Sales_Data!$F$2:$F$3520,B$7)))</f>
        <v>0</v>
      </c>
      <c r="C60" s="26" t="n">
        <f aca="false">IF(C$7="","",CHOOSE(MATCH($B$4,Lists!$C$2:$C$5,0),SUMIFS(Sales_Data!$O$2:$O$3520,Sales_Data!$C$2:$C$3520,$A60,Sales_Data!$F$2:$F$3520,C$7,Sales_Data!$AE$2:$AE$3520,1),SUMIFS(Sales_Data!$M$2:$M$3520,Sales_Data!$C$2:$C$3520,$A60,Sales_Data!$F$2:$F$3520,C$7,Sales_Data!$AE$2:$AE$3520,1),SUMIFS(Sales_Data!$N$2:$N$3520,Sales_Data!$C$2:$C$3520,$A60,Sales_Data!$F$2:$F$3520,C$7,Sales_Data!$AE$2:$AE$3520,1),SUMIFS(Sales_Data!$AE$2:$AE$3520,Sales_Data!$C$2:$C$3520,$A60,Sales_Data!$F$2:$F$3520,C$7)))</f>
        <v>0</v>
      </c>
      <c r="D60" s="26" t="n">
        <f aca="false">IF(D$7="","",CHOOSE(MATCH($B$4,Lists!$C$2:$C$5,0),SUMIFS(Sales_Data!$O$2:$O$3520,Sales_Data!$C$2:$C$3520,$A60,Sales_Data!$F$2:$F$3520,D$7,Sales_Data!$AE$2:$AE$3520,1),SUMIFS(Sales_Data!$M$2:$M$3520,Sales_Data!$C$2:$C$3520,$A60,Sales_Data!$F$2:$F$3520,D$7,Sales_Data!$AE$2:$AE$3520,1),SUMIFS(Sales_Data!$N$2:$N$3520,Sales_Data!$C$2:$C$3520,$A60,Sales_Data!$F$2:$F$3520,D$7,Sales_Data!$AE$2:$AE$3520,1),SUMIFS(Sales_Data!$AE$2:$AE$3520,Sales_Data!$C$2:$C$3520,$A60,Sales_Data!$F$2:$F$3520,D$7)))</f>
        <v>0</v>
      </c>
      <c r="E60" s="26" t="n">
        <f aca="false">IF(E$7="","",CHOOSE(MATCH($B$4,Lists!$C$2:$C$5,0),SUMIFS(Sales_Data!$O$2:$O$3520,Sales_Data!$C$2:$C$3520,$A60,Sales_Data!$F$2:$F$3520,E$7,Sales_Data!$AE$2:$AE$3520,1),SUMIFS(Sales_Data!$M$2:$M$3520,Sales_Data!$C$2:$C$3520,$A60,Sales_Data!$F$2:$F$3520,E$7,Sales_Data!$AE$2:$AE$3520,1),SUMIFS(Sales_Data!$N$2:$N$3520,Sales_Data!$C$2:$C$3520,$A60,Sales_Data!$F$2:$F$3520,E$7,Sales_Data!$AE$2:$AE$3520,1),SUMIFS(Sales_Data!$AE$2:$AE$3520,Sales_Data!$C$2:$C$3520,$A60,Sales_Data!$F$2:$F$3520,E$7)))</f>
        <v>0</v>
      </c>
      <c r="F60" s="26" t="n">
        <f aca="false">IF(F$7="","",CHOOSE(MATCH($B$4,Lists!$C$2:$C$5,0),SUMIFS(Sales_Data!$O$2:$O$3520,Sales_Data!$C$2:$C$3520,$A60,Sales_Data!$F$2:$F$3520,F$7,Sales_Data!$AE$2:$AE$3520,1),SUMIFS(Sales_Data!$M$2:$M$3520,Sales_Data!$C$2:$C$3520,$A60,Sales_Data!$F$2:$F$3520,F$7,Sales_Data!$AE$2:$AE$3520,1),SUMIFS(Sales_Data!$N$2:$N$3520,Sales_Data!$C$2:$C$3520,$A60,Sales_Data!$F$2:$F$3520,F$7,Sales_Data!$AE$2:$AE$3520,1),SUMIFS(Sales_Data!$AE$2:$AE$3520,Sales_Data!$C$2:$C$3520,$A60,Sales_Data!$F$2:$F$3520,F$7)))</f>
        <v>0</v>
      </c>
      <c r="G60" s="26" t="n">
        <f aca="false">IF(G$7="","",CHOOSE(MATCH($B$4,Lists!$C$2:$C$5,0),SUMIFS(Sales_Data!$O$2:$O$3520,Sales_Data!$C$2:$C$3520,$A60,Sales_Data!$F$2:$F$3520,G$7,Sales_Data!$AE$2:$AE$3520,1),SUMIFS(Sales_Data!$M$2:$M$3520,Sales_Data!$C$2:$C$3520,$A60,Sales_Data!$F$2:$F$3520,G$7,Sales_Data!$AE$2:$AE$3520,1),SUMIFS(Sales_Data!$N$2:$N$3520,Sales_Data!$C$2:$C$3520,$A60,Sales_Data!$F$2:$F$3520,G$7,Sales_Data!$AE$2:$AE$3520,1),SUMIFS(Sales_Data!$AE$2:$AE$3520,Sales_Data!$C$2:$C$3520,$A60,Sales_Data!$F$2:$F$3520,G$7)))</f>
        <v>0</v>
      </c>
      <c r="H60" s="26" t="n">
        <f aca="false">IF(H$7="","",CHOOSE(MATCH($B$4,Lists!$C$2:$C$5,0),SUMIFS(Sales_Data!$O$2:$O$3520,Sales_Data!$C$2:$C$3520,$A60,Sales_Data!$F$2:$F$3520,H$7,Sales_Data!$AE$2:$AE$3520,1),SUMIFS(Sales_Data!$M$2:$M$3520,Sales_Data!$C$2:$C$3520,$A60,Sales_Data!$F$2:$F$3520,H$7,Sales_Data!$AE$2:$AE$3520,1),SUMIFS(Sales_Data!$N$2:$N$3520,Sales_Data!$C$2:$C$3520,$A60,Sales_Data!$F$2:$F$3520,H$7,Sales_Data!$AE$2:$AE$3520,1),SUMIFS(Sales_Data!$AE$2:$AE$3520,Sales_Data!$C$2:$C$3520,$A60,Sales_Data!$F$2:$F$3520,H$7)))</f>
        <v>0</v>
      </c>
      <c r="I60" s="26" t="n">
        <f aca="false">IF(I$7="","",CHOOSE(MATCH($B$4,Lists!$C$2:$C$5,0),SUMIFS(Sales_Data!$O$2:$O$3520,Sales_Data!$C$2:$C$3520,$A60,Sales_Data!$F$2:$F$3520,I$7,Sales_Data!$AE$2:$AE$3520,1),SUMIFS(Sales_Data!$M$2:$M$3520,Sales_Data!$C$2:$C$3520,$A60,Sales_Data!$F$2:$F$3520,I$7,Sales_Data!$AE$2:$AE$3520,1),SUMIFS(Sales_Data!$N$2:$N$3520,Sales_Data!$C$2:$C$3520,$A60,Sales_Data!$F$2:$F$3520,I$7,Sales_Data!$AE$2:$AE$3520,1),SUMIFS(Sales_Data!$AE$2:$AE$3520,Sales_Data!$C$2:$C$3520,$A60,Sales_Data!$F$2:$F$3520,I$7)))</f>
        <v>0</v>
      </c>
      <c r="J60" s="26" t="n">
        <f aca="false">IF(J$7="","",CHOOSE(MATCH($B$4,Lists!$C$2:$C$5,0),SUMIFS(Sales_Data!$O$2:$O$3520,Sales_Data!$C$2:$C$3520,$A60,Sales_Data!$F$2:$F$3520,J$7,Sales_Data!$AE$2:$AE$3520,1),SUMIFS(Sales_Data!$M$2:$M$3520,Sales_Data!$C$2:$C$3520,$A60,Sales_Data!$F$2:$F$3520,J$7,Sales_Data!$AE$2:$AE$3520,1),SUMIFS(Sales_Data!$N$2:$N$3520,Sales_Data!$C$2:$C$3520,$A60,Sales_Data!$F$2:$F$3520,J$7,Sales_Data!$AE$2:$AE$3520,1),SUMIFS(Sales_Data!$AE$2:$AE$3520,Sales_Data!$C$2:$C$3520,$A60,Sales_Data!$F$2:$F$3520,J$7)))</f>
        <v>0</v>
      </c>
      <c r="K60" s="26" t="n">
        <f aca="false">IF(K$7="","",CHOOSE(MATCH($B$4,Lists!$C$2:$C$5,0),SUMIFS(Sales_Data!$O$2:$O$3520,Sales_Data!$C$2:$C$3520,$A60,Sales_Data!$F$2:$F$3520,K$7,Sales_Data!$AE$2:$AE$3520,1),SUMIFS(Sales_Data!$M$2:$M$3520,Sales_Data!$C$2:$C$3520,$A60,Sales_Data!$F$2:$F$3520,K$7,Sales_Data!$AE$2:$AE$3520,1),SUMIFS(Sales_Data!$N$2:$N$3520,Sales_Data!$C$2:$C$3520,$A60,Sales_Data!$F$2:$F$3520,K$7,Sales_Data!$AE$2:$AE$3520,1),SUMIFS(Sales_Data!$AE$2:$AE$3520,Sales_Data!$C$2:$C$3520,$A60,Sales_Data!$F$2:$F$3520,K$7)))</f>
        <v>0</v>
      </c>
      <c r="L60" s="26" t="n">
        <f aca="false">IF(L$7="","",CHOOSE(MATCH($B$4,Lists!$C$2:$C$5,0),SUMIFS(Sales_Data!$O$2:$O$3520,Sales_Data!$C$2:$C$3520,$A60,Sales_Data!$F$2:$F$3520,L$7,Sales_Data!$AE$2:$AE$3520,1),SUMIFS(Sales_Data!$M$2:$M$3520,Sales_Data!$C$2:$C$3520,$A60,Sales_Data!$F$2:$F$3520,L$7,Sales_Data!$AE$2:$AE$3520,1),SUMIFS(Sales_Data!$N$2:$N$3520,Sales_Data!$C$2:$C$3520,$A60,Sales_Data!$F$2:$F$3520,L$7,Sales_Data!$AE$2:$AE$3520,1),SUMIFS(Sales_Data!$AE$2:$AE$3520,Sales_Data!$C$2:$C$3520,$A60,Sales_Data!$F$2:$F$3520,L$7)))</f>
        <v>0</v>
      </c>
      <c r="M60" s="26" t="n">
        <f aca="false">IF(M$7="","",CHOOSE(MATCH($B$4,Lists!$C$2:$C$5,0),SUMIFS(Sales_Data!$O$2:$O$3520,Sales_Data!$C$2:$C$3520,$A60,Sales_Data!$F$2:$F$3520,M$7,Sales_Data!$AE$2:$AE$3520,1),SUMIFS(Sales_Data!$M$2:$M$3520,Sales_Data!$C$2:$C$3520,$A60,Sales_Data!$F$2:$F$3520,M$7,Sales_Data!$AE$2:$AE$3520,1),SUMIFS(Sales_Data!$N$2:$N$3520,Sales_Data!$C$2:$C$3520,$A60,Sales_Data!$F$2:$F$3520,M$7,Sales_Data!$AE$2:$AE$3520,1),SUMIFS(Sales_Data!$AE$2:$AE$3520,Sales_Data!$C$2:$C$3520,$A60,Sales_Data!$F$2:$F$3520,M$7)))</f>
        <v>0</v>
      </c>
      <c r="N60" s="26" t="n">
        <f aca="false">IF(N$7="","",CHOOSE(MATCH($B$4,Lists!$C$2:$C$5,0),SUMIFS(Sales_Data!$O$2:$O$3520,Sales_Data!$C$2:$C$3520,$A60,Sales_Data!$F$2:$F$3520,N$7,Sales_Data!$AE$2:$AE$3520,1),SUMIFS(Sales_Data!$M$2:$M$3520,Sales_Data!$C$2:$C$3520,$A60,Sales_Data!$F$2:$F$3520,N$7,Sales_Data!$AE$2:$AE$3520,1),SUMIFS(Sales_Data!$N$2:$N$3520,Sales_Data!$C$2:$C$3520,$A60,Sales_Data!$F$2:$F$3520,N$7,Sales_Data!$AE$2:$AE$3520,1),SUMIFS(Sales_Data!$AE$2:$AE$3520,Sales_Data!$C$2:$C$3520,$A60,Sales_Data!$F$2:$F$3520,N$7)))</f>
        <v>0</v>
      </c>
      <c r="O60" s="26" t="n">
        <f aca="false">IF(O$7="","",CHOOSE(MATCH($B$4,Lists!$C$2:$C$5,0),SUMIFS(Sales_Data!$O$2:$O$3520,Sales_Data!$C$2:$C$3520,$A60,Sales_Data!$F$2:$F$3520,O$7,Sales_Data!$AE$2:$AE$3520,1),SUMIFS(Sales_Data!$M$2:$M$3520,Sales_Data!$C$2:$C$3520,$A60,Sales_Data!$F$2:$F$3520,O$7,Sales_Data!$AE$2:$AE$3520,1),SUMIFS(Sales_Data!$N$2:$N$3520,Sales_Data!$C$2:$C$3520,$A60,Sales_Data!$F$2:$F$3520,O$7,Sales_Data!$AE$2:$AE$3520,1),SUMIFS(Sales_Data!$AE$2:$AE$3520,Sales_Data!$C$2:$C$3520,$A60,Sales_Data!$F$2:$F$3520,O$7)))</f>
        <v>0</v>
      </c>
      <c r="P60" s="26" t="n">
        <f aca="false">IF(P$7="","",CHOOSE(MATCH($B$4,Lists!$C$2:$C$5,0),SUMIFS(Sales_Data!$O$2:$O$3520,Sales_Data!$C$2:$C$3520,$A60,Sales_Data!$F$2:$F$3520,P$7,Sales_Data!$AE$2:$AE$3520,1),SUMIFS(Sales_Data!$M$2:$M$3520,Sales_Data!$C$2:$C$3520,$A60,Sales_Data!$F$2:$F$3520,P$7,Sales_Data!$AE$2:$AE$3520,1),SUMIFS(Sales_Data!$N$2:$N$3520,Sales_Data!$C$2:$C$3520,$A60,Sales_Data!$F$2:$F$3520,P$7,Sales_Data!$AE$2:$AE$3520,1),SUMIFS(Sales_Data!$AE$2:$AE$3520,Sales_Data!$C$2:$C$3520,$A60,Sales_Data!$F$2:$F$3520,P$7)))</f>
        <v>0</v>
      </c>
      <c r="Q60" s="26" t="n">
        <f aca="false">IF(Q$7="","",CHOOSE(MATCH($B$4,Lists!$C$2:$C$5,0),SUMIFS(Sales_Data!$O$2:$O$3520,Sales_Data!$C$2:$C$3520,$A60,Sales_Data!$F$2:$F$3520,Q$7,Sales_Data!$AE$2:$AE$3520,1),SUMIFS(Sales_Data!$M$2:$M$3520,Sales_Data!$C$2:$C$3520,$A60,Sales_Data!$F$2:$F$3520,Q$7,Sales_Data!$AE$2:$AE$3520,1),SUMIFS(Sales_Data!$N$2:$N$3520,Sales_Data!$C$2:$C$3520,$A60,Sales_Data!$F$2:$F$3520,Q$7,Sales_Data!$AE$2:$AE$3520,1),SUMIFS(Sales_Data!$AE$2:$AE$3520,Sales_Data!$C$2:$C$3520,$A60,Sales_Data!$F$2:$F$3520,Q$7)))</f>
        <v>0</v>
      </c>
      <c r="R60" s="26" t="n">
        <f aca="false">IF(R$7="","",CHOOSE(MATCH($B$4,Lists!$C$2:$C$5,0),SUMIFS(Sales_Data!$O$2:$O$3520,Sales_Data!$C$2:$C$3520,$A60,Sales_Data!$F$2:$F$3520,R$7,Sales_Data!$AE$2:$AE$3520,1),SUMIFS(Sales_Data!$M$2:$M$3520,Sales_Data!$C$2:$C$3520,$A60,Sales_Data!$F$2:$F$3520,R$7,Sales_Data!$AE$2:$AE$3520,1),SUMIFS(Sales_Data!$N$2:$N$3520,Sales_Data!$C$2:$C$3520,$A60,Sales_Data!$F$2:$F$3520,R$7,Sales_Data!$AE$2:$AE$3520,1),SUMIFS(Sales_Data!$AE$2:$AE$3520,Sales_Data!$C$2:$C$3520,$A60,Sales_Data!$F$2:$F$3520,R$7)))</f>
        <v>0</v>
      </c>
      <c r="S60" s="26" t="n">
        <f aca="false">IF(S$7="","",CHOOSE(MATCH($B$4,Lists!$C$2:$C$5,0),SUMIFS(Sales_Data!$O$2:$O$3520,Sales_Data!$C$2:$C$3520,$A60,Sales_Data!$F$2:$F$3520,S$7,Sales_Data!$AE$2:$AE$3520,1),SUMIFS(Sales_Data!$M$2:$M$3520,Sales_Data!$C$2:$C$3520,$A60,Sales_Data!$F$2:$F$3520,S$7,Sales_Data!$AE$2:$AE$3520,1),SUMIFS(Sales_Data!$N$2:$N$3520,Sales_Data!$C$2:$C$3520,$A60,Sales_Data!$F$2:$F$3520,S$7,Sales_Data!$AE$2:$AE$3520,1),SUMIFS(Sales_Data!$AE$2:$AE$3520,Sales_Data!$C$2:$C$3520,$A60,Sales_Data!$F$2:$F$3520,S$7)))</f>
        <v>0</v>
      </c>
      <c r="T60" s="26" t="str">
        <f aca="false">IF(T$7="","",CHOOSE(MATCH($B$4,Lists!$C$2:$C$5,0),SUMIFS(Sales_Data!$O$2:$O$3520,Sales_Data!$C$2:$C$3520,$A60,Sales_Data!$F$2:$F$3520,T$7,Sales_Data!$AE$2:$AE$3520,1),SUMIFS(Sales_Data!$M$2:$M$3520,Sales_Data!$C$2:$C$3520,$A60,Sales_Data!$F$2:$F$3520,T$7,Sales_Data!$AE$2:$AE$3520,1),SUMIFS(Sales_Data!$N$2:$N$3520,Sales_Data!$C$2:$C$3520,$A60,Sales_Data!$F$2:$F$3520,T$7,Sales_Data!$AE$2:$AE$3520,1),SUMIFS(Sales_Data!$AE$2:$AE$3520,Sales_Data!$C$2:$C$3520,$A60,Sales_Data!$F$2:$F$3520,T$7)))</f>
        <v/>
      </c>
      <c r="U60" s="26" t="str">
        <f aca="false">IF(U$7="","",CHOOSE(MATCH($B$4,Lists!$C$2:$C$5,0),SUMIFS(Sales_Data!$O$2:$O$3520,Sales_Data!$C$2:$C$3520,$A60,Sales_Data!$F$2:$F$3520,U$7,Sales_Data!$AE$2:$AE$3520,1),SUMIFS(Sales_Data!$M$2:$M$3520,Sales_Data!$C$2:$C$3520,$A60,Sales_Data!$F$2:$F$3520,U$7,Sales_Data!$AE$2:$AE$3520,1),SUMIFS(Sales_Data!$N$2:$N$3520,Sales_Data!$C$2:$C$3520,$A60,Sales_Data!$F$2:$F$3520,U$7,Sales_Data!$AE$2:$AE$3520,1),SUMIFS(Sales_Data!$AE$2:$AE$3520,Sales_Data!$C$2:$C$3520,$A60,Sales_Data!$F$2:$F$3520,U$7)))</f>
        <v/>
      </c>
      <c r="V60" s="26" t="str">
        <f aca="false">IF(V$7="","",CHOOSE(MATCH($B$4,Lists!$C$2:$C$5,0),SUMIFS(Sales_Data!$O$2:$O$3520,Sales_Data!$C$2:$C$3520,$A60,Sales_Data!$F$2:$F$3520,V$7,Sales_Data!$AE$2:$AE$3520,1),SUMIFS(Sales_Data!$M$2:$M$3520,Sales_Data!$C$2:$C$3520,$A60,Sales_Data!$F$2:$F$3520,V$7,Sales_Data!$AE$2:$AE$3520,1),SUMIFS(Sales_Data!$N$2:$N$3520,Sales_Data!$C$2:$C$3520,$A60,Sales_Data!$F$2:$F$3520,V$7,Sales_Data!$AE$2:$AE$3520,1),SUMIFS(Sales_Data!$AE$2:$AE$3520,Sales_Data!$C$2:$C$3520,$A60,Sales_Data!$F$2:$F$3520,V$7)))</f>
        <v/>
      </c>
      <c r="W60" s="26" t="str">
        <f aca="false">IF(W$7="","",CHOOSE(MATCH($B$4,Lists!$C$2:$C$5,0),SUMIFS(Sales_Data!$O$2:$O$3520,Sales_Data!$C$2:$C$3520,$A60,Sales_Data!$F$2:$F$3520,W$7,Sales_Data!$AE$2:$AE$3520,1),SUMIFS(Sales_Data!$M$2:$M$3520,Sales_Data!$C$2:$C$3520,$A60,Sales_Data!$F$2:$F$3520,W$7,Sales_Data!$AE$2:$AE$3520,1),SUMIFS(Sales_Data!$N$2:$N$3520,Sales_Data!$C$2:$C$3520,$A60,Sales_Data!$F$2:$F$3520,W$7,Sales_Data!$AE$2:$AE$3520,1),SUMIFS(Sales_Data!$AE$2:$AE$3520,Sales_Data!$C$2:$C$3520,$A60,Sales_Data!$F$2:$F$3520,W$7)))</f>
        <v/>
      </c>
      <c r="X60" s="26" t="str">
        <f aca="false">IF(X$7="","",CHOOSE(MATCH($B$4,Lists!$C$2:$C$5,0),SUMIFS(Sales_Data!$O$2:$O$3520,Sales_Data!$C$2:$C$3520,$A60,Sales_Data!$F$2:$F$3520,X$7,Sales_Data!$AE$2:$AE$3520,1),SUMIFS(Sales_Data!$M$2:$M$3520,Sales_Data!$C$2:$C$3520,$A60,Sales_Data!$F$2:$F$3520,X$7,Sales_Data!$AE$2:$AE$3520,1),SUMIFS(Sales_Data!$N$2:$N$3520,Sales_Data!$C$2:$C$3520,$A60,Sales_Data!$F$2:$F$3520,X$7,Sales_Data!$AE$2:$AE$3520,1),SUMIFS(Sales_Data!$AE$2:$AE$3520,Sales_Data!$C$2:$C$3520,$A60,Sales_Data!$F$2:$F$3520,X$7)))</f>
        <v/>
      </c>
      <c r="Y60" s="26" t="str">
        <f aca="false">IF(Y$7="","",CHOOSE(MATCH($B$4,Lists!$C$2:$C$5,0),SUMIFS(Sales_Data!$O$2:$O$3520,Sales_Data!$C$2:$C$3520,$A60,Sales_Data!$F$2:$F$3520,Y$7,Sales_Data!$AE$2:$AE$3520,1),SUMIFS(Sales_Data!$M$2:$M$3520,Sales_Data!$C$2:$C$3520,$A60,Sales_Data!$F$2:$F$3520,Y$7,Sales_Data!$AE$2:$AE$3520,1),SUMIFS(Sales_Data!$N$2:$N$3520,Sales_Data!$C$2:$C$3520,$A60,Sales_Data!$F$2:$F$3520,Y$7,Sales_Data!$AE$2:$AE$3520,1),SUMIFS(Sales_Data!$AE$2:$AE$3520,Sales_Data!$C$2:$C$3520,$A60,Sales_Data!$F$2:$F$3520,Y$7)))</f>
        <v/>
      </c>
      <c r="Z60" s="26" t="str">
        <f aca="false">IF(Z$7="","",CHOOSE(MATCH($B$4,Lists!$C$2:$C$5,0),SUMIFS(Sales_Data!$O$2:$O$3520,Sales_Data!$C$2:$C$3520,$A60,Sales_Data!$F$2:$F$3520,Z$7,Sales_Data!$AE$2:$AE$3520,1),SUMIFS(Sales_Data!$M$2:$M$3520,Sales_Data!$C$2:$C$3520,$A60,Sales_Data!$F$2:$F$3520,Z$7,Sales_Data!$AE$2:$AE$3520,1),SUMIFS(Sales_Data!$N$2:$N$3520,Sales_Data!$C$2:$C$3520,$A60,Sales_Data!$F$2:$F$3520,Z$7,Sales_Data!$AE$2:$AE$3520,1),SUMIFS(Sales_Data!$AE$2:$AE$3520,Sales_Data!$C$2:$C$3520,$A60,Sales_Data!$F$2:$F$3520,Z$7)))</f>
        <v/>
      </c>
      <c r="AA60" s="27" t="n">
        <f aca="false">SUM(B60:Z60)</f>
        <v>0</v>
      </c>
      <c r="AB60" s="3"/>
      <c r="AC60" s="72" t="n">
        <f aca="false">A60</f>
        <v>46267</v>
      </c>
      <c r="AD60" s="28" t="n">
        <f aca="false">IF(B60="","",B60-B59)</f>
        <v>0</v>
      </c>
      <c r="AE60" s="28" t="n">
        <f aca="false">IF(C60="","",C60-C59)</f>
        <v>0</v>
      </c>
      <c r="AF60" s="28" t="n">
        <f aca="false">IF(D60="","",D60-D59)</f>
        <v>0</v>
      </c>
      <c r="AG60" s="28" t="n">
        <f aca="false">IF(E60="","",E60-E59)</f>
        <v>0</v>
      </c>
      <c r="AH60" s="28" t="n">
        <f aca="false">IF(F60="","",F60-F59)</f>
        <v>0</v>
      </c>
      <c r="AI60" s="28" t="n">
        <f aca="false">IF(G60="","",G60-G59)</f>
        <v>0</v>
      </c>
      <c r="AJ60" s="28" t="n">
        <f aca="false">IF(H60="","",H60-H59)</f>
        <v>0</v>
      </c>
      <c r="AK60" s="28" t="n">
        <f aca="false">IF(I60="","",I60-I59)</f>
        <v>0</v>
      </c>
      <c r="AL60" s="28" t="n">
        <f aca="false">IF(J60="","",J60-J59)</f>
        <v>0</v>
      </c>
      <c r="AM60" s="28" t="n">
        <f aca="false">IF(K60="","",K60-K59)</f>
        <v>0</v>
      </c>
      <c r="AN60" s="28" t="n">
        <f aca="false">IF(L60="","",L60-L59)</f>
        <v>0</v>
      </c>
      <c r="AO60" s="28" t="n">
        <f aca="false">IF(M60="","",M60-M59)</f>
        <v>0</v>
      </c>
      <c r="AP60" s="28" t="n">
        <f aca="false">IF(N60="","",N60-N59)</f>
        <v>0</v>
      </c>
      <c r="AQ60" s="28" t="n">
        <f aca="false">IF(O60="","",O60-O59)</f>
        <v>0</v>
      </c>
      <c r="AR60" s="28" t="n">
        <f aca="false">IF(P60="","",P60-P59)</f>
        <v>0</v>
      </c>
      <c r="AS60" s="28" t="n">
        <f aca="false">IF(Q60="","",Q60-Q59)</f>
        <v>0</v>
      </c>
      <c r="AT60" s="28" t="n">
        <f aca="false">IF(R60="","",R60-R59)</f>
        <v>0</v>
      </c>
      <c r="AU60" s="28" t="n">
        <f aca="false">IF(S60="","",S60-S59)</f>
        <v>0</v>
      </c>
      <c r="AV60" s="28" t="str">
        <f aca="false">IF(T60="","",T60-T59)</f>
        <v/>
      </c>
      <c r="AW60" s="28" t="str">
        <f aca="false">IF(U60="","",U60-U59)</f>
        <v/>
      </c>
      <c r="AX60" s="28" t="str">
        <f aca="false">IF(V60="","",V60-V59)</f>
        <v/>
      </c>
      <c r="AY60" s="28" t="str">
        <f aca="false">IF(W60="","",W60-W59)</f>
        <v/>
      </c>
      <c r="AZ60" s="28" t="str">
        <f aca="false">IF(X60="","",X60-X59)</f>
        <v/>
      </c>
      <c r="BA60" s="28" t="str">
        <f aca="false">IF(Y60="","",Y60-Y59)</f>
        <v/>
      </c>
      <c r="BB60" s="28" t="str">
        <f aca="false">IF(Z60="","",Z60-Z59)</f>
        <v/>
      </c>
      <c r="BC60" s="28" t="n">
        <f aca="false">IF(AA60="","",AA60-AA59)</f>
        <v>0</v>
      </c>
    </row>
    <row r="61" customFormat="false" ht="15" hidden="false" customHeight="false" outlineLevel="0" collapsed="false">
      <c r="A61" s="72" t="n">
        <v>46268</v>
      </c>
      <c r="B61" s="26" t="n">
        <f aca="false">IF(B$7="","",CHOOSE(MATCH($B$4,Lists!$C$2:$C$5,0),SUMIFS(Sales_Data!$O$2:$O$3520,Sales_Data!$C$2:$C$3520,$A61,Sales_Data!$F$2:$F$3520,B$7,Sales_Data!$AE$2:$AE$3520,1),SUMIFS(Sales_Data!$M$2:$M$3520,Sales_Data!$C$2:$C$3520,$A61,Sales_Data!$F$2:$F$3520,B$7,Sales_Data!$AE$2:$AE$3520,1),SUMIFS(Sales_Data!$N$2:$N$3520,Sales_Data!$C$2:$C$3520,$A61,Sales_Data!$F$2:$F$3520,B$7,Sales_Data!$AE$2:$AE$3520,1),SUMIFS(Sales_Data!$AE$2:$AE$3520,Sales_Data!$C$2:$C$3520,$A61,Sales_Data!$F$2:$F$3520,B$7)))</f>
        <v>0</v>
      </c>
      <c r="C61" s="26" t="n">
        <f aca="false">IF(C$7="","",CHOOSE(MATCH($B$4,Lists!$C$2:$C$5,0),SUMIFS(Sales_Data!$O$2:$O$3520,Sales_Data!$C$2:$C$3520,$A61,Sales_Data!$F$2:$F$3520,C$7,Sales_Data!$AE$2:$AE$3520,1),SUMIFS(Sales_Data!$M$2:$M$3520,Sales_Data!$C$2:$C$3520,$A61,Sales_Data!$F$2:$F$3520,C$7,Sales_Data!$AE$2:$AE$3520,1),SUMIFS(Sales_Data!$N$2:$N$3520,Sales_Data!$C$2:$C$3520,$A61,Sales_Data!$F$2:$F$3520,C$7,Sales_Data!$AE$2:$AE$3520,1),SUMIFS(Sales_Data!$AE$2:$AE$3520,Sales_Data!$C$2:$C$3520,$A61,Sales_Data!$F$2:$F$3520,C$7)))</f>
        <v>0</v>
      </c>
      <c r="D61" s="26" t="n">
        <f aca="false">IF(D$7="","",CHOOSE(MATCH($B$4,Lists!$C$2:$C$5,0),SUMIFS(Sales_Data!$O$2:$O$3520,Sales_Data!$C$2:$C$3520,$A61,Sales_Data!$F$2:$F$3520,D$7,Sales_Data!$AE$2:$AE$3520,1),SUMIFS(Sales_Data!$M$2:$M$3520,Sales_Data!$C$2:$C$3520,$A61,Sales_Data!$F$2:$F$3520,D$7,Sales_Data!$AE$2:$AE$3520,1),SUMIFS(Sales_Data!$N$2:$N$3520,Sales_Data!$C$2:$C$3520,$A61,Sales_Data!$F$2:$F$3520,D$7,Sales_Data!$AE$2:$AE$3520,1),SUMIFS(Sales_Data!$AE$2:$AE$3520,Sales_Data!$C$2:$C$3520,$A61,Sales_Data!$F$2:$F$3520,D$7)))</f>
        <v>0</v>
      </c>
      <c r="E61" s="26" t="n">
        <f aca="false">IF(E$7="","",CHOOSE(MATCH($B$4,Lists!$C$2:$C$5,0),SUMIFS(Sales_Data!$O$2:$O$3520,Sales_Data!$C$2:$C$3520,$A61,Sales_Data!$F$2:$F$3520,E$7,Sales_Data!$AE$2:$AE$3520,1),SUMIFS(Sales_Data!$M$2:$M$3520,Sales_Data!$C$2:$C$3520,$A61,Sales_Data!$F$2:$F$3520,E$7,Sales_Data!$AE$2:$AE$3520,1),SUMIFS(Sales_Data!$N$2:$N$3520,Sales_Data!$C$2:$C$3520,$A61,Sales_Data!$F$2:$F$3520,E$7,Sales_Data!$AE$2:$AE$3520,1),SUMIFS(Sales_Data!$AE$2:$AE$3520,Sales_Data!$C$2:$C$3520,$A61,Sales_Data!$F$2:$F$3520,E$7)))</f>
        <v>0</v>
      </c>
      <c r="F61" s="26" t="n">
        <f aca="false">IF(F$7="","",CHOOSE(MATCH($B$4,Lists!$C$2:$C$5,0),SUMIFS(Sales_Data!$O$2:$O$3520,Sales_Data!$C$2:$C$3520,$A61,Sales_Data!$F$2:$F$3520,F$7,Sales_Data!$AE$2:$AE$3520,1),SUMIFS(Sales_Data!$M$2:$M$3520,Sales_Data!$C$2:$C$3520,$A61,Sales_Data!$F$2:$F$3520,F$7,Sales_Data!$AE$2:$AE$3520,1),SUMIFS(Sales_Data!$N$2:$N$3520,Sales_Data!$C$2:$C$3520,$A61,Sales_Data!$F$2:$F$3520,F$7,Sales_Data!$AE$2:$AE$3520,1),SUMIFS(Sales_Data!$AE$2:$AE$3520,Sales_Data!$C$2:$C$3520,$A61,Sales_Data!$F$2:$F$3520,F$7)))</f>
        <v>0</v>
      </c>
      <c r="G61" s="26" t="n">
        <f aca="false">IF(G$7="","",CHOOSE(MATCH($B$4,Lists!$C$2:$C$5,0),SUMIFS(Sales_Data!$O$2:$O$3520,Sales_Data!$C$2:$C$3520,$A61,Sales_Data!$F$2:$F$3520,G$7,Sales_Data!$AE$2:$AE$3520,1),SUMIFS(Sales_Data!$M$2:$M$3520,Sales_Data!$C$2:$C$3520,$A61,Sales_Data!$F$2:$F$3520,G$7,Sales_Data!$AE$2:$AE$3520,1),SUMIFS(Sales_Data!$N$2:$N$3520,Sales_Data!$C$2:$C$3520,$A61,Sales_Data!$F$2:$F$3520,G$7,Sales_Data!$AE$2:$AE$3520,1),SUMIFS(Sales_Data!$AE$2:$AE$3520,Sales_Data!$C$2:$C$3520,$A61,Sales_Data!$F$2:$F$3520,G$7)))</f>
        <v>0</v>
      </c>
      <c r="H61" s="26" t="n">
        <f aca="false">IF(H$7="","",CHOOSE(MATCH($B$4,Lists!$C$2:$C$5,0),SUMIFS(Sales_Data!$O$2:$O$3520,Sales_Data!$C$2:$C$3520,$A61,Sales_Data!$F$2:$F$3520,H$7,Sales_Data!$AE$2:$AE$3520,1),SUMIFS(Sales_Data!$M$2:$M$3520,Sales_Data!$C$2:$C$3520,$A61,Sales_Data!$F$2:$F$3520,H$7,Sales_Data!$AE$2:$AE$3520,1),SUMIFS(Sales_Data!$N$2:$N$3520,Sales_Data!$C$2:$C$3520,$A61,Sales_Data!$F$2:$F$3520,H$7,Sales_Data!$AE$2:$AE$3520,1),SUMIFS(Sales_Data!$AE$2:$AE$3520,Sales_Data!$C$2:$C$3520,$A61,Sales_Data!$F$2:$F$3520,H$7)))</f>
        <v>0</v>
      </c>
      <c r="I61" s="26" t="n">
        <f aca="false">IF(I$7="","",CHOOSE(MATCH($B$4,Lists!$C$2:$C$5,0),SUMIFS(Sales_Data!$O$2:$O$3520,Sales_Data!$C$2:$C$3520,$A61,Sales_Data!$F$2:$F$3520,I$7,Sales_Data!$AE$2:$AE$3520,1),SUMIFS(Sales_Data!$M$2:$M$3520,Sales_Data!$C$2:$C$3520,$A61,Sales_Data!$F$2:$F$3520,I$7,Sales_Data!$AE$2:$AE$3520,1),SUMIFS(Sales_Data!$N$2:$N$3520,Sales_Data!$C$2:$C$3520,$A61,Sales_Data!$F$2:$F$3520,I$7,Sales_Data!$AE$2:$AE$3520,1),SUMIFS(Sales_Data!$AE$2:$AE$3520,Sales_Data!$C$2:$C$3520,$A61,Sales_Data!$F$2:$F$3520,I$7)))</f>
        <v>0</v>
      </c>
      <c r="J61" s="26" t="n">
        <f aca="false">IF(J$7="","",CHOOSE(MATCH($B$4,Lists!$C$2:$C$5,0),SUMIFS(Sales_Data!$O$2:$O$3520,Sales_Data!$C$2:$C$3520,$A61,Sales_Data!$F$2:$F$3520,J$7,Sales_Data!$AE$2:$AE$3520,1),SUMIFS(Sales_Data!$M$2:$M$3520,Sales_Data!$C$2:$C$3520,$A61,Sales_Data!$F$2:$F$3520,J$7,Sales_Data!$AE$2:$AE$3520,1),SUMIFS(Sales_Data!$N$2:$N$3520,Sales_Data!$C$2:$C$3520,$A61,Sales_Data!$F$2:$F$3520,J$7,Sales_Data!$AE$2:$AE$3520,1),SUMIFS(Sales_Data!$AE$2:$AE$3520,Sales_Data!$C$2:$C$3520,$A61,Sales_Data!$F$2:$F$3520,J$7)))</f>
        <v>0</v>
      </c>
      <c r="K61" s="26" t="n">
        <f aca="false">IF(K$7="","",CHOOSE(MATCH($B$4,Lists!$C$2:$C$5,0),SUMIFS(Sales_Data!$O$2:$O$3520,Sales_Data!$C$2:$C$3520,$A61,Sales_Data!$F$2:$F$3520,K$7,Sales_Data!$AE$2:$AE$3520,1),SUMIFS(Sales_Data!$M$2:$M$3520,Sales_Data!$C$2:$C$3520,$A61,Sales_Data!$F$2:$F$3520,K$7,Sales_Data!$AE$2:$AE$3520,1),SUMIFS(Sales_Data!$N$2:$N$3520,Sales_Data!$C$2:$C$3520,$A61,Sales_Data!$F$2:$F$3520,K$7,Sales_Data!$AE$2:$AE$3520,1),SUMIFS(Sales_Data!$AE$2:$AE$3520,Sales_Data!$C$2:$C$3520,$A61,Sales_Data!$F$2:$F$3520,K$7)))</f>
        <v>0</v>
      </c>
      <c r="L61" s="26" t="n">
        <f aca="false">IF(L$7="","",CHOOSE(MATCH($B$4,Lists!$C$2:$C$5,0),SUMIFS(Sales_Data!$O$2:$O$3520,Sales_Data!$C$2:$C$3520,$A61,Sales_Data!$F$2:$F$3520,L$7,Sales_Data!$AE$2:$AE$3520,1),SUMIFS(Sales_Data!$M$2:$M$3520,Sales_Data!$C$2:$C$3520,$A61,Sales_Data!$F$2:$F$3520,L$7,Sales_Data!$AE$2:$AE$3520,1),SUMIFS(Sales_Data!$N$2:$N$3520,Sales_Data!$C$2:$C$3520,$A61,Sales_Data!$F$2:$F$3520,L$7,Sales_Data!$AE$2:$AE$3520,1),SUMIFS(Sales_Data!$AE$2:$AE$3520,Sales_Data!$C$2:$C$3520,$A61,Sales_Data!$F$2:$F$3520,L$7)))</f>
        <v>0</v>
      </c>
      <c r="M61" s="26" t="n">
        <f aca="false">IF(M$7="","",CHOOSE(MATCH($B$4,Lists!$C$2:$C$5,0),SUMIFS(Sales_Data!$O$2:$O$3520,Sales_Data!$C$2:$C$3520,$A61,Sales_Data!$F$2:$F$3520,M$7,Sales_Data!$AE$2:$AE$3520,1),SUMIFS(Sales_Data!$M$2:$M$3520,Sales_Data!$C$2:$C$3520,$A61,Sales_Data!$F$2:$F$3520,M$7,Sales_Data!$AE$2:$AE$3520,1),SUMIFS(Sales_Data!$N$2:$N$3520,Sales_Data!$C$2:$C$3520,$A61,Sales_Data!$F$2:$F$3520,M$7,Sales_Data!$AE$2:$AE$3520,1),SUMIFS(Sales_Data!$AE$2:$AE$3520,Sales_Data!$C$2:$C$3520,$A61,Sales_Data!$F$2:$F$3520,M$7)))</f>
        <v>0</v>
      </c>
      <c r="N61" s="26" t="n">
        <f aca="false">IF(N$7="","",CHOOSE(MATCH($B$4,Lists!$C$2:$C$5,0),SUMIFS(Sales_Data!$O$2:$O$3520,Sales_Data!$C$2:$C$3520,$A61,Sales_Data!$F$2:$F$3520,N$7,Sales_Data!$AE$2:$AE$3520,1),SUMIFS(Sales_Data!$M$2:$M$3520,Sales_Data!$C$2:$C$3520,$A61,Sales_Data!$F$2:$F$3520,N$7,Sales_Data!$AE$2:$AE$3520,1),SUMIFS(Sales_Data!$N$2:$N$3520,Sales_Data!$C$2:$C$3520,$A61,Sales_Data!$F$2:$F$3520,N$7,Sales_Data!$AE$2:$AE$3520,1),SUMIFS(Sales_Data!$AE$2:$AE$3520,Sales_Data!$C$2:$C$3520,$A61,Sales_Data!$F$2:$F$3520,N$7)))</f>
        <v>0</v>
      </c>
      <c r="O61" s="26" t="n">
        <f aca="false">IF(O$7="","",CHOOSE(MATCH($B$4,Lists!$C$2:$C$5,0),SUMIFS(Sales_Data!$O$2:$O$3520,Sales_Data!$C$2:$C$3520,$A61,Sales_Data!$F$2:$F$3520,O$7,Sales_Data!$AE$2:$AE$3520,1),SUMIFS(Sales_Data!$M$2:$M$3520,Sales_Data!$C$2:$C$3520,$A61,Sales_Data!$F$2:$F$3520,O$7,Sales_Data!$AE$2:$AE$3520,1),SUMIFS(Sales_Data!$N$2:$N$3520,Sales_Data!$C$2:$C$3520,$A61,Sales_Data!$F$2:$F$3520,O$7,Sales_Data!$AE$2:$AE$3520,1),SUMIFS(Sales_Data!$AE$2:$AE$3520,Sales_Data!$C$2:$C$3520,$A61,Sales_Data!$F$2:$F$3520,O$7)))</f>
        <v>0</v>
      </c>
      <c r="P61" s="26" t="n">
        <f aca="false">IF(P$7="","",CHOOSE(MATCH($B$4,Lists!$C$2:$C$5,0),SUMIFS(Sales_Data!$O$2:$O$3520,Sales_Data!$C$2:$C$3520,$A61,Sales_Data!$F$2:$F$3520,P$7,Sales_Data!$AE$2:$AE$3520,1),SUMIFS(Sales_Data!$M$2:$M$3520,Sales_Data!$C$2:$C$3520,$A61,Sales_Data!$F$2:$F$3520,P$7,Sales_Data!$AE$2:$AE$3520,1),SUMIFS(Sales_Data!$N$2:$N$3520,Sales_Data!$C$2:$C$3520,$A61,Sales_Data!$F$2:$F$3520,P$7,Sales_Data!$AE$2:$AE$3520,1),SUMIFS(Sales_Data!$AE$2:$AE$3520,Sales_Data!$C$2:$C$3520,$A61,Sales_Data!$F$2:$F$3520,P$7)))</f>
        <v>0</v>
      </c>
      <c r="Q61" s="26" t="n">
        <f aca="false">IF(Q$7="","",CHOOSE(MATCH($B$4,Lists!$C$2:$C$5,0),SUMIFS(Sales_Data!$O$2:$O$3520,Sales_Data!$C$2:$C$3520,$A61,Sales_Data!$F$2:$F$3520,Q$7,Sales_Data!$AE$2:$AE$3520,1),SUMIFS(Sales_Data!$M$2:$M$3520,Sales_Data!$C$2:$C$3520,$A61,Sales_Data!$F$2:$F$3520,Q$7,Sales_Data!$AE$2:$AE$3520,1),SUMIFS(Sales_Data!$N$2:$N$3520,Sales_Data!$C$2:$C$3520,$A61,Sales_Data!$F$2:$F$3520,Q$7,Sales_Data!$AE$2:$AE$3520,1),SUMIFS(Sales_Data!$AE$2:$AE$3520,Sales_Data!$C$2:$C$3520,$A61,Sales_Data!$F$2:$F$3520,Q$7)))</f>
        <v>0</v>
      </c>
      <c r="R61" s="26" t="n">
        <f aca="false">IF(R$7="","",CHOOSE(MATCH($B$4,Lists!$C$2:$C$5,0),SUMIFS(Sales_Data!$O$2:$O$3520,Sales_Data!$C$2:$C$3520,$A61,Sales_Data!$F$2:$F$3520,R$7,Sales_Data!$AE$2:$AE$3520,1),SUMIFS(Sales_Data!$M$2:$M$3520,Sales_Data!$C$2:$C$3520,$A61,Sales_Data!$F$2:$F$3520,R$7,Sales_Data!$AE$2:$AE$3520,1),SUMIFS(Sales_Data!$N$2:$N$3520,Sales_Data!$C$2:$C$3520,$A61,Sales_Data!$F$2:$F$3520,R$7,Sales_Data!$AE$2:$AE$3520,1),SUMIFS(Sales_Data!$AE$2:$AE$3520,Sales_Data!$C$2:$C$3520,$A61,Sales_Data!$F$2:$F$3520,R$7)))</f>
        <v>0</v>
      </c>
      <c r="S61" s="26" t="n">
        <f aca="false">IF(S$7="","",CHOOSE(MATCH($B$4,Lists!$C$2:$C$5,0),SUMIFS(Sales_Data!$O$2:$O$3520,Sales_Data!$C$2:$C$3520,$A61,Sales_Data!$F$2:$F$3520,S$7,Sales_Data!$AE$2:$AE$3520,1),SUMIFS(Sales_Data!$M$2:$M$3520,Sales_Data!$C$2:$C$3520,$A61,Sales_Data!$F$2:$F$3520,S$7,Sales_Data!$AE$2:$AE$3520,1),SUMIFS(Sales_Data!$N$2:$N$3520,Sales_Data!$C$2:$C$3520,$A61,Sales_Data!$F$2:$F$3520,S$7,Sales_Data!$AE$2:$AE$3520,1),SUMIFS(Sales_Data!$AE$2:$AE$3520,Sales_Data!$C$2:$C$3520,$A61,Sales_Data!$F$2:$F$3520,S$7)))</f>
        <v>0</v>
      </c>
      <c r="T61" s="26" t="str">
        <f aca="false">IF(T$7="","",CHOOSE(MATCH($B$4,Lists!$C$2:$C$5,0),SUMIFS(Sales_Data!$O$2:$O$3520,Sales_Data!$C$2:$C$3520,$A61,Sales_Data!$F$2:$F$3520,T$7,Sales_Data!$AE$2:$AE$3520,1),SUMIFS(Sales_Data!$M$2:$M$3520,Sales_Data!$C$2:$C$3520,$A61,Sales_Data!$F$2:$F$3520,T$7,Sales_Data!$AE$2:$AE$3520,1),SUMIFS(Sales_Data!$N$2:$N$3520,Sales_Data!$C$2:$C$3520,$A61,Sales_Data!$F$2:$F$3520,T$7,Sales_Data!$AE$2:$AE$3520,1),SUMIFS(Sales_Data!$AE$2:$AE$3520,Sales_Data!$C$2:$C$3520,$A61,Sales_Data!$F$2:$F$3520,T$7)))</f>
        <v/>
      </c>
      <c r="U61" s="26" t="str">
        <f aca="false">IF(U$7="","",CHOOSE(MATCH($B$4,Lists!$C$2:$C$5,0),SUMIFS(Sales_Data!$O$2:$O$3520,Sales_Data!$C$2:$C$3520,$A61,Sales_Data!$F$2:$F$3520,U$7,Sales_Data!$AE$2:$AE$3520,1),SUMIFS(Sales_Data!$M$2:$M$3520,Sales_Data!$C$2:$C$3520,$A61,Sales_Data!$F$2:$F$3520,U$7,Sales_Data!$AE$2:$AE$3520,1),SUMIFS(Sales_Data!$N$2:$N$3520,Sales_Data!$C$2:$C$3520,$A61,Sales_Data!$F$2:$F$3520,U$7,Sales_Data!$AE$2:$AE$3520,1),SUMIFS(Sales_Data!$AE$2:$AE$3520,Sales_Data!$C$2:$C$3520,$A61,Sales_Data!$F$2:$F$3520,U$7)))</f>
        <v/>
      </c>
      <c r="V61" s="26" t="str">
        <f aca="false">IF(V$7="","",CHOOSE(MATCH($B$4,Lists!$C$2:$C$5,0),SUMIFS(Sales_Data!$O$2:$O$3520,Sales_Data!$C$2:$C$3520,$A61,Sales_Data!$F$2:$F$3520,V$7,Sales_Data!$AE$2:$AE$3520,1),SUMIFS(Sales_Data!$M$2:$M$3520,Sales_Data!$C$2:$C$3520,$A61,Sales_Data!$F$2:$F$3520,V$7,Sales_Data!$AE$2:$AE$3520,1),SUMIFS(Sales_Data!$N$2:$N$3520,Sales_Data!$C$2:$C$3520,$A61,Sales_Data!$F$2:$F$3520,V$7,Sales_Data!$AE$2:$AE$3520,1),SUMIFS(Sales_Data!$AE$2:$AE$3520,Sales_Data!$C$2:$C$3520,$A61,Sales_Data!$F$2:$F$3520,V$7)))</f>
        <v/>
      </c>
      <c r="W61" s="26" t="str">
        <f aca="false">IF(W$7="","",CHOOSE(MATCH($B$4,Lists!$C$2:$C$5,0),SUMIFS(Sales_Data!$O$2:$O$3520,Sales_Data!$C$2:$C$3520,$A61,Sales_Data!$F$2:$F$3520,W$7,Sales_Data!$AE$2:$AE$3520,1),SUMIFS(Sales_Data!$M$2:$M$3520,Sales_Data!$C$2:$C$3520,$A61,Sales_Data!$F$2:$F$3520,W$7,Sales_Data!$AE$2:$AE$3520,1),SUMIFS(Sales_Data!$N$2:$N$3520,Sales_Data!$C$2:$C$3520,$A61,Sales_Data!$F$2:$F$3520,W$7,Sales_Data!$AE$2:$AE$3520,1),SUMIFS(Sales_Data!$AE$2:$AE$3520,Sales_Data!$C$2:$C$3520,$A61,Sales_Data!$F$2:$F$3520,W$7)))</f>
        <v/>
      </c>
      <c r="X61" s="26" t="str">
        <f aca="false">IF(X$7="","",CHOOSE(MATCH($B$4,Lists!$C$2:$C$5,0),SUMIFS(Sales_Data!$O$2:$O$3520,Sales_Data!$C$2:$C$3520,$A61,Sales_Data!$F$2:$F$3520,X$7,Sales_Data!$AE$2:$AE$3520,1),SUMIFS(Sales_Data!$M$2:$M$3520,Sales_Data!$C$2:$C$3520,$A61,Sales_Data!$F$2:$F$3520,X$7,Sales_Data!$AE$2:$AE$3520,1),SUMIFS(Sales_Data!$N$2:$N$3520,Sales_Data!$C$2:$C$3520,$A61,Sales_Data!$F$2:$F$3520,X$7,Sales_Data!$AE$2:$AE$3520,1),SUMIFS(Sales_Data!$AE$2:$AE$3520,Sales_Data!$C$2:$C$3520,$A61,Sales_Data!$F$2:$F$3520,X$7)))</f>
        <v/>
      </c>
      <c r="Y61" s="26" t="str">
        <f aca="false">IF(Y$7="","",CHOOSE(MATCH($B$4,Lists!$C$2:$C$5,0),SUMIFS(Sales_Data!$O$2:$O$3520,Sales_Data!$C$2:$C$3520,$A61,Sales_Data!$F$2:$F$3520,Y$7,Sales_Data!$AE$2:$AE$3520,1),SUMIFS(Sales_Data!$M$2:$M$3520,Sales_Data!$C$2:$C$3520,$A61,Sales_Data!$F$2:$F$3520,Y$7,Sales_Data!$AE$2:$AE$3520,1),SUMIFS(Sales_Data!$N$2:$N$3520,Sales_Data!$C$2:$C$3520,$A61,Sales_Data!$F$2:$F$3520,Y$7,Sales_Data!$AE$2:$AE$3520,1),SUMIFS(Sales_Data!$AE$2:$AE$3520,Sales_Data!$C$2:$C$3520,$A61,Sales_Data!$F$2:$F$3520,Y$7)))</f>
        <v/>
      </c>
      <c r="Z61" s="26" t="str">
        <f aca="false">IF(Z$7="","",CHOOSE(MATCH($B$4,Lists!$C$2:$C$5,0),SUMIFS(Sales_Data!$O$2:$O$3520,Sales_Data!$C$2:$C$3520,$A61,Sales_Data!$F$2:$F$3520,Z$7,Sales_Data!$AE$2:$AE$3520,1),SUMIFS(Sales_Data!$M$2:$M$3520,Sales_Data!$C$2:$C$3520,$A61,Sales_Data!$F$2:$F$3520,Z$7,Sales_Data!$AE$2:$AE$3520,1),SUMIFS(Sales_Data!$N$2:$N$3520,Sales_Data!$C$2:$C$3520,$A61,Sales_Data!$F$2:$F$3520,Z$7,Sales_Data!$AE$2:$AE$3520,1),SUMIFS(Sales_Data!$AE$2:$AE$3520,Sales_Data!$C$2:$C$3520,$A61,Sales_Data!$F$2:$F$3520,Z$7)))</f>
        <v/>
      </c>
      <c r="AA61" s="27" t="n">
        <f aca="false">SUM(B61:Z61)</f>
        <v>0</v>
      </c>
      <c r="AB61" s="3"/>
      <c r="AC61" s="72" t="n">
        <f aca="false">A61</f>
        <v>46268</v>
      </c>
      <c r="AD61" s="28" t="n">
        <f aca="false">IF(B61="","",B61-B60)</f>
        <v>0</v>
      </c>
      <c r="AE61" s="28" t="n">
        <f aca="false">IF(C61="","",C61-C60)</f>
        <v>0</v>
      </c>
      <c r="AF61" s="28" t="n">
        <f aca="false">IF(D61="","",D61-D60)</f>
        <v>0</v>
      </c>
      <c r="AG61" s="28" t="n">
        <f aca="false">IF(E61="","",E61-E60)</f>
        <v>0</v>
      </c>
      <c r="AH61" s="28" t="n">
        <f aca="false">IF(F61="","",F61-F60)</f>
        <v>0</v>
      </c>
      <c r="AI61" s="28" t="n">
        <f aca="false">IF(G61="","",G61-G60)</f>
        <v>0</v>
      </c>
      <c r="AJ61" s="28" t="n">
        <f aca="false">IF(H61="","",H61-H60)</f>
        <v>0</v>
      </c>
      <c r="AK61" s="28" t="n">
        <f aca="false">IF(I61="","",I61-I60)</f>
        <v>0</v>
      </c>
      <c r="AL61" s="28" t="n">
        <f aca="false">IF(J61="","",J61-J60)</f>
        <v>0</v>
      </c>
      <c r="AM61" s="28" t="n">
        <f aca="false">IF(K61="","",K61-K60)</f>
        <v>0</v>
      </c>
      <c r="AN61" s="28" t="n">
        <f aca="false">IF(L61="","",L61-L60)</f>
        <v>0</v>
      </c>
      <c r="AO61" s="28" t="n">
        <f aca="false">IF(M61="","",M61-M60)</f>
        <v>0</v>
      </c>
      <c r="AP61" s="28" t="n">
        <f aca="false">IF(N61="","",N61-N60)</f>
        <v>0</v>
      </c>
      <c r="AQ61" s="28" t="n">
        <f aca="false">IF(O61="","",O61-O60)</f>
        <v>0</v>
      </c>
      <c r="AR61" s="28" t="n">
        <f aca="false">IF(P61="","",P61-P60)</f>
        <v>0</v>
      </c>
      <c r="AS61" s="28" t="n">
        <f aca="false">IF(Q61="","",Q61-Q60)</f>
        <v>0</v>
      </c>
      <c r="AT61" s="28" t="n">
        <f aca="false">IF(R61="","",R61-R60)</f>
        <v>0</v>
      </c>
      <c r="AU61" s="28" t="n">
        <f aca="false">IF(S61="","",S61-S60)</f>
        <v>0</v>
      </c>
      <c r="AV61" s="28" t="str">
        <f aca="false">IF(T61="","",T61-T60)</f>
        <v/>
      </c>
      <c r="AW61" s="28" t="str">
        <f aca="false">IF(U61="","",U61-U60)</f>
        <v/>
      </c>
      <c r="AX61" s="28" t="str">
        <f aca="false">IF(V61="","",V61-V60)</f>
        <v/>
      </c>
      <c r="AY61" s="28" t="str">
        <f aca="false">IF(W61="","",W61-W60)</f>
        <v/>
      </c>
      <c r="AZ61" s="28" t="str">
        <f aca="false">IF(X61="","",X61-X60)</f>
        <v/>
      </c>
      <c r="BA61" s="28" t="str">
        <f aca="false">IF(Y61="","",Y61-Y60)</f>
        <v/>
      </c>
      <c r="BB61" s="28" t="str">
        <f aca="false">IF(Z61="","",Z61-Z60)</f>
        <v/>
      </c>
      <c r="BC61" s="28" t="n">
        <f aca="false">IF(AA61="","",AA61-AA60)</f>
        <v>0</v>
      </c>
    </row>
    <row r="62" customFormat="false" ht="15" hidden="false" customHeight="false" outlineLevel="0" collapsed="false">
      <c r="A62" s="72" t="n">
        <v>46269</v>
      </c>
      <c r="B62" s="26" t="n">
        <f aca="false">IF(B$7="","",CHOOSE(MATCH($B$4,Lists!$C$2:$C$5,0),SUMIFS(Sales_Data!$O$2:$O$3520,Sales_Data!$C$2:$C$3520,$A62,Sales_Data!$F$2:$F$3520,B$7,Sales_Data!$AE$2:$AE$3520,1),SUMIFS(Sales_Data!$M$2:$M$3520,Sales_Data!$C$2:$C$3520,$A62,Sales_Data!$F$2:$F$3520,B$7,Sales_Data!$AE$2:$AE$3520,1),SUMIFS(Sales_Data!$N$2:$N$3520,Sales_Data!$C$2:$C$3520,$A62,Sales_Data!$F$2:$F$3520,B$7,Sales_Data!$AE$2:$AE$3520,1),SUMIFS(Sales_Data!$AE$2:$AE$3520,Sales_Data!$C$2:$C$3520,$A62,Sales_Data!$F$2:$F$3520,B$7)))</f>
        <v>0</v>
      </c>
      <c r="C62" s="26" t="n">
        <f aca="false">IF(C$7="","",CHOOSE(MATCH($B$4,Lists!$C$2:$C$5,0),SUMIFS(Sales_Data!$O$2:$O$3520,Sales_Data!$C$2:$C$3520,$A62,Sales_Data!$F$2:$F$3520,C$7,Sales_Data!$AE$2:$AE$3520,1),SUMIFS(Sales_Data!$M$2:$M$3520,Sales_Data!$C$2:$C$3520,$A62,Sales_Data!$F$2:$F$3520,C$7,Sales_Data!$AE$2:$AE$3520,1),SUMIFS(Sales_Data!$N$2:$N$3520,Sales_Data!$C$2:$C$3520,$A62,Sales_Data!$F$2:$F$3520,C$7,Sales_Data!$AE$2:$AE$3520,1),SUMIFS(Sales_Data!$AE$2:$AE$3520,Sales_Data!$C$2:$C$3520,$A62,Sales_Data!$F$2:$F$3520,C$7)))</f>
        <v>0</v>
      </c>
      <c r="D62" s="26" t="n">
        <f aca="false">IF(D$7="","",CHOOSE(MATCH($B$4,Lists!$C$2:$C$5,0),SUMIFS(Sales_Data!$O$2:$O$3520,Sales_Data!$C$2:$C$3520,$A62,Sales_Data!$F$2:$F$3520,D$7,Sales_Data!$AE$2:$AE$3520,1),SUMIFS(Sales_Data!$M$2:$M$3520,Sales_Data!$C$2:$C$3520,$A62,Sales_Data!$F$2:$F$3520,D$7,Sales_Data!$AE$2:$AE$3520,1),SUMIFS(Sales_Data!$N$2:$N$3520,Sales_Data!$C$2:$C$3520,$A62,Sales_Data!$F$2:$F$3520,D$7,Sales_Data!$AE$2:$AE$3520,1),SUMIFS(Sales_Data!$AE$2:$AE$3520,Sales_Data!$C$2:$C$3520,$A62,Sales_Data!$F$2:$F$3520,D$7)))</f>
        <v>0</v>
      </c>
      <c r="E62" s="26" t="n">
        <f aca="false">IF(E$7="","",CHOOSE(MATCH($B$4,Lists!$C$2:$C$5,0),SUMIFS(Sales_Data!$O$2:$O$3520,Sales_Data!$C$2:$C$3520,$A62,Sales_Data!$F$2:$F$3520,E$7,Sales_Data!$AE$2:$AE$3520,1),SUMIFS(Sales_Data!$M$2:$M$3520,Sales_Data!$C$2:$C$3520,$A62,Sales_Data!$F$2:$F$3520,E$7,Sales_Data!$AE$2:$AE$3520,1),SUMIFS(Sales_Data!$N$2:$N$3520,Sales_Data!$C$2:$C$3520,$A62,Sales_Data!$F$2:$F$3520,E$7,Sales_Data!$AE$2:$AE$3520,1),SUMIFS(Sales_Data!$AE$2:$AE$3520,Sales_Data!$C$2:$C$3520,$A62,Sales_Data!$F$2:$F$3520,E$7)))</f>
        <v>0</v>
      </c>
      <c r="F62" s="26" t="n">
        <f aca="false">IF(F$7="","",CHOOSE(MATCH($B$4,Lists!$C$2:$C$5,0),SUMIFS(Sales_Data!$O$2:$O$3520,Sales_Data!$C$2:$C$3520,$A62,Sales_Data!$F$2:$F$3520,F$7,Sales_Data!$AE$2:$AE$3520,1),SUMIFS(Sales_Data!$M$2:$M$3520,Sales_Data!$C$2:$C$3520,$A62,Sales_Data!$F$2:$F$3520,F$7,Sales_Data!$AE$2:$AE$3520,1),SUMIFS(Sales_Data!$N$2:$N$3520,Sales_Data!$C$2:$C$3520,$A62,Sales_Data!$F$2:$F$3520,F$7,Sales_Data!$AE$2:$AE$3520,1),SUMIFS(Sales_Data!$AE$2:$AE$3520,Sales_Data!$C$2:$C$3520,$A62,Sales_Data!$F$2:$F$3520,F$7)))</f>
        <v>0</v>
      </c>
      <c r="G62" s="26" t="n">
        <f aca="false">IF(G$7="","",CHOOSE(MATCH($B$4,Lists!$C$2:$C$5,0),SUMIFS(Sales_Data!$O$2:$O$3520,Sales_Data!$C$2:$C$3520,$A62,Sales_Data!$F$2:$F$3520,G$7,Sales_Data!$AE$2:$AE$3520,1),SUMIFS(Sales_Data!$M$2:$M$3520,Sales_Data!$C$2:$C$3520,$A62,Sales_Data!$F$2:$F$3520,G$7,Sales_Data!$AE$2:$AE$3520,1),SUMIFS(Sales_Data!$N$2:$N$3520,Sales_Data!$C$2:$C$3520,$A62,Sales_Data!$F$2:$F$3520,G$7,Sales_Data!$AE$2:$AE$3520,1),SUMIFS(Sales_Data!$AE$2:$AE$3520,Sales_Data!$C$2:$C$3520,$A62,Sales_Data!$F$2:$F$3520,G$7)))</f>
        <v>7</v>
      </c>
      <c r="H62" s="26" t="n">
        <f aca="false">IF(H$7="","",CHOOSE(MATCH($B$4,Lists!$C$2:$C$5,0),SUMIFS(Sales_Data!$O$2:$O$3520,Sales_Data!$C$2:$C$3520,$A62,Sales_Data!$F$2:$F$3520,H$7,Sales_Data!$AE$2:$AE$3520,1),SUMIFS(Sales_Data!$M$2:$M$3520,Sales_Data!$C$2:$C$3520,$A62,Sales_Data!$F$2:$F$3520,H$7,Sales_Data!$AE$2:$AE$3520,1),SUMIFS(Sales_Data!$N$2:$N$3520,Sales_Data!$C$2:$C$3520,$A62,Sales_Data!$F$2:$F$3520,H$7,Sales_Data!$AE$2:$AE$3520,1),SUMIFS(Sales_Data!$AE$2:$AE$3520,Sales_Data!$C$2:$C$3520,$A62,Sales_Data!$F$2:$F$3520,H$7)))</f>
        <v>0</v>
      </c>
      <c r="I62" s="26" t="n">
        <f aca="false">IF(I$7="","",CHOOSE(MATCH($B$4,Lists!$C$2:$C$5,0),SUMIFS(Sales_Data!$O$2:$O$3520,Sales_Data!$C$2:$C$3520,$A62,Sales_Data!$F$2:$F$3520,I$7,Sales_Data!$AE$2:$AE$3520,1),SUMIFS(Sales_Data!$M$2:$M$3520,Sales_Data!$C$2:$C$3520,$A62,Sales_Data!$F$2:$F$3520,I$7,Sales_Data!$AE$2:$AE$3520,1),SUMIFS(Sales_Data!$N$2:$N$3520,Sales_Data!$C$2:$C$3520,$A62,Sales_Data!$F$2:$F$3520,I$7,Sales_Data!$AE$2:$AE$3520,1),SUMIFS(Sales_Data!$AE$2:$AE$3520,Sales_Data!$C$2:$C$3520,$A62,Sales_Data!$F$2:$F$3520,I$7)))</f>
        <v>0</v>
      </c>
      <c r="J62" s="26" t="n">
        <f aca="false">IF(J$7="","",CHOOSE(MATCH($B$4,Lists!$C$2:$C$5,0),SUMIFS(Sales_Data!$O$2:$O$3520,Sales_Data!$C$2:$C$3520,$A62,Sales_Data!$F$2:$F$3520,J$7,Sales_Data!$AE$2:$AE$3520,1),SUMIFS(Sales_Data!$M$2:$M$3520,Sales_Data!$C$2:$C$3520,$A62,Sales_Data!$F$2:$F$3520,J$7,Sales_Data!$AE$2:$AE$3520,1),SUMIFS(Sales_Data!$N$2:$N$3520,Sales_Data!$C$2:$C$3520,$A62,Sales_Data!$F$2:$F$3520,J$7,Sales_Data!$AE$2:$AE$3520,1),SUMIFS(Sales_Data!$AE$2:$AE$3520,Sales_Data!$C$2:$C$3520,$A62,Sales_Data!$F$2:$F$3520,J$7)))</f>
        <v>0</v>
      </c>
      <c r="K62" s="26" t="n">
        <f aca="false">IF(K$7="","",CHOOSE(MATCH($B$4,Lists!$C$2:$C$5,0),SUMIFS(Sales_Data!$O$2:$O$3520,Sales_Data!$C$2:$C$3520,$A62,Sales_Data!$F$2:$F$3520,K$7,Sales_Data!$AE$2:$AE$3520,1),SUMIFS(Sales_Data!$M$2:$M$3520,Sales_Data!$C$2:$C$3520,$A62,Sales_Data!$F$2:$F$3520,K$7,Sales_Data!$AE$2:$AE$3520,1),SUMIFS(Sales_Data!$N$2:$N$3520,Sales_Data!$C$2:$C$3520,$A62,Sales_Data!$F$2:$F$3520,K$7,Sales_Data!$AE$2:$AE$3520,1),SUMIFS(Sales_Data!$AE$2:$AE$3520,Sales_Data!$C$2:$C$3520,$A62,Sales_Data!$F$2:$F$3520,K$7)))</f>
        <v>0</v>
      </c>
      <c r="L62" s="26" t="n">
        <f aca="false">IF(L$7="","",CHOOSE(MATCH($B$4,Lists!$C$2:$C$5,0),SUMIFS(Sales_Data!$O$2:$O$3520,Sales_Data!$C$2:$C$3520,$A62,Sales_Data!$F$2:$F$3520,L$7,Sales_Data!$AE$2:$AE$3520,1),SUMIFS(Sales_Data!$M$2:$M$3520,Sales_Data!$C$2:$C$3520,$A62,Sales_Data!$F$2:$F$3520,L$7,Sales_Data!$AE$2:$AE$3520,1),SUMIFS(Sales_Data!$N$2:$N$3520,Sales_Data!$C$2:$C$3520,$A62,Sales_Data!$F$2:$F$3520,L$7,Sales_Data!$AE$2:$AE$3520,1),SUMIFS(Sales_Data!$AE$2:$AE$3520,Sales_Data!$C$2:$C$3520,$A62,Sales_Data!$F$2:$F$3520,L$7)))</f>
        <v>0</v>
      </c>
      <c r="M62" s="26" t="n">
        <f aca="false">IF(M$7="","",CHOOSE(MATCH($B$4,Lists!$C$2:$C$5,0),SUMIFS(Sales_Data!$O$2:$O$3520,Sales_Data!$C$2:$C$3520,$A62,Sales_Data!$F$2:$F$3520,M$7,Sales_Data!$AE$2:$AE$3520,1),SUMIFS(Sales_Data!$M$2:$M$3520,Sales_Data!$C$2:$C$3520,$A62,Sales_Data!$F$2:$F$3520,M$7,Sales_Data!$AE$2:$AE$3520,1),SUMIFS(Sales_Data!$N$2:$N$3520,Sales_Data!$C$2:$C$3520,$A62,Sales_Data!$F$2:$F$3520,M$7,Sales_Data!$AE$2:$AE$3520,1),SUMIFS(Sales_Data!$AE$2:$AE$3520,Sales_Data!$C$2:$C$3520,$A62,Sales_Data!$F$2:$F$3520,M$7)))</f>
        <v>0</v>
      </c>
      <c r="N62" s="26" t="n">
        <f aca="false">IF(N$7="","",CHOOSE(MATCH($B$4,Lists!$C$2:$C$5,0),SUMIFS(Sales_Data!$O$2:$O$3520,Sales_Data!$C$2:$C$3520,$A62,Sales_Data!$F$2:$F$3520,N$7,Sales_Data!$AE$2:$AE$3520,1),SUMIFS(Sales_Data!$M$2:$M$3520,Sales_Data!$C$2:$C$3520,$A62,Sales_Data!$F$2:$F$3520,N$7,Sales_Data!$AE$2:$AE$3520,1),SUMIFS(Sales_Data!$N$2:$N$3520,Sales_Data!$C$2:$C$3520,$A62,Sales_Data!$F$2:$F$3520,N$7,Sales_Data!$AE$2:$AE$3520,1),SUMIFS(Sales_Data!$AE$2:$AE$3520,Sales_Data!$C$2:$C$3520,$A62,Sales_Data!$F$2:$F$3520,N$7)))</f>
        <v>0</v>
      </c>
      <c r="O62" s="26" t="n">
        <f aca="false">IF(O$7="","",CHOOSE(MATCH($B$4,Lists!$C$2:$C$5,0),SUMIFS(Sales_Data!$O$2:$O$3520,Sales_Data!$C$2:$C$3520,$A62,Sales_Data!$F$2:$F$3520,O$7,Sales_Data!$AE$2:$AE$3520,1),SUMIFS(Sales_Data!$M$2:$M$3520,Sales_Data!$C$2:$C$3520,$A62,Sales_Data!$F$2:$F$3520,O$7,Sales_Data!$AE$2:$AE$3520,1),SUMIFS(Sales_Data!$N$2:$N$3520,Sales_Data!$C$2:$C$3520,$A62,Sales_Data!$F$2:$F$3520,O$7,Sales_Data!$AE$2:$AE$3520,1),SUMIFS(Sales_Data!$AE$2:$AE$3520,Sales_Data!$C$2:$C$3520,$A62,Sales_Data!$F$2:$F$3520,O$7)))</f>
        <v>0</v>
      </c>
      <c r="P62" s="26" t="n">
        <f aca="false">IF(P$7="","",CHOOSE(MATCH($B$4,Lists!$C$2:$C$5,0),SUMIFS(Sales_Data!$O$2:$O$3520,Sales_Data!$C$2:$C$3520,$A62,Sales_Data!$F$2:$F$3520,P$7,Sales_Data!$AE$2:$AE$3520,1),SUMIFS(Sales_Data!$M$2:$M$3520,Sales_Data!$C$2:$C$3520,$A62,Sales_Data!$F$2:$F$3520,P$7,Sales_Data!$AE$2:$AE$3520,1),SUMIFS(Sales_Data!$N$2:$N$3520,Sales_Data!$C$2:$C$3520,$A62,Sales_Data!$F$2:$F$3520,P$7,Sales_Data!$AE$2:$AE$3520,1),SUMIFS(Sales_Data!$AE$2:$AE$3520,Sales_Data!$C$2:$C$3520,$A62,Sales_Data!$F$2:$F$3520,P$7)))</f>
        <v>0</v>
      </c>
      <c r="Q62" s="26" t="n">
        <f aca="false">IF(Q$7="","",CHOOSE(MATCH($B$4,Lists!$C$2:$C$5,0),SUMIFS(Sales_Data!$O$2:$O$3520,Sales_Data!$C$2:$C$3520,$A62,Sales_Data!$F$2:$F$3520,Q$7,Sales_Data!$AE$2:$AE$3520,1),SUMIFS(Sales_Data!$M$2:$M$3520,Sales_Data!$C$2:$C$3520,$A62,Sales_Data!$F$2:$F$3520,Q$7,Sales_Data!$AE$2:$AE$3520,1),SUMIFS(Sales_Data!$N$2:$N$3520,Sales_Data!$C$2:$C$3520,$A62,Sales_Data!$F$2:$F$3520,Q$7,Sales_Data!$AE$2:$AE$3520,1),SUMIFS(Sales_Data!$AE$2:$AE$3520,Sales_Data!$C$2:$C$3520,$A62,Sales_Data!$F$2:$F$3520,Q$7)))</f>
        <v>0</v>
      </c>
      <c r="R62" s="26" t="n">
        <f aca="false">IF(R$7="","",CHOOSE(MATCH($B$4,Lists!$C$2:$C$5,0),SUMIFS(Sales_Data!$O$2:$O$3520,Sales_Data!$C$2:$C$3520,$A62,Sales_Data!$F$2:$F$3520,R$7,Sales_Data!$AE$2:$AE$3520,1),SUMIFS(Sales_Data!$M$2:$M$3520,Sales_Data!$C$2:$C$3520,$A62,Sales_Data!$F$2:$F$3520,R$7,Sales_Data!$AE$2:$AE$3520,1),SUMIFS(Sales_Data!$N$2:$N$3520,Sales_Data!$C$2:$C$3520,$A62,Sales_Data!$F$2:$F$3520,R$7,Sales_Data!$AE$2:$AE$3520,1),SUMIFS(Sales_Data!$AE$2:$AE$3520,Sales_Data!$C$2:$C$3520,$A62,Sales_Data!$F$2:$F$3520,R$7)))</f>
        <v>0</v>
      </c>
      <c r="S62" s="26" t="n">
        <f aca="false">IF(S$7="","",CHOOSE(MATCH($B$4,Lists!$C$2:$C$5,0),SUMIFS(Sales_Data!$O$2:$O$3520,Sales_Data!$C$2:$C$3520,$A62,Sales_Data!$F$2:$F$3520,S$7,Sales_Data!$AE$2:$AE$3520,1),SUMIFS(Sales_Data!$M$2:$M$3520,Sales_Data!$C$2:$C$3520,$A62,Sales_Data!$F$2:$F$3520,S$7,Sales_Data!$AE$2:$AE$3520,1),SUMIFS(Sales_Data!$N$2:$N$3520,Sales_Data!$C$2:$C$3520,$A62,Sales_Data!$F$2:$F$3520,S$7,Sales_Data!$AE$2:$AE$3520,1),SUMIFS(Sales_Data!$AE$2:$AE$3520,Sales_Data!$C$2:$C$3520,$A62,Sales_Data!$F$2:$F$3520,S$7)))</f>
        <v>0</v>
      </c>
      <c r="T62" s="26" t="str">
        <f aca="false">IF(T$7="","",CHOOSE(MATCH($B$4,Lists!$C$2:$C$5,0),SUMIFS(Sales_Data!$O$2:$O$3520,Sales_Data!$C$2:$C$3520,$A62,Sales_Data!$F$2:$F$3520,T$7,Sales_Data!$AE$2:$AE$3520,1),SUMIFS(Sales_Data!$M$2:$M$3520,Sales_Data!$C$2:$C$3520,$A62,Sales_Data!$F$2:$F$3520,T$7,Sales_Data!$AE$2:$AE$3520,1),SUMIFS(Sales_Data!$N$2:$N$3520,Sales_Data!$C$2:$C$3520,$A62,Sales_Data!$F$2:$F$3520,T$7,Sales_Data!$AE$2:$AE$3520,1),SUMIFS(Sales_Data!$AE$2:$AE$3520,Sales_Data!$C$2:$C$3520,$A62,Sales_Data!$F$2:$F$3520,T$7)))</f>
        <v/>
      </c>
      <c r="U62" s="26" t="str">
        <f aca="false">IF(U$7="","",CHOOSE(MATCH($B$4,Lists!$C$2:$C$5,0),SUMIFS(Sales_Data!$O$2:$O$3520,Sales_Data!$C$2:$C$3520,$A62,Sales_Data!$F$2:$F$3520,U$7,Sales_Data!$AE$2:$AE$3520,1),SUMIFS(Sales_Data!$M$2:$M$3520,Sales_Data!$C$2:$C$3520,$A62,Sales_Data!$F$2:$F$3520,U$7,Sales_Data!$AE$2:$AE$3520,1),SUMIFS(Sales_Data!$N$2:$N$3520,Sales_Data!$C$2:$C$3520,$A62,Sales_Data!$F$2:$F$3520,U$7,Sales_Data!$AE$2:$AE$3520,1),SUMIFS(Sales_Data!$AE$2:$AE$3520,Sales_Data!$C$2:$C$3520,$A62,Sales_Data!$F$2:$F$3520,U$7)))</f>
        <v/>
      </c>
      <c r="V62" s="26" t="str">
        <f aca="false">IF(V$7="","",CHOOSE(MATCH($B$4,Lists!$C$2:$C$5,0),SUMIFS(Sales_Data!$O$2:$O$3520,Sales_Data!$C$2:$C$3520,$A62,Sales_Data!$F$2:$F$3520,V$7,Sales_Data!$AE$2:$AE$3520,1),SUMIFS(Sales_Data!$M$2:$M$3520,Sales_Data!$C$2:$C$3520,$A62,Sales_Data!$F$2:$F$3520,V$7,Sales_Data!$AE$2:$AE$3520,1),SUMIFS(Sales_Data!$N$2:$N$3520,Sales_Data!$C$2:$C$3520,$A62,Sales_Data!$F$2:$F$3520,V$7,Sales_Data!$AE$2:$AE$3520,1),SUMIFS(Sales_Data!$AE$2:$AE$3520,Sales_Data!$C$2:$C$3520,$A62,Sales_Data!$F$2:$F$3520,V$7)))</f>
        <v/>
      </c>
      <c r="W62" s="26" t="str">
        <f aca="false">IF(W$7="","",CHOOSE(MATCH($B$4,Lists!$C$2:$C$5,0),SUMIFS(Sales_Data!$O$2:$O$3520,Sales_Data!$C$2:$C$3520,$A62,Sales_Data!$F$2:$F$3520,W$7,Sales_Data!$AE$2:$AE$3520,1),SUMIFS(Sales_Data!$M$2:$M$3520,Sales_Data!$C$2:$C$3520,$A62,Sales_Data!$F$2:$F$3520,W$7,Sales_Data!$AE$2:$AE$3520,1),SUMIFS(Sales_Data!$N$2:$N$3520,Sales_Data!$C$2:$C$3520,$A62,Sales_Data!$F$2:$F$3520,W$7,Sales_Data!$AE$2:$AE$3520,1),SUMIFS(Sales_Data!$AE$2:$AE$3520,Sales_Data!$C$2:$C$3520,$A62,Sales_Data!$F$2:$F$3520,W$7)))</f>
        <v/>
      </c>
      <c r="X62" s="26" t="str">
        <f aca="false">IF(X$7="","",CHOOSE(MATCH($B$4,Lists!$C$2:$C$5,0),SUMIFS(Sales_Data!$O$2:$O$3520,Sales_Data!$C$2:$C$3520,$A62,Sales_Data!$F$2:$F$3520,X$7,Sales_Data!$AE$2:$AE$3520,1),SUMIFS(Sales_Data!$M$2:$M$3520,Sales_Data!$C$2:$C$3520,$A62,Sales_Data!$F$2:$F$3520,X$7,Sales_Data!$AE$2:$AE$3520,1),SUMIFS(Sales_Data!$N$2:$N$3520,Sales_Data!$C$2:$C$3520,$A62,Sales_Data!$F$2:$F$3520,X$7,Sales_Data!$AE$2:$AE$3520,1),SUMIFS(Sales_Data!$AE$2:$AE$3520,Sales_Data!$C$2:$C$3520,$A62,Sales_Data!$F$2:$F$3520,X$7)))</f>
        <v/>
      </c>
      <c r="Y62" s="26" t="str">
        <f aca="false">IF(Y$7="","",CHOOSE(MATCH($B$4,Lists!$C$2:$C$5,0),SUMIFS(Sales_Data!$O$2:$O$3520,Sales_Data!$C$2:$C$3520,$A62,Sales_Data!$F$2:$F$3520,Y$7,Sales_Data!$AE$2:$AE$3520,1),SUMIFS(Sales_Data!$M$2:$M$3520,Sales_Data!$C$2:$C$3520,$A62,Sales_Data!$F$2:$F$3520,Y$7,Sales_Data!$AE$2:$AE$3520,1),SUMIFS(Sales_Data!$N$2:$N$3520,Sales_Data!$C$2:$C$3520,$A62,Sales_Data!$F$2:$F$3520,Y$7,Sales_Data!$AE$2:$AE$3520,1),SUMIFS(Sales_Data!$AE$2:$AE$3520,Sales_Data!$C$2:$C$3520,$A62,Sales_Data!$F$2:$F$3520,Y$7)))</f>
        <v/>
      </c>
      <c r="Z62" s="26" t="str">
        <f aca="false">IF(Z$7="","",CHOOSE(MATCH($B$4,Lists!$C$2:$C$5,0),SUMIFS(Sales_Data!$O$2:$O$3520,Sales_Data!$C$2:$C$3520,$A62,Sales_Data!$F$2:$F$3520,Z$7,Sales_Data!$AE$2:$AE$3520,1),SUMIFS(Sales_Data!$M$2:$M$3520,Sales_Data!$C$2:$C$3520,$A62,Sales_Data!$F$2:$F$3520,Z$7,Sales_Data!$AE$2:$AE$3520,1),SUMIFS(Sales_Data!$N$2:$N$3520,Sales_Data!$C$2:$C$3520,$A62,Sales_Data!$F$2:$F$3520,Z$7,Sales_Data!$AE$2:$AE$3520,1),SUMIFS(Sales_Data!$AE$2:$AE$3520,Sales_Data!$C$2:$C$3520,$A62,Sales_Data!$F$2:$F$3520,Z$7)))</f>
        <v/>
      </c>
      <c r="AA62" s="27" t="n">
        <f aca="false">SUM(B62:Z62)</f>
        <v>7</v>
      </c>
      <c r="AB62" s="3"/>
      <c r="AC62" s="72" t="n">
        <f aca="false">A62</f>
        <v>46269</v>
      </c>
      <c r="AD62" s="28" t="n">
        <f aca="false">IF(B62="","",B62-B61)</f>
        <v>0</v>
      </c>
      <c r="AE62" s="28" t="n">
        <f aca="false">IF(C62="","",C62-C61)</f>
        <v>0</v>
      </c>
      <c r="AF62" s="28" t="n">
        <f aca="false">IF(D62="","",D62-D61)</f>
        <v>0</v>
      </c>
      <c r="AG62" s="28" t="n">
        <f aca="false">IF(E62="","",E62-E61)</f>
        <v>0</v>
      </c>
      <c r="AH62" s="28" t="n">
        <f aca="false">IF(F62="","",F62-F61)</f>
        <v>0</v>
      </c>
      <c r="AI62" s="28" t="n">
        <f aca="false">IF(G62="","",G62-G61)</f>
        <v>7</v>
      </c>
      <c r="AJ62" s="28" t="n">
        <f aca="false">IF(H62="","",H62-H61)</f>
        <v>0</v>
      </c>
      <c r="AK62" s="28" t="n">
        <f aca="false">IF(I62="","",I62-I61)</f>
        <v>0</v>
      </c>
      <c r="AL62" s="28" t="n">
        <f aca="false">IF(J62="","",J62-J61)</f>
        <v>0</v>
      </c>
      <c r="AM62" s="28" t="n">
        <f aca="false">IF(K62="","",K62-K61)</f>
        <v>0</v>
      </c>
      <c r="AN62" s="28" t="n">
        <f aca="false">IF(L62="","",L62-L61)</f>
        <v>0</v>
      </c>
      <c r="AO62" s="28" t="n">
        <f aca="false">IF(M62="","",M62-M61)</f>
        <v>0</v>
      </c>
      <c r="AP62" s="28" t="n">
        <f aca="false">IF(N62="","",N62-N61)</f>
        <v>0</v>
      </c>
      <c r="AQ62" s="28" t="n">
        <f aca="false">IF(O62="","",O62-O61)</f>
        <v>0</v>
      </c>
      <c r="AR62" s="28" t="n">
        <f aca="false">IF(P62="","",P62-P61)</f>
        <v>0</v>
      </c>
      <c r="AS62" s="28" t="n">
        <f aca="false">IF(Q62="","",Q62-Q61)</f>
        <v>0</v>
      </c>
      <c r="AT62" s="28" t="n">
        <f aca="false">IF(R62="","",R62-R61)</f>
        <v>0</v>
      </c>
      <c r="AU62" s="28" t="n">
        <f aca="false">IF(S62="","",S62-S61)</f>
        <v>0</v>
      </c>
      <c r="AV62" s="28" t="str">
        <f aca="false">IF(T62="","",T62-T61)</f>
        <v/>
      </c>
      <c r="AW62" s="28" t="str">
        <f aca="false">IF(U62="","",U62-U61)</f>
        <v/>
      </c>
      <c r="AX62" s="28" t="str">
        <f aca="false">IF(V62="","",V62-V61)</f>
        <v/>
      </c>
      <c r="AY62" s="28" t="str">
        <f aca="false">IF(W62="","",W62-W61)</f>
        <v/>
      </c>
      <c r="AZ62" s="28" t="str">
        <f aca="false">IF(X62="","",X62-X61)</f>
        <v/>
      </c>
      <c r="BA62" s="28" t="str">
        <f aca="false">IF(Y62="","",Y62-Y61)</f>
        <v/>
      </c>
      <c r="BB62" s="28" t="str">
        <f aca="false">IF(Z62="","",Z62-Z61)</f>
        <v/>
      </c>
      <c r="BC62" s="28" t="n">
        <f aca="false">IF(AA62="","",AA62-AA61)</f>
        <v>7</v>
      </c>
    </row>
    <row r="63" customFormat="false" ht="15" hidden="false" customHeight="false" outlineLevel="0" collapsed="false">
      <c r="A63" s="72" t="n">
        <v>46270</v>
      </c>
      <c r="B63" s="26" t="n">
        <f aca="false">IF(B$7="","",CHOOSE(MATCH($B$4,Lists!$C$2:$C$5,0),SUMIFS(Sales_Data!$O$2:$O$3520,Sales_Data!$C$2:$C$3520,$A63,Sales_Data!$F$2:$F$3520,B$7,Sales_Data!$AE$2:$AE$3520,1),SUMIFS(Sales_Data!$M$2:$M$3520,Sales_Data!$C$2:$C$3520,$A63,Sales_Data!$F$2:$F$3520,B$7,Sales_Data!$AE$2:$AE$3520,1),SUMIFS(Sales_Data!$N$2:$N$3520,Sales_Data!$C$2:$C$3520,$A63,Sales_Data!$F$2:$F$3520,B$7,Sales_Data!$AE$2:$AE$3520,1),SUMIFS(Sales_Data!$AE$2:$AE$3520,Sales_Data!$C$2:$C$3520,$A63,Sales_Data!$F$2:$F$3520,B$7)))</f>
        <v>0</v>
      </c>
      <c r="C63" s="26" t="n">
        <f aca="false">IF(C$7="","",CHOOSE(MATCH($B$4,Lists!$C$2:$C$5,0),SUMIFS(Sales_Data!$O$2:$O$3520,Sales_Data!$C$2:$C$3520,$A63,Sales_Data!$F$2:$F$3520,C$7,Sales_Data!$AE$2:$AE$3520,1),SUMIFS(Sales_Data!$M$2:$M$3520,Sales_Data!$C$2:$C$3520,$A63,Sales_Data!$F$2:$F$3520,C$7,Sales_Data!$AE$2:$AE$3520,1),SUMIFS(Sales_Data!$N$2:$N$3520,Sales_Data!$C$2:$C$3520,$A63,Sales_Data!$F$2:$F$3520,C$7,Sales_Data!$AE$2:$AE$3520,1),SUMIFS(Sales_Data!$AE$2:$AE$3520,Sales_Data!$C$2:$C$3520,$A63,Sales_Data!$F$2:$F$3520,C$7)))</f>
        <v>0</v>
      </c>
      <c r="D63" s="26" t="n">
        <f aca="false">IF(D$7="","",CHOOSE(MATCH($B$4,Lists!$C$2:$C$5,0),SUMIFS(Sales_Data!$O$2:$O$3520,Sales_Data!$C$2:$C$3520,$A63,Sales_Data!$F$2:$F$3520,D$7,Sales_Data!$AE$2:$AE$3520,1),SUMIFS(Sales_Data!$M$2:$M$3520,Sales_Data!$C$2:$C$3520,$A63,Sales_Data!$F$2:$F$3520,D$7,Sales_Data!$AE$2:$AE$3520,1),SUMIFS(Sales_Data!$N$2:$N$3520,Sales_Data!$C$2:$C$3520,$A63,Sales_Data!$F$2:$F$3520,D$7,Sales_Data!$AE$2:$AE$3520,1),SUMIFS(Sales_Data!$AE$2:$AE$3520,Sales_Data!$C$2:$C$3520,$A63,Sales_Data!$F$2:$F$3520,D$7)))</f>
        <v>0</v>
      </c>
      <c r="E63" s="26" t="n">
        <f aca="false">IF(E$7="","",CHOOSE(MATCH($B$4,Lists!$C$2:$C$5,0),SUMIFS(Sales_Data!$O$2:$O$3520,Sales_Data!$C$2:$C$3520,$A63,Sales_Data!$F$2:$F$3520,E$7,Sales_Data!$AE$2:$AE$3520,1),SUMIFS(Sales_Data!$M$2:$M$3520,Sales_Data!$C$2:$C$3520,$A63,Sales_Data!$F$2:$F$3520,E$7,Sales_Data!$AE$2:$AE$3520,1),SUMIFS(Sales_Data!$N$2:$N$3520,Sales_Data!$C$2:$C$3520,$A63,Sales_Data!$F$2:$F$3520,E$7,Sales_Data!$AE$2:$AE$3520,1),SUMIFS(Sales_Data!$AE$2:$AE$3520,Sales_Data!$C$2:$C$3520,$A63,Sales_Data!$F$2:$F$3520,E$7)))</f>
        <v>0</v>
      </c>
      <c r="F63" s="26" t="n">
        <f aca="false">IF(F$7="","",CHOOSE(MATCH($B$4,Lists!$C$2:$C$5,0),SUMIFS(Sales_Data!$O$2:$O$3520,Sales_Data!$C$2:$C$3520,$A63,Sales_Data!$F$2:$F$3520,F$7,Sales_Data!$AE$2:$AE$3520,1),SUMIFS(Sales_Data!$M$2:$M$3520,Sales_Data!$C$2:$C$3520,$A63,Sales_Data!$F$2:$F$3520,F$7,Sales_Data!$AE$2:$AE$3520,1),SUMIFS(Sales_Data!$N$2:$N$3520,Sales_Data!$C$2:$C$3520,$A63,Sales_Data!$F$2:$F$3520,F$7,Sales_Data!$AE$2:$AE$3520,1),SUMIFS(Sales_Data!$AE$2:$AE$3520,Sales_Data!$C$2:$C$3520,$A63,Sales_Data!$F$2:$F$3520,F$7)))</f>
        <v>0</v>
      </c>
      <c r="G63" s="26" t="n">
        <f aca="false">IF(G$7="","",CHOOSE(MATCH($B$4,Lists!$C$2:$C$5,0),SUMIFS(Sales_Data!$O$2:$O$3520,Sales_Data!$C$2:$C$3520,$A63,Sales_Data!$F$2:$F$3520,G$7,Sales_Data!$AE$2:$AE$3520,1),SUMIFS(Sales_Data!$M$2:$M$3520,Sales_Data!$C$2:$C$3520,$A63,Sales_Data!$F$2:$F$3520,G$7,Sales_Data!$AE$2:$AE$3520,1),SUMIFS(Sales_Data!$N$2:$N$3520,Sales_Data!$C$2:$C$3520,$A63,Sales_Data!$F$2:$F$3520,G$7,Sales_Data!$AE$2:$AE$3520,1),SUMIFS(Sales_Data!$AE$2:$AE$3520,Sales_Data!$C$2:$C$3520,$A63,Sales_Data!$F$2:$F$3520,G$7)))</f>
        <v>0</v>
      </c>
      <c r="H63" s="26" t="n">
        <f aca="false">IF(H$7="","",CHOOSE(MATCH($B$4,Lists!$C$2:$C$5,0),SUMIFS(Sales_Data!$O$2:$O$3520,Sales_Data!$C$2:$C$3520,$A63,Sales_Data!$F$2:$F$3520,H$7,Sales_Data!$AE$2:$AE$3520,1),SUMIFS(Sales_Data!$M$2:$M$3520,Sales_Data!$C$2:$C$3520,$A63,Sales_Data!$F$2:$F$3520,H$7,Sales_Data!$AE$2:$AE$3520,1),SUMIFS(Sales_Data!$N$2:$N$3520,Sales_Data!$C$2:$C$3520,$A63,Sales_Data!$F$2:$F$3520,H$7,Sales_Data!$AE$2:$AE$3520,1),SUMIFS(Sales_Data!$AE$2:$AE$3520,Sales_Data!$C$2:$C$3520,$A63,Sales_Data!$F$2:$F$3520,H$7)))</f>
        <v>0</v>
      </c>
      <c r="I63" s="26" t="n">
        <f aca="false">IF(I$7="","",CHOOSE(MATCH($B$4,Lists!$C$2:$C$5,0),SUMIFS(Sales_Data!$O$2:$O$3520,Sales_Data!$C$2:$C$3520,$A63,Sales_Data!$F$2:$F$3520,I$7,Sales_Data!$AE$2:$AE$3520,1),SUMIFS(Sales_Data!$M$2:$M$3520,Sales_Data!$C$2:$C$3520,$A63,Sales_Data!$F$2:$F$3520,I$7,Sales_Data!$AE$2:$AE$3520,1),SUMIFS(Sales_Data!$N$2:$N$3520,Sales_Data!$C$2:$C$3520,$A63,Sales_Data!$F$2:$F$3520,I$7,Sales_Data!$AE$2:$AE$3520,1),SUMIFS(Sales_Data!$AE$2:$AE$3520,Sales_Data!$C$2:$C$3520,$A63,Sales_Data!$F$2:$F$3520,I$7)))</f>
        <v>0</v>
      </c>
      <c r="J63" s="26" t="n">
        <f aca="false">IF(J$7="","",CHOOSE(MATCH($B$4,Lists!$C$2:$C$5,0),SUMIFS(Sales_Data!$O$2:$O$3520,Sales_Data!$C$2:$C$3520,$A63,Sales_Data!$F$2:$F$3520,J$7,Sales_Data!$AE$2:$AE$3520,1),SUMIFS(Sales_Data!$M$2:$M$3520,Sales_Data!$C$2:$C$3520,$A63,Sales_Data!$F$2:$F$3520,J$7,Sales_Data!$AE$2:$AE$3520,1),SUMIFS(Sales_Data!$N$2:$N$3520,Sales_Data!$C$2:$C$3520,$A63,Sales_Data!$F$2:$F$3520,J$7,Sales_Data!$AE$2:$AE$3520,1),SUMIFS(Sales_Data!$AE$2:$AE$3520,Sales_Data!$C$2:$C$3520,$A63,Sales_Data!$F$2:$F$3520,J$7)))</f>
        <v>0</v>
      </c>
      <c r="K63" s="26" t="n">
        <f aca="false">IF(K$7="","",CHOOSE(MATCH($B$4,Lists!$C$2:$C$5,0),SUMIFS(Sales_Data!$O$2:$O$3520,Sales_Data!$C$2:$C$3520,$A63,Sales_Data!$F$2:$F$3520,K$7,Sales_Data!$AE$2:$AE$3520,1),SUMIFS(Sales_Data!$M$2:$M$3520,Sales_Data!$C$2:$C$3520,$A63,Sales_Data!$F$2:$F$3520,K$7,Sales_Data!$AE$2:$AE$3520,1),SUMIFS(Sales_Data!$N$2:$N$3520,Sales_Data!$C$2:$C$3520,$A63,Sales_Data!$F$2:$F$3520,K$7,Sales_Data!$AE$2:$AE$3520,1),SUMIFS(Sales_Data!$AE$2:$AE$3520,Sales_Data!$C$2:$C$3520,$A63,Sales_Data!$F$2:$F$3520,K$7)))</f>
        <v>0</v>
      </c>
      <c r="L63" s="26" t="n">
        <f aca="false">IF(L$7="","",CHOOSE(MATCH($B$4,Lists!$C$2:$C$5,0),SUMIFS(Sales_Data!$O$2:$O$3520,Sales_Data!$C$2:$C$3520,$A63,Sales_Data!$F$2:$F$3520,L$7,Sales_Data!$AE$2:$AE$3520,1),SUMIFS(Sales_Data!$M$2:$M$3520,Sales_Data!$C$2:$C$3520,$A63,Sales_Data!$F$2:$F$3520,L$7,Sales_Data!$AE$2:$AE$3520,1),SUMIFS(Sales_Data!$N$2:$N$3520,Sales_Data!$C$2:$C$3520,$A63,Sales_Data!$F$2:$F$3520,L$7,Sales_Data!$AE$2:$AE$3520,1),SUMIFS(Sales_Data!$AE$2:$AE$3520,Sales_Data!$C$2:$C$3520,$A63,Sales_Data!$F$2:$F$3520,L$7)))</f>
        <v>0</v>
      </c>
      <c r="M63" s="26" t="n">
        <f aca="false">IF(M$7="","",CHOOSE(MATCH($B$4,Lists!$C$2:$C$5,0),SUMIFS(Sales_Data!$O$2:$O$3520,Sales_Data!$C$2:$C$3520,$A63,Sales_Data!$F$2:$F$3520,M$7,Sales_Data!$AE$2:$AE$3520,1),SUMIFS(Sales_Data!$M$2:$M$3520,Sales_Data!$C$2:$C$3520,$A63,Sales_Data!$F$2:$F$3520,M$7,Sales_Data!$AE$2:$AE$3520,1),SUMIFS(Sales_Data!$N$2:$N$3520,Sales_Data!$C$2:$C$3520,$A63,Sales_Data!$F$2:$F$3520,M$7,Sales_Data!$AE$2:$AE$3520,1),SUMIFS(Sales_Data!$AE$2:$AE$3520,Sales_Data!$C$2:$C$3520,$A63,Sales_Data!$F$2:$F$3520,M$7)))</f>
        <v>0</v>
      </c>
      <c r="N63" s="26" t="n">
        <f aca="false">IF(N$7="","",CHOOSE(MATCH($B$4,Lists!$C$2:$C$5,0),SUMIFS(Sales_Data!$O$2:$O$3520,Sales_Data!$C$2:$C$3520,$A63,Sales_Data!$F$2:$F$3520,N$7,Sales_Data!$AE$2:$AE$3520,1),SUMIFS(Sales_Data!$M$2:$M$3520,Sales_Data!$C$2:$C$3520,$A63,Sales_Data!$F$2:$F$3520,N$7,Sales_Data!$AE$2:$AE$3520,1),SUMIFS(Sales_Data!$N$2:$N$3520,Sales_Data!$C$2:$C$3520,$A63,Sales_Data!$F$2:$F$3520,N$7,Sales_Data!$AE$2:$AE$3520,1),SUMIFS(Sales_Data!$AE$2:$AE$3520,Sales_Data!$C$2:$C$3520,$A63,Sales_Data!$F$2:$F$3520,N$7)))</f>
        <v>0</v>
      </c>
      <c r="O63" s="26" t="n">
        <f aca="false">IF(O$7="","",CHOOSE(MATCH($B$4,Lists!$C$2:$C$5,0),SUMIFS(Sales_Data!$O$2:$O$3520,Sales_Data!$C$2:$C$3520,$A63,Sales_Data!$F$2:$F$3520,O$7,Sales_Data!$AE$2:$AE$3520,1),SUMIFS(Sales_Data!$M$2:$M$3520,Sales_Data!$C$2:$C$3520,$A63,Sales_Data!$F$2:$F$3520,O$7,Sales_Data!$AE$2:$AE$3520,1),SUMIFS(Sales_Data!$N$2:$N$3520,Sales_Data!$C$2:$C$3520,$A63,Sales_Data!$F$2:$F$3520,O$7,Sales_Data!$AE$2:$AE$3520,1),SUMIFS(Sales_Data!$AE$2:$AE$3520,Sales_Data!$C$2:$C$3520,$A63,Sales_Data!$F$2:$F$3520,O$7)))</f>
        <v>0</v>
      </c>
      <c r="P63" s="26" t="n">
        <f aca="false">IF(P$7="","",CHOOSE(MATCH($B$4,Lists!$C$2:$C$5,0),SUMIFS(Sales_Data!$O$2:$O$3520,Sales_Data!$C$2:$C$3520,$A63,Sales_Data!$F$2:$F$3520,P$7,Sales_Data!$AE$2:$AE$3520,1),SUMIFS(Sales_Data!$M$2:$M$3520,Sales_Data!$C$2:$C$3520,$A63,Sales_Data!$F$2:$F$3520,P$7,Sales_Data!$AE$2:$AE$3520,1),SUMIFS(Sales_Data!$N$2:$N$3520,Sales_Data!$C$2:$C$3520,$A63,Sales_Data!$F$2:$F$3520,P$7,Sales_Data!$AE$2:$AE$3520,1),SUMIFS(Sales_Data!$AE$2:$AE$3520,Sales_Data!$C$2:$C$3520,$A63,Sales_Data!$F$2:$F$3520,P$7)))</f>
        <v>0</v>
      </c>
      <c r="Q63" s="26" t="n">
        <f aca="false">IF(Q$7="","",CHOOSE(MATCH($B$4,Lists!$C$2:$C$5,0),SUMIFS(Sales_Data!$O$2:$O$3520,Sales_Data!$C$2:$C$3520,$A63,Sales_Data!$F$2:$F$3520,Q$7,Sales_Data!$AE$2:$AE$3520,1),SUMIFS(Sales_Data!$M$2:$M$3520,Sales_Data!$C$2:$C$3520,$A63,Sales_Data!$F$2:$F$3520,Q$7,Sales_Data!$AE$2:$AE$3520,1),SUMIFS(Sales_Data!$N$2:$N$3520,Sales_Data!$C$2:$C$3520,$A63,Sales_Data!$F$2:$F$3520,Q$7,Sales_Data!$AE$2:$AE$3520,1),SUMIFS(Sales_Data!$AE$2:$AE$3520,Sales_Data!$C$2:$C$3520,$A63,Sales_Data!$F$2:$F$3520,Q$7)))</f>
        <v>0</v>
      </c>
      <c r="R63" s="26" t="n">
        <f aca="false">IF(R$7="","",CHOOSE(MATCH($B$4,Lists!$C$2:$C$5,0),SUMIFS(Sales_Data!$O$2:$O$3520,Sales_Data!$C$2:$C$3520,$A63,Sales_Data!$F$2:$F$3520,R$7,Sales_Data!$AE$2:$AE$3520,1),SUMIFS(Sales_Data!$M$2:$M$3520,Sales_Data!$C$2:$C$3520,$A63,Sales_Data!$F$2:$F$3520,R$7,Sales_Data!$AE$2:$AE$3520,1),SUMIFS(Sales_Data!$N$2:$N$3520,Sales_Data!$C$2:$C$3520,$A63,Sales_Data!$F$2:$F$3520,R$7,Sales_Data!$AE$2:$AE$3520,1),SUMIFS(Sales_Data!$AE$2:$AE$3520,Sales_Data!$C$2:$C$3520,$A63,Sales_Data!$F$2:$F$3520,R$7)))</f>
        <v>0</v>
      </c>
      <c r="S63" s="26" t="n">
        <f aca="false">IF(S$7="","",CHOOSE(MATCH($B$4,Lists!$C$2:$C$5,0),SUMIFS(Sales_Data!$O$2:$O$3520,Sales_Data!$C$2:$C$3520,$A63,Sales_Data!$F$2:$F$3520,S$7,Sales_Data!$AE$2:$AE$3520,1),SUMIFS(Sales_Data!$M$2:$M$3520,Sales_Data!$C$2:$C$3520,$A63,Sales_Data!$F$2:$F$3520,S$7,Sales_Data!$AE$2:$AE$3520,1),SUMIFS(Sales_Data!$N$2:$N$3520,Sales_Data!$C$2:$C$3520,$A63,Sales_Data!$F$2:$F$3520,S$7,Sales_Data!$AE$2:$AE$3520,1),SUMIFS(Sales_Data!$AE$2:$AE$3520,Sales_Data!$C$2:$C$3520,$A63,Sales_Data!$F$2:$F$3520,S$7)))</f>
        <v>0</v>
      </c>
      <c r="T63" s="26" t="str">
        <f aca="false">IF(T$7="","",CHOOSE(MATCH($B$4,Lists!$C$2:$C$5,0),SUMIFS(Sales_Data!$O$2:$O$3520,Sales_Data!$C$2:$C$3520,$A63,Sales_Data!$F$2:$F$3520,T$7,Sales_Data!$AE$2:$AE$3520,1),SUMIFS(Sales_Data!$M$2:$M$3520,Sales_Data!$C$2:$C$3520,$A63,Sales_Data!$F$2:$F$3520,T$7,Sales_Data!$AE$2:$AE$3520,1),SUMIFS(Sales_Data!$N$2:$N$3520,Sales_Data!$C$2:$C$3520,$A63,Sales_Data!$F$2:$F$3520,T$7,Sales_Data!$AE$2:$AE$3520,1),SUMIFS(Sales_Data!$AE$2:$AE$3520,Sales_Data!$C$2:$C$3520,$A63,Sales_Data!$F$2:$F$3520,T$7)))</f>
        <v/>
      </c>
      <c r="U63" s="26" t="str">
        <f aca="false">IF(U$7="","",CHOOSE(MATCH($B$4,Lists!$C$2:$C$5,0),SUMIFS(Sales_Data!$O$2:$O$3520,Sales_Data!$C$2:$C$3520,$A63,Sales_Data!$F$2:$F$3520,U$7,Sales_Data!$AE$2:$AE$3520,1),SUMIFS(Sales_Data!$M$2:$M$3520,Sales_Data!$C$2:$C$3520,$A63,Sales_Data!$F$2:$F$3520,U$7,Sales_Data!$AE$2:$AE$3520,1),SUMIFS(Sales_Data!$N$2:$N$3520,Sales_Data!$C$2:$C$3520,$A63,Sales_Data!$F$2:$F$3520,U$7,Sales_Data!$AE$2:$AE$3520,1),SUMIFS(Sales_Data!$AE$2:$AE$3520,Sales_Data!$C$2:$C$3520,$A63,Sales_Data!$F$2:$F$3520,U$7)))</f>
        <v/>
      </c>
      <c r="V63" s="26" t="str">
        <f aca="false">IF(V$7="","",CHOOSE(MATCH($B$4,Lists!$C$2:$C$5,0),SUMIFS(Sales_Data!$O$2:$O$3520,Sales_Data!$C$2:$C$3520,$A63,Sales_Data!$F$2:$F$3520,V$7,Sales_Data!$AE$2:$AE$3520,1),SUMIFS(Sales_Data!$M$2:$M$3520,Sales_Data!$C$2:$C$3520,$A63,Sales_Data!$F$2:$F$3520,V$7,Sales_Data!$AE$2:$AE$3520,1),SUMIFS(Sales_Data!$N$2:$N$3520,Sales_Data!$C$2:$C$3520,$A63,Sales_Data!$F$2:$F$3520,V$7,Sales_Data!$AE$2:$AE$3520,1),SUMIFS(Sales_Data!$AE$2:$AE$3520,Sales_Data!$C$2:$C$3520,$A63,Sales_Data!$F$2:$F$3520,V$7)))</f>
        <v/>
      </c>
      <c r="W63" s="26" t="str">
        <f aca="false">IF(W$7="","",CHOOSE(MATCH($B$4,Lists!$C$2:$C$5,0),SUMIFS(Sales_Data!$O$2:$O$3520,Sales_Data!$C$2:$C$3520,$A63,Sales_Data!$F$2:$F$3520,W$7,Sales_Data!$AE$2:$AE$3520,1),SUMIFS(Sales_Data!$M$2:$M$3520,Sales_Data!$C$2:$C$3520,$A63,Sales_Data!$F$2:$F$3520,W$7,Sales_Data!$AE$2:$AE$3520,1),SUMIFS(Sales_Data!$N$2:$N$3520,Sales_Data!$C$2:$C$3520,$A63,Sales_Data!$F$2:$F$3520,W$7,Sales_Data!$AE$2:$AE$3520,1),SUMIFS(Sales_Data!$AE$2:$AE$3520,Sales_Data!$C$2:$C$3520,$A63,Sales_Data!$F$2:$F$3520,W$7)))</f>
        <v/>
      </c>
      <c r="X63" s="26" t="str">
        <f aca="false">IF(X$7="","",CHOOSE(MATCH($B$4,Lists!$C$2:$C$5,0),SUMIFS(Sales_Data!$O$2:$O$3520,Sales_Data!$C$2:$C$3520,$A63,Sales_Data!$F$2:$F$3520,X$7,Sales_Data!$AE$2:$AE$3520,1),SUMIFS(Sales_Data!$M$2:$M$3520,Sales_Data!$C$2:$C$3520,$A63,Sales_Data!$F$2:$F$3520,X$7,Sales_Data!$AE$2:$AE$3520,1),SUMIFS(Sales_Data!$N$2:$N$3520,Sales_Data!$C$2:$C$3520,$A63,Sales_Data!$F$2:$F$3520,X$7,Sales_Data!$AE$2:$AE$3520,1),SUMIFS(Sales_Data!$AE$2:$AE$3520,Sales_Data!$C$2:$C$3520,$A63,Sales_Data!$F$2:$F$3520,X$7)))</f>
        <v/>
      </c>
      <c r="Y63" s="26" t="str">
        <f aca="false">IF(Y$7="","",CHOOSE(MATCH($B$4,Lists!$C$2:$C$5,0),SUMIFS(Sales_Data!$O$2:$O$3520,Sales_Data!$C$2:$C$3520,$A63,Sales_Data!$F$2:$F$3520,Y$7,Sales_Data!$AE$2:$AE$3520,1),SUMIFS(Sales_Data!$M$2:$M$3520,Sales_Data!$C$2:$C$3520,$A63,Sales_Data!$F$2:$F$3520,Y$7,Sales_Data!$AE$2:$AE$3520,1),SUMIFS(Sales_Data!$N$2:$N$3520,Sales_Data!$C$2:$C$3520,$A63,Sales_Data!$F$2:$F$3520,Y$7,Sales_Data!$AE$2:$AE$3520,1),SUMIFS(Sales_Data!$AE$2:$AE$3520,Sales_Data!$C$2:$C$3520,$A63,Sales_Data!$F$2:$F$3520,Y$7)))</f>
        <v/>
      </c>
      <c r="Z63" s="26" t="str">
        <f aca="false">IF(Z$7="","",CHOOSE(MATCH($B$4,Lists!$C$2:$C$5,0),SUMIFS(Sales_Data!$O$2:$O$3520,Sales_Data!$C$2:$C$3520,$A63,Sales_Data!$F$2:$F$3520,Z$7,Sales_Data!$AE$2:$AE$3520,1),SUMIFS(Sales_Data!$M$2:$M$3520,Sales_Data!$C$2:$C$3520,$A63,Sales_Data!$F$2:$F$3520,Z$7,Sales_Data!$AE$2:$AE$3520,1),SUMIFS(Sales_Data!$N$2:$N$3520,Sales_Data!$C$2:$C$3520,$A63,Sales_Data!$F$2:$F$3520,Z$7,Sales_Data!$AE$2:$AE$3520,1),SUMIFS(Sales_Data!$AE$2:$AE$3520,Sales_Data!$C$2:$C$3520,$A63,Sales_Data!$F$2:$F$3520,Z$7)))</f>
        <v/>
      </c>
      <c r="AA63" s="27" t="n">
        <f aca="false">SUM(B63:Z63)</f>
        <v>0</v>
      </c>
      <c r="AB63" s="3"/>
      <c r="AC63" s="72" t="n">
        <f aca="false">A63</f>
        <v>46270</v>
      </c>
      <c r="AD63" s="28" t="n">
        <f aca="false">IF(B63="","",B63-B62)</f>
        <v>0</v>
      </c>
      <c r="AE63" s="28" t="n">
        <f aca="false">IF(C63="","",C63-C62)</f>
        <v>0</v>
      </c>
      <c r="AF63" s="28" t="n">
        <f aca="false">IF(D63="","",D63-D62)</f>
        <v>0</v>
      </c>
      <c r="AG63" s="28" t="n">
        <f aca="false">IF(E63="","",E63-E62)</f>
        <v>0</v>
      </c>
      <c r="AH63" s="28" t="n">
        <f aca="false">IF(F63="","",F63-F62)</f>
        <v>0</v>
      </c>
      <c r="AI63" s="28" t="n">
        <f aca="false">IF(G63="","",G63-G62)</f>
        <v>-7</v>
      </c>
      <c r="AJ63" s="28" t="n">
        <f aca="false">IF(H63="","",H63-H62)</f>
        <v>0</v>
      </c>
      <c r="AK63" s="28" t="n">
        <f aca="false">IF(I63="","",I63-I62)</f>
        <v>0</v>
      </c>
      <c r="AL63" s="28" t="n">
        <f aca="false">IF(J63="","",J63-J62)</f>
        <v>0</v>
      </c>
      <c r="AM63" s="28" t="n">
        <f aca="false">IF(K63="","",K63-K62)</f>
        <v>0</v>
      </c>
      <c r="AN63" s="28" t="n">
        <f aca="false">IF(L63="","",L63-L62)</f>
        <v>0</v>
      </c>
      <c r="AO63" s="28" t="n">
        <f aca="false">IF(M63="","",M63-M62)</f>
        <v>0</v>
      </c>
      <c r="AP63" s="28" t="n">
        <f aca="false">IF(N63="","",N63-N62)</f>
        <v>0</v>
      </c>
      <c r="AQ63" s="28" t="n">
        <f aca="false">IF(O63="","",O63-O62)</f>
        <v>0</v>
      </c>
      <c r="AR63" s="28" t="n">
        <f aca="false">IF(P63="","",P63-P62)</f>
        <v>0</v>
      </c>
      <c r="AS63" s="28" t="n">
        <f aca="false">IF(Q63="","",Q63-Q62)</f>
        <v>0</v>
      </c>
      <c r="AT63" s="28" t="n">
        <f aca="false">IF(R63="","",R63-R62)</f>
        <v>0</v>
      </c>
      <c r="AU63" s="28" t="n">
        <f aca="false">IF(S63="","",S63-S62)</f>
        <v>0</v>
      </c>
      <c r="AV63" s="28" t="str">
        <f aca="false">IF(T63="","",T63-T62)</f>
        <v/>
      </c>
      <c r="AW63" s="28" t="str">
        <f aca="false">IF(U63="","",U63-U62)</f>
        <v/>
      </c>
      <c r="AX63" s="28" t="str">
        <f aca="false">IF(V63="","",V63-V62)</f>
        <v/>
      </c>
      <c r="AY63" s="28" t="str">
        <f aca="false">IF(W63="","",W63-W62)</f>
        <v/>
      </c>
      <c r="AZ63" s="28" t="str">
        <f aca="false">IF(X63="","",X63-X62)</f>
        <v/>
      </c>
      <c r="BA63" s="28" t="str">
        <f aca="false">IF(Y63="","",Y63-Y62)</f>
        <v/>
      </c>
      <c r="BB63" s="28" t="str">
        <f aca="false">IF(Z63="","",Z63-Z62)</f>
        <v/>
      </c>
      <c r="BC63" s="28" t="n">
        <f aca="false">IF(AA63="","",AA63-AA62)</f>
        <v>-7</v>
      </c>
    </row>
    <row r="64" customFormat="false" ht="15" hidden="false" customHeight="false" outlineLevel="0" collapsed="false">
      <c r="A64" s="72" t="n">
        <v>46271</v>
      </c>
      <c r="B64" s="26" t="n">
        <f aca="false">IF(B$7="","",CHOOSE(MATCH($B$4,Lists!$C$2:$C$5,0),SUMIFS(Sales_Data!$O$2:$O$3520,Sales_Data!$C$2:$C$3520,$A64,Sales_Data!$F$2:$F$3520,B$7,Sales_Data!$AE$2:$AE$3520,1),SUMIFS(Sales_Data!$M$2:$M$3520,Sales_Data!$C$2:$C$3520,$A64,Sales_Data!$F$2:$F$3520,B$7,Sales_Data!$AE$2:$AE$3520,1),SUMIFS(Sales_Data!$N$2:$N$3520,Sales_Data!$C$2:$C$3520,$A64,Sales_Data!$F$2:$F$3520,B$7,Sales_Data!$AE$2:$AE$3520,1),SUMIFS(Sales_Data!$AE$2:$AE$3520,Sales_Data!$C$2:$C$3520,$A64,Sales_Data!$F$2:$F$3520,B$7)))</f>
        <v>0</v>
      </c>
      <c r="C64" s="26" t="n">
        <f aca="false">IF(C$7="","",CHOOSE(MATCH($B$4,Lists!$C$2:$C$5,0),SUMIFS(Sales_Data!$O$2:$O$3520,Sales_Data!$C$2:$C$3520,$A64,Sales_Data!$F$2:$F$3520,C$7,Sales_Data!$AE$2:$AE$3520,1),SUMIFS(Sales_Data!$M$2:$M$3520,Sales_Data!$C$2:$C$3520,$A64,Sales_Data!$F$2:$F$3520,C$7,Sales_Data!$AE$2:$AE$3520,1),SUMIFS(Sales_Data!$N$2:$N$3520,Sales_Data!$C$2:$C$3520,$A64,Sales_Data!$F$2:$F$3520,C$7,Sales_Data!$AE$2:$AE$3520,1),SUMIFS(Sales_Data!$AE$2:$AE$3520,Sales_Data!$C$2:$C$3520,$A64,Sales_Data!$F$2:$F$3520,C$7)))</f>
        <v>0</v>
      </c>
      <c r="D64" s="26" t="n">
        <f aca="false">IF(D$7="","",CHOOSE(MATCH($B$4,Lists!$C$2:$C$5,0),SUMIFS(Sales_Data!$O$2:$O$3520,Sales_Data!$C$2:$C$3520,$A64,Sales_Data!$F$2:$F$3520,D$7,Sales_Data!$AE$2:$AE$3520,1),SUMIFS(Sales_Data!$M$2:$M$3520,Sales_Data!$C$2:$C$3520,$A64,Sales_Data!$F$2:$F$3520,D$7,Sales_Data!$AE$2:$AE$3520,1),SUMIFS(Sales_Data!$N$2:$N$3520,Sales_Data!$C$2:$C$3520,$A64,Sales_Data!$F$2:$F$3520,D$7,Sales_Data!$AE$2:$AE$3520,1),SUMIFS(Sales_Data!$AE$2:$AE$3520,Sales_Data!$C$2:$C$3520,$A64,Sales_Data!$F$2:$F$3520,D$7)))</f>
        <v>0</v>
      </c>
      <c r="E64" s="26" t="n">
        <f aca="false">IF(E$7="","",CHOOSE(MATCH($B$4,Lists!$C$2:$C$5,0),SUMIFS(Sales_Data!$O$2:$O$3520,Sales_Data!$C$2:$C$3520,$A64,Sales_Data!$F$2:$F$3520,E$7,Sales_Data!$AE$2:$AE$3520,1),SUMIFS(Sales_Data!$M$2:$M$3520,Sales_Data!$C$2:$C$3520,$A64,Sales_Data!$F$2:$F$3520,E$7,Sales_Data!$AE$2:$AE$3520,1),SUMIFS(Sales_Data!$N$2:$N$3520,Sales_Data!$C$2:$C$3520,$A64,Sales_Data!$F$2:$F$3520,E$7,Sales_Data!$AE$2:$AE$3520,1),SUMIFS(Sales_Data!$AE$2:$AE$3520,Sales_Data!$C$2:$C$3520,$A64,Sales_Data!$F$2:$F$3520,E$7)))</f>
        <v>0</v>
      </c>
      <c r="F64" s="26" t="n">
        <f aca="false">IF(F$7="","",CHOOSE(MATCH($B$4,Lists!$C$2:$C$5,0),SUMIFS(Sales_Data!$O$2:$O$3520,Sales_Data!$C$2:$C$3520,$A64,Sales_Data!$F$2:$F$3520,F$7,Sales_Data!$AE$2:$AE$3520,1),SUMIFS(Sales_Data!$M$2:$M$3520,Sales_Data!$C$2:$C$3520,$A64,Sales_Data!$F$2:$F$3520,F$7,Sales_Data!$AE$2:$AE$3520,1),SUMIFS(Sales_Data!$N$2:$N$3520,Sales_Data!$C$2:$C$3520,$A64,Sales_Data!$F$2:$F$3520,F$7,Sales_Data!$AE$2:$AE$3520,1),SUMIFS(Sales_Data!$AE$2:$AE$3520,Sales_Data!$C$2:$C$3520,$A64,Sales_Data!$F$2:$F$3520,F$7)))</f>
        <v>0</v>
      </c>
      <c r="G64" s="26" t="n">
        <f aca="false">IF(G$7="","",CHOOSE(MATCH($B$4,Lists!$C$2:$C$5,0),SUMIFS(Sales_Data!$O$2:$O$3520,Sales_Data!$C$2:$C$3520,$A64,Sales_Data!$F$2:$F$3520,G$7,Sales_Data!$AE$2:$AE$3520,1),SUMIFS(Sales_Data!$M$2:$M$3520,Sales_Data!$C$2:$C$3520,$A64,Sales_Data!$F$2:$F$3520,G$7,Sales_Data!$AE$2:$AE$3520,1),SUMIFS(Sales_Data!$N$2:$N$3520,Sales_Data!$C$2:$C$3520,$A64,Sales_Data!$F$2:$F$3520,G$7,Sales_Data!$AE$2:$AE$3520,1),SUMIFS(Sales_Data!$AE$2:$AE$3520,Sales_Data!$C$2:$C$3520,$A64,Sales_Data!$F$2:$F$3520,G$7)))</f>
        <v>0</v>
      </c>
      <c r="H64" s="26" t="n">
        <f aca="false">IF(H$7="","",CHOOSE(MATCH($B$4,Lists!$C$2:$C$5,0),SUMIFS(Sales_Data!$O$2:$O$3520,Sales_Data!$C$2:$C$3520,$A64,Sales_Data!$F$2:$F$3520,H$7,Sales_Data!$AE$2:$AE$3520,1),SUMIFS(Sales_Data!$M$2:$M$3520,Sales_Data!$C$2:$C$3520,$A64,Sales_Data!$F$2:$F$3520,H$7,Sales_Data!$AE$2:$AE$3520,1),SUMIFS(Sales_Data!$N$2:$N$3520,Sales_Data!$C$2:$C$3520,$A64,Sales_Data!$F$2:$F$3520,H$7,Sales_Data!$AE$2:$AE$3520,1),SUMIFS(Sales_Data!$AE$2:$AE$3520,Sales_Data!$C$2:$C$3520,$A64,Sales_Data!$F$2:$F$3520,H$7)))</f>
        <v>0</v>
      </c>
      <c r="I64" s="26" t="n">
        <f aca="false">IF(I$7="","",CHOOSE(MATCH($B$4,Lists!$C$2:$C$5,0),SUMIFS(Sales_Data!$O$2:$O$3520,Sales_Data!$C$2:$C$3520,$A64,Sales_Data!$F$2:$F$3520,I$7,Sales_Data!$AE$2:$AE$3520,1),SUMIFS(Sales_Data!$M$2:$M$3520,Sales_Data!$C$2:$C$3520,$A64,Sales_Data!$F$2:$F$3520,I$7,Sales_Data!$AE$2:$AE$3520,1),SUMIFS(Sales_Data!$N$2:$N$3520,Sales_Data!$C$2:$C$3520,$A64,Sales_Data!$F$2:$F$3520,I$7,Sales_Data!$AE$2:$AE$3520,1),SUMIFS(Sales_Data!$AE$2:$AE$3520,Sales_Data!$C$2:$C$3520,$A64,Sales_Data!$F$2:$F$3520,I$7)))</f>
        <v>0</v>
      </c>
      <c r="J64" s="26" t="n">
        <f aca="false">IF(J$7="","",CHOOSE(MATCH($B$4,Lists!$C$2:$C$5,0),SUMIFS(Sales_Data!$O$2:$O$3520,Sales_Data!$C$2:$C$3520,$A64,Sales_Data!$F$2:$F$3520,J$7,Sales_Data!$AE$2:$AE$3520,1),SUMIFS(Sales_Data!$M$2:$M$3520,Sales_Data!$C$2:$C$3520,$A64,Sales_Data!$F$2:$F$3520,J$7,Sales_Data!$AE$2:$AE$3520,1),SUMIFS(Sales_Data!$N$2:$N$3520,Sales_Data!$C$2:$C$3520,$A64,Sales_Data!$F$2:$F$3520,J$7,Sales_Data!$AE$2:$AE$3520,1),SUMIFS(Sales_Data!$AE$2:$AE$3520,Sales_Data!$C$2:$C$3520,$A64,Sales_Data!$F$2:$F$3520,J$7)))</f>
        <v>0</v>
      </c>
      <c r="K64" s="26" t="n">
        <f aca="false">IF(K$7="","",CHOOSE(MATCH($B$4,Lists!$C$2:$C$5,0),SUMIFS(Sales_Data!$O$2:$O$3520,Sales_Data!$C$2:$C$3520,$A64,Sales_Data!$F$2:$F$3520,K$7,Sales_Data!$AE$2:$AE$3520,1),SUMIFS(Sales_Data!$M$2:$M$3520,Sales_Data!$C$2:$C$3520,$A64,Sales_Data!$F$2:$F$3520,K$7,Sales_Data!$AE$2:$AE$3520,1),SUMIFS(Sales_Data!$N$2:$N$3520,Sales_Data!$C$2:$C$3520,$A64,Sales_Data!$F$2:$F$3520,K$7,Sales_Data!$AE$2:$AE$3520,1),SUMIFS(Sales_Data!$AE$2:$AE$3520,Sales_Data!$C$2:$C$3520,$A64,Sales_Data!$F$2:$F$3520,K$7)))</f>
        <v>0</v>
      </c>
      <c r="L64" s="26" t="n">
        <f aca="false">IF(L$7="","",CHOOSE(MATCH($B$4,Lists!$C$2:$C$5,0),SUMIFS(Sales_Data!$O$2:$O$3520,Sales_Data!$C$2:$C$3520,$A64,Sales_Data!$F$2:$F$3520,L$7,Sales_Data!$AE$2:$AE$3520,1),SUMIFS(Sales_Data!$M$2:$M$3520,Sales_Data!$C$2:$C$3520,$A64,Sales_Data!$F$2:$F$3520,L$7,Sales_Data!$AE$2:$AE$3520,1),SUMIFS(Sales_Data!$N$2:$N$3520,Sales_Data!$C$2:$C$3520,$A64,Sales_Data!$F$2:$F$3520,L$7,Sales_Data!$AE$2:$AE$3520,1),SUMIFS(Sales_Data!$AE$2:$AE$3520,Sales_Data!$C$2:$C$3520,$A64,Sales_Data!$F$2:$F$3520,L$7)))</f>
        <v>0</v>
      </c>
      <c r="M64" s="26" t="n">
        <f aca="false">IF(M$7="","",CHOOSE(MATCH($B$4,Lists!$C$2:$C$5,0),SUMIFS(Sales_Data!$O$2:$O$3520,Sales_Data!$C$2:$C$3520,$A64,Sales_Data!$F$2:$F$3520,M$7,Sales_Data!$AE$2:$AE$3520,1),SUMIFS(Sales_Data!$M$2:$M$3520,Sales_Data!$C$2:$C$3520,$A64,Sales_Data!$F$2:$F$3520,M$7,Sales_Data!$AE$2:$AE$3520,1),SUMIFS(Sales_Data!$N$2:$N$3520,Sales_Data!$C$2:$C$3520,$A64,Sales_Data!$F$2:$F$3520,M$7,Sales_Data!$AE$2:$AE$3520,1),SUMIFS(Sales_Data!$AE$2:$AE$3520,Sales_Data!$C$2:$C$3520,$A64,Sales_Data!$F$2:$F$3520,M$7)))</f>
        <v>0</v>
      </c>
      <c r="N64" s="26" t="n">
        <f aca="false">IF(N$7="","",CHOOSE(MATCH($B$4,Lists!$C$2:$C$5,0),SUMIFS(Sales_Data!$O$2:$O$3520,Sales_Data!$C$2:$C$3520,$A64,Sales_Data!$F$2:$F$3520,N$7,Sales_Data!$AE$2:$AE$3520,1),SUMIFS(Sales_Data!$M$2:$M$3520,Sales_Data!$C$2:$C$3520,$A64,Sales_Data!$F$2:$F$3520,N$7,Sales_Data!$AE$2:$AE$3520,1),SUMIFS(Sales_Data!$N$2:$N$3520,Sales_Data!$C$2:$C$3520,$A64,Sales_Data!$F$2:$F$3520,N$7,Sales_Data!$AE$2:$AE$3520,1),SUMIFS(Sales_Data!$AE$2:$AE$3520,Sales_Data!$C$2:$C$3520,$A64,Sales_Data!$F$2:$F$3520,N$7)))</f>
        <v>0</v>
      </c>
      <c r="O64" s="26" t="n">
        <f aca="false">IF(O$7="","",CHOOSE(MATCH($B$4,Lists!$C$2:$C$5,0),SUMIFS(Sales_Data!$O$2:$O$3520,Sales_Data!$C$2:$C$3520,$A64,Sales_Data!$F$2:$F$3520,O$7,Sales_Data!$AE$2:$AE$3520,1),SUMIFS(Sales_Data!$M$2:$M$3520,Sales_Data!$C$2:$C$3520,$A64,Sales_Data!$F$2:$F$3520,O$7,Sales_Data!$AE$2:$AE$3520,1),SUMIFS(Sales_Data!$N$2:$N$3520,Sales_Data!$C$2:$C$3520,$A64,Sales_Data!$F$2:$F$3520,O$7,Sales_Data!$AE$2:$AE$3520,1),SUMIFS(Sales_Data!$AE$2:$AE$3520,Sales_Data!$C$2:$C$3520,$A64,Sales_Data!$F$2:$F$3520,O$7)))</f>
        <v>0</v>
      </c>
      <c r="P64" s="26" t="n">
        <f aca="false">IF(P$7="","",CHOOSE(MATCH($B$4,Lists!$C$2:$C$5,0),SUMIFS(Sales_Data!$O$2:$O$3520,Sales_Data!$C$2:$C$3520,$A64,Sales_Data!$F$2:$F$3520,P$7,Sales_Data!$AE$2:$AE$3520,1),SUMIFS(Sales_Data!$M$2:$M$3520,Sales_Data!$C$2:$C$3520,$A64,Sales_Data!$F$2:$F$3520,P$7,Sales_Data!$AE$2:$AE$3520,1),SUMIFS(Sales_Data!$N$2:$N$3520,Sales_Data!$C$2:$C$3520,$A64,Sales_Data!$F$2:$F$3520,P$7,Sales_Data!$AE$2:$AE$3520,1),SUMIFS(Sales_Data!$AE$2:$AE$3520,Sales_Data!$C$2:$C$3520,$A64,Sales_Data!$F$2:$F$3520,P$7)))</f>
        <v>0</v>
      </c>
      <c r="Q64" s="26" t="n">
        <f aca="false">IF(Q$7="","",CHOOSE(MATCH($B$4,Lists!$C$2:$C$5,0),SUMIFS(Sales_Data!$O$2:$O$3520,Sales_Data!$C$2:$C$3520,$A64,Sales_Data!$F$2:$F$3520,Q$7,Sales_Data!$AE$2:$AE$3520,1),SUMIFS(Sales_Data!$M$2:$M$3520,Sales_Data!$C$2:$C$3520,$A64,Sales_Data!$F$2:$F$3520,Q$7,Sales_Data!$AE$2:$AE$3520,1),SUMIFS(Sales_Data!$N$2:$N$3520,Sales_Data!$C$2:$C$3520,$A64,Sales_Data!$F$2:$F$3520,Q$7,Sales_Data!$AE$2:$AE$3520,1),SUMIFS(Sales_Data!$AE$2:$AE$3520,Sales_Data!$C$2:$C$3520,$A64,Sales_Data!$F$2:$F$3520,Q$7)))</f>
        <v>0</v>
      </c>
      <c r="R64" s="26" t="n">
        <f aca="false">IF(R$7="","",CHOOSE(MATCH($B$4,Lists!$C$2:$C$5,0),SUMIFS(Sales_Data!$O$2:$O$3520,Sales_Data!$C$2:$C$3520,$A64,Sales_Data!$F$2:$F$3520,R$7,Sales_Data!$AE$2:$AE$3520,1),SUMIFS(Sales_Data!$M$2:$M$3520,Sales_Data!$C$2:$C$3520,$A64,Sales_Data!$F$2:$F$3520,R$7,Sales_Data!$AE$2:$AE$3520,1),SUMIFS(Sales_Data!$N$2:$N$3520,Sales_Data!$C$2:$C$3520,$A64,Sales_Data!$F$2:$F$3520,R$7,Sales_Data!$AE$2:$AE$3520,1),SUMIFS(Sales_Data!$AE$2:$AE$3520,Sales_Data!$C$2:$C$3520,$A64,Sales_Data!$F$2:$F$3520,R$7)))</f>
        <v>0</v>
      </c>
      <c r="S64" s="26" t="n">
        <f aca="false">IF(S$7="","",CHOOSE(MATCH($B$4,Lists!$C$2:$C$5,0),SUMIFS(Sales_Data!$O$2:$O$3520,Sales_Data!$C$2:$C$3520,$A64,Sales_Data!$F$2:$F$3520,S$7,Sales_Data!$AE$2:$AE$3520,1),SUMIFS(Sales_Data!$M$2:$M$3520,Sales_Data!$C$2:$C$3520,$A64,Sales_Data!$F$2:$F$3520,S$7,Sales_Data!$AE$2:$AE$3520,1),SUMIFS(Sales_Data!$N$2:$N$3520,Sales_Data!$C$2:$C$3520,$A64,Sales_Data!$F$2:$F$3520,S$7,Sales_Data!$AE$2:$AE$3520,1),SUMIFS(Sales_Data!$AE$2:$AE$3520,Sales_Data!$C$2:$C$3520,$A64,Sales_Data!$F$2:$F$3520,S$7)))</f>
        <v>0</v>
      </c>
      <c r="T64" s="26" t="str">
        <f aca="false">IF(T$7="","",CHOOSE(MATCH($B$4,Lists!$C$2:$C$5,0),SUMIFS(Sales_Data!$O$2:$O$3520,Sales_Data!$C$2:$C$3520,$A64,Sales_Data!$F$2:$F$3520,T$7,Sales_Data!$AE$2:$AE$3520,1),SUMIFS(Sales_Data!$M$2:$M$3520,Sales_Data!$C$2:$C$3520,$A64,Sales_Data!$F$2:$F$3520,T$7,Sales_Data!$AE$2:$AE$3520,1),SUMIFS(Sales_Data!$N$2:$N$3520,Sales_Data!$C$2:$C$3520,$A64,Sales_Data!$F$2:$F$3520,T$7,Sales_Data!$AE$2:$AE$3520,1),SUMIFS(Sales_Data!$AE$2:$AE$3520,Sales_Data!$C$2:$C$3520,$A64,Sales_Data!$F$2:$F$3520,T$7)))</f>
        <v/>
      </c>
      <c r="U64" s="26" t="str">
        <f aca="false">IF(U$7="","",CHOOSE(MATCH($B$4,Lists!$C$2:$C$5,0),SUMIFS(Sales_Data!$O$2:$O$3520,Sales_Data!$C$2:$C$3520,$A64,Sales_Data!$F$2:$F$3520,U$7,Sales_Data!$AE$2:$AE$3520,1),SUMIFS(Sales_Data!$M$2:$M$3520,Sales_Data!$C$2:$C$3520,$A64,Sales_Data!$F$2:$F$3520,U$7,Sales_Data!$AE$2:$AE$3520,1),SUMIFS(Sales_Data!$N$2:$N$3520,Sales_Data!$C$2:$C$3520,$A64,Sales_Data!$F$2:$F$3520,U$7,Sales_Data!$AE$2:$AE$3520,1),SUMIFS(Sales_Data!$AE$2:$AE$3520,Sales_Data!$C$2:$C$3520,$A64,Sales_Data!$F$2:$F$3520,U$7)))</f>
        <v/>
      </c>
      <c r="V64" s="26" t="str">
        <f aca="false">IF(V$7="","",CHOOSE(MATCH($B$4,Lists!$C$2:$C$5,0),SUMIFS(Sales_Data!$O$2:$O$3520,Sales_Data!$C$2:$C$3520,$A64,Sales_Data!$F$2:$F$3520,V$7,Sales_Data!$AE$2:$AE$3520,1),SUMIFS(Sales_Data!$M$2:$M$3520,Sales_Data!$C$2:$C$3520,$A64,Sales_Data!$F$2:$F$3520,V$7,Sales_Data!$AE$2:$AE$3520,1),SUMIFS(Sales_Data!$N$2:$N$3520,Sales_Data!$C$2:$C$3520,$A64,Sales_Data!$F$2:$F$3520,V$7,Sales_Data!$AE$2:$AE$3520,1),SUMIFS(Sales_Data!$AE$2:$AE$3520,Sales_Data!$C$2:$C$3520,$A64,Sales_Data!$F$2:$F$3520,V$7)))</f>
        <v/>
      </c>
      <c r="W64" s="26" t="str">
        <f aca="false">IF(W$7="","",CHOOSE(MATCH($B$4,Lists!$C$2:$C$5,0),SUMIFS(Sales_Data!$O$2:$O$3520,Sales_Data!$C$2:$C$3520,$A64,Sales_Data!$F$2:$F$3520,W$7,Sales_Data!$AE$2:$AE$3520,1),SUMIFS(Sales_Data!$M$2:$M$3520,Sales_Data!$C$2:$C$3520,$A64,Sales_Data!$F$2:$F$3520,W$7,Sales_Data!$AE$2:$AE$3520,1),SUMIFS(Sales_Data!$N$2:$N$3520,Sales_Data!$C$2:$C$3520,$A64,Sales_Data!$F$2:$F$3520,W$7,Sales_Data!$AE$2:$AE$3520,1),SUMIFS(Sales_Data!$AE$2:$AE$3520,Sales_Data!$C$2:$C$3520,$A64,Sales_Data!$F$2:$F$3520,W$7)))</f>
        <v/>
      </c>
      <c r="X64" s="26" t="str">
        <f aca="false">IF(X$7="","",CHOOSE(MATCH($B$4,Lists!$C$2:$C$5,0),SUMIFS(Sales_Data!$O$2:$O$3520,Sales_Data!$C$2:$C$3520,$A64,Sales_Data!$F$2:$F$3520,X$7,Sales_Data!$AE$2:$AE$3520,1),SUMIFS(Sales_Data!$M$2:$M$3520,Sales_Data!$C$2:$C$3520,$A64,Sales_Data!$F$2:$F$3520,X$7,Sales_Data!$AE$2:$AE$3520,1),SUMIFS(Sales_Data!$N$2:$N$3520,Sales_Data!$C$2:$C$3520,$A64,Sales_Data!$F$2:$F$3520,X$7,Sales_Data!$AE$2:$AE$3520,1),SUMIFS(Sales_Data!$AE$2:$AE$3520,Sales_Data!$C$2:$C$3520,$A64,Sales_Data!$F$2:$F$3520,X$7)))</f>
        <v/>
      </c>
      <c r="Y64" s="26" t="str">
        <f aca="false">IF(Y$7="","",CHOOSE(MATCH($B$4,Lists!$C$2:$C$5,0),SUMIFS(Sales_Data!$O$2:$O$3520,Sales_Data!$C$2:$C$3520,$A64,Sales_Data!$F$2:$F$3520,Y$7,Sales_Data!$AE$2:$AE$3520,1),SUMIFS(Sales_Data!$M$2:$M$3520,Sales_Data!$C$2:$C$3520,$A64,Sales_Data!$F$2:$F$3520,Y$7,Sales_Data!$AE$2:$AE$3520,1),SUMIFS(Sales_Data!$N$2:$N$3520,Sales_Data!$C$2:$C$3520,$A64,Sales_Data!$F$2:$F$3520,Y$7,Sales_Data!$AE$2:$AE$3520,1),SUMIFS(Sales_Data!$AE$2:$AE$3520,Sales_Data!$C$2:$C$3520,$A64,Sales_Data!$F$2:$F$3520,Y$7)))</f>
        <v/>
      </c>
      <c r="Z64" s="26" t="str">
        <f aca="false">IF(Z$7="","",CHOOSE(MATCH($B$4,Lists!$C$2:$C$5,0),SUMIFS(Sales_Data!$O$2:$O$3520,Sales_Data!$C$2:$C$3520,$A64,Sales_Data!$F$2:$F$3520,Z$7,Sales_Data!$AE$2:$AE$3520,1),SUMIFS(Sales_Data!$M$2:$M$3520,Sales_Data!$C$2:$C$3520,$A64,Sales_Data!$F$2:$F$3520,Z$7,Sales_Data!$AE$2:$AE$3520,1),SUMIFS(Sales_Data!$N$2:$N$3520,Sales_Data!$C$2:$C$3520,$A64,Sales_Data!$F$2:$F$3520,Z$7,Sales_Data!$AE$2:$AE$3520,1),SUMIFS(Sales_Data!$AE$2:$AE$3520,Sales_Data!$C$2:$C$3520,$A64,Sales_Data!$F$2:$F$3520,Z$7)))</f>
        <v/>
      </c>
      <c r="AA64" s="27" t="n">
        <f aca="false">SUM(B64:Z64)</f>
        <v>0</v>
      </c>
      <c r="AB64" s="3"/>
      <c r="AC64" s="72" t="n">
        <f aca="false">A64</f>
        <v>46271</v>
      </c>
      <c r="AD64" s="28" t="n">
        <f aca="false">IF(B64="","",B64-B63)</f>
        <v>0</v>
      </c>
      <c r="AE64" s="28" t="n">
        <f aca="false">IF(C64="","",C64-C63)</f>
        <v>0</v>
      </c>
      <c r="AF64" s="28" t="n">
        <f aca="false">IF(D64="","",D64-D63)</f>
        <v>0</v>
      </c>
      <c r="AG64" s="28" t="n">
        <f aca="false">IF(E64="","",E64-E63)</f>
        <v>0</v>
      </c>
      <c r="AH64" s="28" t="n">
        <f aca="false">IF(F64="","",F64-F63)</f>
        <v>0</v>
      </c>
      <c r="AI64" s="28" t="n">
        <f aca="false">IF(G64="","",G64-G63)</f>
        <v>0</v>
      </c>
      <c r="AJ64" s="28" t="n">
        <f aca="false">IF(H64="","",H64-H63)</f>
        <v>0</v>
      </c>
      <c r="AK64" s="28" t="n">
        <f aca="false">IF(I64="","",I64-I63)</f>
        <v>0</v>
      </c>
      <c r="AL64" s="28" t="n">
        <f aca="false">IF(J64="","",J64-J63)</f>
        <v>0</v>
      </c>
      <c r="AM64" s="28" t="n">
        <f aca="false">IF(K64="","",K64-K63)</f>
        <v>0</v>
      </c>
      <c r="AN64" s="28" t="n">
        <f aca="false">IF(L64="","",L64-L63)</f>
        <v>0</v>
      </c>
      <c r="AO64" s="28" t="n">
        <f aca="false">IF(M64="","",M64-M63)</f>
        <v>0</v>
      </c>
      <c r="AP64" s="28" t="n">
        <f aca="false">IF(N64="","",N64-N63)</f>
        <v>0</v>
      </c>
      <c r="AQ64" s="28" t="n">
        <f aca="false">IF(O64="","",O64-O63)</f>
        <v>0</v>
      </c>
      <c r="AR64" s="28" t="n">
        <f aca="false">IF(P64="","",P64-P63)</f>
        <v>0</v>
      </c>
      <c r="AS64" s="28" t="n">
        <f aca="false">IF(Q64="","",Q64-Q63)</f>
        <v>0</v>
      </c>
      <c r="AT64" s="28" t="n">
        <f aca="false">IF(R64="","",R64-R63)</f>
        <v>0</v>
      </c>
      <c r="AU64" s="28" t="n">
        <f aca="false">IF(S64="","",S64-S63)</f>
        <v>0</v>
      </c>
      <c r="AV64" s="28" t="str">
        <f aca="false">IF(T64="","",T64-T63)</f>
        <v/>
      </c>
      <c r="AW64" s="28" t="str">
        <f aca="false">IF(U64="","",U64-U63)</f>
        <v/>
      </c>
      <c r="AX64" s="28" t="str">
        <f aca="false">IF(V64="","",V64-V63)</f>
        <v/>
      </c>
      <c r="AY64" s="28" t="str">
        <f aca="false">IF(W64="","",W64-W63)</f>
        <v/>
      </c>
      <c r="AZ64" s="28" t="str">
        <f aca="false">IF(X64="","",X64-X63)</f>
        <v/>
      </c>
      <c r="BA64" s="28" t="str">
        <f aca="false">IF(Y64="","",Y64-Y63)</f>
        <v/>
      </c>
      <c r="BB64" s="28" t="str">
        <f aca="false">IF(Z64="","",Z64-Z63)</f>
        <v/>
      </c>
      <c r="BC64" s="28" t="n">
        <f aca="false">IF(AA64="","",AA64-AA63)</f>
        <v>0</v>
      </c>
    </row>
    <row r="65" customFormat="false" ht="15" hidden="false" customHeight="false" outlineLevel="0" collapsed="false">
      <c r="A65" s="72" t="n">
        <v>46272</v>
      </c>
      <c r="B65" s="26" t="n">
        <f aca="false">IF(B$7="","",CHOOSE(MATCH($B$4,Lists!$C$2:$C$5,0),SUMIFS(Sales_Data!$O$2:$O$3520,Sales_Data!$C$2:$C$3520,$A65,Sales_Data!$F$2:$F$3520,B$7,Sales_Data!$AE$2:$AE$3520,1),SUMIFS(Sales_Data!$M$2:$M$3520,Sales_Data!$C$2:$C$3520,$A65,Sales_Data!$F$2:$F$3520,B$7,Sales_Data!$AE$2:$AE$3520,1),SUMIFS(Sales_Data!$N$2:$N$3520,Sales_Data!$C$2:$C$3520,$A65,Sales_Data!$F$2:$F$3520,B$7,Sales_Data!$AE$2:$AE$3520,1),SUMIFS(Sales_Data!$AE$2:$AE$3520,Sales_Data!$C$2:$C$3520,$A65,Sales_Data!$F$2:$F$3520,B$7)))</f>
        <v>0</v>
      </c>
      <c r="C65" s="26" t="n">
        <f aca="false">IF(C$7="","",CHOOSE(MATCH($B$4,Lists!$C$2:$C$5,0),SUMIFS(Sales_Data!$O$2:$O$3520,Sales_Data!$C$2:$C$3520,$A65,Sales_Data!$F$2:$F$3520,C$7,Sales_Data!$AE$2:$AE$3520,1),SUMIFS(Sales_Data!$M$2:$M$3520,Sales_Data!$C$2:$C$3520,$A65,Sales_Data!$F$2:$F$3520,C$7,Sales_Data!$AE$2:$AE$3520,1),SUMIFS(Sales_Data!$N$2:$N$3520,Sales_Data!$C$2:$C$3520,$A65,Sales_Data!$F$2:$F$3520,C$7,Sales_Data!$AE$2:$AE$3520,1),SUMIFS(Sales_Data!$AE$2:$AE$3520,Sales_Data!$C$2:$C$3520,$A65,Sales_Data!$F$2:$F$3520,C$7)))</f>
        <v>0</v>
      </c>
      <c r="D65" s="26" t="n">
        <f aca="false">IF(D$7="","",CHOOSE(MATCH($B$4,Lists!$C$2:$C$5,0),SUMIFS(Sales_Data!$O$2:$O$3520,Sales_Data!$C$2:$C$3520,$A65,Sales_Data!$F$2:$F$3520,D$7,Sales_Data!$AE$2:$AE$3520,1),SUMIFS(Sales_Data!$M$2:$M$3520,Sales_Data!$C$2:$C$3520,$A65,Sales_Data!$F$2:$F$3520,D$7,Sales_Data!$AE$2:$AE$3520,1),SUMIFS(Sales_Data!$N$2:$N$3520,Sales_Data!$C$2:$C$3520,$A65,Sales_Data!$F$2:$F$3520,D$7,Sales_Data!$AE$2:$AE$3520,1),SUMIFS(Sales_Data!$AE$2:$AE$3520,Sales_Data!$C$2:$C$3520,$A65,Sales_Data!$F$2:$F$3520,D$7)))</f>
        <v>0</v>
      </c>
      <c r="E65" s="26" t="n">
        <f aca="false">IF(E$7="","",CHOOSE(MATCH($B$4,Lists!$C$2:$C$5,0),SUMIFS(Sales_Data!$O$2:$O$3520,Sales_Data!$C$2:$C$3520,$A65,Sales_Data!$F$2:$F$3520,E$7,Sales_Data!$AE$2:$AE$3520,1),SUMIFS(Sales_Data!$M$2:$M$3520,Sales_Data!$C$2:$C$3520,$A65,Sales_Data!$F$2:$F$3520,E$7,Sales_Data!$AE$2:$AE$3520,1),SUMIFS(Sales_Data!$N$2:$N$3520,Sales_Data!$C$2:$C$3520,$A65,Sales_Data!$F$2:$F$3520,E$7,Sales_Data!$AE$2:$AE$3520,1),SUMIFS(Sales_Data!$AE$2:$AE$3520,Sales_Data!$C$2:$C$3520,$A65,Sales_Data!$F$2:$F$3520,E$7)))</f>
        <v>0</v>
      </c>
      <c r="F65" s="26" t="n">
        <f aca="false">IF(F$7="","",CHOOSE(MATCH($B$4,Lists!$C$2:$C$5,0),SUMIFS(Sales_Data!$O$2:$O$3520,Sales_Data!$C$2:$C$3520,$A65,Sales_Data!$F$2:$F$3520,F$7,Sales_Data!$AE$2:$AE$3520,1),SUMIFS(Sales_Data!$M$2:$M$3520,Sales_Data!$C$2:$C$3520,$A65,Sales_Data!$F$2:$F$3520,F$7,Sales_Data!$AE$2:$AE$3520,1),SUMIFS(Sales_Data!$N$2:$N$3520,Sales_Data!$C$2:$C$3520,$A65,Sales_Data!$F$2:$F$3520,F$7,Sales_Data!$AE$2:$AE$3520,1),SUMIFS(Sales_Data!$AE$2:$AE$3520,Sales_Data!$C$2:$C$3520,$A65,Sales_Data!$F$2:$F$3520,F$7)))</f>
        <v>0</v>
      </c>
      <c r="G65" s="26" t="n">
        <f aca="false">IF(G$7="","",CHOOSE(MATCH($B$4,Lists!$C$2:$C$5,0),SUMIFS(Sales_Data!$O$2:$O$3520,Sales_Data!$C$2:$C$3520,$A65,Sales_Data!$F$2:$F$3520,G$7,Sales_Data!$AE$2:$AE$3520,1),SUMIFS(Sales_Data!$M$2:$M$3520,Sales_Data!$C$2:$C$3520,$A65,Sales_Data!$F$2:$F$3520,G$7,Sales_Data!$AE$2:$AE$3520,1),SUMIFS(Sales_Data!$N$2:$N$3520,Sales_Data!$C$2:$C$3520,$A65,Sales_Data!$F$2:$F$3520,G$7,Sales_Data!$AE$2:$AE$3520,1),SUMIFS(Sales_Data!$AE$2:$AE$3520,Sales_Data!$C$2:$C$3520,$A65,Sales_Data!$F$2:$F$3520,G$7)))</f>
        <v>0</v>
      </c>
      <c r="H65" s="26" t="n">
        <f aca="false">IF(H$7="","",CHOOSE(MATCH($B$4,Lists!$C$2:$C$5,0),SUMIFS(Sales_Data!$O$2:$O$3520,Sales_Data!$C$2:$C$3520,$A65,Sales_Data!$F$2:$F$3520,H$7,Sales_Data!$AE$2:$AE$3520,1),SUMIFS(Sales_Data!$M$2:$M$3520,Sales_Data!$C$2:$C$3520,$A65,Sales_Data!$F$2:$F$3520,H$7,Sales_Data!$AE$2:$AE$3520,1),SUMIFS(Sales_Data!$N$2:$N$3520,Sales_Data!$C$2:$C$3520,$A65,Sales_Data!$F$2:$F$3520,H$7,Sales_Data!$AE$2:$AE$3520,1),SUMIFS(Sales_Data!$AE$2:$AE$3520,Sales_Data!$C$2:$C$3520,$A65,Sales_Data!$F$2:$F$3520,H$7)))</f>
        <v>0</v>
      </c>
      <c r="I65" s="26" t="n">
        <f aca="false">IF(I$7="","",CHOOSE(MATCH($B$4,Lists!$C$2:$C$5,0),SUMIFS(Sales_Data!$O$2:$O$3520,Sales_Data!$C$2:$C$3520,$A65,Sales_Data!$F$2:$F$3520,I$7,Sales_Data!$AE$2:$AE$3520,1),SUMIFS(Sales_Data!$M$2:$M$3520,Sales_Data!$C$2:$C$3520,$A65,Sales_Data!$F$2:$F$3520,I$7,Sales_Data!$AE$2:$AE$3520,1),SUMIFS(Sales_Data!$N$2:$N$3520,Sales_Data!$C$2:$C$3520,$A65,Sales_Data!$F$2:$F$3520,I$7,Sales_Data!$AE$2:$AE$3520,1),SUMIFS(Sales_Data!$AE$2:$AE$3520,Sales_Data!$C$2:$C$3520,$A65,Sales_Data!$F$2:$F$3520,I$7)))</f>
        <v>0</v>
      </c>
      <c r="J65" s="26" t="n">
        <f aca="false">IF(J$7="","",CHOOSE(MATCH($B$4,Lists!$C$2:$C$5,0),SUMIFS(Sales_Data!$O$2:$O$3520,Sales_Data!$C$2:$C$3520,$A65,Sales_Data!$F$2:$F$3520,J$7,Sales_Data!$AE$2:$AE$3520,1),SUMIFS(Sales_Data!$M$2:$M$3520,Sales_Data!$C$2:$C$3520,$A65,Sales_Data!$F$2:$F$3520,J$7,Sales_Data!$AE$2:$AE$3520,1),SUMIFS(Sales_Data!$N$2:$N$3520,Sales_Data!$C$2:$C$3520,$A65,Sales_Data!$F$2:$F$3520,J$7,Sales_Data!$AE$2:$AE$3520,1),SUMIFS(Sales_Data!$AE$2:$AE$3520,Sales_Data!$C$2:$C$3520,$A65,Sales_Data!$F$2:$F$3520,J$7)))</f>
        <v>0</v>
      </c>
      <c r="K65" s="26" t="n">
        <f aca="false">IF(K$7="","",CHOOSE(MATCH($B$4,Lists!$C$2:$C$5,0),SUMIFS(Sales_Data!$O$2:$O$3520,Sales_Data!$C$2:$C$3520,$A65,Sales_Data!$F$2:$F$3520,K$7,Sales_Data!$AE$2:$AE$3520,1),SUMIFS(Sales_Data!$M$2:$M$3520,Sales_Data!$C$2:$C$3520,$A65,Sales_Data!$F$2:$F$3520,K$7,Sales_Data!$AE$2:$AE$3520,1),SUMIFS(Sales_Data!$N$2:$N$3520,Sales_Data!$C$2:$C$3520,$A65,Sales_Data!$F$2:$F$3520,K$7,Sales_Data!$AE$2:$AE$3520,1),SUMIFS(Sales_Data!$AE$2:$AE$3520,Sales_Data!$C$2:$C$3520,$A65,Sales_Data!$F$2:$F$3520,K$7)))</f>
        <v>0</v>
      </c>
      <c r="L65" s="26" t="n">
        <f aca="false">IF(L$7="","",CHOOSE(MATCH($B$4,Lists!$C$2:$C$5,0),SUMIFS(Sales_Data!$O$2:$O$3520,Sales_Data!$C$2:$C$3520,$A65,Sales_Data!$F$2:$F$3520,L$7,Sales_Data!$AE$2:$AE$3520,1),SUMIFS(Sales_Data!$M$2:$M$3520,Sales_Data!$C$2:$C$3520,$A65,Sales_Data!$F$2:$F$3520,L$7,Sales_Data!$AE$2:$AE$3520,1),SUMIFS(Sales_Data!$N$2:$N$3520,Sales_Data!$C$2:$C$3520,$A65,Sales_Data!$F$2:$F$3520,L$7,Sales_Data!$AE$2:$AE$3520,1),SUMIFS(Sales_Data!$AE$2:$AE$3520,Sales_Data!$C$2:$C$3520,$A65,Sales_Data!$F$2:$F$3520,L$7)))</f>
        <v>0</v>
      </c>
      <c r="M65" s="26" t="n">
        <f aca="false">IF(M$7="","",CHOOSE(MATCH($B$4,Lists!$C$2:$C$5,0),SUMIFS(Sales_Data!$O$2:$O$3520,Sales_Data!$C$2:$C$3520,$A65,Sales_Data!$F$2:$F$3520,M$7,Sales_Data!$AE$2:$AE$3520,1),SUMIFS(Sales_Data!$M$2:$M$3520,Sales_Data!$C$2:$C$3520,$A65,Sales_Data!$F$2:$F$3520,M$7,Sales_Data!$AE$2:$AE$3520,1),SUMIFS(Sales_Data!$N$2:$N$3520,Sales_Data!$C$2:$C$3520,$A65,Sales_Data!$F$2:$F$3520,M$7,Sales_Data!$AE$2:$AE$3520,1),SUMIFS(Sales_Data!$AE$2:$AE$3520,Sales_Data!$C$2:$C$3520,$A65,Sales_Data!$F$2:$F$3520,M$7)))</f>
        <v>0</v>
      </c>
      <c r="N65" s="26" t="n">
        <f aca="false">IF(N$7="","",CHOOSE(MATCH($B$4,Lists!$C$2:$C$5,0),SUMIFS(Sales_Data!$O$2:$O$3520,Sales_Data!$C$2:$C$3520,$A65,Sales_Data!$F$2:$F$3520,N$7,Sales_Data!$AE$2:$AE$3520,1),SUMIFS(Sales_Data!$M$2:$M$3520,Sales_Data!$C$2:$C$3520,$A65,Sales_Data!$F$2:$F$3520,N$7,Sales_Data!$AE$2:$AE$3520,1),SUMIFS(Sales_Data!$N$2:$N$3520,Sales_Data!$C$2:$C$3520,$A65,Sales_Data!$F$2:$F$3520,N$7,Sales_Data!$AE$2:$AE$3520,1),SUMIFS(Sales_Data!$AE$2:$AE$3520,Sales_Data!$C$2:$C$3520,$A65,Sales_Data!$F$2:$F$3520,N$7)))</f>
        <v>0</v>
      </c>
      <c r="O65" s="26" t="n">
        <f aca="false">IF(O$7="","",CHOOSE(MATCH($B$4,Lists!$C$2:$C$5,0),SUMIFS(Sales_Data!$O$2:$O$3520,Sales_Data!$C$2:$C$3520,$A65,Sales_Data!$F$2:$F$3520,O$7,Sales_Data!$AE$2:$AE$3520,1),SUMIFS(Sales_Data!$M$2:$M$3520,Sales_Data!$C$2:$C$3520,$A65,Sales_Data!$F$2:$F$3520,O$7,Sales_Data!$AE$2:$AE$3520,1),SUMIFS(Sales_Data!$N$2:$N$3520,Sales_Data!$C$2:$C$3520,$A65,Sales_Data!$F$2:$F$3520,O$7,Sales_Data!$AE$2:$AE$3520,1),SUMIFS(Sales_Data!$AE$2:$AE$3520,Sales_Data!$C$2:$C$3520,$A65,Sales_Data!$F$2:$F$3520,O$7)))</f>
        <v>0</v>
      </c>
      <c r="P65" s="26" t="n">
        <f aca="false">IF(P$7="","",CHOOSE(MATCH($B$4,Lists!$C$2:$C$5,0),SUMIFS(Sales_Data!$O$2:$O$3520,Sales_Data!$C$2:$C$3520,$A65,Sales_Data!$F$2:$F$3520,P$7,Sales_Data!$AE$2:$AE$3520,1),SUMIFS(Sales_Data!$M$2:$M$3520,Sales_Data!$C$2:$C$3520,$A65,Sales_Data!$F$2:$F$3520,P$7,Sales_Data!$AE$2:$AE$3520,1),SUMIFS(Sales_Data!$N$2:$N$3520,Sales_Data!$C$2:$C$3520,$A65,Sales_Data!$F$2:$F$3520,P$7,Sales_Data!$AE$2:$AE$3520,1),SUMIFS(Sales_Data!$AE$2:$AE$3520,Sales_Data!$C$2:$C$3520,$A65,Sales_Data!$F$2:$F$3520,P$7)))</f>
        <v>0</v>
      </c>
      <c r="Q65" s="26" t="n">
        <f aca="false">IF(Q$7="","",CHOOSE(MATCH($B$4,Lists!$C$2:$C$5,0),SUMIFS(Sales_Data!$O$2:$O$3520,Sales_Data!$C$2:$C$3520,$A65,Sales_Data!$F$2:$F$3520,Q$7,Sales_Data!$AE$2:$AE$3520,1),SUMIFS(Sales_Data!$M$2:$M$3520,Sales_Data!$C$2:$C$3520,$A65,Sales_Data!$F$2:$F$3520,Q$7,Sales_Data!$AE$2:$AE$3520,1),SUMIFS(Sales_Data!$N$2:$N$3520,Sales_Data!$C$2:$C$3520,$A65,Sales_Data!$F$2:$F$3520,Q$7,Sales_Data!$AE$2:$AE$3520,1),SUMIFS(Sales_Data!$AE$2:$AE$3520,Sales_Data!$C$2:$C$3520,$A65,Sales_Data!$F$2:$F$3520,Q$7)))</f>
        <v>0</v>
      </c>
      <c r="R65" s="26" t="n">
        <f aca="false">IF(R$7="","",CHOOSE(MATCH($B$4,Lists!$C$2:$C$5,0),SUMIFS(Sales_Data!$O$2:$O$3520,Sales_Data!$C$2:$C$3520,$A65,Sales_Data!$F$2:$F$3520,R$7,Sales_Data!$AE$2:$AE$3520,1),SUMIFS(Sales_Data!$M$2:$M$3520,Sales_Data!$C$2:$C$3520,$A65,Sales_Data!$F$2:$F$3520,R$7,Sales_Data!$AE$2:$AE$3520,1),SUMIFS(Sales_Data!$N$2:$N$3520,Sales_Data!$C$2:$C$3520,$A65,Sales_Data!$F$2:$F$3520,R$7,Sales_Data!$AE$2:$AE$3520,1),SUMIFS(Sales_Data!$AE$2:$AE$3520,Sales_Data!$C$2:$C$3520,$A65,Sales_Data!$F$2:$F$3520,R$7)))</f>
        <v>0</v>
      </c>
      <c r="S65" s="26" t="n">
        <f aca="false">IF(S$7="","",CHOOSE(MATCH($B$4,Lists!$C$2:$C$5,0),SUMIFS(Sales_Data!$O$2:$O$3520,Sales_Data!$C$2:$C$3520,$A65,Sales_Data!$F$2:$F$3520,S$7,Sales_Data!$AE$2:$AE$3520,1),SUMIFS(Sales_Data!$M$2:$M$3520,Sales_Data!$C$2:$C$3520,$A65,Sales_Data!$F$2:$F$3520,S$7,Sales_Data!$AE$2:$AE$3520,1),SUMIFS(Sales_Data!$N$2:$N$3520,Sales_Data!$C$2:$C$3520,$A65,Sales_Data!$F$2:$F$3520,S$7,Sales_Data!$AE$2:$AE$3520,1),SUMIFS(Sales_Data!$AE$2:$AE$3520,Sales_Data!$C$2:$C$3520,$A65,Sales_Data!$F$2:$F$3520,S$7)))</f>
        <v>0</v>
      </c>
      <c r="T65" s="26" t="str">
        <f aca="false">IF(T$7="","",CHOOSE(MATCH($B$4,Lists!$C$2:$C$5,0),SUMIFS(Sales_Data!$O$2:$O$3520,Sales_Data!$C$2:$C$3520,$A65,Sales_Data!$F$2:$F$3520,T$7,Sales_Data!$AE$2:$AE$3520,1),SUMIFS(Sales_Data!$M$2:$M$3520,Sales_Data!$C$2:$C$3520,$A65,Sales_Data!$F$2:$F$3520,T$7,Sales_Data!$AE$2:$AE$3520,1),SUMIFS(Sales_Data!$N$2:$N$3520,Sales_Data!$C$2:$C$3520,$A65,Sales_Data!$F$2:$F$3520,T$7,Sales_Data!$AE$2:$AE$3520,1),SUMIFS(Sales_Data!$AE$2:$AE$3520,Sales_Data!$C$2:$C$3520,$A65,Sales_Data!$F$2:$F$3520,T$7)))</f>
        <v/>
      </c>
      <c r="U65" s="26" t="str">
        <f aca="false">IF(U$7="","",CHOOSE(MATCH($B$4,Lists!$C$2:$C$5,0),SUMIFS(Sales_Data!$O$2:$O$3520,Sales_Data!$C$2:$C$3520,$A65,Sales_Data!$F$2:$F$3520,U$7,Sales_Data!$AE$2:$AE$3520,1),SUMIFS(Sales_Data!$M$2:$M$3520,Sales_Data!$C$2:$C$3520,$A65,Sales_Data!$F$2:$F$3520,U$7,Sales_Data!$AE$2:$AE$3520,1),SUMIFS(Sales_Data!$N$2:$N$3520,Sales_Data!$C$2:$C$3520,$A65,Sales_Data!$F$2:$F$3520,U$7,Sales_Data!$AE$2:$AE$3520,1),SUMIFS(Sales_Data!$AE$2:$AE$3520,Sales_Data!$C$2:$C$3520,$A65,Sales_Data!$F$2:$F$3520,U$7)))</f>
        <v/>
      </c>
      <c r="V65" s="26" t="str">
        <f aca="false">IF(V$7="","",CHOOSE(MATCH($B$4,Lists!$C$2:$C$5,0),SUMIFS(Sales_Data!$O$2:$O$3520,Sales_Data!$C$2:$C$3520,$A65,Sales_Data!$F$2:$F$3520,V$7,Sales_Data!$AE$2:$AE$3520,1),SUMIFS(Sales_Data!$M$2:$M$3520,Sales_Data!$C$2:$C$3520,$A65,Sales_Data!$F$2:$F$3520,V$7,Sales_Data!$AE$2:$AE$3520,1),SUMIFS(Sales_Data!$N$2:$N$3520,Sales_Data!$C$2:$C$3520,$A65,Sales_Data!$F$2:$F$3520,V$7,Sales_Data!$AE$2:$AE$3520,1),SUMIFS(Sales_Data!$AE$2:$AE$3520,Sales_Data!$C$2:$C$3520,$A65,Sales_Data!$F$2:$F$3520,V$7)))</f>
        <v/>
      </c>
      <c r="W65" s="26" t="str">
        <f aca="false">IF(W$7="","",CHOOSE(MATCH($B$4,Lists!$C$2:$C$5,0),SUMIFS(Sales_Data!$O$2:$O$3520,Sales_Data!$C$2:$C$3520,$A65,Sales_Data!$F$2:$F$3520,W$7,Sales_Data!$AE$2:$AE$3520,1),SUMIFS(Sales_Data!$M$2:$M$3520,Sales_Data!$C$2:$C$3520,$A65,Sales_Data!$F$2:$F$3520,W$7,Sales_Data!$AE$2:$AE$3520,1),SUMIFS(Sales_Data!$N$2:$N$3520,Sales_Data!$C$2:$C$3520,$A65,Sales_Data!$F$2:$F$3520,W$7,Sales_Data!$AE$2:$AE$3520,1),SUMIFS(Sales_Data!$AE$2:$AE$3520,Sales_Data!$C$2:$C$3520,$A65,Sales_Data!$F$2:$F$3520,W$7)))</f>
        <v/>
      </c>
      <c r="X65" s="26" t="str">
        <f aca="false">IF(X$7="","",CHOOSE(MATCH($B$4,Lists!$C$2:$C$5,0),SUMIFS(Sales_Data!$O$2:$O$3520,Sales_Data!$C$2:$C$3520,$A65,Sales_Data!$F$2:$F$3520,X$7,Sales_Data!$AE$2:$AE$3520,1),SUMIFS(Sales_Data!$M$2:$M$3520,Sales_Data!$C$2:$C$3520,$A65,Sales_Data!$F$2:$F$3520,X$7,Sales_Data!$AE$2:$AE$3520,1),SUMIFS(Sales_Data!$N$2:$N$3520,Sales_Data!$C$2:$C$3520,$A65,Sales_Data!$F$2:$F$3520,X$7,Sales_Data!$AE$2:$AE$3520,1),SUMIFS(Sales_Data!$AE$2:$AE$3520,Sales_Data!$C$2:$C$3520,$A65,Sales_Data!$F$2:$F$3520,X$7)))</f>
        <v/>
      </c>
      <c r="Y65" s="26" t="str">
        <f aca="false">IF(Y$7="","",CHOOSE(MATCH($B$4,Lists!$C$2:$C$5,0),SUMIFS(Sales_Data!$O$2:$O$3520,Sales_Data!$C$2:$C$3520,$A65,Sales_Data!$F$2:$F$3520,Y$7,Sales_Data!$AE$2:$AE$3520,1),SUMIFS(Sales_Data!$M$2:$M$3520,Sales_Data!$C$2:$C$3520,$A65,Sales_Data!$F$2:$F$3520,Y$7,Sales_Data!$AE$2:$AE$3520,1),SUMIFS(Sales_Data!$N$2:$N$3520,Sales_Data!$C$2:$C$3520,$A65,Sales_Data!$F$2:$F$3520,Y$7,Sales_Data!$AE$2:$AE$3520,1),SUMIFS(Sales_Data!$AE$2:$AE$3520,Sales_Data!$C$2:$C$3520,$A65,Sales_Data!$F$2:$F$3520,Y$7)))</f>
        <v/>
      </c>
      <c r="Z65" s="26" t="str">
        <f aca="false">IF(Z$7="","",CHOOSE(MATCH($B$4,Lists!$C$2:$C$5,0),SUMIFS(Sales_Data!$O$2:$O$3520,Sales_Data!$C$2:$C$3520,$A65,Sales_Data!$F$2:$F$3520,Z$7,Sales_Data!$AE$2:$AE$3520,1),SUMIFS(Sales_Data!$M$2:$M$3520,Sales_Data!$C$2:$C$3520,$A65,Sales_Data!$F$2:$F$3520,Z$7,Sales_Data!$AE$2:$AE$3520,1),SUMIFS(Sales_Data!$N$2:$N$3520,Sales_Data!$C$2:$C$3520,$A65,Sales_Data!$F$2:$F$3520,Z$7,Sales_Data!$AE$2:$AE$3520,1),SUMIFS(Sales_Data!$AE$2:$AE$3520,Sales_Data!$C$2:$C$3520,$A65,Sales_Data!$F$2:$F$3520,Z$7)))</f>
        <v/>
      </c>
      <c r="AA65" s="27" t="n">
        <f aca="false">SUM(B65:Z65)</f>
        <v>0</v>
      </c>
      <c r="AB65" s="3"/>
      <c r="AC65" s="72" t="n">
        <f aca="false">A65</f>
        <v>46272</v>
      </c>
      <c r="AD65" s="28" t="n">
        <f aca="false">IF(B65="","",B65-B64)</f>
        <v>0</v>
      </c>
      <c r="AE65" s="28" t="n">
        <f aca="false">IF(C65="","",C65-C64)</f>
        <v>0</v>
      </c>
      <c r="AF65" s="28" t="n">
        <f aca="false">IF(D65="","",D65-D64)</f>
        <v>0</v>
      </c>
      <c r="AG65" s="28" t="n">
        <f aca="false">IF(E65="","",E65-E64)</f>
        <v>0</v>
      </c>
      <c r="AH65" s="28" t="n">
        <f aca="false">IF(F65="","",F65-F64)</f>
        <v>0</v>
      </c>
      <c r="AI65" s="28" t="n">
        <f aca="false">IF(G65="","",G65-G64)</f>
        <v>0</v>
      </c>
      <c r="AJ65" s="28" t="n">
        <f aca="false">IF(H65="","",H65-H64)</f>
        <v>0</v>
      </c>
      <c r="AK65" s="28" t="n">
        <f aca="false">IF(I65="","",I65-I64)</f>
        <v>0</v>
      </c>
      <c r="AL65" s="28" t="n">
        <f aca="false">IF(J65="","",J65-J64)</f>
        <v>0</v>
      </c>
      <c r="AM65" s="28" t="n">
        <f aca="false">IF(K65="","",K65-K64)</f>
        <v>0</v>
      </c>
      <c r="AN65" s="28" t="n">
        <f aca="false">IF(L65="","",L65-L64)</f>
        <v>0</v>
      </c>
      <c r="AO65" s="28" t="n">
        <f aca="false">IF(M65="","",M65-M64)</f>
        <v>0</v>
      </c>
      <c r="AP65" s="28" t="n">
        <f aca="false">IF(N65="","",N65-N64)</f>
        <v>0</v>
      </c>
      <c r="AQ65" s="28" t="n">
        <f aca="false">IF(O65="","",O65-O64)</f>
        <v>0</v>
      </c>
      <c r="AR65" s="28" t="n">
        <f aca="false">IF(P65="","",P65-P64)</f>
        <v>0</v>
      </c>
      <c r="AS65" s="28" t="n">
        <f aca="false">IF(Q65="","",Q65-Q64)</f>
        <v>0</v>
      </c>
      <c r="AT65" s="28" t="n">
        <f aca="false">IF(R65="","",R65-R64)</f>
        <v>0</v>
      </c>
      <c r="AU65" s="28" t="n">
        <f aca="false">IF(S65="","",S65-S64)</f>
        <v>0</v>
      </c>
      <c r="AV65" s="28" t="str">
        <f aca="false">IF(T65="","",T65-T64)</f>
        <v/>
      </c>
      <c r="AW65" s="28" t="str">
        <f aca="false">IF(U65="","",U65-U64)</f>
        <v/>
      </c>
      <c r="AX65" s="28" t="str">
        <f aca="false">IF(V65="","",V65-V64)</f>
        <v/>
      </c>
      <c r="AY65" s="28" t="str">
        <f aca="false">IF(W65="","",W65-W64)</f>
        <v/>
      </c>
      <c r="AZ65" s="28" t="str">
        <f aca="false">IF(X65="","",X65-X64)</f>
        <v/>
      </c>
      <c r="BA65" s="28" t="str">
        <f aca="false">IF(Y65="","",Y65-Y64)</f>
        <v/>
      </c>
      <c r="BB65" s="28" t="str">
        <f aca="false">IF(Z65="","",Z65-Z64)</f>
        <v/>
      </c>
      <c r="BC65" s="28" t="n">
        <f aca="false">IF(AA65="","",AA65-AA64)</f>
        <v>0</v>
      </c>
    </row>
    <row r="66" customFormat="false" ht="15" hidden="false" customHeight="false" outlineLevel="0" collapsed="false">
      <c r="A66" s="72" t="n">
        <v>46273</v>
      </c>
      <c r="B66" s="26" t="n">
        <f aca="false">IF(B$7="","",CHOOSE(MATCH($B$4,Lists!$C$2:$C$5,0),SUMIFS(Sales_Data!$O$2:$O$3520,Sales_Data!$C$2:$C$3520,$A66,Sales_Data!$F$2:$F$3520,B$7,Sales_Data!$AE$2:$AE$3520,1),SUMIFS(Sales_Data!$M$2:$M$3520,Sales_Data!$C$2:$C$3520,$A66,Sales_Data!$F$2:$F$3520,B$7,Sales_Data!$AE$2:$AE$3520,1),SUMIFS(Sales_Data!$N$2:$N$3520,Sales_Data!$C$2:$C$3520,$A66,Sales_Data!$F$2:$F$3520,B$7,Sales_Data!$AE$2:$AE$3520,1),SUMIFS(Sales_Data!$AE$2:$AE$3520,Sales_Data!$C$2:$C$3520,$A66,Sales_Data!$F$2:$F$3520,B$7)))</f>
        <v>0</v>
      </c>
      <c r="C66" s="26" t="n">
        <f aca="false">IF(C$7="","",CHOOSE(MATCH($B$4,Lists!$C$2:$C$5,0),SUMIFS(Sales_Data!$O$2:$O$3520,Sales_Data!$C$2:$C$3520,$A66,Sales_Data!$F$2:$F$3520,C$7,Sales_Data!$AE$2:$AE$3520,1),SUMIFS(Sales_Data!$M$2:$M$3520,Sales_Data!$C$2:$C$3520,$A66,Sales_Data!$F$2:$F$3520,C$7,Sales_Data!$AE$2:$AE$3520,1),SUMIFS(Sales_Data!$N$2:$N$3520,Sales_Data!$C$2:$C$3520,$A66,Sales_Data!$F$2:$F$3520,C$7,Sales_Data!$AE$2:$AE$3520,1),SUMIFS(Sales_Data!$AE$2:$AE$3520,Sales_Data!$C$2:$C$3520,$A66,Sales_Data!$F$2:$F$3520,C$7)))</f>
        <v>0</v>
      </c>
      <c r="D66" s="26" t="n">
        <f aca="false">IF(D$7="","",CHOOSE(MATCH($B$4,Lists!$C$2:$C$5,0),SUMIFS(Sales_Data!$O$2:$O$3520,Sales_Data!$C$2:$C$3520,$A66,Sales_Data!$F$2:$F$3520,D$7,Sales_Data!$AE$2:$AE$3520,1),SUMIFS(Sales_Data!$M$2:$M$3520,Sales_Data!$C$2:$C$3520,$A66,Sales_Data!$F$2:$F$3520,D$7,Sales_Data!$AE$2:$AE$3520,1),SUMIFS(Sales_Data!$N$2:$N$3520,Sales_Data!$C$2:$C$3520,$A66,Sales_Data!$F$2:$F$3520,D$7,Sales_Data!$AE$2:$AE$3520,1),SUMIFS(Sales_Data!$AE$2:$AE$3520,Sales_Data!$C$2:$C$3520,$A66,Sales_Data!$F$2:$F$3520,D$7)))</f>
        <v>0</v>
      </c>
      <c r="E66" s="26" t="n">
        <f aca="false">IF(E$7="","",CHOOSE(MATCH($B$4,Lists!$C$2:$C$5,0),SUMIFS(Sales_Data!$O$2:$O$3520,Sales_Data!$C$2:$C$3520,$A66,Sales_Data!$F$2:$F$3520,E$7,Sales_Data!$AE$2:$AE$3520,1),SUMIFS(Sales_Data!$M$2:$M$3520,Sales_Data!$C$2:$C$3520,$A66,Sales_Data!$F$2:$F$3520,E$7,Sales_Data!$AE$2:$AE$3520,1),SUMIFS(Sales_Data!$N$2:$N$3520,Sales_Data!$C$2:$C$3520,$A66,Sales_Data!$F$2:$F$3520,E$7,Sales_Data!$AE$2:$AE$3520,1),SUMIFS(Sales_Data!$AE$2:$AE$3520,Sales_Data!$C$2:$C$3520,$A66,Sales_Data!$F$2:$F$3520,E$7)))</f>
        <v>0</v>
      </c>
      <c r="F66" s="26" t="n">
        <f aca="false">IF(F$7="","",CHOOSE(MATCH($B$4,Lists!$C$2:$C$5,0),SUMIFS(Sales_Data!$O$2:$O$3520,Sales_Data!$C$2:$C$3520,$A66,Sales_Data!$F$2:$F$3520,F$7,Sales_Data!$AE$2:$AE$3520,1),SUMIFS(Sales_Data!$M$2:$M$3520,Sales_Data!$C$2:$C$3520,$A66,Sales_Data!$F$2:$F$3520,F$7,Sales_Data!$AE$2:$AE$3520,1),SUMIFS(Sales_Data!$N$2:$N$3520,Sales_Data!$C$2:$C$3520,$A66,Sales_Data!$F$2:$F$3520,F$7,Sales_Data!$AE$2:$AE$3520,1),SUMIFS(Sales_Data!$AE$2:$AE$3520,Sales_Data!$C$2:$C$3520,$A66,Sales_Data!$F$2:$F$3520,F$7)))</f>
        <v>0</v>
      </c>
      <c r="G66" s="26" t="n">
        <f aca="false">IF(G$7="","",CHOOSE(MATCH($B$4,Lists!$C$2:$C$5,0),SUMIFS(Sales_Data!$O$2:$O$3520,Sales_Data!$C$2:$C$3520,$A66,Sales_Data!$F$2:$F$3520,G$7,Sales_Data!$AE$2:$AE$3520,1),SUMIFS(Sales_Data!$M$2:$M$3520,Sales_Data!$C$2:$C$3520,$A66,Sales_Data!$F$2:$F$3520,G$7,Sales_Data!$AE$2:$AE$3520,1),SUMIFS(Sales_Data!$N$2:$N$3520,Sales_Data!$C$2:$C$3520,$A66,Sales_Data!$F$2:$F$3520,G$7,Sales_Data!$AE$2:$AE$3520,1),SUMIFS(Sales_Data!$AE$2:$AE$3520,Sales_Data!$C$2:$C$3520,$A66,Sales_Data!$F$2:$F$3520,G$7)))</f>
        <v>0</v>
      </c>
      <c r="H66" s="26" t="n">
        <f aca="false">IF(H$7="","",CHOOSE(MATCH($B$4,Lists!$C$2:$C$5,0),SUMIFS(Sales_Data!$O$2:$O$3520,Sales_Data!$C$2:$C$3520,$A66,Sales_Data!$F$2:$F$3520,H$7,Sales_Data!$AE$2:$AE$3520,1),SUMIFS(Sales_Data!$M$2:$M$3520,Sales_Data!$C$2:$C$3520,$A66,Sales_Data!$F$2:$F$3520,H$7,Sales_Data!$AE$2:$AE$3520,1),SUMIFS(Sales_Data!$N$2:$N$3520,Sales_Data!$C$2:$C$3520,$A66,Sales_Data!$F$2:$F$3520,H$7,Sales_Data!$AE$2:$AE$3520,1),SUMIFS(Sales_Data!$AE$2:$AE$3520,Sales_Data!$C$2:$C$3520,$A66,Sales_Data!$F$2:$F$3520,H$7)))</f>
        <v>0</v>
      </c>
      <c r="I66" s="26" t="n">
        <f aca="false">IF(I$7="","",CHOOSE(MATCH($B$4,Lists!$C$2:$C$5,0),SUMIFS(Sales_Data!$O$2:$O$3520,Sales_Data!$C$2:$C$3520,$A66,Sales_Data!$F$2:$F$3520,I$7,Sales_Data!$AE$2:$AE$3520,1),SUMIFS(Sales_Data!$M$2:$M$3520,Sales_Data!$C$2:$C$3520,$A66,Sales_Data!$F$2:$F$3520,I$7,Sales_Data!$AE$2:$AE$3520,1),SUMIFS(Sales_Data!$N$2:$N$3520,Sales_Data!$C$2:$C$3520,$A66,Sales_Data!$F$2:$F$3520,I$7,Sales_Data!$AE$2:$AE$3520,1),SUMIFS(Sales_Data!$AE$2:$AE$3520,Sales_Data!$C$2:$C$3520,$A66,Sales_Data!$F$2:$F$3520,I$7)))</f>
        <v>0</v>
      </c>
      <c r="J66" s="26" t="n">
        <f aca="false">IF(J$7="","",CHOOSE(MATCH($B$4,Lists!$C$2:$C$5,0),SUMIFS(Sales_Data!$O$2:$O$3520,Sales_Data!$C$2:$C$3520,$A66,Sales_Data!$F$2:$F$3520,J$7,Sales_Data!$AE$2:$AE$3520,1),SUMIFS(Sales_Data!$M$2:$M$3520,Sales_Data!$C$2:$C$3520,$A66,Sales_Data!$F$2:$F$3520,J$7,Sales_Data!$AE$2:$AE$3520,1),SUMIFS(Sales_Data!$N$2:$N$3520,Sales_Data!$C$2:$C$3520,$A66,Sales_Data!$F$2:$F$3520,J$7,Sales_Data!$AE$2:$AE$3520,1),SUMIFS(Sales_Data!$AE$2:$AE$3520,Sales_Data!$C$2:$C$3520,$A66,Sales_Data!$F$2:$F$3520,J$7)))</f>
        <v>0</v>
      </c>
      <c r="K66" s="26" t="n">
        <f aca="false">IF(K$7="","",CHOOSE(MATCH($B$4,Lists!$C$2:$C$5,0),SUMIFS(Sales_Data!$O$2:$O$3520,Sales_Data!$C$2:$C$3520,$A66,Sales_Data!$F$2:$F$3520,K$7,Sales_Data!$AE$2:$AE$3520,1),SUMIFS(Sales_Data!$M$2:$M$3520,Sales_Data!$C$2:$C$3520,$A66,Sales_Data!$F$2:$F$3520,K$7,Sales_Data!$AE$2:$AE$3520,1),SUMIFS(Sales_Data!$N$2:$N$3520,Sales_Data!$C$2:$C$3520,$A66,Sales_Data!$F$2:$F$3520,K$7,Sales_Data!$AE$2:$AE$3520,1),SUMIFS(Sales_Data!$AE$2:$AE$3520,Sales_Data!$C$2:$C$3520,$A66,Sales_Data!$F$2:$F$3520,K$7)))</f>
        <v>0</v>
      </c>
      <c r="L66" s="26" t="n">
        <f aca="false">IF(L$7="","",CHOOSE(MATCH($B$4,Lists!$C$2:$C$5,0),SUMIFS(Sales_Data!$O$2:$O$3520,Sales_Data!$C$2:$C$3520,$A66,Sales_Data!$F$2:$F$3520,L$7,Sales_Data!$AE$2:$AE$3520,1),SUMIFS(Sales_Data!$M$2:$M$3520,Sales_Data!$C$2:$C$3520,$A66,Sales_Data!$F$2:$F$3520,L$7,Sales_Data!$AE$2:$AE$3520,1),SUMIFS(Sales_Data!$N$2:$N$3520,Sales_Data!$C$2:$C$3520,$A66,Sales_Data!$F$2:$F$3520,L$7,Sales_Data!$AE$2:$AE$3520,1),SUMIFS(Sales_Data!$AE$2:$AE$3520,Sales_Data!$C$2:$C$3520,$A66,Sales_Data!$F$2:$F$3520,L$7)))</f>
        <v>0</v>
      </c>
      <c r="M66" s="26" t="n">
        <f aca="false">IF(M$7="","",CHOOSE(MATCH($B$4,Lists!$C$2:$C$5,0),SUMIFS(Sales_Data!$O$2:$O$3520,Sales_Data!$C$2:$C$3520,$A66,Sales_Data!$F$2:$F$3520,M$7,Sales_Data!$AE$2:$AE$3520,1),SUMIFS(Sales_Data!$M$2:$M$3520,Sales_Data!$C$2:$C$3520,$A66,Sales_Data!$F$2:$F$3520,M$7,Sales_Data!$AE$2:$AE$3520,1),SUMIFS(Sales_Data!$N$2:$N$3520,Sales_Data!$C$2:$C$3520,$A66,Sales_Data!$F$2:$F$3520,M$7,Sales_Data!$AE$2:$AE$3520,1),SUMIFS(Sales_Data!$AE$2:$AE$3520,Sales_Data!$C$2:$C$3520,$A66,Sales_Data!$F$2:$F$3520,M$7)))</f>
        <v>0</v>
      </c>
      <c r="N66" s="26" t="n">
        <f aca="false">IF(N$7="","",CHOOSE(MATCH($B$4,Lists!$C$2:$C$5,0),SUMIFS(Sales_Data!$O$2:$O$3520,Sales_Data!$C$2:$C$3520,$A66,Sales_Data!$F$2:$F$3520,N$7,Sales_Data!$AE$2:$AE$3520,1),SUMIFS(Sales_Data!$M$2:$M$3520,Sales_Data!$C$2:$C$3520,$A66,Sales_Data!$F$2:$F$3520,N$7,Sales_Data!$AE$2:$AE$3520,1),SUMIFS(Sales_Data!$N$2:$N$3520,Sales_Data!$C$2:$C$3520,$A66,Sales_Data!$F$2:$F$3520,N$7,Sales_Data!$AE$2:$AE$3520,1),SUMIFS(Sales_Data!$AE$2:$AE$3520,Sales_Data!$C$2:$C$3520,$A66,Sales_Data!$F$2:$F$3520,N$7)))</f>
        <v>0</v>
      </c>
      <c r="O66" s="26" t="n">
        <f aca="false">IF(O$7="","",CHOOSE(MATCH($B$4,Lists!$C$2:$C$5,0),SUMIFS(Sales_Data!$O$2:$O$3520,Sales_Data!$C$2:$C$3520,$A66,Sales_Data!$F$2:$F$3520,O$7,Sales_Data!$AE$2:$AE$3520,1),SUMIFS(Sales_Data!$M$2:$M$3520,Sales_Data!$C$2:$C$3520,$A66,Sales_Data!$F$2:$F$3520,O$7,Sales_Data!$AE$2:$AE$3520,1),SUMIFS(Sales_Data!$N$2:$N$3520,Sales_Data!$C$2:$C$3520,$A66,Sales_Data!$F$2:$F$3520,O$7,Sales_Data!$AE$2:$AE$3520,1),SUMIFS(Sales_Data!$AE$2:$AE$3520,Sales_Data!$C$2:$C$3520,$A66,Sales_Data!$F$2:$F$3520,O$7)))</f>
        <v>0</v>
      </c>
      <c r="P66" s="26" t="n">
        <f aca="false">IF(P$7="","",CHOOSE(MATCH($B$4,Lists!$C$2:$C$5,0),SUMIFS(Sales_Data!$O$2:$O$3520,Sales_Data!$C$2:$C$3520,$A66,Sales_Data!$F$2:$F$3520,P$7,Sales_Data!$AE$2:$AE$3520,1),SUMIFS(Sales_Data!$M$2:$M$3520,Sales_Data!$C$2:$C$3520,$A66,Sales_Data!$F$2:$F$3520,P$7,Sales_Data!$AE$2:$AE$3520,1),SUMIFS(Sales_Data!$N$2:$N$3520,Sales_Data!$C$2:$C$3520,$A66,Sales_Data!$F$2:$F$3520,P$7,Sales_Data!$AE$2:$AE$3520,1),SUMIFS(Sales_Data!$AE$2:$AE$3520,Sales_Data!$C$2:$C$3520,$A66,Sales_Data!$F$2:$F$3520,P$7)))</f>
        <v>0</v>
      </c>
      <c r="Q66" s="26" t="n">
        <f aca="false">IF(Q$7="","",CHOOSE(MATCH($B$4,Lists!$C$2:$C$5,0),SUMIFS(Sales_Data!$O$2:$O$3520,Sales_Data!$C$2:$C$3520,$A66,Sales_Data!$F$2:$F$3520,Q$7,Sales_Data!$AE$2:$AE$3520,1),SUMIFS(Sales_Data!$M$2:$M$3520,Sales_Data!$C$2:$C$3520,$A66,Sales_Data!$F$2:$F$3520,Q$7,Sales_Data!$AE$2:$AE$3520,1),SUMIFS(Sales_Data!$N$2:$N$3520,Sales_Data!$C$2:$C$3520,$A66,Sales_Data!$F$2:$F$3520,Q$7,Sales_Data!$AE$2:$AE$3520,1),SUMIFS(Sales_Data!$AE$2:$AE$3520,Sales_Data!$C$2:$C$3520,$A66,Sales_Data!$F$2:$F$3520,Q$7)))</f>
        <v>0</v>
      </c>
      <c r="R66" s="26" t="n">
        <f aca="false">IF(R$7="","",CHOOSE(MATCH($B$4,Lists!$C$2:$C$5,0),SUMIFS(Sales_Data!$O$2:$O$3520,Sales_Data!$C$2:$C$3520,$A66,Sales_Data!$F$2:$F$3520,R$7,Sales_Data!$AE$2:$AE$3520,1),SUMIFS(Sales_Data!$M$2:$M$3520,Sales_Data!$C$2:$C$3520,$A66,Sales_Data!$F$2:$F$3520,R$7,Sales_Data!$AE$2:$AE$3520,1),SUMIFS(Sales_Data!$N$2:$N$3520,Sales_Data!$C$2:$C$3520,$A66,Sales_Data!$F$2:$F$3520,R$7,Sales_Data!$AE$2:$AE$3520,1),SUMIFS(Sales_Data!$AE$2:$AE$3520,Sales_Data!$C$2:$C$3520,$A66,Sales_Data!$F$2:$F$3520,R$7)))</f>
        <v>0</v>
      </c>
      <c r="S66" s="26" t="n">
        <f aca="false">IF(S$7="","",CHOOSE(MATCH($B$4,Lists!$C$2:$C$5,0),SUMIFS(Sales_Data!$O$2:$O$3520,Sales_Data!$C$2:$C$3520,$A66,Sales_Data!$F$2:$F$3520,S$7,Sales_Data!$AE$2:$AE$3520,1),SUMIFS(Sales_Data!$M$2:$M$3520,Sales_Data!$C$2:$C$3520,$A66,Sales_Data!$F$2:$F$3520,S$7,Sales_Data!$AE$2:$AE$3520,1),SUMIFS(Sales_Data!$N$2:$N$3520,Sales_Data!$C$2:$C$3520,$A66,Sales_Data!$F$2:$F$3520,S$7,Sales_Data!$AE$2:$AE$3520,1),SUMIFS(Sales_Data!$AE$2:$AE$3520,Sales_Data!$C$2:$C$3520,$A66,Sales_Data!$F$2:$F$3520,S$7)))</f>
        <v>0</v>
      </c>
      <c r="T66" s="26" t="str">
        <f aca="false">IF(T$7="","",CHOOSE(MATCH($B$4,Lists!$C$2:$C$5,0),SUMIFS(Sales_Data!$O$2:$O$3520,Sales_Data!$C$2:$C$3520,$A66,Sales_Data!$F$2:$F$3520,T$7,Sales_Data!$AE$2:$AE$3520,1),SUMIFS(Sales_Data!$M$2:$M$3520,Sales_Data!$C$2:$C$3520,$A66,Sales_Data!$F$2:$F$3520,T$7,Sales_Data!$AE$2:$AE$3520,1),SUMIFS(Sales_Data!$N$2:$N$3520,Sales_Data!$C$2:$C$3520,$A66,Sales_Data!$F$2:$F$3520,T$7,Sales_Data!$AE$2:$AE$3520,1),SUMIFS(Sales_Data!$AE$2:$AE$3520,Sales_Data!$C$2:$C$3520,$A66,Sales_Data!$F$2:$F$3520,T$7)))</f>
        <v/>
      </c>
      <c r="U66" s="26" t="str">
        <f aca="false">IF(U$7="","",CHOOSE(MATCH($B$4,Lists!$C$2:$C$5,0),SUMIFS(Sales_Data!$O$2:$O$3520,Sales_Data!$C$2:$C$3520,$A66,Sales_Data!$F$2:$F$3520,U$7,Sales_Data!$AE$2:$AE$3520,1),SUMIFS(Sales_Data!$M$2:$M$3520,Sales_Data!$C$2:$C$3520,$A66,Sales_Data!$F$2:$F$3520,U$7,Sales_Data!$AE$2:$AE$3520,1),SUMIFS(Sales_Data!$N$2:$N$3520,Sales_Data!$C$2:$C$3520,$A66,Sales_Data!$F$2:$F$3520,U$7,Sales_Data!$AE$2:$AE$3520,1),SUMIFS(Sales_Data!$AE$2:$AE$3520,Sales_Data!$C$2:$C$3520,$A66,Sales_Data!$F$2:$F$3520,U$7)))</f>
        <v/>
      </c>
      <c r="V66" s="26" t="str">
        <f aca="false">IF(V$7="","",CHOOSE(MATCH($B$4,Lists!$C$2:$C$5,0),SUMIFS(Sales_Data!$O$2:$O$3520,Sales_Data!$C$2:$C$3520,$A66,Sales_Data!$F$2:$F$3520,V$7,Sales_Data!$AE$2:$AE$3520,1),SUMIFS(Sales_Data!$M$2:$M$3520,Sales_Data!$C$2:$C$3520,$A66,Sales_Data!$F$2:$F$3520,V$7,Sales_Data!$AE$2:$AE$3520,1),SUMIFS(Sales_Data!$N$2:$N$3520,Sales_Data!$C$2:$C$3520,$A66,Sales_Data!$F$2:$F$3520,V$7,Sales_Data!$AE$2:$AE$3520,1),SUMIFS(Sales_Data!$AE$2:$AE$3520,Sales_Data!$C$2:$C$3520,$A66,Sales_Data!$F$2:$F$3520,V$7)))</f>
        <v/>
      </c>
      <c r="W66" s="26" t="str">
        <f aca="false">IF(W$7="","",CHOOSE(MATCH($B$4,Lists!$C$2:$C$5,0),SUMIFS(Sales_Data!$O$2:$O$3520,Sales_Data!$C$2:$C$3520,$A66,Sales_Data!$F$2:$F$3520,W$7,Sales_Data!$AE$2:$AE$3520,1),SUMIFS(Sales_Data!$M$2:$M$3520,Sales_Data!$C$2:$C$3520,$A66,Sales_Data!$F$2:$F$3520,W$7,Sales_Data!$AE$2:$AE$3520,1),SUMIFS(Sales_Data!$N$2:$N$3520,Sales_Data!$C$2:$C$3520,$A66,Sales_Data!$F$2:$F$3520,W$7,Sales_Data!$AE$2:$AE$3520,1),SUMIFS(Sales_Data!$AE$2:$AE$3520,Sales_Data!$C$2:$C$3520,$A66,Sales_Data!$F$2:$F$3520,W$7)))</f>
        <v/>
      </c>
      <c r="X66" s="26" t="str">
        <f aca="false">IF(X$7="","",CHOOSE(MATCH($B$4,Lists!$C$2:$C$5,0),SUMIFS(Sales_Data!$O$2:$O$3520,Sales_Data!$C$2:$C$3520,$A66,Sales_Data!$F$2:$F$3520,X$7,Sales_Data!$AE$2:$AE$3520,1),SUMIFS(Sales_Data!$M$2:$M$3520,Sales_Data!$C$2:$C$3520,$A66,Sales_Data!$F$2:$F$3520,X$7,Sales_Data!$AE$2:$AE$3520,1),SUMIFS(Sales_Data!$N$2:$N$3520,Sales_Data!$C$2:$C$3520,$A66,Sales_Data!$F$2:$F$3520,X$7,Sales_Data!$AE$2:$AE$3520,1),SUMIFS(Sales_Data!$AE$2:$AE$3520,Sales_Data!$C$2:$C$3520,$A66,Sales_Data!$F$2:$F$3520,X$7)))</f>
        <v/>
      </c>
      <c r="Y66" s="26" t="str">
        <f aca="false">IF(Y$7="","",CHOOSE(MATCH($B$4,Lists!$C$2:$C$5,0),SUMIFS(Sales_Data!$O$2:$O$3520,Sales_Data!$C$2:$C$3520,$A66,Sales_Data!$F$2:$F$3520,Y$7,Sales_Data!$AE$2:$AE$3520,1),SUMIFS(Sales_Data!$M$2:$M$3520,Sales_Data!$C$2:$C$3520,$A66,Sales_Data!$F$2:$F$3520,Y$7,Sales_Data!$AE$2:$AE$3520,1),SUMIFS(Sales_Data!$N$2:$N$3520,Sales_Data!$C$2:$C$3520,$A66,Sales_Data!$F$2:$F$3520,Y$7,Sales_Data!$AE$2:$AE$3520,1),SUMIFS(Sales_Data!$AE$2:$AE$3520,Sales_Data!$C$2:$C$3520,$A66,Sales_Data!$F$2:$F$3520,Y$7)))</f>
        <v/>
      </c>
      <c r="Z66" s="26" t="str">
        <f aca="false">IF(Z$7="","",CHOOSE(MATCH($B$4,Lists!$C$2:$C$5,0),SUMIFS(Sales_Data!$O$2:$O$3520,Sales_Data!$C$2:$C$3520,$A66,Sales_Data!$F$2:$F$3520,Z$7,Sales_Data!$AE$2:$AE$3520,1),SUMIFS(Sales_Data!$M$2:$M$3520,Sales_Data!$C$2:$C$3520,$A66,Sales_Data!$F$2:$F$3520,Z$7,Sales_Data!$AE$2:$AE$3520,1),SUMIFS(Sales_Data!$N$2:$N$3520,Sales_Data!$C$2:$C$3520,$A66,Sales_Data!$F$2:$F$3520,Z$7,Sales_Data!$AE$2:$AE$3520,1),SUMIFS(Sales_Data!$AE$2:$AE$3520,Sales_Data!$C$2:$C$3520,$A66,Sales_Data!$F$2:$F$3520,Z$7)))</f>
        <v/>
      </c>
      <c r="AA66" s="27" t="n">
        <f aca="false">SUM(B66:Z66)</f>
        <v>0</v>
      </c>
      <c r="AB66" s="3"/>
      <c r="AC66" s="72" t="n">
        <f aca="false">A66</f>
        <v>46273</v>
      </c>
      <c r="AD66" s="28" t="n">
        <f aca="false">IF(B66="","",B66-B65)</f>
        <v>0</v>
      </c>
      <c r="AE66" s="28" t="n">
        <f aca="false">IF(C66="","",C66-C65)</f>
        <v>0</v>
      </c>
      <c r="AF66" s="28" t="n">
        <f aca="false">IF(D66="","",D66-D65)</f>
        <v>0</v>
      </c>
      <c r="AG66" s="28" t="n">
        <f aca="false">IF(E66="","",E66-E65)</f>
        <v>0</v>
      </c>
      <c r="AH66" s="28" t="n">
        <f aca="false">IF(F66="","",F66-F65)</f>
        <v>0</v>
      </c>
      <c r="AI66" s="28" t="n">
        <f aca="false">IF(G66="","",G66-G65)</f>
        <v>0</v>
      </c>
      <c r="AJ66" s="28" t="n">
        <f aca="false">IF(H66="","",H66-H65)</f>
        <v>0</v>
      </c>
      <c r="AK66" s="28" t="n">
        <f aca="false">IF(I66="","",I66-I65)</f>
        <v>0</v>
      </c>
      <c r="AL66" s="28" t="n">
        <f aca="false">IF(J66="","",J66-J65)</f>
        <v>0</v>
      </c>
      <c r="AM66" s="28" t="n">
        <f aca="false">IF(K66="","",K66-K65)</f>
        <v>0</v>
      </c>
      <c r="AN66" s="28" t="n">
        <f aca="false">IF(L66="","",L66-L65)</f>
        <v>0</v>
      </c>
      <c r="AO66" s="28" t="n">
        <f aca="false">IF(M66="","",M66-M65)</f>
        <v>0</v>
      </c>
      <c r="AP66" s="28" t="n">
        <f aca="false">IF(N66="","",N66-N65)</f>
        <v>0</v>
      </c>
      <c r="AQ66" s="28" t="n">
        <f aca="false">IF(O66="","",O66-O65)</f>
        <v>0</v>
      </c>
      <c r="AR66" s="28" t="n">
        <f aca="false">IF(P66="","",P66-P65)</f>
        <v>0</v>
      </c>
      <c r="AS66" s="28" t="n">
        <f aca="false">IF(Q66="","",Q66-Q65)</f>
        <v>0</v>
      </c>
      <c r="AT66" s="28" t="n">
        <f aca="false">IF(R66="","",R66-R65)</f>
        <v>0</v>
      </c>
      <c r="AU66" s="28" t="n">
        <f aca="false">IF(S66="","",S66-S65)</f>
        <v>0</v>
      </c>
      <c r="AV66" s="28" t="str">
        <f aca="false">IF(T66="","",T66-T65)</f>
        <v/>
      </c>
      <c r="AW66" s="28" t="str">
        <f aca="false">IF(U66="","",U66-U65)</f>
        <v/>
      </c>
      <c r="AX66" s="28" t="str">
        <f aca="false">IF(V66="","",V66-V65)</f>
        <v/>
      </c>
      <c r="AY66" s="28" t="str">
        <f aca="false">IF(W66="","",W66-W65)</f>
        <v/>
      </c>
      <c r="AZ66" s="28" t="str">
        <f aca="false">IF(X66="","",X66-X65)</f>
        <v/>
      </c>
      <c r="BA66" s="28" t="str">
        <f aca="false">IF(Y66="","",Y66-Y65)</f>
        <v/>
      </c>
      <c r="BB66" s="28" t="str">
        <f aca="false">IF(Z66="","",Z66-Z65)</f>
        <v/>
      </c>
      <c r="BC66" s="28" t="n">
        <f aca="false">IF(AA66="","",AA66-AA65)</f>
        <v>0</v>
      </c>
    </row>
    <row r="67" customFormat="false" ht="15" hidden="false" customHeight="false" outlineLevel="0" collapsed="false">
      <c r="A67" s="72" t="n">
        <v>46274</v>
      </c>
      <c r="B67" s="26" t="n">
        <f aca="false">IF(B$7="","",CHOOSE(MATCH($B$4,Lists!$C$2:$C$5,0),SUMIFS(Sales_Data!$O$2:$O$3520,Sales_Data!$C$2:$C$3520,$A67,Sales_Data!$F$2:$F$3520,B$7,Sales_Data!$AE$2:$AE$3520,1),SUMIFS(Sales_Data!$M$2:$M$3520,Sales_Data!$C$2:$C$3520,$A67,Sales_Data!$F$2:$F$3520,B$7,Sales_Data!$AE$2:$AE$3520,1),SUMIFS(Sales_Data!$N$2:$N$3520,Sales_Data!$C$2:$C$3520,$A67,Sales_Data!$F$2:$F$3520,B$7,Sales_Data!$AE$2:$AE$3520,1),SUMIFS(Sales_Data!$AE$2:$AE$3520,Sales_Data!$C$2:$C$3520,$A67,Sales_Data!$F$2:$F$3520,B$7)))</f>
        <v>0</v>
      </c>
      <c r="C67" s="26" t="n">
        <f aca="false">IF(C$7="","",CHOOSE(MATCH($B$4,Lists!$C$2:$C$5,0),SUMIFS(Sales_Data!$O$2:$O$3520,Sales_Data!$C$2:$C$3520,$A67,Sales_Data!$F$2:$F$3520,C$7,Sales_Data!$AE$2:$AE$3520,1),SUMIFS(Sales_Data!$M$2:$M$3520,Sales_Data!$C$2:$C$3520,$A67,Sales_Data!$F$2:$F$3520,C$7,Sales_Data!$AE$2:$AE$3520,1),SUMIFS(Sales_Data!$N$2:$N$3520,Sales_Data!$C$2:$C$3520,$A67,Sales_Data!$F$2:$F$3520,C$7,Sales_Data!$AE$2:$AE$3520,1),SUMIFS(Sales_Data!$AE$2:$AE$3520,Sales_Data!$C$2:$C$3520,$A67,Sales_Data!$F$2:$F$3520,C$7)))</f>
        <v>0</v>
      </c>
      <c r="D67" s="26" t="n">
        <f aca="false">IF(D$7="","",CHOOSE(MATCH($B$4,Lists!$C$2:$C$5,0),SUMIFS(Sales_Data!$O$2:$O$3520,Sales_Data!$C$2:$C$3520,$A67,Sales_Data!$F$2:$F$3520,D$7,Sales_Data!$AE$2:$AE$3520,1),SUMIFS(Sales_Data!$M$2:$M$3520,Sales_Data!$C$2:$C$3520,$A67,Sales_Data!$F$2:$F$3520,D$7,Sales_Data!$AE$2:$AE$3520,1),SUMIFS(Sales_Data!$N$2:$N$3520,Sales_Data!$C$2:$C$3520,$A67,Sales_Data!$F$2:$F$3520,D$7,Sales_Data!$AE$2:$AE$3520,1),SUMIFS(Sales_Data!$AE$2:$AE$3520,Sales_Data!$C$2:$C$3520,$A67,Sales_Data!$F$2:$F$3520,D$7)))</f>
        <v>0</v>
      </c>
      <c r="E67" s="26" t="n">
        <f aca="false">IF(E$7="","",CHOOSE(MATCH($B$4,Lists!$C$2:$C$5,0),SUMIFS(Sales_Data!$O$2:$O$3520,Sales_Data!$C$2:$C$3520,$A67,Sales_Data!$F$2:$F$3520,E$7,Sales_Data!$AE$2:$AE$3520,1),SUMIFS(Sales_Data!$M$2:$M$3520,Sales_Data!$C$2:$C$3520,$A67,Sales_Data!$F$2:$F$3520,E$7,Sales_Data!$AE$2:$AE$3520,1),SUMIFS(Sales_Data!$N$2:$N$3520,Sales_Data!$C$2:$C$3520,$A67,Sales_Data!$F$2:$F$3520,E$7,Sales_Data!$AE$2:$AE$3520,1),SUMIFS(Sales_Data!$AE$2:$AE$3520,Sales_Data!$C$2:$C$3520,$A67,Sales_Data!$F$2:$F$3520,E$7)))</f>
        <v>0</v>
      </c>
      <c r="F67" s="26" t="n">
        <f aca="false">IF(F$7="","",CHOOSE(MATCH($B$4,Lists!$C$2:$C$5,0),SUMIFS(Sales_Data!$O$2:$O$3520,Sales_Data!$C$2:$C$3520,$A67,Sales_Data!$F$2:$F$3520,F$7,Sales_Data!$AE$2:$AE$3520,1),SUMIFS(Sales_Data!$M$2:$M$3520,Sales_Data!$C$2:$C$3520,$A67,Sales_Data!$F$2:$F$3520,F$7,Sales_Data!$AE$2:$AE$3520,1),SUMIFS(Sales_Data!$N$2:$N$3520,Sales_Data!$C$2:$C$3520,$A67,Sales_Data!$F$2:$F$3520,F$7,Sales_Data!$AE$2:$AE$3520,1),SUMIFS(Sales_Data!$AE$2:$AE$3520,Sales_Data!$C$2:$C$3520,$A67,Sales_Data!$F$2:$F$3520,F$7)))</f>
        <v>0</v>
      </c>
      <c r="G67" s="26" t="n">
        <f aca="false">IF(G$7="","",CHOOSE(MATCH($B$4,Lists!$C$2:$C$5,0),SUMIFS(Sales_Data!$O$2:$O$3520,Sales_Data!$C$2:$C$3520,$A67,Sales_Data!$F$2:$F$3520,G$7,Sales_Data!$AE$2:$AE$3520,1),SUMIFS(Sales_Data!$M$2:$M$3520,Sales_Data!$C$2:$C$3520,$A67,Sales_Data!$F$2:$F$3520,G$7,Sales_Data!$AE$2:$AE$3520,1),SUMIFS(Sales_Data!$N$2:$N$3520,Sales_Data!$C$2:$C$3520,$A67,Sales_Data!$F$2:$F$3520,G$7,Sales_Data!$AE$2:$AE$3520,1),SUMIFS(Sales_Data!$AE$2:$AE$3520,Sales_Data!$C$2:$C$3520,$A67,Sales_Data!$F$2:$F$3520,G$7)))</f>
        <v>0</v>
      </c>
      <c r="H67" s="26" t="n">
        <f aca="false">IF(H$7="","",CHOOSE(MATCH($B$4,Lists!$C$2:$C$5,0),SUMIFS(Sales_Data!$O$2:$O$3520,Sales_Data!$C$2:$C$3520,$A67,Sales_Data!$F$2:$F$3520,H$7,Sales_Data!$AE$2:$AE$3520,1),SUMIFS(Sales_Data!$M$2:$M$3520,Sales_Data!$C$2:$C$3520,$A67,Sales_Data!$F$2:$F$3520,H$7,Sales_Data!$AE$2:$AE$3520,1),SUMIFS(Sales_Data!$N$2:$N$3520,Sales_Data!$C$2:$C$3520,$A67,Sales_Data!$F$2:$F$3520,H$7,Sales_Data!$AE$2:$AE$3520,1),SUMIFS(Sales_Data!$AE$2:$AE$3520,Sales_Data!$C$2:$C$3520,$A67,Sales_Data!$F$2:$F$3520,H$7)))</f>
        <v>0</v>
      </c>
      <c r="I67" s="26" t="n">
        <f aca="false">IF(I$7="","",CHOOSE(MATCH($B$4,Lists!$C$2:$C$5,0),SUMIFS(Sales_Data!$O$2:$O$3520,Sales_Data!$C$2:$C$3520,$A67,Sales_Data!$F$2:$F$3520,I$7,Sales_Data!$AE$2:$AE$3520,1),SUMIFS(Sales_Data!$M$2:$M$3520,Sales_Data!$C$2:$C$3520,$A67,Sales_Data!$F$2:$F$3520,I$7,Sales_Data!$AE$2:$AE$3520,1),SUMIFS(Sales_Data!$N$2:$N$3520,Sales_Data!$C$2:$C$3520,$A67,Sales_Data!$F$2:$F$3520,I$7,Sales_Data!$AE$2:$AE$3520,1),SUMIFS(Sales_Data!$AE$2:$AE$3520,Sales_Data!$C$2:$C$3520,$A67,Sales_Data!$F$2:$F$3520,I$7)))</f>
        <v>0</v>
      </c>
      <c r="J67" s="26" t="n">
        <f aca="false">IF(J$7="","",CHOOSE(MATCH($B$4,Lists!$C$2:$C$5,0),SUMIFS(Sales_Data!$O$2:$O$3520,Sales_Data!$C$2:$C$3520,$A67,Sales_Data!$F$2:$F$3520,J$7,Sales_Data!$AE$2:$AE$3520,1),SUMIFS(Sales_Data!$M$2:$M$3520,Sales_Data!$C$2:$C$3520,$A67,Sales_Data!$F$2:$F$3520,J$7,Sales_Data!$AE$2:$AE$3520,1),SUMIFS(Sales_Data!$N$2:$N$3520,Sales_Data!$C$2:$C$3520,$A67,Sales_Data!$F$2:$F$3520,J$7,Sales_Data!$AE$2:$AE$3520,1),SUMIFS(Sales_Data!$AE$2:$AE$3520,Sales_Data!$C$2:$C$3520,$A67,Sales_Data!$F$2:$F$3520,J$7)))</f>
        <v>0</v>
      </c>
      <c r="K67" s="26" t="n">
        <f aca="false">IF(K$7="","",CHOOSE(MATCH($B$4,Lists!$C$2:$C$5,0),SUMIFS(Sales_Data!$O$2:$O$3520,Sales_Data!$C$2:$C$3520,$A67,Sales_Data!$F$2:$F$3520,K$7,Sales_Data!$AE$2:$AE$3520,1),SUMIFS(Sales_Data!$M$2:$M$3520,Sales_Data!$C$2:$C$3520,$A67,Sales_Data!$F$2:$F$3520,K$7,Sales_Data!$AE$2:$AE$3520,1),SUMIFS(Sales_Data!$N$2:$N$3520,Sales_Data!$C$2:$C$3520,$A67,Sales_Data!$F$2:$F$3520,K$7,Sales_Data!$AE$2:$AE$3520,1),SUMIFS(Sales_Data!$AE$2:$AE$3520,Sales_Data!$C$2:$C$3520,$A67,Sales_Data!$F$2:$F$3520,K$7)))</f>
        <v>0</v>
      </c>
      <c r="L67" s="26" t="n">
        <f aca="false">IF(L$7="","",CHOOSE(MATCH($B$4,Lists!$C$2:$C$5,0),SUMIFS(Sales_Data!$O$2:$O$3520,Sales_Data!$C$2:$C$3520,$A67,Sales_Data!$F$2:$F$3520,L$7,Sales_Data!$AE$2:$AE$3520,1),SUMIFS(Sales_Data!$M$2:$M$3520,Sales_Data!$C$2:$C$3520,$A67,Sales_Data!$F$2:$F$3520,L$7,Sales_Data!$AE$2:$AE$3520,1),SUMIFS(Sales_Data!$N$2:$N$3520,Sales_Data!$C$2:$C$3520,$A67,Sales_Data!$F$2:$F$3520,L$7,Sales_Data!$AE$2:$AE$3520,1),SUMIFS(Sales_Data!$AE$2:$AE$3520,Sales_Data!$C$2:$C$3520,$A67,Sales_Data!$F$2:$F$3520,L$7)))</f>
        <v>0</v>
      </c>
      <c r="M67" s="26" t="n">
        <f aca="false">IF(M$7="","",CHOOSE(MATCH($B$4,Lists!$C$2:$C$5,0),SUMIFS(Sales_Data!$O$2:$O$3520,Sales_Data!$C$2:$C$3520,$A67,Sales_Data!$F$2:$F$3520,M$7,Sales_Data!$AE$2:$AE$3520,1),SUMIFS(Sales_Data!$M$2:$M$3520,Sales_Data!$C$2:$C$3520,$A67,Sales_Data!$F$2:$F$3520,M$7,Sales_Data!$AE$2:$AE$3520,1),SUMIFS(Sales_Data!$N$2:$N$3520,Sales_Data!$C$2:$C$3520,$A67,Sales_Data!$F$2:$F$3520,M$7,Sales_Data!$AE$2:$AE$3520,1),SUMIFS(Sales_Data!$AE$2:$AE$3520,Sales_Data!$C$2:$C$3520,$A67,Sales_Data!$F$2:$F$3520,M$7)))</f>
        <v>0</v>
      </c>
      <c r="N67" s="26" t="n">
        <f aca="false">IF(N$7="","",CHOOSE(MATCH($B$4,Lists!$C$2:$C$5,0),SUMIFS(Sales_Data!$O$2:$O$3520,Sales_Data!$C$2:$C$3520,$A67,Sales_Data!$F$2:$F$3520,N$7,Sales_Data!$AE$2:$AE$3520,1),SUMIFS(Sales_Data!$M$2:$M$3520,Sales_Data!$C$2:$C$3520,$A67,Sales_Data!$F$2:$F$3520,N$7,Sales_Data!$AE$2:$AE$3520,1),SUMIFS(Sales_Data!$N$2:$N$3520,Sales_Data!$C$2:$C$3520,$A67,Sales_Data!$F$2:$F$3520,N$7,Sales_Data!$AE$2:$AE$3520,1),SUMIFS(Sales_Data!$AE$2:$AE$3520,Sales_Data!$C$2:$C$3520,$A67,Sales_Data!$F$2:$F$3520,N$7)))</f>
        <v>0</v>
      </c>
      <c r="O67" s="26" t="n">
        <f aca="false">IF(O$7="","",CHOOSE(MATCH($B$4,Lists!$C$2:$C$5,0),SUMIFS(Sales_Data!$O$2:$O$3520,Sales_Data!$C$2:$C$3520,$A67,Sales_Data!$F$2:$F$3520,O$7,Sales_Data!$AE$2:$AE$3520,1),SUMIFS(Sales_Data!$M$2:$M$3520,Sales_Data!$C$2:$C$3520,$A67,Sales_Data!$F$2:$F$3520,O$7,Sales_Data!$AE$2:$AE$3520,1),SUMIFS(Sales_Data!$N$2:$N$3520,Sales_Data!$C$2:$C$3520,$A67,Sales_Data!$F$2:$F$3520,O$7,Sales_Data!$AE$2:$AE$3520,1),SUMIFS(Sales_Data!$AE$2:$AE$3520,Sales_Data!$C$2:$C$3520,$A67,Sales_Data!$F$2:$F$3520,O$7)))</f>
        <v>0</v>
      </c>
      <c r="P67" s="26" t="n">
        <f aca="false">IF(P$7="","",CHOOSE(MATCH($B$4,Lists!$C$2:$C$5,0),SUMIFS(Sales_Data!$O$2:$O$3520,Sales_Data!$C$2:$C$3520,$A67,Sales_Data!$F$2:$F$3520,P$7,Sales_Data!$AE$2:$AE$3520,1),SUMIFS(Sales_Data!$M$2:$M$3520,Sales_Data!$C$2:$C$3520,$A67,Sales_Data!$F$2:$F$3520,P$7,Sales_Data!$AE$2:$AE$3520,1),SUMIFS(Sales_Data!$N$2:$N$3520,Sales_Data!$C$2:$C$3520,$A67,Sales_Data!$F$2:$F$3520,P$7,Sales_Data!$AE$2:$AE$3520,1),SUMIFS(Sales_Data!$AE$2:$AE$3520,Sales_Data!$C$2:$C$3520,$A67,Sales_Data!$F$2:$F$3520,P$7)))</f>
        <v>0</v>
      </c>
      <c r="Q67" s="26" t="n">
        <f aca="false">IF(Q$7="","",CHOOSE(MATCH($B$4,Lists!$C$2:$C$5,0),SUMIFS(Sales_Data!$O$2:$O$3520,Sales_Data!$C$2:$C$3520,$A67,Sales_Data!$F$2:$F$3520,Q$7,Sales_Data!$AE$2:$AE$3520,1),SUMIFS(Sales_Data!$M$2:$M$3520,Sales_Data!$C$2:$C$3520,$A67,Sales_Data!$F$2:$F$3520,Q$7,Sales_Data!$AE$2:$AE$3520,1),SUMIFS(Sales_Data!$N$2:$N$3520,Sales_Data!$C$2:$C$3520,$A67,Sales_Data!$F$2:$F$3520,Q$7,Sales_Data!$AE$2:$AE$3520,1),SUMIFS(Sales_Data!$AE$2:$AE$3520,Sales_Data!$C$2:$C$3520,$A67,Sales_Data!$F$2:$F$3520,Q$7)))</f>
        <v>0</v>
      </c>
      <c r="R67" s="26" t="n">
        <f aca="false">IF(R$7="","",CHOOSE(MATCH($B$4,Lists!$C$2:$C$5,0),SUMIFS(Sales_Data!$O$2:$O$3520,Sales_Data!$C$2:$C$3520,$A67,Sales_Data!$F$2:$F$3520,R$7,Sales_Data!$AE$2:$AE$3520,1),SUMIFS(Sales_Data!$M$2:$M$3520,Sales_Data!$C$2:$C$3520,$A67,Sales_Data!$F$2:$F$3520,R$7,Sales_Data!$AE$2:$AE$3520,1),SUMIFS(Sales_Data!$N$2:$N$3520,Sales_Data!$C$2:$C$3520,$A67,Sales_Data!$F$2:$F$3520,R$7,Sales_Data!$AE$2:$AE$3520,1),SUMIFS(Sales_Data!$AE$2:$AE$3520,Sales_Data!$C$2:$C$3520,$A67,Sales_Data!$F$2:$F$3520,R$7)))</f>
        <v>0</v>
      </c>
      <c r="S67" s="26" t="n">
        <f aca="false">IF(S$7="","",CHOOSE(MATCH($B$4,Lists!$C$2:$C$5,0),SUMIFS(Sales_Data!$O$2:$O$3520,Sales_Data!$C$2:$C$3520,$A67,Sales_Data!$F$2:$F$3520,S$7,Sales_Data!$AE$2:$AE$3520,1),SUMIFS(Sales_Data!$M$2:$M$3520,Sales_Data!$C$2:$C$3520,$A67,Sales_Data!$F$2:$F$3520,S$7,Sales_Data!$AE$2:$AE$3520,1),SUMIFS(Sales_Data!$N$2:$N$3520,Sales_Data!$C$2:$C$3520,$A67,Sales_Data!$F$2:$F$3520,S$7,Sales_Data!$AE$2:$AE$3520,1),SUMIFS(Sales_Data!$AE$2:$AE$3520,Sales_Data!$C$2:$C$3520,$A67,Sales_Data!$F$2:$F$3520,S$7)))</f>
        <v>0</v>
      </c>
      <c r="T67" s="26" t="str">
        <f aca="false">IF(T$7="","",CHOOSE(MATCH($B$4,Lists!$C$2:$C$5,0),SUMIFS(Sales_Data!$O$2:$O$3520,Sales_Data!$C$2:$C$3520,$A67,Sales_Data!$F$2:$F$3520,T$7,Sales_Data!$AE$2:$AE$3520,1),SUMIFS(Sales_Data!$M$2:$M$3520,Sales_Data!$C$2:$C$3520,$A67,Sales_Data!$F$2:$F$3520,T$7,Sales_Data!$AE$2:$AE$3520,1),SUMIFS(Sales_Data!$N$2:$N$3520,Sales_Data!$C$2:$C$3520,$A67,Sales_Data!$F$2:$F$3520,T$7,Sales_Data!$AE$2:$AE$3520,1),SUMIFS(Sales_Data!$AE$2:$AE$3520,Sales_Data!$C$2:$C$3520,$A67,Sales_Data!$F$2:$F$3520,T$7)))</f>
        <v/>
      </c>
      <c r="U67" s="26" t="str">
        <f aca="false">IF(U$7="","",CHOOSE(MATCH($B$4,Lists!$C$2:$C$5,0),SUMIFS(Sales_Data!$O$2:$O$3520,Sales_Data!$C$2:$C$3520,$A67,Sales_Data!$F$2:$F$3520,U$7,Sales_Data!$AE$2:$AE$3520,1),SUMIFS(Sales_Data!$M$2:$M$3520,Sales_Data!$C$2:$C$3520,$A67,Sales_Data!$F$2:$F$3520,U$7,Sales_Data!$AE$2:$AE$3520,1),SUMIFS(Sales_Data!$N$2:$N$3520,Sales_Data!$C$2:$C$3520,$A67,Sales_Data!$F$2:$F$3520,U$7,Sales_Data!$AE$2:$AE$3520,1),SUMIFS(Sales_Data!$AE$2:$AE$3520,Sales_Data!$C$2:$C$3520,$A67,Sales_Data!$F$2:$F$3520,U$7)))</f>
        <v/>
      </c>
      <c r="V67" s="26" t="str">
        <f aca="false">IF(V$7="","",CHOOSE(MATCH($B$4,Lists!$C$2:$C$5,0),SUMIFS(Sales_Data!$O$2:$O$3520,Sales_Data!$C$2:$C$3520,$A67,Sales_Data!$F$2:$F$3520,V$7,Sales_Data!$AE$2:$AE$3520,1),SUMIFS(Sales_Data!$M$2:$M$3520,Sales_Data!$C$2:$C$3520,$A67,Sales_Data!$F$2:$F$3520,V$7,Sales_Data!$AE$2:$AE$3520,1),SUMIFS(Sales_Data!$N$2:$N$3520,Sales_Data!$C$2:$C$3520,$A67,Sales_Data!$F$2:$F$3520,V$7,Sales_Data!$AE$2:$AE$3520,1),SUMIFS(Sales_Data!$AE$2:$AE$3520,Sales_Data!$C$2:$C$3520,$A67,Sales_Data!$F$2:$F$3520,V$7)))</f>
        <v/>
      </c>
      <c r="W67" s="26" t="str">
        <f aca="false">IF(W$7="","",CHOOSE(MATCH($B$4,Lists!$C$2:$C$5,0),SUMIFS(Sales_Data!$O$2:$O$3520,Sales_Data!$C$2:$C$3520,$A67,Sales_Data!$F$2:$F$3520,W$7,Sales_Data!$AE$2:$AE$3520,1),SUMIFS(Sales_Data!$M$2:$M$3520,Sales_Data!$C$2:$C$3520,$A67,Sales_Data!$F$2:$F$3520,W$7,Sales_Data!$AE$2:$AE$3520,1),SUMIFS(Sales_Data!$N$2:$N$3520,Sales_Data!$C$2:$C$3520,$A67,Sales_Data!$F$2:$F$3520,W$7,Sales_Data!$AE$2:$AE$3520,1),SUMIFS(Sales_Data!$AE$2:$AE$3520,Sales_Data!$C$2:$C$3520,$A67,Sales_Data!$F$2:$F$3520,W$7)))</f>
        <v/>
      </c>
      <c r="X67" s="26" t="str">
        <f aca="false">IF(X$7="","",CHOOSE(MATCH($B$4,Lists!$C$2:$C$5,0),SUMIFS(Sales_Data!$O$2:$O$3520,Sales_Data!$C$2:$C$3520,$A67,Sales_Data!$F$2:$F$3520,X$7,Sales_Data!$AE$2:$AE$3520,1),SUMIFS(Sales_Data!$M$2:$M$3520,Sales_Data!$C$2:$C$3520,$A67,Sales_Data!$F$2:$F$3520,X$7,Sales_Data!$AE$2:$AE$3520,1),SUMIFS(Sales_Data!$N$2:$N$3520,Sales_Data!$C$2:$C$3520,$A67,Sales_Data!$F$2:$F$3520,X$7,Sales_Data!$AE$2:$AE$3520,1),SUMIFS(Sales_Data!$AE$2:$AE$3520,Sales_Data!$C$2:$C$3520,$A67,Sales_Data!$F$2:$F$3520,X$7)))</f>
        <v/>
      </c>
      <c r="Y67" s="26" t="str">
        <f aca="false">IF(Y$7="","",CHOOSE(MATCH($B$4,Lists!$C$2:$C$5,0),SUMIFS(Sales_Data!$O$2:$O$3520,Sales_Data!$C$2:$C$3520,$A67,Sales_Data!$F$2:$F$3520,Y$7,Sales_Data!$AE$2:$AE$3520,1),SUMIFS(Sales_Data!$M$2:$M$3520,Sales_Data!$C$2:$C$3520,$A67,Sales_Data!$F$2:$F$3520,Y$7,Sales_Data!$AE$2:$AE$3520,1),SUMIFS(Sales_Data!$N$2:$N$3520,Sales_Data!$C$2:$C$3520,$A67,Sales_Data!$F$2:$F$3520,Y$7,Sales_Data!$AE$2:$AE$3520,1),SUMIFS(Sales_Data!$AE$2:$AE$3520,Sales_Data!$C$2:$C$3520,$A67,Sales_Data!$F$2:$F$3520,Y$7)))</f>
        <v/>
      </c>
      <c r="Z67" s="26" t="str">
        <f aca="false">IF(Z$7="","",CHOOSE(MATCH($B$4,Lists!$C$2:$C$5,0),SUMIFS(Sales_Data!$O$2:$O$3520,Sales_Data!$C$2:$C$3520,$A67,Sales_Data!$F$2:$F$3520,Z$7,Sales_Data!$AE$2:$AE$3520,1),SUMIFS(Sales_Data!$M$2:$M$3520,Sales_Data!$C$2:$C$3520,$A67,Sales_Data!$F$2:$F$3520,Z$7,Sales_Data!$AE$2:$AE$3520,1),SUMIFS(Sales_Data!$N$2:$N$3520,Sales_Data!$C$2:$C$3520,$A67,Sales_Data!$F$2:$F$3520,Z$7,Sales_Data!$AE$2:$AE$3520,1),SUMIFS(Sales_Data!$AE$2:$AE$3520,Sales_Data!$C$2:$C$3520,$A67,Sales_Data!$F$2:$F$3520,Z$7)))</f>
        <v/>
      </c>
      <c r="AA67" s="27" t="n">
        <f aca="false">SUM(B67:Z67)</f>
        <v>0</v>
      </c>
      <c r="AB67" s="3"/>
      <c r="AC67" s="72" t="n">
        <f aca="false">A67</f>
        <v>46274</v>
      </c>
      <c r="AD67" s="28" t="n">
        <f aca="false">IF(B67="","",B67-B66)</f>
        <v>0</v>
      </c>
      <c r="AE67" s="28" t="n">
        <f aca="false">IF(C67="","",C67-C66)</f>
        <v>0</v>
      </c>
      <c r="AF67" s="28" t="n">
        <f aca="false">IF(D67="","",D67-D66)</f>
        <v>0</v>
      </c>
      <c r="AG67" s="28" t="n">
        <f aca="false">IF(E67="","",E67-E66)</f>
        <v>0</v>
      </c>
      <c r="AH67" s="28" t="n">
        <f aca="false">IF(F67="","",F67-F66)</f>
        <v>0</v>
      </c>
      <c r="AI67" s="28" t="n">
        <f aca="false">IF(G67="","",G67-G66)</f>
        <v>0</v>
      </c>
      <c r="AJ67" s="28" t="n">
        <f aca="false">IF(H67="","",H67-H66)</f>
        <v>0</v>
      </c>
      <c r="AK67" s="28" t="n">
        <f aca="false">IF(I67="","",I67-I66)</f>
        <v>0</v>
      </c>
      <c r="AL67" s="28" t="n">
        <f aca="false">IF(J67="","",J67-J66)</f>
        <v>0</v>
      </c>
      <c r="AM67" s="28" t="n">
        <f aca="false">IF(K67="","",K67-K66)</f>
        <v>0</v>
      </c>
      <c r="AN67" s="28" t="n">
        <f aca="false">IF(L67="","",L67-L66)</f>
        <v>0</v>
      </c>
      <c r="AO67" s="28" t="n">
        <f aca="false">IF(M67="","",M67-M66)</f>
        <v>0</v>
      </c>
      <c r="AP67" s="28" t="n">
        <f aca="false">IF(N67="","",N67-N66)</f>
        <v>0</v>
      </c>
      <c r="AQ67" s="28" t="n">
        <f aca="false">IF(O67="","",O67-O66)</f>
        <v>0</v>
      </c>
      <c r="AR67" s="28" t="n">
        <f aca="false">IF(P67="","",P67-P66)</f>
        <v>0</v>
      </c>
      <c r="AS67" s="28" t="n">
        <f aca="false">IF(Q67="","",Q67-Q66)</f>
        <v>0</v>
      </c>
      <c r="AT67" s="28" t="n">
        <f aca="false">IF(R67="","",R67-R66)</f>
        <v>0</v>
      </c>
      <c r="AU67" s="28" t="n">
        <f aca="false">IF(S67="","",S67-S66)</f>
        <v>0</v>
      </c>
      <c r="AV67" s="28" t="str">
        <f aca="false">IF(T67="","",T67-T66)</f>
        <v/>
      </c>
      <c r="AW67" s="28" t="str">
        <f aca="false">IF(U67="","",U67-U66)</f>
        <v/>
      </c>
      <c r="AX67" s="28" t="str">
        <f aca="false">IF(V67="","",V67-V66)</f>
        <v/>
      </c>
      <c r="AY67" s="28" t="str">
        <f aca="false">IF(W67="","",W67-W66)</f>
        <v/>
      </c>
      <c r="AZ67" s="28" t="str">
        <f aca="false">IF(X67="","",X67-X66)</f>
        <v/>
      </c>
      <c r="BA67" s="28" t="str">
        <f aca="false">IF(Y67="","",Y67-Y66)</f>
        <v/>
      </c>
      <c r="BB67" s="28" t="str">
        <f aca="false">IF(Z67="","",Z67-Z66)</f>
        <v/>
      </c>
      <c r="BC67" s="28" t="n">
        <f aca="false">IF(AA67="","",AA67-AA66)</f>
        <v>0</v>
      </c>
    </row>
    <row r="68" customFormat="false" ht="15" hidden="false" customHeight="false" outlineLevel="0" collapsed="false">
      <c r="A68" s="72" t="n">
        <v>46275</v>
      </c>
      <c r="B68" s="26" t="n">
        <f aca="false">IF(B$7="","",CHOOSE(MATCH($B$4,Lists!$C$2:$C$5,0),SUMIFS(Sales_Data!$O$2:$O$3520,Sales_Data!$C$2:$C$3520,$A68,Sales_Data!$F$2:$F$3520,B$7,Sales_Data!$AE$2:$AE$3520,1),SUMIFS(Sales_Data!$M$2:$M$3520,Sales_Data!$C$2:$C$3520,$A68,Sales_Data!$F$2:$F$3520,B$7,Sales_Data!$AE$2:$AE$3520,1),SUMIFS(Sales_Data!$N$2:$N$3520,Sales_Data!$C$2:$C$3520,$A68,Sales_Data!$F$2:$F$3520,B$7,Sales_Data!$AE$2:$AE$3520,1),SUMIFS(Sales_Data!$AE$2:$AE$3520,Sales_Data!$C$2:$C$3520,$A68,Sales_Data!$F$2:$F$3520,B$7)))</f>
        <v>0</v>
      </c>
      <c r="C68" s="26" t="n">
        <f aca="false">IF(C$7="","",CHOOSE(MATCH($B$4,Lists!$C$2:$C$5,0),SUMIFS(Sales_Data!$O$2:$O$3520,Sales_Data!$C$2:$C$3520,$A68,Sales_Data!$F$2:$F$3520,C$7,Sales_Data!$AE$2:$AE$3520,1),SUMIFS(Sales_Data!$M$2:$M$3520,Sales_Data!$C$2:$C$3520,$A68,Sales_Data!$F$2:$F$3520,C$7,Sales_Data!$AE$2:$AE$3520,1),SUMIFS(Sales_Data!$N$2:$N$3520,Sales_Data!$C$2:$C$3520,$A68,Sales_Data!$F$2:$F$3520,C$7,Sales_Data!$AE$2:$AE$3520,1),SUMIFS(Sales_Data!$AE$2:$AE$3520,Sales_Data!$C$2:$C$3520,$A68,Sales_Data!$F$2:$F$3520,C$7)))</f>
        <v>0</v>
      </c>
      <c r="D68" s="26" t="n">
        <f aca="false">IF(D$7="","",CHOOSE(MATCH($B$4,Lists!$C$2:$C$5,0),SUMIFS(Sales_Data!$O$2:$O$3520,Sales_Data!$C$2:$C$3520,$A68,Sales_Data!$F$2:$F$3520,D$7,Sales_Data!$AE$2:$AE$3520,1),SUMIFS(Sales_Data!$M$2:$M$3520,Sales_Data!$C$2:$C$3520,$A68,Sales_Data!$F$2:$F$3520,D$7,Sales_Data!$AE$2:$AE$3520,1),SUMIFS(Sales_Data!$N$2:$N$3520,Sales_Data!$C$2:$C$3520,$A68,Sales_Data!$F$2:$F$3520,D$7,Sales_Data!$AE$2:$AE$3520,1),SUMIFS(Sales_Data!$AE$2:$AE$3520,Sales_Data!$C$2:$C$3520,$A68,Sales_Data!$F$2:$F$3520,D$7)))</f>
        <v>0</v>
      </c>
      <c r="E68" s="26" t="n">
        <f aca="false">IF(E$7="","",CHOOSE(MATCH($B$4,Lists!$C$2:$C$5,0),SUMIFS(Sales_Data!$O$2:$O$3520,Sales_Data!$C$2:$C$3520,$A68,Sales_Data!$F$2:$F$3520,E$7,Sales_Data!$AE$2:$AE$3520,1),SUMIFS(Sales_Data!$M$2:$M$3520,Sales_Data!$C$2:$C$3520,$A68,Sales_Data!$F$2:$F$3520,E$7,Sales_Data!$AE$2:$AE$3520,1),SUMIFS(Sales_Data!$N$2:$N$3520,Sales_Data!$C$2:$C$3520,$A68,Sales_Data!$F$2:$F$3520,E$7,Sales_Data!$AE$2:$AE$3520,1),SUMIFS(Sales_Data!$AE$2:$AE$3520,Sales_Data!$C$2:$C$3520,$A68,Sales_Data!$F$2:$F$3520,E$7)))</f>
        <v>0</v>
      </c>
      <c r="F68" s="26" t="n">
        <f aca="false">IF(F$7="","",CHOOSE(MATCH($B$4,Lists!$C$2:$C$5,0),SUMIFS(Sales_Data!$O$2:$O$3520,Sales_Data!$C$2:$C$3520,$A68,Sales_Data!$F$2:$F$3520,F$7,Sales_Data!$AE$2:$AE$3520,1),SUMIFS(Sales_Data!$M$2:$M$3520,Sales_Data!$C$2:$C$3520,$A68,Sales_Data!$F$2:$F$3520,F$7,Sales_Data!$AE$2:$AE$3520,1),SUMIFS(Sales_Data!$N$2:$N$3520,Sales_Data!$C$2:$C$3520,$A68,Sales_Data!$F$2:$F$3520,F$7,Sales_Data!$AE$2:$AE$3520,1),SUMIFS(Sales_Data!$AE$2:$AE$3520,Sales_Data!$C$2:$C$3520,$A68,Sales_Data!$F$2:$F$3520,F$7)))</f>
        <v>0</v>
      </c>
      <c r="G68" s="26" t="n">
        <f aca="false">IF(G$7="","",CHOOSE(MATCH($B$4,Lists!$C$2:$C$5,0),SUMIFS(Sales_Data!$O$2:$O$3520,Sales_Data!$C$2:$C$3520,$A68,Sales_Data!$F$2:$F$3520,G$7,Sales_Data!$AE$2:$AE$3520,1),SUMIFS(Sales_Data!$M$2:$M$3520,Sales_Data!$C$2:$C$3520,$A68,Sales_Data!$F$2:$F$3520,G$7,Sales_Data!$AE$2:$AE$3520,1),SUMIFS(Sales_Data!$N$2:$N$3520,Sales_Data!$C$2:$C$3520,$A68,Sales_Data!$F$2:$F$3520,G$7,Sales_Data!$AE$2:$AE$3520,1),SUMIFS(Sales_Data!$AE$2:$AE$3520,Sales_Data!$C$2:$C$3520,$A68,Sales_Data!$F$2:$F$3520,G$7)))</f>
        <v>0</v>
      </c>
      <c r="H68" s="26" t="n">
        <f aca="false">IF(H$7="","",CHOOSE(MATCH($B$4,Lists!$C$2:$C$5,0),SUMIFS(Sales_Data!$O$2:$O$3520,Sales_Data!$C$2:$C$3520,$A68,Sales_Data!$F$2:$F$3520,H$7,Sales_Data!$AE$2:$AE$3520,1),SUMIFS(Sales_Data!$M$2:$M$3520,Sales_Data!$C$2:$C$3520,$A68,Sales_Data!$F$2:$F$3520,H$7,Sales_Data!$AE$2:$AE$3520,1),SUMIFS(Sales_Data!$N$2:$N$3520,Sales_Data!$C$2:$C$3520,$A68,Sales_Data!$F$2:$F$3520,H$7,Sales_Data!$AE$2:$AE$3520,1),SUMIFS(Sales_Data!$AE$2:$AE$3520,Sales_Data!$C$2:$C$3520,$A68,Sales_Data!$F$2:$F$3520,H$7)))</f>
        <v>0</v>
      </c>
      <c r="I68" s="26" t="n">
        <f aca="false">IF(I$7="","",CHOOSE(MATCH($B$4,Lists!$C$2:$C$5,0),SUMIFS(Sales_Data!$O$2:$O$3520,Sales_Data!$C$2:$C$3520,$A68,Sales_Data!$F$2:$F$3520,I$7,Sales_Data!$AE$2:$AE$3520,1),SUMIFS(Sales_Data!$M$2:$M$3520,Sales_Data!$C$2:$C$3520,$A68,Sales_Data!$F$2:$F$3520,I$7,Sales_Data!$AE$2:$AE$3520,1),SUMIFS(Sales_Data!$N$2:$N$3520,Sales_Data!$C$2:$C$3520,$A68,Sales_Data!$F$2:$F$3520,I$7,Sales_Data!$AE$2:$AE$3520,1),SUMIFS(Sales_Data!$AE$2:$AE$3520,Sales_Data!$C$2:$C$3520,$A68,Sales_Data!$F$2:$F$3520,I$7)))</f>
        <v>0</v>
      </c>
      <c r="J68" s="26" t="n">
        <f aca="false">IF(J$7="","",CHOOSE(MATCH($B$4,Lists!$C$2:$C$5,0),SUMIFS(Sales_Data!$O$2:$O$3520,Sales_Data!$C$2:$C$3520,$A68,Sales_Data!$F$2:$F$3520,J$7,Sales_Data!$AE$2:$AE$3520,1),SUMIFS(Sales_Data!$M$2:$M$3520,Sales_Data!$C$2:$C$3520,$A68,Sales_Data!$F$2:$F$3520,J$7,Sales_Data!$AE$2:$AE$3520,1),SUMIFS(Sales_Data!$N$2:$N$3520,Sales_Data!$C$2:$C$3520,$A68,Sales_Data!$F$2:$F$3520,J$7,Sales_Data!$AE$2:$AE$3520,1),SUMIFS(Sales_Data!$AE$2:$AE$3520,Sales_Data!$C$2:$C$3520,$A68,Sales_Data!$F$2:$F$3520,J$7)))</f>
        <v>0</v>
      </c>
      <c r="K68" s="26" t="n">
        <f aca="false">IF(K$7="","",CHOOSE(MATCH($B$4,Lists!$C$2:$C$5,0),SUMIFS(Sales_Data!$O$2:$O$3520,Sales_Data!$C$2:$C$3520,$A68,Sales_Data!$F$2:$F$3520,K$7,Sales_Data!$AE$2:$AE$3520,1),SUMIFS(Sales_Data!$M$2:$M$3520,Sales_Data!$C$2:$C$3520,$A68,Sales_Data!$F$2:$F$3520,K$7,Sales_Data!$AE$2:$AE$3520,1),SUMIFS(Sales_Data!$N$2:$N$3520,Sales_Data!$C$2:$C$3520,$A68,Sales_Data!$F$2:$F$3520,K$7,Sales_Data!$AE$2:$AE$3520,1),SUMIFS(Sales_Data!$AE$2:$AE$3520,Sales_Data!$C$2:$C$3520,$A68,Sales_Data!$F$2:$F$3520,K$7)))</f>
        <v>0</v>
      </c>
      <c r="L68" s="26" t="n">
        <f aca="false">IF(L$7="","",CHOOSE(MATCH($B$4,Lists!$C$2:$C$5,0),SUMIFS(Sales_Data!$O$2:$O$3520,Sales_Data!$C$2:$C$3520,$A68,Sales_Data!$F$2:$F$3520,L$7,Sales_Data!$AE$2:$AE$3520,1),SUMIFS(Sales_Data!$M$2:$M$3520,Sales_Data!$C$2:$C$3520,$A68,Sales_Data!$F$2:$F$3520,L$7,Sales_Data!$AE$2:$AE$3520,1),SUMIFS(Sales_Data!$N$2:$N$3520,Sales_Data!$C$2:$C$3520,$A68,Sales_Data!$F$2:$F$3520,L$7,Sales_Data!$AE$2:$AE$3520,1),SUMIFS(Sales_Data!$AE$2:$AE$3520,Sales_Data!$C$2:$C$3520,$A68,Sales_Data!$F$2:$F$3520,L$7)))</f>
        <v>0</v>
      </c>
      <c r="M68" s="26" t="n">
        <f aca="false">IF(M$7="","",CHOOSE(MATCH($B$4,Lists!$C$2:$C$5,0),SUMIFS(Sales_Data!$O$2:$O$3520,Sales_Data!$C$2:$C$3520,$A68,Sales_Data!$F$2:$F$3520,M$7,Sales_Data!$AE$2:$AE$3520,1),SUMIFS(Sales_Data!$M$2:$M$3520,Sales_Data!$C$2:$C$3520,$A68,Sales_Data!$F$2:$F$3520,M$7,Sales_Data!$AE$2:$AE$3520,1),SUMIFS(Sales_Data!$N$2:$N$3520,Sales_Data!$C$2:$C$3520,$A68,Sales_Data!$F$2:$F$3520,M$7,Sales_Data!$AE$2:$AE$3520,1),SUMIFS(Sales_Data!$AE$2:$AE$3520,Sales_Data!$C$2:$C$3520,$A68,Sales_Data!$F$2:$F$3520,M$7)))</f>
        <v>0</v>
      </c>
      <c r="N68" s="26" t="n">
        <f aca="false">IF(N$7="","",CHOOSE(MATCH($B$4,Lists!$C$2:$C$5,0),SUMIFS(Sales_Data!$O$2:$O$3520,Sales_Data!$C$2:$C$3520,$A68,Sales_Data!$F$2:$F$3520,N$7,Sales_Data!$AE$2:$AE$3520,1),SUMIFS(Sales_Data!$M$2:$M$3520,Sales_Data!$C$2:$C$3520,$A68,Sales_Data!$F$2:$F$3520,N$7,Sales_Data!$AE$2:$AE$3520,1),SUMIFS(Sales_Data!$N$2:$N$3520,Sales_Data!$C$2:$C$3520,$A68,Sales_Data!$F$2:$F$3520,N$7,Sales_Data!$AE$2:$AE$3520,1),SUMIFS(Sales_Data!$AE$2:$AE$3520,Sales_Data!$C$2:$C$3520,$A68,Sales_Data!$F$2:$F$3520,N$7)))</f>
        <v>0</v>
      </c>
      <c r="O68" s="26" t="n">
        <f aca="false">IF(O$7="","",CHOOSE(MATCH($B$4,Lists!$C$2:$C$5,0),SUMIFS(Sales_Data!$O$2:$O$3520,Sales_Data!$C$2:$C$3520,$A68,Sales_Data!$F$2:$F$3520,O$7,Sales_Data!$AE$2:$AE$3520,1),SUMIFS(Sales_Data!$M$2:$M$3520,Sales_Data!$C$2:$C$3520,$A68,Sales_Data!$F$2:$F$3520,O$7,Sales_Data!$AE$2:$AE$3520,1),SUMIFS(Sales_Data!$N$2:$N$3520,Sales_Data!$C$2:$C$3520,$A68,Sales_Data!$F$2:$F$3520,O$7,Sales_Data!$AE$2:$AE$3520,1),SUMIFS(Sales_Data!$AE$2:$AE$3520,Sales_Data!$C$2:$C$3520,$A68,Sales_Data!$F$2:$F$3520,O$7)))</f>
        <v>0</v>
      </c>
      <c r="P68" s="26" t="n">
        <f aca="false">IF(P$7="","",CHOOSE(MATCH($B$4,Lists!$C$2:$C$5,0),SUMIFS(Sales_Data!$O$2:$O$3520,Sales_Data!$C$2:$C$3520,$A68,Sales_Data!$F$2:$F$3520,P$7,Sales_Data!$AE$2:$AE$3520,1),SUMIFS(Sales_Data!$M$2:$M$3520,Sales_Data!$C$2:$C$3520,$A68,Sales_Data!$F$2:$F$3520,P$7,Sales_Data!$AE$2:$AE$3520,1),SUMIFS(Sales_Data!$N$2:$N$3520,Sales_Data!$C$2:$C$3520,$A68,Sales_Data!$F$2:$F$3520,P$7,Sales_Data!$AE$2:$AE$3520,1),SUMIFS(Sales_Data!$AE$2:$AE$3520,Sales_Data!$C$2:$C$3520,$A68,Sales_Data!$F$2:$F$3520,P$7)))</f>
        <v>0</v>
      </c>
      <c r="Q68" s="26" t="n">
        <f aca="false">IF(Q$7="","",CHOOSE(MATCH($B$4,Lists!$C$2:$C$5,0),SUMIFS(Sales_Data!$O$2:$O$3520,Sales_Data!$C$2:$C$3520,$A68,Sales_Data!$F$2:$F$3520,Q$7,Sales_Data!$AE$2:$AE$3520,1),SUMIFS(Sales_Data!$M$2:$M$3520,Sales_Data!$C$2:$C$3520,$A68,Sales_Data!$F$2:$F$3520,Q$7,Sales_Data!$AE$2:$AE$3520,1),SUMIFS(Sales_Data!$N$2:$N$3520,Sales_Data!$C$2:$C$3520,$A68,Sales_Data!$F$2:$F$3520,Q$7,Sales_Data!$AE$2:$AE$3520,1),SUMIFS(Sales_Data!$AE$2:$AE$3520,Sales_Data!$C$2:$C$3520,$A68,Sales_Data!$F$2:$F$3520,Q$7)))</f>
        <v>0</v>
      </c>
      <c r="R68" s="26" t="n">
        <f aca="false">IF(R$7="","",CHOOSE(MATCH($B$4,Lists!$C$2:$C$5,0),SUMIFS(Sales_Data!$O$2:$O$3520,Sales_Data!$C$2:$C$3520,$A68,Sales_Data!$F$2:$F$3520,R$7,Sales_Data!$AE$2:$AE$3520,1),SUMIFS(Sales_Data!$M$2:$M$3520,Sales_Data!$C$2:$C$3520,$A68,Sales_Data!$F$2:$F$3520,R$7,Sales_Data!$AE$2:$AE$3520,1),SUMIFS(Sales_Data!$N$2:$N$3520,Sales_Data!$C$2:$C$3520,$A68,Sales_Data!$F$2:$F$3520,R$7,Sales_Data!$AE$2:$AE$3520,1),SUMIFS(Sales_Data!$AE$2:$AE$3520,Sales_Data!$C$2:$C$3520,$A68,Sales_Data!$F$2:$F$3520,R$7)))</f>
        <v>0</v>
      </c>
      <c r="S68" s="26" t="n">
        <f aca="false">IF(S$7="","",CHOOSE(MATCH($B$4,Lists!$C$2:$C$5,0),SUMIFS(Sales_Data!$O$2:$O$3520,Sales_Data!$C$2:$C$3520,$A68,Sales_Data!$F$2:$F$3520,S$7,Sales_Data!$AE$2:$AE$3520,1),SUMIFS(Sales_Data!$M$2:$M$3520,Sales_Data!$C$2:$C$3520,$A68,Sales_Data!$F$2:$F$3520,S$7,Sales_Data!$AE$2:$AE$3520,1),SUMIFS(Sales_Data!$N$2:$N$3520,Sales_Data!$C$2:$C$3520,$A68,Sales_Data!$F$2:$F$3520,S$7,Sales_Data!$AE$2:$AE$3520,1),SUMIFS(Sales_Data!$AE$2:$AE$3520,Sales_Data!$C$2:$C$3520,$A68,Sales_Data!$F$2:$F$3520,S$7)))</f>
        <v>0</v>
      </c>
      <c r="T68" s="26" t="str">
        <f aca="false">IF(T$7="","",CHOOSE(MATCH($B$4,Lists!$C$2:$C$5,0),SUMIFS(Sales_Data!$O$2:$O$3520,Sales_Data!$C$2:$C$3520,$A68,Sales_Data!$F$2:$F$3520,T$7,Sales_Data!$AE$2:$AE$3520,1),SUMIFS(Sales_Data!$M$2:$M$3520,Sales_Data!$C$2:$C$3520,$A68,Sales_Data!$F$2:$F$3520,T$7,Sales_Data!$AE$2:$AE$3520,1),SUMIFS(Sales_Data!$N$2:$N$3520,Sales_Data!$C$2:$C$3520,$A68,Sales_Data!$F$2:$F$3520,T$7,Sales_Data!$AE$2:$AE$3520,1),SUMIFS(Sales_Data!$AE$2:$AE$3520,Sales_Data!$C$2:$C$3520,$A68,Sales_Data!$F$2:$F$3520,T$7)))</f>
        <v/>
      </c>
      <c r="U68" s="26" t="str">
        <f aca="false">IF(U$7="","",CHOOSE(MATCH($B$4,Lists!$C$2:$C$5,0),SUMIFS(Sales_Data!$O$2:$O$3520,Sales_Data!$C$2:$C$3520,$A68,Sales_Data!$F$2:$F$3520,U$7,Sales_Data!$AE$2:$AE$3520,1),SUMIFS(Sales_Data!$M$2:$M$3520,Sales_Data!$C$2:$C$3520,$A68,Sales_Data!$F$2:$F$3520,U$7,Sales_Data!$AE$2:$AE$3520,1),SUMIFS(Sales_Data!$N$2:$N$3520,Sales_Data!$C$2:$C$3520,$A68,Sales_Data!$F$2:$F$3520,U$7,Sales_Data!$AE$2:$AE$3520,1),SUMIFS(Sales_Data!$AE$2:$AE$3520,Sales_Data!$C$2:$C$3520,$A68,Sales_Data!$F$2:$F$3520,U$7)))</f>
        <v/>
      </c>
      <c r="V68" s="26" t="str">
        <f aca="false">IF(V$7="","",CHOOSE(MATCH($B$4,Lists!$C$2:$C$5,0),SUMIFS(Sales_Data!$O$2:$O$3520,Sales_Data!$C$2:$C$3520,$A68,Sales_Data!$F$2:$F$3520,V$7,Sales_Data!$AE$2:$AE$3520,1),SUMIFS(Sales_Data!$M$2:$M$3520,Sales_Data!$C$2:$C$3520,$A68,Sales_Data!$F$2:$F$3520,V$7,Sales_Data!$AE$2:$AE$3520,1),SUMIFS(Sales_Data!$N$2:$N$3520,Sales_Data!$C$2:$C$3520,$A68,Sales_Data!$F$2:$F$3520,V$7,Sales_Data!$AE$2:$AE$3520,1),SUMIFS(Sales_Data!$AE$2:$AE$3520,Sales_Data!$C$2:$C$3520,$A68,Sales_Data!$F$2:$F$3520,V$7)))</f>
        <v/>
      </c>
      <c r="W68" s="26" t="str">
        <f aca="false">IF(W$7="","",CHOOSE(MATCH($B$4,Lists!$C$2:$C$5,0),SUMIFS(Sales_Data!$O$2:$O$3520,Sales_Data!$C$2:$C$3520,$A68,Sales_Data!$F$2:$F$3520,W$7,Sales_Data!$AE$2:$AE$3520,1),SUMIFS(Sales_Data!$M$2:$M$3520,Sales_Data!$C$2:$C$3520,$A68,Sales_Data!$F$2:$F$3520,W$7,Sales_Data!$AE$2:$AE$3520,1),SUMIFS(Sales_Data!$N$2:$N$3520,Sales_Data!$C$2:$C$3520,$A68,Sales_Data!$F$2:$F$3520,W$7,Sales_Data!$AE$2:$AE$3520,1),SUMIFS(Sales_Data!$AE$2:$AE$3520,Sales_Data!$C$2:$C$3520,$A68,Sales_Data!$F$2:$F$3520,W$7)))</f>
        <v/>
      </c>
      <c r="X68" s="26" t="str">
        <f aca="false">IF(X$7="","",CHOOSE(MATCH($B$4,Lists!$C$2:$C$5,0),SUMIFS(Sales_Data!$O$2:$O$3520,Sales_Data!$C$2:$C$3520,$A68,Sales_Data!$F$2:$F$3520,X$7,Sales_Data!$AE$2:$AE$3520,1),SUMIFS(Sales_Data!$M$2:$M$3520,Sales_Data!$C$2:$C$3520,$A68,Sales_Data!$F$2:$F$3520,X$7,Sales_Data!$AE$2:$AE$3520,1),SUMIFS(Sales_Data!$N$2:$N$3520,Sales_Data!$C$2:$C$3520,$A68,Sales_Data!$F$2:$F$3520,X$7,Sales_Data!$AE$2:$AE$3520,1),SUMIFS(Sales_Data!$AE$2:$AE$3520,Sales_Data!$C$2:$C$3520,$A68,Sales_Data!$F$2:$F$3520,X$7)))</f>
        <v/>
      </c>
      <c r="Y68" s="26" t="str">
        <f aca="false">IF(Y$7="","",CHOOSE(MATCH($B$4,Lists!$C$2:$C$5,0),SUMIFS(Sales_Data!$O$2:$O$3520,Sales_Data!$C$2:$C$3520,$A68,Sales_Data!$F$2:$F$3520,Y$7,Sales_Data!$AE$2:$AE$3520,1),SUMIFS(Sales_Data!$M$2:$M$3520,Sales_Data!$C$2:$C$3520,$A68,Sales_Data!$F$2:$F$3520,Y$7,Sales_Data!$AE$2:$AE$3520,1),SUMIFS(Sales_Data!$N$2:$N$3520,Sales_Data!$C$2:$C$3520,$A68,Sales_Data!$F$2:$F$3520,Y$7,Sales_Data!$AE$2:$AE$3520,1),SUMIFS(Sales_Data!$AE$2:$AE$3520,Sales_Data!$C$2:$C$3520,$A68,Sales_Data!$F$2:$F$3520,Y$7)))</f>
        <v/>
      </c>
      <c r="Z68" s="26" t="str">
        <f aca="false">IF(Z$7="","",CHOOSE(MATCH($B$4,Lists!$C$2:$C$5,0),SUMIFS(Sales_Data!$O$2:$O$3520,Sales_Data!$C$2:$C$3520,$A68,Sales_Data!$F$2:$F$3520,Z$7,Sales_Data!$AE$2:$AE$3520,1),SUMIFS(Sales_Data!$M$2:$M$3520,Sales_Data!$C$2:$C$3520,$A68,Sales_Data!$F$2:$F$3520,Z$7,Sales_Data!$AE$2:$AE$3520,1),SUMIFS(Sales_Data!$N$2:$N$3520,Sales_Data!$C$2:$C$3520,$A68,Sales_Data!$F$2:$F$3520,Z$7,Sales_Data!$AE$2:$AE$3520,1),SUMIFS(Sales_Data!$AE$2:$AE$3520,Sales_Data!$C$2:$C$3520,$A68,Sales_Data!$F$2:$F$3520,Z$7)))</f>
        <v/>
      </c>
      <c r="AA68" s="27" t="n">
        <f aca="false">SUM(B68:Z68)</f>
        <v>0</v>
      </c>
      <c r="AB68" s="3"/>
      <c r="AC68" s="72" t="n">
        <f aca="false">A68</f>
        <v>46275</v>
      </c>
      <c r="AD68" s="28" t="n">
        <f aca="false">IF(B68="","",B68-B67)</f>
        <v>0</v>
      </c>
      <c r="AE68" s="28" t="n">
        <f aca="false">IF(C68="","",C68-C67)</f>
        <v>0</v>
      </c>
      <c r="AF68" s="28" t="n">
        <f aca="false">IF(D68="","",D68-D67)</f>
        <v>0</v>
      </c>
      <c r="AG68" s="28" t="n">
        <f aca="false">IF(E68="","",E68-E67)</f>
        <v>0</v>
      </c>
      <c r="AH68" s="28" t="n">
        <f aca="false">IF(F68="","",F68-F67)</f>
        <v>0</v>
      </c>
      <c r="AI68" s="28" t="n">
        <f aca="false">IF(G68="","",G68-G67)</f>
        <v>0</v>
      </c>
      <c r="AJ68" s="28" t="n">
        <f aca="false">IF(H68="","",H68-H67)</f>
        <v>0</v>
      </c>
      <c r="AK68" s="28" t="n">
        <f aca="false">IF(I68="","",I68-I67)</f>
        <v>0</v>
      </c>
      <c r="AL68" s="28" t="n">
        <f aca="false">IF(J68="","",J68-J67)</f>
        <v>0</v>
      </c>
      <c r="AM68" s="28" t="n">
        <f aca="false">IF(K68="","",K68-K67)</f>
        <v>0</v>
      </c>
      <c r="AN68" s="28" t="n">
        <f aca="false">IF(L68="","",L68-L67)</f>
        <v>0</v>
      </c>
      <c r="AO68" s="28" t="n">
        <f aca="false">IF(M68="","",M68-M67)</f>
        <v>0</v>
      </c>
      <c r="AP68" s="28" t="n">
        <f aca="false">IF(N68="","",N68-N67)</f>
        <v>0</v>
      </c>
      <c r="AQ68" s="28" t="n">
        <f aca="false">IF(O68="","",O68-O67)</f>
        <v>0</v>
      </c>
      <c r="AR68" s="28" t="n">
        <f aca="false">IF(P68="","",P68-P67)</f>
        <v>0</v>
      </c>
      <c r="AS68" s="28" t="n">
        <f aca="false">IF(Q68="","",Q68-Q67)</f>
        <v>0</v>
      </c>
      <c r="AT68" s="28" t="n">
        <f aca="false">IF(R68="","",R68-R67)</f>
        <v>0</v>
      </c>
      <c r="AU68" s="28" t="n">
        <f aca="false">IF(S68="","",S68-S67)</f>
        <v>0</v>
      </c>
      <c r="AV68" s="28" t="str">
        <f aca="false">IF(T68="","",T68-T67)</f>
        <v/>
      </c>
      <c r="AW68" s="28" t="str">
        <f aca="false">IF(U68="","",U68-U67)</f>
        <v/>
      </c>
      <c r="AX68" s="28" t="str">
        <f aca="false">IF(V68="","",V68-V67)</f>
        <v/>
      </c>
      <c r="AY68" s="28" t="str">
        <f aca="false">IF(W68="","",W68-W67)</f>
        <v/>
      </c>
      <c r="AZ68" s="28" t="str">
        <f aca="false">IF(X68="","",X68-X67)</f>
        <v/>
      </c>
      <c r="BA68" s="28" t="str">
        <f aca="false">IF(Y68="","",Y68-Y67)</f>
        <v/>
      </c>
      <c r="BB68" s="28" t="str">
        <f aca="false">IF(Z68="","",Z68-Z67)</f>
        <v/>
      </c>
      <c r="BC68" s="28" t="n">
        <f aca="false">IF(AA68="","",AA68-AA67)</f>
        <v>0</v>
      </c>
    </row>
    <row r="69" customFormat="false" ht="15" hidden="false" customHeight="false" outlineLevel="0" collapsed="false">
      <c r="A69" s="72" t="n">
        <v>46276</v>
      </c>
      <c r="B69" s="26" t="n">
        <f aca="false">IF(B$7="","",CHOOSE(MATCH($B$4,Lists!$C$2:$C$5,0),SUMIFS(Sales_Data!$O$2:$O$3520,Sales_Data!$C$2:$C$3520,$A69,Sales_Data!$F$2:$F$3520,B$7,Sales_Data!$AE$2:$AE$3520,1),SUMIFS(Sales_Data!$M$2:$M$3520,Sales_Data!$C$2:$C$3520,$A69,Sales_Data!$F$2:$F$3520,B$7,Sales_Data!$AE$2:$AE$3520,1),SUMIFS(Sales_Data!$N$2:$N$3520,Sales_Data!$C$2:$C$3520,$A69,Sales_Data!$F$2:$F$3520,B$7,Sales_Data!$AE$2:$AE$3520,1),SUMIFS(Sales_Data!$AE$2:$AE$3520,Sales_Data!$C$2:$C$3520,$A69,Sales_Data!$F$2:$F$3520,B$7)))</f>
        <v>0</v>
      </c>
      <c r="C69" s="26" t="n">
        <f aca="false">IF(C$7="","",CHOOSE(MATCH($B$4,Lists!$C$2:$C$5,0),SUMIFS(Sales_Data!$O$2:$O$3520,Sales_Data!$C$2:$C$3520,$A69,Sales_Data!$F$2:$F$3520,C$7,Sales_Data!$AE$2:$AE$3520,1),SUMIFS(Sales_Data!$M$2:$M$3520,Sales_Data!$C$2:$C$3520,$A69,Sales_Data!$F$2:$F$3520,C$7,Sales_Data!$AE$2:$AE$3520,1),SUMIFS(Sales_Data!$N$2:$N$3520,Sales_Data!$C$2:$C$3520,$A69,Sales_Data!$F$2:$F$3520,C$7,Sales_Data!$AE$2:$AE$3520,1),SUMIFS(Sales_Data!$AE$2:$AE$3520,Sales_Data!$C$2:$C$3520,$A69,Sales_Data!$F$2:$F$3520,C$7)))</f>
        <v>0</v>
      </c>
      <c r="D69" s="26" t="n">
        <f aca="false">IF(D$7="","",CHOOSE(MATCH($B$4,Lists!$C$2:$C$5,0),SUMIFS(Sales_Data!$O$2:$O$3520,Sales_Data!$C$2:$C$3520,$A69,Sales_Data!$F$2:$F$3520,D$7,Sales_Data!$AE$2:$AE$3520,1),SUMIFS(Sales_Data!$M$2:$M$3520,Sales_Data!$C$2:$C$3520,$A69,Sales_Data!$F$2:$F$3520,D$7,Sales_Data!$AE$2:$AE$3520,1),SUMIFS(Sales_Data!$N$2:$N$3520,Sales_Data!$C$2:$C$3520,$A69,Sales_Data!$F$2:$F$3520,D$7,Sales_Data!$AE$2:$AE$3520,1),SUMIFS(Sales_Data!$AE$2:$AE$3520,Sales_Data!$C$2:$C$3520,$A69,Sales_Data!$F$2:$F$3520,D$7)))</f>
        <v>0</v>
      </c>
      <c r="E69" s="26" t="n">
        <f aca="false">IF(E$7="","",CHOOSE(MATCH($B$4,Lists!$C$2:$C$5,0),SUMIFS(Sales_Data!$O$2:$O$3520,Sales_Data!$C$2:$C$3520,$A69,Sales_Data!$F$2:$F$3520,E$7,Sales_Data!$AE$2:$AE$3520,1),SUMIFS(Sales_Data!$M$2:$M$3520,Sales_Data!$C$2:$C$3520,$A69,Sales_Data!$F$2:$F$3520,E$7,Sales_Data!$AE$2:$AE$3520,1),SUMIFS(Sales_Data!$N$2:$N$3520,Sales_Data!$C$2:$C$3520,$A69,Sales_Data!$F$2:$F$3520,E$7,Sales_Data!$AE$2:$AE$3520,1),SUMIFS(Sales_Data!$AE$2:$AE$3520,Sales_Data!$C$2:$C$3520,$A69,Sales_Data!$F$2:$F$3520,E$7)))</f>
        <v>0</v>
      </c>
      <c r="F69" s="26" t="n">
        <f aca="false">IF(F$7="","",CHOOSE(MATCH($B$4,Lists!$C$2:$C$5,0),SUMIFS(Sales_Data!$O$2:$O$3520,Sales_Data!$C$2:$C$3520,$A69,Sales_Data!$F$2:$F$3520,F$7,Sales_Data!$AE$2:$AE$3520,1),SUMIFS(Sales_Data!$M$2:$M$3520,Sales_Data!$C$2:$C$3520,$A69,Sales_Data!$F$2:$F$3520,F$7,Sales_Data!$AE$2:$AE$3520,1),SUMIFS(Sales_Data!$N$2:$N$3520,Sales_Data!$C$2:$C$3520,$A69,Sales_Data!$F$2:$F$3520,F$7,Sales_Data!$AE$2:$AE$3520,1),SUMIFS(Sales_Data!$AE$2:$AE$3520,Sales_Data!$C$2:$C$3520,$A69,Sales_Data!$F$2:$F$3520,F$7)))</f>
        <v>0</v>
      </c>
      <c r="G69" s="26" t="n">
        <f aca="false">IF(G$7="","",CHOOSE(MATCH($B$4,Lists!$C$2:$C$5,0),SUMIFS(Sales_Data!$O$2:$O$3520,Sales_Data!$C$2:$C$3520,$A69,Sales_Data!$F$2:$F$3520,G$7,Sales_Data!$AE$2:$AE$3520,1),SUMIFS(Sales_Data!$M$2:$M$3520,Sales_Data!$C$2:$C$3520,$A69,Sales_Data!$F$2:$F$3520,G$7,Sales_Data!$AE$2:$AE$3520,1),SUMIFS(Sales_Data!$N$2:$N$3520,Sales_Data!$C$2:$C$3520,$A69,Sales_Data!$F$2:$F$3520,G$7,Sales_Data!$AE$2:$AE$3520,1),SUMIFS(Sales_Data!$AE$2:$AE$3520,Sales_Data!$C$2:$C$3520,$A69,Sales_Data!$F$2:$F$3520,G$7)))</f>
        <v>0</v>
      </c>
      <c r="H69" s="26" t="n">
        <f aca="false">IF(H$7="","",CHOOSE(MATCH($B$4,Lists!$C$2:$C$5,0),SUMIFS(Sales_Data!$O$2:$O$3520,Sales_Data!$C$2:$C$3520,$A69,Sales_Data!$F$2:$F$3520,H$7,Sales_Data!$AE$2:$AE$3520,1),SUMIFS(Sales_Data!$M$2:$M$3520,Sales_Data!$C$2:$C$3520,$A69,Sales_Data!$F$2:$F$3520,H$7,Sales_Data!$AE$2:$AE$3520,1),SUMIFS(Sales_Data!$N$2:$N$3520,Sales_Data!$C$2:$C$3520,$A69,Sales_Data!$F$2:$F$3520,H$7,Sales_Data!$AE$2:$AE$3520,1),SUMIFS(Sales_Data!$AE$2:$AE$3520,Sales_Data!$C$2:$C$3520,$A69,Sales_Data!$F$2:$F$3520,H$7)))</f>
        <v>0</v>
      </c>
      <c r="I69" s="26" t="n">
        <f aca="false">IF(I$7="","",CHOOSE(MATCH($B$4,Lists!$C$2:$C$5,0),SUMIFS(Sales_Data!$O$2:$O$3520,Sales_Data!$C$2:$C$3520,$A69,Sales_Data!$F$2:$F$3520,I$7,Sales_Data!$AE$2:$AE$3520,1),SUMIFS(Sales_Data!$M$2:$M$3520,Sales_Data!$C$2:$C$3520,$A69,Sales_Data!$F$2:$F$3520,I$7,Sales_Data!$AE$2:$AE$3520,1),SUMIFS(Sales_Data!$N$2:$N$3520,Sales_Data!$C$2:$C$3520,$A69,Sales_Data!$F$2:$F$3520,I$7,Sales_Data!$AE$2:$AE$3520,1),SUMIFS(Sales_Data!$AE$2:$AE$3520,Sales_Data!$C$2:$C$3520,$A69,Sales_Data!$F$2:$F$3520,I$7)))</f>
        <v>0</v>
      </c>
      <c r="J69" s="26" t="n">
        <f aca="false">IF(J$7="","",CHOOSE(MATCH($B$4,Lists!$C$2:$C$5,0),SUMIFS(Sales_Data!$O$2:$O$3520,Sales_Data!$C$2:$C$3520,$A69,Sales_Data!$F$2:$F$3520,J$7,Sales_Data!$AE$2:$AE$3520,1),SUMIFS(Sales_Data!$M$2:$M$3520,Sales_Data!$C$2:$C$3520,$A69,Sales_Data!$F$2:$F$3520,J$7,Sales_Data!$AE$2:$AE$3520,1),SUMIFS(Sales_Data!$N$2:$N$3520,Sales_Data!$C$2:$C$3520,$A69,Sales_Data!$F$2:$F$3520,J$7,Sales_Data!$AE$2:$AE$3520,1),SUMIFS(Sales_Data!$AE$2:$AE$3520,Sales_Data!$C$2:$C$3520,$A69,Sales_Data!$F$2:$F$3520,J$7)))</f>
        <v>0</v>
      </c>
      <c r="K69" s="26" t="n">
        <f aca="false">IF(K$7="","",CHOOSE(MATCH($B$4,Lists!$C$2:$C$5,0),SUMIFS(Sales_Data!$O$2:$O$3520,Sales_Data!$C$2:$C$3520,$A69,Sales_Data!$F$2:$F$3520,K$7,Sales_Data!$AE$2:$AE$3520,1),SUMIFS(Sales_Data!$M$2:$M$3520,Sales_Data!$C$2:$C$3520,$A69,Sales_Data!$F$2:$F$3520,K$7,Sales_Data!$AE$2:$AE$3520,1),SUMIFS(Sales_Data!$N$2:$N$3520,Sales_Data!$C$2:$C$3520,$A69,Sales_Data!$F$2:$F$3520,K$7,Sales_Data!$AE$2:$AE$3520,1),SUMIFS(Sales_Data!$AE$2:$AE$3520,Sales_Data!$C$2:$C$3520,$A69,Sales_Data!$F$2:$F$3520,K$7)))</f>
        <v>0</v>
      </c>
      <c r="L69" s="26" t="n">
        <f aca="false">IF(L$7="","",CHOOSE(MATCH($B$4,Lists!$C$2:$C$5,0),SUMIFS(Sales_Data!$O$2:$O$3520,Sales_Data!$C$2:$C$3520,$A69,Sales_Data!$F$2:$F$3520,L$7,Sales_Data!$AE$2:$AE$3520,1),SUMIFS(Sales_Data!$M$2:$M$3520,Sales_Data!$C$2:$C$3520,$A69,Sales_Data!$F$2:$F$3520,L$7,Sales_Data!$AE$2:$AE$3520,1),SUMIFS(Sales_Data!$N$2:$N$3520,Sales_Data!$C$2:$C$3520,$A69,Sales_Data!$F$2:$F$3520,L$7,Sales_Data!$AE$2:$AE$3520,1),SUMIFS(Sales_Data!$AE$2:$AE$3520,Sales_Data!$C$2:$C$3520,$A69,Sales_Data!$F$2:$F$3520,L$7)))</f>
        <v>0</v>
      </c>
      <c r="M69" s="26" t="n">
        <f aca="false">IF(M$7="","",CHOOSE(MATCH($B$4,Lists!$C$2:$C$5,0),SUMIFS(Sales_Data!$O$2:$O$3520,Sales_Data!$C$2:$C$3520,$A69,Sales_Data!$F$2:$F$3520,M$7,Sales_Data!$AE$2:$AE$3520,1),SUMIFS(Sales_Data!$M$2:$M$3520,Sales_Data!$C$2:$C$3520,$A69,Sales_Data!$F$2:$F$3520,M$7,Sales_Data!$AE$2:$AE$3520,1),SUMIFS(Sales_Data!$N$2:$N$3520,Sales_Data!$C$2:$C$3520,$A69,Sales_Data!$F$2:$F$3520,M$7,Sales_Data!$AE$2:$AE$3520,1),SUMIFS(Sales_Data!$AE$2:$AE$3520,Sales_Data!$C$2:$C$3520,$A69,Sales_Data!$F$2:$F$3520,M$7)))</f>
        <v>0</v>
      </c>
      <c r="N69" s="26" t="n">
        <f aca="false">IF(N$7="","",CHOOSE(MATCH($B$4,Lists!$C$2:$C$5,0),SUMIFS(Sales_Data!$O$2:$O$3520,Sales_Data!$C$2:$C$3520,$A69,Sales_Data!$F$2:$F$3520,N$7,Sales_Data!$AE$2:$AE$3520,1),SUMIFS(Sales_Data!$M$2:$M$3520,Sales_Data!$C$2:$C$3520,$A69,Sales_Data!$F$2:$F$3520,N$7,Sales_Data!$AE$2:$AE$3520,1),SUMIFS(Sales_Data!$N$2:$N$3520,Sales_Data!$C$2:$C$3520,$A69,Sales_Data!$F$2:$F$3520,N$7,Sales_Data!$AE$2:$AE$3520,1),SUMIFS(Sales_Data!$AE$2:$AE$3520,Sales_Data!$C$2:$C$3520,$A69,Sales_Data!$F$2:$F$3520,N$7)))</f>
        <v>0</v>
      </c>
      <c r="O69" s="26" t="n">
        <f aca="false">IF(O$7="","",CHOOSE(MATCH($B$4,Lists!$C$2:$C$5,0),SUMIFS(Sales_Data!$O$2:$O$3520,Sales_Data!$C$2:$C$3520,$A69,Sales_Data!$F$2:$F$3520,O$7,Sales_Data!$AE$2:$AE$3520,1),SUMIFS(Sales_Data!$M$2:$M$3520,Sales_Data!$C$2:$C$3520,$A69,Sales_Data!$F$2:$F$3520,O$7,Sales_Data!$AE$2:$AE$3520,1),SUMIFS(Sales_Data!$N$2:$N$3520,Sales_Data!$C$2:$C$3520,$A69,Sales_Data!$F$2:$F$3520,O$7,Sales_Data!$AE$2:$AE$3520,1),SUMIFS(Sales_Data!$AE$2:$AE$3520,Sales_Data!$C$2:$C$3520,$A69,Sales_Data!$F$2:$F$3520,O$7)))</f>
        <v>0</v>
      </c>
      <c r="P69" s="26" t="n">
        <f aca="false">IF(P$7="","",CHOOSE(MATCH($B$4,Lists!$C$2:$C$5,0),SUMIFS(Sales_Data!$O$2:$O$3520,Sales_Data!$C$2:$C$3520,$A69,Sales_Data!$F$2:$F$3520,P$7,Sales_Data!$AE$2:$AE$3520,1),SUMIFS(Sales_Data!$M$2:$M$3520,Sales_Data!$C$2:$C$3520,$A69,Sales_Data!$F$2:$F$3520,P$7,Sales_Data!$AE$2:$AE$3520,1),SUMIFS(Sales_Data!$N$2:$N$3520,Sales_Data!$C$2:$C$3520,$A69,Sales_Data!$F$2:$F$3520,P$7,Sales_Data!$AE$2:$AE$3520,1),SUMIFS(Sales_Data!$AE$2:$AE$3520,Sales_Data!$C$2:$C$3520,$A69,Sales_Data!$F$2:$F$3520,P$7)))</f>
        <v>0</v>
      </c>
      <c r="Q69" s="26" t="n">
        <f aca="false">IF(Q$7="","",CHOOSE(MATCH($B$4,Lists!$C$2:$C$5,0),SUMIFS(Sales_Data!$O$2:$O$3520,Sales_Data!$C$2:$C$3520,$A69,Sales_Data!$F$2:$F$3520,Q$7,Sales_Data!$AE$2:$AE$3520,1),SUMIFS(Sales_Data!$M$2:$M$3520,Sales_Data!$C$2:$C$3520,$A69,Sales_Data!$F$2:$F$3520,Q$7,Sales_Data!$AE$2:$AE$3520,1),SUMIFS(Sales_Data!$N$2:$N$3520,Sales_Data!$C$2:$C$3520,$A69,Sales_Data!$F$2:$F$3520,Q$7,Sales_Data!$AE$2:$AE$3520,1),SUMIFS(Sales_Data!$AE$2:$AE$3520,Sales_Data!$C$2:$C$3520,$A69,Sales_Data!$F$2:$F$3520,Q$7)))</f>
        <v>0</v>
      </c>
      <c r="R69" s="26" t="n">
        <f aca="false">IF(R$7="","",CHOOSE(MATCH($B$4,Lists!$C$2:$C$5,0),SUMIFS(Sales_Data!$O$2:$O$3520,Sales_Data!$C$2:$C$3520,$A69,Sales_Data!$F$2:$F$3520,R$7,Sales_Data!$AE$2:$AE$3520,1),SUMIFS(Sales_Data!$M$2:$M$3520,Sales_Data!$C$2:$C$3520,$A69,Sales_Data!$F$2:$F$3520,R$7,Sales_Data!$AE$2:$AE$3520,1),SUMIFS(Sales_Data!$N$2:$N$3520,Sales_Data!$C$2:$C$3520,$A69,Sales_Data!$F$2:$F$3520,R$7,Sales_Data!$AE$2:$AE$3520,1),SUMIFS(Sales_Data!$AE$2:$AE$3520,Sales_Data!$C$2:$C$3520,$A69,Sales_Data!$F$2:$F$3520,R$7)))</f>
        <v>0</v>
      </c>
      <c r="S69" s="26" t="n">
        <f aca="false">IF(S$7="","",CHOOSE(MATCH($B$4,Lists!$C$2:$C$5,0),SUMIFS(Sales_Data!$O$2:$O$3520,Sales_Data!$C$2:$C$3520,$A69,Sales_Data!$F$2:$F$3520,S$7,Sales_Data!$AE$2:$AE$3520,1),SUMIFS(Sales_Data!$M$2:$M$3520,Sales_Data!$C$2:$C$3520,$A69,Sales_Data!$F$2:$F$3520,S$7,Sales_Data!$AE$2:$AE$3520,1),SUMIFS(Sales_Data!$N$2:$N$3520,Sales_Data!$C$2:$C$3520,$A69,Sales_Data!$F$2:$F$3520,S$7,Sales_Data!$AE$2:$AE$3520,1),SUMIFS(Sales_Data!$AE$2:$AE$3520,Sales_Data!$C$2:$C$3520,$A69,Sales_Data!$F$2:$F$3520,S$7)))</f>
        <v>0</v>
      </c>
      <c r="T69" s="26" t="str">
        <f aca="false">IF(T$7="","",CHOOSE(MATCH($B$4,Lists!$C$2:$C$5,0),SUMIFS(Sales_Data!$O$2:$O$3520,Sales_Data!$C$2:$C$3520,$A69,Sales_Data!$F$2:$F$3520,T$7,Sales_Data!$AE$2:$AE$3520,1),SUMIFS(Sales_Data!$M$2:$M$3520,Sales_Data!$C$2:$C$3520,$A69,Sales_Data!$F$2:$F$3520,T$7,Sales_Data!$AE$2:$AE$3520,1),SUMIFS(Sales_Data!$N$2:$N$3520,Sales_Data!$C$2:$C$3520,$A69,Sales_Data!$F$2:$F$3520,T$7,Sales_Data!$AE$2:$AE$3520,1),SUMIFS(Sales_Data!$AE$2:$AE$3520,Sales_Data!$C$2:$C$3520,$A69,Sales_Data!$F$2:$F$3520,T$7)))</f>
        <v/>
      </c>
      <c r="U69" s="26" t="str">
        <f aca="false">IF(U$7="","",CHOOSE(MATCH($B$4,Lists!$C$2:$C$5,0),SUMIFS(Sales_Data!$O$2:$O$3520,Sales_Data!$C$2:$C$3520,$A69,Sales_Data!$F$2:$F$3520,U$7,Sales_Data!$AE$2:$AE$3520,1),SUMIFS(Sales_Data!$M$2:$M$3520,Sales_Data!$C$2:$C$3520,$A69,Sales_Data!$F$2:$F$3520,U$7,Sales_Data!$AE$2:$AE$3520,1),SUMIFS(Sales_Data!$N$2:$N$3520,Sales_Data!$C$2:$C$3520,$A69,Sales_Data!$F$2:$F$3520,U$7,Sales_Data!$AE$2:$AE$3520,1),SUMIFS(Sales_Data!$AE$2:$AE$3520,Sales_Data!$C$2:$C$3520,$A69,Sales_Data!$F$2:$F$3520,U$7)))</f>
        <v/>
      </c>
      <c r="V69" s="26" t="str">
        <f aca="false">IF(V$7="","",CHOOSE(MATCH($B$4,Lists!$C$2:$C$5,0),SUMIFS(Sales_Data!$O$2:$O$3520,Sales_Data!$C$2:$C$3520,$A69,Sales_Data!$F$2:$F$3520,V$7,Sales_Data!$AE$2:$AE$3520,1),SUMIFS(Sales_Data!$M$2:$M$3520,Sales_Data!$C$2:$C$3520,$A69,Sales_Data!$F$2:$F$3520,V$7,Sales_Data!$AE$2:$AE$3520,1),SUMIFS(Sales_Data!$N$2:$N$3520,Sales_Data!$C$2:$C$3520,$A69,Sales_Data!$F$2:$F$3520,V$7,Sales_Data!$AE$2:$AE$3520,1),SUMIFS(Sales_Data!$AE$2:$AE$3520,Sales_Data!$C$2:$C$3520,$A69,Sales_Data!$F$2:$F$3520,V$7)))</f>
        <v/>
      </c>
      <c r="W69" s="26" t="str">
        <f aca="false">IF(W$7="","",CHOOSE(MATCH($B$4,Lists!$C$2:$C$5,0),SUMIFS(Sales_Data!$O$2:$O$3520,Sales_Data!$C$2:$C$3520,$A69,Sales_Data!$F$2:$F$3520,W$7,Sales_Data!$AE$2:$AE$3520,1),SUMIFS(Sales_Data!$M$2:$M$3520,Sales_Data!$C$2:$C$3520,$A69,Sales_Data!$F$2:$F$3520,W$7,Sales_Data!$AE$2:$AE$3520,1),SUMIFS(Sales_Data!$N$2:$N$3520,Sales_Data!$C$2:$C$3520,$A69,Sales_Data!$F$2:$F$3520,W$7,Sales_Data!$AE$2:$AE$3520,1),SUMIFS(Sales_Data!$AE$2:$AE$3520,Sales_Data!$C$2:$C$3520,$A69,Sales_Data!$F$2:$F$3520,W$7)))</f>
        <v/>
      </c>
      <c r="X69" s="26" t="str">
        <f aca="false">IF(X$7="","",CHOOSE(MATCH($B$4,Lists!$C$2:$C$5,0),SUMIFS(Sales_Data!$O$2:$O$3520,Sales_Data!$C$2:$C$3520,$A69,Sales_Data!$F$2:$F$3520,X$7,Sales_Data!$AE$2:$AE$3520,1),SUMIFS(Sales_Data!$M$2:$M$3520,Sales_Data!$C$2:$C$3520,$A69,Sales_Data!$F$2:$F$3520,X$7,Sales_Data!$AE$2:$AE$3520,1),SUMIFS(Sales_Data!$N$2:$N$3520,Sales_Data!$C$2:$C$3520,$A69,Sales_Data!$F$2:$F$3520,X$7,Sales_Data!$AE$2:$AE$3520,1),SUMIFS(Sales_Data!$AE$2:$AE$3520,Sales_Data!$C$2:$C$3520,$A69,Sales_Data!$F$2:$F$3520,X$7)))</f>
        <v/>
      </c>
      <c r="Y69" s="26" t="str">
        <f aca="false">IF(Y$7="","",CHOOSE(MATCH($B$4,Lists!$C$2:$C$5,0),SUMIFS(Sales_Data!$O$2:$O$3520,Sales_Data!$C$2:$C$3520,$A69,Sales_Data!$F$2:$F$3520,Y$7,Sales_Data!$AE$2:$AE$3520,1),SUMIFS(Sales_Data!$M$2:$M$3520,Sales_Data!$C$2:$C$3520,$A69,Sales_Data!$F$2:$F$3520,Y$7,Sales_Data!$AE$2:$AE$3520,1),SUMIFS(Sales_Data!$N$2:$N$3520,Sales_Data!$C$2:$C$3520,$A69,Sales_Data!$F$2:$F$3520,Y$7,Sales_Data!$AE$2:$AE$3520,1),SUMIFS(Sales_Data!$AE$2:$AE$3520,Sales_Data!$C$2:$C$3520,$A69,Sales_Data!$F$2:$F$3520,Y$7)))</f>
        <v/>
      </c>
      <c r="Z69" s="26" t="str">
        <f aca="false">IF(Z$7="","",CHOOSE(MATCH($B$4,Lists!$C$2:$C$5,0),SUMIFS(Sales_Data!$O$2:$O$3520,Sales_Data!$C$2:$C$3520,$A69,Sales_Data!$F$2:$F$3520,Z$7,Sales_Data!$AE$2:$AE$3520,1),SUMIFS(Sales_Data!$M$2:$M$3520,Sales_Data!$C$2:$C$3520,$A69,Sales_Data!$F$2:$F$3520,Z$7,Sales_Data!$AE$2:$AE$3520,1),SUMIFS(Sales_Data!$N$2:$N$3520,Sales_Data!$C$2:$C$3520,$A69,Sales_Data!$F$2:$F$3520,Z$7,Sales_Data!$AE$2:$AE$3520,1),SUMIFS(Sales_Data!$AE$2:$AE$3520,Sales_Data!$C$2:$C$3520,$A69,Sales_Data!$F$2:$F$3520,Z$7)))</f>
        <v/>
      </c>
      <c r="AA69" s="27" t="n">
        <f aca="false">SUM(B69:Z69)</f>
        <v>0</v>
      </c>
      <c r="AB69" s="3"/>
      <c r="AC69" s="72" t="n">
        <f aca="false">A69</f>
        <v>46276</v>
      </c>
      <c r="AD69" s="28" t="n">
        <f aca="false">IF(B69="","",B69-B68)</f>
        <v>0</v>
      </c>
      <c r="AE69" s="28" t="n">
        <f aca="false">IF(C69="","",C69-C68)</f>
        <v>0</v>
      </c>
      <c r="AF69" s="28" t="n">
        <f aca="false">IF(D69="","",D69-D68)</f>
        <v>0</v>
      </c>
      <c r="AG69" s="28" t="n">
        <f aca="false">IF(E69="","",E69-E68)</f>
        <v>0</v>
      </c>
      <c r="AH69" s="28" t="n">
        <f aca="false">IF(F69="","",F69-F68)</f>
        <v>0</v>
      </c>
      <c r="AI69" s="28" t="n">
        <f aca="false">IF(G69="","",G69-G68)</f>
        <v>0</v>
      </c>
      <c r="AJ69" s="28" t="n">
        <f aca="false">IF(H69="","",H69-H68)</f>
        <v>0</v>
      </c>
      <c r="AK69" s="28" t="n">
        <f aca="false">IF(I69="","",I69-I68)</f>
        <v>0</v>
      </c>
      <c r="AL69" s="28" t="n">
        <f aca="false">IF(J69="","",J69-J68)</f>
        <v>0</v>
      </c>
      <c r="AM69" s="28" t="n">
        <f aca="false">IF(K69="","",K69-K68)</f>
        <v>0</v>
      </c>
      <c r="AN69" s="28" t="n">
        <f aca="false">IF(L69="","",L69-L68)</f>
        <v>0</v>
      </c>
      <c r="AO69" s="28" t="n">
        <f aca="false">IF(M69="","",M69-M68)</f>
        <v>0</v>
      </c>
      <c r="AP69" s="28" t="n">
        <f aca="false">IF(N69="","",N69-N68)</f>
        <v>0</v>
      </c>
      <c r="AQ69" s="28" t="n">
        <f aca="false">IF(O69="","",O69-O68)</f>
        <v>0</v>
      </c>
      <c r="AR69" s="28" t="n">
        <f aca="false">IF(P69="","",P69-P68)</f>
        <v>0</v>
      </c>
      <c r="AS69" s="28" t="n">
        <f aca="false">IF(Q69="","",Q69-Q68)</f>
        <v>0</v>
      </c>
      <c r="AT69" s="28" t="n">
        <f aca="false">IF(R69="","",R69-R68)</f>
        <v>0</v>
      </c>
      <c r="AU69" s="28" t="n">
        <f aca="false">IF(S69="","",S69-S68)</f>
        <v>0</v>
      </c>
      <c r="AV69" s="28" t="str">
        <f aca="false">IF(T69="","",T69-T68)</f>
        <v/>
      </c>
      <c r="AW69" s="28" t="str">
        <f aca="false">IF(U69="","",U69-U68)</f>
        <v/>
      </c>
      <c r="AX69" s="28" t="str">
        <f aca="false">IF(V69="","",V69-V68)</f>
        <v/>
      </c>
      <c r="AY69" s="28" t="str">
        <f aca="false">IF(W69="","",W69-W68)</f>
        <v/>
      </c>
      <c r="AZ69" s="28" t="str">
        <f aca="false">IF(X69="","",X69-X68)</f>
        <v/>
      </c>
      <c r="BA69" s="28" t="str">
        <f aca="false">IF(Y69="","",Y69-Y68)</f>
        <v/>
      </c>
      <c r="BB69" s="28" t="str">
        <f aca="false">IF(Z69="","",Z69-Z68)</f>
        <v/>
      </c>
      <c r="BC69" s="28" t="n">
        <f aca="false">IF(AA69="","",AA69-AA68)</f>
        <v>0</v>
      </c>
    </row>
    <row r="70" customFormat="false" ht="15" hidden="false" customHeight="false" outlineLevel="0" collapsed="false">
      <c r="A70" s="72" t="n">
        <v>46277</v>
      </c>
      <c r="B70" s="26" t="n">
        <f aca="false">IF(B$7="","",CHOOSE(MATCH($B$4,Lists!$C$2:$C$5,0),SUMIFS(Sales_Data!$O$2:$O$3520,Sales_Data!$C$2:$C$3520,$A70,Sales_Data!$F$2:$F$3520,B$7,Sales_Data!$AE$2:$AE$3520,1),SUMIFS(Sales_Data!$M$2:$M$3520,Sales_Data!$C$2:$C$3520,$A70,Sales_Data!$F$2:$F$3520,B$7,Sales_Data!$AE$2:$AE$3520,1),SUMIFS(Sales_Data!$N$2:$N$3520,Sales_Data!$C$2:$C$3520,$A70,Sales_Data!$F$2:$F$3520,B$7,Sales_Data!$AE$2:$AE$3520,1),SUMIFS(Sales_Data!$AE$2:$AE$3520,Sales_Data!$C$2:$C$3520,$A70,Sales_Data!$F$2:$F$3520,B$7)))</f>
        <v>0</v>
      </c>
      <c r="C70" s="26" t="n">
        <f aca="false">IF(C$7="","",CHOOSE(MATCH($B$4,Lists!$C$2:$C$5,0),SUMIFS(Sales_Data!$O$2:$O$3520,Sales_Data!$C$2:$C$3520,$A70,Sales_Data!$F$2:$F$3520,C$7,Sales_Data!$AE$2:$AE$3520,1),SUMIFS(Sales_Data!$M$2:$M$3520,Sales_Data!$C$2:$C$3520,$A70,Sales_Data!$F$2:$F$3520,C$7,Sales_Data!$AE$2:$AE$3520,1),SUMIFS(Sales_Data!$N$2:$N$3520,Sales_Data!$C$2:$C$3520,$A70,Sales_Data!$F$2:$F$3520,C$7,Sales_Data!$AE$2:$AE$3520,1),SUMIFS(Sales_Data!$AE$2:$AE$3520,Sales_Data!$C$2:$C$3520,$A70,Sales_Data!$F$2:$F$3520,C$7)))</f>
        <v>0</v>
      </c>
      <c r="D70" s="26" t="n">
        <f aca="false">IF(D$7="","",CHOOSE(MATCH($B$4,Lists!$C$2:$C$5,0),SUMIFS(Sales_Data!$O$2:$O$3520,Sales_Data!$C$2:$C$3520,$A70,Sales_Data!$F$2:$F$3520,D$7,Sales_Data!$AE$2:$AE$3520,1),SUMIFS(Sales_Data!$M$2:$M$3520,Sales_Data!$C$2:$C$3520,$A70,Sales_Data!$F$2:$F$3520,D$7,Sales_Data!$AE$2:$AE$3520,1),SUMIFS(Sales_Data!$N$2:$N$3520,Sales_Data!$C$2:$C$3520,$A70,Sales_Data!$F$2:$F$3520,D$7,Sales_Data!$AE$2:$AE$3520,1),SUMIFS(Sales_Data!$AE$2:$AE$3520,Sales_Data!$C$2:$C$3520,$A70,Sales_Data!$F$2:$F$3520,D$7)))</f>
        <v>0</v>
      </c>
      <c r="E70" s="26" t="n">
        <f aca="false">IF(E$7="","",CHOOSE(MATCH($B$4,Lists!$C$2:$C$5,0),SUMIFS(Sales_Data!$O$2:$O$3520,Sales_Data!$C$2:$C$3520,$A70,Sales_Data!$F$2:$F$3520,E$7,Sales_Data!$AE$2:$AE$3520,1),SUMIFS(Sales_Data!$M$2:$M$3520,Sales_Data!$C$2:$C$3520,$A70,Sales_Data!$F$2:$F$3520,E$7,Sales_Data!$AE$2:$AE$3520,1),SUMIFS(Sales_Data!$N$2:$N$3520,Sales_Data!$C$2:$C$3520,$A70,Sales_Data!$F$2:$F$3520,E$7,Sales_Data!$AE$2:$AE$3520,1),SUMIFS(Sales_Data!$AE$2:$AE$3520,Sales_Data!$C$2:$C$3520,$A70,Sales_Data!$F$2:$F$3520,E$7)))</f>
        <v>0</v>
      </c>
      <c r="F70" s="26" t="n">
        <f aca="false">IF(F$7="","",CHOOSE(MATCH($B$4,Lists!$C$2:$C$5,0),SUMIFS(Sales_Data!$O$2:$O$3520,Sales_Data!$C$2:$C$3520,$A70,Sales_Data!$F$2:$F$3520,F$7,Sales_Data!$AE$2:$AE$3520,1),SUMIFS(Sales_Data!$M$2:$M$3520,Sales_Data!$C$2:$C$3520,$A70,Sales_Data!$F$2:$F$3520,F$7,Sales_Data!$AE$2:$AE$3520,1),SUMIFS(Sales_Data!$N$2:$N$3520,Sales_Data!$C$2:$C$3520,$A70,Sales_Data!$F$2:$F$3520,F$7,Sales_Data!$AE$2:$AE$3520,1),SUMIFS(Sales_Data!$AE$2:$AE$3520,Sales_Data!$C$2:$C$3520,$A70,Sales_Data!$F$2:$F$3520,F$7)))</f>
        <v>0</v>
      </c>
      <c r="G70" s="26" t="n">
        <f aca="false">IF(G$7="","",CHOOSE(MATCH($B$4,Lists!$C$2:$C$5,0),SUMIFS(Sales_Data!$O$2:$O$3520,Sales_Data!$C$2:$C$3520,$A70,Sales_Data!$F$2:$F$3520,G$7,Sales_Data!$AE$2:$AE$3520,1),SUMIFS(Sales_Data!$M$2:$M$3520,Sales_Data!$C$2:$C$3520,$A70,Sales_Data!$F$2:$F$3520,G$7,Sales_Data!$AE$2:$AE$3520,1),SUMIFS(Sales_Data!$N$2:$N$3520,Sales_Data!$C$2:$C$3520,$A70,Sales_Data!$F$2:$F$3520,G$7,Sales_Data!$AE$2:$AE$3520,1),SUMIFS(Sales_Data!$AE$2:$AE$3520,Sales_Data!$C$2:$C$3520,$A70,Sales_Data!$F$2:$F$3520,G$7)))</f>
        <v>6</v>
      </c>
      <c r="H70" s="26" t="n">
        <f aca="false">IF(H$7="","",CHOOSE(MATCH($B$4,Lists!$C$2:$C$5,0),SUMIFS(Sales_Data!$O$2:$O$3520,Sales_Data!$C$2:$C$3520,$A70,Sales_Data!$F$2:$F$3520,H$7,Sales_Data!$AE$2:$AE$3520,1),SUMIFS(Sales_Data!$M$2:$M$3520,Sales_Data!$C$2:$C$3520,$A70,Sales_Data!$F$2:$F$3520,H$7,Sales_Data!$AE$2:$AE$3520,1),SUMIFS(Sales_Data!$N$2:$N$3520,Sales_Data!$C$2:$C$3520,$A70,Sales_Data!$F$2:$F$3520,H$7,Sales_Data!$AE$2:$AE$3520,1),SUMIFS(Sales_Data!$AE$2:$AE$3520,Sales_Data!$C$2:$C$3520,$A70,Sales_Data!$F$2:$F$3520,H$7)))</f>
        <v>0</v>
      </c>
      <c r="I70" s="26" t="n">
        <f aca="false">IF(I$7="","",CHOOSE(MATCH($B$4,Lists!$C$2:$C$5,0),SUMIFS(Sales_Data!$O$2:$O$3520,Sales_Data!$C$2:$C$3520,$A70,Sales_Data!$F$2:$F$3520,I$7,Sales_Data!$AE$2:$AE$3520,1),SUMIFS(Sales_Data!$M$2:$M$3520,Sales_Data!$C$2:$C$3520,$A70,Sales_Data!$F$2:$F$3520,I$7,Sales_Data!$AE$2:$AE$3520,1),SUMIFS(Sales_Data!$N$2:$N$3520,Sales_Data!$C$2:$C$3520,$A70,Sales_Data!$F$2:$F$3520,I$7,Sales_Data!$AE$2:$AE$3520,1),SUMIFS(Sales_Data!$AE$2:$AE$3520,Sales_Data!$C$2:$C$3520,$A70,Sales_Data!$F$2:$F$3520,I$7)))</f>
        <v>0</v>
      </c>
      <c r="J70" s="26" t="n">
        <f aca="false">IF(J$7="","",CHOOSE(MATCH($B$4,Lists!$C$2:$C$5,0),SUMIFS(Sales_Data!$O$2:$O$3520,Sales_Data!$C$2:$C$3520,$A70,Sales_Data!$F$2:$F$3520,J$7,Sales_Data!$AE$2:$AE$3520,1),SUMIFS(Sales_Data!$M$2:$M$3520,Sales_Data!$C$2:$C$3520,$A70,Sales_Data!$F$2:$F$3520,J$7,Sales_Data!$AE$2:$AE$3520,1),SUMIFS(Sales_Data!$N$2:$N$3520,Sales_Data!$C$2:$C$3520,$A70,Sales_Data!$F$2:$F$3520,J$7,Sales_Data!$AE$2:$AE$3520,1),SUMIFS(Sales_Data!$AE$2:$AE$3520,Sales_Data!$C$2:$C$3520,$A70,Sales_Data!$F$2:$F$3520,J$7)))</f>
        <v>0</v>
      </c>
      <c r="K70" s="26" t="n">
        <f aca="false">IF(K$7="","",CHOOSE(MATCH($B$4,Lists!$C$2:$C$5,0),SUMIFS(Sales_Data!$O$2:$O$3520,Sales_Data!$C$2:$C$3520,$A70,Sales_Data!$F$2:$F$3520,K$7,Sales_Data!$AE$2:$AE$3520,1),SUMIFS(Sales_Data!$M$2:$M$3520,Sales_Data!$C$2:$C$3520,$A70,Sales_Data!$F$2:$F$3520,K$7,Sales_Data!$AE$2:$AE$3520,1),SUMIFS(Sales_Data!$N$2:$N$3520,Sales_Data!$C$2:$C$3520,$A70,Sales_Data!$F$2:$F$3520,K$7,Sales_Data!$AE$2:$AE$3520,1),SUMIFS(Sales_Data!$AE$2:$AE$3520,Sales_Data!$C$2:$C$3520,$A70,Sales_Data!$F$2:$F$3520,K$7)))</f>
        <v>0</v>
      </c>
      <c r="L70" s="26" t="n">
        <f aca="false">IF(L$7="","",CHOOSE(MATCH($B$4,Lists!$C$2:$C$5,0),SUMIFS(Sales_Data!$O$2:$O$3520,Sales_Data!$C$2:$C$3520,$A70,Sales_Data!$F$2:$F$3520,L$7,Sales_Data!$AE$2:$AE$3520,1),SUMIFS(Sales_Data!$M$2:$M$3520,Sales_Data!$C$2:$C$3520,$A70,Sales_Data!$F$2:$F$3520,L$7,Sales_Data!$AE$2:$AE$3520,1),SUMIFS(Sales_Data!$N$2:$N$3520,Sales_Data!$C$2:$C$3520,$A70,Sales_Data!$F$2:$F$3520,L$7,Sales_Data!$AE$2:$AE$3520,1),SUMIFS(Sales_Data!$AE$2:$AE$3520,Sales_Data!$C$2:$C$3520,$A70,Sales_Data!$F$2:$F$3520,L$7)))</f>
        <v>0</v>
      </c>
      <c r="M70" s="26" t="n">
        <f aca="false">IF(M$7="","",CHOOSE(MATCH($B$4,Lists!$C$2:$C$5,0),SUMIFS(Sales_Data!$O$2:$O$3520,Sales_Data!$C$2:$C$3520,$A70,Sales_Data!$F$2:$F$3520,M$7,Sales_Data!$AE$2:$AE$3520,1),SUMIFS(Sales_Data!$M$2:$M$3520,Sales_Data!$C$2:$C$3520,$A70,Sales_Data!$F$2:$F$3520,M$7,Sales_Data!$AE$2:$AE$3520,1),SUMIFS(Sales_Data!$N$2:$N$3520,Sales_Data!$C$2:$C$3520,$A70,Sales_Data!$F$2:$F$3520,M$7,Sales_Data!$AE$2:$AE$3520,1),SUMIFS(Sales_Data!$AE$2:$AE$3520,Sales_Data!$C$2:$C$3520,$A70,Sales_Data!$F$2:$F$3520,M$7)))</f>
        <v>0</v>
      </c>
      <c r="N70" s="26" t="n">
        <f aca="false">IF(N$7="","",CHOOSE(MATCH($B$4,Lists!$C$2:$C$5,0),SUMIFS(Sales_Data!$O$2:$O$3520,Sales_Data!$C$2:$C$3520,$A70,Sales_Data!$F$2:$F$3520,N$7,Sales_Data!$AE$2:$AE$3520,1),SUMIFS(Sales_Data!$M$2:$M$3520,Sales_Data!$C$2:$C$3520,$A70,Sales_Data!$F$2:$F$3520,N$7,Sales_Data!$AE$2:$AE$3520,1),SUMIFS(Sales_Data!$N$2:$N$3520,Sales_Data!$C$2:$C$3520,$A70,Sales_Data!$F$2:$F$3520,N$7,Sales_Data!$AE$2:$AE$3520,1),SUMIFS(Sales_Data!$AE$2:$AE$3520,Sales_Data!$C$2:$C$3520,$A70,Sales_Data!$F$2:$F$3520,N$7)))</f>
        <v>0</v>
      </c>
      <c r="O70" s="26" t="n">
        <f aca="false">IF(O$7="","",CHOOSE(MATCH($B$4,Lists!$C$2:$C$5,0),SUMIFS(Sales_Data!$O$2:$O$3520,Sales_Data!$C$2:$C$3520,$A70,Sales_Data!$F$2:$F$3520,O$7,Sales_Data!$AE$2:$AE$3520,1),SUMIFS(Sales_Data!$M$2:$M$3520,Sales_Data!$C$2:$C$3520,$A70,Sales_Data!$F$2:$F$3520,O$7,Sales_Data!$AE$2:$AE$3520,1),SUMIFS(Sales_Data!$N$2:$N$3520,Sales_Data!$C$2:$C$3520,$A70,Sales_Data!$F$2:$F$3520,O$7,Sales_Data!$AE$2:$AE$3520,1),SUMIFS(Sales_Data!$AE$2:$AE$3520,Sales_Data!$C$2:$C$3520,$A70,Sales_Data!$F$2:$F$3520,O$7)))</f>
        <v>0</v>
      </c>
      <c r="P70" s="26" t="n">
        <f aca="false">IF(P$7="","",CHOOSE(MATCH($B$4,Lists!$C$2:$C$5,0),SUMIFS(Sales_Data!$O$2:$O$3520,Sales_Data!$C$2:$C$3520,$A70,Sales_Data!$F$2:$F$3520,P$7,Sales_Data!$AE$2:$AE$3520,1),SUMIFS(Sales_Data!$M$2:$M$3520,Sales_Data!$C$2:$C$3520,$A70,Sales_Data!$F$2:$F$3520,P$7,Sales_Data!$AE$2:$AE$3520,1),SUMIFS(Sales_Data!$N$2:$N$3520,Sales_Data!$C$2:$C$3520,$A70,Sales_Data!$F$2:$F$3520,P$7,Sales_Data!$AE$2:$AE$3520,1),SUMIFS(Sales_Data!$AE$2:$AE$3520,Sales_Data!$C$2:$C$3520,$A70,Sales_Data!$F$2:$F$3520,P$7)))</f>
        <v>0</v>
      </c>
      <c r="Q70" s="26" t="n">
        <f aca="false">IF(Q$7="","",CHOOSE(MATCH($B$4,Lists!$C$2:$C$5,0),SUMIFS(Sales_Data!$O$2:$O$3520,Sales_Data!$C$2:$C$3520,$A70,Sales_Data!$F$2:$F$3520,Q$7,Sales_Data!$AE$2:$AE$3520,1),SUMIFS(Sales_Data!$M$2:$M$3520,Sales_Data!$C$2:$C$3520,$A70,Sales_Data!$F$2:$F$3520,Q$7,Sales_Data!$AE$2:$AE$3520,1),SUMIFS(Sales_Data!$N$2:$N$3520,Sales_Data!$C$2:$C$3520,$A70,Sales_Data!$F$2:$F$3520,Q$7,Sales_Data!$AE$2:$AE$3520,1),SUMIFS(Sales_Data!$AE$2:$AE$3520,Sales_Data!$C$2:$C$3520,$A70,Sales_Data!$F$2:$F$3520,Q$7)))</f>
        <v>0</v>
      </c>
      <c r="R70" s="26" t="n">
        <f aca="false">IF(R$7="","",CHOOSE(MATCH($B$4,Lists!$C$2:$C$5,0),SUMIFS(Sales_Data!$O$2:$O$3520,Sales_Data!$C$2:$C$3520,$A70,Sales_Data!$F$2:$F$3520,R$7,Sales_Data!$AE$2:$AE$3520,1),SUMIFS(Sales_Data!$M$2:$M$3520,Sales_Data!$C$2:$C$3520,$A70,Sales_Data!$F$2:$F$3520,R$7,Sales_Data!$AE$2:$AE$3520,1),SUMIFS(Sales_Data!$N$2:$N$3520,Sales_Data!$C$2:$C$3520,$A70,Sales_Data!$F$2:$F$3520,R$7,Sales_Data!$AE$2:$AE$3520,1),SUMIFS(Sales_Data!$AE$2:$AE$3520,Sales_Data!$C$2:$C$3520,$A70,Sales_Data!$F$2:$F$3520,R$7)))</f>
        <v>0</v>
      </c>
      <c r="S70" s="26" t="n">
        <f aca="false">IF(S$7="","",CHOOSE(MATCH($B$4,Lists!$C$2:$C$5,0),SUMIFS(Sales_Data!$O$2:$O$3520,Sales_Data!$C$2:$C$3520,$A70,Sales_Data!$F$2:$F$3520,S$7,Sales_Data!$AE$2:$AE$3520,1),SUMIFS(Sales_Data!$M$2:$M$3520,Sales_Data!$C$2:$C$3520,$A70,Sales_Data!$F$2:$F$3520,S$7,Sales_Data!$AE$2:$AE$3520,1),SUMIFS(Sales_Data!$N$2:$N$3520,Sales_Data!$C$2:$C$3520,$A70,Sales_Data!$F$2:$F$3520,S$7,Sales_Data!$AE$2:$AE$3520,1),SUMIFS(Sales_Data!$AE$2:$AE$3520,Sales_Data!$C$2:$C$3520,$A70,Sales_Data!$F$2:$F$3520,S$7)))</f>
        <v>0</v>
      </c>
      <c r="T70" s="26" t="str">
        <f aca="false">IF(T$7="","",CHOOSE(MATCH($B$4,Lists!$C$2:$C$5,0),SUMIFS(Sales_Data!$O$2:$O$3520,Sales_Data!$C$2:$C$3520,$A70,Sales_Data!$F$2:$F$3520,T$7,Sales_Data!$AE$2:$AE$3520,1),SUMIFS(Sales_Data!$M$2:$M$3520,Sales_Data!$C$2:$C$3520,$A70,Sales_Data!$F$2:$F$3520,T$7,Sales_Data!$AE$2:$AE$3520,1),SUMIFS(Sales_Data!$N$2:$N$3520,Sales_Data!$C$2:$C$3520,$A70,Sales_Data!$F$2:$F$3520,T$7,Sales_Data!$AE$2:$AE$3520,1),SUMIFS(Sales_Data!$AE$2:$AE$3520,Sales_Data!$C$2:$C$3520,$A70,Sales_Data!$F$2:$F$3520,T$7)))</f>
        <v/>
      </c>
      <c r="U70" s="26" t="str">
        <f aca="false">IF(U$7="","",CHOOSE(MATCH($B$4,Lists!$C$2:$C$5,0),SUMIFS(Sales_Data!$O$2:$O$3520,Sales_Data!$C$2:$C$3520,$A70,Sales_Data!$F$2:$F$3520,U$7,Sales_Data!$AE$2:$AE$3520,1),SUMIFS(Sales_Data!$M$2:$M$3520,Sales_Data!$C$2:$C$3520,$A70,Sales_Data!$F$2:$F$3520,U$7,Sales_Data!$AE$2:$AE$3520,1),SUMIFS(Sales_Data!$N$2:$N$3520,Sales_Data!$C$2:$C$3520,$A70,Sales_Data!$F$2:$F$3520,U$7,Sales_Data!$AE$2:$AE$3520,1),SUMIFS(Sales_Data!$AE$2:$AE$3520,Sales_Data!$C$2:$C$3520,$A70,Sales_Data!$F$2:$F$3520,U$7)))</f>
        <v/>
      </c>
      <c r="V70" s="26" t="str">
        <f aca="false">IF(V$7="","",CHOOSE(MATCH($B$4,Lists!$C$2:$C$5,0),SUMIFS(Sales_Data!$O$2:$O$3520,Sales_Data!$C$2:$C$3520,$A70,Sales_Data!$F$2:$F$3520,V$7,Sales_Data!$AE$2:$AE$3520,1),SUMIFS(Sales_Data!$M$2:$M$3520,Sales_Data!$C$2:$C$3520,$A70,Sales_Data!$F$2:$F$3520,V$7,Sales_Data!$AE$2:$AE$3520,1),SUMIFS(Sales_Data!$N$2:$N$3520,Sales_Data!$C$2:$C$3520,$A70,Sales_Data!$F$2:$F$3520,V$7,Sales_Data!$AE$2:$AE$3520,1),SUMIFS(Sales_Data!$AE$2:$AE$3520,Sales_Data!$C$2:$C$3520,$A70,Sales_Data!$F$2:$F$3520,V$7)))</f>
        <v/>
      </c>
      <c r="W70" s="26" t="str">
        <f aca="false">IF(W$7="","",CHOOSE(MATCH($B$4,Lists!$C$2:$C$5,0),SUMIFS(Sales_Data!$O$2:$O$3520,Sales_Data!$C$2:$C$3520,$A70,Sales_Data!$F$2:$F$3520,W$7,Sales_Data!$AE$2:$AE$3520,1),SUMIFS(Sales_Data!$M$2:$M$3520,Sales_Data!$C$2:$C$3520,$A70,Sales_Data!$F$2:$F$3520,W$7,Sales_Data!$AE$2:$AE$3520,1),SUMIFS(Sales_Data!$N$2:$N$3520,Sales_Data!$C$2:$C$3520,$A70,Sales_Data!$F$2:$F$3520,W$7,Sales_Data!$AE$2:$AE$3520,1),SUMIFS(Sales_Data!$AE$2:$AE$3520,Sales_Data!$C$2:$C$3520,$A70,Sales_Data!$F$2:$F$3520,W$7)))</f>
        <v/>
      </c>
      <c r="X70" s="26" t="str">
        <f aca="false">IF(X$7="","",CHOOSE(MATCH($B$4,Lists!$C$2:$C$5,0),SUMIFS(Sales_Data!$O$2:$O$3520,Sales_Data!$C$2:$C$3520,$A70,Sales_Data!$F$2:$F$3520,X$7,Sales_Data!$AE$2:$AE$3520,1),SUMIFS(Sales_Data!$M$2:$M$3520,Sales_Data!$C$2:$C$3520,$A70,Sales_Data!$F$2:$F$3520,X$7,Sales_Data!$AE$2:$AE$3520,1),SUMIFS(Sales_Data!$N$2:$N$3520,Sales_Data!$C$2:$C$3520,$A70,Sales_Data!$F$2:$F$3520,X$7,Sales_Data!$AE$2:$AE$3520,1),SUMIFS(Sales_Data!$AE$2:$AE$3520,Sales_Data!$C$2:$C$3520,$A70,Sales_Data!$F$2:$F$3520,X$7)))</f>
        <v/>
      </c>
      <c r="Y70" s="26" t="str">
        <f aca="false">IF(Y$7="","",CHOOSE(MATCH($B$4,Lists!$C$2:$C$5,0),SUMIFS(Sales_Data!$O$2:$O$3520,Sales_Data!$C$2:$C$3520,$A70,Sales_Data!$F$2:$F$3520,Y$7,Sales_Data!$AE$2:$AE$3520,1),SUMIFS(Sales_Data!$M$2:$M$3520,Sales_Data!$C$2:$C$3520,$A70,Sales_Data!$F$2:$F$3520,Y$7,Sales_Data!$AE$2:$AE$3520,1),SUMIFS(Sales_Data!$N$2:$N$3520,Sales_Data!$C$2:$C$3520,$A70,Sales_Data!$F$2:$F$3520,Y$7,Sales_Data!$AE$2:$AE$3520,1),SUMIFS(Sales_Data!$AE$2:$AE$3520,Sales_Data!$C$2:$C$3520,$A70,Sales_Data!$F$2:$F$3520,Y$7)))</f>
        <v/>
      </c>
      <c r="Z70" s="26" t="str">
        <f aca="false">IF(Z$7="","",CHOOSE(MATCH($B$4,Lists!$C$2:$C$5,0),SUMIFS(Sales_Data!$O$2:$O$3520,Sales_Data!$C$2:$C$3520,$A70,Sales_Data!$F$2:$F$3520,Z$7,Sales_Data!$AE$2:$AE$3520,1),SUMIFS(Sales_Data!$M$2:$M$3520,Sales_Data!$C$2:$C$3520,$A70,Sales_Data!$F$2:$F$3520,Z$7,Sales_Data!$AE$2:$AE$3520,1),SUMIFS(Sales_Data!$N$2:$N$3520,Sales_Data!$C$2:$C$3520,$A70,Sales_Data!$F$2:$F$3520,Z$7,Sales_Data!$AE$2:$AE$3520,1),SUMIFS(Sales_Data!$AE$2:$AE$3520,Sales_Data!$C$2:$C$3520,$A70,Sales_Data!$F$2:$F$3520,Z$7)))</f>
        <v/>
      </c>
      <c r="AA70" s="27" t="n">
        <f aca="false">SUM(B70:Z70)</f>
        <v>6</v>
      </c>
      <c r="AB70" s="3"/>
      <c r="AC70" s="72" t="n">
        <f aca="false">A70</f>
        <v>46277</v>
      </c>
      <c r="AD70" s="28" t="n">
        <f aca="false">IF(B70="","",B70-B69)</f>
        <v>0</v>
      </c>
      <c r="AE70" s="28" t="n">
        <f aca="false">IF(C70="","",C70-C69)</f>
        <v>0</v>
      </c>
      <c r="AF70" s="28" t="n">
        <f aca="false">IF(D70="","",D70-D69)</f>
        <v>0</v>
      </c>
      <c r="AG70" s="28" t="n">
        <f aca="false">IF(E70="","",E70-E69)</f>
        <v>0</v>
      </c>
      <c r="AH70" s="28" t="n">
        <f aca="false">IF(F70="","",F70-F69)</f>
        <v>0</v>
      </c>
      <c r="AI70" s="28" t="n">
        <f aca="false">IF(G70="","",G70-G69)</f>
        <v>6</v>
      </c>
      <c r="AJ70" s="28" t="n">
        <f aca="false">IF(H70="","",H70-H69)</f>
        <v>0</v>
      </c>
      <c r="AK70" s="28" t="n">
        <f aca="false">IF(I70="","",I70-I69)</f>
        <v>0</v>
      </c>
      <c r="AL70" s="28" t="n">
        <f aca="false">IF(J70="","",J70-J69)</f>
        <v>0</v>
      </c>
      <c r="AM70" s="28" t="n">
        <f aca="false">IF(K70="","",K70-K69)</f>
        <v>0</v>
      </c>
      <c r="AN70" s="28" t="n">
        <f aca="false">IF(L70="","",L70-L69)</f>
        <v>0</v>
      </c>
      <c r="AO70" s="28" t="n">
        <f aca="false">IF(M70="","",M70-M69)</f>
        <v>0</v>
      </c>
      <c r="AP70" s="28" t="n">
        <f aca="false">IF(N70="","",N70-N69)</f>
        <v>0</v>
      </c>
      <c r="AQ70" s="28" t="n">
        <f aca="false">IF(O70="","",O70-O69)</f>
        <v>0</v>
      </c>
      <c r="AR70" s="28" t="n">
        <f aca="false">IF(P70="","",P70-P69)</f>
        <v>0</v>
      </c>
      <c r="AS70" s="28" t="n">
        <f aca="false">IF(Q70="","",Q70-Q69)</f>
        <v>0</v>
      </c>
      <c r="AT70" s="28" t="n">
        <f aca="false">IF(R70="","",R70-R69)</f>
        <v>0</v>
      </c>
      <c r="AU70" s="28" t="n">
        <f aca="false">IF(S70="","",S70-S69)</f>
        <v>0</v>
      </c>
      <c r="AV70" s="28" t="str">
        <f aca="false">IF(T70="","",T70-T69)</f>
        <v/>
      </c>
      <c r="AW70" s="28" t="str">
        <f aca="false">IF(U70="","",U70-U69)</f>
        <v/>
      </c>
      <c r="AX70" s="28" t="str">
        <f aca="false">IF(V70="","",V70-V69)</f>
        <v/>
      </c>
      <c r="AY70" s="28" t="str">
        <f aca="false">IF(W70="","",W70-W69)</f>
        <v/>
      </c>
      <c r="AZ70" s="28" t="str">
        <f aca="false">IF(X70="","",X70-X69)</f>
        <v/>
      </c>
      <c r="BA70" s="28" t="str">
        <f aca="false">IF(Y70="","",Y70-Y69)</f>
        <v/>
      </c>
      <c r="BB70" s="28" t="str">
        <f aca="false">IF(Z70="","",Z70-Z69)</f>
        <v/>
      </c>
      <c r="BC70" s="28" t="n">
        <f aca="false">IF(AA70="","",AA70-AA69)</f>
        <v>6</v>
      </c>
    </row>
    <row r="71" customFormat="false" ht="15" hidden="false" customHeight="false" outlineLevel="0" collapsed="false">
      <c r="A71" s="72" t="n">
        <v>46278</v>
      </c>
      <c r="B71" s="26" t="n">
        <f aca="false">IF(B$7="","",CHOOSE(MATCH($B$4,Lists!$C$2:$C$5,0),SUMIFS(Sales_Data!$O$2:$O$3520,Sales_Data!$C$2:$C$3520,$A71,Sales_Data!$F$2:$F$3520,B$7,Sales_Data!$AE$2:$AE$3520,1),SUMIFS(Sales_Data!$M$2:$M$3520,Sales_Data!$C$2:$C$3520,$A71,Sales_Data!$F$2:$F$3520,B$7,Sales_Data!$AE$2:$AE$3520,1),SUMIFS(Sales_Data!$N$2:$N$3520,Sales_Data!$C$2:$C$3520,$A71,Sales_Data!$F$2:$F$3520,B$7,Sales_Data!$AE$2:$AE$3520,1),SUMIFS(Sales_Data!$AE$2:$AE$3520,Sales_Data!$C$2:$C$3520,$A71,Sales_Data!$F$2:$F$3520,B$7)))</f>
        <v>0</v>
      </c>
      <c r="C71" s="26" t="n">
        <f aca="false">IF(C$7="","",CHOOSE(MATCH($B$4,Lists!$C$2:$C$5,0),SUMIFS(Sales_Data!$O$2:$O$3520,Sales_Data!$C$2:$C$3520,$A71,Sales_Data!$F$2:$F$3520,C$7,Sales_Data!$AE$2:$AE$3520,1),SUMIFS(Sales_Data!$M$2:$M$3520,Sales_Data!$C$2:$C$3520,$A71,Sales_Data!$F$2:$F$3520,C$7,Sales_Data!$AE$2:$AE$3520,1),SUMIFS(Sales_Data!$N$2:$N$3520,Sales_Data!$C$2:$C$3520,$A71,Sales_Data!$F$2:$F$3520,C$7,Sales_Data!$AE$2:$AE$3520,1),SUMIFS(Sales_Data!$AE$2:$AE$3520,Sales_Data!$C$2:$C$3520,$A71,Sales_Data!$F$2:$F$3520,C$7)))</f>
        <v>0</v>
      </c>
      <c r="D71" s="26" t="n">
        <f aca="false">IF(D$7="","",CHOOSE(MATCH($B$4,Lists!$C$2:$C$5,0),SUMIFS(Sales_Data!$O$2:$O$3520,Sales_Data!$C$2:$C$3520,$A71,Sales_Data!$F$2:$F$3520,D$7,Sales_Data!$AE$2:$AE$3520,1),SUMIFS(Sales_Data!$M$2:$M$3520,Sales_Data!$C$2:$C$3520,$A71,Sales_Data!$F$2:$F$3520,D$7,Sales_Data!$AE$2:$AE$3520,1),SUMIFS(Sales_Data!$N$2:$N$3520,Sales_Data!$C$2:$C$3520,$A71,Sales_Data!$F$2:$F$3520,D$7,Sales_Data!$AE$2:$AE$3520,1),SUMIFS(Sales_Data!$AE$2:$AE$3520,Sales_Data!$C$2:$C$3520,$A71,Sales_Data!$F$2:$F$3520,D$7)))</f>
        <v>0</v>
      </c>
      <c r="E71" s="26" t="n">
        <f aca="false">IF(E$7="","",CHOOSE(MATCH($B$4,Lists!$C$2:$C$5,0),SUMIFS(Sales_Data!$O$2:$O$3520,Sales_Data!$C$2:$C$3520,$A71,Sales_Data!$F$2:$F$3520,E$7,Sales_Data!$AE$2:$AE$3520,1),SUMIFS(Sales_Data!$M$2:$M$3520,Sales_Data!$C$2:$C$3520,$A71,Sales_Data!$F$2:$F$3520,E$7,Sales_Data!$AE$2:$AE$3520,1),SUMIFS(Sales_Data!$N$2:$N$3520,Sales_Data!$C$2:$C$3520,$A71,Sales_Data!$F$2:$F$3520,E$7,Sales_Data!$AE$2:$AE$3520,1),SUMIFS(Sales_Data!$AE$2:$AE$3520,Sales_Data!$C$2:$C$3520,$A71,Sales_Data!$F$2:$F$3520,E$7)))</f>
        <v>0</v>
      </c>
      <c r="F71" s="26" t="n">
        <f aca="false">IF(F$7="","",CHOOSE(MATCH($B$4,Lists!$C$2:$C$5,0),SUMIFS(Sales_Data!$O$2:$O$3520,Sales_Data!$C$2:$C$3520,$A71,Sales_Data!$F$2:$F$3520,F$7,Sales_Data!$AE$2:$AE$3520,1),SUMIFS(Sales_Data!$M$2:$M$3520,Sales_Data!$C$2:$C$3520,$A71,Sales_Data!$F$2:$F$3520,F$7,Sales_Data!$AE$2:$AE$3520,1),SUMIFS(Sales_Data!$N$2:$N$3520,Sales_Data!$C$2:$C$3520,$A71,Sales_Data!$F$2:$F$3520,F$7,Sales_Data!$AE$2:$AE$3520,1),SUMIFS(Sales_Data!$AE$2:$AE$3520,Sales_Data!$C$2:$C$3520,$A71,Sales_Data!$F$2:$F$3520,F$7)))</f>
        <v>0</v>
      </c>
      <c r="G71" s="26" t="n">
        <f aca="false">IF(G$7="","",CHOOSE(MATCH($B$4,Lists!$C$2:$C$5,0),SUMIFS(Sales_Data!$O$2:$O$3520,Sales_Data!$C$2:$C$3520,$A71,Sales_Data!$F$2:$F$3520,G$7,Sales_Data!$AE$2:$AE$3520,1),SUMIFS(Sales_Data!$M$2:$M$3520,Sales_Data!$C$2:$C$3520,$A71,Sales_Data!$F$2:$F$3520,G$7,Sales_Data!$AE$2:$AE$3520,1),SUMIFS(Sales_Data!$N$2:$N$3520,Sales_Data!$C$2:$C$3520,$A71,Sales_Data!$F$2:$F$3520,G$7,Sales_Data!$AE$2:$AE$3520,1),SUMIFS(Sales_Data!$AE$2:$AE$3520,Sales_Data!$C$2:$C$3520,$A71,Sales_Data!$F$2:$F$3520,G$7)))</f>
        <v>1</v>
      </c>
      <c r="H71" s="26" t="n">
        <f aca="false">IF(H$7="","",CHOOSE(MATCH($B$4,Lists!$C$2:$C$5,0),SUMIFS(Sales_Data!$O$2:$O$3520,Sales_Data!$C$2:$C$3520,$A71,Sales_Data!$F$2:$F$3520,H$7,Sales_Data!$AE$2:$AE$3520,1),SUMIFS(Sales_Data!$M$2:$M$3520,Sales_Data!$C$2:$C$3520,$A71,Sales_Data!$F$2:$F$3520,H$7,Sales_Data!$AE$2:$AE$3520,1),SUMIFS(Sales_Data!$N$2:$N$3520,Sales_Data!$C$2:$C$3520,$A71,Sales_Data!$F$2:$F$3520,H$7,Sales_Data!$AE$2:$AE$3520,1),SUMIFS(Sales_Data!$AE$2:$AE$3520,Sales_Data!$C$2:$C$3520,$A71,Sales_Data!$F$2:$F$3520,H$7)))</f>
        <v>0</v>
      </c>
      <c r="I71" s="26" t="n">
        <f aca="false">IF(I$7="","",CHOOSE(MATCH($B$4,Lists!$C$2:$C$5,0),SUMIFS(Sales_Data!$O$2:$O$3520,Sales_Data!$C$2:$C$3520,$A71,Sales_Data!$F$2:$F$3520,I$7,Sales_Data!$AE$2:$AE$3520,1),SUMIFS(Sales_Data!$M$2:$M$3520,Sales_Data!$C$2:$C$3520,$A71,Sales_Data!$F$2:$F$3520,I$7,Sales_Data!$AE$2:$AE$3520,1),SUMIFS(Sales_Data!$N$2:$N$3520,Sales_Data!$C$2:$C$3520,$A71,Sales_Data!$F$2:$F$3520,I$7,Sales_Data!$AE$2:$AE$3520,1),SUMIFS(Sales_Data!$AE$2:$AE$3520,Sales_Data!$C$2:$C$3520,$A71,Sales_Data!$F$2:$F$3520,I$7)))</f>
        <v>0</v>
      </c>
      <c r="J71" s="26" t="n">
        <f aca="false">IF(J$7="","",CHOOSE(MATCH($B$4,Lists!$C$2:$C$5,0),SUMIFS(Sales_Data!$O$2:$O$3520,Sales_Data!$C$2:$C$3520,$A71,Sales_Data!$F$2:$F$3520,J$7,Sales_Data!$AE$2:$AE$3520,1),SUMIFS(Sales_Data!$M$2:$M$3520,Sales_Data!$C$2:$C$3520,$A71,Sales_Data!$F$2:$F$3520,J$7,Sales_Data!$AE$2:$AE$3520,1),SUMIFS(Sales_Data!$N$2:$N$3520,Sales_Data!$C$2:$C$3520,$A71,Sales_Data!$F$2:$F$3520,J$7,Sales_Data!$AE$2:$AE$3520,1),SUMIFS(Sales_Data!$AE$2:$AE$3520,Sales_Data!$C$2:$C$3520,$A71,Sales_Data!$F$2:$F$3520,J$7)))</f>
        <v>0</v>
      </c>
      <c r="K71" s="26" t="n">
        <f aca="false">IF(K$7="","",CHOOSE(MATCH($B$4,Lists!$C$2:$C$5,0),SUMIFS(Sales_Data!$O$2:$O$3520,Sales_Data!$C$2:$C$3520,$A71,Sales_Data!$F$2:$F$3520,K$7,Sales_Data!$AE$2:$AE$3520,1),SUMIFS(Sales_Data!$M$2:$M$3520,Sales_Data!$C$2:$C$3520,$A71,Sales_Data!$F$2:$F$3520,K$7,Sales_Data!$AE$2:$AE$3520,1),SUMIFS(Sales_Data!$N$2:$N$3520,Sales_Data!$C$2:$C$3520,$A71,Sales_Data!$F$2:$F$3520,K$7,Sales_Data!$AE$2:$AE$3520,1),SUMIFS(Sales_Data!$AE$2:$AE$3520,Sales_Data!$C$2:$C$3520,$A71,Sales_Data!$F$2:$F$3520,K$7)))</f>
        <v>0</v>
      </c>
      <c r="L71" s="26" t="n">
        <f aca="false">IF(L$7="","",CHOOSE(MATCH($B$4,Lists!$C$2:$C$5,0),SUMIFS(Sales_Data!$O$2:$O$3520,Sales_Data!$C$2:$C$3520,$A71,Sales_Data!$F$2:$F$3520,L$7,Sales_Data!$AE$2:$AE$3520,1),SUMIFS(Sales_Data!$M$2:$M$3520,Sales_Data!$C$2:$C$3520,$A71,Sales_Data!$F$2:$F$3520,L$7,Sales_Data!$AE$2:$AE$3520,1),SUMIFS(Sales_Data!$N$2:$N$3520,Sales_Data!$C$2:$C$3520,$A71,Sales_Data!$F$2:$F$3520,L$7,Sales_Data!$AE$2:$AE$3520,1),SUMIFS(Sales_Data!$AE$2:$AE$3520,Sales_Data!$C$2:$C$3520,$A71,Sales_Data!$F$2:$F$3520,L$7)))</f>
        <v>0</v>
      </c>
      <c r="M71" s="26" t="n">
        <f aca="false">IF(M$7="","",CHOOSE(MATCH($B$4,Lists!$C$2:$C$5,0),SUMIFS(Sales_Data!$O$2:$O$3520,Sales_Data!$C$2:$C$3520,$A71,Sales_Data!$F$2:$F$3520,M$7,Sales_Data!$AE$2:$AE$3520,1),SUMIFS(Sales_Data!$M$2:$M$3520,Sales_Data!$C$2:$C$3520,$A71,Sales_Data!$F$2:$F$3520,M$7,Sales_Data!$AE$2:$AE$3520,1),SUMIFS(Sales_Data!$N$2:$N$3520,Sales_Data!$C$2:$C$3520,$A71,Sales_Data!$F$2:$F$3520,M$7,Sales_Data!$AE$2:$AE$3520,1),SUMIFS(Sales_Data!$AE$2:$AE$3520,Sales_Data!$C$2:$C$3520,$A71,Sales_Data!$F$2:$F$3520,M$7)))</f>
        <v>0</v>
      </c>
      <c r="N71" s="26" t="n">
        <f aca="false">IF(N$7="","",CHOOSE(MATCH($B$4,Lists!$C$2:$C$5,0),SUMIFS(Sales_Data!$O$2:$O$3520,Sales_Data!$C$2:$C$3520,$A71,Sales_Data!$F$2:$F$3520,N$7,Sales_Data!$AE$2:$AE$3520,1),SUMIFS(Sales_Data!$M$2:$M$3520,Sales_Data!$C$2:$C$3520,$A71,Sales_Data!$F$2:$F$3520,N$7,Sales_Data!$AE$2:$AE$3520,1),SUMIFS(Sales_Data!$N$2:$N$3520,Sales_Data!$C$2:$C$3520,$A71,Sales_Data!$F$2:$F$3520,N$7,Sales_Data!$AE$2:$AE$3520,1),SUMIFS(Sales_Data!$AE$2:$AE$3520,Sales_Data!$C$2:$C$3520,$A71,Sales_Data!$F$2:$F$3520,N$7)))</f>
        <v>0</v>
      </c>
      <c r="O71" s="26" t="n">
        <f aca="false">IF(O$7="","",CHOOSE(MATCH($B$4,Lists!$C$2:$C$5,0),SUMIFS(Sales_Data!$O$2:$O$3520,Sales_Data!$C$2:$C$3520,$A71,Sales_Data!$F$2:$F$3520,O$7,Sales_Data!$AE$2:$AE$3520,1),SUMIFS(Sales_Data!$M$2:$M$3520,Sales_Data!$C$2:$C$3520,$A71,Sales_Data!$F$2:$F$3520,O$7,Sales_Data!$AE$2:$AE$3520,1),SUMIFS(Sales_Data!$N$2:$N$3520,Sales_Data!$C$2:$C$3520,$A71,Sales_Data!$F$2:$F$3520,O$7,Sales_Data!$AE$2:$AE$3520,1),SUMIFS(Sales_Data!$AE$2:$AE$3520,Sales_Data!$C$2:$C$3520,$A71,Sales_Data!$F$2:$F$3520,O$7)))</f>
        <v>0</v>
      </c>
      <c r="P71" s="26" t="n">
        <f aca="false">IF(P$7="","",CHOOSE(MATCH($B$4,Lists!$C$2:$C$5,0),SUMIFS(Sales_Data!$O$2:$O$3520,Sales_Data!$C$2:$C$3520,$A71,Sales_Data!$F$2:$F$3520,P$7,Sales_Data!$AE$2:$AE$3520,1),SUMIFS(Sales_Data!$M$2:$M$3520,Sales_Data!$C$2:$C$3520,$A71,Sales_Data!$F$2:$F$3520,P$7,Sales_Data!$AE$2:$AE$3520,1),SUMIFS(Sales_Data!$N$2:$N$3520,Sales_Data!$C$2:$C$3520,$A71,Sales_Data!$F$2:$F$3520,P$7,Sales_Data!$AE$2:$AE$3520,1),SUMIFS(Sales_Data!$AE$2:$AE$3520,Sales_Data!$C$2:$C$3520,$A71,Sales_Data!$F$2:$F$3520,P$7)))</f>
        <v>0</v>
      </c>
      <c r="Q71" s="26" t="n">
        <f aca="false">IF(Q$7="","",CHOOSE(MATCH($B$4,Lists!$C$2:$C$5,0),SUMIFS(Sales_Data!$O$2:$O$3520,Sales_Data!$C$2:$C$3520,$A71,Sales_Data!$F$2:$F$3520,Q$7,Sales_Data!$AE$2:$AE$3520,1),SUMIFS(Sales_Data!$M$2:$M$3520,Sales_Data!$C$2:$C$3520,$A71,Sales_Data!$F$2:$F$3520,Q$7,Sales_Data!$AE$2:$AE$3520,1),SUMIFS(Sales_Data!$N$2:$N$3520,Sales_Data!$C$2:$C$3520,$A71,Sales_Data!$F$2:$F$3520,Q$7,Sales_Data!$AE$2:$AE$3520,1),SUMIFS(Sales_Data!$AE$2:$AE$3520,Sales_Data!$C$2:$C$3520,$A71,Sales_Data!$F$2:$F$3520,Q$7)))</f>
        <v>0</v>
      </c>
      <c r="R71" s="26" t="n">
        <f aca="false">IF(R$7="","",CHOOSE(MATCH($B$4,Lists!$C$2:$C$5,0),SUMIFS(Sales_Data!$O$2:$O$3520,Sales_Data!$C$2:$C$3520,$A71,Sales_Data!$F$2:$F$3520,R$7,Sales_Data!$AE$2:$AE$3520,1),SUMIFS(Sales_Data!$M$2:$M$3520,Sales_Data!$C$2:$C$3520,$A71,Sales_Data!$F$2:$F$3520,R$7,Sales_Data!$AE$2:$AE$3520,1),SUMIFS(Sales_Data!$N$2:$N$3520,Sales_Data!$C$2:$C$3520,$A71,Sales_Data!$F$2:$F$3520,R$7,Sales_Data!$AE$2:$AE$3520,1),SUMIFS(Sales_Data!$AE$2:$AE$3520,Sales_Data!$C$2:$C$3520,$A71,Sales_Data!$F$2:$F$3520,R$7)))</f>
        <v>0</v>
      </c>
      <c r="S71" s="26" t="n">
        <f aca="false">IF(S$7="","",CHOOSE(MATCH($B$4,Lists!$C$2:$C$5,0),SUMIFS(Sales_Data!$O$2:$O$3520,Sales_Data!$C$2:$C$3520,$A71,Sales_Data!$F$2:$F$3520,S$7,Sales_Data!$AE$2:$AE$3520,1),SUMIFS(Sales_Data!$M$2:$M$3520,Sales_Data!$C$2:$C$3520,$A71,Sales_Data!$F$2:$F$3520,S$7,Sales_Data!$AE$2:$AE$3520,1),SUMIFS(Sales_Data!$N$2:$N$3520,Sales_Data!$C$2:$C$3520,$A71,Sales_Data!$F$2:$F$3520,S$7,Sales_Data!$AE$2:$AE$3520,1),SUMIFS(Sales_Data!$AE$2:$AE$3520,Sales_Data!$C$2:$C$3520,$A71,Sales_Data!$F$2:$F$3520,S$7)))</f>
        <v>0</v>
      </c>
      <c r="T71" s="26" t="str">
        <f aca="false">IF(T$7="","",CHOOSE(MATCH($B$4,Lists!$C$2:$C$5,0),SUMIFS(Sales_Data!$O$2:$O$3520,Sales_Data!$C$2:$C$3520,$A71,Sales_Data!$F$2:$F$3520,T$7,Sales_Data!$AE$2:$AE$3520,1),SUMIFS(Sales_Data!$M$2:$M$3520,Sales_Data!$C$2:$C$3520,$A71,Sales_Data!$F$2:$F$3520,T$7,Sales_Data!$AE$2:$AE$3520,1),SUMIFS(Sales_Data!$N$2:$N$3520,Sales_Data!$C$2:$C$3520,$A71,Sales_Data!$F$2:$F$3520,T$7,Sales_Data!$AE$2:$AE$3520,1),SUMIFS(Sales_Data!$AE$2:$AE$3520,Sales_Data!$C$2:$C$3520,$A71,Sales_Data!$F$2:$F$3520,T$7)))</f>
        <v/>
      </c>
      <c r="U71" s="26" t="str">
        <f aca="false">IF(U$7="","",CHOOSE(MATCH($B$4,Lists!$C$2:$C$5,0),SUMIFS(Sales_Data!$O$2:$O$3520,Sales_Data!$C$2:$C$3520,$A71,Sales_Data!$F$2:$F$3520,U$7,Sales_Data!$AE$2:$AE$3520,1),SUMIFS(Sales_Data!$M$2:$M$3520,Sales_Data!$C$2:$C$3520,$A71,Sales_Data!$F$2:$F$3520,U$7,Sales_Data!$AE$2:$AE$3520,1),SUMIFS(Sales_Data!$N$2:$N$3520,Sales_Data!$C$2:$C$3520,$A71,Sales_Data!$F$2:$F$3520,U$7,Sales_Data!$AE$2:$AE$3520,1),SUMIFS(Sales_Data!$AE$2:$AE$3520,Sales_Data!$C$2:$C$3520,$A71,Sales_Data!$F$2:$F$3520,U$7)))</f>
        <v/>
      </c>
      <c r="V71" s="26" t="str">
        <f aca="false">IF(V$7="","",CHOOSE(MATCH($B$4,Lists!$C$2:$C$5,0),SUMIFS(Sales_Data!$O$2:$O$3520,Sales_Data!$C$2:$C$3520,$A71,Sales_Data!$F$2:$F$3520,V$7,Sales_Data!$AE$2:$AE$3520,1),SUMIFS(Sales_Data!$M$2:$M$3520,Sales_Data!$C$2:$C$3520,$A71,Sales_Data!$F$2:$F$3520,V$7,Sales_Data!$AE$2:$AE$3520,1),SUMIFS(Sales_Data!$N$2:$N$3520,Sales_Data!$C$2:$C$3520,$A71,Sales_Data!$F$2:$F$3520,V$7,Sales_Data!$AE$2:$AE$3520,1),SUMIFS(Sales_Data!$AE$2:$AE$3520,Sales_Data!$C$2:$C$3520,$A71,Sales_Data!$F$2:$F$3520,V$7)))</f>
        <v/>
      </c>
      <c r="W71" s="26" t="str">
        <f aca="false">IF(W$7="","",CHOOSE(MATCH($B$4,Lists!$C$2:$C$5,0),SUMIFS(Sales_Data!$O$2:$O$3520,Sales_Data!$C$2:$C$3520,$A71,Sales_Data!$F$2:$F$3520,W$7,Sales_Data!$AE$2:$AE$3520,1),SUMIFS(Sales_Data!$M$2:$M$3520,Sales_Data!$C$2:$C$3520,$A71,Sales_Data!$F$2:$F$3520,W$7,Sales_Data!$AE$2:$AE$3520,1),SUMIFS(Sales_Data!$N$2:$N$3520,Sales_Data!$C$2:$C$3520,$A71,Sales_Data!$F$2:$F$3520,W$7,Sales_Data!$AE$2:$AE$3520,1),SUMIFS(Sales_Data!$AE$2:$AE$3520,Sales_Data!$C$2:$C$3520,$A71,Sales_Data!$F$2:$F$3520,W$7)))</f>
        <v/>
      </c>
      <c r="X71" s="26" t="str">
        <f aca="false">IF(X$7="","",CHOOSE(MATCH($B$4,Lists!$C$2:$C$5,0),SUMIFS(Sales_Data!$O$2:$O$3520,Sales_Data!$C$2:$C$3520,$A71,Sales_Data!$F$2:$F$3520,X$7,Sales_Data!$AE$2:$AE$3520,1),SUMIFS(Sales_Data!$M$2:$M$3520,Sales_Data!$C$2:$C$3520,$A71,Sales_Data!$F$2:$F$3520,X$7,Sales_Data!$AE$2:$AE$3520,1),SUMIFS(Sales_Data!$N$2:$N$3520,Sales_Data!$C$2:$C$3520,$A71,Sales_Data!$F$2:$F$3520,X$7,Sales_Data!$AE$2:$AE$3520,1),SUMIFS(Sales_Data!$AE$2:$AE$3520,Sales_Data!$C$2:$C$3520,$A71,Sales_Data!$F$2:$F$3520,X$7)))</f>
        <v/>
      </c>
      <c r="Y71" s="26" t="str">
        <f aca="false">IF(Y$7="","",CHOOSE(MATCH($B$4,Lists!$C$2:$C$5,0),SUMIFS(Sales_Data!$O$2:$O$3520,Sales_Data!$C$2:$C$3520,$A71,Sales_Data!$F$2:$F$3520,Y$7,Sales_Data!$AE$2:$AE$3520,1),SUMIFS(Sales_Data!$M$2:$M$3520,Sales_Data!$C$2:$C$3520,$A71,Sales_Data!$F$2:$F$3520,Y$7,Sales_Data!$AE$2:$AE$3520,1),SUMIFS(Sales_Data!$N$2:$N$3520,Sales_Data!$C$2:$C$3520,$A71,Sales_Data!$F$2:$F$3520,Y$7,Sales_Data!$AE$2:$AE$3520,1),SUMIFS(Sales_Data!$AE$2:$AE$3520,Sales_Data!$C$2:$C$3520,$A71,Sales_Data!$F$2:$F$3520,Y$7)))</f>
        <v/>
      </c>
      <c r="Z71" s="26" t="str">
        <f aca="false">IF(Z$7="","",CHOOSE(MATCH($B$4,Lists!$C$2:$C$5,0),SUMIFS(Sales_Data!$O$2:$O$3520,Sales_Data!$C$2:$C$3520,$A71,Sales_Data!$F$2:$F$3520,Z$7,Sales_Data!$AE$2:$AE$3520,1),SUMIFS(Sales_Data!$M$2:$M$3520,Sales_Data!$C$2:$C$3520,$A71,Sales_Data!$F$2:$F$3520,Z$7,Sales_Data!$AE$2:$AE$3520,1),SUMIFS(Sales_Data!$N$2:$N$3520,Sales_Data!$C$2:$C$3520,$A71,Sales_Data!$F$2:$F$3520,Z$7,Sales_Data!$AE$2:$AE$3520,1),SUMIFS(Sales_Data!$AE$2:$AE$3520,Sales_Data!$C$2:$C$3520,$A71,Sales_Data!$F$2:$F$3520,Z$7)))</f>
        <v/>
      </c>
      <c r="AA71" s="27" t="n">
        <f aca="false">SUM(B71:Z71)</f>
        <v>1</v>
      </c>
      <c r="AB71" s="3"/>
      <c r="AC71" s="72" t="n">
        <f aca="false">A71</f>
        <v>46278</v>
      </c>
      <c r="AD71" s="28" t="n">
        <f aca="false">IF(B71="","",B71-B70)</f>
        <v>0</v>
      </c>
      <c r="AE71" s="28" t="n">
        <f aca="false">IF(C71="","",C71-C70)</f>
        <v>0</v>
      </c>
      <c r="AF71" s="28" t="n">
        <f aca="false">IF(D71="","",D71-D70)</f>
        <v>0</v>
      </c>
      <c r="AG71" s="28" t="n">
        <f aca="false">IF(E71="","",E71-E70)</f>
        <v>0</v>
      </c>
      <c r="AH71" s="28" t="n">
        <f aca="false">IF(F71="","",F71-F70)</f>
        <v>0</v>
      </c>
      <c r="AI71" s="28" t="n">
        <f aca="false">IF(G71="","",G71-G70)</f>
        <v>-5</v>
      </c>
      <c r="AJ71" s="28" t="n">
        <f aca="false">IF(H71="","",H71-H70)</f>
        <v>0</v>
      </c>
      <c r="AK71" s="28" t="n">
        <f aca="false">IF(I71="","",I71-I70)</f>
        <v>0</v>
      </c>
      <c r="AL71" s="28" t="n">
        <f aca="false">IF(J71="","",J71-J70)</f>
        <v>0</v>
      </c>
      <c r="AM71" s="28" t="n">
        <f aca="false">IF(K71="","",K71-K70)</f>
        <v>0</v>
      </c>
      <c r="AN71" s="28" t="n">
        <f aca="false">IF(L71="","",L71-L70)</f>
        <v>0</v>
      </c>
      <c r="AO71" s="28" t="n">
        <f aca="false">IF(M71="","",M71-M70)</f>
        <v>0</v>
      </c>
      <c r="AP71" s="28" t="n">
        <f aca="false">IF(N71="","",N71-N70)</f>
        <v>0</v>
      </c>
      <c r="AQ71" s="28" t="n">
        <f aca="false">IF(O71="","",O71-O70)</f>
        <v>0</v>
      </c>
      <c r="AR71" s="28" t="n">
        <f aca="false">IF(P71="","",P71-P70)</f>
        <v>0</v>
      </c>
      <c r="AS71" s="28" t="n">
        <f aca="false">IF(Q71="","",Q71-Q70)</f>
        <v>0</v>
      </c>
      <c r="AT71" s="28" t="n">
        <f aca="false">IF(R71="","",R71-R70)</f>
        <v>0</v>
      </c>
      <c r="AU71" s="28" t="n">
        <f aca="false">IF(S71="","",S71-S70)</f>
        <v>0</v>
      </c>
      <c r="AV71" s="28" t="str">
        <f aca="false">IF(T71="","",T71-T70)</f>
        <v/>
      </c>
      <c r="AW71" s="28" t="str">
        <f aca="false">IF(U71="","",U71-U70)</f>
        <v/>
      </c>
      <c r="AX71" s="28" t="str">
        <f aca="false">IF(V71="","",V71-V70)</f>
        <v/>
      </c>
      <c r="AY71" s="28" t="str">
        <f aca="false">IF(W71="","",W71-W70)</f>
        <v/>
      </c>
      <c r="AZ71" s="28" t="str">
        <f aca="false">IF(X71="","",X71-X70)</f>
        <v/>
      </c>
      <c r="BA71" s="28" t="str">
        <f aca="false">IF(Y71="","",Y71-Y70)</f>
        <v/>
      </c>
      <c r="BB71" s="28" t="str">
        <f aca="false">IF(Z71="","",Z71-Z70)</f>
        <v/>
      </c>
      <c r="BC71" s="28" t="n">
        <f aca="false">IF(AA71="","",AA71-AA70)</f>
        <v>-5</v>
      </c>
    </row>
    <row r="72" customFormat="false" ht="15" hidden="false" customHeight="false" outlineLevel="0" collapsed="false">
      <c r="A72" s="72" t="n">
        <v>46279</v>
      </c>
      <c r="B72" s="26" t="n">
        <f aca="false">IF(B$7="","",CHOOSE(MATCH($B$4,Lists!$C$2:$C$5,0),SUMIFS(Sales_Data!$O$2:$O$3520,Sales_Data!$C$2:$C$3520,$A72,Sales_Data!$F$2:$F$3520,B$7,Sales_Data!$AE$2:$AE$3520,1),SUMIFS(Sales_Data!$M$2:$M$3520,Sales_Data!$C$2:$C$3520,$A72,Sales_Data!$F$2:$F$3520,B$7,Sales_Data!$AE$2:$AE$3520,1),SUMIFS(Sales_Data!$N$2:$N$3520,Sales_Data!$C$2:$C$3520,$A72,Sales_Data!$F$2:$F$3520,B$7,Sales_Data!$AE$2:$AE$3520,1),SUMIFS(Sales_Data!$AE$2:$AE$3520,Sales_Data!$C$2:$C$3520,$A72,Sales_Data!$F$2:$F$3520,B$7)))</f>
        <v>0</v>
      </c>
      <c r="C72" s="26" t="n">
        <f aca="false">IF(C$7="","",CHOOSE(MATCH($B$4,Lists!$C$2:$C$5,0),SUMIFS(Sales_Data!$O$2:$O$3520,Sales_Data!$C$2:$C$3520,$A72,Sales_Data!$F$2:$F$3520,C$7,Sales_Data!$AE$2:$AE$3520,1),SUMIFS(Sales_Data!$M$2:$M$3520,Sales_Data!$C$2:$C$3520,$A72,Sales_Data!$F$2:$F$3520,C$7,Sales_Data!$AE$2:$AE$3520,1),SUMIFS(Sales_Data!$N$2:$N$3520,Sales_Data!$C$2:$C$3520,$A72,Sales_Data!$F$2:$F$3520,C$7,Sales_Data!$AE$2:$AE$3520,1),SUMIFS(Sales_Data!$AE$2:$AE$3520,Sales_Data!$C$2:$C$3520,$A72,Sales_Data!$F$2:$F$3520,C$7)))</f>
        <v>0</v>
      </c>
      <c r="D72" s="26" t="n">
        <f aca="false">IF(D$7="","",CHOOSE(MATCH($B$4,Lists!$C$2:$C$5,0),SUMIFS(Sales_Data!$O$2:$O$3520,Sales_Data!$C$2:$C$3520,$A72,Sales_Data!$F$2:$F$3520,D$7,Sales_Data!$AE$2:$AE$3520,1),SUMIFS(Sales_Data!$M$2:$M$3520,Sales_Data!$C$2:$C$3520,$A72,Sales_Data!$F$2:$F$3520,D$7,Sales_Data!$AE$2:$AE$3520,1),SUMIFS(Sales_Data!$N$2:$N$3520,Sales_Data!$C$2:$C$3520,$A72,Sales_Data!$F$2:$F$3520,D$7,Sales_Data!$AE$2:$AE$3520,1),SUMIFS(Sales_Data!$AE$2:$AE$3520,Sales_Data!$C$2:$C$3520,$A72,Sales_Data!$F$2:$F$3520,D$7)))</f>
        <v>1</v>
      </c>
      <c r="E72" s="26" t="n">
        <f aca="false">IF(E$7="","",CHOOSE(MATCH($B$4,Lists!$C$2:$C$5,0),SUMIFS(Sales_Data!$O$2:$O$3520,Sales_Data!$C$2:$C$3520,$A72,Sales_Data!$F$2:$F$3520,E$7,Sales_Data!$AE$2:$AE$3520,1),SUMIFS(Sales_Data!$M$2:$M$3520,Sales_Data!$C$2:$C$3520,$A72,Sales_Data!$F$2:$F$3520,E$7,Sales_Data!$AE$2:$AE$3520,1),SUMIFS(Sales_Data!$N$2:$N$3520,Sales_Data!$C$2:$C$3520,$A72,Sales_Data!$F$2:$F$3520,E$7,Sales_Data!$AE$2:$AE$3520,1),SUMIFS(Sales_Data!$AE$2:$AE$3520,Sales_Data!$C$2:$C$3520,$A72,Sales_Data!$F$2:$F$3520,E$7)))</f>
        <v>0</v>
      </c>
      <c r="F72" s="26" t="n">
        <f aca="false">IF(F$7="","",CHOOSE(MATCH($B$4,Lists!$C$2:$C$5,0),SUMIFS(Sales_Data!$O$2:$O$3520,Sales_Data!$C$2:$C$3520,$A72,Sales_Data!$F$2:$F$3520,F$7,Sales_Data!$AE$2:$AE$3520,1),SUMIFS(Sales_Data!$M$2:$M$3520,Sales_Data!$C$2:$C$3520,$A72,Sales_Data!$F$2:$F$3520,F$7,Sales_Data!$AE$2:$AE$3520,1),SUMIFS(Sales_Data!$N$2:$N$3520,Sales_Data!$C$2:$C$3520,$A72,Sales_Data!$F$2:$F$3520,F$7,Sales_Data!$AE$2:$AE$3520,1),SUMIFS(Sales_Data!$AE$2:$AE$3520,Sales_Data!$C$2:$C$3520,$A72,Sales_Data!$F$2:$F$3520,F$7)))</f>
        <v>0</v>
      </c>
      <c r="G72" s="26" t="n">
        <f aca="false">IF(G$7="","",CHOOSE(MATCH($B$4,Lists!$C$2:$C$5,0),SUMIFS(Sales_Data!$O$2:$O$3520,Sales_Data!$C$2:$C$3520,$A72,Sales_Data!$F$2:$F$3520,G$7,Sales_Data!$AE$2:$AE$3520,1),SUMIFS(Sales_Data!$M$2:$M$3520,Sales_Data!$C$2:$C$3520,$A72,Sales_Data!$F$2:$F$3520,G$7,Sales_Data!$AE$2:$AE$3520,1),SUMIFS(Sales_Data!$N$2:$N$3520,Sales_Data!$C$2:$C$3520,$A72,Sales_Data!$F$2:$F$3520,G$7,Sales_Data!$AE$2:$AE$3520,1),SUMIFS(Sales_Data!$AE$2:$AE$3520,Sales_Data!$C$2:$C$3520,$A72,Sales_Data!$F$2:$F$3520,G$7)))</f>
        <v>4</v>
      </c>
      <c r="H72" s="26" t="n">
        <f aca="false">IF(H$7="","",CHOOSE(MATCH($B$4,Lists!$C$2:$C$5,0),SUMIFS(Sales_Data!$O$2:$O$3520,Sales_Data!$C$2:$C$3520,$A72,Sales_Data!$F$2:$F$3520,H$7,Sales_Data!$AE$2:$AE$3520,1),SUMIFS(Sales_Data!$M$2:$M$3520,Sales_Data!$C$2:$C$3520,$A72,Sales_Data!$F$2:$F$3520,H$7,Sales_Data!$AE$2:$AE$3520,1),SUMIFS(Sales_Data!$N$2:$N$3520,Sales_Data!$C$2:$C$3520,$A72,Sales_Data!$F$2:$F$3520,H$7,Sales_Data!$AE$2:$AE$3520,1),SUMIFS(Sales_Data!$AE$2:$AE$3520,Sales_Data!$C$2:$C$3520,$A72,Sales_Data!$F$2:$F$3520,H$7)))</f>
        <v>0</v>
      </c>
      <c r="I72" s="26" t="n">
        <f aca="false">IF(I$7="","",CHOOSE(MATCH($B$4,Lists!$C$2:$C$5,0),SUMIFS(Sales_Data!$O$2:$O$3520,Sales_Data!$C$2:$C$3520,$A72,Sales_Data!$F$2:$F$3520,I$7,Sales_Data!$AE$2:$AE$3520,1),SUMIFS(Sales_Data!$M$2:$M$3520,Sales_Data!$C$2:$C$3520,$A72,Sales_Data!$F$2:$F$3520,I$7,Sales_Data!$AE$2:$AE$3520,1),SUMIFS(Sales_Data!$N$2:$N$3520,Sales_Data!$C$2:$C$3520,$A72,Sales_Data!$F$2:$F$3520,I$7,Sales_Data!$AE$2:$AE$3520,1),SUMIFS(Sales_Data!$AE$2:$AE$3520,Sales_Data!$C$2:$C$3520,$A72,Sales_Data!$F$2:$F$3520,I$7)))</f>
        <v>0</v>
      </c>
      <c r="J72" s="26" t="n">
        <f aca="false">IF(J$7="","",CHOOSE(MATCH($B$4,Lists!$C$2:$C$5,0),SUMIFS(Sales_Data!$O$2:$O$3520,Sales_Data!$C$2:$C$3520,$A72,Sales_Data!$F$2:$F$3520,J$7,Sales_Data!$AE$2:$AE$3520,1),SUMIFS(Sales_Data!$M$2:$M$3520,Sales_Data!$C$2:$C$3520,$A72,Sales_Data!$F$2:$F$3520,J$7,Sales_Data!$AE$2:$AE$3520,1),SUMIFS(Sales_Data!$N$2:$N$3520,Sales_Data!$C$2:$C$3520,$A72,Sales_Data!$F$2:$F$3520,J$7,Sales_Data!$AE$2:$AE$3520,1),SUMIFS(Sales_Data!$AE$2:$AE$3520,Sales_Data!$C$2:$C$3520,$A72,Sales_Data!$F$2:$F$3520,J$7)))</f>
        <v>1</v>
      </c>
      <c r="K72" s="26" t="n">
        <f aca="false">IF(K$7="","",CHOOSE(MATCH($B$4,Lists!$C$2:$C$5,0),SUMIFS(Sales_Data!$O$2:$O$3520,Sales_Data!$C$2:$C$3520,$A72,Sales_Data!$F$2:$F$3520,K$7,Sales_Data!$AE$2:$AE$3520,1),SUMIFS(Sales_Data!$M$2:$M$3520,Sales_Data!$C$2:$C$3520,$A72,Sales_Data!$F$2:$F$3520,K$7,Sales_Data!$AE$2:$AE$3520,1),SUMIFS(Sales_Data!$N$2:$N$3520,Sales_Data!$C$2:$C$3520,$A72,Sales_Data!$F$2:$F$3520,K$7,Sales_Data!$AE$2:$AE$3520,1),SUMIFS(Sales_Data!$AE$2:$AE$3520,Sales_Data!$C$2:$C$3520,$A72,Sales_Data!$F$2:$F$3520,K$7)))</f>
        <v>0</v>
      </c>
      <c r="L72" s="26" t="n">
        <f aca="false">IF(L$7="","",CHOOSE(MATCH($B$4,Lists!$C$2:$C$5,0),SUMIFS(Sales_Data!$O$2:$O$3520,Sales_Data!$C$2:$C$3520,$A72,Sales_Data!$F$2:$F$3520,L$7,Sales_Data!$AE$2:$AE$3520,1),SUMIFS(Sales_Data!$M$2:$M$3520,Sales_Data!$C$2:$C$3520,$A72,Sales_Data!$F$2:$F$3520,L$7,Sales_Data!$AE$2:$AE$3520,1),SUMIFS(Sales_Data!$N$2:$N$3520,Sales_Data!$C$2:$C$3520,$A72,Sales_Data!$F$2:$F$3520,L$7,Sales_Data!$AE$2:$AE$3520,1),SUMIFS(Sales_Data!$AE$2:$AE$3520,Sales_Data!$C$2:$C$3520,$A72,Sales_Data!$F$2:$F$3520,L$7)))</f>
        <v>0</v>
      </c>
      <c r="M72" s="26" t="n">
        <f aca="false">IF(M$7="","",CHOOSE(MATCH($B$4,Lists!$C$2:$C$5,0),SUMIFS(Sales_Data!$O$2:$O$3520,Sales_Data!$C$2:$C$3520,$A72,Sales_Data!$F$2:$F$3520,M$7,Sales_Data!$AE$2:$AE$3520,1),SUMIFS(Sales_Data!$M$2:$M$3520,Sales_Data!$C$2:$C$3520,$A72,Sales_Data!$F$2:$F$3520,M$7,Sales_Data!$AE$2:$AE$3520,1),SUMIFS(Sales_Data!$N$2:$N$3520,Sales_Data!$C$2:$C$3520,$A72,Sales_Data!$F$2:$F$3520,M$7,Sales_Data!$AE$2:$AE$3520,1),SUMIFS(Sales_Data!$AE$2:$AE$3520,Sales_Data!$C$2:$C$3520,$A72,Sales_Data!$F$2:$F$3520,M$7)))</f>
        <v>0</v>
      </c>
      <c r="N72" s="26" t="n">
        <f aca="false">IF(N$7="","",CHOOSE(MATCH($B$4,Lists!$C$2:$C$5,0),SUMIFS(Sales_Data!$O$2:$O$3520,Sales_Data!$C$2:$C$3520,$A72,Sales_Data!$F$2:$F$3520,N$7,Sales_Data!$AE$2:$AE$3520,1),SUMIFS(Sales_Data!$M$2:$M$3520,Sales_Data!$C$2:$C$3520,$A72,Sales_Data!$F$2:$F$3520,N$7,Sales_Data!$AE$2:$AE$3520,1),SUMIFS(Sales_Data!$N$2:$N$3520,Sales_Data!$C$2:$C$3520,$A72,Sales_Data!$F$2:$F$3520,N$7,Sales_Data!$AE$2:$AE$3520,1),SUMIFS(Sales_Data!$AE$2:$AE$3520,Sales_Data!$C$2:$C$3520,$A72,Sales_Data!$F$2:$F$3520,N$7)))</f>
        <v>2</v>
      </c>
      <c r="O72" s="26" t="n">
        <f aca="false">IF(O$7="","",CHOOSE(MATCH($B$4,Lists!$C$2:$C$5,0),SUMIFS(Sales_Data!$O$2:$O$3520,Sales_Data!$C$2:$C$3520,$A72,Sales_Data!$F$2:$F$3520,O$7,Sales_Data!$AE$2:$AE$3520,1),SUMIFS(Sales_Data!$M$2:$M$3520,Sales_Data!$C$2:$C$3520,$A72,Sales_Data!$F$2:$F$3520,O$7,Sales_Data!$AE$2:$AE$3520,1),SUMIFS(Sales_Data!$N$2:$N$3520,Sales_Data!$C$2:$C$3520,$A72,Sales_Data!$F$2:$F$3520,O$7,Sales_Data!$AE$2:$AE$3520,1),SUMIFS(Sales_Data!$AE$2:$AE$3520,Sales_Data!$C$2:$C$3520,$A72,Sales_Data!$F$2:$F$3520,O$7)))</f>
        <v>0</v>
      </c>
      <c r="P72" s="26" t="n">
        <f aca="false">IF(P$7="","",CHOOSE(MATCH($B$4,Lists!$C$2:$C$5,0),SUMIFS(Sales_Data!$O$2:$O$3520,Sales_Data!$C$2:$C$3520,$A72,Sales_Data!$F$2:$F$3520,P$7,Sales_Data!$AE$2:$AE$3520,1),SUMIFS(Sales_Data!$M$2:$M$3520,Sales_Data!$C$2:$C$3520,$A72,Sales_Data!$F$2:$F$3520,P$7,Sales_Data!$AE$2:$AE$3520,1),SUMIFS(Sales_Data!$N$2:$N$3520,Sales_Data!$C$2:$C$3520,$A72,Sales_Data!$F$2:$F$3520,P$7,Sales_Data!$AE$2:$AE$3520,1),SUMIFS(Sales_Data!$AE$2:$AE$3520,Sales_Data!$C$2:$C$3520,$A72,Sales_Data!$F$2:$F$3520,P$7)))</f>
        <v>0</v>
      </c>
      <c r="Q72" s="26" t="n">
        <f aca="false">IF(Q$7="","",CHOOSE(MATCH($B$4,Lists!$C$2:$C$5,0),SUMIFS(Sales_Data!$O$2:$O$3520,Sales_Data!$C$2:$C$3520,$A72,Sales_Data!$F$2:$F$3520,Q$7,Sales_Data!$AE$2:$AE$3520,1),SUMIFS(Sales_Data!$M$2:$M$3520,Sales_Data!$C$2:$C$3520,$A72,Sales_Data!$F$2:$F$3520,Q$7,Sales_Data!$AE$2:$AE$3520,1),SUMIFS(Sales_Data!$N$2:$N$3520,Sales_Data!$C$2:$C$3520,$A72,Sales_Data!$F$2:$F$3520,Q$7,Sales_Data!$AE$2:$AE$3520,1),SUMIFS(Sales_Data!$AE$2:$AE$3520,Sales_Data!$C$2:$C$3520,$A72,Sales_Data!$F$2:$F$3520,Q$7)))</f>
        <v>0</v>
      </c>
      <c r="R72" s="26" t="n">
        <f aca="false">IF(R$7="","",CHOOSE(MATCH($B$4,Lists!$C$2:$C$5,0),SUMIFS(Sales_Data!$O$2:$O$3520,Sales_Data!$C$2:$C$3520,$A72,Sales_Data!$F$2:$F$3520,R$7,Sales_Data!$AE$2:$AE$3520,1),SUMIFS(Sales_Data!$M$2:$M$3520,Sales_Data!$C$2:$C$3520,$A72,Sales_Data!$F$2:$F$3520,R$7,Sales_Data!$AE$2:$AE$3520,1),SUMIFS(Sales_Data!$N$2:$N$3520,Sales_Data!$C$2:$C$3520,$A72,Sales_Data!$F$2:$F$3520,R$7,Sales_Data!$AE$2:$AE$3520,1),SUMIFS(Sales_Data!$AE$2:$AE$3520,Sales_Data!$C$2:$C$3520,$A72,Sales_Data!$F$2:$F$3520,R$7)))</f>
        <v>0</v>
      </c>
      <c r="S72" s="26" t="n">
        <f aca="false">IF(S$7="","",CHOOSE(MATCH($B$4,Lists!$C$2:$C$5,0),SUMIFS(Sales_Data!$O$2:$O$3520,Sales_Data!$C$2:$C$3520,$A72,Sales_Data!$F$2:$F$3520,S$7,Sales_Data!$AE$2:$AE$3520,1),SUMIFS(Sales_Data!$M$2:$M$3520,Sales_Data!$C$2:$C$3520,$A72,Sales_Data!$F$2:$F$3520,S$7,Sales_Data!$AE$2:$AE$3520,1),SUMIFS(Sales_Data!$N$2:$N$3520,Sales_Data!$C$2:$C$3520,$A72,Sales_Data!$F$2:$F$3520,S$7,Sales_Data!$AE$2:$AE$3520,1),SUMIFS(Sales_Data!$AE$2:$AE$3520,Sales_Data!$C$2:$C$3520,$A72,Sales_Data!$F$2:$F$3520,S$7)))</f>
        <v>0</v>
      </c>
      <c r="T72" s="26" t="str">
        <f aca="false">IF(T$7="","",CHOOSE(MATCH($B$4,Lists!$C$2:$C$5,0),SUMIFS(Sales_Data!$O$2:$O$3520,Sales_Data!$C$2:$C$3520,$A72,Sales_Data!$F$2:$F$3520,T$7,Sales_Data!$AE$2:$AE$3520,1),SUMIFS(Sales_Data!$M$2:$M$3520,Sales_Data!$C$2:$C$3520,$A72,Sales_Data!$F$2:$F$3520,T$7,Sales_Data!$AE$2:$AE$3520,1),SUMIFS(Sales_Data!$N$2:$N$3520,Sales_Data!$C$2:$C$3520,$A72,Sales_Data!$F$2:$F$3520,T$7,Sales_Data!$AE$2:$AE$3520,1),SUMIFS(Sales_Data!$AE$2:$AE$3520,Sales_Data!$C$2:$C$3520,$A72,Sales_Data!$F$2:$F$3520,T$7)))</f>
        <v/>
      </c>
      <c r="U72" s="26" t="str">
        <f aca="false">IF(U$7="","",CHOOSE(MATCH($B$4,Lists!$C$2:$C$5,0),SUMIFS(Sales_Data!$O$2:$O$3520,Sales_Data!$C$2:$C$3520,$A72,Sales_Data!$F$2:$F$3520,U$7,Sales_Data!$AE$2:$AE$3520,1),SUMIFS(Sales_Data!$M$2:$M$3520,Sales_Data!$C$2:$C$3520,$A72,Sales_Data!$F$2:$F$3520,U$7,Sales_Data!$AE$2:$AE$3520,1),SUMIFS(Sales_Data!$N$2:$N$3520,Sales_Data!$C$2:$C$3520,$A72,Sales_Data!$F$2:$F$3520,U$7,Sales_Data!$AE$2:$AE$3520,1),SUMIFS(Sales_Data!$AE$2:$AE$3520,Sales_Data!$C$2:$C$3520,$A72,Sales_Data!$F$2:$F$3520,U$7)))</f>
        <v/>
      </c>
      <c r="V72" s="26" t="str">
        <f aca="false">IF(V$7="","",CHOOSE(MATCH($B$4,Lists!$C$2:$C$5,0),SUMIFS(Sales_Data!$O$2:$O$3520,Sales_Data!$C$2:$C$3520,$A72,Sales_Data!$F$2:$F$3520,V$7,Sales_Data!$AE$2:$AE$3520,1),SUMIFS(Sales_Data!$M$2:$M$3520,Sales_Data!$C$2:$C$3520,$A72,Sales_Data!$F$2:$F$3520,V$7,Sales_Data!$AE$2:$AE$3520,1),SUMIFS(Sales_Data!$N$2:$N$3520,Sales_Data!$C$2:$C$3520,$A72,Sales_Data!$F$2:$F$3520,V$7,Sales_Data!$AE$2:$AE$3520,1),SUMIFS(Sales_Data!$AE$2:$AE$3520,Sales_Data!$C$2:$C$3520,$A72,Sales_Data!$F$2:$F$3520,V$7)))</f>
        <v/>
      </c>
      <c r="W72" s="26" t="str">
        <f aca="false">IF(W$7="","",CHOOSE(MATCH($B$4,Lists!$C$2:$C$5,0),SUMIFS(Sales_Data!$O$2:$O$3520,Sales_Data!$C$2:$C$3520,$A72,Sales_Data!$F$2:$F$3520,W$7,Sales_Data!$AE$2:$AE$3520,1),SUMIFS(Sales_Data!$M$2:$M$3520,Sales_Data!$C$2:$C$3520,$A72,Sales_Data!$F$2:$F$3520,W$7,Sales_Data!$AE$2:$AE$3520,1),SUMIFS(Sales_Data!$N$2:$N$3520,Sales_Data!$C$2:$C$3520,$A72,Sales_Data!$F$2:$F$3520,W$7,Sales_Data!$AE$2:$AE$3520,1),SUMIFS(Sales_Data!$AE$2:$AE$3520,Sales_Data!$C$2:$C$3520,$A72,Sales_Data!$F$2:$F$3520,W$7)))</f>
        <v/>
      </c>
      <c r="X72" s="26" t="str">
        <f aca="false">IF(X$7="","",CHOOSE(MATCH($B$4,Lists!$C$2:$C$5,0),SUMIFS(Sales_Data!$O$2:$O$3520,Sales_Data!$C$2:$C$3520,$A72,Sales_Data!$F$2:$F$3520,X$7,Sales_Data!$AE$2:$AE$3520,1),SUMIFS(Sales_Data!$M$2:$M$3520,Sales_Data!$C$2:$C$3520,$A72,Sales_Data!$F$2:$F$3520,X$7,Sales_Data!$AE$2:$AE$3520,1),SUMIFS(Sales_Data!$N$2:$N$3520,Sales_Data!$C$2:$C$3520,$A72,Sales_Data!$F$2:$F$3520,X$7,Sales_Data!$AE$2:$AE$3520,1),SUMIFS(Sales_Data!$AE$2:$AE$3520,Sales_Data!$C$2:$C$3520,$A72,Sales_Data!$F$2:$F$3520,X$7)))</f>
        <v/>
      </c>
      <c r="Y72" s="26" t="str">
        <f aca="false">IF(Y$7="","",CHOOSE(MATCH($B$4,Lists!$C$2:$C$5,0),SUMIFS(Sales_Data!$O$2:$O$3520,Sales_Data!$C$2:$C$3520,$A72,Sales_Data!$F$2:$F$3520,Y$7,Sales_Data!$AE$2:$AE$3520,1),SUMIFS(Sales_Data!$M$2:$M$3520,Sales_Data!$C$2:$C$3520,$A72,Sales_Data!$F$2:$F$3520,Y$7,Sales_Data!$AE$2:$AE$3520,1),SUMIFS(Sales_Data!$N$2:$N$3520,Sales_Data!$C$2:$C$3520,$A72,Sales_Data!$F$2:$F$3520,Y$7,Sales_Data!$AE$2:$AE$3520,1),SUMIFS(Sales_Data!$AE$2:$AE$3520,Sales_Data!$C$2:$C$3520,$A72,Sales_Data!$F$2:$F$3520,Y$7)))</f>
        <v/>
      </c>
      <c r="Z72" s="26" t="str">
        <f aca="false">IF(Z$7="","",CHOOSE(MATCH($B$4,Lists!$C$2:$C$5,0),SUMIFS(Sales_Data!$O$2:$O$3520,Sales_Data!$C$2:$C$3520,$A72,Sales_Data!$F$2:$F$3520,Z$7,Sales_Data!$AE$2:$AE$3520,1),SUMIFS(Sales_Data!$M$2:$M$3520,Sales_Data!$C$2:$C$3520,$A72,Sales_Data!$F$2:$F$3520,Z$7,Sales_Data!$AE$2:$AE$3520,1),SUMIFS(Sales_Data!$N$2:$N$3520,Sales_Data!$C$2:$C$3520,$A72,Sales_Data!$F$2:$F$3520,Z$7,Sales_Data!$AE$2:$AE$3520,1),SUMIFS(Sales_Data!$AE$2:$AE$3520,Sales_Data!$C$2:$C$3520,$A72,Sales_Data!$F$2:$F$3520,Z$7)))</f>
        <v/>
      </c>
      <c r="AA72" s="27" t="n">
        <f aca="false">SUM(B72:Z72)</f>
        <v>8</v>
      </c>
      <c r="AB72" s="3"/>
      <c r="AC72" s="72" t="n">
        <f aca="false">A72</f>
        <v>46279</v>
      </c>
      <c r="AD72" s="28" t="n">
        <f aca="false">IF(B72="","",B72-B71)</f>
        <v>0</v>
      </c>
      <c r="AE72" s="28" t="n">
        <f aca="false">IF(C72="","",C72-C71)</f>
        <v>0</v>
      </c>
      <c r="AF72" s="28" t="n">
        <f aca="false">IF(D72="","",D72-D71)</f>
        <v>1</v>
      </c>
      <c r="AG72" s="28" t="n">
        <f aca="false">IF(E72="","",E72-E71)</f>
        <v>0</v>
      </c>
      <c r="AH72" s="28" t="n">
        <f aca="false">IF(F72="","",F72-F71)</f>
        <v>0</v>
      </c>
      <c r="AI72" s="28" t="n">
        <f aca="false">IF(G72="","",G72-G71)</f>
        <v>3</v>
      </c>
      <c r="AJ72" s="28" t="n">
        <f aca="false">IF(H72="","",H72-H71)</f>
        <v>0</v>
      </c>
      <c r="AK72" s="28" t="n">
        <f aca="false">IF(I72="","",I72-I71)</f>
        <v>0</v>
      </c>
      <c r="AL72" s="28" t="n">
        <f aca="false">IF(J72="","",J72-J71)</f>
        <v>1</v>
      </c>
      <c r="AM72" s="28" t="n">
        <f aca="false">IF(K72="","",K72-K71)</f>
        <v>0</v>
      </c>
      <c r="AN72" s="28" t="n">
        <f aca="false">IF(L72="","",L72-L71)</f>
        <v>0</v>
      </c>
      <c r="AO72" s="28" t="n">
        <f aca="false">IF(M72="","",M72-M71)</f>
        <v>0</v>
      </c>
      <c r="AP72" s="28" t="n">
        <f aca="false">IF(N72="","",N72-N71)</f>
        <v>2</v>
      </c>
      <c r="AQ72" s="28" t="n">
        <f aca="false">IF(O72="","",O72-O71)</f>
        <v>0</v>
      </c>
      <c r="AR72" s="28" t="n">
        <f aca="false">IF(P72="","",P72-P71)</f>
        <v>0</v>
      </c>
      <c r="AS72" s="28" t="n">
        <f aca="false">IF(Q72="","",Q72-Q71)</f>
        <v>0</v>
      </c>
      <c r="AT72" s="28" t="n">
        <f aca="false">IF(R72="","",R72-R71)</f>
        <v>0</v>
      </c>
      <c r="AU72" s="28" t="n">
        <f aca="false">IF(S72="","",S72-S71)</f>
        <v>0</v>
      </c>
      <c r="AV72" s="28" t="str">
        <f aca="false">IF(T72="","",T72-T71)</f>
        <v/>
      </c>
      <c r="AW72" s="28" t="str">
        <f aca="false">IF(U72="","",U72-U71)</f>
        <v/>
      </c>
      <c r="AX72" s="28" t="str">
        <f aca="false">IF(V72="","",V72-V71)</f>
        <v/>
      </c>
      <c r="AY72" s="28" t="str">
        <f aca="false">IF(W72="","",W72-W71)</f>
        <v/>
      </c>
      <c r="AZ72" s="28" t="str">
        <f aca="false">IF(X72="","",X72-X71)</f>
        <v/>
      </c>
      <c r="BA72" s="28" t="str">
        <f aca="false">IF(Y72="","",Y72-Y71)</f>
        <v/>
      </c>
      <c r="BB72" s="28" t="str">
        <f aca="false">IF(Z72="","",Z72-Z71)</f>
        <v/>
      </c>
      <c r="BC72" s="28" t="n">
        <f aca="false">IF(AA72="","",AA72-AA71)</f>
        <v>7</v>
      </c>
    </row>
    <row r="73" customFormat="false" ht="15" hidden="false" customHeight="false" outlineLevel="0" collapsed="false">
      <c r="A73" s="72" t="n">
        <v>46280</v>
      </c>
      <c r="B73" s="26" t="n">
        <f aca="false">IF(B$7="","",CHOOSE(MATCH($B$4,Lists!$C$2:$C$5,0),SUMIFS(Sales_Data!$O$2:$O$3520,Sales_Data!$C$2:$C$3520,$A73,Sales_Data!$F$2:$F$3520,B$7,Sales_Data!$AE$2:$AE$3520,1),SUMIFS(Sales_Data!$M$2:$M$3520,Sales_Data!$C$2:$C$3520,$A73,Sales_Data!$F$2:$F$3520,B$7,Sales_Data!$AE$2:$AE$3520,1),SUMIFS(Sales_Data!$N$2:$N$3520,Sales_Data!$C$2:$C$3520,$A73,Sales_Data!$F$2:$F$3520,B$7,Sales_Data!$AE$2:$AE$3520,1),SUMIFS(Sales_Data!$AE$2:$AE$3520,Sales_Data!$C$2:$C$3520,$A73,Sales_Data!$F$2:$F$3520,B$7)))</f>
        <v>0</v>
      </c>
      <c r="C73" s="26" t="n">
        <f aca="false">IF(C$7="","",CHOOSE(MATCH($B$4,Lists!$C$2:$C$5,0),SUMIFS(Sales_Data!$O$2:$O$3520,Sales_Data!$C$2:$C$3520,$A73,Sales_Data!$F$2:$F$3520,C$7,Sales_Data!$AE$2:$AE$3520,1),SUMIFS(Sales_Data!$M$2:$M$3520,Sales_Data!$C$2:$C$3520,$A73,Sales_Data!$F$2:$F$3520,C$7,Sales_Data!$AE$2:$AE$3520,1),SUMIFS(Sales_Data!$N$2:$N$3520,Sales_Data!$C$2:$C$3520,$A73,Sales_Data!$F$2:$F$3520,C$7,Sales_Data!$AE$2:$AE$3520,1),SUMIFS(Sales_Data!$AE$2:$AE$3520,Sales_Data!$C$2:$C$3520,$A73,Sales_Data!$F$2:$F$3520,C$7)))</f>
        <v>0</v>
      </c>
      <c r="D73" s="26" t="n">
        <f aca="false">IF(D$7="","",CHOOSE(MATCH($B$4,Lists!$C$2:$C$5,0),SUMIFS(Sales_Data!$O$2:$O$3520,Sales_Data!$C$2:$C$3520,$A73,Sales_Data!$F$2:$F$3520,D$7,Sales_Data!$AE$2:$AE$3520,1),SUMIFS(Sales_Data!$M$2:$M$3520,Sales_Data!$C$2:$C$3520,$A73,Sales_Data!$F$2:$F$3520,D$7,Sales_Data!$AE$2:$AE$3520,1),SUMIFS(Sales_Data!$N$2:$N$3520,Sales_Data!$C$2:$C$3520,$A73,Sales_Data!$F$2:$F$3520,D$7,Sales_Data!$AE$2:$AE$3520,1),SUMIFS(Sales_Data!$AE$2:$AE$3520,Sales_Data!$C$2:$C$3520,$A73,Sales_Data!$F$2:$F$3520,D$7)))</f>
        <v>0</v>
      </c>
      <c r="E73" s="26" t="n">
        <f aca="false">IF(E$7="","",CHOOSE(MATCH($B$4,Lists!$C$2:$C$5,0),SUMIFS(Sales_Data!$O$2:$O$3520,Sales_Data!$C$2:$C$3520,$A73,Sales_Data!$F$2:$F$3520,E$7,Sales_Data!$AE$2:$AE$3520,1),SUMIFS(Sales_Data!$M$2:$M$3520,Sales_Data!$C$2:$C$3520,$A73,Sales_Data!$F$2:$F$3520,E$7,Sales_Data!$AE$2:$AE$3520,1),SUMIFS(Sales_Data!$N$2:$N$3520,Sales_Data!$C$2:$C$3520,$A73,Sales_Data!$F$2:$F$3520,E$7,Sales_Data!$AE$2:$AE$3520,1),SUMIFS(Sales_Data!$AE$2:$AE$3520,Sales_Data!$C$2:$C$3520,$A73,Sales_Data!$F$2:$F$3520,E$7)))</f>
        <v>0</v>
      </c>
      <c r="F73" s="26" t="n">
        <f aca="false">IF(F$7="","",CHOOSE(MATCH($B$4,Lists!$C$2:$C$5,0),SUMIFS(Sales_Data!$O$2:$O$3520,Sales_Data!$C$2:$C$3520,$A73,Sales_Data!$F$2:$F$3520,F$7,Sales_Data!$AE$2:$AE$3520,1),SUMIFS(Sales_Data!$M$2:$M$3520,Sales_Data!$C$2:$C$3520,$A73,Sales_Data!$F$2:$F$3520,F$7,Sales_Data!$AE$2:$AE$3520,1),SUMIFS(Sales_Data!$N$2:$N$3520,Sales_Data!$C$2:$C$3520,$A73,Sales_Data!$F$2:$F$3520,F$7,Sales_Data!$AE$2:$AE$3520,1),SUMIFS(Sales_Data!$AE$2:$AE$3520,Sales_Data!$C$2:$C$3520,$A73,Sales_Data!$F$2:$F$3520,F$7)))</f>
        <v>0</v>
      </c>
      <c r="G73" s="26" t="n">
        <f aca="false">IF(G$7="","",CHOOSE(MATCH($B$4,Lists!$C$2:$C$5,0),SUMIFS(Sales_Data!$O$2:$O$3520,Sales_Data!$C$2:$C$3520,$A73,Sales_Data!$F$2:$F$3520,G$7,Sales_Data!$AE$2:$AE$3520,1),SUMIFS(Sales_Data!$M$2:$M$3520,Sales_Data!$C$2:$C$3520,$A73,Sales_Data!$F$2:$F$3520,G$7,Sales_Data!$AE$2:$AE$3520,1),SUMIFS(Sales_Data!$N$2:$N$3520,Sales_Data!$C$2:$C$3520,$A73,Sales_Data!$F$2:$F$3520,G$7,Sales_Data!$AE$2:$AE$3520,1),SUMIFS(Sales_Data!$AE$2:$AE$3520,Sales_Data!$C$2:$C$3520,$A73,Sales_Data!$F$2:$F$3520,G$7)))</f>
        <v>0</v>
      </c>
      <c r="H73" s="26" t="n">
        <f aca="false">IF(H$7="","",CHOOSE(MATCH($B$4,Lists!$C$2:$C$5,0),SUMIFS(Sales_Data!$O$2:$O$3520,Sales_Data!$C$2:$C$3520,$A73,Sales_Data!$F$2:$F$3520,H$7,Sales_Data!$AE$2:$AE$3520,1),SUMIFS(Sales_Data!$M$2:$M$3520,Sales_Data!$C$2:$C$3520,$A73,Sales_Data!$F$2:$F$3520,H$7,Sales_Data!$AE$2:$AE$3520,1),SUMIFS(Sales_Data!$N$2:$N$3520,Sales_Data!$C$2:$C$3520,$A73,Sales_Data!$F$2:$F$3520,H$7,Sales_Data!$AE$2:$AE$3520,1),SUMIFS(Sales_Data!$AE$2:$AE$3520,Sales_Data!$C$2:$C$3520,$A73,Sales_Data!$F$2:$F$3520,H$7)))</f>
        <v>0</v>
      </c>
      <c r="I73" s="26" t="n">
        <f aca="false">IF(I$7="","",CHOOSE(MATCH($B$4,Lists!$C$2:$C$5,0),SUMIFS(Sales_Data!$O$2:$O$3520,Sales_Data!$C$2:$C$3520,$A73,Sales_Data!$F$2:$F$3520,I$7,Sales_Data!$AE$2:$AE$3520,1),SUMIFS(Sales_Data!$M$2:$M$3520,Sales_Data!$C$2:$C$3520,$A73,Sales_Data!$F$2:$F$3520,I$7,Sales_Data!$AE$2:$AE$3520,1),SUMIFS(Sales_Data!$N$2:$N$3520,Sales_Data!$C$2:$C$3520,$A73,Sales_Data!$F$2:$F$3520,I$7,Sales_Data!$AE$2:$AE$3520,1),SUMIFS(Sales_Data!$AE$2:$AE$3520,Sales_Data!$C$2:$C$3520,$A73,Sales_Data!$F$2:$F$3520,I$7)))</f>
        <v>0</v>
      </c>
      <c r="J73" s="26" t="n">
        <f aca="false">IF(J$7="","",CHOOSE(MATCH($B$4,Lists!$C$2:$C$5,0),SUMIFS(Sales_Data!$O$2:$O$3520,Sales_Data!$C$2:$C$3520,$A73,Sales_Data!$F$2:$F$3520,J$7,Sales_Data!$AE$2:$AE$3520,1),SUMIFS(Sales_Data!$M$2:$M$3520,Sales_Data!$C$2:$C$3520,$A73,Sales_Data!$F$2:$F$3520,J$7,Sales_Data!$AE$2:$AE$3520,1),SUMIFS(Sales_Data!$N$2:$N$3520,Sales_Data!$C$2:$C$3520,$A73,Sales_Data!$F$2:$F$3520,J$7,Sales_Data!$AE$2:$AE$3520,1),SUMIFS(Sales_Data!$AE$2:$AE$3520,Sales_Data!$C$2:$C$3520,$A73,Sales_Data!$F$2:$F$3520,J$7)))</f>
        <v>0</v>
      </c>
      <c r="K73" s="26" t="n">
        <f aca="false">IF(K$7="","",CHOOSE(MATCH($B$4,Lists!$C$2:$C$5,0),SUMIFS(Sales_Data!$O$2:$O$3520,Sales_Data!$C$2:$C$3520,$A73,Sales_Data!$F$2:$F$3520,K$7,Sales_Data!$AE$2:$AE$3520,1),SUMIFS(Sales_Data!$M$2:$M$3520,Sales_Data!$C$2:$C$3520,$A73,Sales_Data!$F$2:$F$3520,K$7,Sales_Data!$AE$2:$AE$3520,1),SUMIFS(Sales_Data!$N$2:$N$3520,Sales_Data!$C$2:$C$3520,$A73,Sales_Data!$F$2:$F$3520,K$7,Sales_Data!$AE$2:$AE$3520,1),SUMIFS(Sales_Data!$AE$2:$AE$3520,Sales_Data!$C$2:$C$3520,$A73,Sales_Data!$F$2:$F$3520,K$7)))</f>
        <v>1</v>
      </c>
      <c r="L73" s="26" t="n">
        <f aca="false">IF(L$7="","",CHOOSE(MATCH($B$4,Lists!$C$2:$C$5,0),SUMIFS(Sales_Data!$O$2:$O$3520,Sales_Data!$C$2:$C$3520,$A73,Sales_Data!$F$2:$F$3520,L$7,Sales_Data!$AE$2:$AE$3520,1),SUMIFS(Sales_Data!$M$2:$M$3520,Sales_Data!$C$2:$C$3520,$A73,Sales_Data!$F$2:$F$3520,L$7,Sales_Data!$AE$2:$AE$3520,1),SUMIFS(Sales_Data!$N$2:$N$3520,Sales_Data!$C$2:$C$3520,$A73,Sales_Data!$F$2:$F$3520,L$7,Sales_Data!$AE$2:$AE$3520,1),SUMIFS(Sales_Data!$AE$2:$AE$3520,Sales_Data!$C$2:$C$3520,$A73,Sales_Data!$F$2:$F$3520,L$7)))</f>
        <v>0</v>
      </c>
      <c r="M73" s="26" t="n">
        <f aca="false">IF(M$7="","",CHOOSE(MATCH($B$4,Lists!$C$2:$C$5,0),SUMIFS(Sales_Data!$O$2:$O$3520,Sales_Data!$C$2:$C$3520,$A73,Sales_Data!$F$2:$F$3520,M$7,Sales_Data!$AE$2:$AE$3520,1),SUMIFS(Sales_Data!$M$2:$M$3520,Sales_Data!$C$2:$C$3520,$A73,Sales_Data!$F$2:$F$3520,M$7,Sales_Data!$AE$2:$AE$3520,1),SUMIFS(Sales_Data!$N$2:$N$3520,Sales_Data!$C$2:$C$3520,$A73,Sales_Data!$F$2:$F$3520,M$7,Sales_Data!$AE$2:$AE$3520,1),SUMIFS(Sales_Data!$AE$2:$AE$3520,Sales_Data!$C$2:$C$3520,$A73,Sales_Data!$F$2:$F$3520,M$7)))</f>
        <v>0</v>
      </c>
      <c r="N73" s="26" t="n">
        <f aca="false">IF(N$7="","",CHOOSE(MATCH($B$4,Lists!$C$2:$C$5,0),SUMIFS(Sales_Data!$O$2:$O$3520,Sales_Data!$C$2:$C$3520,$A73,Sales_Data!$F$2:$F$3520,N$7,Sales_Data!$AE$2:$AE$3520,1),SUMIFS(Sales_Data!$M$2:$M$3520,Sales_Data!$C$2:$C$3520,$A73,Sales_Data!$F$2:$F$3520,N$7,Sales_Data!$AE$2:$AE$3520,1),SUMIFS(Sales_Data!$N$2:$N$3520,Sales_Data!$C$2:$C$3520,$A73,Sales_Data!$F$2:$F$3520,N$7,Sales_Data!$AE$2:$AE$3520,1),SUMIFS(Sales_Data!$AE$2:$AE$3520,Sales_Data!$C$2:$C$3520,$A73,Sales_Data!$F$2:$F$3520,N$7)))</f>
        <v>0</v>
      </c>
      <c r="O73" s="26" t="n">
        <f aca="false">IF(O$7="","",CHOOSE(MATCH($B$4,Lists!$C$2:$C$5,0),SUMIFS(Sales_Data!$O$2:$O$3520,Sales_Data!$C$2:$C$3520,$A73,Sales_Data!$F$2:$F$3520,O$7,Sales_Data!$AE$2:$AE$3520,1),SUMIFS(Sales_Data!$M$2:$M$3520,Sales_Data!$C$2:$C$3520,$A73,Sales_Data!$F$2:$F$3520,O$7,Sales_Data!$AE$2:$AE$3520,1),SUMIFS(Sales_Data!$N$2:$N$3520,Sales_Data!$C$2:$C$3520,$A73,Sales_Data!$F$2:$F$3520,O$7,Sales_Data!$AE$2:$AE$3520,1),SUMIFS(Sales_Data!$AE$2:$AE$3520,Sales_Data!$C$2:$C$3520,$A73,Sales_Data!$F$2:$F$3520,O$7)))</f>
        <v>1</v>
      </c>
      <c r="P73" s="26" t="n">
        <f aca="false">IF(P$7="","",CHOOSE(MATCH($B$4,Lists!$C$2:$C$5,0),SUMIFS(Sales_Data!$O$2:$O$3520,Sales_Data!$C$2:$C$3520,$A73,Sales_Data!$F$2:$F$3520,P$7,Sales_Data!$AE$2:$AE$3520,1),SUMIFS(Sales_Data!$M$2:$M$3520,Sales_Data!$C$2:$C$3520,$A73,Sales_Data!$F$2:$F$3520,P$7,Sales_Data!$AE$2:$AE$3520,1),SUMIFS(Sales_Data!$N$2:$N$3520,Sales_Data!$C$2:$C$3520,$A73,Sales_Data!$F$2:$F$3520,P$7,Sales_Data!$AE$2:$AE$3520,1),SUMIFS(Sales_Data!$AE$2:$AE$3520,Sales_Data!$C$2:$C$3520,$A73,Sales_Data!$F$2:$F$3520,P$7)))</f>
        <v>0</v>
      </c>
      <c r="Q73" s="26" t="n">
        <f aca="false">IF(Q$7="","",CHOOSE(MATCH($B$4,Lists!$C$2:$C$5,0),SUMIFS(Sales_Data!$O$2:$O$3520,Sales_Data!$C$2:$C$3520,$A73,Sales_Data!$F$2:$F$3520,Q$7,Sales_Data!$AE$2:$AE$3520,1),SUMIFS(Sales_Data!$M$2:$M$3520,Sales_Data!$C$2:$C$3520,$A73,Sales_Data!$F$2:$F$3520,Q$7,Sales_Data!$AE$2:$AE$3520,1),SUMIFS(Sales_Data!$N$2:$N$3520,Sales_Data!$C$2:$C$3520,$A73,Sales_Data!$F$2:$F$3520,Q$7,Sales_Data!$AE$2:$AE$3520,1),SUMIFS(Sales_Data!$AE$2:$AE$3520,Sales_Data!$C$2:$C$3520,$A73,Sales_Data!$F$2:$F$3520,Q$7)))</f>
        <v>0</v>
      </c>
      <c r="R73" s="26" t="n">
        <f aca="false">IF(R$7="","",CHOOSE(MATCH($B$4,Lists!$C$2:$C$5,0),SUMIFS(Sales_Data!$O$2:$O$3520,Sales_Data!$C$2:$C$3520,$A73,Sales_Data!$F$2:$F$3520,R$7,Sales_Data!$AE$2:$AE$3520,1),SUMIFS(Sales_Data!$M$2:$M$3520,Sales_Data!$C$2:$C$3520,$A73,Sales_Data!$F$2:$F$3520,R$7,Sales_Data!$AE$2:$AE$3520,1),SUMIFS(Sales_Data!$N$2:$N$3520,Sales_Data!$C$2:$C$3520,$A73,Sales_Data!$F$2:$F$3520,R$7,Sales_Data!$AE$2:$AE$3520,1),SUMIFS(Sales_Data!$AE$2:$AE$3520,Sales_Data!$C$2:$C$3520,$A73,Sales_Data!$F$2:$F$3520,R$7)))</f>
        <v>0</v>
      </c>
      <c r="S73" s="26" t="n">
        <f aca="false">IF(S$7="","",CHOOSE(MATCH($B$4,Lists!$C$2:$C$5,0),SUMIFS(Sales_Data!$O$2:$O$3520,Sales_Data!$C$2:$C$3520,$A73,Sales_Data!$F$2:$F$3520,S$7,Sales_Data!$AE$2:$AE$3520,1),SUMIFS(Sales_Data!$M$2:$M$3520,Sales_Data!$C$2:$C$3520,$A73,Sales_Data!$F$2:$F$3520,S$7,Sales_Data!$AE$2:$AE$3520,1),SUMIFS(Sales_Data!$N$2:$N$3520,Sales_Data!$C$2:$C$3520,$A73,Sales_Data!$F$2:$F$3520,S$7,Sales_Data!$AE$2:$AE$3520,1),SUMIFS(Sales_Data!$AE$2:$AE$3520,Sales_Data!$C$2:$C$3520,$A73,Sales_Data!$F$2:$F$3520,S$7)))</f>
        <v>0</v>
      </c>
      <c r="T73" s="26" t="str">
        <f aca="false">IF(T$7="","",CHOOSE(MATCH($B$4,Lists!$C$2:$C$5,0),SUMIFS(Sales_Data!$O$2:$O$3520,Sales_Data!$C$2:$C$3520,$A73,Sales_Data!$F$2:$F$3520,T$7,Sales_Data!$AE$2:$AE$3520,1),SUMIFS(Sales_Data!$M$2:$M$3520,Sales_Data!$C$2:$C$3520,$A73,Sales_Data!$F$2:$F$3520,T$7,Sales_Data!$AE$2:$AE$3520,1),SUMIFS(Sales_Data!$N$2:$N$3520,Sales_Data!$C$2:$C$3520,$A73,Sales_Data!$F$2:$F$3520,T$7,Sales_Data!$AE$2:$AE$3520,1),SUMIFS(Sales_Data!$AE$2:$AE$3520,Sales_Data!$C$2:$C$3520,$A73,Sales_Data!$F$2:$F$3520,T$7)))</f>
        <v/>
      </c>
      <c r="U73" s="26" t="str">
        <f aca="false">IF(U$7="","",CHOOSE(MATCH($B$4,Lists!$C$2:$C$5,0),SUMIFS(Sales_Data!$O$2:$O$3520,Sales_Data!$C$2:$C$3520,$A73,Sales_Data!$F$2:$F$3520,U$7,Sales_Data!$AE$2:$AE$3520,1),SUMIFS(Sales_Data!$M$2:$M$3520,Sales_Data!$C$2:$C$3520,$A73,Sales_Data!$F$2:$F$3520,U$7,Sales_Data!$AE$2:$AE$3520,1),SUMIFS(Sales_Data!$N$2:$N$3520,Sales_Data!$C$2:$C$3520,$A73,Sales_Data!$F$2:$F$3520,U$7,Sales_Data!$AE$2:$AE$3520,1),SUMIFS(Sales_Data!$AE$2:$AE$3520,Sales_Data!$C$2:$C$3520,$A73,Sales_Data!$F$2:$F$3520,U$7)))</f>
        <v/>
      </c>
      <c r="V73" s="26" t="str">
        <f aca="false">IF(V$7="","",CHOOSE(MATCH($B$4,Lists!$C$2:$C$5,0),SUMIFS(Sales_Data!$O$2:$O$3520,Sales_Data!$C$2:$C$3520,$A73,Sales_Data!$F$2:$F$3520,V$7,Sales_Data!$AE$2:$AE$3520,1),SUMIFS(Sales_Data!$M$2:$M$3520,Sales_Data!$C$2:$C$3520,$A73,Sales_Data!$F$2:$F$3520,V$7,Sales_Data!$AE$2:$AE$3520,1),SUMIFS(Sales_Data!$N$2:$N$3520,Sales_Data!$C$2:$C$3520,$A73,Sales_Data!$F$2:$F$3520,V$7,Sales_Data!$AE$2:$AE$3520,1),SUMIFS(Sales_Data!$AE$2:$AE$3520,Sales_Data!$C$2:$C$3520,$A73,Sales_Data!$F$2:$F$3520,V$7)))</f>
        <v/>
      </c>
      <c r="W73" s="26" t="str">
        <f aca="false">IF(W$7="","",CHOOSE(MATCH($B$4,Lists!$C$2:$C$5,0),SUMIFS(Sales_Data!$O$2:$O$3520,Sales_Data!$C$2:$C$3520,$A73,Sales_Data!$F$2:$F$3520,W$7,Sales_Data!$AE$2:$AE$3520,1),SUMIFS(Sales_Data!$M$2:$M$3520,Sales_Data!$C$2:$C$3520,$A73,Sales_Data!$F$2:$F$3520,W$7,Sales_Data!$AE$2:$AE$3520,1),SUMIFS(Sales_Data!$N$2:$N$3520,Sales_Data!$C$2:$C$3520,$A73,Sales_Data!$F$2:$F$3520,W$7,Sales_Data!$AE$2:$AE$3520,1),SUMIFS(Sales_Data!$AE$2:$AE$3520,Sales_Data!$C$2:$C$3520,$A73,Sales_Data!$F$2:$F$3520,W$7)))</f>
        <v/>
      </c>
      <c r="X73" s="26" t="str">
        <f aca="false">IF(X$7="","",CHOOSE(MATCH($B$4,Lists!$C$2:$C$5,0),SUMIFS(Sales_Data!$O$2:$O$3520,Sales_Data!$C$2:$C$3520,$A73,Sales_Data!$F$2:$F$3520,X$7,Sales_Data!$AE$2:$AE$3520,1),SUMIFS(Sales_Data!$M$2:$M$3520,Sales_Data!$C$2:$C$3520,$A73,Sales_Data!$F$2:$F$3520,X$7,Sales_Data!$AE$2:$AE$3520,1),SUMIFS(Sales_Data!$N$2:$N$3520,Sales_Data!$C$2:$C$3520,$A73,Sales_Data!$F$2:$F$3520,X$7,Sales_Data!$AE$2:$AE$3520,1),SUMIFS(Sales_Data!$AE$2:$AE$3520,Sales_Data!$C$2:$C$3520,$A73,Sales_Data!$F$2:$F$3520,X$7)))</f>
        <v/>
      </c>
      <c r="Y73" s="26" t="str">
        <f aca="false">IF(Y$7="","",CHOOSE(MATCH($B$4,Lists!$C$2:$C$5,0),SUMIFS(Sales_Data!$O$2:$O$3520,Sales_Data!$C$2:$C$3520,$A73,Sales_Data!$F$2:$F$3520,Y$7,Sales_Data!$AE$2:$AE$3520,1),SUMIFS(Sales_Data!$M$2:$M$3520,Sales_Data!$C$2:$C$3520,$A73,Sales_Data!$F$2:$F$3520,Y$7,Sales_Data!$AE$2:$AE$3520,1),SUMIFS(Sales_Data!$N$2:$N$3520,Sales_Data!$C$2:$C$3520,$A73,Sales_Data!$F$2:$F$3520,Y$7,Sales_Data!$AE$2:$AE$3520,1),SUMIFS(Sales_Data!$AE$2:$AE$3520,Sales_Data!$C$2:$C$3520,$A73,Sales_Data!$F$2:$F$3520,Y$7)))</f>
        <v/>
      </c>
      <c r="Z73" s="26" t="str">
        <f aca="false">IF(Z$7="","",CHOOSE(MATCH($B$4,Lists!$C$2:$C$5,0),SUMIFS(Sales_Data!$O$2:$O$3520,Sales_Data!$C$2:$C$3520,$A73,Sales_Data!$F$2:$F$3520,Z$7,Sales_Data!$AE$2:$AE$3520,1),SUMIFS(Sales_Data!$M$2:$M$3520,Sales_Data!$C$2:$C$3520,$A73,Sales_Data!$F$2:$F$3520,Z$7,Sales_Data!$AE$2:$AE$3520,1),SUMIFS(Sales_Data!$N$2:$N$3520,Sales_Data!$C$2:$C$3520,$A73,Sales_Data!$F$2:$F$3520,Z$7,Sales_Data!$AE$2:$AE$3520,1),SUMIFS(Sales_Data!$AE$2:$AE$3520,Sales_Data!$C$2:$C$3520,$A73,Sales_Data!$F$2:$F$3520,Z$7)))</f>
        <v/>
      </c>
      <c r="AA73" s="27" t="n">
        <f aca="false">SUM(B73:Z73)</f>
        <v>2</v>
      </c>
      <c r="AB73" s="3"/>
      <c r="AC73" s="72" t="n">
        <f aca="false">A73</f>
        <v>46280</v>
      </c>
      <c r="AD73" s="28" t="n">
        <f aca="false">IF(B73="","",B73-B72)</f>
        <v>0</v>
      </c>
      <c r="AE73" s="28" t="n">
        <f aca="false">IF(C73="","",C73-C72)</f>
        <v>0</v>
      </c>
      <c r="AF73" s="28" t="n">
        <f aca="false">IF(D73="","",D73-D72)</f>
        <v>-1</v>
      </c>
      <c r="AG73" s="28" t="n">
        <f aca="false">IF(E73="","",E73-E72)</f>
        <v>0</v>
      </c>
      <c r="AH73" s="28" t="n">
        <f aca="false">IF(F73="","",F73-F72)</f>
        <v>0</v>
      </c>
      <c r="AI73" s="28" t="n">
        <f aca="false">IF(G73="","",G73-G72)</f>
        <v>-4</v>
      </c>
      <c r="AJ73" s="28" t="n">
        <f aca="false">IF(H73="","",H73-H72)</f>
        <v>0</v>
      </c>
      <c r="AK73" s="28" t="n">
        <f aca="false">IF(I73="","",I73-I72)</f>
        <v>0</v>
      </c>
      <c r="AL73" s="28" t="n">
        <f aca="false">IF(J73="","",J73-J72)</f>
        <v>-1</v>
      </c>
      <c r="AM73" s="28" t="n">
        <f aca="false">IF(K73="","",K73-K72)</f>
        <v>1</v>
      </c>
      <c r="AN73" s="28" t="n">
        <f aca="false">IF(L73="","",L73-L72)</f>
        <v>0</v>
      </c>
      <c r="AO73" s="28" t="n">
        <f aca="false">IF(M73="","",M73-M72)</f>
        <v>0</v>
      </c>
      <c r="AP73" s="28" t="n">
        <f aca="false">IF(N73="","",N73-N72)</f>
        <v>-2</v>
      </c>
      <c r="AQ73" s="28" t="n">
        <f aca="false">IF(O73="","",O73-O72)</f>
        <v>1</v>
      </c>
      <c r="AR73" s="28" t="n">
        <f aca="false">IF(P73="","",P73-P72)</f>
        <v>0</v>
      </c>
      <c r="AS73" s="28" t="n">
        <f aca="false">IF(Q73="","",Q73-Q72)</f>
        <v>0</v>
      </c>
      <c r="AT73" s="28" t="n">
        <f aca="false">IF(R73="","",R73-R72)</f>
        <v>0</v>
      </c>
      <c r="AU73" s="28" t="n">
        <f aca="false">IF(S73="","",S73-S72)</f>
        <v>0</v>
      </c>
      <c r="AV73" s="28" t="str">
        <f aca="false">IF(T73="","",T73-T72)</f>
        <v/>
      </c>
      <c r="AW73" s="28" t="str">
        <f aca="false">IF(U73="","",U73-U72)</f>
        <v/>
      </c>
      <c r="AX73" s="28" t="str">
        <f aca="false">IF(V73="","",V73-V72)</f>
        <v/>
      </c>
      <c r="AY73" s="28" t="str">
        <f aca="false">IF(W73="","",W73-W72)</f>
        <v/>
      </c>
      <c r="AZ73" s="28" t="str">
        <f aca="false">IF(X73="","",X73-X72)</f>
        <v/>
      </c>
      <c r="BA73" s="28" t="str">
        <f aca="false">IF(Y73="","",Y73-Y72)</f>
        <v/>
      </c>
      <c r="BB73" s="28" t="str">
        <f aca="false">IF(Z73="","",Z73-Z72)</f>
        <v/>
      </c>
      <c r="BC73" s="28" t="n">
        <f aca="false">IF(AA73="","",AA73-AA72)</f>
        <v>-6</v>
      </c>
    </row>
    <row r="74" customFormat="false" ht="15" hidden="false" customHeight="false" outlineLevel="0" collapsed="false">
      <c r="A74" s="72" t="n">
        <v>46281</v>
      </c>
      <c r="B74" s="26" t="n">
        <f aca="false">IF(B$7="","",CHOOSE(MATCH($B$4,Lists!$C$2:$C$5,0),SUMIFS(Sales_Data!$O$2:$O$3520,Sales_Data!$C$2:$C$3520,$A74,Sales_Data!$F$2:$F$3520,B$7,Sales_Data!$AE$2:$AE$3520,1),SUMIFS(Sales_Data!$M$2:$M$3520,Sales_Data!$C$2:$C$3520,$A74,Sales_Data!$F$2:$F$3520,B$7,Sales_Data!$AE$2:$AE$3520,1),SUMIFS(Sales_Data!$N$2:$N$3520,Sales_Data!$C$2:$C$3520,$A74,Sales_Data!$F$2:$F$3520,B$7,Sales_Data!$AE$2:$AE$3520,1),SUMIFS(Sales_Data!$AE$2:$AE$3520,Sales_Data!$C$2:$C$3520,$A74,Sales_Data!$F$2:$F$3520,B$7)))</f>
        <v>0</v>
      </c>
      <c r="C74" s="26" t="n">
        <f aca="false">IF(C$7="","",CHOOSE(MATCH($B$4,Lists!$C$2:$C$5,0),SUMIFS(Sales_Data!$O$2:$O$3520,Sales_Data!$C$2:$C$3520,$A74,Sales_Data!$F$2:$F$3520,C$7,Sales_Data!$AE$2:$AE$3520,1),SUMIFS(Sales_Data!$M$2:$M$3520,Sales_Data!$C$2:$C$3520,$A74,Sales_Data!$F$2:$F$3520,C$7,Sales_Data!$AE$2:$AE$3520,1),SUMIFS(Sales_Data!$N$2:$N$3520,Sales_Data!$C$2:$C$3520,$A74,Sales_Data!$F$2:$F$3520,C$7,Sales_Data!$AE$2:$AE$3520,1),SUMIFS(Sales_Data!$AE$2:$AE$3520,Sales_Data!$C$2:$C$3520,$A74,Sales_Data!$F$2:$F$3520,C$7)))</f>
        <v>0</v>
      </c>
      <c r="D74" s="26" t="n">
        <f aca="false">IF(D$7="","",CHOOSE(MATCH($B$4,Lists!$C$2:$C$5,0),SUMIFS(Sales_Data!$O$2:$O$3520,Sales_Data!$C$2:$C$3520,$A74,Sales_Data!$F$2:$F$3520,D$7,Sales_Data!$AE$2:$AE$3520,1),SUMIFS(Sales_Data!$M$2:$M$3520,Sales_Data!$C$2:$C$3520,$A74,Sales_Data!$F$2:$F$3520,D$7,Sales_Data!$AE$2:$AE$3520,1),SUMIFS(Sales_Data!$N$2:$N$3520,Sales_Data!$C$2:$C$3520,$A74,Sales_Data!$F$2:$F$3520,D$7,Sales_Data!$AE$2:$AE$3520,1),SUMIFS(Sales_Data!$AE$2:$AE$3520,Sales_Data!$C$2:$C$3520,$A74,Sales_Data!$F$2:$F$3520,D$7)))</f>
        <v>0</v>
      </c>
      <c r="E74" s="26" t="n">
        <f aca="false">IF(E$7="","",CHOOSE(MATCH($B$4,Lists!$C$2:$C$5,0),SUMIFS(Sales_Data!$O$2:$O$3520,Sales_Data!$C$2:$C$3520,$A74,Sales_Data!$F$2:$F$3520,E$7,Sales_Data!$AE$2:$AE$3520,1),SUMIFS(Sales_Data!$M$2:$M$3520,Sales_Data!$C$2:$C$3520,$A74,Sales_Data!$F$2:$F$3520,E$7,Sales_Data!$AE$2:$AE$3520,1),SUMIFS(Sales_Data!$N$2:$N$3520,Sales_Data!$C$2:$C$3520,$A74,Sales_Data!$F$2:$F$3520,E$7,Sales_Data!$AE$2:$AE$3520,1),SUMIFS(Sales_Data!$AE$2:$AE$3520,Sales_Data!$C$2:$C$3520,$A74,Sales_Data!$F$2:$F$3520,E$7)))</f>
        <v>0</v>
      </c>
      <c r="F74" s="26" t="n">
        <f aca="false">IF(F$7="","",CHOOSE(MATCH($B$4,Lists!$C$2:$C$5,0),SUMIFS(Sales_Data!$O$2:$O$3520,Sales_Data!$C$2:$C$3520,$A74,Sales_Data!$F$2:$F$3520,F$7,Sales_Data!$AE$2:$AE$3520,1),SUMIFS(Sales_Data!$M$2:$M$3520,Sales_Data!$C$2:$C$3520,$A74,Sales_Data!$F$2:$F$3520,F$7,Sales_Data!$AE$2:$AE$3520,1),SUMIFS(Sales_Data!$N$2:$N$3520,Sales_Data!$C$2:$C$3520,$A74,Sales_Data!$F$2:$F$3520,F$7,Sales_Data!$AE$2:$AE$3520,1),SUMIFS(Sales_Data!$AE$2:$AE$3520,Sales_Data!$C$2:$C$3520,$A74,Sales_Data!$F$2:$F$3520,F$7)))</f>
        <v>0</v>
      </c>
      <c r="G74" s="26" t="n">
        <f aca="false">IF(G$7="","",CHOOSE(MATCH($B$4,Lists!$C$2:$C$5,0),SUMIFS(Sales_Data!$O$2:$O$3520,Sales_Data!$C$2:$C$3520,$A74,Sales_Data!$F$2:$F$3520,G$7,Sales_Data!$AE$2:$AE$3520,1),SUMIFS(Sales_Data!$M$2:$M$3520,Sales_Data!$C$2:$C$3520,$A74,Sales_Data!$F$2:$F$3520,G$7,Sales_Data!$AE$2:$AE$3520,1),SUMIFS(Sales_Data!$N$2:$N$3520,Sales_Data!$C$2:$C$3520,$A74,Sales_Data!$F$2:$F$3520,G$7,Sales_Data!$AE$2:$AE$3520,1),SUMIFS(Sales_Data!$AE$2:$AE$3520,Sales_Data!$C$2:$C$3520,$A74,Sales_Data!$F$2:$F$3520,G$7)))</f>
        <v>0</v>
      </c>
      <c r="H74" s="26" t="n">
        <f aca="false">IF(H$7="","",CHOOSE(MATCH($B$4,Lists!$C$2:$C$5,0),SUMIFS(Sales_Data!$O$2:$O$3520,Sales_Data!$C$2:$C$3520,$A74,Sales_Data!$F$2:$F$3520,H$7,Sales_Data!$AE$2:$AE$3520,1),SUMIFS(Sales_Data!$M$2:$M$3520,Sales_Data!$C$2:$C$3520,$A74,Sales_Data!$F$2:$F$3520,H$7,Sales_Data!$AE$2:$AE$3520,1),SUMIFS(Sales_Data!$N$2:$N$3520,Sales_Data!$C$2:$C$3520,$A74,Sales_Data!$F$2:$F$3520,H$7,Sales_Data!$AE$2:$AE$3520,1),SUMIFS(Sales_Data!$AE$2:$AE$3520,Sales_Data!$C$2:$C$3520,$A74,Sales_Data!$F$2:$F$3520,H$7)))</f>
        <v>0</v>
      </c>
      <c r="I74" s="26" t="n">
        <f aca="false">IF(I$7="","",CHOOSE(MATCH($B$4,Lists!$C$2:$C$5,0),SUMIFS(Sales_Data!$O$2:$O$3520,Sales_Data!$C$2:$C$3520,$A74,Sales_Data!$F$2:$F$3520,I$7,Sales_Data!$AE$2:$AE$3520,1),SUMIFS(Sales_Data!$M$2:$M$3520,Sales_Data!$C$2:$C$3520,$A74,Sales_Data!$F$2:$F$3520,I$7,Sales_Data!$AE$2:$AE$3520,1),SUMIFS(Sales_Data!$N$2:$N$3520,Sales_Data!$C$2:$C$3520,$A74,Sales_Data!$F$2:$F$3520,I$7,Sales_Data!$AE$2:$AE$3520,1),SUMIFS(Sales_Data!$AE$2:$AE$3520,Sales_Data!$C$2:$C$3520,$A74,Sales_Data!$F$2:$F$3520,I$7)))</f>
        <v>0</v>
      </c>
      <c r="J74" s="26" t="n">
        <f aca="false">IF(J$7="","",CHOOSE(MATCH($B$4,Lists!$C$2:$C$5,0),SUMIFS(Sales_Data!$O$2:$O$3520,Sales_Data!$C$2:$C$3520,$A74,Sales_Data!$F$2:$F$3520,J$7,Sales_Data!$AE$2:$AE$3520,1),SUMIFS(Sales_Data!$M$2:$M$3520,Sales_Data!$C$2:$C$3520,$A74,Sales_Data!$F$2:$F$3520,J$7,Sales_Data!$AE$2:$AE$3520,1),SUMIFS(Sales_Data!$N$2:$N$3520,Sales_Data!$C$2:$C$3520,$A74,Sales_Data!$F$2:$F$3520,J$7,Sales_Data!$AE$2:$AE$3520,1),SUMIFS(Sales_Data!$AE$2:$AE$3520,Sales_Data!$C$2:$C$3520,$A74,Sales_Data!$F$2:$F$3520,J$7)))</f>
        <v>0</v>
      </c>
      <c r="K74" s="26" t="n">
        <f aca="false">IF(K$7="","",CHOOSE(MATCH($B$4,Lists!$C$2:$C$5,0),SUMIFS(Sales_Data!$O$2:$O$3520,Sales_Data!$C$2:$C$3520,$A74,Sales_Data!$F$2:$F$3520,K$7,Sales_Data!$AE$2:$AE$3520,1),SUMIFS(Sales_Data!$M$2:$M$3520,Sales_Data!$C$2:$C$3520,$A74,Sales_Data!$F$2:$F$3520,K$7,Sales_Data!$AE$2:$AE$3520,1),SUMIFS(Sales_Data!$N$2:$N$3520,Sales_Data!$C$2:$C$3520,$A74,Sales_Data!$F$2:$F$3520,K$7,Sales_Data!$AE$2:$AE$3520,1),SUMIFS(Sales_Data!$AE$2:$AE$3520,Sales_Data!$C$2:$C$3520,$A74,Sales_Data!$F$2:$F$3520,K$7)))</f>
        <v>0</v>
      </c>
      <c r="L74" s="26" t="n">
        <f aca="false">IF(L$7="","",CHOOSE(MATCH($B$4,Lists!$C$2:$C$5,0),SUMIFS(Sales_Data!$O$2:$O$3520,Sales_Data!$C$2:$C$3520,$A74,Sales_Data!$F$2:$F$3520,L$7,Sales_Data!$AE$2:$AE$3520,1),SUMIFS(Sales_Data!$M$2:$M$3520,Sales_Data!$C$2:$C$3520,$A74,Sales_Data!$F$2:$F$3520,L$7,Sales_Data!$AE$2:$AE$3520,1),SUMIFS(Sales_Data!$N$2:$N$3520,Sales_Data!$C$2:$C$3520,$A74,Sales_Data!$F$2:$F$3520,L$7,Sales_Data!$AE$2:$AE$3520,1),SUMIFS(Sales_Data!$AE$2:$AE$3520,Sales_Data!$C$2:$C$3520,$A74,Sales_Data!$F$2:$F$3520,L$7)))</f>
        <v>0</v>
      </c>
      <c r="M74" s="26" t="n">
        <f aca="false">IF(M$7="","",CHOOSE(MATCH($B$4,Lists!$C$2:$C$5,0),SUMIFS(Sales_Data!$O$2:$O$3520,Sales_Data!$C$2:$C$3520,$A74,Sales_Data!$F$2:$F$3520,M$7,Sales_Data!$AE$2:$AE$3520,1),SUMIFS(Sales_Data!$M$2:$M$3520,Sales_Data!$C$2:$C$3520,$A74,Sales_Data!$F$2:$F$3520,M$7,Sales_Data!$AE$2:$AE$3520,1),SUMIFS(Sales_Data!$N$2:$N$3520,Sales_Data!$C$2:$C$3520,$A74,Sales_Data!$F$2:$F$3520,M$7,Sales_Data!$AE$2:$AE$3520,1),SUMIFS(Sales_Data!$AE$2:$AE$3520,Sales_Data!$C$2:$C$3520,$A74,Sales_Data!$F$2:$F$3520,M$7)))</f>
        <v>0</v>
      </c>
      <c r="N74" s="26" t="n">
        <f aca="false">IF(N$7="","",CHOOSE(MATCH($B$4,Lists!$C$2:$C$5,0),SUMIFS(Sales_Data!$O$2:$O$3520,Sales_Data!$C$2:$C$3520,$A74,Sales_Data!$F$2:$F$3520,N$7,Sales_Data!$AE$2:$AE$3520,1),SUMIFS(Sales_Data!$M$2:$M$3520,Sales_Data!$C$2:$C$3520,$A74,Sales_Data!$F$2:$F$3520,N$7,Sales_Data!$AE$2:$AE$3520,1),SUMIFS(Sales_Data!$N$2:$N$3520,Sales_Data!$C$2:$C$3520,$A74,Sales_Data!$F$2:$F$3520,N$7,Sales_Data!$AE$2:$AE$3520,1),SUMIFS(Sales_Data!$AE$2:$AE$3520,Sales_Data!$C$2:$C$3520,$A74,Sales_Data!$F$2:$F$3520,N$7)))</f>
        <v>0</v>
      </c>
      <c r="O74" s="26" t="n">
        <f aca="false">IF(O$7="","",CHOOSE(MATCH($B$4,Lists!$C$2:$C$5,0),SUMIFS(Sales_Data!$O$2:$O$3520,Sales_Data!$C$2:$C$3520,$A74,Sales_Data!$F$2:$F$3520,O$7,Sales_Data!$AE$2:$AE$3520,1),SUMIFS(Sales_Data!$M$2:$M$3520,Sales_Data!$C$2:$C$3520,$A74,Sales_Data!$F$2:$F$3520,O$7,Sales_Data!$AE$2:$AE$3520,1),SUMIFS(Sales_Data!$N$2:$N$3520,Sales_Data!$C$2:$C$3520,$A74,Sales_Data!$F$2:$F$3520,O$7,Sales_Data!$AE$2:$AE$3520,1),SUMIFS(Sales_Data!$AE$2:$AE$3520,Sales_Data!$C$2:$C$3520,$A74,Sales_Data!$F$2:$F$3520,O$7)))</f>
        <v>0</v>
      </c>
      <c r="P74" s="26" t="n">
        <f aca="false">IF(P$7="","",CHOOSE(MATCH($B$4,Lists!$C$2:$C$5,0),SUMIFS(Sales_Data!$O$2:$O$3520,Sales_Data!$C$2:$C$3520,$A74,Sales_Data!$F$2:$F$3520,P$7,Sales_Data!$AE$2:$AE$3520,1),SUMIFS(Sales_Data!$M$2:$M$3520,Sales_Data!$C$2:$C$3520,$A74,Sales_Data!$F$2:$F$3520,P$7,Sales_Data!$AE$2:$AE$3520,1),SUMIFS(Sales_Data!$N$2:$N$3520,Sales_Data!$C$2:$C$3520,$A74,Sales_Data!$F$2:$F$3520,P$7,Sales_Data!$AE$2:$AE$3520,1),SUMIFS(Sales_Data!$AE$2:$AE$3520,Sales_Data!$C$2:$C$3520,$A74,Sales_Data!$F$2:$F$3520,P$7)))</f>
        <v>0</v>
      </c>
      <c r="Q74" s="26" t="n">
        <f aca="false">IF(Q$7="","",CHOOSE(MATCH($B$4,Lists!$C$2:$C$5,0),SUMIFS(Sales_Data!$O$2:$O$3520,Sales_Data!$C$2:$C$3520,$A74,Sales_Data!$F$2:$F$3520,Q$7,Sales_Data!$AE$2:$AE$3520,1),SUMIFS(Sales_Data!$M$2:$M$3520,Sales_Data!$C$2:$C$3520,$A74,Sales_Data!$F$2:$F$3520,Q$7,Sales_Data!$AE$2:$AE$3520,1),SUMIFS(Sales_Data!$N$2:$N$3520,Sales_Data!$C$2:$C$3520,$A74,Sales_Data!$F$2:$F$3520,Q$7,Sales_Data!$AE$2:$AE$3520,1),SUMIFS(Sales_Data!$AE$2:$AE$3520,Sales_Data!$C$2:$C$3520,$A74,Sales_Data!$F$2:$F$3520,Q$7)))</f>
        <v>0</v>
      </c>
      <c r="R74" s="26" t="n">
        <f aca="false">IF(R$7="","",CHOOSE(MATCH($B$4,Lists!$C$2:$C$5,0),SUMIFS(Sales_Data!$O$2:$O$3520,Sales_Data!$C$2:$C$3520,$A74,Sales_Data!$F$2:$F$3520,R$7,Sales_Data!$AE$2:$AE$3520,1),SUMIFS(Sales_Data!$M$2:$M$3520,Sales_Data!$C$2:$C$3520,$A74,Sales_Data!$F$2:$F$3520,R$7,Sales_Data!$AE$2:$AE$3520,1),SUMIFS(Sales_Data!$N$2:$N$3520,Sales_Data!$C$2:$C$3520,$A74,Sales_Data!$F$2:$F$3520,R$7,Sales_Data!$AE$2:$AE$3520,1),SUMIFS(Sales_Data!$AE$2:$AE$3520,Sales_Data!$C$2:$C$3520,$A74,Sales_Data!$F$2:$F$3520,R$7)))</f>
        <v>0</v>
      </c>
      <c r="S74" s="26" t="n">
        <f aca="false">IF(S$7="","",CHOOSE(MATCH($B$4,Lists!$C$2:$C$5,0),SUMIFS(Sales_Data!$O$2:$O$3520,Sales_Data!$C$2:$C$3520,$A74,Sales_Data!$F$2:$F$3520,S$7,Sales_Data!$AE$2:$AE$3520,1),SUMIFS(Sales_Data!$M$2:$M$3520,Sales_Data!$C$2:$C$3520,$A74,Sales_Data!$F$2:$F$3520,S$7,Sales_Data!$AE$2:$AE$3520,1),SUMIFS(Sales_Data!$N$2:$N$3520,Sales_Data!$C$2:$C$3520,$A74,Sales_Data!$F$2:$F$3520,S$7,Sales_Data!$AE$2:$AE$3520,1),SUMIFS(Sales_Data!$AE$2:$AE$3520,Sales_Data!$C$2:$C$3520,$A74,Sales_Data!$F$2:$F$3520,S$7)))</f>
        <v>0</v>
      </c>
      <c r="T74" s="26" t="str">
        <f aca="false">IF(T$7="","",CHOOSE(MATCH($B$4,Lists!$C$2:$C$5,0),SUMIFS(Sales_Data!$O$2:$O$3520,Sales_Data!$C$2:$C$3520,$A74,Sales_Data!$F$2:$F$3520,T$7,Sales_Data!$AE$2:$AE$3520,1),SUMIFS(Sales_Data!$M$2:$M$3520,Sales_Data!$C$2:$C$3520,$A74,Sales_Data!$F$2:$F$3520,T$7,Sales_Data!$AE$2:$AE$3520,1),SUMIFS(Sales_Data!$N$2:$N$3520,Sales_Data!$C$2:$C$3520,$A74,Sales_Data!$F$2:$F$3520,T$7,Sales_Data!$AE$2:$AE$3520,1),SUMIFS(Sales_Data!$AE$2:$AE$3520,Sales_Data!$C$2:$C$3520,$A74,Sales_Data!$F$2:$F$3520,T$7)))</f>
        <v/>
      </c>
      <c r="U74" s="26" t="str">
        <f aca="false">IF(U$7="","",CHOOSE(MATCH($B$4,Lists!$C$2:$C$5,0),SUMIFS(Sales_Data!$O$2:$O$3520,Sales_Data!$C$2:$C$3520,$A74,Sales_Data!$F$2:$F$3520,U$7,Sales_Data!$AE$2:$AE$3520,1),SUMIFS(Sales_Data!$M$2:$M$3520,Sales_Data!$C$2:$C$3520,$A74,Sales_Data!$F$2:$F$3520,U$7,Sales_Data!$AE$2:$AE$3520,1),SUMIFS(Sales_Data!$N$2:$N$3520,Sales_Data!$C$2:$C$3520,$A74,Sales_Data!$F$2:$F$3520,U$7,Sales_Data!$AE$2:$AE$3520,1),SUMIFS(Sales_Data!$AE$2:$AE$3520,Sales_Data!$C$2:$C$3520,$A74,Sales_Data!$F$2:$F$3520,U$7)))</f>
        <v/>
      </c>
      <c r="V74" s="26" t="str">
        <f aca="false">IF(V$7="","",CHOOSE(MATCH($B$4,Lists!$C$2:$C$5,0),SUMIFS(Sales_Data!$O$2:$O$3520,Sales_Data!$C$2:$C$3520,$A74,Sales_Data!$F$2:$F$3520,V$7,Sales_Data!$AE$2:$AE$3520,1),SUMIFS(Sales_Data!$M$2:$M$3520,Sales_Data!$C$2:$C$3520,$A74,Sales_Data!$F$2:$F$3520,V$7,Sales_Data!$AE$2:$AE$3520,1),SUMIFS(Sales_Data!$N$2:$N$3520,Sales_Data!$C$2:$C$3520,$A74,Sales_Data!$F$2:$F$3520,V$7,Sales_Data!$AE$2:$AE$3520,1),SUMIFS(Sales_Data!$AE$2:$AE$3520,Sales_Data!$C$2:$C$3520,$A74,Sales_Data!$F$2:$F$3520,V$7)))</f>
        <v/>
      </c>
      <c r="W74" s="26" t="str">
        <f aca="false">IF(W$7="","",CHOOSE(MATCH($B$4,Lists!$C$2:$C$5,0),SUMIFS(Sales_Data!$O$2:$O$3520,Sales_Data!$C$2:$C$3520,$A74,Sales_Data!$F$2:$F$3520,W$7,Sales_Data!$AE$2:$AE$3520,1),SUMIFS(Sales_Data!$M$2:$M$3520,Sales_Data!$C$2:$C$3520,$A74,Sales_Data!$F$2:$F$3520,W$7,Sales_Data!$AE$2:$AE$3520,1),SUMIFS(Sales_Data!$N$2:$N$3520,Sales_Data!$C$2:$C$3520,$A74,Sales_Data!$F$2:$F$3520,W$7,Sales_Data!$AE$2:$AE$3520,1),SUMIFS(Sales_Data!$AE$2:$AE$3520,Sales_Data!$C$2:$C$3520,$A74,Sales_Data!$F$2:$F$3520,W$7)))</f>
        <v/>
      </c>
      <c r="X74" s="26" t="str">
        <f aca="false">IF(X$7="","",CHOOSE(MATCH($B$4,Lists!$C$2:$C$5,0),SUMIFS(Sales_Data!$O$2:$O$3520,Sales_Data!$C$2:$C$3520,$A74,Sales_Data!$F$2:$F$3520,X$7,Sales_Data!$AE$2:$AE$3520,1),SUMIFS(Sales_Data!$M$2:$M$3520,Sales_Data!$C$2:$C$3520,$A74,Sales_Data!$F$2:$F$3520,X$7,Sales_Data!$AE$2:$AE$3520,1),SUMIFS(Sales_Data!$N$2:$N$3520,Sales_Data!$C$2:$C$3520,$A74,Sales_Data!$F$2:$F$3520,X$7,Sales_Data!$AE$2:$AE$3520,1),SUMIFS(Sales_Data!$AE$2:$AE$3520,Sales_Data!$C$2:$C$3520,$A74,Sales_Data!$F$2:$F$3520,X$7)))</f>
        <v/>
      </c>
      <c r="Y74" s="26" t="str">
        <f aca="false">IF(Y$7="","",CHOOSE(MATCH($B$4,Lists!$C$2:$C$5,0),SUMIFS(Sales_Data!$O$2:$O$3520,Sales_Data!$C$2:$C$3520,$A74,Sales_Data!$F$2:$F$3520,Y$7,Sales_Data!$AE$2:$AE$3520,1),SUMIFS(Sales_Data!$M$2:$M$3520,Sales_Data!$C$2:$C$3520,$A74,Sales_Data!$F$2:$F$3520,Y$7,Sales_Data!$AE$2:$AE$3520,1),SUMIFS(Sales_Data!$N$2:$N$3520,Sales_Data!$C$2:$C$3520,$A74,Sales_Data!$F$2:$F$3520,Y$7,Sales_Data!$AE$2:$AE$3520,1),SUMIFS(Sales_Data!$AE$2:$AE$3520,Sales_Data!$C$2:$C$3520,$A74,Sales_Data!$F$2:$F$3520,Y$7)))</f>
        <v/>
      </c>
      <c r="Z74" s="26" t="str">
        <f aca="false">IF(Z$7="","",CHOOSE(MATCH($B$4,Lists!$C$2:$C$5,0),SUMIFS(Sales_Data!$O$2:$O$3520,Sales_Data!$C$2:$C$3520,$A74,Sales_Data!$F$2:$F$3520,Z$7,Sales_Data!$AE$2:$AE$3520,1),SUMIFS(Sales_Data!$M$2:$M$3520,Sales_Data!$C$2:$C$3520,$A74,Sales_Data!$F$2:$F$3520,Z$7,Sales_Data!$AE$2:$AE$3520,1),SUMIFS(Sales_Data!$N$2:$N$3520,Sales_Data!$C$2:$C$3520,$A74,Sales_Data!$F$2:$F$3520,Z$7,Sales_Data!$AE$2:$AE$3520,1),SUMIFS(Sales_Data!$AE$2:$AE$3520,Sales_Data!$C$2:$C$3520,$A74,Sales_Data!$F$2:$F$3520,Z$7)))</f>
        <v/>
      </c>
      <c r="AA74" s="27" t="n">
        <f aca="false">SUM(B74:Z74)</f>
        <v>0</v>
      </c>
      <c r="AB74" s="3"/>
      <c r="AC74" s="72" t="n">
        <f aca="false">A74</f>
        <v>46281</v>
      </c>
      <c r="AD74" s="28" t="n">
        <f aca="false">IF(B74="","",B74-B73)</f>
        <v>0</v>
      </c>
      <c r="AE74" s="28" t="n">
        <f aca="false">IF(C74="","",C74-C73)</f>
        <v>0</v>
      </c>
      <c r="AF74" s="28" t="n">
        <f aca="false">IF(D74="","",D74-D73)</f>
        <v>0</v>
      </c>
      <c r="AG74" s="28" t="n">
        <f aca="false">IF(E74="","",E74-E73)</f>
        <v>0</v>
      </c>
      <c r="AH74" s="28" t="n">
        <f aca="false">IF(F74="","",F74-F73)</f>
        <v>0</v>
      </c>
      <c r="AI74" s="28" t="n">
        <f aca="false">IF(G74="","",G74-G73)</f>
        <v>0</v>
      </c>
      <c r="AJ74" s="28" t="n">
        <f aca="false">IF(H74="","",H74-H73)</f>
        <v>0</v>
      </c>
      <c r="AK74" s="28" t="n">
        <f aca="false">IF(I74="","",I74-I73)</f>
        <v>0</v>
      </c>
      <c r="AL74" s="28" t="n">
        <f aca="false">IF(J74="","",J74-J73)</f>
        <v>0</v>
      </c>
      <c r="AM74" s="28" t="n">
        <f aca="false">IF(K74="","",K74-K73)</f>
        <v>-1</v>
      </c>
      <c r="AN74" s="28" t="n">
        <f aca="false">IF(L74="","",L74-L73)</f>
        <v>0</v>
      </c>
      <c r="AO74" s="28" t="n">
        <f aca="false">IF(M74="","",M74-M73)</f>
        <v>0</v>
      </c>
      <c r="AP74" s="28" t="n">
        <f aca="false">IF(N74="","",N74-N73)</f>
        <v>0</v>
      </c>
      <c r="AQ74" s="28" t="n">
        <f aca="false">IF(O74="","",O74-O73)</f>
        <v>-1</v>
      </c>
      <c r="AR74" s="28" t="n">
        <f aca="false">IF(P74="","",P74-P73)</f>
        <v>0</v>
      </c>
      <c r="AS74" s="28" t="n">
        <f aca="false">IF(Q74="","",Q74-Q73)</f>
        <v>0</v>
      </c>
      <c r="AT74" s="28" t="n">
        <f aca="false">IF(R74="","",R74-R73)</f>
        <v>0</v>
      </c>
      <c r="AU74" s="28" t="n">
        <f aca="false">IF(S74="","",S74-S73)</f>
        <v>0</v>
      </c>
      <c r="AV74" s="28" t="str">
        <f aca="false">IF(T74="","",T74-T73)</f>
        <v/>
      </c>
      <c r="AW74" s="28" t="str">
        <f aca="false">IF(U74="","",U74-U73)</f>
        <v/>
      </c>
      <c r="AX74" s="28" t="str">
        <f aca="false">IF(V74="","",V74-V73)</f>
        <v/>
      </c>
      <c r="AY74" s="28" t="str">
        <f aca="false">IF(W74="","",W74-W73)</f>
        <v/>
      </c>
      <c r="AZ74" s="28" t="str">
        <f aca="false">IF(X74="","",X74-X73)</f>
        <v/>
      </c>
      <c r="BA74" s="28" t="str">
        <f aca="false">IF(Y74="","",Y74-Y73)</f>
        <v/>
      </c>
      <c r="BB74" s="28" t="str">
        <f aca="false">IF(Z74="","",Z74-Z73)</f>
        <v/>
      </c>
      <c r="BC74" s="28" t="n">
        <f aca="false">IF(AA74="","",AA74-AA73)</f>
        <v>-2</v>
      </c>
    </row>
    <row r="75" customFormat="false" ht="15" hidden="false" customHeight="false" outlineLevel="0" collapsed="false">
      <c r="A75" s="72" t="n">
        <v>46282</v>
      </c>
      <c r="B75" s="26" t="n">
        <f aca="false">IF(B$7="","",CHOOSE(MATCH($B$4,Lists!$C$2:$C$5,0),SUMIFS(Sales_Data!$O$2:$O$3520,Sales_Data!$C$2:$C$3520,$A75,Sales_Data!$F$2:$F$3520,B$7,Sales_Data!$AE$2:$AE$3520,1),SUMIFS(Sales_Data!$M$2:$M$3520,Sales_Data!$C$2:$C$3520,$A75,Sales_Data!$F$2:$F$3520,B$7,Sales_Data!$AE$2:$AE$3520,1),SUMIFS(Sales_Data!$N$2:$N$3520,Sales_Data!$C$2:$C$3520,$A75,Sales_Data!$F$2:$F$3520,B$7,Sales_Data!$AE$2:$AE$3520,1),SUMIFS(Sales_Data!$AE$2:$AE$3520,Sales_Data!$C$2:$C$3520,$A75,Sales_Data!$F$2:$F$3520,B$7)))</f>
        <v>0</v>
      </c>
      <c r="C75" s="26" t="n">
        <f aca="false">IF(C$7="","",CHOOSE(MATCH($B$4,Lists!$C$2:$C$5,0),SUMIFS(Sales_Data!$O$2:$O$3520,Sales_Data!$C$2:$C$3520,$A75,Sales_Data!$F$2:$F$3520,C$7,Sales_Data!$AE$2:$AE$3520,1),SUMIFS(Sales_Data!$M$2:$M$3520,Sales_Data!$C$2:$C$3520,$A75,Sales_Data!$F$2:$F$3520,C$7,Sales_Data!$AE$2:$AE$3520,1),SUMIFS(Sales_Data!$N$2:$N$3520,Sales_Data!$C$2:$C$3520,$A75,Sales_Data!$F$2:$F$3520,C$7,Sales_Data!$AE$2:$AE$3520,1),SUMIFS(Sales_Data!$AE$2:$AE$3520,Sales_Data!$C$2:$C$3520,$A75,Sales_Data!$F$2:$F$3520,C$7)))</f>
        <v>0</v>
      </c>
      <c r="D75" s="26" t="n">
        <f aca="false">IF(D$7="","",CHOOSE(MATCH($B$4,Lists!$C$2:$C$5,0),SUMIFS(Sales_Data!$O$2:$O$3520,Sales_Data!$C$2:$C$3520,$A75,Sales_Data!$F$2:$F$3520,D$7,Sales_Data!$AE$2:$AE$3520,1),SUMIFS(Sales_Data!$M$2:$M$3520,Sales_Data!$C$2:$C$3520,$A75,Sales_Data!$F$2:$F$3520,D$7,Sales_Data!$AE$2:$AE$3520,1),SUMIFS(Sales_Data!$N$2:$N$3520,Sales_Data!$C$2:$C$3520,$A75,Sales_Data!$F$2:$F$3520,D$7,Sales_Data!$AE$2:$AE$3520,1),SUMIFS(Sales_Data!$AE$2:$AE$3520,Sales_Data!$C$2:$C$3520,$A75,Sales_Data!$F$2:$F$3520,D$7)))</f>
        <v>0</v>
      </c>
      <c r="E75" s="26" t="n">
        <f aca="false">IF(E$7="","",CHOOSE(MATCH($B$4,Lists!$C$2:$C$5,0),SUMIFS(Sales_Data!$O$2:$O$3520,Sales_Data!$C$2:$C$3520,$A75,Sales_Data!$F$2:$F$3520,E$7,Sales_Data!$AE$2:$AE$3520,1),SUMIFS(Sales_Data!$M$2:$M$3520,Sales_Data!$C$2:$C$3520,$A75,Sales_Data!$F$2:$F$3520,E$7,Sales_Data!$AE$2:$AE$3520,1),SUMIFS(Sales_Data!$N$2:$N$3520,Sales_Data!$C$2:$C$3520,$A75,Sales_Data!$F$2:$F$3520,E$7,Sales_Data!$AE$2:$AE$3520,1),SUMIFS(Sales_Data!$AE$2:$AE$3520,Sales_Data!$C$2:$C$3520,$A75,Sales_Data!$F$2:$F$3520,E$7)))</f>
        <v>0</v>
      </c>
      <c r="F75" s="26" t="n">
        <f aca="false">IF(F$7="","",CHOOSE(MATCH($B$4,Lists!$C$2:$C$5,0),SUMIFS(Sales_Data!$O$2:$O$3520,Sales_Data!$C$2:$C$3520,$A75,Sales_Data!$F$2:$F$3520,F$7,Sales_Data!$AE$2:$AE$3520,1),SUMIFS(Sales_Data!$M$2:$M$3520,Sales_Data!$C$2:$C$3520,$A75,Sales_Data!$F$2:$F$3520,F$7,Sales_Data!$AE$2:$AE$3520,1),SUMIFS(Sales_Data!$N$2:$N$3520,Sales_Data!$C$2:$C$3520,$A75,Sales_Data!$F$2:$F$3520,F$7,Sales_Data!$AE$2:$AE$3520,1),SUMIFS(Sales_Data!$AE$2:$AE$3520,Sales_Data!$C$2:$C$3520,$A75,Sales_Data!$F$2:$F$3520,F$7)))</f>
        <v>0</v>
      </c>
      <c r="G75" s="26" t="n">
        <f aca="false">IF(G$7="","",CHOOSE(MATCH($B$4,Lists!$C$2:$C$5,0),SUMIFS(Sales_Data!$O$2:$O$3520,Sales_Data!$C$2:$C$3520,$A75,Sales_Data!$F$2:$F$3520,G$7,Sales_Data!$AE$2:$AE$3520,1),SUMIFS(Sales_Data!$M$2:$M$3520,Sales_Data!$C$2:$C$3520,$A75,Sales_Data!$F$2:$F$3520,G$7,Sales_Data!$AE$2:$AE$3520,1),SUMIFS(Sales_Data!$N$2:$N$3520,Sales_Data!$C$2:$C$3520,$A75,Sales_Data!$F$2:$F$3520,G$7,Sales_Data!$AE$2:$AE$3520,1),SUMIFS(Sales_Data!$AE$2:$AE$3520,Sales_Data!$C$2:$C$3520,$A75,Sales_Data!$F$2:$F$3520,G$7)))</f>
        <v>1</v>
      </c>
      <c r="H75" s="26" t="n">
        <f aca="false">IF(H$7="","",CHOOSE(MATCH($B$4,Lists!$C$2:$C$5,0),SUMIFS(Sales_Data!$O$2:$O$3520,Sales_Data!$C$2:$C$3520,$A75,Sales_Data!$F$2:$F$3520,H$7,Sales_Data!$AE$2:$AE$3520,1),SUMIFS(Sales_Data!$M$2:$M$3520,Sales_Data!$C$2:$C$3520,$A75,Sales_Data!$F$2:$F$3520,H$7,Sales_Data!$AE$2:$AE$3520,1),SUMIFS(Sales_Data!$N$2:$N$3520,Sales_Data!$C$2:$C$3520,$A75,Sales_Data!$F$2:$F$3520,H$7,Sales_Data!$AE$2:$AE$3520,1),SUMIFS(Sales_Data!$AE$2:$AE$3520,Sales_Data!$C$2:$C$3520,$A75,Sales_Data!$F$2:$F$3520,H$7)))</f>
        <v>0</v>
      </c>
      <c r="I75" s="26" t="n">
        <f aca="false">IF(I$7="","",CHOOSE(MATCH($B$4,Lists!$C$2:$C$5,0),SUMIFS(Sales_Data!$O$2:$O$3520,Sales_Data!$C$2:$C$3520,$A75,Sales_Data!$F$2:$F$3520,I$7,Sales_Data!$AE$2:$AE$3520,1),SUMIFS(Sales_Data!$M$2:$M$3520,Sales_Data!$C$2:$C$3520,$A75,Sales_Data!$F$2:$F$3520,I$7,Sales_Data!$AE$2:$AE$3520,1),SUMIFS(Sales_Data!$N$2:$N$3520,Sales_Data!$C$2:$C$3520,$A75,Sales_Data!$F$2:$F$3520,I$7,Sales_Data!$AE$2:$AE$3520,1),SUMIFS(Sales_Data!$AE$2:$AE$3520,Sales_Data!$C$2:$C$3520,$A75,Sales_Data!$F$2:$F$3520,I$7)))</f>
        <v>0</v>
      </c>
      <c r="J75" s="26" t="n">
        <f aca="false">IF(J$7="","",CHOOSE(MATCH($B$4,Lists!$C$2:$C$5,0),SUMIFS(Sales_Data!$O$2:$O$3520,Sales_Data!$C$2:$C$3520,$A75,Sales_Data!$F$2:$F$3520,J$7,Sales_Data!$AE$2:$AE$3520,1),SUMIFS(Sales_Data!$M$2:$M$3520,Sales_Data!$C$2:$C$3520,$A75,Sales_Data!$F$2:$F$3520,J$7,Sales_Data!$AE$2:$AE$3520,1),SUMIFS(Sales_Data!$N$2:$N$3520,Sales_Data!$C$2:$C$3520,$A75,Sales_Data!$F$2:$F$3520,J$7,Sales_Data!$AE$2:$AE$3520,1),SUMIFS(Sales_Data!$AE$2:$AE$3520,Sales_Data!$C$2:$C$3520,$A75,Sales_Data!$F$2:$F$3520,J$7)))</f>
        <v>0</v>
      </c>
      <c r="K75" s="26" t="n">
        <f aca="false">IF(K$7="","",CHOOSE(MATCH($B$4,Lists!$C$2:$C$5,0),SUMIFS(Sales_Data!$O$2:$O$3520,Sales_Data!$C$2:$C$3520,$A75,Sales_Data!$F$2:$F$3520,K$7,Sales_Data!$AE$2:$AE$3520,1),SUMIFS(Sales_Data!$M$2:$M$3520,Sales_Data!$C$2:$C$3520,$A75,Sales_Data!$F$2:$F$3520,K$7,Sales_Data!$AE$2:$AE$3520,1),SUMIFS(Sales_Data!$N$2:$N$3520,Sales_Data!$C$2:$C$3520,$A75,Sales_Data!$F$2:$F$3520,K$7,Sales_Data!$AE$2:$AE$3520,1),SUMIFS(Sales_Data!$AE$2:$AE$3520,Sales_Data!$C$2:$C$3520,$A75,Sales_Data!$F$2:$F$3520,K$7)))</f>
        <v>0</v>
      </c>
      <c r="L75" s="26" t="n">
        <f aca="false">IF(L$7="","",CHOOSE(MATCH($B$4,Lists!$C$2:$C$5,0),SUMIFS(Sales_Data!$O$2:$O$3520,Sales_Data!$C$2:$C$3520,$A75,Sales_Data!$F$2:$F$3520,L$7,Sales_Data!$AE$2:$AE$3520,1),SUMIFS(Sales_Data!$M$2:$M$3520,Sales_Data!$C$2:$C$3520,$A75,Sales_Data!$F$2:$F$3520,L$7,Sales_Data!$AE$2:$AE$3520,1),SUMIFS(Sales_Data!$N$2:$N$3520,Sales_Data!$C$2:$C$3520,$A75,Sales_Data!$F$2:$F$3520,L$7,Sales_Data!$AE$2:$AE$3520,1),SUMIFS(Sales_Data!$AE$2:$AE$3520,Sales_Data!$C$2:$C$3520,$A75,Sales_Data!$F$2:$F$3520,L$7)))</f>
        <v>0</v>
      </c>
      <c r="M75" s="26" t="n">
        <f aca="false">IF(M$7="","",CHOOSE(MATCH($B$4,Lists!$C$2:$C$5,0),SUMIFS(Sales_Data!$O$2:$O$3520,Sales_Data!$C$2:$C$3520,$A75,Sales_Data!$F$2:$F$3520,M$7,Sales_Data!$AE$2:$AE$3520,1),SUMIFS(Sales_Data!$M$2:$M$3520,Sales_Data!$C$2:$C$3520,$A75,Sales_Data!$F$2:$F$3520,M$7,Sales_Data!$AE$2:$AE$3520,1),SUMIFS(Sales_Data!$N$2:$N$3520,Sales_Data!$C$2:$C$3520,$A75,Sales_Data!$F$2:$F$3520,M$7,Sales_Data!$AE$2:$AE$3520,1),SUMIFS(Sales_Data!$AE$2:$AE$3520,Sales_Data!$C$2:$C$3520,$A75,Sales_Data!$F$2:$F$3520,M$7)))</f>
        <v>0</v>
      </c>
      <c r="N75" s="26" t="n">
        <f aca="false">IF(N$7="","",CHOOSE(MATCH($B$4,Lists!$C$2:$C$5,0),SUMIFS(Sales_Data!$O$2:$O$3520,Sales_Data!$C$2:$C$3520,$A75,Sales_Data!$F$2:$F$3520,N$7,Sales_Data!$AE$2:$AE$3520,1),SUMIFS(Sales_Data!$M$2:$M$3520,Sales_Data!$C$2:$C$3520,$A75,Sales_Data!$F$2:$F$3520,N$7,Sales_Data!$AE$2:$AE$3520,1),SUMIFS(Sales_Data!$N$2:$N$3520,Sales_Data!$C$2:$C$3520,$A75,Sales_Data!$F$2:$F$3520,N$7,Sales_Data!$AE$2:$AE$3520,1),SUMIFS(Sales_Data!$AE$2:$AE$3520,Sales_Data!$C$2:$C$3520,$A75,Sales_Data!$F$2:$F$3520,N$7)))</f>
        <v>0</v>
      </c>
      <c r="O75" s="26" t="n">
        <f aca="false">IF(O$7="","",CHOOSE(MATCH($B$4,Lists!$C$2:$C$5,0),SUMIFS(Sales_Data!$O$2:$O$3520,Sales_Data!$C$2:$C$3520,$A75,Sales_Data!$F$2:$F$3520,O$7,Sales_Data!$AE$2:$AE$3520,1),SUMIFS(Sales_Data!$M$2:$M$3520,Sales_Data!$C$2:$C$3520,$A75,Sales_Data!$F$2:$F$3520,O$7,Sales_Data!$AE$2:$AE$3520,1),SUMIFS(Sales_Data!$N$2:$N$3520,Sales_Data!$C$2:$C$3520,$A75,Sales_Data!$F$2:$F$3520,O$7,Sales_Data!$AE$2:$AE$3520,1),SUMIFS(Sales_Data!$AE$2:$AE$3520,Sales_Data!$C$2:$C$3520,$A75,Sales_Data!$F$2:$F$3520,O$7)))</f>
        <v>0</v>
      </c>
      <c r="P75" s="26" t="n">
        <f aca="false">IF(P$7="","",CHOOSE(MATCH($B$4,Lists!$C$2:$C$5,0),SUMIFS(Sales_Data!$O$2:$O$3520,Sales_Data!$C$2:$C$3520,$A75,Sales_Data!$F$2:$F$3520,P$7,Sales_Data!$AE$2:$AE$3520,1),SUMIFS(Sales_Data!$M$2:$M$3520,Sales_Data!$C$2:$C$3520,$A75,Sales_Data!$F$2:$F$3520,P$7,Sales_Data!$AE$2:$AE$3520,1),SUMIFS(Sales_Data!$N$2:$N$3520,Sales_Data!$C$2:$C$3520,$A75,Sales_Data!$F$2:$F$3520,P$7,Sales_Data!$AE$2:$AE$3520,1),SUMIFS(Sales_Data!$AE$2:$AE$3520,Sales_Data!$C$2:$C$3520,$A75,Sales_Data!$F$2:$F$3520,P$7)))</f>
        <v>0</v>
      </c>
      <c r="Q75" s="26" t="n">
        <f aca="false">IF(Q$7="","",CHOOSE(MATCH($B$4,Lists!$C$2:$C$5,0),SUMIFS(Sales_Data!$O$2:$O$3520,Sales_Data!$C$2:$C$3520,$A75,Sales_Data!$F$2:$F$3520,Q$7,Sales_Data!$AE$2:$AE$3520,1),SUMIFS(Sales_Data!$M$2:$M$3520,Sales_Data!$C$2:$C$3520,$A75,Sales_Data!$F$2:$F$3520,Q$7,Sales_Data!$AE$2:$AE$3520,1),SUMIFS(Sales_Data!$N$2:$N$3520,Sales_Data!$C$2:$C$3520,$A75,Sales_Data!$F$2:$F$3520,Q$7,Sales_Data!$AE$2:$AE$3520,1),SUMIFS(Sales_Data!$AE$2:$AE$3520,Sales_Data!$C$2:$C$3520,$A75,Sales_Data!$F$2:$F$3520,Q$7)))</f>
        <v>0</v>
      </c>
      <c r="R75" s="26" t="n">
        <f aca="false">IF(R$7="","",CHOOSE(MATCH($B$4,Lists!$C$2:$C$5,0),SUMIFS(Sales_Data!$O$2:$O$3520,Sales_Data!$C$2:$C$3520,$A75,Sales_Data!$F$2:$F$3520,R$7,Sales_Data!$AE$2:$AE$3520,1),SUMIFS(Sales_Data!$M$2:$M$3520,Sales_Data!$C$2:$C$3520,$A75,Sales_Data!$F$2:$F$3520,R$7,Sales_Data!$AE$2:$AE$3520,1),SUMIFS(Sales_Data!$N$2:$N$3520,Sales_Data!$C$2:$C$3520,$A75,Sales_Data!$F$2:$F$3520,R$7,Sales_Data!$AE$2:$AE$3520,1),SUMIFS(Sales_Data!$AE$2:$AE$3520,Sales_Data!$C$2:$C$3520,$A75,Sales_Data!$F$2:$F$3520,R$7)))</f>
        <v>0</v>
      </c>
      <c r="S75" s="26" t="n">
        <f aca="false">IF(S$7="","",CHOOSE(MATCH($B$4,Lists!$C$2:$C$5,0),SUMIFS(Sales_Data!$O$2:$O$3520,Sales_Data!$C$2:$C$3520,$A75,Sales_Data!$F$2:$F$3520,S$7,Sales_Data!$AE$2:$AE$3520,1),SUMIFS(Sales_Data!$M$2:$M$3520,Sales_Data!$C$2:$C$3520,$A75,Sales_Data!$F$2:$F$3520,S$7,Sales_Data!$AE$2:$AE$3520,1),SUMIFS(Sales_Data!$N$2:$N$3520,Sales_Data!$C$2:$C$3520,$A75,Sales_Data!$F$2:$F$3520,S$7,Sales_Data!$AE$2:$AE$3520,1),SUMIFS(Sales_Data!$AE$2:$AE$3520,Sales_Data!$C$2:$C$3520,$A75,Sales_Data!$F$2:$F$3520,S$7)))</f>
        <v>0</v>
      </c>
      <c r="T75" s="26" t="str">
        <f aca="false">IF(T$7="","",CHOOSE(MATCH($B$4,Lists!$C$2:$C$5,0),SUMIFS(Sales_Data!$O$2:$O$3520,Sales_Data!$C$2:$C$3520,$A75,Sales_Data!$F$2:$F$3520,T$7,Sales_Data!$AE$2:$AE$3520,1),SUMIFS(Sales_Data!$M$2:$M$3520,Sales_Data!$C$2:$C$3520,$A75,Sales_Data!$F$2:$F$3520,T$7,Sales_Data!$AE$2:$AE$3520,1),SUMIFS(Sales_Data!$N$2:$N$3520,Sales_Data!$C$2:$C$3520,$A75,Sales_Data!$F$2:$F$3520,T$7,Sales_Data!$AE$2:$AE$3520,1),SUMIFS(Sales_Data!$AE$2:$AE$3520,Sales_Data!$C$2:$C$3520,$A75,Sales_Data!$F$2:$F$3520,T$7)))</f>
        <v/>
      </c>
      <c r="U75" s="26" t="str">
        <f aca="false">IF(U$7="","",CHOOSE(MATCH($B$4,Lists!$C$2:$C$5,0),SUMIFS(Sales_Data!$O$2:$O$3520,Sales_Data!$C$2:$C$3520,$A75,Sales_Data!$F$2:$F$3520,U$7,Sales_Data!$AE$2:$AE$3520,1),SUMIFS(Sales_Data!$M$2:$M$3520,Sales_Data!$C$2:$C$3520,$A75,Sales_Data!$F$2:$F$3520,U$7,Sales_Data!$AE$2:$AE$3520,1),SUMIFS(Sales_Data!$N$2:$N$3520,Sales_Data!$C$2:$C$3520,$A75,Sales_Data!$F$2:$F$3520,U$7,Sales_Data!$AE$2:$AE$3520,1),SUMIFS(Sales_Data!$AE$2:$AE$3520,Sales_Data!$C$2:$C$3520,$A75,Sales_Data!$F$2:$F$3520,U$7)))</f>
        <v/>
      </c>
      <c r="V75" s="26" t="str">
        <f aca="false">IF(V$7="","",CHOOSE(MATCH($B$4,Lists!$C$2:$C$5,0),SUMIFS(Sales_Data!$O$2:$O$3520,Sales_Data!$C$2:$C$3520,$A75,Sales_Data!$F$2:$F$3520,V$7,Sales_Data!$AE$2:$AE$3520,1),SUMIFS(Sales_Data!$M$2:$M$3520,Sales_Data!$C$2:$C$3520,$A75,Sales_Data!$F$2:$F$3520,V$7,Sales_Data!$AE$2:$AE$3520,1),SUMIFS(Sales_Data!$N$2:$N$3520,Sales_Data!$C$2:$C$3520,$A75,Sales_Data!$F$2:$F$3520,V$7,Sales_Data!$AE$2:$AE$3520,1),SUMIFS(Sales_Data!$AE$2:$AE$3520,Sales_Data!$C$2:$C$3520,$A75,Sales_Data!$F$2:$F$3520,V$7)))</f>
        <v/>
      </c>
      <c r="W75" s="26" t="str">
        <f aca="false">IF(W$7="","",CHOOSE(MATCH($B$4,Lists!$C$2:$C$5,0),SUMIFS(Sales_Data!$O$2:$O$3520,Sales_Data!$C$2:$C$3520,$A75,Sales_Data!$F$2:$F$3520,W$7,Sales_Data!$AE$2:$AE$3520,1),SUMIFS(Sales_Data!$M$2:$M$3520,Sales_Data!$C$2:$C$3520,$A75,Sales_Data!$F$2:$F$3520,W$7,Sales_Data!$AE$2:$AE$3520,1),SUMIFS(Sales_Data!$N$2:$N$3520,Sales_Data!$C$2:$C$3520,$A75,Sales_Data!$F$2:$F$3520,W$7,Sales_Data!$AE$2:$AE$3520,1),SUMIFS(Sales_Data!$AE$2:$AE$3520,Sales_Data!$C$2:$C$3520,$A75,Sales_Data!$F$2:$F$3520,W$7)))</f>
        <v/>
      </c>
      <c r="X75" s="26" t="str">
        <f aca="false">IF(X$7="","",CHOOSE(MATCH($B$4,Lists!$C$2:$C$5,0),SUMIFS(Sales_Data!$O$2:$O$3520,Sales_Data!$C$2:$C$3520,$A75,Sales_Data!$F$2:$F$3520,X$7,Sales_Data!$AE$2:$AE$3520,1),SUMIFS(Sales_Data!$M$2:$M$3520,Sales_Data!$C$2:$C$3520,$A75,Sales_Data!$F$2:$F$3520,X$7,Sales_Data!$AE$2:$AE$3520,1),SUMIFS(Sales_Data!$N$2:$N$3520,Sales_Data!$C$2:$C$3520,$A75,Sales_Data!$F$2:$F$3520,X$7,Sales_Data!$AE$2:$AE$3520,1),SUMIFS(Sales_Data!$AE$2:$AE$3520,Sales_Data!$C$2:$C$3520,$A75,Sales_Data!$F$2:$F$3520,X$7)))</f>
        <v/>
      </c>
      <c r="Y75" s="26" t="str">
        <f aca="false">IF(Y$7="","",CHOOSE(MATCH($B$4,Lists!$C$2:$C$5,0),SUMIFS(Sales_Data!$O$2:$O$3520,Sales_Data!$C$2:$C$3520,$A75,Sales_Data!$F$2:$F$3520,Y$7,Sales_Data!$AE$2:$AE$3520,1),SUMIFS(Sales_Data!$M$2:$M$3520,Sales_Data!$C$2:$C$3520,$A75,Sales_Data!$F$2:$F$3520,Y$7,Sales_Data!$AE$2:$AE$3520,1),SUMIFS(Sales_Data!$N$2:$N$3520,Sales_Data!$C$2:$C$3520,$A75,Sales_Data!$F$2:$F$3520,Y$7,Sales_Data!$AE$2:$AE$3520,1),SUMIFS(Sales_Data!$AE$2:$AE$3520,Sales_Data!$C$2:$C$3520,$A75,Sales_Data!$F$2:$F$3520,Y$7)))</f>
        <v/>
      </c>
      <c r="Z75" s="26" t="str">
        <f aca="false">IF(Z$7="","",CHOOSE(MATCH($B$4,Lists!$C$2:$C$5,0),SUMIFS(Sales_Data!$O$2:$O$3520,Sales_Data!$C$2:$C$3520,$A75,Sales_Data!$F$2:$F$3520,Z$7,Sales_Data!$AE$2:$AE$3520,1),SUMIFS(Sales_Data!$M$2:$M$3520,Sales_Data!$C$2:$C$3520,$A75,Sales_Data!$F$2:$F$3520,Z$7,Sales_Data!$AE$2:$AE$3520,1),SUMIFS(Sales_Data!$N$2:$N$3520,Sales_Data!$C$2:$C$3520,$A75,Sales_Data!$F$2:$F$3520,Z$7,Sales_Data!$AE$2:$AE$3520,1),SUMIFS(Sales_Data!$AE$2:$AE$3520,Sales_Data!$C$2:$C$3520,$A75,Sales_Data!$F$2:$F$3520,Z$7)))</f>
        <v/>
      </c>
      <c r="AA75" s="27" t="n">
        <f aca="false">SUM(B75:Z75)</f>
        <v>1</v>
      </c>
      <c r="AB75" s="3"/>
      <c r="AC75" s="72" t="n">
        <f aca="false">A75</f>
        <v>46282</v>
      </c>
      <c r="AD75" s="28" t="n">
        <f aca="false">IF(B75="","",B75-B74)</f>
        <v>0</v>
      </c>
      <c r="AE75" s="28" t="n">
        <f aca="false">IF(C75="","",C75-C74)</f>
        <v>0</v>
      </c>
      <c r="AF75" s="28" t="n">
        <f aca="false">IF(D75="","",D75-D74)</f>
        <v>0</v>
      </c>
      <c r="AG75" s="28" t="n">
        <f aca="false">IF(E75="","",E75-E74)</f>
        <v>0</v>
      </c>
      <c r="AH75" s="28" t="n">
        <f aca="false">IF(F75="","",F75-F74)</f>
        <v>0</v>
      </c>
      <c r="AI75" s="28" t="n">
        <f aca="false">IF(G75="","",G75-G74)</f>
        <v>1</v>
      </c>
      <c r="AJ75" s="28" t="n">
        <f aca="false">IF(H75="","",H75-H74)</f>
        <v>0</v>
      </c>
      <c r="AK75" s="28" t="n">
        <f aca="false">IF(I75="","",I75-I74)</f>
        <v>0</v>
      </c>
      <c r="AL75" s="28" t="n">
        <f aca="false">IF(J75="","",J75-J74)</f>
        <v>0</v>
      </c>
      <c r="AM75" s="28" t="n">
        <f aca="false">IF(K75="","",K75-K74)</f>
        <v>0</v>
      </c>
      <c r="AN75" s="28" t="n">
        <f aca="false">IF(L75="","",L75-L74)</f>
        <v>0</v>
      </c>
      <c r="AO75" s="28" t="n">
        <f aca="false">IF(M75="","",M75-M74)</f>
        <v>0</v>
      </c>
      <c r="AP75" s="28" t="n">
        <f aca="false">IF(N75="","",N75-N74)</f>
        <v>0</v>
      </c>
      <c r="AQ75" s="28" t="n">
        <f aca="false">IF(O75="","",O75-O74)</f>
        <v>0</v>
      </c>
      <c r="AR75" s="28" t="n">
        <f aca="false">IF(P75="","",P75-P74)</f>
        <v>0</v>
      </c>
      <c r="AS75" s="28" t="n">
        <f aca="false">IF(Q75="","",Q75-Q74)</f>
        <v>0</v>
      </c>
      <c r="AT75" s="28" t="n">
        <f aca="false">IF(R75="","",R75-R74)</f>
        <v>0</v>
      </c>
      <c r="AU75" s="28" t="n">
        <f aca="false">IF(S75="","",S75-S74)</f>
        <v>0</v>
      </c>
      <c r="AV75" s="28" t="str">
        <f aca="false">IF(T75="","",T75-T74)</f>
        <v/>
      </c>
      <c r="AW75" s="28" t="str">
        <f aca="false">IF(U75="","",U75-U74)</f>
        <v/>
      </c>
      <c r="AX75" s="28" t="str">
        <f aca="false">IF(V75="","",V75-V74)</f>
        <v/>
      </c>
      <c r="AY75" s="28" t="str">
        <f aca="false">IF(W75="","",W75-W74)</f>
        <v/>
      </c>
      <c r="AZ75" s="28" t="str">
        <f aca="false">IF(X75="","",X75-X74)</f>
        <v/>
      </c>
      <c r="BA75" s="28" t="str">
        <f aca="false">IF(Y75="","",Y75-Y74)</f>
        <v/>
      </c>
      <c r="BB75" s="28" t="str">
        <f aca="false">IF(Z75="","",Z75-Z74)</f>
        <v/>
      </c>
      <c r="BC75" s="28" t="n">
        <f aca="false">IF(AA75="","",AA75-AA74)</f>
        <v>1</v>
      </c>
    </row>
    <row r="76" customFormat="false" ht="15" hidden="false" customHeight="false" outlineLevel="0" collapsed="false">
      <c r="A76" s="72" t="n">
        <v>46283</v>
      </c>
      <c r="B76" s="26" t="n">
        <f aca="false">IF(B$7="","",CHOOSE(MATCH($B$4,Lists!$C$2:$C$5,0),SUMIFS(Sales_Data!$O$2:$O$3520,Sales_Data!$C$2:$C$3520,$A76,Sales_Data!$F$2:$F$3520,B$7,Sales_Data!$AE$2:$AE$3520,1),SUMIFS(Sales_Data!$M$2:$M$3520,Sales_Data!$C$2:$C$3520,$A76,Sales_Data!$F$2:$F$3520,B$7,Sales_Data!$AE$2:$AE$3520,1),SUMIFS(Sales_Data!$N$2:$N$3520,Sales_Data!$C$2:$C$3520,$A76,Sales_Data!$F$2:$F$3520,B$7,Sales_Data!$AE$2:$AE$3520,1),SUMIFS(Sales_Data!$AE$2:$AE$3520,Sales_Data!$C$2:$C$3520,$A76,Sales_Data!$F$2:$F$3520,B$7)))</f>
        <v>0</v>
      </c>
      <c r="C76" s="26" t="n">
        <f aca="false">IF(C$7="","",CHOOSE(MATCH($B$4,Lists!$C$2:$C$5,0),SUMIFS(Sales_Data!$O$2:$O$3520,Sales_Data!$C$2:$C$3520,$A76,Sales_Data!$F$2:$F$3520,C$7,Sales_Data!$AE$2:$AE$3520,1),SUMIFS(Sales_Data!$M$2:$M$3520,Sales_Data!$C$2:$C$3520,$A76,Sales_Data!$F$2:$F$3520,C$7,Sales_Data!$AE$2:$AE$3520,1),SUMIFS(Sales_Data!$N$2:$N$3520,Sales_Data!$C$2:$C$3520,$A76,Sales_Data!$F$2:$F$3520,C$7,Sales_Data!$AE$2:$AE$3520,1),SUMIFS(Sales_Data!$AE$2:$AE$3520,Sales_Data!$C$2:$C$3520,$A76,Sales_Data!$F$2:$F$3520,C$7)))</f>
        <v>0</v>
      </c>
      <c r="D76" s="26" t="n">
        <f aca="false">IF(D$7="","",CHOOSE(MATCH($B$4,Lists!$C$2:$C$5,0),SUMIFS(Sales_Data!$O$2:$O$3520,Sales_Data!$C$2:$C$3520,$A76,Sales_Data!$F$2:$F$3520,D$7,Sales_Data!$AE$2:$AE$3520,1),SUMIFS(Sales_Data!$M$2:$M$3520,Sales_Data!$C$2:$C$3520,$A76,Sales_Data!$F$2:$F$3520,D$7,Sales_Data!$AE$2:$AE$3520,1),SUMIFS(Sales_Data!$N$2:$N$3520,Sales_Data!$C$2:$C$3520,$A76,Sales_Data!$F$2:$F$3520,D$7,Sales_Data!$AE$2:$AE$3520,1),SUMIFS(Sales_Data!$AE$2:$AE$3520,Sales_Data!$C$2:$C$3520,$A76,Sales_Data!$F$2:$F$3520,D$7)))</f>
        <v>0</v>
      </c>
      <c r="E76" s="26" t="n">
        <f aca="false">IF(E$7="","",CHOOSE(MATCH($B$4,Lists!$C$2:$C$5,0),SUMIFS(Sales_Data!$O$2:$O$3520,Sales_Data!$C$2:$C$3520,$A76,Sales_Data!$F$2:$F$3520,E$7,Sales_Data!$AE$2:$AE$3520,1),SUMIFS(Sales_Data!$M$2:$M$3520,Sales_Data!$C$2:$C$3520,$A76,Sales_Data!$F$2:$F$3520,E$7,Sales_Data!$AE$2:$AE$3520,1),SUMIFS(Sales_Data!$N$2:$N$3520,Sales_Data!$C$2:$C$3520,$A76,Sales_Data!$F$2:$F$3520,E$7,Sales_Data!$AE$2:$AE$3520,1),SUMIFS(Sales_Data!$AE$2:$AE$3520,Sales_Data!$C$2:$C$3520,$A76,Sales_Data!$F$2:$F$3520,E$7)))</f>
        <v>0</v>
      </c>
      <c r="F76" s="26" t="n">
        <f aca="false">IF(F$7="","",CHOOSE(MATCH($B$4,Lists!$C$2:$C$5,0),SUMIFS(Sales_Data!$O$2:$O$3520,Sales_Data!$C$2:$C$3520,$A76,Sales_Data!$F$2:$F$3520,F$7,Sales_Data!$AE$2:$AE$3520,1),SUMIFS(Sales_Data!$M$2:$M$3520,Sales_Data!$C$2:$C$3520,$A76,Sales_Data!$F$2:$F$3520,F$7,Sales_Data!$AE$2:$AE$3520,1),SUMIFS(Sales_Data!$N$2:$N$3520,Sales_Data!$C$2:$C$3520,$A76,Sales_Data!$F$2:$F$3520,F$7,Sales_Data!$AE$2:$AE$3520,1),SUMIFS(Sales_Data!$AE$2:$AE$3520,Sales_Data!$C$2:$C$3520,$A76,Sales_Data!$F$2:$F$3520,F$7)))</f>
        <v>0</v>
      </c>
      <c r="G76" s="26" t="n">
        <f aca="false">IF(G$7="","",CHOOSE(MATCH($B$4,Lists!$C$2:$C$5,0),SUMIFS(Sales_Data!$O$2:$O$3520,Sales_Data!$C$2:$C$3520,$A76,Sales_Data!$F$2:$F$3520,G$7,Sales_Data!$AE$2:$AE$3520,1),SUMIFS(Sales_Data!$M$2:$M$3520,Sales_Data!$C$2:$C$3520,$A76,Sales_Data!$F$2:$F$3520,G$7,Sales_Data!$AE$2:$AE$3520,1),SUMIFS(Sales_Data!$N$2:$N$3520,Sales_Data!$C$2:$C$3520,$A76,Sales_Data!$F$2:$F$3520,G$7,Sales_Data!$AE$2:$AE$3520,1),SUMIFS(Sales_Data!$AE$2:$AE$3520,Sales_Data!$C$2:$C$3520,$A76,Sales_Data!$F$2:$F$3520,G$7)))</f>
        <v>2</v>
      </c>
      <c r="H76" s="26" t="n">
        <f aca="false">IF(H$7="","",CHOOSE(MATCH($B$4,Lists!$C$2:$C$5,0),SUMIFS(Sales_Data!$O$2:$O$3520,Sales_Data!$C$2:$C$3520,$A76,Sales_Data!$F$2:$F$3520,H$7,Sales_Data!$AE$2:$AE$3520,1),SUMIFS(Sales_Data!$M$2:$M$3520,Sales_Data!$C$2:$C$3520,$A76,Sales_Data!$F$2:$F$3520,H$7,Sales_Data!$AE$2:$AE$3520,1),SUMIFS(Sales_Data!$N$2:$N$3520,Sales_Data!$C$2:$C$3520,$A76,Sales_Data!$F$2:$F$3520,H$7,Sales_Data!$AE$2:$AE$3520,1),SUMIFS(Sales_Data!$AE$2:$AE$3520,Sales_Data!$C$2:$C$3520,$A76,Sales_Data!$F$2:$F$3520,H$7)))</f>
        <v>0</v>
      </c>
      <c r="I76" s="26" t="n">
        <f aca="false">IF(I$7="","",CHOOSE(MATCH($B$4,Lists!$C$2:$C$5,0),SUMIFS(Sales_Data!$O$2:$O$3520,Sales_Data!$C$2:$C$3520,$A76,Sales_Data!$F$2:$F$3520,I$7,Sales_Data!$AE$2:$AE$3520,1),SUMIFS(Sales_Data!$M$2:$M$3520,Sales_Data!$C$2:$C$3520,$A76,Sales_Data!$F$2:$F$3520,I$7,Sales_Data!$AE$2:$AE$3520,1),SUMIFS(Sales_Data!$N$2:$N$3520,Sales_Data!$C$2:$C$3520,$A76,Sales_Data!$F$2:$F$3520,I$7,Sales_Data!$AE$2:$AE$3520,1),SUMIFS(Sales_Data!$AE$2:$AE$3520,Sales_Data!$C$2:$C$3520,$A76,Sales_Data!$F$2:$F$3520,I$7)))</f>
        <v>0</v>
      </c>
      <c r="J76" s="26" t="n">
        <f aca="false">IF(J$7="","",CHOOSE(MATCH($B$4,Lists!$C$2:$C$5,0),SUMIFS(Sales_Data!$O$2:$O$3520,Sales_Data!$C$2:$C$3520,$A76,Sales_Data!$F$2:$F$3520,J$7,Sales_Data!$AE$2:$AE$3520,1),SUMIFS(Sales_Data!$M$2:$M$3520,Sales_Data!$C$2:$C$3520,$A76,Sales_Data!$F$2:$F$3520,J$7,Sales_Data!$AE$2:$AE$3520,1),SUMIFS(Sales_Data!$N$2:$N$3520,Sales_Data!$C$2:$C$3520,$A76,Sales_Data!$F$2:$F$3520,J$7,Sales_Data!$AE$2:$AE$3520,1),SUMIFS(Sales_Data!$AE$2:$AE$3520,Sales_Data!$C$2:$C$3520,$A76,Sales_Data!$F$2:$F$3520,J$7)))</f>
        <v>0</v>
      </c>
      <c r="K76" s="26" t="n">
        <f aca="false">IF(K$7="","",CHOOSE(MATCH($B$4,Lists!$C$2:$C$5,0),SUMIFS(Sales_Data!$O$2:$O$3520,Sales_Data!$C$2:$C$3520,$A76,Sales_Data!$F$2:$F$3520,K$7,Sales_Data!$AE$2:$AE$3520,1),SUMIFS(Sales_Data!$M$2:$M$3520,Sales_Data!$C$2:$C$3520,$A76,Sales_Data!$F$2:$F$3520,K$7,Sales_Data!$AE$2:$AE$3520,1),SUMIFS(Sales_Data!$N$2:$N$3520,Sales_Data!$C$2:$C$3520,$A76,Sales_Data!$F$2:$F$3520,K$7,Sales_Data!$AE$2:$AE$3520,1),SUMIFS(Sales_Data!$AE$2:$AE$3520,Sales_Data!$C$2:$C$3520,$A76,Sales_Data!$F$2:$F$3520,K$7)))</f>
        <v>0</v>
      </c>
      <c r="L76" s="26" t="n">
        <f aca="false">IF(L$7="","",CHOOSE(MATCH($B$4,Lists!$C$2:$C$5,0),SUMIFS(Sales_Data!$O$2:$O$3520,Sales_Data!$C$2:$C$3520,$A76,Sales_Data!$F$2:$F$3520,L$7,Sales_Data!$AE$2:$AE$3520,1),SUMIFS(Sales_Data!$M$2:$M$3520,Sales_Data!$C$2:$C$3520,$A76,Sales_Data!$F$2:$F$3520,L$7,Sales_Data!$AE$2:$AE$3520,1),SUMIFS(Sales_Data!$N$2:$N$3520,Sales_Data!$C$2:$C$3520,$A76,Sales_Data!$F$2:$F$3520,L$7,Sales_Data!$AE$2:$AE$3520,1),SUMIFS(Sales_Data!$AE$2:$AE$3520,Sales_Data!$C$2:$C$3520,$A76,Sales_Data!$F$2:$F$3520,L$7)))</f>
        <v>0</v>
      </c>
      <c r="M76" s="26" t="n">
        <f aca="false">IF(M$7="","",CHOOSE(MATCH($B$4,Lists!$C$2:$C$5,0),SUMIFS(Sales_Data!$O$2:$O$3520,Sales_Data!$C$2:$C$3520,$A76,Sales_Data!$F$2:$F$3520,M$7,Sales_Data!$AE$2:$AE$3520,1),SUMIFS(Sales_Data!$M$2:$M$3520,Sales_Data!$C$2:$C$3520,$A76,Sales_Data!$F$2:$F$3520,M$7,Sales_Data!$AE$2:$AE$3520,1),SUMIFS(Sales_Data!$N$2:$N$3520,Sales_Data!$C$2:$C$3520,$A76,Sales_Data!$F$2:$F$3520,M$7,Sales_Data!$AE$2:$AE$3520,1),SUMIFS(Sales_Data!$AE$2:$AE$3520,Sales_Data!$C$2:$C$3520,$A76,Sales_Data!$F$2:$F$3520,M$7)))</f>
        <v>0</v>
      </c>
      <c r="N76" s="26" t="n">
        <f aca="false">IF(N$7="","",CHOOSE(MATCH($B$4,Lists!$C$2:$C$5,0),SUMIFS(Sales_Data!$O$2:$O$3520,Sales_Data!$C$2:$C$3520,$A76,Sales_Data!$F$2:$F$3520,N$7,Sales_Data!$AE$2:$AE$3520,1),SUMIFS(Sales_Data!$M$2:$M$3520,Sales_Data!$C$2:$C$3520,$A76,Sales_Data!$F$2:$F$3520,N$7,Sales_Data!$AE$2:$AE$3520,1),SUMIFS(Sales_Data!$N$2:$N$3520,Sales_Data!$C$2:$C$3520,$A76,Sales_Data!$F$2:$F$3520,N$7,Sales_Data!$AE$2:$AE$3520,1),SUMIFS(Sales_Data!$AE$2:$AE$3520,Sales_Data!$C$2:$C$3520,$A76,Sales_Data!$F$2:$F$3520,N$7)))</f>
        <v>0</v>
      </c>
      <c r="O76" s="26" t="n">
        <f aca="false">IF(O$7="","",CHOOSE(MATCH($B$4,Lists!$C$2:$C$5,0),SUMIFS(Sales_Data!$O$2:$O$3520,Sales_Data!$C$2:$C$3520,$A76,Sales_Data!$F$2:$F$3520,O$7,Sales_Data!$AE$2:$AE$3520,1),SUMIFS(Sales_Data!$M$2:$M$3520,Sales_Data!$C$2:$C$3520,$A76,Sales_Data!$F$2:$F$3520,O$7,Sales_Data!$AE$2:$AE$3520,1),SUMIFS(Sales_Data!$N$2:$N$3520,Sales_Data!$C$2:$C$3520,$A76,Sales_Data!$F$2:$F$3520,O$7,Sales_Data!$AE$2:$AE$3520,1),SUMIFS(Sales_Data!$AE$2:$AE$3520,Sales_Data!$C$2:$C$3520,$A76,Sales_Data!$F$2:$F$3520,O$7)))</f>
        <v>0</v>
      </c>
      <c r="P76" s="26" t="n">
        <f aca="false">IF(P$7="","",CHOOSE(MATCH($B$4,Lists!$C$2:$C$5,0),SUMIFS(Sales_Data!$O$2:$O$3520,Sales_Data!$C$2:$C$3520,$A76,Sales_Data!$F$2:$F$3520,P$7,Sales_Data!$AE$2:$AE$3520,1),SUMIFS(Sales_Data!$M$2:$M$3520,Sales_Data!$C$2:$C$3520,$A76,Sales_Data!$F$2:$F$3520,P$7,Sales_Data!$AE$2:$AE$3520,1),SUMIFS(Sales_Data!$N$2:$N$3520,Sales_Data!$C$2:$C$3520,$A76,Sales_Data!$F$2:$F$3520,P$7,Sales_Data!$AE$2:$AE$3520,1),SUMIFS(Sales_Data!$AE$2:$AE$3520,Sales_Data!$C$2:$C$3520,$A76,Sales_Data!$F$2:$F$3520,P$7)))</f>
        <v>0</v>
      </c>
      <c r="Q76" s="26" t="n">
        <f aca="false">IF(Q$7="","",CHOOSE(MATCH($B$4,Lists!$C$2:$C$5,0),SUMIFS(Sales_Data!$O$2:$O$3520,Sales_Data!$C$2:$C$3520,$A76,Sales_Data!$F$2:$F$3520,Q$7,Sales_Data!$AE$2:$AE$3520,1),SUMIFS(Sales_Data!$M$2:$M$3520,Sales_Data!$C$2:$C$3520,$A76,Sales_Data!$F$2:$F$3520,Q$7,Sales_Data!$AE$2:$AE$3520,1),SUMIFS(Sales_Data!$N$2:$N$3520,Sales_Data!$C$2:$C$3520,$A76,Sales_Data!$F$2:$F$3520,Q$7,Sales_Data!$AE$2:$AE$3520,1),SUMIFS(Sales_Data!$AE$2:$AE$3520,Sales_Data!$C$2:$C$3520,$A76,Sales_Data!$F$2:$F$3520,Q$7)))</f>
        <v>0</v>
      </c>
      <c r="R76" s="26" t="n">
        <f aca="false">IF(R$7="","",CHOOSE(MATCH($B$4,Lists!$C$2:$C$5,0),SUMIFS(Sales_Data!$O$2:$O$3520,Sales_Data!$C$2:$C$3520,$A76,Sales_Data!$F$2:$F$3520,R$7,Sales_Data!$AE$2:$AE$3520,1),SUMIFS(Sales_Data!$M$2:$M$3520,Sales_Data!$C$2:$C$3520,$A76,Sales_Data!$F$2:$F$3520,R$7,Sales_Data!$AE$2:$AE$3520,1),SUMIFS(Sales_Data!$N$2:$N$3520,Sales_Data!$C$2:$C$3520,$A76,Sales_Data!$F$2:$F$3520,R$7,Sales_Data!$AE$2:$AE$3520,1),SUMIFS(Sales_Data!$AE$2:$AE$3520,Sales_Data!$C$2:$C$3520,$A76,Sales_Data!$F$2:$F$3520,R$7)))</f>
        <v>0</v>
      </c>
      <c r="S76" s="26" t="n">
        <f aca="false">IF(S$7="","",CHOOSE(MATCH($B$4,Lists!$C$2:$C$5,0),SUMIFS(Sales_Data!$O$2:$O$3520,Sales_Data!$C$2:$C$3520,$A76,Sales_Data!$F$2:$F$3520,S$7,Sales_Data!$AE$2:$AE$3520,1),SUMIFS(Sales_Data!$M$2:$M$3520,Sales_Data!$C$2:$C$3520,$A76,Sales_Data!$F$2:$F$3520,S$7,Sales_Data!$AE$2:$AE$3520,1),SUMIFS(Sales_Data!$N$2:$N$3520,Sales_Data!$C$2:$C$3520,$A76,Sales_Data!$F$2:$F$3520,S$7,Sales_Data!$AE$2:$AE$3520,1),SUMIFS(Sales_Data!$AE$2:$AE$3520,Sales_Data!$C$2:$C$3520,$A76,Sales_Data!$F$2:$F$3520,S$7)))</f>
        <v>0</v>
      </c>
      <c r="T76" s="26" t="str">
        <f aca="false">IF(T$7="","",CHOOSE(MATCH($B$4,Lists!$C$2:$C$5,0),SUMIFS(Sales_Data!$O$2:$O$3520,Sales_Data!$C$2:$C$3520,$A76,Sales_Data!$F$2:$F$3520,T$7,Sales_Data!$AE$2:$AE$3520,1),SUMIFS(Sales_Data!$M$2:$M$3520,Sales_Data!$C$2:$C$3520,$A76,Sales_Data!$F$2:$F$3520,T$7,Sales_Data!$AE$2:$AE$3520,1),SUMIFS(Sales_Data!$N$2:$N$3520,Sales_Data!$C$2:$C$3520,$A76,Sales_Data!$F$2:$F$3520,T$7,Sales_Data!$AE$2:$AE$3520,1),SUMIFS(Sales_Data!$AE$2:$AE$3520,Sales_Data!$C$2:$C$3520,$A76,Sales_Data!$F$2:$F$3520,T$7)))</f>
        <v/>
      </c>
      <c r="U76" s="26" t="str">
        <f aca="false">IF(U$7="","",CHOOSE(MATCH($B$4,Lists!$C$2:$C$5,0),SUMIFS(Sales_Data!$O$2:$O$3520,Sales_Data!$C$2:$C$3520,$A76,Sales_Data!$F$2:$F$3520,U$7,Sales_Data!$AE$2:$AE$3520,1),SUMIFS(Sales_Data!$M$2:$M$3520,Sales_Data!$C$2:$C$3520,$A76,Sales_Data!$F$2:$F$3520,U$7,Sales_Data!$AE$2:$AE$3520,1),SUMIFS(Sales_Data!$N$2:$N$3520,Sales_Data!$C$2:$C$3520,$A76,Sales_Data!$F$2:$F$3520,U$7,Sales_Data!$AE$2:$AE$3520,1),SUMIFS(Sales_Data!$AE$2:$AE$3520,Sales_Data!$C$2:$C$3520,$A76,Sales_Data!$F$2:$F$3520,U$7)))</f>
        <v/>
      </c>
      <c r="V76" s="26" t="str">
        <f aca="false">IF(V$7="","",CHOOSE(MATCH($B$4,Lists!$C$2:$C$5,0),SUMIFS(Sales_Data!$O$2:$O$3520,Sales_Data!$C$2:$C$3520,$A76,Sales_Data!$F$2:$F$3520,V$7,Sales_Data!$AE$2:$AE$3520,1),SUMIFS(Sales_Data!$M$2:$M$3520,Sales_Data!$C$2:$C$3520,$A76,Sales_Data!$F$2:$F$3520,V$7,Sales_Data!$AE$2:$AE$3520,1),SUMIFS(Sales_Data!$N$2:$N$3520,Sales_Data!$C$2:$C$3520,$A76,Sales_Data!$F$2:$F$3520,V$7,Sales_Data!$AE$2:$AE$3520,1),SUMIFS(Sales_Data!$AE$2:$AE$3520,Sales_Data!$C$2:$C$3520,$A76,Sales_Data!$F$2:$F$3520,V$7)))</f>
        <v/>
      </c>
      <c r="W76" s="26" t="str">
        <f aca="false">IF(W$7="","",CHOOSE(MATCH($B$4,Lists!$C$2:$C$5,0),SUMIFS(Sales_Data!$O$2:$O$3520,Sales_Data!$C$2:$C$3520,$A76,Sales_Data!$F$2:$F$3520,W$7,Sales_Data!$AE$2:$AE$3520,1),SUMIFS(Sales_Data!$M$2:$M$3520,Sales_Data!$C$2:$C$3520,$A76,Sales_Data!$F$2:$F$3520,W$7,Sales_Data!$AE$2:$AE$3520,1),SUMIFS(Sales_Data!$N$2:$N$3520,Sales_Data!$C$2:$C$3520,$A76,Sales_Data!$F$2:$F$3520,W$7,Sales_Data!$AE$2:$AE$3520,1),SUMIFS(Sales_Data!$AE$2:$AE$3520,Sales_Data!$C$2:$C$3520,$A76,Sales_Data!$F$2:$F$3520,W$7)))</f>
        <v/>
      </c>
      <c r="X76" s="26" t="str">
        <f aca="false">IF(X$7="","",CHOOSE(MATCH($B$4,Lists!$C$2:$C$5,0),SUMIFS(Sales_Data!$O$2:$O$3520,Sales_Data!$C$2:$C$3520,$A76,Sales_Data!$F$2:$F$3520,X$7,Sales_Data!$AE$2:$AE$3520,1),SUMIFS(Sales_Data!$M$2:$M$3520,Sales_Data!$C$2:$C$3520,$A76,Sales_Data!$F$2:$F$3520,X$7,Sales_Data!$AE$2:$AE$3520,1),SUMIFS(Sales_Data!$N$2:$N$3520,Sales_Data!$C$2:$C$3520,$A76,Sales_Data!$F$2:$F$3520,X$7,Sales_Data!$AE$2:$AE$3520,1),SUMIFS(Sales_Data!$AE$2:$AE$3520,Sales_Data!$C$2:$C$3520,$A76,Sales_Data!$F$2:$F$3520,X$7)))</f>
        <v/>
      </c>
      <c r="Y76" s="26" t="str">
        <f aca="false">IF(Y$7="","",CHOOSE(MATCH($B$4,Lists!$C$2:$C$5,0),SUMIFS(Sales_Data!$O$2:$O$3520,Sales_Data!$C$2:$C$3520,$A76,Sales_Data!$F$2:$F$3520,Y$7,Sales_Data!$AE$2:$AE$3520,1),SUMIFS(Sales_Data!$M$2:$M$3520,Sales_Data!$C$2:$C$3520,$A76,Sales_Data!$F$2:$F$3520,Y$7,Sales_Data!$AE$2:$AE$3520,1),SUMIFS(Sales_Data!$N$2:$N$3520,Sales_Data!$C$2:$C$3520,$A76,Sales_Data!$F$2:$F$3520,Y$7,Sales_Data!$AE$2:$AE$3520,1),SUMIFS(Sales_Data!$AE$2:$AE$3520,Sales_Data!$C$2:$C$3520,$A76,Sales_Data!$F$2:$F$3520,Y$7)))</f>
        <v/>
      </c>
      <c r="Z76" s="26" t="str">
        <f aca="false">IF(Z$7="","",CHOOSE(MATCH($B$4,Lists!$C$2:$C$5,0),SUMIFS(Sales_Data!$O$2:$O$3520,Sales_Data!$C$2:$C$3520,$A76,Sales_Data!$F$2:$F$3520,Z$7,Sales_Data!$AE$2:$AE$3520,1),SUMIFS(Sales_Data!$M$2:$M$3520,Sales_Data!$C$2:$C$3520,$A76,Sales_Data!$F$2:$F$3520,Z$7,Sales_Data!$AE$2:$AE$3520,1),SUMIFS(Sales_Data!$N$2:$N$3520,Sales_Data!$C$2:$C$3520,$A76,Sales_Data!$F$2:$F$3520,Z$7,Sales_Data!$AE$2:$AE$3520,1),SUMIFS(Sales_Data!$AE$2:$AE$3520,Sales_Data!$C$2:$C$3520,$A76,Sales_Data!$F$2:$F$3520,Z$7)))</f>
        <v/>
      </c>
      <c r="AA76" s="27" t="n">
        <f aca="false">SUM(B76:Z76)</f>
        <v>2</v>
      </c>
      <c r="AB76" s="3"/>
      <c r="AC76" s="72" t="n">
        <f aca="false">A76</f>
        <v>46283</v>
      </c>
      <c r="AD76" s="28" t="n">
        <f aca="false">IF(B76="","",B76-B75)</f>
        <v>0</v>
      </c>
      <c r="AE76" s="28" t="n">
        <f aca="false">IF(C76="","",C76-C75)</f>
        <v>0</v>
      </c>
      <c r="AF76" s="28" t="n">
        <f aca="false">IF(D76="","",D76-D75)</f>
        <v>0</v>
      </c>
      <c r="AG76" s="28" t="n">
        <f aca="false">IF(E76="","",E76-E75)</f>
        <v>0</v>
      </c>
      <c r="AH76" s="28" t="n">
        <f aca="false">IF(F76="","",F76-F75)</f>
        <v>0</v>
      </c>
      <c r="AI76" s="28" t="n">
        <f aca="false">IF(G76="","",G76-G75)</f>
        <v>1</v>
      </c>
      <c r="AJ76" s="28" t="n">
        <f aca="false">IF(H76="","",H76-H75)</f>
        <v>0</v>
      </c>
      <c r="AK76" s="28" t="n">
        <f aca="false">IF(I76="","",I76-I75)</f>
        <v>0</v>
      </c>
      <c r="AL76" s="28" t="n">
        <f aca="false">IF(J76="","",J76-J75)</f>
        <v>0</v>
      </c>
      <c r="AM76" s="28" t="n">
        <f aca="false">IF(K76="","",K76-K75)</f>
        <v>0</v>
      </c>
      <c r="AN76" s="28" t="n">
        <f aca="false">IF(L76="","",L76-L75)</f>
        <v>0</v>
      </c>
      <c r="AO76" s="28" t="n">
        <f aca="false">IF(M76="","",M76-M75)</f>
        <v>0</v>
      </c>
      <c r="AP76" s="28" t="n">
        <f aca="false">IF(N76="","",N76-N75)</f>
        <v>0</v>
      </c>
      <c r="AQ76" s="28" t="n">
        <f aca="false">IF(O76="","",O76-O75)</f>
        <v>0</v>
      </c>
      <c r="AR76" s="28" t="n">
        <f aca="false">IF(P76="","",P76-P75)</f>
        <v>0</v>
      </c>
      <c r="AS76" s="28" t="n">
        <f aca="false">IF(Q76="","",Q76-Q75)</f>
        <v>0</v>
      </c>
      <c r="AT76" s="28" t="n">
        <f aca="false">IF(R76="","",R76-R75)</f>
        <v>0</v>
      </c>
      <c r="AU76" s="28" t="n">
        <f aca="false">IF(S76="","",S76-S75)</f>
        <v>0</v>
      </c>
      <c r="AV76" s="28" t="str">
        <f aca="false">IF(T76="","",T76-T75)</f>
        <v/>
      </c>
      <c r="AW76" s="28" t="str">
        <f aca="false">IF(U76="","",U76-U75)</f>
        <v/>
      </c>
      <c r="AX76" s="28" t="str">
        <f aca="false">IF(V76="","",V76-V75)</f>
        <v/>
      </c>
      <c r="AY76" s="28" t="str">
        <f aca="false">IF(W76="","",W76-W75)</f>
        <v/>
      </c>
      <c r="AZ76" s="28" t="str">
        <f aca="false">IF(X76="","",X76-X75)</f>
        <v/>
      </c>
      <c r="BA76" s="28" t="str">
        <f aca="false">IF(Y76="","",Y76-Y75)</f>
        <v/>
      </c>
      <c r="BB76" s="28" t="str">
        <f aca="false">IF(Z76="","",Z76-Z75)</f>
        <v/>
      </c>
      <c r="BC76" s="28" t="n">
        <f aca="false">IF(AA76="","",AA76-AA75)</f>
        <v>1</v>
      </c>
    </row>
    <row r="77" customFormat="false" ht="15" hidden="false" customHeight="false" outlineLevel="0" collapsed="false">
      <c r="A77" s="72" t="n">
        <v>46284</v>
      </c>
      <c r="B77" s="26" t="n">
        <f aca="false">IF(B$7="","",CHOOSE(MATCH($B$4,Lists!$C$2:$C$5,0),SUMIFS(Sales_Data!$O$2:$O$3520,Sales_Data!$C$2:$C$3520,$A77,Sales_Data!$F$2:$F$3520,B$7,Sales_Data!$AE$2:$AE$3520,1),SUMIFS(Sales_Data!$M$2:$M$3520,Sales_Data!$C$2:$C$3520,$A77,Sales_Data!$F$2:$F$3520,B$7,Sales_Data!$AE$2:$AE$3520,1),SUMIFS(Sales_Data!$N$2:$N$3520,Sales_Data!$C$2:$C$3520,$A77,Sales_Data!$F$2:$F$3520,B$7,Sales_Data!$AE$2:$AE$3520,1),SUMIFS(Sales_Data!$AE$2:$AE$3520,Sales_Data!$C$2:$C$3520,$A77,Sales_Data!$F$2:$F$3520,B$7)))</f>
        <v>0</v>
      </c>
      <c r="C77" s="26" t="n">
        <f aca="false">IF(C$7="","",CHOOSE(MATCH($B$4,Lists!$C$2:$C$5,0),SUMIFS(Sales_Data!$O$2:$O$3520,Sales_Data!$C$2:$C$3520,$A77,Sales_Data!$F$2:$F$3520,C$7,Sales_Data!$AE$2:$AE$3520,1),SUMIFS(Sales_Data!$M$2:$M$3520,Sales_Data!$C$2:$C$3520,$A77,Sales_Data!$F$2:$F$3520,C$7,Sales_Data!$AE$2:$AE$3520,1),SUMIFS(Sales_Data!$N$2:$N$3520,Sales_Data!$C$2:$C$3520,$A77,Sales_Data!$F$2:$F$3520,C$7,Sales_Data!$AE$2:$AE$3520,1),SUMIFS(Sales_Data!$AE$2:$AE$3520,Sales_Data!$C$2:$C$3520,$A77,Sales_Data!$F$2:$F$3520,C$7)))</f>
        <v>0</v>
      </c>
      <c r="D77" s="26" t="n">
        <f aca="false">IF(D$7="","",CHOOSE(MATCH($B$4,Lists!$C$2:$C$5,0),SUMIFS(Sales_Data!$O$2:$O$3520,Sales_Data!$C$2:$C$3520,$A77,Sales_Data!$F$2:$F$3520,D$7,Sales_Data!$AE$2:$AE$3520,1),SUMIFS(Sales_Data!$M$2:$M$3520,Sales_Data!$C$2:$C$3520,$A77,Sales_Data!$F$2:$F$3520,D$7,Sales_Data!$AE$2:$AE$3520,1),SUMIFS(Sales_Data!$N$2:$N$3520,Sales_Data!$C$2:$C$3520,$A77,Sales_Data!$F$2:$F$3520,D$7,Sales_Data!$AE$2:$AE$3520,1),SUMIFS(Sales_Data!$AE$2:$AE$3520,Sales_Data!$C$2:$C$3520,$A77,Sales_Data!$F$2:$F$3520,D$7)))</f>
        <v>0</v>
      </c>
      <c r="E77" s="26" t="n">
        <f aca="false">IF(E$7="","",CHOOSE(MATCH($B$4,Lists!$C$2:$C$5,0),SUMIFS(Sales_Data!$O$2:$O$3520,Sales_Data!$C$2:$C$3520,$A77,Sales_Data!$F$2:$F$3520,E$7,Sales_Data!$AE$2:$AE$3520,1),SUMIFS(Sales_Data!$M$2:$M$3520,Sales_Data!$C$2:$C$3520,$A77,Sales_Data!$F$2:$F$3520,E$7,Sales_Data!$AE$2:$AE$3520,1),SUMIFS(Sales_Data!$N$2:$N$3520,Sales_Data!$C$2:$C$3520,$A77,Sales_Data!$F$2:$F$3520,E$7,Sales_Data!$AE$2:$AE$3520,1),SUMIFS(Sales_Data!$AE$2:$AE$3520,Sales_Data!$C$2:$C$3520,$A77,Sales_Data!$F$2:$F$3520,E$7)))</f>
        <v>0</v>
      </c>
      <c r="F77" s="26" t="n">
        <f aca="false">IF(F$7="","",CHOOSE(MATCH($B$4,Lists!$C$2:$C$5,0),SUMIFS(Sales_Data!$O$2:$O$3520,Sales_Data!$C$2:$C$3520,$A77,Sales_Data!$F$2:$F$3520,F$7,Sales_Data!$AE$2:$AE$3520,1),SUMIFS(Sales_Data!$M$2:$M$3520,Sales_Data!$C$2:$C$3520,$A77,Sales_Data!$F$2:$F$3520,F$7,Sales_Data!$AE$2:$AE$3520,1),SUMIFS(Sales_Data!$N$2:$N$3520,Sales_Data!$C$2:$C$3520,$A77,Sales_Data!$F$2:$F$3520,F$7,Sales_Data!$AE$2:$AE$3520,1),SUMIFS(Sales_Data!$AE$2:$AE$3520,Sales_Data!$C$2:$C$3520,$A77,Sales_Data!$F$2:$F$3520,F$7)))</f>
        <v>0</v>
      </c>
      <c r="G77" s="26" t="n">
        <f aca="false">IF(G$7="","",CHOOSE(MATCH($B$4,Lists!$C$2:$C$5,0),SUMIFS(Sales_Data!$O$2:$O$3520,Sales_Data!$C$2:$C$3520,$A77,Sales_Data!$F$2:$F$3520,G$7,Sales_Data!$AE$2:$AE$3520,1),SUMIFS(Sales_Data!$M$2:$M$3520,Sales_Data!$C$2:$C$3520,$A77,Sales_Data!$F$2:$F$3520,G$7,Sales_Data!$AE$2:$AE$3520,1),SUMIFS(Sales_Data!$N$2:$N$3520,Sales_Data!$C$2:$C$3520,$A77,Sales_Data!$F$2:$F$3520,G$7,Sales_Data!$AE$2:$AE$3520,1),SUMIFS(Sales_Data!$AE$2:$AE$3520,Sales_Data!$C$2:$C$3520,$A77,Sales_Data!$F$2:$F$3520,G$7)))</f>
        <v>1</v>
      </c>
      <c r="H77" s="26" t="n">
        <f aca="false">IF(H$7="","",CHOOSE(MATCH($B$4,Lists!$C$2:$C$5,0),SUMIFS(Sales_Data!$O$2:$O$3520,Sales_Data!$C$2:$C$3520,$A77,Sales_Data!$F$2:$F$3520,H$7,Sales_Data!$AE$2:$AE$3520,1),SUMIFS(Sales_Data!$M$2:$M$3520,Sales_Data!$C$2:$C$3520,$A77,Sales_Data!$F$2:$F$3520,H$7,Sales_Data!$AE$2:$AE$3520,1),SUMIFS(Sales_Data!$N$2:$N$3520,Sales_Data!$C$2:$C$3520,$A77,Sales_Data!$F$2:$F$3520,H$7,Sales_Data!$AE$2:$AE$3520,1),SUMIFS(Sales_Data!$AE$2:$AE$3520,Sales_Data!$C$2:$C$3520,$A77,Sales_Data!$F$2:$F$3520,H$7)))</f>
        <v>0</v>
      </c>
      <c r="I77" s="26" t="n">
        <f aca="false">IF(I$7="","",CHOOSE(MATCH($B$4,Lists!$C$2:$C$5,0),SUMIFS(Sales_Data!$O$2:$O$3520,Sales_Data!$C$2:$C$3520,$A77,Sales_Data!$F$2:$F$3520,I$7,Sales_Data!$AE$2:$AE$3520,1),SUMIFS(Sales_Data!$M$2:$M$3520,Sales_Data!$C$2:$C$3520,$A77,Sales_Data!$F$2:$F$3520,I$7,Sales_Data!$AE$2:$AE$3520,1),SUMIFS(Sales_Data!$N$2:$N$3520,Sales_Data!$C$2:$C$3520,$A77,Sales_Data!$F$2:$F$3520,I$7,Sales_Data!$AE$2:$AE$3520,1),SUMIFS(Sales_Data!$AE$2:$AE$3520,Sales_Data!$C$2:$C$3520,$A77,Sales_Data!$F$2:$F$3520,I$7)))</f>
        <v>0</v>
      </c>
      <c r="J77" s="26" t="n">
        <f aca="false">IF(J$7="","",CHOOSE(MATCH($B$4,Lists!$C$2:$C$5,0),SUMIFS(Sales_Data!$O$2:$O$3520,Sales_Data!$C$2:$C$3520,$A77,Sales_Data!$F$2:$F$3520,J$7,Sales_Data!$AE$2:$AE$3520,1),SUMIFS(Sales_Data!$M$2:$M$3520,Sales_Data!$C$2:$C$3520,$A77,Sales_Data!$F$2:$F$3520,J$7,Sales_Data!$AE$2:$AE$3520,1),SUMIFS(Sales_Data!$N$2:$N$3520,Sales_Data!$C$2:$C$3520,$A77,Sales_Data!$F$2:$F$3520,J$7,Sales_Data!$AE$2:$AE$3520,1),SUMIFS(Sales_Data!$AE$2:$AE$3520,Sales_Data!$C$2:$C$3520,$A77,Sales_Data!$F$2:$F$3520,J$7)))</f>
        <v>0</v>
      </c>
      <c r="K77" s="26" t="n">
        <f aca="false">IF(K$7="","",CHOOSE(MATCH($B$4,Lists!$C$2:$C$5,0),SUMIFS(Sales_Data!$O$2:$O$3520,Sales_Data!$C$2:$C$3520,$A77,Sales_Data!$F$2:$F$3520,K$7,Sales_Data!$AE$2:$AE$3520,1),SUMIFS(Sales_Data!$M$2:$M$3520,Sales_Data!$C$2:$C$3520,$A77,Sales_Data!$F$2:$F$3520,K$7,Sales_Data!$AE$2:$AE$3520,1),SUMIFS(Sales_Data!$N$2:$N$3520,Sales_Data!$C$2:$C$3520,$A77,Sales_Data!$F$2:$F$3520,K$7,Sales_Data!$AE$2:$AE$3520,1),SUMIFS(Sales_Data!$AE$2:$AE$3520,Sales_Data!$C$2:$C$3520,$A77,Sales_Data!$F$2:$F$3520,K$7)))</f>
        <v>0</v>
      </c>
      <c r="L77" s="26" t="n">
        <f aca="false">IF(L$7="","",CHOOSE(MATCH($B$4,Lists!$C$2:$C$5,0),SUMIFS(Sales_Data!$O$2:$O$3520,Sales_Data!$C$2:$C$3520,$A77,Sales_Data!$F$2:$F$3520,L$7,Sales_Data!$AE$2:$AE$3520,1),SUMIFS(Sales_Data!$M$2:$M$3520,Sales_Data!$C$2:$C$3520,$A77,Sales_Data!$F$2:$F$3520,L$7,Sales_Data!$AE$2:$AE$3520,1),SUMIFS(Sales_Data!$N$2:$N$3520,Sales_Data!$C$2:$C$3520,$A77,Sales_Data!$F$2:$F$3520,L$7,Sales_Data!$AE$2:$AE$3520,1),SUMIFS(Sales_Data!$AE$2:$AE$3520,Sales_Data!$C$2:$C$3520,$A77,Sales_Data!$F$2:$F$3520,L$7)))</f>
        <v>0</v>
      </c>
      <c r="M77" s="26" t="n">
        <f aca="false">IF(M$7="","",CHOOSE(MATCH($B$4,Lists!$C$2:$C$5,0),SUMIFS(Sales_Data!$O$2:$O$3520,Sales_Data!$C$2:$C$3520,$A77,Sales_Data!$F$2:$F$3520,M$7,Sales_Data!$AE$2:$AE$3520,1),SUMIFS(Sales_Data!$M$2:$M$3520,Sales_Data!$C$2:$C$3520,$A77,Sales_Data!$F$2:$F$3520,M$7,Sales_Data!$AE$2:$AE$3520,1),SUMIFS(Sales_Data!$N$2:$N$3520,Sales_Data!$C$2:$C$3520,$A77,Sales_Data!$F$2:$F$3520,M$7,Sales_Data!$AE$2:$AE$3520,1),SUMIFS(Sales_Data!$AE$2:$AE$3520,Sales_Data!$C$2:$C$3520,$A77,Sales_Data!$F$2:$F$3520,M$7)))</f>
        <v>0</v>
      </c>
      <c r="N77" s="26" t="n">
        <f aca="false">IF(N$7="","",CHOOSE(MATCH($B$4,Lists!$C$2:$C$5,0),SUMIFS(Sales_Data!$O$2:$O$3520,Sales_Data!$C$2:$C$3520,$A77,Sales_Data!$F$2:$F$3520,N$7,Sales_Data!$AE$2:$AE$3520,1),SUMIFS(Sales_Data!$M$2:$M$3520,Sales_Data!$C$2:$C$3520,$A77,Sales_Data!$F$2:$F$3520,N$7,Sales_Data!$AE$2:$AE$3520,1),SUMIFS(Sales_Data!$N$2:$N$3520,Sales_Data!$C$2:$C$3520,$A77,Sales_Data!$F$2:$F$3520,N$7,Sales_Data!$AE$2:$AE$3520,1),SUMIFS(Sales_Data!$AE$2:$AE$3520,Sales_Data!$C$2:$C$3520,$A77,Sales_Data!$F$2:$F$3520,N$7)))</f>
        <v>0</v>
      </c>
      <c r="O77" s="26" t="n">
        <f aca="false">IF(O$7="","",CHOOSE(MATCH($B$4,Lists!$C$2:$C$5,0),SUMIFS(Sales_Data!$O$2:$O$3520,Sales_Data!$C$2:$C$3520,$A77,Sales_Data!$F$2:$F$3520,O$7,Sales_Data!$AE$2:$AE$3520,1),SUMIFS(Sales_Data!$M$2:$M$3520,Sales_Data!$C$2:$C$3520,$A77,Sales_Data!$F$2:$F$3520,O$7,Sales_Data!$AE$2:$AE$3520,1),SUMIFS(Sales_Data!$N$2:$N$3520,Sales_Data!$C$2:$C$3520,$A77,Sales_Data!$F$2:$F$3520,O$7,Sales_Data!$AE$2:$AE$3520,1),SUMIFS(Sales_Data!$AE$2:$AE$3520,Sales_Data!$C$2:$C$3520,$A77,Sales_Data!$F$2:$F$3520,O$7)))</f>
        <v>0</v>
      </c>
      <c r="P77" s="26" t="n">
        <f aca="false">IF(P$7="","",CHOOSE(MATCH($B$4,Lists!$C$2:$C$5,0),SUMIFS(Sales_Data!$O$2:$O$3520,Sales_Data!$C$2:$C$3520,$A77,Sales_Data!$F$2:$F$3520,P$7,Sales_Data!$AE$2:$AE$3520,1),SUMIFS(Sales_Data!$M$2:$M$3520,Sales_Data!$C$2:$C$3520,$A77,Sales_Data!$F$2:$F$3520,P$7,Sales_Data!$AE$2:$AE$3520,1),SUMIFS(Sales_Data!$N$2:$N$3520,Sales_Data!$C$2:$C$3520,$A77,Sales_Data!$F$2:$F$3520,P$7,Sales_Data!$AE$2:$AE$3520,1),SUMIFS(Sales_Data!$AE$2:$AE$3520,Sales_Data!$C$2:$C$3520,$A77,Sales_Data!$F$2:$F$3520,P$7)))</f>
        <v>0</v>
      </c>
      <c r="Q77" s="26" t="n">
        <f aca="false">IF(Q$7="","",CHOOSE(MATCH($B$4,Lists!$C$2:$C$5,0),SUMIFS(Sales_Data!$O$2:$O$3520,Sales_Data!$C$2:$C$3520,$A77,Sales_Data!$F$2:$F$3520,Q$7,Sales_Data!$AE$2:$AE$3520,1),SUMIFS(Sales_Data!$M$2:$M$3520,Sales_Data!$C$2:$C$3520,$A77,Sales_Data!$F$2:$F$3520,Q$7,Sales_Data!$AE$2:$AE$3520,1),SUMIFS(Sales_Data!$N$2:$N$3520,Sales_Data!$C$2:$C$3520,$A77,Sales_Data!$F$2:$F$3520,Q$7,Sales_Data!$AE$2:$AE$3520,1),SUMIFS(Sales_Data!$AE$2:$AE$3520,Sales_Data!$C$2:$C$3520,$A77,Sales_Data!$F$2:$F$3520,Q$7)))</f>
        <v>0</v>
      </c>
      <c r="R77" s="26" t="n">
        <f aca="false">IF(R$7="","",CHOOSE(MATCH($B$4,Lists!$C$2:$C$5,0),SUMIFS(Sales_Data!$O$2:$O$3520,Sales_Data!$C$2:$C$3520,$A77,Sales_Data!$F$2:$F$3520,R$7,Sales_Data!$AE$2:$AE$3520,1),SUMIFS(Sales_Data!$M$2:$M$3520,Sales_Data!$C$2:$C$3520,$A77,Sales_Data!$F$2:$F$3520,R$7,Sales_Data!$AE$2:$AE$3520,1),SUMIFS(Sales_Data!$N$2:$N$3520,Sales_Data!$C$2:$C$3520,$A77,Sales_Data!$F$2:$F$3520,R$7,Sales_Data!$AE$2:$AE$3520,1),SUMIFS(Sales_Data!$AE$2:$AE$3520,Sales_Data!$C$2:$C$3520,$A77,Sales_Data!$F$2:$F$3520,R$7)))</f>
        <v>0</v>
      </c>
      <c r="S77" s="26" t="n">
        <f aca="false">IF(S$7="","",CHOOSE(MATCH($B$4,Lists!$C$2:$C$5,0),SUMIFS(Sales_Data!$O$2:$O$3520,Sales_Data!$C$2:$C$3520,$A77,Sales_Data!$F$2:$F$3520,S$7,Sales_Data!$AE$2:$AE$3520,1),SUMIFS(Sales_Data!$M$2:$M$3520,Sales_Data!$C$2:$C$3520,$A77,Sales_Data!$F$2:$F$3520,S$7,Sales_Data!$AE$2:$AE$3520,1),SUMIFS(Sales_Data!$N$2:$N$3520,Sales_Data!$C$2:$C$3520,$A77,Sales_Data!$F$2:$F$3520,S$7,Sales_Data!$AE$2:$AE$3520,1),SUMIFS(Sales_Data!$AE$2:$AE$3520,Sales_Data!$C$2:$C$3520,$A77,Sales_Data!$F$2:$F$3520,S$7)))</f>
        <v>0</v>
      </c>
      <c r="T77" s="26" t="str">
        <f aca="false">IF(T$7="","",CHOOSE(MATCH($B$4,Lists!$C$2:$C$5,0),SUMIFS(Sales_Data!$O$2:$O$3520,Sales_Data!$C$2:$C$3520,$A77,Sales_Data!$F$2:$F$3520,T$7,Sales_Data!$AE$2:$AE$3520,1),SUMIFS(Sales_Data!$M$2:$M$3520,Sales_Data!$C$2:$C$3520,$A77,Sales_Data!$F$2:$F$3520,T$7,Sales_Data!$AE$2:$AE$3520,1),SUMIFS(Sales_Data!$N$2:$N$3520,Sales_Data!$C$2:$C$3520,$A77,Sales_Data!$F$2:$F$3520,T$7,Sales_Data!$AE$2:$AE$3520,1),SUMIFS(Sales_Data!$AE$2:$AE$3520,Sales_Data!$C$2:$C$3520,$A77,Sales_Data!$F$2:$F$3520,T$7)))</f>
        <v/>
      </c>
      <c r="U77" s="26" t="str">
        <f aca="false">IF(U$7="","",CHOOSE(MATCH($B$4,Lists!$C$2:$C$5,0),SUMIFS(Sales_Data!$O$2:$O$3520,Sales_Data!$C$2:$C$3520,$A77,Sales_Data!$F$2:$F$3520,U$7,Sales_Data!$AE$2:$AE$3520,1),SUMIFS(Sales_Data!$M$2:$M$3520,Sales_Data!$C$2:$C$3520,$A77,Sales_Data!$F$2:$F$3520,U$7,Sales_Data!$AE$2:$AE$3520,1),SUMIFS(Sales_Data!$N$2:$N$3520,Sales_Data!$C$2:$C$3520,$A77,Sales_Data!$F$2:$F$3520,U$7,Sales_Data!$AE$2:$AE$3520,1),SUMIFS(Sales_Data!$AE$2:$AE$3520,Sales_Data!$C$2:$C$3520,$A77,Sales_Data!$F$2:$F$3520,U$7)))</f>
        <v/>
      </c>
      <c r="V77" s="26" t="str">
        <f aca="false">IF(V$7="","",CHOOSE(MATCH($B$4,Lists!$C$2:$C$5,0),SUMIFS(Sales_Data!$O$2:$O$3520,Sales_Data!$C$2:$C$3520,$A77,Sales_Data!$F$2:$F$3520,V$7,Sales_Data!$AE$2:$AE$3520,1),SUMIFS(Sales_Data!$M$2:$M$3520,Sales_Data!$C$2:$C$3520,$A77,Sales_Data!$F$2:$F$3520,V$7,Sales_Data!$AE$2:$AE$3520,1),SUMIFS(Sales_Data!$N$2:$N$3520,Sales_Data!$C$2:$C$3520,$A77,Sales_Data!$F$2:$F$3520,V$7,Sales_Data!$AE$2:$AE$3520,1),SUMIFS(Sales_Data!$AE$2:$AE$3520,Sales_Data!$C$2:$C$3520,$A77,Sales_Data!$F$2:$F$3520,V$7)))</f>
        <v/>
      </c>
      <c r="W77" s="26" t="str">
        <f aca="false">IF(W$7="","",CHOOSE(MATCH($B$4,Lists!$C$2:$C$5,0),SUMIFS(Sales_Data!$O$2:$O$3520,Sales_Data!$C$2:$C$3520,$A77,Sales_Data!$F$2:$F$3520,W$7,Sales_Data!$AE$2:$AE$3520,1),SUMIFS(Sales_Data!$M$2:$M$3520,Sales_Data!$C$2:$C$3520,$A77,Sales_Data!$F$2:$F$3520,W$7,Sales_Data!$AE$2:$AE$3520,1),SUMIFS(Sales_Data!$N$2:$N$3520,Sales_Data!$C$2:$C$3520,$A77,Sales_Data!$F$2:$F$3520,W$7,Sales_Data!$AE$2:$AE$3520,1),SUMIFS(Sales_Data!$AE$2:$AE$3520,Sales_Data!$C$2:$C$3520,$A77,Sales_Data!$F$2:$F$3520,W$7)))</f>
        <v/>
      </c>
      <c r="X77" s="26" t="str">
        <f aca="false">IF(X$7="","",CHOOSE(MATCH($B$4,Lists!$C$2:$C$5,0),SUMIFS(Sales_Data!$O$2:$O$3520,Sales_Data!$C$2:$C$3520,$A77,Sales_Data!$F$2:$F$3520,X$7,Sales_Data!$AE$2:$AE$3520,1),SUMIFS(Sales_Data!$M$2:$M$3520,Sales_Data!$C$2:$C$3520,$A77,Sales_Data!$F$2:$F$3520,X$7,Sales_Data!$AE$2:$AE$3520,1),SUMIFS(Sales_Data!$N$2:$N$3520,Sales_Data!$C$2:$C$3520,$A77,Sales_Data!$F$2:$F$3520,X$7,Sales_Data!$AE$2:$AE$3520,1),SUMIFS(Sales_Data!$AE$2:$AE$3520,Sales_Data!$C$2:$C$3520,$A77,Sales_Data!$F$2:$F$3520,X$7)))</f>
        <v/>
      </c>
      <c r="Y77" s="26" t="str">
        <f aca="false">IF(Y$7="","",CHOOSE(MATCH($B$4,Lists!$C$2:$C$5,0),SUMIFS(Sales_Data!$O$2:$O$3520,Sales_Data!$C$2:$C$3520,$A77,Sales_Data!$F$2:$F$3520,Y$7,Sales_Data!$AE$2:$AE$3520,1),SUMIFS(Sales_Data!$M$2:$M$3520,Sales_Data!$C$2:$C$3520,$A77,Sales_Data!$F$2:$F$3520,Y$7,Sales_Data!$AE$2:$AE$3520,1),SUMIFS(Sales_Data!$N$2:$N$3520,Sales_Data!$C$2:$C$3520,$A77,Sales_Data!$F$2:$F$3520,Y$7,Sales_Data!$AE$2:$AE$3520,1),SUMIFS(Sales_Data!$AE$2:$AE$3520,Sales_Data!$C$2:$C$3520,$A77,Sales_Data!$F$2:$F$3520,Y$7)))</f>
        <v/>
      </c>
      <c r="Z77" s="26" t="str">
        <f aca="false">IF(Z$7="","",CHOOSE(MATCH($B$4,Lists!$C$2:$C$5,0),SUMIFS(Sales_Data!$O$2:$O$3520,Sales_Data!$C$2:$C$3520,$A77,Sales_Data!$F$2:$F$3520,Z$7,Sales_Data!$AE$2:$AE$3520,1),SUMIFS(Sales_Data!$M$2:$M$3520,Sales_Data!$C$2:$C$3520,$A77,Sales_Data!$F$2:$F$3520,Z$7,Sales_Data!$AE$2:$AE$3520,1),SUMIFS(Sales_Data!$N$2:$N$3520,Sales_Data!$C$2:$C$3520,$A77,Sales_Data!$F$2:$F$3520,Z$7,Sales_Data!$AE$2:$AE$3520,1),SUMIFS(Sales_Data!$AE$2:$AE$3520,Sales_Data!$C$2:$C$3520,$A77,Sales_Data!$F$2:$F$3520,Z$7)))</f>
        <v/>
      </c>
      <c r="AA77" s="27" t="n">
        <f aca="false">SUM(B77:Z77)</f>
        <v>1</v>
      </c>
      <c r="AB77" s="3"/>
      <c r="AC77" s="72" t="n">
        <f aca="false">A77</f>
        <v>46284</v>
      </c>
      <c r="AD77" s="28" t="n">
        <f aca="false">IF(B77="","",B77-B76)</f>
        <v>0</v>
      </c>
      <c r="AE77" s="28" t="n">
        <f aca="false">IF(C77="","",C77-C76)</f>
        <v>0</v>
      </c>
      <c r="AF77" s="28" t="n">
        <f aca="false">IF(D77="","",D77-D76)</f>
        <v>0</v>
      </c>
      <c r="AG77" s="28" t="n">
        <f aca="false">IF(E77="","",E77-E76)</f>
        <v>0</v>
      </c>
      <c r="AH77" s="28" t="n">
        <f aca="false">IF(F77="","",F77-F76)</f>
        <v>0</v>
      </c>
      <c r="AI77" s="28" t="n">
        <f aca="false">IF(G77="","",G77-G76)</f>
        <v>-1</v>
      </c>
      <c r="AJ77" s="28" t="n">
        <f aca="false">IF(H77="","",H77-H76)</f>
        <v>0</v>
      </c>
      <c r="AK77" s="28" t="n">
        <f aca="false">IF(I77="","",I77-I76)</f>
        <v>0</v>
      </c>
      <c r="AL77" s="28" t="n">
        <f aca="false">IF(J77="","",J77-J76)</f>
        <v>0</v>
      </c>
      <c r="AM77" s="28" t="n">
        <f aca="false">IF(K77="","",K77-K76)</f>
        <v>0</v>
      </c>
      <c r="AN77" s="28" t="n">
        <f aca="false">IF(L77="","",L77-L76)</f>
        <v>0</v>
      </c>
      <c r="AO77" s="28" t="n">
        <f aca="false">IF(M77="","",M77-M76)</f>
        <v>0</v>
      </c>
      <c r="AP77" s="28" t="n">
        <f aca="false">IF(N77="","",N77-N76)</f>
        <v>0</v>
      </c>
      <c r="AQ77" s="28" t="n">
        <f aca="false">IF(O77="","",O77-O76)</f>
        <v>0</v>
      </c>
      <c r="AR77" s="28" t="n">
        <f aca="false">IF(P77="","",P77-P76)</f>
        <v>0</v>
      </c>
      <c r="AS77" s="28" t="n">
        <f aca="false">IF(Q77="","",Q77-Q76)</f>
        <v>0</v>
      </c>
      <c r="AT77" s="28" t="n">
        <f aca="false">IF(R77="","",R77-R76)</f>
        <v>0</v>
      </c>
      <c r="AU77" s="28" t="n">
        <f aca="false">IF(S77="","",S77-S76)</f>
        <v>0</v>
      </c>
      <c r="AV77" s="28" t="str">
        <f aca="false">IF(T77="","",T77-T76)</f>
        <v/>
      </c>
      <c r="AW77" s="28" t="str">
        <f aca="false">IF(U77="","",U77-U76)</f>
        <v/>
      </c>
      <c r="AX77" s="28" t="str">
        <f aca="false">IF(V77="","",V77-V76)</f>
        <v/>
      </c>
      <c r="AY77" s="28" t="str">
        <f aca="false">IF(W77="","",W77-W76)</f>
        <v/>
      </c>
      <c r="AZ77" s="28" t="str">
        <f aca="false">IF(X77="","",X77-X76)</f>
        <v/>
      </c>
      <c r="BA77" s="28" t="str">
        <f aca="false">IF(Y77="","",Y77-Y76)</f>
        <v/>
      </c>
      <c r="BB77" s="28" t="str">
        <f aca="false">IF(Z77="","",Z77-Z76)</f>
        <v/>
      </c>
      <c r="BC77" s="28" t="n">
        <f aca="false">IF(AA77="","",AA77-AA76)</f>
        <v>-1</v>
      </c>
    </row>
    <row r="78" customFormat="false" ht="15" hidden="false" customHeight="false" outlineLevel="0" collapsed="false">
      <c r="A78" s="72" t="n">
        <v>46285</v>
      </c>
      <c r="B78" s="26" t="n">
        <f aca="false">IF(B$7="","",CHOOSE(MATCH($B$4,Lists!$C$2:$C$5,0),SUMIFS(Sales_Data!$O$2:$O$3520,Sales_Data!$C$2:$C$3520,$A78,Sales_Data!$F$2:$F$3520,B$7,Sales_Data!$AE$2:$AE$3520,1),SUMIFS(Sales_Data!$M$2:$M$3520,Sales_Data!$C$2:$C$3520,$A78,Sales_Data!$F$2:$F$3520,B$7,Sales_Data!$AE$2:$AE$3520,1),SUMIFS(Sales_Data!$N$2:$N$3520,Sales_Data!$C$2:$C$3520,$A78,Sales_Data!$F$2:$F$3520,B$7,Sales_Data!$AE$2:$AE$3520,1),SUMIFS(Sales_Data!$AE$2:$AE$3520,Sales_Data!$C$2:$C$3520,$A78,Sales_Data!$F$2:$F$3520,B$7)))</f>
        <v>0</v>
      </c>
      <c r="C78" s="26" t="n">
        <f aca="false">IF(C$7="","",CHOOSE(MATCH($B$4,Lists!$C$2:$C$5,0),SUMIFS(Sales_Data!$O$2:$O$3520,Sales_Data!$C$2:$C$3520,$A78,Sales_Data!$F$2:$F$3520,C$7,Sales_Data!$AE$2:$AE$3520,1),SUMIFS(Sales_Data!$M$2:$M$3520,Sales_Data!$C$2:$C$3520,$A78,Sales_Data!$F$2:$F$3520,C$7,Sales_Data!$AE$2:$AE$3520,1),SUMIFS(Sales_Data!$N$2:$N$3520,Sales_Data!$C$2:$C$3520,$A78,Sales_Data!$F$2:$F$3520,C$7,Sales_Data!$AE$2:$AE$3520,1),SUMIFS(Sales_Data!$AE$2:$AE$3520,Sales_Data!$C$2:$C$3520,$A78,Sales_Data!$F$2:$F$3520,C$7)))</f>
        <v>0</v>
      </c>
      <c r="D78" s="26" t="n">
        <f aca="false">IF(D$7="","",CHOOSE(MATCH($B$4,Lists!$C$2:$C$5,0),SUMIFS(Sales_Data!$O$2:$O$3520,Sales_Data!$C$2:$C$3520,$A78,Sales_Data!$F$2:$F$3520,D$7,Sales_Data!$AE$2:$AE$3520,1),SUMIFS(Sales_Data!$M$2:$M$3520,Sales_Data!$C$2:$C$3520,$A78,Sales_Data!$F$2:$F$3520,D$7,Sales_Data!$AE$2:$AE$3520,1),SUMIFS(Sales_Data!$N$2:$N$3520,Sales_Data!$C$2:$C$3520,$A78,Sales_Data!$F$2:$F$3520,D$7,Sales_Data!$AE$2:$AE$3520,1),SUMIFS(Sales_Data!$AE$2:$AE$3520,Sales_Data!$C$2:$C$3520,$A78,Sales_Data!$F$2:$F$3520,D$7)))</f>
        <v>0</v>
      </c>
      <c r="E78" s="26" t="n">
        <f aca="false">IF(E$7="","",CHOOSE(MATCH($B$4,Lists!$C$2:$C$5,0),SUMIFS(Sales_Data!$O$2:$O$3520,Sales_Data!$C$2:$C$3520,$A78,Sales_Data!$F$2:$F$3520,E$7,Sales_Data!$AE$2:$AE$3520,1),SUMIFS(Sales_Data!$M$2:$M$3520,Sales_Data!$C$2:$C$3520,$A78,Sales_Data!$F$2:$F$3520,E$7,Sales_Data!$AE$2:$AE$3520,1),SUMIFS(Sales_Data!$N$2:$N$3520,Sales_Data!$C$2:$C$3520,$A78,Sales_Data!$F$2:$F$3520,E$7,Sales_Data!$AE$2:$AE$3520,1),SUMIFS(Sales_Data!$AE$2:$AE$3520,Sales_Data!$C$2:$C$3520,$A78,Sales_Data!$F$2:$F$3520,E$7)))</f>
        <v>0</v>
      </c>
      <c r="F78" s="26" t="n">
        <f aca="false">IF(F$7="","",CHOOSE(MATCH($B$4,Lists!$C$2:$C$5,0),SUMIFS(Sales_Data!$O$2:$O$3520,Sales_Data!$C$2:$C$3520,$A78,Sales_Data!$F$2:$F$3520,F$7,Sales_Data!$AE$2:$AE$3520,1),SUMIFS(Sales_Data!$M$2:$M$3520,Sales_Data!$C$2:$C$3520,$A78,Sales_Data!$F$2:$F$3520,F$7,Sales_Data!$AE$2:$AE$3520,1),SUMIFS(Sales_Data!$N$2:$N$3520,Sales_Data!$C$2:$C$3520,$A78,Sales_Data!$F$2:$F$3520,F$7,Sales_Data!$AE$2:$AE$3520,1),SUMIFS(Sales_Data!$AE$2:$AE$3520,Sales_Data!$C$2:$C$3520,$A78,Sales_Data!$F$2:$F$3520,F$7)))</f>
        <v>0</v>
      </c>
      <c r="G78" s="26" t="n">
        <f aca="false">IF(G$7="","",CHOOSE(MATCH($B$4,Lists!$C$2:$C$5,0),SUMIFS(Sales_Data!$O$2:$O$3520,Sales_Data!$C$2:$C$3520,$A78,Sales_Data!$F$2:$F$3520,G$7,Sales_Data!$AE$2:$AE$3520,1),SUMIFS(Sales_Data!$M$2:$M$3520,Sales_Data!$C$2:$C$3520,$A78,Sales_Data!$F$2:$F$3520,G$7,Sales_Data!$AE$2:$AE$3520,1),SUMIFS(Sales_Data!$N$2:$N$3520,Sales_Data!$C$2:$C$3520,$A78,Sales_Data!$F$2:$F$3520,G$7,Sales_Data!$AE$2:$AE$3520,1),SUMIFS(Sales_Data!$AE$2:$AE$3520,Sales_Data!$C$2:$C$3520,$A78,Sales_Data!$F$2:$F$3520,G$7)))</f>
        <v>1</v>
      </c>
      <c r="H78" s="26" t="n">
        <f aca="false">IF(H$7="","",CHOOSE(MATCH($B$4,Lists!$C$2:$C$5,0),SUMIFS(Sales_Data!$O$2:$O$3520,Sales_Data!$C$2:$C$3520,$A78,Sales_Data!$F$2:$F$3520,H$7,Sales_Data!$AE$2:$AE$3520,1),SUMIFS(Sales_Data!$M$2:$M$3520,Sales_Data!$C$2:$C$3520,$A78,Sales_Data!$F$2:$F$3520,H$7,Sales_Data!$AE$2:$AE$3520,1),SUMIFS(Sales_Data!$N$2:$N$3520,Sales_Data!$C$2:$C$3520,$A78,Sales_Data!$F$2:$F$3520,H$7,Sales_Data!$AE$2:$AE$3520,1),SUMIFS(Sales_Data!$AE$2:$AE$3520,Sales_Data!$C$2:$C$3520,$A78,Sales_Data!$F$2:$F$3520,H$7)))</f>
        <v>0</v>
      </c>
      <c r="I78" s="26" t="n">
        <f aca="false">IF(I$7="","",CHOOSE(MATCH($B$4,Lists!$C$2:$C$5,0),SUMIFS(Sales_Data!$O$2:$O$3520,Sales_Data!$C$2:$C$3520,$A78,Sales_Data!$F$2:$F$3520,I$7,Sales_Data!$AE$2:$AE$3520,1),SUMIFS(Sales_Data!$M$2:$M$3520,Sales_Data!$C$2:$C$3520,$A78,Sales_Data!$F$2:$F$3520,I$7,Sales_Data!$AE$2:$AE$3520,1),SUMIFS(Sales_Data!$N$2:$N$3520,Sales_Data!$C$2:$C$3520,$A78,Sales_Data!$F$2:$F$3520,I$7,Sales_Data!$AE$2:$AE$3520,1),SUMIFS(Sales_Data!$AE$2:$AE$3520,Sales_Data!$C$2:$C$3520,$A78,Sales_Data!$F$2:$F$3520,I$7)))</f>
        <v>0</v>
      </c>
      <c r="J78" s="26" t="n">
        <f aca="false">IF(J$7="","",CHOOSE(MATCH($B$4,Lists!$C$2:$C$5,0),SUMIFS(Sales_Data!$O$2:$O$3520,Sales_Data!$C$2:$C$3520,$A78,Sales_Data!$F$2:$F$3520,J$7,Sales_Data!$AE$2:$AE$3520,1),SUMIFS(Sales_Data!$M$2:$M$3520,Sales_Data!$C$2:$C$3520,$A78,Sales_Data!$F$2:$F$3520,J$7,Sales_Data!$AE$2:$AE$3520,1),SUMIFS(Sales_Data!$N$2:$N$3520,Sales_Data!$C$2:$C$3520,$A78,Sales_Data!$F$2:$F$3520,J$7,Sales_Data!$AE$2:$AE$3520,1),SUMIFS(Sales_Data!$AE$2:$AE$3520,Sales_Data!$C$2:$C$3520,$A78,Sales_Data!$F$2:$F$3520,J$7)))</f>
        <v>0</v>
      </c>
      <c r="K78" s="26" t="n">
        <f aca="false">IF(K$7="","",CHOOSE(MATCH($B$4,Lists!$C$2:$C$5,0),SUMIFS(Sales_Data!$O$2:$O$3520,Sales_Data!$C$2:$C$3520,$A78,Sales_Data!$F$2:$F$3520,K$7,Sales_Data!$AE$2:$AE$3520,1),SUMIFS(Sales_Data!$M$2:$M$3520,Sales_Data!$C$2:$C$3520,$A78,Sales_Data!$F$2:$F$3520,K$7,Sales_Data!$AE$2:$AE$3520,1),SUMIFS(Sales_Data!$N$2:$N$3520,Sales_Data!$C$2:$C$3520,$A78,Sales_Data!$F$2:$F$3520,K$7,Sales_Data!$AE$2:$AE$3520,1),SUMIFS(Sales_Data!$AE$2:$AE$3520,Sales_Data!$C$2:$C$3520,$A78,Sales_Data!$F$2:$F$3520,K$7)))</f>
        <v>0</v>
      </c>
      <c r="L78" s="26" t="n">
        <f aca="false">IF(L$7="","",CHOOSE(MATCH($B$4,Lists!$C$2:$C$5,0),SUMIFS(Sales_Data!$O$2:$O$3520,Sales_Data!$C$2:$C$3520,$A78,Sales_Data!$F$2:$F$3520,L$7,Sales_Data!$AE$2:$AE$3520,1),SUMIFS(Sales_Data!$M$2:$M$3520,Sales_Data!$C$2:$C$3520,$A78,Sales_Data!$F$2:$F$3520,L$7,Sales_Data!$AE$2:$AE$3520,1),SUMIFS(Sales_Data!$N$2:$N$3520,Sales_Data!$C$2:$C$3520,$A78,Sales_Data!$F$2:$F$3520,L$7,Sales_Data!$AE$2:$AE$3520,1),SUMIFS(Sales_Data!$AE$2:$AE$3520,Sales_Data!$C$2:$C$3520,$A78,Sales_Data!$F$2:$F$3520,L$7)))</f>
        <v>0</v>
      </c>
      <c r="M78" s="26" t="n">
        <f aca="false">IF(M$7="","",CHOOSE(MATCH($B$4,Lists!$C$2:$C$5,0),SUMIFS(Sales_Data!$O$2:$O$3520,Sales_Data!$C$2:$C$3520,$A78,Sales_Data!$F$2:$F$3520,M$7,Sales_Data!$AE$2:$AE$3520,1),SUMIFS(Sales_Data!$M$2:$M$3520,Sales_Data!$C$2:$C$3520,$A78,Sales_Data!$F$2:$F$3520,M$7,Sales_Data!$AE$2:$AE$3520,1),SUMIFS(Sales_Data!$N$2:$N$3520,Sales_Data!$C$2:$C$3520,$A78,Sales_Data!$F$2:$F$3520,M$7,Sales_Data!$AE$2:$AE$3520,1),SUMIFS(Sales_Data!$AE$2:$AE$3520,Sales_Data!$C$2:$C$3520,$A78,Sales_Data!$F$2:$F$3520,M$7)))</f>
        <v>0</v>
      </c>
      <c r="N78" s="26" t="n">
        <f aca="false">IF(N$7="","",CHOOSE(MATCH($B$4,Lists!$C$2:$C$5,0),SUMIFS(Sales_Data!$O$2:$O$3520,Sales_Data!$C$2:$C$3520,$A78,Sales_Data!$F$2:$F$3520,N$7,Sales_Data!$AE$2:$AE$3520,1),SUMIFS(Sales_Data!$M$2:$M$3520,Sales_Data!$C$2:$C$3520,$A78,Sales_Data!$F$2:$F$3520,N$7,Sales_Data!$AE$2:$AE$3520,1),SUMIFS(Sales_Data!$N$2:$N$3520,Sales_Data!$C$2:$C$3520,$A78,Sales_Data!$F$2:$F$3520,N$7,Sales_Data!$AE$2:$AE$3520,1),SUMIFS(Sales_Data!$AE$2:$AE$3520,Sales_Data!$C$2:$C$3520,$A78,Sales_Data!$F$2:$F$3520,N$7)))</f>
        <v>0</v>
      </c>
      <c r="O78" s="26" t="n">
        <f aca="false">IF(O$7="","",CHOOSE(MATCH($B$4,Lists!$C$2:$C$5,0),SUMIFS(Sales_Data!$O$2:$O$3520,Sales_Data!$C$2:$C$3520,$A78,Sales_Data!$F$2:$F$3520,O$7,Sales_Data!$AE$2:$AE$3520,1),SUMIFS(Sales_Data!$M$2:$M$3520,Sales_Data!$C$2:$C$3520,$A78,Sales_Data!$F$2:$F$3520,O$7,Sales_Data!$AE$2:$AE$3520,1),SUMIFS(Sales_Data!$N$2:$N$3520,Sales_Data!$C$2:$C$3520,$A78,Sales_Data!$F$2:$F$3520,O$7,Sales_Data!$AE$2:$AE$3520,1),SUMIFS(Sales_Data!$AE$2:$AE$3520,Sales_Data!$C$2:$C$3520,$A78,Sales_Data!$F$2:$F$3520,O$7)))</f>
        <v>0</v>
      </c>
      <c r="P78" s="26" t="n">
        <f aca="false">IF(P$7="","",CHOOSE(MATCH($B$4,Lists!$C$2:$C$5,0),SUMIFS(Sales_Data!$O$2:$O$3520,Sales_Data!$C$2:$C$3520,$A78,Sales_Data!$F$2:$F$3520,P$7,Sales_Data!$AE$2:$AE$3520,1),SUMIFS(Sales_Data!$M$2:$M$3520,Sales_Data!$C$2:$C$3520,$A78,Sales_Data!$F$2:$F$3520,P$7,Sales_Data!$AE$2:$AE$3520,1),SUMIFS(Sales_Data!$N$2:$N$3520,Sales_Data!$C$2:$C$3520,$A78,Sales_Data!$F$2:$F$3520,P$7,Sales_Data!$AE$2:$AE$3520,1),SUMIFS(Sales_Data!$AE$2:$AE$3520,Sales_Data!$C$2:$C$3520,$A78,Sales_Data!$F$2:$F$3520,P$7)))</f>
        <v>0</v>
      </c>
      <c r="Q78" s="26" t="n">
        <f aca="false">IF(Q$7="","",CHOOSE(MATCH($B$4,Lists!$C$2:$C$5,0),SUMIFS(Sales_Data!$O$2:$O$3520,Sales_Data!$C$2:$C$3520,$A78,Sales_Data!$F$2:$F$3520,Q$7,Sales_Data!$AE$2:$AE$3520,1),SUMIFS(Sales_Data!$M$2:$M$3520,Sales_Data!$C$2:$C$3520,$A78,Sales_Data!$F$2:$F$3520,Q$7,Sales_Data!$AE$2:$AE$3520,1),SUMIFS(Sales_Data!$N$2:$N$3520,Sales_Data!$C$2:$C$3520,$A78,Sales_Data!$F$2:$F$3520,Q$7,Sales_Data!$AE$2:$AE$3520,1),SUMIFS(Sales_Data!$AE$2:$AE$3520,Sales_Data!$C$2:$C$3520,$A78,Sales_Data!$F$2:$F$3520,Q$7)))</f>
        <v>0</v>
      </c>
      <c r="R78" s="26" t="n">
        <f aca="false">IF(R$7="","",CHOOSE(MATCH($B$4,Lists!$C$2:$C$5,0),SUMIFS(Sales_Data!$O$2:$O$3520,Sales_Data!$C$2:$C$3520,$A78,Sales_Data!$F$2:$F$3520,R$7,Sales_Data!$AE$2:$AE$3520,1),SUMIFS(Sales_Data!$M$2:$M$3520,Sales_Data!$C$2:$C$3520,$A78,Sales_Data!$F$2:$F$3520,R$7,Sales_Data!$AE$2:$AE$3520,1),SUMIFS(Sales_Data!$N$2:$N$3520,Sales_Data!$C$2:$C$3520,$A78,Sales_Data!$F$2:$F$3520,R$7,Sales_Data!$AE$2:$AE$3520,1),SUMIFS(Sales_Data!$AE$2:$AE$3520,Sales_Data!$C$2:$C$3520,$A78,Sales_Data!$F$2:$F$3520,R$7)))</f>
        <v>0</v>
      </c>
      <c r="S78" s="26" t="n">
        <f aca="false">IF(S$7="","",CHOOSE(MATCH($B$4,Lists!$C$2:$C$5,0),SUMIFS(Sales_Data!$O$2:$O$3520,Sales_Data!$C$2:$C$3520,$A78,Sales_Data!$F$2:$F$3520,S$7,Sales_Data!$AE$2:$AE$3520,1),SUMIFS(Sales_Data!$M$2:$M$3520,Sales_Data!$C$2:$C$3520,$A78,Sales_Data!$F$2:$F$3520,S$7,Sales_Data!$AE$2:$AE$3520,1),SUMIFS(Sales_Data!$N$2:$N$3520,Sales_Data!$C$2:$C$3520,$A78,Sales_Data!$F$2:$F$3520,S$7,Sales_Data!$AE$2:$AE$3520,1),SUMIFS(Sales_Data!$AE$2:$AE$3520,Sales_Data!$C$2:$C$3520,$A78,Sales_Data!$F$2:$F$3520,S$7)))</f>
        <v>0</v>
      </c>
      <c r="T78" s="26" t="str">
        <f aca="false">IF(T$7="","",CHOOSE(MATCH($B$4,Lists!$C$2:$C$5,0),SUMIFS(Sales_Data!$O$2:$O$3520,Sales_Data!$C$2:$C$3520,$A78,Sales_Data!$F$2:$F$3520,T$7,Sales_Data!$AE$2:$AE$3520,1),SUMIFS(Sales_Data!$M$2:$M$3520,Sales_Data!$C$2:$C$3520,$A78,Sales_Data!$F$2:$F$3520,T$7,Sales_Data!$AE$2:$AE$3520,1),SUMIFS(Sales_Data!$N$2:$N$3520,Sales_Data!$C$2:$C$3520,$A78,Sales_Data!$F$2:$F$3520,T$7,Sales_Data!$AE$2:$AE$3520,1),SUMIFS(Sales_Data!$AE$2:$AE$3520,Sales_Data!$C$2:$C$3520,$A78,Sales_Data!$F$2:$F$3520,T$7)))</f>
        <v/>
      </c>
      <c r="U78" s="26" t="str">
        <f aca="false">IF(U$7="","",CHOOSE(MATCH($B$4,Lists!$C$2:$C$5,0),SUMIFS(Sales_Data!$O$2:$O$3520,Sales_Data!$C$2:$C$3520,$A78,Sales_Data!$F$2:$F$3520,U$7,Sales_Data!$AE$2:$AE$3520,1),SUMIFS(Sales_Data!$M$2:$M$3520,Sales_Data!$C$2:$C$3520,$A78,Sales_Data!$F$2:$F$3520,U$7,Sales_Data!$AE$2:$AE$3520,1),SUMIFS(Sales_Data!$N$2:$N$3520,Sales_Data!$C$2:$C$3520,$A78,Sales_Data!$F$2:$F$3520,U$7,Sales_Data!$AE$2:$AE$3520,1),SUMIFS(Sales_Data!$AE$2:$AE$3520,Sales_Data!$C$2:$C$3520,$A78,Sales_Data!$F$2:$F$3520,U$7)))</f>
        <v/>
      </c>
      <c r="V78" s="26" t="str">
        <f aca="false">IF(V$7="","",CHOOSE(MATCH($B$4,Lists!$C$2:$C$5,0),SUMIFS(Sales_Data!$O$2:$O$3520,Sales_Data!$C$2:$C$3520,$A78,Sales_Data!$F$2:$F$3520,V$7,Sales_Data!$AE$2:$AE$3520,1),SUMIFS(Sales_Data!$M$2:$M$3520,Sales_Data!$C$2:$C$3520,$A78,Sales_Data!$F$2:$F$3520,V$7,Sales_Data!$AE$2:$AE$3520,1),SUMIFS(Sales_Data!$N$2:$N$3520,Sales_Data!$C$2:$C$3520,$A78,Sales_Data!$F$2:$F$3520,V$7,Sales_Data!$AE$2:$AE$3520,1),SUMIFS(Sales_Data!$AE$2:$AE$3520,Sales_Data!$C$2:$C$3520,$A78,Sales_Data!$F$2:$F$3520,V$7)))</f>
        <v/>
      </c>
      <c r="W78" s="26" t="str">
        <f aca="false">IF(W$7="","",CHOOSE(MATCH($B$4,Lists!$C$2:$C$5,0),SUMIFS(Sales_Data!$O$2:$O$3520,Sales_Data!$C$2:$C$3520,$A78,Sales_Data!$F$2:$F$3520,W$7,Sales_Data!$AE$2:$AE$3520,1),SUMIFS(Sales_Data!$M$2:$M$3520,Sales_Data!$C$2:$C$3520,$A78,Sales_Data!$F$2:$F$3520,W$7,Sales_Data!$AE$2:$AE$3520,1),SUMIFS(Sales_Data!$N$2:$N$3520,Sales_Data!$C$2:$C$3520,$A78,Sales_Data!$F$2:$F$3520,W$7,Sales_Data!$AE$2:$AE$3520,1),SUMIFS(Sales_Data!$AE$2:$AE$3520,Sales_Data!$C$2:$C$3520,$A78,Sales_Data!$F$2:$F$3520,W$7)))</f>
        <v/>
      </c>
      <c r="X78" s="26" t="str">
        <f aca="false">IF(X$7="","",CHOOSE(MATCH($B$4,Lists!$C$2:$C$5,0),SUMIFS(Sales_Data!$O$2:$O$3520,Sales_Data!$C$2:$C$3520,$A78,Sales_Data!$F$2:$F$3520,X$7,Sales_Data!$AE$2:$AE$3520,1),SUMIFS(Sales_Data!$M$2:$M$3520,Sales_Data!$C$2:$C$3520,$A78,Sales_Data!$F$2:$F$3520,X$7,Sales_Data!$AE$2:$AE$3520,1),SUMIFS(Sales_Data!$N$2:$N$3520,Sales_Data!$C$2:$C$3520,$A78,Sales_Data!$F$2:$F$3520,X$7,Sales_Data!$AE$2:$AE$3520,1),SUMIFS(Sales_Data!$AE$2:$AE$3520,Sales_Data!$C$2:$C$3520,$A78,Sales_Data!$F$2:$F$3520,X$7)))</f>
        <v/>
      </c>
      <c r="Y78" s="26" t="str">
        <f aca="false">IF(Y$7="","",CHOOSE(MATCH($B$4,Lists!$C$2:$C$5,0),SUMIFS(Sales_Data!$O$2:$O$3520,Sales_Data!$C$2:$C$3520,$A78,Sales_Data!$F$2:$F$3520,Y$7,Sales_Data!$AE$2:$AE$3520,1),SUMIFS(Sales_Data!$M$2:$M$3520,Sales_Data!$C$2:$C$3520,$A78,Sales_Data!$F$2:$F$3520,Y$7,Sales_Data!$AE$2:$AE$3520,1),SUMIFS(Sales_Data!$N$2:$N$3520,Sales_Data!$C$2:$C$3520,$A78,Sales_Data!$F$2:$F$3520,Y$7,Sales_Data!$AE$2:$AE$3520,1),SUMIFS(Sales_Data!$AE$2:$AE$3520,Sales_Data!$C$2:$C$3520,$A78,Sales_Data!$F$2:$F$3520,Y$7)))</f>
        <v/>
      </c>
      <c r="Z78" s="26" t="str">
        <f aca="false">IF(Z$7="","",CHOOSE(MATCH($B$4,Lists!$C$2:$C$5,0),SUMIFS(Sales_Data!$O$2:$O$3520,Sales_Data!$C$2:$C$3520,$A78,Sales_Data!$F$2:$F$3520,Z$7,Sales_Data!$AE$2:$AE$3520,1),SUMIFS(Sales_Data!$M$2:$M$3520,Sales_Data!$C$2:$C$3520,$A78,Sales_Data!$F$2:$F$3520,Z$7,Sales_Data!$AE$2:$AE$3520,1),SUMIFS(Sales_Data!$N$2:$N$3520,Sales_Data!$C$2:$C$3520,$A78,Sales_Data!$F$2:$F$3520,Z$7,Sales_Data!$AE$2:$AE$3520,1),SUMIFS(Sales_Data!$AE$2:$AE$3520,Sales_Data!$C$2:$C$3520,$A78,Sales_Data!$F$2:$F$3520,Z$7)))</f>
        <v/>
      </c>
      <c r="AA78" s="27" t="n">
        <f aca="false">SUM(B78:Z78)</f>
        <v>1</v>
      </c>
      <c r="AB78" s="3"/>
      <c r="AC78" s="72" t="n">
        <f aca="false">A78</f>
        <v>46285</v>
      </c>
      <c r="AD78" s="28" t="n">
        <f aca="false">IF(B78="","",B78-B77)</f>
        <v>0</v>
      </c>
      <c r="AE78" s="28" t="n">
        <f aca="false">IF(C78="","",C78-C77)</f>
        <v>0</v>
      </c>
      <c r="AF78" s="28" t="n">
        <f aca="false">IF(D78="","",D78-D77)</f>
        <v>0</v>
      </c>
      <c r="AG78" s="28" t="n">
        <f aca="false">IF(E78="","",E78-E77)</f>
        <v>0</v>
      </c>
      <c r="AH78" s="28" t="n">
        <f aca="false">IF(F78="","",F78-F77)</f>
        <v>0</v>
      </c>
      <c r="AI78" s="28" t="n">
        <f aca="false">IF(G78="","",G78-G77)</f>
        <v>0</v>
      </c>
      <c r="AJ78" s="28" t="n">
        <f aca="false">IF(H78="","",H78-H77)</f>
        <v>0</v>
      </c>
      <c r="AK78" s="28" t="n">
        <f aca="false">IF(I78="","",I78-I77)</f>
        <v>0</v>
      </c>
      <c r="AL78" s="28" t="n">
        <f aca="false">IF(J78="","",J78-J77)</f>
        <v>0</v>
      </c>
      <c r="AM78" s="28" t="n">
        <f aca="false">IF(K78="","",K78-K77)</f>
        <v>0</v>
      </c>
      <c r="AN78" s="28" t="n">
        <f aca="false">IF(L78="","",L78-L77)</f>
        <v>0</v>
      </c>
      <c r="AO78" s="28" t="n">
        <f aca="false">IF(M78="","",M78-M77)</f>
        <v>0</v>
      </c>
      <c r="AP78" s="28" t="n">
        <f aca="false">IF(N78="","",N78-N77)</f>
        <v>0</v>
      </c>
      <c r="AQ78" s="28" t="n">
        <f aca="false">IF(O78="","",O78-O77)</f>
        <v>0</v>
      </c>
      <c r="AR78" s="28" t="n">
        <f aca="false">IF(P78="","",P78-P77)</f>
        <v>0</v>
      </c>
      <c r="AS78" s="28" t="n">
        <f aca="false">IF(Q78="","",Q78-Q77)</f>
        <v>0</v>
      </c>
      <c r="AT78" s="28" t="n">
        <f aca="false">IF(R78="","",R78-R77)</f>
        <v>0</v>
      </c>
      <c r="AU78" s="28" t="n">
        <f aca="false">IF(S78="","",S78-S77)</f>
        <v>0</v>
      </c>
      <c r="AV78" s="28" t="str">
        <f aca="false">IF(T78="","",T78-T77)</f>
        <v/>
      </c>
      <c r="AW78" s="28" t="str">
        <f aca="false">IF(U78="","",U78-U77)</f>
        <v/>
      </c>
      <c r="AX78" s="28" t="str">
        <f aca="false">IF(V78="","",V78-V77)</f>
        <v/>
      </c>
      <c r="AY78" s="28" t="str">
        <f aca="false">IF(W78="","",W78-W77)</f>
        <v/>
      </c>
      <c r="AZ78" s="28" t="str">
        <f aca="false">IF(X78="","",X78-X77)</f>
        <v/>
      </c>
      <c r="BA78" s="28" t="str">
        <f aca="false">IF(Y78="","",Y78-Y77)</f>
        <v/>
      </c>
      <c r="BB78" s="28" t="str">
        <f aca="false">IF(Z78="","",Z78-Z77)</f>
        <v/>
      </c>
      <c r="BC78" s="28" t="n">
        <f aca="false">IF(AA78="","",AA78-AA77)</f>
        <v>0</v>
      </c>
    </row>
    <row r="79" customFormat="false" ht="15" hidden="false" customHeight="false" outlineLevel="0" collapsed="false">
      <c r="A79" s="72" t="n">
        <v>46286</v>
      </c>
      <c r="B79" s="26" t="n">
        <f aca="false">IF(B$7="","",CHOOSE(MATCH($B$4,Lists!$C$2:$C$5,0),SUMIFS(Sales_Data!$O$2:$O$3520,Sales_Data!$C$2:$C$3520,$A79,Sales_Data!$F$2:$F$3520,B$7,Sales_Data!$AE$2:$AE$3520,1),SUMIFS(Sales_Data!$M$2:$M$3520,Sales_Data!$C$2:$C$3520,$A79,Sales_Data!$F$2:$F$3520,B$7,Sales_Data!$AE$2:$AE$3520,1),SUMIFS(Sales_Data!$N$2:$N$3520,Sales_Data!$C$2:$C$3520,$A79,Sales_Data!$F$2:$F$3520,B$7,Sales_Data!$AE$2:$AE$3520,1),SUMIFS(Sales_Data!$AE$2:$AE$3520,Sales_Data!$C$2:$C$3520,$A79,Sales_Data!$F$2:$F$3520,B$7)))</f>
        <v>0</v>
      </c>
      <c r="C79" s="26" t="n">
        <f aca="false">IF(C$7="","",CHOOSE(MATCH($B$4,Lists!$C$2:$C$5,0),SUMIFS(Sales_Data!$O$2:$O$3520,Sales_Data!$C$2:$C$3520,$A79,Sales_Data!$F$2:$F$3520,C$7,Sales_Data!$AE$2:$AE$3520,1),SUMIFS(Sales_Data!$M$2:$M$3520,Sales_Data!$C$2:$C$3520,$A79,Sales_Data!$F$2:$F$3520,C$7,Sales_Data!$AE$2:$AE$3520,1),SUMIFS(Sales_Data!$N$2:$N$3520,Sales_Data!$C$2:$C$3520,$A79,Sales_Data!$F$2:$F$3520,C$7,Sales_Data!$AE$2:$AE$3520,1),SUMIFS(Sales_Data!$AE$2:$AE$3520,Sales_Data!$C$2:$C$3520,$A79,Sales_Data!$F$2:$F$3520,C$7)))</f>
        <v>0</v>
      </c>
      <c r="D79" s="26" t="n">
        <f aca="false">IF(D$7="","",CHOOSE(MATCH($B$4,Lists!$C$2:$C$5,0),SUMIFS(Sales_Data!$O$2:$O$3520,Sales_Data!$C$2:$C$3520,$A79,Sales_Data!$F$2:$F$3520,D$7,Sales_Data!$AE$2:$AE$3520,1),SUMIFS(Sales_Data!$M$2:$M$3520,Sales_Data!$C$2:$C$3520,$A79,Sales_Data!$F$2:$F$3520,D$7,Sales_Data!$AE$2:$AE$3520,1),SUMIFS(Sales_Data!$N$2:$N$3520,Sales_Data!$C$2:$C$3520,$A79,Sales_Data!$F$2:$F$3520,D$7,Sales_Data!$AE$2:$AE$3520,1),SUMIFS(Sales_Data!$AE$2:$AE$3520,Sales_Data!$C$2:$C$3520,$A79,Sales_Data!$F$2:$F$3520,D$7)))</f>
        <v>0</v>
      </c>
      <c r="E79" s="26" t="n">
        <f aca="false">IF(E$7="","",CHOOSE(MATCH($B$4,Lists!$C$2:$C$5,0),SUMIFS(Sales_Data!$O$2:$O$3520,Sales_Data!$C$2:$C$3520,$A79,Sales_Data!$F$2:$F$3520,E$7,Sales_Data!$AE$2:$AE$3520,1),SUMIFS(Sales_Data!$M$2:$M$3520,Sales_Data!$C$2:$C$3520,$A79,Sales_Data!$F$2:$F$3520,E$7,Sales_Data!$AE$2:$AE$3520,1),SUMIFS(Sales_Data!$N$2:$N$3520,Sales_Data!$C$2:$C$3520,$A79,Sales_Data!$F$2:$F$3520,E$7,Sales_Data!$AE$2:$AE$3520,1),SUMIFS(Sales_Data!$AE$2:$AE$3520,Sales_Data!$C$2:$C$3520,$A79,Sales_Data!$F$2:$F$3520,E$7)))</f>
        <v>0</v>
      </c>
      <c r="F79" s="26" t="n">
        <f aca="false">IF(F$7="","",CHOOSE(MATCH($B$4,Lists!$C$2:$C$5,0),SUMIFS(Sales_Data!$O$2:$O$3520,Sales_Data!$C$2:$C$3520,$A79,Sales_Data!$F$2:$F$3520,F$7,Sales_Data!$AE$2:$AE$3520,1),SUMIFS(Sales_Data!$M$2:$M$3520,Sales_Data!$C$2:$C$3520,$A79,Sales_Data!$F$2:$F$3520,F$7,Sales_Data!$AE$2:$AE$3520,1),SUMIFS(Sales_Data!$N$2:$N$3520,Sales_Data!$C$2:$C$3520,$A79,Sales_Data!$F$2:$F$3520,F$7,Sales_Data!$AE$2:$AE$3520,1),SUMIFS(Sales_Data!$AE$2:$AE$3520,Sales_Data!$C$2:$C$3520,$A79,Sales_Data!$F$2:$F$3520,F$7)))</f>
        <v>0</v>
      </c>
      <c r="G79" s="26" t="n">
        <f aca="false">IF(G$7="","",CHOOSE(MATCH($B$4,Lists!$C$2:$C$5,0),SUMIFS(Sales_Data!$O$2:$O$3520,Sales_Data!$C$2:$C$3520,$A79,Sales_Data!$F$2:$F$3520,G$7,Sales_Data!$AE$2:$AE$3520,1),SUMIFS(Sales_Data!$M$2:$M$3520,Sales_Data!$C$2:$C$3520,$A79,Sales_Data!$F$2:$F$3520,G$7,Sales_Data!$AE$2:$AE$3520,1),SUMIFS(Sales_Data!$N$2:$N$3520,Sales_Data!$C$2:$C$3520,$A79,Sales_Data!$F$2:$F$3520,G$7,Sales_Data!$AE$2:$AE$3520,1),SUMIFS(Sales_Data!$AE$2:$AE$3520,Sales_Data!$C$2:$C$3520,$A79,Sales_Data!$F$2:$F$3520,G$7)))</f>
        <v>5</v>
      </c>
      <c r="H79" s="26" t="n">
        <f aca="false">IF(H$7="","",CHOOSE(MATCH($B$4,Lists!$C$2:$C$5,0),SUMIFS(Sales_Data!$O$2:$O$3520,Sales_Data!$C$2:$C$3520,$A79,Sales_Data!$F$2:$F$3520,H$7,Sales_Data!$AE$2:$AE$3520,1),SUMIFS(Sales_Data!$M$2:$M$3520,Sales_Data!$C$2:$C$3520,$A79,Sales_Data!$F$2:$F$3520,H$7,Sales_Data!$AE$2:$AE$3520,1),SUMIFS(Sales_Data!$N$2:$N$3520,Sales_Data!$C$2:$C$3520,$A79,Sales_Data!$F$2:$F$3520,H$7,Sales_Data!$AE$2:$AE$3520,1),SUMIFS(Sales_Data!$AE$2:$AE$3520,Sales_Data!$C$2:$C$3520,$A79,Sales_Data!$F$2:$F$3520,H$7)))</f>
        <v>0</v>
      </c>
      <c r="I79" s="26" t="n">
        <f aca="false">IF(I$7="","",CHOOSE(MATCH($B$4,Lists!$C$2:$C$5,0),SUMIFS(Sales_Data!$O$2:$O$3520,Sales_Data!$C$2:$C$3520,$A79,Sales_Data!$F$2:$F$3520,I$7,Sales_Data!$AE$2:$AE$3520,1),SUMIFS(Sales_Data!$M$2:$M$3520,Sales_Data!$C$2:$C$3520,$A79,Sales_Data!$F$2:$F$3520,I$7,Sales_Data!$AE$2:$AE$3520,1),SUMIFS(Sales_Data!$N$2:$N$3520,Sales_Data!$C$2:$C$3520,$A79,Sales_Data!$F$2:$F$3520,I$7,Sales_Data!$AE$2:$AE$3520,1),SUMIFS(Sales_Data!$AE$2:$AE$3520,Sales_Data!$C$2:$C$3520,$A79,Sales_Data!$F$2:$F$3520,I$7)))</f>
        <v>0</v>
      </c>
      <c r="J79" s="26" t="n">
        <f aca="false">IF(J$7="","",CHOOSE(MATCH($B$4,Lists!$C$2:$C$5,0),SUMIFS(Sales_Data!$O$2:$O$3520,Sales_Data!$C$2:$C$3520,$A79,Sales_Data!$F$2:$F$3520,J$7,Sales_Data!$AE$2:$AE$3520,1),SUMIFS(Sales_Data!$M$2:$M$3520,Sales_Data!$C$2:$C$3520,$A79,Sales_Data!$F$2:$F$3520,J$7,Sales_Data!$AE$2:$AE$3520,1),SUMIFS(Sales_Data!$N$2:$N$3520,Sales_Data!$C$2:$C$3520,$A79,Sales_Data!$F$2:$F$3520,J$7,Sales_Data!$AE$2:$AE$3520,1),SUMIFS(Sales_Data!$AE$2:$AE$3520,Sales_Data!$C$2:$C$3520,$A79,Sales_Data!$F$2:$F$3520,J$7)))</f>
        <v>0</v>
      </c>
      <c r="K79" s="26" t="n">
        <f aca="false">IF(K$7="","",CHOOSE(MATCH($B$4,Lists!$C$2:$C$5,0),SUMIFS(Sales_Data!$O$2:$O$3520,Sales_Data!$C$2:$C$3520,$A79,Sales_Data!$F$2:$F$3520,K$7,Sales_Data!$AE$2:$AE$3520,1),SUMIFS(Sales_Data!$M$2:$M$3520,Sales_Data!$C$2:$C$3520,$A79,Sales_Data!$F$2:$F$3520,K$7,Sales_Data!$AE$2:$AE$3520,1),SUMIFS(Sales_Data!$N$2:$N$3520,Sales_Data!$C$2:$C$3520,$A79,Sales_Data!$F$2:$F$3520,K$7,Sales_Data!$AE$2:$AE$3520,1),SUMIFS(Sales_Data!$AE$2:$AE$3520,Sales_Data!$C$2:$C$3520,$A79,Sales_Data!$F$2:$F$3520,K$7)))</f>
        <v>0</v>
      </c>
      <c r="L79" s="26" t="n">
        <f aca="false">IF(L$7="","",CHOOSE(MATCH($B$4,Lists!$C$2:$C$5,0),SUMIFS(Sales_Data!$O$2:$O$3520,Sales_Data!$C$2:$C$3520,$A79,Sales_Data!$F$2:$F$3520,L$7,Sales_Data!$AE$2:$AE$3520,1),SUMIFS(Sales_Data!$M$2:$M$3520,Sales_Data!$C$2:$C$3520,$A79,Sales_Data!$F$2:$F$3520,L$7,Sales_Data!$AE$2:$AE$3520,1),SUMIFS(Sales_Data!$N$2:$N$3520,Sales_Data!$C$2:$C$3520,$A79,Sales_Data!$F$2:$F$3520,L$7,Sales_Data!$AE$2:$AE$3520,1),SUMIFS(Sales_Data!$AE$2:$AE$3520,Sales_Data!$C$2:$C$3520,$A79,Sales_Data!$F$2:$F$3520,L$7)))</f>
        <v>0</v>
      </c>
      <c r="M79" s="26" t="n">
        <f aca="false">IF(M$7="","",CHOOSE(MATCH($B$4,Lists!$C$2:$C$5,0),SUMIFS(Sales_Data!$O$2:$O$3520,Sales_Data!$C$2:$C$3520,$A79,Sales_Data!$F$2:$F$3520,M$7,Sales_Data!$AE$2:$AE$3520,1),SUMIFS(Sales_Data!$M$2:$M$3520,Sales_Data!$C$2:$C$3520,$A79,Sales_Data!$F$2:$F$3520,M$7,Sales_Data!$AE$2:$AE$3520,1),SUMIFS(Sales_Data!$N$2:$N$3520,Sales_Data!$C$2:$C$3520,$A79,Sales_Data!$F$2:$F$3520,M$7,Sales_Data!$AE$2:$AE$3520,1),SUMIFS(Sales_Data!$AE$2:$AE$3520,Sales_Data!$C$2:$C$3520,$A79,Sales_Data!$F$2:$F$3520,M$7)))</f>
        <v>0</v>
      </c>
      <c r="N79" s="26" t="n">
        <f aca="false">IF(N$7="","",CHOOSE(MATCH($B$4,Lists!$C$2:$C$5,0),SUMIFS(Sales_Data!$O$2:$O$3520,Sales_Data!$C$2:$C$3520,$A79,Sales_Data!$F$2:$F$3520,N$7,Sales_Data!$AE$2:$AE$3520,1),SUMIFS(Sales_Data!$M$2:$M$3520,Sales_Data!$C$2:$C$3520,$A79,Sales_Data!$F$2:$F$3520,N$7,Sales_Data!$AE$2:$AE$3520,1),SUMIFS(Sales_Data!$N$2:$N$3520,Sales_Data!$C$2:$C$3520,$A79,Sales_Data!$F$2:$F$3520,N$7,Sales_Data!$AE$2:$AE$3520,1),SUMIFS(Sales_Data!$AE$2:$AE$3520,Sales_Data!$C$2:$C$3520,$A79,Sales_Data!$F$2:$F$3520,N$7)))</f>
        <v>0</v>
      </c>
      <c r="O79" s="26" t="n">
        <f aca="false">IF(O$7="","",CHOOSE(MATCH($B$4,Lists!$C$2:$C$5,0),SUMIFS(Sales_Data!$O$2:$O$3520,Sales_Data!$C$2:$C$3520,$A79,Sales_Data!$F$2:$F$3520,O$7,Sales_Data!$AE$2:$AE$3520,1),SUMIFS(Sales_Data!$M$2:$M$3520,Sales_Data!$C$2:$C$3520,$A79,Sales_Data!$F$2:$F$3520,O$7,Sales_Data!$AE$2:$AE$3520,1),SUMIFS(Sales_Data!$N$2:$N$3520,Sales_Data!$C$2:$C$3520,$A79,Sales_Data!$F$2:$F$3520,O$7,Sales_Data!$AE$2:$AE$3520,1),SUMIFS(Sales_Data!$AE$2:$AE$3520,Sales_Data!$C$2:$C$3520,$A79,Sales_Data!$F$2:$F$3520,O$7)))</f>
        <v>0</v>
      </c>
      <c r="P79" s="26" t="n">
        <f aca="false">IF(P$7="","",CHOOSE(MATCH($B$4,Lists!$C$2:$C$5,0),SUMIFS(Sales_Data!$O$2:$O$3520,Sales_Data!$C$2:$C$3520,$A79,Sales_Data!$F$2:$F$3520,P$7,Sales_Data!$AE$2:$AE$3520,1),SUMIFS(Sales_Data!$M$2:$M$3520,Sales_Data!$C$2:$C$3520,$A79,Sales_Data!$F$2:$F$3520,P$7,Sales_Data!$AE$2:$AE$3520,1),SUMIFS(Sales_Data!$N$2:$N$3520,Sales_Data!$C$2:$C$3520,$A79,Sales_Data!$F$2:$F$3520,P$7,Sales_Data!$AE$2:$AE$3520,1),SUMIFS(Sales_Data!$AE$2:$AE$3520,Sales_Data!$C$2:$C$3520,$A79,Sales_Data!$F$2:$F$3520,P$7)))</f>
        <v>0</v>
      </c>
      <c r="Q79" s="26" t="n">
        <f aca="false">IF(Q$7="","",CHOOSE(MATCH($B$4,Lists!$C$2:$C$5,0),SUMIFS(Sales_Data!$O$2:$O$3520,Sales_Data!$C$2:$C$3520,$A79,Sales_Data!$F$2:$F$3520,Q$7,Sales_Data!$AE$2:$AE$3520,1),SUMIFS(Sales_Data!$M$2:$M$3520,Sales_Data!$C$2:$C$3520,$A79,Sales_Data!$F$2:$F$3520,Q$7,Sales_Data!$AE$2:$AE$3520,1),SUMIFS(Sales_Data!$N$2:$N$3520,Sales_Data!$C$2:$C$3520,$A79,Sales_Data!$F$2:$F$3520,Q$7,Sales_Data!$AE$2:$AE$3520,1),SUMIFS(Sales_Data!$AE$2:$AE$3520,Sales_Data!$C$2:$C$3520,$A79,Sales_Data!$F$2:$F$3520,Q$7)))</f>
        <v>0</v>
      </c>
      <c r="R79" s="26" t="n">
        <f aca="false">IF(R$7="","",CHOOSE(MATCH($B$4,Lists!$C$2:$C$5,0),SUMIFS(Sales_Data!$O$2:$O$3520,Sales_Data!$C$2:$C$3520,$A79,Sales_Data!$F$2:$F$3520,R$7,Sales_Data!$AE$2:$AE$3520,1),SUMIFS(Sales_Data!$M$2:$M$3520,Sales_Data!$C$2:$C$3520,$A79,Sales_Data!$F$2:$F$3520,R$7,Sales_Data!$AE$2:$AE$3520,1),SUMIFS(Sales_Data!$N$2:$N$3520,Sales_Data!$C$2:$C$3520,$A79,Sales_Data!$F$2:$F$3520,R$7,Sales_Data!$AE$2:$AE$3520,1),SUMIFS(Sales_Data!$AE$2:$AE$3520,Sales_Data!$C$2:$C$3520,$A79,Sales_Data!$F$2:$F$3520,R$7)))</f>
        <v>0</v>
      </c>
      <c r="S79" s="26" t="n">
        <f aca="false">IF(S$7="","",CHOOSE(MATCH($B$4,Lists!$C$2:$C$5,0),SUMIFS(Sales_Data!$O$2:$O$3520,Sales_Data!$C$2:$C$3520,$A79,Sales_Data!$F$2:$F$3520,S$7,Sales_Data!$AE$2:$AE$3520,1),SUMIFS(Sales_Data!$M$2:$M$3520,Sales_Data!$C$2:$C$3520,$A79,Sales_Data!$F$2:$F$3520,S$7,Sales_Data!$AE$2:$AE$3520,1),SUMIFS(Sales_Data!$N$2:$N$3520,Sales_Data!$C$2:$C$3520,$A79,Sales_Data!$F$2:$F$3520,S$7,Sales_Data!$AE$2:$AE$3520,1),SUMIFS(Sales_Data!$AE$2:$AE$3520,Sales_Data!$C$2:$C$3520,$A79,Sales_Data!$F$2:$F$3520,S$7)))</f>
        <v>0</v>
      </c>
      <c r="T79" s="26" t="str">
        <f aca="false">IF(T$7="","",CHOOSE(MATCH($B$4,Lists!$C$2:$C$5,0),SUMIFS(Sales_Data!$O$2:$O$3520,Sales_Data!$C$2:$C$3520,$A79,Sales_Data!$F$2:$F$3520,T$7,Sales_Data!$AE$2:$AE$3520,1),SUMIFS(Sales_Data!$M$2:$M$3520,Sales_Data!$C$2:$C$3520,$A79,Sales_Data!$F$2:$F$3520,T$7,Sales_Data!$AE$2:$AE$3520,1),SUMIFS(Sales_Data!$N$2:$N$3520,Sales_Data!$C$2:$C$3520,$A79,Sales_Data!$F$2:$F$3520,T$7,Sales_Data!$AE$2:$AE$3520,1),SUMIFS(Sales_Data!$AE$2:$AE$3520,Sales_Data!$C$2:$C$3520,$A79,Sales_Data!$F$2:$F$3520,T$7)))</f>
        <v/>
      </c>
      <c r="U79" s="26" t="str">
        <f aca="false">IF(U$7="","",CHOOSE(MATCH($B$4,Lists!$C$2:$C$5,0),SUMIFS(Sales_Data!$O$2:$O$3520,Sales_Data!$C$2:$C$3520,$A79,Sales_Data!$F$2:$F$3520,U$7,Sales_Data!$AE$2:$AE$3520,1),SUMIFS(Sales_Data!$M$2:$M$3520,Sales_Data!$C$2:$C$3520,$A79,Sales_Data!$F$2:$F$3520,U$7,Sales_Data!$AE$2:$AE$3520,1),SUMIFS(Sales_Data!$N$2:$N$3520,Sales_Data!$C$2:$C$3520,$A79,Sales_Data!$F$2:$F$3520,U$7,Sales_Data!$AE$2:$AE$3520,1),SUMIFS(Sales_Data!$AE$2:$AE$3520,Sales_Data!$C$2:$C$3520,$A79,Sales_Data!$F$2:$F$3520,U$7)))</f>
        <v/>
      </c>
      <c r="V79" s="26" t="str">
        <f aca="false">IF(V$7="","",CHOOSE(MATCH($B$4,Lists!$C$2:$C$5,0),SUMIFS(Sales_Data!$O$2:$O$3520,Sales_Data!$C$2:$C$3520,$A79,Sales_Data!$F$2:$F$3520,V$7,Sales_Data!$AE$2:$AE$3520,1),SUMIFS(Sales_Data!$M$2:$M$3520,Sales_Data!$C$2:$C$3520,$A79,Sales_Data!$F$2:$F$3520,V$7,Sales_Data!$AE$2:$AE$3520,1),SUMIFS(Sales_Data!$N$2:$N$3520,Sales_Data!$C$2:$C$3520,$A79,Sales_Data!$F$2:$F$3520,V$7,Sales_Data!$AE$2:$AE$3520,1),SUMIFS(Sales_Data!$AE$2:$AE$3520,Sales_Data!$C$2:$C$3520,$A79,Sales_Data!$F$2:$F$3520,V$7)))</f>
        <v/>
      </c>
      <c r="W79" s="26" t="str">
        <f aca="false">IF(W$7="","",CHOOSE(MATCH($B$4,Lists!$C$2:$C$5,0),SUMIFS(Sales_Data!$O$2:$O$3520,Sales_Data!$C$2:$C$3520,$A79,Sales_Data!$F$2:$F$3520,W$7,Sales_Data!$AE$2:$AE$3520,1),SUMIFS(Sales_Data!$M$2:$M$3520,Sales_Data!$C$2:$C$3520,$A79,Sales_Data!$F$2:$F$3520,W$7,Sales_Data!$AE$2:$AE$3520,1),SUMIFS(Sales_Data!$N$2:$N$3520,Sales_Data!$C$2:$C$3520,$A79,Sales_Data!$F$2:$F$3520,W$7,Sales_Data!$AE$2:$AE$3520,1),SUMIFS(Sales_Data!$AE$2:$AE$3520,Sales_Data!$C$2:$C$3520,$A79,Sales_Data!$F$2:$F$3520,W$7)))</f>
        <v/>
      </c>
      <c r="X79" s="26" t="str">
        <f aca="false">IF(X$7="","",CHOOSE(MATCH($B$4,Lists!$C$2:$C$5,0),SUMIFS(Sales_Data!$O$2:$O$3520,Sales_Data!$C$2:$C$3520,$A79,Sales_Data!$F$2:$F$3520,X$7,Sales_Data!$AE$2:$AE$3520,1),SUMIFS(Sales_Data!$M$2:$M$3520,Sales_Data!$C$2:$C$3520,$A79,Sales_Data!$F$2:$F$3520,X$7,Sales_Data!$AE$2:$AE$3520,1),SUMIFS(Sales_Data!$N$2:$N$3520,Sales_Data!$C$2:$C$3520,$A79,Sales_Data!$F$2:$F$3520,X$7,Sales_Data!$AE$2:$AE$3520,1),SUMIFS(Sales_Data!$AE$2:$AE$3520,Sales_Data!$C$2:$C$3520,$A79,Sales_Data!$F$2:$F$3520,X$7)))</f>
        <v/>
      </c>
      <c r="Y79" s="26" t="str">
        <f aca="false">IF(Y$7="","",CHOOSE(MATCH($B$4,Lists!$C$2:$C$5,0),SUMIFS(Sales_Data!$O$2:$O$3520,Sales_Data!$C$2:$C$3520,$A79,Sales_Data!$F$2:$F$3520,Y$7,Sales_Data!$AE$2:$AE$3520,1),SUMIFS(Sales_Data!$M$2:$M$3520,Sales_Data!$C$2:$C$3520,$A79,Sales_Data!$F$2:$F$3520,Y$7,Sales_Data!$AE$2:$AE$3520,1),SUMIFS(Sales_Data!$N$2:$N$3520,Sales_Data!$C$2:$C$3520,$A79,Sales_Data!$F$2:$F$3520,Y$7,Sales_Data!$AE$2:$AE$3520,1),SUMIFS(Sales_Data!$AE$2:$AE$3520,Sales_Data!$C$2:$C$3520,$A79,Sales_Data!$F$2:$F$3520,Y$7)))</f>
        <v/>
      </c>
      <c r="Z79" s="26" t="str">
        <f aca="false">IF(Z$7="","",CHOOSE(MATCH($B$4,Lists!$C$2:$C$5,0),SUMIFS(Sales_Data!$O$2:$O$3520,Sales_Data!$C$2:$C$3520,$A79,Sales_Data!$F$2:$F$3520,Z$7,Sales_Data!$AE$2:$AE$3520,1),SUMIFS(Sales_Data!$M$2:$M$3520,Sales_Data!$C$2:$C$3520,$A79,Sales_Data!$F$2:$F$3520,Z$7,Sales_Data!$AE$2:$AE$3520,1),SUMIFS(Sales_Data!$N$2:$N$3520,Sales_Data!$C$2:$C$3520,$A79,Sales_Data!$F$2:$F$3520,Z$7,Sales_Data!$AE$2:$AE$3520,1),SUMIFS(Sales_Data!$AE$2:$AE$3520,Sales_Data!$C$2:$C$3520,$A79,Sales_Data!$F$2:$F$3520,Z$7)))</f>
        <v/>
      </c>
      <c r="AA79" s="27" t="n">
        <f aca="false">SUM(B79:Z79)</f>
        <v>5</v>
      </c>
      <c r="AB79" s="3"/>
      <c r="AC79" s="72" t="n">
        <f aca="false">A79</f>
        <v>46286</v>
      </c>
      <c r="AD79" s="28" t="n">
        <f aca="false">IF(B79="","",B79-B78)</f>
        <v>0</v>
      </c>
      <c r="AE79" s="28" t="n">
        <f aca="false">IF(C79="","",C79-C78)</f>
        <v>0</v>
      </c>
      <c r="AF79" s="28" t="n">
        <f aca="false">IF(D79="","",D79-D78)</f>
        <v>0</v>
      </c>
      <c r="AG79" s="28" t="n">
        <f aca="false">IF(E79="","",E79-E78)</f>
        <v>0</v>
      </c>
      <c r="AH79" s="28" t="n">
        <f aca="false">IF(F79="","",F79-F78)</f>
        <v>0</v>
      </c>
      <c r="AI79" s="28" t="n">
        <f aca="false">IF(G79="","",G79-G78)</f>
        <v>4</v>
      </c>
      <c r="AJ79" s="28" t="n">
        <f aca="false">IF(H79="","",H79-H78)</f>
        <v>0</v>
      </c>
      <c r="AK79" s="28" t="n">
        <f aca="false">IF(I79="","",I79-I78)</f>
        <v>0</v>
      </c>
      <c r="AL79" s="28" t="n">
        <f aca="false">IF(J79="","",J79-J78)</f>
        <v>0</v>
      </c>
      <c r="AM79" s="28" t="n">
        <f aca="false">IF(K79="","",K79-K78)</f>
        <v>0</v>
      </c>
      <c r="AN79" s="28" t="n">
        <f aca="false">IF(L79="","",L79-L78)</f>
        <v>0</v>
      </c>
      <c r="AO79" s="28" t="n">
        <f aca="false">IF(M79="","",M79-M78)</f>
        <v>0</v>
      </c>
      <c r="AP79" s="28" t="n">
        <f aca="false">IF(N79="","",N79-N78)</f>
        <v>0</v>
      </c>
      <c r="AQ79" s="28" t="n">
        <f aca="false">IF(O79="","",O79-O78)</f>
        <v>0</v>
      </c>
      <c r="AR79" s="28" t="n">
        <f aca="false">IF(P79="","",P79-P78)</f>
        <v>0</v>
      </c>
      <c r="AS79" s="28" t="n">
        <f aca="false">IF(Q79="","",Q79-Q78)</f>
        <v>0</v>
      </c>
      <c r="AT79" s="28" t="n">
        <f aca="false">IF(R79="","",R79-R78)</f>
        <v>0</v>
      </c>
      <c r="AU79" s="28" t="n">
        <f aca="false">IF(S79="","",S79-S78)</f>
        <v>0</v>
      </c>
      <c r="AV79" s="28" t="str">
        <f aca="false">IF(T79="","",T79-T78)</f>
        <v/>
      </c>
      <c r="AW79" s="28" t="str">
        <f aca="false">IF(U79="","",U79-U78)</f>
        <v/>
      </c>
      <c r="AX79" s="28" t="str">
        <f aca="false">IF(V79="","",V79-V78)</f>
        <v/>
      </c>
      <c r="AY79" s="28" t="str">
        <f aca="false">IF(W79="","",W79-W78)</f>
        <v/>
      </c>
      <c r="AZ79" s="28" t="str">
        <f aca="false">IF(X79="","",X79-X78)</f>
        <v/>
      </c>
      <c r="BA79" s="28" t="str">
        <f aca="false">IF(Y79="","",Y79-Y78)</f>
        <v/>
      </c>
      <c r="BB79" s="28" t="str">
        <f aca="false">IF(Z79="","",Z79-Z78)</f>
        <v/>
      </c>
      <c r="BC79" s="28" t="n">
        <f aca="false">IF(AA79="","",AA79-AA78)</f>
        <v>4</v>
      </c>
    </row>
    <row r="80" customFormat="false" ht="15" hidden="false" customHeight="false" outlineLevel="0" collapsed="false">
      <c r="A80" s="72" t="n">
        <v>46287</v>
      </c>
      <c r="B80" s="26" t="n">
        <f aca="false">IF(B$7="","",CHOOSE(MATCH($B$4,Lists!$C$2:$C$5,0),SUMIFS(Sales_Data!$O$2:$O$3520,Sales_Data!$C$2:$C$3520,$A80,Sales_Data!$F$2:$F$3520,B$7,Sales_Data!$AE$2:$AE$3520,1),SUMIFS(Sales_Data!$M$2:$M$3520,Sales_Data!$C$2:$C$3520,$A80,Sales_Data!$F$2:$F$3520,B$7,Sales_Data!$AE$2:$AE$3520,1),SUMIFS(Sales_Data!$N$2:$N$3520,Sales_Data!$C$2:$C$3520,$A80,Sales_Data!$F$2:$F$3520,B$7,Sales_Data!$AE$2:$AE$3520,1),SUMIFS(Sales_Data!$AE$2:$AE$3520,Sales_Data!$C$2:$C$3520,$A80,Sales_Data!$F$2:$F$3520,B$7)))</f>
        <v>0</v>
      </c>
      <c r="C80" s="26" t="n">
        <f aca="false">IF(C$7="","",CHOOSE(MATCH($B$4,Lists!$C$2:$C$5,0),SUMIFS(Sales_Data!$O$2:$O$3520,Sales_Data!$C$2:$C$3520,$A80,Sales_Data!$F$2:$F$3520,C$7,Sales_Data!$AE$2:$AE$3520,1),SUMIFS(Sales_Data!$M$2:$M$3520,Sales_Data!$C$2:$C$3520,$A80,Sales_Data!$F$2:$F$3520,C$7,Sales_Data!$AE$2:$AE$3520,1),SUMIFS(Sales_Data!$N$2:$N$3520,Sales_Data!$C$2:$C$3520,$A80,Sales_Data!$F$2:$F$3520,C$7,Sales_Data!$AE$2:$AE$3520,1),SUMIFS(Sales_Data!$AE$2:$AE$3520,Sales_Data!$C$2:$C$3520,$A80,Sales_Data!$F$2:$F$3520,C$7)))</f>
        <v>0</v>
      </c>
      <c r="D80" s="26" t="n">
        <f aca="false">IF(D$7="","",CHOOSE(MATCH($B$4,Lists!$C$2:$C$5,0),SUMIFS(Sales_Data!$O$2:$O$3520,Sales_Data!$C$2:$C$3520,$A80,Sales_Data!$F$2:$F$3520,D$7,Sales_Data!$AE$2:$AE$3520,1),SUMIFS(Sales_Data!$M$2:$M$3520,Sales_Data!$C$2:$C$3520,$A80,Sales_Data!$F$2:$F$3520,D$7,Sales_Data!$AE$2:$AE$3520,1),SUMIFS(Sales_Data!$N$2:$N$3520,Sales_Data!$C$2:$C$3520,$A80,Sales_Data!$F$2:$F$3520,D$7,Sales_Data!$AE$2:$AE$3520,1),SUMIFS(Sales_Data!$AE$2:$AE$3520,Sales_Data!$C$2:$C$3520,$A80,Sales_Data!$F$2:$F$3520,D$7)))</f>
        <v>0</v>
      </c>
      <c r="E80" s="26" t="n">
        <f aca="false">IF(E$7="","",CHOOSE(MATCH($B$4,Lists!$C$2:$C$5,0),SUMIFS(Sales_Data!$O$2:$O$3520,Sales_Data!$C$2:$C$3520,$A80,Sales_Data!$F$2:$F$3520,E$7,Sales_Data!$AE$2:$AE$3520,1),SUMIFS(Sales_Data!$M$2:$M$3520,Sales_Data!$C$2:$C$3520,$A80,Sales_Data!$F$2:$F$3520,E$7,Sales_Data!$AE$2:$AE$3520,1),SUMIFS(Sales_Data!$N$2:$N$3520,Sales_Data!$C$2:$C$3520,$A80,Sales_Data!$F$2:$F$3520,E$7,Sales_Data!$AE$2:$AE$3520,1),SUMIFS(Sales_Data!$AE$2:$AE$3520,Sales_Data!$C$2:$C$3520,$A80,Sales_Data!$F$2:$F$3520,E$7)))</f>
        <v>0</v>
      </c>
      <c r="F80" s="26" t="n">
        <f aca="false">IF(F$7="","",CHOOSE(MATCH($B$4,Lists!$C$2:$C$5,0),SUMIFS(Sales_Data!$O$2:$O$3520,Sales_Data!$C$2:$C$3520,$A80,Sales_Data!$F$2:$F$3520,F$7,Sales_Data!$AE$2:$AE$3520,1),SUMIFS(Sales_Data!$M$2:$M$3520,Sales_Data!$C$2:$C$3520,$A80,Sales_Data!$F$2:$F$3520,F$7,Sales_Data!$AE$2:$AE$3520,1),SUMIFS(Sales_Data!$N$2:$N$3520,Sales_Data!$C$2:$C$3520,$A80,Sales_Data!$F$2:$F$3520,F$7,Sales_Data!$AE$2:$AE$3520,1),SUMIFS(Sales_Data!$AE$2:$AE$3520,Sales_Data!$C$2:$C$3520,$A80,Sales_Data!$F$2:$F$3520,F$7)))</f>
        <v>0</v>
      </c>
      <c r="G80" s="26" t="n">
        <f aca="false">IF(G$7="","",CHOOSE(MATCH($B$4,Lists!$C$2:$C$5,0),SUMIFS(Sales_Data!$O$2:$O$3520,Sales_Data!$C$2:$C$3520,$A80,Sales_Data!$F$2:$F$3520,G$7,Sales_Data!$AE$2:$AE$3520,1),SUMIFS(Sales_Data!$M$2:$M$3520,Sales_Data!$C$2:$C$3520,$A80,Sales_Data!$F$2:$F$3520,G$7,Sales_Data!$AE$2:$AE$3520,1),SUMIFS(Sales_Data!$N$2:$N$3520,Sales_Data!$C$2:$C$3520,$A80,Sales_Data!$F$2:$F$3520,G$7,Sales_Data!$AE$2:$AE$3520,1),SUMIFS(Sales_Data!$AE$2:$AE$3520,Sales_Data!$C$2:$C$3520,$A80,Sales_Data!$F$2:$F$3520,G$7)))</f>
        <v>2</v>
      </c>
      <c r="H80" s="26" t="n">
        <f aca="false">IF(H$7="","",CHOOSE(MATCH($B$4,Lists!$C$2:$C$5,0),SUMIFS(Sales_Data!$O$2:$O$3520,Sales_Data!$C$2:$C$3520,$A80,Sales_Data!$F$2:$F$3520,H$7,Sales_Data!$AE$2:$AE$3520,1),SUMIFS(Sales_Data!$M$2:$M$3520,Sales_Data!$C$2:$C$3520,$A80,Sales_Data!$F$2:$F$3520,H$7,Sales_Data!$AE$2:$AE$3520,1),SUMIFS(Sales_Data!$N$2:$N$3520,Sales_Data!$C$2:$C$3520,$A80,Sales_Data!$F$2:$F$3520,H$7,Sales_Data!$AE$2:$AE$3520,1),SUMIFS(Sales_Data!$AE$2:$AE$3520,Sales_Data!$C$2:$C$3520,$A80,Sales_Data!$F$2:$F$3520,H$7)))</f>
        <v>0</v>
      </c>
      <c r="I80" s="26" t="n">
        <f aca="false">IF(I$7="","",CHOOSE(MATCH($B$4,Lists!$C$2:$C$5,0),SUMIFS(Sales_Data!$O$2:$O$3520,Sales_Data!$C$2:$C$3520,$A80,Sales_Data!$F$2:$F$3520,I$7,Sales_Data!$AE$2:$AE$3520,1),SUMIFS(Sales_Data!$M$2:$M$3520,Sales_Data!$C$2:$C$3520,$A80,Sales_Data!$F$2:$F$3520,I$7,Sales_Data!$AE$2:$AE$3520,1),SUMIFS(Sales_Data!$N$2:$N$3520,Sales_Data!$C$2:$C$3520,$A80,Sales_Data!$F$2:$F$3520,I$7,Sales_Data!$AE$2:$AE$3520,1),SUMIFS(Sales_Data!$AE$2:$AE$3520,Sales_Data!$C$2:$C$3520,$A80,Sales_Data!$F$2:$F$3520,I$7)))</f>
        <v>0</v>
      </c>
      <c r="J80" s="26" t="n">
        <f aca="false">IF(J$7="","",CHOOSE(MATCH($B$4,Lists!$C$2:$C$5,0),SUMIFS(Sales_Data!$O$2:$O$3520,Sales_Data!$C$2:$C$3520,$A80,Sales_Data!$F$2:$F$3520,J$7,Sales_Data!$AE$2:$AE$3520,1),SUMIFS(Sales_Data!$M$2:$M$3520,Sales_Data!$C$2:$C$3520,$A80,Sales_Data!$F$2:$F$3520,J$7,Sales_Data!$AE$2:$AE$3520,1),SUMIFS(Sales_Data!$N$2:$N$3520,Sales_Data!$C$2:$C$3520,$A80,Sales_Data!$F$2:$F$3520,J$7,Sales_Data!$AE$2:$AE$3520,1),SUMIFS(Sales_Data!$AE$2:$AE$3520,Sales_Data!$C$2:$C$3520,$A80,Sales_Data!$F$2:$F$3520,J$7)))</f>
        <v>0</v>
      </c>
      <c r="K80" s="26" t="n">
        <f aca="false">IF(K$7="","",CHOOSE(MATCH($B$4,Lists!$C$2:$C$5,0),SUMIFS(Sales_Data!$O$2:$O$3520,Sales_Data!$C$2:$C$3520,$A80,Sales_Data!$F$2:$F$3520,K$7,Sales_Data!$AE$2:$AE$3520,1),SUMIFS(Sales_Data!$M$2:$M$3520,Sales_Data!$C$2:$C$3520,$A80,Sales_Data!$F$2:$F$3520,K$7,Sales_Data!$AE$2:$AE$3520,1),SUMIFS(Sales_Data!$N$2:$N$3520,Sales_Data!$C$2:$C$3520,$A80,Sales_Data!$F$2:$F$3520,K$7,Sales_Data!$AE$2:$AE$3520,1),SUMIFS(Sales_Data!$AE$2:$AE$3520,Sales_Data!$C$2:$C$3520,$A80,Sales_Data!$F$2:$F$3520,K$7)))</f>
        <v>0</v>
      </c>
      <c r="L80" s="26" t="n">
        <f aca="false">IF(L$7="","",CHOOSE(MATCH($B$4,Lists!$C$2:$C$5,0),SUMIFS(Sales_Data!$O$2:$O$3520,Sales_Data!$C$2:$C$3520,$A80,Sales_Data!$F$2:$F$3520,L$7,Sales_Data!$AE$2:$AE$3520,1),SUMIFS(Sales_Data!$M$2:$M$3520,Sales_Data!$C$2:$C$3520,$A80,Sales_Data!$F$2:$F$3520,L$7,Sales_Data!$AE$2:$AE$3520,1),SUMIFS(Sales_Data!$N$2:$N$3520,Sales_Data!$C$2:$C$3520,$A80,Sales_Data!$F$2:$F$3520,L$7,Sales_Data!$AE$2:$AE$3520,1),SUMIFS(Sales_Data!$AE$2:$AE$3520,Sales_Data!$C$2:$C$3520,$A80,Sales_Data!$F$2:$F$3520,L$7)))</f>
        <v>0</v>
      </c>
      <c r="M80" s="26" t="n">
        <f aca="false">IF(M$7="","",CHOOSE(MATCH($B$4,Lists!$C$2:$C$5,0),SUMIFS(Sales_Data!$O$2:$O$3520,Sales_Data!$C$2:$C$3520,$A80,Sales_Data!$F$2:$F$3520,M$7,Sales_Data!$AE$2:$AE$3520,1),SUMIFS(Sales_Data!$M$2:$M$3520,Sales_Data!$C$2:$C$3520,$A80,Sales_Data!$F$2:$F$3520,M$7,Sales_Data!$AE$2:$AE$3520,1),SUMIFS(Sales_Data!$N$2:$N$3520,Sales_Data!$C$2:$C$3520,$A80,Sales_Data!$F$2:$F$3520,M$7,Sales_Data!$AE$2:$AE$3520,1),SUMIFS(Sales_Data!$AE$2:$AE$3520,Sales_Data!$C$2:$C$3520,$A80,Sales_Data!$F$2:$F$3520,M$7)))</f>
        <v>0</v>
      </c>
      <c r="N80" s="26" t="n">
        <f aca="false">IF(N$7="","",CHOOSE(MATCH($B$4,Lists!$C$2:$C$5,0),SUMIFS(Sales_Data!$O$2:$O$3520,Sales_Data!$C$2:$C$3520,$A80,Sales_Data!$F$2:$F$3520,N$7,Sales_Data!$AE$2:$AE$3520,1),SUMIFS(Sales_Data!$M$2:$M$3520,Sales_Data!$C$2:$C$3520,$A80,Sales_Data!$F$2:$F$3520,N$7,Sales_Data!$AE$2:$AE$3520,1),SUMIFS(Sales_Data!$N$2:$N$3520,Sales_Data!$C$2:$C$3520,$A80,Sales_Data!$F$2:$F$3520,N$7,Sales_Data!$AE$2:$AE$3520,1),SUMIFS(Sales_Data!$AE$2:$AE$3520,Sales_Data!$C$2:$C$3520,$A80,Sales_Data!$F$2:$F$3520,N$7)))</f>
        <v>0</v>
      </c>
      <c r="O80" s="26" t="n">
        <f aca="false">IF(O$7="","",CHOOSE(MATCH($B$4,Lists!$C$2:$C$5,0),SUMIFS(Sales_Data!$O$2:$O$3520,Sales_Data!$C$2:$C$3520,$A80,Sales_Data!$F$2:$F$3520,O$7,Sales_Data!$AE$2:$AE$3520,1),SUMIFS(Sales_Data!$M$2:$M$3520,Sales_Data!$C$2:$C$3520,$A80,Sales_Data!$F$2:$F$3520,O$7,Sales_Data!$AE$2:$AE$3520,1),SUMIFS(Sales_Data!$N$2:$N$3520,Sales_Data!$C$2:$C$3520,$A80,Sales_Data!$F$2:$F$3520,O$7,Sales_Data!$AE$2:$AE$3520,1),SUMIFS(Sales_Data!$AE$2:$AE$3520,Sales_Data!$C$2:$C$3520,$A80,Sales_Data!$F$2:$F$3520,O$7)))</f>
        <v>0</v>
      </c>
      <c r="P80" s="26" t="n">
        <f aca="false">IF(P$7="","",CHOOSE(MATCH($B$4,Lists!$C$2:$C$5,0),SUMIFS(Sales_Data!$O$2:$O$3520,Sales_Data!$C$2:$C$3520,$A80,Sales_Data!$F$2:$F$3520,P$7,Sales_Data!$AE$2:$AE$3520,1),SUMIFS(Sales_Data!$M$2:$M$3520,Sales_Data!$C$2:$C$3520,$A80,Sales_Data!$F$2:$F$3520,P$7,Sales_Data!$AE$2:$AE$3520,1),SUMIFS(Sales_Data!$N$2:$N$3520,Sales_Data!$C$2:$C$3520,$A80,Sales_Data!$F$2:$F$3520,P$7,Sales_Data!$AE$2:$AE$3520,1),SUMIFS(Sales_Data!$AE$2:$AE$3520,Sales_Data!$C$2:$C$3520,$A80,Sales_Data!$F$2:$F$3520,P$7)))</f>
        <v>0</v>
      </c>
      <c r="Q80" s="26" t="n">
        <f aca="false">IF(Q$7="","",CHOOSE(MATCH($B$4,Lists!$C$2:$C$5,0),SUMIFS(Sales_Data!$O$2:$O$3520,Sales_Data!$C$2:$C$3520,$A80,Sales_Data!$F$2:$F$3520,Q$7,Sales_Data!$AE$2:$AE$3520,1),SUMIFS(Sales_Data!$M$2:$M$3520,Sales_Data!$C$2:$C$3520,$A80,Sales_Data!$F$2:$F$3520,Q$7,Sales_Data!$AE$2:$AE$3520,1),SUMIFS(Sales_Data!$N$2:$N$3520,Sales_Data!$C$2:$C$3520,$A80,Sales_Data!$F$2:$F$3520,Q$7,Sales_Data!$AE$2:$AE$3520,1),SUMIFS(Sales_Data!$AE$2:$AE$3520,Sales_Data!$C$2:$C$3520,$A80,Sales_Data!$F$2:$F$3520,Q$7)))</f>
        <v>0</v>
      </c>
      <c r="R80" s="26" t="n">
        <f aca="false">IF(R$7="","",CHOOSE(MATCH($B$4,Lists!$C$2:$C$5,0),SUMIFS(Sales_Data!$O$2:$O$3520,Sales_Data!$C$2:$C$3520,$A80,Sales_Data!$F$2:$F$3520,R$7,Sales_Data!$AE$2:$AE$3520,1),SUMIFS(Sales_Data!$M$2:$M$3520,Sales_Data!$C$2:$C$3520,$A80,Sales_Data!$F$2:$F$3520,R$7,Sales_Data!$AE$2:$AE$3520,1),SUMIFS(Sales_Data!$N$2:$N$3520,Sales_Data!$C$2:$C$3520,$A80,Sales_Data!$F$2:$F$3520,R$7,Sales_Data!$AE$2:$AE$3520,1),SUMIFS(Sales_Data!$AE$2:$AE$3520,Sales_Data!$C$2:$C$3520,$A80,Sales_Data!$F$2:$F$3520,R$7)))</f>
        <v>0</v>
      </c>
      <c r="S80" s="26" t="n">
        <f aca="false">IF(S$7="","",CHOOSE(MATCH($B$4,Lists!$C$2:$C$5,0),SUMIFS(Sales_Data!$O$2:$O$3520,Sales_Data!$C$2:$C$3520,$A80,Sales_Data!$F$2:$F$3520,S$7,Sales_Data!$AE$2:$AE$3520,1),SUMIFS(Sales_Data!$M$2:$M$3520,Sales_Data!$C$2:$C$3520,$A80,Sales_Data!$F$2:$F$3520,S$7,Sales_Data!$AE$2:$AE$3520,1),SUMIFS(Sales_Data!$N$2:$N$3520,Sales_Data!$C$2:$C$3520,$A80,Sales_Data!$F$2:$F$3520,S$7,Sales_Data!$AE$2:$AE$3520,1),SUMIFS(Sales_Data!$AE$2:$AE$3520,Sales_Data!$C$2:$C$3520,$A80,Sales_Data!$F$2:$F$3520,S$7)))</f>
        <v>0</v>
      </c>
      <c r="T80" s="26" t="str">
        <f aca="false">IF(T$7="","",CHOOSE(MATCH($B$4,Lists!$C$2:$C$5,0),SUMIFS(Sales_Data!$O$2:$O$3520,Sales_Data!$C$2:$C$3520,$A80,Sales_Data!$F$2:$F$3520,T$7,Sales_Data!$AE$2:$AE$3520,1),SUMIFS(Sales_Data!$M$2:$M$3520,Sales_Data!$C$2:$C$3520,$A80,Sales_Data!$F$2:$F$3520,T$7,Sales_Data!$AE$2:$AE$3520,1),SUMIFS(Sales_Data!$N$2:$N$3520,Sales_Data!$C$2:$C$3520,$A80,Sales_Data!$F$2:$F$3520,T$7,Sales_Data!$AE$2:$AE$3520,1),SUMIFS(Sales_Data!$AE$2:$AE$3520,Sales_Data!$C$2:$C$3520,$A80,Sales_Data!$F$2:$F$3520,T$7)))</f>
        <v/>
      </c>
      <c r="U80" s="26" t="str">
        <f aca="false">IF(U$7="","",CHOOSE(MATCH($B$4,Lists!$C$2:$C$5,0),SUMIFS(Sales_Data!$O$2:$O$3520,Sales_Data!$C$2:$C$3520,$A80,Sales_Data!$F$2:$F$3520,U$7,Sales_Data!$AE$2:$AE$3520,1),SUMIFS(Sales_Data!$M$2:$M$3520,Sales_Data!$C$2:$C$3520,$A80,Sales_Data!$F$2:$F$3520,U$7,Sales_Data!$AE$2:$AE$3520,1),SUMIFS(Sales_Data!$N$2:$N$3520,Sales_Data!$C$2:$C$3520,$A80,Sales_Data!$F$2:$F$3520,U$7,Sales_Data!$AE$2:$AE$3520,1),SUMIFS(Sales_Data!$AE$2:$AE$3520,Sales_Data!$C$2:$C$3520,$A80,Sales_Data!$F$2:$F$3520,U$7)))</f>
        <v/>
      </c>
      <c r="V80" s="26" t="str">
        <f aca="false">IF(V$7="","",CHOOSE(MATCH($B$4,Lists!$C$2:$C$5,0),SUMIFS(Sales_Data!$O$2:$O$3520,Sales_Data!$C$2:$C$3520,$A80,Sales_Data!$F$2:$F$3520,V$7,Sales_Data!$AE$2:$AE$3520,1),SUMIFS(Sales_Data!$M$2:$M$3520,Sales_Data!$C$2:$C$3520,$A80,Sales_Data!$F$2:$F$3520,V$7,Sales_Data!$AE$2:$AE$3520,1),SUMIFS(Sales_Data!$N$2:$N$3520,Sales_Data!$C$2:$C$3520,$A80,Sales_Data!$F$2:$F$3520,V$7,Sales_Data!$AE$2:$AE$3520,1),SUMIFS(Sales_Data!$AE$2:$AE$3520,Sales_Data!$C$2:$C$3520,$A80,Sales_Data!$F$2:$F$3520,V$7)))</f>
        <v/>
      </c>
      <c r="W80" s="26" t="str">
        <f aca="false">IF(W$7="","",CHOOSE(MATCH($B$4,Lists!$C$2:$C$5,0),SUMIFS(Sales_Data!$O$2:$O$3520,Sales_Data!$C$2:$C$3520,$A80,Sales_Data!$F$2:$F$3520,W$7,Sales_Data!$AE$2:$AE$3520,1),SUMIFS(Sales_Data!$M$2:$M$3520,Sales_Data!$C$2:$C$3520,$A80,Sales_Data!$F$2:$F$3520,W$7,Sales_Data!$AE$2:$AE$3520,1),SUMIFS(Sales_Data!$N$2:$N$3520,Sales_Data!$C$2:$C$3520,$A80,Sales_Data!$F$2:$F$3520,W$7,Sales_Data!$AE$2:$AE$3520,1),SUMIFS(Sales_Data!$AE$2:$AE$3520,Sales_Data!$C$2:$C$3520,$A80,Sales_Data!$F$2:$F$3520,W$7)))</f>
        <v/>
      </c>
      <c r="X80" s="26" t="str">
        <f aca="false">IF(X$7="","",CHOOSE(MATCH($B$4,Lists!$C$2:$C$5,0),SUMIFS(Sales_Data!$O$2:$O$3520,Sales_Data!$C$2:$C$3520,$A80,Sales_Data!$F$2:$F$3520,X$7,Sales_Data!$AE$2:$AE$3520,1),SUMIFS(Sales_Data!$M$2:$M$3520,Sales_Data!$C$2:$C$3520,$A80,Sales_Data!$F$2:$F$3520,X$7,Sales_Data!$AE$2:$AE$3520,1),SUMIFS(Sales_Data!$N$2:$N$3520,Sales_Data!$C$2:$C$3520,$A80,Sales_Data!$F$2:$F$3520,X$7,Sales_Data!$AE$2:$AE$3520,1),SUMIFS(Sales_Data!$AE$2:$AE$3520,Sales_Data!$C$2:$C$3520,$A80,Sales_Data!$F$2:$F$3520,X$7)))</f>
        <v/>
      </c>
      <c r="Y80" s="26" t="str">
        <f aca="false">IF(Y$7="","",CHOOSE(MATCH($B$4,Lists!$C$2:$C$5,0),SUMIFS(Sales_Data!$O$2:$O$3520,Sales_Data!$C$2:$C$3520,$A80,Sales_Data!$F$2:$F$3520,Y$7,Sales_Data!$AE$2:$AE$3520,1),SUMIFS(Sales_Data!$M$2:$M$3520,Sales_Data!$C$2:$C$3520,$A80,Sales_Data!$F$2:$F$3520,Y$7,Sales_Data!$AE$2:$AE$3520,1),SUMIFS(Sales_Data!$N$2:$N$3520,Sales_Data!$C$2:$C$3520,$A80,Sales_Data!$F$2:$F$3520,Y$7,Sales_Data!$AE$2:$AE$3520,1),SUMIFS(Sales_Data!$AE$2:$AE$3520,Sales_Data!$C$2:$C$3520,$A80,Sales_Data!$F$2:$F$3520,Y$7)))</f>
        <v/>
      </c>
      <c r="Z80" s="26" t="str">
        <f aca="false">IF(Z$7="","",CHOOSE(MATCH($B$4,Lists!$C$2:$C$5,0),SUMIFS(Sales_Data!$O$2:$O$3520,Sales_Data!$C$2:$C$3520,$A80,Sales_Data!$F$2:$F$3520,Z$7,Sales_Data!$AE$2:$AE$3520,1),SUMIFS(Sales_Data!$M$2:$M$3520,Sales_Data!$C$2:$C$3520,$A80,Sales_Data!$F$2:$F$3520,Z$7,Sales_Data!$AE$2:$AE$3520,1),SUMIFS(Sales_Data!$N$2:$N$3520,Sales_Data!$C$2:$C$3520,$A80,Sales_Data!$F$2:$F$3520,Z$7,Sales_Data!$AE$2:$AE$3520,1),SUMIFS(Sales_Data!$AE$2:$AE$3520,Sales_Data!$C$2:$C$3520,$A80,Sales_Data!$F$2:$F$3520,Z$7)))</f>
        <v/>
      </c>
      <c r="AA80" s="27" t="n">
        <f aca="false">SUM(B80:Z80)</f>
        <v>2</v>
      </c>
      <c r="AB80" s="3"/>
      <c r="AC80" s="72" t="n">
        <f aca="false">A80</f>
        <v>46287</v>
      </c>
      <c r="AD80" s="28" t="n">
        <f aca="false">IF(B80="","",B80-B79)</f>
        <v>0</v>
      </c>
      <c r="AE80" s="28" t="n">
        <f aca="false">IF(C80="","",C80-C79)</f>
        <v>0</v>
      </c>
      <c r="AF80" s="28" t="n">
        <f aca="false">IF(D80="","",D80-D79)</f>
        <v>0</v>
      </c>
      <c r="AG80" s="28" t="n">
        <f aca="false">IF(E80="","",E80-E79)</f>
        <v>0</v>
      </c>
      <c r="AH80" s="28" t="n">
        <f aca="false">IF(F80="","",F80-F79)</f>
        <v>0</v>
      </c>
      <c r="AI80" s="28" t="n">
        <f aca="false">IF(G80="","",G80-G79)</f>
        <v>-3</v>
      </c>
      <c r="AJ80" s="28" t="n">
        <f aca="false">IF(H80="","",H80-H79)</f>
        <v>0</v>
      </c>
      <c r="AK80" s="28" t="n">
        <f aca="false">IF(I80="","",I80-I79)</f>
        <v>0</v>
      </c>
      <c r="AL80" s="28" t="n">
        <f aca="false">IF(J80="","",J80-J79)</f>
        <v>0</v>
      </c>
      <c r="AM80" s="28" t="n">
        <f aca="false">IF(K80="","",K80-K79)</f>
        <v>0</v>
      </c>
      <c r="AN80" s="28" t="n">
        <f aca="false">IF(L80="","",L80-L79)</f>
        <v>0</v>
      </c>
      <c r="AO80" s="28" t="n">
        <f aca="false">IF(M80="","",M80-M79)</f>
        <v>0</v>
      </c>
      <c r="AP80" s="28" t="n">
        <f aca="false">IF(N80="","",N80-N79)</f>
        <v>0</v>
      </c>
      <c r="AQ80" s="28" t="n">
        <f aca="false">IF(O80="","",O80-O79)</f>
        <v>0</v>
      </c>
      <c r="AR80" s="28" t="n">
        <f aca="false">IF(P80="","",P80-P79)</f>
        <v>0</v>
      </c>
      <c r="AS80" s="28" t="n">
        <f aca="false">IF(Q80="","",Q80-Q79)</f>
        <v>0</v>
      </c>
      <c r="AT80" s="28" t="n">
        <f aca="false">IF(R80="","",R80-R79)</f>
        <v>0</v>
      </c>
      <c r="AU80" s="28" t="n">
        <f aca="false">IF(S80="","",S80-S79)</f>
        <v>0</v>
      </c>
      <c r="AV80" s="28" t="str">
        <f aca="false">IF(T80="","",T80-T79)</f>
        <v/>
      </c>
      <c r="AW80" s="28" t="str">
        <f aca="false">IF(U80="","",U80-U79)</f>
        <v/>
      </c>
      <c r="AX80" s="28" t="str">
        <f aca="false">IF(V80="","",V80-V79)</f>
        <v/>
      </c>
      <c r="AY80" s="28" t="str">
        <f aca="false">IF(W80="","",W80-W79)</f>
        <v/>
      </c>
      <c r="AZ80" s="28" t="str">
        <f aca="false">IF(X80="","",X80-X79)</f>
        <v/>
      </c>
      <c r="BA80" s="28" t="str">
        <f aca="false">IF(Y80="","",Y80-Y79)</f>
        <v/>
      </c>
      <c r="BB80" s="28" t="str">
        <f aca="false">IF(Z80="","",Z80-Z79)</f>
        <v/>
      </c>
      <c r="BC80" s="28" t="n">
        <f aca="false">IF(AA80="","",AA80-AA79)</f>
        <v>-3</v>
      </c>
    </row>
    <row r="81" customFormat="false" ht="15" hidden="false" customHeight="false" outlineLevel="0" collapsed="false">
      <c r="A81" s="72" t="n">
        <v>46288</v>
      </c>
      <c r="B81" s="26" t="n">
        <f aca="false">IF(B$7="","",CHOOSE(MATCH($B$4,Lists!$C$2:$C$5,0),SUMIFS(Sales_Data!$O$2:$O$3520,Sales_Data!$C$2:$C$3520,$A81,Sales_Data!$F$2:$F$3520,B$7,Sales_Data!$AE$2:$AE$3520,1),SUMIFS(Sales_Data!$M$2:$M$3520,Sales_Data!$C$2:$C$3520,$A81,Sales_Data!$F$2:$F$3520,B$7,Sales_Data!$AE$2:$AE$3520,1),SUMIFS(Sales_Data!$N$2:$N$3520,Sales_Data!$C$2:$C$3520,$A81,Sales_Data!$F$2:$F$3520,B$7,Sales_Data!$AE$2:$AE$3520,1),SUMIFS(Sales_Data!$AE$2:$AE$3520,Sales_Data!$C$2:$C$3520,$A81,Sales_Data!$F$2:$F$3520,B$7)))</f>
        <v>0</v>
      </c>
      <c r="C81" s="26" t="n">
        <f aca="false">IF(C$7="","",CHOOSE(MATCH($B$4,Lists!$C$2:$C$5,0),SUMIFS(Sales_Data!$O$2:$O$3520,Sales_Data!$C$2:$C$3520,$A81,Sales_Data!$F$2:$F$3520,C$7,Sales_Data!$AE$2:$AE$3520,1),SUMIFS(Sales_Data!$M$2:$M$3520,Sales_Data!$C$2:$C$3520,$A81,Sales_Data!$F$2:$F$3520,C$7,Sales_Data!$AE$2:$AE$3520,1),SUMIFS(Sales_Data!$N$2:$N$3520,Sales_Data!$C$2:$C$3520,$A81,Sales_Data!$F$2:$F$3520,C$7,Sales_Data!$AE$2:$AE$3520,1),SUMIFS(Sales_Data!$AE$2:$AE$3520,Sales_Data!$C$2:$C$3520,$A81,Sales_Data!$F$2:$F$3520,C$7)))</f>
        <v>0</v>
      </c>
      <c r="D81" s="26" t="n">
        <f aca="false">IF(D$7="","",CHOOSE(MATCH($B$4,Lists!$C$2:$C$5,0),SUMIFS(Sales_Data!$O$2:$O$3520,Sales_Data!$C$2:$C$3520,$A81,Sales_Data!$F$2:$F$3520,D$7,Sales_Data!$AE$2:$AE$3520,1),SUMIFS(Sales_Data!$M$2:$M$3520,Sales_Data!$C$2:$C$3520,$A81,Sales_Data!$F$2:$F$3520,D$7,Sales_Data!$AE$2:$AE$3520,1),SUMIFS(Sales_Data!$N$2:$N$3520,Sales_Data!$C$2:$C$3520,$A81,Sales_Data!$F$2:$F$3520,D$7,Sales_Data!$AE$2:$AE$3520,1),SUMIFS(Sales_Data!$AE$2:$AE$3520,Sales_Data!$C$2:$C$3520,$A81,Sales_Data!$F$2:$F$3520,D$7)))</f>
        <v>0</v>
      </c>
      <c r="E81" s="26" t="n">
        <f aca="false">IF(E$7="","",CHOOSE(MATCH($B$4,Lists!$C$2:$C$5,0),SUMIFS(Sales_Data!$O$2:$O$3520,Sales_Data!$C$2:$C$3520,$A81,Sales_Data!$F$2:$F$3520,E$7,Sales_Data!$AE$2:$AE$3520,1),SUMIFS(Sales_Data!$M$2:$M$3520,Sales_Data!$C$2:$C$3520,$A81,Sales_Data!$F$2:$F$3520,E$7,Sales_Data!$AE$2:$AE$3520,1),SUMIFS(Sales_Data!$N$2:$N$3520,Sales_Data!$C$2:$C$3520,$A81,Sales_Data!$F$2:$F$3520,E$7,Sales_Data!$AE$2:$AE$3520,1),SUMIFS(Sales_Data!$AE$2:$AE$3520,Sales_Data!$C$2:$C$3520,$A81,Sales_Data!$F$2:$F$3520,E$7)))</f>
        <v>0</v>
      </c>
      <c r="F81" s="26" t="n">
        <f aca="false">IF(F$7="","",CHOOSE(MATCH($B$4,Lists!$C$2:$C$5,0),SUMIFS(Sales_Data!$O$2:$O$3520,Sales_Data!$C$2:$C$3520,$A81,Sales_Data!$F$2:$F$3520,F$7,Sales_Data!$AE$2:$AE$3520,1),SUMIFS(Sales_Data!$M$2:$M$3520,Sales_Data!$C$2:$C$3520,$A81,Sales_Data!$F$2:$F$3520,F$7,Sales_Data!$AE$2:$AE$3520,1),SUMIFS(Sales_Data!$N$2:$N$3520,Sales_Data!$C$2:$C$3520,$A81,Sales_Data!$F$2:$F$3520,F$7,Sales_Data!$AE$2:$AE$3520,1),SUMIFS(Sales_Data!$AE$2:$AE$3520,Sales_Data!$C$2:$C$3520,$A81,Sales_Data!$F$2:$F$3520,F$7)))</f>
        <v>0</v>
      </c>
      <c r="G81" s="26" t="n">
        <f aca="false">IF(G$7="","",CHOOSE(MATCH($B$4,Lists!$C$2:$C$5,0),SUMIFS(Sales_Data!$O$2:$O$3520,Sales_Data!$C$2:$C$3520,$A81,Sales_Data!$F$2:$F$3520,G$7,Sales_Data!$AE$2:$AE$3520,1),SUMIFS(Sales_Data!$M$2:$M$3520,Sales_Data!$C$2:$C$3520,$A81,Sales_Data!$F$2:$F$3520,G$7,Sales_Data!$AE$2:$AE$3520,1),SUMIFS(Sales_Data!$N$2:$N$3520,Sales_Data!$C$2:$C$3520,$A81,Sales_Data!$F$2:$F$3520,G$7,Sales_Data!$AE$2:$AE$3520,1),SUMIFS(Sales_Data!$AE$2:$AE$3520,Sales_Data!$C$2:$C$3520,$A81,Sales_Data!$F$2:$F$3520,G$7)))</f>
        <v>0</v>
      </c>
      <c r="H81" s="26" t="n">
        <f aca="false">IF(H$7="","",CHOOSE(MATCH($B$4,Lists!$C$2:$C$5,0),SUMIFS(Sales_Data!$O$2:$O$3520,Sales_Data!$C$2:$C$3520,$A81,Sales_Data!$F$2:$F$3520,H$7,Sales_Data!$AE$2:$AE$3520,1),SUMIFS(Sales_Data!$M$2:$M$3520,Sales_Data!$C$2:$C$3520,$A81,Sales_Data!$F$2:$F$3520,H$7,Sales_Data!$AE$2:$AE$3520,1),SUMIFS(Sales_Data!$N$2:$N$3520,Sales_Data!$C$2:$C$3520,$A81,Sales_Data!$F$2:$F$3520,H$7,Sales_Data!$AE$2:$AE$3520,1),SUMIFS(Sales_Data!$AE$2:$AE$3520,Sales_Data!$C$2:$C$3520,$A81,Sales_Data!$F$2:$F$3520,H$7)))</f>
        <v>0</v>
      </c>
      <c r="I81" s="26" t="n">
        <f aca="false">IF(I$7="","",CHOOSE(MATCH($B$4,Lists!$C$2:$C$5,0),SUMIFS(Sales_Data!$O$2:$O$3520,Sales_Data!$C$2:$C$3520,$A81,Sales_Data!$F$2:$F$3520,I$7,Sales_Data!$AE$2:$AE$3520,1),SUMIFS(Sales_Data!$M$2:$M$3520,Sales_Data!$C$2:$C$3520,$A81,Sales_Data!$F$2:$F$3520,I$7,Sales_Data!$AE$2:$AE$3520,1),SUMIFS(Sales_Data!$N$2:$N$3520,Sales_Data!$C$2:$C$3520,$A81,Sales_Data!$F$2:$F$3520,I$7,Sales_Data!$AE$2:$AE$3520,1),SUMIFS(Sales_Data!$AE$2:$AE$3520,Sales_Data!$C$2:$C$3520,$A81,Sales_Data!$F$2:$F$3520,I$7)))</f>
        <v>0</v>
      </c>
      <c r="J81" s="26" t="n">
        <f aca="false">IF(J$7="","",CHOOSE(MATCH($B$4,Lists!$C$2:$C$5,0),SUMIFS(Sales_Data!$O$2:$O$3520,Sales_Data!$C$2:$C$3520,$A81,Sales_Data!$F$2:$F$3520,J$7,Sales_Data!$AE$2:$AE$3520,1),SUMIFS(Sales_Data!$M$2:$M$3520,Sales_Data!$C$2:$C$3520,$A81,Sales_Data!$F$2:$F$3520,J$7,Sales_Data!$AE$2:$AE$3520,1),SUMIFS(Sales_Data!$N$2:$N$3520,Sales_Data!$C$2:$C$3520,$A81,Sales_Data!$F$2:$F$3520,J$7,Sales_Data!$AE$2:$AE$3520,1),SUMIFS(Sales_Data!$AE$2:$AE$3520,Sales_Data!$C$2:$C$3520,$A81,Sales_Data!$F$2:$F$3520,J$7)))</f>
        <v>0</v>
      </c>
      <c r="K81" s="26" t="n">
        <f aca="false">IF(K$7="","",CHOOSE(MATCH($B$4,Lists!$C$2:$C$5,0),SUMIFS(Sales_Data!$O$2:$O$3520,Sales_Data!$C$2:$C$3520,$A81,Sales_Data!$F$2:$F$3520,K$7,Sales_Data!$AE$2:$AE$3520,1),SUMIFS(Sales_Data!$M$2:$M$3520,Sales_Data!$C$2:$C$3520,$A81,Sales_Data!$F$2:$F$3520,K$7,Sales_Data!$AE$2:$AE$3520,1),SUMIFS(Sales_Data!$N$2:$N$3520,Sales_Data!$C$2:$C$3520,$A81,Sales_Data!$F$2:$F$3520,K$7,Sales_Data!$AE$2:$AE$3520,1),SUMIFS(Sales_Data!$AE$2:$AE$3520,Sales_Data!$C$2:$C$3520,$A81,Sales_Data!$F$2:$F$3520,K$7)))</f>
        <v>0</v>
      </c>
      <c r="L81" s="26" t="n">
        <f aca="false">IF(L$7="","",CHOOSE(MATCH($B$4,Lists!$C$2:$C$5,0),SUMIFS(Sales_Data!$O$2:$O$3520,Sales_Data!$C$2:$C$3520,$A81,Sales_Data!$F$2:$F$3520,L$7,Sales_Data!$AE$2:$AE$3520,1),SUMIFS(Sales_Data!$M$2:$M$3520,Sales_Data!$C$2:$C$3520,$A81,Sales_Data!$F$2:$F$3520,L$7,Sales_Data!$AE$2:$AE$3520,1),SUMIFS(Sales_Data!$N$2:$N$3520,Sales_Data!$C$2:$C$3520,$A81,Sales_Data!$F$2:$F$3520,L$7,Sales_Data!$AE$2:$AE$3520,1),SUMIFS(Sales_Data!$AE$2:$AE$3520,Sales_Data!$C$2:$C$3520,$A81,Sales_Data!$F$2:$F$3520,L$7)))</f>
        <v>0</v>
      </c>
      <c r="M81" s="26" t="n">
        <f aca="false">IF(M$7="","",CHOOSE(MATCH($B$4,Lists!$C$2:$C$5,0),SUMIFS(Sales_Data!$O$2:$O$3520,Sales_Data!$C$2:$C$3520,$A81,Sales_Data!$F$2:$F$3520,M$7,Sales_Data!$AE$2:$AE$3520,1),SUMIFS(Sales_Data!$M$2:$M$3520,Sales_Data!$C$2:$C$3520,$A81,Sales_Data!$F$2:$F$3520,M$7,Sales_Data!$AE$2:$AE$3520,1),SUMIFS(Sales_Data!$N$2:$N$3520,Sales_Data!$C$2:$C$3520,$A81,Sales_Data!$F$2:$F$3520,M$7,Sales_Data!$AE$2:$AE$3520,1),SUMIFS(Sales_Data!$AE$2:$AE$3520,Sales_Data!$C$2:$C$3520,$A81,Sales_Data!$F$2:$F$3520,M$7)))</f>
        <v>0</v>
      </c>
      <c r="N81" s="26" t="n">
        <f aca="false">IF(N$7="","",CHOOSE(MATCH($B$4,Lists!$C$2:$C$5,0),SUMIFS(Sales_Data!$O$2:$O$3520,Sales_Data!$C$2:$C$3520,$A81,Sales_Data!$F$2:$F$3520,N$7,Sales_Data!$AE$2:$AE$3520,1),SUMIFS(Sales_Data!$M$2:$M$3520,Sales_Data!$C$2:$C$3520,$A81,Sales_Data!$F$2:$F$3520,N$7,Sales_Data!$AE$2:$AE$3520,1),SUMIFS(Sales_Data!$N$2:$N$3520,Sales_Data!$C$2:$C$3520,$A81,Sales_Data!$F$2:$F$3520,N$7,Sales_Data!$AE$2:$AE$3520,1),SUMIFS(Sales_Data!$AE$2:$AE$3520,Sales_Data!$C$2:$C$3520,$A81,Sales_Data!$F$2:$F$3520,N$7)))</f>
        <v>0</v>
      </c>
      <c r="O81" s="26" t="n">
        <f aca="false">IF(O$7="","",CHOOSE(MATCH($B$4,Lists!$C$2:$C$5,0),SUMIFS(Sales_Data!$O$2:$O$3520,Sales_Data!$C$2:$C$3520,$A81,Sales_Data!$F$2:$F$3520,O$7,Sales_Data!$AE$2:$AE$3520,1),SUMIFS(Sales_Data!$M$2:$M$3520,Sales_Data!$C$2:$C$3520,$A81,Sales_Data!$F$2:$F$3520,O$7,Sales_Data!$AE$2:$AE$3520,1),SUMIFS(Sales_Data!$N$2:$N$3520,Sales_Data!$C$2:$C$3520,$A81,Sales_Data!$F$2:$F$3520,O$7,Sales_Data!$AE$2:$AE$3520,1),SUMIFS(Sales_Data!$AE$2:$AE$3520,Sales_Data!$C$2:$C$3520,$A81,Sales_Data!$F$2:$F$3520,O$7)))</f>
        <v>0</v>
      </c>
      <c r="P81" s="26" t="n">
        <f aca="false">IF(P$7="","",CHOOSE(MATCH($B$4,Lists!$C$2:$C$5,0),SUMIFS(Sales_Data!$O$2:$O$3520,Sales_Data!$C$2:$C$3520,$A81,Sales_Data!$F$2:$F$3520,P$7,Sales_Data!$AE$2:$AE$3520,1),SUMIFS(Sales_Data!$M$2:$M$3520,Sales_Data!$C$2:$C$3520,$A81,Sales_Data!$F$2:$F$3520,P$7,Sales_Data!$AE$2:$AE$3520,1),SUMIFS(Sales_Data!$N$2:$N$3520,Sales_Data!$C$2:$C$3520,$A81,Sales_Data!$F$2:$F$3520,P$7,Sales_Data!$AE$2:$AE$3520,1),SUMIFS(Sales_Data!$AE$2:$AE$3520,Sales_Data!$C$2:$C$3520,$A81,Sales_Data!$F$2:$F$3520,P$7)))</f>
        <v>0</v>
      </c>
      <c r="Q81" s="26" t="n">
        <f aca="false">IF(Q$7="","",CHOOSE(MATCH($B$4,Lists!$C$2:$C$5,0),SUMIFS(Sales_Data!$O$2:$O$3520,Sales_Data!$C$2:$C$3520,$A81,Sales_Data!$F$2:$F$3520,Q$7,Sales_Data!$AE$2:$AE$3520,1),SUMIFS(Sales_Data!$M$2:$M$3520,Sales_Data!$C$2:$C$3520,$A81,Sales_Data!$F$2:$F$3520,Q$7,Sales_Data!$AE$2:$AE$3520,1),SUMIFS(Sales_Data!$N$2:$N$3520,Sales_Data!$C$2:$C$3520,$A81,Sales_Data!$F$2:$F$3520,Q$7,Sales_Data!$AE$2:$AE$3520,1),SUMIFS(Sales_Data!$AE$2:$AE$3520,Sales_Data!$C$2:$C$3520,$A81,Sales_Data!$F$2:$F$3520,Q$7)))</f>
        <v>0</v>
      </c>
      <c r="R81" s="26" t="n">
        <f aca="false">IF(R$7="","",CHOOSE(MATCH($B$4,Lists!$C$2:$C$5,0),SUMIFS(Sales_Data!$O$2:$O$3520,Sales_Data!$C$2:$C$3520,$A81,Sales_Data!$F$2:$F$3520,R$7,Sales_Data!$AE$2:$AE$3520,1),SUMIFS(Sales_Data!$M$2:$M$3520,Sales_Data!$C$2:$C$3520,$A81,Sales_Data!$F$2:$F$3520,R$7,Sales_Data!$AE$2:$AE$3520,1),SUMIFS(Sales_Data!$N$2:$N$3520,Sales_Data!$C$2:$C$3520,$A81,Sales_Data!$F$2:$F$3520,R$7,Sales_Data!$AE$2:$AE$3520,1),SUMIFS(Sales_Data!$AE$2:$AE$3520,Sales_Data!$C$2:$C$3520,$A81,Sales_Data!$F$2:$F$3520,R$7)))</f>
        <v>0</v>
      </c>
      <c r="S81" s="26" t="n">
        <f aca="false">IF(S$7="","",CHOOSE(MATCH($B$4,Lists!$C$2:$C$5,0),SUMIFS(Sales_Data!$O$2:$O$3520,Sales_Data!$C$2:$C$3520,$A81,Sales_Data!$F$2:$F$3520,S$7,Sales_Data!$AE$2:$AE$3520,1),SUMIFS(Sales_Data!$M$2:$M$3520,Sales_Data!$C$2:$C$3520,$A81,Sales_Data!$F$2:$F$3520,S$7,Sales_Data!$AE$2:$AE$3520,1),SUMIFS(Sales_Data!$N$2:$N$3520,Sales_Data!$C$2:$C$3520,$A81,Sales_Data!$F$2:$F$3520,S$7,Sales_Data!$AE$2:$AE$3520,1),SUMIFS(Sales_Data!$AE$2:$AE$3520,Sales_Data!$C$2:$C$3520,$A81,Sales_Data!$F$2:$F$3520,S$7)))</f>
        <v>0</v>
      </c>
      <c r="T81" s="26" t="str">
        <f aca="false">IF(T$7="","",CHOOSE(MATCH($B$4,Lists!$C$2:$C$5,0),SUMIFS(Sales_Data!$O$2:$O$3520,Sales_Data!$C$2:$C$3520,$A81,Sales_Data!$F$2:$F$3520,T$7,Sales_Data!$AE$2:$AE$3520,1),SUMIFS(Sales_Data!$M$2:$M$3520,Sales_Data!$C$2:$C$3520,$A81,Sales_Data!$F$2:$F$3520,T$7,Sales_Data!$AE$2:$AE$3520,1),SUMIFS(Sales_Data!$N$2:$N$3520,Sales_Data!$C$2:$C$3520,$A81,Sales_Data!$F$2:$F$3520,T$7,Sales_Data!$AE$2:$AE$3520,1),SUMIFS(Sales_Data!$AE$2:$AE$3520,Sales_Data!$C$2:$C$3520,$A81,Sales_Data!$F$2:$F$3520,T$7)))</f>
        <v/>
      </c>
      <c r="U81" s="26" t="str">
        <f aca="false">IF(U$7="","",CHOOSE(MATCH($B$4,Lists!$C$2:$C$5,0),SUMIFS(Sales_Data!$O$2:$O$3520,Sales_Data!$C$2:$C$3520,$A81,Sales_Data!$F$2:$F$3520,U$7,Sales_Data!$AE$2:$AE$3520,1),SUMIFS(Sales_Data!$M$2:$M$3520,Sales_Data!$C$2:$C$3520,$A81,Sales_Data!$F$2:$F$3520,U$7,Sales_Data!$AE$2:$AE$3520,1),SUMIFS(Sales_Data!$N$2:$N$3520,Sales_Data!$C$2:$C$3520,$A81,Sales_Data!$F$2:$F$3520,U$7,Sales_Data!$AE$2:$AE$3520,1),SUMIFS(Sales_Data!$AE$2:$AE$3520,Sales_Data!$C$2:$C$3520,$A81,Sales_Data!$F$2:$F$3520,U$7)))</f>
        <v/>
      </c>
      <c r="V81" s="26" t="str">
        <f aca="false">IF(V$7="","",CHOOSE(MATCH($B$4,Lists!$C$2:$C$5,0),SUMIFS(Sales_Data!$O$2:$O$3520,Sales_Data!$C$2:$C$3520,$A81,Sales_Data!$F$2:$F$3520,V$7,Sales_Data!$AE$2:$AE$3520,1),SUMIFS(Sales_Data!$M$2:$M$3520,Sales_Data!$C$2:$C$3520,$A81,Sales_Data!$F$2:$F$3520,V$7,Sales_Data!$AE$2:$AE$3520,1),SUMIFS(Sales_Data!$N$2:$N$3520,Sales_Data!$C$2:$C$3520,$A81,Sales_Data!$F$2:$F$3520,V$7,Sales_Data!$AE$2:$AE$3520,1),SUMIFS(Sales_Data!$AE$2:$AE$3520,Sales_Data!$C$2:$C$3520,$A81,Sales_Data!$F$2:$F$3520,V$7)))</f>
        <v/>
      </c>
      <c r="W81" s="26" t="str">
        <f aca="false">IF(W$7="","",CHOOSE(MATCH($B$4,Lists!$C$2:$C$5,0),SUMIFS(Sales_Data!$O$2:$O$3520,Sales_Data!$C$2:$C$3520,$A81,Sales_Data!$F$2:$F$3520,W$7,Sales_Data!$AE$2:$AE$3520,1),SUMIFS(Sales_Data!$M$2:$M$3520,Sales_Data!$C$2:$C$3520,$A81,Sales_Data!$F$2:$F$3520,W$7,Sales_Data!$AE$2:$AE$3520,1),SUMIFS(Sales_Data!$N$2:$N$3520,Sales_Data!$C$2:$C$3520,$A81,Sales_Data!$F$2:$F$3520,W$7,Sales_Data!$AE$2:$AE$3520,1),SUMIFS(Sales_Data!$AE$2:$AE$3520,Sales_Data!$C$2:$C$3520,$A81,Sales_Data!$F$2:$F$3520,W$7)))</f>
        <v/>
      </c>
      <c r="X81" s="26" t="str">
        <f aca="false">IF(X$7="","",CHOOSE(MATCH($B$4,Lists!$C$2:$C$5,0),SUMIFS(Sales_Data!$O$2:$O$3520,Sales_Data!$C$2:$C$3520,$A81,Sales_Data!$F$2:$F$3520,X$7,Sales_Data!$AE$2:$AE$3520,1),SUMIFS(Sales_Data!$M$2:$M$3520,Sales_Data!$C$2:$C$3520,$A81,Sales_Data!$F$2:$F$3520,X$7,Sales_Data!$AE$2:$AE$3520,1),SUMIFS(Sales_Data!$N$2:$N$3520,Sales_Data!$C$2:$C$3520,$A81,Sales_Data!$F$2:$F$3520,X$7,Sales_Data!$AE$2:$AE$3520,1),SUMIFS(Sales_Data!$AE$2:$AE$3520,Sales_Data!$C$2:$C$3520,$A81,Sales_Data!$F$2:$F$3520,X$7)))</f>
        <v/>
      </c>
      <c r="Y81" s="26" t="str">
        <f aca="false">IF(Y$7="","",CHOOSE(MATCH($B$4,Lists!$C$2:$C$5,0),SUMIFS(Sales_Data!$O$2:$O$3520,Sales_Data!$C$2:$C$3520,$A81,Sales_Data!$F$2:$F$3520,Y$7,Sales_Data!$AE$2:$AE$3520,1),SUMIFS(Sales_Data!$M$2:$M$3520,Sales_Data!$C$2:$C$3520,$A81,Sales_Data!$F$2:$F$3520,Y$7,Sales_Data!$AE$2:$AE$3520,1),SUMIFS(Sales_Data!$N$2:$N$3520,Sales_Data!$C$2:$C$3520,$A81,Sales_Data!$F$2:$F$3520,Y$7,Sales_Data!$AE$2:$AE$3520,1),SUMIFS(Sales_Data!$AE$2:$AE$3520,Sales_Data!$C$2:$C$3520,$A81,Sales_Data!$F$2:$F$3520,Y$7)))</f>
        <v/>
      </c>
      <c r="Z81" s="26" t="str">
        <f aca="false">IF(Z$7="","",CHOOSE(MATCH($B$4,Lists!$C$2:$C$5,0),SUMIFS(Sales_Data!$O$2:$O$3520,Sales_Data!$C$2:$C$3520,$A81,Sales_Data!$F$2:$F$3520,Z$7,Sales_Data!$AE$2:$AE$3520,1),SUMIFS(Sales_Data!$M$2:$M$3520,Sales_Data!$C$2:$C$3520,$A81,Sales_Data!$F$2:$F$3520,Z$7,Sales_Data!$AE$2:$AE$3520,1),SUMIFS(Sales_Data!$N$2:$N$3520,Sales_Data!$C$2:$C$3520,$A81,Sales_Data!$F$2:$F$3520,Z$7,Sales_Data!$AE$2:$AE$3520,1),SUMIFS(Sales_Data!$AE$2:$AE$3520,Sales_Data!$C$2:$C$3520,$A81,Sales_Data!$F$2:$F$3520,Z$7)))</f>
        <v/>
      </c>
      <c r="AA81" s="27" t="n">
        <f aca="false">SUM(B81:Z81)</f>
        <v>0</v>
      </c>
      <c r="AB81" s="3"/>
      <c r="AC81" s="72" t="n">
        <f aca="false">A81</f>
        <v>46288</v>
      </c>
      <c r="AD81" s="28" t="n">
        <f aca="false">IF(B81="","",B81-B80)</f>
        <v>0</v>
      </c>
      <c r="AE81" s="28" t="n">
        <f aca="false">IF(C81="","",C81-C80)</f>
        <v>0</v>
      </c>
      <c r="AF81" s="28" t="n">
        <f aca="false">IF(D81="","",D81-D80)</f>
        <v>0</v>
      </c>
      <c r="AG81" s="28" t="n">
        <f aca="false">IF(E81="","",E81-E80)</f>
        <v>0</v>
      </c>
      <c r="AH81" s="28" t="n">
        <f aca="false">IF(F81="","",F81-F80)</f>
        <v>0</v>
      </c>
      <c r="AI81" s="28" t="n">
        <f aca="false">IF(G81="","",G81-G80)</f>
        <v>-2</v>
      </c>
      <c r="AJ81" s="28" t="n">
        <f aca="false">IF(H81="","",H81-H80)</f>
        <v>0</v>
      </c>
      <c r="AK81" s="28" t="n">
        <f aca="false">IF(I81="","",I81-I80)</f>
        <v>0</v>
      </c>
      <c r="AL81" s="28" t="n">
        <f aca="false">IF(J81="","",J81-J80)</f>
        <v>0</v>
      </c>
      <c r="AM81" s="28" t="n">
        <f aca="false">IF(K81="","",K81-K80)</f>
        <v>0</v>
      </c>
      <c r="AN81" s="28" t="n">
        <f aca="false">IF(L81="","",L81-L80)</f>
        <v>0</v>
      </c>
      <c r="AO81" s="28" t="n">
        <f aca="false">IF(M81="","",M81-M80)</f>
        <v>0</v>
      </c>
      <c r="AP81" s="28" t="n">
        <f aca="false">IF(N81="","",N81-N80)</f>
        <v>0</v>
      </c>
      <c r="AQ81" s="28" t="n">
        <f aca="false">IF(O81="","",O81-O80)</f>
        <v>0</v>
      </c>
      <c r="AR81" s="28" t="n">
        <f aca="false">IF(P81="","",P81-P80)</f>
        <v>0</v>
      </c>
      <c r="AS81" s="28" t="n">
        <f aca="false">IF(Q81="","",Q81-Q80)</f>
        <v>0</v>
      </c>
      <c r="AT81" s="28" t="n">
        <f aca="false">IF(R81="","",R81-R80)</f>
        <v>0</v>
      </c>
      <c r="AU81" s="28" t="n">
        <f aca="false">IF(S81="","",S81-S80)</f>
        <v>0</v>
      </c>
      <c r="AV81" s="28" t="str">
        <f aca="false">IF(T81="","",T81-T80)</f>
        <v/>
      </c>
      <c r="AW81" s="28" t="str">
        <f aca="false">IF(U81="","",U81-U80)</f>
        <v/>
      </c>
      <c r="AX81" s="28" t="str">
        <f aca="false">IF(V81="","",V81-V80)</f>
        <v/>
      </c>
      <c r="AY81" s="28" t="str">
        <f aca="false">IF(W81="","",W81-W80)</f>
        <v/>
      </c>
      <c r="AZ81" s="28" t="str">
        <f aca="false">IF(X81="","",X81-X80)</f>
        <v/>
      </c>
      <c r="BA81" s="28" t="str">
        <f aca="false">IF(Y81="","",Y81-Y80)</f>
        <v/>
      </c>
      <c r="BB81" s="28" t="str">
        <f aca="false">IF(Z81="","",Z81-Z80)</f>
        <v/>
      </c>
      <c r="BC81" s="28" t="n">
        <f aca="false">IF(AA81="","",AA81-AA80)</f>
        <v>-2</v>
      </c>
    </row>
    <row r="82" customFormat="false" ht="15" hidden="false" customHeight="false" outlineLevel="0" collapsed="false">
      <c r="A82" s="72" t="n">
        <v>46289</v>
      </c>
      <c r="B82" s="26" t="n">
        <f aca="false">IF(B$7="","",CHOOSE(MATCH($B$4,Lists!$C$2:$C$5,0),SUMIFS(Sales_Data!$O$2:$O$3520,Sales_Data!$C$2:$C$3520,$A82,Sales_Data!$F$2:$F$3520,B$7,Sales_Data!$AE$2:$AE$3520,1),SUMIFS(Sales_Data!$M$2:$M$3520,Sales_Data!$C$2:$C$3520,$A82,Sales_Data!$F$2:$F$3520,B$7,Sales_Data!$AE$2:$AE$3520,1),SUMIFS(Sales_Data!$N$2:$N$3520,Sales_Data!$C$2:$C$3520,$A82,Sales_Data!$F$2:$F$3520,B$7,Sales_Data!$AE$2:$AE$3520,1),SUMIFS(Sales_Data!$AE$2:$AE$3520,Sales_Data!$C$2:$C$3520,$A82,Sales_Data!$F$2:$F$3520,B$7)))</f>
        <v>0</v>
      </c>
      <c r="C82" s="26" t="n">
        <f aca="false">IF(C$7="","",CHOOSE(MATCH($B$4,Lists!$C$2:$C$5,0),SUMIFS(Sales_Data!$O$2:$O$3520,Sales_Data!$C$2:$C$3520,$A82,Sales_Data!$F$2:$F$3520,C$7,Sales_Data!$AE$2:$AE$3520,1),SUMIFS(Sales_Data!$M$2:$M$3520,Sales_Data!$C$2:$C$3520,$A82,Sales_Data!$F$2:$F$3520,C$7,Sales_Data!$AE$2:$AE$3520,1),SUMIFS(Sales_Data!$N$2:$N$3520,Sales_Data!$C$2:$C$3520,$A82,Sales_Data!$F$2:$F$3520,C$7,Sales_Data!$AE$2:$AE$3520,1),SUMIFS(Sales_Data!$AE$2:$AE$3520,Sales_Data!$C$2:$C$3520,$A82,Sales_Data!$F$2:$F$3520,C$7)))</f>
        <v>0</v>
      </c>
      <c r="D82" s="26" t="n">
        <f aca="false">IF(D$7="","",CHOOSE(MATCH($B$4,Lists!$C$2:$C$5,0),SUMIFS(Sales_Data!$O$2:$O$3520,Sales_Data!$C$2:$C$3520,$A82,Sales_Data!$F$2:$F$3520,D$7,Sales_Data!$AE$2:$AE$3520,1),SUMIFS(Sales_Data!$M$2:$M$3520,Sales_Data!$C$2:$C$3520,$A82,Sales_Data!$F$2:$F$3520,D$7,Sales_Data!$AE$2:$AE$3520,1),SUMIFS(Sales_Data!$N$2:$N$3520,Sales_Data!$C$2:$C$3520,$A82,Sales_Data!$F$2:$F$3520,D$7,Sales_Data!$AE$2:$AE$3520,1),SUMIFS(Sales_Data!$AE$2:$AE$3520,Sales_Data!$C$2:$C$3520,$A82,Sales_Data!$F$2:$F$3520,D$7)))</f>
        <v>0</v>
      </c>
      <c r="E82" s="26" t="n">
        <f aca="false">IF(E$7="","",CHOOSE(MATCH($B$4,Lists!$C$2:$C$5,0),SUMIFS(Sales_Data!$O$2:$O$3520,Sales_Data!$C$2:$C$3520,$A82,Sales_Data!$F$2:$F$3520,E$7,Sales_Data!$AE$2:$AE$3520,1),SUMIFS(Sales_Data!$M$2:$M$3520,Sales_Data!$C$2:$C$3520,$A82,Sales_Data!$F$2:$F$3520,E$7,Sales_Data!$AE$2:$AE$3520,1),SUMIFS(Sales_Data!$N$2:$N$3520,Sales_Data!$C$2:$C$3520,$A82,Sales_Data!$F$2:$F$3520,E$7,Sales_Data!$AE$2:$AE$3520,1),SUMIFS(Sales_Data!$AE$2:$AE$3520,Sales_Data!$C$2:$C$3520,$A82,Sales_Data!$F$2:$F$3520,E$7)))</f>
        <v>0</v>
      </c>
      <c r="F82" s="26" t="n">
        <f aca="false">IF(F$7="","",CHOOSE(MATCH($B$4,Lists!$C$2:$C$5,0),SUMIFS(Sales_Data!$O$2:$O$3520,Sales_Data!$C$2:$C$3520,$A82,Sales_Data!$F$2:$F$3520,F$7,Sales_Data!$AE$2:$AE$3520,1),SUMIFS(Sales_Data!$M$2:$M$3520,Sales_Data!$C$2:$C$3520,$A82,Sales_Data!$F$2:$F$3520,F$7,Sales_Data!$AE$2:$AE$3520,1),SUMIFS(Sales_Data!$N$2:$N$3520,Sales_Data!$C$2:$C$3520,$A82,Sales_Data!$F$2:$F$3520,F$7,Sales_Data!$AE$2:$AE$3520,1),SUMIFS(Sales_Data!$AE$2:$AE$3520,Sales_Data!$C$2:$C$3520,$A82,Sales_Data!$F$2:$F$3520,F$7)))</f>
        <v>0</v>
      </c>
      <c r="G82" s="26" t="n">
        <f aca="false">IF(G$7="","",CHOOSE(MATCH($B$4,Lists!$C$2:$C$5,0),SUMIFS(Sales_Data!$O$2:$O$3520,Sales_Data!$C$2:$C$3520,$A82,Sales_Data!$F$2:$F$3520,G$7,Sales_Data!$AE$2:$AE$3520,1),SUMIFS(Sales_Data!$M$2:$M$3520,Sales_Data!$C$2:$C$3520,$A82,Sales_Data!$F$2:$F$3520,G$7,Sales_Data!$AE$2:$AE$3520,1),SUMIFS(Sales_Data!$N$2:$N$3520,Sales_Data!$C$2:$C$3520,$A82,Sales_Data!$F$2:$F$3520,G$7,Sales_Data!$AE$2:$AE$3520,1),SUMIFS(Sales_Data!$AE$2:$AE$3520,Sales_Data!$C$2:$C$3520,$A82,Sales_Data!$F$2:$F$3520,G$7)))</f>
        <v>0</v>
      </c>
      <c r="H82" s="26" t="n">
        <f aca="false">IF(H$7="","",CHOOSE(MATCH($B$4,Lists!$C$2:$C$5,0),SUMIFS(Sales_Data!$O$2:$O$3520,Sales_Data!$C$2:$C$3520,$A82,Sales_Data!$F$2:$F$3520,H$7,Sales_Data!$AE$2:$AE$3520,1),SUMIFS(Sales_Data!$M$2:$M$3520,Sales_Data!$C$2:$C$3520,$A82,Sales_Data!$F$2:$F$3520,H$7,Sales_Data!$AE$2:$AE$3520,1),SUMIFS(Sales_Data!$N$2:$N$3520,Sales_Data!$C$2:$C$3520,$A82,Sales_Data!$F$2:$F$3520,H$7,Sales_Data!$AE$2:$AE$3520,1),SUMIFS(Sales_Data!$AE$2:$AE$3520,Sales_Data!$C$2:$C$3520,$A82,Sales_Data!$F$2:$F$3520,H$7)))</f>
        <v>0</v>
      </c>
      <c r="I82" s="26" t="n">
        <f aca="false">IF(I$7="","",CHOOSE(MATCH($B$4,Lists!$C$2:$C$5,0),SUMIFS(Sales_Data!$O$2:$O$3520,Sales_Data!$C$2:$C$3520,$A82,Sales_Data!$F$2:$F$3520,I$7,Sales_Data!$AE$2:$AE$3520,1),SUMIFS(Sales_Data!$M$2:$M$3520,Sales_Data!$C$2:$C$3520,$A82,Sales_Data!$F$2:$F$3520,I$7,Sales_Data!$AE$2:$AE$3520,1),SUMIFS(Sales_Data!$N$2:$N$3520,Sales_Data!$C$2:$C$3520,$A82,Sales_Data!$F$2:$F$3520,I$7,Sales_Data!$AE$2:$AE$3520,1),SUMIFS(Sales_Data!$AE$2:$AE$3520,Sales_Data!$C$2:$C$3520,$A82,Sales_Data!$F$2:$F$3520,I$7)))</f>
        <v>0</v>
      </c>
      <c r="J82" s="26" t="n">
        <f aca="false">IF(J$7="","",CHOOSE(MATCH($B$4,Lists!$C$2:$C$5,0),SUMIFS(Sales_Data!$O$2:$O$3520,Sales_Data!$C$2:$C$3520,$A82,Sales_Data!$F$2:$F$3520,J$7,Sales_Data!$AE$2:$AE$3520,1),SUMIFS(Sales_Data!$M$2:$M$3520,Sales_Data!$C$2:$C$3520,$A82,Sales_Data!$F$2:$F$3520,J$7,Sales_Data!$AE$2:$AE$3520,1),SUMIFS(Sales_Data!$N$2:$N$3520,Sales_Data!$C$2:$C$3520,$A82,Sales_Data!$F$2:$F$3520,J$7,Sales_Data!$AE$2:$AE$3520,1),SUMIFS(Sales_Data!$AE$2:$AE$3520,Sales_Data!$C$2:$C$3520,$A82,Sales_Data!$F$2:$F$3520,J$7)))</f>
        <v>0</v>
      </c>
      <c r="K82" s="26" t="n">
        <f aca="false">IF(K$7="","",CHOOSE(MATCH($B$4,Lists!$C$2:$C$5,0),SUMIFS(Sales_Data!$O$2:$O$3520,Sales_Data!$C$2:$C$3520,$A82,Sales_Data!$F$2:$F$3520,K$7,Sales_Data!$AE$2:$AE$3520,1),SUMIFS(Sales_Data!$M$2:$M$3520,Sales_Data!$C$2:$C$3520,$A82,Sales_Data!$F$2:$F$3520,K$7,Sales_Data!$AE$2:$AE$3520,1),SUMIFS(Sales_Data!$N$2:$N$3520,Sales_Data!$C$2:$C$3520,$A82,Sales_Data!$F$2:$F$3520,K$7,Sales_Data!$AE$2:$AE$3520,1),SUMIFS(Sales_Data!$AE$2:$AE$3520,Sales_Data!$C$2:$C$3520,$A82,Sales_Data!$F$2:$F$3520,K$7)))</f>
        <v>0</v>
      </c>
      <c r="L82" s="26" t="n">
        <f aca="false">IF(L$7="","",CHOOSE(MATCH($B$4,Lists!$C$2:$C$5,0),SUMIFS(Sales_Data!$O$2:$O$3520,Sales_Data!$C$2:$C$3520,$A82,Sales_Data!$F$2:$F$3520,L$7,Sales_Data!$AE$2:$AE$3520,1),SUMIFS(Sales_Data!$M$2:$M$3520,Sales_Data!$C$2:$C$3520,$A82,Sales_Data!$F$2:$F$3520,L$7,Sales_Data!$AE$2:$AE$3520,1),SUMIFS(Sales_Data!$N$2:$N$3520,Sales_Data!$C$2:$C$3520,$A82,Sales_Data!$F$2:$F$3520,L$7,Sales_Data!$AE$2:$AE$3520,1),SUMIFS(Sales_Data!$AE$2:$AE$3520,Sales_Data!$C$2:$C$3520,$A82,Sales_Data!$F$2:$F$3520,L$7)))</f>
        <v>0</v>
      </c>
      <c r="M82" s="26" t="n">
        <f aca="false">IF(M$7="","",CHOOSE(MATCH($B$4,Lists!$C$2:$C$5,0),SUMIFS(Sales_Data!$O$2:$O$3520,Sales_Data!$C$2:$C$3520,$A82,Sales_Data!$F$2:$F$3520,M$7,Sales_Data!$AE$2:$AE$3520,1),SUMIFS(Sales_Data!$M$2:$M$3520,Sales_Data!$C$2:$C$3520,$A82,Sales_Data!$F$2:$F$3520,M$7,Sales_Data!$AE$2:$AE$3520,1),SUMIFS(Sales_Data!$N$2:$N$3520,Sales_Data!$C$2:$C$3520,$A82,Sales_Data!$F$2:$F$3520,M$7,Sales_Data!$AE$2:$AE$3520,1),SUMIFS(Sales_Data!$AE$2:$AE$3520,Sales_Data!$C$2:$C$3520,$A82,Sales_Data!$F$2:$F$3520,M$7)))</f>
        <v>0</v>
      </c>
      <c r="N82" s="26" t="n">
        <f aca="false">IF(N$7="","",CHOOSE(MATCH($B$4,Lists!$C$2:$C$5,0),SUMIFS(Sales_Data!$O$2:$O$3520,Sales_Data!$C$2:$C$3520,$A82,Sales_Data!$F$2:$F$3520,N$7,Sales_Data!$AE$2:$AE$3520,1),SUMIFS(Sales_Data!$M$2:$M$3520,Sales_Data!$C$2:$C$3520,$A82,Sales_Data!$F$2:$F$3520,N$7,Sales_Data!$AE$2:$AE$3520,1),SUMIFS(Sales_Data!$N$2:$N$3520,Sales_Data!$C$2:$C$3520,$A82,Sales_Data!$F$2:$F$3520,N$7,Sales_Data!$AE$2:$AE$3520,1),SUMIFS(Sales_Data!$AE$2:$AE$3520,Sales_Data!$C$2:$C$3520,$A82,Sales_Data!$F$2:$F$3520,N$7)))</f>
        <v>0</v>
      </c>
      <c r="O82" s="26" t="n">
        <f aca="false">IF(O$7="","",CHOOSE(MATCH($B$4,Lists!$C$2:$C$5,0),SUMIFS(Sales_Data!$O$2:$O$3520,Sales_Data!$C$2:$C$3520,$A82,Sales_Data!$F$2:$F$3520,O$7,Sales_Data!$AE$2:$AE$3520,1),SUMIFS(Sales_Data!$M$2:$M$3520,Sales_Data!$C$2:$C$3520,$A82,Sales_Data!$F$2:$F$3520,O$7,Sales_Data!$AE$2:$AE$3520,1),SUMIFS(Sales_Data!$N$2:$N$3520,Sales_Data!$C$2:$C$3520,$A82,Sales_Data!$F$2:$F$3520,O$7,Sales_Data!$AE$2:$AE$3520,1),SUMIFS(Sales_Data!$AE$2:$AE$3520,Sales_Data!$C$2:$C$3520,$A82,Sales_Data!$F$2:$F$3520,O$7)))</f>
        <v>0</v>
      </c>
      <c r="P82" s="26" t="n">
        <f aca="false">IF(P$7="","",CHOOSE(MATCH($B$4,Lists!$C$2:$C$5,0),SUMIFS(Sales_Data!$O$2:$O$3520,Sales_Data!$C$2:$C$3520,$A82,Sales_Data!$F$2:$F$3520,P$7,Sales_Data!$AE$2:$AE$3520,1),SUMIFS(Sales_Data!$M$2:$M$3520,Sales_Data!$C$2:$C$3520,$A82,Sales_Data!$F$2:$F$3520,P$7,Sales_Data!$AE$2:$AE$3520,1),SUMIFS(Sales_Data!$N$2:$N$3520,Sales_Data!$C$2:$C$3520,$A82,Sales_Data!$F$2:$F$3520,P$7,Sales_Data!$AE$2:$AE$3520,1),SUMIFS(Sales_Data!$AE$2:$AE$3520,Sales_Data!$C$2:$C$3520,$A82,Sales_Data!$F$2:$F$3520,P$7)))</f>
        <v>0</v>
      </c>
      <c r="Q82" s="26" t="n">
        <f aca="false">IF(Q$7="","",CHOOSE(MATCH($B$4,Lists!$C$2:$C$5,0),SUMIFS(Sales_Data!$O$2:$O$3520,Sales_Data!$C$2:$C$3520,$A82,Sales_Data!$F$2:$F$3520,Q$7,Sales_Data!$AE$2:$AE$3520,1),SUMIFS(Sales_Data!$M$2:$M$3520,Sales_Data!$C$2:$C$3520,$A82,Sales_Data!$F$2:$F$3520,Q$7,Sales_Data!$AE$2:$AE$3520,1),SUMIFS(Sales_Data!$N$2:$N$3520,Sales_Data!$C$2:$C$3520,$A82,Sales_Data!$F$2:$F$3520,Q$7,Sales_Data!$AE$2:$AE$3520,1),SUMIFS(Sales_Data!$AE$2:$AE$3520,Sales_Data!$C$2:$C$3520,$A82,Sales_Data!$F$2:$F$3520,Q$7)))</f>
        <v>0</v>
      </c>
      <c r="R82" s="26" t="n">
        <f aca="false">IF(R$7="","",CHOOSE(MATCH($B$4,Lists!$C$2:$C$5,0),SUMIFS(Sales_Data!$O$2:$O$3520,Sales_Data!$C$2:$C$3520,$A82,Sales_Data!$F$2:$F$3520,R$7,Sales_Data!$AE$2:$AE$3520,1),SUMIFS(Sales_Data!$M$2:$M$3520,Sales_Data!$C$2:$C$3520,$A82,Sales_Data!$F$2:$F$3520,R$7,Sales_Data!$AE$2:$AE$3520,1),SUMIFS(Sales_Data!$N$2:$N$3520,Sales_Data!$C$2:$C$3520,$A82,Sales_Data!$F$2:$F$3520,R$7,Sales_Data!$AE$2:$AE$3520,1),SUMIFS(Sales_Data!$AE$2:$AE$3520,Sales_Data!$C$2:$C$3520,$A82,Sales_Data!$F$2:$F$3520,R$7)))</f>
        <v>0</v>
      </c>
      <c r="S82" s="26" t="n">
        <f aca="false">IF(S$7="","",CHOOSE(MATCH($B$4,Lists!$C$2:$C$5,0),SUMIFS(Sales_Data!$O$2:$O$3520,Sales_Data!$C$2:$C$3520,$A82,Sales_Data!$F$2:$F$3520,S$7,Sales_Data!$AE$2:$AE$3520,1),SUMIFS(Sales_Data!$M$2:$M$3520,Sales_Data!$C$2:$C$3520,$A82,Sales_Data!$F$2:$F$3520,S$7,Sales_Data!$AE$2:$AE$3520,1),SUMIFS(Sales_Data!$N$2:$N$3520,Sales_Data!$C$2:$C$3520,$A82,Sales_Data!$F$2:$F$3520,S$7,Sales_Data!$AE$2:$AE$3520,1),SUMIFS(Sales_Data!$AE$2:$AE$3520,Sales_Data!$C$2:$C$3520,$A82,Sales_Data!$F$2:$F$3520,S$7)))</f>
        <v>0</v>
      </c>
      <c r="T82" s="26" t="str">
        <f aca="false">IF(T$7="","",CHOOSE(MATCH($B$4,Lists!$C$2:$C$5,0),SUMIFS(Sales_Data!$O$2:$O$3520,Sales_Data!$C$2:$C$3520,$A82,Sales_Data!$F$2:$F$3520,T$7,Sales_Data!$AE$2:$AE$3520,1),SUMIFS(Sales_Data!$M$2:$M$3520,Sales_Data!$C$2:$C$3520,$A82,Sales_Data!$F$2:$F$3520,T$7,Sales_Data!$AE$2:$AE$3520,1),SUMIFS(Sales_Data!$N$2:$N$3520,Sales_Data!$C$2:$C$3520,$A82,Sales_Data!$F$2:$F$3520,T$7,Sales_Data!$AE$2:$AE$3520,1),SUMIFS(Sales_Data!$AE$2:$AE$3520,Sales_Data!$C$2:$C$3520,$A82,Sales_Data!$F$2:$F$3520,T$7)))</f>
        <v/>
      </c>
      <c r="U82" s="26" t="str">
        <f aca="false">IF(U$7="","",CHOOSE(MATCH($B$4,Lists!$C$2:$C$5,0),SUMIFS(Sales_Data!$O$2:$O$3520,Sales_Data!$C$2:$C$3520,$A82,Sales_Data!$F$2:$F$3520,U$7,Sales_Data!$AE$2:$AE$3520,1),SUMIFS(Sales_Data!$M$2:$M$3520,Sales_Data!$C$2:$C$3520,$A82,Sales_Data!$F$2:$F$3520,U$7,Sales_Data!$AE$2:$AE$3520,1),SUMIFS(Sales_Data!$N$2:$N$3520,Sales_Data!$C$2:$C$3520,$A82,Sales_Data!$F$2:$F$3520,U$7,Sales_Data!$AE$2:$AE$3520,1),SUMIFS(Sales_Data!$AE$2:$AE$3520,Sales_Data!$C$2:$C$3520,$A82,Sales_Data!$F$2:$F$3520,U$7)))</f>
        <v/>
      </c>
      <c r="V82" s="26" t="str">
        <f aca="false">IF(V$7="","",CHOOSE(MATCH($B$4,Lists!$C$2:$C$5,0),SUMIFS(Sales_Data!$O$2:$O$3520,Sales_Data!$C$2:$C$3520,$A82,Sales_Data!$F$2:$F$3520,V$7,Sales_Data!$AE$2:$AE$3520,1),SUMIFS(Sales_Data!$M$2:$M$3520,Sales_Data!$C$2:$C$3520,$A82,Sales_Data!$F$2:$F$3520,V$7,Sales_Data!$AE$2:$AE$3520,1),SUMIFS(Sales_Data!$N$2:$N$3520,Sales_Data!$C$2:$C$3520,$A82,Sales_Data!$F$2:$F$3520,V$7,Sales_Data!$AE$2:$AE$3520,1),SUMIFS(Sales_Data!$AE$2:$AE$3520,Sales_Data!$C$2:$C$3520,$A82,Sales_Data!$F$2:$F$3520,V$7)))</f>
        <v/>
      </c>
      <c r="W82" s="26" t="str">
        <f aca="false">IF(W$7="","",CHOOSE(MATCH($B$4,Lists!$C$2:$C$5,0),SUMIFS(Sales_Data!$O$2:$O$3520,Sales_Data!$C$2:$C$3520,$A82,Sales_Data!$F$2:$F$3520,W$7,Sales_Data!$AE$2:$AE$3520,1),SUMIFS(Sales_Data!$M$2:$M$3520,Sales_Data!$C$2:$C$3520,$A82,Sales_Data!$F$2:$F$3520,W$7,Sales_Data!$AE$2:$AE$3520,1),SUMIFS(Sales_Data!$N$2:$N$3520,Sales_Data!$C$2:$C$3520,$A82,Sales_Data!$F$2:$F$3520,W$7,Sales_Data!$AE$2:$AE$3520,1),SUMIFS(Sales_Data!$AE$2:$AE$3520,Sales_Data!$C$2:$C$3520,$A82,Sales_Data!$F$2:$F$3520,W$7)))</f>
        <v/>
      </c>
      <c r="X82" s="26" t="str">
        <f aca="false">IF(X$7="","",CHOOSE(MATCH($B$4,Lists!$C$2:$C$5,0),SUMIFS(Sales_Data!$O$2:$O$3520,Sales_Data!$C$2:$C$3520,$A82,Sales_Data!$F$2:$F$3520,X$7,Sales_Data!$AE$2:$AE$3520,1),SUMIFS(Sales_Data!$M$2:$M$3520,Sales_Data!$C$2:$C$3520,$A82,Sales_Data!$F$2:$F$3520,X$7,Sales_Data!$AE$2:$AE$3520,1),SUMIFS(Sales_Data!$N$2:$N$3520,Sales_Data!$C$2:$C$3520,$A82,Sales_Data!$F$2:$F$3520,X$7,Sales_Data!$AE$2:$AE$3520,1),SUMIFS(Sales_Data!$AE$2:$AE$3520,Sales_Data!$C$2:$C$3520,$A82,Sales_Data!$F$2:$F$3520,X$7)))</f>
        <v/>
      </c>
      <c r="Y82" s="26" t="str">
        <f aca="false">IF(Y$7="","",CHOOSE(MATCH($B$4,Lists!$C$2:$C$5,0),SUMIFS(Sales_Data!$O$2:$O$3520,Sales_Data!$C$2:$C$3520,$A82,Sales_Data!$F$2:$F$3520,Y$7,Sales_Data!$AE$2:$AE$3520,1),SUMIFS(Sales_Data!$M$2:$M$3520,Sales_Data!$C$2:$C$3520,$A82,Sales_Data!$F$2:$F$3520,Y$7,Sales_Data!$AE$2:$AE$3520,1),SUMIFS(Sales_Data!$N$2:$N$3520,Sales_Data!$C$2:$C$3520,$A82,Sales_Data!$F$2:$F$3520,Y$7,Sales_Data!$AE$2:$AE$3520,1),SUMIFS(Sales_Data!$AE$2:$AE$3520,Sales_Data!$C$2:$C$3520,$A82,Sales_Data!$F$2:$F$3520,Y$7)))</f>
        <v/>
      </c>
      <c r="Z82" s="26" t="str">
        <f aca="false">IF(Z$7="","",CHOOSE(MATCH($B$4,Lists!$C$2:$C$5,0),SUMIFS(Sales_Data!$O$2:$O$3520,Sales_Data!$C$2:$C$3520,$A82,Sales_Data!$F$2:$F$3520,Z$7,Sales_Data!$AE$2:$AE$3520,1),SUMIFS(Sales_Data!$M$2:$M$3520,Sales_Data!$C$2:$C$3520,$A82,Sales_Data!$F$2:$F$3520,Z$7,Sales_Data!$AE$2:$AE$3520,1),SUMIFS(Sales_Data!$N$2:$N$3520,Sales_Data!$C$2:$C$3520,$A82,Sales_Data!$F$2:$F$3520,Z$7,Sales_Data!$AE$2:$AE$3520,1),SUMIFS(Sales_Data!$AE$2:$AE$3520,Sales_Data!$C$2:$C$3520,$A82,Sales_Data!$F$2:$F$3520,Z$7)))</f>
        <v/>
      </c>
      <c r="AA82" s="27" t="n">
        <f aca="false">SUM(B82:Z82)</f>
        <v>0</v>
      </c>
      <c r="AB82" s="3"/>
      <c r="AC82" s="72" t="n">
        <f aca="false">A82</f>
        <v>46289</v>
      </c>
      <c r="AD82" s="28" t="n">
        <f aca="false">IF(B82="","",B82-B81)</f>
        <v>0</v>
      </c>
      <c r="AE82" s="28" t="n">
        <f aca="false">IF(C82="","",C82-C81)</f>
        <v>0</v>
      </c>
      <c r="AF82" s="28" t="n">
        <f aca="false">IF(D82="","",D82-D81)</f>
        <v>0</v>
      </c>
      <c r="AG82" s="28" t="n">
        <f aca="false">IF(E82="","",E82-E81)</f>
        <v>0</v>
      </c>
      <c r="AH82" s="28" t="n">
        <f aca="false">IF(F82="","",F82-F81)</f>
        <v>0</v>
      </c>
      <c r="AI82" s="28" t="n">
        <f aca="false">IF(G82="","",G82-G81)</f>
        <v>0</v>
      </c>
      <c r="AJ82" s="28" t="n">
        <f aca="false">IF(H82="","",H82-H81)</f>
        <v>0</v>
      </c>
      <c r="AK82" s="28" t="n">
        <f aca="false">IF(I82="","",I82-I81)</f>
        <v>0</v>
      </c>
      <c r="AL82" s="28" t="n">
        <f aca="false">IF(J82="","",J82-J81)</f>
        <v>0</v>
      </c>
      <c r="AM82" s="28" t="n">
        <f aca="false">IF(K82="","",K82-K81)</f>
        <v>0</v>
      </c>
      <c r="AN82" s="28" t="n">
        <f aca="false">IF(L82="","",L82-L81)</f>
        <v>0</v>
      </c>
      <c r="AO82" s="28" t="n">
        <f aca="false">IF(M82="","",M82-M81)</f>
        <v>0</v>
      </c>
      <c r="AP82" s="28" t="n">
        <f aca="false">IF(N82="","",N82-N81)</f>
        <v>0</v>
      </c>
      <c r="AQ82" s="28" t="n">
        <f aca="false">IF(O82="","",O82-O81)</f>
        <v>0</v>
      </c>
      <c r="AR82" s="28" t="n">
        <f aca="false">IF(P82="","",P82-P81)</f>
        <v>0</v>
      </c>
      <c r="AS82" s="28" t="n">
        <f aca="false">IF(Q82="","",Q82-Q81)</f>
        <v>0</v>
      </c>
      <c r="AT82" s="28" t="n">
        <f aca="false">IF(R82="","",R82-R81)</f>
        <v>0</v>
      </c>
      <c r="AU82" s="28" t="n">
        <f aca="false">IF(S82="","",S82-S81)</f>
        <v>0</v>
      </c>
      <c r="AV82" s="28" t="str">
        <f aca="false">IF(T82="","",T82-T81)</f>
        <v/>
      </c>
      <c r="AW82" s="28" t="str">
        <f aca="false">IF(U82="","",U82-U81)</f>
        <v/>
      </c>
      <c r="AX82" s="28" t="str">
        <f aca="false">IF(V82="","",V82-V81)</f>
        <v/>
      </c>
      <c r="AY82" s="28" t="str">
        <f aca="false">IF(W82="","",W82-W81)</f>
        <v/>
      </c>
      <c r="AZ82" s="28" t="str">
        <f aca="false">IF(X82="","",X82-X81)</f>
        <v/>
      </c>
      <c r="BA82" s="28" t="str">
        <f aca="false">IF(Y82="","",Y82-Y81)</f>
        <v/>
      </c>
      <c r="BB82" s="28" t="str">
        <f aca="false">IF(Z82="","",Z82-Z81)</f>
        <v/>
      </c>
      <c r="BC82" s="28" t="n">
        <f aca="false">IF(AA82="","",AA82-AA81)</f>
        <v>0</v>
      </c>
    </row>
    <row r="83" customFormat="false" ht="15" hidden="false" customHeight="false" outlineLevel="0" collapsed="false">
      <c r="A83" s="72" t="n">
        <v>46290</v>
      </c>
      <c r="B83" s="26" t="n">
        <f aca="false">IF(B$7="","",CHOOSE(MATCH($B$4,Lists!$C$2:$C$5,0),SUMIFS(Sales_Data!$O$2:$O$3520,Sales_Data!$C$2:$C$3520,$A83,Sales_Data!$F$2:$F$3520,B$7,Sales_Data!$AE$2:$AE$3520,1),SUMIFS(Sales_Data!$M$2:$M$3520,Sales_Data!$C$2:$C$3520,$A83,Sales_Data!$F$2:$F$3520,B$7,Sales_Data!$AE$2:$AE$3520,1),SUMIFS(Sales_Data!$N$2:$N$3520,Sales_Data!$C$2:$C$3520,$A83,Sales_Data!$F$2:$F$3520,B$7,Sales_Data!$AE$2:$AE$3520,1),SUMIFS(Sales_Data!$AE$2:$AE$3520,Sales_Data!$C$2:$C$3520,$A83,Sales_Data!$F$2:$F$3520,B$7)))</f>
        <v>0</v>
      </c>
      <c r="C83" s="26" t="n">
        <f aca="false">IF(C$7="","",CHOOSE(MATCH($B$4,Lists!$C$2:$C$5,0),SUMIFS(Sales_Data!$O$2:$O$3520,Sales_Data!$C$2:$C$3520,$A83,Sales_Data!$F$2:$F$3520,C$7,Sales_Data!$AE$2:$AE$3520,1),SUMIFS(Sales_Data!$M$2:$M$3520,Sales_Data!$C$2:$C$3520,$A83,Sales_Data!$F$2:$F$3520,C$7,Sales_Data!$AE$2:$AE$3520,1),SUMIFS(Sales_Data!$N$2:$N$3520,Sales_Data!$C$2:$C$3520,$A83,Sales_Data!$F$2:$F$3520,C$7,Sales_Data!$AE$2:$AE$3520,1),SUMIFS(Sales_Data!$AE$2:$AE$3520,Sales_Data!$C$2:$C$3520,$A83,Sales_Data!$F$2:$F$3520,C$7)))</f>
        <v>0</v>
      </c>
      <c r="D83" s="26" t="n">
        <f aca="false">IF(D$7="","",CHOOSE(MATCH($B$4,Lists!$C$2:$C$5,0),SUMIFS(Sales_Data!$O$2:$O$3520,Sales_Data!$C$2:$C$3520,$A83,Sales_Data!$F$2:$F$3520,D$7,Sales_Data!$AE$2:$AE$3520,1),SUMIFS(Sales_Data!$M$2:$M$3520,Sales_Data!$C$2:$C$3520,$A83,Sales_Data!$F$2:$F$3520,D$7,Sales_Data!$AE$2:$AE$3520,1),SUMIFS(Sales_Data!$N$2:$N$3520,Sales_Data!$C$2:$C$3520,$A83,Sales_Data!$F$2:$F$3520,D$7,Sales_Data!$AE$2:$AE$3520,1),SUMIFS(Sales_Data!$AE$2:$AE$3520,Sales_Data!$C$2:$C$3520,$A83,Sales_Data!$F$2:$F$3520,D$7)))</f>
        <v>0</v>
      </c>
      <c r="E83" s="26" t="n">
        <f aca="false">IF(E$7="","",CHOOSE(MATCH($B$4,Lists!$C$2:$C$5,0),SUMIFS(Sales_Data!$O$2:$O$3520,Sales_Data!$C$2:$C$3520,$A83,Sales_Data!$F$2:$F$3520,E$7,Sales_Data!$AE$2:$AE$3520,1),SUMIFS(Sales_Data!$M$2:$M$3520,Sales_Data!$C$2:$C$3520,$A83,Sales_Data!$F$2:$F$3520,E$7,Sales_Data!$AE$2:$AE$3520,1),SUMIFS(Sales_Data!$N$2:$N$3520,Sales_Data!$C$2:$C$3520,$A83,Sales_Data!$F$2:$F$3520,E$7,Sales_Data!$AE$2:$AE$3520,1),SUMIFS(Sales_Data!$AE$2:$AE$3520,Sales_Data!$C$2:$C$3520,$A83,Sales_Data!$F$2:$F$3520,E$7)))</f>
        <v>0</v>
      </c>
      <c r="F83" s="26" t="n">
        <f aca="false">IF(F$7="","",CHOOSE(MATCH($B$4,Lists!$C$2:$C$5,0),SUMIFS(Sales_Data!$O$2:$O$3520,Sales_Data!$C$2:$C$3520,$A83,Sales_Data!$F$2:$F$3520,F$7,Sales_Data!$AE$2:$AE$3520,1),SUMIFS(Sales_Data!$M$2:$M$3520,Sales_Data!$C$2:$C$3520,$A83,Sales_Data!$F$2:$F$3520,F$7,Sales_Data!$AE$2:$AE$3520,1),SUMIFS(Sales_Data!$N$2:$N$3520,Sales_Data!$C$2:$C$3520,$A83,Sales_Data!$F$2:$F$3520,F$7,Sales_Data!$AE$2:$AE$3520,1),SUMIFS(Sales_Data!$AE$2:$AE$3520,Sales_Data!$C$2:$C$3520,$A83,Sales_Data!$F$2:$F$3520,F$7)))</f>
        <v>0</v>
      </c>
      <c r="G83" s="26" t="n">
        <f aca="false">IF(G$7="","",CHOOSE(MATCH($B$4,Lists!$C$2:$C$5,0),SUMIFS(Sales_Data!$O$2:$O$3520,Sales_Data!$C$2:$C$3520,$A83,Sales_Data!$F$2:$F$3520,G$7,Sales_Data!$AE$2:$AE$3520,1),SUMIFS(Sales_Data!$M$2:$M$3520,Sales_Data!$C$2:$C$3520,$A83,Sales_Data!$F$2:$F$3520,G$7,Sales_Data!$AE$2:$AE$3520,1),SUMIFS(Sales_Data!$N$2:$N$3520,Sales_Data!$C$2:$C$3520,$A83,Sales_Data!$F$2:$F$3520,G$7,Sales_Data!$AE$2:$AE$3520,1),SUMIFS(Sales_Data!$AE$2:$AE$3520,Sales_Data!$C$2:$C$3520,$A83,Sales_Data!$F$2:$F$3520,G$7)))</f>
        <v>0</v>
      </c>
      <c r="H83" s="26" t="n">
        <f aca="false">IF(H$7="","",CHOOSE(MATCH($B$4,Lists!$C$2:$C$5,0),SUMIFS(Sales_Data!$O$2:$O$3520,Sales_Data!$C$2:$C$3520,$A83,Sales_Data!$F$2:$F$3520,H$7,Sales_Data!$AE$2:$AE$3520,1),SUMIFS(Sales_Data!$M$2:$M$3520,Sales_Data!$C$2:$C$3520,$A83,Sales_Data!$F$2:$F$3520,H$7,Sales_Data!$AE$2:$AE$3520,1),SUMIFS(Sales_Data!$N$2:$N$3520,Sales_Data!$C$2:$C$3520,$A83,Sales_Data!$F$2:$F$3520,H$7,Sales_Data!$AE$2:$AE$3520,1),SUMIFS(Sales_Data!$AE$2:$AE$3520,Sales_Data!$C$2:$C$3520,$A83,Sales_Data!$F$2:$F$3520,H$7)))</f>
        <v>0</v>
      </c>
      <c r="I83" s="26" t="n">
        <f aca="false">IF(I$7="","",CHOOSE(MATCH($B$4,Lists!$C$2:$C$5,0),SUMIFS(Sales_Data!$O$2:$O$3520,Sales_Data!$C$2:$C$3520,$A83,Sales_Data!$F$2:$F$3520,I$7,Sales_Data!$AE$2:$AE$3520,1),SUMIFS(Sales_Data!$M$2:$M$3520,Sales_Data!$C$2:$C$3520,$A83,Sales_Data!$F$2:$F$3520,I$7,Sales_Data!$AE$2:$AE$3520,1),SUMIFS(Sales_Data!$N$2:$N$3520,Sales_Data!$C$2:$C$3520,$A83,Sales_Data!$F$2:$F$3520,I$7,Sales_Data!$AE$2:$AE$3520,1),SUMIFS(Sales_Data!$AE$2:$AE$3520,Sales_Data!$C$2:$C$3520,$A83,Sales_Data!$F$2:$F$3520,I$7)))</f>
        <v>0</v>
      </c>
      <c r="J83" s="26" t="n">
        <f aca="false">IF(J$7="","",CHOOSE(MATCH($B$4,Lists!$C$2:$C$5,0),SUMIFS(Sales_Data!$O$2:$O$3520,Sales_Data!$C$2:$C$3520,$A83,Sales_Data!$F$2:$F$3520,J$7,Sales_Data!$AE$2:$AE$3520,1),SUMIFS(Sales_Data!$M$2:$M$3520,Sales_Data!$C$2:$C$3520,$A83,Sales_Data!$F$2:$F$3520,J$7,Sales_Data!$AE$2:$AE$3520,1),SUMIFS(Sales_Data!$N$2:$N$3520,Sales_Data!$C$2:$C$3520,$A83,Sales_Data!$F$2:$F$3520,J$7,Sales_Data!$AE$2:$AE$3520,1),SUMIFS(Sales_Data!$AE$2:$AE$3520,Sales_Data!$C$2:$C$3520,$A83,Sales_Data!$F$2:$F$3520,J$7)))</f>
        <v>0</v>
      </c>
      <c r="K83" s="26" t="n">
        <f aca="false">IF(K$7="","",CHOOSE(MATCH($B$4,Lists!$C$2:$C$5,0),SUMIFS(Sales_Data!$O$2:$O$3520,Sales_Data!$C$2:$C$3520,$A83,Sales_Data!$F$2:$F$3520,K$7,Sales_Data!$AE$2:$AE$3520,1),SUMIFS(Sales_Data!$M$2:$M$3520,Sales_Data!$C$2:$C$3520,$A83,Sales_Data!$F$2:$F$3520,K$7,Sales_Data!$AE$2:$AE$3520,1),SUMIFS(Sales_Data!$N$2:$N$3520,Sales_Data!$C$2:$C$3520,$A83,Sales_Data!$F$2:$F$3520,K$7,Sales_Data!$AE$2:$AE$3520,1),SUMIFS(Sales_Data!$AE$2:$AE$3520,Sales_Data!$C$2:$C$3520,$A83,Sales_Data!$F$2:$F$3520,K$7)))</f>
        <v>0</v>
      </c>
      <c r="L83" s="26" t="n">
        <f aca="false">IF(L$7="","",CHOOSE(MATCH($B$4,Lists!$C$2:$C$5,0),SUMIFS(Sales_Data!$O$2:$O$3520,Sales_Data!$C$2:$C$3520,$A83,Sales_Data!$F$2:$F$3520,L$7,Sales_Data!$AE$2:$AE$3520,1),SUMIFS(Sales_Data!$M$2:$M$3520,Sales_Data!$C$2:$C$3520,$A83,Sales_Data!$F$2:$F$3520,L$7,Sales_Data!$AE$2:$AE$3520,1),SUMIFS(Sales_Data!$N$2:$N$3520,Sales_Data!$C$2:$C$3520,$A83,Sales_Data!$F$2:$F$3520,L$7,Sales_Data!$AE$2:$AE$3520,1),SUMIFS(Sales_Data!$AE$2:$AE$3520,Sales_Data!$C$2:$C$3520,$A83,Sales_Data!$F$2:$F$3520,L$7)))</f>
        <v>0</v>
      </c>
      <c r="M83" s="26" t="n">
        <f aca="false">IF(M$7="","",CHOOSE(MATCH($B$4,Lists!$C$2:$C$5,0),SUMIFS(Sales_Data!$O$2:$O$3520,Sales_Data!$C$2:$C$3520,$A83,Sales_Data!$F$2:$F$3520,M$7,Sales_Data!$AE$2:$AE$3520,1),SUMIFS(Sales_Data!$M$2:$M$3520,Sales_Data!$C$2:$C$3520,$A83,Sales_Data!$F$2:$F$3520,M$7,Sales_Data!$AE$2:$AE$3520,1),SUMIFS(Sales_Data!$N$2:$N$3520,Sales_Data!$C$2:$C$3520,$A83,Sales_Data!$F$2:$F$3520,M$7,Sales_Data!$AE$2:$AE$3520,1),SUMIFS(Sales_Data!$AE$2:$AE$3520,Sales_Data!$C$2:$C$3520,$A83,Sales_Data!$F$2:$F$3520,M$7)))</f>
        <v>0</v>
      </c>
      <c r="N83" s="26" t="n">
        <f aca="false">IF(N$7="","",CHOOSE(MATCH($B$4,Lists!$C$2:$C$5,0),SUMIFS(Sales_Data!$O$2:$O$3520,Sales_Data!$C$2:$C$3520,$A83,Sales_Data!$F$2:$F$3520,N$7,Sales_Data!$AE$2:$AE$3520,1),SUMIFS(Sales_Data!$M$2:$M$3520,Sales_Data!$C$2:$C$3520,$A83,Sales_Data!$F$2:$F$3520,N$7,Sales_Data!$AE$2:$AE$3520,1),SUMIFS(Sales_Data!$N$2:$N$3520,Sales_Data!$C$2:$C$3520,$A83,Sales_Data!$F$2:$F$3520,N$7,Sales_Data!$AE$2:$AE$3520,1),SUMIFS(Sales_Data!$AE$2:$AE$3520,Sales_Data!$C$2:$C$3520,$A83,Sales_Data!$F$2:$F$3520,N$7)))</f>
        <v>0</v>
      </c>
      <c r="O83" s="26" t="n">
        <f aca="false">IF(O$7="","",CHOOSE(MATCH($B$4,Lists!$C$2:$C$5,0),SUMIFS(Sales_Data!$O$2:$O$3520,Sales_Data!$C$2:$C$3520,$A83,Sales_Data!$F$2:$F$3520,O$7,Sales_Data!$AE$2:$AE$3520,1),SUMIFS(Sales_Data!$M$2:$M$3520,Sales_Data!$C$2:$C$3520,$A83,Sales_Data!$F$2:$F$3520,O$7,Sales_Data!$AE$2:$AE$3520,1),SUMIFS(Sales_Data!$N$2:$N$3520,Sales_Data!$C$2:$C$3520,$A83,Sales_Data!$F$2:$F$3520,O$7,Sales_Data!$AE$2:$AE$3520,1),SUMIFS(Sales_Data!$AE$2:$AE$3520,Sales_Data!$C$2:$C$3520,$A83,Sales_Data!$F$2:$F$3520,O$7)))</f>
        <v>0</v>
      </c>
      <c r="P83" s="26" t="n">
        <f aca="false">IF(P$7="","",CHOOSE(MATCH($B$4,Lists!$C$2:$C$5,0),SUMIFS(Sales_Data!$O$2:$O$3520,Sales_Data!$C$2:$C$3520,$A83,Sales_Data!$F$2:$F$3520,P$7,Sales_Data!$AE$2:$AE$3520,1),SUMIFS(Sales_Data!$M$2:$M$3520,Sales_Data!$C$2:$C$3520,$A83,Sales_Data!$F$2:$F$3520,P$7,Sales_Data!$AE$2:$AE$3520,1),SUMIFS(Sales_Data!$N$2:$N$3520,Sales_Data!$C$2:$C$3520,$A83,Sales_Data!$F$2:$F$3520,P$7,Sales_Data!$AE$2:$AE$3520,1),SUMIFS(Sales_Data!$AE$2:$AE$3520,Sales_Data!$C$2:$C$3520,$A83,Sales_Data!$F$2:$F$3520,P$7)))</f>
        <v>0</v>
      </c>
      <c r="Q83" s="26" t="n">
        <f aca="false">IF(Q$7="","",CHOOSE(MATCH($B$4,Lists!$C$2:$C$5,0),SUMIFS(Sales_Data!$O$2:$O$3520,Sales_Data!$C$2:$C$3520,$A83,Sales_Data!$F$2:$F$3520,Q$7,Sales_Data!$AE$2:$AE$3520,1),SUMIFS(Sales_Data!$M$2:$M$3520,Sales_Data!$C$2:$C$3520,$A83,Sales_Data!$F$2:$F$3520,Q$7,Sales_Data!$AE$2:$AE$3520,1),SUMIFS(Sales_Data!$N$2:$N$3520,Sales_Data!$C$2:$C$3520,$A83,Sales_Data!$F$2:$F$3520,Q$7,Sales_Data!$AE$2:$AE$3520,1),SUMIFS(Sales_Data!$AE$2:$AE$3520,Sales_Data!$C$2:$C$3520,$A83,Sales_Data!$F$2:$F$3520,Q$7)))</f>
        <v>0</v>
      </c>
      <c r="R83" s="26" t="n">
        <f aca="false">IF(R$7="","",CHOOSE(MATCH($B$4,Lists!$C$2:$C$5,0),SUMIFS(Sales_Data!$O$2:$O$3520,Sales_Data!$C$2:$C$3520,$A83,Sales_Data!$F$2:$F$3520,R$7,Sales_Data!$AE$2:$AE$3520,1),SUMIFS(Sales_Data!$M$2:$M$3520,Sales_Data!$C$2:$C$3520,$A83,Sales_Data!$F$2:$F$3520,R$7,Sales_Data!$AE$2:$AE$3520,1),SUMIFS(Sales_Data!$N$2:$N$3520,Sales_Data!$C$2:$C$3520,$A83,Sales_Data!$F$2:$F$3520,R$7,Sales_Data!$AE$2:$AE$3520,1),SUMIFS(Sales_Data!$AE$2:$AE$3520,Sales_Data!$C$2:$C$3520,$A83,Sales_Data!$F$2:$F$3520,R$7)))</f>
        <v>0</v>
      </c>
      <c r="S83" s="26" t="n">
        <f aca="false">IF(S$7="","",CHOOSE(MATCH($B$4,Lists!$C$2:$C$5,0),SUMIFS(Sales_Data!$O$2:$O$3520,Sales_Data!$C$2:$C$3520,$A83,Sales_Data!$F$2:$F$3520,S$7,Sales_Data!$AE$2:$AE$3520,1),SUMIFS(Sales_Data!$M$2:$M$3520,Sales_Data!$C$2:$C$3520,$A83,Sales_Data!$F$2:$F$3520,S$7,Sales_Data!$AE$2:$AE$3520,1),SUMIFS(Sales_Data!$N$2:$N$3520,Sales_Data!$C$2:$C$3520,$A83,Sales_Data!$F$2:$F$3520,S$7,Sales_Data!$AE$2:$AE$3520,1),SUMIFS(Sales_Data!$AE$2:$AE$3520,Sales_Data!$C$2:$C$3520,$A83,Sales_Data!$F$2:$F$3520,S$7)))</f>
        <v>0</v>
      </c>
      <c r="T83" s="26" t="str">
        <f aca="false">IF(T$7="","",CHOOSE(MATCH($B$4,Lists!$C$2:$C$5,0),SUMIFS(Sales_Data!$O$2:$O$3520,Sales_Data!$C$2:$C$3520,$A83,Sales_Data!$F$2:$F$3520,T$7,Sales_Data!$AE$2:$AE$3520,1),SUMIFS(Sales_Data!$M$2:$M$3520,Sales_Data!$C$2:$C$3520,$A83,Sales_Data!$F$2:$F$3520,T$7,Sales_Data!$AE$2:$AE$3520,1),SUMIFS(Sales_Data!$N$2:$N$3520,Sales_Data!$C$2:$C$3520,$A83,Sales_Data!$F$2:$F$3520,T$7,Sales_Data!$AE$2:$AE$3520,1),SUMIFS(Sales_Data!$AE$2:$AE$3520,Sales_Data!$C$2:$C$3520,$A83,Sales_Data!$F$2:$F$3520,T$7)))</f>
        <v/>
      </c>
      <c r="U83" s="26" t="str">
        <f aca="false">IF(U$7="","",CHOOSE(MATCH($B$4,Lists!$C$2:$C$5,0),SUMIFS(Sales_Data!$O$2:$O$3520,Sales_Data!$C$2:$C$3520,$A83,Sales_Data!$F$2:$F$3520,U$7,Sales_Data!$AE$2:$AE$3520,1),SUMIFS(Sales_Data!$M$2:$M$3520,Sales_Data!$C$2:$C$3520,$A83,Sales_Data!$F$2:$F$3520,U$7,Sales_Data!$AE$2:$AE$3520,1),SUMIFS(Sales_Data!$N$2:$N$3520,Sales_Data!$C$2:$C$3520,$A83,Sales_Data!$F$2:$F$3520,U$7,Sales_Data!$AE$2:$AE$3520,1),SUMIFS(Sales_Data!$AE$2:$AE$3520,Sales_Data!$C$2:$C$3520,$A83,Sales_Data!$F$2:$F$3520,U$7)))</f>
        <v/>
      </c>
      <c r="V83" s="26" t="str">
        <f aca="false">IF(V$7="","",CHOOSE(MATCH($B$4,Lists!$C$2:$C$5,0),SUMIFS(Sales_Data!$O$2:$O$3520,Sales_Data!$C$2:$C$3520,$A83,Sales_Data!$F$2:$F$3520,V$7,Sales_Data!$AE$2:$AE$3520,1),SUMIFS(Sales_Data!$M$2:$M$3520,Sales_Data!$C$2:$C$3520,$A83,Sales_Data!$F$2:$F$3520,V$7,Sales_Data!$AE$2:$AE$3520,1),SUMIFS(Sales_Data!$N$2:$N$3520,Sales_Data!$C$2:$C$3520,$A83,Sales_Data!$F$2:$F$3520,V$7,Sales_Data!$AE$2:$AE$3520,1),SUMIFS(Sales_Data!$AE$2:$AE$3520,Sales_Data!$C$2:$C$3520,$A83,Sales_Data!$F$2:$F$3520,V$7)))</f>
        <v/>
      </c>
      <c r="W83" s="26" t="str">
        <f aca="false">IF(W$7="","",CHOOSE(MATCH($B$4,Lists!$C$2:$C$5,0),SUMIFS(Sales_Data!$O$2:$O$3520,Sales_Data!$C$2:$C$3520,$A83,Sales_Data!$F$2:$F$3520,W$7,Sales_Data!$AE$2:$AE$3520,1),SUMIFS(Sales_Data!$M$2:$M$3520,Sales_Data!$C$2:$C$3520,$A83,Sales_Data!$F$2:$F$3520,W$7,Sales_Data!$AE$2:$AE$3520,1),SUMIFS(Sales_Data!$N$2:$N$3520,Sales_Data!$C$2:$C$3520,$A83,Sales_Data!$F$2:$F$3520,W$7,Sales_Data!$AE$2:$AE$3520,1),SUMIFS(Sales_Data!$AE$2:$AE$3520,Sales_Data!$C$2:$C$3520,$A83,Sales_Data!$F$2:$F$3520,W$7)))</f>
        <v/>
      </c>
      <c r="X83" s="26" t="str">
        <f aca="false">IF(X$7="","",CHOOSE(MATCH($B$4,Lists!$C$2:$C$5,0),SUMIFS(Sales_Data!$O$2:$O$3520,Sales_Data!$C$2:$C$3520,$A83,Sales_Data!$F$2:$F$3520,X$7,Sales_Data!$AE$2:$AE$3520,1),SUMIFS(Sales_Data!$M$2:$M$3520,Sales_Data!$C$2:$C$3520,$A83,Sales_Data!$F$2:$F$3520,X$7,Sales_Data!$AE$2:$AE$3520,1),SUMIFS(Sales_Data!$N$2:$N$3520,Sales_Data!$C$2:$C$3520,$A83,Sales_Data!$F$2:$F$3520,X$7,Sales_Data!$AE$2:$AE$3520,1),SUMIFS(Sales_Data!$AE$2:$AE$3520,Sales_Data!$C$2:$C$3520,$A83,Sales_Data!$F$2:$F$3520,X$7)))</f>
        <v/>
      </c>
      <c r="Y83" s="26" t="str">
        <f aca="false">IF(Y$7="","",CHOOSE(MATCH($B$4,Lists!$C$2:$C$5,0),SUMIFS(Sales_Data!$O$2:$O$3520,Sales_Data!$C$2:$C$3520,$A83,Sales_Data!$F$2:$F$3520,Y$7,Sales_Data!$AE$2:$AE$3520,1),SUMIFS(Sales_Data!$M$2:$M$3520,Sales_Data!$C$2:$C$3520,$A83,Sales_Data!$F$2:$F$3520,Y$7,Sales_Data!$AE$2:$AE$3520,1),SUMIFS(Sales_Data!$N$2:$N$3520,Sales_Data!$C$2:$C$3520,$A83,Sales_Data!$F$2:$F$3520,Y$7,Sales_Data!$AE$2:$AE$3520,1),SUMIFS(Sales_Data!$AE$2:$AE$3520,Sales_Data!$C$2:$C$3520,$A83,Sales_Data!$F$2:$F$3520,Y$7)))</f>
        <v/>
      </c>
      <c r="Z83" s="26" t="str">
        <f aca="false">IF(Z$7="","",CHOOSE(MATCH($B$4,Lists!$C$2:$C$5,0),SUMIFS(Sales_Data!$O$2:$O$3520,Sales_Data!$C$2:$C$3520,$A83,Sales_Data!$F$2:$F$3520,Z$7,Sales_Data!$AE$2:$AE$3520,1),SUMIFS(Sales_Data!$M$2:$M$3520,Sales_Data!$C$2:$C$3520,$A83,Sales_Data!$F$2:$F$3520,Z$7,Sales_Data!$AE$2:$AE$3520,1),SUMIFS(Sales_Data!$N$2:$N$3520,Sales_Data!$C$2:$C$3520,$A83,Sales_Data!$F$2:$F$3520,Z$7,Sales_Data!$AE$2:$AE$3520,1),SUMIFS(Sales_Data!$AE$2:$AE$3520,Sales_Data!$C$2:$C$3520,$A83,Sales_Data!$F$2:$F$3520,Z$7)))</f>
        <v/>
      </c>
      <c r="AA83" s="27" t="n">
        <f aca="false">SUM(B83:Z83)</f>
        <v>0</v>
      </c>
      <c r="AB83" s="3"/>
      <c r="AC83" s="72" t="n">
        <f aca="false">A83</f>
        <v>46290</v>
      </c>
      <c r="AD83" s="28" t="n">
        <f aca="false">IF(B83="","",B83-B82)</f>
        <v>0</v>
      </c>
      <c r="AE83" s="28" t="n">
        <f aca="false">IF(C83="","",C83-C82)</f>
        <v>0</v>
      </c>
      <c r="AF83" s="28" t="n">
        <f aca="false">IF(D83="","",D83-D82)</f>
        <v>0</v>
      </c>
      <c r="AG83" s="28" t="n">
        <f aca="false">IF(E83="","",E83-E82)</f>
        <v>0</v>
      </c>
      <c r="AH83" s="28" t="n">
        <f aca="false">IF(F83="","",F83-F82)</f>
        <v>0</v>
      </c>
      <c r="AI83" s="28" t="n">
        <f aca="false">IF(G83="","",G83-G82)</f>
        <v>0</v>
      </c>
      <c r="AJ83" s="28" t="n">
        <f aca="false">IF(H83="","",H83-H82)</f>
        <v>0</v>
      </c>
      <c r="AK83" s="28" t="n">
        <f aca="false">IF(I83="","",I83-I82)</f>
        <v>0</v>
      </c>
      <c r="AL83" s="28" t="n">
        <f aca="false">IF(J83="","",J83-J82)</f>
        <v>0</v>
      </c>
      <c r="AM83" s="28" t="n">
        <f aca="false">IF(K83="","",K83-K82)</f>
        <v>0</v>
      </c>
      <c r="AN83" s="28" t="n">
        <f aca="false">IF(L83="","",L83-L82)</f>
        <v>0</v>
      </c>
      <c r="AO83" s="28" t="n">
        <f aca="false">IF(M83="","",M83-M82)</f>
        <v>0</v>
      </c>
      <c r="AP83" s="28" t="n">
        <f aca="false">IF(N83="","",N83-N82)</f>
        <v>0</v>
      </c>
      <c r="AQ83" s="28" t="n">
        <f aca="false">IF(O83="","",O83-O82)</f>
        <v>0</v>
      </c>
      <c r="AR83" s="28" t="n">
        <f aca="false">IF(P83="","",P83-P82)</f>
        <v>0</v>
      </c>
      <c r="AS83" s="28" t="n">
        <f aca="false">IF(Q83="","",Q83-Q82)</f>
        <v>0</v>
      </c>
      <c r="AT83" s="28" t="n">
        <f aca="false">IF(R83="","",R83-R82)</f>
        <v>0</v>
      </c>
      <c r="AU83" s="28" t="n">
        <f aca="false">IF(S83="","",S83-S82)</f>
        <v>0</v>
      </c>
      <c r="AV83" s="28" t="str">
        <f aca="false">IF(T83="","",T83-T82)</f>
        <v/>
      </c>
      <c r="AW83" s="28" t="str">
        <f aca="false">IF(U83="","",U83-U82)</f>
        <v/>
      </c>
      <c r="AX83" s="28" t="str">
        <f aca="false">IF(V83="","",V83-V82)</f>
        <v/>
      </c>
      <c r="AY83" s="28" t="str">
        <f aca="false">IF(W83="","",W83-W82)</f>
        <v/>
      </c>
      <c r="AZ83" s="28" t="str">
        <f aca="false">IF(X83="","",X83-X82)</f>
        <v/>
      </c>
      <c r="BA83" s="28" t="str">
        <f aca="false">IF(Y83="","",Y83-Y82)</f>
        <v/>
      </c>
      <c r="BB83" s="28" t="str">
        <f aca="false">IF(Z83="","",Z83-Z82)</f>
        <v/>
      </c>
      <c r="BC83" s="28" t="n">
        <f aca="false">IF(AA83="","",AA83-AA82)</f>
        <v>0</v>
      </c>
    </row>
    <row r="84" customFormat="false" ht="15" hidden="false" customHeight="false" outlineLevel="0" collapsed="false">
      <c r="A84" s="72" t="n">
        <v>46291</v>
      </c>
      <c r="B84" s="26" t="n">
        <f aca="false">IF(B$7="","",CHOOSE(MATCH($B$4,Lists!$C$2:$C$5,0),SUMIFS(Sales_Data!$O$2:$O$3520,Sales_Data!$C$2:$C$3520,$A84,Sales_Data!$F$2:$F$3520,B$7,Sales_Data!$AE$2:$AE$3520,1),SUMIFS(Sales_Data!$M$2:$M$3520,Sales_Data!$C$2:$C$3520,$A84,Sales_Data!$F$2:$F$3520,B$7,Sales_Data!$AE$2:$AE$3520,1),SUMIFS(Sales_Data!$N$2:$N$3520,Sales_Data!$C$2:$C$3520,$A84,Sales_Data!$F$2:$F$3520,B$7,Sales_Data!$AE$2:$AE$3520,1),SUMIFS(Sales_Data!$AE$2:$AE$3520,Sales_Data!$C$2:$C$3520,$A84,Sales_Data!$F$2:$F$3520,B$7)))</f>
        <v>0</v>
      </c>
      <c r="C84" s="26" t="n">
        <f aca="false">IF(C$7="","",CHOOSE(MATCH($B$4,Lists!$C$2:$C$5,0),SUMIFS(Sales_Data!$O$2:$O$3520,Sales_Data!$C$2:$C$3520,$A84,Sales_Data!$F$2:$F$3520,C$7,Sales_Data!$AE$2:$AE$3520,1),SUMIFS(Sales_Data!$M$2:$M$3520,Sales_Data!$C$2:$C$3520,$A84,Sales_Data!$F$2:$F$3520,C$7,Sales_Data!$AE$2:$AE$3520,1),SUMIFS(Sales_Data!$N$2:$N$3520,Sales_Data!$C$2:$C$3520,$A84,Sales_Data!$F$2:$F$3520,C$7,Sales_Data!$AE$2:$AE$3520,1),SUMIFS(Sales_Data!$AE$2:$AE$3520,Sales_Data!$C$2:$C$3520,$A84,Sales_Data!$F$2:$F$3520,C$7)))</f>
        <v>0</v>
      </c>
      <c r="D84" s="26" t="n">
        <f aca="false">IF(D$7="","",CHOOSE(MATCH($B$4,Lists!$C$2:$C$5,0),SUMIFS(Sales_Data!$O$2:$O$3520,Sales_Data!$C$2:$C$3520,$A84,Sales_Data!$F$2:$F$3520,D$7,Sales_Data!$AE$2:$AE$3520,1),SUMIFS(Sales_Data!$M$2:$M$3520,Sales_Data!$C$2:$C$3520,$A84,Sales_Data!$F$2:$F$3520,D$7,Sales_Data!$AE$2:$AE$3520,1),SUMIFS(Sales_Data!$N$2:$N$3520,Sales_Data!$C$2:$C$3520,$A84,Sales_Data!$F$2:$F$3520,D$7,Sales_Data!$AE$2:$AE$3520,1),SUMIFS(Sales_Data!$AE$2:$AE$3520,Sales_Data!$C$2:$C$3520,$A84,Sales_Data!$F$2:$F$3520,D$7)))</f>
        <v>0</v>
      </c>
      <c r="E84" s="26" t="n">
        <f aca="false">IF(E$7="","",CHOOSE(MATCH($B$4,Lists!$C$2:$C$5,0),SUMIFS(Sales_Data!$O$2:$O$3520,Sales_Data!$C$2:$C$3520,$A84,Sales_Data!$F$2:$F$3520,E$7,Sales_Data!$AE$2:$AE$3520,1),SUMIFS(Sales_Data!$M$2:$M$3520,Sales_Data!$C$2:$C$3520,$A84,Sales_Data!$F$2:$F$3520,E$7,Sales_Data!$AE$2:$AE$3520,1),SUMIFS(Sales_Data!$N$2:$N$3520,Sales_Data!$C$2:$C$3520,$A84,Sales_Data!$F$2:$F$3520,E$7,Sales_Data!$AE$2:$AE$3520,1),SUMIFS(Sales_Data!$AE$2:$AE$3520,Sales_Data!$C$2:$C$3520,$A84,Sales_Data!$F$2:$F$3520,E$7)))</f>
        <v>0</v>
      </c>
      <c r="F84" s="26" t="n">
        <f aca="false">IF(F$7="","",CHOOSE(MATCH($B$4,Lists!$C$2:$C$5,0),SUMIFS(Sales_Data!$O$2:$O$3520,Sales_Data!$C$2:$C$3520,$A84,Sales_Data!$F$2:$F$3520,F$7,Sales_Data!$AE$2:$AE$3520,1),SUMIFS(Sales_Data!$M$2:$M$3520,Sales_Data!$C$2:$C$3520,$A84,Sales_Data!$F$2:$F$3520,F$7,Sales_Data!$AE$2:$AE$3520,1),SUMIFS(Sales_Data!$N$2:$N$3520,Sales_Data!$C$2:$C$3520,$A84,Sales_Data!$F$2:$F$3520,F$7,Sales_Data!$AE$2:$AE$3520,1),SUMIFS(Sales_Data!$AE$2:$AE$3520,Sales_Data!$C$2:$C$3520,$A84,Sales_Data!$F$2:$F$3520,F$7)))</f>
        <v>0</v>
      </c>
      <c r="G84" s="26" t="n">
        <f aca="false">IF(G$7="","",CHOOSE(MATCH($B$4,Lists!$C$2:$C$5,0),SUMIFS(Sales_Data!$O$2:$O$3520,Sales_Data!$C$2:$C$3520,$A84,Sales_Data!$F$2:$F$3520,G$7,Sales_Data!$AE$2:$AE$3520,1),SUMIFS(Sales_Data!$M$2:$M$3520,Sales_Data!$C$2:$C$3520,$A84,Sales_Data!$F$2:$F$3520,G$7,Sales_Data!$AE$2:$AE$3520,1),SUMIFS(Sales_Data!$N$2:$N$3520,Sales_Data!$C$2:$C$3520,$A84,Sales_Data!$F$2:$F$3520,G$7,Sales_Data!$AE$2:$AE$3520,1),SUMIFS(Sales_Data!$AE$2:$AE$3520,Sales_Data!$C$2:$C$3520,$A84,Sales_Data!$F$2:$F$3520,G$7)))</f>
        <v>3</v>
      </c>
      <c r="H84" s="26" t="n">
        <f aca="false">IF(H$7="","",CHOOSE(MATCH($B$4,Lists!$C$2:$C$5,0),SUMIFS(Sales_Data!$O$2:$O$3520,Sales_Data!$C$2:$C$3520,$A84,Sales_Data!$F$2:$F$3520,H$7,Sales_Data!$AE$2:$AE$3520,1),SUMIFS(Sales_Data!$M$2:$M$3520,Sales_Data!$C$2:$C$3520,$A84,Sales_Data!$F$2:$F$3520,H$7,Sales_Data!$AE$2:$AE$3520,1),SUMIFS(Sales_Data!$N$2:$N$3520,Sales_Data!$C$2:$C$3520,$A84,Sales_Data!$F$2:$F$3520,H$7,Sales_Data!$AE$2:$AE$3520,1),SUMIFS(Sales_Data!$AE$2:$AE$3520,Sales_Data!$C$2:$C$3520,$A84,Sales_Data!$F$2:$F$3520,H$7)))</f>
        <v>0</v>
      </c>
      <c r="I84" s="26" t="n">
        <f aca="false">IF(I$7="","",CHOOSE(MATCH($B$4,Lists!$C$2:$C$5,0),SUMIFS(Sales_Data!$O$2:$O$3520,Sales_Data!$C$2:$C$3520,$A84,Sales_Data!$F$2:$F$3520,I$7,Sales_Data!$AE$2:$AE$3520,1),SUMIFS(Sales_Data!$M$2:$M$3520,Sales_Data!$C$2:$C$3520,$A84,Sales_Data!$F$2:$F$3520,I$7,Sales_Data!$AE$2:$AE$3520,1),SUMIFS(Sales_Data!$N$2:$N$3520,Sales_Data!$C$2:$C$3520,$A84,Sales_Data!$F$2:$F$3520,I$7,Sales_Data!$AE$2:$AE$3520,1),SUMIFS(Sales_Data!$AE$2:$AE$3520,Sales_Data!$C$2:$C$3520,$A84,Sales_Data!$F$2:$F$3520,I$7)))</f>
        <v>0</v>
      </c>
      <c r="J84" s="26" t="n">
        <f aca="false">IF(J$7="","",CHOOSE(MATCH($B$4,Lists!$C$2:$C$5,0),SUMIFS(Sales_Data!$O$2:$O$3520,Sales_Data!$C$2:$C$3520,$A84,Sales_Data!$F$2:$F$3520,J$7,Sales_Data!$AE$2:$AE$3520,1),SUMIFS(Sales_Data!$M$2:$M$3520,Sales_Data!$C$2:$C$3520,$A84,Sales_Data!$F$2:$F$3520,J$7,Sales_Data!$AE$2:$AE$3520,1),SUMIFS(Sales_Data!$N$2:$N$3520,Sales_Data!$C$2:$C$3520,$A84,Sales_Data!$F$2:$F$3520,J$7,Sales_Data!$AE$2:$AE$3520,1),SUMIFS(Sales_Data!$AE$2:$AE$3520,Sales_Data!$C$2:$C$3520,$A84,Sales_Data!$F$2:$F$3520,J$7)))</f>
        <v>0</v>
      </c>
      <c r="K84" s="26" t="n">
        <f aca="false">IF(K$7="","",CHOOSE(MATCH($B$4,Lists!$C$2:$C$5,0),SUMIFS(Sales_Data!$O$2:$O$3520,Sales_Data!$C$2:$C$3520,$A84,Sales_Data!$F$2:$F$3520,K$7,Sales_Data!$AE$2:$AE$3520,1),SUMIFS(Sales_Data!$M$2:$M$3520,Sales_Data!$C$2:$C$3520,$A84,Sales_Data!$F$2:$F$3520,K$7,Sales_Data!$AE$2:$AE$3520,1),SUMIFS(Sales_Data!$N$2:$N$3520,Sales_Data!$C$2:$C$3520,$A84,Sales_Data!$F$2:$F$3520,K$7,Sales_Data!$AE$2:$AE$3520,1),SUMIFS(Sales_Data!$AE$2:$AE$3520,Sales_Data!$C$2:$C$3520,$A84,Sales_Data!$F$2:$F$3520,K$7)))</f>
        <v>0</v>
      </c>
      <c r="L84" s="26" t="n">
        <f aca="false">IF(L$7="","",CHOOSE(MATCH($B$4,Lists!$C$2:$C$5,0),SUMIFS(Sales_Data!$O$2:$O$3520,Sales_Data!$C$2:$C$3520,$A84,Sales_Data!$F$2:$F$3520,L$7,Sales_Data!$AE$2:$AE$3520,1),SUMIFS(Sales_Data!$M$2:$M$3520,Sales_Data!$C$2:$C$3520,$A84,Sales_Data!$F$2:$F$3520,L$7,Sales_Data!$AE$2:$AE$3520,1),SUMIFS(Sales_Data!$N$2:$N$3520,Sales_Data!$C$2:$C$3520,$A84,Sales_Data!$F$2:$F$3520,L$7,Sales_Data!$AE$2:$AE$3520,1),SUMIFS(Sales_Data!$AE$2:$AE$3520,Sales_Data!$C$2:$C$3520,$A84,Sales_Data!$F$2:$F$3520,L$7)))</f>
        <v>0</v>
      </c>
      <c r="M84" s="26" t="n">
        <f aca="false">IF(M$7="","",CHOOSE(MATCH($B$4,Lists!$C$2:$C$5,0),SUMIFS(Sales_Data!$O$2:$O$3520,Sales_Data!$C$2:$C$3520,$A84,Sales_Data!$F$2:$F$3520,M$7,Sales_Data!$AE$2:$AE$3520,1),SUMIFS(Sales_Data!$M$2:$M$3520,Sales_Data!$C$2:$C$3520,$A84,Sales_Data!$F$2:$F$3520,M$7,Sales_Data!$AE$2:$AE$3520,1),SUMIFS(Sales_Data!$N$2:$N$3520,Sales_Data!$C$2:$C$3520,$A84,Sales_Data!$F$2:$F$3520,M$7,Sales_Data!$AE$2:$AE$3520,1),SUMIFS(Sales_Data!$AE$2:$AE$3520,Sales_Data!$C$2:$C$3520,$A84,Sales_Data!$F$2:$F$3520,M$7)))</f>
        <v>0</v>
      </c>
      <c r="N84" s="26" t="n">
        <f aca="false">IF(N$7="","",CHOOSE(MATCH($B$4,Lists!$C$2:$C$5,0),SUMIFS(Sales_Data!$O$2:$O$3520,Sales_Data!$C$2:$C$3520,$A84,Sales_Data!$F$2:$F$3520,N$7,Sales_Data!$AE$2:$AE$3520,1),SUMIFS(Sales_Data!$M$2:$M$3520,Sales_Data!$C$2:$C$3520,$A84,Sales_Data!$F$2:$F$3520,N$7,Sales_Data!$AE$2:$AE$3520,1),SUMIFS(Sales_Data!$N$2:$N$3520,Sales_Data!$C$2:$C$3520,$A84,Sales_Data!$F$2:$F$3520,N$7,Sales_Data!$AE$2:$AE$3520,1),SUMIFS(Sales_Data!$AE$2:$AE$3520,Sales_Data!$C$2:$C$3520,$A84,Sales_Data!$F$2:$F$3520,N$7)))</f>
        <v>0</v>
      </c>
      <c r="O84" s="26" t="n">
        <f aca="false">IF(O$7="","",CHOOSE(MATCH($B$4,Lists!$C$2:$C$5,0),SUMIFS(Sales_Data!$O$2:$O$3520,Sales_Data!$C$2:$C$3520,$A84,Sales_Data!$F$2:$F$3520,O$7,Sales_Data!$AE$2:$AE$3520,1),SUMIFS(Sales_Data!$M$2:$M$3520,Sales_Data!$C$2:$C$3520,$A84,Sales_Data!$F$2:$F$3520,O$7,Sales_Data!$AE$2:$AE$3520,1),SUMIFS(Sales_Data!$N$2:$N$3520,Sales_Data!$C$2:$C$3520,$A84,Sales_Data!$F$2:$F$3520,O$7,Sales_Data!$AE$2:$AE$3520,1),SUMIFS(Sales_Data!$AE$2:$AE$3520,Sales_Data!$C$2:$C$3520,$A84,Sales_Data!$F$2:$F$3520,O$7)))</f>
        <v>0</v>
      </c>
      <c r="P84" s="26" t="n">
        <f aca="false">IF(P$7="","",CHOOSE(MATCH($B$4,Lists!$C$2:$C$5,0),SUMIFS(Sales_Data!$O$2:$O$3520,Sales_Data!$C$2:$C$3520,$A84,Sales_Data!$F$2:$F$3520,P$7,Sales_Data!$AE$2:$AE$3520,1),SUMIFS(Sales_Data!$M$2:$M$3520,Sales_Data!$C$2:$C$3520,$A84,Sales_Data!$F$2:$F$3520,P$7,Sales_Data!$AE$2:$AE$3520,1),SUMIFS(Sales_Data!$N$2:$N$3520,Sales_Data!$C$2:$C$3520,$A84,Sales_Data!$F$2:$F$3520,P$7,Sales_Data!$AE$2:$AE$3520,1),SUMIFS(Sales_Data!$AE$2:$AE$3520,Sales_Data!$C$2:$C$3520,$A84,Sales_Data!$F$2:$F$3520,P$7)))</f>
        <v>0</v>
      </c>
      <c r="Q84" s="26" t="n">
        <f aca="false">IF(Q$7="","",CHOOSE(MATCH($B$4,Lists!$C$2:$C$5,0),SUMIFS(Sales_Data!$O$2:$O$3520,Sales_Data!$C$2:$C$3520,$A84,Sales_Data!$F$2:$F$3520,Q$7,Sales_Data!$AE$2:$AE$3520,1),SUMIFS(Sales_Data!$M$2:$M$3520,Sales_Data!$C$2:$C$3520,$A84,Sales_Data!$F$2:$F$3520,Q$7,Sales_Data!$AE$2:$AE$3520,1),SUMIFS(Sales_Data!$N$2:$N$3520,Sales_Data!$C$2:$C$3520,$A84,Sales_Data!$F$2:$F$3520,Q$7,Sales_Data!$AE$2:$AE$3520,1),SUMIFS(Sales_Data!$AE$2:$AE$3520,Sales_Data!$C$2:$C$3520,$A84,Sales_Data!$F$2:$F$3520,Q$7)))</f>
        <v>0</v>
      </c>
      <c r="R84" s="26" t="n">
        <f aca="false">IF(R$7="","",CHOOSE(MATCH($B$4,Lists!$C$2:$C$5,0),SUMIFS(Sales_Data!$O$2:$O$3520,Sales_Data!$C$2:$C$3520,$A84,Sales_Data!$F$2:$F$3520,R$7,Sales_Data!$AE$2:$AE$3520,1),SUMIFS(Sales_Data!$M$2:$M$3520,Sales_Data!$C$2:$C$3520,$A84,Sales_Data!$F$2:$F$3520,R$7,Sales_Data!$AE$2:$AE$3520,1),SUMIFS(Sales_Data!$N$2:$N$3520,Sales_Data!$C$2:$C$3520,$A84,Sales_Data!$F$2:$F$3520,R$7,Sales_Data!$AE$2:$AE$3520,1),SUMIFS(Sales_Data!$AE$2:$AE$3520,Sales_Data!$C$2:$C$3520,$A84,Sales_Data!$F$2:$F$3520,R$7)))</f>
        <v>0</v>
      </c>
      <c r="S84" s="26" t="n">
        <f aca="false">IF(S$7="","",CHOOSE(MATCH($B$4,Lists!$C$2:$C$5,0),SUMIFS(Sales_Data!$O$2:$O$3520,Sales_Data!$C$2:$C$3520,$A84,Sales_Data!$F$2:$F$3520,S$7,Sales_Data!$AE$2:$AE$3520,1),SUMIFS(Sales_Data!$M$2:$M$3520,Sales_Data!$C$2:$C$3520,$A84,Sales_Data!$F$2:$F$3520,S$7,Sales_Data!$AE$2:$AE$3520,1),SUMIFS(Sales_Data!$N$2:$N$3520,Sales_Data!$C$2:$C$3520,$A84,Sales_Data!$F$2:$F$3520,S$7,Sales_Data!$AE$2:$AE$3520,1),SUMIFS(Sales_Data!$AE$2:$AE$3520,Sales_Data!$C$2:$C$3520,$A84,Sales_Data!$F$2:$F$3520,S$7)))</f>
        <v>0</v>
      </c>
      <c r="T84" s="26" t="str">
        <f aca="false">IF(T$7="","",CHOOSE(MATCH($B$4,Lists!$C$2:$C$5,0),SUMIFS(Sales_Data!$O$2:$O$3520,Sales_Data!$C$2:$C$3520,$A84,Sales_Data!$F$2:$F$3520,T$7,Sales_Data!$AE$2:$AE$3520,1),SUMIFS(Sales_Data!$M$2:$M$3520,Sales_Data!$C$2:$C$3520,$A84,Sales_Data!$F$2:$F$3520,T$7,Sales_Data!$AE$2:$AE$3520,1),SUMIFS(Sales_Data!$N$2:$N$3520,Sales_Data!$C$2:$C$3520,$A84,Sales_Data!$F$2:$F$3520,T$7,Sales_Data!$AE$2:$AE$3520,1),SUMIFS(Sales_Data!$AE$2:$AE$3520,Sales_Data!$C$2:$C$3520,$A84,Sales_Data!$F$2:$F$3520,T$7)))</f>
        <v/>
      </c>
      <c r="U84" s="26" t="str">
        <f aca="false">IF(U$7="","",CHOOSE(MATCH($B$4,Lists!$C$2:$C$5,0),SUMIFS(Sales_Data!$O$2:$O$3520,Sales_Data!$C$2:$C$3520,$A84,Sales_Data!$F$2:$F$3520,U$7,Sales_Data!$AE$2:$AE$3520,1),SUMIFS(Sales_Data!$M$2:$M$3520,Sales_Data!$C$2:$C$3520,$A84,Sales_Data!$F$2:$F$3520,U$7,Sales_Data!$AE$2:$AE$3520,1),SUMIFS(Sales_Data!$N$2:$N$3520,Sales_Data!$C$2:$C$3520,$A84,Sales_Data!$F$2:$F$3520,U$7,Sales_Data!$AE$2:$AE$3520,1),SUMIFS(Sales_Data!$AE$2:$AE$3520,Sales_Data!$C$2:$C$3520,$A84,Sales_Data!$F$2:$F$3520,U$7)))</f>
        <v/>
      </c>
      <c r="V84" s="26" t="str">
        <f aca="false">IF(V$7="","",CHOOSE(MATCH($B$4,Lists!$C$2:$C$5,0),SUMIFS(Sales_Data!$O$2:$O$3520,Sales_Data!$C$2:$C$3520,$A84,Sales_Data!$F$2:$F$3520,V$7,Sales_Data!$AE$2:$AE$3520,1),SUMIFS(Sales_Data!$M$2:$M$3520,Sales_Data!$C$2:$C$3520,$A84,Sales_Data!$F$2:$F$3520,V$7,Sales_Data!$AE$2:$AE$3520,1),SUMIFS(Sales_Data!$N$2:$N$3520,Sales_Data!$C$2:$C$3520,$A84,Sales_Data!$F$2:$F$3520,V$7,Sales_Data!$AE$2:$AE$3520,1),SUMIFS(Sales_Data!$AE$2:$AE$3520,Sales_Data!$C$2:$C$3520,$A84,Sales_Data!$F$2:$F$3520,V$7)))</f>
        <v/>
      </c>
      <c r="W84" s="26" t="str">
        <f aca="false">IF(W$7="","",CHOOSE(MATCH($B$4,Lists!$C$2:$C$5,0),SUMIFS(Sales_Data!$O$2:$O$3520,Sales_Data!$C$2:$C$3520,$A84,Sales_Data!$F$2:$F$3520,W$7,Sales_Data!$AE$2:$AE$3520,1),SUMIFS(Sales_Data!$M$2:$M$3520,Sales_Data!$C$2:$C$3520,$A84,Sales_Data!$F$2:$F$3520,W$7,Sales_Data!$AE$2:$AE$3520,1),SUMIFS(Sales_Data!$N$2:$N$3520,Sales_Data!$C$2:$C$3520,$A84,Sales_Data!$F$2:$F$3520,W$7,Sales_Data!$AE$2:$AE$3520,1),SUMIFS(Sales_Data!$AE$2:$AE$3520,Sales_Data!$C$2:$C$3520,$A84,Sales_Data!$F$2:$F$3520,W$7)))</f>
        <v/>
      </c>
      <c r="X84" s="26" t="str">
        <f aca="false">IF(X$7="","",CHOOSE(MATCH($B$4,Lists!$C$2:$C$5,0),SUMIFS(Sales_Data!$O$2:$O$3520,Sales_Data!$C$2:$C$3520,$A84,Sales_Data!$F$2:$F$3520,X$7,Sales_Data!$AE$2:$AE$3520,1),SUMIFS(Sales_Data!$M$2:$M$3520,Sales_Data!$C$2:$C$3520,$A84,Sales_Data!$F$2:$F$3520,X$7,Sales_Data!$AE$2:$AE$3520,1),SUMIFS(Sales_Data!$N$2:$N$3520,Sales_Data!$C$2:$C$3520,$A84,Sales_Data!$F$2:$F$3520,X$7,Sales_Data!$AE$2:$AE$3520,1),SUMIFS(Sales_Data!$AE$2:$AE$3520,Sales_Data!$C$2:$C$3520,$A84,Sales_Data!$F$2:$F$3520,X$7)))</f>
        <v/>
      </c>
      <c r="Y84" s="26" t="str">
        <f aca="false">IF(Y$7="","",CHOOSE(MATCH($B$4,Lists!$C$2:$C$5,0),SUMIFS(Sales_Data!$O$2:$O$3520,Sales_Data!$C$2:$C$3520,$A84,Sales_Data!$F$2:$F$3520,Y$7,Sales_Data!$AE$2:$AE$3520,1),SUMIFS(Sales_Data!$M$2:$M$3520,Sales_Data!$C$2:$C$3520,$A84,Sales_Data!$F$2:$F$3520,Y$7,Sales_Data!$AE$2:$AE$3520,1),SUMIFS(Sales_Data!$N$2:$N$3520,Sales_Data!$C$2:$C$3520,$A84,Sales_Data!$F$2:$F$3520,Y$7,Sales_Data!$AE$2:$AE$3520,1),SUMIFS(Sales_Data!$AE$2:$AE$3520,Sales_Data!$C$2:$C$3520,$A84,Sales_Data!$F$2:$F$3520,Y$7)))</f>
        <v/>
      </c>
      <c r="Z84" s="26" t="str">
        <f aca="false">IF(Z$7="","",CHOOSE(MATCH($B$4,Lists!$C$2:$C$5,0),SUMIFS(Sales_Data!$O$2:$O$3520,Sales_Data!$C$2:$C$3520,$A84,Sales_Data!$F$2:$F$3520,Z$7,Sales_Data!$AE$2:$AE$3520,1),SUMIFS(Sales_Data!$M$2:$M$3520,Sales_Data!$C$2:$C$3520,$A84,Sales_Data!$F$2:$F$3520,Z$7,Sales_Data!$AE$2:$AE$3520,1),SUMIFS(Sales_Data!$N$2:$N$3520,Sales_Data!$C$2:$C$3520,$A84,Sales_Data!$F$2:$F$3520,Z$7,Sales_Data!$AE$2:$AE$3520,1),SUMIFS(Sales_Data!$AE$2:$AE$3520,Sales_Data!$C$2:$C$3520,$A84,Sales_Data!$F$2:$F$3520,Z$7)))</f>
        <v/>
      </c>
      <c r="AA84" s="27" t="n">
        <f aca="false">SUM(B84:Z84)</f>
        <v>3</v>
      </c>
      <c r="AB84" s="3"/>
      <c r="AC84" s="72" t="n">
        <f aca="false">A84</f>
        <v>46291</v>
      </c>
      <c r="AD84" s="28" t="n">
        <f aca="false">IF(B84="","",B84-B83)</f>
        <v>0</v>
      </c>
      <c r="AE84" s="28" t="n">
        <f aca="false">IF(C84="","",C84-C83)</f>
        <v>0</v>
      </c>
      <c r="AF84" s="28" t="n">
        <f aca="false">IF(D84="","",D84-D83)</f>
        <v>0</v>
      </c>
      <c r="AG84" s="28" t="n">
        <f aca="false">IF(E84="","",E84-E83)</f>
        <v>0</v>
      </c>
      <c r="AH84" s="28" t="n">
        <f aca="false">IF(F84="","",F84-F83)</f>
        <v>0</v>
      </c>
      <c r="AI84" s="28" t="n">
        <f aca="false">IF(G84="","",G84-G83)</f>
        <v>3</v>
      </c>
      <c r="AJ84" s="28" t="n">
        <f aca="false">IF(H84="","",H84-H83)</f>
        <v>0</v>
      </c>
      <c r="AK84" s="28" t="n">
        <f aca="false">IF(I84="","",I84-I83)</f>
        <v>0</v>
      </c>
      <c r="AL84" s="28" t="n">
        <f aca="false">IF(J84="","",J84-J83)</f>
        <v>0</v>
      </c>
      <c r="AM84" s="28" t="n">
        <f aca="false">IF(K84="","",K84-K83)</f>
        <v>0</v>
      </c>
      <c r="AN84" s="28" t="n">
        <f aca="false">IF(L84="","",L84-L83)</f>
        <v>0</v>
      </c>
      <c r="AO84" s="28" t="n">
        <f aca="false">IF(M84="","",M84-M83)</f>
        <v>0</v>
      </c>
      <c r="AP84" s="28" t="n">
        <f aca="false">IF(N84="","",N84-N83)</f>
        <v>0</v>
      </c>
      <c r="AQ84" s="28" t="n">
        <f aca="false">IF(O84="","",O84-O83)</f>
        <v>0</v>
      </c>
      <c r="AR84" s="28" t="n">
        <f aca="false">IF(P84="","",P84-P83)</f>
        <v>0</v>
      </c>
      <c r="AS84" s="28" t="n">
        <f aca="false">IF(Q84="","",Q84-Q83)</f>
        <v>0</v>
      </c>
      <c r="AT84" s="28" t="n">
        <f aca="false">IF(R84="","",R84-R83)</f>
        <v>0</v>
      </c>
      <c r="AU84" s="28" t="n">
        <f aca="false">IF(S84="","",S84-S83)</f>
        <v>0</v>
      </c>
      <c r="AV84" s="28" t="str">
        <f aca="false">IF(T84="","",T84-T83)</f>
        <v/>
      </c>
      <c r="AW84" s="28" t="str">
        <f aca="false">IF(U84="","",U84-U83)</f>
        <v/>
      </c>
      <c r="AX84" s="28" t="str">
        <f aca="false">IF(V84="","",V84-V83)</f>
        <v/>
      </c>
      <c r="AY84" s="28" t="str">
        <f aca="false">IF(W84="","",W84-W83)</f>
        <v/>
      </c>
      <c r="AZ84" s="28" t="str">
        <f aca="false">IF(X84="","",X84-X83)</f>
        <v/>
      </c>
      <c r="BA84" s="28" t="str">
        <f aca="false">IF(Y84="","",Y84-Y83)</f>
        <v/>
      </c>
      <c r="BB84" s="28" t="str">
        <f aca="false">IF(Z84="","",Z84-Z83)</f>
        <v/>
      </c>
      <c r="BC84" s="28" t="n">
        <f aca="false">IF(AA84="","",AA84-AA83)</f>
        <v>3</v>
      </c>
    </row>
    <row r="85" customFormat="false" ht="15" hidden="false" customHeight="false" outlineLevel="0" collapsed="false">
      <c r="A85" s="72" t="n">
        <v>46292</v>
      </c>
      <c r="B85" s="26" t="n">
        <f aca="false">IF(B$7="","",CHOOSE(MATCH($B$4,Lists!$C$2:$C$5,0),SUMIFS(Sales_Data!$O$2:$O$3520,Sales_Data!$C$2:$C$3520,$A85,Sales_Data!$F$2:$F$3520,B$7,Sales_Data!$AE$2:$AE$3520,1),SUMIFS(Sales_Data!$M$2:$M$3520,Sales_Data!$C$2:$C$3520,$A85,Sales_Data!$F$2:$F$3520,B$7,Sales_Data!$AE$2:$AE$3520,1),SUMIFS(Sales_Data!$N$2:$N$3520,Sales_Data!$C$2:$C$3520,$A85,Sales_Data!$F$2:$F$3520,B$7,Sales_Data!$AE$2:$AE$3520,1),SUMIFS(Sales_Data!$AE$2:$AE$3520,Sales_Data!$C$2:$C$3520,$A85,Sales_Data!$F$2:$F$3520,B$7)))</f>
        <v>0</v>
      </c>
      <c r="C85" s="26" t="n">
        <f aca="false">IF(C$7="","",CHOOSE(MATCH($B$4,Lists!$C$2:$C$5,0),SUMIFS(Sales_Data!$O$2:$O$3520,Sales_Data!$C$2:$C$3520,$A85,Sales_Data!$F$2:$F$3520,C$7,Sales_Data!$AE$2:$AE$3520,1),SUMIFS(Sales_Data!$M$2:$M$3520,Sales_Data!$C$2:$C$3520,$A85,Sales_Data!$F$2:$F$3520,C$7,Sales_Data!$AE$2:$AE$3520,1),SUMIFS(Sales_Data!$N$2:$N$3520,Sales_Data!$C$2:$C$3520,$A85,Sales_Data!$F$2:$F$3520,C$7,Sales_Data!$AE$2:$AE$3520,1),SUMIFS(Sales_Data!$AE$2:$AE$3520,Sales_Data!$C$2:$C$3520,$A85,Sales_Data!$F$2:$F$3520,C$7)))</f>
        <v>0</v>
      </c>
      <c r="D85" s="26" t="n">
        <f aca="false">IF(D$7="","",CHOOSE(MATCH($B$4,Lists!$C$2:$C$5,0),SUMIFS(Sales_Data!$O$2:$O$3520,Sales_Data!$C$2:$C$3520,$A85,Sales_Data!$F$2:$F$3520,D$7,Sales_Data!$AE$2:$AE$3520,1),SUMIFS(Sales_Data!$M$2:$M$3520,Sales_Data!$C$2:$C$3520,$A85,Sales_Data!$F$2:$F$3520,D$7,Sales_Data!$AE$2:$AE$3520,1),SUMIFS(Sales_Data!$N$2:$N$3520,Sales_Data!$C$2:$C$3520,$A85,Sales_Data!$F$2:$F$3520,D$7,Sales_Data!$AE$2:$AE$3520,1),SUMIFS(Sales_Data!$AE$2:$AE$3520,Sales_Data!$C$2:$C$3520,$A85,Sales_Data!$F$2:$F$3520,D$7)))</f>
        <v>0</v>
      </c>
      <c r="E85" s="26" t="n">
        <f aca="false">IF(E$7="","",CHOOSE(MATCH($B$4,Lists!$C$2:$C$5,0),SUMIFS(Sales_Data!$O$2:$O$3520,Sales_Data!$C$2:$C$3520,$A85,Sales_Data!$F$2:$F$3520,E$7,Sales_Data!$AE$2:$AE$3520,1),SUMIFS(Sales_Data!$M$2:$M$3520,Sales_Data!$C$2:$C$3520,$A85,Sales_Data!$F$2:$F$3520,E$7,Sales_Data!$AE$2:$AE$3520,1),SUMIFS(Sales_Data!$N$2:$N$3520,Sales_Data!$C$2:$C$3520,$A85,Sales_Data!$F$2:$F$3520,E$7,Sales_Data!$AE$2:$AE$3520,1),SUMIFS(Sales_Data!$AE$2:$AE$3520,Sales_Data!$C$2:$C$3520,$A85,Sales_Data!$F$2:$F$3520,E$7)))</f>
        <v>0</v>
      </c>
      <c r="F85" s="26" t="n">
        <f aca="false">IF(F$7="","",CHOOSE(MATCH($B$4,Lists!$C$2:$C$5,0),SUMIFS(Sales_Data!$O$2:$O$3520,Sales_Data!$C$2:$C$3520,$A85,Sales_Data!$F$2:$F$3520,F$7,Sales_Data!$AE$2:$AE$3520,1),SUMIFS(Sales_Data!$M$2:$M$3520,Sales_Data!$C$2:$C$3520,$A85,Sales_Data!$F$2:$F$3520,F$7,Sales_Data!$AE$2:$AE$3520,1),SUMIFS(Sales_Data!$N$2:$N$3520,Sales_Data!$C$2:$C$3520,$A85,Sales_Data!$F$2:$F$3520,F$7,Sales_Data!$AE$2:$AE$3520,1),SUMIFS(Sales_Data!$AE$2:$AE$3520,Sales_Data!$C$2:$C$3520,$A85,Sales_Data!$F$2:$F$3520,F$7)))</f>
        <v>0</v>
      </c>
      <c r="G85" s="26" t="n">
        <f aca="false">IF(G$7="","",CHOOSE(MATCH($B$4,Lists!$C$2:$C$5,0),SUMIFS(Sales_Data!$O$2:$O$3520,Sales_Data!$C$2:$C$3520,$A85,Sales_Data!$F$2:$F$3520,G$7,Sales_Data!$AE$2:$AE$3520,1),SUMIFS(Sales_Data!$M$2:$M$3520,Sales_Data!$C$2:$C$3520,$A85,Sales_Data!$F$2:$F$3520,G$7,Sales_Data!$AE$2:$AE$3520,1),SUMIFS(Sales_Data!$N$2:$N$3520,Sales_Data!$C$2:$C$3520,$A85,Sales_Data!$F$2:$F$3520,G$7,Sales_Data!$AE$2:$AE$3520,1),SUMIFS(Sales_Data!$AE$2:$AE$3520,Sales_Data!$C$2:$C$3520,$A85,Sales_Data!$F$2:$F$3520,G$7)))</f>
        <v>0</v>
      </c>
      <c r="H85" s="26" t="n">
        <f aca="false">IF(H$7="","",CHOOSE(MATCH($B$4,Lists!$C$2:$C$5,0),SUMIFS(Sales_Data!$O$2:$O$3520,Sales_Data!$C$2:$C$3520,$A85,Sales_Data!$F$2:$F$3520,H$7,Sales_Data!$AE$2:$AE$3520,1),SUMIFS(Sales_Data!$M$2:$M$3520,Sales_Data!$C$2:$C$3520,$A85,Sales_Data!$F$2:$F$3520,H$7,Sales_Data!$AE$2:$AE$3520,1),SUMIFS(Sales_Data!$N$2:$N$3520,Sales_Data!$C$2:$C$3520,$A85,Sales_Data!$F$2:$F$3520,H$7,Sales_Data!$AE$2:$AE$3520,1),SUMIFS(Sales_Data!$AE$2:$AE$3520,Sales_Data!$C$2:$C$3520,$A85,Sales_Data!$F$2:$F$3520,H$7)))</f>
        <v>0</v>
      </c>
      <c r="I85" s="26" t="n">
        <f aca="false">IF(I$7="","",CHOOSE(MATCH($B$4,Lists!$C$2:$C$5,0),SUMIFS(Sales_Data!$O$2:$O$3520,Sales_Data!$C$2:$C$3520,$A85,Sales_Data!$F$2:$F$3520,I$7,Sales_Data!$AE$2:$AE$3520,1),SUMIFS(Sales_Data!$M$2:$M$3520,Sales_Data!$C$2:$C$3520,$A85,Sales_Data!$F$2:$F$3520,I$7,Sales_Data!$AE$2:$AE$3520,1),SUMIFS(Sales_Data!$N$2:$N$3520,Sales_Data!$C$2:$C$3520,$A85,Sales_Data!$F$2:$F$3520,I$7,Sales_Data!$AE$2:$AE$3520,1),SUMIFS(Sales_Data!$AE$2:$AE$3520,Sales_Data!$C$2:$C$3520,$A85,Sales_Data!$F$2:$F$3520,I$7)))</f>
        <v>0</v>
      </c>
      <c r="J85" s="26" t="n">
        <f aca="false">IF(J$7="","",CHOOSE(MATCH($B$4,Lists!$C$2:$C$5,0),SUMIFS(Sales_Data!$O$2:$O$3520,Sales_Data!$C$2:$C$3520,$A85,Sales_Data!$F$2:$F$3520,J$7,Sales_Data!$AE$2:$AE$3520,1),SUMIFS(Sales_Data!$M$2:$M$3520,Sales_Data!$C$2:$C$3520,$A85,Sales_Data!$F$2:$F$3520,J$7,Sales_Data!$AE$2:$AE$3520,1),SUMIFS(Sales_Data!$N$2:$N$3520,Sales_Data!$C$2:$C$3520,$A85,Sales_Data!$F$2:$F$3520,J$7,Sales_Data!$AE$2:$AE$3520,1),SUMIFS(Sales_Data!$AE$2:$AE$3520,Sales_Data!$C$2:$C$3520,$A85,Sales_Data!$F$2:$F$3520,J$7)))</f>
        <v>0</v>
      </c>
      <c r="K85" s="26" t="n">
        <f aca="false">IF(K$7="","",CHOOSE(MATCH($B$4,Lists!$C$2:$C$5,0),SUMIFS(Sales_Data!$O$2:$O$3520,Sales_Data!$C$2:$C$3520,$A85,Sales_Data!$F$2:$F$3520,K$7,Sales_Data!$AE$2:$AE$3520,1),SUMIFS(Sales_Data!$M$2:$M$3520,Sales_Data!$C$2:$C$3520,$A85,Sales_Data!$F$2:$F$3520,K$7,Sales_Data!$AE$2:$AE$3520,1),SUMIFS(Sales_Data!$N$2:$N$3520,Sales_Data!$C$2:$C$3520,$A85,Sales_Data!$F$2:$F$3520,K$7,Sales_Data!$AE$2:$AE$3520,1),SUMIFS(Sales_Data!$AE$2:$AE$3520,Sales_Data!$C$2:$C$3520,$A85,Sales_Data!$F$2:$F$3520,K$7)))</f>
        <v>0</v>
      </c>
      <c r="L85" s="26" t="n">
        <f aca="false">IF(L$7="","",CHOOSE(MATCH($B$4,Lists!$C$2:$C$5,0),SUMIFS(Sales_Data!$O$2:$O$3520,Sales_Data!$C$2:$C$3520,$A85,Sales_Data!$F$2:$F$3520,L$7,Sales_Data!$AE$2:$AE$3520,1),SUMIFS(Sales_Data!$M$2:$M$3520,Sales_Data!$C$2:$C$3520,$A85,Sales_Data!$F$2:$F$3520,L$7,Sales_Data!$AE$2:$AE$3520,1),SUMIFS(Sales_Data!$N$2:$N$3520,Sales_Data!$C$2:$C$3520,$A85,Sales_Data!$F$2:$F$3520,L$7,Sales_Data!$AE$2:$AE$3520,1),SUMIFS(Sales_Data!$AE$2:$AE$3520,Sales_Data!$C$2:$C$3520,$A85,Sales_Data!$F$2:$F$3520,L$7)))</f>
        <v>0</v>
      </c>
      <c r="M85" s="26" t="n">
        <f aca="false">IF(M$7="","",CHOOSE(MATCH($B$4,Lists!$C$2:$C$5,0),SUMIFS(Sales_Data!$O$2:$O$3520,Sales_Data!$C$2:$C$3520,$A85,Sales_Data!$F$2:$F$3520,M$7,Sales_Data!$AE$2:$AE$3520,1),SUMIFS(Sales_Data!$M$2:$M$3520,Sales_Data!$C$2:$C$3520,$A85,Sales_Data!$F$2:$F$3520,M$7,Sales_Data!$AE$2:$AE$3520,1),SUMIFS(Sales_Data!$N$2:$N$3520,Sales_Data!$C$2:$C$3520,$A85,Sales_Data!$F$2:$F$3520,M$7,Sales_Data!$AE$2:$AE$3520,1),SUMIFS(Sales_Data!$AE$2:$AE$3520,Sales_Data!$C$2:$C$3520,$A85,Sales_Data!$F$2:$F$3520,M$7)))</f>
        <v>0</v>
      </c>
      <c r="N85" s="26" t="n">
        <f aca="false">IF(N$7="","",CHOOSE(MATCH($B$4,Lists!$C$2:$C$5,0),SUMIFS(Sales_Data!$O$2:$O$3520,Sales_Data!$C$2:$C$3520,$A85,Sales_Data!$F$2:$F$3520,N$7,Sales_Data!$AE$2:$AE$3520,1),SUMIFS(Sales_Data!$M$2:$M$3520,Sales_Data!$C$2:$C$3520,$A85,Sales_Data!$F$2:$F$3520,N$7,Sales_Data!$AE$2:$AE$3520,1),SUMIFS(Sales_Data!$N$2:$N$3520,Sales_Data!$C$2:$C$3520,$A85,Sales_Data!$F$2:$F$3520,N$7,Sales_Data!$AE$2:$AE$3520,1),SUMIFS(Sales_Data!$AE$2:$AE$3520,Sales_Data!$C$2:$C$3520,$A85,Sales_Data!$F$2:$F$3520,N$7)))</f>
        <v>0</v>
      </c>
      <c r="O85" s="26" t="n">
        <f aca="false">IF(O$7="","",CHOOSE(MATCH($B$4,Lists!$C$2:$C$5,0),SUMIFS(Sales_Data!$O$2:$O$3520,Sales_Data!$C$2:$C$3520,$A85,Sales_Data!$F$2:$F$3520,O$7,Sales_Data!$AE$2:$AE$3520,1),SUMIFS(Sales_Data!$M$2:$M$3520,Sales_Data!$C$2:$C$3520,$A85,Sales_Data!$F$2:$F$3520,O$7,Sales_Data!$AE$2:$AE$3520,1),SUMIFS(Sales_Data!$N$2:$N$3520,Sales_Data!$C$2:$C$3520,$A85,Sales_Data!$F$2:$F$3520,O$7,Sales_Data!$AE$2:$AE$3520,1),SUMIFS(Sales_Data!$AE$2:$AE$3520,Sales_Data!$C$2:$C$3520,$A85,Sales_Data!$F$2:$F$3520,O$7)))</f>
        <v>0</v>
      </c>
      <c r="P85" s="26" t="n">
        <f aca="false">IF(P$7="","",CHOOSE(MATCH($B$4,Lists!$C$2:$C$5,0),SUMIFS(Sales_Data!$O$2:$O$3520,Sales_Data!$C$2:$C$3520,$A85,Sales_Data!$F$2:$F$3520,P$7,Sales_Data!$AE$2:$AE$3520,1),SUMIFS(Sales_Data!$M$2:$M$3520,Sales_Data!$C$2:$C$3520,$A85,Sales_Data!$F$2:$F$3520,P$7,Sales_Data!$AE$2:$AE$3520,1),SUMIFS(Sales_Data!$N$2:$N$3520,Sales_Data!$C$2:$C$3520,$A85,Sales_Data!$F$2:$F$3520,P$7,Sales_Data!$AE$2:$AE$3520,1),SUMIFS(Sales_Data!$AE$2:$AE$3520,Sales_Data!$C$2:$C$3520,$A85,Sales_Data!$F$2:$F$3520,P$7)))</f>
        <v>0</v>
      </c>
      <c r="Q85" s="26" t="n">
        <f aca="false">IF(Q$7="","",CHOOSE(MATCH($B$4,Lists!$C$2:$C$5,0),SUMIFS(Sales_Data!$O$2:$O$3520,Sales_Data!$C$2:$C$3520,$A85,Sales_Data!$F$2:$F$3520,Q$7,Sales_Data!$AE$2:$AE$3520,1),SUMIFS(Sales_Data!$M$2:$M$3520,Sales_Data!$C$2:$C$3520,$A85,Sales_Data!$F$2:$F$3520,Q$7,Sales_Data!$AE$2:$AE$3520,1),SUMIFS(Sales_Data!$N$2:$N$3520,Sales_Data!$C$2:$C$3520,$A85,Sales_Data!$F$2:$F$3520,Q$7,Sales_Data!$AE$2:$AE$3520,1),SUMIFS(Sales_Data!$AE$2:$AE$3520,Sales_Data!$C$2:$C$3520,$A85,Sales_Data!$F$2:$F$3520,Q$7)))</f>
        <v>0</v>
      </c>
      <c r="R85" s="26" t="n">
        <f aca="false">IF(R$7="","",CHOOSE(MATCH($B$4,Lists!$C$2:$C$5,0),SUMIFS(Sales_Data!$O$2:$O$3520,Sales_Data!$C$2:$C$3520,$A85,Sales_Data!$F$2:$F$3520,R$7,Sales_Data!$AE$2:$AE$3520,1),SUMIFS(Sales_Data!$M$2:$M$3520,Sales_Data!$C$2:$C$3520,$A85,Sales_Data!$F$2:$F$3520,R$7,Sales_Data!$AE$2:$AE$3520,1),SUMIFS(Sales_Data!$N$2:$N$3520,Sales_Data!$C$2:$C$3520,$A85,Sales_Data!$F$2:$F$3520,R$7,Sales_Data!$AE$2:$AE$3520,1),SUMIFS(Sales_Data!$AE$2:$AE$3520,Sales_Data!$C$2:$C$3520,$A85,Sales_Data!$F$2:$F$3520,R$7)))</f>
        <v>0</v>
      </c>
      <c r="S85" s="26" t="n">
        <f aca="false">IF(S$7="","",CHOOSE(MATCH($B$4,Lists!$C$2:$C$5,0),SUMIFS(Sales_Data!$O$2:$O$3520,Sales_Data!$C$2:$C$3520,$A85,Sales_Data!$F$2:$F$3520,S$7,Sales_Data!$AE$2:$AE$3520,1),SUMIFS(Sales_Data!$M$2:$M$3520,Sales_Data!$C$2:$C$3520,$A85,Sales_Data!$F$2:$F$3520,S$7,Sales_Data!$AE$2:$AE$3520,1),SUMIFS(Sales_Data!$N$2:$N$3520,Sales_Data!$C$2:$C$3520,$A85,Sales_Data!$F$2:$F$3520,S$7,Sales_Data!$AE$2:$AE$3520,1),SUMIFS(Sales_Data!$AE$2:$AE$3520,Sales_Data!$C$2:$C$3520,$A85,Sales_Data!$F$2:$F$3520,S$7)))</f>
        <v>0</v>
      </c>
      <c r="T85" s="26" t="str">
        <f aca="false">IF(T$7="","",CHOOSE(MATCH($B$4,Lists!$C$2:$C$5,0),SUMIFS(Sales_Data!$O$2:$O$3520,Sales_Data!$C$2:$C$3520,$A85,Sales_Data!$F$2:$F$3520,T$7,Sales_Data!$AE$2:$AE$3520,1),SUMIFS(Sales_Data!$M$2:$M$3520,Sales_Data!$C$2:$C$3520,$A85,Sales_Data!$F$2:$F$3520,T$7,Sales_Data!$AE$2:$AE$3520,1),SUMIFS(Sales_Data!$N$2:$N$3520,Sales_Data!$C$2:$C$3520,$A85,Sales_Data!$F$2:$F$3520,T$7,Sales_Data!$AE$2:$AE$3520,1),SUMIFS(Sales_Data!$AE$2:$AE$3520,Sales_Data!$C$2:$C$3520,$A85,Sales_Data!$F$2:$F$3520,T$7)))</f>
        <v/>
      </c>
      <c r="U85" s="26" t="str">
        <f aca="false">IF(U$7="","",CHOOSE(MATCH($B$4,Lists!$C$2:$C$5,0),SUMIFS(Sales_Data!$O$2:$O$3520,Sales_Data!$C$2:$C$3520,$A85,Sales_Data!$F$2:$F$3520,U$7,Sales_Data!$AE$2:$AE$3520,1),SUMIFS(Sales_Data!$M$2:$M$3520,Sales_Data!$C$2:$C$3520,$A85,Sales_Data!$F$2:$F$3520,U$7,Sales_Data!$AE$2:$AE$3520,1),SUMIFS(Sales_Data!$N$2:$N$3520,Sales_Data!$C$2:$C$3520,$A85,Sales_Data!$F$2:$F$3520,U$7,Sales_Data!$AE$2:$AE$3520,1),SUMIFS(Sales_Data!$AE$2:$AE$3520,Sales_Data!$C$2:$C$3520,$A85,Sales_Data!$F$2:$F$3520,U$7)))</f>
        <v/>
      </c>
      <c r="V85" s="26" t="str">
        <f aca="false">IF(V$7="","",CHOOSE(MATCH($B$4,Lists!$C$2:$C$5,0),SUMIFS(Sales_Data!$O$2:$O$3520,Sales_Data!$C$2:$C$3520,$A85,Sales_Data!$F$2:$F$3520,V$7,Sales_Data!$AE$2:$AE$3520,1),SUMIFS(Sales_Data!$M$2:$M$3520,Sales_Data!$C$2:$C$3520,$A85,Sales_Data!$F$2:$F$3520,V$7,Sales_Data!$AE$2:$AE$3520,1),SUMIFS(Sales_Data!$N$2:$N$3520,Sales_Data!$C$2:$C$3520,$A85,Sales_Data!$F$2:$F$3520,V$7,Sales_Data!$AE$2:$AE$3520,1),SUMIFS(Sales_Data!$AE$2:$AE$3520,Sales_Data!$C$2:$C$3520,$A85,Sales_Data!$F$2:$F$3520,V$7)))</f>
        <v/>
      </c>
      <c r="W85" s="26" t="str">
        <f aca="false">IF(W$7="","",CHOOSE(MATCH($B$4,Lists!$C$2:$C$5,0),SUMIFS(Sales_Data!$O$2:$O$3520,Sales_Data!$C$2:$C$3520,$A85,Sales_Data!$F$2:$F$3520,W$7,Sales_Data!$AE$2:$AE$3520,1),SUMIFS(Sales_Data!$M$2:$M$3520,Sales_Data!$C$2:$C$3520,$A85,Sales_Data!$F$2:$F$3520,W$7,Sales_Data!$AE$2:$AE$3520,1),SUMIFS(Sales_Data!$N$2:$N$3520,Sales_Data!$C$2:$C$3520,$A85,Sales_Data!$F$2:$F$3520,W$7,Sales_Data!$AE$2:$AE$3520,1),SUMIFS(Sales_Data!$AE$2:$AE$3520,Sales_Data!$C$2:$C$3520,$A85,Sales_Data!$F$2:$F$3520,W$7)))</f>
        <v/>
      </c>
      <c r="X85" s="26" t="str">
        <f aca="false">IF(X$7="","",CHOOSE(MATCH($B$4,Lists!$C$2:$C$5,0),SUMIFS(Sales_Data!$O$2:$O$3520,Sales_Data!$C$2:$C$3520,$A85,Sales_Data!$F$2:$F$3520,X$7,Sales_Data!$AE$2:$AE$3520,1),SUMIFS(Sales_Data!$M$2:$M$3520,Sales_Data!$C$2:$C$3520,$A85,Sales_Data!$F$2:$F$3520,X$7,Sales_Data!$AE$2:$AE$3520,1),SUMIFS(Sales_Data!$N$2:$N$3520,Sales_Data!$C$2:$C$3520,$A85,Sales_Data!$F$2:$F$3520,X$7,Sales_Data!$AE$2:$AE$3520,1),SUMIFS(Sales_Data!$AE$2:$AE$3520,Sales_Data!$C$2:$C$3520,$A85,Sales_Data!$F$2:$F$3520,X$7)))</f>
        <v/>
      </c>
      <c r="Y85" s="26" t="str">
        <f aca="false">IF(Y$7="","",CHOOSE(MATCH($B$4,Lists!$C$2:$C$5,0),SUMIFS(Sales_Data!$O$2:$O$3520,Sales_Data!$C$2:$C$3520,$A85,Sales_Data!$F$2:$F$3520,Y$7,Sales_Data!$AE$2:$AE$3520,1),SUMIFS(Sales_Data!$M$2:$M$3520,Sales_Data!$C$2:$C$3520,$A85,Sales_Data!$F$2:$F$3520,Y$7,Sales_Data!$AE$2:$AE$3520,1),SUMIFS(Sales_Data!$N$2:$N$3520,Sales_Data!$C$2:$C$3520,$A85,Sales_Data!$F$2:$F$3520,Y$7,Sales_Data!$AE$2:$AE$3520,1),SUMIFS(Sales_Data!$AE$2:$AE$3520,Sales_Data!$C$2:$C$3520,$A85,Sales_Data!$F$2:$F$3520,Y$7)))</f>
        <v/>
      </c>
      <c r="Z85" s="26" t="str">
        <f aca="false">IF(Z$7="","",CHOOSE(MATCH($B$4,Lists!$C$2:$C$5,0),SUMIFS(Sales_Data!$O$2:$O$3520,Sales_Data!$C$2:$C$3520,$A85,Sales_Data!$F$2:$F$3520,Z$7,Sales_Data!$AE$2:$AE$3520,1),SUMIFS(Sales_Data!$M$2:$M$3520,Sales_Data!$C$2:$C$3520,$A85,Sales_Data!$F$2:$F$3520,Z$7,Sales_Data!$AE$2:$AE$3520,1),SUMIFS(Sales_Data!$N$2:$N$3520,Sales_Data!$C$2:$C$3520,$A85,Sales_Data!$F$2:$F$3520,Z$7,Sales_Data!$AE$2:$AE$3520,1),SUMIFS(Sales_Data!$AE$2:$AE$3520,Sales_Data!$C$2:$C$3520,$A85,Sales_Data!$F$2:$F$3520,Z$7)))</f>
        <v/>
      </c>
      <c r="AA85" s="27" t="n">
        <f aca="false">SUM(B85:Z85)</f>
        <v>0</v>
      </c>
      <c r="AB85" s="3"/>
      <c r="AC85" s="72" t="n">
        <f aca="false">A85</f>
        <v>46292</v>
      </c>
      <c r="AD85" s="28" t="n">
        <f aca="false">IF(B85="","",B85-B84)</f>
        <v>0</v>
      </c>
      <c r="AE85" s="28" t="n">
        <f aca="false">IF(C85="","",C85-C84)</f>
        <v>0</v>
      </c>
      <c r="AF85" s="28" t="n">
        <f aca="false">IF(D85="","",D85-D84)</f>
        <v>0</v>
      </c>
      <c r="AG85" s="28" t="n">
        <f aca="false">IF(E85="","",E85-E84)</f>
        <v>0</v>
      </c>
      <c r="AH85" s="28" t="n">
        <f aca="false">IF(F85="","",F85-F84)</f>
        <v>0</v>
      </c>
      <c r="AI85" s="28" t="n">
        <f aca="false">IF(G85="","",G85-G84)</f>
        <v>-3</v>
      </c>
      <c r="AJ85" s="28" t="n">
        <f aca="false">IF(H85="","",H85-H84)</f>
        <v>0</v>
      </c>
      <c r="AK85" s="28" t="n">
        <f aca="false">IF(I85="","",I85-I84)</f>
        <v>0</v>
      </c>
      <c r="AL85" s="28" t="n">
        <f aca="false">IF(J85="","",J85-J84)</f>
        <v>0</v>
      </c>
      <c r="AM85" s="28" t="n">
        <f aca="false">IF(K85="","",K85-K84)</f>
        <v>0</v>
      </c>
      <c r="AN85" s="28" t="n">
        <f aca="false">IF(L85="","",L85-L84)</f>
        <v>0</v>
      </c>
      <c r="AO85" s="28" t="n">
        <f aca="false">IF(M85="","",M85-M84)</f>
        <v>0</v>
      </c>
      <c r="AP85" s="28" t="n">
        <f aca="false">IF(N85="","",N85-N84)</f>
        <v>0</v>
      </c>
      <c r="AQ85" s="28" t="n">
        <f aca="false">IF(O85="","",O85-O84)</f>
        <v>0</v>
      </c>
      <c r="AR85" s="28" t="n">
        <f aca="false">IF(P85="","",P85-P84)</f>
        <v>0</v>
      </c>
      <c r="AS85" s="28" t="n">
        <f aca="false">IF(Q85="","",Q85-Q84)</f>
        <v>0</v>
      </c>
      <c r="AT85" s="28" t="n">
        <f aca="false">IF(R85="","",R85-R84)</f>
        <v>0</v>
      </c>
      <c r="AU85" s="28" t="n">
        <f aca="false">IF(S85="","",S85-S84)</f>
        <v>0</v>
      </c>
      <c r="AV85" s="28" t="str">
        <f aca="false">IF(T85="","",T85-T84)</f>
        <v/>
      </c>
      <c r="AW85" s="28" t="str">
        <f aca="false">IF(U85="","",U85-U84)</f>
        <v/>
      </c>
      <c r="AX85" s="28" t="str">
        <f aca="false">IF(V85="","",V85-V84)</f>
        <v/>
      </c>
      <c r="AY85" s="28" t="str">
        <f aca="false">IF(W85="","",W85-W84)</f>
        <v/>
      </c>
      <c r="AZ85" s="28" t="str">
        <f aca="false">IF(X85="","",X85-X84)</f>
        <v/>
      </c>
      <c r="BA85" s="28" t="str">
        <f aca="false">IF(Y85="","",Y85-Y84)</f>
        <v/>
      </c>
      <c r="BB85" s="28" t="str">
        <f aca="false">IF(Z85="","",Z85-Z84)</f>
        <v/>
      </c>
      <c r="BC85" s="28" t="n">
        <f aca="false">IF(AA85="","",AA85-AA84)</f>
        <v>-3</v>
      </c>
    </row>
    <row r="86" customFormat="false" ht="15" hidden="false" customHeight="false" outlineLevel="0" collapsed="false">
      <c r="A86" s="72" t="n">
        <v>46293</v>
      </c>
      <c r="B86" s="26" t="n">
        <f aca="false">IF(B$7="","",CHOOSE(MATCH($B$4,Lists!$C$2:$C$5,0),SUMIFS(Sales_Data!$O$2:$O$3520,Sales_Data!$C$2:$C$3520,$A86,Sales_Data!$F$2:$F$3520,B$7,Sales_Data!$AE$2:$AE$3520,1),SUMIFS(Sales_Data!$M$2:$M$3520,Sales_Data!$C$2:$C$3520,$A86,Sales_Data!$F$2:$F$3520,B$7,Sales_Data!$AE$2:$AE$3520,1),SUMIFS(Sales_Data!$N$2:$N$3520,Sales_Data!$C$2:$C$3520,$A86,Sales_Data!$F$2:$F$3520,B$7,Sales_Data!$AE$2:$AE$3520,1),SUMIFS(Sales_Data!$AE$2:$AE$3520,Sales_Data!$C$2:$C$3520,$A86,Sales_Data!$F$2:$F$3520,B$7)))</f>
        <v>0</v>
      </c>
      <c r="C86" s="26" t="n">
        <f aca="false">IF(C$7="","",CHOOSE(MATCH($B$4,Lists!$C$2:$C$5,0),SUMIFS(Sales_Data!$O$2:$O$3520,Sales_Data!$C$2:$C$3520,$A86,Sales_Data!$F$2:$F$3520,C$7,Sales_Data!$AE$2:$AE$3520,1),SUMIFS(Sales_Data!$M$2:$M$3520,Sales_Data!$C$2:$C$3520,$A86,Sales_Data!$F$2:$F$3520,C$7,Sales_Data!$AE$2:$AE$3520,1),SUMIFS(Sales_Data!$N$2:$N$3520,Sales_Data!$C$2:$C$3520,$A86,Sales_Data!$F$2:$F$3520,C$7,Sales_Data!$AE$2:$AE$3520,1),SUMIFS(Sales_Data!$AE$2:$AE$3520,Sales_Data!$C$2:$C$3520,$A86,Sales_Data!$F$2:$F$3520,C$7)))</f>
        <v>0</v>
      </c>
      <c r="D86" s="26" t="n">
        <f aca="false">IF(D$7="","",CHOOSE(MATCH($B$4,Lists!$C$2:$C$5,0),SUMIFS(Sales_Data!$O$2:$O$3520,Sales_Data!$C$2:$C$3520,$A86,Sales_Data!$F$2:$F$3520,D$7,Sales_Data!$AE$2:$AE$3520,1),SUMIFS(Sales_Data!$M$2:$M$3520,Sales_Data!$C$2:$C$3520,$A86,Sales_Data!$F$2:$F$3520,D$7,Sales_Data!$AE$2:$AE$3520,1),SUMIFS(Sales_Data!$N$2:$N$3520,Sales_Data!$C$2:$C$3520,$A86,Sales_Data!$F$2:$F$3520,D$7,Sales_Data!$AE$2:$AE$3520,1),SUMIFS(Sales_Data!$AE$2:$AE$3520,Sales_Data!$C$2:$C$3520,$A86,Sales_Data!$F$2:$F$3520,D$7)))</f>
        <v>0</v>
      </c>
      <c r="E86" s="26" t="n">
        <f aca="false">IF(E$7="","",CHOOSE(MATCH($B$4,Lists!$C$2:$C$5,0),SUMIFS(Sales_Data!$O$2:$O$3520,Sales_Data!$C$2:$C$3520,$A86,Sales_Data!$F$2:$F$3520,E$7,Sales_Data!$AE$2:$AE$3520,1),SUMIFS(Sales_Data!$M$2:$M$3520,Sales_Data!$C$2:$C$3520,$A86,Sales_Data!$F$2:$F$3520,E$7,Sales_Data!$AE$2:$AE$3520,1),SUMIFS(Sales_Data!$N$2:$N$3520,Sales_Data!$C$2:$C$3520,$A86,Sales_Data!$F$2:$F$3520,E$7,Sales_Data!$AE$2:$AE$3520,1),SUMIFS(Sales_Data!$AE$2:$AE$3520,Sales_Data!$C$2:$C$3520,$A86,Sales_Data!$F$2:$F$3520,E$7)))</f>
        <v>0</v>
      </c>
      <c r="F86" s="26" t="n">
        <f aca="false">IF(F$7="","",CHOOSE(MATCH($B$4,Lists!$C$2:$C$5,0),SUMIFS(Sales_Data!$O$2:$O$3520,Sales_Data!$C$2:$C$3520,$A86,Sales_Data!$F$2:$F$3520,F$7,Sales_Data!$AE$2:$AE$3520,1),SUMIFS(Sales_Data!$M$2:$M$3520,Sales_Data!$C$2:$C$3520,$A86,Sales_Data!$F$2:$F$3520,F$7,Sales_Data!$AE$2:$AE$3520,1),SUMIFS(Sales_Data!$N$2:$N$3520,Sales_Data!$C$2:$C$3520,$A86,Sales_Data!$F$2:$F$3520,F$7,Sales_Data!$AE$2:$AE$3520,1),SUMIFS(Sales_Data!$AE$2:$AE$3520,Sales_Data!$C$2:$C$3520,$A86,Sales_Data!$F$2:$F$3520,F$7)))</f>
        <v>0</v>
      </c>
      <c r="G86" s="26" t="n">
        <f aca="false">IF(G$7="","",CHOOSE(MATCH($B$4,Lists!$C$2:$C$5,0),SUMIFS(Sales_Data!$O$2:$O$3520,Sales_Data!$C$2:$C$3520,$A86,Sales_Data!$F$2:$F$3520,G$7,Sales_Data!$AE$2:$AE$3520,1),SUMIFS(Sales_Data!$M$2:$M$3520,Sales_Data!$C$2:$C$3520,$A86,Sales_Data!$F$2:$F$3520,G$7,Sales_Data!$AE$2:$AE$3520,1),SUMIFS(Sales_Data!$N$2:$N$3520,Sales_Data!$C$2:$C$3520,$A86,Sales_Data!$F$2:$F$3520,G$7,Sales_Data!$AE$2:$AE$3520,1),SUMIFS(Sales_Data!$AE$2:$AE$3520,Sales_Data!$C$2:$C$3520,$A86,Sales_Data!$F$2:$F$3520,G$7)))</f>
        <v>0</v>
      </c>
      <c r="H86" s="26" t="n">
        <f aca="false">IF(H$7="","",CHOOSE(MATCH($B$4,Lists!$C$2:$C$5,0),SUMIFS(Sales_Data!$O$2:$O$3520,Sales_Data!$C$2:$C$3520,$A86,Sales_Data!$F$2:$F$3520,H$7,Sales_Data!$AE$2:$AE$3520,1),SUMIFS(Sales_Data!$M$2:$M$3520,Sales_Data!$C$2:$C$3520,$A86,Sales_Data!$F$2:$F$3520,H$7,Sales_Data!$AE$2:$AE$3520,1),SUMIFS(Sales_Data!$N$2:$N$3520,Sales_Data!$C$2:$C$3520,$A86,Sales_Data!$F$2:$F$3520,H$7,Sales_Data!$AE$2:$AE$3520,1),SUMIFS(Sales_Data!$AE$2:$AE$3520,Sales_Data!$C$2:$C$3520,$A86,Sales_Data!$F$2:$F$3520,H$7)))</f>
        <v>0</v>
      </c>
      <c r="I86" s="26" t="n">
        <f aca="false">IF(I$7="","",CHOOSE(MATCH($B$4,Lists!$C$2:$C$5,0),SUMIFS(Sales_Data!$O$2:$O$3520,Sales_Data!$C$2:$C$3520,$A86,Sales_Data!$F$2:$F$3520,I$7,Sales_Data!$AE$2:$AE$3520,1),SUMIFS(Sales_Data!$M$2:$M$3520,Sales_Data!$C$2:$C$3520,$A86,Sales_Data!$F$2:$F$3520,I$7,Sales_Data!$AE$2:$AE$3520,1),SUMIFS(Sales_Data!$N$2:$N$3520,Sales_Data!$C$2:$C$3520,$A86,Sales_Data!$F$2:$F$3520,I$7,Sales_Data!$AE$2:$AE$3520,1),SUMIFS(Sales_Data!$AE$2:$AE$3520,Sales_Data!$C$2:$C$3520,$A86,Sales_Data!$F$2:$F$3520,I$7)))</f>
        <v>0</v>
      </c>
      <c r="J86" s="26" t="n">
        <f aca="false">IF(J$7="","",CHOOSE(MATCH($B$4,Lists!$C$2:$C$5,0),SUMIFS(Sales_Data!$O$2:$O$3520,Sales_Data!$C$2:$C$3520,$A86,Sales_Data!$F$2:$F$3520,J$7,Sales_Data!$AE$2:$AE$3520,1),SUMIFS(Sales_Data!$M$2:$M$3520,Sales_Data!$C$2:$C$3520,$A86,Sales_Data!$F$2:$F$3520,J$7,Sales_Data!$AE$2:$AE$3520,1),SUMIFS(Sales_Data!$N$2:$N$3520,Sales_Data!$C$2:$C$3520,$A86,Sales_Data!$F$2:$F$3520,J$7,Sales_Data!$AE$2:$AE$3520,1),SUMIFS(Sales_Data!$AE$2:$AE$3520,Sales_Data!$C$2:$C$3520,$A86,Sales_Data!$F$2:$F$3520,J$7)))</f>
        <v>0</v>
      </c>
      <c r="K86" s="26" t="n">
        <f aca="false">IF(K$7="","",CHOOSE(MATCH($B$4,Lists!$C$2:$C$5,0),SUMIFS(Sales_Data!$O$2:$O$3520,Sales_Data!$C$2:$C$3520,$A86,Sales_Data!$F$2:$F$3520,K$7,Sales_Data!$AE$2:$AE$3520,1),SUMIFS(Sales_Data!$M$2:$M$3520,Sales_Data!$C$2:$C$3520,$A86,Sales_Data!$F$2:$F$3520,K$7,Sales_Data!$AE$2:$AE$3520,1),SUMIFS(Sales_Data!$N$2:$N$3520,Sales_Data!$C$2:$C$3520,$A86,Sales_Data!$F$2:$F$3520,K$7,Sales_Data!$AE$2:$AE$3520,1),SUMIFS(Sales_Data!$AE$2:$AE$3520,Sales_Data!$C$2:$C$3520,$A86,Sales_Data!$F$2:$F$3520,K$7)))</f>
        <v>0</v>
      </c>
      <c r="L86" s="26" t="n">
        <f aca="false">IF(L$7="","",CHOOSE(MATCH($B$4,Lists!$C$2:$C$5,0),SUMIFS(Sales_Data!$O$2:$O$3520,Sales_Data!$C$2:$C$3520,$A86,Sales_Data!$F$2:$F$3520,L$7,Sales_Data!$AE$2:$AE$3520,1),SUMIFS(Sales_Data!$M$2:$M$3520,Sales_Data!$C$2:$C$3520,$A86,Sales_Data!$F$2:$F$3520,L$7,Sales_Data!$AE$2:$AE$3520,1),SUMIFS(Sales_Data!$N$2:$N$3520,Sales_Data!$C$2:$C$3520,$A86,Sales_Data!$F$2:$F$3520,L$7,Sales_Data!$AE$2:$AE$3520,1),SUMIFS(Sales_Data!$AE$2:$AE$3520,Sales_Data!$C$2:$C$3520,$A86,Sales_Data!$F$2:$F$3520,L$7)))</f>
        <v>0</v>
      </c>
      <c r="M86" s="26" t="n">
        <f aca="false">IF(M$7="","",CHOOSE(MATCH($B$4,Lists!$C$2:$C$5,0),SUMIFS(Sales_Data!$O$2:$O$3520,Sales_Data!$C$2:$C$3520,$A86,Sales_Data!$F$2:$F$3520,M$7,Sales_Data!$AE$2:$AE$3520,1),SUMIFS(Sales_Data!$M$2:$M$3520,Sales_Data!$C$2:$C$3520,$A86,Sales_Data!$F$2:$F$3520,M$7,Sales_Data!$AE$2:$AE$3520,1),SUMIFS(Sales_Data!$N$2:$N$3520,Sales_Data!$C$2:$C$3520,$A86,Sales_Data!$F$2:$F$3520,M$7,Sales_Data!$AE$2:$AE$3520,1),SUMIFS(Sales_Data!$AE$2:$AE$3520,Sales_Data!$C$2:$C$3520,$A86,Sales_Data!$F$2:$F$3520,M$7)))</f>
        <v>0</v>
      </c>
      <c r="N86" s="26" t="n">
        <f aca="false">IF(N$7="","",CHOOSE(MATCH($B$4,Lists!$C$2:$C$5,0),SUMIFS(Sales_Data!$O$2:$O$3520,Sales_Data!$C$2:$C$3520,$A86,Sales_Data!$F$2:$F$3520,N$7,Sales_Data!$AE$2:$AE$3520,1),SUMIFS(Sales_Data!$M$2:$M$3520,Sales_Data!$C$2:$C$3520,$A86,Sales_Data!$F$2:$F$3520,N$7,Sales_Data!$AE$2:$AE$3520,1),SUMIFS(Sales_Data!$N$2:$N$3520,Sales_Data!$C$2:$C$3520,$A86,Sales_Data!$F$2:$F$3520,N$7,Sales_Data!$AE$2:$AE$3520,1),SUMIFS(Sales_Data!$AE$2:$AE$3520,Sales_Data!$C$2:$C$3520,$A86,Sales_Data!$F$2:$F$3520,N$7)))</f>
        <v>0</v>
      </c>
      <c r="O86" s="26" t="n">
        <f aca="false">IF(O$7="","",CHOOSE(MATCH($B$4,Lists!$C$2:$C$5,0),SUMIFS(Sales_Data!$O$2:$O$3520,Sales_Data!$C$2:$C$3520,$A86,Sales_Data!$F$2:$F$3520,O$7,Sales_Data!$AE$2:$AE$3520,1),SUMIFS(Sales_Data!$M$2:$M$3520,Sales_Data!$C$2:$C$3520,$A86,Sales_Data!$F$2:$F$3520,O$7,Sales_Data!$AE$2:$AE$3520,1),SUMIFS(Sales_Data!$N$2:$N$3520,Sales_Data!$C$2:$C$3520,$A86,Sales_Data!$F$2:$F$3520,O$7,Sales_Data!$AE$2:$AE$3520,1),SUMIFS(Sales_Data!$AE$2:$AE$3520,Sales_Data!$C$2:$C$3520,$A86,Sales_Data!$F$2:$F$3520,O$7)))</f>
        <v>0</v>
      </c>
      <c r="P86" s="26" t="n">
        <f aca="false">IF(P$7="","",CHOOSE(MATCH($B$4,Lists!$C$2:$C$5,0),SUMIFS(Sales_Data!$O$2:$O$3520,Sales_Data!$C$2:$C$3520,$A86,Sales_Data!$F$2:$F$3520,P$7,Sales_Data!$AE$2:$AE$3520,1),SUMIFS(Sales_Data!$M$2:$M$3520,Sales_Data!$C$2:$C$3520,$A86,Sales_Data!$F$2:$F$3520,P$7,Sales_Data!$AE$2:$AE$3520,1),SUMIFS(Sales_Data!$N$2:$N$3520,Sales_Data!$C$2:$C$3520,$A86,Sales_Data!$F$2:$F$3520,P$7,Sales_Data!$AE$2:$AE$3520,1),SUMIFS(Sales_Data!$AE$2:$AE$3520,Sales_Data!$C$2:$C$3520,$A86,Sales_Data!$F$2:$F$3520,P$7)))</f>
        <v>0</v>
      </c>
      <c r="Q86" s="26" t="n">
        <f aca="false">IF(Q$7="","",CHOOSE(MATCH($B$4,Lists!$C$2:$C$5,0),SUMIFS(Sales_Data!$O$2:$O$3520,Sales_Data!$C$2:$C$3520,$A86,Sales_Data!$F$2:$F$3520,Q$7,Sales_Data!$AE$2:$AE$3520,1),SUMIFS(Sales_Data!$M$2:$M$3520,Sales_Data!$C$2:$C$3520,$A86,Sales_Data!$F$2:$F$3520,Q$7,Sales_Data!$AE$2:$AE$3520,1),SUMIFS(Sales_Data!$N$2:$N$3520,Sales_Data!$C$2:$C$3520,$A86,Sales_Data!$F$2:$F$3520,Q$7,Sales_Data!$AE$2:$AE$3520,1),SUMIFS(Sales_Data!$AE$2:$AE$3520,Sales_Data!$C$2:$C$3520,$A86,Sales_Data!$F$2:$F$3520,Q$7)))</f>
        <v>0</v>
      </c>
      <c r="R86" s="26" t="n">
        <f aca="false">IF(R$7="","",CHOOSE(MATCH($B$4,Lists!$C$2:$C$5,0),SUMIFS(Sales_Data!$O$2:$O$3520,Sales_Data!$C$2:$C$3520,$A86,Sales_Data!$F$2:$F$3520,R$7,Sales_Data!$AE$2:$AE$3520,1),SUMIFS(Sales_Data!$M$2:$M$3520,Sales_Data!$C$2:$C$3520,$A86,Sales_Data!$F$2:$F$3520,R$7,Sales_Data!$AE$2:$AE$3520,1),SUMIFS(Sales_Data!$N$2:$N$3520,Sales_Data!$C$2:$C$3520,$A86,Sales_Data!$F$2:$F$3520,R$7,Sales_Data!$AE$2:$AE$3520,1),SUMIFS(Sales_Data!$AE$2:$AE$3520,Sales_Data!$C$2:$C$3520,$A86,Sales_Data!$F$2:$F$3520,R$7)))</f>
        <v>0</v>
      </c>
      <c r="S86" s="26" t="n">
        <f aca="false">IF(S$7="","",CHOOSE(MATCH($B$4,Lists!$C$2:$C$5,0),SUMIFS(Sales_Data!$O$2:$O$3520,Sales_Data!$C$2:$C$3520,$A86,Sales_Data!$F$2:$F$3520,S$7,Sales_Data!$AE$2:$AE$3520,1),SUMIFS(Sales_Data!$M$2:$M$3520,Sales_Data!$C$2:$C$3520,$A86,Sales_Data!$F$2:$F$3520,S$7,Sales_Data!$AE$2:$AE$3520,1),SUMIFS(Sales_Data!$N$2:$N$3520,Sales_Data!$C$2:$C$3520,$A86,Sales_Data!$F$2:$F$3520,S$7,Sales_Data!$AE$2:$AE$3520,1),SUMIFS(Sales_Data!$AE$2:$AE$3520,Sales_Data!$C$2:$C$3520,$A86,Sales_Data!$F$2:$F$3520,S$7)))</f>
        <v>0</v>
      </c>
      <c r="T86" s="26" t="str">
        <f aca="false">IF(T$7="","",CHOOSE(MATCH($B$4,Lists!$C$2:$C$5,0),SUMIFS(Sales_Data!$O$2:$O$3520,Sales_Data!$C$2:$C$3520,$A86,Sales_Data!$F$2:$F$3520,T$7,Sales_Data!$AE$2:$AE$3520,1),SUMIFS(Sales_Data!$M$2:$M$3520,Sales_Data!$C$2:$C$3520,$A86,Sales_Data!$F$2:$F$3520,T$7,Sales_Data!$AE$2:$AE$3520,1),SUMIFS(Sales_Data!$N$2:$N$3520,Sales_Data!$C$2:$C$3520,$A86,Sales_Data!$F$2:$F$3520,T$7,Sales_Data!$AE$2:$AE$3520,1),SUMIFS(Sales_Data!$AE$2:$AE$3520,Sales_Data!$C$2:$C$3520,$A86,Sales_Data!$F$2:$F$3520,T$7)))</f>
        <v/>
      </c>
      <c r="U86" s="26" t="str">
        <f aca="false">IF(U$7="","",CHOOSE(MATCH($B$4,Lists!$C$2:$C$5,0),SUMIFS(Sales_Data!$O$2:$O$3520,Sales_Data!$C$2:$C$3520,$A86,Sales_Data!$F$2:$F$3520,U$7,Sales_Data!$AE$2:$AE$3520,1),SUMIFS(Sales_Data!$M$2:$M$3520,Sales_Data!$C$2:$C$3520,$A86,Sales_Data!$F$2:$F$3520,U$7,Sales_Data!$AE$2:$AE$3520,1),SUMIFS(Sales_Data!$N$2:$N$3520,Sales_Data!$C$2:$C$3520,$A86,Sales_Data!$F$2:$F$3520,U$7,Sales_Data!$AE$2:$AE$3520,1),SUMIFS(Sales_Data!$AE$2:$AE$3520,Sales_Data!$C$2:$C$3520,$A86,Sales_Data!$F$2:$F$3520,U$7)))</f>
        <v/>
      </c>
      <c r="V86" s="26" t="str">
        <f aca="false">IF(V$7="","",CHOOSE(MATCH($B$4,Lists!$C$2:$C$5,0),SUMIFS(Sales_Data!$O$2:$O$3520,Sales_Data!$C$2:$C$3520,$A86,Sales_Data!$F$2:$F$3520,V$7,Sales_Data!$AE$2:$AE$3520,1),SUMIFS(Sales_Data!$M$2:$M$3520,Sales_Data!$C$2:$C$3520,$A86,Sales_Data!$F$2:$F$3520,V$7,Sales_Data!$AE$2:$AE$3520,1),SUMIFS(Sales_Data!$N$2:$N$3520,Sales_Data!$C$2:$C$3520,$A86,Sales_Data!$F$2:$F$3520,V$7,Sales_Data!$AE$2:$AE$3520,1),SUMIFS(Sales_Data!$AE$2:$AE$3520,Sales_Data!$C$2:$C$3520,$A86,Sales_Data!$F$2:$F$3520,V$7)))</f>
        <v/>
      </c>
      <c r="W86" s="26" t="str">
        <f aca="false">IF(W$7="","",CHOOSE(MATCH($B$4,Lists!$C$2:$C$5,0),SUMIFS(Sales_Data!$O$2:$O$3520,Sales_Data!$C$2:$C$3520,$A86,Sales_Data!$F$2:$F$3520,W$7,Sales_Data!$AE$2:$AE$3520,1),SUMIFS(Sales_Data!$M$2:$M$3520,Sales_Data!$C$2:$C$3520,$A86,Sales_Data!$F$2:$F$3520,W$7,Sales_Data!$AE$2:$AE$3520,1),SUMIFS(Sales_Data!$N$2:$N$3520,Sales_Data!$C$2:$C$3520,$A86,Sales_Data!$F$2:$F$3520,W$7,Sales_Data!$AE$2:$AE$3520,1),SUMIFS(Sales_Data!$AE$2:$AE$3520,Sales_Data!$C$2:$C$3520,$A86,Sales_Data!$F$2:$F$3520,W$7)))</f>
        <v/>
      </c>
      <c r="X86" s="26" t="str">
        <f aca="false">IF(X$7="","",CHOOSE(MATCH($B$4,Lists!$C$2:$C$5,0),SUMIFS(Sales_Data!$O$2:$O$3520,Sales_Data!$C$2:$C$3520,$A86,Sales_Data!$F$2:$F$3520,X$7,Sales_Data!$AE$2:$AE$3520,1),SUMIFS(Sales_Data!$M$2:$M$3520,Sales_Data!$C$2:$C$3520,$A86,Sales_Data!$F$2:$F$3520,X$7,Sales_Data!$AE$2:$AE$3520,1),SUMIFS(Sales_Data!$N$2:$N$3520,Sales_Data!$C$2:$C$3520,$A86,Sales_Data!$F$2:$F$3520,X$7,Sales_Data!$AE$2:$AE$3520,1),SUMIFS(Sales_Data!$AE$2:$AE$3520,Sales_Data!$C$2:$C$3520,$A86,Sales_Data!$F$2:$F$3520,X$7)))</f>
        <v/>
      </c>
      <c r="Y86" s="26" t="str">
        <f aca="false">IF(Y$7="","",CHOOSE(MATCH($B$4,Lists!$C$2:$C$5,0),SUMIFS(Sales_Data!$O$2:$O$3520,Sales_Data!$C$2:$C$3520,$A86,Sales_Data!$F$2:$F$3520,Y$7,Sales_Data!$AE$2:$AE$3520,1),SUMIFS(Sales_Data!$M$2:$M$3520,Sales_Data!$C$2:$C$3520,$A86,Sales_Data!$F$2:$F$3520,Y$7,Sales_Data!$AE$2:$AE$3520,1),SUMIFS(Sales_Data!$N$2:$N$3520,Sales_Data!$C$2:$C$3520,$A86,Sales_Data!$F$2:$F$3520,Y$7,Sales_Data!$AE$2:$AE$3520,1),SUMIFS(Sales_Data!$AE$2:$AE$3520,Sales_Data!$C$2:$C$3520,$A86,Sales_Data!$F$2:$F$3520,Y$7)))</f>
        <v/>
      </c>
      <c r="Z86" s="26" t="str">
        <f aca="false">IF(Z$7="","",CHOOSE(MATCH($B$4,Lists!$C$2:$C$5,0),SUMIFS(Sales_Data!$O$2:$O$3520,Sales_Data!$C$2:$C$3520,$A86,Sales_Data!$F$2:$F$3520,Z$7,Sales_Data!$AE$2:$AE$3520,1),SUMIFS(Sales_Data!$M$2:$M$3520,Sales_Data!$C$2:$C$3520,$A86,Sales_Data!$F$2:$F$3520,Z$7,Sales_Data!$AE$2:$AE$3520,1),SUMIFS(Sales_Data!$N$2:$N$3520,Sales_Data!$C$2:$C$3520,$A86,Sales_Data!$F$2:$F$3520,Z$7,Sales_Data!$AE$2:$AE$3520,1),SUMIFS(Sales_Data!$AE$2:$AE$3520,Sales_Data!$C$2:$C$3520,$A86,Sales_Data!$F$2:$F$3520,Z$7)))</f>
        <v/>
      </c>
      <c r="AA86" s="27" t="n">
        <f aca="false">SUM(B86:Z86)</f>
        <v>0</v>
      </c>
      <c r="AB86" s="3"/>
      <c r="AC86" s="72" t="n">
        <f aca="false">A86</f>
        <v>46293</v>
      </c>
      <c r="AD86" s="28" t="n">
        <f aca="false">IF(B86="","",B86-B85)</f>
        <v>0</v>
      </c>
      <c r="AE86" s="28" t="n">
        <f aca="false">IF(C86="","",C86-C85)</f>
        <v>0</v>
      </c>
      <c r="AF86" s="28" t="n">
        <f aca="false">IF(D86="","",D86-D85)</f>
        <v>0</v>
      </c>
      <c r="AG86" s="28" t="n">
        <f aca="false">IF(E86="","",E86-E85)</f>
        <v>0</v>
      </c>
      <c r="AH86" s="28" t="n">
        <f aca="false">IF(F86="","",F86-F85)</f>
        <v>0</v>
      </c>
      <c r="AI86" s="28" t="n">
        <f aca="false">IF(G86="","",G86-G85)</f>
        <v>0</v>
      </c>
      <c r="AJ86" s="28" t="n">
        <f aca="false">IF(H86="","",H86-H85)</f>
        <v>0</v>
      </c>
      <c r="AK86" s="28" t="n">
        <f aca="false">IF(I86="","",I86-I85)</f>
        <v>0</v>
      </c>
      <c r="AL86" s="28" t="n">
        <f aca="false">IF(J86="","",J86-J85)</f>
        <v>0</v>
      </c>
      <c r="AM86" s="28" t="n">
        <f aca="false">IF(K86="","",K86-K85)</f>
        <v>0</v>
      </c>
      <c r="AN86" s="28" t="n">
        <f aca="false">IF(L86="","",L86-L85)</f>
        <v>0</v>
      </c>
      <c r="AO86" s="28" t="n">
        <f aca="false">IF(M86="","",M86-M85)</f>
        <v>0</v>
      </c>
      <c r="AP86" s="28" t="n">
        <f aca="false">IF(N86="","",N86-N85)</f>
        <v>0</v>
      </c>
      <c r="AQ86" s="28" t="n">
        <f aca="false">IF(O86="","",O86-O85)</f>
        <v>0</v>
      </c>
      <c r="AR86" s="28" t="n">
        <f aca="false">IF(P86="","",P86-P85)</f>
        <v>0</v>
      </c>
      <c r="AS86" s="28" t="n">
        <f aca="false">IF(Q86="","",Q86-Q85)</f>
        <v>0</v>
      </c>
      <c r="AT86" s="28" t="n">
        <f aca="false">IF(R86="","",R86-R85)</f>
        <v>0</v>
      </c>
      <c r="AU86" s="28" t="n">
        <f aca="false">IF(S86="","",S86-S85)</f>
        <v>0</v>
      </c>
      <c r="AV86" s="28" t="str">
        <f aca="false">IF(T86="","",T86-T85)</f>
        <v/>
      </c>
      <c r="AW86" s="28" t="str">
        <f aca="false">IF(U86="","",U86-U85)</f>
        <v/>
      </c>
      <c r="AX86" s="28" t="str">
        <f aca="false">IF(V86="","",V86-V85)</f>
        <v/>
      </c>
      <c r="AY86" s="28" t="str">
        <f aca="false">IF(W86="","",W86-W85)</f>
        <v/>
      </c>
      <c r="AZ86" s="28" t="str">
        <f aca="false">IF(X86="","",X86-X85)</f>
        <v/>
      </c>
      <c r="BA86" s="28" t="str">
        <f aca="false">IF(Y86="","",Y86-Y85)</f>
        <v/>
      </c>
      <c r="BB86" s="28" t="str">
        <f aca="false">IF(Z86="","",Z86-Z85)</f>
        <v/>
      </c>
      <c r="BC86" s="28" t="n">
        <f aca="false">IF(AA86="","",AA86-AA85)</f>
        <v>0</v>
      </c>
    </row>
    <row r="87" customFormat="false" ht="15" hidden="false" customHeight="false" outlineLevel="0" collapsed="false">
      <c r="A87" s="72" t="n">
        <v>46294</v>
      </c>
      <c r="B87" s="26" t="n">
        <f aca="false">IF(B$7="","",CHOOSE(MATCH($B$4,Lists!$C$2:$C$5,0),SUMIFS(Sales_Data!$O$2:$O$3520,Sales_Data!$C$2:$C$3520,$A87,Sales_Data!$F$2:$F$3520,B$7,Sales_Data!$AE$2:$AE$3520,1),SUMIFS(Sales_Data!$M$2:$M$3520,Sales_Data!$C$2:$C$3520,$A87,Sales_Data!$F$2:$F$3520,B$7,Sales_Data!$AE$2:$AE$3520,1),SUMIFS(Sales_Data!$N$2:$N$3520,Sales_Data!$C$2:$C$3520,$A87,Sales_Data!$F$2:$F$3520,B$7,Sales_Data!$AE$2:$AE$3520,1),SUMIFS(Sales_Data!$AE$2:$AE$3520,Sales_Data!$C$2:$C$3520,$A87,Sales_Data!$F$2:$F$3520,B$7)))</f>
        <v>4</v>
      </c>
      <c r="C87" s="26" t="n">
        <f aca="false">IF(C$7="","",CHOOSE(MATCH($B$4,Lists!$C$2:$C$5,0),SUMIFS(Sales_Data!$O$2:$O$3520,Sales_Data!$C$2:$C$3520,$A87,Sales_Data!$F$2:$F$3520,C$7,Sales_Data!$AE$2:$AE$3520,1),SUMIFS(Sales_Data!$M$2:$M$3520,Sales_Data!$C$2:$C$3520,$A87,Sales_Data!$F$2:$F$3520,C$7,Sales_Data!$AE$2:$AE$3520,1),SUMIFS(Sales_Data!$N$2:$N$3520,Sales_Data!$C$2:$C$3520,$A87,Sales_Data!$F$2:$F$3520,C$7,Sales_Data!$AE$2:$AE$3520,1),SUMIFS(Sales_Data!$AE$2:$AE$3520,Sales_Data!$C$2:$C$3520,$A87,Sales_Data!$F$2:$F$3520,C$7)))</f>
        <v>4</v>
      </c>
      <c r="D87" s="26" t="n">
        <f aca="false">IF(D$7="","",CHOOSE(MATCH($B$4,Lists!$C$2:$C$5,0),SUMIFS(Sales_Data!$O$2:$O$3520,Sales_Data!$C$2:$C$3520,$A87,Sales_Data!$F$2:$F$3520,D$7,Sales_Data!$AE$2:$AE$3520,1),SUMIFS(Sales_Data!$M$2:$M$3520,Sales_Data!$C$2:$C$3520,$A87,Sales_Data!$F$2:$F$3520,D$7,Sales_Data!$AE$2:$AE$3520,1),SUMIFS(Sales_Data!$N$2:$N$3520,Sales_Data!$C$2:$C$3520,$A87,Sales_Data!$F$2:$F$3520,D$7,Sales_Data!$AE$2:$AE$3520,1),SUMIFS(Sales_Data!$AE$2:$AE$3520,Sales_Data!$C$2:$C$3520,$A87,Sales_Data!$F$2:$F$3520,D$7)))</f>
        <v>0</v>
      </c>
      <c r="E87" s="26" t="n">
        <f aca="false">IF(E$7="","",CHOOSE(MATCH($B$4,Lists!$C$2:$C$5,0),SUMIFS(Sales_Data!$O$2:$O$3520,Sales_Data!$C$2:$C$3520,$A87,Sales_Data!$F$2:$F$3520,E$7,Sales_Data!$AE$2:$AE$3520,1),SUMIFS(Sales_Data!$M$2:$M$3520,Sales_Data!$C$2:$C$3520,$A87,Sales_Data!$F$2:$F$3520,E$7,Sales_Data!$AE$2:$AE$3520,1),SUMIFS(Sales_Data!$N$2:$N$3520,Sales_Data!$C$2:$C$3520,$A87,Sales_Data!$F$2:$F$3520,E$7,Sales_Data!$AE$2:$AE$3520,1),SUMIFS(Sales_Data!$AE$2:$AE$3520,Sales_Data!$C$2:$C$3520,$A87,Sales_Data!$F$2:$F$3520,E$7)))</f>
        <v>2</v>
      </c>
      <c r="F87" s="26" t="n">
        <f aca="false">IF(F$7="","",CHOOSE(MATCH($B$4,Lists!$C$2:$C$5,0),SUMIFS(Sales_Data!$O$2:$O$3520,Sales_Data!$C$2:$C$3520,$A87,Sales_Data!$F$2:$F$3520,F$7,Sales_Data!$AE$2:$AE$3520,1),SUMIFS(Sales_Data!$M$2:$M$3520,Sales_Data!$C$2:$C$3520,$A87,Sales_Data!$F$2:$F$3520,F$7,Sales_Data!$AE$2:$AE$3520,1),SUMIFS(Sales_Data!$N$2:$N$3520,Sales_Data!$C$2:$C$3520,$A87,Sales_Data!$F$2:$F$3520,F$7,Sales_Data!$AE$2:$AE$3520,1),SUMIFS(Sales_Data!$AE$2:$AE$3520,Sales_Data!$C$2:$C$3520,$A87,Sales_Data!$F$2:$F$3520,F$7)))</f>
        <v>0</v>
      </c>
      <c r="G87" s="26" t="n">
        <f aca="false">IF(G$7="","",CHOOSE(MATCH($B$4,Lists!$C$2:$C$5,0),SUMIFS(Sales_Data!$O$2:$O$3520,Sales_Data!$C$2:$C$3520,$A87,Sales_Data!$F$2:$F$3520,G$7,Sales_Data!$AE$2:$AE$3520,1),SUMIFS(Sales_Data!$M$2:$M$3520,Sales_Data!$C$2:$C$3520,$A87,Sales_Data!$F$2:$F$3520,G$7,Sales_Data!$AE$2:$AE$3520,1),SUMIFS(Sales_Data!$N$2:$N$3520,Sales_Data!$C$2:$C$3520,$A87,Sales_Data!$F$2:$F$3520,G$7,Sales_Data!$AE$2:$AE$3520,1),SUMIFS(Sales_Data!$AE$2:$AE$3520,Sales_Data!$C$2:$C$3520,$A87,Sales_Data!$F$2:$F$3520,G$7)))</f>
        <v>1</v>
      </c>
      <c r="H87" s="26" t="n">
        <f aca="false">IF(H$7="","",CHOOSE(MATCH($B$4,Lists!$C$2:$C$5,0),SUMIFS(Sales_Data!$O$2:$O$3520,Sales_Data!$C$2:$C$3520,$A87,Sales_Data!$F$2:$F$3520,H$7,Sales_Data!$AE$2:$AE$3520,1),SUMIFS(Sales_Data!$M$2:$M$3520,Sales_Data!$C$2:$C$3520,$A87,Sales_Data!$F$2:$F$3520,H$7,Sales_Data!$AE$2:$AE$3520,1),SUMIFS(Sales_Data!$N$2:$N$3520,Sales_Data!$C$2:$C$3520,$A87,Sales_Data!$F$2:$F$3520,H$7,Sales_Data!$AE$2:$AE$3520,1),SUMIFS(Sales_Data!$AE$2:$AE$3520,Sales_Data!$C$2:$C$3520,$A87,Sales_Data!$F$2:$F$3520,H$7)))</f>
        <v>0</v>
      </c>
      <c r="I87" s="26" t="n">
        <f aca="false">IF(I$7="","",CHOOSE(MATCH($B$4,Lists!$C$2:$C$5,0),SUMIFS(Sales_Data!$O$2:$O$3520,Sales_Data!$C$2:$C$3520,$A87,Sales_Data!$F$2:$F$3520,I$7,Sales_Data!$AE$2:$AE$3520,1),SUMIFS(Sales_Data!$M$2:$M$3520,Sales_Data!$C$2:$C$3520,$A87,Sales_Data!$F$2:$F$3520,I$7,Sales_Data!$AE$2:$AE$3520,1),SUMIFS(Sales_Data!$N$2:$N$3520,Sales_Data!$C$2:$C$3520,$A87,Sales_Data!$F$2:$F$3520,I$7,Sales_Data!$AE$2:$AE$3520,1),SUMIFS(Sales_Data!$AE$2:$AE$3520,Sales_Data!$C$2:$C$3520,$A87,Sales_Data!$F$2:$F$3520,I$7)))</f>
        <v>0</v>
      </c>
      <c r="J87" s="26" t="n">
        <f aca="false">IF(J$7="","",CHOOSE(MATCH($B$4,Lists!$C$2:$C$5,0),SUMIFS(Sales_Data!$O$2:$O$3520,Sales_Data!$C$2:$C$3520,$A87,Sales_Data!$F$2:$F$3520,J$7,Sales_Data!$AE$2:$AE$3520,1),SUMIFS(Sales_Data!$M$2:$M$3520,Sales_Data!$C$2:$C$3520,$A87,Sales_Data!$F$2:$F$3520,J$7,Sales_Data!$AE$2:$AE$3520,1),SUMIFS(Sales_Data!$N$2:$N$3520,Sales_Data!$C$2:$C$3520,$A87,Sales_Data!$F$2:$F$3520,J$7,Sales_Data!$AE$2:$AE$3520,1),SUMIFS(Sales_Data!$AE$2:$AE$3520,Sales_Data!$C$2:$C$3520,$A87,Sales_Data!$F$2:$F$3520,J$7)))</f>
        <v>0</v>
      </c>
      <c r="K87" s="26" t="n">
        <f aca="false">IF(K$7="","",CHOOSE(MATCH($B$4,Lists!$C$2:$C$5,0),SUMIFS(Sales_Data!$O$2:$O$3520,Sales_Data!$C$2:$C$3520,$A87,Sales_Data!$F$2:$F$3520,K$7,Sales_Data!$AE$2:$AE$3520,1),SUMIFS(Sales_Data!$M$2:$M$3520,Sales_Data!$C$2:$C$3520,$A87,Sales_Data!$F$2:$F$3520,K$7,Sales_Data!$AE$2:$AE$3520,1),SUMIFS(Sales_Data!$N$2:$N$3520,Sales_Data!$C$2:$C$3520,$A87,Sales_Data!$F$2:$F$3520,K$7,Sales_Data!$AE$2:$AE$3520,1),SUMIFS(Sales_Data!$AE$2:$AE$3520,Sales_Data!$C$2:$C$3520,$A87,Sales_Data!$F$2:$F$3520,K$7)))</f>
        <v>0</v>
      </c>
      <c r="L87" s="26" t="n">
        <f aca="false">IF(L$7="","",CHOOSE(MATCH($B$4,Lists!$C$2:$C$5,0),SUMIFS(Sales_Data!$O$2:$O$3520,Sales_Data!$C$2:$C$3520,$A87,Sales_Data!$F$2:$F$3520,L$7,Sales_Data!$AE$2:$AE$3520,1),SUMIFS(Sales_Data!$M$2:$M$3520,Sales_Data!$C$2:$C$3520,$A87,Sales_Data!$F$2:$F$3520,L$7,Sales_Data!$AE$2:$AE$3520,1),SUMIFS(Sales_Data!$N$2:$N$3520,Sales_Data!$C$2:$C$3520,$A87,Sales_Data!$F$2:$F$3520,L$7,Sales_Data!$AE$2:$AE$3520,1),SUMIFS(Sales_Data!$AE$2:$AE$3520,Sales_Data!$C$2:$C$3520,$A87,Sales_Data!$F$2:$F$3520,L$7)))</f>
        <v>0</v>
      </c>
      <c r="M87" s="26" t="n">
        <f aca="false">IF(M$7="","",CHOOSE(MATCH($B$4,Lists!$C$2:$C$5,0),SUMIFS(Sales_Data!$O$2:$O$3520,Sales_Data!$C$2:$C$3520,$A87,Sales_Data!$F$2:$F$3520,M$7,Sales_Data!$AE$2:$AE$3520,1),SUMIFS(Sales_Data!$M$2:$M$3520,Sales_Data!$C$2:$C$3520,$A87,Sales_Data!$F$2:$F$3520,M$7,Sales_Data!$AE$2:$AE$3520,1),SUMIFS(Sales_Data!$N$2:$N$3520,Sales_Data!$C$2:$C$3520,$A87,Sales_Data!$F$2:$F$3520,M$7,Sales_Data!$AE$2:$AE$3520,1),SUMIFS(Sales_Data!$AE$2:$AE$3520,Sales_Data!$C$2:$C$3520,$A87,Sales_Data!$F$2:$F$3520,M$7)))</f>
        <v>0</v>
      </c>
      <c r="N87" s="26" t="n">
        <f aca="false">IF(N$7="","",CHOOSE(MATCH($B$4,Lists!$C$2:$C$5,0),SUMIFS(Sales_Data!$O$2:$O$3520,Sales_Data!$C$2:$C$3520,$A87,Sales_Data!$F$2:$F$3520,N$7,Sales_Data!$AE$2:$AE$3520,1),SUMIFS(Sales_Data!$M$2:$M$3520,Sales_Data!$C$2:$C$3520,$A87,Sales_Data!$F$2:$F$3520,N$7,Sales_Data!$AE$2:$AE$3520,1),SUMIFS(Sales_Data!$N$2:$N$3520,Sales_Data!$C$2:$C$3520,$A87,Sales_Data!$F$2:$F$3520,N$7,Sales_Data!$AE$2:$AE$3520,1),SUMIFS(Sales_Data!$AE$2:$AE$3520,Sales_Data!$C$2:$C$3520,$A87,Sales_Data!$F$2:$F$3520,N$7)))</f>
        <v>0</v>
      </c>
      <c r="O87" s="26" t="n">
        <f aca="false">IF(O$7="","",CHOOSE(MATCH($B$4,Lists!$C$2:$C$5,0),SUMIFS(Sales_Data!$O$2:$O$3520,Sales_Data!$C$2:$C$3520,$A87,Sales_Data!$F$2:$F$3520,O$7,Sales_Data!$AE$2:$AE$3520,1),SUMIFS(Sales_Data!$M$2:$M$3520,Sales_Data!$C$2:$C$3520,$A87,Sales_Data!$F$2:$F$3520,O$7,Sales_Data!$AE$2:$AE$3520,1),SUMIFS(Sales_Data!$N$2:$N$3520,Sales_Data!$C$2:$C$3520,$A87,Sales_Data!$F$2:$F$3520,O$7,Sales_Data!$AE$2:$AE$3520,1),SUMIFS(Sales_Data!$AE$2:$AE$3520,Sales_Data!$C$2:$C$3520,$A87,Sales_Data!$F$2:$F$3520,O$7)))</f>
        <v>0</v>
      </c>
      <c r="P87" s="26" t="n">
        <f aca="false">IF(P$7="","",CHOOSE(MATCH($B$4,Lists!$C$2:$C$5,0),SUMIFS(Sales_Data!$O$2:$O$3520,Sales_Data!$C$2:$C$3520,$A87,Sales_Data!$F$2:$F$3520,P$7,Sales_Data!$AE$2:$AE$3520,1),SUMIFS(Sales_Data!$M$2:$M$3520,Sales_Data!$C$2:$C$3520,$A87,Sales_Data!$F$2:$F$3520,P$7,Sales_Data!$AE$2:$AE$3520,1),SUMIFS(Sales_Data!$N$2:$N$3520,Sales_Data!$C$2:$C$3520,$A87,Sales_Data!$F$2:$F$3520,P$7,Sales_Data!$AE$2:$AE$3520,1),SUMIFS(Sales_Data!$AE$2:$AE$3520,Sales_Data!$C$2:$C$3520,$A87,Sales_Data!$F$2:$F$3520,P$7)))</f>
        <v>0</v>
      </c>
      <c r="Q87" s="26" t="n">
        <f aca="false">IF(Q$7="","",CHOOSE(MATCH($B$4,Lists!$C$2:$C$5,0),SUMIFS(Sales_Data!$O$2:$O$3520,Sales_Data!$C$2:$C$3520,$A87,Sales_Data!$F$2:$F$3520,Q$7,Sales_Data!$AE$2:$AE$3520,1),SUMIFS(Sales_Data!$M$2:$M$3520,Sales_Data!$C$2:$C$3520,$A87,Sales_Data!$F$2:$F$3520,Q$7,Sales_Data!$AE$2:$AE$3520,1),SUMIFS(Sales_Data!$N$2:$N$3520,Sales_Data!$C$2:$C$3520,$A87,Sales_Data!$F$2:$F$3520,Q$7,Sales_Data!$AE$2:$AE$3520,1),SUMIFS(Sales_Data!$AE$2:$AE$3520,Sales_Data!$C$2:$C$3520,$A87,Sales_Data!$F$2:$F$3520,Q$7)))</f>
        <v>2</v>
      </c>
      <c r="R87" s="26" t="n">
        <f aca="false">IF(R$7="","",CHOOSE(MATCH($B$4,Lists!$C$2:$C$5,0),SUMIFS(Sales_Data!$O$2:$O$3520,Sales_Data!$C$2:$C$3520,$A87,Sales_Data!$F$2:$F$3520,R$7,Sales_Data!$AE$2:$AE$3520,1),SUMIFS(Sales_Data!$M$2:$M$3520,Sales_Data!$C$2:$C$3520,$A87,Sales_Data!$F$2:$F$3520,R$7,Sales_Data!$AE$2:$AE$3520,1),SUMIFS(Sales_Data!$N$2:$N$3520,Sales_Data!$C$2:$C$3520,$A87,Sales_Data!$F$2:$F$3520,R$7,Sales_Data!$AE$2:$AE$3520,1),SUMIFS(Sales_Data!$AE$2:$AE$3520,Sales_Data!$C$2:$C$3520,$A87,Sales_Data!$F$2:$F$3520,R$7)))</f>
        <v>2</v>
      </c>
      <c r="S87" s="26" t="n">
        <f aca="false">IF(S$7="","",CHOOSE(MATCH($B$4,Lists!$C$2:$C$5,0),SUMIFS(Sales_Data!$O$2:$O$3520,Sales_Data!$C$2:$C$3520,$A87,Sales_Data!$F$2:$F$3520,S$7,Sales_Data!$AE$2:$AE$3520,1),SUMIFS(Sales_Data!$M$2:$M$3520,Sales_Data!$C$2:$C$3520,$A87,Sales_Data!$F$2:$F$3520,S$7,Sales_Data!$AE$2:$AE$3520,1),SUMIFS(Sales_Data!$N$2:$N$3520,Sales_Data!$C$2:$C$3520,$A87,Sales_Data!$F$2:$F$3520,S$7,Sales_Data!$AE$2:$AE$3520,1),SUMIFS(Sales_Data!$AE$2:$AE$3520,Sales_Data!$C$2:$C$3520,$A87,Sales_Data!$F$2:$F$3520,S$7)))</f>
        <v>2</v>
      </c>
      <c r="T87" s="26" t="str">
        <f aca="false">IF(T$7="","",CHOOSE(MATCH($B$4,Lists!$C$2:$C$5,0),SUMIFS(Sales_Data!$O$2:$O$3520,Sales_Data!$C$2:$C$3520,$A87,Sales_Data!$F$2:$F$3520,T$7,Sales_Data!$AE$2:$AE$3520,1),SUMIFS(Sales_Data!$M$2:$M$3520,Sales_Data!$C$2:$C$3520,$A87,Sales_Data!$F$2:$F$3520,T$7,Sales_Data!$AE$2:$AE$3520,1),SUMIFS(Sales_Data!$N$2:$N$3520,Sales_Data!$C$2:$C$3520,$A87,Sales_Data!$F$2:$F$3520,T$7,Sales_Data!$AE$2:$AE$3520,1),SUMIFS(Sales_Data!$AE$2:$AE$3520,Sales_Data!$C$2:$C$3520,$A87,Sales_Data!$F$2:$F$3520,T$7)))</f>
        <v/>
      </c>
      <c r="U87" s="26" t="str">
        <f aca="false">IF(U$7="","",CHOOSE(MATCH($B$4,Lists!$C$2:$C$5,0),SUMIFS(Sales_Data!$O$2:$O$3520,Sales_Data!$C$2:$C$3520,$A87,Sales_Data!$F$2:$F$3520,U$7,Sales_Data!$AE$2:$AE$3520,1),SUMIFS(Sales_Data!$M$2:$M$3520,Sales_Data!$C$2:$C$3520,$A87,Sales_Data!$F$2:$F$3520,U$7,Sales_Data!$AE$2:$AE$3520,1),SUMIFS(Sales_Data!$N$2:$N$3520,Sales_Data!$C$2:$C$3520,$A87,Sales_Data!$F$2:$F$3520,U$7,Sales_Data!$AE$2:$AE$3520,1),SUMIFS(Sales_Data!$AE$2:$AE$3520,Sales_Data!$C$2:$C$3520,$A87,Sales_Data!$F$2:$F$3520,U$7)))</f>
        <v/>
      </c>
      <c r="V87" s="26" t="str">
        <f aca="false">IF(V$7="","",CHOOSE(MATCH($B$4,Lists!$C$2:$C$5,0),SUMIFS(Sales_Data!$O$2:$O$3520,Sales_Data!$C$2:$C$3520,$A87,Sales_Data!$F$2:$F$3520,V$7,Sales_Data!$AE$2:$AE$3520,1),SUMIFS(Sales_Data!$M$2:$M$3520,Sales_Data!$C$2:$C$3520,$A87,Sales_Data!$F$2:$F$3520,V$7,Sales_Data!$AE$2:$AE$3520,1),SUMIFS(Sales_Data!$N$2:$N$3520,Sales_Data!$C$2:$C$3520,$A87,Sales_Data!$F$2:$F$3520,V$7,Sales_Data!$AE$2:$AE$3520,1),SUMIFS(Sales_Data!$AE$2:$AE$3520,Sales_Data!$C$2:$C$3520,$A87,Sales_Data!$F$2:$F$3520,V$7)))</f>
        <v/>
      </c>
      <c r="W87" s="26" t="str">
        <f aca="false">IF(W$7="","",CHOOSE(MATCH($B$4,Lists!$C$2:$C$5,0),SUMIFS(Sales_Data!$O$2:$O$3520,Sales_Data!$C$2:$C$3520,$A87,Sales_Data!$F$2:$F$3520,W$7,Sales_Data!$AE$2:$AE$3520,1),SUMIFS(Sales_Data!$M$2:$M$3520,Sales_Data!$C$2:$C$3520,$A87,Sales_Data!$F$2:$F$3520,W$7,Sales_Data!$AE$2:$AE$3520,1),SUMIFS(Sales_Data!$N$2:$N$3520,Sales_Data!$C$2:$C$3520,$A87,Sales_Data!$F$2:$F$3520,W$7,Sales_Data!$AE$2:$AE$3520,1),SUMIFS(Sales_Data!$AE$2:$AE$3520,Sales_Data!$C$2:$C$3520,$A87,Sales_Data!$F$2:$F$3520,W$7)))</f>
        <v/>
      </c>
      <c r="X87" s="26" t="str">
        <f aca="false">IF(X$7="","",CHOOSE(MATCH($B$4,Lists!$C$2:$C$5,0),SUMIFS(Sales_Data!$O$2:$O$3520,Sales_Data!$C$2:$C$3520,$A87,Sales_Data!$F$2:$F$3520,X$7,Sales_Data!$AE$2:$AE$3520,1),SUMIFS(Sales_Data!$M$2:$M$3520,Sales_Data!$C$2:$C$3520,$A87,Sales_Data!$F$2:$F$3520,X$7,Sales_Data!$AE$2:$AE$3520,1),SUMIFS(Sales_Data!$N$2:$N$3520,Sales_Data!$C$2:$C$3520,$A87,Sales_Data!$F$2:$F$3520,X$7,Sales_Data!$AE$2:$AE$3520,1),SUMIFS(Sales_Data!$AE$2:$AE$3520,Sales_Data!$C$2:$C$3520,$A87,Sales_Data!$F$2:$F$3520,X$7)))</f>
        <v/>
      </c>
      <c r="Y87" s="26" t="str">
        <f aca="false">IF(Y$7="","",CHOOSE(MATCH($B$4,Lists!$C$2:$C$5,0),SUMIFS(Sales_Data!$O$2:$O$3520,Sales_Data!$C$2:$C$3520,$A87,Sales_Data!$F$2:$F$3520,Y$7,Sales_Data!$AE$2:$AE$3520,1),SUMIFS(Sales_Data!$M$2:$M$3520,Sales_Data!$C$2:$C$3520,$A87,Sales_Data!$F$2:$F$3520,Y$7,Sales_Data!$AE$2:$AE$3520,1),SUMIFS(Sales_Data!$N$2:$N$3520,Sales_Data!$C$2:$C$3520,$A87,Sales_Data!$F$2:$F$3520,Y$7,Sales_Data!$AE$2:$AE$3520,1),SUMIFS(Sales_Data!$AE$2:$AE$3520,Sales_Data!$C$2:$C$3520,$A87,Sales_Data!$F$2:$F$3520,Y$7)))</f>
        <v/>
      </c>
      <c r="Z87" s="26" t="str">
        <f aca="false">IF(Z$7="","",CHOOSE(MATCH($B$4,Lists!$C$2:$C$5,0),SUMIFS(Sales_Data!$O$2:$O$3520,Sales_Data!$C$2:$C$3520,$A87,Sales_Data!$F$2:$F$3520,Z$7,Sales_Data!$AE$2:$AE$3520,1),SUMIFS(Sales_Data!$M$2:$M$3520,Sales_Data!$C$2:$C$3520,$A87,Sales_Data!$F$2:$F$3520,Z$7,Sales_Data!$AE$2:$AE$3520,1),SUMIFS(Sales_Data!$N$2:$N$3520,Sales_Data!$C$2:$C$3520,$A87,Sales_Data!$F$2:$F$3520,Z$7,Sales_Data!$AE$2:$AE$3520,1),SUMIFS(Sales_Data!$AE$2:$AE$3520,Sales_Data!$C$2:$C$3520,$A87,Sales_Data!$F$2:$F$3520,Z$7)))</f>
        <v/>
      </c>
      <c r="AA87" s="27" t="n">
        <f aca="false">SUM(B87:Z87)</f>
        <v>17</v>
      </c>
      <c r="AB87" s="3"/>
      <c r="AC87" s="72" t="n">
        <f aca="false">A87</f>
        <v>46294</v>
      </c>
      <c r="AD87" s="28" t="n">
        <f aca="false">IF(B87="","",B87-B86)</f>
        <v>4</v>
      </c>
      <c r="AE87" s="28" t="n">
        <f aca="false">IF(C87="","",C87-C86)</f>
        <v>4</v>
      </c>
      <c r="AF87" s="28" t="n">
        <f aca="false">IF(D87="","",D87-D86)</f>
        <v>0</v>
      </c>
      <c r="AG87" s="28" t="n">
        <f aca="false">IF(E87="","",E87-E86)</f>
        <v>2</v>
      </c>
      <c r="AH87" s="28" t="n">
        <f aca="false">IF(F87="","",F87-F86)</f>
        <v>0</v>
      </c>
      <c r="AI87" s="28" t="n">
        <f aca="false">IF(G87="","",G87-G86)</f>
        <v>1</v>
      </c>
      <c r="AJ87" s="28" t="n">
        <f aca="false">IF(H87="","",H87-H86)</f>
        <v>0</v>
      </c>
      <c r="AK87" s="28" t="n">
        <f aca="false">IF(I87="","",I87-I86)</f>
        <v>0</v>
      </c>
      <c r="AL87" s="28" t="n">
        <f aca="false">IF(J87="","",J87-J86)</f>
        <v>0</v>
      </c>
      <c r="AM87" s="28" t="n">
        <f aca="false">IF(K87="","",K87-K86)</f>
        <v>0</v>
      </c>
      <c r="AN87" s="28" t="n">
        <f aca="false">IF(L87="","",L87-L86)</f>
        <v>0</v>
      </c>
      <c r="AO87" s="28" t="n">
        <f aca="false">IF(M87="","",M87-M86)</f>
        <v>0</v>
      </c>
      <c r="AP87" s="28" t="n">
        <f aca="false">IF(N87="","",N87-N86)</f>
        <v>0</v>
      </c>
      <c r="AQ87" s="28" t="n">
        <f aca="false">IF(O87="","",O87-O86)</f>
        <v>0</v>
      </c>
      <c r="AR87" s="28" t="n">
        <f aca="false">IF(P87="","",P87-P86)</f>
        <v>0</v>
      </c>
      <c r="AS87" s="28" t="n">
        <f aca="false">IF(Q87="","",Q87-Q86)</f>
        <v>2</v>
      </c>
      <c r="AT87" s="28" t="n">
        <f aca="false">IF(R87="","",R87-R86)</f>
        <v>2</v>
      </c>
      <c r="AU87" s="28" t="n">
        <f aca="false">IF(S87="","",S87-S86)</f>
        <v>2</v>
      </c>
      <c r="AV87" s="28" t="str">
        <f aca="false">IF(T87="","",T87-T86)</f>
        <v/>
      </c>
      <c r="AW87" s="28" t="str">
        <f aca="false">IF(U87="","",U87-U86)</f>
        <v/>
      </c>
      <c r="AX87" s="28" t="str">
        <f aca="false">IF(V87="","",V87-V86)</f>
        <v/>
      </c>
      <c r="AY87" s="28" t="str">
        <f aca="false">IF(W87="","",W87-W86)</f>
        <v/>
      </c>
      <c r="AZ87" s="28" t="str">
        <f aca="false">IF(X87="","",X87-X86)</f>
        <v/>
      </c>
      <c r="BA87" s="28" t="str">
        <f aca="false">IF(Y87="","",Y87-Y86)</f>
        <v/>
      </c>
      <c r="BB87" s="28" t="str">
        <f aca="false">IF(Z87="","",Z87-Z86)</f>
        <v/>
      </c>
      <c r="BC87" s="28" t="n">
        <f aca="false">IF(AA87="","",AA87-AA86)</f>
        <v>17</v>
      </c>
    </row>
    <row r="88" customFormat="false" ht="15" hidden="false" customHeight="false" outlineLevel="0" collapsed="false">
      <c r="A88" s="72" t="n">
        <v>46295</v>
      </c>
      <c r="B88" s="26" t="n">
        <f aca="false">IF(B$7="","",CHOOSE(MATCH($B$4,Lists!$C$2:$C$5,0),SUMIFS(Sales_Data!$O$2:$O$3520,Sales_Data!$C$2:$C$3520,$A88,Sales_Data!$F$2:$F$3520,B$7,Sales_Data!$AE$2:$AE$3520,1),SUMIFS(Sales_Data!$M$2:$M$3520,Sales_Data!$C$2:$C$3520,$A88,Sales_Data!$F$2:$F$3520,B$7,Sales_Data!$AE$2:$AE$3520,1),SUMIFS(Sales_Data!$N$2:$N$3520,Sales_Data!$C$2:$C$3520,$A88,Sales_Data!$F$2:$F$3520,B$7,Sales_Data!$AE$2:$AE$3520,1),SUMIFS(Sales_Data!$AE$2:$AE$3520,Sales_Data!$C$2:$C$3520,$A88,Sales_Data!$F$2:$F$3520,B$7)))</f>
        <v>3</v>
      </c>
      <c r="C88" s="26" t="n">
        <f aca="false">IF(C$7="","",CHOOSE(MATCH($B$4,Lists!$C$2:$C$5,0),SUMIFS(Sales_Data!$O$2:$O$3520,Sales_Data!$C$2:$C$3520,$A88,Sales_Data!$F$2:$F$3520,C$7,Sales_Data!$AE$2:$AE$3520,1),SUMIFS(Sales_Data!$M$2:$M$3520,Sales_Data!$C$2:$C$3520,$A88,Sales_Data!$F$2:$F$3520,C$7,Sales_Data!$AE$2:$AE$3520,1),SUMIFS(Sales_Data!$N$2:$N$3520,Sales_Data!$C$2:$C$3520,$A88,Sales_Data!$F$2:$F$3520,C$7,Sales_Data!$AE$2:$AE$3520,1),SUMIFS(Sales_Data!$AE$2:$AE$3520,Sales_Data!$C$2:$C$3520,$A88,Sales_Data!$F$2:$F$3520,C$7)))</f>
        <v>0</v>
      </c>
      <c r="D88" s="26" t="n">
        <f aca="false">IF(D$7="","",CHOOSE(MATCH($B$4,Lists!$C$2:$C$5,0),SUMIFS(Sales_Data!$O$2:$O$3520,Sales_Data!$C$2:$C$3520,$A88,Sales_Data!$F$2:$F$3520,D$7,Sales_Data!$AE$2:$AE$3520,1),SUMIFS(Sales_Data!$M$2:$M$3520,Sales_Data!$C$2:$C$3520,$A88,Sales_Data!$F$2:$F$3520,D$7,Sales_Data!$AE$2:$AE$3520,1),SUMIFS(Sales_Data!$N$2:$N$3520,Sales_Data!$C$2:$C$3520,$A88,Sales_Data!$F$2:$F$3520,D$7,Sales_Data!$AE$2:$AE$3520,1),SUMIFS(Sales_Data!$AE$2:$AE$3520,Sales_Data!$C$2:$C$3520,$A88,Sales_Data!$F$2:$F$3520,D$7)))</f>
        <v>0</v>
      </c>
      <c r="E88" s="26" t="n">
        <f aca="false">IF(E$7="","",CHOOSE(MATCH($B$4,Lists!$C$2:$C$5,0),SUMIFS(Sales_Data!$O$2:$O$3520,Sales_Data!$C$2:$C$3520,$A88,Sales_Data!$F$2:$F$3520,E$7,Sales_Data!$AE$2:$AE$3520,1),SUMIFS(Sales_Data!$M$2:$M$3520,Sales_Data!$C$2:$C$3520,$A88,Sales_Data!$F$2:$F$3520,E$7,Sales_Data!$AE$2:$AE$3520,1),SUMIFS(Sales_Data!$N$2:$N$3520,Sales_Data!$C$2:$C$3520,$A88,Sales_Data!$F$2:$F$3520,E$7,Sales_Data!$AE$2:$AE$3520,1),SUMIFS(Sales_Data!$AE$2:$AE$3520,Sales_Data!$C$2:$C$3520,$A88,Sales_Data!$F$2:$F$3520,E$7)))</f>
        <v>1</v>
      </c>
      <c r="F88" s="26" t="n">
        <f aca="false">IF(F$7="","",CHOOSE(MATCH($B$4,Lists!$C$2:$C$5,0),SUMIFS(Sales_Data!$O$2:$O$3520,Sales_Data!$C$2:$C$3520,$A88,Sales_Data!$F$2:$F$3520,F$7,Sales_Data!$AE$2:$AE$3520,1),SUMIFS(Sales_Data!$M$2:$M$3520,Sales_Data!$C$2:$C$3520,$A88,Sales_Data!$F$2:$F$3520,F$7,Sales_Data!$AE$2:$AE$3520,1),SUMIFS(Sales_Data!$N$2:$N$3520,Sales_Data!$C$2:$C$3520,$A88,Sales_Data!$F$2:$F$3520,F$7,Sales_Data!$AE$2:$AE$3520,1),SUMIFS(Sales_Data!$AE$2:$AE$3520,Sales_Data!$C$2:$C$3520,$A88,Sales_Data!$F$2:$F$3520,F$7)))</f>
        <v>2</v>
      </c>
      <c r="G88" s="26" t="n">
        <f aca="false">IF(G$7="","",CHOOSE(MATCH($B$4,Lists!$C$2:$C$5,0),SUMIFS(Sales_Data!$O$2:$O$3520,Sales_Data!$C$2:$C$3520,$A88,Sales_Data!$F$2:$F$3520,G$7,Sales_Data!$AE$2:$AE$3520,1),SUMIFS(Sales_Data!$M$2:$M$3520,Sales_Data!$C$2:$C$3520,$A88,Sales_Data!$F$2:$F$3520,G$7,Sales_Data!$AE$2:$AE$3520,1),SUMIFS(Sales_Data!$N$2:$N$3520,Sales_Data!$C$2:$C$3520,$A88,Sales_Data!$F$2:$F$3520,G$7,Sales_Data!$AE$2:$AE$3520,1),SUMIFS(Sales_Data!$AE$2:$AE$3520,Sales_Data!$C$2:$C$3520,$A88,Sales_Data!$F$2:$F$3520,G$7)))</f>
        <v>0</v>
      </c>
      <c r="H88" s="26" t="n">
        <f aca="false">IF(H$7="","",CHOOSE(MATCH($B$4,Lists!$C$2:$C$5,0),SUMIFS(Sales_Data!$O$2:$O$3520,Sales_Data!$C$2:$C$3520,$A88,Sales_Data!$F$2:$F$3520,H$7,Sales_Data!$AE$2:$AE$3520,1),SUMIFS(Sales_Data!$M$2:$M$3520,Sales_Data!$C$2:$C$3520,$A88,Sales_Data!$F$2:$F$3520,H$7,Sales_Data!$AE$2:$AE$3520,1),SUMIFS(Sales_Data!$N$2:$N$3520,Sales_Data!$C$2:$C$3520,$A88,Sales_Data!$F$2:$F$3520,H$7,Sales_Data!$AE$2:$AE$3520,1),SUMIFS(Sales_Data!$AE$2:$AE$3520,Sales_Data!$C$2:$C$3520,$A88,Sales_Data!$F$2:$F$3520,H$7)))</f>
        <v>0</v>
      </c>
      <c r="I88" s="26" t="n">
        <f aca="false">IF(I$7="","",CHOOSE(MATCH($B$4,Lists!$C$2:$C$5,0),SUMIFS(Sales_Data!$O$2:$O$3520,Sales_Data!$C$2:$C$3520,$A88,Sales_Data!$F$2:$F$3520,I$7,Sales_Data!$AE$2:$AE$3520,1),SUMIFS(Sales_Data!$M$2:$M$3520,Sales_Data!$C$2:$C$3520,$A88,Sales_Data!$F$2:$F$3520,I$7,Sales_Data!$AE$2:$AE$3520,1),SUMIFS(Sales_Data!$N$2:$N$3520,Sales_Data!$C$2:$C$3520,$A88,Sales_Data!$F$2:$F$3520,I$7,Sales_Data!$AE$2:$AE$3520,1),SUMIFS(Sales_Data!$AE$2:$AE$3520,Sales_Data!$C$2:$C$3520,$A88,Sales_Data!$F$2:$F$3520,I$7)))</f>
        <v>0</v>
      </c>
      <c r="J88" s="26" t="n">
        <f aca="false">IF(J$7="","",CHOOSE(MATCH($B$4,Lists!$C$2:$C$5,0),SUMIFS(Sales_Data!$O$2:$O$3520,Sales_Data!$C$2:$C$3520,$A88,Sales_Data!$F$2:$F$3520,J$7,Sales_Data!$AE$2:$AE$3520,1),SUMIFS(Sales_Data!$M$2:$M$3520,Sales_Data!$C$2:$C$3520,$A88,Sales_Data!$F$2:$F$3520,J$7,Sales_Data!$AE$2:$AE$3520,1),SUMIFS(Sales_Data!$N$2:$N$3520,Sales_Data!$C$2:$C$3520,$A88,Sales_Data!$F$2:$F$3520,J$7,Sales_Data!$AE$2:$AE$3520,1),SUMIFS(Sales_Data!$AE$2:$AE$3520,Sales_Data!$C$2:$C$3520,$A88,Sales_Data!$F$2:$F$3520,J$7)))</f>
        <v>0</v>
      </c>
      <c r="K88" s="26" t="n">
        <f aca="false">IF(K$7="","",CHOOSE(MATCH($B$4,Lists!$C$2:$C$5,0),SUMIFS(Sales_Data!$O$2:$O$3520,Sales_Data!$C$2:$C$3520,$A88,Sales_Data!$F$2:$F$3520,K$7,Sales_Data!$AE$2:$AE$3520,1),SUMIFS(Sales_Data!$M$2:$M$3520,Sales_Data!$C$2:$C$3520,$A88,Sales_Data!$F$2:$F$3520,K$7,Sales_Data!$AE$2:$AE$3520,1),SUMIFS(Sales_Data!$N$2:$N$3520,Sales_Data!$C$2:$C$3520,$A88,Sales_Data!$F$2:$F$3520,K$7,Sales_Data!$AE$2:$AE$3520,1),SUMIFS(Sales_Data!$AE$2:$AE$3520,Sales_Data!$C$2:$C$3520,$A88,Sales_Data!$F$2:$F$3520,K$7)))</f>
        <v>0</v>
      </c>
      <c r="L88" s="26" t="n">
        <f aca="false">IF(L$7="","",CHOOSE(MATCH($B$4,Lists!$C$2:$C$5,0),SUMIFS(Sales_Data!$O$2:$O$3520,Sales_Data!$C$2:$C$3520,$A88,Sales_Data!$F$2:$F$3520,L$7,Sales_Data!$AE$2:$AE$3520,1),SUMIFS(Sales_Data!$M$2:$M$3520,Sales_Data!$C$2:$C$3520,$A88,Sales_Data!$F$2:$F$3520,L$7,Sales_Data!$AE$2:$AE$3520,1),SUMIFS(Sales_Data!$N$2:$N$3520,Sales_Data!$C$2:$C$3520,$A88,Sales_Data!$F$2:$F$3520,L$7,Sales_Data!$AE$2:$AE$3520,1),SUMIFS(Sales_Data!$AE$2:$AE$3520,Sales_Data!$C$2:$C$3520,$A88,Sales_Data!$F$2:$F$3520,L$7)))</f>
        <v>0</v>
      </c>
      <c r="M88" s="26" t="n">
        <f aca="false">IF(M$7="","",CHOOSE(MATCH($B$4,Lists!$C$2:$C$5,0),SUMIFS(Sales_Data!$O$2:$O$3520,Sales_Data!$C$2:$C$3520,$A88,Sales_Data!$F$2:$F$3520,M$7,Sales_Data!$AE$2:$AE$3520,1),SUMIFS(Sales_Data!$M$2:$M$3520,Sales_Data!$C$2:$C$3520,$A88,Sales_Data!$F$2:$F$3520,M$7,Sales_Data!$AE$2:$AE$3520,1),SUMIFS(Sales_Data!$N$2:$N$3520,Sales_Data!$C$2:$C$3520,$A88,Sales_Data!$F$2:$F$3520,M$7,Sales_Data!$AE$2:$AE$3520,1),SUMIFS(Sales_Data!$AE$2:$AE$3520,Sales_Data!$C$2:$C$3520,$A88,Sales_Data!$F$2:$F$3520,M$7)))</f>
        <v>0</v>
      </c>
      <c r="N88" s="26" t="n">
        <f aca="false">IF(N$7="","",CHOOSE(MATCH($B$4,Lists!$C$2:$C$5,0),SUMIFS(Sales_Data!$O$2:$O$3520,Sales_Data!$C$2:$C$3520,$A88,Sales_Data!$F$2:$F$3520,N$7,Sales_Data!$AE$2:$AE$3520,1),SUMIFS(Sales_Data!$M$2:$M$3520,Sales_Data!$C$2:$C$3520,$A88,Sales_Data!$F$2:$F$3520,N$7,Sales_Data!$AE$2:$AE$3520,1),SUMIFS(Sales_Data!$N$2:$N$3520,Sales_Data!$C$2:$C$3520,$A88,Sales_Data!$F$2:$F$3520,N$7,Sales_Data!$AE$2:$AE$3520,1),SUMIFS(Sales_Data!$AE$2:$AE$3520,Sales_Data!$C$2:$C$3520,$A88,Sales_Data!$F$2:$F$3520,N$7)))</f>
        <v>0</v>
      </c>
      <c r="O88" s="26" t="n">
        <f aca="false">IF(O$7="","",CHOOSE(MATCH($B$4,Lists!$C$2:$C$5,0),SUMIFS(Sales_Data!$O$2:$O$3520,Sales_Data!$C$2:$C$3520,$A88,Sales_Data!$F$2:$F$3520,O$7,Sales_Data!$AE$2:$AE$3520,1),SUMIFS(Sales_Data!$M$2:$M$3520,Sales_Data!$C$2:$C$3520,$A88,Sales_Data!$F$2:$F$3520,O$7,Sales_Data!$AE$2:$AE$3520,1),SUMIFS(Sales_Data!$N$2:$N$3520,Sales_Data!$C$2:$C$3520,$A88,Sales_Data!$F$2:$F$3520,O$7,Sales_Data!$AE$2:$AE$3520,1),SUMIFS(Sales_Data!$AE$2:$AE$3520,Sales_Data!$C$2:$C$3520,$A88,Sales_Data!$F$2:$F$3520,O$7)))</f>
        <v>0</v>
      </c>
      <c r="P88" s="26" t="n">
        <f aca="false">IF(P$7="","",CHOOSE(MATCH($B$4,Lists!$C$2:$C$5,0),SUMIFS(Sales_Data!$O$2:$O$3520,Sales_Data!$C$2:$C$3520,$A88,Sales_Data!$F$2:$F$3520,P$7,Sales_Data!$AE$2:$AE$3520,1),SUMIFS(Sales_Data!$M$2:$M$3520,Sales_Data!$C$2:$C$3520,$A88,Sales_Data!$F$2:$F$3520,P$7,Sales_Data!$AE$2:$AE$3520,1),SUMIFS(Sales_Data!$N$2:$N$3520,Sales_Data!$C$2:$C$3520,$A88,Sales_Data!$F$2:$F$3520,P$7,Sales_Data!$AE$2:$AE$3520,1),SUMIFS(Sales_Data!$AE$2:$AE$3520,Sales_Data!$C$2:$C$3520,$A88,Sales_Data!$F$2:$F$3520,P$7)))</f>
        <v>0</v>
      </c>
      <c r="Q88" s="26" t="n">
        <f aca="false">IF(Q$7="","",CHOOSE(MATCH($B$4,Lists!$C$2:$C$5,0),SUMIFS(Sales_Data!$O$2:$O$3520,Sales_Data!$C$2:$C$3520,$A88,Sales_Data!$F$2:$F$3520,Q$7,Sales_Data!$AE$2:$AE$3520,1),SUMIFS(Sales_Data!$M$2:$M$3520,Sales_Data!$C$2:$C$3520,$A88,Sales_Data!$F$2:$F$3520,Q$7,Sales_Data!$AE$2:$AE$3520,1),SUMIFS(Sales_Data!$N$2:$N$3520,Sales_Data!$C$2:$C$3520,$A88,Sales_Data!$F$2:$F$3520,Q$7,Sales_Data!$AE$2:$AE$3520,1),SUMIFS(Sales_Data!$AE$2:$AE$3520,Sales_Data!$C$2:$C$3520,$A88,Sales_Data!$F$2:$F$3520,Q$7)))</f>
        <v>2</v>
      </c>
      <c r="R88" s="26" t="n">
        <f aca="false">IF(R$7="","",CHOOSE(MATCH($B$4,Lists!$C$2:$C$5,0),SUMIFS(Sales_Data!$O$2:$O$3520,Sales_Data!$C$2:$C$3520,$A88,Sales_Data!$F$2:$F$3520,R$7,Sales_Data!$AE$2:$AE$3520,1),SUMIFS(Sales_Data!$M$2:$M$3520,Sales_Data!$C$2:$C$3520,$A88,Sales_Data!$F$2:$F$3520,R$7,Sales_Data!$AE$2:$AE$3520,1),SUMIFS(Sales_Data!$N$2:$N$3520,Sales_Data!$C$2:$C$3520,$A88,Sales_Data!$F$2:$F$3520,R$7,Sales_Data!$AE$2:$AE$3520,1),SUMIFS(Sales_Data!$AE$2:$AE$3520,Sales_Data!$C$2:$C$3520,$A88,Sales_Data!$F$2:$F$3520,R$7)))</f>
        <v>0</v>
      </c>
      <c r="S88" s="26" t="n">
        <f aca="false">IF(S$7="","",CHOOSE(MATCH($B$4,Lists!$C$2:$C$5,0),SUMIFS(Sales_Data!$O$2:$O$3520,Sales_Data!$C$2:$C$3520,$A88,Sales_Data!$F$2:$F$3520,S$7,Sales_Data!$AE$2:$AE$3520,1),SUMIFS(Sales_Data!$M$2:$M$3520,Sales_Data!$C$2:$C$3520,$A88,Sales_Data!$F$2:$F$3520,S$7,Sales_Data!$AE$2:$AE$3520,1),SUMIFS(Sales_Data!$N$2:$N$3520,Sales_Data!$C$2:$C$3520,$A88,Sales_Data!$F$2:$F$3520,S$7,Sales_Data!$AE$2:$AE$3520,1),SUMIFS(Sales_Data!$AE$2:$AE$3520,Sales_Data!$C$2:$C$3520,$A88,Sales_Data!$F$2:$F$3520,S$7)))</f>
        <v>0</v>
      </c>
      <c r="T88" s="26" t="str">
        <f aca="false">IF(T$7="","",CHOOSE(MATCH($B$4,Lists!$C$2:$C$5,0),SUMIFS(Sales_Data!$O$2:$O$3520,Sales_Data!$C$2:$C$3520,$A88,Sales_Data!$F$2:$F$3520,T$7,Sales_Data!$AE$2:$AE$3520,1),SUMIFS(Sales_Data!$M$2:$M$3520,Sales_Data!$C$2:$C$3520,$A88,Sales_Data!$F$2:$F$3520,T$7,Sales_Data!$AE$2:$AE$3520,1),SUMIFS(Sales_Data!$N$2:$N$3520,Sales_Data!$C$2:$C$3520,$A88,Sales_Data!$F$2:$F$3520,T$7,Sales_Data!$AE$2:$AE$3520,1),SUMIFS(Sales_Data!$AE$2:$AE$3520,Sales_Data!$C$2:$C$3520,$A88,Sales_Data!$F$2:$F$3520,T$7)))</f>
        <v/>
      </c>
      <c r="U88" s="26" t="str">
        <f aca="false">IF(U$7="","",CHOOSE(MATCH($B$4,Lists!$C$2:$C$5,0),SUMIFS(Sales_Data!$O$2:$O$3520,Sales_Data!$C$2:$C$3520,$A88,Sales_Data!$F$2:$F$3520,U$7,Sales_Data!$AE$2:$AE$3520,1),SUMIFS(Sales_Data!$M$2:$M$3520,Sales_Data!$C$2:$C$3520,$A88,Sales_Data!$F$2:$F$3520,U$7,Sales_Data!$AE$2:$AE$3520,1),SUMIFS(Sales_Data!$N$2:$N$3520,Sales_Data!$C$2:$C$3520,$A88,Sales_Data!$F$2:$F$3520,U$7,Sales_Data!$AE$2:$AE$3520,1),SUMIFS(Sales_Data!$AE$2:$AE$3520,Sales_Data!$C$2:$C$3520,$A88,Sales_Data!$F$2:$F$3520,U$7)))</f>
        <v/>
      </c>
      <c r="V88" s="26" t="str">
        <f aca="false">IF(V$7="","",CHOOSE(MATCH($B$4,Lists!$C$2:$C$5,0),SUMIFS(Sales_Data!$O$2:$O$3520,Sales_Data!$C$2:$C$3520,$A88,Sales_Data!$F$2:$F$3520,V$7,Sales_Data!$AE$2:$AE$3520,1),SUMIFS(Sales_Data!$M$2:$M$3520,Sales_Data!$C$2:$C$3520,$A88,Sales_Data!$F$2:$F$3520,V$7,Sales_Data!$AE$2:$AE$3520,1),SUMIFS(Sales_Data!$N$2:$N$3520,Sales_Data!$C$2:$C$3520,$A88,Sales_Data!$F$2:$F$3520,V$7,Sales_Data!$AE$2:$AE$3520,1),SUMIFS(Sales_Data!$AE$2:$AE$3520,Sales_Data!$C$2:$C$3520,$A88,Sales_Data!$F$2:$F$3520,V$7)))</f>
        <v/>
      </c>
      <c r="W88" s="26" t="str">
        <f aca="false">IF(W$7="","",CHOOSE(MATCH($B$4,Lists!$C$2:$C$5,0),SUMIFS(Sales_Data!$O$2:$O$3520,Sales_Data!$C$2:$C$3520,$A88,Sales_Data!$F$2:$F$3520,W$7,Sales_Data!$AE$2:$AE$3520,1),SUMIFS(Sales_Data!$M$2:$M$3520,Sales_Data!$C$2:$C$3520,$A88,Sales_Data!$F$2:$F$3520,W$7,Sales_Data!$AE$2:$AE$3520,1),SUMIFS(Sales_Data!$N$2:$N$3520,Sales_Data!$C$2:$C$3520,$A88,Sales_Data!$F$2:$F$3520,W$7,Sales_Data!$AE$2:$AE$3520,1),SUMIFS(Sales_Data!$AE$2:$AE$3520,Sales_Data!$C$2:$C$3520,$A88,Sales_Data!$F$2:$F$3520,W$7)))</f>
        <v/>
      </c>
      <c r="X88" s="26" t="str">
        <f aca="false">IF(X$7="","",CHOOSE(MATCH($B$4,Lists!$C$2:$C$5,0),SUMIFS(Sales_Data!$O$2:$O$3520,Sales_Data!$C$2:$C$3520,$A88,Sales_Data!$F$2:$F$3520,X$7,Sales_Data!$AE$2:$AE$3520,1),SUMIFS(Sales_Data!$M$2:$M$3520,Sales_Data!$C$2:$C$3520,$A88,Sales_Data!$F$2:$F$3520,X$7,Sales_Data!$AE$2:$AE$3520,1),SUMIFS(Sales_Data!$N$2:$N$3520,Sales_Data!$C$2:$C$3520,$A88,Sales_Data!$F$2:$F$3520,X$7,Sales_Data!$AE$2:$AE$3520,1),SUMIFS(Sales_Data!$AE$2:$AE$3520,Sales_Data!$C$2:$C$3520,$A88,Sales_Data!$F$2:$F$3520,X$7)))</f>
        <v/>
      </c>
      <c r="Y88" s="26" t="str">
        <f aca="false">IF(Y$7="","",CHOOSE(MATCH($B$4,Lists!$C$2:$C$5,0),SUMIFS(Sales_Data!$O$2:$O$3520,Sales_Data!$C$2:$C$3520,$A88,Sales_Data!$F$2:$F$3520,Y$7,Sales_Data!$AE$2:$AE$3520,1),SUMIFS(Sales_Data!$M$2:$M$3520,Sales_Data!$C$2:$C$3520,$A88,Sales_Data!$F$2:$F$3520,Y$7,Sales_Data!$AE$2:$AE$3520,1),SUMIFS(Sales_Data!$N$2:$N$3520,Sales_Data!$C$2:$C$3520,$A88,Sales_Data!$F$2:$F$3520,Y$7,Sales_Data!$AE$2:$AE$3520,1),SUMIFS(Sales_Data!$AE$2:$AE$3520,Sales_Data!$C$2:$C$3520,$A88,Sales_Data!$F$2:$F$3520,Y$7)))</f>
        <v/>
      </c>
      <c r="Z88" s="26" t="str">
        <f aca="false">IF(Z$7="","",CHOOSE(MATCH($B$4,Lists!$C$2:$C$5,0),SUMIFS(Sales_Data!$O$2:$O$3520,Sales_Data!$C$2:$C$3520,$A88,Sales_Data!$F$2:$F$3520,Z$7,Sales_Data!$AE$2:$AE$3520,1),SUMIFS(Sales_Data!$M$2:$M$3520,Sales_Data!$C$2:$C$3520,$A88,Sales_Data!$F$2:$F$3520,Z$7,Sales_Data!$AE$2:$AE$3520,1),SUMIFS(Sales_Data!$N$2:$N$3520,Sales_Data!$C$2:$C$3520,$A88,Sales_Data!$F$2:$F$3520,Z$7,Sales_Data!$AE$2:$AE$3520,1),SUMIFS(Sales_Data!$AE$2:$AE$3520,Sales_Data!$C$2:$C$3520,$A88,Sales_Data!$F$2:$F$3520,Z$7)))</f>
        <v/>
      </c>
      <c r="AA88" s="27" t="n">
        <f aca="false">SUM(B88:Z88)</f>
        <v>8</v>
      </c>
      <c r="AB88" s="3"/>
      <c r="AC88" s="72" t="n">
        <f aca="false">A88</f>
        <v>46295</v>
      </c>
      <c r="AD88" s="28" t="n">
        <f aca="false">IF(B88="","",B88-B87)</f>
        <v>-1</v>
      </c>
      <c r="AE88" s="28" t="n">
        <f aca="false">IF(C88="","",C88-C87)</f>
        <v>-4</v>
      </c>
      <c r="AF88" s="28" t="n">
        <f aca="false">IF(D88="","",D88-D87)</f>
        <v>0</v>
      </c>
      <c r="AG88" s="28" t="n">
        <f aca="false">IF(E88="","",E88-E87)</f>
        <v>-1</v>
      </c>
      <c r="AH88" s="28" t="n">
        <f aca="false">IF(F88="","",F88-F87)</f>
        <v>2</v>
      </c>
      <c r="AI88" s="28" t="n">
        <f aca="false">IF(G88="","",G88-G87)</f>
        <v>-1</v>
      </c>
      <c r="AJ88" s="28" t="n">
        <f aca="false">IF(H88="","",H88-H87)</f>
        <v>0</v>
      </c>
      <c r="AK88" s="28" t="n">
        <f aca="false">IF(I88="","",I88-I87)</f>
        <v>0</v>
      </c>
      <c r="AL88" s="28" t="n">
        <f aca="false">IF(J88="","",J88-J87)</f>
        <v>0</v>
      </c>
      <c r="AM88" s="28" t="n">
        <f aca="false">IF(K88="","",K88-K87)</f>
        <v>0</v>
      </c>
      <c r="AN88" s="28" t="n">
        <f aca="false">IF(L88="","",L88-L87)</f>
        <v>0</v>
      </c>
      <c r="AO88" s="28" t="n">
        <f aca="false">IF(M88="","",M88-M87)</f>
        <v>0</v>
      </c>
      <c r="AP88" s="28" t="n">
        <f aca="false">IF(N88="","",N88-N87)</f>
        <v>0</v>
      </c>
      <c r="AQ88" s="28" t="n">
        <f aca="false">IF(O88="","",O88-O87)</f>
        <v>0</v>
      </c>
      <c r="AR88" s="28" t="n">
        <f aca="false">IF(P88="","",P88-P87)</f>
        <v>0</v>
      </c>
      <c r="AS88" s="28" t="n">
        <f aca="false">IF(Q88="","",Q88-Q87)</f>
        <v>0</v>
      </c>
      <c r="AT88" s="28" t="n">
        <f aca="false">IF(R88="","",R88-R87)</f>
        <v>-2</v>
      </c>
      <c r="AU88" s="28" t="n">
        <f aca="false">IF(S88="","",S88-S87)</f>
        <v>-2</v>
      </c>
      <c r="AV88" s="28" t="str">
        <f aca="false">IF(T88="","",T88-T87)</f>
        <v/>
      </c>
      <c r="AW88" s="28" t="str">
        <f aca="false">IF(U88="","",U88-U87)</f>
        <v/>
      </c>
      <c r="AX88" s="28" t="str">
        <f aca="false">IF(V88="","",V88-V87)</f>
        <v/>
      </c>
      <c r="AY88" s="28" t="str">
        <f aca="false">IF(W88="","",W88-W87)</f>
        <v/>
      </c>
      <c r="AZ88" s="28" t="str">
        <f aca="false">IF(X88="","",X88-X87)</f>
        <v/>
      </c>
      <c r="BA88" s="28" t="str">
        <f aca="false">IF(Y88="","",Y88-Y87)</f>
        <v/>
      </c>
      <c r="BB88" s="28" t="str">
        <f aca="false">IF(Z88="","",Z88-Z87)</f>
        <v/>
      </c>
      <c r="BC88" s="28" t="n">
        <f aca="false">IF(AA88="","",AA88-AA87)</f>
        <v>-9</v>
      </c>
    </row>
    <row r="89" customFormat="false" ht="15" hidden="false" customHeight="false" outlineLevel="0" collapsed="false">
      <c r="A89" s="72" t="n">
        <v>46296</v>
      </c>
      <c r="B89" s="26" t="n">
        <f aca="false">IF(B$7="","",CHOOSE(MATCH($B$4,Lists!$C$2:$C$5,0),SUMIFS(Sales_Data!$O$2:$O$3520,Sales_Data!$C$2:$C$3520,$A89,Sales_Data!$F$2:$F$3520,B$7,Sales_Data!$AE$2:$AE$3520,1),SUMIFS(Sales_Data!$M$2:$M$3520,Sales_Data!$C$2:$C$3520,$A89,Sales_Data!$F$2:$F$3520,B$7,Sales_Data!$AE$2:$AE$3520,1),SUMIFS(Sales_Data!$N$2:$N$3520,Sales_Data!$C$2:$C$3520,$A89,Sales_Data!$F$2:$F$3520,B$7,Sales_Data!$AE$2:$AE$3520,1),SUMIFS(Sales_Data!$AE$2:$AE$3520,Sales_Data!$C$2:$C$3520,$A89,Sales_Data!$F$2:$F$3520,B$7)))</f>
        <v>0</v>
      </c>
      <c r="C89" s="26" t="n">
        <f aca="false">IF(C$7="","",CHOOSE(MATCH($B$4,Lists!$C$2:$C$5,0),SUMIFS(Sales_Data!$O$2:$O$3520,Sales_Data!$C$2:$C$3520,$A89,Sales_Data!$F$2:$F$3520,C$7,Sales_Data!$AE$2:$AE$3520,1),SUMIFS(Sales_Data!$M$2:$M$3520,Sales_Data!$C$2:$C$3520,$A89,Sales_Data!$F$2:$F$3520,C$7,Sales_Data!$AE$2:$AE$3520,1),SUMIFS(Sales_Data!$N$2:$N$3520,Sales_Data!$C$2:$C$3520,$A89,Sales_Data!$F$2:$F$3520,C$7,Sales_Data!$AE$2:$AE$3520,1),SUMIFS(Sales_Data!$AE$2:$AE$3520,Sales_Data!$C$2:$C$3520,$A89,Sales_Data!$F$2:$F$3520,C$7)))</f>
        <v>0</v>
      </c>
      <c r="D89" s="26" t="n">
        <f aca="false">IF(D$7="","",CHOOSE(MATCH($B$4,Lists!$C$2:$C$5,0),SUMIFS(Sales_Data!$O$2:$O$3520,Sales_Data!$C$2:$C$3520,$A89,Sales_Data!$F$2:$F$3520,D$7,Sales_Data!$AE$2:$AE$3520,1),SUMIFS(Sales_Data!$M$2:$M$3520,Sales_Data!$C$2:$C$3520,$A89,Sales_Data!$F$2:$F$3520,D$7,Sales_Data!$AE$2:$AE$3520,1),SUMIFS(Sales_Data!$N$2:$N$3520,Sales_Data!$C$2:$C$3520,$A89,Sales_Data!$F$2:$F$3520,D$7,Sales_Data!$AE$2:$AE$3520,1),SUMIFS(Sales_Data!$AE$2:$AE$3520,Sales_Data!$C$2:$C$3520,$A89,Sales_Data!$F$2:$F$3520,D$7)))</f>
        <v>0</v>
      </c>
      <c r="E89" s="26" t="n">
        <f aca="false">IF(E$7="","",CHOOSE(MATCH($B$4,Lists!$C$2:$C$5,0),SUMIFS(Sales_Data!$O$2:$O$3520,Sales_Data!$C$2:$C$3520,$A89,Sales_Data!$F$2:$F$3520,E$7,Sales_Data!$AE$2:$AE$3520,1),SUMIFS(Sales_Data!$M$2:$M$3520,Sales_Data!$C$2:$C$3520,$A89,Sales_Data!$F$2:$F$3520,E$7,Sales_Data!$AE$2:$AE$3520,1),SUMIFS(Sales_Data!$N$2:$N$3520,Sales_Data!$C$2:$C$3520,$A89,Sales_Data!$F$2:$F$3520,E$7,Sales_Data!$AE$2:$AE$3520,1),SUMIFS(Sales_Data!$AE$2:$AE$3520,Sales_Data!$C$2:$C$3520,$A89,Sales_Data!$F$2:$F$3520,E$7)))</f>
        <v>0</v>
      </c>
      <c r="F89" s="26" t="n">
        <f aca="false">IF(F$7="","",CHOOSE(MATCH($B$4,Lists!$C$2:$C$5,0),SUMIFS(Sales_Data!$O$2:$O$3520,Sales_Data!$C$2:$C$3520,$A89,Sales_Data!$F$2:$F$3520,F$7,Sales_Data!$AE$2:$AE$3520,1),SUMIFS(Sales_Data!$M$2:$M$3520,Sales_Data!$C$2:$C$3520,$A89,Sales_Data!$F$2:$F$3520,F$7,Sales_Data!$AE$2:$AE$3520,1),SUMIFS(Sales_Data!$N$2:$N$3520,Sales_Data!$C$2:$C$3520,$A89,Sales_Data!$F$2:$F$3520,F$7,Sales_Data!$AE$2:$AE$3520,1),SUMIFS(Sales_Data!$AE$2:$AE$3520,Sales_Data!$C$2:$C$3520,$A89,Sales_Data!$F$2:$F$3520,F$7)))</f>
        <v>0</v>
      </c>
      <c r="G89" s="26" t="n">
        <f aca="false">IF(G$7="","",CHOOSE(MATCH($B$4,Lists!$C$2:$C$5,0),SUMIFS(Sales_Data!$O$2:$O$3520,Sales_Data!$C$2:$C$3520,$A89,Sales_Data!$F$2:$F$3520,G$7,Sales_Data!$AE$2:$AE$3520,1),SUMIFS(Sales_Data!$M$2:$M$3520,Sales_Data!$C$2:$C$3520,$A89,Sales_Data!$F$2:$F$3520,G$7,Sales_Data!$AE$2:$AE$3520,1),SUMIFS(Sales_Data!$N$2:$N$3520,Sales_Data!$C$2:$C$3520,$A89,Sales_Data!$F$2:$F$3520,G$7,Sales_Data!$AE$2:$AE$3520,1),SUMIFS(Sales_Data!$AE$2:$AE$3520,Sales_Data!$C$2:$C$3520,$A89,Sales_Data!$F$2:$F$3520,G$7)))</f>
        <v>0</v>
      </c>
      <c r="H89" s="26" t="n">
        <f aca="false">IF(H$7="","",CHOOSE(MATCH($B$4,Lists!$C$2:$C$5,0),SUMIFS(Sales_Data!$O$2:$O$3520,Sales_Data!$C$2:$C$3520,$A89,Sales_Data!$F$2:$F$3520,H$7,Sales_Data!$AE$2:$AE$3520,1),SUMIFS(Sales_Data!$M$2:$M$3520,Sales_Data!$C$2:$C$3520,$A89,Sales_Data!$F$2:$F$3520,H$7,Sales_Data!$AE$2:$AE$3520,1),SUMIFS(Sales_Data!$N$2:$N$3520,Sales_Data!$C$2:$C$3520,$A89,Sales_Data!$F$2:$F$3520,H$7,Sales_Data!$AE$2:$AE$3520,1),SUMIFS(Sales_Data!$AE$2:$AE$3520,Sales_Data!$C$2:$C$3520,$A89,Sales_Data!$F$2:$F$3520,H$7)))</f>
        <v>0</v>
      </c>
      <c r="I89" s="26" t="n">
        <f aca="false">IF(I$7="","",CHOOSE(MATCH($B$4,Lists!$C$2:$C$5,0),SUMIFS(Sales_Data!$O$2:$O$3520,Sales_Data!$C$2:$C$3520,$A89,Sales_Data!$F$2:$F$3520,I$7,Sales_Data!$AE$2:$AE$3520,1),SUMIFS(Sales_Data!$M$2:$M$3520,Sales_Data!$C$2:$C$3520,$A89,Sales_Data!$F$2:$F$3520,I$7,Sales_Data!$AE$2:$AE$3520,1),SUMIFS(Sales_Data!$N$2:$N$3520,Sales_Data!$C$2:$C$3520,$A89,Sales_Data!$F$2:$F$3520,I$7,Sales_Data!$AE$2:$AE$3520,1),SUMIFS(Sales_Data!$AE$2:$AE$3520,Sales_Data!$C$2:$C$3520,$A89,Sales_Data!$F$2:$F$3520,I$7)))</f>
        <v>0</v>
      </c>
      <c r="J89" s="26" t="n">
        <f aca="false">IF(J$7="","",CHOOSE(MATCH($B$4,Lists!$C$2:$C$5,0),SUMIFS(Sales_Data!$O$2:$O$3520,Sales_Data!$C$2:$C$3520,$A89,Sales_Data!$F$2:$F$3520,J$7,Sales_Data!$AE$2:$AE$3520,1),SUMIFS(Sales_Data!$M$2:$M$3520,Sales_Data!$C$2:$C$3520,$A89,Sales_Data!$F$2:$F$3520,J$7,Sales_Data!$AE$2:$AE$3520,1),SUMIFS(Sales_Data!$N$2:$N$3520,Sales_Data!$C$2:$C$3520,$A89,Sales_Data!$F$2:$F$3520,J$7,Sales_Data!$AE$2:$AE$3520,1),SUMIFS(Sales_Data!$AE$2:$AE$3520,Sales_Data!$C$2:$C$3520,$A89,Sales_Data!$F$2:$F$3520,J$7)))</f>
        <v>0</v>
      </c>
      <c r="K89" s="26" t="n">
        <f aca="false">IF(K$7="","",CHOOSE(MATCH($B$4,Lists!$C$2:$C$5,0),SUMIFS(Sales_Data!$O$2:$O$3520,Sales_Data!$C$2:$C$3520,$A89,Sales_Data!$F$2:$F$3520,K$7,Sales_Data!$AE$2:$AE$3520,1),SUMIFS(Sales_Data!$M$2:$M$3520,Sales_Data!$C$2:$C$3520,$A89,Sales_Data!$F$2:$F$3520,K$7,Sales_Data!$AE$2:$AE$3520,1),SUMIFS(Sales_Data!$N$2:$N$3520,Sales_Data!$C$2:$C$3520,$A89,Sales_Data!$F$2:$F$3520,K$7,Sales_Data!$AE$2:$AE$3520,1),SUMIFS(Sales_Data!$AE$2:$AE$3520,Sales_Data!$C$2:$C$3520,$A89,Sales_Data!$F$2:$F$3520,K$7)))</f>
        <v>0</v>
      </c>
      <c r="L89" s="26" t="n">
        <f aca="false">IF(L$7="","",CHOOSE(MATCH($B$4,Lists!$C$2:$C$5,0),SUMIFS(Sales_Data!$O$2:$O$3520,Sales_Data!$C$2:$C$3520,$A89,Sales_Data!$F$2:$F$3520,L$7,Sales_Data!$AE$2:$AE$3520,1),SUMIFS(Sales_Data!$M$2:$M$3520,Sales_Data!$C$2:$C$3520,$A89,Sales_Data!$F$2:$F$3520,L$7,Sales_Data!$AE$2:$AE$3520,1),SUMIFS(Sales_Data!$N$2:$N$3520,Sales_Data!$C$2:$C$3520,$A89,Sales_Data!$F$2:$F$3520,L$7,Sales_Data!$AE$2:$AE$3520,1),SUMIFS(Sales_Data!$AE$2:$AE$3520,Sales_Data!$C$2:$C$3520,$A89,Sales_Data!$F$2:$F$3520,L$7)))</f>
        <v>0</v>
      </c>
      <c r="M89" s="26" t="n">
        <f aca="false">IF(M$7="","",CHOOSE(MATCH($B$4,Lists!$C$2:$C$5,0),SUMIFS(Sales_Data!$O$2:$O$3520,Sales_Data!$C$2:$C$3520,$A89,Sales_Data!$F$2:$F$3520,M$7,Sales_Data!$AE$2:$AE$3520,1),SUMIFS(Sales_Data!$M$2:$M$3520,Sales_Data!$C$2:$C$3520,$A89,Sales_Data!$F$2:$F$3520,M$7,Sales_Data!$AE$2:$AE$3520,1),SUMIFS(Sales_Data!$N$2:$N$3520,Sales_Data!$C$2:$C$3520,$A89,Sales_Data!$F$2:$F$3520,M$7,Sales_Data!$AE$2:$AE$3520,1),SUMIFS(Sales_Data!$AE$2:$AE$3520,Sales_Data!$C$2:$C$3520,$A89,Sales_Data!$F$2:$F$3520,M$7)))</f>
        <v>0</v>
      </c>
      <c r="N89" s="26" t="n">
        <f aca="false">IF(N$7="","",CHOOSE(MATCH($B$4,Lists!$C$2:$C$5,0),SUMIFS(Sales_Data!$O$2:$O$3520,Sales_Data!$C$2:$C$3520,$A89,Sales_Data!$F$2:$F$3520,N$7,Sales_Data!$AE$2:$AE$3520,1),SUMIFS(Sales_Data!$M$2:$M$3520,Sales_Data!$C$2:$C$3520,$A89,Sales_Data!$F$2:$F$3520,N$7,Sales_Data!$AE$2:$AE$3520,1),SUMIFS(Sales_Data!$N$2:$N$3520,Sales_Data!$C$2:$C$3520,$A89,Sales_Data!$F$2:$F$3520,N$7,Sales_Data!$AE$2:$AE$3520,1),SUMIFS(Sales_Data!$AE$2:$AE$3520,Sales_Data!$C$2:$C$3520,$A89,Sales_Data!$F$2:$F$3520,N$7)))</f>
        <v>0</v>
      </c>
      <c r="O89" s="26" t="n">
        <f aca="false">IF(O$7="","",CHOOSE(MATCH($B$4,Lists!$C$2:$C$5,0),SUMIFS(Sales_Data!$O$2:$O$3520,Sales_Data!$C$2:$C$3520,$A89,Sales_Data!$F$2:$F$3520,O$7,Sales_Data!$AE$2:$AE$3520,1),SUMIFS(Sales_Data!$M$2:$M$3520,Sales_Data!$C$2:$C$3520,$A89,Sales_Data!$F$2:$F$3520,O$7,Sales_Data!$AE$2:$AE$3520,1),SUMIFS(Sales_Data!$N$2:$N$3520,Sales_Data!$C$2:$C$3520,$A89,Sales_Data!$F$2:$F$3520,O$7,Sales_Data!$AE$2:$AE$3520,1),SUMIFS(Sales_Data!$AE$2:$AE$3520,Sales_Data!$C$2:$C$3520,$A89,Sales_Data!$F$2:$F$3520,O$7)))</f>
        <v>0</v>
      </c>
      <c r="P89" s="26" t="n">
        <f aca="false">IF(P$7="","",CHOOSE(MATCH($B$4,Lists!$C$2:$C$5,0),SUMIFS(Sales_Data!$O$2:$O$3520,Sales_Data!$C$2:$C$3520,$A89,Sales_Data!$F$2:$F$3520,P$7,Sales_Data!$AE$2:$AE$3520,1),SUMIFS(Sales_Data!$M$2:$M$3520,Sales_Data!$C$2:$C$3520,$A89,Sales_Data!$F$2:$F$3520,P$7,Sales_Data!$AE$2:$AE$3520,1),SUMIFS(Sales_Data!$N$2:$N$3520,Sales_Data!$C$2:$C$3520,$A89,Sales_Data!$F$2:$F$3520,P$7,Sales_Data!$AE$2:$AE$3520,1),SUMIFS(Sales_Data!$AE$2:$AE$3520,Sales_Data!$C$2:$C$3520,$A89,Sales_Data!$F$2:$F$3520,P$7)))</f>
        <v>0</v>
      </c>
      <c r="Q89" s="26" t="n">
        <f aca="false">IF(Q$7="","",CHOOSE(MATCH($B$4,Lists!$C$2:$C$5,0),SUMIFS(Sales_Data!$O$2:$O$3520,Sales_Data!$C$2:$C$3520,$A89,Sales_Data!$F$2:$F$3520,Q$7,Sales_Data!$AE$2:$AE$3520,1),SUMIFS(Sales_Data!$M$2:$M$3520,Sales_Data!$C$2:$C$3520,$A89,Sales_Data!$F$2:$F$3520,Q$7,Sales_Data!$AE$2:$AE$3520,1),SUMIFS(Sales_Data!$N$2:$N$3520,Sales_Data!$C$2:$C$3520,$A89,Sales_Data!$F$2:$F$3520,Q$7,Sales_Data!$AE$2:$AE$3520,1),SUMIFS(Sales_Data!$AE$2:$AE$3520,Sales_Data!$C$2:$C$3520,$A89,Sales_Data!$F$2:$F$3520,Q$7)))</f>
        <v>0</v>
      </c>
      <c r="R89" s="26" t="n">
        <f aca="false">IF(R$7="","",CHOOSE(MATCH($B$4,Lists!$C$2:$C$5,0),SUMIFS(Sales_Data!$O$2:$O$3520,Sales_Data!$C$2:$C$3520,$A89,Sales_Data!$F$2:$F$3520,R$7,Sales_Data!$AE$2:$AE$3520,1),SUMIFS(Sales_Data!$M$2:$M$3520,Sales_Data!$C$2:$C$3520,$A89,Sales_Data!$F$2:$F$3520,R$7,Sales_Data!$AE$2:$AE$3520,1),SUMIFS(Sales_Data!$N$2:$N$3520,Sales_Data!$C$2:$C$3520,$A89,Sales_Data!$F$2:$F$3520,R$7,Sales_Data!$AE$2:$AE$3520,1),SUMIFS(Sales_Data!$AE$2:$AE$3520,Sales_Data!$C$2:$C$3520,$A89,Sales_Data!$F$2:$F$3520,R$7)))</f>
        <v>0</v>
      </c>
      <c r="S89" s="26" t="n">
        <f aca="false">IF(S$7="","",CHOOSE(MATCH($B$4,Lists!$C$2:$C$5,0),SUMIFS(Sales_Data!$O$2:$O$3520,Sales_Data!$C$2:$C$3520,$A89,Sales_Data!$F$2:$F$3520,S$7,Sales_Data!$AE$2:$AE$3520,1),SUMIFS(Sales_Data!$M$2:$M$3520,Sales_Data!$C$2:$C$3520,$A89,Sales_Data!$F$2:$F$3520,S$7,Sales_Data!$AE$2:$AE$3520,1),SUMIFS(Sales_Data!$N$2:$N$3520,Sales_Data!$C$2:$C$3520,$A89,Sales_Data!$F$2:$F$3520,S$7,Sales_Data!$AE$2:$AE$3520,1),SUMIFS(Sales_Data!$AE$2:$AE$3520,Sales_Data!$C$2:$C$3520,$A89,Sales_Data!$F$2:$F$3520,S$7)))</f>
        <v>0</v>
      </c>
      <c r="T89" s="26" t="str">
        <f aca="false">IF(T$7="","",CHOOSE(MATCH($B$4,Lists!$C$2:$C$5,0),SUMIFS(Sales_Data!$O$2:$O$3520,Sales_Data!$C$2:$C$3520,$A89,Sales_Data!$F$2:$F$3520,T$7,Sales_Data!$AE$2:$AE$3520,1),SUMIFS(Sales_Data!$M$2:$M$3520,Sales_Data!$C$2:$C$3520,$A89,Sales_Data!$F$2:$F$3520,T$7,Sales_Data!$AE$2:$AE$3520,1),SUMIFS(Sales_Data!$N$2:$N$3520,Sales_Data!$C$2:$C$3520,$A89,Sales_Data!$F$2:$F$3520,T$7,Sales_Data!$AE$2:$AE$3520,1),SUMIFS(Sales_Data!$AE$2:$AE$3520,Sales_Data!$C$2:$C$3520,$A89,Sales_Data!$F$2:$F$3520,T$7)))</f>
        <v/>
      </c>
      <c r="U89" s="26" t="str">
        <f aca="false">IF(U$7="","",CHOOSE(MATCH($B$4,Lists!$C$2:$C$5,0),SUMIFS(Sales_Data!$O$2:$O$3520,Sales_Data!$C$2:$C$3520,$A89,Sales_Data!$F$2:$F$3520,U$7,Sales_Data!$AE$2:$AE$3520,1),SUMIFS(Sales_Data!$M$2:$M$3520,Sales_Data!$C$2:$C$3520,$A89,Sales_Data!$F$2:$F$3520,U$7,Sales_Data!$AE$2:$AE$3520,1),SUMIFS(Sales_Data!$N$2:$N$3520,Sales_Data!$C$2:$C$3520,$A89,Sales_Data!$F$2:$F$3520,U$7,Sales_Data!$AE$2:$AE$3520,1),SUMIFS(Sales_Data!$AE$2:$AE$3520,Sales_Data!$C$2:$C$3520,$A89,Sales_Data!$F$2:$F$3520,U$7)))</f>
        <v/>
      </c>
      <c r="V89" s="26" t="str">
        <f aca="false">IF(V$7="","",CHOOSE(MATCH($B$4,Lists!$C$2:$C$5,0),SUMIFS(Sales_Data!$O$2:$O$3520,Sales_Data!$C$2:$C$3520,$A89,Sales_Data!$F$2:$F$3520,V$7,Sales_Data!$AE$2:$AE$3520,1),SUMIFS(Sales_Data!$M$2:$M$3520,Sales_Data!$C$2:$C$3520,$A89,Sales_Data!$F$2:$F$3520,V$7,Sales_Data!$AE$2:$AE$3520,1),SUMIFS(Sales_Data!$N$2:$N$3520,Sales_Data!$C$2:$C$3520,$A89,Sales_Data!$F$2:$F$3520,V$7,Sales_Data!$AE$2:$AE$3520,1),SUMIFS(Sales_Data!$AE$2:$AE$3520,Sales_Data!$C$2:$C$3520,$A89,Sales_Data!$F$2:$F$3520,V$7)))</f>
        <v/>
      </c>
      <c r="W89" s="26" t="str">
        <f aca="false">IF(W$7="","",CHOOSE(MATCH($B$4,Lists!$C$2:$C$5,0),SUMIFS(Sales_Data!$O$2:$O$3520,Sales_Data!$C$2:$C$3520,$A89,Sales_Data!$F$2:$F$3520,W$7,Sales_Data!$AE$2:$AE$3520,1),SUMIFS(Sales_Data!$M$2:$M$3520,Sales_Data!$C$2:$C$3520,$A89,Sales_Data!$F$2:$F$3520,W$7,Sales_Data!$AE$2:$AE$3520,1),SUMIFS(Sales_Data!$N$2:$N$3520,Sales_Data!$C$2:$C$3520,$A89,Sales_Data!$F$2:$F$3520,W$7,Sales_Data!$AE$2:$AE$3520,1),SUMIFS(Sales_Data!$AE$2:$AE$3520,Sales_Data!$C$2:$C$3520,$A89,Sales_Data!$F$2:$F$3520,W$7)))</f>
        <v/>
      </c>
      <c r="X89" s="26" t="str">
        <f aca="false">IF(X$7="","",CHOOSE(MATCH($B$4,Lists!$C$2:$C$5,0),SUMIFS(Sales_Data!$O$2:$O$3520,Sales_Data!$C$2:$C$3520,$A89,Sales_Data!$F$2:$F$3520,X$7,Sales_Data!$AE$2:$AE$3520,1),SUMIFS(Sales_Data!$M$2:$M$3520,Sales_Data!$C$2:$C$3520,$A89,Sales_Data!$F$2:$F$3520,X$7,Sales_Data!$AE$2:$AE$3520,1),SUMIFS(Sales_Data!$N$2:$N$3520,Sales_Data!$C$2:$C$3520,$A89,Sales_Data!$F$2:$F$3520,X$7,Sales_Data!$AE$2:$AE$3520,1),SUMIFS(Sales_Data!$AE$2:$AE$3520,Sales_Data!$C$2:$C$3520,$A89,Sales_Data!$F$2:$F$3520,X$7)))</f>
        <v/>
      </c>
      <c r="Y89" s="26" t="str">
        <f aca="false">IF(Y$7="","",CHOOSE(MATCH($B$4,Lists!$C$2:$C$5,0),SUMIFS(Sales_Data!$O$2:$O$3520,Sales_Data!$C$2:$C$3520,$A89,Sales_Data!$F$2:$F$3520,Y$7,Sales_Data!$AE$2:$AE$3520,1),SUMIFS(Sales_Data!$M$2:$M$3520,Sales_Data!$C$2:$C$3520,$A89,Sales_Data!$F$2:$F$3520,Y$7,Sales_Data!$AE$2:$AE$3520,1),SUMIFS(Sales_Data!$N$2:$N$3520,Sales_Data!$C$2:$C$3520,$A89,Sales_Data!$F$2:$F$3520,Y$7,Sales_Data!$AE$2:$AE$3520,1),SUMIFS(Sales_Data!$AE$2:$AE$3520,Sales_Data!$C$2:$C$3520,$A89,Sales_Data!$F$2:$F$3520,Y$7)))</f>
        <v/>
      </c>
      <c r="Z89" s="26" t="str">
        <f aca="false">IF(Z$7="","",CHOOSE(MATCH($B$4,Lists!$C$2:$C$5,0),SUMIFS(Sales_Data!$O$2:$O$3520,Sales_Data!$C$2:$C$3520,$A89,Sales_Data!$F$2:$F$3520,Z$7,Sales_Data!$AE$2:$AE$3520,1),SUMIFS(Sales_Data!$M$2:$M$3520,Sales_Data!$C$2:$C$3520,$A89,Sales_Data!$F$2:$F$3520,Z$7,Sales_Data!$AE$2:$AE$3520,1),SUMIFS(Sales_Data!$N$2:$N$3520,Sales_Data!$C$2:$C$3520,$A89,Sales_Data!$F$2:$F$3520,Z$7,Sales_Data!$AE$2:$AE$3520,1),SUMIFS(Sales_Data!$AE$2:$AE$3520,Sales_Data!$C$2:$C$3520,$A89,Sales_Data!$F$2:$F$3520,Z$7)))</f>
        <v/>
      </c>
      <c r="AA89" s="27" t="n">
        <f aca="false">SUM(B89:Z89)</f>
        <v>0</v>
      </c>
      <c r="AB89" s="3"/>
      <c r="AC89" s="72" t="n">
        <f aca="false">A89</f>
        <v>46296</v>
      </c>
      <c r="AD89" s="28" t="n">
        <f aca="false">IF(B89="","",B89-B88)</f>
        <v>-3</v>
      </c>
      <c r="AE89" s="28" t="n">
        <f aca="false">IF(C89="","",C89-C88)</f>
        <v>0</v>
      </c>
      <c r="AF89" s="28" t="n">
        <f aca="false">IF(D89="","",D89-D88)</f>
        <v>0</v>
      </c>
      <c r="AG89" s="28" t="n">
        <f aca="false">IF(E89="","",E89-E88)</f>
        <v>-1</v>
      </c>
      <c r="AH89" s="28" t="n">
        <f aca="false">IF(F89="","",F89-F88)</f>
        <v>-2</v>
      </c>
      <c r="AI89" s="28" t="n">
        <f aca="false">IF(G89="","",G89-G88)</f>
        <v>0</v>
      </c>
      <c r="AJ89" s="28" t="n">
        <f aca="false">IF(H89="","",H89-H88)</f>
        <v>0</v>
      </c>
      <c r="AK89" s="28" t="n">
        <f aca="false">IF(I89="","",I89-I88)</f>
        <v>0</v>
      </c>
      <c r="AL89" s="28" t="n">
        <f aca="false">IF(J89="","",J89-J88)</f>
        <v>0</v>
      </c>
      <c r="AM89" s="28" t="n">
        <f aca="false">IF(K89="","",K89-K88)</f>
        <v>0</v>
      </c>
      <c r="AN89" s="28" t="n">
        <f aca="false">IF(L89="","",L89-L88)</f>
        <v>0</v>
      </c>
      <c r="AO89" s="28" t="n">
        <f aca="false">IF(M89="","",M89-M88)</f>
        <v>0</v>
      </c>
      <c r="AP89" s="28" t="n">
        <f aca="false">IF(N89="","",N89-N88)</f>
        <v>0</v>
      </c>
      <c r="AQ89" s="28" t="n">
        <f aca="false">IF(O89="","",O89-O88)</f>
        <v>0</v>
      </c>
      <c r="AR89" s="28" t="n">
        <f aca="false">IF(P89="","",P89-P88)</f>
        <v>0</v>
      </c>
      <c r="AS89" s="28" t="n">
        <f aca="false">IF(Q89="","",Q89-Q88)</f>
        <v>-2</v>
      </c>
      <c r="AT89" s="28" t="n">
        <f aca="false">IF(R89="","",R89-R88)</f>
        <v>0</v>
      </c>
      <c r="AU89" s="28" t="n">
        <f aca="false">IF(S89="","",S89-S88)</f>
        <v>0</v>
      </c>
      <c r="AV89" s="28" t="str">
        <f aca="false">IF(T89="","",T89-T88)</f>
        <v/>
      </c>
      <c r="AW89" s="28" t="str">
        <f aca="false">IF(U89="","",U89-U88)</f>
        <v/>
      </c>
      <c r="AX89" s="28" t="str">
        <f aca="false">IF(V89="","",V89-V88)</f>
        <v/>
      </c>
      <c r="AY89" s="28" t="str">
        <f aca="false">IF(W89="","",W89-W88)</f>
        <v/>
      </c>
      <c r="AZ89" s="28" t="str">
        <f aca="false">IF(X89="","",X89-X88)</f>
        <v/>
      </c>
      <c r="BA89" s="28" t="str">
        <f aca="false">IF(Y89="","",Y89-Y88)</f>
        <v/>
      </c>
      <c r="BB89" s="28" t="str">
        <f aca="false">IF(Z89="","",Z89-Z88)</f>
        <v/>
      </c>
      <c r="BC89" s="28" t="n">
        <f aca="false">IF(AA89="","",AA89-AA88)</f>
        <v>-8</v>
      </c>
    </row>
    <row r="90" customFormat="false" ht="15" hidden="false" customHeight="false" outlineLevel="0" collapsed="false">
      <c r="A90" s="72" t="n">
        <v>46297</v>
      </c>
      <c r="B90" s="26" t="n">
        <f aca="false">IF(B$7="","",CHOOSE(MATCH($B$4,Lists!$C$2:$C$5,0),SUMIFS(Sales_Data!$O$2:$O$3520,Sales_Data!$C$2:$C$3520,$A90,Sales_Data!$F$2:$F$3520,B$7,Sales_Data!$AE$2:$AE$3520,1),SUMIFS(Sales_Data!$M$2:$M$3520,Sales_Data!$C$2:$C$3520,$A90,Sales_Data!$F$2:$F$3520,B$7,Sales_Data!$AE$2:$AE$3520,1),SUMIFS(Sales_Data!$N$2:$N$3520,Sales_Data!$C$2:$C$3520,$A90,Sales_Data!$F$2:$F$3520,B$7,Sales_Data!$AE$2:$AE$3520,1),SUMIFS(Sales_Data!$AE$2:$AE$3520,Sales_Data!$C$2:$C$3520,$A90,Sales_Data!$F$2:$F$3520,B$7)))</f>
        <v>2</v>
      </c>
      <c r="C90" s="26" t="n">
        <f aca="false">IF(C$7="","",CHOOSE(MATCH($B$4,Lists!$C$2:$C$5,0),SUMIFS(Sales_Data!$O$2:$O$3520,Sales_Data!$C$2:$C$3520,$A90,Sales_Data!$F$2:$F$3520,C$7,Sales_Data!$AE$2:$AE$3520,1),SUMIFS(Sales_Data!$M$2:$M$3520,Sales_Data!$C$2:$C$3520,$A90,Sales_Data!$F$2:$F$3520,C$7,Sales_Data!$AE$2:$AE$3520,1),SUMIFS(Sales_Data!$N$2:$N$3520,Sales_Data!$C$2:$C$3520,$A90,Sales_Data!$F$2:$F$3520,C$7,Sales_Data!$AE$2:$AE$3520,1),SUMIFS(Sales_Data!$AE$2:$AE$3520,Sales_Data!$C$2:$C$3520,$A90,Sales_Data!$F$2:$F$3520,C$7)))</f>
        <v>1</v>
      </c>
      <c r="D90" s="26" t="n">
        <f aca="false">IF(D$7="","",CHOOSE(MATCH($B$4,Lists!$C$2:$C$5,0),SUMIFS(Sales_Data!$O$2:$O$3520,Sales_Data!$C$2:$C$3520,$A90,Sales_Data!$F$2:$F$3520,D$7,Sales_Data!$AE$2:$AE$3520,1),SUMIFS(Sales_Data!$M$2:$M$3520,Sales_Data!$C$2:$C$3520,$A90,Sales_Data!$F$2:$F$3520,D$7,Sales_Data!$AE$2:$AE$3520,1),SUMIFS(Sales_Data!$N$2:$N$3520,Sales_Data!$C$2:$C$3520,$A90,Sales_Data!$F$2:$F$3520,D$7,Sales_Data!$AE$2:$AE$3520,1),SUMIFS(Sales_Data!$AE$2:$AE$3520,Sales_Data!$C$2:$C$3520,$A90,Sales_Data!$F$2:$F$3520,D$7)))</f>
        <v>0</v>
      </c>
      <c r="E90" s="26" t="n">
        <f aca="false">IF(E$7="","",CHOOSE(MATCH($B$4,Lists!$C$2:$C$5,0),SUMIFS(Sales_Data!$O$2:$O$3520,Sales_Data!$C$2:$C$3520,$A90,Sales_Data!$F$2:$F$3520,E$7,Sales_Data!$AE$2:$AE$3520,1),SUMIFS(Sales_Data!$M$2:$M$3520,Sales_Data!$C$2:$C$3520,$A90,Sales_Data!$F$2:$F$3520,E$7,Sales_Data!$AE$2:$AE$3520,1),SUMIFS(Sales_Data!$N$2:$N$3520,Sales_Data!$C$2:$C$3520,$A90,Sales_Data!$F$2:$F$3520,E$7,Sales_Data!$AE$2:$AE$3520,1),SUMIFS(Sales_Data!$AE$2:$AE$3520,Sales_Data!$C$2:$C$3520,$A90,Sales_Data!$F$2:$F$3520,E$7)))</f>
        <v>2</v>
      </c>
      <c r="F90" s="26" t="n">
        <f aca="false">IF(F$7="","",CHOOSE(MATCH($B$4,Lists!$C$2:$C$5,0),SUMIFS(Sales_Data!$O$2:$O$3520,Sales_Data!$C$2:$C$3520,$A90,Sales_Data!$F$2:$F$3520,F$7,Sales_Data!$AE$2:$AE$3520,1),SUMIFS(Sales_Data!$M$2:$M$3520,Sales_Data!$C$2:$C$3520,$A90,Sales_Data!$F$2:$F$3520,F$7,Sales_Data!$AE$2:$AE$3520,1),SUMIFS(Sales_Data!$N$2:$N$3520,Sales_Data!$C$2:$C$3520,$A90,Sales_Data!$F$2:$F$3520,F$7,Sales_Data!$AE$2:$AE$3520,1),SUMIFS(Sales_Data!$AE$2:$AE$3520,Sales_Data!$C$2:$C$3520,$A90,Sales_Data!$F$2:$F$3520,F$7)))</f>
        <v>0</v>
      </c>
      <c r="G90" s="26" t="n">
        <f aca="false">IF(G$7="","",CHOOSE(MATCH($B$4,Lists!$C$2:$C$5,0),SUMIFS(Sales_Data!$O$2:$O$3520,Sales_Data!$C$2:$C$3520,$A90,Sales_Data!$F$2:$F$3520,G$7,Sales_Data!$AE$2:$AE$3520,1),SUMIFS(Sales_Data!$M$2:$M$3520,Sales_Data!$C$2:$C$3520,$A90,Sales_Data!$F$2:$F$3520,G$7,Sales_Data!$AE$2:$AE$3520,1),SUMIFS(Sales_Data!$N$2:$N$3520,Sales_Data!$C$2:$C$3520,$A90,Sales_Data!$F$2:$F$3520,G$7,Sales_Data!$AE$2:$AE$3520,1),SUMIFS(Sales_Data!$AE$2:$AE$3520,Sales_Data!$C$2:$C$3520,$A90,Sales_Data!$F$2:$F$3520,G$7)))</f>
        <v>0</v>
      </c>
      <c r="H90" s="26" t="n">
        <f aca="false">IF(H$7="","",CHOOSE(MATCH($B$4,Lists!$C$2:$C$5,0),SUMIFS(Sales_Data!$O$2:$O$3520,Sales_Data!$C$2:$C$3520,$A90,Sales_Data!$F$2:$F$3520,H$7,Sales_Data!$AE$2:$AE$3520,1),SUMIFS(Sales_Data!$M$2:$M$3520,Sales_Data!$C$2:$C$3520,$A90,Sales_Data!$F$2:$F$3520,H$7,Sales_Data!$AE$2:$AE$3520,1),SUMIFS(Sales_Data!$N$2:$N$3520,Sales_Data!$C$2:$C$3520,$A90,Sales_Data!$F$2:$F$3520,H$7,Sales_Data!$AE$2:$AE$3520,1),SUMIFS(Sales_Data!$AE$2:$AE$3520,Sales_Data!$C$2:$C$3520,$A90,Sales_Data!$F$2:$F$3520,H$7)))</f>
        <v>0</v>
      </c>
      <c r="I90" s="26" t="n">
        <f aca="false">IF(I$7="","",CHOOSE(MATCH($B$4,Lists!$C$2:$C$5,0),SUMIFS(Sales_Data!$O$2:$O$3520,Sales_Data!$C$2:$C$3520,$A90,Sales_Data!$F$2:$F$3520,I$7,Sales_Data!$AE$2:$AE$3520,1),SUMIFS(Sales_Data!$M$2:$M$3520,Sales_Data!$C$2:$C$3520,$A90,Sales_Data!$F$2:$F$3520,I$7,Sales_Data!$AE$2:$AE$3520,1),SUMIFS(Sales_Data!$N$2:$N$3520,Sales_Data!$C$2:$C$3520,$A90,Sales_Data!$F$2:$F$3520,I$7,Sales_Data!$AE$2:$AE$3520,1),SUMIFS(Sales_Data!$AE$2:$AE$3520,Sales_Data!$C$2:$C$3520,$A90,Sales_Data!$F$2:$F$3520,I$7)))</f>
        <v>0</v>
      </c>
      <c r="J90" s="26" t="n">
        <f aca="false">IF(J$7="","",CHOOSE(MATCH($B$4,Lists!$C$2:$C$5,0),SUMIFS(Sales_Data!$O$2:$O$3520,Sales_Data!$C$2:$C$3520,$A90,Sales_Data!$F$2:$F$3520,J$7,Sales_Data!$AE$2:$AE$3520,1),SUMIFS(Sales_Data!$M$2:$M$3520,Sales_Data!$C$2:$C$3520,$A90,Sales_Data!$F$2:$F$3520,J$7,Sales_Data!$AE$2:$AE$3520,1),SUMIFS(Sales_Data!$N$2:$N$3520,Sales_Data!$C$2:$C$3520,$A90,Sales_Data!$F$2:$F$3520,J$7,Sales_Data!$AE$2:$AE$3520,1),SUMIFS(Sales_Data!$AE$2:$AE$3520,Sales_Data!$C$2:$C$3520,$A90,Sales_Data!$F$2:$F$3520,J$7)))</f>
        <v>0</v>
      </c>
      <c r="K90" s="26" t="n">
        <f aca="false">IF(K$7="","",CHOOSE(MATCH($B$4,Lists!$C$2:$C$5,0),SUMIFS(Sales_Data!$O$2:$O$3520,Sales_Data!$C$2:$C$3520,$A90,Sales_Data!$F$2:$F$3520,K$7,Sales_Data!$AE$2:$AE$3520,1),SUMIFS(Sales_Data!$M$2:$M$3520,Sales_Data!$C$2:$C$3520,$A90,Sales_Data!$F$2:$F$3520,K$7,Sales_Data!$AE$2:$AE$3520,1),SUMIFS(Sales_Data!$N$2:$N$3520,Sales_Data!$C$2:$C$3520,$A90,Sales_Data!$F$2:$F$3520,K$7,Sales_Data!$AE$2:$AE$3520,1),SUMIFS(Sales_Data!$AE$2:$AE$3520,Sales_Data!$C$2:$C$3520,$A90,Sales_Data!$F$2:$F$3520,K$7)))</f>
        <v>0</v>
      </c>
      <c r="L90" s="26" t="n">
        <f aca="false">IF(L$7="","",CHOOSE(MATCH($B$4,Lists!$C$2:$C$5,0),SUMIFS(Sales_Data!$O$2:$O$3520,Sales_Data!$C$2:$C$3520,$A90,Sales_Data!$F$2:$F$3520,L$7,Sales_Data!$AE$2:$AE$3520,1),SUMIFS(Sales_Data!$M$2:$M$3520,Sales_Data!$C$2:$C$3520,$A90,Sales_Data!$F$2:$F$3520,L$7,Sales_Data!$AE$2:$AE$3520,1),SUMIFS(Sales_Data!$N$2:$N$3520,Sales_Data!$C$2:$C$3520,$A90,Sales_Data!$F$2:$F$3520,L$7,Sales_Data!$AE$2:$AE$3520,1),SUMIFS(Sales_Data!$AE$2:$AE$3520,Sales_Data!$C$2:$C$3520,$A90,Sales_Data!$F$2:$F$3520,L$7)))</f>
        <v>0</v>
      </c>
      <c r="M90" s="26" t="n">
        <f aca="false">IF(M$7="","",CHOOSE(MATCH($B$4,Lists!$C$2:$C$5,0),SUMIFS(Sales_Data!$O$2:$O$3520,Sales_Data!$C$2:$C$3520,$A90,Sales_Data!$F$2:$F$3520,M$7,Sales_Data!$AE$2:$AE$3520,1),SUMIFS(Sales_Data!$M$2:$M$3520,Sales_Data!$C$2:$C$3520,$A90,Sales_Data!$F$2:$F$3520,M$7,Sales_Data!$AE$2:$AE$3520,1),SUMIFS(Sales_Data!$N$2:$N$3520,Sales_Data!$C$2:$C$3520,$A90,Sales_Data!$F$2:$F$3520,M$7,Sales_Data!$AE$2:$AE$3520,1),SUMIFS(Sales_Data!$AE$2:$AE$3520,Sales_Data!$C$2:$C$3520,$A90,Sales_Data!$F$2:$F$3520,M$7)))</f>
        <v>0</v>
      </c>
      <c r="N90" s="26" t="n">
        <f aca="false">IF(N$7="","",CHOOSE(MATCH($B$4,Lists!$C$2:$C$5,0),SUMIFS(Sales_Data!$O$2:$O$3520,Sales_Data!$C$2:$C$3520,$A90,Sales_Data!$F$2:$F$3520,N$7,Sales_Data!$AE$2:$AE$3520,1),SUMIFS(Sales_Data!$M$2:$M$3520,Sales_Data!$C$2:$C$3520,$A90,Sales_Data!$F$2:$F$3520,N$7,Sales_Data!$AE$2:$AE$3520,1),SUMIFS(Sales_Data!$N$2:$N$3520,Sales_Data!$C$2:$C$3520,$A90,Sales_Data!$F$2:$F$3520,N$7,Sales_Data!$AE$2:$AE$3520,1),SUMIFS(Sales_Data!$AE$2:$AE$3520,Sales_Data!$C$2:$C$3520,$A90,Sales_Data!$F$2:$F$3520,N$7)))</f>
        <v>0</v>
      </c>
      <c r="O90" s="26" t="n">
        <f aca="false">IF(O$7="","",CHOOSE(MATCH($B$4,Lists!$C$2:$C$5,0),SUMIFS(Sales_Data!$O$2:$O$3520,Sales_Data!$C$2:$C$3520,$A90,Sales_Data!$F$2:$F$3520,O$7,Sales_Data!$AE$2:$AE$3520,1),SUMIFS(Sales_Data!$M$2:$M$3520,Sales_Data!$C$2:$C$3520,$A90,Sales_Data!$F$2:$F$3520,O$7,Sales_Data!$AE$2:$AE$3520,1),SUMIFS(Sales_Data!$N$2:$N$3520,Sales_Data!$C$2:$C$3520,$A90,Sales_Data!$F$2:$F$3520,O$7,Sales_Data!$AE$2:$AE$3520,1),SUMIFS(Sales_Data!$AE$2:$AE$3520,Sales_Data!$C$2:$C$3520,$A90,Sales_Data!$F$2:$F$3520,O$7)))</f>
        <v>0</v>
      </c>
      <c r="P90" s="26" t="n">
        <f aca="false">IF(P$7="","",CHOOSE(MATCH($B$4,Lists!$C$2:$C$5,0),SUMIFS(Sales_Data!$O$2:$O$3520,Sales_Data!$C$2:$C$3520,$A90,Sales_Data!$F$2:$F$3520,P$7,Sales_Data!$AE$2:$AE$3520,1),SUMIFS(Sales_Data!$M$2:$M$3520,Sales_Data!$C$2:$C$3520,$A90,Sales_Data!$F$2:$F$3520,P$7,Sales_Data!$AE$2:$AE$3520,1),SUMIFS(Sales_Data!$N$2:$N$3520,Sales_Data!$C$2:$C$3520,$A90,Sales_Data!$F$2:$F$3520,P$7,Sales_Data!$AE$2:$AE$3520,1),SUMIFS(Sales_Data!$AE$2:$AE$3520,Sales_Data!$C$2:$C$3520,$A90,Sales_Data!$F$2:$F$3520,P$7)))</f>
        <v>0</v>
      </c>
      <c r="Q90" s="26" t="n">
        <f aca="false">IF(Q$7="","",CHOOSE(MATCH($B$4,Lists!$C$2:$C$5,0),SUMIFS(Sales_Data!$O$2:$O$3520,Sales_Data!$C$2:$C$3520,$A90,Sales_Data!$F$2:$F$3520,Q$7,Sales_Data!$AE$2:$AE$3520,1),SUMIFS(Sales_Data!$M$2:$M$3520,Sales_Data!$C$2:$C$3520,$A90,Sales_Data!$F$2:$F$3520,Q$7,Sales_Data!$AE$2:$AE$3520,1),SUMIFS(Sales_Data!$N$2:$N$3520,Sales_Data!$C$2:$C$3520,$A90,Sales_Data!$F$2:$F$3520,Q$7,Sales_Data!$AE$2:$AE$3520,1),SUMIFS(Sales_Data!$AE$2:$AE$3520,Sales_Data!$C$2:$C$3520,$A90,Sales_Data!$F$2:$F$3520,Q$7)))</f>
        <v>1</v>
      </c>
      <c r="R90" s="26" t="n">
        <f aca="false">IF(R$7="","",CHOOSE(MATCH($B$4,Lists!$C$2:$C$5,0),SUMIFS(Sales_Data!$O$2:$O$3520,Sales_Data!$C$2:$C$3520,$A90,Sales_Data!$F$2:$F$3520,R$7,Sales_Data!$AE$2:$AE$3520,1),SUMIFS(Sales_Data!$M$2:$M$3520,Sales_Data!$C$2:$C$3520,$A90,Sales_Data!$F$2:$F$3520,R$7,Sales_Data!$AE$2:$AE$3520,1),SUMIFS(Sales_Data!$N$2:$N$3520,Sales_Data!$C$2:$C$3520,$A90,Sales_Data!$F$2:$F$3520,R$7,Sales_Data!$AE$2:$AE$3520,1),SUMIFS(Sales_Data!$AE$2:$AE$3520,Sales_Data!$C$2:$C$3520,$A90,Sales_Data!$F$2:$F$3520,R$7)))</f>
        <v>2</v>
      </c>
      <c r="S90" s="26" t="n">
        <f aca="false">IF(S$7="","",CHOOSE(MATCH($B$4,Lists!$C$2:$C$5,0),SUMIFS(Sales_Data!$O$2:$O$3520,Sales_Data!$C$2:$C$3520,$A90,Sales_Data!$F$2:$F$3520,S$7,Sales_Data!$AE$2:$AE$3520,1),SUMIFS(Sales_Data!$M$2:$M$3520,Sales_Data!$C$2:$C$3520,$A90,Sales_Data!$F$2:$F$3520,S$7,Sales_Data!$AE$2:$AE$3520,1),SUMIFS(Sales_Data!$N$2:$N$3520,Sales_Data!$C$2:$C$3520,$A90,Sales_Data!$F$2:$F$3520,S$7,Sales_Data!$AE$2:$AE$3520,1),SUMIFS(Sales_Data!$AE$2:$AE$3520,Sales_Data!$C$2:$C$3520,$A90,Sales_Data!$F$2:$F$3520,S$7)))</f>
        <v>1</v>
      </c>
      <c r="T90" s="26" t="str">
        <f aca="false">IF(T$7="","",CHOOSE(MATCH($B$4,Lists!$C$2:$C$5,0),SUMIFS(Sales_Data!$O$2:$O$3520,Sales_Data!$C$2:$C$3520,$A90,Sales_Data!$F$2:$F$3520,T$7,Sales_Data!$AE$2:$AE$3520,1),SUMIFS(Sales_Data!$M$2:$M$3520,Sales_Data!$C$2:$C$3520,$A90,Sales_Data!$F$2:$F$3520,T$7,Sales_Data!$AE$2:$AE$3520,1),SUMIFS(Sales_Data!$N$2:$N$3520,Sales_Data!$C$2:$C$3520,$A90,Sales_Data!$F$2:$F$3520,T$7,Sales_Data!$AE$2:$AE$3520,1),SUMIFS(Sales_Data!$AE$2:$AE$3520,Sales_Data!$C$2:$C$3520,$A90,Sales_Data!$F$2:$F$3520,T$7)))</f>
        <v/>
      </c>
      <c r="U90" s="26" t="str">
        <f aca="false">IF(U$7="","",CHOOSE(MATCH($B$4,Lists!$C$2:$C$5,0),SUMIFS(Sales_Data!$O$2:$O$3520,Sales_Data!$C$2:$C$3520,$A90,Sales_Data!$F$2:$F$3520,U$7,Sales_Data!$AE$2:$AE$3520,1),SUMIFS(Sales_Data!$M$2:$M$3520,Sales_Data!$C$2:$C$3520,$A90,Sales_Data!$F$2:$F$3520,U$7,Sales_Data!$AE$2:$AE$3520,1),SUMIFS(Sales_Data!$N$2:$N$3520,Sales_Data!$C$2:$C$3520,$A90,Sales_Data!$F$2:$F$3520,U$7,Sales_Data!$AE$2:$AE$3520,1),SUMIFS(Sales_Data!$AE$2:$AE$3520,Sales_Data!$C$2:$C$3520,$A90,Sales_Data!$F$2:$F$3520,U$7)))</f>
        <v/>
      </c>
      <c r="V90" s="26" t="str">
        <f aca="false">IF(V$7="","",CHOOSE(MATCH($B$4,Lists!$C$2:$C$5,0),SUMIFS(Sales_Data!$O$2:$O$3520,Sales_Data!$C$2:$C$3520,$A90,Sales_Data!$F$2:$F$3520,V$7,Sales_Data!$AE$2:$AE$3520,1),SUMIFS(Sales_Data!$M$2:$M$3520,Sales_Data!$C$2:$C$3520,$A90,Sales_Data!$F$2:$F$3520,V$7,Sales_Data!$AE$2:$AE$3520,1),SUMIFS(Sales_Data!$N$2:$N$3520,Sales_Data!$C$2:$C$3520,$A90,Sales_Data!$F$2:$F$3520,V$7,Sales_Data!$AE$2:$AE$3520,1),SUMIFS(Sales_Data!$AE$2:$AE$3520,Sales_Data!$C$2:$C$3520,$A90,Sales_Data!$F$2:$F$3520,V$7)))</f>
        <v/>
      </c>
      <c r="W90" s="26" t="str">
        <f aca="false">IF(W$7="","",CHOOSE(MATCH($B$4,Lists!$C$2:$C$5,0),SUMIFS(Sales_Data!$O$2:$O$3520,Sales_Data!$C$2:$C$3520,$A90,Sales_Data!$F$2:$F$3520,W$7,Sales_Data!$AE$2:$AE$3520,1),SUMIFS(Sales_Data!$M$2:$M$3520,Sales_Data!$C$2:$C$3520,$A90,Sales_Data!$F$2:$F$3520,W$7,Sales_Data!$AE$2:$AE$3520,1),SUMIFS(Sales_Data!$N$2:$N$3520,Sales_Data!$C$2:$C$3520,$A90,Sales_Data!$F$2:$F$3520,W$7,Sales_Data!$AE$2:$AE$3520,1),SUMIFS(Sales_Data!$AE$2:$AE$3520,Sales_Data!$C$2:$C$3520,$A90,Sales_Data!$F$2:$F$3520,W$7)))</f>
        <v/>
      </c>
      <c r="X90" s="26" t="str">
        <f aca="false">IF(X$7="","",CHOOSE(MATCH($B$4,Lists!$C$2:$C$5,0),SUMIFS(Sales_Data!$O$2:$O$3520,Sales_Data!$C$2:$C$3520,$A90,Sales_Data!$F$2:$F$3520,X$7,Sales_Data!$AE$2:$AE$3520,1),SUMIFS(Sales_Data!$M$2:$M$3520,Sales_Data!$C$2:$C$3520,$A90,Sales_Data!$F$2:$F$3520,X$7,Sales_Data!$AE$2:$AE$3520,1),SUMIFS(Sales_Data!$N$2:$N$3520,Sales_Data!$C$2:$C$3520,$A90,Sales_Data!$F$2:$F$3520,X$7,Sales_Data!$AE$2:$AE$3520,1),SUMIFS(Sales_Data!$AE$2:$AE$3520,Sales_Data!$C$2:$C$3520,$A90,Sales_Data!$F$2:$F$3520,X$7)))</f>
        <v/>
      </c>
      <c r="Y90" s="26" t="str">
        <f aca="false">IF(Y$7="","",CHOOSE(MATCH($B$4,Lists!$C$2:$C$5,0),SUMIFS(Sales_Data!$O$2:$O$3520,Sales_Data!$C$2:$C$3520,$A90,Sales_Data!$F$2:$F$3520,Y$7,Sales_Data!$AE$2:$AE$3520,1),SUMIFS(Sales_Data!$M$2:$M$3520,Sales_Data!$C$2:$C$3520,$A90,Sales_Data!$F$2:$F$3520,Y$7,Sales_Data!$AE$2:$AE$3520,1),SUMIFS(Sales_Data!$N$2:$N$3520,Sales_Data!$C$2:$C$3520,$A90,Sales_Data!$F$2:$F$3520,Y$7,Sales_Data!$AE$2:$AE$3520,1),SUMIFS(Sales_Data!$AE$2:$AE$3520,Sales_Data!$C$2:$C$3520,$A90,Sales_Data!$F$2:$F$3520,Y$7)))</f>
        <v/>
      </c>
      <c r="Z90" s="26" t="str">
        <f aca="false">IF(Z$7="","",CHOOSE(MATCH($B$4,Lists!$C$2:$C$5,0),SUMIFS(Sales_Data!$O$2:$O$3520,Sales_Data!$C$2:$C$3520,$A90,Sales_Data!$F$2:$F$3520,Z$7,Sales_Data!$AE$2:$AE$3520,1),SUMIFS(Sales_Data!$M$2:$M$3520,Sales_Data!$C$2:$C$3520,$A90,Sales_Data!$F$2:$F$3520,Z$7,Sales_Data!$AE$2:$AE$3520,1),SUMIFS(Sales_Data!$N$2:$N$3520,Sales_Data!$C$2:$C$3520,$A90,Sales_Data!$F$2:$F$3520,Z$7,Sales_Data!$AE$2:$AE$3520,1),SUMIFS(Sales_Data!$AE$2:$AE$3520,Sales_Data!$C$2:$C$3520,$A90,Sales_Data!$F$2:$F$3520,Z$7)))</f>
        <v/>
      </c>
      <c r="AA90" s="27" t="n">
        <f aca="false">SUM(B90:Z90)</f>
        <v>9</v>
      </c>
      <c r="AB90" s="3"/>
      <c r="AC90" s="72" t="n">
        <f aca="false">A90</f>
        <v>46297</v>
      </c>
      <c r="AD90" s="28" t="n">
        <f aca="false">IF(B90="","",B90-B89)</f>
        <v>2</v>
      </c>
      <c r="AE90" s="28" t="n">
        <f aca="false">IF(C90="","",C90-C89)</f>
        <v>1</v>
      </c>
      <c r="AF90" s="28" t="n">
        <f aca="false">IF(D90="","",D90-D89)</f>
        <v>0</v>
      </c>
      <c r="AG90" s="28" t="n">
        <f aca="false">IF(E90="","",E90-E89)</f>
        <v>2</v>
      </c>
      <c r="AH90" s="28" t="n">
        <f aca="false">IF(F90="","",F90-F89)</f>
        <v>0</v>
      </c>
      <c r="AI90" s="28" t="n">
        <f aca="false">IF(G90="","",G90-G89)</f>
        <v>0</v>
      </c>
      <c r="AJ90" s="28" t="n">
        <f aca="false">IF(H90="","",H90-H89)</f>
        <v>0</v>
      </c>
      <c r="AK90" s="28" t="n">
        <f aca="false">IF(I90="","",I90-I89)</f>
        <v>0</v>
      </c>
      <c r="AL90" s="28" t="n">
        <f aca="false">IF(J90="","",J90-J89)</f>
        <v>0</v>
      </c>
      <c r="AM90" s="28" t="n">
        <f aca="false">IF(K90="","",K90-K89)</f>
        <v>0</v>
      </c>
      <c r="AN90" s="28" t="n">
        <f aca="false">IF(L90="","",L90-L89)</f>
        <v>0</v>
      </c>
      <c r="AO90" s="28" t="n">
        <f aca="false">IF(M90="","",M90-M89)</f>
        <v>0</v>
      </c>
      <c r="AP90" s="28" t="n">
        <f aca="false">IF(N90="","",N90-N89)</f>
        <v>0</v>
      </c>
      <c r="AQ90" s="28" t="n">
        <f aca="false">IF(O90="","",O90-O89)</f>
        <v>0</v>
      </c>
      <c r="AR90" s="28" t="n">
        <f aca="false">IF(P90="","",P90-P89)</f>
        <v>0</v>
      </c>
      <c r="AS90" s="28" t="n">
        <f aca="false">IF(Q90="","",Q90-Q89)</f>
        <v>1</v>
      </c>
      <c r="AT90" s="28" t="n">
        <f aca="false">IF(R90="","",R90-R89)</f>
        <v>2</v>
      </c>
      <c r="AU90" s="28" t="n">
        <f aca="false">IF(S90="","",S90-S89)</f>
        <v>1</v>
      </c>
      <c r="AV90" s="28" t="str">
        <f aca="false">IF(T90="","",T90-T89)</f>
        <v/>
      </c>
      <c r="AW90" s="28" t="str">
        <f aca="false">IF(U90="","",U90-U89)</f>
        <v/>
      </c>
      <c r="AX90" s="28" t="str">
        <f aca="false">IF(V90="","",V90-V89)</f>
        <v/>
      </c>
      <c r="AY90" s="28" t="str">
        <f aca="false">IF(W90="","",W90-W89)</f>
        <v/>
      </c>
      <c r="AZ90" s="28" t="str">
        <f aca="false">IF(X90="","",X90-X89)</f>
        <v/>
      </c>
      <c r="BA90" s="28" t="str">
        <f aca="false">IF(Y90="","",Y90-Y89)</f>
        <v/>
      </c>
      <c r="BB90" s="28" t="str">
        <f aca="false">IF(Z90="","",Z90-Z89)</f>
        <v/>
      </c>
      <c r="BC90" s="28" t="n">
        <f aca="false">IF(AA90="","",AA90-AA89)</f>
        <v>9</v>
      </c>
    </row>
    <row r="91" customFormat="false" ht="15" hidden="false" customHeight="false" outlineLevel="0" collapsed="false">
      <c r="A91" s="72" t="n">
        <v>46298</v>
      </c>
      <c r="B91" s="26" t="n">
        <f aca="false">IF(B$7="","",CHOOSE(MATCH($B$4,Lists!$C$2:$C$5,0),SUMIFS(Sales_Data!$O$2:$O$3520,Sales_Data!$C$2:$C$3520,$A91,Sales_Data!$F$2:$F$3520,B$7,Sales_Data!$AE$2:$AE$3520,1),SUMIFS(Sales_Data!$M$2:$M$3520,Sales_Data!$C$2:$C$3520,$A91,Sales_Data!$F$2:$F$3520,B$7,Sales_Data!$AE$2:$AE$3520,1),SUMIFS(Sales_Data!$N$2:$N$3520,Sales_Data!$C$2:$C$3520,$A91,Sales_Data!$F$2:$F$3520,B$7,Sales_Data!$AE$2:$AE$3520,1),SUMIFS(Sales_Data!$AE$2:$AE$3520,Sales_Data!$C$2:$C$3520,$A91,Sales_Data!$F$2:$F$3520,B$7)))</f>
        <v>0</v>
      </c>
      <c r="C91" s="26" t="n">
        <f aca="false">IF(C$7="","",CHOOSE(MATCH($B$4,Lists!$C$2:$C$5,0),SUMIFS(Sales_Data!$O$2:$O$3520,Sales_Data!$C$2:$C$3520,$A91,Sales_Data!$F$2:$F$3520,C$7,Sales_Data!$AE$2:$AE$3520,1),SUMIFS(Sales_Data!$M$2:$M$3520,Sales_Data!$C$2:$C$3520,$A91,Sales_Data!$F$2:$F$3520,C$7,Sales_Data!$AE$2:$AE$3520,1),SUMIFS(Sales_Data!$N$2:$N$3520,Sales_Data!$C$2:$C$3520,$A91,Sales_Data!$F$2:$F$3520,C$7,Sales_Data!$AE$2:$AE$3520,1),SUMIFS(Sales_Data!$AE$2:$AE$3520,Sales_Data!$C$2:$C$3520,$A91,Sales_Data!$F$2:$F$3520,C$7)))</f>
        <v>0</v>
      </c>
      <c r="D91" s="26" t="n">
        <f aca="false">IF(D$7="","",CHOOSE(MATCH($B$4,Lists!$C$2:$C$5,0),SUMIFS(Sales_Data!$O$2:$O$3520,Sales_Data!$C$2:$C$3520,$A91,Sales_Data!$F$2:$F$3520,D$7,Sales_Data!$AE$2:$AE$3520,1),SUMIFS(Sales_Data!$M$2:$M$3520,Sales_Data!$C$2:$C$3520,$A91,Sales_Data!$F$2:$F$3520,D$7,Sales_Data!$AE$2:$AE$3520,1),SUMIFS(Sales_Data!$N$2:$N$3520,Sales_Data!$C$2:$C$3520,$A91,Sales_Data!$F$2:$F$3520,D$7,Sales_Data!$AE$2:$AE$3520,1),SUMIFS(Sales_Data!$AE$2:$AE$3520,Sales_Data!$C$2:$C$3520,$A91,Sales_Data!$F$2:$F$3520,D$7)))</f>
        <v>0</v>
      </c>
      <c r="E91" s="26" t="n">
        <f aca="false">IF(E$7="","",CHOOSE(MATCH($B$4,Lists!$C$2:$C$5,0),SUMIFS(Sales_Data!$O$2:$O$3520,Sales_Data!$C$2:$C$3520,$A91,Sales_Data!$F$2:$F$3520,E$7,Sales_Data!$AE$2:$AE$3520,1),SUMIFS(Sales_Data!$M$2:$M$3520,Sales_Data!$C$2:$C$3520,$A91,Sales_Data!$F$2:$F$3520,E$7,Sales_Data!$AE$2:$AE$3520,1),SUMIFS(Sales_Data!$N$2:$N$3520,Sales_Data!$C$2:$C$3520,$A91,Sales_Data!$F$2:$F$3520,E$7,Sales_Data!$AE$2:$AE$3520,1),SUMIFS(Sales_Data!$AE$2:$AE$3520,Sales_Data!$C$2:$C$3520,$A91,Sales_Data!$F$2:$F$3520,E$7)))</f>
        <v>0</v>
      </c>
      <c r="F91" s="26" t="n">
        <f aca="false">IF(F$7="","",CHOOSE(MATCH($B$4,Lists!$C$2:$C$5,0),SUMIFS(Sales_Data!$O$2:$O$3520,Sales_Data!$C$2:$C$3520,$A91,Sales_Data!$F$2:$F$3520,F$7,Sales_Data!$AE$2:$AE$3520,1),SUMIFS(Sales_Data!$M$2:$M$3520,Sales_Data!$C$2:$C$3520,$A91,Sales_Data!$F$2:$F$3520,F$7,Sales_Data!$AE$2:$AE$3520,1),SUMIFS(Sales_Data!$N$2:$N$3520,Sales_Data!$C$2:$C$3520,$A91,Sales_Data!$F$2:$F$3520,F$7,Sales_Data!$AE$2:$AE$3520,1),SUMIFS(Sales_Data!$AE$2:$AE$3520,Sales_Data!$C$2:$C$3520,$A91,Sales_Data!$F$2:$F$3520,F$7)))</f>
        <v>0</v>
      </c>
      <c r="G91" s="26" t="n">
        <f aca="false">IF(G$7="","",CHOOSE(MATCH($B$4,Lists!$C$2:$C$5,0),SUMIFS(Sales_Data!$O$2:$O$3520,Sales_Data!$C$2:$C$3520,$A91,Sales_Data!$F$2:$F$3520,G$7,Sales_Data!$AE$2:$AE$3520,1),SUMIFS(Sales_Data!$M$2:$M$3520,Sales_Data!$C$2:$C$3520,$A91,Sales_Data!$F$2:$F$3520,G$7,Sales_Data!$AE$2:$AE$3520,1),SUMIFS(Sales_Data!$N$2:$N$3520,Sales_Data!$C$2:$C$3520,$A91,Sales_Data!$F$2:$F$3520,G$7,Sales_Data!$AE$2:$AE$3520,1),SUMIFS(Sales_Data!$AE$2:$AE$3520,Sales_Data!$C$2:$C$3520,$A91,Sales_Data!$F$2:$F$3520,G$7)))</f>
        <v>0</v>
      </c>
      <c r="H91" s="26" t="n">
        <f aca="false">IF(H$7="","",CHOOSE(MATCH($B$4,Lists!$C$2:$C$5,0),SUMIFS(Sales_Data!$O$2:$O$3520,Sales_Data!$C$2:$C$3520,$A91,Sales_Data!$F$2:$F$3520,H$7,Sales_Data!$AE$2:$AE$3520,1),SUMIFS(Sales_Data!$M$2:$M$3520,Sales_Data!$C$2:$C$3520,$A91,Sales_Data!$F$2:$F$3520,H$7,Sales_Data!$AE$2:$AE$3520,1),SUMIFS(Sales_Data!$N$2:$N$3520,Sales_Data!$C$2:$C$3520,$A91,Sales_Data!$F$2:$F$3520,H$7,Sales_Data!$AE$2:$AE$3520,1),SUMIFS(Sales_Data!$AE$2:$AE$3520,Sales_Data!$C$2:$C$3520,$A91,Sales_Data!$F$2:$F$3520,H$7)))</f>
        <v>0</v>
      </c>
      <c r="I91" s="26" t="n">
        <f aca="false">IF(I$7="","",CHOOSE(MATCH($B$4,Lists!$C$2:$C$5,0),SUMIFS(Sales_Data!$O$2:$O$3520,Sales_Data!$C$2:$C$3520,$A91,Sales_Data!$F$2:$F$3520,I$7,Sales_Data!$AE$2:$AE$3520,1),SUMIFS(Sales_Data!$M$2:$M$3520,Sales_Data!$C$2:$C$3520,$A91,Sales_Data!$F$2:$F$3520,I$7,Sales_Data!$AE$2:$AE$3520,1),SUMIFS(Sales_Data!$N$2:$N$3520,Sales_Data!$C$2:$C$3520,$A91,Sales_Data!$F$2:$F$3520,I$7,Sales_Data!$AE$2:$AE$3520,1),SUMIFS(Sales_Data!$AE$2:$AE$3520,Sales_Data!$C$2:$C$3520,$A91,Sales_Data!$F$2:$F$3520,I$7)))</f>
        <v>0</v>
      </c>
      <c r="J91" s="26" t="n">
        <f aca="false">IF(J$7="","",CHOOSE(MATCH($B$4,Lists!$C$2:$C$5,0),SUMIFS(Sales_Data!$O$2:$O$3520,Sales_Data!$C$2:$C$3520,$A91,Sales_Data!$F$2:$F$3520,J$7,Sales_Data!$AE$2:$AE$3520,1),SUMIFS(Sales_Data!$M$2:$M$3520,Sales_Data!$C$2:$C$3520,$A91,Sales_Data!$F$2:$F$3520,J$7,Sales_Data!$AE$2:$AE$3520,1),SUMIFS(Sales_Data!$N$2:$N$3520,Sales_Data!$C$2:$C$3520,$A91,Sales_Data!$F$2:$F$3520,J$7,Sales_Data!$AE$2:$AE$3520,1),SUMIFS(Sales_Data!$AE$2:$AE$3520,Sales_Data!$C$2:$C$3520,$A91,Sales_Data!$F$2:$F$3520,J$7)))</f>
        <v>0</v>
      </c>
      <c r="K91" s="26" t="n">
        <f aca="false">IF(K$7="","",CHOOSE(MATCH($B$4,Lists!$C$2:$C$5,0),SUMIFS(Sales_Data!$O$2:$O$3520,Sales_Data!$C$2:$C$3520,$A91,Sales_Data!$F$2:$F$3520,K$7,Sales_Data!$AE$2:$AE$3520,1),SUMIFS(Sales_Data!$M$2:$M$3520,Sales_Data!$C$2:$C$3520,$A91,Sales_Data!$F$2:$F$3520,K$7,Sales_Data!$AE$2:$AE$3520,1),SUMIFS(Sales_Data!$N$2:$N$3520,Sales_Data!$C$2:$C$3520,$A91,Sales_Data!$F$2:$F$3520,K$7,Sales_Data!$AE$2:$AE$3520,1),SUMIFS(Sales_Data!$AE$2:$AE$3520,Sales_Data!$C$2:$C$3520,$A91,Sales_Data!$F$2:$F$3520,K$7)))</f>
        <v>0</v>
      </c>
      <c r="L91" s="26" t="n">
        <f aca="false">IF(L$7="","",CHOOSE(MATCH($B$4,Lists!$C$2:$C$5,0),SUMIFS(Sales_Data!$O$2:$O$3520,Sales_Data!$C$2:$C$3520,$A91,Sales_Data!$F$2:$F$3520,L$7,Sales_Data!$AE$2:$AE$3520,1),SUMIFS(Sales_Data!$M$2:$M$3520,Sales_Data!$C$2:$C$3520,$A91,Sales_Data!$F$2:$F$3520,L$7,Sales_Data!$AE$2:$AE$3520,1),SUMIFS(Sales_Data!$N$2:$N$3520,Sales_Data!$C$2:$C$3520,$A91,Sales_Data!$F$2:$F$3520,L$7,Sales_Data!$AE$2:$AE$3520,1),SUMIFS(Sales_Data!$AE$2:$AE$3520,Sales_Data!$C$2:$C$3520,$A91,Sales_Data!$F$2:$F$3520,L$7)))</f>
        <v>0</v>
      </c>
      <c r="M91" s="26" t="n">
        <f aca="false">IF(M$7="","",CHOOSE(MATCH($B$4,Lists!$C$2:$C$5,0),SUMIFS(Sales_Data!$O$2:$O$3520,Sales_Data!$C$2:$C$3520,$A91,Sales_Data!$F$2:$F$3520,M$7,Sales_Data!$AE$2:$AE$3520,1),SUMIFS(Sales_Data!$M$2:$M$3520,Sales_Data!$C$2:$C$3520,$A91,Sales_Data!$F$2:$F$3520,M$7,Sales_Data!$AE$2:$AE$3520,1),SUMIFS(Sales_Data!$N$2:$N$3520,Sales_Data!$C$2:$C$3520,$A91,Sales_Data!$F$2:$F$3520,M$7,Sales_Data!$AE$2:$AE$3520,1),SUMIFS(Sales_Data!$AE$2:$AE$3520,Sales_Data!$C$2:$C$3520,$A91,Sales_Data!$F$2:$F$3520,M$7)))</f>
        <v>0</v>
      </c>
      <c r="N91" s="26" t="n">
        <f aca="false">IF(N$7="","",CHOOSE(MATCH($B$4,Lists!$C$2:$C$5,0),SUMIFS(Sales_Data!$O$2:$O$3520,Sales_Data!$C$2:$C$3520,$A91,Sales_Data!$F$2:$F$3520,N$7,Sales_Data!$AE$2:$AE$3520,1),SUMIFS(Sales_Data!$M$2:$M$3520,Sales_Data!$C$2:$C$3520,$A91,Sales_Data!$F$2:$F$3520,N$7,Sales_Data!$AE$2:$AE$3520,1),SUMIFS(Sales_Data!$N$2:$N$3520,Sales_Data!$C$2:$C$3520,$A91,Sales_Data!$F$2:$F$3520,N$7,Sales_Data!$AE$2:$AE$3520,1),SUMIFS(Sales_Data!$AE$2:$AE$3520,Sales_Data!$C$2:$C$3520,$A91,Sales_Data!$F$2:$F$3520,N$7)))</f>
        <v>0</v>
      </c>
      <c r="O91" s="26" t="n">
        <f aca="false">IF(O$7="","",CHOOSE(MATCH($B$4,Lists!$C$2:$C$5,0),SUMIFS(Sales_Data!$O$2:$O$3520,Sales_Data!$C$2:$C$3520,$A91,Sales_Data!$F$2:$F$3520,O$7,Sales_Data!$AE$2:$AE$3520,1),SUMIFS(Sales_Data!$M$2:$M$3520,Sales_Data!$C$2:$C$3520,$A91,Sales_Data!$F$2:$F$3520,O$7,Sales_Data!$AE$2:$AE$3520,1),SUMIFS(Sales_Data!$N$2:$N$3520,Sales_Data!$C$2:$C$3520,$A91,Sales_Data!$F$2:$F$3520,O$7,Sales_Data!$AE$2:$AE$3520,1),SUMIFS(Sales_Data!$AE$2:$AE$3520,Sales_Data!$C$2:$C$3520,$A91,Sales_Data!$F$2:$F$3520,O$7)))</f>
        <v>0</v>
      </c>
      <c r="P91" s="26" t="n">
        <f aca="false">IF(P$7="","",CHOOSE(MATCH($B$4,Lists!$C$2:$C$5,0),SUMIFS(Sales_Data!$O$2:$O$3520,Sales_Data!$C$2:$C$3520,$A91,Sales_Data!$F$2:$F$3520,P$7,Sales_Data!$AE$2:$AE$3520,1),SUMIFS(Sales_Data!$M$2:$M$3520,Sales_Data!$C$2:$C$3520,$A91,Sales_Data!$F$2:$F$3520,P$7,Sales_Data!$AE$2:$AE$3520,1),SUMIFS(Sales_Data!$N$2:$N$3520,Sales_Data!$C$2:$C$3520,$A91,Sales_Data!$F$2:$F$3520,P$7,Sales_Data!$AE$2:$AE$3520,1),SUMIFS(Sales_Data!$AE$2:$AE$3520,Sales_Data!$C$2:$C$3520,$A91,Sales_Data!$F$2:$F$3520,P$7)))</f>
        <v>0</v>
      </c>
      <c r="Q91" s="26" t="n">
        <f aca="false">IF(Q$7="","",CHOOSE(MATCH($B$4,Lists!$C$2:$C$5,0),SUMIFS(Sales_Data!$O$2:$O$3520,Sales_Data!$C$2:$C$3520,$A91,Sales_Data!$F$2:$F$3520,Q$7,Sales_Data!$AE$2:$AE$3520,1),SUMIFS(Sales_Data!$M$2:$M$3520,Sales_Data!$C$2:$C$3520,$A91,Sales_Data!$F$2:$F$3520,Q$7,Sales_Data!$AE$2:$AE$3520,1),SUMIFS(Sales_Data!$N$2:$N$3520,Sales_Data!$C$2:$C$3520,$A91,Sales_Data!$F$2:$F$3520,Q$7,Sales_Data!$AE$2:$AE$3520,1),SUMIFS(Sales_Data!$AE$2:$AE$3520,Sales_Data!$C$2:$C$3520,$A91,Sales_Data!$F$2:$F$3520,Q$7)))</f>
        <v>0</v>
      </c>
      <c r="R91" s="26" t="n">
        <f aca="false">IF(R$7="","",CHOOSE(MATCH($B$4,Lists!$C$2:$C$5,0),SUMIFS(Sales_Data!$O$2:$O$3520,Sales_Data!$C$2:$C$3520,$A91,Sales_Data!$F$2:$F$3520,R$7,Sales_Data!$AE$2:$AE$3520,1),SUMIFS(Sales_Data!$M$2:$M$3520,Sales_Data!$C$2:$C$3520,$A91,Sales_Data!$F$2:$F$3520,R$7,Sales_Data!$AE$2:$AE$3520,1),SUMIFS(Sales_Data!$N$2:$N$3520,Sales_Data!$C$2:$C$3520,$A91,Sales_Data!$F$2:$F$3520,R$7,Sales_Data!$AE$2:$AE$3520,1),SUMIFS(Sales_Data!$AE$2:$AE$3520,Sales_Data!$C$2:$C$3520,$A91,Sales_Data!$F$2:$F$3520,R$7)))</f>
        <v>0</v>
      </c>
      <c r="S91" s="26" t="n">
        <f aca="false">IF(S$7="","",CHOOSE(MATCH($B$4,Lists!$C$2:$C$5,0),SUMIFS(Sales_Data!$O$2:$O$3520,Sales_Data!$C$2:$C$3520,$A91,Sales_Data!$F$2:$F$3520,S$7,Sales_Data!$AE$2:$AE$3520,1),SUMIFS(Sales_Data!$M$2:$M$3520,Sales_Data!$C$2:$C$3520,$A91,Sales_Data!$F$2:$F$3520,S$7,Sales_Data!$AE$2:$AE$3520,1),SUMIFS(Sales_Data!$N$2:$N$3520,Sales_Data!$C$2:$C$3520,$A91,Sales_Data!$F$2:$F$3520,S$7,Sales_Data!$AE$2:$AE$3520,1),SUMIFS(Sales_Data!$AE$2:$AE$3520,Sales_Data!$C$2:$C$3520,$A91,Sales_Data!$F$2:$F$3520,S$7)))</f>
        <v>0</v>
      </c>
      <c r="T91" s="26" t="str">
        <f aca="false">IF(T$7="","",CHOOSE(MATCH($B$4,Lists!$C$2:$C$5,0),SUMIFS(Sales_Data!$O$2:$O$3520,Sales_Data!$C$2:$C$3520,$A91,Sales_Data!$F$2:$F$3520,T$7,Sales_Data!$AE$2:$AE$3520,1),SUMIFS(Sales_Data!$M$2:$M$3520,Sales_Data!$C$2:$C$3520,$A91,Sales_Data!$F$2:$F$3520,T$7,Sales_Data!$AE$2:$AE$3520,1),SUMIFS(Sales_Data!$N$2:$N$3520,Sales_Data!$C$2:$C$3520,$A91,Sales_Data!$F$2:$F$3520,T$7,Sales_Data!$AE$2:$AE$3520,1),SUMIFS(Sales_Data!$AE$2:$AE$3520,Sales_Data!$C$2:$C$3520,$A91,Sales_Data!$F$2:$F$3520,T$7)))</f>
        <v/>
      </c>
      <c r="U91" s="26" t="str">
        <f aca="false">IF(U$7="","",CHOOSE(MATCH($B$4,Lists!$C$2:$C$5,0),SUMIFS(Sales_Data!$O$2:$O$3520,Sales_Data!$C$2:$C$3520,$A91,Sales_Data!$F$2:$F$3520,U$7,Sales_Data!$AE$2:$AE$3520,1),SUMIFS(Sales_Data!$M$2:$M$3520,Sales_Data!$C$2:$C$3520,$A91,Sales_Data!$F$2:$F$3520,U$7,Sales_Data!$AE$2:$AE$3520,1),SUMIFS(Sales_Data!$N$2:$N$3520,Sales_Data!$C$2:$C$3520,$A91,Sales_Data!$F$2:$F$3520,U$7,Sales_Data!$AE$2:$AE$3520,1),SUMIFS(Sales_Data!$AE$2:$AE$3520,Sales_Data!$C$2:$C$3520,$A91,Sales_Data!$F$2:$F$3520,U$7)))</f>
        <v/>
      </c>
      <c r="V91" s="26" t="str">
        <f aca="false">IF(V$7="","",CHOOSE(MATCH($B$4,Lists!$C$2:$C$5,0),SUMIFS(Sales_Data!$O$2:$O$3520,Sales_Data!$C$2:$C$3520,$A91,Sales_Data!$F$2:$F$3520,V$7,Sales_Data!$AE$2:$AE$3520,1),SUMIFS(Sales_Data!$M$2:$M$3520,Sales_Data!$C$2:$C$3520,$A91,Sales_Data!$F$2:$F$3520,V$7,Sales_Data!$AE$2:$AE$3520,1),SUMIFS(Sales_Data!$N$2:$N$3520,Sales_Data!$C$2:$C$3520,$A91,Sales_Data!$F$2:$F$3520,V$7,Sales_Data!$AE$2:$AE$3520,1),SUMIFS(Sales_Data!$AE$2:$AE$3520,Sales_Data!$C$2:$C$3520,$A91,Sales_Data!$F$2:$F$3520,V$7)))</f>
        <v/>
      </c>
      <c r="W91" s="26" t="str">
        <f aca="false">IF(W$7="","",CHOOSE(MATCH($B$4,Lists!$C$2:$C$5,0),SUMIFS(Sales_Data!$O$2:$O$3520,Sales_Data!$C$2:$C$3520,$A91,Sales_Data!$F$2:$F$3520,W$7,Sales_Data!$AE$2:$AE$3520,1),SUMIFS(Sales_Data!$M$2:$M$3520,Sales_Data!$C$2:$C$3520,$A91,Sales_Data!$F$2:$F$3520,W$7,Sales_Data!$AE$2:$AE$3520,1),SUMIFS(Sales_Data!$N$2:$N$3520,Sales_Data!$C$2:$C$3520,$A91,Sales_Data!$F$2:$F$3520,W$7,Sales_Data!$AE$2:$AE$3520,1),SUMIFS(Sales_Data!$AE$2:$AE$3520,Sales_Data!$C$2:$C$3520,$A91,Sales_Data!$F$2:$F$3520,W$7)))</f>
        <v/>
      </c>
      <c r="X91" s="26" t="str">
        <f aca="false">IF(X$7="","",CHOOSE(MATCH($B$4,Lists!$C$2:$C$5,0),SUMIFS(Sales_Data!$O$2:$O$3520,Sales_Data!$C$2:$C$3520,$A91,Sales_Data!$F$2:$F$3520,X$7,Sales_Data!$AE$2:$AE$3520,1),SUMIFS(Sales_Data!$M$2:$M$3520,Sales_Data!$C$2:$C$3520,$A91,Sales_Data!$F$2:$F$3520,X$7,Sales_Data!$AE$2:$AE$3520,1),SUMIFS(Sales_Data!$N$2:$N$3520,Sales_Data!$C$2:$C$3520,$A91,Sales_Data!$F$2:$F$3520,X$7,Sales_Data!$AE$2:$AE$3520,1),SUMIFS(Sales_Data!$AE$2:$AE$3520,Sales_Data!$C$2:$C$3520,$A91,Sales_Data!$F$2:$F$3520,X$7)))</f>
        <v/>
      </c>
      <c r="Y91" s="26" t="str">
        <f aca="false">IF(Y$7="","",CHOOSE(MATCH($B$4,Lists!$C$2:$C$5,0),SUMIFS(Sales_Data!$O$2:$O$3520,Sales_Data!$C$2:$C$3520,$A91,Sales_Data!$F$2:$F$3520,Y$7,Sales_Data!$AE$2:$AE$3520,1),SUMIFS(Sales_Data!$M$2:$M$3520,Sales_Data!$C$2:$C$3520,$A91,Sales_Data!$F$2:$F$3520,Y$7,Sales_Data!$AE$2:$AE$3520,1),SUMIFS(Sales_Data!$N$2:$N$3520,Sales_Data!$C$2:$C$3520,$A91,Sales_Data!$F$2:$F$3520,Y$7,Sales_Data!$AE$2:$AE$3520,1),SUMIFS(Sales_Data!$AE$2:$AE$3520,Sales_Data!$C$2:$C$3520,$A91,Sales_Data!$F$2:$F$3520,Y$7)))</f>
        <v/>
      </c>
      <c r="Z91" s="26" t="str">
        <f aca="false">IF(Z$7="","",CHOOSE(MATCH($B$4,Lists!$C$2:$C$5,0),SUMIFS(Sales_Data!$O$2:$O$3520,Sales_Data!$C$2:$C$3520,$A91,Sales_Data!$F$2:$F$3520,Z$7,Sales_Data!$AE$2:$AE$3520,1),SUMIFS(Sales_Data!$M$2:$M$3520,Sales_Data!$C$2:$C$3520,$A91,Sales_Data!$F$2:$F$3520,Z$7,Sales_Data!$AE$2:$AE$3520,1),SUMIFS(Sales_Data!$N$2:$N$3520,Sales_Data!$C$2:$C$3520,$A91,Sales_Data!$F$2:$F$3520,Z$7,Sales_Data!$AE$2:$AE$3520,1),SUMIFS(Sales_Data!$AE$2:$AE$3520,Sales_Data!$C$2:$C$3520,$A91,Sales_Data!$F$2:$F$3520,Z$7)))</f>
        <v/>
      </c>
      <c r="AA91" s="27" t="n">
        <f aca="false">SUM(B91:Z91)</f>
        <v>0</v>
      </c>
      <c r="AB91" s="3"/>
      <c r="AC91" s="72" t="n">
        <f aca="false">A91</f>
        <v>46298</v>
      </c>
      <c r="AD91" s="28" t="n">
        <f aca="false">IF(B91="","",B91-B90)</f>
        <v>-2</v>
      </c>
      <c r="AE91" s="28" t="n">
        <f aca="false">IF(C91="","",C91-C90)</f>
        <v>-1</v>
      </c>
      <c r="AF91" s="28" t="n">
        <f aca="false">IF(D91="","",D91-D90)</f>
        <v>0</v>
      </c>
      <c r="AG91" s="28" t="n">
        <f aca="false">IF(E91="","",E91-E90)</f>
        <v>-2</v>
      </c>
      <c r="AH91" s="28" t="n">
        <f aca="false">IF(F91="","",F91-F90)</f>
        <v>0</v>
      </c>
      <c r="AI91" s="28" t="n">
        <f aca="false">IF(G91="","",G91-G90)</f>
        <v>0</v>
      </c>
      <c r="AJ91" s="28" t="n">
        <f aca="false">IF(H91="","",H91-H90)</f>
        <v>0</v>
      </c>
      <c r="AK91" s="28" t="n">
        <f aca="false">IF(I91="","",I91-I90)</f>
        <v>0</v>
      </c>
      <c r="AL91" s="28" t="n">
        <f aca="false">IF(J91="","",J91-J90)</f>
        <v>0</v>
      </c>
      <c r="AM91" s="28" t="n">
        <f aca="false">IF(K91="","",K91-K90)</f>
        <v>0</v>
      </c>
      <c r="AN91" s="28" t="n">
        <f aca="false">IF(L91="","",L91-L90)</f>
        <v>0</v>
      </c>
      <c r="AO91" s="28" t="n">
        <f aca="false">IF(M91="","",M91-M90)</f>
        <v>0</v>
      </c>
      <c r="AP91" s="28" t="n">
        <f aca="false">IF(N91="","",N91-N90)</f>
        <v>0</v>
      </c>
      <c r="AQ91" s="28" t="n">
        <f aca="false">IF(O91="","",O91-O90)</f>
        <v>0</v>
      </c>
      <c r="AR91" s="28" t="n">
        <f aca="false">IF(P91="","",P91-P90)</f>
        <v>0</v>
      </c>
      <c r="AS91" s="28" t="n">
        <f aca="false">IF(Q91="","",Q91-Q90)</f>
        <v>-1</v>
      </c>
      <c r="AT91" s="28" t="n">
        <f aca="false">IF(R91="","",R91-R90)</f>
        <v>-2</v>
      </c>
      <c r="AU91" s="28" t="n">
        <f aca="false">IF(S91="","",S91-S90)</f>
        <v>-1</v>
      </c>
      <c r="AV91" s="28" t="str">
        <f aca="false">IF(T91="","",T91-T90)</f>
        <v/>
      </c>
      <c r="AW91" s="28" t="str">
        <f aca="false">IF(U91="","",U91-U90)</f>
        <v/>
      </c>
      <c r="AX91" s="28" t="str">
        <f aca="false">IF(V91="","",V91-V90)</f>
        <v/>
      </c>
      <c r="AY91" s="28" t="str">
        <f aca="false">IF(W91="","",W91-W90)</f>
        <v/>
      </c>
      <c r="AZ91" s="28" t="str">
        <f aca="false">IF(X91="","",X91-X90)</f>
        <v/>
      </c>
      <c r="BA91" s="28" t="str">
        <f aca="false">IF(Y91="","",Y91-Y90)</f>
        <v/>
      </c>
      <c r="BB91" s="28" t="str">
        <f aca="false">IF(Z91="","",Z91-Z90)</f>
        <v/>
      </c>
      <c r="BC91" s="28" t="n">
        <f aca="false">IF(AA91="","",AA91-AA90)</f>
        <v>-9</v>
      </c>
    </row>
    <row r="92" customFormat="false" ht="15" hidden="false" customHeight="false" outlineLevel="0" collapsed="false">
      <c r="A92" s="72" t="n">
        <v>46299</v>
      </c>
      <c r="B92" s="26" t="n">
        <f aca="false">IF(B$7="","",CHOOSE(MATCH($B$4,Lists!$C$2:$C$5,0),SUMIFS(Sales_Data!$O$2:$O$3520,Sales_Data!$C$2:$C$3520,$A92,Sales_Data!$F$2:$F$3520,B$7,Sales_Data!$AE$2:$AE$3520,1),SUMIFS(Sales_Data!$M$2:$M$3520,Sales_Data!$C$2:$C$3520,$A92,Sales_Data!$F$2:$F$3520,B$7,Sales_Data!$AE$2:$AE$3520,1),SUMIFS(Sales_Data!$N$2:$N$3520,Sales_Data!$C$2:$C$3520,$A92,Sales_Data!$F$2:$F$3520,B$7,Sales_Data!$AE$2:$AE$3520,1),SUMIFS(Sales_Data!$AE$2:$AE$3520,Sales_Data!$C$2:$C$3520,$A92,Sales_Data!$F$2:$F$3520,B$7)))</f>
        <v>0</v>
      </c>
      <c r="C92" s="26" t="n">
        <f aca="false">IF(C$7="","",CHOOSE(MATCH($B$4,Lists!$C$2:$C$5,0),SUMIFS(Sales_Data!$O$2:$O$3520,Sales_Data!$C$2:$C$3520,$A92,Sales_Data!$F$2:$F$3520,C$7,Sales_Data!$AE$2:$AE$3520,1),SUMIFS(Sales_Data!$M$2:$M$3520,Sales_Data!$C$2:$C$3520,$A92,Sales_Data!$F$2:$F$3520,C$7,Sales_Data!$AE$2:$AE$3520,1),SUMIFS(Sales_Data!$N$2:$N$3520,Sales_Data!$C$2:$C$3520,$A92,Sales_Data!$F$2:$F$3520,C$7,Sales_Data!$AE$2:$AE$3520,1),SUMIFS(Sales_Data!$AE$2:$AE$3520,Sales_Data!$C$2:$C$3520,$A92,Sales_Data!$F$2:$F$3520,C$7)))</f>
        <v>0</v>
      </c>
      <c r="D92" s="26" t="n">
        <f aca="false">IF(D$7="","",CHOOSE(MATCH($B$4,Lists!$C$2:$C$5,0),SUMIFS(Sales_Data!$O$2:$O$3520,Sales_Data!$C$2:$C$3520,$A92,Sales_Data!$F$2:$F$3520,D$7,Sales_Data!$AE$2:$AE$3520,1),SUMIFS(Sales_Data!$M$2:$M$3520,Sales_Data!$C$2:$C$3520,$A92,Sales_Data!$F$2:$F$3520,D$7,Sales_Data!$AE$2:$AE$3520,1),SUMIFS(Sales_Data!$N$2:$N$3520,Sales_Data!$C$2:$C$3520,$A92,Sales_Data!$F$2:$F$3520,D$7,Sales_Data!$AE$2:$AE$3520,1),SUMIFS(Sales_Data!$AE$2:$AE$3520,Sales_Data!$C$2:$C$3520,$A92,Sales_Data!$F$2:$F$3520,D$7)))</f>
        <v>0</v>
      </c>
      <c r="E92" s="26" t="n">
        <f aca="false">IF(E$7="","",CHOOSE(MATCH($B$4,Lists!$C$2:$C$5,0),SUMIFS(Sales_Data!$O$2:$O$3520,Sales_Data!$C$2:$C$3520,$A92,Sales_Data!$F$2:$F$3520,E$7,Sales_Data!$AE$2:$AE$3520,1),SUMIFS(Sales_Data!$M$2:$M$3520,Sales_Data!$C$2:$C$3520,$A92,Sales_Data!$F$2:$F$3520,E$7,Sales_Data!$AE$2:$AE$3520,1),SUMIFS(Sales_Data!$N$2:$N$3520,Sales_Data!$C$2:$C$3520,$A92,Sales_Data!$F$2:$F$3520,E$7,Sales_Data!$AE$2:$AE$3520,1),SUMIFS(Sales_Data!$AE$2:$AE$3520,Sales_Data!$C$2:$C$3520,$A92,Sales_Data!$F$2:$F$3520,E$7)))</f>
        <v>0</v>
      </c>
      <c r="F92" s="26" t="n">
        <f aca="false">IF(F$7="","",CHOOSE(MATCH($B$4,Lists!$C$2:$C$5,0),SUMIFS(Sales_Data!$O$2:$O$3520,Sales_Data!$C$2:$C$3520,$A92,Sales_Data!$F$2:$F$3520,F$7,Sales_Data!$AE$2:$AE$3520,1),SUMIFS(Sales_Data!$M$2:$M$3520,Sales_Data!$C$2:$C$3520,$A92,Sales_Data!$F$2:$F$3520,F$7,Sales_Data!$AE$2:$AE$3520,1),SUMIFS(Sales_Data!$N$2:$N$3520,Sales_Data!$C$2:$C$3520,$A92,Sales_Data!$F$2:$F$3520,F$7,Sales_Data!$AE$2:$AE$3520,1),SUMIFS(Sales_Data!$AE$2:$AE$3520,Sales_Data!$C$2:$C$3520,$A92,Sales_Data!$F$2:$F$3520,F$7)))</f>
        <v>0</v>
      </c>
      <c r="G92" s="26" t="n">
        <f aca="false">IF(G$7="","",CHOOSE(MATCH($B$4,Lists!$C$2:$C$5,0),SUMIFS(Sales_Data!$O$2:$O$3520,Sales_Data!$C$2:$C$3520,$A92,Sales_Data!$F$2:$F$3520,G$7,Sales_Data!$AE$2:$AE$3520,1),SUMIFS(Sales_Data!$M$2:$M$3520,Sales_Data!$C$2:$C$3520,$A92,Sales_Data!$F$2:$F$3520,G$7,Sales_Data!$AE$2:$AE$3520,1),SUMIFS(Sales_Data!$N$2:$N$3520,Sales_Data!$C$2:$C$3520,$A92,Sales_Data!$F$2:$F$3520,G$7,Sales_Data!$AE$2:$AE$3520,1),SUMIFS(Sales_Data!$AE$2:$AE$3520,Sales_Data!$C$2:$C$3520,$A92,Sales_Data!$F$2:$F$3520,G$7)))</f>
        <v>4</v>
      </c>
      <c r="H92" s="26" t="n">
        <f aca="false">IF(H$7="","",CHOOSE(MATCH($B$4,Lists!$C$2:$C$5,0),SUMIFS(Sales_Data!$O$2:$O$3520,Sales_Data!$C$2:$C$3520,$A92,Sales_Data!$F$2:$F$3520,H$7,Sales_Data!$AE$2:$AE$3520,1),SUMIFS(Sales_Data!$M$2:$M$3520,Sales_Data!$C$2:$C$3520,$A92,Sales_Data!$F$2:$F$3520,H$7,Sales_Data!$AE$2:$AE$3520,1),SUMIFS(Sales_Data!$N$2:$N$3520,Sales_Data!$C$2:$C$3520,$A92,Sales_Data!$F$2:$F$3520,H$7,Sales_Data!$AE$2:$AE$3520,1),SUMIFS(Sales_Data!$AE$2:$AE$3520,Sales_Data!$C$2:$C$3520,$A92,Sales_Data!$F$2:$F$3520,H$7)))</f>
        <v>0</v>
      </c>
      <c r="I92" s="26" t="n">
        <f aca="false">IF(I$7="","",CHOOSE(MATCH($B$4,Lists!$C$2:$C$5,0),SUMIFS(Sales_Data!$O$2:$O$3520,Sales_Data!$C$2:$C$3520,$A92,Sales_Data!$F$2:$F$3520,I$7,Sales_Data!$AE$2:$AE$3520,1),SUMIFS(Sales_Data!$M$2:$M$3520,Sales_Data!$C$2:$C$3520,$A92,Sales_Data!$F$2:$F$3520,I$7,Sales_Data!$AE$2:$AE$3520,1),SUMIFS(Sales_Data!$N$2:$N$3520,Sales_Data!$C$2:$C$3520,$A92,Sales_Data!$F$2:$F$3520,I$7,Sales_Data!$AE$2:$AE$3520,1),SUMIFS(Sales_Data!$AE$2:$AE$3520,Sales_Data!$C$2:$C$3520,$A92,Sales_Data!$F$2:$F$3520,I$7)))</f>
        <v>0</v>
      </c>
      <c r="J92" s="26" t="n">
        <f aca="false">IF(J$7="","",CHOOSE(MATCH($B$4,Lists!$C$2:$C$5,0),SUMIFS(Sales_Data!$O$2:$O$3520,Sales_Data!$C$2:$C$3520,$A92,Sales_Data!$F$2:$F$3520,J$7,Sales_Data!$AE$2:$AE$3520,1),SUMIFS(Sales_Data!$M$2:$M$3520,Sales_Data!$C$2:$C$3520,$A92,Sales_Data!$F$2:$F$3520,J$7,Sales_Data!$AE$2:$AE$3520,1),SUMIFS(Sales_Data!$N$2:$N$3520,Sales_Data!$C$2:$C$3520,$A92,Sales_Data!$F$2:$F$3520,J$7,Sales_Data!$AE$2:$AE$3520,1),SUMIFS(Sales_Data!$AE$2:$AE$3520,Sales_Data!$C$2:$C$3520,$A92,Sales_Data!$F$2:$F$3520,J$7)))</f>
        <v>0</v>
      </c>
      <c r="K92" s="26" t="n">
        <f aca="false">IF(K$7="","",CHOOSE(MATCH($B$4,Lists!$C$2:$C$5,0),SUMIFS(Sales_Data!$O$2:$O$3520,Sales_Data!$C$2:$C$3520,$A92,Sales_Data!$F$2:$F$3520,K$7,Sales_Data!$AE$2:$AE$3520,1),SUMIFS(Sales_Data!$M$2:$M$3520,Sales_Data!$C$2:$C$3520,$A92,Sales_Data!$F$2:$F$3520,K$7,Sales_Data!$AE$2:$AE$3520,1),SUMIFS(Sales_Data!$N$2:$N$3520,Sales_Data!$C$2:$C$3520,$A92,Sales_Data!$F$2:$F$3520,K$7,Sales_Data!$AE$2:$AE$3520,1),SUMIFS(Sales_Data!$AE$2:$AE$3520,Sales_Data!$C$2:$C$3520,$A92,Sales_Data!$F$2:$F$3520,K$7)))</f>
        <v>0</v>
      </c>
      <c r="L92" s="26" t="n">
        <f aca="false">IF(L$7="","",CHOOSE(MATCH($B$4,Lists!$C$2:$C$5,0),SUMIFS(Sales_Data!$O$2:$O$3520,Sales_Data!$C$2:$C$3520,$A92,Sales_Data!$F$2:$F$3520,L$7,Sales_Data!$AE$2:$AE$3520,1),SUMIFS(Sales_Data!$M$2:$M$3520,Sales_Data!$C$2:$C$3520,$A92,Sales_Data!$F$2:$F$3520,L$7,Sales_Data!$AE$2:$AE$3520,1),SUMIFS(Sales_Data!$N$2:$N$3520,Sales_Data!$C$2:$C$3520,$A92,Sales_Data!$F$2:$F$3520,L$7,Sales_Data!$AE$2:$AE$3520,1),SUMIFS(Sales_Data!$AE$2:$AE$3520,Sales_Data!$C$2:$C$3520,$A92,Sales_Data!$F$2:$F$3520,L$7)))</f>
        <v>0</v>
      </c>
      <c r="M92" s="26" t="n">
        <f aca="false">IF(M$7="","",CHOOSE(MATCH($B$4,Lists!$C$2:$C$5,0),SUMIFS(Sales_Data!$O$2:$O$3520,Sales_Data!$C$2:$C$3520,$A92,Sales_Data!$F$2:$F$3520,M$7,Sales_Data!$AE$2:$AE$3520,1),SUMIFS(Sales_Data!$M$2:$M$3520,Sales_Data!$C$2:$C$3520,$A92,Sales_Data!$F$2:$F$3520,M$7,Sales_Data!$AE$2:$AE$3520,1),SUMIFS(Sales_Data!$N$2:$N$3520,Sales_Data!$C$2:$C$3520,$A92,Sales_Data!$F$2:$F$3520,M$7,Sales_Data!$AE$2:$AE$3520,1),SUMIFS(Sales_Data!$AE$2:$AE$3520,Sales_Data!$C$2:$C$3520,$A92,Sales_Data!$F$2:$F$3520,M$7)))</f>
        <v>0</v>
      </c>
      <c r="N92" s="26" t="n">
        <f aca="false">IF(N$7="","",CHOOSE(MATCH($B$4,Lists!$C$2:$C$5,0),SUMIFS(Sales_Data!$O$2:$O$3520,Sales_Data!$C$2:$C$3520,$A92,Sales_Data!$F$2:$F$3520,N$7,Sales_Data!$AE$2:$AE$3520,1),SUMIFS(Sales_Data!$M$2:$M$3520,Sales_Data!$C$2:$C$3520,$A92,Sales_Data!$F$2:$F$3520,N$7,Sales_Data!$AE$2:$AE$3520,1),SUMIFS(Sales_Data!$N$2:$N$3520,Sales_Data!$C$2:$C$3520,$A92,Sales_Data!$F$2:$F$3520,N$7,Sales_Data!$AE$2:$AE$3520,1),SUMIFS(Sales_Data!$AE$2:$AE$3520,Sales_Data!$C$2:$C$3520,$A92,Sales_Data!$F$2:$F$3520,N$7)))</f>
        <v>0</v>
      </c>
      <c r="O92" s="26" t="n">
        <f aca="false">IF(O$7="","",CHOOSE(MATCH($B$4,Lists!$C$2:$C$5,0),SUMIFS(Sales_Data!$O$2:$O$3520,Sales_Data!$C$2:$C$3520,$A92,Sales_Data!$F$2:$F$3520,O$7,Sales_Data!$AE$2:$AE$3520,1),SUMIFS(Sales_Data!$M$2:$M$3520,Sales_Data!$C$2:$C$3520,$A92,Sales_Data!$F$2:$F$3520,O$7,Sales_Data!$AE$2:$AE$3520,1),SUMIFS(Sales_Data!$N$2:$N$3520,Sales_Data!$C$2:$C$3520,$A92,Sales_Data!$F$2:$F$3520,O$7,Sales_Data!$AE$2:$AE$3520,1),SUMIFS(Sales_Data!$AE$2:$AE$3520,Sales_Data!$C$2:$C$3520,$A92,Sales_Data!$F$2:$F$3520,O$7)))</f>
        <v>0</v>
      </c>
      <c r="P92" s="26" t="n">
        <f aca="false">IF(P$7="","",CHOOSE(MATCH($B$4,Lists!$C$2:$C$5,0),SUMIFS(Sales_Data!$O$2:$O$3520,Sales_Data!$C$2:$C$3520,$A92,Sales_Data!$F$2:$F$3520,P$7,Sales_Data!$AE$2:$AE$3520,1),SUMIFS(Sales_Data!$M$2:$M$3520,Sales_Data!$C$2:$C$3520,$A92,Sales_Data!$F$2:$F$3520,P$7,Sales_Data!$AE$2:$AE$3520,1),SUMIFS(Sales_Data!$N$2:$N$3520,Sales_Data!$C$2:$C$3520,$A92,Sales_Data!$F$2:$F$3520,P$7,Sales_Data!$AE$2:$AE$3520,1),SUMIFS(Sales_Data!$AE$2:$AE$3520,Sales_Data!$C$2:$C$3520,$A92,Sales_Data!$F$2:$F$3520,P$7)))</f>
        <v>0</v>
      </c>
      <c r="Q92" s="26" t="n">
        <f aca="false">IF(Q$7="","",CHOOSE(MATCH($B$4,Lists!$C$2:$C$5,0),SUMIFS(Sales_Data!$O$2:$O$3520,Sales_Data!$C$2:$C$3520,$A92,Sales_Data!$F$2:$F$3520,Q$7,Sales_Data!$AE$2:$AE$3520,1),SUMIFS(Sales_Data!$M$2:$M$3520,Sales_Data!$C$2:$C$3520,$A92,Sales_Data!$F$2:$F$3520,Q$7,Sales_Data!$AE$2:$AE$3520,1),SUMIFS(Sales_Data!$N$2:$N$3520,Sales_Data!$C$2:$C$3520,$A92,Sales_Data!$F$2:$F$3520,Q$7,Sales_Data!$AE$2:$AE$3520,1),SUMIFS(Sales_Data!$AE$2:$AE$3520,Sales_Data!$C$2:$C$3520,$A92,Sales_Data!$F$2:$F$3520,Q$7)))</f>
        <v>0</v>
      </c>
      <c r="R92" s="26" t="n">
        <f aca="false">IF(R$7="","",CHOOSE(MATCH($B$4,Lists!$C$2:$C$5,0),SUMIFS(Sales_Data!$O$2:$O$3520,Sales_Data!$C$2:$C$3520,$A92,Sales_Data!$F$2:$F$3520,R$7,Sales_Data!$AE$2:$AE$3520,1),SUMIFS(Sales_Data!$M$2:$M$3520,Sales_Data!$C$2:$C$3520,$A92,Sales_Data!$F$2:$F$3520,R$7,Sales_Data!$AE$2:$AE$3520,1),SUMIFS(Sales_Data!$N$2:$N$3520,Sales_Data!$C$2:$C$3520,$A92,Sales_Data!$F$2:$F$3520,R$7,Sales_Data!$AE$2:$AE$3520,1),SUMIFS(Sales_Data!$AE$2:$AE$3520,Sales_Data!$C$2:$C$3520,$A92,Sales_Data!$F$2:$F$3520,R$7)))</f>
        <v>1</v>
      </c>
      <c r="S92" s="26" t="n">
        <f aca="false">IF(S$7="","",CHOOSE(MATCH($B$4,Lists!$C$2:$C$5,0),SUMIFS(Sales_Data!$O$2:$O$3520,Sales_Data!$C$2:$C$3520,$A92,Sales_Data!$F$2:$F$3520,S$7,Sales_Data!$AE$2:$AE$3520,1),SUMIFS(Sales_Data!$M$2:$M$3520,Sales_Data!$C$2:$C$3520,$A92,Sales_Data!$F$2:$F$3520,S$7,Sales_Data!$AE$2:$AE$3520,1),SUMIFS(Sales_Data!$N$2:$N$3520,Sales_Data!$C$2:$C$3520,$A92,Sales_Data!$F$2:$F$3520,S$7,Sales_Data!$AE$2:$AE$3520,1),SUMIFS(Sales_Data!$AE$2:$AE$3520,Sales_Data!$C$2:$C$3520,$A92,Sales_Data!$F$2:$F$3520,S$7)))</f>
        <v>0</v>
      </c>
      <c r="T92" s="26" t="str">
        <f aca="false">IF(T$7="","",CHOOSE(MATCH($B$4,Lists!$C$2:$C$5,0),SUMIFS(Sales_Data!$O$2:$O$3520,Sales_Data!$C$2:$C$3520,$A92,Sales_Data!$F$2:$F$3520,T$7,Sales_Data!$AE$2:$AE$3520,1),SUMIFS(Sales_Data!$M$2:$M$3520,Sales_Data!$C$2:$C$3520,$A92,Sales_Data!$F$2:$F$3520,T$7,Sales_Data!$AE$2:$AE$3520,1),SUMIFS(Sales_Data!$N$2:$N$3520,Sales_Data!$C$2:$C$3520,$A92,Sales_Data!$F$2:$F$3520,T$7,Sales_Data!$AE$2:$AE$3520,1),SUMIFS(Sales_Data!$AE$2:$AE$3520,Sales_Data!$C$2:$C$3520,$A92,Sales_Data!$F$2:$F$3520,T$7)))</f>
        <v/>
      </c>
      <c r="U92" s="26" t="str">
        <f aca="false">IF(U$7="","",CHOOSE(MATCH($B$4,Lists!$C$2:$C$5,0),SUMIFS(Sales_Data!$O$2:$O$3520,Sales_Data!$C$2:$C$3520,$A92,Sales_Data!$F$2:$F$3520,U$7,Sales_Data!$AE$2:$AE$3520,1),SUMIFS(Sales_Data!$M$2:$M$3520,Sales_Data!$C$2:$C$3520,$A92,Sales_Data!$F$2:$F$3520,U$7,Sales_Data!$AE$2:$AE$3520,1),SUMIFS(Sales_Data!$N$2:$N$3520,Sales_Data!$C$2:$C$3520,$A92,Sales_Data!$F$2:$F$3520,U$7,Sales_Data!$AE$2:$AE$3520,1),SUMIFS(Sales_Data!$AE$2:$AE$3520,Sales_Data!$C$2:$C$3520,$A92,Sales_Data!$F$2:$F$3520,U$7)))</f>
        <v/>
      </c>
      <c r="V92" s="26" t="str">
        <f aca="false">IF(V$7="","",CHOOSE(MATCH($B$4,Lists!$C$2:$C$5,0),SUMIFS(Sales_Data!$O$2:$O$3520,Sales_Data!$C$2:$C$3520,$A92,Sales_Data!$F$2:$F$3520,V$7,Sales_Data!$AE$2:$AE$3520,1),SUMIFS(Sales_Data!$M$2:$M$3520,Sales_Data!$C$2:$C$3520,$A92,Sales_Data!$F$2:$F$3520,V$7,Sales_Data!$AE$2:$AE$3520,1),SUMIFS(Sales_Data!$N$2:$N$3520,Sales_Data!$C$2:$C$3520,$A92,Sales_Data!$F$2:$F$3520,V$7,Sales_Data!$AE$2:$AE$3520,1),SUMIFS(Sales_Data!$AE$2:$AE$3520,Sales_Data!$C$2:$C$3520,$A92,Sales_Data!$F$2:$F$3520,V$7)))</f>
        <v/>
      </c>
      <c r="W92" s="26" t="str">
        <f aca="false">IF(W$7="","",CHOOSE(MATCH($B$4,Lists!$C$2:$C$5,0),SUMIFS(Sales_Data!$O$2:$O$3520,Sales_Data!$C$2:$C$3520,$A92,Sales_Data!$F$2:$F$3520,W$7,Sales_Data!$AE$2:$AE$3520,1),SUMIFS(Sales_Data!$M$2:$M$3520,Sales_Data!$C$2:$C$3520,$A92,Sales_Data!$F$2:$F$3520,W$7,Sales_Data!$AE$2:$AE$3520,1),SUMIFS(Sales_Data!$N$2:$N$3520,Sales_Data!$C$2:$C$3520,$A92,Sales_Data!$F$2:$F$3520,W$7,Sales_Data!$AE$2:$AE$3520,1),SUMIFS(Sales_Data!$AE$2:$AE$3520,Sales_Data!$C$2:$C$3520,$A92,Sales_Data!$F$2:$F$3520,W$7)))</f>
        <v/>
      </c>
      <c r="X92" s="26" t="str">
        <f aca="false">IF(X$7="","",CHOOSE(MATCH($B$4,Lists!$C$2:$C$5,0),SUMIFS(Sales_Data!$O$2:$O$3520,Sales_Data!$C$2:$C$3520,$A92,Sales_Data!$F$2:$F$3520,X$7,Sales_Data!$AE$2:$AE$3520,1),SUMIFS(Sales_Data!$M$2:$M$3520,Sales_Data!$C$2:$C$3520,$A92,Sales_Data!$F$2:$F$3520,X$7,Sales_Data!$AE$2:$AE$3520,1),SUMIFS(Sales_Data!$N$2:$N$3520,Sales_Data!$C$2:$C$3520,$A92,Sales_Data!$F$2:$F$3520,X$7,Sales_Data!$AE$2:$AE$3520,1),SUMIFS(Sales_Data!$AE$2:$AE$3520,Sales_Data!$C$2:$C$3520,$A92,Sales_Data!$F$2:$F$3520,X$7)))</f>
        <v/>
      </c>
      <c r="Y92" s="26" t="str">
        <f aca="false">IF(Y$7="","",CHOOSE(MATCH($B$4,Lists!$C$2:$C$5,0),SUMIFS(Sales_Data!$O$2:$O$3520,Sales_Data!$C$2:$C$3520,$A92,Sales_Data!$F$2:$F$3520,Y$7,Sales_Data!$AE$2:$AE$3520,1),SUMIFS(Sales_Data!$M$2:$M$3520,Sales_Data!$C$2:$C$3520,$A92,Sales_Data!$F$2:$F$3520,Y$7,Sales_Data!$AE$2:$AE$3520,1),SUMIFS(Sales_Data!$N$2:$N$3520,Sales_Data!$C$2:$C$3520,$A92,Sales_Data!$F$2:$F$3520,Y$7,Sales_Data!$AE$2:$AE$3520,1),SUMIFS(Sales_Data!$AE$2:$AE$3520,Sales_Data!$C$2:$C$3520,$A92,Sales_Data!$F$2:$F$3520,Y$7)))</f>
        <v/>
      </c>
      <c r="Z92" s="26" t="str">
        <f aca="false">IF(Z$7="","",CHOOSE(MATCH($B$4,Lists!$C$2:$C$5,0),SUMIFS(Sales_Data!$O$2:$O$3520,Sales_Data!$C$2:$C$3520,$A92,Sales_Data!$F$2:$F$3520,Z$7,Sales_Data!$AE$2:$AE$3520,1),SUMIFS(Sales_Data!$M$2:$M$3520,Sales_Data!$C$2:$C$3520,$A92,Sales_Data!$F$2:$F$3520,Z$7,Sales_Data!$AE$2:$AE$3520,1),SUMIFS(Sales_Data!$N$2:$N$3520,Sales_Data!$C$2:$C$3520,$A92,Sales_Data!$F$2:$F$3520,Z$7,Sales_Data!$AE$2:$AE$3520,1),SUMIFS(Sales_Data!$AE$2:$AE$3520,Sales_Data!$C$2:$C$3520,$A92,Sales_Data!$F$2:$F$3520,Z$7)))</f>
        <v/>
      </c>
      <c r="AA92" s="27" t="n">
        <f aca="false">SUM(B92:Z92)</f>
        <v>5</v>
      </c>
      <c r="AB92" s="3"/>
      <c r="AC92" s="72" t="n">
        <f aca="false">A92</f>
        <v>46299</v>
      </c>
      <c r="AD92" s="28" t="n">
        <f aca="false">IF(B92="","",B92-B91)</f>
        <v>0</v>
      </c>
      <c r="AE92" s="28" t="n">
        <f aca="false">IF(C92="","",C92-C91)</f>
        <v>0</v>
      </c>
      <c r="AF92" s="28" t="n">
        <f aca="false">IF(D92="","",D92-D91)</f>
        <v>0</v>
      </c>
      <c r="AG92" s="28" t="n">
        <f aca="false">IF(E92="","",E92-E91)</f>
        <v>0</v>
      </c>
      <c r="AH92" s="28" t="n">
        <f aca="false">IF(F92="","",F92-F91)</f>
        <v>0</v>
      </c>
      <c r="AI92" s="28" t="n">
        <f aca="false">IF(G92="","",G92-G91)</f>
        <v>4</v>
      </c>
      <c r="AJ92" s="28" t="n">
        <f aca="false">IF(H92="","",H92-H91)</f>
        <v>0</v>
      </c>
      <c r="AK92" s="28" t="n">
        <f aca="false">IF(I92="","",I92-I91)</f>
        <v>0</v>
      </c>
      <c r="AL92" s="28" t="n">
        <f aca="false">IF(J92="","",J92-J91)</f>
        <v>0</v>
      </c>
      <c r="AM92" s="28" t="n">
        <f aca="false">IF(K92="","",K92-K91)</f>
        <v>0</v>
      </c>
      <c r="AN92" s="28" t="n">
        <f aca="false">IF(L92="","",L92-L91)</f>
        <v>0</v>
      </c>
      <c r="AO92" s="28" t="n">
        <f aca="false">IF(M92="","",M92-M91)</f>
        <v>0</v>
      </c>
      <c r="AP92" s="28" t="n">
        <f aca="false">IF(N92="","",N92-N91)</f>
        <v>0</v>
      </c>
      <c r="AQ92" s="28" t="n">
        <f aca="false">IF(O92="","",O92-O91)</f>
        <v>0</v>
      </c>
      <c r="AR92" s="28" t="n">
        <f aca="false">IF(P92="","",P92-P91)</f>
        <v>0</v>
      </c>
      <c r="AS92" s="28" t="n">
        <f aca="false">IF(Q92="","",Q92-Q91)</f>
        <v>0</v>
      </c>
      <c r="AT92" s="28" t="n">
        <f aca="false">IF(R92="","",R92-R91)</f>
        <v>1</v>
      </c>
      <c r="AU92" s="28" t="n">
        <f aca="false">IF(S92="","",S92-S91)</f>
        <v>0</v>
      </c>
      <c r="AV92" s="28" t="str">
        <f aca="false">IF(T92="","",T92-T91)</f>
        <v/>
      </c>
      <c r="AW92" s="28" t="str">
        <f aca="false">IF(U92="","",U92-U91)</f>
        <v/>
      </c>
      <c r="AX92" s="28" t="str">
        <f aca="false">IF(V92="","",V92-V91)</f>
        <v/>
      </c>
      <c r="AY92" s="28" t="str">
        <f aca="false">IF(W92="","",W92-W91)</f>
        <v/>
      </c>
      <c r="AZ92" s="28" t="str">
        <f aca="false">IF(X92="","",X92-X91)</f>
        <v/>
      </c>
      <c r="BA92" s="28" t="str">
        <f aca="false">IF(Y92="","",Y92-Y91)</f>
        <v/>
      </c>
      <c r="BB92" s="28" t="str">
        <f aca="false">IF(Z92="","",Z92-Z91)</f>
        <v/>
      </c>
      <c r="BC92" s="28" t="n">
        <f aca="false">IF(AA92="","",AA92-AA91)</f>
        <v>5</v>
      </c>
    </row>
    <row r="93" customFormat="false" ht="15" hidden="false" customHeight="false" outlineLevel="0" collapsed="false">
      <c r="A93" s="72" t="n">
        <v>46300</v>
      </c>
      <c r="B93" s="26" t="n">
        <f aca="false">IF(B$7="","",CHOOSE(MATCH($B$4,Lists!$C$2:$C$5,0),SUMIFS(Sales_Data!$O$2:$O$3520,Sales_Data!$C$2:$C$3520,$A93,Sales_Data!$F$2:$F$3520,B$7,Sales_Data!$AE$2:$AE$3520,1),SUMIFS(Sales_Data!$M$2:$M$3520,Sales_Data!$C$2:$C$3520,$A93,Sales_Data!$F$2:$F$3520,B$7,Sales_Data!$AE$2:$AE$3520,1),SUMIFS(Sales_Data!$N$2:$N$3520,Sales_Data!$C$2:$C$3520,$A93,Sales_Data!$F$2:$F$3520,B$7,Sales_Data!$AE$2:$AE$3520,1),SUMIFS(Sales_Data!$AE$2:$AE$3520,Sales_Data!$C$2:$C$3520,$A93,Sales_Data!$F$2:$F$3520,B$7)))</f>
        <v>0</v>
      </c>
      <c r="C93" s="26" t="n">
        <f aca="false">IF(C$7="","",CHOOSE(MATCH($B$4,Lists!$C$2:$C$5,0),SUMIFS(Sales_Data!$O$2:$O$3520,Sales_Data!$C$2:$C$3520,$A93,Sales_Data!$F$2:$F$3520,C$7,Sales_Data!$AE$2:$AE$3520,1),SUMIFS(Sales_Data!$M$2:$M$3520,Sales_Data!$C$2:$C$3520,$A93,Sales_Data!$F$2:$F$3520,C$7,Sales_Data!$AE$2:$AE$3520,1),SUMIFS(Sales_Data!$N$2:$N$3520,Sales_Data!$C$2:$C$3520,$A93,Sales_Data!$F$2:$F$3520,C$7,Sales_Data!$AE$2:$AE$3520,1),SUMIFS(Sales_Data!$AE$2:$AE$3520,Sales_Data!$C$2:$C$3520,$A93,Sales_Data!$F$2:$F$3520,C$7)))</f>
        <v>2</v>
      </c>
      <c r="D93" s="26" t="n">
        <f aca="false">IF(D$7="","",CHOOSE(MATCH($B$4,Lists!$C$2:$C$5,0),SUMIFS(Sales_Data!$O$2:$O$3520,Sales_Data!$C$2:$C$3520,$A93,Sales_Data!$F$2:$F$3520,D$7,Sales_Data!$AE$2:$AE$3520,1),SUMIFS(Sales_Data!$M$2:$M$3520,Sales_Data!$C$2:$C$3520,$A93,Sales_Data!$F$2:$F$3520,D$7,Sales_Data!$AE$2:$AE$3520,1),SUMIFS(Sales_Data!$N$2:$N$3520,Sales_Data!$C$2:$C$3520,$A93,Sales_Data!$F$2:$F$3520,D$7,Sales_Data!$AE$2:$AE$3520,1),SUMIFS(Sales_Data!$AE$2:$AE$3520,Sales_Data!$C$2:$C$3520,$A93,Sales_Data!$F$2:$F$3520,D$7)))</f>
        <v>1</v>
      </c>
      <c r="E93" s="26" t="n">
        <f aca="false">IF(E$7="","",CHOOSE(MATCH($B$4,Lists!$C$2:$C$5,0),SUMIFS(Sales_Data!$O$2:$O$3520,Sales_Data!$C$2:$C$3520,$A93,Sales_Data!$F$2:$F$3520,E$7,Sales_Data!$AE$2:$AE$3520,1),SUMIFS(Sales_Data!$M$2:$M$3520,Sales_Data!$C$2:$C$3520,$A93,Sales_Data!$F$2:$F$3520,E$7,Sales_Data!$AE$2:$AE$3520,1),SUMIFS(Sales_Data!$N$2:$N$3520,Sales_Data!$C$2:$C$3520,$A93,Sales_Data!$F$2:$F$3520,E$7,Sales_Data!$AE$2:$AE$3520,1),SUMIFS(Sales_Data!$AE$2:$AE$3520,Sales_Data!$C$2:$C$3520,$A93,Sales_Data!$F$2:$F$3520,E$7)))</f>
        <v>0</v>
      </c>
      <c r="F93" s="26" t="n">
        <f aca="false">IF(F$7="","",CHOOSE(MATCH($B$4,Lists!$C$2:$C$5,0),SUMIFS(Sales_Data!$O$2:$O$3520,Sales_Data!$C$2:$C$3520,$A93,Sales_Data!$F$2:$F$3520,F$7,Sales_Data!$AE$2:$AE$3520,1),SUMIFS(Sales_Data!$M$2:$M$3520,Sales_Data!$C$2:$C$3520,$A93,Sales_Data!$F$2:$F$3520,F$7,Sales_Data!$AE$2:$AE$3520,1),SUMIFS(Sales_Data!$N$2:$N$3520,Sales_Data!$C$2:$C$3520,$A93,Sales_Data!$F$2:$F$3520,F$7,Sales_Data!$AE$2:$AE$3520,1),SUMIFS(Sales_Data!$AE$2:$AE$3520,Sales_Data!$C$2:$C$3520,$A93,Sales_Data!$F$2:$F$3520,F$7)))</f>
        <v>0</v>
      </c>
      <c r="G93" s="26" t="n">
        <f aca="false">IF(G$7="","",CHOOSE(MATCH($B$4,Lists!$C$2:$C$5,0),SUMIFS(Sales_Data!$O$2:$O$3520,Sales_Data!$C$2:$C$3520,$A93,Sales_Data!$F$2:$F$3520,G$7,Sales_Data!$AE$2:$AE$3520,1),SUMIFS(Sales_Data!$M$2:$M$3520,Sales_Data!$C$2:$C$3520,$A93,Sales_Data!$F$2:$F$3520,G$7,Sales_Data!$AE$2:$AE$3520,1),SUMIFS(Sales_Data!$N$2:$N$3520,Sales_Data!$C$2:$C$3520,$A93,Sales_Data!$F$2:$F$3520,G$7,Sales_Data!$AE$2:$AE$3520,1),SUMIFS(Sales_Data!$AE$2:$AE$3520,Sales_Data!$C$2:$C$3520,$A93,Sales_Data!$F$2:$F$3520,G$7)))</f>
        <v>0</v>
      </c>
      <c r="H93" s="26" t="n">
        <f aca="false">IF(H$7="","",CHOOSE(MATCH($B$4,Lists!$C$2:$C$5,0),SUMIFS(Sales_Data!$O$2:$O$3520,Sales_Data!$C$2:$C$3520,$A93,Sales_Data!$F$2:$F$3520,H$7,Sales_Data!$AE$2:$AE$3520,1),SUMIFS(Sales_Data!$M$2:$M$3520,Sales_Data!$C$2:$C$3520,$A93,Sales_Data!$F$2:$F$3520,H$7,Sales_Data!$AE$2:$AE$3520,1),SUMIFS(Sales_Data!$N$2:$N$3520,Sales_Data!$C$2:$C$3520,$A93,Sales_Data!$F$2:$F$3520,H$7,Sales_Data!$AE$2:$AE$3520,1),SUMIFS(Sales_Data!$AE$2:$AE$3520,Sales_Data!$C$2:$C$3520,$A93,Sales_Data!$F$2:$F$3520,H$7)))</f>
        <v>0</v>
      </c>
      <c r="I93" s="26" t="n">
        <f aca="false">IF(I$7="","",CHOOSE(MATCH($B$4,Lists!$C$2:$C$5,0),SUMIFS(Sales_Data!$O$2:$O$3520,Sales_Data!$C$2:$C$3520,$A93,Sales_Data!$F$2:$F$3520,I$7,Sales_Data!$AE$2:$AE$3520,1),SUMIFS(Sales_Data!$M$2:$M$3520,Sales_Data!$C$2:$C$3520,$A93,Sales_Data!$F$2:$F$3520,I$7,Sales_Data!$AE$2:$AE$3520,1),SUMIFS(Sales_Data!$N$2:$N$3520,Sales_Data!$C$2:$C$3520,$A93,Sales_Data!$F$2:$F$3520,I$7,Sales_Data!$AE$2:$AE$3520,1),SUMIFS(Sales_Data!$AE$2:$AE$3520,Sales_Data!$C$2:$C$3520,$A93,Sales_Data!$F$2:$F$3520,I$7)))</f>
        <v>0</v>
      </c>
      <c r="J93" s="26" t="n">
        <f aca="false">IF(J$7="","",CHOOSE(MATCH($B$4,Lists!$C$2:$C$5,0),SUMIFS(Sales_Data!$O$2:$O$3520,Sales_Data!$C$2:$C$3520,$A93,Sales_Data!$F$2:$F$3520,J$7,Sales_Data!$AE$2:$AE$3520,1),SUMIFS(Sales_Data!$M$2:$M$3520,Sales_Data!$C$2:$C$3520,$A93,Sales_Data!$F$2:$F$3520,J$7,Sales_Data!$AE$2:$AE$3520,1),SUMIFS(Sales_Data!$N$2:$N$3520,Sales_Data!$C$2:$C$3520,$A93,Sales_Data!$F$2:$F$3520,J$7,Sales_Data!$AE$2:$AE$3520,1),SUMIFS(Sales_Data!$AE$2:$AE$3520,Sales_Data!$C$2:$C$3520,$A93,Sales_Data!$F$2:$F$3520,J$7)))</f>
        <v>0</v>
      </c>
      <c r="K93" s="26" t="n">
        <f aca="false">IF(K$7="","",CHOOSE(MATCH($B$4,Lists!$C$2:$C$5,0),SUMIFS(Sales_Data!$O$2:$O$3520,Sales_Data!$C$2:$C$3520,$A93,Sales_Data!$F$2:$F$3520,K$7,Sales_Data!$AE$2:$AE$3520,1),SUMIFS(Sales_Data!$M$2:$M$3520,Sales_Data!$C$2:$C$3520,$A93,Sales_Data!$F$2:$F$3520,K$7,Sales_Data!$AE$2:$AE$3520,1),SUMIFS(Sales_Data!$N$2:$N$3520,Sales_Data!$C$2:$C$3520,$A93,Sales_Data!$F$2:$F$3520,K$7,Sales_Data!$AE$2:$AE$3520,1),SUMIFS(Sales_Data!$AE$2:$AE$3520,Sales_Data!$C$2:$C$3520,$A93,Sales_Data!$F$2:$F$3520,K$7)))</f>
        <v>0</v>
      </c>
      <c r="L93" s="26" t="n">
        <f aca="false">IF(L$7="","",CHOOSE(MATCH($B$4,Lists!$C$2:$C$5,0),SUMIFS(Sales_Data!$O$2:$O$3520,Sales_Data!$C$2:$C$3520,$A93,Sales_Data!$F$2:$F$3520,L$7,Sales_Data!$AE$2:$AE$3520,1),SUMIFS(Sales_Data!$M$2:$M$3520,Sales_Data!$C$2:$C$3520,$A93,Sales_Data!$F$2:$F$3520,L$7,Sales_Data!$AE$2:$AE$3520,1),SUMIFS(Sales_Data!$N$2:$N$3520,Sales_Data!$C$2:$C$3520,$A93,Sales_Data!$F$2:$F$3520,L$7,Sales_Data!$AE$2:$AE$3520,1),SUMIFS(Sales_Data!$AE$2:$AE$3520,Sales_Data!$C$2:$C$3520,$A93,Sales_Data!$F$2:$F$3520,L$7)))</f>
        <v>0</v>
      </c>
      <c r="M93" s="26" t="n">
        <f aca="false">IF(M$7="","",CHOOSE(MATCH($B$4,Lists!$C$2:$C$5,0),SUMIFS(Sales_Data!$O$2:$O$3520,Sales_Data!$C$2:$C$3520,$A93,Sales_Data!$F$2:$F$3520,M$7,Sales_Data!$AE$2:$AE$3520,1),SUMIFS(Sales_Data!$M$2:$M$3520,Sales_Data!$C$2:$C$3520,$A93,Sales_Data!$F$2:$F$3520,M$7,Sales_Data!$AE$2:$AE$3520,1),SUMIFS(Sales_Data!$N$2:$N$3520,Sales_Data!$C$2:$C$3520,$A93,Sales_Data!$F$2:$F$3520,M$7,Sales_Data!$AE$2:$AE$3520,1),SUMIFS(Sales_Data!$AE$2:$AE$3520,Sales_Data!$C$2:$C$3520,$A93,Sales_Data!$F$2:$F$3520,M$7)))</f>
        <v>0</v>
      </c>
      <c r="N93" s="26" t="n">
        <f aca="false">IF(N$7="","",CHOOSE(MATCH($B$4,Lists!$C$2:$C$5,0),SUMIFS(Sales_Data!$O$2:$O$3520,Sales_Data!$C$2:$C$3520,$A93,Sales_Data!$F$2:$F$3520,N$7,Sales_Data!$AE$2:$AE$3520,1),SUMIFS(Sales_Data!$M$2:$M$3520,Sales_Data!$C$2:$C$3520,$A93,Sales_Data!$F$2:$F$3520,N$7,Sales_Data!$AE$2:$AE$3520,1),SUMIFS(Sales_Data!$N$2:$N$3520,Sales_Data!$C$2:$C$3520,$A93,Sales_Data!$F$2:$F$3520,N$7,Sales_Data!$AE$2:$AE$3520,1),SUMIFS(Sales_Data!$AE$2:$AE$3520,Sales_Data!$C$2:$C$3520,$A93,Sales_Data!$F$2:$F$3520,N$7)))</f>
        <v>0</v>
      </c>
      <c r="O93" s="26" t="n">
        <f aca="false">IF(O$7="","",CHOOSE(MATCH($B$4,Lists!$C$2:$C$5,0),SUMIFS(Sales_Data!$O$2:$O$3520,Sales_Data!$C$2:$C$3520,$A93,Sales_Data!$F$2:$F$3520,O$7,Sales_Data!$AE$2:$AE$3520,1),SUMIFS(Sales_Data!$M$2:$M$3520,Sales_Data!$C$2:$C$3520,$A93,Sales_Data!$F$2:$F$3520,O$7,Sales_Data!$AE$2:$AE$3520,1),SUMIFS(Sales_Data!$N$2:$N$3520,Sales_Data!$C$2:$C$3520,$A93,Sales_Data!$F$2:$F$3520,O$7,Sales_Data!$AE$2:$AE$3520,1),SUMIFS(Sales_Data!$AE$2:$AE$3520,Sales_Data!$C$2:$C$3520,$A93,Sales_Data!$F$2:$F$3520,O$7)))</f>
        <v>1</v>
      </c>
      <c r="P93" s="26" t="n">
        <f aca="false">IF(P$7="","",CHOOSE(MATCH($B$4,Lists!$C$2:$C$5,0),SUMIFS(Sales_Data!$O$2:$O$3520,Sales_Data!$C$2:$C$3520,$A93,Sales_Data!$F$2:$F$3520,P$7,Sales_Data!$AE$2:$AE$3520,1),SUMIFS(Sales_Data!$M$2:$M$3520,Sales_Data!$C$2:$C$3520,$A93,Sales_Data!$F$2:$F$3520,P$7,Sales_Data!$AE$2:$AE$3520,1),SUMIFS(Sales_Data!$N$2:$N$3520,Sales_Data!$C$2:$C$3520,$A93,Sales_Data!$F$2:$F$3520,P$7,Sales_Data!$AE$2:$AE$3520,1),SUMIFS(Sales_Data!$AE$2:$AE$3520,Sales_Data!$C$2:$C$3520,$A93,Sales_Data!$F$2:$F$3520,P$7)))</f>
        <v>0</v>
      </c>
      <c r="Q93" s="26" t="n">
        <f aca="false">IF(Q$7="","",CHOOSE(MATCH($B$4,Lists!$C$2:$C$5,0),SUMIFS(Sales_Data!$O$2:$O$3520,Sales_Data!$C$2:$C$3520,$A93,Sales_Data!$F$2:$F$3520,Q$7,Sales_Data!$AE$2:$AE$3520,1),SUMIFS(Sales_Data!$M$2:$M$3520,Sales_Data!$C$2:$C$3520,$A93,Sales_Data!$F$2:$F$3520,Q$7,Sales_Data!$AE$2:$AE$3520,1),SUMIFS(Sales_Data!$N$2:$N$3520,Sales_Data!$C$2:$C$3520,$A93,Sales_Data!$F$2:$F$3520,Q$7,Sales_Data!$AE$2:$AE$3520,1),SUMIFS(Sales_Data!$AE$2:$AE$3520,Sales_Data!$C$2:$C$3520,$A93,Sales_Data!$F$2:$F$3520,Q$7)))</f>
        <v>3</v>
      </c>
      <c r="R93" s="26" t="n">
        <f aca="false">IF(R$7="","",CHOOSE(MATCH($B$4,Lists!$C$2:$C$5,0),SUMIFS(Sales_Data!$O$2:$O$3520,Sales_Data!$C$2:$C$3520,$A93,Sales_Data!$F$2:$F$3520,R$7,Sales_Data!$AE$2:$AE$3520,1),SUMIFS(Sales_Data!$M$2:$M$3520,Sales_Data!$C$2:$C$3520,$A93,Sales_Data!$F$2:$F$3520,R$7,Sales_Data!$AE$2:$AE$3520,1),SUMIFS(Sales_Data!$N$2:$N$3520,Sales_Data!$C$2:$C$3520,$A93,Sales_Data!$F$2:$F$3520,R$7,Sales_Data!$AE$2:$AE$3520,1),SUMIFS(Sales_Data!$AE$2:$AE$3520,Sales_Data!$C$2:$C$3520,$A93,Sales_Data!$F$2:$F$3520,R$7)))</f>
        <v>0</v>
      </c>
      <c r="S93" s="26" t="n">
        <f aca="false">IF(S$7="","",CHOOSE(MATCH($B$4,Lists!$C$2:$C$5,0),SUMIFS(Sales_Data!$O$2:$O$3520,Sales_Data!$C$2:$C$3520,$A93,Sales_Data!$F$2:$F$3520,S$7,Sales_Data!$AE$2:$AE$3520,1),SUMIFS(Sales_Data!$M$2:$M$3520,Sales_Data!$C$2:$C$3520,$A93,Sales_Data!$F$2:$F$3520,S$7,Sales_Data!$AE$2:$AE$3520,1),SUMIFS(Sales_Data!$N$2:$N$3520,Sales_Data!$C$2:$C$3520,$A93,Sales_Data!$F$2:$F$3520,S$7,Sales_Data!$AE$2:$AE$3520,1),SUMIFS(Sales_Data!$AE$2:$AE$3520,Sales_Data!$C$2:$C$3520,$A93,Sales_Data!$F$2:$F$3520,S$7)))</f>
        <v>0</v>
      </c>
      <c r="T93" s="26" t="str">
        <f aca="false">IF(T$7="","",CHOOSE(MATCH($B$4,Lists!$C$2:$C$5,0),SUMIFS(Sales_Data!$O$2:$O$3520,Sales_Data!$C$2:$C$3520,$A93,Sales_Data!$F$2:$F$3520,T$7,Sales_Data!$AE$2:$AE$3520,1),SUMIFS(Sales_Data!$M$2:$M$3520,Sales_Data!$C$2:$C$3520,$A93,Sales_Data!$F$2:$F$3520,T$7,Sales_Data!$AE$2:$AE$3520,1),SUMIFS(Sales_Data!$N$2:$N$3520,Sales_Data!$C$2:$C$3520,$A93,Sales_Data!$F$2:$F$3520,T$7,Sales_Data!$AE$2:$AE$3520,1),SUMIFS(Sales_Data!$AE$2:$AE$3520,Sales_Data!$C$2:$C$3520,$A93,Sales_Data!$F$2:$F$3520,T$7)))</f>
        <v/>
      </c>
      <c r="U93" s="26" t="str">
        <f aca="false">IF(U$7="","",CHOOSE(MATCH($B$4,Lists!$C$2:$C$5,0),SUMIFS(Sales_Data!$O$2:$O$3520,Sales_Data!$C$2:$C$3520,$A93,Sales_Data!$F$2:$F$3520,U$7,Sales_Data!$AE$2:$AE$3520,1),SUMIFS(Sales_Data!$M$2:$M$3520,Sales_Data!$C$2:$C$3520,$A93,Sales_Data!$F$2:$F$3520,U$7,Sales_Data!$AE$2:$AE$3520,1),SUMIFS(Sales_Data!$N$2:$N$3520,Sales_Data!$C$2:$C$3520,$A93,Sales_Data!$F$2:$F$3520,U$7,Sales_Data!$AE$2:$AE$3520,1),SUMIFS(Sales_Data!$AE$2:$AE$3520,Sales_Data!$C$2:$C$3520,$A93,Sales_Data!$F$2:$F$3520,U$7)))</f>
        <v/>
      </c>
      <c r="V93" s="26" t="str">
        <f aca="false">IF(V$7="","",CHOOSE(MATCH($B$4,Lists!$C$2:$C$5,0),SUMIFS(Sales_Data!$O$2:$O$3520,Sales_Data!$C$2:$C$3520,$A93,Sales_Data!$F$2:$F$3520,V$7,Sales_Data!$AE$2:$AE$3520,1),SUMIFS(Sales_Data!$M$2:$M$3520,Sales_Data!$C$2:$C$3520,$A93,Sales_Data!$F$2:$F$3520,V$7,Sales_Data!$AE$2:$AE$3520,1),SUMIFS(Sales_Data!$N$2:$N$3520,Sales_Data!$C$2:$C$3520,$A93,Sales_Data!$F$2:$F$3520,V$7,Sales_Data!$AE$2:$AE$3520,1),SUMIFS(Sales_Data!$AE$2:$AE$3520,Sales_Data!$C$2:$C$3520,$A93,Sales_Data!$F$2:$F$3520,V$7)))</f>
        <v/>
      </c>
      <c r="W93" s="26" t="str">
        <f aca="false">IF(W$7="","",CHOOSE(MATCH($B$4,Lists!$C$2:$C$5,0),SUMIFS(Sales_Data!$O$2:$O$3520,Sales_Data!$C$2:$C$3520,$A93,Sales_Data!$F$2:$F$3520,W$7,Sales_Data!$AE$2:$AE$3520,1),SUMIFS(Sales_Data!$M$2:$M$3520,Sales_Data!$C$2:$C$3520,$A93,Sales_Data!$F$2:$F$3520,W$7,Sales_Data!$AE$2:$AE$3520,1),SUMIFS(Sales_Data!$N$2:$N$3520,Sales_Data!$C$2:$C$3520,$A93,Sales_Data!$F$2:$F$3520,W$7,Sales_Data!$AE$2:$AE$3520,1),SUMIFS(Sales_Data!$AE$2:$AE$3520,Sales_Data!$C$2:$C$3520,$A93,Sales_Data!$F$2:$F$3520,W$7)))</f>
        <v/>
      </c>
      <c r="X93" s="26" t="str">
        <f aca="false">IF(X$7="","",CHOOSE(MATCH($B$4,Lists!$C$2:$C$5,0),SUMIFS(Sales_Data!$O$2:$O$3520,Sales_Data!$C$2:$C$3520,$A93,Sales_Data!$F$2:$F$3520,X$7,Sales_Data!$AE$2:$AE$3520,1),SUMIFS(Sales_Data!$M$2:$M$3520,Sales_Data!$C$2:$C$3520,$A93,Sales_Data!$F$2:$F$3520,X$7,Sales_Data!$AE$2:$AE$3520,1),SUMIFS(Sales_Data!$N$2:$N$3520,Sales_Data!$C$2:$C$3520,$A93,Sales_Data!$F$2:$F$3520,X$7,Sales_Data!$AE$2:$AE$3520,1),SUMIFS(Sales_Data!$AE$2:$AE$3520,Sales_Data!$C$2:$C$3520,$A93,Sales_Data!$F$2:$F$3520,X$7)))</f>
        <v/>
      </c>
      <c r="Y93" s="26" t="str">
        <f aca="false">IF(Y$7="","",CHOOSE(MATCH($B$4,Lists!$C$2:$C$5,0),SUMIFS(Sales_Data!$O$2:$O$3520,Sales_Data!$C$2:$C$3520,$A93,Sales_Data!$F$2:$F$3520,Y$7,Sales_Data!$AE$2:$AE$3520,1),SUMIFS(Sales_Data!$M$2:$M$3520,Sales_Data!$C$2:$C$3520,$A93,Sales_Data!$F$2:$F$3520,Y$7,Sales_Data!$AE$2:$AE$3520,1),SUMIFS(Sales_Data!$N$2:$N$3520,Sales_Data!$C$2:$C$3520,$A93,Sales_Data!$F$2:$F$3520,Y$7,Sales_Data!$AE$2:$AE$3520,1),SUMIFS(Sales_Data!$AE$2:$AE$3520,Sales_Data!$C$2:$C$3520,$A93,Sales_Data!$F$2:$F$3520,Y$7)))</f>
        <v/>
      </c>
      <c r="Z93" s="26" t="str">
        <f aca="false">IF(Z$7="","",CHOOSE(MATCH($B$4,Lists!$C$2:$C$5,0),SUMIFS(Sales_Data!$O$2:$O$3520,Sales_Data!$C$2:$C$3520,$A93,Sales_Data!$F$2:$F$3520,Z$7,Sales_Data!$AE$2:$AE$3520,1),SUMIFS(Sales_Data!$M$2:$M$3520,Sales_Data!$C$2:$C$3520,$A93,Sales_Data!$F$2:$F$3520,Z$7,Sales_Data!$AE$2:$AE$3520,1),SUMIFS(Sales_Data!$N$2:$N$3520,Sales_Data!$C$2:$C$3520,$A93,Sales_Data!$F$2:$F$3520,Z$7,Sales_Data!$AE$2:$AE$3520,1),SUMIFS(Sales_Data!$AE$2:$AE$3520,Sales_Data!$C$2:$C$3520,$A93,Sales_Data!$F$2:$F$3520,Z$7)))</f>
        <v/>
      </c>
      <c r="AA93" s="27" t="n">
        <f aca="false">SUM(B93:Z93)</f>
        <v>7</v>
      </c>
      <c r="AB93" s="3"/>
      <c r="AC93" s="72" t="n">
        <f aca="false">A93</f>
        <v>46300</v>
      </c>
      <c r="AD93" s="28" t="n">
        <f aca="false">IF(B93="","",B93-B92)</f>
        <v>0</v>
      </c>
      <c r="AE93" s="28" t="n">
        <f aca="false">IF(C93="","",C93-C92)</f>
        <v>2</v>
      </c>
      <c r="AF93" s="28" t="n">
        <f aca="false">IF(D93="","",D93-D92)</f>
        <v>1</v>
      </c>
      <c r="AG93" s="28" t="n">
        <f aca="false">IF(E93="","",E93-E92)</f>
        <v>0</v>
      </c>
      <c r="AH93" s="28" t="n">
        <f aca="false">IF(F93="","",F93-F92)</f>
        <v>0</v>
      </c>
      <c r="AI93" s="28" t="n">
        <f aca="false">IF(G93="","",G93-G92)</f>
        <v>-4</v>
      </c>
      <c r="AJ93" s="28" t="n">
        <f aca="false">IF(H93="","",H93-H92)</f>
        <v>0</v>
      </c>
      <c r="AK93" s="28" t="n">
        <f aca="false">IF(I93="","",I93-I92)</f>
        <v>0</v>
      </c>
      <c r="AL93" s="28" t="n">
        <f aca="false">IF(J93="","",J93-J92)</f>
        <v>0</v>
      </c>
      <c r="AM93" s="28" t="n">
        <f aca="false">IF(K93="","",K93-K92)</f>
        <v>0</v>
      </c>
      <c r="AN93" s="28" t="n">
        <f aca="false">IF(L93="","",L93-L92)</f>
        <v>0</v>
      </c>
      <c r="AO93" s="28" t="n">
        <f aca="false">IF(M93="","",M93-M92)</f>
        <v>0</v>
      </c>
      <c r="AP93" s="28" t="n">
        <f aca="false">IF(N93="","",N93-N92)</f>
        <v>0</v>
      </c>
      <c r="AQ93" s="28" t="n">
        <f aca="false">IF(O93="","",O93-O92)</f>
        <v>1</v>
      </c>
      <c r="AR93" s="28" t="n">
        <f aca="false">IF(P93="","",P93-P92)</f>
        <v>0</v>
      </c>
      <c r="AS93" s="28" t="n">
        <f aca="false">IF(Q93="","",Q93-Q92)</f>
        <v>3</v>
      </c>
      <c r="AT93" s="28" t="n">
        <f aca="false">IF(R93="","",R93-R92)</f>
        <v>-1</v>
      </c>
      <c r="AU93" s="28" t="n">
        <f aca="false">IF(S93="","",S93-S92)</f>
        <v>0</v>
      </c>
      <c r="AV93" s="28" t="str">
        <f aca="false">IF(T93="","",T93-T92)</f>
        <v/>
      </c>
      <c r="AW93" s="28" t="str">
        <f aca="false">IF(U93="","",U93-U92)</f>
        <v/>
      </c>
      <c r="AX93" s="28" t="str">
        <f aca="false">IF(V93="","",V93-V92)</f>
        <v/>
      </c>
      <c r="AY93" s="28" t="str">
        <f aca="false">IF(W93="","",W93-W92)</f>
        <v/>
      </c>
      <c r="AZ93" s="28" t="str">
        <f aca="false">IF(X93="","",X93-X92)</f>
        <v/>
      </c>
      <c r="BA93" s="28" t="str">
        <f aca="false">IF(Y93="","",Y93-Y92)</f>
        <v/>
      </c>
      <c r="BB93" s="28" t="str">
        <f aca="false">IF(Z93="","",Z93-Z92)</f>
        <v/>
      </c>
      <c r="BC93" s="28" t="n">
        <f aca="false">IF(AA93="","",AA93-AA92)</f>
        <v>2</v>
      </c>
    </row>
    <row r="94" customFormat="false" ht="15" hidden="false" customHeight="false" outlineLevel="0" collapsed="false">
      <c r="A94" s="72" t="n">
        <v>46301</v>
      </c>
      <c r="B94" s="26" t="n">
        <f aca="false">IF(B$7="","",CHOOSE(MATCH($B$4,Lists!$C$2:$C$5,0),SUMIFS(Sales_Data!$O$2:$O$3520,Sales_Data!$C$2:$C$3520,$A94,Sales_Data!$F$2:$F$3520,B$7,Sales_Data!$AE$2:$AE$3520,1),SUMIFS(Sales_Data!$M$2:$M$3520,Sales_Data!$C$2:$C$3520,$A94,Sales_Data!$F$2:$F$3520,B$7,Sales_Data!$AE$2:$AE$3520,1),SUMIFS(Sales_Data!$N$2:$N$3520,Sales_Data!$C$2:$C$3520,$A94,Sales_Data!$F$2:$F$3520,B$7,Sales_Data!$AE$2:$AE$3520,1),SUMIFS(Sales_Data!$AE$2:$AE$3520,Sales_Data!$C$2:$C$3520,$A94,Sales_Data!$F$2:$F$3520,B$7)))</f>
        <v>1</v>
      </c>
      <c r="C94" s="26" t="n">
        <f aca="false">IF(C$7="","",CHOOSE(MATCH($B$4,Lists!$C$2:$C$5,0),SUMIFS(Sales_Data!$O$2:$O$3520,Sales_Data!$C$2:$C$3520,$A94,Sales_Data!$F$2:$F$3520,C$7,Sales_Data!$AE$2:$AE$3520,1),SUMIFS(Sales_Data!$M$2:$M$3520,Sales_Data!$C$2:$C$3520,$A94,Sales_Data!$F$2:$F$3520,C$7,Sales_Data!$AE$2:$AE$3520,1),SUMIFS(Sales_Data!$N$2:$N$3520,Sales_Data!$C$2:$C$3520,$A94,Sales_Data!$F$2:$F$3520,C$7,Sales_Data!$AE$2:$AE$3520,1),SUMIFS(Sales_Data!$AE$2:$AE$3520,Sales_Data!$C$2:$C$3520,$A94,Sales_Data!$F$2:$F$3520,C$7)))</f>
        <v>0</v>
      </c>
      <c r="D94" s="26" t="n">
        <f aca="false">IF(D$7="","",CHOOSE(MATCH($B$4,Lists!$C$2:$C$5,0),SUMIFS(Sales_Data!$O$2:$O$3520,Sales_Data!$C$2:$C$3520,$A94,Sales_Data!$F$2:$F$3520,D$7,Sales_Data!$AE$2:$AE$3520,1),SUMIFS(Sales_Data!$M$2:$M$3520,Sales_Data!$C$2:$C$3520,$A94,Sales_Data!$F$2:$F$3520,D$7,Sales_Data!$AE$2:$AE$3520,1),SUMIFS(Sales_Data!$N$2:$N$3520,Sales_Data!$C$2:$C$3520,$A94,Sales_Data!$F$2:$F$3520,D$7,Sales_Data!$AE$2:$AE$3520,1),SUMIFS(Sales_Data!$AE$2:$AE$3520,Sales_Data!$C$2:$C$3520,$A94,Sales_Data!$F$2:$F$3520,D$7)))</f>
        <v>1</v>
      </c>
      <c r="E94" s="26" t="n">
        <f aca="false">IF(E$7="","",CHOOSE(MATCH($B$4,Lists!$C$2:$C$5,0),SUMIFS(Sales_Data!$O$2:$O$3520,Sales_Data!$C$2:$C$3520,$A94,Sales_Data!$F$2:$F$3520,E$7,Sales_Data!$AE$2:$AE$3520,1),SUMIFS(Sales_Data!$M$2:$M$3520,Sales_Data!$C$2:$C$3520,$A94,Sales_Data!$F$2:$F$3520,E$7,Sales_Data!$AE$2:$AE$3520,1),SUMIFS(Sales_Data!$N$2:$N$3520,Sales_Data!$C$2:$C$3520,$A94,Sales_Data!$F$2:$F$3520,E$7,Sales_Data!$AE$2:$AE$3520,1),SUMIFS(Sales_Data!$AE$2:$AE$3520,Sales_Data!$C$2:$C$3520,$A94,Sales_Data!$F$2:$F$3520,E$7)))</f>
        <v>1</v>
      </c>
      <c r="F94" s="26" t="n">
        <f aca="false">IF(F$7="","",CHOOSE(MATCH($B$4,Lists!$C$2:$C$5,0),SUMIFS(Sales_Data!$O$2:$O$3520,Sales_Data!$C$2:$C$3520,$A94,Sales_Data!$F$2:$F$3520,F$7,Sales_Data!$AE$2:$AE$3520,1),SUMIFS(Sales_Data!$M$2:$M$3520,Sales_Data!$C$2:$C$3520,$A94,Sales_Data!$F$2:$F$3520,F$7,Sales_Data!$AE$2:$AE$3520,1),SUMIFS(Sales_Data!$N$2:$N$3520,Sales_Data!$C$2:$C$3520,$A94,Sales_Data!$F$2:$F$3520,F$7,Sales_Data!$AE$2:$AE$3520,1),SUMIFS(Sales_Data!$AE$2:$AE$3520,Sales_Data!$C$2:$C$3520,$A94,Sales_Data!$F$2:$F$3520,F$7)))</f>
        <v>2</v>
      </c>
      <c r="G94" s="26" t="n">
        <f aca="false">IF(G$7="","",CHOOSE(MATCH($B$4,Lists!$C$2:$C$5,0),SUMIFS(Sales_Data!$O$2:$O$3520,Sales_Data!$C$2:$C$3520,$A94,Sales_Data!$F$2:$F$3520,G$7,Sales_Data!$AE$2:$AE$3520,1),SUMIFS(Sales_Data!$M$2:$M$3520,Sales_Data!$C$2:$C$3520,$A94,Sales_Data!$F$2:$F$3520,G$7,Sales_Data!$AE$2:$AE$3520,1),SUMIFS(Sales_Data!$N$2:$N$3520,Sales_Data!$C$2:$C$3520,$A94,Sales_Data!$F$2:$F$3520,G$7,Sales_Data!$AE$2:$AE$3520,1),SUMIFS(Sales_Data!$AE$2:$AE$3520,Sales_Data!$C$2:$C$3520,$A94,Sales_Data!$F$2:$F$3520,G$7)))</f>
        <v>0</v>
      </c>
      <c r="H94" s="26" t="n">
        <f aca="false">IF(H$7="","",CHOOSE(MATCH($B$4,Lists!$C$2:$C$5,0),SUMIFS(Sales_Data!$O$2:$O$3520,Sales_Data!$C$2:$C$3520,$A94,Sales_Data!$F$2:$F$3520,H$7,Sales_Data!$AE$2:$AE$3520,1),SUMIFS(Sales_Data!$M$2:$M$3520,Sales_Data!$C$2:$C$3520,$A94,Sales_Data!$F$2:$F$3520,H$7,Sales_Data!$AE$2:$AE$3520,1),SUMIFS(Sales_Data!$N$2:$N$3520,Sales_Data!$C$2:$C$3520,$A94,Sales_Data!$F$2:$F$3520,H$7,Sales_Data!$AE$2:$AE$3520,1),SUMIFS(Sales_Data!$AE$2:$AE$3520,Sales_Data!$C$2:$C$3520,$A94,Sales_Data!$F$2:$F$3520,H$7)))</f>
        <v>1</v>
      </c>
      <c r="I94" s="26" t="n">
        <f aca="false">IF(I$7="","",CHOOSE(MATCH($B$4,Lists!$C$2:$C$5,0),SUMIFS(Sales_Data!$O$2:$O$3520,Sales_Data!$C$2:$C$3520,$A94,Sales_Data!$F$2:$F$3520,I$7,Sales_Data!$AE$2:$AE$3520,1),SUMIFS(Sales_Data!$M$2:$M$3520,Sales_Data!$C$2:$C$3520,$A94,Sales_Data!$F$2:$F$3520,I$7,Sales_Data!$AE$2:$AE$3520,1),SUMIFS(Sales_Data!$N$2:$N$3520,Sales_Data!$C$2:$C$3520,$A94,Sales_Data!$F$2:$F$3520,I$7,Sales_Data!$AE$2:$AE$3520,1),SUMIFS(Sales_Data!$AE$2:$AE$3520,Sales_Data!$C$2:$C$3520,$A94,Sales_Data!$F$2:$F$3520,I$7)))</f>
        <v>0</v>
      </c>
      <c r="J94" s="26" t="n">
        <f aca="false">IF(J$7="","",CHOOSE(MATCH($B$4,Lists!$C$2:$C$5,0),SUMIFS(Sales_Data!$O$2:$O$3520,Sales_Data!$C$2:$C$3520,$A94,Sales_Data!$F$2:$F$3520,J$7,Sales_Data!$AE$2:$AE$3520,1),SUMIFS(Sales_Data!$M$2:$M$3520,Sales_Data!$C$2:$C$3520,$A94,Sales_Data!$F$2:$F$3520,J$7,Sales_Data!$AE$2:$AE$3520,1),SUMIFS(Sales_Data!$N$2:$N$3520,Sales_Data!$C$2:$C$3520,$A94,Sales_Data!$F$2:$F$3520,J$7,Sales_Data!$AE$2:$AE$3520,1),SUMIFS(Sales_Data!$AE$2:$AE$3520,Sales_Data!$C$2:$C$3520,$A94,Sales_Data!$F$2:$F$3520,J$7)))</f>
        <v>0</v>
      </c>
      <c r="K94" s="26" t="n">
        <f aca="false">IF(K$7="","",CHOOSE(MATCH($B$4,Lists!$C$2:$C$5,0),SUMIFS(Sales_Data!$O$2:$O$3520,Sales_Data!$C$2:$C$3520,$A94,Sales_Data!$F$2:$F$3520,K$7,Sales_Data!$AE$2:$AE$3520,1),SUMIFS(Sales_Data!$M$2:$M$3520,Sales_Data!$C$2:$C$3520,$A94,Sales_Data!$F$2:$F$3520,K$7,Sales_Data!$AE$2:$AE$3520,1),SUMIFS(Sales_Data!$N$2:$N$3520,Sales_Data!$C$2:$C$3520,$A94,Sales_Data!$F$2:$F$3520,K$7,Sales_Data!$AE$2:$AE$3520,1),SUMIFS(Sales_Data!$AE$2:$AE$3520,Sales_Data!$C$2:$C$3520,$A94,Sales_Data!$F$2:$F$3520,K$7)))</f>
        <v>0</v>
      </c>
      <c r="L94" s="26" t="n">
        <f aca="false">IF(L$7="","",CHOOSE(MATCH($B$4,Lists!$C$2:$C$5,0),SUMIFS(Sales_Data!$O$2:$O$3520,Sales_Data!$C$2:$C$3520,$A94,Sales_Data!$F$2:$F$3520,L$7,Sales_Data!$AE$2:$AE$3520,1),SUMIFS(Sales_Data!$M$2:$M$3520,Sales_Data!$C$2:$C$3520,$A94,Sales_Data!$F$2:$F$3520,L$7,Sales_Data!$AE$2:$AE$3520,1),SUMIFS(Sales_Data!$N$2:$N$3520,Sales_Data!$C$2:$C$3520,$A94,Sales_Data!$F$2:$F$3520,L$7,Sales_Data!$AE$2:$AE$3520,1),SUMIFS(Sales_Data!$AE$2:$AE$3520,Sales_Data!$C$2:$C$3520,$A94,Sales_Data!$F$2:$F$3520,L$7)))</f>
        <v>0</v>
      </c>
      <c r="M94" s="26" t="n">
        <f aca="false">IF(M$7="","",CHOOSE(MATCH($B$4,Lists!$C$2:$C$5,0),SUMIFS(Sales_Data!$O$2:$O$3520,Sales_Data!$C$2:$C$3520,$A94,Sales_Data!$F$2:$F$3520,M$7,Sales_Data!$AE$2:$AE$3520,1),SUMIFS(Sales_Data!$M$2:$M$3520,Sales_Data!$C$2:$C$3520,$A94,Sales_Data!$F$2:$F$3520,M$7,Sales_Data!$AE$2:$AE$3520,1),SUMIFS(Sales_Data!$N$2:$N$3520,Sales_Data!$C$2:$C$3520,$A94,Sales_Data!$F$2:$F$3520,M$7,Sales_Data!$AE$2:$AE$3520,1),SUMIFS(Sales_Data!$AE$2:$AE$3520,Sales_Data!$C$2:$C$3520,$A94,Sales_Data!$F$2:$F$3520,M$7)))</f>
        <v>0</v>
      </c>
      <c r="N94" s="26" t="n">
        <f aca="false">IF(N$7="","",CHOOSE(MATCH($B$4,Lists!$C$2:$C$5,0),SUMIFS(Sales_Data!$O$2:$O$3520,Sales_Data!$C$2:$C$3520,$A94,Sales_Data!$F$2:$F$3520,N$7,Sales_Data!$AE$2:$AE$3520,1),SUMIFS(Sales_Data!$M$2:$M$3520,Sales_Data!$C$2:$C$3520,$A94,Sales_Data!$F$2:$F$3520,N$7,Sales_Data!$AE$2:$AE$3520,1),SUMIFS(Sales_Data!$N$2:$N$3520,Sales_Data!$C$2:$C$3520,$A94,Sales_Data!$F$2:$F$3520,N$7,Sales_Data!$AE$2:$AE$3520,1),SUMIFS(Sales_Data!$AE$2:$AE$3520,Sales_Data!$C$2:$C$3520,$A94,Sales_Data!$F$2:$F$3520,N$7)))</f>
        <v>0</v>
      </c>
      <c r="O94" s="26" t="n">
        <f aca="false">IF(O$7="","",CHOOSE(MATCH($B$4,Lists!$C$2:$C$5,0),SUMIFS(Sales_Data!$O$2:$O$3520,Sales_Data!$C$2:$C$3520,$A94,Sales_Data!$F$2:$F$3520,O$7,Sales_Data!$AE$2:$AE$3520,1),SUMIFS(Sales_Data!$M$2:$M$3520,Sales_Data!$C$2:$C$3520,$A94,Sales_Data!$F$2:$F$3520,O$7,Sales_Data!$AE$2:$AE$3520,1),SUMIFS(Sales_Data!$N$2:$N$3520,Sales_Data!$C$2:$C$3520,$A94,Sales_Data!$F$2:$F$3520,O$7,Sales_Data!$AE$2:$AE$3520,1),SUMIFS(Sales_Data!$AE$2:$AE$3520,Sales_Data!$C$2:$C$3520,$A94,Sales_Data!$F$2:$F$3520,O$7)))</f>
        <v>0</v>
      </c>
      <c r="P94" s="26" t="n">
        <f aca="false">IF(P$7="","",CHOOSE(MATCH($B$4,Lists!$C$2:$C$5,0),SUMIFS(Sales_Data!$O$2:$O$3520,Sales_Data!$C$2:$C$3520,$A94,Sales_Data!$F$2:$F$3520,P$7,Sales_Data!$AE$2:$AE$3520,1),SUMIFS(Sales_Data!$M$2:$M$3520,Sales_Data!$C$2:$C$3520,$A94,Sales_Data!$F$2:$F$3520,P$7,Sales_Data!$AE$2:$AE$3520,1),SUMIFS(Sales_Data!$N$2:$N$3520,Sales_Data!$C$2:$C$3520,$A94,Sales_Data!$F$2:$F$3520,P$7,Sales_Data!$AE$2:$AE$3520,1),SUMIFS(Sales_Data!$AE$2:$AE$3520,Sales_Data!$C$2:$C$3520,$A94,Sales_Data!$F$2:$F$3520,P$7)))</f>
        <v>0</v>
      </c>
      <c r="Q94" s="26" t="n">
        <f aca="false">IF(Q$7="","",CHOOSE(MATCH($B$4,Lists!$C$2:$C$5,0),SUMIFS(Sales_Data!$O$2:$O$3520,Sales_Data!$C$2:$C$3520,$A94,Sales_Data!$F$2:$F$3520,Q$7,Sales_Data!$AE$2:$AE$3520,1),SUMIFS(Sales_Data!$M$2:$M$3520,Sales_Data!$C$2:$C$3520,$A94,Sales_Data!$F$2:$F$3520,Q$7,Sales_Data!$AE$2:$AE$3520,1),SUMIFS(Sales_Data!$N$2:$N$3520,Sales_Data!$C$2:$C$3520,$A94,Sales_Data!$F$2:$F$3520,Q$7,Sales_Data!$AE$2:$AE$3520,1),SUMIFS(Sales_Data!$AE$2:$AE$3520,Sales_Data!$C$2:$C$3520,$A94,Sales_Data!$F$2:$F$3520,Q$7)))</f>
        <v>0</v>
      </c>
      <c r="R94" s="26" t="n">
        <f aca="false">IF(R$7="","",CHOOSE(MATCH($B$4,Lists!$C$2:$C$5,0),SUMIFS(Sales_Data!$O$2:$O$3520,Sales_Data!$C$2:$C$3520,$A94,Sales_Data!$F$2:$F$3520,R$7,Sales_Data!$AE$2:$AE$3520,1),SUMIFS(Sales_Data!$M$2:$M$3520,Sales_Data!$C$2:$C$3520,$A94,Sales_Data!$F$2:$F$3520,R$7,Sales_Data!$AE$2:$AE$3520,1),SUMIFS(Sales_Data!$N$2:$N$3520,Sales_Data!$C$2:$C$3520,$A94,Sales_Data!$F$2:$F$3520,R$7,Sales_Data!$AE$2:$AE$3520,1),SUMIFS(Sales_Data!$AE$2:$AE$3520,Sales_Data!$C$2:$C$3520,$A94,Sales_Data!$F$2:$F$3520,R$7)))</f>
        <v>0</v>
      </c>
      <c r="S94" s="26" t="n">
        <f aca="false">IF(S$7="","",CHOOSE(MATCH($B$4,Lists!$C$2:$C$5,0),SUMIFS(Sales_Data!$O$2:$O$3520,Sales_Data!$C$2:$C$3520,$A94,Sales_Data!$F$2:$F$3520,S$7,Sales_Data!$AE$2:$AE$3520,1),SUMIFS(Sales_Data!$M$2:$M$3520,Sales_Data!$C$2:$C$3520,$A94,Sales_Data!$F$2:$F$3520,S$7,Sales_Data!$AE$2:$AE$3520,1),SUMIFS(Sales_Data!$N$2:$N$3520,Sales_Data!$C$2:$C$3520,$A94,Sales_Data!$F$2:$F$3520,S$7,Sales_Data!$AE$2:$AE$3520,1),SUMIFS(Sales_Data!$AE$2:$AE$3520,Sales_Data!$C$2:$C$3520,$A94,Sales_Data!$F$2:$F$3520,S$7)))</f>
        <v>1</v>
      </c>
      <c r="T94" s="26" t="str">
        <f aca="false">IF(T$7="","",CHOOSE(MATCH($B$4,Lists!$C$2:$C$5,0),SUMIFS(Sales_Data!$O$2:$O$3520,Sales_Data!$C$2:$C$3520,$A94,Sales_Data!$F$2:$F$3520,T$7,Sales_Data!$AE$2:$AE$3520,1),SUMIFS(Sales_Data!$M$2:$M$3520,Sales_Data!$C$2:$C$3520,$A94,Sales_Data!$F$2:$F$3520,T$7,Sales_Data!$AE$2:$AE$3520,1),SUMIFS(Sales_Data!$N$2:$N$3520,Sales_Data!$C$2:$C$3520,$A94,Sales_Data!$F$2:$F$3520,T$7,Sales_Data!$AE$2:$AE$3520,1),SUMIFS(Sales_Data!$AE$2:$AE$3520,Sales_Data!$C$2:$C$3520,$A94,Sales_Data!$F$2:$F$3520,T$7)))</f>
        <v/>
      </c>
      <c r="U94" s="26" t="str">
        <f aca="false">IF(U$7="","",CHOOSE(MATCH($B$4,Lists!$C$2:$C$5,0),SUMIFS(Sales_Data!$O$2:$O$3520,Sales_Data!$C$2:$C$3520,$A94,Sales_Data!$F$2:$F$3520,U$7,Sales_Data!$AE$2:$AE$3520,1),SUMIFS(Sales_Data!$M$2:$M$3520,Sales_Data!$C$2:$C$3520,$A94,Sales_Data!$F$2:$F$3520,U$7,Sales_Data!$AE$2:$AE$3520,1),SUMIFS(Sales_Data!$N$2:$N$3520,Sales_Data!$C$2:$C$3520,$A94,Sales_Data!$F$2:$F$3520,U$7,Sales_Data!$AE$2:$AE$3520,1),SUMIFS(Sales_Data!$AE$2:$AE$3520,Sales_Data!$C$2:$C$3520,$A94,Sales_Data!$F$2:$F$3520,U$7)))</f>
        <v/>
      </c>
      <c r="V94" s="26" t="str">
        <f aca="false">IF(V$7="","",CHOOSE(MATCH($B$4,Lists!$C$2:$C$5,0),SUMIFS(Sales_Data!$O$2:$O$3520,Sales_Data!$C$2:$C$3520,$A94,Sales_Data!$F$2:$F$3520,V$7,Sales_Data!$AE$2:$AE$3520,1),SUMIFS(Sales_Data!$M$2:$M$3520,Sales_Data!$C$2:$C$3520,$A94,Sales_Data!$F$2:$F$3520,V$7,Sales_Data!$AE$2:$AE$3520,1),SUMIFS(Sales_Data!$N$2:$N$3520,Sales_Data!$C$2:$C$3520,$A94,Sales_Data!$F$2:$F$3520,V$7,Sales_Data!$AE$2:$AE$3520,1),SUMIFS(Sales_Data!$AE$2:$AE$3520,Sales_Data!$C$2:$C$3520,$A94,Sales_Data!$F$2:$F$3520,V$7)))</f>
        <v/>
      </c>
      <c r="W94" s="26" t="str">
        <f aca="false">IF(W$7="","",CHOOSE(MATCH($B$4,Lists!$C$2:$C$5,0),SUMIFS(Sales_Data!$O$2:$O$3520,Sales_Data!$C$2:$C$3520,$A94,Sales_Data!$F$2:$F$3520,W$7,Sales_Data!$AE$2:$AE$3520,1),SUMIFS(Sales_Data!$M$2:$M$3520,Sales_Data!$C$2:$C$3520,$A94,Sales_Data!$F$2:$F$3520,W$7,Sales_Data!$AE$2:$AE$3520,1),SUMIFS(Sales_Data!$N$2:$N$3520,Sales_Data!$C$2:$C$3520,$A94,Sales_Data!$F$2:$F$3520,W$7,Sales_Data!$AE$2:$AE$3520,1),SUMIFS(Sales_Data!$AE$2:$AE$3520,Sales_Data!$C$2:$C$3520,$A94,Sales_Data!$F$2:$F$3520,W$7)))</f>
        <v/>
      </c>
      <c r="X94" s="26" t="str">
        <f aca="false">IF(X$7="","",CHOOSE(MATCH($B$4,Lists!$C$2:$C$5,0),SUMIFS(Sales_Data!$O$2:$O$3520,Sales_Data!$C$2:$C$3520,$A94,Sales_Data!$F$2:$F$3520,X$7,Sales_Data!$AE$2:$AE$3520,1),SUMIFS(Sales_Data!$M$2:$M$3520,Sales_Data!$C$2:$C$3520,$A94,Sales_Data!$F$2:$F$3520,X$7,Sales_Data!$AE$2:$AE$3520,1),SUMIFS(Sales_Data!$N$2:$N$3520,Sales_Data!$C$2:$C$3520,$A94,Sales_Data!$F$2:$F$3520,X$7,Sales_Data!$AE$2:$AE$3520,1),SUMIFS(Sales_Data!$AE$2:$AE$3520,Sales_Data!$C$2:$C$3520,$A94,Sales_Data!$F$2:$F$3520,X$7)))</f>
        <v/>
      </c>
      <c r="Y94" s="26" t="str">
        <f aca="false">IF(Y$7="","",CHOOSE(MATCH($B$4,Lists!$C$2:$C$5,0),SUMIFS(Sales_Data!$O$2:$O$3520,Sales_Data!$C$2:$C$3520,$A94,Sales_Data!$F$2:$F$3520,Y$7,Sales_Data!$AE$2:$AE$3520,1),SUMIFS(Sales_Data!$M$2:$M$3520,Sales_Data!$C$2:$C$3520,$A94,Sales_Data!$F$2:$F$3520,Y$7,Sales_Data!$AE$2:$AE$3520,1),SUMIFS(Sales_Data!$N$2:$N$3520,Sales_Data!$C$2:$C$3520,$A94,Sales_Data!$F$2:$F$3520,Y$7,Sales_Data!$AE$2:$AE$3520,1),SUMIFS(Sales_Data!$AE$2:$AE$3520,Sales_Data!$C$2:$C$3520,$A94,Sales_Data!$F$2:$F$3520,Y$7)))</f>
        <v/>
      </c>
      <c r="Z94" s="26" t="str">
        <f aca="false">IF(Z$7="","",CHOOSE(MATCH($B$4,Lists!$C$2:$C$5,0),SUMIFS(Sales_Data!$O$2:$O$3520,Sales_Data!$C$2:$C$3520,$A94,Sales_Data!$F$2:$F$3520,Z$7,Sales_Data!$AE$2:$AE$3520,1),SUMIFS(Sales_Data!$M$2:$M$3520,Sales_Data!$C$2:$C$3520,$A94,Sales_Data!$F$2:$F$3520,Z$7,Sales_Data!$AE$2:$AE$3520,1),SUMIFS(Sales_Data!$N$2:$N$3520,Sales_Data!$C$2:$C$3520,$A94,Sales_Data!$F$2:$F$3520,Z$7,Sales_Data!$AE$2:$AE$3520,1),SUMIFS(Sales_Data!$AE$2:$AE$3520,Sales_Data!$C$2:$C$3520,$A94,Sales_Data!$F$2:$F$3520,Z$7)))</f>
        <v/>
      </c>
      <c r="AA94" s="27" t="n">
        <f aca="false">SUM(B94:Z94)</f>
        <v>7</v>
      </c>
      <c r="AB94" s="3"/>
      <c r="AC94" s="72" t="n">
        <f aca="false">A94</f>
        <v>46301</v>
      </c>
      <c r="AD94" s="28" t="n">
        <f aca="false">IF(B94="","",B94-B93)</f>
        <v>1</v>
      </c>
      <c r="AE94" s="28" t="n">
        <f aca="false">IF(C94="","",C94-C93)</f>
        <v>-2</v>
      </c>
      <c r="AF94" s="28" t="n">
        <f aca="false">IF(D94="","",D94-D93)</f>
        <v>0</v>
      </c>
      <c r="AG94" s="28" t="n">
        <f aca="false">IF(E94="","",E94-E93)</f>
        <v>1</v>
      </c>
      <c r="AH94" s="28" t="n">
        <f aca="false">IF(F94="","",F94-F93)</f>
        <v>2</v>
      </c>
      <c r="AI94" s="28" t="n">
        <f aca="false">IF(G94="","",G94-G93)</f>
        <v>0</v>
      </c>
      <c r="AJ94" s="28" t="n">
        <f aca="false">IF(H94="","",H94-H93)</f>
        <v>1</v>
      </c>
      <c r="AK94" s="28" t="n">
        <f aca="false">IF(I94="","",I94-I93)</f>
        <v>0</v>
      </c>
      <c r="AL94" s="28" t="n">
        <f aca="false">IF(J94="","",J94-J93)</f>
        <v>0</v>
      </c>
      <c r="AM94" s="28" t="n">
        <f aca="false">IF(K94="","",K94-K93)</f>
        <v>0</v>
      </c>
      <c r="AN94" s="28" t="n">
        <f aca="false">IF(L94="","",L94-L93)</f>
        <v>0</v>
      </c>
      <c r="AO94" s="28" t="n">
        <f aca="false">IF(M94="","",M94-M93)</f>
        <v>0</v>
      </c>
      <c r="AP94" s="28" t="n">
        <f aca="false">IF(N94="","",N94-N93)</f>
        <v>0</v>
      </c>
      <c r="AQ94" s="28" t="n">
        <f aca="false">IF(O94="","",O94-O93)</f>
        <v>-1</v>
      </c>
      <c r="AR94" s="28" t="n">
        <f aca="false">IF(P94="","",P94-P93)</f>
        <v>0</v>
      </c>
      <c r="AS94" s="28" t="n">
        <f aca="false">IF(Q94="","",Q94-Q93)</f>
        <v>-3</v>
      </c>
      <c r="AT94" s="28" t="n">
        <f aca="false">IF(R94="","",R94-R93)</f>
        <v>0</v>
      </c>
      <c r="AU94" s="28" t="n">
        <f aca="false">IF(S94="","",S94-S93)</f>
        <v>1</v>
      </c>
      <c r="AV94" s="28" t="str">
        <f aca="false">IF(T94="","",T94-T93)</f>
        <v/>
      </c>
      <c r="AW94" s="28" t="str">
        <f aca="false">IF(U94="","",U94-U93)</f>
        <v/>
      </c>
      <c r="AX94" s="28" t="str">
        <f aca="false">IF(V94="","",V94-V93)</f>
        <v/>
      </c>
      <c r="AY94" s="28" t="str">
        <f aca="false">IF(W94="","",W94-W93)</f>
        <v/>
      </c>
      <c r="AZ94" s="28" t="str">
        <f aca="false">IF(X94="","",X94-X93)</f>
        <v/>
      </c>
      <c r="BA94" s="28" t="str">
        <f aca="false">IF(Y94="","",Y94-Y93)</f>
        <v/>
      </c>
      <c r="BB94" s="28" t="str">
        <f aca="false">IF(Z94="","",Z94-Z93)</f>
        <v/>
      </c>
      <c r="BC94" s="28" t="n">
        <f aca="false">IF(AA94="","",AA94-AA93)</f>
        <v>0</v>
      </c>
    </row>
    <row r="95" customFormat="false" ht="15" hidden="false" customHeight="false" outlineLevel="0" collapsed="false">
      <c r="A95" s="72" t="n">
        <v>46302</v>
      </c>
      <c r="B95" s="26" t="n">
        <f aca="false">IF(B$7="","",CHOOSE(MATCH($B$4,Lists!$C$2:$C$5,0),SUMIFS(Sales_Data!$O$2:$O$3520,Sales_Data!$C$2:$C$3520,$A95,Sales_Data!$F$2:$F$3520,B$7,Sales_Data!$AE$2:$AE$3520,1),SUMIFS(Sales_Data!$M$2:$M$3520,Sales_Data!$C$2:$C$3520,$A95,Sales_Data!$F$2:$F$3520,B$7,Sales_Data!$AE$2:$AE$3520,1),SUMIFS(Sales_Data!$N$2:$N$3520,Sales_Data!$C$2:$C$3520,$A95,Sales_Data!$F$2:$F$3520,B$7,Sales_Data!$AE$2:$AE$3520,1),SUMIFS(Sales_Data!$AE$2:$AE$3520,Sales_Data!$C$2:$C$3520,$A95,Sales_Data!$F$2:$F$3520,B$7)))</f>
        <v>2</v>
      </c>
      <c r="C95" s="26" t="n">
        <f aca="false">IF(C$7="","",CHOOSE(MATCH($B$4,Lists!$C$2:$C$5,0),SUMIFS(Sales_Data!$O$2:$O$3520,Sales_Data!$C$2:$C$3520,$A95,Sales_Data!$F$2:$F$3520,C$7,Sales_Data!$AE$2:$AE$3520,1),SUMIFS(Sales_Data!$M$2:$M$3520,Sales_Data!$C$2:$C$3520,$A95,Sales_Data!$F$2:$F$3520,C$7,Sales_Data!$AE$2:$AE$3520,1),SUMIFS(Sales_Data!$N$2:$N$3520,Sales_Data!$C$2:$C$3520,$A95,Sales_Data!$F$2:$F$3520,C$7,Sales_Data!$AE$2:$AE$3520,1),SUMIFS(Sales_Data!$AE$2:$AE$3520,Sales_Data!$C$2:$C$3520,$A95,Sales_Data!$F$2:$F$3520,C$7)))</f>
        <v>2</v>
      </c>
      <c r="D95" s="26" t="n">
        <f aca="false">IF(D$7="","",CHOOSE(MATCH($B$4,Lists!$C$2:$C$5,0),SUMIFS(Sales_Data!$O$2:$O$3520,Sales_Data!$C$2:$C$3520,$A95,Sales_Data!$F$2:$F$3520,D$7,Sales_Data!$AE$2:$AE$3520,1),SUMIFS(Sales_Data!$M$2:$M$3520,Sales_Data!$C$2:$C$3520,$A95,Sales_Data!$F$2:$F$3520,D$7,Sales_Data!$AE$2:$AE$3520,1),SUMIFS(Sales_Data!$N$2:$N$3520,Sales_Data!$C$2:$C$3520,$A95,Sales_Data!$F$2:$F$3520,D$7,Sales_Data!$AE$2:$AE$3520,1),SUMIFS(Sales_Data!$AE$2:$AE$3520,Sales_Data!$C$2:$C$3520,$A95,Sales_Data!$F$2:$F$3520,D$7)))</f>
        <v>0</v>
      </c>
      <c r="E95" s="26" t="n">
        <f aca="false">IF(E$7="","",CHOOSE(MATCH($B$4,Lists!$C$2:$C$5,0),SUMIFS(Sales_Data!$O$2:$O$3520,Sales_Data!$C$2:$C$3520,$A95,Sales_Data!$F$2:$F$3520,E$7,Sales_Data!$AE$2:$AE$3520,1),SUMIFS(Sales_Data!$M$2:$M$3520,Sales_Data!$C$2:$C$3520,$A95,Sales_Data!$F$2:$F$3520,E$7,Sales_Data!$AE$2:$AE$3520,1),SUMIFS(Sales_Data!$N$2:$N$3520,Sales_Data!$C$2:$C$3520,$A95,Sales_Data!$F$2:$F$3520,E$7,Sales_Data!$AE$2:$AE$3520,1),SUMIFS(Sales_Data!$AE$2:$AE$3520,Sales_Data!$C$2:$C$3520,$A95,Sales_Data!$F$2:$F$3520,E$7)))</f>
        <v>1</v>
      </c>
      <c r="F95" s="26" t="n">
        <f aca="false">IF(F$7="","",CHOOSE(MATCH($B$4,Lists!$C$2:$C$5,0),SUMIFS(Sales_Data!$O$2:$O$3520,Sales_Data!$C$2:$C$3520,$A95,Sales_Data!$F$2:$F$3520,F$7,Sales_Data!$AE$2:$AE$3520,1),SUMIFS(Sales_Data!$M$2:$M$3520,Sales_Data!$C$2:$C$3520,$A95,Sales_Data!$F$2:$F$3520,F$7,Sales_Data!$AE$2:$AE$3520,1),SUMIFS(Sales_Data!$N$2:$N$3520,Sales_Data!$C$2:$C$3520,$A95,Sales_Data!$F$2:$F$3520,F$7,Sales_Data!$AE$2:$AE$3520,1),SUMIFS(Sales_Data!$AE$2:$AE$3520,Sales_Data!$C$2:$C$3520,$A95,Sales_Data!$F$2:$F$3520,F$7)))</f>
        <v>1</v>
      </c>
      <c r="G95" s="26" t="n">
        <f aca="false">IF(G$7="","",CHOOSE(MATCH($B$4,Lists!$C$2:$C$5,0),SUMIFS(Sales_Data!$O$2:$O$3520,Sales_Data!$C$2:$C$3520,$A95,Sales_Data!$F$2:$F$3520,G$7,Sales_Data!$AE$2:$AE$3520,1),SUMIFS(Sales_Data!$M$2:$M$3520,Sales_Data!$C$2:$C$3520,$A95,Sales_Data!$F$2:$F$3520,G$7,Sales_Data!$AE$2:$AE$3520,1),SUMIFS(Sales_Data!$N$2:$N$3520,Sales_Data!$C$2:$C$3520,$A95,Sales_Data!$F$2:$F$3520,G$7,Sales_Data!$AE$2:$AE$3520,1),SUMIFS(Sales_Data!$AE$2:$AE$3520,Sales_Data!$C$2:$C$3520,$A95,Sales_Data!$F$2:$F$3520,G$7)))</f>
        <v>0</v>
      </c>
      <c r="H95" s="26" t="n">
        <f aca="false">IF(H$7="","",CHOOSE(MATCH($B$4,Lists!$C$2:$C$5,0),SUMIFS(Sales_Data!$O$2:$O$3520,Sales_Data!$C$2:$C$3520,$A95,Sales_Data!$F$2:$F$3520,H$7,Sales_Data!$AE$2:$AE$3520,1),SUMIFS(Sales_Data!$M$2:$M$3520,Sales_Data!$C$2:$C$3520,$A95,Sales_Data!$F$2:$F$3520,H$7,Sales_Data!$AE$2:$AE$3520,1),SUMIFS(Sales_Data!$N$2:$N$3520,Sales_Data!$C$2:$C$3520,$A95,Sales_Data!$F$2:$F$3520,H$7,Sales_Data!$AE$2:$AE$3520,1),SUMIFS(Sales_Data!$AE$2:$AE$3520,Sales_Data!$C$2:$C$3520,$A95,Sales_Data!$F$2:$F$3520,H$7)))</f>
        <v>5</v>
      </c>
      <c r="I95" s="26" t="n">
        <f aca="false">IF(I$7="","",CHOOSE(MATCH($B$4,Lists!$C$2:$C$5,0),SUMIFS(Sales_Data!$O$2:$O$3520,Sales_Data!$C$2:$C$3520,$A95,Sales_Data!$F$2:$F$3520,I$7,Sales_Data!$AE$2:$AE$3520,1),SUMIFS(Sales_Data!$M$2:$M$3520,Sales_Data!$C$2:$C$3520,$A95,Sales_Data!$F$2:$F$3520,I$7,Sales_Data!$AE$2:$AE$3520,1),SUMIFS(Sales_Data!$N$2:$N$3520,Sales_Data!$C$2:$C$3520,$A95,Sales_Data!$F$2:$F$3520,I$7,Sales_Data!$AE$2:$AE$3520,1),SUMIFS(Sales_Data!$AE$2:$AE$3520,Sales_Data!$C$2:$C$3520,$A95,Sales_Data!$F$2:$F$3520,I$7)))</f>
        <v>0</v>
      </c>
      <c r="J95" s="26" t="n">
        <f aca="false">IF(J$7="","",CHOOSE(MATCH($B$4,Lists!$C$2:$C$5,0),SUMIFS(Sales_Data!$O$2:$O$3520,Sales_Data!$C$2:$C$3520,$A95,Sales_Data!$F$2:$F$3520,J$7,Sales_Data!$AE$2:$AE$3520,1),SUMIFS(Sales_Data!$M$2:$M$3520,Sales_Data!$C$2:$C$3520,$A95,Sales_Data!$F$2:$F$3520,J$7,Sales_Data!$AE$2:$AE$3520,1),SUMIFS(Sales_Data!$N$2:$N$3520,Sales_Data!$C$2:$C$3520,$A95,Sales_Data!$F$2:$F$3520,J$7,Sales_Data!$AE$2:$AE$3520,1),SUMIFS(Sales_Data!$AE$2:$AE$3520,Sales_Data!$C$2:$C$3520,$A95,Sales_Data!$F$2:$F$3520,J$7)))</f>
        <v>1</v>
      </c>
      <c r="K95" s="26" t="n">
        <f aca="false">IF(K$7="","",CHOOSE(MATCH($B$4,Lists!$C$2:$C$5,0),SUMIFS(Sales_Data!$O$2:$O$3520,Sales_Data!$C$2:$C$3520,$A95,Sales_Data!$F$2:$F$3520,K$7,Sales_Data!$AE$2:$AE$3520,1),SUMIFS(Sales_Data!$M$2:$M$3520,Sales_Data!$C$2:$C$3520,$A95,Sales_Data!$F$2:$F$3520,K$7,Sales_Data!$AE$2:$AE$3520,1),SUMIFS(Sales_Data!$N$2:$N$3520,Sales_Data!$C$2:$C$3520,$A95,Sales_Data!$F$2:$F$3520,K$7,Sales_Data!$AE$2:$AE$3520,1),SUMIFS(Sales_Data!$AE$2:$AE$3520,Sales_Data!$C$2:$C$3520,$A95,Sales_Data!$F$2:$F$3520,K$7)))</f>
        <v>1</v>
      </c>
      <c r="L95" s="26" t="n">
        <f aca="false">IF(L$7="","",CHOOSE(MATCH($B$4,Lists!$C$2:$C$5,0),SUMIFS(Sales_Data!$O$2:$O$3520,Sales_Data!$C$2:$C$3520,$A95,Sales_Data!$F$2:$F$3520,L$7,Sales_Data!$AE$2:$AE$3520,1),SUMIFS(Sales_Data!$M$2:$M$3520,Sales_Data!$C$2:$C$3520,$A95,Sales_Data!$F$2:$F$3520,L$7,Sales_Data!$AE$2:$AE$3520,1),SUMIFS(Sales_Data!$N$2:$N$3520,Sales_Data!$C$2:$C$3520,$A95,Sales_Data!$F$2:$F$3520,L$7,Sales_Data!$AE$2:$AE$3520,1),SUMIFS(Sales_Data!$AE$2:$AE$3520,Sales_Data!$C$2:$C$3520,$A95,Sales_Data!$F$2:$F$3520,L$7)))</f>
        <v>0</v>
      </c>
      <c r="M95" s="26" t="n">
        <f aca="false">IF(M$7="","",CHOOSE(MATCH($B$4,Lists!$C$2:$C$5,0),SUMIFS(Sales_Data!$O$2:$O$3520,Sales_Data!$C$2:$C$3520,$A95,Sales_Data!$F$2:$F$3520,M$7,Sales_Data!$AE$2:$AE$3520,1),SUMIFS(Sales_Data!$M$2:$M$3520,Sales_Data!$C$2:$C$3520,$A95,Sales_Data!$F$2:$F$3520,M$7,Sales_Data!$AE$2:$AE$3520,1),SUMIFS(Sales_Data!$N$2:$N$3520,Sales_Data!$C$2:$C$3520,$A95,Sales_Data!$F$2:$F$3520,M$7,Sales_Data!$AE$2:$AE$3520,1),SUMIFS(Sales_Data!$AE$2:$AE$3520,Sales_Data!$C$2:$C$3520,$A95,Sales_Data!$F$2:$F$3520,M$7)))</f>
        <v>0</v>
      </c>
      <c r="N95" s="26" t="n">
        <f aca="false">IF(N$7="","",CHOOSE(MATCH($B$4,Lists!$C$2:$C$5,0),SUMIFS(Sales_Data!$O$2:$O$3520,Sales_Data!$C$2:$C$3520,$A95,Sales_Data!$F$2:$F$3520,N$7,Sales_Data!$AE$2:$AE$3520,1),SUMIFS(Sales_Data!$M$2:$M$3520,Sales_Data!$C$2:$C$3520,$A95,Sales_Data!$F$2:$F$3520,N$7,Sales_Data!$AE$2:$AE$3520,1),SUMIFS(Sales_Data!$N$2:$N$3520,Sales_Data!$C$2:$C$3520,$A95,Sales_Data!$F$2:$F$3520,N$7,Sales_Data!$AE$2:$AE$3520,1),SUMIFS(Sales_Data!$AE$2:$AE$3520,Sales_Data!$C$2:$C$3520,$A95,Sales_Data!$F$2:$F$3520,N$7)))</f>
        <v>4</v>
      </c>
      <c r="O95" s="26" t="n">
        <f aca="false">IF(O$7="","",CHOOSE(MATCH($B$4,Lists!$C$2:$C$5,0),SUMIFS(Sales_Data!$O$2:$O$3520,Sales_Data!$C$2:$C$3520,$A95,Sales_Data!$F$2:$F$3520,O$7,Sales_Data!$AE$2:$AE$3520,1),SUMIFS(Sales_Data!$M$2:$M$3520,Sales_Data!$C$2:$C$3520,$A95,Sales_Data!$F$2:$F$3520,O$7,Sales_Data!$AE$2:$AE$3520,1),SUMIFS(Sales_Data!$N$2:$N$3520,Sales_Data!$C$2:$C$3520,$A95,Sales_Data!$F$2:$F$3520,O$7,Sales_Data!$AE$2:$AE$3520,1),SUMIFS(Sales_Data!$AE$2:$AE$3520,Sales_Data!$C$2:$C$3520,$A95,Sales_Data!$F$2:$F$3520,O$7)))</f>
        <v>0</v>
      </c>
      <c r="P95" s="26" t="n">
        <f aca="false">IF(P$7="","",CHOOSE(MATCH($B$4,Lists!$C$2:$C$5,0),SUMIFS(Sales_Data!$O$2:$O$3520,Sales_Data!$C$2:$C$3520,$A95,Sales_Data!$F$2:$F$3520,P$7,Sales_Data!$AE$2:$AE$3520,1),SUMIFS(Sales_Data!$M$2:$M$3520,Sales_Data!$C$2:$C$3520,$A95,Sales_Data!$F$2:$F$3520,P$7,Sales_Data!$AE$2:$AE$3520,1),SUMIFS(Sales_Data!$N$2:$N$3520,Sales_Data!$C$2:$C$3520,$A95,Sales_Data!$F$2:$F$3520,P$7,Sales_Data!$AE$2:$AE$3520,1),SUMIFS(Sales_Data!$AE$2:$AE$3520,Sales_Data!$C$2:$C$3520,$A95,Sales_Data!$F$2:$F$3520,P$7)))</f>
        <v>0</v>
      </c>
      <c r="Q95" s="26" t="n">
        <f aca="false">IF(Q$7="","",CHOOSE(MATCH($B$4,Lists!$C$2:$C$5,0),SUMIFS(Sales_Data!$O$2:$O$3520,Sales_Data!$C$2:$C$3520,$A95,Sales_Data!$F$2:$F$3520,Q$7,Sales_Data!$AE$2:$AE$3520,1),SUMIFS(Sales_Data!$M$2:$M$3520,Sales_Data!$C$2:$C$3520,$A95,Sales_Data!$F$2:$F$3520,Q$7,Sales_Data!$AE$2:$AE$3520,1),SUMIFS(Sales_Data!$N$2:$N$3520,Sales_Data!$C$2:$C$3520,$A95,Sales_Data!$F$2:$F$3520,Q$7,Sales_Data!$AE$2:$AE$3520,1),SUMIFS(Sales_Data!$AE$2:$AE$3520,Sales_Data!$C$2:$C$3520,$A95,Sales_Data!$F$2:$F$3520,Q$7)))</f>
        <v>5</v>
      </c>
      <c r="R95" s="26" t="n">
        <f aca="false">IF(R$7="","",CHOOSE(MATCH($B$4,Lists!$C$2:$C$5,0),SUMIFS(Sales_Data!$O$2:$O$3520,Sales_Data!$C$2:$C$3520,$A95,Sales_Data!$F$2:$F$3520,R$7,Sales_Data!$AE$2:$AE$3520,1),SUMIFS(Sales_Data!$M$2:$M$3520,Sales_Data!$C$2:$C$3520,$A95,Sales_Data!$F$2:$F$3520,R$7,Sales_Data!$AE$2:$AE$3520,1),SUMIFS(Sales_Data!$N$2:$N$3520,Sales_Data!$C$2:$C$3520,$A95,Sales_Data!$F$2:$F$3520,R$7,Sales_Data!$AE$2:$AE$3520,1),SUMIFS(Sales_Data!$AE$2:$AE$3520,Sales_Data!$C$2:$C$3520,$A95,Sales_Data!$F$2:$F$3520,R$7)))</f>
        <v>0</v>
      </c>
      <c r="S95" s="26" t="n">
        <f aca="false">IF(S$7="","",CHOOSE(MATCH($B$4,Lists!$C$2:$C$5,0),SUMIFS(Sales_Data!$O$2:$O$3520,Sales_Data!$C$2:$C$3520,$A95,Sales_Data!$F$2:$F$3520,S$7,Sales_Data!$AE$2:$AE$3520,1),SUMIFS(Sales_Data!$M$2:$M$3520,Sales_Data!$C$2:$C$3520,$A95,Sales_Data!$F$2:$F$3520,S$7,Sales_Data!$AE$2:$AE$3520,1),SUMIFS(Sales_Data!$N$2:$N$3520,Sales_Data!$C$2:$C$3520,$A95,Sales_Data!$F$2:$F$3520,S$7,Sales_Data!$AE$2:$AE$3520,1),SUMIFS(Sales_Data!$AE$2:$AE$3520,Sales_Data!$C$2:$C$3520,$A95,Sales_Data!$F$2:$F$3520,S$7)))</f>
        <v>1</v>
      </c>
      <c r="T95" s="26" t="str">
        <f aca="false">IF(T$7="","",CHOOSE(MATCH($B$4,Lists!$C$2:$C$5,0),SUMIFS(Sales_Data!$O$2:$O$3520,Sales_Data!$C$2:$C$3520,$A95,Sales_Data!$F$2:$F$3520,T$7,Sales_Data!$AE$2:$AE$3520,1),SUMIFS(Sales_Data!$M$2:$M$3520,Sales_Data!$C$2:$C$3520,$A95,Sales_Data!$F$2:$F$3520,T$7,Sales_Data!$AE$2:$AE$3520,1),SUMIFS(Sales_Data!$N$2:$N$3520,Sales_Data!$C$2:$C$3520,$A95,Sales_Data!$F$2:$F$3520,T$7,Sales_Data!$AE$2:$AE$3520,1),SUMIFS(Sales_Data!$AE$2:$AE$3520,Sales_Data!$C$2:$C$3520,$A95,Sales_Data!$F$2:$F$3520,T$7)))</f>
        <v/>
      </c>
      <c r="U95" s="26" t="str">
        <f aca="false">IF(U$7="","",CHOOSE(MATCH($B$4,Lists!$C$2:$C$5,0),SUMIFS(Sales_Data!$O$2:$O$3520,Sales_Data!$C$2:$C$3520,$A95,Sales_Data!$F$2:$F$3520,U$7,Sales_Data!$AE$2:$AE$3520,1),SUMIFS(Sales_Data!$M$2:$M$3520,Sales_Data!$C$2:$C$3520,$A95,Sales_Data!$F$2:$F$3520,U$7,Sales_Data!$AE$2:$AE$3520,1),SUMIFS(Sales_Data!$N$2:$N$3520,Sales_Data!$C$2:$C$3520,$A95,Sales_Data!$F$2:$F$3520,U$7,Sales_Data!$AE$2:$AE$3520,1),SUMIFS(Sales_Data!$AE$2:$AE$3520,Sales_Data!$C$2:$C$3520,$A95,Sales_Data!$F$2:$F$3520,U$7)))</f>
        <v/>
      </c>
      <c r="V95" s="26" t="str">
        <f aca="false">IF(V$7="","",CHOOSE(MATCH($B$4,Lists!$C$2:$C$5,0),SUMIFS(Sales_Data!$O$2:$O$3520,Sales_Data!$C$2:$C$3520,$A95,Sales_Data!$F$2:$F$3520,V$7,Sales_Data!$AE$2:$AE$3520,1),SUMIFS(Sales_Data!$M$2:$M$3520,Sales_Data!$C$2:$C$3520,$A95,Sales_Data!$F$2:$F$3520,V$7,Sales_Data!$AE$2:$AE$3520,1),SUMIFS(Sales_Data!$N$2:$N$3520,Sales_Data!$C$2:$C$3520,$A95,Sales_Data!$F$2:$F$3520,V$7,Sales_Data!$AE$2:$AE$3520,1),SUMIFS(Sales_Data!$AE$2:$AE$3520,Sales_Data!$C$2:$C$3520,$A95,Sales_Data!$F$2:$F$3520,V$7)))</f>
        <v/>
      </c>
      <c r="W95" s="26" t="str">
        <f aca="false">IF(W$7="","",CHOOSE(MATCH($B$4,Lists!$C$2:$C$5,0),SUMIFS(Sales_Data!$O$2:$O$3520,Sales_Data!$C$2:$C$3520,$A95,Sales_Data!$F$2:$F$3520,W$7,Sales_Data!$AE$2:$AE$3520,1),SUMIFS(Sales_Data!$M$2:$M$3520,Sales_Data!$C$2:$C$3520,$A95,Sales_Data!$F$2:$F$3520,W$7,Sales_Data!$AE$2:$AE$3520,1),SUMIFS(Sales_Data!$N$2:$N$3520,Sales_Data!$C$2:$C$3520,$A95,Sales_Data!$F$2:$F$3520,W$7,Sales_Data!$AE$2:$AE$3520,1),SUMIFS(Sales_Data!$AE$2:$AE$3520,Sales_Data!$C$2:$C$3520,$A95,Sales_Data!$F$2:$F$3520,W$7)))</f>
        <v/>
      </c>
      <c r="X95" s="26" t="str">
        <f aca="false">IF(X$7="","",CHOOSE(MATCH($B$4,Lists!$C$2:$C$5,0),SUMIFS(Sales_Data!$O$2:$O$3520,Sales_Data!$C$2:$C$3520,$A95,Sales_Data!$F$2:$F$3520,X$7,Sales_Data!$AE$2:$AE$3520,1),SUMIFS(Sales_Data!$M$2:$M$3520,Sales_Data!$C$2:$C$3520,$A95,Sales_Data!$F$2:$F$3520,X$7,Sales_Data!$AE$2:$AE$3520,1),SUMIFS(Sales_Data!$N$2:$N$3520,Sales_Data!$C$2:$C$3520,$A95,Sales_Data!$F$2:$F$3520,X$7,Sales_Data!$AE$2:$AE$3520,1),SUMIFS(Sales_Data!$AE$2:$AE$3520,Sales_Data!$C$2:$C$3520,$A95,Sales_Data!$F$2:$F$3520,X$7)))</f>
        <v/>
      </c>
      <c r="Y95" s="26" t="str">
        <f aca="false">IF(Y$7="","",CHOOSE(MATCH($B$4,Lists!$C$2:$C$5,0),SUMIFS(Sales_Data!$O$2:$O$3520,Sales_Data!$C$2:$C$3520,$A95,Sales_Data!$F$2:$F$3520,Y$7,Sales_Data!$AE$2:$AE$3520,1),SUMIFS(Sales_Data!$M$2:$M$3520,Sales_Data!$C$2:$C$3520,$A95,Sales_Data!$F$2:$F$3520,Y$7,Sales_Data!$AE$2:$AE$3520,1),SUMIFS(Sales_Data!$N$2:$N$3520,Sales_Data!$C$2:$C$3520,$A95,Sales_Data!$F$2:$F$3520,Y$7,Sales_Data!$AE$2:$AE$3520,1),SUMIFS(Sales_Data!$AE$2:$AE$3520,Sales_Data!$C$2:$C$3520,$A95,Sales_Data!$F$2:$F$3520,Y$7)))</f>
        <v/>
      </c>
      <c r="Z95" s="26" t="str">
        <f aca="false">IF(Z$7="","",CHOOSE(MATCH($B$4,Lists!$C$2:$C$5,0),SUMIFS(Sales_Data!$O$2:$O$3520,Sales_Data!$C$2:$C$3520,$A95,Sales_Data!$F$2:$F$3520,Z$7,Sales_Data!$AE$2:$AE$3520,1),SUMIFS(Sales_Data!$M$2:$M$3520,Sales_Data!$C$2:$C$3520,$A95,Sales_Data!$F$2:$F$3520,Z$7,Sales_Data!$AE$2:$AE$3520,1),SUMIFS(Sales_Data!$N$2:$N$3520,Sales_Data!$C$2:$C$3520,$A95,Sales_Data!$F$2:$F$3520,Z$7,Sales_Data!$AE$2:$AE$3520,1),SUMIFS(Sales_Data!$AE$2:$AE$3520,Sales_Data!$C$2:$C$3520,$A95,Sales_Data!$F$2:$F$3520,Z$7)))</f>
        <v/>
      </c>
      <c r="AA95" s="27" t="n">
        <f aca="false">SUM(B95:Z95)</f>
        <v>23</v>
      </c>
      <c r="AB95" s="3"/>
      <c r="AC95" s="72" t="n">
        <f aca="false">A95</f>
        <v>46302</v>
      </c>
      <c r="AD95" s="28" t="n">
        <f aca="false">IF(B95="","",B95-B94)</f>
        <v>1</v>
      </c>
      <c r="AE95" s="28" t="n">
        <f aca="false">IF(C95="","",C95-C94)</f>
        <v>2</v>
      </c>
      <c r="AF95" s="28" t="n">
        <f aca="false">IF(D95="","",D95-D94)</f>
        <v>-1</v>
      </c>
      <c r="AG95" s="28" t="n">
        <f aca="false">IF(E95="","",E95-E94)</f>
        <v>0</v>
      </c>
      <c r="AH95" s="28" t="n">
        <f aca="false">IF(F95="","",F95-F94)</f>
        <v>-1</v>
      </c>
      <c r="AI95" s="28" t="n">
        <f aca="false">IF(G95="","",G95-G94)</f>
        <v>0</v>
      </c>
      <c r="AJ95" s="28" t="n">
        <f aca="false">IF(H95="","",H95-H94)</f>
        <v>4</v>
      </c>
      <c r="AK95" s="28" t="n">
        <f aca="false">IF(I95="","",I95-I94)</f>
        <v>0</v>
      </c>
      <c r="AL95" s="28" t="n">
        <f aca="false">IF(J95="","",J95-J94)</f>
        <v>1</v>
      </c>
      <c r="AM95" s="28" t="n">
        <f aca="false">IF(K95="","",K95-K94)</f>
        <v>1</v>
      </c>
      <c r="AN95" s="28" t="n">
        <f aca="false">IF(L95="","",L95-L94)</f>
        <v>0</v>
      </c>
      <c r="AO95" s="28" t="n">
        <f aca="false">IF(M95="","",M95-M94)</f>
        <v>0</v>
      </c>
      <c r="AP95" s="28" t="n">
        <f aca="false">IF(N95="","",N95-N94)</f>
        <v>4</v>
      </c>
      <c r="AQ95" s="28" t="n">
        <f aca="false">IF(O95="","",O95-O94)</f>
        <v>0</v>
      </c>
      <c r="AR95" s="28" t="n">
        <f aca="false">IF(P95="","",P95-P94)</f>
        <v>0</v>
      </c>
      <c r="AS95" s="28" t="n">
        <f aca="false">IF(Q95="","",Q95-Q94)</f>
        <v>5</v>
      </c>
      <c r="AT95" s="28" t="n">
        <f aca="false">IF(R95="","",R95-R94)</f>
        <v>0</v>
      </c>
      <c r="AU95" s="28" t="n">
        <f aca="false">IF(S95="","",S95-S94)</f>
        <v>0</v>
      </c>
      <c r="AV95" s="28" t="str">
        <f aca="false">IF(T95="","",T95-T94)</f>
        <v/>
      </c>
      <c r="AW95" s="28" t="str">
        <f aca="false">IF(U95="","",U95-U94)</f>
        <v/>
      </c>
      <c r="AX95" s="28" t="str">
        <f aca="false">IF(V95="","",V95-V94)</f>
        <v/>
      </c>
      <c r="AY95" s="28" t="str">
        <f aca="false">IF(W95="","",W95-W94)</f>
        <v/>
      </c>
      <c r="AZ95" s="28" t="str">
        <f aca="false">IF(X95="","",X95-X94)</f>
        <v/>
      </c>
      <c r="BA95" s="28" t="str">
        <f aca="false">IF(Y95="","",Y95-Y94)</f>
        <v/>
      </c>
      <c r="BB95" s="28" t="str">
        <f aca="false">IF(Z95="","",Z95-Z94)</f>
        <v/>
      </c>
      <c r="BC95" s="28" t="n">
        <f aca="false">IF(AA95="","",AA95-AA94)</f>
        <v>16</v>
      </c>
    </row>
    <row r="96" customFormat="false" ht="15" hidden="false" customHeight="false" outlineLevel="0" collapsed="false">
      <c r="A96" s="72" t="n">
        <v>46303</v>
      </c>
      <c r="B96" s="26" t="n">
        <f aca="false">IF(B$7="","",CHOOSE(MATCH($B$4,Lists!$C$2:$C$5,0),SUMIFS(Sales_Data!$O$2:$O$3520,Sales_Data!$C$2:$C$3520,$A96,Sales_Data!$F$2:$F$3520,B$7,Sales_Data!$AE$2:$AE$3520,1),SUMIFS(Sales_Data!$M$2:$M$3520,Sales_Data!$C$2:$C$3520,$A96,Sales_Data!$F$2:$F$3520,B$7,Sales_Data!$AE$2:$AE$3520,1),SUMIFS(Sales_Data!$N$2:$N$3520,Sales_Data!$C$2:$C$3520,$A96,Sales_Data!$F$2:$F$3520,B$7,Sales_Data!$AE$2:$AE$3520,1),SUMIFS(Sales_Data!$AE$2:$AE$3520,Sales_Data!$C$2:$C$3520,$A96,Sales_Data!$F$2:$F$3520,B$7)))</f>
        <v>1</v>
      </c>
      <c r="C96" s="26" t="n">
        <f aca="false">IF(C$7="","",CHOOSE(MATCH($B$4,Lists!$C$2:$C$5,0),SUMIFS(Sales_Data!$O$2:$O$3520,Sales_Data!$C$2:$C$3520,$A96,Sales_Data!$F$2:$F$3520,C$7,Sales_Data!$AE$2:$AE$3520,1),SUMIFS(Sales_Data!$M$2:$M$3520,Sales_Data!$C$2:$C$3520,$A96,Sales_Data!$F$2:$F$3520,C$7,Sales_Data!$AE$2:$AE$3520,1),SUMIFS(Sales_Data!$N$2:$N$3520,Sales_Data!$C$2:$C$3520,$A96,Sales_Data!$F$2:$F$3520,C$7,Sales_Data!$AE$2:$AE$3520,1),SUMIFS(Sales_Data!$AE$2:$AE$3520,Sales_Data!$C$2:$C$3520,$A96,Sales_Data!$F$2:$F$3520,C$7)))</f>
        <v>0</v>
      </c>
      <c r="D96" s="26" t="n">
        <f aca="false">IF(D$7="","",CHOOSE(MATCH($B$4,Lists!$C$2:$C$5,0),SUMIFS(Sales_Data!$O$2:$O$3520,Sales_Data!$C$2:$C$3520,$A96,Sales_Data!$F$2:$F$3520,D$7,Sales_Data!$AE$2:$AE$3520,1),SUMIFS(Sales_Data!$M$2:$M$3520,Sales_Data!$C$2:$C$3520,$A96,Sales_Data!$F$2:$F$3520,D$7,Sales_Data!$AE$2:$AE$3520,1),SUMIFS(Sales_Data!$N$2:$N$3520,Sales_Data!$C$2:$C$3520,$A96,Sales_Data!$F$2:$F$3520,D$7,Sales_Data!$AE$2:$AE$3520,1),SUMIFS(Sales_Data!$AE$2:$AE$3520,Sales_Data!$C$2:$C$3520,$A96,Sales_Data!$F$2:$F$3520,D$7)))</f>
        <v>3</v>
      </c>
      <c r="E96" s="26" t="n">
        <f aca="false">IF(E$7="","",CHOOSE(MATCH($B$4,Lists!$C$2:$C$5,0),SUMIFS(Sales_Data!$O$2:$O$3520,Sales_Data!$C$2:$C$3520,$A96,Sales_Data!$F$2:$F$3520,E$7,Sales_Data!$AE$2:$AE$3520,1),SUMIFS(Sales_Data!$M$2:$M$3520,Sales_Data!$C$2:$C$3520,$A96,Sales_Data!$F$2:$F$3520,E$7,Sales_Data!$AE$2:$AE$3520,1),SUMIFS(Sales_Data!$N$2:$N$3520,Sales_Data!$C$2:$C$3520,$A96,Sales_Data!$F$2:$F$3520,E$7,Sales_Data!$AE$2:$AE$3520,1),SUMIFS(Sales_Data!$AE$2:$AE$3520,Sales_Data!$C$2:$C$3520,$A96,Sales_Data!$F$2:$F$3520,E$7)))</f>
        <v>2</v>
      </c>
      <c r="F96" s="26" t="n">
        <f aca="false">IF(F$7="","",CHOOSE(MATCH($B$4,Lists!$C$2:$C$5,0),SUMIFS(Sales_Data!$O$2:$O$3520,Sales_Data!$C$2:$C$3520,$A96,Sales_Data!$F$2:$F$3520,F$7,Sales_Data!$AE$2:$AE$3520,1),SUMIFS(Sales_Data!$M$2:$M$3520,Sales_Data!$C$2:$C$3520,$A96,Sales_Data!$F$2:$F$3520,F$7,Sales_Data!$AE$2:$AE$3520,1),SUMIFS(Sales_Data!$N$2:$N$3520,Sales_Data!$C$2:$C$3520,$A96,Sales_Data!$F$2:$F$3520,F$7,Sales_Data!$AE$2:$AE$3520,1),SUMIFS(Sales_Data!$AE$2:$AE$3520,Sales_Data!$C$2:$C$3520,$A96,Sales_Data!$F$2:$F$3520,F$7)))</f>
        <v>0</v>
      </c>
      <c r="G96" s="26" t="n">
        <f aca="false">IF(G$7="","",CHOOSE(MATCH($B$4,Lists!$C$2:$C$5,0),SUMIFS(Sales_Data!$O$2:$O$3520,Sales_Data!$C$2:$C$3520,$A96,Sales_Data!$F$2:$F$3520,G$7,Sales_Data!$AE$2:$AE$3520,1),SUMIFS(Sales_Data!$M$2:$M$3520,Sales_Data!$C$2:$C$3520,$A96,Sales_Data!$F$2:$F$3520,G$7,Sales_Data!$AE$2:$AE$3520,1),SUMIFS(Sales_Data!$N$2:$N$3520,Sales_Data!$C$2:$C$3520,$A96,Sales_Data!$F$2:$F$3520,G$7,Sales_Data!$AE$2:$AE$3520,1),SUMIFS(Sales_Data!$AE$2:$AE$3520,Sales_Data!$C$2:$C$3520,$A96,Sales_Data!$F$2:$F$3520,G$7)))</f>
        <v>0</v>
      </c>
      <c r="H96" s="26" t="n">
        <f aca="false">IF(H$7="","",CHOOSE(MATCH($B$4,Lists!$C$2:$C$5,0),SUMIFS(Sales_Data!$O$2:$O$3520,Sales_Data!$C$2:$C$3520,$A96,Sales_Data!$F$2:$F$3520,H$7,Sales_Data!$AE$2:$AE$3520,1),SUMIFS(Sales_Data!$M$2:$M$3520,Sales_Data!$C$2:$C$3520,$A96,Sales_Data!$F$2:$F$3520,H$7,Sales_Data!$AE$2:$AE$3520,1),SUMIFS(Sales_Data!$N$2:$N$3520,Sales_Data!$C$2:$C$3520,$A96,Sales_Data!$F$2:$F$3520,H$7,Sales_Data!$AE$2:$AE$3520,1),SUMIFS(Sales_Data!$AE$2:$AE$3520,Sales_Data!$C$2:$C$3520,$A96,Sales_Data!$F$2:$F$3520,H$7)))</f>
        <v>1</v>
      </c>
      <c r="I96" s="26" t="n">
        <f aca="false">IF(I$7="","",CHOOSE(MATCH($B$4,Lists!$C$2:$C$5,0),SUMIFS(Sales_Data!$O$2:$O$3520,Sales_Data!$C$2:$C$3520,$A96,Sales_Data!$F$2:$F$3520,I$7,Sales_Data!$AE$2:$AE$3520,1),SUMIFS(Sales_Data!$M$2:$M$3520,Sales_Data!$C$2:$C$3520,$A96,Sales_Data!$F$2:$F$3520,I$7,Sales_Data!$AE$2:$AE$3520,1),SUMIFS(Sales_Data!$N$2:$N$3520,Sales_Data!$C$2:$C$3520,$A96,Sales_Data!$F$2:$F$3520,I$7,Sales_Data!$AE$2:$AE$3520,1),SUMIFS(Sales_Data!$AE$2:$AE$3520,Sales_Data!$C$2:$C$3520,$A96,Sales_Data!$F$2:$F$3520,I$7)))</f>
        <v>1</v>
      </c>
      <c r="J96" s="26" t="n">
        <f aca="false">IF(J$7="","",CHOOSE(MATCH($B$4,Lists!$C$2:$C$5,0),SUMIFS(Sales_Data!$O$2:$O$3520,Sales_Data!$C$2:$C$3520,$A96,Sales_Data!$F$2:$F$3520,J$7,Sales_Data!$AE$2:$AE$3520,1),SUMIFS(Sales_Data!$M$2:$M$3520,Sales_Data!$C$2:$C$3520,$A96,Sales_Data!$F$2:$F$3520,J$7,Sales_Data!$AE$2:$AE$3520,1),SUMIFS(Sales_Data!$N$2:$N$3520,Sales_Data!$C$2:$C$3520,$A96,Sales_Data!$F$2:$F$3520,J$7,Sales_Data!$AE$2:$AE$3520,1),SUMIFS(Sales_Data!$AE$2:$AE$3520,Sales_Data!$C$2:$C$3520,$A96,Sales_Data!$F$2:$F$3520,J$7)))</f>
        <v>0</v>
      </c>
      <c r="K96" s="26" t="n">
        <f aca="false">IF(K$7="","",CHOOSE(MATCH($B$4,Lists!$C$2:$C$5,0),SUMIFS(Sales_Data!$O$2:$O$3520,Sales_Data!$C$2:$C$3520,$A96,Sales_Data!$F$2:$F$3520,K$7,Sales_Data!$AE$2:$AE$3520,1),SUMIFS(Sales_Data!$M$2:$M$3520,Sales_Data!$C$2:$C$3520,$A96,Sales_Data!$F$2:$F$3520,K$7,Sales_Data!$AE$2:$AE$3520,1),SUMIFS(Sales_Data!$N$2:$N$3520,Sales_Data!$C$2:$C$3520,$A96,Sales_Data!$F$2:$F$3520,K$7,Sales_Data!$AE$2:$AE$3520,1),SUMIFS(Sales_Data!$AE$2:$AE$3520,Sales_Data!$C$2:$C$3520,$A96,Sales_Data!$F$2:$F$3520,K$7)))</f>
        <v>2</v>
      </c>
      <c r="L96" s="26" t="n">
        <f aca="false">IF(L$7="","",CHOOSE(MATCH($B$4,Lists!$C$2:$C$5,0),SUMIFS(Sales_Data!$O$2:$O$3520,Sales_Data!$C$2:$C$3520,$A96,Sales_Data!$F$2:$F$3520,L$7,Sales_Data!$AE$2:$AE$3520,1),SUMIFS(Sales_Data!$M$2:$M$3520,Sales_Data!$C$2:$C$3520,$A96,Sales_Data!$F$2:$F$3520,L$7,Sales_Data!$AE$2:$AE$3520,1),SUMIFS(Sales_Data!$N$2:$N$3520,Sales_Data!$C$2:$C$3520,$A96,Sales_Data!$F$2:$F$3520,L$7,Sales_Data!$AE$2:$AE$3520,1),SUMIFS(Sales_Data!$AE$2:$AE$3520,Sales_Data!$C$2:$C$3520,$A96,Sales_Data!$F$2:$F$3520,L$7)))</f>
        <v>0</v>
      </c>
      <c r="M96" s="26" t="n">
        <f aca="false">IF(M$7="","",CHOOSE(MATCH($B$4,Lists!$C$2:$C$5,0),SUMIFS(Sales_Data!$O$2:$O$3520,Sales_Data!$C$2:$C$3520,$A96,Sales_Data!$F$2:$F$3520,M$7,Sales_Data!$AE$2:$AE$3520,1),SUMIFS(Sales_Data!$M$2:$M$3520,Sales_Data!$C$2:$C$3520,$A96,Sales_Data!$F$2:$F$3520,M$7,Sales_Data!$AE$2:$AE$3520,1),SUMIFS(Sales_Data!$N$2:$N$3520,Sales_Data!$C$2:$C$3520,$A96,Sales_Data!$F$2:$F$3520,M$7,Sales_Data!$AE$2:$AE$3520,1),SUMIFS(Sales_Data!$AE$2:$AE$3520,Sales_Data!$C$2:$C$3520,$A96,Sales_Data!$F$2:$F$3520,M$7)))</f>
        <v>0</v>
      </c>
      <c r="N96" s="26" t="n">
        <f aca="false">IF(N$7="","",CHOOSE(MATCH($B$4,Lists!$C$2:$C$5,0),SUMIFS(Sales_Data!$O$2:$O$3520,Sales_Data!$C$2:$C$3520,$A96,Sales_Data!$F$2:$F$3520,N$7,Sales_Data!$AE$2:$AE$3520,1),SUMIFS(Sales_Data!$M$2:$M$3520,Sales_Data!$C$2:$C$3520,$A96,Sales_Data!$F$2:$F$3520,N$7,Sales_Data!$AE$2:$AE$3520,1),SUMIFS(Sales_Data!$N$2:$N$3520,Sales_Data!$C$2:$C$3520,$A96,Sales_Data!$F$2:$F$3520,N$7,Sales_Data!$AE$2:$AE$3520,1),SUMIFS(Sales_Data!$AE$2:$AE$3520,Sales_Data!$C$2:$C$3520,$A96,Sales_Data!$F$2:$F$3520,N$7)))</f>
        <v>2</v>
      </c>
      <c r="O96" s="26" t="n">
        <f aca="false">IF(O$7="","",CHOOSE(MATCH($B$4,Lists!$C$2:$C$5,0),SUMIFS(Sales_Data!$O$2:$O$3520,Sales_Data!$C$2:$C$3520,$A96,Sales_Data!$F$2:$F$3520,O$7,Sales_Data!$AE$2:$AE$3520,1),SUMIFS(Sales_Data!$M$2:$M$3520,Sales_Data!$C$2:$C$3520,$A96,Sales_Data!$F$2:$F$3520,O$7,Sales_Data!$AE$2:$AE$3520,1),SUMIFS(Sales_Data!$N$2:$N$3520,Sales_Data!$C$2:$C$3520,$A96,Sales_Data!$F$2:$F$3520,O$7,Sales_Data!$AE$2:$AE$3520,1),SUMIFS(Sales_Data!$AE$2:$AE$3520,Sales_Data!$C$2:$C$3520,$A96,Sales_Data!$F$2:$F$3520,O$7)))</f>
        <v>2</v>
      </c>
      <c r="P96" s="26" t="n">
        <f aca="false">IF(P$7="","",CHOOSE(MATCH($B$4,Lists!$C$2:$C$5,0),SUMIFS(Sales_Data!$O$2:$O$3520,Sales_Data!$C$2:$C$3520,$A96,Sales_Data!$F$2:$F$3520,P$7,Sales_Data!$AE$2:$AE$3520,1),SUMIFS(Sales_Data!$M$2:$M$3520,Sales_Data!$C$2:$C$3520,$A96,Sales_Data!$F$2:$F$3520,P$7,Sales_Data!$AE$2:$AE$3520,1),SUMIFS(Sales_Data!$N$2:$N$3520,Sales_Data!$C$2:$C$3520,$A96,Sales_Data!$F$2:$F$3520,P$7,Sales_Data!$AE$2:$AE$3520,1),SUMIFS(Sales_Data!$AE$2:$AE$3520,Sales_Data!$C$2:$C$3520,$A96,Sales_Data!$F$2:$F$3520,P$7)))</f>
        <v>4</v>
      </c>
      <c r="Q96" s="26" t="n">
        <f aca="false">IF(Q$7="","",CHOOSE(MATCH($B$4,Lists!$C$2:$C$5,0),SUMIFS(Sales_Data!$O$2:$O$3520,Sales_Data!$C$2:$C$3520,$A96,Sales_Data!$F$2:$F$3520,Q$7,Sales_Data!$AE$2:$AE$3520,1),SUMIFS(Sales_Data!$M$2:$M$3520,Sales_Data!$C$2:$C$3520,$A96,Sales_Data!$F$2:$F$3520,Q$7,Sales_Data!$AE$2:$AE$3520,1),SUMIFS(Sales_Data!$N$2:$N$3520,Sales_Data!$C$2:$C$3520,$A96,Sales_Data!$F$2:$F$3520,Q$7,Sales_Data!$AE$2:$AE$3520,1),SUMIFS(Sales_Data!$AE$2:$AE$3520,Sales_Data!$C$2:$C$3520,$A96,Sales_Data!$F$2:$F$3520,Q$7)))</f>
        <v>4</v>
      </c>
      <c r="R96" s="26" t="n">
        <f aca="false">IF(R$7="","",CHOOSE(MATCH($B$4,Lists!$C$2:$C$5,0),SUMIFS(Sales_Data!$O$2:$O$3520,Sales_Data!$C$2:$C$3520,$A96,Sales_Data!$F$2:$F$3520,R$7,Sales_Data!$AE$2:$AE$3520,1),SUMIFS(Sales_Data!$M$2:$M$3520,Sales_Data!$C$2:$C$3520,$A96,Sales_Data!$F$2:$F$3520,R$7,Sales_Data!$AE$2:$AE$3520,1),SUMIFS(Sales_Data!$N$2:$N$3520,Sales_Data!$C$2:$C$3520,$A96,Sales_Data!$F$2:$F$3520,R$7,Sales_Data!$AE$2:$AE$3520,1),SUMIFS(Sales_Data!$AE$2:$AE$3520,Sales_Data!$C$2:$C$3520,$A96,Sales_Data!$F$2:$F$3520,R$7)))</f>
        <v>1</v>
      </c>
      <c r="S96" s="26" t="n">
        <f aca="false">IF(S$7="","",CHOOSE(MATCH($B$4,Lists!$C$2:$C$5,0),SUMIFS(Sales_Data!$O$2:$O$3520,Sales_Data!$C$2:$C$3520,$A96,Sales_Data!$F$2:$F$3520,S$7,Sales_Data!$AE$2:$AE$3520,1),SUMIFS(Sales_Data!$M$2:$M$3520,Sales_Data!$C$2:$C$3520,$A96,Sales_Data!$F$2:$F$3520,S$7,Sales_Data!$AE$2:$AE$3520,1),SUMIFS(Sales_Data!$N$2:$N$3520,Sales_Data!$C$2:$C$3520,$A96,Sales_Data!$F$2:$F$3520,S$7,Sales_Data!$AE$2:$AE$3520,1),SUMIFS(Sales_Data!$AE$2:$AE$3520,Sales_Data!$C$2:$C$3520,$A96,Sales_Data!$F$2:$F$3520,S$7)))</f>
        <v>2</v>
      </c>
      <c r="T96" s="26" t="str">
        <f aca="false">IF(T$7="","",CHOOSE(MATCH($B$4,Lists!$C$2:$C$5,0),SUMIFS(Sales_Data!$O$2:$O$3520,Sales_Data!$C$2:$C$3520,$A96,Sales_Data!$F$2:$F$3520,T$7,Sales_Data!$AE$2:$AE$3520,1),SUMIFS(Sales_Data!$M$2:$M$3520,Sales_Data!$C$2:$C$3520,$A96,Sales_Data!$F$2:$F$3520,T$7,Sales_Data!$AE$2:$AE$3520,1),SUMIFS(Sales_Data!$N$2:$N$3520,Sales_Data!$C$2:$C$3520,$A96,Sales_Data!$F$2:$F$3520,T$7,Sales_Data!$AE$2:$AE$3520,1),SUMIFS(Sales_Data!$AE$2:$AE$3520,Sales_Data!$C$2:$C$3520,$A96,Sales_Data!$F$2:$F$3520,T$7)))</f>
        <v/>
      </c>
      <c r="U96" s="26" t="str">
        <f aca="false">IF(U$7="","",CHOOSE(MATCH($B$4,Lists!$C$2:$C$5,0),SUMIFS(Sales_Data!$O$2:$O$3520,Sales_Data!$C$2:$C$3520,$A96,Sales_Data!$F$2:$F$3520,U$7,Sales_Data!$AE$2:$AE$3520,1),SUMIFS(Sales_Data!$M$2:$M$3520,Sales_Data!$C$2:$C$3520,$A96,Sales_Data!$F$2:$F$3520,U$7,Sales_Data!$AE$2:$AE$3520,1),SUMIFS(Sales_Data!$N$2:$N$3520,Sales_Data!$C$2:$C$3520,$A96,Sales_Data!$F$2:$F$3520,U$7,Sales_Data!$AE$2:$AE$3520,1),SUMIFS(Sales_Data!$AE$2:$AE$3520,Sales_Data!$C$2:$C$3520,$A96,Sales_Data!$F$2:$F$3520,U$7)))</f>
        <v/>
      </c>
      <c r="V96" s="26" t="str">
        <f aca="false">IF(V$7="","",CHOOSE(MATCH($B$4,Lists!$C$2:$C$5,0),SUMIFS(Sales_Data!$O$2:$O$3520,Sales_Data!$C$2:$C$3520,$A96,Sales_Data!$F$2:$F$3520,V$7,Sales_Data!$AE$2:$AE$3520,1),SUMIFS(Sales_Data!$M$2:$M$3520,Sales_Data!$C$2:$C$3520,$A96,Sales_Data!$F$2:$F$3520,V$7,Sales_Data!$AE$2:$AE$3520,1),SUMIFS(Sales_Data!$N$2:$N$3520,Sales_Data!$C$2:$C$3520,$A96,Sales_Data!$F$2:$F$3520,V$7,Sales_Data!$AE$2:$AE$3520,1),SUMIFS(Sales_Data!$AE$2:$AE$3520,Sales_Data!$C$2:$C$3520,$A96,Sales_Data!$F$2:$F$3520,V$7)))</f>
        <v/>
      </c>
      <c r="W96" s="26" t="str">
        <f aca="false">IF(W$7="","",CHOOSE(MATCH($B$4,Lists!$C$2:$C$5,0),SUMIFS(Sales_Data!$O$2:$O$3520,Sales_Data!$C$2:$C$3520,$A96,Sales_Data!$F$2:$F$3520,W$7,Sales_Data!$AE$2:$AE$3520,1),SUMIFS(Sales_Data!$M$2:$M$3520,Sales_Data!$C$2:$C$3520,$A96,Sales_Data!$F$2:$F$3520,W$7,Sales_Data!$AE$2:$AE$3520,1),SUMIFS(Sales_Data!$N$2:$N$3520,Sales_Data!$C$2:$C$3520,$A96,Sales_Data!$F$2:$F$3520,W$7,Sales_Data!$AE$2:$AE$3520,1),SUMIFS(Sales_Data!$AE$2:$AE$3520,Sales_Data!$C$2:$C$3520,$A96,Sales_Data!$F$2:$F$3520,W$7)))</f>
        <v/>
      </c>
      <c r="X96" s="26" t="str">
        <f aca="false">IF(X$7="","",CHOOSE(MATCH($B$4,Lists!$C$2:$C$5,0),SUMIFS(Sales_Data!$O$2:$O$3520,Sales_Data!$C$2:$C$3520,$A96,Sales_Data!$F$2:$F$3520,X$7,Sales_Data!$AE$2:$AE$3520,1),SUMIFS(Sales_Data!$M$2:$M$3520,Sales_Data!$C$2:$C$3520,$A96,Sales_Data!$F$2:$F$3520,X$7,Sales_Data!$AE$2:$AE$3520,1),SUMIFS(Sales_Data!$N$2:$N$3520,Sales_Data!$C$2:$C$3520,$A96,Sales_Data!$F$2:$F$3520,X$7,Sales_Data!$AE$2:$AE$3520,1),SUMIFS(Sales_Data!$AE$2:$AE$3520,Sales_Data!$C$2:$C$3520,$A96,Sales_Data!$F$2:$F$3520,X$7)))</f>
        <v/>
      </c>
      <c r="Y96" s="26" t="str">
        <f aca="false">IF(Y$7="","",CHOOSE(MATCH($B$4,Lists!$C$2:$C$5,0),SUMIFS(Sales_Data!$O$2:$O$3520,Sales_Data!$C$2:$C$3520,$A96,Sales_Data!$F$2:$F$3520,Y$7,Sales_Data!$AE$2:$AE$3520,1),SUMIFS(Sales_Data!$M$2:$M$3520,Sales_Data!$C$2:$C$3520,$A96,Sales_Data!$F$2:$F$3520,Y$7,Sales_Data!$AE$2:$AE$3520,1),SUMIFS(Sales_Data!$N$2:$N$3520,Sales_Data!$C$2:$C$3520,$A96,Sales_Data!$F$2:$F$3520,Y$7,Sales_Data!$AE$2:$AE$3520,1),SUMIFS(Sales_Data!$AE$2:$AE$3520,Sales_Data!$C$2:$C$3520,$A96,Sales_Data!$F$2:$F$3520,Y$7)))</f>
        <v/>
      </c>
      <c r="Z96" s="26" t="str">
        <f aca="false">IF(Z$7="","",CHOOSE(MATCH($B$4,Lists!$C$2:$C$5,0),SUMIFS(Sales_Data!$O$2:$O$3520,Sales_Data!$C$2:$C$3520,$A96,Sales_Data!$F$2:$F$3520,Z$7,Sales_Data!$AE$2:$AE$3520,1),SUMIFS(Sales_Data!$M$2:$M$3520,Sales_Data!$C$2:$C$3520,$A96,Sales_Data!$F$2:$F$3520,Z$7,Sales_Data!$AE$2:$AE$3520,1),SUMIFS(Sales_Data!$N$2:$N$3520,Sales_Data!$C$2:$C$3520,$A96,Sales_Data!$F$2:$F$3520,Z$7,Sales_Data!$AE$2:$AE$3520,1),SUMIFS(Sales_Data!$AE$2:$AE$3520,Sales_Data!$C$2:$C$3520,$A96,Sales_Data!$F$2:$F$3520,Z$7)))</f>
        <v/>
      </c>
      <c r="AA96" s="27" t="n">
        <f aca="false">SUM(B96:Z96)</f>
        <v>25</v>
      </c>
      <c r="AB96" s="3"/>
      <c r="AC96" s="72" t="n">
        <f aca="false">A96</f>
        <v>46303</v>
      </c>
      <c r="AD96" s="28" t="n">
        <f aca="false">IF(B96="","",B96-B95)</f>
        <v>-1</v>
      </c>
      <c r="AE96" s="28" t="n">
        <f aca="false">IF(C96="","",C96-C95)</f>
        <v>-2</v>
      </c>
      <c r="AF96" s="28" t="n">
        <f aca="false">IF(D96="","",D96-D95)</f>
        <v>3</v>
      </c>
      <c r="AG96" s="28" t="n">
        <f aca="false">IF(E96="","",E96-E95)</f>
        <v>1</v>
      </c>
      <c r="AH96" s="28" t="n">
        <f aca="false">IF(F96="","",F96-F95)</f>
        <v>-1</v>
      </c>
      <c r="AI96" s="28" t="n">
        <f aca="false">IF(G96="","",G96-G95)</f>
        <v>0</v>
      </c>
      <c r="AJ96" s="28" t="n">
        <f aca="false">IF(H96="","",H96-H95)</f>
        <v>-4</v>
      </c>
      <c r="AK96" s="28" t="n">
        <f aca="false">IF(I96="","",I96-I95)</f>
        <v>1</v>
      </c>
      <c r="AL96" s="28" t="n">
        <f aca="false">IF(J96="","",J96-J95)</f>
        <v>-1</v>
      </c>
      <c r="AM96" s="28" t="n">
        <f aca="false">IF(K96="","",K96-K95)</f>
        <v>1</v>
      </c>
      <c r="AN96" s="28" t="n">
        <f aca="false">IF(L96="","",L96-L95)</f>
        <v>0</v>
      </c>
      <c r="AO96" s="28" t="n">
        <f aca="false">IF(M96="","",M96-M95)</f>
        <v>0</v>
      </c>
      <c r="AP96" s="28" t="n">
        <f aca="false">IF(N96="","",N96-N95)</f>
        <v>-2</v>
      </c>
      <c r="AQ96" s="28" t="n">
        <f aca="false">IF(O96="","",O96-O95)</f>
        <v>2</v>
      </c>
      <c r="AR96" s="28" t="n">
        <f aca="false">IF(P96="","",P96-P95)</f>
        <v>4</v>
      </c>
      <c r="AS96" s="28" t="n">
        <f aca="false">IF(Q96="","",Q96-Q95)</f>
        <v>-1</v>
      </c>
      <c r="AT96" s="28" t="n">
        <f aca="false">IF(R96="","",R96-R95)</f>
        <v>1</v>
      </c>
      <c r="AU96" s="28" t="n">
        <f aca="false">IF(S96="","",S96-S95)</f>
        <v>1</v>
      </c>
      <c r="AV96" s="28" t="str">
        <f aca="false">IF(T96="","",T96-T95)</f>
        <v/>
      </c>
      <c r="AW96" s="28" t="str">
        <f aca="false">IF(U96="","",U96-U95)</f>
        <v/>
      </c>
      <c r="AX96" s="28" t="str">
        <f aca="false">IF(V96="","",V96-V95)</f>
        <v/>
      </c>
      <c r="AY96" s="28" t="str">
        <f aca="false">IF(W96="","",W96-W95)</f>
        <v/>
      </c>
      <c r="AZ96" s="28" t="str">
        <f aca="false">IF(X96="","",X96-X95)</f>
        <v/>
      </c>
      <c r="BA96" s="28" t="str">
        <f aca="false">IF(Y96="","",Y96-Y95)</f>
        <v/>
      </c>
      <c r="BB96" s="28" t="str">
        <f aca="false">IF(Z96="","",Z96-Z95)</f>
        <v/>
      </c>
      <c r="BC96" s="28" t="n">
        <f aca="false">IF(AA96="","",AA96-AA95)</f>
        <v>2</v>
      </c>
    </row>
  </sheetData>
  <mergeCells count="2">
    <mergeCell ref="A1:N1"/>
    <mergeCell ref="A2:N2"/>
  </mergeCells>
  <conditionalFormatting sqref="B18:Z96">
    <cfRule type="colorScale" priority="2">
      <colorScale>
        <cfvo type="num" val="0"/>
        <cfvo type="max" val="0"/>
        <color rgb="FFFFFFFF"/>
        <color rgb="FF63BE7B"/>
      </colorScale>
    </cfRule>
  </conditionalFormatting>
  <conditionalFormatting sqref="AD18:BC96">
    <cfRule type="cellIs" priority="3" operator="greaterThan" aboveAverage="0" equalAverage="0" bottom="0" percent="0" rank="0" text="" dxfId="0">
      <formula>0</formula>
    </cfRule>
    <cfRule type="cellIs" priority="4" operator="lessThan" aboveAverage="0" equalAverage="0" bottom="0" percent="0" rank="0" text="" dxfId="1">
      <formula>0</formula>
    </cfRule>
  </conditionalFormatting>
  <conditionalFormatting sqref="B13:AA13">
    <cfRule type="cellIs" priority="5" operator="greaterThan" aboveAverage="0" equalAverage="0" bottom="0" percent="0" rank="0" text="" dxfId="0">
      <formula>0</formula>
    </cfRule>
    <cfRule type="cellIs" priority="6" operator="lessThan" aboveAverage="0" equalAverage="0" bottom="0" percent="0" rank="0" text="" dxfId="1">
      <formula>0</formula>
    </cfRule>
  </conditionalFormatting>
  <dataValidations count="2">
    <dataValidation allowBlank="false" errorStyle="stop" operator="between" showDropDown="false" showErrorMessage="false" showInputMessage="false" sqref="B3" type="list">
      <formula1>Lists!$A$3:$A$16</formula1>
      <formula2>0</formula2>
    </dataValidation>
    <dataValidation allowBlank="false" errorStyle="stop" operator="between" showDropDown="false" showErrorMessage="false" showInputMessage="false" sqref="B4" type="list">
      <formula1>Lists!$C$2:$C$5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W2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2"/>
    <col collapsed="false" customWidth="true" hidden="false" outlineLevel="0" max="3" min="3" style="0" width="17"/>
    <col collapsed="false" customWidth="true" hidden="false" outlineLevel="0" max="4" min="4" style="0" width="16"/>
    <col collapsed="false" customWidth="true" hidden="false" outlineLevel="0" max="5" min="5" style="0" width="11"/>
    <col collapsed="false" customWidth="true" hidden="false" outlineLevel="0" max="6" min="6" style="0" width="10"/>
    <col collapsed="false" customWidth="true" hidden="false" outlineLevel="0" max="7" min="7" style="0" width="12"/>
    <col collapsed="false" customWidth="true" hidden="false" outlineLevel="0" max="8" min="8" style="0" width="11"/>
    <col collapsed="false" customWidth="true" hidden="false" outlineLevel="0" max="10" min="9" style="0" width="9"/>
    <col collapsed="false" customWidth="true" hidden="false" outlineLevel="0" max="11" min="11" style="0" width="10"/>
    <col collapsed="false" customWidth="true" hidden="false" outlineLevel="0" max="12" min="12" style="0" width="9"/>
    <col collapsed="false" customWidth="true" hidden="false" outlineLevel="0" max="13" min="13" style="0" width="10"/>
    <col collapsed="false" customWidth="true" hidden="false" outlineLevel="0" max="14" min="14" style="0" width="11"/>
    <col collapsed="false" customWidth="true" hidden="false" outlineLevel="0" max="15" min="15" style="0" width="9"/>
    <col collapsed="false" customWidth="true" hidden="false" outlineLevel="0" max="16" min="16" style="0" width="11"/>
    <col collapsed="false" customWidth="true" hidden="false" outlineLevel="0" max="17" min="17" style="0" width="10"/>
    <col collapsed="false" customWidth="true" hidden="false" outlineLevel="0" max="19" min="18" style="0" width="9"/>
    <col collapsed="false" customWidth="true" hidden="false" outlineLevel="0" max="20" min="20" style="0" width="8"/>
    <col collapsed="false" customWidth="true" hidden="true" outlineLevel="0" max="21" min="21" style="0" width="10"/>
    <col collapsed="false" customWidth="true" hidden="true" outlineLevel="0" max="22" min="22" style="0" width="12"/>
    <col collapsed="false" customWidth="true" hidden="true" outlineLevel="0" max="23" min="23" style="0" width="10"/>
  </cols>
  <sheetData>
    <row r="1" customFormat="false" ht="30" hidden="false" customHeight="true" outlineLevel="0" collapsed="false">
      <c r="A1" s="1" t="s">
        <v>6924</v>
      </c>
      <c r="B1" s="1"/>
      <c r="C1" s="1"/>
      <c r="D1" s="1"/>
      <c r="E1" s="1"/>
      <c r="F1" s="1"/>
      <c r="G1" s="1"/>
      <c r="H1" s="1"/>
      <c r="I1" s="1"/>
      <c r="J1" s="1"/>
      <c r="K1" s="1"/>
      <c r="L1" s="1"/>
      <c r="M1" s="1"/>
      <c r="N1" s="1"/>
      <c r="O1" s="1"/>
      <c r="P1" s="1"/>
      <c r="Q1" s="1"/>
      <c r="R1" s="1"/>
      <c r="S1" s="1"/>
      <c r="T1" s="1"/>
      <c r="U1" s="1"/>
      <c r="V1" s="1"/>
      <c r="W1" s="3"/>
    </row>
    <row r="2" customFormat="false" ht="15" hidden="false" customHeight="false" outlineLevel="0" collapsed="false">
      <c r="A2" s="68" t="s">
        <v>6925</v>
      </c>
      <c r="B2" s="25" t="n">
        <f aca="false">MAX(Sales_Data!$C$2:$C$3520)</f>
        <v>46303</v>
      </c>
      <c r="C2" s="68" t="s">
        <v>6926</v>
      </c>
      <c r="D2" s="48" t="str">
        <f aca="false">TEXT(Dashboard!$C$5,"dd-mmm")&amp;" to "&amp;TEXT(Dashboard!$C$6,"dd-mmm")</f>
        <v>02-Oct to 08-Oct</v>
      </c>
      <c r="E2" s="73" t="s">
        <v>6927</v>
      </c>
      <c r="F2" s="3"/>
      <c r="G2" s="3"/>
      <c r="H2" s="3"/>
      <c r="I2" s="3"/>
      <c r="J2" s="3"/>
      <c r="K2" s="3"/>
      <c r="L2" s="3"/>
      <c r="M2" s="3"/>
      <c r="N2" s="3"/>
      <c r="O2" s="3"/>
      <c r="P2" s="3"/>
      <c r="Q2" s="3"/>
      <c r="R2" s="3"/>
      <c r="S2" s="3"/>
      <c r="T2" s="3"/>
      <c r="U2" s="3"/>
      <c r="V2" s="3"/>
      <c r="W2" s="3"/>
    </row>
    <row r="3" customFormat="false" ht="15" hidden="false" customHeight="false" outlineLevel="0" collapsed="false">
      <c r="A3" s="3"/>
      <c r="B3" s="3"/>
      <c r="C3" s="3"/>
      <c r="D3" s="3"/>
      <c r="E3" s="3"/>
      <c r="F3" s="3"/>
      <c r="G3" s="3"/>
      <c r="H3" s="3"/>
      <c r="I3" s="3"/>
      <c r="J3" s="3"/>
      <c r="K3" s="3"/>
      <c r="L3" s="3"/>
      <c r="M3" s="3"/>
      <c r="N3" s="3"/>
      <c r="O3" s="3"/>
      <c r="P3" s="3"/>
      <c r="Q3" s="3"/>
      <c r="R3" s="3"/>
      <c r="S3" s="3"/>
      <c r="T3" s="3"/>
      <c r="U3" s="3"/>
      <c r="V3" s="3"/>
      <c r="W3" s="3"/>
    </row>
    <row r="4" customFormat="false" ht="31.5" hidden="false" customHeight="true" outlineLevel="0" collapsed="false">
      <c r="A4" s="61" t="s">
        <v>6443</v>
      </c>
      <c r="B4" s="61" t="s">
        <v>122</v>
      </c>
      <c r="C4" s="61" t="s">
        <v>13</v>
      </c>
      <c r="D4" s="61" t="s">
        <v>10</v>
      </c>
      <c r="E4" s="61" t="s">
        <v>123</v>
      </c>
      <c r="F4" s="61" t="s">
        <v>124</v>
      </c>
      <c r="G4" s="61" t="s">
        <v>6445</v>
      </c>
      <c r="H4" s="61" t="s">
        <v>6</v>
      </c>
      <c r="I4" s="61" t="s">
        <v>4</v>
      </c>
      <c r="J4" s="61" t="s">
        <v>5</v>
      </c>
      <c r="K4" s="61" t="s">
        <v>3</v>
      </c>
      <c r="L4" s="61" t="s">
        <v>80</v>
      </c>
      <c r="M4" s="61" t="s">
        <v>6928</v>
      </c>
      <c r="N4" s="61" t="s">
        <v>41</v>
      </c>
      <c r="O4" s="61" t="s">
        <v>42</v>
      </c>
      <c r="P4" s="61" t="s">
        <v>6929</v>
      </c>
      <c r="Q4" s="61" t="s">
        <v>6930</v>
      </c>
      <c r="R4" s="61" t="s">
        <v>6931</v>
      </c>
      <c r="S4" s="61" t="s">
        <v>6932</v>
      </c>
      <c r="T4" s="61" t="s">
        <v>6933</v>
      </c>
      <c r="U4" s="61" t="s">
        <v>6934</v>
      </c>
      <c r="V4" s="61" t="s">
        <v>6935</v>
      </c>
      <c r="W4" s="61" t="s">
        <v>6936</v>
      </c>
    </row>
    <row r="5" customFormat="false" ht="15" hidden="false" customHeight="false" outlineLevel="0" collapsed="false">
      <c r="A5" s="53" t="s">
        <v>3061</v>
      </c>
      <c r="B5" s="48" t="s">
        <v>3062</v>
      </c>
      <c r="C5" s="53" t="s">
        <v>44</v>
      </c>
      <c r="D5" s="53" t="s">
        <v>49</v>
      </c>
      <c r="E5" s="53" t="s">
        <v>146</v>
      </c>
      <c r="F5" s="53" t="s">
        <v>147</v>
      </c>
      <c r="G5" s="53" t="s">
        <v>6450</v>
      </c>
      <c r="H5" s="26" t="n">
        <f aca="false">SUMIFS(Sales_Data!$AE$2:$AE$3520,Sales_Data!$F$2:$F$3520,$A5,Sales_Data!$C$2:$C$3520,"&gt;="&amp;Dashboard!$C$5,Sales_Data!$C$2:$C$3520,"&lt;="&amp;Dashboard!$C$6)</f>
        <v>3</v>
      </c>
      <c r="I5" s="26" t="n">
        <f aca="false">SUMIFS(Sales_Data!$M$2:$M$3520,Sales_Data!$F$2:$F$3520,$A5,Sales_Data!$C$2:$C$3520,"&gt;="&amp;Dashboard!$C$5,Sales_Data!$C$2:$C$3520,"&lt;="&amp;Dashboard!$C$6,Sales_Data!$AE$2:$AE$3520,1)</f>
        <v>1</v>
      </c>
      <c r="J5" s="26" t="n">
        <f aca="false">SUMIFS(Sales_Data!$N$2:$N$3520,Sales_Data!$F$2:$F$3520,$A5,Sales_Data!$C$2:$C$3520,"&gt;="&amp;Dashboard!$C$5,Sales_Data!$C$2:$C$3520,"&lt;="&amp;Dashboard!$C$6,Sales_Data!$AE$2:$AE$3520,1)</f>
        <v>3</v>
      </c>
      <c r="K5" s="27" t="n">
        <f aca="false">SUMIFS(Sales_Data!$O$2:$O$3520,Sales_Data!$F$2:$F$3520,$A5,Sales_Data!$C$2:$C$3520,"&gt;="&amp;Dashboard!$C$5,Sales_Data!$C$2:$C$3520,"&lt;="&amp;Dashboard!$C$6,Sales_Data!$AE$2:$AE$3520,1)</f>
        <v>4</v>
      </c>
      <c r="L5" s="26" t="n">
        <f aca="false">SUMIFS(Sales_Data!$AF$2:$AF$3520,Sales_Data!$F$2:$F$3520,$A5,Sales_Data!$C$2:$C$3520,"&gt;="&amp;Dashboard!$C$5,Sales_Data!$C$2:$C$3520,"&lt;="&amp;Dashboard!$C$6)</f>
        <v>3</v>
      </c>
      <c r="M5" s="31" t="n">
        <f aca="false">IFERROR(K5/L5,0)</f>
        <v>1.33333333333333</v>
      </c>
      <c r="N5" s="26" t="n">
        <f aca="false">SUMIFS(Sales_Data!$O$2:$O$3520,Sales_Data!$F$2:$F$3520,$A5,Sales_Data!$C$2:$C$3520,"&gt;="&amp;Dashboard!$C$12,Sales_Data!$C$2:$C$3520,"&lt;="&amp;Dashboard!$C$13,Sales_Data!$AE$2:$AE$3520,1)</f>
        <v>12</v>
      </c>
      <c r="O5" s="28" t="n">
        <f aca="false">K5-N5</f>
        <v>-8</v>
      </c>
      <c r="P5" s="54" t="n">
        <f aca="false">IF(W5=0,"-",W5)</f>
        <v>46303</v>
      </c>
      <c r="Q5" s="52" t="n">
        <f aca="false">IF(W5=0,"-",$B$2-W5)</f>
        <v>0</v>
      </c>
      <c r="R5" s="52" t="n">
        <f aca="false">IF(T5=1,COUNTIFS($T$5:$T$254,1,$K$5:$K$254,"&gt;"&amp;K5)+1,"-")</f>
        <v>39</v>
      </c>
      <c r="S5" s="52" t="n">
        <f aca="false">COUNTIFS($C$5:$C$254,C5,$K$5:$K$254,"&gt;"&amp;K5)+1</f>
        <v>9</v>
      </c>
      <c r="T5" s="52" t="n">
        <f aca="false">IF(AND(OR(Dashboard!$C$7="All",D5=Dashboard!$C$7),OR(Dashboard!$C$8="All",C5=Dashboard!$C$8)),1,0)</f>
        <v>1</v>
      </c>
      <c r="U5" s="74" t="n">
        <f aca="false">IF(T5=1,K5+ROW()/1000000,-1)</f>
        <v>4.000005</v>
      </c>
      <c r="V5" s="74" t="n">
        <f aca="false">IF(AND(T5=1,E5="Production"),K5+ROW()/1000000,1000000000)</f>
        <v>4.000005</v>
      </c>
      <c r="W5" s="52" t="n">
        <f aca="false">SUMPRODUCT(MAX((Sales_Data!$F$2:$F$3520=A5)*Sales_Data!$C$2:$C$3520))</f>
        <v>46303</v>
      </c>
    </row>
    <row r="6" customFormat="false" ht="15" hidden="false" customHeight="false" outlineLevel="0" collapsed="false">
      <c r="A6" s="53" t="s">
        <v>4310</v>
      </c>
      <c r="B6" s="48" t="s">
        <v>4311</v>
      </c>
      <c r="C6" s="53" t="s">
        <v>44</v>
      </c>
      <c r="D6" s="53" t="s">
        <v>61</v>
      </c>
      <c r="E6" s="53" t="s">
        <v>3708</v>
      </c>
      <c r="F6" s="53" t="s">
        <v>175</v>
      </c>
      <c r="G6" s="53" t="s">
        <v>6450</v>
      </c>
      <c r="H6" s="26" t="n">
        <f aca="false">SUMIFS(Sales_Data!$AE$2:$AE$3520,Sales_Data!$F$2:$F$3520,$A6,Sales_Data!$C$2:$C$3520,"&gt;="&amp;Dashboard!$C$5,Sales_Data!$C$2:$C$3520,"&lt;="&amp;Dashboard!$C$6)</f>
        <v>2</v>
      </c>
      <c r="I6" s="26" t="n">
        <f aca="false">SUMIFS(Sales_Data!$M$2:$M$3520,Sales_Data!$F$2:$F$3520,$A6,Sales_Data!$C$2:$C$3520,"&gt;="&amp;Dashboard!$C$5,Sales_Data!$C$2:$C$3520,"&lt;="&amp;Dashboard!$C$6,Sales_Data!$AE$2:$AE$3520,1)</f>
        <v>0</v>
      </c>
      <c r="J6" s="26" t="n">
        <f aca="false">SUMIFS(Sales_Data!$N$2:$N$3520,Sales_Data!$F$2:$F$3520,$A6,Sales_Data!$C$2:$C$3520,"&gt;="&amp;Dashboard!$C$5,Sales_Data!$C$2:$C$3520,"&lt;="&amp;Dashboard!$C$6,Sales_Data!$AE$2:$AE$3520,1)</f>
        <v>2</v>
      </c>
      <c r="K6" s="27" t="n">
        <f aca="false">SUMIFS(Sales_Data!$O$2:$O$3520,Sales_Data!$F$2:$F$3520,$A6,Sales_Data!$C$2:$C$3520,"&gt;="&amp;Dashboard!$C$5,Sales_Data!$C$2:$C$3520,"&lt;="&amp;Dashboard!$C$6,Sales_Data!$AE$2:$AE$3520,1)</f>
        <v>2</v>
      </c>
      <c r="L6" s="26" t="n">
        <f aca="false">SUMIFS(Sales_Data!$AF$2:$AF$3520,Sales_Data!$F$2:$F$3520,$A6,Sales_Data!$C$2:$C$3520,"&gt;="&amp;Dashboard!$C$5,Sales_Data!$C$2:$C$3520,"&lt;="&amp;Dashboard!$C$6)</f>
        <v>1</v>
      </c>
      <c r="M6" s="31" t="n">
        <f aca="false">IFERROR(K6/L6,0)</f>
        <v>2</v>
      </c>
      <c r="N6" s="26" t="n">
        <f aca="false">SUMIFS(Sales_Data!$O$2:$O$3520,Sales_Data!$F$2:$F$3520,$A6,Sales_Data!$C$2:$C$3520,"&gt;="&amp;Dashboard!$C$12,Sales_Data!$C$2:$C$3520,"&lt;="&amp;Dashboard!$C$13,Sales_Data!$AE$2:$AE$3520,1)</f>
        <v>3</v>
      </c>
      <c r="O6" s="28" t="n">
        <f aca="false">K6-N6</f>
        <v>-1</v>
      </c>
      <c r="P6" s="54" t="n">
        <f aca="false">IF(W6=0,"-",W6)</f>
        <v>46300</v>
      </c>
      <c r="Q6" s="52" t="n">
        <f aca="false">IF(W6=0,"-",$B$2-W6)</f>
        <v>3</v>
      </c>
      <c r="R6" s="52" t="n">
        <f aca="false">IF(T6=1,COUNTIFS($T$5:$T$254,1,$K$5:$K$254,"&gt;"&amp;K6)+1,"-")</f>
        <v>84</v>
      </c>
      <c r="S6" s="52" t="n">
        <f aca="false">COUNTIFS($C$5:$C$254,C6,$K$5:$K$254,"&gt;"&amp;K6)+1</f>
        <v>13</v>
      </c>
      <c r="T6" s="52" t="n">
        <f aca="false">IF(AND(OR(Dashboard!$C$7="All",D6=Dashboard!$C$7),OR(Dashboard!$C$8="All",C6=Dashboard!$C$8)),1,0)</f>
        <v>1</v>
      </c>
      <c r="U6" s="74" t="n">
        <f aca="false">IF(T6=1,K6+ROW()/1000000,-1)</f>
        <v>2.000006</v>
      </c>
      <c r="V6" s="74" t="n">
        <f aca="false">IF(AND(T6=1,E6="Production"),K6+ROW()/1000000,1000000000)</f>
        <v>1000000000</v>
      </c>
      <c r="W6" s="52" t="n">
        <f aca="false">SUMPRODUCT(MAX((Sales_Data!$F$2:$F$3520=A6)*Sales_Data!$C$2:$C$3520))</f>
        <v>46300</v>
      </c>
    </row>
    <row r="7" customFormat="false" ht="15" hidden="false" customHeight="false" outlineLevel="0" collapsed="false">
      <c r="A7" s="53" t="s">
        <v>6452</v>
      </c>
      <c r="B7" s="48" t="s">
        <v>6453</v>
      </c>
      <c r="C7" s="53" t="s">
        <v>44</v>
      </c>
      <c r="D7" s="53" t="s">
        <v>61</v>
      </c>
      <c r="E7" s="53" t="s">
        <v>3708</v>
      </c>
      <c r="F7" s="53" t="s">
        <v>175</v>
      </c>
      <c r="G7" s="53" t="s">
        <v>6450</v>
      </c>
      <c r="H7" s="26" t="n">
        <f aca="false">SUMIFS(Sales_Data!$AE$2:$AE$3520,Sales_Data!$F$2:$F$3520,$A7,Sales_Data!$C$2:$C$3520,"&gt;="&amp;Dashboard!$C$5,Sales_Data!$C$2:$C$3520,"&lt;="&amp;Dashboard!$C$6)</f>
        <v>0</v>
      </c>
      <c r="I7" s="26" t="n">
        <f aca="false">SUMIFS(Sales_Data!$M$2:$M$3520,Sales_Data!$F$2:$F$3520,$A7,Sales_Data!$C$2:$C$3520,"&gt;="&amp;Dashboard!$C$5,Sales_Data!$C$2:$C$3520,"&lt;="&amp;Dashboard!$C$6,Sales_Data!$AE$2:$AE$3520,1)</f>
        <v>0</v>
      </c>
      <c r="J7" s="26" t="n">
        <f aca="false">SUMIFS(Sales_Data!$N$2:$N$3520,Sales_Data!$F$2:$F$3520,$A7,Sales_Data!$C$2:$C$3520,"&gt;="&amp;Dashboard!$C$5,Sales_Data!$C$2:$C$3520,"&lt;="&amp;Dashboard!$C$6,Sales_Data!$AE$2:$AE$3520,1)</f>
        <v>0</v>
      </c>
      <c r="K7" s="27" t="n">
        <f aca="false">SUMIFS(Sales_Data!$O$2:$O$3520,Sales_Data!$F$2:$F$3520,$A7,Sales_Data!$C$2:$C$3520,"&gt;="&amp;Dashboard!$C$5,Sales_Data!$C$2:$C$3520,"&lt;="&amp;Dashboard!$C$6,Sales_Data!$AE$2:$AE$3520,1)</f>
        <v>0</v>
      </c>
      <c r="L7" s="26" t="n">
        <f aca="false">SUMIFS(Sales_Data!$AF$2:$AF$3520,Sales_Data!$F$2:$F$3520,$A7,Sales_Data!$C$2:$C$3520,"&gt;="&amp;Dashboard!$C$5,Sales_Data!$C$2:$C$3520,"&lt;="&amp;Dashboard!$C$6)</f>
        <v>0</v>
      </c>
      <c r="M7" s="31" t="n">
        <f aca="false">IFERROR(K7/L7,0)</f>
        <v>0</v>
      </c>
      <c r="N7" s="26" t="n">
        <f aca="false">SUMIFS(Sales_Data!$O$2:$O$3520,Sales_Data!$F$2:$F$3520,$A7,Sales_Data!$C$2:$C$3520,"&gt;="&amp;Dashboard!$C$12,Sales_Data!$C$2:$C$3520,"&lt;="&amp;Dashboard!$C$13,Sales_Data!$AE$2:$AE$3520,1)</f>
        <v>0</v>
      </c>
      <c r="O7" s="28" t="n">
        <f aca="false">K7-N7</f>
        <v>0</v>
      </c>
      <c r="P7" s="54" t="str">
        <f aca="false">IF(W7=0,"-",W7)</f>
        <v>-</v>
      </c>
      <c r="Q7" s="52" t="str">
        <f aca="false">IF(W7=0,"-",$B$2-W7)</f>
        <v>-</v>
      </c>
      <c r="R7" s="52" t="n">
        <f aca="false">IF(T7=1,COUNTIFS($T$5:$T$254,1,$K$5:$K$254,"&gt;"&amp;K7)+1,"-")</f>
        <v>139</v>
      </c>
      <c r="S7" s="52" t="n">
        <f aca="false">COUNTIFS($C$5:$C$254,C7,$K$5:$K$254,"&gt;"&amp;K7)+1</f>
        <v>19</v>
      </c>
      <c r="T7" s="52" t="n">
        <f aca="false">IF(AND(OR(Dashboard!$C$7="All",D7=Dashboard!$C$7),OR(Dashboard!$C$8="All",C7=Dashboard!$C$8)),1,0)</f>
        <v>1</v>
      </c>
      <c r="U7" s="74" t="n">
        <f aca="false">IF(T7=1,K7+ROW()/1000000,-1)</f>
        <v>7E-006</v>
      </c>
      <c r="V7" s="74" t="n">
        <f aca="false">IF(AND(T7=1,E7="Production"),K7+ROW()/1000000,1000000000)</f>
        <v>1000000000</v>
      </c>
      <c r="W7" s="52" t="n">
        <f aca="false">SUMPRODUCT(MAX((Sales_Data!$F$2:$F$3520=A7)*Sales_Data!$C$2:$C$3520))</f>
        <v>0</v>
      </c>
    </row>
    <row r="8" customFormat="false" ht="15" hidden="false" customHeight="false" outlineLevel="0" collapsed="false">
      <c r="A8" s="53" t="s">
        <v>4506</v>
      </c>
      <c r="B8" s="48" t="s">
        <v>4507</v>
      </c>
      <c r="C8" s="53" t="s">
        <v>44</v>
      </c>
      <c r="D8" s="53" t="s">
        <v>49</v>
      </c>
      <c r="E8" s="53" t="s">
        <v>146</v>
      </c>
      <c r="F8" s="53" t="s">
        <v>147</v>
      </c>
      <c r="G8" s="53" t="s">
        <v>6450</v>
      </c>
      <c r="H8" s="26" t="n">
        <f aca="false">SUMIFS(Sales_Data!$AE$2:$AE$3520,Sales_Data!$F$2:$F$3520,$A8,Sales_Data!$C$2:$C$3520,"&gt;="&amp;Dashboard!$C$5,Sales_Data!$C$2:$C$3520,"&lt;="&amp;Dashboard!$C$6)</f>
        <v>3</v>
      </c>
      <c r="I8" s="26" t="n">
        <f aca="false">SUMIFS(Sales_Data!$M$2:$M$3520,Sales_Data!$F$2:$F$3520,$A8,Sales_Data!$C$2:$C$3520,"&gt;="&amp;Dashboard!$C$5,Sales_Data!$C$2:$C$3520,"&lt;="&amp;Dashboard!$C$6,Sales_Data!$AE$2:$AE$3520,1)</f>
        <v>4</v>
      </c>
      <c r="J8" s="26" t="n">
        <f aca="false">SUMIFS(Sales_Data!$N$2:$N$3520,Sales_Data!$F$2:$F$3520,$A8,Sales_Data!$C$2:$C$3520,"&gt;="&amp;Dashboard!$C$5,Sales_Data!$C$2:$C$3520,"&lt;="&amp;Dashboard!$C$6,Sales_Data!$AE$2:$AE$3520,1)</f>
        <v>0</v>
      </c>
      <c r="K8" s="27" t="n">
        <f aca="false">SUMIFS(Sales_Data!$O$2:$O$3520,Sales_Data!$F$2:$F$3520,$A8,Sales_Data!$C$2:$C$3520,"&gt;="&amp;Dashboard!$C$5,Sales_Data!$C$2:$C$3520,"&lt;="&amp;Dashboard!$C$6,Sales_Data!$AE$2:$AE$3520,1)</f>
        <v>4</v>
      </c>
      <c r="L8" s="26" t="n">
        <f aca="false">SUMIFS(Sales_Data!$AF$2:$AF$3520,Sales_Data!$F$2:$F$3520,$A8,Sales_Data!$C$2:$C$3520,"&gt;="&amp;Dashboard!$C$5,Sales_Data!$C$2:$C$3520,"&lt;="&amp;Dashboard!$C$6)</f>
        <v>3</v>
      </c>
      <c r="M8" s="31" t="n">
        <f aca="false">IFERROR(K8/L8,0)</f>
        <v>1.33333333333333</v>
      </c>
      <c r="N8" s="26" t="n">
        <f aca="false">SUMIFS(Sales_Data!$O$2:$O$3520,Sales_Data!$F$2:$F$3520,$A8,Sales_Data!$C$2:$C$3520,"&gt;="&amp;Dashboard!$C$12,Sales_Data!$C$2:$C$3520,"&lt;="&amp;Dashboard!$C$13,Sales_Data!$AE$2:$AE$3520,1)</f>
        <v>3</v>
      </c>
      <c r="O8" s="28" t="n">
        <f aca="false">K8-N8</f>
        <v>1</v>
      </c>
      <c r="P8" s="54" t="n">
        <f aca="false">IF(W8=0,"-",W8)</f>
        <v>46303</v>
      </c>
      <c r="Q8" s="52" t="n">
        <f aca="false">IF(W8=0,"-",$B$2-W8)</f>
        <v>0</v>
      </c>
      <c r="R8" s="52" t="n">
        <f aca="false">IF(T8=1,COUNTIFS($T$5:$T$254,1,$K$5:$K$254,"&gt;"&amp;K8)+1,"-")</f>
        <v>39</v>
      </c>
      <c r="S8" s="52" t="n">
        <f aca="false">COUNTIFS($C$5:$C$254,C8,$K$5:$K$254,"&gt;"&amp;K8)+1</f>
        <v>9</v>
      </c>
      <c r="T8" s="52" t="n">
        <f aca="false">IF(AND(OR(Dashboard!$C$7="All",D8=Dashboard!$C$7),OR(Dashboard!$C$8="All",C8=Dashboard!$C$8)),1,0)</f>
        <v>1</v>
      </c>
      <c r="U8" s="74" t="n">
        <f aca="false">IF(T8=1,K8+ROW()/1000000,-1)</f>
        <v>4.000008</v>
      </c>
      <c r="V8" s="74" t="n">
        <f aca="false">IF(AND(T8=1,E8="Production"),K8+ROW()/1000000,1000000000)</f>
        <v>4.000008</v>
      </c>
      <c r="W8" s="52" t="n">
        <f aca="false">SUMPRODUCT(MAX((Sales_Data!$F$2:$F$3520=A8)*Sales_Data!$C$2:$C$3520))</f>
        <v>46303</v>
      </c>
    </row>
    <row r="9" customFormat="false" ht="15" hidden="false" customHeight="false" outlineLevel="0" collapsed="false">
      <c r="A9" s="53" t="s">
        <v>6456</v>
      </c>
      <c r="B9" s="48" t="s">
        <v>6457</v>
      </c>
      <c r="C9" s="53" t="s">
        <v>44</v>
      </c>
      <c r="D9" s="53" t="s">
        <v>61</v>
      </c>
      <c r="E9" s="53" t="s">
        <v>3708</v>
      </c>
      <c r="F9" s="53" t="s">
        <v>175</v>
      </c>
      <c r="G9" s="53" t="s">
        <v>6450</v>
      </c>
      <c r="H9" s="26" t="n">
        <f aca="false">SUMIFS(Sales_Data!$AE$2:$AE$3520,Sales_Data!$F$2:$F$3520,$A9,Sales_Data!$C$2:$C$3520,"&gt;="&amp;Dashboard!$C$5,Sales_Data!$C$2:$C$3520,"&lt;="&amp;Dashboard!$C$6)</f>
        <v>0</v>
      </c>
      <c r="I9" s="26" t="n">
        <f aca="false">SUMIFS(Sales_Data!$M$2:$M$3520,Sales_Data!$F$2:$F$3520,$A9,Sales_Data!$C$2:$C$3520,"&gt;="&amp;Dashboard!$C$5,Sales_Data!$C$2:$C$3520,"&lt;="&amp;Dashboard!$C$6,Sales_Data!$AE$2:$AE$3520,1)</f>
        <v>0</v>
      </c>
      <c r="J9" s="26" t="n">
        <f aca="false">SUMIFS(Sales_Data!$N$2:$N$3520,Sales_Data!$F$2:$F$3520,$A9,Sales_Data!$C$2:$C$3520,"&gt;="&amp;Dashboard!$C$5,Sales_Data!$C$2:$C$3520,"&lt;="&amp;Dashboard!$C$6,Sales_Data!$AE$2:$AE$3520,1)</f>
        <v>0</v>
      </c>
      <c r="K9" s="27" t="n">
        <f aca="false">SUMIFS(Sales_Data!$O$2:$O$3520,Sales_Data!$F$2:$F$3520,$A9,Sales_Data!$C$2:$C$3520,"&gt;="&amp;Dashboard!$C$5,Sales_Data!$C$2:$C$3520,"&lt;="&amp;Dashboard!$C$6,Sales_Data!$AE$2:$AE$3520,1)</f>
        <v>0</v>
      </c>
      <c r="L9" s="26" t="n">
        <f aca="false">SUMIFS(Sales_Data!$AF$2:$AF$3520,Sales_Data!$F$2:$F$3520,$A9,Sales_Data!$C$2:$C$3520,"&gt;="&amp;Dashboard!$C$5,Sales_Data!$C$2:$C$3520,"&lt;="&amp;Dashboard!$C$6)</f>
        <v>0</v>
      </c>
      <c r="M9" s="31" t="n">
        <f aca="false">IFERROR(K9/L9,0)</f>
        <v>0</v>
      </c>
      <c r="N9" s="26" t="n">
        <f aca="false">SUMIFS(Sales_Data!$O$2:$O$3520,Sales_Data!$F$2:$F$3520,$A9,Sales_Data!$C$2:$C$3520,"&gt;="&amp;Dashboard!$C$12,Sales_Data!$C$2:$C$3520,"&lt;="&amp;Dashboard!$C$13,Sales_Data!$AE$2:$AE$3520,1)</f>
        <v>0</v>
      </c>
      <c r="O9" s="28" t="n">
        <f aca="false">K9-N9</f>
        <v>0</v>
      </c>
      <c r="P9" s="54" t="str">
        <f aca="false">IF(W9=0,"-",W9)</f>
        <v>-</v>
      </c>
      <c r="Q9" s="52" t="str">
        <f aca="false">IF(W9=0,"-",$B$2-W9)</f>
        <v>-</v>
      </c>
      <c r="R9" s="52" t="n">
        <f aca="false">IF(T9=1,COUNTIFS($T$5:$T$254,1,$K$5:$K$254,"&gt;"&amp;K9)+1,"-")</f>
        <v>139</v>
      </c>
      <c r="S9" s="52" t="n">
        <f aca="false">COUNTIFS($C$5:$C$254,C9,$K$5:$K$254,"&gt;"&amp;K9)+1</f>
        <v>19</v>
      </c>
      <c r="T9" s="52" t="n">
        <f aca="false">IF(AND(OR(Dashboard!$C$7="All",D9=Dashboard!$C$7),OR(Dashboard!$C$8="All",C9=Dashboard!$C$8)),1,0)</f>
        <v>1</v>
      </c>
      <c r="U9" s="74" t="n">
        <f aca="false">IF(T9=1,K9+ROW()/1000000,-1)</f>
        <v>9E-006</v>
      </c>
      <c r="V9" s="74" t="n">
        <f aca="false">IF(AND(T9=1,E9="Production"),K9+ROW()/1000000,1000000000)</f>
        <v>1000000000</v>
      </c>
      <c r="W9" s="52" t="n">
        <f aca="false">SUMPRODUCT(MAX((Sales_Data!$F$2:$F$3520=A9)*Sales_Data!$C$2:$C$3520))</f>
        <v>0</v>
      </c>
    </row>
    <row r="10" customFormat="false" ht="15" hidden="false" customHeight="false" outlineLevel="0" collapsed="false">
      <c r="A10" s="53" t="s">
        <v>4329</v>
      </c>
      <c r="B10" s="48" t="s">
        <v>4330</v>
      </c>
      <c r="C10" s="53" t="s">
        <v>44</v>
      </c>
      <c r="D10" s="53" t="s">
        <v>49</v>
      </c>
      <c r="E10" s="53" t="s">
        <v>146</v>
      </c>
      <c r="F10" s="53" t="s">
        <v>147</v>
      </c>
      <c r="G10" s="53" t="s">
        <v>6450</v>
      </c>
      <c r="H10" s="26" t="n">
        <f aca="false">SUMIFS(Sales_Data!$AE$2:$AE$3520,Sales_Data!$F$2:$F$3520,$A10,Sales_Data!$C$2:$C$3520,"&gt;="&amp;Dashboard!$C$5,Sales_Data!$C$2:$C$3520,"&lt;="&amp;Dashboard!$C$6)</f>
        <v>3</v>
      </c>
      <c r="I10" s="26" t="n">
        <f aca="false">SUMIFS(Sales_Data!$M$2:$M$3520,Sales_Data!$F$2:$F$3520,$A10,Sales_Data!$C$2:$C$3520,"&gt;="&amp;Dashboard!$C$5,Sales_Data!$C$2:$C$3520,"&lt;="&amp;Dashboard!$C$6,Sales_Data!$AE$2:$AE$3520,1)</f>
        <v>0</v>
      </c>
      <c r="J10" s="26" t="n">
        <f aca="false">SUMIFS(Sales_Data!$N$2:$N$3520,Sales_Data!$F$2:$F$3520,$A10,Sales_Data!$C$2:$C$3520,"&gt;="&amp;Dashboard!$C$5,Sales_Data!$C$2:$C$3520,"&lt;="&amp;Dashboard!$C$6,Sales_Data!$AE$2:$AE$3520,1)</f>
        <v>5</v>
      </c>
      <c r="K10" s="27" t="n">
        <f aca="false">SUMIFS(Sales_Data!$O$2:$O$3520,Sales_Data!$F$2:$F$3520,$A10,Sales_Data!$C$2:$C$3520,"&gt;="&amp;Dashboard!$C$5,Sales_Data!$C$2:$C$3520,"&lt;="&amp;Dashboard!$C$6,Sales_Data!$AE$2:$AE$3520,1)</f>
        <v>5</v>
      </c>
      <c r="L10" s="26" t="n">
        <f aca="false">SUMIFS(Sales_Data!$AF$2:$AF$3520,Sales_Data!$F$2:$F$3520,$A10,Sales_Data!$C$2:$C$3520,"&gt;="&amp;Dashboard!$C$5,Sales_Data!$C$2:$C$3520,"&lt;="&amp;Dashboard!$C$6)</f>
        <v>3</v>
      </c>
      <c r="M10" s="31" t="n">
        <f aca="false">IFERROR(K10/L10,0)</f>
        <v>1.66666666666667</v>
      </c>
      <c r="N10" s="26" t="n">
        <f aca="false">SUMIFS(Sales_Data!$O$2:$O$3520,Sales_Data!$F$2:$F$3520,$A10,Sales_Data!$C$2:$C$3520,"&gt;="&amp;Dashboard!$C$12,Sales_Data!$C$2:$C$3520,"&lt;="&amp;Dashboard!$C$13,Sales_Data!$AE$2:$AE$3520,1)</f>
        <v>3</v>
      </c>
      <c r="O10" s="28" t="n">
        <f aca="false">K10-N10</f>
        <v>2</v>
      </c>
      <c r="P10" s="54" t="n">
        <f aca="false">IF(W10=0,"-",W10)</f>
        <v>46302</v>
      </c>
      <c r="Q10" s="52" t="n">
        <f aca="false">IF(W10=0,"-",$B$2-W10)</f>
        <v>1</v>
      </c>
      <c r="R10" s="52" t="n">
        <f aca="false">IF(T10=1,COUNTIFS($T$5:$T$254,1,$K$5:$K$254,"&gt;"&amp;K10)+1,"-")</f>
        <v>28</v>
      </c>
      <c r="S10" s="52" t="n">
        <f aca="false">COUNTIFS($C$5:$C$254,C10,$K$5:$K$254,"&gt;"&amp;K10)+1</f>
        <v>6</v>
      </c>
      <c r="T10" s="52" t="n">
        <f aca="false">IF(AND(OR(Dashboard!$C$7="All",D10=Dashboard!$C$7),OR(Dashboard!$C$8="All",C10=Dashboard!$C$8)),1,0)</f>
        <v>1</v>
      </c>
      <c r="U10" s="74" t="n">
        <f aca="false">IF(T10=1,K10+ROW()/1000000,-1)</f>
        <v>5.00001</v>
      </c>
      <c r="V10" s="74" t="n">
        <f aca="false">IF(AND(T10=1,E10="Production"),K10+ROW()/1000000,1000000000)</f>
        <v>5.00001</v>
      </c>
      <c r="W10" s="52" t="n">
        <f aca="false">SUMPRODUCT(MAX((Sales_Data!$F$2:$F$3520=A10)*Sales_Data!$C$2:$C$3520))</f>
        <v>46302</v>
      </c>
    </row>
    <row r="11" customFormat="false" ht="15" hidden="false" customHeight="false" outlineLevel="0" collapsed="false">
      <c r="A11" s="53" t="s">
        <v>4258</v>
      </c>
      <c r="B11" s="48" t="s">
        <v>4259</v>
      </c>
      <c r="C11" s="53" t="s">
        <v>44</v>
      </c>
      <c r="D11" s="53" t="s">
        <v>49</v>
      </c>
      <c r="E11" s="53" t="s">
        <v>146</v>
      </c>
      <c r="F11" s="53" t="s">
        <v>147</v>
      </c>
      <c r="G11" s="53" t="s">
        <v>6450</v>
      </c>
      <c r="H11" s="26" t="n">
        <f aca="false">SUMIFS(Sales_Data!$AE$2:$AE$3520,Sales_Data!$F$2:$F$3520,$A11,Sales_Data!$C$2:$C$3520,"&gt;="&amp;Dashboard!$C$5,Sales_Data!$C$2:$C$3520,"&lt;="&amp;Dashboard!$C$6)</f>
        <v>7</v>
      </c>
      <c r="I11" s="26" t="n">
        <f aca="false">SUMIFS(Sales_Data!$M$2:$M$3520,Sales_Data!$F$2:$F$3520,$A11,Sales_Data!$C$2:$C$3520,"&gt;="&amp;Dashboard!$C$5,Sales_Data!$C$2:$C$3520,"&lt;="&amp;Dashboard!$C$6,Sales_Data!$AE$2:$AE$3520,1)</f>
        <v>2</v>
      </c>
      <c r="J11" s="26" t="n">
        <f aca="false">SUMIFS(Sales_Data!$N$2:$N$3520,Sales_Data!$F$2:$F$3520,$A11,Sales_Data!$C$2:$C$3520,"&gt;="&amp;Dashboard!$C$5,Sales_Data!$C$2:$C$3520,"&lt;="&amp;Dashboard!$C$6,Sales_Data!$AE$2:$AE$3520,1)</f>
        <v>5</v>
      </c>
      <c r="K11" s="27" t="n">
        <f aca="false">SUMIFS(Sales_Data!$O$2:$O$3520,Sales_Data!$F$2:$F$3520,$A11,Sales_Data!$C$2:$C$3520,"&gt;="&amp;Dashboard!$C$5,Sales_Data!$C$2:$C$3520,"&lt;="&amp;Dashboard!$C$6,Sales_Data!$AE$2:$AE$3520,1)</f>
        <v>7</v>
      </c>
      <c r="L11" s="26" t="n">
        <f aca="false">SUMIFS(Sales_Data!$AF$2:$AF$3520,Sales_Data!$F$2:$F$3520,$A11,Sales_Data!$C$2:$C$3520,"&gt;="&amp;Dashboard!$C$5,Sales_Data!$C$2:$C$3520,"&lt;="&amp;Dashboard!$C$6)</f>
        <v>4</v>
      </c>
      <c r="M11" s="31" t="n">
        <f aca="false">IFERROR(K11/L11,0)</f>
        <v>1.75</v>
      </c>
      <c r="N11" s="26" t="n">
        <f aca="false">SUMIFS(Sales_Data!$O$2:$O$3520,Sales_Data!$F$2:$F$3520,$A11,Sales_Data!$C$2:$C$3520,"&gt;="&amp;Dashboard!$C$12,Sales_Data!$C$2:$C$3520,"&lt;="&amp;Dashboard!$C$13,Sales_Data!$AE$2:$AE$3520,1)</f>
        <v>6</v>
      </c>
      <c r="O11" s="28" t="n">
        <f aca="false">K11-N11</f>
        <v>1</v>
      </c>
      <c r="P11" s="54" t="n">
        <f aca="false">IF(W11=0,"-",W11)</f>
        <v>46303</v>
      </c>
      <c r="Q11" s="52" t="n">
        <f aca="false">IF(W11=0,"-",$B$2-W11)</f>
        <v>0</v>
      </c>
      <c r="R11" s="52" t="n">
        <f aca="false">IF(T11=1,COUNTIFS($T$5:$T$254,1,$K$5:$K$254,"&gt;"&amp;K11)+1,"-")</f>
        <v>14</v>
      </c>
      <c r="S11" s="52" t="n">
        <f aca="false">COUNTIFS($C$5:$C$254,C11,$K$5:$K$254,"&gt;"&amp;K11)+1</f>
        <v>3</v>
      </c>
      <c r="T11" s="52" t="n">
        <f aca="false">IF(AND(OR(Dashboard!$C$7="All",D11=Dashboard!$C$7),OR(Dashboard!$C$8="All",C11=Dashboard!$C$8)),1,0)</f>
        <v>1</v>
      </c>
      <c r="U11" s="74" t="n">
        <f aca="false">IF(T11=1,K11+ROW()/1000000,-1)</f>
        <v>7.000011</v>
      </c>
      <c r="V11" s="74" t="n">
        <f aca="false">IF(AND(T11=1,E11="Production"),K11+ROW()/1000000,1000000000)</f>
        <v>7.000011</v>
      </c>
      <c r="W11" s="52" t="n">
        <f aca="false">SUMPRODUCT(MAX((Sales_Data!$F$2:$F$3520=A11)*Sales_Data!$C$2:$C$3520))</f>
        <v>46303</v>
      </c>
    </row>
    <row r="12" customFormat="false" ht="15" hidden="false" customHeight="false" outlineLevel="0" collapsed="false">
      <c r="A12" s="53" t="s">
        <v>4542</v>
      </c>
      <c r="B12" s="48" t="s">
        <v>4543</v>
      </c>
      <c r="C12" s="53" t="s">
        <v>44</v>
      </c>
      <c r="D12" s="53" t="s">
        <v>49</v>
      </c>
      <c r="E12" s="53" t="s">
        <v>146</v>
      </c>
      <c r="F12" s="53" t="s">
        <v>147</v>
      </c>
      <c r="G12" s="53" t="s">
        <v>6450</v>
      </c>
      <c r="H12" s="26" t="n">
        <f aca="false">SUMIFS(Sales_Data!$AE$2:$AE$3520,Sales_Data!$F$2:$F$3520,$A12,Sales_Data!$C$2:$C$3520,"&gt;="&amp;Dashboard!$C$5,Sales_Data!$C$2:$C$3520,"&lt;="&amp;Dashboard!$C$6)</f>
        <v>3</v>
      </c>
      <c r="I12" s="26" t="n">
        <f aca="false">SUMIFS(Sales_Data!$M$2:$M$3520,Sales_Data!$F$2:$F$3520,$A12,Sales_Data!$C$2:$C$3520,"&gt;="&amp;Dashboard!$C$5,Sales_Data!$C$2:$C$3520,"&lt;="&amp;Dashboard!$C$6,Sales_Data!$AE$2:$AE$3520,1)</f>
        <v>1</v>
      </c>
      <c r="J12" s="26" t="n">
        <f aca="false">SUMIFS(Sales_Data!$N$2:$N$3520,Sales_Data!$F$2:$F$3520,$A12,Sales_Data!$C$2:$C$3520,"&gt;="&amp;Dashboard!$C$5,Sales_Data!$C$2:$C$3520,"&lt;="&amp;Dashboard!$C$6,Sales_Data!$AE$2:$AE$3520,1)</f>
        <v>2</v>
      </c>
      <c r="K12" s="27" t="n">
        <f aca="false">SUMIFS(Sales_Data!$O$2:$O$3520,Sales_Data!$F$2:$F$3520,$A12,Sales_Data!$C$2:$C$3520,"&gt;="&amp;Dashboard!$C$5,Sales_Data!$C$2:$C$3520,"&lt;="&amp;Dashboard!$C$6,Sales_Data!$AE$2:$AE$3520,1)</f>
        <v>3</v>
      </c>
      <c r="L12" s="26" t="n">
        <f aca="false">SUMIFS(Sales_Data!$AF$2:$AF$3520,Sales_Data!$F$2:$F$3520,$A12,Sales_Data!$C$2:$C$3520,"&gt;="&amp;Dashboard!$C$5,Sales_Data!$C$2:$C$3520,"&lt;="&amp;Dashboard!$C$6)</f>
        <v>3</v>
      </c>
      <c r="M12" s="31" t="n">
        <f aca="false">IFERROR(K12/L12,0)</f>
        <v>1</v>
      </c>
      <c r="N12" s="26" t="n">
        <f aca="false">SUMIFS(Sales_Data!$O$2:$O$3520,Sales_Data!$F$2:$F$3520,$A12,Sales_Data!$C$2:$C$3520,"&gt;="&amp;Dashboard!$C$12,Sales_Data!$C$2:$C$3520,"&lt;="&amp;Dashboard!$C$13,Sales_Data!$AE$2:$AE$3520,1)</f>
        <v>4</v>
      </c>
      <c r="O12" s="28" t="n">
        <f aca="false">K12-N12</f>
        <v>-1</v>
      </c>
      <c r="P12" s="54" t="n">
        <f aca="false">IF(W12=0,"-",W12)</f>
        <v>46303</v>
      </c>
      <c r="Q12" s="52" t="n">
        <f aca="false">IF(W12=0,"-",$B$2-W12)</f>
        <v>0</v>
      </c>
      <c r="R12" s="52" t="n">
        <f aca="false">IF(T12=1,COUNTIFS($T$5:$T$254,1,$K$5:$K$254,"&gt;"&amp;K12)+1,"-")</f>
        <v>59</v>
      </c>
      <c r="S12" s="52" t="n">
        <f aca="false">COUNTIFS($C$5:$C$254,C12,$K$5:$K$254,"&gt;"&amp;K12)+1</f>
        <v>11</v>
      </c>
      <c r="T12" s="52" t="n">
        <f aca="false">IF(AND(OR(Dashboard!$C$7="All",D12=Dashboard!$C$7),OR(Dashboard!$C$8="All",C12=Dashboard!$C$8)),1,0)</f>
        <v>1</v>
      </c>
      <c r="U12" s="74" t="n">
        <f aca="false">IF(T12=1,K12+ROW()/1000000,-1)</f>
        <v>3.000012</v>
      </c>
      <c r="V12" s="74" t="n">
        <f aca="false">IF(AND(T12=1,E12="Production"),K12+ROW()/1000000,1000000000)</f>
        <v>3.000012</v>
      </c>
      <c r="W12" s="52" t="n">
        <f aca="false">SUMPRODUCT(MAX((Sales_Data!$F$2:$F$3520=A12)*Sales_Data!$C$2:$C$3520))</f>
        <v>46303</v>
      </c>
    </row>
    <row r="13" customFormat="false" ht="15" hidden="false" customHeight="false" outlineLevel="0" collapsed="false">
      <c r="A13" s="53" t="s">
        <v>4304</v>
      </c>
      <c r="B13" s="48" t="s">
        <v>4305</v>
      </c>
      <c r="C13" s="53" t="s">
        <v>44</v>
      </c>
      <c r="D13" s="53" t="s">
        <v>61</v>
      </c>
      <c r="E13" s="53" t="s">
        <v>3708</v>
      </c>
      <c r="F13" s="53" t="s">
        <v>175</v>
      </c>
      <c r="G13" s="53" t="s">
        <v>6450</v>
      </c>
      <c r="H13" s="26" t="n">
        <f aca="false">SUMIFS(Sales_Data!$AE$2:$AE$3520,Sales_Data!$F$2:$F$3520,$A13,Sales_Data!$C$2:$C$3520,"&gt;="&amp;Dashboard!$C$5,Sales_Data!$C$2:$C$3520,"&lt;="&amp;Dashboard!$C$6)</f>
        <v>1</v>
      </c>
      <c r="I13" s="26" t="n">
        <f aca="false">SUMIFS(Sales_Data!$M$2:$M$3520,Sales_Data!$F$2:$F$3520,$A13,Sales_Data!$C$2:$C$3520,"&gt;="&amp;Dashboard!$C$5,Sales_Data!$C$2:$C$3520,"&lt;="&amp;Dashboard!$C$6,Sales_Data!$AE$2:$AE$3520,1)</f>
        <v>1</v>
      </c>
      <c r="J13" s="26" t="n">
        <f aca="false">SUMIFS(Sales_Data!$N$2:$N$3520,Sales_Data!$F$2:$F$3520,$A13,Sales_Data!$C$2:$C$3520,"&gt;="&amp;Dashboard!$C$5,Sales_Data!$C$2:$C$3520,"&lt;="&amp;Dashboard!$C$6,Sales_Data!$AE$2:$AE$3520,1)</f>
        <v>0</v>
      </c>
      <c r="K13" s="27" t="n">
        <f aca="false">SUMIFS(Sales_Data!$O$2:$O$3520,Sales_Data!$F$2:$F$3520,$A13,Sales_Data!$C$2:$C$3520,"&gt;="&amp;Dashboard!$C$5,Sales_Data!$C$2:$C$3520,"&lt;="&amp;Dashboard!$C$6,Sales_Data!$AE$2:$AE$3520,1)</f>
        <v>1</v>
      </c>
      <c r="L13" s="26" t="n">
        <f aca="false">SUMIFS(Sales_Data!$AF$2:$AF$3520,Sales_Data!$F$2:$F$3520,$A13,Sales_Data!$C$2:$C$3520,"&gt;="&amp;Dashboard!$C$5,Sales_Data!$C$2:$C$3520,"&lt;="&amp;Dashboard!$C$6)</f>
        <v>1</v>
      </c>
      <c r="M13" s="31" t="n">
        <f aca="false">IFERROR(K13/L13,0)</f>
        <v>1</v>
      </c>
      <c r="N13" s="26" t="n">
        <f aca="false">SUMIFS(Sales_Data!$O$2:$O$3520,Sales_Data!$F$2:$F$3520,$A13,Sales_Data!$C$2:$C$3520,"&gt;="&amp;Dashboard!$C$12,Sales_Data!$C$2:$C$3520,"&lt;="&amp;Dashboard!$C$13,Sales_Data!$AE$2:$AE$3520,1)</f>
        <v>3</v>
      </c>
      <c r="O13" s="28" t="n">
        <f aca="false">K13-N13</f>
        <v>-2</v>
      </c>
      <c r="P13" s="54" t="n">
        <f aca="false">IF(W13=0,"-",W13)</f>
        <v>46302</v>
      </c>
      <c r="Q13" s="52" t="n">
        <f aca="false">IF(W13=0,"-",$B$2-W13)</f>
        <v>1</v>
      </c>
      <c r="R13" s="52" t="n">
        <f aca="false">IF(T13=1,COUNTIFS($T$5:$T$254,1,$K$5:$K$254,"&gt;"&amp;K13)+1,"-")</f>
        <v>105</v>
      </c>
      <c r="S13" s="52" t="n">
        <f aca="false">COUNTIFS($C$5:$C$254,C13,$K$5:$K$254,"&gt;"&amp;K13)+1</f>
        <v>15</v>
      </c>
      <c r="T13" s="52" t="n">
        <f aca="false">IF(AND(OR(Dashboard!$C$7="All",D13=Dashboard!$C$7),OR(Dashboard!$C$8="All",C13=Dashboard!$C$8)),1,0)</f>
        <v>1</v>
      </c>
      <c r="U13" s="74" t="n">
        <f aca="false">IF(T13=1,K13+ROW()/1000000,-1)</f>
        <v>1.000013</v>
      </c>
      <c r="V13" s="74" t="n">
        <f aca="false">IF(AND(T13=1,E13="Production"),K13+ROW()/1000000,1000000000)</f>
        <v>1000000000</v>
      </c>
      <c r="W13" s="52" t="n">
        <f aca="false">SUMPRODUCT(MAX((Sales_Data!$F$2:$F$3520=A13)*Sales_Data!$C$2:$C$3520))</f>
        <v>46302</v>
      </c>
    </row>
    <row r="14" customFormat="false" ht="15" hidden="false" customHeight="false" outlineLevel="0" collapsed="false">
      <c r="A14" s="53" t="s">
        <v>6463</v>
      </c>
      <c r="B14" s="48" t="s">
        <v>6464</v>
      </c>
      <c r="C14" s="53" t="s">
        <v>44</v>
      </c>
      <c r="D14" s="53" t="s">
        <v>61</v>
      </c>
      <c r="E14" s="53" t="s">
        <v>3708</v>
      </c>
      <c r="F14" s="53" t="s">
        <v>175</v>
      </c>
      <c r="G14" s="53" t="s">
        <v>6450</v>
      </c>
      <c r="H14" s="26" t="n">
        <f aca="false">SUMIFS(Sales_Data!$AE$2:$AE$3520,Sales_Data!$F$2:$F$3520,$A14,Sales_Data!$C$2:$C$3520,"&gt;="&amp;Dashboard!$C$5,Sales_Data!$C$2:$C$3520,"&lt;="&amp;Dashboard!$C$6)</f>
        <v>0</v>
      </c>
      <c r="I14" s="26" t="n">
        <f aca="false">SUMIFS(Sales_Data!$M$2:$M$3520,Sales_Data!$F$2:$F$3520,$A14,Sales_Data!$C$2:$C$3520,"&gt;="&amp;Dashboard!$C$5,Sales_Data!$C$2:$C$3520,"&lt;="&amp;Dashboard!$C$6,Sales_Data!$AE$2:$AE$3520,1)</f>
        <v>0</v>
      </c>
      <c r="J14" s="26" t="n">
        <f aca="false">SUMIFS(Sales_Data!$N$2:$N$3520,Sales_Data!$F$2:$F$3520,$A14,Sales_Data!$C$2:$C$3520,"&gt;="&amp;Dashboard!$C$5,Sales_Data!$C$2:$C$3520,"&lt;="&amp;Dashboard!$C$6,Sales_Data!$AE$2:$AE$3520,1)</f>
        <v>0</v>
      </c>
      <c r="K14" s="27" t="n">
        <f aca="false">SUMIFS(Sales_Data!$O$2:$O$3520,Sales_Data!$F$2:$F$3520,$A14,Sales_Data!$C$2:$C$3520,"&gt;="&amp;Dashboard!$C$5,Sales_Data!$C$2:$C$3520,"&lt;="&amp;Dashboard!$C$6,Sales_Data!$AE$2:$AE$3520,1)</f>
        <v>0</v>
      </c>
      <c r="L14" s="26" t="n">
        <f aca="false">SUMIFS(Sales_Data!$AF$2:$AF$3520,Sales_Data!$F$2:$F$3520,$A14,Sales_Data!$C$2:$C$3520,"&gt;="&amp;Dashboard!$C$5,Sales_Data!$C$2:$C$3520,"&lt;="&amp;Dashboard!$C$6)</f>
        <v>0</v>
      </c>
      <c r="M14" s="31" t="n">
        <f aca="false">IFERROR(K14/L14,0)</f>
        <v>0</v>
      </c>
      <c r="N14" s="26" t="n">
        <f aca="false">SUMIFS(Sales_Data!$O$2:$O$3520,Sales_Data!$F$2:$F$3520,$A14,Sales_Data!$C$2:$C$3520,"&gt;="&amp;Dashboard!$C$12,Sales_Data!$C$2:$C$3520,"&lt;="&amp;Dashboard!$C$13,Sales_Data!$AE$2:$AE$3520,1)</f>
        <v>0</v>
      </c>
      <c r="O14" s="28" t="n">
        <f aca="false">K14-N14</f>
        <v>0</v>
      </c>
      <c r="P14" s="54" t="str">
        <f aca="false">IF(W14=0,"-",W14)</f>
        <v>-</v>
      </c>
      <c r="Q14" s="52" t="str">
        <f aca="false">IF(W14=0,"-",$B$2-W14)</f>
        <v>-</v>
      </c>
      <c r="R14" s="52" t="n">
        <f aca="false">IF(T14=1,COUNTIFS($T$5:$T$254,1,$K$5:$K$254,"&gt;"&amp;K14)+1,"-")</f>
        <v>139</v>
      </c>
      <c r="S14" s="52" t="n">
        <f aca="false">COUNTIFS($C$5:$C$254,C14,$K$5:$K$254,"&gt;"&amp;K14)+1</f>
        <v>19</v>
      </c>
      <c r="T14" s="52" t="n">
        <f aca="false">IF(AND(OR(Dashboard!$C$7="All",D14=Dashboard!$C$7),OR(Dashboard!$C$8="All",C14=Dashboard!$C$8)),1,0)</f>
        <v>1</v>
      </c>
      <c r="U14" s="74" t="n">
        <f aca="false">IF(T14=1,K14+ROW()/1000000,-1)</f>
        <v>1.4E-005</v>
      </c>
      <c r="V14" s="74" t="n">
        <f aca="false">IF(AND(T14=1,E14="Production"),K14+ROW()/1000000,1000000000)</f>
        <v>1000000000</v>
      </c>
      <c r="W14" s="52" t="n">
        <f aca="false">SUMPRODUCT(MAX((Sales_Data!$F$2:$F$3520=A14)*Sales_Data!$C$2:$C$3520))</f>
        <v>0</v>
      </c>
    </row>
    <row r="15" customFormat="false" ht="15" hidden="false" customHeight="false" outlineLevel="0" collapsed="false">
      <c r="A15" s="53" t="s">
        <v>4382</v>
      </c>
      <c r="B15" s="48" t="s">
        <v>4383</v>
      </c>
      <c r="C15" s="53" t="s">
        <v>44</v>
      </c>
      <c r="D15" s="53" t="s">
        <v>61</v>
      </c>
      <c r="E15" s="53" t="s">
        <v>3708</v>
      </c>
      <c r="F15" s="53" t="s">
        <v>175</v>
      </c>
      <c r="G15" s="53" t="s">
        <v>6450</v>
      </c>
      <c r="H15" s="26" t="n">
        <f aca="false">SUMIFS(Sales_Data!$AE$2:$AE$3520,Sales_Data!$F$2:$F$3520,$A15,Sales_Data!$C$2:$C$3520,"&gt;="&amp;Dashboard!$C$5,Sales_Data!$C$2:$C$3520,"&lt;="&amp;Dashboard!$C$6)</f>
        <v>2</v>
      </c>
      <c r="I15" s="26" t="n">
        <f aca="false">SUMIFS(Sales_Data!$M$2:$M$3520,Sales_Data!$F$2:$F$3520,$A15,Sales_Data!$C$2:$C$3520,"&gt;="&amp;Dashboard!$C$5,Sales_Data!$C$2:$C$3520,"&lt;="&amp;Dashboard!$C$6,Sales_Data!$AE$2:$AE$3520,1)</f>
        <v>0</v>
      </c>
      <c r="J15" s="26" t="n">
        <f aca="false">SUMIFS(Sales_Data!$N$2:$N$3520,Sales_Data!$F$2:$F$3520,$A15,Sales_Data!$C$2:$C$3520,"&gt;="&amp;Dashboard!$C$5,Sales_Data!$C$2:$C$3520,"&lt;="&amp;Dashboard!$C$6,Sales_Data!$AE$2:$AE$3520,1)</f>
        <v>3</v>
      </c>
      <c r="K15" s="27" t="n">
        <f aca="false">SUMIFS(Sales_Data!$O$2:$O$3520,Sales_Data!$F$2:$F$3520,$A15,Sales_Data!$C$2:$C$3520,"&gt;="&amp;Dashboard!$C$5,Sales_Data!$C$2:$C$3520,"&lt;="&amp;Dashboard!$C$6,Sales_Data!$AE$2:$AE$3520,1)</f>
        <v>3</v>
      </c>
      <c r="L15" s="26" t="n">
        <f aca="false">SUMIFS(Sales_Data!$AF$2:$AF$3520,Sales_Data!$F$2:$F$3520,$A15,Sales_Data!$C$2:$C$3520,"&gt;="&amp;Dashboard!$C$5,Sales_Data!$C$2:$C$3520,"&lt;="&amp;Dashboard!$C$6)</f>
        <v>1</v>
      </c>
      <c r="M15" s="31" t="n">
        <f aca="false">IFERROR(K15/L15,0)</f>
        <v>3</v>
      </c>
      <c r="N15" s="26" t="n">
        <f aca="false">SUMIFS(Sales_Data!$O$2:$O$3520,Sales_Data!$F$2:$F$3520,$A15,Sales_Data!$C$2:$C$3520,"&gt;="&amp;Dashboard!$C$12,Sales_Data!$C$2:$C$3520,"&lt;="&amp;Dashboard!$C$13,Sales_Data!$AE$2:$AE$3520,1)</f>
        <v>2</v>
      </c>
      <c r="O15" s="28" t="n">
        <f aca="false">K15-N15</f>
        <v>1</v>
      </c>
      <c r="P15" s="54" t="n">
        <f aca="false">IF(W15=0,"-",W15)</f>
        <v>46302</v>
      </c>
      <c r="Q15" s="52" t="n">
        <f aca="false">IF(W15=0,"-",$B$2-W15)</f>
        <v>1</v>
      </c>
      <c r="R15" s="52" t="n">
        <f aca="false">IF(T15=1,COUNTIFS($T$5:$T$254,1,$K$5:$K$254,"&gt;"&amp;K15)+1,"-")</f>
        <v>59</v>
      </c>
      <c r="S15" s="52" t="n">
        <f aca="false">COUNTIFS($C$5:$C$254,C15,$K$5:$K$254,"&gt;"&amp;K15)+1</f>
        <v>11</v>
      </c>
      <c r="T15" s="52" t="n">
        <f aca="false">IF(AND(OR(Dashboard!$C$7="All",D15=Dashboard!$C$7),OR(Dashboard!$C$8="All",C15=Dashboard!$C$8)),1,0)</f>
        <v>1</v>
      </c>
      <c r="U15" s="74" t="n">
        <f aca="false">IF(T15=1,K15+ROW()/1000000,-1)</f>
        <v>3.000015</v>
      </c>
      <c r="V15" s="74" t="n">
        <f aca="false">IF(AND(T15=1,E15="Production"),K15+ROW()/1000000,1000000000)</f>
        <v>1000000000</v>
      </c>
      <c r="W15" s="52" t="n">
        <f aca="false">SUMPRODUCT(MAX((Sales_Data!$F$2:$F$3520=A15)*Sales_Data!$C$2:$C$3520))</f>
        <v>46302</v>
      </c>
    </row>
    <row r="16" customFormat="false" ht="15" hidden="false" customHeight="false" outlineLevel="0" collapsed="false">
      <c r="A16" s="53" t="s">
        <v>4234</v>
      </c>
      <c r="B16" s="48" t="s">
        <v>4235</v>
      </c>
      <c r="C16" s="53" t="s">
        <v>44</v>
      </c>
      <c r="D16" s="53" t="s">
        <v>49</v>
      </c>
      <c r="E16" s="53" t="s">
        <v>146</v>
      </c>
      <c r="F16" s="53" t="s">
        <v>147</v>
      </c>
      <c r="G16" s="53" t="s">
        <v>6450</v>
      </c>
      <c r="H16" s="26" t="n">
        <f aca="false">SUMIFS(Sales_Data!$AE$2:$AE$3520,Sales_Data!$F$2:$F$3520,$A16,Sales_Data!$C$2:$C$3520,"&gt;="&amp;Dashboard!$C$5,Sales_Data!$C$2:$C$3520,"&lt;="&amp;Dashboard!$C$6)</f>
        <v>9</v>
      </c>
      <c r="I16" s="26" t="n">
        <f aca="false">SUMIFS(Sales_Data!$M$2:$M$3520,Sales_Data!$F$2:$F$3520,$A16,Sales_Data!$C$2:$C$3520,"&gt;="&amp;Dashboard!$C$5,Sales_Data!$C$2:$C$3520,"&lt;="&amp;Dashboard!$C$6,Sales_Data!$AE$2:$AE$3520,1)</f>
        <v>0</v>
      </c>
      <c r="J16" s="26" t="n">
        <f aca="false">SUMIFS(Sales_Data!$N$2:$N$3520,Sales_Data!$F$2:$F$3520,$A16,Sales_Data!$C$2:$C$3520,"&gt;="&amp;Dashboard!$C$5,Sales_Data!$C$2:$C$3520,"&lt;="&amp;Dashboard!$C$6,Sales_Data!$AE$2:$AE$3520,1)</f>
        <v>11</v>
      </c>
      <c r="K16" s="27" t="n">
        <f aca="false">SUMIFS(Sales_Data!$O$2:$O$3520,Sales_Data!$F$2:$F$3520,$A16,Sales_Data!$C$2:$C$3520,"&gt;="&amp;Dashboard!$C$5,Sales_Data!$C$2:$C$3520,"&lt;="&amp;Dashboard!$C$6,Sales_Data!$AE$2:$AE$3520,1)</f>
        <v>11</v>
      </c>
      <c r="L16" s="26" t="n">
        <f aca="false">SUMIFS(Sales_Data!$AF$2:$AF$3520,Sales_Data!$F$2:$F$3520,$A16,Sales_Data!$C$2:$C$3520,"&gt;="&amp;Dashboard!$C$5,Sales_Data!$C$2:$C$3520,"&lt;="&amp;Dashboard!$C$6)</f>
        <v>4</v>
      </c>
      <c r="M16" s="31" t="n">
        <f aca="false">IFERROR(K16/L16,0)</f>
        <v>2.75</v>
      </c>
      <c r="N16" s="26" t="n">
        <f aca="false">SUMIFS(Sales_Data!$O$2:$O$3520,Sales_Data!$F$2:$F$3520,$A16,Sales_Data!$C$2:$C$3520,"&gt;="&amp;Dashboard!$C$12,Sales_Data!$C$2:$C$3520,"&lt;="&amp;Dashboard!$C$13,Sales_Data!$AE$2:$AE$3520,1)</f>
        <v>6</v>
      </c>
      <c r="O16" s="28" t="n">
        <f aca="false">K16-N16</f>
        <v>5</v>
      </c>
      <c r="P16" s="54" t="n">
        <f aca="false">IF(W16=0,"-",W16)</f>
        <v>46303</v>
      </c>
      <c r="Q16" s="52" t="n">
        <f aca="false">IF(W16=0,"-",$B$2-W16)</f>
        <v>0</v>
      </c>
      <c r="R16" s="52" t="n">
        <f aca="false">IF(T16=1,COUNTIFS($T$5:$T$254,1,$K$5:$K$254,"&gt;"&amp;K16)+1,"-")</f>
        <v>6</v>
      </c>
      <c r="S16" s="52" t="n">
        <f aca="false">COUNTIFS($C$5:$C$254,C16,$K$5:$K$254,"&gt;"&amp;K16)+1</f>
        <v>1</v>
      </c>
      <c r="T16" s="52" t="n">
        <f aca="false">IF(AND(OR(Dashboard!$C$7="All",D16=Dashboard!$C$7),OR(Dashboard!$C$8="All",C16=Dashboard!$C$8)),1,0)</f>
        <v>1</v>
      </c>
      <c r="U16" s="74" t="n">
        <f aca="false">IF(T16=1,K16+ROW()/1000000,-1)</f>
        <v>11.000016</v>
      </c>
      <c r="V16" s="74" t="n">
        <f aca="false">IF(AND(T16=1,E16="Production"),K16+ROW()/1000000,1000000000)</f>
        <v>11.000016</v>
      </c>
      <c r="W16" s="52" t="n">
        <f aca="false">SUMPRODUCT(MAX((Sales_Data!$F$2:$F$3520=A16)*Sales_Data!$C$2:$C$3520))</f>
        <v>46303</v>
      </c>
    </row>
    <row r="17" customFormat="false" ht="15" hidden="false" customHeight="false" outlineLevel="0" collapsed="false">
      <c r="A17" s="53" t="s">
        <v>4386</v>
      </c>
      <c r="B17" s="48" t="s">
        <v>4387</v>
      </c>
      <c r="C17" s="53" t="s">
        <v>44</v>
      </c>
      <c r="D17" s="53" t="s">
        <v>49</v>
      </c>
      <c r="E17" s="53" t="s">
        <v>146</v>
      </c>
      <c r="F17" s="53" t="s">
        <v>147</v>
      </c>
      <c r="G17" s="53" t="s">
        <v>6450</v>
      </c>
      <c r="H17" s="26" t="n">
        <f aca="false">SUMIFS(Sales_Data!$AE$2:$AE$3520,Sales_Data!$F$2:$F$3520,$A17,Sales_Data!$C$2:$C$3520,"&gt;="&amp;Dashboard!$C$5,Sales_Data!$C$2:$C$3520,"&lt;="&amp;Dashboard!$C$6)</f>
        <v>6</v>
      </c>
      <c r="I17" s="26" t="n">
        <f aca="false">SUMIFS(Sales_Data!$M$2:$M$3520,Sales_Data!$F$2:$F$3520,$A17,Sales_Data!$C$2:$C$3520,"&gt;="&amp;Dashboard!$C$5,Sales_Data!$C$2:$C$3520,"&lt;="&amp;Dashboard!$C$6,Sales_Data!$AE$2:$AE$3520,1)</f>
        <v>2</v>
      </c>
      <c r="J17" s="26" t="n">
        <f aca="false">SUMIFS(Sales_Data!$N$2:$N$3520,Sales_Data!$F$2:$F$3520,$A17,Sales_Data!$C$2:$C$3520,"&gt;="&amp;Dashboard!$C$5,Sales_Data!$C$2:$C$3520,"&lt;="&amp;Dashboard!$C$6,Sales_Data!$AE$2:$AE$3520,1)</f>
        <v>4</v>
      </c>
      <c r="K17" s="27" t="n">
        <f aca="false">SUMIFS(Sales_Data!$O$2:$O$3520,Sales_Data!$F$2:$F$3520,$A17,Sales_Data!$C$2:$C$3520,"&gt;="&amp;Dashboard!$C$5,Sales_Data!$C$2:$C$3520,"&lt;="&amp;Dashboard!$C$6,Sales_Data!$AE$2:$AE$3520,1)</f>
        <v>6</v>
      </c>
      <c r="L17" s="26" t="n">
        <f aca="false">SUMIFS(Sales_Data!$AF$2:$AF$3520,Sales_Data!$F$2:$F$3520,$A17,Sales_Data!$C$2:$C$3520,"&gt;="&amp;Dashboard!$C$5,Sales_Data!$C$2:$C$3520,"&lt;="&amp;Dashboard!$C$6)</f>
        <v>4</v>
      </c>
      <c r="M17" s="31" t="n">
        <f aca="false">IFERROR(K17/L17,0)</f>
        <v>1.5</v>
      </c>
      <c r="N17" s="26" t="n">
        <f aca="false">SUMIFS(Sales_Data!$O$2:$O$3520,Sales_Data!$F$2:$F$3520,$A17,Sales_Data!$C$2:$C$3520,"&gt;="&amp;Dashboard!$C$12,Sales_Data!$C$2:$C$3520,"&lt;="&amp;Dashboard!$C$13,Sales_Data!$AE$2:$AE$3520,1)</f>
        <v>3</v>
      </c>
      <c r="O17" s="28" t="n">
        <f aca="false">K17-N17</f>
        <v>3</v>
      </c>
      <c r="P17" s="54" t="n">
        <f aca="false">IF(W17=0,"-",W17)</f>
        <v>46302</v>
      </c>
      <c r="Q17" s="52" t="n">
        <f aca="false">IF(W17=0,"-",$B$2-W17)</f>
        <v>1</v>
      </c>
      <c r="R17" s="52" t="n">
        <f aca="false">IF(T17=1,COUNTIFS($T$5:$T$254,1,$K$5:$K$254,"&gt;"&amp;K17)+1,"-")</f>
        <v>17</v>
      </c>
      <c r="S17" s="52" t="n">
        <f aca="false">COUNTIFS($C$5:$C$254,C17,$K$5:$K$254,"&gt;"&amp;K17)+1</f>
        <v>4</v>
      </c>
      <c r="T17" s="52" t="n">
        <f aca="false">IF(AND(OR(Dashboard!$C$7="All",D17=Dashboard!$C$7),OR(Dashboard!$C$8="All",C17=Dashboard!$C$8)),1,0)</f>
        <v>1</v>
      </c>
      <c r="U17" s="74" t="n">
        <f aca="false">IF(T17=1,K17+ROW()/1000000,-1)</f>
        <v>6.000017</v>
      </c>
      <c r="V17" s="74" t="n">
        <f aca="false">IF(AND(T17=1,E17="Production"),K17+ROW()/1000000,1000000000)</f>
        <v>6.000017</v>
      </c>
      <c r="W17" s="52" t="n">
        <f aca="false">SUMPRODUCT(MAX((Sales_Data!$F$2:$F$3520=A17)*Sales_Data!$C$2:$C$3520))</f>
        <v>46302</v>
      </c>
    </row>
    <row r="18" customFormat="false" ht="15" hidden="false" customHeight="false" outlineLevel="0" collapsed="false">
      <c r="A18" s="53" t="s">
        <v>4530</v>
      </c>
      <c r="B18" s="48" t="s">
        <v>4531</v>
      </c>
      <c r="C18" s="53" t="s">
        <v>44</v>
      </c>
      <c r="D18" s="53" t="s">
        <v>49</v>
      </c>
      <c r="E18" s="53" t="s">
        <v>146</v>
      </c>
      <c r="F18" s="53" t="s">
        <v>147</v>
      </c>
      <c r="G18" s="53" t="s">
        <v>6450</v>
      </c>
      <c r="H18" s="26" t="n">
        <f aca="false">SUMIFS(Sales_Data!$AE$2:$AE$3520,Sales_Data!$F$2:$F$3520,$A18,Sales_Data!$C$2:$C$3520,"&gt;="&amp;Dashboard!$C$5,Sales_Data!$C$2:$C$3520,"&lt;="&amp;Dashboard!$C$6)</f>
        <v>1</v>
      </c>
      <c r="I18" s="26" t="n">
        <f aca="false">SUMIFS(Sales_Data!$M$2:$M$3520,Sales_Data!$F$2:$F$3520,$A18,Sales_Data!$C$2:$C$3520,"&gt;="&amp;Dashboard!$C$5,Sales_Data!$C$2:$C$3520,"&lt;="&amp;Dashboard!$C$6,Sales_Data!$AE$2:$AE$3520,1)</f>
        <v>0</v>
      </c>
      <c r="J18" s="26" t="n">
        <f aca="false">SUMIFS(Sales_Data!$N$2:$N$3520,Sales_Data!$F$2:$F$3520,$A18,Sales_Data!$C$2:$C$3520,"&gt;="&amp;Dashboard!$C$5,Sales_Data!$C$2:$C$3520,"&lt;="&amp;Dashboard!$C$6,Sales_Data!$AE$2:$AE$3520,1)</f>
        <v>1</v>
      </c>
      <c r="K18" s="27" t="n">
        <f aca="false">SUMIFS(Sales_Data!$O$2:$O$3520,Sales_Data!$F$2:$F$3520,$A18,Sales_Data!$C$2:$C$3520,"&gt;="&amp;Dashboard!$C$5,Sales_Data!$C$2:$C$3520,"&lt;="&amp;Dashboard!$C$6,Sales_Data!$AE$2:$AE$3520,1)</f>
        <v>1</v>
      </c>
      <c r="L18" s="26" t="n">
        <f aca="false">SUMIFS(Sales_Data!$AF$2:$AF$3520,Sales_Data!$F$2:$F$3520,$A18,Sales_Data!$C$2:$C$3520,"&gt;="&amp;Dashboard!$C$5,Sales_Data!$C$2:$C$3520,"&lt;="&amp;Dashboard!$C$6)</f>
        <v>1</v>
      </c>
      <c r="M18" s="31" t="n">
        <f aca="false">IFERROR(K18/L18,0)</f>
        <v>1</v>
      </c>
      <c r="N18" s="26" t="n">
        <f aca="false">SUMIFS(Sales_Data!$O$2:$O$3520,Sales_Data!$F$2:$F$3520,$A18,Sales_Data!$C$2:$C$3520,"&gt;="&amp;Dashboard!$C$12,Sales_Data!$C$2:$C$3520,"&lt;="&amp;Dashboard!$C$13,Sales_Data!$AE$2:$AE$3520,1)</f>
        <v>2</v>
      </c>
      <c r="O18" s="28" t="n">
        <f aca="false">K18-N18</f>
        <v>-1</v>
      </c>
      <c r="P18" s="54" t="n">
        <f aca="false">IF(W18=0,"-",W18)</f>
        <v>46300</v>
      </c>
      <c r="Q18" s="52" t="n">
        <f aca="false">IF(W18=0,"-",$B$2-W18)</f>
        <v>3</v>
      </c>
      <c r="R18" s="52" t="n">
        <f aca="false">IF(T18=1,COUNTIFS($T$5:$T$254,1,$K$5:$K$254,"&gt;"&amp;K18)+1,"-")</f>
        <v>105</v>
      </c>
      <c r="S18" s="52" t="n">
        <f aca="false">COUNTIFS($C$5:$C$254,C18,$K$5:$K$254,"&gt;"&amp;K18)+1</f>
        <v>15</v>
      </c>
      <c r="T18" s="52" t="n">
        <f aca="false">IF(AND(OR(Dashboard!$C$7="All",D18=Dashboard!$C$7),OR(Dashboard!$C$8="All",C18=Dashboard!$C$8)),1,0)</f>
        <v>1</v>
      </c>
      <c r="U18" s="74" t="n">
        <f aca="false">IF(T18=1,K18+ROW()/1000000,-1)</f>
        <v>1.000018</v>
      </c>
      <c r="V18" s="74" t="n">
        <f aca="false">IF(AND(T18=1,E18="Production"),K18+ROW()/1000000,1000000000)</f>
        <v>1.000018</v>
      </c>
      <c r="W18" s="52" t="n">
        <f aca="false">SUMPRODUCT(MAX((Sales_Data!$F$2:$F$3520=A18)*Sales_Data!$C$2:$C$3520))</f>
        <v>46300</v>
      </c>
    </row>
    <row r="19" customFormat="false" ht="15" hidden="false" customHeight="false" outlineLevel="0" collapsed="false">
      <c r="A19" s="53" t="s">
        <v>6470</v>
      </c>
      <c r="B19" s="48" t="s">
        <v>6471</v>
      </c>
      <c r="C19" s="53" t="s">
        <v>44</v>
      </c>
      <c r="D19" s="53" t="s">
        <v>61</v>
      </c>
      <c r="E19" s="53" t="s">
        <v>3708</v>
      </c>
      <c r="F19" s="53" t="s">
        <v>175</v>
      </c>
      <c r="G19" s="53" t="s">
        <v>6450</v>
      </c>
      <c r="H19" s="26" t="n">
        <f aca="false">SUMIFS(Sales_Data!$AE$2:$AE$3520,Sales_Data!$F$2:$F$3520,$A19,Sales_Data!$C$2:$C$3520,"&gt;="&amp;Dashboard!$C$5,Sales_Data!$C$2:$C$3520,"&lt;="&amp;Dashboard!$C$6)</f>
        <v>0</v>
      </c>
      <c r="I19" s="26" t="n">
        <f aca="false">SUMIFS(Sales_Data!$M$2:$M$3520,Sales_Data!$F$2:$F$3520,$A19,Sales_Data!$C$2:$C$3520,"&gt;="&amp;Dashboard!$C$5,Sales_Data!$C$2:$C$3520,"&lt;="&amp;Dashboard!$C$6,Sales_Data!$AE$2:$AE$3520,1)</f>
        <v>0</v>
      </c>
      <c r="J19" s="26" t="n">
        <f aca="false">SUMIFS(Sales_Data!$N$2:$N$3520,Sales_Data!$F$2:$F$3520,$A19,Sales_Data!$C$2:$C$3520,"&gt;="&amp;Dashboard!$C$5,Sales_Data!$C$2:$C$3520,"&lt;="&amp;Dashboard!$C$6,Sales_Data!$AE$2:$AE$3520,1)</f>
        <v>0</v>
      </c>
      <c r="K19" s="27" t="n">
        <f aca="false">SUMIFS(Sales_Data!$O$2:$O$3520,Sales_Data!$F$2:$F$3520,$A19,Sales_Data!$C$2:$C$3520,"&gt;="&amp;Dashboard!$C$5,Sales_Data!$C$2:$C$3520,"&lt;="&amp;Dashboard!$C$6,Sales_Data!$AE$2:$AE$3520,1)</f>
        <v>0</v>
      </c>
      <c r="L19" s="26" t="n">
        <f aca="false">SUMIFS(Sales_Data!$AF$2:$AF$3520,Sales_Data!$F$2:$F$3520,$A19,Sales_Data!$C$2:$C$3520,"&gt;="&amp;Dashboard!$C$5,Sales_Data!$C$2:$C$3520,"&lt;="&amp;Dashboard!$C$6)</f>
        <v>0</v>
      </c>
      <c r="M19" s="31" t="n">
        <f aca="false">IFERROR(K19/L19,0)</f>
        <v>0</v>
      </c>
      <c r="N19" s="26" t="n">
        <f aca="false">SUMIFS(Sales_Data!$O$2:$O$3520,Sales_Data!$F$2:$F$3520,$A19,Sales_Data!$C$2:$C$3520,"&gt;="&amp;Dashboard!$C$12,Sales_Data!$C$2:$C$3520,"&lt;="&amp;Dashboard!$C$13,Sales_Data!$AE$2:$AE$3520,1)</f>
        <v>0</v>
      </c>
      <c r="O19" s="28" t="n">
        <f aca="false">K19-N19</f>
        <v>0</v>
      </c>
      <c r="P19" s="54" t="str">
        <f aca="false">IF(W19=0,"-",W19)</f>
        <v>-</v>
      </c>
      <c r="Q19" s="52" t="str">
        <f aca="false">IF(W19=0,"-",$B$2-W19)</f>
        <v>-</v>
      </c>
      <c r="R19" s="52" t="n">
        <f aca="false">IF(T19=1,COUNTIFS($T$5:$T$254,1,$K$5:$K$254,"&gt;"&amp;K19)+1,"-")</f>
        <v>139</v>
      </c>
      <c r="S19" s="52" t="n">
        <f aca="false">COUNTIFS($C$5:$C$254,C19,$K$5:$K$254,"&gt;"&amp;K19)+1</f>
        <v>19</v>
      </c>
      <c r="T19" s="52" t="n">
        <f aca="false">IF(AND(OR(Dashboard!$C$7="All",D19=Dashboard!$C$7),OR(Dashboard!$C$8="All",C19=Dashboard!$C$8)),1,0)</f>
        <v>1</v>
      </c>
      <c r="U19" s="74" t="n">
        <f aca="false">IF(T19=1,K19+ROW()/1000000,-1)</f>
        <v>1.9E-005</v>
      </c>
      <c r="V19" s="74" t="n">
        <f aca="false">IF(AND(T19=1,E19="Production"),K19+ROW()/1000000,1000000000)</f>
        <v>1000000000</v>
      </c>
      <c r="W19" s="52" t="n">
        <f aca="false">SUMPRODUCT(MAX((Sales_Data!$F$2:$F$3520=A19)*Sales_Data!$C$2:$C$3520))</f>
        <v>0</v>
      </c>
    </row>
    <row r="20" customFormat="false" ht="15" hidden="false" customHeight="false" outlineLevel="0" collapsed="false">
      <c r="A20" s="53" t="s">
        <v>4242</v>
      </c>
      <c r="B20" s="48" t="s">
        <v>4243</v>
      </c>
      <c r="C20" s="53" t="s">
        <v>44</v>
      </c>
      <c r="D20" s="53" t="s">
        <v>49</v>
      </c>
      <c r="E20" s="53" t="s">
        <v>146</v>
      </c>
      <c r="F20" s="53" t="s">
        <v>147</v>
      </c>
      <c r="G20" s="53" t="s">
        <v>6450</v>
      </c>
      <c r="H20" s="26" t="n">
        <f aca="false">SUMIFS(Sales_Data!$AE$2:$AE$3520,Sales_Data!$F$2:$F$3520,$A20,Sales_Data!$C$2:$C$3520,"&gt;="&amp;Dashboard!$C$5,Sales_Data!$C$2:$C$3520,"&lt;="&amp;Dashboard!$C$6)</f>
        <v>8</v>
      </c>
      <c r="I20" s="26" t="n">
        <f aca="false">SUMIFS(Sales_Data!$M$2:$M$3520,Sales_Data!$F$2:$F$3520,$A20,Sales_Data!$C$2:$C$3520,"&gt;="&amp;Dashboard!$C$5,Sales_Data!$C$2:$C$3520,"&lt;="&amp;Dashboard!$C$6,Sales_Data!$AE$2:$AE$3520,1)</f>
        <v>0</v>
      </c>
      <c r="J20" s="26" t="n">
        <f aca="false">SUMIFS(Sales_Data!$N$2:$N$3520,Sales_Data!$F$2:$F$3520,$A20,Sales_Data!$C$2:$C$3520,"&gt;="&amp;Dashboard!$C$5,Sales_Data!$C$2:$C$3520,"&lt;="&amp;Dashboard!$C$6,Sales_Data!$AE$2:$AE$3520,1)</f>
        <v>8</v>
      </c>
      <c r="K20" s="27" t="n">
        <f aca="false">SUMIFS(Sales_Data!$O$2:$O$3520,Sales_Data!$F$2:$F$3520,$A20,Sales_Data!$C$2:$C$3520,"&gt;="&amp;Dashboard!$C$5,Sales_Data!$C$2:$C$3520,"&lt;="&amp;Dashboard!$C$6,Sales_Data!$AE$2:$AE$3520,1)</f>
        <v>8</v>
      </c>
      <c r="L20" s="26" t="n">
        <f aca="false">SUMIFS(Sales_Data!$AF$2:$AF$3520,Sales_Data!$F$2:$F$3520,$A20,Sales_Data!$C$2:$C$3520,"&gt;="&amp;Dashboard!$C$5,Sales_Data!$C$2:$C$3520,"&lt;="&amp;Dashboard!$C$6)</f>
        <v>4</v>
      </c>
      <c r="M20" s="31" t="n">
        <f aca="false">IFERROR(K20/L20,0)</f>
        <v>2</v>
      </c>
      <c r="N20" s="26" t="n">
        <f aca="false">SUMIFS(Sales_Data!$O$2:$O$3520,Sales_Data!$F$2:$F$3520,$A20,Sales_Data!$C$2:$C$3520,"&gt;="&amp;Dashboard!$C$12,Sales_Data!$C$2:$C$3520,"&lt;="&amp;Dashboard!$C$13,Sales_Data!$AE$2:$AE$3520,1)</f>
        <v>9</v>
      </c>
      <c r="O20" s="28" t="n">
        <f aca="false">K20-N20</f>
        <v>-1</v>
      </c>
      <c r="P20" s="54" t="n">
        <f aca="false">IF(W20=0,"-",W20)</f>
        <v>46303</v>
      </c>
      <c r="Q20" s="52" t="n">
        <f aca="false">IF(W20=0,"-",$B$2-W20)</f>
        <v>0</v>
      </c>
      <c r="R20" s="52" t="n">
        <f aca="false">IF(T20=1,COUNTIFS($T$5:$T$254,1,$K$5:$K$254,"&gt;"&amp;K20)+1,"-")</f>
        <v>11</v>
      </c>
      <c r="S20" s="52" t="n">
        <f aca="false">COUNTIFS($C$5:$C$254,C20,$K$5:$K$254,"&gt;"&amp;K20)+1</f>
        <v>2</v>
      </c>
      <c r="T20" s="52" t="n">
        <f aca="false">IF(AND(OR(Dashboard!$C$7="All",D20=Dashboard!$C$7),OR(Dashboard!$C$8="All",C20=Dashboard!$C$8)),1,0)</f>
        <v>1</v>
      </c>
      <c r="U20" s="74" t="n">
        <f aca="false">IF(T20=1,K20+ROW()/1000000,-1)</f>
        <v>8.00002</v>
      </c>
      <c r="V20" s="74" t="n">
        <f aca="false">IF(AND(T20=1,E20="Production"),K20+ROW()/1000000,1000000000)</f>
        <v>8.00002</v>
      </c>
      <c r="W20" s="52" t="n">
        <f aca="false">SUMPRODUCT(MAX((Sales_Data!$F$2:$F$3520=A20)*Sales_Data!$C$2:$C$3520))</f>
        <v>46303</v>
      </c>
    </row>
    <row r="21" customFormat="false" ht="15" hidden="false" customHeight="false" outlineLevel="0" collapsed="false">
      <c r="A21" s="53" t="s">
        <v>4280</v>
      </c>
      <c r="B21" s="48" t="s">
        <v>4281</v>
      </c>
      <c r="C21" s="53" t="s">
        <v>44</v>
      </c>
      <c r="D21" s="53" t="s">
        <v>49</v>
      </c>
      <c r="E21" s="53" t="s">
        <v>146</v>
      </c>
      <c r="F21" s="53" t="s">
        <v>147</v>
      </c>
      <c r="G21" s="53" t="s">
        <v>6450</v>
      </c>
      <c r="H21" s="26" t="n">
        <f aca="false">SUMIFS(Sales_Data!$AE$2:$AE$3520,Sales_Data!$F$2:$F$3520,$A21,Sales_Data!$C$2:$C$3520,"&gt;="&amp;Dashboard!$C$5,Sales_Data!$C$2:$C$3520,"&lt;="&amp;Dashboard!$C$6)</f>
        <v>5</v>
      </c>
      <c r="I21" s="26" t="n">
        <f aca="false">SUMIFS(Sales_Data!$M$2:$M$3520,Sales_Data!$F$2:$F$3520,$A21,Sales_Data!$C$2:$C$3520,"&gt;="&amp;Dashboard!$C$5,Sales_Data!$C$2:$C$3520,"&lt;="&amp;Dashboard!$C$6,Sales_Data!$AE$2:$AE$3520,1)</f>
        <v>2</v>
      </c>
      <c r="J21" s="26" t="n">
        <f aca="false">SUMIFS(Sales_Data!$N$2:$N$3520,Sales_Data!$F$2:$F$3520,$A21,Sales_Data!$C$2:$C$3520,"&gt;="&amp;Dashboard!$C$5,Sales_Data!$C$2:$C$3520,"&lt;="&amp;Dashboard!$C$6,Sales_Data!$AE$2:$AE$3520,1)</f>
        <v>4</v>
      </c>
      <c r="K21" s="27" t="n">
        <f aca="false">SUMIFS(Sales_Data!$O$2:$O$3520,Sales_Data!$F$2:$F$3520,$A21,Sales_Data!$C$2:$C$3520,"&gt;="&amp;Dashboard!$C$5,Sales_Data!$C$2:$C$3520,"&lt;="&amp;Dashboard!$C$6,Sales_Data!$AE$2:$AE$3520,1)</f>
        <v>6</v>
      </c>
      <c r="L21" s="26" t="n">
        <f aca="false">SUMIFS(Sales_Data!$AF$2:$AF$3520,Sales_Data!$F$2:$F$3520,$A21,Sales_Data!$C$2:$C$3520,"&gt;="&amp;Dashboard!$C$5,Sales_Data!$C$2:$C$3520,"&lt;="&amp;Dashboard!$C$6)</f>
        <v>2</v>
      </c>
      <c r="M21" s="31" t="n">
        <f aca="false">IFERROR(K21/L21,0)</f>
        <v>3</v>
      </c>
      <c r="N21" s="26" t="n">
        <f aca="false">SUMIFS(Sales_Data!$O$2:$O$3520,Sales_Data!$F$2:$F$3520,$A21,Sales_Data!$C$2:$C$3520,"&gt;="&amp;Dashboard!$C$12,Sales_Data!$C$2:$C$3520,"&lt;="&amp;Dashboard!$C$13,Sales_Data!$AE$2:$AE$3520,1)</f>
        <v>0</v>
      </c>
      <c r="O21" s="28" t="n">
        <f aca="false">K21-N21</f>
        <v>6</v>
      </c>
      <c r="P21" s="54" t="n">
        <f aca="false">IF(W21=0,"-",W21)</f>
        <v>46301</v>
      </c>
      <c r="Q21" s="52" t="n">
        <f aca="false">IF(W21=0,"-",$B$2-W21)</f>
        <v>2</v>
      </c>
      <c r="R21" s="52" t="n">
        <f aca="false">IF(T21=1,COUNTIFS($T$5:$T$254,1,$K$5:$K$254,"&gt;"&amp;K21)+1,"-")</f>
        <v>17</v>
      </c>
      <c r="S21" s="52" t="n">
        <f aca="false">COUNTIFS($C$5:$C$254,C21,$K$5:$K$254,"&gt;"&amp;K21)+1</f>
        <v>4</v>
      </c>
      <c r="T21" s="52" t="n">
        <f aca="false">IF(AND(OR(Dashboard!$C$7="All",D21=Dashboard!$C$7),OR(Dashboard!$C$8="All",C21=Dashboard!$C$8)),1,0)</f>
        <v>1</v>
      </c>
      <c r="U21" s="74" t="n">
        <f aca="false">IF(T21=1,K21+ROW()/1000000,-1)</f>
        <v>6.000021</v>
      </c>
      <c r="V21" s="74" t="n">
        <f aca="false">IF(AND(T21=1,E21="Production"),K21+ROW()/1000000,1000000000)</f>
        <v>6.000021</v>
      </c>
      <c r="W21" s="52" t="n">
        <f aca="false">SUMPRODUCT(MAX((Sales_Data!$F$2:$F$3520=A21)*Sales_Data!$C$2:$C$3520))</f>
        <v>46301</v>
      </c>
    </row>
    <row r="22" customFormat="false" ht="15" hidden="false" customHeight="false" outlineLevel="0" collapsed="false">
      <c r="A22" s="53" t="s">
        <v>4391</v>
      </c>
      <c r="B22" s="48" t="s">
        <v>4392</v>
      </c>
      <c r="C22" s="53" t="s">
        <v>44</v>
      </c>
      <c r="D22" s="53" t="s">
        <v>49</v>
      </c>
      <c r="E22" s="53" t="s">
        <v>146</v>
      </c>
      <c r="F22" s="53" t="s">
        <v>147</v>
      </c>
      <c r="G22" s="53" t="s">
        <v>6450</v>
      </c>
      <c r="H22" s="26" t="n">
        <f aca="false">SUMIFS(Sales_Data!$AE$2:$AE$3520,Sales_Data!$F$2:$F$3520,$A22,Sales_Data!$C$2:$C$3520,"&gt;="&amp;Dashboard!$C$5,Sales_Data!$C$2:$C$3520,"&lt;="&amp;Dashboard!$C$6)</f>
        <v>0</v>
      </c>
      <c r="I22" s="26" t="n">
        <f aca="false">SUMIFS(Sales_Data!$M$2:$M$3520,Sales_Data!$F$2:$F$3520,$A22,Sales_Data!$C$2:$C$3520,"&gt;="&amp;Dashboard!$C$5,Sales_Data!$C$2:$C$3520,"&lt;="&amp;Dashboard!$C$6,Sales_Data!$AE$2:$AE$3520,1)</f>
        <v>0</v>
      </c>
      <c r="J22" s="26" t="n">
        <f aca="false">SUMIFS(Sales_Data!$N$2:$N$3520,Sales_Data!$F$2:$F$3520,$A22,Sales_Data!$C$2:$C$3520,"&gt;="&amp;Dashboard!$C$5,Sales_Data!$C$2:$C$3520,"&lt;="&amp;Dashboard!$C$6,Sales_Data!$AE$2:$AE$3520,1)</f>
        <v>0</v>
      </c>
      <c r="K22" s="27" t="n">
        <f aca="false">SUMIFS(Sales_Data!$O$2:$O$3520,Sales_Data!$F$2:$F$3520,$A22,Sales_Data!$C$2:$C$3520,"&gt;="&amp;Dashboard!$C$5,Sales_Data!$C$2:$C$3520,"&lt;="&amp;Dashboard!$C$6,Sales_Data!$AE$2:$AE$3520,1)</f>
        <v>0</v>
      </c>
      <c r="L22" s="26" t="n">
        <f aca="false">SUMIFS(Sales_Data!$AF$2:$AF$3520,Sales_Data!$F$2:$F$3520,$A22,Sales_Data!$C$2:$C$3520,"&gt;="&amp;Dashboard!$C$5,Sales_Data!$C$2:$C$3520,"&lt;="&amp;Dashboard!$C$6)</f>
        <v>0</v>
      </c>
      <c r="M22" s="31" t="n">
        <f aca="false">IFERROR(K22/L22,0)</f>
        <v>0</v>
      </c>
      <c r="N22" s="26" t="n">
        <f aca="false">SUMIFS(Sales_Data!$O$2:$O$3520,Sales_Data!$F$2:$F$3520,$A22,Sales_Data!$C$2:$C$3520,"&gt;="&amp;Dashboard!$C$12,Sales_Data!$C$2:$C$3520,"&lt;="&amp;Dashboard!$C$13,Sales_Data!$AE$2:$AE$3520,1)</f>
        <v>1</v>
      </c>
      <c r="O22" s="28" t="n">
        <f aca="false">K22-N22</f>
        <v>-1</v>
      </c>
      <c r="P22" s="54" t="n">
        <f aca="false">IF(W22=0,"-",W22)</f>
        <v>46294</v>
      </c>
      <c r="Q22" s="52" t="n">
        <f aca="false">IF(W22=0,"-",$B$2-W22)</f>
        <v>9</v>
      </c>
      <c r="R22" s="52" t="n">
        <f aca="false">IF(T22=1,COUNTIFS($T$5:$T$254,1,$K$5:$K$254,"&gt;"&amp;K22)+1,"-")</f>
        <v>139</v>
      </c>
      <c r="S22" s="52" t="n">
        <f aca="false">COUNTIFS($C$5:$C$254,C22,$K$5:$K$254,"&gt;"&amp;K22)+1</f>
        <v>19</v>
      </c>
      <c r="T22" s="52" t="n">
        <f aca="false">IF(AND(OR(Dashboard!$C$7="All",D22=Dashboard!$C$7),OR(Dashboard!$C$8="All",C22=Dashboard!$C$8)),1,0)</f>
        <v>1</v>
      </c>
      <c r="U22" s="74" t="n">
        <f aca="false">IF(T22=1,K22+ROW()/1000000,-1)</f>
        <v>2.2E-005</v>
      </c>
      <c r="V22" s="74" t="n">
        <f aca="false">IF(AND(T22=1,E22="Production"),K22+ROW()/1000000,1000000000)</f>
        <v>2.2E-005</v>
      </c>
      <c r="W22" s="52" t="n">
        <f aca="false">SUMPRODUCT(MAX((Sales_Data!$F$2:$F$3520=A22)*Sales_Data!$C$2:$C$3520))</f>
        <v>46294</v>
      </c>
    </row>
    <row r="23" customFormat="false" ht="15" hidden="false" customHeight="false" outlineLevel="0" collapsed="false">
      <c r="A23" s="53" t="s">
        <v>3197</v>
      </c>
      <c r="B23" s="48" t="s">
        <v>3198</v>
      </c>
      <c r="C23" s="53" t="s">
        <v>44</v>
      </c>
      <c r="D23" s="53" t="s">
        <v>49</v>
      </c>
      <c r="E23" s="53" t="s">
        <v>146</v>
      </c>
      <c r="F23" s="53" t="s">
        <v>147</v>
      </c>
      <c r="G23" s="53" t="s">
        <v>6450</v>
      </c>
      <c r="H23" s="26" t="n">
        <f aca="false">SUMIFS(Sales_Data!$AE$2:$AE$3520,Sales_Data!$F$2:$F$3520,$A23,Sales_Data!$C$2:$C$3520,"&gt;="&amp;Dashboard!$C$5,Sales_Data!$C$2:$C$3520,"&lt;="&amp;Dashboard!$C$6)</f>
        <v>5</v>
      </c>
      <c r="I23" s="26" t="n">
        <f aca="false">SUMIFS(Sales_Data!$M$2:$M$3520,Sales_Data!$F$2:$F$3520,$A23,Sales_Data!$C$2:$C$3520,"&gt;="&amp;Dashboard!$C$5,Sales_Data!$C$2:$C$3520,"&lt;="&amp;Dashboard!$C$6,Sales_Data!$AE$2:$AE$3520,1)</f>
        <v>3</v>
      </c>
      <c r="J23" s="26" t="n">
        <f aca="false">SUMIFS(Sales_Data!$N$2:$N$3520,Sales_Data!$F$2:$F$3520,$A23,Sales_Data!$C$2:$C$3520,"&gt;="&amp;Dashboard!$C$5,Sales_Data!$C$2:$C$3520,"&lt;="&amp;Dashboard!$C$6,Sales_Data!$AE$2:$AE$3520,1)</f>
        <v>2</v>
      </c>
      <c r="K23" s="27" t="n">
        <f aca="false">SUMIFS(Sales_Data!$O$2:$O$3520,Sales_Data!$F$2:$F$3520,$A23,Sales_Data!$C$2:$C$3520,"&gt;="&amp;Dashboard!$C$5,Sales_Data!$C$2:$C$3520,"&lt;="&amp;Dashboard!$C$6,Sales_Data!$AE$2:$AE$3520,1)</f>
        <v>5</v>
      </c>
      <c r="L23" s="26" t="n">
        <f aca="false">SUMIFS(Sales_Data!$AF$2:$AF$3520,Sales_Data!$F$2:$F$3520,$A23,Sales_Data!$C$2:$C$3520,"&gt;="&amp;Dashboard!$C$5,Sales_Data!$C$2:$C$3520,"&lt;="&amp;Dashboard!$C$6)</f>
        <v>4</v>
      </c>
      <c r="M23" s="31" t="n">
        <f aca="false">IFERROR(K23/L23,0)</f>
        <v>1.25</v>
      </c>
      <c r="N23" s="26" t="n">
        <f aca="false">SUMIFS(Sales_Data!$O$2:$O$3520,Sales_Data!$F$2:$F$3520,$A23,Sales_Data!$C$2:$C$3520,"&gt;="&amp;Dashboard!$C$12,Sales_Data!$C$2:$C$3520,"&lt;="&amp;Dashboard!$C$13,Sales_Data!$AE$2:$AE$3520,1)</f>
        <v>1</v>
      </c>
      <c r="O23" s="28" t="n">
        <f aca="false">K23-N23</f>
        <v>4</v>
      </c>
      <c r="P23" s="54" t="n">
        <f aca="false">IF(W23=0,"-",W23)</f>
        <v>46303</v>
      </c>
      <c r="Q23" s="52" t="n">
        <f aca="false">IF(W23=0,"-",$B$2-W23)</f>
        <v>0</v>
      </c>
      <c r="R23" s="52" t="n">
        <f aca="false">IF(T23=1,COUNTIFS($T$5:$T$254,1,$K$5:$K$254,"&gt;"&amp;K23)+1,"-")</f>
        <v>28</v>
      </c>
      <c r="S23" s="52" t="n">
        <f aca="false">COUNTIFS($C$5:$C$254,C23,$K$5:$K$254,"&gt;"&amp;K23)+1</f>
        <v>6</v>
      </c>
      <c r="T23" s="52" t="n">
        <f aca="false">IF(AND(OR(Dashboard!$C$7="All",D23=Dashboard!$C$7),OR(Dashboard!$C$8="All",C23=Dashboard!$C$8)),1,0)</f>
        <v>1</v>
      </c>
      <c r="U23" s="74" t="n">
        <f aca="false">IF(T23=1,K23+ROW()/1000000,-1)</f>
        <v>5.000023</v>
      </c>
      <c r="V23" s="74" t="n">
        <f aca="false">IF(AND(T23=1,E23="Production"),K23+ROW()/1000000,1000000000)</f>
        <v>5.000023</v>
      </c>
      <c r="W23" s="52" t="n">
        <f aca="false">SUMPRODUCT(MAX((Sales_Data!$F$2:$F$3520=A23)*Sales_Data!$C$2:$C$3520))</f>
        <v>46303</v>
      </c>
    </row>
    <row r="24" customFormat="false" ht="15" hidden="false" customHeight="false" outlineLevel="0" collapsed="false">
      <c r="A24" s="53" t="s">
        <v>4238</v>
      </c>
      <c r="B24" s="48" t="s">
        <v>4239</v>
      </c>
      <c r="C24" s="53" t="s">
        <v>44</v>
      </c>
      <c r="D24" s="53" t="s">
        <v>49</v>
      </c>
      <c r="E24" s="53" t="s">
        <v>146</v>
      </c>
      <c r="F24" s="53" t="s">
        <v>147</v>
      </c>
      <c r="G24" s="53" t="s">
        <v>6450</v>
      </c>
      <c r="H24" s="26" t="n">
        <f aca="false">SUMIFS(Sales_Data!$AE$2:$AE$3520,Sales_Data!$F$2:$F$3520,$A24,Sales_Data!$C$2:$C$3520,"&gt;="&amp;Dashboard!$C$5,Sales_Data!$C$2:$C$3520,"&lt;="&amp;Dashboard!$C$6)</f>
        <v>2</v>
      </c>
      <c r="I24" s="26" t="n">
        <f aca="false">SUMIFS(Sales_Data!$M$2:$M$3520,Sales_Data!$F$2:$F$3520,$A24,Sales_Data!$C$2:$C$3520,"&gt;="&amp;Dashboard!$C$5,Sales_Data!$C$2:$C$3520,"&lt;="&amp;Dashboard!$C$6,Sales_Data!$AE$2:$AE$3520,1)</f>
        <v>0</v>
      </c>
      <c r="J24" s="26" t="n">
        <f aca="false">SUMIFS(Sales_Data!$N$2:$N$3520,Sales_Data!$F$2:$F$3520,$A24,Sales_Data!$C$2:$C$3520,"&gt;="&amp;Dashboard!$C$5,Sales_Data!$C$2:$C$3520,"&lt;="&amp;Dashboard!$C$6,Sales_Data!$AE$2:$AE$3520,1)</f>
        <v>2</v>
      </c>
      <c r="K24" s="27" t="n">
        <f aca="false">SUMIFS(Sales_Data!$O$2:$O$3520,Sales_Data!$F$2:$F$3520,$A24,Sales_Data!$C$2:$C$3520,"&gt;="&amp;Dashboard!$C$5,Sales_Data!$C$2:$C$3520,"&lt;="&amp;Dashboard!$C$6,Sales_Data!$AE$2:$AE$3520,1)</f>
        <v>2</v>
      </c>
      <c r="L24" s="26" t="n">
        <f aca="false">SUMIFS(Sales_Data!$AF$2:$AF$3520,Sales_Data!$F$2:$F$3520,$A24,Sales_Data!$C$2:$C$3520,"&gt;="&amp;Dashboard!$C$5,Sales_Data!$C$2:$C$3520,"&lt;="&amp;Dashboard!$C$6)</f>
        <v>2</v>
      </c>
      <c r="M24" s="31" t="n">
        <f aca="false">IFERROR(K24/L24,0)</f>
        <v>1</v>
      </c>
      <c r="N24" s="26" t="n">
        <f aca="false">SUMIFS(Sales_Data!$O$2:$O$3520,Sales_Data!$F$2:$F$3520,$A24,Sales_Data!$C$2:$C$3520,"&gt;="&amp;Dashboard!$C$12,Sales_Data!$C$2:$C$3520,"&lt;="&amp;Dashboard!$C$13,Sales_Data!$AE$2:$AE$3520,1)</f>
        <v>4</v>
      </c>
      <c r="O24" s="28" t="n">
        <f aca="false">K24-N24</f>
        <v>-2</v>
      </c>
      <c r="P24" s="54" t="n">
        <f aca="false">IF(W24=0,"-",W24)</f>
        <v>46302</v>
      </c>
      <c r="Q24" s="52" t="n">
        <f aca="false">IF(W24=0,"-",$B$2-W24)</f>
        <v>1</v>
      </c>
      <c r="R24" s="52" t="n">
        <f aca="false">IF(T24=1,COUNTIFS($T$5:$T$254,1,$K$5:$K$254,"&gt;"&amp;K24)+1,"-")</f>
        <v>84</v>
      </c>
      <c r="S24" s="52" t="n">
        <f aca="false">COUNTIFS($C$5:$C$254,C24,$K$5:$K$254,"&gt;"&amp;K24)+1</f>
        <v>13</v>
      </c>
      <c r="T24" s="52" t="n">
        <f aca="false">IF(AND(OR(Dashboard!$C$7="All",D24=Dashboard!$C$7),OR(Dashboard!$C$8="All",C24=Dashboard!$C$8)),1,0)</f>
        <v>1</v>
      </c>
      <c r="U24" s="74" t="n">
        <f aca="false">IF(T24=1,K24+ROW()/1000000,-1)</f>
        <v>2.000024</v>
      </c>
      <c r="V24" s="74" t="n">
        <f aca="false">IF(AND(T24=1,E24="Production"),K24+ROW()/1000000,1000000000)</f>
        <v>2.000024</v>
      </c>
      <c r="W24" s="52" t="n">
        <f aca="false">SUMPRODUCT(MAX((Sales_Data!$F$2:$F$3520=A24)*Sales_Data!$C$2:$C$3520))</f>
        <v>46302</v>
      </c>
    </row>
    <row r="25" customFormat="false" ht="15" hidden="false" customHeight="false" outlineLevel="0" collapsed="false">
      <c r="A25" s="53" t="s">
        <v>4420</v>
      </c>
      <c r="B25" s="48" t="s">
        <v>4421</v>
      </c>
      <c r="C25" s="53" t="s">
        <v>44</v>
      </c>
      <c r="D25" s="53" t="s">
        <v>49</v>
      </c>
      <c r="E25" s="53" t="s">
        <v>146</v>
      </c>
      <c r="F25" s="53" t="s">
        <v>147</v>
      </c>
      <c r="G25" s="53" t="s">
        <v>6450</v>
      </c>
      <c r="H25" s="26" t="n">
        <f aca="false">SUMIFS(Sales_Data!$AE$2:$AE$3520,Sales_Data!$F$2:$F$3520,$A25,Sales_Data!$C$2:$C$3520,"&gt;="&amp;Dashboard!$C$5,Sales_Data!$C$2:$C$3520,"&lt;="&amp;Dashboard!$C$6)</f>
        <v>1</v>
      </c>
      <c r="I25" s="26" t="n">
        <f aca="false">SUMIFS(Sales_Data!$M$2:$M$3520,Sales_Data!$F$2:$F$3520,$A25,Sales_Data!$C$2:$C$3520,"&gt;="&amp;Dashboard!$C$5,Sales_Data!$C$2:$C$3520,"&lt;="&amp;Dashboard!$C$6,Sales_Data!$AE$2:$AE$3520,1)</f>
        <v>1</v>
      </c>
      <c r="J25" s="26" t="n">
        <f aca="false">SUMIFS(Sales_Data!$N$2:$N$3520,Sales_Data!$F$2:$F$3520,$A25,Sales_Data!$C$2:$C$3520,"&gt;="&amp;Dashboard!$C$5,Sales_Data!$C$2:$C$3520,"&lt;="&amp;Dashboard!$C$6,Sales_Data!$AE$2:$AE$3520,1)</f>
        <v>0</v>
      </c>
      <c r="K25" s="27" t="n">
        <f aca="false">SUMIFS(Sales_Data!$O$2:$O$3520,Sales_Data!$F$2:$F$3520,$A25,Sales_Data!$C$2:$C$3520,"&gt;="&amp;Dashboard!$C$5,Sales_Data!$C$2:$C$3520,"&lt;="&amp;Dashboard!$C$6,Sales_Data!$AE$2:$AE$3520,1)</f>
        <v>1</v>
      </c>
      <c r="L25" s="26" t="n">
        <f aca="false">SUMIFS(Sales_Data!$AF$2:$AF$3520,Sales_Data!$F$2:$F$3520,$A25,Sales_Data!$C$2:$C$3520,"&gt;="&amp;Dashboard!$C$5,Sales_Data!$C$2:$C$3520,"&lt;="&amp;Dashboard!$C$6)</f>
        <v>1</v>
      </c>
      <c r="M25" s="31" t="n">
        <f aca="false">IFERROR(K25/L25,0)</f>
        <v>1</v>
      </c>
      <c r="N25" s="26" t="n">
        <f aca="false">SUMIFS(Sales_Data!$O$2:$O$3520,Sales_Data!$F$2:$F$3520,$A25,Sales_Data!$C$2:$C$3520,"&gt;="&amp;Dashboard!$C$12,Sales_Data!$C$2:$C$3520,"&lt;="&amp;Dashboard!$C$13,Sales_Data!$AE$2:$AE$3520,1)</f>
        <v>4</v>
      </c>
      <c r="O25" s="28" t="n">
        <f aca="false">K25-N25</f>
        <v>-3</v>
      </c>
      <c r="P25" s="54" t="n">
        <f aca="false">IF(W25=0,"-",W25)</f>
        <v>46301</v>
      </c>
      <c r="Q25" s="52" t="n">
        <f aca="false">IF(W25=0,"-",$B$2-W25)</f>
        <v>2</v>
      </c>
      <c r="R25" s="52" t="n">
        <f aca="false">IF(T25=1,COUNTIFS($T$5:$T$254,1,$K$5:$K$254,"&gt;"&amp;K25)+1,"-")</f>
        <v>105</v>
      </c>
      <c r="S25" s="52" t="n">
        <f aca="false">COUNTIFS($C$5:$C$254,C25,$K$5:$K$254,"&gt;"&amp;K25)+1</f>
        <v>15</v>
      </c>
      <c r="T25" s="52" t="n">
        <f aca="false">IF(AND(OR(Dashboard!$C$7="All",D25=Dashboard!$C$7),OR(Dashboard!$C$8="All",C25=Dashboard!$C$8)),1,0)</f>
        <v>1</v>
      </c>
      <c r="U25" s="74" t="n">
        <f aca="false">IF(T25=1,K25+ROW()/1000000,-1)</f>
        <v>1.000025</v>
      </c>
      <c r="V25" s="74" t="n">
        <f aca="false">IF(AND(T25=1,E25="Production"),K25+ROW()/1000000,1000000000)</f>
        <v>1.000025</v>
      </c>
      <c r="W25" s="52" t="n">
        <f aca="false">SUMPRODUCT(MAX((Sales_Data!$F$2:$F$3520=A25)*Sales_Data!$C$2:$C$3520))</f>
        <v>46301</v>
      </c>
    </row>
    <row r="26" customFormat="false" ht="15" hidden="false" customHeight="false" outlineLevel="0" collapsed="false">
      <c r="A26" s="53" t="s">
        <v>4226</v>
      </c>
      <c r="B26" s="48" t="s">
        <v>4227</v>
      </c>
      <c r="C26" s="53" t="s">
        <v>44</v>
      </c>
      <c r="D26" s="53" t="s">
        <v>49</v>
      </c>
      <c r="E26" s="53" t="s">
        <v>146</v>
      </c>
      <c r="F26" s="53" t="s">
        <v>147</v>
      </c>
      <c r="G26" s="53" t="s">
        <v>6450</v>
      </c>
      <c r="H26" s="26" t="n">
        <f aca="false">SUMIFS(Sales_Data!$AE$2:$AE$3520,Sales_Data!$F$2:$F$3520,$A26,Sales_Data!$C$2:$C$3520,"&gt;="&amp;Dashboard!$C$5,Sales_Data!$C$2:$C$3520,"&lt;="&amp;Dashboard!$C$6)</f>
        <v>1</v>
      </c>
      <c r="I26" s="26" t="n">
        <f aca="false">SUMIFS(Sales_Data!$M$2:$M$3520,Sales_Data!$F$2:$F$3520,$A26,Sales_Data!$C$2:$C$3520,"&gt;="&amp;Dashboard!$C$5,Sales_Data!$C$2:$C$3520,"&lt;="&amp;Dashboard!$C$6,Sales_Data!$AE$2:$AE$3520,1)</f>
        <v>0</v>
      </c>
      <c r="J26" s="26" t="n">
        <f aca="false">SUMIFS(Sales_Data!$N$2:$N$3520,Sales_Data!$F$2:$F$3520,$A26,Sales_Data!$C$2:$C$3520,"&gt;="&amp;Dashboard!$C$5,Sales_Data!$C$2:$C$3520,"&lt;="&amp;Dashboard!$C$6,Sales_Data!$AE$2:$AE$3520,1)</f>
        <v>1</v>
      </c>
      <c r="K26" s="27" t="n">
        <f aca="false">SUMIFS(Sales_Data!$O$2:$O$3520,Sales_Data!$F$2:$F$3520,$A26,Sales_Data!$C$2:$C$3520,"&gt;="&amp;Dashboard!$C$5,Sales_Data!$C$2:$C$3520,"&lt;="&amp;Dashboard!$C$6,Sales_Data!$AE$2:$AE$3520,1)</f>
        <v>1</v>
      </c>
      <c r="L26" s="26" t="n">
        <f aca="false">SUMIFS(Sales_Data!$AF$2:$AF$3520,Sales_Data!$F$2:$F$3520,$A26,Sales_Data!$C$2:$C$3520,"&gt;="&amp;Dashboard!$C$5,Sales_Data!$C$2:$C$3520,"&lt;="&amp;Dashboard!$C$6)</f>
        <v>1</v>
      </c>
      <c r="M26" s="31" t="n">
        <f aca="false">IFERROR(K26/L26,0)</f>
        <v>1</v>
      </c>
      <c r="N26" s="26" t="n">
        <f aca="false">SUMIFS(Sales_Data!$O$2:$O$3520,Sales_Data!$F$2:$F$3520,$A26,Sales_Data!$C$2:$C$3520,"&gt;="&amp;Dashboard!$C$12,Sales_Data!$C$2:$C$3520,"&lt;="&amp;Dashboard!$C$13,Sales_Data!$AE$2:$AE$3520,1)</f>
        <v>5</v>
      </c>
      <c r="O26" s="28" t="n">
        <f aca="false">K26-N26</f>
        <v>-4</v>
      </c>
      <c r="P26" s="54" t="n">
        <f aca="false">IF(W26=0,"-",W26)</f>
        <v>46300</v>
      </c>
      <c r="Q26" s="52" t="n">
        <f aca="false">IF(W26=0,"-",$B$2-W26)</f>
        <v>3</v>
      </c>
      <c r="R26" s="52" t="n">
        <f aca="false">IF(T26=1,COUNTIFS($T$5:$T$254,1,$K$5:$K$254,"&gt;"&amp;K26)+1,"-")</f>
        <v>105</v>
      </c>
      <c r="S26" s="52" t="n">
        <f aca="false">COUNTIFS($C$5:$C$254,C26,$K$5:$K$254,"&gt;"&amp;K26)+1</f>
        <v>15</v>
      </c>
      <c r="T26" s="52" t="n">
        <f aca="false">IF(AND(OR(Dashboard!$C$7="All",D26=Dashboard!$C$7),OR(Dashboard!$C$8="All",C26=Dashboard!$C$8)),1,0)</f>
        <v>1</v>
      </c>
      <c r="U26" s="74" t="n">
        <f aca="false">IF(T26=1,K26+ROW()/1000000,-1)</f>
        <v>1.000026</v>
      </c>
      <c r="V26" s="74" t="n">
        <f aca="false">IF(AND(T26=1,E26="Production"),K26+ROW()/1000000,1000000000)</f>
        <v>1.000026</v>
      </c>
      <c r="W26" s="52" t="n">
        <f aca="false">SUMPRODUCT(MAX((Sales_Data!$F$2:$F$3520=A26)*Sales_Data!$C$2:$C$3520))</f>
        <v>46300</v>
      </c>
    </row>
    <row r="27" customFormat="false" ht="15" hidden="false" customHeight="false" outlineLevel="0" collapsed="false">
      <c r="A27" s="53" t="s">
        <v>4524</v>
      </c>
      <c r="B27" s="48" t="s">
        <v>4525</v>
      </c>
      <c r="C27" s="53" t="s">
        <v>44</v>
      </c>
      <c r="D27" s="53" t="s">
        <v>49</v>
      </c>
      <c r="E27" s="53" t="s">
        <v>146</v>
      </c>
      <c r="F27" s="53" t="s">
        <v>147</v>
      </c>
      <c r="G27" s="53" t="s">
        <v>6450</v>
      </c>
      <c r="H27" s="26" t="n">
        <f aca="false">SUMIFS(Sales_Data!$AE$2:$AE$3520,Sales_Data!$F$2:$F$3520,$A27,Sales_Data!$C$2:$C$3520,"&gt;="&amp;Dashboard!$C$5,Sales_Data!$C$2:$C$3520,"&lt;="&amp;Dashboard!$C$6)</f>
        <v>5</v>
      </c>
      <c r="I27" s="26" t="n">
        <f aca="false">SUMIFS(Sales_Data!$M$2:$M$3520,Sales_Data!$F$2:$F$3520,$A27,Sales_Data!$C$2:$C$3520,"&gt;="&amp;Dashboard!$C$5,Sales_Data!$C$2:$C$3520,"&lt;="&amp;Dashboard!$C$6,Sales_Data!$AE$2:$AE$3520,1)</f>
        <v>0</v>
      </c>
      <c r="J27" s="26" t="n">
        <f aca="false">SUMIFS(Sales_Data!$N$2:$N$3520,Sales_Data!$F$2:$F$3520,$A27,Sales_Data!$C$2:$C$3520,"&gt;="&amp;Dashboard!$C$5,Sales_Data!$C$2:$C$3520,"&lt;="&amp;Dashboard!$C$6,Sales_Data!$AE$2:$AE$3520,1)</f>
        <v>5</v>
      </c>
      <c r="K27" s="27" t="n">
        <f aca="false">SUMIFS(Sales_Data!$O$2:$O$3520,Sales_Data!$F$2:$F$3520,$A27,Sales_Data!$C$2:$C$3520,"&gt;="&amp;Dashboard!$C$5,Sales_Data!$C$2:$C$3520,"&lt;="&amp;Dashboard!$C$6,Sales_Data!$AE$2:$AE$3520,1)</f>
        <v>5</v>
      </c>
      <c r="L27" s="26" t="n">
        <f aca="false">SUMIFS(Sales_Data!$AF$2:$AF$3520,Sales_Data!$F$2:$F$3520,$A27,Sales_Data!$C$2:$C$3520,"&gt;="&amp;Dashboard!$C$5,Sales_Data!$C$2:$C$3520,"&lt;="&amp;Dashboard!$C$6)</f>
        <v>3</v>
      </c>
      <c r="M27" s="31" t="n">
        <f aca="false">IFERROR(K27/L27,0)</f>
        <v>1.66666666666667</v>
      </c>
      <c r="N27" s="26" t="n">
        <f aca="false">SUMIFS(Sales_Data!$O$2:$O$3520,Sales_Data!$F$2:$F$3520,$A27,Sales_Data!$C$2:$C$3520,"&gt;="&amp;Dashboard!$C$12,Sales_Data!$C$2:$C$3520,"&lt;="&amp;Dashboard!$C$13,Sales_Data!$AE$2:$AE$3520,1)</f>
        <v>7</v>
      </c>
      <c r="O27" s="28" t="n">
        <f aca="false">K27-N27</f>
        <v>-2</v>
      </c>
      <c r="P27" s="54" t="n">
        <f aca="false">IF(W27=0,"-",W27)</f>
        <v>46303</v>
      </c>
      <c r="Q27" s="52" t="n">
        <f aca="false">IF(W27=0,"-",$B$2-W27)</f>
        <v>0</v>
      </c>
      <c r="R27" s="52" t="n">
        <f aca="false">IF(T27=1,COUNTIFS($T$5:$T$254,1,$K$5:$K$254,"&gt;"&amp;K27)+1,"-")</f>
        <v>28</v>
      </c>
      <c r="S27" s="52" t="n">
        <f aca="false">COUNTIFS($C$5:$C$254,C27,$K$5:$K$254,"&gt;"&amp;K27)+1</f>
        <v>6</v>
      </c>
      <c r="T27" s="52" t="n">
        <f aca="false">IF(AND(OR(Dashboard!$C$7="All",D27=Dashboard!$C$7),OR(Dashboard!$C$8="All",C27=Dashboard!$C$8)),1,0)</f>
        <v>1</v>
      </c>
      <c r="U27" s="74" t="n">
        <f aca="false">IF(T27=1,K27+ROW()/1000000,-1)</f>
        <v>5.000027</v>
      </c>
      <c r="V27" s="74" t="n">
        <f aca="false">IF(AND(T27=1,E27="Production"),K27+ROW()/1000000,1000000000)</f>
        <v>5.000027</v>
      </c>
      <c r="W27" s="52" t="n">
        <f aca="false">SUMPRODUCT(MAX((Sales_Data!$F$2:$F$3520=A27)*Sales_Data!$C$2:$C$3520))</f>
        <v>46303</v>
      </c>
    </row>
    <row r="28" customFormat="false" ht="15" hidden="false" customHeight="false" outlineLevel="0" collapsed="false">
      <c r="A28" s="53" t="s">
        <v>865</v>
      </c>
      <c r="B28" s="48" t="s">
        <v>866</v>
      </c>
      <c r="C28" s="53" t="s">
        <v>46</v>
      </c>
      <c r="D28" s="53" t="s">
        <v>47</v>
      </c>
      <c r="E28" s="53" t="s">
        <v>146</v>
      </c>
      <c r="F28" s="53" t="s">
        <v>209</v>
      </c>
      <c r="G28" s="53" t="s">
        <v>6482</v>
      </c>
      <c r="H28" s="26" t="n">
        <f aca="false">SUMIFS(Sales_Data!$AE$2:$AE$3520,Sales_Data!$F$2:$F$3520,$A28,Sales_Data!$C$2:$C$3520,"&gt;="&amp;Dashboard!$C$5,Sales_Data!$C$2:$C$3520,"&lt;="&amp;Dashboard!$C$6)</f>
        <v>3</v>
      </c>
      <c r="I28" s="26" t="n">
        <f aca="false">SUMIFS(Sales_Data!$M$2:$M$3520,Sales_Data!$F$2:$F$3520,$A28,Sales_Data!$C$2:$C$3520,"&gt;="&amp;Dashboard!$C$5,Sales_Data!$C$2:$C$3520,"&lt;="&amp;Dashboard!$C$6,Sales_Data!$AE$2:$AE$3520,1)</f>
        <v>0</v>
      </c>
      <c r="J28" s="26" t="n">
        <f aca="false">SUMIFS(Sales_Data!$N$2:$N$3520,Sales_Data!$F$2:$F$3520,$A28,Sales_Data!$C$2:$C$3520,"&gt;="&amp;Dashboard!$C$5,Sales_Data!$C$2:$C$3520,"&lt;="&amp;Dashboard!$C$6,Sales_Data!$AE$2:$AE$3520,1)</f>
        <v>4</v>
      </c>
      <c r="K28" s="27" t="n">
        <f aca="false">SUMIFS(Sales_Data!$O$2:$O$3520,Sales_Data!$F$2:$F$3520,$A28,Sales_Data!$C$2:$C$3520,"&gt;="&amp;Dashboard!$C$5,Sales_Data!$C$2:$C$3520,"&lt;="&amp;Dashboard!$C$6,Sales_Data!$AE$2:$AE$3520,1)</f>
        <v>4</v>
      </c>
      <c r="L28" s="26" t="n">
        <f aca="false">SUMIFS(Sales_Data!$AF$2:$AF$3520,Sales_Data!$F$2:$F$3520,$A28,Sales_Data!$C$2:$C$3520,"&gt;="&amp;Dashboard!$C$5,Sales_Data!$C$2:$C$3520,"&lt;="&amp;Dashboard!$C$6)</f>
        <v>1</v>
      </c>
      <c r="M28" s="31" t="n">
        <f aca="false">IFERROR(K28/L28,0)</f>
        <v>4</v>
      </c>
      <c r="N28" s="26" t="n">
        <f aca="false">SUMIFS(Sales_Data!$O$2:$O$3520,Sales_Data!$F$2:$F$3520,$A28,Sales_Data!$C$2:$C$3520,"&gt;="&amp;Dashboard!$C$12,Sales_Data!$C$2:$C$3520,"&lt;="&amp;Dashboard!$C$13,Sales_Data!$AE$2:$AE$3520,1)</f>
        <v>0</v>
      </c>
      <c r="O28" s="28" t="n">
        <f aca="false">K28-N28</f>
        <v>4</v>
      </c>
      <c r="P28" s="54" t="n">
        <f aca="false">IF(W28=0,"-",W28)</f>
        <v>46303</v>
      </c>
      <c r="Q28" s="52" t="n">
        <f aca="false">IF(W28=0,"-",$B$2-W28)</f>
        <v>0</v>
      </c>
      <c r="R28" s="52" t="n">
        <f aca="false">IF(T28=1,COUNTIFS($T$5:$T$254,1,$K$5:$K$254,"&gt;"&amp;K28)+1,"-")</f>
        <v>39</v>
      </c>
      <c r="S28" s="52" t="n">
        <f aca="false">COUNTIFS($C$5:$C$254,C28,$K$5:$K$254,"&gt;"&amp;K28)+1</f>
        <v>2</v>
      </c>
      <c r="T28" s="52" t="n">
        <f aca="false">IF(AND(OR(Dashboard!$C$7="All",D28=Dashboard!$C$7),OR(Dashboard!$C$8="All",C28=Dashboard!$C$8)),1,0)</f>
        <v>1</v>
      </c>
      <c r="U28" s="74" t="n">
        <f aca="false">IF(T28=1,K28+ROW()/1000000,-1)</f>
        <v>4.000028</v>
      </c>
      <c r="V28" s="74" t="n">
        <f aca="false">IF(AND(T28=1,E28="Production"),K28+ROW()/1000000,1000000000)</f>
        <v>4.000028</v>
      </c>
      <c r="W28" s="52" t="n">
        <f aca="false">SUMPRODUCT(MAX((Sales_Data!$F$2:$F$3520=A28)*Sales_Data!$C$2:$C$3520))</f>
        <v>46303</v>
      </c>
    </row>
    <row r="29" customFormat="false" ht="15" hidden="false" customHeight="false" outlineLevel="0" collapsed="false">
      <c r="A29" s="53" t="s">
        <v>892</v>
      </c>
      <c r="B29" s="48" t="s">
        <v>893</v>
      </c>
      <c r="C29" s="53" t="s">
        <v>46</v>
      </c>
      <c r="D29" s="53" t="s">
        <v>47</v>
      </c>
      <c r="E29" s="53" t="s">
        <v>146</v>
      </c>
      <c r="F29" s="53" t="s">
        <v>209</v>
      </c>
      <c r="G29" s="53" t="s">
        <v>6482</v>
      </c>
      <c r="H29" s="26" t="n">
        <f aca="false">SUMIFS(Sales_Data!$AE$2:$AE$3520,Sales_Data!$F$2:$F$3520,$A29,Sales_Data!$C$2:$C$3520,"&gt;="&amp;Dashboard!$C$5,Sales_Data!$C$2:$C$3520,"&lt;="&amp;Dashboard!$C$6)</f>
        <v>1</v>
      </c>
      <c r="I29" s="26" t="n">
        <f aca="false">SUMIFS(Sales_Data!$M$2:$M$3520,Sales_Data!$F$2:$F$3520,$A29,Sales_Data!$C$2:$C$3520,"&gt;="&amp;Dashboard!$C$5,Sales_Data!$C$2:$C$3520,"&lt;="&amp;Dashboard!$C$6,Sales_Data!$AE$2:$AE$3520,1)</f>
        <v>0</v>
      </c>
      <c r="J29" s="26" t="n">
        <f aca="false">SUMIFS(Sales_Data!$N$2:$N$3520,Sales_Data!$F$2:$F$3520,$A29,Sales_Data!$C$2:$C$3520,"&gt;="&amp;Dashboard!$C$5,Sales_Data!$C$2:$C$3520,"&lt;="&amp;Dashboard!$C$6,Sales_Data!$AE$2:$AE$3520,1)</f>
        <v>3</v>
      </c>
      <c r="K29" s="27" t="n">
        <f aca="false">SUMIFS(Sales_Data!$O$2:$O$3520,Sales_Data!$F$2:$F$3520,$A29,Sales_Data!$C$2:$C$3520,"&gt;="&amp;Dashboard!$C$5,Sales_Data!$C$2:$C$3520,"&lt;="&amp;Dashboard!$C$6,Sales_Data!$AE$2:$AE$3520,1)</f>
        <v>3</v>
      </c>
      <c r="L29" s="26" t="n">
        <f aca="false">SUMIFS(Sales_Data!$AF$2:$AF$3520,Sales_Data!$F$2:$F$3520,$A29,Sales_Data!$C$2:$C$3520,"&gt;="&amp;Dashboard!$C$5,Sales_Data!$C$2:$C$3520,"&lt;="&amp;Dashboard!$C$6)</f>
        <v>1</v>
      </c>
      <c r="M29" s="31" t="n">
        <f aca="false">IFERROR(K29/L29,0)</f>
        <v>3</v>
      </c>
      <c r="N29" s="26" t="n">
        <f aca="false">SUMIFS(Sales_Data!$O$2:$O$3520,Sales_Data!$F$2:$F$3520,$A29,Sales_Data!$C$2:$C$3520,"&gt;="&amp;Dashboard!$C$12,Sales_Data!$C$2:$C$3520,"&lt;="&amp;Dashboard!$C$13,Sales_Data!$AE$2:$AE$3520,1)</f>
        <v>3</v>
      </c>
      <c r="O29" s="28" t="n">
        <f aca="false">K29-N29</f>
        <v>0</v>
      </c>
      <c r="P29" s="54" t="n">
        <f aca="false">IF(W29=0,"-",W29)</f>
        <v>46303</v>
      </c>
      <c r="Q29" s="52" t="n">
        <f aca="false">IF(W29=0,"-",$B$2-W29)</f>
        <v>0</v>
      </c>
      <c r="R29" s="52" t="n">
        <f aca="false">IF(T29=1,COUNTIFS($T$5:$T$254,1,$K$5:$K$254,"&gt;"&amp;K29)+1,"-")</f>
        <v>59</v>
      </c>
      <c r="S29" s="52" t="n">
        <f aca="false">COUNTIFS($C$5:$C$254,C29,$K$5:$K$254,"&gt;"&amp;K29)+1</f>
        <v>6</v>
      </c>
      <c r="T29" s="52" t="n">
        <f aca="false">IF(AND(OR(Dashboard!$C$7="All",D29=Dashboard!$C$7),OR(Dashboard!$C$8="All",C29=Dashboard!$C$8)),1,0)</f>
        <v>1</v>
      </c>
      <c r="U29" s="74" t="n">
        <f aca="false">IF(T29=1,K29+ROW()/1000000,-1)</f>
        <v>3.000029</v>
      </c>
      <c r="V29" s="74" t="n">
        <f aca="false">IF(AND(T29=1,E29="Production"),K29+ROW()/1000000,1000000000)</f>
        <v>3.000029</v>
      </c>
      <c r="W29" s="52" t="n">
        <f aca="false">SUMPRODUCT(MAX((Sales_Data!$F$2:$F$3520=A29)*Sales_Data!$C$2:$C$3520))</f>
        <v>46303</v>
      </c>
    </row>
    <row r="30" customFormat="false" ht="15" hidden="false" customHeight="false" outlineLevel="0" collapsed="false">
      <c r="A30" s="53" t="s">
        <v>3447</v>
      </c>
      <c r="B30" s="48" t="s">
        <v>3448</v>
      </c>
      <c r="C30" s="53" t="s">
        <v>46</v>
      </c>
      <c r="D30" s="53" t="s">
        <v>47</v>
      </c>
      <c r="E30" s="53" t="s">
        <v>146</v>
      </c>
      <c r="F30" s="53" t="s">
        <v>209</v>
      </c>
      <c r="G30" s="53" t="s">
        <v>6482</v>
      </c>
      <c r="H30" s="26" t="n">
        <f aca="false">SUMIFS(Sales_Data!$AE$2:$AE$3520,Sales_Data!$F$2:$F$3520,$A30,Sales_Data!$C$2:$C$3520,"&gt;="&amp;Dashboard!$C$5,Sales_Data!$C$2:$C$3520,"&lt;="&amp;Dashboard!$C$6)</f>
        <v>0</v>
      </c>
      <c r="I30" s="26" t="n">
        <f aca="false">SUMIFS(Sales_Data!$M$2:$M$3520,Sales_Data!$F$2:$F$3520,$A30,Sales_Data!$C$2:$C$3520,"&gt;="&amp;Dashboard!$C$5,Sales_Data!$C$2:$C$3520,"&lt;="&amp;Dashboard!$C$6,Sales_Data!$AE$2:$AE$3520,1)</f>
        <v>0</v>
      </c>
      <c r="J30" s="26" t="n">
        <f aca="false">SUMIFS(Sales_Data!$N$2:$N$3520,Sales_Data!$F$2:$F$3520,$A30,Sales_Data!$C$2:$C$3520,"&gt;="&amp;Dashboard!$C$5,Sales_Data!$C$2:$C$3520,"&lt;="&amp;Dashboard!$C$6,Sales_Data!$AE$2:$AE$3520,1)</f>
        <v>0</v>
      </c>
      <c r="K30" s="27" t="n">
        <f aca="false">SUMIFS(Sales_Data!$O$2:$O$3520,Sales_Data!$F$2:$F$3520,$A30,Sales_Data!$C$2:$C$3520,"&gt;="&amp;Dashboard!$C$5,Sales_Data!$C$2:$C$3520,"&lt;="&amp;Dashboard!$C$6,Sales_Data!$AE$2:$AE$3520,1)</f>
        <v>0</v>
      </c>
      <c r="L30" s="26" t="n">
        <f aca="false">SUMIFS(Sales_Data!$AF$2:$AF$3520,Sales_Data!$F$2:$F$3520,$A30,Sales_Data!$C$2:$C$3520,"&gt;="&amp;Dashboard!$C$5,Sales_Data!$C$2:$C$3520,"&lt;="&amp;Dashboard!$C$6)</f>
        <v>0</v>
      </c>
      <c r="M30" s="31" t="n">
        <f aca="false">IFERROR(K30/L30,0)</f>
        <v>0</v>
      </c>
      <c r="N30" s="26" t="n">
        <f aca="false">SUMIFS(Sales_Data!$O$2:$O$3520,Sales_Data!$F$2:$F$3520,$A30,Sales_Data!$C$2:$C$3520,"&gt;="&amp;Dashboard!$C$12,Sales_Data!$C$2:$C$3520,"&lt;="&amp;Dashboard!$C$13,Sales_Data!$AE$2:$AE$3520,1)</f>
        <v>1</v>
      </c>
      <c r="O30" s="28" t="n">
        <f aca="false">K30-N30</f>
        <v>-1</v>
      </c>
      <c r="P30" s="54" t="n">
        <f aca="false">IF(W30=0,"-",W30)</f>
        <v>46294</v>
      </c>
      <c r="Q30" s="52" t="n">
        <f aca="false">IF(W30=0,"-",$B$2-W30)</f>
        <v>9</v>
      </c>
      <c r="R30" s="52" t="n">
        <f aca="false">IF(T30=1,COUNTIFS($T$5:$T$254,1,$K$5:$K$254,"&gt;"&amp;K30)+1,"-")</f>
        <v>139</v>
      </c>
      <c r="S30" s="52" t="n">
        <f aca="false">COUNTIFS($C$5:$C$254,C30,$K$5:$K$254,"&gt;"&amp;K30)+1</f>
        <v>14</v>
      </c>
      <c r="T30" s="52" t="n">
        <f aca="false">IF(AND(OR(Dashboard!$C$7="All",D30=Dashboard!$C$7),OR(Dashboard!$C$8="All",C30=Dashboard!$C$8)),1,0)</f>
        <v>1</v>
      </c>
      <c r="U30" s="74" t="n">
        <f aca="false">IF(T30=1,K30+ROW()/1000000,-1)</f>
        <v>3E-005</v>
      </c>
      <c r="V30" s="74" t="n">
        <f aca="false">IF(AND(T30=1,E30="Production"),K30+ROW()/1000000,1000000000)</f>
        <v>3E-005</v>
      </c>
      <c r="W30" s="52" t="n">
        <f aca="false">SUMPRODUCT(MAX((Sales_Data!$F$2:$F$3520=A30)*Sales_Data!$C$2:$C$3520))</f>
        <v>46294</v>
      </c>
    </row>
    <row r="31" customFormat="false" ht="15" hidden="false" customHeight="false" outlineLevel="0" collapsed="false">
      <c r="A31" s="53" t="s">
        <v>3967</v>
      </c>
      <c r="B31" s="48" t="s">
        <v>3968</v>
      </c>
      <c r="C31" s="53" t="s">
        <v>46</v>
      </c>
      <c r="D31" s="53" t="s">
        <v>47</v>
      </c>
      <c r="E31" s="53" t="s">
        <v>146</v>
      </c>
      <c r="F31" s="53" t="s">
        <v>209</v>
      </c>
      <c r="G31" s="53" t="s">
        <v>6482</v>
      </c>
      <c r="H31" s="26" t="n">
        <f aca="false">SUMIFS(Sales_Data!$AE$2:$AE$3520,Sales_Data!$F$2:$F$3520,$A31,Sales_Data!$C$2:$C$3520,"&gt;="&amp;Dashboard!$C$5,Sales_Data!$C$2:$C$3520,"&lt;="&amp;Dashboard!$C$6)</f>
        <v>1</v>
      </c>
      <c r="I31" s="26" t="n">
        <f aca="false">SUMIFS(Sales_Data!$M$2:$M$3520,Sales_Data!$F$2:$F$3520,$A31,Sales_Data!$C$2:$C$3520,"&gt;="&amp;Dashboard!$C$5,Sales_Data!$C$2:$C$3520,"&lt;="&amp;Dashboard!$C$6,Sales_Data!$AE$2:$AE$3520,1)</f>
        <v>1</v>
      </c>
      <c r="J31" s="26" t="n">
        <f aca="false">SUMIFS(Sales_Data!$N$2:$N$3520,Sales_Data!$F$2:$F$3520,$A31,Sales_Data!$C$2:$C$3520,"&gt;="&amp;Dashboard!$C$5,Sales_Data!$C$2:$C$3520,"&lt;="&amp;Dashboard!$C$6,Sales_Data!$AE$2:$AE$3520,1)</f>
        <v>0</v>
      </c>
      <c r="K31" s="27" t="n">
        <f aca="false">SUMIFS(Sales_Data!$O$2:$O$3520,Sales_Data!$F$2:$F$3520,$A31,Sales_Data!$C$2:$C$3520,"&gt;="&amp;Dashboard!$C$5,Sales_Data!$C$2:$C$3520,"&lt;="&amp;Dashboard!$C$6,Sales_Data!$AE$2:$AE$3520,1)</f>
        <v>1</v>
      </c>
      <c r="L31" s="26" t="n">
        <f aca="false">SUMIFS(Sales_Data!$AF$2:$AF$3520,Sales_Data!$F$2:$F$3520,$A31,Sales_Data!$C$2:$C$3520,"&gt;="&amp;Dashboard!$C$5,Sales_Data!$C$2:$C$3520,"&lt;="&amp;Dashboard!$C$6)</f>
        <v>1</v>
      </c>
      <c r="M31" s="31" t="n">
        <f aca="false">IFERROR(K31/L31,0)</f>
        <v>1</v>
      </c>
      <c r="N31" s="26" t="n">
        <f aca="false">SUMIFS(Sales_Data!$O$2:$O$3520,Sales_Data!$F$2:$F$3520,$A31,Sales_Data!$C$2:$C$3520,"&gt;="&amp;Dashboard!$C$12,Sales_Data!$C$2:$C$3520,"&lt;="&amp;Dashboard!$C$13,Sales_Data!$AE$2:$AE$3520,1)</f>
        <v>2</v>
      </c>
      <c r="O31" s="28" t="n">
        <f aca="false">K31-N31</f>
        <v>-1</v>
      </c>
      <c r="P31" s="54" t="n">
        <f aca="false">IF(W31=0,"-",W31)</f>
        <v>46302</v>
      </c>
      <c r="Q31" s="52" t="n">
        <f aca="false">IF(W31=0,"-",$B$2-W31)</f>
        <v>1</v>
      </c>
      <c r="R31" s="52" t="n">
        <f aca="false">IF(T31=1,COUNTIFS($T$5:$T$254,1,$K$5:$K$254,"&gt;"&amp;K31)+1,"-")</f>
        <v>105</v>
      </c>
      <c r="S31" s="52" t="n">
        <f aca="false">COUNTIFS($C$5:$C$254,C31,$K$5:$K$254,"&gt;"&amp;K31)+1</f>
        <v>11</v>
      </c>
      <c r="T31" s="52" t="n">
        <f aca="false">IF(AND(OR(Dashboard!$C$7="All",D31=Dashboard!$C$7),OR(Dashboard!$C$8="All",C31=Dashboard!$C$8)),1,0)</f>
        <v>1</v>
      </c>
      <c r="U31" s="74" t="n">
        <f aca="false">IF(T31=1,K31+ROW()/1000000,-1)</f>
        <v>1.000031</v>
      </c>
      <c r="V31" s="74" t="n">
        <f aca="false">IF(AND(T31=1,E31="Production"),K31+ROW()/1000000,1000000000)</f>
        <v>1.000031</v>
      </c>
      <c r="W31" s="52" t="n">
        <f aca="false">SUMPRODUCT(MAX((Sales_Data!$F$2:$F$3520=A31)*Sales_Data!$C$2:$C$3520))</f>
        <v>46302</v>
      </c>
    </row>
    <row r="32" customFormat="false" ht="15" hidden="false" customHeight="false" outlineLevel="0" collapsed="false">
      <c r="A32" s="53" t="s">
        <v>967</v>
      </c>
      <c r="B32" s="48" t="s">
        <v>968</v>
      </c>
      <c r="C32" s="53" t="s">
        <v>46</v>
      </c>
      <c r="D32" s="53" t="s">
        <v>47</v>
      </c>
      <c r="E32" s="53" t="s">
        <v>146</v>
      </c>
      <c r="F32" s="53" t="s">
        <v>209</v>
      </c>
      <c r="G32" s="53" t="s">
        <v>6482</v>
      </c>
      <c r="H32" s="26" t="n">
        <f aca="false">SUMIFS(Sales_Data!$AE$2:$AE$3520,Sales_Data!$F$2:$F$3520,$A32,Sales_Data!$C$2:$C$3520,"&gt;="&amp;Dashboard!$C$5,Sales_Data!$C$2:$C$3520,"&lt;="&amp;Dashboard!$C$6)</f>
        <v>3</v>
      </c>
      <c r="I32" s="26" t="n">
        <f aca="false">SUMIFS(Sales_Data!$M$2:$M$3520,Sales_Data!$F$2:$F$3520,$A32,Sales_Data!$C$2:$C$3520,"&gt;="&amp;Dashboard!$C$5,Sales_Data!$C$2:$C$3520,"&lt;="&amp;Dashboard!$C$6,Sales_Data!$AE$2:$AE$3520,1)</f>
        <v>2</v>
      </c>
      <c r="J32" s="26" t="n">
        <f aca="false">SUMIFS(Sales_Data!$N$2:$N$3520,Sales_Data!$F$2:$F$3520,$A32,Sales_Data!$C$2:$C$3520,"&gt;="&amp;Dashboard!$C$5,Sales_Data!$C$2:$C$3520,"&lt;="&amp;Dashboard!$C$6,Sales_Data!$AE$2:$AE$3520,1)</f>
        <v>1</v>
      </c>
      <c r="K32" s="27" t="n">
        <f aca="false">SUMIFS(Sales_Data!$O$2:$O$3520,Sales_Data!$F$2:$F$3520,$A32,Sales_Data!$C$2:$C$3520,"&gt;="&amp;Dashboard!$C$5,Sales_Data!$C$2:$C$3520,"&lt;="&amp;Dashboard!$C$6,Sales_Data!$AE$2:$AE$3520,1)</f>
        <v>3</v>
      </c>
      <c r="L32" s="26" t="n">
        <f aca="false">SUMIFS(Sales_Data!$AF$2:$AF$3520,Sales_Data!$F$2:$F$3520,$A32,Sales_Data!$C$2:$C$3520,"&gt;="&amp;Dashboard!$C$5,Sales_Data!$C$2:$C$3520,"&lt;="&amp;Dashboard!$C$6)</f>
        <v>1</v>
      </c>
      <c r="M32" s="31" t="n">
        <f aca="false">IFERROR(K32/L32,0)</f>
        <v>3</v>
      </c>
      <c r="N32" s="26" t="n">
        <f aca="false">SUMIFS(Sales_Data!$O$2:$O$3520,Sales_Data!$F$2:$F$3520,$A32,Sales_Data!$C$2:$C$3520,"&gt;="&amp;Dashboard!$C$12,Sales_Data!$C$2:$C$3520,"&lt;="&amp;Dashboard!$C$13,Sales_Data!$AE$2:$AE$3520,1)</f>
        <v>0</v>
      </c>
      <c r="O32" s="28" t="n">
        <f aca="false">K32-N32</f>
        <v>3</v>
      </c>
      <c r="P32" s="54" t="n">
        <f aca="false">IF(W32=0,"-",W32)</f>
        <v>46302</v>
      </c>
      <c r="Q32" s="52" t="n">
        <f aca="false">IF(W32=0,"-",$B$2-W32)</f>
        <v>1</v>
      </c>
      <c r="R32" s="52" t="n">
        <f aca="false">IF(T32=1,COUNTIFS($T$5:$T$254,1,$K$5:$K$254,"&gt;"&amp;K32)+1,"-")</f>
        <v>59</v>
      </c>
      <c r="S32" s="52" t="n">
        <f aca="false">COUNTIFS($C$5:$C$254,C32,$K$5:$K$254,"&gt;"&amp;K32)+1</f>
        <v>6</v>
      </c>
      <c r="T32" s="52" t="n">
        <f aca="false">IF(AND(OR(Dashboard!$C$7="All",D32=Dashboard!$C$7),OR(Dashboard!$C$8="All",C32=Dashboard!$C$8)),1,0)</f>
        <v>1</v>
      </c>
      <c r="U32" s="74" t="n">
        <f aca="false">IF(T32=1,K32+ROW()/1000000,-1)</f>
        <v>3.000032</v>
      </c>
      <c r="V32" s="74" t="n">
        <f aca="false">IF(AND(T32=1,E32="Production"),K32+ROW()/1000000,1000000000)</f>
        <v>3.000032</v>
      </c>
      <c r="W32" s="52" t="n">
        <f aca="false">SUMPRODUCT(MAX((Sales_Data!$F$2:$F$3520=A32)*Sales_Data!$C$2:$C$3520))</f>
        <v>46302</v>
      </c>
    </row>
    <row r="33" customFormat="false" ht="15" hidden="false" customHeight="false" outlineLevel="0" collapsed="false">
      <c r="A33" s="53" t="s">
        <v>3148</v>
      </c>
      <c r="B33" s="48" t="s">
        <v>3149</v>
      </c>
      <c r="C33" s="53" t="s">
        <v>46</v>
      </c>
      <c r="D33" s="53" t="s">
        <v>47</v>
      </c>
      <c r="E33" s="53" t="s">
        <v>146</v>
      </c>
      <c r="F33" s="53" t="s">
        <v>209</v>
      </c>
      <c r="G33" s="53" t="s">
        <v>6482</v>
      </c>
      <c r="H33" s="26" t="n">
        <f aca="false">SUMIFS(Sales_Data!$AE$2:$AE$3520,Sales_Data!$F$2:$F$3520,$A33,Sales_Data!$C$2:$C$3520,"&gt;="&amp;Dashboard!$C$5,Sales_Data!$C$2:$C$3520,"&lt;="&amp;Dashboard!$C$6)</f>
        <v>1</v>
      </c>
      <c r="I33" s="26" t="n">
        <f aca="false">SUMIFS(Sales_Data!$M$2:$M$3520,Sales_Data!$F$2:$F$3520,$A33,Sales_Data!$C$2:$C$3520,"&gt;="&amp;Dashboard!$C$5,Sales_Data!$C$2:$C$3520,"&lt;="&amp;Dashboard!$C$6,Sales_Data!$AE$2:$AE$3520,1)</f>
        <v>0</v>
      </c>
      <c r="J33" s="26" t="n">
        <f aca="false">SUMIFS(Sales_Data!$N$2:$N$3520,Sales_Data!$F$2:$F$3520,$A33,Sales_Data!$C$2:$C$3520,"&gt;="&amp;Dashboard!$C$5,Sales_Data!$C$2:$C$3520,"&lt;="&amp;Dashboard!$C$6,Sales_Data!$AE$2:$AE$3520,1)</f>
        <v>1</v>
      </c>
      <c r="K33" s="27" t="n">
        <f aca="false">SUMIFS(Sales_Data!$O$2:$O$3520,Sales_Data!$F$2:$F$3520,$A33,Sales_Data!$C$2:$C$3520,"&gt;="&amp;Dashboard!$C$5,Sales_Data!$C$2:$C$3520,"&lt;="&amp;Dashboard!$C$6,Sales_Data!$AE$2:$AE$3520,1)</f>
        <v>1</v>
      </c>
      <c r="L33" s="26" t="n">
        <f aca="false">SUMIFS(Sales_Data!$AF$2:$AF$3520,Sales_Data!$F$2:$F$3520,$A33,Sales_Data!$C$2:$C$3520,"&gt;="&amp;Dashboard!$C$5,Sales_Data!$C$2:$C$3520,"&lt;="&amp;Dashboard!$C$6)</f>
        <v>1</v>
      </c>
      <c r="M33" s="31" t="n">
        <f aca="false">IFERROR(K33/L33,0)</f>
        <v>1</v>
      </c>
      <c r="N33" s="26" t="n">
        <f aca="false">SUMIFS(Sales_Data!$O$2:$O$3520,Sales_Data!$F$2:$F$3520,$A33,Sales_Data!$C$2:$C$3520,"&gt;="&amp;Dashboard!$C$12,Sales_Data!$C$2:$C$3520,"&lt;="&amp;Dashboard!$C$13,Sales_Data!$AE$2:$AE$3520,1)</f>
        <v>1</v>
      </c>
      <c r="O33" s="28" t="n">
        <f aca="false">K33-N33</f>
        <v>0</v>
      </c>
      <c r="P33" s="54" t="n">
        <f aca="false">IF(W33=0,"-",W33)</f>
        <v>46302</v>
      </c>
      <c r="Q33" s="52" t="n">
        <f aca="false">IF(W33=0,"-",$B$2-W33)</f>
        <v>1</v>
      </c>
      <c r="R33" s="52" t="n">
        <f aca="false">IF(T33=1,COUNTIFS($T$5:$T$254,1,$K$5:$K$254,"&gt;"&amp;K33)+1,"-")</f>
        <v>105</v>
      </c>
      <c r="S33" s="52" t="n">
        <f aca="false">COUNTIFS($C$5:$C$254,C33,$K$5:$K$254,"&gt;"&amp;K33)+1</f>
        <v>11</v>
      </c>
      <c r="T33" s="52" t="n">
        <f aca="false">IF(AND(OR(Dashboard!$C$7="All",D33=Dashboard!$C$7),OR(Dashboard!$C$8="All",C33=Dashboard!$C$8)),1,0)</f>
        <v>1</v>
      </c>
      <c r="U33" s="74" t="n">
        <f aca="false">IF(T33=1,K33+ROW()/1000000,-1)</f>
        <v>1.000033</v>
      </c>
      <c r="V33" s="74" t="n">
        <f aca="false">IF(AND(T33=1,E33="Production"),K33+ROW()/1000000,1000000000)</f>
        <v>1.000033</v>
      </c>
      <c r="W33" s="52" t="n">
        <f aca="false">SUMPRODUCT(MAX((Sales_Data!$F$2:$F$3520=A33)*Sales_Data!$C$2:$C$3520))</f>
        <v>46302</v>
      </c>
    </row>
    <row r="34" customFormat="false" ht="15" hidden="false" customHeight="false" outlineLevel="0" collapsed="false">
      <c r="A34" s="53" t="s">
        <v>999</v>
      </c>
      <c r="B34" s="48" t="s">
        <v>1000</v>
      </c>
      <c r="C34" s="53" t="s">
        <v>46</v>
      </c>
      <c r="D34" s="53" t="s">
        <v>47</v>
      </c>
      <c r="E34" s="53" t="s">
        <v>146</v>
      </c>
      <c r="F34" s="53" t="s">
        <v>209</v>
      </c>
      <c r="G34" s="53" t="s">
        <v>6482</v>
      </c>
      <c r="H34" s="26" t="n">
        <f aca="false">SUMIFS(Sales_Data!$AE$2:$AE$3520,Sales_Data!$F$2:$F$3520,$A34,Sales_Data!$C$2:$C$3520,"&gt;="&amp;Dashboard!$C$5,Sales_Data!$C$2:$C$3520,"&lt;="&amp;Dashboard!$C$6)</f>
        <v>0</v>
      </c>
      <c r="I34" s="26" t="n">
        <f aca="false">SUMIFS(Sales_Data!$M$2:$M$3520,Sales_Data!$F$2:$F$3520,$A34,Sales_Data!$C$2:$C$3520,"&gt;="&amp;Dashboard!$C$5,Sales_Data!$C$2:$C$3520,"&lt;="&amp;Dashboard!$C$6,Sales_Data!$AE$2:$AE$3520,1)</f>
        <v>0</v>
      </c>
      <c r="J34" s="26" t="n">
        <f aca="false">SUMIFS(Sales_Data!$N$2:$N$3520,Sales_Data!$F$2:$F$3520,$A34,Sales_Data!$C$2:$C$3520,"&gt;="&amp;Dashboard!$C$5,Sales_Data!$C$2:$C$3520,"&lt;="&amp;Dashboard!$C$6,Sales_Data!$AE$2:$AE$3520,1)</f>
        <v>0</v>
      </c>
      <c r="K34" s="27" t="n">
        <f aca="false">SUMIFS(Sales_Data!$O$2:$O$3520,Sales_Data!$F$2:$F$3520,$A34,Sales_Data!$C$2:$C$3520,"&gt;="&amp;Dashboard!$C$5,Sales_Data!$C$2:$C$3520,"&lt;="&amp;Dashboard!$C$6,Sales_Data!$AE$2:$AE$3520,1)</f>
        <v>0</v>
      </c>
      <c r="L34" s="26" t="n">
        <f aca="false">SUMIFS(Sales_Data!$AF$2:$AF$3520,Sales_Data!$F$2:$F$3520,$A34,Sales_Data!$C$2:$C$3520,"&gt;="&amp;Dashboard!$C$5,Sales_Data!$C$2:$C$3520,"&lt;="&amp;Dashboard!$C$6)</f>
        <v>0</v>
      </c>
      <c r="M34" s="31" t="n">
        <f aca="false">IFERROR(K34/L34,0)</f>
        <v>0</v>
      </c>
      <c r="N34" s="26" t="n">
        <f aca="false">SUMIFS(Sales_Data!$O$2:$O$3520,Sales_Data!$F$2:$F$3520,$A34,Sales_Data!$C$2:$C$3520,"&gt;="&amp;Dashboard!$C$12,Sales_Data!$C$2:$C$3520,"&lt;="&amp;Dashboard!$C$13,Sales_Data!$AE$2:$AE$3520,1)</f>
        <v>4</v>
      </c>
      <c r="O34" s="28" t="n">
        <f aca="false">K34-N34</f>
        <v>-4</v>
      </c>
      <c r="P34" s="54" t="n">
        <f aca="false">IF(W34=0,"-",W34)</f>
        <v>46294</v>
      </c>
      <c r="Q34" s="52" t="n">
        <f aca="false">IF(W34=0,"-",$B$2-W34)</f>
        <v>9</v>
      </c>
      <c r="R34" s="52" t="n">
        <f aca="false">IF(T34=1,COUNTIFS($T$5:$T$254,1,$K$5:$K$254,"&gt;"&amp;K34)+1,"-")</f>
        <v>139</v>
      </c>
      <c r="S34" s="52" t="n">
        <f aca="false">COUNTIFS($C$5:$C$254,C34,$K$5:$K$254,"&gt;"&amp;K34)+1</f>
        <v>14</v>
      </c>
      <c r="T34" s="52" t="n">
        <f aca="false">IF(AND(OR(Dashboard!$C$7="All",D34=Dashboard!$C$7),OR(Dashboard!$C$8="All",C34=Dashboard!$C$8)),1,0)</f>
        <v>1</v>
      </c>
      <c r="U34" s="74" t="n">
        <f aca="false">IF(T34=1,K34+ROW()/1000000,-1)</f>
        <v>3.4E-005</v>
      </c>
      <c r="V34" s="74" t="n">
        <f aca="false">IF(AND(T34=1,E34="Production"),K34+ROW()/1000000,1000000000)</f>
        <v>3.4E-005</v>
      </c>
      <c r="W34" s="52" t="n">
        <f aca="false">SUMPRODUCT(MAX((Sales_Data!$F$2:$F$3520=A34)*Sales_Data!$C$2:$C$3520))</f>
        <v>46294</v>
      </c>
    </row>
    <row r="35" customFormat="false" ht="15" hidden="false" customHeight="false" outlineLevel="0" collapsed="false">
      <c r="A35" s="53" t="s">
        <v>884</v>
      </c>
      <c r="B35" s="48" t="s">
        <v>885</v>
      </c>
      <c r="C35" s="53" t="s">
        <v>46</v>
      </c>
      <c r="D35" s="53" t="s">
        <v>47</v>
      </c>
      <c r="E35" s="53" t="s">
        <v>146</v>
      </c>
      <c r="F35" s="53" t="s">
        <v>209</v>
      </c>
      <c r="G35" s="53" t="s">
        <v>6482</v>
      </c>
      <c r="H35" s="26" t="n">
        <f aca="false">SUMIFS(Sales_Data!$AE$2:$AE$3520,Sales_Data!$F$2:$F$3520,$A35,Sales_Data!$C$2:$C$3520,"&gt;="&amp;Dashboard!$C$5,Sales_Data!$C$2:$C$3520,"&lt;="&amp;Dashboard!$C$6)</f>
        <v>5</v>
      </c>
      <c r="I35" s="26" t="n">
        <f aca="false">SUMIFS(Sales_Data!$M$2:$M$3520,Sales_Data!$F$2:$F$3520,$A35,Sales_Data!$C$2:$C$3520,"&gt;="&amp;Dashboard!$C$5,Sales_Data!$C$2:$C$3520,"&lt;="&amp;Dashboard!$C$6,Sales_Data!$AE$2:$AE$3520,1)</f>
        <v>0</v>
      </c>
      <c r="J35" s="26" t="n">
        <f aca="false">SUMIFS(Sales_Data!$N$2:$N$3520,Sales_Data!$F$2:$F$3520,$A35,Sales_Data!$C$2:$C$3520,"&gt;="&amp;Dashboard!$C$5,Sales_Data!$C$2:$C$3520,"&lt;="&amp;Dashboard!$C$6,Sales_Data!$AE$2:$AE$3520,1)</f>
        <v>8</v>
      </c>
      <c r="K35" s="27" t="n">
        <f aca="false">SUMIFS(Sales_Data!$O$2:$O$3520,Sales_Data!$F$2:$F$3520,$A35,Sales_Data!$C$2:$C$3520,"&gt;="&amp;Dashboard!$C$5,Sales_Data!$C$2:$C$3520,"&lt;="&amp;Dashboard!$C$6,Sales_Data!$AE$2:$AE$3520,1)</f>
        <v>8</v>
      </c>
      <c r="L35" s="26" t="n">
        <f aca="false">SUMIFS(Sales_Data!$AF$2:$AF$3520,Sales_Data!$F$2:$F$3520,$A35,Sales_Data!$C$2:$C$3520,"&gt;="&amp;Dashboard!$C$5,Sales_Data!$C$2:$C$3520,"&lt;="&amp;Dashboard!$C$6)</f>
        <v>2</v>
      </c>
      <c r="M35" s="31" t="n">
        <f aca="false">IFERROR(K35/L35,0)</f>
        <v>4</v>
      </c>
      <c r="N35" s="26" t="n">
        <f aca="false">SUMIFS(Sales_Data!$O$2:$O$3520,Sales_Data!$F$2:$F$3520,$A35,Sales_Data!$C$2:$C$3520,"&gt;="&amp;Dashboard!$C$12,Sales_Data!$C$2:$C$3520,"&lt;="&amp;Dashboard!$C$13,Sales_Data!$AE$2:$AE$3520,1)</f>
        <v>0</v>
      </c>
      <c r="O35" s="28" t="n">
        <f aca="false">K35-N35</f>
        <v>8</v>
      </c>
      <c r="P35" s="54" t="n">
        <f aca="false">IF(W35=0,"-",W35)</f>
        <v>46298</v>
      </c>
      <c r="Q35" s="52" t="n">
        <f aca="false">IF(W35=0,"-",$B$2-W35)</f>
        <v>5</v>
      </c>
      <c r="R35" s="52" t="n">
        <f aca="false">IF(T35=1,COUNTIFS($T$5:$T$254,1,$K$5:$K$254,"&gt;"&amp;K35)+1,"-")</f>
        <v>11</v>
      </c>
      <c r="S35" s="52" t="n">
        <f aca="false">COUNTIFS($C$5:$C$254,C35,$K$5:$K$254,"&gt;"&amp;K35)+1</f>
        <v>1</v>
      </c>
      <c r="T35" s="52" t="n">
        <f aca="false">IF(AND(OR(Dashboard!$C$7="All",D35=Dashboard!$C$7),OR(Dashboard!$C$8="All",C35=Dashboard!$C$8)),1,0)</f>
        <v>1</v>
      </c>
      <c r="U35" s="74" t="n">
        <f aca="false">IF(T35=1,K35+ROW()/1000000,-1)</f>
        <v>8.000035</v>
      </c>
      <c r="V35" s="74" t="n">
        <f aca="false">IF(AND(T35=1,E35="Production"),K35+ROW()/1000000,1000000000)</f>
        <v>8.000035</v>
      </c>
      <c r="W35" s="52" t="n">
        <f aca="false">SUMPRODUCT(MAX((Sales_Data!$F$2:$F$3520=A35)*Sales_Data!$C$2:$C$3520))</f>
        <v>46298</v>
      </c>
    </row>
    <row r="36" customFormat="false" ht="15" hidden="false" customHeight="false" outlineLevel="0" collapsed="false">
      <c r="A36" s="53" t="s">
        <v>3022</v>
      </c>
      <c r="B36" s="48" t="s">
        <v>3023</v>
      </c>
      <c r="C36" s="53" t="s">
        <v>46</v>
      </c>
      <c r="D36" s="53" t="s">
        <v>47</v>
      </c>
      <c r="E36" s="53" t="s">
        <v>146</v>
      </c>
      <c r="F36" s="53" t="s">
        <v>209</v>
      </c>
      <c r="G36" s="53" t="s">
        <v>6482</v>
      </c>
      <c r="H36" s="26" t="n">
        <f aca="false">SUMIFS(Sales_Data!$AE$2:$AE$3520,Sales_Data!$F$2:$F$3520,$A36,Sales_Data!$C$2:$C$3520,"&gt;="&amp;Dashboard!$C$5,Sales_Data!$C$2:$C$3520,"&lt;="&amp;Dashboard!$C$6)</f>
        <v>3</v>
      </c>
      <c r="I36" s="26" t="n">
        <f aca="false">SUMIFS(Sales_Data!$M$2:$M$3520,Sales_Data!$F$2:$F$3520,$A36,Sales_Data!$C$2:$C$3520,"&gt;="&amp;Dashboard!$C$5,Sales_Data!$C$2:$C$3520,"&lt;="&amp;Dashboard!$C$6,Sales_Data!$AE$2:$AE$3520,1)</f>
        <v>0</v>
      </c>
      <c r="J36" s="26" t="n">
        <f aca="false">SUMIFS(Sales_Data!$N$2:$N$3520,Sales_Data!$F$2:$F$3520,$A36,Sales_Data!$C$2:$C$3520,"&gt;="&amp;Dashboard!$C$5,Sales_Data!$C$2:$C$3520,"&lt;="&amp;Dashboard!$C$6,Sales_Data!$AE$2:$AE$3520,1)</f>
        <v>3</v>
      </c>
      <c r="K36" s="27" t="n">
        <f aca="false">SUMIFS(Sales_Data!$O$2:$O$3520,Sales_Data!$F$2:$F$3520,$A36,Sales_Data!$C$2:$C$3520,"&gt;="&amp;Dashboard!$C$5,Sales_Data!$C$2:$C$3520,"&lt;="&amp;Dashboard!$C$6,Sales_Data!$AE$2:$AE$3520,1)</f>
        <v>3</v>
      </c>
      <c r="L36" s="26" t="n">
        <f aca="false">SUMIFS(Sales_Data!$AF$2:$AF$3520,Sales_Data!$F$2:$F$3520,$A36,Sales_Data!$C$2:$C$3520,"&gt;="&amp;Dashboard!$C$5,Sales_Data!$C$2:$C$3520,"&lt;="&amp;Dashboard!$C$6)</f>
        <v>2</v>
      </c>
      <c r="M36" s="31" t="n">
        <f aca="false">IFERROR(K36/L36,0)</f>
        <v>1.5</v>
      </c>
      <c r="N36" s="26" t="n">
        <f aca="false">SUMIFS(Sales_Data!$O$2:$O$3520,Sales_Data!$F$2:$F$3520,$A36,Sales_Data!$C$2:$C$3520,"&gt;="&amp;Dashboard!$C$12,Sales_Data!$C$2:$C$3520,"&lt;="&amp;Dashboard!$C$13,Sales_Data!$AE$2:$AE$3520,1)</f>
        <v>6</v>
      </c>
      <c r="O36" s="28" t="n">
        <f aca="false">K36-N36</f>
        <v>-3</v>
      </c>
      <c r="P36" s="54" t="n">
        <f aca="false">IF(W36=0,"-",W36)</f>
        <v>46303</v>
      </c>
      <c r="Q36" s="52" t="n">
        <f aca="false">IF(W36=0,"-",$B$2-W36)</f>
        <v>0</v>
      </c>
      <c r="R36" s="52" t="n">
        <f aca="false">IF(T36=1,COUNTIFS($T$5:$T$254,1,$K$5:$K$254,"&gt;"&amp;K36)+1,"-")</f>
        <v>59</v>
      </c>
      <c r="S36" s="52" t="n">
        <f aca="false">COUNTIFS($C$5:$C$254,C36,$K$5:$K$254,"&gt;"&amp;K36)+1</f>
        <v>6</v>
      </c>
      <c r="T36" s="52" t="n">
        <f aca="false">IF(AND(OR(Dashboard!$C$7="All",D36=Dashboard!$C$7),OR(Dashboard!$C$8="All",C36=Dashboard!$C$8)),1,0)</f>
        <v>1</v>
      </c>
      <c r="U36" s="74" t="n">
        <f aca="false">IF(T36=1,K36+ROW()/1000000,-1)</f>
        <v>3.000036</v>
      </c>
      <c r="V36" s="74" t="n">
        <f aca="false">IF(AND(T36=1,E36="Production"),K36+ROW()/1000000,1000000000)</f>
        <v>3.000036</v>
      </c>
      <c r="W36" s="52" t="n">
        <f aca="false">SUMPRODUCT(MAX((Sales_Data!$F$2:$F$3520=A36)*Sales_Data!$C$2:$C$3520))</f>
        <v>46303</v>
      </c>
    </row>
    <row r="37" customFormat="false" ht="15" hidden="false" customHeight="false" outlineLevel="0" collapsed="false">
      <c r="A37" s="53" t="s">
        <v>5004</v>
      </c>
      <c r="B37" s="48" t="s">
        <v>5005</v>
      </c>
      <c r="C37" s="53" t="s">
        <v>46</v>
      </c>
      <c r="D37" s="53" t="s">
        <v>47</v>
      </c>
      <c r="E37" s="53" t="s">
        <v>146</v>
      </c>
      <c r="F37" s="53" t="s">
        <v>147</v>
      </c>
      <c r="G37" s="53" t="s">
        <v>6492</v>
      </c>
      <c r="H37" s="26" t="n">
        <f aca="false">SUMIFS(Sales_Data!$AE$2:$AE$3520,Sales_Data!$F$2:$F$3520,$A37,Sales_Data!$C$2:$C$3520,"&gt;="&amp;Dashboard!$C$5,Sales_Data!$C$2:$C$3520,"&lt;="&amp;Dashboard!$C$6)</f>
        <v>4</v>
      </c>
      <c r="I37" s="26" t="n">
        <f aca="false">SUMIFS(Sales_Data!$M$2:$M$3520,Sales_Data!$F$2:$F$3520,$A37,Sales_Data!$C$2:$C$3520,"&gt;="&amp;Dashboard!$C$5,Sales_Data!$C$2:$C$3520,"&lt;="&amp;Dashboard!$C$6,Sales_Data!$AE$2:$AE$3520,1)</f>
        <v>3</v>
      </c>
      <c r="J37" s="26" t="n">
        <f aca="false">SUMIFS(Sales_Data!$N$2:$N$3520,Sales_Data!$F$2:$F$3520,$A37,Sales_Data!$C$2:$C$3520,"&gt;="&amp;Dashboard!$C$5,Sales_Data!$C$2:$C$3520,"&lt;="&amp;Dashboard!$C$6,Sales_Data!$AE$2:$AE$3520,1)</f>
        <v>1</v>
      </c>
      <c r="K37" s="27" t="n">
        <f aca="false">SUMIFS(Sales_Data!$O$2:$O$3520,Sales_Data!$F$2:$F$3520,$A37,Sales_Data!$C$2:$C$3520,"&gt;="&amp;Dashboard!$C$5,Sales_Data!$C$2:$C$3520,"&lt;="&amp;Dashboard!$C$6,Sales_Data!$AE$2:$AE$3520,1)</f>
        <v>4</v>
      </c>
      <c r="L37" s="26" t="n">
        <f aca="false">SUMIFS(Sales_Data!$AF$2:$AF$3520,Sales_Data!$F$2:$F$3520,$A37,Sales_Data!$C$2:$C$3520,"&gt;="&amp;Dashboard!$C$5,Sales_Data!$C$2:$C$3520,"&lt;="&amp;Dashboard!$C$6)</f>
        <v>3</v>
      </c>
      <c r="M37" s="31" t="n">
        <f aca="false">IFERROR(K37/L37,0)</f>
        <v>1.33333333333333</v>
      </c>
      <c r="N37" s="26" t="n">
        <f aca="false">SUMIFS(Sales_Data!$O$2:$O$3520,Sales_Data!$F$2:$F$3520,$A37,Sales_Data!$C$2:$C$3520,"&gt;="&amp;Dashboard!$C$12,Sales_Data!$C$2:$C$3520,"&lt;="&amp;Dashboard!$C$13,Sales_Data!$AE$2:$AE$3520,1)</f>
        <v>1</v>
      </c>
      <c r="O37" s="28" t="n">
        <f aca="false">K37-N37</f>
        <v>3</v>
      </c>
      <c r="P37" s="54" t="n">
        <f aca="false">IF(W37=0,"-",W37)</f>
        <v>46302</v>
      </c>
      <c r="Q37" s="52" t="n">
        <f aca="false">IF(W37=0,"-",$B$2-W37)</f>
        <v>1</v>
      </c>
      <c r="R37" s="52" t="n">
        <f aca="false">IF(T37=1,COUNTIFS($T$5:$T$254,1,$K$5:$K$254,"&gt;"&amp;K37)+1,"-")</f>
        <v>39</v>
      </c>
      <c r="S37" s="52" t="n">
        <f aca="false">COUNTIFS($C$5:$C$254,C37,$K$5:$K$254,"&gt;"&amp;K37)+1</f>
        <v>2</v>
      </c>
      <c r="T37" s="52" t="n">
        <f aca="false">IF(AND(OR(Dashboard!$C$7="All",D37=Dashboard!$C$7),OR(Dashboard!$C$8="All",C37=Dashboard!$C$8)),1,0)</f>
        <v>1</v>
      </c>
      <c r="U37" s="74" t="n">
        <f aca="false">IF(T37=1,K37+ROW()/1000000,-1)</f>
        <v>4.000037</v>
      </c>
      <c r="V37" s="74" t="n">
        <f aca="false">IF(AND(T37=1,E37="Production"),K37+ROW()/1000000,1000000000)</f>
        <v>4.000037</v>
      </c>
      <c r="W37" s="52" t="n">
        <f aca="false">SUMPRODUCT(MAX((Sales_Data!$F$2:$F$3520=A37)*Sales_Data!$C$2:$C$3520))</f>
        <v>46302</v>
      </c>
    </row>
    <row r="38" customFormat="false" ht="15" hidden="false" customHeight="false" outlineLevel="0" collapsed="false">
      <c r="A38" s="53" t="s">
        <v>3226</v>
      </c>
      <c r="B38" s="48" t="s">
        <v>3227</v>
      </c>
      <c r="C38" s="53" t="s">
        <v>46</v>
      </c>
      <c r="D38" s="53" t="s">
        <v>47</v>
      </c>
      <c r="E38" s="53" t="s">
        <v>146</v>
      </c>
      <c r="F38" s="53" t="s">
        <v>209</v>
      </c>
      <c r="G38" s="53" t="s">
        <v>6482</v>
      </c>
      <c r="H38" s="26" t="n">
        <f aca="false">SUMIFS(Sales_Data!$AE$2:$AE$3520,Sales_Data!$F$2:$F$3520,$A38,Sales_Data!$C$2:$C$3520,"&gt;="&amp;Dashboard!$C$5,Sales_Data!$C$2:$C$3520,"&lt;="&amp;Dashboard!$C$6)</f>
        <v>2</v>
      </c>
      <c r="I38" s="26" t="n">
        <f aca="false">SUMIFS(Sales_Data!$M$2:$M$3520,Sales_Data!$F$2:$F$3520,$A38,Sales_Data!$C$2:$C$3520,"&gt;="&amp;Dashboard!$C$5,Sales_Data!$C$2:$C$3520,"&lt;="&amp;Dashboard!$C$6,Sales_Data!$AE$2:$AE$3520,1)</f>
        <v>0</v>
      </c>
      <c r="J38" s="26" t="n">
        <f aca="false">SUMIFS(Sales_Data!$N$2:$N$3520,Sales_Data!$F$2:$F$3520,$A38,Sales_Data!$C$2:$C$3520,"&gt;="&amp;Dashboard!$C$5,Sales_Data!$C$2:$C$3520,"&lt;="&amp;Dashboard!$C$6,Sales_Data!$AE$2:$AE$3520,1)</f>
        <v>4</v>
      </c>
      <c r="K38" s="27" t="n">
        <f aca="false">SUMIFS(Sales_Data!$O$2:$O$3520,Sales_Data!$F$2:$F$3520,$A38,Sales_Data!$C$2:$C$3520,"&gt;="&amp;Dashboard!$C$5,Sales_Data!$C$2:$C$3520,"&lt;="&amp;Dashboard!$C$6,Sales_Data!$AE$2:$AE$3520,1)</f>
        <v>4</v>
      </c>
      <c r="L38" s="26" t="n">
        <f aca="false">SUMIFS(Sales_Data!$AF$2:$AF$3520,Sales_Data!$F$2:$F$3520,$A38,Sales_Data!$C$2:$C$3520,"&gt;="&amp;Dashboard!$C$5,Sales_Data!$C$2:$C$3520,"&lt;="&amp;Dashboard!$C$6)</f>
        <v>2</v>
      </c>
      <c r="M38" s="31" t="n">
        <f aca="false">IFERROR(K38/L38,0)</f>
        <v>2</v>
      </c>
      <c r="N38" s="26" t="n">
        <f aca="false">SUMIFS(Sales_Data!$O$2:$O$3520,Sales_Data!$F$2:$F$3520,$A38,Sales_Data!$C$2:$C$3520,"&gt;="&amp;Dashboard!$C$12,Sales_Data!$C$2:$C$3520,"&lt;="&amp;Dashboard!$C$13,Sales_Data!$AE$2:$AE$3520,1)</f>
        <v>3</v>
      </c>
      <c r="O38" s="28" t="n">
        <f aca="false">K38-N38</f>
        <v>1</v>
      </c>
      <c r="P38" s="54" t="n">
        <f aca="false">IF(W38=0,"-",W38)</f>
        <v>46303</v>
      </c>
      <c r="Q38" s="52" t="n">
        <f aca="false">IF(W38=0,"-",$B$2-W38)</f>
        <v>0</v>
      </c>
      <c r="R38" s="52" t="n">
        <f aca="false">IF(T38=1,COUNTIFS($T$5:$T$254,1,$K$5:$K$254,"&gt;"&amp;K38)+1,"-")</f>
        <v>39</v>
      </c>
      <c r="S38" s="52" t="n">
        <f aca="false">COUNTIFS($C$5:$C$254,C38,$K$5:$K$254,"&gt;"&amp;K38)+1</f>
        <v>2</v>
      </c>
      <c r="T38" s="52" t="n">
        <f aca="false">IF(AND(OR(Dashboard!$C$7="All",D38=Dashboard!$C$7),OR(Dashboard!$C$8="All",C38=Dashboard!$C$8)),1,0)</f>
        <v>1</v>
      </c>
      <c r="U38" s="74" t="n">
        <f aca="false">IF(T38=1,K38+ROW()/1000000,-1)</f>
        <v>4.000038</v>
      </c>
      <c r="V38" s="74" t="n">
        <f aca="false">IF(AND(T38=1,E38="Production"),K38+ROW()/1000000,1000000000)</f>
        <v>4.000038</v>
      </c>
      <c r="W38" s="52" t="n">
        <f aca="false">SUMPRODUCT(MAX((Sales_Data!$F$2:$F$3520=A38)*Sales_Data!$C$2:$C$3520))</f>
        <v>46303</v>
      </c>
    </row>
    <row r="39" customFormat="false" ht="15" hidden="false" customHeight="false" outlineLevel="0" collapsed="false">
      <c r="A39" s="53" t="s">
        <v>2144</v>
      </c>
      <c r="B39" s="48" t="s">
        <v>2145</v>
      </c>
      <c r="C39" s="53" t="s">
        <v>46</v>
      </c>
      <c r="D39" s="53" t="s">
        <v>47</v>
      </c>
      <c r="E39" s="53" t="s">
        <v>146</v>
      </c>
      <c r="F39" s="53" t="s">
        <v>209</v>
      </c>
      <c r="G39" s="53" t="s">
        <v>6482</v>
      </c>
      <c r="H39" s="26" t="n">
        <f aca="false">SUMIFS(Sales_Data!$AE$2:$AE$3520,Sales_Data!$F$2:$F$3520,$A39,Sales_Data!$C$2:$C$3520,"&gt;="&amp;Dashboard!$C$5,Sales_Data!$C$2:$C$3520,"&lt;="&amp;Dashboard!$C$6)</f>
        <v>2</v>
      </c>
      <c r="I39" s="26" t="n">
        <f aca="false">SUMIFS(Sales_Data!$M$2:$M$3520,Sales_Data!$F$2:$F$3520,$A39,Sales_Data!$C$2:$C$3520,"&gt;="&amp;Dashboard!$C$5,Sales_Data!$C$2:$C$3520,"&lt;="&amp;Dashboard!$C$6,Sales_Data!$AE$2:$AE$3520,1)</f>
        <v>0</v>
      </c>
      <c r="J39" s="26" t="n">
        <f aca="false">SUMIFS(Sales_Data!$N$2:$N$3520,Sales_Data!$F$2:$F$3520,$A39,Sales_Data!$C$2:$C$3520,"&gt;="&amp;Dashboard!$C$5,Sales_Data!$C$2:$C$3520,"&lt;="&amp;Dashboard!$C$6,Sales_Data!$AE$2:$AE$3520,1)</f>
        <v>3</v>
      </c>
      <c r="K39" s="27" t="n">
        <f aca="false">SUMIFS(Sales_Data!$O$2:$O$3520,Sales_Data!$F$2:$F$3520,$A39,Sales_Data!$C$2:$C$3520,"&gt;="&amp;Dashboard!$C$5,Sales_Data!$C$2:$C$3520,"&lt;="&amp;Dashboard!$C$6,Sales_Data!$AE$2:$AE$3520,1)</f>
        <v>3</v>
      </c>
      <c r="L39" s="26" t="n">
        <f aca="false">SUMIFS(Sales_Data!$AF$2:$AF$3520,Sales_Data!$F$2:$F$3520,$A39,Sales_Data!$C$2:$C$3520,"&gt;="&amp;Dashboard!$C$5,Sales_Data!$C$2:$C$3520,"&lt;="&amp;Dashboard!$C$6)</f>
        <v>2</v>
      </c>
      <c r="M39" s="31" t="n">
        <f aca="false">IFERROR(K39/L39,0)</f>
        <v>1.5</v>
      </c>
      <c r="N39" s="26" t="n">
        <f aca="false">SUMIFS(Sales_Data!$O$2:$O$3520,Sales_Data!$F$2:$F$3520,$A39,Sales_Data!$C$2:$C$3520,"&gt;="&amp;Dashboard!$C$12,Sales_Data!$C$2:$C$3520,"&lt;="&amp;Dashboard!$C$13,Sales_Data!$AE$2:$AE$3520,1)</f>
        <v>0</v>
      </c>
      <c r="O39" s="28" t="n">
        <f aca="false">K39-N39</f>
        <v>3</v>
      </c>
      <c r="P39" s="54" t="n">
        <f aca="false">IF(W39=0,"-",W39)</f>
        <v>46303</v>
      </c>
      <c r="Q39" s="52" t="n">
        <f aca="false">IF(W39=0,"-",$B$2-W39)</f>
        <v>0</v>
      </c>
      <c r="R39" s="52" t="n">
        <f aca="false">IF(T39=1,COUNTIFS($T$5:$T$254,1,$K$5:$K$254,"&gt;"&amp;K39)+1,"-")</f>
        <v>59</v>
      </c>
      <c r="S39" s="52" t="n">
        <f aca="false">COUNTIFS($C$5:$C$254,C39,$K$5:$K$254,"&gt;"&amp;K39)+1</f>
        <v>6</v>
      </c>
      <c r="T39" s="52" t="n">
        <f aca="false">IF(AND(OR(Dashboard!$C$7="All",D39=Dashboard!$C$7),OR(Dashboard!$C$8="All",C39=Dashboard!$C$8)),1,0)</f>
        <v>1</v>
      </c>
      <c r="U39" s="74" t="n">
        <f aca="false">IF(T39=1,K39+ROW()/1000000,-1)</f>
        <v>3.000039</v>
      </c>
      <c r="V39" s="74" t="n">
        <f aca="false">IF(AND(T39=1,E39="Production"),K39+ROW()/1000000,1000000000)</f>
        <v>3.000039</v>
      </c>
      <c r="W39" s="52" t="n">
        <f aca="false">SUMPRODUCT(MAX((Sales_Data!$F$2:$F$3520=A39)*Sales_Data!$C$2:$C$3520))</f>
        <v>46303</v>
      </c>
    </row>
    <row r="40" customFormat="false" ht="15" hidden="false" customHeight="false" outlineLevel="0" collapsed="false">
      <c r="A40" s="53" t="s">
        <v>6150</v>
      </c>
      <c r="B40" s="48" t="s">
        <v>6151</v>
      </c>
      <c r="C40" s="53" t="s">
        <v>46</v>
      </c>
      <c r="D40" s="53" t="s">
        <v>47</v>
      </c>
      <c r="E40" s="53" t="s">
        <v>146</v>
      </c>
      <c r="F40" s="53" t="s">
        <v>209</v>
      </c>
      <c r="G40" s="53" t="s">
        <v>6482</v>
      </c>
      <c r="H40" s="26" t="n">
        <f aca="false">SUMIFS(Sales_Data!$AE$2:$AE$3520,Sales_Data!$F$2:$F$3520,$A40,Sales_Data!$C$2:$C$3520,"&gt;="&amp;Dashboard!$C$5,Sales_Data!$C$2:$C$3520,"&lt;="&amp;Dashboard!$C$6)</f>
        <v>2</v>
      </c>
      <c r="I40" s="26" t="n">
        <f aca="false">SUMIFS(Sales_Data!$M$2:$M$3520,Sales_Data!$F$2:$F$3520,$A40,Sales_Data!$C$2:$C$3520,"&gt;="&amp;Dashboard!$C$5,Sales_Data!$C$2:$C$3520,"&lt;="&amp;Dashboard!$C$6,Sales_Data!$AE$2:$AE$3520,1)</f>
        <v>0</v>
      </c>
      <c r="J40" s="26" t="n">
        <f aca="false">SUMIFS(Sales_Data!$N$2:$N$3520,Sales_Data!$F$2:$F$3520,$A40,Sales_Data!$C$2:$C$3520,"&gt;="&amp;Dashboard!$C$5,Sales_Data!$C$2:$C$3520,"&lt;="&amp;Dashboard!$C$6,Sales_Data!$AE$2:$AE$3520,1)</f>
        <v>3</v>
      </c>
      <c r="K40" s="27" t="n">
        <f aca="false">SUMIFS(Sales_Data!$O$2:$O$3520,Sales_Data!$F$2:$F$3520,$A40,Sales_Data!$C$2:$C$3520,"&gt;="&amp;Dashboard!$C$5,Sales_Data!$C$2:$C$3520,"&lt;="&amp;Dashboard!$C$6,Sales_Data!$AE$2:$AE$3520,1)</f>
        <v>3</v>
      </c>
      <c r="L40" s="26" t="n">
        <f aca="false">SUMIFS(Sales_Data!$AF$2:$AF$3520,Sales_Data!$F$2:$F$3520,$A40,Sales_Data!$C$2:$C$3520,"&gt;="&amp;Dashboard!$C$5,Sales_Data!$C$2:$C$3520,"&lt;="&amp;Dashboard!$C$6)</f>
        <v>1</v>
      </c>
      <c r="M40" s="31" t="n">
        <f aca="false">IFERROR(K40/L40,0)</f>
        <v>3</v>
      </c>
      <c r="N40" s="26" t="n">
        <f aca="false">SUMIFS(Sales_Data!$O$2:$O$3520,Sales_Data!$F$2:$F$3520,$A40,Sales_Data!$C$2:$C$3520,"&gt;="&amp;Dashboard!$C$12,Sales_Data!$C$2:$C$3520,"&lt;="&amp;Dashboard!$C$13,Sales_Data!$AE$2:$AE$3520,1)</f>
        <v>0</v>
      </c>
      <c r="O40" s="28" t="n">
        <f aca="false">K40-N40</f>
        <v>3</v>
      </c>
      <c r="P40" s="54" t="n">
        <f aca="false">IF(W40=0,"-",W40)</f>
        <v>46302</v>
      </c>
      <c r="Q40" s="52" t="n">
        <f aca="false">IF(W40=0,"-",$B$2-W40)</f>
        <v>1</v>
      </c>
      <c r="R40" s="52" t="n">
        <f aca="false">IF(T40=1,COUNTIFS($T$5:$T$254,1,$K$5:$K$254,"&gt;"&amp;K40)+1,"-")</f>
        <v>59</v>
      </c>
      <c r="S40" s="52" t="n">
        <f aca="false">COUNTIFS($C$5:$C$254,C40,$K$5:$K$254,"&gt;"&amp;K40)+1</f>
        <v>6</v>
      </c>
      <c r="T40" s="52" t="n">
        <f aca="false">IF(AND(OR(Dashboard!$C$7="All",D40=Dashboard!$C$7),OR(Dashboard!$C$8="All",C40=Dashboard!$C$8)),1,0)</f>
        <v>1</v>
      </c>
      <c r="U40" s="74" t="n">
        <f aca="false">IF(T40=1,K40+ROW()/1000000,-1)</f>
        <v>3.00004</v>
      </c>
      <c r="V40" s="74" t="n">
        <f aca="false">IF(AND(T40=1,E40="Production"),K40+ROW()/1000000,1000000000)</f>
        <v>3.00004</v>
      </c>
      <c r="W40" s="52" t="n">
        <f aca="false">SUMPRODUCT(MAX((Sales_Data!$F$2:$F$3520=A40)*Sales_Data!$C$2:$C$3520))</f>
        <v>46302</v>
      </c>
    </row>
    <row r="41" customFormat="false" ht="15" hidden="false" customHeight="false" outlineLevel="0" collapsed="false">
      <c r="A41" s="53" t="s">
        <v>2050</v>
      </c>
      <c r="B41" s="48" t="s">
        <v>2051</v>
      </c>
      <c r="C41" s="53" t="s">
        <v>46</v>
      </c>
      <c r="D41" s="53" t="s">
        <v>47</v>
      </c>
      <c r="E41" s="53" t="s">
        <v>146</v>
      </c>
      <c r="F41" s="53" t="s">
        <v>209</v>
      </c>
      <c r="G41" s="53" t="s">
        <v>6482</v>
      </c>
      <c r="H41" s="26" t="n">
        <f aca="false">SUMIFS(Sales_Data!$AE$2:$AE$3520,Sales_Data!$F$2:$F$3520,$A41,Sales_Data!$C$2:$C$3520,"&gt;="&amp;Dashboard!$C$5,Sales_Data!$C$2:$C$3520,"&lt;="&amp;Dashboard!$C$6)</f>
        <v>0</v>
      </c>
      <c r="I41" s="26" t="n">
        <f aca="false">SUMIFS(Sales_Data!$M$2:$M$3520,Sales_Data!$F$2:$F$3520,$A41,Sales_Data!$C$2:$C$3520,"&gt;="&amp;Dashboard!$C$5,Sales_Data!$C$2:$C$3520,"&lt;="&amp;Dashboard!$C$6,Sales_Data!$AE$2:$AE$3520,1)</f>
        <v>0</v>
      </c>
      <c r="J41" s="26" t="n">
        <f aca="false">SUMIFS(Sales_Data!$N$2:$N$3520,Sales_Data!$F$2:$F$3520,$A41,Sales_Data!$C$2:$C$3520,"&gt;="&amp;Dashboard!$C$5,Sales_Data!$C$2:$C$3520,"&lt;="&amp;Dashboard!$C$6,Sales_Data!$AE$2:$AE$3520,1)</f>
        <v>0</v>
      </c>
      <c r="K41" s="27" t="n">
        <f aca="false">SUMIFS(Sales_Data!$O$2:$O$3520,Sales_Data!$F$2:$F$3520,$A41,Sales_Data!$C$2:$C$3520,"&gt;="&amp;Dashboard!$C$5,Sales_Data!$C$2:$C$3520,"&lt;="&amp;Dashboard!$C$6,Sales_Data!$AE$2:$AE$3520,1)</f>
        <v>0</v>
      </c>
      <c r="L41" s="26" t="n">
        <f aca="false">SUMIFS(Sales_Data!$AF$2:$AF$3520,Sales_Data!$F$2:$F$3520,$A41,Sales_Data!$C$2:$C$3520,"&gt;="&amp;Dashboard!$C$5,Sales_Data!$C$2:$C$3520,"&lt;="&amp;Dashboard!$C$6)</f>
        <v>0</v>
      </c>
      <c r="M41" s="31" t="n">
        <f aca="false">IFERROR(K41/L41,0)</f>
        <v>0</v>
      </c>
      <c r="N41" s="26" t="n">
        <f aca="false">SUMIFS(Sales_Data!$O$2:$O$3520,Sales_Data!$F$2:$F$3520,$A41,Sales_Data!$C$2:$C$3520,"&gt;="&amp;Dashboard!$C$12,Sales_Data!$C$2:$C$3520,"&lt;="&amp;Dashboard!$C$13,Sales_Data!$AE$2:$AE$3520,1)</f>
        <v>3</v>
      </c>
      <c r="O41" s="28" t="n">
        <f aca="false">K41-N41</f>
        <v>-3</v>
      </c>
      <c r="P41" s="54" t="n">
        <f aca="false">IF(W41=0,"-",W41)</f>
        <v>46292</v>
      </c>
      <c r="Q41" s="52" t="n">
        <f aca="false">IF(W41=0,"-",$B$2-W41)</f>
        <v>11</v>
      </c>
      <c r="R41" s="52" t="n">
        <f aca="false">IF(T41=1,COUNTIFS($T$5:$T$254,1,$K$5:$K$254,"&gt;"&amp;K41)+1,"-")</f>
        <v>139</v>
      </c>
      <c r="S41" s="52" t="n">
        <f aca="false">COUNTIFS($C$5:$C$254,C41,$K$5:$K$254,"&gt;"&amp;K41)+1</f>
        <v>14</v>
      </c>
      <c r="T41" s="52" t="n">
        <f aca="false">IF(AND(OR(Dashboard!$C$7="All",D41=Dashboard!$C$7),OR(Dashboard!$C$8="All",C41=Dashboard!$C$8)),1,0)</f>
        <v>1</v>
      </c>
      <c r="U41" s="74" t="n">
        <f aca="false">IF(T41=1,K41+ROW()/1000000,-1)</f>
        <v>4.1E-005</v>
      </c>
      <c r="V41" s="74" t="n">
        <f aca="false">IF(AND(T41=1,E41="Production"),K41+ROW()/1000000,1000000000)</f>
        <v>4.1E-005</v>
      </c>
      <c r="W41" s="52" t="n">
        <f aca="false">SUMPRODUCT(MAX((Sales_Data!$F$2:$F$3520=A41)*Sales_Data!$C$2:$C$3520))</f>
        <v>46292</v>
      </c>
    </row>
    <row r="42" customFormat="false" ht="15" hidden="false" customHeight="false" outlineLevel="0" collapsed="false">
      <c r="A42" s="53" t="s">
        <v>1005</v>
      </c>
      <c r="B42" s="48" t="s">
        <v>1006</v>
      </c>
      <c r="C42" s="53" t="s">
        <v>46</v>
      </c>
      <c r="D42" s="53" t="s">
        <v>47</v>
      </c>
      <c r="E42" s="53" t="s">
        <v>146</v>
      </c>
      <c r="F42" s="53" t="s">
        <v>209</v>
      </c>
      <c r="G42" s="53" t="s">
        <v>6482</v>
      </c>
      <c r="H42" s="26" t="n">
        <f aca="false">SUMIFS(Sales_Data!$AE$2:$AE$3520,Sales_Data!$F$2:$F$3520,$A42,Sales_Data!$C$2:$C$3520,"&gt;="&amp;Dashboard!$C$5,Sales_Data!$C$2:$C$3520,"&lt;="&amp;Dashboard!$C$6)</f>
        <v>3</v>
      </c>
      <c r="I42" s="26" t="n">
        <f aca="false">SUMIFS(Sales_Data!$M$2:$M$3520,Sales_Data!$F$2:$F$3520,$A42,Sales_Data!$C$2:$C$3520,"&gt;="&amp;Dashboard!$C$5,Sales_Data!$C$2:$C$3520,"&lt;="&amp;Dashboard!$C$6,Sales_Data!$AE$2:$AE$3520,1)</f>
        <v>1</v>
      </c>
      <c r="J42" s="26" t="n">
        <f aca="false">SUMIFS(Sales_Data!$N$2:$N$3520,Sales_Data!$F$2:$F$3520,$A42,Sales_Data!$C$2:$C$3520,"&gt;="&amp;Dashboard!$C$5,Sales_Data!$C$2:$C$3520,"&lt;="&amp;Dashboard!$C$6,Sales_Data!$AE$2:$AE$3520,1)</f>
        <v>3</v>
      </c>
      <c r="K42" s="27" t="n">
        <f aca="false">SUMIFS(Sales_Data!$O$2:$O$3520,Sales_Data!$F$2:$F$3520,$A42,Sales_Data!$C$2:$C$3520,"&gt;="&amp;Dashboard!$C$5,Sales_Data!$C$2:$C$3520,"&lt;="&amp;Dashboard!$C$6,Sales_Data!$AE$2:$AE$3520,1)</f>
        <v>4</v>
      </c>
      <c r="L42" s="26" t="n">
        <f aca="false">SUMIFS(Sales_Data!$AF$2:$AF$3520,Sales_Data!$F$2:$F$3520,$A42,Sales_Data!$C$2:$C$3520,"&gt;="&amp;Dashboard!$C$5,Sales_Data!$C$2:$C$3520,"&lt;="&amp;Dashboard!$C$6)</f>
        <v>2</v>
      </c>
      <c r="M42" s="31" t="n">
        <f aca="false">IFERROR(K42/L42,0)</f>
        <v>2</v>
      </c>
      <c r="N42" s="26" t="n">
        <f aca="false">SUMIFS(Sales_Data!$O$2:$O$3520,Sales_Data!$F$2:$F$3520,$A42,Sales_Data!$C$2:$C$3520,"&gt;="&amp;Dashboard!$C$12,Sales_Data!$C$2:$C$3520,"&lt;="&amp;Dashboard!$C$13,Sales_Data!$AE$2:$AE$3520,1)</f>
        <v>12</v>
      </c>
      <c r="O42" s="28" t="n">
        <f aca="false">K42-N42</f>
        <v>-8</v>
      </c>
      <c r="P42" s="54" t="n">
        <f aca="false">IF(W42=0,"-",W42)</f>
        <v>46299</v>
      </c>
      <c r="Q42" s="52" t="n">
        <f aca="false">IF(W42=0,"-",$B$2-W42)</f>
        <v>4</v>
      </c>
      <c r="R42" s="52" t="n">
        <f aca="false">IF(T42=1,COUNTIFS($T$5:$T$254,1,$K$5:$K$254,"&gt;"&amp;K42)+1,"-")</f>
        <v>39</v>
      </c>
      <c r="S42" s="52" t="n">
        <f aca="false">COUNTIFS($C$5:$C$254,C42,$K$5:$K$254,"&gt;"&amp;K42)+1</f>
        <v>2</v>
      </c>
      <c r="T42" s="52" t="n">
        <f aca="false">IF(AND(OR(Dashboard!$C$7="All",D42=Dashboard!$C$7),OR(Dashboard!$C$8="All",C42=Dashboard!$C$8)),1,0)</f>
        <v>1</v>
      </c>
      <c r="U42" s="74" t="n">
        <f aca="false">IF(T42=1,K42+ROW()/1000000,-1)</f>
        <v>4.000042</v>
      </c>
      <c r="V42" s="74" t="n">
        <f aca="false">IF(AND(T42=1,E42="Production"),K42+ROW()/1000000,1000000000)</f>
        <v>4.000042</v>
      </c>
      <c r="W42" s="52" t="n">
        <f aca="false">SUMPRODUCT(MAX((Sales_Data!$F$2:$F$3520=A42)*Sales_Data!$C$2:$C$3520))</f>
        <v>46299</v>
      </c>
    </row>
    <row r="43" customFormat="false" ht="15" hidden="false" customHeight="false" outlineLevel="0" collapsed="false">
      <c r="A43" s="53" t="s">
        <v>3426</v>
      </c>
      <c r="B43" s="48" t="s">
        <v>3427</v>
      </c>
      <c r="C43" s="53" t="s">
        <v>46</v>
      </c>
      <c r="D43" s="53" t="s">
        <v>47</v>
      </c>
      <c r="E43" s="53" t="s">
        <v>146</v>
      </c>
      <c r="F43" s="53" t="s">
        <v>147</v>
      </c>
      <c r="G43" s="53" t="s">
        <v>6492</v>
      </c>
      <c r="H43" s="26" t="n">
        <f aca="false">SUMIFS(Sales_Data!$AE$2:$AE$3520,Sales_Data!$F$2:$F$3520,$A43,Sales_Data!$C$2:$C$3520,"&gt;="&amp;Dashboard!$C$5,Sales_Data!$C$2:$C$3520,"&lt;="&amp;Dashboard!$C$6)</f>
        <v>1</v>
      </c>
      <c r="I43" s="26" t="n">
        <f aca="false">SUMIFS(Sales_Data!$M$2:$M$3520,Sales_Data!$F$2:$F$3520,$A43,Sales_Data!$C$2:$C$3520,"&gt;="&amp;Dashboard!$C$5,Sales_Data!$C$2:$C$3520,"&lt;="&amp;Dashboard!$C$6,Sales_Data!$AE$2:$AE$3520,1)</f>
        <v>1</v>
      </c>
      <c r="J43" s="26" t="n">
        <f aca="false">SUMIFS(Sales_Data!$N$2:$N$3520,Sales_Data!$F$2:$F$3520,$A43,Sales_Data!$C$2:$C$3520,"&gt;="&amp;Dashboard!$C$5,Sales_Data!$C$2:$C$3520,"&lt;="&amp;Dashboard!$C$6,Sales_Data!$AE$2:$AE$3520,1)</f>
        <v>0</v>
      </c>
      <c r="K43" s="27" t="n">
        <f aca="false">SUMIFS(Sales_Data!$O$2:$O$3520,Sales_Data!$F$2:$F$3520,$A43,Sales_Data!$C$2:$C$3520,"&gt;="&amp;Dashboard!$C$5,Sales_Data!$C$2:$C$3520,"&lt;="&amp;Dashboard!$C$6,Sales_Data!$AE$2:$AE$3520,1)</f>
        <v>1</v>
      </c>
      <c r="L43" s="26" t="n">
        <f aca="false">SUMIFS(Sales_Data!$AF$2:$AF$3520,Sales_Data!$F$2:$F$3520,$A43,Sales_Data!$C$2:$C$3520,"&gt;="&amp;Dashboard!$C$5,Sales_Data!$C$2:$C$3520,"&lt;="&amp;Dashboard!$C$6)</f>
        <v>1</v>
      </c>
      <c r="M43" s="31" t="n">
        <f aca="false">IFERROR(K43/L43,0)</f>
        <v>1</v>
      </c>
      <c r="N43" s="26" t="n">
        <f aca="false">SUMIFS(Sales_Data!$O$2:$O$3520,Sales_Data!$F$2:$F$3520,$A43,Sales_Data!$C$2:$C$3520,"&gt;="&amp;Dashboard!$C$12,Sales_Data!$C$2:$C$3520,"&lt;="&amp;Dashboard!$C$13,Sales_Data!$AE$2:$AE$3520,1)</f>
        <v>0</v>
      </c>
      <c r="O43" s="28" t="n">
        <f aca="false">K43-N43</f>
        <v>1</v>
      </c>
      <c r="P43" s="54" t="n">
        <f aca="false">IF(W43=0,"-",W43)</f>
        <v>46303</v>
      </c>
      <c r="Q43" s="52" t="n">
        <f aca="false">IF(W43=0,"-",$B$2-W43)</f>
        <v>0</v>
      </c>
      <c r="R43" s="52" t="n">
        <f aca="false">IF(T43=1,COUNTIFS($T$5:$T$254,1,$K$5:$K$254,"&gt;"&amp;K43)+1,"-")</f>
        <v>105</v>
      </c>
      <c r="S43" s="52" t="n">
        <f aca="false">COUNTIFS($C$5:$C$254,C43,$K$5:$K$254,"&gt;"&amp;K43)+1</f>
        <v>11</v>
      </c>
      <c r="T43" s="52" t="n">
        <f aca="false">IF(AND(OR(Dashboard!$C$7="All",D43=Dashboard!$C$7),OR(Dashboard!$C$8="All",C43=Dashboard!$C$8)),1,0)</f>
        <v>1</v>
      </c>
      <c r="U43" s="74" t="n">
        <f aca="false">IF(T43=1,K43+ROW()/1000000,-1)</f>
        <v>1.000043</v>
      </c>
      <c r="V43" s="74" t="n">
        <f aca="false">IF(AND(T43=1,E43="Production"),K43+ROW()/1000000,1000000000)</f>
        <v>1.000043</v>
      </c>
      <c r="W43" s="52" t="n">
        <f aca="false">SUMPRODUCT(MAX((Sales_Data!$F$2:$F$3520=A43)*Sales_Data!$C$2:$C$3520))</f>
        <v>46303</v>
      </c>
    </row>
    <row r="44" customFormat="false" ht="15" hidden="false" customHeight="false" outlineLevel="0" collapsed="false">
      <c r="A44" s="53" t="s">
        <v>2943</v>
      </c>
      <c r="B44" s="48" t="s">
        <v>2944</v>
      </c>
      <c r="C44" s="53" t="s">
        <v>48</v>
      </c>
      <c r="D44" s="53" t="s">
        <v>49</v>
      </c>
      <c r="E44" s="53" t="s">
        <v>146</v>
      </c>
      <c r="F44" s="53" t="s">
        <v>209</v>
      </c>
      <c r="G44" s="53" t="s">
        <v>6500</v>
      </c>
      <c r="H44" s="26" t="n">
        <f aca="false">SUMIFS(Sales_Data!$AE$2:$AE$3520,Sales_Data!$F$2:$F$3520,$A44,Sales_Data!$C$2:$C$3520,"&gt;="&amp;Dashboard!$C$5,Sales_Data!$C$2:$C$3520,"&lt;="&amp;Dashboard!$C$6)</f>
        <v>2</v>
      </c>
      <c r="I44" s="26" t="n">
        <f aca="false">SUMIFS(Sales_Data!$M$2:$M$3520,Sales_Data!$F$2:$F$3520,$A44,Sales_Data!$C$2:$C$3520,"&gt;="&amp;Dashboard!$C$5,Sales_Data!$C$2:$C$3520,"&lt;="&amp;Dashboard!$C$6,Sales_Data!$AE$2:$AE$3520,1)</f>
        <v>0</v>
      </c>
      <c r="J44" s="26" t="n">
        <f aca="false">SUMIFS(Sales_Data!$N$2:$N$3520,Sales_Data!$F$2:$F$3520,$A44,Sales_Data!$C$2:$C$3520,"&gt;="&amp;Dashboard!$C$5,Sales_Data!$C$2:$C$3520,"&lt;="&amp;Dashboard!$C$6,Sales_Data!$AE$2:$AE$3520,1)</f>
        <v>2</v>
      </c>
      <c r="K44" s="27" t="n">
        <f aca="false">SUMIFS(Sales_Data!$O$2:$O$3520,Sales_Data!$F$2:$F$3520,$A44,Sales_Data!$C$2:$C$3520,"&gt;="&amp;Dashboard!$C$5,Sales_Data!$C$2:$C$3520,"&lt;="&amp;Dashboard!$C$6,Sales_Data!$AE$2:$AE$3520,1)</f>
        <v>2</v>
      </c>
      <c r="L44" s="26" t="n">
        <f aca="false">SUMIFS(Sales_Data!$AF$2:$AF$3520,Sales_Data!$F$2:$F$3520,$A44,Sales_Data!$C$2:$C$3520,"&gt;="&amp;Dashboard!$C$5,Sales_Data!$C$2:$C$3520,"&lt;="&amp;Dashboard!$C$6)</f>
        <v>2</v>
      </c>
      <c r="M44" s="31" t="n">
        <f aca="false">IFERROR(K44/L44,0)</f>
        <v>1</v>
      </c>
      <c r="N44" s="26" t="n">
        <f aca="false">SUMIFS(Sales_Data!$O$2:$O$3520,Sales_Data!$F$2:$F$3520,$A44,Sales_Data!$C$2:$C$3520,"&gt;="&amp;Dashboard!$C$12,Sales_Data!$C$2:$C$3520,"&lt;="&amp;Dashboard!$C$13,Sales_Data!$AE$2:$AE$3520,1)</f>
        <v>3</v>
      </c>
      <c r="O44" s="28" t="n">
        <f aca="false">K44-N44</f>
        <v>-1</v>
      </c>
      <c r="P44" s="54" t="n">
        <f aca="false">IF(W44=0,"-",W44)</f>
        <v>46303</v>
      </c>
      <c r="Q44" s="52" t="n">
        <f aca="false">IF(W44=0,"-",$B$2-W44)</f>
        <v>0</v>
      </c>
      <c r="R44" s="52" t="n">
        <f aca="false">IF(T44=1,COUNTIFS($T$5:$T$254,1,$K$5:$K$254,"&gt;"&amp;K44)+1,"-")</f>
        <v>84</v>
      </c>
      <c r="S44" s="52" t="n">
        <f aca="false">COUNTIFS($C$5:$C$254,C44,$K$5:$K$254,"&gt;"&amp;K44)+1</f>
        <v>4</v>
      </c>
      <c r="T44" s="52" t="n">
        <f aca="false">IF(AND(OR(Dashboard!$C$7="All",D44=Dashboard!$C$7),OR(Dashboard!$C$8="All",C44=Dashboard!$C$8)),1,0)</f>
        <v>1</v>
      </c>
      <c r="U44" s="74" t="n">
        <f aca="false">IF(T44=1,K44+ROW()/1000000,-1)</f>
        <v>2.000044</v>
      </c>
      <c r="V44" s="74" t="n">
        <f aca="false">IF(AND(T44=1,E44="Production"),K44+ROW()/1000000,1000000000)</f>
        <v>2.000044</v>
      </c>
      <c r="W44" s="52" t="n">
        <f aca="false">SUMPRODUCT(MAX((Sales_Data!$F$2:$F$3520=A44)*Sales_Data!$C$2:$C$3520))</f>
        <v>46303</v>
      </c>
    </row>
    <row r="45" customFormat="false" ht="15" hidden="false" customHeight="false" outlineLevel="0" collapsed="false">
      <c r="A45" s="53" t="s">
        <v>4016</v>
      </c>
      <c r="B45" s="48" t="s">
        <v>4017</v>
      </c>
      <c r="C45" s="53" t="s">
        <v>48</v>
      </c>
      <c r="D45" s="53" t="s">
        <v>49</v>
      </c>
      <c r="E45" s="53" t="s">
        <v>146</v>
      </c>
      <c r="F45" s="53" t="s">
        <v>209</v>
      </c>
      <c r="G45" s="53" t="s">
        <v>6500</v>
      </c>
      <c r="H45" s="26" t="n">
        <f aca="false">SUMIFS(Sales_Data!$AE$2:$AE$3520,Sales_Data!$F$2:$F$3520,$A45,Sales_Data!$C$2:$C$3520,"&gt;="&amp;Dashboard!$C$5,Sales_Data!$C$2:$C$3520,"&lt;="&amp;Dashboard!$C$6)</f>
        <v>1</v>
      </c>
      <c r="I45" s="26" t="n">
        <f aca="false">SUMIFS(Sales_Data!$M$2:$M$3520,Sales_Data!$F$2:$F$3520,$A45,Sales_Data!$C$2:$C$3520,"&gt;="&amp;Dashboard!$C$5,Sales_Data!$C$2:$C$3520,"&lt;="&amp;Dashboard!$C$6,Sales_Data!$AE$2:$AE$3520,1)</f>
        <v>1</v>
      </c>
      <c r="J45" s="26" t="n">
        <f aca="false">SUMIFS(Sales_Data!$N$2:$N$3520,Sales_Data!$F$2:$F$3520,$A45,Sales_Data!$C$2:$C$3520,"&gt;="&amp;Dashboard!$C$5,Sales_Data!$C$2:$C$3520,"&lt;="&amp;Dashboard!$C$6,Sales_Data!$AE$2:$AE$3520,1)</f>
        <v>0</v>
      </c>
      <c r="K45" s="27" t="n">
        <f aca="false">SUMIFS(Sales_Data!$O$2:$O$3520,Sales_Data!$F$2:$F$3520,$A45,Sales_Data!$C$2:$C$3520,"&gt;="&amp;Dashboard!$C$5,Sales_Data!$C$2:$C$3520,"&lt;="&amp;Dashboard!$C$6,Sales_Data!$AE$2:$AE$3520,1)</f>
        <v>1</v>
      </c>
      <c r="L45" s="26" t="n">
        <f aca="false">SUMIFS(Sales_Data!$AF$2:$AF$3520,Sales_Data!$F$2:$F$3520,$A45,Sales_Data!$C$2:$C$3520,"&gt;="&amp;Dashboard!$C$5,Sales_Data!$C$2:$C$3520,"&lt;="&amp;Dashboard!$C$6)</f>
        <v>1</v>
      </c>
      <c r="M45" s="31" t="n">
        <f aca="false">IFERROR(K45/L45,0)</f>
        <v>1</v>
      </c>
      <c r="N45" s="26" t="n">
        <f aca="false">SUMIFS(Sales_Data!$O$2:$O$3520,Sales_Data!$F$2:$F$3520,$A45,Sales_Data!$C$2:$C$3520,"&gt;="&amp;Dashboard!$C$12,Sales_Data!$C$2:$C$3520,"&lt;="&amp;Dashboard!$C$13,Sales_Data!$AE$2:$AE$3520,1)</f>
        <v>0</v>
      </c>
      <c r="O45" s="28" t="n">
        <f aca="false">K45-N45</f>
        <v>1</v>
      </c>
      <c r="P45" s="54" t="n">
        <f aca="false">IF(W45=0,"-",W45)</f>
        <v>46298</v>
      </c>
      <c r="Q45" s="52" t="n">
        <f aca="false">IF(W45=0,"-",$B$2-W45)</f>
        <v>5</v>
      </c>
      <c r="R45" s="52" t="n">
        <f aca="false">IF(T45=1,COUNTIFS($T$5:$T$254,1,$K$5:$K$254,"&gt;"&amp;K45)+1,"-")</f>
        <v>105</v>
      </c>
      <c r="S45" s="52" t="n">
        <f aca="false">COUNTIFS($C$5:$C$254,C45,$K$5:$K$254,"&gt;"&amp;K45)+1</f>
        <v>6</v>
      </c>
      <c r="T45" s="52" t="n">
        <f aca="false">IF(AND(OR(Dashboard!$C$7="All",D45=Dashboard!$C$7),OR(Dashboard!$C$8="All",C45=Dashboard!$C$8)),1,0)</f>
        <v>1</v>
      </c>
      <c r="U45" s="74" t="n">
        <f aca="false">IF(T45=1,K45+ROW()/1000000,-1)</f>
        <v>1.000045</v>
      </c>
      <c r="V45" s="74" t="n">
        <f aca="false">IF(AND(T45=1,E45="Production"),K45+ROW()/1000000,1000000000)</f>
        <v>1.000045</v>
      </c>
      <c r="W45" s="52" t="n">
        <f aca="false">SUMPRODUCT(MAX((Sales_Data!$F$2:$F$3520=A45)*Sales_Data!$C$2:$C$3520))</f>
        <v>46298</v>
      </c>
    </row>
    <row r="46" customFormat="false" ht="15" hidden="false" customHeight="false" outlineLevel="0" collapsed="false">
      <c r="A46" s="53" t="s">
        <v>2540</v>
      </c>
      <c r="B46" s="48" t="s">
        <v>2541</v>
      </c>
      <c r="C46" s="53" t="s">
        <v>48</v>
      </c>
      <c r="D46" s="53" t="s">
        <v>49</v>
      </c>
      <c r="E46" s="53" t="s">
        <v>146</v>
      </c>
      <c r="F46" s="53" t="s">
        <v>209</v>
      </c>
      <c r="G46" s="53" t="s">
        <v>6500</v>
      </c>
      <c r="H46" s="26" t="n">
        <f aca="false">SUMIFS(Sales_Data!$AE$2:$AE$3520,Sales_Data!$F$2:$F$3520,$A46,Sales_Data!$C$2:$C$3520,"&gt;="&amp;Dashboard!$C$5,Sales_Data!$C$2:$C$3520,"&lt;="&amp;Dashboard!$C$6)</f>
        <v>4</v>
      </c>
      <c r="I46" s="26" t="n">
        <f aca="false">SUMIFS(Sales_Data!$M$2:$M$3520,Sales_Data!$F$2:$F$3520,$A46,Sales_Data!$C$2:$C$3520,"&gt;="&amp;Dashboard!$C$5,Sales_Data!$C$2:$C$3520,"&lt;="&amp;Dashboard!$C$6,Sales_Data!$AE$2:$AE$3520,1)</f>
        <v>0</v>
      </c>
      <c r="J46" s="26" t="n">
        <f aca="false">SUMIFS(Sales_Data!$N$2:$N$3520,Sales_Data!$F$2:$F$3520,$A46,Sales_Data!$C$2:$C$3520,"&gt;="&amp;Dashboard!$C$5,Sales_Data!$C$2:$C$3520,"&lt;="&amp;Dashboard!$C$6,Sales_Data!$AE$2:$AE$3520,1)</f>
        <v>4</v>
      </c>
      <c r="K46" s="27" t="n">
        <f aca="false">SUMIFS(Sales_Data!$O$2:$O$3520,Sales_Data!$F$2:$F$3520,$A46,Sales_Data!$C$2:$C$3520,"&gt;="&amp;Dashboard!$C$5,Sales_Data!$C$2:$C$3520,"&lt;="&amp;Dashboard!$C$6,Sales_Data!$AE$2:$AE$3520,1)</f>
        <v>4</v>
      </c>
      <c r="L46" s="26" t="n">
        <f aca="false">SUMIFS(Sales_Data!$AF$2:$AF$3520,Sales_Data!$F$2:$F$3520,$A46,Sales_Data!$C$2:$C$3520,"&gt;="&amp;Dashboard!$C$5,Sales_Data!$C$2:$C$3520,"&lt;="&amp;Dashboard!$C$6)</f>
        <v>3</v>
      </c>
      <c r="M46" s="31" t="n">
        <f aca="false">IFERROR(K46/L46,0)</f>
        <v>1.33333333333333</v>
      </c>
      <c r="N46" s="26" t="n">
        <f aca="false">SUMIFS(Sales_Data!$O$2:$O$3520,Sales_Data!$F$2:$F$3520,$A46,Sales_Data!$C$2:$C$3520,"&gt;="&amp;Dashboard!$C$12,Sales_Data!$C$2:$C$3520,"&lt;="&amp;Dashboard!$C$13,Sales_Data!$AE$2:$AE$3520,1)</f>
        <v>2</v>
      </c>
      <c r="O46" s="28" t="n">
        <f aca="false">K46-N46</f>
        <v>2</v>
      </c>
      <c r="P46" s="54" t="n">
        <f aca="false">IF(W46=0,"-",W46)</f>
        <v>46302</v>
      </c>
      <c r="Q46" s="52" t="n">
        <f aca="false">IF(W46=0,"-",$B$2-W46)</f>
        <v>1</v>
      </c>
      <c r="R46" s="52" t="n">
        <f aca="false">IF(T46=1,COUNTIFS($T$5:$T$254,1,$K$5:$K$254,"&gt;"&amp;K46)+1,"-")</f>
        <v>39</v>
      </c>
      <c r="S46" s="52" t="n">
        <f aca="false">COUNTIFS($C$5:$C$254,C46,$K$5:$K$254,"&gt;"&amp;K46)+1</f>
        <v>3</v>
      </c>
      <c r="T46" s="52" t="n">
        <f aca="false">IF(AND(OR(Dashboard!$C$7="All",D46=Dashboard!$C$7),OR(Dashboard!$C$8="All",C46=Dashboard!$C$8)),1,0)</f>
        <v>1</v>
      </c>
      <c r="U46" s="74" t="n">
        <f aca="false">IF(T46=1,K46+ROW()/1000000,-1)</f>
        <v>4.000046</v>
      </c>
      <c r="V46" s="74" t="n">
        <f aca="false">IF(AND(T46=1,E46="Production"),K46+ROW()/1000000,1000000000)</f>
        <v>4.000046</v>
      </c>
      <c r="W46" s="52" t="n">
        <f aca="false">SUMPRODUCT(MAX((Sales_Data!$F$2:$F$3520=A46)*Sales_Data!$C$2:$C$3520))</f>
        <v>46302</v>
      </c>
    </row>
    <row r="47" customFormat="false" ht="15" hidden="false" customHeight="false" outlineLevel="0" collapsed="false">
      <c r="A47" s="53" t="s">
        <v>4633</v>
      </c>
      <c r="B47" s="48" t="s">
        <v>4634</v>
      </c>
      <c r="C47" s="53" t="s">
        <v>48</v>
      </c>
      <c r="D47" s="53" t="s">
        <v>49</v>
      </c>
      <c r="E47" s="53" t="s">
        <v>146</v>
      </c>
      <c r="F47" s="53" t="s">
        <v>209</v>
      </c>
      <c r="G47" s="53" t="s">
        <v>6500</v>
      </c>
      <c r="H47" s="26" t="n">
        <f aca="false">SUMIFS(Sales_Data!$AE$2:$AE$3520,Sales_Data!$F$2:$F$3520,$A47,Sales_Data!$C$2:$C$3520,"&gt;="&amp;Dashboard!$C$5,Sales_Data!$C$2:$C$3520,"&lt;="&amp;Dashboard!$C$6)</f>
        <v>0</v>
      </c>
      <c r="I47" s="26" t="n">
        <f aca="false">SUMIFS(Sales_Data!$M$2:$M$3520,Sales_Data!$F$2:$F$3520,$A47,Sales_Data!$C$2:$C$3520,"&gt;="&amp;Dashboard!$C$5,Sales_Data!$C$2:$C$3520,"&lt;="&amp;Dashboard!$C$6,Sales_Data!$AE$2:$AE$3520,1)</f>
        <v>0</v>
      </c>
      <c r="J47" s="26" t="n">
        <f aca="false">SUMIFS(Sales_Data!$N$2:$N$3520,Sales_Data!$F$2:$F$3520,$A47,Sales_Data!$C$2:$C$3520,"&gt;="&amp;Dashboard!$C$5,Sales_Data!$C$2:$C$3520,"&lt;="&amp;Dashboard!$C$6,Sales_Data!$AE$2:$AE$3520,1)</f>
        <v>0</v>
      </c>
      <c r="K47" s="27" t="n">
        <f aca="false">SUMIFS(Sales_Data!$O$2:$O$3520,Sales_Data!$F$2:$F$3520,$A47,Sales_Data!$C$2:$C$3520,"&gt;="&amp;Dashboard!$C$5,Sales_Data!$C$2:$C$3520,"&lt;="&amp;Dashboard!$C$6,Sales_Data!$AE$2:$AE$3520,1)</f>
        <v>0</v>
      </c>
      <c r="L47" s="26" t="n">
        <f aca="false">SUMIFS(Sales_Data!$AF$2:$AF$3520,Sales_Data!$F$2:$F$3520,$A47,Sales_Data!$C$2:$C$3520,"&gt;="&amp;Dashboard!$C$5,Sales_Data!$C$2:$C$3520,"&lt;="&amp;Dashboard!$C$6)</f>
        <v>0</v>
      </c>
      <c r="M47" s="31" t="n">
        <f aca="false">IFERROR(K47/L47,0)</f>
        <v>0</v>
      </c>
      <c r="N47" s="26" t="n">
        <f aca="false">SUMIFS(Sales_Data!$O$2:$O$3520,Sales_Data!$F$2:$F$3520,$A47,Sales_Data!$C$2:$C$3520,"&gt;="&amp;Dashboard!$C$12,Sales_Data!$C$2:$C$3520,"&lt;="&amp;Dashboard!$C$13,Sales_Data!$AE$2:$AE$3520,1)</f>
        <v>4</v>
      </c>
      <c r="O47" s="28" t="n">
        <f aca="false">K47-N47</f>
        <v>-4</v>
      </c>
      <c r="P47" s="54" t="n">
        <f aca="false">IF(W47=0,"-",W47)</f>
        <v>46296</v>
      </c>
      <c r="Q47" s="52" t="n">
        <f aca="false">IF(W47=0,"-",$B$2-W47)</f>
        <v>7</v>
      </c>
      <c r="R47" s="52" t="n">
        <f aca="false">IF(T47=1,COUNTIFS($T$5:$T$254,1,$K$5:$K$254,"&gt;"&amp;K47)+1,"-")</f>
        <v>139</v>
      </c>
      <c r="S47" s="52" t="n">
        <f aca="false">COUNTIFS($C$5:$C$254,C47,$K$5:$K$254,"&gt;"&amp;K47)+1</f>
        <v>12</v>
      </c>
      <c r="T47" s="52" t="n">
        <f aca="false">IF(AND(OR(Dashboard!$C$7="All",D47=Dashboard!$C$7),OR(Dashboard!$C$8="All",C47=Dashboard!$C$8)),1,0)</f>
        <v>1</v>
      </c>
      <c r="U47" s="74" t="n">
        <f aca="false">IF(T47=1,K47+ROW()/1000000,-1)</f>
        <v>4.7E-005</v>
      </c>
      <c r="V47" s="74" t="n">
        <f aca="false">IF(AND(T47=1,E47="Production"),K47+ROW()/1000000,1000000000)</f>
        <v>4.7E-005</v>
      </c>
      <c r="W47" s="52" t="n">
        <f aca="false">SUMPRODUCT(MAX((Sales_Data!$F$2:$F$3520=A47)*Sales_Data!$C$2:$C$3520))</f>
        <v>46296</v>
      </c>
    </row>
    <row r="48" customFormat="false" ht="15" hidden="false" customHeight="false" outlineLevel="0" collapsed="false">
      <c r="A48" s="53" t="s">
        <v>2777</v>
      </c>
      <c r="B48" s="48" t="s">
        <v>2778</v>
      </c>
      <c r="C48" s="53" t="s">
        <v>48</v>
      </c>
      <c r="D48" s="53" t="s">
        <v>49</v>
      </c>
      <c r="E48" s="53" t="s">
        <v>146</v>
      </c>
      <c r="F48" s="53" t="s">
        <v>209</v>
      </c>
      <c r="G48" s="53" t="s">
        <v>6500</v>
      </c>
      <c r="H48" s="26" t="n">
        <f aca="false">SUMIFS(Sales_Data!$AE$2:$AE$3520,Sales_Data!$F$2:$F$3520,$A48,Sales_Data!$C$2:$C$3520,"&gt;="&amp;Dashboard!$C$5,Sales_Data!$C$2:$C$3520,"&lt;="&amp;Dashboard!$C$6)</f>
        <v>1</v>
      </c>
      <c r="I48" s="26" t="n">
        <f aca="false">SUMIFS(Sales_Data!$M$2:$M$3520,Sales_Data!$F$2:$F$3520,$A48,Sales_Data!$C$2:$C$3520,"&gt;="&amp;Dashboard!$C$5,Sales_Data!$C$2:$C$3520,"&lt;="&amp;Dashboard!$C$6,Sales_Data!$AE$2:$AE$3520,1)</f>
        <v>0</v>
      </c>
      <c r="J48" s="26" t="n">
        <f aca="false">SUMIFS(Sales_Data!$N$2:$N$3520,Sales_Data!$F$2:$F$3520,$A48,Sales_Data!$C$2:$C$3520,"&gt;="&amp;Dashboard!$C$5,Sales_Data!$C$2:$C$3520,"&lt;="&amp;Dashboard!$C$6,Sales_Data!$AE$2:$AE$3520,1)</f>
        <v>1</v>
      </c>
      <c r="K48" s="27" t="n">
        <f aca="false">SUMIFS(Sales_Data!$O$2:$O$3520,Sales_Data!$F$2:$F$3520,$A48,Sales_Data!$C$2:$C$3520,"&gt;="&amp;Dashboard!$C$5,Sales_Data!$C$2:$C$3520,"&lt;="&amp;Dashboard!$C$6,Sales_Data!$AE$2:$AE$3520,1)</f>
        <v>1</v>
      </c>
      <c r="L48" s="26" t="n">
        <f aca="false">SUMIFS(Sales_Data!$AF$2:$AF$3520,Sales_Data!$F$2:$F$3520,$A48,Sales_Data!$C$2:$C$3520,"&gt;="&amp;Dashboard!$C$5,Sales_Data!$C$2:$C$3520,"&lt;="&amp;Dashboard!$C$6)</f>
        <v>1</v>
      </c>
      <c r="M48" s="31" t="n">
        <f aca="false">IFERROR(K48/L48,0)</f>
        <v>1</v>
      </c>
      <c r="N48" s="26" t="n">
        <f aca="false">SUMIFS(Sales_Data!$O$2:$O$3520,Sales_Data!$F$2:$F$3520,$A48,Sales_Data!$C$2:$C$3520,"&gt;="&amp;Dashboard!$C$12,Sales_Data!$C$2:$C$3520,"&lt;="&amp;Dashboard!$C$13,Sales_Data!$AE$2:$AE$3520,1)</f>
        <v>1</v>
      </c>
      <c r="O48" s="28" t="n">
        <f aca="false">K48-N48</f>
        <v>0</v>
      </c>
      <c r="P48" s="54" t="n">
        <f aca="false">IF(W48=0,"-",W48)</f>
        <v>46297</v>
      </c>
      <c r="Q48" s="52" t="n">
        <f aca="false">IF(W48=0,"-",$B$2-W48)</f>
        <v>6</v>
      </c>
      <c r="R48" s="52" t="n">
        <f aca="false">IF(T48=1,COUNTIFS($T$5:$T$254,1,$K$5:$K$254,"&gt;"&amp;K48)+1,"-")</f>
        <v>105</v>
      </c>
      <c r="S48" s="52" t="n">
        <f aca="false">COUNTIFS($C$5:$C$254,C48,$K$5:$K$254,"&gt;"&amp;K48)+1</f>
        <v>6</v>
      </c>
      <c r="T48" s="52" t="n">
        <f aca="false">IF(AND(OR(Dashboard!$C$7="All",D48=Dashboard!$C$7),OR(Dashboard!$C$8="All",C48=Dashboard!$C$8)),1,0)</f>
        <v>1</v>
      </c>
      <c r="U48" s="74" t="n">
        <f aca="false">IF(T48=1,K48+ROW()/1000000,-1)</f>
        <v>1.000048</v>
      </c>
      <c r="V48" s="74" t="n">
        <f aca="false">IF(AND(T48=1,E48="Production"),K48+ROW()/1000000,1000000000)</f>
        <v>1.000048</v>
      </c>
      <c r="W48" s="52" t="n">
        <f aca="false">SUMPRODUCT(MAX((Sales_Data!$F$2:$F$3520=A48)*Sales_Data!$C$2:$C$3520))</f>
        <v>46297</v>
      </c>
    </row>
    <row r="49" customFormat="false" ht="15" hidden="false" customHeight="false" outlineLevel="0" collapsed="false">
      <c r="A49" s="53" t="s">
        <v>2620</v>
      </c>
      <c r="B49" s="48" t="s">
        <v>2621</v>
      </c>
      <c r="C49" s="53" t="s">
        <v>48</v>
      </c>
      <c r="D49" s="53" t="s">
        <v>49</v>
      </c>
      <c r="E49" s="53" t="s">
        <v>146</v>
      </c>
      <c r="F49" s="53" t="s">
        <v>209</v>
      </c>
      <c r="G49" s="53" t="s">
        <v>6500</v>
      </c>
      <c r="H49" s="26" t="n">
        <f aca="false">SUMIFS(Sales_Data!$AE$2:$AE$3520,Sales_Data!$F$2:$F$3520,$A49,Sales_Data!$C$2:$C$3520,"&gt;="&amp;Dashboard!$C$5,Sales_Data!$C$2:$C$3520,"&lt;="&amp;Dashboard!$C$6)</f>
        <v>1</v>
      </c>
      <c r="I49" s="26" t="n">
        <f aca="false">SUMIFS(Sales_Data!$M$2:$M$3520,Sales_Data!$F$2:$F$3520,$A49,Sales_Data!$C$2:$C$3520,"&gt;="&amp;Dashboard!$C$5,Sales_Data!$C$2:$C$3520,"&lt;="&amp;Dashboard!$C$6,Sales_Data!$AE$2:$AE$3520,1)</f>
        <v>0</v>
      </c>
      <c r="J49" s="26" t="n">
        <f aca="false">SUMIFS(Sales_Data!$N$2:$N$3520,Sales_Data!$F$2:$F$3520,$A49,Sales_Data!$C$2:$C$3520,"&gt;="&amp;Dashboard!$C$5,Sales_Data!$C$2:$C$3520,"&lt;="&amp;Dashboard!$C$6,Sales_Data!$AE$2:$AE$3520,1)</f>
        <v>1</v>
      </c>
      <c r="K49" s="27" t="n">
        <f aca="false">SUMIFS(Sales_Data!$O$2:$O$3520,Sales_Data!$F$2:$F$3520,$A49,Sales_Data!$C$2:$C$3520,"&gt;="&amp;Dashboard!$C$5,Sales_Data!$C$2:$C$3520,"&lt;="&amp;Dashboard!$C$6,Sales_Data!$AE$2:$AE$3520,1)</f>
        <v>1</v>
      </c>
      <c r="L49" s="26" t="n">
        <f aca="false">SUMIFS(Sales_Data!$AF$2:$AF$3520,Sales_Data!$F$2:$F$3520,$A49,Sales_Data!$C$2:$C$3520,"&gt;="&amp;Dashboard!$C$5,Sales_Data!$C$2:$C$3520,"&lt;="&amp;Dashboard!$C$6)</f>
        <v>1</v>
      </c>
      <c r="M49" s="31" t="n">
        <f aca="false">IFERROR(K49/L49,0)</f>
        <v>1</v>
      </c>
      <c r="N49" s="26" t="n">
        <f aca="false">SUMIFS(Sales_Data!$O$2:$O$3520,Sales_Data!$F$2:$F$3520,$A49,Sales_Data!$C$2:$C$3520,"&gt;="&amp;Dashboard!$C$12,Sales_Data!$C$2:$C$3520,"&lt;="&amp;Dashboard!$C$13,Sales_Data!$AE$2:$AE$3520,1)</f>
        <v>1</v>
      </c>
      <c r="O49" s="28" t="n">
        <f aca="false">K49-N49</f>
        <v>0</v>
      </c>
      <c r="P49" s="54" t="n">
        <f aca="false">IF(W49=0,"-",W49)</f>
        <v>46298</v>
      </c>
      <c r="Q49" s="52" t="n">
        <f aca="false">IF(W49=0,"-",$B$2-W49)</f>
        <v>5</v>
      </c>
      <c r="R49" s="52" t="n">
        <f aca="false">IF(T49=1,COUNTIFS($T$5:$T$254,1,$K$5:$K$254,"&gt;"&amp;K49)+1,"-")</f>
        <v>105</v>
      </c>
      <c r="S49" s="52" t="n">
        <f aca="false">COUNTIFS($C$5:$C$254,C49,$K$5:$K$254,"&gt;"&amp;K49)+1</f>
        <v>6</v>
      </c>
      <c r="T49" s="52" t="n">
        <f aca="false">IF(AND(OR(Dashboard!$C$7="All",D49=Dashboard!$C$7),OR(Dashboard!$C$8="All",C49=Dashboard!$C$8)),1,0)</f>
        <v>1</v>
      </c>
      <c r="U49" s="74" t="n">
        <f aca="false">IF(T49=1,K49+ROW()/1000000,-1)</f>
        <v>1.000049</v>
      </c>
      <c r="V49" s="74" t="n">
        <f aca="false">IF(AND(T49=1,E49="Production"),K49+ROW()/1000000,1000000000)</f>
        <v>1.000049</v>
      </c>
      <c r="W49" s="52" t="n">
        <f aca="false">SUMPRODUCT(MAX((Sales_Data!$F$2:$F$3520=A49)*Sales_Data!$C$2:$C$3520))</f>
        <v>46298</v>
      </c>
    </row>
    <row r="50" customFormat="false" ht="15" hidden="false" customHeight="false" outlineLevel="0" collapsed="false">
      <c r="A50" s="53" t="s">
        <v>2530</v>
      </c>
      <c r="B50" s="48" t="s">
        <v>2531</v>
      </c>
      <c r="C50" s="53" t="s">
        <v>48</v>
      </c>
      <c r="D50" s="53" t="s">
        <v>49</v>
      </c>
      <c r="E50" s="53" t="s">
        <v>146</v>
      </c>
      <c r="F50" s="53" t="s">
        <v>209</v>
      </c>
      <c r="G50" s="53" t="s">
        <v>6500</v>
      </c>
      <c r="H50" s="26" t="n">
        <f aca="false">SUMIFS(Sales_Data!$AE$2:$AE$3520,Sales_Data!$F$2:$F$3520,$A50,Sales_Data!$C$2:$C$3520,"&gt;="&amp;Dashboard!$C$5,Sales_Data!$C$2:$C$3520,"&lt;="&amp;Dashboard!$C$6)</f>
        <v>1</v>
      </c>
      <c r="I50" s="26" t="n">
        <f aca="false">SUMIFS(Sales_Data!$M$2:$M$3520,Sales_Data!$F$2:$F$3520,$A50,Sales_Data!$C$2:$C$3520,"&gt;="&amp;Dashboard!$C$5,Sales_Data!$C$2:$C$3520,"&lt;="&amp;Dashboard!$C$6,Sales_Data!$AE$2:$AE$3520,1)</f>
        <v>1</v>
      </c>
      <c r="J50" s="26" t="n">
        <f aca="false">SUMIFS(Sales_Data!$N$2:$N$3520,Sales_Data!$F$2:$F$3520,$A50,Sales_Data!$C$2:$C$3520,"&gt;="&amp;Dashboard!$C$5,Sales_Data!$C$2:$C$3520,"&lt;="&amp;Dashboard!$C$6,Sales_Data!$AE$2:$AE$3520,1)</f>
        <v>0</v>
      </c>
      <c r="K50" s="27" t="n">
        <f aca="false">SUMIFS(Sales_Data!$O$2:$O$3520,Sales_Data!$F$2:$F$3520,$A50,Sales_Data!$C$2:$C$3520,"&gt;="&amp;Dashboard!$C$5,Sales_Data!$C$2:$C$3520,"&lt;="&amp;Dashboard!$C$6,Sales_Data!$AE$2:$AE$3520,1)</f>
        <v>1</v>
      </c>
      <c r="L50" s="26" t="n">
        <f aca="false">SUMIFS(Sales_Data!$AF$2:$AF$3520,Sales_Data!$F$2:$F$3520,$A50,Sales_Data!$C$2:$C$3520,"&gt;="&amp;Dashboard!$C$5,Sales_Data!$C$2:$C$3520,"&lt;="&amp;Dashboard!$C$6)</f>
        <v>1</v>
      </c>
      <c r="M50" s="31" t="n">
        <f aca="false">IFERROR(K50/L50,0)</f>
        <v>1</v>
      </c>
      <c r="N50" s="26" t="n">
        <f aca="false">SUMIFS(Sales_Data!$O$2:$O$3520,Sales_Data!$F$2:$F$3520,$A50,Sales_Data!$C$2:$C$3520,"&gt;="&amp;Dashboard!$C$12,Sales_Data!$C$2:$C$3520,"&lt;="&amp;Dashboard!$C$13,Sales_Data!$AE$2:$AE$3520,1)</f>
        <v>1</v>
      </c>
      <c r="O50" s="28" t="n">
        <f aca="false">K50-N50</f>
        <v>0</v>
      </c>
      <c r="P50" s="54" t="n">
        <f aca="false">IF(W50=0,"-",W50)</f>
        <v>46301</v>
      </c>
      <c r="Q50" s="52" t="n">
        <f aca="false">IF(W50=0,"-",$B$2-W50)</f>
        <v>2</v>
      </c>
      <c r="R50" s="52" t="n">
        <f aca="false">IF(T50=1,COUNTIFS($T$5:$T$254,1,$K$5:$K$254,"&gt;"&amp;K50)+1,"-")</f>
        <v>105</v>
      </c>
      <c r="S50" s="52" t="n">
        <f aca="false">COUNTIFS($C$5:$C$254,C50,$K$5:$K$254,"&gt;"&amp;K50)+1</f>
        <v>6</v>
      </c>
      <c r="T50" s="52" t="n">
        <f aca="false">IF(AND(OR(Dashboard!$C$7="All",D50=Dashboard!$C$7),OR(Dashboard!$C$8="All",C50=Dashboard!$C$8)),1,0)</f>
        <v>1</v>
      </c>
      <c r="U50" s="74" t="n">
        <f aca="false">IF(T50=1,K50+ROW()/1000000,-1)</f>
        <v>1.00005</v>
      </c>
      <c r="V50" s="74" t="n">
        <f aca="false">IF(AND(T50=1,E50="Production"),K50+ROW()/1000000,1000000000)</f>
        <v>1.00005</v>
      </c>
      <c r="W50" s="52" t="n">
        <f aca="false">SUMPRODUCT(MAX((Sales_Data!$F$2:$F$3520=A50)*Sales_Data!$C$2:$C$3520))</f>
        <v>46301</v>
      </c>
    </row>
    <row r="51" customFormat="false" ht="15" hidden="false" customHeight="false" outlineLevel="0" collapsed="false">
      <c r="A51" s="53" t="s">
        <v>1344</v>
      </c>
      <c r="B51" s="48" t="s">
        <v>1345</v>
      </c>
      <c r="C51" s="53" t="s">
        <v>48</v>
      </c>
      <c r="D51" s="53" t="s">
        <v>49</v>
      </c>
      <c r="E51" s="53" t="s">
        <v>146</v>
      </c>
      <c r="F51" s="53" t="s">
        <v>209</v>
      </c>
      <c r="G51" s="53" t="s">
        <v>6500</v>
      </c>
      <c r="H51" s="26" t="n">
        <f aca="false">SUMIFS(Sales_Data!$AE$2:$AE$3520,Sales_Data!$F$2:$F$3520,$A51,Sales_Data!$C$2:$C$3520,"&gt;="&amp;Dashboard!$C$5,Sales_Data!$C$2:$C$3520,"&lt;="&amp;Dashboard!$C$6)</f>
        <v>6</v>
      </c>
      <c r="I51" s="26" t="n">
        <f aca="false">SUMIFS(Sales_Data!$M$2:$M$3520,Sales_Data!$F$2:$F$3520,$A51,Sales_Data!$C$2:$C$3520,"&gt;="&amp;Dashboard!$C$5,Sales_Data!$C$2:$C$3520,"&lt;="&amp;Dashboard!$C$6,Sales_Data!$AE$2:$AE$3520,1)</f>
        <v>5</v>
      </c>
      <c r="J51" s="26" t="n">
        <f aca="false">SUMIFS(Sales_Data!$N$2:$N$3520,Sales_Data!$F$2:$F$3520,$A51,Sales_Data!$C$2:$C$3520,"&gt;="&amp;Dashboard!$C$5,Sales_Data!$C$2:$C$3520,"&lt;="&amp;Dashboard!$C$6,Sales_Data!$AE$2:$AE$3520,1)</f>
        <v>1</v>
      </c>
      <c r="K51" s="27" t="n">
        <f aca="false">SUMIFS(Sales_Data!$O$2:$O$3520,Sales_Data!$F$2:$F$3520,$A51,Sales_Data!$C$2:$C$3520,"&gt;="&amp;Dashboard!$C$5,Sales_Data!$C$2:$C$3520,"&lt;="&amp;Dashboard!$C$6,Sales_Data!$AE$2:$AE$3520,1)</f>
        <v>6</v>
      </c>
      <c r="L51" s="26" t="n">
        <f aca="false">SUMIFS(Sales_Data!$AF$2:$AF$3520,Sales_Data!$F$2:$F$3520,$A51,Sales_Data!$C$2:$C$3520,"&gt;="&amp;Dashboard!$C$5,Sales_Data!$C$2:$C$3520,"&lt;="&amp;Dashboard!$C$6)</f>
        <v>3</v>
      </c>
      <c r="M51" s="31" t="n">
        <f aca="false">IFERROR(K51/L51,0)</f>
        <v>2</v>
      </c>
      <c r="N51" s="26" t="n">
        <f aca="false">SUMIFS(Sales_Data!$O$2:$O$3520,Sales_Data!$F$2:$F$3520,$A51,Sales_Data!$C$2:$C$3520,"&gt;="&amp;Dashboard!$C$12,Sales_Data!$C$2:$C$3520,"&lt;="&amp;Dashboard!$C$13,Sales_Data!$AE$2:$AE$3520,1)</f>
        <v>0</v>
      </c>
      <c r="O51" s="28" t="n">
        <f aca="false">K51-N51</f>
        <v>6</v>
      </c>
      <c r="P51" s="54" t="n">
        <f aca="false">IF(W51=0,"-",W51)</f>
        <v>46303</v>
      </c>
      <c r="Q51" s="52" t="n">
        <f aca="false">IF(W51=0,"-",$B$2-W51)</f>
        <v>0</v>
      </c>
      <c r="R51" s="52" t="n">
        <f aca="false">IF(T51=1,COUNTIFS($T$5:$T$254,1,$K$5:$K$254,"&gt;"&amp;K51)+1,"-")</f>
        <v>17</v>
      </c>
      <c r="S51" s="52" t="n">
        <f aca="false">COUNTIFS($C$5:$C$254,C51,$K$5:$K$254,"&gt;"&amp;K51)+1</f>
        <v>1</v>
      </c>
      <c r="T51" s="52" t="n">
        <f aca="false">IF(AND(OR(Dashboard!$C$7="All",D51=Dashboard!$C$7),OR(Dashboard!$C$8="All",C51=Dashboard!$C$8)),1,0)</f>
        <v>1</v>
      </c>
      <c r="U51" s="74" t="n">
        <f aca="false">IF(T51=1,K51+ROW()/1000000,-1)</f>
        <v>6.000051</v>
      </c>
      <c r="V51" s="74" t="n">
        <f aca="false">IF(AND(T51=1,E51="Production"),K51+ROW()/1000000,1000000000)</f>
        <v>6.000051</v>
      </c>
      <c r="W51" s="52" t="n">
        <f aca="false">SUMPRODUCT(MAX((Sales_Data!$F$2:$F$3520=A51)*Sales_Data!$C$2:$C$3520))</f>
        <v>46303</v>
      </c>
    </row>
    <row r="52" customFormat="false" ht="15" hidden="false" customHeight="false" outlineLevel="0" collapsed="false">
      <c r="A52" s="53" t="s">
        <v>207</v>
      </c>
      <c r="B52" s="48" t="s">
        <v>208</v>
      </c>
      <c r="C52" s="53" t="s">
        <v>48</v>
      </c>
      <c r="D52" s="53" t="s">
        <v>49</v>
      </c>
      <c r="E52" s="53" t="s">
        <v>146</v>
      </c>
      <c r="F52" s="53" t="s">
        <v>209</v>
      </c>
      <c r="G52" s="53" t="s">
        <v>6509</v>
      </c>
      <c r="H52" s="26" t="n">
        <f aca="false">SUMIFS(Sales_Data!$AE$2:$AE$3520,Sales_Data!$F$2:$F$3520,$A52,Sales_Data!$C$2:$C$3520,"&gt;="&amp;Dashboard!$C$5,Sales_Data!$C$2:$C$3520,"&lt;="&amp;Dashboard!$C$6)</f>
        <v>1</v>
      </c>
      <c r="I52" s="26" t="n">
        <f aca="false">SUMIFS(Sales_Data!$M$2:$M$3520,Sales_Data!$F$2:$F$3520,$A52,Sales_Data!$C$2:$C$3520,"&gt;="&amp;Dashboard!$C$5,Sales_Data!$C$2:$C$3520,"&lt;="&amp;Dashboard!$C$6,Sales_Data!$AE$2:$AE$3520,1)</f>
        <v>1</v>
      </c>
      <c r="J52" s="26" t="n">
        <f aca="false">SUMIFS(Sales_Data!$N$2:$N$3520,Sales_Data!$F$2:$F$3520,$A52,Sales_Data!$C$2:$C$3520,"&gt;="&amp;Dashboard!$C$5,Sales_Data!$C$2:$C$3520,"&lt;="&amp;Dashboard!$C$6,Sales_Data!$AE$2:$AE$3520,1)</f>
        <v>0</v>
      </c>
      <c r="K52" s="27" t="n">
        <f aca="false">SUMIFS(Sales_Data!$O$2:$O$3520,Sales_Data!$F$2:$F$3520,$A52,Sales_Data!$C$2:$C$3520,"&gt;="&amp;Dashboard!$C$5,Sales_Data!$C$2:$C$3520,"&lt;="&amp;Dashboard!$C$6,Sales_Data!$AE$2:$AE$3520,1)</f>
        <v>1</v>
      </c>
      <c r="L52" s="26" t="n">
        <f aca="false">SUMIFS(Sales_Data!$AF$2:$AF$3520,Sales_Data!$F$2:$F$3520,$A52,Sales_Data!$C$2:$C$3520,"&gt;="&amp;Dashboard!$C$5,Sales_Data!$C$2:$C$3520,"&lt;="&amp;Dashboard!$C$6)</f>
        <v>1</v>
      </c>
      <c r="M52" s="31" t="n">
        <f aca="false">IFERROR(K52/L52,0)</f>
        <v>1</v>
      </c>
      <c r="N52" s="26" t="n">
        <f aca="false">SUMIFS(Sales_Data!$O$2:$O$3520,Sales_Data!$F$2:$F$3520,$A52,Sales_Data!$C$2:$C$3520,"&gt;="&amp;Dashboard!$C$12,Sales_Data!$C$2:$C$3520,"&lt;="&amp;Dashboard!$C$13,Sales_Data!$AE$2:$AE$3520,1)</f>
        <v>11</v>
      </c>
      <c r="O52" s="28" t="n">
        <f aca="false">K52-N52</f>
        <v>-10</v>
      </c>
      <c r="P52" s="54" t="n">
        <f aca="false">IF(W52=0,"-",W52)</f>
        <v>46298</v>
      </c>
      <c r="Q52" s="52" t="n">
        <f aca="false">IF(W52=0,"-",$B$2-W52)</f>
        <v>5</v>
      </c>
      <c r="R52" s="52" t="n">
        <f aca="false">IF(T52=1,COUNTIFS($T$5:$T$254,1,$K$5:$K$254,"&gt;"&amp;K52)+1,"-")</f>
        <v>105</v>
      </c>
      <c r="S52" s="52" t="n">
        <f aca="false">COUNTIFS($C$5:$C$254,C52,$K$5:$K$254,"&gt;"&amp;K52)+1</f>
        <v>6</v>
      </c>
      <c r="T52" s="52" t="n">
        <f aca="false">IF(AND(OR(Dashboard!$C$7="All",D52=Dashboard!$C$7),OR(Dashboard!$C$8="All",C52=Dashboard!$C$8)),1,0)</f>
        <v>1</v>
      </c>
      <c r="U52" s="74" t="n">
        <f aca="false">IF(T52=1,K52+ROW()/1000000,-1)</f>
        <v>1.000052</v>
      </c>
      <c r="V52" s="74" t="n">
        <f aca="false">IF(AND(T52=1,E52="Production"),K52+ROW()/1000000,1000000000)</f>
        <v>1.000052</v>
      </c>
      <c r="W52" s="52" t="n">
        <f aca="false">SUMPRODUCT(MAX((Sales_Data!$F$2:$F$3520=A52)*Sales_Data!$C$2:$C$3520))</f>
        <v>46298</v>
      </c>
    </row>
    <row r="53" customFormat="false" ht="15" hidden="false" customHeight="false" outlineLevel="0" collapsed="false">
      <c r="A53" s="53" t="s">
        <v>2910</v>
      </c>
      <c r="B53" s="48" t="s">
        <v>2911</v>
      </c>
      <c r="C53" s="53" t="s">
        <v>48</v>
      </c>
      <c r="D53" s="53" t="s">
        <v>49</v>
      </c>
      <c r="E53" s="53" t="s">
        <v>146</v>
      </c>
      <c r="F53" s="53" t="s">
        <v>209</v>
      </c>
      <c r="G53" s="53" t="s">
        <v>6500</v>
      </c>
      <c r="H53" s="26" t="n">
        <f aca="false">SUMIFS(Sales_Data!$AE$2:$AE$3520,Sales_Data!$F$2:$F$3520,$A53,Sales_Data!$C$2:$C$3520,"&gt;="&amp;Dashboard!$C$5,Sales_Data!$C$2:$C$3520,"&lt;="&amp;Dashboard!$C$6)</f>
        <v>1</v>
      </c>
      <c r="I53" s="26" t="n">
        <f aca="false">SUMIFS(Sales_Data!$M$2:$M$3520,Sales_Data!$F$2:$F$3520,$A53,Sales_Data!$C$2:$C$3520,"&gt;="&amp;Dashboard!$C$5,Sales_Data!$C$2:$C$3520,"&lt;="&amp;Dashboard!$C$6,Sales_Data!$AE$2:$AE$3520,1)</f>
        <v>0</v>
      </c>
      <c r="J53" s="26" t="n">
        <f aca="false">SUMIFS(Sales_Data!$N$2:$N$3520,Sales_Data!$F$2:$F$3520,$A53,Sales_Data!$C$2:$C$3520,"&gt;="&amp;Dashboard!$C$5,Sales_Data!$C$2:$C$3520,"&lt;="&amp;Dashboard!$C$6,Sales_Data!$AE$2:$AE$3520,1)</f>
        <v>1</v>
      </c>
      <c r="K53" s="27" t="n">
        <f aca="false">SUMIFS(Sales_Data!$O$2:$O$3520,Sales_Data!$F$2:$F$3520,$A53,Sales_Data!$C$2:$C$3520,"&gt;="&amp;Dashboard!$C$5,Sales_Data!$C$2:$C$3520,"&lt;="&amp;Dashboard!$C$6,Sales_Data!$AE$2:$AE$3520,1)</f>
        <v>1</v>
      </c>
      <c r="L53" s="26" t="n">
        <f aca="false">SUMIFS(Sales_Data!$AF$2:$AF$3520,Sales_Data!$F$2:$F$3520,$A53,Sales_Data!$C$2:$C$3520,"&gt;="&amp;Dashboard!$C$5,Sales_Data!$C$2:$C$3520,"&lt;="&amp;Dashboard!$C$6)</f>
        <v>1</v>
      </c>
      <c r="M53" s="31" t="n">
        <f aca="false">IFERROR(K53/L53,0)</f>
        <v>1</v>
      </c>
      <c r="N53" s="26" t="n">
        <f aca="false">SUMIFS(Sales_Data!$O$2:$O$3520,Sales_Data!$F$2:$F$3520,$A53,Sales_Data!$C$2:$C$3520,"&gt;="&amp;Dashboard!$C$12,Sales_Data!$C$2:$C$3520,"&lt;="&amp;Dashboard!$C$13,Sales_Data!$AE$2:$AE$3520,1)</f>
        <v>0</v>
      </c>
      <c r="O53" s="28" t="n">
        <f aca="false">K53-N53</f>
        <v>1</v>
      </c>
      <c r="P53" s="54" t="n">
        <f aca="false">IF(W53=0,"-",W53)</f>
        <v>46303</v>
      </c>
      <c r="Q53" s="52" t="n">
        <f aca="false">IF(W53=0,"-",$B$2-W53)</f>
        <v>0</v>
      </c>
      <c r="R53" s="52" t="n">
        <f aca="false">IF(T53=1,COUNTIFS($T$5:$T$254,1,$K$5:$K$254,"&gt;"&amp;K53)+1,"-")</f>
        <v>105</v>
      </c>
      <c r="S53" s="52" t="n">
        <f aca="false">COUNTIFS($C$5:$C$254,C53,$K$5:$K$254,"&gt;"&amp;K53)+1</f>
        <v>6</v>
      </c>
      <c r="T53" s="52" t="n">
        <f aca="false">IF(AND(OR(Dashboard!$C$7="All",D53=Dashboard!$C$7),OR(Dashboard!$C$8="All",C53=Dashboard!$C$8)),1,0)</f>
        <v>1</v>
      </c>
      <c r="U53" s="74" t="n">
        <f aca="false">IF(T53=1,K53+ROW()/1000000,-1)</f>
        <v>1.000053</v>
      </c>
      <c r="V53" s="74" t="n">
        <f aca="false">IF(AND(T53=1,E53="Production"),K53+ROW()/1000000,1000000000)</f>
        <v>1.000053</v>
      </c>
      <c r="W53" s="52" t="n">
        <f aca="false">SUMPRODUCT(MAX((Sales_Data!$F$2:$F$3520=A53)*Sales_Data!$C$2:$C$3520))</f>
        <v>46303</v>
      </c>
    </row>
    <row r="54" customFormat="false" ht="15" hidden="false" customHeight="false" outlineLevel="0" collapsed="false">
      <c r="A54" s="53" t="s">
        <v>2845</v>
      </c>
      <c r="B54" s="48" t="s">
        <v>181</v>
      </c>
      <c r="C54" s="53" t="s">
        <v>48</v>
      </c>
      <c r="D54" s="53" t="s">
        <v>49</v>
      </c>
      <c r="E54" s="53" t="s">
        <v>146</v>
      </c>
      <c r="F54" s="53" t="s">
        <v>209</v>
      </c>
      <c r="G54" s="53" t="s">
        <v>6500</v>
      </c>
      <c r="H54" s="26" t="n">
        <f aca="false">SUMIFS(Sales_Data!$AE$2:$AE$3520,Sales_Data!$F$2:$F$3520,$A54,Sales_Data!$C$2:$C$3520,"&gt;="&amp;Dashboard!$C$5,Sales_Data!$C$2:$C$3520,"&lt;="&amp;Dashboard!$C$6)</f>
        <v>5</v>
      </c>
      <c r="I54" s="26" t="n">
        <f aca="false">SUMIFS(Sales_Data!$M$2:$M$3520,Sales_Data!$F$2:$F$3520,$A54,Sales_Data!$C$2:$C$3520,"&gt;="&amp;Dashboard!$C$5,Sales_Data!$C$2:$C$3520,"&lt;="&amp;Dashboard!$C$6,Sales_Data!$AE$2:$AE$3520,1)</f>
        <v>1</v>
      </c>
      <c r="J54" s="26" t="n">
        <f aca="false">SUMIFS(Sales_Data!$N$2:$N$3520,Sales_Data!$F$2:$F$3520,$A54,Sales_Data!$C$2:$C$3520,"&gt;="&amp;Dashboard!$C$5,Sales_Data!$C$2:$C$3520,"&lt;="&amp;Dashboard!$C$6,Sales_Data!$AE$2:$AE$3520,1)</f>
        <v>4</v>
      </c>
      <c r="K54" s="27" t="n">
        <f aca="false">SUMIFS(Sales_Data!$O$2:$O$3520,Sales_Data!$F$2:$F$3520,$A54,Sales_Data!$C$2:$C$3520,"&gt;="&amp;Dashboard!$C$5,Sales_Data!$C$2:$C$3520,"&lt;="&amp;Dashboard!$C$6,Sales_Data!$AE$2:$AE$3520,1)</f>
        <v>5</v>
      </c>
      <c r="L54" s="26" t="n">
        <f aca="false">SUMIFS(Sales_Data!$AF$2:$AF$3520,Sales_Data!$F$2:$F$3520,$A54,Sales_Data!$C$2:$C$3520,"&gt;="&amp;Dashboard!$C$5,Sales_Data!$C$2:$C$3520,"&lt;="&amp;Dashboard!$C$6)</f>
        <v>4</v>
      </c>
      <c r="M54" s="31" t="n">
        <f aca="false">IFERROR(K54/L54,0)</f>
        <v>1.25</v>
      </c>
      <c r="N54" s="26" t="n">
        <f aca="false">SUMIFS(Sales_Data!$O$2:$O$3520,Sales_Data!$F$2:$F$3520,$A54,Sales_Data!$C$2:$C$3520,"&gt;="&amp;Dashboard!$C$12,Sales_Data!$C$2:$C$3520,"&lt;="&amp;Dashboard!$C$13,Sales_Data!$AE$2:$AE$3520,1)</f>
        <v>0</v>
      </c>
      <c r="O54" s="28" t="n">
        <f aca="false">K54-N54</f>
        <v>5</v>
      </c>
      <c r="P54" s="54" t="n">
        <f aca="false">IF(W54=0,"-",W54)</f>
        <v>46301</v>
      </c>
      <c r="Q54" s="52" t="n">
        <f aca="false">IF(W54=0,"-",$B$2-W54)</f>
        <v>2</v>
      </c>
      <c r="R54" s="52" t="n">
        <f aca="false">IF(T54=1,COUNTIFS($T$5:$T$254,1,$K$5:$K$254,"&gt;"&amp;K54)+1,"-")</f>
        <v>28</v>
      </c>
      <c r="S54" s="52" t="n">
        <f aca="false">COUNTIFS($C$5:$C$254,C54,$K$5:$K$254,"&gt;"&amp;K54)+1</f>
        <v>2</v>
      </c>
      <c r="T54" s="52" t="n">
        <f aca="false">IF(AND(OR(Dashboard!$C$7="All",D54=Dashboard!$C$7),OR(Dashboard!$C$8="All",C54=Dashboard!$C$8)),1,0)</f>
        <v>1</v>
      </c>
      <c r="U54" s="74" t="n">
        <f aca="false">IF(T54=1,K54+ROW()/1000000,-1)</f>
        <v>5.000054</v>
      </c>
      <c r="V54" s="74" t="n">
        <f aca="false">IF(AND(T54=1,E54="Production"),K54+ROW()/1000000,1000000000)</f>
        <v>5.000054</v>
      </c>
      <c r="W54" s="52" t="n">
        <f aca="false">SUMPRODUCT(MAX((Sales_Data!$F$2:$F$3520=A54)*Sales_Data!$C$2:$C$3520))</f>
        <v>46301</v>
      </c>
    </row>
    <row r="55" customFormat="false" ht="15" hidden="false" customHeight="false" outlineLevel="0" collapsed="false">
      <c r="A55" s="53" t="s">
        <v>3272</v>
      </c>
      <c r="B55" s="48" t="s">
        <v>3273</v>
      </c>
      <c r="C55" s="53" t="s">
        <v>48</v>
      </c>
      <c r="D55" s="53" t="s">
        <v>49</v>
      </c>
      <c r="E55" s="53" t="s">
        <v>146</v>
      </c>
      <c r="F55" s="53" t="s">
        <v>209</v>
      </c>
      <c r="G55" s="53" t="s">
        <v>6500</v>
      </c>
      <c r="H55" s="26" t="n">
        <f aca="false">SUMIFS(Sales_Data!$AE$2:$AE$3520,Sales_Data!$F$2:$F$3520,$A55,Sales_Data!$C$2:$C$3520,"&gt;="&amp;Dashboard!$C$5,Sales_Data!$C$2:$C$3520,"&lt;="&amp;Dashboard!$C$6)</f>
        <v>0</v>
      </c>
      <c r="I55" s="26" t="n">
        <f aca="false">SUMIFS(Sales_Data!$M$2:$M$3520,Sales_Data!$F$2:$F$3520,$A55,Sales_Data!$C$2:$C$3520,"&gt;="&amp;Dashboard!$C$5,Sales_Data!$C$2:$C$3520,"&lt;="&amp;Dashboard!$C$6,Sales_Data!$AE$2:$AE$3520,1)</f>
        <v>0</v>
      </c>
      <c r="J55" s="26" t="n">
        <f aca="false">SUMIFS(Sales_Data!$N$2:$N$3520,Sales_Data!$F$2:$F$3520,$A55,Sales_Data!$C$2:$C$3520,"&gt;="&amp;Dashboard!$C$5,Sales_Data!$C$2:$C$3520,"&lt;="&amp;Dashboard!$C$6,Sales_Data!$AE$2:$AE$3520,1)</f>
        <v>0</v>
      </c>
      <c r="K55" s="27" t="n">
        <f aca="false">SUMIFS(Sales_Data!$O$2:$O$3520,Sales_Data!$F$2:$F$3520,$A55,Sales_Data!$C$2:$C$3520,"&gt;="&amp;Dashboard!$C$5,Sales_Data!$C$2:$C$3520,"&lt;="&amp;Dashboard!$C$6,Sales_Data!$AE$2:$AE$3520,1)</f>
        <v>0</v>
      </c>
      <c r="L55" s="26" t="n">
        <f aca="false">SUMIFS(Sales_Data!$AF$2:$AF$3520,Sales_Data!$F$2:$F$3520,$A55,Sales_Data!$C$2:$C$3520,"&gt;="&amp;Dashboard!$C$5,Sales_Data!$C$2:$C$3520,"&lt;="&amp;Dashboard!$C$6)</f>
        <v>0</v>
      </c>
      <c r="M55" s="31" t="n">
        <f aca="false">IFERROR(K55/L55,0)</f>
        <v>0</v>
      </c>
      <c r="N55" s="26" t="n">
        <f aca="false">SUMIFS(Sales_Data!$O$2:$O$3520,Sales_Data!$F$2:$F$3520,$A55,Sales_Data!$C$2:$C$3520,"&gt;="&amp;Dashboard!$C$12,Sales_Data!$C$2:$C$3520,"&lt;="&amp;Dashboard!$C$13,Sales_Data!$AE$2:$AE$3520,1)</f>
        <v>0</v>
      </c>
      <c r="O55" s="28" t="n">
        <f aca="false">K55-N55</f>
        <v>0</v>
      </c>
      <c r="P55" s="54" t="n">
        <f aca="false">IF(W55=0,"-",W55)</f>
        <v>46276</v>
      </c>
      <c r="Q55" s="52" t="n">
        <f aca="false">IF(W55=0,"-",$B$2-W55)</f>
        <v>27</v>
      </c>
      <c r="R55" s="52" t="n">
        <f aca="false">IF(T55=1,COUNTIFS($T$5:$T$254,1,$K$5:$K$254,"&gt;"&amp;K55)+1,"-")</f>
        <v>139</v>
      </c>
      <c r="S55" s="52" t="n">
        <f aca="false">COUNTIFS($C$5:$C$254,C55,$K$5:$K$254,"&gt;"&amp;K55)+1</f>
        <v>12</v>
      </c>
      <c r="T55" s="52" t="n">
        <f aca="false">IF(AND(OR(Dashboard!$C$7="All",D55=Dashboard!$C$7),OR(Dashboard!$C$8="All",C55=Dashboard!$C$8)),1,0)</f>
        <v>1</v>
      </c>
      <c r="U55" s="74" t="n">
        <f aca="false">IF(T55=1,K55+ROW()/1000000,-1)</f>
        <v>5.5E-005</v>
      </c>
      <c r="V55" s="74" t="n">
        <f aca="false">IF(AND(T55=1,E55="Production"),K55+ROW()/1000000,1000000000)</f>
        <v>5.5E-005</v>
      </c>
      <c r="W55" s="52" t="n">
        <f aca="false">SUMPRODUCT(MAX((Sales_Data!$F$2:$F$3520=A55)*Sales_Data!$C$2:$C$3520))</f>
        <v>46276</v>
      </c>
    </row>
    <row r="56" customFormat="false" ht="15" hidden="false" customHeight="false" outlineLevel="0" collapsed="false">
      <c r="A56" s="53" t="s">
        <v>3371</v>
      </c>
      <c r="B56" s="48" t="s">
        <v>3372</v>
      </c>
      <c r="C56" s="53" t="s">
        <v>48</v>
      </c>
      <c r="D56" s="53" t="s">
        <v>49</v>
      </c>
      <c r="E56" s="53" t="s">
        <v>146</v>
      </c>
      <c r="F56" s="53" t="s">
        <v>209</v>
      </c>
      <c r="G56" s="53" t="s">
        <v>6500</v>
      </c>
      <c r="H56" s="26" t="n">
        <f aca="false">SUMIFS(Sales_Data!$AE$2:$AE$3520,Sales_Data!$F$2:$F$3520,$A56,Sales_Data!$C$2:$C$3520,"&gt;="&amp;Dashboard!$C$5,Sales_Data!$C$2:$C$3520,"&lt;="&amp;Dashboard!$C$6)</f>
        <v>2</v>
      </c>
      <c r="I56" s="26" t="n">
        <f aca="false">SUMIFS(Sales_Data!$M$2:$M$3520,Sales_Data!$F$2:$F$3520,$A56,Sales_Data!$C$2:$C$3520,"&gt;="&amp;Dashboard!$C$5,Sales_Data!$C$2:$C$3520,"&lt;="&amp;Dashboard!$C$6,Sales_Data!$AE$2:$AE$3520,1)</f>
        <v>1</v>
      </c>
      <c r="J56" s="26" t="n">
        <f aca="false">SUMIFS(Sales_Data!$N$2:$N$3520,Sales_Data!$F$2:$F$3520,$A56,Sales_Data!$C$2:$C$3520,"&gt;="&amp;Dashboard!$C$5,Sales_Data!$C$2:$C$3520,"&lt;="&amp;Dashboard!$C$6,Sales_Data!$AE$2:$AE$3520,1)</f>
        <v>1</v>
      </c>
      <c r="K56" s="27" t="n">
        <f aca="false">SUMIFS(Sales_Data!$O$2:$O$3520,Sales_Data!$F$2:$F$3520,$A56,Sales_Data!$C$2:$C$3520,"&gt;="&amp;Dashboard!$C$5,Sales_Data!$C$2:$C$3520,"&lt;="&amp;Dashboard!$C$6,Sales_Data!$AE$2:$AE$3520,1)</f>
        <v>2</v>
      </c>
      <c r="L56" s="26" t="n">
        <f aca="false">SUMIFS(Sales_Data!$AF$2:$AF$3520,Sales_Data!$F$2:$F$3520,$A56,Sales_Data!$C$2:$C$3520,"&gt;="&amp;Dashboard!$C$5,Sales_Data!$C$2:$C$3520,"&lt;="&amp;Dashboard!$C$6)</f>
        <v>2</v>
      </c>
      <c r="M56" s="31" t="n">
        <f aca="false">IFERROR(K56/L56,0)</f>
        <v>1</v>
      </c>
      <c r="N56" s="26" t="n">
        <f aca="false">SUMIFS(Sales_Data!$O$2:$O$3520,Sales_Data!$F$2:$F$3520,$A56,Sales_Data!$C$2:$C$3520,"&gt;="&amp;Dashboard!$C$12,Sales_Data!$C$2:$C$3520,"&lt;="&amp;Dashboard!$C$13,Sales_Data!$AE$2:$AE$3520,1)</f>
        <v>0</v>
      </c>
      <c r="O56" s="28" t="n">
        <f aca="false">K56-N56</f>
        <v>2</v>
      </c>
      <c r="P56" s="54" t="n">
        <f aca="false">IF(W56=0,"-",W56)</f>
        <v>46302</v>
      </c>
      <c r="Q56" s="52" t="n">
        <f aca="false">IF(W56=0,"-",$B$2-W56)</f>
        <v>1</v>
      </c>
      <c r="R56" s="52" t="n">
        <f aca="false">IF(T56=1,COUNTIFS($T$5:$T$254,1,$K$5:$K$254,"&gt;"&amp;K56)+1,"-")</f>
        <v>84</v>
      </c>
      <c r="S56" s="52" t="n">
        <f aca="false">COUNTIFS($C$5:$C$254,C56,$K$5:$K$254,"&gt;"&amp;K56)+1</f>
        <v>4</v>
      </c>
      <c r="T56" s="52" t="n">
        <f aca="false">IF(AND(OR(Dashboard!$C$7="All",D56=Dashboard!$C$7),OR(Dashboard!$C$8="All",C56=Dashboard!$C$8)),1,0)</f>
        <v>1</v>
      </c>
      <c r="U56" s="74" t="n">
        <f aca="false">IF(T56=1,K56+ROW()/1000000,-1)</f>
        <v>2.000056</v>
      </c>
      <c r="V56" s="74" t="n">
        <f aca="false">IF(AND(T56=1,E56="Production"),K56+ROW()/1000000,1000000000)</f>
        <v>2.000056</v>
      </c>
      <c r="W56" s="52" t="n">
        <f aca="false">SUMPRODUCT(MAX((Sales_Data!$F$2:$F$3520=A56)*Sales_Data!$C$2:$C$3520))</f>
        <v>46302</v>
      </c>
    </row>
    <row r="57" customFormat="false" ht="15" hidden="false" customHeight="false" outlineLevel="0" collapsed="false">
      <c r="A57" s="53" t="s">
        <v>6514</v>
      </c>
      <c r="B57" s="48" t="s">
        <v>6515</v>
      </c>
      <c r="C57" s="53" t="s">
        <v>50</v>
      </c>
      <c r="D57" s="53" t="s">
        <v>49</v>
      </c>
      <c r="E57" s="53" t="s">
        <v>3708</v>
      </c>
      <c r="F57" s="53" t="s">
        <v>209</v>
      </c>
      <c r="G57" s="53" t="s">
        <v>6517</v>
      </c>
      <c r="H57" s="26" t="n">
        <f aca="false">SUMIFS(Sales_Data!$AE$2:$AE$3520,Sales_Data!$F$2:$F$3520,$A57,Sales_Data!$C$2:$C$3520,"&gt;="&amp;Dashboard!$C$5,Sales_Data!$C$2:$C$3520,"&lt;="&amp;Dashboard!$C$6)</f>
        <v>0</v>
      </c>
      <c r="I57" s="26" t="n">
        <f aca="false">SUMIFS(Sales_Data!$M$2:$M$3520,Sales_Data!$F$2:$F$3520,$A57,Sales_Data!$C$2:$C$3520,"&gt;="&amp;Dashboard!$C$5,Sales_Data!$C$2:$C$3520,"&lt;="&amp;Dashboard!$C$6,Sales_Data!$AE$2:$AE$3520,1)</f>
        <v>0</v>
      </c>
      <c r="J57" s="26" t="n">
        <f aca="false">SUMIFS(Sales_Data!$N$2:$N$3520,Sales_Data!$F$2:$F$3520,$A57,Sales_Data!$C$2:$C$3520,"&gt;="&amp;Dashboard!$C$5,Sales_Data!$C$2:$C$3520,"&lt;="&amp;Dashboard!$C$6,Sales_Data!$AE$2:$AE$3520,1)</f>
        <v>0</v>
      </c>
      <c r="K57" s="27" t="n">
        <f aca="false">SUMIFS(Sales_Data!$O$2:$O$3520,Sales_Data!$F$2:$F$3520,$A57,Sales_Data!$C$2:$C$3520,"&gt;="&amp;Dashboard!$C$5,Sales_Data!$C$2:$C$3520,"&lt;="&amp;Dashboard!$C$6,Sales_Data!$AE$2:$AE$3520,1)</f>
        <v>0</v>
      </c>
      <c r="L57" s="26" t="n">
        <f aca="false">SUMIFS(Sales_Data!$AF$2:$AF$3520,Sales_Data!$F$2:$F$3520,$A57,Sales_Data!$C$2:$C$3520,"&gt;="&amp;Dashboard!$C$5,Sales_Data!$C$2:$C$3520,"&lt;="&amp;Dashboard!$C$6)</f>
        <v>0</v>
      </c>
      <c r="M57" s="31" t="n">
        <f aca="false">IFERROR(K57/L57,0)</f>
        <v>0</v>
      </c>
      <c r="N57" s="26" t="n">
        <f aca="false">SUMIFS(Sales_Data!$O$2:$O$3520,Sales_Data!$F$2:$F$3520,$A57,Sales_Data!$C$2:$C$3520,"&gt;="&amp;Dashboard!$C$12,Sales_Data!$C$2:$C$3520,"&lt;="&amp;Dashboard!$C$13,Sales_Data!$AE$2:$AE$3520,1)</f>
        <v>0</v>
      </c>
      <c r="O57" s="28" t="n">
        <f aca="false">K57-N57</f>
        <v>0</v>
      </c>
      <c r="P57" s="54" t="str">
        <f aca="false">IF(W57=0,"-",W57)</f>
        <v>-</v>
      </c>
      <c r="Q57" s="52" t="str">
        <f aca="false">IF(W57=0,"-",$B$2-W57)</f>
        <v>-</v>
      </c>
      <c r="R57" s="52" t="n">
        <f aca="false">IF(T57=1,COUNTIFS($T$5:$T$254,1,$K$5:$K$254,"&gt;"&amp;K57)+1,"-")</f>
        <v>139</v>
      </c>
      <c r="S57" s="52" t="n">
        <f aca="false">COUNTIFS($C$5:$C$254,C57,$K$5:$K$254,"&gt;"&amp;K57)+1</f>
        <v>7</v>
      </c>
      <c r="T57" s="52" t="n">
        <f aca="false">IF(AND(OR(Dashboard!$C$7="All",D57=Dashboard!$C$7),OR(Dashboard!$C$8="All",C57=Dashboard!$C$8)),1,0)</f>
        <v>1</v>
      </c>
      <c r="U57" s="74" t="n">
        <f aca="false">IF(T57=1,K57+ROW()/1000000,-1)</f>
        <v>5.7E-005</v>
      </c>
      <c r="V57" s="74" t="n">
        <f aca="false">IF(AND(T57=1,E57="Production"),K57+ROW()/1000000,1000000000)</f>
        <v>1000000000</v>
      </c>
      <c r="W57" s="52" t="n">
        <f aca="false">SUMPRODUCT(MAX((Sales_Data!$F$2:$F$3520=A57)*Sales_Data!$C$2:$C$3520))</f>
        <v>0</v>
      </c>
    </row>
    <row r="58" customFormat="false" ht="15" hidden="false" customHeight="false" outlineLevel="0" collapsed="false">
      <c r="A58" s="53" t="s">
        <v>6518</v>
      </c>
      <c r="B58" s="48" t="s">
        <v>6519</v>
      </c>
      <c r="C58" s="53" t="s">
        <v>50</v>
      </c>
      <c r="D58" s="53" t="s">
        <v>49</v>
      </c>
      <c r="E58" s="53" t="s">
        <v>3708</v>
      </c>
      <c r="F58" s="53" t="s">
        <v>209</v>
      </c>
      <c r="G58" s="53" t="s">
        <v>6517</v>
      </c>
      <c r="H58" s="26" t="n">
        <f aca="false">SUMIFS(Sales_Data!$AE$2:$AE$3520,Sales_Data!$F$2:$F$3520,$A58,Sales_Data!$C$2:$C$3520,"&gt;="&amp;Dashboard!$C$5,Sales_Data!$C$2:$C$3520,"&lt;="&amp;Dashboard!$C$6)</f>
        <v>0</v>
      </c>
      <c r="I58" s="26" t="n">
        <f aca="false">SUMIFS(Sales_Data!$M$2:$M$3520,Sales_Data!$F$2:$F$3520,$A58,Sales_Data!$C$2:$C$3520,"&gt;="&amp;Dashboard!$C$5,Sales_Data!$C$2:$C$3520,"&lt;="&amp;Dashboard!$C$6,Sales_Data!$AE$2:$AE$3520,1)</f>
        <v>0</v>
      </c>
      <c r="J58" s="26" t="n">
        <f aca="false">SUMIFS(Sales_Data!$N$2:$N$3520,Sales_Data!$F$2:$F$3520,$A58,Sales_Data!$C$2:$C$3520,"&gt;="&amp;Dashboard!$C$5,Sales_Data!$C$2:$C$3520,"&lt;="&amp;Dashboard!$C$6,Sales_Data!$AE$2:$AE$3520,1)</f>
        <v>0</v>
      </c>
      <c r="K58" s="27" t="n">
        <f aca="false">SUMIFS(Sales_Data!$O$2:$O$3520,Sales_Data!$F$2:$F$3520,$A58,Sales_Data!$C$2:$C$3520,"&gt;="&amp;Dashboard!$C$5,Sales_Data!$C$2:$C$3520,"&lt;="&amp;Dashboard!$C$6,Sales_Data!$AE$2:$AE$3520,1)</f>
        <v>0</v>
      </c>
      <c r="L58" s="26" t="n">
        <f aca="false">SUMIFS(Sales_Data!$AF$2:$AF$3520,Sales_Data!$F$2:$F$3520,$A58,Sales_Data!$C$2:$C$3520,"&gt;="&amp;Dashboard!$C$5,Sales_Data!$C$2:$C$3520,"&lt;="&amp;Dashboard!$C$6)</f>
        <v>0</v>
      </c>
      <c r="M58" s="31" t="n">
        <f aca="false">IFERROR(K58/L58,0)</f>
        <v>0</v>
      </c>
      <c r="N58" s="26" t="n">
        <f aca="false">SUMIFS(Sales_Data!$O$2:$O$3520,Sales_Data!$F$2:$F$3520,$A58,Sales_Data!$C$2:$C$3520,"&gt;="&amp;Dashboard!$C$12,Sales_Data!$C$2:$C$3520,"&lt;="&amp;Dashboard!$C$13,Sales_Data!$AE$2:$AE$3520,1)</f>
        <v>0</v>
      </c>
      <c r="O58" s="28" t="n">
        <f aca="false">K58-N58</f>
        <v>0</v>
      </c>
      <c r="P58" s="54" t="str">
        <f aca="false">IF(W58=0,"-",W58)</f>
        <v>-</v>
      </c>
      <c r="Q58" s="52" t="str">
        <f aca="false">IF(W58=0,"-",$B$2-W58)</f>
        <v>-</v>
      </c>
      <c r="R58" s="52" t="n">
        <f aca="false">IF(T58=1,COUNTIFS($T$5:$T$254,1,$K$5:$K$254,"&gt;"&amp;K58)+1,"-")</f>
        <v>139</v>
      </c>
      <c r="S58" s="52" t="n">
        <f aca="false">COUNTIFS($C$5:$C$254,C58,$K$5:$K$254,"&gt;"&amp;K58)+1</f>
        <v>7</v>
      </c>
      <c r="T58" s="52" t="n">
        <f aca="false">IF(AND(OR(Dashboard!$C$7="All",D58=Dashboard!$C$7),OR(Dashboard!$C$8="All",C58=Dashboard!$C$8)),1,0)</f>
        <v>1</v>
      </c>
      <c r="U58" s="74" t="n">
        <f aca="false">IF(T58=1,K58+ROW()/1000000,-1)</f>
        <v>5.8E-005</v>
      </c>
      <c r="V58" s="74" t="n">
        <f aca="false">IF(AND(T58=1,E58="Production"),K58+ROW()/1000000,1000000000)</f>
        <v>1000000000</v>
      </c>
      <c r="W58" s="52" t="n">
        <f aca="false">SUMPRODUCT(MAX((Sales_Data!$F$2:$F$3520=A58)*Sales_Data!$C$2:$C$3520))</f>
        <v>0</v>
      </c>
    </row>
    <row r="59" customFormat="false" ht="15" hidden="false" customHeight="false" outlineLevel="0" collapsed="false">
      <c r="A59" s="53" t="s">
        <v>6521</v>
      </c>
      <c r="B59" s="48" t="s">
        <v>6522</v>
      </c>
      <c r="C59" s="53" t="s">
        <v>50</v>
      </c>
      <c r="D59" s="53" t="s">
        <v>49</v>
      </c>
      <c r="E59" s="53" t="s">
        <v>3708</v>
      </c>
      <c r="F59" s="53" t="s">
        <v>209</v>
      </c>
      <c r="G59" s="53" t="s">
        <v>6524</v>
      </c>
      <c r="H59" s="26" t="n">
        <f aca="false">SUMIFS(Sales_Data!$AE$2:$AE$3520,Sales_Data!$F$2:$F$3520,$A59,Sales_Data!$C$2:$C$3520,"&gt;="&amp;Dashboard!$C$5,Sales_Data!$C$2:$C$3520,"&lt;="&amp;Dashboard!$C$6)</f>
        <v>0</v>
      </c>
      <c r="I59" s="26" t="n">
        <f aca="false">SUMIFS(Sales_Data!$M$2:$M$3520,Sales_Data!$F$2:$F$3520,$A59,Sales_Data!$C$2:$C$3520,"&gt;="&amp;Dashboard!$C$5,Sales_Data!$C$2:$C$3520,"&lt;="&amp;Dashboard!$C$6,Sales_Data!$AE$2:$AE$3520,1)</f>
        <v>0</v>
      </c>
      <c r="J59" s="26" t="n">
        <f aca="false">SUMIFS(Sales_Data!$N$2:$N$3520,Sales_Data!$F$2:$F$3520,$A59,Sales_Data!$C$2:$C$3520,"&gt;="&amp;Dashboard!$C$5,Sales_Data!$C$2:$C$3520,"&lt;="&amp;Dashboard!$C$6,Sales_Data!$AE$2:$AE$3520,1)</f>
        <v>0</v>
      </c>
      <c r="K59" s="27" t="n">
        <f aca="false">SUMIFS(Sales_Data!$O$2:$O$3520,Sales_Data!$F$2:$F$3520,$A59,Sales_Data!$C$2:$C$3520,"&gt;="&amp;Dashboard!$C$5,Sales_Data!$C$2:$C$3520,"&lt;="&amp;Dashboard!$C$6,Sales_Data!$AE$2:$AE$3520,1)</f>
        <v>0</v>
      </c>
      <c r="L59" s="26" t="n">
        <f aca="false">SUMIFS(Sales_Data!$AF$2:$AF$3520,Sales_Data!$F$2:$F$3520,$A59,Sales_Data!$C$2:$C$3520,"&gt;="&amp;Dashboard!$C$5,Sales_Data!$C$2:$C$3520,"&lt;="&amp;Dashboard!$C$6)</f>
        <v>0</v>
      </c>
      <c r="M59" s="31" t="n">
        <f aca="false">IFERROR(K59/L59,0)</f>
        <v>0</v>
      </c>
      <c r="N59" s="26" t="n">
        <f aca="false">SUMIFS(Sales_Data!$O$2:$O$3520,Sales_Data!$F$2:$F$3520,$A59,Sales_Data!$C$2:$C$3520,"&gt;="&amp;Dashboard!$C$12,Sales_Data!$C$2:$C$3520,"&lt;="&amp;Dashboard!$C$13,Sales_Data!$AE$2:$AE$3520,1)</f>
        <v>0</v>
      </c>
      <c r="O59" s="28" t="n">
        <f aca="false">K59-N59</f>
        <v>0</v>
      </c>
      <c r="P59" s="54" t="str">
        <f aca="false">IF(W59=0,"-",W59)</f>
        <v>-</v>
      </c>
      <c r="Q59" s="52" t="str">
        <f aca="false">IF(W59=0,"-",$B$2-W59)</f>
        <v>-</v>
      </c>
      <c r="R59" s="52" t="n">
        <f aca="false">IF(T59=1,COUNTIFS($T$5:$T$254,1,$K$5:$K$254,"&gt;"&amp;K59)+1,"-")</f>
        <v>139</v>
      </c>
      <c r="S59" s="52" t="n">
        <f aca="false">COUNTIFS($C$5:$C$254,C59,$K$5:$K$254,"&gt;"&amp;K59)+1</f>
        <v>7</v>
      </c>
      <c r="T59" s="52" t="n">
        <f aca="false">IF(AND(OR(Dashboard!$C$7="All",D59=Dashboard!$C$7),OR(Dashboard!$C$8="All",C59=Dashboard!$C$8)),1,0)</f>
        <v>1</v>
      </c>
      <c r="U59" s="74" t="n">
        <f aca="false">IF(T59=1,K59+ROW()/1000000,-1)</f>
        <v>5.9E-005</v>
      </c>
      <c r="V59" s="74" t="n">
        <f aca="false">IF(AND(T59=1,E59="Production"),K59+ROW()/1000000,1000000000)</f>
        <v>1000000000</v>
      </c>
      <c r="W59" s="52" t="n">
        <f aca="false">SUMPRODUCT(MAX((Sales_Data!$F$2:$F$3520=A59)*Sales_Data!$C$2:$C$3520))</f>
        <v>0</v>
      </c>
    </row>
    <row r="60" customFormat="false" ht="15" hidden="false" customHeight="false" outlineLevel="0" collapsed="false">
      <c r="A60" s="53" t="s">
        <v>6101</v>
      </c>
      <c r="B60" s="48" t="s">
        <v>6102</v>
      </c>
      <c r="C60" s="53" t="s">
        <v>50</v>
      </c>
      <c r="D60" s="53" t="s">
        <v>49</v>
      </c>
      <c r="E60" s="53" t="s">
        <v>3708</v>
      </c>
      <c r="F60" s="53" t="s">
        <v>209</v>
      </c>
      <c r="G60" s="53" t="s">
        <v>6517</v>
      </c>
      <c r="H60" s="26" t="n">
        <f aca="false">SUMIFS(Sales_Data!$AE$2:$AE$3520,Sales_Data!$F$2:$F$3520,$A60,Sales_Data!$C$2:$C$3520,"&gt;="&amp;Dashboard!$C$5,Sales_Data!$C$2:$C$3520,"&lt;="&amp;Dashboard!$C$6)</f>
        <v>1</v>
      </c>
      <c r="I60" s="26" t="n">
        <f aca="false">SUMIFS(Sales_Data!$M$2:$M$3520,Sales_Data!$F$2:$F$3520,$A60,Sales_Data!$C$2:$C$3520,"&gt;="&amp;Dashboard!$C$5,Sales_Data!$C$2:$C$3520,"&lt;="&amp;Dashboard!$C$6,Sales_Data!$AE$2:$AE$3520,1)</f>
        <v>1</v>
      </c>
      <c r="J60" s="26" t="n">
        <f aca="false">SUMIFS(Sales_Data!$N$2:$N$3520,Sales_Data!$F$2:$F$3520,$A60,Sales_Data!$C$2:$C$3520,"&gt;="&amp;Dashboard!$C$5,Sales_Data!$C$2:$C$3520,"&lt;="&amp;Dashboard!$C$6,Sales_Data!$AE$2:$AE$3520,1)</f>
        <v>0</v>
      </c>
      <c r="K60" s="27" t="n">
        <f aca="false">SUMIFS(Sales_Data!$O$2:$O$3520,Sales_Data!$F$2:$F$3520,$A60,Sales_Data!$C$2:$C$3520,"&gt;="&amp;Dashboard!$C$5,Sales_Data!$C$2:$C$3520,"&lt;="&amp;Dashboard!$C$6,Sales_Data!$AE$2:$AE$3520,1)</f>
        <v>1</v>
      </c>
      <c r="L60" s="26" t="n">
        <f aca="false">SUMIFS(Sales_Data!$AF$2:$AF$3520,Sales_Data!$F$2:$F$3520,$A60,Sales_Data!$C$2:$C$3520,"&gt;="&amp;Dashboard!$C$5,Sales_Data!$C$2:$C$3520,"&lt;="&amp;Dashboard!$C$6)</f>
        <v>1</v>
      </c>
      <c r="M60" s="31" t="n">
        <f aca="false">IFERROR(K60/L60,0)</f>
        <v>1</v>
      </c>
      <c r="N60" s="26" t="n">
        <f aca="false">SUMIFS(Sales_Data!$O$2:$O$3520,Sales_Data!$F$2:$F$3520,$A60,Sales_Data!$C$2:$C$3520,"&gt;="&amp;Dashboard!$C$12,Sales_Data!$C$2:$C$3520,"&lt;="&amp;Dashboard!$C$13,Sales_Data!$AE$2:$AE$3520,1)</f>
        <v>0</v>
      </c>
      <c r="O60" s="28" t="n">
        <f aca="false">K60-N60</f>
        <v>1</v>
      </c>
      <c r="P60" s="54" t="n">
        <f aca="false">IF(W60=0,"-",W60)</f>
        <v>46302</v>
      </c>
      <c r="Q60" s="52" t="n">
        <f aca="false">IF(W60=0,"-",$B$2-W60)</f>
        <v>1</v>
      </c>
      <c r="R60" s="52" t="n">
        <f aca="false">IF(T60=1,COUNTIFS($T$5:$T$254,1,$K$5:$K$254,"&gt;"&amp;K60)+1,"-")</f>
        <v>105</v>
      </c>
      <c r="S60" s="52" t="n">
        <f aca="false">COUNTIFS($C$5:$C$254,C60,$K$5:$K$254,"&gt;"&amp;K60)+1</f>
        <v>5</v>
      </c>
      <c r="T60" s="52" t="n">
        <f aca="false">IF(AND(OR(Dashboard!$C$7="All",D60=Dashboard!$C$7),OR(Dashboard!$C$8="All",C60=Dashboard!$C$8)),1,0)</f>
        <v>1</v>
      </c>
      <c r="U60" s="74" t="n">
        <f aca="false">IF(T60=1,K60+ROW()/1000000,-1)</f>
        <v>1.00006</v>
      </c>
      <c r="V60" s="74" t="n">
        <f aca="false">IF(AND(T60=1,E60="Production"),K60+ROW()/1000000,1000000000)</f>
        <v>1000000000</v>
      </c>
      <c r="W60" s="52" t="n">
        <f aca="false">SUMPRODUCT(MAX((Sales_Data!$F$2:$F$3520=A60)*Sales_Data!$C$2:$C$3520))</f>
        <v>46302</v>
      </c>
    </row>
    <row r="61" customFormat="false" ht="15" hidden="false" customHeight="false" outlineLevel="0" collapsed="false">
      <c r="A61" s="53" t="s">
        <v>5948</v>
      </c>
      <c r="B61" s="48" t="s">
        <v>5949</v>
      </c>
      <c r="C61" s="53" t="s">
        <v>50</v>
      </c>
      <c r="D61" s="53" t="s">
        <v>49</v>
      </c>
      <c r="E61" s="53" t="s">
        <v>3708</v>
      </c>
      <c r="F61" s="53" t="s">
        <v>209</v>
      </c>
      <c r="G61" s="53" t="s">
        <v>6517</v>
      </c>
      <c r="H61" s="26" t="n">
        <f aca="false">SUMIFS(Sales_Data!$AE$2:$AE$3520,Sales_Data!$F$2:$F$3520,$A61,Sales_Data!$C$2:$C$3520,"&gt;="&amp;Dashboard!$C$5,Sales_Data!$C$2:$C$3520,"&lt;="&amp;Dashboard!$C$6)</f>
        <v>3</v>
      </c>
      <c r="I61" s="26" t="n">
        <f aca="false">SUMIFS(Sales_Data!$M$2:$M$3520,Sales_Data!$F$2:$F$3520,$A61,Sales_Data!$C$2:$C$3520,"&gt;="&amp;Dashboard!$C$5,Sales_Data!$C$2:$C$3520,"&lt;="&amp;Dashboard!$C$6,Sales_Data!$AE$2:$AE$3520,1)</f>
        <v>2</v>
      </c>
      <c r="J61" s="26" t="n">
        <f aca="false">SUMIFS(Sales_Data!$N$2:$N$3520,Sales_Data!$F$2:$F$3520,$A61,Sales_Data!$C$2:$C$3520,"&gt;="&amp;Dashboard!$C$5,Sales_Data!$C$2:$C$3520,"&lt;="&amp;Dashboard!$C$6,Sales_Data!$AE$2:$AE$3520,1)</f>
        <v>1</v>
      </c>
      <c r="K61" s="27" t="n">
        <f aca="false">SUMIFS(Sales_Data!$O$2:$O$3520,Sales_Data!$F$2:$F$3520,$A61,Sales_Data!$C$2:$C$3520,"&gt;="&amp;Dashboard!$C$5,Sales_Data!$C$2:$C$3520,"&lt;="&amp;Dashboard!$C$6,Sales_Data!$AE$2:$AE$3520,1)</f>
        <v>3</v>
      </c>
      <c r="L61" s="26" t="n">
        <f aca="false">SUMIFS(Sales_Data!$AF$2:$AF$3520,Sales_Data!$F$2:$F$3520,$A61,Sales_Data!$C$2:$C$3520,"&gt;="&amp;Dashboard!$C$5,Sales_Data!$C$2:$C$3520,"&lt;="&amp;Dashboard!$C$6)</f>
        <v>1</v>
      </c>
      <c r="M61" s="31" t="n">
        <f aca="false">IFERROR(K61/L61,0)</f>
        <v>3</v>
      </c>
      <c r="N61" s="26" t="n">
        <f aca="false">SUMIFS(Sales_Data!$O$2:$O$3520,Sales_Data!$F$2:$F$3520,$A61,Sales_Data!$C$2:$C$3520,"&gt;="&amp;Dashboard!$C$12,Sales_Data!$C$2:$C$3520,"&lt;="&amp;Dashboard!$C$13,Sales_Data!$AE$2:$AE$3520,1)</f>
        <v>0</v>
      </c>
      <c r="O61" s="28" t="n">
        <f aca="false">K61-N61</f>
        <v>3</v>
      </c>
      <c r="P61" s="54" t="n">
        <f aca="false">IF(W61=0,"-",W61)</f>
        <v>46301</v>
      </c>
      <c r="Q61" s="52" t="n">
        <f aca="false">IF(W61=0,"-",$B$2-W61)</f>
        <v>2</v>
      </c>
      <c r="R61" s="52" t="n">
        <f aca="false">IF(T61=1,COUNTIFS($T$5:$T$254,1,$K$5:$K$254,"&gt;"&amp;K61)+1,"-")</f>
        <v>59</v>
      </c>
      <c r="S61" s="52" t="n">
        <f aca="false">COUNTIFS($C$5:$C$254,C61,$K$5:$K$254,"&gt;"&amp;K61)+1</f>
        <v>2</v>
      </c>
      <c r="T61" s="52" t="n">
        <f aca="false">IF(AND(OR(Dashboard!$C$7="All",D61=Dashboard!$C$7),OR(Dashboard!$C$8="All",C61=Dashboard!$C$8)),1,0)</f>
        <v>1</v>
      </c>
      <c r="U61" s="74" t="n">
        <f aca="false">IF(T61=1,K61+ROW()/1000000,-1)</f>
        <v>3.000061</v>
      </c>
      <c r="V61" s="74" t="n">
        <f aca="false">IF(AND(T61=1,E61="Production"),K61+ROW()/1000000,1000000000)</f>
        <v>1000000000</v>
      </c>
      <c r="W61" s="52" t="n">
        <f aca="false">SUMPRODUCT(MAX((Sales_Data!$F$2:$F$3520=A61)*Sales_Data!$C$2:$C$3520))</f>
        <v>46301</v>
      </c>
    </row>
    <row r="62" customFormat="false" ht="15" hidden="false" customHeight="false" outlineLevel="0" collapsed="false">
      <c r="A62" s="53" t="s">
        <v>6527</v>
      </c>
      <c r="B62" s="48" t="s">
        <v>6528</v>
      </c>
      <c r="C62" s="53" t="s">
        <v>50</v>
      </c>
      <c r="D62" s="53" t="s">
        <v>49</v>
      </c>
      <c r="E62" s="53" t="s">
        <v>3708</v>
      </c>
      <c r="F62" s="53" t="s">
        <v>209</v>
      </c>
      <c r="G62" s="53" t="s">
        <v>6517</v>
      </c>
      <c r="H62" s="26" t="n">
        <f aca="false">SUMIFS(Sales_Data!$AE$2:$AE$3520,Sales_Data!$F$2:$F$3520,$A62,Sales_Data!$C$2:$C$3520,"&gt;="&amp;Dashboard!$C$5,Sales_Data!$C$2:$C$3520,"&lt;="&amp;Dashboard!$C$6)</f>
        <v>0</v>
      </c>
      <c r="I62" s="26" t="n">
        <f aca="false">SUMIFS(Sales_Data!$M$2:$M$3520,Sales_Data!$F$2:$F$3520,$A62,Sales_Data!$C$2:$C$3520,"&gt;="&amp;Dashboard!$C$5,Sales_Data!$C$2:$C$3520,"&lt;="&amp;Dashboard!$C$6,Sales_Data!$AE$2:$AE$3520,1)</f>
        <v>0</v>
      </c>
      <c r="J62" s="26" t="n">
        <f aca="false">SUMIFS(Sales_Data!$N$2:$N$3520,Sales_Data!$F$2:$F$3520,$A62,Sales_Data!$C$2:$C$3520,"&gt;="&amp;Dashboard!$C$5,Sales_Data!$C$2:$C$3520,"&lt;="&amp;Dashboard!$C$6,Sales_Data!$AE$2:$AE$3520,1)</f>
        <v>0</v>
      </c>
      <c r="K62" s="27" t="n">
        <f aca="false">SUMIFS(Sales_Data!$O$2:$O$3520,Sales_Data!$F$2:$F$3520,$A62,Sales_Data!$C$2:$C$3520,"&gt;="&amp;Dashboard!$C$5,Sales_Data!$C$2:$C$3520,"&lt;="&amp;Dashboard!$C$6,Sales_Data!$AE$2:$AE$3520,1)</f>
        <v>0</v>
      </c>
      <c r="L62" s="26" t="n">
        <f aca="false">SUMIFS(Sales_Data!$AF$2:$AF$3520,Sales_Data!$F$2:$F$3520,$A62,Sales_Data!$C$2:$C$3520,"&gt;="&amp;Dashboard!$C$5,Sales_Data!$C$2:$C$3520,"&lt;="&amp;Dashboard!$C$6)</f>
        <v>0</v>
      </c>
      <c r="M62" s="31" t="n">
        <f aca="false">IFERROR(K62/L62,0)</f>
        <v>0</v>
      </c>
      <c r="N62" s="26" t="n">
        <f aca="false">SUMIFS(Sales_Data!$O$2:$O$3520,Sales_Data!$F$2:$F$3520,$A62,Sales_Data!$C$2:$C$3520,"&gt;="&amp;Dashboard!$C$12,Sales_Data!$C$2:$C$3520,"&lt;="&amp;Dashboard!$C$13,Sales_Data!$AE$2:$AE$3520,1)</f>
        <v>0</v>
      </c>
      <c r="O62" s="28" t="n">
        <f aca="false">K62-N62</f>
        <v>0</v>
      </c>
      <c r="P62" s="54" t="str">
        <f aca="false">IF(W62=0,"-",W62)</f>
        <v>-</v>
      </c>
      <c r="Q62" s="52" t="str">
        <f aca="false">IF(W62=0,"-",$B$2-W62)</f>
        <v>-</v>
      </c>
      <c r="R62" s="52" t="n">
        <f aca="false">IF(T62=1,COUNTIFS($T$5:$T$254,1,$K$5:$K$254,"&gt;"&amp;K62)+1,"-")</f>
        <v>139</v>
      </c>
      <c r="S62" s="52" t="n">
        <f aca="false">COUNTIFS($C$5:$C$254,C62,$K$5:$K$254,"&gt;"&amp;K62)+1</f>
        <v>7</v>
      </c>
      <c r="T62" s="52" t="n">
        <f aca="false">IF(AND(OR(Dashboard!$C$7="All",D62=Dashboard!$C$7),OR(Dashboard!$C$8="All",C62=Dashboard!$C$8)),1,0)</f>
        <v>1</v>
      </c>
      <c r="U62" s="74" t="n">
        <f aca="false">IF(T62=1,K62+ROW()/1000000,-1)</f>
        <v>6.2E-005</v>
      </c>
      <c r="V62" s="74" t="n">
        <f aca="false">IF(AND(T62=1,E62="Production"),K62+ROW()/1000000,1000000000)</f>
        <v>1000000000</v>
      </c>
      <c r="W62" s="52" t="n">
        <f aca="false">SUMPRODUCT(MAX((Sales_Data!$F$2:$F$3520=A62)*Sales_Data!$C$2:$C$3520))</f>
        <v>0</v>
      </c>
    </row>
    <row r="63" customFormat="false" ht="15" hidden="false" customHeight="false" outlineLevel="0" collapsed="false">
      <c r="A63" s="53" t="s">
        <v>6321</v>
      </c>
      <c r="B63" s="48" t="s">
        <v>6322</v>
      </c>
      <c r="C63" s="53" t="s">
        <v>50</v>
      </c>
      <c r="D63" s="53" t="s">
        <v>49</v>
      </c>
      <c r="E63" s="53" t="s">
        <v>3708</v>
      </c>
      <c r="F63" s="53" t="s">
        <v>209</v>
      </c>
      <c r="G63" s="53" t="s">
        <v>6524</v>
      </c>
      <c r="H63" s="26" t="n">
        <f aca="false">SUMIFS(Sales_Data!$AE$2:$AE$3520,Sales_Data!$F$2:$F$3520,$A63,Sales_Data!$C$2:$C$3520,"&gt;="&amp;Dashboard!$C$5,Sales_Data!$C$2:$C$3520,"&lt;="&amp;Dashboard!$C$6)</f>
        <v>2</v>
      </c>
      <c r="I63" s="26" t="n">
        <f aca="false">SUMIFS(Sales_Data!$M$2:$M$3520,Sales_Data!$F$2:$F$3520,$A63,Sales_Data!$C$2:$C$3520,"&gt;="&amp;Dashboard!$C$5,Sales_Data!$C$2:$C$3520,"&lt;="&amp;Dashboard!$C$6,Sales_Data!$AE$2:$AE$3520,1)</f>
        <v>1</v>
      </c>
      <c r="J63" s="26" t="n">
        <f aca="false">SUMIFS(Sales_Data!$N$2:$N$3520,Sales_Data!$F$2:$F$3520,$A63,Sales_Data!$C$2:$C$3520,"&gt;="&amp;Dashboard!$C$5,Sales_Data!$C$2:$C$3520,"&lt;="&amp;Dashboard!$C$6,Sales_Data!$AE$2:$AE$3520,1)</f>
        <v>1</v>
      </c>
      <c r="K63" s="27" t="n">
        <f aca="false">SUMIFS(Sales_Data!$O$2:$O$3520,Sales_Data!$F$2:$F$3520,$A63,Sales_Data!$C$2:$C$3520,"&gt;="&amp;Dashboard!$C$5,Sales_Data!$C$2:$C$3520,"&lt;="&amp;Dashboard!$C$6,Sales_Data!$AE$2:$AE$3520,1)</f>
        <v>2</v>
      </c>
      <c r="L63" s="26" t="n">
        <f aca="false">SUMIFS(Sales_Data!$AF$2:$AF$3520,Sales_Data!$F$2:$F$3520,$A63,Sales_Data!$C$2:$C$3520,"&gt;="&amp;Dashboard!$C$5,Sales_Data!$C$2:$C$3520,"&lt;="&amp;Dashboard!$C$6)</f>
        <v>1</v>
      </c>
      <c r="M63" s="31" t="n">
        <f aca="false">IFERROR(K63/L63,0)</f>
        <v>2</v>
      </c>
      <c r="N63" s="26" t="n">
        <f aca="false">SUMIFS(Sales_Data!$O$2:$O$3520,Sales_Data!$F$2:$F$3520,$A63,Sales_Data!$C$2:$C$3520,"&gt;="&amp;Dashboard!$C$12,Sales_Data!$C$2:$C$3520,"&lt;="&amp;Dashboard!$C$13,Sales_Data!$AE$2:$AE$3520,1)</f>
        <v>0</v>
      </c>
      <c r="O63" s="28" t="n">
        <f aca="false">K63-N63</f>
        <v>2</v>
      </c>
      <c r="P63" s="54" t="n">
        <f aca="false">IF(W63=0,"-",W63)</f>
        <v>46303</v>
      </c>
      <c r="Q63" s="52" t="n">
        <f aca="false">IF(W63=0,"-",$B$2-W63)</f>
        <v>0</v>
      </c>
      <c r="R63" s="52" t="n">
        <f aca="false">IF(T63=1,COUNTIFS($T$5:$T$254,1,$K$5:$K$254,"&gt;"&amp;K63)+1,"-")</f>
        <v>84</v>
      </c>
      <c r="S63" s="52" t="n">
        <f aca="false">COUNTIFS($C$5:$C$254,C63,$K$5:$K$254,"&gt;"&amp;K63)+1</f>
        <v>4</v>
      </c>
      <c r="T63" s="52" t="n">
        <f aca="false">IF(AND(OR(Dashboard!$C$7="All",D63=Dashboard!$C$7),OR(Dashboard!$C$8="All",C63=Dashboard!$C$8)),1,0)</f>
        <v>1</v>
      </c>
      <c r="U63" s="74" t="n">
        <f aca="false">IF(T63=1,K63+ROW()/1000000,-1)</f>
        <v>2.000063</v>
      </c>
      <c r="V63" s="74" t="n">
        <f aca="false">IF(AND(T63=1,E63="Production"),K63+ROW()/1000000,1000000000)</f>
        <v>1000000000</v>
      </c>
      <c r="W63" s="52" t="n">
        <f aca="false">SUMPRODUCT(MAX((Sales_Data!$F$2:$F$3520=A63)*Sales_Data!$C$2:$C$3520))</f>
        <v>46303</v>
      </c>
    </row>
    <row r="64" customFormat="false" ht="15" hidden="false" customHeight="false" outlineLevel="0" collapsed="false">
      <c r="A64" s="53" t="s">
        <v>6531</v>
      </c>
      <c r="B64" s="48" t="s">
        <v>6532</v>
      </c>
      <c r="C64" s="53" t="s">
        <v>50</v>
      </c>
      <c r="D64" s="53" t="s">
        <v>49</v>
      </c>
      <c r="E64" s="53" t="s">
        <v>3708</v>
      </c>
      <c r="F64" s="53" t="s">
        <v>209</v>
      </c>
      <c r="G64" s="53" t="s">
        <v>6517</v>
      </c>
      <c r="H64" s="26" t="n">
        <f aca="false">SUMIFS(Sales_Data!$AE$2:$AE$3520,Sales_Data!$F$2:$F$3520,$A64,Sales_Data!$C$2:$C$3520,"&gt;="&amp;Dashboard!$C$5,Sales_Data!$C$2:$C$3520,"&lt;="&amp;Dashboard!$C$6)</f>
        <v>0</v>
      </c>
      <c r="I64" s="26" t="n">
        <f aca="false">SUMIFS(Sales_Data!$M$2:$M$3520,Sales_Data!$F$2:$F$3520,$A64,Sales_Data!$C$2:$C$3520,"&gt;="&amp;Dashboard!$C$5,Sales_Data!$C$2:$C$3520,"&lt;="&amp;Dashboard!$C$6,Sales_Data!$AE$2:$AE$3520,1)</f>
        <v>0</v>
      </c>
      <c r="J64" s="26" t="n">
        <f aca="false">SUMIFS(Sales_Data!$N$2:$N$3520,Sales_Data!$F$2:$F$3520,$A64,Sales_Data!$C$2:$C$3520,"&gt;="&amp;Dashboard!$C$5,Sales_Data!$C$2:$C$3520,"&lt;="&amp;Dashboard!$C$6,Sales_Data!$AE$2:$AE$3520,1)</f>
        <v>0</v>
      </c>
      <c r="K64" s="27" t="n">
        <f aca="false">SUMIFS(Sales_Data!$O$2:$O$3520,Sales_Data!$F$2:$F$3520,$A64,Sales_Data!$C$2:$C$3520,"&gt;="&amp;Dashboard!$C$5,Sales_Data!$C$2:$C$3520,"&lt;="&amp;Dashboard!$C$6,Sales_Data!$AE$2:$AE$3520,1)</f>
        <v>0</v>
      </c>
      <c r="L64" s="26" t="n">
        <f aca="false">SUMIFS(Sales_Data!$AF$2:$AF$3520,Sales_Data!$F$2:$F$3520,$A64,Sales_Data!$C$2:$C$3520,"&gt;="&amp;Dashboard!$C$5,Sales_Data!$C$2:$C$3520,"&lt;="&amp;Dashboard!$C$6)</f>
        <v>0</v>
      </c>
      <c r="M64" s="31" t="n">
        <f aca="false">IFERROR(K64/L64,0)</f>
        <v>0</v>
      </c>
      <c r="N64" s="26" t="n">
        <f aca="false">SUMIFS(Sales_Data!$O$2:$O$3520,Sales_Data!$F$2:$F$3520,$A64,Sales_Data!$C$2:$C$3520,"&gt;="&amp;Dashboard!$C$12,Sales_Data!$C$2:$C$3520,"&lt;="&amp;Dashboard!$C$13,Sales_Data!$AE$2:$AE$3520,1)</f>
        <v>0</v>
      </c>
      <c r="O64" s="28" t="n">
        <f aca="false">K64-N64</f>
        <v>0</v>
      </c>
      <c r="P64" s="54" t="str">
        <f aca="false">IF(W64=0,"-",W64)</f>
        <v>-</v>
      </c>
      <c r="Q64" s="52" t="str">
        <f aca="false">IF(W64=0,"-",$B$2-W64)</f>
        <v>-</v>
      </c>
      <c r="R64" s="52" t="n">
        <f aca="false">IF(T64=1,COUNTIFS($T$5:$T$254,1,$K$5:$K$254,"&gt;"&amp;K64)+1,"-")</f>
        <v>139</v>
      </c>
      <c r="S64" s="52" t="n">
        <f aca="false">COUNTIFS($C$5:$C$254,C64,$K$5:$K$254,"&gt;"&amp;K64)+1</f>
        <v>7</v>
      </c>
      <c r="T64" s="52" t="n">
        <f aca="false">IF(AND(OR(Dashboard!$C$7="All",D64=Dashboard!$C$7),OR(Dashboard!$C$8="All",C64=Dashboard!$C$8)),1,0)</f>
        <v>1</v>
      </c>
      <c r="U64" s="74" t="n">
        <f aca="false">IF(T64=1,K64+ROW()/1000000,-1)</f>
        <v>6.4E-005</v>
      </c>
      <c r="V64" s="74" t="n">
        <f aca="false">IF(AND(T64=1,E64="Production"),K64+ROW()/1000000,1000000000)</f>
        <v>1000000000</v>
      </c>
      <c r="W64" s="52" t="n">
        <f aca="false">SUMPRODUCT(MAX((Sales_Data!$F$2:$F$3520=A64)*Sales_Data!$C$2:$C$3520))</f>
        <v>0</v>
      </c>
    </row>
    <row r="65" customFormat="false" ht="15" hidden="false" customHeight="false" outlineLevel="0" collapsed="false">
      <c r="A65" s="53" t="s">
        <v>4800</v>
      </c>
      <c r="B65" s="48" t="s">
        <v>4801</v>
      </c>
      <c r="C65" s="53" t="s">
        <v>50</v>
      </c>
      <c r="D65" s="53" t="s">
        <v>49</v>
      </c>
      <c r="E65" s="53" t="s">
        <v>3708</v>
      </c>
      <c r="F65" s="53" t="s">
        <v>209</v>
      </c>
      <c r="G65" s="53" t="s">
        <v>6517</v>
      </c>
      <c r="H65" s="26" t="n">
        <f aca="false">SUMIFS(Sales_Data!$AE$2:$AE$3520,Sales_Data!$F$2:$F$3520,$A65,Sales_Data!$C$2:$C$3520,"&gt;="&amp;Dashboard!$C$5,Sales_Data!$C$2:$C$3520,"&lt;="&amp;Dashboard!$C$6)</f>
        <v>0</v>
      </c>
      <c r="I65" s="26" t="n">
        <f aca="false">SUMIFS(Sales_Data!$M$2:$M$3520,Sales_Data!$F$2:$F$3520,$A65,Sales_Data!$C$2:$C$3520,"&gt;="&amp;Dashboard!$C$5,Sales_Data!$C$2:$C$3520,"&lt;="&amp;Dashboard!$C$6,Sales_Data!$AE$2:$AE$3520,1)</f>
        <v>0</v>
      </c>
      <c r="J65" s="26" t="n">
        <f aca="false">SUMIFS(Sales_Data!$N$2:$N$3520,Sales_Data!$F$2:$F$3520,$A65,Sales_Data!$C$2:$C$3520,"&gt;="&amp;Dashboard!$C$5,Sales_Data!$C$2:$C$3520,"&lt;="&amp;Dashboard!$C$6,Sales_Data!$AE$2:$AE$3520,1)</f>
        <v>0</v>
      </c>
      <c r="K65" s="27" t="n">
        <f aca="false">SUMIFS(Sales_Data!$O$2:$O$3520,Sales_Data!$F$2:$F$3520,$A65,Sales_Data!$C$2:$C$3520,"&gt;="&amp;Dashboard!$C$5,Sales_Data!$C$2:$C$3520,"&lt;="&amp;Dashboard!$C$6,Sales_Data!$AE$2:$AE$3520,1)</f>
        <v>0</v>
      </c>
      <c r="L65" s="26" t="n">
        <f aca="false">SUMIFS(Sales_Data!$AF$2:$AF$3520,Sales_Data!$F$2:$F$3520,$A65,Sales_Data!$C$2:$C$3520,"&gt;="&amp;Dashboard!$C$5,Sales_Data!$C$2:$C$3520,"&lt;="&amp;Dashboard!$C$6)</f>
        <v>0</v>
      </c>
      <c r="M65" s="31" t="n">
        <f aca="false">IFERROR(K65/L65,0)</f>
        <v>0</v>
      </c>
      <c r="N65" s="26" t="n">
        <f aca="false">SUMIFS(Sales_Data!$O$2:$O$3520,Sales_Data!$F$2:$F$3520,$A65,Sales_Data!$C$2:$C$3520,"&gt;="&amp;Dashboard!$C$12,Sales_Data!$C$2:$C$3520,"&lt;="&amp;Dashboard!$C$13,Sales_Data!$AE$2:$AE$3520,1)</f>
        <v>3</v>
      </c>
      <c r="O65" s="28" t="n">
        <f aca="false">K65-N65</f>
        <v>-3</v>
      </c>
      <c r="P65" s="54" t="n">
        <f aca="false">IF(W65=0,"-",W65)</f>
        <v>46295</v>
      </c>
      <c r="Q65" s="52" t="n">
        <f aca="false">IF(W65=0,"-",$B$2-W65)</f>
        <v>8</v>
      </c>
      <c r="R65" s="52" t="n">
        <f aca="false">IF(T65=1,COUNTIFS($T$5:$T$254,1,$K$5:$K$254,"&gt;"&amp;K65)+1,"-")</f>
        <v>139</v>
      </c>
      <c r="S65" s="52" t="n">
        <f aca="false">COUNTIFS($C$5:$C$254,C65,$K$5:$K$254,"&gt;"&amp;K65)+1</f>
        <v>7</v>
      </c>
      <c r="T65" s="52" t="n">
        <f aca="false">IF(AND(OR(Dashboard!$C$7="All",D65=Dashboard!$C$7),OR(Dashboard!$C$8="All",C65=Dashboard!$C$8)),1,0)</f>
        <v>1</v>
      </c>
      <c r="U65" s="74" t="n">
        <f aca="false">IF(T65=1,K65+ROW()/1000000,-1)</f>
        <v>6.5E-005</v>
      </c>
      <c r="V65" s="74" t="n">
        <f aca="false">IF(AND(T65=1,E65="Production"),K65+ROW()/1000000,1000000000)</f>
        <v>1000000000</v>
      </c>
      <c r="W65" s="52" t="n">
        <f aca="false">SUMPRODUCT(MAX((Sales_Data!$F$2:$F$3520=A65)*Sales_Data!$C$2:$C$3520))</f>
        <v>46295</v>
      </c>
    </row>
    <row r="66" customFormat="false" ht="15" hidden="false" customHeight="false" outlineLevel="0" collapsed="false">
      <c r="A66" s="53" t="s">
        <v>6422</v>
      </c>
      <c r="B66" s="48" t="s">
        <v>6423</v>
      </c>
      <c r="C66" s="53" t="s">
        <v>50</v>
      </c>
      <c r="D66" s="53" t="s">
        <v>49</v>
      </c>
      <c r="E66" s="53" t="s">
        <v>3708</v>
      </c>
      <c r="F66" s="53" t="s">
        <v>209</v>
      </c>
      <c r="G66" s="53" t="s">
        <v>6524</v>
      </c>
      <c r="H66" s="26" t="n">
        <f aca="false">SUMIFS(Sales_Data!$AE$2:$AE$3520,Sales_Data!$F$2:$F$3520,$A66,Sales_Data!$C$2:$C$3520,"&gt;="&amp;Dashboard!$C$5,Sales_Data!$C$2:$C$3520,"&lt;="&amp;Dashboard!$C$6)</f>
        <v>1</v>
      </c>
      <c r="I66" s="26" t="n">
        <f aca="false">SUMIFS(Sales_Data!$M$2:$M$3520,Sales_Data!$F$2:$F$3520,$A66,Sales_Data!$C$2:$C$3520,"&gt;="&amp;Dashboard!$C$5,Sales_Data!$C$2:$C$3520,"&lt;="&amp;Dashboard!$C$6,Sales_Data!$AE$2:$AE$3520,1)</f>
        <v>1</v>
      </c>
      <c r="J66" s="26" t="n">
        <f aca="false">SUMIFS(Sales_Data!$N$2:$N$3520,Sales_Data!$F$2:$F$3520,$A66,Sales_Data!$C$2:$C$3520,"&gt;="&amp;Dashboard!$C$5,Sales_Data!$C$2:$C$3520,"&lt;="&amp;Dashboard!$C$6,Sales_Data!$AE$2:$AE$3520,1)</f>
        <v>0</v>
      </c>
      <c r="K66" s="27" t="n">
        <f aca="false">SUMIFS(Sales_Data!$O$2:$O$3520,Sales_Data!$F$2:$F$3520,$A66,Sales_Data!$C$2:$C$3520,"&gt;="&amp;Dashboard!$C$5,Sales_Data!$C$2:$C$3520,"&lt;="&amp;Dashboard!$C$6,Sales_Data!$AE$2:$AE$3520,1)</f>
        <v>1</v>
      </c>
      <c r="L66" s="26" t="n">
        <f aca="false">SUMIFS(Sales_Data!$AF$2:$AF$3520,Sales_Data!$F$2:$F$3520,$A66,Sales_Data!$C$2:$C$3520,"&gt;="&amp;Dashboard!$C$5,Sales_Data!$C$2:$C$3520,"&lt;="&amp;Dashboard!$C$6)</f>
        <v>1</v>
      </c>
      <c r="M66" s="31" t="n">
        <f aca="false">IFERROR(K66/L66,0)</f>
        <v>1</v>
      </c>
      <c r="N66" s="26" t="n">
        <f aca="false">SUMIFS(Sales_Data!$O$2:$O$3520,Sales_Data!$F$2:$F$3520,$A66,Sales_Data!$C$2:$C$3520,"&gt;="&amp;Dashboard!$C$12,Sales_Data!$C$2:$C$3520,"&lt;="&amp;Dashboard!$C$13,Sales_Data!$AE$2:$AE$3520,1)</f>
        <v>0</v>
      </c>
      <c r="O66" s="28" t="n">
        <f aca="false">K66-N66</f>
        <v>1</v>
      </c>
      <c r="P66" s="54" t="n">
        <f aca="false">IF(W66=0,"-",W66)</f>
        <v>46303</v>
      </c>
      <c r="Q66" s="52" t="n">
        <f aca="false">IF(W66=0,"-",$B$2-W66)</f>
        <v>0</v>
      </c>
      <c r="R66" s="52" t="n">
        <f aca="false">IF(T66=1,COUNTIFS($T$5:$T$254,1,$K$5:$K$254,"&gt;"&amp;K66)+1,"-")</f>
        <v>105</v>
      </c>
      <c r="S66" s="52" t="n">
        <f aca="false">COUNTIFS($C$5:$C$254,C66,$K$5:$K$254,"&gt;"&amp;K66)+1</f>
        <v>5</v>
      </c>
      <c r="T66" s="52" t="n">
        <f aca="false">IF(AND(OR(Dashboard!$C$7="All",D66=Dashboard!$C$7),OR(Dashboard!$C$8="All",C66=Dashboard!$C$8)),1,0)</f>
        <v>1</v>
      </c>
      <c r="U66" s="74" t="n">
        <f aca="false">IF(T66=1,K66+ROW()/1000000,-1)</f>
        <v>1.000066</v>
      </c>
      <c r="V66" s="74" t="n">
        <f aca="false">IF(AND(T66=1,E66="Production"),K66+ROW()/1000000,1000000000)</f>
        <v>1000000000</v>
      </c>
      <c r="W66" s="52" t="n">
        <f aca="false">SUMPRODUCT(MAX((Sales_Data!$F$2:$F$3520=A66)*Sales_Data!$C$2:$C$3520))</f>
        <v>46303</v>
      </c>
    </row>
    <row r="67" customFormat="false" ht="15" hidden="false" customHeight="false" outlineLevel="0" collapsed="false">
      <c r="A67" s="53" t="s">
        <v>5979</v>
      </c>
      <c r="B67" s="48" t="s">
        <v>5980</v>
      </c>
      <c r="C67" s="53" t="s">
        <v>50</v>
      </c>
      <c r="D67" s="53" t="s">
        <v>49</v>
      </c>
      <c r="E67" s="53" t="s">
        <v>3708</v>
      </c>
      <c r="F67" s="53" t="s">
        <v>209</v>
      </c>
      <c r="G67" s="53" t="s">
        <v>6517</v>
      </c>
      <c r="H67" s="26" t="n">
        <f aca="false">SUMIFS(Sales_Data!$AE$2:$AE$3520,Sales_Data!$F$2:$F$3520,$A67,Sales_Data!$C$2:$C$3520,"&gt;="&amp;Dashboard!$C$5,Sales_Data!$C$2:$C$3520,"&lt;="&amp;Dashboard!$C$6)</f>
        <v>4</v>
      </c>
      <c r="I67" s="26" t="n">
        <f aca="false">SUMIFS(Sales_Data!$M$2:$M$3520,Sales_Data!$F$2:$F$3520,$A67,Sales_Data!$C$2:$C$3520,"&gt;="&amp;Dashboard!$C$5,Sales_Data!$C$2:$C$3520,"&lt;="&amp;Dashboard!$C$6,Sales_Data!$AE$2:$AE$3520,1)</f>
        <v>0</v>
      </c>
      <c r="J67" s="26" t="n">
        <f aca="false">SUMIFS(Sales_Data!$N$2:$N$3520,Sales_Data!$F$2:$F$3520,$A67,Sales_Data!$C$2:$C$3520,"&gt;="&amp;Dashboard!$C$5,Sales_Data!$C$2:$C$3520,"&lt;="&amp;Dashboard!$C$6,Sales_Data!$AE$2:$AE$3520,1)</f>
        <v>6</v>
      </c>
      <c r="K67" s="27" t="n">
        <f aca="false">SUMIFS(Sales_Data!$O$2:$O$3520,Sales_Data!$F$2:$F$3520,$A67,Sales_Data!$C$2:$C$3520,"&gt;="&amp;Dashboard!$C$5,Sales_Data!$C$2:$C$3520,"&lt;="&amp;Dashboard!$C$6,Sales_Data!$AE$2:$AE$3520,1)</f>
        <v>6</v>
      </c>
      <c r="L67" s="26" t="n">
        <f aca="false">SUMIFS(Sales_Data!$AF$2:$AF$3520,Sales_Data!$F$2:$F$3520,$A67,Sales_Data!$C$2:$C$3520,"&gt;="&amp;Dashboard!$C$5,Sales_Data!$C$2:$C$3520,"&lt;="&amp;Dashboard!$C$6)</f>
        <v>2</v>
      </c>
      <c r="M67" s="31" t="n">
        <f aca="false">IFERROR(K67/L67,0)</f>
        <v>3</v>
      </c>
      <c r="N67" s="26" t="n">
        <f aca="false">SUMIFS(Sales_Data!$O$2:$O$3520,Sales_Data!$F$2:$F$3520,$A67,Sales_Data!$C$2:$C$3520,"&gt;="&amp;Dashboard!$C$12,Sales_Data!$C$2:$C$3520,"&lt;="&amp;Dashboard!$C$13,Sales_Data!$AE$2:$AE$3520,1)</f>
        <v>0</v>
      </c>
      <c r="O67" s="28" t="n">
        <f aca="false">K67-N67</f>
        <v>6</v>
      </c>
      <c r="P67" s="54" t="n">
        <f aca="false">IF(W67=0,"-",W67)</f>
        <v>46302</v>
      </c>
      <c r="Q67" s="52" t="n">
        <f aca="false">IF(W67=0,"-",$B$2-W67)</f>
        <v>1</v>
      </c>
      <c r="R67" s="52" t="n">
        <f aca="false">IF(T67=1,COUNTIFS($T$5:$T$254,1,$K$5:$K$254,"&gt;"&amp;K67)+1,"-")</f>
        <v>17</v>
      </c>
      <c r="S67" s="52" t="n">
        <f aca="false">COUNTIFS($C$5:$C$254,C67,$K$5:$K$254,"&gt;"&amp;K67)+1</f>
        <v>1</v>
      </c>
      <c r="T67" s="52" t="n">
        <f aca="false">IF(AND(OR(Dashboard!$C$7="All",D67=Dashboard!$C$7),OR(Dashboard!$C$8="All",C67=Dashboard!$C$8)),1,0)</f>
        <v>1</v>
      </c>
      <c r="U67" s="74" t="n">
        <f aca="false">IF(T67=1,K67+ROW()/1000000,-1)</f>
        <v>6.000067</v>
      </c>
      <c r="V67" s="74" t="n">
        <f aca="false">IF(AND(T67=1,E67="Production"),K67+ROW()/1000000,1000000000)</f>
        <v>1000000000</v>
      </c>
      <c r="W67" s="52" t="n">
        <f aca="false">SUMPRODUCT(MAX((Sales_Data!$F$2:$F$3520=A67)*Sales_Data!$C$2:$C$3520))</f>
        <v>46302</v>
      </c>
    </row>
    <row r="68" customFormat="false" ht="15" hidden="false" customHeight="false" outlineLevel="0" collapsed="false">
      <c r="A68" s="53" t="s">
        <v>6537</v>
      </c>
      <c r="B68" s="48" t="s">
        <v>6538</v>
      </c>
      <c r="C68" s="53" t="s">
        <v>50</v>
      </c>
      <c r="D68" s="53" t="s">
        <v>49</v>
      </c>
      <c r="E68" s="53" t="s">
        <v>3708</v>
      </c>
      <c r="F68" s="53" t="s">
        <v>209</v>
      </c>
      <c r="G68" s="53" t="s">
        <v>6517</v>
      </c>
      <c r="H68" s="26" t="n">
        <f aca="false">SUMIFS(Sales_Data!$AE$2:$AE$3520,Sales_Data!$F$2:$F$3520,$A68,Sales_Data!$C$2:$C$3520,"&gt;="&amp;Dashboard!$C$5,Sales_Data!$C$2:$C$3520,"&lt;="&amp;Dashboard!$C$6)</f>
        <v>0</v>
      </c>
      <c r="I68" s="26" t="n">
        <f aca="false">SUMIFS(Sales_Data!$M$2:$M$3520,Sales_Data!$F$2:$F$3520,$A68,Sales_Data!$C$2:$C$3520,"&gt;="&amp;Dashboard!$C$5,Sales_Data!$C$2:$C$3520,"&lt;="&amp;Dashboard!$C$6,Sales_Data!$AE$2:$AE$3520,1)</f>
        <v>0</v>
      </c>
      <c r="J68" s="26" t="n">
        <f aca="false">SUMIFS(Sales_Data!$N$2:$N$3520,Sales_Data!$F$2:$F$3520,$A68,Sales_Data!$C$2:$C$3520,"&gt;="&amp;Dashboard!$C$5,Sales_Data!$C$2:$C$3520,"&lt;="&amp;Dashboard!$C$6,Sales_Data!$AE$2:$AE$3520,1)</f>
        <v>0</v>
      </c>
      <c r="K68" s="27" t="n">
        <f aca="false">SUMIFS(Sales_Data!$O$2:$O$3520,Sales_Data!$F$2:$F$3520,$A68,Sales_Data!$C$2:$C$3520,"&gt;="&amp;Dashboard!$C$5,Sales_Data!$C$2:$C$3520,"&lt;="&amp;Dashboard!$C$6,Sales_Data!$AE$2:$AE$3520,1)</f>
        <v>0</v>
      </c>
      <c r="L68" s="26" t="n">
        <f aca="false">SUMIFS(Sales_Data!$AF$2:$AF$3520,Sales_Data!$F$2:$F$3520,$A68,Sales_Data!$C$2:$C$3520,"&gt;="&amp;Dashboard!$C$5,Sales_Data!$C$2:$C$3520,"&lt;="&amp;Dashboard!$C$6)</f>
        <v>0</v>
      </c>
      <c r="M68" s="31" t="n">
        <f aca="false">IFERROR(K68/L68,0)</f>
        <v>0</v>
      </c>
      <c r="N68" s="26" t="n">
        <f aca="false">SUMIFS(Sales_Data!$O$2:$O$3520,Sales_Data!$F$2:$F$3520,$A68,Sales_Data!$C$2:$C$3520,"&gt;="&amp;Dashboard!$C$12,Sales_Data!$C$2:$C$3520,"&lt;="&amp;Dashboard!$C$13,Sales_Data!$AE$2:$AE$3520,1)</f>
        <v>0</v>
      </c>
      <c r="O68" s="28" t="n">
        <f aca="false">K68-N68</f>
        <v>0</v>
      </c>
      <c r="P68" s="54" t="str">
        <f aca="false">IF(W68=0,"-",W68)</f>
        <v>-</v>
      </c>
      <c r="Q68" s="52" t="str">
        <f aca="false">IF(W68=0,"-",$B$2-W68)</f>
        <v>-</v>
      </c>
      <c r="R68" s="52" t="n">
        <f aca="false">IF(T68=1,COUNTIFS($T$5:$T$254,1,$K$5:$K$254,"&gt;"&amp;K68)+1,"-")</f>
        <v>139</v>
      </c>
      <c r="S68" s="52" t="n">
        <f aca="false">COUNTIFS($C$5:$C$254,C68,$K$5:$K$254,"&gt;"&amp;K68)+1</f>
        <v>7</v>
      </c>
      <c r="T68" s="52" t="n">
        <f aca="false">IF(AND(OR(Dashboard!$C$7="All",D68=Dashboard!$C$7),OR(Dashboard!$C$8="All",C68=Dashboard!$C$8)),1,0)</f>
        <v>1</v>
      </c>
      <c r="U68" s="74" t="n">
        <f aca="false">IF(T68=1,K68+ROW()/1000000,-1)</f>
        <v>6.8E-005</v>
      </c>
      <c r="V68" s="74" t="n">
        <f aca="false">IF(AND(T68=1,E68="Production"),K68+ROW()/1000000,1000000000)</f>
        <v>1000000000</v>
      </c>
      <c r="W68" s="52" t="n">
        <f aca="false">SUMPRODUCT(MAX((Sales_Data!$F$2:$F$3520=A68)*Sales_Data!$C$2:$C$3520))</f>
        <v>0</v>
      </c>
    </row>
    <row r="69" customFormat="false" ht="15" hidden="false" customHeight="false" outlineLevel="0" collapsed="false">
      <c r="A69" s="53" t="s">
        <v>6540</v>
      </c>
      <c r="B69" s="48" t="s">
        <v>6541</v>
      </c>
      <c r="C69" s="53" t="s">
        <v>50</v>
      </c>
      <c r="D69" s="53" t="s">
        <v>49</v>
      </c>
      <c r="E69" s="53" t="s">
        <v>3708</v>
      </c>
      <c r="F69" s="53" t="s">
        <v>209</v>
      </c>
      <c r="G69" s="53" t="s">
        <v>6524</v>
      </c>
      <c r="H69" s="26" t="n">
        <f aca="false">SUMIFS(Sales_Data!$AE$2:$AE$3520,Sales_Data!$F$2:$F$3520,$A69,Sales_Data!$C$2:$C$3520,"&gt;="&amp;Dashboard!$C$5,Sales_Data!$C$2:$C$3520,"&lt;="&amp;Dashboard!$C$6)</f>
        <v>0</v>
      </c>
      <c r="I69" s="26" t="n">
        <f aca="false">SUMIFS(Sales_Data!$M$2:$M$3520,Sales_Data!$F$2:$F$3520,$A69,Sales_Data!$C$2:$C$3520,"&gt;="&amp;Dashboard!$C$5,Sales_Data!$C$2:$C$3520,"&lt;="&amp;Dashboard!$C$6,Sales_Data!$AE$2:$AE$3520,1)</f>
        <v>0</v>
      </c>
      <c r="J69" s="26" t="n">
        <f aca="false">SUMIFS(Sales_Data!$N$2:$N$3520,Sales_Data!$F$2:$F$3520,$A69,Sales_Data!$C$2:$C$3520,"&gt;="&amp;Dashboard!$C$5,Sales_Data!$C$2:$C$3520,"&lt;="&amp;Dashboard!$C$6,Sales_Data!$AE$2:$AE$3520,1)</f>
        <v>0</v>
      </c>
      <c r="K69" s="27" t="n">
        <f aca="false">SUMIFS(Sales_Data!$O$2:$O$3520,Sales_Data!$F$2:$F$3520,$A69,Sales_Data!$C$2:$C$3520,"&gt;="&amp;Dashboard!$C$5,Sales_Data!$C$2:$C$3520,"&lt;="&amp;Dashboard!$C$6,Sales_Data!$AE$2:$AE$3520,1)</f>
        <v>0</v>
      </c>
      <c r="L69" s="26" t="n">
        <f aca="false">SUMIFS(Sales_Data!$AF$2:$AF$3520,Sales_Data!$F$2:$F$3520,$A69,Sales_Data!$C$2:$C$3520,"&gt;="&amp;Dashboard!$C$5,Sales_Data!$C$2:$C$3520,"&lt;="&amp;Dashboard!$C$6)</f>
        <v>0</v>
      </c>
      <c r="M69" s="31" t="n">
        <f aca="false">IFERROR(K69/L69,0)</f>
        <v>0</v>
      </c>
      <c r="N69" s="26" t="n">
        <f aca="false">SUMIFS(Sales_Data!$O$2:$O$3520,Sales_Data!$F$2:$F$3520,$A69,Sales_Data!$C$2:$C$3520,"&gt;="&amp;Dashboard!$C$12,Sales_Data!$C$2:$C$3520,"&lt;="&amp;Dashboard!$C$13,Sales_Data!$AE$2:$AE$3520,1)</f>
        <v>0</v>
      </c>
      <c r="O69" s="28" t="n">
        <f aca="false">K69-N69</f>
        <v>0</v>
      </c>
      <c r="P69" s="54" t="str">
        <f aca="false">IF(W69=0,"-",W69)</f>
        <v>-</v>
      </c>
      <c r="Q69" s="52" t="str">
        <f aca="false">IF(W69=0,"-",$B$2-W69)</f>
        <v>-</v>
      </c>
      <c r="R69" s="52" t="n">
        <f aca="false">IF(T69=1,COUNTIFS($T$5:$T$254,1,$K$5:$K$254,"&gt;"&amp;K69)+1,"-")</f>
        <v>139</v>
      </c>
      <c r="S69" s="52" t="n">
        <f aca="false">COUNTIFS($C$5:$C$254,C69,$K$5:$K$254,"&gt;"&amp;K69)+1</f>
        <v>7</v>
      </c>
      <c r="T69" s="52" t="n">
        <f aca="false">IF(AND(OR(Dashboard!$C$7="All",D69=Dashboard!$C$7),OR(Dashboard!$C$8="All",C69=Dashboard!$C$8)),1,0)</f>
        <v>1</v>
      </c>
      <c r="U69" s="74" t="n">
        <f aca="false">IF(T69=1,K69+ROW()/1000000,-1)</f>
        <v>6.9E-005</v>
      </c>
      <c r="V69" s="74" t="n">
        <f aca="false">IF(AND(T69=1,E69="Production"),K69+ROW()/1000000,1000000000)</f>
        <v>1000000000</v>
      </c>
      <c r="W69" s="52" t="n">
        <f aca="false">SUMPRODUCT(MAX((Sales_Data!$F$2:$F$3520=A69)*Sales_Data!$C$2:$C$3520))</f>
        <v>0</v>
      </c>
    </row>
    <row r="70" customFormat="false" ht="15" hidden="false" customHeight="false" outlineLevel="0" collapsed="false">
      <c r="A70" s="53" t="s">
        <v>6543</v>
      </c>
      <c r="B70" s="48" t="s">
        <v>6544</v>
      </c>
      <c r="C70" s="53" t="s">
        <v>50</v>
      </c>
      <c r="D70" s="53" t="s">
        <v>49</v>
      </c>
      <c r="E70" s="53" t="s">
        <v>3708</v>
      </c>
      <c r="F70" s="53" t="s">
        <v>209</v>
      </c>
      <c r="G70" s="53" t="s">
        <v>6524</v>
      </c>
      <c r="H70" s="26" t="n">
        <f aca="false">SUMIFS(Sales_Data!$AE$2:$AE$3520,Sales_Data!$F$2:$F$3520,$A70,Sales_Data!$C$2:$C$3520,"&gt;="&amp;Dashboard!$C$5,Sales_Data!$C$2:$C$3520,"&lt;="&amp;Dashboard!$C$6)</f>
        <v>0</v>
      </c>
      <c r="I70" s="26" t="n">
        <f aca="false">SUMIFS(Sales_Data!$M$2:$M$3520,Sales_Data!$F$2:$F$3520,$A70,Sales_Data!$C$2:$C$3520,"&gt;="&amp;Dashboard!$C$5,Sales_Data!$C$2:$C$3520,"&lt;="&amp;Dashboard!$C$6,Sales_Data!$AE$2:$AE$3520,1)</f>
        <v>0</v>
      </c>
      <c r="J70" s="26" t="n">
        <f aca="false">SUMIFS(Sales_Data!$N$2:$N$3520,Sales_Data!$F$2:$F$3520,$A70,Sales_Data!$C$2:$C$3520,"&gt;="&amp;Dashboard!$C$5,Sales_Data!$C$2:$C$3520,"&lt;="&amp;Dashboard!$C$6,Sales_Data!$AE$2:$AE$3520,1)</f>
        <v>0</v>
      </c>
      <c r="K70" s="27" t="n">
        <f aca="false">SUMIFS(Sales_Data!$O$2:$O$3520,Sales_Data!$F$2:$F$3520,$A70,Sales_Data!$C$2:$C$3520,"&gt;="&amp;Dashboard!$C$5,Sales_Data!$C$2:$C$3520,"&lt;="&amp;Dashboard!$C$6,Sales_Data!$AE$2:$AE$3520,1)</f>
        <v>0</v>
      </c>
      <c r="L70" s="26" t="n">
        <f aca="false">SUMIFS(Sales_Data!$AF$2:$AF$3520,Sales_Data!$F$2:$F$3520,$A70,Sales_Data!$C$2:$C$3520,"&gt;="&amp;Dashboard!$C$5,Sales_Data!$C$2:$C$3520,"&lt;="&amp;Dashboard!$C$6)</f>
        <v>0</v>
      </c>
      <c r="M70" s="31" t="n">
        <f aca="false">IFERROR(K70/L70,0)</f>
        <v>0</v>
      </c>
      <c r="N70" s="26" t="n">
        <f aca="false">SUMIFS(Sales_Data!$O$2:$O$3520,Sales_Data!$F$2:$F$3520,$A70,Sales_Data!$C$2:$C$3520,"&gt;="&amp;Dashboard!$C$12,Sales_Data!$C$2:$C$3520,"&lt;="&amp;Dashboard!$C$13,Sales_Data!$AE$2:$AE$3520,1)</f>
        <v>0</v>
      </c>
      <c r="O70" s="28" t="n">
        <f aca="false">K70-N70</f>
        <v>0</v>
      </c>
      <c r="P70" s="54" t="str">
        <f aca="false">IF(W70=0,"-",W70)</f>
        <v>-</v>
      </c>
      <c r="Q70" s="52" t="str">
        <f aca="false">IF(W70=0,"-",$B$2-W70)</f>
        <v>-</v>
      </c>
      <c r="R70" s="52" t="n">
        <f aca="false">IF(T70=1,COUNTIFS($T$5:$T$254,1,$K$5:$K$254,"&gt;"&amp;K70)+1,"-")</f>
        <v>139</v>
      </c>
      <c r="S70" s="52" t="n">
        <f aca="false">COUNTIFS($C$5:$C$254,C70,$K$5:$K$254,"&gt;"&amp;K70)+1</f>
        <v>7</v>
      </c>
      <c r="T70" s="52" t="n">
        <f aca="false">IF(AND(OR(Dashboard!$C$7="All",D70=Dashboard!$C$7),OR(Dashboard!$C$8="All",C70=Dashboard!$C$8)),1,0)</f>
        <v>1</v>
      </c>
      <c r="U70" s="74" t="n">
        <f aca="false">IF(T70=1,K70+ROW()/1000000,-1)</f>
        <v>7E-005</v>
      </c>
      <c r="V70" s="74" t="n">
        <f aca="false">IF(AND(T70=1,E70="Production"),K70+ROW()/1000000,1000000000)</f>
        <v>1000000000</v>
      </c>
      <c r="W70" s="52" t="n">
        <f aca="false">SUMPRODUCT(MAX((Sales_Data!$F$2:$F$3520=A70)*Sales_Data!$C$2:$C$3520))</f>
        <v>0</v>
      </c>
    </row>
    <row r="71" customFormat="false" ht="15" hidden="false" customHeight="false" outlineLevel="0" collapsed="false">
      <c r="A71" s="53" t="s">
        <v>5969</v>
      </c>
      <c r="B71" s="48" t="s">
        <v>5970</v>
      </c>
      <c r="C71" s="53" t="s">
        <v>50</v>
      </c>
      <c r="D71" s="53" t="s">
        <v>49</v>
      </c>
      <c r="E71" s="53" t="s">
        <v>3708</v>
      </c>
      <c r="F71" s="53" t="s">
        <v>209</v>
      </c>
      <c r="G71" s="53" t="s">
        <v>6517</v>
      </c>
      <c r="H71" s="26" t="n">
        <f aca="false">SUMIFS(Sales_Data!$AE$2:$AE$3520,Sales_Data!$F$2:$F$3520,$A71,Sales_Data!$C$2:$C$3520,"&gt;="&amp;Dashboard!$C$5,Sales_Data!$C$2:$C$3520,"&lt;="&amp;Dashboard!$C$6)</f>
        <v>3</v>
      </c>
      <c r="I71" s="26" t="n">
        <f aca="false">SUMIFS(Sales_Data!$M$2:$M$3520,Sales_Data!$F$2:$F$3520,$A71,Sales_Data!$C$2:$C$3520,"&gt;="&amp;Dashboard!$C$5,Sales_Data!$C$2:$C$3520,"&lt;="&amp;Dashboard!$C$6,Sales_Data!$AE$2:$AE$3520,1)</f>
        <v>1</v>
      </c>
      <c r="J71" s="26" t="n">
        <f aca="false">SUMIFS(Sales_Data!$N$2:$N$3520,Sales_Data!$F$2:$F$3520,$A71,Sales_Data!$C$2:$C$3520,"&gt;="&amp;Dashboard!$C$5,Sales_Data!$C$2:$C$3520,"&lt;="&amp;Dashboard!$C$6,Sales_Data!$AE$2:$AE$3520,1)</f>
        <v>2</v>
      </c>
      <c r="K71" s="27" t="n">
        <f aca="false">SUMIFS(Sales_Data!$O$2:$O$3520,Sales_Data!$F$2:$F$3520,$A71,Sales_Data!$C$2:$C$3520,"&gt;="&amp;Dashboard!$C$5,Sales_Data!$C$2:$C$3520,"&lt;="&amp;Dashboard!$C$6,Sales_Data!$AE$2:$AE$3520,1)</f>
        <v>3</v>
      </c>
      <c r="L71" s="26" t="n">
        <f aca="false">SUMIFS(Sales_Data!$AF$2:$AF$3520,Sales_Data!$F$2:$F$3520,$A71,Sales_Data!$C$2:$C$3520,"&gt;="&amp;Dashboard!$C$5,Sales_Data!$C$2:$C$3520,"&lt;="&amp;Dashboard!$C$6)</f>
        <v>2</v>
      </c>
      <c r="M71" s="31" t="n">
        <f aca="false">IFERROR(K71/L71,0)</f>
        <v>1.5</v>
      </c>
      <c r="N71" s="26" t="n">
        <f aca="false">SUMIFS(Sales_Data!$O$2:$O$3520,Sales_Data!$F$2:$F$3520,$A71,Sales_Data!$C$2:$C$3520,"&gt;="&amp;Dashboard!$C$12,Sales_Data!$C$2:$C$3520,"&lt;="&amp;Dashboard!$C$13,Sales_Data!$AE$2:$AE$3520,1)</f>
        <v>0</v>
      </c>
      <c r="O71" s="28" t="n">
        <f aca="false">K71-N71</f>
        <v>3</v>
      </c>
      <c r="P71" s="54" t="n">
        <f aca="false">IF(W71=0,"-",W71)</f>
        <v>46303</v>
      </c>
      <c r="Q71" s="52" t="n">
        <f aca="false">IF(W71=0,"-",$B$2-W71)</f>
        <v>0</v>
      </c>
      <c r="R71" s="52" t="n">
        <f aca="false">IF(T71=1,COUNTIFS($T$5:$T$254,1,$K$5:$K$254,"&gt;"&amp;K71)+1,"-")</f>
        <v>59</v>
      </c>
      <c r="S71" s="52" t="n">
        <f aca="false">COUNTIFS($C$5:$C$254,C71,$K$5:$K$254,"&gt;"&amp;K71)+1</f>
        <v>2</v>
      </c>
      <c r="T71" s="52" t="n">
        <f aca="false">IF(AND(OR(Dashboard!$C$7="All",D71=Dashboard!$C$7),OR(Dashboard!$C$8="All",C71=Dashboard!$C$8)),1,0)</f>
        <v>1</v>
      </c>
      <c r="U71" s="74" t="n">
        <f aca="false">IF(T71=1,K71+ROW()/1000000,-1)</f>
        <v>3.000071</v>
      </c>
      <c r="V71" s="74" t="n">
        <f aca="false">IF(AND(T71=1,E71="Production"),K71+ROW()/1000000,1000000000)</f>
        <v>1000000000</v>
      </c>
      <c r="W71" s="52" t="n">
        <f aca="false">SUMPRODUCT(MAX((Sales_Data!$F$2:$F$3520=A71)*Sales_Data!$C$2:$C$3520))</f>
        <v>46303</v>
      </c>
    </row>
    <row r="72" customFormat="false" ht="15" hidden="false" customHeight="false" outlineLevel="0" collapsed="false">
      <c r="A72" s="53" t="s">
        <v>3599</v>
      </c>
      <c r="B72" s="48" t="s">
        <v>3600</v>
      </c>
      <c r="C72" s="53" t="s">
        <v>51</v>
      </c>
      <c r="D72" s="53" t="s">
        <v>47</v>
      </c>
      <c r="E72" s="53" t="s">
        <v>146</v>
      </c>
      <c r="F72" s="53" t="s">
        <v>209</v>
      </c>
      <c r="G72" s="53" t="s">
        <v>6548</v>
      </c>
      <c r="H72" s="26" t="n">
        <f aca="false">SUMIFS(Sales_Data!$AE$2:$AE$3520,Sales_Data!$F$2:$F$3520,$A72,Sales_Data!$C$2:$C$3520,"&gt;="&amp;Dashboard!$C$5,Sales_Data!$C$2:$C$3520,"&lt;="&amp;Dashboard!$C$6)</f>
        <v>0</v>
      </c>
      <c r="I72" s="26" t="n">
        <f aca="false">SUMIFS(Sales_Data!$M$2:$M$3520,Sales_Data!$F$2:$F$3520,$A72,Sales_Data!$C$2:$C$3520,"&gt;="&amp;Dashboard!$C$5,Sales_Data!$C$2:$C$3520,"&lt;="&amp;Dashboard!$C$6,Sales_Data!$AE$2:$AE$3520,1)</f>
        <v>0</v>
      </c>
      <c r="J72" s="26" t="n">
        <f aca="false">SUMIFS(Sales_Data!$N$2:$N$3520,Sales_Data!$F$2:$F$3520,$A72,Sales_Data!$C$2:$C$3520,"&gt;="&amp;Dashboard!$C$5,Sales_Data!$C$2:$C$3520,"&lt;="&amp;Dashboard!$C$6,Sales_Data!$AE$2:$AE$3520,1)</f>
        <v>0</v>
      </c>
      <c r="K72" s="27" t="n">
        <f aca="false">SUMIFS(Sales_Data!$O$2:$O$3520,Sales_Data!$F$2:$F$3520,$A72,Sales_Data!$C$2:$C$3520,"&gt;="&amp;Dashboard!$C$5,Sales_Data!$C$2:$C$3520,"&lt;="&amp;Dashboard!$C$6,Sales_Data!$AE$2:$AE$3520,1)</f>
        <v>0</v>
      </c>
      <c r="L72" s="26" t="n">
        <f aca="false">SUMIFS(Sales_Data!$AF$2:$AF$3520,Sales_Data!$F$2:$F$3520,$A72,Sales_Data!$C$2:$C$3520,"&gt;="&amp;Dashboard!$C$5,Sales_Data!$C$2:$C$3520,"&lt;="&amp;Dashboard!$C$6)</f>
        <v>0</v>
      </c>
      <c r="M72" s="31" t="n">
        <f aca="false">IFERROR(K72/L72,0)</f>
        <v>0</v>
      </c>
      <c r="N72" s="26" t="n">
        <f aca="false">SUMIFS(Sales_Data!$O$2:$O$3520,Sales_Data!$F$2:$F$3520,$A72,Sales_Data!$C$2:$C$3520,"&gt;="&amp;Dashboard!$C$12,Sales_Data!$C$2:$C$3520,"&lt;="&amp;Dashboard!$C$13,Sales_Data!$AE$2:$AE$3520,1)</f>
        <v>2</v>
      </c>
      <c r="O72" s="28" t="n">
        <f aca="false">K72-N72</f>
        <v>-2</v>
      </c>
      <c r="P72" s="54" t="n">
        <f aca="false">IF(W72=0,"-",W72)</f>
        <v>46291</v>
      </c>
      <c r="Q72" s="52" t="n">
        <f aca="false">IF(W72=0,"-",$B$2-W72)</f>
        <v>12</v>
      </c>
      <c r="R72" s="52" t="n">
        <f aca="false">IF(T72=1,COUNTIFS($T$5:$T$254,1,$K$5:$K$254,"&gt;"&amp;K72)+1,"-")</f>
        <v>139</v>
      </c>
      <c r="S72" s="52" t="n">
        <f aca="false">COUNTIFS($C$5:$C$254,C72,$K$5:$K$254,"&gt;"&amp;K72)+1</f>
        <v>13</v>
      </c>
      <c r="T72" s="52" t="n">
        <f aca="false">IF(AND(OR(Dashboard!$C$7="All",D72=Dashboard!$C$7),OR(Dashboard!$C$8="All",C72=Dashboard!$C$8)),1,0)</f>
        <v>1</v>
      </c>
      <c r="U72" s="74" t="n">
        <f aca="false">IF(T72=1,K72+ROW()/1000000,-1)</f>
        <v>7.2E-005</v>
      </c>
      <c r="V72" s="74" t="n">
        <f aca="false">IF(AND(T72=1,E72="Production"),K72+ROW()/1000000,1000000000)</f>
        <v>7.2E-005</v>
      </c>
      <c r="W72" s="52" t="n">
        <f aca="false">SUMPRODUCT(MAX((Sales_Data!$F$2:$F$3520=A72)*Sales_Data!$C$2:$C$3520))</f>
        <v>46291</v>
      </c>
    </row>
    <row r="73" customFormat="false" ht="15" hidden="false" customHeight="false" outlineLevel="0" collapsed="false">
      <c r="A73" s="53" t="s">
        <v>2097</v>
      </c>
      <c r="B73" s="48" t="s">
        <v>2098</v>
      </c>
      <c r="C73" s="53" t="s">
        <v>51</v>
      </c>
      <c r="D73" s="53" t="s">
        <v>47</v>
      </c>
      <c r="E73" s="53" t="s">
        <v>146</v>
      </c>
      <c r="F73" s="53" t="s">
        <v>147</v>
      </c>
      <c r="G73" s="53" t="s">
        <v>6550</v>
      </c>
      <c r="H73" s="26" t="n">
        <f aca="false">SUMIFS(Sales_Data!$AE$2:$AE$3520,Sales_Data!$F$2:$F$3520,$A73,Sales_Data!$C$2:$C$3520,"&gt;="&amp;Dashboard!$C$5,Sales_Data!$C$2:$C$3520,"&lt;="&amp;Dashboard!$C$6)</f>
        <v>0</v>
      </c>
      <c r="I73" s="26" t="n">
        <f aca="false">SUMIFS(Sales_Data!$M$2:$M$3520,Sales_Data!$F$2:$F$3520,$A73,Sales_Data!$C$2:$C$3520,"&gt;="&amp;Dashboard!$C$5,Sales_Data!$C$2:$C$3520,"&lt;="&amp;Dashboard!$C$6,Sales_Data!$AE$2:$AE$3520,1)</f>
        <v>0</v>
      </c>
      <c r="J73" s="26" t="n">
        <f aca="false">SUMIFS(Sales_Data!$N$2:$N$3520,Sales_Data!$F$2:$F$3520,$A73,Sales_Data!$C$2:$C$3520,"&gt;="&amp;Dashboard!$C$5,Sales_Data!$C$2:$C$3520,"&lt;="&amp;Dashboard!$C$6,Sales_Data!$AE$2:$AE$3520,1)</f>
        <v>0</v>
      </c>
      <c r="K73" s="27" t="n">
        <f aca="false">SUMIFS(Sales_Data!$O$2:$O$3520,Sales_Data!$F$2:$F$3520,$A73,Sales_Data!$C$2:$C$3520,"&gt;="&amp;Dashboard!$C$5,Sales_Data!$C$2:$C$3520,"&lt;="&amp;Dashboard!$C$6,Sales_Data!$AE$2:$AE$3520,1)</f>
        <v>0</v>
      </c>
      <c r="L73" s="26" t="n">
        <f aca="false">SUMIFS(Sales_Data!$AF$2:$AF$3520,Sales_Data!$F$2:$F$3520,$A73,Sales_Data!$C$2:$C$3520,"&gt;="&amp;Dashboard!$C$5,Sales_Data!$C$2:$C$3520,"&lt;="&amp;Dashboard!$C$6)</f>
        <v>0</v>
      </c>
      <c r="M73" s="31" t="n">
        <f aca="false">IFERROR(K73/L73,0)</f>
        <v>0</v>
      </c>
      <c r="N73" s="26" t="n">
        <f aca="false">SUMIFS(Sales_Data!$O$2:$O$3520,Sales_Data!$F$2:$F$3520,$A73,Sales_Data!$C$2:$C$3520,"&gt;="&amp;Dashboard!$C$12,Sales_Data!$C$2:$C$3520,"&lt;="&amp;Dashboard!$C$13,Sales_Data!$AE$2:$AE$3520,1)</f>
        <v>0</v>
      </c>
      <c r="O73" s="28" t="n">
        <f aca="false">K73-N73</f>
        <v>0</v>
      </c>
      <c r="P73" s="54" t="n">
        <f aca="false">IF(W73=0,"-",W73)</f>
        <v>46273</v>
      </c>
      <c r="Q73" s="52" t="n">
        <f aca="false">IF(W73=0,"-",$B$2-W73)</f>
        <v>30</v>
      </c>
      <c r="R73" s="52" t="n">
        <f aca="false">IF(T73=1,COUNTIFS($T$5:$T$254,1,$K$5:$K$254,"&gt;"&amp;K73)+1,"-")</f>
        <v>139</v>
      </c>
      <c r="S73" s="52" t="n">
        <f aca="false">COUNTIFS($C$5:$C$254,C73,$K$5:$K$254,"&gt;"&amp;K73)+1</f>
        <v>13</v>
      </c>
      <c r="T73" s="52" t="n">
        <f aca="false">IF(AND(OR(Dashboard!$C$7="All",D73=Dashboard!$C$7),OR(Dashboard!$C$8="All",C73=Dashboard!$C$8)),1,0)</f>
        <v>1</v>
      </c>
      <c r="U73" s="74" t="n">
        <f aca="false">IF(T73=1,K73+ROW()/1000000,-1)</f>
        <v>7.3E-005</v>
      </c>
      <c r="V73" s="74" t="n">
        <f aca="false">IF(AND(T73=1,E73="Production"),K73+ROW()/1000000,1000000000)</f>
        <v>7.3E-005</v>
      </c>
      <c r="W73" s="52" t="n">
        <f aca="false">SUMPRODUCT(MAX((Sales_Data!$F$2:$F$3520=A73)*Sales_Data!$C$2:$C$3520))</f>
        <v>46273</v>
      </c>
    </row>
    <row r="74" customFormat="false" ht="15" hidden="false" customHeight="false" outlineLevel="0" collapsed="false">
      <c r="A74" s="53" t="s">
        <v>4649</v>
      </c>
      <c r="B74" s="48" t="s">
        <v>4650</v>
      </c>
      <c r="C74" s="53" t="s">
        <v>51</v>
      </c>
      <c r="D74" s="53" t="s">
        <v>47</v>
      </c>
      <c r="E74" s="53" t="s">
        <v>146</v>
      </c>
      <c r="F74" s="53" t="s">
        <v>175</v>
      </c>
      <c r="G74" s="53" t="s">
        <v>6552</v>
      </c>
      <c r="H74" s="26" t="n">
        <f aca="false">SUMIFS(Sales_Data!$AE$2:$AE$3520,Sales_Data!$F$2:$F$3520,$A74,Sales_Data!$C$2:$C$3520,"&gt;="&amp;Dashboard!$C$5,Sales_Data!$C$2:$C$3520,"&lt;="&amp;Dashboard!$C$6)</f>
        <v>1</v>
      </c>
      <c r="I74" s="26" t="n">
        <f aca="false">SUMIFS(Sales_Data!$M$2:$M$3520,Sales_Data!$F$2:$F$3520,$A74,Sales_Data!$C$2:$C$3520,"&gt;="&amp;Dashboard!$C$5,Sales_Data!$C$2:$C$3520,"&lt;="&amp;Dashboard!$C$6,Sales_Data!$AE$2:$AE$3520,1)</f>
        <v>1</v>
      </c>
      <c r="J74" s="26" t="n">
        <f aca="false">SUMIFS(Sales_Data!$N$2:$N$3520,Sales_Data!$F$2:$F$3520,$A74,Sales_Data!$C$2:$C$3520,"&gt;="&amp;Dashboard!$C$5,Sales_Data!$C$2:$C$3520,"&lt;="&amp;Dashboard!$C$6,Sales_Data!$AE$2:$AE$3520,1)</f>
        <v>0</v>
      </c>
      <c r="K74" s="27" t="n">
        <f aca="false">SUMIFS(Sales_Data!$O$2:$O$3520,Sales_Data!$F$2:$F$3520,$A74,Sales_Data!$C$2:$C$3520,"&gt;="&amp;Dashboard!$C$5,Sales_Data!$C$2:$C$3520,"&lt;="&amp;Dashboard!$C$6,Sales_Data!$AE$2:$AE$3520,1)</f>
        <v>1</v>
      </c>
      <c r="L74" s="26" t="n">
        <f aca="false">SUMIFS(Sales_Data!$AF$2:$AF$3520,Sales_Data!$F$2:$F$3520,$A74,Sales_Data!$C$2:$C$3520,"&gt;="&amp;Dashboard!$C$5,Sales_Data!$C$2:$C$3520,"&lt;="&amp;Dashboard!$C$6)</f>
        <v>1</v>
      </c>
      <c r="M74" s="31" t="n">
        <f aca="false">IFERROR(K74/L74,0)</f>
        <v>1</v>
      </c>
      <c r="N74" s="26" t="n">
        <f aca="false">SUMIFS(Sales_Data!$O$2:$O$3520,Sales_Data!$F$2:$F$3520,$A74,Sales_Data!$C$2:$C$3520,"&gt;="&amp;Dashboard!$C$12,Sales_Data!$C$2:$C$3520,"&lt;="&amp;Dashboard!$C$13,Sales_Data!$AE$2:$AE$3520,1)</f>
        <v>0</v>
      </c>
      <c r="O74" s="28" t="n">
        <f aca="false">K74-N74</f>
        <v>1</v>
      </c>
      <c r="P74" s="54" t="n">
        <f aca="false">IF(W74=0,"-",W74)</f>
        <v>46303</v>
      </c>
      <c r="Q74" s="52" t="n">
        <f aca="false">IF(W74=0,"-",$B$2-W74)</f>
        <v>0</v>
      </c>
      <c r="R74" s="52" t="n">
        <f aca="false">IF(T74=1,COUNTIFS($T$5:$T$254,1,$K$5:$K$254,"&gt;"&amp;K74)+1,"-")</f>
        <v>105</v>
      </c>
      <c r="S74" s="52" t="n">
        <f aca="false">COUNTIFS($C$5:$C$254,C74,$K$5:$K$254,"&gt;"&amp;K74)+1</f>
        <v>9</v>
      </c>
      <c r="T74" s="52" t="n">
        <f aca="false">IF(AND(OR(Dashboard!$C$7="All",D74=Dashboard!$C$7),OR(Dashboard!$C$8="All",C74=Dashboard!$C$8)),1,0)</f>
        <v>1</v>
      </c>
      <c r="U74" s="74" t="n">
        <f aca="false">IF(T74=1,K74+ROW()/1000000,-1)</f>
        <v>1.000074</v>
      </c>
      <c r="V74" s="74" t="n">
        <f aca="false">IF(AND(T74=1,E74="Production"),K74+ROW()/1000000,1000000000)</f>
        <v>1.000074</v>
      </c>
      <c r="W74" s="52" t="n">
        <f aca="false">SUMPRODUCT(MAX((Sales_Data!$F$2:$F$3520=A74)*Sales_Data!$C$2:$C$3520))</f>
        <v>46303</v>
      </c>
    </row>
    <row r="75" customFormat="false" ht="15" hidden="false" customHeight="false" outlineLevel="0" collapsed="false">
      <c r="A75" s="53" t="s">
        <v>573</v>
      </c>
      <c r="B75" s="48" t="s">
        <v>574</v>
      </c>
      <c r="C75" s="53" t="s">
        <v>51</v>
      </c>
      <c r="D75" s="53" t="s">
        <v>47</v>
      </c>
      <c r="E75" s="53" t="s">
        <v>146</v>
      </c>
      <c r="F75" s="53" t="s">
        <v>147</v>
      </c>
      <c r="G75" s="53" t="s">
        <v>6550</v>
      </c>
      <c r="H75" s="26" t="n">
        <f aca="false">SUMIFS(Sales_Data!$AE$2:$AE$3520,Sales_Data!$F$2:$F$3520,$A75,Sales_Data!$C$2:$C$3520,"&gt;="&amp;Dashboard!$C$5,Sales_Data!$C$2:$C$3520,"&lt;="&amp;Dashboard!$C$6)</f>
        <v>3</v>
      </c>
      <c r="I75" s="26" t="n">
        <f aca="false">SUMIFS(Sales_Data!$M$2:$M$3520,Sales_Data!$F$2:$F$3520,$A75,Sales_Data!$C$2:$C$3520,"&gt;="&amp;Dashboard!$C$5,Sales_Data!$C$2:$C$3520,"&lt;="&amp;Dashboard!$C$6,Sales_Data!$AE$2:$AE$3520,1)</f>
        <v>0</v>
      </c>
      <c r="J75" s="26" t="n">
        <f aca="false">SUMIFS(Sales_Data!$N$2:$N$3520,Sales_Data!$F$2:$F$3520,$A75,Sales_Data!$C$2:$C$3520,"&gt;="&amp;Dashboard!$C$5,Sales_Data!$C$2:$C$3520,"&lt;="&amp;Dashboard!$C$6,Sales_Data!$AE$2:$AE$3520,1)</f>
        <v>3</v>
      </c>
      <c r="K75" s="27" t="n">
        <f aca="false">SUMIFS(Sales_Data!$O$2:$O$3520,Sales_Data!$F$2:$F$3520,$A75,Sales_Data!$C$2:$C$3520,"&gt;="&amp;Dashboard!$C$5,Sales_Data!$C$2:$C$3520,"&lt;="&amp;Dashboard!$C$6,Sales_Data!$AE$2:$AE$3520,1)</f>
        <v>3</v>
      </c>
      <c r="L75" s="26" t="n">
        <f aca="false">SUMIFS(Sales_Data!$AF$2:$AF$3520,Sales_Data!$F$2:$F$3520,$A75,Sales_Data!$C$2:$C$3520,"&gt;="&amp;Dashboard!$C$5,Sales_Data!$C$2:$C$3520,"&lt;="&amp;Dashboard!$C$6)</f>
        <v>2</v>
      </c>
      <c r="M75" s="31" t="n">
        <f aca="false">IFERROR(K75/L75,0)</f>
        <v>1.5</v>
      </c>
      <c r="N75" s="26" t="n">
        <f aca="false">SUMIFS(Sales_Data!$O$2:$O$3520,Sales_Data!$F$2:$F$3520,$A75,Sales_Data!$C$2:$C$3520,"&gt;="&amp;Dashboard!$C$12,Sales_Data!$C$2:$C$3520,"&lt;="&amp;Dashboard!$C$13,Sales_Data!$AE$2:$AE$3520,1)</f>
        <v>3</v>
      </c>
      <c r="O75" s="28" t="n">
        <f aca="false">K75-N75</f>
        <v>0</v>
      </c>
      <c r="P75" s="54" t="n">
        <f aca="false">IF(W75=0,"-",W75)</f>
        <v>46298</v>
      </c>
      <c r="Q75" s="52" t="n">
        <f aca="false">IF(W75=0,"-",$B$2-W75)</f>
        <v>5</v>
      </c>
      <c r="R75" s="52" t="n">
        <f aca="false">IF(T75=1,COUNTIFS($T$5:$T$254,1,$K$5:$K$254,"&gt;"&amp;K75)+1,"-")</f>
        <v>59</v>
      </c>
      <c r="S75" s="52" t="n">
        <f aca="false">COUNTIFS($C$5:$C$254,C75,$K$5:$K$254,"&gt;"&amp;K75)+1</f>
        <v>2</v>
      </c>
      <c r="T75" s="52" t="n">
        <f aca="false">IF(AND(OR(Dashboard!$C$7="All",D75=Dashboard!$C$7),OR(Dashboard!$C$8="All",C75=Dashboard!$C$8)),1,0)</f>
        <v>1</v>
      </c>
      <c r="U75" s="74" t="n">
        <f aca="false">IF(T75=1,K75+ROW()/1000000,-1)</f>
        <v>3.000075</v>
      </c>
      <c r="V75" s="74" t="n">
        <f aca="false">IF(AND(T75=1,E75="Production"),K75+ROW()/1000000,1000000000)</f>
        <v>3.000075</v>
      </c>
      <c r="W75" s="52" t="n">
        <f aca="false">SUMPRODUCT(MAX((Sales_Data!$F$2:$F$3520=A75)*Sales_Data!$C$2:$C$3520))</f>
        <v>46298</v>
      </c>
    </row>
    <row r="76" customFormat="false" ht="15" hidden="false" customHeight="false" outlineLevel="0" collapsed="false">
      <c r="A76" s="53" t="s">
        <v>439</v>
      </c>
      <c r="B76" s="48" t="s">
        <v>440</v>
      </c>
      <c r="C76" s="53" t="s">
        <v>51</v>
      </c>
      <c r="D76" s="53" t="s">
        <v>47</v>
      </c>
      <c r="E76" s="53" t="s">
        <v>146</v>
      </c>
      <c r="F76" s="53" t="s">
        <v>175</v>
      </c>
      <c r="G76" s="53" t="s">
        <v>6555</v>
      </c>
      <c r="H76" s="26" t="n">
        <f aca="false">SUMIFS(Sales_Data!$AE$2:$AE$3520,Sales_Data!$F$2:$F$3520,$A76,Sales_Data!$C$2:$C$3520,"&gt;="&amp;Dashboard!$C$5,Sales_Data!$C$2:$C$3520,"&lt;="&amp;Dashboard!$C$6)</f>
        <v>0</v>
      </c>
      <c r="I76" s="26" t="n">
        <f aca="false">SUMIFS(Sales_Data!$M$2:$M$3520,Sales_Data!$F$2:$F$3520,$A76,Sales_Data!$C$2:$C$3520,"&gt;="&amp;Dashboard!$C$5,Sales_Data!$C$2:$C$3520,"&lt;="&amp;Dashboard!$C$6,Sales_Data!$AE$2:$AE$3520,1)</f>
        <v>0</v>
      </c>
      <c r="J76" s="26" t="n">
        <f aca="false">SUMIFS(Sales_Data!$N$2:$N$3520,Sales_Data!$F$2:$F$3520,$A76,Sales_Data!$C$2:$C$3520,"&gt;="&amp;Dashboard!$C$5,Sales_Data!$C$2:$C$3520,"&lt;="&amp;Dashboard!$C$6,Sales_Data!$AE$2:$AE$3520,1)</f>
        <v>0</v>
      </c>
      <c r="K76" s="27" t="n">
        <f aca="false">SUMIFS(Sales_Data!$O$2:$O$3520,Sales_Data!$F$2:$F$3520,$A76,Sales_Data!$C$2:$C$3520,"&gt;="&amp;Dashboard!$C$5,Sales_Data!$C$2:$C$3520,"&lt;="&amp;Dashboard!$C$6,Sales_Data!$AE$2:$AE$3520,1)</f>
        <v>0</v>
      </c>
      <c r="L76" s="26" t="n">
        <f aca="false">SUMIFS(Sales_Data!$AF$2:$AF$3520,Sales_Data!$F$2:$F$3520,$A76,Sales_Data!$C$2:$C$3520,"&gt;="&amp;Dashboard!$C$5,Sales_Data!$C$2:$C$3520,"&lt;="&amp;Dashboard!$C$6)</f>
        <v>0</v>
      </c>
      <c r="M76" s="31" t="n">
        <f aca="false">IFERROR(K76/L76,0)</f>
        <v>0</v>
      </c>
      <c r="N76" s="26" t="n">
        <f aca="false">SUMIFS(Sales_Data!$O$2:$O$3520,Sales_Data!$F$2:$F$3520,$A76,Sales_Data!$C$2:$C$3520,"&gt;="&amp;Dashboard!$C$12,Sales_Data!$C$2:$C$3520,"&lt;="&amp;Dashboard!$C$13,Sales_Data!$AE$2:$AE$3520,1)</f>
        <v>0</v>
      </c>
      <c r="O76" s="28" t="n">
        <f aca="false">K76-N76</f>
        <v>0</v>
      </c>
      <c r="P76" s="54" t="n">
        <f aca="false">IF(W76=0,"-",W76)</f>
        <v>46247</v>
      </c>
      <c r="Q76" s="52" t="n">
        <f aca="false">IF(W76=0,"-",$B$2-W76)</f>
        <v>56</v>
      </c>
      <c r="R76" s="52" t="n">
        <f aca="false">IF(T76=1,COUNTIFS($T$5:$T$254,1,$K$5:$K$254,"&gt;"&amp;K76)+1,"-")</f>
        <v>139</v>
      </c>
      <c r="S76" s="52" t="n">
        <f aca="false">COUNTIFS($C$5:$C$254,C76,$K$5:$K$254,"&gt;"&amp;K76)+1</f>
        <v>13</v>
      </c>
      <c r="T76" s="52" t="n">
        <f aca="false">IF(AND(OR(Dashboard!$C$7="All",D76=Dashboard!$C$7),OR(Dashboard!$C$8="All",C76=Dashboard!$C$8)),1,0)</f>
        <v>1</v>
      </c>
      <c r="U76" s="74" t="n">
        <f aca="false">IF(T76=1,K76+ROW()/1000000,-1)</f>
        <v>7.6E-005</v>
      </c>
      <c r="V76" s="74" t="n">
        <f aca="false">IF(AND(T76=1,E76="Production"),K76+ROW()/1000000,1000000000)</f>
        <v>7.6E-005</v>
      </c>
      <c r="W76" s="52" t="n">
        <f aca="false">SUMPRODUCT(MAX((Sales_Data!$F$2:$F$3520=A76)*Sales_Data!$C$2:$C$3520))</f>
        <v>46247</v>
      </c>
    </row>
    <row r="77" customFormat="false" ht="15" hidden="false" customHeight="false" outlineLevel="0" collapsed="false">
      <c r="A77" s="53" t="s">
        <v>164</v>
      </c>
      <c r="B77" s="48" t="s">
        <v>165</v>
      </c>
      <c r="C77" s="53" t="s">
        <v>51</v>
      </c>
      <c r="D77" s="53" t="s">
        <v>47</v>
      </c>
      <c r="E77" s="53" t="s">
        <v>146</v>
      </c>
      <c r="F77" s="53" t="s">
        <v>147</v>
      </c>
      <c r="G77" s="53" t="s">
        <v>6550</v>
      </c>
      <c r="H77" s="26" t="n">
        <f aca="false">SUMIFS(Sales_Data!$AE$2:$AE$3520,Sales_Data!$F$2:$F$3520,$A77,Sales_Data!$C$2:$C$3520,"&gt;="&amp;Dashboard!$C$5,Sales_Data!$C$2:$C$3520,"&lt;="&amp;Dashboard!$C$6)</f>
        <v>1</v>
      </c>
      <c r="I77" s="26" t="n">
        <f aca="false">SUMIFS(Sales_Data!$M$2:$M$3520,Sales_Data!$F$2:$F$3520,$A77,Sales_Data!$C$2:$C$3520,"&gt;="&amp;Dashboard!$C$5,Sales_Data!$C$2:$C$3520,"&lt;="&amp;Dashboard!$C$6,Sales_Data!$AE$2:$AE$3520,1)</f>
        <v>0</v>
      </c>
      <c r="J77" s="26" t="n">
        <f aca="false">SUMIFS(Sales_Data!$N$2:$N$3520,Sales_Data!$F$2:$F$3520,$A77,Sales_Data!$C$2:$C$3520,"&gt;="&amp;Dashboard!$C$5,Sales_Data!$C$2:$C$3520,"&lt;="&amp;Dashboard!$C$6,Sales_Data!$AE$2:$AE$3520,1)</f>
        <v>1</v>
      </c>
      <c r="K77" s="27" t="n">
        <f aca="false">SUMIFS(Sales_Data!$O$2:$O$3520,Sales_Data!$F$2:$F$3520,$A77,Sales_Data!$C$2:$C$3520,"&gt;="&amp;Dashboard!$C$5,Sales_Data!$C$2:$C$3520,"&lt;="&amp;Dashboard!$C$6,Sales_Data!$AE$2:$AE$3520,1)</f>
        <v>1</v>
      </c>
      <c r="L77" s="26" t="n">
        <f aca="false">SUMIFS(Sales_Data!$AF$2:$AF$3520,Sales_Data!$F$2:$F$3520,$A77,Sales_Data!$C$2:$C$3520,"&gt;="&amp;Dashboard!$C$5,Sales_Data!$C$2:$C$3520,"&lt;="&amp;Dashboard!$C$6)</f>
        <v>1</v>
      </c>
      <c r="M77" s="31" t="n">
        <f aca="false">IFERROR(K77/L77,0)</f>
        <v>1</v>
      </c>
      <c r="N77" s="26" t="n">
        <f aca="false">SUMIFS(Sales_Data!$O$2:$O$3520,Sales_Data!$F$2:$F$3520,$A77,Sales_Data!$C$2:$C$3520,"&gt;="&amp;Dashboard!$C$12,Sales_Data!$C$2:$C$3520,"&lt;="&amp;Dashboard!$C$13,Sales_Data!$AE$2:$AE$3520,1)</f>
        <v>4</v>
      </c>
      <c r="O77" s="28" t="n">
        <f aca="false">K77-N77</f>
        <v>-3</v>
      </c>
      <c r="P77" s="54" t="n">
        <f aca="false">IF(W77=0,"-",W77)</f>
        <v>46298</v>
      </c>
      <c r="Q77" s="52" t="n">
        <f aca="false">IF(W77=0,"-",$B$2-W77)</f>
        <v>5</v>
      </c>
      <c r="R77" s="52" t="n">
        <f aca="false">IF(T77=1,COUNTIFS($T$5:$T$254,1,$K$5:$K$254,"&gt;"&amp;K77)+1,"-")</f>
        <v>105</v>
      </c>
      <c r="S77" s="52" t="n">
        <f aca="false">COUNTIFS($C$5:$C$254,C77,$K$5:$K$254,"&gt;"&amp;K77)+1</f>
        <v>9</v>
      </c>
      <c r="T77" s="52" t="n">
        <f aca="false">IF(AND(OR(Dashboard!$C$7="All",D77=Dashboard!$C$7),OR(Dashboard!$C$8="All",C77=Dashboard!$C$8)),1,0)</f>
        <v>1</v>
      </c>
      <c r="U77" s="74" t="n">
        <f aca="false">IF(T77=1,K77+ROW()/1000000,-1)</f>
        <v>1.000077</v>
      </c>
      <c r="V77" s="74" t="n">
        <f aca="false">IF(AND(T77=1,E77="Production"),K77+ROW()/1000000,1000000000)</f>
        <v>1.000077</v>
      </c>
      <c r="W77" s="52" t="n">
        <f aca="false">SUMPRODUCT(MAX((Sales_Data!$F$2:$F$3520=A77)*Sales_Data!$C$2:$C$3520))</f>
        <v>46298</v>
      </c>
    </row>
    <row r="78" customFormat="false" ht="15" hidden="false" customHeight="false" outlineLevel="0" collapsed="false">
      <c r="A78" s="53" t="s">
        <v>1616</v>
      </c>
      <c r="B78" s="48" t="s">
        <v>1617</v>
      </c>
      <c r="C78" s="53" t="s">
        <v>51</v>
      </c>
      <c r="D78" s="53" t="s">
        <v>47</v>
      </c>
      <c r="E78" s="53" t="s">
        <v>146</v>
      </c>
      <c r="F78" s="53" t="s">
        <v>175</v>
      </c>
      <c r="G78" s="53" t="s">
        <v>6558</v>
      </c>
      <c r="H78" s="26" t="n">
        <f aca="false">SUMIFS(Sales_Data!$AE$2:$AE$3520,Sales_Data!$F$2:$F$3520,$A78,Sales_Data!$C$2:$C$3520,"&gt;="&amp;Dashboard!$C$5,Sales_Data!$C$2:$C$3520,"&lt;="&amp;Dashboard!$C$6)</f>
        <v>1</v>
      </c>
      <c r="I78" s="26" t="n">
        <f aca="false">SUMIFS(Sales_Data!$M$2:$M$3520,Sales_Data!$F$2:$F$3520,$A78,Sales_Data!$C$2:$C$3520,"&gt;="&amp;Dashboard!$C$5,Sales_Data!$C$2:$C$3520,"&lt;="&amp;Dashboard!$C$6,Sales_Data!$AE$2:$AE$3520,1)</f>
        <v>0</v>
      </c>
      <c r="J78" s="26" t="n">
        <f aca="false">SUMIFS(Sales_Data!$N$2:$N$3520,Sales_Data!$F$2:$F$3520,$A78,Sales_Data!$C$2:$C$3520,"&gt;="&amp;Dashboard!$C$5,Sales_Data!$C$2:$C$3520,"&lt;="&amp;Dashboard!$C$6,Sales_Data!$AE$2:$AE$3520,1)</f>
        <v>2</v>
      </c>
      <c r="K78" s="27" t="n">
        <f aca="false">SUMIFS(Sales_Data!$O$2:$O$3520,Sales_Data!$F$2:$F$3520,$A78,Sales_Data!$C$2:$C$3520,"&gt;="&amp;Dashboard!$C$5,Sales_Data!$C$2:$C$3520,"&lt;="&amp;Dashboard!$C$6,Sales_Data!$AE$2:$AE$3520,1)</f>
        <v>2</v>
      </c>
      <c r="L78" s="26" t="n">
        <f aca="false">SUMIFS(Sales_Data!$AF$2:$AF$3520,Sales_Data!$F$2:$F$3520,$A78,Sales_Data!$C$2:$C$3520,"&gt;="&amp;Dashboard!$C$5,Sales_Data!$C$2:$C$3520,"&lt;="&amp;Dashboard!$C$6)</f>
        <v>1</v>
      </c>
      <c r="M78" s="31" t="n">
        <f aca="false">IFERROR(K78/L78,0)</f>
        <v>2</v>
      </c>
      <c r="N78" s="26" t="n">
        <f aca="false">SUMIFS(Sales_Data!$O$2:$O$3520,Sales_Data!$F$2:$F$3520,$A78,Sales_Data!$C$2:$C$3520,"&gt;="&amp;Dashboard!$C$12,Sales_Data!$C$2:$C$3520,"&lt;="&amp;Dashboard!$C$13,Sales_Data!$AE$2:$AE$3520,1)</f>
        <v>4</v>
      </c>
      <c r="O78" s="28" t="n">
        <f aca="false">K78-N78</f>
        <v>-2</v>
      </c>
      <c r="P78" s="54" t="n">
        <f aca="false">IF(W78=0,"-",W78)</f>
        <v>46299</v>
      </c>
      <c r="Q78" s="52" t="n">
        <f aca="false">IF(W78=0,"-",$B$2-W78)</f>
        <v>4</v>
      </c>
      <c r="R78" s="52" t="n">
        <f aca="false">IF(T78=1,COUNTIFS($T$5:$T$254,1,$K$5:$K$254,"&gt;"&amp;K78)+1,"-")</f>
        <v>84</v>
      </c>
      <c r="S78" s="52" t="n">
        <f aca="false">COUNTIFS($C$5:$C$254,C78,$K$5:$K$254,"&gt;"&amp;K78)+1</f>
        <v>5</v>
      </c>
      <c r="T78" s="52" t="n">
        <f aca="false">IF(AND(OR(Dashboard!$C$7="All",D78=Dashboard!$C$7),OR(Dashboard!$C$8="All",C78=Dashboard!$C$8)),1,0)</f>
        <v>1</v>
      </c>
      <c r="U78" s="74" t="n">
        <f aca="false">IF(T78=1,K78+ROW()/1000000,-1)</f>
        <v>2.000078</v>
      </c>
      <c r="V78" s="74" t="n">
        <f aca="false">IF(AND(T78=1,E78="Production"),K78+ROW()/1000000,1000000000)</f>
        <v>2.000078</v>
      </c>
      <c r="W78" s="52" t="n">
        <f aca="false">SUMPRODUCT(MAX((Sales_Data!$F$2:$F$3520=A78)*Sales_Data!$C$2:$C$3520))</f>
        <v>46299</v>
      </c>
    </row>
    <row r="79" customFormat="false" ht="15" hidden="false" customHeight="false" outlineLevel="0" collapsed="false">
      <c r="A79" s="53" t="s">
        <v>218</v>
      </c>
      <c r="B79" s="48" t="s">
        <v>219</v>
      </c>
      <c r="C79" s="53" t="s">
        <v>51</v>
      </c>
      <c r="D79" s="53" t="s">
        <v>47</v>
      </c>
      <c r="E79" s="53" t="s">
        <v>146</v>
      </c>
      <c r="F79" s="53" t="s">
        <v>147</v>
      </c>
      <c r="G79" s="53" t="s">
        <v>6550</v>
      </c>
      <c r="H79" s="26" t="n">
        <f aca="false">SUMIFS(Sales_Data!$AE$2:$AE$3520,Sales_Data!$F$2:$F$3520,$A79,Sales_Data!$C$2:$C$3520,"&gt;="&amp;Dashboard!$C$5,Sales_Data!$C$2:$C$3520,"&lt;="&amp;Dashboard!$C$6)</f>
        <v>1</v>
      </c>
      <c r="I79" s="26" t="n">
        <f aca="false">SUMIFS(Sales_Data!$M$2:$M$3520,Sales_Data!$F$2:$F$3520,$A79,Sales_Data!$C$2:$C$3520,"&gt;="&amp;Dashboard!$C$5,Sales_Data!$C$2:$C$3520,"&lt;="&amp;Dashboard!$C$6,Sales_Data!$AE$2:$AE$3520,1)</f>
        <v>0</v>
      </c>
      <c r="J79" s="26" t="n">
        <f aca="false">SUMIFS(Sales_Data!$N$2:$N$3520,Sales_Data!$F$2:$F$3520,$A79,Sales_Data!$C$2:$C$3520,"&gt;="&amp;Dashboard!$C$5,Sales_Data!$C$2:$C$3520,"&lt;="&amp;Dashboard!$C$6,Sales_Data!$AE$2:$AE$3520,1)</f>
        <v>1</v>
      </c>
      <c r="K79" s="27" t="n">
        <f aca="false">SUMIFS(Sales_Data!$O$2:$O$3520,Sales_Data!$F$2:$F$3520,$A79,Sales_Data!$C$2:$C$3520,"&gt;="&amp;Dashboard!$C$5,Sales_Data!$C$2:$C$3520,"&lt;="&amp;Dashboard!$C$6,Sales_Data!$AE$2:$AE$3520,1)</f>
        <v>1</v>
      </c>
      <c r="L79" s="26" t="n">
        <f aca="false">SUMIFS(Sales_Data!$AF$2:$AF$3520,Sales_Data!$F$2:$F$3520,$A79,Sales_Data!$C$2:$C$3520,"&gt;="&amp;Dashboard!$C$5,Sales_Data!$C$2:$C$3520,"&lt;="&amp;Dashboard!$C$6)</f>
        <v>1</v>
      </c>
      <c r="M79" s="31" t="n">
        <f aca="false">IFERROR(K79/L79,0)</f>
        <v>1</v>
      </c>
      <c r="N79" s="26" t="n">
        <f aca="false">SUMIFS(Sales_Data!$O$2:$O$3520,Sales_Data!$F$2:$F$3520,$A79,Sales_Data!$C$2:$C$3520,"&gt;="&amp;Dashboard!$C$12,Sales_Data!$C$2:$C$3520,"&lt;="&amp;Dashboard!$C$13,Sales_Data!$AE$2:$AE$3520,1)</f>
        <v>1</v>
      </c>
      <c r="O79" s="28" t="n">
        <f aca="false">K79-N79</f>
        <v>0</v>
      </c>
      <c r="P79" s="54" t="n">
        <f aca="false">IF(W79=0,"-",W79)</f>
        <v>46303</v>
      </c>
      <c r="Q79" s="52" t="n">
        <f aca="false">IF(W79=0,"-",$B$2-W79)</f>
        <v>0</v>
      </c>
      <c r="R79" s="52" t="n">
        <f aca="false">IF(T79=1,COUNTIFS($T$5:$T$254,1,$K$5:$K$254,"&gt;"&amp;K79)+1,"-")</f>
        <v>105</v>
      </c>
      <c r="S79" s="52" t="n">
        <f aca="false">COUNTIFS($C$5:$C$254,C79,$K$5:$K$254,"&gt;"&amp;K79)+1</f>
        <v>9</v>
      </c>
      <c r="T79" s="52" t="n">
        <f aca="false">IF(AND(OR(Dashboard!$C$7="All",D79=Dashboard!$C$7),OR(Dashboard!$C$8="All",C79=Dashboard!$C$8)),1,0)</f>
        <v>1</v>
      </c>
      <c r="U79" s="74" t="n">
        <f aca="false">IF(T79=1,K79+ROW()/1000000,-1)</f>
        <v>1.000079</v>
      </c>
      <c r="V79" s="74" t="n">
        <f aca="false">IF(AND(T79=1,E79="Production"),K79+ROW()/1000000,1000000000)</f>
        <v>1.000079</v>
      </c>
      <c r="W79" s="52" t="n">
        <f aca="false">SUMPRODUCT(MAX((Sales_Data!$F$2:$F$3520=A79)*Sales_Data!$C$2:$C$3520))</f>
        <v>46303</v>
      </c>
    </row>
    <row r="80" customFormat="false" ht="15" hidden="false" customHeight="false" outlineLevel="0" collapsed="false">
      <c r="A80" s="53" t="s">
        <v>2476</v>
      </c>
      <c r="B80" s="48" t="s">
        <v>2477</v>
      </c>
      <c r="C80" s="53" t="s">
        <v>51</v>
      </c>
      <c r="D80" s="53" t="s">
        <v>47</v>
      </c>
      <c r="E80" s="53" t="s">
        <v>146</v>
      </c>
      <c r="F80" s="53" t="s">
        <v>209</v>
      </c>
      <c r="G80" s="53" t="s">
        <v>6561</v>
      </c>
      <c r="H80" s="26" t="n">
        <f aca="false">SUMIFS(Sales_Data!$AE$2:$AE$3520,Sales_Data!$F$2:$F$3520,$A80,Sales_Data!$C$2:$C$3520,"&gt;="&amp;Dashboard!$C$5,Sales_Data!$C$2:$C$3520,"&lt;="&amp;Dashboard!$C$6)</f>
        <v>3</v>
      </c>
      <c r="I80" s="26" t="n">
        <f aca="false">SUMIFS(Sales_Data!$M$2:$M$3520,Sales_Data!$F$2:$F$3520,$A80,Sales_Data!$C$2:$C$3520,"&gt;="&amp;Dashboard!$C$5,Sales_Data!$C$2:$C$3520,"&lt;="&amp;Dashboard!$C$6,Sales_Data!$AE$2:$AE$3520,1)</f>
        <v>2</v>
      </c>
      <c r="J80" s="26" t="n">
        <f aca="false">SUMIFS(Sales_Data!$N$2:$N$3520,Sales_Data!$F$2:$F$3520,$A80,Sales_Data!$C$2:$C$3520,"&gt;="&amp;Dashboard!$C$5,Sales_Data!$C$2:$C$3520,"&lt;="&amp;Dashboard!$C$6,Sales_Data!$AE$2:$AE$3520,1)</f>
        <v>1</v>
      </c>
      <c r="K80" s="27" t="n">
        <f aca="false">SUMIFS(Sales_Data!$O$2:$O$3520,Sales_Data!$F$2:$F$3520,$A80,Sales_Data!$C$2:$C$3520,"&gt;="&amp;Dashboard!$C$5,Sales_Data!$C$2:$C$3520,"&lt;="&amp;Dashboard!$C$6,Sales_Data!$AE$2:$AE$3520,1)</f>
        <v>3</v>
      </c>
      <c r="L80" s="26" t="n">
        <f aca="false">SUMIFS(Sales_Data!$AF$2:$AF$3520,Sales_Data!$F$2:$F$3520,$A80,Sales_Data!$C$2:$C$3520,"&gt;="&amp;Dashboard!$C$5,Sales_Data!$C$2:$C$3520,"&lt;="&amp;Dashboard!$C$6)</f>
        <v>2</v>
      </c>
      <c r="M80" s="31" t="n">
        <f aca="false">IFERROR(K80/L80,0)</f>
        <v>1.5</v>
      </c>
      <c r="N80" s="26" t="n">
        <f aca="false">SUMIFS(Sales_Data!$O$2:$O$3520,Sales_Data!$F$2:$F$3520,$A80,Sales_Data!$C$2:$C$3520,"&gt;="&amp;Dashboard!$C$12,Sales_Data!$C$2:$C$3520,"&lt;="&amp;Dashboard!$C$13,Sales_Data!$AE$2:$AE$3520,1)</f>
        <v>4</v>
      </c>
      <c r="O80" s="28" t="n">
        <f aca="false">K80-N80</f>
        <v>-1</v>
      </c>
      <c r="P80" s="54" t="n">
        <f aca="false">IF(W80=0,"-",W80)</f>
        <v>46298</v>
      </c>
      <c r="Q80" s="52" t="n">
        <f aca="false">IF(W80=0,"-",$B$2-W80)</f>
        <v>5</v>
      </c>
      <c r="R80" s="52" t="n">
        <f aca="false">IF(T80=1,COUNTIFS($T$5:$T$254,1,$K$5:$K$254,"&gt;"&amp;K80)+1,"-")</f>
        <v>59</v>
      </c>
      <c r="S80" s="52" t="n">
        <f aca="false">COUNTIFS($C$5:$C$254,C80,$K$5:$K$254,"&gt;"&amp;K80)+1</f>
        <v>2</v>
      </c>
      <c r="T80" s="52" t="n">
        <f aca="false">IF(AND(OR(Dashboard!$C$7="All",D80=Dashboard!$C$7),OR(Dashboard!$C$8="All",C80=Dashboard!$C$8)),1,0)</f>
        <v>1</v>
      </c>
      <c r="U80" s="74" t="n">
        <f aca="false">IF(T80=1,K80+ROW()/1000000,-1)</f>
        <v>3.00008</v>
      </c>
      <c r="V80" s="74" t="n">
        <f aca="false">IF(AND(T80=1,E80="Production"),K80+ROW()/1000000,1000000000)</f>
        <v>3.00008</v>
      </c>
      <c r="W80" s="52" t="n">
        <f aca="false">SUMPRODUCT(MAX((Sales_Data!$F$2:$F$3520=A80)*Sales_Data!$C$2:$C$3520))</f>
        <v>46298</v>
      </c>
    </row>
    <row r="81" customFormat="false" ht="15" hidden="false" customHeight="false" outlineLevel="0" collapsed="false">
      <c r="A81" s="53" t="s">
        <v>203</v>
      </c>
      <c r="B81" s="48" t="s">
        <v>204</v>
      </c>
      <c r="C81" s="53" t="s">
        <v>51</v>
      </c>
      <c r="D81" s="53" t="s">
        <v>47</v>
      </c>
      <c r="E81" s="53" t="s">
        <v>146</v>
      </c>
      <c r="F81" s="53" t="s">
        <v>147</v>
      </c>
      <c r="G81" s="53" t="s">
        <v>6550</v>
      </c>
      <c r="H81" s="26" t="n">
        <f aca="false">SUMIFS(Sales_Data!$AE$2:$AE$3520,Sales_Data!$F$2:$F$3520,$A81,Sales_Data!$C$2:$C$3520,"&gt;="&amp;Dashboard!$C$5,Sales_Data!$C$2:$C$3520,"&lt;="&amp;Dashboard!$C$6)</f>
        <v>2</v>
      </c>
      <c r="I81" s="26" t="n">
        <f aca="false">SUMIFS(Sales_Data!$M$2:$M$3520,Sales_Data!$F$2:$F$3520,$A81,Sales_Data!$C$2:$C$3520,"&gt;="&amp;Dashboard!$C$5,Sales_Data!$C$2:$C$3520,"&lt;="&amp;Dashboard!$C$6,Sales_Data!$AE$2:$AE$3520,1)</f>
        <v>0</v>
      </c>
      <c r="J81" s="26" t="n">
        <f aca="false">SUMIFS(Sales_Data!$N$2:$N$3520,Sales_Data!$F$2:$F$3520,$A81,Sales_Data!$C$2:$C$3520,"&gt;="&amp;Dashboard!$C$5,Sales_Data!$C$2:$C$3520,"&lt;="&amp;Dashboard!$C$6,Sales_Data!$AE$2:$AE$3520,1)</f>
        <v>2</v>
      </c>
      <c r="K81" s="27" t="n">
        <f aca="false">SUMIFS(Sales_Data!$O$2:$O$3520,Sales_Data!$F$2:$F$3520,$A81,Sales_Data!$C$2:$C$3520,"&gt;="&amp;Dashboard!$C$5,Sales_Data!$C$2:$C$3520,"&lt;="&amp;Dashboard!$C$6,Sales_Data!$AE$2:$AE$3520,1)</f>
        <v>2</v>
      </c>
      <c r="L81" s="26" t="n">
        <f aca="false">SUMIFS(Sales_Data!$AF$2:$AF$3520,Sales_Data!$F$2:$F$3520,$A81,Sales_Data!$C$2:$C$3520,"&gt;="&amp;Dashboard!$C$5,Sales_Data!$C$2:$C$3520,"&lt;="&amp;Dashboard!$C$6)</f>
        <v>2</v>
      </c>
      <c r="M81" s="31" t="n">
        <f aca="false">IFERROR(K81/L81,0)</f>
        <v>1</v>
      </c>
      <c r="N81" s="26" t="n">
        <f aca="false">SUMIFS(Sales_Data!$O$2:$O$3520,Sales_Data!$F$2:$F$3520,$A81,Sales_Data!$C$2:$C$3520,"&gt;="&amp;Dashboard!$C$12,Sales_Data!$C$2:$C$3520,"&lt;="&amp;Dashboard!$C$13,Sales_Data!$AE$2:$AE$3520,1)</f>
        <v>3</v>
      </c>
      <c r="O81" s="28" t="n">
        <f aca="false">K81-N81</f>
        <v>-1</v>
      </c>
      <c r="P81" s="54" t="n">
        <f aca="false">IF(W81=0,"-",W81)</f>
        <v>46299</v>
      </c>
      <c r="Q81" s="52" t="n">
        <f aca="false">IF(W81=0,"-",$B$2-W81)</f>
        <v>4</v>
      </c>
      <c r="R81" s="52" t="n">
        <f aca="false">IF(T81=1,COUNTIFS($T$5:$T$254,1,$K$5:$K$254,"&gt;"&amp;K81)+1,"-")</f>
        <v>84</v>
      </c>
      <c r="S81" s="52" t="n">
        <f aca="false">COUNTIFS($C$5:$C$254,C81,$K$5:$K$254,"&gt;"&amp;K81)+1</f>
        <v>5</v>
      </c>
      <c r="T81" s="52" t="n">
        <f aca="false">IF(AND(OR(Dashboard!$C$7="All",D81=Dashboard!$C$7),OR(Dashboard!$C$8="All",C81=Dashboard!$C$8)),1,0)</f>
        <v>1</v>
      </c>
      <c r="U81" s="74" t="n">
        <f aca="false">IF(T81=1,K81+ROW()/1000000,-1)</f>
        <v>2.000081</v>
      </c>
      <c r="V81" s="74" t="n">
        <f aca="false">IF(AND(T81=1,E81="Production"),K81+ROW()/1000000,1000000000)</f>
        <v>2.000081</v>
      </c>
      <c r="W81" s="52" t="n">
        <f aca="false">SUMPRODUCT(MAX((Sales_Data!$F$2:$F$3520=A81)*Sales_Data!$C$2:$C$3520))</f>
        <v>46299</v>
      </c>
    </row>
    <row r="82" customFormat="false" ht="15" hidden="false" customHeight="false" outlineLevel="0" collapsed="false">
      <c r="A82" s="53" t="s">
        <v>1314</v>
      </c>
      <c r="B82" s="48" t="s">
        <v>1315</v>
      </c>
      <c r="C82" s="53" t="s">
        <v>51</v>
      </c>
      <c r="D82" s="53" t="s">
        <v>47</v>
      </c>
      <c r="E82" s="53" t="s">
        <v>146</v>
      </c>
      <c r="F82" s="53" t="s">
        <v>209</v>
      </c>
      <c r="G82" s="53" t="s">
        <v>6561</v>
      </c>
      <c r="H82" s="26" t="n">
        <f aca="false">SUMIFS(Sales_Data!$AE$2:$AE$3520,Sales_Data!$F$2:$F$3520,$A82,Sales_Data!$C$2:$C$3520,"&gt;="&amp;Dashboard!$C$5,Sales_Data!$C$2:$C$3520,"&lt;="&amp;Dashboard!$C$6)</f>
        <v>4</v>
      </c>
      <c r="I82" s="26" t="n">
        <f aca="false">SUMIFS(Sales_Data!$M$2:$M$3520,Sales_Data!$F$2:$F$3520,$A82,Sales_Data!$C$2:$C$3520,"&gt;="&amp;Dashboard!$C$5,Sales_Data!$C$2:$C$3520,"&lt;="&amp;Dashboard!$C$6,Sales_Data!$AE$2:$AE$3520,1)</f>
        <v>1</v>
      </c>
      <c r="J82" s="26" t="n">
        <f aca="false">SUMIFS(Sales_Data!$N$2:$N$3520,Sales_Data!$F$2:$F$3520,$A82,Sales_Data!$C$2:$C$3520,"&gt;="&amp;Dashboard!$C$5,Sales_Data!$C$2:$C$3520,"&lt;="&amp;Dashboard!$C$6,Sales_Data!$AE$2:$AE$3520,1)</f>
        <v>3</v>
      </c>
      <c r="K82" s="27" t="n">
        <f aca="false">SUMIFS(Sales_Data!$O$2:$O$3520,Sales_Data!$F$2:$F$3520,$A82,Sales_Data!$C$2:$C$3520,"&gt;="&amp;Dashboard!$C$5,Sales_Data!$C$2:$C$3520,"&lt;="&amp;Dashboard!$C$6,Sales_Data!$AE$2:$AE$3520,1)</f>
        <v>4</v>
      </c>
      <c r="L82" s="26" t="n">
        <f aca="false">SUMIFS(Sales_Data!$AF$2:$AF$3520,Sales_Data!$F$2:$F$3520,$A82,Sales_Data!$C$2:$C$3520,"&gt;="&amp;Dashboard!$C$5,Sales_Data!$C$2:$C$3520,"&lt;="&amp;Dashboard!$C$6)</f>
        <v>4</v>
      </c>
      <c r="M82" s="31" t="n">
        <f aca="false">IFERROR(K82/L82,0)</f>
        <v>1</v>
      </c>
      <c r="N82" s="26" t="n">
        <f aca="false">SUMIFS(Sales_Data!$O$2:$O$3520,Sales_Data!$F$2:$F$3520,$A82,Sales_Data!$C$2:$C$3520,"&gt;="&amp;Dashboard!$C$12,Sales_Data!$C$2:$C$3520,"&lt;="&amp;Dashboard!$C$13,Sales_Data!$AE$2:$AE$3520,1)</f>
        <v>1</v>
      </c>
      <c r="O82" s="28" t="n">
        <f aca="false">K82-N82</f>
        <v>3</v>
      </c>
      <c r="P82" s="54" t="n">
        <f aca="false">IF(W82=0,"-",W82)</f>
        <v>46300</v>
      </c>
      <c r="Q82" s="52" t="n">
        <f aca="false">IF(W82=0,"-",$B$2-W82)</f>
        <v>3</v>
      </c>
      <c r="R82" s="52" t="n">
        <f aca="false">IF(T82=1,COUNTIFS($T$5:$T$254,1,$K$5:$K$254,"&gt;"&amp;K82)+1,"-")</f>
        <v>39</v>
      </c>
      <c r="S82" s="52" t="n">
        <f aca="false">COUNTIFS($C$5:$C$254,C82,$K$5:$K$254,"&gt;"&amp;K82)+1</f>
        <v>1</v>
      </c>
      <c r="T82" s="52" t="n">
        <f aca="false">IF(AND(OR(Dashboard!$C$7="All",D82=Dashboard!$C$7),OR(Dashboard!$C$8="All",C82=Dashboard!$C$8)),1,0)</f>
        <v>1</v>
      </c>
      <c r="U82" s="74" t="n">
        <f aca="false">IF(T82=1,K82+ROW()/1000000,-1)</f>
        <v>4.000082</v>
      </c>
      <c r="V82" s="74" t="n">
        <f aca="false">IF(AND(T82=1,E82="Production"),K82+ROW()/1000000,1000000000)</f>
        <v>4.000082</v>
      </c>
      <c r="W82" s="52" t="n">
        <f aca="false">SUMPRODUCT(MAX((Sales_Data!$F$2:$F$3520=A82)*Sales_Data!$C$2:$C$3520))</f>
        <v>46300</v>
      </c>
    </row>
    <row r="83" customFormat="false" ht="15" hidden="false" customHeight="false" outlineLevel="0" collapsed="false">
      <c r="A83" s="53" t="s">
        <v>3580</v>
      </c>
      <c r="B83" s="48" t="s">
        <v>3581</v>
      </c>
      <c r="C83" s="53" t="s">
        <v>51</v>
      </c>
      <c r="D83" s="53" t="s">
        <v>47</v>
      </c>
      <c r="E83" s="53" t="s">
        <v>146</v>
      </c>
      <c r="F83" s="53" t="s">
        <v>209</v>
      </c>
      <c r="G83" s="53" t="s">
        <v>6548</v>
      </c>
      <c r="H83" s="26" t="n">
        <f aca="false">SUMIFS(Sales_Data!$AE$2:$AE$3520,Sales_Data!$F$2:$F$3520,$A83,Sales_Data!$C$2:$C$3520,"&gt;="&amp;Dashboard!$C$5,Sales_Data!$C$2:$C$3520,"&lt;="&amp;Dashboard!$C$6)</f>
        <v>2</v>
      </c>
      <c r="I83" s="26" t="n">
        <f aca="false">SUMIFS(Sales_Data!$M$2:$M$3520,Sales_Data!$F$2:$F$3520,$A83,Sales_Data!$C$2:$C$3520,"&gt;="&amp;Dashboard!$C$5,Sales_Data!$C$2:$C$3520,"&lt;="&amp;Dashboard!$C$6,Sales_Data!$AE$2:$AE$3520,1)</f>
        <v>0</v>
      </c>
      <c r="J83" s="26" t="n">
        <f aca="false">SUMIFS(Sales_Data!$N$2:$N$3520,Sales_Data!$F$2:$F$3520,$A83,Sales_Data!$C$2:$C$3520,"&gt;="&amp;Dashboard!$C$5,Sales_Data!$C$2:$C$3520,"&lt;="&amp;Dashboard!$C$6,Sales_Data!$AE$2:$AE$3520,1)</f>
        <v>2</v>
      </c>
      <c r="K83" s="27" t="n">
        <f aca="false">SUMIFS(Sales_Data!$O$2:$O$3520,Sales_Data!$F$2:$F$3520,$A83,Sales_Data!$C$2:$C$3520,"&gt;="&amp;Dashboard!$C$5,Sales_Data!$C$2:$C$3520,"&lt;="&amp;Dashboard!$C$6,Sales_Data!$AE$2:$AE$3520,1)</f>
        <v>2</v>
      </c>
      <c r="L83" s="26" t="n">
        <f aca="false">SUMIFS(Sales_Data!$AF$2:$AF$3520,Sales_Data!$F$2:$F$3520,$A83,Sales_Data!$C$2:$C$3520,"&gt;="&amp;Dashboard!$C$5,Sales_Data!$C$2:$C$3520,"&lt;="&amp;Dashboard!$C$6)</f>
        <v>2</v>
      </c>
      <c r="M83" s="31" t="n">
        <f aca="false">IFERROR(K83/L83,0)</f>
        <v>1</v>
      </c>
      <c r="N83" s="26" t="n">
        <f aca="false">SUMIFS(Sales_Data!$O$2:$O$3520,Sales_Data!$F$2:$F$3520,$A83,Sales_Data!$C$2:$C$3520,"&gt;="&amp;Dashboard!$C$12,Sales_Data!$C$2:$C$3520,"&lt;="&amp;Dashboard!$C$13,Sales_Data!$AE$2:$AE$3520,1)</f>
        <v>0</v>
      </c>
      <c r="O83" s="28" t="n">
        <f aca="false">K83-N83</f>
        <v>2</v>
      </c>
      <c r="P83" s="54" t="n">
        <f aca="false">IF(W83=0,"-",W83)</f>
        <v>46299</v>
      </c>
      <c r="Q83" s="52" t="n">
        <f aca="false">IF(W83=0,"-",$B$2-W83)</f>
        <v>4</v>
      </c>
      <c r="R83" s="52" t="n">
        <f aca="false">IF(T83=1,COUNTIFS($T$5:$T$254,1,$K$5:$K$254,"&gt;"&amp;K83)+1,"-")</f>
        <v>84</v>
      </c>
      <c r="S83" s="52" t="n">
        <f aca="false">COUNTIFS($C$5:$C$254,C83,$K$5:$K$254,"&gt;"&amp;K83)+1</f>
        <v>5</v>
      </c>
      <c r="T83" s="52" t="n">
        <f aca="false">IF(AND(OR(Dashboard!$C$7="All",D83=Dashboard!$C$7),OR(Dashboard!$C$8="All",C83=Dashboard!$C$8)),1,0)</f>
        <v>1</v>
      </c>
      <c r="U83" s="74" t="n">
        <f aca="false">IF(T83=1,K83+ROW()/1000000,-1)</f>
        <v>2.000083</v>
      </c>
      <c r="V83" s="74" t="n">
        <f aca="false">IF(AND(T83=1,E83="Production"),K83+ROW()/1000000,1000000000)</f>
        <v>2.000083</v>
      </c>
      <c r="W83" s="52" t="n">
        <f aca="false">SUMPRODUCT(MAX((Sales_Data!$F$2:$F$3520=A83)*Sales_Data!$C$2:$C$3520))</f>
        <v>46299</v>
      </c>
    </row>
    <row r="84" customFormat="false" ht="15" hidden="false" customHeight="false" outlineLevel="0" collapsed="false">
      <c r="A84" s="53" t="s">
        <v>160</v>
      </c>
      <c r="B84" s="48" t="s">
        <v>161</v>
      </c>
      <c r="C84" s="53" t="s">
        <v>51</v>
      </c>
      <c r="D84" s="53" t="s">
        <v>47</v>
      </c>
      <c r="E84" s="53" t="s">
        <v>146</v>
      </c>
      <c r="F84" s="53" t="s">
        <v>147</v>
      </c>
      <c r="G84" s="53" t="s">
        <v>6550</v>
      </c>
      <c r="H84" s="26" t="n">
        <f aca="false">SUMIFS(Sales_Data!$AE$2:$AE$3520,Sales_Data!$F$2:$F$3520,$A84,Sales_Data!$C$2:$C$3520,"&gt;="&amp;Dashboard!$C$5,Sales_Data!$C$2:$C$3520,"&lt;="&amp;Dashboard!$C$6)</f>
        <v>0</v>
      </c>
      <c r="I84" s="26" t="n">
        <f aca="false">SUMIFS(Sales_Data!$M$2:$M$3520,Sales_Data!$F$2:$F$3520,$A84,Sales_Data!$C$2:$C$3520,"&gt;="&amp;Dashboard!$C$5,Sales_Data!$C$2:$C$3520,"&lt;="&amp;Dashboard!$C$6,Sales_Data!$AE$2:$AE$3520,1)</f>
        <v>0</v>
      </c>
      <c r="J84" s="26" t="n">
        <f aca="false">SUMIFS(Sales_Data!$N$2:$N$3520,Sales_Data!$F$2:$F$3520,$A84,Sales_Data!$C$2:$C$3520,"&gt;="&amp;Dashboard!$C$5,Sales_Data!$C$2:$C$3520,"&lt;="&amp;Dashboard!$C$6,Sales_Data!$AE$2:$AE$3520,1)</f>
        <v>0</v>
      </c>
      <c r="K84" s="27" t="n">
        <f aca="false">SUMIFS(Sales_Data!$O$2:$O$3520,Sales_Data!$F$2:$F$3520,$A84,Sales_Data!$C$2:$C$3520,"&gt;="&amp;Dashboard!$C$5,Sales_Data!$C$2:$C$3520,"&lt;="&amp;Dashboard!$C$6,Sales_Data!$AE$2:$AE$3520,1)</f>
        <v>0</v>
      </c>
      <c r="L84" s="26" t="n">
        <f aca="false">SUMIFS(Sales_Data!$AF$2:$AF$3520,Sales_Data!$F$2:$F$3520,$A84,Sales_Data!$C$2:$C$3520,"&gt;="&amp;Dashboard!$C$5,Sales_Data!$C$2:$C$3520,"&lt;="&amp;Dashboard!$C$6)</f>
        <v>0</v>
      </c>
      <c r="M84" s="31" t="n">
        <f aca="false">IFERROR(K84/L84,0)</f>
        <v>0</v>
      </c>
      <c r="N84" s="26" t="n">
        <f aca="false">SUMIFS(Sales_Data!$O$2:$O$3520,Sales_Data!$F$2:$F$3520,$A84,Sales_Data!$C$2:$C$3520,"&gt;="&amp;Dashboard!$C$12,Sales_Data!$C$2:$C$3520,"&lt;="&amp;Dashboard!$C$13,Sales_Data!$AE$2:$AE$3520,1)</f>
        <v>2</v>
      </c>
      <c r="O84" s="28" t="n">
        <f aca="false">K84-N84</f>
        <v>-2</v>
      </c>
      <c r="P84" s="54" t="n">
        <f aca="false">IF(W84=0,"-",W84)</f>
        <v>46292</v>
      </c>
      <c r="Q84" s="52" t="n">
        <f aca="false">IF(W84=0,"-",$B$2-W84)</f>
        <v>11</v>
      </c>
      <c r="R84" s="52" t="n">
        <f aca="false">IF(T84=1,COUNTIFS($T$5:$T$254,1,$K$5:$K$254,"&gt;"&amp;K84)+1,"-")</f>
        <v>139</v>
      </c>
      <c r="S84" s="52" t="n">
        <f aca="false">COUNTIFS($C$5:$C$254,C84,$K$5:$K$254,"&gt;"&amp;K84)+1</f>
        <v>13</v>
      </c>
      <c r="T84" s="52" t="n">
        <f aca="false">IF(AND(OR(Dashboard!$C$7="All",D84=Dashboard!$C$7),OR(Dashboard!$C$8="All",C84=Dashboard!$C$8)),1,0)</f>
        <v>1</v>
      </c>
      <c r="U84" s="74" t="n">
        <f aca="false">IF(T84=1,K84+ROW()/1000000,-1)</f>
        <v>8.4E-005</v>
      </c>
      <c r="V84" s="74" t="n">
        <f aca="false">IF(AND(T84=1,E84="Production"),K84+ROW()/1000000,1000000000)</f>
        <v>8.4E-005</v>
      </c>
      <c r="W84" s="52" t="n">
        <f aca="false">SUMPRODUCT(MAX((Sales_Data!$F$2:$F$3520=A84)*Sales_Data!$C$2:$C$3520))</f>
        <v>46292</v>
      </c>
    </row>
    <row r="85" customFormat="false" ht="15" hidden="false" customHeight="false" outlineLevel="0" collapsed="false">
      <c r="A85" s="53" t="s">
        <v>156</v>
      </c>
      <c r="B85" s="48" t="s">
        <v>157</v>
      </c>
      <c r="C85" s="53" t="s">
        <v>51</v>
      </c>
      <c r="D85" s="53" t="s">
        <v>47</v>
      </c>
      <c r="E85" s="53" t="s">
        <v>146</v>
      </c>
      <c r="F85" s="53" t="s">
        <v>147</v>
      </c>
      <c r="G85" s="53" t="s">
        <v>6550</v>
      </c>
      <c r="H85" s="26" t="n">
        <f aca="false">SUMIFS(Sales_Data!$AE$2:$AE$3520,Sales_Data!$F$2:$F$3520,$A85,Sales_Data!$C$2:$C$3520,"&gt;="&amp;Dashboard!$C$5,Sales_Data!$C$2:$C$3520,"&lt;="&amp;Dashboard!$C$6)</f>
        <v>3</v>
      </c>
      <c r="I85" s="26" t="n">
        <f aca="false">SUMIFS(Sales_Data!$M$2:$M$3520,Sales_Data!$F$2:$F$3520,$A85,Sales_Data!$C$2:$C$3520,"&gt;="&amp;Dashboard!$C$5,Sales_Data!$C$2:$C$3520,"&lt;="&amp;Dashboard!$C$6,Sales_Data!$AE$2:$AE$3520,1)</f>
        <v>0</v>
      </c>
      <c r="J85" s="26" t="n">
        <f aca="false">SUMIFS(Sales_Data!$N$2:$N$3520,Sales_Data!$F$2:$F$3520,$A85,Sales_Data!$C$2:$C$3520,"&gt;="&amp;Dashboard!$C$5,Sales_Data!$C$2:$C$3520,"&lt;="&amp;Dashboard!$C$6,Sales_Data!$AE$2:$AE$3520,1)</f>
        <v>3</v>
      </c>
      <c r="K85" s="27" t="n">
        <f aca="false">SUMIFS(Sales_Data!$O$2:$O$3520,Sales_Data!$F$2:$F$3520,$A85,Sales_Data!$C$2:$C$3520,"&gt;="&amp;Dashboard!$C$5,Sales_Data!$C$2:$C$3520,"&lt;="&amp;Dashboard!$C$6,Sales_Data!$AE$2:$AE$3520,1)</f>
        <v>3</v>
      </c>
      <c r="L85" s="26" t="n">
        <f aca="false">SUMIFS(Sales_Data!$AF$2:$AF$3520,Sales_Data!$F$2:$F$3520,$A85,Sales_Data!$C$2:$C$3520,"&gt;="&amp;Dashboard!$C$5,Sales_Data!$C$2:$C$3520,"&lt;="&amp;Dashboard!$C$6)</f>
        <v>2</v>
      </c>
      <c r="M85" s="31" t="n">
        <f aca="false">IFERROR(K85/L85,0)</f>
        <v>1.5</v>
      </c>
      <c r="N85" s="26" t="n">
        <f aca="false">SUMIFS(Sales_Data!$O$2:$O$3520,Sales_Data!$F$2:$F$3520,$A85,Sales_Data!$C$2:$C$3520,"&gt;="&amp;Dashboard!$C$12,Sales_Data!$C$2:$C$3520,"&lt;="&amp;Dashboard!$C$13,Sales_Data!$AE$2:$AE$3520,1)</f>
        <v>1</v>
      </c>
      <c r="O85" s="28" t="n">
        <f aca="false">K85-N85</f>
        <v>2</v>
      </c>
      <c r="P85" s="54" t="n">
        <f aca="false">IF(W85=0,"-",W85)</f>
        <v>46303</v>
      </c>
      <c r="Q85" s="52" t="n">
        <f aca="false">IF(W85=0,"-",$B$2-W85)</f>
        <v>0</v>
      </c>
      <c r="R85" s="52" t="n">
        <f aca="false">IF(T85=1,COUNTIFS($T$5:$T$254,1,$K$5:$K$254,"&gt;"&amp;K85)+1,"-")</f>
        <v>59</v>
      </c>
      <c r="S85" s="52" t="n">
        <f aca="false">COUNTIFS($C$5:$C$254,C85,$K$5:$K$254,"&gt;"&amp;K85)+1</f>
        <v>2</v>
      </c>
      <c r="T85" s="52" t="n">
        <f aca="false">IF(AND(OR(Dashboard!$C$7="All",D85=Dashboard!$C$7),OR(Dashboard!$C$8="All",C85=Dashboard!$C$8)),1,0)</f>
        <v>1</v>
      </c>
      <c r="U85" s="74" t="n">
        <f aca="false">IF(T85=1,K85+ROW()/1000000,-1)</f>
        <v>3.000085</v>
      </c>
      <c r="V85" s="74" t="n">
        <f aca="false">IF(AND(T85=1,E85="Production"),K85+ROW()/1000000,1000000000)</f>
        <v>3.000085</v>
      </c>
      <c r="W85" s="52" t="n">
        <f aca="false">SUMPRODUCT(MAX((Sales_Data!$F$2:$F$3520=A85)*Sales_Data!$C$2:$C$3520))</f>
        <v>46303</v>
      </c>
    </row>
    <row r="86" customFormat="false" ht="15" hidden="false" customHeight="false" outlineLevel="0" collapsed="false">
      <c r="A86" s="53" t="s">
        <v>312</v>
      </c>
      <c r="B86" s="48" t="s">
        <v>313</v>
      </c>
      <c r="C86" s="53" t="s">
        <v>51</v>
      </c>
      <c r="D86" s="53" t="s">
        <v>47</v>
      </c>
      <c r="E86" s="53" t="s">
        <v>146</v>
      </c>
      <c r="F86" s="53" t="s">
        <v>147</v>
      </c>
      <c r="G86" s="53" t="s">
        <v>6550</v>
      </c>
      <c r="H86" s="26" t="n">
        <f aca="false">SUMIFS(Sales_Data!$AE$2:$AE$3520,Sales_Data!$F$2:$F$3520,$A86,Sales_Data!$C$2:$C$3520,"&gt;="&amp;Dashboard!$C$5,Sales_Data!$C$2:$C$3520,"&lt;="&amp;Dashboard!$C$6)</f>
        <v>2</v>
      </c>
      <c r="I86" s="26" t="n">
        <f aca="false">SUMIFS(Sales_Data!$M$2:$M$3520,Sales_Data!$F$2:$F$3520,$A86,Sales_Data!$C$2:$C$3520,"&gt;="&amp;Dashboard!$C$5,Sales_Data!$C$2:$C$3520,"&lt;="&amp;Dashboard!$C$6,Sales_Data!$AE$2:$AE$3520,1)</f>
        <v>1</v>
      </c>
      <c r="J86" s="26" t="n">
        <f aca="false">SUMIFS(Sales_Data!$N$2:$N$3520,Sales_Data!$F$2:$F$3520,$A86,Sales_Data!$C$2:$C$3520,"&gt;="&amp;Dashboard!$C$5,Sales_Data!$C$2:$C$3520,"&lt;="&amp;Dashboard!$C$6,Sales_Data!$AE$2:$AE$3520,1)</f>
        <v>1</v>
      </c>
      <c r="K86" s="27" t="n">
        <f aca="false">SUMIFS(Sales_Data!$O$2:$O$3520,Sales_Data!$F$2:$F$3520,$A86,Sales_Data!$C$2:$C$3520,"&gt;="&amp;Dashboard!$C$5,Sales_Data!$C$2:$C$3520,"&lt;="&amp;Dashboard!$C$6,Sales_Data!$AE$2:$AE$3520,1)</f>
        <v>2</v>
      </c>
      <c r="L86" s="26" t="n">
        <f aca="false">SUMIFS(Sales_Data!$AF$2:$AF$3520,Sales_Data!$F$2:$F$3520,$A86,Sales_Data!$C$2:$C$3520,"&gt;="&amp;Dashboard!$C$5,Sales_Data!$C$2:$C$3520,"&lt;="&amp;Dashboard!$C$6)</f>
        <v>1</v>
      </c>
      <c r="M86" s="31" t="n">
        <f aca="false">IFERROR(K86/L86,0)</f>
        <v>2</v>
      </c>
      <c r="N86" s="26" t="n">
        <f aca="false">SUMIFS(Sales_Data!$O$2:$O$3520,Sales_Data!$F$2:$F$3520,$A86,Sales_Data!$C$2:$C$3520,"&gt;="&amp;Dashboard!$C$12,Sales_Data!$C$2:$C$3520,"&lt;="&amp;Dashboard!$C$13,Sales_Data!$AE$2:$AE$3520,1)</f>
        <v>1</v>
      </c>
      <c r="O86" s="28" t="n">
        <f aca="false">K86-N86</f>
        <v>1</v>
      </c>
      <c r="P86" s="54" t="n">
        <f aca="false">IF(W86=0,"-",W86)</f>
        <v>46303</v>
      </c>
      <c r="Q86" s="52" t="n">
        <f aca="false">IF(W86=0,"-",$B$2-W86)</f>
        <v>0</v>
      </c>
      <c r="R86" s="52" t="n">
        <f aca="false">IF(T86=1,COUNTIFS($T$5:$T$254,1,$K$5:$K$254,"&gt;"&amp;K86)+1,"-")</f>
        <v>84</v>
      </c>
      <c r="S86" s="52" t="n">
        <f aca="false">COUNTIFS($C$5:$C$254,C86,$K$5:$K$254,"&gt;"&amp;K86)+1</f>
        <v>5</v>
      </c>
      <c r="T86" s="52" t="n">
        <f aca="false">IF(AND(OR(Dashboard!$C$7="All",D86=Dashboard!$C$7),OR(Dashboard!$C$8="All",C86=Dashboard!$C$8)),1,0)</f>
        <v>1</v>
      </c>
      <c r="U86" s="74" t="n">
        <f aca="false">IF(T86=1,K86+ROW()/1000000,-1)</f>
        <v>2.000086</v>
      </c>
      <c r="V86" s="74" t="n">
        <f aca="false">IF(AND(T86=1,E86="Production"),K86+ROW()/1000000,1000000000)</f>
        <v>2.000086</v>
      </c>
      <c r="W86" s="52" t="n">
        <f aca="false">SUMPRODUCT(MAX((Sales_Data!$F$2:$F$3520=A86)*Sales_Data!$C$2:$C$3520))</f>
        <v>46303</v>
      </c>
    </row>
    <row r="87" customFormat="false" ht="15" hidden="false" customHeight="false" outlineLevel="0" collapsed="false">
      <c r="A87" s="53" t="s">
        <v>4370</v>
      </c>
      <c r="B87" s="48" t="s">
        <v>4371</v>
      </c>
      <c r="C87" s="53" t="s">
        <v>51</v>
      </c>
      <c r="D87" s="53" t="s">
        <v>47</v>
      </c>
      <c r="E87" s="53" t="s">
        <v>146</v>
      </c>
      <c r="F87" s="53" t="s">
        <v>147</v>
      </c>
      <c r="G87" s="53" t="s">
        <v>6550</v>
      </c>
      <c r="H87" s="26" t="n">
        <f aca="false">SUMIFS(Sales_Data!$AE$2:$AE$3520,Sales_Data!$F$2:$F$3520,$A87,Sales_Data!$C$2:$C$3520,"&gt;="&amp;Dashboard!$C$5,Sales_Data!$C$2:$C$3520,"&lt;="&amp;Dashboard!$C$6)</f>
        <v>1</v>
      </c>
      <c r="I87" s="26" t="n">
        <f aca="false">SUMIFS(Sales_Data!$M$2:$M$3520,Sales_Data!$F$2:$F$3520,$A87,Sales_Data!$C$2:$C$3520,"&gt;="&amp;Dashboard!$C$5,Sales_Data!$C$2:$C$3520,"&lt;="&amp;Dashboard!$C$6,Sales_Data!$AE$2:$AE$3520,1)</f>
        <v>1</v>
      </c>
      <c r="J87" s="26" t="n">
        <f aca="false">SUMIFS(Sales_Data!$N$2:$N$3520,Sales_Data!$F$2:$F$3520,$A87,Sales_Data!$C$2:$C$3520,"&gt;="&amp;Dashboard!$C$5,Sales_Data!$C$2:$C$3520,"&lt;="&amp;Dashboard!$C$6,Sales_Data!$AE$2:$AE$3520,1)</f>
        <v>0</v>
      </c>
      <c r="K87" s="27" t="n">
        <f aca="false">SUMIFS(Sales_Data!$O$2:$O$3520,Sales_Data!$F$2:$F$3520,$A87,Sales_Data!$C$2:$C$3520,"&gt;="&amp;Dashboard!$C$5,Sales_Data!$C$2:$C$3520,"&lt;="&amp;Dashboard!$C$6,Sales_Data!$AE$2:$AE$3520,1)</f>
        <v>1</v>
      </c>
      <c r="L87" s="26" t="n">
        <f aca="false">SUMIFS(Sales_Data!$AF$2:$AF$3520,Sales_Data!$F$2:$F$3520,$A87,Sales_Data!$C$2:$C$3520,"&gt;="&amp;Dashboard!$C$5,Sales_Data!$C$2:$C$3520,"&lt;="&amp;Dashboard!$C$6)</f>
        <v>1</v>
      </c>
      <c r="M87" s="31" t="n">
        <f aca="false">IFERROR(K87/L87,0)</f>
        <v>1</v>
      </c>
      <c r="N87" s="26" t="n">
        <f aca="false">SUMIFS(Sales_Data!$O$2:$O$3520,Sales_Data!$F$2:$F$3520,$A87,Sales_Data!$C$2:$C$3520,"&gt;="&amp;Dashboard!$C$12,Sales_Data!$C$2:$C$3520,"&lt;="&amp;Dashboard!$C$13,Sales_Data!$AE$2:$AE$3520,1)</f>
        <v>1</v>
      </c>
      <c r="O87" s="28" t="n">
        <f aca="false">K87-N87</f>
        <v>0</v>
      </c>
      <c r="P87" s="54" t="n">
        <f aca="false">IF(W87=0,"-",W87)</f>
        <v>46302</v>
      </c>
      <c r="Q87" s="52" t="n">
        <f aca="false">IF(W87=0,"-",$B$2-W87)</f>
        <v>1</v>
      </c>
      <c r="R87" s="52" t="n">
        <f aca="false">IF(T87=1,COUNTIFS($T$5:$T$254,1,$K$5:$K$254,"&gt;"&amp;K87)+1,"-")</f>
        <v>105</v>
      </c>
      <c r="S87" s="52" t="n">
        <f aca="false">COUNTIFS($C$5:$C$254,C87,$K$5:$K$254,"&gt;"&amp;K87)+1</f>
        <v>9</v>
      </c>
      <c r="T87" s="52" t="n">
        <f aca="false">IF(AND(OR(Dashboard!$C$7="All",D87=Dashboard!$C$7),OR(Dashboard!$C$8="All",C87=Dashboard!$C$8)),1,0)</f>
        <v>1</v>
      </c>
      <c r="U87" s="74" t="n">
        <f aca="false">IF(T87=1,K87+ROW()/1000000,-1)</f>
        <v>1.000087</v>
      </c>
      <c r="V87" s="74" t="n">
        <f aca="false">IF(AND(T87=1,E87="Production"),K87+ROW()/1000000,1000000000)</f>
        <v>1.000087</v>
      </c>
      <c r="W87" s="52" t="n">
        <f aca="false">SUMPRODUCT(MAX((Sales_Data!$F$2:$F$3520=A87)*Sales_Data!$C$2:$C$3520))</f>
        <v>46302</v>
      </c>
    </row>
    <row r="88" customFormat="false" ht="15" hidden="false" customHeight="false" outlineLevel="0" collapsed="false">
      <c r="A88" s="53" t="s">
        <v>3928</v>
      </c>
      <c r="B88" s="48" t="s">
        <v>3929</v>
      </c>
      <c r="C88" s="53" t="s">
        <v>51</v>
      </c>
      <c r="D88" s="53" t="s">
        <v>47</v>
      </c>
      <c r="E88" s="53" t="s">
        <v>146</v>
      </c>
      <c r="F88" s="53" t="s">
        <v>209</v>
      </c>
      <c r="G88" s="53" t="s">
        <v>6548</v>
      </c>
      <c r="H88" s="26" t="n">
        <f aca="false">SUMIFS(Sales_Data!$AE$2:$AE$3520,Sales_Data!$F$2:$F$3520,$A88,Sales_Data!$C$2:$C$3520,"&gt;="&amp;Dashboard!$C$5,Sales_Data!$C$2:$C$3520,"&lt;="&amp;Dashboard!$C$6)</f>
        <v>0</v>
      </c>
      <c r="I88" s="26" t="n">
        <f aca="false">SUMIFS(Sales_Data!$M$2:$M$3520,Sales_Data!$F$2:$F$3520,$A88,Sales_Data!$C$2:$C$3520,"&gt;="&amp;Dashboard!$C$5,Sales_Data!$C$2:$C$3520,"&lt;="&amp;Dashboard!$C$6,Sales_Data!$AE$2:$AE$3520,1)</f>
        <v>0</v>
      </c>
      <c r="J88" s="26" t="n">
        <f aca="false">SUMIFS(Sales_Data!$N$2:$N$3520,Sales_Data!$F$2:$F$3520,$A88,Sales_Data!$C$2:$C$3520,"&gt;="&amp;Dashboard!$C$5,Sales_Data!$C$2:$C$3520,"&lt;="&amp;Dashboard!$C$6,Sales_Data!$AE$2:$AE$3520,1)</f>
        <v>0</v>
      </c>
      <c r="K88" s="27" t="n">
        <f aca="false">SUMIFS(Sales_Data!$O$2:$O$3520,Sales_Data!$F$2:$F$3520,$A88,Sales_Data!$C$2:$C$3520,"&gt;="&amp;Dashboard!$C$5,Sales_Data!$C$2:$C$3520,"&lt;="&amp;Dashboard!$C$6,Sales_Data!$AE$2:$AE$3520,1)</f>
        <v>0</v>
      </c>
      <c r="L88" s="26" t="n">
        <f aca="false">SUMIFS(Sales_Data!$AF$2:$AF$3520,Sales_Data!$F$2:$F$3520,$A88,Sales_Data!$C$2:$C$3520,"&gt;="&amp;Dashboard!$C$5,Sales_Data!$C$2:$C$3520,"&lt;="&amp;Dashboard!$C$6)</f>
        <v>0</v>
      </c>
      <c r="M88" s="31" t="n">
        <f aca="false">IFERROR(K88/L88,0)</f>
        <v>0</v>
      </c>
      <c r="N88" s="26" t="n">
        <f aca="false">SUMIFS(Sales_Data!$O$2:$O$3520,Sales_Data!$F$2:$F$3520,$A88,Sales_Data!$C$2:$C$3520,"&gt;="&amp;Dashboard!$C$12,Sales_Data!$C$2:$C$3520,"&lt;="&amp;Dashboard!$C$13,Sales_Data!$AE$2:$AE$3520,1)</f>
        <v>2</v>
      </c>
      <c r="O88" s="28" t="n">
        <f aca="false">K88-N88</f>
        <v>-2</v>
      </c>
      <c r="P88" s="54" t="n">
        <f aca="false">IF(W88=0,"-",W88)</f>
        <v>46291</v>
      </c>
      <c r="Q88" s="52" t="n">
        <f aca="false">IF(W88=0,"-",$B$2-W88)</f>
        <v>12</v>
      </c>
      <c r="R88" s="52" t="n">
        <f aca="false">IF(T88=1,COUNTIFS($T$5:$T$254,1,$K$5:$K$254,"&gt;"&amp;K88)+1,"-")</f>
        <v>139</v>
      </c>
      <c r="S88" s="52" t="n">
        <f aca="false">COUNTIFS($C$5:$C$254,C88,$K$5:$K$254,"&gt;"&amp;K88)+1</f>
        <v>13</v>
      </c>
      <c r="T88" s="52" t="n">
        <f aca="false">IF(AND(OR(Dashboard!$C$7="All",D88=Dashboard!$C$7),OR(Dashboard!$C$8="All",C88=Dashboard!$C$8)),1,0)</f>
        <v>1</v>
      </c>
      <c r="U88" s="74" t="n">
        <f aca="false">IF(T88=1,K88+ROW()/1000000,-1)</f>
        <v>8.8E-005</v>
      </c>
      <c r="V88" s="74" t="n">
        <f aca="false">IF(AND(T88=1,E88="Production"),K88+ROW()/1000000,1000000000)</f>
        <v>8.8E-005</v>
      </c>
      <c r="W88" s="52" t="n">
        <f aca="false">SUMPRODUCT(MAX((Sales_Data!$F$2:$F$3520=A88)*Sales_Data!$C$2:$C$3520))</f>
        <v>46291</v>
      </c>
    </row>
    <row r="89" customFormat="false" ht="15" hidden="false" customHeight="false" outlineLevel="0" collapsed="false">
      <c r="A89" s="53" t="s">
        <v>518</v>
      </c>
      <c r="B89" s="48" t="s">
        <v>519</v>
      </c>
      <c r="C89" s="53" t="s">
        <v>52</v>
      </c>
      <c r="D89" s="53" t="s">
        <v>47</v>
      </c>
      <c r="E89" s="53" t="s">
        <v>146</v>
      </c>
      <c r="F89" s="53" t="s">
        <v>147</v>
      </c>
      <c r="G89" s="53" t="s">
        <v>6571</v>
      </c>
      <c r="H89" s="26" t="n">
        <f aca="false">SUMIFS(Sales_Data!$AE$2:$AE$3520,Sales_Data!$F$2:$F$3520,$A89,Sales_Data!$C$2:$C$3520,"&gt;="&amp;Dashboard!$C$5,Sales_Data!$C$2:$C$3520,"&lt;="&amp;Dashboard!$C$6)</f>
        <v>5</v>
      </c>
      <c r="I89" s="26" t="n">
        <f aca="false">SUMIFS(Sales_Data!$M$2:$M$3520,Sales_Data!$F$2:$F$3520,$A89,Sales_Data!$C$2:$C$3520,"&gt;="&amp;Dashboard!$C$5,Sales_Data!$C$2:$C$3520,"&lt;="&amp;Dashboard!$C$6,Sales_Data!$AE$2:$AE$3520,1)</f>
        <v>0</v>
      </c>
      <c r="J89" s="26" t="n">
        <f aca="false">SUMIFS(Sales_Data!$N$2:$N$3520,Sales_Data!$F$2:$F$3520,$A89,Sales_Data!$C$2:$C$3520,"&gt;="&amp;Dashboard!$C$5,Sales_Data!$C$2:$C$3520,"&lt;="&amp;Dashboard!$C$6,Sales_Data!$AE$2:$AE$3520,1)</f>
        <v>5</v>
      </c>
      <c r="K89" s="27" t="n">
        <f aca="false">SUMIFS(Sales_Data!$O$2:$O$3520,Sales_Data!$F$2:$F$3520,$A89,Sales_Data!$C$2:$C$3520,"&gt;="&amp;Dashboard!$C$5,Sales_Data!$C$2:$C$3520,"&lt;="&amp;Dashboard!$C$6,Sales_Data!$AE$2:$AE$3520,1)</f>
        <v>5</v>
      </c>
      <c r="L89" s="26" t="n">
        <f aca="false">SUMIFS(Sales_Data!$AF$2:$AF$3520,Sales_Data!$F$2:$F$3520,$A89,Sales_Data!$C$2:$C$3520,"&gt;="&amp;Dashboard!$C$5,Sales_Data!$C$2:$C$3520,"&lt;="&amp;Dashboard!$C$6)</f>
        <v>3</v>
      </c>
      <c r="M89" s="31" t="n">
        <f aca="false">IFERROR(K89/L89,0)</f>
        <v>1.66666666666667</v>
      </c>
      <c r="N89" s="26" t="n">
        <f aca="false">SUMIFS(Sales_Data!$O$2:$O$3520,Sales_Data!$F$2:$F$3520,$A89,Sales_Data!$C$2:$C$3520,"&gt;="&amp;Dashboard!$C$12,Sales_Data!$C$2:$C$3520,"&lt;="&amp;Dashboard!$C$13,Sales_Data!$AE$2:$AE$3520,1)</f>
        <v>4</v>
      </c>
      <c r="O89" s="28" t="n">
        <f aca="false">K89-N89</f>
        <v>1</v>
      </c>
      <c r="P89" s="54" t="n">
        <f aca="false">IF(W89=0,"-",W89)</f>
        <v>46300</v>
      </c>
      <c r="Q89" s="52" t="n">
        <f aca="false">IF(W89=0,"-",$B$2-W89)</f>
        <v>3</v>
      </c>
      <c r="R89" s="52" t="n">
        <f aca="false">IF(T89=1,COUNTIFS($T$5:$T$254,1,$K$5:$K$254,"&gt;"&amp;K89)+1,"-")</f>
        <v>28</v>
      </c>
      <c r="S89" s="52" t="n">
        <f aca="false">COUNTIFS($C$5:$C$254,C89,$K$5:$K$254,"&gt;"&amp;K89)+1</f>
        <v>4</v>
      </c>
      <c r="T89" s="52" t="n">
        <f aca="false">IF(AND(OR(Dashboard!$C$7="All",D89=Dashboard!$C$7),OR(Dashboard!$C$8="All",C89=Dashboard!$C$8)),1,0)</f>
        <v>1</v>
      </c>
      <c r="U89" s="74" t="n">
        <f aca="false">IF(T89=1,K89+ROW()/1000000,-1)</f>
        <v>5.000089</v>
      </c>
      <c r="V89" s="74" t="n">
        <f aca="false">IF(AND(T89=1,E89="Production"),K89+ROW()/1000000,1000000000)</f>
        <v>5.000089</v>
      </c>
      <c r="W89" s="52" t="n">
        <f aca="false">SUMPRODUCT(MAX((Sales_Data!$F$2:$F$3520=A89)*Sales_Data!$C$2:$C$3520))</f>
        <v>46300</v>
      </c>
    </row>
    <row r="90" customFormat="false" ht="15" hidden="false" customHeight="false" outlineLevel="0" collapsed="false">
      <c r="A90" s="53" t="s">
        <v>1590</v>
      </c>
      <c r="B90" s="48" t="s">
        <v>1591</v>
      </c>
      <c r="C90" s="53" t="s">
        <v>52</v>
      </c>
      <c r="D90" s="53" t="s">
        <v>47</v>
      </c>
      <c r="E90" s="53" t="s">
        <v>146</v>
      </c>
      <c r="F90" s="53" t="s">
        <v>209</v>
      </c>
      <c r="G90" s="53" t="s">
        <v>6571</v>
      </c>
      <c r="H90" s="26" t="n">
        <f aca="false">SUMIFS(Sales_Data!$AE$2:$AE$3520,Sales_Data!$F$2:$F$3520,$A90,Sales_Data!$C$2:$C$3520,"&gt;="&amp;Dashboard!$C$5,Sales_Data!$C$2:$C$3520,"&lt;="&amp;Dashboard!$C$6)</f>
        <v>0</v>
      </c>
      <c r="I90" s="26" t="n">
        <f aca="false">SUMIFS(Sales_Data!$M$2:$M$3520,Sales_Data!$F$2:$F$3520,$A90,Sales_Data!$C$2:$C$3520,"&gt;="&amp;Dashboard!$C$5,Sales_Data!$C$2:$C$3520,"&lt;="&amp;Dashboard!$C$6,Sales_Data!$AE$2:$AE$3520,1)</f>
        <v>0</v>
      </c>
      <c r="J90" s="26" t="n">
        <f aca="false">SUMIFS(Sales_Data!$N$2:$N$3520,Sales_Data!$F$2:$F$3520,$A90,Sales_Data!$C$2:$C$3520,"&gt;="&amp;Dashboard!$C$5,Sales_Data!$C$2:$C$3520,"&lt;="&amp;Dashboard!$C$6,Sales_Data!$AE$2:$AE$3520,1)</f>
        <v>0</v>
      </c>
      <c r="K90" s="27" t="n">
        <f aca="false">SUMIFS(Sales_Data!$O$2:$O$3520,Sales_Data!$F$2:$F$3520,$A90,Sales_Data!$C$2:$C$3520,"&gt;="&amp;Dashboard!$C$5,Sales_Data!$C$2:$C$3520,"&lt;="&amp;Dashboard!$C$6,Sales_Data!$AE$2:$AE$3520,1)</f>
        <v>0</v>
      </c>
      <c r="L90" s="26" t="n">
        <f aca="false">SUMIFS(Sales_Data!$AF$2:$AF$3520,Sales_Data!$F$2:$F$3520,$A90,Sales_Data!$C$2:$C$3520,"&gt;="&amp;Dashboard!$C$5,Sales_Data!$C$2:$C$3520,"&lt;="&amp;Dashboard!$C$6)</f>
        <v>0</v>
      </c>
      <c r="M90" s="31" t="n">
        <f aca="false">IFERROR(K90/L90,0)</f>
        <v>0</v>
      </c>
      <c r="N90" s="26" t="n">
        <f aca="false">SUMIFS(Sales_Data!$O$2:$O$3520,Sales_Data!$F$2:$F$3520,$A90,Sales_Data!$C$2:$C$3520,"&gt;="&amp;Dashboard!$C$12,Sales_Data!$C$2:$C$3520,"&lt;="&amp;Dashboard!$C$13,Sales_Data!$AE$2:$AE$3520,1)</f>
        <v>4</v>
      </c>
      <c r="O90" s="28" t="n">
        <f aca="false">K90-N90</f>
        <v>-4</v>
      </c>
      <c r="P90" s="54" t="n">
        <f aca="false">IF(W90=0,"-",W90)</f>
        <v>46292</v>
      </c>
      <c r="Q90" s="52" t="n">
        <f aca="false">IF(W90=0,"-",$B$2-W90)</f>
        <v>11</v>
      </c>
      <c r="R90" s="52" t="n">
        <f aca="false">IF(T90=1,COUNTIFS($T$5:$T$254,1,$K$5:$K$254,"&gt;"&amp;K90)+1,"-")</f>
        <v>139</v>
      </c>
      <c r="S90" s="52" t="n">
        <f aca="false">COUNTIFS($C$5:$C$254,C90,$K$5:$K$254,"&gt;"&amp;K90)+1</f>
        <v>11</v>
      </c>
      <c r="T90" s="52" t="n">
        <f aca="false">IF(AND(OR(Dashboard!$C$7="All",D90=Dashboard!$C$7),OR(Dashboard!$C$8="All",C90=Dashboard!$C$8)),1,0)</f>
        <v>1</v>
      </c>
      <c r="U90" s="74" t="n">
        <f aca="false">IF(T90=1,K90+ROW()/1000000,-1)</f>
        <v>9E-005</v>
      </c>
      <c r="V90" s="74" t="n">
        <f aca="false">IF(AND(T90=1,E90="Production"),K90+ROW()/1000000,1000000000)</f>
        <v>9E-005</v>
      </c>
      <c r="W90" s="52" t="n">
        <f aca="false">SUMPRODUCT(MAX((Sales_Data!$F$2:$F$3520=A90)*Sales_Data!$C$2:$C$3520))</f>
        <v>46292</v>
      </c>
    </row>
    <row r="91" customFormat="false" ht="15" hidden="false" customHeight="false" outlineLevel="0" collapsed="false">
      <c r="A91" s="53" t="s">
        <v>2101</v>
      </c>
      <c r="B91" s="48" t="s">
        <v>2102</v>
      </c>
      <c r="C91" s="53" t="s">
        <v>52</v>
      </c>
      <c r="D91" s="53" t="s">
        <v>47</v>
      </c>
      <c r="E91" s="53" t="s">
        <v>146</v>
      </c>
      <c r="F91" s="53" t="s">
        <v>147</v>
      </c>
      <c r="G91" s="53" t="s">
        <v>6574</v>
      </c>
      <c r="H91" s="26" t="n">
        <f aca="false">SUMIFS(Sales_Data!$AE$2:$AE$3520,Sales_Data!$F$2:$F$3520,$A91,Sales_Data!$C$2:$C$3520,"&gt;="&amp;Dashboard!$C$5,Sales_Data!$C$2:$C$3520,"&lt;="&amp;Dashboard!$C$6)</f>
        <v>1</v>
      </c>
      <c r="I91" s="26" t="n">
        <f aca="false">SUMIFS(Sales_Data!$M$2:$M$3520,Sales_Data!$F$2:$F$3520,$A91,Sales_Data!$C$2:$C$3520,"&gt;="&amp;Dashboard!$C$5,Sales_Data!$C$2:$C$3520,"&lt;="&amp;Dashboard!$C$6,Sales_Data!$AE$2:$AE$3520,1)</f>
        <v>0</v>
      </c>
      <c r="J91" s="26" t="n">
        <f aca="false">SUMIFS(Sales_Data!$N$2:$N$3520,Sales_Data!$F$2:$F$3520,$A91,Sales_Data!$C$2:$C$3520,"&gt;="&amp;Dashboard!$C$5,Sales_Data!$C$2:$C$3520,"&lt;="&amp;Dashboard!$C$6,Sales_Data!$AE$2:$AE$3520,1)</f>
        <v>1</v>
      </c>
      <c r="K91" s="27" t="n">
        <f aca="false">SUMIFS(Sales_Data!$O$2:$O$3520,Sales_Data!$F$2:$F$3520,$A91,Sales_Data!$C$2:$C$3520,"&gt;="&amp;Dashboard!$C$5,Sales_Data!$C$2:$C$3520,"&lt;="&amp;Dashboard!$C$6,Sales_Data!$AE$2:$AE$3520,1)</f>
        <v>1</v>
      </c>
      <c r="L91" s="26" t="n">
        <f aca="false">SUMIFS(Sales_Data!$AF$2:$AF$3520,Sales_Data!$F$2:$F$3520,$A91,Sales_Data!$C$2:$C$3520,"&gt;="&amp;Dashboard!$C$5,Sales_Data!$C$2:$C$3520,"&lt;="&amp;Dashboard!$C$6)</f>
        <v>1</v>
      </c>
      <c r="M91" s="31" t="n">
        <f aca="false">IFERROR(K91/L91,0)</f>
        <v>1</v>
      </c>
      <c r="N91" s="26" t="n">
        <f aca="false">SUMIFS(Sales_Data!$O$2:$O$3520,Sales_Data!$F$2:$F$3520,$A91,Sales_Data!$C$2:$C$3520,"&gt;="&amp;Dashboard!$C$12,Sales_Data!$C$2:$C$3520,"&lt;="&amp;Dashboard!$C$13,Sales_Data!$AE$2:$AE$3520,1)</f>
        <v>2</v>
      </c>
      <c r="O91" s="28" t="n">
        <f aca="false">K91-N91</f>
        <v>-1</v>
      </c>
      <c r="P91" s="54" t="n">
        <f aca="false">IF(W91=0,"-",W91)</f>
        <v>46302</v>
      </c>
      <c r="Q91" s="52" t="n">
        <f aca="false">IF(W91=0,"-",$B$2-W91)</f>
        <v>1</v>
      </c>
      <c r="R91" s="52" t="n">
        <f aca="false">IF(T91=1,COUNTIFS($T$5:$T$254,1,$K$5:$K$254,"&gt;"&amp;K91)+1,"-")</f>
        <v>105</v>
      </c>
      <c r="S91" s="52" t="n">
        <f aca="false">COUNTIFS($C$5:$C$254,C91,$K$5:$K$254,"&gt;"&amp;K91)+1</f>
        <v>10</v>
      </c>
      <c r="T91" s="52" t="n">
        <f aca="false">IF(AND(OR(Dashboard!$C$7="All",D91=Dashboard!$C$7),OR(Dashboard!$C$8="All",C91=Dashboard!$C$8)),1,0)</f>
        <v>1</v>
      </c>
      <c r="U91" s="74" t="n">
        <f aca="false">IF(T91=1,K91+ROW()/1000000,-1)</f>
        <v>1.000091</v>
      </c>
      <c r="V91" s="74" t="n">
        <f aca="false">IF(AND(T91=1,E91="Production"),K91+ROW()/1000000,1000000000)</f>
        <v>1.000091</v>
      </c>
      <c r="W91" s="52" t="n">
        <f aca="false">SUMPRODUCT(MAX((Sales_Data!$F$2:$F$3520=A91)*Sales_Data!$C$2:$C$3520))</f>
        <v>46302</v>
      </c>
    </row>
    <row r="92" customFormat="false" ht="15" hidden="false" customHeight="false" outlineLevel="0" collapsed="false">
      <c r="A92" s="53" t="s">
        <v>1571</v>
      </c>
      <c r="B92" s="48" t="s">
        <v>1572</v>
      </c>
      <c r="C92" s="53" t="s">
        <v>52</v>
      </c>
      <c r="D92" s="53" t="s">
        <v>47</v>
      </c>
      <c r="E92" s="53" t="s">
        <v>146</v>
      </c>
      <c r="F92" s="53" t="s">
        <v>209</v>
      </c>
      <c r="G92" s="53" t="s">
        <v>6548</v>
      </c>
      <c r="H92" s="26" t="n">
        <f aca="false">SUMIFS(Sales_Data!$AE$2:$AE$3520,Sales_Data!$F$2:$F$3520,$A92,Sales_Data!$C$2:$C$3520,"&gt;="&amp;Dashboard!$C$5,Sales_Data!$C$2:$C$3520,"&lt;="&amp;Dashboard!$C$6)</f>
        <v>5</v>
      </c>
      <c r="I92" s="26" t="n">
        <f aca="false">SUMIFS(Sales_Data!$M$2:$M$3520,Sales_Data!$F$2:$F$3520,$A92,Sales_Data!$C$2:$C$3520,"&gt;="&amp;Dashboard!$C$5,Sales_Data!$C$2:$C$3520,"&lt;="&amp;Dashboard!$C$6,Sales_Data!$AE$2:$AE$3520,1)</f>
        <v>1</v>
      </c>
      <c r="J92" s="26" t="n">
        <f aca="false">SUMIFS(Sales_Data!$N$2:$N$3520,Sales_Data!$F$2:$F$3520,$A92,Sales_Data!$C$2:$C$3520,"&gt;="&amp;Dashboard!$C$5,Sales_Data!$C$2:$C$3520,"&lt;="&amp;Dashboard!$C$6,Sales_Data!$AE$2:$AE$3520,1)</f>
        <v>5</v>
      </c>
      <c r="K92" s="27" t="n">
        <f aca="false">SUMIFS(Sales_Data!$O$2:$O$3520,Sales_Data!$F$2:$F$3520,$A92,Sales_Data!$C$2:$C$3520,"&gt;="&amp;Dashboard!$C$5,Sales_Data!$C$2:$C$3520,"&lt;="&amp;Dashboard!$C$6,Sales_Data!$AE$2:$AE$3520,1)</f>
        <v>6</v>
      </c>
      <c r="L92" s="26" t="n">
        <f aca="false">SUMIFS(Sales_Data!$AF$2:$AF$3520,Sales_Data!$F$2:$F$3520,$A92,Sales_Data!$C$2:$C$3520,"&gt;="&amp;Dashboard!$C$5,Sales_Data!$C$2:$C$3520,"&lt;="&amp;Dashboard!$C$6)</f>
        <v>3</v>
      </c>
      <c r="M92" s="31" t="n">
        <f aca="false">IFERROR(K92/L92,0)</f>
        <v>2</v>
      </c>
      <c r="N92" s="26" t="n">
        <f aca="false">SUMIFS(Sales_Data!$O$2:$O$3520,Sales_Data!$F$2:$F$3520,$A92,Sales_Data!$C$2:$C$3520,"&gt;="&amp;Dashboard!$C$12,Sales_Data!$C$2:$C$3520,"&lt;="&amp;Dashboard!$C$13,Sales_Data!$AE$2:$AE$3520,1)</f>
        <v>5</v>
      </c>
      <c r="O92" s="28" t="n">
        <f aca="false">K92-N92</f>
        <v>1</v>
      </c>
      <c r="P92" s="54" t="n">
        <f aca="false">IF(W92=0,"-",W92)</f>
        <v>46303</v>
      </c>
      <c r="Q92" s="52" t="n">
        <f aca="false">IF(W92=0,"-",$B$2-W92)</f>
        <v>0</v>
      </c>
      <c r="R92" s="52" t="n">
        <f aca="false">IF(T92=1,COUNTIFS($T$5:$T$254,1,$K$5:$K$254,"&gt;"&amp;K92)+1,"-")</f>
        <v>17</v>
      </c>
      <c r="S92" s="52" t="n">
        <f aca="false">COUNTIFS($C$5:$C$254,C92,$K$5:$K$254,"&gt;"&amp;K92)+1</f>
        <v>2</v>
      </c>
      <c r="T92" s="52" t="n">
        <f aca="false">IF(AND(OR(Dashboard!$C$7="All",D92=Dashboard!$C$7),OR(Dashboard!$C$8="All",C92=Dashboard!$C$8)),1,0)</f>
        <v>1</v>
      </c>
      <c r="U92" s="74" t="n">
        <f aca="false">IF(T92=1,K92+ROW()/1000000,-1)</f>
        <v>6.000092</v>
      </c>
      <c r="V92" s="74" t="n">
        <f aca="false">IF(AND(T92=1,E92="Production"),K92+ROW()/1000000,1000000000)</f>
        <v>6.000092</v>
      </c>
      <c r="W92" s="52" t="n">
        <f aca="false">SUMPRODUCT(MAX((Sales_Data!$F$2:$F$3520=A92)*Sales_Data!$C$2:$C$3520))</f>
        <v>46303</v>
      </c>
    </row>
    <row r="93" customFormat="false" ht="15" hidden="false" customHeight="false" outlineLevel="0" collapsed="false">
      <c r="A93" s="53" t="s">
        <v>1539</v>
      </c>
      <c r="B93" s="48" t="s">
        <v>1540</v>
      </c>
      <c r="C93" s="53" t="s">
        <v>52</v>
      </c>
      <c r="D93" s="53" t="s">
        <v>47</v>
      </c>
      <c r="E93" s="53" t="s">
        <v>146</v>
      </c>
      <c r="F93" s="53" t="s">
        <v>147</v>
      </c>
      <c r="G93" s="53" t="s">
        <v>6574</v>
      </c>
      <c r="H93" s="26" t="n">
        <f aca="false">SUMIFS(Sales_Data!$AE$2:$AE$3520,Sales_Data!$F$2:$F$3520,$A93,Sales_Data!$C$2:$C$3520,"&gt;="&amp;Dashboard!$C$5,Sales_Data!$C$2:$C$3520,"&lt;="&amp;Dashboard!$C$6)</f>
        <v>4</v>
      </c>
      <c r="I93" s="26" t="n">
        <f aca="false">SUMIFS(Sales_Data!$M$2:$M$3520,Sales_Data!$F$2:$F$3520,$A93,Sales_Data!$C$2:$C$3520,"&gt;="&amp;Dashboard!$C$5,Sales_Data!$C$2:$C$3520,"&lt;="&amp;Dashboard!$C$6,Sales_Data!$AE$2:$AE$3520,1)</f>
        <v>2</v>
      </c>
      <c r="J93" s="26" t="n">
        <f aca="false">SUMIFS(Sales_Data!$N$2:$N$3520,Sales_Data!$F$2:$F$3520,$A93,Sales_Data!$C$2:$C$3520,"&gt;="&amp;Dashboard!$C$5,Sales_Data!$C$2:$C$3520,"&lt;="&amp;Dashboard!$C$6,Sales_Data!$AE$2:$AE$3520,1)</f>
        <v>3</v>
      </c>
      <c r="K93" s="27" t="n">
        <f aca="false">SUMIFS(Sales_Data!$O$2:$O$3520,Sales_Data!$F$2:$F$3520,$A93,Sales_Data!$C$2:$C$3520,"&gt;="&amp;Dashboard!$C$5,Sales_Data!$C$2:$C$3520,"&lt;="&amp;Dashboard!$C$6,Sales_Data!$AE$2:$AE$3520,1)</f>
        <v>5</v>
      </c>
      <c r="L93" s="26" t="n">
        <f aca="false">SUMIFS(Sales_Data!$AF$2:$AF$3520,Sales_Data!$F$2:$F$3520,$A93,Sales_Data!$C$2:$C$3520,"&gt;="&amp;Dashboard!$C$5,Sales_Data!$C$2:$C$3520,"&lt;="&amp;Dashboard!$C$6)</f>
        <v>2</v>
      </c>
      <c r="M93" s="31" t="n">
        <f aca="false">IFERROR(K93/L93,0)</f>
        <v>2.5</v>
      </c>
      <c r="N93" s="26" t="n">
        <f aca="false">SUMIFS(Sales_Data!$O$2:$O$3520,Sales_Data!$F$2:$F$3520,$A93,Sales_Data!$C$2:$C$3520,"&gt;="&amp;Dashboard!$C$12,Sales_Data!$C$2:$C$3520,"&lt;="&amp;Dashboard!$C$13,Sales_Data!$AE$2:$AE$3520,1)</f>
        <v>0</v>
      </c>
      <c r="O93" s="28" t="n">
        <f aca="false">K93-N93</f>
        <v>5</v>
      </c>
      <c r="P93" s="54" t="n">
        <f aca="false">IF(W93=0,"-",W93)</f>
        <v>46299</v>
      </c>
      <c r="Q93" s="52" t="n">
        <f aca="false">IF(W93=0,"-",$B$2-W93)</f>
        <v>4</v>
      </c>
      <c r="R93" s="52" t="n">
        <f aca="false">IF(T93=1,COUNTIFS($T$5:$T$254,1,$K$5:$K$254,"&gt;"&amp;K93)+1,"-")</f>
        <v>28</v>
      </c>
      <c r="S93" s="52" t="n">
        <f aca="false">COUNTIFS($C$5:$C$254,C93,$K$5:$K$254,"&gt;"&amp;K93)+1</f>
        <v>4</v>
      </c>
      <c r="T93" s="52" t="n">
        <f aca="false">IF(AND(OR(Dashboard!$C$7="All",D93=Dashboard!$C$7),OR(Dashboard!$C$8="All",C93=Dashboard!$C$8)),1,0)</f>
        <v>1</v>
      </c>
      <c r="U93" s="74" t="n">
        <f aca="false">IF(T93=1,K93+ROW()/1000000,-1)</f>
        <v>5.000093</v>
      </c>
      <c r="V93" s="74" t="n">
        <f aca="false">IF(AND(T93=1,E93="Production"),K93+ROW()/1000000,1000000000)</f>
        <v>5.000093</v>
      </c>
      <c r="W93" s="52" t="n">
        <f aca="false">SUMPRODUCT(MAX((Sales_Data!$F$2:$F$3520=A93)*Sales_Data!$C$2:$C$3520))</f>
        <v>46299</v>
      </c>
    </row>
    <row r="94" customFormat="false" ht="15" hidden="false" customHeight="false" outlineLevel="0" collapsed="false">
      <c r="A94" s="53" t="s">
        <v>1255</v>
      </c>
      <c r="B94" s="48" t="s">
        <v>1256</v>
      </c>
      <c r="C94" s="53" t="s">
        <v>52</v>
      </c>
      <c r="D94" s="53" t="s">
        <v>47</v>
      </c>
      <c r="E94" s="53" t="s">
        <v>146</v>
      </c>
      <c r="F94" s="53" t="s">
        <v>147</v>
      </c>
      <c r="G94" s="53" t="s">
        <v>6574</v>
      </c>
      <c r="H94" s="26" t="n">
        <f aca="false">SUMIFS(Sales_Data!$AE$2:$AE$3520,Sales_Data!$F$2:$F$3520,$A94,Sales_Data!$C$2:$C$3520,"&gt;="&amp;Dashboard!$C$5,Sales_Data!$C$2:$C$3520,"&lt;="&amp;Dashboard!$C$6)</f>
        <v>2</v>
      </c>
      <c r="I94" s="26" t="n">
        <f aca="false">SUMIFS(Sales_Data!$M$2:$M$3520,Sales_Data!$F$2:$F$3520,$A94,Sales_Data!$C$2:$C$3520,"&gt;="&amp;Dashboard!$C$5,Sales_Data!$C$2:$C$3520,"&lt;="&amp;Dashboard!$C$6,Sales_Data!$AE$2:$AE$3520,1)</f>
        <v>2</v>
      </c>
      <c r="J94" s="26" t="n">
        <f aca="false">SUMIFS(Sales_Data!$N$2:$N$3520,Sales_Data!$F$2:$F$3520,$A94,Sales_Data!$C$2:$C$3520,"&gt;="&amp;Dashboard!$C$5,Sales_Data!$C$2:$C$3520,"&lt;="&amp;Dashboard!$C$6,Sales_Data!$AE$2:$AE$3520,1)</f>
        <v>0</v>
      </c>
      <c r="K94" s="27" t="n">
        <f aca="false">SUMIFS(Sales_Data!$O$2:$O$3520,Sales_Data!$F$2:$F$3520,$A94,Sales_Data!$C$2:$C$3520,"&gt;="&amp;Dashboard!$C$5,Sales_Data!$C$2:$C$3520,"&lt;="&amp;Dashboard!$C$6,Sales_Data!$AE$2:$AE$3520,1)</f>
        <v>2</v>
      </c>
      <c r="L94" s="26" t="n">
        <f aca="false">SUMIFS(Sales_Data!$AF$2:$AF$3520,Sales_Data!$F$2:$F$3520,$A94,Sales_Data!$C$2:$C$3520,"&gt;="&amp;Dashboard!$C$5,Sales_Data!$C$2:$C$3520,"&lt;="&amp;Dashboard!$C$6)</f>
        <v>2</v>
      </c>
      <c r="M94" s="31" t="n">
        <f aca="false">IFERROR(K94/L94,0)</f>
        <v>1</v>
      </c>
      <c r="N94" s="26" t="n">
        <f aca="false">SUMIFS(Sales_Data!$O$2:$O$3520,Sales_Data!$F$2:$F$3520,$A94,Sales_Data!$C$2:$C$3520,"&gt;="&amp;Dashboard!$C$12,Sales_Data!$C$2:$C$3520,"&lt;="&amp;Dashboard!$C$13,Sales_Data!$AE$2:$AE$3520,1)</f>
        <v>1</v>
      </c>
      <c r="O94" s="28" t="n">
        <f aca="false">K94-N94</f>
        <v>1</v>
      </c>
      <c r="P94" s="54" t="n">
        <f aca="false">IF(W94=0,"-",W94)</f>
        <v>46303</v>
      </c>
      <c r="Q94" s="52" t="n">
        <f aca="false">IF(W94=0,"-",$B$2-W94)</f>
        <v>0</v>
      </c>
      <c r="R94" s="52" t="n">
        <f aca="false">IF(T94=1,COUNTIFS($T$5:$T$254,1,$K$5:$K$254,"&gt;"&amp;K94)+1,"-")</f>
        <v>84</v>
      </c>
      <c r="S94" s="52" t="n">
        <f aca="false">COUNTIFS($C$5:$C$254,C94,$K$5:$K$254,"&gt;"&amp;K94)+1</f>
        <v>8</v>
      </c>
      <c r="T94" s="52" t="n">
        <f aca="false">IF(AND(OR(Dashboard!$C$7="All",D94=Dashboard!$C$7),OR(Dashboard!$C$8="All",C94=Dashboard!$C$8)),1,0)</f>
        <v>1</v>
      </c>
      <c r="U94" s="74" t="n">
        <f aca="false">IF(T94=1,K94+ROW()/1000000,-1)</f>
        <v>2.000094</v>
      </c>
      <c r="V94" s="74" t="n">
        <f aca="false">IF(AND(T94=1,E94="Production"),K94+ROW()/1000000,1000000000)</f>
        <v>2.000094</v>
      </c>
      <c r="W94" s="52" t="n">
        <f aca="false">SUMPRODUCT(MAX((Sales_Data!$F$2:$F$3520=A94)*Sales_Data!$C$2:$C$3520))</f>
        <v>46303</v>
      </c>
    </row>
    <row r="95" customFormat="false" ht="15" hidden="false" customHeight="false" outlineLevel="0" collapsed="false">
      <c r="A95" s="53" t="s">
        <v>5478</v>
      </c>
      <c r="B95" s="48" t="s">
        <v>5479</v>
      </c>
      <c r="C95" s="53" t="s">
        <v>52</v>
      </c>
      <c r="D95" s="53" t="s">
        <v>47</v>
      </c>
      <c r="E95" s="53" t="s">
        <v>146</v>
      </c>
      <c r="F95" s="53" t="s">
        <v>147</v>
      </c>
      <c r="G95" s="53" t="s">
        <v>6492</v>
      </c>
      <c r="H95" s="26" t="n">
        <f aca="false">SUMIFS(Sales_Data!$AE$2:$AE$3520,Sales_Data!$F$2:$F$3520,$A95,Sales_Data!$C$2:$C$3520,"&gt;="&amp;Dashboard!$C$5,Sales_Data!$C$2:$C$3520,"&lt;="&amp;Dashboard!$C$6)</f>
        <v>0</v>
      </c>
      <c r="I95" s="26" t="n">
        <f aca="false">SUMIFS(Sales_Data!$M$2:$M$3520,Sales_Data!$F$2:$F$3520,$A95,Sales_Data!$C$2:$C$3520,"&gt;="&amp;Dashboard!$C$5,Sales_Data!$C$2:$C$3520,"&lt;="&amp;Dashboard!$C$6,Sales_Data!$AE$2:$AE$3520,1)</f>
        <v>0</v>
      </c>
      <c r="J95" s="26" t="n">
        <f aca="false">SUMIFS(Sales_Data!$N$2:$N$3520,Sales_Data!$F$2:$F$3520,$A95,Sales_Data!$C$2:$C$3520,"&gt;="&amp;Dashboard!$C$5,Sales_Data!$C$2:$C$3520,"&lt;="&amp;Dashboard!$C$6,Sales_Data!$AE$2:$AE$3520,1)</f>
        <v>0</v>
      </c>
      <c r="K95" s="27" t="n">
        <f aca="false">SUMIFS(Sales_Data!$O$2:$O$3520,Sales_Data!$F$2:$F$3520,$A95,Sales_Data!$C$2:$C$3520,"&gt;="&amp;Dashboard!$C$5,Sales_Data!$C$2:$C$3520,"&lt;="&amp;Dashboard!$C$6,Sales_Data!$AE$2:$AE$3520,1)</f>
        <v>0</v>
      </c>
      <c r="L95" s="26" t="n">
        <f aca="false">SUMIFS(Sales_Data!$AF$2:$AF$3520,Sales_Data!$F$2:$F$3520,$A95,Sales_Data!$C$2:$C$3520,"&gt;="&amp;Dashboard!$C$5,Sales_Data!$C$2:$C$3520,"&lt;="&amp;Dashboard!$C$6)</f>
        <v>0</v>
      </c>
      <c r="M95" s="31" t="n">
        <f aca="false">IFERROR(K95/L95,0)</f>
        <v>0</v>
      </c>
      <c r="N95" s="26" t="n">
        <f aca="false">SUMIFS(Sales_Data!$O$2:$O$3520,Sales_Data!$F$2:$F$3520,$A95,Sales_Data!$C$2:$C$3520,"&gt;="&amp;Dashboard!$C$12,Sales_Data!$C$2:$C$3520,"&lt;="&amp;Dashboard!$C$13,Sales_Data!$AE$2:$AE$3520,1)</f>
        <v>1</v>
      </c>
      <c r="O95" s="28" t="n">
        <f aca="false">K95-N95</f>
        <v>-1</v>
      </c>
      <c r="P95" s="54" t="n">
        <f aca="false">IF(W95=0,"-",W95)</f>
        <v>46296</v>
      </c>
      <c r="Q95" s="52" t="n">
        <f aca="false">IF(W95=0,"-",$B$2-W95)</f>
        <v>7</v>
      </c>
      <c r="R95" s="52" t="n">
        <f aca="false">IF(T95=1,COUNTIFS($T$5:$T$254,1,$K$5:$K$254,"&gt;"&amp;K95)+1,"-")</f>
        <v>139</v>
      </c>
      <c r="S95" s="52" t="n">
        <f aca="false">COUNTIFS($C$5:$C$254,C95,$K$5:$K$254,"&gt;"&amp;K95)+1</f>
        <v>11</v>
      </c>
      <c r="T95" s="52" t="n">
        <f aca="false">IF(AND(OR(Dashboard!$C$7="All",D95=Dashboard!$C$7),OR(Dashboard!$C$8="All",C95=Dashboard!$C$8)),1,0)</f>
        <v>1</v>
      </c>
      <c r="U95" s="74" t="n">
        <f aca="false">IF(T95=1,K95+ROW()/1000000,-1)</f>
        <v>9.5E-005</v>
      </c>
      <c r="V95" s="74" t="n">
        <f aca="false">IF(AND(T95=1,E95="Production"),K95+ROW()/1000000,1000000000)</f>
        <v>9.5E-005</v>
      </c>
      <c r="W95" s="52" t="n">
        <f aca="false">SUMPRODUCT(MAX((Sales_Data!$F$2:$F$3520=A95)*Sales_Data!$C$2:$C$3520))</f>
        <v>46296</v>
      </c>
    </row>
    <row r="96" customFormat="false" ht="15" hidden="false" customHeight="false" outlineLevel="0" collapsed="false">
      <c r="A96" s="53" t="s">
        <v>1551</v>
      </c>
      <c r="B96" s="48" t="s">
        <v>1552</v>
      </c>
      <c r="C96" s="53" t="s">
        <v>52</v>
      </c>
      <c r="D96" s="53" t="s">
        <v>47</v>
      </c>
      <c r="E96" s="53" t="s">
        <v>146</v>
      </c>
      <c r="F96" s="53" t="s">
        <v>209</v>
      </c>
      <c r="G96" s="53" t="s">
        <v>6548</v>
      </c>
      <c r="H96" s="26" t="n">
        <f aca="false">SUMIFS(Sales_Data!$AE$2:$AE$3520,Sales_Data!$F$2:$F$3520,$A96,Sales_Data!$C$2:$C$3520,"&gt;="&amp;Dashboard!$C$5,Sales_Data!$C$2:$C$3520,"&lt;="&amp;Dashboard!$C$6)</f>
        <v>0</v>
      </c>
      <c r="I96" s="26" t="n">
        <f aca="false">SUMIFS(Sales_Data!$M$2:$M$3520,Sales_Data!$F$2:$F$3520,$A96,Sales_Data!$C$2:$C$3520,"&gt;="&amp;Dashboard!$C$5,Sales_Data!$C$2:$C$3520,"&lt;="&amp;Dashboard!$C$6,Sales_Data!$AE$2:$AE$3520,1)</f>
        <v>0</v>
      </c>
      <c r="J96" s="26" t="n">
        <f aca="false">SUMIFS(Sales_Data!$N$2:$N$3520,Sales_Data!$F$2:$F$3520,$A96,Sales_Data!$C$2:$C$3520,"&gt;="&amp;Dashboard!$C$5,Sales_Data!$C$2:$C$3520,"&lt;="&amp;Dashboard!$C$6,Sales_Data!$AE$2:$AE$3520,1)</f>
        <v>0</v>
      </c>
      <c r="K96" s="27" t="n">
        <f aca="false">SUMIFS(Sales_Data!$O$2:$O$3520,Sales_Data!$F$2:$F$3520,$A96,Sales_Data!$C$2:$C$3520,"&gt;="&amp;Dashboard!$C$5,Sales_Data!$C$2:$C$3520,"&lt;="&amp;Dashboard!$C$6,Sales_Data!$AE$2:$AE$3520,1)</f>
        <v>0</v>
      </c>
      <c r="L96" s="26" t="n">
        <f aca="false">SUMIFS(Sales_Data!$AF$2:$AF$3520,Sales_Data!$F$2:$F$3520,$A96,Sales_Data!$C$2:$C$3520,"&gt;="&amp;Dashboard!$C$5,Sales_Data!$C$2:$C$3520,"&lt;="&amp;Dashboard!$C$6)</f>
        <v>0</v>
      </c>
      <c r="M96" s="31" t="n">
        <f aca="false">IFERROR(K96/L96,0)</f>
        <v>0</v>
      </c>
      <c r="N96" s="26" t="n">
        <f aca="false">SUMIFS(Sales_Data!$O$2:$O$3520,Sales_Data!$F$2:$F$3520,$A96,Sales_Data!$C$2:$C$3520,"&gt;="&amp;Dashboard!$C$12,Sales_Data!$C$2:$C$3520,"&lt;="&amp;Dashboard!$C$13,Sales_Data!$AE$2:$AE$3520,1)</f>
        <v>1</v>
      </c>
      <c r="O96" s="28" t="n">
        <f aca="false">K96-N96</f>
        <v>-1</v>
      </c>
      <c r="P96" s="54" t="n">
        <f aca="false">IF(W96=0,"-",W96)</f>
        <v>46291</v>
      </c>
      <c r="Q96" s="52" t="n">
        <f aca="false">IF(W96=0,"-",$B$2-W96)</f>
        <v>12</v>
      </c>
      <c r="R96" s="52" t="n">
        <f aca="false">IF(T96=1,COUNTIFS($T$5:$T$254,1,$K$5:$K$254,"&gt;"&amp;K96)+1,"-")</f>
        <v>139</v>
      </c>
      <c r="S96" s="52" t="n">
        <f aca="false">COUNTIFS($C$5:$C$254,C96,$K$5:$K$254,"&gt;"&amp;K96)+1</f>
        <v>11</v>
      </c>
      <c r="T96" s="52" t="n">
        <f aca="false">IF(AND(OR(Dashboard!$C$7="All",D96=Dashboard!$C$7),OR(Dashboard!$C$8="All",C96=Dashboard!$C$8)),1,0)</f>
        <v>1</v>
      </c>
      <c r="U96" s="74" t="n">
        <f aca="false">IF(T96=1,K96+ROW()/1000000,-1)</f>
        <v>9.6E-005</v>
      </c>
      <c r="V96" s="74" t="n">
        <f aca="false">IF(AND(T96=1,E96="Production"),K96+ROW()/1000000,1000000000)</f>
        <v>9.6E-005</v>
      </c>
      <c r="W96" s="52" t="n">
        <f aca="false">SUMPRODUCT(MAX((Sales_Data!$F$2:$F$3520=A96)*Sales_Data!$C$2:$C$3520))</f>
        <v>46291</v>
      </c>
    </row>
    <row r="97" customFormat="false" ht="15" hidden="false" customHeight="false" outlineLevel="0" collapsed="false">
      <c r="A97" s="53" t="s">
        <v>2156</v>
      </c>
      <c r="B97" s="48" t="s">
        <v>2157</v>
      </c>
      <c r="C97" s="53" t="s">
        <v>52</v>
      </c>
      <c r="D97" s="53" t="s">
        <v>47</v>
      </c>
      <c r="E97" s="53" t="s">
        <v>146</v>
      </c>
      <c r="F97" s="53" t="s">
        <v>209</v>
      </c>
      <c r="G97" s="53" t="s">
        <v>6571</v>
      </c>
      <c r="H97" s="26" t="n">
        <f aca="false">SUMIFS(Sales_Data!$AE$2:$AE$3520,Sales_Data!$F$2:$F$3520,$A97,Sales_Data!$C$2:$C$3520,"&gt;="&amp;Dashboard!$C$5,Sales_Data!$C$2:$C$3520,"&lt;="&amp;Dashboard!$C$6)</f>
        <v>9</v>
      </c>
      <c r="I97" s="26" t="n">
        <f aca="false">SUMIFS(Sales_Data!$M$2:$M$3520,Sales_Data!$F$2:$F$3520,$A97,Sales_Data!$C$2:$C$3520,"&gt;="&amp;Dashboard!$C$5,Sales_Data!$C$2:$C$3520,"&lt;="&amp;Dashboard!$C$6,Sales_Data!$AE$2:$AE$3520,1)</f>
        <v>3</v>
      </c>
      <c r="J97" s="26" t="n">
        <f aca="false">SUMIFS(Sales_Data!$N$2:$N$3520,Sales_Data!$F$2:$F$3520,$A97,Sales_Data!$C$2:$C$3520,"&gt;="&amp;Dashboard!$C$5,Sales_Data!$C$2:$C$3520,"&lt;="&amp;Dashboard!$C$6,Sales_Data!$AE$2:$AE$3520,1)</f>
        <v>9</v>
      </c>
      <c r="K97" s="27" t="n">
        <f aca="false">SUMIFS(Sales_Data!$O$2:$O$3520,Sales_Data!$F$2:$F$3520,$A97,Sales_Data!$C$2:$C$3520,"&gt;="&amp;Dashboard!$C$5,Sales_Data!$C$2:$C$3520,"&lt;="&amp;Dashboard!$C$6,Sales_Data!$AE$2:$AE$3520,1)</f>
        <v>12</v>
      </c>
      <c r="L97" s="26" t="n">
        <f aca="false">SUMIFS(Sales_Data!$AF$2:$AF$3520,Sales_Data!$F$2:$F$3520,$A97,Sales_Data!$C$2:$C$3520,"&gt;="&amp;Dashboard!$C$5,Sales_Data!$C$2:$C$3520,"&lt;="&amp;Dashboard!$C$6)</f>
        <v>5</v>
      </c>
      <c r="M97" s="31" t="n">
        <f aca="false">IFERROR(K97/L97,0)</f>
        <v>2.4</v>
      </c>
      <c r="N97" s="26" t="n">
        <f aca="false">SUMIFS(Sales_Data!$O$2:$O$3520,Sales_Data!$F$2:$F$3520,$A97,Sales_Data!$C$2:$C$3520,"&gt;="&amp;Dashboard!$C$12,Sales_Data!$C$2:$C$3520,"&lt;="&amp;Dashboard!$C$13,Sales_Data!$AE$2:$AE$3520,1)</f>
        <v>11</v>
      </c>
      <c r="O97" s="28" t="n">
        <f aca="false">K97-N97</f>
        <v>1</v>
      </c>
      <c r="P97" s="54" t="n">
        <f aca="false">IF(W97=0,"-",W97)</f>
        <v>46302</v>
      </c>
      <c r="Q97" s="52" t="n">
        <f aca="false">IF(W97=0,"-",$B$2-W97)</f>
        <v>1</v>
      </c>
      <c r="R97" s="52" t="n">
        <f aca="false">IF(T97=1,COUNTIFS($T$5:$T$254,1,$K$5:$K$254,"&gt;"&amp;K97)+1,"-")</f>
        <v>5</v>
      </c>
      <c r="S97" s="52" t="n">
        <f aca="false">COUNTIFS($C$5:$C$254,C97,$K$5:$K$254,"&gt;"&amp;K97)+1</f>
        <v>1</v>
      </c>
      <c r="T97" s="52" t="n">
        <f aca="false">IF(AND(OR(Dashboard!$C$7="All",D97=Dashboard!$C$7),OR(Dashboard!$C$8="All",C97=Dashboard!$C$8)),1,0)</f>
        <v>1</v>
      </c>
      <c r="U97" s="74" t="n">
        <f aca="false">IF(T97=1,K97+ROW()/1000000,-1)</f>
        <v>12.000097</v>
      </c>
      <c r="V97" s="74" t="n">
        <f aca="false">IF(AND(T97=1,E97="Production"),K97+ROW()/1000000,1000000000)</f>
        <v>12.000097</v>
      </c>
      <c r="W97" s="52" t="n">
        <f aca="false">SUMPRODUCT(MAX((Sales_Data!$F$2:$F$3520=A97)*Sales_Data!$C$2:$C$3520))</f>
        <v>46302</v>
      </c>
    </row>
    <row r="98" customFormat="false" ht="15" hidden="false" customHeight="false" outlineLevel="0" collapsed="false">
      <c r="A98" s="53" t="s">
        <v>2365</v>
      </c>
      <c r="B98" s="48" t="s">
        <v>2366</v>
      </c>
      <c r="C98" s="53" t="s">
        <v>52</v>
      </c>
      <c r="D98" s="53" t="s">
        <v>47</v>
      </c>
      <c r="E98" s="53" t="s">
        <v>146</v>
      </c>
      <c r="F98" s="53" t="s">
        <v>147</v>
      </c>
      <c r="G98" s="53" t="s">
        <v>6492</v>
      </c>
      <c r="H98" s="26" t="n">
        <f aca="false">SUMIFS(Sales_Data!$AE$2:$AE$3520,Sales_Data!$F$2:$F$3520,$A98,Sales_Data!$C$2:$C$3520,"&gt;="&amp;Dashboard!$C$5,Sales_Data!$C$2:$C$3520,"&lt;="&amp;Dashboard!$C$6)</f>
        <v>6</v>
      </c>
      <c r="I98" s="26" t="n">
        <f aca="false">SUMIFS(Sales_Data!$M$2:$M$3520,Sales_Data!$F$2:$F$3520,$A98,Sales_Data!$C$2:$C$3520,"&gt;="&amp;Dashboard!$C$5,Sales_Data!$C$2:$C$3520,"&lt;="&amp;Dashboard!$C$6,Sales_Data!$AE$2:$AE$3520,1)</f>
        <v>2</v>
      </c>
      <c r="J98" s="26" t="n">
        <f aca="false">SUMIFS(Sales_Data!$N$2:$N$3520,Sales_Data!$F$2:$F$3520,$A98,Sales_Data!$C$2:$C$3520,"&gt;="&amp;Dashboard!$C$5,Sales_Data!$C$2:$C$3520,"&lt;="&amp;Dashboard!$C$6,Sales_Data!$AE$2:$AE$3520,1)</f>
        <v>4</v>
      </c>
      <c r="K98" s="27" t="n">
        <f aca="false">SUMIFS(Sales_Data!$O$2:$O$3520,Sales_Data!$F$2:$F$3520,$A98,Sales_Data!$C$2:$C$3520,"&gt;="&amp;Dashboard!$C$5,Sales_Data!$C$2:$C$3520,"&lt;="&amp;Dashboard!$C$6,Sales_Data!$AE$2:$AE$3520,1)</f>
        <v>6</v>
      </c>
      <c r="L98" s="26" t="n">
        <f aca="false">SUMIFS(Sales_Data!$AF$2:$AF$3520,Sales_Data!$F$2:$F$3520,$A98,Sales_Data!$C$2:$C$3520,"&gt;="&amp;Dashboard!$C$5,Sales_Data!$C$2:$C$3520,"&lt;="&amp;Dashboard!$C$6)</f>
        <v>4</v>
      </c>
      <c r="M98" s="31" t="n">
        <f aca="false">IFERROR(K98/L98,0)</f>
        <v>1.5</v>
      </c>
      <c r="N98" s="26" t="n">
        <f aca="false">SUMIFS(Sales_Data!$O$2:$O$3520,Sales_Data!$F$2:$F$3520,$A98,Sales_Data!$C$2:$C$3520,"&gt;="&amp;Dashboard!$C$12,Sales_Data!$C$2:$C$3520,"&lt;="&amp;Dashboard!$C$13,Sales_Data!$AE$2:$AE$3520,1)</f>
        <v>4</v>
      </c>
      <c r="O98" s="28" t="n">
        <f aca="false">K98-N98</f>
        <v>2</v>
      </c>
      <c r="P98" s="54" t="n">
        <f aca="false">IF(W98=0,"-",W98)</f>
        <v>46302</v>
      </c>
      <c r="Q98" s="52" t="n">
        <f aca="false">IF(W98=0,"-",$B$2-W98)</f>
        <v>1</v>
      </c>
      <c r="R98" s="52" t="n">
        <f aca="false">IF(T98=1,COUNTIFS($T$5:$T$254,1,$K$5:$K$254,"&gt;"&amp;K98)+1,"-")</f>
        <v>17</v>
      </c>
      <c r="S98" s="52" t="n">
        <f aca="false">COUNTIFS($C$5:$C$254,C98,$K$5:$K$254,"&gt;"&amp;K98)+1</f>
        <v>2</v>
      </c>
      <c r="T98" s="52" t="n">
        <f aca="false">IF(AND(OR(Dashboard!$C$7="All",D98=Dashboard!$C$7),OR(Dashboard!$C$8="All",C98=Dashboard!$C$8)),1,0)</f>
        <v>1</v>
      </c>
      <c r="U98" s="74" t="n">
        <f aca="false">IF(T98=1,K98+ROW()/1000000,-1)</f>
        <v>6.000098</v>
      </c>
      <c r="V98" s="74" t="n">
        <f aca="false">IF(AND(T98=1,E98="Production"),K98+ROW()/1000000,1000000000)</f>
        <v>6.000098</v>
      </c>
      <c r="W98" s="52" t="n">
        <f aca="false">SUMPRODUCT(MAX((Sales_Data!$F$2:$F$3520=A98)*Sales_Data!$C$2:$C$3520))</f>
        <v>46302</v>
      </c>
    </row>
    <row r="99" customFormat="false" ht="15" hidden="false" customHeight="false" outlineLevel="0" collapsed="false">
      <c r="A99" s="53" t="s">
        <v>2637</v>
      </c>
      <c r="B99" s="48" t="s">
        <v>2638</v>
      </c>
      <c r="C99" s="53" t="s">
        <v>52</v>
      </c>
      <c r="D99" s="53" t="s">
        <v>47</v>
      </c>
      <c r="E99" s="53" t="s">
        <v>146</v>
      </c>
      <c r="F99" s="53" t="s">
        <v>147</v>
      </c>
      <c r="G99" s="53" t="s">
        <v>6492</v>
      </c>
      <c r="H99" s="26" t="n">
        <f aca="false">SUMIFS(Sales_Data!$AE$2:$AE$3520,Sales_Data!$F$2:$F$3520,$A99,Sales_Data!$C$2:$C$3520,"&gt;="&amp;Dashboard!$C$5,Sales_Data!$C$2:$C$3520,"&lt;="&amp;Dashboard!$C$6)</f>
        <v>4</v>
      </c>
      <c r="I99" s="26" t="n">
        <f aca="false">SUMIFS(Sales_Data!$M$2:$M$3520,Sales_Data!$F$2:$F$3520,$A99,Sales_Data!$C$2:$C$3520,"&gt;="&amp;Dashboard!$C$5,Sales_Data!$C$2:$C$3520,"&lt;="&amp;Dashboard!$C$6,Sales_Data!$AE$2:$AE$3520,1)</f>
        <v>2</v>
      </c>
      <c r="J99" s="26" t="n">
        <f aca="false">SUMIFS(Sales_Data!$N$2:$N$3520,Sales_Data!$F$2:$F$3520,$A99,Sales_Data!$C$2:$C$3520,"&gt;="&amp;Dashboard!$C$5,Sales_Data!$C$2:$C$3520,"&lt;="&amp;Dashboard!$C$6,Sales_Data!$AE$2:$AE$3520,1)</f>
        <v>2</v>
      </c>
      <c r="K99" s="27" t="n">
        <f aca="false">SUMIFS(Sales_Data!$O$2:$O$3520,Sales_Data!$F$2:$F$3520,$A99,Sales_Data!$C$2:$C$3520,"&gt;="&amp;Dashboard!$C$5,Sales_Data!$C$2:$C$3520,"&lt;="&amp;Dashboard!$C$6,Sales_Data!$AE$2:$AE$3520,1)</f>
        <v>4</v>
      </c>
      <c r="L99" s="26" t="n">
        <f aca="false">SUMIFS(Sales_Data!$AF$2:$AF$3520,Sales_Data!$F$2:$F$3520,$A99,Sales_Data!$C$2:$C$3520,"&gt;="&amp;Dashboard!$C$5,Sales_Data!$C$2:$C$3520,"&lt;="&amp;Dashboard!$C$6)</f>
        <v>2</v>
      </c>
      <c r="M99" s="31" t="n">
        <f aca="false">IFERROR(K99/L99,0)</f>
        <v>2</v>
      </c>
      <c r="N99" s="26" t="n">
        <f aca="false">SUMIFS(Sales_Data!$O$2:$O$3520,Sales_Data!$F$2:$F$3520,$A99,Sales_Data!$C$2:$C$3520,"&gt;="&amp;Dashboard!$C$12,Sales_Data!$C$2:$C$3520,"&lt;="&amp;Dashboard!$C$13,Sales_Data!$AE$2:$AE$3520,1)</f>
        <v>10</v>
      </c>
      <c r="O99" s="28" t="n">
        <f aca="false">K99-N99</f>
        <v>-6</v>
      </c>
      <c r="P99" s="54" t="n">
        <f aca="false">IF(W99=0,"-",W99)</f>
        <v>46302</v>
      </c>
      <c r="Q99" s="52" t="n">
        <f aca="false">IF(W99=0,"-",$B$2-W99)</f>
        <v>1</v>
      </c>
      <c r="R99" s="52" t="n">
        <f aca="false">IF(T99=1,COUNTIFS($T$5:$T$254,1,$K$5:$K$254,"&gt;"&amp;K99)+1,"-")</f>
        <v>39</v>
      </c>
      <c r="S99" s="52" t="n">
        <f aca="false">COUNTIFS($C$5:$C$254,C99,$K$5:$K$254,"&gt;"&amp;K99)+1</f>
        <v>6</v>
      </c>
      <c r="T99" s="52" t="n">
        <f aca="false">IF(AND(OR(Dashboard!$C$7="All",D99=Dashboard!$C$7),OR(Dashboard!$C$8="All",C99=Dashboard!$C$8)),1,0)</f>
        <v>1</v>
      </c>
      <c r="U99" s="74" t="n">
        <f aca="false">IF(T99=1,K99+ROW()/1000000,-1)</f>
        <v>4.000099</v>
      </c>
      <c r="V99" s="74" t="n">
        <f aca="false">IF(AND(T99=1,E99="Production"),K99+ROW()/1000000,1000000000)</f>
        <v>4.000099</v>
      </c>
      <c r="W99" s="52" t="n">
        <f aca="false">SUMPRODUCT(MAX((Sales_Data!$F$2:$F$3520=A99)*Sales_Data!$C$2:$C$3520))</f>
        <v>46302</v>
      </c>
    </row>
    <row r="100" customFormat="false" ht="15" hidden="false" customHeight="false" outlineLevel="0" collapsed="false">
      <c r="A100" s="53" t="s">
        <v>4821</v>
      </c>
      <c r="B100" s="48" t="s">
        <v>4822</v>
      </c>
      <c r="C100" s="53" t="s">
        <v>52</v>
      </c>
      <c r="D100" s="53" t="s">
        <v>47</v>
      </c>
      <c r="E100" s="53" t="s">
        <v>146</v>
      </c>
      <c r="F100" s="53" t="s">
        <v>147</v>
      </c>
      <c r="G100" s="53" t="s">
        <v>6492</v>
      </c>
      <c r="H100" s="26" t="n">
        <f aca="false">SUMIFS(Sales_Data!$AE$2:$AE$3520,Sales_Data!$F$2:$F$3520,$A100,Sales_Data!$C$2:$C$3520,"&gt;="&amp;Dashboard!$C$5,Sales_Data!$C$2:$C$3520,"&lt;="&amp;Dashboard!$C$6)</f>
        <v>3</v>
      </c>
      <c r="I100" s="26" t="n">
        <f aca="false">SUMIFS(Sales_Data!$M$2:$M$3520,Sales_Data!$F$2:$F$3520,$A100,Sales_Data!$C$2:$C$3520,"&gt;="&amp;Dashboard!$C$5,Sales_Data!$C$2:$C$3520,"&lt;="&amp;Dashboard!$C$6,Sales_Data!$AE$2:$AE$3520,1)</f>
        <v>2</v>
      </c>
      <c r="J100" s="26" t="n">
        <f aca="false">SUMIFS(Sales_Data!$N$2:$N$3520,Sales_Data!$F$2:$F$3520,$A100,Sales_Data!$C$2:$C$3520,"&gt;="&amp;Dashboard!$C$5,Sales_Data!$C$2:$C$3520,"&lt;="&amp;Dashboard!$C$6,Sales_Data!$AE$2:$AE$3520,1)</f>
        <v>2</v>
      </c>
      <c r="K100" s="27" t="n">
        <f aca="false">SUMIFS(Sales_Data!$O$2:$O$3520,Sales_Data!$F$2:$F$3520,$A100,Sales_Data!$C$2:$C$3520,"&gt;="&amp;Dashboard!$C$5,Sales_Data!$C$2:$C$3520,"&lt;="&amp;Dashboard!$C$6,Sales_Data!$AE$2:$AE$3520,1)</f>
        <v>4</v>
      </c>
      <c r="L100" s="26" t="n">
        <f aca="false">SUMIFS(Sales_Data!$AF$2:$AF$3520,Sales_Data!$F$2:$F$3520,$A100,Sales_Data!$C$2:$C$3520,"&gt;="&amp;Dashboard!$C$5,Sales_Data!$C$2:$C$3520,"&lt;="&amp;Dashboard!$C$6)</f>
        <v>2</v>
      </c>
      <c r="M100" s="31" t="n">
        <f aca="false">IFERROR(K100/L100,0)</f>
        <v>2</v>
      </c>
      <c r="N100" s="26" t="n">
        <f aca="false">SUMIFS(Sales_Data!$O$2:$O$3520,Sales_Data!$F$2:$F$3520,$A100,Sales_Data!$C$2:$C$3520,"&gt;="&amp;Dashboard!$C$12,Sales_Data!$C$2:$C$3520,"&lt;="&amp;Dashboard!$C$13,Sales_Data!$AE$2:$AE$3520,1)</f>
        <v>2</v>
      </c>
      <c r="O100" s="28" t="n">
        <f aca="false">K100-N100</f>
        <v>2</v>
      </c>
      <c r="P100" s="54" t="n">
        <f aca="false">IF(W100=0,"-",W100)</f>
        <v>46303</v>
      </c>
      <c r="Q100" s="52" t="n">
        <f aca="false">IF(W100=0,"-",$B$2-W100)</f>
        <v>0</v>
      </c>
      <c r="R100" s="52" t="n">
        <f aca="false">IF(T100=1,COUNTIFS($T$5:$T$254,1,$K$5:$K$254,"&gt;"&amp;K100)+1,"-")</f>
        <v>39</v>
      </c>
      <c r="S100" s="52" t="n">
        <f aca="false">COUNTIFS($C$5:$C$254,C100,$K$5:$K$254,"&gt;"&amp;K100)+1</f>
        <v>6</v>
      </c>
      <c r="T100" s="52" t="n">
        <f aca="false">IF(AND(OR(Dashboard!$C$7="All",D100=Dashboard!$C$7),OR(Dashboard!$C$8="All",C100=Dashboard!$C$8)),1,0)</f>
        <v>1</v>
      </c>
      <c r="U100" s="74" t="n">
        <f aca="false">IF(T100=1,K100+ROW()/1000000,-1)</f>
        <v>4.0001</v>
      </c>
      <c r="V100" s="74" t="n">
        <f aca="false">IF(AND(T100=1,E100="Production"),K100+ROW()/1000000,1000000000)</f>
        <v>4.0001</v>
      </c>
      <c r="W100" s="52" t="n">
        <f aca="false">SUMPRODUCT(MAX((Sales_Data!$F$2:$F$3520=A100)*Sales_Data!$C$2:$C$3520))</f>
        <v>46303</v>
      </c>
    </row>
    <row r="101" customFormat="false" ht="15" hidden="false" customHeight="false" outlineLevel="0" collapsed="false">
      <c r="A101" s="53" t="s">
        <v>6584</v>
      </c>
      <c r="B101" s="48" t="s">
        <v>6585</v>
      </c>
      <c r="C101" s="53" t="s">
        <v>52</v>
      </c>
      <c r="D101" s="53" t="s">
        <v>47</v>
      </c>
      <c r="E101" s="53" t="s">
        <v>146</v>
      </c>
      <c r="F101" s="53" t="s">
        <v>209</v>
      </c>
      <c r="G101" s="53" t="s">
        <v>6571</v>
      </c>
      <c r="H101" s="26" t="n">
        <f aca="false">SUMIFS(Sales_Data!$AE$2:$AE$3520,Sales_Data!$F$2:$F$3520,$A101,Sales_Data!$C$2:$C$3520,"&gt;="&amp;Dashboard!$C$5,Sales_Data!$C$2:$C$3520,"&lt;="&amp;Dashboard!$C$6)</f>
        <v>0</v>
      </c>
      <c r="I101" s="26" t="n">
        <f aca="false">SUMIFS(Sales_Data!$M$2:$M$3520,Sales_Data!$F$2:$F$3520,$A101,Sales_Data!$C$2:$C$3520,"&gt;="&amp;Dashboard!$C$5,Sales_Data!$C$2:$C$3520,"&lt;="&amp;Dashboard!$C$6,Sales_Data!$AE$2:$AE$3520,1)</f>
        <v>0</v>
      </c>
      <c r="J101" s="26" t="n">
        <f aca="false">SUMIFS(Sales_Data!$N$2:$N$3520,Sales_Data!$F$2:$F$3520,$A101,Sales_Data!$C$2:$C$3520,"&gt;="&amp;Dashboard!$C$5,Sales_Data!$C$2:$C$3520,"&lt;="&amp;Dashboard!$C$6,Sales_Data!$AE$2:$AE$3520,1)</f>
        <v>0</v>
      </c>
      <c r="K101" s="27" t="n">
        <f aca="false">SUMIFS(Sales_Data!$O$2:$O$3520,Sales_Data!$F$2:$F$3520,$A101,Sales_Data!$C$2:$C$3520,"&gt;="&amp;Dashboard!$C$5,Sales_Data!$C$2:$C$3520,"&lt;="&amp;Dashboard!$C$6,Sales_Data!$AE$2:$AE$3520,1)</f>
        <v>0</v>
      </c>
      <c r="L101" s="26" t="n">
        <f aca="false">SUMIFS(Sales_Data!$AF$2:$AF$3520,Sales_Data!$F$2:$F$3520,$A101,Sales_Data!$C$2:$C$3520,"&gt;="&amp;Dashboard!$C$5,Sales_Data!$C$2:$C$3520,"&lt;="&amp;Dashboard!$C$6)</f>
        <v>0</v>
      </c>
      <c r="M101" s="31" t="n">
        <f aca="false">IFERROR(K101/L101,0)</f>
        <v>0</v>
      </c>
      <c r="N101" s="26" t="n">
        <f aca="false">SUMIFS(Sales_Data!$O$2:$O$3520,Sales_Data!$F$2:$F$3520,$A101,Sales_Data!$C$2:$C$3520,"&gt;="&amp;Dashboard!$C$12,Sales_Data!$C$2:$C$3520,"&lt;="&amp;Dashboard!$C$13,Sales_Data!$AE$2:$AE$3520,1)</f>
        <v>0</v>
      </c>
      <c r="O101" s="28" t="n">
        <f aca="false">K101-N101</f>
        <v>0</v>
      </c>
      <c r="P101" s="54" t="str">
        <f aca="false">IF(W101=0,"-",W101)</f>
        <v>-</v>
      </c>
      <c r="Q101" s="52" t="str">
        <f aca="false">IF(W101=0,"-",$B$2-W101)</f>
        <v>-</v>
      </c>
      <c r="R101" s="52" t="n">
        <f aca="false">IF(T101=1,COUNTIFS($T$5:$T$254,1,$K$5:$K$254,"&gt;"&amp;K101)+1,"-")</f>
        <v>139</v>
      </c>
      <c r="S101" s="52" t="n">
        <f aca="false">COUNTIFS($C$5:$C$254,C101,$K$5:$K$254,"&gt;"&amp;K101)+1</f>
        <v>11</v>
      </c>
      <c r="T101" s="52" t="n">
        <f aca="false">IF(AND(OR(Dashboard!$C$7="All",D101=Dashboard!$C$7),OR(Dashboard!$C$8="All",C101=Dashboard!$C$8)),1,0)</f>
        <v>1</v>
      </c>
      <c r="U101" s="74" t="n">
        <f aca="false">IF(T101=1,K101+ROW()/1000000,-1)</f>
        <v>0.000101</v>
      </c>
      <c r="V101" s="74" t="n">
        <f aca="false">IF(AND(T101=1,E101="Production"),K101+ROW()/1000000,1000000000)</f>
        <v>0.000101</v>
      </c>
      <c r="W101" s="52" t="n">
        <f aca="false">SUMPRODUCT(MAX((Sales_Data!$F$2:$F$3520=A101)*Sales_Data!$C$2:$C$3520))</f>
        <v>0</v>
      </c>
    </row>
    <row r="102" customFormat="false" ht="15" hidden="false" customHeight="false" outlineLevel="0" collapsed="false">
      <c r="A102" s="53" t="s">
        <v>2119</v>
      </c>
      <c r="B102" s="48" t="s">
        <v>2120</v>
      </c>
      <c r="C102" s="53" t="s">
        <v>52</v>
      </c>
      <c r="D102" s="53" t="s">
        <v>47</v>
      </c>
      <c r="E102" s="53" t="s">
        <v>146</v>
      </c>
      <c r="F102" s="53" t="s">
        <v>147</v>
      </c>
      <c r="G102" s="53" t="s">
        <v>6574</v>
      </c>
      <c r="H102" s="26" t="n">
        <f aca="false">SUMIFS(Sales_Data!$AE$2:$AE$3520,Sales_Data!$F$2:$F$3520,$A102,Sales_Data!$C$2:$C$3520,"&gt;="&amp;Dashboard!$C$5,Sales_Data!$C$2:$C$3520,"&lt;="&amp;Dashboard!$C$6)</f>
        <v>2</v>
      </c>
      <c r="I102" s="26" t="n">
        <f aca="false">SUMIFS(Sales_Data!$M$2:$M$3520,Sales_Data!$F$2:$F$3520,$A102,Sales_Data!$C$2:$C$3520,"&gt;="&amp;Dashboard!$C$5,Sales_Data!$C$2:$C$3520,"&lt;="&amp;Dashboard!$C$6,Sales_Data!$AE$2:$AE$3520,1)</f>
        <v>1</v>
      </c>
      <c r="J102" s="26" t="n">
        <f aca="false">SUMIFS(Sales_Data!$N$2:$N$3520,Sales_Data!$F$2:$F$3520,$A102,Sales_Data!$C$2:$C$3520,"&gt;="&amp;Dashboard!$C$5,Sales_Data!$C$2:$C$3520,"&lt;="&amp;Dashboard!$C$6,Sales_Data!$AE$2:$AE$3520,1)</f>
        <v>1</v>
      </c>
      <c r="K102" s="27" t="n">
        <f aca="false">SUMIFS(Sales_Data!$O$2:$O$3520,Sales_Data!$F$2:$F$3520,$A102,Sales_Data!$C$2:$C$3520,"&gt;="&amp;Dashboard!$C$5,Sales_Data!$C$2:$C$3520,"&lt;="&amp;Dashboard!$C$6,Sales_Data!$AE$2:$AE$3520,1)</f>
        <v>2</v>
      </c>
      <c r="L102" s="26" t="n">
        <f aca="false">SUMIFS(Sales_Data!$AF$2:$AF$3520,Sales_Data!$F$2:$F$3520,$A102,Sales_Data!$C$2:$C$3520,"&gt;="&amp;Dashboard!$C$5,Sales_Data!$C$2:$C$3520,"&lt;="&amp;Dashboard!$C$6)</f>
        <v>2</v>
      </c>
      <c r="M102" s="31" t="n">
        <f aca="false">IFERROR(K102/L102,0)</f>
        <v>1</v>
      </c>
      <c r="N102" s="26" t="n">
        <f aca="false">SUMIFS(Sales_Data!$O$2:$O$3520,Sales_Data!$F$2:$F$3520,$A102,Sales_Data!$C$2:$C$3520,"&gt;="&amp;Dashboard!$C$12,Sales_Data!$C$2:$C$3520,"&lt;="&amp;Dashboard!$C$13,Sales_Data!$AE$2:$AE$3520,1)</f>
        <v>1</v>
      </c>
      <c r="O102" s="28" t="n">
        <f aca="false">K102-N102</f>
        <v>1</v>
      </c>
      <c r="P102" s="54" t="n">
        <f aca="false">IF(W102=0,"-",W102)</f>
        <v>46303</v>
      </c>
      <c r="Q102" s="52" t="n">
        <f aca="false">IF(W102=0,"-",$B$2-W102)</f>
        <v>0</v>
      </c>
      <c r="R102" s="52" t="n">
        <f aca="false">IF(T102=1,COUNTIFS($T$5:$T$254,1,$K$5:$K$254,"&gt;"&amp;K102)+1,"-")</f>
        <v>84</v>
      </c>
      <c r="S102" s="52" t="n">
        <f aca="false">COUNTIFS($C$5:$C$254,C102,$K$5:$K$254,"&gt;"&amp;K102)+1</f>
        <v>8</v>
      </c>
      <c r="T102" s="52" t="n">
        <f aca="false">IF(AND(OR(Dashboard!$C$7="All",D102=Dashboard!$C$7),OR(Dashboard!$C$8="All",C102=Dashboard!$C$8)),1,0)</f>
        <v>1</v>
      </c>
      <c r="U102" s="74" t="n">
        <f aca="false">IF(T102=1,K102+ROW()/1000000,-1)</f>
        <v>2.000102</v>
      </c>
      <c r="V102" s="74" t="n">
        <f aca="false">IF(AND(T102=1,E102="Production"),K102+ROW()/1000000,1000000000)</f>
        <v>2.000102</v>
      </c>
      <c r="W102" s="52" t="n">
        <f aca="false">SUMPRODUCT(MAX((Sales_Data!$F$2:$F$3520=A102)*Sales_Data!$C$2:$C$3520))</f>
        <v>46303</v>
      </c>
    </row>
    <row r="103" customFormat="false" ht="15" hidden="false" customHeight="false" outlineLevel="0" collapsed="false">
      <c r="A103" s="53" t="s">
        <v>2077</v>
      </c>
      <c r="B103" s="48" t="s">
        <v>2078</v>
      </c>
      <c r="C103" s="53" t="s">
        <v>52</v>
      </c>
      <c r="D103" s="53" t="s">
        <v>47</v>
      </c>
      <c r="E103" s="53" t="s">
        <v>146</v>
      </c>
      <c r="F103" s="53" t="s">
        <v>147</v>
      </c>
      <c r="G103" s="53" t="s">
        <v>6492</v>
      </c>
      <c r="H103" s="26" t="n">
        <f aca="false">SUMIFS(Sales_Data!$AE$2:$AE$3520,Sales_Data!$F$2:$F$3520,$A103,Sales_Data!$C$2:$C$3520,"&gt;="&amp;Dashboard!$C$5,Sales_Data!$C$2:$C$3520,"&lt;="&amp;Dashboard!$C$6)</f>
        <v>0</v>
      </c>
      <c r="I103" s="26" t="n">
        <f aca="false">SUMIFS(Sales_Data!$M$2:$M$3520,Sales_Data!$F$2:$F$3520,$A103,Sales_Data!$C$2:$C$3520,"&gt;="&amp;Dashboard!$C$5,Sales_Data!$C$2:$C$3520,"&lt;="&amp;Dashboard!$C$6,Sales_Data!$AE$2:$AE$3520,1)</f>
        <v>0</v>
      </c>
      <c r="J103" s="26" t="n">
        <f aca="false">SUMIFS(Sales_Data!$N$2:$N$3520,Sales_Data!$F$2:$F$3520,$A103,Sales_Data!$C$2:$C$3520,"&gt;="&amp;Dashboard!$C$5,Sales_Data!$C$2:$C$3520,"&lt;="&amp;Dashboard!$C$6,Sales_Data!$AE$2:$AE$3520,1)</f>
        <v>0</v>
      </c>
      <c r="K103" s="27" t="n">
        <f aca="false">SUMIFS(Sales_Data!$O$2:$O$3520,Sales_Data!$F$2:$F$3520,$A103,Sales_Data!$C$2:$C$3520,"&gt;="&amp;Dashboard!$C$5,Sales_Data!$C$2:$C$3520,"&lt;="&amp;Dashboard!$C$6,Sales_Data!$AE$2:$AE$3520,1)</f>
        <v>0</v>
      </c>
      <c r="L103" s="26" t="n">
        <f aca="false">SUMIFS(Sales_Data!$AF$2:$AF$3520,Sales_Data!$F$2:$F$3520,$A103,Sales_Data!$C$2:$C$3520,"&gt;="&amp;Dashboard!$C$5,Sales_Data!$C$2:$C$3520,"&lt;="&amp;Dashboard!$C$6)</f>
        <v>0</v>
      </c>
      <c r="M103" s="31" t="n">
        <f aca="false">IFERROR(K103/L103,0)</f>
        <v>0</v>
      </c>
      <c r="N103" s="26" t="n">
        <f aca="false">SUMIFS(Sales_Data!$O$2:$O$3520,Sales_Data!$F$2:$F$3520,$A103,Sales_Data!$C$2:$C$3520,"&gt;="&amp;Dashboard!$C$12,Sales_Data!$C$2:$C$3520,"&lt;="&amp;Dashboard!$C$13,Sales_Data!$AE$2:$AE$3520,1)</f>
        <v>0</v>
      </c>
      <c r="O103" s="28" t="n">
        <f aca="false">K103-N103</f>
        <v>0</v>
      </c>
      <c r="P103" s="54" t="n">
        <f aca="false">IF(W103=0,"-",W103)</f>
        <v>46268</v>
      </c>
      <c r="Q103" s="52" t="n">
        <f aca="false">IF(W103=0,"-",$B$2-W103)</f>
        <v>35</v>
      </c>
      <c r="R103" s="52" t="n">
        <f aca="false">IF(T103=1,COUNTIFS($T$5:$T$254,1,$K$5:$K$254,"&gt;"&amp;K103)+1,"-")</f>
        <v>139</v>
      </c>
      <c r="S103" s="52" t="n">
        <f aca="false">COUNTIFS($C$5:$C$254,C103,$K$5:$K$254,"&gt;"&amp;K103)+1</f>
        <v>11</v>
      </c>
      <c r="T103" s="52" t="n">
        <f aca="false">IF(AND(OR(Dashboard!$C$7="All",D103=Dashboard!$C$7),OR(Dashboard!$C$8="All",C103=Dashboard!$C$8)),1,0)</f>
        <v>1</v>
      </c>
      <c r="U103" s="74" t="n">
        <f aca="false">IF(T103=1,K103+ROW()/1000000,-1)</f>
        <v>0.000103</v>
      </c>
      <c r="V103" s="74" t="n">
        <f aca="false">IF(AND(T103=1,E103="Production"),K103+ROW()/1000000,1000000000)</f>
        <v>0.000103</v>
      </c>
      <c r="W103" s="52" t="n">
        <f aca="false">SUMPRODUCT(MAX((Sales_Data!$F$2:$F$3520=A103)*Sales_Data!$C$2:$C$3520))</f>
        <v>46268</v>
      </c>
    </row>
    <row r="104" customFormat="false" ht="15" hidden="false" customHeight="false" outlineLevel="0" collapsed="false">
      <c r="A104" s="53" t="s">
        <v>6589</v>
      </c>
      <c r="B104" s="48" t="s">
        <v>6590</v>
      </c>
      <c r="C104" s="53" t="s">
        <v>53</v>
      </c>
      <c r="D104" s="53" t="s">
        <v>47</v>
      </c>
      <c r="E104" s="53" t="s">
        <v>3708</v>
      </c>
      <c r="F104" s="53" t="s">
        <v>209</v>
      </c>
      <c r="G104" s="53" t="s">
        <v>6592</v>
      </c>
      <c r="H104" s="26" t="n">
        <f aca="false">SUMIFS(Sales_Data!$AE$2:$AE$3520,Sales_Data!$F$2:$F$3520,$A104,Sales_Data!$C$2:$C$3520,"&gt;="&amp;Dashboard!$C$5,Sales_Data!$C$2:$C$3520,"&lt;="&amp;Dashboard!$C$6)</f>
        <v>0</v>
      </c>
      <c r="I104" s="26" t="n">
        <f aca="false">SUMIFS(Sales_Data!$M$2:$M$3520,Sales_Data!$F$2:$F$3520,$A104,Sales_Data!$C$2:$C$3520,"&gt;="&amp;Dashboard!$C$5,Sales_Data!$C$2:$C$3520,"&lt;="&amp;Dashboard!$C$6,Sales_Data!$AE$2:$AE$3520,1)</f>
        <v>0</v>
      </c>
      <c r="J104" s="26" t="n">
        <f aca="false">SUMIFS(Sales_Data!$N$2:$N$3520,Sales_Data!$F$2:$F$3520,$A104,Sales_Data!$C$2:$C$3520,"&gt;="&amp;Dashboard!$C$5,Sales_Data!$C$2:$C$3520,"&lt;="&amp;Dashboard!$C$6,Sales_Data!$AE$2:$AE$3520,1)</f>
        <v>0</v>
      </c>
      <c r="K104" s="27" t="n">
        <f aca="false">SUMIFS(Sales_Data!$O$2:$O$3520,Sales_Data!$F$2:$F$3520,$A104,Sales_Data!$C$2:$C$3520,"&gt;="&amp;Dashboard!$C$5,Sales_Data!$C$2:$C$3520,"&lt;="&amp;Dashboard!$C$6,Sales_Data!$AE$2:$AE$3520,1)</f>
        <v>0</v>
      </c>
      <c r="L104" s="26" t="n">
        <f aca="false">SUMIFS(Sales_Data!$AF$2:$AF$3520,Sales_Data!$F$2:$F$3520,$A104,Sales_Data!$C$2:$C$3520,"&gt;="&amp;Dashboard!$C$5,Sales_Data!$C$2:$C$3520,"&lt;="&amp;Dashboard!$C$6)</f>
        <v>0</v>
      </c>
      <c r="M104" s="31" t="n">
        <f aca="false">IFERROR(K104/L104,0)</f>
        <v>0</v>
      </c>
      <c r="N104" s="26" t="n">
        <f aca="false">SUMIFS(Sales_Data!$O$2:$O$3520,Sales_Data!$F$2:$F$3520,$A104,Sales_Data!$C$2:$C$3520,"&gt;="&amp;Dashboard!$C$12,Sales_Data!$C$2:$C$3520,"&lt;="&amp;Dashboard!$C$13,Sales_Data!$AE$2:$AE$3520,1)</f>
        <v>0</v>
      </c>
      <c r="O104" s="28" t="n">
        <f aca="false">K104-N104</f>
        <v>0</v>
      </c>
      <c r="P104" s="54" t="str">
        <f aca="false">IF(W104=0,"-",W104)</f>
        <v>-</v>
      </c>
      <c r="Q104" s="52" t="str">
        <f aca="false">IF(W104=0,"-",$B$2-W104)</f>
        <v>-</v>
      </c>
      <c r="R104" s="52" t="n">
        <f aca="false">IF(T104=1,COUNTIFS($T$5:$T$254,1,$K$5:$K$254,"&gt;"&amp;K104)+1,"-")</f>
        <v>139</v>
      </c>
      <c r="S104" s="52" t="n">
        <f aca="false">COUNTIFS($C$5:$C$254,C104,$K$5:$K$254,"&gt;"&amp;K104)+1</f>
        <v>9</v>
      </c>
      <c r="T104" s="52" t="n">
        <f aca="false">IF(AND(OR(Dashboard!$C$7="All",D104=Dashboard!$C$7),OR(Dashboard!$C$8="All",C104=Dashboard!$C$8)),1,0)</f>
        <v>1</v>
      </c>
      <c r="U104" s="74" t="n">
        <f aca="false">IF(T104=1,K104+ROW()/1000000,-1)</f>
        <v>0.000104</v>
      </c>
      <c r="V104" s="74" t="n">
        <f aca="false">IF(AND(T104=1,E104="Production"),K104+ROW()/1000000,1000000000)</f>
        <v>1000000000</v>
      </c>
      <c r="W104" s="52" t="n">
        <f aca="false">SUMPRODUCT(MAX((Sales_Data!$F$2:$F$3520=A104)*Sales_Data!$C$2:$C$3520))</f>
        <v>0</v>
      </c>
    </row>
    <row r="105" customFormat="false" ht="15" hidden="false" customHeight="false" outlineLevel="0" collapsed="false">
      <c r="A105" s="53" t="s">
        <v>5867</v>
      </c>
      <c r="B105" s="48" t="s">
        <v>5868</v>
      </c>
      <c r="C105" s="53" t="s">
        <v>53</v>
      </c>
      <c r="D105" s="53" t="s">
        <v>47</v>
      </c>
      <c r="E105" s="53" t="s">
        <v>3708</v>
      </c>
      <c r="F105" s="53" t="s">
        <v>209</v>
      </c>
      <c r="G105" s="53" t="s">
        <v>6592</v>
      </c>
      <c r="H105" s="26" t="n">
        <f aca="false">SUMIFS(Sales_Data!$AE$2:$AE$3520,Sales_Data!$F$2:$F$3520,$A105,Sales_Data!$C$2:$C$3520,"&gt;="&amp;Dashboard!$C$5,Sales_Data!$C$2:$C$3520,"&lt;="&amp;Dashboard!$C$6)</f>
        <v>3</v>
      </c>
      <c r="I105" s="26" t="n">
        <f aca="false">SUMIFS(Sales_Data!$M$2:$M$3520,Sales_Data!$F$2:$F$3520,$A105,Sales_Data!$C$2:$C$3520,"&gt;="&amp;Dashboard!$C$5,Sales_Data!$C$2:$C$3520,"&lt;="&amp;Dashboard!$C$6,Sales_Data!$AE$2:$AE$3520,1)</f>
        <v>1</v>
      </c>
      <c r="J105" s="26" t="n">
        <f aca="false">SUMIFS(Sales_Data!$N$2:$N$3520,Sales_Data!$F$2:$F$3520,$A105,Sales_Data!$C$2:$C$3520,"&gt;="&amp;Dashboard!$C$5,Sales_Data!$C$2:$C$3520,"&lt;="&amp;Dashboard!$C$6,Sales_Data!$AE$2:$AE$3520,1)</f>
        <v>2</v>
      </c>
      <c r="K105" s="27" t="n">
        <f aca="false">SUMIFS(Sales_Data!$O$2:$O$3520,Sales_Data!$F$2:$F$3520,$A105,Sales_Data!$C$2:$C$3520,"&gt;="&amp;Dashboard!$C$5,Sales_Data!$C$2:$C$3520,"&lt;="&amp;Dashboard!$C$6,Sales_Data!$AE$2:$AE$3520,1)</f>
        <v>3</v>
      </c>
      <c r="L105" s="26" t="n">
        <f aca="false">SUMIFS(Sales_Data!$AF$2:$AF$3520,Sales_Data!$F$2:$F$3520,$A105,Sales_Data!$C$2:$C$3520,"&gt;="&amp;Dashboard!$C$5,Sales_Data!$C$2:$C$3520,"&lt;="&amp;Dashboard!$C$6)</f>
        <v>2</v>
      </c>
      <c r="M105" s="31" t="n">
        <f aca="false">IFERROR(K105/L105,0)</f>
        <v>1.5</v>
      </c>
      <c r="N105" s="26" t="n">
        <f aca="false">SUMIFS(Sales_Data!$O$2:$O$3520,Sales_Data!$F$2:$F$3520,$A105,Sales_Data!$C$2:$C$3520,"&gt;="&amp;Dashboard!$C$12,Sales_Data!$C$2:$C$3520,"&lt;="&amp;Dashboard!$C$13,Sales_Data!$AE$2:$AE$3520,1)</f>
        <v>0</v>
      </c>
      <c r="O105" s="28" t="n">
        <f aca="false">K105-N105</f>
        <v>3</v>
      </c>
      <c r="P105" s="54" t="n">
        <f aca="false">IF(W105=0,"-",W105)</f>
        <v>46302</v>
      </c>
      <c r="Q105" s="52" t="n">
        <f aca="false">IF(W105=0,"-",$B$2-W105)</f>
        <v>1</v>
      </c>
      <c r="R105" s="52" t="n">
        <f aca="false">IF(T105=1,COUNTIFS($T$5:$T$254,1,$K$5:$K$254,"&gt;"&amp;K105)+1,"-")</f>
        <v>59</v>
      </c>
      <c r="S105" s="52" t="n">
        <f aca="false">COUNTIFS($C$5:$C$254,C105,$K$5:$K$254,"&gt;"&amp;K105)+1</f>
        <v>2</v>
      </c>
      <c r="T105" s="52" t="n">
        <f aca="false">IF(AND(OR(Dashboard!$C$7="All",D105=Dashboard!$C$7),OR(Dashboard!$C$8="All",C105=Dashboard!$C$8)),1,0)</f>
        <v>1</v>
      </c>
      <c r="U105" s="74" t="n">
        <f aca="false">IF(T105=1,K105+ROW()/1000000,-1)</f>
        <v>3.000105</v>
      </c>
      <c r="V105" s="74" t="n">
        <f aca="false">IF(AND(T105=1,E105="Production"),K105+ROW()/1000000,1000000000)</f>
        <v>1000000000</v>
      </c>
      <c r="W105" s="52" t="n">
        <f aca="false">SUMPRODUCT(MAX((Sales_Data!$F$2:$F$3520=A105)*Sales_Data!$C$2:$C$3520))</f>
        <v>46302</v>
      </c>
    </row>
    <row r="106" customFormat="false" ht="15" hidden="false" customHeight="false" outlineLevel="0" collapsed="false">
      <c r="A106" s="53" t="s">
        <v>5845</v>
      </c>
      <c r="B106" s="48" t="s">
        <v>5846</v>
      </c>
      <c r="C106" s="53" t="s">
        <v>53</v>
      </c>
      <c r="D106" s="53" t="s">
        <v>47</v>
      </c>
      <c r="E106" s="53" t="s">
        <v>3708</v>
      </c>
      <c r="F106" s="53" t="s">
        <v>209</v>
      </c>
      <c r="G106" s="53" t="s">
        <v>6592</v>
      </c>
      <c r="H106" s="26" t="n">
        <f aca="false">SUMIFS(Sales_Data!$AE$2:$AE$3520,Sales_Data!$F$2:$F$3520,$A106,Sales_Data!$C$2:$C$3520,"&gt;="&amp;Dashboard!$C$5,Sales_Data!$C$2:$C$3520,"&lt;="&amp;Dashboard!$C$6)</f>
        <v>1</v>
      </c>
      <c r="I106" s="26" t="n">
        <f aca="false">SUMIFS(Sales_Data!$M$2:$M$3520,Sales_Data!$F$2:$F$3520,$A106,Sales_Data!$C$2:$C$3520,"&gt;="&amp;Dashboard!$C$5,Sales_Data!$C$2:$C$3520,"&lt;="&amp;Dashboard!$C$6,Sales_Data!$AE$2:$AE$3520,1)</f>
        <v>2</v>
      </c>
      <c r="J106" s="26" t="n">
        <f aca="false">SUMIFS(Sales_Data!$N$2:$N$3520,Sales_Data!$F$2:$F$3520,$A106,Sales_Data!$C$2:$C$3520,"&gt;="&amp;Dashboard!$C$5,Sales_Data!$C$2:$C$3520,"&lt;="&amp;Dashboard!$C$6,Sales_Data!$AE$2:$AE$3520,1)</f>
        <v>0</v>
      </c>
      <c r="K106" s="27" t="n">
        <f aca="false">SUMIFS(Sales_Data!$O$2:$O$3520,Sales_Data!$F$2:$F$3520,$A106,Sales_Data!$C$2:$C$3520,"&gt;="&amp;Dashboard!$C$5,Sales_Data!$C$2:$C$3520,"&lt;="&amp;Dashboard!$C$6,Sales_Data!$AE$2:$AE$3520,1)</f>
        <v>2</v>
      </c>
      <c r="L106" s="26" t="n">
        <f aca="false">SUMIFS(Sales_Data!$AF$2:$AF$3520,Sales_Data!$F$2:$F$3520,$A106,Sales_Data!$C$2:$C$3520,"&gt;="&amp;Dashboard!$C$5,Sales_Data!$C$2:$C$3520,"&lt;="&amp;Dashboard!$C$6)</f>
        <v>1</v>
      </c>
      <c r="M106" s="31" t="n">
        <f aca="false">IFERROR(K106/L106,0)</f>
        <v>2</v>
      </c>
      <c r="N106" s="26" t="n">
        <f aca="false">SUMIFS(Sales_Data!$O$2:$O$3520,Sales_Data!$F$2:$F$3520,$A106,Sales_Data!$C$2:$C$3520,"&gt;="&amp;Dashboard!$C$12,Sales_Data!$C$2:$C$3520,"&lt;="&amp;Dashboard!$C$13,Sales_Data!$AE$2:$AE$3520,1)</f>
        <v>0</v>
      </c>
      <c r="O106" s="28" t="n">
        <f aca="false">K106-N106</f>
        <v>2</v>
      </c>
      <c r="P106" s="54" t="n">
        <f aca="false">IF(W106=0,"-",W106)</f>
        <v>46300</v>
      </c>
      <c r="Q106" s="52" t="n">
        <f aca="false">IF(W106=0,"-",$B$2-W106)</f>
        <v>3</v>
      </c>
      <c r="R106" s="52" t="n">
        <f aca="false">IF(T106=1,COUNTIFS($T$5:$T$254,1,$K$5:$K$254,"&gt;"&amp;K106)+1,"-")</f>
        <v>84</v>
      </c>
      <c r="S106" s="52" t="n">
        <f aca="false">COUNTIFS($C$5:$C$254,C106,$K$5:$K$254,"&gt;"&amp;K106)+1</f>
        <v>4</v>
      </c>
      <c r="T106" s="52" t="n">
        <f aca="false">IF(AND(OR(Dashboard!$C$7="All",D106=Dashboard!$C$7),OR(Dashboard!$C$8="All",C106=Dashboard!$C$8)),1,0)</f>
        <v>1</v>
      </c>
      <c r="U106" s="74" t="n">
        <f aca="false">IF(T106=1,K106+ROW()/1000000,-1)</f>
        <v>2.000106</v>
      </c>
      <c r="V106" s="74" t="n">
        <f aca="false">IF(AND(T106=1,E106="Production"),K106+ROW()/1000000,1000000000)</f>
        <v>1000000000</v>
      </c>
      <c r="W106" s="52" t="n">
        <f aca="false">SUMPRODUCT(MAX((Sales_Data!$F$2:$F$3520=A106)*Sales_Data!$C$2:$C$3520))</f>
        <v>46300</v>
      </c>
    </row>
    <row r="107" customFormat="false" ht="15" hidden="false" customHeight="false" outlineLevel="0" collapsed="false">
      <c r="A107" s="53" t="s">
        <v>6210</v>
      </c>
      <c r="B107" s="48" t="s">
        <v>6211</v>
      </c>
      <c r="C107" s="53" t="s">
        <v>53</v>
      </c>
      <c r="D107" s="53" t="s">
        <v>47</v>
      </c>
      <c r="E107" s="53" t="s">
        <v>3708</v>
      </c>
      <c r="F107" s="53" t="s">
        <v>209</v>
      </c>
      <c r="G107" s="53" t="s">
        <v>6592</v>
      </c>
      <c r="H107" s="26" t="n">
        <f aca="false">SUMIFS(Sales_Data!$AE$2:$AE$3520,Sales_Data!$F$2:$F$3520,$A107,Sales_Data!$C$2:$C$3520,"&gt;="&amp;Dashboard!$C$5,Sales_Data!$C$2:$C$3520,"&lt;="&amp;Dashboard!$C$6)</f>
        <v>3</v>
      </c>
      <c r="I107" s="26" t="n">
        <f aca="false">SUMIFS(Sales_Data!$M$2:$M$3520,Sales_Data!$F$2:$F$3520,$A107,Sales_Data!$C$2:$C$3520,"&gt;="&amp;Dashboard!$C$5,Sales_Data!$C$2:$C$3520,"&lt;="&amp;Dashboard!$C$6,Sales_Data!$AE$2:$AE$3520,1)</f>
        <v>1</v>
      </c>
      <c r="J107" s="26" t="n">
        <f aca="false">SUMIFS(Sales_Data!$N$2:$N$3520,Sales_Data!$F$2:$F$3520,$A107,Sales_Data!$C$2:$C$3520,"&gt;="&amp;Dashboard!$C$5,Sales_Data!$C$2:$C$3520,"&lt;="&amp;Dashboard!$C$6,Sales_Data!$AE$2:$AE$3520,1)</f>
        <v>2</v>
      </c>
      <c r="K107" s="27" t="n">
        <f aca="false">SUMIFS(Sales_Data!$O$2:$O$3520,Sales_Data!$F$2:$F$3520,$A107,Sales_Data!$C$2:$C$3520,"&gt;="&amp;Dashboard!$C$5,Sales_Data!$C$2:$C$3520,"&lt;="&amp;Dashboard!$C$6,Sales_Data!$AE$2:$AE$3520,1)</f>
        <v>3</v>
      </c>
      <c r="L107" s="26" t="n">
        <f aca="false">SUMIFS(Sales_Data!$AF$2:$AF$3520,Sales_Data!$F$2:$F$3520,$A107,Sales_Data!$C$2:$C$3520,"&gt;="&amp;Dashboard!$C$5,Sales_Data!$C$2:$C$3520,"&lt;="&amp;Dashboard!$C$6)</f>
        <v>2</v>
      </c>
      <c r="M107" s="31" t="n">
        <f aca="false">IFERROR(K107/L107,0)</f>
        <v>1.5</v>
      </c>
      <c r="N107" s="26" t="n">
        <f aca="false">SUMIFS(Sales_Data!$O$2:$O$3520,Sales_Data!$F$2:$F$3520,$A107,Sales_Data!$C$2:$C$3520,"&gt;="&amp;Dashboard!$C$12,Sales_Data!$C$2:$C$3520,"&lt;="&amp;Dashboard!$C$13,Sales_Data!$AE$2:$AE$3520,1)</f>
        <v>0</v>
      </c>
      <c r="O107" s="28" t="n">
        <f aca="false">K107-N107</f>
        <v>3</v>
      </c>
      <c r="P107" s="54" t="n">
        <f aca="false">IF(W107=0,"-",W107)</f>
        <v>46303</v>
      </c>
      <c r="Q107" s="52" t="n">
        <f aca="false">IF(W107=0,"-",$B$2-W107)</f>
        <v>0</v>
      </c>
      <c r="R107" s="52" t="n">
        <f aca="false">IF(T107=1,COUNTIFS($T$5:$T$254,1,$K$5:$K$254,"&gt;"&amp;K107)+1,"-")</f>
        <v>59</v>
      </c>
      <c r="S107" s="52" t="n">
        <f aca="false">COUNTIFS($C$5:$C$254,C107,$K$5:$K$254,"&gt;"&amp;K107)+1</f>
        <v>2</v>
      </c>
      <c r="T107" s="52" t="n">
        <f aca="false">IF(AND(OR(Dashboard!$C$7="All",D107=Dashboard!$C$7),OR(Dashboard!$C$8="All",C107=Dashboard!$C$8)),1,0)</f>
        <v>1</v>
      </c>
      <c r="U107" s="74" t="n">
        <f aca="false">IF(T107=1,K107+ROW()/1000000,-1)</f>
        <v>3.000107</v>
      </c>
      <c r="V107" s="74" t="n">
        <f aca="false">IF(AND(T107=1,E107="Production"),K107+ROW()/1000000,1000000000)</f>
        <v>1000000000</v>
      </c>
      <c r="W107" s="52" t="n">
        <f aca="false">SUMPRODUCT(MAX((Sales_Data!$F$2:$F$3520=A107)*Sales_Data!$C$2:$C$3520))</f>
        <v>46303</v>
      </c>
    </row>
    <row r="108" customFormat="false" ht="15" hidden="false" customHeight="false" outlineLevel="0" collapsed="false">
      <c r="A108" s="53" t="s">
        <v>5973</v>
      </c>
      <c r="B108" s="48" t="s">
        <v>5974</v>
      </c>
      <c r="C108" s="53" t="s">
        <v>53</v>
      </c>
      <c r="D108" s="53" t="s">
        <v>47</v>
      </c>
      <c r="E108" s="53" t="s">
        <v>3708</v>
      </c>
      <c r="F108" s="53" t="s">
        <v>209</v>
      </c>
      <c r="G108" s="53" t="s">
        <v>6592</v>
      </c>
      <c r="H108" s="26" t="n">
        <f aca="false">SUMIFS(Sales_Data!$AE$2:$AE$3520,Sales_Data!$F$2:$F$3520,$A108,Sales_Data!$C$2:$C$3520,"&gt;="&amp;Dashboard!$C$5,Sales_Data!$C$2:$C$3520,"&lt;="&amp;Dashboard!$C$6)</f>
        <v>1</v>
      </c>
      <c r="I108" s="26" t="n">
        <f aca="false">SUMIFS(Sales_Data!$M$2:$M$3520,Sales_Data!$F$2:$F$3520,$A108,Sales_Data!$C$2:$C$3520,"&gt;="&amp;Dashboard!$C$5,Sales_Data!$C$2:$C$3520,"&lt;="&amp;Dashboard!$C$6,Sales_Data!$AE$2:$AE$3520,1)</f>
        <v>0</v>
      </c>
      <c r="J108" s="26" t="n">
        <f aca="false">SUMIFS(Sales_Data!$N$2:$N$3520,Sales_Data!$F$2:$F$3520,$A108,Sales_Data!$C$2:$C$3520,"&gt;="&amp;Dashboard!$C$5,Sales_Data!$C$2:$C$3520,"&lt;="&amp;Dashboard!$C$6,Sales_Data!$AE$2:$AE$3520,1)</f>
        <v>1</v>
      </c>
      <c r="K108" s="27" t="n">
        <f aca="false">SUMIFS(Sales_Data!$O$2:$O$3520,Sales_Data!$F$2:$F$3520,$A108,Sales_Data!$C$2:$C$3520,"&gt;="&amp;Dashboard!$C$5,Sales_Data!$C$2:$C$3520,"&lt;="&amp;Dashboard!$C$6,Sales_Data!$AE$2:$AE$3520,1)</f>
        <v>1</v>
      </c>
      <c r="L108" s="26" t="n">
        <f aca="false">SUMIFS(Sales_Data!$AF$2:$AF$3520,Sales_Data!$F$2:$F$3520,$A108,Sales_Data!$C$2:$C$3520,"&gt;="&amp;Dashboard!$C$5,Sales_Data!$C$2:$C$3520,"&lt;="&amp;Dashboard!$C$6)</f>
        <v>1</v>
      </c>
      <c r="M108" s="31" t="n">
        <f aca="false">IFERROR(K108/L108,0)</f>
        <v>1</v>
      </c>
      <c r="N108" s="26" t="n">
        <f aca="false">SUMIFS(Sales_Data!$O$2:$O$3520,Sales_Data!$F$2:$F$3520,$A108,Sales_Data!$C$2:$C$3520,"&gt;="&amp;Dashboard!$C$12,Sales_Data!$C$2:$C$3520,"&lt;="&amp;Dashboard!$C$13,Sales_Data!$AE$2:$AE$3520,1)</f>
        <v>0</v>
      </c>
      <c r="O108" s="28" t="n">
        <f aca="false">K108-N108</f>
        <v>1</v>
      </c>
      <c r="P108" s="54" t="n">
        <f aca="false">IF(W108=0,"-",W108)</f>
        <v>46301</v>
      </c>
      <c r="Q108" s="52" t="n">
        <f aca="false">IF(W108=0,"-",$B$2-W108)</f>
        <v>2</v>
      </c>
      <c r="R108" s="52" t="n">
        <f aca="false">IF(T108=1,COUNTIFS($T$5:$T$254,1,$K$5:$K$254,"&gt;"&amp;K108)+1,"-")</f>
        <v>105</v>
      </c>
      <c r="S108" s="52" t="n">
        <f aca="false">COUNTIFS($C$5:$C$254,C108,$K$5:$K$254,"&gt;"&amp;K108)+1</f>
        <v>7</v>
      </c>
      <c r="T108" s="52" t="n">
        <f aca="false">IF(AND(OR(Dashboard!$C$7="All",D108=Dashboard!$C$7),OR(Dashboard!$C$8="All",C108=Dashboard!$C$8)),1,0)</f>
        <v>1</v>
      </c>
      <c r="U108" s="74" t="n">
        <f aca="false">IF(T108=1,K108+ROW()/1000000,-1)</f>
        <v>1.000108</v>
      </c>
      <c r="V108" s="74" t="n">
        <f aca="false">IF(AND(T108=1,E108="Production"),K108+ROW()/1000000,1000000000)</f>
        <v>1000000000</v>
      </c>
      <c r="W108" s="52" t="n">
        <f aca="false">SUMPRODUCT(MAX((Sales_Data!$F$2:$F$3520=A108)*Sales_Data!$C$2:$C$3520))</f>
        <v>46301</v>
      </c>
    </row>
    <row r="109" customFormat="false" ht="15" hidden="false" customHeight="false" outlineLevel="0" collapsed="false">
      <c r="A109" s="53" t="s">
        <v>4814</v>
      </c>
      <c r="B109" s="48" t="s">
        <v>4815</v>
      </c>
      <c r="C109" s="53" t="s">
        <v>53</v>
      </c>
      <c r="D109" s="53" t="s">
        <v>47</v>
      </c>
      <c r="E109" s="53" t="s">
        <v>3708</v>
      </c>
      <c r="F109" s="53" t="s">
        <v>209</v>
      </c>
      <c r="G109" s="53" t="s">
        <v>6592</v>
      </c>
      <c r="H109" s="26" t="n">
        <f aca="false">SUMIFS(Sales_Data!$AE$2:$AE$3520,Sales_Data!$F$2:$F$3520,$A109,Sales_Data!$C$2:$C$3520,"&gt;="&amp;Dashboard!$C$5,Sales_Data!$C$2:$C$3520,"&lt;="&amp;Dashboard!$C$6)</f>
        <v>0</v>
      </c>
      <c r="I109" s="26" t="n">
        <f aca="false">SUMIFS(Sales_Data!$M$2:$M$3520,Sales_Data!$F$2:$F$3520,$A109,Sales_Data!$C$2:$C$3520,"&gt;="&amp;Dashboard!$C$5,Sales_Data!$C$2:$C$3520,"&lt;="&amp;Dashboard!$C$6,Sales_Data!$AE$2:$AE$3520,1)</f>
        <v>0</v>
      </c>
      <c r="J109" s="26" t="n">
        <f aca="false">SUMIFS(Sales_Data!$N$2:$N$3520,Sales_Data!$F$2:$F$3520,$A109,Sales_Data!$C$2:$C$3520,"&gt;="&amp;Dashboard!$C$5,Sales_Data!$C$2:$C$3520,"&lt;="&amp;Dashboard!$C$6,Sales_Data!$AE$2:$AE$3520,1)</f>
        <v>0</v>
      </c>
      <c r="K109" s="27" t="n">
        <f aca="false">SUMIFS(Sales_Data!$O$2:$O$3520,Sales_Data!$F$2:$F$3520,$A109,Sales_Data!$C$2:$C$3520,"&gt;="&amp;Dashboard!$C$5,Sales_Data!$C$2:$C$3520,"&lt;="&amp;Dashboard!$C$6,Sales_Data!$AE$2:$AE$3520,1)</f>
        <v>0</v>
      </c>
      <c r="L109" s="26" t="n">
        <f aca="false">SUMIFS(Sales_Data!$AF$2:$AF$3520,Sales_Data!$F$2:$F$3520,$A109,Sales_Data!$C$2:$C$3520,"&gt;="&amp;Dashboard!$C$5,Sales_Data!$C$2:$C$3520,"&lt;="&amp;Dashboard!$C$6)</f>
        <v>0</v>
      </c>
      <c r="M109" s="31" t="n">
        <f aca="false">IFERROR(K109/L109,0)</f>
        <v>0</v>
      </c>
      <c r="N109" s="26" t="n">
        <f aca="false">SUMIFS(Sales_Data!$O$2:$O$3520,Sales_Data!$F$2:$F$3520,$A109,Sales_Data!$C$2:$C$3520,"&gt;="&amp;Dashboard!$C$12,Sales_Data!$C$2:$C$3520,"&lt;="&amp;Dashboard!$C$13,Sales_Data!$AE$2:$AE$3520,1)</f>
        <v>2</v>
      </c>
      <c r="O109" s="28" t="n">
        <f aca="false">K109-N109</f>
        <v>-2</v>
      </c>
      <c r="P109" s="54" t="n">
        <f aca="false">IF(W109=0,"-",W109)</f>
        <v>46290</v>
      </c>
      <c r="Q109" s="52" t="n">
        <f aca="false">IF(W109=0,"-",$B$2-W109)</f>
        <v>13</v>
      </c>
      <c r="R109" s="52" t="n">
        <f aca="false">IF(T109=1,COUNTIFS($T$5:$T$254,1,$K$5:$K$254,"&gt;"&amp;K109)+1,"-")</f>
        <v>139</v>
      </c>
      <c r="S109" s="52" t="n">
        <f aca="false">COUNTIFS($C$5:$C$254,C109,$K$5:$K$254,"&gt;"&amp;K109)+1</f>
        <v>9</v>
      </c>
      <c r="T109" s="52" t="n">
        <f aca="false">IF(AND(OR(Dashboard!$C$7="All",D109=Dashboard!$C$7),OR(Dashboard!$C$8="All",C109=Dashboard!$C$8)),1,0)</f>
        <v>1</v>
      </c>
      <c r="U109" s="74" t="n">
        <f aca="false">IF(T109=1,K109+ROW()/1000000,-1)</f>
        <v>0.000109</v>
      </c>
      <c r="V109" s="74" t="n">
        <f aca="false">IF(AND(T109=1,E109="Production"),K109+ROW()/1000000,1000000000)</f>
        <v>1000000000</v>
      </c>
      <c r="W109" s="52" t="n">
        <f aca="false">SUMPRODUCT(MAX((Sales_Data!$F$2:$F$3520=A109)*Sales_Data!$C$2:$C$3520))</f>
        <v>46290</v>
      </c>
    </row>
    <row r="110" customFormat="false" ht="15" hidden="false" customHeight="false" outlineLevel="0" collapsed="false">
      <c r="A110" s="53" t="s">
        <v>6598</v>
      </c>
      <c r="B110" s="48" t="s">
        <v>6599</v>
      </c>
      <c r="C110" s="53" t="s">
        <v>53</v>
      </c>
      <c r="D110" s="53" t="s">
        <v>47</v>
      </c>
      <c r="E110" s="53" t="s">
        <v>3708</v>
      </c>
      <c r="F110" s="53" t="s">
        <v>209</v>
      </c>
      <c r="G110" s="53" t="s">
        <v>6592</v>
      </c>
      <c r="H110" s="26" t="n">
        <f aca="false">SUMIFS(Sales_Data!$AE$2:$AE$3520,Sales_Data!$F$2:$F$3520,$A110,Sales_Data!$C$2:$C$3520,"&gt;="&amp;Dashboard!$C$5,Sales_Data!$C$2:$C$3520,"&lt;="&amp;Dashboard!$C$6)</f>
        <v>0</v>
      </c>
      <c r="I110" s="26" t="n">
        <f aca="false">SUMIFS(Sales_Data!$M$2:$M$3520,Sales_Data!$F$2:$F$3520,$A110,Sales_Data!$C$2:$C$3520,"&gt;="&amp;Dashboard!$C$5,Sales_Data!$C$2:$C$3520,"&lt;="&amp;Dashboard!$C$6,Sales_Data!$AE$2:$AE$3520,1)</f>
        <v>0</v>
      </c>
      <c r="J110" s="26" t="n">
        <f aca="false">SUMIFS(Sales_Data!$N$2:$N$3520,Sales_Data!$F$2:$F$3520,$A110,Sales_Data!$C$2:$C$3520,"&gt;="&amp;Dashboard!$C$5,Sales_Data!$C$2:$C$3520,"&lt;="&amp;Dashboard!$C$6,Sales_Data!$AE$2:$AE$3520,1)</f>
        <v>0</v>
      </c>
      <c r="K110" s="27" t="n">
        <f aca="false">SUMIFS(Sales_Data!$O$2:$O$3520,Sales_Data!$F$2:$F$3520,$A110,Sales_Data!$C$2:$C$3520,"&gt;="&amp;Dashboard!$C$5,Sales_Data!$C$2:$C$3520,"&lt;="&amp;Dashboard!$C$6,Sales_Data!$AE$2:$AE$3520,1)</f>
        <v>0</v>
      </c>
      <c r="L110" s="26" t="n">
        <f aca="false">SUMIFS(Sales_Data!$AF$2:$AF$3520,Sales_Data!$F$2:$F$3520,$A110,Sales_Data!$C$2:$C$3520,"&gt;="&amp;Dashboard!$C$5,Sales_Data!$C$2:$C$3520,"&lt;="&amp;Dashboard!$C$6)</f>
        <v>0</v>
      </c>
      <c r="M110" s="31" t="n">
        <f aca="false">IFERROR(K110/L110,0)</f>
        <v>0</v>
      </c>
      <c r="N110" s="26" t="n">
        <f aca="false">SUMIFS(Sales_Data!$O$2:$O$3520,Sales_Data!$F$2:$F$3520,$A110,Sales_Data!$C$2:$C$3520,"&gt;="&amp;Dashboard!$C$12,Sales_Data!$C$2:$C$3520,"&lt;="&amp;Dashboard!$C$13,Sales_Data!$AE$2:$AE$3520,1)</f>
        <v>0</v>
      </c>
      <c r="O110" s="28" t="n">
        <f aca="false">K110-N110</f>
        <v>0</v>
      </c>
      <c r="P110" s="54" t="str">
        <f aca="false">IF(W110=0,"-",W110)</f>
        <v>-</v>
      </c>
      <c r="Q110" s="52" t="str">
        <f aca="false">IF(W110=0,"-",$B$2-W110)</f>
        <v>-</v>
      </c>
      <c r="R110" s="52" t="n">
        <f aca="false">IF(T110=1,COUNTIFS($T$5:$T$254,1,$K$5:$K$254,"&gt;"&amp;K110)+1,"-")</f>
        <v>139</v>
      </c>
      <c r="S110" s="52" t="n">
        <f aca="false">COUNTIFS($C$5:$C$254,C110,$K$5:$K$254,"&gt;"&amp;K110)+1</f>
        <v>9</v>
      </c>
      <c r="T110" s="52" t="n">
        <f aca="false">IF(AND(OR(Dashboard!$C$7="All",D110=Dashboard!$C$7),OR(Dashboard!$C$8="All",C110=Dashboard!$C$8)),1,0)</f>
        <v>1</v>
      </c>
      <c r="U110" s="74" t="n">
        <f aca="false">IF(T110=1,K110+ROW()/1000000,-1)</f>
        <v>0.00011</v>
      </c>
      <c r="V110" s="74" t="n">
        <f aca="false">IF(AND(T110=1,E110="Production"),K110+ROW()/1000000,1000000000)</f>
        <v>1000000000</v>
      </c>
      <c r="W110" s="52" t="n">
        <f aca="false">SUMPRODUCT(MAX((Sales_Data!$F$2:$F$3520=A110)*Sales_Data!$C$2:$C$3520))</f>
        <v>0</v>
      </c>
    </row>
    <row r="111" customFormat="false" ht="15" hidden="false" customHeight="false" outlineLevel="0" collapsed="false">
      <c r="A111" s="53" t="s">
        <v>6601</v>
      </c>
      <c r="B111" s="48" t="s">
        <v>6602</v>
      </c>
      <c r="C111" s="53" t="s">
        <v>53</v>
      </c>
      <c r="D111" s="53" t="s">
        <v>47</v>
      </c>
      <c r="E111" s="53" t="s">
        <v>3708</v>
      </c>
      <c r="F111" s="53" t="s">
        <v>209</v>
      </c>
      <c r="G111" s="53" t="s">
        <v>6592</v>
      </c>
      <c r="H111" s="26" t="n">
        <f aca="false">SUMIFS(Sales_Data!$AE$2:$AE$3520,Sales_Data!$F$2:$F$3520,$A111,Sales_Data!$C$2:$C$3520,"&gt;="&amp;Dashboard!$C$5,Sales_Data!$C$2:$C$3520,"&lt;="&amp;Dashboard!$C$6)</f>
        <v>0</v>
      </c>
      <c r="I111" s="26" t="n">
        <f aca="false">SUMIFS(Sales_Data!$M$2:$M$3520,Sales_Data!$F$2:$F$3520,$A111,Sales_Data!$C$2:$C$3520,"&gt;="&amp;Dashboard!$C$5,Sales_Data!$C$2:$C$3520,"&lt;="&amp;Dashboard!$C$6,Sales_Data!$AE$2:$AE$3520,1)</f>
        <v>0</v>
      </c>
      <c r="J111" s="26" t="n">
        <f aca="false">SUMIFS(Sales_Data!$N$2:$N$3520,Sales_Data!$F$2:$F$3520,$A111,Sales_Data!$C$2:$C$3520,"&gt;="&amp;Dashboard!$C$5,Sales_Data!$C$2:$C$3520,"&lt;="&amp;Dashboard!$C$6,Sales_Data!$AE$2:$AE$3520,1)</f>
        <v>0</v>
      </c>
      <c r="K111" s="27" t="n">
        <f aca="false">SUMIFS(Sales_Data!$O$2:$O$3520,Sales_Data!$F$2:$F$3520,$A111,Sales_Data!$C$2:$C$3520,"&gt;="&amp;Dashboard!$C$5,Sales_Data!$C$2:$C$3520,"&lt;="&amp;Dashboard!$C$6,Sales_Data!$AE$2:$AE$3520,1)</f>
        <v>0</v>
      </c>
      <c r="L111" s="26" t="n">
        <f aca="false">SUMIFS(Sales_Data!$AF$2:$AF$3520,Sales_Data!$F$2:$F$3520,$A111,Sales_Data!$C$2:$C$3520,"&gt;="&amp;Dashboard!$C$5,Sales_Data!$C$2:$C$3520,"&lt;="&amp;Dashboard!$C$6)</f>
        <v>0</v>
      </c>
      <c r="M111" s="31" t="n">
        <f aca="false">IFERROR(K111/L111,0)</f>
        <v>0</v>
      </c>
      <c r="N111" s="26" t="n">
        <f aca="false">SUMIFS(Sales_Data!$O$2:$O$3520,Sales_Data!$F$2:$F$3520,$A111,Sales_Data!$C$2:$C$3520,"&gt;="&amp;Dashboard!$C$12,Sales_Data!$C$2:$C$3520,"&lt;="&amp;Dashboard!$C$13,Sales_Data!$AE$2:$AE$3520,1)</f>
        <v>0</v>
      </c>
      <c r="O111" s="28" t="n">
        <f aca="false">K111-N111</f>
        <v>0</v>
      </c>
      <c r="P111" s="54" t="str">
        <f aca="false">IF(W111=0,"-",W111)</f>
        <v>-</v>
      </c>
      <c r="Q111" s="52" t="str">
        <f aca="false">IF(W111=0,"-",$B$2-W111)</f>
        <v>-</v>
      </c>
      <c r="R111" s="52" t="n">
        <f aca="false">IF(T111=1,COUNTIFS($T$5:$T$254,1,$K$5:$K$254,"&gt;"&amp;K111)+1,"-")</f>
        <v>139</v>
      </c>
      <c r="S111" s="52" t="n">
        <f aca="false">COUNTIFS($C$5:$C$254,C111,$K$5:$K$254,"&gt;"&amp;K111)+1</f>
        <v>9</v>
      </c>
      <c r="T111" s="52" t="n">
        <f aca="false">IF(AND(OR(Dashboard!$C$7="All",D111=Dashboard!$C$7),OR(Dashboard!$C$8="All",C111=Dashboard!$C$8)),1,0)</f>
        <v>1</v>
      </c>
      <c r="U111" s="74" t="n">
        <f aca="false">IF(T111=1,K111+ROW()/1000000,-1)</f>
        <v>0.000111</v>
      </c>
      <c r="V111" s="74" t="n">
        <f aca="false">IF(AND(T111=1,E111="Production"),K111+ROW()/1000000,1000000000)</f>
        <v>1000000000</v>
      </c>
      <c r="W111" s="52" t="n">
        <f aca="false">SUMPRODUCT(MAX((Sales_Data!$F$2:$F$3520=A111)*Sales_Data!$C$2:$C$3520))</f>
        <v>0</v>
      </c>
    </row>
    <row r="112" customFormat="false" ht="15" hidden="false" customHeight="false" outlineLevel="0" collapsed="false">
      <c r="A112" s="53" t="s">
        <v>5906</v>
      </c>
      <c r="B112" s="48" t="s">
        <v>5907</v>
      </c>
      <c r="C112" s="53" t="s">
        <v>53</v>
      </c>
      <c r="D112" s="53" t="s">
        <v>47</v>
      </c>
      <c r="E112" s="53" t="s">
        <v>3708</v>
      </c>
      <c r="F112" s="53" t="s">
        <v>209</v>
      </c>
      <c r="G112" s="53" t="s">
        <v>6592</v>
      </c>
      <c r="H112" s="26" t="n">
        <f aca="false">SUMIFS(Sales_Data!$AE$2:$AE$3520,Sales_Data!$F$2:$F$3520,$A112,Sales_Data!$C$2:$C$3520,"&gt;="&amp;Dashboard!$C$5,Sales_Data!$C$2:$C$3520,"&lt;="&amp;Dashboard!$C$6)</f>
        <v>2</v>
      </c>
      <c r="I112" s="26" t="n">
        <f aca="false">SUMIFS(Sales_Data!$M$2:$M$3520,Sales_Data!$F$2:$F$3520,$A112,Sales_Data!$C$2:$C$3520,"&gt;="&amp;Dashboard!$C$5,Sales_Data!$C$2:$C$3520,"&lt;="&amp;Dashboard!$C$6,Sales_Data!$AE$2:$AE$3520,1)</f>
        <v>1</v>
      </c>
      <c r="J112" s="26" t="n">
        <f aca="false">SUMIFS(Sales_Data!$N$2:$N$3520,Sales_Data!$F$2:$F$3520,$A112,Sales_Data!$C$2:$C$3520,"&gt;="&amp;Dashboard!$C$5,Sales_Data!$C$2:$C$3520,"&lt;="&amp;Dashboard!$C$6,Sales_Data!$AE$2:$AE$3520,1)</f>
        <v>1</v>
      </c>
      <c r="K112" s="27" t="n">
        <f aca="false">SUMIFS(Sales_Data!$O$2:$O$3520,Sales_Data!$F$2:$F$3520,$A112,Sales_Data!$C$2:$C$3520,"&gt;="&amp;Dashboard!$C$5,Sales_Data!$C$2:$C$3520,"&lt;="&amp;Dashboard!$C$6,Sales_Data!$AE$2:$AE$3520,1)</f>
        <v>2</v>
      </c>
      <c r="L112" s="26" t="n">
        <f aca="false">SUMIFS(Sales_Data!$AF$2:$AF$3520,Sales_Data!$F$2:$F$3520,$A112,Sales_Data!$C$2:$C$3520,"&gt;="&amp;Dashboard!$C$5,Sales_Data!$C$2:$C$3520,"&lt;="&amp;Dashboard!$C$6)</f>
        <v>1</v>
      </c>
      <c r="M112" s="31" t="n">
        <f aca="false">IFERROR(K112/L112,0)</f>
        <v>2</v>
      </c>
      <c r="N112" s="26" t="n">
        <f aca="false">SUMIFS(Sales_Data!$O$2:$O$3520,Sales_Data!$F$2:$F$3520,$A112,Sales_Data!$C$2:$C$3520,"&gt;="&amp;Dashboard!$C$12,Sales_Data!$C$2:$C$3520,"&lt;="&amp;Dashboard!$C$13,Sales_Data!$AE$2:$AE$3520,1)</f>
        <v>0</v>
      </c>
      <c r="O112" s="28" t="n">
        <f aca="false">K112-N112</f>
        <v>2</v>
      </c>
      <c r="P112" s="54" t="n">
        <f aca="false">IF(W112=0,"-",W112)</f>
        <v>46300</v>
      </c>
      <c r="Q112" s="52" t="n">
        <f aca="false">IF(W112=0,"-",$B$2-W112)</f>
        <v>3</v>
      </c>
      <c r="R112" s="52" t="n">
        <f aca="false">IF(T112=1,COUNTIFS($T$5:$T$254,1,$K$5:$K$254,"&gt;"&amp;K112)+1,"-")</f>
        <v>84</v>
      </c>
      <c r="S112" s="52" t="n">
        <f aca="false">COUNTIFS($C$5:$C$254,C112,$K$5:$K$254,"&gt;"&amp;K112)+1</f>
        <v>4</v>
      </c>
      <c r="T112" s="52" t="n">
        <f aca="false">IF(AND(OR(Dashboard!$C$7="All",D112=Dashboard!$C$7),OR(Dashboard!$C$8="All",C112=Dashboard!$C$8)),1,0)</f>
        <v>1</v>
      </c>
      <c r="U112" s="74" t="n">
        <f aca="false">IF(T112=1,K112+ROW()/1000000,-1)</f>
        <v>2.000112</v>
      </c>
      <c r="V112" s="74" t="n">
        <f aca="false">IF(AND(T112=1,E112="Production"),K112+ROW()/1000000,1000000000)</f>
        <v>1000000000</v>
      </c>
      <c r="W112" s="52" t="n">
        <f aca="false">SUMPRODUCT(MAX((Sales_Data!$F$2:$F$3520=A112)*Sales_Data!$C$2:$C$3520))</f>
        <v>46300</v>
      </c>
    </row>
    <row r="113" customFormat="false" ht="15" hidden="false" customHeight="false" outlineLevel="0" collapsed="false">
      <c r="A113" s="53" t="s">
        <v>6397</v>
      </c>
      <c r="B113" s="48" t="s">
        <v>6398</v>
      </c>
      <c r="C113" s="53" t="s">
        <v>53</v>
      </c>
      <c r="D113" s="53" t="s">
        <v>47</v>
      </c>
      <c r="E113" s="53" t="s">
        <v>3708</v>
      </c>
      <c r="F113" s="53" t="s">
        <v>209</v>
      </c>
      <c r="G113" s="53" t="s">
        <v>6592</v>
      </c>
      <c r="H113" s="26" t="n">
        <f aca="false">SUMIFS(Sales_Data!$AE$2:$AE$3520,Sales_Data!$F$2:$F$3520,$A113,Sales_Data!$C$2:$C$3520,"&gt;="&amp;Dashboard!$C$5,Sales_Data!$C$2:$C$3520,"&lt;="&amp;Dashboard!$C$6)</f>
        <v>1</v>
      </c>
      <c r="I113" s="26" t="n">
        <f aca="false">SUMIFS(Sales_Data!$M$2:$M$3520,Sales_Data!$F$2:$F$3520,$A113,Sales_Data!$C$2:$C$3520,"&gt;="&amp;Dashboard!$C$5,Sales_Data!$C$2:$C$3520,"&lt;="&amp;Dashboard!$C$6,Sales_Data!$AE$2:$AE$3520,1)</f>
        <v>0</v>
      </c>
      <c r="J113" s="26" t="n">
        <f aca="false">SUMIFS(Sales_Data!$N$2:$N$3520,Sales_Data!$F$2:$F$3520,$A113,Sales_Data!$C$2:$C$3520,"&gt;="&amp;Dashboard!$C$5,Sales_Data!$C$2:$C$3520,"&lt;="&amp;Dashboard!$C$6,Sales_Data!$AE$2:$AE$3520,1)</f>
        <v>1</v>
      </c>
      <c r="K113" s="27" t="n">
        <f aca="false">SUMIFS(Sales_Data!$O$2:$O$3520,Sales_Data!$F$2:$F$3520,$A113,Sales_Data!$C$2:$C$3520,"&gt;="&amp;Dashboard!$C$5,Sales_Data!$C$2:$C$3520,"&lt;="&amp;Dashboard!$C$6,Sales_Data!$AE$2:$AE$3520,1)</f>
        <v>1</v>
      </c>
      <c r="L113" s="26" t="n">
        <f aca="false">SUMIFS(Sales_Data!$AF$2:$AF$3520,Sales_Data!$F$2:$F$3520,$A113,Sales_Data!$C$2:$C$3520,"&gt;="&amp;Dashboard!$C$5,Sales_Data!$C$2:$C$3520,"&lt;="&amp;Dashboard!$C$6)</f>
        <v>1</v>
      </c>
      <c r="M113" s="31" t="n">
        <f aca="false">IFERROR(K113/L113,0)</f>
        <v>1</v>
      </c>
      <c r="N113" s="26" t="n">
        <f aca="false">SUMIFS(Sales_Data!$O$2:$O$3520,Sales_Data!$F$2:$F$3520,$A113,Sales_Data!$C$2:$C$3520,"&gt;="&amp;Dashboard!$C$12,Sales_Data!$C$2:$C$3520,"&lt;="&amp;Dashboard!$C$13,Sales_Data!$AE$2:$AE$3520,1)</f>
        <v>0</v>
      </c>
      <c r="O113" s="28" t="n">
        <f aca="false">K113-N113</f>
        <v>1</v>
      </c>
      <c r="P113" s="54" t="n">
        <f aca="false">IF(W113=0,"-",W113)</f>
        <v>46303</v>
      </c>
      <c r="Q113" s="52" t="n">
        <f aca="false">IF(W113=0,"-",$B$2-W113)</f>
        <v>0</v>
      </c>
      <c r="R113" s="52" t="n">
        <f aca="false">IF(T113=1,COUNTIFS($T$5:$T$254,1,$K$5:$K$254,"&gt;"&amp;K113)+1,"-")</f>
        <v>105</v>
      </c>
      <c r="S113" s="52" t="n">
        <f aca="false">COUNTIFS($C$5:$C$254,C113,$K$5:$K$254,"&gt;"&amp;K113)+1</f>
        <v>7</v>
      </c>
      <c r="T113" s="52" t="n">
        <f aca="false">IF(AND(OR(Dashboard!$C$7="All",D113=Dashboard!$C$7),OR(Dashboard!$C$8="All",C113=Dashboard!$C$8)),1,0)</f>
        <v>1</v>
      </c>
      <c r="U113" s="74" t="n">
        <f aca="false">IF(T113=1,K113+ROW()/1000000,-1)</f>
        <v>1.000113</v>
      </c>
      <c r="V113" s="74" t="n">
        <f aca="false">IF(AND(T113=1,E113="Production"),K113+ROW()/1000000,1000000000)</f>
        <v>1000000000</v>
      </c>
      <c r="W113" s="52" t="n">
        <f aca="false">SUMPRODUCT(MAX((Sales_Data!$F$2:$F$3520=A113)*Sales_Data!$C$2:$C$3520))</f>
        <v>46303</v>
      </c>
    </row>
    <row r="114" customFormat="false" ht="15" hidden="false" customHeight="false" outlineLevel="0" collapsed="false">
      <c r="A114" s="53" t="s">
        <v>6606</v>
      </c>
      <c r="B114" s="48" t="s">
        <v>6607</v>
      </c>
      <c r="C114" s="53" t="s">
        <v>53</v>
      </c>
      <c r="D114" s="53" t="s">
        <v>47</v>
      </c>
      <c r="E114" s="53" t="s">
        <v>3708</v>
      </c>
      <c r="F114" s="53" t="s">
        <v>209</v>
      </c>
      <c r="G114" s="53" t="s">
        <v>6592</v>
      </c>
      <c r="H114" s="26" t="n">
        <f aca="false">SUMIFS(Sales_Data!$AE$2:$AE$3520,Sales_Data!$F$2:$F$3520,$A114,Sales_Data!$C$2:$C$3520,"&gt;="&amp;Dashboard!$C$5,Sales_Data!$C$2:$C$3520,"&lt;="&amp;Dashboard!$C$6)</f>
        <v>0</v>
      </c>
      <c r="I114" s="26" t="n">
        <f aca="false">SUMIFS(Sales_Data!$M$2:$M$3520,Sales_Data!$F$2:$F$3520,$A114,Sales_Data!$C$2:$C$3520,"&gt;="&amp;Dashboard!$C$5,Sales_Data!$C$2:$C$3520,"&lt;="&amp;Dashboard!$C$6,Sales_Data!$AE$2:$AE$3520,1)</f>
        <v>0</v>
      </c>
      <c r="J114" s="26" t="n">
        <f aca="false">SUMIFS(Sales_Data!$N$2:$N$3520,Sales_Data!$F$2:$F$3520,$A114,Sales_Data!$C$2:$C$3520,"&gt;="&amp;Dashboard!$C$5,Sales_Data!$C$2:$C$3520,"&lt;="&amp;Dashboard!$C$6,Sales_Data!$AE$2:$AE$3520,1)</f>
        <v>0</v>
      </c>
      <c r="K114" s="27" t="n">
        <f aca="false">SUMIFS(Sales_Data!$O$2:$O$3520,Sales_Data!$F$2:$F$3520,$A114,Sales_Data!$C$2:$C$3520,"&gt;="&amp;Dashboard!$C$5,Sales_Data!$C$2:$C$3520,"&lt;="&amp;Dashboard!$C$6,Sales_Data!$AE$2:$AE$3520,1)</f>
        <v>0</v>
      </c>
      <c r="L114" s="26" t="n">
        <f aca="false">SUMIFS(Sales_Data!$AF$2:$AF$3520,Sales_Data!$F$2:$F$3520,$A114,Sales_Data!$C$2:$C$3520,"&gt;="&amp;Dashboard!$C$5,Sales_Data!$C$2:$C$3520,"&lt;="&amp;Dashboard!$C$6)</f>
        <v>0</v>
      </c>
      <c r="M114" s="31" t="n">
        <f aca="false">IFERROR(K114/L114,0)</f>
        <v>0</v>
      </c>
      <c r="N114" s="26" t="n">
        <f aca="false">SUMIFS(Sales_Data!$O$2:$O$3520,Sales_Data!$F$2:$F$3520,$A114,Sales_Data!$C$2:$C$3520,"&gt;="&amp;Dashboard!$C$12,Sales_Data!$C$2:$C$3520,"&lt;="&amp;Dashboard!$C$13,Sales_Data!$AE$2:$AE$3520,1)</f>
        <v>0</v>
      </c>
      <c r="O114" s="28" t="n">
        <f aca="false">K114-N114</f>
        <v>0</v>
      </c>
      <c r="P114" s="54" t="str">
        <f aca="false">IF(W114=0,"-",W114)</f>
        <v>-</v>
      </c>
      <c r="Q114" s="52" t="str">
        <f aca="false">IF(W114=0,"-",$B$2-W114)</f>
        <v>-</v>
      </c>
      <c r="R114" s="52" t="n">
        <f aca="false">IF(T114=1,COUNTIFS($T$5:$T$254,1,$K$5:$K$254,"&gt;"&amp;K114)+1,"-")</f>
        <v>139</v>
      </c>
      <c r="S114" s="52" t="n">
        <f aca="false">COUNTIFS($C$5:$C$254,C114,$K$5:$K$254,"&gt;"&amp;K114)+1</f>
        <v>9</v>
      </c>
      <c r="T114" s="52" t="n">
        <f aca="false">IF(AND(OR(Dashboard!$C$7="All",D114=Dashboard!$C$7),OR(Dashboard!$C$8="All",C114=Dashboard!$C$8)),1,0)</f>
        <v>1</v>
      </c>
      <c r="U114" s="74" t="n">
        <f aca="false">IF(T114=1,K114+ROW()/1000000,-1)</f>
        <v>0.000114</v>
      </c>
      <c r="V114" s="74" t="n">
        <f aca="false">IF(AND(T114=1,E114="Production"),K114+ROW()/1000000,1000000000)</f>
        <v>1000000000</v>
      </c>
      <c r="W114" s="52" t="n">
        <f aca="false">SUMPRODUCT(MAX((Sales_Data!$F$2:$F$3520=A114)*Sales_Data!$C$2:$C$3520))</f>
        <v>0</v>
      </c>
    </row>
    <row r="115" customFormat="false" ht="15" hidden="false" customHeight="false" outlineLevel="0" collapsed="false">
      <c r="A115" s="53" t="s">
        <v>5891</v>
      </c>
      <c r="B115" s="48" t="s">
        <v>5892</v>
      </c>
      <c r="C115" s="53" t="s">
        <v>53</v>
      </c>
      <c r="D115" s="53" t="s">
        <v>47</v>
      </c>
      <c r="E115" s="53" t="s">
        <v>3708</v>
      </c>
      <c r="F115" s="53" t="s">
        <v>209</v>
      </c>
      <c r="G115" s="53" t="s">
        <v>6592</v>
      </c>
      <c r="H115" s="26" t="n">
        <f aca="false">SUMIFS(Sales_Data!$AE$2:$AE$3520,Sales_Data!$F$2:$F$3520,$A115,Sales_Data!$C$2:$C$3520,"&gt;="&amp;Dashboard!$C$5,Sales_Data!$C$2:$C$3520,"&lt;="&amp;Dashboard!$C$6)</f>
        <v>4</v>
      </c>
      <c r="I115" s="26" t="n">
        <f aca="false">SUMIFS(Sales_Data!$M$2:$M$3520,Sales_Data!$F$2:$F$3520,$A115,Sales_Data!$C$2:$C$3520,"&gt;="&amp;Dashboard!$C$5,Sales_Data!$C$2:$C$3520,"&lt;="&amp;Dashboard!$C$6,Sales_Data!$AE$2:$AE$3520,1)</f>
        <v>1</v>
      </c>
      <c r="J115" s="26" t="n">
        <f aca="false">SUMIFS(Sales_Data!$N$2:$N$3520,Sales_Data!$F$2:$F$3520,$A115,Sales_Data!$C$2:$C$3520,"&gt;="&amp;Dashboard!$C$5,Sales_Data!$C$2:$C$3520,"&lt;="&amp;Dashboard!$C$6,Sales_Data!$AE$2:$AE$3520,1)</f>
        <v>3</v>
      </c>
      <c r="K115" s="27" t="n">
        <f aca="false">SUMIFS(Sales_Data!$O$2:$O$3520,Sales_Data!$F$2:$F$3520,$A115,Sales_Data!$C$2:$C$3520,"&gt;="&amp;Dashboard!$C$5,Sales_Data!$C$2:$C$3520,"&lt;="&amp;Dashboard!$C$6,Sales_Data!$AE$2:$AE$3520,1)</f>
        <v>4</v>
      </c>
      <c r="L115" s="26" t="n">
        <f aca="false">SUMIFS(Sales_Data!$AF$2:$AF$3520,Sales_Data!$F$2:$F$3520,$A115,Sales_Data!$C$2:$C$3520,"&gt;="&amp;Dashboard!$C$5,Sales_Data!$C$2:$C$3520,"&lt;="&amp;Dashboard!$C$6)</f>
        <v>3</v>
      </c>
      <c r="M115" s="31" t="n">
        <f aca="false">IFERROR(K115/L115,0)</f>
        <v>1.33333333333333</v>
      </c>
      <c r="N115" s="26" t="n">
        <f aca="false">SUMIFS(Sales_Data!$O$2:$O$3520,Sales_Data!$F$2:$F$3520,$A115,Sales_Data!$C$2:$C$3520,"&gt;="&amp;Dashboard!$C$12,Sales_Data!$C$2:$C$3520,"&lt;="&amp;Dashboard!$C$13,Sales_Data!$AE$2:$AE$3520,1)</f>
        <v>0</v>
      </c>
      <c r="O115" s="28" t="n">
        <f aca="false">K115-N115</f>
        <v>4</v>
      </c>
      <c r="P115" s="54" t="n">
        <f aca="false">IF(W115=0,"-",W115)</f>
        <v>46303</v>
      </c>
      <c r="Q115" s="52" t="n">
        <f aca="false">IF(W115=0,"-",$B$2-W115)</f>
        <v>0</v>
      </c>
      <c r="R115" s="52" t="n">
        <f aca="false">IF(T115=1,COUNTIFS($T$5:$T$254,1,$K$5:$K$254,"&gt;"&amp;K115)+1,"-")</f>
        <v>39</v>
      </c>
      <c r="S115" s="52" t="n">
        <f aca="false">COUNTIFS($C$5:$C$254,C115,$K$5:$K$254,"&gt;"&amp;K115)+1</f>
        <v>1</v>
      </c>
      <c r="T115" s="52" t="n">
        <f aca="false">IF(AND(OR(Dashboard!$C$7="All",D115=Dashboard!$C$7),OR(Dashboard!$C$8="All",C115=Dashboard!$C$8)),1,0)</f>
        <v>1</v>
      </c>
      <c r="U115" s="74" t="n">
        <f aca="false">IF(T115=1,K115+ROW()/1000000,-1)</f>
        <v>4.000115</v>
      </c>
      <c r="V115" s="74" t="n">
        <f aca="false">IF(AND(T115=1,E115="Production"),K115+ROW()/1000000,1000000000)</f>
        <v>1000000000</v>
      </c>
      <c r="W115" s="52" t="n">
        <f aca="false">SUMPRODUCT(MAX((Sales_Data!$F$2:$F$3520=A115)*Sales_Data!$C$2:$C$3520))</f>
        <v>46303</v>
      </c>
    </row>
    <row r="116" customFormat="false" ht="15" hidden="false" customHeight="false" outlineLevel="0" collapsed="false">
      <c r="A116" s="53" t="s">
        <v>6610</v>
      </c>
      <c r="B116" s="48" t="s">
        <v>6611</v>
      </c>
      <c r="C116" s="53" t="s">
        <v>53</v>
      </c>
      <c r="D116" s="53" t="s">
        <v>47</v>
      </c>
      <c r="E116" s="53" t="s">
        <v>3708</v>
      </c>
      <c r="F116" s="53" t="s">
        <v>209</v>
      </c>
      <c r="G116" s="53" t="s">
        <v>6592</v>
      </c>
      <c r="H116" s="26" t="n">
        <f aca="false">SUMIFS(Sales_Data!$AE$2:$AE$3520,Sales_Data!$F$2:$F$3520,$A116,Sales_Data!$C$2:$C$3520,"&gt;="&amp;Dashboard!$C$5,Sales_Data!$C$2:$C$3520,"&lt;="&amp;Dashboard!$C$6)</f>
        <v>0</v>
      </c>
      <c r="I116" s="26" t="n">
        <f aca="false">SUMIFS(Sales_Data!$M$2:$M$3520,Sales_Data!$F$2:$F$3520,$A116,Sales_Data!$C$2:$C$3520,"&gt;="&amp;Dashboard!$C$5,Sales_Data!$C$2:$C$3520,"&lt;="&amp;Dashboard!$C$6,Sales_Data!$AE$2:$AE$3520,1)</f>
        <v>0</v>
      </c>
      <c r="J116" s="26" t="n">
        <f aca="false">SUMIFS(Sales_Data!$N$2:$N$3520,Sales_Data!$F$2:$F$3520,$A116,Sales_Data!$C$2:$C$3520,"&gt;="&amp;Dashboard!$C$5,Sales_Data!$C$2:$C$3520,"&lt;="&amp;Dashboard!$C$6,Sales_Data!$AE$2:$AE$3520,1)</f>
        <v>0</v>
      </c>
      <c r="K116" s="27" t="n">
        <f aca="false">SUMIFS(Sales_Data!$O$2:$O$3520,Sales_Data!$F$2:$F$3520,$A116,Sales_Data!$C$2:$C$3520,"&gt;="&amp;Dashboard!$C$5,Sales_Data!$C$2:$C$3520,"&lt;="&amp;Dashboard!$C$6,Sales_Data!$AE$2:$AE$3520,1)</f>
        <v>0</v>
      </c>
      <c r="L116" s="26" t="n">
        <f aca="false">SUMIFS(Sales_Data!$AF$2:$AF$3520,Sales_Data!$F$2:$F$3520,$A116,Sales_Data!$C$2:$C$3520,"&gt;="&amp;Dashboard!$C$5,Sales_Data!$C$2:$C$3520,"&lt;="&amp;Dashboard!$C$6)</f>
        <v>0</v>
      </c>
      <c r="M116" s="31" t="n">
        <f aca="false">IFERROR(K116/L116,0)</f>
        <v>0</v>
      </c>
      <c r="N116" s="26" t="n">
        <f aca="false">SUMIFS(Sales_Data!$O$2:$O$3520,Sales_Data!$F$2:$F$3520,$A116,Sales_Data!$C$2:$C$3520,"&gt;="&amp;Dashboard!$C$12,Sales_Data!$C$2:$C$3520,"&lt;="&amp;Dashboard!$C$13,Sales_Data!$AE$2:$AE$3520,1)</f>
        <v>0</v>
      </c>
      <c r="O116" s="28" t="n">
        <f aca="false">K116-N116</f>
        <v>0</v>
      </c>
      <c r="P116" s="54" t="str">
        <f aca="false">IF(W116=0,"-",W116)</f>
        <v>-</v>
      </c>
      <c r="Q116" s="52" t="str">
        <f aca="false">IF(W116=0,"-",$B$2-W116)</f>
        <v>-</v>
      </c>
      <c r="R116" s="52" t="n">
        <f aca="false">IF(T116=1,COUNTIFS($T$5:$T$254,1,$K$5:$K$254,"&gt;"&amp;K116)+1,"-")</f>
        <v>139</v>
      </c>
      <c r="S116" s="52" t="n">
        <f aca="false">COUNTIFS($C$5:$C$254,C116,$K$5:$K$254,"&gt;"&amp;K116)+1</f>
        <v>9</v>
      </c>
      <c r="T116" s="52" t="n">
        <f aca="false">IF(AND(OR(Dashboard!$C$7="All",D116=Dashboard!$C$7),OR(Dashboard!$C$8="All",C116=Dashboard!$C$8)),1,0)</f>
        <v>1</v>
      </c>
      <c r="U116" s="74" t="n">
        <f aca="false">IF(T116=1,K116+ROW()/1000000,-1)</f>
        <v>0.000116</v>
      </c>
      <c r="V116" s="74" t="n">
        <f aca="false">IF(AND(T116=1,E116="Production"),K116+ROW()/1000000,1000000000)</f>
        <v>1000000000</v>
      </c>
      <c r="W116" s="52" t="n">
        <f aca="false">SUMPRODUCT(MAX((Sales_Data!$F$2:$F$3520=A116)*Sales_Data!$C$2:$C$3520))</f>
        <v>0</v>
      </c>
    </row>
    <row r="117" customFormat="false" ht="15" hidden="false" customHeight="false" outlineLevel="0" collapsed="false">
      <c r="A117" s="53" t="s">
        <v>6613</v>
      </c>
      <c r="B117" s="48" t="s">
        <v>6614</v>
      </c>
      <c r="C117" s="53" t="s">
        <v>53</v>
      </c>
      <c r="D117" s="53" t="s">
        <v>47</v>
      </c>
      <c r="E117" s="53" t="s">
        <v>3708</v>
      </c>
      <c r="F117" s="53" t="s">
        <v>209</v>
      </c>
      <c r="G117" s="53" t="s">
        <v>6592</v>
      </c>
      <c r="H117" s="26" t="n">
        <f aca="false">SUMIFS(Sales_Data!$AE$2:$AE$3520,Sales_Data!$F$2:$F$3520,$A117,Sales_Data!$C$2:$C$3520,"&gt;="&amp;Dashboard!$C$5,Sales_Data!$C$2:$C$3520,"&lt;="&amp;Dashboard!$C$6)</f>
        <v>0</v>
      </c>
      <c r="I117" s="26" t="n">
        <f aca="false">SUMIFS(Sales_Data!$M$2:$M$3520,Sales_Data!$F$2:$F$3520,$A117,Sales_Data!$C$2:$C$3520,"&gt;="&amp;Dashboard!$C$5,Sales_Data!$C$2:$C$3520,"&lt;="&amp;Dashboard!$C$6,Sales_Data!$AE$2:$AE$3520,1)</f>
        <v>0</v>
      </c>
      <c r="J117" s="26" t="n">
        <f aca="false">SUMIFS(Sales_Data!$N$2:$N$3520,Sales_Data!$F$2:$F$3520,$A117,Sales_Data!$C$2:$C$3520,"&gt;="&amp;Dashboard!$C$5,Sales_Data!$C$2:$C$3520,"&lt;="&amp;Dashboard!$C$6,Sales_Data!$AE$2:$AE$3520,1)</f>
        <v>0</v>
      </c>
      <c r="K117" s="27" t="n">
        <f aca="false">SUMIFS(Sales_Data!$O$2:$O$3520,Sales_Data!$F$2:$F$3520,$A117,Sales_Data!$C$2:$C$3520,"&gt;="&amp;Dashboard!$C$5,Sales_Data!$C$2:$C$3520,"&lt;="&amp;Dashboard!$C$6,Sales_Data!$AE$2:$AE$3520,1)</f>
        <v>0</v>
      </c>
      <c r="L117" s="26" t="n">
        <f aca="false">SUMIFS(Sales_Data!$AF$2:$AF$3520,Sales_Data!$F$2:$F$3520,$A117,Sales_Data!$C$2:$C$3520,"&gt;="&amp;Dashboard!$C$5,Sales_Data!$C$2:$C$3520,"&lt;="&amp;Dashboard!$C$6)</f>
        <v>0</v>
      </c>
      <c r="M117" s="31" t="n">
        <f aca="false">IFERROR(K117/L117,0)</f>
        <v>0</v>
      </c>
      <c r="N117" s="26" t="n">
        <f aca="false">SUMIFS(Sales_Data!$O$2:$O$3520,Sales_Data!$F$2:$F$3520,$A117,Sales_Data!$C$2:$C$3520,"&gt;="&amp;Dashboard!$C$12,Sales_Data!$C$2:$C$3520,"&lt;="&amp;Dashboard!$C$13,Sales_Data!$AE$2:$AE$3520,1)</f>
        <v>0</v>
      </c>
      <c r="O117" s="28" t="n">
        <f aca="false">K117-N117</f>
        <v>0</v>
      </c>
      <c r="P117" s="54" t="str">
        <f aca="false">IF(W117=0,"-",W117)</f>
        <v>-</v>
      </c>
      <c r="Q117" s="52" t="str">
        <f aca="false">IF(W117=0,"-",$B$2-W117)</f>
        <v>-</v>
      </c>
      <c r="R117" s="52" t="n">
        <f aca="false">IF(T117=1,COUNTIFS($T$5:$T$254,1,$K$5:$K$254,"&gt;"&amp;K117)+1,"-")</f>
        <v>139</v>
      </c>
      <c r="S117" s="52" t="n">
        <f aca="false">COUNTIFS($C$5:$C$254,C117,$K$5:$K$254,"&gt;"&amp;K117)+1</f>
        <v>9</v>
      </c>
      <c r="T117" s="52" t="n">
        <f aca="false">IF(AND(OR(Dashboard!$C$7="All",D117=Dashboard!$C$7),OR(Dashboard!$C$8="All",C117=Dashboard!$C$8)),1,0)</f>
        <v>1</v>
      </c>
      <c r="U117" s="74" t="n">
        <f aca="false">IF(T117=1,K117+ROW()/1000000,-1)</f>
        <v>0.000117</v>
      </c>
      <c r="V117" s="74" t="n">
        <f aca="false">IF(AND(T117=1,E117="Production"),K117+ROW()/1000000,1000000000)</f>
        <v>1000000000</v>
      </c>
      <c r="W117" s="52" t="n">
        <f aca="false">SUMPRODUCT(MAX((Sales_Data!$F$2:$F$3520=A117)*Sales_Data!$C$2:$C$3520))</f>
        <v>0</v>
      </c>
    </row>
    <row r="118" customFormat="false" ht="15" hidden="false" customHeight="false" outlineLevel="0" collapsed="false">
      <c r="A118" s="53" t="s">
        <v>4817</v>
      </c>
      <c r="B118" s="48" t="s">
        <v>4818</v>
      </c>
      <c r="C118" s="53" t="s">
        <v>53</v>
      </c>
      <c r="D118" s="53" t="s">
        <v>47</v>
      </c>
      <c r="E118" s="53" t="s">
        <v>3708</v>
      </c>
      <c r="F118" s="53" t="s">
        <v>209</v>
      </c>
      <c r="G118" s="53" t="s">
        <v>6592</v>
      </c>
      <c r="H118" s="26" t="n">
        <f aca="false">SUMIFS(Sales_Data!$AE$2:$AE$3520,Sales_Data!$F$2:$F$3520,$A118,Sales_Data!$C$2:$C$3520,"&gt;="&amp;Dashboard!$C$5,Sales_Data!$C$2:$C$3520,"&lt;="&amp;Dashboard!$C$6)</f>
        <v>2</v>
      </c>
      <c r="I118" s="26" t="n">
        <f aca="false">SUMIFS(Sales_Data!$M$2:$M$3520,Sales_Data!$F$2:$F$3520,$A118,Sales_Data!$C$2:$C$3520,"&gt;="&amp;Dashboard!$C$5,Sales_Data!$C$2:$C$3520,"&lt;="&amp;Dashboard!$C$6,Sales_Data!$AE$2:$AE$3520,1)</f>
        <v>1</v>
      </c>
      <c r="J118" s="26" t="n">
        <f aca="false">SUMIFS(Sales_Data!$N$2:$N$3520,Sales_Data!$F$2:$F$3520,$A118,Sales_Data!$C$2:$C$3520,"&gt;="&amp;Dashboard!$C$5,Sales_Data!$C$2:$C$3520,"&lt;="&amp;Dashboard!$C$6,Sales_Data!$AE$2:$AE$3520,1)</f>
        <v>1</v>
      </c>
      <c r="K118" s="27" t="n">
        <f aca="false">SUMIFS(Sales_Data!$O$2:$O$3520,Sales_Data!$F$2:$F$3520,$A118,Sales_Data!$C$2:$C$3520,"&gt;="&amp;Dashboard!$C$5,Sales_Data!$C$2:$C$3520,"&lt;="&amp;Dashboard!$C$6,Sales_Data!$AE$2:$AE$3520,1)</f>
        <v>2</v>
      </c>
      <c r="L118" s="26" t="n">
        <f aca="false">SUMIFS(Sales_Data!$AF$2:$AF$3520,Sales_Data!$F$2:$F$3520,$A118,Sales_Data!$C$2:$C$3520,"&gt;="&amp;Dashboard!$C$5,Sales_Data!$C$2:$C$3520,"&lt;="&amp;Dashboard!$C$6)</f>
        <v>2</v>
      </c>
      <c r="M118" s="31" t="n">
        <f aca="false">IFERROR(K118/L118,0)</f>
        <v>1</v>
      </c>
      <c r="N118" s="26" t="n">
        <f aca="false">SUMIFS(Sales_Data!$O$2:$O$3520,Sales_Data!$F$2:$F$3520,$A118,Sales_Data!$C$2:$C$3520,"&gt;="&amp;Dashboard!$C$12,Sales_Data!$C$2:$C$3520,"&lt;="&amp;Dashboard!$C$13,Sales_Data!$AE$2:$AE$3520,1)</f>
        <v>2</v>
      </c>
      <c r="O118" s="28" t="n">
        <f aca="false">K118-N118</f>
        <v>0</v>
      </c>
      <c r="P118" s="54" t="n">
        <f aca="false">IF(W118=0,"-",W118)</f>
        <v>46302</v>
      </c>
      <c r="Q118" s="52" t="n">
        <f aca="false">IF(W118=0,"-",$B$2-W118)</f>
        <v>1</v>
      </c>
      <c r="R118" s="52" t="n">
        <f aca="false">IF(T118=1,COUNTIFS($T$5:$T$254,1,$K$5:$K$254,"&gt;"&amp;K118)+1,"-")</f>
        <v>84</v>
      </c>
      <c r="S118" s="52" t="n">
        <f aca="false">COUNTIFS($C$5:$C$254,C118,$K$5:$K$254,"&gt;"&amp;K118)+1</f>
        <v>4</v>
      </c>
      <c r="T118" s="52" t="n">
        <f aca="false">IF(AND(OR(Dashboard!$C$7="All",D118=Dashboard!$C$7),OR(Dashboard!$C$8="All",C118=Dashboard!$C$8)),1,0)</f>
        <v>1</v>
      </c>
      <c r="U118" s="74" t="n">
        <f aca="false">IF(T118=1,K118+ROW()/1000000,-1)</f>
        <v>2.000118</v>
      </c>
      <c r="V118" s="74" t="n">
        <f aca="false">IF(AND(T118=1,E118="Production"),K118+ROW()/1000000,1000000000)</f>
        <v>1000000000</v>
      </c>
      <c r="W118" s="52" t="n">
        <f aca="false">SUMPRODUCT(MAX((Sales_Data!$F$2:$F$3520=A118)*Sales_Data!$C$2:$C$3520))</f>
        <v>46302</v>
      </c>
    </row>
    <row r="119" customFormat="false" ht="15" hidden="false" customHeight="false" outlineLevel="0" collapsed="false">
      <c r="A119" s="53" t="s">
        <v>6617</v>
      </c>
      <c r="B119" s="48" t="s">
        <v>6618</v>
      </c>
      <c r="C119" s="53" t="s">
        <v>53</v>
      </c>
      <c r="D119" s="53" t="s">
        <v>47</v>
      </c>
      <c r="E119" s="53" t="s">
        <v>3708</v>
      </c>
      <c r="F119" s="53" t="s">
        <v>209</v>
      </c>
      <c r="G119" s="53" t="s">
        <v>6592</v>
      </c>
      <c r="H119" s="26" t="n">
        <f aca="false">SUMIFS(Sales_Data!$AE$2:$AE$3520,Sales_Data!$F$2:$F$3520,$A119,Sales_Data!$C$2:$C$3520,"&gt;="&amp;Dashboard!$C$5,Sales_Data!$C$2:$C$3520,"&lt;="&amp;Dashboard!$C$6)</f>
        <v>0</v>
      </c>
      <c r="I119" s="26" t="n">
        <f aca="false">SUMIFS(Sales_Data!$M$2:$M$3520,Sales_Data!$F$2:$F$3520,$A119,Sales_Data!$C$2:$C$3520,"&gt;="&amp;Dashboard!$C$5,Sales_Data!$C$2:$C$3520,"&lt;="&amp;Dashboard!$C$6,Sales_Data!$AE$2:$AE$3520,1)</f>
        <v>0</v>
      </c>
      <c r="J119" s="26" t="n">
        <f aca="false">SUMIFS(Sales_Data!$N$2:$N$3520,Sales_Data!$F$2:$F$3520,$A119,Sales_Data!$C$2:$C$3520,"&gt;="&amp;Dashboard!$C$5,Sales_Data!$C$2:$C$3520,"&lt;="&amp;Dashboard!$C$6,Sales_Data!$AE$2:$AE$3520,1)</f>
        <v>0</v>
      </c>
      <c r="K119" s="27" t="n">
        <f aca="false">SUMIFS(Sales_Data!$O$2:$O$3520,Sales_Data!$F$2:$F$3520,$A119,Sales_Data!$C$2:$C$3520,"&gt;="&amp;Dashboard!$C$5,Sales_Data!$C$2:$C$3520,"&lt;="&amp;Dashboard!$C$6,Sales_Data!$AE$2:$AE$3520,1)</f>
        <v>0</v>
      </c>
      <c r="L119" s="26" t="n">
        <f aca="false">SUMIFS(Sales_Data!$AF$2:$AF$3520,Sales_Data!$F$2:$F$3520,$A119,Sales_Data!$C$2:$C$3520,"&gt;="&amp;Dashboard!$C$5,Sales_Data!$C$2:$C$3520,"&lt;="&amp;Dashboard!$C$6)</f>
        <v>0</v>
      </c>
      <c r="M119" s="31" t="n">
        <f aca="false">IFERROR(K119/L119,0)</f>
        <v>0</v>
      </c>
      <c r="N119" s="26" t="n">
        <f aca="false">SUMIFS(Sales_Data!$O$2:$O$3520,Sales_Data!$F$2:$F$3520,$A119,Sales_Data!$C$2:$C$3520,"&gt;="&amp;Dashboard!$C$12,Sales_Data!$C$2:$C$3520,"&lt;="&amp;Dashboard!$C$13,Sales_Data!$AE$2:$AE$3520,1)</f>
        <v>0</v>
      </c>
      <c r="O119" s="28" t="n">
        <f aca="false">K119-N119</f>
        <v>0</v>
      </c>
      <c r="P119" s="54" t="str">
        <f aca="false">IF(W119=0,"-",W119)</f>
        <v>-</v>
      </c>
      <c r="Q119" s="52" t="str">
        <f aca="false">IF(W119=0,"-",$B$2-W119)</f>
        <v>-</v>
      </c>
      <c r="R119" s="52" t="n">
        <f aca="false">IF(T119=1,COUNTIFS($T$5:$T$254,1,$K$5:$K$254,"&gt;"&amp;K119)+1,"-")</f>
        <v>139</v>
      </c>
      <c r="S119" s="52" t="n">
        <f aca="false">COUNTIFS($C$5:$C$254,C119,$K$5:$K$254,"&gt;"&amp;K119)+1</f>
        <v>9</v>
      </c>
      <c r="T119" s="52" t="n">
        <f aca="false">IF(AND(OR(Dashboard!$C$7="All",D119=Dashboard!$C$7),OR(Dashboard!$C$8="All",C119=Dashboard!$C$8)),1,0)</f>
        <v>1</v>
      </c>
      <c r="U119" s="74" t="n">
        <f aca="false">IF(T119=1,K119+ROW()/1000000,-1)</f>
        <v>0.000119</v>
      </c>
      <c r="V119" s="74" t="n">
        <f aca="false">IF(AND(T119=1,E119="Production"),K119+ROW()/1000000,1000000000)</f>
        <v>1000000000</v>
      </c>
      <c r="W119" s="52" t="n">
        <f aca="false">SUMPRODUCT(MAX((Sales_Data!$F$2:$F$3520=A119)*Sales_Data!$C$2:$C$3520))</f>
        <v>0</v>
      </c>
    </row>
    <row r="120" customFormat="false" ht="15" hidden="false" customHeight="false" outlineLevel="0" collapsed="false">
      <c r="A120" s="53" t="s">
        <v>6620</v>
      </c>
      <c r="B120" s="48" t="s">
        <v>6621</v>
      </c>
      <c r="C120" s="53" t="s">
        <v>53</v>
      </c>
      <c r="D120" s="53" t="s">
        <v>47</v>
      </c>
      <c r="E120" s="53" t="s">
        <v>3708</v>
      </c>
      <c r="F120" s="53" t="s">
        <v>209</v>
      </c>
      <c r="G120" s="53" t="s">
        <v>6592</v>
      </c>
      <c r="H120" s="26" t="n">
        <f aca="false">SUMIFS(Sales_Data!$AE$2:$AE$3520,Sales_Data!$F$2:$F$3520,$A120,Sales_Data!$C$2:$C$3520,"&gt;="&amp;Dashboard!$C$5,Sales_Data!$C$2:$C$3520,"&lt;="&amp;Dashboard!$C$6)</f>
        <v>0</v>
      </c>
      <c r="I120" s="26" t="n">
        <f aca="false">SUMIFS(Sales_Data!$M$2:$M$3520,Sales_Data!$F$2:$F$3520,$A120,Sales_Data!$C$2:$C$3520,"&gt;="&amp;Dashboard!$C$5,Sales_Data!$C$2:$C$3520,"&lt;="&amp;Dashboard!$C$6,Sales_Data!$AE$2:$AE$3520,1)</f>
        <v>0</v>
      </c>
      <c r="J120" s="26" t="n">
        <f aca="false">SUMIFS(Sales_Data!$N$2:$N$3520,Sales_Data!$F$2:$F$3520,$A120,Sales_Data!$C$2:$C$3520,"&gt;="&amp;Dashboard!$C$5,Sales_Data!$C$2:$C$3520,"&lt;="&amp;Dashboard!$C$6,Sales_Data!$AE$2:$AE$3520,1)</f>
        <v>0</v>
      </c>
      <c r="K120" s="27" t="n">
        <f aca="false">SUMIFS(Sales_Data!$O$2:$O$3520,Sales_Data!$F$2:$F$3520,$A120,Sales_Data!$C$2:$C$3520,"&gt;="&amp;Dashboard!$C$5,Sales_Data!$C$2:$C$3520,"&lt;="&amp;Dashboard!$C$6,Sales_Data!$AE$2:$AE$3520,1)</f>
        <v>0</v>
      </c>
      <c r="L120" s="26" t="n">
        <f aca="false">SUMIFS(Sales_Data!$AF$2:$AF$3520,Sales_Data!$F$2:$F$3520,$A120,Sales_Data!$C$2:$C$3520,"&gt;="&amp;Dashboard!$C$5,Sales_Data!$C$2:$C$3520,"&lt;="&amp;Dashboard!$C$6)</f>
        <v>0</v>
      </c>
      <c r="M120" s="31" t="n">
        <f aca="false">IFERROR(K120/L120,0)</f>
        <v>0</v>
      </c>
      <c r="N120" s="26" t="n">
        <f aca="false">SUMIFS(Sales_Data!$O$2:$O$3520,Sales_Data!$F$2:$F$3520,$A120,Sales_Data!$C$2:$C$3520,"&gt;="&amp;Dashboard!$C$12,Sales_Data!$C$2:$C$3520,"&lt;="&amp;Dashboard!$C$13,Sales_Data!$AE$2:$AE$3520,1)</f>
        <v>0</v>
      </c>
      <c r="O120" s="28" t="n">
        <f aca="false">K120-N120</f>
        <v>0</v>
      </c>
      <c r="P120" s="54" t="str">
        <f aca="false">IF(W120=0,"-",W120)</f>
        <v>-</v>
      </c>
      <c r="Q120" s="52" t="str">
        <f aca="false">IF(W120=0,"-",$B$2-W120)</f>
        <v>-</v>
      </c>
      <c r="R120" s="52" t="n">
        <f aca="false">IF(T120=1,COUNTIFS($T$5:$T$254,1,$K$5:$K$254,"&gt;"&amp;K120)+1,"-")</f>
        <v>139</v>
      </c>
      <c r="S120" s="52" t="n">
        <f aca="false">COUNTIFS($C$5:$C$254,C120,$K$5:$K$254,"&gt;"&amp;K120)+1</f>
        <v>9</v>
      </c>
      <c r="T120" s="52" t="n">
        <f aca="false">IF(AND(OR(Dashboard!$C$7="All",D120=Dashboard!$C$7),OR(Dashboard!$C$8="All",C120=Dashboard!$C$8)),1,0)</f>
        <v>1</v>
      </c>
      <c r="U120" s="74" t="n">
        <f aca="false">IF(T120=1,K120+ROW()/1000000,-1)</f>
        <v>0.00012</v>
      </c>
      <c r="V120" s="74" t="n">
        <f aca="false">IF(AND(T120=1,E120="Production"),K120+ROW()/1000000,1000000000)</f>
        <v>1000000000</v>
      </c>
      <c r="W120" s="52" t="n">
        <f aca="false">SUMPRODUCT(MAX((Sales_Data!$F$2:$F$3520=A120)*Sales_Data!$C$2:$C$3520))</f>
        <v>0</v>
      </c>
    </row>
    <row r="121" customFormat="false" ht="15" hidden="false" customHeight="false" outlineLevel="0" collapsed="false">
      <c r="A121" s="53" t="s">
        <v>6623</v>
      </c>
      <c r="B121" s="48" t="s">
        <v>6624</v>
      </c>
      <c r="C121" s="53" t="s">
        <v>53</v>
      </c>
      <c r="D121" s="53" t="s">
        <v>47</v>
      </c>
      <c r="E121" s="53" t="s">
        <v>3708</v>
      </c>
      <c r="F121" s="53" t="s">
        <v>209</v>
      </c>
      <c r="G121" s="53" t="s">
        <v>6592</v>
      </c>
      <c r="H121" s="26" t="n">
        <f aca="false">SUMIFS(Sales_Data!$AE$2:$AE$3520,Sales_Data!$F$2:$F$3520,$A121,Sales_Data!$C$2:$C$3520,"&gt;="&amp;Dashboard!$C$5,Sales_Data!$C$2:$C$3520,"&lt;="&amp;Dashboard!$C$6)</f>
        <v>0</v>
      </c>
      <c r="I121" s="26" t="n">
        <f aca="false">SUMIFS(Sales_Data!$M$2:$M$3520,Sales_Data!$F$2:$F$3520,$A121,Sales_Data!$C$2:$C$3520,"&gt;="&amp;Dashboard!$C$5,Sales_Data!$C$2:$C$3520,"&lt;="&amp;Dashboard!$C$6,Sales_Data!$AE$2:$AE$3520,1)</f>
        <v>0</v>
      </c>
      <c r="J121" s="26" t="n">
        <f aca="false">SUMIFS(Sales_Data!$N$2:$N$3520,Sales_Data!$F$2:$F$3520,$A121,Sales_Data!$C$2:$C$3520,"&gt;="&amp;Dashboard!$C$5,Sales_Data!$C$2:$C$3520,"&lt;="&amp;Dashboard!$C$6,Sales_Data!$AE$2:$AE$3520,1)</f>
        <v>0</v>
      </c>
      <c r="K121" s="27" t="n">
        <f aca="false">SUMIFS(Sales_Data!$O$2:$O$3520,Sales_Data!$F$2:$F$3520,$A121,Sales_Data!$C$2:$C$3520,"&gt;="&amp;Dashboard!$C$5,Sales_Data!$C$2:$C$3520,"&lt;="&amp;Dashboard!$C$6,Sales_Data!$AE$2:$AE$3520,1)</f>
        <v>0</v>
      </c>
      <c r="L121" s="26" t="n">
        <f aca="false">SUMIFS(Sales_Data!$AF$2:$AF$3520,Sales_Data!$F$2:$F$3520,$A121,Sales_Data!$C$2:$C$3520,"&gt;="&amp;Dashboard!$C$5,Sales_Data!$C$2:$C$3520,"&lt;="&amp;Dashboard!$C$6)</f>
        <v>0</v>
      </c>
      <c r="M121" s="31" t="n">
        <f aca="false">IFERROR(K121/L121,0)</f>
        <v>0</v>
      </c>
      <c r="N121" s="26" t="n">
        <f aca="false">SUMIFS(Sales_Data!$O$2:$O$3520,Sales_Data!$F$2:$F$3520,$A121,Sales_Data!$C$2:$C$3520,"&gt;="&amp;Dashboard!$C$12,Sales_Data!$C$2:$C$3520,"&lt;="&amp;Dashboard!$C$13,Sales_Data!$AE$2:$AE$3520,1)</f>
        <v>0</v>
      </c>
      <c r="O121" s="28" t="n">
        <f aca="false">K121-N121</f>
        <v>0</v>
      </c>
      <c r="P121" s="54" t="str">
        <f aca="false">IF(W121=0,"-",W121)</f>
        <v>-</v>
      </c>
      <c r="Q121" s="52" t="str">
        <f aca="false">IF(W121=0,"-",$B$2-W121)</f>
        <v>-</v>
      </c>
      <c r="R121" s="52" t="n">
        <f aca="false">IF(T121=1,COUNTIFS($T$5:$T$254,1,$K$5:$K$254,"&gt;"&amp;K121)+1,"-")</f>
        <v>139</v>
      </c>
      <c r="S121" s="52" t="n">
        <f aca="false">COUNTIFS($C$5:$C$254,C121,$K$5:$K$254,"&gt;"&amp;K121)+1</f>
        <v>9</v>
      </c>
      <c r="T121" s="52" t="n">
        <f aca="false">IF(AND(OR(Dashboard!$C$7="All",D121=Dashboard!$C$7),OR(Dashboard!$C$8="All",C121=Dashboard!$C$8)),1,0)</f>
        <v>1</v>
      </c>
      <c r="U121" s="74" t="n">
        <f aca="false">IF(T121=1,K121+ROW()/1000000,-1)</f>
        <v>0.000121</v>
      </c>
      <c r="V121" s="74" t="n">
        <f aca="false">IF(AND(T121=1,E121="Production"),K121+ROW()/1000000,1000000000)</f>
        <v>1000000000</v>
      </c>
      <c r="W121" s="52" t="n">
        <f aca="false">SUMPRODUCT(MAX((Sales_Data!$F$2:$F$3520=A121)*Sales_Data!$C$2:$C$3520))</f>
        <v>0</v>
      </c>
    </row>
    <row r="122" customFormat="false" ht="15" hidden="false" customHeight="false" outlineLevel="0" collapsed="false">
      <c r="A122" s="53" t="s">
        <v>6626</v>
      </c>
      <c r="B122" s="48" t="s">
        <v>6627</v>
      </c>
      <c r="C122" s="53" t="s">
        <v>54</v>
      </c>
      <c r="D122" s="53" t="s">
        <v>49</v>
      </c>
      <c r="E122" s="53" t="s">
        <v>3708</v>
      </c>
      <c r="F122" s="53" t="s">
        <v>209</v>
      </c>
      <c r="G122" s="53" t="s">
        <v>6524</v>
      </c>
      <c r="H122" s="26" t="n">
        <f aca="false">SUMIFS(Sales_Data!$AE$2:$AE$3520,Sales_Data!$F$2:$F$3520,$A122,Sales_Data!$C$2:$C$3520,"&gt;="&amp;Dashboard!$C$5,Sales_Data!$C$2:$C$3520,"&lt;="&amp;Dashboard!$C$6)</f>
        <v>0</v>
      </c>
      <c r="I122" s="26" t="n">
        <f aca="false">SUMIFS(Sales_Data!$M$2:$M$3520,Sales_Data!$F$2:$F$3520,$A122,Sales_Data!$C$2:$C$3520,"&gt;="&amp;Dashboard!$C$5,Sales_Data!$C$2:$C$3520,"&lt;="&amp;Dashboard!$C$6,Sales_Data!$AE$2:$AE$3520,1)</f>
        <v>0</v>
      </c>
      <c r="J122" s="26" t="n">
        <f aca="false">SUMIFS(Sales_Data!$N$2:$N$3520,Sales_Data!$F$2:$F$3520,$A122,Sales_Data!$C$2:$C$3520,"&gt;="&amp;Dashboard!$C$5,Sales_Data!$C$2:$C$3520,"&lt;="&amp;Dashboard!$C$6,Sales_Data!$AE$2:$AE$3520,1)</f>
        <v>0</v>
      </c>
      <c r="K122" s="27" t="n">
        <f aca="false">SUMIFS(Sales_Data!$O$2:$O$3520,Sales_Data!$F$2:$F$3520,$A122,Sales_Data!$C$2:$C$3520,"&gt;="&amp;Dashboard!$C$5,Sales_Data!$C$2:$C$3520,"&lt;="&amp;Dashboard!$C$6,Sales_Data!$AE$2:$AE$3520,1)</f>
        <v>0</v>
      </c>
      <c r="L122" s="26" t="n">
        <f aca="false">SUMIFS(Sales_Data!$AF$2:$AF$3520,Sales_Data!$F$2:$F$3520,$A122,Sales_Data!$C$2:$C$3520,"&gt;="&amp;Dashboard!$C$5,Sales_Data!$C$2:$C$3520,"&lt;="&amp;Dashboard!$C$6)</f>
        <v>0</v>
      </c>
      <c r="M122" s="31" t="n">
        <f aca="false">IFERROR(K122/L122,0)</f>
        <v>0</v>
      </c>
      <c r="N122" s="26" t="n">
        <f aca="false">SUMIFS(Sales_Data!$O$2:$O$3520,Sales_Data!$F$2:$F$3520,$A122,Sales_Data!$C$2:$C$3520,"&gt;="&amp;Dashboard!$C$12,Sales_Data!$C$2:$C$3520,"&lt;="&amp;Dashboard!$C$13,Sales_Data!$AE$2:$AE$3520,1)</f>
        <v>0</v>
      </c>
      <c r="O122" s="28" t="n">
        <f aca="false">K122-N122</f>
        <v>0</v>
      </c>
      <c r="P122" s="54" t="str">
        <f aca="false">IF(W122=0,"-",W122)</f>
        <v>-</v>
      </c>
      <c r="Q122" s="52" t="str">
        <f aca="false">IF(W122=0,"-",$B$2-W122)</f>
        <v>-</v>
      </c>
      <c r="R122" s="52" t="n">
        <f aca="false">IF(T122=1,COUNTIFS($T$5:$T$254,1,$K$5:$K$254,"&gt;"&amp;K122)+1,"-")</f>
        <v>139</v>
      </c>
      <c r="S122" s="52" t="n">
        <f aca="false">COUNTIFS($C$5:$C$254,C122,$K$5:$K$254,"&gt;"&amp;K122)+1</f>
        <v>6</v>
      </c>
      <c r="T122" s="52" t="n">
        <f aca="false">IF(AND(OR(Dashboard!$C$7="All",D122=Dashboard!$C$7),OR(Dashboard!$C$8="All",C122=Dashboard!$C$8)),1,0)</f>
        <v>1</v>
      </c>
      <c r="U122" s="74" t="n">
        <f aca="false">IF(T122=1,K122+ROW()/1000000,-1)</f>
        <v>0.000122</v>
      </c>
      <c r="V122" s="74" t="n">
        <f aca="false">IF(AND(T122=1,E122="Production"),K122+ROW()/1000000,1000000000)</f>
        <v>1000000000</v>
      </c>
      <c r="W122" s="52" t="n">
        <f aca="false">SUMPRODUCT(MAX((Sales_Data!$F$2:$F$3520=A122)*Sales_Data!$C$2:$C$3520))</f>
        <v>0</v>
      </c>
    </row>
    <row r="123" customFormat="false" ht="15" hidden="false" customHeight="false" outlineLevel="0" collapsed="false">
      <c r="A123" s="53" t="s">
        <v>6629</v>
      </c>
      <c r="B123" s="48" t="s">
        <v>6630</v>
      </c>
      <c r="C123" s="53" t="s">
        <v>54</v>
      </c>
      <c r="D123" s="53" t="s">
        <v>49</v>
      </c>
      <c r="E123" s="53" t="s">
        <v>3708</v>
      </c>
      <c r="F123" s="53" t="s">
        <v>209</v>
      </c>
      <c r="G123" s="53" t="s">
        <v>6524</v>
      </c>
      <c r="H123" s="26" t="n">
        <f aca="false">SUMIFS(Sales_Data!$AE$2:$AE$3520,Sales_Data!$F$2:$F$3520,$A123,Sales_Data!$C$2:$C$3520,"&gt;="&amp;Dashboard!$C$5,Sales_Data!$C$2:$C$3520,"&lt;="&amp;Dashboard!$C$6)</f>
        <v>0</v>
      </c>
      <c r="I123" s="26" t="n">
        <f aca="false">SUMIFS(Sales_Data!$M$2:$M$3520,Sales_Data!$F$2:$F$3520,$A123,Sales_Data!$C$2:$C$3520,"&gt;="&amp;Dashboard!$C$5,Sales_Data!$C$2:$C$3520,"&lt;="&amp;Dashboard!$C$6,Sales_Data!$AE$2:$AE$3520,1)</f>
        <v>0</v>
      </c>
      <c r="J123" s="26" t="n">
        <f aca="false">SUMIFS(Sales_Data!$N$2:$N$3520,Sales_Data!$F$2:$F$3520,$A123,Sales_Data!$C$2:$C$3520,"&gt;="&amp;Dashboard!$C$5,Sales_Data!$C$2:$C$3520,"&lt;="&amp;Dashboard!$C$6,Sales_Data!$AE$2:$AE$3520,1)</f>
        <v>0</v>
      </c>
      <c r="K123" s="27" t="n">
        <f aca="false">SUMIFS(Sales_Data!$O$2:$O$3520,Sales_Data!$F$2:$F$3520,$A123,Sales_Data!$C$2:$C$3520,"&gt;="&amp;Dashboard!$C$5,Sales_Data!$C$2:$C$3520,"&lt;="&amp;Dashboard!$C$6,Sales_Data!$AE$2:$AE$3520,1)</f>
        <v>0</v>
      </c>
      <c r="L123" s="26" t="n">
        <f aca="false">SUMIFS(Sales_Data!$AF$2:$AF$3520,Sales_Data!$F$2:$F$3520,$A123,Sales_Data!$C$2:$C$3520,"&gt;="&amp;Dashboard!$C$5,Sales_Data!$C$2:$C$3520,"&lt;="&amp;Dashboard!$C$6)</f>
        <v>0</v>
      </c>
      <c r="M123" s="31" t="n">
        <f aca="false">IFERROR(K123/L123,0)</f>
        <v>0</v>
      </c>
      <c r="N123" s="26" t="n">
        <f aca="false">SUMIFS(Sales_Data!$O$2:$O$3520,Sales_Data!$F$2:$F$3520,$A123,Sales_Data!$C$2:$C$3520,"&gt;="&amp;Dashboard!$C$12,Sales_Data!$C$2:$C$3520,"&lt;="&amp;Dashboard!$C$13,Sales_Data!$AE$2:$AE$3520,1)</f>
        <v>0</v>
      </c>
      <c r="O123" s="28" t="n">
        <f aca="false">K123-N123</f>
        <v>0</v>
      </c>
      <c r="P123" s="54" t="str">
        <f aca="false">IF(W123=0,"-",W123)</f>
        <v>-</v>
      </c>
      <c r="Q123" s="52" t="str">
        <f aca="false">IF(W123=0,"-",$B$2-W123)</f>
        <v>-</v>
      </c>
      <c r="R123" s="52" t="n">
        <f aca="false">IF(T123=1,COUNTIFS($T$5:$T$254,1,$K$5:$K$254,"&gt;"&amp;K123)+1,"-")</f>
        <v>139</v>
      </c>
      <c r="S123" s="52" t="n">
        <f aca="false">COUNTIFS($C$5:$C$254,C123,$K$5:$K$254,"&gt;"&amp;K123)+1</f>
        <v>6</v>
      </c>
      <c r="T123" s="52" t="n">
        <f aca="false">IF(AND(OR(Dashboard!$C$7="All",D123=Dashboard!$C$7),OR(Dashboard!$C$8="All",C123=Dashboard!$C$8)),1,0)</f>
        <v>1</v>
      </c>
      <c r="U123" s="74" t="n">
        <f aca="false">IF(T123=1,K123+ROW()/1000000,-1)</f>
        <v>0.000123</v>
      </c>
      <c r="V123" s="74" t="n">
        <f aca="false">IF(AND(T123=1,E123="Production"),K123+ROW()/1000000,1000000000)</f>
        <v>1000000000</v>
      </c>
      <c r="W123" s="52" t="n">
        <f aca="false">SUMPRODUCT(MAX((Sales_Data!$F$2:$F$3520=A123)*Sales_Data!$C$2:$C$3520))</f>
        <v>0</v>
      </c>
    </row>
    <row r="124" customFormat="false" ht="15" hidden="false" customHeight="false" outlineLevel="0" collapsed="false">
      <c r="A124" s="53" t="s">
        <v>6632</v>
      </c>
      <c r="B124" s="48" t="s">
        <v>6633</v>
      </c>
      <c r="C124" s="53" t="s">
        <v>54</v>
      </c>
      <c r="D124" s="53" t="s">
        <v>49</v>
      </c>
      <c r="E124" s="53" t="s">
        <v>3708</v>
      </c>
      <c r="F124" s="53" t="s">
        <v>209</v>
      </c>
      <c r="G124" s="53" t="s">
        <v>6524</v>
      </c>
      <c r="H124" s="26" t="n">
        <f aca="false">SUMIFS(Sales_Data!$AE$2:$AE$3520,Sales_Data!$F$2:$F$3520,$A124,Sales_Data!$C$2:$C$3520,"&gt;="&amp;Dashboard!$C$5,Sales_Data!$C$2:$C$3520,"&lt;="&amp;Dashboard!$C$6)</f>
        <v>0</v>
      </c>
      <c r="I124" s="26" t="n">
        <f aca="false">SUMIFS(Sales_Data!$M$2:$M$3520,Sales_Data!$F$2:$F$3520,$A124,Sales_Data!$C$2:$C$3520,"&gt;="&amp;Dashboard!$C$5,Sales_Data!$C$2:$C$3520,"&lt;="&amp;Dashboard!$C$6,Sales_Data!$AE$2:$AE$3520,1)</f>
        <v>0</v>
      </c>
      <c r="J124" s="26" t="n">
        <f aca="false">SUMIFS(Sales_Data!$N$2:$N$3520,Sales_Data!$F$2:$F$3520,$A124,Sales_Data!$C$2:$C$3520,"&gt;="&amp;Dashboard!$C$5,Sales_Data!$C$2:$C$3520,"&lt;="&amp;Dashboard!$C$6,Sales_Data!$AE$2:$AE$3520,1)</f>
        <v>0</v>
      </c>
      <c r="K124" s="27" t="n">
        <f aca="false">SUMIFS(Sales_Data!$O$2:$O$3520,Sales_Data!$F$2:$F$3520,$A124,Sales_Data!$C$2:$C$3520,"&gt;="&amp;Dashboard!$C$5,Sales_Data!$C$2:$C$3520,"&lt;="&amp;Dashboard!$C$6,Sales_Data!$AE$2:$AE$3520,1)</f>
        <v>0</v>
      </c>
      <c r="L124" s="26" t="n">
        <f aca="false">SUMIFS(Sales_Data!$AF$2:$AF$3520,Sales_Data!$F$2:$F$3520,$A124,Sales_Data!$C$2:$C$3520,"&gt;="&amp;Dashboard!$C$5,Sales_Data!$C$2:$C$3520,"&lt;="&amp;Dashboard!$C$6)</f>
        <v>0</v>
      </c>
      <c r="M124" s="31" t="n">
        <f aca="false">IFERROR(K124/L124,0)</f>
        <v>0</v>
      </c>
      <c r="N124" s="26" t="n">
        <f aca="false">SUMIFS(Sales_Data!$O$2:$O$3520,Sales_Data!$F$2:$F$3520,$A124,Sales_Data!$C$2:$C$3520,"&gt;="&amp;Dashboard!$C$12,Sales_Data!$C$2:$C$3520,"&lt;="&amp;Dashboard!$C$13,Sales_Data!$AE$2:$AE$3520,1)</f>
        <v>0</v>
      </c>
      <c r="O124" s="28" t="n">
        <f aca="false">K124-N124</f>
        <v>0</v>
      </c>
      <c r="P124" s="54" t="str">
        <f aca="false">IF(W124=0,"-",W124)</f>
        <v>-</v>
      </c>
      <c r="Q124" s="52" t="str">
        <f aca="false">IF(W124=0,"-",$B$2-W124)</f>
        <v>-</v>
      </c>
      <c r="R124" s="52" t="n">
        <f aca="false">IF(T124=1,COUNTIFS($T$5:$T$254,1,$K$5:$K$254,"&gt;"&amp;K124)+1,"-")</f>
        <v>139</v>
      </c>
      <c r="S124" s="52" t="n">
        <f aca="false">COUNTIFS($C$5:$C$254,C124,$K$5:$K$254,"&gt;"&amp;K124)+1</f>
        <v>6</v>
      </c>
      <c r="T124" s="52" t="n">
        <f aca="false">IF(AND(OR(Dashboard!$C$7="All",D124=Dashboard!$C$7),OR(Dashboard!$C$8="All",C124=Dashboard!$C$8)),1,0)</f>
        <v>1</v>
      </c>
      <c r="U124" s="74" t="n">
        <f aca="false">IF(T124=1,K124+ROW()/1000000,-1)</f>
        <v>0.000124</v>
      </c>
      <c r="V124" s="74" t="n">
        <f aca="false">IF(AND(T124=1,E124="Production"),K124+ROW()/1000000,1000000000)</f>
        <v>1000000000</v>
      </c>
      <c r="W124" s="52" t="n">
        <f aca="false">SUMPRODUCT(MAX((Sales_Data!$F$2:$F$3520=A124)*Sales_Data!$C$2:$C$3520))</f>
        <v>0</v>
      </c>
    </row>
    <row r="125" customFormat="false" ht="15" hidden="false" customHeight="false" outlineLevel="0" collapsed="false">
      <c r="A125" s="53" t="s">
        <v>6408</v>
      </c>
      <c r="B125" s="48" t="s">
        <v>6409</v>
      </c>
      <c r="C125" s="53" t="s">
        <v>54</v>
      </c>
      <c r="D125" s="53" t="s">
        <v>49</v>
      </c>
      <c r="E125" s="53" t="s">
        <v>3708</v>
      </c>
      <c r="F125" s="53" t="s">
        <v>209</v>
      </c>
      <c r="G125" s="53" t="s">
        <v>6524</v>
      </c>
      <c r="H125" s="26" t="n">
        <f aca="false">SUMIFS(Sales_Data!$AE$2:$AE$3520,Sales_Data!$F$2:$F$3520,$A125,Sales_Data!$C$2:$C$3520,"&gt;="&amp;Dashboard!$C$5,Sales_Data!$C$2:$C$3520,"&lt;="&amp;Dashboard!$C$6)</f>
        <v>1</v>
      </c>
      <c r="I125" s="26" t="n">
        <f aca="false">SUMIFS(Sales_Data!$M$2:$M$3520,Sales_Data!$F$2:$F$3520,$A125,Sales_Data!$C$2:$C$3520,"&gt;="&amp;Dashboard!$C$5,Sales_Data!$C$2:$C$3520,"&lt;="&amp;Dashboard!$C$6,Sales_Data!$AE$2:$AE$3520,1)</f>
        <v>1</v>
      </c>
      <c r="J125" s="26" t="n">
        <f aca="false">SUMIFS(Sales_Data!$N$2:$N$3520,Sales_Data!$F$2:$F$3520,$A125,Sales_Data!$C$2:$C$3520,"&gt;="&amp;Dashboard!$C$5,Sales_Data!$C$2:$C$3520,"&lt;="&amp;Dashboard!$C$6,Sales_Data!$AE$2:$AE$3520,1)</f>
        <v>0</v>
      </c>
      <c r="K125" s="27" t="n">
        <f aca="false">SUMIFS(Sales_Data!$O$2:$O$3520,Sales_Data!$F$2:$F$3520,$A125,Sales_Data!$C$2:$C$3520,"&gt;="&amp;Dashboard!$C$5,Sales_Data!$C$2:$C$3520,"&lt;="&amp;Dashboard!$C$6,Sales_Data!$AE$2:$AE$3520,1)</f>
        <v>1</v>
      </c>
      <c r="L125" s="26" t="n">
        <f aca="false">SUMIFS(Sales_Data!$AF$2:$AF$3520,Sales_Data!$F$2:$F$3520,$A125,Sales_Data!$C$2:$C$3520,"&gt;="&amp;Dashboard!$C$5,Sales_Data!$C$2:$C$3520,"&lt;="&amp;Dashboard!$C$6)</f>
        <v>1</v>
      </c>
      <c r="M125" s="31" t="n">
        <f aca="false">IFERROR(K125/L125,0)</f>
        <v>1</v>
      </c>
      <c r="N125" s="26" t="n">
        <f aca="false">SUMIFS(Sales_Data!$O$2:$O$3520,Sales_Data!$F$2:$F$3520,$A125,Sales_Data!$C$2:$C$3520,"&gt;="&amp;Dashboard!$C$12,Sales_Data!$C$2:$C$3520,"&lt;="&amp;Dashboard!$C$13,Sales_Data!$AE$2:$AE$3520,1)</f>
        <v>0</v>
      </c>
      <c r="O125" s="28" t="n">
        <f aca="false">K125-N125</f>
        <v>1</v>
      </c>
      <c r="P125" s="54" t="n">
        <f aca="false">IF(W125=0,"-",W125)</f>
        <v>46303</v>
      </c>
      <c r="Q125" s="52" t="n">
        <f aca="false">IF(W125=0,"-",$B$2-W125)</f>
        <v>0</v>
      </c>
      <c r="R125" s="52" t="n">
        <f aca="false">IF(T125=1,COUNTIFS($T$5:$T$254,1,$K$5:$K$254,"&gt;"&amp;K125)+1,"-")</f>
        <v>105</v>
      </c>
      <c r="S125" s="52" t="n">
        <f aca="false">COUNTIFS($C$5:$C$254,C125,$K$5:$K$254,"&gt;"&amp;K125)+1</f>
        <v>5</v>
      </c>
      <c r="T125" s="52" t="n">
        <f aca="false">IF(AND(OR(Dashboard!$C$7="All",D125=Dashboard!$C$7),OR(Dashboard!$C$8="All",C125=Dashboard!$C$8)),1,0)</f>
        <v>1</v>
      </c>
      <c r="U125" s="74" t="n">
        <f aca="false">IF(T125=1,K125+ROW()/1000000,-1)</f>
        <v>1.000125</v>
      </c>
      <c r="V125" s="74" t="n">
        <f aca="false">IF(AND(T125=1,E125="Production"),K125+ROW()/1000000,1000000000)</f>
        <v>1000000000</v>
      </c>
      <c r="W125" s="52" t="n">
        <f aca="false">SUMPRODUCT(MAX((Sales_Data!$F$2:$F$3520=A125)*Sales_Data!$C$2:$C$3520))</f>
        <v>46303</v>
      </c>
    </row>
    <row r="126" customFormat="false" ht="15" hidden="false" customHeight="false" outlineLevel="0" collapsed="false">
      <c r="A126" s="53" t="s">
        <v>6636</v>
      </c>
      <c r="B126" s="48" t="s">
        <v>6637</v>
      </c>
      <c r="C126" s="53" t="s">
        <v>54</v>
      </c>
      <c r="D126" s="53" t="s">
        <v>49</v>
      </c>
      <c r="E126" s="53" t="s">
        <v>3708</v>
      </c>
      <c r="F126" s="53" t="s">
        <v>209</v>
      </c>
      <c r="G126" s="53" t="s">
        <v>6524</v>
      </c>
      <c r="H126" s="26" t="n">
        <f aca="false">SUMIFS(Sales_Data!$AE$2:$AE$3520,Sales_Data!$F$2:$F$3520,$A126,Sales_Data!$C$2:$C$3520,"&gt;="&amp;Dashboard!$C$5,Sales_Data!$C$2:$C$3520,"&lt;="&amp;Dashboard!$C$6)</f>
        <v>0</v>
      </c>
      <c r="I126" s="26" t="n">
        <f aca="false">SUMIFS(Sales_Data!$M$2:$M$3520,Sales_Data!$F$2:$F$3520,$A126,Sales_Data!$C$2:$C$3520,"&gt;="&amp;Dashboard!$C$5,Sales_Data!$C$2:$C$3520,"&lt;="&amp;Dashboard!$C$6,Sales_Data!$AE$2:$AE$3520,1)</f>
        <v>0</v>
      </c>
      <c r="J126" s="26" t="n">
        <f aca="false">SUMIFS(Sales_Data!$N$2:$N$3520,Sales_Data!$F$2:$F$3520,$A126,Sales_Data!$C$2:$C$3520,"&gt;="&amp;Dashboard!$C$5,Sales_Data!$C$2:$C$3520,"&lt;="&amp;Dashboard!$C$6,Sales_Data!$AE$2:$AE$3520,1)</f>
        <v>0</v>
      </c>
      <c r="K126" s="27" t="n">
        <f aca="false">SUMIFS(Sales_Data!$O$2:$O$3520,Sales_Data!$F$2:$F$3520,$A126,Sales_Data!$C$2:$C$3520,"&gt;="&amp;Dashboard!$C$5,Sales_Data!$C$2:$C$3520,"&lt;="&amp;Dashboard!$C$6,Sales_Data!$AE$2:$AE$3520,1)</f>
        <v>0</v>
      </c>
      <c r="L126" s="26" t="n">
        <f aca="false">SUMIFS(Sales_Data!$AF$2:$AF$3520,Sales_Data!$F$2:$F$3520,$A126,Sales_Data!$C$2:$C$3520,"&gt;="&amp;Dashboard!$C$5,Sales_Data!$C$2:$C$3520,"&lt;="&amp;Dashboard!$C$6)</f>
        <v>0</v>
      </c>
      <c r="M126" s="31" t="n">
        <f aca="false">IFERROR(K126/L126,0)</f>
        <v>0</v>
      </c>
      <c r="N126" s="26" t="n">
        <f aca="false">SUMIFS(Sales_Data!$O$2:$O$3520,Sales_Data!$F$2:$F$3520,$A126,Sales_Data!$C$2:$C$3520,"&gt;="&amp;Dashboard!$C$12,Sales_Data!$C$2:$C$3520,"&lt;="&amp;Dashboard!$C$13,Sales_Data!$AE$2:$AE$3520,1)</f>
        <v>0</v>
      </c>
      <c r="O126" s="28" t="n">
        <f aca="false">K126-N126</f>
        <v>0</v>
      </c>
      <c r="P126" s="54" t="str">
        <f aca="false">IF(W126=0,"-",W126)</f>
        <v>-</v>
      </c>
      <c r="Q126" s="52" t="str">
        <f aca="false">IF(W126=0,"-",$B$2-W126)</f>
        <v>-</v>
      </c>
      <c r="R126" s="52" t="n">
        <f aca="false">IF(T126=1,COUNTIFS($T$5:$T$254,1,$K$5:$K$254,"&gt;"&amp;K126)+1,"-")</f>
        <v>139</v>
      </c>
      <c r="S126" s="52" t="n">
        <f aca="false">COUNTIFS($C$5:$C$254,C126,$K$5:$K$254,"&gt;"&amp;K126)+1</f>
        <v>6</v>
      </c>
      <c r="T126" s="52" t="n">
        <f aca="false">IF(AND(OR(Dashboard!$C$7="All",D126=Dashboard!$C$7),OR(Dashboard!$C$8="All",C126=Dashboard!$C$8)),1,0)</f>
        <v>1</v>
      </c>
      <c r="U126" s="74" t="n">
        <f aca="false">IF(T126=1,K126+ROW()/1000000,-1)</f>
        <v>0.000126</v>
      </c>
      <c r="V126" s="74" t="n">
        <f aca="false">IF(AND(T126=1,E126="Production"),K126+ROW()/1000000,1000000000)</f>
        <v>1000000000</v>
      </c>
      <c r="W126" s="52" t="n">
        <f aca="false">SUMPRODUCT(MAX((Sales_Data!$F$2:$F$3520=A126)*Sales_Data!$C$2:$C$3520))</f>
        <v>0</v>
      </c>
    </row>
    <row r="127" customFormat="false" ht="15" hidden="false" customHeight="false" outlineLevel="0" collapsed="false">
      <c r="A127" s="53" t="s">
        <v>6639</v>
      </c>
      <c r="B127" s="48" t="s">
        <v>6640</v>
      </c>
      <c r="C127" s="53" t="s">
        <v>54</v>
      </c>
      <c r="D127" s="53" t="s">
        <v>49</v>
      </c>
      <c r="E127" s="53" t="s">
        <v>3708</v>
      </c>
      <c r="F127" s="53" t="s">
        <v>209</v>
      </c>
      <c r="G127" s="53" t="s">
        <v>6524</v>
      </c>
      <c r="H127" s="26" t="n">
        <f aca="false">SUMIFS(Sales_Data!$AE$2:$AE$3520,Sales_Data!$F$2:$F$3520,$A127,Sales_Data!$C$2:$C$3520,"&gt;="&amp;Dashboard!$C$5,Sales_Data!$C$2:$C$3520,"&lt;="&amp;Dashboard!$C$6)</f>
        <v>0</v>
      </c>
      <c r="I127" s="26" t="n">
        <f aca="false">SUMIFS(Sales_Data!$M$2:$M$3520,Sales_Data!$F$2:$F$3520,$A127,Sales_Data!$C$2:$C$3520,"&gt;="&amp;Dashboard!$C$5,Sales_Data!$C$2:$C$3520,"&lt;="&amp;Dashboard!$C$6,Sales_Data!$AE$2:$AE$3520,1)</f>
        <v>0</v>
      </c>
      <c r="J127" s="26" t="n">
        <f aca="false">SUMIFS(Sales_Data!$N$2:$N$3520,Sales_Data!$F$2:$F$3520,$A127,Sales_Data!$C$2:$C$3520,"&gt;="&amp;Dashboard!$C$5,Sales_Data!$C$2:$C$3520,"&lt;="&amp;Dashboard!$C$6,Sales_Data!$AE$2:$AE$3520,1)</f>
        <v>0</v>
      </c>
      <c r="K127" s="27" t="n">
        <f aca="false">SUMIFS(Sales_Data!$O$2:$O$3520,Sales_Data!$F$2:$F$3520,$A127,Sales_Data!$C$2:$C$3520,"&gt;="&amp;Dashboard!$C$5,Sales_Data!$C$2:$C$3520,"&lt;="&amp;Dashboard!$C$6,Sales_Data!$AE$2:$AE$3520,1)</f>
        <v>0</v>
      </c>
      <c r="L127" s="26" t="n">
        <f aca="false">SUMIFS(Sales_Data!$AF$2:$AF$3520,Sales_Data!$F$2:$F$3520,$A127,Sales_Data!$C$2:$C$3520,"&gt;="&amp;Dashboard!$C$5,Sales_Data!$C$2:$C$3520,"&lt;="&amp;Dashboard!$C$6)</f>
        <v>0</v>
      </c>
      <c r="M127" s="31" t="n">
        <f aca="false">IFERROR(K127/L127,0)</f>
        <v>0</v>
      </c>
      <c r="N127" s="26" t="n">
        <f aca="false">SUMIFS(Sales_Data!$O$2:$O$3520,Sales_Data!$F$2:$F$3520,$A127,Sales_Data!$C$2:$C$3520,"&gt;="&amp;Dashboard!$C$12,Sales_Data!$C$2:$C$3520,"&lt;="&amp;Dashboard!$C$13,Sales_Data!$AE$2:$AE$3520,1)</f>
        <v>0</v>
      </c>
      <c r="O127" s="28" t="n">
        <f aca="false">K127-N127</f>
        <v>0</v>
      </c>
      <c r="P127" s="54" t="str">
        <f aca="false">IF(W127=0,"-",W127)</f>
        <v>-</v>
      </c>
      <c r="Q127" s="52" t="str">
        <f aca="false">IF(W127=0,"-",$B$2-W127)</f>
        <v>-</v>
      </c>
      <c r="R127" s="52" t="n">
        <f aca="false">IF(T127=1,COUNTIFS($T$5:$T$254,1,$K$5:$K$254,"&gt;"&amp;K127)+1,"-")</f>
        <v>139</v>
      </c>
      <c r="S127" s="52" t="n">
        <f aca="false">COUNTIFS($C$5:$C$254,C127,$K$5:$K$254,"&gt;"&amp;K127)+1</f>
        <v>6</v>
      </c>
      <c r="T127" s="52" t="n">
        <f aca="false">IF(AND(OR(Dashboard!$C$7="All",D127=Dashboard!$C$7),OR(Dashboard!$C$8="All",C127=Dashboard!$C$8)),1,0)</f>
        <v>1</v>
      </c>
      <c r="U127" s="74" t="n">
        <f aca="false">IF(T127=1,K127+ROW()/1000000,-1)</f>
        <v>0.000127</v>
      </c>
      <c r="V127" s="74" t="n">
        <f aca="false">IF(AND(T127=1,E127="Production"),K127+ROW()/1000000,1000000000)</f>
        <v>1000000000</v>
      </c>
      <c r="W127" s="52" t="n">
        <f aca="false">SUMPRODUCT(MAX((Sales_Data!$F$2:$F$3520=A127)*Sales_Data!$C$2:$C$3520))</f>
        <v>0</v>
      </c>
    </row>
    <row r="128" customFormat="false" ht="15" hidden="false" customHeight="false" outlineLevel="0" collapsed="false">
      <c r="A128" s="53" t="s">
        <v>6642</v>
      </c>
      <c r="B128" s="48" t="s">
        <v>6643</v>
      </c>
      <c r="C128" s="53" t="s">
        <v>54</v>
      </c>
      <c r="D128" s="53" t="s">
        <v>49</v>
      </c>
      <c r="E128" s="53" t="s">
        <v>3708</v>
      </c>
      <c r="F128" s="53" t="s">
        <v>209</v>
      </c>
      <c r="G128" s="53" t="s">
        <v>6524</v>
      </c>
      <c r="H128" s="26" t="n">
        <f aca="false">SUMIFS(Sales_Data!$AE$2:$AE$3520,Sales_Data!$F$2:$F$3520,$A128,Sales_Data!$C$2:$C$3520,"&gt;="&amp;Dashboard!$C$5,Sales_Data!$C$2:$C$3520,"&lt;="&amp;Dashboard!$C$6)</f>
        <v>0</v>
      </c>
      <c r="I128" s="26" t="n">
        <f aca="false">SUMIFS(Sales_Data!$M$2:$M$3520,Sales_Data!$F$2:$F$3520,$A128,Sales_Data!$C$2:$C$3520,"&gt;="&amp;Dashboard!$C$5,Sales_Data!$C$2:$C$3520,"&lt;="&amp;Dashboard!$C$6,Sales_Data!$AE$2:$AE$3520,1)</f>
        <v>0</v>
      </c>
      <c r="J128" s="26" t="n">
        <f aca="false">SUMIFS(Sales_Data!$N$2:$N$3520,Sales_Data!$F$2:$F$3520,$A128,Sales_Data!$C$2:$C$3520,"&gt;="&amp;Dashboard!$C$5,Sales_Data!$C$2:$C$3520,"&lt;="&amp;Dashboard!$C$6,Sales_Data!$AE$2:$AE$3520,1)</f>
        <v>0</v>
      </c>
      <c r="K128" s="27" t="n">
        <f aca="false">SUMIFS(Sales_Data!$O$2:$O$3520,Sales_Data!$F$2:$F$3520,$A128,Sales_Data!$C$2:$C$3520,"&gt;="&amp;Dashboard!$C$5,Sales_Data!$C$2:$C$3520,"&lt;="&amp;Dashboard!$C$6,Sales_Data!$AE$2:$AE$3520,1)</f>
        <v>0</v>
      </c>
      <c r="L128" s="26" t="n">
        <f aca="false">SUMIFS(Sales_Data!$AF$2:$AF$3520,Sales_Data!$F$2:$F$3520,$A128,Sales_Data!$C$2:$C$3520,"&gt;="&amp;Dashboard!$C$5,Sales_Data!$C$2:$C$3520,"&lt;="&amp;Dashboard!$C$6)</f>
        <v>0</v>
      </c>
      <c r="M128" s="31" t="n">
        <f aca="false">IFERROR(K128/L128,0)</f>
        <v>0</v>
      </c>
      <c r="N128" s="26" t="n">
        <f aca="false">SUMIFS(Sales_Data!$O$2:$O$3520,Sales_Data!$F$2:$F$3520,$A128,Sales_Data!$C$2:$C$3520,"&gt;="&amp;Dashboard!$C$12,Sales_Data!$C$2:$C$3520,"&lt;="&amp;Dashboard!$C$13,Sales_Data!$AE$2:$AE$3520,1)</f>
        <v>0</v>
      </c>
      <c r="O128" s="28" t="n">
        <f aca="false">K128-N128</f>
        <v>0</v>
      </c>
      <c r="P128" s="54" t="str">
        <f aca="false">IF(W128=0,"-",W128)</f>
        <v>-</v>
      </c>
      <c r="Q128" s="52" t="str">
        <f aca="false">IF(W128=0,"-",$B$2-W128)</f>
        <v>-</v>
      </c>
      <c r="R128" s="52" t="n">
        <f aca="false">IF(T128=1,COUNTIFS($T$5:$T$254,1,$K$5:$K$254,"&gt;"&amp;K128)+1,"-")</f>
        <v>139</v>
      </c>
      <c r="S128" s="52" t="n">
        <f aca="false">COUNTIFS($C$5:$C$254,C128,$K$5:$K$254,"&gt;"&amp;K128)+1</f>
        <v>6</v>
      </c>
      <c r="T128" s="52" t="n">
        <f aca="false">IF(AND(OR(Dashboard!$C$7="All",D128=Dashboard!$C$7),OR(Dashboard!$C$8="All",C128=Dashboard!$C$8)),1,0)</f>
        <v>1</v>
      </c>
      <c r="U128" s="74" t="n">
        <f aca="false">IF(T128=1,K128+ROW()/1000000,-1)</f>
        <v>0.000128</v>
      </c>
      <c r="V128" s="74" t="n">
        <f aca="false">IF(AND(T128=1,E128="Production"),K128+ROW()/1000000,1000000000)</f>
        <v>1000000000</v>
      </c>
      <c r="W128" s="52" t="n">
        <f aca="false">SUMPRODUCT(MAX((Sales_Data!$F$2:$F$3520=A128)*Sales_Data!$C$2:$C$3520))</f>
        <v>0</v>
      </c>
    </row>
    <row r="129" customFormat="false" ht="15" hidden="false" customHeight="false" outlineLevel="0" collapsed="false">
      <c r="A129" s="53" t="s">
        <v>6645</v>
      </c>
      <c r="B129" s="48" t="s">
        <v>6646</v>
      </c>
      <c r="C129" s="53" t="s">
        <v>54</v>
      </c>
      <c r="D129" s="53" t="s">
        <v>49</v>
      </c>
      <c r="E129" s="53" t="s">
        <v>3708</v>
      </c>
      <c r="F129" s="53" t="s">
        <v>209</v>
      </c>
      <c r="G129" s="53" t="s">
        <v>6524</v>
      </c>
      <c r="H129" s="26" t="n">
        <f aca="false">SUMIFS(Sales_Data!$AE$2:$AE$3520,Sales_Data!$F$2:$F$3520,$A129,Sales_Data!$C$2:$C$3520,"&gt;="&amp;Dashboard!$C$5,Sales_Data!$C$2:$C$3520,"&lt;="&amp;Dashboard!$C$6)</f>
        <v>0</v>
      </c>
      <c r="I129" s="26" t="n">
        <f aca="false">SUMIFS(Sales_Data!$M$2:$M$3520,Sales_Data!$F$2:$F$3520,$A129,Sales_Data!$C$2:$C$3520,"&gt;="&amp;Dashboard!$C$5,Sales_Data!$C$2:$C$3520,"&lt;="&amp;Dashboard!$C$6,Sales_Data!$AE$2:$AE$3520,1)</f>
        <v>0</v>
      </c>
      <c r="J129" s="26" t="n">
        <f aca="false">SUMIFS(Sales_Data!$N$2:$N$3520,Sales_Data!$F$2:$F$3520,$A129,Sales_Data!$C$2:$C$3520,"&gt;="&amp;Dashboard!$C$5,Sales_Data!$C$2:$C$3520,"&lt;="&amp;Dashboard!$C$6,Sales_Data!$AE$2:$AE$3520,1)</f>
        <v>0</v>
      </c>
      <c r="K129" s="27" t="n">
        <f aca="false">SUMIFS(Sales_Data!$O$2:$O$3520,Sales_Data!$F$2:$F$3520,$A129,Sales_Data!$C$2:$C$3520,"&gt;="&amp;Dashboard!$C$5,Sales_Data!$C$2:$C$3520,"&lt;="&amp;Dashboard!$C$6,Sales_Data!$AE$2:$AE$3520,1)</f>
        <v>0</v>
      </c>
      <c r="L129" s="26" t="n">
        <f aca="false">SUMIFS(Sales_Data!$AF$2:$AF$3520,Sales_Data!$F$2:$F$3520,$A129,Sales_Data!$C$2:$C$3520,"&gt;="&amp;Dashboard!$C$5,Sales_Data!$C$2:$C$3520,"&lt;="&amp;Dashboard!$C$6)</f>
        <v>0</v>
      </c>
      <c r="M129" s="31" t="n">
        <f aca="false">IFERROR(K129/L129,0)</f>
        <v>0</v>
      </c>
      <c r="N129" s="26" t="n">
        <f aca="false">SUMIFS(Sales_Data!$O$2:$O$3520,Sales_Data!$F$2:$F$3520,$A129,Sales_Data!$C$2:$C$3520,"&gt;="&amp;Dashboard!$C$12,Sales_Data!$C$2:$C$3520,"&lt;="&amp;Dashboard!$C$13,Sales_Data!$AE$2:$AE$3520,1)</f>
        <v>0</v>
      </c>
      <c r="O129" s="28" t="n">
        <f aca="false">K129-N129</f>
        <v>0</v>
      </c>
      <c r="P129" s="54" t="str">
        <f aca="false">IF(W129=0,"-",W129)</f>
        <v>-</v>
      </c>
      <c r="Q129" s="52" t="str">
        <f aca="false">IF(W129=0,"-",$B$2-W129)</f>
        <v>-</v>
      </c>
      <c r="R129" s="52" t="n">
        <f aca="false">IF(T129=1,COUNTIFS($T$5:$T$254,1,$K$5:$K$254,"&gt;"&amp;K129)+1,"-")</f>
        <v>139</v>
      </c>
      <c r="S129" s="52" t="n">
        <f aca="false">COUNTIFS($C$5:$C$254,C129,$K$5:$K$254,"&gt;"&amp;K129)+1</f>
        <v>6</v>
      </c>
      <c r="T129" s="52" t="n">
        <f aca="false">IF(AND(OR(Dashboard!$C$7="All",D129=Dashboard!$C$7),OR(Dashboard!$C$8="All",C129=Dashboard!$C$8)),1,0)</f>
        <v>1</v>
      </c>
      <c r="U129" s="74" t="n">
        <f aca="false">IF(T129=1,K129+ROW()/1000000,-1)</f>
        <v>0.000129</v>
      </c>
      <c r="V129" s="74" t="n">
        <f aca="false">IF(AND(T129=1,E129="Production"),K129+ROW()/1000000,1000000000)</f>
        <v>1000000000</v>
      </c>
      <c r="W129" s="52" t="n">
        <f aca="false">SUMPRODUCT(MAX((Sales_Data!$F$2:$F$3520=A129)*Sales_Data!$C$2:$C$3520))</f>
        <v>0</v>
      </c>
    </row>
    <row r="130" customFormat="false" ht="15" hidden="false" customHeight="false" outlineLevel="0" collapsed="false">
      <c r="A130" s="53" t="s">
        <v>6648</v>
      </c>
      <c r="B130" s="48" t="s">
        <v>6649</v>
      </c>
      <c r="C130" s="53" t="s">
        <v>54</v>
      </c>
      <c r="D130" s="53" t="s">
        <v>49</v>
      </c>
      <c r="E130" s="53" t="s">
        <v>3708</v>
      </c>
      <c r="F130" s="53" t="s">
        <v>209</v>
      </c>
      <c r="G130" s="53" t="s">
        <v>6524</v>
      </c>
      <c r="H130" s="26" t="n">
        <f aca="false">SUMIFS(Sales_Data!$AE$2:$AE$3520,Sales_Data!$F$2:$F$3520,$A130,Sales_Data!$C$2:$C$3520,"&gt;="&amp;Dashboard!$C$5,Sales_Data!$C$2:$C$3520,"&lt;="&amp;Dashboard!$C$6)</f>
        <v>0</v>
      </c>
      <c r="I130" s="26" t="n">
        <f aca="false">SUMIFS(Sales_Data!$M$2:$M$3520,Sales_Data!$F$2:$F$3520,$A130,Sales_Data!$C$2:$C$3520,"&gt;="&amp;Dashboard!$C$5,Sales_Data!$C$2:$C$3520,"&lt;="&amp;Dashboard!$C$6,Sales_Data!$AE$2:$AE$3520,1)</f>
        <v>0</v>
      </c>
      <c r="J130" s="26" t="n">
        <f aca="false">SUMIFS(Sales_Data!$N$2:$N$3520,Sales_Data!$F$2:$F$3520,$A130,Sales_Data!$C$2:$C$3520,"&gt;="&amp;Dashboard!$C$5,Sales_Data!$C$2:$C$3520,"&lt;="&amp;Dashboard!$C$6,Sales_Data!$AE$2:$AE$3520,1)</f>
        <v>0</v>
      </c>
      <c r="K130" s="27" t="n">
        <f aca="false">SUMIFS(Sales_Data!$O$2:$O$3520,Sales_Data!$F$2:$F$3520,$A130,Sales_Data!$C$2:$C$3520,"&gt;="&amp;Dashboard!$C$5,Sales_Data!$C$2:$C$3520,"&lt;="&amp;Dashboard!$C$6,Sales_Data!$AE$2:$AE$3520,1)</f>
        <v>0</v>
      </c>
      <c r="L130" s="26" t="n">
        <f aca="false">SUMIFS(Sales_Data!$AF$2:$AF$3520,Sales_Data!$F$2:$F$3520,$A130,Sales_Data!$C$2:$C$3520,"&gt;="&amp;Dashboard!$C$5,Sales_Data!$C$2:$C$3520,"&lt;="&amp;Dashboard!$C$6)</f>
        <v>0</v>
      </c>
      <c r="M130" s="31" t="n">
        <f aca="false">IFERROR(K130/L130,0)</f>
        <v>0</v>
      </c>
      <c r="N130" s="26" t="n">
        <f aca="false">SUMIFS(Sales_Data!$O$2:$O$3520,Sales_Data!$F$2:$F$3520,$A130,Sales_Data!$C$2:$C$3520,"&gt;="&amp;Dashboard!$C$12,Sales_Data!$C$2:$C$3520,"&lt;="&amp;Dashboard!$C$13,Sales_Data!$AE$2:$AE$3520,1)</f>
        <v>0</v>
      </c>
      <c r="O130" s="28" t="n">
        <f aca="false">K130-N130</f>
        <v>0</v>
      </c>
      <c r="P130" s="54" t="str">
        <f aca="false">IF(W130=0,"-",W130)</f>
        <v>-</v>
      </c>
      <c r="Q130" s="52" t="str">
        <f aca="false">IF(W130=0,"-",$B$2-W130)</f>
        <v>-</v>
      </c>
      <c r="R130" s="52" t="n">
        <f aca="false">IF(T130=1,COUNTIFS($T$5:$T$254,1,$K$5:$K$254,"&gt;"&amp;K130)+1,"-")</f>
        <v>139</v>
      </c>
      <c r="S130" s="52" t="n">
        <f aca="false">COUNTIFS($C$5:$C$254,C130,$K$5:$K$254,"&gt;"&amp;K130)+1</f>
        <v>6</v>
      </c>
      <c r="T130" s="52" t="n">
        <f aca="false">IF(AND(OR(Dashboard!$C$7="All",D130=Dashboard!$C$7),OR(Dashboard!$C$8="All",C130=Dashboard!$C$8)),1,0)</f>
        <v>1</v>
      </c>
      <c r="U130" s="74" t="n">
        <f aca="false">IF(T130=1,K130+ROW()/1000000,-1)</f>
        <v>0.00013</v>
      </c>
      <c r="V130" s="74" t="n">
        <f aca="false">IF(AND(T130=1,E130="Production"),K130+ROW()/1000000,1000000000)</f>
        <v>1000000000</v>
      </c>
      <c r="W130" s="52" t="n">
        <f aca="false">SUMPRODUCT(MAX((Sales_Data!$F$2:$F$3520=A130)*Sales_Data!$C$2:$C$3520))</f>
        <v>0</v>
      </c>
    </row>
    <row r="131" customFormat="false" ht="15" hidden="false" customHeight="false" outlineLevel="0" collapsed="false">
      <c r="A131" s="53" t="s">
        <v>6273</v>
      </c>
      <c r="B131" s="48" t="s">
        <v>6274</v>
      </c>
      <c r="C131" s="53" t="s">
        <v>54</v>
      </c>
      <c r="D131" s="53" t="s">
        <v>49</v>
      </c>
      <c r="E131" s="53" t="s">
        <v>3708</v>
      </c>
      <c r="F131" s="53" t="s">
        <v>209</v>
      </c>
      <c r="G131" s="53" t="s">
        <v>6524</v>
      </c>
      <c r="H131" s="26" t="n">
        <f aca="false">SUMIFS(Sales_Data!$AE$2:$AE$3520,Sales_Data!$F$2:$F$3520,$A131,Sales_Data!$C$2:$C$3520,"&gt;="&amp;Dashboard!$C$5,Sales_Data!$C$2:$C$3520,"&lt;="&amp;Dashboard!$C$6)</f>
        <v>2</v>
      </c>
      <c r="I131" s="26" t="n">
        <f aca="false">SUMIFS(Sales_Data!$M$2:$M$3520,Sales_Data!$F$2:$F$3520,$A131,Sales_Data!$C$2:$C$3520,"&gt;="&amp;Dashboard!$C$5,Sales_Data!$C$2:$C$3520,"&lt;="&amp;Dashboard!$C$6,Sales_Data!$AE$2:$AE$3520,1)</f>
        <v>2</v>
      </c>
      <c r="J131" s="26" t="n">
        <f aca="false">SUMIFS(Sales_Data!$N$2:$N$3520,Sales_Data!$F$2:$F$3520,$A131,Sales_Data!$C$2:$C$3520,"&gt;="&amp;Dashboard!$C$5,Sales_Data!$C$2:$C$3520,"&lt;="&amp;Dashboard!$C$6,Sales_Data!$AE$2:$AE$3520,1)</f>
        <v>0</v>
      </c>
      <c r="K131" s="27" t="n">
        <f aca="false">SUMIFS(Sales_Data!$O$2:$O$3520,Sales_Data!$F$2:$F$3520,$A131,Sales_Data!$C$2:$C$3520,"&gt;="&amp;Dashboard!$C$5,Sales_Data!$C$2:$C$3520,"&lt;="&amp;Dashboard!$C$6,Sales_Data!$AE$2:$AE$3520,1)</f>
        <v>2</v>
      </c>
      <c r="L131" s="26" t="n">
        <f aca="false">SUMIFS(Sales_Data!$AF$2:$AF$3520,Sales_Data!$F$2:$F$3520,$A131,Sales_Data!$C$2:$C$3520,"&gt;="&amp;Dashboard!$C$5,Sales_Data!$C$2:$C$3520,"&lt;="&amp;Dashboard!$C$6)</f>
        <v>1</v>
      </c>
      <c r="M131" s="31" t="n">
        <f aca="false">IFERROR(K131/L131,0)</f>
        <v>2</v>
      </c>
      <c r="N131" s="26" t="n">
        <f aca="false">SUMIFS(Sales_Data!$O$2:$O$3520,Sales_Data!$F$2:$F$3520,$A131,Sales_Data!$C$2:$C$3520,"&gt;="&amp;Dashboard!$C$12,Sales_Data!$C$2:$C$3520,"&lt;="&amp;Dashboard!$C$13,Sales_Data!$AE$2:$AE$3520,1)</f>
        <v>0</v>
      </c>
      <c r="O131" s="28" t="n">
        <f aca="false">K131-N131</f>
        <v>2</v>
      </c>
      <c r="P131" s="54" t="n">
        <f aca="false">IF(W131=0,"-",W131)</f>
        <v>46303</v>
      </c>
      <c r="Q131" s="52" t="n">
        <f aca="false">IF(W131=0,"-",$B$2-W131)</f>
        <v>0</v>
      </c>
      <c r="R131" s="52" t="n">
        <f aca="false">IF(T131=1,COUNTIFS($T$5:$T$254,1,$K$5:$K$254,"&gt;"&amp;K131)+1,"-")</f>
        <v>84</v>
      </c>
      <c r="S131" s="52" t="n">
        <f aca="false">COUNTIFS($C$5:$C$254,C131,$K$5:$K$254,"&gt;"&amp;K131)+1</f>
        <v>2</v>
      </c>
      <c r="T131" s="52" t="n">
        <f aca="false">IF(AND(OR(Dashboard!$C$7="All",D131=Dashboard!$C$7),OR(Dashboard!$C$8="All",C131=Dashboard!$C$8)),1,0)</f>
        <v>1</v>
      </c>
      <c r="U131" s="74" t="n">
        <f aca="false">IF(T131=1,K131+ROW()/1000000,-1)</f>
        <v>2.000131</v>
      </c>
      <c r="V131" s="74" t="n">
        <f aca="false">IF(AND(T131=1,E131="Production"),K131+ROW()/1000000,1000000000)</f>
        <v>1000000000</v>
      </c>
      <c r="W131" s="52" t="n">
        <f aca="false">SUMPRODUCT(MAX((Sales_Data!$F$2:$F$3520=A131)*Sales_Data!$C$2:$C$3520))</f>
        <v>46303</v>
      </c>
    </row>
    <row r="132" customFormat="false" ht="15" hidden="false" customHeight="false" outlineLevel="0" collapsed="false">
      <c r="A132" s="53" t="s">
        <v>6652</v>
      </c>
      <c r="B132" s="48" t="s">
        <v>6653</v>
      </c>
      <c r="C132" s="53" t="s">
        <v>54</v>
      </c>
      <c r="D132" s="53" t="s">
        <v>49</v>
      </c>
      <c r="E132" s="53" t="s">
        <v>3708</v>
      </c>
      <c r="F132" s="53" t="s">
        <v>209</v>
      </c>
      <c r="G132" s="53" t="s">
        <v>6524</v>
      </c>
      <c r="H132" s="26" t="n">
        <f aca="false">SUMIFS(Sales_Data!$AE$2:$AE$3520,Sales_Data!$F$2:$F$3520,$A132,Sales_Data!$C$2:$C$3520,"&gt;="&amp;Dashboard!$C$5,Sales_Data!$C$2:$C$3520,"&lt;="&amp;Dashboard!$C$6)</f>
        <v>0</v>
      </c>
      <c r="I132" s="26" t="n">
        <f aca="false">SUMIFS(Sales_Data!$M$2:$M$3520,Sales_Data!$F$2:$F$3520,$A132,Sales_Data!$C$2:$C$3520,"&gt;="&amp;Dashboard!$C$5,Sales_Data!$C$2:$C$3520,"&lt;="&amp;Dashboard!$C$6,Sales_Data!$AE$2:$AE$3520,1)</f>
        <v>0</v>
      </c>
      <c r="J132" s="26" t="n">
        <f aca="false">SUMIFS(Sales_Data!$N$2:$N$3520,Sales_Data!$F$2:$F$3520,$A132,Sales_Data!$C$2:$C$3520,"&gt;="&amp;Dashboard!$C$5,Sales_Data!$C$2:$C$3520,"&lt;="&amp;Dashboard!$C$6,Sales_Data!$AE$2:$AE$3520,1)</f>
        <v>0</v>
      </c>
      <c r="K132" s="27" t="n">
        <f aca="false">SUMIFS(Sales_Data!$O$2:$O$3520,Sales_Data!$F$2:$F$3520,$A132,Sales_Data!$C$2:$C$3520,"&gt;="&amp;Dashboard!$C$5,Sales_Data!$C$2:$C$3520,"&lt;="&amp;Dashboard!$C$6,Sales_Data!$AE$2:$AE$3520,1)</f>
        <v>0</v>
      </c>
      <c r="L132" s="26" t="n">
        <f aca="false">SUMIFS(Sales_Data!$AF$2:$AF$3520,Sales_Data!$F$2:$F$3520,$A132,Sales_Data!$C$2:$C$3520,"&gt;="&amp;Dashboard!$C$5,Sales_Data!$C$2:$C$3520,"&lt;="&amp;Dashboard!$C$6)</f>
        <v>0</v>
      </c>
      <c r="M132" s="31" t="n">
        <f aca="false">IFERROR(K132/L132,0)</f>
        <v>0</v>
      </c>
      <c r="N132" s="26" t="n">
        <f aca="false">SUMIFS(Sales_Data!$O$2:$O$3520,Sales_Data!$F$2:$F$3520,$A132,Sales_Data!$C$2:$C$3520,"&gt;="&amp;Dashboard!$C$12,Sales_Data!$C$2:$C$3520,"&lt;="&amp;Dashboard!$C$13,Sales_Data!$AE$2:$AE$3520,1)</f>
        <v>0</v>
      </c>
      <c r="O132" s="28" t="n">
        <f aca="false">K132-N132</f>
        <v>0</v>
      </c>
      <c r="P132" s="54" t="str">
        <f aca="false">IF(W132=0,"-",W132)</f>
        <v>-</v>
      </c>
      <c r="Q132" s="52" t="str">
        <f aca="false">IF(W132=0,"-",$B$2-W132)</f>
        <v>-</v>
      </c>
      <c r="R132" s="52" t="n">
        <f aca="false">IF(T132=1,COUNTIFS($T$5:$T$254,1,$K$5:$K$254,"&gt;"&amp;K132)+1,"-")</f>
        <v>139</v>
      </c>
      <c r="S132" s="52" t="n">
        <f aca="false">COUNTIFS($C$5:$C$254,C132,$K$5:$K$254,"&gt;"&amp;K132)+1</f>
        <v>6</v>
      </c>
      <c r="T132" s="52" t="n">
        <f aca="false">IF(AND(OR(Dashboard!$C$7="All",D132=Dashboard!$C$7),OR(Dashboard!$C$8="All",C132=Dashboard!$C$8)),1,0)</f>
        <v>1</v>
      </c>
      <c r="U132" s="74" t="n">
        <f aca="false">IF(T132=1,K132+ROW()/1000000,-1)</f>
        <v>0.000132</v>
      </c>
      <c r="V132" s="74" t="n">
        <f aca="false">IF(AND(T132=1,E132="Production"),K132+ROW()/1000000,1000000000)</f>
        <v>1000000000</v>
      </c>
      <c r="W132" s="52" t="n">
        <f aca="false">SUMPRODUCT(MAX((Sales_Data!$F$2:$F$3520=A132)*Sales_Data!$C$2:$C$3520))</f>
        <v>0</v>
      </c>
    </row>
    <row r="133" customFormat="false" ht="15" hidden="false" customHeight="false" outlineLevel="0" collapsed="false">
      <c r="A133" s="53" t="s">
        <v>6655</v>
      </c>
      <c r="B133" s="48" t="s">
        <v>6656</v>
      </c>
      <c r="C133" s="53" t="s">
        <v>54</v>
      </c>
      <c r="D133" s="53" t="s">
        <v>49</v>
      </c>
      <c r="E133" s="53" t="s">
        <v>3708</v>
      </c>
      <c r="F133" s="53" t="s">
        <v>209</v>
      </c>
      <c r="G133" s="53" t="s">
        <v>6524</v>
      </c>
      <c r="H133" s="26" t="n">
        <f aca="false">SUMIFS(Sales_Data!$AE$2:$AE$3520,Sales_Data!$F$2:$F$3520,$A133,Sales_Data!$C$2:$C$3520,"&gt;="&amp;Dashboard!$C$5,Sales_Data!$C$2:$C$3520,"&lt;="&amp;Dashboard!$C$6)</f>
        <v>0</v>
      </c>
      <c r="I133" s="26" t="n">
        <f aca="false">SUMIFS(Sales_Data!$M$2:$M$3520,Sales_Data!$F$2:$F$3520,$A133,Sales_Data!$C$2:$C$3520,"&gt;="&amp;Dashboard!$C$5,Sales_Data!$C$2:$C$3520,"&lt;="&amp;Dashboard!$C$6,Sales_Data!$AE$2:$AE$3520,1)</f>
        <v>0</v>
      </c>
      <c r="J133" s="26" t="n">
        <f aca="false">SUMIFS(Sales_Data!$N$2:$N$3520,Sales_Data!$F$2:$F$3520,$A133,Sales_Data!$C$2:$C$3520,"&gt;="&amp;Dashboard!$C$5,Sales_Data!$C$2:$C$3520,"&lt;="&amp;Dashboard!$C$6,Sales_Data!$AE$2:$AE$3520,1)</f>
        <v>0</v>
      </c>
      <c r="K133" s="27" t="n">
        <f aca="false">SUMIFS(Sales_Data!$O$2:$O$3520,Sales_Data!$F$2:$F$3520,$A133,Sales_Data!$C$2:$C$3520,"&gt;="&amp;Dashboard!$C$5,Sales_Data!$C$2:$C$3520,"&lt;="&amp;Dashboard!$C$6,Sales_Data!$AE$2:$AE$3520,1)</f>
        <v>0</v>
      </c>
      <c r="L133" s="26" t="n">
        <f aca="false">SUMIFS(Sales_Data!$AF$2:$AF$3520,Sales_Data!$F$2:$F$3520,$A133,Sales_Data!$C$2:$C$3520,"&gt;="&amp;Dashboard!$C$5,Sales_Data!$C$2:$C$3520,"&lt;="&amp;Dashboard!$C$6)</f>
        <v>0</v>
      </c>
      <c r="M133" s="31" t="n">
        <f aca="false">IFERROR(K133/L133,0)</f>
        <v>0</v>
      </c>
      <c r="N133" s="26" t="n">
        <f aca="false">SUMIFS(Sales_Data!$O$2:$O$3520,Sales_Data!$F$2:$F$3520,$A133,Sales_Data!$C$2:$C$3520,"&gt;="&amp;Dashboard!$C$12,Sales_Data!$C$2:$C$3520,"&lt;="&amp;Dashboard!$C$13,Sales_Data!$AE$2:$AE$3520,1)</f>
        <v>0</v>
      </c>
      <c r="O133" s="28" t="n">
        <f aca="false">K133-N133</f>
        <v>0</v>
      </c>
      <c r="P133" s="54" t="str">
        <f aca="false">IF(W133=0,"-",W133)</f>
        <v>-</v>
      </c>
      <c r="Q133" s="52" t="str">
        <f aca="false">IF(W133=0,"-",$B$2-W133)</f>
        <v>-</v>
      </c>
      <c r="R133" s="52" t="n">
        <f aca="false">IF(T133=1,COUNTIFS($T$5:$T$254,1,$K$5:$K$254,"&gt;"&amp;K133)+1,"-")</f>
        <v>139</v>
      </c>
      <c r="S133" s="52" t="n">
        <f aca="false">COUNTIFS($C$5:$C$254,C133,$K$5:$K$254,"&gt;"&amp;K133)+1</f>
        <v>6</v>
      </c>
      <c r="T133" s="52" t="n">
        <f aca="false">IF(AND(OR(Dashboard!$C$7="All",D133=Dashboard!$C$7),OR(Dashboard!$C$8="All",C133=Dashboard!$C$8)),1,0)</f>
        <v>1</v>
      </c>
      <c r="U133" s="74" t="n">
        <f aca="false">IF(T133=1,K133+ROW()/1000000,-1)</f>
        <v>0.000133</v>
      </c>
      <c r="V133" s="74" t="n">
        <f aca="false">IF(AND(T133=1,E133="Production"),K133+ROW()/1000000,1000000000)</f>
        <v>1000000000</v>
      </c>
      <c r="W133" s="52" t="n">
        <f aca="false">SUMPRODUCT(MAX((Sales_Data!$F$2:$F$3520=A133)*Sales_Data!$C$2:$C$3520))</f>
        <v>0</v>
      </c>
    </row>
    <row r="134" customFormat="false" ht="15" hidden="false" customHeight="false" outlineLevel="0" collapsed="false">
      <c r="A134" s="53" t="s">
        <v>6658</v>
      </c>
      <c r="B134" s="48" t="s">
        <v>6659</v>
      </c>
      <c r="C134" s="53" t="s">
        <v>54</v>
      </c>
      <c r="D134" s="53" t="s">
        <v>49</v>
      </c>
      <c r="E134" s="53" t="s">
        <v>3708</v>
      </c>
      <c r="F134" s="53" t="s">
        <v>209</v>
      </c>
      <c r="G134" s="53" t="s">
        <v>6524</v>
      </c>
      <c r="H134" s="26" t="n">
        <f aca="false">SUMIFS(Sales_Data!$AE$2:$AE$3520,Sales_Data!$F$2:$F$3520,$A134,Sales_Data!$C$2:$C$3520,"&gt;="&amp;Dashboard!$C$5,Sales_Data!$C$2:$C$3520,"&lt;="&amp;Dashboard!$C$6)</f>
        <v>0</v>
      </c>
      <c r="I134" s="26" t="n">
        <f aca="false">SUMIFS(Sales_Data!$M$2:$M$3520,Sales_Data!$F$2:$F$3520,$A134,Sales_Data!$C$2:$C$3520,"&gt;="&amp;Dashboard!$C$5,Sales_Data!$C$2:$C$3520,"&lt;="&amp;Dashboard!$C$6,Sales_Data!$AE$2:$AE$3520,1)</f>
        <v>0</v>
      </c>
      <c r="J134" s="26" t="n">
        <f aca="false">SUMIFS(Sales_Data!$N$2:$N$3520,Sales_Data!$F$2:$F$3520,$A134,Sales_Data!$C$2:$C$3520,"&gt;="&amp;Dashboard!$C$5,Sales_Data!$C$2:$C$3520,"&lt;="&amp;Dashboard!$C$6,Sales_Data!$AE$2:$AE$3520,1)</f>
        <v>0</v>
      </c>
      <c r="K134" s="27" t="n">
        <f aca="false">SUMIFS(Sales_Data!$O$2:$O$3520,Sales_Data!$F$2:$F$3520,$A134,Sales_Data!$C$2:$C$3520,"&gt;="&amp;Dashboard!$C$5,Sales_Data!$C$2:$C$3520,"&lt;="&amp;Dashboard!$C$6,Sales_Data!$AE$2:$AE$3520,1)</f>
        <v>0</v>
      </c>
      <c r="L134" s="26" t="n">
        <f aca="false">SUMIFS(Sales_Data!$AF$2:$AF$3520,Sales_Data!$F$2:$F$3520,$A134,Sales_Data!$C$2:$C$3520,"&gt;="&amp;Dashboard!$C$5,Sales_Data!$C$2:$C$3520,"&lt;="&amp;Dashboard!$C$6)</f>
        <v>0</v>
      </c>
      <c r="M134" s="31" t="n">
        <f aca="false">IFERROR(K134/L134,0)</f>
        <v>0</v>
      </c>
      <c r="N134" s="26" t="n">
        <f aca="false">SUMIFS(Sales_Data!$O$2:$O$3520,Sales_Data!$F$2:$F$3520,$A134,Sales_Data!$C$2:$C$3520,"&gt;="&amp;Dashboard!$C$12,Sales_Data!$C$2:$C$3520,"&lt;="&amp;Dashboard!$C$13,Sales_Data!$AE$2:$AE$3520,1)</f>
        <v>0</v>
      </c>
      <c r="O134" s="28" t="n">
        <f aca="false">K134-N134</f>
        <v>0</v>
      </c>
      <c r="P134" s="54" t="str">
        <f aca="false">IF(W134=0,"-",W134)</f>
        <v>-</v>
      </c>
      <c r="Q134" s="52" t="str">
        <f aca="false">IF(W134=0,"-",$B$2-W134)</f>
        <v>-</v>
      </c>
      <c r="R134" s="52" t="n">
        <f aca="false">IF(T134=1,COUNTIFS($T$5:$T$254,1,$K$5:$K$254,"&gt;"&amp;K134)+1,"-")</f>
        <v>139</v>
      </c>
      <c r="S134" s="52" t="n">
        <f aca="false">COUNTIFS($C$5:$C$254,C134,$K$5:$K$254,"&gt;"&amp;K134)+1</f>
        <v>6</v>
      </c>
      <c r="T134" s="52" t="n">
        <f aca="false">IF(AND(OR(Dashboard!$C$7="All",D134=Dashboard!$C$7),OR(Dashboard!$C$8="All",C134=Dashboard!$C$8)),1,0)</f>
        <v>1</v>
      </c>
      <c r="U134" s="74" t="n">
        <f aca="false">IF(T134=1,K134+ROW()/1000000,-1)</f>
        <v>0.000134</v>
      </c>
      <c r="V134" s="74" t="n">
        <f aca="false">IF(AND(T134=1,E134="Production"),K134+ROW()/1000000,1000000000)</f>
        <v>1000000000</v>
      </c>
      <c r="W134" s="52" t="n">
        <f aca="false">SUMPRODUCT(MAX((Sales_Data!$F$2:$F$3520=A134)*Sales_Data!$C$2:$C$3520))</f>
        <v>0</v>
      </c>
    </row>
    <row r="135" customFormat="false" ht="15" hidden="false" customHeight="false" outlineLevel="0" collapsed="false">
      <c r="A135" s="53" t="s">
        <v>6661</v>
      </c>
      <c r="B135" s="48" t="s">
        <v>6662</v>
      </c>
      <c r="C135" s="53" t="s">
        <v>54</v>
      </c>
      <c r="D135" s="53" t="s">
        <v>49</v>
      </c>
      <c r="E135" s="53" t="s">
        <v>3708</v>
      </c>
      <c r="F135" s="53" t="s">
        <v>209</v>
      </c>
      <c r="G135" s="53" t="s">
        <v>6524</v>
      </c>
      <c r="H135" s="26" t="n">
        <f aca="false">SUMIFS(Sales_Data!$AE$2:$AE$3520,Sales_Data!$F$2:$F$3520,$A135,Sales_Data!$C$2:$C$3520,"&gt;="&amp;Dashboard!$C$5,Sales_Data!$C$2:$C$3520,"&lt;="&amp;Dashboard!$C$6)</f>
        <v>0</v>
      </c>
      <c r="I135" s="26" t="n">
        <f aca="false">SUMIFS(Sales_Data!$M$2:$M$3520,Sales_Data!$F$2:$F$3520,$A135,Sales_Data!$C$2:$C$3520,"&gt;="&amp;Dashboard!$C$5,Sales_Data!$C$2:$C$3520,"&lt;="&amp;Dashboard!$C$6,Sales_Data!$AE$2:$AE$3520,1)</f>
        <v>0</v>
      </c>
      <c r="J135" s="26" t="n">
        <f aca="false">SUMIFS(Sales_Data!$N$2:$N$3520,Sales_Data!$F$2:$F$3520,$A135,Sales_Data!$C$2:$C$3520,"&gt;="&amp;Dashboard!$C$5,Sales_Data!$C$2:$C$3520,"&lt;="&amp;Dashboard!$C$6,Sales_Data!$AE$2:$AE$3520,1)</f>
        <v>0</v>
      </c>
      <c r="K135" s="27" t="n">
        <f aca="false">SUMIFS(Sales_Data!$O$2:$O$3520,Sales_Data!$F$2:$F$3520,$A135,Sales_Data!$C$2:$C$3520,"&gt;="&amp;Dashboard!$C$5,Sales_Data!$C$2:$C$3520,"&lt;="&amp;Dashboard!$C$6,Sales_Data!$AE$2:$AE$3520,1)</f>
        <v>0</v>
      </c>
      <c r="L135" s="26" t="n">
        <f aca="false">SUMIFS(Sales_Data!$AF$2:$AF$3520,Sales_Data!$F$2:$F$3520,$A135,Sales_Data!$C$2:$C$3520,"&gt;="&amp;Dashboard!$C$5,Sales_Data!$C$2:$C$3520,"&lt;="&amp;Dashboard!$C$6)</f>
        <v>0</v>
      </c>
      <c r="M135" s="31" t="n">
        <f aca="false">IFERROR(K135/L135,0)</f>
        <v>0</v>
      </c>
      <c r="N135" s="26" t="n">
        <f aca="false">SUMIFS(Sales_Data!$O$2:$O$3520,Sales_Data!$F$2:$F$3520,$A135,Sales_Data!$C$2:$C$3520,"&gt;="&amp;Dashboard!$C$12,Sales_Data!$C$2:$C$3520,"&lt;="&amp;Dashboard!$C$13,Sales_Data!$AE$2:$AE$3520,1)</f>
        <v>0</v>
      </c>
      <c r="O135" s="28" t="n">
        <f aca="false">K135-N135</f>
        <v>0</v>
      </c>
      <c r="P135" s="54" t="str">
        <f aca="false">IF(W135=0,"-",W135)</f>
        <v>-</v>
      </c>
      <c r="Q135" s="52" t="str">
        <f aca="false">IF(W135=0,"-",$B$2-W135)</f>
        <v>-</v>
      </c>
      <c r="R135" s="52" t="n">
        <f aca="false">IF(T135=1,COUNTIFS($T$5:$T$254,1,$K$5:$K$254,"&gt;"&amp;K135)+1,"-")</f>
        <v>139</v>
      </c>
      <c r="S135" s="52" t="n">
        <f aca="false">COUNTIFS($C$5:$C$254,C135,$K$5:$K$254,"&gt;"&amp;K135)+1</f>
        <v>6</v>
      </c>
      <c r="T135" s="52" t="n">
        <f aca="false">IF(AND(OR(Dashboard!$C$7="All",D135=Dashboard!$C$7),OR(Dashboard!$C$8="All",C135=Dashboard!$C$8)),1,0)</f>
        <v>1</v>
      </c>
      <c r="U135" s="74" t="n">
        <f aca="false">IF(T135=1,K135+ROW()/1000000,-1)</f>
        <v>0.000135</v>
      </c>
      <c r="V135" s="74" t="n">
        <f aca="false">IF(AND(T135=1,E135="Production"),K135+ROW()/1000000,1000000000)</f>
        <v>1000000000</v>
      </c>
      <c r="W135" s="52" t="n">
        <f aca="false">SUMPRODUCT(MAX((Sales_Data!$F$2:$F$3520=A135)*Sales_Data!$C$2:$C$3520))</f>
        <v>0</v>
      </c>
    </row>
    <row r="136" customFormat="false" ht="15" hidden="false" customHeight="false" outlineLevel="0" collapsed="false">
      <c r="A136" s="53" t="s">
        <v>6664</v>
      </c>
      <c r="B136" s="48" t="s">
        <v>6665</v>
      </c>
      <c r="C136" s="53" t="s">
        <v>54</v>
      </c>
      <c r="D136" s="53" t="s">
        <v>49</v>
      </c>
      <c r="E136" s="53" t="s">
        <v>3708</v>
      </c>
      <c r="F136" s="53" t="s">
        <v>209</v>
      </c>
      <c r="G136" s="53" t="s">
        <v>6524</v>
      </c>
      <c r="H136" s="26" t="n">
        <f aca="false">SUMIFS(Sales_Data!$AE$2:$AE$3520,Sales_Data!$F$2:$F$3520,$A136,Sales_Data!$C$2:$C$3520,"&gt;="&amp;Dashboard!$C$5,Sales_Data!$C$2:$C$3520,"&lt;="&amp;Dashboard!$C$6)</f>
        <v>0</v>
      </c>
      <c r="I136" s="26" t="n">
        <f aca="false">SUMIFS(Sales_Data!$M$2:$M$3520,Sales_Data!$F$2:$F$3520,$A136,Sales_Data!$C$2:$C$3520,"&gt;="&amp;Dashboard!$C$5,Sales_Data!$C$2:$C$3520,"&lt;="&amp;Dashboard!$C$6,Sales_Data!$AE$2:$AE$3520,1)</f>
        <v>0</v>
      </c>
      <c r="J136" s="26" t="n">
        <f aca="false">SUMIFS(Sales_Data!$N$2:$N$3520,Sales_Data!$F$2:$F$3520,$A136,Sales_Data!$C$2:$C$3520,"&gt;="&amp;Dashboard!$C$5,Sales_Data!$C$2:$C$3520,"&lt;="&amp;Dashboard!$C$6,Sales_Data!$AE$2:$AE$3520,1)</f>
        <v>0</v>
      </c>
      <c r="K136" s="27" t="n">
        <f aca="false">SUMIFS(Sales_Data!$O$2:$O$3520,Sales_Data!$F$2:$F$3520,$A136,Sales_Data!$C$2:$C$3520,"&gt;="&amp;Dashboard!$C$5,Sales_Data!$C$2:$C$3520,"&lt;="&amp;Dashboard!$C$6,Sales_Data!$AE$2:$AE$3520,1)</f>
        <v>0</v>
      </c>
      <c r="L136" s="26" t="n">
        <f aca="false">SUMIFS(Sales_Data!$AF$2:$AF$3520,Sales_Data!$F$2:$F$3520,$A136,Sales_Data!$C$2:$C$3520,"&gt;="&amp;Dashboard!$C$5,Sales_Data!$C$2:$C$3520,"&lt;="&amp;Dashboard!$C$6)</f>
        <v>0</v>
      </c>
      <c r="M136" s="31" t="n">
        <f aca="false">IFERROR(K136/L136,0)</f>
        <v>0</v>
      </c>
      <c r="N136" s="26" t="n">
        <f aca="false">SUMIFS(Sales_Data!$O$2:$O$3520,Sales_Data!$F$2:$F$3520,$A136,Sales_Data!$C$2:$C$3520,"&gt;="&amp;Dashboard!$C$12,Sales_Data!$C$2:$C$3520,"&lt;="&amp;Dashboard!$C$13,Sales_Data!$AE$2:$AE$3520,1)</f>
        <v>0</v>
      </c>
      <c r="O136" s="28" t="n">
        <f aca="false">K136-N136</f>
        <v>0</v>
      </c>
      <c r="P136" s="54" t="str">
        <f aca="false">IF(W136=0,"-",W136)</f>
        <v>-</v>
      </c>
      <c r="Q136" s="52" t="str">
        <f aca="false">IF(W136=0,"-",$B$2-W136)</f>
        <v>-</v>
      </c>
      <c r="R136" s="52" t="n">
        <f aca="false">IF(T136=1,COUNTIFS($T$5:$T$254,1,$K$5:$K$254,"&gt;"&amp;K136)+1,"-")</f>
        <v>139</v>
      </c>
      <c r="S136" s="52" t="n">
        <f aca="false">COUNTIFS($C$5:$C$254,C136,$K$5:$K$254,"&gt;"&amp;K136)+1</f>
        <v>6</v>
      </c>
      <c r="T136" s="52" t="n">
        <f aca="false">IF(AND(OR(Dashboard!$C$7="All",D136=Dashboard!$C$7),OR(Dashboard!$C$8="All",C136=Dashboard!$C$8)),1,0)</f>
        <v>1</v>
      </c>
      <c r="U136" s="74" t="n">
        <f aca="false">IF(T136=1,K136+ROW()/1000000,-1)</f>
        <v>0.000136</v>
      </c>
      <c r="V136" s="74" t="n">
        <f aca="false">IF(AND(T136=1,E136="Production"),K136+ROW()/1000000,1000000000)</f>
        <v>1000000000</v>
      </c>
      <c r="W136" s="52" t="n">
        <f aca="false">SUMPRODUCT(MAX((Sales_Data!$F$2:$F$3520=A136)*Sales_Data!$C$2:$C$3520))</f>
        <v>0</v>
      </c>
    </row>
    <row r="137" customFormat="false" ht="15" hidden="false" customHeight="false" outlineLevel="0" collapsed="false">
      <c r="A137" s="53" t="s">
        <v>6115</v>
      </c>
      <c r="B137" s="48" t="s">
        <v>6116</v>
      </c>
      <c r="C137" s="53" t="s">
        <v>54</v>
      </c>
      <c r="D137" s="53" t="s">
        <v>49</v>
      </c>
      <c r="E137" s="53" t="s">
        <v>3708</v>
      </c>
      <c r="F137" s="53" t="s">
        <v>209</v>
      </c>
      <c r="G137" s="53" t="s">
        <v>6524</v>
      </c>
      <c r="H137" s="26" t="n">
        <f aca="false">SUMIFS(Sales_Data!$AE$2:$AE$3520,Sales_Data!$F$2:$F$3520,$A137,Sales_Data!$C$2:$C$3520,"&gt;="&amp;Dashboard!$C$5,Sales_Data!$C$2:$C$3520,"&lt;="&amp;Dashboard!$C$6)</f>
        <v>3</v>
      </c>
      <c r="I137" s="26" t="n">
        <f aca="false">SUMIFS(Sales_Data!$M$2:$M$3520,Sales_Data!$F$2:$F$3520,$A137,Sales_Data!$C$2:$C$3520,"&gt;="&amp;Dashboard!$C$5,Sales_Data!$C$2:$C$3520,"&lt;="&amp;Dashboard!$C$6,Sales_Data!$AE$2:$AE$3520,1)</f>
        <v>1</v>
      </c>
      <c r="J137" s="26" t="n">
        <f aca="false">SUMIFS(Sales_Data!$N$2:$N$3520,Sales_Data!$F$2:$F$3520,$A137,Sales_Data!$C$2:$C$3520,"&gt;="&amp;Dashboard!$C$5,Sales_Data!$C$2:$C$3520,"&lt;="&amp;Dashboard!$C$6,Sales_Data!$AE$2:$AE$3520,1)</f>
        <v>3</v>
      </c>
      <c r="K137" s="27" t="n">
        <f aca="false">SUMIFS(Sales_Data!$O$2:$O$3520,Sales_Data!$F$2:$F$3520,$A137,Sales_Data!$C$2:$C$3520,"&gt;="&amp;Dashboard!$C$5,Sales_Data!$C$2:$C$3520,"&lt;="&amp;Dashboard!$C$6,Sales_Data!$AE$2:$AE$3520,1)</f>
        <v>4</v>
      </c>
      <c r="L137" s="26" t="n">
        <f aca="false">SUMIFS(Sales_Data!$AF$2:$AF$3520,Sales_Data!$F$2:$F$3520,$A137,Sales_Data!$C$2:$C$3520,"&gt;="&amp;Dashboard!$C$5,Sales_Data!$C$2:$C$3520,"&lt;="&amp;Dashboard!$C$6)</f>
        <v>1</v>
      </c>
      <c r="M137" s="31" t="n">
        <f aca="false">IFERROR(K137/L137,0)</f>
        <v>4</v>
      </c>
      <c r="N137" s="26" t="n">
        <f aca="false">SUMIFS(Sales_Data!$O$2:$O$3520,Sales_Data!$F$2:$F$3520,$A137,Sales_Data!$C$2:$C$3520,"&gt;="&amp;Dashboard!$C$12,Sales_Data!$C$2:$C$3520,"&lt;="&amp;Dashboard!$C$13,Sales_Data!$AE$2:$AE$3520,1)</f>
        <v>0</v>
      </c>
      <c r="O137" s="28" t="n">
        <f aca="false">K137-N137</f>
        <v>4</v>
      </c>
      <c r="P137" s="54" t="n">
        <f aca="false">IF(W137=0,"-",W137)</f>
        <v>46302</v>
      </c>
      <c r="Q137" s="52" t="n">
        <f aca="false">IF(W137=0,"-",$B$2-W137)</f>
        <v>1</v>
      </c>
      <c r="R137" s="52" t="n">
        <f aca="false">IF(T137=1,COUNTIFS($T$5:$T$254,1,$K$5:$K$254,"&gt;"&amp;K137)+1,"-")</f>
        <v>39</v>
      </c>
      <c r="S137" s="52" t="n">
        <f aca="false">COUNTIFS($C$5:$C$254,C137,$K$5:$K$254,"&gt;"&amp;K137)+1</f>
        <v>1</v>
      </c>
      <c r="T137" s="52" t="n">
        <f aca="false">IF(AND(OR(Dashboard!$C$7="All",D137=Dashboard!$C$7),OR(Dashboard!$C$8="All",C137=Dashboard!$C$8)),1,0)</f>
        <v>1</v>
      </c>
      <c r="U137" s="74" t="n">
        <f aca="false">IF(T137=1,K137+ROW()/1000000,-1)</f>
        <v>4.000137</v>
      </c>
      <c r="V137" s="74" t="n">
        <f aca="false">IF(AND(T137=1,E137="Production"),K137+ROW()/1000000,1000000000)</f>
        <v>1000000000</v>
      </c>
      <c r="W137" s="52" t="n">
        <f aca="false">SUMPRODUCT(MAX((Sales_Data!$F$2:$F$3520=A137)*Sales_Data!$C$2:$C$3520))</f>
        <v>46302</v>
      </c>
    </row>
    <row r="138" customFormat="false" ht="15" hidden="false" customHeight="false" outlineLevel="0" collapsed="false">
      <c r="A138" s="53" t="s">
        <v>6119</v>
      </c>
      <c r="B138" s="48" t="s">
        <v>6120</v>
      </c>
      <c r="C138" s="53" t="s">
        <v>54</v>
      </c>
      <c r="D138" s="53" t="s">
        <v>49</v>
      </c>
      <c r="E138" s="53" t="s">
        <v>3708</v>
      </c>
      <c r="F138" s="53" t="s">
        <v>209</v>
      </c>
      <c r="G138" s="53" t="s">
        <v>6524</v>
      </c>
      <c r="H138" s="26" t="n">
        <f aca="false">SUMIFS(Sales_Data!$AE$2:$AE$3520,Sales_Data!$F$2:$F$3520,$A138,Sales_Data!$C$2:$C$3520,"&gt;="&amp;Dashboard!$C$5,Sales_Data!$C$2:$C$3520,"&lt;="&amp;Dashboard!$C$6)</f>
        <v>2</v>
      </c>
      <c r="I138" s="26" t="n">
        <f aca="false">SUMIFS(Sales_Data!$M$2:$M$3520,Sales_Data!$F$2:$F$3520,$A138,Sales_Data!$C$2:$C$3520,"&gt;="&amp;Dashboard!$C$5,Sales_Data!$C$2:$C$3520,"&lt;="&amp;Dashboard!$C$6,Sales_Data!$AE$2:$AE$3520,1)</f>
        <v>1</v>
      </c>
      <c r="J138" s="26" t="n">
        <f aca="false">SUMIFS(Sales_Data!$N$2:$N$3520,Sales_Data!$F$2:$F$3520,$A138,Sales_Data!$C$2:$C$3520,"&gt;="&amp;Dashboard!$C$5,Sales_Data!$C$2:$C$3520,"&lt;="&amp;Dashboard!$C$6,Sales_Data!$AE$2:$AE$3520,1)</f>
        <v>1</v>
      </c>
      <c r="K138" s="27" t="n">
        <f aca="false">SUMIFS(Sales_Data!$O$2:$O$3520,Sales_Data!$F$2:$F$3520,$A138,Sales_Data!$C$2:$C$3520,"&gt;="&amp;Dashboard!$C$5,Sales_Data!$C$2:$C$3520,"&lt;="&amp;Dashboard!$C$6,Sales_Data!$AE$2:$AE$3520,1)</f>
        <v>2</v>
      </c>
      <c r="L138" s="26" t="n">
        <f aca="false">SUMIFS(Sales_Data!$AF$2:$AF$3520,Sales_Data!$F$2:$F$3520,$A138,Sales_Data!$C$2:$C$3520,"&gt;="&amp;Dashboard!$C$5,Sales_Data!$C$2:$C$3520,"&lt;="&amp;Dashboard!$C$6)</f>
        <v>1</v>
      </c>
      <c r="M138" s="31" t="n">
        <f aca="false">IFERROR(K138/L138,0)</f>
        <v>2</v>
      </c>
      <c r="N138" s="26" t="n">
        <f aca="false">SUMIFS(Sales_Data!$O$2:$O$3520,Sales_Data!$F$2:$F$3520,$A138,Sales_Data!$C$2:$C$3520,"&gt;="&amp;Dashboard!$C$12,Sales_Data!$C$2:$C$3520,"&lt;="&amp;Dashboard!$C$13,Sales_Data!$AE$2:$AE$3520,1)</f>
        <v>0</v>
      </c>
      <c r="O138" s="28" t="n">
        <f aca="false">K138-N138</f>
        <v>2</v>
      </c>
      <c r="P138" s="54" t="n">
        <f aca="false">IF(W138=0,"-",W138)</f>
        <v>46302</v>
      </c>
      <c r="Q138" s="52" t="n">
        <f aca="false">IF(W138=0,"-",$B$2-W138)</f>
        <v>1</v>
      </c>
      <c r="R138" s="52" t="n">
        <f aca="false">IF(T138=1,COUNTIFS($T$5:$T$254,1,$K$5:$K$254,"&gt;"&amp;K138)+1,"-")</f>
        <v>84</v>
      </c>
      <c r="S138" s="52" t="n">
        <f aca="false">COUNTIFS($C$5:$C$254,C138,$K$5:$K$254,"&gt;"&amp;K138)+1</f>
        <v>2</v>
      </c>
      <c r="T138" s="52" t="n">
        <f aca="false">IF(AND(OR(Dashboard!$C$7="All",D138=Dashboard!$C$7),OR(Dashboard!$C$8="All",C138=Dashboard!$C$8)),1,0)</f>
        <v>1</v>
      </c>
      <c r="U138" s="74" t="n">
        <f aca="false">IF(T138=1,K138+ROW()/1000000,-1)</f>
        <v>2.000138</v>
      </c>
      <c r="V138" s="74" t="n">
        <f aca="false">IF(AND(T138=1,E138="Production"),K138+ROW()/1000000,1000000000)</f>
        <v>1000000000</v>
      </c>
      <c r="W138" s="52" t="n">
        <f aca="false">SUMPRODUCT(MAX((Sales_Data!$F$2:$F$3520=A138)*Sales_Data!$C$2:$C$3520))</f>
        <v>46302</v>
      </c>
    </row>
    <row r="139" customFormat="false" ht="15" hidden="false" customHeight="false" outlineLevel="0" collapsed="false">
      <c r="A139" s="53" t="s">
        <v>6354</v>
      </c>
      <c r="B139" s="48" t="s">
        <v>6355</v>
      </c>
      <c r="C139" s="53" t="s">
        <v>54</v>
      </c>
      <c r="D139" s="53" t="s">
        <v>49</v>
      </c>
      <c r="E139" s="53" t="s">
        <v>3708</v>
      </c>
      <c r="F139" s="53" t="s">
        <v>209</v>
      </c>
      <c r="G139" s="53" t="s">
        <v>6524</v>
      </c>
      <c r="H139" s="26" t="n">
        <f aca="false">SUMIFS(Sales_Data!$AE$2:$AE$3520,Sales_Data!$F$2:$F$3520,$A139,Sales_Data!$C$2:$C$3520,"&gt;="&amp;Dashboard!$C$5,Sales_Data!$C$2:$C$3520,"&lt;="&amp;Dashboard!$C$6)</f>
        <v>1</v>
      </c>
      <c r="I139" s="26" t="n">
        <f aca="false">SUMIFS(Sales_Data!$M$2:$M$3520,Sales_Data!$F$2:$F$3520,$A139,Sales_Data!$C$2:$C$3520,"&gt;="&amp;Dashboard!$C$5,Sales_Data!$C$2:$C$3520,"&lt;="&amp;Dashboard!$C$6,Sales_Data!$AE$2:$AE$3520,1)</f>
        <v>0</v>
      </c>
      <c r="J139" s="26" t="n">
        <f aca="false">SUMIFS(Sales_Data!$N$2:$N$3520,Sales_Data!$F$2:$F$3520,$A139,Sales_Data!$C$2:$C$3520,"&gt;="&amp;Dashboard!$C$5,Sales_Data!$C$2:$C$3520,"&lt;="&amp;Dashboard!$C$6,Sales_Data!$AE$2:$AE$3520,1)</f>
        <v>2</v>
      </c>
      <c r="K139" s="27" t="n">
        <f aca="false">SUMIFS(Sales_Data!$O$2:$O$3520,Sales_Data!$F$2:$F$3520,$A139,Sales_Data!$C$2:$C$3520,"&gt;="&amp;Dashboard!$C$5,Sales_Data!$C$2:$C$3520,"&lt;="&amp;Dashboard!$C$6,Sales_Data!$AE$2:$AE$3520,1)</f>
        <v>2</v>
      </c>
      <c r="L139" s="26" t="n">
        <f aca="false">SUMIFS(Sales_Data!$AF$2:$AF$3520,Sales_Data!$F$2:$F$3520,$A139,Sales_Data!$C$2:$C$3520,"&gt;="&amp;Dashboard!$C$5,Sales_Data!$C$2:$C$3520,"&lt;="&amp;Dashboard!$C$6)</f>
        <v>1</v>
      </c>
      <c r="M139" s="31" t="n">
        <f aca="false">IFERROR(K139/L139,0)</f>
        <v>2</v>
      </c>
      <c r="N139" s="26" t="n">
        <f aca="false">SUMIFS(Sales_Data!$O$2:$O$3520,Sales_Data!$F$2:$F$3520,$A139,Sales_Data!$C$2:$C$3520,"&gt;="&amp;Dashboard!$C$12,Sales_Data!$C$2:$C$3520,"&lt;="&amp;Dashboard!$C$13,Sales_Data!$AE$2:$AE$3520,1)</f>
        <v>0</v>
      </c>
      <c r="O139" s="28" t="n">
        <f aca="false">K139-N139</f>
        <v>2</v>
      </c>
      <c r="P139" s="54" t="n">
        <f aca="false">IF(W139=0,"-",W139)</f>
        <v>46303</v>
      </c>
      <c r="Q139" s="52" t="n">
        <f aca="false">IF(W139=0,"-",$B$2-W139)</f>
        <v>0</v>
      </c>
      <c r="R139" s="52" t="n">
        <f aca="false">IF(T139=1,COUNTIFS($T$5:$T$254,1,$K$5:$K$254,"&gt;"&amp;K139)+1,"-")</f>
        <v>84</v>
      </c>
      <c r="S139" s="52" t="n">
        <f aca="false">COUNTIFS($C$5:$C$254,C139,$K$5:$K$254,"&gt;"&amp;K139)+1</f>
        <v>2</v>
      </c>
      <c r="T139" s="52" t="n">
        <f aca="false">IF(AND(OR(Dashboard!$C$7="All",D139=Dashboard!$C$7),OR(Dashboard!$C$8="All",C139=Dashboard!$C$8)),1,0)</f>
        <v>1</v>
      </c>
      <c r="U139" s="74" t="n">
        <f aca="false">IF(T139=1,K139+ROW()/1000000,-1)</f>
        <v>2.000139</v>
      </c>
      <c r="V139" s="74" t="n">
        <f aca="false">IF(AND(T139=1,E139="Production"),K139+ROW()/1000000,1000000000)</f>
        <v>1000000000</v>
      </c>
      <c r="W139" s="52" t="n">
        <f aca="false">SUMPRODUCT(MAX((Sales_Data!$F$2:$F$3520=A139)*Sales_Data!$C$2:$C$3520))</f>
        <v>46303</v>
      </c>
    </row>
    <row r="140" customFormat="false" ht="15" hidden="false" customHeight="false" outlineLevel="0" collapsed="false">
      <c r="A140" s="53" t="s">
        <v>6670</v>
      </c>
      <c r="B140" s="48" t="s">
        <v>6671</v>
      </c>
      <c r="C140" s="53" t="s">
        <v>54</v>
      </c>
      <c r="D140" s="53" t="s">
        <v>49</v>
      </c>
      <c r="E140" s="53" t="s">
        <v>3708</v>
      </c>
      <c r="F140" s="53" t="s">
        <v>209</v>
      </c>
      <c r="G140" s="53" t="s">
        <v>6524</v>
      </c>
      <c r="H140" s="26" t="n">
        <f aca="false">SUMIFS(Sales_Data!$AE$2:$AE$3520,Sales_Data!$F$2:$F$3520,$A140,Sales_Data!$C$2:$C$3520,"&gt;="&amp;Dashboard!$C$5,Sales_Data!$C$2:$C$3520,"&lt;="&amp;Dashboard!$C$6)</f>
        <v>0</v>
      </c>
      <c r="I140" s="26" t="n">
        <f aca="false">SUMIFS(Sales_Data!$M$2:$M$3520,Sales_Data!$F$2:$F$3520,$A140,Sales_Data!$C$2:$C$3520,"&gt;="&amp;Dashboard!$C$5,Sales_Data!$C$2:$C$3520,"&lt;="&amp;Dashboard!$C$6,Sales_Data!$AE$2:$AE$3520,1)</f>
        <v>0</v>
      </c>
      <c r="J140" s="26" t="n">
        <f aca="false">SUMIFS(Sales_Data!$N$2:$N$3520,Sales_Data!$F$2:$F$3520,$A140,Sales_Data!$C$2:$C$3520,"&gt;="&amp;Dashboard!$C$5,Sales_Data!$C$2:$C$3520,"&lt;="&amp;Dashboard!$C$6,Sales_Data!$AE$2:$AE$3520,1)</f>
        <v>0</v>
      </c>
      <c r="K140" s="27" t="n">
        <f aca="false">SUMIFS(Sales_Data!$O$2:$O$3520,Sales_Data!$F$2:$F$3520,$A140,Sales_Data!$C$2:$C$3520,"&gt;="&amp;Dashboard!$C$5,Sales_Data!$C$2:$C$3520,"&lt;="&amp;Dashboard!$C$6,Sales_Data!$AE$2:$AE$3520,1)</f>
        <v>0</v>
      </c>
      <c r="L140" s="26" t="n">
        <f aca="false">SUMIFS(Sales_Data!$AF$2:$AF$3520,Sales_Data!$F$2:$F$3520,$A140,Sales_Data!$C$2:$C$3520,"&gt;="&amp;Dashboard!$C$5,Sales_Data!$C$2:$C$3520,"&lt;="&amp;Dashboard!$C$6)</f>
        <v>0</v>
      </c>
      <c r="M140" s="31" t="n">
        <f aca="false">IFERROR(K140/L140,0)</f>
        <v>0</v>
      </c>
      <c r="N140" s="26" t="n">
        <f aca="false">SUMIFS(Sales_Data!$O$2:$O$3520,Sales_Data!$F$2:$F$3520,$A140,Sales_Data!$C$2:$C$3520,"&gt;="&amp;Dashboard!$C$12,Sales_Data!$C$2:$C$3520,"&lt;="&amp;Dashboard!$C$13,Sales_Data!$AE$2:$AE$3520,1)</f>
        <v>0</v>
      </c>
      <c r="O140" s="28" t="n">
        <f aca="false">K140-N140</f>
        <v>0</v>
      </c>
      <c r="P140" s="54" t="str">
        <f aca="false">IF(W140=0,"-",W140)</f>
        <v>-</v>
      </c>
      <c r="Q140" s="52" t="str">
        <f aca="false">IF(W140=0,"-",$B$2-W140)</f>
        <v>-</v>
      </c>
      <c r="R140" s="52" t="n">
        <f aca="false">IF(T140=1,COUNTIFS($T$5:$T$254,1,$K$5:$K$254,"&gt;"&amp;K140)+1,"-")</f>
        <v>139</v>
      </c>
      <c r="S140" s="52" t="n">
        <f aca="false">COUNTIFS($C$5:$C$254,C140,$K$5:$K$254,"&gt;"&amp;K140)+1</f>
        <v>6</v>
      </c>
      <c r="T140" s="52" t="n">
        <f aca="false">IF(AND(OR(Dashboard!$C$7="All",D140=Dashboard!$C$7),OR(Dashboard!$C$8="All",C140=Dashboard!$C$8)),1,0)</f>
        <v>1</v>
      </c>
      <c r="U140" s="74" t="n">
        <f aca="false">IF(T140=1,K140+ROW()/1000000,-1)</f>
        <v>0.00014</v>
      </c>
      <c r="V140" s="74" t="n">
        <f aca="false">IF(AND(T140=1,E140="Production"),K140+ROW()/1000000,1000000000)</f>
        <v>1000000000</v>
      </c>
      <c r="W140" s="52" t="n">
        <f aca="false">SUMPRODUCT(MAX((Sales_Data!$F$2:$F$3520=A140)*Sales_Data!$C$2:$C$3520))</f>
        <v>0</v>
      </c>
    </row>
    <row r="141" customFormat="false" ht="15" hidden="false" customHeight="false" outlineLevel="0" collapsed="false">
      <c r="A141" s="53" t="s">
        <v>5250</v>
      </c>
      <c r="B141" s="48" t="s">
        <v>5251</v>
      </c>
      <c r="C141" s="53" t="s">
        <v>55</v>
      </c>
      <c r="D141" s="53" t="s">
        <v>49</v>
      </c>
      <c r="E141" s="53" t="s">
        <v>3708</v>
      </c>
      <c r="F141" s="53" t="s">
        <v>209</v>
      </c>
      <c r="G141" s="53" t="s">
        <v>6674</v>
      </c>
      <c r="H141" s="26" t="n">
        <f aca="false">SUMIFS(Sales_Data!$AE$2:$AE$3520,Sales_Data!$F$2:$F$3520,$A141,Sales_Data!$C$2:$C$3520,"&gt;="&amp;Dashboard!$C$5,Sales_Data!$C$2:$C$3520,"&lt;="&amp;Dashboard!$C$6)</f>
        <v>5</v>
      </c>
      <c r="I141" s="26" t="n">
        <f aca="false">SUMIFS(Sales_Data!$M$2:$M$3520,Sales_Data!$F$2:$F$3520,$A141,Sales_Data!$C$2:$C$3520,"&gt;="&amp;Dashboard!$C$5,Sales_Data!$C$2:$C$3520,"&lt;="&amp;Dashboard!$C$6,Sales_Data!$AE$2:$AE$3520,1)</f>
        <v>0</v>
      </c>
      <c r="J141" s="26" t="n">
        <f aca="false">SUMIFS(Sales_Data!$N$2:$N$3520,Sales_Data!$F$2:$F$3520,$A141,Sales_Data!$C$2:$C$3520,"&gt;="&amp;Dashboard!$C$5,Sales_Data!$C$2:$C$3520,"&lt;="&amp;Dashboard!$C$6,Sales_Data!$AE$2:$AE$3520,1)</f>
        <v>6</v>
      </c>
      <c r="K141" s="27" t="n">
        <f aca="false">SUMIFS(Sales_Data!$O$2:$O$3520,Sales_Data!$F$2:$F$3520,$A141,Sales_Data!$C$2:$C$3520,"&gt;="&amp;Dashboard!$C$5,Sales_Data!$C$2:$C$3520,"&lt;="&amp;Dashboard!$C$6,Sales_Data!$AE$2:$AE$3520,1)</f>
        <v>6</v>
      </c>
      <c r="L141" s="26" t="n">
        <f aca="false">SUMIFS(Sales_Data!$AF$2:$AF$3520,Sales_Data!$F$2:$F$3520,$A141,Sales_Data!$C$2:$C$3520,"&gt;="&amp;Dashboard!$C$5,Sales_Data!$C$2:$C$3520,"&lt;="&amp;Dashboard!$C$6)</f>
        <v>4</v>
      </c>
      <c r="M141" s="31" t="n">
        <f aca="false">IFERROR(K141/L141,0)</f>
        <v>1.5</v>
      </c>
      <c r="N141" s="26" t="n">
        <f aca="false">SUMIFS(Sales_Data!$O$2:$O$3520,Sales_Data!$F$2:$F$3520,$A141,Sales_Data!$C$2:$C$3520,"&gt;="&amp;Dashboard!$C$12,Sales_Data!$C$2:$C$3520,"&lt;="&amp;Dashboard!$C$13,Sales_Data!$AE$2:$AE$3520,1)</f>
        <v>7</v>
      </c>
      <c r="O141" s="28" t="n">
        <f aca="false">K141-N141</f>
        <v>-1</v>
      </c>
      <c r="P141" s="54" t="n">
        <f aca="false">IF(W141=0,"-",W141)</f>
        <v>46303</v>
      </c>
      <c r="Q141" s="52" t="n">
        <f aca="false">IF(W141=0,"-",$B$2-W141)</f>
        <v>0</v>
      </c>
      <c r="R141" s="52" t="n">
        <f aca="false">IF(T141=1,COUNTIFS($T$5:$T$254,1,$K$5:$K$254,"&gt;"&amp;K141)+1,"-")</f>
        <v>17</v>
      </c>
      <c r="S141" s="52" t="n">
        <f aca="false">COUNTIFS($C$5:$C$254,C141,$K$5:$K$254,"&gt;"&amp;K141)+1</f>
        <v>3</v>
      </c>
      <c r="T141" s="52" t="n">
        <f aca="false">IF(AND(OR(Dashboard!$C$7="All",D141=Dashboard!$C$7),OR(Dashboard!$C$8="All",C141=Dashboard!$C$8)),1,0)</f>
        <v>1</v>
      </c>
      <c r="U141" s="74" t="n">
        <f aca="false">IF(T141=1,K141+ROW()/1000000,-1)</f>
        <v>6.000141</v>
      </c>
      <c r="V141" s="74" t="n">
        <f aca="false">IF(AND(T141=1,E141="Production"),K141+ROW()/1000000,1000000000)</f>
        <v>1000000000</v>
      </c>
      <c r="W141" s="52" t="n">
        <f aca="false">SUMPRODUCT(MAX((Sales_Data!$F$2:$F$3520=A141)*Sales_Data!$C$2:$C$3520))</f>
        <v>46303</v>
      </c>
    </row>
    <row r="142" customFormat="false" ht="15" hidden="false" customHeight="false" outlineLevel="0" collapsed="false">
      <c r="A142" s="53" t="s">
        <v>5241</v>
      </c>
      <c r="B142" s="48" t="s">
        <v>5242</v>
      </c>
      <c r="C142" s="53" t="s">
        <v>55</v>
      </c>
      <c r="D142" s="53" t="s">
        <v>49</v>
      </c>
      <c r="E142" s="53" t="s">
        <v>3708</v>
      </c>
      <c r="F142" s="53" t="s">
        <v>209</v>
      </c>
      <c r="G142" s="53" t="s">
        <v>6674</v>
      </c>
      <c r="H142" s="26" t="n">
        <f aca="false">SUMIFS(Sales_Data!$AE$2:$AE$3520,Sales_Data!$F$2:$F$3520,$A142,Sales_Data!$C$2:$C$3520,"&gt;="&amp;Dashboard!$C$5,Sales_Data!$C$2:$C$3520,"&lt;="&amp;Dashboard!$C$6)</f>
        <v>5</v>
      </c>
      <c r="I142" s="26" t="n">
        <f aca="false">SUMIFS(Sales_Data!$M$2:$M$3520,Sales_Data!$F$2:$F$3520,$A142,Sales_Data!$C$2:$C$3520,"&gt;="&amp;Dashboard!$C$5,Sales_Data!$C$2:$C$3520,"&lt;="&amp;Dashboard!$C$6,Sales_Data!$AE$2:$AE$3520,1)</f>
        <v>1</v>
      </c>
      <c r="J142" s="26" t="n">
        <f aca="false">SUMIFS(Sales_Data!$N$2:$N$3520,Sales_Data!$F$2:$F$3520,$A142,Sales_Data!$C$2:$C$3520,"&gt;="&amp;Dashboard!$C$5,Sales_Data!$C$2:$C$3520,"&lt;="&amp;Dashboard!$C$6,Sales_Data!$AE$2:$AE$3520,1)</f>
        <v>4</v>
      </c>
      <c r="K142" s="27" t="n">
        <f aca="false">SUMIFS(Sales_Data!$O$2:$O$3520,Sales_Data!$F$2:$F$3520,$A142,Sales_Data!$C$2:$C$3520,"&gt;="&amp;Dashboard!$C$5,Sales_Data!$C$2:$C$3520,"&lt;="&amp;Dashboard!$C$6,Sales_Data!$AE$2:$AE$3520,1)</f>
        <v>5</v>
      </c>
      <c r="L142" s="26" t="n">
        <f aca="false">SUMIFS(Sales_Data!$AF$2:$AF$3520,Sales_Data!$F$2:$F$3520,$A142,Sales_Data!$C$2:$C$3520,"&gt;="&amp;Dashboard!$C$5,Sales_Data!$C$2:$C$3520,"&lt;="&amp;Dashboard!$C$6)</f>
        <v>3</v>
      </c>
      <c r="M142" s="31" t="n">
        <f aca="false">IFERROR(K142/L142,0)</f>
        <v>1.66666666666667</v>
      </c>
      <c r="N142" s="26" t="n">
        <f aca="false">SUMIFS(Sales_Data!$O$2:$O$3520,Sales_Data!$F$2:$F$3520,$A142,Sales_Data!$C$2:$C$3520,"&gt;="&amp;Dashboard!$C$12,Sales_Data!$C$2:$C$3520,"&lt;="&amp;Dashboard!$C$13,Sales_Data!$AE$2:$AE$3520,1)</f>
        <v>4</v>
      </c>
      <c r="O142" s="28" t="n">
        <f aca="false">K142-N142</f>
        <v>1</v>
      </c>
      <c r="P142" s="54" t="n">
        <f aca="false">IF(W142=0,"-",W142)</f>
        <v>46302</v>
      </c>
      <c r="Q142" s="52" t="n">
        <f aca="false">IF(W142=0,"-",$B$2-W142)</f>
        <v>1</v>
      </c>
      <c r="R142" s="52" t="n">
        <f aca="false">IF(T142=1,COUNTIFS($T$5:$T$254,1,$K$5:$K$254,"&gt;"&amp;K142)+1,"-")</f>
        <v>28</v>
      </c>
      <c r="S142" s="52" t="n">
        <f aca="false">COUNTIFS($C$5:$C$254,C142,$K$5:$K$254,"&gt;"&amp;K142)+1</f>
        <v>6</v>
      </c>
      <c r="T142" s="52" t="n">
        <f aca="false">IF(AND(OR(Dashboard!$C$7="All",D142=Dashboard!$C$7),OR(Dashboard!$C$8="All",C142=Dashboard!$C$8)),1,0)</f>
        <v>1</v>
      </c>
      <c r="U142" s="74" t="n">
        <f aca="false">IF(T142=1,K142+ROW()/1000000,-1)</f>
        <v>5.000142</v>
      </c>
      <c r="V142" s="74" t="n">
        <f aca="false">IF(AND(T142=1,E142="Production"),K142+ROW()/1000000,1000000000)</f>
        <v>1000000000</v>
      </c>
      <c r="W142" s="52" t="n">
        <f aca="false">SUMPRODUCT(MAX((Sales_Data!$F$2:$F$3520=A142)*Sales_Data!$C$2:$C$3520))</f>
        <v>46302</v>
      </c>
    </row>
    <row r="143" customFormat="false" ht="15" hidden="false" customHeight="false" outlineLevel="0" collapsed="false">
      <c r="A143" s="53" t="s">
        <v>3714</v>
      </c>
      <c r="B143" s="48" t="s">
        <v>3715</v>
      </c>
      <c r="C143" s="53" t="s">
        <v>55</v>
      </c>
      <c r="D143" s="53" t="s">
        <v>49</v>
      </c>
      <c r="E143" s="53" t="s">
        <v>3708</v>
      </c>
      <c r="F143" s="53" t="s">
        <v>209</v>
      </c>
      <c r="G143" s="53" t="s">
        <v>6674</v>
      </c>
      <c r="H143" s="26" t="n">
        <f aca="false">SUMIFS(Sales_Data!$AE$2:$AE$3520,Sales_Data!$F$2:$F$3520,$A143,Sales_Data!$C$2:$C$3520,"&gt;="&amp;Dashboard!$C$5,Sales_Data!$C$2:$C$3520,"&lt;="&amp;Dashboard!$C$6)</f>
        <v>5</v>
      </c>
      <c r="I143" s="26" t="n">
        <f aca="false">SUMIFS(Sales_Data!$M$2:$M$3520,Sales_Data!$F$2:$F$3520,$A143,Sales_Data!$C$2:$C$3520,"&gt;="&amp;Dashboard!$C$5,Sales_Data!$C$2:$C$3520,"&lt;="&amp;Dashboard!$C$6,Sales_Data!$AE$2:$AE$3520,1)</f>
        <v>2</v>
      </c>
      <c r="J143" s="26" t="n">
        <f aca="false">SUMIFS(Sales_Data!$N$2:$N$3520,Sales_Data!$F$2:$F$3520,$A143,Sales_Data!$C$2:$C$3520,"&gt;="&amp;Dashboard!$C$5,Sales_Data!$C$2:$C$3520,"&lt;="&amp;Dashboard!$C$6,Sales_Data!$AE$2:$AE$3520,1)</f>
        <v>3</v>
      </c>
      <c r="K143" s="27" t="n">
        <f aca="false">SUMIFS(Sales_Data!$O$2:$O$3520,Sales_Data!$F$2:$F$3520,$A143,Sales_Data!$C$2:$C$3520,"&gt;="&amp;Dashboard!$C$5,Sales_Data!$C$2:$C$3520,"&lt;="&amp;Dashboard!$C$6,Sales_Data!$AE$2:$AE$3520,1)</f>
        <v>5</v>
      </c>
      <c r="L143" s="26" t="n">
        <f aca="false">SUMIFS(Sales_Data!$AF$2:$AF$3520,Sales_Data!$F$2:$F$3520,$A143,Sales_Data!$C$2:$C$3520,"&gt;="&amp;Dashboard!$C$5,Sales_Data!$C$2:$C$3520,"&lt;="&amp;Dashboard!$C$6)</f>
        <v>3</v>
      </c>
      <c r="M143" s="31" t="n">
        <f aca="false">IFERROR(K143/L143,0)</f>
        <v>1.66666666666667</v>
      </c>
      <c r="N143" s="26" t="n">
        <f aca="false">SUMIFS(Sales_Data!$O$2:$O$3520,Sales_Data!$F$2:$F$3520,$A143,Sales_Data!$C$2:$C$3520,"&gt;="&amp;Dashboard!$C$12,Sales_Data!$C$2:$C$3520,"&lt;="&amp;Dashboard!$C$13,Sales_Data!$AE$2:$AE$3520,1)</f>
        <v>0</v>
      </c>
      <c r="O143" s="28" t="n">
        <f aca="false">K143-N143</f>
        <v>5</v>
      </c>
      <c r="P143" s="54" t="n">
        <f aca="false">IF(W143=0,"-",W143)</f>
        <v>46303</v>
      </c>
      <c r="Q143" s="52" t="n">
        <f aca="false">IF(W143=0,"-",$B$2-W143)</f>
        <v>0</v>
      </c>
      <c r="R143" s="52" t="n">
        <f aca="false">IF(T143=1,COUNTIFS($T$5:$T$254,1,$K$5:$K$254,"&gt;"&amp;K143)+1,"-")</f>
        <v>28</v>
      </c>
      <c r="S143" s="52" t="n">
        <f aca="false">COUNTIFS($C$5:$C$254,C143,$K$5:$K$254,"&gt;"&amp;K143)+1</f>
        <v>6</v>
      </c>
      <c r="T143" s="52" t="n">
        <f aca="false">IF(AND(OR(Dashboard!$C$7="All",D143=Dashboard!$C$7),OR(Dashboard!$C$8="All",C143=Dashboard!$C$8)),1,0)</f>
        <v>1</v>
      </c>
      <c r="U143" s="74" t="n">
        <f aca="false">IF(T143=1,K143+ROW()/1000000,-1)</f>
        <v>5.000143</v>
      </c>
      <c r="V143" s="74" t="n">
        <f aca="false">IF(AND(T143=1,E143="Production"),K143+ROW()/1000000,1000000000)</f>
        <v>1000000000</v>
      </c>
      <c r="W143" s="52" t="n">
        <f aca="false">SUMPRODUCT(MAX((Sales_Data!$F$2:$F$3520=A143)*Sales_Data!$C$2:$C$3520))</f>
        <v>46303</v>
      </c>
    </row>
    <row r="144" customFormat="false" ht="15" hidden="false" customHeight="false" outlineLevel="0" collapsed="false">
      <c r="A144" s="53" t="s">
        <v>5246</v>
      </c>
      <c r="B144" s="48" t="s">
        <v>5247</v>
      </c>
      <c r="C144" s="53" t="s">
        <v>55</v>
      </c>
      <c r="D144" s="53" t="s">
        <v>49</v>
      </c>
      <c r="E144" s="53" t="s">
        <v>3708</v>
      </c>
      <c r="F144" s="53" t="s">
        <v>209</v>
      </c>
      <c r="G144" s="53" t="s">
        <v>6674</v>
      </c>
      <c r="H144" s="26" t="n">
        <f aca="false">SUMIFS(Sales_Data!$AE$2:$AE$3520,Sales_Data!$F$2:$F$3520,$A144,Sales_Data!$C$2:$C$3520,"&gt;="&amp;Dashboard!$C$5,Sales_Data!$C$2:$C$3520,"&lt;="&amp;Dashboard!$C$6)</f>
        <v>5</v>
      </c>
      <c r="I144" s="26" t="n">
        <f aca="false">SUMIFS(Sales_Data!$M$2:$M$3520,Sales_Data!$F$2:$F$3520,$A144,Sales_Data!$C$2:$C$3520,"&gt;="&amp;Dashboard!$C$5,Sales_Data!$C$2:$C$3520,"&lt;="&amp;Dashboard!$C$6,Sales_Data!$AE$2:$AE$3520,1)</f>
        <v>0</v>
      </c>
      <c r="J144" s="26" t="n">
        <f aca="false">SUMIFS(Sales_Data!$N$2:$N$3520,Sales_Data!$F$2:$F$3520,$A144,Sales_Data!$C$2:$C$3520,"&gt;="&amp;Dashboard!$C$5,Sales_Data!$C$2:$C$3520,"&lt;="&amp;Dashboard!$C$6,Sales_Data!$AE$2:$AE$3520,1)</f>
        <v>6</v>
      </c>
      <c r="K144" s="27" t="n">
        <f aca="false">SUMIFS(Sales_Data!$O$2:$O$3520,Sales_Data!$F$2:$F$3520,$A144,Sales_Data!$C$2:$C$3520,"&gt;="&amp;Dashboard!$C$5,Sales_Data!$C$2:$C$3520,"&lt;="&amp;Dashboard!$C$6,Sales_Data!$AE$2:$AE$3520,1)</f>
        <v>6</v>
      </c>
      <c r="L144" s="26" t="n">
        <f aca="false">SUMIFS(Sales_Data!$AF$2:$AF$3520,Sales_Data!$F$2:$F$3520,$A144,Sales_Data!$C$2:$C$3520,"&gt;="&amp;Dashboard!$C$5,Sales_Data!$C$2:$C$3520,"&lt;="&amp;Dashboard!$C$6)</f>
        <v>4</v>
      </c>
      <c r="M144" s="31" t="n">
        <f aca="false">IFERROR(K144/L144,0)</f>
        <v>1.5</v>
      </c>
      <c r="N144" s="26" t="n">
        <f aca="false">SUMIFS(Sales_Data!$O$2:$O$3520,Sales_Data!$F$2:$F$3520,$A144,Sales_Data!$C$2:$C$3520,"&gt;="&amp;Dashboard!$C$12,Sales_Data!$C$2:$C$3520,"&lt;="&amp;Dashboard!$C$13,Sales_Data!$AE$2:$AE$3520,1)</f>
        <v>3</v>
      </c>
      <c r="O144" s="28" t="n">
        <f aca="false">K144-N144</f>
        <v>3</v>
      </c>
      <c r="P144" s="54" t="n">
        <f aca="false">IF(W144=0,"-",W144)</f>
        <v>46303</v>
      </c>
      <c r="Q144" s="52" t="n">
        <f aca="false">IF(W144=0,"-",$B$2-W144)</f>
        <v>0</v>
      </c>
      <c r="R144" s="52" t="n">
        <f aca="false">IF(T144=1,COUNTIFS($T$5:$T$254,1,$K$5:$K$254,"&gt;"&amp;K144)+1,"-")</f>
        <v>17</v>
      </c>
      <c r="S144" s="52" t="n">
        <f aca="false">COUNTIFS($C$5:$C$254,C144,$K$5:$K$254,"&gt;"&amp;K144)+1</f>
        <v>3</v>
      </c>
      <c r="T144" s="52" t="n">
        <f aca="false">IF(AND(OR(Dashboard!$C$7="All",D144=Dashboard!$C$7),OR(Dashboard!$C$8="All",C144=Dashboard!$C$8)),1,0)</f>
        <v>1</v>
      </c>
      <c r="U144" s="74" t="n">
        <f aca="false">IF(T144=1,K144+ROW()/1000000,-1)</f>
        <v>6.000144</v>
      </c>
      <c r="V144" s="74" t="n">
        <f aca="false">IF(AND(T144=1,E144="Production"),K144+ROW()/1000000,1000000000)</f>
        <v>1000000000</v>
      </c>
      <c r="W144" s="52" t="n">
        <f aca="false">SUMPRODUCT(MAX((Sales_Data!$F$2:$F$3520=A144)*Sales_Data!$C$2:$C$3520))</f>
        <v>46303</v>
      </c>
    </row>
    <row r="145" customFormat="false" ht="15" hidden="false" customHeight="false" outlineLevel="0" collapsed="false">
      <c r="A145" s="53" t="s">
        <v>5333</v>
      </c>
      <c r="B145" s="48" t="s">
        <v>5334</v>
      </c>
      <c r="C145" s="53" t="s">
        <v>55</v>
      </c>
      <c r="D145" s="53" t="s">
        <v>49</v>
      </c>
      <c r="E145" s="53" t="s">
        <v>3708</v>
      </c>
      <c r="F145" s="53" t="s">
        <v>209</v>
      </c>
      <c r="G145" s="53" t="s">
        <v>6674</v>
      </c>
      <c r="H145" s="26" t="n">
        <f aca="false">SUMIFS(Sales_Data!$AE$2:$AE$3520,Sales_Data!$F$2:$F$3520,$A145,Sales_Data!$C$2:$C$3520,"&gt;="&amp;Dashboard!$C$5,Sales_Data!$C$2:$C$3520,"&lt;="&amp;Dashboard!$C$6)</f>
        <v>3</v>
      </c>
      <c r="I145" s="26" t="n">
        <f aca="false">SUMIFS(Sales_Data!$M$2:$M$3520,Sales_Data!$F$2:$F$3520,$A145,Sales_Data!$C$2:$C$3520,"&gt;="&amp;Dashboard!$C$5,Sales_Data!$C$2:$C$3520,"&lt;="&amp;Dashboard!$C$6,Sales_Data!$AE$2:$AE$3520,1)</f>
        <v>0</v>
      </c>
      <c r="J145" s="26" t="n">
        <f aca="false">SUMIFS(Sales_Data!$N$2:$N$3520,Sales_Data!$F$2:$F$3520,$A145,Sales_Data!$C$2:$C$3520,"&gt;="&amp;Dashboard!$C$5,Sales_Data!$C$2:$C$3520,"&lt;="&amp;Dashboard!$C$6,Sales_Data!$AE$2:$AE$3520,1)</f>
        <v>3</v>
      </c>
      <c r="K145" s="27" t="n">
        <f aca="false">SUMIFS(Sales_Data!$O$2:$O$3520,Sales_Data!$F$2:$F$3520,$A145,Sales_Data!$C$2:$C$3520,"&gt;="&amp;Dashboard!$C$5,Sales_Data!$C$2:$C$3520,"&lt;="&amp;Dashboard!$C$6,Sales_Data!$AE$2:$AE$3520,1)</f>
        <v>3</v>
      </c>
      <c r="L145" s="26" t="n">
        <f aca="false">SUMIFS(Sales_Data!$AF$2:$AF$3520,Sales_Data!$F$2:$F$3520,$A145,Sales_Data!$C$2:$C$3520,"&gt;="&amp;Dashboard!$C$5,Sales_Data!$C$2:$C$3520,"&lt;="&amp;Dashboard!$C$6)</f>
        <v>2</v>
      </c>
      <c r="M145" s="31" t="n">
        <f aca="false">IFERROR(K145/L145,0)</f>
        <v>1.5</v>
      </c>
      <c r="N145" s="26" t="n">
        <f aca="false">SUMIFS(Sales_Data!$O$2:$O$3520,Sales_Data!$F$2:$F$3520,$A145,Sales_Data!$C$2:$C$3520,"&gt;="&amp;Dashboard!$C$12,Sales_Data!$C$2:$C$3520,"&lt;="&amp;Dashboard!$C$13,Sales_Data!$AE$2:$AE$3520,1)</f>
        <v>2</v>
      </c>
      <c r="O145" s="28" t="n">
        <f aca="false">K145-N145</f>
        <v>1</v>
      </c>
      <c r="P145" s="54" t="n">
        <f aca="false">IF(W145=0,"-",W145)</f>
        <v>46302</v>
      </c>
      <c r="Q145" s="52" t="n">
        <f aca="false">IF(W145=0,"-",$B$2-W145)</f>
        <v>1</v>
      </c>
      <c r="R145" s="52" t="n">
        <f aca="false">IF(T145=1,COUNTIFS($T$5:$T$254,1,$K$5:$K$254,"&gt;"&amp;K145)+1,"-")</f>
        <v>59</v>
      </c>
      <c r="S145" s="52" t="n">
        <f aca="false">COUNTIFS($C$5:$C$254,C145,$K$5:$K$254,"&gt;"&amp;K145)+1</f>
        <v>12</v>
      </c>
      <c r="T145" s="52" t="n">
        <f aca="false">IF(AND(OR(Dashboard!$C$7="All",D145=Dashboard!$C$7),OR(Dashboard!$C$8="All",C145=Dashboard!$C$8)),1,0)</f>
        <v>1</v>
      </c>
      <c r="U145" s="74" t="n">
        <f aca="false">IF(T145=1,K145+ROW()/1000000,-1)</f>
        <v>3.000145</v>
      </c>
      <c r="V145" s="74" t="n">
        <f aca="false">IF(AND(T145=1,E145="Production"),K145+ROW()/1000000,1000000000)</f>
        <v>1000000000</v>
      </c>
      <c r="W145" s="52" t="n">
        <f aca="false">SUMPRODUCT(MAX((Sales_Data!$F$2:$F$3520=A145)*Sales_Data!$C$2:$C$3520))</f>
        <v>46302</v>
      </c>
    </row>
    <row r="146" customFormat="false" ht="15" hidden="false" customHeight="false" outlineLevel="0" collapsed="false">
      <c r="A146" s="53" t="s">
        <v>2722</v>
      </c>
      <c r="B146" s="48" t="s">
        <v>2723</v>
      </c>
      <c r="C146" s="53" t="s">
        <v>55</v>
      </c>
      <c r="D146" s="53" t="s">
        <v>49</v>
      </c>
      <c r="E146" s="53" t="s">
        <v>146</v>
      </c>
      <c r="F146" s="53" t="s">
        <v>209</v>
      </c>
      <c r="G146" s="53" t="s">
        <v>6500</v>
      </c>
      <c r="H146" s="26" t="n">
        <f aca="false">SUMIFS(Sales_Data!$AE$2:$AE$3520,Sales_Data!$F$2:$F$3520,$A146,Sales_Data!$C$2:$C$3520,"&gt;="&amp;Dashboard!$C$5,Sales_Data!$C$2:$C$3520,"&lt;="&amp;Dashboard!$C$6)</f>
        <v>4</v>
      </c>
      <c r="I146" s="26" t="n">
        <f aca="false">SUMIFS(Sales_Data!$M$2:$M$3520,Sales_Data!$F$2:$F$3520,$A146,Sales_Data!$C$2:$C$3520,"&gt;="&amp;Dashboard!$C$5,Sales_Data!$C$2:$C$3520,"&lt;="&amp;Dashboard!$C$6,Sales_Data!$AE$2:$AE$3520,1)</f>
        <v>1</v>
      </c>
      <c r="J146" s="26" t="n">
        <f aca="false">SUMIFS(Sales_Data!$N$2:$N$3520,Sales_Data!$F$2:$F$3520,$A146,Sales_Data!$C$2:$C$3520,"&gt;="&amp;Dashboard!$C$5,Sales_Data!$C$2:$C$3520,"&lt;="&amp;Dashboard!$C$6,Sales_Data!$AE$2:$AE$3520,1)</f>
        <v>3</v>
      </c>
      <c r="K146" s="27" t="n">
        <f aca="false">SUMIFS(Sales_Data!$O$2:$O$3520,Sales_Data!$F$2:$F$3520,$A146,Sales_Data!$C$2:$C$3520,"&gt;="&amp;Dashboard!$C$5,Sales_Data!$C$2:$C$3520,"&lt;="&amp;Dashboard!$C$6,Sales_Data!$AE$2:$AE$3520,1)</f>
        <v>4</v>
      </c>
      <c r="L146" s="26" t="n">
        <f aca="false">SUMIFS(Sales_Data!$AF$2:$AF$3520,Sales_Data!$F$2:$F$3520,$A146,Sales_Data!$C$2:$C$3520,"&gt;="&amp;Dashboard!$C$5,Sales_Data!$C$2:$C$3520,"&lt;="&amp;Dashboard!$C$6)</f>
        <v>1</v>
      </c>
      <c r="M146" s="31" t="n">
        <f aca="false">IFERROR(K146/L146,0)</f>
        <v>4</v>
      </c>
      <c r="N146" s="26" t="n">
        <f aca="false">SUMIFS(Sales_Data!$O$2:$O$3520,Sales_Data!$F$2:$F$3520,$A146,Sales_Data!$C$2:$C$3520,"&gt;="&amp;Dashboard!$C$12,Sales_Data!$C$2:$C$3520,"&lt;="&amp;Dashboard!$C$13,Sales_Data!$AE$2:$AE$3520,1)</f>
        <v>4</v>
      </c>
      <c r="O146" s="28" t="n">
        <f aca="false">K146-N146</f>
        <v>0</v>
      </c>
      <c r="P146" s="54" t="n">
        <f aca="false">IF(W146=0,"-",W146)</f>
        <v>46299</v>
      </c>
      <c r="Q146" s="52" t="n">
        <f aca="false">IF(W146=0,"-",$B$2-W146)</f>
        <v>4</v>
      </c>
      <c r="R146" s="52" t="n">
        <f aca="false">IF(T146=1,COUNTIFS($T$5:$T$254,1,$K$5:$K$254,"&gt;"&amp;K146)+1,"-")</f>
        <v>39</v>
      </c>
      <c r="S146" s="52" t="n">
        <f aca="false">COUNTIFS($C$5:$C$254,C146,$K$5:$K$254,"&gt;"&amp;K146)+1</f>
        <v>9</v>
      </c>
      <c r="T146" s="52" t="n">
        <f aca="false">IF(AND(OR(Dashboard!$C$7="All",D146=Dashboard!$C$7),OR(Dashboard!$C$8="All",C146=Dashboard!$C$8)),1,0)</f>
        <v>1</v>
      </c>
      <c r="U146" s="74" t="n">
        <f aca="false">IF(T146=1,K146+ROW()/1000000,-1)</f>
        <v>4.000146</v>
      </c>
      <c r="V146" s="74" t="n">
        <f aca="false">IF(AND(T146=1,E146="Production"),K146+ROW()/1000000,1000000000)</f>
        <v>4.000146</v>
      </c>
      <c r="W146" s="52" t="n">
        <f aca="false">SUMPRODUCT(MAX((Sales_Data!$F$2:$F$3520=A146)*Sales_Data!$C$2:$C$3520))</f>
        <v>46299</v>
      </c>
    </row>
    <row r="147" customFormat="false" ht="15" hidden="false" customHeight="false" outlineLevel="0" collapsed="false">
      <c r="A147" s="53" t="s">
        <v>5992</v>
      </c>
      <c r="B147" s="48" t="s">
        <v>5993</v>
      </c>
      <c r="C147" s="53" t="s">
        <v>55</v>
      </c>
      <c r="D147" s="53" t="s">
        <v>49</v>
      </c>
      <c r="E147" s="53" t="s">
        <v>3708</v>
      </c>
      <c r="F147" s="53" t="s">
        <v>209</v>
      </c>
      <c r="G147" s="53" t="s">
        <v>6674</v>
      </c>
      <c r="H147" s="26" t="n">
        <f aca="false">SUMIFS(Sales_Data!$AE$2:$AE$3520,Sales_Data!$F$2:$F$3520,$A147,Sales_Data!$C$2:$C$3520,"&gt;="&amp;Dashboard!$C$5,Sales_Data!$C$2:$C$3520,"&lt;="&amp;Dashboard!$C$6)</f>
        <v>7</v>
      </c>
      <c r="I147" s="26" t="n">
        <f aca="false">SUMIFS(Sales_Data!$M$2:$M$3520,Sales_Data!$F$2:$F$3520,$A147,Sales_Data!$C$2:$C$3520,"&gt;="&amp;Dashboard!$C$5,Sales_Data!$C$2:$C$3520,"&lt;="&amp;Dashboard!$C$6,Sales_Data!$AE$2:$AE$3520,1)</f>
        <v>3</v>
      </c>
      <c r="J147" s="26" t="n">
        <f aca="false">SUMIFS(Sales_Data!$N$2:$N$3520,Sales_Data!$F$2:$F$3520,$A147,Sales_Data!$C$2:$C$3520,"&gt;="&amp;Dashboard!$C$5,Sales_Data!$C$2:$C$3520,"&lt;="&amp;Dashboard!$C$6,Sales_Data!$AE$2:$AE$3520,1)</f>
        <v>4</v>
      </c>
      <c r="K147" s="27" t="n">
        <f aca="false">SUMIFS(Sales_Data!$O$2:$O$3520,Sales_Data!$F$2:$F$3520,$A147,Sales_Data!$C$2:$C$3520,"&gt;="&amp;Dashboard!$C$5,Sales_Data!$C$2:$C$3520,"&lt;="&amp;Dashboard!$C$6,Sales_Data!$AE$2:$AE$3520,1)</f>
        <v>7</v>
      </c>
      <c r="L147" s="26" t="n">
        <f aca="false">SUMIFS(Sales_Data!$AF$2:$AF$3520,Sales_Data!$F$2:$F$3520,$A147,Sales_Data!$C$2:$C$3520,"&gt;="&amp;Dashboard!$C$5,Sales_Data!$C$2:$C$3520,"&lt;="&amp;Dashboard!$C$6)</f>
        <v>3</v>
      </c>
      <c r="M147" s="31" t="n">
        <f aca="false">IFERROR(K147/L147,0)</f>
        <v>2.33333333333333</v>
      </c>
      <c r="N147" s="26" t="n">
        <f aca="false">SUMIFS(Sales_Data!$O$2:$O$3520,Sales_Data!$F$2:$F$3520,$A147,Sales_Data!$C$2:$C$3520,"&gt;="&amp;Dashboard!$C$12,Sales_Data!$C$2:$C$3520,"&lt;="&amp;Dashboard!$C$13,Sales_Data!$AE$2:$AE$3520,1)</f>
        <v>0</v>
      </c>
      <c r="O147" s="28" t="n">
        <f aca="false">K147-N147</f>
        <v>7</v>
      </c>
      <c r="P147" s="54" t="n">
        <f aca="false">IF(W147=0,"-",W147)</f>
        <v>46303</v>
      </c>
      <c r="Q147" s="52" t="n">
        <f aca="false">IF(W147=0,"-",$B$2-W147)</f>
        <v>0</v>
      </c>
      <c r="R147" s="52" t="n">
        <f aca="false">IF(T147=1,COUNTIFS($T$5:$T$254,1,$K$5:$K$254,"&gt;"&amp;K147)+1,"-")</f>
        <v>14</v>
      </c>
      <c r="S147" s="52" t="n">
        <f aca="false">COUNTIFS($C$5:$C$254,C147,$K$5:$K$254,"&gt;"&amp;K147)+1</f>
        <v>2</v>
      </c>
      <c r="T147" s="52" t="n">
        <f aca="false">IF(AND(OR(Dashboard!$C$7="All",D147=Dashboard!$C$7),OR(Dashboard!$C$8="All",C147=Dashboard!$C$8)),1,0)</f>
        <v>1</v>
      </c>
      <c r="U147" s="74" t="n">
        <f aca="false">IF(T147=1,K147+ROW()/1000000,-1)</f>
        <v>7.000147</v>
      </c>
      <c r="V147" s="74" t="n">
        <f aca="false">IF(AND(T147=1,E147="Production"),K147+ROW()/1000000,1000000000)</f>
        <v>1000000000</v>
      </c>
      <c r="W147" s="52" t="n">
        <f aca="false">SUMPRODUCT(MAX((Sales_Data!$F$2:$F$3520=A147)*Sales_Data!$C$2:$C$3520))</f>
        <v>46303</v>
      </c>
    </row>
    <row r="148" customFormat="false" ht="15" hidden="false" customHeight="false" outlineLevel="0" collapsed="false">
      <c r="A148" s="53" t="s">
        <v>6306</v>
      </c>
      <c r="B148" s="48" t="s">
        <v>6307</v>
      </c>
      <c r="C148" s="53" t="s">
        <v>55</v>
      </c>
      <c r="D148" s="53" t="s">
        <v>49</v>
      </c>
      <c r="E148" s="53" t="s">
        <v>3708</v>
      </c>
      <c r="F148" s="53" t="s">
        <v>209</v>
      </c>
      <c r="G148" s="53" t="s">
        <v>6674</v>
      </c>
      <c r="H148" s="26" t="n">
        <f aca="false">SUMIFS(Sales_Data!$AE$2:$AE$3520,Sales_Data!$F$2:$F$3520,$A148,Sales_Data!$C$2:$C$3520,"&gt;="&amp;Dashboard!$C$5,Sales_Data!$C$2:$C$3520,"&lt;="&amp;Dashboard!$C$6)</f>
        <v>1</v>
      </c>
      <c r="I148" s="26" t="n">
        <f aca="false">SUMIFS(Sales_Data!$M$2:$M$3520,Sales_Data!$F$2:$F$3520,$A148,Sales_Data!$C$2:$C$3520,"&gt;="&amp;Dashboard!$C$5,Sales_Data!$C$2:$C$3520,"&lt;="&amp;Dashboard!$C$6,Sales_Data!$AE$2:$AE$3520,1)</f>
        <v>0</v>
      </c>
      <c r="J148" s="26" t="n">
        <f aca="false">SUMIFS(Sales_Data!$N$2:$N$3520,Sales_Data!$F$2:$F$3520,$A148,Sales_Data!$C$2:$C$3520,"&gt;="&amp;Dashboard!$C$5,Sales_Data!$C$2:$C$3520,"&lt;="&amp;Dashboard!$C$6,Sales_Data!$AE$2:$AE$3520,1)</f>
        <v>1</v>
      </c>
      <c r="K148" s="27" t="n">
        <f aca="false">SUMIFS(Sales_Data!$O$2:$O$3520,Sales_Data!$F$2:$F$3520,$A148,Sales_Data!$C$2:$C$3520,"&gt;="&amp;Dashboard!$C$5,Sales_Data!$C$2:$C$3520,"&lt;="&amp;Dashboard!$C$6,Sales_Data!$AE$2:$AE$3520,1)</f>
        <v>1</v>
      </c>
      <c r="L148" s="26" t="n">
        <f aca="false">SUMIFS(Sales_Data!$AF$2:$AF$3520,Sales_Data!$F$2:$F$3520,$A148,Sales_Data!$C$2:$C$3520,"&gt;="&amp;Dashboard!$C$5,Sales_Data!$C$2:$C$3520,"&lt;="&amp;Dashboard!$C$6)</f>
        <v>1</v>
      </c>
      <c r="M148" s="31" t="n">
        <f aca="false">IFERROR(K148/L148,0)</f>
        <v>1</v>
      </c>
      <c r="N148" s="26" t="n">
        <f aca="false">SUMIFS(Sales_Data!$O$2:$O$3520,Sales_Data!$F$2:$F$3520,$A148,Sales_Data!$C$2:$C$3520,"&gt;="&amp;Dashboard!$C$12,Sales_Data!$C$2:$C$3520,"&lt;="&amp;Dashboard!$C$13,Sales_Data!$AE$2:$AE$3520,1)</f>
        <v>0</v>
      </c>
      <c r="O148" s="28" t="n">
        <f aca="false">K148-N148</f>
        <v>1</v>
      </c>
      <c r="P148" s="54" t="n">
        <f aca="false">IF(W148=0,"-",W148)</f>
        <v>46303</v>
      </c>
      <c r="Q148" s="52" t="n">
        <f aca="false">IF(W148=0,"-",$B$2-W148)</f>
        <v>0</v>
      </c>
      <c r="R148" s="52" t="n">
        <f aca="false">IF(T148=1,COUNTIFS($T$5:$T$254,1,$K$5:$K$254,"&gt;"&amp;K148)+1,"-")</f>
        <v>105</v>
      </c>
      <c r="S148" s="52" t="n">
        <f aca="false">COUNTIFS($C$5:$C$254,C148,$K$5:$K$254,"&gt;"&amp;K148)+1</f>
        <v>15</v>
      </c>
      <c r="T148" s="52" t="n">
        <f aca="false">IF(AND(OR(Dashboard!$C$7="All",D148=Dashboard!$C$7),OR(Dashboard!$C$8="All",C148=Dashboard!$C$8)),1,0)</f>
        <v>1</v>
      </c>
      <c r="U148" s="74" t="n">
        <f aca="false">IF(T148=1,K148+ROW()/1000000,-1)</f>
        <v>1.000148</v>
      </c>
      <c r="V148" s="74" t="n">
        <f aca="false">IF(AND(T148=1,E148="Production"),K148+ROW()/1000000,1000000000)</f>
        <v>1000000000</v>
      </c>
      <c r="W148" s="52" t="n">
        <f aca="false">SUMPRODUCT(MAX((Sales_Data!$F$2:$F$3520=A148)*Sales_Data!$C$2:$C$3520))</f>
        <v>46303</v>
      </c>
    </row>
    <row r="149" customFormat="false" ht="15" hidden="false" customHeight="false" outlineLevel="0" collapsed="false">
      <c r="A149" s="53" t="s">
        <v>3756</v>
      </c>
      <c r="B149" s="48" t="s">
        <v>3757</v>
      </c>
      <c r="C149" s="53" t="s">
        <v>55</v>
      </c>
      <c r="D149" s="53" t="s">
        <v>49</v>
      </c>
      <c r="E149" s="53" t="s">
        <v>3708</v>
      </c>
      <c r="F149" s="53" t="s">
        <v>209</v>
      </c>
      <c r="G149" s="53" t="s">
        <v>6674</v>
      </c>
      <c r="H149" s="26" t="n">
        <f aca="false">SUMIFS(Sales_Data!$AE$2:$AE$3520,Sales_Data!$F$2:$F$3520,$A149,Sales_Data!$C$2:$C$3520,"&gt;="&amp;Dashboard!$C$5,Sales_Data!$C$2:$C$3520,"&lt;="&amp;Dashboard!$C$6)</f>
        <v>1</v>
      </c>
      <c r="I149" s="26" t="n">
        <f aca="false">SUMIFS(Sales_Data!$M$2:$M$3520,Sales_Data!$F$2:$F$3520,$A149,Sales_Data!$C$2:$C$3520,"&gt;="&amp;Dashboard!$C$5,Sales_Data!$C$2:$C$3520,"&lt;="&amp;Dashboard!$C$6,Sales_Data!$AE$2:$AE$3520,1)</f>
        <v>0</v>
      </c>
      <c r="J149" s="26" t="n">
        <f aca="false">SUMIFS(Sales_Data!$N$2:$N$3520,Sales_Data!$F$2:$F$3520,$A149,Sales_Data!$C$2:$C$3520,"&gt;="&amp;Dashboard!$C$5,Sales_Data!$C$2:$C$3520,"&lt;="&amp;Dashboard!$C$6,Sales_Data!$AE$2:$AE$3520,1)</f>
        <v>1</v>
      </c>
      <c r="K149" s="27" t="n">
        <f aca="false">SUMIFS(Sales_Data!$O$2:$O$3520,Sales_Data!$F$2:$F$3520,$A149,Sales_Data!$C$2:$C$3520,"&gt;="&amp;Dashboard!$C$5,Sales_Data!$C$2:$C$3520,"&lt;="&amp;Dashboard!$C$6,Sales_Data!$AE$2:$AE$3520,1)</f>
        <v>1</v>
      </c>
      <c r="L149" s="26" t="n">
        <f aca="false">SUMIFS(Sales_Data!$AF$2:$AF$3520,Sales_Data!$F$2:$F$3520,$A149,Sales_Data!$C$2:$C$3520,"&gt;="&amp;Dashboard!$C$5,Sales_Data!$C$2:$C$3520,"&lt;="&amp;Dashboard!$C$6)</f>
        <v>1</v>
      </c>
      <c r="M149" s="31" t="n">
        <f aca="false">IFERROR(K149/L149,0)</f>
        <v>1</v>
      </c>
      <c r="N149" s="26" t="n">
        <f aca="false">SUMIFS(Sales_Data!$O$2:$O$3520,Sales_Data!$F$2:$F$3520,$A149,Sales_Data!$C$2:$C$3520,"&gt;="&amp;Dashboard!$C$12,Sales_Data!$C$2:$C$3520,"&lt;="&amp;Dashboard!$C$13,Sales_Data!$AE$2:$AE$3520,1)</f>
        <v>0</v>
      </c>
      <c r="O149" s="28" t="n">
        <f aca="false">K149-N149</f>
        <v>1</v>
      </c>
      <c r="P149" s="54" t="n">
        <f aca="false">IF(W149=0,"-",W149)</f>
        <v>46302</v>
      </c>
      <c r="Q149" s="52" t="n">
        <f aca="false">IF(W149=0,"-",$B$2-W149)</f>
        <v>1</v>
      </c>
      <c r="R149" s="52" t="n">
        <f aca="false">IF(T149=1,COUNTIFS($T$5:$T$254,1,$K$5:$K$254,"&gt;"&amp;K149)+1,"-")</f>
        <v>105</v>
      </c>
      <c r="S149" s="52" t="n">
        <f aca="false">COUNTIFS($C$5:$C$254,C149,$K$5:$K$254,"&gt;"&amp;K149)+1</f>
        <v>15</v>
      </c>
      <c r="T149" s="52" t="n">
        <f aca="false">IF(AND(OR(Dashboard!$C$7="All",D149=Dashboard!$C$7),OR(Dashboard!$C$8="All",C149=Dashboard!$C$8)),1,0)</f>
        <v>1</v>
      </c>
      <c r="U149" s="74" t="n">
        <f aca="false">IF(T149=1,K149+ROW()/1000000,-1)</f>
        <v>1.000149</v>
      </c>
      <c r="V149" s="74" t="n">
        <f aca="false">IF(AND(T149=1,E149="Production"),K149+ROW()/1000000,1000000000)</f>
        <v>1000000000</v>
      </c>
      <c r="W149" s="52" t="n">
        <f aca="false">SUMPRODUCT(MAX((Sales_Data!$F$2:$F$3520=A149)*Sales_Data!$C$2:$C$3520))</f>
        <v>46302</v>
      </c>
    </row>
    <row r="150" customFormat="false" ht="15" hidden="false" customHeight="false" outlineLevel="0" collapsed="false">
      <c r="A150" s="53" t="s">
        <v>3789</v>
      </c>
      <c r="B150" s="48" t="s">
        <v>3790</v>
      </c>
      <c r="C150" s="53" t="s">
        <v>55</v>
      </c>
      <c r="D150" s="53" t="s">
        <v>49</v>
      </c>
      <c r="E150" s="53" t="s">
        <v>3708</v>
      </c>
      <c r="F150" s="53" t="s">
        <v>209</v>
      </c>
      <c r="G150" s="53" t="s">
        <v>6674</v>
      </c>
      <c r="H150" s="26" t="n">
        <f aca="false">SUMIFS(Sales_Data!$AE$2:$AE$3520,Sales_Data!$F$2:$F$3520,$A150,Sales_Data!$C$2:$C$3520,"&gt;="&amp;Dashboard!$C$5,Sales_Data!$C$2:$C$3520,"&lt;="&amp;Dashboard!$C$6)</f>
        <v>2</v>
      </c>
      <c r="I150" s="26" t="n">
        <f aca="false">SUMIFS(Sales_Data!$M$2:$M$3520,Sales_Data!$F$2:$F$3520,$A150,Sales_Data!$C$2:$C$3520,"&gt;="&amp;Dashboard!$C$5,Sales_Data!$C$2:$C$3520,"&lt;="&amp;Dashboard!$C$6,Sales_Data!$AE$2:$AE$3520,1)</f>
        <v>1</v>
      </c>
      <c r="J150" s="26" t="n">
        <f aca="false">SUMIFS(Sales_Data!$N$2:$N$3520,Sales_Data!$F$2:$F$3520,$A150,Sales_Data!$C$2:$C$3520,"&gt;="&amp;Dashboard!$C$5,Sales_Data!$C$2:$C$3520,"&lt;="&amp;Dashboard!$C$6,Sales_Data!$AE$2:$AE$3520,1)</f>
        <v>2</v>
      </c>
      <c r="K150" s="27" t="n">
        <f aca="false">SUMIFS(Sales_Data!$O$2:$O$3520,Sales_Data!$F$2:$F$3520,$A150,Sales_Data!$C$2:$C$3520,"&gt;="&amp;Dashboard!$C$5,Sales_Data!$C$2:$C$3520,"&lt;="&amp;Dashboard!$C$6,Sales_Data!$AE$2:$AE$3520,1)</f>
        <v>3</v>
      </c>
      <c r="L150" s="26" t="n">
        <f aca="false">SUMIFS(Sales_Data!$AF$2:$AF$3520,Sales_Data!$F$2:$F$3520,$A150,Sales_Data!$C$2:$C$3520,"&gt;="&amp;Dashboard!$C$5,Sales_Data!$C$2:$C$3520,"&lt;="&amp;Dashboard!$C$6)</f>
        <v>2</v>
      </c>
      <c r="M150" s="31" t="n">
        <f aca="false">IFERROR(K150/L150,0)</f>
        <v>1.5</v>
      </c>
      <c r="N150" s="26" t="n">
        <f aca="false">SUMIFS(Sales_Data!$O$2:$O$3520,Sales_Data!$F$2:$F$3520,$A150,Sales_Data!$C$2:$C$3520,"&gt;="&amp;Dashboard!$C$12,Sales_Data!$C$2:$C$3520,"&lt;="&amp;Dashboard!$C$13,Sales_Data!$AE$2:$AE$3520,1)</f>
        <v>0</v>
      </c>
      <c r="O150" s="28" t="n">
        <f aca="false">K150-N150</f>
        <v>3</v>
      </c>
      <c r="P150" s="54" t="n">
        <f aca="false">IF(W150=0,"-",W150)</f>
        <v>46303</v>
      </c>
      <c r="Q150" s="52" t="n">
        <f aca="false">IF(W150=0,"-",$B$2-W150)</f>
        <v>0</v>
      </c>
      <c r="R150" s="52" t="n">
        <f aca="false">IF(T150=1,COUNTIFS($T$5:$T$254,1,$K$5:$K$254,"&gt;"&amp;K150)+1,"-")</f>
        <v>59</v>
      </c>
      <c r="S150" s="52" t="n">
        <f aca="false">COUNTIFS($C$5:$C$254,C150,$K$5:$K$254,"&gt;"&amp;K150)+1</f>
        <v>12</v>
      </c>
      <c r="T150" s="52" t="n">
        <f aca="false">IF(AND(OR(Dashboard!$C$7="All",D150=Dashboard!$C$7),OR(Dashboard!$C$8="All",C150=Dashboard!$C$8)),1,0)</f>
        <v>1</v>
      </c>
      <c r="U150" s="74" t="n">
        <f aca="false">IF(T150=1,K150+ROW()/1000000,-1)</f>
        <v>3.00015</v>
      </c>
      <c r="V150" s="74" t="n">
        <f aca="false">IF(AND(T150=1,E150="Production"),K150+ROW()/1000000,1000000000)</f>
        <v>1000000000</v>
      </c>
      <c r="W150" s="52" t="n">
        <f aca="false">SUMPRODUCT(MAX((Sales_Data!$F$2:$F$3520=A150)*Sales_Data!$C$2:$C$3520))</f>
        <v>46303</v>
      </c>
    </row>
    <row r="151" customFormat="false" ht="15" hidden="false" customHeight="false" outlineLevel="0" collapsed="false">
      <c r="A151" s="53" t="s">
        <v>6684</v>
      </c>
      <c r="B151" s="48" t="s">
        <v>6685</v>
      </c>
      <c r="C151" s="53" t="s">
        <v>55</v>
      </c>
      <c r="D151" s="53" t="s">
        <v>49</v>
      </c>
      <c r="E151" s="53" t="s">
        <v>3708</v>
      </c>
      <c r="F151" s="53" t="s">
        <v>209</v>
      </c>
      <c r="G151" s="53" t="s">
        <v>6674</v>
      </c>
      <c r="H151" s="26" t="n">
        <f aca="false">SUMIFS(Sales_Data!$AE$2:$AE$3520,Sales_Data!$F$2:$F$3520,$A151,Sales_Data!$C$2:$C$3520,"&gt;="&amp;Dashboard!$C$5,Sales_Data!$C$2:$C$3520,"&lt;="&amp;Dashboard!$C$6)</f>
        <v>0</v>
      </c>
      <c r="I151" s="26" t="n">
        <f aca="false">SUMIFS(Sales_Data!$M$2:$M$3520,Sales_Data!$F$2:$F$3520,$A151,Sales_Data!$C$2:$C$3520,"&gt;="&amp;Dashboard!$C$5,Sales_Data!$C$2:$C$3520,"&lt;="&amp;Dashboard!$C$6,Sales_Data!$AE$2:$AE$3520,1)</f>
        <v>0</v>
      </c>
      <c r="J151" s="26" t="n">
        <f aca="false">SUMIFS(Sales_Data!$N$2:$N$3520,Sales_Data!$F$2:$F$3520,$A151,Sales_Data!$C$2:$C$3520,"&gt;="&amp;Dashboard!$C$5,Sales_Data!$C$2:$C$3520,"&lt;="&amp;Dashboard!$C$6,Sales_Data!$AE$2:$AE$3520,1)</f>
        <v>0</v>
      </c>
      <c r="K151" s="27" t="n">
        <f aca="false">SUMIFS(Sales_Data!$O$2:$O$3520,Sales_Data!$F$2:$F$3520,$A151,Sales_Data!$C$2:$C$3520,"&gt;="&amp;Dashboard!$C$5,Sales_Data!$C$2:$C$3520,"&lt;="&amp;Dashboard!$C$6,Sales_Data!$AE$2:$AE$3520,1)</f>
        <v>0</v>
      </c>
      <c r="L151" s="26" t="n">
        <f aca="false">SUMIFS(Sales_Data!$AF$2:$AF$3520,Sales_Data!$F$2:$F$3520,$A151,Sales_Data!$C$2:$C$3520,"&gt;="&amp;Dashboard!$C$5,Sales_Data!$C$2:$C$3520,"&lt;="&amp;Dashboard!$C$6)</f>
        <v>0</v>
      </c>
      <c r="M151" s="31" t="n">
        <f aca="false">IFERROR(K151/L151,0)</f>
        <v>0</v>
      </c>
      <c r="N151" s="26" t="n">
        <f aca="false">SUMIFS(Sales_Data!$O$2:$O$3520,Sales_Data!$F$2:$F$3520,$A151,Sales_Data!$C$2:$C$3520,"&gt;="&amp;Dashboard!$C$12,Sales_Data!$C$2:$C$3520,"&lt;="&amp;Dashboard!$C$13,Sales_Data!$AE$2:$AE$3520,1)</f>
        <v>0</v>
      </c>
      <c r="O151" s="28" t="n">
        <f aca="false">K151-N151</f>
        <v>0</v>
      </c>
      <c r="P151" s="54" t="str">
        <f aca="false">IF(W151=0,"-",W151)</f>
        <v>-</v>
      </c>
      <c r="Q151" s="52" t="str">
        <f aca="false">IF(W151=0,"-",$B$2-W151)</f>
        <v>-</v>
      </c>
      <c r="R151" s="52" t="n">
        <f aca="false">IF(T151=1,COUNTIFS($T$5:$T$254,1,$K$5:$K$254,"&gt;"&amp;K151)+1,"-")</f>
        <v>139</v>
      </c>
      <c r="S151" s="52" t="n">
        <f aca="false">COUNTIFS($C$5:$C$254,C151,$K$5:$K$254,"&gt;"&amp;K151)+1</f>
        <v>17</v>
      </c>
      <c r="T151" s="52" t="n">
        <f aca="false">IF(AND(OR(Dashboard!$C$7="All",D151=Dashboard!$C$7),OR(Dashboard!$C$8="All",C151=Dashboard!$C$8)),1,0)</f>
        <v>1</v>
      </c>
      <c r="U151" s="74" t="n">
        <f aca="false">IF(T151=1,K151+ROW()/1000000,-1)</f>
        <v>0.000151</v>
      </c>
      <c r="V151" s="74" t="n">
        <f aca="false">IF(AND(T151=1,E151="Production"),K151+ROW()/1000000,1000000000)</f>
        <v>1000000000</v>
      </c>
      <c r="W151" s="52" t="n">
        <f aca="false">SUMPRODUCT(MAX((Sales_Data!$F$2:$F$3520=A151)*Sales_Data!$C$2:$C$3520))</f>
        <v>0</v>
      </c>
    </row>
    <row r="152" customFormat="false" ht="15" hidden="false" customHeight="false" outlineLevel="0" collapsed="false">
      <c r="A152" s="53" t="s">
        <v>6687</v>
      </c>
      <c r="B152" s="48" t="s">
        <v>6688</v>
      </c>
      <c r="C152" s="53" t="s">
        <v>55</v>
      </c>
      <c r="D152" s="53" t="s">
        <v>49</v>
      </c>
      <c r="E152" s="53" t="s">
        <v>3708</v>
      </c>
      <c r="F152" s="53" t="s">
        <v>209</v>
      </c>
      <c r="G152" s="53" t="s">
        <v>6674</v>
      </c>
      <c r="H152" s="26" t="n">
        <f aca="false">SUMIFS(Sales_Data!$AE$2:$AE$3520,Sales_Data!$F$2:$F$3520,$A152,Sales_Data!$C$2:$C$3520,"&gt;="&amp;Dashboard!$C$5,Sales_Data!$C$2:$C$3520,"&lt;="&amp;Dashboard!$C$6)</f>
        <v>0</v>
      </c>
      <c r="I152" s="26" t="n">
        <f aca="false">SUMIFS(Sales_Data!$M$2:$M$3520,Sales_Data!$F$2:$F$3520,$A152,Sales_Data!$C$2:$C$3520,"&gt;="&amp;Dashboard!$C$5,Sales_Data!$C$2:$C$3520,"&lt;="&amp;Dashboard!$C$6,Sales_Data!$AE$2:$AE$3520,1)</f>
        <v>0</v>
      </c>
      <c r="J152" s="26" t="n">
        <f aca="false">SUMIFS(Sales_Data!$N$2:$N$3520,Sales_Data!$F$2:$F$3520,$A152,Sales_Data!$C$2:$C$3520,"&gt;="&amp;Dashboard!$C$5,Sales_Data!$C$2:$C$3520,"&lt;="&amp;Dashboard!$C$6,Sales_Data!$AE$2:$AE$3520,1)</f>
        <v>0</v>
      </c>
      <c r="K152" s="27" t="n">
        <f aca="false">SUMIFS(Sales_Data!$O$2:$O$3520,Sales_Data!$F$2:$F$3520,$A152,Sales_Data!$C$2:$C$3520,"&gt;="&amp;Dashboard!$C$5,Sales_Data!$C$2:$C$3520,"&lt;="&amp;Dashboard!$C$6,Sales_Data!$AE$2:$AE$3520,1)</f>
        <v>0</v>
      </c>
      <c r="L152" s="26" t="n">
        <f aca="false">SUMIFS(Sales_Data!$AF$2:$AF$3520,Sales_Data!$F$2:$F$3520,$A152,Sales_Data!$C$2:$C$3520,"&gt;="&amp;Dashboard!$C$5,Sales_Data!$C$2:$C$3520,"&lt;="&amp;Dashboard!$C$6)</f>
        <v>0</v>
      </c>
      <c r="M152" s="31" t="n">
        <f aca="false">IFERROR(K152/L152,0)</f>
        <v>0</v>
      </c>
      <c r="N152" s="26" t="n">
        <f aca="false">SUMIFS(Sales_Data!$O$2:$O$3520,Sales_Data!$F$2:$F$3520,$A152,Sales_Data!$C$2:$C$3520,"&gt;="&amp;Dashboard!$C$12,Sales_Data!$C$2:$C$3520,"&lt;="&amp;Dashboard!$C$13,Sales_Data!$AE$2:$AE$3520,1)</f>
        <v>0</v>
      </c>
      <c r="O152" s="28" t="n">
        <f aca="false">K152-N152</f>
        <v>0</v>
      </c>
      <c r="P152" s="54" t="str">
        <f aca="false">IF(W152=0,"-",W152)</f>
        <v>-</v>
      </c>
      <c r="Q152" s="52" t="str">
        <f aca="false">IF(W152=0,"-",$B$2-W152)</f>
        <v>-</v>
      </c>
      <c r="R152" s="52" t="n">
        <f aca="false">IF(T152=1,COUNTIFS($T$5:$T$254,1,$K$5:$K$254,"&gt;"&amp;K152)+1,"-")</f>
        <v>139</v>
      </c>
      <c r="S152" s="52" t="n">
        <f aca="false">COUNTIFS($C$5:$C$254,C152,$K$5:$K$254,"&gt;"&amp;K152)+1</f>
        <v>17</v>
      </c>
      <c r="T152" s="52" t="n">
        <f aca="false">IF(AND(OR(Dashboard!$C$7="All",D152=Dashboard!$C$7),OR(Dashboard!$C$8="All",C152=Dashboard!$C$8)),1,0)</f>
        <v>1</v>
      </c>
      <c r="U152" s="74" t="n">
        <f aca="false">IF(T152=1,K152+ROW()/1000000,-1)</f>
        <v>0.000152</v>
      </c>
      <c r="V152" s="74" t="n">
        <f aca="false">IF(AND(T152=1,E152="Production"),K152+ROW()/1000000,1000000000)</f>
        <v>1000000000</v>
      </c>
      <c r="W152" s="52" t="n">
        <f aca="false">SUMPRODUCT(MAX((Sales_Data!$F$2:$F$3520=A152)*Sales_Data!$C$2:$C$3520))</f>
        <v>0</v>
      </c>
    </row>
    <row r="153" customFormat="false" ht="15" hidden="false" customHeight="false" outlineLevel="0" collapsed="false">
      <c r="A153" s="53" t="s">
        <v>3706</v>
      </c>
      <c r="B153" s="48" t="s">
        <v>3707</v>
      </c>
      <c r="C153" s="53" t="s">
        <v>55</v>
      </c>
      <c r="D153" s="53" t="s">
        <v>49</v>
      </c>
      <c r="E153" s="53" t="s">
        <v>3708</v>
      </c>
      <c r="F153" s="53" t="s">
        <v>209</v>
      </c>
      <c r="G153" s="53" t="s">
        <v>6674</v>
      </c>
      <c r="H153" s="26" t="n">
        <f aca="false">SUMIFS(Sales_Data!$AE$2:$AE$3520,Sales_Data!$F$2:$F$3520,$A153,Sales_Data!$C$2:$C$3520,"&gt;="&amp;Dashboard!$C$5,Sales_Data!$C$2:$C$3520,"&lt;="&amp;Dashboard!$C$6)</f>
        <v>5</v>
      </c>
      <c r="I153" s="26" t="n">
        <f aca="false">SUMIFS(Sales_Data!$M$2:$M$3520,Sales_Data!$F$2:$F$3520,$A153,Sales_Data!$C$2:$C$3520,"&gt;="&amp;Dashboard!$C$5,Sales_Data!$C$2:$C$3520,"&lt;="&amp;Dashboard!$C$6,Sales_Data!$AE$2:$AE$3520,1)</f>
        <v>0</v>
      </c>
      <c r="J153" s="26" t="n">
        <f aca="false">SUMIFS(Sales_Data!$N$2:$N$3520,Sales_Data!$F$2:$F$3520,$A153,Sales_Data!$C$2:$C$3520,"&gt;="&amp;Dashboard!$C$5,Sales_Data!$C$2:$C$3520,"&lt;="&amp;Dashboard!$C$6,Sales_Data!$AE$2:$AE$3520,1)</f>
        <v>6</v>
      </c>
      <c r="K153" s="27" t="n">
        <f aca="false">SUMIFS(Sales_Data!$O$2:$O$3520,Sales_Data!$F$2:$F$3520,$A153,Sales_Data!$C$2:$C$3520,"&gt;="&amp;Dashboard!$C$5,Sales_Data!$C$2:$C$3520,"&lt;="&amp;Dashboard!$C$6,Sales_Data!$AE$2:$AE$3520,1)</f>
        <v>6</v>
      </c>
      <c r="L153" s="26" t="n">
        <f aca="false">SUMIFS(Sales_Data!$AF$2:$AF$3520,Sales_Data!$F$2:$F$3520,$A153,Sales_Data!$C$2:$C$3520,"&gt;="&amp;Dashboard!$C$5,Sales_Data!$C$2:$C$3520,"&lt;="&amp;Dashboard!$C$6)</f>
        <v>2</v>
      </c>
      <c r="M153" s="31" t="n">
        <f aca="false">IFERROR(K153/L153,0)</f>
        <v>3</v>
      </c>
      <c r="N153" s="26" t="n">
        <f aca="false">SUMIFS(Sales_Data!$O$2:$O$3520,Sales_Data!$F$2:$F$3520,$A153,Sales_Data!$C$2:$C$3520,"&gt;="&amp;Dashboard!$C$12,Sales_Data!$C$2:$C$3520,"&lt;="&amp;Dashboard!$C$13,Sales_Data!$AE$2:$AE$3520,1)</f>
        <v>0</v>
      </c>
      <c r="O153" s="28" t="n">
        <f aca="false">K153-N153</f>
        <v>6</v>
      </c>
      <c r="P153" s="54" t="n">
        <f aca="false">IF(W153=0,"-",W153)</f>
        <v>46303</v>
      </c>
      <c r="Q153" s="52" t="n">
        <f aca="false">IF(W153=0,"-",$B$2-W153)</f>
        <v>0</v>
      </c>
      <c r="R153" s="52" t="n">
        <f aca="false">IF(T153=1,COUNTIFS($T$5:$T$254,1,$K$5:$K$254,"&gt;"&amp;K153)+1,"-")</f>
        <v>17</v>
      </c>
      <c r="S153" s="52" t="n">
        <f aca="false">COUNTIFS($C$5:$C$254,C153,$K$5:$K$254,"&gt;"&amp;K153)+1</f>
        <v>3</v>
      </c>
      <c r="T153" s="52" t="n">
        <f aca="false">IF(AND(OR(Dashboard!$C$7="All",D153=Dashboard!$C$7),OR(Dashboard!$C$8="All",C153=Dashboard!$C$8)),1,0)</f>
        <v>1</v>
      </c>
      <c r="U153" s="74" t="n">
        <f aca="false">IF(T153=1,K153+ROW()/1000000,-1)</f>
        <v>6.000153</v>
      </c>
      <c r="V153" s="74" t="n">
        <f aca="false">IF(AND(T153=1,E153="Production"),K153+ROW()/1000000,1000000000)</f>
        <v>1000000000</v>
      </c>
      <c r="W153" s="52" t="n">
        <f aca="false">SUMPRODUCT(MAX((Sales_Data!$F$2:$F$3520=A153)*Sales_Data!$C$2:$C$3520))</f>
        <v>46303</v>
      </c>
    </row>
    <row r="154" customFormat="false" ht="15" hidden="false" customHeight="false" outlineLevel="0" collapsed="false">
      <c r="A154" s="53" t="s">
        <v>3792</v>
      </c>
      <c r="B154" s="48" t="s">
        <v>3793</v>
      </c>
      <c r="C154" s="53" t="s">
        <v>55</v>
      </c>
      <c r="D154" s="53" t="s">
        <v>49</v>
      </c>
      <c r="E154" s="53" t="s">
        <v>3708</v>
      </c>
      <c r="F154" s="53" t="s">
        <v>209</v>
      </c>
      <c r="G154" s="53" t="s">
        <v>6674</v>
      </c>
      <c r="H154" s="26" t="n">
        <f aca="false">SUMIFS(Sales_Data!$AE$2:$AE$3520,Sales_Data!$F$2:$F$3520,$A154,Sales_Data!$C$2:$C$3520,"&gt;="&amp;Dashboard!$C$5,Sales_Data!$C$2:$C$3520,"&lt;="&amp;Dashboard!$C$6)</f>
        <v>2</v>
      </c>
      <c r="I154" s="26" t="n">
        <f aca="false">SUMIFS(Sales_Data!$M$2:$M$3520,Sales_Data!$F$2:$F$3520,$A154,Sales_Data!$C$2:$C$3520,"&gt;="&amp;Dashboard!$C$5,Sales_Data!$C$2:$C$3520,"&lt;="&amp;Dashboard!$C$6,Sales_Data!$AE$2:$AE$3520,1)</f>
        <v>0</v>
      </c>
      <c r="J154" s="26" t="n">
        <f aca="false">SUMIFS(Sales_Data!$N$2:$N$3520,Sales_Data!$F$2:$F$3520,$A154,Sales_Data!$C$2:$C$3520,"&gt;="&amp;Dashboard!$C$5,Sales_Data!$C$2:$C$3520,"&lt;="&amp;Dashboard!$C$6,Sales_Data!$AE$2:$AE$3520,1)</f>
        <v>3</v>
      </c>
      <c r="K154" s="27" t="n">
        <f aca="false">SUMIFS(Sales_Data!$O$2:$O$3520,Sales_Data!$F$2:$F$3520,$A154,Sales_Data!$C$2:$C$3520,"&gt;="&amp;Dashboard!$C$5,Sales_Data!$C$2:$C$3520,"&lt;="&amp;Dashboard!$C$6,Sales_Data!$AE$2:$AE$3520,1)</f>
        <v>3</v>
      </c>
      <c r="L154" s="26" t="n">
        <f aca="false">SUMIFS(Sales_Data!$AF$2:$AF$3520,Sales_Data!$F$2:$F$3520,$A154,Sales_Data!$C$2:$C$3520,"&gt;="&amp;Dashboard!$C$5,Sales_Data!$C$2:$C$3520,"&lt;="&amp;Dashboard!$C$6)</f>
        <v>2</v>
      </c>
      <c r="M154" s="31" t="n">
        <f aca="false">IFERROR(K154/L154,0)</f>
        <v>1.5</v>
      </c>
      <c r="N154" s="26" t="n">
        <f aca="false">SUMIFS(Sales_Data!$O$2:$O$3520,Sales_Data!$F$2:$F$3520,$A154,Sales_Data!$C$2:$C$3520,"&gt;="&amp;Dashboard!$C$12,Sales_Data!$C$2:$C$3520,"&lt;="&amp;Dashboard!$C$13,Sales_Data!$AE$2:$AE$3520,1)</f>
        <v>0</v>
      </c>
      <c r="O154" s="28" t="n">
        <f aca="false">K154-N154</f>
        <v>3</v>
      </c>
      <c r="P154" s="54" t="n">
        <f aca="false">IF(W154=0,"-",W154)</f>
        <v>46303</v>
      </c>
      <c r="Q154" s="52" t="n">
        <f aca="false">IF(W154=0,"-",$B$2-W154)</f>
        <v>0</v>
      </c>
      <c r="R154" s="52" t="n">
        <f aca="false">IF(T154=1,COUNTIFS($T$5:$T$254,1,$K$5:$K$254,"&gt;"&amp;K154)+1,"-")</f>
        <v>59</v>
      </c>
      <c r="S154" s="52" t="n">
        <f aca="false">COUNTIFS($C$5:$C$254,C154,$K$5:$K$254,"&gt;"&amp;K154)+1</f>
        <v>12</v>
      </c>
      <c r="T154" s="52" t="n">
        <f aca="false">IF(AND(OR(Dashboard!$C$7="All",D154=Dashboard!$C$7),OR(Dashboard!$C$8="All",C154=Dashboard!$C$8)),1,0)</f>
        <v>1</v>
      </c>
      <c r="U154" s="74" t="n">
        <f aca="false">IF(T154=1,K154+ROW()/1000000,-1)</f>
        <v>3.000154</v>
      </c>
      <c r="V154" s="74" t="n">
        <f aca="false">IF(AND(T154=1,E154="Production"),K154+ROW()/1000000,1000000000)</f>
        <v>1000000000</v>
      </c>
      <c r="W154" s="52" t="n">
        <f aca="false">SUMPRODUCT(MAX((Sales_Data!$F$2:$F$3520=A154)*Sales_Data!$C$2:$C$3520))</f>
        <v>46303</v>
      </c>
    </row>
    <row r="155" customFormat="false" ht="15" hidden="false" customHeight="false" outlineLevel="0" collapsed="false">
      <c r="A155" s="53" t="s">
        <v>6328</v>
      </c>
      <c r="B155" s="48" t="s">
        <v>6329</v>
      </c>
      <c r="C155" s="53" t="s">
        <v>55</v>
      </c>
      <c r="D155" s="53" t="s">
        <v>49</v>
      </c>
      <c r="E155" s="53" t="s">
        <v>3708</v>
      </c>
      <c r="F155" s="53" t="s">
        <v>209</v>
      </c>
      <c r="G155" s="53" t="s">
        <v>6674</v>
      </c>
      <c r="H155" s="26" t="n">
        <f aca="false">SUMIFS(Sales_Data!$AE$2:$AE$3520,Sales_Data!$F$2:$F$3520,$A155,Sales_Data!$C$2:$C$3520,"&gt;="&amp;Dashboard!$C$5,Sales_Data!$C$2:$C$3520,"&lt;="&amp;Dashboard!$C$6)</f>
        <v>1</v>
      </c>
      <c r="I155" s="26" t="n">
        <f aca="false">SUMIFS(Sales_Data!$M$2:$M$3520,Sales_Data!$F$2:$F$3520,$A155,Sales_Data!$C$2:$C$3520,"&gt;="&amp;Dashboard!$C$5,Sales_Data!$C$2:$C$3520,"&lt;="&amp;Dashboard!$C$6,Sales_Data!$AE$2:$AE$3520,1)</f>
        <v>0</v>
      </c>
      <c r="J155" s="26" t="n">
        <f aca="false">SUMIFS(Sales_Data!$N$2:$N$3520,Sales_Data!$F$2:$F$3520,$A155,Sales_Data!$C$2:$C$3520,"&gt;="&amp;Dashboard!$C$5,Sales_Data!$C$2:$C$3520,"&lt;="&amp;Dashboard!$C$6,Sales_Data!$AE$2:$AE$3520,1)</f>
        <v>4</v>
      </c>
      <c r="K155" s="27" t="n">
        <f aca="false">SUMIFS(Sales_Data!$O$2:$O$3520,Sales_Data!$F$2:$F$3520,$A155,Sales_Data!$C$2:$C$3520,"&gt;="&amp;Dashboard!$C$5,Sales_Data!$C$2:$C$3520,"&lt;="&amp;Dashboard!$C$6,Sales_Data!$AE$2:$AE$3520,1)</f>
        <v>4</v>
      </c>
      <c r="L155" s="26" t="n">
        <f aca="false">SUMIFS(Sales_Data!$AF$2:$AF$3520,Sales_Data!$F$2:$F$3520,$A155,Sales_Data!$C$2:$C$3520,"&gt;="&amp;Dashboard!$C$5,Sales_Data!$C$2:$C$3520,"&lt;="&amp;Dashboard!$C$6)</f>
        <v>1</v>
      </c>
      <c r="M155" s="31" t="n">
        <f aca="false">IFERROR(K155/L155,0)</f>
        <v>4</v>
      </c>
      <c r="N155" s="26" t="n">
        <f aca="false">SUMIFS(Sales_Data!$O$2:$O$3520,Sales_Data!$F$2:$F$3520,$A155,Sales_Data!$C$2:$C$3520,"&gt;="&amp;Dashboard!$C$12,Sales_Data!$C$2:$C$3520,"&lt;="&amp;Dashboard!$C$13,Sales_Data!$AE$2:$AE$3520,1)</f>
        <v>0</v>
      </c>
      <c r="O155" s="28" t="n">
        <f aca="false">K155-N155</f>
        <v>4</v>
      </c>
      <c r="P155" s="54" t="n">
        <f aca="false">IF(W155=0,"-",W155)</f>
        <v>46303</v>
      </c>
      <c r="Q155" s="52" t="n">
        <f aca="false">IF(W155=0,"-",$B$2-W155)</f>
        <v>0</v>
      </c>
      <c r="R155" s="52" t="n">
        <f aca="false">IF(T155=1,COUNTIFS($T$5:$T$254,1,$K$5:$K$254,"&gt;"&amp;K155)+1,"-")</f>
        <v>39</v>
      </c>
      <c r="S155" s="52" t="n">
        <f aca="false">COUNTIFS($C$5:$C$254,C155,$K$5:$K$254,"&gt;"&amp;K155)+1</f>
        <v>9</v>
      </c>
      <c r="T155" s="52" t="n">
        <f aca="false">IF(AND(OR(Dashboard!$C$7="All",D155=Dashboard!$C$7),OR(Dashboard!$C$8="All",C155=Dashboard!$C$8)),1,0)</f>
        <v>1</v>
      </c>
      <c r="U155" s="74" t="n">
        <f aca="false">IF(T155=1,K155+ROW()/1000000,-1)</f>
        <v>4.000155</v>
      </c>
      <c r="V155" s="74" t="n">
        <f aca="false">IF(AND(T155=1,E155="Production"),K155+ROW()/1000000,1000000000)</f>
        <v>1000000000</v>
      </c>
      <c r="W155" s="52" t="n">
        <f aca="false">SUMPRODUCT(MAX((Sales_Data!$F$2:$F$3520=A155)*Sales_Data!$C$2:$C$3520))</f>
        <v>46303</v>
      </c>
    </row>
    <row r="156" customFormat="false" ht="15" hidden="false" customHeight="false" outlineLevel="0" collapsed="false">
      <c r="A156" s="53" t="s">
        <v>5270</v>
      </c>
      <c r="B156" s="48" t="s">
        <v>5271</v>
      </c>
      <c r="C156" s="53" t="s">
        <v>55</v>
      </c>
      <c r="D156" s="53" t="s">
        <v>49</v>
      </c>
      <c r="E156" s="53" t="s">
        <v>3708</v>
      </c>
      <c r="F156" s="53" t="s">
        <v>209</v>
      </c>
      <c r="G156" s="53" t="s">
        <v>6674</v>
      </c>
      <c r="H156" s="26" t="n">
        <f aca="false">SUMIFS(Sales_Data!$AE$2:$AE$3520,Sales_Data!$F$2:$F$3520,$A156,Sales_Data!$C$2:$C$3520,"&gt;="&amp;Dashboard!$C$5,Sales_Data!$C$2:$C$3520,"&lt;="&amp;Dashboard!$C$6)</f>
        <v>10</v>
      </c>
      <c r="I156" s="26" t="n">
        <f aca="false">SUMIFS(Sales_Data!$M$2:$M$3520,Sales_Data!$F$2:$F$3520,$A156,Sales_Data!$C$2:$C$3520,"&gt;="&amp;Dashboard!$C$5,Sales_Data!$C$2:$C$3520,"&lt;="&amp;Dashboard!$C$6,Sales_Data!$AE$2:$AE$3520,1)</f>
        <v>0</v>
      </c>
      <c r="J156" s="26" t="n">
        <f aca="false">SUMIFS(Sales_Data!$N$2:$N$3520,Sales_Data!$F$2:$F$3520,$A156,Sales_Data!$C$2:$C$3520,"&gt;="&amp;Dashboard!$C$5,Sales_Data!$C$2:$C$3520,"&lt;="&amp;Dashboard!$C$6,Sales_Data!$AE$2:$AE$3520,1)</f>
        <v>13</v>
      </c>
      <c r="K156" s="27" t="n">
        <f aca="false">SUMIFS(Sales_Data!$O$2:$O$3520,Sales_Data!$F$2:$F$3520,$A156,Sales_Data!$C$2:$C$3520,"&gt;="&amp;Dashboard!$C$5,Sales_Data!$C$2:$C$3520,"&lt;="&amp;Dashboard!$C$6,Sales_Data!$AE$2:$AE$3520,1)</f>
        <v>13</v>
      </c>
      <c r="L156" s="26" t="n">
        <f aca="false">SUMIFS(Sales_Data!$AF$2:$AF$3520,Sales_Data!$F$2:$F$3520,$A156,Sales_Data!$C$2:$C$3520,"&gt;="&amp;Dashboard!$C$5,Sales_Data!$C$2:$C$3520,"&lt;="&amp;Dashboard!$C$6)</f>
        <v>4</v>
      </c>
      <c r="M156" s="31" t="n">
        <f aca="false">IFERROR(K156/L156,0)</f>
        <v>3.25</v>
      </c>
      <c r="N156" s="26" t="n">
        <f aca="false">SUMIFS(Sales_Data!$O$2:$O$3520,Sales_Data!$F$2:$F$3520,$A156,Sales_Data!$C$2:$C$3520,"&gt;="&amp;Dashboard!$C$12,Sales_Data!$C$2:$C$3520,"&lt;="&amp;Dashboard!$C$13,Sales_Data!$AE$2:$AE$3520,1)</f>
        <v>4</v>
      </c>
      <c r="O156" s="28" t="n">
        <f aca="false">K156-N156</f>
        <v>9</v>
      </c>
      <c r="P156" s="54" t="n">
        <f aca="false">IF(W156=0,"-",W156)</f>
        <v>46303</v>
      </c>
      <c r="Q156" s="52" t="n">
        <f aca="false">IF(W156=0,"-",$B$2-W156)</f>
        <v>0</v>
      </c>
      <c r="R156" s="52" t="n">
        <f aca="false">IF(T156=1,COUNTIFS($T$5:$T$254,1,$K$5:$K$254,"&gt;"&amp;K156)+1,"-")</f>
        <v>4</v>
      </c>
      <c r="S156" s="52" t="n">
        <f aca="false">COUNTIFS($C$5:$C$254,C156,$K$5:$K$254,"&gt;"&amp;K156)+1</f>
        <v>1</v>
      </c>
      <c r="T156" s="52" t="n">
        <f aca="false">IF(AND(OR(Dashboard!$C$7="All",D156=Dashboard!$C$7),OR(Dashboard!$C$8="All",C156=Dashboard!$C$8)),1,0)</f>
        <v>1</v>
      </c>
      <c r="U156" s="74" t="n">
        <f aca="false">IF(T156=1,K156+ROW()/1000000,-1)</f>
        <v>13.000156</v>
      </c>
      <c r="V156" s="74" t="n">
        <f aca="false">IF(AND(T156=1,E156="Production"),K156+ROW()/1000000,1000000000)</f>
        <v>1000000000</v>
      </c>
      <c r="W156" s="52" t="n">
        <f aca="false">SUMPRODUCT(MAX((Sales_Data!$F$2:$F$3520=A156)*Sales_Data!$C$2:$C$3520))</f>
        <v>46303</v>
      </c>
    </row>
    <row r="157" customFormat="false" ht="15" hidden="false" customHeight="false" outlineLevel="0" collapsed="false">
      <c r="A157" s="53" t="s">
        <v>5227</v>
      </c>
      <c r="B157" s="48" t="s">
        <v>5228</v>
      </c>
      <c r="C157" s="53" t="s">
        <v>55</v>
      </c>
      <c r="D157" s="53" t="s">
        <v>49</v>
      </c>
      <c r="E157" s="53" t="s">
        <v>3708</v>
      </c>
      <c r="F157" s="53" t="s">
        <v>209</v>
      </c>
      <c r="G157" s="53" t="s">
        <v>6674</v>
      </c>
      <c r="H157" s="26" t="n">
        <f aca="false">SUMIFS(Sales_Data!$AE$2:$AE$3520,Sales_Data!$F$2:$F$3520,$A157,Sales_Data!$C$2:$C$3520,"&gt;="&amp;Dashboard!$C$5,Sales_Data!$C$2:$C$3520,"&lt;="&amp;Dashboard!$C$6)</f>
        <v>4</v>
      </c>
      <c r="I157" s="26" t="n">
        <f aca="false">SUMIFS(Sales_Data!$M$2:$M$3520,Sales_Data!$F$2:$F$3520,$A157,Sales_Data!$C$2:$C$3520,"&gt;="&amp;Dashboard!$C$5,Sales_Data!$C$2:$C$3520,"&lt;="&amp;Dashboard!$C$6,Sales_Data!$AE$2:$AE$3520,1)</f>
        <v>1</v>
      </c>
      <c r="J157" s="26" t="n">
        <f aca="false">SUMIFS(Sales_Data!$N$2:$N$3520,Sales_Data!$F$2:$F$3520,$A157,Sales_Data!$C$2:$C$3520,"&gt;="&amp;Dashboard!$C$5,Sales_Data!$C$2:$C$3520,"&lt;="&amp;Dashboard!$C$6,Sales_Data!$AE$2:$AE$3520,1)</f>
        <v>3</v>
      </c>
      <c r="K157" s="27" t="n">
        <f aca="false">SUMIFS(Sales_Data!$O$2:$O$3520,Sales_Data!$F$2:$F$3520,$A157,Sales_Data!$C$2:$C$3520,"&gt;="&amp;Dashboard!$C$5,Sales_Data!$C$2:$C$3520,"&lt;="&amp;Dashboard!$C$6,Sales_Data!$AE$2:$AE$3520,1)</f>
        <v>4</v>
      </c>
      <c r="L157" s="26" t="n">
        <f aca="false">SUMIFS(Sales_Data!$AF$2:$AF$3520,Sales_Data!$F$2:$F$3520,$A157,Sales_Data!$C$2:$C$3520,"&gt;="&amp;Dashboard!$C$5,Sales_Data!$C$2:$C$3520,"&lt;="&amp;Dashboard!$C$6)</f>
        <v>3</v>
      </c>
      <c r="M157" s="31" t="n">
        <f aca="false">IFERROR(K157/L157,0)</f>
        <v>1.33333333333333</v>
      </c>
      <c r="N157" s="26" t="n">
        <f aca="false">SUMIFS(Sales_Data!$O$2:$O$3520,Sales_Data!$F$2:$F$3520,$A157,Sales_Data!$C$2:$C$3520,"&gt;="&amp;Dashboard!$C$12,Sales_Data!$C$2:$C$3520,"&lt;="&amp;Dashboard!$C$13,Sales_Data!$AE$2:$AE$3520,1)</f>
        <v>2</v>
      </c>
      <c r="O157" s="28" t="n">
        <f aca="false">K157-N157</f>
        <v>2</v>
      </c>
      <c r="P157" s="54" t="n">
        <f aca="false">IF(W157=0,"-",W157)</f>
        <v>46303</v>
      </c>
      <c r="Q157" s="52" t="n">
        <f aca="false">IF(W157=0,"-",$B$2-W157)</f>
        <v>0</v>
      </c>
      <c r="R157" s="52" t="n">
        <f aca="false">IF(T157=1,COUNTIFS($T$5:$T$254,1,$K$5:$K$254,"&gt;"&amp;K157)+1,"-")</f>
        <v>39</v>
      </c>
      <c r="S157" s="52" t="n">
        <f aca="false">COUNTIFS($C$5:$C$254,C157,$K$5:$K$254,"&gt;"&amp;K157)+1</f>
        <v>9</v>
      </c>
      <c r="T157" s="52" t="n">
        <f aca="false">IF(AND(OR(Dashboard!$C$7="All",D157=Dashboard!$C$7),OR(Dashboard!$C$8="All",C157=Dashboard!$C$8)),1,0)</f>
        <v>1</v>
      </c>
      <c r="U157" s="74" t="n">
        <f aca="false">IF(T157=1,K157+ROW()/1000000,-1)</f>
        <v>4.000157</v>
      </c>
      <c r="V157" s="74" t="n">
        <f aca="false">IF(AND(T157=1,E157="Production"),K157+ROW()/1000000,1000000000)</f>
        <v>1000000000</v>
      </c>
      <c r="W157" s="52" t="n">
        <f aca="false">SUMPRODUCT(MAX((Sales_Data!$F$2:$F$3520=A157)*Sales_Data!$C$2:$C$3520))</f>
        <v>46303</v>
      </c>
    </row>
    <row r="158" customFormat="false" ht="15" hidden="false" customHeight="false" outlineLevel="0" collapsed="false">
      <c r="A158" s="53" t="s">
        <v>5255</v>
      </c>
      <c r="B158" s="48" t="s">
        <v>5256</v>
      </c>
      <c r="C158" s="53" t="s">
        <v>55</v>
      </c>
      <c r="D158" s="53" t="s">
        <v>49</v>
      </c>
      <c r="E158" s="53" t="s">
        <v>3708</v>
      </c>
      <c r="F158" s="53" t="s">
        <v>209</v>
      </c>
      <c r="G158" s="53" t="s">
        <v>6674</v>
      </c>
      <c r="H158" s="26" t="n">
        <f aca="false">SUMIFS(Sales_Data!$AE$2:$AE$3520,Sales_Data!$F$2:$F$3520,$A158,Sales_Data!$C$2:$C$3520,"&gt;="&amp;Dashboard!$C$5,Sales_Data!$C$2:$C$3520,"&lt;="&amp;Dashboard!$C$6)</f>
        <v>5</v>
      </c>
      <c r="I158" s="26" t="n">
        <f aca="false">SUMIFS(Sales_Data!$M$2:$M$3520,Sales_Data!$F$2:$F$3520,$A158,Sales_Data!$C$2:$C$3520,"&gt;="&amp;Dashboard!$C$5,Sales_Data!$C$2:$C$3520,"&lt;="&amp;Dashboard!$C$6,Sales_Data!$AE$2:$AE$3520,1)</f>
        <v>1</v>
      </c>
      <c r="J158" s="26" t="n">
        <f aca="false">SUMIFS(Sales_Data!$N$2:$N$3520,Sales_Data!$F$2:$F$3520,$A158,Sales_Data!$C$2:$C$3520,"&gt;="&amp;Dashboard!$C$5,Sales_Data!$C$2:$C$3520,"&lt;="&amp;Dashboard!$C$6,Sales_Data!$AE$2:$AE$3520,1)</f>
        <v>4</v>
      </c>
      <c r="K158" s="27" t="n">
        <f aca="false">SUMIFS(Sales_Data!$O$2:$O$3520,Sales_Data!$F$2:$F$3520,$A158,Sales_Data!$C$2:$C$3520,"&gt;="&amp;Dashboard!$C$5,Sales_Data!$C$2:$C$3520,"&lt;="&amp;Dashboard!$C$6,Sales_Data!$AE$2:$AE$3520,1)</f>
        <v>5</v>
      </c>
      <c r="L158" s="26" t="n">
        <f aca="false">SUMIFS(Sales_Data!$AF$2:$AF$3520,Sales_Data!$F$2:$F$3520,$A158,Sales_Data!$C$2:$C$3520,"&gt;="&amp;Dashboard!$C$5,Sales_Data!$C$2:$C$3520,"&lt;="&amp;Dashboard!$C$6)</f>
        <v>4</v>
      </c>
      <c r="M158" s="31" t="n">
        <f aca="false">IFERROR(K158/L158,0)</f>
        <v>1.25</v>
      </c>
      <c r="N158" s="26" t="n">
        <f aca="false">SUMIFS(Sales_Data!$O$2:$O$3520,Sales_Data!$F$2:$F$3520,$A158,Sales_Data!$C$2:$C$3520,"&gt;="&amp;Dashboard!$C$12,Sales_Data!$C$2:$C$3520,"&lt;="&amp;Dashboard!$C$13,Sales_Data!$AE$2:$AE$3520,1)</f>
        <v>2</v>
      </c>
      <c r="O158" s="28" t="n">
        <f aca="false">K158-N158</f>
        <v>3</v>
      </c>
      <c r="P158" s="54" t="n">
        <f aca="false">IF(W158=0,"-",W158)</f>
        <v>46303</v>
      </c>
      <c r="Q158" s="52" t="n">
        <f aca="false">IF(W158=0,"-",$B$2-W158)</f>
        <v>0</v>
      </c>
      <c r="R158" s="52" t="n">
        <f aca="false">IF(T158=1,COUNTIFS($T$5:$T$254,1,$K$5:$K$254,"&gt;"&amp;K158)+1,"-")</f>
        <v>28</v>
      </c>
      <c r="S158" s="52" t="n">
        <f aca="false">COUNTIFS($C$5:$C$254,C158,$K$5:$K$254,"&gt;"&amp;K158)+1</f>
        <v>6</v>
      </c>
      <c r="T158" s="52" t="n">
        <f aca="false">IF(AND(OR(Dashboard!$C$7="All",D158=Dashboard!$C$7),OR(Dashboard!$C$8="All",C158=Dashboard!$C$8)),1,0)</f>
        <v>1</v>
      </c>
      <c r="U158" s="74" t="n">
        <f aca="false">IF(T158=1,K158+ROW()/1000000,-1)</f>
        <v>5.000158</v>
      </c>
      <c r="V158" s="74" t="n">
        <f aca="false">IF(AND(T158=1,E158="Production"),K158+ROW()/1000000,1000000000)</f>
        <v>1000000000</v>
      </c>
      <c r="W158" s="52" t="n">
        <f aca="false">SUMPRODUCT(MAX((Sales_Data!$F$2:$F$3520=A158)*Sales_Data!$C$2:$C$3520))</f>
        <v>46303</v>
      </c>
    </row>
    <row r="159" customFormat="false" ht="15" hidden="false" customHeight="false" outlineLevel="0" collapsed="false">
      <c r="A159" s="53" t="s">
        <v>6696</v>
      </c>
      <c r="B159" s="48" t="s">
        <v>6697</v>
      </c>
      <c r="C159" s="53" t="s">
        <v>56</v>
      </c>
      <c r="D159" s="53" t="s">
        <v>49</v>
      </c>
      <c r="E159" s="53" t="s">
        <v>3708</v>
      </c>
      <c r="F159" s="53" t="s">
        <v>209</v>
      </c>
      <c r="G159" s="53" t="s">
        <v>6699</v>
      </c>
      <c r="H159" s="26" t="n">
        <f aca="false">SUMIFS(Sales_Data!$AE$2:$AE$3520,Sales_Data!$F$2:$F$3520,$A159,Sales_Data!$C$2:$C$3520,"&gt;="&amp;Dashboard!$C$5,Sales_Data!$C$2:$C$3520,"&lt;="&amp;Dashboard!$C$6)</f>
        <v>0</v>
      </c>
      <c r="I159" s="26" t="n">
        <f aca="false">SUMIFS(Sales_Data!$M$2:$M$3520,Sales_Data!$F$2:$F$3520,$A159,Sales_Data!$C$2:$C$3520,"&gt;="&amp;Dashboard!$C$5,Sales_Data!$C$2:$C$3520,"&lt;="&amp;Dashboard!$C$6,Sales_Data!$AE$2:$AE$3520,1)</f>
        <v>0</v>
      </c>
      <c r="J159" s="26" t="n">
        <f aca="false">SUMIFS(Sales_Data!$N$2:$N$3520,Sales_Data!$F$2:$F$3520,$A159,Sales_Data!$C$2:$C$3520,"&gt;="&amp;Dashboard!$C$5,Sales_Data!$C$2:$C$3520,"&lt;="&amp;Dashboard!$C$6,Sales_Data!$AE$2:$AE$3520,1)</f>
        <v>0</v>
      </c>
      <c r="K159" s="27" t="n">
        <f aca="false">SUMIFS(Sales_Data!$O$2:$O$3520,Sales_Data!$F$2:$F$3520,$A159,Sales_Data!$C$2:$C$3520,"&gt;="&amp;Dashboard!$C$5,Sales_Data!$C$2:$C$3520,"&lt;="&amp;Dashboard!$C$6,Sales_Data!$AE$2:$AE$3520,1)</f>
        <v>0</v>
      </c>
      <c r="L159" s="26" t="n">
        <f aca="false">SUMIFS(Sales_Data!$AF$2:$AF$3520,Sales_Data!$F$2:$F$3520,$A159,Sales_Data!$C$2:$C$3520,"&gt;="&amp;Dashboard!$C$5,Sales_Data!$C$2:$C$3520,"&lt;="&amp;Dashboard!$C$6)</f>
        <v>0</v>
      </c>
      <c r="M159" s="31" t="n">
        <f aca="false">IFERROR(K159/L159,0)</f>
        <v>0</v>
      </c>
      <c r="N159" s="26" t="n">
        <f aca="false">SUMIFS(Sales_Data!$O$2:$O$3520,Sales_Data!$F$2:$F$3520,$A159,Sales_Data!$C$2:$C$3520,"&gt;="&amp;Dashboard!$C$12,Sales_Data!$C$2:$C$3520,"&lt;="&amp;Dashboard!$C$13,Sales_Data!$AE$2:$AE$3520,1)</f>
        <v>0</v>
      </c>
      <c r="O159" s="28" t="n">
        <f aca="false">K159-N159</f>
        <v>0</v>
      </c>
      <c r="P159" s="54" t="str">
        <f aca="false">IF(W159=0,"-",W159)</f>
        <v>-</v>
      </c>
      <c r="Q159" s="52" t="str">
        <f aca="false">IF(W159=0,"-",$B$2-W159)</f>
        <v>-</v>
      </c>
      <c r="R159" s="52" t="n">
        <f aca="false">IF(T159=1,COUNTIFS($T$5:$T$254,1,$K$5:$K$254,"&gt;"&amp;K159)+1,"-")</f>
        <v>139</v>
      </c>
      <c r="S159" s="52" t="n">
        <f aca="false">COUNTIFS($C$5:$C$254,C159,$K$5:$K$254,"&gt;"&amp;K159)+1</f>
        <v>2</v>
      </c>
      <c r="T159" s="52" t="n">
        <f aca="false">IF(AND(OR(Dashboard!$C$7="All",D159=Dashboard!$C$7),OR(Dashboard!$C$8="All",C159=Dashboard!$C$8)),1,0)</f>
        <v>1</v>
      </c>
      <c r="U159" s="74" t="n">
        <f aca="false">IF(T159=1,K159+ROW()/1000000,-1)</f>
        <v>0.000159</v>
      </c>
      <c r="V159" s="74" t="n">
        <f aca="false">IF(AND(T159=1,E159="Production"),K159+ROW()/1000000,1000000000)</f>
        <v>1000000000</v>
      </c>
      <c r="W159" s="52" t="n">
        <f aca="false">SUMPRODUCT(MAX((Sales_Data!$F$2:$F$3520=A159)*Sales_Data!$C$2:$C$3520))</f>
        <v>0</v>
      </c>
    </row>
    <row r="160" customFormat="false" ht="15" hidden="false" customHeight="false" outlineLevel="0" collapsed="false">
      <c r="A160" s="53" t="s">
        <v>6700</v>
      </c>
      <c r="B160" s="48" t="s">
        <v>6701</v>
      </c>
      <c r="C160" s="53" t="s">
        <v>56</v>
      </c>
      <c r="D160" s="53" t="s">
        <v>49</v>
      </c>
      <c r="E160" s="53" t="s">
        <v>3708</v>
      </c>
      <c r="F160" s="53" t="s">
        <v>209</v>
      </c>
      <c r="G160" s="53" t="s">
        <v>6699</v>
      </c>
      <c r="H160" s="26" t="n">
        <f aca="false">SUMIFS(Sales_Data!$AE$2:$AE$3520,Sales_Data!$F$2:$F$3520,$A160,Sales_Data!$C$2:$C$3520,"&gt;="&amp;Dashboard!$C$5,Sales_Data!$C$2:$C$3520,"&lt;="&amp;Dashboard!$C$6)</f>
        <v>0</v>
      </c>
      <c r="I160" s="26" t="n">
        <f aca="false">SUMIFS(Sales_Data!$M$2:$M$3520,Sales_Data!$F$2:$F$3520,$A160,Sales_Data!$C$2:$C$3520,"&gt;="&amp;Dashboard!$C$5,Sales_Data!$C$2:$C$3520,"&lt;="&amp;Dashboard!$C$6,Sales_Data!$AE$2:$AE$3520,1)</f>
        <v>0</v>
      </c>
      <c r="J160" s="26" t="n">
        <f aca="false">SUMIFS(Sales_Data!$N$2:$N$3520,Sales_Data!$F$2:$F$3520,$A160,Sales_Data!$C$2:$C$3520,"&gt;="&amp;Dashboard!$C$5,Sales_Data!$C$2:$C$3520,"&lt;="&amp;Dashboard!$C$6,Sales_Data!$AE$2:$AE$3520,1)</f>
        <v>0</v>
      </c>
      <c r="K160" s="27" t="n">
        <f aca="false">SUMIFS(Sales_Data!$O$2:$O$3520,Sales_Data!$F$2:$F$3520,$A160,Sales_Data!$C$2:$C$3520,"&gt;="&amp;Dashboard!$C$5,Sales_Data!$C$2:$C$3520,"&lt;="&amp;Dashboard!$C$6,Sales_Data!$AE$2:$AE$3520,1)</f>
        <v>0</v>
      </c>
      <c r="L160" s="26" t="n">
        <f aca="false">SUMIFS(Sales_Data!$AF$2:$AF$3520,Sales_Data!$F$2:$F$3520,$A160,Sales_Data!$C$2:$C$3520,"&gt;="&amp;Dashboard!$C$5,Sales_Data!$C$2:$C$3520,"&lt;="&amp;Dashboard!$C$6)</f>
        <v>0</v>
      </c>
      <c r="M160" s="31" t="n">
        <f aca="false">IFERROR(K160/L160,0)</f>
        <v>0</v>
      </c>
      <c r="N160" s="26" t="n">
        <f aca="false">SUMIFS(Sales_Data!$O$2:$O$3520,Sales_Data!$F$2:$F$3520,$A160,Sales_Data!$C$2:$C$3520,"&gt;="&amp;Dashboard!$C$12,Sales_Data!$C$2:$C$3520,"&lt;="&amp;Dashboard!$C$13,Sales_Data!$AE$2:$AE$3520,1)</f>
        <v>0</v>
      </c>
      <c r="O160" s="28" t="n">
        <f aca="false">K160-N160</f>
        <v>0</v>
      </c>
      <c r="P160" s="54" t="str">
        <f aca="false">IF(W160=0,"-",W160)</f>
        <v>-</v>
      </c>
      <c r="Q160" s="52" t="str">
        <f aca="false">IF(W160=0,"-",$B$2-W160)</f>
        <v>-</v>
      </c>
      <c r="R160" s="52" t="n">
        <f aca="false">IF(T160=1,COUNTIFS($T$5:$T$254,1,$K$5:$K$254,"&gt;"&amp;K160)+1,"-")</f>
        <v>139</v>
      </c>
      <c r="S160" s="52" t="n">
        <f aca="false">COUNTIFS($C$5:$C$254,C160,$K$5:$K$254,"&gt;"&amp;K160)+1</f>
        <v>2</v>
      </c>
      <c r="T160" s="52" t="n">
        <f aca="false">IF(AND(OR(Dashboard!$C$7="All",D160=Dashboard!$C$7),OR(Dashboard!$C$8="All",C160=Dashboard!$C$8)),1,0)</f>
        <v>1</v>
      </c>
      <c r="U160" s="74" t="n">
        <f aca="false">IF(T160=1,K160+ROW()/1000000,-1)</f>
        <v>0.00016</v>
      </c>
      <c r="V160" s="74" t="n">
        <f aca="false">IF(AND(T160=1,E160="Production"),K160+ROW()/1000000,1000000000)</f>
        <v>1000000000</v>
      </c>
      <c r="W160" s="52" t="n">
        <f aca="false">SUMPRODUCT(MAX((Sales_Data!$F$2:$F$3520=A160)*Sales_Data!$C$2:$C$3520))</f>
        <v>0</v>
      </c>
    </row>
    <row r="161" customFormat="false" ht="15" hidden="false" customHeight="false" outlineLevel="0" collapsed="false">
      <c r="A161" s="53" t="s">
        <v>6703</v>
      </c>
      <c r="B161" s="48" t="s">
        <v>6704</v>
      </c>
      <c r="C161" s="53" t="s">
        <v>56</v>
      </c>
      <c r="D161" s="53" t="s">
        <v>49</v>
      </c>
      <c r="E161" s="53" t="s">
        <v>3708</v>
      </c>
      <c r="F161" s="53" t="s">
        <v>209</v>
      </c>
      <c r="G161" s="53" t="s">
        <v>6699</v>
      </c>
      <c r="H161" s="26" t="n">
        <f aca="false">SUMIFS(Sales_Data!$AE$2:$AE$3520,Sales_Data!$F$2:$F$3520,$A161,Sales_Data!$C$2:$C$3520,"&gt;="&amp;Dashboard!$C$5,Sales_Data!$C$2:$C$3520,"&lt;="&amp;Dashboard!$C$6)</f>
        <v>0</v>
      </c>
      <c r="I161" s="26" t="n">
        <f aca="false">SUMIFS(Sales_Data!$M$2:$M$3520,Sales_Data!$F$2:$F$3520,$A161,Sales_Data!$C$2:$C$3520,"&gt;="&amp;Dashboard!$C$5,Sales_Data!$C$2:$C$3520,"&lt;="&amp;Dashboard!$C$6,Sales_Data!$AE$2:$AE$3520,1)</f>
        <v>0</v>
      </c>
      <c r="J161" s="26" t="n">
        <f aca="false">SUMIFS(Sales_Data!$N$2:$N$3520,Sales_Data!$F$2:$F$3520,$A161,Sales_Data!$C$2:$C$3520,"&gt;="&amp;Dashboard!$C$5,Sales_Data!$C$2:$C$3520,"&lt;="&amp;Dashboard!$C$6,Sales_Data!$AE$2:$AE$3520,1)</f>
        <v>0</v>
      </c>
      <c r="K161" s="27" t="n">
        <f aca="false">SUMIFS(Sales_Data!$O$2:$O$3520,Sales_Data!$F$2:$F$3520,$A161,Sales_Data!$C$2:$C$3520,"&gt;="&amp;Dashboard!$C$5,Sales_Data!$C$2:$C$3520,"&lt;="&amp;Dashboard!$C$6,Sales_Data!$AE$2:$AE$3520,1)</f>
        <v>0</v>
      </c>
      <c r="L161" s="26" t="n">
        <f aca="false">SUMIFS(Sales_Data!$AF$2:$AF$3520,Sales_Data!$F$2:$F$3520,$A161,Sales_Data!$C$2:$C$3520,"&gt;="&amp;Dashboard!$C$5,Sales_Data!$C$2:$C$3520,"&lt;="&amp;Dashboard!$C$6)</f>
        <v>0</v>
      </c>
      <c r="M161" s="31" t="n">
        <f aca="false">IFERROR(K161/L161,0)</f>
        <v>0</v>
      </c>
      <c r="N161" s="26" t="n">
        <f aca="false">SUMIFS(Sales_Data!$O$2:$O$3520,Sales_Data!$F$2:$F$3520,$A161,Sales_Data!$C$2:$C$3520,"&gt;="&amp;Dashboard!$C$12,Sales_Data!$C$2:$C$3520,"&lt;="&amp;Dashboard!$C$13,Sales_Data!$AE$2:$AE$3520,1)</f>
        <v>0</v>
      </c>
      <c r="O161" s="28" t="n">
        <f aca="false">K161-N161</f>
        <v>0</v>
      </c>
      <c r="P161" s="54" t="str">
        <f aca="false">IF(W161=0,"-",W161)</f>
        <v>-</v>
      </c>
      <c r="Q161" s="52" t="str">
        <f aca="false">IF(W161=0,"-",$B$2-W161)</f>
        <v>-</v>
      </c>
      <c r="R161" s="52" t="n">
        <f aca="false">IF(T161=1,COUNTIFS($T$5:$T$254,1,$K$5:$K$254,"&gt;"&amp;K161)+1,"-")</f>
        <v>139</v>
      </c>
      <c r="S161" s="52" t="n">
        <f aca="false">COUNTIFS($C$5:$C$254,C161,$K$5:$K$254,"&gt;"&amp;K161)+1</f>
        <v>2</v>
      </c>
      <c r="T161" s="52" t="n">
        <f aca="false">IF(AND(OR(Dashboard!$C$7="All",D161=Dashboard!$C$7),OR(Dashboard!$C$8="All",C161=Dashboard!$C$8)),1,0)</f>
        <v>1</v>
      </c>
      <c r="U161" s="74" t="n">
        <f aca="false">IF(T161=1,K161+ROW()/1000000,-1)</f>
        <v>0.000161</v>
      </c>
      <c r="V161" s="74" t="n">
        <f aca="false">IF(AND(T161=1,E161="Production"),K161+ROW()/1000000,1000000000)</f>
        <v>1000000000</v>
      </c>
      <c r="W161" s="52" t="n">
        <f aca="false">SUMPRODUCT(MAX((Sales_Data!$F$2:$F$3520=A161)*Sales_Data!$C$2:$C$3520))</f>
        <v>0</v>
      </c>
    </row>
    <row r="162" customFormat="false" ht="15" hidden="false" customHeight="false" outlineLevel="0" collapsed="false">
      <c r="A162" s="53" t="s">
        <v>6706</v>
      </c>
      <c r="B162" s="48" t="s">
        <v>6707</v>
      </c>
      <c r="C162" s="53" t="s">
        <v>56</v>
      </c>
      <c r="D162" s="53" t="s">
        <v>49</v>
      </c>
      <c r="E162" s="53" t="s">
        <v>3708</v>
      </c>
      <c r="F162" s="53" t="s">
        <v>209</v>
      </c>
      <c r="G162" s="53" t="s">
        <v>6699</v>
      </c>
      <c r="H162" s="26" t="n">
        <f aca="false">SUMIFS(Sales_Data!$AE$2:$AE$3520,Sales_Data!$F$2:$F$3520,$A162,Sales_Data!$C$2:$C$3520,"&gt;="&amp;Dashboard!$C$5,Sales_Data!$C$2:$C$3520,"&lt;="&amp;Dashboard!$C$6)</f>
        <v>0</v>
      </c>
      <c r="I162" s="26" t="n">
        <f aca="false">SUMIFS(Sales_Data!$M$2:$M$3520,Sales_Data!$F$2:$F$3520,$A162,Sales_Data!$C$2:$C$3520,"&gt;="&amp;Dashboard!$C$5,Sales_Data!$C$2:$C$3520,"&lt;="&amp;Dashboard!$C$6,Sales_Data!$AE$2:$AE$3520,1)</f>
        <v>0</v>
      </c>
      <c r="J162" s="26" t="n">
        <f aca="false">SUMIFS(Sales_Data!$N$2:$N$3520,Sales_Data!$F$2:$F$3520,$A162,Sales_Data!$C$2:$C$3520,"&gt;="&amp;Dashboard!$C$5,Sales_Data!$C$2:$C$3520,"&lt;="&amp;Dashboard!$C$6,Sales_Data!$AE$2:$AE$3520,1)</f>
        <v>0</v>
      </c>
      <c r="K162" s="27" t="n">
        <f aca="false">SUMIFS(Sales_Data!$O$2:$O$3520,Sales_Data!$F$2:$F$3520,$A162,Sales_Data!$C$2:$C$3520,"&gt;="&amp;Dashboard!$C$5,Sales_Data!$C$2:$C$3520,"&lt;="&amp;Dashboard!$C$6,Sales_Data!$AE$2:$AE$3520,1)</f>
        <v>0</v>
      </c>
      <c r="L162" s="26" t="n">
        <f aca="false">SUMIFS(Sales_Data!$AF$2:$AF$3520,Sales_Data!$F$2:$F$3520,$A162,Sales_Data!$C$2:$C$3520,"&gt;="&amp;Dashboard!$C$5,Sales_Data!$C$2:$C$3520,"&lt;="&amp;Dashboard!$C$6)</f>
        <v>0</v>
      </c>
      <c r="M162" s="31" t="n">
        <f aca="false">IFERROR(K162/L162,0)</f>
        <v>0</v>
      </c>
      <c r="N162" s="26" t="n">
        <f aca="false">SUMIFS(Sales_Data!$O$2:$O$3520,Sales_Data!$F$2:$F$3520,$A162,Sales_Data!$C$2:$C$3520,"&gt;="&amp;Dashboard!$C$12,Sales_Data!$C$2:$C$3520,"&lt;="&amp;Dashboard!$C$13,Sales_Data!$AE$2:$AE$3520,1)</f>
        <v>0</v>
      </c>
      <c r="O162" s="28" t="n">
        <f aca="false">K162-N162</f>
        <v>0</v>
      </c>
      <c r="P162" s="54" t="str">
        <f aca="false">IF(W162=0,"-",W162)</f>
        <v>-</v>
      </c>
      <c r="Q162" s="52" t="str">
        <f aca="false">IF(W162=0,"-",$B$2-W162)</f>
        <v>-</v>
      </c>
      <c r="R162" s="52" t="n">
        <f aca="false">IF(T162=1,COUNTIFS($T$5:$T$254,1,$K$5:$K$254,"&gt;"&amp;K162)+1,"-")</f>
        <v>139</v>
      </c>
      <c r="S162" s="52" t="n">
        <f aca="false">COUNTIFS($C$5:$C$254,C162,$K$5:$K$254,"&gt;"&amp;K162)+1</f>
        <v>2</v>
      </c>
      <c r="T162" s="52" t="n">
        <f aca="false">IF(AND(OR(Dashboard!$C$7="All",D162=Dashboard!$C$7),OR(Dashboard!$C$8="All",C162=Dashboard!$C$8)),1,0)</f>
        <v>1</v>
      </c>
      <c r="U162" s="74" t="n">
        <f aca="false">IF(T162=1,K162+ROW()/1000000,-1)</f>
        <v>0.000162</v>
      </c>
      <c r="V162" s="74" t="n">
        <f aca="false">IF(AND(T162=1,E162="Production"),K162+ROW()/1000000,1000000000)</f>
        <v>1000000000</v>
      </c>
      <c r="W162" s="52" t="n">
        <f aca="false">SUMPRODUCT(MAX((Sales_Data!$F$2:$F$3520=A162)*Sales_Data!$C$2:$C$3520))</f>
        <v>0</v>
      </c>
    </row>
    <row r="163" customFormat="false" ht="15" hidden="false" customHeight="false" outlineLevel="0" collapsed="false">
      <c r="A163" s="53" t="s">
        <v>5521</v>
      </c>
      <c r="B163" s="48" t="s">
        <v>5522</v>
      </c>
      <c r="C163" s="53" t="s">
        <v>56</v>
      </c>
      <c r="D163" s="53" t="s">
        <v>49</v>
      </c>
      <c r="E163" s="53" t="s">
        <v>3708</v>
      </c>
      <c r="F163" s="53" t="s">
        <v>209</v>
      </c>
      <c r="G163" s="53" t="s">
        <v>6699</v>
      </c>
      <c r="H163" s="26" t="n">
        <f aca="false">SUMIFS(Sales_Data!$AE$2:$AE$3520,Sales_Data!$F$2:$F$3520,$A163,Sales_Data!$C$2:$C$3520,"&gt;="&amp;Dashboard!$C$5,Sales_Data!$C$2:$C$3520,"&lt;="&amp;Dashboard!$C$6)</f>
        <v>1</v>
      </c>
      <c r="I163" s="26" t="n">
        <f aca="false">SUMIFS(Sales_Data!$M$2:$M$3520,Sales_Data!$F$2:$F$3520,$A163,Sales_Data!$C$2:$C$3520,"&gt;="&amp;Dashboard!$C$5,Sales_Data!$C$2:$C$3520,"&lt;="&amp;Dashboard!$C$6,Sales_Data!$AE$2:$AE$3520,1)</f>
        <v>0</v>
      </c>
      <c r="J163" s="26" t="n">
        <f aca="false">SUMIFS(Sales_Data!$N$2:$N$3520,Sales_Data!$F$2:$F$3520,$A163,Sales_Data!$C$2:$C$3520,"&gt;="&amp;Dashboard!$C$5,Sales_Data!$C$2:$C$3520,"&lt;="&amp;Dashboard!$C$6,Sales_Data!$AE$2:$AE$3520,1)</f>
        <v>1</v>
      </c>
      <c r="K163" s="27" t="n">
        <f aca="false">SUMIFS(Sales_Data!$O$2:$O$3520,Sales_Data!$F$2:$F$3520,$A163,Sales_Data!$C$2:$C$3520,"&gt;="&amp;Dashboard!$C$5,Sales_Data!$C$2:$C$3520,"&lt;="&amp;Dashboard!$C$6,Sales_Data!$AE$2:$AE$3520,1)</f>
        <v>1</v>
      </c>
      <c r="L163" s="26" t="n">
        <f aca="false">SUMIFS(Sales_Data!$AF$2:$AF$3520,Sales_Data!$F$2:$F$3520,$A163,Sales_Data!$C$2:$C$3520,"&gt;="&amp;Dashboard!$C$5,Sales_Data!$C$2:$C$3520,"&lt;="&amp;Dashboard!$C$6)</f>
        <v>1</v>
      </c>
      <c r="M163" s="31" t="n">
        <f aca="false">IFERROR(K163/L163,0)</f>
        <v>1</v>
      </c>
      <c r="N163" s="26" t="n">
        <f aca="false">SUMIFS(Sales_Data!$O$2:$O$3520,Sales_Data!$F$2:$F$3520,$A163,Sales_Data!$C$2:$C$3520,"&gt;="&amp;Dashboard!$C$12,Sales_Data!$C$2:$C$3520,"&lt;="&amp;Dashboard!$C$13,Sales_Data!$AE$2:$AE$3520,1)</f>
        <v>0</v>
      </c>
      <c r="O163" s="28" t="n">
        <f aca="false">K163-N163</f>
        <v>1</v>
      </c>
      <c r="P163" s="54" t="n">
        <f aca="false">IF(W163=0,"-",W163)</f>
        <v>46297</v>
      </c>
      <c r="Q163" s="52" t="n">
        <f aca="false">IF(W163=0,"-",$B$2-W163)</f>
        <v>6</v>
      </c>
      <c r="R163" s="52" t="n">
        <f aca="false">IF(T163=1,COUNTIFS($T$5:$T$254,1,$K$5:$K$254,"&gt;"&amp;K163)+1,"-")</f>
        <v>105</v>
      </c>
      <c r="S163" s="52" t="n">
        <f aca="false">COUNTIFS($C$5:$C$254,C163,$K$5:$K$254,"&gt;"&amp;K163)+1</f>
        <v>1</v>
      </c>
      <c r="T163" s="52" t="n">
        <f aca="false">IF(AND(OR(Dashboard!$C$7="All",D163=Dashboard!$C$7),OR(Dashboard!$C$8="All",C163=Dashboard!$C$8)),1,0)</f>
        <v>1</v>
      </c>
      <c r="U163" s="74" t="n">
        <f aca="false">IF(T163=1,K163+ROW()/1000000,-1)</f>
        <v>1.000163</v>
      </c>
      <c r="V163" s="74" t="n">
        <f aca="false">IF(AND(T163=1,E163="Production"),K163+ROW()/1000000,1000000000)</f>
        <v>1000000000</v>
      </c>
      <c r="W163" s="52" t="n">
        <f aca="false">SUMPRODUCT(MAX((Sales_Data!$F$2:$F$3520=A163)*Sales_Data!$C$2:$C$3520))</f>
        <v>46297</v>
      </c>
    </row>
    <row r="164" customFormat="false" ht="15" hidden="false" customHeight="false" outlineLevel="0" collapsed="false">
      <c r="A164" s="53" t="s">
        <v>5139</v>
      </c>
      <c r="B164" s="48" t="s">
        <v>5140</v>
      </c>
      <c r="C164" s="53" t="s">
        <v>56</v>
      </c>
      <c r="D164" s="53" t="s">
        <v>49</v>
      </c>
      <c r="E164" s="53" t="s">
        <v>3708</v>
      </c>
      <c r="F164" s="53" t="s">
        <v>209</v>
      </c>
      <c r="G164" s="53" t="s">
        <v>6699</v>
      </c>
      <c r="H164" s="26" t="n">
        <f aca="false">SUMIFS(Sales_Data!$AE$2:$AE$3520,Sales_Data!$F$2:$F$3520,$A164,Sales_Data!$C$2:$C$3520,"&gt;="&amp;Dashboard!$C$5,Sales_Data!$C$2:$C$3520,"&lt;="&amp;Dashboard!$C$6)</f>
        <v>0</v>
      </c>
      <c r="I164" s="26" t="n">
        <f aca="false">SUMIFS(Sales_Data!$M$2:$M$3520,Sales_Data!$F$2:$F$3520,$A164,Sales_Data!$C$2:$C$3520,"&gt;="&amp;Dashboard!$C$5,Sales_Data!$C$2:$C$3520,"&lt;="&amp;Dashboard!$C$6,Sales_Data!$AE$2:$AE$3520,1)</f>
        <v>0</v>
      </c>
      <c r="J164" s="26" t="n">
        <f aca="false">SUMIFS(Sales_Data!$N$2:$N$3520,Sales_Data!$F$2:$F$3520,$A164,Sales_Data!$C$2:$C$3520,"&gt;="&amp;Dashboard!$C$5,Sales_Data!$C$2:$C$3520,"&lt;="&amp;Dashboard!$C$6,Sales_Data!$AE$2:$AE$3520,1)</f>
        <v>0</v>
      </c>
      <c r="K164" s="27" t="n">
        <f aca="false">SUMIFS(Sales_Data!$O$2:$O$3520,Sales_Data!$F$2:$F$3520,$A164,Sales_Data!$C$2:$C$3520,"&gt;="&amp;Dashboard!$C$5,Sales_Data!$C$2:$C$3520,"&lt;="&amp;Dashboard!$C$6,Sales_Data!$AE$2:$AE$3520,1)</f>
        <v>0</v>
      </c>
      <c r="L164" s="26" t="n">
        <f aca="false">SUMIFS(Sales_Data!$AF$2:$AF$3520,Sales_Data!$F$2:$F$3520,$A164,Sales_Data!$C$2:$C$3520,"&gt;="&amp;Dashboard!$C$5,Sales_Data!$C$2:$C$3520,"&lt;="&amp;Dashboard!$C$6)</f>
        <v>0</v>
      </c>
      <c r="M164" s="31" t="n">
        <f aca="false">IFERROR(K164/L164,0)</f>
        <v>0</v>
      </c>
      <c r="N164" s="26" t="n">
        <f aca="false">SUMIFS(Sales_Data!$O$2:$O$3520,Sales_Data!$F$2:$F$3520,$A164,Sales_Data!$C$2:$C$3520,"&gt;="&amp;Dashboard!$C$12,Sales_Data!$C$2:$C$3520,"&lt;="&amp;Dashboard!$C$13,Sales_Data!$AE$2:$AE$3520,1)</f>
        <v>1</v>
      </c>
      <c r="O164" s="28" t="n">
        <f aca="false">K164-N164</f>
        <v>-1</v>
      </c>
      <c r="P164" s="54" t="n">
        <f aca="false">IF(W164=0,"-",W164)</f>
        <v>46293</v>
      </c>
      <c r="Q164" s="52" t="n">
        <f aca="false">IF(W164=0,"-",$B$2-W164)</f>
        <v>10</v>
      </c>
      <c r="R164" s="52" t="n">
        <f aca="false">IF(T164=1,COUNTIFS($T$5:$T$254,1,$K$5:$K$254,"&gt;"&amp;K164)+1,"-")</f>
        <v>139</v>
      </c>
      <c r="S164" s="52" t="n">
        <f aca="false">COUNTIFS($C$5:$C$254,C164,$K$5:$K$254,"&gt;"&amp;K164)+1</f>
        <v>2</v>
      </c>
      <c r="T164" s="52" t="n">
        <f aca="false">IF(AND(OR(Dashboard!$C$7="All",D164=Dashboard!$C$7),OR(Dashboard!$C$8="All",C164=Dashboard!$C$8)),1,0)</f>
        <v>1</v>
      </c>
      <c r="U164" s="74" t="n">
        <f aca="false">IF(T164=1,K164+ROW()/1000000,-1)</f>
        <v>0.000164</v>
      </c>
      <c r="V164" s="74" t="n">
        <f aca="false">IF(AND(T164=1,E164="Production"),K164+ROW()/1000000,1000000000)</f>
        <v>1000000000</v>
      </c>
      <c r="W164" s="52" t="n">
        <f aca="false">SUMPRODUCT(MAX((Sales_Data!$F$2:$F$3520=A164)*Sales_Data!$C$2:$C$3520))</f>
        <v>46293</v>
      </c>
    </row>
    <row r="165" customFormat="false" ht="15" hidden="false" customHeight="false" outlineLevel="0" collapsed="false">
      <c r="A165" s="53" t="s">
        <v>6711</v>
      </c>
      <c r="B165" s="48" t="s">
        <v>6712</v>
      </c>
      <c r="C165" s="53" t="s">
        <v>56</v>
      </c>
      <c r="D165" s="53" t="s">
        <v>49</v>
      </c>
      <c r="E165" s="53" t="s">
        <v>3708</v>
      </c>
      <c r="F165" s="53" t="s">
        <v>209</v>
      </c>
      <c r="G165" s="53" t="s">
        <v>6699</v>
      </c>
      <c r="H165" s="26" t="n">
        <f aca="false">SUMIFS(Sales_Data!$AE$2:$AE$3520,Sales_Data!$F$2:$F$3520,$A165,Sales_Data!$C$2:$C$3520,"&gt;="&amp;Dashboard!$C$5,Sales_Data!$C$2:$C$3520,"&lt;="&amp;Dashboard!$C$6)</f>
        <v>0</v>
      </c>
      <c r="I165" s="26" t="n">
        <f aca="false">SUMIFS(Sales_Data!$M$2:$M$3520,Sales_Data!$F$2:$F$3520,$A165,Sales_Data!$C$2:$C$3520,"&gt;="&amp;Dashboard!$C$5,Sales_Data!$C$2:$C$3520,"&lt;="&amp;Dashboard!$C$6,Sales_Data!$AE$2:$AE$3520,1)</f>
        <v>0</v>
      </c>
      <c r="J165" s="26" t="n">
        <f aca="false">SUMIFS(Sales_Data!$N$2:$N$3520,Sales_Data!$F$2:$F$3520,$A165,Sales_Data!$C$2:$C$3520,"&gt;="&amp;Dashboard!$C$5,Sales_Data!$C$2:$C$3520,"&lt;="&amp;Dashboard!$C$6,Sales_Data!$AE$2:$AE$3520,1)</f>
        <v>0</v>
      </c>
      <c r="K165" s="27" t="n">
        <f aca="false">SUMIFS(Sales_Data!$O$2:$O$3520,Sales_Data!$F$2:$F$3520,$A165,Sales_Data!$C$2:$C$3520,"&gt;="&amp;Dashboard!$C$5,Sales_Data!$C$2:$C$3520,"&lt;="&amp;Dashboard!$C$6,Sales_Data!$AE$2:$AE$3520,1)</f>
        <v>0</v>
      </c>
      <c r="L165" s="26" t="n">
        <f aca="false">SUMIFS(Sales_Data!$AF$2:$AF$3520,Sales_Data!$F$2:$F$3520,$A165,Sales_Data!$C$2:$C$3520,"&gt;="&amp;Dashboard!$C$5,Sales_Data!$C$2:$C$3520,"&lt;="&amp;Dashboard!$C$6)</f>
        <v>0</v>
      </c>
      <c r="M165" s="31" t="n">
        <f aca="false">IFERROR(K165/L165,0)</f>
        <v>0</v>
      </c>
      <c r="N165" s="26" t="n">
        <f aca="false">SUMIFS(Sales_Data!$O$2:$O$3520,Sales_Data!$F$2:$F$3520,$A165,Sales_Data!$C$2:$C$3520,"&gt;="&amp;Dashboard!$C$12,Sales_Data!$C$2:$C$3520,"&lt;="&amp;Dashboard!$C$13,Sales_Data!$AE$2:$AE$3520,1)</f>
        <v>0</v>
      </c>
      <c r="O165" s="28" t="n">
        <f aca="false">K165-N165</f>
        <v>0</v>
      </c>
      <c r="P165" s="54" t="str">
        <f aca="false">IF(W165=0,"-",W165)</f>
        <v>-</v>
      </c>
      <c r="Q165" s="52" t="str">
        <f aca="false">IF(W165=0,"-",$B$2-W165)</f>
        <v>-</v>
      </c>
      <c r="R165" s="52" t="n">
        <f aca="false">IF(T165=1,COUNTIFS($T$5:$T$254,1,$K$5:$K$254,"&gt;"&amp;K165)+1,"-")</f>
        <v>139</v>
      </c>
      <c r="S165" s="52" t="n">
        <f aca="false">COUNTIFS($C$5:$C$254,C165,$K$5:$K$254,"&gt;"&amp;K165)+1</f>
        <v>2</v>
      </c>
      <c r="T165" s="52" t="n">
        <f aca="false">IF(AND(OR(Dashboard!$C$7="All",D165=Dashboard!$C$7),OR(Dashboard!$C$8="All",C165=Dashboard!$C$8)),1,0)</f>
        <v>1</v>
      </c>
      <c r="U165" s="74" t="n">
        <f aca="false">IF(T165=1,K165+ROW()/1000000,-1)</f>
        <v>0.000165</v>
      </c>
      <c r="V165" s="74" t="n">
        <f aca="false">IF(AND(T165=1,E165="Production"),K165+ROW()/1000000,1000000000)</f>
        <v>1000000000</v>
      </c>
      <c r="W165" s="52" t="n">
        <f aca="false">SUMPRODUCT(MAX((Sales_Data!$F$2:$F$3520=A165)*Sales_Data!$C$2:$C$3520))</f>
        <v>0</v>
      </c>
    </row>
    <row r="166" customFormat="false" ht="15" hidden="false" customHeight="false" outlineLevel="0" collapsed="false">
      <c r="A166" s="53" t="s">
        <v>6714</v>
      </c>
      <c r="B166" s="48" t="s">
        <v>6715</v>
      </c>
      <c r="C166" s="53" t="s">
        <v>56</v>
      </c>
      <c r="D166" s="53" t="s">
        <v>49</v>
      </c>
      <c r="E166" s="53" t="s">
        <v>3708</v>
      </c>
      <c r="F166" s="53" t="s">
        <v>209</v>
      </c>
      <c r="G166" s="53" t="s">
        <v>6699</v>
      </c>
      <c r="H166" s="26" t="n">
        <f aca="false">SUMIFS(Sales_Data!$AE$2:$AE$3520,Sales_Data!$F$2:$F$3520,$A166,Sales_Data!$C$2:$C$3520,"&gt;="&amp;Dashboard!$C$5,Sales_Data!$C$2:$C$3520,"&lt;="&amp;Dashboard!$C$6)</f>
        <v>0</v>
      </c>
      <c r="I166" s="26" t="n">
        <f aca="false">SUMIFS(Sales_Data!$M$2:$M$3520,Sales_Data!$F$2:$F$3520,$A166,Sales_Data!$C$2:$C$3520,"&gt;="&amp;Dashboard!$C$5,Sales_Data!$C$2:$C$3520,"&lt;="&amp;Dashboard!$C$6,Sales_Data!$AE$2:$AE$3520,1)</f>
        <v>0</v>
      </c>
      <c r="J166" s="26" t="n">
        <f aca="false">SUMIFS(Sales_Data!$N$2:$N$3520,Sales_Data!$F$2:$F$3520,$A166,Sales_Data!$C$2:$C$3520,"&gt;="&amp;Dashboard!$C$5,Sales_Data!$C$2:$C$3520,"&lt;="&amp;Dashboard!$C$6,Sales_Data!$AE$2:$AE$3520,1)</f>
        <v>0</v>
      </c>
      <c r="K166" s="27" t="n">
        <f aca="false">SUMIFS(Sales_Data!$O$2:$O$3520,Sales_Data!$F$2:$F$3520,$A166,Sales_Data!$C$2:$C$3520,"&gt;="&amp;Dashboard!$C$5,Sales_Data!$C$2:$C$3520,"&lt;="&amp;Dashboard!$C$6,Sales_Data!$AE$2:$AE$3520,1)</f>
        <v>0</v>
      </c>
      <c r="L166" s="26" t="n">
        <f aca="false">SUMIFS(Sales_Data!$AF$2:$AF$3520,Sales_Data!$F$2:$F$3520,$A166,Sales_Data!$C$2:$C$3520,"&gt;="&amp;Dashboard!$C$5,Sales_Data!$C$2:$C$3520,"&lt;="&amp;Dashboard!$C$6)</f>
        <v>0</v>
      </c>
      <c r="M166" s="31" t="n">
        <f aca="false">IFERROR(K166/L166,0)</f>
        <v>0</v>
      </c>
      <c r="N166" s="26" t="n">
        <f aca="false">SUMIFS(Sales_Data!$O$2:$O$3520,Sales_Data!$F$2:$F$3520,$A166,Sales_Data!$C$2:$C$3520,"&gt;="&amp;Dashboard!$C$12,Sales_Data!$C$2:$C$3520,"&lt;="&amp;Dashboard!$C$13,Sales_Data!$AE$2:$AE$3520,1)</f>
        <v>0</v>
      </c>
      <c r="O166" s="28" t="n">
        <f aca="false">K166-N166</f>
        <v>0</v>
      </c>
      <c r="P166" s="54" t="str">
        <f aca="false">IF(W166=0,"-",W166)</f>
        <v>-</v>
      </c>
      <c r="Q166" s="52" t="str">
        <f aca="false">IF(W166=0,"-",$B$2-W166)</f>
        <v>-</v>
      </c>
      <c r="R166" s="52" t="n">
        <f aca="false">IF(T166=1,COUNTIFS($T$5:$T$254,1,$K$5:$K$254,"&gt;"&amp;K166)+1,"-")</f>
        <v>139</v>
      </c>
      <c r="S166" s="52" t="n">
        <f aca="false">COUNTIFS($C$5:$C$254,C166,$K$5:$K$254,"&gt;"&amp;K166)+1</f>
        <v>2</v>
      </c>
      <c r="T166" s="52" t="n">
        <f aca="false">IF(AND(OR(Dashboard!$C$7="All",D166=Dashboard!$C$7),OR(Dashboard!$C$8="All",C166=Dashboard!$C$8)),1,0)</f>
        <v>1</v>
      </c>
      <c r="U166" s="74" t="n">
        <f aca="false">IF(T166=1,K166+ROW()/1000000,-1)</f>
        <v>0.000166</v>
      </c>
      <c r="V166" s="74" t="n">
        <f aca="false">IF(AND(T166=1,E166="Production"),K166+ROW()/1000000,1000000000)</f>
        <v>1000000000</v>
      </c>
      <c r="W166" s="52" t="n">
        <f aca="false">SUMPRODUCT(MAX((Sales_Data!$F$2:$F$3520=A166)*Sales_Data!$C$2:$C$3520))</f>
        <v>0</v>
      </c>
    </row>
    <row r="167" customFormat="false" ht="15" hidden="false" customHeight="false" outlineLevel="0" collapsed="false">
      <c r="A167" s="53" t="s">
        <v>6717</v>
      </c>
      <c r="B167" s="48" t="s">
        <v>6718</v>
      </c>
      <c r="C167" s="53" t="s">
        <v>56</v>
      </c>
      <c r="D167" s="53" t="s">
        <v>49</v>
      </c>
      <c r="E167" s="53" t="s">
        <v>3708</v>
      </c>
      <c r="F167" s="53" t="s">
        <v>209</v>
      </c>
      <c r="G167" s="53" t="s">
        <v>6699</v>
      </c>
      <c r="H167" s="26" t="n">
        <f aca="false">SUMIFS(Sales_Data!$AE$2:$AE$3520,Sales_Data!$F$2:$F$3520,$A167,Sales_Data!$C$2:$C$3520,"&gt;="&amp;Dashboard!$C$5,Sales_Data!$C$2:$C$3520,"&lt;="&amp;Dashboard!$C$6)</f>
        <v>0</v>
      </c>
      <c r="I167" s="26" t="n">
        <f aca="false">SUMIFS(Sales_Data!$M$2:$M$3520,Sales_Data!$F$2:$F$3520,$A167,Sales_Data!$C$2:$C$3520,"&gt;="&amp;Dashboard!$C$5,Sales_Data!$C$2:$C$3520,"&lt;="&amp;Dashboard!$C$6,Sales_Data!$AE$2:$AE$3520,1)</f>
        <v>0</v>
      </c>
      <c r="J167" s="26" t="n">
        <f aca="false">SUMIFS(Sales_Data!$N$2:$N$3520,Sales_Data!$F$2:$F$3520,$A167,Sales_Data!$C$2:$C$3520,"&gt;="&amp;Dashboard!$C$5,Sales_Data!$C$2:$C$3520,"&lt;="&amp;Dashboard!$C$6,Sales_Data!$AE$2:$AE$3520,1)</f>
        <v>0</v>
      </c>
      <c r="K167" s="27" t="n">
        <f aca="false">SUMIFS(Sales_Data!$O$2:$O$3520,Sales_Data!$F$2:$F$3520,$A167,Sales_Data!$C$2:$C$3520,"&gt;="&amp;Dashboard!$C$5,Sales_Data!$C$2:$C$3520,"&lt;="&amp;Dashboard!$C$6,Sales_Data!$AE$2:$AE$3520,1)</f>
        <v>0</v>
      </c>
      <c r="L167" s="26" t="n">
        <f aca="false">SUMIFS(Sales_Data!$AF$2:$AF$3520,Sales_Data!$F$2:$F$3520,$A167,Sales_Data!$C$2:$C$3520,"&gt;="&amp;Dashboard!$C$5,Sales_Data!$C$2:$C$3520,"&lt;="&amp;Dashboard!$C$6)</f>
        <v>0</v>
      </c>
      <c r="M167" s="31" t="n">
        <f aca="false">IFERROR(K167/L167,0)</f>
        <v>0</v>
      </c>
      <c r="N167" s="26" t="n">
        <f aca="false">SUMIFS(Sales_Data!$O$2:$O$3520,Sales_Data!$F$2:$F$3520,$A167,Sales_Data!$C$2:$C$3520,"&gt;="&amp;Dashboard!$C$12,Sales_Data!$C$2:$C$3520,"&lt;="&amp;Dashboard!$C$13,Sales_Data!$AE$2:$AE$3520,1)</f>
        <v>0</v>
      </c>
      <c r="O167" s="28" t="n">
        <f aca="false">K167-N167</f>
        <v>0</v>
      </c>
      <c r="P167" s="54" t="str">
        <f aca="false">IF(W167=0,"-",W167)</f>
        <v>-</v>
      </c>
      <c r="Q167" s="52" t="str">
        <f aca="false">IF(W167=0,"-",$B$2-W167)</f>
        <v>-</v>
      </c>
      <c r="R167" s="52" t="n">
        <f aca="false">IF(T167=1,COUNTIFS($T$5:$T$254,1,$K$5:$K$254,"&gt;"&amp;K167)+1,"-")</f>
        <v>139</v>
      </c>
      <c r="S167" s="52" t="n">
        <f aca="false">COUNTIFS($C$5:$C$254,C167,$K$5:$K$254,"&gt;"&amp;K167)+1</f>
        <v>2</v>
      </c>
      <c r="T167" s="52" t="n">
        <f aca="false">IF(AND(OR(Dashboard!$C$7="All",D167=Dashboard!$C$7),OR(Dashboard!$C$8="All",C167=Dashboard!$C$8)),1,0)</f>
        <v>1</v>
      </c>
      <c r="U167" s="74" t="n">
        <f aca="false">IF(T167=1,K167+ROW()/1000000,-1)</f>
        <v>0.000167</v>
      </c>
      <c r="V167" s="74" t="n">
        <f aca="false">IF(AND(T167=1,E167="Production"),K167+ROW()/1000000,1000000000)</f>
        <v>1000000000</v>
      </c>
      <c r="W167" s="52" t="n">
        <f aca="false">SUMPRODUCT(MAX((Sales_Data!$F$2:$F$3520=A167)*Sales_Data!$C$2:$C$3520))</f>
        <v>0</v>
      </c>
    </row>
    <row r="168" customFormat="false" ht="15" hidden="false" customHeight="false" outlineLevel="0" collapsed="false">
      <c r="A168" s="53" t="s">
        <v>6720</v>
      </c>
      <c r="B168" s="48" t="s">
        <v>6721</v>
      </c>
      <c r="C168" s="53" t="s">
        <v>56</v>
      </c>
      <c r="D168" s="53" t="s">
        <v>49</v>
      </c>
      <c r="E168" s="53" t="s">
        <v>3708</v>
      </c>
      <c r="F168" s="53" t="s">
        <v>209</v>
      </c>
      <c r="G168" s="53" t="s">
        <v>6699</v>
      </c>
      <c r="H168" s="26" t="n">
        <f aca="false">SUMIFS(Sales_Data!$AE$2:$AE$3520,Sales_Data!$F$2:$F$3520,$A168,Sales_Data!$C$2:$C$3520,"&gt;="&amp;Dashboard!$C$5,Sales_Data!$C$2:$C$3520,"&lt;="&amp;Dashboard!$C$6)</f>
        <v>0</v>
      </c>
      <c r="I168" s="26" t="n">
        <f aca="false">SUMIFS(Sales_Data!$M$2:$M$3520,Sales_Data!$F$2:$F$3520,$A168,Sales_Data!$C$2:$C$3520,"&gt;="&amp;Dashboard!$C$5,Sales_Data!$C$2:$C$3520,"&lt;="&amp;Dashboard!$C$6,Sales_Data!$AE$2:$AE$3520,1)</f>
        <v>0</v>
      </c>
      <c r="J168" s="26" t="n">
        <f aca="false">SUMIFS(Sales_Data!$N$2:$N$3520,Sales_Data!$F$2:$F$3520,$A168,Sales_Data!$C$2:$C$3520,"&gt;="&amp;Dashboard!$C$5,Sales_Data!$C$2:$C$3520,"&lt;="&amp;Dashboard!$C$6,Sales_Data!$AE$2:$AE$3520,1)</f>
        <v>0</v>
      </c>
      <c r="K168" s="27" t="n">
        <f aca="false">SUMIFS(Sales_Data!$O$2:$O$3520,Sales_Data!$F$2:$F$3520,$A168,Sales_Data!$C$2:$C$3520,"&gt;="&amp;Dashboard!$C$5,Sales_Data!$C$2:$C$3520,"&lt;="&amp;Dashboard!$C$6,Sales_Data!$AE$2:$AE$3520,1)</f>
        <v>0</v>
      </c>
      <c r="L168" s="26" t="n">
        <f aca="false">SUMIFS(Sales_Data!$AF$2:$AF$3520,Sales_Data!$F$2:$F$3520,$A168,Sales_Data!$C$2:$C$3520,"&gt;="&amp;Dashboard!$C$5,Sales_Data!$C$2:$C$3520,"&lt;="&amp;Dashboard!$C$6)</f>
        <v>0</v>
      </c>
      <c r="M168" s="31" t="n">
        <f aca="false">IFERROR(K168/L168,0)</f>
        <v>0</v>
      </c>
      <c r="N168" s="26" t="n">
        <f aca="false">SUMIFS(Sales_Data!$O$2:$O$3520,Sales_Data!$F$2:$F$3520,$A168,Sales_Data!$C$2:$C$3520,"&gt;="&amp;Dashboard!$C$12,Sales_Data!$C$2:$C$3520,"&lt;="&amp;Dashboard!$C$13,Sales_Data!$AE$2:$AE$3520,1)</f>
        <v>0</v>
      </c>
      <c r="O168" s="28" t="n">
        <f aca="false">K168-N168</f>
        <v>0</v>
      </c>
      <c r="P168" s="54" t="str">
        <f aca="false">IF(W168=0,"-",W168)</f>
        <v>-</v>
      </c>
      <c r="Q168" s="52" t="str">
        <f aca="false">IF(W168=0,"-",$B$2-W168)</f>
        <v>-</v>
      </c>
      <c r="R168" s="52" t="n">
        <f aca="false">IF(T168=1,COUNTIFS($T$5:$T$254,1,$K$5:$K$254,"&gt;"&amp;K168)+1,"-")</f>
        <v>139</v>
      </c>
      <c r="S168" s="52" t="n">
        <f aca="false">COUNTIFS($C$5:$C$254,C168,$K$5:$K$254,"&gt;"&amp;K168)+1</f>
        <v>2</v>
      </c>
      <c r="T168" s="52" t="n">
        <f aca="false">IF(AND(OR(Dashboard!$C$7="All",D168=Dashboard!$C$7),OR(Dashboard!$C$8="All",C168=Dashboard!$C$8)),1,0)</f>
        <v>1</v>
      </c>
      <c r="U168" s="74" t="n">
        <f aca="false">IF(T168=1,K168+ROW()/1000000,-1)</f>
        <v>0.000168</v>
      </c>
      <c r="V168" s="74" t="n">
        <f aca="false">IF(AND(T168=1,E168="Production"),K168+ROW()/1000000,1000000000)</f>
        <v>1000000000</v>
      </c>
      <c r="W168" s="52" t="n">
        <f aca="false">SUMPRODUCT(MAX((Sales_Data!$F$2:$F$3520=A168)*Sales_Data!$C$2:$C$3520))</f>
        <v>0</v>
      </c>
    </row>
    <row r="169" customFormat="false" ht="15" hidden="false" customHeight="false" outlineLevel="0" collapsed="false">
      <c r="A169" s="53" t="s">
        <v>6723</v>
      </c>
      <c r="B169" s="48" t="s">
        <v>6724</v>
      </c>
      <c r="C169" s="53" t="s">
        <v>56</v>
      </c>
      <c r="D169" s="53" t="s">
        <v>49</v>
      </c>
      <c r="E169" s="53" t="s">
        <v>3708</v>
      </c>
      <c r="F169" s="53" t="s">
        <v>209</v>
      </c>
      <c r="G169" s="53" t="s">
        <v>6699</v>
      </c>
      <c r="H169" s="26" t="n">
        <f aca="false">SUMIFS(Sales_Data!$AE$2:$AE$3520,Sales_Data!$F$2:$F$3520,$A169,Sales_Data!$C$2:$C$3520,"&gt;="&amp;Dashboard!$C$5,Sales_Data!$C$2:$C$3520,"&lt;="&amp;Dashboard!$C$6)</f>
        <v>0</v>
      </c>
      <c r="I169" s="26" t="n">
        <f aca="false">SUMIFS(Sales_Data!$M$2:$M$3520,Sales_Data!$F$2:$F$3520,$A169,Sales_Data!$C$2:$C$3520,"&gt;="&amp;Dashboard!$C$5,Sales_Data!$C$2:$C$3520,"&lt;="&amp;Dashboard!$C$6,Sales_Data!$AE$2:$AE$3520,1)</f>
        <v>0</v>
      </c>
      <c r="J169" s="26" t="n">
        <f aca="false">SUMIFS(Sales_Data!$N$2:$N$3520,Sales_Data!$F$2:$F$3520,$A169,Sales_Data!$C$2:$C$3520,"&gt;="&amp;Dashboard!$C$5,Sales_Data!$C$2:$C$3520,"&lt;="&amp;Dashboard!$C$6,Sales_Data!$AE$2:$AE$3520,1)</f>
        <v>0</v>
      </c>
      <c r="K169" s="27" t="n">
        <f aca="false">SUMIFS(Sales_Data!$O$2:$O$3520,Sales_Data!$F$2:$F$3520,$A169,Sales_Data!$C$2:$C$3520,"&gt;="&amp;Dashboard!$C$5,Sales_Data!$C$2:$C$3520,"&lt;="&amp;Dashboard!$C$6,Sales_Data!$AE$2:$AE$3520,1)</f>
        <v>0</v>
      </c>
      <c r="L169" s="26" t="n">
        <f aca="false">SUMIFS(Sales_Data!$AF$2:$AF$3520,Sales_Data!$F$2:$F$3520,$A169,Sales_Data!$C$2:$C$3520,"&gt;="&amp;Dashboard!$C$5,Sales_Data!$C$2:$C$3520,"&lt;="&amp;Dashboard!$C$6)</f>
        <v>0</v>
      </c>
      <c r="M169" s="31" t="n">
        <f aca="false">IFERROR(K169/L169,0)</f>
        <v>0</v>
      </c>
      <c r="N169" s="26" t="n">
        <f aca="false">SUMIFS(Sales_Data!$O$2:$O$3520,Sales_Data!$F$2:$F$3520,$A169,Sales_Data!$C$2:$C$3520,"&gt;="&amp;Dashboard!$C$12,Sales_Data!$C$2:$C$3520,"&lt;="&amp;Dashboard!$C$13,Sales_Data!$AE$2:$AE$3520,1)</f>
        <v>0</v>
      </c>
      <c r="O169" s="28" t="n">
        <f aca="false">K169-N169</f>
        <v>0</v>
      </c>
      <c r="P169" s="54" t="str">
        <f aca="false">IF(W169=0,"-",W169)</f>
        <v>-</v>
      </c>
      <c r="Q169" s="52" t="str">
        <f aca="false">IF(W169=0,"-",$B$2-W169)</f>
        <v>-</v>
      </c>
      <c r="R169" s="52" t="n">
        <f aca="false">IF(T169=1,COUNTIFS($T$5:$T$254,1,$K$5:$K$254,"&gt;"&amp;K169)+1,"-")</f>
        <v>139</v>
      </c>
      <c r="S169" s="52" t="n">
        <f aca="false">COUNTIFS($C$5:$C$254,C169,$K$5:$K$254,"&gt;"&amp;K169)+1</f>
        <v>2</v>
      </c>
      <c r="T169" s="52" t="n">
        <f aca="false">IF(AND(OR(Dashboard!$C$7="All",D169=Dashboard!$C$7),OR(Dashboard!$C$8="All",C169=Dashboard!$C$8)),1,0)</f>
        <v>1</v>
      </c>
      <c r="U169" s="74" t="n">
        <f aca="false">IF(T169=1,K169+ROW()/1000000,-1)</f>
        <v>0.000169</v>
      </c>
      <c r="V169" s="74" t="n">
        <f aca="false">IF(AND(T169=1,E169="Production"),K169+ROW()/1000000,1000000000)</f>
        <v>1000000000</v>
      </c>
      <c r="W169" s="52" t="n">
        <f aca="false">SUMPRODUCT(MAX((Sales_Data!$F$2:$F$3520=A169)*Sales_Data!$C$2:$C$3520))</f>
        <v>0</v>
      </c>
    </row>
    <row r="170" customFormat="false" ht="15" hidden="false" customHeight="false" outlineLevel="0" collapsed="false">
      <c r="A170" s="53" t="s">
        <v>6726</v>
      </c>
      <c r="B170" s="48" t="s">
        <v>6727</v>
      </c>
      <c r="C170" s="53" t="s">
        <v>56</v>
      </c>
      <c r="D170" s="53" t="s">
        <v>49</v>
      </c>
      <c r="E170" s="53" t="s">
        <v>3708</v>
      </c>
      <c r="F170" s="53" t="s">
        <v>209</v>
      </c>
      <c r="G170" s="53" t="s">
        <v>6699</v>
      </c>
      <c r="H170" s="26" t="n">
        <f aca="false">SUMIFS(Sales_Data!$AE$2:$AE$3520,Sales_Data!$F$2:$F$3520,$A170,Sales_Data!$C$2:$C$3520,"&gt;="&amp;Dashboard!$C$5,Sales_Data!$C$2:$C$3520,"&lt;="&amp;Dashboard!$C$6)</f>
        <v>0</v>
      </c>
      <c r="I170" s="26" t="n">
        <f aca="false">SUMIFS(Sales_Data!$M$2:$M$3520,Sales_Data!$F$2:$F$3520,$A170,Sales_Data!$C$2:$C$3520,"&gt;="&amp;Dashboard!$C$5,Sales_Data!$C$2:$C$3520,"&lt;="&amp;Dashboard!$C$6,Sales_Data!$AE$2:$AE$3520,1)</f>
        <v>0</v>
      </c>
      <c r="J170" s="26" t="n">
        <f aca="false">SUMIFS(Sales_Data!$N$2:$N$3520,Sales_Data!$F$2:$F$3520,$A170,Sales_Data!$C$2:$C$3520,"&gt;="&amp;Dashboard!$C$5,Sales_Data!$C$2:$C$3520,"&lt;="&amp;Dashboard!$C$6,Sales_Data!$AE$2:$AE$3520,1)</f>
        <v>0</v>
      </c>
      <c r="K170" s="27" t="n">
        <f aca="false">SUMIFS(Sales_Data!$O$2:$O$3520,Sales_Data!$F$2:$F$3520,$A170,Sales_Data!$C$2:$C$3520,"&gt;="&amp;Dashboard!$C$5,Sales_Data!$C$2:$C$3520,"&lt;="&amp;Dashboard!$C$6,Sales_Data!$AE$2:$AE$3520,1)</f>
        <v>0</v>
      </c>
      <c r="L170" s="26" t="n">
        <f aca="false">SUMIFS(Sales_Data!$AF$2:$AF$3520,Sales_Data!$F$2:$F$3520,$A170,Sales_Data!$C$2:$C$3520,"&gt;="&amp;Dashboard!$C$5,Sales_Data!$C$2:$C$3520,"&lt;="&amp;Dashboard!$C$6)</f>
        <v>0</v>
      </c>
      <c r="M170" s="31" t="n">
        <f aca="false">IFERROR(K170/L170,0)</f>
        <v>0</v>
      </c>
      <c r="N170" s="26" t="n">
        <f aca="false">SUMIFS(Sales_Data!$O$2:$O$3520,Sales_Data!$F$2:$F$3520,$A170,Sales_Data!$C$2:$C$3520,"&gt;="&amp;Dashboard!$C$12,Sales_Data!$C$2:$C$3520,"&lt;="&amp;Dashboard!$C$13,Sales_Data!$AE$2:$AE$3520,1)</f>
        <v>0</v>
      </c>
      <c r="O170" s="28" t="n">
        <f aca="false">K170-N170</f>
        <v>0</v>
      </c>
      <c r="P170" s="54" t="str">
        <f aca="false">IF(W170=0,"-",W170)</f>
        <v>-</v>
      </c>
      <c r="Q170" s="52" t="str">
        <f aca="false">IF(W170=0,"-",$B$2-W170)</f>
        <v>-</v>
      </c>
      <c r="R170" s="52" t="n">
        <f aca="false">IF(T170=1,COUNTIFS($T$5:$T$254,1,$K$5:$K$254,"&gt;"&amp;K170)+1,"-")</f>
        <v>139</v>
      </c>
      <c r="S170" s="52" t="n">
        <f aca="false">COUNTIFS($C$5:$C$254,C170,$K$5:$K$254,"&gt;"&amp;K170)+1</f>
        <v>2</v>
      </c>
      <c r="T170" s="52" t="n">
        <f aca="false">IF(AND(OR(Dashboard!$C$7="All",D170=Dashboard!$C$7),OR(Dashboard!$C$8="All",C170=Dashboard!$C$8)),1,0)</f>
        <v>1</v>
      </c>
      <c r="U170" s="74" t="n">
        <f aca="false">IF(T170=1,K170+ROW()/1000000,-1)</f>
        <v>0.00017</v>
      </c>
      <c r="V170" s="74" t="n">
        <f aca="false">IF(AND(T170=1,E170="Production"),K170+ROW()/1000000,1000000000)</f>
        <v>1000000000</v>
      </c>
      <c r="W170" s="52" t="n">
        <f aca="false">SUMPRODUCT(MAX((Sales_Data!$F$2:$F$3520=A170)*Sales_Data!$C$2:$C$3520))</f>
        <v>0</v>
      </c>
    </row>
    <row r="171" customFormat="false" ht="15" hidden="false" customHeight="false" outlineLevel="0" collapsed="false">
      <c r="A171" s="53" t="s">
        <v>6729</v>
      </c>
      <c r="B171" s="48" t="s">
        <v>6730</v>
      </c>
      <c r="C171" s="53" t="s">
        <v>56</v>
      </c>
      <c r="D171" s="53" t="s">
        <v>49</v>
      </c>
      <c r="E171" s="53" t="s">
        <v>3708</v>
      </c>
      <c r="F171" s="53" t="s">
        <v>209</v>
      </c>
      <c r="G171" s="53" t="s">
        <v>6699</v>
      </c>
      <c r="H171" s="26" t="n">
        <f aca="false">SUMIFS(Sales_Data!$AE$2:$AE$3520,Sales_Data!$F$2:$F$3520,$A171,Sales_Data!$C$2:$C$3520,"&gt;="&amp;Dashboard!$C$5,Sales_Data!$C$2:$C$3520,"&lt;="&amp;Dashboard!$C$6)</f>
        <v>0</v>
      </c>
      <c r="I171" s="26" t="n">
        <f aca="false">SUMIFS(Sales_Data!$M$2:$M$3520,Sales_Data!$F$2:$F$3520,$A171,Sales_Data!$C$2:$C$3520,"&gt;="&amp;Dashboard!$C$5,Sales_Data!$C$2:$C$3520,"&lt;="&amp;Dashboard!$C$6,Sales_Data!$AE$2:$AE$3520,1)</f>
        <v>0</v>
      </c>
      <c r="J171" s="26" t="n">
        <f aca="false">SUMIFS(Sales_Data!$N$2:$N$3520,Sales_Data!$F$2:$F$3520,$A171,Sales_Data!$C$2:$C$3520,"&gt;="&amp;Dashboard!$C$5,Sales_Data!$C$2:$C$3520,"&lt;="&amp;Dashboard!$C$6,Sales_Data!$AE$2:$AE$3520,1)</f>
        <v>0</v>
      </c>
      <c r="K171" s="27" t="n">
        <f aca="false">SUMIFS(Sales_Data!$O$2:$O$3520,Sales_Data!$F$2:$F$3520,$A171,Sales_Data!$C$2:$C$3520,"&gt;="&amp;Dashboard!$C$5,Sales_Data!$C$2:$C$3520,"&lt;="&amp;Dashboard!$C$6,Sales_Data!$AE$2:$AE$3520,1)</f>
        <v>0</v>
      </c>
      <c r="L171" s="26" t="n">
        <f aca="false">SUMIFS(Sales_Data!$AF$2:$AF$3520,Sales_Data!$F$2:$F$3520,$A171,Sales_Data!$C$2:$C$3520,"&gt;="&amp;Dashboard!$C$5,Sales_Data!$C$2:$C$3520,"&lt;="&amp;Dashboard!$C$6)</f>
        <v>0</v>
      </c>
      <c r="M171" s="31" t="n">
        <f aca="false">IFERROR(K171/L171,0)</f>
        <v>0</v>
      </c>
      <c r="N171" s="26" t="n">
        <f aca="false">SUMIFS(Sales_Data!$O$2:$O$3520,Sales_Data!$F$2:$F$3520,$A171,Sales_Data!$C$2:$C$3520,"&gt;="&amp;Dashboard!$C$12,Sales_Data!$C$2:$C$3520,"&lt;="&amp;Dashboard!$C$13,Sales_Data!$AE$2:$AE$3520,1)</f>
        <v>0</v>
      </c>
      <c r="O171" s="28" t="n">
        <f aca="false">K171-N171</f>
        <v>0</v>
      </c>
      <c r="P171" s="54" t="str">
        <f aca="false">IF(W171=0,"-",W171)</f>
        <v>-</v>
      </c>
      <c r="Q171" s="52" t="str">
        <f aca="false">IF(W171=0,"-",$B$2-W171)</f>
        <v>-</v>
      </c>
      <c r="R171" s="52" t="n">
        <f aca="false">IF(T171=1,COUNTIFS($T$5:$T$254,1,$K$5:$K$254,"&gt;"&amp;K171)+1,"-")</f>
        <v>139</v>
      </c>
      <c r="S171" s="52" t="n">
        <f aca="false">COUNTIFS($C$5:$C$254,C171,$K$5:$K$254,"&gt;"&amp;K171)+1</f>
        <v>2</v>
      </c>
      <c r="T171" s="52" t="n">
        <f aca="false">IF(AND(OR(Dashboard!$C$7="All",D171=Dashboard!$C$7),OR(Dashboard!$C$8="All",C171=Dashboard!$C$8)),1,0)</f>
        <v>1</v>
      </c>
      <c r="U171" s="74" t="n">
        <f aca="false">IF(T171=1,K171+ROW()/1000000,-1)</f>
        <v>0.000171</v>
      </c>
      <c r="V171" s="74" t="n">
        <f aca="false">IF(AND(T171=1,E171="Production"),K171+ROW()/1000000,1000000000)</f>
        <v>1000000000</v>
      </c>
      <c r="W171" s="52" t="n">
        <f aca="false">SUMPRODUCT(MAX((Sales_Data!$F$2:$F$3520=A171)*Sales_Data!$C$2:$C$3520))</f>
        <v>0</v>
      </c>
    </row>
    <row r="172" customFormat="false" ht="15" hidden="false" customHeight="false" outlineLevel="0" collapsed="false">
      <c r="A172" s="53" t="s">
        <v>6732</v>
      </c>
      <c r="B172" s="48" t="s">
        <v>6733</v>
      </c>
      <c r="C172" s="53" t="s">
        <v>56</v>
      </c>
      <c r="D172" s="53" t="s">
        <v>49</v>
      </c>
      <c r="E172" s="53" t="s">
        <v>3708</v>
      </c>
      <c r="F172" s="53" t="s">
        <v>209</v>
      </c>
      <c r="G172" s="53" t="s">
        <v>6699</v>
      </c>
      <c r="H172" s="26" t="n">
        <f aca="false">SUMIFS(Sales_Data!$AE$2:$AE$3520,Sales_Data!$F$2:$F$3520,$A172,Sales_Data!$C$2:$C$3520,"&gt;="&amp;Dashboard!$C$5,Sales_Data!$C$2:$C$3520,"&lt;="&amp;Dashboard!$C$6)</f>
        <v>0</v>
      </c>
      <c r="I172" s="26" t="n">
        <f aca="false">SUMIFS(Sales_Data!$M$2:$M$3520,Sales_Data!$F$2:$F$3520,$A172,Sales_Data!$C$2:$C$3520,"&gt;="&amp;Dashboard!$C$5,Sales_Data!$C$2:$C$3520,"&lt;="&amp;Dashboard!$C$6,Sales_Data!$AE$2:$AE$3520,1)</f>
        <v>0</v>
      </c>
      <c r="J172" s="26" t="n">
        <f aca="false">SUMIFS(Sales_Data!$N$2:$N$3520,Sales_Data!$F$2:$F$3520,$A172,Sales_Data!$C$2:$C$3520,"&gt;="&amp;Dashboard!$C$5,Sales_Data!$C$2:$C$3520,"&lt;="&amp;Dashboard!$C$6,Sales_Data!$AE$2:$AE$3520,1)</f>
        <v>0</v>
      </c>
      <c r="K172" s="27" t="n">
        <f aca="false">SUMIFS(Sales_Data!$O$2:$O$3520,Sales_Data!$F$2:$F$3520,$A172,Sales_Data!$C$2:$C$3520,"&gt;="&amp;Dashboard!$C$5,Sales_Data!$C$2:$C$3520,"&lt;="&amp;Dashboard!$C$6,Sales_Data!$AE$2:$AE$3520,1)</f>
        <v>0</v>
      </c>
      <c r="L172" s="26" t="n">
        <f aca="false">SUMIFS(Sales_Data!$AF$2:$AF$3520,Sales_Data!$F$2:$F$3520,$A172,Sales_Data!$C$2:$C$3520,"&gt;="&amp;Dashboard!$C$5,Sales_Data!$C$2:$C$3520,"&lt;="&amp;Dashboard!$C$6)</f>
        <v>0</v>
      </c>
      <c r="M172" s="31" t="n">
        <f aca="false">IFERROR(K172/L172,0)</f>
        <v>0</v>
      </c>
      <c r="N172" s="26" t="n">
        <f aca="false">SUMIFS(Sales_Data!$O$2:$O$3520,Sales_Data!$F$2:$F$3520,$A172,Sales_Data!$C$2:$C$3520,"&gt;="&amp;Dashboard!$C$12,Sales_Data!$C$2:$C$3520,"&lt;="&amp;Dashboard!$C$13,Sales_Data!$AE$2:$AE$3520,1)</f>
        <v>0</v>
      </c>
      <c r="O172" s="28" t="n">
        <f aca="false">K172-N172</f>
        <v>0</v>
      </c>
      <c r="P172" s="54" t="str">
        <f aca="false">IF(W172=0,"-",W172)</f>
        <v>-</v>
      </c>
      <c r="Q172" s="52" t="str">
        <f aca="false">IF(W172=0,"-",$B$2-W172)</f>
        <v>-</v>
      </c>
      <c r="R172" s="52" t="n">
        <f aca="false">IF(T172=1,COUNTIFS($T$5:$T$254,1,$K$5:$K$254,"&gt;"&amp;K172)+1,"-")</f>
        <v>139</v>
      </c>
      <c r="S172" s="52" t="n">
        <f aca="false">COUNTIFS($C$5:$C$254,C172,$K$5:$K$254,"&gt;"&amp;K172)+1</f>
        <v>2</v>
      </c>
      <c r="T172" s="52" t="n">
        <f aca="false">IF(AND(OR(Dashboard!$C$7="All",D172=Dashboard!$C$7),OR(Dashboard!$C$8="All",C172=Dashboard!$C$8)),1,0)</f>
        <v>1</v>
      </c>
      <c r="U172" s="74" t="n">
        <f aca="false">IF(T172=1,K172+ROW()/1000000,-1)</f>
        <v>0.000172</v>
      </c>
      <c r="V172" s="74" t="n">
        <f aca="false">IF(AND(T172=1,E172="Production"),K172+ROW()/1000000,1000000000)</f>
        <v>1000000000</v>
      </c>
      <c r="W172" s="52" t="n">
        <f aca="false">SUMPRODUCT(MAX((Sales_Data!$F$2:$F$3520=A172)*Sales_Data!$C$2:$C$3520))</f>
        <v>0</v>
      </c>
    </row>
    <row r="173" customFormat="false" ht="15" hidden="false" customHeight="false" outlineLevel="0" collapsed="false">
      <c r="A173" s="53" t="s">
        <v>6735</v>
      </c>
      <c r="B173" s="48" t="s">
        <v>6736</v>
      </c>
      <c r="C173" s="53" t="s">
        <v>56</v>
      </c>
      <c r="D173" s="53" t="s">
        <v>49</v>
      </c>
      <c r="E173" s="53" t="s">
        <v>3708</v>
      </c>
      <c r="F173" s="53" t="s">
        <v>209</v>
      </c>
      <c r="G173" s="53" t="s">
        <v>6699</v>
      </c>
      <c r="H173" s="26" t="n">
        <f aca="false">SUMIFS(Sales_Data!$AE$2:$AE$3520,Sales_Data!$F$2:$F$3520,$A173,Sales_Data!$C$2:$C$3520,"&gt;="&amp;Dashboard!$C$5,Sales_Data!$C$2:$C$3520,"&lt;="&amp;Dashboard!$C$6)</f>
        <v>0</v>
      </c>
      <c r="I173" s="26" t="n">
        <f aca="false">SUMIFS(Sales_Data!$M$2:$M$3520,Sales_Data!$F$2:$F$3520,$A173,Sales_Data!$C$2:$C$3520,"&gt;="&amp;Dashboard!$C$5,Sales_Data!$C$2:$C$3520,"&lt;="&amp;Dashboard!$C$6,Sales_Data!$AE$2:$AE$3520,1)</f>
        <v>0</v>
      </c>
      <c r="J173" s="26" t="n">
        <f aca="false">SUMIFS(Sales_Data!$N$2:$N$3520,Sales_Data!$F$2:$F$3520,$A173,Sales_Data!$C$2:$C$3520,"&gt;="&amp;Dashboard!$C$5,Sales_Data!$C$2:$C$3520,"&lt;="&amp;Dashboard!$C$6,Sales_Data!$AE$2:$AE$3520,1)</f>
        <v>0</v>
      </c>
      <c r="K173" s="27" t="n">
        <f aca="false">SUMIFS(Sales_Data!$O$2:$O$3520,Sales_Data!$F$2:$F$3520,$A173,Sales_Data!$C$2:$C$3520,"&gt;="&amp;Dashboard!$C$5,Sales_Data!$C$2:$C$3520,"&lt;="&amp;Dashboard!$C$6,Sales_Data!$AE$2:$AE$3520,1)</f>
        <v>0</v>
      </c>
      <c r="L173" s="26" t="n">
        <f aca="false">SUMIFS(Sales_Data!$AF$2:$AF$3520,Sales_Data!$F$2:$F$3520,$A173,Sales_Data!$C$2:$C$3520,"&gt;="&amp;Dashboard!$C$5,Sales_Data!$C$2:$C$3520,"&lt;="&amp;Dashboard!$C$6)</f>
        <v>0</v>
      </c>
      <c r="M173" s="31" t="n">
        <f aca="false">IFERROR(K173/L173,0)</f>
        <v>0</v>
      </c>
      <c r="N173" s="26" t="n">
        <f aca="false">SUMIFS(Sales_Data!$O$2:$O$3520,Sales_Data!$F$2:$F$3520,$A173,Sales_Data!$C$2:$C$3520,"&gt;="&amp;Dashboard!$C$12,Sales_Data!$C$2:$C$3520,"&lt;="&amp;Dashboard!$C$13,Sales_Data!$AE$2:$AE$3520,1)</f>
        <v>0</v>
      </c>
      <c r="O173" s="28" t="n">
        <f aca="false">K173-N173</f>
        <v>0</v>
      </c>
      <c r="P173" s="54" t="str">
        <f aca="false">IF(W173=0,"-",W173)</f>
        <v>-</v>
      </c>
      <c r="Q173" s="52" t="str">
        <f aca="false">IF(W173=0,"-",$B$2-W173)</f>
        <v>-</v>
      </c>
      <c r="R173" s="52" t="n">
        <f aca="false">IF(T173=1,COUNTIFS($T$5:$T$254,1,$K$5:$K$254,"&gt;"&amp;K173)+1,"-")</f>
        <v>139</v>
      </c>
      <c r="S173" s="52" t="n">
        <f aca="false">COUNTIFS($C$5:$C$254,C173,$K$5:$K$254,"&gt;"&amp;K173)+1</f>
        <v>2</v>
      </c>
      <c r="T173" s="52" t="n">
        <f aca="false">IF(AND(OR(Dashboard!$C$7="All",D173=Dashboard!$C$7),OR(Dashboard!$C$8="All",C173=Dashboard!$C$8)),1,0)</f>
        <v>1</v>
      </c>
      <c r="U173" s="74" t="n">
        <f aca="false">IF(T173=1,K173+ROW()/1000000,-1)</f>
        <v>0.000173</v>
      </c>
      <c r="V173" s="74" t="n">
        <f aca="false">IF(AND(T173=1,E173="Production"),K173+ROW()/1000000,1000000000)</f>
        <v>1000000000</v>
      </c>
      <c r="W173" s="52" t="n">
        <f aca="false">SUMPRODUCT(MAX((Sales_Data!$F$2:$F$3520=A173)*Sales_Data!$C$2:$C$3520))</f>
        <v>0</v>
      </c>
    </row>
    <row r="174" customFormat="false" ht="15" hidden="false" customHeight="false" outlineLevel="0" collapsed="false">
      <c r="A174" s="53" t="s">
        <v>6738</v>
      </c>
      <c r="B174" s="48" t="s">
        <v>6739</v>
      </c>
      <c r="C174" s="53" t="s">
        <v>56</v>
      </c>
      <c r="D174" s="53" t="s">
        <v>49</v>
      </c>
      <c r="E174" s="53" t="s">
        <v>3708</v>
      </c>
      <c r="F174" s="53" t="s">
        <v>209</v>
      </c>
      <c r="G174" s="53" t="s">
        <v>6699</v>
      </c>
      <c r="H174" s="26" t="n">
        <f aca="false">SUMIFS(Sales_Data!$AE$2:$AE$3520,Sales_Data!$F$2:$F$3520,$A174,Sales_Data!$C$2:$C$3520,"&gt;="&amp;Dashboard!$C$5,Sales_Data!$C$2:$C$3520,"&lt;="&amp;Dashboard!$C$6)</f>
        <v>0</v>
      </c>
      <c r="I174" s="26" t="n">
        <f aca="false">SUMIFS(Sales_Data!$M$2:$M$3520,Sales_Data!$F$2:$F$3520,$A174,Sales_Data!$C$2:$C$3520,"&gt;="&amp;Dashboard!$C$5,Sales_Data!$C$2:$C$3520,"&lt;="&amp;Dashboard!$C$6,Sales_Data!$AE$2:$AE$3520,1)</f>
        <v>0</v>
      </c>
      <c r="J174" s="26" t="n">
        <f aca="false">SUMIFS(Sales_Data!$N$2:$N$3520,Sales_Data!$F$2:$F$3520,$A174,Sales_Data!$C$2:$C$3520,"&gt;="&amp;Dashboard!$C$5,Sales_Data!$C$2:$C$3520,"&lt;="&amp;Dashboard!$C$6,Sales_Data!$AE$2:$AE$3520,1)</f>
        <v>0</v>
      </c>
      <c r="K174" s="27" t="n">
        <f aca="false">SUMIFS(Sales_Data!$O$2:$O$3520,Sales_Data!$F$2:$F$3520,$A174,Sales_Data!$C$2:$C$3520,"&gt;="&amp;Dashboard!$C$5,Sales_Data!$C$2:$C$3520,"&lt;="&amp;Dashboard!$C$6,Sales_Data!$AE$2:$AE$3520,1)</f>
        <v>0</v>
      </c>
      <c r="L174" s="26" t="n">
        <f aca="false">SUMIFS(Sales_Data!$AF$2:$AF$3520,Sales_Data!$F$2:$F$3520,$A174,Sales_Data!$C$2:$C$3520,"&gt;="&amp;Dashboard!$C$5,Sales_Data!$C$2:$C$3520,"&lt;="&amp;Dashboard!$C$6)</f>
        <v>0</v>
      </c>
      <c r="M174" s="31" t="n">
        <f aca="false">IFERROR(K174/L174,0)</f>
        <v>0</v>
      </c>
      <c r="N174" s="26" t="n">
        <f aca="false">SUMIFS(Sales_Data!$O$2:$O$3520,Sales_Data!$F$2:$F$3520,$A174,Sales_Data!$C$2:$C$3520,"&gt;="&amp;Dashboard!$C$12,Sales_Data!$C$2:$C$3520,"&lt;="&amp;Dashboard!$C$13,Sales_Data!$AE$2:$AE$3520,1)</f>
        <v>0</v>
      </c>
      <c r="O174" s="28" t="n">
        <f aca="false">K174-N174</f>
        <v>0</v>
      </c>
      <c r="P174" s="54" t="str">
        <f aca="false">IF(W174=0,"-",W174)</f>
        <v>-</v>
      </c>
      <c r="Q174" s="52" t="str">
        <f aca="false">IF(W174=0,"-",$B$2-W174)</f>
        <v>-</v>
      </c>
      <c r="R174" s="52" t="n">
        <f aca="false">IF(T174=1,COUNTIFS($T$5:$T$254,1,$K$5:$K$254,"&gt;"&amp;K174)+1,"-")</f>
        <v>139</v>
      </c>
      <c r="S174" s="52" t="n">
        <f aca="false">COUNTIFS($C$5:$C$254,C174,$K$5:$K$254,"&gt;"&amp;K174)+1</f>
        <v>2</v>
      </c>
      <c r="T174" s="52" t="n">
        <f aca="false">IF(AND(OR(Dashboard!$C$7="All",D174=Dashboard!$C$7),OR(Dashboard!$C$8="All",C174=Dashboard!$C$8)),1,0)</f>
        <v>1</v>
      </c>
      <c r="U174" s="74" t="n">
        <f aca="false">IF(T174=1,K174+ROW()/1000000,-1)</f>
        <v>0.000174</v>
      </c>
      <c r="V174" s="74" t="n">
        <f aca="false">IF(AND(T174=1,E174="Production"),K174+ROW()/1000000,1000000000)</f>
        <v>1000000000</v>
      </c>
      <c r="W174" s="52" t="n">
        <f aca="false">SUMPRODUCT(MAX((Sales_Data!$F$2:$F$3520=A174)*Sales_Data!$C$2:$C$3520))</f>
        <v>0</v>
      </c>
    </row>
    <row r="175" customFormat="false" ht="15" hidden="false" customHeight="false" outlineLevel="0" collapsed="false">
      <c r="A175" s="53" t="s">
        <v>6741</v>
      </c>
      <c r="B175" s="48" t="s">
        <v>6742</v>
      </c>
      <c r="C175" s="53" t="s">
        <v>56</v>
      </c>
      <c r="D175" s="53" t="s">
        <v>49</v>
      </c>
      <c r="E175" s="53" t="s">
        <v>3708</v>
      </c>
      <c r="F175" s="53" t="s">
        <v>209</v>
      </c>
      <c r="G175" s="53" t="s">
        <v>6699</v>
      </c>
      <c r="H175" s="26" t="n">
        <f aca="false">SUMIFS(Sales_Data!$AE$2:$AE$3520,Sales_Data!$F$2:$F$3520,$A175,Sales_Data!$C$2:$C$3520,"&gt;="&amp;Dashboard!$C$5,Sales_Data!$C$2:$C$3520,"&lt;="&amp;Dashboard!$C$6)</f>
        <v>0</v>
      </c>
      <c r="I175" s="26" t="n">
        <f aca="false">SUMIFS(Sales_Data!$M$2:$M$3520,Sales_Data!$F$2:$F$3520,$A175,Sales_Data!$C$2:$C$3520,"&gt;="&amp;Dashboard!$C$5,Sales_Data!$C$2:$C$3520,"&lt;="&amp;Dashboard!$C$6,Sales_Data!$AE$2:$AE$3520,1)</f>
        <v>0</v>
      </c>
      <c r="J175" s="26" t="n">
        <f aca="false">SUMIFS(Sales_Data!$N$2:$N$3520,Sales_Data!$F$2:$F$3520,$A175,Sales_Data!$C$2:$C$3520,"&gt;="&amp;Dashboard!$C$5,Sales_Data!$C$2:$C$3520,"&lt;="&amp;Dashboard!$C$6,Sales_Data!$AE$2:$AE$3520,1)</f>
        <v>0</v>
      </c>
      <c r="K175" s="27" t="n">
        <f aca="false">SUMIFS(Sales_Data!$O$2:$O$3520,Sales_Data!$F$2:$F$3520,$A175,Sales_Data!$C$2:$C$3520,"&gt;="&amp;Dashboard!$C$5,Sales_Data!$C$2:$C$3520,"&lt;="&amp;Dashboard!$C$6,Sales_Data!$AE$2:$AE$3520,1)</f>
        <v>0</v>
      </c>
      <c r="L175" s="26" t="n">
        <f aca="false">SUMIFS(Sales_Data!$AF$2:$AF$3520,Sales_Data!$F$2:$F$3520,$A175,Sales_Data!$C$2:$C$3520,"&gt;="&amp;Dashboard!$C$5,Sales_Data!$C$2:$C$3520,"&lt;="&amp;Dashboard!$C$6)</f>
        <v>0</v>
      </c>
      <c r="M175" s="31" t="n">
        <f aca="false">IFERROR(K175/L175,0)</f>
        <v>0</v>
      </c>
      <c r="N175" s="26" t="n">
        <f aca="false">SUMIFS(Sales_Data!$O$2:$O$3520,Sales_Data!$F$2:$F$3520,$A175,Sales_Data!$C$2:$C$3520,"&gt;="&amp;Dashboard!$C$12,Sales_Data!$C$2:$C$3520,"&lt;="&amp;Dashboard!$C$13,Sales_Data!$AE$2:$AE$3520,1)</f>
        <v>0</v>
      </c>
      <c r="O175" s="28" t="n">
        <f aca="false">K175-N175</f>
        <v>0</v>
      </c>
      <c r="P175" s="54" t="str">
        <f aca="false">IF(W175=0,"-",W175)</f>
        <v>-</v>
      </c>
      <c r="Q175" s="52" t="str">
        <f aca="false">IF(W175=0,"-",$B$2-W175)</f>
        <v>-</v>
      </c>
      <c r="R175" s="52" t="n">
        <f aca="false">IF(T175=1,COUNTIFS($T$5:$T$254,1,$K$5:$K$254,"&gt;"&amp;K175)+1,"-")</f>
        <v>139</v>
      </c>
      <c r="S175" s="52" t="n">
        <f aca="false">COUNTIFS($C$5:$C$254,C175,$K$5:$K$254,"&gt;"&amp;K175)+1</f>
        <v>2</v>
      </c>
      <c r="T175" s="52" t="n">
        <f aca="false">IF(AND(OR(Dashboard!$C$7="All",D175=Dashboard!$C$7),OR(Dashboard!$C$8="All",C175=Dashboard!$C$8)),1,0)</f>
        <v>1</v>
      </c>
      <c r="U175" s="74" t="n">
        <f aca="false">IF(T175=1,K175+ROW()/1000000,-1)</f>
        <v>0.000175</v>
      </c>
      <c r="V175" s="74" t="n">
        <f aca="false">IF(AND(T175=1,E175="Production"),K175+ROW()/1000000,1000000000)</f>
        <v>1000000000</v>
      </c>
      <c r="W175" s="52" t="n">
        <f aca="false">SUMPRODUCT(MAX((Sales_Data!$F$2:$F$3520=A175)*Sales_Data!$C$2:$C$3520))</f>
        <v>0</v>
      </c>
    </row>
    <row r="176" customFormat="false" ht="15" hidden="false" customHeight="false" outlineLevel="0" collapsed="false">
      <c r="A176" s="53" t="s">
        <v>6744</v>
      </c>
      <c r="B176" s="48" t="s">
        <v>6745</v>
      </c>
      <c r="C176" s="53" t="s">
        <v>56</v>
      </c>
      <c r="D176" s="53" t="s">
        <v>49</v>
      </c>
      <c r="E176" s="53" t="s">
        <v>3708</v>
      </c>
      <c r="F176" s="53" t="s">
        <v>209</v>
      </c>
      <c r="G176" s="53" t="s">
        <v>6699</v>
      </c>
      <c r="H176" s="26" t="n">
        <f aca="false">SUMIFS(Sales_Data!$AE$2:$AE$3520,Sales_Data!$F$2:$F$3520,$A176,Sales_Data!$C$2:$C$3520,"&gt;="&amp;Dashboard!$C$5,Sales_Data!$C$2:$C$3520,"&lt;="&amp;Dashboard!$C$6)</f>
        <v>0</v>
      </c>
      <c r="I176" s="26" t="n">
        <f aca="false">SUMIFS(Sales_Data!$M$2:$M$3520,Sales_Data!$F$2:$F$3520,$A176,Sales_Data!$C$2:$C$3520,"&gt;="&amp;Dashboard!$C$5,Sales_Data!$C$2:$C$3520,"&lt;="&amp;Dashboard!$C$6,Sales_Data!$AE$2:$AE$3520,1)</f>
        <v>0</v>
      </c>
      <c r="J176" s="26" t="n">
        <f aca="false">SUMIFS(Sales_Data!$N$2:$N$3520,Sales_Data!$F$2:$F$3520,$A176,Sales_Data!$C$2:$C$3520,"&gt;="&amp;Dashboard!$C$5,Sales_Data!$C$2:$C$3520,"&lt;="&amp;Dashboard!$C$6,Sales_Data!$AE$2:$AE$3520,1)</f>
        <v>0</v>
      </c>
      <c r="K176" s="27" t="n">
        <f aca="false">SUMIFS(Sales_Data!$O$2:$O$3520,Sales_Data!$F$2:$F$3520,$A176,Sales_Data!$C$2:$C$3520,"&gt;="&amp;Dashboard!$C$5,Sales_Data!$C$2:$C$3520,"&lt;="&amp;Dashboard!$C$6,Sales_Data!$AE$2:$AE$3520,1)</f>
        <v>0</v>
      </c>
      <c r="L176" s="26" t="n">
        <f aca="false">SUMIFS(Sales_Data!$AF$2:$AF$3520,Sales_Data!$F$2:$F$3520,$A176,Sales_Data!$C$2:$C$3520,"&gt;="&amp;Dashboard!$C$5,Sales_Data!$C$2:$C$3520,"&lt;="&amp;Dashboard!$C$6)</f>
        <v>0</v>
      </c>
      <c r="M176" s="31" t="n">
        <f aca="false">IFERROR(K176/L176,0)</f>
        <v>0</v>
      </c>
      <c r="N176" s="26" t="n">
        <f aca="false">SUMIFS(Sales_Data!$O$2:$O$3520,Sales_Data!$F$2:$F$3520,$A176,Sales_Data!$C$2:$C$3520,"&gt;="&amp;Dashboard!$C$12,Sales_Data!$C$2:$C$3520,"&lt;="&amp;Dashboard!$C$13,Sales_Data!$AE$2:$AE$3520,1)</f>
        <v>0</v>
      </c>
      <c r="O176" s="28" t="n">
        <f aca="false">K176-N176</f>
        <v>0</v>
      </c>
      <c r="P176" s="54" t="str">
        <f aca="false">IF(W176=0,"-",W176)</f>
        <v>-</v>
      </c>
      <c r="Q176" s="52" t="str">
        <f aca="false">IF(W176=0,"-",$B$2-W176)</f>
        <v>-</v>
      </c>
      <c r="R176" s="52" t="n">
        <f aca="false">IF(T176=1,COUNTIFS($T$5:$T$254,1,$K$5:$K$254,"&gt;"&amp;K176)+1,"-")</f>
        <v>139</v>
      </c>
      <c r="S176" s="52" t="n">
        <f aca="false">COUNTIFS($C$5:$C$254,C176,$K$5:$K$254,"&gt;"&amp;K176)+1</f>
        <v>2</v>
      </c>
      <c r="T176" s="52" t="n">
        <f aca="false">IF(AND(OR(Dashboard!$C$7="All",D176=Dashboard!$C$7),OR(Dashboard!$C$8="All",C176=Dashboard!$C$8)),1,0)</f>
        <v>1</v>
      </c>
      <c r="U176" s="74" t="n">
        <f aca="false">IF(T176=1,K176+ROW()/1000000,-1)</f>
        <v>0.000176</v>
      </c>
      <c r="V176" s="74" t="n">
        <f aca="false">IF(AND(T176=1,E176="Production"),K176+ROW()/1000000,1000000000)</f>
        <v>1000000000</v>
      </c>
      <c r="W176" s="52" t="n">
        <f aca="false">SUMPRODUCT(MAX((Sales_Data!$F$2:$F$3520=A176)*Sales_Data!$C$2:$C$3520))</f>
        <v>0</v>
      </c>
    </row>
    <row r="177" customFormat="false" ht="15" hidden="false" customHeight="false" outlineLevel="0" collapsed="false">
      <c r="A177" s="53" t="s">
        <v>6747</v>
      </c>
      <c r="B177" s="48" t="s">
        <v>6748</v>
      </c>
      <c r="C177" s="53" t="s">
        <v>56</v>
      </c>
      <c r="D177" s="53" t="s">
        <v>49</v>
      </c>
      <c r="E177" s="53" t="s">
        <v>3708</v>
      </c>
      <c r="F177" s="53" t="s">
        <v>209</v>
      </c>
      <c r="G177" s="53" t="s">
        <v>6699</v>
      </c>
      <c r="H177" s="26" t="n">
        <f aca="false">SUMIFS(Sales_Data!$AE$2:$AE$3520,Sales_Data!$F$2:$F$3520,$A177,Sales_Data!$C$2:$C$3520,"&gt;="&amp;Dashboard!$C$5,Sales_Data!$C$2:$C$3520,"&lt;="&amp;Dashboard!$C$6)</f>
        <v>0</v>
      </c>
      <c r="I177" s="26" t="n">
        <f aca="false">SUMIFS(Sales_Data!$M$2:$M$3520,Sales_Data!$F$2:$F$3520,$A177,Sales_Data!$C$2:$C$3520,"&gt;="&amp;Dashboard!$C$5,Sales_Data!$C$2:$C$3520,"&lt;="&amp;Dashboard!$C$6,Sales_Data!$AE$2:$AE$3520,1)</f>
        <v>0</v>
      </c>
      <c r="J177" s="26" t="n">
        <f aca="false">SUMIFS(Sales_Data!$N$2:$N$3520,Sales_Data!$F$2:$F$3520,$A177,Sales_Data!$C$2:$C$3520,"&gt;="&amp;Dashboard!$C$5,Sales_Data!$C$2:$C$3520,"&lt;="&amp;Dashboard!$C$6,Sales_Data!$AE$2:$AE$3520,1)</f>
        <v>0</v>
      </c>
      <c r="K177" s="27" t="n">
        <f aca="false">SUMIFS(Sales_Data!$O$2:$O$3520,Sales_Data!$F$2:$F$3520,$A177,Sales_Data!$C$2:$C$3520,"&gt;="&amp;Dashboard!$C$5,Sales_Data!$C$2:$C$3520,"&lt;="&amp;Dashboard!$C$6,Sales_Data!$AE$2:$AE$3520,1)</f>
        <v>0</v>
      </c>
      <c r="L177" s="26" t="n">
        <f aca="false">SUMIFS(Sales_Data!$AF$2:$AF$3520,Sales_Data!$F$2:$F$3520,$A177,Sales_Data!$C$2:$C$3520,"&gt;="&amp;Dashboard!$C$5,Sales_Data!$C$2:$C$3520,"&lt;="&amp;Dashboard!$C$6)</f>
        <v>0</v>
      </c>
      <c r="M177" s="31" t="n">
        <f aca="false">IFERROR(K177/L177,0)</f>
        <v>0</v>
      </c>
      <c r="N177" s="26" t="n">
        <f aca="false">SUMIFS(Sales_Data!$O$2:$O$3520,Sales_Data!$F$2:$F$3520,$A177,Sales_Data!$C$2:$C$3520,"&gt;="&amp;Dashboard!$C$12,Sales_Data!$C$2:$C$3520,"&lt;="&amp;Dashboard!$C$13,Sales_Data!$AE$2:$AE$3520,1)</f>
        <v>0</v>
      </c>
      <c r="O177" s="28" t="n">
        <f aca="false">K177-N177</f>
        <v>0</v>
      </c>
      <c r="P177" s="54" t="str">
        <f aca="false">IF(W177=0,"-",W177)</f>
        <v>-</v>
      </c>
      <c r="Q177" s="52" t="str">
        <f aca="false">IF(W177=0,"-",$B$2-W177)</f>
        <v>-</v>
      </c>
      <c r="R177" s="52" t="n">
        <f aca="false">IF(T177=1,COUNTIFS($T$5:$T$254,1,$K$5:$K$254,"&gt;"&amp;K177)+1,"-")</f>
        <v>139</v>
      </c>
      <c r="S177" s="52" t="n">
        <f aca="false">COUNTIFS($C$5:$C$254,C177,$K$5:$K$254,"&gt;"&amp;K177)+1</f>
        <v>2</v>
      </c>
      <c r="T177" s="52" t="n">
        <f aca="false">IF(AND(OR(Dashboard!$C$7="All",D177=Dashboard!$C$7),OR(Dashboard!$C$8="All",C177=Dashboard!$C$8)),1,0)</f>
        <v>1</v>
      </c>
      <c r="U177" s="74" t="n">
        <f aca="false">IF(T177=1,K177+ROW()/1000000,-1)</f>
        <v>0.000177</v>
      </c>
      <c r="V177" s="74" t="n">
        <f aca="false">IF(AND(T177=1,E177="Production"),K177+ROW()/1000000,1000000000)</f>
        <v>1000000000</v>
      </c>
      <c r="W177" s="52" t="n">
        <f aca="false">SUMPRODUCT(MAX((Sales_Data!$F$2:$F$3520=A177)*Sales_Data!$C$2:$C$3520))</f>
        <v>0</v>
      </c>
    </row>
    <row r="178" customFormat="false" ht="15" hidden="false" customHeight="false" outlineLevel="0" collapsed="false">
      <c r="A178" s="53" t="s">
        <v>6750</v>
      </c>
      <c r="B178" s="48" t="s">
        <v>6751</v>
      </c>
      <c r="C178" s="53" t="s">
        <v>56</v>
      </c>
      <c r="D178" s="53" t="s">
        <v>49</v>
      </c>
      <c r="E178" s="53" t="s">
        <v>3708</v>
      </c>
      <c r="F178" s="53" t="s">
        <v>209</v>
      </c>
      <c r="G178" s="53" t="s">
        <v>6699</v>
      </c>
      <c r="H178" s="26" t="n">
        <f aca="false">SUMIFS(Sales_Data!$AE$2:$AE$3520,Sales_Data!$F$2:$F$3520,$A178,Sales_Data!$C$2:$C$3520,"&gt;="&amp;Dashboard!$C$5,Sales_Data!$C$2:$C$3520,"&lt;="&amp;Dashboard!$C$6)</f>
        <v>0</v>
      </c>
      <c r="I178" s="26" t="n">
        <f aca="false">SUMIFS(Sales_Data!$M$2:$M$3520,Sales_Data!$F$2:$F$3520,$A178,Sales_Data!$C$2:$C$3520,"&gt;="&amp;Dashboard!$C$5,Sales_Data!$C$2:$C$3520,"&lt;="&amp;Dashboard!$C$6,Sales_Data!$AE$2:$AE$3520,1)</f>
        <v>0</v>
      </c>
      <c r="J178" s="26" t="n">
        <f aca="false">SUMIFS(Sales_Data!$N$2:$N$3520,Sales_Data!$F$2:$F$3520,$A178,Sales_Data!$C$2:$C$3520,"&gt;="&amp;Dashboard!$C$5,Sales_Data!$C$2:$C$3520,"&lt;="&amp;Dashboard!$C$6,Sales_Data!$AE$2:$AE$3520,1)</f>
        <v>0</v>
      </c>
      <c r="K178" s="27" t="n">
        <f aca="false">SUMIFS(Sales_Data!$O$2:$O$3520,Sales_Data!$F$2:$F$3520,$A178,Sales_Data!$C$2:$C$3520,"&gt;="&amp;Dashboard!$C$5,Sales_Data!$C$2:$C$3520,"&lt;="&amp;Dashboard!$C$6,Sales_Data!$AE$2:$AE$3520,1)</f>
        <v>0</v>
      </c>
      <c r="L178" s="26" t="n">
        <f aca="false">SUMIFS(Sales_Data!$AF$2:$AF$3520,Sales_Data!$F$2:$F$3520,$A178,Sales_Data!$C$2:$C$3520,"&gt;="&amp;Dashboard!$C$5,Sales_Data!$C$2:$C$3520,"&lt;="&amp;Dashboard!$C$6)</f>
        <v>0</v>
      </c>
      <c r="M178" s="31" t="n">
        <f aca="false">IFERROR(K178/L178,0)</f>
        <v>0</v>
      </c>
      <c r="N178" s="26" t="n">
        <f aca="false">SUMIFS(Sales_Data!$O$2:$O$3520,Sales_Data!$F$2:$F$3520,$A178,Sales_Data!$C$2:$C$3520,"&gt;="&amp;Dashboard!$C$12,Sales_Data!$C$2:$C$3520,"&lt;="&amp;Dashboard!$C$13,Sales_Data!$AE$2:$AE$3520,1)</f>
        <v>0</v>
      </c>
      <c r="O178" s="28" t="n">
        <f aca="false">K178-N178</f>
        <v>0</v>
      </c>
      <c r="P178" s="54" t="str">
        <f aca="false">IF(W178=0,"-",W178)</f>
        <v>-</v>
      </c>
      <c r="Q178" s="52" t="str">
        <f aca="false">IF(W178=0,"-",$B$2-W178)</f>
        <v>-</v>
      </c>
      <c r="R178" s="52" t="n">
        <f aca="false">IF(T178=1,COUNTIFS($T$5:$T$254,1,$K$5:$K$254,"&gt;"&amp;K178)+1,"-")</f>
        <v>139</v>
      </c>
      <c r="S178" s="52" t="n">
        <f aca="false">COUNTIFS($C$5:$C$254,C178,$K$5:$K$254,"&gt;"&amp;K178)+1</f>
        <v>2</v>
      </c>
      <c r="T178" s="52" t="n">
        <f aca="false">IF(AND(OR(Dashboard!$C$7="All",D178=Dashboard!$C$7),OR(Dashboard!$C$8="All",C178=Dashboard!$C$8)),1,0)</f>
        <v>1</v>
      </c>
      <c r="U178" s="74" t="n">
        <f aca="false">IF(T178=1,K178+ROW()/1000000,-1)</f>
        <v>0.000178</v>
      </c>
      <c r="V178" s="74" t="n">
        <f aca="false">IF(AND(T178=1,E178="Production"),K178+ROW()/1000000,1000000000)</f>
        <v>1000000000</v>
      </c>
      <c r="W178" s="52" t="n">
        <f aca="false">SUMPRODUCT(MAX((Sales_Data!$F$2:$F$3520=A178)*Sales_Data!$C$2:$C$3520))</f>
        <v>0</v>
      </c>
    </row>
    <row r="179" customFormat="false" ht="15" hidden="false" customHeight="false" outlineLevel="0" collapsed="false">
      <c r="A179" s="53" t="s">
        <v>6753</v>
      </c>
      <c r="B179" s="48" t="s">
        <v>6754</v>
      </c>
      <c r="C179" s="53" t="s">
        <v>56</v>
      </c>
      <c r="D179" s="53" t="s">
        <v>49</v>
      </c>
      <c r="E179" s="53" t="s">
        <v>3708</v>
      </c>
      <c r="F179" s="53" t="s">
        <v>209</v>
      </c>
      <c r="G179" s="53" t="s">
        <v>6699</v>
      </c>
      <c r="H179" s="26" t="n">
        <f aca="false">SUMIFS(Sales_Data!$AE$2:$AE$3520,Sales_Data!$F$2:$F$3520,$A179,Sales_Data!$C$2:$C$3520,"&gt;="&amp;Dashboard!$C$5,Sales_Data!$C$2:$C$3520,"&lt;="&amp;Dashboard!$C$6)</f>
        <v>0</v>
      </c>
      <c r="I179" s="26" t="n">
        <f aca="false">SUMIFS(Sales_Data!$M$2:$M$3520,Sales_Data!$F$2:$F$3520,$A179,Sales_Data!$C$2:$C$3520,"&gt;="&amp;Dashboard!$C$5,Sales_Data!$C$2:$C$3520,"&lt;="&amp;Dashboard!$C$6,Sales_Data!$AE$2:$AE$3520,1)</f>
        <v>0</v>
      </c>
      <c r="J179" s="26" t="n">
        <f aca="false">SUMIFS(Sales_Data!$N$2:$N$3520,Sales_Data!$F$2:$F$3520,$A179,Sales_Data!$C$2:$C$3520,"&gt;="&amp;Dashboard!$C$5,Sales_Data!$C$2:$C$3520,"&lt;="&amp;Dashboard!$C$6,Sales_Data!$AE$2:$AE$3520,1)</f>
        <v>0</v>
      </c>
      <c r="K179" s="27" t="n">
        <f aca="false">SUMIFS(Sales_Data!$O$2:$O$3520,Sales_Data!$F$2:$F$3520,$A179,Sales_Data!$C$2:$C$3520,"&gt;="&amp;Dashboard!$C$5,Sales_Data!$C$2:$C$3520,"&lt;="&amp;Dashboard!$C$6,Sales_Data!$AE$2:$AE$3520,1)</f>
        <v>0</v>
      </c>
      <c r="L179" s="26" t="n">
        <f aca="false">SUMIFS(Sales_Data!$AF$2:$AF$3520,Sales_Data!$F$2:$F$3520,$A179,Sales_Data!$C$2:$C$3520,"&gt;="&amp;Dashboard!$C$5,Sales_Data!$C$2:$C$3520,"&lt;="&amp;Dashboard!$C$6)</f>
        <v>0</v>
      </c>
      <c r="M179" s="31" t="n">
        <f aca="false">IFERROR(K179/L179,0)</f>
        <v>0</v>
      </c>
      <c r="N179" s="26" t="n">
        <f aca="false">SUMIFS(Sales_Data!$O$2:$O$3520,Sales_Data!$F$2:$F$3520,$A179,Sales_Data!$C$2:$C$3520,"&gt;="&amp;Dashboard!$C$12,Sales_Data!$C$2:$C$3520,"&lt;="&amp;Dashboard!$C$13,Sales_Data!$AE$2:$AE$3520,1)</f>
        <v>0</v>
      </c>
      <c r="O179" s="28" t="n">
        <f aca="false">K179-N179</f>
        <v>0</v>
      </c>
      <c r="P179" s="54" t="str">
        <f aca="false">IF(W179=0,"-",W179)</f>
        <v>-</v>
      </c>
      <c r="Q179" s="52" t="str">
        <f aca="false">IF(W179=0,"-",$B$2-W179)</f>
        <v>-</v>
      </c>
      <c r="R179" s="52" t="n">
        <f aca="false">IF(T179=1,COUNTIFS($T$5:$T$254,1,$K$5:$K$254,"&gt;"&amp;K179)+1,"-")</f>
        <v>139</v>
      </c>
      <c r="S179" s="52" t="n">
        <f aca="false">COUNTIFS($C$5:$C$254,C179,$K$5:$K$254,"&gt;"&amp;K179)+1</f>
        <v>2</v>
      </c>
      <c r="T179" s="52" t="n">
        <f aca="false">IF(AND(OR(Dashboard!$C$7="All",D179=Dashboard!$C$7),OR(Dashboard!$C$8="All",C179=Dashboard!$C$8)),1,0)</f>
        <v>1</v>
      </c>
      <c r="U179" s="74" t="n">
        <f aca="false">IF(T179=1,K179+ROW()/1000000,-1)</f>
        <v>0.000179</v>
      </c>
      <c r="V179" s="74" t="n">
        <f aca="false">IF(AND(T179=1,E179="Production"),K179+ROW()/1000000,1000000000)</f>
        <v>1000000000</v>
      </c>
      <c r="W179" s="52" t="n">
        <f aca="false">SUMPRODUCT(MAX((Sales_Data!$F$2:$F$3520=A179)*Sales_Data!$C$2:$C$3520))</f>
        <v>0</v>
      </c>
    </row>
    <row r="180" customFormat="false" ht="15" hidden="false" customHeight="false" outlineLevel="0" collapsed="false">
      <c r="A180" s="53" t="s">
        <v>5088</v>
      </c>
      <c r="B180" s="48" t="s">
        <v>5089</v>
      </c>
      <c r="C180" s="53" t="s">
        <v>56</v>
      </c>
      <c r="D180" s="53" t="s">
        <v>49</v>
      </c>
      <c r="E180" s="53" t="s">
        <v>3708</v>
      </c>
      <c r="F180" s="53" t="s">
        <v>209</v>
      </c>
      <c r="G180" s="53" t="s">
        <v>6699</v>
      </c>
      <c r="H180" s="26" t="n">
        <f aca="false">SUMIFS(Sales_Data!$AE$2:$AE$3520,Sales_Data!$F$2:$F$3520,$A180,Sales_Data!$C$2:$C$3520,"&gt;="&amp;Dashboard!$C$5,Sales_Data!$C$2:$C$3520,"&lt;="&amp;Dashboard!$C$6)</f>
        <v>0</v>
      </c>
      <c r="I180" s="26" t="n">
        <f aca="false">SUMIFS(Sales_Data!$M$2:$M$3520,Sales_Data!$F$2:$F$3520,$A180,Sales_Data!$C$2:$C$3520,"&gt;="&amp;Dashboard!$C$5,Sales_Data!$C$2:$C$3520,"&lt;="&amp;Dashboard!$C$6,Sales_Data!$AE$2:$AE$3520,1)</f>
        <v>0</v>
      </c>
      <c r="J180" s="26" t="n">
        <f aca="false">SUMIFS(Sales_Data!$N$2:$N$3520,Sales_Data!$F$2:$F$3520,$A180,Sales_Data!$C$2:$C$3520,"&gt;="&amp;Dashboard!$C$5,Sales_Data!$C$2:$C$3520,"&lt;="&amp;Dashboard!$C$6,Sales_Data!$AE$2:$AE$3520,1)</f>
        <v>0</v>
      </c>
      <c r="K180" s="27" t="n">
        <f aca="false">SUMIFS(Sales_Data!$O$2:$O$3520,Sales_Data!$F$2:$F$3520,$A180,Sales_Data!$C$2:$C$3520,"&gt;="&amp;Dashboard!$C$5,Sales_Data!$C$2:$C$3520,"&lt;="&amp;Dashboard!$C$6,Sales_Data!$AE$2:$AE$3520,1)</f>
        <v>0</v>
      </c>
      <c r="L180" s="26" t="n">
        <f aca="false">SUMIFS(Sales_Data!$AF$2:$AF$3520,Sales_Data!$F$2:$F$3520,$A180,Sales_Data!$C$2:$C$3520,"&gt;="&amp;Dashboard!$C$5,Sales_Data!$C$2:$C$3520,"&lt;="&amp;Dashboard!$C$6)</f>
        <v>0</v>
      </c>
      <c r="M180" s="31" t="n">
        <f aca="false">IFERROR(K180/L180,0)</f>
        <v>0</v>
      </c>
      <c r="N180" s="26" t="n">
        <f aca="false">SUMIFS(Sales_Data!$O$2:$O$3520,Sales_Data!$F$2:$F$3520,$A180,Sales_Data!$C$2:$C$3520,"&gt;="&amp;Dashboard!$C$12,Sales_Data!$C$2:$C$3520,"&lt;="&amp;Dashboard!$C$13,Sales_Data!$AE$2:$AE$3520,1)</f>
        <v>2</v>
      </c>
      <c r="O180" s="28" t="n">
        <f aca="false">K180-N180</f>
        <v>-2</v>
      </c>
      <c r="P180" s="54" t="n">
        <f aca="false">IF(W180=0,"-",W180)</f>
        <v>46294</v>
      </c>
      <c r="Q180" s="52" t="n">
        <f aca="false">IF(W180=0,"-",$B$2-W180)</f>
        <v>9</v>
      </c>
      <c r="R180" s="52" t="n">
        <f aca="false">IF(T180=1,COUNTIFS($T$5:$T$254,1,$K$5:$K$254,"&gt;"&amp;K180)+1,"-")</f>
        <v>139</v>
      </c>
      <c r="S180" s="52" t="n">
        <f aca="false">COUNTIFS($C$5:$C$254,C180,$K$5:$K$254,"&gt;"&amp;K180)+1</f>
        <v>2</v>
      </c>
      <c r="T180" s="52" t="n">
        <f aca="false">IF(AND(OR(Dashboard!$C$7="All",D180=Dashboard!$C$7),OR(Dashboard!$C$8="All",C180=Dashboard!$C$8)),1,0)</f>
        <v>1</v>
      </c>
      <c r="U180" s="74" t="n">
        <f aca="false">IF(T180=1,K180+ROW()/1000000,-1)</f>
        <v>0.00018</v>
      </c>
      <c r="V180" s="74" t="n">
        <f aca="false">IF(AND(T180=1,E180="Production"),K180+ROW()/1000000,1000000000)</f>
        <v>1000000000</v>
      </c>
      <c r="W180" s="52" t="n">
        <f aca="false">SUMPRODUCT(MAX((Sales_Data!$F$2:$F$3520=A180)*Sales_Data!$C$2:$C$3520))</f>
        <v>46294</v>
      </c>
    </row>
    <row r="181" customFormat="false" ht="15" hidden="false" customHeight="false" outlineLevel="0" collapsed="false">
      <c r="A181" s="53" t="s">
        <v>2389</v>
      </c>
      <c r="B181" s="48" t="s">
        <v>2390</v>
      </c>
      <c r="C181" s="53" t="s">
        <v>57</v>
      </c>
      <c r="D181" s="53" t="s">
        <v>47</v>
      </c>
      <c r="E181" s="53" t="s">
        <v>146</v>
      </c>
      <c r="F181" s="53" t="s">
        <v>147</v>
      </c>
      <c r="G181" s="53" t="s">
        <v>6492</v>
      </c>
      <c r="H181" s="26" t="n">
        <f aca="false">SUMIFS(Sales_Data!$AE$2:$AE$3520,Sales_Data!$F$2:$F$3520,$A181,Sales_Data!$C$2:$C$3520,"&gt;="&amp;Dashboard!$C$5,Sales_Data!$C$2:$C$3520,"&lt;="&amp;Dashboard!$C$6)</f>
        <v>1</v>
      </c>
      <c r="I181" s="26" t="n">
        <f aca="false">SUMIFS(Sales_Data!$M$2:$M$3520,Sales_Data!$F$2:$F$3520,$A181,Sales_Data!$C$2:$C$3520,"&gt;="&amp;Dashboard!$C$5,Sales_Data!$C$2:$C$3520,"&lt;="&amp;Dashboard!$C$6,Sales_Data!$AE$2:$AE$3520,1)</f>
        <v>0</v>
      </c>
      <c r="J181" s="26" t="n">
        <f aca="false">SUMIFS(Sales_Data!$N$2:$N$3520,Sales_Data!$F$2:$F$3520,$A181,Sales_Data!$C$2:$C$3520,"&gt;="&amp;Dashboard!$C$5,Sales_Data!$C$2:$C$3520,"&lt;="&amp;Dashboard!$C$6,Sales_Data!$AE$2:$AE$3520,1)</f>
        <v>1</v>
      </c>
      <c r="K181" s="27" t="n">
        <f aca="false">SUMIFS(Sales_Data!$O$2:$O$3520,Sales_Data!$F$2:$F$3520,$A181,Sales_Data!$C$2:$C$3520,"&gt;="&amp;Dashboard!$C$5,Sales_Data!$C$2:$C$3520,"&lt;="&amp;Dashboard!$C$6,Sales_Data!$AE$2:$AE$3520,1)</f>
        <v>1</v>
      </c>
      <c r="L181" s="26" t="n">
        <f aca="false">SUMIFS(Sales_Data!$AF$2:$AF$3520,Sales_Data!$F$2:$F$3520,$A181,Sales_Data!$C$2:$C$3520,"&gt;="&amp;Dashboard!$C$5,Sales_Data!$C$2:$C$3520,"&lt;="&amp;Dashboard!$C$6)</f>
        <v>1</v>
      </c>
      <c r="M181" s="31" t="n">
        <f aca="false">IFERROR(K181/L181,0)</f>
        <v>1</v>
      </c>
      <c r="N181" s="26" t="n">
        <f aca="false">SUMIFS(Sales_Data!$O$2:$O$3520,Sales_Data!$F$2:$F$3520,$A181,Sales_Data!$C$2:$C$3520,"&gt;="&amp;Dashboard!$C$12,Sales_Data!$C$2:$C$3520,"&lt;="&amp;Dashboard!$C$13,Sales_Data!$AE$2:$AE$3520,1)</f>
        <v>0</v>
      </c>
      <c r="O181" s="28" t="n">
        <f aca="false">K181-N181</f>
        <v>1</v>
      </c>
      <c r="P181" s="54" t="n">
        <f aca="false">IF(W181=0,"-",W181)</f>
        <v>46302</v>
      </c>
      <c r="Q181" s="52" t="n">
        <f aca="false">IF(W181=0,"-",$B$2-W181)</f>
        <v>1</v>
      </c>
      <c r="R181" s="52" t="n">
        <f aca="false">IF(T181=1,COUNTIFS($T$5:$T$254,1,$K$5:$K$254,"&gt;"&amp;K181)+1,"-")</f>
        <v>105</v>
      </c>
      <c r="S181" s="52" t="n">
        <f aca="false">COUNTIFS($C$5:$C$254,C181,$K$5:$K$254,"&gt;"&amp;K181)+1</f>
        <v>11</v>
      </c>
      <c r="T181" s="52" t="n">
        <f aca="false">IF(AND(OR(Dashboard!$C$7="All",D181=Dashboard!$C$7),OR(Dashboard!$C$8="All",C181=Dashboard!$C$8)),1,0)</f>
        <v>1</v>
      </c>
      <c r="U181" s="74" t="n">
        <f aca="false">IF(T181=1,K181+ROW()/1000000,-1)</f>
        <v>1.000181</v>
      </c>
      <c r="V181" s="74" t="n">
        <f aca="false">IF(AND(T181=1,E181="Production"),K181+ROW()/1000000,1000000000)</f>
        <v>1.000181</v>
      </c>
      <c r="W181" s="52" t="n">
        <f aca="false">SUMPRODUCT(MAX((Sales_Data!$F$2:$F$3520=A181)*Sales_Data!$C$2:$C$3520))</f>
        <v>46302</v>
      </c>
    </row>
    <row r="182" customFormat="false" ht="15" hidden="false" customHeight="false" outlineLevel="0" collapsed="false">
      <c r="A182" s="53" t="s">
        <v>255</v>
      </c>
      <c r="B182" s="48" t="s">
        <v>256</v>
      </c>
      <c r="C182" s="53" t="s">
        <v>57</v>
      </c>
      <c r="D182" s="53" t="s">
        <v>47</v>
      </c>
      <c r="E182" s="53" t="s">
        <v>146</v>
      </c>
      <c r="F182" s="53" t="s">
        <v>147</v>
      </c>
      <c r="G182" s="53" t="s">
        <v>6509</v>
      </c>
      <c r="H182" s="26" t="n">
        <f aca="false">SUMIFS(Sales_Data!$AE$2:$AE$3520,Sales_Data!$F$2:$F$3520,$A182,Sales_Data!$C$2:$C$3520,"&gt;="&amp;Dashboard!$C$5,Sales_Data!$C$2:$C$3520,"&lt;="&amp;Dashboard!$C$6)</f>
        <v>5</v>
      </c>
      <c r="I182" s="26" t="n">
        <f aca="false">SUMIFS(Sales_Data!$M$2:$M$3520,Sales_Data!$F$2:$F$3520,$A182,Sales_Data!$C$2:$C$3520,"&gt;="&amp;Dashboard!$C$5,Sales_Data!$C$2:$C$3520,"&lt;="&amp;Dashboard!$C$6,Sales_Data!$AE$2:$AE$3520,1)</f>
        <v>0</v>
      </c>
      <c r="J182" s="26" t="n">
        <f aca="false">SUMIFS(Sales_Data!$N$2:$N$3520,Sales_Data!$F$2:$F$3520,$A182,Sales_Data!$C$2:$C$3520,"&gt;="&amp;Dashboard!$C$5,Sales_Data!$C$2:$C$3520,"&lt;="&amp;Dashboard!$C$6,Sales_Data!$AE$2:$AE$3520,1)</f>
        <v>9</v>
      </c>
      <c r="K182" s="27" t="n">
        <f aca="false">SUMIFS(Sales_Data!$O$2:$O$3520,Sales_Data!$F$2:$F$3520,$A182,Sales_Data!$C$2:$C$3520,"&gt;="&amp;Dashboard!$C$5,Sales_Data!$C$2:$C$3520,"&lt;="&amp;Dashboard!$C$6,Sales_Data!$AE$2:$AE$3520,1)</f>
        <v>9</v>
      </c>
      <c r="L182" s="26" t="n">
        <f aca="false">SUMIFS(Sales_Data!$AF$2:$AF$3520,Sales_Data!$F$2:$F$3520,$A182,Sales_Data!$C$2:$C$3520,"&gt;="&amp;Dashboard!$C$5,Sales_Data!$C$2:$C$3520,"&lt;="&amp;Dashboard!$C$6)</f>
        <v>2</v>
      </c>
      <c r="M182" s="31" t="n">
        <f aca="false">IFERROR(K182/L182,0)</f>
        <v>4.5</v>
      </c>
      <c r="N182" s="26" t="n">
        <f aca="false">SUMIFS(Sales_Data!$O$2:$O$3520,Sales_Data!$F$2:$F$3520,$A182,Sales_Data!$C$2:$C$3520,"&gt;="&amp;Dashboard!$C$12,Sales_Data!$C$2:$C$3520,"&lt;="&amp;Dashboard!$C$13,Sales_Data!$AE$2:$AE$3520,1)</f>
        <v>6</v>
      </c>
      <c r="O182" s="28" t="n">
        <f aca="false">K182-N182</f>
        <v>3</v>
      </c>
      <c r="P182" s="54" t="n">
        <f aca="false">IF(W182=0,"-",W182)</f>
        <v>46303</v>
      </c>
      <c r="Q182" s="52" t="n">
        <f aca="false">IF(W182=0,"-",$B$2-W182)</f>
        <v>0</v>
      </c>
      <c r="R182" s="52" t="n">
        <f aca="false">IF(T182=1,COUNTIFS($T$5:$T$254,1,$K$5:$K$254,"&gt;"&amp;K182)+1,"-")</f>
        <v>9</v>
      </c>
      <c r="S182" s="52" t="n">
        <f aca="false">COUNTIFS($C$5:$C$254,C182,$K$5:$K$254,"&gt;"&amp;K182)+1</f>
        <v>2</v>
      </c>
      <c r="T182" s="52" t="n">
        <f aca="false">IF(AND(OR(Dashboard!$C$7="All",D182=Dashboard!$C$7),OR(Dashboard!$C$8="All",C182=Dashboard!$C$8)),1,0)</f>
        <v>1</v>
      </c>
      <c r="U182" s="74" t="n">
        <f aca="false">IF(T182=1,K182+ROW()/1000000,-1)</f>
        <v>9.000182</v>
      </c>
      <c r="V182" s="74" t="n">
        <f aca="false">IF(AND(T182=1,E182="Production"),K182+ROW()/1000000,1000000000)</f>
        <v>9.000182</v>
      </c>
      <c r="W182" s="52" t="n">
        <f aca="false">SUMPRODUCT(MAX((Sales_Data!$F$2:$F$3520=A182)*Sales_Data!$C$2:$C$3520))</f>
        <v>46303</v>
      </c>
    </row>
    <row r="183" customFormat="false" ht="15" hidden="false" customHeight="false" outlineLevel="0" collapsed="false">
      <c r="A183" s="53" t="s">
        <v>737</v>
      </c>
      <c r="B183" s="48" t="s">
        <v>738</v>
      </c>
      <c r="C183" s="53" t="s">
        <v>57</v>
      </c>
      <c r="D183" s="53" t="s">
        <v>47</v>
      </c>
      <c r="E183" s="53" t="s">
        <v>146</v>
      </c>
      <c r="F183" s="53" t="s">
        <v>175</v>
      </c>
      <c r="G183" s="53" t="s">
        <v>6760</v>
      </c>
      <c r="H183" s="26" t="n">
        <f aca="false">SUMIFS(Sales_Data!$AE$2:$AE$3520,Sales_Data!$F$2:$F$3520,$A183,Sales_Data!$C$2:$C$3520,"&gt;="&amp;Dashboard!$C$5,Sales_Data!$C$2:$C$3520,"&lt;="&amp;Dashboard!$C$6)</f>
        <v>0</v>
      </c>
      <c r="I183" s="26" t="n">
        <f aca="false">SUMIFS(Sales_Data!$M$2:$M$3520,Sales_Data!$F$2:$F$3520,$A183,Sales_Data!$C$2:$C$3520,"&gt;="&amp;Dashboard!$C$5,Sales_Data!$C$2:$C$3520,"&lt;="&amp;Dashboard!$C$6,Sales_Data!$AE$2:$AE$3520,1)</f>
        <v>0</v>
      </c>
      <c r="J183" s="26" t="n">
        <f aca="false">SUMIFS(Sales_Data!$N$2:$N$3520,Sales_Data!$F$2:$F$3520,$A183,Sales_Data!$C$2:$C$3520,"&gt;="&amp;Dashboard!$C$5,Sales_Data!$C$2:$C$3520,"&lt;="&amp;Dashboard!$C$6,Sales_Data!$AE$2:$AE$3520,1)</f>
        <v>0</v>
      </c>
      <c r="K183" s="27" t="n">
        <f aca="false">SUMIFS(Sales_Data!$O$2:$O$3520,Sales_Data!$F$2:$F$3520,$A183,Sales_Data!$C$2:$C$3520,"&gt;="&amp;Dashboard!$C$5,Sales_Data!$C$2:$C$3520,"&lt;="&amp;Dashboard!$C$6,Sales_Data!$AE$2:$AE$3520,1)</f>
        <v>0</v>
      </c>
      <c r="L183" s="26" t="n">
        <f aca="false">SUMIFS(Sales_Data!$AF$2:$AF$3520,Sales_Data!$F$2:$F$3520,$A183,Sales_Data!$C$2:$C$3520,"&gt;="&amp;Dashboard!$C$5,Sales_Data!$C$2:$C$3520,"&lt;="&amp;Dashboard!$C$6)</f>
        <v>0</v>
      </c>
      <c r="M183" s="31" t="n">
        <f aca="false">IFERROR(K183/L183,0)</f>
        <v>0</v>
      </c>
      <c r="N183" s="26" t="n">
        <f aca="false">SUMIFS(Sales_Data!$O$2:$O$3520,Sales_Data!$F$2:$F$3520,$A183,Sales_Data!$C$2:$C$3520,"&gt;="&amp;Dashboard!$C$12,Sales_Data!$C$2:$C$3520,"&lt;="&amp;Dashboard!$C$13,Sales_Data!$AE$2:$AE$3520,1)</f>
        <v>0</v>
      </c>
      <c r="O183" s="28" t="n">
        <f aca="false">K183-N183</f>
        <v>0</v>
      </c>
      <c r="P183" s="54" t="n">
        <f aca="false">IF(W183=0,"-",W183)</f>
        <v>46234</v>
      </c>
      <c r="Q183" s="52" t="n">
        <f aca="false">IF(W183=0,"-",$B$2-W183)</f>
        <v>69</v>
      </c>
      <c r="R183" s="52" t="n">
        <f aca="false">IF(T183=1,COUNTIFS($T$5:$T$254,1,$K$5:$K$254,"&gt;"&amp;K183)+1,"-")</f>
        <v>139</v>
      </c>
      <c r="S183" s="52" t="n">
        <f aca="false">COUNTIFS($C$5:$C$254,C183,$K$5:$K$254,"&gt;"&amp;K183)+1</f>
        <v>14</v>
      </c>
      <c r="T183" s="52" t="n">
        <f aca="false">IF(AND(OR(Dashboard!$C$7="All",D183=Dashboard!$C$7),OR(Dashboard!$C$8="All",C183=Dashboard!$C$8)),1,0)</f>
        <v>1</v>
      </c>
      <c r="U183" s="74" t="n">
        <f aca="false">IF(T183=1,K183+ROW()/1000000,-1)</f>
        <v>0.000183</v>
      </c>
      <c r="V183" s="74" t="n">
        <f aca="false">IF(AND(T183=1,E183="Production"),K183+ROW()/1000000,1000000000)</f>
        <v>0.000183</v>
      </c>
      <c r="W183" s="52" t="n">
        <f aca="false">SUMPRODUCT(MAX((Sales_Data!$F$2:$F$3520=A183)*Sales_Data!$C$2:$C$3520))</f>
        <v>46234</v>
      </c>
    </row>
    <row r="184" customFormat="false" ht="15" hidden="false" customHeight="false" outlineLevel="0" collapsed="false">
      <c r="A184" s="53" t="s">
        <v>6761</v>
      </c>
      <c r="B184" s="48" t="s">
        <v>6762</v>
      </c>
      <c r="C184" s="53" t="s">
        <v>57</v>
      </c>
      <c r="D184" s="53" t="s">
        <v>47</v>
      </c>
      <c r="E184" s="53" t="s">
        <v>146</v>
      </c>
      <c r="F184" s="53" t="s">
        <v>175</v>
      </c>
      <c r="G184" s="53" t="s">
        <v>6764</v>
      </c>
      <c r="H184" s="26" t="n">
        <f aca="false">SUMIFS(Sales_Data!$AE$2:$AE$3520,Sales_Data!$F$2:$F$3520,$A184,Sales_Data!$C$2:$C$3520,"&gt;="&amp;Dashboard!$C$5,Sales_Data!$C$2:$C$3520,"&lt;="&amp;Dashboard!$C$6)</f>
        <v>0</v>
      </c>
      <c r="I184" s="26" t="n">
        <f aca="false">SUMIFS(Sales_Data!$M$2:$M$3520,Sales_Data!$F$2:$F$3520,$A184,Sales_Data!$C$2:$C$3520,"&gt;="&amp;Dashboard!$C$5,Sales_Data!$C$2:$C$3520,"&lt;="&amp;Dashboard!$C$6,Sales_Data!$AE$2:$AE$3520,1)</f>
        <v>0</v>
      </c>
      <c r="J184" s="26" t="n">
        <f aca="false">SUMIFS(Sales_Data!$N$2:$N$3520,Sales_Data!$F$2:$F$3520,$A184,Sales_Data!$C$2:$C$3520,"&gt;="&amp;Dashboard!$C$5,Sales_Data!$C$2:$C$3520,"&lt;="&amp;Dashboard!$C$6,Sales_Data!$AE$2:$AE$3520,1)</f>
        <v>0</v>
      </c>
      <c r="K184" s="27" t="n">
        <f aca="false">SUMIFS(Sales_Data!$O$2:$O$3520,Sales_Data!$F$2:$F$3520,$A184,Sales_Data!$C$2:$C$3520,"&gt;="&amp;Dashboard!$C$5,Sales_Data!$C$2:$C$3520,"&lt;="&amp;Dashboard!$C$6,Sales_Data!$AE$2:$AE$3520,1)</f>
        <v>0</v>
      </c>
      <c r="L184" s="26" t="n">
        <f aca="false">SUMIFS(Sales_Data!$AF$2:$AF$3520,Sales_Data!$F$2:$F$3520,$A184,Sales_Data!$C$2:$C$3520,"&gt;="&amp;Dashboard!$C$5,Sales_Data!$C$2:$C$3520,"&lt;="&amp;Dashboard!$C$6)</f>
        <v>0</v>
      </c>
      <c r="M184" s="31" t="n">
        <f aca="false">IFERROR(K184/L184,0)</f>
        <v>0</v>
      </c>
      <c r="N184" s="26" t="n">
        <f aca="false">SUMIFS(Sales_Data!$O$2:$O$3520,Sales_Data!$F$2:$F$3520,$A184,Sales_Data!$C$2:$C$3520,"&gt;="&amp;Dashboard!$C$12,Sales_Data!$C$2:$C$3520,"&lt;="&amp;Dashboard!$C$13,Sales_Data!$AE$2:$AE$3520,1)</f>
        <v>0</v>
      </c>
      <c r="O184" s="28" t="n">
        <f aca="false">K184-N184</f>
        <v>0</v>
      </c>
      <c r="P184" s="54" t="str">
        <f aca="false">IF(W184=0,"-",W184)</f>
        <v>-</v>
      </c>
      <c r="Q184" s="52" t="str">
        <f aca="false">IF(W184=0,"-",$B$2-W184)</f>
        <v>-</v>
      </c>
      <c r="R184" s="52" t="n">
        <f aca="false">IF(T184=1,COUNTIFS($T$5:$T$254,1,$K$5:$K$254,"&gt;"&amp;K184)+1,"-")</f>
        <v>139</v>
      </c>
      <c r="S184" s="52" t="n">
        <f aca="false">COUNTIFS($C$5:$C$254,C184,$K$5:$K$254,"&gt;"&amp;K184)+1</f>
        <v>14</v>
      </c>
      <c r="T184" s="52" t="n">
        <f aca="false">IF(AND(OR(Dashboard!$C$7="All",D184=Dashboard!$C$7),OR(Dashboard!$C$8="All",C184=Dashboard!$C$8)),1,0)</f>
        <v>1</v>
      </c>
      <c r="U184" s="74" t="n">
        <f aca="false">IF(T184=1,K184+ROW()/1000000,-1)</f>
        <v>0.000184</v>
      </c>
      <c r="V184" s="74" t="n">
        <f aca="false">IF(AND(T184=1,E184="Production"),K184+ROW()/1000000,1000000000)</f>
        <v>0.000184</v>
      </c>
      <c r="W184" s="52" t="n">
        <f aca="false">SUMPRODUCT(MAX((Sales_Data!$F$2:$F$3520=A184)*Sales_Data!$C$2:$C$3520))</f>
        <v>0</v>
      </c>
    </row>
    <row r="185" customFormat="false" ht="15" hidden="false" customHeight="false" outlineLevel="0" collapsed="false">
      <c r="A185" s="53" t="s">
        <v>939</v>
      </c>
      <c r="B185" s="48" t="s">
        <v>940</v>
      </c>
      <c r="C185" s="53" t="s">
        <v>57</v>
      </c>
      <c r="D185" s="53" t="s">
        <v>47</v>
      </c>
      <c r="E185" s="53" t="s">
        <v>146</v>
      </c>
      <c r="F185" s="53" t="s">
        <v>147</v>
      </c>
      <c r="G185" s="53" t="s">
        <v>6509</v>
      </c>
      <c r="H185" s="26" t="n">
        <f aca="false">SUMIFS(Sales_Data!$AE$2:$AE$3520,Sales_Data!$F$2:$F$3520,$A185,Sales_Data!$C$2:$C$3520,"&gt;="&amp;Dashboard!$C$5,Sales_Data!$C$2:$C$3520,"&lt;="&amp;Dashboard!$C$6)</f>
        <v>3</v>
      </c>
      <c r="I185" s="26" t="n">
        <f aca="false">SUMIFS(Sales_Data!$M$2:$M$3520,Sales_Data!$F$2:$F$3520,$A185,Sales_Data!$C$2:$C$3520,"&gt;="&amp;Dashboard!$C$5,Sales_Data!$C$2:$C$3520,"&lt;="&amp;Dashboard!$C$6,Sales_Data!$AE$2:$AE$3520,1)</f>
        <v>0</v>
      </c>
      <c r="J185" s="26" t="n">
        <f aca="false">SUMIFS(Sales_Data!$N$2:$N$3520,Sales_Data!$F$2:$F$3520,$A185,Sales_Data!$C$2:$C$3520,"&gt;="&amp;Dashboard!$C$5,Sales_Data!$C$2:$C$3520,"&lt;="&amp;Dashboard!$C$6,Sales_Data!$AE$2:$AE$3520,1)</f>
        <v>3</v>
      </c>
      <c r="K185" s="27" t="n">
        <f aca="false">SUMIFS(Sales_Data!$O$2:$O$3520,Sales_Data!$F$2:$F$3520,$A185,Sales_Data!$C$2:$C$3520,"&gt;="&amp;Dashboard!$C$5,Sales_Data!$C$2:$C$3520,"&lt;="&amp;Dashboard!$C$6,Sales_Data!$AE$2:$AE$3520,1)</f>
        <v>3</v>
      </c>
      <c r="L185" s="26" t="n">
        <f aca="false">SUMIFS(Sales_Data!$AF$2:$AF$3520,Sales_Data!$F$2:$F$3520,$A185,Sales_Data!$C$2:$C$3520,"&gt;="&amp;Dashboard!$C$5,Sales_Data!$C$2:$C$3520,"&lt;="&amp;Dashboard!$C$6)</f>
        <v>2</v>
      </c>
      <c r="M185" s="31" t="n">
        <f aca="false">IFERROR(K185/L185,0)</f>
        <v>1.5</v>
      </c>
      <c r="N185" s="26" t="n">
        <f aca="false">SUMIFS(Sales_Data!$O$2:$O$3520,Sales_Data!$F$2:$F$3520,$A185,Sales_Data!$C$2:$C$3520,"&gt;="&amp;Dashboard!$C$12,Sales_Data!$C$2:$C$3520,"&lt;="&amp;Dashboard!$C$13,Sales_Data!$AE$2:$AE$3520,1)</f>
        <v>2</v>
      </c>
      <c r="O185" s="28" t="n">
        <f aca="false">K185-N185</f>
        <v>1</v>
      </c>
      <c r="P185" s="54" t="n">
        <f aca="false">IF(W185=0,"-",W185)</f>
        <v>46302</v>
      </c>
      <c r="Q185" s="52" t="n">
        <f aca="false">IF(W185=0,"-",$B$2-W185)</f>
        <v>1</v>
      </c>
      <c r="R185" s="52" t="n">
        <f aca="false">IF(T185=1,COUNTIFS($T$5:$T$254,1,$K$5:$K$254,"&gt;"&amp;K185)+1,"-")</f>
        <v>59</v>
      </c>
      <c r="S185" s="52" t="n">
        <f aca="false">COUNTIFS($C$5:$C$254,C185,$K$5:$K$254,"&gt;"&amp;K185)+1</f>
        <v>5</v>
      </c>
      <c r="T185" s="52" t="n">
        <f aca="false">IF(AND(OR(Dashboard!$C$7="All",D185=Dashboard!$C$7),OR(Dashboard!$C$8="All",C185=Dashboard!$C$8)),1,0)</f>
        <v>1</v>
      </c>
      <c r="U185" s="74" t="n">
        <f aca="false">IF(T185=1,K185+ROW()/1000000,-1)</f>
        <v>3.000185</v>
      </c>
      <c r="V185" s="74" t="n">
        <f aca="false">IF(AND(T185=1,E185="Production"),K185+ROW()/1000000,1000000000)</f>
        <v>3.000185</v>
      </c>
      <c r="W185" s="52" t="n">
        <f aca="false">SUMPRODUCT(MAX((Sales_Data!$F$2:$F$3520=A185)*Sales_Data!$C$2:$C$3520))</f>
        <v>46302</v>
      </c>
    </row>
    <row r="186" customFormat="false" ht="15" hidden="false" customHeight="false" outlineLevel="0" collapsed="false">
      <c r="A186" s="53" t="s">
        <v>6766</v>
      </c>
      <c r="B186" s="48" t="s">
        <v>6767</v>
      </c>
      <c r="C186" s="53" t="s">
        <v>57</v>
      </c>
      <c r="D186" s="53" t="s">
        <v>47</v>
      </c>
      <c r="E186" s="53" t="s">
        <v>146</v>
      </c>
      <c r="F186" s="53" t="s">
        <v>175</v>
      </c>
      <c r="G186" s="53" t="s">
        <v>6558</v>
      </c>
      <c r="H186" s="26" t="n">
        <f aca="false">SUMIFS(Sales_Data!$AE$2:$AE$3520,Sales_Data!$F$2:$F$3520,$A186,Sales_Data!$C$2:$C$3520,"&gt;="&amp;Dashboard!$C$5,Sales_Data!$C$2:$C$3520,"&lt;="&amp;Dashboard!$C$6)</f>
        <v>0</v>
      </c>
      <c r="I186" s="26" t="n">
        <f aca="false">SUMIFS(Sales_Data!$M$2:$M$3520,Sales_Data!$F$2:$F$3520,$A186,Sales_Data!$C$2:$C$3520,"&gt;="&amp;Dashboard!$C$5,Sales_Data!$C$2:$C$3520,"&lt;="&amp;Dashboard!$C$6,Sales_Data!$AE$2:$AE$3520,1)</f>
        <v>0</v>
      </c>
      <c r="J186" s="26" t="n">
        <f aca="false">SUMIFS(Sales_Data!$N$2:$N$3520,Sales_Data!$F$2:$F$3520,$A186,Sales_Data!$C$2:$C$3520,"&gt;="&amp;Dashboard!$C$5,Sales_Data!$C$2:$C$3520,"&lt;="&amp;Dashboard!$C$6,Sales_Data!$AE$2:$AE$3520,1)</f>
        <v>0</v>
      </c>
      <c r="K186" s="27" t="n">
        <f aca="false">SUMIFS(Sales_Data!$O$2:$O$3520,Sales_Data!$F$2:$F$3520,$A186,Sales_Data!$C$2:$C$3520,"&gt;="&amp;Dashboard!$C$5,Sales_Data!$C$2:$C$3520,"&lt;="&amp;Dashboard!$C$6,Sales_Data!$AE$2:$AE$3520,1)</f>
        <v>0</v>
      </c>
      <c r="L186" s="26" t="n">
        <f aca="false">SUMIFS(Sales_Data!$AF$2:$AF$3520,Sales_Data!$F$2:$F$3520,$A186,Sales_Data!$C$2:$C$3520,"&gt;="&amp;Dashboard!$C$5,Sales_Data!$C$2:$C$3520,"&lt;="&amp;Dashboard!$C$6)</f>
        <v>0</v>
      </c>
      <c r="M186" s="31" t="n">
        <f aca="false">IFERROR(K186/L186,0)</f>
        <v>0</v>
      </c>
      <c r="N186" s="26" t="n">
        <f aca="false">SUMIFS(Sales_Data!$O$2:$O$3520,Sales_Data!$F$2:$F$3520,$A186,Sales_Data!$C$2:$C$3520,"&gt;="&amp;Dashboard!$C$12,Sales_Data!$C$2:$C$3520,"&lt;="&amp;Dashboard!$C$13,Sales_Data!$AE$2:$AE$3520,1)</f>
        <v>0</v>
      </c>
      <c r="O186" s="28" t="n">
        <f aca="false">K186-N186</f>
        <v>0</v>
      </c>
      <c r="P186" s="54" t="str">
        <f aca="false">IF(W186=0,"-",W186)</f>
        <v>-</v>
      </c>
      <c r="Q186" s="52" t="str">
        <f aca="false">IF(W186=0,"-",$B$2-W186)</f>
        <v>-</v>
      </c>
      <c r="R186" s="52" t="n">
        <f aca="false">IF(T186=1,COUNTIFS($T$5:$T$254,1,$K$5:$K$254,"&gt;"&amp;K186)+1,"-")</f>
        <v>139</v>
      </c>
      <c r="S186" s="52" t="n">
        <f aca="false">COUNTIFS($C$5:$C$254,C186,$K$5:$K$254,"&gt;"&amp;K186)+1</f>
        <v>14</v>
      </c>
      <c r="T186" s="52" t="n">
        <f aca="false">IF(AND(OR(Dashboard!$C$7="All",D186=Dashboard!$C$7),OR(Dashboard!$C$8="All",C186=Dashboard!$C$8)),1,0)</f>
        <v>1</v>
      </c>
      <c r="U186" s="74" t="n">
        <f aca="false">IF(T186=1,K186+ROW()/1000000,-1)</f>
        <v>0.000186</v>
      </c>
      <c r="V186" s="74" t="n">
        <f aca="false">IF(AND(T186=1,E186="Production"),K186+ROW()/1000000,1000000000)</f>
        <v>0.000186</v>
      </c>
      <c r="W186" s="52" t="n">
        <f aca="false">SUMPRODUCT(MAX((Sales_Data!$F$2:$F$3520=A186)*Sales_Data!$C$2:$C$3520))</f>
        <v>0</v>
      </c>
    </row>
    <row r="187" customFormat="false" ht="15" hidden="false" customHeight="false" outlineLevel="0" collapsed="false">
      <c r="A187" s="53" t="s">
        <v>5104</v>
      </c>
      <c r="B187" s="48" t="s">
        <v>5105</v>
      </c>
      <c r="C187" s="53" t="s">
        <v>57</v>
      </c>
      <c r="D187" s="53" t="s">
        <v>47</v>
      </c>
      <c r="E187" s="53" t="s">
        <v>146</v>
      </c>
      <c r="F187" s="53" t="s">
        <v>147</v>
      </c>
      <c r="G187" s="53" t="s">
        <v>6492</v>
      </c>
      <c r="H187" s="26" t="n">
        <f aca="false">SUMIFS(Sales_Data!$AE$2:$AE$3520,Sales_Data!$F$2:$F$3520,$A187,Sales_Data!$C$2:$C$3520,"&gt;="&amp;Dashboard!$C$5,Sales_Data!$C$2:$C$3520,"&lt;="&amp;Dashboard!$C$6)</f>
        <v>1</v>
      </c>
      <c r="I187" s="26" t="n">
        <f aca="false">SUMIFS(Sales_Data!$M$2:$M$3520,Sales_Data!$F$2:$F$3520,$A187,Sales_Data!$C$2:$C$3520,"&gt;="&amp;Dashboard!$C$5,Sales_Data!$C$2:$C$3520,"&lt;="&amp;Dashboard!$C$6,Sales_Data!$AE$2:$AE$3520,1)</f>
        <v>0</v>
      </c>
      <c r="J187" s="26" t="n">
        <f aca="false">SUMIFS(Sales_Data!$N$2:$N$3520,Sales_Data!$F$2:$F$3520,$A187,Sales_Data!$C$2:$C$3520,"&gt;="&amp;Dashboard!$C$5,Sales_Data!$C$2:$C$3520,"&lt;="&amp;Dashboard!$C$6,Sales_Data!$AE$2:$AE$3520,1)</f>
        <v>1</v>
      </c>
      <c r="K187" s="27" t="n">
        <f aca="false">SUMIFS(Sales_Data!$O$2:$O$3520,Sales_Data!$F$2:$F$3520,$A187,Sales_Data!$C$2:$C$3520,"&gt;="&amp;Dashboard!$C$5,Sales_Data!$C$2:$C$3520,"&lt;="&amp;Dashboard!$C$6,Sales_Data!$AE$2:$AE$3520,1)</f>
        <v>1</v>
      </c>
      <c r="L187" s="26" t="n">
        <f aca="false">SUMIFS(Sales_Data!$AF$2:$AF$3520,Sales_Data!$F$2:$F$3520,$A187,Sales_Data!$C$2:$C$3520,"&gt;="&amp;Dashboard!$C$5,Sales_Data!$C$2:$C$3520,"&lt;="&amp;Dashboard!$C$6)</f>
        <v>1</v>
      </c>
      <c r="M187" s="31" t="n">
        <f aca="false">IFERROR(K187/L187,0)</f>
        <v>1</v>
      </c>
      <c r="N187" s="26" t="n">
        <f aca="false">SUMIFS(Sales_Data!$O$2:$O$3520,Sales_Data!$F$2:$F$3520,$A187,Sales_Data!$C$2:$C$3520,"&gt;="&amp;Dashboard!$C$12,Sales_Data!$C$2:$C$3520,"&lt;="&amp;Dashboard!$C$13,Sales_Data!$AE$2:$AE$3520,1)</f>
        <v>3</v>
      </c>
      <c r="O187" s="28" t="n">
        <f aca="false">K187-N187</f>
        <v>-2</v>
      </c>
      <c r="P187" s="54" t="n">
        <f aca="false">IF(W187=0,"-",W187)</f>
        <v>46300</v>
      </c>
      <c r="Q187" s="52" t="n">
        <f aca="false">IF(W187=0,"-",$B$2-W187)</f>
        <v>3</v>
      </c>
      <c r="R187" s="52" t="n">
        <f aca="false">IF(T187=1,COUNTIFS($T$5:$T$254,1,$K$5:$K$254,"&gt;"&amp;K187)+1,"-")</f>
        <v>105</v>
      </c>
      <c r="S187" s="52" t="n">
        <f aca="false">COUNTIFS($C$5:$C$254,C187,$K$5:$K$254,"&gt;"&amp;K187)+1</f>
        <v>11</v>
      </c>
      <c r="T187" s="52" t="n">
        <f aca="false">IF(AND(OR(Dashboard!$C$7="All",D187=Dashboard!$C$7),OR(Dashboard!$C$8="All",C187=Dashboard!$C$8)),1,0)</f>
        <v>1</v>
      </c>
      <c r="U187" s="74" t="n">
        <f aca="false">IF(T187=1,K187+ROW()/1000000,-1)</f>
        <v>1.000187</v>
      </c>
      <c r="V187" s="74" t="n">
        <f aca="false">IF(AND(T187=1,E187="Production"),K187+ROW()/1000000,1000000000)</f>
        <v>1.000187</v>
      </c>
      <c r="W187" s="52" t="n">
        <f aca="false">SUMPRODUCT(MAX((Sales_Data!$F$2:$F$3520=A187)*Sales_Data!$C$2:$C$3520))</f>
        <v>46300</v>
      </c>
    </row>
    <row r="188" customFormat="false" ht="15" hidden="false" customHeight="false" outlineLevel="0" collapsed="false">
      <c r="A188" s="53" t="s">
        <v>2340</v>
      </c>
      <c r="B188" s="48" t="s">
        <v>2341</v>
      </c>
      <c r="C188" s="53" t="s">
        <v>57</v>
      </c>
      <c r="D188" s="53" t="s">
        <v>47</v>
      </c>
      <c r="E188" s="53" t="s">
        <v>146</v>
      </c>
      <c r="F188" s="53" t="s">
        <v>175</v>
      </c>
      <c r="G188" s="53" t="s">
        <v>6771</v>
      </c>
      <c r="H188" s="26" t="n">
        <f aca="false">SUMIFS(Sales_Data!$AE$2:$AE$3520,Sales_Data!$F$2:$F$3520,$A188,Sales_Data!$C$2:$C$3520,"&gt;="&amp;Dashboard!$C$5,Sales_Data!$C$2:$C$3520,"&lt;="&amp;Dashboard!$C$6)</f>
        <v>1</v>
      </c>
      <c r="I188" s="26" t="n">
        <f aca="false">SUMIFS(Sales_Data!$M$2:$M$3520,Sales_Data!$F$2:$F$3520,$A188,Sales_Data!$C$2:$C$3520,"&gt;="&amp;Dashboard!$C$5,Sales_Data!$C$2:$C$3520,"&lt;="&amp;Dashboard!$C$6,Sales_Data!$AE$2:$AE$3520,1)</f>
        <v>0</v>
      </c>
      <c r="J188" s="26" t="n">
        <f aca="false">SUMIFS(Sales_Data!$N$2:$N$3520,Sales_Data!$F$2:$F$3520,$A188,Sales_Data!$C$2:$C$3520,"&gt;="&amp;Dashboard!$C$5,Sales_Data!$C$2:$C$3520,"&lt;="&amp;Dashboard!$C$6,Sales_Data!$AE$2:$AE$3520,1)</f>
        <v>1</v>
      </c>
      <c r="K188" s="27" t="n">
        <f aca="false">SUMIFS(Sales_Data!$O$2:$O$3520,Sales_Data!$F$2:$F$3520,$A188,Sales_Data!$C$2:$C$3520,"&gt;="&amp;Dashboard!$C$5,Sales_Data!$C$2:$C$3520,"&lt;="&amp;Dashboard!$C$6,Sales_Data!$AE$2:$AE$3520,1)</f>
        <v>1</v>
      </c>
      <c r="L188" s="26" t="n">
        <f aca="false">SUMIFS(Sales_Data!$AF$2:$AF$3520,Sales_Data!$F$2:$F$3520,$A188,Sales_Data!$C$2:$C$3520,"&gt;="&amp;Dashboard!$C$5,Sales_Data!$C$2:$C$3520,"&lt;="&amp;Dashboard!$C$6)</f>
        <v>1</v>
      </c>
      <c r="M188" s="31" t="n">
        <f aca="false">IFERROR(K188/L188,0)</f>
        <v>1</v>
      </c>
      <c r="N188" s="26" t="n">
        <f aca="false">SUMIFS(Sales_Data!$O$2:$O$3520,Sales_Data!$F$2:$F$3520,$A188,Sales_Data!$C$2:$C$3520,"&gt;="&amp;Dashboard!$C$12,Sales_Data!$C$2:$C$3520,"&lt;="&amp;Dashboard!$C$13,Sales_Data!$AE$2:$AE$3520,1)</f>
        <v>1</v>
      </c>
      <c r="O188" s="28" t="n">
        <f aca="false">K188-N188</f>
        <v>0</v>
      </c>
      <c r="P188" s="54" t="n">
        <f aca="false">IF(W188=0,"-",W188)</f>
        <v>46303</v>
      </c>
      <c r="Q188" s="52" t="n">
        <f aca="false">IF(W188=0,"-",$B$2-W188)</f>
        <v>0</v>
      </c>
      <c r="R188" s="52" t="n">
        <f aca="false">IF(T188=1,COUNTIFS($T$5:$T$254,1,$K$5:$K$254,"&gt;"&amp;K188)+1,"-")</f>
        <v>105</v>
      </c>
      <c r="S188" s="52" t="n">
        <f aca="false">COUNTIFS($C$5:$C$254,C188,$K$5:$K$254,"&gt;"&amp;K188)+1</f>
        <v>11</v>
      </c>
      <c r="T188" s="52" t="n">
        <f aca="false">IF(AND(OR(Dashboard!$C$7="All",D188=Dashboard!$C$7),OR(Dashboard!$C$8="All",C188=Dashboard!$C$8)),1,0)</f>
        <v>1</v>
      </c>
      <c r="U188" s="74" t="n">
        <f aca="false">IF(T188=1,K188+ROW()/1000000,-1)</f>
        <v>1.000188</v>
      </c>
      <c r="V188" s="74" t="n">
        <f aca="false">IF(AND(T188=1,E188="Production"),K188+ROW()/1000000,1000000000)</f>
        <v>1.000188</v>
      </c>
      <c r="W188" s="52" t="n">
        <f aca="false">SUMPRODUCT(MAX((Sales_Data!$F$2:$F$3520=A188)*Sales_Data!$C$2:$C$3520))</f>
        <v>46303</v>
      </c>
    </row>
    <row r="189" customFormat="false" ht="15" hidden="false" customHeight="false" outlineLevel="0" collapsed="false">
      <c r="A189" s="53" t="s">
        <v>1652</v>
      </c>
      <c r="B189" s="48" t="s">
        <v>1653</v>
      </c>
      <c r="C189" s="53" t="s">
        <v>57</v>
      </c>
      <c r="D189" s="53" t="s">
        <v>47</v>
      </c>
      <c r="E189" s="53" t="s">
        <v>146</v>
      </c>
      <c r="F189" s="53" t="s">
        <v>175</v>
      </c>
      <c r="G189" s="53" t="s">
        <v>6773</v>
      </c>
      <c r="H189" s="26" t="n">
        <f aca="false">SUMIFS(Sales_Data!$AE$2:$AE$3520,Sales_Data!$F$2:$F$3520,$A189,Sales_Data!$C$2:$C$3520,"&gt;="&amp;Dashboard!$C$5,Sales_Data!$C$2:$C$3520,"&lt;="&amp;Dashboard!$C$6)</f>
        <v>0</v>
      </c>
      <c r="I189" s="26" t="n">
        <f aca="false">SUMIFS(Sales_Data!$M$2:$M$3520,Sales_Data!$F$2:$F$3520,$A189,Sales_Data!$C$2:$C$3520,"&gt;="&amp;Dashboard!$C$5,Sales_Data!$C$2:$C$3520,"&lt;="&amp;Dashboard!$C$6,Sales_Data!$AE$2:$AE$3520,1)</f>
        <v>0</v>
      </c>
      <c r="J189" s="26" t="n">
        <f aca="false">SUMIFS(Sales_Data!$N$2:$N$3520,Sales_Data!$F$2:$F$3520,$A189,Sales_Data!$C$2:$C$3520,"&gt;="&amp;Dashboard!$C$5,Sales_Data!$C$2:$C$3520,"&lt;="&amp;Dashboard!$C$6,Sales_Data!$AE$2:$AE$3520,1)</f>
        <v>0</v>
      </c>
      <c r="K189" s="27" t="n">
        <f aca="false">SUMIFS(Sales_Data!$O$2:$O$3520,Sales_Data!$F$2:$F$3520,$A189,Sales_Data!$C$2:$C$3520,"&gt;="&amp;Dashboard!$C$5,Sales_Data!$C$2:$C$3520,"&lt;="&amp;Dashboard!$C$6,Sales_Data!$AE$2:$AE$3520,1)</f>
        <v>0</v>
      </c>
      <c r="L189" s="26" t="n">
        <f aca="false">SUMIFS(Sales_Data!$AF$2:$AF$3520,Sales_Data!$F$2:$F$3520,$A189,Sales_Data!$C$2:$C$3520,"&gt;="&amp;Dashboard!$C$5,Sales_Data!$C$2:$C$3520,"&lt;="&amp;Dashboard!$C$6)</f>
        <v>0</v>
      </c>
      <c r="M189" s="31" t="n">
        <f aca="false">IFERROR(K189/L189,0)</f>
        <v>0</v>
      </c>
      <c r="N189" s="26" t="n">
        <f aca="false">SUMIFS(Sales_Data!$O$2:$O$3520,Sales_Data!$F$2:$F$3520,$A189,Sales_Data!$C$2:$C$3520,"&gt;="&amp;Dashboard!$C$12,Sales_Data!$C$2:$C$3520,"&lt;="&amp;Dashboard!$C$13,Sales_Data!$AE$2:$AE$3520,1)</f>
        <v>0</v>
      </c>
      <c r="O189" s="28" t="n">
        <f aca="false">K189-N189</f>
        <v>0</v>
      </c>
      <c r="P189" s="54" t="n">
        <f aca="false">IF(W189=0,"-",W189)</f>
        <v>46279</v>
      </c>
      <c r="Q189" s="52" t="n">
        <f aca="false">IF(W189=0,"-",$B$2-W189)</f>
        <v>24</v>
      </c>
      <c r="R189" s="52" t="n">
        <f aca="false">IF(T189=1,COUNTIFS($T$5:$T$254,1,$K$5:$K$254,"&gt;"&amp;K189)+1,"-")</f>
        <v>139</v>
      </c>
      <c r="S189" s="52" t="n">
        <f aca="false">COUNTIFS($C$5:$C$254,C189,$K$5:$K$254,"&gt;"&amp;K189)+1</f>
        <v>14</v>
      </c>
      <c r="T189" s="52" t="n">
        <f aca="false">IF(AND(OR(Dashboard!$C$7="All",D189=Dashboard!$C$7),OR(Dashboard!$C$8="All",C189=Dashboard!$C$8)),1,0)</f>
        <v>1</v>
      </c>
      <c r="U189" s="74" t="n">
        <f aca="false">IF(T189=1,K189+ROW()/1000000,-1)</f>
        <v>0.000189</v>
      </c>
      <c r="V189" s="74" t="n">
        <f aca="false">IF(AND(T189=1,E189="Production"),K189+ROW()/1000000,1000000000)</f>
        <v>0.000189</v>
      </c>
      <c r="W189" s="52" t="n">
        <f aca="false">SUMPRODUCT(MAX((Sales_Data!$F$2:$F$3520=A189)*Sales_Data!$C$2:$C$3520))</f>
        <v>46279</v>
      </c>
    </row>
    <row r="190" customFormat="false" ht="15" hidden="false" customHeight="false" outlineLevel="0" collapsed="false">
      <c r="A190" s="53" t="s">
        <v>5497</v>
      </c>
      <c r="B190" s="48" t="s">
        <v>5498</v>
      </c>
      <c r="C190" s="53" t="s">
        <v>57</v>
      </c>
      <c r="D190" s="53" t="s">
        <v>47</v>
      </c>
      <c r="E190" s="53" t="s">
        <v>146</v>
      </c>
      <c r="F190" s="53" t="s">
        <v>147</v>
      </c>
      <c r="G190" s="53" t="s">
        <v>6492</v>
      </c>
      <c r="H190" s="26" t="n">
        <f aca="false">SUMIFS(Sales_Data!$AE$2:$AE$3520,Sales_Data!$F$2:$F$3520,$A190,Sales_Data!$C$2:$C$3520,"&gt;="&amp;Dashboard!$C$5,Sales_Data!$C$2:$C$3520,"&lt;="&amp;Dashboard!$C$6)</f>
        <v>0</v>
      </c>
      <c r="I190" s="26" t="n">
        <f aca="false">SUMIFS(Sales_Data!$M$2:$M$3520,Sales_Data!$F$2:$F$3520,$A190,Sales_Data!$C$2:$C$3520,"&gt;="&amp;Dashboard!$C$5,Sales_Data!$C$2:$C$3520,"&lt;="&amp;Dashboard!$C$6,Sales_Data!$AE$2:$AE$3520,1)</f>
        <v>0</v>
      </c>
      <c r="J190" s="26" t="n">
        <f aca="false">SUMIFS(Sales_Data!$N$2:$N$3520,Sales_Data!$F$2:$F$3520,$A190,Sales_Data!$C$2:$C$3520,"&gt;="&amp;Dashboard!$C$5,Sales_Data!$C$2:$C$3520,"&lt;="&amp;Dashboard!$C$6,Sales_Data!$AE$2:$AE$3520,1)</f>
        <v>0</v>
      </c>
      <c r="K190" s="27" t="n">
        <f aca="false">SUMIFS(Sales_Data!$O$2:$O$3520,Sales_Data!$F$2:$F$3520,$A190,Sales_Data!$C$2:$C$3520,"&gt;="&amp;Dashboard!$C$5,Sales_Data!$C$2:$C$3520,"&lt;="&amp;Dashboard!$C$6,Sales_Data!$AE$2:$AE$3520,1)</f>
        <v>0</v>
      </c>
      <c r="L190" s="26" t="n">
        <f aca="false">SUMIFS(Sales_Data!$AF$2:$AF$3520,Sales_Data!$F$2:$F$3520,$A190,Sales_Data!$C$2:$C$3520,"&gt;="&amp;Dashboard!$C$5,Sales_Data!$C$2:$C$3520,"&lt;="&amp;Dashboard!$C$6)</f>
        <v>0</v>
      </c>
      <c r="M190" s="31" t="n">
        <f aca="false">IFERROR(K190/L190,0)</f>
        <v>0</v>
      </c>
      <c r="N190" s="26" t="n">
        <f aca="false">SUMIFS(Sales_Data!$O$2:$O$3520,Sales_Data!$F$2:$F$3520,$A190,Sales_Data!$C$2:$C$3520,"&gt;="&amp;Dashboard!$C$12,Sales_Data!$C$2:$C$3520,"&lt;="&amp;Dashboard!$C$13,Sales_Data!$AE$2:$AE$3520,1)</f>
        <v>1</v>
      </c>
      <c r="O190" s="28" t="n">
        <f aca="false">K190-N190</f>
        <v>-1</v>
      </c>
      <c r="P190" s="54" t="n">
        <f aca="false">IF(W190=0,"-",W190)</f>
        <v>46296</v>
      </c>
      <c r="Q190" s="52" t="n">
        <f aca="false">IF(W190=0,"-",$B$2-W190)</f>
        <v>7</v>
      </c>
      <c r="R190" s="52" t="n">
        <f aca="false">IF(T190=1,COUNTIFS($T$5:$T$254,1,$K$5:$K$254,"&gt;"&amp;K190)+1,"-")</f>
        <v>139</v>
      </c>
      <c r="S190" s="52" t="n">
        <f aca="false">COUNTIFS($C$5:$C$254,C190,$K$5:$K$254,"&gt;"&amp;K190)+1</f>
        <v>14</v>
      </c>
      <c r="T190" s="52" t="n">
        <f aca="false">IF(AND(OR(Dashboard!$C$7="All",D190=Dashboard!$C$7),OR(Dashboard!$C$8="All",C190=Dashboard!$C$8)),1,0)</f>
        <v>1</v>
      </c>
      <c r="U190" s="74" t="n">
        <f aca="false">IF(T190=1,K190+ROW()/1000000,-1)</f>
        <v>0.00019</v>
      </c>
      <c r="V190" s="74" t="n">
        <f aca="false">IF(AND(T190=1,E190="Production"),K190+ROW()/1000000,1000000000)</f>
        <v>0.00019</v>
      </c>
      <c r="W190" s="52" t="n">
        <f aca="false">SUMPRODUCT(MAX((Sales_Data!$F$2:$F$3520=A190)*Sales_Data!$C$2:$C$3520))</f>
        <v>46296</v>
      </c>
    </row>
    <row r="191" customFormat="false" ht="15" hidden="false" customHeight="false" outlineLevel="0" collapsed="false">
      <c r="A191" s="53" t="s">
        <v>2081</v>
      </c>
      <c r="B191" s="48" t="s">
        <v>2082</v>
      </c>
      <c r="C191" s="53" t="s">
        <v>57</v>
      </c>
      <c r="D191" s="53" t="s">
        <v>47</v>
      </c>
      <c r="E191" s="53" t="s">
        <v>146</v>
      </c>
      <c r="F191" s="53" t="s">
        <v>147</v>
      </c>
      <c r="G191" s="53" t="s">
        <v>6492</v>
      </c>
      <c r="H191" s="26" t="n">
        <f aca="false">SUMIFS(Sales_Data!$AE$2:$AE$3520,Sales_Data!$F$2:$F$3520,$A191,Sales_Data!$C$2:$C$3520,"&gt;="&amp;Dashboard!$C$5,Sales_Data!$C$2:$C$3520,"&lt;="&amp;Dashboard!$C$6)</f>
        <v>12</v>
      </c>
      <c r="I191" s="26" t="n">
        <f aca="false">SUMIFS(Sales_Data!$M$2:$M$3520,Sales_Data!$F$2:$F$3520,$A191,Sales_Data!$C$2:$C$3520,"&gt;="&amp;Dashboard!$C$5,Sales_Data!$C$2:$C$3520,"&lt;="&amp;Dashboard!$C$6,Sales_Data!$AE$2:$AE$3520,1)</f>
        <v>6</v>
      </c>
      <c r="J191" s="26" t="n">
        <f aca="false">SUMIFS(Sales_Data!$N$2:$N$3520,Sales_Data!$F$2:$F$3520,$A191,Sales_Data!$C$2:$C$3520,"&gt;="&amp;Dashboard!$C$5,Sales_Data!$C$2:$C$3520,"&lt;="&amp;Dashboard!$C$6,Sales_Data!$AE$2:$AE$3520,1)</f>
        <v>10</v>
      </c>
      <c r="K191" s="27" t="n">
        <f aca="false">SUMIFS(Sales_Data!$O$2:$O$3520,Sales_Data!$F$2:$F$3520,$A191,Sales_Data!$C$2:$C$3520,"&gt;="&amp;Dashboard!$C$5,Sales_Data!$C$2:$C$3520,"&lt;="&amp;Dashboard!$C$6,Sales_Data!$AE$2:$AE$3520,1)</f>
        <v>16</v>
      </c>
      <c r="L191" s="26" t="n">
        <f aca="false">SUMIFS(Sales_Data!$AF$2:$AF$3520,Sales_Data!$F$2:$F$3520,$A191,Sales_Data!$C$2:$C$3520,"&gt;="&amp;Dashboard!$C$5,Sales_Data!$C$2:$C$3520,"&lt;="&amp;Dashboard!$C$6)</f>
        <v>2</v>
      </c>
      <c r="M191" s="31" t="n">
        <f aca="false">IFERROR(K191/L191,0)</f>
        <v>8</v>
      </c>
      <c r="N191" s="26" t="n">
        <f aca="false">SUMIFS(Sales_Data!$O$2:$O$3520,Sales_Data!$F$2:$F$3520,$A191,Sales_Data!$C$2:$C$3520,"&gt;="&amp;Dashboard!$C$12,Sales_Data!$C$2:$C$3520,"&lt;="&amp;Dashboard!$C$13,Sales_Data!$AE$2:$AE$3520,1)</f>
        <v>0</v>
      </c>
      <c r="O191" s="28" t="n">
        <f aca="false">K191-N191</f>
        <v>16</v>
      </c>
      <c r="P191" s="54" t="n">
        <f aca="false">IF(W191=0,"-",W191)</f>
        <v>46303</v>
      </c>
      <c r="Q191" s="52" t="n">
        <f aca="false">IF(W191=0,"-",$B$2-W191)</f>
        <v>0</v>
      </c>
      <c r="R191" s="52" t="n">
        <f aca="false">IF(T191=1,COUNTIFS($T$5:$T$254,1,$K$5:$K$254,"&gt;"&amp;K191)+1,"-")</f>
        <v>2</v>
      </c>
      <c r="S191" s="52" t="n">
        <f aca="false">COUNTIFS($C$5:$C$254,C191,$K$5:$K$254,"&gt;"&amp;K191)+1</f>
        <v>1</v>
      </c>
      <c r="T191" s="52" t="n">
        <f aca="false">IF(AND(OR(Dashboard!$C$7="All",D191=Dashboard!$C$7),OR(Dashboard!$C$8="All",C191=Dashboard!$C$8)),1,0)</f>
        <v>1</v>
      </c>
      <c r="U191" s="74" t="n">
        <f aca="false">IF(T191=1,K191+ROW()/1000000,-1)</f>
        <v>16.000191</v>
      </c>
      <c r="V191" s="74" t="n">
        <f aca="false">IF(AND(T191=1,E191="Production"),K191+ROW()/1000000,1000000000)</f>
        <v>16.000191</v>
      </c>
      <c r="W191" s="52" t="n">
        <f aca="false">SUMPRODUCT(MAX((Sales_Data!$F$2:$F$3520=A191)*Sales_Data!$C$2:$C$3520))</f>
        <v>46303</v>
      </c>
    </row>
    <row r="192" customFormat="false" ht="15" hidden="false" customHeight="false" outlineLevel="0" collapsed="false">
      <c r="A192" s="53" t="s">
        <v>2134</v>
      </c>
      <c r="B192" s="48" t="s">
        <v>2135</v>
      </c>
      <c r="C192" s="53" t="s">
        <v>57</v>
      </c>
      <c r="D192" s="53" t="s">
        <v>47</v>
      </c>
      <c r="E192" s="53" t="s">
        <v>146</v>
      </c>
      <c r="F192" s="53" t="s">
        <v>147</v>
      </c>
      <c r="G192" s="53" t="s">
        <v>6492</v>
      </c>
      <c r="H192" s="26" t="n">
        <f aca="false">SUMIFS(Sales_Data!$AE$2:$AE$3520,Sales_Data!$F$2:$F$3520,$A192,Sales_Data!$C$2:$C$3520,"&gt;="&amp;Dashboard!$C$5,Sales_Data!$C$2:$C$3520,"&lt;="&amp;Dashboard!$C$6)</f>
        <v>4</v>
      </c>
      <c r="I192" s="26" t="n">
        <f aca="false">SUMIFS(Sales_Data!$M$2:$M$3520,Sales_Data!$F$2:$F$3520,$A192,Sales_Data!$C$2:$C$3520,"&gt;="&amp;Dashboard!$C$5,Sales_Data!$C$2:$C$3520,"&lt;="&amp;Dashboard!$C$6,Sales_Data!$AE$2:$AE$3520,1)</f>
        <v>3</v>
      </c>
      <c r="J192" s="26" t="n">
        <f aca="false">SUMIFS(Sales_Data!$N$2:$N$3520,Sales_Data!$F$2:$F$3520,$A192,Sales_Data!$C$2:$C$3520,"&gt;="&amp;Dashboard!$C$5,Sales_Data!$C$2:$C$3520,"&lt;="&amp;Dashboard!$C$6,Sales_Data!$AE$2:$AE$3520,1)</f>
        <v>1</v>
      </c>
      <c r="K192" s="27" t="n">
        <f aca="false">SUMIFS(Sales_Data!$O$2:$O$3520,Sales_Data!$F$2:$F$3520,$A192,Sales_Data!$C$2:$C$3520,"&gt;="&amp;Dashboard!$C$5,Sales_Data!$C$2:$C$3520,"&lt;="&amp;Dashboard!$C$6,Sales_Data!$AE$2:$AE$3520,1)</f>
        <v>4</v>
      </c>
      <c r="L192" s="26" t="n">
        <f aca="false">SUMIFS(Sales_Data!$AF$2:$AF$3520,Sales_Data!$F$2:$F$3520,$A192,Sales_Data!$C$2:$C$3520,"&gt;="&amp;Dashboard!$C$5,Sales_Data!$C$2:$C$3520,"&lt;="&amp;Dashboard!$C$6)</f>
        <v>3</v>
      </c>
      <c r="M192" s="31" t="n">
        <f aca="false">IFERROR(K192/L192,0)</f>
        <v>1.33333333333333</v>
      </c>
      <c r="N192" s="26" t="n">
        <f aca="false">SUMIFS(Sales_Data!$O$2:$O$3520,Sales_Data!$F$2:$F$3520,$A192,Sales_Data!$C$2:$C$3520,"&gt;="&amp;Dashboard!$C$12,Sales_Data!$C$2:$C$3520,"&lt;="&amp;Dashboard!$C$13,Sales_Data!$AE$2:$AE$3520,1)</f>
        <v>3</v>
      </c>
      <c r="O192" s="28" t="n">
        <f aca="false">K192-N192</f>
        <v>1</v>
      </c>
      <c r="P192" s="54" t="n">
        <f aca="false">IF(W192=0,"-",W192)</f>
        <v>46302</v>
      </c>
      <c r="Q192" s="52" t="n">
        <f aca="false">IF(W192=0,"-",$B$2-W192)</f>
        <v>1</v>
      </c>
      <c r="R192" s="52" t="n">
        <f aca="false">IF(T192=1,COUNTIFS($T$5:$T$254,1,$K$5:$K$254,"&gt;"&amp;K192)+1,"-")</f>
        <v>39</v>
      </c>
      <c r="S192" s="52" t="n">
        <f aca="false">COUNTIFS($C$5:$C$254,C192,$K$5:$K$254,"&gt;"&amp;K192)+1</f>
        <v>4</v>
      </c>
      <c r="T192" s="52" t="n">
        <f aca="false">IF(AND(OR(Dashboard!$C$7="All",D192=Dashboard!$C$7),OR(Dashboard!$C$8="All",C192=Dashboard!$C$8)),1,0)</f>
        <v>1</v>
      </c>
      <c r="U192" s="74" t="n">
        <f aca="false">IF(T192=1,K192+ROW()/1000000,-1)</f>
        <v>4.000192</v>
      </c>
      <c r="V192" s="74" t="n">
        <f aca="false">IF(AND(T192=1,E192="Production"),K192+ROW()/1000000,1000000000)</f>
        <v>4.000192</v>
      </c>
      <c r="W192" s="52" t="n">
        <f aca="false">SUMPRODUCT(MAX((Sales_Data!$F$2:$F$3520=A192)*Sales_Data!$C$2:$C$3520))</f>
        <v>46302</v>
      </c>
    </row>
    <row r="193" customFormat="false" ht="15" hidden="false" customHeight="false" outlineLevel="0" collapsed="false">
      <c r="A193" s="53" t="s">
        <v>414</v>
      </c>
      <c r="B193" s="48" t="s">
        <v>415</v>
      </c>
      <c r="C193" s="53" t="s">
        <v>57</v>
      </c>
      <c r="D193" s="53" t="s">
        <v>47</v>
      </c>
      <c r="E193" s="53" t="s">
        <v>146</v>
      </c>
      <c r="F193" s="53" t="s">
        <v>147</v>
      </c>
      <c r="G193" s="53" t="s">
        <v>6778</v>
      </c>
      <c r="H193" s="26" t="n">
        <f aca="false">SUMIFS(Sales_Data!$AE$2:$AE$3520,Sales_Data!$F$2:$F$3520,$A193,Sales_Data!$C$2:$C$3520,"&gt;="&amp;Dashboard!$C$5,Sales_Data!$C$2:$C$3520,"&lt;="&amp;Dashboard!$C$6)</f>
        <v>2</v>
      </c>
      <c r="I193" s="26" t="n">
        <f aca="false">SUMIFS(Sales_Data!$M$2:$M$3520,Sales_Data!$F$2:$F$3520,$A193,Sales_Data!$C$2:$C$3520,"&gt;="&amp;Dashboard!$C$5,Sales_Data!$C$2:$C$3520,"&lt;="&amp;Dashboard!$C$6,Sales_Data!$AE$2:$AE$3520,1)</f>
        <v>1</v>
      </c>
      <c r="J193" s="26" t="n">
        <f aca="false">SUMIFS(Sales_Data!$N$2:$N$3520,Sales_Data!$F$2:$F$3520,$A193,Sales_Data!$C$2:$C$3520,"&gt;="&amp;Dashboard!$C$5,Sales_Data!$C$2:$C$3520,"&lt;="&amp;Dashboard!$C$6,Sales_Data!$AE$2:$AE$3520,1)</f>
        <v>1</v>
      </c>
      <c r="K193" s="27" t="n">
        <f aca="false">SUMIFS(Sales_Data!$O$2:$O$3520,Sales_Data!$F$2:$F$3520,$A193,Sales_Data!$C$2:$C$3520,"&gt;="&amp;Dashboard!$C$5,Sales_Data!$C$2:$C$3520,"&lt;="&amp;Dashboard!$C$6,Sales_Data!$AE$2:$AE$3520,1)</f>
        <v>2</v>
      </c>
      <c r="L193" s="26" t="n">
        <f aca="false">SUMIFS(Sales_Data!$AF$2:$AF$3520,Sales_Data!$F$2:$F$3520,$A193,Sales_Data!$C$2:$C$3520,"&gt;="&amp;Dashboard!$C$5,Sales_Data!$C$2:$C$3520,"&lt;="&amp;Dashboard!$C$6)</f>
        <v>2</v>
      </c>
      <c r="M193" s="31" t="n">
        <f aca="false">IFERROR(K193/L193,0)</f>
        <v>1</v>
      </c>
      <c r="N193" s="26" t="n">
        <f aca="false">SUMIFS(Sales_Data!$O$2:$O$3520,Sales_Data!$F$2:$F$3520,$A193,Sales_Data!$C$2:$C$3520,"&gt;="&amp;Dashboard!$C$12,Sales_Data!$C$2:$C$3520,"&lt;="&amp;Dashboard!$C$13,Sales_Data!$AE$2:$AE$3520,1)</f>
        <v>9</v>
      </c>
      <c r="O193" s="28" t="n">
        <f aca="false">K193-N193</f>
        <v>-7</v>
      </c>
      <c r="P193" s="54" t="n">
        <f aca="false">IF(W193=0,"-",W193)</f>
        <v>46303</v>
      </c>
      <c r="Q193" s="52" t="n">
        <f aca="false">IF(W193=0,"-",$B$2-W193)</f>
        <v>0</v>
      </c>
      <c r="R193" s="52" t="n">
        <f aca="false">IF(T193=1,COUNTIFS($T$5:$T$254,1,$K$5:$K$254,"&gt;"&amp;K193)+1,"-")</f>
        <v>84</v>
      </c>
      <c r="S193" s="52" t="n">
        <f aca="false">COUNTIFS($C$5:$C$254,C193,$K$5:$K$254,"&gt;"&amp;K193)+1</f>
        <v>9</v>
      </c>
      <c r="T193" s="52" t="n">
        <f aca="false">IF(AND(OR(Dashboard!$C$7="All",D193=Dashboard!$C$7),OR(Dashboard!$C$8="All",C193=Dashboard!$C$8)),1,0)</f>
        <v>1</v>
      </c>
      <c r="U193" s="74" t="n">
        <f aca="false">IF(T193=1,K193+ROW()/1000000,-1)</f>
        <v>2.000193</v>
      </c>
      <c r="V193" s="74" t="n">
        <f aca="false">IF(AND(T193=1,E193="Production"),K193+ROW()/1000000,1000000000)</f>
        <v>2.000193</v>
      </c>
      <c r="W193" s="52" t="n">
        <f aca="false">SUMPRODUCT(MAX((Sales_Data!$F$2:$F$3520=A193)*Sales_Data!$C$2:$C$3520))</f>
        <v>46303</v>
      </c>
    </row>
    <row r="194" customFormat="false" ht="15" hidden="false" customHeight="false" outlineLevel="0" collapsed="false">
      <c r="A194" s="53" t="s">
        <v>4080</v>
      </c>
      <c r="B194" s="48" t="s">
        <v>4081</v>
      </c>
      <c r="C194" s="53" t="s">
        <v>57</v>
      </c>
      <c r="D194" s="53" t="s">
        <v>47</v>
      </c>
      <c r="E194" s="53" t="s">
        <v>146</v>
      </c>
      <c r="F194" s="53" t="s">
        <v>147</v>
      </c>
      <c r="G194" s="53" t="s">
        <v>6492</v>
      </c>
      <c r="H194" s="26" t="n">
        <f aca="false">SUMIFS(Sales_Data!$AE$2:$AE$3520,Sales_Data!$F$2:$F$3520,$A194,Sales_Data!$C$2:$C$3520,"&gt;="&amp;Dashboard!$C$5,Sales_Data!$C$2:$C$3520,"&lt;="&amp;Dashboard!$C$6)</f>
        <v>3</v>
      </c>
      <c r="I194" s="26" t="n">
        <f aca="false">SUMIFS(Sales_Data!$M$2:$M$3520,Sales_Data!$F$2:$F$3520,$A194,Sales_Data!$C$2:$C$3520,"&gt;="&amp;Dashboard!$C$5,Sales_Data!$C$2:$C$3520,"&lt;="&amp;Dashboard!$C$6,Sales_Data!$AE$2:$AE$3520,1)</f>
        <v>1</v>
      </c>
      <c r="J194" s="26" t="n">
        <f aca="false">SUMIFS(Sales_Data!$N$2:$N$3520,Sales_Data!$F$2:$F$3520,$A194,Sales_Data!$C$2:$C$3520,"&gt;="&amp;Dashboard!$C$5,Sales_Data!$C$2:$C$3520,"&lt;="&amp;Dashboard!$C$6,Sales_Data!$AE$2:$AE$3520,1)</f>
        <v>2</v>
      </c>
      <c r="K194" s="27" t="n">
        <f aca="false">SUMIFS(Sales_Data!$O$2:$O$3520,Sales_Data!$F$2:$F$3520,$A194,Sales_Data!$C$2:$C$3520,"&gt;="&amp;Dashboard!$C$5,Sales_Data!$C$2:$C$3520,"&lt;="&amp;Dashboard!$C$6,Sales_Data!$AE$2:$AE$3520,1)</f>
        <v>3</v>
      </c>
      <c r="L194" s="26" t="n">
        <f aca="false">SUMIFS(Sales_Data!$AF$2:$AF$3520,Sales_Data!$F$2:$F$3520,$A194,Sales_Data!$C$2:$C$3520,"&gt;="&amp;Dashboard!$C$5,Sales_Data!$C$2:$C$3520,"&lt;="&amp;Dashboard!$C$6)</f>
        <v>3</v>
      </c>
      <c r="M194" s="31" t="n">
        <f aca="false">IFERROR(K194/L194,0)</f>
        <v>1</v>
      </c>
      <c r="N194" s="26" t="n">
        <f aca="false">SUMIFS(Sales_Data!$O$2:$O$3520,Sales_Data!$F$2:$F$3520,$A194,Sales_Data!$C$2:$C$3520,"&gt;="&amp;Dashboard!$C$12,Sales_Data!$C$2:$C$3520,"&lt;="&amp;Dashboard!$C$13,Sales_Data!$AE$2:$AE$3520,1)</f>
        <v>1</v>
      </c>
      <c r="O194" s="28" t="n">
        <f aca="false">K194-N194</f>
        <v>2</v>
      </c>
      <c r="P194" s="54" t="n">
        <f aca="false">IF(W194=0,"-",W194)</f>
        <v>46302</v>
      </c>
      <c r="Q194" s="52" t="n">
        <f aca="false">IF(W194=0,"-",$B$2-W194)</f>
        <v>1</v>
      </c>
      <c r="R194" s="52" t="n">
        <f aca="false">IF(T194=1,COUNTIFS($T$5:$T$254,1,$K$5:$K$254,"&gt;"&amp;K194)+1,"-")</f>
        <v>59</v>
      </c>
      <c r="S194" s="52" t="n">
        <f aca="false">COUNTIFS($C$5:$C$254,C194,$K$5:$K$254,"&gt;"&amp;K194)+1</f>
        <v>5</v>
      </c>
      <c r="T194" s="52" t="n">
        <f aca="false">IF(AND(OR(Dashboard!$C$7="All",D194=Dashboard!$C$7),OR(Dashboard!$C$8="All",C194=Dashboard!$C$8)),1,0)</f>
        <v>1</v>
      </c>
      <c r="U194" s="74" t="n">
        <f aca="false">IF(T194=1,K194+ROW()/1000000,-1)</f>
        <v>3.000194</v>
      </c>
      <c r="V194" s="74" t="n">
        <f aca="false">IF(AND(T194=1,E194="Production"),K194+ROW()/1000000,1000000000)</f>
        <v>3.000194</v>
      </c>
      <c r="W194" s="52" t="n">
        <f aca="false">SUMPRODUCT(MAX((Sales_Data!$F$2:$F$3520=A194)*Sales_Data!$C$2:$C$3520))</f>
        <v>46302</v>
      </c>
    </row>
    <row r="195" customFormat="false" ht="15" hidden="false" customHeight="false" outlineLevel="0" collapsed="false">
      <c r="A195" s="53" t="s">
        <v>1326</v>
      </c>
      <c r="B195" s="48" t="s">
        <v>1327</v>
      </c>
      <c r="C195" s="53" t="s">
        <v>57</v>
      </c>
      <c r="D195" s="53" t="s">
        <v>47</v>
      </c>
      <c r="E195" s="53" t="s">
        <v>146</v>
      </c>
      <c r="F195" s="53" t="s">
        <v>175</v>
      </c>
      <c r="G195" s="53" t="s">
        <v>6555</v>
      </c>
      <c r="H195" s="26" t="n">
        <f aca="false">SUMIFS(Sales_Data!$AE$2:$AE$3520,Sales_Data!$F$2:$F$3520,$A195,Sales_Data!$C$2:$C$3520,"&gt;="&amp;Dashboard!$C$5,Sales_Data!$C$2:$C$3520,"&lt;="&amp;Dashboard!$C$6)</f>
        <v>0</v>
      </c>
      <c r="I195" s="26" t="n">
        <f aca="false">SUMIFS(Sales_Data!$M$2:$M$3520,Sales_Data!$F$2:$F$3520,$A195,Sales_Data!$C$2:$C$3520,"&gt;="&amp;Dashboard!$C$5,Sales_Data!$C$2:$C$3520,"&lt;="&amp;Dashboard!$C$6,Sales_Data!$AE$2:$AE$3520,1)</f>
        <v>0</v>
      </c>
      <c r="J195" s="26" t="n">
        <f aca="false">SUMIFS(Sales_Data!$N$2:$N$3520,Sales_Data!$F$2:$F$3520,$A195,Sales_Data!$C$2:$C$3520,"&gt;="&amp;Dashboard!$C$5,Sales_Data!$C$2:$C$3520,"&lt;="&amp;Dashboard!$C$6,Sales_Data!$AE$2:$AE$3520,1)</f>
        <v>0</v>
      </c>
      <c r="K195" s="27" t="n">
        <f aca="false">SUMIFS(Sales_Data!$O$2:$O$3520,Sales_Data!$F$2:$F$3520,$A195,Sales_Data!$C$2:$C$3520,"&gt;="&amp;Dashboard!$C$5,Sales_Data!$C$2:$C$3520,"&lt;="&amp;Dashboard!$C$6,Sales_Data!$AE$2:$AE$3520,1)</f>
        <v>0</v>
      </c>
      <c r="L195" s="26" t="n">
        <f aca="false">SUMIFS(Sales_Data!$AF$2:$AF$3520,Sales_Data!$F$2:$F$3520,$A195,Sales_Data!$C$2:$C$3520,"&gt;="&amp;Dashboard!$C$5,Sales_Data!$C$2:$C$3520,"&lt;="&amp;Dashboard!$C$6)</f>
        <v>0</v>
      </c>
      <c r="M195" s="31" t="n">
        <f aca="false">IFERROR(K195/L195,0)</f>
        <v>0</v>
      </c>
      <c r="N195" s="26" t="n">
        <f aca="false">SUMIFS(Sales_Data!$O$2:$O$3520,Sales_Data!$F$2:$F$3520,$A195,Sales_Data!$C$2:$C$3520,"&gt;="&amp;Dashboard!$C$12,Sales_Data!$C$2:$C$3520,"&lt;="&amp;Dashboard!$C$13,Sales_Data!$AE$2:$AE$3520,1)</f>
        <v>0</v>
      </c>
      <c r="O195" s="28" t="n">
        <f aca="false">K195-N195</f>
        <v>0</v>
      </c>
      <c r="P195" s="54" t="n">
        <f aca="false">IF(W195=0,"-",W195)</f>
        <v>46278</v>
      </c>
      <c r="Q195" s="52" t="n">
        <f aca="false">IF(W195=0,"-",$B$2-W195)</f>
        <v>25</v>
      </c>
      <c r="R195" s="52" t="n">
        <f aca="false">IF(T195=1,COUNTIFS($T$5:$T$254,1,$K$5:$K$254,"&gt;"&amp;K195)+1,"-")</f>
        <v>139</v>
      </c>
      <c r="S195" s="52" t="n">
        <f aca="false">COUNTIFS($C$5:$C$254,C195,$K$5:$K$254,"&gt;"&amp;K195)+1</f>
        <v>14</v>
      </c>
      <c r="T195" s="52" t="n">
        <f aca="false">IF(AND(OR(Dashboard!$C$7="All",D195=Dashboard!$C$7),OR(Dashboard!$C$8="All",C195=Dashboard!$C$8)),1,0)</f>
        <v>1</v>
      </c>
      <c r="U195" s="74" t="n">
        <f aca="false">IF(T195=1,K195+ROW()/1000000,-1)</f>
        <v>0.000195</v>
      </c>
      <c r="V195" s="74" t="n">
        <f aca="false">IF(AND(T195=1,E195="Production"),K195+ROW()/1000000,1000000000)</f>
        <v>0.000195</v>
      </c>
      <c r="W195" s="52" t="n">
        <f aca="false">SUMPRODUCT(MAX((Sales_Data!$F$2:$F$3520=A195)*Sales_Data!$C$2:$C$3520))</f>
        <v>46278</v>
      </c>
    </row>
    <row r="196" customFormat="false" ht="15" hidden="false" customHeight="false" outlineLevel="0" collapsed="false">
      <c r="A196" s="53" t="s">
        <v>196</v>
      </c>
      <c r="B196" s="48" t="s">
        <v>197</v>
      </c>
      <c r="C196" s="53" t="s">
        <v>57</v>
      </c>
      <c r="D196" s="53" t="s">
        <v>47</v>
      </c>
      <c r="E196" s="53" t="s">
        <v>146</v>
      </c>
      <c r="F196" s="53" t="s">
        <v>175</v>
      </c>
      <c r="G196" s="53" t="s">
        <v>6509</v>
      </c>
      <c r="H196" s="26" t="n">
        <f aca="false">SUMIFS(Sales_Data!$AE$2:$AE$3520,Sales_Data!$F$2:$F$3520,$A196,Sales_Data!$C$2:$C$3520,"&gt;="&amp;Dashboard!$C$5,Sales_Data!$C$2:$C$3520,"&lt;="&amp;Dashboard!$C$6)</f>
        <v>2</v>
      </c>
      <c r="I196" s="26" t="n">
        <f aca="false">SUMIFS(Sales_Data!$M$2:$M$3520,Sales_Data!$F$2:$F$3520,$A196,Sales_Data!$C$2:$C$3520,"&gt;="&amp;Dashboard!$C$5,Sales_Data!$C$2:$C$3520,"&lt;="&amp;Dashboard!$C$6,Sales_Data!$AE$2:$AE$3520,1)</f>
        <v>0</v>
      </c>
      <c r="J196" s="26" t="n">
        <f aca="false">SUMIFS(Sales_Data!$N$2:$N$3520,Sales_Data!$F$2:$F$3520,$A196,Sales_Data!$C$2:$C$3520,"&gt;="&amp;Dashboard!$C$5,Sales_Data!$C$2:$C$3520,"&lt;="&amp;Dashboard!$C$6,Sales_Data!$AE$2:$AE$3520,1)</f>
        <v>3</v>
      </c>
      <c r="K196" s="27" t="n">
        <f aca="false">SUMIFS(Sales_Data!$O$2:$O$3520,Sales_Data!$F$2:$F$3520,$A196,Sales_Data!$C$2:$C$3520,"&gt;="&amp;Dashboard!$C$5,Sales_Data!$C$2:$C$3520,"&lt;="&amp;Dashboard!$C$6,Sales_Data!$AE$2:$AE$3520,1)</f>
        <v>3</v>
      </c>
      <c r="L196" s="26" t="n">
        <f aca="false">SUMIFS(Sales_Data!$AF$2:$AF$3520,Sales_Data!$F$2:$F$3520,$A196,Sales_Data!$C$2:$C$3520,"&gt;="&amp;Dashboard!$C$5,Sales_Data!$C$2:$C$3520,"&lt;="&amp;Dashboard!$C$6)</f>
        <v>2</v>
      </c>
      <c r="M196" s="31" t="n">
        <f aca="false">IFERROR(K196/L196,0)</f>
        <v>1.5</v>
      </c>
      <c r="N196" s="26" t="n">
        <f aca="false">SUMIFS(Sales_Data!$O$2:$O$3520,Sales_Data!$F$2:$F$3520,$A196,Sales_Data!$C$2:$C$3520,"&gt;="&amp;Dashboard!$C$12,Sales_Data!$C$2:$C$3520,"&lt;="&amp;Dashboard!$C$13,Sales_Data!$AE$2:$AE$3520,1)</f>
        <v>5</v>
      </c>
      <c r="O196" s="28" t="n">
        <f aca="false">K196-N196</f>
        <v>-2</v>
      </c>
      <c r="P196" s="54" t="n">
        <f aca="false">IF(W196=0,"-",W196)</f>
        <v>46302</v>
      </c>
      <c r="Q196" s="52" t="n">
        <f aca="false">IF(W196=0,"-",$B$2-W196)</f>
        <v>1</v>
      </c>
      <c r="R196" s="52" t="n">
        <f aca="false">IF(T196=1,COUNTIFS($T$5:$T$254,1,$K$5:$K$254,"&gt;"&amp;K196)+1,"-")</f>
        <v>59</v>
      </c>
      <c r="S196" s="52" t="n">
        <f aca="false">COUNTIFS($C$5:$C$254,C196,$K$5:$K$254,"&gt;"&amp;K196)+1</f>
        <v>5</v>
      </c>
      <c r="T196" s="52" t="n">
        <f aca="false">IF(AND(OR(Dashboard!$C$7="All",D196=Dashboard!$C$7),OR(Dashboard!$C$8="All",C196=Dashboard!$C$8)),1,0)</f>
        <v>1</v>
      </c>
      <c r="U196" s="74" t="n">
        <f aca="false">IF(T196=1,K196+ROW()/1000000,-1)</f>
        <v>3.000196</v>
      </c>
      <c r="V196" s="74" t="n">
        <f aca="false">IF(AND(T196=1,E196="Production"),K196+ROW()/1000000,1000000000)</f>
        <v>3.000196</v>
      </c>
      <c r="W196" s="52" t="n">
        <f aca="false">SUMPRODUCT(MAX((Sales_Data!$F$2:$F$3520=A196)*Sales_Data!$C$2:$C$3520))</f>
        <v>46302</v>
      </c>
    </row>
    <row r="197" customFormat="false" ht="15" hidden="false" customHeight="false" outlineLevel="0" collapsed="false">
      <c r="A197" s="53" t="s">
        <v>6184</v>
      </c>
      <c r="B197" s="48" t="s">
        <v>6185</v>
      </c>
      <c r="C197" s="53" t="s">
        <v>57</v>
      </c>
      <c r="D197" s="53" t="s">
        <v>47</v>
      </c>
      <c r="E197" s="53" t="s">
        <v>146</v>
      </c>
      <c r="F197" s="53" t="s">
        <v>147</v>
      </c>
      <c r="G197" s="53" t="s">
        <v>6492</v>
      </c>
      <c r="H197" s="26" t="n">
        <f aca="false">SUMIFS(Sales_Data!$AE$2:$AE$3520,Sales_Data!$F$2:$F$3520,$A197,Sales_Data!$C$2:$C$3520,"&gt;="&amp;Dashboard!$C$5,Sales_Data!$C$2:$C$3520,"&lt;="&amp;Dashboard!$C$6)</f>
        <v>2</v>
      </c>
      <c r="I197" s="26" t="n">
        <f aca="false">SUMIFS(Sales_Data!$M$2:$M$3520,Sales_Data!$F$2:$F$3520,$A197,Sales_Data!$C$2:$C$3520,"&gt;="&amp;Dashboard!$C$5,Sales_Data!$C$2:$C$3520,"&lt;="&amp;Dashboard!$C$6,Sales_Data!$AE$2:$AE$3520,1)</f>
        <v>0</v>
      </c>
      <c r="J197" s="26" t="n">
        <f aca="false">SUMIFS(Sales_Data!$N$2:$N$3520,Sales_Data!$F$2:$F$3520,$A197,Sales_Data!$C$2:$C$3520,"&gt;="&amp;Dashboard!$C$5,Sales_Data!$C$2:$C$3520,"&lt;="&amp;Dashboard!$C$6,Sales_Data!$AE$2:$AE$3520,1)</f>
        <v>3</v>
      </c>
      <c r="K197" s="27" t="n">
        <f aca="false">SUMIFS(Sales_Data!$O$2:$O$3520,Sales_Data!$F$2:$F$3520,$A197,Sales_Data!$C$2:$C$3520,"&gt;="&amp;Dashboard!$C$5,Sales_Data!$C$2:$C$3520,"&lt;="&amp;Dashboard!$C$6,Sales_Data!$AE$2:$AE$3520,1)</f>
        <v>3</v>
      </c>
      <c r="L197" s="26" t="n">
        <f aca="false">SUMIFS(Sales_Data!$AF$2:$AF$3520,Sales_Data!$F$2:$F$3520,$A197,Sales_Data!$C$2:$C$3520,"&gt;="&amp;Dashboard!$C$5,Sales_Data!$C$2:$C$3520,"&lt;="&amp;Dashboard!$C$6)</f>
        <v>1</v>
      </c>
      <c r="M197" s="31" t="n">
        <f aca="false">IFERROR(K197/L197,0)</f>
        <v>3</v>
      </c>
      <c r="N197" s="26" t="n">
        <f aca="false">SUMIFS(Sales_Data!$O$2:$O$3520,Sales_Data!$F$2:$F$3520,$A197,Sales_Data!$C$2:$C$3520,"&gt;="&amp;Dashboard!$C$12,Sales_Data!$C$2:$C$3520,"&lt;="&amp;Dashboard!$C$13,Sales_Data!$AE$2:$AE$3520,1)</f>
        <v>0</v>
      </c>
      <c r="O197" s="28" t="n">
        <f aca="false">K197-N197</f>
        <v>3</v>
      </c>
      <c r="P197" s="54" t="n">
        <f aca="false">IF(W197=0,"-",W197)</f>
        <v>46302</v>
      </c>
      <c r="Q197" s="52" t="n">
        <f aca="false">IF(W197=0,"-",$B$2-W197)</f>
        <v>1</v>
      </c>
      <c r="R197" s="52" t="n">
        <f aca="false">IF(T197=1,COUNTIFS($T$5:$T$254,1,$K$5:$K$254,"&gt;"&amp;K197)+1,"-")</f>
        <v>59</v>
      </c>
      <c r="S197" s="52" t="n">
        <f aca="false">COUNTIFS($C$5:$C$254,C197,$K$5:$K$254,"&gt;"&amp;K197)+1</f>
        <v>5</v>
      </c>
      <c r="T197" s="52" t="n">
        <f aca="false">IF(AND(OR(Dashboard!$C$7="All",D197=Dashboard!$C$7),OR(Dashboard!$C$8="All",C197=Dashboard!$C$8)),1,0)</f>
        <v>1</v>
      </c>
      <c r="U197" s="74" t="n">
        <f aca="false">IF(T197=1,K197+ROW()/1000000,-1)</f>
        <v>3.000197</v>
      </c>
      <c r="V197" s="74" t="n">
        <f aca="false">IF(AND(T197=1,E197="Production"),K197+ROW()/1000000,1000000000)</f>
        <v>3.000197</v>
      </c>
      <c r="W197" s="52" t="n">
        <f aca="false">SUMPRODUCT(MAX((Sales_Data!$F$2:$F$3520=A197)*Sales_Data!$C$2:$C$3520))</f>
        <v>46302</v>
      </c>
    </row>
    <row r="198" customFormat="false" ht="15" hidden="false" customHeight="false" outlineLevel="0" collapsed="false">
      <c r="A198" s="53" t="s">
        <v>6783</v>
      </c>
      <c r="B198" s="48" t="s">
        <v>6784</v>
      </c>
      <c r="C198" s="53" t="s">
        <v>57</v>
      </c>
      <c r="D198" s="53" t="s">
        <v>47</v>
      </c>
      <c r="E198" s="53" t="s">
        <v>146</v>
      </c>
      <c r="F198" s="53" t="s">
        <v>175</v>
      </c>
      <c r="G198" s="53" t="s">
        <v>6764</v>
      </c>
      <c r="H198" s="26" t="n">
        <f aca="false">SUMIFS(Sales_Data!$AE$2:$AE$3520,Sales_Data!$F$2:$F$3520,$A198,Sales_Data!$C$2:$C$3520,"&gt;="&amp;Dashboard!$C$5,Sales_Data!$C$2:$C$3520,"&lt;="&amp;Dashboard!$C$6)</f>
        <v>0</v>
      </c>
      <c r="I198" s="26" t="n">
        <f aca="false">SUMIFS(Sales_Data!$M$2:$M$3520,Sales_Data!$F$2:$F$3520,$A198,Sales_Data!$C$2:$C$3520,"&gt;="&amp;Dashboard!$C$5,Sales_Data!$C$2:$C$3520,"&lt;="&amp;Dashboard!$C$6,Sales_Data!$AE$2:$AE$3520,1)</f>
        <v>0</v>
      </c>
      <c r="J198" s="26" t="n">
        <f aca="false">SUMIFS(Sales_Data!$N$2:$N$3520,Sales_Data!$F$2:$F$3520,$A198,Sales_Data!$C$2:$C$3520,"&gt;="&amp;Dashboard!$C$5,Sales_Data!$C$2:$C$3520,"&lt;="&amp;Dashboard!$C$6,Sales_Data!$AE$2:$AE$3520,1)</f>
        <v>0</v>
      </c>
      <c r="K198" s="27" t="n">
        <f aca="false">SUMIFS(Sales_Data!$O$2:$O$3520,Sales_Data!$F$2:$F$3520,$A198,Sales_Data!$C$2:$C$3520,"&gt;="&amp;Dashboard!$C$5,Sales_Data!$C$2:$C$3520,"&lt;="&amp;Dashboard!$C$6,Sales_Data!$AE$2:$AE$3520,1)</f>
        <v>0</v>
      </c>
      <c r="L198" s="26" t="n">
        <f aca="false">SUMIFS(Sales_Data!$AF$2:$AF$3520,Sales_Data!$F$2:$F$3520,$A198,Sales_Data!$C$2:$C$3520,"&gt;="&amp;Dashboard!$C$5,Sales_Data!$C$2:$C$3520,"&lt;="&amp;Dashboard!$C$6)</f>
        <v>0</v>
      </c>
      <c r="M198" s="31" t="n">
        <f aca="false">IFERROR(K198/L198,0)</f>
        <v>0</v>
      </c>
      <c r="N198" s="26" t="n">
        <f aca="false">SUMIFS(Sales_Data!$O$2:$O$3520,Sales_Data!$F$2:$F$3520,$A198,Sales_Data!$C$2:$C$3520,"&gt;="&amp;Dashboard!$C$12,Sales_Data!$C$2:$C$3520,"&lt;="&amp;Dashboard!$C$13,Sales_Data!$AE$2:$AE$3520,1)</f>
        <v>0</v>
      </c>
      <c r="O198" s="28" t="n">
        <f aca="false">K198-N198</f>
        <v>0</v>
      </c>
      <c r="P198" s="54" t="str">
        <f aca="false">IF(W198=0,"-",W198)</f>
        <v>-</v>
      </c>
      <c r="Q198" s="52" t="str">
        <f aca="false">IF(W198=0,"-",$B$2-W198)</f>
        <v>-</v>
      </c>
      <c r="R198" s="52" t="n">
        <f aca="false">IF(T198=1,COUNTIFS($T$5:$T$254,1,$K$5:$K$254,"&gt;"&amp;K198)+1,"-")</f>
        <v>139</v>
      </c>
      <c r="S198" s="52" t="n">
        <f aca="false">COUNTIFS($C$5:$C$254,C198,$K$5:$K$254,"&gt;"&amp;K198)+1</f>
        <v>14</v>
      </c>
      <c r="T198" s="52" t="n">
        <f aca="false">IF(AND(OR(Dashboard!$C$7="All",D198=Dashboard!$C$7),OR(Dashboard!$C$8="All",C198=Dashboard!$C$8)),1,0)</f>
        <v>1</v>
      </c>
      <c r="U198" s="74" t="n">
        <f aca="false">IF(T198=1,K198+ROW()/1000000,-1)</f>
        <v>0.000198</v>
      </c>
      <c r="V198" s="74" t="n">
        <f aca="false">IF(AND(T198=1,E198="Production"),K198+ROW()/1000000,1000000000)</f>
        <v>0.000198</v>
      </c>
      <c r="W198" s="52" t="n">
        <f aca="false">SUMPRODUCT(MAX((Sales_Data!$F$2:$F$3520=A198)*Sales_Data!$C$2:$C$3520))</f>
        <v>0</v>
      </c>
    </row>
    <row r="199" customFormat="false" ht="15" hidden="false" customHeight="false" outlineLevel="0" collapsed="false">
      <c r="A199" s="53" t="s">
        <v>586</v>
      </c>
      <c r="B199" s="48" t="s">
        <v>587</v>
      </c>
      <c r="C199" s="53" t="s">
        <v>57</v>
      </c>
      <c r="D199" s="53" t="s">
        <v>47</v>
      </c>
      <c r="E199" s="53" t="s">
        <v>146</v>
      </c>
      <c r="F199" s="53" t="s">
        <v>175</v>
      </c>
      <c r="G199" s="53" t="s">
        <v>6509</v>
      </c>
      <c r="H199" s="26" t="n">
        <f aca="false">SUMIFS(Sales_Data!$AE$2:$AE$3520,Sales_Data!$F$2:$F$3520,$A199,Sales_Data!$C$2:$C$3520,"&gt;="&amp;Dashboard!$C$5,Sales_Data!$C$2:$C$3520,"&lt;="&amp;Dashboard!$C$6)</f>
        <v>0</v>
      </c>
      <c r="I199" s="26" t="n">
        <f aca="false">SUMIFS(Sales_Data!$M$2:$M$3520,Sales_Data!$F$2:$F$3520,$A199,Sales_Data!$C$2:$C$3520,"&gt;="&amp;Dashboard!$C$5,Sales_Data!$C$2:$C$3520,"&lt;="&amp;Dashboard!$C$6,Sales_Data!$AE$2:$AE$3520,1)</f>
        <v>0</v>
      </c>
      <c r="J199" s="26" t="n">
        <f aca="false">SUMIFS(Sales_Data!$N$2:$N$3520,Sales_Data!$F$2:$F$3520,$A199,Sales_Data!$C$2:$C$3520,"&gt;="&amp;Dashboard!$C$5,Sales_Data!$C$2:$C$3520,"&lt;="&amp;Dashboard!$C$6,Sales_Data!$AE$2:$AE$3520,1)</f>
        <v>0</v>
      </c>
      <c r="K199" s="27" t="n">
        <f aca="false">SUMIFS(Sales_Data!$O$2:$O$3520,Sales_Data!$F$2:$F$3520,$A199,Sales_Data!$C$2:$C$3520,"&gt;="&amp;Dashboard!$C$5,Sales_Data!$C$2:$C$3520,"&lt;="&amp;Dashboard!$C$6,Sales_Data!$AE$2:$AE$3520,1)</f>
        <v>0</v>
      </c>
      <c r="L199" s="26" t="n">
        <f aca="false">SUMIFS(Sales_Data!$AF$2:$AF$3520,Sales_Data!$F$2:$F$3520,$A199,Sales_Data!$C$2:$C$3520,"&gt;="&amp;Dashboard!$C$5,Sales_Data!$C$2:$C$3520,"&lt;="&amp;Dashboard!$C$6)</f>
        <v>0</v>
      </c>
      <c r="M199" s="31" t="n">
        <f aca="false">IFERROR(K199/L199,0)</f>
        <v>0</v>
      </c>
      <c r="N199" s="26" t="n">
        <f aca="false">SUMIFS(Sales_Data!$O$2:$O$3520,Sales_Data!$F$2:$F$3520,$A199,Sales_Data!$C$2:$C$3520,"&gt;="&amp;Dashboard!$C$12,Sales_Data!$C$2:$C$3520,"&lt;="&amp;Dashboard!$C$13,Sales_Data!$AE$2:$AE$3520,1)</f>
        <v>0</v>
      </c>
      <c r="O199" s="28" t="n">
        <f aca="false">K199-N199</f>
        <v>0</v>
      </c>
      <c r="P199" s="54" t="n">
        <f aca="false">IF(W199=0,"-",W199)</f>
        <v>46284</v>
      </c>
      <c r="Q199" s="52" t="n">
        <f aca="false">IF(W199=0,"-",$B$2-W199)</f>
        <v>19</v>
      </c>
      <c r="R199" s="52" t="n">
        <f aca="false">IF(T199=1,COUNTIFS($T$5:$T$254,1,$K$5:$K$254,"&gt;"&amp;K199)+1,"-")</f>
        <v>139</v>
      </c>
      <c r="S199" s="52" t="n">
        <f aca="false">COUNTIFS($C$5:$C$254,C199,$K$5:$K$254,"&gt;"&amp;K199)+1</f>
        <v>14</v>
      </c>
      <c r="T199" s="52" t="n">
        <f aca="false">IF(AND(OR(Dashboard!$C$7="All",D199=Dashboard!$C$7),OR(Dashboard!$C$8="All",C199=Dashboard!$C$8)),1,0)</f>
        <v>1</v>
      </c>
      <c r="U199" s="74" t="n">
        <f aca="false">IF(T199=1,K199+ROW()/1000000,-1)</f>
        <v>0.000199</v>
      </c>
      <c r="V199" s="74" t="n">
        <f aca="false">IF(AND(T199=1,E199="Production"),K199+ROW()/1000000,1000000000)</f>
        <v>0.000199</v>
      </c>
      <c r="W199" s="52" t="n">
        <f aca="false">SUMPRODUCT(MAX((Sales_Data!$F$2:$F$3520=A199)*Sales_Data!$C$2:$C$3520))</f>
        <v>46284</v>
      </c>
    </row>
    <row r="200" customFormat="false" ht="15" hidden="false" customHeight="false" outlineLevel="0" collapsed="false">
      <c r="A200" s="53" t="s">
        <v>1749</v>
      </c>
      <c r="B200" s="48" t="s">
        <v>1750</v>
      </c>
      <c r="C200" s="53" t="s">
        <v>57</v>
      </c>
      <c r="D200" s="53" t="s">
        <v>47</v>
      </c>
      <c r="E200" s="53" t="s">
        <v>146</v>
      </c>
      <c r="F200" s="53" t="s">
        <v>209</v>
      </c>
      <c r="G200" s="53" t="s">
        <v>6788</v>
      </c>
      <c r="H200" s="26" t="n">
        <f aca="false">SUMIFS(Sales_Data!$AE$2:$AE$3520,Sales_Data!$F$2:$F$3520,$A200,Sales_Data!$C$2:$C$3520,"&gt;="&amp;Dashboard!$C$5,Sales_Data!$C$2:$C$3520,"&lt;="&amp;Dashboard!$C$6)</f>
        <v>5</v>
      </c>
      <c r="I200" s="26" t="n">
        <f aca="false">SUMIFS(Sales_Data!$M$2:$M$3520,Sales_Data!$F$2:$F$3520,$A200,Sales_Data!$C$2:$C$3520,"&gt;="&amp;Dashboard!$C$5,Sales_Data!$C$2:$C$3520,"&lt;="&amp;Dashboard!$C$6,Sales_Data!$AE$2:$AE$3520,1)</f>
        <v>0</v>
      </c>
      <c r="J200" s="26" t="n">
        <f aca="false">SUMIFS(Sales_Data!$N$2:$N$3520,Sales_Data!$F$2:$F$3520,$A200,Sales_Data!$C$2:$C$3520,"&gt;="&amp;Dashboard!$C$5,Sales_Data!$C$2:$C$3520,"&lt;="&amp;Dashboard!$C$6,Sales_Data!$AE$2:$AE$3520,1)</f>
        <v>6</v>
      </c>
      <c r="K200" s="27" t="n">
        <f aca="false">SUMIFS(Sales_Data!$O$2:$O$3520,Sales_Data!$F$2:$F$3520,$A200,Sales_Data!$C$2:$C$3520,"&gt;="&amp;Dashboard!$C$5,Sales_Data!$C$2:$C$3520,"&lt;="&amp;Dashboard!$C$6,Sales_Data!$AE$2:$AE$3520,1)</f>
        <v>6</v>
      </c>
      <c r="L200" s="26" t="n">
        <f aca="false">SUMIFS(Sales_Data!$AF$2:$AF$3520,Sales_Data!$F$2:$F$3520,$A200,Sales_Data!$C$2:$C$3520,"&gt;="&amp;Dashboard!$C$5,Sales_Data!$C$2:$C$3520,"&lt;="&amp;Dashboard!$C$6)</f>
        <v>3</v>
      </c>
      <c r="M200" s="31" t="n">
        <f aca="false">IFERROR(K200/L200,0)</f>
        <v>2</v>
      </c>
      <c r="N200" s="26" t="n">
        <f aca="false">SUMIFS(Sales_Data!$O$2:$O$3520,Sales_Data!$F$2:$F$3520,$A200,Sales_Data!$C$2:$C$3520,"&gt;="&amp;Dashboard!$C$12,Sales_Data!$C$2:$C$3520,"&lt;="&amp;Dashboard!$C$13,Sales_Data!$AE$2:$AE$3520,1)</f>
        <v>0</v>
      </c>
      <c r="O200" s="28" t="n">
        <f aca="false">K200-N200</f>
        <v>6</v>
      </c>
      <c r="P200" s="54" t="n">
        <f aca="false">IF(W200=0,"-",W200)</f>
        <v>46302</v>
      </c>
      <c r="Q200" s="52" t="n">
        <f aca="false">IF(W200=0,"-",$B$2-W200)</f>
        <v>1</v>
      </c>
      <c r="R200" s="52" t="n">
        <f aca="false">IF(T200=1,COUNTIFS($T$5:$T$254,1,$K$5:$K$254,"&gt;"&amp;K200)+1,"-")</f>
        <v>17</v>
      </c>
      <c r="S200" s="52" t="n">
        <f aca="false">COUNTIFS($C$5:$C$254,C200,$K$5:$K$254,"&gt;"&amp;K200)+1</f>
        <v>3</v>
      </c>
      <c r="T200" s="52" t="n">
        <f aca="false">IF(AND(OR(Dashboard!$C$7="All",D200=Dashboard!$C$7),OR(Dashboard!$C$8="All",C200=Dashboard!$C$8)),1,0)</f>
        <v>1</v>
      </c>
      <c r="U200" s="74" t="n">
        <f aca="false">IF(T200=1,K200+ROW()/1000000,-1)</f>
        <v>6.0002</v>
      </c>
      <c r="V200" s="74" t="n">
        <f aca="false">IF(AND(T200=1,E200="Production"),K200+ROW()/1000000,1000000000)</f>
        <v>6.0002</v>
      </c>
      <c r="W200" s="52" t="n">
        <f aca="false">SUMPRODUCT(MAX((Sales_Data!$F$2:$F$3520=A200)*Sales_Data!$C$2:$C$3520))</f>
        <v>46302</v>
      </c>
    </row>
    <row r="201" customFormat="false" ht="15" hidden="false" customHeight="false" outlineLevel="0" collapsed="false">
      <c r="A201" s="53" t="s">
        <v>2645</v>
      </c>
      <c r="B201" s="48" t="s">
        <v>2646</v>
      </c>
      <c r="C201" s="53" t="s">
        <v>57</v>
      </c>
      <c r="D201" s="53" t="s">
        <v>47</v>
      </c>
      <c r="E201" s="53" t="s">
        <v>146</v>
      </c>
      <c r="F201" s="53" t="s">
        <v>175</v>
      </c>
      <c r="G201" s="53" t="s">
        <v>6790</v>
      </c>
      <c r="H201" s="26" t="n">
        <f aca="false">SUMIFS(Sales_Data!$AE$2:$AE$3520,Sales_Data!$F$2:$F$3520,$A201,Sales_Data!$C$2:$C$3520,"&gt;="&amp;Dashboard!$C$5,Sales_Data!$C$2:$C$3520,"&lt;="&amp;Dashboard!$C$6)</f>
        <v>0</v>
      </c>
      <c r="I201" s="26" t="n">
        <f aca="false">SUMIFS(Sales_Data!$M$2:$M$3520,Sales_Data!$F$2:$F$3520,$A201,Sales_Data!$C$2:$C$3520,"&gt;="&amp;Dashboard!$C$5,Sales_Data!$C$2:$C$3520,"&lt;="&amp;Dashboard!$C$6,Sales_Data!$AE$2:$AE$3520,1)</f>
        <v>0</v>
      </c>
      <c r="J201" s="26" t="n">
        <f aca="false">SUMIFS(Sales_Data!$N$2:$N$3520,Sales_Data!$F$2:$F$3520,$A201,Sales_Data!$C$2:$C$3520,"&gt;="&amp;Dashboard!$C$5,Sales_Data!$C$2:$C$3520,"&lt;="&amp;Dashboard!$C$6,Sales_Data!$AE$2:$AE$3520,1)</f>
        <v>0</v>
      </c>
      <c r="K201" s="27" t="n">
        <f aca="false">SUMIFS(Sales_Data!$O$2:$O$3520,Sales_Data!$F$2:$F$3520,$A201,Sales_Data!$C$2:$C$3520,"&gt;="&amp;Dashboard!$C$5,Sales_Data!$C$2:$C$3520,"&lt;="&amp;Dashboard!$C$6,Sales_Data!$AE$2:$AE$3520,1)</f>
        <v>0</v>
      </c>
      <c r="L201" s="26" t="n">
        <f aca="false">SUMIFS(Sales_Data!$AF$2:$AF$3520,Sales_Data!$F$2:$F$3520,$A201,Sales_Data!$C$2:$C$3520,"&gt;="&amp;Dashboard!$C$5,Sales_Data!$C$2:$C$3520,"&lt;="&amp;Dashboard!$C$6)</f>
        <v>0</v>
      </c>
      <c r="M201" s="31" t="n">
        <f aca="false">IFERROR(K201/L201,0)</f>
        <v>0</v>
      </c>
      <c r="N201" s="26" t="n">
        <f aca="false">SUMIFS(Sales_Data!$O$2:$O$3520,Sales_Data!$F$2:$F$3520,$A201,Sales_Data!$C$2:$C$3520,"&gt;="&amp;Dashboard!$C$12,Sales_Data!$C$2:$C$3520,"&lt;="&amp;Dashboard!$C$13,Sales_Data!$AE$2:$AE$3520,1)</f>
        <v>0</v>
      </c>
      <c r="O201" s="28" t="n">
        <f aca="false">K201-N201</f>
        <v>0</v>
      </c>
      <c r="P201" s="54" t="n">
        <f aca="false">IF(W201=0,"-",W201)</f>
        <v>46277</v>
      </c>
      <c r="Q201" s="52" t="n">
        <f aca="false">IF(W201=0,"-",$B$2-W201)</f>
        <v>26</v>
      </c>
      <c r="R201" s="52" t="n">
        <f aca="false">IF(T201=1,COUNTIFS($T$5:$T$254,1,$K$5:$K$254,"&gt;"&amp;K201)+1,"-")</f>
        <v>139</v>
      </c>
      <c r="S201" s="52" t="n">
        <f aca="false">COUNTIFS($C$5:$C$254,C201,$K$5:$K$254,"&gt;"&amp;K201)+1</f>
        <v>14</v>
      </c>
      <c r="T201" s="52" t="n">
        <f aca="false">IF(AND(OR(Dashboard!$C$7="All",D201=Dashboard!$C$7),OR(Dashboard!$C$8="All",C201=Dashboard!$C$8)),1,0)</f>
        <v>1</v>
      </c>
      <c r="U201" s="74" t="n">
        <f aca="false">IF(T201=1,K201+ROW()/1000000,-1)</f>
        <v>0.000201</v>
      </c>
      <c r="V201" s="74" t="n">
        <f aca="false">IF(AND(T201=1,E201="Production"),K201+ROW()/1000000,1000000000)</f>
        <v>0.000201</v>
      </c>
      <c r="W201" s="52" t="n">
        <f aca="false">SUMPRODUCT(MAX((Sales_Data!$F$2:$F$3520=A201)*Sales_Data!$C$2:$C$3520))</f>
        <v>46277</v>
      </c>
    </row>
    <row r="202" customFormat="false" ht="15" hidden="false" customHeight="false" outlineLevel="0" collapsed="false">
      <c r="A202" s="53" t="s">
        <v>3766</v>
      </c>
      <c r="B202" s="48" t="s">
        <v>3767</v>
      </c>
      <c r="C202" s="53" t="s">
        <v>57</v>
      </c>
      <c r="D202" s="53" t="s">
        <v>47</v>
      </c>
      <c r="E202" s="53" t="s">
        <v>146</v>
      </c>
      <c r="F202" s="53" t="s">
        <v>147</v>
      </c>
      <c r="G202" s="53" t="s">
        <v>6492</v>
      </c>
      <c r="H202" s="26" t="n">
        <f aca="false">SUMIFS(Sales_Data!$AE$2:$AE$3520,Sales_Data!$F$2:$F$3520,$A202,Sales_Data!$C$2:$C$3520,"&gt;="&amp;Dashboard!$C$5,Sales_Data!$C$2:$C$3520,"&lt;="&amp;Dashboard!$C$6)</f>
        <v>2</v>
      </c>
      <c r="I202" s="26" t="n">
        <f aca="false">SUMIFS(Sales_Data!$M$2:$M$3520,Sales_Data!$F$2:$F$3520,$A202,Sales_Data!$C$2:$C$3520,"&gt;="&amp;Dashboard!$C$5,Sales_Data!$C$2:$C$3520,"&lt;="&amp;Dashboard!$C$6,Sales_Data!$AE$2:$AE$3520,1)</f>
        <v>0</v>
      </c>
      <c r="J202" s="26" t="n">
        <f aca="false">SUMIFS(Sales_Data!$N$2:$N$3520,Sales_Data!$F$2:$F$3520,$A202,Sales_Data!$C$2:$C$3520,"&gt;="&amp;Dashboard!$C$5,Sales_Data!$C$2:$C$3520,"&lt;="&amp;Dashboard!$C$6,Sales_Data!$AE$2:$AE$3520,1)</f>
        <v>2</v>
      </c>
      <c r="K202" s="27" t="n">
        <f aca="false">SUMIFS(Sales_Data!$O$2:$O$3520,Sales_Data!$F$2:$F$3520,$A202,Sales_Data!$C$2:$C$3520,"&gt;="&amp;Dashboard!$C$5,Sales_Data!$C$2:$C$3520,"&lt;="&amp;Dashboard!$C$6,Sales_Data!$AE$2:$AE$3520,1)</f>
        <v>2</v>
      </c>
      <c r="L202" s="26" t="n">
        <f aca="false">SUMIFS(Sales_Data!$AF$2:$AF$3520,Sales_Data!$F$2:$F$3520,$A202,Sales_Data!$C$2:$C$3520,"&gt;="&amp;Dashboard!$C$5,Sales_Data!$C$2:$C$3520,"&lt;="&amp;Dashboard!$C$6)</f>
        <v>2</v>
      </c>
      <c r="M202" s="31" t="n">
        <f aca="false">IFERROR(K202/L202,0)</f>
        <v>1</v>
      </c>
      <c r="N202" s="26" t="n">
        <f aca="false">SUMIFS(Sales_Data!$O$2:$O$3520,Sales_Data!$F$2:$F$3520,$A202,Sales_Data!$C$2:$C$3520,"&gt;="&amp;Dashboard!$C$12,Sales_Data!$C$2:$C$3520,"&lt;="&amp;Dashboard!$C$13,Sales_Data!$AE$2:$AE$3520,1)</f>
        <v>0</v>
      </c>
      <c r="O202" s="28" t="n">
        <f aca="false">K202-N202</f>
        <v>2</v>
      </c>
      <c r="P202" s="54" t="n">
        <f aca="false">IF(W202=0,"-",W202)</f>
        <v>46303</v>
      </c>
      <c r="Q202" s="52" t="n">
        <f aca="false">IF(W202=0,"-",$B$2-W202)</f>
        <v>0</v>
      </c>
      <c r="R202" s="52" t="n">
        <f aca="false">IF(T202=1,COUNTIFS($T$5:$T$254,1,$K$5:$K$254,"&gt;"&amp;K202)+1,"-")</f>
        <v>84</v>
      </c>
      <c r="S202" s="52" t="n">
        <f aca="false">COUNTIFS($C$5:$C$254,C202,$K$5:$K$254,"&gt;"&amp;K202)+1</f>
        <v>9</v>
      </c>
      <c r="T202" s="52" t="n">
        <f aca="false">IF(AND(OR(Dashboard!$C$7="All",D202=Dashboard!$C$7),OR(Dashboard!$C$8="All",C202=Dashboard!$C$8)),1,0)</f>
        <v>1</v>
      </c>
      <c r="U202" s="74" t="n">
        <f aca="false">IF(T202=1,K202+ROW()/1000000,-1)</f>
        <v>2.000202</v>
      </c>
      <c r="V202" s="74" t="n">
        <f aca="false">IF(AND(T202=1,E202="Production"),K202+ROW()/1000000,1000000000)</f>
        <v>2.000202</v>
      </c>
      <c r="W202" s="52" t="n">
        <f aca="false">SUMPRODUCT(MAX((Sales_Data!$F$2:$F$3520=A202)*Sales_Data!$C$2:$C$3520))</f>
        <v>46303</v>
      </c>
    </row>
    <row r="203" customFormat="false" ht="15" hidden="false" customHeight="false" outlineLevel="0" collapsed="false">
      <c r="A203" s="53" t="s">
        <v>4665</v>
      </c>
      <c r="B203" s="48" t="s">
        <v>4666</v>
      </c>
      <c r="C203" s="53" t="s">
        <v>58</v>
      </c>
      <c r="D203" s="53" t="s">
        <v>49</v>
      </c>
      <c r="E203" s="53" t="s">
        <v>146</v>
      </c>
      <c r="F203" s="53" t="s">
        <v>209</v>
      </c>
      <c r="G203" s="53" t="s">
        <v>6548</v>
      </c>
      <c r="H203" s="26" t="n">
        <f aca="false">SUMIFS(Sales_Data!$AE$2:$AE$3520,Sales_Data!$F$2:$F$3520,$A203,Sales_Data!$C$2:$C$3520,"&gt;="&amp;Dashboard!$C$5,Sales_Data!$C$2:$C$3520,"&lt;="&amp;Dashboard!$C$6)</f>
        <v>1</v>
      </c>
      <c r="I203" s="26" t="n">
        <f aca="false">SUMIFS(Sales_Data!$M$2:$M$3520,Sales_Data!$F$2:$F$3520,$A203,Sales_Data!$C$2:$C$3520,"&gt;="&amp;Dashboard!$C$5,Sales_Data!$C$2:$C$3520,"&lt;="&amp;Dashboard!$C$6,Sales_Data!$AE$2:$AE$3520,1)</f>
        <v>0</v>
      </c>
      <c r="J203" s="26" t="n">
        <f aca="false">SUMIFS(Sales_Data!$N$2:$N$3520,Sales_Data!$F$2:$F$3520,$A203,Sales_Data!$C$2:$C$3520,"&gt;="&amp;Dashboard!$C$5,Sales_Data!$C$2:$C$3520,"&lt;="&amp;Dashboard!$C$6,Sales_Data!$AE$2:$AE$3520,1)</f>
        <v>1</v>
      </c>
      <c r="K203" s="27" t="n">
        <f aca="false">SUMIFS(Sales_Data!$O$2:$O$3520,Sales_Data!$F$2:$F$3520,$A203,Sales_Data!$C$2:$C$3520,"&gt;="&amp;Dashboard!$C$5,Sales_Data!$C$2:$C$3520,"&lt;="&amp;Dashboard!$C$6,Sales_Data!$AE$2:$AE$3520,1)</f>
        <v>1</v>
      </c>
      <c r="L203" s="26" t="n">
        <f aca="false">SUMIFS(Sales_Data!$AF$2:$AF$3520,Sales_Data!$F$2:$F$3520,$A203,Sales_Data!$C$2:$C$3520,"&gt;="&amp;Dashboard!$C$5,Sales_Data!$C$2:$C$3520,"&lt;="&amp;Dashboard!$C$6)</f>
        <v>1</v>
      </c>
      <c r="M203" s="31" t="n">
        <f aca="false">IFERROR(K203/L203,0)</f>
        <v>1</v>
      </c>
      <c r="N203" s="26" t="n">
        <f aca="false">SUMIFS(Sales_Data!$O$2:$O$3520,Sales_Data!$F$2:$F$3520,$A203,Sales_Data!$C$2:$C$3520,"&gt;="&amp;Dashboard!$C$12,Sales_Data!$C$2:$C$3520,"&lt;="&amp;Dashboard!$C$13,Sales_Data!$AE$2:$AE$3520,1)</f>
        <v>6</v>
      </c>
      <c r="O203" s="28" t="n">
        <f aca="false">K203-N203</f>
        <v>-5</v>
      </c>
      <c r="P203" s="54" t="n">
        <f aca="false">IF(W203=0,"-",W203)</f>
        <v>46302</v>
      </c>
      <c r="Q203" s="52" t="n">
        <f aca="false">IF(W203=0,"-",$B$2-W203)</f>
        <v>1</v>
      </c>
      <c r="R203" s="52" t="n">
        <f aca="false">IF(T203=1,COUNTIFS($T$5:$T$254,1,$K$5:$K$254,"&gt;"&amp;K203)+1,"-")</f>
        <v>105</v>
      </c>
      <c r="S203" s="52" t="n">
        <f aca="false">COUNTIFS($C$5:$C$254,C203,$K$5:$K$254,"&gt;"&amp;K203)+1</f>
        <v>10</v>
      </c>
      <c r="T203" s="52" t="n">
        <f aca="false">IF(AND(OR(Dashboard!$C$7="All",D203=Dashboard!$C$7),OR(Dashboard!$C$8="All",C203=Dashboard!$C$8)),1,0)</f>
        <v>1</v>
      </c>
      <c r="U203" s="74" t="n">
        <f aca="false">IF(T203=1,K203+ROW()/1000000,-1)</f>
        <v>1.000203</v>
      </c>
      <c r="V203" s="74" t="n">
        <f aca="false">IF(AND(T203=1,E203="Production"),K203+ROW()/1000000,1000000000)</f>
        <v>1.000203</v>
      </c>
      <c r="W203" s="52" t="n">
        <f aca="false">SUMPRODUCT(MAX((Sales_Data!$F$2:$F$3520=A203)*Sales_Data!$C$2:$C$3520))</f>
        <v>46302</v>
      </c>
    </row>
    <row r="204" customFormat="false" ht="15" hidden="false" customHeight="false" outlineLevel="0" collapsed="false">
      <c r="A204" s="53" t="s">
        <v>212</v>
      </c>
      <c r="B204" s="48" t="s">
        <v>213</v>
      </c>
      <c r="C204" s="53" t="s">
        <v>58</v>
      </c>
      <c r="D204" s="53" t="s">
        <v>49</v>
      </c>
      <c r="E204" s="53" t="s">
        <v>146</v>
      </c>
      <c r="F204" s="53" t="s">
        <v>175</v>
      </c>
      <c r="G204" s="53" t="s">
        <v>6790</v>
      </c>
      <c r="H204" s="26" t="n">
        <f aca="false">SUMIFS(Sales_Data!$AE$2:$AE$3520,Sales_Data!$F$2:$F$3520,$A204,Sales_Data!$C$2:$C$3520,"&gt;="&amp;Dashboard!$C$5,Sales_Data!$C$2:$C$3520,"&lt;="&amp;Dashboard!$C$6)</f>
        <v>0</v>
      </c>
      <c r="I204" s="26" t="n">
        <f aca="false">SUMIFS(Sales_Data!$M$2:$M$3520,Sales_Data!$F$2:$F$3520,$A204,Sales_Data!$C$2:$C$3520,"&gt;="&amp;Dashboard!$C$5,Sales_Data!$C$2:$C$3520,"&lt;="&amp;Dashboard!$C$6,Sales_Data!$AE$2:$AE$3520,1)</f>
        <v>0</v>
      </c>
      <c r="J204" s="26" t="n">
        <f aca="false">SUMIFS(Sales_Data!$N$2:$N$3520,Sales_Data!$F$2:$F$3520,$A204,Sales_Data!$C$2:$C$3520,"&gt;="&amp;Dashboard!$C$5,Sales_Data!$C$2:$C$3520,"&lt;="&amp;Dashboard!$C$6,Sales_Data!$AE$2:$AE$3520,1)</f>
        <v>0</v>
      </c>
      <c r="K204" s="27" t="n">
        <f aca="false">SUMIFS(Sales_Data!$O$2:$O$3520,Sales_Data!$F$2:$F$3520,$A204,Sales_Data!$C$2:$C$3520,"&gt;="&amp;Dashboard!$C$5,Sales_Data!$C$2:$C$3520,"&lt;="&amp;Dashboard!$C$6,Sales_Data!$AE$2:$AE$3520,1)</f>
        <v>0</v>
      </c>
      <c r="L204" s="26" t="n">
        <f aca="false">SUMIFS(Sales_Data!$AF$2:$AF$3520,Sales_Data!$F$2:$F$3520,$A204,Sales_Data!$C$2:$C$3520,"&gt;="&amp;Dashboard!$C$5,Sales_Data!$C$2:$C$3520,"&lt;="&amp;Dashboard!$C$6)</f>
        <v>0</v>
      </c>
      <c r="M204" s="31" t="n">
        <f aca="false">IFERROR(K204/L204,0)</f>
        <v>0</v>
      </c>
      <c r="N204" s="26" t="n">
        <f aca="false">SUMIFS(Sales_Data!$O$2:$O$3520,Sales_Data!$F$2:$F$3520,$A204,Sales_Data!$C$2:$C$3520,"&gt;="&amp;Dashboard!$C$12,Sales_Data!$C$2:$C$3520,"&lt;="&amp;Dashboard!$C$13,Sales_Data!$AE$2:$AE$3520,1)</f>
        <v>0</v>
      </c>
      <c r="O204" s="28" t="n">
        <f aca="false">K204-N204</f>
        <v>0</v>
      </c>
      <c r="P204" s="54" t="n">
        <f aca="false">IF(W204=0,"-",W204)</f>
        <v>46276</v>
      </c>
      <c r="Q204" s="52" t="n">
        <f aca="false">IF(W204=0,"-",$B$2-W204)</f>
        <v>27</v>
      </c>
      <c r="R204" s="52" t="n">
        <f aca="false">IF(T204=1,COUNTIFS($T$5:$T$254,1,$K$5:$K$254,"&gt;"&amp;K204)+1,"-")</f>
        <v>139</v>
      </c>
      <c r="S204" s="52" t="n">
        <f aca="false">COUNTIFS($C$5:$C$254,C204,$K$5:$K$254,"&gt;"&amp;K204)+1</f>
        <v>14</v>
      </c>
      <c r="T204" s="52" t="n">
        <f aca="false">IF(AND(OR(Dashboard!$C$7="All",D204=Dashboard!$C$7),OR(Dashboard!$C$8="All",C204=Dashboard!$C$8)),1,0)</f>
        <v>1</v>
      </c>
      <c r="U204" s="74" t="n">
        <f aca="false">IF(T204=1,K204+ROW()/1000000,-1)</f>
        <v>0.000204</v>
      </c>
      <c r="V204" s="74" t="n">
        <f aca="false">IF(AND(T204=1,E204="Production"),K204+ROW()/1000000,1000000000)</f>
        <v>0.000204</v>
      </c>
      <c r="W204" s="52" t="n">
        <f aca="false">SUMPRODUCT(MAX((Sales_Data!$F$2:$F$3520=A204)*Sales_Data!$C$2:$C$3520))</f>
        <v>46276</v>
      </c>
    </row>
    <row r="205" customFormat="false" ht="15" hidden="false" customHeight="false" outlineLevel="0" collapsed="false">
      <c r="A205" s="53" t="s">
        <v>2328</v>
      </c>
      <c r="B205" s="48" t="s">
        <v>2329</v>
      </c>
      <c r="C205" s="53" t="s">
        <v>58</v>
      </c>
      <c r="D205" s="53" t="s">
        <v>49</v>
      </c>
      <c r="E205" s="53" t="s">
        <v>146</v>
      </c>
      <c r="F205" s="53" t="s">
        <v>209</v>
      </c>
      <c r="G205" s="53" t="s">
        <v>6561</v>
      </c>
      <c r="H205" s="26" t="n">
        <f aca="false">SUMIFS(Sales_Data!$AE$2:$AE$3520,Sales_Data!$F$2:$F$3520,$A205,Sales_Data!$C$2:$C$3520,"&gt;="&amp;Dashboard!$C$5,Sales_Data!$C$2:$C$3520,"&lt;="&amp;Dashboard!$C$6)</f>
        <v>1</v>
      </c>
      <c r="I205" s="26" t="n">
        <f aca="false">SUMIFS(Sales_Data!$M$2:$M$3520,Sales_Data!$F$2:$F$3520,$A205,Sales_Data!$C$2:$C$3520,"&gt;="&amp;Dashboard!$C$5,Sales_Data!$C$2:$C$3520,"&lt;="&amp;Dashboard!$C$6,Sales_Data!$AE$2:$AE$3520,1)</f>
        <v>0</v>
      </c>
      <c r="J205" s="26" t="n">
        <f aca="false">SUMIFS(Sales_Data!$N$2:$N$3520,Sales_Data!$F$2:$F$3520,$A205,Sales_Data!$C$2:$C$3520,"&gt;="&amp;Dashboard!$C$5,Sales_Data!$C$2:$C$3520,"&lt;="&amp;Dashboard!$C$6,Sales_Data!$AE$2:$AE$3520,1)</f>
        <v>1</v>
      </c>
      <c r="K205" s="27" t="n">
        <f aca="false">SUMIFS(Sales_Data!$O$2:$O$3520,Sales_Data!$F$2:$F$3520,$A205,Sales_Data!$C$2:$C$3520,"&gt;="&amp;Dashboard!$C$5,Sales_Data!$C$2:$C$3520,"&lt;="&amp;Dashboard!$C$6,Sales_Data!$AE$2:$AE$3520,1)</f>
        <v>1</v>
      </c>
      <c r="L205" s="26" t="n">
        <f aca="false">SUMIFS(Sales_Data!$AF$2:$AF$3520,Sales_Data!$F$2:$F$3520,$A205,Sales_Data!$C$2:$C$3520,"&gt;="&amp;Dashboard!$C$5,Sales_Data!$C$2:$C$3520,"&lt;="&amp;Dashboard!$C$6)</f>
        <v>1</v>
      </c>
      <c r="M205" s="31" t="n">
        <f aca="false">IFERROR(K205/L205,0)</f>
        <v>1</v>
      </c>
      <c r="N205" s="26" t="n">
        <f aca="false">SUMIFS(Sales_Data!$O$2:$O$3520,Sales_Data!$F$2:$F$3520,$A205,Sales_Data!$C$2:$C$3520,"&gt;="&amp;Dashboard!$C$12,Sales_Data!$C$2:$C$3520,"&lt;="&amp;Dashboard!$C$13,Sales_Data!$AE$2:$AE$3520,1)</f>
        <v>2</v>
      </c>
      <c r="O205" s="28" t="n">
        <f aca="false">K205-N205</f>
        <v>-1</v>
      </c>
      <c r="P205" s="54" t="n">
        <f aca="false">IF(W205=0,"-",W205)</f>
        <v>46300</v>
      </c>
      <c r="Q205" s="52" t="n">
        <f aca="false">IF(W205=0,"-",$B$2-W205)</f>
        <v>3</v>
      </c>
      <c r="R205" s="52" t="n">
        <f aca="false">IF(T205=1,COUNTIFS($T$5:$T$254,1,$K$5:$K$254,"&gt;"&amp;K205)+1,"-")</f>
        <v>105</v>
      </c>
      <c r="S205" s="52" t="n">
        <f aca="false">COUNTIFS($C$5:$C$254,C205,$K$5:$K$254,"&gt;"&amp;K205)+1</f>
        <v>10</v>
      </c>
      <c r="T205" s="52" t="n">
        <f aca="false">IF(AND(OR(Dashboard!$C$7="All",D205=Dashboard!$C$7),OR(Dashboard!$C$8="All",C205=Dashboard!$C$8)),1,0)</f>
        <v>1</v>
      </c>
      <c r="U205" s="74" t="n">
        <f aca="false">IF(T205=1,K205+ROW()/1000000,-1)</f>
        <v>1.000205</v>
      </c>
      <c r="V205" s="74" t="n">
        <f aca="false">IF(AND(T205=1,E205="Production"),K205+ROW()/1000000,1000000000)</f>
        <v>1.000205</v>
      </c>
      <c r="W205" s="52" t="n">
        <f aca="false">SUMPRODUCT(MAX((Sales_Data!$F$2:$F$3520=A205)*Sales_Data!$C$2:$C$3520))</f>
        <v>46300</v>
      </c>
    </row>
    <row r="206" customFormat="false" ht="15" hidden="false" customHeight="false" outlineLevel="0" collapsed="false">
      <c r="A206" s="53" t="s">
        <v>3399</v>
      </c>
      <c r="B206" s="48" t="s">
        <v>3400</v>
      </c>
      <c r="C206" s="53" t="s">
        <v>58</v>
      </c>
      <c r="D206" s="53" t="s">
        <v>49</v>
      </c>
      <c r="E206" s="53" t="s">
        <v>146</v>
      </c>
      <c r="F206" s="53" t="s">
        <v>209</v>
      </c>
      <c r="G206" s="53" t="s">
        <v>6548</v>
      </c>
      <c r="H206" s="26" t="n">
        <f aca="false">SUMIFS(Sales_Data!$AE$2:$AE$3520,Sales_Data!$F$2:$F$3520,$A206,Sales_Data!$C$2:$C$3520,"&gt;="&amp;Dashboard!$C$5,Sales_Data!$C$2:$C$3520,"&lt;="&amp;Dashboard!$C$6)</f>
        <v>1</v>
      </c>
      <c r="I206" s="26" t="n">
        <f aca="false">SUMIFS(Sales_Data!$M$2:$M$3520,Sales_Data!$F$2:$F$3520,$A206,Sales_Data!$C$2:$C$3520,"&gt;="&amp;Dashboard!$C$5,Sales_Data!$C$2:$C$3520,"&lt;="&amp;Dashboard!$C$6,Sales_Data!$AE$2:$AE$3520,1)</f>
        <v>1</v>
      </c>
      <c r="J206" s="26" t="n">
        <f aca="false">SUMIFS(Sales_Data!$N$2:$N$3520,Sales_Data!$F$2:$F$3520,$A206,Sales_Data!$C$2:$C$3520,"&gt;="&amp;Dashboard!$C$5,Sales_Data!$C$2:$C$3520,"&lt;="&amp;Dashboard!$C$6,Sales_Data!$AE$2:$AE$3520,1)</f>
        <v>0</v>
      </c>
      <c r="K206" s="27" t="n">
        <f aca="false">SUMIFS(Sales_Data!$O$2:$O$3520,Sales_Data!$F$2:$F$3520,$A206,Sales_Data!$C$2:$C$3520,"&gt;="&amp;Dashboard!$C$5,Sales_Data!$C$2:$C$3520,"&lt;="&amp;Dashboard!$C$6,Sales_Data!$AE$2:$AE$3520,1)</f>
        <v>1</v>
      </c>
      <c r="L206" s="26" t="n">
        <f aca="false">SUMIFS(Sales_Data!$AF$2:$AF$3520,Sales_Data!$F$2:$F$3520,$A206,Sales_Data!$C$2:$C$3520,"&gt;="&amp;Dashboard!$C$5,Sales_Data!$C$2:$C$3520,"&lt;="&amp;Dashboard!$C$6)</f>
        <v>1</v>
      </c>
      <c r="M206" s="31" t="n">
        <f aca="false">IFERROR(K206/L206,0)</f>
        <v>1</v>
      </c>
      <c r="N206" s="26" t="n">
        <f aca="false">SUMIFS(Sales_Data!$O$2:$O$3520,Sales_Data!$F$2:$F$3520,$A206,Sales_Data!$C$2:$C$3520,"&gt;="&amp;Dashboard!$C$12,Sales_Data!$C$2:$C$3520,"&lt;="&amp;Dashboard!$C$13,Sales_Data!$AE$2:$AE$3520,1)</f>
        <v>0</v>
      </c>
      <c r="O206" s="28" t="n">
        <f aca="false">K206-N206</f>
        <v>1</v>
      </c>
      <c r="P206" s="54" t="n">
        <f aca="false">IF(W206=0,"-",W206)</f>
        <v>46297</v>
      </c>
      <c r="Q206" s="52" t="n">
        <f aca="false">IF(W206=0,"-",$B$2-W206)</f>
        <v>6</v>
      </c>
      <c r="R206" s="52" t="n">
        <f aca="false">IF(T206=1,COUNTIFS($T$5:$T$254,1,$K$5:$K$254,"&gt;"&amp;K206)+1,"-")</f>
        <v>105</v>
      </c>
      <c r="S206" s="52" t="n">
        <f aca="false">COUNTIFS($C$5:$C$254,C206,$K$5:$K$254,"&gt;"&amp;K206)+1</f>
        <v>10</v>
      </c>
      <c r="T206" s="52" t="n">
        <f aca="false">IF(AND(OR(Dashboard!$C$7="All",D206=Dashboard!$C$7),OR(Dashboard!$C$8="All",C206=Dashboard!$C$8)),1,0)</f>
        <v>1</v>
      </c>
      <c r="U206" s="74" t="n">
        <f aca="false">IF(T206=1,K206+ROW()/1000000,-1)</f>
        <v>1.000206</v>
      </c>
      <c r="V206" s="74" t="n">
        <f aca="false">IF(AND(T206=1,E206="Production"),K206+ROW()/1000000,1000000000)</f>
        <v>1.000206</v>
      </c>
      <c r="W206" s="52" t="n">
        <f aca="false">SUMPRODUCT(MAX((Sales_Data!$F$2:$F$3520=A206)*Sales_Data!$C$2:$C$3520))</f>
        <v>46297</v>
      </c>
    </row>
    <row r="207" customFormat="false" ht="15" hidden="false" customHeight="false" outlineLevel="0" collapsed="false">
      <c r="A207" s="53" t="s">
        <v>234</v>
      </c>
      <c r="B207" s="48" t="s">
        <v>235</v>
      </c>
      <c r="C207" s="53" t="s">
        <v>58</v>
      </c>
      <c r="D207" s="53" t="s">
        <v>49</v>
      </c>
      <c r="E207" s="53" t="s">
        <v>146</v>
      </c>
      <c r="F207" s="53" t="s">
        <v>209</v>
      </c>
      <c r="G207" s="53" t="s">
        <v>6760</v>
      </c>
      <c r="H207" s="26" t="n">
        <f aca="false">SUMIFS(Sales_Data!$AE$2:$AE$3520,Sales_Data!$F$2:$F$3520,$A207,Sales_Data!$C$2:$C$3520,"&gt;="&amp;Dashboard!$C$5,Sales_Data!$C$2:$C$3520,"&lt;="&amp;Dashboard!$C$6)</f>
        <v>0</v>
      </c>
      <c r="I207" s="26" t="n">
        <f aca="false">SUMIFS(Sales_Data!$M$2:$M$3520,Sales_Data!$F$2:$F$3520,$A207,Sales_Data!$C$2:$C$3520,"&gt;="&amp;Dashboard!$C$5,Sales_Data!$C$2:$C$3520,"&lt;="&amp;Dashboard!$C$6,Sales_Data!$AE$2:$AE$3520,1)</f>
        <v>0</v>
      </c>
      <c r="J207" s="26" t="n">
        <f aca="false">SUMIFS(Sales_Data!$N$2:$N$3520,Sales_Data!$F$2:$F$3520,$A207,Sales_Data!$C$2:$C$3520,"&gt;="&amp;Dashboard!$C$5,Sales_Data!$C$2:$C$3520,"&lt;="&amp;Dashboard!$C$6,Sales_Data!$AE$2:$AE$3520,1)</f>
        <v>0</v>
      </c>
      <c r="K207" s="27" t="n">
        <f aca="false">SUMIFS(Sales_Data!$O$2:$O$3520,Sales_Data!$F$2:$F$3520,$A207,Sales_Data!$C$2:$C$3520,"&gt;="&amp;Dashboard!$C$5,Sales_Data!$C$2:$C$3520,"&lt;="&amp;Dashboard!$C$6,Sales_Data!$AE$2:$AE$3520,1)</f>
        <v>0</v>
      </c>
      <c r="L207" s="26" t="n">
        <f aca="false">SUMIFS(Sales_Data!$AF$2:$AF$3520,Sales_Data!$F$2:$F$3520,$A207,Sales_Data!$C$2:$C$3520,"&gt;="&amp;Dashboard!$C$5,Sales_Data!$C$2:$C$3520,"&lt;="&amp;Dashboard!$C$6)</f>
        <v>0</v>
      </c>
      <c r="M207" s="31" t="n">
        <f aca="false">IFERROR(K207/L207,0)</f>
        <v>0</v>
      </c>
      <c r="N207" s="26" t="n">
        <f aca="false">SUMIFS(Sales_Data!$O$2:$O$3520,Sales_Data!$F$2:$F$3520,$A207,Sales_Data!$C$2:$C$3520,"&gt;="&amp;Dashboard!$C$12,Sales_Data!$C$2:$C$3520,"&lt;="&amp;Dashboard!$C$13,Sales_Data!$AE$2:$AE$3520,1)</f>
        <v>0</v>
      </c>
      <c r="O207" s="28" t="n">
        <f aca="false">K207-N207</f>
        <v>0</v>
      </c>
      <c r="P207" s="54" t="n">
        <f aca="false">IF(W207=0,"-",W207)</f>
        <v>46226</v>
      </c>
      <c r="Q207" s="52" t="n">
        <f aca="false">IF(W207=0,"-",$B$2-W207)</f>
        <v>77</v>
      </c>
      <c r="R207" s="52" t="n">
        <f aca="false">IF(T207=1,COUNTIFS($T$5:$T$254,1,$K$5:$K$254,"&gt;"&amp;K207)+1,"-")</f>
        <v>139</v>
      </c>
      <c r="S207" s="52" t="n">
        <f aca="false">COUNTIFS($C$5:$C$254,C207,$K$5:$K$254,"&gt;"&amp;K207)+1</f>
        <v>14</v>
      </c>
      <c r="T207" s="52" t="n">
        <f aca="false">IF(AND(OR(Dashboard!$C$7="All",D207=Dashboard!$C$7),OR(Dashboard!$C$8="All",C207=Dashboard!$C$8)),1,0)</f>
        <v>1</v>
      </c>
      <c r="U207" s="74" t="n">
        <f aca="false">IF(T207=1,K207+ROW()/1000000,-1)</f>
        <v>0.000207</v>
      </c>
      <c r="V207" s="74" t="n">
        <f aca="false">IF(AND(T207=1,E207="Production"),K207+ROW()/1000000,1000000000)</f>
        <v>0.000207</v>
      </c>
      <c r="W207" s="52" t="n">
        <f aca="false">SUMPRODUCT(MAX((Sales_Data!$F$2:$F$3520=A207)*Sales_Data!$C$2:$C$3520))</f>
        <v>46226</v>
      </c>
    </row>
    <row r="208" customFormat="false" ht="15" hidden="false" customHeight="false" outlineLevel="0" collapsed="false">
      <c r="A208" s="53" t="s">
        <v>1445</v>
      </c>
      <c r="B208" s="48" t="s">
        <v>1446</v>
      </c>
      <c r="C208" s="53" t="s">
        <v>58</v>
      </c>
      <c r="D208" s="53" t="s">
        <v>49</v>
      </c>
      <c r="E208" s="53" t="s">
        <v>146</v>
      </c>
      <c r="F208" s="53" t="s">
        <v>175</v>
      </c>
      <c r="G208" s="53" t="s">
        <v>6790</v>
      </c>
      <c r="H208" s="26" t="n">
        <f aca="false">SUMIFS(Sales_Data!$AE$2:$AE$3520,Sales_Data!$F$2:$F$3520,$A208,Sales_Data!$C$2:$C$3520,"&gt;="&amp;Dashboard!$C$5,Sales_Data!$C$2:$C$3520,"&lt;="&amp;Dashboard!$C$6)</f>
        <v>8</v>
      </c>
      <c r="I208" s="26" t="n">
        <f aca="false">SUMIFS(Sales_Data!$M$2:$M$3520,Sales_Data!$F$2:$F$3520,$A208,Sales_Data!$C$2:$C$3520,"&gt;="&amp;Dashboard!$C$5,Sales_Data!$C$2:$C$3520,"&lt;="&amp;Dashboard!$C$6,Sales_Data!$AE$2:$AE$3520,1)</f>
        <v>2</v>
      </c>
      <c r="J208" s="26" t="n">
        <f aca="false">SUMIFS(Sales_Data!$N$2:$N$3520,Sales_Data!$F$2:$F$3520,$A208,Sales_Data!$C$2:$C$3520,"&gt;="&amp;Dashboard!$C$5,Sales_Data!$C$2:$C$3520,"&lt;="&amp;Dashboard!$C$6,Sales_Data!$AE$2:$AE$3520,1)</f>
        <v>9</v>
      </c>
      <c r="K208" s="27" t="n">
        <f aca="false">SUMIFS(Sales_Data!$O$2:$O$3520,Sales_Data!$F$2:$F$3520,$A208,Sales_Data!$C$2:$C$3520,"&gt;="&amp;Dashboard!$C$5,Sales_Data!$C$2:$C$3520,"&lt;="&amp;Dashboard!$C$6,Sales_Data!$AE$2:$AE$3520,1)</f>
        <v>11</v>
      </c>
      <c r="L208" s="26" t="n">
        <f aca="false">SUMIFS(Sales_Data!$AF$2:$AF$3520,Sales_Data!$F$2:$F$3520,$A208,Sales_Data!$C$2:$C$3520,"&gt;="&amp;Dashboard!$C$5,Sales_Data!$C$2:$C$3520,"&lt;="&amp;Dashboard!$C$6)</f>
        <v>4</v>
      </c>
      <c r="M208" s="31" t="n">
        <f aca="false">IFERROR(K208/L208,0)</f>
        <v>2.75</v>
      </c>
      <c r="N208" s="26" t="n">
        <f aca="false">SUMIFS(Sales_Data!$O$2:$O$3520,Sales_Data!$F$2:$F$3520,$A208,Sales_Data!$C$2:$C$3520,"&gt;="&amp;Dashboard!$C$12,Sales_Data!$C$2:$C$3520,"&lt;="&amp;Dashboard!$C$13,Sales_Data!$AE$2:$AE$3520,1)</f>
        <v>5</v>
      </c>
      <c r="O208" s="28" t="n">
        <f aca="false">K208-N208</f>
        <v>6</v>
      </c>
      <c r="P208" s="54" t="n">
        <f aca="false">IF(W208=0,"-",W208)</f>
        <v>46303</v>
      </c>
      <c r="Q208" s="52" t="n">
        <f aca="false">IF(W208=0,"-",$B$2-W208)</f>
        <v>0</v>
      </c>
      <c r="R208" s="52" t="n">
        <f aca="false">IF(T208=1,COUNTIFS($T$5:$T$254,1,$K$5:$K$254,"&gt;"&amp;K208)+1,"-")</f>
        <v>6</v>
      </c>
      <c r="S208" s="52" t="n">
        <f aca="false">COUNTIFS($C$5:$C$254,C208,$K$5:$K$254,"&gt;"&amp;K208)+1</f>
        <v>2</v>
      </c>
      <c r="T208" s="52" t="n">
        <f aca="false">IF(AND(OR(Dashboard!$C$7="All",D208=Dashboard!$C$7),OR(Dashboard!$C$8="All",C208=Dashboard!$C$8)),1,0)</f>
        <v>1</v>
      </c>
      <c r="U208" s="74" t="n">
        <f aca="false">IF(T208=1,K208+ROW()/1000000,-1)</f>
        <v>11.000208</v>
      </c>
      <c r="V208" s="74" t="n">
        <f aca="false">IF(AND(T208=1,E208="Production"),K208+ROW()/1000000,1000000000)</f>
        <v>11.000208</v>
      </c>
      <c r="W208" s="52" t="n">
        <f aca="false">SUMPRODUCT(MAX((Sales_Data!$F$2:$F$3520=A208)*Sales_Data!$C$2:$C$3520))</f>
        <v>46303</v>
      </c>
    </row>
    <row r="209" customFormat="false" ht="15" hidden="false" customHeight="false" outlineLevel="0" collapsed="false">
      <c r="A209" s="53" t="s">
        <v>1382</v>
      </c>
      <c r="B209" s="48" t="s">
        <v>1383</v>
      </c>
      <c r="C209" s="53" t="s">
        <v>58</v>
      </c>
      <c r="D209" s="53" t="s">
        <v>49</v>
      </c>
      <c r="E209" s="53" t="s">
        <v>146</v>
      </c>
      <c r="F209" s="53" t="s">
        <v>175</v>
      </c>
      <c r="G209" s="53" t="s">
        <v>6764</v>
      </c>
      <c r="H209" s="26" t="n">
        <f aca="false">SUMIFS(Sales_Data!$AE$2:$AE$3520,Sales_Data!$F$2:$F$3520,$A209,Sales_Data!$C$2:$C$3520,"&gt;="&amp;Dashboard!$C$5,Sales_Data!$C$2:$C$3520,"&lt;="&amp;Dashboard!$C$6)</f>
        <v>4</v>
      </c>
      <c r="I209" s="26" t="n">
        <f aca="false">SUMIFS(Sales_Data!$M$2:$M$3520,Sales_Data!$F$2:$F$3520,$A209,Sales_Data!$C$2:$C$3520,"&gt;="&amp;Dashboard!$C$5,Sales_Data!$C$2:$C$3520,"&lt;="&amp;Dashboard!$C$6,Sales_Data!$AE$2:$AE$3520,1)</f>
        <v>1</v>
      </c>
      <c r="J209" s="26" t="n">
        <f aca="false">SUMIFS(Sales_Data!$N$2:$N$3520,Sales_Data!$F$2:$F$3520,$A209,Sales_Data!$C$2:$C$3520,"&gt;="&amp;Dashboard!$C$5,Sales_Data!$C$2:$C$3520,"&lt;="&amp;Dashboard!$C$6,Sales_Data!$AE$2:$AE$3520,1)</f>
        <v>3</v>
      </c>
      <c r="K209" s="27" t="n">
        <f aca="false">SUMIFS(Sales_Data!$O$2:$O$3520,Sales_Data!$F$2:$F$3520,$A209,Sales_Data!$C$2:$C$3520,"&gt;="&amp;Dashboard!$C$5,Sales_Data!$C$2:$C$3520,"&lt;="&amp;Dashboard!$C$6,Sales_Data!$AE$2:$AE$3520,1)</f>
        <v>4</v>
      </c>
      <c r="L209" s="26" t="n">
        <f aca="false">SUMIFS(Sales_Data!$AF$2:$AF$3520,Sales_Data!$F$2:$F$3520,$A209,Sales_Data!$C$2:$C$3520,"&gt;="&amp;Dashboard!$C$5,Sales_Data!$C$2:$C$3520,"&lt;="&amp;Dashboard!$C$6)</f>
        <v>3</v>
      </c>
      <c r="M209" s="31" t="n">
        <f aca="false">IFERROR(K209/L209,0)</f>
        <v>1.33333333333333</v>
      </c>
      <c r="N209" s="26" t="n">
        <f aca="false">SUMIFS(Sales_Data!$O$2:$O$3520,Sales_Data!$F$2:$F$3520,$A209,Sales_Data!$C$2:$C$3520,"&gt;="&amp;Dashboard!$C$12,Sales_Data!$C$2:$C$3520,"&lt;="&amp;Dashboard!$C$13,Sales_Data!$AE$2:$AE$3520,1)</f>
        <v>2</v>
      </c>
      <c r="O209" s="28" t="n">
        <f aca="false">K209-N209</f>
        <v>2</v>
      </c>
      <c r="P209" s="54" t="n">
        <f aca="false">IF(W209=0,"-",W209)</f>
        <v>46302</v>
      </c>
      <c r="Q209" s="52" t="n">
        <f aca="false">IF(W209=0,"-",$B$2-W209)</f>
        <v>1</v>
      </c>
      <c r="R209" s="52" t="n">
        <f aca="false">IF(T209=1,COUNTIFS($T$5:$T$254,1,$K$5:$K$254,"&gt;"&amp;K209)+1,"-")</f>
        <v>39</v>
      </c>
      <c r="S209" s="52" t="n">
        <f aca="false">COUNTIFS($C$5:$C$254,C209,$K$5:$K$254,"&gt;"&amp;K209)+1</f>
        <v>6</v>
      </c>
      <c r="T209" s="52" t="n">
        <f aca="false">IF(AND(OR(Dashboard!$C$7="All",D209=Dashboard!$C$7),OR(Dashboard!$C$8="All",C209=Dashboard!$C$8)),1,0)</f>
        <v>1</v>
      </c>
      <c r="U209" s="74" t="n">
        <f aca="false">IF(T209=1,K209+ROW()/1000000,-1)</f>
        <v>4.000209</v>
      </c>
      <c r="V209" s="74" t="n">
        <f aca="false">IF(AND(T209=1,E209="Production"),K209+ROW()/1000000,1000000000)</f>
        <v>4.000209</v>
      </c>
      <c r="W209" s="52" t="n">
        <f aca="false">SUMPRODUCT(MAX((Sales_Data!$F$2:$F$3520=A209)*Sales_Data!$C$2:$C$3520))</f>
        <v>46302</v>
      </c>
    </row>
    <row r="210" customFormat="false" ht="15" hidden="false" customHeight="false" outlineLevel="0" collapsed="false">
      <c r="A210" s="53" t="s">
        <v>3710</v>
      </c>
      <c r="B210" s="48" t="s">
        <v>3711</v>
      </c>
      <c r="C210" s="53" t="s">
        <v>58</v>
      </c>
      <c r="D210" s="53" t="s">
        <v>49</v>
      </c>
      <c r="E210" s="53" t="s">
        <v>146</v>
      </c>
      <c r="F210" s="53" t="s">
        <v>209</v>
      </c>
      <c r="G210" s="53" t="s">
        <v>6548</v>
      </c>
      <c r="H210" s="26" t="n">
        <f aca="false">SUMIFS(Sales_Data!$AE$2:$AE$3520,Sales_Data!$F$2:$F$3520,$A210,Sales_Data!$C$2:$C$3520,"&gt;="&amp;Dashboard!$C$5,Sales_Data!$C$2:$C$3520,"&lt;="&amp;Dashboard!$C$6)</f>
        <v>1</v>
      </c>
      <c r="I210" s="26" t="n">
        <f aca="false">SUMIFS(Sales_Data!$M$2:$M$3520,Sales_Data!$F$2:$F$3520,$A210,Sales_Data!$C$2:$C$3520,"&gt;="&amp;Dashboard!$C$5,Sales_Data!$C$2:$C$3520,"&lt;="&amp;Dashboard!$C$6,Sales_Data!$AE$2:$AE$3520,1)</f>
        <v>0</v>
      </c>
      <c r="J210" s="26" t="n">
        <f aca="false">SUMIFS(Sales_Data!$N$2:$N$3520,Sales_Data!$F$2:$F$3520,$A210,Sales_Data!$C$2:$C$3520,"&gt;="&amp;Dashboard!$C$5,Sales_Data!$C$2:$C$3520,"&lt;="&amp;Dashboard!$C$6,Sales_Data!$AE$2:$AE$3520,1)</f>
        <v>1</v>
      </c>
      <c r="K210" s="27" t="n">
        <f aca="false">SUMIFS(Sales_Data!$O$2:$O$3520,Sales_Data!$F$2:$F$3520,$A210,Sales_Data!$C$2:$C$3520,"&gt;="&amp;Dashboard!$C$5,Sales_Data!$C$2:$C$3520,"&lt;="&amp;Dashboard!$C$6,Sales_Data!$AE$2:$AE$3520,1)</f>
        <v>1</v>
      </c>
      <c r="L210" s="26" t="n">
        <f aca="false">SUMIFS(Sales_Data!$AF$2:$AF$3520,Sales_Data!$F$2:$F$3520,$A210,Sales_Data!$C$2:$C$3520,"&gt;="&amp;Dashboard!$C$5,Sales_Data!$C$2:$C$3520,"&lt;="&amp;Dashboard!$C$6)</f>
        <v>1</v>
      </c>
      <c r="M210" s="31" t="n">
        <f aca="false">IFERROR(K210/L210,0)</f>
        <v>1</v>
      </c>
      <c r="N210" s="26" t="n">
        <f aca="false">SUMIFS(Sales_Data!$O$2:$O$3520,Sales_Data!$F$2:$F$3520,$A210,Sales_Data!$C$2:$C$3520,"&gt;="&amp;Dashboard!$C$12,Sales_Data!$C$2:$C$3520,"&lt;="&amp;Dashboard!$C$13,Sales_Data!$AE$2:$AE$3520,1)</f>
        <v>0</v>
      </c>
      <c r="O210" s="28" t="n">
        <f aca="false">K210-N210</f>
        <v>1</v>
      </c>
      <c r="P210" s="54" t="n">
        <f aca="false">IF(W210=0,"-",W210)</f>
        <v>46302</v>
      </c>
      <c r="Q210" s="52" t="n">
        <f aca="false">IF(W210=0,"-",$B$2-W210)</f>
        <v>1</v>
      </c>
      <c r="R210" s="52" t="n">
        <f aca="false">IF(T210=1,COUNTIFS($T$5:$T$254,1,$K$5:$K$254,"&gt;"&amp;K210)+1,"-")</f>
        <v>105</v>
      </c>
      <c r="S210" s="52" t="n">
        <f aca="false">COUNTIFS($C$5:$C$254,C210,$K$5:$K$254,"&gt;"&amp;K210)+1</f>
        <v>10</v>
      </c>
      <c r="T210" s="52" t="n">
        <f aca="false">IF(AND(OR(Dashboard!$C$7="All",D210=Dashboard!$C$7),OR(Dashboard!$C$8="All",C210=Dashboard!$C$8)),1,0)</f>
        <v>1</v>
      </c>
      <c r="U210" s="74" t="n">
        <f aca="false">IF(T210=1,K210+ROW()/1000000,-1)</f>
        <v>1.00021</v>
      </c>
      <c r="V210" s="74" t="n">
        <f aca="false">IF(AND(T210=1,E210="Production"),K210+ROW()/1000000,1000000000)</f>
        <v>1.00021</v>
      </c>
      <c r="W210" s="52" t="n">
        <f aca="false">SUMPRODUCT(MAX((Sales_Data!$F$2:$F$3520=A210)*Sales_Data!$C$2:$C$3520))</f>
        <v>46302</v>
      </c>
    </row>
    <row r="211" customFormat="false" ht="15" hidden="false" customHeight="false" outlineLevel="0" collapsed="false">
      <c r="A211" s="53" t="s">
        <v>180</v>
      </c>
      <c r="B211" s="48" t="s">
        <v>181</v>
      </c>
      <c r="C211" s="53" t="s">
        <v>58</v>
      </c>
      <c r="D211" s="53" t="s">
        <v>49</v>
      </c>
      <c r="E211" s="53" t="s">
        <v>146</v>
      </c>
      <c r="F211" s="53" t="s">
        <v>175</v>
      </c>
      <c r="G211" s="53" t="s">
        <v>6801</v>
      </c>
      <c r="H211" s="26" t="n">
        <f aca="false">SUMIFS(Sales_Data!$AE$2:$AE$3520,Sales_Data!$F$2:$F$3520,$A211,Sales_Data!$C$2:$C$3520,"&gt;="&amp;Dashboard!$C$5,Sales_Data!$C$2:$C$3520,"&lt;="&amp;Dashboard!$C$6)</f>
        <v>0</v>
      </c>
      <c r="I211" s="26" t="n">
        <f aca="false">SUMIFS(Sales_Data!$M$2:$M$3520,Sales_Data!$F$2:$F$3520,$A211,Sales_Data!$C$2:$C$3520,"&gt;="&amp;Dashboard!$C$5,Sales_Data!$C$2:$C$3520,"&lt;="&amp;Dashboard!$C$6,Sales_Data!$AE$2:$AE$3520,1)</f>
        <v>0</v>
      </c>
      <c r="J211" s="26" t="n">
        <f aca="false">SUMIFS(Sales_Data!$N$2:$N$3520,Sales_Data!$F$2:$F$3520,$A211,Sales_Data!$C$2:$C$3520,"&gt;="&amp;Dashboard!$C$5,Sales_Data!$C$2:$C$3520,"&lt;="&amp;Dashboard!$C$6,Sales_Data!$AE$2:$AE$3520,1)</f>
        <v>0</v>
      </c>
      <c r="K211" s="27" t="n">
        <f aca="false">SUMIFS(Sales_Data!$O$2:$O$3520,Sales_Data!$F$2:$F$3520,$A211,Sales_Data!$C$2:$C$3520,"&gt;="&amp;Dashboard!$C$5,Sales_Data!$C$2:$C$3520,"&lt;="&amp;Dashboard!$C$6,Sales_Data!$AE$2:$AE$3520,1)</f>
        <v>0</v>
      </c>
      <c r="L211" s="26" t="n">
        <f aca="false">SUMIFS(Sales_Data!$AF$2:$AF$3520,Sales_Data!$F$2:$F$3520,$A211,Sales_Data!$C$2:$C$3520,"&gt;="&amp;Dashboard!$C$5,Sales_Data!$C$2:$C$3520,"&lt;="&amp;Dashboard!$C$6)</f>
        <v>0</v>
      </c>
      <c r="M211" s="31" t="n">
        <f aca="false">IFERROR(K211/L211,0)</f>
        <v>0</v>
      </c>
      <c r="N211" s="26" t="n">
        <f aca="false">SUMIFS(Sales_Data!$O$2:$O$3520,Sales_Data!$F$2:$F$3520,$A211,Sales_Data!$C$2:$C$3520,"&gt;="&amp;Dashboard!$C$12,Sales_Data!$C$2:$C$3520,"&lt;="&amp;Dashboard!$C$13,Sales_Data!$AE$2:$AE$3520,1)</f>
        <v>7</v>
      </c>
      <c r="O211" s="28" t="n">
        <f aca="false">K211-N211</f>
        <v>-7</v>
      </c>
      <c r="P211" s="54" t="n">
        <f aca="false">IF(W211=0,"-",W211)</f>
        <v>46293</v>
      </c>
      <c r="Q211" s="52" t="n">
        <f aca="false">IF(W211=0,"-",$B$2-W211)</f>
        <v>10</v>
      </c>
      <c r="R211" s="52" t="n">
        <f aca="false">IF(T211=1,COUNTIFS($T$5:$T$254,1,$K$5:$K$254,"&gt;"&amp;K211)+1,"-")</f>
        <v>139</v>
      </c>
      <c r="S211" s="52" t="n">
        <f aca="false">COUNTIFS($C$5:$C$254,C211,$K$5:$K$254,"&gt;"&amp;K211)+1</f>
        <v>14</v>
      </c>
      <c r="T211" s="52" t="n">
        <f aca="false">IF(AND(OR(Dashboard!$C$7="All",D211=Dashboard!$C$7),OR(Dashboard!$C$8="All",C211=Dashboard!$C$8)),1,0)</f>
        <v>1</v>
      </c>
      <c r="U211" s="74" t="n">
        <f aca="false">IF(T211=1,K211+ROW()/1000000,-1)</f>
        <v>0.000211</v>
      </c>
      <c r="V211" s="74" t="n">
        <f aca="false">IF(AND(T211=1,E211="Production"),K211+ROW()/1000000,1000000000)</f>
        <v>0.000211</v>
      </c>
      <c r="W211" s="52" t="n">
        <f aca="false">SUMPRODUCT(MAX((Sales_Data!$F$2:$F$3520=A211)*Sales_Data!$C$2:$C$3520))</f>
        <v>46293</v>
      </c>
    </row>
    <row r="212" customFormat="false" ht="15" hidden="false" customHeight="false" outlineLevel="0" collapsed="false">
      <c r="A212" s="53" t="s">
        <v>2071</v>
      </c>
      <c r="B212" s="48" t="s">
        <v>2072</v>
      </c>
      <c r="C212" s="53" t="s">
        <v>58</v>
      </c>
      <c r="D212" s="53" t="s">
        <v>49</v>
      </c>
      <c r="E212" s="53" t="s">
        <v>146</v>
      </c>
      <c r="F212" s="53" t="s">
        <v>175</v>
      </c>
      <c r="G212" s="53" t="s">
        <v>6790</v>
      </c>
      <c r="H212" s="26" t="n">
        <f aca="false">SUMIFS(Sales_Data!$AE$2:$AE$3520,Sales_Data!$F$2:$F$3520,$A212,Sales_Data!$C$2:$C$3520,"&gt;="&amp;Dashboard!$C$5,Sales_Data!$C$2:$C$3520,"&lt;="&amp;Dashboard!$C$6)</f>
        <v>4</v>
      </c>
      <c r="I212" s="26" t="n">
        <f aca="false">SUMIFS(Sales_Data!$M$2:$M$3520,Sales_Data!$F$2:$F$3520,$A212,Sales_Data!$C$2:$C$3520,"&gt;="&amp;Dashboard!$C$5,Sales_Data!$C$2:$C$3520,"&lt;="&amp;Dashboard!$C$6,Sales_Data!$AE$2:$AE$3520,1)</f>
        <v>2</v>
      </c>
      <c r="J212" s="26" t="n">
        <f aca="false">SUMIFS(Sales_Data!$N$2:$N$3520,Sales_Data!$F$2:$F$3520,$A212,Sales_Data!$C$2:$C$3520,"&gt;="&amp;Dashboard!$C$5,Sales_Data!$C$2:$C$3520,"&lt;="&amp;Dashboard!$C$6,Sales_Data!$AE$2:$AE$3520,1)</f>
        <v>2</v>
      </c>
      <c r="K212" s="27" t="n">
        <f aca="false">SUMIFS(Sales_Data!$O$2:$O$3520,Sales_Data!$F$2:$F$3520,$A212,Sales_Data!$C$2:$C$3520,"&gt;="&amp;Dashboard!$C$5,Sales_Data!$C$2:$C$3520,"&lt;="&amp;Dashboard!$C$6,Sales_Data!$AE$2:$AE$3520,1)</f>
        <v>4</v>
      </c>
      <c r="L212" s="26" t="n">
        <f aca="false">SUMIFS(Sales_Data!$AF$2:$AF$3520,Sales_Data!$F$2:$F$3520,$A212,Sales_Data!$C$2:$C$3520,"&gt;="&amp;Dashboard!$C$5,Sales_Data!$C$2:$C$3520,"&lt;="&amp;Dashboard!$C$6)</f>
        <v>3</v>
      </c>
      <c r="M212" s="31" t="n">
        <f aca="false">IFERROR(K212/L212,0)</f>
        <v>1.33333333333333</v>
      </c>
      <c r="N212" s="26" t="n">
        <f aca="false">SUMIFS(Sales_Data!$O$2:$O$3520,Sales_Data!$F$2:$F$3520,$A212,Sales_Data!$C$2:$C$3520,"&gt;="&amp;Dashboard!$C$12,Sales_Data!$C$2:$C$3520,"&lt;="&amp;Dashboard!$C$13,Sales_Data!$AE$2:$AE$3520,1)</f>
        <v>6</v>
      </c>
      <c r="O212" s="28" t="n">
        <f aca="false">K212-N212</f>
        <v>-2</v>
      </c>
      <c r="P212" s="54" t="n">
        <f aca="false">IF(W212=0,"-",W212)</f>
        <v>46303</v>
      </c>
      <c r="Q212" s="52" t="n">
        <f aca="false">IF(W212=0,"-",$B$2-W212)</f>
        <v>0</v>
      </c>
      <c r="R212" s="52" t="n">
        <f aca="false">IF(T212=1,COUNTIFS($T$5:$T$254,1,$K$5:$K$254,"&gt;"&amp;K212)+1,"-")</f>
        <v>39</v>
      </c>
      <c r="S212" s="52" t="n">
        <f aca="false">COUNTIFS($C$5:$C$254,C212,$K$5:$K$254,"&gt;"&amp;K212)+1</f>
        <v>6</v>
      </c>
      <c r="T212" s="52" t="n">
        <f aca="false">IF(AND(OR(Dashboard!$C$7="All",D212=Dashboard!$C$7),OR(Dashboard!$C$8="All",C212=Dashboard!$C$8)),1,0)</f>
        <v>1</v>
      </c>
      <c r="U212" s="74" t="n">
        <f aca="false">IF(T212=1,K212+ROW()/1000000,-1)</f>
        <v>4.000212</v>
      </c>
      <c r="V212" s="74" t="n">
        <f aca="false">IF(AND(T212=1,E212="Production"),K212+ROW()/1000000,1000000000)</f>
        <v>4.000212</v>
      </c>
      <c r="W212" s="52" t="n">
        <f aca="false">SUMPRODUCT(MAX((Sales_Data!$F$2:$F$3520=A212)*Sales_Data!$C$2:$C$3520))</f>
        <v>46303</v>
      </c>
    </row>
    <row r="213" customFormat="false" ht="15" hidden="false" customHeight="false" outlineLevel="0" collapsed="false">
      <c r="A213" s="53" t="s">
        <v>3181</v>
      </c>
      <c r="B213" s="48" t="s">
        <v>3182</v>
      </c>
      <c r="C213" s="53" t="s">
        <v>58</v>
      </c>
      <c r="D213" s="53" t="s">
        <v>49</v>
      </c>
      <c r="E213" s="53" t="s">
        <v>146</v>
      </c>
      <c r="F213" s="53" t="s">
        <v>209</v>
      </c>
      <c r="G213" s="53" t="s">
        <v>6788</v>
      </c>
      <c r="H213" s="26" t="n">
        <f aca="false">SUMIFS(Sales_Data!$AE$2:$AE$3520,Sales_Data!$F$2:$F$3520,$A213,Sales_Data!$C$2:$C$3520,"&gt;="&amp;Dashboard!$C$5,Sales_Data!$C$2:$C$3520,"&lt;="&amp;Dashboard!$C$6)</f>
        <v>2</v>
      </c>
      <c r="I213" s="26" t="n">
        <f aca="false">SUMIFS(Sales_Data!$M$2:$M$3520,Sales_Data!$F$2:$F$3520,$A213,Sales_Data!$C$2:$C$3520,"&gt;="&amp;Dashboard!$C$5,Sales_Data!$C$2:$C$3520,"&lt;="&amp;Dashboard!$C$6,Sales_Data!$AE$2:$AE$3520,1)</f>
        <v>0</v>
      </c>
      <c r="J213" s="26" t="n">
        <f aca="false">SUMIFS(Sales_Data!$N$2:$N$3520,Sales_Data!$F$2:$F$3520,$A213,Sales_Data!$C$2:$C$3520,"&gt;="&amp;Dashboard!$C$5,Sales_Data!$C$2:$C$3520,"&lt;="&amp;Dashboard!$C$6,Sales_Data!$AE$2:$AE$3520,1)</f>
        <v>4</v>
      </c>
      <c r="K213" s="27" t="n">
        <f aca="false">SUMIFS(Sales_Data!$O$2:$O$3520,Sales_Data!$F$2:$F$3520,$A213,Sales_Data!$C$2:$C$3520,"&gt;="&amp;Dashboard!$C$5,Sales_Data!$C$2:$C$3520,"&lt;="&amp;Dashboard!$C$6,Sales_Data!$AE$2:$AE$3520,1)</f>
        <v>4</v>
      </c>
      <c r="L213" s="26" t="n">
        <f aca="false">SUMIFS(Sales_Data!$AF$2:$AF$3520,Sales_Data!$F$2:$F$3520,$A213,Sales_Data!$C$2:$C$3520,"&gt;="&amp;Dashboard!$C$5,Sales_Data!$C$2:$C$3520,"&lt;="&amp;Dashboard!$C$6)</f>
        <v>1</v>
      </c>
      <c r="M213" s="31" t="n">
        <f aca="false">IFERROR(K213/L213,0)</f>
        <v>4</v>
      </c>
      <c r="N213" s="26" t="n">
        <f aca="false">SUMIFS(Sales_Data!$O$2:$O$3520,Sales_Data!$F$2:$F$3520,$A213,Sales_Data!$C$2:$C$3520,"&gt;="&amp;Dashboard!$C$12,Sales_Data!$C$2:$C$3520,"&lt;="&amp;Dashboard!$C$13,Sales_Data!$AE$2:$AE$3520,1)</f>
        <v>10</v>
      </c>
      <c r="O213" s="28" t="n">
        <f aca="false">K213-N213</f>
        <v>-6</v>
      </c>
      <c r="P213" s="54" t="n">
        <f aca="false">IF(W213=0,"-",W213)</f>
        <v>46302</v>
      </c>
      <c r="Q213" s="52" t="n">
        <f aca="false">IF(W213=0,"-",$B$2-W213)</f>
        <v>1</v>
      </c>
      <c r="R213" s="52" t="n">
        <f aca="false">IF(T213=1,COUNTIFS($T$5:$T$254,1,$K$5:$K$254,"&gt;"&amp;K213)+1,"-")</f>
        <v>39</v>
      </c>
      <c r="S213" s="52" t="n">
        <f aca="false">COUNTIFS($C$5:$C$254,C213,$K$5:$K$254,"&gt;"&amp;K213)+1</f>
        <v>6</v>
      </c>
      <c r="T213" s="52" t="n">
        <f aca="false">IF(AND(OR(Dashboard!$C$7="All",D213=Dashboard!$C$7),OR(Dashboard!$C$8="All",C213=Dashboard!$C$8)),1,0)</f>
        <v>1</v>
      </c>
      <c r="U213" s="74" t="n">
        <f aca="false">IF(T213=1,K213+ROW()/1000000,-1)</f>
        <v>4.000213</v>
      </c>
      <c r="V213" s="74" t="n">
        <f aca="false">IF(AND(T213=1,E213="Production"),K213+ROW()/1000000,1000000000)</f>
        <v>4.000213</v>
      </c>
      <c r="W213" s="52" t="n">
        <f aca="false">SUMPRODUCT(MAX((Sales_Data!$F$2:$F$3520=A213)*Sales_Data!$C$2:$C$3520))</f>
        <v>46302</v>
      </c>
    </row>
    <row r="214" customFormat="false" ht="15" hidden="false" customHeight="false" outlineLevel="0" collapsed="false">
      <c r="A214" s="53" t="s">
        <v>173</v>
      </c>
      <c r="B214" s="48" t="s">
        <v>174</v>
      </c>
      <c r="C214" s="53" t="s">
        <v>58</v>
      </c>
      <c r="D214" s="53" t="s">
        <v>49</v>
      </c>
      <c r="E214" s="53" t="s">
        <v>146</v>
      </c>
      <c r="F214" s="53" t="s">
        <v>175</v>
      </c>
      <c r="G214" s="53" t="s">
        <v>6790</v>
      </c>
      <c r="H214" s="26" t="n">
        <f aca="false">SUMIFS(Sales_Data!$AE$2:$AE$3520,Sales_Data!$F$2:$F$3520,$A214,Sales_Data!$C$2:$C$3520,"&gt;="&amp;Dashboard!$C$5,Sales_Data!$C$2:$C$3520,"&lt;="&amp;Dashboard!$C$6)</f>
        <v>3</v>
      </c>
      <c r="I214" s="26" t="n">
        <f aca="false">SUMIFS(Sales_Data!$M$2:$M$3520,Sales_Data!$F$2:$F$3520,$A214,Sales_Data!$C$2:$C$3520,"&gt;="&amp;Dashboard!$C$5,Sales_Data!$C$2:$C$3520,"&lt;="&amp;Dashboard!$C$6,Sales_Data!$AE$2:$AE$3520,1)</f>
        <v>1</v>
      </c>
      <c r="J214" s="26" t="n">
        <f aca="false">SUMIFS(Sales_Data!$N$2:$N$3520,Sales_Data!$F$2:$F$3520,$A214,Sales_Data!$C$2:$C$3520,"&gt;="&amp;Dashboard!$C$5,Sales_Data!$C$2:$C$3520,"&lt;="&amp;Dashboard!$C$6,Sales_Data!$AE$2:$AE$3520,1)</f>
        <v>2</v>
      </c>
      <c r="K214" s="27" t="n">
        <f aca="false">SUMIFS(Sales_Data!$O$2:$O$3520,Sales_Data!$F$2:$F$3520,$A214,Sales_Data!$C$2:$C$3520,"&gt;="&amp;Dashboard!$C$5,Sales_Data!$C$2:$C$3520,"&lt;="&amp;Dashboard!$C$6,Sales_Data!$AE$2:$AE$3520,1)</f>
        <v>3</v>
      </c>
      <c r="L214" s="26" t="n">
        <f aca="false">SUMIFS(Sales_Data!$AF$2:$AF$3520,Sales_Data!$F$2:$F$3520,$A214,Sales_Data!$C$2:$C$3520,"&gt;="&amp;Dashboard!$C$5,Sales_Data!$C$2:$C$3520,"&lt;="&amp;Dashboard!$C$6)</f>
        <v>2</v>
      </c>
      <c r="M214" s="31" t="n">
        <f aca="false">IFERROR(K214/L214,0)</f>
        <v>1.5</v>
      </c>
      <c r="N214" s="26" t="n">
        <f aca="false">SUMIFS(Sales_Data!$O$2:$O$3520,Sales_Data!$F$2:$F$3520,$A214,Sales_Data!$C$2:$C$3520,"&gt;="&amp;Dashboard!$C$12,Sales_Data!$C$2:$C$3520,"&lt;="&amp;Dashboard!$C$13,Sales_Data!$AE$2:$AE$3520,1)</f>
        <v>4</v>
      </c>
      <c r="O214" s="28" t="n">
        <f aca="false">K214-N214</f>
        <v>-1</v>
      </c>
      <c r="P214" s="54" t="n">
        <f aca="false">IF(W214=0,"-",W214)</f>
        <v>46303</v>
      </c>
      <c r="Q214" s="52" t="n">
        <f aca="false">IF(W214=0,"-",$B$2-W214)</f>
        <v>0</v>
      </c>
      <c r="R214" s="52" t="n">
        <f aca="false">IF(T214=1,COUNTIFS($T$5:$T$254,1,$K$5:$K$254,"&gt;"&amp;K214)+1,"-")</f>
        <v>59</v>
      </c>
      <c r="S214" s="52" t="n">
        <f aca="false">COUNTIFS($C$5:$C$254,C214,$K$5:$K$254,"&gt;"&amp;K214)+1</f>
        <v>9</v>
      </c>
      <c r="T214" s="52" t="n">
        <f aca="false">IF(AND(OR(Dashboard!$C$7="All",D214=Dashboard!$C$7),OR(Dashboard!$C$8="All",C214=Dashboard!$C$8)),1,0)</f>
        <v>1</v>
      </c>
      <c r="U214" s="74" t="n">
        <f aca="false">IF(T214=1,K214+ROW()/1000000,-1)</f>
        <v>3.000214</v>
      </c>
      <c r="V214" s="74" t="n">
        <f aca="false">IF(AND(T214=1,E214="Production"),K214+ROW()/1000000,1000000000)</f>
        <v>3.000214</v>
      </c>
      <c r="W214" s="52" t="n">
        <f aca="false">SUMPRODUCT(MAX((Sales_Data!$F$2:$F$3520=A214)*Sales_Data!$C$2:$C$3520))</f>
        <v>46303</v>
      </c>
    </row>
    <row r="215" customFormat="false" ht="15" hidden="false" customHeight="false" outlineLevel="0" collapsed="false">
      <c r="A215" s="53" t="s">
        <v>6805</v>
      </c>
      <c r="B215" s="48" t="s">
        <v>6806</v>
      </c>
      <c r="C215" s="53" t="s">
        <v>58</v>
      </c>
      <c r="D215" s="53" t="s">
        <v>49</v>
      </c>
      <c r="E215" s="53" t="s">
        <v>146</v>
      </c>
      <c r="F215" s="53" t="s">
        <v>175</v>
      </c>
      <c r="G215" s="53" t="s">
        <v>6808</v>
      </c>
      <c r="H215" s="26" t="n">
        <f aca="false">SUMIFS(Sales_Data!$AE$2:$AE$3520,Sales_Data!$F$2:$F$3520,$A215,Sales_Data!$C$2:$C$3520,"&gt;="&amp;Dashboard!$C$5,Sales_Data!$C$2:$C$3520,"&lt;="&amp;Dashboard!$C$6)</f>
        <v>0</v>
      </c>
      <c r="I215" s="26" t="n">
        <f aca="false">SUMIFS(Sales_Data!$M$2:$M$3520,Sales_Data!$F$2:$F$3520,$A215,Sales_Data!$C$2:$C$3520,"&gt;="&amp;Dashboard!$C$5,Sales_Data!$C$2:$C$3520,"&lt;="&amp;Dashboard!$C$6,Sales_Data!$AE$2:$AE$3520,1)</f>
        <v>0</v>
      </c>
      <c r="J215" s="26" t="n">
        <f aca="false">SUMIFS(Sales_Data!$N$2:$N$3520,Sales_Data!$F$2:$F$3520,$A215,Sales_Data!$C$2:$C$3520,"&gt;="&amp;Dashboard!$C$5,Sales_Data!$C$2:$C$3520,"&lt;="&amp;Dashboard!$C$6,Sales_Data!$AE$2:$AE$3520,1)</f>
        <v>0</v>
      </c>
      <c r="K215" s="27" t="n">
        <f aca="false">SUMIFS(Sales_Data!$O$2:$O$3520,Sales_Data!$F$2:$F$3520,$A215,Sales_Data!$C$2:$C$3520,"&gt;="&amp;Dashboard!$C$5,Sales_Data!$C$2:$C$3520,"&lt;="&amp;Dashboard!$C$6,Sales_Data!$AE$2:$AE$3520,1)</f>
        <v>0</v>
      </c>
      <c r="L215" s="26" t="n">
        <f aca="false">SUMIFS(Sales_Data!$AF$2:$AF$3520,Sales_Data!$F$2:$F$3520,$A215,Sales_Data!$C$2:$C$3520,"&gt;="&amp;Dashboard!$C$5,Sales_Data!$C$2:$C$3520,"&lt;="&amp;Dashboard!$C$6)</f>
        <v>0</v>
      </c>
      <c r="M215" s="31" t="n">
        <f aca="false">IFERROR(K215/L215,0)</f>
        <v>0</v>
      </c>
      <c r="N215" s="26" t="n">
        <f aca="false">SUMIFS(Sales_Data!$O$2:$O$3520,Sales_Data!$F$2:$F$3520,$A215,Sales_Data!$C$2:$C$3520,"&gt;="&amp;Dashboard!$C$12,Sales_Data!$C$2:$C$3520,"&lt;="&amp;Dashboard!$C$13,Sales_Data!$AE$2:$AE$3520,1)</f>
        <v>0</v>
      </c>
      <c r="O215" s="28" t="n">
        <f aca="false">K215-N215</f>
        <v>0</v>
      </c>
      <c r="P215" s="54" t="str">
        <f aca="false">IF(W215=0,"-",W215)</f>
        <v>-</v>
      </c>
      <c r="Q215" s="52" t="str">
        <f aca="false">IF(W215=0,"-",$B$2-W215)</f>
        <v>-</v>
      </c>
      <c r="R215" s="52" t="n">
        <f aca="false">IF(T215=1,COUNTIFS($T$5:$T$254,1,$K$5:$K$254,"&gt;"&amp;K215)+1,"-")</f>
        <v>139</v>
      </c>
      <c r="S215" s="52" t="n">
        <f aca="false">COUNTIFS($C$5:$C$254,C215,$K$5:$K$254,"&gt;"&amp;K215)+1</f>
        <v>14</v>
      </c>
      <c r="T215" s="52" t="n">
        <f aca="false">IF(AND(OR(Dashboard!$C$7="All",D215=Dashboard!$C$7),OR(Dashboard!$C$8="All",C215=Dashboard!$C$8)),1,0)</f>
        <v>1</v>
      </c>
      <c r="U215" s="74" t="n">
        <f aca="false">IF(T215=1,K215+ROW()/1000000,-1)</f>
        <v>0.000215</v>
      </c>
      <c r="V215" s="74" t="n">
        <f aca="false">IF(AND(T215=1,E215="Production"),K215+ROW()/1000000,1000000000)</f>
        <v>0.000215</v>
      </c>
      <c r="W215" s="52" t="n">
        <f aca="false">SUMPRODUCT(MAX((Sales_Data!$F$2:$F$3520=A215)*Sales_Data!$C$2:$C$3520))</f>
        <v>0</v>
      </c>
    </row>
    <row r="216" customFormat="false" ht="15" hidden="false" customHeight="false" outlineLevel="0" collapsed="false">
      <c r="A216" s="53" t="s">
        <v>1732</v>
      </c>
      <c r="B216" s="48" t="s">
        <v>1733</v>
      </c>
      <c r="C216" s="53" t="s">
        <v>58</v>
      </c>
      <c r="D216" s="53" t="s">
        <v>49</v>
      </c>
      <c r="E216" s="53" t="s">
        <v>146</v>
      </c>
      <c r="F216" s="53" t="s">
        <v>209</v>
      </c>
      <c r="G216" s="53" t="s">
        <v>6788</v>
      </c>
      <c r="H216" s="26" t="n">
        <f aca="false">SUMIFS(Sales_Data!$AE$2:$AE$3520,Sales_Data!$F$2:$F$3520,$A216,Sales_Data!$C$2:$C$3520,"&gt;="&amp;Dashboard!$C$5,Sales_Data!$C$2:$C$3520,"&lt;="&amp;Dashboard!$C$6)</f>
        <v>5</v>
      </c>
      <c r="I216" s="26" t="n">
        <f aca="false">SUMIFS(Sales_Data!$M$2:$M$3520,Sales_Data!$F$2:$F$3520,$A216,Sales_Data!$C$2:$C$3520,"&gt;="&amp;Dashboard!$C$5,Sales_Data!$C$2:$C$3520,"&lt;="&amp;Dashboard!$C$6,Sales_Data!$AE$2:$AE$3520,1)</f>
        <v>1</v>
      </c>
      <c r="J216" s="26" t="n">
        <f aca="false">SUMIFS(Sales_Data!$N$2:$N$3520,Sales_Data!$F$2:$F$3520,$A216,Sales_Data!$C$2:$C$3520,"&gt;="&amp;Dashboard!$C$5,Sales_Data!$C$2:$C$3520,"&lt;="&amp;Dashboard!$C$6,Sales_Data!$AE$2:$AE$3520,1)</f>
        <v>4</v>
      </c>
      <c r="K216" s="27" t="n">
        <f aca="false">SUMIFS(Sales_Data!$O$2:$O$3520,Sales_Data!$F$2:$F$3520,$A216,Sales_Data!$C$2:$C$3520,"&gt;="&amp;Dashboard!$C$5,Sales_Data!$C$2:$C$3520,"&lt;="&amp;Dashboard!$C$6,Sales_Data!$AE$2:$AE$3520,1)</f>
        <v>5</v>
      </c>
      <c r="L216" s="26" t="n">
        <f aca="false">SUMIFS(Sales_Data!$AF$2:$AF$3520,Sales_Data!$F$2:$F$3520,$A216,Sales_Data!$C$2:$C$3520,"&gt;="&amp;Dashboard!$C$5,Sales_Data!$C$2:$C$3520,"&lt;="&amp;Dashboard!$C$6)</f>
        <v>4</v>
      </c>
      <c r="M216" s="31" t="n">
        <f aca="false">IFERROR(K216/L216,0)</f>
        <v>1.25</v>
      </c>
      <c r="N216" s="26" t="n">
        <f aca="false">SUMIFS(Sales_Data!$O$2:$O$3520,Sales_Data!$F$2:$F$3520,$A216,Sales_Data!$C$2:$C$3520,"&gt;="&amp;Dashboard!$C$12,Sales_Data!$C$2:$C$3520,"&lt;="&amp;Dashboard!$C$13,Sales_Data!$AE$2:$AE$3520,1)</f>
        <v>2</v>
      </c>
      <c r="O216" s="28" t="n">
        <f aca="false">K216-N216</f>
        <v>3</v>
      </c>
      <c r="P216" s="54" t="n">
        <f aca="false">IF(W216=0,"-",W216)</f>
        <v>46302</v>
      </c>
      <c r="Q216" s="52" t="n">
        <f aca="false">IF(W216=0,"-",$B$2-W216)</f>
        <v>1</v>
      </c>
      <c r="R216" s="52" t="n">
        <f aca="false">IF(T216=1,COUNTIFS($T$5:$T$254,1,$K$5:$K$254,"&gt;"&amp;K216)+1,"-")</f>
        <v>28</v>
      </c>
      <c r="S216" s="52" t="n">
        <f aca="false">COUNTIFS($C$5:$C$254,C216,$K$5:$K$254,"&gt;"&amp;K216)+1</f>
        <v>5</v>
      </c>
      <c r="T216" s="52" t="n">
        <f aca="false">IF(AND(OR(Dashboard!$C$7="All",D216=Dashboard!$C$7),OR(Dashboard!$C$8="All",C216=Dashboard!$C$8)),1,0)</f>
        <v>1</v>
      </c>
      <c r="U216" s="74" t="n">
        <f aca="false">IF(T216=1,K216+ROW()/1000000,-1)</f>
        <v>5.000216</v>
      </c>
      <c r="V216" s="74" t="n">
        <f aca="false">IF(AND(T216=1,E216="Production"),K216+ROW()/1000000,1000000000)</f>
        <v>5.000216</v>
      </c>
      <c r="W216" s="52" t="n">
        <f aca="false">SUMPRODUCT(MAX((Sales_Data!$F$2:$F$3520=A216)*Sales_Data!$C$2:$C$3520))</f>
        <v>46302</v>
      </c>
    </row>
    <row r="217" customFormat="false" ht="15" hidden="false" customHeight="false" outlineLevel="0" collapsed="false">
      <c r="A217" s="53" t="s">
        <v>2959</v>
      </c>
      <c r="B217" s="48" t="s">
        <v>2960</v>
      </c>
      <c r="C217" s="53" t="s">
        <v>58</v>
      </c>
      <c r="D217" s="53" t="s">
        <v>49</v>
      </c>
      <c r="E217" s="53" t="s">
        <v>146</v>
      </c>
      <c r="F217" s="53" t="s">
        <v>175</v>
      </c>
      <c r="G217" s="53" t="s">
        <v>6509</v>
      </c>
      <c r="H217" s="26" t="n">
        <f aca="false">SUMIFS(Sales_Data!$AE$2:$AE$3520,Sales_Data!$F$2:$F$3520,$A217,Sales_Data!$C$2:$C$3520,"&gt;="&amp;Dashboard!$C$5,Sales_Data!$C$2:$C$3520,"&lt;="&amp;Dashboard!$C$6)</f>
        <v>13</v>
      </c>
      <c r="I217" s="26" t="n">
        <f aca="false">SUMIFS(Sales_Data!$M$2:$M$3520,Sales_Data!$F$2:$F$3520,$A217,Sales_Data!$C$2:$C$3520,"&gt;="&amp;Dashboard!$C$5,Sales_Data!$C$2:$C$3520,"&lt;="&amp;Dashboard!$C$6,Sales_Data!$AE$2:$AE$3520,1)</f>
        <v>16</v>
      </c>
      <c r="J217" s="26" t="n">
        <f aca="false">SUMIFS(Sales_Data!$N$2:$N$3520,Sales_Data!$F$2:$F$3520,$A217,Sales_Data!$C$2:$C$3520,"&gt;="&amp;Dashboard!$C$5,Sales_Data!$C$2:$C$3520,"&lt;="&amp;Dashboard!$C$6,Sales_Data!$AE$2:$AE$3520,1)</f>
        <v>16</v>
      </c>
      <c r="K217" s="27" t="n">
        <f aca="false">SUMIFS(Sales_Data!$O$2:$O$3520,Sales_Data!$F$2:$F$3520,$A217,Sales_Data!$C$2:$C$3520,"&gt;="&amp;Dashboard!$C$5,Sales_Data!$C$2:$C$3520,"&lt;="&amp;Dashboard!$C$6,Sales_Data!$AE$2:$AE$3520,1)</f>
        <v>32</v>
      </c>
      <c r="L217" s="26" t="n">
        <f aca="false">SUMIFS(Sales_Data!$AF$2:$AF$3520,Sales_Data!$F$2:$F$3520,$A217,Sales_Data!$C$2:$C$3520,"&gt;="&amp;Dashboard!$C$5,Sales_Data!$C$2:$C$3520,"&lt;="&amp;Dashboard!$C$6)</f>
        <v>3</v>
      </c>
      <c r="M217" s="31" t="n">
        <f aca="false">IFERROR(K217/L217,0)</f>
        <v>10.6666666666667</v>
      </c>
      <c r="N217" s="26" t="n">
        <f aca="false">SUMIFS(Sales_Data!$O$2:$O$3520,Sales_Data!$F$2:$F$3520,$A217,Sales_Data!$C$2:$C$3520,"&gt;="&amp;Dashboard!$C$12,Sales_Data!$C$2:$C$3520,"&lt;="&amp;Dashboard!$C$13,Sales_Data!$AE$2:$AE$3520,1)</f>
        <v>13</v>
      </c>
      <c r="O217" s="28" t="n">
        <f aca="false">K217-N217</f>
        <v>19</v>
      </c>
      <c r="P217" s="54" t="n">
        <f aca="false">IF(W217=0,"-",W217)</f>
        <v>46300</v>
      </c>
      <c r="Q217" s="52" t="n">
        <f aca="false">IF(W217=0,"-",$B$2-W217)</f>
        <v>3</v>
      </c>
      <c r="R217" s="52" t="n">
        <f aca="false">IF(T217=1,COUNTIFS($T$5:$T$254,1,$K$5:$K$254,"&gt;"&amp;K217)+1,"-")</f>
        <v>1</v>
      </c>
      <c r="S217" s="52" t="n">
        <f aca="false">COUNTIFS($C$5:$C$254,C217,$K$5:$K$254,"&gt;"&amp;K217)+1</f>
        <v>1</v>
      </c>
      <c r="T217" s="52" t="n">
        <f aca="false">IF(AND(OR(Dashboard!$C$7="All",D217=Dashboard!$C$7),OR(Dashboard!$C$8="All",C217=Dashboard!$C$8)),1,0)</f>
        <v>1</v>
      </c>
      <c r="U217" s="74" t="n">
        <f aca="false">IF(T217=1,K217+ROW()/1000000,-1)</f>
        <v>32.000217</v>
      </c>
      <c r="V217" s="74" t="n">
        <f aca="false">IF(AND(T217=1,E217="Production"),K217+ROW()/1000000,1000000000)</f>
        <v>32.000217</v>
      </c>
      <c r="W217" s="52" t="n">
        <f aca="false">SUMPRODUCT(MAX((Sales_Data!$F$2:$F$3520=A217)*Sales_Data!$C$2:$C$3520))</f>
        <v>46300</v>
      </c>
    </row>
    <row r="218" customFormat="false" ht="15" hidden="false" customHeight="false" outlineLevel="0" collapsed="false">
      <c r="A218" s="53" t="s">
        <v>3018</v>
      </c>
      <c r="B218" s="48" t="s">
        <v>3019</v>
      </c>
      <c r="C218" s="53" t="s">
        <v>58</v>
      </c>
      <c r="D218" s="53" t="s">
        <v>49</v>
      </c>
      <c r="E218" s="53" t="s">
        <v>146</v>
      </c>
      <c r="F218" s="53" t="s">
        <v>175</v>
      </c>
      <c r="G218" s="53" t="s">
        <v>6812</v>
      </c>
      <c r="H218" s="26" t="n">
        <f aca="false">SUMIFS(Sales_Data!$AE$2:$AE$3520,Sales_Data!$F$2:$F$3520,$A218,Sales_Data!$C$2:$C$3520,"&gt;="&amp;Dashboard!$C$5,Sales_Data!$C$2:$C$3520,"&lt;="&amp;Dashboard!$C$6)</f>
        <v>10</v>
      </c>
      <c r="I218" s="26" t="n">
        <f aca="false">SUMIFS(Sales_Data!$M$2:$M$3520,Sales_Data!$F$2:$F$3520,$A218,Sales_Data!$C$2:$C$3520,"&gt;="&amp;Dashboard!$C$5,Sales_Data!$C$2:$C$3520,"&lt;="&amp;Dashboard!$C$6,Sales_Data!$AE$2:$AE$3520,1)</f>
        <v>3</v>
      </c>
      <c r="J218" s="26" t="n">
        <f aca="false">SUMIFS(Sales_Data!$N$2:$N$3520,Sales_Data!$F$2:$F$3520,$A218,Sales_Data!$C$2:$C$3520,"&gt;="&amp;Dashboard!$C$5,Sales_Data!$C$2:$C$3520,"&lt;="&amp;Dashboard!$C$6,Sales_Data!$AE$2:$AE$3520,1)</f>
        <v>7</v>
      </c>
      <c r="K218" s="27" t="n">
        <f aca="false">SUMIFS(Sales_Data!$O$2:$O$3520,Sales_Data!$F$2:$F$3520,$A218,Sales_Data!$C$2:$C$3520,"&gt;="&amp;Dashboard!$C$5,Sales_Data!$C$2:$C$3520,"&lt;="&amp;Dashboard!$C$6,Sales_Data!$AE$2:$AE$3520,1)</f>
        <v>10</v>
      </c>
      <c r="L218" s="26" t="n">
        <f aca="false">SUMIFS(Sales_Data!$AF$2:$AF$3520,Sales_Data!$F$2:$F$3520,$A218,Sales_Data!$C$2:$C$3520,"&gt;="&amp;Dashboard!$C$5,Sales_Data!$C$2:$C$3520,"&lt;="&amp;Dashboard!$C$6)</f>
        <v>5</v>
      </c>
      <c r="M218" s="31" t="n">
        <f aca="false">IFERROR(K218/L218,0)</f>
        <v>2</v>
      </c>
      <c r="N218" s="26" t="n">
        <f aca="false">SUMIFS(Sales_Data!$O$2:$O$3520,Sales_Data!$F$2:$F$3520,$A218,Sales_Data!$C$2:$C$3520,"&gt;="&amp;Dashboard!$C$12,Sales_Data!$C$2:$C$3520,"&lt;="&amp;Dashboard!$C$13,Sales_Data!$AE$2:$AE$3520,1)</f>
        <v>12</v>
      </c>
      <c r="O218" s="28" t="n">
        <f aca="false">K218-N218</f>
        <v>-2</v>
      </c>
      <c r="P218" s="54" t="n">
        <f aca="false">IF(W218=0,"-",W218)</f>
        <v>46302</v>
      </c>
      <c r="Q218" s="52" t="n">
        <f aca="false">IF(W218=0,"-",$B$2-W218)</f>
        <v>1</v>
      </c>
      <c r="R218" s="52" t="n">
        <f aca="false">IF(T218=1,COUNTIFS($T$5:$T$254,1,$K$5:$K$254,"&gt;"&amp;K218)+1,"-")</f>
        <v>8</v>
      </c>
      <c r="S218" s="52" t="n">
        <f aca="false">COUNTIFS($C$5:$C$254,C218,$K$5:$K$254,"&gt;"&amp;K218)+1</f>
        <v>3</v>
      </c>
      <c r="T218" s="52" t="n">
        <f aca="false">IF(AND(OR(Dashboard!$C$7="All",D218=Dashboard!$C$7),OR(Dashboard!$C$8="All",C218=Dashboard!$C$8)),1,0)</f>
        <v>1</v>
      </c>
      <c r="U218" s="74" t="n">
        <f aca="false">IF(T218=1,K218+ROW()/1000000,-1)</f>
        <v>10.000218</v>
      </c>
      <c r="V218" s="74" t="n">
        <f aca="false">IF(AND(T218=1,E218="Production"),K218+ROW()/1000000,1000000000)</f>
        <v>10.000218</v>
      </c>
      <c r="W218" s="52" t="n">
        <f aca="false">SUMPRODUCT(MAX((Sales_Data!$F$2:$F$3520=A218)*Sales_Data!$C$2:$C$3520))</f>
        <v>46302</v>
      </c>
    </row>
    <row r="219" customFormat="false" ht="15" hidden="false" customHeight="false" outlineLevel="0" collapsed="false">
      <c r="A219" s="53" t="s">
        <v>2228</v>
      </c>
      <c r="B219" s="48" t="s">
        <v>2229</v>
      </c>
      <c r="C219" s="53" t="s">
        <v>58</v>
      </c>
      <c r="D219" s="53" t="s">
        <v>49</v>
      </c>
      <c r="E219" s="53" t="s">
        <v>146</v>
      </c>
      <c r="F219" s="53" t="s">
        <v>209</v>
      </c>
      <c r="G219" s="53" t="s">
        <v>6561</v>
      </c>
      <c r="H219" s="26" t="n">
        <f aca="false">SUMIFS(Sales_Data!$AE$2:$AE$3520,Sales_Data!$F$2:$F$3520,$A219,Sales_Data!$C$2:$C$3520,"&gt;="&amp;Dashboard!$C$5,Sales_Data!$C$2:$C$3520,"&lt;="&amp;Dashboard!$C$6)</f>
        <v>8</v>
      </c>
      <c r="I219" s="26" t="n">
        <f aca="false">SUMIFS(Sales_Data!$M$2:$M$3520,Sales_Data!$F$2:$F$3520,$A219,Sales_Data!$C$2:$C$3520,"&gt;="&amp;Dashboard!$C$5,Sales_Data!$C$2:$C$3520,"&lt;="&amp;Dashboard!$C$6,Sales_Data!$AE$2:$AE$3520,1)</f>
        <v>4</v>
      </c>
      <c r="J219" s="26" t="n">
        <f aca="false">SUMIFS(Sales_Data!$N$2:$N$3520,Sales_Data!$F$2:$F$3520,$A219,Sales_Data!$C$2:$C$3520,"&gt;="&amp;Dashboard!$C$5,Sales_Data!$C$2:$C$3520,"&lt;="&amp;Dashboard!$C$6,Sales_Data!$AE$2:$AE$3520,1)</f>
        <v>4</v>
      </c>
      <c r="K219" s="27" t="n">
        <f aca="false">SUMIFS(Sales_Data!$O$2:$O$3520,Sales_Data!$F$2:$F$3520,$A219,Sales_Data!$C$2:$C$3520,"&gt;="&amp;Dashboard!$C$5,Sales_Data!$C$2:$C$3520,"&lt;="&amp;Dashboard!$C$6,Sales_Data!$AE$2:$AE$3520,1)</f>
        <v>8</v>
      </c>
      <c r="L219" s="26" t="n">
        <f aca="false">SUMIFS(Sales_Data!$AF$2:$AF$3520,Sales_Data!$F$2:$F$3520,$A219,Sales_Data!$C$2:$C$3520,"&gt;="&amp;Dashboard!$C$5,Sales_Data!$C$2:$C$3520,"&lt;="&amp;Dashboard!$C$6)</f>
        <v>3</v>
      </c>
      <c r="M219" s="31" t="n">
        <f aca="false">IFERROR(K219/L219,0)</f>
        <v>2.66666666666667</v>
      </c>
      <c r="N219" s="26" t="n">
        <f aca="false">SUMIFS(Sales_Data!$O$2:$O$3520,Sales_Data!$F$2:$F$3520,$A219,Sales_Data!$C$2:$C$3520,"&gt;="&amp;Dashboard!$C$12,Sales_Data!$C$2:$C$3520,"&lt;="&amp;Dashboard!$C$13,Sales_Data!$AE$2:$AE$3520,1)</f>
        <v>6</v>
      </c>
      <c r="O219" s="28" t="n">
        <f aca="false">K219-N219</f>
        <v>2</v>
      </c>
      <c r="P219" s="54" t="n">
        <f aca="false">IF(W219=0,"-",W219)</f>
        <v>46299</v>
      </c>
      <c r="Q219" s="52" t="n">
        <f aca="false">IF(W219=0,"-",$B$2-W219)</f>
        <v>4</v>
      </c>
      <c r="R219" s="52" t="n">
        <f aca="false">IF(T219=1,COUNTIFS($T$5:$T$254,1,$K$5:$K$254,"&gt;"&amp;K219)+1,"-")</f>
        <v>11</v>
      </c>
      <c r="S219" s="52" t="n">
        <f aca="false">COUNTIFS($C$5:$C$254,C219,$K$5:$K$254,"&gt;"&amp;K219)+1</f>
        <v>4</v>
      </c>
      <c r="T219" s="52" t="n">
        <f aca="false">IF(AND(OR(Dashboard!$C$7="All",D219=Dashboard!$C$7),OR(Dashboard!$C$8="All",C219=Dashboard!$C$8)),1,0)</f>
        <v>1</v>
      </c>
      <c r="U219" s="74" t="n">
        <f aca="false">IF(T219=1,K219+ROW()/1000000,-1)</f>
        <v>8.000219</v>
      </c>
      <c r="V219" s="74" t="n">
        <f aca="false">IF(AND(T219=1,E219="Production"),K219+ROW()/1000000,1000000000)</f>
        <v>8.000219</v>
      </c>
      <c r="W219" s="52" t="n">
        <f aca="false">SUMPRODUCT(MAX((Sales_Data!$F$2:$F$3520=A219)*Sales_Data!$C$2:$C$3520))</f>
        <v>46299</v>
      </c>
    </row>
    <row r="220" customFormat="false" ht="15" hidden="false" customHeight="false" outlineLevel="0" collapsed="false">
      <c r="A220" s="53" t="s">
        <v>2183</v>
      </c>
      <c r="B220" s="48" t="s">
        <v>2184</v>
      </c>
      <c r="C220" s="53" t="s">
        <v>59</v>
      </c>
      <c r="D220" s="53" t="s">
        <v>47</v>
      </c>
      <c r="E220" s="53" t="s">
        <v>146</v>
      </c>
      <c r="F220" s="53" t="s">
        <v>209</v>
      </c>
      <c r="G220" s="53" t="s">
        <v>6561</v>
      </c>
      <c r="H220" s="26" t="n">
        <f aca="false">SUMIFS(Sales_Data!$AE$2:$AE$3520,Sales_Data!$F$2:$F$3520,$A220,Sales_Data!$C$2:$C$3520,"&gt;="&amp;Dashboard!$C$5,Sales_Data!$C$2:$C$3520,"&lt;="&amp;Dashboard!$C$6)</f>
        <v>1</v>
      </c>
      <c r="I220" s="26" t="n">
        <f aca="false">SUMIFS(Sales_Data!$M$2:$M$3520,Sales_Data!$F$2:$F$3520,$A220,Sales_Data!$C$2:$C$3520,"&gt;="&amp;Dashboard!$C$5,Sales_Data!$C$2:$C$3520,"&lt;="&amp;Dashboard!$C$6,Sales_Data!$AE$2:$AE$3520,1)</f>
        <v>0</v>
      </c>
      <c r="J220" s="26" t="n">
        <f aca="false">SUMIFS(Sales_Data!$N$2:$N$3520,Sales_Data!$F$2:$F$3520,$A220,Sales_Data!$C$2:$C$3520,"&gt;="&amp;Dashboard!$C$5,Sales_Data!$C$2:$C$3520,"&lt;="&amp;Dashboard!$C$6,Sales_Data!$AE$2:$AE$3520,1)</f>
        <v>1</v>
      </c>
      <c r="K220" s="27" t="n">
        <f aca="false">SUMIFS(Sales_Data!$O$2:$O$3520,Sales_Data!$F$2:$F$3520,$A220,Sales_Data!$C$2:$C$3520,"&gt;="&amp;Dashboard!$C$5,Sales_Data!$C$2:$C$3520,"&lt;="&amp;Dashboard!$C$6,Sales_Data!$AE$2:$AE$3520,1)</f>
        <v>1</v>
      </c>
      <c r="L220" s="26" t="n">
        <f aca="false">SUMIFS(Sales_Data!$AF$2:$AF$3520,Sales_Data!$F$2:$F$3520,$A220,Sales_Data!$C$2:$C$3520,"&gt;="&amp;Dashboard!$C$5,Sales_Data!$C$2:$C$3520,"&lt;="&amp;Dashboard!$C$6)</f>
        <v>1</v>
      </c>
      <c r="M220" s="31" t="n">
        <f aca="false">IFERROR(K220/L220,0)</f>
        <v>1</v>
      </c>
      <c r="N220" s="26" t="n">
        <f aca="false">SUMIFS(Sales_Data!$O$2:$O$3520,Sales_Data!$F$2:$F$3520,$A220,Sales_Data!$C$2:$C$3520,"&gt;="&amp;Dashboard!$C$12,Sales_Data!$C$2:$C$3520,"&lt;="&amp;Dashboard!$C$13,Sales_Data!$AE$2:$AE$3520,1)</f>
        <v>4</v>
      </c>
      <c r="O220" s="28" t="n">
        <f aca="false">K220-N220</f>
        <v>-3</v>
      </c>
      <c r="P220" s="54" t="n">
        <f aca="false">IF(W220=0,"-",W220)</f>
        <v>46301</v>
      </c>
      <c r="Q220" s="52" t="n">
        <f aca="false">IF(W220=0,"-",$B$2-W220)</f>
        <v>2</v>
      </c>
      <c r="R220" s="52" t="n">
        <f aca="false">IF(T220=1,COUNTIFS($T$5:$T$254,1,$K$5:$K$254,"&gt;"&amp;K220)+1,"-")</f>
        <v>105</v>
      </c>
      <c r="S220" s="52" t="n">
        <f aca="false">COUNTIFS($C$5:$C$254,C220,$K$5:$K$254,"&gt;"&amp;K220)+1</f>
        <v>12</v>
      </c>
      <c r="T220" s="52" t="n">
        <f aca="false">IF(AND(OR(Dashboard!$C$7="All",D220=Dashboard!$C$7),OR(Dashboard!$C$8="All",C220=Dashboard!$C$8)),1,0)</f>
        <v>1</v>
      </c>
      <c r="U220" s="74" t="n">
        <f aca="false">IF(T220=1,K220+ROW()/1000000,-1)</f>
        <v>1.00022</v>
      </c>
      <c r="V220" s="74" t="n">
        <f aca="false">IF(AND(T220=1,E220="Production"),K220+ROW()/1000000,1000000000)</f>
        <v>1.00022</v>
      </c>
      <c r="W220" s="52" t="n">
        <f aca="false">SUMPRODUCT(MAX((Sales_Data!$F$2:$F$3520=A220)*Sales_Data!$C$2:$C$3520))</f>
        <v>46301</v>
      </c>
    </row>
    <row r="221" customFormat="false" ht="15" hidden="false" customHeight="false" outlineLevel="0" collapsed="false">
      <c r="A221" s="53" t="s">
        <v>2583</v>
      </c>
      <c r="B221" s="48" t="s">
        <v>2584</v>
      </c>
      <c r="C221" s="53" t="s">
        <v>59</v>
      </c>
      <c r="D221" s="53" t="s">
        <v>47</v>
      </c>
      <c r="E221" s="53" t="s">
        <v>146</v>
      </c>
      <c r="F221" s="53" t="s">
        <v>147</v>
      </c>
      <c r="G221" s="53" t="s">
        <v>6492</v>
      </c>
      <c r="H221" s="26" t="n">
        <f aca="false">SUMIFS(Sales_Data!$AE$2:$AE$3520,Sales_Data!$F$2:$F$3520,$A221,Sales_Data!$C$2:$C$3520,"&gt;="&amp;Dashboard!$C$5,Sales_Data!$C$2:$C$3520,"&lt;="&amp;Dashboard!$C$6)</f>
        <v>1</v>
      </c>
      <c r="I221" s="26" t="n">
        <f aca="false">SUMIFS(Sales_Data!$M$2:$M$3520,Sales_Data!$F$2:$F$3520,$A221,Sales_Data!$C$2:$C$3520,"&gt;="&amp;Dashboard!$C$5,Sales_Data!$C$2:$C$3520,"&lt;="&amp;Dashboard!$C$6,Sales_Data!$AE$2:$AE$3520,1)</f>
        <v>0</v>
      </c>
      <c r="J221" s="26" t="n">
        <f aca="false">SUMIFS(Sales_Data!$N$2:$N$3520,Sales_Data!$F$2:$F$3520,$A221,Sales_Data!$C$2:$C$3520,"&gt;="&amp;Dashboard!$C$5,Sales_Data!$C$2:$C$3520,"&lt;="&amp;Dashboard!$C$6,Sales_Data!$AE$2:$AE$3520,1)</f>
        <v>2</v>
      </c>
      <c r="K221" s="27" t="n">
        <f aca="false">SUMIFS(Sales_Data!$O$2:$O$3520,Sales_Data!$F$2:$F$3520,$A221,Sales_Data!$C$2:$C$3520,"&gt;="&amp;Dashboard!$C$5,Sales_Data!$C$2:$C$3520,"&lt;="&amp;Dashboard!$C$6,Sales_Data!$AE$2:$AE$3520,1)</f>
        <v>2</v>
      </c>
      <c r="L221" s="26" t="n">
        <f aca="false">SUMIFS(Sales_Data!$AF$2:$AF$3520,Sales_Data!$F$2:$F$3520,$A221,Sales_Data!$C$2:$C$3520,"&gt;="&amp;Dashboard!$C$5,Sales_Data!$C$2:$C$3520,"&lt;="&amp;Dashboard!$C$6)</f>
        <v>1</v>
      </c>
      <c r="M221" s="31" t="n">
        <f aca="false">IFERROR(K221/L221,0)</f>
        <v>2</v>
      </c>
      <c r="N221" s="26" t="n">
        <f aca="false">SUMIFS(Sales_Data!$O$2:$O$3520,Sales_Data!$F$2:$F$3520,$A221,Sales_Data!$C$2:$C$3520,"&gt;="&amp;Dashboard!$C$12,Sales_Data!$C$2:$C$3520,"&lt;="&amp;Dashboard!$C$13,Sales_Data!$AE$2:$AE$3520,1)</f>
        <v>13</v>
      </c>
      <c r="O221" s="28" t="n">
        <f aca="false">K221-N221</f>
        <v>-11</v>
      </c>
      <c r="P221" s="54" t="n">
        <f aca="false">IF(W221=0,"-",W221)</f>
        <v>46298</v>
      </c>
      <c r="Q221" s="52" t="n">
        <f aca="false">IF(W221=0,"-",$B$2-W221)</f>
        <v>5</v>
      </c>
      <c r="R221" s="52" t="n">
        <f aca="false">IF(T221=1,COUNTIFS($T$5:$T$254,1,$K$5:$K$254,"&gt;"&amp;K221)+1,"-")</f>
        <v>84</v>
      </c>
      <c r="S221" s="52" t="n">
        <f aca="false">COUNTIFS($C$5:$C$254,C221,$K$5:$K$254,"&gt;"&amp;K221)+1</f>
        <v>10</v>
      </c>
      <c r="T221" s="52" t="n">
        <f aca="false">IF(AND(OR(Dashboard!$C$7="All",D221=Dashboard!$C$7),OR(Dashboard!$C$8="All",C221=Dashboard!$C$8)),1,0)</f>
        <v>1</v>
      </c>
      <c r="U221" s="74" t="n">
        <f aca="false">IF(T221=1,K221+ROW()/1000000,-1)</f>
        <v>2.000221</v>
      </c>
      <c r="V221" s="74" t="n">
        <f aca="false">IF(AND(T221=1,E221="Production"),K221+ROW()/1000000,1000000000)</f>
        <v>2.000221</v>
      </c>
      <c r="W221" s="52" t="n">
        <f aca="false">SUMPRODUCT(MAX((Sales_Data!$F$2:$F$3520=A221)*Sales_Data!$C$2:$C$3520))</f>
        <v>46298</v>
      </c>
    </row>
    <row r="222" customFormat="false" ht="15" hidden="false" customHeight="false" outlineLevel="0" collapsed="false">
      <c r="A222" s="53" t="s">
        <v>273</v>
      </c>
      <c r="B222" s="48" t="s">
        <v>274</v>
      </c>
      <c r="C222" s="53" t="s">
        <v>59</v>
      </c>
      <c r="D222" s="53" t="s">
        <v>47</v>
      </c>
      <c r="E222" s="53" t="s">
        <v>146</v>
      </c>
      <c r="F222" s="53" t="s">
        <v>147</v>
      </c>
      <c r="G222" s="53" t="s">
        <v>6817</v>
      </c>
      <c r="H222" s="26" t="n">
        <f aca="false">SUMIFS(Sales_Data!$AE$2:$AE$3520,Sales_Data!$F$2:$F$3520,$A222,Sales_Data!$C$2:$C$3520,"&gt;="&amp;Dashboard!$C$5,Sales_Data!$C$2:$C$3520,"&lt;="&amp;Dashboard!$C$6)</f>
        <v>4</v>
      </c>
      <c r="I222" s="26" t="n">
        <f aca="false">SUMIFS(Sales_Data!$M$2:$M$3520,Sales_Data!$F$2:$F$3520,$A222,Sales_Data!$C$2:$C$3520,"&gt;="&amp;Dashboard!$C$5,Sales_Data!$C$2:$C$3520,"&lt;="&amp;Dashboard!$C$6,Sales_Data!$AE$2:$AE$3520,1)</f>
        <v>0</v>
      </c>
      <c r="J222" s="26" t="n">
        <f aca="false">SUMIFS(Sales_Data!$N$2:$N$3520,Sales_Data!$F$2:$F$3520,$A222,Sales_Data!$C$2:$C$3520,"&gt;="&amp;Dashboard!$C$5,Sales_Data!$C$2:$C$3520,"&lt;="&amp;Dashboard!$C$6,Sales_Data!$AE$2:$AE$3520,1)</f>
        <v>4</v>
      </c>
      <c r="K222" s="27" t="n">
        <f aca="false">SUMIFS(Sales_Data!$O$2:$O$3520,Sales_Data!$F$2:$F$3520,$A222,Sales_Data!$C$2:$C$3520,"&gt;="&amp;Dashboard!$C$5,Sales_Data!$C$2:$C$3520,"&lt;="&amp;Dashboard!$C$6,Sales_Data!$AE$2:$AE$3520,1)</f>
        <v>4</v>
      </c>
      <c r="L222" s="26" t="n">
        <f aca="false">SUMIFS(Sales_Data!$AF$2:$AF$3520,Sales_Data!$F$2:$F$3520,$A222,Sales_Data!$C$2:$C$3520,"&gt;="&amp;Dashboard!$C$5,Sales_Data!$C$2:$C$3520,"&lt;="&amp;Dashboard!$C$6)</f>
        <v>2</v>
      </c>
      <c r="M222" s="31" t="n">
        <f aca="false">IFERROR(K222/L222,0)</f>
        <v>2</v>
      </c>
      <c r="N222" s="26" t="n">
        <f aca="false">SUMIFS(Sales_Data!$O$2:$O$3520,Sales_Data!$F$2:$F$3520,$A222,Sales_Data!$C$2:$C$3520,"&gt;="&amp;Dashboard!$C$12,Sales_Data!$C$2:$C$3520,"&lt;="&amp;Dashboard!$C$13,Sales_Data!$AE$2:$AE$3520,1)</f>
        <v>0</v>
      </c>
      <c r="O222" s="28" t="n">
        <f aca="false">K222-N222</f>
        <v>4</v>
      </c>
      <c r="P222" s="54" t="n">
        <f aca="false">IF(W222=0,"-",W222)</f>
        <v>46302</v>
      </c>
      <c r="Q222" s="52" t="n">
        <f aca="false">IF(W222=0,"-",$B$2-W222)</f>
        <v>1</v>
      </c>
      <c r="R222" s="52" t="n">
        <f aca="false">IF(T222=1,COUNTIFS($T$5:$T$254,1,$K$5:$K$254,"&gt;"&amp;K222)+1,"-")</f>
        <v>39</v>
      </c>
      <c r="S222" s="52" t="n">
        <f aca="false">COUNTIFS($C$5:$C$254,C222,$K$5:$K$254,"&gt;"&amp;K222)+1</f>
        <v>6</v>
      </c>
      <c r="T222" s="52" t="n">
        <f aca="false">IF(AND(OR(Dashboard!$C$7="All",D222=Dashboard!$C$7),OR(Dashboard!$C$8="All",C222=Dashboard!$C$8)),1,0)</f>
        <v>1</v>
      </c>
      <c r="U222" s="74" t="n">
        <f aca="false">IF(T222=1,K222+ROW()/1000000,-1)</f>
        <v>4.000222</v>
      </c>
      <c r="V222" s="74" t="n">
        <f aca="false">IF(AND(T222=1,E222="Production"),K222+ROW()/1000000,1000000000)</f>
        <v>4.000222</v>
      </c>
      <c r="W222" s="52" t="n">
        <f aca="false">SUMPRODUCT(MAX((Sales_Data!$F$2:$F$3520=A222)*Sales_Data!$C$2:$C$3520))</f>
        <v>46302</v>
      </c>
    </row>
    <row r="223" customFormat="false" ht="15" hidden="false" customHeight="false" outlineLevel="0" collapsed="false">
      <c r="A223" s="53" t="s">
        <v>650</v>
      </c>
      <c r="B223" s="48" t="s">
        <v>651</v>
      </c>
      <c r="C223" s="53" t="s">
        <v>59</v>
      </c>
      <c r="D223" s="53" t="s">
        <v>47</v>
      </c>
      <c r="E223" s="53" t="s">
        <v>146</v>
      </c>
      <c r="F223" s="53" t="s">
        <v>209</v>
      </c>
      <c r="G223" s="53" t="s">
        <v>6819</v>
      </c>
      <c r="H223" s="26" t="n">
        <f aca="false">SUMIFS(Sales_Data!$AE$2:$AE$3520,Sales_Data!$F$2:$F$3520,$A223,Sales_Data!$C$2:$C$3520,"&gt;="&amp;Dashboard!$C$5,Sales_Data!$C$2:$C$3520,"&lt;="&amp;Dashboard!$C$6)</f>
        <v>2</v>
      </c>
      <c r="I223" s="26" t="n">
        <f aca="false">SUMIFS(Sales_Data!$M$2:$M$3520,Sales_Data!$F$2:$F$3520,$A223,Sales_Data!$C$2:$C$3520,"&gt;="&amp;Dashboard!$C$5,Sales_Data!$C$2:$C$3520,"&lt;="&amp;Dashboard!$C$6,Sales_Data!$AE$2:$AE$3520,1)</f>
        <v>1</v>
      </c>
      <c r="J223" s="26" t="n">
        <f aca="false">SUMIFS(Sales_Data!$N$2:$N$3520,Sales_Data!$F$2:$F$3520,$A223,Sales_Data!$C$2:$C$3520,"&gt;="&amp;Dashboard!$C$5,Sales_Data!$C$2:$C$3520,"&lt;="&amp;Dashboard!$C$6,Sales_Data!$AE$2:$AE$3520,1)</f>
        <v>1</v>
      </c>
      <c r="K223" s="27" t="n">
        <f aca="false">SUMIFS(Sales_Data!$O$2:$O$3520,Sales_Data!$F$2:$F$3520,$A223,Sales_Data!$C$2:$C$3520,"&gt;="&amp;Dashboard!$C$5,Sales_Data!$C$2:$C$3520,"&lt;="&amp;Dashboard!$C$6,Sales_Data!$AE$2:$AE$3520,1)</f>
        <v>2</v>
      </c>
      <c r="L223" s="26" t="n">
        <f aca="false">SUMIFS(Sales_Data!$AF$2:$AF$3520,Sales_Data!$F$2:$F$3520,$A223,Sales_Data!$C$2:$C$3520,"&gt;="&amp;Dashboard!$C$5,Sales_Data!$C$2:$C$3520,"&lt;="&amp;Dashboard!$C$6)</f>
        <v>1</v>
      </c>
      <c r="M223" s="31" t="n">
        <f aca="false">IFERROR(K223/L223,0)</f>
        <v>2</v>
      </c>
      <c r="N223" s="26" t="n">
        <f aca="false">SUMIFS(Sales_Data!$O$2:$O$3520,Sales_Data!$F$2:$F$3520,$A223,Sales_Data!$C$2:$C$3520,"&gt;="&amp;Dashboard!$C$12,Sales_Data!$C$2:$C$3520,"&lt;="&amp;Dashboard!$C$13,Sales_Data!$AE$2:$AE$3520,1)</f>
        <v>4</v>
      </c>
      <c r="O223" s="28" t="n">
        <f aca="false">K223-N223</f>
        <v>-2</v>
      </c>
      <c r="P223" s="54" t="n">
        <f aca="false">IF(W223=0,"-",W223)</f>
        <v>46298</v>
      </c>
      <c r="Q223" s="52" t="n">
        <f aca="false">IF(W223=0,"-",$B$2-W223)</f>
        <v>5</v>
      </c>
      <c r="R223" s="52" t="n">
        <f aca="false">IF(T223=1,COUNTIFS($T$5:$T$254,1,$K$5:$K$254,"&gt;"&amp;K223)+1,"-")</f>
        <v>84</v>
      </c>
      <c r="S223" s="52" t="n">
        <f aca="false">COUNTIFS($C$5:$C$254,C223,$K$5:$K$254,"&gt;"&amp;K223)+1</f>
        <v>10</v>
      </c>
      <c r="T223" s="52" t="n">
        <f aca="false">IF(AND(OR(Dashboard!$C$7="All",D223=Dashboard!$C$7),OR(Dashboard!$C$8="All",C223=Dashboard!$C$8)),1,0)</f>
        <v>1</v>
      </c>
      <c r="U223" s="74" t="n">
        <f aca="false">IF(T223=1,K223+ROW()/1000000,-1)</f>
        <v>2.000223</v>
      </c>
      <c r="V223" s="74" t="n">
        <f aca="false">IF(AND(T223=1,E223="Production"),K223+ROW()/1000000,1000000000)</f>
        <v>2.000223</v>
      </c>
      <c r="W223" s="52" t="n">
        <f aca="false">SUMPRODUCT(MAX((Sales_Data!$F$2:$F$3520=A223)*Sales_Data!$C$2:$C$3520))</f>
        <v>46298</v>
      </c>
    </row>
    <row r="224" customFormat="false" ht="15" hidden="false" customHeight="false" outlineLevel="0" collapsed="false">
      <c r="A224" s="53" t="s">
        <v>3874</v>
      </c>
      <c r="B224" s="48" t="s">
        <v>3875</v>
      </c>
      <c r="C224" s="53" t="s">
        <v>59</v>
      </c>
      <c r="D224" s="53" t="s">
        <v>47</v>
      </c>
      <c r="E224" s="53" t="s">
        <v>146</v>
      </c>
      <c r="F224" s="53" t="s">
        <v>209</v>
      </c>
      <c r="G224" s="53" t="s">
        <v>6548</v>
      </c>
      <c r="H224" s="26" t="n">
        <f aca="false">SUMIFS(Sales_Data!$AE$2:$AE$3520,Sales_Data!$F$2:$F$3520,$A224,Sales_Data!$C$2:$C$3520,"&gt;="&amp;Dashboard!$C$5,Sales_Data!$C$2:$C$3520,"&lt;="&amp;Dashboard!$C$6)</f>
        <v>5</v>
      </c>
      <c r="I224" s="26" t="n">
        <f aca="false">SUMIFS(Sales_Data!$M$2:$M$3520,Sales_Data!$F$2:$F$3520,$A224,Sales_Data!$C$2:$C$3520,"&gt;="&amp;Dashboard!$C$5,Sales_Data!$C$2:$C$3520,"&lt;="&amp;Dashboard!$C$6,Sales_Data!$AE$2:$AE$3520,1)</f>
        <v>1</v>
      </c>
      <c r="J224" s="26" t="n">
        <f aca="false">SUMIFS(Sales_Data!$N$2:$N$3520,Sales_Data!$F$2:$F$3520,$A224,Sales_Data!$C$2:$C$3520,"&gt;="&amp;Dashboard!$C$5,Sales_Data!$C$2:$C$3520,"&lt;="&amp;Dashboard!$C$6,Sales_Data!$AE$2:$AE$3520,1)</f>
        <v>4</v>
      </c>
      <c r="K224" s="27" t="n">
        <f aca="false">SUMIFS(Sales_Data!$O$2:$O$3520,Sales_Data!$F$2:$F$3520,$A224,Sales_Data!$C$2:$C$3520,"&gt;="&amp;Dashboard!$C$5,Sales_Data!$C$2:$C$3520,"&lt;="&amp;Dashboard!$C$6,Sales_Data!$AE$2:$AE$3520,1)</f>
        <v>5</v>
      </c>
      <c r="L224" s="26" t="n">
        <f aca="false">SUMIFS(Sales_Data!$AF$2:$AF$3520,Sales_Data!$F$2:$F$3520,$A224,Sales_Data!$C$2:$C$3520,"&gt;="&amp;Dashboard!$C$5,Sales_Data!$C$2:$C$3520,"&lt;="&amp;Dashboard!$C$6)</f>
        <v>3</v>
      </c>
      <c r="M224" s="31" t="n">
        <f aca="false">IFERROR(K224/L224,0)</f>
        <v>1.66666666666667</v>
      </c>
      <c r="N224" s="26" t="n">
        <f aca="false">SUMIFS(Sales_Data!$O$2:$O$3520,Sales_Data!$F$2:$F$3520,$A224,Sales_Data!$C$2:$C$3520,"&gt;="&amp;Dashboard!$C$12,Sales_Data!$C$2:$C$3520,"&lt;="&amp;Dashboard!$C$13,Sales_Data!$AE$2:$AE$3520,1)</f>
        <v>7</v>
      </c>
      <c r="O224" s="28" t="n">
        <f aca="false">K224-N224</f>
        <v>-2</v>
      </c>
      <c r="P224" s="54" t="n">
        <f aca="false">IF(W224=0,"-",W224)</f>
        <v>46303</v>
      </c>
      <c r="Q224" s="52" t="n">
        <f aca="false">IF(W224=0,"-",$B$2-W224)</f>
        <v>0</v>
      </c>
      <c r="R224" s="52" t="n">
        <f aca="false">IF(T224=1,COUNTIFS($T$5:$T$254,1,$K$5:$K$254,"&gt;"&amp;K224)+1,"-")</f>
        <v>28</v>
      </c>
      <c r="S224" s="52" t="n">
        <f aca="false">COUNTIFS($C$5:$C$254,C224,$K$5:$K$254,"&gt;"&amp;K224)+1</f>
        <v>5</v>
      </c>
      <c r="T224" s="52" t="n">
        <f aca="false">IF(AND(OR(Dashboard!$C$7="All",D224=Dashboard!$C$7),OR(Dashboard!$C$8="All",C224=Dashboard!$C$8)),1,0)</f>
        <v>1</v>
      </c>
      <c r="U224" s="74" t="n">
        <f aca="false">IF(T224=1,K224+ROW()/1000000,-1)</f>
        <v>5.000224</v>
      </c>
      <c r="V224" s="74" t="n">
        <f aca="false">IF(AND(T224=1,E224="Production"),K224+ROW()/1000000,1000000000)</f>
        <v>5.000224</v>
      </c>
      <c r="W224" s="52" t="n">
        <f aca="false">SUMPRODUCT(MAX((Sales_Data!$F$2:$F$3520=A224)*Sales_Data!$C$2:$C$3520))</f>
        <v>46303</v>
      </c>
    </row>
    <row r="225" customFormat="false" ht="15" hidden="false" customHeight="false" outlineLevel="0" collapsed="false">
      <c r="A225" s="53" t="s">
        <v>1155</v>
      </c>
      <c r="B225" s="48" t="s">
        <v>1156</v>
      </c>
      <c r="C225" s="53" t="s">
        <v>59</v>
      </c>
      <c r="D225" s="53" t="s">
        <v>47</v>
      </c>
      <c r="E225" s="53" t="s">
        <v>146</v>
      </c>
      <c r="F225" s="53" t="s">
        <v>209</v>
      </c>
      <c r="G225" s="53" t="s">
        <v>6788</v>
      </c>
      <c r="H225" s="26" t="n">
        <f aca="false">SUMIFS(Sales_Data!$AE$2:$AE$3520,Sales_Data!$F$2:$F$3520,$A225,Sales_Data!$C$2:$C$3520,"&gt;="&amp;Dashboard!$C$5,Sales_Data!$C$2:$C$3520,"&lt;="&amp;Dashboard!$C$6)</f>
        <v>3</v>
      </c>
      <c r="I225" s="26" t="n">
        <f aca="false">SUMIFS(Sales_Data!$M$2:$M$3520,Sales_Data!$F$2:$F$3520,$A225,Sales_Data!$C$2:$C$3520,"&gt;="&amp;Dashboard!$C$5,Sales_Data!$C$2:$C$3520,"&lt;="&amp;Dashboard!$C$6,Sales_Data!$AE$2:$AE$3520,1)</f>
        <v>1</v>
      </c>
      <c r="J225" s="26" t="n">
        <f aca="false">SUMIFS(Sales_Data!$N$2:$N$3520,Sales_Data!$F$2:$F$3520,$A225,Sales_Data!$C$2:$C$3520,"&gt;="&amp;Dashboard!$C$5,Sales_Data!$C$2:$C$3520,"&lt;="&amp;Dashboard!$C$6,Sales_Data!$AE$2:$AE$3520,1)</f>
        <v>2</v>
      </c>
      <c r="K225" s="27" t="n">
        <f aca="false">SUMIFS(Sales_Data!$O$2:$O$3520,Sales_Data!$F$2:$F$3520,$A225,Sales_Data!$C$2:$C$3520,"&gt;="&amp;Dashboard!$C$5,Sales_Data!$C$2:$C$3520,"&lt;="&amp;Dashboard!$C$6,Sales_Data!$AE$2:$AE$3520,1)</f>
        <v>3</v>
      </c>
      <c r="L225" s="26" t="n">
        <f aca="false">SUMIFS(Sales_Data!$AF$2:$AF$3520,Sales_Data!$F$2:$F$3520,$A225,Sales_Data!$C$2:$C$3520,"&gt;="&amp;Dashboard!$C$5,Sales_Data!$C$2:$C$3520,"&lt;="&amp;Dashboard!$C$6)</f>
        <v>2</v>
      </c>
      <c r="M225" s="31" t="n">
        <f aca="false">IFERROR(K225/L225,0)</f>
        <v>1.5</v>
      </c>
      <c r="N225" s="26" t="n">
        <f aca="false">SUMIFS(Sales_Data!$O$2:$O$3520,Sales_Data!$F$2:$F$3520,$A225,Sales_Data!$C$2:$C$3520,"&gt;="&amp;Dashboard!$C$12,Sales_Data!$C$2:$C$3520,"&lt;="&amp;Dashboard!$C$13,Sales_Data!$AE$2:$AE$3520,1)</f>
        <v>13</v>
      </c>
      <c r="O225" s="28" t="n">
        <f aca="false">K225-N225</f>
        <v>-10</v>
      </c>
      <c r="P225" s="54" t="n">
        <f aca="false">IF(W225=0,"-",W225)</f>
        <v>46299</v>
      </c>
      <c r="Q225" s="52" t="n">
        <f aca="false">IF(W225=0,"-",$B$2-W225)</f>
        <v>4</v>
      </c>
      <c r="R225" s="52" t="n">
        <f aca="false">IF(T225=1,COUNTIFS($T$5:$T$254,1,$K$5:$K$254,"&gt;"&amp;K225)+1,"-")</f>
        <v>59</v>
      </c>
      <c r="S225" s="52" t="n">
        <f aca="false">COUNTIFS($C$5:$C$254,C225,$K$5:$K$254,"&gt;"&amp;K225)+1</f>
        <v>7</v>
      </c>
      <c r="T225" s="52" t="n">
        <f aca="false">IF(AND(OR(Dashboard!$C$7="All",D225=Dashboard!$C$7),OR(Dashboard!$C$8="All",C225=Dashboard!$C$8)),1,0)</f>
        <v>1</v>
      </c>
      <c r="U225" s="74" t="n">
        <f aca="false">IF(T225=1,K225+ROW()/1000000,-1)</f>
        <v>3.000225</v>
      </c>
      <c r="V225" s="74" t="n">
        <f aca="false">IF(AND(T225=1,E225="Production"),K225+ROW()/1000000,1000000000)</f>
        <v>3.000225</v>
      </c>
      <c r="W225" s="52" t="n">
        <f aca="false">SUMPRODUCT(MAX((Sales_Data!$F$2:$F$3520=A225)*Sales_Data!$C$2:$C$3520))</f>
        <v>46299</v>
      </c>
    </row>
    <row r="226" customFormat="false" ht="15" hidden="false" customHeight="false" outlineLevel="0" collapsed="false">
      <c r="A226" s="53" t="s">
        <v>2395</v>
      </c>
      <c r="B226" s="48" t="s">
        <v>2396</v>
      </c>
      <c r="C226" s="53" t="s">
        <v>59</v>
      </c>
      <c r="D226" s="53" t="s">
        <v>47</v>
      </c>
      <c r="E226" s="53" t="s">
        <v>146</v>
      </c>
      <c r="F226" s="53" t="s">
        <v>209</v>
      </c>
      <c r="G226" s="53" t="s">
        <v>6561</v>
      </c>
      <c r="H226" s="26" t="n">
        <f aca="false">SUMIFS(Sales_Data!$AE$2:$AE$3520,Sales_Data!$F$2:$F$3520,$A226,Sales_Data!$C$2:$C$3520,"&gt;="&amp;Dashboard!$C$5,Sales_Data!$C$2:$C$3520,"&lt;="&amp;Dashboard!$C$6)</f>
        <v>3</v>
      </c>
      <c r="I226" s="26" t="n">
        <f aca="false">SUMIFS(Sales_Data!$M$2:$M$3520,Sales_Data!$F$2:$F$3520,$A226,Sales_Data!$C$2:$C$3520,"&gt;="&amp;Dashboard!$C$5,Sales_Data!$C$2:$C$3520,"&lt;="&amp;Dashboard!$C$6,Sales_Data!$AE$2:$AE$3520,1)</f>
        <v>2</v>
      </c>
      <c r="J226" s="26" t="n">
        <f aca="false">SUMIFS(Sales_Data!$N$2:$N$3520,Sales_Data!$F$2:$F$3520,$A226,Sales_Data!$C$2:$C$3520,"&gt;="&amp;Dashboard!$C$5,Sales_Data!$C$2:$C$3520,"&lt;="&amp;Dashboard!$C$6,Sales_Data!$AE$2:$AE$3520,1)</f>
        <v>1</v>
      </c>
      <c r="K226" s="27" t="n">
        <f aca="false">SUMIFS(Sales_Data!$O$2:$O$3520,Sales_Data!$F$2:$F$3520,$A226,Sales_Data!$C$2:$C$3520,"&gt;="&amp;Dashboard!$C$5,Sales_Data!$C$2:$C$3520,"&lt;="&amp;Dashboard!$C$6,Sales_Data!$AE$2:$AE$3520,1)</f>
        <v>3</v>
      </c>
      <c r="L226" s="26" t="n">
        <f aca="false">SUMIFS(Sales_Data!$AF$2:$AF$3520,Sales_Data!$F$2:$F$3520,$A226,Sales_Data!$C$2:$C$3520,"&gt;="&amp;Dashboard!$C$5,Sales_Data!$C$2:$C$3520,"&lt;="&amp;Dashboard!$C$6)</f>
        <v>3</v>
      </c>
      <c r="M226" s="31" t="n">
        <f aca="false">IFERROR(K226/L226,0)</f>
        <v>1</v>
      </c>
      <c r="N226" s="26" t="n">
        <f aca="false">SUMIFS(Sales_Data!$O$2:$O$3520,Sales_Data!$F$2:$F$3520,$A226,Sales_Data!$C$2:$C$3520,"&gt;="&amp;Dashboard!$C$12,Sales_Data!$C$2:$C$3520,"&lt;="&amp;Dashboard!$C$13,Sales_Data!$AE$2:$AE$3520,1)</f>
        <v>3</v>
      </c>
      <c r="O226" s="28" t="n">
        <f aca="false">K226-N226</f>
        <v>0</v>
      </c>
      <c r="P226" s="54" t="n">
        <f aca="false">IF(W226=0,"-",W226)</f>
        <v>46302</v>
      </c>
      <c r="Q226" s="52" t="n">
        <f aca="false">IF(W226=0,"-",$B$2-W226)</f>
        <v>1</v>
      </c>
      <c r="R226" s="52" t="n">
        <f aca="false">IF(T226=1,COUNTIFS($T$5:$T$254,1,$K$5:$K$254,"&gt;"&amp;K226)+1,"-")</f>
        <v>59</v>
      </c>
      <c r="S226" s="52" t="n">
        <f aca="false">COUNTIFS($C$5:$C$254,C226,$K$5:$K$254,"&gt;"&amp;K226)+1</f>
        <v>7</v>
      </c>
      <c r="T226" s="52" t="n">
        <f aca="false">IF(AND(OR(Dashboard!$C$7="All",D226=Dashboard!$C$7),OR(Dashboard!$C$8="All",C226=Dashboard!$C$8)),1,0)</f>
        <v>1</v>
      </c>
      <c r="U226" s="74" t="n">
        <f aca="false">IF(T226=1,K226+ROW()/1000000,-1)</f>
        <v>3.000226</v>
      </c>
      <c r="V226" s="74" t="n">
        <f aca="false">IF(AND(T226=1,E226="Production"),K226+ROW()/1000000,1000000000)</f>
        <v>3.000226</v>
      </c>
      <c r="W226" s="52" t="n">
        <f aca="false">SUMPRODUCT(MAX((Sales_Data!$F$2:$F$3520=A226)*Sales_Data!$C$2:$C$3520))</f>
        <v>46302</v>
      </c>
    </row>
    <row r="227" customFormat="false" ht="15" hidden="false" customHeight="false" outlineLevel="0" collapsed="false">
      <c r="A227" s="53" t="s">
        <v>1827</v>
      </c>
      <c r="B227" s="48" t="s">
        <v>1828</v>
      </c>
      <c r="C227" s="53" t="s">
        <v>59</v>
      </c>
      <c r="D227" s="53" t="s">
        <v>47</v>
      </c>
      <c r="E227" s="53" t="s">
        <v>146</v>
      </c>
      <c r="F227" s="53" t="s">
        <v>209</v>
      </c>
      <c r="G227" s="53" t="s">
        <v>6561</v>
      </c>
      <c r="H227" s="26" t="n">
        <f aca="false">SUMIFS(Sales_Data!$AE$2:$AE$3520,Sales_Data!$F$2:$F$3520,$A227,Sales_Data!$C$2:$C$3520,"&gt;="&amp;Dashboard!$C$5,Sales_Data!$C$2:$C$3520,"&lt;="&amp;Dashboard!$C$6)</f>
        <v>8</v>
      </c>
      <c r="I227" s="26" t="n">
        <f aca="false">SUMIFS(Sales_Data!$M$2:$M$3520,Sales_Data!$F$2:$F$3520,$A227,Sales_Data!$C$2:$C$3520,"&gt;="&amp;Dashboard!$C$5,Sales_Data!$C$2:$C$3520,"&lt;="&amp;Dashboard!$C$6,Sales_Data!$AE$2:$AE$3520,1)</f>
        <v>1</v>
      </c>
      <c r="J227" s="26" t="n">
        <f aca="false">SUMIFS(Sales_Data!$N$2:$N$3520,Sales_Data!$F$2:$F$3520,$A227,Sales_Data!$C$2:$C$3520,"&gt;="&amp;Dashboard!$C$5,Sales_Data!$C$2:$C$3520,"&lt;="&amp;Dashboard!$C$6,Sales_Data!$AE$2:$AE$3520,1)</f>
        <v>8</v>
      </c>
      <c r="K227" s="27" t="n">
        <f aca="false">SUMIFS(Sales_Data!$O$2:$O$3520,Sales_Data!$F$2:$F$3520,$A227,Sales_Data!$C$2:$C$3520,"&gt;="&amp;Dashboard!$C$5,Sales_Data!$C$2:$C$3520,"&lt;="&amp;Dashboard!$C$6,Sales_Data!$AE$2:$AE$3520,1)</f>
        <v>9</v>
      </c>
      <c r="L227" s="26" t="n">
        <f aca="false">SUMIFS(Sales_Data!$AF$2:$AF$3520,Sales_Data!$F$2:$F$3520,$A227,Sales_Data!$C$2:$C$3520,"&gt;="&amp;Dashboard!$C$5,Sales_Data!$C$2:$C$3520,"&lt;="&amp;Dashboard!$C$6)</f>
        <v>5</v>
      </c>
      <c r="M227" s="31" t="n">
        <f aca="false">IFERROR(K227/L227,0)</f>
        <v>1.8</v>
      </c>
      <c r="N227" s="26" t="n">
        <f aca="false">SUMIFS(Sales_Data!$O$2:$O$3520,Sales_Data!$F$2:$F$3520,$A227,Sales_Data!$C$2:$C$3520,"&gt;="&amp;Dashboard!$C$12,Sales_Data!$C$2:$C$3520,"&lt;="&amp;Dashboard!$C$13,Sales_Data!$AE$2:$AE$3520,1)</f>
        <v>5</v>
      </c>
      <c r="O227" s="28" t="n">
        <f aca="false">K227-N227</f>
        <v>4</v>
      </c>
      <c r="P227" s="54" t="n">
        <f aca="false">IF(W227=0,"-",W227)</f>
        <v>46302</v>
      </c>
      <c r="Q227" s="52" t="n">
        <f aca="false">IF(W227=0,"-",$B$2-W227)</f>
        <v>1</v>
      </c>
      <c r="R227" s="52" t="n">
        <f aca="false">IF(T227=1,COUNTIFS($T$5:$T$254,1,$K$5:$K$254,"&gt;"&amp;K227)+1,"-")</f>
        <v>9</v>
      </c>
      <c r="S227" s="52" t="n">
        <f aca="false">COUNTIFS($C$5:$C$254,C227,$K$5:$K$254,"&gt;"&amp;K227)+1</f>
        <v>2</v>
      </c>
      <c r="T227" s="52" t="n">
        <f aca="false">IF(AND(OR(Dashboard!$C$7="All",D227=Dashboard!$C$7),OR(Dashboard!$C$8="All",C227=Dashboard!$C$8)),1,0)</f>
        <v>1</v>
      </c>
      <c r="U227" s="74" t="n">
        <f aca="false">IF(T227=1,K227+ROW()/1000000,-1)</f>
        <v>9.000227</v>
      </c>
      <c r="V227" s="74" t="n">
        <f aca="false">IF(AND(T227=1,E227="Production"),K227+ROW()/1000000,1000000000)</f>
        <v>9.000227</v>
      </c>
      <c r="W227" s="52" t="n">
        <f aca="false">SUMPRODUCT(MAX((Sales_Data!$F$2:$F$3520=A227)*Sales_Data!$C$2:$C$3520))</f>
        <v>46302</v>
      </c>
    </row>
    <row r="228" customFormat="false" ht="15" hidden="false" customHeight="false" outlineLevel="0" collapsed="false">
      <c r="A228" s="53" t="s">
        <v>910</v>
      </c>
      <c r="B228" s="48" t="s">
        <v>911</v>
      </c>
      <c r="C228" s="53" t="s">
        <v>59</v>
      </c>
      <c r="D228" s="53" t="s">
        <v>47</v>
      </c>
      <c r="E228" s="53" t="s">
        <v>146</v>
      </c>
      <c r="F228" s="53" t="s">
        <v>175</v>
      </c>
      <c r="G228" s="53" t="s">
        <v>6812</v>
      </c>
      <c r="H228" s="26" t="n">
        <f aca="false">SUMIFS(Sales_Data!$AE$2:$AE$3520,Sales_Data!$F$2:$F$3520,$A228,Sales_Data!$C$2:$C$3520,"&gt;="&amp;Dashboard!$C$5,Sales_Data!$C$2:$C$3520,"&lt;="&amp;Dashboard!$C$6)</f>
        <v>0</v>
      </c>
      <c r="I228" s="26" t="n">
        <f aca="false">SUMIFS(Sales_Data!$M$2:$M$3520,Sales_Data!$F$2:$F$3520,$A228,Sales_Data!$C$2:$C$3520,"&gt;="&amp;Dashboard!$C$5,Sales_Data!$C$2:$C$3520,"&lt;="&amp;Dashboard!$C$6,Sales_Data!$AE$2:$AE$3520,1)</f>
        <v>0</v>
      </c>
      <c r="J228" s="26" t="n">
        <f aca="false">SUMIFS(Sales_Data!$N$2:$N$3520,Sales_Data!$F$2:$F$3520,$A228,Sales_Data!$C$2:$C$3520,"&gt;="&amp;Dashboard!$C$5,Sales_Data!$C$2:$C$3520,"&lt;="&amp;Dashboard!$C$6,Sales_Data!$AE$2:$AE$3520,1)</f>
        <v>0</v>
      </c>
      <c r="K228" s="27" t="n">
        <f aca="false">SUMIFS(Sales_Data!$O$2:$O$3520,Sales_Data!$F$2:$F$3520,$A228,Sales_Data!$C$2:$C$3520,"&gt;="&amp;Dashboard!$C$5,Sales_Data!$C$2:$C$3520,"&lt;="&amp;Dashboard!$C$6,Sales_Data!$AE$2:$AE$3520,1)</f>
        <v>0</v>
      </c>
      <c r="L228" s="26" t="n">
        <f aca="false">SUMIFS(Sales_Data!$AF$2:$AF$3520,Sales_Data!$F$2:$F$3520,$A228,Sales_Data!$C$2:$C$3520,"&gt;="&amp;Dashboard!$C$5,Sales_Data!$C$2:$C$3520,"&lt;="&amp;Dashboard!$C$6)</f>
        <v>0</v>
      </c>
      <c r="M228" s="31" t="n">
        <f aca="false">IFERROR(K228/L228,0)</f>
        <v>0</v>
      </c>
      <c r="N228" s="26" t="n">
        <f aca="false">SUMIFS(Sales_Data!$O$2:$O$3520,Sales_Data!$F$2:$F$3520,$A228,Sales_Data!$C$2:$C$3520,"&gt;="&amp;Dashboard!$C$12,Sales_Data!$C$2:$C$3520,"&lt;="&amp;Dashboard!$C$13,Sales_Data!$AE$2:$AE$3520,1)</f>
        <v>2</v>
      </c>
      <c r="O228" s="28" t="n">
        <f aca="false">K228-N228</f>
        <v>-2</v>
      </c>
      <c r="P228" s="54" t="n">
        <f aca="false">IF(W228=0,"-",W228)</f>
        <v>46295</v>
      </c>
      <c r="Q228" s="52" t="n">
        <f aca="false">IF(W228=0,"-",$B$2-W228)</f>
        <v>8</v>
      </c>
      <c r="R228" s="52" t="n">
        <f aca="false">IF(T228=1,COUNTIFS($T$5:$T$254,1,$K$5:$K$254,"&gt;"&amp;K228)+1,"-")</f>
        <v>139</v>
      </c>
      <c r="S228" s="52" t="n">
        <f aca="false">COUNTIFS($C$5:$C$254,C228,$K$5:$K$254,"&gt;"&amp;K228)+1</f>
        <v>13</v>
      </c>
      <c r="T228" s="52" t="n">
        <f aca="false">IF(AND(OR(Dashboard!$C$7="All",D228=Dashboard!$C$7),OR(Dashboard!$C$8="All",C228=Dashboard!$C$8)),1,0)</f>
        <v>1</v>
      </c>
      <c r="U228" s="74" t="n">
        <f aca="false">IF(T228=1,K228+ROW()/1000000,-1)</f>
        <v>0.000228</v>
      </c>
      <c r="V228" s="74" t="n">
        <f aca="false">IF(AND(T228=1,E228="Production"),K228+ROW()/1000000,1000000000)</f>
        <v>0.000228</v>
      </c>
      <c r="W228" s="52" t="n">
        <f aca="false">SUMPRODUCT(MAX((Sales_Data!$F$2:$F$3520=A228)*Sales_Data!$C$2:$C$3520))</f>
        <v>46295</v>
      </c>
    </row>
    <row r="229" customFormat="false" ht="15" hidden="false" customHeight="false" outlineLevel="0" collapsed="false">
      <c r="A229" s="53" t="s">
        <v>3869</v>
      </c>
      <c r="B229" s="48" t="s">
        <v>3870</v>
      </c>
      <c r="C229" s="53" t="s">
        <v>59</v>
      </c>
      <c r="D229" s="53" t="s">
        <v>47</v>
      </c>
      <c r="E229" s="53" t="s">
        <v>146</v>
      </c>
      <c r="F229" s="53" t="s">
        <v>209</v>
      </c>
      <c r="G229" s="53" t="s">
        <v>6561</v>
      </c>
      <c r="H229" s="26" t="n">
        <f aca="false">SUMIFS(Sales_Data!$AE$2:$AE$3520,Sales_Data!$F$2:$F$3520,$A229,Sales_Data!$C$2:$C$3520,"&gt;="&amp;Dashboard!$C$5,Sales_Data!$C$2:$C$3520,"&lt;="&amp;Dashboard!$C$6)</f>
        <v>3</v>
      </c>
      <c r="I229" s="26" t="n">
        <f aca="false">SUMIFS(Sales_Data!$M$2:$M$3520,Sales_Data!$F$2:$F$3520,$A229,Sales_Data!$C$2:$C$3520,"&gt;="&amp;Dashboard!$C$5,Sales_Data!$C$2:$C$3520,"&lt;="&amp;Dashboard!$C$6,Sales_Data!$AE$2:$AE$3520,1)</f>
        <v>1</v>
      </c>
      <c r="J229" s="26" t="n">
        <f aca="false">SUMIFS(Sales_Data!$N$2:$N$3520,Sales_Data!$F$2:$F$3520,$A229,Sales_Data!$C$2:$C$3520,"&gt;="&amp;Dashboard!$C$5,Sales_Data!$C$2:$C$3520,"&lt;="&amp;Dashboard!$C$6,Sales_Data!$AE$2:$AE$3520,1)</f>
        <v>2</v>
      </c>
      <c r="K229" s="27" t="n">
        <f aca="false">SUMIFS(Sales_Data!$O$2:$O$3520,Sales_Data!$F$2:$F$3520,$A229,Sales_Data!$C$2:$C$3520,"&gt;="&amp;Dashboard!$C$5,Sales_Data!$C$2:$C$3520,"&lt;="&amp;Dashboard!$C$6,Sales_Data!$AE$2:$AE$3520,1)</f>
        <v>3</v>
      </c>
      <c r="L229" s="26" t="n">
        <f aca="false">SUMIFS(Sales_Data!$AF$2:$AF$3520,Sales_Data!$F$2:$F$3520,$A229,Sales_Data!$C$2:$C$3520,"&gt;="&amp;Dashboard!$C$5,Sales_Data!$C$2:$C$3520,"&lt;="&amp;Dashboard!$C$6)</f>
        <v>2</v>
      </c>
      <c r="M229" s="31" t="n">
        <f aca="false">IFERROR(K229/L229,0)</f>
        <v>1.5</v>
      </c>
      <c r="N229" s="26" t="n">
        <f aca="false">SUMIFS(Sales_Data!$O$2:$O$3520,Sales_Data!$F$2:$F$3520,$A229,Sales_Data!$C$2:$C$3520,"&gt;="&amp;Dashboard!$C$12,Sales_Data!$C$2:$C$3520,"&lt;="&amp;Dashboard!$C$13,Sales_Data!$AE$2:$AE$3520,1)</f>
        <v>4</v>
      </c>
      <c r="O229" s="28" t="n">
        <f aca="false">K229-N229</f>
        <v>-1</v>
      </c>
      <c r="P229" s="54" t="n">
        <f aca="false">IF(W229=0,"-",W229)</f>
        <v>46298</v>
      </c>
      <c r="Q229" s="52" t="n">
        <f aca="false">IF(W229=0,"-",$B$2-W229)</f>
        <v>5</v>
      </c>
      <c r="R229" s="52" t="n">
        <f aca="false">IF(T229=1,COUNTIFS($T$5:$T$254,1,$K$5:$K$254,"&gt;"&amp;K229)+1,"-")</f>
        <v>59</v>
      </c>
      <c r="S229" s="52" t="n">
        <f aca="false">COUNTIFS($C$5:$C$254,C229,$K$5:$K$254,"&gt;"&amp;K229)+1</f>
        <v>7</v>
      </c>
      <c r="T229" s="52" t="n">
        <f aca="false">IF(AND(OR(Dashboard!$C$7="All",D229=Dashboard!$C$7),OR(Dashboard!$C$8="All",C229=Dashboard!$C$8)),1,0)</f>
        <v>1</v>
      </c>
      <c r="U229" s="74" t="n">
        <f aca="false">IF(T229=1,K229+ROW()/1000000,-1)</f>
        <v>3.000229</v>
      </c>
      <c r="V229" s="74" t="n">
        <f aca="false">IF(AND(T229=1,E229="Production"),K229+ROW()/1000000,1000000000)</f>
        <v>3.000229</v>
      </c>
      <c r="W229" s="52" t="n">
        <f aca="false">SUMPRODUCT(MAX((Sales_Data!$F$2:$F$3520=A229)*Sales_Data!$C$2:$C$3520))</f>
        <v>46298</v>
      </c>
    </row>
    <row r="230" customFormat="false" ht="15" hidden="false" customHeight="false" outlineLevel="0" collapsed="false">
      <c r="A230" s="53" t="s">
        <v>2464</v>
      </c>
      <c r="B230" s="48" t="s">
        <v>2465</v>
      </c>
      <c r="C230" s="53" t="s">
        <v>59</v>
      </c>
      <c r="D230" s="53" t="s">
        <v>47</v>
      </c>
      <c r="E230" s="53" t="s">
        <v>146</v>
      </c>
      <c r="F230" s="53" t="s">
        <v>175</v>
      </c>
      <c r="G230" s="53" t="s">
        <v>6790</v>
      </c>
      <c r="H230" s="26" t="n">
        <f aca="false">SUMIFS(Sales_Data!$AE$2:$AE$3520,Sales_Data!$F$2:$F$3520,$A230,Sales_Data!$C$2:$C$3520,"&gt;="&amp;Dashboard!$C$5,Sales_Data!$C$2:$C$3520,"&lt;="&amp;Dashboard!$C$6)</f>
        <v>0</v>
      </c>
      <c r="I230" s="26" t="n">
        <f aca="false">SUMIFS(Sales_Data!$M$2:$M$3520,Sales_Data!$F$2:$F$3520,$A230,Sales_Data!$C$2:$C$3520,"&gt;="&amp;Dashboard!$C$5,Sales_Data!$C$2:$C$3520,"&lt;="&amp;Dashboard!$C$6,Sales_Data!$AE$2:$AE$3520,1)</f>
        <v>0</v>
      </c>
      <c r="J230" s="26" t="n">
        <f aca="false">SUMIFS(Sales_Data!$N$2:$N$3520,Sales_Data!$F$2:$F$3520,$A230,Sales_Data!$C$2:$C$3520,"&gt;="&amp;Dashboard!$C$5,Sales_Data!$C$2:$C$3520,"&lt;="&amp;Dashboard!$C$6,Sales_Data!$AE$2:$AE$3520,1)</f>
        <v>0</v>
      </c>
      <c r="K230" s="27" t="n">
        <f aca="false">SUMIFS(Sales_Data!$O$2:$O$3520,Sales_Data!$F$2:$F$3520,$A230,Sales_Data!$C$2:$C$3520,"&gt;="&amp;Dashboard!$C$5,Sales_Data!$C$2:$C$3520,"&lt;="&amp;Dashboard!$C$6,Sales_Data!$AE$2:$AE$3520,1)</f>
        <v>0</v>
      </c>
      <c r="L230" s="26" t="n">
        <f aca="false">SUMIFS(Sales_Data!$AF$2:$AF$3520,Sales_Data!$F$2:$F$3520,$A230,Sales_Data!$C$2:$C$3520,"&gt;="&amp;Dashboard!$C$5,Sales_Data!$C$2:$C$3520,"&lt;="&amp;Dashboard!$C$6)</f>
        <v>0</v>
      </c>
      <c r="M230" s="31" t="n">
        <f aca="false">IFERROR(K230/L230,0)</f>
        <v>0</v>
      </c>
      <c r="N230" s="26" t="n">
        <f aca="false">SUMIFS(Sales_Data!$O$2:$O$3520,Sales_Data!$F$2:$F$3520,$A230,Sales_Data!$C$2:$C$3520,"&gt;="&amp;Dashboard!$C$12,Sales_Data!$C$2:$C$3520,"&lt;="&amp;Dashboard!$C$13,Sales_Data!$AE$2:$AE$3520,1)</f>
        <v>0</v>
      </c>
      <c r="O230" s="28" t="n">
        <f aca="false">K230-N230</f>
        <v>0</v>
      </c>
      <c r="P230" s="54" t="n">
        <f aca="false">IF(W230=0,"-",W230)</f>
        <v>46284</v>
      </c>
      <c r="Q230" s="52" t="n">
        <f aca="false">IF(W230=0,"-",$B$2-W230)</f>
        <v>19</v>
      </c>
      <c r="R230" s="52" t="n">
        <f aca="false">IF(T230=1,COUNTIFS($T$5:$T$254,1,$K$5:$K$254,"&gt;"&amp;K230)+1,"-")</f>
        <v>139</v>
      </c>
      <c r="S230" s="52" t="n">
        <f aca="false">COUNTIFS($C$5:$C$254,C230,$K$5:$K$254,"&gt;"&amp;K230)+1</f>
        <v>13</v>
      </c>
      <c r="T230" s="52" t="n">
        <f aca="false">IF(AND(OR(Dashboard!$C$7="All",D230=Dashboard!$C$7),OR(Dashboard!$C$8="All",C230=Dashboard!$C$8)),1,0)</f>
        <v>1</v>
      </c>
      <c r="U230" s="74" t="n">
        <f aca="false">IF(T230=1,K230+ROW()/1000000,-1)</f>
        <v>0.00023</v>
      </c>
      <c r="V230" s="74" t="n">
        <f aca="false">IF(AND(T230=1,E230="Production"),K230+ROW()/1000000,1000000000)</f>
        <v>0.00023</v>
      </c>
      <c r="W230" s="52" t="n">
        <f aca="false">SUMPRODUCT(MAX((Sales_Data!$F$2:$F$3520=A230)*Sales_Data!$C$2:$C$3520))</f>
        <v>46284</v>
      </c>
    </row>
    <row r="231" customFormat="false" ht="15" hidden="false" customHeight="false" outlineLevel="0" collapsed="false">
      <c r="A231" s="53" t="s">
        <v>2385</v>
      </c>
      <c r="B231" s="48" t="s">
        <v>2386</v>
      </c>
      <c r="C231" s="53" t="s">
        <v>59</v>
      </c>
      <c r="D231" s="53" t="s">
        <v>47</v>
      </c>
      <c r="E231" s="53" t="s">
        <v>146</v>
      </c>
      <c r="F231" s="53" t="s">
        <v>209</v>
      </c>
      <c r="G231" s="53" t="s">
        <v>6561</v>
      </c>
      <c r="H231" s="26" t="n">
        <f aca="false">SUMIFS(Sales_Data!$AE$2:$AE$3520,Sales_Data!$F$2:$F$3520,$A231,Sales_Data!$C$2:$C$3520,"&gt;="&amp;Dashboard!$C$5,Sales_Data!$C$2:$C$3520,"&lt;="&amp;Dashboard!$C$6)</f>
        <v>8</v>
      </c>
      <c r="I231" s="26" t="n">
        <f aca="false">SUMIFS(Sales_Data!$M$2:$M$3520,Sales_Data!$F$2:$F$3520,$A231,Sales_Data!$C$2:$C$3520,"&gt;="&amp;Dashboard!$C$5,Sales_Data!$C$2:$C$3520,"&lt;="&amp;Dashboard!$C$6,Sales_Data!$AE$2:$AE$3520,1)</f>
        <v>3</v>
      </c>
      <c r="J231" s="26" t="n">
        <f aca="false">SUMIFS(Sales_Data!$N$2:$N$3520,Sales_Data!$F$2:$F$3520,$A231,Sales_Data!$C$2:$C$3520,"&gt;="&amp;Dashboard!$C$5,Sales_Data!$C$2:$C$3520,"&lt;="&amp;Dashboard!$C$6,Sales_Data!$AE$2:$AE$3520,1)</f>
        <v>11</v>
      </c>
      <c r="K231" s="27" t="n">
        <f aca="false">SUMIFS(Sales_Data!$O$2:$O$3520,Sales_Data!$F$2:$F$3520,$A231,Sales_Data!$C$2:$C$3520,"&gt;="&amp;Dashboard!$C$5,Sales_Data!$C$2:$C$3520,"&lt;="&amp;Dashboard!$C$6,Sales_Data!$AE$2:$AE$3520,1)</f>
        <v>14</v>
      </c>
      <c r="L231" s="26" t="n">
        <f aca="false">SUMIFS(Sales_Data!$AF$2:$AF$3520,Sales_Data!$F$2:$F$3520,$A231,Sales_Data!$C$2:$C$3520,"&gt;="&amp;Dashboard!$C$5,Sales_Data!$C$2:$C$3520,"&lt;="&amp;Dashboard!$C$6)</f>
        <v>4</v>
      </c>
      <c r="M231" s="31" t="n">
        <f aca="false">IFERROR(K231/L231,0)</f>
        <v>3.5</v>
      </c>
      <c r="N231" s="26" t="n">
        <f aca="false">SUMIFS(Sales_Data!$O$2:$O$3520,Sales_Data!$F$2:$F$3520,$A231,Sales_Data!$C$2:$C$3520,"&gt;="&amp;Dashboard!$C$12,Sales_Data!$C$2:$C$3520,"&lt;="&amp;Dashboard!$C$13,Sales_Data!$AE$2:$AE$3520,1)</f>
        <v>6</v>
      </c>
      <c r="O231" s="28" t="n">
        <f aca="false">K231-N231</f>
        <v>8</v>
      </c>
      <c r="P231" s="54" t="n">
        <f aca="false">IF(W231=0,"-",W231)</f>
        <v>46300</v>
      </c>
      <c r="Q231" s="52" t="n">
        <f aca="false">IF(W231=0,"-",$B$2-W231)</f>
        <v>3</v>
      </c>
      <c r="R231" s="52" t="n">
        <f aca="false">IF(T231=1,COUNTIFS($T$5:$T$254,1,$K$5:$K$254,"&gt;"&amp;K231)+1,"-")</f>
        <v>3</v>
      </c>
      <c r="S231" s="52" t="n">
        <f aca="false">COUNTIFS($C$5:$C$254,C231,$K$5:$K$254,"&gt;"&amp;K231)+1</f>
        <v>1</v>
      </c>
      <c r="T231" s="52" t="n">
        <f aca="false">IF(AND(OR(Dashboard!$C$7="All",D231=Dashboard!$C$7),OR(Dashboard!$C$8="All",C231=Dashboard!$C$8)),1,0)</f>
        <v>1</v>
      </c>
      <c r="U231" s="74" t="n">
        <f aca="false">IF(T231=1,K231+ROW()/1000000,-1)</f>
        <v>14.000231</v>
      </c>
      <c r="V231" s="74" t="n">
        <f aca="false">IF(AND(T231=1,E231="Production"),K231+ROW()/1000000,1000000000)</f>
        <v>14.000231</v>
      </c>
      <c r="W231" s="52" t="n">
        <f aca="false">SUMPRODUCT(MAX((Sales_Data!$F$2:$F$3520=A231)*Sales_Data!$C$2:$C$3520))</f>
        <v>46300</v>
      </c>
    </row>
    <row r="232" customFormat="false" ht="15" hidden="false" customHeight="false" outlineLevel="0" collapsed="false">
      <c r="A232" s="53" t="s">
        <v>6828</v>
      </c>
      <c r="B232" s="48" t="s">
        <v>6829</v>
      </c>
      <c r="C232" s="53" t="s">
        <v>59</v>
      </c>
      <c r="D232" s="53" t="s">
        <v>47</v>
      </c>
      <c r="E232" s="53" t="s">
        <v>146</v>
      </c>
      <c r="F232" s="53" t="s">
        <v>209</v>
      </c>
      <c r="G232" s="53" t="s">
        <v>6548</v>
      </c>
      <c r="H232" s="26" t="n">
        <f aca="false">SUMIFS(Sales_Data!$AE$2:$AE$3520,Sales_Data!$F$2:$F$3520,$A232,Sales_Data!$C$2:$C$3520,"&gt;="&amp;Dashboard!$C$5,Sales_Data!$C$2:$C$3520,"&lt;="&amp;Dashboard!$C$6)</f>
        <v>0</v>
      </c>
      <c r="I232" s="26" t="n">
        <f aca="false">SUMIFS(Sales_Data!$M$2:$M$3520,Sales_Data!$F$2:$F$3520,$A232,Sales_Data!$C$2:$C$3520,"&gt;="&amp;Dashboard!$C$5,Sales_Data!$C$2:$C$3520,"&lt;="&amp;Dashboard!$C$6,Sales_Data!$AE$2:$AE$3520,1)</f>
        <v>0</v>
      </c>
      <c r="J232" s="26" t="n">
        <f aca="false">SUMIFS(Sales_Data!$N$2:$N$3520,Sales_Data!$F$2:$F$3520,$A232,Sales_Data!$C$2:$C$3520,"&gt;="&amp;Dashboard!$C$5,Sales_Data!$C$2:$C$3520,"&lt;="&amp;Dashboard!$C$6,Sales_Data!$AE$2:$AE$3520,1)</f>
        <v>0</v>
      </c>
      <c r="K232" s="27" t="n">
        <f aca="false">SUMIFS(Sales_Data!$O$2:$O$3520,Sales_Data!$F$2:$F$3520,$A232,Sales_Data!$C$2:$C$3520,"&gt;="&amp;Dashboard!$C$5,Sales_Data!$C$2:$C$3520,"&lt;="&amp;Dashboard!$C$6,Sales_Data!$AE$2:$AE$3520,1)</f>
        <v>0</v>
      </c>
      <c r="L232" s="26" t="n">
        <f aca="false">SUMIFS(Sales_Data!$AF$2:$AF$3520,Sales_Data!$F$2:$F$3520,$A232,Sales_Data!$C$2:$C$3520,"&gt;="&amp;Dashboard!$C$5,Sales_Data!$C$2:$C$3520,"&lt;="&amp;Dashboard!$C$6)</f>
        <v>0</v>
      </c>
      <c r="M232" s="31" t="n">
        <f aca="false">IFERROR(K232/L232,0)</f>
        <v>0</v>
      </c>
      <c r="N232" s="26" t="n">
        <f aca="false">SUMIFS(Sales_Data!$O$2:$O$3520,Sales_Data!$F$2:$F$3520,$A232,Sales_Data!$C$2:$C$3520,"&gt;="&amp;Dashboard!$C$12,Sales_Data!$C$2:$C$3520,"&lt;="&amp;Dashboard!$C$13,Sales_Data!$AE$2:$AE$3520,1)</f>
        <v>0</v>
      </c>
      <c r="O232" s="28" t="n">
        <f aca="false">K232-N232</f>
        <v>0</v>
      </c>
      <c r="P232" s="54" t="str">
        <f aca="false">IF(W232=0,"-",W232)</f>
        <v>-</v>
      </c>
      <c r="Q232" s="52" t="str">
        <f aca="false">IF(W232=0,"-",$B$2-W232)</f>
        <v>-</v>
      </c>
      <c r="R232" s="52" t="n">
        <f aca="false">IF(T232=1,COUNTIFS($T$5:$T$254,1,$K$5:$K$254,"&gt;"&amp;K232)+1,"-")</f>
        <v>139</v>
      </c>
      <c r="S232" s="52" t="n">
        <f aca="false">COUNTIFS($C$5:$C$254,C232,$K$5:$K$254,"&gt;"&amp;K232)+1</f>
        <v>13</v>
      </c>
      <c r="T232" s="52" t="n">
        <f aca="false">IF(AND(OR(Dashboard!$C$7="All",D232=Dashboard!$C$7),OR(Dashboard!$C$8="All",C232=Dashboard!$C$8)),1,0)</f>
        <v>1</v>
      </c>
      <c r="U232" s="74" t="n">
        <f aca="false">IF(T232=1,K232+ROW()/1000000,-1)</f>
        <v>0.000232</v>
      </c>
      <c r="V232" s="74" t="n">
        <f aca="false">IF(AND(T232=1,E232="Production"),K232+ROW()/1000000,1000000000)</f>
        <v>0.000232</v>
      </c>
      <c r="W232" s="52" t="n">
        <f aca="false">SUMPRODUCT(MAX((Sales_Data!$F$2:$F$3520=A232)*Sales_Data!$C$2:$C$3520))</f>
        <v>0</v>
      </c>
    </row>
    <row r="233" customFormat="false" ht="15" hidden="false" customHeight="false" outlineLevel="0" collapsed="false">
      <c r="A233" s="53" t="s">
        <v>1172</v>
      </c>
      <c r="B233" s="48" t="s">
        <v>1173</v>
      </c>
      <c r="C233" s="53" t="s">
        <v>59</v>
      </c>
      <c r="D233" s="53" t="s">
        <v>47</v>
      </c>
      <c r="E233" s="53" t="s">
        <v>146</v>
      </c>
      <c r="F233" s="53" t="s">
        <v>209</v>
      </c>
      <c r="G233" s="53" t="s">
        <v>6817</v>
      </c>
      <c r="H233" s="26" t="n">
        <f aca="false">SUMIFS(Sales_Data!$AE$2:$AE$3520,Sales_Data!$F$2:$F$3520,$A233,Sales_Data!$C$2:$C$3520,"&gt;="&amp;Dashboard!$C$5,Sales_Data!$C$2:$C$3520,"&lt;="&amp;Dashboard!$C$6)</f>
        <v>0</v>
      </c>
      <c r="I233" s="26" t="n">
        <f aca="false">SUMIFS(Sales_Data!$M$2:$M$3520,Sales_Data!$F$2:$F$3520,$A233,Sales_Data!$C$2:$C$3520,"&gt;="&amp;Dashboard!$C$5,Sales_Data!$C$2:$C$3520,"&lt;="&amp;Dashboard!$C$6,Sales_Data!$AE$2:$AE$3520,1)</f>
        <v>0</v>
      </c>
      <c r="J233" s="26" t="n">
        <f aca="false">SUMIFS(Sales_Data!$N$2:$N$3520,Sales_Data!$F$2:$F$3520,$A233,Sales_Data!$C$2:$C$3520,"&gt;="&amp;Dashboard!$C$5,Sales_Data!$C$2:$C$3520,"&lt;="&amp;Dashboard!$C$6,Sales_Data!$AE$2:$AE$3520,1)</f>
        <v>0</v>
      </c>
      <c r="K233" s="27" t="n">
        <f aca="false">SUMIFS(Sales_Data!$O$2:$O$3520,Sales_Data!$F$2:$F$3520,$A233,Sales_Data!$C$2:$C$3520,"&gt;="&amp;Dashboard!$C$5,Sales_Data!$C$2:$C$3520,"&lt;="&amp;Dashboard!$C$6,Sales_Data!$AE$2:$AE$3520,1)</f>
        <v>0</v>
      </c>
      <c r="L233" s="26" t="n">
        <f aca="false">SUMIFS(Sales_Data!$AF$2:$AF$3520,Sales_Data!$F$2:$F$3520,$A233,Sales_Data!$C$2:$C$3520,"&gt;="&amp;Dashboard!$C$5,Sales_Data!$C$2:$C$3520,"&lt;="&amp;Dashboard!$C$6)</f>
        <v>0</v>
      </c>
      <c r="M233" s="31" t="n">
        <f aca="false">IFERROR(K233/L233,0)</f>
        <v>0</v>
      </c>
      <c r="N233" s="26" t="n">
        <f aca="false">SUMIFS(Sales_Data!$O$2:$O$3520,Sales_Data!$F$2:$F$3520,$A233,Sales_Data!$C$2:$C$3520,"&gt;="&amp;Dashboard!$C$12,Sales_Data!$C$2:$C$3520,"&lt;="&amp;Dashboard!$C$13,Sales_Data!$AE$2:$AE$3520,1)</f>
        <v>3</v>
      </c>
      <c r="O233" s="28" t="n">
        <f aca="false">K233-N233</f>
        <v>-3</v>
      </c>
      <c r="P233" s="54" t="n">
        <f aca="false">IF(W233=0,"-",W233)</f>
        <v>46294</v>
      </c>
      <c r="Q233" s="52" t="n">
        <f aca="false">IF(W233=0,"-",$B$2-W233)</f>
        <v>9</v>
      </c>
      <c r="R233" s="52" t="n">
        <f aca="false">IF(T233=1,COUNTIFS($T$5:$T$254,1,$K$5:$K$254,"&gt;"&amp;K233)+1,"-")</f>
        <v>139</v>
      </c>
      <c r="S233" s="52" t="n">
        <f aca="false">COUNTIFS($C$5:$C$254,C233,$K$5:$K$254,"&gt;"&amp;K233)+1</f>
        <v>13</v>
      </c>
      <c r="T233" s="52" t="n">
        <f aca="false">IF(AND(OR(Dashboard!$C$7="All",D233=Dashboard!$C$7),OR(Dashboard!$C$8="All",C233=Dashboard!$C$8)),1,0)</f>
        <v>1</v>
      </c>
      <c r="U233" s="74" t="n">
        <f aca="false">IF(T233=1,K233+ROW()/1000000,-1)</f>
        <v>0.000233</v>
      </c>
      <c r="V233" s="74" t="n">
        <f aca="false">IF(AND(T233=1,E233="Production"),K233+ROW()/1000000,1000000000)</f>
        <v>0.000233</v>
      </c>
      <c r="W233" s="52" t="n">
        <f aca="false">SUMPRODUCT(MAX((Sales_Data!$F$2:$F$3520=A233)*Sales_Data!$C$2:$C$3520))</f>
        <v>46294</v>
      </c>
    </row>
    <row r="234" customFormat="false" ht="15" hidden="false" customHeight="false" outlineLevel="0" collapsed="false">
      <c r="A234" s="53" t="s">
        <v>144</v>
      </c>
      <c r="B234" s="48" t="s">
        <v>145</v>
      </c>
      <c r="C234" s="53" t="s">
        <v>59</v>
      </c>
      <c r="D234" s="53" t="s">
        <v>47</v>
      </c>
      <c r="E234" s="53" t="s">
        <v>146</v>
      </c>
      <c r="F234" s="53" t="s">
        <v>147</v>
      </c>
      <c r="G234" s="53" t="s">
        <v>6817</v>
      </c>
      <c r="H234" s="26" t="n">
        <f aca="false">SUMIFS(Sales_Data!$AE$2:$AE$3520,Sales_Data!$F$2:$F$3520,$A234,Sales_Data!$C$2:$C$3520,"&gt;="&amp;Dashboard!$C$5,Sales_Data!$C$2:$C$3520,"&lt;="&amp;Dashboard!$C$6)</f>
        <v>7</v>
      </c>
      <c r="I234" s="26" t="n">
        <f aca="false">SUMIFS(Sales_Data!$M$2:$M$3520,Sales_Data!$F$2:$F$3520,$A234,Sales_Data!$C$2:$C$3520,"&gt;="&amp;Dashboard!$C$5,Sales_Data!$C$2:$C$3520,"&lt;="&amp;Dashboard!$C$6,Sales_Data!$AE$2:$AE$3520,1)</f>
        <v>2</v>
      </c>
      <c r="J234" s="26" t="n">
        <f aca="false">SUMIFS(Sales_Data!$N$2:$N$3520,Sales_Data!$F$2:$F$3520,$A234,Sales_Data!$C$2:$C$3520,"&gt;="&amp;Dashboard!$C$5,Sales_Data!$C$2:$C$3520,"&lt;="&amp;Dashboard!$C$6,Sales_Data!$AE$2:$AE$3520,1)</f>
        <v>5</v>
      </c>
      <c r="K234" s="27" t="n">
        <f aca="false">SUMIFS(Sales_Data!$O$2:$O$3520,Sales_Data!$F$2:$F$3520,$A234,Sales_Data!$C$2:$C$3520,"&gt;="&amp;Dashboard!$C$5,Sales_Data!$C$2:$C$3520,"&lt;="&amp;Dashboard!$C$6,Sales_Data!$AE$2:$AE$3520,1)</f>
        <v>7</v>
      </c>
      <c r="L234" s="26" t="n">
        <f aca="false">SUMIFS(Sales_Data!$AF$2:$AF$3520,Sales_Data!$F$2:$F$3520,$A234,Sales_Data!$C$2:$C$3520,"&gt;="&amp;Dashboard!$C$5,Sales_Data!$C$2:$C$3520,"&lt;="&amp;Dashboard!$C$6)</f>
        <v>4</v>
      </c>
      <c r="M234" s="31" t="n">
        <f aca="false">IFERROR(K234/L234,0)</f>
        <v>1.75</v>
      </c>
      <c r="N234" s="26" t="n">
        <f aca="false">SUMIFS(Sales_Data!$O$2:$O$3520,Sales_Data!$F$2:$F$3520,$A234,Sales_Data!$C$2:$C$3520,"&gt;="&amp;Dashboard!$C$12,Sales_Data!$C$2:$C$3520,"&lt;="&amp;Dashboard!$C$13,Sales_Data!$AE$2:$AE$3520,1)</f>
        <v>8</v>
      </c>
      <c r="O234" s="28" t="n">
        <f aca="false">K234-N234</f>
        <v>-1</v>
      </c>
      <c r="P234" s="54" t="n">
        <f aca="false">IF(W234=0,"-",W234)</f>
        <v>46303</v>
      </c>
      <c r="Q234" s="52" t="n">
        <f aca="false">IF(W234=0,"-",$B$2-W234)</f>
        <v>0</v>
      </c>
      <c r="R234" s="52" t="n">
        <f aca="false">IF(T234=1,COUNTIFS($T$5:$T$254,1,$K$5:$K$254,"&gt;"&amp;K234)+1,"-")</f>
        <v>14</v>
      </c>
      <c r="S234" s="52" t="n">
        <f aca="false">COUNTIFS($C$5:$C$254,C234,$K$5:$K$254,"&gt;"&amp;K234)+1</f>
        <v>3</v>
      </c>
      <c r="T234" s="52" t="n">
        <f aca="false">IF(AND(OR(Dashboard!$C$7="All",D234=Dashboard!$C$7),OR(Dashboard!$C$8="All",C234=Dashboard!$C$8)),1,0)</f>
        <v>1</v>
      </c>
      <c r="U234" s="74" t="n">
        <f aca="false">IF(T234=1,K234+ROW()/1000000,-1)</f>
        <v>7.000234</v>
      </c>
      <c r="V234" s="74" t="n">
        <f aca="false">IF(AND(T234=1,E234="Production"),K234+ROW()/1000000,1000000000)</f>
        <v>7.000234</v>
      </c>
      <c r="W234" s="52" t="n">
        <f aca="false">SUMPRODUCT(MAX((Sales_Data!$F$2:$F$3520=A234)*Sales_Data!$C$2:$C$3520))</f>
        <v>46303</v>
      </c>
    </row>
    <row r="235" customFormat="false" ht="15" hidden="false" customHeight="false" outlineLevel="0" collapsed="false">
      <c r="A235" s="53" t="s">
        <v>371</v>
      </c>
      <c r="B235" s="48" t="s">
        <v>372</v>
      </c>
      <c r="C235" s="53" t="s">
        <v>59</v>
      </c>
      <c r="D235" s="53" t="s">
        <v>47</v>
      </c>
      <c r="E235" s="53" t="s">
        <v>146</v>
      </c>
      <c r="F235" s="53" t="s">
        <v>147</v>
      </c>
      <c r="G235" s="53" t="s">
        <v>6817</v>
      </c>
      <c r="H235" s="26" t="n">
        <f aca="false">SUMIFS(Sales_Data!$AE$2:$AE$3520,Sales_Data!$F$2:$F$3520,$A235,Sales_Data!$C$2:$C$3520,"&gt;="&amp;Dashboard!$C$5,Sales_Data!$C$2:$C$3520,"&lt;="&amp;Dashboard!$C$6)</f>
        <v>6</v>
      </c>
      <c r="I235" s="26" t="n">
        <f aca="false">SUMIFS(Sales_Data!$M$2:$M$3520,Sales_Data!$F$2:$F$3520,$A235,Sales_Data!$C$2:$C$3520,"&gt;="&amp;Dashboard!$C$5,Sales_Data!$C$2:$C$3520,"&lt;="&amp;Dashboard!$C$6,Sales_Data!$AE$2:$AE$3520,1)</f>
        <v>2</v>
      </c>
      <c r="J235" s="26" t="n">
        <f aca="false">SUMIFS(Sales_Data!$N$2:$N$3520,Sales_Data!$F$2:$F$3520,$A235,Sales_Data!$C$2:$C$3520,"&gt;="&amp;Dashboard!$C$5,Sales_Data!$C$2:$C$3520,"&lt;="&amp;Dashboard!$C$6,Sales_Data!$AE$2:$AE$3520,1)</f>
        <v>4</v>
      </c>
      <c r="K235" s="27" t="n">
        <f aca="false">SUMIFS(Sales_Data!$O$2:$O$3520,Sales_Data!$F$2:$F$3520,$A235,Sales_Data!$C$2:$C$3520,"&gt;="&amp;Dashboard!$C$5,Sales_Data!$C$2:$C$3520,"&lt;="&amp;Dashboard!$C$6,Sales_Data!$AE$2:$AE$3520,1)</f>
        <v>6</v>
      </c>
      <c r="L235" s="26" t="n">
        <f aca="false">SUMIFS(Sales_Data!$AF$2:$AF$3520,Sales_Data!$F$2:$F$3520,$A235,Sales_Data!$C$2:$C$3520,"&gt;="&amp;Dashboard!$C$5,Sales_Data!$C$2:$C$3520,"&lt;="&amp;Dashboard!$C$6)</f>
        <v>5</v>
      </c>
      <c r="M235" s="31" t="n">
        <f aca="false">IFERROR(K235/L235,0)</f>
        <v>1.2</v>
      </c>
      <c r="N235" s="26" t="n">
        <f aca="false">SUMIFS(Sales_Data!$O$2:$O$3520,Sales_Data!$F$2:$F$3520,$A235,Sales_Data!$C$2:$C$3520,"&gt;="&amp;Dashboard!$C$12,Sales_Data!$C$2:$C$3520,"&lt;="&amp;Dashboard!$C$13,Sales_Data!$AE$2:$AE$3520,1)</f>
        <v>4</v>
      </c>
      <c r="O235" s="28" t="n">
        <f aca="false">K235-N235</f>
        <v>2</v>
      </c>
      <c r="P235" s="54" t="n">
        <f aca="false">IF(W235=0,"-",W235)</f>
        <v>46302</v>
      </c>
      <c r="Q235" s="52" t="n">
        <f aca="false">IF(W235=0,"-",$B$2-W235)</f>
        <v>1</v>
      </c>
      <c r="R235" s="52" t="n">
        <f aca="false">IF(T235=1,COUNTIFS($T$5:$T$254,1,$K$5:$K$254,"&gt;"&amp;K235)+1,"-")</f>
        <v>17</v>
      </c>
      <c r="S235" s="52" t="n">
        <f aca="false">COUNTIFS($C$5:$C$254,C235,$K$5:$K$254,"&gt;"&amp;K235)+1</f>
        <v>4</v>
      </c>
      <c r="T235" s="52" t="n">
        <f aca="false">IF(AND(OR(Dashboard!$C$7="All",D235=Dashboard!$C$7),OR(Dashboard!$C$8="All",C235=Dashboard!$C$8)),1,0)</f>
        <v>1</v>
      </c>
      <c r="U235" s="74" t="n">
        <f aca="false">IF(T235=1,K235+ROW()/1000000,-1)</f>
        <v>6.000235</v>
      </c>
      <c r="V235" s="74" t="n">
        <f aca="false">IF(AND(T235=1,E235="Production"),K235+ROW()/1000000,1000000000)</f>
        <v>6.000235</v>
      </c>
      <c r="W235" s="52" t="n">
        <f aca="false">SUMPRODUCT(MAX((Sales_Data!$F$2:$F$3520=A235)*Sales_Data!$C$2:$C$3520))</f>
        <v>46302</v>
      </c>
    </row>
    <row r="236" customFormat="false" ht="15" hidden="false" customHeight="false" outlineLevel="0" collapsed="false">
      <c r="A236" s="53" t="s">
        <v>6834</v>
      </c>
      <c r="B236" s="48" t="s">
        <v>6835</v>
      </c>
      <c r="C236" s="53" t="s">
        <v>60</v>
      </c>
      <c r="D236" s="53" t="s">
        <v>61</v>
      </c>
      <c r="E236" s="53" t="s">
        <v>3708</v>
      </c>
      <c r="F236" s="53" t="s">
        <v>175</v>
      </c>
      <c r="G236" s="53" t="s">
        <v>6837</v>
      </c>
      <c r="H236" s="26" t="n">
        <f aca="false">SUMIFS(Sales_Data!$AE$2:$AE$3520,Sales_Data!$F$2:$F$3520,$A236,Sales_Data!$C$2:$C$3520,"&gt;="&amp;Dashboard!$C$5,Sales_Data!$C$2:$C$3520,"&lt;="&amp;Dashboard!$C$6)</f>
        <v>0</v>
      </c>
      <c r="I236" s="26" t="n">
        <f aca="false">SUMIFS(Sales_Data!$M$2:$M$3520,Sales_Data!$F$2:$F$3520,$A236,Sales_Data!$C$2:$C$3520,"&gt;="&amp;Dashboard!$C$5,Sales_Data!$C$2:$C$3520,"&lt;="&amp;Dashboard!$C$6,Sales_Data!$AE$2:$AE$3520,1)</f>
        <v>0</v>
      </c>
      <c r="J236" s="26" t="n">
        <f aca="false">SUMIFS(Sales_Data!$N$2:$N$3520,Sales_Data!$F$2:$F$3520,$A236,Sales_Data!$C$2:$C$3520,"&gt;="&amp;Dashboard!$C$5,Sales_Data!$C$2:$C$3520,"&lt;="&amp;Dashboard!$C$6,Sales_Data!$AE$2:$AE$3520,1)</f>
        <v>0</v>
      </c>
      <c r="K236" s="27" t="n">
        <f aca="false">SUMIFS(Sales_Data!$O$2:$O$3520,Sales_Data!$F$2:$F$3520,$A236,Sales_Data!$C$2:$C$3520,"&gt;="&amp;Dashboard!$C$5,Sales_Data!$C$2:$C$3520,"&lt;="&amp;Dashboard!$C$6,Sales_Data!$AE$2:$AE$3520,1)</f>
        <v>0</v>
      </c>
      <c r="L236" s="26" t="n">
        <f aca="false">SUMIFS(Sales_Data!$AF$2:$AF$3520,Sales_Data!$F$2:$F$3520,$A236,Sales_Data!$C$2:$C$3520,"&gt;="&amp;Dashboard!$C$5,Sales_Data!$C$2:$C$3520,"&lt;="&amp;Dashboard!$C$6)</f>
        <v>0</v>
      </c>
      <c r="M236" s="31" t="n">
        <f aca="false">IFERROR(K236/L236,0)</f>
        <v>0</v>
      </c>
      <c r="N236" s="26" t="n">
        <f aca="false">SUMIFS(Sales_Data!$O$2:$O$3520,Sales_Data!$F$2:$F$3520,$A236,Sales_Data!$C$2:$C$3520,"&gt;="&amp;Dashboard!$C$12,Sales_Data!$C$2:$C$3520,"&lt;="&amp;Dashboard!$C$13,Sales_Data!$AE$2:$AE$3520,1)</f>
        <v>0</v>
      </c>
      <c r="O236" s="28" t="n">
        <f aca="false">K236-N236</f>
        <v>0</v>
      </c>
      <c r="P236" s="54" t="str">
        <f aca="false">IF(W236=0,"-",W236)</f>
        <v>-</v>
      </c>
      <c r="Q236" s="52" t="str">
        <f aca="false">IF(W236=0,"-",$B$2-W236)</f>
        <v>-</v>
      </c>
      <c r="R236" s="52" t="n">
        <f aca="false">IF(T236=1,COUNTIFS($T$5:$T$254,1,$K$5:$K$254,"&gt;"&amp;K236)+1,"-")</f>
        <v>139</v>
      </c>
      <c r="S236" s="52" t="n">
        <f aca="false">COUNTIFS($C$5:$C$254,C236,$K$5:$K$254,"&gt;"&amp;K236)+1</f>
        <v>1</v>
      </c>
      <c r="T236" s="52" t="n">
        <f aca="false">IF(AND(OR(Dashboard!$C$7="All",D236=Dashboard!$C$7),OR(Dashboard!$C$8="All",C236=Dashboard!$C$8)),1,0)</f>
        <v>1</v>
      </c>
      <c r="U236" s="74" t="n">
        <f aca="false">IF(T236=1,K236+ROW()/1000000,-1)</f>
        <v>0.000236</v>
      </c>
      <c r="V236" s="74" t="n">
        <f aca="false">IF(AND(T236=1,E236="Production"),K236+ROW()/1000000,1000000000)</f>
        <v>1000000000</v>
      </c>
      <c r="W236" s="52" t="n">
        <f aca="false">SUMPRODUCT(MAX((Sales_Data!$F$2:$F$3520=A236)*Sales_Data!$C$2:$C$3520))</f>
        <v>0</v>
      </c>
    </row>
    <row r="237" customFormat="false" ht="15" hidden="false" customHeight="false" outlineLevel="0" collapsed="false">
      <c r="A237" s="53" t="s">
        <v>6838</v>
      </c>
      <c r="B237" s="48" t="s">
        <v>6839</v>
      </c>
      <c r="C237" s="53" t="s">
        <v>60</v>
      </c>
      <c r="D237" s="53" t="s">
        <v>61</v>
      </c>
      <c r="E237" s="53" t="s">
        <v>3708</v>
      </c>
      <c r="F237" s="53" t="s">
        <v>175</v>
      </c>
      <c r="G237" s="53" t="s">
        <v>6837</v>
      </c>
      <c r="H237" s="26" t="n">
        <f aca="false">SUMIFS(Sales_Data!$AE$2:$AE$3520,Sales_Data!$F$2:$F$3520,$A237,Sales_Data!$C$2:$C$3520,"&gt;="&amp;Dashboard!$C$5,Sales_Data!$C$2:$C$3520,"&lt;="&amp;Dashboard!$C$6)</f>
        <v>0</v>
      </c>
      <c r="I237" s="26" t="n">
        <f aca="false">SUMIFS(Sales_Data!$M$2:$M$3520,Sales_Data!$F$2:$F$3520,$A237,Sales_Data!$C$2:$C$3520,"&gt;="&amp;Dashboard!$C$5,Sales_Data!$C$2:$C$3520,"&lt;="&amp;Dashboard!$C$6,Sales_Data!$AE$2:$AE$3520,1)</f>
        <v>0</v>
      </c>
      <c r="J237" s="26" t="n">
        <f aca="false">SUMIFS(Sales_Data!$N$2:$N$3520,Sales_Data!$F$2:$F$3520,$A237,Sales_Data!$C$2:$C$3520,"&gt;="&amp;Dashboard!$C$5,Sales_Data!$C$2:$C$3520,"&lt;="&amp;Dashboard!$C$6,Sales_Data!$AE$2:$AE$3520,1)</f>
        <v>0</v>
      </c>
      <c r="K237" s="27" t="n">
        <f aca="false">SUMIFS(Sales_Data!$O$2:$O$3520,Sales_Data!$F$2:$F$3520,$A237,Sales_Data!$C$2:$C$3520,"&gt;="&amp;Dashboard!$C$5,Sales_Data!$C$2:$C$3520,"&lt;="&amp;Dashboard!$C$6,Sales_Data!$AE$2:$AE$3520,1)</f>
        <v>0</v>
      </c>
      <c r="L237" s="26" t="n">
        <f aca="false">SUMIFS(Sales_Data!$AF$2:$AF$3520,Sales_Data!$F$2:$F$3520,$A237,Sales_Data!$C$2:$C$3520,"&gt;="&amp;Dashboard!$C$5,Sales_Data!$C$2:$C$3520,"&lt;="&amp;Dashboard!$C$6)</f>
        <v>0</v>
      </c>
      <c r="M237" s="31" t="n">
        <f aca="false">IFERROR(K237/L237,0)</f>
        <v>0</v>
      </c>
      <c r="N237" s="26" t="n">
        <f aca="false">SUMIFS(Sales_Data!$O$2:$O$3520,Sales_Data!$F$2:$F$3520,$A237,Sales_Data!$C$2:$C$3520,"&gt;="&amp;Dashboard!$C$12,Sales_Data!$C$2:$C$3520,"&lt;="&amp;Dashboard!$C$13,Sales_Data!$AE$2:$AE$3520,1)</f>
        <v>0</v>
      </c>
      <c r="O237" s="28" t="n">
        <f aca="false">K237-N237</f>
        <v>0</v>
      </c>
      <c r="P237" s="54" t="str">
        <f aca="false">IF(W237=0,"-",W237)</f>
        <v>-</v>
      </c>
      <c r="Q237" s="52" t="str">
        <f aca="false">IF(W237=0,"-",$B$2-W237)</f>
        <v>-</v>
      </c>
      <c r="R237" s="52" t="n">
        <f aca="false">IF(T237=1,COUNTIFS($T$5:$T$254,1,$K$5:$K$254,"&gt;"&amp;K237)+1,"-")</f>
        <v>139</v>
      </c>
      <c r="S237" s="52" t="n">
        <f aca="false">COUNTIFS($C$5:$C$254,C237,$K$5:$K$254,"&gt;"&amp;K237)+1</f>
        <v>1</v>
      </c>
      <c r="T237" s="52" t="n">
        <f aca="false">IF(AND(OR(Dashboard!$C$7="All",D237=Dashboard!$C$7),OR(Dashboard!$C$8="All",C237=Dashboard!$C$8)),1,0)</f>
        <v>1</v>
      </c>
      <c r="U237" s="74" t="n">
        <f aca="false">IF(T237=1,K237+ROW()/1000000,-1)</f>
        <v>0.000237</v>
      </c>
      <c r="V237" s="74" t="n">
        <f aca="false">IF(AND(T237=1,E237="Production"),K237+ROW()/1000000,1000000000)</f>
        <v>1000000000</v>
      </c>
      <c r="W237" s="52" t="n">
        <f aca="false">SUMPRODUCT(MAX((Sales_Data!$F$2:$F$3520=A237)*Sales_Data!$C$2:$C$3520))</f>
        <v>0</v>
      </c>
    </row>
    <row r="238" customFormat="false" ht="15" hidden="false" customHeight="false" outlineLevel="0" collapsed="false">
      <c r="A238" s="53" t="s">
        <v>6841</v>
      </c>
      <c r="B238" s="48" t="s">
        <v>6842</v>
      </c>
      <c r="C238" s="53" t="s">
        <v>60</v>
      </c>
      <c r="D238" s="53" t="s">
        <v>61</v>
      </c>
      <c r="E238" s="53" t="s">
        <v>3708</v>
      </c>
      <c r="F238" s="53" t="s">
        <v>175</v>
      </c>
      <c r="G238" s="53" t="s">
        <v>6837</v>
      </c>
      <c r="H238" s="26" t="n">
        <f aca="false">SUMIFS(Sales_Data!$AE$2:$AE$3520,Sales_Data!$F$2:$F$3520,$A238,Sales_Data!$C$2:$C$3520,"&gt;="&amp;Dashboard!$C$5,Sales_Data!$C$2:$C$3520,"&lt;="&amp;Dashboard!$C$6)</f>
        <v>0</v>
      </c>
      <c r="I238" s="26" t="n">
        <f aca="false">SUMIFS(Sales_Data!$M$2:$M$3520,Sales_Data!$F$2:$F$3520,$A238,Sales_Data!$C$2:$C$3520,"&gt;="&amp;Dashboard!$C$5,Sales_Data!$C$2:$C$3520,"&lt;="&amp;Dashboard!$C$6,Sales_Data!$AE$2:$AE$3520,1)</f>
        <v>0</v>
      </c>
      <c r="J238" s="26" t="n">
        <f aca="false">SUMIFS(Sales_Data!$N$2:$N$3520,Sales_Data!$F$2:$F$3520,$A238,Sales_Data!$C$2:$C$3520,"&gt;="&amp;Dashboard!$C$5,Sales_Data!$C$2:$C$3520,"&lt;="&amp;Dashboard!$C$6,Sales_Data!$AE$2:$AE$3520,1)</f>
        <v>0</v>
      </c>
      <c r="K238" s="27" t="n">
        <f aca="false">SUMIFS(Sales_Data!$O$2:$O$3520,Sales_Data!$F$2:$F$3520,$A238,Sales_Data!$C$2:$C$3520,"&gt;="&amp;Dashboard!$C$5,Sales_Data!$C$2:$C$3520,"&lt;="&amp;Dashboard!$C$6,Sales_Data!$AE$2:$AE$3520,1)</f>
        <v>0</v>
      </c>
      <c r="L238" s="26" t="n">
        <f aca="false">SUMIFS(Sales_Data!$AF$2:$AF$3520,Sales_Data!$F$2:$F$3520,$A238,Sales_Data!$C$2:$C$3520,"&gt;="&amp;Dashboard!$C$5,Sales_Data!$C$2:$C$3520,"&lt;="&amp;Dashboard!$C$6)</f>
        <v>0</v>
      </c>
      <c r="M238" s="31" t="n">
        <f aca="false">IFERROR(K238/L238,0)</f>
        <v>0</v>
      </c>
      <c r="N238" s="26" t="n">
        <f aca="false">SUMIFS(Sales_Data!$O$2:$O$3520,Sales_Data!$F$2:$F$3520,$A238,Sales_Data!$C$2:$C$3520,"&gt;="&amp;Dashboard!$C$12,Sales_Data!$C$2:$C$3520,"&lt;="&amp;Dashboard!$C$13,Sales_Data!$AE$2:$AE$3520,1)</f>
        <v>0</v>
      </c>
      <c r="O238" s="28" t="n">
        <f aca="false">K238-N238</f>
        <v>0</v>
      </c>
      <c r="P238" s="54" t="str">
        <f aca="false">IF(W238=0,"-",W238)</f>
        <v>-</v>
      </c>
      <c r="Q238" s="52" t="str">
        <f aca="false">IF(W238=0,"-",$B$2-W238)</f>
        <v>-</v>
      </c>
      <c r="R238" s="52" t="n">
        <f aca="false">IF(T238=1,COUNTIFS($T$5:$T$254,1,$K$5:$K$254,"&gt;"&amp;K238)+1,"-")</f>
        <v>139</v>
      </c>
      <c r="S238" s="52" t="n">
        <f aca="false">COUNTIFS($C$5:$C$254,C238,$K$5:$K$254,"&gt;"&amp;K238)+1</f>
        <v>1</v>
      </c>
      <c r="T238" s="52" t="n">
        <f aca="false">IF(AND(OR(Dashboard!$C$7="All",D238=Dashboard!$C$7),OR(Dashboard!$C$8="All",C238=Dashboard!$C$8)),1,0)</f>
        <v>1</v>
      </c>
      <c r="U238" s="74" t="n">
        <f aca="false">IF(T238=1,K238+ROW()/1000000,-1)</f>
        <v>0.000238</v>
      </c>
      <c r="V238" s="74" t="n">
        <f aca="false">IF(AND(T238=1,E238="Production"),K238+ROW()/1000000,1000000000)</f>
        <v>1000000000</v>
      </c>
      <c r="W238" s="52" t="n">
        <f aca="false">SUMPRODUCT(MAX((Sales_Data!$F$2:$F$3520=A238)*Sales_Data!$C$2:$C$3520))</f>
        <v>0</v>
      </c>
    </row>
    <row r="239" customFormat="false" ht="15" hidden="false" customHeight="false" outlineLevel="0" collapsed="false">
      <c r="A239" s="53" t="s">
        <v>6844</v>
      </c>
      <c r="B239" s="48" t="s">
        <v>6845</v>
      </c>
      <c r="C239" s="53" t="s">
        <v>60</v>
      </c>
      <c r="D239" s="53" t="s">
        <v>61</v>
      </c>
      <c r="E239" s="53" t="s">
        <v>3708</v>
      </c>
      <c r="F239" s="53" t="s">
        <v>175</v>
      </c>
      <c r="G239" s="53" t="s">
        <v>6837</v>
      </c>
      <c r="H239" s="26" t="n">
        <f aca="false">SUMIFS(Sales_Data!$AE$2:$AE$3520,Sales_Data!$F$2:$F$3520,$A239,Sales_Data!$C$2:$C$3520,"&gt;="&amp;Dashboard!$C$5,Sales_Data!$C$2:$C$3520,"&lt;="&amp;Dashboard!$C$6)</f>
        <v>0</v>
      </c>
      <c r="I239" s="26" t="n">
        <f aca="false">SUMIFS(Sales_Data!$M$2:$M$3520,Sales_Data!$F$2:$F$3520,$A239,Sales_Data!$C$2:$C$3520,"&gt;="&amp;Dashboard!$C$5,Sales_Data!$C$2:$C$3520,"&lt;="&amp;Dashboard!$C$6,Sales_Data!$AE$2:$AE$3520,1)</f>
        <v>0</v>
      </c>
      <c r="J239" s="26" t="n">
        <f aca="false">SUMIFS(Sales_Data!$N$2:$N$3520,Sales_Data!$F$2:$F$3520,$A239,Sales_Data!$C$2:$C$3520,"&gt;="&amp;Dashboard!$C$5,Sales_Data!$C$2:$C$3520,"&lt;="&amp;Dashboard!$C$6,Sales_Data!$AE$2:$AE$3520,1)</f>
        <v>0</v>
      </c>
      <c r="K239" s="27" t="n">
        <f aca="false">SUMIFS(Sales_Data!$O$2:$O$3520,Sales_Data!$F$2:$F$3520,$A239,Sales_Data!$C$2:$C$3520,"&gt;="&amp;Dashboard!$C$5,Sales_Data!$C$2:$C$3520,"&lt;="&amp;Dashboard!$C$6,Sales_Data!$AE$2:$AE$3520,1)</f>
        <v>0</v>
      </c>
      <c r="L239" s="26" t="n">
        <f aca="false">SUMIFS(Sales_Data!$AF$2:$AF$3520,Sales_Data!$F$2:$F$3520,$A239,Sales_Data!$C$2:$C$3520,"&gt;="&amp;Dashboard!$C$5,Sales_Data!$C$2:$C$3520,"&lt;="&amp;Dashboard!$C$6)</f>
        <v>0</v>
      </c>
      <c r="M239" s="31" t="n">
        <f aca="false">IFERROR(K239/L239,0)</f>
        <v>0</v>
      </c>
      <c r="N239" s="26" t="n">
        <f aca="false">SUMIFS(Sales_Data!$O$2:$O$3520,Sales_Data!$F$2:$F$3520,$A239,Sales_Data!$C$2:$C$3520,"&gt;="&amp;Dashboard!$C$12,Sales_Data!$C$2:$C$3520,"&lt;="&amp;Dashboard!$C$13,Sales_Data!$AE$2:$AE$3520,1)</f>
        <v>0</v>
      </c>
      <c r="O239" s="28" t="n">
        <f aca="false">K239-N239</f>
        <v>0</v>
      </c>
      <c r="P239" s="54" t="str">
        <f aca="false">IF(W239=0,"-",W239)</f>
        <v>-</v>
      </c>
      <c r="Q239" s="52" t="str">
        <f aca="false">IF(W239=0,"-",$B$2-W239)</f>
        <v>-</v>
      </c>
      <c r="R239" s="52" t="n">
        <f aca="false">IF(T239=1,COUNTIFS($T$5:$T$254,1,$K$5:$K$254,"&gt;"&amp;K239)+1,"-")</f>
        <v>139</v>
      </c>
      <c r="S239" s="52" t="n">
        <f aca="false">COUNTIFS($C$5:$C$254,C239,$K$5:$K$254,"&gt;"&amp;K239)+1</f>
        <v>1</v>
      </c>
      <c r="T239" s="52" t="n">
        <f aca="false">IF(AND(OR(Dashboard!$C$7="All",D239=Dashboard!$C$7),OR(Dashboard!$C$8="All",C239=Dashboard!$C$8)),1,0)</f>
        <v>1</v>
      </c>
      <c r="U239" s="74" t="n">
        <f aca="false">IF(T239=1,K239+ROW()/1000000,-1)</f>
        <v>0.000239</v>
      </c>
      <c r="V239" s="74" t="n">
        <f aca="false">IF(AND(T239=1,E239="Production"),K239+ROW()/1000000,1000000000)</f>
        <v>1000000000</v>
      </c>
      <c r="W239" s="52" t="n">
        <f aca="false">SUMPRODUCT(MAX((Sales_Data!$F$2:$F$3520=A239)*Sales_Data!$C$2:$C$3520))</f>
        <v>0</v>
      </c>
    </row>
    <row r="240" customFormat="false" ht="15" hidden="false" customHeight="false" outlineLevel="0" collapsed="false">
      <c r="A240" s="53" t="s">
        <v>6847</v>
      </c>
      <c r="B240" s="48" t="s">
        <v>6848</v>
      </c>
      <c r="C240" s="53" t="s">
        <v>60</v>
      </c>
      <c r="D240" s="53" t="s">
        <v>61</v>
      </c>
      <c r="E240" s="53" t="s">
        <v>3708</v>
      </c>
      <c r="F240" s="53" t="s">
        <v>175</v>
      </c>
      <c r="G240" s="53" t="s">
        <v>6837</v>
      </c>
      <c r="H240" s="26" t="n">
        <f aca="false">SUMIFS(Sales_Data!$AE$2:$AE$3520,Sales_Data!$F$2:$F$3520,$A240,Sales_Data!$C$2:$C$3520,"&gt;="&amp;Dashboard!$C$5,Sales_Data!$C$2:$C$3520,"&lt;="&amp;Dashboard!$C$6)</f>
        <v>0</v>
      </c>
      <c r="I240" s="26" t="n">
        <f aca="false">SUMIFS(Sales_Data!$M$2:$M$3520,Sales_Data!$F$2:$F$3520,$A240,Sales_Data!$C$2:$C$3520,"&gt;="&amp;Dashboard!$C$5,Sales_Data!$C$2:$C$3520,"&lt;="&amp;Dashboard!$C$6,Sales_Data!$AE$2:$AE$3520,1)</f>
        <v>0</v>
      </c>
      <c r="J240" s="26" t="n">
        <f aca="false">SUMIFS(Sales_Data!$N$2:$N$3520,Sales_Data!$F$2:$F$3520,$A240,Sales_Data!$C$2:$C$3520,"&gt;="&amp;Dashboard!$C$5,Sales_Data!$C$2:$C$3520,"&lt;="&amp;Dashboard!$C$6,Sales_Data!$AE$2:$AE$3520,1)</f>
        <v>0</v>
      </c>
      <c r="K240" s="27" t="n">
        <f aca="false">SUMIFS(Sales_Data!$O$2:$O$3520,Sales_Data!$F$2:$F$3520,$A240,Sales_Data!$C$2:$C$3520,"&gt;="&amp;Dashboard!$C$5,Sales_Data!$C$2:$C$3520,"&lt;="&amp;Dashboard!$C$6,Sales_Data!$AE$2:$AE$3520,1)</f>
        <v>0</v>
      </c>
      <c r="L240" s="26" t="n">
        <f aca="false">SUMIFS(Sales_Data!$AF$2:$AF$3520,Sales_Data!$F$2:$F$3520,$A240,Sales_Data!$C$2:$C$3520,"&gt;="&amp;Dashboard!$C$5,Sales_Data!$C$2:$C$3520,"&lt;="&amp;Dashboard!$C$6)</f>
        <v>0</v>
      </c>
      <c r="M240" s="31" t="n">
        <f aca="false">IFERROR(K240/L240,0)</f>
        <v>0</v>
      </c>
      <c r="N240" s="26" t="n">
        <f aca="false">SUMIFS(Sales_Data!$O$2:$O$3520,Sales_Data!$F$2:$F$3520,$A240,Sales_Data!$C$2:$C$3520,"&gt;="&amp;Dashboard!$C$12,Sales_Data!$C$2:$C$3520,"&lt;="&amp;Dashboard!$C$13,Sales_Data!$AE$2:$AE$3520,1)</f>
        <v>0</v>
      </c>
      <c r="O240" s="28" t="n">
        <f aca="false">K240-N240</f>
        <v>0</v>
      </c>
      <c r="P240" s="54" t="str">
        <f aca="false">IF(W240=0,"-",W240)</f>
        <v>-</v>
      </c>
      <c r="Q240" s="52" t="str">
        <f aca="false">IF(W240=0,"-",$B$2-W240)</f>
        <v>-</v>
      </c>
      <c r="R240" s="52" t="n">
        <f aca="false">IF(T240=1,COUNTIFS($T$5:$T$254,1,$K$5:$K$254,"&gt;"&amp;K240)+1,"-")</f>
        <v>139</v>
      </c>
      <c r="S240" s="52" t="n">
        <f aca="false">COUNTIFS($C$5:$C$254,C240,$K$5:$K$254,"&gt;"&amp;K240)+1</f>
        <v>1</v>
      </c>
      <c r="T240" s="52" t="n">
        <f aca="false">IF(AND(OR(Dashboard!$C$7="All",D240=Dashboard!$C$7),OR(Dashboard!$C$8="All",C240=Dashboard!$C$8)),1,0)</f>
        <v>1</v>
      </c>
      <c r="U240" s="74" t="n">
        <f aca="false">IF(T240=1,K240+ROW()/1000000,-1)</f>
        <v>0.00024</v>
      </c>
      <c r="V240" s="74" t="n">
        <f aca="false">IF(AND(T240=1,E240="Production"),K240+ROW()/1000000,1000000000)</f>
        <v>1000000000</v>
      </c>
      <c r="W240" s="52" t="n">
        <f aca="false">SUMPRODUCT(MAX((Sales_Data!$F$2:$F$3520=A240)*Sales_Data!$C$2:$C$3520))</f>
        <v>0</v>
      </c>
    </row>
    <row r="241" customFormat="false" ht="15" hidden="false" customHeight="false" outlineLevel="0" collapsed="false">
      <c r="A241" s="53" t="s">
        <v>6850</v>
      </c>
      <c r="B241" s="48" t="s">
        <v>6851</v>
      </c>
      <c r="C241" s="53" t="s">
        <v>60</v>
      </c>
      <c r="D241" s="53" t="s">
        <v>61</v>
      </c>
      <c r="E241" s="53" t="s">
        <v>3708</v>
      </c>
      <c r="F241" s="53" t="s">
        <v>175</v>
      </c>
      <c r="G241" s="53" t="s">
        <v>6837</v>
      </c>
      <c r="H241" s="26" t="n">
        <f aca="false">SUMIFS(Sales_Data!$AE$2:$AE$3520,Sales_Data!$F$2:$F$3520,$A241,Sales_Data!$C$2:$C$3520,"&gt;="&amp;Dashboard!$C$5,Sales_Data!$C$2:$C$3520,"&lt;="&amp;Dashboard!$C$6)</f>
        <v>0</v>
      </c>
      <c r="I241" s="26" t="n">
        <f aca="false">SUMIFS(Sales_Data!$M$2:$M$3520,Sales_Data!$F$2:$F$3520,$A241,Sales_Data!$C$2:$C$3520,"&gt;="&amp;Dashboard!$C$5,Sales_Data!$C$2:$C$3520,"&lt;="&amp;Dashboard!$C$6,Sales_Data!$AE$2:$AE$3520,1)</f>
        <v>0</v>
      </c>
      <c r="J241" s="26" t="n">
        <f aca="false">SUMIFS(Sales_Data!$N$2:$N$3520,Sales_Data!$F$2:$F$3520,$A241,Sales_Data!$C$2:$C$3520,"&gt;="&amp;Dashboard!$C$5,Sales_Data!$C$2:$C$3520,"&lt;="&amp;Dashboard!$C$6,Sales_Data!$AE$2:$AE$3520,1)</f>
        <v>0</v>
      </c>
      <c r="K241" s="27" t="n">
        <f aca="false">SUMIFS(Sales_Data!$O$2:$O$3520,Sales_Data!$F$2:$F$3520,$A241,Sales_Data!$C$2:$C$3520,"&gt;="&amp;Dashboard!$C$5,Sales_Data!$C$2:$C$3520,"&lt;="&amp;Dashboard!$C$6,Sales_Data!$AE$2:$AE$3520,1)</f>
        <v>0</v>
      </c>
      <c r="L241" s="26" t="n">
        <f aca="false">SUMIFS(Sales_Data!$AF$2:$AF$3520,Sales_Data!$F$2:$F$3520,$A241,Sales_Data!$C$2:$C$3520,"&gt;="&amp;Dashboard!$C$5,Sales_Data!$C$2:$C$3520,"&lt;="&amp;Dashboard!$C$6)</f>
        <v>0</v>
      </c>
      <c r="M241" s="31" t="n">
        <f aca="false">IFERROR(K241/L241,0)</f>
        <v>0</v>
      </c>
      <c r="N241" s="26" t="n">
        <f aca="false">SUMIFS(Sales_Data!$O$2:$O$3520,Sales_Data!$F$2:$F$3520,$A241,Sales_Data!$C$2:$C$3520,"&gt;="&amp;Dashboard!$C$12,Sales_Data!$C$2:$C$3520,"&lt;="&amp;Dashboard!$C$13,Sales_Data!$AE$2:$AE$3520,1)</f>
        <v>0</v>
      </c>
      <c r="O241" s="28" t="n">
        <f aca="false">K241-N241</f>
        <v>0</v>
      </c>
      <c r="P241" s="54" t="str">
        <f aca="false">IF(W241=0,"-",W241)</f>
        <v>-</v>
      </c>
      <c r="Q241" s="52" t="str">
        <f aca="false">IF(W241=0,"-",$B$2-W241)</f>
        <v>-</v>
      </c>
      <c r="R241" s="52" t="n">
        <f aca="false">IF(T241=1,COUNTIFS($T$5:$T$254,1,$K$5:$K$254,"&gt;"&amp;K241)+1,"-")</f>
        <v>139</v>
      </c>
      <c r="S241" s="52" t="n">
        <f aca="false">COUNTIFS($C$5:$C$254,C241,$K$5:$K$254,"&gt;"&amp;K241)+1</f>
        <v>1</v>
      </c>
      <c r="T241" s="52" t="n">
        <f aca="false">IF(AND(OR(Dashboard!$C$7="All",D241=Dashboard!$C$7),OR(Dashboard!$C$8="All",C241=Dashboard!$C$8)),1,0)</f>
        <v>1</v>
      </c>
      <c r="U241" s="74" t="n">
        <f aca="false">IF(T241=1,K241+ROW()/1000000,-1)</f>
        <v>0.000241</v>
      </c>
      <c r="V241" s="74" t="n">
        <f aca="false">IF(AND(T241=1,E241="Production"),K241+ROW()/1000000,1000000000)</f>
        <v>1000000000</v>
      </c>
      <c r="W241" s="52" t="n">
        <f aca="false">SUMPRODUCT(MAX((Sales_Data!$F$2:$F$3520=A241)*Sales_Data!$C$2:$C$3520))</f>
        <v>0</v>
      </c>
    </row>
    <row r="242" customFormat="false" ht="15" hidden="false" customHeight="false" outlineLevel="0" collapsed="false">
      <c r="A242" s="53" t="s">
        <v>6853</v>
      </c>
      <c r="B242" s="48" t="s">
        <v>6854</v>
      </c>
      <c r="C242" s="53" t="s">
        <v>60</v>
      </c>
      <c r="D242" s="53" t="s">
        <v>61</v>
      </c>
      <c r="E242" s="53" t="s">
        <v>3708</v>
      </c>
      <c r="F242" s="53" t="s">
        <v>175</v>
      </c>
      <c r="G242" s="53" t="s">
        <v>6837</v>
      </c>
      <c r="H242" s="26" t="n">
        <f aca="false">SUMIFS(Sales_Data!$AE$2:$AE$3520,Sales_Data!$F$2:$F$3520,$A242,Sales_Data!$C$2:$C$3520,"&gt;="&amp;Dashboard!$C$5,Sales_Data!$C$2:$C$3520,"&lt;="&amp;Dashboard!$C$6)</f>
        <v>0</v>
      </c>
      <c r="I242" s="26" t="n">
        <f aca="false">SUMIFS(Sales_Data!$M$2:$M$3520,Sales_Data!$F$2:$F$3520,$A242,Sales_Data!$C$2:$C$3520,"&gt;="&amp;Dashboard!$C$5,Sales_Data!$C$2:$C$3520,"&lt;="&amp;Dashboard!$C$6,Sales_Data!$AE$2:$AE$3520,1)</f>
        <v>0</v>
      </c>
      <c r="J242" s="26" t="n">
        <f aca="false">SUMIFS(Sales_Data!$N$2:$N$3520,Sales_Data!$F$2:$F$3520,$A242,Sales_Data!$C$2:$C$3520,"&gt;="&amp;Dashboard!$C$5,Sales_Data!$C$2:$C$3520,"&lt;="&amp;Dashboard!$C$6,Sales_Data!$AE$2:$AE$3520,1)</f>
        <v>0</v>
      </c>
      <c r="K242" s="27" t="n">
        <f aca="false">SUMIFS(Sales_Data!$O$2:$O$3520,Sales_Data!$F$2:$F$3520,$A242,Sales_Data!$C$2:$C$3520,"&gt;="&amp;Dashboard!$C$5,Sales_Data!$C$2:$C$3520,"&lt;="&amp;Dashboard!$C$6,Sales_Data!$AE$2:$AE$3520,1)</f>
        <v>0</v>
      </c>
      <c r="L242" s="26" t="n">
        <f aca="false">SUMIFS(Sales_Data!$AF$2:$AF$3520,Sales_Data!$F$2:$F$3520,$A242,Sales_Data!$C$2:$C$3520,"&gt;="&amp;Dashboard!$C$5,Sales_Data!$C$2:$C$3520,"&lt;="&amp;Dashboard!$C$6)</f>
        <v>0</v>
      </c>
      <c r="M242" s="31" t="n">
        <f aca="false">IFERROR(K242/L242,0)</f>
        <v>0</v>
      </c>
      <c r="N242" s="26" t="n">
        <f aca="false">SUMIFS(Sales_Data!$O$2:$O$3520,Sales_Data!$F$2:$F$3520,$A242,Sales_Data!$C$2:$C$3520,"&gt;="&amp;Dashboard!$C$12,Sales_Data!$C$2:$C$3520,"&lt;="&amp;Dashboard!$C$13,Sales_Data!$AE$2:$AE$3520,1)</f>
        <v>0</v>
      </c>
      <c r="O242" s="28" t="n">
        <f aca="false">K242-N242</f>
        <v>0</v>
      </c>
      <c r="P242" s="54" t="str">
        <f aca="false">IF(W242=0,"-",W242)</f>
        <v>-</v>
      </c>
      <c r="Q242" s="52" t="str">
        <f aca="false">IF(W242=0,"-",$B$2-W242)</f>
        <v>-</v>
      </c>
      <c r="R242" s="52" t="n">
        <f aca="false">IF(T242=1,COUNTIFS($T$5:$T$254,1,$K$5:$K$254,"&gt;"&amp;K242)+1,"-")</f>
        <v>139</v>
      </c>
      <c r="S242" s="52" t="n">
        <f aca="false">COUNTIFS($C$5:$C$254,C242,$K$5:$K$254,"&gt;"&amp;K242)+1</f>
        <v>1</v>
      </c>
      <c r="T242" s="52" t="n">
        <f aca="false">IF(AND(OR(Dashboard!$C$7="All",D242=Dashboard!$C$7),OR(Dashboard!$C$8="All",C242=Dashboard!$C$8)),1,0)</f>
        <v>1</v>
      </c>
      <c r="U242" s="74" t="n">
        <f aca="false">IF(T242=1,K242+ROW()/1000000,-1)</f>
        <v>0.000242</v>
      </c>
      <c r="V242" s="74" t="n">
        <f aca="false">IF(AND(T242=1,E242="Production"),K242+ROW()/1000000,1000000000)</f>
        <v>1000000000</v>
      </c>
      <c r="W242" s="52" t="n">
        <f aca="false">SUMPRODUCT(MAX((Sales_Data!$F$2:$F$3520=A242)*Sales_Data!$C$2:$C$3520))</f>
        <v>0</v>
      </c>
    </row>
    <row r="243" customFormat="false" ht="15" hidden="false" customHeight="false" outlineLevel="0" collapsed="false">
      <c r="A243" s="53" t="s">
        <v>6856</v>
      </c>
      <c r="B243" s="48" t="s">
        <v>6857</v>
      </c>
      <c r="C243" s="53" t="s">
        <v>60</v>
      </c>
      <c r="D243" s="53" t="s">
        <v>61</v>
      </c>
      <c r="E243" s="53" t="s">
        <v>3708</v>
      </c>
      <c r="F243" s="53" t="s">
        <v>175</v>
      </c>
      <c r="G243" s="53" t="s">
        <v>6837</v>
      </c>
      <c r="H243" s="26" t="n">
        <f aca="false">SUMIFS(Sales_Data!$AE$2:$AE$3520,Sales_Data!$F$2:$F$3520,$A243,Sales_Data!$C$2:$C$3520,"&gt;="&amp;Dashboard!$C$5,Sales_Data!$C$2:$C$3520,"&lt;="&amp;Dashboard!$C$6)</f>
        <v>0</v>
      </c>
      <c r="I243" s="26" t="n">
        <f aca="false">SUMIFS(Sales_Data!$M$2:$M$3520,Sales_Data!$F$2:$F$3520,$A243,Sales_Data!$C$2:$C$3520,"&gt;="&amp;Dashboard!$C$5,Sales_Data!$C$2:$C$3520,"&lt;="&amp;Dashboard!$C$6,Sales_Data!$AE$2:$AE$3520,1)</f>
        <v>0</v>
      </c>
      <c r="J243" s="26" t="n">
        <f aca="false">SUMIFS(Sales_Data!$N$2:$N$3520,Sales_Data!$F$2:$F$3520,$A243,Sales_Data!$C$2:$C$3520,"&gt;="&amp;Dashboard!$C$5,Sales_Data!$C$2:$C$3520,"&lt;="&amp;Dashboard!$C$6,Sales_Data!$AE$2:$AE$3520,1)</f>
        <v>0</v>
      </c>
      <c r="K243" s="27" t="n">
        <f aca="false">SUMIFS(Sales_Data!$O$2:$O$3520,Sales_Data!$F$2:$F$3520,$A243,Sales_Data!$C$2:$C$3520,"&gt;="&amp;Dashboard!$C$5,Sales_Data!$C$2:$C$3520,"&lt;="&amp;Dashboard!$C$6,Sales_Data!$AE$2:$AE$3520,1)</f>
        <v>0</v>
      </c>
      <c r="L243" s="26" t="n">
        <f aca="false">SUMIFS(Sales_Data!$AF$2:$AF$3520,Sales_Data!$F$2:$F$3520,$A243,Sales_Data!$C$2:$C$3520,"&gt;="&amp;Dashboard!$C$5,Sales_Data!$C$2:$C$3520,"&lt;="&amp;Dashboard!$C$6)</f>
        <v>0</v>
      </c>
      <c r="M243" s="31" t="n">
        <f aca="false">IFERROR(K243/L243,0)</f>
        <v>0</v>
      </c>
      <c r="N243" s="26" t="n">
        <f aca="false">SUMIFS(Sales_Data!$O$2:$O$3520,Sales_Data!$F$2:$F$3520,$A243,Sales_Data!$C$2:$C$3520,"&gt;="&amp;Dashboard!$C$12,Sales_Data!$C$2:$C$3520,"&lt;="&amp;Dashboard!$C$13,Sales_Data!$AE$2:$AE$3520,1)</f>
        <v>0</v>
      </c>
      <c r="O243" s="28" t="n">
        <f aca="false">K243-N243</f>
        <v>0</v>
      </c>
      <c r="P243" s="54" t="str">
        <f aca="false">IF(W243=0,"-",W243)</f>
        <v>-</v>
      </c>
      <c r="Q243" s="52" t="str">
        <f aca="false">IF(W243=0,"-",$B$2-W243)</f>
        <v>-</v>
      </c>
      <c r="R243" s="52" t="n">
        <f aca="false">IF(T243=1,COUNTIFS($T$5:$T$254,1,$K$5:$K$254,"&gt;"&amp;K243)+1,"-")</f>
        <v>139</v>
      </c>
      <c r="S243" s="52" t="n">
        <f aca="false">COUNTIFS($C$5:$C$254,C243,$K$5:$K$254,"&gt;"&amp;K243)+1</f>
        <v>1</v>
      </c>
      <c r="T243" s="52" t="n">
        <f aca="false">IF(AND(OR(Dashboard!$C$7="All",D243=Dashboard!$C$7),OR(Dashboard!$C$8="All",C243=Dashboard!$C$8)),1,0)</f>
        <v>1</v>
      </c>
      <c r="U243" s="74" t="n">
        <f aca="false">IF(T243=1,K243+ROW()/1000000,-1)</f>
        <v>0.000243</v>
      </c>
      <c r="V243" s="74" t="n">
        <f aca="false">IF(AND(T243=1,E243="Production"),K243+ROW()/1000000,1000000000)</f>
        <v>1000000000</v>
      </c>
      <c r="W243" s="52" t="n">
        <f aca="false">SUMPRODUCT(MAX((Sales_Data!$F$2:$F$3520=A243)*Sales_Data!$C$2:$C$3520))</f>
        <v>0</v>
      </c>
    </row>
    <row r="244" customFormat="false" ht="15" hidden="false" customHeight="false" outlineLevel="0" collapsed="false">
      <c r="A244" s="53" t="s">
        <v>6859</v>
      </c>
      <c r="B244" s="48" t="s">
        <v>6860</v>
      </c>
      <c r="C244" s="53" t="s">
        <v>60</v>
      </c>
      <c r="D244" s="53" t="s">
        <v>61</v>
      </c>
      <c r="E244" s="53" t="s">
        <v>3708</v>
      </c>
      <c r="F244" s="53" t="s">
        <v>175</v>
      </c>
      <c r="G244" s="53" t="s">
        <v>6837</v>
      </c>
      <c r="H244" s="26" t="n">
        <f aca="false">SUMIFS(Sales_Data!$AE$2:$AE$3520,Sales_Data!$F$2:$F$3520,$A244,Sales_Data!$C$2:$C$3520,"&gt;="&amp;Dashboard!$C$5,Sales_Data!$C$2:$C$3520,"&lt;="&amp;Dashboard!$C$6)</f>
        <v>0</v>
      </c>
      <c r="I244" s="26" t="n">
        <f aca="false">SUMIFS(Sales_Data!$M$2:$M$3520,Sales_Data!$F$2:$F$3520,$A244,Sales_Data!$C$2:$C$3520,"&gt;="&amp;Dashboard!$C$5,Sales_Data!$C$2:$C$3520,"&lt;="&amp;Dashboard!$C$6,Sales_Data!$AE$2:$AE$3520,1)</f>
        <v>0</v>
      </c>
      <c r="J244" s="26" t="n">
        <f aca="false">SUMIFS(Sales_Data!$N$2:$N$3520,Sales_Data!$F$2:$F$3520,$A244,Sales_Data!$C$2:$C$3520,"&gt;="&amp;Dashboard!$C$5,Sales_Data!$C$2:$C$3520,"&lt;="&amp;Dashboard!$C$6,Sales_Data!$AE$2:$AE$3520,1)</f>
        <v>0</v>
      </c>
      <c r="K244" s="27" t="n">
        <f aca="false">SUMIFS(Sales_Data!$O$2:$O$3520,Sales_Data!$F$2:$F$3520,$A244,Sales_Data!$C$2:$C$3520,"&gt;="&amp;Dashboard!$C$5,Sales_Data!$C$2:$C$3520,"&lt;="&amp;Dashboard!$C$6,Sales_Data!$AE$2:$AE$3520,1)</f>
        <v>0</v>
      </c>
      <c r="L244" s="26" t="n">
        <f aca="false">SUMIFS(Sales_Data!$AF$2:$AF$3520,Sales_Data!$F$2:$F$3520,$A244,Sales_Data!$C$2:$C$3520,"&gt;="&amp;Dashboard!$C$5,Sales_Data!$C$2:$C$3520,"&lt;="&amp;Dashboard!$C$6)</f>
        <v>0</v>
      </c>
      <c r="M244" s="31" t="n">
        <f aca="false">IFERROR(K244/L244,0)</f>
        <v>0</v>
      </c>
      <c r="N244" s="26" t="n">
        <f aca="false">SUMIFS(Sales_Data!$O$2:$O$3520,Sales_Data!$F$2:$F$3520,$A244,Sales_Data!$C$2:$C$3520,"&gt;="&amp;Dashboard!$C$12,Sales_Data!$C$2:$C$3520,"&lt;="&amp;Dashboard!$C$13,Sales_Data!$AE$2:$AE$3520,1)</f>
        <v>0</v>
      </c>
      <c r="O244" s="28" t="n">
        <f aca="false">K244-N244</f>
        <v>0</v>
      </c>
      <c r="P244" s="54" t="str">
        <f aca="false">IF(W244=0,"-",W244)</f>
        <v>-</v>
      </c>
      <c r="Q244" s="52" t="str">
        <f aca="false">IF(W244=0,"-",$B$2-W244)</f>
        <v>-</v>
      </c>
      <c r="R244" s="52" t="n">
        <f aca="false">IF(T244=1,COUNTIFS($T$5:$T$254,1,$K$5:$K$254,"&gt;"&amp;K244)+1,"-")</f>
        <v>139</v>
      </c>
      <c r="S244" s="52" t="n">
        <f aca="false">COUNTIFS($C$5:$C$254,C244,$K$5:$K$254,"&gt;"&amp;K244)+1</f>
        <v>1</v>
      </c>
      <c r="T244" s="52" t="n">
        <f aca="false">IF(AND(OR(Dashboard!$C$7="All",D244=Dashboard!$C$7),OR(Dashboard!$C$8="All",C244=Dashboard!$C$8)),1,0)</f>
        <v>1</v>
      </c>
      <c r="U244" s="74" t="n">
        <f aca="false">IF(T244=1,K244+ROW()/1000000,-1)</f>
        <v>0.000244</v>
      </c>
      <c r="V244" s="74" t="n">
        <f aca="false">IF(AND(T244=1,E244="Production"),K244+ROW()/1000000,1000000000)</f>
        <v>1000000000</v>
      </c>
      <c r="W244" s="52" t="n">
        <f aca="false">SUMPRODUCT(MAX((Sales_Data!$F$2:$F$3520=A244)*Sales_Data!$C$2:$C$3520))</f>
        <v>0</v>
      </c>
    </row>
    <row r="245" customFormat="false" ht="15" hidden="false" customHeight="false" outlineLevel="0" collapsed="false">
      <c r="A245" s="53" t="s">
        <v>6862</v>
      </c>
      <c r="B245" s="48" t="s">
        <v>6863</v>
      </c>
      <c r="C245" s="53" t="s">
        <v>60</v>
      </c>
      <c r="D245" s="53" t="s">
        <v>61</v>
      </c>
      <c r="E245" s="53" t="s">
        <v>3708</v>
      </c>
      <c r="F245" s="53" t="s">
        <v>175</v>
      </c>
      <c r="G245" s="53" t="s">
        <v>6837</v>
      </c>
      <c r="H245" s="26" t="n">
        <f aca="false">SUMIFS(Sales_Data!$AE$2:$AE$3520,Sales_Data!$F$2:$F$3520,$A245,Sales_Data!$C$2:$C$3520,"&gt;="&amp;Dashboard!$C$5,Sales_Data!$C$2:$C$3520,"&lt;="&amp;Dashboard!$C$6)</f>
        <v>0</v>
      </c>
      <c r="I245" s="26" t="n">
        <f aca="false">SUMIFS(Sales_Data!$M$2:$M$3520,Sales_Data!$F$2:$F$3520,$A245,Sales_Data!$C$2:$C$3520,"&gt;="&amp;Dashboard!$C$5,Sales_Data!$C$2:$C$3520,"&lt;="&amp;Dashboard!$C$6,Sales_Data!$AE$2:$AE$3520,1)</f>
        <v>0</v>
      </c>
      <c r="J245" s="26" t="n">
        <f aca="false">SUMIFS(Sales_Data!$N$2:$N$3520,Sales_Data!$F$2:$F$3520,$A245,Sales_Data!$C$2:$C$3520,"&gt;="&amp;Dashboard!$C$5,Sales_Data!$C$2:$C$3520,"&lt;="&amp;Dashboard!$C$6,Sales_Data!$AE$2:$AE$3520,1)</f>
        <v>0</v>
      </c>
      <c r="K245" s="27" t="n">
        <f aca="false">SUMIFS(Sales_Data!$O$2:$O$3520,Sales_Data!$F$2:$F$3520,$A245,Sales_Data!$C$2:$C$3520,"&gt;="&amp;Dashboard!$C$5,Sales_Data!$C$2:$C$3520,"&lt;="&amp;Dashboard!$C$6,Sales_Data!$AE$2:$AE$3520,1)</f>
        <v>0</v>
      </c>
      <c r="L245" s="26" t="n">
        <f aca="false">SUMIFS(Sales_Data!$AF$2:$AF$3520,Sales_Data!$F$2:$F$3520,$A245,Sales_Data!$C$2:$C$3520,"&gt;="&amp;Dashboard!$C$5,Sales_Data!$C$2:$C$3520,"&lt;="&amp;Dashboard!$C$6)</f>
        <v>0</v>
      </c>
      <c r="M245" s="31" t="n">
        <f aca="false">IFERROR(K245/L245,0)</f>
        <v>0</v>
      </c>
      <c r="N245" s="26" t="n">
        <f aca="false">SUMIFS(Sales_Data!$O$2:$O$3520,Sales_Data!$F$2:$F$3520,$A245,Sales_Data!$C$2:$C$3520,"&gt;="&amp;Dashboard!$C$12,Sales_Data!$C$2:$C$3520,"&lt;="&amp;Dashboard!$C$13,Sales_Data!$AE$2:$AE$3520,1)</f>
        <v>0</v>
      </c>
      <c r="O245" s="28" t="n">
        <f aca="false">K245-N245</f>
        <v>0</v>
      </c>
      <c r="P245" s="54" t="str">
        <f aca="false">IF(W245=0,"-",W245)</f>
        <v>-</v>
      </c>
      <c r="Q245" s="52" t="str">
        <f aca="false">IF(W245=0,"-",$B$2-W245)</f>
        <v>-</v>
      </c>
      <c r="R245" s="52" t="n">
        <f aca="false">IF(T245=1,COUNTIFS($T$5:$T$254,1,$K$5:$K$254,"&gt;"&amp;K245)+1,"-")</f>
        <v>139</v>
      </c>
      <c r="S245" s="52" t="n">
        <f aca="false">COUNTIFS($C$5:$C$254,C245,$K$5:$K$254,"&gt;"&amp;K245)+1</f>
        <v>1</v>
      </c>
      <c r="T245" s="52" t="n">
        <f aca="false">IF(AND(OR(Dashboard!$C$7="All",D245=Dashboard!$C$7),OR(Dashboard!$C$8="All",C245=Dashboard!$C$8)),1,0)</f>
        <v>1</v>
      </c>
      <c r="U245" s="74" t="n">
        <f aca="false">IF(T245=1,K245+ROW()/1000000,-1)</f>
        <v>0.000245</v>
      </c>
      <c r="V245" s="74" t="n">
        <f aca="false">IF(AND(T245=1,E245="Production"),K245+ROW()/1000000,1000000000)</f>
        <v>1000000000</v>
      </c>
      <c r="W245" s="52" t="n">
        <f aca="false">SUMPRODUCT(MAX((Sales_Data!$F$2:$F$3520=A245)*Sales_Data!$C$2:$C$3520))</f>
        <v>0</v>
      </c>
    </row>
    <row r="246" customFormat="false" ht="15" hidden="false" customHeight="false" outlineLevel="0" collapsed="false">
      <c r="A246" s="53" t="s">
        <v>6865</v>
      </c>
      <c r="B246" s="48" t="s">
        <v>6866</v>
      </c>
      <c r="C246" s="53" t="s">
        <v>60</v>
      </c>
      <c r="D246" s="53" t="s">
        <v>61</v>
      </c>
      <c r="E246" s="53" t="s">
        <v>3708</v>
      </c>
      <c r="F246" s="53" t="s">
        <v>175</v>
      </c>
      <c r="G246" s="53" t="s">
        <v>6837</v>
      </c>
      <c r="H246" s="26" t="n">
        <f aca="false">SUMIFS(Sales_Data!$AE$2:$AE$3520,Sales_Data!$F$2:$F$3520,$A246,Sales_Data!$C$2:$C$3520,"&gt;="&amp;Dashboard!$C$5,Sales_Data!$C$2:$C$3520,"&lt;="&amp;Dashboard!$C$6)</f>
        <v>0</v>
      </c>
      <c r="I246" s="26" t="n">
        <f aca="false">SUMIFS(Sales_Data!$M$2:$M$3520,Sales_Data!$F$2:$F$3520,$A246,Sales_Data!$C$2:$C$3520,"&gt;="&amp;Dashboard!$C$5,Sales_Data!$C$2:$C$3520,"&lt;="&amp;Dashboard!$C$6,Sales_Data!$AE$2:$AE$3520,1)</f>
        <v>0</v>
      </c>
      <c r="J246" s="26" t="n">
        <f aca="false">SUMIFS(Sales_Data!$N$2:$N$3520,Sales_Data!$F$2:$F$3520,$A246,Sales_Data!$C$2:$C$3520,"&gt;="&amp;Dashboard!$C$5,Sales_Data!$C$2:$C$3520,"&lt;="&amp;Dashboard!$C$6,Sales_Data!$AE$2:$AE$3520,1)</f>
        <v>0</v>
      </c>
      <c r="K246" s="27" t="n">
        <f aca="false">SUMIFS(Sales_Data!$O$2:$O$3520,Sales_Data!$F$2:$F$3520,$A246,Sales_Data!$C$2:$C$3520,"&gt;="&amp;Dashboard!$C$5,Sales_Data!$C$2:$C$3520,"&lt;="&amp;Dashboard!$C$6,Sales_Data!$AE$2:$AE$3520,1)</f>
        <v>0</v>
      </c>
      <c r="L246" s="26" t="n">
        <f aca="false">SUMIFS(Sales_Data!$AF$2:$AF$3520,Sales_Data!$F$2:$F$3520,$A246,Sales_Data!$C$2:$C$3520,"&gt;="&amp;Dashboard!$C$5,Sales_Data!$C$2:$C$3520,"&lt;="&amp;Dashboard!$C$6)</f>
        <v>0</v>
      </c>
      <c r="M246" s="31" t="n">
        <f aca="false">IFERROR(K246/L246,0)</f>
        <v>0</v>
      </c>
      <c r="N246" s="26" t="n">
        <f aca="false">SUMIFS(Sales_Data!$O$2:$O$3520,Sales_Data!$F$2:$F$3520,$A246,Sales_Data!$C$2:$C$3520,"&gt;="&amp;Dashboard!$C$12,Sales_Data!$C$2:$C$3520,"&lt;="&amp;Dashboard!$C$13,Sales_Data!$AE$2:$AE$3520,1)</f>
        <v>0</v>
      </c>
      <c r="O246" s="28" t="n">
        <f aca="false">K246-N246</f>
        <v>0</v>
      </c>
      <c r="P246" s="54" t="str">
        <f aca="false">IF(W246=0,"-",W246)</f>
        <v>-</v>
      </c>
      <c r="Q246" s="52" t="str">
        <f aca="false">IF(W246=0,"-",$B$2-W246)</f>
        <v>-</v>
      </c>
      <c r="R246" s="52" t="n">
        <f aca="false">IF(T246=1,COUNTIFS($T$5:$T$254,1,$K$5:$K$254,"&gt;"&amp;K246)+1,"-")</f>
        <v>139</v>
      </c>
      <c r="S246" s="52" t="n">
        <f aca="false">COUNTIFS($C$5:$C$254,C246,$K$5:$K$254,"&gt;"&amp;K246)+1</f>
        <v>1</v>
      </c>
      <c r="T246" s="52" t="n">
        <f aca="false">IF(AND(OR(Dashboard!$C$7="All",D246=Dashboard!$C$7),OR(Dashboard!$C$8="All",C246=Dashboard!$C$8)),1,0)</f>
        <v>1</v>
      </c>
      <c r="U246" s="74" t="n">
        <f aca="false">IF(T246=1,K246+ROW()/1000000,-1)</f>
        <v>0.000246</v>
      </c>
      <c r="V246" s="74" t="n">
        <f aca="false">IF(AND(T246=1,E246="Production"),K246+ROW()/1000000,1000000000)</f>
        <v>1000000000</v>
      </c>
      <c r="W246" s="52" t="n">
        <f aca="false">SUMPRODUCT(MAX((Sales_Data!$F$2:$F$3520=A246)*Sales_Data!$C$2:$C$3520))</f>
        <v>0</v>
      </c>
    </row>
    <row r="247" customFormat="false" ht="15" hidden="false" customHeight="false" outlineLevel="0" collapsed="false">
      <c r="A247" s="53" t="s">
        <v>6868</v>
      </c>
      <c r="B247" s="48" t="s">
        <v>6869</v>
      </c>
      <c r="C247" s="53" t="s">
        <v>60</v>
      </c>
      <c r="D247" s="53" t="s">
        <v>61</v>
      </c>
      <c r="E247" s="53" t="s">
        <v>3708</v>
      </c>
      <c r="F247" s="53" t="s">
        <v>175</v>
      </c>
      <c r="G247" s="53" t="s">
        <v>6837</v>
      </c>
      <c r="H247" s="26" t="n">
        <f aca="false">SUMIFS(Sales_Data!$AE$2:$AE$3520,Sales_Data!$F$2:$F$3520,$A247,Sales_Data!$C$2:$C$3520,"&gt;="&amp;Dashboard!$C$5,Sales_Data!$C$2:$C$3520,"&lt;="&amp;Dashboard!$C$6)</f>
        <v>0</v>
      </c>
      <c r="I247" s="26" t="n">
        <f aca="false">SUMIFS(Sales_Data!$M$2:$M$3520,Sales_Data!$F$2:$F$3520,$A247,Sales_Data!$C$2:$C$3520,"&gt;="&amp;Dashboard!$C$5,Sales_Data!$C$2:$C$3520,"&lt;="&amp;Dashboard!$C$6,Sales_Data!$AE$2:$AE$3520,1)</f>
        <v>0</v>
      </c>
      <c r="J247" s="26" t="n">
        <f aca="false">SUMIFS(Sales_Data!$N$2:$N$3520,Sales_Data!$F$2:$F$3520,$A247,Sales_Data!$C$2:$C$3520,"&gt;="&amp;Dashboard!$C$5,Sales_Data!$C$2:$C$3520,"&lt;="&amp;Dashboard!$C$6,Sales_Data!$AE$2:$AE$3520,1)</f>
        <v>0</v>
      </c>
      <c r="K247" s="27" t="n">
        <f aca="false">SUMIFS(Sales_Data!$O$2:$O$3520,Sales_Data!$F$2:$F$3520,$A247,Sales_Data!$C$2:$C$3520,"&gt;="&amp;Dashboard!$C$5,Sales_Data!$C$2:$C$3520,"&lt;="&amp;Dashboard!$C$6,Sales_Data!$AE$2:$AE$3520,1)</f>
        <v>0</v>
      </c>
      <c r="L247" s="26" t="n">
        <f aca="false">SUMIFS(Sales_Data!$AF$2:$AF$3520,Sales_Data!$F$2:$F$3520,$A247,Sales_Data!$C$2:$C$3520,"&gt;="&amp;Dashboard!$C$5,Sales_Data!$C$2:$C$3520,"&lt;="&amp;Dashboard!$C$6)</f>
        <v>0</v>
      </c>
      <c r="M247" s="31" t="n">
        <f aca="false">IFERROR(K247/L247,0)</f>
        <v>0</v>
      </c>
      <c r="N247" s="26" t="n">
        <f aca="false">SUMIFS(Sales_Data!$O$2:$O$3520,Sales_Data!$F$2:$F$3520,$A247,Sales_Data!$C$2:$C$3520,"&gt;="&amp;Dashboard!$C$12,Sales_Data!$C$2:$C$3520,"&lt;="&amp;Dashboard!$C$13,Sales_Data!$AE$2:$AE$3520,1)</f>
        <v>0</v>
      </c>
      <c r="O247" s="28" t="n">
        <f aca="false">K247-N247</f>
        <v>0</v>
      </c>
      <c r="P247" s="54" t="str">
        <f aca="false">IF(W247=0,"-",W247)</f>
        <v>-</v>
      </c>
      <c r="Q247" s="52" t="str">
        <f aca="false">IF(W247=0,"-",$B$2-W247)</f>
        <v>-</v>
      </c>
      <c r="R247" s="52" t="n">
        <f aca="false">IF(T247=1,COUNTIFS($T$5:$T$254,1,$K$5:$K$254,"&gt;"&amp;K247)+1,"-")</f>
        <v>139</v>
      </c>
      <c r="S247" s="52" t="n">
        <f aca="false">COUNTIFS($C$5:$C$254,C247,$K$5:$K$254,"&gt;"&amp;K247)+1</f>
        <v>1</v>
      </c>
      <c r="T247" s="52" t="n">
        <f aca="false">IF(AND(OR(Dashboard!$C$7="All",D247=Dashboard!$C$7),OR(Dashboard!$C$8="All",C247=Dashboard!$C$8)),1,0)</f>
        <v>1</v>
      </c>
      <c r="U247" s="74" t="n">
        <f aca="false">IF(T247=1,K247+ROW()/1000000,-1)</f>
        <v>0.000247</v>
      </c>
      <c r="V247" s="74" t="n">
        <f aca="false">IF(AND(T247=1,E247="Production"),K247+ROW()/1000000,1000000000)</f>
        <v>1000000000</v>
      </c>
      <c r="W247" s="52" t="n">
        <f aca="false">SUMPRODUCT(MAX((Sales_Data!$F$2:$F$3520=A247)*Sales_Data!$C$2:$C$3520))</f>
        <v>0</v>
      </c>
    </row>
    <row r="248" customFormat="false" ht="15" hidden="false" customHeight="false" outlineLevel="0" collapsed="false">
      <c r="A248" s="53" t="s">
        <v>6871</v>
      </c>
      <c r="B248" s="48" t="s">
        <v>6872</v>
      </c>
      <c r="C248" s="53" t="s">
        <v>60</v>
      </c>
      <c r="D248" s="53" t="s">
        <v>61</v>
      </c>
      <c r="E248" s="53" t="s">
        <v>3708</v>
      </c>
      <c r="F248" s="53" t="s">
        <v>175</v>
      </c>
      <c r="G248" s="53" t="s">
        <v>6837</v>
      </c>
      <c r="H248" s="26" t="n">
        <f aca="false">SUMIFS(Sales_Data!$AE$2:$AE$3520,Sales_Data!$F$2:$F$3520,$A248,Sales_Data!$C$2:$C$3520,"&gt;="&amp;Dashboard!$C$5,Sales_Data!$C$2:$C$3520,"&lt;="&amp;Dashboard!$C$6)</f>
        <v>0</v>
      </c>
      <c r="I248" s="26" t="n">
        <f aca="false">SUMIFS(Sales_Data!$M$2:$M$3520,Sales_Data!$F$2:$F$3520,$A248,Sales_Data!$C$2:$C$3520,"&gt;="&amp;Dashboard!$C$5,Sales_Data!$C$2:$C$3520,"&lt;="&amp;Dashboard!$C$6,Sales_Data!$AE$2:$AE$3520,1)</f>
        <v>0</v>
      </c>
      <c r="J248" s="26" t="n">
        <f aca="false">SUMIFS(Sales_Data!$N$2:$N$3520,Sales_Data!$F$2:$F$3520,$A248,Sales_Data!$C$2:$C$3520,"&gt;="&amp;Dashboard!$C$5,Sales_Data!$C$2:$C$3520,"&lt;="&amp;Dashboard!$C$6,Sales_Data!$AE$2:$AE$3520,1)</f>
        <v>0</v>
      </c>
      <c r="K248" s="27" t="n">
        <f aca="false">SUMIFS(Sales_Data!$O$2:$O$3520,Sales_Data!$F$2:$F$3520,$A248,Sales_Data!$C$2:$C$3520,"&gt;="&amp;Dashboard!$C$5,Sales_Data!$C$2:$C$3520,"&lt;="&amp;Dashboard!$C$6,Sales_Data!$AE$2:$AE$3520,1)</f>
        <v>0</v>
      </c>
      <c r="L248" s="26" t="n">
        <f aca="false">SUMIFS(Sales_Data!$AF$2:$AF$3520,Sales_Data!$F$2:$F$3520,$A248,Sales_Data!$C$2:$C$3520,"&gt;="&amp;Dashboard!$C$5,Sales_Data!$C$2:$C$3520,"&lt;="&amp;Dashboard!$C$6)</f>
        <v>0</v>
      </c>
      <c r="M248" s="31" t="n">
        <f aca="false">IFERROR(K248/L248,0)</f>
        <v>0</v>
      </c>
      <c r="N248" s="26" t="n">
        <f aca="false">SUMIFS(Sales_Data!$O$2:$O$3520,Sales_Data!$F$2:$F$3520,$A248,Sales_Data!$C$2:$C$3520,"&gt;="&amp;Dashboard!$C$12,Sales_Data!$C$2:$C$3520,"&lt;="&amp;Dashboard!$C$13,Sales_Data!$AE$2:$AE$3520,1)</f>
        <v>0</v>
      </c>
      <c r="O248" s="28" t="n">
        <f aca="false">K248-N248</f>
        <v>0</v>
      </c>
      <c r="P248" s="54" t="str">
        <f aca="false">IF(W248=0,"-",W248)</f>
        <v>-</v>
      </c>
      <c r="Q248" s="52" t="str">
        <f aca="false">IF(W248=0,"-",$B$2-W248)</f>
        <v>-</v>
      </c>
      <c r="R248" s="52" t="n">
        <f aca="false">IF(T248=1,COUNTIFS($T$5:$T$254,1,$K$5:$K$254,"&gt;"&amp;K248)+1,"-")</f>
        <v>139</v>
      </c>
      <c r="S248" s="52" t="n">
        <f aca="false">COUNTIFS($C$5:$C$254,C248,$K$5:$K$254,"&gt;"&amp;K248)+1</f>
        <v>1</v>
      </c>
      <c r="T248" s="52" t="n">
        <f aca="false">IF(AND(OR(Dashboard!$C$7="All",D248=Dashboard!$C$7),OR(Dashboard!$C$8="All",C248=Dashboard!$C$8)),1,0)</f>
        <v>1</v>
      </c>
      <c r="U248" s="74" t="n">
        <f aca="false">IF(T248=1,K248+ROW()/1000000,-1)</f>
        <v>0.000248</v>
      </c>
      <c r="V248" s="74" t="n">
        <f aca="false">IF(AND(T248=1,E248="Production"),K248+ROW()/1000000,1000000000)</f>
        <v>1000000000</v>
      </c>
      <c r="W248" s="52" t="n">
        <f aca="false">SUMPRODUCT(MAX((Sales_Data!$F$2:$F$3520=A248)*Sales_Data!$C$2:$C$3520))</f>
        <v>0</v>
      </c>
    </row>
    <row r="249" customFormat="false" ht="15" hidden="false" customHeight="false" outlineLevel="0" collapsed="false">
      <c r="A249" s="53" t="s">
        <v>6874</v>
      </c>
      <c r="B249" s="48" t="s">
        <v>6875</v>
      </c>
      <c r="C249" s="53" t="s">
        <v>60</v>
      </c>
      <c r="D249" s="53" t="s">
        <v>61</v>
      </c>
      <c r="E249" s="53" t="s">
        <v>3708</v>
      </c>
      <c r="F249" s="53" t="s">
        <v>175</v>
      </c>
      <c r="G249" s="53" t="s">
        <v>6837</v>
      </c>
      <c r="H249" s="26" t="n">
        <f aca="false">SUMIFS(Sales_Data!$AE$2:$AE$3520,Sales_Data!$F$2:$F$3520,$A249,Sales_Data!$C$2:$C$3520,"&gt;="&amp;Dashboard!$C$5,Sales_Data!$C$2:$C$3520,"&lt;="&amp;Dashboard!$C$6)</f>
        <v>0</v>
      </c>
      <c r="I249" s="26" t="n">
        <f aca="false">SUMIFS(Sales_Data!$M$2:$M$3520,Sales_Data!$F$2:$F$3520,$A249,Sales_Data!$C$2:$C$3520,"&gt;="&amp;Dashboard!$C$5,Sales_Data!$C$2:$C$3520,"&lt;="&amp;Dashboard!$C$6,Sales_Data!$AE$2:$AE$3520,1)</f>
        <v>0</v>
      </c>
      <c r="J249" s="26" t="n">
        <f aca="false">SUMIFS(Sales_Data!$N$2:$N$3520,Sales_Data!$F$2:$F$3520,$A249,Sales_Data!$C$2:$C$3520,"&gt;="&amp;Dashboard!$C$5,Sales_Data!$C$2:$C$3520,"&lt;="&amp;Dashboard!$C$6,Sales_Data!$AE$2:$AE$3520,1)</f>
        <v>0</v>
      </c>
      <c r="K249" s="27" t="n">
        <f aca="false">SUMIFS(Sales_Data!$O$2:$O$3520,Sales_Data!$F$2:$F$3520,$A249,Sales_Data!$C$2:$C$3520,"&gt;="&amp;Dashboard!$C$5,Sales_Data!$C$2:$C$3520,"&lt;="&amp;Dashboard!$C$6,Sales_Data!$AE$2:$AE$3520,1)</f>
        <v>0</v>
      </c>
      <c r="L249" s="26" t="n">
        <f aca="false">SUMIFS(Sales_Data!$AF$2:$AF$3520,Sales_Data!$F$2:$F$3520,$A249,Sales_Data!$C$2:$C$3520,"&gt;="&amp;Dashboard!$C$5,Sales_Data!$C$2:$C$3520,"&lt;="&amp;Dashboard!$C$6)</f>
        <v>0</v>
      </c>
      <c r="M249" s="31" t="n">
        <f aca="false">IFERROR(K249/L249,0)</f>
        <v>0</v>
      </c>
      <c r="N249" s="26" t="n">
        <f aca="false">SUMIFS(Sales_Data!$O$2:$O$3520,Sales_Data!$F$2:$F$3520,$A249,Sales_Data!$C$2:$C$3520,"&gt;="&amp;Dashboard!$C$12,Sales_Data!$C$2:$C$3520,"&lt;="&amp;Dashboard!$C$13,Sales_Data!$AE$2:$AE$3520,1)</f>
        <v>0</v>
      </c>
      <c r="O249" s="28" t="n">
        <f aca="false">K249-N249</f>
        <v>0</v>
      </c>
      <c r="P249" s="54" t="str">
        <f aca="false">IF(W249=0,"-",W249)</f>
        <v>-</v>
      </c>
      <c r="Q249" s="52" t="str">
        <f aca="false">IF(W249=0,"-",$B$2-W249)</f>
        <v>-</v>
      </c>
      <c r="R249" s="52" t="n">
        <f aca="false">IF(T249=1,COUNTIFS($T$5:$T$254,1,$K$5:$K$254,"&gt;"&amp;K249)+1,"-")</f>
        <v>139</v>
      </c>
      <c r="S249" s="52" t="n">
        <f aca="false">COUNTIFS($C$5:$C$254,C249,$K$5:$K$254,"&gt;"&amp;K249)+1</f>
        <v>1</v>
      </c>
      <c r="T249" s="52" t="n">
        <f aca="false">IF(AND(OR(Dashboard!$C$7="All",D249=Dashboard!$C$7),OR(Dashboard!$C$8="All",C249=Dashboard!$C$8)),1,0)</f>
        <v>1</v>
      </c>
      <c r="U249" s="74" t="n">
        <f aca="false">IF(T249=1,K249+ROW()/1000000,-1)</f>
        <v>0.000249</v>
      </c>
      <c r="V249" s="74" t="n">
        <f aca="false">IF(AND(T249=1,E249="Production"),K249+ROW()/1000000,1000000000)</f>
        <v>1000000000</v>
      </c>
      <c r="W249" s="52" t="n">
        <f aca="false">SUMPRODUCT(MAX((Sales_Data!$F$2:$F$3520=A249)*Sales_Data!$C$2:$C$3520))</f>
        <v>0</v>
      </c>
    </row>
    <row r="250" customFormat="false" ht="15" hidden="false" customHeight="false" outlineLevel="0" collapsed="false">
      <c r="A250" s="53" t="s">
        <v>6877</v>
      </c>
      <c r="B250" s="48" t="s">
        <v>6878</v>
      </c>
      <c r="C250" s="53" t="s">
        <v>60</v>
      </c>
      <c r="D250" s="53" t="s">
        <v>61</v>
      </c>
      <c r="E250" s="53" t="s">
        <v>3708</v>
      </c>
      <c r="F250" s="53" t="s">
        <v>175</v>
      </c>
      <c r="G250" s="53" t="s">
        <v>6837</v>
      </c>
      <c r="H250" s="26" t="n">
        <f aca="false">SUMIFS(Sales_Data!$AE$2:$AE$3520,Sales_Data!$F$2:$F$3520,$A250,Sales_Data!$C$2:$C$3520,"&gt;="&amp;Dashboard!$C$5,Sales_Data!$C$2:$C$3520,"&lt;="&amp;Dashboard!$C$6)</f>
        <v>0</v>
      </c>
      <c r="I250" s="26" t="n">
        <f aca="false">SUMIFS(Sales_Data!$M$2:$M$3520,Sales_Data!$F$2:$F$3520,$A250,Sales_Data!$C$2:$C$3520,"&gt;="&amp;Dashboard!$C$5,Sales_Data!$C$2:$C$3520,"&lt;="&amp;Dashboard!$C$6,Sales_Data!$AE$2:$AE$3520,1)</f>
        <v>0</v>
      </c>
      <c r="J250" s="26" t="n">
        <f aca="false">SUMIFS(Sales_Data!$N$2:$N$3520,Sales_Data!$F$2:$F$3520,$A250,Sales_Data!$C$2:$C$3520,"&gt;="&amp;Dashboard!$C$5,Sales_Data!$C$2:$C$3520,"&lt;="&amp;Dashboard!$C$6,Sales_Data!$AE$2:$AE$3520,1)</f>
        <v>0</v>
      </c>
      <c r="K250" s="27" t="n">
        <f aca="false">SUMIFS(Sales_Data!$O$2:$O$3520,Sales_Data!$F$2:$F$3520,$A250,Sales_Data!$C$2:$C$3520,"&gt;="&amp;Dashboard!$C$5,Sales_Data!$C$2:$C$3520,"&lt;="&amp;Dashboard!$C$6,Sales_Data!$AE$2:$AE$3520,1)</f>
        <v>0</v>
      </c>
      <c r="L250" s="26" t="n">
        <f aca="false">SUMIFS(Sales_Data!$AF$2:$AF$3520,Sales_Data!$F$2:$F$3520,$A250,Sales_Data!$C$2:$C$3520,"&gt;="&amp;Dashboard!$C$5,Sales_Data!$C$2:$C$3520,"&lt;="&amp;Dashboard!$C$6)</f>
        <v>0</v>
      </c>
      <c r="M250" s="31" t="n">
        <f aca="false">IFERROR(K250/L250,0)</f>
        <v>0</v>
      </c>
      <c r="N250" s="26" t="n">
        <f aca="false">SUMIFS(Sales_Data!$O$2:$O$3520,Sales_Data!$F$2:$F$3520,$A250,Sales_Data!$C$2:$C$3520,"&gt;="&amp;Dashboard!$C$12,Sales_Data!$C$2:$C$3520,"&lt;="&amp;Dashboard!$C$13,Sales_Data!$AE$2:$AE$3520,1)</f>
        <v>0</v>
      </c>
      <c r="O250" s="28" t="n">
        <f aca="false">K250-N250</f>
        <v>0</v>
      </c>
      <c r="P250" s="54" t="str">
        <f aca="false">IF(W250=0,"-",W250)</f>
        <v>-</v>
      </c>
      <c r="Q250" s="52" t="str">
        <f aca="false">IF(W250=0,"-",$B$2-W250)</f>
        <v>-</v>
      </c>
      <c r="R250" s="52" t="n">
        <f aca="false">IF(T250=1,COUNTIFS($T$5:$T$254,1,$K$5:$K$254,"&gt;"&amp;K250)+1,"-")</f>
        <v>139</v>
      </c>
      <c r="S250" s="52" t="n">
        <f aca="false">COUNTIFS($C$5:$C$254,C250,$K$5:$K$254,"&gt;"&amp;K250)+1</f>
        <v>1</v>
      </c>
      <c r="T250" s="52" t="n">
        <f aca="false">IF(AND(OR(Dashboard!$C$7="All",D250=Dashboard!$C$7),OR(Dashboard!$C$8="All",C250=Dashboard!$C$8)),1,0)</f>
        <v>1</v>
      </c>
      <c r="U250" s="74" t="n">
        <f aca="false">IF(T250=1,K250+ROW()/1000000,-1)</f>
        <v>0.00025</v>
      </c>
      <c r="V250" s="74" t="n">
        <f aca="false">IF(AND(T250=1,E250="Production"),K250+ROW()/1000000,1000000000)</f>
        <v>1000000000</v>
      </c>
      <c r="W250" s="52" t="n">
        <f aca="false">SUMPRODUCT(MAX((Sales_Data!$F$2:$F$3520=A250)*Sales_Data!$C$2:$C$3520))</f>
        <v>0</v>
      </c>
    </row>
    <row r="251" customFormat="false" ht="15" hidden="false" customHeight="false" outlineLevel="0" collapsed="false">
      <c r="A251" s="53" t="s">
        <v>6880</v>
      </c>
      <c r="B251" s="48" t="s">
        <v>6881</v>
      </c>
      <c r="C251" s="53" t="s">
        <v>60</v>
      </c>
      <c r="D251" s="53" t="s">
        <v>61</v>
      </c>
      <c r="E251" s="53" t="s">
        <v>3708</v>
      </c>
      <c r="F251" s="53" t="s">
        <v>175</v>
      </c>
      <c r="G251" s="53" t="s">
        <v>6837</v>
      </c>
      <c r="H251" s="26" t="n">
        <f aca="false">SUMIFS(Sales_Data!$AE$2:$AE$3520,Sales_Data!$F$2:$F$3520,$A251,Sales_Data!$C$2:$C$3520,"&gt;="&amp;Dashboard!$C$5,Sales_Data!$C$2:$C$3520,"&lt;="&amp;Dashboard!$C$6)</f>
        <v>0</v>
      </c>
      <c r="I251" s="26" t="n">
        <f aca="false">SUMIFS(Sales_Data!$M$2:$M$3520,Sales_Data!$F$2:$F$3520,$A251,Sales_Data!$C$2:$C$3520,"&gt;="&amp;Dashboard!$C$5,Sales_Data!$C$2:$C$3520,"&lt;="&amp;Dashboard!$C$6,Sales_Data!$AE$2:$AE$3520,1)</f>
        <v>0</v>
      </c>
      <c r="J251" s="26" t="n">
        <f aca="false">SUMIFS(Sales_Data!$N$2:$N$3520,Sales_Data!$F$2:$F$3520,$A251,Sales_Data!$C$2:$C$3520,"&gt;="&amp;Dashboard!$C$5,Sales_Data!$C$2:$C$3520,"&lt;="&amp;Dashboard!$C$6,Sales_Data!$AE$2:$AE$3520,1)</f>
        <v>0</v>
      </c>
      <c r="K251" s="27" t="n">
        <f aca="false">SUMIFS(Sales_Data!$O$2:$O$3520,Sales_Data!$F$2:$F$3520,$A251,Sales_Data!$C$2:$C$3520,"&gt;="&amp;Dashboard!$C$5,Sales_Data!$C$2:$C$3520,"&lt;="&amp;Dashboard!$C$6,Sales_Data!$AE$2:$AE$3520,1)</f>
        <v>0</v>
      </c>
      <c r="L251" s="26" t="n">
        <f aca="false">SUMIFS(Sales_Data!$AF$2:$AF$3520,Sales_Data!$F$2:$F$3520,$A251,Sales_Data!$C$2:$C$3520,"&gt;="&amp;Dashboard!$C$5,Sales_Data!$C$2:$C$3520,"&lt;="&amp;Dashboard!$C$6)</f>
        <v>0</v>
      </c>
      <c r="M251" s="31" t="n">
        <f aca="false">IFERROR(K251/L251,0)</f>
        <v>0</v>
      </c>
      <c r="N251" s="26" t="n">
        <f aca="false">SUMIFS(Sales_Data!$O$2:$O$3520,Sales_Data!$F$2:$F$3520,$A251,Sales_Data!$C$2:$C$3520,"&gt;="&amp;Dashboard!$C$12,Sales_Data!$C$2:$C$3520,"&lt;="&amp;Dashboard!$C$13,Sales_Data!$AE$2:$AE$3520,1)</f>
        <v>0</v>
      </c>
      <c r="O251" s="28" t="n">
        <f aca="false">K251-N251</f>
        <v>0</v>
      </c>
      <c r="P251" s="54" t="str">
        <f aca="false">IF(W251=0,"-",W251)</f>
        <v>-</v>
      </c>
      <c r="Q251" s="52" t="str">
        <f aca="false">IF(W251=0,"-",$B$2-W251)</f>
        <v>-</v>
      </c>
      <c r="R251" s="52" t="n">
        <f aca="false">IF(T251=1,COUNTIFS($T$5:$T$254,1,$K$5:$K$254,"&gt;"&amp;K251)+1,"-")</f>
        <v>139</v>
      </c>
      <c r="S251" s="52" t="n">
        <f aca="false">COUNTIFS($C$5:$C$254,C251,$K$5:$K$254,"&gt;"&amp;K251)+1</f>
        <v>1</v>
      </c>
      <c r="T251" s="52" t="n">
        <f aca="false">IF(AND(OR(Dashboard!$C$7="All",D251=Dashboard!$C$7),OR(Dashboard!$C$8="All",C251=Dashboard!$C$8)),1,0)</f>
        <v>1</v>
      </c>
      <c r="U251" s="74" t="n">
        <f aca="false">IF(T251=1,K251+ROW()/1000000,-1)</f>
        <v>0.000251</v>
      </c>
      <c r="V251" s="74" t="n">
        <f aca="false">IF(AND(T251=1,E251="Production"),K251+ROW()/1000000,1000000000)</f>
        <v>1000000000</v>
      </c>
      <c r="W251" s="52" t="n">
        <f aca="false">SUMPRODUCT(MAX((Sales_Data!$F$2:$F$3520=A251)*Sales_Data!$C$2:$C$3520))</f>
        <v>0</v>
      </c>
    </row>
    <row r="252" customFormat="false" ht="15" hidden="false" customHeight="false" outlineLevel="0" collapsed="false">
      <c r="A252" s="53" t="s">
        <v>6883</v>
      </c>
      <c r="B252" s="48" t="s">
        <v>6884</v>
      </c>
      <c r="C252" s="53" t="s">
        <v>60</v>
      </c>
      <c r="D252" s="53" t="s">
        <v>61</v>
      </c>
      <c r="E252" s="53" t="s">
        <v>3708</v>
      </c>
      <c r="F252" s="53" t="s">
        <v>209</v>
      </c>
      <c r="G252" s="53" t="s">
        <v>6837</v>
      </c>
      <c r="H252" s="26" t="n">
        <f aca="false">SUMIFS(Sales_Data!$AE$2:$AE$3520,Sales_Data!$F$2:$F$3520,$A252,Sales_Data!$C$2:$C$3520,"&gt;="&amp;Dashboard!$C$5,Sales_Data!$C$2:$C$3520,"&lt;="&amp;Dashboard!$C$6)</f>
        <v>0</v>
      </c>
      <c r="I252" s="26" t="n">
        <f aca="false">SUMIFS(Sales_Data!$M$2:$M$3520,Sales_Data!$F$2:$F$3520,$A252,Sales_Data!$C$2:$C$3520,"&gt;="&amp;Dashboard!$C$5,Sales_Data!$C$2:$C$3520,"&lt;="&amp;Dashboard!$C$6,Sales_Data!$AE$2:$AE$3520,1)</f>
        <v>0</v>
      </c>
      <c r="J252" s="26" t="n">
        <f aca="false">SUMIFS(Sales_Data!$N$2:$N$3520,Sales_Data!$F$2:$F$3520,$A252,Sales_Data!$C$2:$C$3520,"&gt;="&amp;Dashboard!$C$5,Sales_Data!$C$2:$C$3520,"&lt;="&amp;Dashboard!$C$6,Sales_Data!$AE$2:$AE$3520,1)</f>
        <v>0</v>
      </c>
      <c r="K252" s="27" t="n">
        <f aca="false">SUMIFS(Sales_Data!$O$2:$O$3520,Sales_Data!$F$2:$F$3520,$A252,Sales_Data!$C$2:$C$3520,"&gt;="&amp;Dashboard!$C$5,Sales_Data!$C$2:$C$3520,"&lt;="&amp;Dashboard!$C$6,Sales_Data!$AE$2:$AE$3520,1)</f>
        <v>0</v>
      </c>
      <c r="L252" s="26" t="n">
        <f aca="false">SUMIFS(Sales_Data!$AF$2:$AF$3520,Sales_Data!$F$2:$F$3520,$A252,Sales_Data!$C$2:$C$3520,"&gt;="&amp;Dashboard!$C$5,Sales_Data!$C$2:$C$3520,"&lt;="&amp;Dashboard!$C$6)</f>
        <v>0</v>
      </c>
      <c r="M252" s="31" t="n">
        <f aca="false">IFERROR(K252/L252,0)</f>
        <v>0</v>
      </c>
      <c r="N252" s="26" t="n">
        <f aca="false">SUMIFS(Sales_Data!$O$2:$O$3520,Sales_Data!$F$2:$F$3520,$A252,Sales_Data!$C$2:$C$3520,"&gt;="&amp;Dashboard!$C$12,Sales_Data!$C$2:$C$3520,"&lt;="&amp;Dashboard!$C$13,Sales_Data!$AE$2:$AE$3520,1)</f>
        <v>0</v>
      </c>
      <c r="O252" s="28" t="n">
        <f aca="false">K252-N252</f>
        <v>0</v>
      </c>
      <c r="P252" s="54" t="str">
        <f aca="false">IF(W252=0,"-",W252)</f>
        <v>-</v>
      </c>
      <c r="Q252" s="52" t="str">
        <f aca="false">IF(W252=0,"-",$B$2-W252)</f>
        <v>-</v>
      </c>
      <c r="R252" s="52" t="n">
        <f aca="false">IF(T252=1,COUNTIFS($T$5:$T$254,1,$K$5:$K$254,"&gt;"&amp;K252)+1,"-")</f>
        <v>139</v>
      </c>
      <c r="S252" s="52" t="n">
        <f aca="false">COUNTIFS($C$5:$C$254,C252,$K$5:$K$254,"&gt;"&amp;K252)+1</f>
        <v>1</v>
      </c>
      <c r="T252" s="52" t="n">
        <f aca="false">IF(AND(OR(Dashboard!$C$7="All",D252=Dashboard!$C$7),OR(Dashboard!$C$8="All",C252=Dashboard!$C$8)),1,0)</f>
        <v>1</v>
      </c>
      <c r="U252" s="74" t="n">
        <f aca="false">IF(T252=1,K252+ROW()/1000000,-1)</f>
        <v>0.000252</v>
      </c>
      <c r="V252" s="74" t="n">
        <f aca="false">IF(AND(T252=1,E252="Production"),K252+ROW()/1000000,1000000000)</f>
        <v>1000000000</v>
      </c>
      <c r="W252" s="52" t="n">
        <f aca="false">SUMPRODUCT(MAX((Sales_Data!$F$2:$F$3520=A252)*Sales_Data!$C$2:$C$3520))</f>
        <v>0</v>
      </c>
    </row>
    <row r="253" customFormat="false" ht="15" hidden="false" customHeight="false" outlineLevel="0" collapsed="false">
      <c r="A253" s="53" t="s">
        <v>6886</v>
      </c>
      <c r="B253" s="48" t="s">
        <v>6887</v>
      </c>
      <c r="C253" s="53" t="s">
        <v>60</v>
      </c>
      <c r="D253" s="53" t="s">
        <v>61</v>
      </c>
      <c r="E253" s="53" t="s">
        <v>3708</v>
      </c>
      <c r="F253" s="53" t="s">
        <v>209</v>
      </c>
      <c r="G253" s="53" t="s">
        <v>6837</v>
      </c>
      <c r="H253" s="26" t="n">
        <f aca="false">SUMIFS(Sales_Data!$AE$2:$AE$3520,Sales_Data!$F$2:$F$3520,$A253,Sales_Data!$C$2:$C$3520,"&gt;="&amp;Dashboard!$C$5,Sales_Data!$C$2:$C$3520,"&lt;="&amp;Dashboard!$C$6)</f>
        <v>0</v>
      </c>
      <c r="I253" s="26" t="n">
        <f aca="false">SUMIFS(Sales_Data!$M$2:$M$3520,Sales_Data!$F$2:$F$3520,$A253,Sales_Data!$C$2:$C$3520,"&gt;="&amp;Dashboard!$C$5,Sales_Data!$C$2:$C$3520,"&lt;="&amp;Dashboard!$C$6,Sales_Data!$AE$2:$AE$3520,1)</f>
        <v>0</v>
      </c>
      <c r="J253" s="26" t="n">
        <f aca="false">SUMIFS(Sales_Data!$N$2:$N$3520,Sales_Data!$F$2:$F$3520,$A253,Sales_Data!$C$2:$C$3520,"&gt;="&amp;Dashboard!$C$5,Sales_Data!$C$2:$C$3520,"&lt;="&amp;Dashboard!$C$6,Sales_Data!$AE$2:$AE$3520,1)</f>
        <v>0</v>
      </c>
      <c r="K253" s="27" t="n">
        <f aca="false">SUMIFS(Sales_Data!$O$2:$O$3520,Sales_Data!$F$2:$F$3520,$A253,Sales_Data!$C$2:$C$3520,"&gt;="&amp;Dashboard!$C$5,Sales_Data!$C$2:$C$3520,"&lt;="&amp;Dashboard!$C$6,Sales_Data!$AE$2:$AE$3520,1)</f>
        <v>0</v>
      </c>
      <c r="L253" s="26" t="n">
        <f aca="false">SUMIFS(Sales_Data!$AF$2:$AF$3520,Sales_Data!$F$2:$F$3520,$A253,Sales_Data!$C$2:$C$3520,"&gt;="&amp;Dashboard!$C$5,Sales_Data!$C$2:$C$3520,"&lt;="&amp;Dashboard!$C$6)</f>
        <v>0</v>
      </c>
      <c r="M253" s="31" t="n">
        <f aca="false">IFERROR(K253/L253,0)</f>
        <v>0</v>
      </c>
      <c r="N253" s="26" t="n">
        <f aca="false">SUMIFS(Sales_Data!$O$2:$O$3520,Sales_Data!$F$2:$F$3520,$A253,Sales_Data!$C$2:$C$3520,"&gt;="&amp;Dashboard!$C$12,Sales_Data!$C$2:$C$3520,"&lt;="&amp;Dashboard!$C$13,Sales_Data!$AE$2:$AE$3520,1)</f>
        <v>0</v>
      </c>
      <c r="O253" s="28" t="n">
        <f aca="false">K253-N253</f>
        <v>0</v>
      </c>
      <c r="P253" s="54" t="str">
        <f aca="false">IF(W253=0,"-",W253)</f>
        <v>-</v>
      </c>
      <c r="Q253" s="52" t="str">
        <f aca="false">IF(W253=0,"-",$B$2-W253)</f>
        <v>-</v>
      </c>
      <c r="R253" s="52" t="n">
        <f aca="false">IF(T253=1,COUNTIFS($T$5:$T$254,1,$K$5:$K$254,"&gt;"&amp;K253)+1,"-")</f>
        <v>139</v>
      </c>
      <c r="S253" s="52" t="n">
        <f aca="false">COUNTIFS($C$5:$C$254,C253,$K$5:$K$254,"&gt;"&amp;K253)+1</f>
        <v>1</v>
      </c>
      <c r="T253" s="52" t="n">
        <f aca="false">IF(AND(OR(Dashboard!$C$7="All",D253=Dashboard!$C$7),OR(Dashboard!$C$8="All",C253=Dashboard!$C$8)),1,0)</f>
        <v>1</v>
      </c>
      <c r="U253" s="74" t="n">
        <f aca="false">IF(T253=1,K253+ROW()/1000000,-1)</f>
        <v>0.000253</v>
      </c>
      <c r="V253" s="74" t="n">
        <f aca="false">IF(AND(T253=1,E253="Production"),K253+ROW()/1000000,1000000000)</f>
        <v>1000000000</v>
      </c>
      <c r="W253" s="52" t="n">
        <f aca="false">SUMPRODUCT(MAX((Sales_Data!$F$2:$F$3520=A253)*Sales_Data!$C$2:$C$3520))</f>
        <v>0</v>
      </c>
    </row>
    <row r="254" customFormat="false" ht="15" hidden="false" customHeight="false" outlineLevel="0" collapsed="false">
      <c r="A254" s="53" t="s">
        <v>6889</v>
      </c>
      <c r="B254" s="48" t="s">
        <v>6890</v>
      </c>
      <c r="C254" s="53" t="s">
        <v>60</v>
      </c>
      <c r="D254" s="53" t="s">
        <v>61</v>
      </c>
      <c r="E254" s="53" t="s">
        <v>3708</v>
      </c>
      <c r="F254" s="53" t="s">
        <v>209</v>
      </c>
      <c r="G254" s="53" t="s">
        <v>6837</v>
      </c>
      <c r="H254" s="26" t="n">
        <f aca="false">SUMIFS(Sales_Data!$AE$2:$AE$3520,Sales_Data!$F$2:$F$3520,$A254,Sales_Data!$C$2:$C$3520,"&gt;="&amp;Dashboard!$C$5,Sales_Data!$C$2:$C$3520,"&lt;="&amp;Dashboard!$C$6)</f>
        <v>0</v>
      </c>
      <c r="I254" s="26" t="n">
        <f aca="false">SUMIFS(Sales_Data!$M$2:$M$3520,Sales_Data!$F$2:$F$3520,$A254,Sales_Data!$C$2:$C$3520,"&gt;="&amp;Dashboard!$C$5,Sales_Data!$C$2:$C$3520,"&lt;="&amp;Dashboard!$C$6,Sales_Data!$AE$2:$AE$3520,1)</f>
        <v>0</v>
      </c>
      <c r="J254" s="26" t="n">
        <f aca="false">SUMIFS(Sales_Data!$N$2:$N$3520,Sales_Data!$F$2:$F$3520,$A254,Sales_Data!$C$2:$C$3520,"&gt;="&amp;Dashboard!$C$5,Sales_Data!$C$2:$C$3520,"&lt;="&amp;Dashboard!$C$6,Sales_Data!$AE$2:$AE$3520,1)</f>
        <v>0</v>
      </c>
      <c r="K254" s="27" t="n">
        <f aca="false">SUMIFS(Sales_Data!$O$2:$O$3520,Sales_Data!$F$2:$F$3520,$A254,Sales_Data!$C$2:$C$3520,"&gt;="&amp;Dashboard!$C$5,Sales_Data!$C$2:$C$3520,"&lt;="&amp;Dashboard!$C$6,Sales_Data!$AE$2:$AE$3520,1)</f>
        <v>0</v>
      </c>
      <c r="L254" s="26" t="n">
        <f aca="false">SUMIFS(Sales_Data!$AF$2:$AF$3520,Sales_Data!$F$2:$F$3520,$A254,Sales_Data!$C$2:$C$3520,"&gt;="&amp;Dashboard!$C$5,Sales_Data!$C$2:$C$3520,"&lt;="&amp;Dashboard!$C$6)</f>
        <v>0</v>
      </c>
      <c r="M254" s="31" t="n">
        <f aca="false">IFERROR(K254/L254,0)</f>
        <v>0</v>
      </c>
      <c r="N254" s="26" t="n">
        <f aca="false">SUMIFS(Sales_Data!$O$2:$O$3520,Sales_Data!$F$2:$F$3520,$A254,Sales_Data!$C$2:$C$3520,"&gt;="&amp;Dashboard!$C$12,Sales_Data!$C$2:$C$3520,"&lt;="&amp;Dashboard!$C$13,Sales_Data!$AE$2:$AE$3520,1)</f>
        <v>0</v>
      </c>
      <c r="O254" s="28" t="n">
        <f aca="false">K254-N254</f>
        <v>0</v>
      </c>
      <c r="P254" s="54" t="str">
        <f aca="false">IF(W254=0,"-",W254)</f>
        <v>-</v>
      </c>
      <c r="Q254" s="52" t="str">
        <f aca="false">IF(W254=0,"-",$B$2-W254)</f>
        <v>-</v>
      </c>
      <c r="R254" s="52" t="n">
        <f aca="false">IF(T254=1,COUNTIFS($T$5:$T$254,1,$K$5:$K$254,"&gt;"&amp;K254)+1,"-")</f>
        <v>139</v>
      </c>
      <c r="S254" s="52" t="n">
        <f aca="false">COUNTIFS($C$5:$C$254,C254,$K$5:$K$254,"&gt;"&amp;K254)+1</f>
        <v>1</v>
      </c>
      <c r="T254" s="52" t="n">
        <f aca="false">IF(AND(OR(Dashboard!$C$7="All",D254=Dashboard!$C$7),OR(Dashboard!$C$8="All",C254=Dashboard!$C$8)),1,0)</f>
        <v>1</v>
      </c>
      <c r="U254" s="74" t="n">
        <f aca="false">IF(T254=1,K254+ROW()/1000000,-1)</f>
        <v>0.000254</v>
      </c>
      <c r="V254" s="74" t="n">
        <f aca="false">IF(AND(T254=1,E254="Production"),K254+ROW()/1000000,1000000000)</f>
        <v>1000000000</v>
      </c>
      <c r="W254" s="52" t="n">
        <f aca="false">SUMPRODUCT(MAX((Sales_Data!$F$2:$F$3520=A254)*Sales_Data!$C$2:$C$3520))</f>
        <v>0</v>
      </c>
    </row>
  </sheetData>
  <autoFilter ref="A4:W254"/>
  <mergeCells count="1">
    <mergeCell ref="A1:V1"/>
  </mergeCells>
  <conditionalFormatting sqref="K5:K254">
    <cfRule type="dataBar" priority="2">
      <dataBar showValue="1" minLength="10" maxLength="90">
        <cfvo type="num" val="0"/>
        <cfvo type="max" val="0"/>
        <color rgb="FF63BE7B"/>
      </dataBar>
      <extLst>
        <ext xmlns:x14="http://schemas.microsoft.com/office/spreadsheetml/2009/9/main" uri="{B025F937-C7B1-47D3-B67F-A62EFF666E3E}">
          <x14:id>{29DAB54E-89B7-4093-8434-A1DC30369B2B}</x14:id>
        </ext>
      </extLst>
    </cfRule>
  </conditionalFormatting>
  <conditionalFormatting sqref="O5:O254">
    <cfRule type="cellIs" priority="3" operator="greaterThan" aboveAverage="0" equalAverage="0" bottom="0" percent="0" rank="0" text="" dxfId="0">
      <formula>0</formula>
    </cfRule>
    <cfRule type="cellIs" priority="4" operator="lessThan" aboveAverage="0" equalAverage="0" bottom="0" percent="0" rank="0" text="" dxfId="1">
      <formula>0</formula>
    </cfRule>
  </conditionalFormatting>
  <conditionalFormatting sqref="Q5:Q254">
    <cfRule type="cellIs" priority="5" operator="greaterThan" aboveAverage="0" equalAverage="0" bottom="0" percent="0" rank="0" text="" dxfId="2">
      <formula>7</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29DAB54E-89B7-4093-8434-A1DC30369B2B}">
            <x14:dataBar minLength="10" maxLength="90" axisPosition="none" gradient="true">
              <x14:cfvo type="num">
                <xm:f>0</xm:f>
              </x14:cfvo>
              <x14:cfvo type="max"/>
              <x14:negativeFillColor rgb="FF63BE7B"/>
              <x14:axisColor rgb="FF000000"/>
            </x14:dataBar>
          </x14:cfRule>
          <xm:sqref>K5:K254</xm:sqref>
        </x14:conditionalFormatting>
      </x14:conditionalFormatting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T9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3" topLeftCell="B14" activePane="bottomRight" state="frozen"/>
      <selection pane="topLeft" activeCell="A1" activeCellId="0" sqref="A1"/>
      <selection pane="topRight" activeCell="B1" activeCellId="0" sqref="B1"/>
      <selection pane="bottomLeft" activeCell="A14" activeCellId="0" sqref="A14"/>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2"/>
    <col collapsed="false" customWidth="true" hidden="false" outlineLevel="0" max="4" min="3" style="0" width="10"/>
    <col collapsed="false" customWidth="true" hidden="false" outlineLevel="0" max="5" min="5" style="0" width="11"/>
    <col collapsed="false" customWidth="true" hidden="false" outlineLevel="0" max="6" min="6" style="0" width="9"/>
    <col collapsed="false" customWidth="true" hidden="false" outlineLevel="0" max="7" min="7" style="0" width="10"/>
    <col collapsed="false" customWidth="true" hidden="false" outlineLevel="0" max="8" min="8" style="0" width="12"/>
    <col collapsed="false" customWidth="true" hidden="false" outlineLevel="0" max="9" min="9" style="0" width="13"/>
    <col collapsed="false" customWidth="true" hidden="false" outlineLevel="0" max="10" min="10" style="0" width="12"/>
  </cols>
  <sheetData>
    <row r="1" customFormat="false" ht="30" hidden="false" customHeight="true" outlineLevel="0" collapsed="false">
      <c r="A1" s="1" t="s">
        <v>6937</v>
      </c>
      <c r="B1" s="1"/>
      <c r="C1" s="1"/>
      <c r="D1" s="1"/>
      <c r="E1" s="1"/>
      <c r="F1" s="1"/>
      <c r="G1" s="1"/>
      <c r="H1" s="1"/>
      <c r="I1" s="1"/>
      <c r="J1" s="1"/>
      <c r="K1" s="1"/>
      <c r="L1" s="1"/>
      <c r="M1" s="1"/>
      <c r="N1" s="1"/>
      <c r="O1" s="1"/>
      <c r="P1" s="1"/>
      <c r="Q1" s="1"/>
      <c r="R1" s="1"/>
      <c r="S1" s="1"/>
      <c r="T1" s="1"/>
    </row>
    <row r="2" customFormat="false" ht="15" hidden="false" customHeight="false" outlineLevel="0" collapsed="false">
      <c r="A2" s="2" t="s">
        <v>6938</v>
      </c>
      <c r="B2" s="2"/>
      <c r="C2" s="2"/>
      <c r="D2" s="2"/>
      <c r="E2" s="2"/>
      <c r="F2" s="2"/>
      <c r="G2" s="2"/>
      <c r="H2" s="2"/>
      <c r="I2" s="2"/>
      <c r="J2" s="2"/>
      <c r="K2" s="2"/>
      <c r="L2" s="2"/>
      <c r="M2" s="2"/>
      <c r="N2" s="2"/>
      <c r="O2" s="2"/>
      <c r="P2" s="2"/>
      <c r="Q2" s="2"/>
      <c r="R2" s="2"/>
      <c r="S2" s="2"/>
      <c r="T2" s="2"/>
    </row>
    <row r="3" customFormat="false" ht="15" hidden="false" customHeight="false" outlineLevel="0" collapsed="false">
      <c r="A3" s="66" t="s">
        <v>6939</v>
      </c>
      <c r="B3" s="75" t="s">
        <v>6832</v>
      </c>
      <c r="C3" s="75"/>
      <c r="D3" s="75"/>
      <c r="E3" s="3"/>
      <c r="F3" s="3"/>
      <c r="G3" s="3"/>
      <c r="H3" s="3"/>
      <c r="I3" s="3"/>
      <c r="J3" s="3"/>
      <c r="K3" s="3"/>
      <c r="L3" s="3"/>
      <c r="M3" s="3"/>
      <c r="N3" s="3"/>
      <c r="O3" s="3"/>
      <c r="P3" s="3"/>
      <c r="Q3" s="3"/>
      <c r="R3" s="3"/>
      <c r="S3" s="3"/>
      <c r="T3" s="3"/>
    </row>
    <row r="4" customFormat="false" ht="15" hidden="false" customHeight="false" outlineLevel="0" collapsed="false">
      <c r="A4" s="68" t="s">
        <v>6443</v>
      </c>
      <c r="B4" s="76" t="str">
        <f aca="false">IFERROR(INDEX(Roster!$A$2:$A$251,MATCH($B$3,Roster!$C$2:$C$251,0)),"")</f>
        <v>100071936</v>
      </c>
      <c r="C4" s="76"/>
      <c r="D4" s="76"/>
      <c r="E4" s="3"/>
      <c r="F4" s="3"/>
      <c r="G4" s="3"/>
      <c r="H4" s="3"/>
      <c r="I4" s="3"/>
      <c r="J4" s="3"/>
      <c r="K4" s="3"/>
      <c r="L4" s="3"/>
      <c r="M4" s="3"/>
      <c r="N4" s="3"/>
      <c r="O4" s="3"/>
      <c r="P4" s="3"/>
      <c r="Q4" s="3"/>
      <c r="R4" s="3"/>
      <c r="S4" s="3"/>
      <c r="T4" s="3"/>
    </row>
    <row r="5" customFormat="false" ht="15" hidden="false" customHeight="false" outlineLevel="0" collapsed="false">
      <c r="A5" s="68" t="s">
        <v>13</v>
      </c>
      <c r="B5" s="76" t="str">
        <f aca="false">IFERROR(INDEX(Roster!$D$2:$D$251,MATCH($B$3,Roster!$C$2:$C$251,0)),"")</f>
        <v>Shereen Kamal</v>
      </c>
      <c r="C5" s="76"/>
      <c r="D5" s="76"/>
      <c r="E5" s="3"/>
      <c r="F5" s="3"/>
      <c r="G5" s="3"/>
      <c r="H5" s="3"/>
      <c r="I5" s="3"/>
      <c r="J5" s="3"/>
      <c r="K5" s="3"/>
      <c r="L5" s="3"/>
      <c r="M5" s="3"/>
      <c r="N5" s="3"/>
      <c r="O5" s="3"/>
      <c r="P5" s="3"/>
      <c r="Q5" s="3"/>
      <c r="R5" s="3"/>
      <c r="S5" s="3"/>
      <c r="T5" s="3"/>
    </row>
    <row r="6" customFormat="false" ht="15" hidden="false" customHeight="false" outlineLevel="0" collapsed="false">
      <c r="A6" s="68" t="s">
        <v>10</v>
      </c>
      <c r="B6" s="76" t="str">
        <f aca="false">IFERROR(INDEX(Roster!$E$2:$E$251,MATCH($B$3,Roster!$C$2:$C$251,0)),"")</f>
        <v>Bishoy Mourad</v>
      </c>
      <c r="C6" s="76"/>
      <c r="D6" s="76"/>
      <c r="E6" s="3"/>
      <c r="F6" s="3"/>
      <c r="G6" s="3"/>
      <c r="H6" s="3"/>
      <c r="I6" s="3"/>
      <c r="J6" s="3"/>
      <c r="K6" s="3"/>
      <c r="L6" s="3"/>
      <c r="M6" s="3"/>
      <c r="N6" s="3"/>
      <c r="O6" s="3"/>
      <c r="P6" s="3"/>
      <c r="Q6" s="3"/>
      <c r="R6" s="3"/>
      <c r="S6" s="3"/>
      <c r="T6" s="3"/>
    </row>
    <row r="7" customFormat="false" ht="15" hidden="false" customHeight="false" outlineLevel="0" collapsed="false">
      <c r="A7" s="68" t="s">
        <v>123</v>
      </c>
      <c r="B7" s="76" t="str">
        <f aca="false">IFERROR(INDEX(Roster!$F$2:$F$251,MATCH($B$3,Roster!$C$2:$C$251,0)),"")</f>
        <v>Production</v>
      </c>
      <c r="C7" s="76"/>
      <c r="D7" s="76"/>
      <c r="E7" s="3"/>
      <c r="F7" s="3"/>
      <c r="G7" s="3"/>
      <c r="H7" s="3"/>
      <c r="I7" s="3"/>
      <c r="J7" s="3"/>
      <c r="K7" s="3"/>
      <c r="L7" s="3"/>
      <c r="M7" s="3"/>
      <c r="N7" s="3"/>
      <c r="O7" s="3"/>
      <c r="P7" s="3"/>
      <c r="Q7" s="3"/>
      <c r="R7" s="3"/>
      <c r="S7" s="3"/>
      <c r="T7" s="3"/>
    </row>
    <row r="8" customFormat="false" ht="15" hidden="false" customHeight="false" outlineLevel="0" collapsed="false">
      <c r="A8" s="68" t="s">
        <v>6940</v>
      </c>
      <c r="B8" s="76" t="n">
        <f aca="false">IFERROR(INDEX(Agent_Summary!$K$5:$K$254,MATCH($B$4,Agent_Summary!$A$5:$A$254,0)),0)</f>
        <v>7</v>
      </c>
      <c r="C8" s="76"/>
      <c r="D8" s="76"/>
      <c r="E8" s="3"/>
      <c r="F8" s="3"/>
      <c r="G8" s="3"/>
      <c r="H8" s="3"/>
      <c r="I8" s="3"/>
      <c r="J8" s="3"/>
      <c r="K8" s="3"/>
      <c r="L8" s="3"/>
      <c r="M8" s="3"/>
      <c r="N8" s="3"/>
      <c r="O8" s="3"/>
      <c r="P8" s="3"/>
      <c r="Q8" s="3"/>
      <c r="R8" s="3"/>
      <c r="S8" s="3"/>
      <c r="T8" s="3"/>
    </row>
    <row r="9" customFormat="false" ht="15" hidden="false" customHeight="false" outlineLevel="0" collapsed="false">
      <c r="A9" s="68" t="s">
        <v>6941</v>
      </c>
      <c r="B9" s="76" t="n">
        <f aca="false">IFERROR(INDEX(Agent_Summary!$S$5:$S$254,MATCH($B$4,Agent_Summary!$A$5:$A$254,0)),"-")</f>
        <v>3</v>
      </c>
      <c r="C9" s="76"/>
      <c r="D9" s="76"/>
      <c r="E9" s="3"/>
      <c r="F9" s="3"/>
      <c r="G9" s="3"/>
      <c r="H9" s="3"/>
      <c r="I9" s="3"/>
      <c r="J9" s="3"/>
      <c r="K9" s="3"/>
      <c r="L9" s="3"/>
      <c r="M9" s="3"/>
      <c r="N9" s="3"/>
      <c r="O9" s="3"/>
      <c r="P9" s="3"/>
      <c r="Q9" s="3"/>
      <c r="R9" s="3"/>
      <c r="S9" s="3"/>
      <c r="T9" s="3"/>
    </row>
    <row r="10" customFormat="false" ht="15" hidden="false" customHeight="false" outlineLevel="0" collapsed="false">
      <c r="A10" s="68" t="s">
        <v>6942</v>
      </c>
      <c r="B10" s="76" t="n">
        <f aca="false">SUMIFS(Sales_Data!$O$2:$O$3520,Sales_Data!$F$2:$F$3520,$B$4,Sales_Data!$AE$2:$AE$3520,1)</f>
        <v>239</v>
      </c>
      <c r="C10" s="76"/>
      <c r="D10" s="76"/>
      <c r="E10" s="3"/>
      <c r="F10" s="3"/>
      <c r="G10" s="3"/>
      <c r="H10" s="3"/>
      <c r="I10" s="3"/>
      <c r="J10" s="3"/>
      <c r="K10" s="3"/>
      <c r="L10" s="3"/>
      <c r="M10" s="3"/>
      <c r="N10" s="3"/>
      <c r="O10" s="3"/>
      <c r="P10" s="3"/>
      <c r="Q10" s="3"/>
      <c r="R10" s="3"/>
      <c r="S10" s="3"/>
      <c r="T10" s="3"/>
    </row>
    <row r="11" customFormat="false" ht="15" hidden="false" customHeight="false" outlineLevel="0" collapsed="false">
      <c r="A11" s="68" t="s">
        <v>6929</v>
      </c>
      <c r="B11" s="77" t="n">
        <f aca="false">IFERROR(INDEX(Agent_Summary!$P$5:$P$254,MATCH($B$4,Agent_Summary!$A$5:$A$254,0)),"-")</f>
        <v>46303</v>
      </c>
      <c r="C11" s="77"/>
      <c r="D11" s="77"/>
      <c r="E11" s="3"/>
      <c r="F11" s="3"/>
      <c r="G11" s="3"/>
      <c r="H11" s="3"/>
      <c r="I11" s="3"/>
      <c r="J11" s="3"/>
      <c r="K11" s="3"/>
      <c r="L11" s="3"/>
      <c r="M11" s="3"/>
      <c r="N11" s="3"/>
      <c r="O11" s="3"/>
      <c r="P11" s="3"/>
      <c r="Q11" s="3"/>
      <c r="R11" s="3"/>
      <c r="S11" s="3"/>
      <c r="T11" s="3"/>
    </row>
    <row r="12" customFormat="false" ht="15" hidden="false" customHeight="false" outlineLevel="0" collapsed="false">
      <c r="A12" s="3"/>
      <c r="B12" s="3"/>
      <c r="C12" s="3"/>
      <c r="D12" s="3"/>
      <c r="E12" s="3"/>
      <c r="F12" s="3"/>
      <c r="G12" s="3"/>
      <c r="H12" s="3"/>
      <c r="I12" s="3"/>
      <c r="J12" s="3"/>
      <c r="K12" s="3"/>
      <c r="L12" s="3"/>
      <c r="M12" s="3"/>
      <c r="N12" s="3"/>
      <c r="O12" s="3"/>
      <c r="P12" s="3"/>
      <c r="Q12" s="3"/>
      <c r="R12" s="3"/>
      <c r="S12" s="3"/>
      <c r="T12" s="3"/>
    </row>
    <row r="13" customFormat="false" ht="30" hidden="false" customHeight="true" outlineLevel="0" collapsed="false">
      <c r="A13" s="61" t="s">
        <v>28</v>
      </c>
      <c r="B13" s="61" t="s">
        <v>6</v>
      </c>
      <c r="C13" s="61" t="s">
        <v>4</v>
      </c>
      <c r="D13" s="61" t="s">
        <v>5</v>
      </c>
      <c r="E13" s="61" t="s">
        <v>3</v>
      </c>
      <c r="F13" s="61" t="s">
        <v>30</v>
      </c>
      <c r="G13" s="61" t="s">
        <v>32</v>
      </c>
      <c r="H13" s="61" t="s">
        <v>6943</v>
      </c>
      <c r="I13" s="61" t="s">
        <v>6944</v>
      </c>
      <c r="J13" s="61" t="s">
        <v>6945</v>
      </c>
      <c r="K13" s="3"/>
      <c r="L13" s="3"/>
      <c r="M13" s="3"/>
      <c r="N13" s="3"/>
      <c r="O13" s="3"/>
      <c r="P13" s="3"/>
      <c r="Q13" s="3"/>
      <c r="R13" s="3"/>
      <c r="S13" s="3"/>
      <c r="T13" s="3"/>
    </row>
    <row r="14" customFormat="false" ht="15" hidden="false" customHeight="false" outlineLevel="0" collapsed="false">
      <c r="A14" s="72" t="n">
        <v>46225</v>
      </c>
      <c r="B14" s="26" t="n">
        <f aca="false">SUMIFS(Sales_Data!$AE$2:$AE$3520,Sales_Data!$F$2:$F$3520,$B$4,Sales_Data!$C$2:$C$3520,$A14)</f>
        <v>4</v>
      </c>
      <c r="C14" s="26" t="n">
        <f aca="false">SUMIFS(Sales_Data!$M$2:$M$3520,Sales_Data!$F$2:$F$3520,$B$4,Sales_Data!$C$2:$C$3520,$A14,Sales_Data!$AE$2:$AE$3520,1)</f>
        <v>1</v>
      </c>
      <c r="D14" s="26" t="n">
        <f aca="false">SUMIFS(Sales_Data!$N$2:$N$3520,Sales_Data!$F$2:$F$3520,$B$4,Sales_Data!$C$2:$C$3520,$A14,Sales_Data!$AE$2:$AE$3520,1)</f>
        <v>6</v>
      </c>
      <c r="E14" s="27" t="n">
        <f aca="false">C14+D14</f>
        <v>7</v>
      </c>
      <c r="F14" s="28" t="s">
        <v>64</v>
      </c>
      <c r="G14" s="30" t="n">
        <f aca="false">AVERAGE(E14:E14)</f>
        <v>7</v>
      </c>
      <c r="H14" s="26" t="n">
        <f aca="false">SUM($E$14:E14)</f>
        <v>7</v>
      </c>
      <c r="I14" s="31" t="n">
        <f aca="false">IFERROR(SUMIFS(Sales_Data!$O$2:$O$3520,Sales_Data!$C$2:$C$3520,$A14,Sales_Data!$H$2:$H$3520,$B$5,Sales_Data!$AE$2:$AE$3520,1)/COUNTIF(Roster!$D$2:$D$251,$B$5),0)</f>
        <v>0.4375</v>
      </c>
      <c r="J14" s="78" t="n">
        <f aca="false">E14-I14</f>
        <v>6.5625</v>
      </c>
      <c r="K14" s="3"/>
      <c r="L14" s="3"/>
      <c r="M14" s="3"/>
      <c r="N14" s="3"/>
      <c r="O14" s="3"/>
      <c r="P14" s="3"/>
      <c r="Q14" s="3"/>
      <c r="R14" s="3"/>
      <c r="S14" s="3"/>
      <c r="T14" s="3"/>
    </row>
    <row r="15" customFormat="false" ht="15" hidden="false" customHeight="false" outlineLevel="0" collapsed="false">
      <c r="A15" s="72" t="n">
        <v>46226</v>
      </c>
      <c r="B15" s="26" t="n">
        <f aca="false">SUMIFS(Sales_Data!$AE$2:$AE$3520,Sales_Data!$F$2:$F$3520,$B$4,Sales_Data!$C$2:$C$3520,$A15)</f>
        <v>5</v>
      </c>
      <c r="C15" s="26" t="n">
        <f aca="false">SUMIFS(Sales_Data!$M$2:$M$3520,Sales_Data!$F$2:$F$3520,$B$4,Sales_Data!$C$2:$C$3520,$A15,Sales_Data!$AE$2:$AE$3520,1)</f>
        <v>1</v>
      </c>
      <c r="D15" s="26" t="n">
        <f aca="false">SUMIFS(Sales_Data!$N$2:$N$3520,Sales_Data!$F$2:$F$3520,$B$4,Sales_Data!$C$2:$C$3520,$A15,Sales_Data!$AE$2:$AE$3520,1)</f>
        <v>8</v>
      </c>
      <c r="E15" s="27" t="n">
        <f aca="false">C15+D15</f>
        <v>9</v>
      </c>
      <c r="F15" s="28" t="n">
        <f aca="false">E15-E14</f>
        <v>2</v>
      </c>
      <c r="G15" s="30" t="n">
        <f aca="false">AVERAGE(E14:E15)</f>
        <v>8</v>
      </c>
      <c r="H15" s="26" t="n">
        <f aca="false">SUM($E$14:E15)</f>
        <v>16</v>
      </c>
      <c r="I15" s="31" t="n">
        <f aca="false">IFERROR(SUMIFS(Sales_Data!$O$2:$O$3520,Sales_Data!$C$2:$C$3520,$A15,Sales_Data!$H$2:$H$3520,$B$5,Sales_Data!$AE$2:$AE$3520,1)/COUNTIF(Roster!$D$2:$D$251,$B$5),0)</f>
        <v>0.625</v>
      </c>
      <c r="J15" s="78" t="n">
        <f aca="false">E15-I15</f>
        <v>8.375</v>
      </c>
      <c r="K15" s="3"/>
      <c r="L15" s="3"/>
      <c r="M15" s="3"/>
      <c r="N15" s="3"/>
      <c r="O15" s="3"/>
      <c r="P15" s="3"/>
      <c r="Q15" s="3"/>
      <c r="R15" s="3"/>
      <c r="S15" s="3"/>
      <c r="T15" s="3"/>
    </row>
    <row r="16" customFormat="false" ht="15" hidden="false" customHeight="false" outlineLevel="0" collapsed="false">
      <c r="A16" s="72" t="n">
        <v>46227</v>
      </c>
      <c r="B16" s="26" t="n">
        <f aca="false">SUMIFS(Sales_Data!$AE$2:$AE$3520,Sales_Data!$F$2:$F$3520,$B$4,Sales_Data!$C$2:$C$3520,$A16)</f>
        <v>11</v>
      </c>
      <c r="C16" s="26" t="n">
        <f aca="false">SUMIFS(Sales_Data!$M$2:$M$3520,Sales_Data!$F$2:$F$3520,$B$4,Sales_Data!$C$2:$C$3520,$A16,Sales_Data!$AE$2:$AE$3520,1)</f>
        <v>3</v>
      </c>
      <c r="D16" s="26" t="n">
        <f aca="false">SUMIFS(Sales_Data!$N$2:$N$3520,Sales_Data!$F$2:$F$3520,$B$4,Sales_Data!$C$2:$C$3520,$A16,Sales_Data!$AE$2:$AE$3520,1)</f>
        <v>12</v>
      </c>
      <c r="E16" s="27" t="n">
        <f aca="false">C16+D16</f>
        <v>15</v>
      </c>
      <c r="F16" s="28" t="n">
        <f aca="false">E16-E15</f>
        <v>6</v>
      </c>
      <c r="G16" s="30" t="n">
        <f aca="false">AVERAGE(E14:E16)</f>
        <v>10.3333333333333</v>
      </c>
      <c r="H16" s="26" t="n">
        <f aca="false">SUM($E$14:E16)</f>
        <v>31</v>
      </c>
      <c r="I16" s="31" t="n">
        <f aca="false">IFERROR(SUMIFS(Sales_Data!$O$2:$O$3520,Sales_Data!$C$2:$C$3520,$A16,Sales_Data!$H$2:$H$3520,$B$5,Sales_Data!$AE$2:$AE$3520,1)/COUNTIF(Roster!$D$2:$D$251,$B$5),0)</f>
        <v>1.0625</v>
      </c>
      <c r="J16" s="78" t="n">
        <f aca="false">E16-I16</f>
        <v>13.9375</v>
      </c>
      <c r="K16" s="3"/>
      <c r="L16" s="3"/>
      <c r="M16" s="3"/>
      <c r="N16" s="3"/>
      <c r="O16" s="3"/>
      <c r="P16" s="3"/>
      <c r="Q16" s="3"/>
      <c r="R16" s="3"/>
      <c r="S16" s="3"/>
      <c r="T16" s="3"/>
    </row>
    <row r="17" customFormat="false" ht="15" hidden="false" customHeight="false" outlineLevel="0" collapsed="false">
      <c r="A17" s="72" t="n">
        <v>46228</v>
      </c>
      <c r="B17" s="26" t="n">
        <f aca="false">SUMIFS(Sales_Data!$AE$2:$AE$3520,Sales_Data!$F$2:$F$3520,$B$4,Sales_Data!$C$2:$C$3520,$A17)</f>
        <v>0</v>
      </c>
      <c r="C17" s="26" t="n">
        <f aca="false">SUMIFS(Sales_Data!$M$2:$M$3520,Sales_Data!$F$2:$F$3520,$B$4,Sales_Data!$C$2:$C$3520,$A17,Sales_Data!$AE$2:$AE$3520,1)</f>
        <v>0</v>
      </c>
      <c r="D17" s="26" t="n">
        <f aca="false">SUMIFS(Sales_Data!$N$2:$N$3520,Sales_Data!$F$2:$F$3520,$B$4,Sales_Data!$C$2:$C$3520,$A17,Sales_Data!$AE$2:$AE$3520,1)</f>
        <v>0</v>
      </c>
      <c r="E17" s="27" t="n">
        <f aca="false">C17+D17</f>
        <v>0</v>
      </c>
      <c r="F17" s="28" t="n">
        <f aca="false">E17-E16</f>
        <v>-15</v>
      </c>
      <c r="G17" s="30" t="n">
        <f aca="false">AVERAGE(E14:E17)</f>
        <v>7.75</v>
      </c>
      <c r="H17" s="26" t="n">
        <f aca="false">SUM($E$14:E17)</f>
        <v>31</v>
      </c>
      <c r="I17" s="31" t="n">
        <f aca="false">IFERROR(SUMIFS(Sales_Data!$O$2:$O$3520,Sales_Data!$C$2:$C$3520,$A17,Sales_Data!$H$2:$H$3520,$B$5,Sales_Data!$AE$2:$AE$3520,1)/COUNTIF(Roster!$D$2:$D$251,$B$5),0)</f>
        <v>0.125</v>
      </c>
      <c r="J17" s="78" t="n">
        <f aca="false">E17-I17</f>
        <v>-0.125</v>
      </c>
      <c r="K17" s="3"/>
      <c r="L17" s="3"/>
      <c r="M17" s="3"/>
      <c r="N17" s="3"/>
      <c r="O17" s="3"/>
      <c r="P17" s="3"/>
      <c r="Q17" s="3"/>
      <c r="R17" s="3"/>
      <c r="S17" s="3"/>
      <c r="T17" s="3"/>
    </row>
    <row r="18" customFormat="false" ht="15" hidden="false" customHeight="false" outlineLevel="0" collapsed="false">
      <c r="A18" s="72" t="n">
        <v>46229</v>
      </c>
      <c r="B18" s="26" t="n">
        <f aca="false">SUMIFS(Sales_Data!$AE$2:$AE$3520,Sales_Data!$F$2:$F$3520,$B$4,Sales_Data!$C$2:$C$3520,$A18)</f>
        <v>3</v>
      </c>
      <c r="C18" s="26" t="n">
        <f aca="false">SUMIFS(Sales_Data!$M$2:$M$3520,Sales_Data!$F$2:$F$3520,$B$4,Sales_Data!$C$2:$C$3520,$A18,Sales_Data!$AE$2:$AE$3520,1)</f>
        <v>0</v>
      </c>
      <c r="D18" s="26" t="n">
        <f aca="false">SUMIFS(Sales_Data!$N$2:$N$3520,Sales_Data!$F$2:$F$3520,$B$4,Sales_Data!$C$2:$C$3520,$A18,Sales_Data!$AE$2:$AE$3520,1)</f>
        <v>5</v>
      </c>
      <c r="E18" s="27" t="n">
        <f aca="false">C18+D18</f>
        <v>5</v>
      </c>
      <c r="F18" s="28" t="n">
        <f aca="false">E18-E17</f>
        <v>5</v>
      </c>
      <c r="G18" s="30" t="n">
        <f aca="false">AVERAGE(E14:E18)</f>
        <v>7.2</v>
      </c>
      <c r="H18" s="26" t="n">
        <f aca="false">SUM($E$14:E18)</f>
        <v>36</v>
      </c>
      <c r="I18" s="31" t="n">
        <f aca="false">IFERROR(SUMIFS(Sales_Data!$O$2:$O$3520,Sales_Data!$C$2:$C$3520,$A18,Sales_Data!$H$2:$H$3520,$B$5,Sales_Data!$AE$2:$AE$3520,1)/COUNTIF(Roster!$D$2:$D$251,$B$5),0)</f>
        <v>0.375</v>
      </c>
      <c r="J18" s="78" t="n">
        <f aca="false">E18-I18</f>
        <v>4.625</v>
      </c>
      <c r="K18" s="3"/>
      <c r="L18" s="3"/>
      <c r="M18" s="3"/>
      <c r="N18" s="3"/>
      <c r="O18" s="3"/>
      <c r="P18" s="3"/>
      <c r="Q18" s="3"/>
      <c r="R18" s="3"/>
      <c r="S18" s="3"/>
      <c r="T18" s="3"/>
    </row>
    <row r="19" customFormat="false" ht="15" hidden="false" customHeight="false" outlineLevel="0" collapsed="false">
      <c r="A19" s="72" t="n">
        <v>46230</v>
      </c>
      <c r="B19" s="26" t="n">
        <f aca="false">SUMIFS(Sales_Data!$AE$2:$AE$3520,Sales_Data!$F$2:$F$3520,$B$4,Sales_Data!$C$2:$C$3520,$A19)</f>
        <v>14</v>
      </c>
      <c r="C19" s="26" t="n">
        <f aca="false">SUMIFS(Sales_Data!$M$2:$M$3520,Sales_Data!$F$2:$F$3520,$B$4,Sales_Data!$C$2:$C$3520,$A19,Sales_Data!$AE$2:$AE$3520,1)</f>
        <v>2</v>
      </c>
      <c r="D19" s="26" t="n">
        <f aca="false">SUMIFS(Sales_Data!$N$2:$N$3520,Sales_Data!$F$2:$F$3520,$B$4,Sales_Data!$C$2:$C$3520,$A19,Sales_Data!$AE$2:$AE$3520,1)</f>
        <v>16</v>
      </c>
      <c r="E19" s="27" t="n">
        <f aca="false">C19+D19</f>
        <v>18</v>
      </c>
      <c r="F19" s="28" t="n">
        <f aca="false">E19-E18</f>
        <v>13</v>
      </c>
      <c r="G19" s="30" t="n">
        <f aca="false">AVERAGE(E14:E19)</f>
        <v>9</v>
      </c>
      <c r="H19" s="26" t="n">
        <f aca="false">SUM($E$14:E19)</f>
        <v>54</v>
      </c>
      <c r="I19" s="31" t="n">
        <f aca="false">IFERROR(SUMIFS(Sales_Data!$O$2:$O$3520,Sales_Data!$C$2:$C$3520,$A19,Sales_Data!$H$2:$H$3520,$B$5,Sales_Data!$AE$2:$AE$3520,1)/COUNTIF(Roster!$D$2:$D$251,$B$5),0)</f>
        <v>1.25</v>
      </c>
      <c r="J19" s="78" t="n">
        <f aca="false">E19-I19</f>
        <v>16.75</v>
      </c>
      <c r="K19" s="3"/>
      <c r="L19" s="3"/>
      <c r="M19" s="3"/>
      <c r="N19" s="3"/>
      <c r="O19" s="3"/>
      <c r="P19" s="3"/>
      <c r="Q19" s="3"/>
      <c r="R19" s="3"/>
      <c r="S19" s="3"/>
      <c r="T19" s="3"/>
    </row>
    <row r="20" customFormat="false" ht="15" hidden="false" customHeight="false" outlineLevel="0" collapsed="false">
      <c r="A20" s="72" t="n">
        <v>46231</v>
      </c>
      <c r="B20" s="26" t="n">
        <f aca="false">SUMIFS(Sales_Data!$AE$2:$AE$3520,Sales_Data!$F$2:$F$3520,$B$4,Sales_Data!$C$2:$C$3520,$A20)</f>
        <v>6</v>
      </c>
      <c r="C20" s="26" t="n">
        <f aca="false">SUMIFS(Sales_Data!$M$2:$M$3520,Sales_Data!$F$2:$F$3520,$B$4,Sales_Data!$C$2:$C$3520,$A20,Sales_Data!$AE$2:$AE$3520,1)</f>
        <v>1</v>
      </c>
      <c r="D20" s="26" t="n">
        <f aca="false">SUMIFS(Sales_Data!$N$2:$N$3520,Sales_Data!$F$2:$F$3520,$B$4,Sales_Data!$C$2:$C$3520,$A20,Sales_Data!$AE$2:$AE$3520,1)</f>
        <v>9</v>
      </c>
      <c r="E20" s="27" t="n">
        <f aca="false">C20+D20</f>
        <v>10</v>
      </c>
      <c r="F20" s="28" t="n">
        <f aca="false">E20-E19</f>
        <v>-8</v>
      </c>
      <c r="G20" s="30" t="n">
        <f aca="false">AVERAGE(E14:E20)</f>
        <v>9.14285714285714</v>
      </c>
      <c r="H20" s="26" t="n">
        <f aca="false">SUM($E$14:E20)</f>
        <v>64</v>
      </c>
      <c r="I20" s="31" t="n">
        <f aca="false">IFERROR(SUMIFS(Sales_Data!$O$2:$O$3520,Sales_Data!$C$2:$C$3520,$A20,Sales_Data!$H$2:$H$3520,$B$5,Sales_Data!$AE$2:$AE$3520,1)/COUNTIF(Roster!$D$2:$D$251,$B$5),0)</f>
        <v>0.6875</v>
      </c>
      <c r="J20" s="78" t="n">
        <f aca="false">E20-I20</f>
        <v>9.3125</v>
      </c>
      <c r="K20" s="3"/>
      <c r="L20" s="3"/>
      <c r="M20" s="3"/>
      <c r="N20" s="3"/>
      <c r="O20" s="3"/>
      <c r="P20" s="3"/>
      <c r="Q20" s="3"/>
      <c r="R20" s="3"/>
      <c r="S20" s="3"/>
      <c r="T20" s="3"/>
    </row>
    <row r="21" customFormat="false" ht="15" hidden="false" customHeight="false" outlineLevel="0" collapsed="false">
      <c r="A21" s="72" t="n">
        <v>46232</v>
      </c>
      <c r="B21" s="26" t="n">
        <f aca="false">SUMIFS(Sales_Data!$AE$2:$AE$3520,Sales_Data!$F$2:$F$3520,$B$4,Sales_Data!$C$2:$C$3520,$A21)</f>
        <v>14</v>
      </c>
      <c r="C21" s="26" t="n">
        <f aca="false">SUMIFS(Sales_Data!$M$2:$M$3520,Sales_Data!$F$2:$F$3520,$B$4,Sales_Data!$C$2:$C$3520,$A21,Sales_Data!$AE$2:$AE$3520,1)</f>
        <v>0</v>
      </c>
      <c r="D21" s="26" t="n">
        <f aca="false">SUMIFS(Sales_Data!$N$2:$N$3520,Sales_Data!$F$2:$F$3520,$B$4,Sales_Data!$C$2:$C$3520,$A21,Sales_Data!$AE$2:$AE$3520,1)</f>
        <v>18</v>
      </c>
      <c r="E21" s="27" t="n">
        <f aca="false">C21+D21</f>
        <v>18</v>
      </c>
      <c r="F21" s="28" t="n">
        <f aca="false">E21-E20</f>
        <v>8</v>
      </c>
      <c r="G21" s="30" t="n">
        <f aca="false">AVERAGE(E15:E21)</f>
        <v>10.7142857142857</v>
      </c>
      <c r="H21" s="26" t="n">
        <f aca="false">SUM($E$14:E21)</f>
        <v>82</v>
      </c>
      <c r="I21" s="31" t="n">
        <f aca="false">IFERROR(SUMIFS(Sales_Data!$O$2:$O$3520,Sales_Data!$C$2:$C$3520,$A21,Sales_Data!$H$2:$H$3520,$B$5,Sales_Data!$AE$2:$AE$3520,1)/COUNTIF(Roster!$D$2:$D$251,$B$5),0)</f>
        <v>1.375</v>
      </c>
      <c r="J21" s="78" t="n">
        <f aca="false">E21-I21</f>
        <v>16.625</v>
      </c>
      <c r="K21" s="3"/>
      <c r="L21" s="3"/>
      <c r="M21" s="3"/>
      <c r="N21" s="3"/>
      <c r="O21" s="3"/>
      <c r="P21" s="3"/>
      <c r="Q21" s="3"/>
      <c r="R21" s="3"/>
      <c r="S21" s="3"/>
      <c r="T21" s="3"/>
    </row>
    <row r="22" customFormat="false" ht="15" hidden="false" customHeight="false" outlineLevel="0" collapsed="false">
      <c r="A22" s="72" t="n">
        <v>46233</v>
      </c>
      <c r="B22" s="26" t="n">
        <f aca="false">SUMIFS(Sales_Data!$AE$2:$AE$3520,Sales_Data!$F$2:$F$3520,$B$4,Sales_Data!$C$2:$C$3520,$A22)</f>
        <v>7</v>
      </c>
      <c r="C22" s="26" t="n">
        <f aca="false">SUMIFS(Sales_Data!$M$2:$M$3520,Sales_Data!$F$2:$F$3520,$B$4,Sales_Data!$C$2:$C$3520,$A22,Sales_Data!$AE$2:$AE$3520,1)</f>
        <v>3</v>
      </c>
      <c r="D22" s="26" t="n">
        <f aca="false">SUMIFS(Sales_Data!$N$2:$N$3520,Sales_Data!$F$2:$F$3520,$B$4,Sales_Data!$C$2:$C$3520,$A22,Sales_Data!$AE$2:$AE$3520,1)</f>
        <v>6</v>
      </c>
      <c r="E22" s="27" t="n">
        <f aca="false">C22+D22</f>
        <v>9</v>
      </c>
      <c r="F22" s="28" t="n">
        <f aca="false">E22-E21</f>
        <v>-9</v>
      </c>
      <c r="G22" s="30" t="n">
        <f aca="false">AVERAGE(E16:E22)</f>
        <v>10.7142857142857</v>
      </c>
      <c r="H22" s="26" t="n">
        <f aca="false">SUM($E$14:E22)</f>
        <v>91</v>
      </c>
      <c r="I22" s="31" t="n">
        <f aca="false">IFERROR(SUMIFS(Sales_Data!$O$2:$O$3520,Sales_Data!$C$2:$C$3520,$A22,Sales_Data!$H$2:$H$3520,$B$5,Sales_Data!$AE$2:$AE$3520,1)/COUNTIF(Roster!$D$2:$D$251,$B$5),0)</f>
        <v>1</v>
      </c>
      <c r="J22" s="78" t="n">
        <f aca="false">E22-I22</f>
        <v>8</v>
      </c>
      <c r="K22" s="3"/>
      <c r="L22" s="3"/>
      <c r="M22" s="3"/>
      <c r="N22" s="3"/>
      <c r="O22" s="3"/>
      <c r="P22" s="3"/>
      <c r="Q22" s="3"/>
      <c r="R22" s="3"/>
      <c r="S22" s="3"/>
      <c r="T22" s="3"/>
    </row>
    <row r="23" customFormat="false" ht="15" hidden="false" customHeight="false" outlineLevel="0" collapsed="false">
      <c r="A23" s="72" t="n">
        <v>46234</v>
      </c>
      <c r="B23" s="26" t="n">
        <f aca="false">SUMIFS(Sales_Data!$AE$2:$AE$3520,Sales_Data!$F$2:$F$3520,$B$4,Sales_Data!$C$2:$C$3520,$A23)</f>
        <v>6</v>
      </c>
      <c r="C23" s="26" t="n">
        <f aca="false">SUMIFS(Sales_Data!$M$2:$M$3520,Sales_Data!$F$2:$F$3520,$B$4,Sales_Data!$C$2:$C$3520,$A23,Sales_Data!$AE$2:$AE$3520,1)</f>
        <v>0</v>
      </c>
      <c r="D23" s="26" t="n">
        <f aca="false">SUMIFS(Sales_Data!$N$2:$N$3520,Sales_Data!$F$2:$F$3520,$B$4,Sales_Data!$C$2:$C$3520,$A23,Sales_Data!$AE$2:$AE$3520,1)</f>
        <v>8</v>
      </c>
      <c r="E23" s="27" t="n">
        <f aca="false">C23+D23</f>
        <v>8</v>
      </c>
      <c r="F23" s="28" t="n">
        <f aca="false">E23-E22</f>
        <v>-1</v>
      </c>
      <c r="G23" s="30" t="n">
        <f aca="false">AVERAGE(E17:E23)</f>
        <v>9.71428571428571</v>
      </c>
      <c r="H23" s="26" t="n">
        <f aca="false">SUM($E$14:E23)</f>
        <v>99</v>
      </c>
      <c r="I23" s="31" t="n">
        <f aca="false">IFERROR(SUMIFS(Sales_Data!$O$2:$O$3520,Sales_Data!$C$2:$C$3520,$A23,Sales_Data!$H$2:$H$3520,$B$5,Sales_Data!$AE$2:$AE$3520,1)/COUNTIF(Roster!$D$2:$D$251,$B$5),0)</f>
        <v>0.5625</v>
      </c>
      <c r="J23" s="78" t="n">
        <f aca="false">E23-I23</f>
        <v>7.4375</v>
      </c>
      <c r="K23" s="3"/>
      <c r="L23" s="3"/>
      <c r="M23" s="3"/>
      <c r="N23" s="3"/>
      <c r="O23" s="3"/>
      <c r="P23" s="3"/>
      <c r="Q23" s="3"/>
      <c r="R23" s="3"/>
      <c r="S23" s="3"/>
      <c r="T23" s="3"/>
    </row>
    <row r="24" customFormat="false" ht="15" hidden="false" customHeight="false" outlineLevel="0" collapsed="false">
      <c r="A24" s="72" t="n">
        <v>46235</v>
      </c>
      <c r="B24" s="26" t="n">
        <f aca="false">SUMIFS(Sales_Data!$AE$2:$AE$3520,Sales_Data!$F$2:$F$3520,$B$4,Sales_Data!$C$2:$C$3520,$A24)</f>
        <v>0</v>
      </c>
      <c r="C24" s="26" t="n">
        <f aca="false">SUMIFS(Sales_Data!$M$2:$M$3520,Sales_Data!$F$2:$F$3520,$B$4,Sales_Data!$C$2:$C$3520,$A24,Sales_Data!$AE$2:$AE$3520,1)</f>
        <v>0</v>
      </c>
      <c r="D24" s="26" t="n">
        <f aca="false">SUMIFS(Sales_Data!$N$2:$N$3520,Sales_Data!$F$2:$F$3520,$B$4,Sales_Data!$C$2:$C$3520,$A24,Sales_Data!$AE$2:$AE$3520,1)</f>
        <v>0</v>
      </c>
      <c r="E24" s="27" t="n">
        <f aca="false">C24+D24</f>
        <v>0</v>
      </c>
      <c r="F24" s="28" t="n">
        <f aca="false">E24-E23</f>
        <v>-8</v>
      </c>
      <c r="G24" s="30" t="n">
        <f aca="false">AVERAGE(E18:E24)</f>
        <v>9.71428571428571</v>
      </c>
      <c r="H24" s="26" t="n">
        <f aca="false">SUM($E$14:E24)</f>
        <v>99</v>
      </c>
      <c r="I24" s="31" t="n">
        <f aca="false">IFERROR(SUMIFS(Sales_Data!$O$2:$O$3520,Sales_Data!$C$2:$C$3520,$A24,Sales_Data!$H$2:$H$3520,$B$5,Sales_Data!$AE$2:$AE$3520,1)/COUNTIF(Roster!$D$2:$D$251,$B$5),0)</f>
        <v>0.1875</v>
      </c>
      <c r="J24" s="78" t="n">
        <f aca="false">E24-I24</f>
        <v>-0.1875</v>
      </c>
      <c r="K24" s="3"/>
      <c r="L24" s="3"/>
      <c r="M24" s="3"/>
      <c r="N24" s="3"/>
      <c r="O24" s="3"/>
      <c r="P24" s="3"/>
      <c r="Q24" s="3"/>
      <c r="R24" s="3"/>
      <c r="S24" s="3"/>
      <c r="T24" s="3"/>
    </row>
    <row r="25" customFormat="false" ht="15" hidden="false" customHeight="false" outlineLevel="0" collapsed="false">
      <c r="A25" s="72" t="n">
        <v>46236</v>
      </c>
      <c r="B25" s="26" t="n">
        <f aca="false">SUMIFS(Sales_Data!$AE$2:$AE$3520,Sales_Data!$F$2:$F$3520,$B$4,Sales_Data!$C$2:$C$3520,$A25)</f>
        <v>15</v>
      </c>
      <c r="C25" s="26" t="n">
        <f aca="false">SUMIFS(Sales_Data!$M$2:$M$3520,Sales_Data!$F$2:$F$3520,$B$4,Sales_Data!$C$2:$C$3520,$A25,Sales_Data!$AE$2:$AE$3520,1)</f>
        <v>7</v>
      </c>
      <c r="D25" s="26" t="n">
        <f aca="false">SUMIFS(Sales_Data!$N$2:$N$3520,Sales_Data!$F$2:$F$3520,$B$4,Sales_Data!$C$2:$C$3520,$A25,Sales_Data!$AE$2:$AE$3520,1)</f>
        <v>13</v>
      </c>
      <c r="E25" s="27" t="n">
        <f aca="false">C25+D25</f>
        <v>20</v>
      </c>
      <c r="F25" s="28" t="n">
        <f aca="false">E25-E24</f>
        <v>20</v>
      </c>
      <c r="G25" s="30" t="n">
        <f aca="false">AVERAGE(E19:E25)</f>
        <v>11.8571428571429</v>
      </c>
      <c r="H25" s="26" t="n">
        <f aca="false">SUM($E$14:E25)</f>
        <v>119</v>
      </c>
      <c r="I25" s="31" t="n">
        <f aca="false">IFERROR(SUMIFS(Sales_Data!$O$2:$O$3520,Sales_Data!$C$2:$C$3520,$A25,Sales_Data!$H$2:$H$3520,$B$5,Sales_Data!$AE$2:$AE$3520,1)/COUNTIF(Roster!$D$2:$D$251,$B$5),0)</f>
        <v>1.375</v>
      </c>
      <c r="J25" s="78" t="n">
        <f aca="false">E25-I25</f>
        <v>18.625</v>
      </c>
      <c r="K25" s="3"/>
      <c r="L25" s="3"/>
      <c r="M25" s="3"/>
      <c r="N25" s="3"/>
      <c r="O25" s="3"/>
      <c r="P25" s="3"/>
      <c r="Q25" s="3"/>
      <c r="R25" s="3"/>
      <c r="S25" s="3"/>
      <c r="T25" s="3"/>
    </row>
    <row r="26" customFormat="false" ht="15" hidden="false" customHeight="false" outlineLevel="0" collapsed="false">
      <c r="A26" s="72" t="n">
        <v>46237</v>
      </c>
      <c r="B26" s="26" t="n">
        <f aca="false">SUMIFS(Sales_Data!$AE$2:$AE$3520,Sales_Data!$F$2:$F$3520,$B$4,Sales_Data!$C$2:$C$3520,$A26)</f>
        <v>5</v>
      </c>
      <c r="C26" s="26" t="n">
        <f aca="false">SUMIFS(Sales_Data!$M$2:$M$3520,Sales_Data!$F$2:$F$3520,$B$4,Sales_Data!$C$2:$C$3520,$A26,Sales_Data!$AE$2:$AE$3520,1)</f>
        <v>0</v>
      </c>
      <c r="D26" s="26" t="n">
        <f aca="false">SUMIFS(Sales_Data!$N$2:$N$3520,Sales_Data!$F$2:$F$3520,$B$4,Sales_Data!$C$2:$C$3520,$A26,Sales_Data!$AE$2:$AE$3520,1)</f>
        <v>9</v>
      </c>
      <c r="E26" s="27" t="n">
        <f aca="false">C26+D26</f>
        <v>9</v>
      </c>
      <c r="F26" s="28" t="n">
        <f aca="false">E26-E25</f>
        <v>-11</v>
      </c>
      <c r="G26" s="30" t="n">
        <f aca="false">AVERAGE(E20:E26)</f>
        <v>10.5714285714286</v>
      </c>
      <c r="H26" s="26" t="n">
        <f aca="false">SUM($E$14:E26)</f>
        <v>128</v>
      </c>
      <c r="I26" s="31" t="n">
        <f aca="false">IFERROR(SUMIFS(Sales_Data!$O$2:$O$3520,Sales_Data!$C$2:$C$3520,$A26,Sales_Data!$H$2:$H$3520,$B$5,Sales_Data!$AE$2:$AE$3520,1)/COUNTIF(Roster!$D$2:$D$251,$B$5),0)</f>
        <v>0.6875</v>
      </c>
      <c r="J26" s="78" t="n">
        <f aca="false">E26-I26</f>
        <v>8.3125</v>
      </c>
      <c r="K26" s="3"/>
      <c r="L26" s="3"/>
      <c r="M26" s="3"/>
      <c r="N26" s="3"/>
      <c r="O26" s="3"/>
      <c r="P26" s="3"/>
      <c r="Q26" s="3"/>
      <c r="R26" s="3"/>
      <c r="S26" s="3"/>
      <c r="T26" s="3"/>
    </row>
    <row r="27" customFormat="false" ht="15" hidden="false" customHeight="false" outlineLevel="0" collapsed="false">
      <c r="A27" s="72" t="n">
        <v>46238</v>
      </c>
      <c r="B27" s="26" t="n">
        <f aca="false">SUMIFS(Sales_Data!$AE$2:$AE$3520,Sales_Data!$F$2:$F$3520,$B$4,Sales_Data!$C$2:$C$3520,$A27)</f>
        <v>2</v>
      </c>
      <c r="C27" s="26" t="n">
        <f aca="false">SUMIFS(Sales_Data!$M$2:$M$3520,Sales_Data!$F$2:$F$3520,$B$4,Sales_Data!$C$2:$C$3520,$A27,Sales_Data!$AE$2:$AE$3520,1)</f>
        <v>0</v>
      </c>
      <c r="D27" s="26" t="n">
        <f aca="false">SUMIFS(Sales_Data!$N$2:$N$3520,Sales_Data!$F$2:$F$3520,$B$4,Sales_Data!$C$2:$C$3520,$A27,Sales_Data!$AE$2:$AE$3520,1)</f>
        <v>4</v>
      </c>
      <c r="E27" s="27" t="n">
        <f aca="false">C27+D27</f>
        <v>4</v>
      </c>
      <c r="F27" s="28" t="n">
        <f aca="false">E27-E26</f>
        <v>-5</v>
      </c>
      <c r="G27" s="30" t="n">
        <f aca="false">AVERAGE(E21:E27)</f>
        <v>9.71428571428571</v>
      </c>
      <c r="H27" s="26" t="n">
        <f aca="false">SUM($E$14:E27)</f>
        <v>132</v>
      </c>
      <c r="I27" s="31" t="n">
        <f aca="false">IFERROR(SUMIFS(Sales_Data!$O$2:$O$3520,Sales_Data!$C$2:$C$3520,$A27,Sales_Data!$H$2:$H$3520,$B$5,Sales_Data!$AE$2:$AE$3520,1)/COUNTIF(Roster!$D$2:$D$251,$B$5),0)</f>
        <v>0.25</v>
      </c>
      <c r="J27" s="78" t="n">
        <f aca="false">E27-I27</f>
        <v>3.75</v>
      </c>
      <c r="K27" s="3"/>
      <c r="L27" s="3"/>
      <c r="M27" s="3"/>
      <c r="N27" s="3"/>
      <c r="O27" s="3"/>
      <c r="P27" s="3"/>
      <c r="Q27" s="3"/>
      <c r="R27" s="3"/>
      <c r="S27" s="3"/>
      <c r="T27" s="3"/>
    </row>
    <row r="28" customFormat="false" ht="15" hidden="false" customHeight="false" outlineLevel="0" collapsed="false">
      <c r="A28" s="72" t="n">
        <v>46239</v>
      </c>
      <c r="B28" s="26" t="n">
        <f aca="false">SUMIFS(Sales_Data!$AE$2:$AE$3520,Sales_Data!$F$2:$F$3520,$B$4,Sales_Data!$C$2:$C$3520,$A28)</f>
        <v>2</v>
      </c>
      <c r="C28" s="26" t="n">
        <f aca="false">SUMIFS(Sales_Data!$M$2:$M$3520,Sales_Data!$F$2:$F$3520,$B$4,Sales_Data!$C$2:$C$3520,$A28,Sales_Data!$AE$2:$AE$3520,1)</f>
        <v>0</v>
      </c>
      <c r="D28" s="26" t="n">
        <f aca="false">SUMIFS(Sales_Data!$N$2:$N$3520,Sales_Data!$F$2:$F$3520,$B$4,Sales_Data!$C$2:$C$3520,$A28,Sales_Data!$AE$2:$AE$3520,1)</f>
        <v>3</v>
      </c>
      <c r="E28" s="27" t="n">
        <f aca="false">C28+D28</f>
        <v>3</v>
      </c>
      <c r="F28" s="28" t="n">
        <f aca="false">E28-E27</f>
        <v>-1</v>
      </c>
      <c r="G28" s="30" t="n">
        <f aca="false">AVERAGE(E22:E28)</f>
        <v>7.57142857142857</v>
      </c>
      <c r="H28" s="26" t="n">
        <f aca="false">SUM($E$14:E28)</f>
        <v>135</v>
      </c>
      <c r="I28" s="31" t="n">
        <f aca="false">IFERROR(SUMIFS(Sales_Data!$O$2:$O$3520,Sales_Data!$C$2:$C$3520,$A28,Sales_Data!$H$2:$H$3520,$B$5,Sales_Data!$AE$2:$AE$3520,1)/COUNTIF(Roster!$D$2:$D$251,$B$5),0)</f>
        <v>0.25</v>
      </c>
      <c r="J28" s="78" t="n">
        <f aca="false">E28-I28</f>
        <v>2.75</v>
      </c>
      <c r="K28" s="3"/>
      <c r="L28" s="3"/>
      <c r="M28" s="3"/>
      <c r="N28" s="3"/>
      <c r="O28" s="3"/>
      <c r="P28" s="3"/>
      <c r="Q28" s="3"/>
      <c r="R28" s="3"/>
      <c r="S28" s="3"/>
      <c r="T28" s="3"/>
    </row>
    <row r="29" customFormat="false" ht="15" hidden="false" customHeight="false" outlineLevel="0" collapsed="false">
      <c r="A29" s="72" t="n">
        <v>46240</v>
      </c>
      <c r="B29" s="26" t="n">
        <f aca="false">SUMIFS(Sales_Data!$AE$2:$AE$3520,Sales_Data!$F$2:$F$3520,$B$4,Sales_Data!$C$2:$C$3520,$A29)</f>
        <v>4</v>
      </c>
      <c r="C29" s="26" t="n">
        <f aca="false">SUMIFS(Sales_Data!$M$2:$M$3520,Sales_Data!$F$2:$F$3520,$B$4,Sales_Data!$C$2:$C$3520,$A29,Sales_Data!$AE$2:$AE$3520,1)</f>
        <v>1</v>
      </c>
      <c r="D29" s="26" t="n">
        <f aca="false">SUMIFS(Sales_Data!$N$2:$N$3520,Sales_Data!$F$2:$F$3520,$B$4,Sales_Data!$C$2:$C$3520,$A29,Sales_Data!$AE$2:$AE$3520,1)</f>
        <v>7</v>
      </c>
      <c r="E29" s="27" t="n">
        <f aca="false">C29+D29</f>
        <v>8</v>
      </c>
      <c r="F29" s="28" t="n">
        <f aca="false">E29-E28</f>
        <v>5</v>
      </c>
      <c r="G29" s="30" t="n">
        <f aca="false">AVERAGE(E23:E29)</f>
        <v>7.42857142857143</v>
      </c>
      <c r="H29" s="26" t="n">
        <f aca="false">SUM($E$14:E29)</f>
        <v>143</v>
      </c>
      <c r="I29" s="31" t="n">
        <f aca="false">IFERROR(SUMIFS(Sales_Data!$O$2:$O$3520,Sales_Data!$C$2:$C$3520,$A29,Sales_Data!$H$2:$H$3520,$B$5,Sales_Data!$AE$2:$AE$3520,1)/COUNTIF(Roster!$D$2:$D$251,$B$5),0)</f>
        <v>0.5</v>
      </c>
      <c r="J29" s="78" t="n">
        <f aca="false">E29-I29</f>
        <v>7.5</v>
      </c>
      <c r="K29" s="3"/>
      <c r="L29" s="3"/>
      <c r="M29" s="3"/>
      <c r="N29" s="3"/>
      <c r="O29" s="3"/>
      <c r="P29" s="3"/>
      <c r="Q29" s="3"/>
      <c r="R29" s="3"/>
      <c r="S29" s="3"/>
      <c r="T29" s="3"/>
    </row>
    <row r="30" customFormat="false" ht="15" hidden="false" customHeight="false" outlineLevel="0" collapsed="false">
      <c r="A30" s="72" t="n">
        <v>46241</v>
      </c>
      <c r="B30" s="26" t="n">
        <f aca="false">SUMIFS(Sales_Data!$AE$2:$AE$3520,Sales_Data!$F$2:$F$3520,$B$4,Sales_Data!$C$2:$C$3520,$A30)</f>
        <v>3</v>
      </c>
      <c r="C30" s="26" t="n">
        <f aca="false">SUMIFS(Sales_Data!$M$2:$M$3520,Sales_Data!$F$2:$F$3520,$B$4,Sales_Data!$C$2:$C$3520,$A30,Sales_Data!$AE$2:$AE$3520,1)</f>
        <v>1</v>
      </c>
      <c r="D30" s="26" t="n">
        <f aca="false">SUMIFS(Sales_Data!$N$2:$N$3520,Sales_Data!$F$2:$F$3520,$B$4,Sales_Data!$C$2:$C$3520,$A30,Sales_Data!$AE$2:$AE$3520,1)</f>
        <v>4</v>
      </c>
      <c r="E30" s="27" t="n">
        <f aca="false">C30+D30</f>
        <v>5</v>
      </c>
      <c r="F30" s="28" t="n">
        <f aca="false">E30-E29</f>
        <v>-3</v>
      </c>
      <c r="G30" s="30" t="n">
        <f aca="false">AVERAGE(E24:E30)</f>
        <v>7</v>
      </c>
      <c r="H30" s="26" t="n">
        <f aca="false">SUM($E$14:E30)</f>
        <v>148</v>
      </c>
      <c r="I30" s="31" t="n">
        <f aca="false">IFERROR(SUMIFS(Sales_Data!$O$2:$O$3520,Sales_Data!$C$2:$C$3520,$A30,Sales_Data!$H$2:$H$3520,$B$5,Sales_Data!$AE$2:$AE$3520,1)/COUNTIF(Roster!$D$2:$D$251,$B$5),0)</f>
        <v>0.5625</v>
      </c>
      <c r="J30" s="78" t="n">
        <f aca="false">E30-I30</f>
        <v>4.4375</v>
      </c>
      <c r="K30" s="3"/>
      <c r="L30" s="3"/>
      <c r="M30" s="3"/>
      <c r="N30" s="3"/>
      <c r="O30" s="3"/>
      <c r="P30" s="3"/>
      <c r="Q30" s="3"/>
      <c r="R30" s="3"/>
      <c r="S30" s="3"/>
      <c r="T30" s="3"/>
    </row>
    <row r="31" customFormat="false" ht="15" hidden="false" customHeight="false" outlineLevel="0" collapsed="false">
      <c r="A31" s="72" t="n">
        <v>46242</v>
      </c>
      <c r="B31" s="26" t="n">
        <f aca="false">SUMIFS(Sales_Data!$AE$2:$AE$3520,Sales_Data!$F$2:$F$3520,$B$4,Sales_Data!$C$2:$C$3520,$A31)</f>
        <v>0</v>
      </c>
      <c r="C31" s="26" t="n">
        <f aca="false">SUMIFS(Sales_Data!$M$2:$M$3520,Sales_Data!$F$2:$F$3520,$B$4,Sales_Data!$C$2:$C$3520,$A31,Sales_Data!$AE$2:$AE$3520,1)</f>
        <v>0</v>
      </c>
      <c r="D31" s="26" t="n">
        <f aca="false">SUMIFS(Sales_Data!$N$2:$N$3520,Sales_Data!$F$2:$F$3520,$B$4,Sales_Data!$C$2:$C$3520,$A31,Sales_Data!$AE$2:$AE$3520,1)</f>
        <v>0</v>
      </c>
      <c r="E31" s="27" t="n">
        <f aca="false">C31+D31</f>
        <v>0</v>
      </c>
      <c r="F31" s="28" t="n">
        <f aca="false">E31-E30</f>
        <v>-5</v>
      </c>
      <c r="G31" s="30" t="n">
        <f aca="false">AVERAGE(E25:E31)</f>
        <v>7</v>
      </c>
      <c r="H31" s="26" t="n">
        <f aca="false">SUM($E$14:E31)</f>
        <v>148</v>
      </c>
      <c r="I31" s="31" t="n">
        <f aca="false">IFERROR(SUMIFS(Sales_Data!$O$2:$O$3520,Sales_Data!$C$2:$C$3520,$A31,Sales_Data!$H$2:$H$3520,$B$5,Sales_Data!$AE$2:$AE$3520,1)/COUNTIF(Roster!$D$2:$D$251,$B$5),0)</f>
        <v>0</v>
      </c>
      <c r="J31" s="78" t="n">
        <f aca="false">E31-I31</f>
        <v>0</v>
      </c>
      <c r="K31" s="3"/>
      <c r="L31" s="3"/>
      <c r="M31" s="3"/>
      <c r="N31" s="3"/>
      <c r="O31" s="3"/>
      <c r="P31" s="3"/>
      <c r="Q31" s="3"/>
      <c r="R31" s="3"/>
      <c r="S31" s="3"/>
      <c r="T31" s="3"/>
    </row>
    <row r="32" customFormat="false" ht="15" hidden="false" customHeight="false" outlineLevel="0" collapsed="false">
      <c r="A32" s="72" t="n">
        <v>46243</v>
      </c>
      <c r="B32" s="26" t="n">
        <f aca="false">SUMIFS(Sales_Data!$AE$2:$AE$3520,Sales_Data!$F$2:$F$3520,$B$4,Sales_Data!$C$2:$C$3520,$A32)</f>
        <v>1</v>
      </c>
      <c r="C32" s="26" t="n">
        <f aca="false">SUMIFS(Sales_Data!$M$2:$M$3520,Sales_Data!$F$2:$F$3520,$B$4,Sales_Data!$C$2:$C$3520,$A32,Sales_Data!$AE$2:$AE$3520,1)</f>
        <v>1</v>
      </c>
      <c r="D32" s="26" t="n">
        <f aca="false">SUMIFS(Sales_Data!$N$2:$N$3520,Sales_Data!$F$2:$F$3520,$B$4,Sales_Data!$C$2:$C$3520,$A32,Sales_Data!$AE$2:$AE$3520,1)</f>
        <v>0</v>
      </c>
      <c r="E32" s="27" t="n">
        <f aca="false">C32+D32</f>
        <v>1</v>
      </c>
      <c r="F32" s="28" t="n">
        <f aca="false">E32-E31</f>
        <v>1</v>
      </c>
      <c r="G32" s="30" t="n">
        <f aca="false">AVERAGE(E26:E32)</f>
        <v>4.28571428571429</v>
      </c>
      <c r="H32" s="26" t="n">
        <f aca="false">SUM($E$14:E32)</f>
        <v>149</v>
      </c>
      <c r="I32" s="31" t="n">
        <f aca="false">IFERROR(SUMIFS(Sales_Data!$O$2:$O$3520,Sales_Data!$C$2:$C$3520,$A32,Sales_Data!$H$2:$H$3520,$B$5,Sales_Data!$AE$2:$AE$3520,1)/COUNTIF(Roster!$D$2:$D$251,$B$5),0)</f>
        <v>0.0625</v>
      </c>
      <c r="J32" s="78" t="n">
        <f aca="false">E32-I32</f>
        <v>0.9375</v>
      </c>
      <c r="K32" s="3"/>
      <c r="L32" s="3"/>
      <c r="M32" s="3"/>
      <c r="N32" s="3"/>
      <c r="O32" s="3"/>
      <c r="P32" s="3"/>
      <c r="Q32" s="3"/>
      <c r="R32" s="3"/>
      <c r="S32" s="3"/>
      <c r="T32" s="3"/>
    </row>
    <row r="33" customFormat="false" ht="15" hidden="false" customHeight="false" outlineLevel="0" collapsed="false">
      <c r="A33" s="72" t="n">
        <v>46244</v>
      </c>
      <c r="B33" s="26" t="n">
        <f aca="false">SUMIFS(Sales_Data!$AE$2:$AE$3520,Sales_Data!$F$2:$F$3520,$B$4,Sales_Data!$C$2:$C$3520,$A33)</f>
        <v>1</v>
      </c>
      <c r="C33" s="26" t="n">
        <f aca="false">SUMIFS(Sales_Data!$M$2:$M$3520,Sales_Data!$F$2:$F$3520,$B$4,Sales_Data!$C$2:$C$3520,$A33,Sales_Data!$AE$2:$AE$3520,1)</f>
        <v>0</v>
      </c>
      <c r="D33" s="26" t="n">
        <f aca="false">SUMIFS(Sales_Data!$N$2:$N$3520,Sales_Data!$F$2:$F$3520,$B$4,Sales_Data!$C$2:$C$3520,$A33,Sales_Data!$AE$2:$AE$3520,1)</f>
        <v>2</v>
      </c>
      <c r="E33" s="27" t="n">
        <f aca="false">C33+D33</f>
        <v>2</v>
      </c>
      <c r="F33" s="28" t="n">
        <f aca="false">E33-E32</f>
        <v>1</v>
      </c>
      <c r="G33" s="30" t="n">
        <f aca="false">AVERAGE(E27:E33)</f>
        <v>3.28571428571429</v>
      </c>
      <c r="H33" s="26" t="n">
        <f aca="false">SUM($E$14:E33)</f>
        <v>151</v>
      </c>
      <c r="I33" s="31" t="n">
        <f aca="false">IFERROR(SUMIFS(Sales_Data!$O$2:$O$3520,Sales_Data!$C$2:$C$3520,$A33,Sales_Data!$H$2:$H$3520,$B$5,Sales_Data!$AE$2:$AE$3520,1)/COUNTIF(Roster!$D$2:$D$251,$B$5),0)</f>
        <v>0.3125</v>
      </c>
      <c r="J33" s="78" t="n">
        <f aca="false">E33-I33</f>
        <v>1.6875</v>
      </c>
      <c r="K33" s="3"/>
      <c r="L33" s="3"/>
      <c r="M33" s="3"/>
      <c r="N33" s="3"/>
      <c r="O33" s="3"/>
      <c r="P33" s="3"/>
      <c r="Q33" s="3"/>
      <c r="R33" s="3"/>
      <c r="S33" s="3"/>
      <c r="T33" s="3"/>
    </row>
    <row r="34" customFormat="false" ht="15" hidden="false" customHeight="false" outlineLevel="0" collapsed="false">
      <c r="A34" s="72" t="n">
        <v>46245</v>
      </c>
      <c r="B34" s="26" t="n">
        <f aca="false">SUMIFS(Sales_Data!$AE$2:$AE$3520,Sales_Data!$F$2:$F$3520,$B$4,Sales_Data!$C$2:$C$3520,$A34)</f>
        <v>0</v>
      </c>
      <c r="C34" s="26" t="n">
        <f aca="false">SUMIFS(Sales_Data!$M$2:$M$3520,Sales_Data!$F$2:$F$3520,$B$4,Sales_Data!$C$2:$C$3520,$A34,Sales_Data!$AE$2:$AE$3520,1)</f>
        <v>0</v>
      </c>
      <c r="D34" s="26" t="n">
        <f aca="false">SUMIFS(Sales_Data!$N$2:$N$3520,Sales_Data!$F$2:$F$3520,$B$4,Sales_Data!$C$2:$C$3520,$A34,Sales_Data!$AE$2:$AE$3520,1)</f>
        <v>0</v>
      </c>
      <c r="E34" s="27" t="n">
        <f aca="false">C34+D34</f>
        <v>0</v>
      </c>
      <c r="F34" s="28" t="n">
        <f aca="false">E34-E33</f>
        <v>-2</v>
      </c>
      <c r="G34" s="30" t="n">
        <f aca="false">AVERAGE(E28:E34)</f>
        <v>2.71428571428571</v>
      </c>
      <c r="H34" s="26" t="n">
        <f aca="false">SUM($E$14:E34)</f>
        <v>151</v>
      </c>
      <c r="I34" s="31" t="n">
        <f aca="false">IFERROR(SUMIFS(Sales_Data!$O$2:$O$3520,Sales_Data!$C$2:$C$3520,$A34,Sales_Data!$H$2:$H$3520,$B$5,Sales_Data!$AE$2:$AE$3520,1)/COUNTIF(Roster!$D$2:$D$251,$B$5),0)</f>
        <v>0</v>
      </c>
      <c r="J34" s="78" t="n">
        <f aca="false">E34-I34</f>
        <v>0</v>
      </c>
      <c r="K34" s="3"/>
      <c r="L34" s="3"/>
      <c r="M34" s="3"/>
      <c r="N34" s="3"/>
      <c r="O34" s="3"/>
      <c r="P34" s="3"/>
      <c r="Q34" s="3"/>
      <c r="R34" s="3"/>
      <c r="S34" s="3"/>
      <c r="T34" s="3"/>
    </row>
    <row r="35" customFormat="false" ht="15" hidden="false" customHeight="false" outlineLevel="0" collapsed="false">
      <c r="A35" s="72" t="n">
        <v>46246</v>
      </c>
      <c r="B35" s="26" t="n">
        <f aca="false">SUMIFS(Sales_Data!$AE$2:$AE$3520,Sales_Data!$F$2:$F$3520,$B$4,Sales_Data!$C$2:$C$3520,$A35)</f>
        <v>0</v>
      </c>
      <c r="C35" s="26" t="n">
        <f aca="false">SUMIFS(Sales_Data!$M$2:$M$3520,Sales_Data!$F$2:$F$3520,$B$4,Sales_Data!$C$2:$C$3520,$A35,Sales_Data!$AE$2:$AE$3520,1)</f>
        <v>0</v>
      </c>
      <c r="D35" s="26" t="n">
        <f aca="false">SUMIFS(Sales_Data!$N$2:$N$3520,Sales_Data!$F$2:$F$3520,$B$4,Sales_Data!$C$2:$C$3520,$A35,Sales_Data!$AE$2:$AE$3520,1)</f>
        <v>0</v>
      </c>
      <c r="E35" s="27" t="n">
        <f aca="false">C35+D35</f>
        <v>0</v>
      </c>
      <c r="F35" s="28" t="n">
        <f aca="false">E35-E34</f>
        <v>0</v>
      </c>
      <c r="G35" s="30" t="n">
        <f aca="false">AVERAGE(E29:E35)</f>
        <v>2.28571428571429</v>
      </c>
      <c r="H35" s="26" t="n">
        <f aca="false">SUM($E$14:E35)</f>
        <v>151</v>
      </c>
      <c r="I35" s="31" t="n">
        <f aca="false">IFERROR(SUMIFS(Sales_Data!$O$2:$O$3520,Sales_Data!$C$2:$C$3520,$A35,Sales_Data!$H$2:$H$3520,$B$5,Sales_Data!$AE$2:$AE$3520,1)/COUNTIF(Roster!$D$2:$D$251,$B$5),0)</f>
        <v>0</v>
      </c>
      <c r="J35" s="78" t="n">
        <f aca="false">E35-I35</f>
        <v>0</v>
      </c>
      <c r="K35" s="3"/>
      <c r="L35" s="3"/>
      <c r="M35" s="3"/>
      <c r="N35" s="3"/>
      <c r="O35" s="3"/>
      <c r="P35" s="3"/>
      <c r="Q35" s="3"/>
      <c r="R35" s="3"/>
      <c r="S35" s="3"/>
      <c r="T35" s="3"/>
    </row>
    <row r="36" customFormat="false" ht="15" hidden="false" customHeight="false" outlineLevel="0" collapsed="false">
      <c r="A36" s="72" t="n">
        <v>46247</v>
      </c>
      <c r="B36" s="26" t="n">
        <f aca="false">SUMIFS(Sales_Data!$AE$2:$AE$3520,Sales_Data!$F$2:$F$3520,$B$4,Sales_Data!$C$2:$C$3520,$A36)</f>
        <v>0</v>
      </c>
      <c r="C36" s="26" t="n">
        <f aca="false">SUMIFS(Sales_Data!$M$2:$M$3520,Sales_Data!$F$2:$F$3520,$B$4,Sales_Data!$C$2:$C$3520,$A36,Sales_Data!$AE$2:$AE$3520,1)</f>
        <v>0</v>
      </c>
      <c r="D36" s="26" t="n">
        <f aca="false">SUMIFS(Sales_Data!$N$2:$N$3520,Sales_Data!$F$2:$F$3520,$B$4,Sales_Data!$C$2:$C$3520,$A36,Sales_Data!$AE$2:$AE$3520,1)</f>
        <v>0</v>
      </c>
      <c r="E36" s="27" t="n">
        <f aca="false">C36+D36</f>
        <v>0</v>
      </c>
      <c r="F36" s="28" t="n">
        <f aca="false">E36-E35</f>
        <v>0</v>
      </c>
      <c r="G36" s="30" t="n">
        <f aca="false">AVERAGE(E30:E36)</f>
        <v>1.14285714285714</v>
      </c>
      <c r="H36" s="26" t="n">
        <f aca="false">SUM($E$14:E36)</f>
        <v>151</v>
      </c>
      <c r="I36" s="31" t="n">
        <f aca="false">IFERROR(SUMIFS(Sales_Data!$O$2:$O$3520,Sales_Data!$C$2:$C$3520,$A36,Sales_Data!$H$2:$H$3520,$B$5,Sales_Data!$AE$2:$AE$3520,1)/COUNTIF(Roster!$D$2:$D$251,$B$5),0)</f>
        <v>0.1875</v>
      </c>
      <c r="J36" s="78" t="n">
        <f aca="false">E36-I36</f>
        <v>-0.1875</v>
      </c>
      <c r="K36" s="3"/>
      <c r="L36" s="3"/>
      <c r="M36" s="3"/>
      <c r="N36" s="3"/>
      <c r="O36" s="3"/>
      <c r="P36" s="3"/>
      <c r="Q36" s="3"/>
      <c r="R36" s="3"/>
      <c r="S36" s="3"/>
      <c r="T36" s="3"/>
    </row>
    <row r="37" customFormat="false" ht="15" hidden="false" customHeight="false" outlineLevel="0" collapsed="false">
      <c r="A37" s="72" t="n">
        <v>46248</v>
      </c>
      <c r="B37" s="26" t="n">
        <f aca="false">SUMIFS(Sales_Data!$AE$2:$AE$3520,Sales_Data!$F$2:$F$3520,$B$4,Sales_Data!$C$2:$C$3520,$A37)</f>
        <v>0</v>
      </c>
      <c r="C37" s="26" t="n">
        <f aca="false">SUMIFS(Sales_Data!$M$2:$M$3520,Sales_Data!$F$2:$F$3520,$B$4,Sales_Data!$C$2:$C$3520,$A37,Sales_Data!$AE$2:$AE$3520,1)</f>
        <v>0</v>
      </c>
      <c r="D37" s="26" t="n">
        <f aca="false">SUMIFS(Sales_Data!$N$2:$N$3520,Sales_Data!$F$2:$F$3520,$B$4,Sales_Data!$C$2:$C$3520,$A37,Sales_Data!$AE$2:$AE$3520,1)</f>
        <v>0</v>
      </c>
      <c r="E37" s="27" t="n">
        <f aca="false">C37+D37</f>
        <v>0</v>
      </c>
      <c r="F37" s="28" t="n">
        <f aca="false">E37-E36</f>
        <v>0</v>
      </c>
      <c r="G37" s="30" t="n">
        <f aca="false">AVERAGE(E31:E37)</f>
        <v>0.428571428571429</v>
      </c>
      <c r="H37" s="26" t="n">
        <f aca="false">SUM($E$14:E37)</f>
        <v>151</v>
      </c>
      <c r="I37" s="31" t="n">
        <f aca="false">IFERROR(SUMIFS(Sales_Data!$O$2:$O$3520,Sales_Data!$C$2:$C$3520,$A37,Sales_Data!$H$2:$H$3520,$B$5,Sales_Data!$AE$2:$AE$3520,1)/COUNTIF(Roster!$D$2:$D$251,$B$5),0)</f>
        <v>0.0625</v>
      </c>
      <c r="J37" s="78" t="n">
        <f aca="false">E37-I37</f>
        <v>-0.0625</v>
      </c>
      <c r="K37" s="3"/>
      <c r="L37" s="3"/>
      <c r="M37" s="3"/>
      <c r="N37" s="3"/>
      <c r="O37" s="3"/>
      <c r="P37" s="3"/>
      <c r="Q37" s="3"/>
      <c r="R37" s="3"/>
      <c r="S37" s="3"/>
      <c r="T37" s="3"/>
    </row>
    <row r="38" customFormat="false" ht="15" hidden="false" customHeight="false" outlineLevel="0" collapsed="false">
      <c r="A38" s="72" t="n">
        <v>46249</v>
      </c>
      <c r="B38" s="26" t="n">
        <f aca="false">SUMIFS(Sales_Data!$AE$2:$AE$3520,Sales_Data!$F$2:$F$3520,$B$4,Sales_Data!$C$2:$C$3520,$A38)</f>
        <v>0</v>
      </c>
      <c r="C38" s="26" t="n">
        <f aca="false">SUMIFS(Sales_Data!$M$2:$M$3520,Sales_Data!$F$2:$F$3520,$B$4,Sales_Data!$C$2:$C$3520,$A38,Sales_Data!$AE$2:$AE$3520,1)</f>
        <v>0</v>
      </c>
      <c r="D38" s="26" t="n">
        <f aca="false">SUMIFS(Sales_Data!$N$2:$N$3520,Sales_Data!$F$2:$F$3520,$B$4,Sales_Data!$C$2:$C$3520,$A38,Sales_Data!$AE$2:$AE$3520,1)</f>
        <v>0</v>
      </c>
      <c r="E38" s="27" t="n">
        <f aca="false">C38+D38</f>
        <v>0</v>
      </c>
      <c r="F38" s="28" t="n">
        <f aca="false">E38-E37</f>
        <v>0</v>
      </c>
      <c r="G38" s="30" t="n">
        <f aca="false">AVERAGE(E32:E38)</f>
        <v>0.428571428571429</v>
      </c>
      <c r="H38" s="26" t="n">
        <f aca="false">SUM($E$14:E38)</f>
        <v>151</v>
      </c>
      <c r="I38" s="31" t="n">
        <f aca="false">IFERROR(SUMIFS(Sales_Data!$O$2:$O$3520,Sales_Data!$C$2:$C$3520,$A38,Sales_Data!$H$2:$H$3520,$B$5,Sales_Data!$AE$2:$AE$3520,1)/COUNTIF(Roster!$D$2:$D$251,$B$5),0)</f>
        <v>0.0625</v>
      </c>
      <c r="J38" s="78" t="n">
        <f aca="false">E38-I38</f>
        <v>-0.0625</v>
      </c>
      <c r="K38" s="3"/>
      <c r="L38" s="3"/>
      <c r="M38" s="3"/>
      <c r="N38" s="3"/>
      <c r="O38" s="3"/>
      <c r="P38" s="3"/>
      <c r="Q38" s="3"/>
      <c r="R38" s="3"/>
      <c r="S38" s="3"/>
      <c r="T38" s="3"/>
    </row>
    <row r="39" customFormat="false" ht="15" hidden="false" customHeight="false" outlineLevel="0" collapsed="false">
      <c r="A39" s="72" t="n">
        <v>46250</v>
      </c>
      <c r="B39" s="26" t="n">
        <f aca="false">SUMIFS(Sales_Data!$AE$2:$AE$3520,Sales_Data!$F$2:$F$3520,$B$4,Sales_Data!$C$2:$C$3520,$A39)</f>
        <v>0</v>
      </c>
      <c r="C39" s="26" t="n">
        <f aca="false">SUMIFS(Sales_Data!$M$2:$M$3520,Sales_Data!$F$2:$F$3520,$B$4,Sales_Data!$C$2:$C$3520,$A39,Sales_Data!$AE$2:$AE$3520,1)</f>
        <v>0</v>
      </c>
      <c r="D39" s="26" t="n">
        <f aca="false">SUMIFS(Sales_Data!$N$2:$N$3520,Sales_Data!$F$2:$F$3520,$B$4,Sales_Data!$C$2:$C$3520,$A39,Sales_Data!$AE$2:$AE$3520,1)</f>
        <v>0</v>
      </c>
      <c r="E39" s="27" t="n">
        <f aca="false">C39+D39</f>
        <v>0</v>
      </c>
      <c r="F39" s="28" t="n">
        <f aca="false">E39-E38</f>
        <v>0</v>
      </c>
      <c r="G39" s="30" t="n">
        <f aca="false">AVERAGE(E33:E39)</f>
        <v>0.285714285714286</v>
      </c>
      <c r="H39" s="26" t="n">
        <f aca="false">SUM($E$14:E39)</f>
        <v>151</v>
      </c>
      <c r="I39" s="31" t="n">
        <f aca="false">IFERROR(SUMIFS(Sales_Data!$O$2:$O$3520,Sales_Data!$C$2:$C$3520,$A39,Sales_Data!$H$2:$H$3520,$B$5,Sales_Data!$AE$2:$AE$3520,1)/COUNTIF(Roster!$D$2:$D$251,$B$5),0)</f>
        <v>0.125</v>
      </c>
      <c r="J39" s="78" t="n">
        <f aca="false">E39-I39</f>
        <v>-0.125</v>
      </c>
      <c r="K39" s="3"/>
      <c r="L39" s="3"/>
      <c r="M39" s="3"/>
      <c r="N39" s="3"/>
      <c r="O39" s="3"/>
      <c r="P39" s="3"/>
      <c r="Q39" s="3"/>
      <c r="R39" s="3"/>
      <c r="S39" s="3"/>
      <c r="T39" s="3"/>
    </row>
    <row r="40" customFormat="false" ht="15" hidden="false" customHeight="false" outlineLevel="0" collapsed="false">
      <c r="A40" s="72" t="n">
        <v>46251</v>
      </c>
      <c r="B40" s="26" t="n">
        <f aca="false">SUMIFS(Sales_Data!$AE$2:$AE$3520,Sales_Data!$F$2:$F$3520,$B$4,Sales_Data!$C$2:$C$3520,$A40)</f>
        <v>0</v>
      </c>
      <c r="C40" s="26" t="n">
        <f aca="false">SUMIFS(Sales_Data!$M$2:$M$3520,Sales_Data!$F$2:$F$3520,$B$4,Sales_Data!$C$2:$C$3520,$A40,Sales_Data!$AE$2:$AE$3520,1)</f>
        <v>0</v>
      </c>
      <c r="D40" s="26" t="n">
        <f aca="false">SUMIFS(Sales_Data!$N$2:$N$3520,Sales_Data!$F$2:$F$3520,$B$4,Sales_Data!$C$2:$C$3520,$A40,Sales_Data!$AE$2:$AE$3520,1)</f>
        <v>0</v>
      </c>
      <c r="E40" s="27" t="n">
        <f aca="false">C40+D40</f>
        <v>0</v>
      </c>
      <c r="F40" s="28" t="n">
        <f aca="false">E40-E39</f>
        <v>0</v>
      </c>
      <c r="G40" s="30" t="n">
        <f aca="false">AVERAGE(E34:E40)</f>
        <v>0</v>
      </c>
      <c r="H40" s="26" t="n">
        <f aca="false">SUM($E$14:E40)</f>
        <v>151</v>
      </c>
      <c r="I40" s="31" t="n">
        <f aca="false">IFERROR(SUMIFS(Sales_Data!$O$2:$O$3520,Sales_Data!$C$2:$C$3520,$A40,Sales_Data!$H$2:$H$3520,$B$5,Sales_Data!$AE$2:$AE$3520,1)/COUNTIF(Roster!$D$2:$D$251,$B$5),0)</f>
        <v>0.1875</v>
      </c>
      <c r="J40" s="78" t="n">
        <f aca="false">E40-I40</f>
        <v>-0.1875</v>
      </c>
      <c r="K40" s="3"/>
      <c r="L40" s="3"/>
      <c r="M40" s="3"/>
      <c r="N40" s="3"/>
      <c r="O40" s="3"/>
      <c r="P40" s="3"/>
      <c r="Q40" s="3"/>
      <c r="R40" s="3"/>
      <c r="S40" s="3"/>
      <c r="T40" s="3"/>
    </row>
    <row r="41" customFormat="false" ht="15" hidden="false" customHeight="false" outlineLevel="0" collapsed="false">
      <c r="A41" s="72" t="n">
        <v>46252</v>
      </c>
      <c r="B41" s="26" t="n">
        <f aca="false">SUMIFS(Sales_Data!$AE$2:$AE$3520,Sales_Data!$F$2:$F$3520,$B$4,Sales_Data!$C$2:$C$3520,$A41)</f>
        <v>0</v>
      </c>
      <c r="C41" s="26" t="n">
        <f aca="false">SUMIFS(Sales_Data!$M$2:$M$3520,Sales_Data!$F$2:$F$3520,$B$4,Sales_Data!$C$2:$C$3520,$A41,Sales_Data!$AE$2:$AE$3520,1)</f>
        <v>0</v>
      </c>
      <c r="D41" s="26" t="n">
        <f aca="false">SUMIFS(Sales_Data!$N$2:$N$3520,Sales_Data!$F$2:$F$3520,$B$4,Sales_Data!$C$2:$C$3520,$A41,Sales_Data!$AE$2:$AE$3520,1)</f>
        <v>0</v>
      </c>
      <c r="E41" s="27" t="n">
        <f aca="false">C41+D41</f>
        <v>0</v>
      </c>
      <c r="F41" s="28" t="n">
        <f aca="false">E41-E40</f>
        <v>0</v>
      </c>
      <c r="G41" s="30" t="n">
        <f aca="false">AVERAGE(E35:E41)</f>
        <v>0</v>
      </c>
      <c r="H41" s="26" t="n">
        <f aca="false">SUM($E$14:E41)</f>
        <v>151</v>
      </c>
      <c r="I41" s="31" t="n">
        <f aca="false">IFERROR(SUMIFS(Sales_Data!$O$2:$O$3520,Sales_Data!$C$2:$C$3520,$A41,Sales_Data!$H$2:$H$3520,$B$5,Sales_Data!$AE$2:$AE$3520,1)/COUNTIF(Roster!$D$2:$D$251,$B$5),0)</f>
        <v>0.375</v>
      </c>
      <c r="J41" s="78" t="n">
        <f aca="false">E41-I41</f>
        <v>-0.375</v>
      </c>
      <c r="K41" s="3"/>
      <c r="L41" s="3"/>
      <c r="M41" s="3"/>
      <c r="N41" s="3"/>
      <c r="O41" s="3"/>
      <c r="P41" s="3"/>
      <c r="Q41" s="3"/>
      <c r="R41" s="3"/>
      <c r="S41" s="3"/>
      <c r="T41" s="3"/>
    </row>
    <row r="42" customFormat="false" ht="15" hidden="false" customHeight="false" outlineLevel="0" collapsed="false">
      <c r="A42" s="72" t="n">
        <v>46253</v>
      </c>
      <c r="B42" s="26" t="n">
        <f aca="false">SUMIFS(Sales_Data!$AE$2:$AE$3520,Sales_Data!$F$2:$F$3520,$B$4,Sales_Data!$C$2:$C$3520,$A42)</f>
        <v>0</v>
      </c>
      <c r="C42" s="26" t="n">
        <f aca="false">SUMIFS(Sales_Data!$M$2:$M$3520,Sales_Data!$F$2:$F$3520,$B$4,Sales_Data!$C$2:$C$3520,$A42,Sales_Data!$AE$2:$AE$3520,1)</f>
        <v>0</v>
      </c>
      <c r="D42" s="26" t="n">
        <f aca="false">SUMIFS(Sales_Data!$N$2:$N$3520,Sales_Data!$F$2:$F$3520,$B$4,Sales_Data!$C$2:$C$3520,$A42,Sales_Data!$AE$2:$AE$3520,1)</f>
        <v>0</v>
      </c>
      <c r="E42" s="27" t="n">
        <f aca="false">C42+D42</f>
        <v>0</v>
      </c>
      <c r="F42" s="28" t="n">
        <f aca="false">E42-E41</f>
        <v>0</v>
      </c>
      <c r="G42" s="30" t="n">
        <f aca="false">AVERAGE(E36:E42)</f>
        <v>0</v>
      </c>
      <c r="H42" s="26" t="n">
        <f aca="false">SUM($E$14:E42)</f>
        <v>151</v>
      </c>
      <c r="I42" s="31" t="n">
        <f aca="false">IFERROR(SUMIFS(Sales_Data!$O$2:$O$3520,Sales_Data!$C$2:$C$3520,$A42,Sales_Data!$H$2:$H$3520,$B$5,Sales_Data!$AE$2:$AE$3520,1)/COUNTIF(Roster!$D$2:$D$251,$B$5),0)</f>
        <v>0</v>
      </c>
      <c r="J42" s="78" t="n">
        <f aca="false">E42-I42</f>
        <v>0</v>
      </c>
      <c r="K42" s="3"/>
      <c r="L42" s="3"/>
      <c r="M42" s="3"/>
      <c r="N42" s="3"/>
      <c r="O42" s="3"/>
      <c r="P42" s="3"/>
      <c r="Q42" s="3"/>
      <c r="R42" s="3"/>
      <c r="S42" s="3"/>
      <c r="T42" s="3"/>
    </row>
    <row r="43" customFormat="false" ht="15" hidden="false" customHeight="false" outlineLevel="0" collapsed="false">
      <c r="A43" s="72" t="n">
        <v>46254</v>
      </c>
      <c r="B43" s="26" t="n">
        <f aca="false">SUMIFS(Sales_Data!$AE$2:$AE$3520,Sales_Data!$F$2:$F$3520,$B$4,Sales_Data!$C$2:$C$3520,$A43)</f>
        <v>0</v>
      </c>
      <c r="C43" s="26" t="n">
        <f aca="false">SUMIFS(Sales_Data!$M$2:$M$3520,Sales_Data!$F$2:$F$3520,$B$4,Sales_Data!$C$2:$C$3520,$A43,Sales_Data!$AE$2:$AE$3520,1)</f>
        <v>0</v>
      </c>
      <c r="D43" s="26" t="n">
        <f aca="false">SUMIFS(Sales_Data!$N$2:$N$3520,Sales_Data!$F$2:$F$3520,$B$4,Sales_Data!$C$2:$C$3520,$A43,Sales_Data!$AE$2:$AE$3520,1)</f>
        <v>0</v>
      </c>
      <c r="E43" s="27" t="n">
        <f aca="false">C43+D43</f>
        <v>0</v>
      </c>
      <c r="F43" s="28" t="n">
        <f aca="false">E43-E42</f>
        <v>0</v>
      </c>
      <c r="G43" s="30" t="n">
        <f aca="false">AVERAGE(E37:E43)</f>
        <v>0</v>
      </c>
      <c r="H43" s="26" t="n">
        <f aca="false">SUM($E$14:E43)</f>
        <v>151</v>
      </c>
      <c r="I43" s="31" t="n">
        <f aca="false">IFERROR(SUMIFS(Sales_Data!$O$2:$O$3520,Sales_Data!$C$2:$C$3520,$A43,Sales_Data!$H$2:$H$3520,$B$5,Sales_Data!$AE$2:$AE$3520,1)/COUNTIF(Roster!$D$2:$D$251,$B$5),0)</f>
        <v>0.0625</v>
      </c>
      <c r="J43" s="78" t="n">
        <f aca="false">E43-I43</f>
        <v>-0.0625</v>
      </c>
      <c r="K43" s="3"/>
      <c r="L43" s="3"/>
      <c r="M43" s="3"/>
      <c r="N43" s="3"/>
      <c r="O43" s="3"/>
      <c r="P43" s="3"/>
      <c r="Q43" s="3"/>
      <c r="R43" s="3"/>
      <c r="S43" s="3"/>
      <c r="T43" s="3"/>
    </row>
    <row r="44" customFormat="false" ht="15" hidden="false" customHeight="false" outlineLevel="0" collapsed="false">
      <c r="A44" s="72" t="n">
        <v>46255</v>
      </c>
      <c r="B44" s="26" t="n">
        <f aca="false">SUMIFS(Sales_Data!$AE$2:$AE$3520,Sales_Data!$F$2:$F$3520,$B$4,Sales_Data!$C$2:$C$3520,$A44)</f>
        <v>0</v>
      </c>
      <c r="C44" s="26" t="n">
        <f aca="false">SUMIFS(Sales_Data!$M$2:$M$3520,Sales_Data!$F$2:$F$3520,$B$4,Sales_Data!$C$2:$C$3520,$A44,Sales_Data!$AE$2:$AE$3520,1)</f>
        <v>0</v>
      </c>
      <c r="D44" s="26" t="n">
        <f aca="false">SUMIFS(Sales_Data!$N$2:$N$3520,Sales_Data!$F$2:$F$3520,$B$4,Sales_Data!$C$2:$C$3520,$A44,Sales_Data!$AE$2:$AE$3520,1)</f>
        <v>0</v>
      </c>
      <c r="E44" s="27" t="n">
        <f aca="false">C44+D44</f>
        <v>0</v>
      </c>
      <c r="F44" s="28" t="n">
        <f aca="false">E44-E43</f>
        <v>0</v>
      </c>
      <c r="G44" s="30" t="n">
        <f aca="false">AVERAGE(E38:E44)</f>
        <v>0</v>
      </c>
      <c r="H44" s="26" t="n">
        <f aca="false">SUM($E$14:E44)</f>
        <v>151</v>
      </c>
      <c r="I44" s="31" t="n">
        <f aca="false">IFERROR(SUMIFS(Sales_Data!$O$2:$O$3520,Sales_Data!$C$2:$C$3520,$A44,Sales_Data!$H$2:$H$3520,$B$5,Sales_Data!$AE$2:$AE$3520,1)/COUNTIF(Roster!$D$2:$D$251,$B$5),0)</f>
        <v>0.1875</v>
      </c>
      <c r="J44" s="78" t="n">
        <f aca="false">E44-I44</f>
        <v>-0.1875</v>
      </c>
      <c r="K44" s="3"/>
      <c r="L44" s="3"/>
      <c r="M44" s="3"/>
      <c r="N44" s="3"/>
      <c r="O44" s="3"/>
      <c r="P44" s="3"/>
      <c r="Q44" s="3"/>
      <c r="R44" s="3"/>
      <c r="S44" s="3"/>
      <c r="T44" s="3"/>
    </row>
    <row r="45" customFormat="false" ht="15" hidden="false" customHeight="false" outlineLevel="0" collapsed="false">
      <c r="A45" s="72" t="n">
        <v>46256</v>
      </c>
      <c r="B45" s="26" t="n">
        <f aca="false">SUMIFS(Sales_Data!$AE$2:$AE$3520,Sales_Data!$F$2:$F$3520,$B$4,Sales_Data!$C$2:$C$3520,$A45)</f>
        <v>4</v>
      </c>
      <c r="C45" s="26" t="n">
        <f aca="false">SUMIFS(Sales_Data!$M$2:$M$3520,Sales_Data!$F$2:$F$3520,$B$4,Sales_Data!$C$2:$C$3520,$A45,Sales_Data!$AE$2:$AE$3520,1)</f>
        <v>1</v>
      </c>
      <c r="D45" s="26" t="n">
        <f aca="false">SUMIFS(Sales_Data!$N$2:$N$3520,Sales_Data!$F$2:$F$3520,$B$4,Sales_Data!$C$2:$C$3520,$A45,Sales_Data!$AE$2:$AE$3520,1)</f>
        <v>3</v>
      </c>
      <c r="E45" s="27" t="n">
        <f aca="false">C45+D45</f>
        <v>4</v>
      </c>
      <c r="F45" s="28" t="n">
        <f aca="false">E45-E44</f>
        <v>4</v>
      </c>
      <c r="G45" s="30" t="n">
        <f aca="false">AVERAGE(E39:E45)</f>
        <v>0.571428571428571</v>
      </c>
      <c r="H45" s="26" t="n">
        <f aca="false">SUM($E$14:E45)</f>
        <v>155</v>
      </c>
      <c r="I45" s="31" t="n">
        <f aca="false">IFERROR(SUMIFS(Sales_Data!$O$2:$O$3520,Sales_Data!$C$2:$C$3520,$A45,Sales_Data!$H$2:$H$3520,$B$5,Sales_Data!$AE$2:$AE$3520,1)/COUNTIF(Roster!$D$2:$D$251,$B$5),0)</f>
        <v>0.4375</v>
      </c>
      <c r="J45" s="78" t="n">
        <f aca="false">E45-I45</f>
        <v>3.5625</v>
      </c>
      <c r="K45" s="3"/>
      <c r="L45" s="3"/>
      <c r="M45" s="3"/>
      <c r="N45" s="3"/>
      <c r="O45" s="3"/>
      <c r="P45" s="3"/>
      <c r="Q45" s="3"/>
      <c r="R45" s="3"/>
      <c r="S45" s="3"/>
      <c r="T45" s="3"/>
    </row>
    <row r="46" customFormat="false" ht="15" hidden="false" customHeight="false" outlineLevel="0" collapsed="false">
      <c r="A46" s="72" t="n">
        <v>46257</v>
      </c>
      <c r="B46" s="26" t="n">
        <f aca="false">SUMIFS(Sales_Data!$AE$2:$AE$3520,Sales_Data!$F$2:$F$3520,$B$4,Sales_Data!$C$2:$C$3520,$A46)</f>
        <v>11</v>
      </c>
      <c r="C46" s="26" t="n">
        <f aca="false">SUMIFS(Sales_Data!$M$2:$M$3520,Sales_Data!$F$2:$F$3520,$B$4,Sales_Data!$C$2:$C$3520,$A46,Sales_Data!$AE$2:$AE$3520,1)</f>
        <v>0</v>
      </c>
      <c r="D46" s="26" t="n">
        <f aca="false">SUMIFS(Sales_Data!$N$2:$N$3520,Sales_Data!$F$2:$F$3520,$B$4,Sales_Data!$C$2:$C$3520,$A46,Sales_Data!$AE$2:$AE$3520,1)</f>
        <v>15</v>
      </c>
      <c r="E46" s="27" t="n">
        <f aca="false">C46+D46</f>
        <v>15</v>
      </c>
      <c r="F46" s="28" t="n">
        <f aca="false">E46-E45</f>
        <v>11</v>
      </c>
      <c r="G46" s="30" t="n">
        <f aca="false">AVERAGE(E40:E46)</f>
        <v>2.71428571428571</v>
      </c>
      <c r="H46" s="26" t="n">
        <f aca="false">SUM($E$14:E46)</f>
        <v>170</v>
      </c>
      <c r="I46" s="31" t="n">
        <f aca="false">IFERROR(SUMIFS(Sales_Data!$O$2:$O$3520,Sales_Data!$C$2:$C$3520,$A46,Sales_Data!$H$2:$H$3520,$B$5,Sales_Data!$AE$2:$AE$3520,1)/COUNTIF(Roster!$D$2:$D$251,$B$5),0)</f>
        <v>1.125</v>
      </c>
      <c r="J46" s="78" t="n">
        <f aca="false">E46-I46</f>
        <v>13.875</v>
      </c>
      <c r="K46" s="3"/>
      <c r="L46" s="3"/>
      <c r="M46" s="3"/>
      <c r="N46" s="3"/>
      <c r="O46" s="3"/>
      <c r="P46" s="3"/>
      <c r="Q46" s="3"/>
      <c r="R46" s="3"/>
      <c r="S46" s="3"/>
      <c r="T46" s="3"/>
    </row>
    <row r="47" customFormat="false" ht="15" hidden="false" customHeight="false" outlineLevel="0" collapsed="false">
      <c r="A47" s="72" t="n">
        <v>46258</v>
      </c>
      <c r="B47" s="26" t="n">
        <f aca="false">SUMIFS(Sales_Data!$AE$2:$AE$3520,Sales_Data!$F$2:$F$3520,$B$4,Sales_Data!$C$2:$C$3520,$A47)</f>
        <v>0</v>
      </c>
      <c r="C47" s="26" t="n">
        <f aca="false">SUMIFS(Sales_Data!$M$2:$M$3520,Sales_Data!$F$2:$F$3520,$B$4,Sales_Data!$C$2:$C$3520,$A47,Sales_Data!$AE$2:$AE$3520,1)</f>
        <v>0</v>
      </c>
      <c r="D47" s="26" t="n">
        <f aca="false">SUMIFS(Sales_Data!$N$2:$N$3520,Sales_Data!$F$2:$F$3520,$B$4,Sales_Data!$C$2:$C$3520,$A47,Sales_Data!$AE$2:$AE$3520,1)</f>
        <v>0</v>
      </c>
      <c r="E47" s="27" t="n">
        <f aca="false">C47+D47</f>
        <v>0</v>
      </c>
      <c r="F47" s="28" t="n">
        <f aca="false">E47-E46</f>
        <v>-15</v>
      </c>
      <c r="G47" s="30" t="n">
        <f aca="false">AVERAGE(E41:E47)</f>
        <v>2.71428571428571</v>
      </c>
      <c r="H47" s="26" t="n">
        <f aca="false">SUM($E$14:E47)</f>
        <v>170</v>
      </c>
      <c r="I47" s="31" t="n">
        <f aca="false">IFERROR(SUMIFS(Sales_Data!$O$2:$O$3520,Sales_Data!$C$2:$C$3520,$A47,Sales_Data!$H$2:$H$3520,$B$5,Sales_Data!$AE$2:$AE$3520,1)/COUNTIF(Roster!$D$2:$D$251,$B$5),0)</f>
        <v>0.5625</v>
      </c>
      <c r="J47" s="78" t="n">
        <f aca="false">E47-I47</f>
        <v>-0.5625</v>
      </c>
      <c r="K47" s="3"/>
      <c r="L47" s="3"/>
      <c r="M47" s="3"/>
      <c r="N47" s="3"/>
      <c r="O47" s="3"/>
      <c r="P47" s="3"/>
      <c r="Q47" s="3"/>
      <c r="R47" s="3"/>
      <c r="S47" s="3"/>
      <c r="T47" s="3"/>
    </row>
    <row r="48" customFormat="false" ht="15" hidden="false" customHeight="false" outlineLevel="0" collapsed="false">
      <c r="A48" s="72" t="n">
        <v>46259</v>
      </c>
      <c r="B48" s="26" t="n">
        <f aca="false">SUMIFS(Sales_Data!$AE$2:$AE$3520,Sales_Data!$F$2:$F$3520,$B$4,Sales_Data!$C$2:$C$3520,$A48)</f>
        <v>0</v>
      </c>
      <c r="C48" s="26" t="n">
        <f aca="false">SUMIFS(Sales_Data!$M$2:$M$3520,Sales_Data!$F$2:$F$3520,$B$4,Sales_Data!$C$2:$C$3520,$A48,Sales_Data!$AE$2:$AE$3520,1)</f>
        <v>0</v>
      </c>
      <c r="D48" s="26" t="n">
        <f aca="false">SUMIFS(Sales_Data!$N$2:$N$3520,Sales_Data!$F$2:$F$3520,$B$4,Sales_Data!$C$2:$C$3520,$A48,Sales_Data!$AE$2:$AE$3520,1)</f>
        <v>0</v>
      </c>
      <c r="E48" s="27" t="n">
        <f aca="false">C48+D48</f>
        <v>0</v>
      </c>
      <c r="F48" s="28" t="n">
        <f aca="false">E48-E47</f>
        <v>0</v>
      </c>
      <c r="G48" s="30" t="n">
        <f aca="false">AVERAGE(E42:E48)</f>
        <v>2.71428571428571</v>
      </c>
      <c r="H48" s="26" t="n">
        <f aca="false">SUM($E$14:E48)</f>
        <v>170</v>
      </c>
      <c r="I48" s="31" t="n">
        <f aca="false">IFERROR(SUMIFS(Sales_Data!$O$2:$O$3520,Sales_Data!$C$2:$C$3520,$A48,Sales_Data!$H$2:$H$3520,$B$5,Sales_Data!$AE$2:$AE$3520,1)/COUNTIF(Roster!$D$2:$D$251,$B$5),0)</f>
        <v>0.5</v>
      </c>
      <c r="J48" s="78" t="n">
        <f aca="false">E48-I48</f>
        <v>-0.5</v>
      </c>
      <c r="K48" s="3"/>
      <c r="L48" s="3"/>
      <c r="M48" s="3"/>
      <c r="N48" s="3"/>
      <c r="O48" s="3"/>
      <c r="P48" s="3"/>
      <c r="Q48" s="3"/>
      <c r="R48" s="3"/>
      <c r="S48" s="3"/>
      <c r="T48" s="3"/>
    </row>
    <row r="49" customFormat="false" ht="15" hidden="false" customHeight="false" outlineLevel="0" collapsed="false">
      <c r="A49" s="72" t="n">
        <v>46260</v>
      </c>
      <c r="B49" s="26" t="n">
        <f aca="false">SUMIFS(Sales_Data!$AE$2:$AE$3520,Sales_Data!$F$2:$F$3520,$B$4,Sales_Data!$C$2:$C$3520,$A49)</f>
        <v>0</v>
      </c>
      <c r="C49" s="26" t="n">
        <f aca="false">SUMIFS(Sales_Data!$M$2:$M$3520,Sales_Data!$F$2:$F$3520,$B$4,Sales_Data!$C$2:$C$3520,$A49,Sales_Data!$AE$2:$AE$3520,1)</f>
        <v>0</v>
      </c>
      <c r="D49" s="26" t="n">
        <f aca="false">SUMIFS(Sales_Data!$N$2:$N$3520,Sales_Data!$F$2:$F$3520,$B$4,Sales_Data!$C$2:$C$3520,$A49,Sales_Data!$AE$2:$AE$3520,1)</f>
        <v>0</v>
      </c>
      <c r="E49" s="27" t="n">
        <f aca="false">C49+D49</f>
        <v>0</v>
      </c>
      <c r="F49" s="28" t="n">
        <f aca="false">E49-E48</f>
        <v>0</v>
      </c>
      <c r="G49" s="30" t="n">
        <f aca="false">AVERAGE(E43:E49)</f>
        <v>2.71428571428571</v>
      </c>
      <c r="H49" s="26" t="n">
        <f aca="false">SUM($E$14:E49)</f>
        <v>170</v>
      </c>
      <c r="I49" s="31" t="n">
        <f aca="false">IFERROR(SUMIFS(Sales_Data!$O$2:$O$3520,Sales_Data!$C$2:$C$3520,$A49,Sales_Data!$H$2:$H$3520,$B$5,Sales_Data!$AE$2:$AE$3520,1)/COUNTIF(Roster!$D$2:$D$251,$B$5),0)</f>
        <v>0.25</v>
      </c>
      <c r="J49" s="78" t="n">
        <f aca="false">E49-I49</f>
        <v>-0.25</v>
      </c>
      <c r="K49" s="3"/>
      <c r="L49" s="3"/>
      <c r="M49" s="3"/>
      <c r="N49" s="3"/>
      <c r="O49" s="3"/>
      <c r="P49" s="3"/>
      <c r="Q49" s="3"/>
      <c r="R49" s="3"/>
      <c r="S49" s="3"/>
      <c r="T49" s="3"/>
    </row>
    <row r="50" customFormat="false" ht="15" hidden="false" customHeight="false" outlineLevel="0" collapsed="false">
      <c r="A50" s="72" t="n">
        <v>46261</v>
      </c>
      <c r="B50" s="26" t="n">
        <f aca="false">SUMIFS(Sales_Data!$AE$2:$AE$3520,Sales_Data!$F$2:$F$3520,$B$4,Sales_Data!$C$2:$C$3520,$A50)</f>
        <v>0</v>
      </c>
      <c r="C50" s="26" t="n">
        <f aca="false">SUMIFS(Sales_Data!$M$2:$M$3520,Sales_Data!$F$2:$F$3520,$B$4,Sales_Data!$C$2:$C$3520,$A50,Sales_Data!$AE$2:$AE$3520,1)</f>
        <v>0</v>
      </c>
      <c r="D50" s="26" t="n">
        <f aca="false">SUMIFS(Sales_Data!$N$2:$N$3520,Sales_Data!$F$2:$F$3520,$B$4,Sales_Data!$C$2:$C$3520,$A50,Sales_Data!$AE$2:$AE$3520,1)</f>
        <v>0</v>
      </c>
      <c r="E50" s="27" t="n">
        <f aca="false">C50+D50</f>
        <v>0</v>
      </c>
      <c r="F50" s="28" t="n">
        <f aca="false">E50-E49</f>
        <v>0</v>
      </c>
      <c r="G50" s="30" t="n">
        <f aca="false">AVERAGE(E44:E50)</f>
        <v>2.71428571428571</v>
      </c>
      <c r="H50" s="26" t="n">
        <f aca="false">SUM($E$14:E50)</f>
        <v>170</v>
      </c>
      <c r="I50" s="31" t="n">
        <f aca="false">IFERROR(SUMIFS(Sales_Data!$O$2:$O$3520,Sales_Data!$C$2:$C$3520,$A50,Sales_Data!$H$2:$H$3520,$B$5,Sales_Data!$AE$2:$AE$3520,1)/COUNTIF(Roster!$D$2:$D$251,$B$5),0)</f>
        <v>0.125</v>
      </c>
      <c r="J50" s="78" t="n">
        <f aca="false">E50-I50</f>
        <v>-0.125</v>
      </c>
      <c r="K50" s="3"/>
      <c r="L50" s="3"/>
      <c r="M50" s="3"/>
      <c r="N50" s="3"/>
      <c r="O50" s="3"/>
      <c r="P50" s="3"/>
      <c r="Q50" s="3"/>
      <c r="R50" s="3"/>
      <c r="S50" s="3"/>
      <c r="T50" s="3"/>
    </row>
    <row r="51" customFormat="false" ht="15" hidden="false" customHeight="false" outlineLevel="0" collapsed="false">
      <c r="A51" s="72" t="n">
        <v>46262</v>
      </c>
      <c r="B51" s="26" t="n">
        <f aca="false">SUMIFS(Sales_Data!$AE$2:$AE$3520,Sales_Data!$F$2:$F$3520,$B$4,Sales_Data!$C$2:$C$3520,$A51)</f>
        <v>1</v>
      </c>
      <c r="C51" s="26" t="n">
        <f aca="false">SUMIFS(Sales_Data!$M$2:$M$3520,Sales_Data!$F$2:$F$3520,$B$4,Sales_Data!$C$2:$C$3520,$A51,Sales_Data!$AE$2:$AE$3520,1)</f>
        <v>1</v>
      </c>
      <c r="D51" s="26" t="n">
        <f aca="false">SUMIFS(Sales_Data!$N$2:$N$3520,Sales_Data!$F$2:$F$3520,$B$4,Sales_Data!$C$2:$C$3520,$A51,Sales_Data!$AE$2:$AE$3520,1)</f>
        <v>0</v>
      </c>
      <c r="E51" s="27" t="n">
        <f aca="false">C51+D51</f>
        <v>1</v>
      </c>
      <c r="F51" s="28" t="n">
        <f aca="false">E51-E50</f>
        <v>1</v>
      </c>
      <c r="G51" s="30" t="n">
        <f aca="false">AVERAGE(E45:E51)</f>
        <v>2.85714285714286</v>
      </c>
      <c r="H51" s="26" t="n">
        <f aca="false">SUM($E$14:E51)</f>
        <v>171</v>
      </c>
      <c r="I51" s="31" t="n">
        <f aca="false">IFERROR(SUMIFS(Sales_Data!$O$2:$O$3520,Sales_Data!$C$2:$C$3520,$A51,Sales_Data!$H$2:$H$3520,$B$5,Sales_Data!$AE$2:$AE$3520,1)/COUNTIF(Roster!$D$2:$D$251,$B$5),0)</f>
        <v>0.25</v>
      </c>
      <c r="J51" s="78" t="n">
        <f aca="false">E51-I51</f>
        <v>0.75</v>
      </c>
      <c r="K51" s="3"/>
      <c r="L51" s="3"/>
      <c r="M51" s="3"/>
      <c r="N51" s="3"/>
      <c r="O51" s="3"/>
      <c r="P51" s="3"/>
      <c r="Q51" s="3"/>
      <c r="R51" s="3"/>
      <c r="S51" s="3"/>
      <c r="T51" s="3"/>
    </row>
    <row r="52" customFormat="false" ht="15" hidden="false" customHeight="false" outlineLevel="0" collapsed="false">
      <c r="A52" s="72" t="n">
        <v>46263</v>
      </c>
      <c r="B52" s="26" t="n">
        <f aca="false">SUMIFS(Sales_Data!$AE$2:$AE$3520,Sales_Data!$F$2:$F$3520,$B$4,Sales_Data!$C$2:$C$3520,$A52)</f>
        <v>6</v>
      </c>
      <c r="C52" s="26" t="n">
        <f aca="false">SUMIFS(Sales_Data!$M$2:$M$3520,Sales_Data!$F$2:$F$3520,$B$4,Sales_Data!$C$2:$C$3520,$A52,Sales_Data!$AE$2:$AE$3520,1)</f>
        <v>2</v>
      </c>
      <c r="D52" s="26" t="n">
        <f aca="false">SUMIFS(Sales_Data!$N$2:$N$3520,Sales_Data!$F$2:$F$3520,$B$4,Sales_Data!$C$2:$C$3520,$A52,Sales_Data!$AE$2:$AE$3520,1)</f>
        <v>6</v>
      </c>
      <c r="E52" s="27" t="n">
        <f aca="false">C52+D52</f>
        <v>8</v>
      </c>
      <c r="F52" s="28" t="n">
        <f aca="false">E52-E51</f>
        <v>7</v>
      </c>
      <c r="G52" s="30" t="n">
        <f aca="false">AVERAGE(E46:E52)</f>
        <v>3.42857142857143</v>
      </c>
      <c r="H52" s="26" t="n">
        <f aca="false">SUM($E$14:E52)</f>
        <v>179</v>
      </c>
      <c r="I52" s="31" t="n">
        <f aca="false">IFERROR(SUMIFS(Sales_Data!$O$2:$O$3520,Sales_Data!$C$2:$C$3520,$A52,Sales_Data!$H$2:$H$3520,$B$5,Sales_Data!$AE$2:$AE$3520,1)/COUNTIF(Roster!$D$2:$D$251,$B$5),0)</f>
        <v>0.9375</v>
      </c>
      <c r="J52" s="78" t="n">
        <f aca="false">E52-I52</f>
        <v>7.0625</v>
      </c>
      <c r="K52" s="3"/>
      <c r="L52" s="3"/>
      <c r="M52" s="3"/>
      <c r="N52" s="3"/>
      <c r="O52" s="3"/>
      <c r="P52" s="3"/>
      <c r="Q52" s="3"/>
      <c r="R52" s="3"/>
      <c r="S52" s="3"/>
      <c r="T52" s="3"/>
    </row>
    <row r="53" customFormat="false" ht="15" hidden="false" customHeight="false" outlineLevel="0" collapsed="false">
      <c r="A53" s="72" t="n">
        <v>46264</v>
      </c>
      <c r="B53" s="26" t="n">
        <f aca="false">SUMIFS(Sales_Data!$AE$2:$AE$3520,Sales_Data!$F$2:$F$3520,$B$4,Sales_Data!$C$2:$C$3520,$A53)</f>
        <v>0</v>
      </c>
      <c r="C53" s="26" t="n">
        <f aca="false">SUMIFS(Sales_Data!$M$2:$M$3520,Sales_Data!$F$2:$F$3520,$B$4,Sales_Data!$C$2:$C$3520,$A53,Sales_Data!$AE$2:$AE$3520,1)</f>
        <v>0</v>
      </c>
      <c r="D53" s="26" t="n">
        <f aca="false">SUMIFS(Sales_Data!$N$2:$N$3520,Sales_Data!$F$2:$F$3520,$B$4,Sales_Data!$C$2:$C$3520,$A53,Sales_Data!$AE$2:$AE$3520,1)</f>
        <v>0</v>
      </c>
      <c r="E53" s="27" t="n">
        <f aca="false">C53+D53</f>
        <v>0</v>
      </c>
      <c r="F53" s="28" t="n">
        <f aca="false">E53-E52</f>
        <v>-8</v>
      </c>
      <c r="G53" s="30" t="n">
        <f aca="false">AVERAGE(E47:E53)</f>
        <v>1.28571428571429</v>
      </c>
      <c r="H53" s="26" t="n">
        <f aca="false">SUM($E$14:E53)</f>
        <v>179</v>
      </c>
      <c r="I53" s="31" t="n">
        <f aca="false">IFERROR(SUMIFS(Sales_Data!$O$2:$O$3520,Sales_Data!$C$2:$C$3520,$A53,Sales_Data!$H$2:$H$3520,$B$5,Sales_Data!$AE$2:$AE$3520,1)/COUNTIF(Roster!$D$2:$D$251,$B$5),0)</f>
        <v>0.3125</v>
      </c>
      <c r="J53" s="78" t="n">
        <f aca="false">E53-I53</f>
        <v>-0.3125</v>
      </c>
      <c r="K53" s="3"/>
      <c r="L53" s="3"/>
      <c r="M53" s="3"/>
      <c r="N53" s="3"/>
      <c r="O53" s="3"/>
      <c r="P53" s="3"/>
      <c r="Q53" s="3"/>
      <c r="R53" s="3"/>
      <c r="S53" s="3"/>
      <c r="T53" s="3"/>
    </row>
    <row r="54" customFormat="false" ht="15" hidden="false" customHeight="false" outlineLevel="0" collapsed="false">
      <c r="A54" s="72" t="n">
        <v>46265</v>
      </c>
      <c r="B54" s="26" t="n">
        <f aca="false">SUMIFS(Sales_Data!$AE$2:$AE$3520,Sales_Data!$F$2:$F$3520,$B$4,Sales_Data!$C$2:$C$3520,$A54)</f>
        <v>7</v>
      </c>
      <c r="C54" s="26" t="n">
        <f aca="false">SUMIFS(Sales_Data!$M$2:$M$3520,Sales_Data!$F$2:$F$3520,$B$4,Sales_Data!$C$2:$C$3520,$A54,Sales_Data!$AE$2:$AE$3520,1)</f>
        <v>4</v>
      </c>
      <c r="D54" s="26" t="n">
        <f aca="false">SUMIFS(Sales_Data!$N$2:$N$3520,Sales_Data!$F$2:$F$3520,$B$4,Sales_Data!$C$2:$C$3520,$A54,Sales_Data!$AE$2:$AE$3520,1)</f>
        <v>3</v>
      </c>
      <c r="E54" s="27" t="n">
        <f aca="false">C54+D54</f>
        <v>7</v>
      </c>
      <c r="F54" s="28" t="n">
        <f aca="false">E54-E53</f>
        <v>7</v>
      </c>
      <c r="G54" s="30" t="n">
        <f aca="false">AVERAGE(E48:E54)</f>
        <v>2.28571428571429</v>
      </c>
      <c r="H54" s="26" t="n">
        <f aca="false">SUM($E$14:E54)</f>
        <v>186</v>
      </c>
      <c r="I54" s="31" t="n">
        <f aca="false">IFERROR(SUMIFS(Sales_Data!$O$2:$O$3520,Sales_Data!$C$2:$C$3520,$A54,Sales_Data!$H$2:$H$3520,$B$5,Sales_Data!$AE$2:$AE$3520,1)/COUNTIF(Roster!$D$2:$D$251,$B$5),0)</f>
        <v>1.4375</v>
      </c>
      <c r="J54" s="78" t="n">
        <f aca="false">E54-I54</f>
        <v>5.5625</v>
      </c>
      <c r="K54" s="3"/>
      <c r="L54" s="3"/>
      <c r="M54" s="3"/>
      <c r="N54" s="3"/>
      <c r="O54" s="3"/>
      <c r="P54" s="3"/>
      <c r="Q54" s="3"/>
      <c r="R54" s="3"/>
      <c r="S54" s="3"/>
      <c r="T54" s="3"/>
    </row>
    <row r="55" customFormat="false" ht="15" hidden="false" customHeight="false" outlineLevel="0" collapsed="false">
      <c r="A55" s="72" t="n">
        <v>46266</v>
      </c>
      <c r="B55" s="26" t="n">
        <f aca="false">SUMIFS(Sales_Data!$AE$2:$AE$3520,Sales_Data!$F$2:$F$3520,$B$4,Sales_Data!$C$2:$C$3520,$A55)</f>
        <v>1</v>
      </c>
      <c r="C55" s="26" t="n">
        <f aca="false">SUMIFS(Sales_Data!$M$2:$M$3520,Sales_Data!$F$2:$F$3520,$B$4,Sales_Data!$C$2:$C$3520,$A55,Sales_Data!$AE$2:$AE$3520,1)</f>
        <v>1</v>
      </c>
      <c r="D55" s="26" t="n">
        <f aca="false">SUMIFS(Sales_Data!$N$2:$N$3520,Sales_Data!$F$2:$F$3520,$B$4,Sales_Data!$C$2:$C$3520,$A55,Sales_Data!$AE$2:$AE$3520,1)</f>
        <v>0</v>
      </c>
      <c r="E55" s="27" t="n">
        <f aca="false">C55+D55</f>
        <v>1</v>
      </c>
      <c r="F55" s="28" t="n">
        <f aca="false">E55-E54</f>
        <v>-6</v>
      </c>
      <c r="G55" s="30" t="n">
        <f aca="false">AVERAGE(E49:E55)</f>
        <v>2.42857142857143</v>
      </c>
      <c r="H55" s="26" t="n">
        <f aca="false">SUM($E$14:E55)</f>
        <v>187</v>
      </c>
      <c r="I55" s="31" t="n">
        <f aca="false">IFERROR(SUMIFS(Sales_Data!$O$2:$O$3520,Sales_Data!$C$2:$C$3520,$A55,Sales_Data!$H$2:$H$3520,$B$5,Sales_Data!$AE$2:$AE$3520,1)/COUNTIF(Roster!$D$2:$D$251,$B$5),0)</f>
        <v>0.8125</v>
      </c>
      <c r="J55" s="78" t="n">
        <f aca="false">E55-I55</f>
        <v>0.1875</v>
      </c>
      <c r="K55" s="3"/>
      <c r="L55" s="3"/>
      <c r="M55" s="3"/>
      <c r="N55" s="3"/>
      <c r="O55" s="3"/>
      <c r="P55" s="3"/>
      <c r="Q55" s="3"/>
      <c r="R55" s="3"/>
      <c r="S55" s="3"/>
      <c r="T55" s="3"/>
    </row>
    <row r="56" customFormat="false" ht="15" hidden="false" customHeight="false" outlineLevel="0" collapsed="false">
      <c r="A56" s="72" t="n">
        <v>46267</v>
      </c>
      <c r="B56" s="26" t="n">
        <f aca="false">SUMIFS(Sales_Data!$AE$2:$AE$3520,Sales_Data!$F$2:$F$3520,$B$4,Sales_Data!$C$2:$C$3520,$A56)</f>
        <v>0</v>
      </c>
      <c r="C56" s="26" t="n">
        <f aca="false">SUMIFS(Sales_Data!$M$2:$M$3520,Sales_Data!$F$2:$F$3520,$B$4,Sales_Data!$C$2:$C$3520,$A56,Sales_Data!$AE$2:$AE$3520,1)</f>
        <v>0</v>
      </c>
      <c r="D56" s="26" t="n">
        <f aca="false">SUMIFS(Sales_Data!$N$2:$N$3520,Sales_Data!$F$2:$F$3520,$B$4,Sales_Data!$C$2:$C$3520,$A56,Sales_Data!$AE$2:$AE$3520,1)</f>
        <v>0</v>
      </c>
      <c r="E56" s="27" t="n">
        <f aca="false">C56+D56</f>
        <v>0</v>
      </c>
      <c r="F56" s="28" t="n">
        <f aca="false">E56-E55</f>
        <v>-1</v>
      </c>
      <c r="G56" s="30" t="n">
        <f aca="false">AVERAGE(E50:E56)</f>
        <v>2.42857142857143</v>
      </c>
      <c r="H56" s="26" t="n">
        <f aca="false">SUM($E$14:E56)</f>
        <v>187</v>
      </c>
      <c r="I56" s="31" t="n">
        <f aca="false">IFERROR(SUMIFS(Sales_Data!$O$2:$O$3520,Sales_Data!$C$2:$C$3520,$A56,Sales_Data!$H$2:$H$3520,$B$5,Sales_Data!$AE$2:$AE$3520,1)/COUNTIF(Roster!$D$2:$D$251,$B$5),0)</f>
        <v>0.6875</v>
      </c>
      <c r="J56" s="78" t="n">
        <f aca="false">E56-I56</f>
        <v>-0.6875</v>
      </c>
      <c r="K56" s="3"/>
      <c r="L56" s="3"/>
      <c r="M56" s="3"/>
      <c r="N56" s="3"/>
      <c r="O56" s="3"/>
      <c r="P56" s="3"/>
      <c r="Q56" s="3"/>
      <c r="R56" s="3"/>
      <c r="S56" s="3"/>
      <c r="T56" s="3"/>
    </row>
    <row r="57" customFormat="false" ht="15" hidden="false" customHeight="false" outlineLevel="0" collapsed="false">
      <c r="A57" s="72" t="n">
        <v>46268</v>
      </c>
      <c r="B57" s="26" t="n">
        <f aca="false">SUMIFS(Sales_Data!$AE$2:$AE$3520,Sales_Data!$F$2:$F$3520,$B$4,Sales_Data!$C$2:$C$3520,$A57)</f>
        <v>3</v>
      </c>
      <c r="C57" s="26" t="n">
        <f aca="false">SUMIFS(Sales_Data!$M$2:$M$3520,Sales_Data!$F$2:$F$3520,$B$4,Sales_Data!$C$2:$C$3520,$A57,Sales_Data!$AE$2:$AE$3520,1)</f>
        <v>0</v>
      </c>
      <c r="D57" s="26" t="n">
        <f aca="false">SUMIFS(Sales_Data!$N$2:$N$3520,Sales_Data!$F$2:$F$3520,$B$4,Sales_Data!$C$2:$C$3520,$A57,Sales_Data!$AE$2:$AE$3520,1)</f>
        <v>4</v>
      </c>
      <c r="E57" s="27" t="n">
        <f aca="false">C57+D57</f>
        <v>4</v>
      </c>
      <c r="F57" s="28" t="n">
        <f aca="false">E57-E56</f>
        <v>4</v>
      </c>
      <c r="G57" s="30" t="n">
        <f aca="false">AVERAGE(E51:E57)</f>
        <v>3</v>
      </c>
      <c r="H57" s="26" t="n">
        <f aca="false">SUM($E$14:E57)</f>
        <v>191</v>
      </c>
      <c r="I57" s="31" t="n">
        <f aca="false">IFERROR(SUMIFS(Sales_Data!$O$2:$O$3520,Sales_Data!$C$2:$C$3520,$A57,Sales_Data!$H$2:$H$3520,$B$5,Sales_Data!$AE$2:$AE$3520,1)/COUNTIF(Roster!$D$2:$D$251,$B$5),0)</f>
        <v>0.875</v>
      </c>
      <c r="J57" s="78" t="n">
        <f aca="false">E57-I57</f>
        <v>3.125</v>
      </c>
      <c r="K57" s="3"/>
      <c r="L57" s="3"/>
      <c r="M57" s="3"/>
      <c r="N57" s="3"/>
      <c r="O57" s="3"/>
      <c r="P57" s="3"/>
      <c r="Q57" s="3"/>
      <c r="R57" s="3"/>
      <c r="S57" s="3"/>
      <c r="T57" s="3"/>
    </row>
    <row r="58" customFormat="false" ht="15" hidden="false" customHeight="false" outlineLevel="0" collapsed="false">
      <c r="A58" s="72" t="n">
        <v>46269</v>
      </c>
      <c r="B58" s="26" t="n">
        <f aca="false">SUMIFS(Sales_Data!$AE$2:$AE$3520,Sales_Data!$F$2:$F$3520,$B$4,Sales_Data!$C$2:$C$3520,$A58)</f>
        <v>4</v>
      </c>
      <c r="C58" s="26" t="n">
        <f aca="false">SUMIFS(Sales_Data!$M$2:$M$3520,Sales_Data!$F$2:$F$3520,$B$4,Sales_Data!$C$2:$C$3520,$A58,Sales_Data!$AE$2:$AE$3520,1)</f>
        <v>0</v>
      </c>
      <c r="D58" s="26" t="n">
        <f aca="false">SUMIFS(Sales_Data!$N$2:$N$3520,Sales_Data!$F$2:$F$3520,$B$4,Sales_Data!$C$2:$C$3520,$A58,Sales_Data!$AE$2:$AE$3520,1)</f>
        <v>4</v>
      </c>
      <c r="E58" s="27" t="n">
        <f aca="false">C58+D58</f>
        <v>4</v>
      </c>
      <c r="F58" s="28" t="n">
        <f aca="false">E58-E57</f>
        <v>0</v>
      </c>
      <c r="G58" s="30" t="n">
        <f aca="false">AVERAGE(E52:E58)</f>
        <v>3.42857142857143</v>
      </c>
      <c r="H58" s="26" t="n">
        <f aca="false">SUM($E$14:E58)</f>
        <v>195</v>
      </c>
      <c r="I58" s="31" t="n">
        <f aca="false">IFERROR(SUMIFS(Sales_Data!$O$2:$O$3520,Sales_Data!$C$2:$C$3520,$A58,Sales_Data!$H$2:$H$3520,$B$5,Sales_Data!$AE$2:$AE$3520,1)/COUNTIF(Roster!$D$2:$D$251,$B$5),0)</f>
        <v>0.5625</v>
      </c>
      <c r="J58" s="78" t="n">
        <f aca="false">E58-I58</f>
        <v>3.4375</v>
      </c>
      <c r="K58" s="3"/>
      <c r="L58" s="3"/>
      <c r="M58" s="3"/>
      <c r="N58" s="3"/>
      <c r="O58" s="3"/>
      <c r="P58" s="3"/>
      <c r="Q58" s="3"/>
      <c r="R58" s="3"/>
      <c r="S58" s="3"/>
      <c r="T58" s="3"/>
    </row>
    <row r="59" customFormat="false" ht="15" hidden="false" customHeight="false" outlineLevel="0" collapsed="false">
      <c r="A59" s="72" t="n">
        <v>46270</v>
      </c>
      <c r="B59" s="26" t="n">
        <f aca="false">SUMIFS(Sales_Data!$AE$2:$AE$3520,Sales_Data!$F$2:$F$3520,$B$4,Sales_Data!$C$2:$C$3520,$A59)</f>
        <v>6</v>
      </c>
      <c r="C59" s="26" t="n">
        <f aca="false">SUMIFS(Sales_Data!$M$2:$M$3520,Sales_Data!$F$2:$F$3520,$B$4,Sales_Data!$C$2:$C$3520,$A59,Sales_Data!$AE$2:$AE$3520,1)</f>
        <v>1</v>
      </c>
      <c r="D59" s="26" t="n">
        <f aca="false">SUMIFS(Sales_Data!$N$2:$N$3520,Sales_Data!$F$2:$F$3520,$B$4,Sales_Data!$C$2:$C$3520,$A59,Sales_Data!$AE$2:$AE$3520,1)</f>
        <v>7</v>
      </c>
      <c r="E59" s="27" t="n">
        <f aca="false">C59+D59</f>
        <v>8</v>
      </c>
      <c r="F59" s="28" t="n">
        <f aca="false">E59-E58</f>
        <v>4</v>
      </c>
      <c r="G59" s="30" t="n">
        <f aca="false">AVERAGE(E53:E59)</f>
        <v>3.42857142857143</v>
      </c>
      <c r="H59" s="26" t="n">
        <f aca="false">SUM($E$14:E59)</f>
        <v>203</v>
      </c>
      <c r="I59" s="31" t="n">
        <f aca="false">IFERROR(SUMIFS(Sales_Data!$O$2:$O$3520,Sales_Data!$C$2:$C$3520,$A59,Sales_Data!$H$2:$H$3520,$B$5,Sales_Data!$AE$2:$AE$3520,1)/COUNTIF(Roster!$D$2:$D$251,$B$5),0)</f>
        <v>1.25</v>
      </c>
      <c r="J59" s="78" t="n">
        <f aca="false">E59-I59</f>
        <v>6.75</v>
      </c>
      <c r="K59" s="3"/>
      <c r="L59" s="3"/>
      <c r="M59" s="3"/>
      <c r="N59" s="3"/>
      <c r="O59" s="3"/>
      <c r="P59" s="3"/>
      <c r="Q59" s="3"/>
      <c r="R59" s="3"/>
      <c r="S59" s="3"/>
      <c r="T59" s="3"/>
    </row>
    <row r="60" customFormat="false" ht="15" hidden="false" customHeight="false" outlineLevel="0" collapsed="false">
      <c r="A60" s="72" t="n">
        <v>46271</v>
      </c>
      <c r="B60" s="26" t="n">
        <f aca="false">SUMIFS(Sales_Data!$AE$2:$AE$3520,Sales_Data!$F$2:$F$3520,$B$4,Sales_Data!$C$2:$C$3520,$A60)</f>
        <v>0</v>
      </c>
      <c r="C60" s="26" t="n">
        <f aca="false">SUMIFS(Sales_Data!$M$2:$M$3520,Sales_Data!$F$2:$F$3520,$B$4,Sales_Data!$C$2:$C$3520,$A60,Sales_Data!$AE$2:$AE$3520,1)</f>
        <v>0</v>
      </c>
      <c r="D60" s="26" t="n">
        <f aca="false">SUMIFS(Sales_Data!$N$2:$N$3520,Sales_Data!$F$2:$F$3520,$B$4,Sales_Data!$C$2:$C$3520,$A60,Sales_Data!$AE$2:$AE$3520,1)</f>
        <v>0</v>
      </c>
      <c r="E60" s="27" t="n">
        <f aca="false">C60+D60</f>
        <v>0</v>
      </c>
      <c r="F60" s="28" t="n">
        <f aca="false">E60-E59</f>
        <v>-8</v>
      </c>
      <c r="G60" s="30" t="n">
        <f aca="false">AVERAGE(E54:E60)</f>
        <v>3.42857142857143</v>
      </c>
      <c r="H60" s="26" t="n">
        <f aca="false">SUM($E$14:E60)</f>
        <v>203</v>
      </c>
      <c r="I60" s="31" t="n">
        <f aca="false">IFERROR(SUMIFS(Sales_Data!$O$2:$O$3520,Sales_Data!$C$2:$C$3520,$A60,Sales_Data!$H$2:$H$3520,$B$5,Sales_Data!$AE$2:$AE$3520,1)/COUNTIF(Roster!$D$2:$D$251,$B$5),0)</f>
        <v>0.5</v>
      </c>
      <c r="J60" s="78" t="n">
        <f aca="false">E60-I60</f>
        <v>-0.5</v>
      </c>
      <c r="K60" s="3"/>
      <c r="L60" s="3"/>
      <c r="M60" s="3"/>
      <c r="N60" s="3"/>
      <c r="O60" s="3"/>
      <c r="P60" s="3"/>
      <c r="Q60" s="3"/>
      <c r="R60" s="3"/>
      <c r="S60" s="3"/>
      <c r="T60" s="3"/>
    </row>
    <row r="61" customFormat="false" ht="15" hidden="false" customHeight="false" outlineLevel="0" collapsed="false">
      <c r="A61" s="72" t="n">
        <v>46272</v>
      </c>
      <c r="B61" s="26" t="n">
        <f aca="false">SUMIFS(Sales_Data!$AE$2:$AE$3520,Sales_Data!$F$2:$F$3520,$B$4,Sales_Data!$C$2:$C$3520,$A61)</f>
        <v>0</v>
      </c>
      <c r="C61" s="26" t="n">
        <f aca="false">SUMIFS(Sales_Data!$M$2:$M$3520,Sales_Data!$F$2:$F$3520,$B$4,Sales_Data!$C$2:$C$3520,$A61,Sales_Data!$AE$2:$AE$3520,1)</f>
        <v>0</v>
      </c>
      <c r="D61" s="26" t="n">
        <f aca="false">SUMIFS(Sales_Data!$N$2:$N$3520,Sales_Data!$F$2:$F$3520,$B$4,Sales_Data!$C$2:$C$3520,$A61,Sales_Data!$AE$2:$AE$3520,1)</f>
        <v>0</v>
      </c>
      <c r="E61" s="27" t="n">
        <f aca="false">C61+D61</f>
        <v>0</v>
      </c>
      <c r="F61" s="28" t="n">
        <f aca="false">E61-E60</f>
        <v>0</v>
      </c>
      <c r="G61" s="30" t="n">
        <f aca="false">AVERAGE(E55:E61)</f>
        <v>2.42857142857143</v>
      </c>
      <c r="H61" s="26" t="n">
        <f aca="false">SUM($E$14:E61)</f>
        <v>203</v>
      </c>
      <c r="I61" s="31" t="n">
        <f aca="false">IFERROR(SUMIFS(Sales_Data!$O$2:$O$3520,Sales_Data!$C$2:$C$3520,$A61,Sales_Data!$H$2:$H$3520,$B$5,Sales_Data!$AE$2:$AE$3520,1)/COUNTIF(Roster!$D$2:$D$251,$B$5),0)</f>
        <v>0.8125</v>
      </c>
      <c r="J61" s="78" t="n">
        <f aca="false">E61-I61</f>
        <v>-0.8125</v>
      </c>
      <c r="K61" s="3"/>
      <c r="L61" s="3"/>
      <c r="M61" s="3"/>
      <c r="N61" s="3"/>
      <c r="O61" s="3"/>
      <c r="P61" s="3"/>
      <c r="Q61" s="3"/>
      <c r="R61" s="3"/>
      <c r="S61" s="3"/>
      <c r="T61" s="3"/>
    </row>
    <row r="62" customFormat="false" ht="15" hidden="false" customHeight="false" outlineLevel="0" collapsed="false">
      <c r="A62" s="72" t="n">
        <v>46273</v>
      </c>
      <c r="B62" s="26" t="n">
        <f aca="false">SUMIFS(Sales_Data!$AE$2:$AE$3520,Sales_Data!$F$2:$F$3520,$B$4,Sales_Data!$C$2:$C$3520,$A62)</f>
        <v>1</v>
      </c>
      <c r="C62" s="26" t="n">
        <f aca="false">SUMIFS(Sales_Data!$M$2:$M$3520,Sales_Data!$F$2:$F$3520,$B$4,Sales_Data!$C$2:$C$3520,$A62,Sales_Data!$AE$2:$AE$3520,1)</f>
        <v>1</v>
      </c>
      <c r="D62" s="26" t="n">
        <f aca="false">SUMIFS(Sales_Data!$N$2:$N$3520,Sales_Data!$F$2:$F$3520,$B$4,Sales_Data!$C$2:$C$3520,$A62,Sales_Data!$AE$2:$AE$3520,1)</f>
        <v>0</v>
      </c>
      <c r="E62" s="27" t="n">
        <f aca="false">C62+D62</f>
        <v>1</v>
      </c>
      <c r="F62" s="28" t="n">
        <f aca="false">E62-E61</f>
        <v>1</v>
      </c>
      <c r="G62" s="30" t="n">
        <f aca="false">AVERAGE(E56:E62)</f>
        <v>2.42857142857143</v>
      </c>
      <c r="H62" s="26" t="n">
        <f aca="false">SUM($E$14:E62)</f>
        <v>204</v>
      </c>
      <c r="I62" s="31" t="n">
        <f aca="false">IFERROR(SUMIFS(Sales_Data!$O$2:$O$3520,Sales_Data!$C$2:$C$3520,$A62,Sales_Data!$H$2:$H$3520,$B$5,Sales_Data!$AE$2:$AE$3520,1)/COUNTIF(Roster!$D$2:$D$251,$B$5),0)</f>
        <v>0.8125</v>
      </c>
      <c r="J62" s="78" t="n">
        <f aca="false">E62-I62</f>
        <v>0.1875</v>
      </c>
      <c r="K62" s="3"/>
      <c r="L62" s="3"/>
      <c r="M62" s="3"/>
      <c r="N62" s="3"/>
      <c r="O62" s="3"/>
      <c r="P62" s="3"/>
      <c r="Q62" s="3"/>
      <c r="R62" s="3"/>
      <c r="S62" s="3"/>
      <c r="T62" s="3"/>
    </row>
    <row r="63" customFormat="false" ht="15" hidden="false" customHeight="false" outlineLevel="0" collapsed="false">
      <c r="A63" s="72" t="n">
        <v>46274</v>
      </c>
      <c r="B63" s="26" t="n">
        <f aca="false">SUMIFS(Sales_Data!$AE$2:$AE$3520,Sales_Data!$F$2:$F$3520,$B$4,Sales_Data!$C$2:$C$3520,$A63)</f>
        <v>6</v>
      </c>
      <c r="C63" s="26" t="n">
        <f aca="false">SUMIFS(Sales_Data!$M$2:$M$3520,Sales_Data!$F$2:$F$3520,$B$4,Sales_Data!$C$2:$C$3520,$A63,Sales_Data!$AE$2:$AE$3520,1)</f>
        <v>2</v>
      </c>
      <c r="D63" s="26" t="n">
        <f aca="false">SUMIFS(Sales_Data!$N$2:$N$3520,Sales_Data!$F$2:$F$3520,$B$4,Sales_Data!$C$2:$C$3520,$A63,Sales_Data!$AE$2:$AE$3520,1)</f>
        <v>4</v>
      </c>
      <c r="E63" s="27" t="n">
        <f aca="false">C63+D63</f>
        <v>6</v>
      </c>
      <c r="F63" s="28" t="n">
        <f aca="false">E63-E62</f>
        <v>5</v>
      </c>
      <c r="G63" s="30" t="n">
        <f aca="false">AVERAGE(E57:E63)</f>
        <v>3.28571428571429</v>
      </c>
      <c r="H63" s="26" t="n">
        <f aca="false">SUM($E$14:E63)</f>
        <v>210</v>
      </c>
      <c r="I63" s="31" t="n">
        <f aca="false">IFERROR(SUMIFS(Sales_Data!$O$2:$O$3520,Sales_Data!$C$2:$C$3520,$A63,Sales_Data!$H$2:$H$3520,$B$5,Sales_Data!$AE$2:$AE$3520,1)/COUNTIF(Roster!$D$2:$D$251,$B$5),0)</f>
        <v>0.5625</v>
      </c>
      <c r="J63" s="78" t="n">
        <f aca="false">E63-I63</f>
        <v>5.4375</v>
      </c>
      <c r="K63" s="3"/>
      <c r="L63" s="3"/>
      <c r="M63" s="3"/>
      <c r="N63" s="3"/>
      <c r="O63" s="3"/>
      <c r="P63" s="3"/>
      <c r="Q63" s="3"/>
      <c r="R63" s="3"/>
      <c r="S63" s="3"/>
      <c r="T63" s="3"/>
    </row>
    <row r="64" customFormat="false" ht="15" hidden="false" customHeight="false" outlineLevel="0" collapsed="false">
      <c r="A64" s="72" t="n">
        <v>46275</v>
      </c>
      <c r="B64" s="26" t="n">
        <f aca="false">SUMIFS(Sales_Data!$AE$2:$AE$3520,Sales_Data!$F$2:$F$3520,$B$4,Sales_Data!$C$2:$C$3520,$A64)</f>
        <v>2</v>
      </c>
      <c r="C64" s="26" t="n">
        <f aca="false">SUMIFS(Sales_Data!$M$2:$M$3520,Sales_Data!$F$2:$F$3520,$B$4,Sales_Data!$C$2:$C$3520,$A64,Sales_Data!$AE$2:$AE$3520,1)</f>
        <v>0</v>
      </c>
      <c r="D64" s="26" t="n">
        <f aca="false">SUMIFS(Sales_Data!$N$2:$N$3520,Sales_Data!$F$2:$F$3520,$B$4,Sales_Data!$C$2:$C$3520,$A64,Sales_Data!$AE$2:$AE$3520,1)</f>
        <v>4</v>
      </c>
      <c r="E64" s="27" t="n">
        <f aca="false">C64+D64</f>
        <v>4</v>
      </c>
      <c r="F64" s="28" t="n">
        <f aca="false">E64-E63</f>
        <v>-2</v>
      </c>
      <c r="G64" s="30" t="n">
        <f aca="false">AVERAGE(E58:E64)</f>
        <v>3.28571428571429</v>
      </c>
      <c r="H64" s="26" t="n">
        <f aca="false">SUM($E$14:E64)</f>
        <v>214</v>
      </c>
      <c r="I64" s="31" t="n">
        <f aca="false">IFERROR(SUMIFS(Sales_Data!$O$2:$O$3520,Sales_Data!$C$2:$C$3520,$A64,Sales_Data!$H$2:$H$3520,$B$5,Sales_Data!$AE$2:$AE$3520,1)/COUNTIF(Roster!$D$2:$D$251,$B$5),0)</f>
        <v>0.375</v>
      </c>
      <c r="J64" s="78" t="n">
        <f aca="false">E64-I64</f>
        <v>3.625</v>
      </c>
      <c r="K64" s="3"/>
      <c r="L64" s="3"/>
      <c r="M64" s="3"/>
      <c r="N64" s="3"/>
      <c r="O64" s="3"/>
      <c r="P64" s="3"/>
      <c r="Q64" s="3"/>
      <c r="R64" s="3"/>
      <c r="S64" s="3"/>
      <c r="T64" s="3"/>
    </row>
    <row r="65" customFormat="false" ht="15" hidden="false" customHeight="false" outlineLevel="0" collapsed="false">
      <c r="A65" s="72" t="n">
        <v>46276</v>
      </c>
      <c r="B65" s="26" t="n">
        <f aca="false">SUMIFS(Sales_Data!$AE$2:$AE$3520,Sales_Data!$F$2:$F$3520,$B$4,Sales_Data!$C$2:$C$3520,$A65)</f>
        <v>0</v>
      </c>
      <c r="C65" s="26" t="n">
        <f aca="false">SUMIFS(Sales_Data!$M$2:$M$3520,Sales_Data!$F$2:$F$3520,$B$4,Sales_Data!$C$2:$C$3520,$A65,Sales_Data!$AE$2:$AE$3520,1)</f>
        <v>0</v>
      </c>
      <c r="D65" s="26" t="n">
        <f aca="false">SUMIFS(Sales_Data!$N$2:$N$3520,Sales_Data!$F$2:$F$3520,$B$4,Sales_Data!$C$2:$C$3520,$A65,Sales_Data!$AE$2:$AE$3520,1)</f>
        <v>0</v>
      </c>
      <c r="E65" s="27" t="n">
        <f aca="false">C65+D65</f>
        <v>0</v>
      </c>
      <c r="F65" s="28" t="n">
        <f aca="false">E65-E64</f>
        <v>-4</v>
      </c>
      <c r="G65" s="30" t="n">
        <f aca="false">AVERAGE(E59:E65)</f>
        <v>2.71428571428571</v>
      </c>
      <c r="H65" s="26" t="n">
        <f aca="false">SUM($E$14:E65)</f>
        <v>214</v>
      </c>
      <c r="I65" s="31" t="n">
        <f aca="false">IFERROR(SUMIFS(Sales_Data!$O$2:$O$3520,Sales_Data!$C$2:$C$3520,$A65,Sales_Data!$H$2:$H$3520,$B$5,Sales_Data!$AE$2:$AE$3520,1)/COUNTIF(Roster!$D$2:$D$251,$B$5),0)</f>
        <v>0.25</v>
      </c>
      <c r="J65" s="78" t="n">
        <f aca="false">E65-I65</f>
        <v>-0.25</v>
      </c>
      <c r="K65" s="3"/>
      <c r="L65" s="3"/>
      <c r="M65" s="3"/>
      <c r="N65" s="3"/>
      <c r="O65" s="3"/>
      <c r="P65" s="3"/>
      <c r="Q65" s="3"/>
      <c r="R65" s="3"/>
      <c r="S65" s="3"/>
      <c r="T65" s="3"/>
    </row>
    <row r="66" customFormat="false" ht="15" hidden="false" customHeight="false" outlineLevel="0" collapsed="false">
      <c r="A66" s="72" t="n">
        <v>46277</v>
      </c>
      <c r="B66" s="26" t="n">
        <f aca="false">SUMIFS(Sales_Data!$AE$2:$AE$3520,Sales_Data!$F$2:$F$3520,$B$4,Sales_Data!$C$2:$C$3520,$A66)</f>
        <v>3</v>
      </c>
      <c r="C66" s="26" t="n">
        <f aca="false">SUMIFS(Sales_Data!$M$2:$M$3520,Sales_Data!$F$2:$F$3520,$B$4,Sales_Data!$C$2:$C$3520,$A66,Sales_Data!$AE$2:$AE$3520,1)</f>
        <v>1</v>
      </c>
      <c r="D66" s="26" t="n">
        <f aca="false">SUMIFS(Sales_Data!$N$2:$N$3520,Sales_Data!$F$2:$F$3520,$B$4,Sales_Data!$C$2:$C$3520,$A66,Sales_Data!$AE$2:$AE$3520,1)</f>
        <v>2</v>
      </c>
      <c r="E66" s="27" t="n">
        <f aca="false">C66+D66</f>
        <v>3</v>
      </c>
      <c r="F66" s="28" t="n">
        <f aca="false">E66-E65</f>
        <v>3</v>
      </c>
      <c r="G66" s="30" t="n">
        <f aca="false">AVERAGE(E60:E66)</f>
        <v>2</v>
      </c>
      <c r="H66" s="26" t="n">
        <f aca="false">SUM($E$14:E66)</f>
        <v>217</v>
      </c>
      <c r="I66" s="31" t="n">
        <f aca="false">IFERROR(SUMIFS(Sales_Data!$O$2:$O$3520,Sales_Data!$C$2:$C$3520,$A66,Sales_Data!$H$2:$H$3520,$B$5,Sales_Data!$AE$2:$AE$3520,1)/COUNTIF(Roster!$D$2:$D$251,$B$5),0)</f>
        <v>1.0625</v>
      </c>
      <c r="J66" s="78" t="n">
        <f aca="false">E66-I66</f>
        <v>1.9375</v>
      </c>
      <c r="K66" s="3"/>
      <c r="L66" s="3"/>
      <c r="M66" s="3"/>
      <c r="N66" s="3"/>
      <c r="O66" s="3"/>
      <c r="P66" s="3"/>
      <c r="Q66" s="3"/>
      <c r="R66" s="3"/>
      <c r="S66" s="3"/>
      <c r="T66" s="3"/>
    </row>
    <row r="67" customFormat="false" ht="15" hidden="false" customHeight="false" outlineLevel="0" collapsed="false">
      <c r="A67" s="72" t="n">
        <v>46278</v>
      </c>
      <c r="B67" s="26" t="n">
        <f aca="false">SUMIFS(Sales_Data!$AE$2:$AE$3520,Sales_Data!$F$2:$F$3520,$B$4,Sales_Data!$C$2:$C$3520,$A67)</f>
        <v>3</v>
      </c>
      <c r="C67" s="26" t="n">
        <f aca="false">SUMIFS(Sales_Data!$M$2:$M$3520,Sales_Data!$F$2:$F$3520,$B$4,Sales_Data!$C$2:$C$3520,$A67,Sales_Data!$AE$2:$AE$3520,1)</f>
        <v>1</v>
      </c>
      <c r="D67" s="26" t="n">
        <f aca="false">SUMIFS(Sales_Data!$N$2:$N$3520,Sales_Data!$F$2:$F$3520,$B$4,Sales_Data!$C$2:$C$3520,$A67,Sales_Data!$AE$2:$AE$3520,1)</f>
        <v>2</v>
      </c>
      <c r="E67" s="27" t="n">
        <f aca="false">C67+D67</f>
        <v>3</v>
      </c>
      <c r="F67" s="28" t="n">
        <f aca="false">E67-E66</f>
        <v>0</v>
      </c>
      <c r="G67" s="30" t="n">
        <f aca="false">AVERAGE(E61:E67)</f>
        <v>2.42857142857143</v>
      </c>
      <c r="H67" s="26" t="n">
        <f aca="false">SUM($E$14:E67)</f>
        <v>220</v>
      </c>
      <c r="I67" s="31" t="n">
        <f aca="false">IFERROR(SUMIFS(Sales_Data!$O$2:$O$3520,Sales_Data!$C$2:$C$3520,$A67,Sales_Data!$H$2:$H$3520,$B$5,Sales_Data!$AE$2:$AE$3520,1)/COUNTIF(Roster!$D$2:$D$251,$B$5),0)</f>
        <v>0.625</v>
      </c>
      <c r="J67" s="78" t="n">
        <f aca="false">E67-I67</f>
        <v>2.375</v>
      </c>
      <c r="K67" s="3"/>
      <c r="L67" s="3"/>
      <c r="M67" s="3"/>
      <c r="N67" s="3"/>
      <c r="O67" s="3"/>
      <c r="P67" s="3"/>
      <c r="Q67" s="3"/>
      <c r="R67" s="3"/>
      <c r="S67" s="3"/>
      <c r="T67" s="3"/>
    </row>
    <row r="68" customFormat="false" ht="15" hidden="false" customHeight="false" outlineLevel="0" collapsed="false">
      <c r="A68" s="72" t="n">
        <v>46279</v>
      </c>
      <c r="B68" s="26" t="n">
        <f aca="false">SUMIFS(Sales_Data!$AE$2:$AE$3520,Sales_Data!$F$2:$F$3520,$B$4,Sales_Data!$C$2:$C$3520,$A68)</f>
        <v>0</v>
      </c>
      <c r="C68" s="26" t="n">
        <f aca="false">SUMIFS(Sales_Data!$M$2:$M$3520,Sales_Data!$F$2:$F$3520,$B$4,Sales_Data!$C$2:$C$3520,$A68,Sales_Data!$AE$2:$AE$3520,1)</f>
        <v>0</v>
      </c>
      <c r="D68" s="26" t="n">
        <f aca="false">SUMIFS(Sales_Data!$N$2:$N$3520,Sales_Data!$F$2:$F$3520,$B$4,Sales_Data!$C$2:$C$3520,$A68,Sales_Data!$AE$2:$AE$3520,1)</f>
        <v>0</v>
      </c>
      <c r="E68" s="27" t="n">
        <f aca="false">C68+D68</f>
        <v>0</v>
      </c>
      <c r="F68" s="28" t="n">
        <f aca="false">E68-E67</f>
        <v>-3</v>
      </c>
      <c r="G68" s="30" t="n">
        <f aca="false">AVERAGE(E62:E68)</f>
        <v>2.42857142857143</v>
      </c>
      <c r="H68" s="26" t="n">
        <f aca="false">SUM($E$14:E68)</f>
        <v>220</v>
      </c>
      <c r="I68" s="31" t="n">
        <f aca="false">IFERROR(SUMIFS(Sales_Data!$O$2:$O$3520,Sales_Data!$C$2:$C$3520,$A68,Sales_Data!$H$2:$H$3520,$B$5,Sales_Data!$AE$2:$AE$3520,1)/COUNTIF(Roster!$D$2:$D$251,$B$5),0)</f>
        <v>0.6875</v>
      </c>
      <c r="J68" s="78" t="n">
        <f aca="false">E68-I68</f>
        <v>-0.6875</v>
      </c>
      <c r="K68" s="3"/>
      <c r="L68" s="3"/>
      <c r="M68" s="3"/>
      <c r="N68" s="3"/>
      <c r="O68" s="3"/>
      <c r="P68" s="3"/>
      <c r="Q68" s="3"/>
      <c r="R68" s="3"/>
      <c r="S68" s="3"/>
      <c r="T68" s="3"/>
    </row>
    <row r="69" customFormat="false" ht="15" hidden="false" customHeight="false" outlineLevel="0" collapsed="false">
      <c r="A69" s="72" t="n">
        <v>46280</v>
      </c>
      <c r="B69" s="26" t="n">
        <f aca="false">SUMIFS(Sales_Data!$AE$2:$AE$3520,Sales_Data!$F$2:$F$3520,$B$4,Sales_Data!$C$2:$C$3520,$A69)</f>
        <v>0</v>
      </c>
      <c r="C69" s="26" t="n">
        <f aca="false">SUMIFS(Sales_Data!$M$2:$M$3520,Sales_Data!$F$2:$F$3520,$B$4,Sales_Data!$C$2:$C$3520,$A69,Sales_Data!$AE$2:$AE$3520,1)</f>
        <v>0</v>
      </c>
      <c r="D69" s="26" t="n">
        <f aca="false">SUMIFS(Sales_Data!$N$2:$N$3520,Sales_Data!$F$2:$F$3520,$B$4,Sales_Data!$C$2:$C$3520,$A69,Sales_Data!$AE$2:$AE$3520,1)</f>
        <v>0</v>
      </c>
      <c r="E69" s="27" t="n">
        <f aca="false">C69+D69</f>
        <v>0</v>
      </c>
      <c r="F69" s="28" t="n">
        <f aca="false">E69-E68</f>
        <v>0</v>
      </c>
      <c r="G69" s="30" t="n">
        <f aca="false">AVERAGE(E63:E69)</f>
        <v>2.28571428571429</v>
      </c>
      <c r="H69" s="26" t="n">
        <f aca="false">SUM($E$14:E69)</f>
        <v>220</v>
      </c>
      <c r="I69" s="31" t="n">
        <f aca="false">IFERROR(SUMIFS(Sales_Data!$O$2:$O$3520,Sales_Data!$C$2:$C$3520,$A69,Sales_Data!$H$2:$H$3520,$B$5,Sales_Data!$AE$2:$AE$3520,1)/COUNTIF(Roster!$D$2:$D$251,$B$5),0)</f>
        <v>0.3125</v>
      </c>
      <c r="J69" s="78" t="n">
        <f aca="false">E69-I69</f>
        <v>-0.3125</v>
      </c>
      <c r="K69" s="3"/>
      <c r="L69" s="3"/>
      <c r="M69" s="3"/>
      <c r="N69" s="3"/>
      <c r="O69" s="3"/>
      <c r="P69" s="3"/>
      <c r="Q69" s="3"/>
      <c r="R69" s="3"/>
      <c r="S69" s="3"/>
      <c r="T69" s="3"/>
    </row>
    <row r="70" customFormat="false" ht="15" hidden="false" customHeight="false" outlineLevel="0" collapsed="false">
      <c r="A70" s="72" t="n">
        <v>46281</v>
      </c>
      <c r="B70" s="26" t="n">
        <f aca="false">SUMIFS(Sales_Data!$AE$2:$AE$3520,Sales_Data!$F$2:$F$3520,$B$4,Sales_Data!$C$2:$C$3520,$A70)</f>
        <v>4</v>
      </c>
      <c r="C70" s="26" t="n">
        <f aca="false">SUMIFS(Sales_Data!$M$2:$M$3520,Sales_Data!$F$2:$F$3520,$B$4,Sales_Data!$C$2:$C$3520,$A70,Sales_Data!$AE$2:$AE$3520,1)</f>
        <v>1</v>
      </c>
      <c r="D70" s="26" t="n">
        <f aca="false">SUMIFS(Sales_Data!$N$2:$N$3520,Sales_Data!$F$2:$F$3520,$B$4,Sales_Data!$C$2:$C$3520,$A70,Sales_Data!$AE$2:$AE$3520,1)</f>
        <v>3</v>
      </c>
      <c r="E70" s="27" t="n">
        <f aca="false">C70+D70</f>
        <v>4</v>
      </c>
      <c r="F70" s="28" t="n">
        <f aca="false">E70-E69</f>
        <v>4</v>
      </c>
      <c r="G70" s="30" t="n">
        <f aca="false">AVERAGE(E64:E70)</f>
        <v>2</v>
      </c>
      <c r="H70" s="26" t="n">
        <f aca="false">SUM($E$14:E70)</f>
        <v>224</v>
      </c>
      <c r="I70" s="31" t="n">
        <f aca="false">IFERROR(SUMIFS(Sales_Data!$O$2:$O$3520,Sales_Data!$C$2:$C$3520,$A70,Sales_Data!$H$2:$H$3520,$B$5,Sales_Data!$AE$2:$AE$3520,1)/COUNTIF(Roster!$D$2:$D$251,$B$5),0)</f>
        <v>1.25</v>
      </c>
      <c r="J70" s="78" t="n">
        <f aca="false">E70-I70</f>
        <v>2.75</v>
      </c>
      <c r="K70" s="3"/>
      <c r="L70" s="3"/>
      <c r="M70" s="3"/>
      <c r="N70" s="3"/>
      <c r="O70" s="3"/>
      <c r="P70" s="3"/>
      <c r="Q70" s="3"/>
      <c r="R70" s="3"/>
      <c r="S70" s="3"/>
      <c r="T70" s="3"/>
    </row>
    <row r="71" customFormat="false" ht="15" hidden="false" customHeight="false" outlineLevel="0" collapsed="false">
      <c r="A71" s="72" t="n">
        <v>46282</v>
      </c>
      <c r="B71" s="26" t="n">
        <f aca="false">SUMIFS(Sales_Data!$AE$2:$AE$3520,Sales_Data!$F$2:$F$3520,$B$4,Sales_Data!$C$2:$C$3520,$A71)</f>
        <v>0</v>
      </c>
      <c r="C71" s="26" t="n">
        <f aca="false">SUMIFS(Sales_Data!$M$2:$M$3520,Sales_Data!$F$2:$F$3520,$B$4,Sales_Data!$C$2:$C$3520,$A71,Sales_Data!$AE$2:$AE$3520,1)</f>
        <v>0</v>
      </c>
      <c r="D71" s="26" t="n">
        <f aca="false">SUMIFS(Sales_Data!$N$2:$N$3520,Sales_Data!$F$2:$F$3520,$B$4,Sales_Data!$C$2:$C$3520,$A71,Sales_Data!$AE$2:$AE$3520,1)</f>
        <v>0</v>
      </c>
      <c r="E71" s="27" t="n">
        <f aca="false">C71+D71</f>
        <v>0</v>
      </c>
      <c r="F71" s="28" t="n">
        <f aca="false">E71-E70</f>
        <v>-4</v>
      </c>
      <c r="G71" s="30" t="n">
        <f aca="false">AVERAGE(E65:E71)</f>
        <v>1.42857142857143</v>
      </c>
      <c r="H71" s="26" t="n">
        <f aca="false">SUM($E$14:E71)</f>
        <v>224</v>
      </c>
      <c r="I71" s="31" t="n">
        <f aca="false">IFERROR(SUMIFS(Sales_Data!$O$2:$O$3520,Sales_Data!$C$2:$C$3520,$A71,Sales_Data!$H$2:$H$3520,$B$5,Sales_Data!$AE$2:$AE$3520,1)/COUNTIF(Roster!$D$2:$D$251,$B$5),0)</f>
        <v>0.25</v>
      </c>
      <c r="J71" s="78" t="n">
        <f aca="false">E71-I71</f>
        <v>-0.25</v>
      </c>
      <c r="K71" s="3"/>
      <c r="L71" s="3"/>
      <c r="M71" s="3"/>
      <c r="N71" s="3"/>
      <c r="O71" s="3"/>
      <c r="P71" s="3"/>
      <c r="Q71" s="3"/>
      <c r="R71" s="3"/>
      <c r="S71" s="3"/>
      <c r="T71" s="3"/>
    </row>
    <row r="72" customFormat="false" ht="15" hidden="false" customHeight="false" outlineLevel="0" collapsed="false">
      <c r="A72" s="72" t="n">
        <v>46283</v>
      </c>
      <c r="B72" s="26" t="n">
        <f aca="false">SUMIFS(Sales_Data!$AE$2:$AE$3520,Sales_Data!$F$2:$F$3520,$B$4,Sales_Data!$C$2:$C$3520,$A72)</f>
        <v>0</v>
      </c>
      <c r="C72" s="26" t="n">
        <f aca="false">SUMIFS(Sales_Data!$M$2:$M$3520,Sales_Data!$F$2:$F$3520,$B$4,Sales_Data!$C$2:$C$3520,$A72,Sales_Data!$AE$2:$AE$3520,1)</f>
        <v>0</v>
      </c>
      <c r="D72" s="26" t="n">
        <f aca="false">SUMIFS(Sales_Data!$N$2:$N$3520,Sales_Data!$F$2:$F$3520,$B$4,Sales_Data!$C$2:$C$3520,$A72,Sales_Data!$AE$2:$AE$3520,1)</f>
        <v>0</v>
      </c>
      <c r="E72" s="27" t="n">
        <f aca="false">C72+D72</f>
        <v>0</v>
      </c>
      <c r="F72" s="28" t="n">
        <f aca="false">E72-E71</f>
        <v>0</v>
      </c>
      <c r="G72" s="30" t="n">
        <f aca="false">AVERAGE(E66:E72)</f>
        <v>1.42857142857143</v>
      </c>
      <c r="H72" s="26" t="n">
        <f aca="false">SUM($E$14:E72)</f>
        <v>224</v>
      </c>
      <c r="I72" s="31" t="n">
        <f aca="false">IFERROR(SUMIFS(Sales_Data!$O$2:$O$3520,Sales_Data!$C$2:$C$3520,$A72,Sales_Data!$H$2:$H$3520,$B$5,Sales_Data!$AE$2:$AE$3520,1)/COUNTIF(Roster!$D$2:$D$251,$B$5),0)</f>
        <v>0.1875</v>
      </c>
      <c r="J72" s="78" t="n">
        <f aca="false">E72-I72</f>
        <v>-0.1875</v>
      </c>
      <c r="K72" s="3"/>
      <c r="L72" s="3"/>
      <c r="M72" s="3"/>
      <c r="N72" s="3"/>
      <c r="O72" s="3"/>
      <c r="P72" s="3"/>
      <c r="Q72" s="3"/>
      <c r="R72" s="3"/>
      <c r="S72" s="3"/>
      <c r="T72" s="3"/>
    </row>
    <row r="73" customFormat="false" ht="15" hidden="false" customHeight="false" outlineLevel="0" collapsed="false">
      <c r="A73" s="72" t="n">
        <v>46284</v>
      </c>
      <c r="B73" s="26" t="n">
        <f aca="false">SUMIFS(Sales_Data!$AE$2:$AE$3520,Sales_Data!$F$2:$F$3520,$B$4,Sales_Data!$C$2:$C$3520,$A73)</f>
        <v>0</v>
      </c>
      <c r="C73" s="26" t="n">
        <f aca="false">SUMIFS(Sales_Data!$M$2:$M$3520,Sales_Data!$F$2:$F$3520,$B$4,Sales_Data!$C$2:$C$3520,$A73,Sales_Data!$AE$2:$AE$3520,1)</f>
        <v>0</v>
      </c>
      <c r="D73" s="26" t="n">
        <f aca="false">SUMIFS(Sales_Data!$N$2:$N$3520,Sales_Data!$F$2:$F$3520,$B$4,Sales_Data!$C$2:$C$3520,$A73,Sales_Data!$AE$2:$AE$3520,1)</f>
        <v>0</v>
      </c>
      <c r="E73" s="27" t="n">
        <f aca="false">C73+D73</f>
        <v>0</v>
      </c>
      <c r="F73" s="28" t="n">
        <f aca="false">E73-E72</f>
        <v>0</v>
      </c>
      <c r="G73" s="30" t="n">
        <f aca="false">AVERAGE(E67:E73)</f>
        <v>1</v>
      </c>
      <c r="H73" s="26" t="n">
        <f aca="false">SUM($E$14:E73)</f>
        <v>224</v>
      </c>
      <c r="I73" s="31" t="n">
        <f aca="false">IFERROR(SUMIFS(Sales_Data!$O$2:$O$3520,Sales_Data!$C$2:$C$3520,$A73,Sales_Data!$H$2:$H$3520,$B$5,Sales_Data!$AE$2:$AE$3520,1)/COUNTIF(Roster!$D$2:$D$251,$B$5),0)</f>
        <v>1.0625</v>
      </c>
      <c r="J73" s="78" t="n">
        <f aca="false">E73-I73</f>
        <v>-1.0625</v>
      </c>
      <c r="K73" s="3"/>
      <c r="L73" s="3"/>
      <c r="M73" s="3"/>
      <c r="N73" s="3"/>
      <c r="O73" s="3"/>
      <c r="P73" s="3"/>
      <c r="Q73" s="3"/>
      <c r="R73" s="3"/>
      <c r="S73" s="3"/>
      <c r="T73" s="3"/>
    </row>
    <row r="74" customFormat="false" ht="15" hidden="false" customHeight="false" outlineLevel="0" collapsed="false">
      <c r="A74" s="72" t="n">
        <v>46285</v>
      </c>
      <c r="B74" s="26" t="n">
        <f aca="false">SUMIFS(Sales_Data!$AE$2:$AE$3520,Sales_Data!$F$2:$F$3520,$B$4,Sales_Data!$C$2:$C$3520,$A74)</f>
        <v>0</v>
      </c>
      <c r="C74" s="26" t="n">
        <f aca="false">SUMIFS(Sales_Data!$M$2:$M$3520,Sales_Data!$F$2:$F$3520,$B$4,Sales_Data!$C$2:$C$3520,$A74,Sales_Data!$AE$2:$AE$3520,1)</f>
        <v>0</v>
      </c>
      <c r="D74" s="26" t="n">
        <f aca="false">SUMIFS(Sales_Data!$N$2:$N$3520,Sales_Data!$F$2:$F$3520,$B$4,Sales_Data!$C$2:$C$3520,$A74,Sales_Data!$AE$2:$AE$3520,1)</f>
        <v>0</v>
      </c>
      <c r="E74" s="27" t="n">
        <f aca="false">C74+D74</f>
        <v>0</v>
      </c>
      <c r="F74" s="28" t="n">
        <f aca="false">E74-E73</f>
        <v>0</v>
      </c>
      <c r="G74" s="30" t="n">
        <f aca="false">AVERAGE(E68:E74)</f>
        <v>0.571428571428571</v>
      </c>
      <c r="H74" s="26" t="n">
        <f aca="false">SUM($E$14:E74)</f>
        <v>224</v>
      </c>
      <c r="I74" s="31" t="n">
        <f aca="false">IFERROR(SUMIFS(Sales_Data!$O$2:$O$3520,Sales_Data!$C$2:$C$3520,$A74,Sales_Data!$H$2:$H$3520,$B$5,Sales_Data!$AE$2:$AE$3520,1)/COUNTIF(Roster!$D$2:$D$251,$B$5),0)</f>
        <v>0.5</v>
      </c>
      <c r="J74" s="78" t="n">
        <f aca="false">E74-I74</f>
        <v>-0.5</v>
      </c>
      <c r="K74" s="3"/>
      <c r="L74" s="3"/>
      <c r="M74" s="3"/>
      <c r="N74" s="3"/>
      <c r="O74" s="3"/>
      <c r="P74" s="3"/>
      <c r="Q74" s="3"/>
      <c r="R74" s="3"/>
      <c r="S74" s="3"/>
      <c r="T74" s="3"/>
    </row>
    <row r="75" customFormat="false" ht="15" hidden="false" customHeight="false" outlineLevel="0" collapsed="false">
      <c r="A75" s="72" t="n">
        <v>46286</v>
      </c>
      <c r="B75" s="26" t="n">
        <f aca="false">SUMIFS(Sales_Data!$AE$2:$AE$3520,Sales_Data!$F$2:$F$3520,$B$4,Sales_Data!$C$2:$C$3520,$A75)</f>
        <v>0</v>
      </c>
      <c r="C75" s="26" t="n">
        <f aca="false">SUMIFS(Sales_Data!$M$2:$M$3520,Sales_Data!$F$2:$F$3520,$B$4,Sales_Data!$C$2:$C$3520,$A75,Sales_Data!$AE$2:$AE$3520,1)</f>
        <v>0</v>
      </c>
      <c r="D75" s="26" t="n">
        <f aca="false">SUMIFS(Sales_Data!$N$2:$N$3520,Sales_Data!$F$2:$F$3520,$B$4,Sales_Data!$C$2:$C$3520,$A75,Sales_Data!$AE$2:$AE$3520,1)</f>
        <v>0</v>
      </c>
      <c r="E75" s="27" t="n">
        <f aca="false">C75+D75</f>
        <v>0</v>
      </c>
      <c r="F75" s="28" t="n">
        <f aca="false">E75-E74</f>
        <v>0</v>
      </c>
      <c r="G75" s="30" t="n">
        <f aca="false">AVERAGE(E69:E75)</f>
        <v>0.571428571428571</v>
      </c>
      <c r="H75" s="26" t="n">
        <f aca="false">SUM($E$14:E75)</f>
        <v>224</v>
      </c>
      <c r="I75" s="31" t="n">
        <f aca="false">IFERROR(SUMIFS(Sales_Data!$O$2:$O$3520,Sales_Data!$C$2:$C$3520,$A75,Sales_Data!$H$2:$H$3520,$B$5,Sales_Data!$AE$2:$AE$3520,1)/COUNTIF(Roster!$D$2:$D$251,$B$5),0)</f>
        <v>0.125</v>
      </c>
      <c r="J75" s="78" t="n">
        <f aca="false">E75-I75</f>
        <v>-0.125</v>
      </c>
      <c r="K75" s="3"/>
      <c r="L75" s="3"/>
      <c r="M75" s="3"/>
      <c r="N75" s="3"/>
      <c r="O75" s="3"/>
      <c r="P75" s="3"/>
      <c r="Q75" s="3"/>
      <c r="R75" s="3"/>
      <c r="S75" s="3"/>
      <c r="T75" s="3"/>
    </row>
    <row r="76" customFormat="false" ht="15" hidden="false" customHeight="false" outlineLevel="0" collapsed="false">
      <c r="A76" s="72" t="n">
        <v>46287</v>
      </c>
      <c r="B76" s="26" t="n">
        <f aca="false">SUMIFS(Sales_Data!$AE$2:$AE$3520,Sales_Data!$F$2:$F$3520,$B$4,Sales_Data!$C$2:$C$3520,$A76)</f>
        <v>0</v>
      </c>
      <c r="C76" s="26" t="n">
        <f aca="false">SUMIFS(Sales_Data!$M$2:$M$3520,Sales_Data!$F$2:$F$3520,$B$4,Sales_Data!$C$2:$C$3520,$A76,Sales_Data!$AE$2:$AE$3520,1)</f>
        <v>0</v>
      </c>
      <c r="D76" s="26" t="n">
        <f aca="false">SUMIFS(Sales_Data!$N$2:$N$3520,Sales_Data!$F$2:$F$3520,$B$4,Sales_Data!$C$2:$C$3520,$A76,Sales_Data!$AE$2:$AE$3520,1)</f>
        <v>0</v>
      </c>
      <c r="E76" s="27" t="n">
        <f aca="false">C76+D76</f>
        <v>0</v>
      </c>
      <c r="F76" s="28" t="n">
        <f aca="false">E76-E75</f>
        <v>0</v>
      </c>
      <c r="G76" s="30" t="n">
        <f aca="false">AVERAGE(E70:E76)</f>
        <v>0.571428571428571</v>
      </c>
      <c r="H76" s="26" t="n">
        <f aca="false">SUM($E$14:E76)</f>
        <v>224</v>
      </c>
      <c r="I76" s="31" t="n">
        <f aca="false">IFERROR(SUMIFS(Sales_Data!$O$2:$O$3520,Sales_Data!$C$2:$C$3520,$A76,Sales_Data!$H$2:$H$3520,$B$5,Sales_Data!$AE$2:$AE$3520,1)/COUNTIF(Roster!$D$2:$D$251,$B$5),0)</f>
        <v>0.25</v>
      </c>
      <c r="J76" s="78" t="n">
        <f aca="false">E76-I76</f>
        <v>-0.25</v>
      </c>
      <c r="K76" s="3"/>
      <c r="L76" s="3"/>
      <c r="M76" s="3"/>
      <c r="N76" s="3"/>
      <c r="O76" s="3"/>
      <c r="P76" s="3"/>
      <c r="Q76" s="3"/>
      <c r="R76" s="3"/>
      <c r="S76" s="3"/>
      <c r="T76" s="3"/>
    </row>
    <row r="77" customFormat="false" ht="15" hidden="false" customHeight="false" outlineLevel="0" collapsed="false">
      <c r="A77" s="72" t="n">
        <v>46288</v>
      </c>
      <c r="B77" s="26" t="n">
        <f aca="false">SUMIFS(Sales_Data!$AE$2:$AE$3520,Sales_Data!$F$2:$F$3520,$B$4,Sales_Data!$C$2:$C$3520,$A77)</f>
        <v>0</v>
      </c>
      <c r="C77" s="26" t="n">
        <f aca="false">SUMIFS(Sales_Data!$M$2:$M$3520,Sales_Data!$F$2:$F$3520,$B$4,Sales_Data!$C$2:$C$3520,$A77,Sales_Data!$AE$2:$AE$3520,1)</f>
        <v>0</v>
      </c>
      <c r="D77" s="26" t="n">
        <f aca="false">SUMIFS(Sales_Data!$N$2:$N$3520,Sales_Data!$F$2:$F$3520,$B$4,Sales_Data!$C$2:$C$3520,$A77,Sales_Data!$AE$2:$AE$3520,1)</f>
        <v>0</v>
      </c>
      <c r="E77" s="27" t="n">
        <f aca="false">C77+D77</f>
        <v>0</v>
      </c>
      <c r="F77" s="28" t="n">
        <f aca="false">E77-E76</f>
        <v>0</v>
      </c>
      <c r="G77" s="30" t="n">
        <f aca="false">AVERAGE(E71:E77)</f>
        <v>0</v>
      </c>
      <c r="H77" s="26" t="n">
        <f aca="false">SUM($E$14:E77)</f>
        <v>224</v>
      </c>
      <c r="I77" s="31" t="n">
        <f aca="false">IFERROR(SUMIFS(Sales_Data!$O$2:$O$3520,Sales_Data!$C$2:$C$3520,$A77,Sales_Data!$H$2:$H$3520,$B$5,Sales_Data!$AE$2:$AE$3520,1)/COUNTIF(Roster!$D$2:$D$251,$B$5),0)</f>
        <v>0.0625</v>
      </c>
      <c r="J77" s="78" t="n">
        <f aca="false">E77-I77</f>
        <v>-0.0625</v>
      </c>
      <c r="K77" s="3"/>
      <c r="L77" s="3"/>
      <c r="M77" s="3"/>
      <c r="N77" s="3"/>
      <c r="O77" s="3"/>
      <c r="P77" s="3"/>
      <c r="Q77" s="3"/>
      <c r="R77" s="3"/>
      <c r="S77" s="3"/>
      <c r="T77" s="3"/>
    </row>
    <row r="78" customFormat="false" ht="15" hidden="false" customHeight="false" outlineLevel="0" collapsed="false">
      <c r="A78" s="72" t="n">
        <v>46289</v>
      </c>
      <c r="B78" s="26" t="n">
        <f aca="false">SUMIFS(Sales_Data!$AE$2:$AE$3520,Sales_Data!$F$2:$F$3520,$B$4,Sales_Data!$C$2:$C$3520,$A78)</f>
        <v>0</v>
      </c>
      <c r="C78" s="26" t="n">
        <f aca="false">SUMIFS(Sales_Data!$M$2:$M$3520,Sales_Data!$F$2:$F$3520,$B$4,Sales_Data!$C$2:$C$3520,$A78,Sales_Data!$AE$2:$AE$3520,1)</f>
        <v>0</v>
      </c>
      <c r="D78" s="26" t="n">
        <f aca="false">SUMIFS(Sales_Data!$N$2:$N$3520,Sales_Data!$F$2:$F$3520,$B$4,Sales_Data!$C$2:$C$3520,$A78,Sales_Data!$AE$2:$AE$3520,1)</f>
        <v>0</v>
      </c>
      <c r="E78" s="27" t="n">
        <f aca="false">C78+D78</f>
        <v>0</v>
      </c>
      <c r="F78" s="28" t="n">
        <f aca="false">E78-E77</f>
        <v>0</v>
      </c>
      <c r="G78" s="30" t="n">
        <f aca="false">AVERAGE(E72:E78)</f>
        <v>0</v>
      </c>
      <c r="H78" s="26" t="n">
        <f aca="false">SUM($E$14:E78)</f>
        <v>224</v>
      </c>
      <c r="I78" s="31" t="n">
        <f aca="false">IFERROR(SUMIFS(Sales_Data!$O$2:$O$3520,Sales_Data!$C$2:$C$3520,$A78,Sales_Data!$H$2:$H$3520,$B$5,Sales_Data!$AE$2:$AE$3520,1)/COUNTIF(Roster!$D$2:$D$251,$B$5),0)</f>
        <v>0.625</v>
      </c>
      <c r="J78" s="78" t="n">
        <f aca="false">E78-I78</f>
        <v>-0.625</v>
      </c>
      <c r="K78" s="3"/>
      <c r="L78" s="3"/>
      <c r="M78" s="3"/>
      <c r="N78" s="3"/>
      <c r="O78" s="3"/>
      <c r="P78" s="3"/>
      <c r="Q78" s="3"/>
      <c r="R78" s="3"/>
      <c r="S78" s="3"/>
      <c r="T78" s="3"/>
    </row>
    <row r="79" customFormat="false" ht="15" hidden="false" customHeight="false" outlineLevel="0" collapsed="false">
      <c r="A79" s="72" t="n">
        <v>46290</v>
      </c>
      <c r="B79" s="26" t="n">
        <f aca="false">SUMIFS(Sales_Data!$AE$2:$AE$3520,Sales_Data!$F$2:$F$3520,$B$4,Sales_Data!$C$2:$C$3520,$A79)</f>
        <v>0</v>
      </c>
      <c r="C79" s="26" t="n">
        <f aca="false">SUMIFS(Sales_Data!$M$2:$M$3520,Sales_Data!$F$2:$F$3520,$B$4,Sales_Data!$C$2:$C$3520,$A79,Sales_Data!$AE$2:$AE$3520,1)</f>
        <v>0</v>
      </c>
      <c r="D79" s="26" t="n">
        <f aca="false">SUMIFS(Sales_Data!$N$2:$N$3520,Sales_Data!$F$2:$F$3520,$B$4,Sales_Data!$C$2:$C$3520,$A79,Sales_Data!$AE$2:$AE$3520,1)</f>
        <v>0</v>
      </c>
      <c r="E79" s="27" t="n">
        <f aca="false">C79+D79</f>
        <v>0</v>
      </c>
      <c r="F79" s="28" t="n">
        <f aca="false">E79-E78</f>
        <v>0</v>
      </c>
      <c r="G79" s="30" t="n">
        <f aca="false">AVERAGE(E73:E79)</f>
        <v>0</v>
      </c>
      <c r="H79" s="26" t="n">
        <f aca="false">SUM($E$14:E79)</f>
        <v>224</v>
      </c>
      <c r="I79" s="31" t="n">
        <f aca="false">IFERROR(SUMIFS(Sales_Data!$O$2:$O$3520,Sales_Data!$C$2:$C$3520,$A79,Sales_Data!$H$2:$H$3520,$B$5,Sales_Data!$AE$2:$AE$3520,1)/COUNTIF(Roster!$D$2:$D$251,$B$5),0)</f>
        <v>0.5</v>
      </c>
      <c r="J79" s="78" t="n">
        <f aca="false">E79-I79</f>
        <v>-0.5</v>
      </c>
      <c r="K79" s="3"/>
      <c r="L79" s="3"/>
      <c r="M79" s="3"/>
      <c r="N79" s="3"/>
      <c r="O79" s="3"/>
      <c r="P79" s="3"/>
      <c r="Q79" s="3"/>
      <c r="R79" s="3"/>
      <c r="S79" s="3"/>
      <c r="T79" s="3"/>
    </row>
    <row r="80" customFormat="false" ht="15" hidden="false" customHeight="false" outlineLevel="0" collapsed="false">
      <c r="A80" s="72" t="n">
        <v>46291</v>
      </c>
      <c r="B80" s="26" t="n">
        <f aca="false">SUMIFS(Sales_Data!$AE$2:$AE$3520,Sales_Data!$F$2:$F$3520,$B$4,Sales_Data!$C$2:$C$3520,$A80)</f>
        <v>2</v>
      </c>
      <c r="C80" s="26" t="n">
        <f aca="false">SUMIFS(Sales_Data!$M$2:$M$3520,Sales_Data!$F$2:$F$3520,$B$4,Sales_Data!$C$2:$C$3520,$A80,Sales_Data!$AE$2:$AE$3520,1)</f>
        <v>2</v>
      </c>
      <c r="D80" s="26" t="n">
        <f aca="false">SUMIFS(Sales_Data!$N$2:$N$3520,Sales_Data!$F$2:$F$3520,$B$4,Sales_Data!$C$2:$C$3520,$A80,Sales_Data!$AE$2:$AE$3520,1)</f>
        <v>0</v>
      </c>
      <c r="E80" s="27" t="n">
        <f aca="false">C80+D80</f>
        <v>2</v>
      </c>
      <c r="F80" s="28" t="n">
        <f aca="false">E80-E79</f>
        <v>2</v>
      </c>
      <c r="G80" s="30" t="n">
        <f aca="false">AVERAGE(E74:E80)</f>
        <v>0.285714285714286</v>
      </c>
      <c r="H80" s="26" t="n">
        <f aca="false">SUM($E$14:E80)</f>
        <v>226</v>
      </c>
      <c r="I80" s="31" t="n">
        <f aca="false">IFERROR(SUMIFS(Sales_Data!$O$2:$O$3520,Sales_Data!$C$2:$C$3520,$A80,Sales_Data!$H$2:$H$3520,$B$5,Sales_Data!$AE$2:$AE$3520,1)/COUNTIF(Roster!$D$2:$D$251,$B$5),0)</f>
        <v>0.875</v>
      </c>
      <c r="J80" s="78" t="n">
        <f aca="false">E80-I80</f>
        <v>1.125</v>
      </c>
      <c r="K80" s="3"/>
      <c r="L80" s="3"/>
      <c r="M80" s="3"/>
      <c r="N80" s="3"/>
      <c r="O80" s="3"/>
      <c r="P80" s="3"/>
      <c r="Q80" s="3"/>
      <c r="R80" s="3"/>
      <c r="S80" s="3"/>
      <c r="T80" s="3"/>
    </row>
    <row r="81" customFormat="false" ht="15" hidden="false" customHeight="false" outlineLevel="0" collapsed="false">
      <c r="A81" s="72" t="n">
        <v>46292</v>
      </c>
      <c r="B81" s="26" t="n">
        <f aca="false">SUMIFS(Sales_Data!$AE$2:$AE$3520,Sales_Data!$F$2:$F$3520,$B$4,Sales_Data!$C$2:$C$3520,$A81)</f>
        <v>0</v>
      </c>
      <c r="C81" s="26" t="n">
        <f aca="false">SUMIFS(Sales_Data!$M$2:$M$3520,Sales_Data!$F$2:$F$3520,$B$4,Sales_Data!$C$2:$C$3520,$A81,Sales_Data!$AE$2:$AE$3520,1)</f>
        <v>0</v>
      </c>
      <c r="D81" s="26" t="n">
        <f aca="false">SUMIFS(Sales_Data!$N$2:$N$3520,Sales_Data!$F$2:$F$3520,$B$4,Sales_Data!$C$2:$C$3520,$A81,Sales_Data!$AE$2:$AE$3520,1)</f>
        <v>0</v>
      </c>
      <c r="E81" s="27" t="n">
        <f aca="false">C81+D81</f>
        <v>0</v>
      </c>
      <c r="F81" s="28" t="n">
        <f aca="false">E81-E80</f>
        <v>-2</v>
      </c>
      <c r="G81" s="30" t="n">
        <f aca="false">AVERAGE(E75:E81)</f>
        <v>0.285714285714286</v>
      </c>
      <c r="H81" s="26" t="n">
        <f aca="false">SUM($E$14:E81)</f>
        <v>226</v>
      </c>
      <c r="I81" s="31" t="n">
        <f aca="false">IFERROR(SUMIFS(Sales_Data!$O$2:$O$3520,Sales_Data!$C$2:$C$3520,$A81,Sales_Data!$H$2:$H$3520,$B$5,Sales_Data!$AE$2:$AE$3520,1)/COUNTIF(Roster!$D$2:$D$251,$B$5),0)</f>
        <v>0.4375</v>
      </c>
      <c r="J81" s="78" t="n">
        <f aca="false">E81-I81</f>
        <v>-0.4375</v>
      </c>
      <c r="K81" s="3"/>
      <c r="L81" s="3"/>
      <c r="M81" s="3"/>
      <c r="N81" s="3"/>
      <c r="O81" s="3"/>
      <c r="P81" s="3"/>
      <c r="Q81" s="3"/>
      <c r="R81" s="3"/>
      <c r="S81" s="3"/>
      <c r="T81" s="3"/>
    </row>
    <row r="82" customFormat="false" ht="15" hidden="false" customHeight="false" outlineLevel="0" collapsed="false">
      <c r="A82" s="72" t="n">
        <v>46293</v>
      </c>
      <c r="B82" s="26" t="n">
        <f aca="false">SUMIFS(Sales_Data!$AE$2:$AE$3520,Sales_Data!$F$2:$F$3520,$B$4,Sales_Data!$C$2:$C$3520,$A82)</f>
        <v>0</v>
      </c>
      <c r="C82" s="26" t="n">
        <f aca="false">SUMIFS(Sales_Data!$M$2:$M$3520,Sales_Data!$F$2:$F$3520,$B$4,Sales_Data!$C$2:$C$3520,$A82,Sales_Data!$AE$2:$AE$3520,1)</f>
        <v>0</v>
      </c>
      <c r="D82" s="26" t="n">
        <f aca="false">SUMIFS(Sales_Data!$N$2:$N$3520,Sales_Data!$F$2:$F$3520,$B$4,Sales_Data!$C$2:$C$3520,$A82,Sales_Data!$AE$2:$AE$3520,1)</f>
        <v>0</v>
      </c>
      <c r="E82" s="27" t="n">
        <f aca="false">C82+D82</f>
        <v>0</v>
      </c>
      <c r="F82" s="28" t="n">
        <f aca="false">E82-E81</f>
        <v>0</v>
      </c>
      <c r="G82" s="30" t="n">
        <f aca="false">AVERAGE(E76:E82)</f>
        <v>0.285714285714286</v>
      </c>
      <c r="H82" s="26" t="n">
        <f aca="false">SUM($E$14:E82)</f>
        <v>226</v>
      </c>
      <c r="I82" s="31" t="n">
        <f aca="false">IFERROR(SUMIFS(Sales_Data!$O$2:$O$3520,Sales_Data!$C$2:$C$3520,$A82,Sales_Data!$H$2:$H$3520,$B$5,Sales_Data!$AE$2:$AE$3520,1)/COUNTIF(Roster!$D$2:$D$251,$B$5),0)</f>
        <v>0.3125</v>
      </c>
      <c r="J82" s="78" t="n">
        <f aca="false">E82-I82</f>
        <v>-0.3125</v>
      </c>
      <c r="K82" s="3"/>
      <c r="L82" s="3"/>
      <c r="M82" s="3"/>
      <c r="N82" s="3"/>
      <c r="O82" s="3"/>
      <c r="P82" s="3"/>
      <c r="Q82" s="3"/>
      <c r="R82" s="3"/>
      <c r="S82" s="3"/>
      <c r="T82" s="3"/>
    </row>
    <row r="83" customFormat="false" ht="15" hidden="false" customHeight="false" outlineLevel="0" collapsed="false">
      <c r="A83" s="72" t="n">
        <v>46294</v>
      </c>
      <c r="B83" s="26" t="n">
        <f aca="false">SUMIFS(Sales_Data!$AE$2:$AE$3520,Sales_Data!$F$2:$F$3520,$B$4,Sales_Data!$C$2:$C$3520,$A83)</f>
        <v>0</v>
      </c>
      <c r="C83" s="26" t="n">
        <f aca="false">SUMIFS(Sales_Data!$M$2:$M$3520,Sales_Data!$F$2:$F$3520,$B$4,Sales_Data!$C$2:$C$3520,$A83,Sales_Data!$AE$2:$AE$3520,1)</f>
        <v>0</v>
      </c>
      <c r="D83" s="26" t="n">
        <f aca="false">SUMIFS(Sales_Data!$N$2:$N$3520,Sales_Data!$F$2:$F$3520,$B$4,Sales_Data!$C$2:$C$3520,$A83,Sales_Data!$AE$2:$AE$3520,1)</f>
        <v>0</v>
      </c>
      <c r="E83" s="27" t="n">
        <f aca="false">C83+D83</f>
        <v>0</v>
      </c>
      <c r="F83" s="28" t="n">
        <f aca="false">E83-E82</f>
        <v>0</v>
      </c>
      <c r="G83" s="30" t="n">
        <f aca="false">AVERAGE(E77:E83)</f>
        <v>0.285714285714286</v>
      </c>
      <c r="H83" s="26" t="n">
        <f aca="false">SUM($E$14:E83)</f>
        <v>226</v>
      </c>
      <c r="I83" s="31" t="n">
        <f aca="false">IFERROR(SUMIFS(Sales_Data!$O$2:$O$3520,Sales_Data!$C$2:$C$3520,$A83,Sales_Data!$H$2:$H$3520,$B$5,Sales_Data!$AE$2:$AE$3520,1)/COUNTIF(Roster!$D$2:$D$251,$B$5),0)</f>
        <v>1</v>
      </c>
      <c r="J83" s="78" t="n">
        <f aca="false">E83-I83</f>
        <v>-1</v>
      </c>
      <c r="K83" s="3"/>
      <c r="L83" s="3"/>
      <c r="M83" s="3"/>
      <c r="N83" s="3"/>
      <c r="O83" s="3"/>
      <c r="P83" s="3"/>
      <c r="Q83" s="3"/>
      <c r="R83" s="3"/>
      <c r="S83" s="3"/>
      <c r="T83" s="3"/>
    </row>
    <row r="84" customFormat="false" ht="15" hidden="false" customHeight="false" outlineLevel="0" collapsed="false">
      <c r="A84" s="72" t="n">
        <v>46295</v>
      </c>
      <c r="B84" s="26" t="n">
        <f aca="false">SUMIFS(Sales_Data!$AE$2:$AE$3520,Sales_Data!$F$2:$F$3520,$B$4,Sales_Data!$C$2:$C$3520,$A84)</f>
        <v>2</v>
      </c>
      <c r="C84" s="26" t="n">
        <f aca="false">SUMIFS(Sales_Data!$M$2:$M$3520,Sales_Data!$F$2:$F$3520,$B$4,Sales_Data!$C$2:$C$3520,$A84,Sales_Data!$AE$2:$AE$3520,1)</f>
        <v>1</v>
      </c>
      <c r="D84" s="26" t="n">
        <f aca="false">SUMIFS(Sales_Data!$N$2:$N$3520,Sales_Data!$F$2:$F$3520,$B$4,Sales_Data!$C$2:$C$3520,$A84,Sales_Data!$AE$2:$AE$3520,1)</f>
        <v>1</v>
      </c>
      <c r="E84" s="27" t="n">
        <f aca="false">C84+D84</f>
        <v>2</v>
      </c>
      <c r="F84" s="28" t="n">
        <f aca="false">E84-E83</f>
        <v>2</v>
      </c>
      <c r="G84" s="30" t="n">
        <f aca="false">AVERAGE(E78:E84)</f>
        <v>0.571428571428571</v>
      </c>
      <c r="H84" s="26" t="n">
        <f aca="false">SUM($E$14:E84)</f>
        <v>228</v>
      </c>
      <c r="I84" s="31" t="n">
        <f aca="false">IFERROR(SUMIFS(Sales_Data!$O$2:$O$3520,Sales_Data!$C$2:$C$3520,$A84,Sales_Data!$H$2:$H$3520,$B$5,Sales_Data!$AE$2:$AE$3520,1)/COUNTIF(Roster!$D$2:$D$251,$B$5),0)</f>
        <v>1.1875</v>
      </c>
      <c r="J84" s="78" t="n">
        <f aca="false">E84-I84</f>
        <v>0.8125</v>
      </c>
      <c r="K84" s="3"/>
      <c r="L84" s="3"/>
      <c r="M84" s="3"/>
      <c r="N84" s="3"/>
      <c r="O84" s="3"/>
      <c r="P84" s="3"/>
      <c r="Q84" s="3"/>
      <c r="R84" s="3"/>
      <c r="S84" s="3"/>
      <c r="T84" s="3"/>
    </row>
    <row r="85" customFormat="false" ht="15" hidden="false" customHeight="false" outlineLevel="0" collapsed="false">
      <c r="A85" s="72" t="n">
        <v>46296</v>
      </c>
      <c r="B85" s="26" t="n">
        <f aca="false">SUMIFS(Sales_Data!$AE$2:$AE$3520,Sales_Data!$F$2:$F$3520,$B$4,Sales_Data!$C$2:$C$3520,$A85)</f>
        <v>4</v>
      </c>
      <c r="C85" s="26" t="n">
        <f aca="false">SUMIFS(Sales_Data!$M$2:$M$3520,Sales_Data!$F$2:$F$3520,$B$4,Sales_Data!$C$2:$C$3520,$A85,Sales_Data!$AE$2:$AE$3520,1)</f>
        <v>0</v>
      </c>
      <c r="D85" s="26" t="n">
        <f aca="false">SUMIFS(Sales_Data!$N$2:$N$3520,Sales_Data!$F$2:$F$3520,$B$4,Sales_Data!$C$2:$C$3520,$A85,Sales_Data!$AE$2:$AE$3520,1)</f>
        <v>4</v>
      </c>
      <c r="E85" s="27" t="n">
        <f aca="false">C85+D85</f>
        <v>4</v>
      </c>
      <c r="F85" s="28" t="n">
        <f aca="false">E85-E84</f>
        <v>2</v>
      </c>
      <c r="G85" s="30" t="n">
        <f aca="false">AVERAGE(E79:E85)</f>
        <v>1.14285714285714</v>
      </c>
      <c r="H85" s="26" t="n">
        <f aca="false">SUM($E$14:E85)</f>
        <v>232</v>
      </c>
      <c r="I85" s="31" t="n">
        <f aca="false">IFERROR(SUMIFS(Sales_Data!$O$2:$O$3520,Sales_Data!$C$2:$C$3520,$A85,Sales_Data!$H$2:$H$3520,$B$5,Sales_Data!$AE$2:$AE$3520,1)/COUNTIF(Roster!$D$2:$D$251,$B$5),0)</f>
        <v>0.4375</v>
      </c>
      <c r="J85" s="78" t="n">
        <f aca="false">E85-I85</f>
        <v>3.5625</v>
      </c>
      <c r="K85" s="3"/>
      <c r="L85" s="3"/>
      <c r="M85" s="3"/>
      <c r="N85" s="3"/>
      <c r="O85" s="3"/>
      <c r="P85" s="3"/>
      <c r="Q85" s="3"/>
      <c r="R85" s="3"/>
      <c r="S85" s="3"/>
      <c r="T85" s="3"/>
    </row>
    <row r="86" customFormat="false" ht="15" hidden="false" customHeight="false" outlineLevel="0" collapsed="false">
      <c r="A86" s="72" t="n">
        <v>46297</v>
      </c>
      <c r="B86" s="26" t="n">
        <f aca="false">SUMIFS(Sales_Data!$AE$2:$AE$3520,Sales_Data!$F$2:$F$3520,$B$4,Sales_Data!$C$2:$C$3520,$A86)</f>
        <v>1</v>
      </c>
      <c r="C86" s="26" t="n">
        <f aca="false">SUMIFS(Sales_Data!$M$2:$M$3520,Sales_Data!$F$2:$F$3520,$B$4,Sales_Data!$C$2:$C$3520,$A86,Sales_Data!$AE$2:$AE$3520,1)</f>
        <v>0</v>
      </c>
      <c r="D86" s="26" t="n">
        <f aca="false">SUMIFS(Sales_Data!$N$2:$N$3520,Sales_Data!$F$2:$F$3520,$B$4,Sales_Data!$C$2:$C$3520,$A86,Sales_Data!$AE$2:$AE$3520,1)</f>
        <v>1</v>
      </c>
      <c r="E86" s="27" t="n">
        <f aca="false">C86+D86</f>
        <v>1</v>
      </c>
      <c r="F86" s="28" t="n">
        <f aca="false">E86-E85</f>
        <v>-3</v>
      </c>
      <c r="G86" s="30" t="n">
        <f aca="false">AVERAGE(E80:E86)</f>
        <v>1.28571428571429</v>
      </c>
      <c r="H86" s="26" t="n">
        <f aca="false">SUM($E$14:E86)</f>
        <v>233</v>
      </c>
      <c r="I86" s="31" t="n">
        <f aca="false">IFERROR(SUMIFS(Sales_Data!$O$2:$O$3520,Sales_Data!$C$2:$C$3520,$A86,Sales_Data!$H$2:$H$3520,$B$5,Sales_Data!$AE$2:$AE$3520,1)/COUNTIF(Roster!$D$2:$D$251,$B$5),0)</f>
        <v>0.375</v>
      </c>
      <c r="J86" s="78" t="n">
        <f aca="false">E86-I86</f>
        <v>0.625</v>
      </c>
      <c r="K86" s="3"/>
      <c r="L86" s="3"/>
      <c r="M86" s="3"/>
      <c r="N86" s="3"/>
      <c r="O86" s="3"/>
      <c r="P86" s="3"/>
      <c r="Q86" s="3"/>
      <c r="R86" s="3"/>
      <c r="S86" s="3"/>
      <c r="T86" s="3"/>
    </row>
    <row r="87" customFormat="false" ht="15" hidden="false" customHeight="false" outlineLevel="0" collapsed="false">
      <c r="A87" s="72" t="n">
        <v>46298</v>
      </c>
      <c r="B87" s="26" t="n">
        <f aca="false">SUMIFS(Sales_Data!$AE$2:$AE$3520,Sales_Data!$F$2:$F$3520,$B$4,Sales_Data!$C$2:$C$3520,$A87)</f>
        <v>2</v>
      </c>
      <c r="C87" s="26" t="n">
        <f aca="false">SUMIFS(Sales_Data!$M$2:$M$3520,Sales_Data!$F$2:$F$3520,$B$4,Sales_Data!$C$2:$C$3520,$A87,Sales_Data!$AE$2:$AE$3520,1)</f>
        <v>2</v>
      </c>
      <c r="D87" s="26" t="n">
        <f aca="false">SUMIFS(Sales_Data!$N$2:$N$3520,Sales_Data!$F$2:$F$3520,$B$4,Sales_Data!$C$2:$C$3520,$A87,Sales_Data!$AE$2:$AE$3520,1)</f>
        <v>0</v>
      </c>
      <c r="E87" s="27" t="n">
        <f aca="false">C87+D87</f>
        <v>2</v>
      </c>
      <c r="F87" s="28" t="n">
        <f aca="false">E87-E86</f>
        <v>1</v>
      </c>
      <c r="G87" s="30" t="n">
        <f aca="false">AVERAGE(E81:E87)</f>
        <v>1.28571428571429</v>
      </c>
      <c r="H87" s="26" t="n">
        <f aca="false">SUM($E$14:E87)</f>
        <v>235</v>
      </c>
      <c r="I87" s="31" t="n">
        <f aca="false">IFERROR(SUMIFS(Sales_Data!$O$2:$O$3520,Sales_Data!$C$2:$C$3520,$A87,Sales_Data!$H$2:$H$3520,$B$5,Sales_Data!$AE$2:$AE$3520,1)/COUNTIF(Roster!$D$2:$D$251,$B$5),0)</f>
        <v>0.8125</v>
      </c>
      <c r="J87" s="78" t="n">
        <f aca="false">E87-I87</f>
        <v>1.1875</v>
      </c>
      <c r="K87" s="3"/>
      <c r="L87" s="3"/>
      <c r="M87" s="3"/>
      <c r="N87" s="3"/>
      <c r="O87" s="3"/>
      <c r="P87" s="3"/>
      <c r="Q87" s="3"/>
      <c r="R87" s="3"/>
      <c r="S87" s="3"/>
      <c r="T87" s="3"/>
    </row>
    <row r="88" customFormat="false" ht="15" hidden="false" customHeight="false" outlineLevel="0" collapsed="false">
      <c r="A88" s="72" t="n">
        <v>46299</v>
      </c>
      <c r="B88" s="26" t="n">
        <f aca="false">SUMIFS(Sales_Data!$AE$2:$AE$3520,Sales_Data!$F$2:$F$3520,$B$4,Sales_Data!$C$2:$C$3520,$A88)</f>
        <v>0</v>
      </c>
      <c r="C88" s="26" t="n">
        <f aca="false">SUMIFS(Sales_Data!$M$2:$M$3520,Sales_Data!$F$2:$F$3520,$B$4,Sales_Data!$C$2:$C$3520,$A88,Sales_Data!$AE$2:$AE$3520,1)</f>
        <v>0</v>
      </c>
      <c r="D88" s="26" t="n">
        <f aca="false">SUMIFS(Sales_Data!$N$2:$N$3520,Sales_Data!$F$2:$F$3520,$B$4,Sales_Data!$C$2:$C$3520,$A88,Sales_Data!$AE$2:$AE$3520,1)</f>
        <v>0</v>
      </c>
      <c r="E88" s="27" t="n">
        <f aca="false">C88+D88</f>
        <v>0</v>
      </c>
      <c r="F88" s="28" t="n">
        <f aca="false">E88-E87</f>
        <v>-2</v>
      </c>
      <c r="G88" s="30" t="n">
        <f aca="false">AVERAGE(E82:E88)</f>
        <v>1.28571428571429</v>
      </c>
      <c r="H88" s="26" t="n">
        <f aca="false">SUM($E$14:E88)</f>
        <v>235</v>
      </c>
      <c r="I88" s="31" t="n">
        <f aca="false">IFERROR(SUMIFS(Sales_Data!$O$2:$O$3520,Sales_Data!$C$2:$C$3520,$A88,Sales_Data!$H$2:$H$3520,$B$5,Sales_Data!$AE$2:$AE$3520,1)/COUNTIF(Roster!$D$2:$D$251,$B$5),0)</f>
        <v>0.625</v>
      </c>
      <c r="J88" s="78" t="n">
        <f aca="false">E88-I88</f>
        <v>-0.625</v>
      </c>
      <c r="K88" s="3"/>
      <c r="L88" s="3"/>
      <c r="M88" s="3"/>
      <c r="N88" s="3"/>
      <c r="O88" s="3"/>
      <c r="P88" s="3"/>
      <c r="Q88" s="3"/>
      <c r="R88" s="3"/>
      <c r="S88" s="3"/>
      <c r="T88" s="3"/>
    </row>
    <row r="89" customFormat="false" ht="15" hidden="false" customHeight="false" outlineLevel="0" collapsed="false">
      <c r="A89" s="72" t="n">
        <v>46300</v>
      </c>
      <c r="B89" s="26" t="n">
        <f aca="false">SUMIFS(Sales_Data!$AE$2:$AE$3520,Sales_Data!$F$2:$F$3520,$B$4,Sales_Data!$C$2:$C$3520,$A89)</f>
        <v>0</v>
      </c>
      <c r="C89" s="26" t="n">
        <f aca="false">SUMIFS(Sales_Data!$M$2:$M$3520,Sales_Data!$F$2:$F$3520,$B$4,Sales_Data!$C$2:$C$3520,$A89,Sales_Data!$AE$2:$AE$3520,1)</f>
        <v>0</v>
      </c>
      <c r="D89" s="26" t="n">
        <f aca="false">SUMIFS(Sales_Data!$N$2:$N$3520,Sales_Data!$F$2:$F$3520,$B$4,Sales_Data!$C$2:$C$3520,$A89,Sales_Data!$AE$2:$AE$3520,1)</f>
        <v>0</v>
      </c>
      <c r="E89" s="27" t="n">
        <f aca="false">C89+D89</f>
        <v>0</v>
      </c>
      <c r="F89" s="28" t="n">
        <f aca="false">E89-E88</f>
        <v>0</v>
      </c>
      <c r="G89" s="30" t="n">
        <f aca="false">AVERAGE(E83:E89)</f>
        <v>1.28571428571429</v>
      </c>
      <c r="H89" s="26" t="n">
        <f aca="false">SUM($E$14:E89)</f>
        <v>235</v>
      </c>
      <c r="I89" s="31" t="n">
        <f aca="false">IFERROR(SUMIFS(Sales_Data!$O$2:$O$3520,Sales_Data!$C$2:$C$3520,$A89,Sales_Data!$H$2:$H$3520,$B$5,Sales_Data!$AE$2:$AE$3520,1)/COUNTIF(Roster!$D$2:$D$251,$B$5),0)</f>
        <v>0.5625</v>
      </c>
      <c r="J89" s="78" t="n">
        <f aca="false">E89-I89</f>
        <v>-0.5625</v>
      </c>
      <c r="K89" s="3"/>
      <c r="L89" s="3"/>
      <c r="M89" s="3"/>
      <c r="N89" s="3"/>
      <c r="O89" s="3"/>
      <c r="P89" s="3"/>
      <c r="Q89" s="3"/>
      <c r="R89" s="3"/>
      <c r="S89" s="3"/>
      <c r="T89" s="3"/>
    </row>
    <row r="90" customFormat="false" ht="15" hidden="false" customHeight="false" outlineLevel="0" collapsed="false">
      <c r="A90" s="72" t="n">
        <v>46301</v>
      </c>
      <c r="B90" s="26" t="n">
        <f aca="false">SUMIFS(Sales_Data!$AE$2:$AE$3520,Sales_Data!$F$2:$F$3520,$B$4,Sales_Data!$C$2:$C$3520,$A90)</f>
        <v>0</v>
      </c>
      <c r="C90" s="26" t="n">
        <f aca="false">SUMIFS(Sales_Data!$M$2:$M$3520,Sales_Data!$F$2:$F$3520,$B$4,Sales_Data!$C$2:$C$3520,$A90,Sales_Data!$AE$2:$AE$3520,1)</f>
        <v>0</v>
      </c>
      <c r="D90" s="26" t="n">
        <f aca="false">SUMIFS(Sales_Data!$N$2:$N$3520,Sales_Data!$F$2:$F$3520,$B$4,Sales_Data!$C$2:$C$3520,$A90,Sales_Data!$AE$2:$AE$3520,1)</f>
        <v>0</v>
      </c>
      <c r="E90" s="27" t="n">
        <f aca="false">C90+D90</f>
        <v>0</v>
      </c>
      <c r="F90" s="28" t="n">
        <f aca="false">E90-E89</f>
        <v>0</v>
      </c>
      <c r="G90" s="30" t="n">
        <f aca="false">AVERAGE(E84:E90)</f>
        <v>1.28571428571429</v>
      </c>
      <c r="H90" s="26" t="n">
        <f aca="false">SUM($E$14:E90)</f>
        <v>235</v>
      </c>
      <c r="I90" s="31" t="n">
        <f aca="false">IFERROR(SUMIFS(Sales_Data!$O$2:$O$3520,Sales_Data!$C$2:$C$3520,$A90,Sales_Data!$H$2:$H$3520,$B$5,Sales_Data!$AE$2:$AE$3520,1)/COUNTIF(Roster!$D$2:$D$251,$B$5),0)</f>
        <v>0.4375</v>
      </c>
      <c r="J90" s="78" t="n">
        <f aca="false">E90-I90</f>
        <v>-0.4375</v>
      </c>
      <c r="K90" s="3"/>
      <c r="L90" s="3"/>
      <c r="M90" s="3"/>
      <c r="N90" s="3"/>
      <c r="O90" s="3"/>
      <c r="P90" s="3"/>
      <c r="Q90" s="3"/>
      <c r="R90" s="3"/>
      <c r="S90" s="3"/>
      <c r="T90" s="3"/>
    </row>
    <row r="91" customFormat="false" ht="15" hidden="false" customHeight="false" outlineLevel="0" collapsed="false">
      <c r="A91" s="72" t="n">
        <v>46302</v>
      </c>
      <c r="B91" s="26" t="n">
        <f aca="false">SUMIFS(Sales_Data!$AE$2:$AE$3520,Sales_Data!$F$2:$F$3520,$B$4,Sales_Data!$C$2:$C$3520,$A91)</f>
        <v>1</v>
      </c>
      <c r="C91" s="26" t="n">
        <f aca="false">SUMIFS(Sales_Data!$M$2:$M$3520,Sales_Data!$F$2:$F$3520,$B$4,Sales_Data!$C$2:$C$3520,$A91,Sales_Data!$AE$2:$AE$3520,1)</f>
        <v>0</v>
      </c>
      <c r="D91" s="26" t="n">
        <f aca="false">SUMIFS(Sales_Data!$N$2:$N$3520,Sales_Data!$F$2:$F$3520,$B$4,Sales_Data!$C$2:$C$3520,$A91,Sales_Data!$AE$2:$AE$3520,1)</f>
        <v>1</v>
      </c>
      <c r="E91" s="27" t="n">
        <f aca="false">C91+D91</f>
        <v>1</v>
      </c>
      <c r="F91" s="28" t="n">
        <f aca="false">E91-E90</f>
        <v>1</v>
      </c>
      <c r="G91" s="30" t="n">
        <f aca="false">AVERAGE(E85:E91)</f>
        <v>1.14285714285714</v>
      </c>
      <c r="H91" s="26" t="n">
        <f aca="false">SUM($E$14:E91)</f>
        <v>236</v>
      </c>
      <c r="I91" s="31" t="n">
        <f aca="false">IFERROR(SUMIFS(Sales_Data!$O$2:$O$3520,Sales_Data!$C$2:$C$3520,$A91,Sales_Data!$H$2:$H$3520,$B$5,Sales_Data!$AE$2:$AE$3520,1)/COUNTIF(Roster!$D$2:$D$251,$B$5),0)</f>
        <v>0.625</v>
      </c>
      <c r="J91" s="78" t="n">
        <f aca="false">E91-I91</f>
        <v>0.375</v>
      </c>
      <c r="K91" s="3"/>
      <c r="L91" s="3"/>
      <c r="M91" s="3"/>
      <c r="N91" s="3"/>
      <c r="O91" s="3"/>
      <c r="P91" s="3"/>
      <c r="Q91" s="3"/>
      <c r="R91" s="3"/>
      <c r="S91" s="3"/>
      <c r="T91" s="3"/>
    </row>
    <row r="92" customFormat="false" ht="15" hidden="false" customHeight="false" outlineLevel="0" collapsed="false">
      <c r="A92" s="72" t="n">
        <v>46303</v>
      </c>
      <c r="B92" s="26" t="n">
        <f aca="false">SUMIFS(Sales_Data!$AE$2:$AE$3520,Sales_Data!$F$2:$F$3520,$B$4,Sales_Data!$C$2:$C$3520,$A92)</f>
        <v>3</v>
      </c>
      <c r="C92" s="26" t="n">
        <f aca="false">SUMIFS(Sales_Data!$M$2:$M$3520,Sales_Data!$F$2:$F$3520,$B$4,Sales_Data!$C$2:$C$3520,$A92,Sales_Data!$AE$2:$AE$3520,1)</f>
        <v>0</v>
      </c>
      <c r="D92" s="26" t="n">
        <f aca="false">SUMIFS(Sales_Data!$N$2:$N$3520,Sales_Data!$F$2:$F$3520,$B$4,Sales_Data!$C$2:$C$3520,$A92,Sales_Data!$AE$2:$AE$3520,1)</f>
        <v>3</v>
      </c>
      <c r="E92" s="27" t="n">
        <f aca="false">C92+D92</f>
        <v>3</v>
      </c>
      <c r="F92" s="28" t="n">
        <f aca="false">E92-E91</f>
        <v>2</v>
      </c>
      <c r="G92" s="30" t="n">
        <f aca="false">AVERAGE(E86:E92)</f>
        <v>1</v>
      </c>
      <c r="H92" s="26" t="n">
        <f aca="false">SUM($E$14:E92)</f>
        <v>239</v>
      </c>
      <c r="I92" s="31" t="n">
        <f aca="false">IFERROR(SUMIFS(Sales_Data!$O$2:$O$3520,Sales_Data!$C$2:$C$3520,$A92,Sales_Data!$H$2:$H$3520,$B$5,Sales_Data!$AE$2:$AE$3520,1)/COUNTIF(Roster!$D$2:$D$251,$B$5),0)</f>
        <v>0.25</v>
      </c>
      <c r="J92" s="78" t="n">
        <f aca="false">E92-I92</f>
        <v>2.75</v>
      </c>
      <c r="K92" s="3"/>
      <c r="L92" s="3"/>
      <c r="M92" s="3"/>
      <c r="N92" s="3"/>
      <c r="O92" s="3"/>
      <c r="P92" s="3"/>
      <c r="Q92" s="3"/>
      <c r="R92" s="3"/>
      <c r="S92" s="3"/>
      <c r="T92" s="3"/>
    </row>
  </sheetData>
  <mergeCells count="11">
    <mergeCell ref="A1:T1"/>
    <mergeCell ref="A2:T2"/>
    <mergeCell ref="B3:D3"/>
    <mergeCell ref="B4:D4"/>
    <mergeCell ref="B5:D5"/>
    <mergeCell ref="B6:D6"/>
    <mergeCell ref="B7:D7"/>
    <mergeCell ref="B8:D8"/>
    <mergeCell ref="B9:D9"/>
    <mergeCell ref="B10:D10"/>
    <mergeCell ref="B11:D11"/>
  </mergeCells>
  <conditionalFormatting sqref="F14:F92">
    <cfRule type="cellIs" priority="2" operator="greaterThan" aboveAverage="0" equalAverage="0" bottom="0" percent="0" rank="0" text="" dxfId="0">
      <formula>0</formula>
    </cfRule>
    <cfRule type="cellIs" priority="3" operator="lessThan" aboveAverage="0" equalAverage="0" bottom="0" percent="0" rank="0" text="" dxfId="1">
      <formula>0</formula>
    </cfRule>
  </conditionalFormatting>
  <conditionalFormatting sqref="J14:J92">
    <cfRule type="cellIs" priority="4" operator="greaterThan" aboveAverage="0" equalAverage="0" bottom="0" percent="0" rank="0" text="" dxfId="0">
      <formula>0</formula>
    </cfRule>
    <cfRule type="cellIs" priority="5" operator="lessThan" aboveAverage="0" equalAverage="0" bottom="0" percent="0" rank="0" text="" dxfId="1">
      <formula>0</formula>
    </cfRule>
  </conditionalFormatting>
  <dataValidations count="1">
    <dataValidation allowBlank="false" errorStyle="stop" operator="between" showDropDown="false" showErrorMessage="false" showInputMessage="false" sqref="B3" type="list">
      <formula1>Lists!$D$2:$D$251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N9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2"/>
    <col collapsed="false" customWidth="true" hidden="false" outlineLevel="0" max="4" min="3" style="0" width="10"/>
    <col collapsed="false" customWidth="true" hidden="false" outlineLevel="0" max="5" min="5" style="0" width="11"/>
    <col collapsed="false" customWidth="true" hidden="false" outlineLevel="0" max="7" min="6" style="0" width="9"/>
    <col collapsed="false" customWidth="true" hidden="false" outlineLevel="0" max="8" min="8" style="0" width="10"/>
    <col collapsed="false" customWidth="true" hidden="false" outlineLevel="0" max="9" min="9" style="0" width="9"/>
    <col collapsed="false" customWidth="true" hidden="false" outlineLevel="0" max="10" min="10" style="0" width="11"/>
    <col collapsed="false" customWidth="true" hidden="false" outlineLevel="0" max="11" min="11" style="0" width="12"/>
    <col collapsed="false" customWidth="true" hidden="false" outlineLevel="0" max="12" min="12" style="0" width="10"/>
    <col collapsed="false" customWidth="true" hidden="false" outlineLevel="0" max="13" min="13" style="0" width="12"/>
    <col collapsed="false" customWidth="true" hidden="false" outlineLevel="0" max="14" min="14" style="0" width="13"/>
  </cols>
  <sheetData>
    <row r="1" customFormat="false" ht="30" hidden="false" customHeight="true" outlineLevel="0" collapsed="false">
      <c r="A1" s="1" t="s">
        <v>6946</v>
      </c>
      <c r="B1" s="1"/>
      <c r="C1" s="1"/>
      <c r="D1" s="1"/>
      <c r="E1" s="1"/>
      <c r="F1" s="1"/>
      <c r="G1" s="1"/>
      <c r="H1" s="1"/>
      <c r="I1" s="1"/>
      <c r="J1" s="1"/>
      <c r="K1" s="1"/>
      <c r="L1" s="1"/>
      <c r="M1" s="1"/>
      <c r="N1" s="1"/>
    </row>
    <row r="2" customFormat="false" ht="15" hidden="false" customHeight="false" outlineLevel="0" collapsed="false">
      <c r="A2" s="2" t="s">
        <v>6947</v>
      </c>
      <c r="B2" s="2"/>
      <c r="C2" s="2"/>
      <c r="D2" s="2"/>
      <c r="E2" s="2"/>
      <c r="F2" s="2"/>
      <c r="G2" s="2"/>
      <c r="H2" s="2"/>
      <c r="I2" s="2"/>
      <c r="J2" s="2"/>
      <c r="K2" s="2"/>
      <c r="L2" s="2"/>
      <c r="M2" s="2"/>
      <c r="N2" s="2"/>
    </row>
    <row r="3" customFormat="false" ht="15" hidden="false" customHeight="false" outlineLevel="0" collapsed="false">
      <c r="A3" s="66" t="s">
        <v>6920</v>
      </c>
      <c r="B3" s="75" t="s">
        <v>55</v>
      </c>
      <c r="C3" s="75"/>
      <c r="D3" s="3"/>
      <c r="E3" s="3"/>
      <c r="F3" s="3"/>
      <c r="G3" s="3"/>
      <c r="H3" s="3"/>
      <c r="I3" s="3"/>
      <c r="J3" s="3"/>
      <c r="K3" s="3"/>
      <c r="L3" s="3"/>
      <c r="M3" s="3"/>
      <c r="N3" s="3"/>
    </row>
    <row r="4" customFormat="false" ht="15" hidden="false" customHeight="false" outlineLevel="0" collapsed="false">
      <c r="A4" s="68" t="s">
        <v>10</v>
      </c>
      <c r="B4" s="79" t="str">
        <f aca="false">IFERROR(INDEX(Roster!$E$2:$E$251,MATCH($B$3,Roster!$D$2:$D$251,0)),"")</f>
        <v>Ramadan Gamal</v>
      </c>
      <c r="C4" s="79"/>
      <c r="D4" s="3"/>
      <c r="E4" s="3"/>
      <c r="F4" s="3"/>
      <c r="G4" s="3"/>
      <c r="H4" s="3"/>
      <c r="I4" s="3"/>
      <c r="J4" s="3"/>
      <c r="K4" s="3"/>
      <c r="L4" s="3"/>
      <c r="M4" s="3"/>
      <c r="N4" s="3"/>
    </row>
    <row r="5" customFormat="false" ht="15" hidden="false" customHeight="false" outlineLevel="0" collapsed="false">
      <c r="A5" s="68" t="s">
        <v>6913</v>
      </c>
      <c r="B5" s="80" t="n">
        <f aca="false">COUNTIF(Roster!$D$2:$D$251,$B$3)</f>
        <v>18</v>
      </c>
      <c r="C5" s="80"/>
      <c r="D5" s="3"/>
      <c r="E5" s="3"/>
      <c r="F5" s="3"/>
      <c r="G5" s="3"/>
      <c r="H5" s="3"/>
      <c r="I5" s="3"/>
      <c r="J5" s="3"/>
      <c r="K5" s="3"/>
      <c r="L5" s="3"/>
      <c r="M5" s="3"/>
      <c r="N5" s="3"/>
    </row>
    <row r="6" customFormat="false" ht="15" hidden="false" customHeight="false" outlineLevel="0" collapsed="false">
      <c r="A6" s="68" t="s">
        <v>6948</v>
      </c>
      <c r="B6" s="79" t="str">
        <f aca="false">COUNTIFS(Roster!$D$2:$D$251,$B$3,Roster!$F$2:$F$251,"Production")&amp;" / "&amp;COUNTIFS(Roster!$D$2:$D$251,$B$3,Roster!$F$2:$F$251,"Training")</f>
        <v>1 / 17</v>
      </c>
      <c r="C6" s="79"/>
      <c r="D6" s="3"/>
      <c r="E6" s="3"/>
      <c r="F6" s="3"/>
      <c r="G6" s="3"/>
      <c r="H6" s="3"/>
      <c r="I6" s="3"/>
      <c r="J6" s="3"/>
      <c r="K6" s="3"/>
      <c r="L6" s="3"/>
      <c r="M6" s="3"/>
      <c r="N6" s="3"/>
    </row>
    <row r="7" customFormat="false" ht="15" hidden="false" customHeight="false" outlineLevel="0" collapsed="false">
      <c r="A7" s="68" t="s">
        <v>6940</v>
      </c>
      <c r="B7" s="76" t="n">
        <f aca="false">IFERROR(INDEX(Dashboard!$H$30:$H$43,MATCH($B$3,Dashboard!$B$30:$B$43,0)),0)</f>
        <v>76</v>
      </c>
      <c r="C7" s="76"/>
      <c r="D7" s="3"/>
      <c r="E7" s="3"/>
      <c r="F7" s="3"/>
      <c r="G7" s="3"/>
      <c r="H7" s="3"/>
      <c r="I7" s="3"/>
      <c r="J7" s="3"/>
      <c r="K7" s="3"/>
      <c r="L7" s="3"/>
      <c r="M7" s="3"/>
      <c r="N7" s="3"/>
    </row>
    <row r="8" customFormat="false" ht="15" hidden="false" customHeight="false" outlineLevel="0" collapsed="false">
      <c r="A8" s="68" t="s">
        <v>6917</v>
      </c>
      <c r="B8" s="80" t="n">
        <f aca="false">IFERROR(INDEX(Dashboard!$A$30:$A$43,MATCH($B$3,Dashboard!$B$30:$B$43,0)),"-")</f>
        <v>2</v>
      </c>
      <c r="C8" s="80"/>
      <c r="D8" s="3"/>
      <c r="E8" s="3"/>
      <c r="F8" s="3"/>
      <c r="G8" s="3"/>
      <c r="H8" s="3"/>
      <c r="I8" s="3"/>
      <c r="J8" s="3"/>
      <c r="K8" s="3"/>
      <c r="L8" s="3"/>
      <c r="M8" s="3"/>
      <c r="N8" s="3"/>
    </row>
    <row r="9" customFormat="false" ht="15" hidden="false" customHeight="false" outlineLevel="0" collapsed="false">
      <c r="A9" s="68" t="s">
        <v>6942</v>
      </c>
      <c r="B9" s="76" t="n">
        <f aca="false">SUMIFS(Sales_Data!$O$2:$O$3520,Sales_Data!$H$2:$H$3520,$B$3,Sales_Data!$AE$2:$AE$3520,1)</f>
        <v>140</v>
      </c>
      <c r="C9" s="76"/>
      <c r="D9" s="3"/>
      <c r="E9" s="3"/>
      <c r="F9" s="3"/>
      <c r="G9" s="3"/>
      <c r="H9" s="3"/>
      <c r="I9" s="3"/>
      <c r="J9" s="3"/>
      <c r="K9" s="3"/>
      <c r="L9" s="3"/>
      <c r="M9" s="3"/>
      <c r="N9" s="3"/>
    </row>
    <row r="10" customFormat="false" ht="15" hidden="false" customHeight="false" outlineLevel="0" collapsed="false">
      <c r="A10" s="68" t="s">
        <v>6949</v>
      </c>
      <c r="B10" s="76" t="n">
        <f aca="false">MAX($E$13:$E$91)</f>
        <v>25</v>
      </c>
      <c r="C10" s="76"/>
      <c r="D10" s="3"/>
      <c r="E10" s="3"/>
      <c r="F10" s="3"/>
      <c r="G10" s="3"/>
      <c r="H10" s="3"/>
      <c r="I10" s="3"/>
      <c r="J10" s="3"/>
      <c r="K10" s="3"/>
      <c r="L10" s="3"/>
      <c r="M10" s="3"/>
      <c r="N10" s="3"/>
    </row>
    <row r="11" customFormat="false" ht="15" hidden="false" customHeight="false" outlineLevel="0" collapsed="false">
      <c r="A11" s="3"/>
      <c r="B11" s="3"/>
      <c r="C11" s="3"/>
      <c r="D11" s="3"/>
      <c r="E11" s="3"/>
      <c r="F11" s="3"/>
      <c r="G11" s="3"/>
      <c r="H11" s="3"/>
      <c r="I11" s="3"/>
      <c r="J11" s="3"/>
      <c r="K11" s="3"/>
      <c r="L11" s="3"/>
      <c r="M11" s="3"/>
      <c r="N11" s="3"/>
    </row>
    <row r="12" customFormat="false" ht="30" hidden="false" customHeight="true" outlineLevel="0" collapsed="false">
      <c r="A12" s="61" t="s">
        <v>28</v>
      </c>
      <c r="B12" s="61" t="s">
        <v>6</v>
      </c>
      <c r="C12" s="61" t="s">
        <v>4</v>
      </c>
      <c r="D12" s="61" t="s">
        <v>5</v>
      </c>
      <c r="E12" s="61" t="s">
        <v>3</v>
      </c>
      <c r="F12" s="61" t="s">
        <v>30</v>
      </c>
      <c r="G12" s="61" t="s">
        <v>31</v>
      </c>
      <c r="H12" s="61" t="s">
        <v>32</v>
      </c>
      <c r="I12" s="61" t="s">
        <v>33</v>
      </c>
      <c r="J12" s="61" t="s">
        <v>7</v>
      </c>
      <c r="K12" s="61" t="s">
        <v>40</v>
      </c>
      <c r="L12" s="61" t="s">
        <v>39</v>
      </c>
      <c r="M12" s="61" t="s">
        <v>6950</v>
      </c>
      <c r="N12" s="61" t="s">
        <v>6951</v>
      </c>
    </row>
    <row r="13" customFormat="false" ht="15" hidden="false" customHeight="false" outlineLevel="0" collapsed="false">
      <c r="A13" s="72" t="n">
        <v>46225</v>
      </c>
      <c r="B13" s="26" t="n">
        <f aca="false">SUMIFS(Sales_Data!$AE$2:$AE$3520,Sales_Data!$H$2:$H$3520,$B$3,Sales_Data!$C$2:$C$3520,$A13)</f>
        <v>0</v>
      </c>
      <c r="C13" s="26" t="n">
        <f aca="false">SUMIFS(Sales_Data!$M$2:$M$3520,Sales_Data!$H$2:$H$3520,$B$3,Sales_Data!$C$2:$C$3520,$A13,Sales_Data!$AE$2:$AE$3520,1)</f>
        <v>0</v>
      </c>
      <c r="D13" s="26" t="n">
        <f aca="false">SUMIFS(Sales_Data!$N$2:$N$3520,Sales_Data!$H$2:$H$3520,$B$3,Sales_Data!$C$2:$C$3520,$A13,Sales_Data!$AE$2:$AE$3520,1)</f>
        <v>0</v>
      </c>
      <c r="E13" s="27" t="n">
        <f aca="false">C13+D13</f>
        <v>0</v>
      </c>
      <c r="F13" s="28" t="s">
        <v>64</v>
      </c>
      <c r="G13" s="29" t="s">
        <v>64</v>
      </c>
      <c r="H13" s="30" t="n">
        <f aca="false">AVERAGE(E13:E13)</f>
        <v>0</v>
      </c>
      <c r="I13" s="29" t="s">
        <v>64</v>
      </c>
      <c r="J13" s="26" t="n">
        <f aca="false">SUMIFS(Sales_Data!$AF$2:$AF$3520,Sales_Data!$H$2:$H$3520,$B$3,Sales_Data!$C$2:$C$3520,$A13)</f>
        <v>0</v>
      </c>
      <c r="K13" s="81" t="n">
        <f aca="false">IFERROR(J13/$B$5,0)</f>
        <v>0</v>
      </c>
      <c r="L13" s="31" t="n">
        <f aca="false">IFERROR(E13/$B$5,0)</f>
        <v>0</v>
      </c>
      <c r="M13" s="26" t="n">
        <f aca="false">SUMIFS(Sales_Data!$O$2:$O$3520,Sales_Data!$C$2:$C$3520,$A13,Sales_Data!$AE$2:$AE$3520,1)</f>
        <v>20</v>
      </c>
      <c r="N13" s="32" t="n">
        <f aca="false">IFERROR(E13/M13,0)</f>
        <v>0</v>
      </c>
    </row>
    <row r="14" customFormat="false" ht="15" hidden="false" customHeight="false" outlineLevel="0" collapsed="false">
      <c r="A14" s="72" t="n">
        <v>46226</v>
      </c>
      <c r="B14" s="26" t="n">
        <f aca="false">SUMIFS(Sales_Data!$AE$2:$AE$3520,Sales_Data!$H$2:$H$3520,$B$3,Sales_Data!$C$2:$C$3520,$A14)</f>
        <v>0</v>
      </c>
      <c r="C14" s="26" t="n">
        <f aca="false">SUMIFS(Sales_Data!$M$2:$M$3520,Sales_Data!$H$2:$H$3520,$B$3,Sales_Data!$C$2:$C$3520,$A14,Sales_Data!$AE$2:$AE$3520,1)</f>
        <v>0</v>
      </c>
      <c r="D14" s="26" t="n">
        <f aca="false">SUMIFS(Sales_Data!$N$2:$N$3520,Sales_Data!$H$2:$H$3520,$B$3,Sales_Data!$C$2:$C$3520,$A14,Sales_Data!$AE$2:$AE$3520,1)</f>
        <v>0</v>
      </c>
      <c r="E14" s="27" t="n">
        <f aca="false">C14+D14</f>
        <v>0</v>
      </c>
      <c r="F14" s="28" t="n">
        <f aca="false">E14-E13</f>
        <v>0</v>
      </c>
      <c r="G14" s="29" t="str">
        <f aca="false">IF(E13=0,"-",(E14-E13)/E13)</f>
        <v>-</v>
      </c>
      <c r="H14" s="30" t="n">
        <f aca="false">AVERAGE(E13:E14)</f>
        <v>0</v>
      </c>
      <c r="I14" s="29" t="s">
        <v>64</v>
      </c>
      <c r="J14" s="26" t="n">
        <f aca="false">SUMIFS(Sales_Data!$AF$2:$AF$3520,Sales_Data!$H$2:$H$3520,$B$3,Sales_Data!$C$2:$C$3520,$A14)</f>
        <v>0</v>
      </c>
      <c r="K14" s="81" t="n">
        <f aca="false">IFERROR(J14/$B$5,0)</f>
        <v>0</v>
      </c>
      <c r="L14" s="31" t="n">
        <f aca="false">IFERROR(E14/$B$5,0)</f>
        <v>0</v>
      </c>
      <c r="M14" s="26" t="n">
        <f aca="false">SUMIFS(Sales_Data!$O$2:$O$3520,Sales_Data!$C$2:$C$3520,$A14,Sales_Data!$AE$2:$AE$3520,1)</f>
        <v>37</v>
      </c>
      <c r="N14" s="32" t="n">
        <f aca="false">IFERROR(E14/M14,0)</f>
        <v>0</v>
      </c>
    </row>
    <row r="15" customFormat="false" ht="15" hidden="false" customHeight="false" outlineLevel="0" collapsed="false">
      <c r="A15" s="72" t="n">
        <v>46227</v>
      </c>
      <c r="B15" s="26" t="n">
        <f aca="false">SUMIFS(Sales_Data!$AE$2:$AE$3520,Sales_Data!$H$2:$H$3520,$B$3,Sales_Data!$C$2:$C$3520,$A15)</f>
        <v>0</v>
      </c>
      <c r="C15" s="26" t="n">
        <f aca="false">SUMIFS(Sales_Data!$M$2:$M$3520,Sales_Data!$H$2:$H$3520,$B$3,Sales_Data!$C$2:$C$3520,$A15,Sales_Data!$AE$2:$AE$3520,1)</f>
        <v>0</v>
      </c>
      <c r="D15" s="26" t="n">
        <f aca="false">SUMIFS(Sales_Data!$N$2:$N$3520,Sales_Data!$H$2:$H$3520,$B$3,Sales_Data!$C$2:$C$3520,$A15,Sales_Data!$AE$2:$AE$3520,1)</f>
        <v>0</v>
      </c>
      <c r="E15" s="27" t="n">
        <f aca="false">C15+D15</f>
        <v>0</v>
      </c>
      <c r="F15" s="28" t="n">
        <f aca="false">E15-E14</f>
        <v>0</v>
      </c>
      <c r="G15" s="29" t="str">
        <f aca="false">IF(E14=0,"-",(E15-E14)/E14)</f>
        <v>-</v>
      </c>
      <c r="H15" s="30" t="n">
        <f aca="false">AVERAGE(E13:E15)</f>
        <v>0</v>
      </c>
      <c r="I15" s="29" t="s">
        <v>64</v>
      </c>
      <c r="J15" s="26" t="n">
        <f aca="false">SUMIFS(Sales_Data!$AF$2:$AF$3520,Sales_Data!$H$2:$H$3520,$B$3,Sales_Data!$C$2:$C$3520,$A15)</f>
        <v>0</v>
      </c>
      <c r="K15" s="81" t="n">
        <f aca="false">IFERROR(J15/$B$5,0)</f>
        <v>0</v>
      </c>
      <c r="L15" s="31" t="n">
        <f aca="false">IFERROR(E15/$B$5,0)</f>
        <v>0</v>
      </c>
      <c r="M15" s="26" t="n">
        <f aca="false">SUMIFS(Sales_Data!$O$2:$O$3520,Sales_Data!$C$2:$C$3520,$A15,Sales_Data!$AE$2:$AE$3520,1)</f>
        <v>43</v>
      </c>
      <c r="N15" s="32" t="n">
        <f aca="false">IFERROR(E15/M15,0)</f>
        <v>0</v>
      </c>
    </row>
    <row r="16" customFormat="false" ht="15" hidden="false" customHeight="false" outlineLevel="0" collapsed="false">
      <c r="A16" s="72" t="n">
        <v>46228</v>
      </c>
      <c r="B16" s="26" t="n">
        <f aca="false">SUMIFS(Sales_Data!$AE$2:$AE$3520,Sales_Data!$H$2:$H$3520,$B$3,Sales_Data!$C$2:$C$3520,$A16)</f>
        <v>0</v>
      </c>
      <c r="C16" s="26" t="n">
        <f aca="false">SUMIFS(Sales_Data!$M$2:$M$3520,Sales_Data!$H$2:$H$3520,$B$3,Sales_Data!$C$2:$C$3520,$A16,Sales_Data!$AE$2:$AE$3520,1)</f>
        <v>0</v>
      </c>
      <c r="D16" s="26" t="n">
        <f aca="false">SUMIFS(Sales_Data!$N$2:$N$3520,Sales_Data!$H$2:$H$3520,$B$3,Sales_Data!$C$2:$C$3520,$A16,Sales_Data!$AE$2:$AE$3520,1)</f>
        <v>0</v>
      </c>
      <c r="E16" s="27" t="n">
        <f aca="false">C16+D16</f>
        <v>0</v>
      </c>
      <c r="F16" s="28" t="n">
        <f aca="false">E16-E15</f>
        <v>0</v>
      </c>
      <c r="G16" s="29" t="str">
        <f aca="false">IF(E15=0,"-",(E16-E15)/E15)</f>
        <v>-</v>
      </c>
      <c r="H16" s="30" t="n">
        <f aca="false">AVERAGE(E13:E16)</f>
        <v>0</v>
      </c>
      <c r="I16" s="29" t="s">
        <v>64</v>
      </c>
      <c r="J16" s="26" t="n">
        <f aca="false">SUMIFS(Sales_Data!$AF$2:$AF$3520,Sales_Data!$H$2:$H$3520,$B$3,Sales_Data!$C$2:$C$3520,$A16)</f>
        <v>0</v>
      </c>
      <c r="K16" s="81" t="n">
        <f aca="false">IFERROR(J16/$B$5,0)</f>
        <v>0</v>
      </c>
      <c r="L16" s="31" t="n">
        <f aca="false">IFERROR(E16/$B$5,0)</f>
        <v>0</v>
      </c>
      <c r="M16" s="26" t="n">
        <f aca="false">SUMIFS(Sales_Data!$O$2:$O$3520,Sales_Data!$C$2:$C$3520,$A16,Sales_Data!$AE$2:$AE$3520,1)</f>
        <v>17</v>
      </c>
      <c r="N16" s="32" t="n">
        <f aca="false">IFERROR(E16/M16,0)</f>
        <v>0</v>
      </c>
    </row>
    <row r="17" customFormat="false" ht="15" hidden="false" customHeight="false" outlineLevel="0" collapsed="false">
      <c r="A17" s="72" t="n">
        <v>46229</v>
      </c>
      <c r="B17" s="26" t="n">
        <f aca="false">SUMIFS(Sales_Data!$AE$2:$AE$3520,Sales_Data!$H$2:$H$3520,$B$3,Sales_Data!$C$2:$C$3520,$A17)</f>
        <v>0</v>
      </c>
      <c r="C17" s="26" t="n">
        <f aca="false">SUMIFS(Sales_Data!$M$2:$M$3520,Sales_Data!$H$2:$H$3520,$B$3,Sales_Data!$C$2:$C$3520,$A17,Sales_Data!$AE$2:$AE$3520,1)</f>
        <v>0</v>
      </c>
      <c r="D17" s="26" t="n">
        <f aca="false">SUMIFS(Sales_Data!$N$2:$N$3520,Sales_Data!$H$2:$H$3520,$B$3,Sales_Data!$C$2:$C$3520,$A17,Sales_Data!$AE$2:$AE$3520,1)</f>
        <v>0</v>
      </c>
      <c r="E17" s="27" t="n">
        <f aca="false">C17+D17</f>
        <v>0</v>
      </c>
      <c r="F17" s="28" t="n">
        <f aca="false">E17-E16</f>
        <v>0</v>
      </c>
      <c r="G17" s="29" t="str">
        <f aca="false">IF(E16=0,"-",(E17-E16)/E16)</f>
        <v>-</v>
      </c>
      <c r="H17" s="30" t="n">
        <f aca="false">AVERAGE(E13:E17)</f>
        <v>0</v>
      </c>
      <c r="I17" s="29" t="s">
        <v>64</v>
      </c>
      <c r="J17" s="26" t="n">
        <f aca="false">SUMIFS(Sales_Data!$AF$2:$AF$3520,Sales_Data!$H$2:$H$3520,$B$3,Sales_Data!$C$2:$C$3520,$A17)</f>
        <v>0</v>
      </c>
      <c r="K17" s="81" t="n">
        <f aca="false">IFERROR(J17/$B$5,0)</f>
        <v>0</v>
      </c>
      <c r="L17" s="31" t="n">
        <f aca="false">IFERROR(E17/$B$5,0)</f>
        <v>0</v>
      </c>
      <c r="M17" s="26" t="n">
        <f aca="false">SUMIFS(Sales_Data!$O$2:$O$3520,Sales_Data!$C$2:$C$3520,$A17,Sales_Data!$AE$2:$AE$3520,1)</f>
        <v>22</v>
      </c>
      <c r="N17" s="32" t="n">
        <f aca="false">IFERROR(E17/M17,0)</f>
        <v>0</v>
      </c>
    </row>
    <row r="18" customFormat="false" ht="15" hidden="false" customHeight="false" outlineLevel="0" collapsed="false">
      <c r="A18" s="72" t="n">
        <v>46230</v>
      </c>
      <c r="B18" s="26" t="n">
        <f aca="false">SUMIFS(Sales_Data!$AE$2:$AE$3520,Sales_Data!$H$2:$H$3520,$B$3,Sales_Data!$C$2:$C$3520,$A18)</f>
        <v>0</v>
      </c>
      <c r="C18" s="26" t="n">
        <f aca="false">SUMIFS(Sales_Data!$M$2:$M$3520,Sales_Data!$H$2:$H$3520,$B$3,Sales_Data!$C$2:$C$3520,$A18,Sales_Data!$AE$2:$AE$3520,1)</f>
        <v>0</v>
      </c>
      <c r="D18" s="26" t="n">
        <f aca="false">SUMIFS(Sales_Data!$N$2:$N$3520,Sales_Data!$H$2:$H$3520,$B$3,Sales_Data!$C$2:$C$3520,$A18,Sales_Data!$AE$2:$AE$3520,1)</f>
        <v>0</v>
      </c>
      <c r="E18" s="27" t="n">
        <f aca="false">C18+D18</f>
        <v>0</v>
      </c>
      <c r="F18" s="28" t="n">
        <f aca="false">E18-E17</f>
        <v>0</v>
      </c>
      <c r="G18" s="29" t="str">
        <f aca="false">IF(E17=0,"-",(E18-E17)/E17)</f>
        <v>-</v>
      </c>
      <c r="H18" s="30" t="n">
        <f aca="false">AVERAGE(E13:E18)</f>
        <v>0</v>
      </c>
      <c r="I18" s="29" t="s">
        <v>64</v>
      </c>
      <c r="J18" s="26" t="n">
        <f aca="false">SUMIFS(Sales_Data!$AF$2:$AF$3520,Sales_Data!$H$2:$H$3520,$B$3,Sales_Data!$C$2:$C$3520,$A18)</f>
        <v>0</v>
      </c>
      <c r="K18" s="81" t="n">
        <f aca="false">IFERROR(J18/$B$5,0)</f>
        <v>0</v>
      </c>
      <c r="L18" s="31" t="n">
        <f aca="false">IFERROR(E18/$B$5,0)</f>
        <v>0</v>
      </c>
      <c r="M18" s="26" t="n">
        <f aca="false">SUMIFS(Sales_Data!$O$2:$O$3520,Sales_Data!$C$2:$C$3520,$A18,Sales_Data!$AE$2:$AE$3520,1)</f>
        <v>48</v>
      </c>
      <c r="N18" s="32" t="n">
        <f aca="false">IFERROR(E18/M18,0)</f>
        <v>0</v>
      </c>
    </row>
    <row r="19" customFormat="false" ht="15" hidden="false" customHeight="false" outlineLevel="0" collapsed="false">
      <c r="A19" s="72" t="n">
        <v>46231</v>
      </c>
      <c r="B19" s="26" t="n">
        <f aca="false">SUMIFS(Sales_Data!$AE$2:$AE$3520,Sales_Data!$H$2:$H$3520,$B$3,Sales_Data!$C$2:$C$3520,$A19)</f>
        <v>0</v>
      </c>
      <c r="C19" s="26" t="n">
        <f aca="false">SUMIFS(Sales_Data!$M$2:$M$3520,Sales_Data!$H$2:$H$3520,$B$3,Sales_Data!$C$2:$C$3520,$A19,Sales_Data!$AE$2:$AE$3520,1)</f>
        <v>0</v>
      </c>
      <c r="D19" s="26" t="n">
        <f aca="false">SUMIFS(Sales_Data!$N$2:$N$3520,Sales_Data!$H$2:$H$3520,$B$3,Sales_Data!$C$2:$C$3520,$A19,Sales_Data!$AE$2:$AE$3520,1)</f>
        <v>0</v>
      </c>
      <c r="E19" s="27" t="n">
        <f aca="false">C19+D19</f>
        <v>0</v>
      </c>
      <c r="F19" s="28" t="n">
        <f aca="false">E19-E18</f>
        <v>0</v>
      </c>
      <c r="G19" s="29" t="str">
        <f aca="false">IF(E18=0,"-",(E19-E18)/E18)</f>
        <v>-</v>
      </c>
      <c r="H19" s="30" t="n">
        <f aca="false">AVERAGE(E13:E19)</f>
        <v>0</v>
      </c>
      <c r="I19" s="29" t="s">
        <v>64</v>
      </c>
      <c r="J19" s="26" t="n">
        <f aca="false">SUMIFS(Sales_Data!$AF$2:$AF$3520,Sales_Data!$H$2:$H$3520,$B$3,Sales_Data!$C$2:$C$3520,$A19)</f>
        <v>0</v>
      </c>
      <c r="K19" s="81" t="n">
        <f aca="false">IFERROR(J19/$B$5,0)</f>
        <v>0</v>
      </c>
      <c r="L19" s="31" t="n">
        <f aca="false">IFERROR(E19/$B$5,0)</f>
        <v>0</v>
      </c>
      <c r="M19" s="26" t="n">
        <f aca="false">SUMIFS(Sales_Data!$O$2:$O$3520,Sales_Data!$C$2:$C$3520,$A19,Sales_Data!$AE$2:$AE$3520,1)</f>
        <v>46</v>
      </c>
      <c r="N19" s="32" t="n">
        <f aca="false">IFERROR(E19/M19,0)</f>
        <v>0</v>
      </c>
    </row>
    <row r="20" customFormat="false" ht="15" hidden="false" customHeight="false" outlineLevel="0" collapsed="false">
      <c r="A20" s="72" t="n">
        <v>46232</v>
      </c>
      <c r="B20" s="26" t="n">
        <f aca="false">SUMIFS(Sales_Data!$AE$2:$AE$3520,Sales_Data!$H$2:$H$3520,$B$3,Sales_Data!$C$2:$C$3520,$A20)</f>
        <v>0</v>
      </c>
      <c r="C20" s="26" t="n">
        <f aca="false">SUMIFS(Sales_Data!$M$2:$M$3520,Sales_Data!$H$2:$H$3520,$B$3,Sales_Data!$C$2:$C$3520,$A20,Sales_Data!$AE$2:$AE$3520,1)</f>
        <v>0</v>
      </c>
      <c r="D20" s="26" t="n">
        <f aca="false">SUMIFS(Sales_Data!$N$2:$N$3520,Sales_Data!$H$2:$H$3520,$B$3,Sales_Data!$C$2:$C$3520,$A20,Sales_Data!$AE$2:$AE$3520,1)</f>
        <v>0</v>
      </c>
      <c r="E20" s="27" t="n">
        <f aca="false">C20+D20</f>
        <v>0</v>
      </c>
      <c r="F20" s="28" t="n">
        <f aca="false">E20-E19</f>
        <v>0</v>
      </c>
      <c r="G20" s="29" t="str">
        <f aca="false">IF(E19=0,"-",(E20-E19)/E19)</f>
        <v>-</v>
      </c>
      <c r="H20" s="30" t="n">
        <f aca="false">AVERAGE(E14:E20)</f>
        <v>0</v>
      </c>
      <c r="I20" s="29" t="str">
        <f aca="false">IF(E13=0,"-",(E20-E13)/E13)</f>
        <v>-</v>
      </c>
      <c r="J20" s="26" t="n">
        <f aca="false">SUMIFS(Sales_Data!$AF$2:$AF$3520,Sales_Data!$H$2:$H$3520,$B$3,Sales_Data!$C$2:$C$3520,$A20)</f>
        <v>0</v>
      </c>
      <c r="K20" s="81" t="n">
        <f aca="false">IFERROR(J20/$B$5,0)</f>
        <v>0</v>
      </c>
      <c r="L20" s="31" t="n">
        <f aca="false">IFERROR(E20/$B$5,0)</f>
        <v>0</v>
      </c>
      <c r="M20" s="26" t="n">
        <f aca="false">SUMIFS(Sales_Data!$O$2:$O$3520,Sales_Data!$C$2:$C$3520,$A20,Sales_Data!$AE$2:$AE$3520,1)</f>
        <v>48</v>
      </c>
      <c r="N20" s="32" t="n">
        <f aca="false">IFERROR(E20/M20,0)</f>
        <v>0</v>
      </c>
    </row>
    <row r="21" customFormat="false" ht="15" hidden="false" customHeight="false" outlineLevel="0" collapsed="false">
      <c r="A21" s="72" t="n">
        <v>46233</v>
      </c>
      <c r="B21" s="26" t="n">
        <f aca="false">SUMIFS(Sales_Data!$AE$2:$AE$3520,Sales_Data!$H$2:$H$3520,$B$3,Sales_Data!$C$2:$C$3520,$A21)</f>
        <v>0</v>
      </c>
      <c r="C21" s="26" t="n">
        <f aca="false">SUMIFS(Sales_Data!$M$2:$M$3520,Sales_Data!$H$2:$H$3520,$B$3,Sales_Data!$C$2:$C$3520,$A21,Sales_Data!$AE$2:$AE$3520,1)</f>
        <v>0</v>
      </c>
      <c r="D21" s="26" t="n">
        <f aca="false">SUMIFS(Sales_Data!$N$2:$N$3520,Sales_Data!$H$2:$H$3520,$B$3,Sales_Data!$C$2:$C$3520,$A21,Sales_Data!$AE$2:$AE$3520,1)</f>
        <v>0</v>
      </c>
      <c r="E21" s="27" t="n">
        <f aca="false">C21+D21</f>
        <v>0</v>
      </c>
      <c r="F21" s="28" t="n">
        <f aca="false">E21-E20</f>
        <v>0</v>
      </c>
      <c r="G21" s="29" t="str">
        <f aca="false">IF(E20=0,"-",(E21-E20)/E20)</f>
        <v>-</v>
      </c>
      <c r="H21" s="30" t="n">
        <f aca="false">AVERAGE(E15:E21)</f>
        <v>0</v>
      </c>
      <c r="I21" s="29" t="str">
        <f aca="false">IF(E14=0,"-",(E21-E14)/E14)</f>
        <v>-</v>
      </c>
      <c r="J21" s="26" t="n">
        <f aca="false">SUMIFS(Sales_Data!$AF$2:$AF$3520,Sales_Data!$H$2:$H$3520,$B$3,Sales_Data!$C$2:$C$3520,$A21)</f>
        <v>0</v>
      </c>
      <c r="K21" s="81" t="n">
        <f aca="false">IFERROR(J21/$B$5,0)</f>
        <v>0</v>
      </c>
      <c r="L21" s="31" t="n">
        <f aca="false">IFERROR(E21/$B$5,0)</f>
        <v>0</v>
      </c>
      <c r="M21" s="26" t="n">
        <f aca="false">SUMIFS(Sales_Data!$O$2:$O$3520,Sales_Data!$C$2:$C$3520,$A21,Sales_Data!$AE$2:$AE$3520,1)</f>
        <v>38</v>
      </c>
      <c r="N21" s="32" t="n">
        <f aca="false">IFERROR(E21/M21,0)</f>
        <v>0</v>
      </c>
    </row>
    <row r="22" customFormat="false" ht="15" hidden="false" customHeight="false" outlineLevel="0" collapsed="false">
      <c r="A22" s="72" t="n">
        <v>46234</v>
      </c>
      <c r="B22" s="26" t="n">
        <f aca="false">SUMIFS(Sales_Data!$AE$2:$AE$3520,Sales_Data!$H$2:$H$3520,$B$3,Sales_Data!$C$2:$C$3520,$A22)</f>
        <v>0</v>
      </c>
      <c r="C22" s="26" t="n">
        <f aca="false">SUMIFS(Sales_Data!$M$2:$M$3520,Sales_Data!$H$2:$H$3520,$B$3,Sales_Data!$C$2:$C$3520,$A22,Sales_Data!$AE$2:$AE$3520,1)</f>
        <v>0</v>
      </c>
      <c r="D22" s="26" t="n">
        <f aca="false">SUMIFS(Sales_Data!$N$2:$N$3520,Sales_Data!$H$2:$H$3520,$B$3,Sales_Data!$C$2:$C$3520,$A22,Sales_Data!$AE$2:$AE$3520,1)</f>
        <v>0</v>
      </c>
      <c r="E22" s="27" t="n">
        <f aca="false">C22+D22</f>
        <v>0</v>
      </c>
      <c r="F22" s="28" t="n">
        <f aca="false">E22-E21</f>
        <v>0</v>
      </c>
      <c r="G22" s="29" t="str">
        <f aca="false">IF(E21=0,"-",(E22-E21)/E21)</f>
        <v>-</v>
      </c>
      <c r="H22" s="30" t="n">
        <f aca="false">AVERAGE(E16:E22)</f>
        <v>0</v>
      </c>
      <c r="I22" s="29" t="str">
        <f aca="false">IF(E15=0,"-",(E22-E15)/E15)</f>
        <v>-</v>
      </c>
      <c r="J22" s="26" t="n">
        <f aca="false">SUMIFS(Sales_Data!$AF$2:$AF$3520,Sales_Data!$H$2:$H$3520,$B$3,Sales_Data!$C$2:$C$3520,$A22)</f>
        <v>0</v>
      </c>
      <c r="K22" s="81" t="n">
        <f aca="false">IFERROR(J22/$B$5,0)</f>
        <v>0</v>
      </c>
      <c r="L22" s="31" t="n">
        <f aca="false">IFERROR(E22/$B$5,0)</f>
        <v>0</v>
      </c>
      <c r="M22" s="26" t="n">
        <f aca="false">SUMIFS(Sales_Data!$O$2:$O$3520,Sales_Data!$C$2:$C$3520,$A22,Sales_Data!$AE$2:$AE$3520,1)</f>
        <v>40</v>
      </c>
      <c r="N22" s="32" t="n">
        <f aca="false">IFERROR(E22/M22,0)</f>
        <v>0</v>
      </c>
    </row>
    <row r="23" customFormat="false" ht="15" hidden="false" customHeight="false" outlineLevel="0" collapsed="false">
      <c r="A23" s="72" t="n">
        <v>46235</v>
      </c>
      <c r="B23" s="26" t="n">
        <f aca="false">SUMIFS(Sales_Data!$AE$2:$AE$3520,Sales_Data!$H$2:$H$3520,$B$3,Sales_Data!$C$2:$C$3520,$A23)</f>
        <v>0</v>
      </c>
      <c r="C23" s="26" t="n">
        <f aca="false">SUMIFS(Sales_Data!$M$2:$M$3520,Sales_Data!$H$2:$H$3520,$B$3,Sales_Data!$C$2:$C$3520,$A23,Sales_Data!$AE$2:$AE$3520,1)</f>
        <v>0</v>
      </c>
      <c r="D23" s="26" t="n">
        <f aca="false">SUMIFS(Sales_Data!$N$2:$N$3520,Sales_Data!$H$2:$H$3520,$B$3,Sales_Data!$C$2:$C$3520,$A23,Sales_Data!$AE$2:$AE$3520,1)</f>
        <v>0</v>
      </c>
      <c r="E23" s="27" t="n">
        <f aca="false">C23+D23</f>
        <v>0</v>
      </c>
      <c r="F23" s="28" t="n">
        <f aca="false">E23-E22</f>
        <v>0</v>
      </c>
      <c r="G23" s="29" t="str">
        <f aca="false">IF(E22=0,"-",(E23-E22)/E22)</f>
        <v>-</v>
      </c>
      <c r="H23" s="30" t="n">
        <f aca="false">AVERAGE(E17:E23)</f>
        <v>0</v>
      </c>
      <c r="I23" s="29" t="str">
        <f aca="false">IF(E16=0,"-",(E23-E16)/E16)</f>
        <v>-</v>
      </c>
      <c r="J23" s="26" t="n">
        <f aca="false">SUMIFS(Sales_Data!$AF$2:$AF$3520,Sales_Data!$H$2:$H$3520,$B$3,Sales_Data!$C$2:$C$3520,$A23)</f>
        <v>0</v>
      </c>
      <c r="K23" s="81" t="n">
        <f aca="false">IFERROR(J23/$B$5,0)</f>
        <v>0</v>
      </c>
      <c r="L23" s="31" t="n">
        <f aca="false">IFERROR(E23/$B$5,0)</f>
        <v>0</v>
      </c>
      <c r="M23" s="26" t="n">
        <f aca="false">SUMIFS(Sales_Data!$O$2:$O$3520,Sales_Data!$C$2:$C$3520,$A23,Sales_Data!$AE$2:$AE$3520,1)</f>
        <v>25</v>
      </c>
      <c r="N23" s="32" t="n">
        <f aca="false">IFERROR(E23/M23,0)</f>
        <v>0</v>
      </c>
    </row>
    <row r="24" customFormat="false" ht="15" hidden="false" customHeight="false" outlineLevel="0" collapsed="false">
      <c r="A24" s="72" t="n">
        <v>46236</v>
      </c>
      <c r="B24" s="26" t="n">
        <f aca="false">SUMIFS(Sales_Data!$AE$2:$AE$3520,Sales_Data!$H$2:$H$3520,$B$3,Sales_Data!$C$2:$C$3520,$A24)</f>
        <v>0</v>
      </c>
      <c r="C24" s="26" t="n">
        <f aca="false">SUMIFS(Sales_Data!$M$2:$M$3520,Sales_Data!$H$2:$H$3520,$B$3,Sales_Data!$C$2:$C$3520,$A24,Sales_Data!$AE$2:$AE$3520,1)</f>
        <v>0</v>
      </c>
      <c r="D24" s="26" t="n">
        <f aca="false">SUMIFS(Sales_Data!$N$2:$N$3520,Sales_Data!$H$2:$H$3520,$B$3,Sales_Data!$C$2:$C$3520,$A24,Sales_Data!$AE$2:$AE$3520,1)</f>
        <v>0</v>
      </c>
      <c r="E24" s="27" t="n">
        <f aca="false">C24+D24</f>
        <v>0</v>
      </c>
      <c r="F24" s="28" t="n">
        <f aca="false">E24-E23</f>
        <v>0</v>
      </c>
      <c r="G24" s="29" t="str">
        <f aca="false">IF(E23=0,"-",(E24-E23)/E23)</f>
        <v>-</v>
      </c>
      <c r="H24" s="30" t="n">
        <f aca="false">AVERAGE(E18:E24)</f>
        <v>0</v>
      </c>
      <c r="I24" s="29" t="str">
        <f aca="false">IF(E17=0,"-",(E24-E17)/E17)</f>
        <v>-</v>
      </c>
      <c r="J24" s="26" t="n">
        <f aca="false">SUMIFS(Sales_Data!$AF$2:$AF$3520,Sales_Data!$H$2:$H$3520,$B$3,Sales_Data!$C$2:$C$3520,$A24)</f>
        <v>0</v>
      </c>
      <c r="K24" s="81" t="n">
        <f aca="false">IFERROR(J24/$B$5,0)</f>
        <v>0</v>
      </c>
      <c r="L24" s="31" t="n">
        <f aca="false">IFERROR(E24/$B$5,0)</f>
        <v>0</v>
      </c>
      <c r="M24" s="26" t="n">
        <f aca="false">SUMIFS(Sales_Data!$O$2:$O$3520,Sales_Data!$C$2:$C$3520,$A24,Sales_Data!$AE$2:$AE$3520,1)</f>
        <v>33</v>
      </c>
      <c r="N24" s="32" t="n">
        <f aca="false">IFERROR(E24/M24,0)</f>
        <v>0</v>
      </c>
    </row>
    <row r="25" customFormat="false" ht="15" hidden="false" customHeight="false" outlineLevel="0" collapsed="false">
      <c r="A25" s="72" t="n">
        <v>46237</v>
      </c>
      <c r="B25" s="26" t="n">
        <f aca="false">SUMIFS(Sales_Data!$AE$2:$AE$3520,Sales_Data!$H$2:$H$3520,$B$3,Sales_Data!$C$2:$C$3520,$A25)</f>
        <v>0</v>
      </c>
      <c r="C25" s="26" t="n">
        <f aca="false">SUMIFS(Sales_Data!$M$2:$M$3520,Sales_Data!$H$2:$H$3520,$B$3,Sales_Data!$C$2:$C$3520,$A25,Sales_Data!$AE$2:$AE$3520,1)</f>
        <v>0</v>
      </c>
      <c r="D25" s="26" t="n">
        <f aca="false">SUMIFS(Sales_Data!$N$2:$N$3520,Sales_Data!$H$2:$H$3520,$B$3,Sales_Data!$C$2:$C$3520,$A25,Sales_Data!$AE$2:$AE$3520,1)</f>
        <v>0</v>
      </c>
      <c r="E25" s="27" t="n">
        <f aca="false">C25+D25</f>
        <v>0</v>
      </c>
      <c r="F25" s="28" t="n">
        <f aca="false">E25-E24</f>
        <v>0</v>
      </c>
      <c r="G25" s="29" t="str">
        <f aca="false">IF(E24=0,"-",(E25-E24)/E24)</f>
        <v>-</v>
      </c>
      <c r="H25" s="30" t="n">
        <f aca="false">AVERAGE(E19:E25)</f>
        <v>0</v>
      </c>
      <c r="I25" s="29" t="str">
        <f aca="false">IF(E18=0,"-",(E25-E18)/E18)</f>
        <v>-</v>
      </c>
      <c r="J25" s="26" t="n">
        <f aca="false">SUMIFS(Sales_Data!$AF$2:$AF$3520,Sales_Data!$H$2:$H$3520,$B$3,Sales_Data!$C$2:$C$3520,$A25)</f>
        <v>0</v>
      </c>
      <c r="K25" s="81" t="n">
        <f aca="false">IFERROR(J25/$B$5,0)</f>
        <v>0</v>
      </c>
      <c r="L25" s="31" t="n">
        <f aca="false">IFERROR(E25/$B$5,0)</f>
        <v>0</v>
      </c>
      <c r="M25" s="26" t="n">
        <f aca="false">SUMIFS(Sales_Data!$O$2:$O$3520,Sales_Data!$C$2:$C$3520,$A25,Sales_Data!$AE$2:$AE$3520,1)</f>
        <v>46</v>
      </c>
      <c r="N25" s="32" t="n">
        <f aca="false">IFERROR(E25/M25,0)</f>
        <v>0</v>
      </c>
    </row>
    <row r="26" customFormat="false" ht="15" hidden="false" customHeight="false" outlineLevel="0" collapsed="false">
      <c r="A26" s="72" t="n">
        <v>46238</v>
      </c>
      <c r="B26" s="26" t="n">
        <f aca="false">SUMIFS(Sales_Data!$AE$2:$AE$3520,Sales_Data!$H$2:$H$3520,$B$3,Sales_Data!$C$2:$C$3520,$A26)</f>
        <v>0</v>
      </c>
      <c r="C26" s="26" t="n">
        <f aca="false">SUMIFS(Sales_Data!$M$2:$M$3520,Sales_Data!$H$2:$H$3520,$B$3,Sales_Data!$C$2:$C$3520,$A26,Sales_Data!$AE$2:$AE$3520,1)</f>
        <v>0</v>
      </c>
      <c r="D26" s="26" t="n">
        <f aca="false">SUMIFS(Sales_Data!$N$2:$N$3520,Sales_Data!$H$2:$H$3520,$B$3,Sales_Data!$C$2:$C$3520,$A26,Sales_Data!$AE$2:$AE$3520,1)</f>
        <v>0</v>
      </c>
      <c r="E26" s="27" t="n">
        <f aca="false">C26+D26</f>
        <v>0</v>
      </c>
      <c r="F26" s="28" t="n">
        <f aca="false">E26-E25</f>
        <v>0</v>
      </c>
      <c r="G26" s="29" t="str">
        <f aca="false">IF(E25=0,"-",(E26-E25)/E25)</f>
        <v>-</v>
      </c>
      <c r="H26" s="30" t="n">
        <f aca="false">AVERAGE(E20:E26)</f>
        <v>0</v>
      </c>
      <c r="I26" s="29" t="str">
        <f aca="false">IF(E19=0,"-",(E26-E19)/E19)</f>
        <v>-</v>
      </c>
      <c r="J26" s="26" t="n">
        <f aca="false">SUMIFS(Sales_Data!$AF$2:$AF$3520,Sales_Data!$H$2:$H$3520,$B$3,Sales_Data!$C$2:$C$3520,$A26)</f>
        <v>0</v>
      </c>
      <c r="K26" s="81" t="n">
        <f aca="false">IFERROR(J26/$B$5,0)</f>
        <v>0</v>
      </c>
      <c r="L26" s="31" t="n">
        <f aca="false">IFERROR(E26/$B$5,0)</f>
        <v>0</v>
      </c>
      <c r="M26" s="26" t="n">
        <f aca="false">SUMIFS(Sales_Data!$O$2:$O$3520,Sales_Data!$C$2:$C$3520,$A26,Sales_Data!$AE$2:$AE$3520,1)</f>
        <v>38</v>
      </c>
      <c r="N26" s="32" t="n">
        <f aca="false">IFERROR(E26/M26,0)</f>
        <v>0</v>
      </c>
    </row>
    <row r="27" customFormat="false" ht="15" hidden="false" customHeight="false" outlineLevel="0" collapsed="false">
      <c r="A27" s="72" t="n">
        <v>46239</v>
      </c>
      <c r="B27" s="26" t="n">
        <f aca="false">SUMIFS(Sales_Data!$AE$2:$AE$3520,Sales_Data!$H$2:$H$3520,$B$3,Sales_Data!$C$2:$C$3520,$A27)</f>
        <v>0</v>
      </c>
      <c r="C27" s="26" t="n">
        <f aca="false">SUMIFS(Sales_Data!$M$2:$M$3520,Sales_Data!$H$2:$H$3520,$B$3,Sales_Data!$C$2:$C$3520,$A27,Sales_Data!$AE$2:$AE$3520,1)</f>
        <v>0</v>
      </c>
      <c r="D27" s="26" t="n">
        <f aca="false">SUMIFS(Sales_Data!$N$2:$N$3520,Sales_Data!$H$2:$H$3520,$B$3,Sales_Data!$C$2:$C$3520,$A27,Sales_Data!$AE$2:$AE$3520,1)</f>
        <v>0</v>
      </c>
      <c r="E27" s="27" t="n">
        <f aca="false">C27+D27</f>
        <v>0</v>
      </c>
      <c r="F27" s="28" t="n">
        <f aca="false">E27-E26</f>
        <v>0</v>
      </c>
      <c r="G27" s="29" t="str">
        <f aca="false">IF(E26=0,"-",(E27-E26)/E26)</f>
        <v>-</v>
      </c>
      <c r="H27" s="30" t="n">
        <f aca="false">AVERAGE(E21:E27)</f>
        <v>0</v>
      </c>
      <c r="I27" s="29" t="str">
        <f aca="false">IF(E20=0,"-",(E27-E20)/E20)</f>
        <v>-</v>
      </c>
      <c r="J27" s="26" t="n">
        <f aca="false">SUMIFS(Sales_Data!$AF$2:$AF$3520,Sales_Data!$H$2:$H$3520,$B$3,Sales_Data!$C$2:$C$3520,$A27)</f>
        <v>0</v>
      </c>
      <c r="K27" s="81" t="n">
        <f aca="false">IFERROR(J27/$B$5,0)</f>
        <v>0</v>
      </c>
      <c r="L27" s="31" t="n">
        <f aca="false">IFERROR(E27/$B$5,0)</f>
        <v>0</v>
      </c>
      <c r="M27" s="26" t="n">
        <f aca="false">SUMIFS(Sales_Data!$O$2:$O$3520,Sales_Data!$C$2:$C$3520,$A27,Sales_Data!$AE$2:$AE$3520,1)</f>
        <v>30</v>
      </c>
      <c r="N27" s="32" t="n">
        <f aca="false">IFERROR(E27/M27,0)</f>
        <v>0</v>
      </c>
    </row>
    <row r="28" customFormat="false" ht="15" hidden="false" customHeight="false" outlineLevel="0" collapsed="false">
      <c r="A28" s="72" t="n">
        <v>46240</v>
      </c>
      <c r="B28" s="26" t="n">
        <f aca="false">SUMIFS(Sales_Data!$AE$2:$AE$3520,Sales_Data!$H$2:$H$3520,$B$3,Sales_Data!$C$2:$C$3520,$A28)</f>
        <v>0</v>
      </c>
      <c r="C28" s="26" t="n">
        <f aca="false">SUMIFS(Sales_Data!$M$2:$M$3520,Sales_Data!$H$2:$H$3520,$B$3,Sales_Data!$C$2:$C$3520,$A28,Sales_Data!$AE$2:$AE$3520,1)</f>
        <v>0</v>
      </c>
      <c r="D28" s="26" t="n">
        <f aca="false">SUMIFS(Sales_Data!$N$2:$N$3520,Sales_Data!$H$2:$H$3520,$B$3,Sales_Data!$C$2:$C$3520,$A28,Sales_Data!$AE$2:$AE$3520,1)</f>
        <v>0</v>
      </c>
      <c r="E28" s="27" t="n">
        <f aca="false">C28+D28</f>
        <v>0</v>
      </c>
      <c r="F28" s="28" t="n">
        <f aca="false">E28-E27</f>
        <v>0</v>
      </c>
      <c r="G28" s="29" t="str">
        <f aca="false">IF(E27=0,"-",(E28-E27)/E27)</f>
        <v>-</v>
      </c>
      <c r="H28" s="30" t="n">
        <f aca="false">AVERAGE(E22:E28)</f>
        <v>0</v>
      </c>
      <c r="I28" s="29" t="str">
        <f aca="false">IF(E21=0,"-",(E28-E21)/E21)</f>
        <v>-</v>
      </c>
      <c r="J28" s="26" t="n">
        <f aca="false">SUMIFS(Sales_Data!$AF$2:$AF$3520,Sales_Data!$H$2:$H$3520,$B$3,Sales_Data!$C$2:$C$3520,$A28)</f>
        <v>0</v>
      </c>
      <c r="K28" s="81" t="n">
        <f aca="false">IFERROR(J28/$B$5,0)</f>
        <v>0</v>
      </c>
      <c r="L28" s="31" t="n">
        <f aca="false">IFERROR(E28/$B$5,0)</f>
        <v>0</v>
      </c>
      <c r="M28" s="26" t="n">
        <f aca="false">SUMIFS(Sales_Data!$O$2:$O$3520,Sales_Data!$C$2:$C$3520,$A28,Sales_Data!$AE$2:$AE$3520,1)</f>
        <v>35</v>
      </c>
      <c r="N28" s="32" t="n">
        <f aca="false">IFERROR(E28/M28,0)</f>
        <v>0</v>
      </c>
    </row>
    <row r="29" customFormat="false" ht="15" hidden="false" customHeight="false" outlineLevel="0" collapsed="false">
      <c r="A29" s="72" t="n">
        <v>46241</v>
      </c>
      <c r="B29" s="26" t="n">
        <f aca="false">SUMIFS(Sales_Data!$AE$2:$AE$3520,Sales_Data!$H$2:$H$3520,$B$3,Sales_Data!$C$2:$C$3520,$A29)</f>
        <v>0</v>
      </c>
      <c r="C29" s="26" t="n">
        <f aca="false">SUMIFS(Sales_Data!$M$2:$M$3520,Sales_Data!$H$2:$H$3520,$B$3,Sales_Data!$C$2:$C$3520,$A29,Sales_Data!$AE$2:$AE$3520,1)</f>
        <v>0</v>
      </c>
      <c r="D29" s="26" t="n">
        <f aca="false">SUMIFS(Sales_Data!$N$2:$N$3520,Sales_Data!$H$2:$H$3520,$B$3,Sales_Data!$C$2:$C$3520,$A29,Sales_Data!$AE$2:$AE$3520,1)</f>
        <v>0</v>
      </c>
      <c r="E29" s="27" t="n">
        <f aca="false">C29+D29</f>
        <v>0</v>
      </c>
      <c r="F29" s="28" t="n">
        <f aca="false">E29-E28</f>
        <v>0</v>
      </c>
      <c r="G29" s="29" t="str">
        <f aca="false">IF(E28=0,"-",(E29-E28)/E28)</f>
        <v>-</v>
      </c>
      <c r="H29" s="30" t="n">
        <f aca="false">AVERAGE(E23:E29)</f>
        <v>0</v>
      </c>
      <c r="I29" s="29" t="str">
        <f aca="false">IF(E22=0,"-",(E29-E22)/E22)</f>
        <v>-</v>
      </c>
      <c r="J29" s="26" t="n">
        <f aca="false">SUMIFS(Sales_Data!$AF$2:$AF$3520,Sales_Data!$H$2:$H$3520,$B$3,Sales_Data!$C$2:$C$3520,$A29)</f>
        <v>0</v>
      </c>
      <c r="K29" s="81" t="n">
        <f aca="false">IFERROR(J29/$B$5,0)</f>
        <v>0</v>
      </c>
      <c r="L29" s="31" t="n">
        <f aca="false">IFERROR(E29/$B$5,0)</f>
        <v>0</v>
      </c>
      <c r="M29" s="26" t="n">
        <f aca="false">SUMIFS(Sales_Data!$O$2:$O$3520,Sales_Data!$C$2:$C$3520,$A29,Sales_Data!$AE$2:$AE$3520,1)</f>
        <v>54</v>
      </c>
      <c r="N29" s="32" t="n">
        <f aca="false">IFERROR(E29/M29,0)</f>
        <v>0</v>
      </c>
    </row>
    <row r="30" customFormat="false" ht="15" hidden="false" customHeight="false" outlineLevel="0" collapsed="false">
      <c r="A30" s="72" t="n">
        <v>46242</v>
      </c>
      <c r="B30" s="26" t="n">
        <f aca="false">SUMIFS(Sales_Data!$AE$2:$AE$3520,Sales_Data!$H$2:$H$3520,$B$3,Sales_Data!$C$2:$C$3520,$A30)</f>
        <v>0</v>
      </c>
      <c r="C30" s="26" t="n">
        <f aca="false">SUMIFS(Sales_Data!$M$2:$M$3520,Sales_Data!$H$2:$H$3520,$B$3,Sales_Data!$C$2:$C$3520,$A30,Sales_Data!$AE$2:$AE$3520,1)</f>
        <v>0</v>
      </c>
      <c r="D30" s="26" t="n">
        <f aca="false">SUMIFS(Sales_Data!$N$2:$N$3520,Sales_Data!$H$2:$H$3520,$B$3,Sales_Data!$C$2:$C$3520,$A30,Sales_Data!$AE$2:$AE$3520,1)</f>
        <v>0</v>
      </c>
      <c r="E30" s="27" t="n">
        <f aca="false">C30+D30</f>
        <v>0</v>
      </c>
      <c r="F30" s="28" t="n">
        <f aca="false">E30-E29</f>
        <v>0</v>
      </c>
      <c r="G30" s="29" t="str">
        <f aca="false">IF(E29=0,"-",(E30-E29)/E29)</f>
        <v>-</v>
      </c>
      <c r="H30" s="30" t="n">
        <f aca="false">AVERAGE(E24:E30)</f>
        <v>0</v>
      </c>
      <c r="I30" s="29" t="str">
        <f aca="false">IF(E23=0,"-",(E30-E23)/E23)</f>
        <v>-</v>
      </c>
      <c r="J30" s="26" t="n">
        <f aca="false">SUMIFS(Sales_Data!$AF$2:$AF$3520,Sales_Data!$H$2:$H$3520,$B$3,Sales_Data!$C$2:$C$3520,$A30)</f>
        <v>0</v>
      </c>
      <c r="K30" s="81" t="n">
        <f aca="false">IFERROR(J30/$B$5,0)</f>
        <v>0</v>
      </c>
      <c r="L30" s="31" t="n">
        <f aca="false">IFERROR(E30/$B$5,0)</f>
        <v>0</v>
      </c>
      <c r="M30" s="26" t="n">
        <f aca="false">SUMIFS(Sales_Data!$O$2:$O$3520,Sales_Data!$C$2:$C$3520,$A30,Sales_Data!$AE$2:$AE$3520,1)</f>
        <v>29</v>
      </c>
      <c r="N30" s="32" t="n">
        <f aca="false">IFERROR(E30/M30,0)</f>
        <v>0</v>
      </c>
    </row>
    <row r="31" customFormat="false" ht="15" hidden="false" customHeight="false" outlineLevel="0" collapsed="false">
      <c r="A31" s="72" t="n">
        <v>46243</v>
      </c>
      <c r="B31" s="26" t="n">
        <f aca="false">SUMIFS(Sales_Data!$AE$2:$AE$3520,Sales_Data!$H$2:$H$3520,$B$3,Sales_Data!$C$2:$C$3520,$A31)</f>
        <v>0</v>
      </c>
      <c r="C31" s="26" t="n">
        <f aca="false">SUMIFS(Sales_Data!$M$2:$M$3520,Sales_Data!$H$2:$H$3520,$B$3,Sales_Data!$C$2:$C$3520,$A31,Sales_Data!$AE$2:$AE$3520,1)</f>
        <v>0</v>
      </c>
      <c r="D31" s="26" t="n">
        <f aca="false">SUMIFS(Sales_Data!$N$2:$N$3520,Sales_Data!$H$2:$H$3520,$B$3,Sales_Data!$C$2:$C$3520,$A31,Sales_Data!$AE$2:$AE$3520,1)</f>
        <v>0</v>
      </c>
      <c r="E31" s="27" t="n">
        <f aca="false">C31+D31</f>
        <v>0</v>
      </c>
      <c r="F31" s="28" t="n">
        <f aca="false">E31-E30</f>
        <v>0</v>
      </c>
      <c r="G31" s="29" t="str">
        <f aca="false">IF(E30=0,"-",(E31-E30)/E30)</f>
        <v>-</v>
      </c>
      <c r="H31" s="30" t="n">
        <f aca="false">AVERAGE(E25:E31)</f>
        <v>0</v>
      </c>
      <c r="I31" s="29" t="str">
        <f aca="false">IF(E24=0,"-",(E31-E24)/E24)</f>
        <v>-</v>
      </c>
      <c r="J31" s="26" t="n">
        <f aca="false">SUMIFS(Sales_Data!$AF$2:$AF$3520,Sales_Data!$H$2:$H$3520,$B$3,Sales_Data!$C$2:$C$3520,$A31)</f>
        <v>0</v>
      </c>
      <c r="K31" s="81" t="n">
        <f aca="false">IFERROR(J31/$B$5,0)</f>
        <v>0</v>
      </c>
      <c r="L31" s="31" t="n">
        <f aca="false">IFERROR(E31/$B$5,0)</f>
        <v>0</v>
      </c>
      <c r="M31" s="26" t="n">
        <f aca="false">SUMIFS(Sales_Data!$O$2:$O$3520,Sales_Data!$C$2:$C$3520,$A31,Sales_Data!$AE$2:$AE$3520,1)</f>
        <v>22</v>
      </c>
      <c r="N31" s="32" t="n">
        <f aca="false">IFERROR(E31/M31,0)</f>
        <v>0</v>
      </c>
    </row>
    <row r="32" customFormat="false" ht="15" hidden="false" customHeight="false" outlineLevel="0" collapsed="false">
      <c r="A32" s="72" t="n">
        <v>46244</v>
      </c>
      <c r="B32" s="26" t="n">
        <f aca="false">SUMIFS(Sales_Data!$AE$2:$AE$3520,Sales_Data!$H$2:$H$3520,$B$3,Sales_Data!$C$2:$C$3520,$A32)</f>
        <v>0</v>
      </c>
      <c r="C32" s="26" t="n">
        <f aca="false">SUMIFS(Sales_Data!$M$2:$M$3520,Sales_Data!$H$2:$H$3520,$B$3,Sales_Data!$C$2:$C$3520,$A32,Sales_Data!$AE$2:$AE$3520,1)</f>
        <v>0</v>
      </c>
      <c r="D32" s="26" t="n">
        <f aca="false">SUMIFS(Sales_Data!$N$2:$N$3520,Sales_Data!$H$2:$H$3520,$B$3,Sales_Data!$C$2:$C$3520,$A32,Sales_Data!$AE$2:$AE$3520,1)</f>
        <v>0</v>
      </c>
      <c r="E32" s="27" t="n">
        <f aca="false">C32+D32</f>
        <v>0</v>
      </c>
      <c r="F32" s="28" t="n">
        <f aca="false">E32-E31</f>
        <v>0</v>
      </c>
      <c r="G32" s="29" t="str">
        <f aca="false">IF(E31=0,"-",(E32-E31)/E31)</f>
        <v>-</v>
      </c>
      <c r="H32" s="30" t="n">
        <f aca="false">AVERAGE(E26:E32)</f>
        <v>0</v>
      </c>
      <c r="I32" s="29" t="str">
        <f aca="false">IF(E25=0,"-",(E32-E25)/E25)</f>
        <v>-</v>
      </c>
      <c r="J32" s="26" t="n">
        <f aca="false">SUMIFS(Sales_Data!$AF$2:$AF$3520,Sales_Data!$H$2:$H$3520,$B$3,Sales_Data!$C$2:$C$3520,$A32)</f>
        <v>0</v>
      </c>
      <c r="K32" s="81" t="n">
        <f aca="false">IFERROR(J32/$B$5,0)</f>
        <v>0</v>
      </c>
      <c r="L32" s="31" t="n">
        <f aca="false">IFERROR(E32/$B$5,0)</f>
        <v>0</v>
      </c>
      <c r="M32" s="26" t="n">
        <f aca="false">SUMIFS(Sales_Data!$O$2:$O$3520,Sales_Data!$C$2:$C$3520,$A32,Sales_Data!$AE$2:$AE$3520,1)</f>
        <v>29</v>
      </c>
      <c r="N32" s="32" t="n">
        <f aca="false">IFERROR(E32/M32,0)</f>
        <v>0</v>
      </c>
    </row>
    <row r="33" customFormat="false" ht="15" hidden="false" customHeight="false" outlineLevel="0" collapsed="false">
      <c r="A33" s="72" t="n">
        <v>46245</v>
      </c>
      <c r="B33" s="26" t="n">
        <f aca="false">SUMIFS(Sales_Data!$AE$2:$AE$3520,Sales_Data!$H$2:$H$3520,$B$3,Sales_Data!$C$2:$C$3520,$A33)</f>
        <v>0</v>
      </c>
      <c r="C33" s="26" t="n">
        <f aca="false">SUMIFS(Sales_Data!$M$2:$M$3520,Sales_Data!$H$2:$H$3520,$B$3,Sales_Data!$C$2:$C$3520,$A33,Sales_Data!$AE$2:$AE$3520,1)</f>
        <v>0</v>
      </c>
      <c r="D33" s="26" t="n">
        <f aca="false">SUMIFS(Sales_Data!$N$2:$N$3520,Sales_Data!$H$2:$H$3520,$B$3,Sales_Data!$C$2:$C$3520,$A33,Sales_Data!$AE$2:$AE$3520,1)</f>
        <v>0</v>
      </c>
      <c r="E33" s="27" t="n">
        <f aca="false">C33+D33</f>
        <v>0</v>
      </c>
      <c r="F33" s="28" t="n">
        <f aca="false">E33-E32</f>
        <v>0</v>
      </c>
      <c r="G33" s="29" t="str">
        <f aca="false">IF(E32=0,"-",(E33-E32)/E32)</f>
        <v>-</v>
      </c>
      <c r="H33" s="30" t="n">
        <f aca="false">AVERAGE(E27:E33)</f>
        <v>0</v>
      </c>
      <c r="I33" s="29" t="str">
        <f aca="false">IF(E26=0,"-",(E33-E26)/E26)</f>
        <v>-</v>
      </c>
      <c r="J33" s="26" t="n">
        <f aca="false">SUMIFS(Sales_Data!$AF$2:$AF$3520,Sales_Data!$H$2:$H$3520,$B$3,Sales_Data!$C$2:$C$3520,$A33)</f>
        <v>0</v>
      </c>
      <c r="K33" s="81" t="n">
        <f aca="false">IFERROR(J33/$B$5,0)</f>
        <v>0</v>
      </c>
      <c r="L33" s="31" t="n">
        <f aca="false">IFERROR(E33/$B$5,0)</f>
        <v>0</v>
      </c>
      <c r="M33" s="26" t="n">
        <f aca="false">SUMIFS(Sales_Data!$O$2:$O$3520,Sales_Data!$C$2:$C$3520,$A33,Sales_Data!$AE$2:$AE$3520,1)</f>
        <v>16</v>
      </c>
      <c r="N33" s="32" t="n">
        <f aca="false">IFERROR(E33/M33,0)</f>
        <v>0</v>
      </c>
    </row>
    <row r="34" customFormat="false" ht="15" hidden="false" customHeight="false" outlineLevel="0" collapsed="false">
      <c r="A34" s="72" t="n">
        <v>46246</v>
      </c>
      <c r="B34" s="26" t="n">
        <f aca="false">SUMIFS(Sales_Data!$AE$2:$AE$3520,Sales_Data!$H$2:$H$3520,$B$3,Sales_Data!$C$2:$C$3520,$A34)</f>
        <v>0</v>
      </c>
      <c r="C34" s="26" t="n">
        <f aca="false">SUMIFS(Sales_Data!$M$2:$M$3520,Sales_Data!$H$2:$H$3520,$B$3,Sales_Data!$C$2:$C$3520,$A34,Sales_Data!$AE$2:$AE$3520,1)</f>
        <v>0</v>
      </c>
      <c r="D34" s="26" t="n">
        <f aca="false">SUMIFS(Sales_Data!$N$2:$N$3520,Sales_Data!$H$2:$H$3520,$B$3,Sales_Data!$C$2:$C$3520,$A34,Sales_Data!$AE$2:$AE$3520,1)</f>
        <v>0</v>
      </c>
      <c r="E34" s="27" t="n">
        <f aca="false">C34+D34</f>
        <v>0</v>
      </c>
      <c r="F34" s="28" t="n">
        <f aca="false">E34-E33</f>
        <v>0</v>
      </c>
      <c r="G34" s="29" t="str">
        <f aca="false">IF(E33=0,"-",(E34-E33)/E33)</f>
        <v>-</v>
      </c>
      <c r="H34" s="30" t="n">
        <f aca="false">AVERAGE(E28:E34)</f>
        <v>0</v>
      </c>
      <c r="I34" s="29" t="str">
        <f aca="false">IF(E27=0,"-",(E34-E27)/E27)</f>
        <v>-</v>
      </c>
      <c r="J34" s="26" t="n">
        <f aca="false">SUMIFS(Sales_Data!$AF$2:$AF$3520,Sales_Data!$H$2:$H$3520,$B$3,Sales_Data!$C$2:$C$3520,$A34)</f>
        <v>0</v>
      </c>
      <c r="K34" s="81" t="n">
        <f aca="false">IFERROR(J34/$B$5,0)</f>
        <v>0</v>
      </c>
      <c r="L34" s="31" t="n">
        <f aca="false">IFERROR(E34/$B$5,0)</f>
        <v>0</v>
      </c>
      <c r="M34" s="26" t="n">
        <f aca="false">SUMIFS(Sales_Data!$O$2:$O$3520,Sales_Data!$C$2:$C$3520,$A34,Sales_Data!$AE$2:$AE$3520,1)</f>
        <v>20</v>
      </c>
      <c r="N34" s="32" t="n">
        <f aca="false">IFERROR(E34/M34,0)</f>
        <v>0</v>
      </c>
    </row>
    <row r="35" customFormat="false" ht="15" hidden="false" customHeight="false" outlineLevel="0" collapsed="false">
      <c r="A35" s="72" t="n">
        <v>46247</v>
      </c>
      <c r="B35" s="26" t="n">
        <f aca="false">SUMIFS(Sales_Data!$AE$2:$AE$3520,Sales_Data!$H$2:$H$3520,$B$3,Sales_Data!$C$2:$C$3520,$A35)</f>
        <v>0</v>
      </c>
      <c r="C35" s="26" t="n">
        <f aca="false">SUMIFS(Sales_Data!$M$2:$M$3520,Sales_Data!$H$2:$H$3520,$B$3,Sales_Data!$C$2:$C$3520,$A35,Sales_Data!$AE$2:$AE$3520,1)</f>
        <v>0</v>
      </c>
      <c r="D35" s="26" t="n">
        <f aca="false">SUMIFS(Sales_Data!$N$2:$N$3520,Sales_Data!$H$2:$H$3520,$B$3,Sales_Data!$C$2:$C$3520,$A35,Sales_Data!$AE$2:$AE$3520,1)</f>
        <v>0</v>
      </c>
      <c r="E35" s="27" t="n">
        <f aca="false">C35+D35</f>
        <v>0</v>
      </c>
      <c r="F35" s="28" t="n">
        <f aca="false">E35-E34</f>
        <v>0</v>
      </c>
      <c r="G35" s="29" t="str">
        <f aca="false">IF(E34=0,"-",(E35-E34)/E34)</f>
        <v>-</v>
      </c>
      <c r="H35" s="30" t="n">
        <f aca="false">AVERAGE(E29:E35)</f>
        <v>0</v>
      </c>
      <c r="I35" s="29" t="str">
        <f aca="false">IF(E28=0,"-",(E35-E28)/E28)</f>
        <v>-</v>
      </c>
      <c r="J35" s="26" t="n">
        <f aca="false">SUMIFS(Sales_Data!$AF$2:$AF$3520,Sales_Data!$H$2:$H$3520,$B$3,Sales_Data!$C$2:$C$3520,$A35)</f>
        <v>0</v>
      </c>
      <c r="K35" s="81" t="n">
        <f aca="false">IFERROR(J35/$B$5,0)</f>
        <v>0</v>
      </c>
      <c r="L35" s="31" t="n">
        <f aca="false">IFERROR(E35/$B$5,0)</f>
        <v>0</v>
      </c>
      <c r="M35" s="26" t="n">
        <f aca="false">SUMIFS(Sales_Data!$O$2:$O$3520,Sales_Data!$C$2:$C$3520,$A35,Sales_Data!$AE$2:$AE$3520,1)</f>
        <v>27</v>
      </c>
      <c r="N35" s="32" t="n">
        <f aca="false">IFERROR(E35/M35,0)</f>
        <v>0</v>
      </c>
    </row>
    <row r="36" customFormat="false" ht="15" hidden="false" customHeight="false" outlineLevel="0" collapsed="false">
      <c r="A36" s="72" t="n">
        <v>46248</v>
      </c>
      <c r="B36" s="26" t="n">
        <f aca="false">SUMIFS(Sales_Data!$AE$2:$AE$3520,Sales_Data!$H$2:$H$3520,$B$3,Sales_Data!$C$2:$C$3520,$A36)</f>
        <v>0</v>
      </c>
      <c r="C36" s="26" t="n">
        <f aca="false">SUMIFS(Sales_Data!$M$2:$M$3520,Sales_Data!$H$2:$H$3520,$B$3,Sales_Data!$C$2:$C$3520,$A36,Sales_Data!$AE$2:$AE$3520,1)</f>
        <v>0</v>
      </c>
      <c r="D36" s="26" t="n">
        <f aca="false">SUMIFS(Sales_Data!$N$2:$N$3520,Sales_Data!$H$2:$H$3520,$B$3,Sales_Data!$C$2:$C$3520,$A36,Sales_Data!$AE$2:$AE$3520,1)</f>
        <v>0</v>
      </c>
      <c r="E36" s="27" t="n">
        <f aca="false">C36+D36</f>
        <v>0</v>
      </c>
      <c r="F36" s="28" t="n">
        <f aca="false">E36-E35</f>
        <v>0</v>
      </c>
      <c r="G36" s="29" t="str">
        <f aca="false">IF(E35=0,"-",(E36-E35)/E35)</f>
        <v>-</v>
      </c>
      <c r="H36" s="30" t="n">
        <f aca="false">AVERAGE(E30:E36)</f>
        <v>0</v>
      </c>
      <c r="I36" s="29" t="str">
        <f aca="false">IF(E29=0,"-",(E36-E29)/E29)</f>
        <v>-</v>
      </c>
      <c r="J36" s="26" t="n">
        <f aca="false">SUMIFS(Sales_Data!$AF$2:$AF$3520,Sales_Data!$H$2:$H$3520,$B$3,Sales_Data!$C$2:$C$3520,$A36)</f>
        <v>0</v>
      </c>
      <c r="K36" s="81" t="n">
        <f aca="false">IFERROR(J36/$B$5,0)</f>
        <v>0</v>
      </c>
      <c r="L36" s="31" t="n">
        <f aca="false">IFERROR(E36/$B$5,0)</f>
        <v>0</v>
      </c>
      <c r="M36" s="26" t="n">
        <f aca="false">SUMIFS(Sales_Data!$O$2:$O$3520,Sales_Data!$C$2:$C$3520,$A36,Sales_Data!$AE$2:$AE$3520,1)</f>
        <v>7</v>
      </c>
      <c r="N36" s="32" t="n">
        <f aca="false">IFERROR(E36/M36,0)</f>
        <v>0</v>
      </c>
    </row>
    <row r="37" customFormat="false" ht="15" hidden="false" customHeight="false" outlineLevel="0" collapsed="false">
      <c r="A37" s="72" t="n">
        <v>46249</v>
      </c>
      <c r="B37" s="26" t="n">
        <f aca="false">SUMIFS(Sales_Data!$AE$2:$AE$3520,Sales_Data!$H$2:$H$3520,$B$3,Sales_Data!$C$2:$C$3520,$A37)</f>
        <v>0</v>
      </c>
      <c r="C37" s="26" t="n">
        <f aca="false">SUMIFS(Sales_Data!$M$2:$M$3520,Sales_Data!$H$2:$H$3520,$B$3,Sales_Data!$C$2:$C$3520,$A37,Sales_Data!$AE$2:$AE$3520,1)</f>
        <v>0</v>
      </c>
      <c r="D37" s="26" t="n">
        <f aca="false">SUMIFS(Sales_Data!$N$2:$N$3520,Sales_Data!$H$2:$H$3520,$B$3,Sales_Data!$C$2:$C$3520,$A37,Sales_Data!$AE$2:$AE$3520,1)</f>
        <v>0</v>
      </c>
      <c r="E37" s="27" t="n">
        <f aca="false">C37+D37</f>
        <v>0</v>
      </c>
      <c r="F37" s="28" t="n">
        <f aca="false">E37-E36</f>
        <v>0</v>
      </c>
      <c r="G37" s="29" t="str">
        <f aca="false">IF(E36=0,"-",(E37-E36)/E36)</f>
        <v>-</v>
      </c>
      <c r="H37" s="30" t="n">
        <f aca="false">AVERAGE(E31:E37)</f>
        <v>0</v>
      </c>
      <c r="I37" s="29" t="str">
        <f aca="false">IF(E30=0,"-",(E37-E30)/E30)</f>
        <v>-</v>
      </c>
      <c r="J37" s="26" t="n">
        <f aca="false">SUMIFS(Sales_Data!$AF$2:$AF$3520,Sales_Data!$H$2:$H$3520,$B$3,Sales_Data!$C$2:$C$3520,$A37)</f>
        <v>0</v>
      </c>
      <c r="K37" s="81" t="n">
        <f aca="false">IFERROR(J37/$B$5,0)</f>
        <v>0</v>
      </c>
      <c r="L37" s="31" t="n">
        <f aca="false">IFERROR(E37/$B$5,0)</f>
        <v>0</v>
      </c>
      <c r="M37" s="26" t="n">
        <f aca="false">SUMIFS(Sales_Data!$O$2:$O$3520,Sales_Data!$C$2:$C$3520,$A37,Sales_Data!$AE$2:$AE$3520,1)</f>
        <v>29</v>
      </c>
      <c r="N37" s="32" t="n">
        <f aca="false">IFERROR(E37/M37,0)</f>
        <v>0</v>
      </c>
    </row>
    <row r="38" customFormat="false" ht="15" hidden="false" customHeight="false" outlineLevel="0" collapsed="false">
      <c r="A38" s="72" t="n">
        <v>46250</v>
      </c>
      <c r="B38" s="26" t="n">
        <f aca="false">SUMIFS(Sales_Data!$AE$2:$AE$3520,Sales_Data!$H$2:$H$3520,$B$3,Sales_Data!$C$2:$C$3520,$A38)</f>
        <v>0</v>
      </c>
      <c r="C38" s="26" t="n">
        <f aca="false">SUMIFS(Sales_Data!$M$2:$M$3520,Sales_Data!$H$2:$H$3520,$B$3,Sales_Data!$C$2:$C$3520,$A38,Sales_Data!$AE$2:$AE$3520,1)</f>
        <v>0</v>
      </c>
      <c r="D38" s="26" t="n">
        <f aca="false">SUMIFS(Sales_Data!$N$2:$N$3520,Sales_Data!$H$2:$H$3520,$B$3,Sales_Data!$C$2:$C$3520,$A38,Sales_Data!$AE$2:$AE$3520,1)</f>
        <v>0</v>
      </c>
      <c r="E38" s="27" t="n">
        <f aca="false">C38+D38</f>
        <v>0</v>
      </c>
      <c r="F38" s="28" t="n">
        <f aca="false">E38-E37</f>
        <v>0</v>
      </c>
      <c r="G38" s="29" t="str">
        <f aca="false">IF(E37=0,"-",(E38-E37)/E37)</f>
        <v>-</v>
      </c>
      <c r="H38" s="30" t="n">
        <f aca="false">AVERAGE(E32:E38)</f>
        <v>0</v>
      </c>
      <c r="I38" s="29" t="str">
        <f aca="false">IF(E31=0,"-",(E38-E31)/E31)</f>
        <v>-</v>
      </c>
      <c r="J38" s="26" t="n">
        <f aca="false">SUMIFS(Sales_Data!$AF$2:$AF$3520,Sales_Data!$H$2:$H$3520,$B$3,Sales_Data!$C$2:$C$3520,$A38)</f>
        <v>0</v>
      </c>
      <c r="K38" s="81" t="n">
        <f aca="false">IFERROR(J38/$B$5,0)</f>
        <v>0</v>
      </c>
      <c r="L38" s="31" t="n">
        <f aca="false">IFERROR(E38/$B$5,0)</f>
        <v>0</v>
      </c>
      <c r="M38" s="26" t="n">
        <f aca="false">SUMIFS(Sales_Data!$O$2:$O$3520,Sales_Data!$C$2:$C$3520,$A38,Sales_Data!$AE$2:$AE$3520,1)</f>
        <v>28</v>
      </c>
      <c r="N38" s="32" t="n">
        <f aca="false">IFERROR(E38/M38,0)</f>
        <v>0</v>
      </c>
    </row>
    <row r="39" customFormat="false" ht="15" hidden="false" customHeight="false" outlineLevel="0" collapsed="false">
      <c r="A39" s="72" t="n">
        <v>46251</v>
      </c>
      <c r="B39" s="26" t="n">
        <f aca="false">SUMIFS(Sales_Data!$AE$2:$AE$3520,Sales_Data!$H$2:$H$3520,$B$3,Sales_Data!$C$2:$C$3520,$A39)</f>
        <v>0</v>
      </c>
      <c r="C39" s="26" t="n">
        <f aca="false">SUMIFS(Sales_Data!$M$2:$M$3520,Sales_Data!$H$2:$H$3520,$B$3,Sales_Data!$C$2:$C$3520,$A39,Sales_Data!$AE$2:$AE$3520,1)</f>
        <v>0</v>
      </c>
      <c r="D39" s="26" t="n">
        <f aca="false">SUMIFS(Sales_Data!$N$2:$N$3520,Sales_Data!$H$2:$H$3520,$B$3,Sales_Data!$C$2:$C$3520,$A39,Sales_Data!$AE$2:$AE$3520,1)</f>
        <v>0</v>
      </c>
      <c r="E39" s="27" t="n">
        <f aca="false">C39+D39</f>
        <v>0</v>
      </c>
      <c r="F39" s="28" t="n">
        <f aca="false">E39-E38</f>
        <v>0</v>
      </c>
      <c r="G39" s="29" t="str">
        <f aca="false">IF(E38=0,"-",(E39-E38)/E38)</f>
        <v>-</v>
      </c>
      <c r="H39" s="30" t="n">
        <f aca="false">AVERAGE(E33:E39)</f>
        <v>0</v>
      </c>
      <c r="I39" s="29" t="str">
        <f aca="false">IF(E32=0,"-",(E39-E32)/E32)</f>
        <v>-</v>
      </c>
      <c r="J39" s="26" t="n">
        <f aca="false">SUMIFS(Sales_Data!$AF$2:$AF$3520,Sales_Data!$H$2:$H$3520,$B$3,Sales_Data!$C$2:$C$3520,$A39)</f>
        <v>0</v>
      </c>
      <c r="K39" s="81" t="n">
        <f aca="false">IFERROR(J39/$B$5,0)</f>
        <v>0</v>
      </c>
      <c r="L39" s="31" t="n">
        <f aca="false">IFERROR(E39/$B$5,0)</f>
        <v>0</v>
      </c>
      <c r="M39" s="26" t="n">
        <f aca="false">SUMIFS(Sales_Data!$O$2:$O$3520,Sales_Data!$C$2:$C$3520,$A39,Sales_Data!$AE$2:$AE$3520,1)</f>
        <v>24</v>
      </c>
      <c r="N39" s="32" t="n">
        <f aca="false">IFERROR(E39/M39,0)</f>
        <v>0</v>
      </c>
    </row>
    <row r="40" customFormat="false" ht="15" hidden="false" customHeight="false" outlineLevel="0" collapsed="false">
      <c r="A40" s="72" t="n">
        <v>46252</v>
      </c>
      <c r="B40" s="26" t="n">
        <f aca="false">SUMIFS(Sales_Data!$AE$2:$AE$3520,Sales_Data!$H$2:$H$3520,$B$3,Sales_Data!$C$2:$C$3520,$A40)</f>
        <v>0</v>
      </c>
      <c r="C40" s="26" t="n">
        <f aca="false">SUMIFS(Sales_Data!$M$2:$M$3520,Sales_Data!$H$2:$H$3520,$B$3,Sales_Data!$C$2:$C$3520,$A40,Sales_Data!$AE$2:$AE$3520,1)</f>
        <v>0</v>
      </c>
      <c r="D40" s="26" t="n">
        <f aca="false">SUMIFS(Sales_Data!$N$2:$N$3520,Sales_Data!$H$2:$H$3520,$B$3,Sales_Data!$C$2:$C$3520,$A40,Sales_Data!$AE$2:$AE$3520,1)</f>
        <v>0</v>
      </c>
      <c r="E40" s="27" t="n">
        <f aca="false">C40+D40</f>
        <v>0</v>
      </c>
      <c r="F40" s="28" t="n">
        <f aca="false">E40-E39</f>
        <v>0</v>
      </c>
      <c r="G40" s="29" t="str">
        <f aca="false">IF(E39=0,"-",(E40-E39)/E39)</f>
        <v>-</v>
      </c>
      <c r="H40" s="30" t="n">
        <f aca="false">AVERAGE(E34:E40)</f>
        <v>0</v>
      </c>
      <c r="I40" s="29" t="str">
        <f aca="false">IF(E33=0,"-",(E40-E33)/E33)</f>
        <v>-</v>
      </c>
      <c r="J40" s="26" t="n">
        <f aca="false">SUMIFS(Sales_Data!$AF$2:$AF$3520,Sales_Data!$H$2:$H$3520,$B$3,Sales_Data!$C$2:$C$3520,$A40)</f>
        <v>0</v>
      </c>
      <c r="K40" s="81" t="n">
        <f aca="false">IFERROR(J40/$B$5,0)</f>
        <v>0</v>
      </c>
      <c r="L40" s="31" t="n">
        <f aca="false">IFERROR(E40/$B$5,0)</f>
        <v>0</v>
      </c>
      <c r="M40" s="26" t="n">
        <f aca="false">SUMIFS(Sales_Data!$O$2:$O$3520,Sales_Data!$C$2:$C$3520,$A40,Sales_Data!$AE$2:$AE$3520,1)</f>
        <v>19</v>
      </c>
      <c r="N40" s="32" t="n">
        <f aca="false">IFERROR(E40/M40,0)</f>
        <v>0</v>
      </c>
    </row>
    <row r="41" customFormat="false" ht="15" hidden="false" customHeight="false" outlineLevel="0" collapsed="false">
      <c r="A41" s="72" t="n">
        <v>46253</v>
      </c>
      <c r="B41" s="26" t="n">
        <f aca="false">SUMIFS(Sales_Data!$AE$2:$AE$3520,Sales_Data!$H$2:$H$3520,$B$3,Sales_Data!$C$2:$C$3520,$A41)</f>
        <v>0</v>
      </c>
      <c r="C41" s="26" t="n">
        <f aca="false">SUMIFS(Sales_Data!$M$2:$M$3520,Sales_Data!$H$2:$H$3520,$B$3,Sales_Data!$C$2:$C$3520,$A41,Sales_Data!$AE$2:$AE$3520,1)</f>
        <v>0</v>
      </c>
      <c r="D41" s="26" t="n">
        <f aca="false">SUMIFS(Sales_Data!$N$2:$N$3520,Sales_Data!$H$2:$H$3520,$B$3,Sales_Data!$C$2:$C$3520,$A41,Sales_Data!$AE$2:$AE$3520,1)</f>
        <v>0</v>
      </c>
      <c r="E41" s="27" t="n">
        <f aca="false">C41+D41</f>
        <v>0</v>
      </c>
      <c r="F41" s="28" t="n">
        <f aca="false">E41-E40</f>
        <v>0</v>
      </c>
      <c r="G41" s="29" t="str">
        <f aca="false">IF(E40=0,"-",(E41-E40)/E40)</f>
        <v>-</v>
      </c>
      <c r="H41" s="30" t="n">
        <f aca="false">AVERAGE(E35:E41)</f>
        <v>0</v>
      </c>
      <c r="I41" s="29" t="str">
        <f aca="false">IF(E34=0,"-",(E41-E34)/E34)</f>
        <v>-</v>
      </c>
      <c r="J41" s="26" t="n">
        <f aca="false">SUMIFS(Sales_Data!$AF$2:$AF$3520,Sales_Data!$H$2:$H$3520,$B$3,Sales_Data!$C$2:$C$3520,$A41)</f>
        <v>0</v>
      </c>
      <c r="K41" s="81" t="n">
        <f aca="false">IFERROR(J41/$B$5,0)</f>
        <v>0</v>
      </c>
      <c r="L41" s="31" t="n">
        <f aca="false">IFERROR(E41/$B$5,0)</f>
        <v>0</v>
      </c>
      <c r="M41" s="26" t="n">
        <f aca="false">SUMIFS(Sales_Data!$O$2:$O$3520,Sales_Data!$C$2:$C$3520,$A41,Sales_Data!$AE$2:$AE$3520,1)</f>
        <v>26</v>
      </c>
      <c r="N41" s="32" t="n">
        <f aca="false">IFERROR(E41/M41,0)</f>
        <v>0</v>
      </c>
    </row>
    <row r="42" customFormat="false" ht="15" hidden="false" customHeight="false" outlineLevel="0" collapsed="false">
      <c r="A42" s="72" t="n">
        <v>46254</v>
      </c>
      <c r="B42" s="26" t="n">
        <f aca="false">SUMIFS(Sales_Data!$AE$2:$AE$3520,Sales_Data!$H$2:$H$3520,$B$3,Sales_Data!$C$2:$C$3520,$A42)</f>
        <v>0</v>
      </c>
      <c r="C42" s="26" t="n">
        <f aca="false">SUMIFS(Sales_Data!$M$2:$M$3520,Sales_Data!$H$2:$H$3520,$B$3,Sales_Data!$C$2:$C$3520,$A42,Sales_Data!$AE$2:$AE$3520,1)</f>
        <v>0</v>
      </c>
      <c r="D42" s="26" t="n">
        <f aca="false">SUMIFS(Sales_Data!$N$2:$N$3520,Sales_Data!$H$2:$H$3520,$B$3,Sales_Data!$C$2:$C$3520,$A42,Sales_Data!$AE$2:$AE$3520,1)</f>
        <v>0</v>
      </c>
      <c r="E42" s="27" t="n">
        <f aca="false">C42+D42</f>
        <v>0</v>
      </c>
      <c r="F42" s="28" t="n">
        <f aca="false">E42-E41</f>
        <v>0</v>
      </c>
      <c r="G42" s="29" t="str">
        <f aca="false">IF(E41=0,"-",(E42-E41)/E41)</f>
        <v>-</v>
      </c>
      <c r="H42" s="30" t="n">
        <f aca="false">AVERAGE(E36:E42)</f>
        <v>0</v>
      </c>
      <c r="I42" s="29" t="str">
        <f aca="false">IF(E35=0,"-",(E42-E35)/E35)</f>
        <v>-</v>
      </c>
      <c r="J42" s="26" t="n">
        <f aca="false">SUMIFS(Sales_Data!$AF$2:$AF$3520,Sales_Data!$H$2:$H$3520,$B$3,Sales_Data!$C$2:$C$3520,$A42)</f>
        <v>0</v>
      </c>
      <c r="K42" s="81" t="n">
        <f aca="false">IFERROR(J42/$B$5,0)</f>
        <v>0</v>
      </c>
      <c r="L42" s="31" t="n">
        <f aca="false">IFERROR(E42/$B$5,0)</f>
        <v>0</v>
      </c>
      <c r="M42" s="26" t="n">
        <f aca="false">SUMIFS(Sales_Data!$O$2:$O$3520,Sales_Data!$C$2:$C$3520,$A42,Sales_Data!$AE$2:$AE$3520,1)</f>
        <v>17</v>
      </c>
      <c r="N42" s="32" t="n">
        <f aca="false">IFERROR(E42/M42,0)</f>
        <v>0</v>
      </c>
    </row>
    <row r="43" customFormat="false" ht="15" hidden="false" customHeight="false" outlineLevel="0" collapsed="false">
      <c r="A43" s="72" t="n">
        <v>46255</v>
      </c>
      <c r="B43" s="26" t="n">
        <f aca="false">SUMIFS(Sales_Data!$AE$2:$AE$3520,Sales_Data!$H$2:$H$3520,$B$3,Sales_Data!$C$2:$C$3520,$A43)</f>
        <v>0</v>
      </c>
      <c r="C43" s="26" t="n">
        <f aca="false">SUMIFS(Sales_Data!$M$2:$M$3520,Sales_Data!$H$2:$H$3520,$B$3,Sales_Data!$C$2:$C$3520,$A43,Sales_Data!$AE$2:$AE$3520,1)</f>
        <v>0</v>
      </c>
      <c r="D43" s="26" t="n">
        <f aca="false">SUMIFS(Sales_Data!$N$2:$N$3520,Sales_Data!$H$2:$H$3520,$B$3,Sales_Data!$C$2:$C$3520,$A43,Sales_Data!$AE$2:$AE$3520,1)</f>
        <v>0</v>
      </c>
      <c r="E43" s="27" t="n">
        <f aca="false">C43+D43</f>
        <v>0</v>
      </c>
      <c r="F43" s="28" t="n">
        <f aca="false">E43-E42</f>
        <v>0</v>
      </c>
      <c r="G43" s="29" t="str">
        <f aca="false">IF(E42=0,"-",(E43-E42)/E42)</f>
        <v>-</v>
      </c>
      <c r="H43" s="30" t="n">
        <f aca="false">AVERAGE(E37:E43)</f>
        <v>0</v>
      </c>
      <c r="I43" s="29" t="str">
        <f aca="false">IF(E36=0,"-",(E43-E36)/E36)</f>
        <v>-</v>
      </c>
      <c r="J43" s="26" t="n">
        <f aca="false">SUMIFS(Sales_Data!$AF$2:$AF$3520,Sales_Data!$H$2:$H$3520,$B$3,Sales_Data!$C$2:$C$3520,$A43)</f>
        <v>0</v>
      </c>
      <c r="K43" s="81" t="n">
        <f aca="false">IFERROR(J43/$B$5,0)</f>
        <v>0</v>
      </c>
      <c r="L43" s="31" t="n">
        <f aca="false">IFERROR(E43/$B$5,0)</f>
        <v>0</v>
      </c>
      <c r="M43" s="26" t="n">
        <f aca="false">SUMIFS(Sales_Data!$O$2:$O$3520,Sales_Data!$C$2:$C$3520,$A43,Sales_Data!$AE$2:$AE$3520,1)</f>
        <v>18</v>
      </c>
      <c r="N43" s="32" t="n">
        <f aca="false">IFERROR(E43/M43,0)</f>
        <v>0</v>
      </c>
    </row>
    <row r="44" customFormat="false" ht="15" hidden="false" customHeight="false" outlineLevel="0" collapsed="false">
      <c r="A44" s="72" t="n">
        <v>46256</v>
      </c>
      <c r="B44" s="26" t="n">
        <f aca="false">SUMIFS(Sales_Data!$AE$2:$AE$3520,Sales_Data!$H$2:$H$3520,$B$3,Sales_Data!$C$2:$C$3520,$A44)</f>
        <v>0</v>
      </c>
      <c r="C44" s="26" t="n">
        <f aca="false">SUMIFS(Sales_Data!$M$2:$M$3520,Sales_Data!$H$2:$H$3520,$B$3,Sales_Data!$C$2:$C$3520,$A44,Sales_Data!$AE$2:$AE$3520,1)</f>
        <v>0</v>
      </c>
      <c r="D44" s="26" t="n">
        <f aca="false">SUMIFS(Sales_Data!$N$2:$N$3520,Sales_Data!$H$2:$H$3520,$B$3,Sales_Data!$C$2:$C$3520,$A44,Sales_Data!$AE$2:$AE$3520,1)</f>
        <v>0</v>
      </c>
      <c r="E44" s="27" t="n">
        <f aca="false">C44+D44</f>
        <v>0</v>
      </c>
      <c r="F44" s="28" t="n">
        <f aca="false">E44-E43</f>
        <v>0</v>
      </c>
      <c r="G44" s="29" t="str">
        <f aca="false">IF(E43=0,"-",(E44-E43)/E43)</f>
        <v>-</v>
      </c>
      <c r="H44" s="30" t="n">
        <f aca="false">AVERAGE(E38:E44)</f>
        <v>0</v>
      </c>
      <c r="I44" s="29" t="str">
        <f aca="false">IF(E37=0,"-",(E44-E37)/E37)</f>
        <v>-</v>
      </c>
      <c r="J44" s="26" t="n">
        <f aca="false">SUMIFS(Sales_Data!$AF$2:$AF$3520,Sales_Data!$H$2:$H$3520,$B$3,Sales_Data!$C$2:$C$3520,$A44)</f>
        <v>0</v>
      </c>
      <c r="K44" s="81" t="n">
        <f aca="false">IFERROR(J44/$B$5,0)</f>
        <v>0</v>
      </c>
      <c r="L44" s="31" t="n">
        <f aca="false">IFERROR(E44/$B$5,0)</f>
        <v>0</v>
      </c>
      <c r="M44" s="26" t="n">
        <f aca="false">SUMIFS(Sales_Data!$O$2:$O$3520,Sales_Data!$C$2:$C$3520,$A44,Sales_Data!$AE$2:$AE$3520,1)</f>
        <v>35</v>
      </c>
      <c r="N44" s="32" t="n">
        <f aca="false">IFERROR(E44/M44,0)</f>
        <v>0</v>
      </c>
    </row>
    <row r="45" customFormat="false" ht="15" hidden="false" customHeight="false" outlineLevel="0" collapsed="false">
      <c r="A45" s="72" t="n">
        <v>46257</v>
      </c>
      <c r="B45" s="26" t="n">
        <f aca="false">SUMIFS(Sales_Data!$AE$2:$AE$3520,Sales_Data!$H$2:$H$3520,$B$3,Sales_Data!$C$2:$C$3520,$A45)</f>
        <v>0</v>
      </c>
      <c r="C45" s="26" t="n">
        <f aca="false">SUMIFS(Sales_Data!$M$2:$M$3520,Sales_Data!$H$2:$H$3520,$B$3,Sales_Data!$C$2:$C$3520,$A45,Sales_Data!$AE$2:$AE$3520,1)</f>
        <v>0</v>
      </c>
      <c r="D45" s="26" t="n">
        <f aca="false">SUMIFS(Sales_Data!$N$2:$N$3520,Sales_Data!$H$2:$H$3520,$B$3,Sales_Data!$C$2:$C$3520,$A45,Sales_Data!$AE$2:$AE$3520,1)</f>
        <v>0</v>
      </c>
      <c r="E45" s="27" t="n">
        <f aca="false">C45+D45</f>
        <v>0</v>
      </c>
      <c r="F45" s="28" t="n">
        <f aca="false">E45-E44</f>
        <v>0</v>
      </c>
      <c r="G45" s="29" t="str">
        <f aca="false">IF(E44=0,"-",(E45-E44)/E44)</f>
        <v>-</v>
      </c>
      <c r="H45" s="30" t="n">
        <f aca="false">AVERAGE(E39:E45)</f>
        <v>0</v>
      </c>
      <c r="I45" s="29" t="str">
        <f aca="false">IF(E38=0,"-",(E45-E38)/E38)</f>
        <v>-</v>
      </c>
      <c r="J45" s="26" t="n">
        <f aca="false">SUMIFS(Sales_Data!$AF$2:$AF$3520,Sales_Data!$H$2:$H$3520,$B$3,Sales_Data!$C$2:$C$3520,$A45)</f>
        <v>0</v>
      </c>
      <c r="K45" s="81" t="n">
        <f aca="false">IFERROR(J45/$B$5,0)</f>
        <v>0</v>
      </c>
      <c r="L45" s="31" t="n">
        <f aca="false">IFERROR(E45/$B$5,0)</f>
        <v>0</v>
      </c>
      <c r="M45" s="26" t="n">
        <f aca="false">SUMIFS(Sales_Data!$O$2:$O$3520,Sales_Data!$C$2:$C$3520,$A45,Sales_Data!$AE$2:$AE$3520,1)</f>
        <v>63</v>
      </c>
      <c r="N45" s="32" t="n">
        <f aca="false">IFERROR(E45/M45,0)</f>
        <v>0</v>
      </c>
    </row>
    <row r="46" customFormat="false" ht="15" hidden="false" customHeight="false" outlineLevel="0" collapsed="false">
      <c r="A46" s="72" t="n">
        <v>46258</v>
      </c>
      <c r="B46" s="26" t="n">
        <f aca="false">SUMIFS(Sales_Data!$AE$2:$AE$3520,Sales_Data!$H$2:$H$3520,$B$3,Sales_Data!$C$2:$C$3520,$A46)</f>
        <v>0</v>
      </c>
      <c r="C46" s="26" t="n">
        <f aca="false">SUMIFS(Sales_Data!$M$2:$M$3520,Sales_Data!$H$2:$H$3520,$B$3,Sales_Data!$C$2:$C$3520,$A46,Sales_Data!$AE$2:$AE$3520,1)</f>
        <v>0</v>
      </c>
      <c r="D46" s="26" t="n">
        <f aca="false">SUMIFS(Sales_Data!$N$2:$N$3520,Sales_Data!$H$2:$H$3520,$B$3,Sales_Data!$C$2:$C$3520,$A46,Sales_Data!$AE$2:$AE$3520,1)</f>
        <v>0</v>
      </c>
      <c r="E46" s="27" t="n">
        <f aca="false">C46+D46</f>
        <v>0</v>
      </c>
      <c r="F46" s="28" t="n">
        <f aca="false">E46-E45</f>
        <v>0</v>
      </c>
      <c r="G46" s="29" t="str">
        <f aca="false">IF(E45=0,"-",(E46-E45)/E45)</f>
        <v>-</v>
      </c>
      <c r="H46" s="30" t="n">
        <f aca="false">AVERAGE(E40:E46)</f>
        <v>0</v>
      </c>
      <c r="I46" s="29" t="str">
        <f aca="false">IF(E39=0,"-",(E46-E39)/E39)</f>
        <v>-</v>
      </c>
      <c r="J46" s="26" t="n">
        <f aca="false">SUMIFS(Sales_Data!$AF$2:$AF$3520,Sales_Data!$H$2:$H$3520,$B$3,Sales_Data!$C$2:$C$3520,$A46)</f>
        <v>0</v>
      </c>
      <c r="K46" s="81" t="n">
        <f aca="false">IFERROR(J46/$B$5,0)</f>
        <v>0</v>
      </c>
      <c r="L46" s="31" t="n">
        <f aca="false">IFERROR(E46/$B$5,0)</f>
        <v>0</v>
      </c>
      <c r="M46" s="26" t="n">
        <f aca="false">SUMIFS(Sales_Data!$O$2:$O$3520,Sales_Data!$C$2:$C$3520,$A46,Sales_Data!$AE$2:$AE$3520,1)</f>
        <v>39</v>
      </c>
      <c r="N46" s="32" t="n">
        <f aca="false">IFERROR(E46/M46,0)</f>
        <v>0</v>
      </c>
    </row>
    <row r="47" customFormat="false" ht="15" hidden="false" customHeight="false" outlineLevel="0" collapsed="false">
      <c r="A47" s="72" t="n">
        <v>46259</v>
      </c>
      <c r="B47" s="26" t="n">
        <f aca="false">SUMIFS(Sales_Data!$AE$2:$AE$3520,Sales_Data!$H$2:$H$3520,$B$3,Sales_Data!$C$2:$C$3520,$A47)</f>
        <v>0</v>
      </c>
      <c r="C47" s="26" t="n">
        <f aca="false">SUMIFS(Sales_Data!$M$2:$M$3520,Sales_Data!$H$2:$H$3520,$B$3,Sales_Data!$C$2:$C$3520,$A47,Sales_Data!$AE$2:$AE$3520,1)</f>
        <v>0</v>
      </c>
      <c r="D47" s="26" t="n">
        <f aca="false">SUMIFS(Sales_Data!$N$2:$N$3520,Sales_Data!$H$2:$H$3520,$B$3,Sales_Data!$C$2:$C$3520,$A47,Sales_Data!$AE$2:$AE$3520,1)</f>
        <v>0</v>
      </c>
      <c r="E47" s="27" t="n">
        <f aca="false">C47+D47</f>
        <v>0</v>
      </c>
      <c r="F47" s="28" t="n">
        <f aca="false">E47-E46</f>
        <v>0</v>
      </c>
      <c r="G47" s="29" t="str">
        <f aca="false">IF(E46=0,"-",(E47-E46)/E46)</f>
        <v>-</v>
      </c>
      <c r="H47" s="30" t="n">
        <f aca="false">AVERAGE(E41:E47)</f>
        <v>0</v>
      </c>
      <c r="I47" s="29" t="str">
        <f aca="false">IF(E40=0,"-",(E47-E40)/E40)</f>
        <v>-</v>
      </c>
      <c r="J47" s="26" t="n">
        <f aca="false">SUMIFS(Sales_Data!$AF$2:$AF$3520,Sales_Data!$H$2:$H$3520,$B$3,Sales_Data!$C$2:$C$3520,$A47)</f>
        <v>0</v>
      </c>
      <c r="K47" s="81" t="n">
        <f aca="false">IFERROR(J47/$B$5,0)</f>
        <v>0</v>
      </c>
      <c r="L47" s="31" t="n">
        <f aca="false">IFERROR(E47/$B$5,0)</f>
        <v>0</v>
      </c>
      <c r="M47" s="26" t="n">
        <f aca="false">SUMIFS(Sales_Data!$O$2:$O$3520,Sales_Data!$C$2:$C$3520,$A47,Sales_Data!$AE$2:$AE$3520,1)</f>
        <v>30</v>
      </c>
      <c r="N47" s="32" t="n">
        <f aca="false">IFERROR(E47/M47,0)</f>
        <v>0</v>
      </c>
    </row>
    <row r="48" customFormat="false" ht="15" hidden="false" customHeight="false" outlineLevel="0" collapsed="false">
      <c r="A48" s="72" t="n">
        <v>46260</v>
      </c>
      <c r="B48" s="26" t="n">
        <f aca="false">SUMIFS(Sales_Data!$AE$2:$AE$3520,Sales_Data!$H$2:$H$3520,$B$3,Sales_Data!$C$2:$C$3520,$A48)</f>
        <v>0</v>
      </c>
      <c r="C48" s="26" t="n">
        <f aca="false">SUMIFS(Sales_Data!$M$2:$M$3520,Sales_Data!$H$2:$H$3520,$B$3,Sales_Data!$C$2:$C$3520,$A48,Sales_Data!$AE$2:$AE$3520,1)</f>
        <v>0</v>
      </c>
      <c r="D48" s="26" t="n">
        <f aca="false">SUMIFS(Sales_Data!$N$2:$N$3520,Sales_Data!$H$2:$H$3520,$B$3,Sales_Data!$C$2:$C$3520,$A48,Sales_Data!$AE$2:$AE$3520,1)</f>
        <v>0</v>
      </c>
      <c r="E48" s="27" t="n">
        <f aca="false">C48+D48</f>
        <v>0</v>
      </c>
      <c r="F48" s="28" t="n">
        <f aca="false">E48-E47</f>
        <v>0</v>
      </c>
      <c r="G48" s="29" t="str">
        <f aca="false">IF(E47=0,"-",(E48-E47)/E47)</f>
        <v>-</v>
      </c>
      <c r="H48" s="30" t="n">
        <f aca="false">AVERAGE(E42:E48)</f>
        <v>0</v>
      </c>
      <c r="I48" s="29" t="str">
        <f aca="false">IF(E41=0,"-",(E48-E41)/E41)</f>
        <v>-</v>
      </c>
      <c r="J48" s="26" t="n">
        <f aca="false">SUMIFS(Sales_Data!$AF$2:$AF$3520,Sales_Data!$H$2:$H$3520,$B$3,Sales_Data!$C$2:$C$3520,$A48)</f>
        <v>0</v>
      </c>
      <c r="K48" s="81" t="n">
        <f aca="false">IFERROR(J48/$B$5,0)</f>
        <v>0</v>
      </c>
      <c r="L48" s="31" t="n">
        <f aca="false">IFERROR(E48/$B$5,0)</f>
        <v>0</v>
      </c>
      <c r="M48" s="26" t="n">
        <f aca="false">SUMIFS(Sales_Data!$O$2:$O$3520,Sales_Data!$C$2:$C$3520,$A48,Sales_Data!$AE$2:$AE$3520,1)</f>
        <v>28</v>
      </c>
      <c r="N48" s="32" t="n">
        <f aca="false">IFERROR(E48/M48,0)</f>
        <v>0</v>
      </c>
    </row>
    <row r="49" customFormat="false" ht="15" hidden="false" customHeight="false" outlineLevel="0" collapsed="false">
      <c r="A49" s="72" t="n">
        <v>46261</v>
      </c>
      <c r="B49" s="26" t="n">
        <f aca="false">SUMIFS(Sales_Data!$AE$2:$AE$3520,Sales_Data!$H$2:$H$3520,$B$3,Sales_Data!$C$2:$C$3520,$A49)</f>
        <v>0</v>
      </c>
      <c r="C49" s="26" t="n">
        <f aca="false">SUMIFS(Sales_Data!$M$2:$M$3520,Sales_Data!$H$2:$H$3520,$B$3,Sales_Data!$C$2:$C$3520,$A49,Sales_Data!$AE$2:$AE$3520,1)</f>
        <v>0</v>
      </c>
      <c r="D49" s="26" t="n">
        <f aca="false">SUMIFS(Sales_Data!$N$2:$N$3520,Sales_Data!$H$2:$H$3520,$B$3,Sales_Data!$C$2:$C$3520,$A49,Sales_Data!$AE$2:$AE$3520,1)</f>
        <v>0</v>
      </c>
      <c r="E49" s="27" t="n">
        <f aca="false">C49+D49</f>
        <v>0</v>
      </c>
      <c r="F49" s="28" t="n">
        <f aca="false">E49-E48</f>
        <v>0</v>
      </c>
      <c r="G49" s="29" t="str">
        <f aca="false">IF(E48=0,"-",(E49-E48)/E48)</f>
        <v>-</v>
      </c>
      <c r="H49" s="30" t="n">
        <f aca="false">AVERAGE(E43:E49)</f>
        <v>0</v>
      </c>
      <c r="I49" s="29" t="str">
        <f aca="false">IF(E42=0,"-",(E49-E42)/E42)</f>
        <v>-</v>
      </c>
      <c r="J49" s="26" t="n">
        <f aca="false">SUMIFS(Sales_Data!$AF$2:$AF$3520,Sales_Data!$H$2:$H$3520,$B$3,Sales_Data!$C$2:$C$3520,$A49)</f>
        <v>0</v>
      </c>
      <c r="K49" s="81" t="n">
        <f aca="false">IFERROR(J49/$B$5,0)</f>
        <v>0</v>
      </c>
      <c r="L49" s="31" t="n">
        <f aca="false">IFERROR(E49/$B$5,0)</f>
        <v>0</v>
      </c>
      <c r="M49" s="26" t="n">
        <f aca="false">SUMIFS(Sales_Data!$O$2:$O$3520,Sales_Data!$C$2:$C$3520,$A49,Sales_Data!$AE$2:$AE$3520,1)</f>
        <v>37</v>
      </c>
      <c r="N49" s="32" t="n">
        <f aca="false">IFERROR(E49/M49,0)</f>
        <v>0</v>
      </c>
    </row>
    <row r="50" customFormat="false" ht="15" hidden="false" customHeight="false" outlineLevel="0" collapsed="false">
      <c r="A50" s="72" t="n">
        <v>46262</v>
      </c>
      <c r="B50" s="26" t="n">
        <f aca="false">SUMIFS(Sales_Data!$AE$2:$AE$3520,Sales_Data!$H$2:$H$3520,$B$3,Sales_Data!$C$2:$C$3520,$A50)</f>
        <v>0</v>
      </c>
      <c r="C50" s="26" t="n">
        <f aca="false">SUMIFS(Sales_Data!$M$2:$M$3520,Sales_Data!$H$2:$H$3520,$B$3,Sales_Data!$C$2:$C$3520,$A50,Sales_Data!$AE$2:$AE$3520,1)</f>
        <v>0</v>
      </c>
      <c r="D50" s="26" t="n">
        <f aca="false">SUMIFS(Sales_Data!$N$2:$N$3520,Sales_Data!$H$2:$H$3520,$B$3,Sales_Data!$C$2:$C$3520,$A50,Sales_Data!$AE$2:$AE$3520,1)</f>
        <v>0</v>
      </c>
      <c r="E50" s="27" t="n">
        <f aca="false">C50+D50</f>
        <v>0</v>
      </c>
      <c r="F50" s="28" t="n">
        <f aca="false">E50-E49</f>
        <v>0</v>
      </c>
      <c r="G50" s="29" t="str">
        <f aca="false">IF(E49=0,"-",(E50-E49)/E49)</f>
        <v>-</v>
      </c>
      <c r="H50" s="30" t="n">
        <f aca="false">AVERAGE(E44:E50)</f>
        <v>0</v>
      </c>
      <c r="I50" s="29" t="str">
        <f aca="false">IF(E43=0,"-",(E50-E43)/E43)</f>
        <v>-</v>
      </c>
      <c r="J50" s="26" t="n">
        <f aca="false">SUMIFS(Sales_Data!$AF$2:$AF$3520,Sales_Data!$H$2:$H$3520,$B$3,Sales_Data!$C$2:$C$3520,$A50)</f>
        <v>0</v>
      </c>
      <c r="K50" s="81" t="n">
        <f aca="false">IFERROR(J50/$B$5,0)</f>
        <v>0</v>
      </c>
      <c r="L50" s="31" t="n">
        <f aca="false">IFERROR(E50/$B$5,0)</f>
        <v>0</v>
      </c>
      <c r="M50" s="26" t="n">
        <f aca="false">SUMIFS(Sales_Data!$O$2:$O$3520,Sales_Data!$C$2:$C$3520,$A50,Sales_Data!$AE$2:$AE$3520,1)</f>
        <v>25</v>
      </c>
      <c r="N50" s="32" t="n">
        <f aca="false">IFERROR(E50/M50,0)</f>
        <v>0</v>
      </c>
    </row>
    <row r="51" customFormat="false" ht="15" hidden="false" customHeight="false" outlineLevel="0" collapsed="false">
      <c r="A51" s="72" t="n">
        <v>46263</v>
      </c>
      <c r="B51" s="26" t="n">
        <f aca="false">SUMIFS(Sales_Data!$AE$2:$AE$3520,Sales_Data!$H$2:$H$3520,$B$3,Sales_Data!$C$2:$C$3520,$A51)</f>
        <v>0</v>
      </c>
      <c r="C51" s="26" t="n">
        <f aca="false">SUMIFS(Sales_Data!$M$2:$M$3520,Sales_Data!$H$2:$H$3520,$B$3,Sales_Data!$C$2:$C$3520,$A51,Sales_Data!$AE$2:$AE$3520,1)</f>
        <v>0</v>
      </c>
      <c r="D51" s="26" t="n">
        <f aca="false">SUMIFS(Sales_Data!$N$2:$N$3520,Sales_Data!$H$2:$H$3520,$B$3,Sales_Data!$C$2:$C$3520,$A51,Sales_Data!$AE$2:$AE$3520,1)</f>
        <v>0</v>
      </c>
      <c r="E51" s="27" t="n">
        <f aca="false">C51+D51</f>
        <v>0</v>
      </c>
      <c r="F51" s="28" t="n">
        <f aca="false">E51-E50</f>
        <v>0</v>
      </c>
      <c r="G51" s="29" t="str">
        <f aca="false">IF(E50=0,"-",(E51-E50)/E50)</f>
        <v>-</v>
      </c>
      <c r="H51" s="30" t="n">
        <f aca="false">AVERAGE(E45:E51)</f>
        <v>0</v>
      </c>
      <c r="I51" s="29" t="str">
        <f aca="false">IF(E44=0,"-",(E51-E44)/E44)</f>
        <v>-</v>
      </c>
      <c r="J51" s="26" t="n">
        <f aca="false">SUMIFS(Sales_Data!$AF$2:$AF$3520,Sales_Data!$H$2:$H$3520,$B$3,Sales_Data!$C$2:$C$3520,$A51)</f>
        <v>0</v>
      </c>
      <c r="K51" s="81" t="n">
        <f aca="false">IFERROR(J51/$B$5,0)</f>
        <v>0</v>
      </c>
      <c r="L51" s="31" t="n">
        <f aca="false">IFERROR(E51/$B$5,0)</f>
        <v>0</v>
      </c>
      <c r="M51" s="26" t="n">
        <f aca="false">SUMIFS(Sales_Data!$O$2:$O$3520,Sales_Data!$C$2:$C$3520,$A51,Sales_Data!$AE$2:$AE$3520,1)</f>
        <v>62</v>
      </c>
      <c r="N51" s="32" t="n">
        <f aca="false">IFERROR(E51/M51,0)</f>
        <v>0</v>
      </c>
    </row>
    <row r="52" customFormat="false" ht="15" hidden="false" customHeight="false" outlineLevel="0" collapsed="false">
      <c r="A52" s="72" t="n">
        <v>46264</v>
      </c>
      <c r="B52" s="26" t="n">
        <f aca="false">SUMIFS(Sales_Data!$AE$2:$AE$3520,Sales_Data!$H$2:$H$3520,$B$3,Sales_Data!$C$2:$C$3520,$A52)</f>
        <v>0</v>
      </c>
      <c r="C52" s="26" t="n">
        <f aca="false">SUMIFS(Sales_Data!$M$2:$M$3520,Sales_Data!$H$2:$H$3520,$B$3,Sales_Data!$C$2:$C$3520,$A52,Sales_Data!$AE$2:$AE$3520,1)</f>
        <v>0</v>
      </c>
      <c r="D52" s="26" t="n">
        <f aca="false">SUMIFS(Sales_Data!$N$2:$N$3520,Sales_Data!$H$2:$H$3520,$B$3,Sales_Data!$C$2:$C$3520,$A52,Sales_Data!$AE$2:$AE$3520,1)</f>
        <v>0</v>
      </c>
      <c r="E52" s="27" t="n">
        <f aca="false">C52+D52</f>
        <v>0</v>
      </c>
      <c r="F52" s="28" t="n">
        <f aca="false">E52-E51</f>
        <v>0</v>
      </c>
      <c r="G52" s="29" t="str">
        <f aca="false">IF(E51=0,"-",(E52-E51)/E51)</f>
        <v>-</v>
      </c>
      <c r="H52" s="30" t="n">
        <f aca="false">AVERAGE(E46:E52)</f>
        <v>0</v>
      </c>
      <c r="I52" s="29" t="str">
        <f aca="false">IF(E45=0,"-",(E52-E45)/E45)</f>
        <v>-</v>
      </c>
      <c r="J52" s="26" t="n">
        <f aca="false">SUMIFS(Sales_Data!$AF$2:$AF$3520,Sales_Data!$H$2:$H$3520,$B$3,Sales_Data!$C$2:$C$3520,$A52)</f>
        <v>0</v>
      </c>
      <c r="K52" s="81" t="n">
        <f aca="false">IFERROR(J52/$B$5,0)</f>
        <v>0</v>
      </c>
      <c r="L52" s="31" t="n">
        <f aca="false">IFERROR(E52/$B$5,0)</f>
        <v>0</v>
      </c>
      <c r="M52" s="26" t="n">
        <f aca="false">SUMIFS(Sales_Data!$O$2:$O$3520,Sales_Data!$C$2:$C$3520,$A52,Sales_Data!$AE$2:$AE$3520,1)</f>
        <v>38</v>
      </c>
      <c r="N52" s="32" t="n">
        <f aca="false">IFERROR(E52/M52,0)</f>
        <v>0</v>
      </c>
    </row>
    <row r="53" customFormat="false" ht="15" hidden="false" customHeight="false" outlineLevel="0" collapsed="false">
      <c r="A53" s="72" t="n">
        <v>46265</v>
      </c>
      <c r="B53" s="26" t="n">
        <f aca="false">SUMIFS(Sales_Data!$AE$2:$AE$3520,Sales_Data!$H$2:$H$3520,$B$3,Sales_Data!$C$2:$C$3520,$A53)</f>
        <v>0</v>
      </c>
      <c r="C53" s="26" t="n">
        <f aca="false">SUMIFS(Sales_Data!$M$2:$M$3520,Sales_Data!$H$2:$H$3520,$B$3,Sales_Data!$C$2:$C$3520,$A53,Sales_Data!$AE$2:$AE$3520,1)</f>
        <v>0</v>
      </c>
      <c r="D53" s="26" t="n">
        <f aca="false">SUMIFS(Sales_Data!$N$2:$N$3520,Sales_Data!$H$2:$H$3520,$B$3,Sales_Data!$C$2:$C$3520,$A53,Sales_Data!$AE$2:$AE$3520,1)</f>
        <v>0</v>
      </c>
      <c r="E53" s="27" t="n">
        <f aca="false">C53+D53</f>
        <v>0</v>
      </c>
      <c r="F53" s="28" t="n">
        <f aca="false">E53-E52</f>
        <v>0</v>
      </c>
      <c r="G53" s="29" t="str">
        <f aca="false">IF(E52=0,"-",(E53-E52)/E52)</f>
        <v>-</v>
      </c>
      <c r="H53" s="30" t="n">
        <f aca="false">AVERAGE(E47:E53)</f>
        <v>0</v>
      </c>
      <c r="I53" s="29" t="str">
        <f aca="false">IF(E46=0,"-",(E53-E46)/E46)</f>
        <v>-</v>
      </c>
      <c r="J53" s="26" t="n">
        <f aca="false">SUMIFS(Sales_Data!$AF$2:$AF$3520,Sales_Data!$H$2:$H$3520,$B$3,Sales_Data!$C$2:$C$3520,$A53)</f>
        <v>0</v>
      </c>
      <c r="K53" s="81" t="n">
        <f aca="false">IFERROR(J53/$B$5,0)</f>
        <v>0</v>
      </c>
      <c r="L53" s="31" t="n">
        <f aca="false">IFERROR(E53/$B$5,0)</f>
        <v>0</v>
      </c>
      <c r="M53" s="26" t="n">
        <f aca="false">SUMIFS(Sales_Data!$O$2:$O$3520,Sales_Data!$C$2:$C$3520,$A53,Sales_Data!$AE$2:$AE$3520,1)</f>
        <v>66</v>
      </c>
      <c r="N53" s="32" t="n">
        <f aca="false">IFERROR(E53/M53,0)</f>
        <v>0</v>
      </c>
    </row>
    <row r="54" customFormat="false" ht="15" hidden="false" customHeight="false" outlineLevel="0" collapsed="false">
      <c r="A54" s="72" t="n">
        <v>46266</v>
      </c>
      <c r="B54" s="26" t="n">
        <f aca="false">SUMIFS(Sales_Data!$AE$2:$AE$3520,Sales_Data!$H$2:$H$3520,$B$3,Sales_Data!$C$2:$C$3520,$A54)</f>
        <v>0</v>
      </c>
      <c r="C54" s="26" t="n">
        <f aca="false">SUMIFS(Sales_Data!$M$2:$M$3520,Sales_Data!$H$2:$H$3520,$B$3,Sales_Data!$C$2:$C$3520,$A54,Sales_Data!$AE$2:$AE$3520,1)</f>
        <v>0</v>
      </c>
      <c r="D54" s="26" t="n">
        <f aca="false">SUMIFS(Sales_Data!$N$2:$N$3520,Sales_Data!$H$2:$H$3520,$B$3,Sales_Data!$C$2:$C$3520,$A54,Sales_Data!$AE$2:$AE$3520,1)</f>
        <v>0</v>
      </c>
      <c r="E54" s="27" t="n">
        <f aca="false">C54+D54</f>
        <v>0</v>
      </c>
      <c r="F54" s="28" t="n">
        <f aca="false">E54-E53</f>
        <v>0</v>
      </c>
      <c r="G54" s="29" t="str">
        <f aca="false">IF(E53=0,"-",(E54-E53)/E53)</f>
        <v>-</v>
      </c>
      <c r="H54" s="30" t="n">
        <f aca="false">AVERAGE(E48:E54)</f>
        <v>0</v>
      </c>
      <c r="I54" s="29" t="str">
        <f aca="false">IF(E47=0,"-",(E54-E47)/E47)</f>
        <v>-</v>
      </c>
      <c r="J54" s="26" t="n">
        <f aca="false">SUMIFS(Sales_Data!$AF$2:$AF$3520,Sales_Data!$H$2:$H$3520,$B$3,Sales_Data!$C$2:$C$3520,$A54)</f>
        <v>0</v>
      </c>
      <c r="K54" s="81" t="n">
        <f aca="false">IFERROR(J54/$B$5,0)</f>
        <v>0</v>
      </c>
      <c r="L54" s="31" t="n">
        <f aca="false">IFERROR(E54/$B$5,0)</f>
        <v>0</v>
      </c>
      <c r="M54" s="26" t="n">
        <f aca="false">SUMIFS(Sales_Data!$O$2:$O$3520,Sales_Data!$C$2:$C$3520,$A54,Sales_Data!$AE$2:$AE$3520,1)</f>
        <v>62</v>
      </c>
      <c r="N54" s="32" t="n">
        <f aca="false">IFERROR(E54/M54,0)</f>
        <v>0</v>
      </c>
    </row>
    <row r="55" customFormat="false" ht="15" hidden="false" customHeight="false" outlineLevel="0" collapsed="false">
      <c r="A55" s="72" t="n">
        <v>46267</v>
      </c>
      <c r="B55" s="26" t="n">
        <f aca="false">SUMIFS(Sales_Data!$AE$2:$AE$3520,Sales_Data!$H$2:$H$3520,$B$3,Sales_Data!$C$2:$C$3520,$A55)</f>
        <v>0</v>
      </c>
      <c r="C55" s="26" t="n">
        <f aca="false">SUMIFS(Sales_Data!$M$2:$M$3520,Sales_Data!$H$2:$H$3520,$B$3,Sales_Data!$C$2:$C$3520,$A55,Sales_Data!$AE$2:$AE$3520,1)</f>
        <v>0</v>
      </c>
      <c r="D55" s="26" t="n">
        <f aca="false">SUMIFS(Sales_Data!$N$2:$N$3520,Sales_Data!$H$2:$H$3520,$B$3,Sales_Data!$C$2:$C$3520,$A55,Sales_Data!$AE$2:$AE$3520,1)</f>
        <v>0</v>
      </c>
      <c r="E55" s="27" t="n">
        <f aca="false">C55+D55</f>
        <v>0</v>
      </c>
      <c r="F55" s="28" t="n">
        <f aca="false">E55-E54</f>
        <v>0</v>
      </c>
      <c r="G55" s="29" t="str">
        <f aca="false">IF(E54=0,"-",(E55-E54)/E54)</f>
        <v>-</v>
      </c>
      <c r="H55" s="30" t="n">
        <f aca="false">AVERAGE(E49:E55)</f>
        <v>0</v>
      </c>
      <c r="I55" s="29" t="str">
        <f aca="false">IF(E48=0,"-",(E55-E48)/E48)</f>
        <v>-</v>
      </c>
      <c r="J55" s="26" t="n">
        <f aca="false">SUMIFS(Sales_Data!$AF$2:$AF$3520,Sales_Data!$H$2:$H$3520,$B$3,Sales_Data!$C$2:$C$3520,$A55)</f>
        <v>0</v>
      </c>
      <c r="K55" s="81" t="n">
        <f aca="false">IFERROR(J55/$B$5,0)</f>
        <v>0</v>
      </c>
      <c r="L55" s="31" t="n">
        <f aca="false">IFERROR(E55/$B$5,0)</f>
        <v>0</v>
      </c>
      <c r="M55" s="26" t="n">
        <f aca="false">SUMIFS(Sales_Data!$O$2:$O$3520,Sales_Data!$C$2:$C$3520,$A55,Sales_Data!$AE$2:$AE$3520,1)</f>
        <v>50</v>
      </c>
      <c r="N55" s="32" t="n">
        <f aca="false">IFERROR(E55/M55,0)</f>
        <v>0</v>
      </c>
    </row>
    <row r="56" customFormat="false" ht="15" hidden="false" customHeight="false" outlineLevel="0" collapsed="false">
      <c r="A56" s="72" t="n">
        <v>46268</v>
      </c>
      <c r="B56" s="26" t="n">
        <f aca="false">SUMIFS(Sales_Data!$AE$2:$AE$3520,Sales_Data!$H$2:$H$3520,$B$3,Sales_Data!$C$2:$C$3520,$A56)</f>
        <v>0</v>
      </c>
      <c r="C56" s="26" t="n">
        <f aca="false">SUMIFS(Sales_Data!$M$2:$M$3520,Sales_Data!$H$2:$H$3520,$B$3,Sales_Data!$C$2:$C$3520,$A56,Sales_Data!$AE$2:$AE$3520,1)</f>
        <v>0</v>
      </c>
      <c r="D56" s="26" t="n">
        <f aca="false">SUMIFS(Sales_Data!$N$2:$N$3520,Sales_Data!$H$2:$H$3520,$B$3,Sales_Data!$C$2:$C$3520,$A56,Sales_Data!$AE$2:$AE$3520,1)</f>
        <v>0</v>
      </c>
      <c r="E56" s="27" t="n">
        <f aca="false">C56+D56</f>
        <v>0</v>
      </c>
      <c r="F56" s="28" t="n">
        <f aca="false">E56-E55</f>
        <v>0</v>
      </c>
      <c r="G56" s="29" t="str">
        <f aca="false">IF(E55=0,"-",(E56-E55)/E55)</f>
        <v>-</v>
      </c>
      <c r="H56" s="30" t="n">
        <f aca="false">AVERAGE(E50:E56)</f>
        <v>0</v>
      </c>
      <c r="I56" s="29" t="str">
        <f aca="false">IF(E49=0,"-",(E56-E49)/E49)</f>
        <v>-</v>
      </c>
      <c r="J56" s="26" t="n">
        <f aca="false">SUMIFS(Sales_Data!$AF$2:$AF$3520,Sales_Data!$H$2:$H$3520,$B$3,Sales_Data!$C$2:$C$3520,$A56)</f>
        <v>0</v>
      </c>
      <c r="K56" s="81" t="n">
        <f aca="false">IFERROR(J56/$B$5,0)</f>
        <v>0</v>
      </c>
      <c r="L56" s="31" t="n">
        <f aca="false">IFERROR(E56/$B$5,0)</f>
        <v>0</v>
      </c>
      <c r="M56" s="26" t="n">
        <f aca="false">SUMIFS(Sales_Data!$O$2:$O$3520,Sales_Data!$C$2:$C$3520,$A56,Sales_Data!$AE$2:$AE$3520,1)</f>
        <v>66</v>
      </c>
      <c r="N56" s="32" t="n">
        <f aca="false">IFERROR(E56/M56,0)</f>
        <v>0</v>
      </c>
    </row>
    <row r="57" customFormat="false" ht="15" hidden="false" customHeight="false" outlineLevel="0" collapsed="false">
      <c r="A57" s="72" t="n">
        <v>46269</v>
      </c>
      <c r="B57" s="26" t="n">
        <f aca="false">SUMIFS(Sales_Data!$AE$2:$AE$3520,Sales_Data!$H$2:$H$3520,$B$3,Sales_Data!$C$2:$C$3520,$A57)</f>
        <v>5</v>
      </c>
      <c r="C57" s="26" t="n">
        <f aca="false">SUMIFS(Sales_Data!$M$2:$M$3520,Sales_Data!$H$2:$H$3520,$B$3,Sales_Data!$C$2:$C$3520,$A57,Sales_Data!$AE$2:$AE$3520,1)</f>
        <v>3</v>
      </c>
      <c r="D57" s="26" t="n">
        <f aca="false">SUMIFS(Sales_Data!$N$2:$N$3520,Sales_Data!$H$2:$H$3520,$B$3,Sales_Data!$C$2:$C$3520,$A57,Sales_Data!$AE$2:$AE$3520,1)</f>
        <v>4</v>
      </c>
      <c r="E57" s="27" t="n">
        <f aca="false">C57+D57</f>
        <v>7</v>
      </c>
      <c r="F57" s="28" t="n">
        <f aca="false">E57-E56</f>
        <v>7</v>
      </c>
      <c r="G57" s="29" t="str">
        <f aca="false">IF(E56=0,"-",(E57-E56)/E56)</f>
        <v>-</v>
      </c>
      <c r="H57" s="30" t="n">
        <f aca="false">AVERAGE(E51:E57)</f>
        <v>1</v>
      </c>
      <c r="I57" s="29" t="str">
        <f aca="false">IF(E50=0,"-",(E57-E50)/E50)</f>
        <v>-</v>
      </c>
      <c r="J57" s="26" t="n">
        <f aca="false">SUMIFS(Sales_Data!$AF$2:$AF$3520,Sales_Data!$H$2:$H$3520,$B$3,Sales_Data!$C$2:$C$3520,$A57)</f>
        <v>1</v>
      </c>
      <c r="K57" s="81" t="n">
        <f aca="false">IFERROR(J57/$B$5,0)</f>
        <v>0.0555555555555556</v>
      </c>
      <c r="L57" s="31" t="n">
        <f aca="false">IFERROR(E57/$B$5,0)</f>
        <v>0.388888888888889</v>
      </c>
      <c r="M57" s="26" t="n">
        <f aca="false">SUMIFS(Sales_Data!$O$2:$O$3520,Sales_Data!$C$2:$C$3520,$A57,Sales_Data!$AE$2:$AE$3520,1)</f>
        <v>59</v>
      </c>
      <c r="N57" s="32" t="n">
        <f aca="false">IFERROR(E57/M57,0)</f>
        <v>0.11864406779661</v>
      </c>
    </row>
    <row r="58" customFormat="false" ht="15" hidden="false" customHeight="false" outlineLevel="0" collapsed="false">
      <c r="A58" s="72" t="n">
        <v>46270</v>
      </c>
      <c r="B58" s="26" t="n">
        <f aca="false">SUMIFS(Sales_Data!$AE$2:$AE$3520,Sales_Data!$H$2:$H$3520,$B$3,Sales_Data!$C$2:$C$3520,$A58)</f>
        <v>0</v>
      </c>
      <c r="C58" s="26" t="n">
        <f aca="false">SUMIFS(Sales_Data!$M$2:$M$3520,Sales_Data!$H$2:$H$3520,$B$3,Sales_Data!$C$2:$C$3520,$A58,Sales_Data!$AE$2:$AE$3520,1)</f>
        <v>0</v>
      </c>
      <c r="D58" s="26" t="n">
        <f aca="false">SUMIFS(Sales_Data!$N$2:$N$3520,Sales_Data!$H$2:$H$3520,$B$3,Sales_Data!$C$2:$C$3520,$A58,Sales_Data!$AE$2:$AE$3520,1)</f>
        <v>0</v>
      </c>
      <c r="E58" s="27" t="n">
        <f aca="false">C58+D58</f>
        <v>0</v>
      </c>
      <c r="F58" s="28" t="n">
        <f aca="false">E58-E57</f>
        <v>-7</v>
      </c>
      <c r="G58" s="29" t="n">
        <f aca="false">IF(E57=0,"-",(E58-E57)/E57)</f>
        <v>-1</v>
      </c>
      <c r="H58" s="30" t="n">
        <f aca="false">AVERAGE(E52:E58)</f>
        <v>1</v>
      </c>
      <c r="I58" s="29" t="str">
        <f aca="false">IF(E51=0,"-",(E58-E51)/E51)</f>
        <v>-</v>
      </c>
      <c r="J58" s="26" t="n">
        <f aca="false">SUMIFS(Sales_Data!$AF$2:$AF$3520,Sales_Data!$H$2:$H$3520,$B$3,Sales_Data!$C$2:$C$3520,$A58)</f>
        <v>0</v>
      </c>
      <c r="K58" s="81" t="n">
        <f aca="false">IFERROR(J58/$B$5,0)</f>
        <v>0</v>
      </c>
      <c r="L58" s="31" t="n">
        <f aca="false">IFERROR(E58/$B$5,0)</f>
        <v>0</v>
      </c>
      <c r="M58" s="26" t="n">
        <f aca="false">SUMIFS(Sales_Data!$O$2:$O$3520,Sales_Data!$C$2:$C$3520,$A58,Sales_Data!$AE$2:$AE$3520,1)</f>
        <v>56</v>
      </c>
      <c r="N58" s="32" t="n">
        <f aca="false">IFERROR(E58/M58,0)</f>
        <v>0</v>
      </c>
    </row>
    <row r="59" customFormat="false" ht="15" hidden="false" customHeight="false" outlineLevel="0" collapsed="false">
      <c r="A59" s="72" t="n">
        <v>46271</v>
      </c>
      <c r="B59" s="26" t="n">
        <f aca="false">SUMIFS(Sales_Data!$AE$2:$AE$3520,Sales_Data!$H$2:$H$3520,$B$3,Sales_Data!$C$2:$C$3520,$A59)</f>
        <v>0</v>
      </c>
      <c r="C59" s="26" t="n">
        <f aca="false">SUMIFS(Sales_Data!$M$2:$M$3520,Sales_Data!$H$2:$H$3520,$B$3,Sales_Data!$C$2:$C$3520,$A59,Sales_Data!$AE$2:$AE$3520,1)</f>
        <v>0</v>
      </c>
      <c r="D59" s="26" t="n">
        <f aca="false">SUMIFS(Sales_Data!$N$2:$N$3520,Sales_Data!$H$2:$H$3520,$B$3,Sales_Data!$C$2:$C$3520,$A59,Sales_Data!$AE$2:$AE$3520,1)</f>
        <v>0</v>
      </c>
      <c r="E59" s="27" t="n">
        <f aca="false">C59+D59</f>
        <v>0</v>
      </c>
      <c r="F59" s="28" t="n">
        <f aca="false">E59-E58</f>
        <v>0</v>
      </c>
      <c r="G59" s="29" t="str">
        <f aca="false">IF(E58=0,"-",(E59-E58)/E58)</f>
        <v>-</v>
      </c>
      <c r="H59" s="30" t="n">
        <f aca="false">AVERAGE(E53:E59)</f>
        <v>1</v>
      </c>
      <c r="I59" s="29" t="str">
        <f aca="false">IF(E52=0,"-",(E59-E52)/E52)</f>
        <v>-</v>
      </c>
      <c r="J59" s="26" t="n">
        <f aca="false">SUMIFS(Sales_Data!$AF$2:$AF$3520,Sales_Data!$H$2:$H$3520,$B$3,Sales_Data!$C$2:$C$3520,$A59)</f>
        <v>0</v>
      </c>
      <c r="K59" s="81" t="n">
        <f aca="false">IFERROR(J59/$B$5,0)</f>
        <v>0</v>
      </c>
      <c r="L59" s="31" t="n">
        <f aca="false">IFERROR(E59/$B$5,0)</f>
        <v>0</v>
      </c>
      <c r="M59" s="26" t="n">
        <f aca="false">SUMIFS(Sales_Data!$O$2:$O$3520,Sales_Data!$C$2:$C$3520,$A59,Sales_Data!$AE$2:$AE$3520,1)</f>
        <v>40</v>
      </c>
      <c r="N59" s="32" t="n">
        <f aca="false">IFERROR(E59/M59,0)</f>
        <v>0</v>
      </c>
    </row>
    <row r="60" customFormat="false" ht="15" hidden="false" customHeight="false" outlineLevel="0" collapsed="false">
      <c r="A60" s="72" t="n">
        <v>46272</v>
      </c>
      <c r="B60" s="26" t="n">
        <f aca="false">SUMIFS(Sales_Data!$AE$2:$AE$3520,Sales_Data!$H$2:$H$3520,$B$3,Sales_Data!$C$2:$C$3520,$A60)</f>
        <v>0</v>
      </c>
      <c r="C60" s="26" t="n">
        <f aca="false">SUMIFS(Sales_Data!$M$2:$M$3520,Sales_Data!$H$2:$H$3520,$B$3,Sales_Data!$C$2:$C$3520,$A60,Sales_Data!$AE$2:$AE$3520,1)</f>
        <v>0</v>
      </c>
      <c r="D60" s="26" t="n">
        <f aca="false">SUMIFS(Sales_Data!$N$2:$N$3520,Sales_Data!$H$2:$H$3520,$B$3,Sales_Data!$C$2:$C$3520,$A60,Sales_Data!$AE$2:$AE$3520,1)</f>
        <v>0</v>
      </c>
      <c r="E60" s="27" t="n">
        <f aca="false">C60+D60</f>
        <v>0</v>
      </c>
      <c r="F60" s="28" t="n">
        <f aca="false">E60-E59</f>
        <v>0</v>
      </c>
      <c r="G60" s="29" t="str">
        <f aca="false">IF(E59=0,"-",(E60-E59)/E59)</f>
        <v>-</v>
      </c>
      <c r="H60" s="30" t="n">
        <f aca="false">AVERAGE(E54:E60)</f>
        <v>1</v>
      </c>
      <c r="I60" s="29" t="str">
        <f aca="false">IF(E53=0,"-",(E60-E53)/E53)</f>
        <v>-</v>
      </c>
      <c r="J60" s="26" t="n">
        <f aca="false">SUMIFS(Sales_Data!$AF$2:$AF$3520,Sales_Data!$H$2:$H$3520,$B$3,Sales_Data!$C$2:$C$3520,$A60)</f>
        <v>0</v>
      </c>
      <c r="K60" s="81" t="n">
        <f aca="false">IFERROR(J60/$B$5,0)</f>
        <v>0</v>
      </c>
      <c r="L60" s="31" t="n">
        <f aca="false">IFERROR(E60/$B$5,0)</f>
        <v>0</v>
      </c>
      <c r="M60" s="26" t="n">
        <f aca="false">SUMIFS(Sales_Data!$O$2:$O$3520,Sales_Data!$C$2:$C$3520,$A60,Sales_Data!$AE$2:$AE$3520,1)</f>
        <v>60</v>
      </c>
      <c r="N60" s="32" t="n">
        <f aca="false">IFERROR(E60/M60,0)</f>
        <v>0</v>
      </c>
    </row>
    <row r="61" customFormat="false" ht="15" hidden="false" customHeight="false" outlineLevel="0" collapsed="false">
      <c r="A61" s="72" t="n">
        <v>46273</v>
      </c>
      <c r="B61" s="26" t="n">
        <f aca="false">SUMIFS(Sales_Data!$AE$2:$AE$3520,Sales_Data!$H$2:$H$3520,$B$3,Sales_Data!$C$2:$C$3520,$A61)</f>
        <v>0</v>
      </c>
      <c r="C61" s="26" t="n">
        <f aca="false">SUMIFS(Sales_Data!$M$2:$M$3520,Sales_Data!$H$2:$H$3520,$B$3,Sales_Data!$C$2:$C$3520,$A61,Sales_Data!$AE$2:$AE$3520,1)</f>
        <v>0</v>
      </c>
      <c r="D61" s="26" t="n">
        <f aca="false">SUMIFS(Sales_Data!$N$2:$N$3520,Sales_Data!$H$2:$H$3520,$B$3,Sales_Data!$C$2:$C$3520,$A61,Sales_Data!$AE$2:$AE$3520,1)</f>
        <v>0</v>
      </c>
      <c r="E61" s="27" t="n">
        <f aca="false">C61+D61</f>
        <v>0</v>
      </c>
      <c r="F61" s="28" t="n">
        <f aca="false">E61-E60</f>
        <v>0</v>
      </c>
      <c r="G61" s="29" t="str">
        <f aca="false">IF(E60=0,"-",(E61-E60)/E60)</f>
        <v>-</v>
      </c>
      <c r="H61" s="30" t="n">
        <f aca="false">AVERAGE(E55:E61)</f>
        <v>1</v>
      </c>
      <c r="I61" s="29" t="str">
        <f aca="false">IF(E54=0,"-",(E61-E54)/E54)</f>
        <v>-</v>
      </c>
      <c r="J61" s="26" t="n">
        <f aca="false">SUMIFS(Sales_Data!$AF$2:$AF$3520,Sales_Data!$H$2:$H$3520,$B$3,Sales_Data!$C$2:$C$3520,$A61)</f>
        <v>0</v>
      </c>
      <c r="K61" s="81" t="n">
        <f aca="false">IFERROR(J61/$B$5,0)</f>
        <v>0</v>
      </c>
      <c r="L61" s="31" t="n">
        <f aca="false">IFERROR(E61/$B$5,0)</f>
        <v>0</v>
      </c>
      <c r="M61" s="26" t="n">
        <f aca="false">SUMIFS(Sales_Data!$O$2:$O$3520,Sales_Data!$C$2:$C$3520,$A61,Sales_Data!$AE$2:$AE$3520,1)</f>
        <v>103</v>
      </c>
      <c r="N61" s="32" t="n">
        <f aca="false">IFERROR(E61/M61,0)</f>
        <v>0</v>
      </c>
    </row>
    <row r="62" customFormat="false" ht="15" hidden="false" customHeight="false" outlineLevel="0" collapsed="false">
      <c r="A62" s="72" t="n">
        <v>46274</v>
      </c>
      <c r="B62" s="26" t="n">
        <f aca="false">SUMIFS(Sales_Data!$AE$2:$AE$3520,Sales_Data!$H$2:$H$3520,$B$3,Sales_Data!$C$2:$C$3520,$A62)</f>
        <v>0</v>
      </c>
      <c r="C62" s="26" t="n">
        <f aca="false">SUMIFS(Sales_Data!$M$2:$M$3520,Sales_Data!$H$2:$H$3520,$B$3,Sales_Data!$C$2:$C$3520,$A62,Sales_Data!$AE$2:$AE$3520,1)</f>
        <v>0</v>
      </c>
      <c r="D62" s="26" t="n">
        <f aca="false">SUMIFS(Sales_Data!$N$2:$N$3520,Sales_Data!$H$2:$H$3520,$B$3,Sales_Data!$C$2:$C$3520,$A62,Sales_Data!$AE$2:$AE$3520,1)</f>
        <v>0</v>
      </c>
      <c r="E62" s="27" t="n">
        <f aca="false">C62+D62</f>
        <v>0</v>
      </c>
      <c r="F62" s="28" t="n">
        <f aca="false">E62-E61</f>
        <v>0</v>
      </c>
      <c r="G62" s="29" t="str">
        <f aca="false">IF(E61=0,"-",(E62-E61)/E61)</f>
        <v>-</v>
      </c>
      <c r="H62" s="30" t="n">
        <f aca="false">AVERAGE(E56:E62)</f>
        <v>1</v>
      </c>
      <c r="I62" s="29" t="str">
        <f aca="false">IF(E55=0,"-",(E62-E55)/E55)</f>
        <v>-</v>
      </c>
      <c r="J62" s="26" t="n">
        <f aca="false">SUMIFS(Sales_Data!$AF$2:$AF$3520,Sales_Data!$H$2:$H$3520,$B$3,Sales_Data!$C$2:$C$3520,$A62)</f>
        <v>0</v>
      </c>
      <c r="K62" s="81" t="n">
        <f aca="false">IFERROR(J62/$B$5,0)</f>
        <v>0</v>
      </c>
      <c r="L62" s="31" t="n">
        <f aca="false">IFERROR(E62/$B$5,0)</f>
        <v>0</v>
      </c>
      <c r="M62" s="26" t="n">
        <f aca="false">SUMIFS(Sales_Data!$O$2:$O$3520,Sales_Data!$C$2:$C$3520,$A62,Sales_Data!$AE$2:$AE$3520,1)</f>
        <v>40</v>
      </c>
      <c r="N62" s="32" t="n">
        <f aca="false">IFERROR(E62/M62,0)</f>
        <v>0</v>
      </c>
    </row>
    <row r="63" customFormat="false" ht="15" hidden="false" customHeight="false" outlineLevel="0" collapsed="false">
      <c r="A63" s="72" t="n">
        <v>46275</v>
      </c>
      <c r="B63" s="26" t="n">
        <f aca="false">SUMIFS(Sales_Data!$AE$2:$AE$3520,Sales_Data!$H$2:$H$3520,$B$3,Sales_Data!$C$2:$C$3520,$A63)</f>
        <v>0</v>
      </c>
      <c r="C63" s="26" t="n">
        <f aca="false">SUMIFS(Sales_Data!$M$2:$M$3520,Sales_Data!$H$2:$H$3520,$B$3,Sales_Data!$C$2:$C$3520,$A63,Sales_Data!$AE$2:$AE$3520,1)</f>
        <v>0</v>
      </c>
      <c r="D63" s="26" t="n">
        <f aca="false">SUMIFS(Sales_Data!$N$2:$N$3520,Sales_Data!$H$2:$H$3520,$B$3,Sales_Data!$C$2:$C$3520,$A63,Sales_Data!$AE$2:$AE$3520,1)</f>
        <v>0</v>
      </c>
      <c r="E63" s="27" t="n">
        <f aca="false">C63+D63</f>
        <v>0</v>
      </c>
      <c r="F63" s="28" t="n">
        <f aca="false">E63-E62</f>
        <v>0</v>
      </c>
      <c r="G63" s="29" t="str">
        <f aca="false">IF(E62=0,"-",(E63-E62)/E62)</f>
        <v>-</v>
      </c>
      <c r="H63" s="30" t="n">
        <f aca="false">AVERAGE(E57:E63)</f>
        <v>1</v>
      </c>
      <c r="I63" s="29" t="str">
        <f aca="false">IF(E56=0,"-",(E63-E56)/E56)</f>
        <v>-</v>
      </c>
      <c r="J63" s="26" t="n">
        <f aca="false">SUMIFS(Sales_Data!$AF$2:$AF$3520,Sales_Data!$H$2:$H$3520,$B$3,Sales_Data!$C$2:$C$3520,$A63)</f>
        <v>0</v>
      </c>
      <c r="K63" s="81" t="n">
        <f aca="false">IFERROR(J63/$B$5,0)</f>
        <v>0</v>
      </c>
      <c r="L63" s="31" t="n">
        <f aca="false">IFERROR(E63/$B$5,0)</f>
        <v>0</v>
      </c>
      <c r="M63" s="26" t="n">
        <f aca="false">SUMIFS(Sales_Data!$O$2:$O$3520,Sales_Data!$C$2:$C$3520,$A63,Sales_Data!$AE$2:$AE$3520,1)</f>
        <v>55</v>
      </c>
      <c r="N63" s="32" t="n">
        <f aca="false">IFERROR(E63/M63,0)</f>
        <v>0</v>
      </c>
    </row>
    <row r="64" customFormat="false" ht="15" hidden="false" customHeight="false" outlineLevel="0" collapsed="false">
      <c r="A64" s="72" t="n">
        <v>46276</v>
      </c>
      <c r="B64" s="26" t="n">
        <f aca="false">SUMIFS(Sales_Data!$AE$2:$AE$3520,Sales_Data!$H$2:$H$3520,$B$3,Sales_Data!$C$2:$C$3520,$A64)</f>
        <v>0</v>
      </c>
      <c r="C64" s="26" t="n">
        <f aca="false">SUMIFS(Sales_Data!$M$2:$M$3520,Sales_Data!$H$2:$H$3520,$B$3,Sales_Data!$C$2:$C$3520,$A64,Sales_Data!$AE$2:$AE$3520,1)</f>
        <v>0</v>
      </c>
      <c r="D64" s="26" t="n">
        <f aca="false">SUMIFS(Sales_Data!$N$2:$N$3520,Sales_Data!$H$2:$H$3520,$B$3,Sales_Data!$C$2:$C$3520,$A64,Sales_Data!$AE$2:$AE$3520,1)</f>
        <v>0</v>
      </c>
      <c r="E64" s="27" t="n">
        <f aca="false">C64+D64</f>
        <v>0</v>
      </c>
      <c r="F64" s="28" t="n">
        <f aca="false">E64-E63</f>
        <v>0</v>
      </c>
      <c r="G64" s="29" t="str">
        <f aca="false">IF(E63=0,"-",(E64-E63)/E63)</f>
        <v>-</v>
      </c>
      <c r="H64" s="30" t="n">
        <f aca="false">AVERAGE(E58:E64)</f>
        <v>0</v>
      </c>
      <c r="I64" s="29" t="n">
        <f aca="false">IF(E57=0,"-",(E64-E57)/E57)</f>
        <v>-1</v>
      </c>
      <c r="J64" s="26" t="n">
        <f aca="false">SUMIFS(Sales_Data!$AF$2:$AF$3520,Sales_Data!$H$2:$H$3520,$B$3,Sales_Data!$C$2:$C$3520,$A64)</f>
        <v>0</v>
      </c>
      <c r="K64" s="81" t="n">
        <f aca="false">IFERROR(J64/$B$5,0)</f>
        <v>0</v>
      </c>
      <c r="L64" s="31" t="n">
        <f aca="false">IFERROR(E64/$B$5,0)</f>
        <v>0</v>
      </c>
      <c r="M64" s="26" t="n">
        <f aca="false">SUMIFS(Sales_Data!$O$2:$O$3520,Sales_Data!$C$2:$C$3520,$A64,Sales_Data!$AE$2:$AE$3520,1)</f>
        <v>70</v>
      </c>
      <c r="N64" s="32" t="n">
        <f aca="false">IFERROR(E64/M64,0)</f>
        <v>0</v>
      </c>
    </row>
    <row r="65" customFormat="false" ht="15" hidden="false" customHeight="false" outlineLevel="0" collapsed="false">
      <c r="A65" s="72" t="n">
        <v>46277</v>
      </c>
      <c r="B65" s="26" t="n">
        <f aca="false">SUMIFS(Sales_Data!$AE$2:$AE$3520,Sales_Data!$H$2:$H$3520,$B$3,Sales_Data!$C$2:$C$3520,$A65)</f>
        <v>6</v>
      </c>
      <c r="C65" s="26" t="n">
        <f aca="false">SUMIFS(Sales_Data!$M$2:$M$3520,Sales_Data!$H$2:$H$3520,$B$3,Sales_Data!$C$2:$C$3520,$A65,Sales_Data!$AE$2:$AE$3520,1)</f>
        <v>4</v>
      </c>
      <c r="D65" s="26" t="n">
        <f aca="false">SUMIFS(Sales_Data!$N$2:$N$3520,Sales_Data!$H$2:$H$3520,$B$3,Sales_Data!$C$2:$C$3520,$A65,Sales_Data!$AE$2:$AE$3520,1)</f>
        <v>2</v>
      </c>
      <c r="E65" s="27" t="n">
        <f aca="false">C65+D65</f>
        <v>6</v>
      </c>
      <c r="F65" s="28" t="n">
        <f aca="false">E65-E64</f>
        <v>6</v>
      </c>
      <c r="G65" s="29" t="str">
        <f aca="false">IF(E64=0,"-",(E65-E64)/E64)</f>
        <v>-</v>
      </c>
      <c r="H65" s="30" t="n">
        <f aca="false">AVERAGE(E59:E65)</f>
        <v>0.857142857142857</v>
      </c>
      <c r="I65" s="29" t="str">
        <f aca="false">IF(E58=0,"-",(E65-E58)/E58)</f>
        <v>-</v>
      </c>
      <c r="J65" s="26" t="n">
        <f aca="false">SUMIFS(Sales_Data!$AF$2:$AF$3520,Sales_Data!$H$2:$H$3520,$B$3,Sales_Data!$C$2:$C$3520,$A65)</f>
        <v>1</v>
      </c>
      <c r="K65" s="81" t="n">
        <f aca="false">IFERROR(J65/$B$5,0)</f>
        <v>0.0555555555555556</v>
      </c>
      <c r="L65" s="31" t="n">
        <f aca="false">IFERROR(E65/$B$5,0)</f>
        <v>0.333333333333333</v>
      </c>
      <c r="M65" s="26" t="n">
        <f aca="false">SUMIFS(Sales_Data!$O$2:$O$3520,Sales_Data!$C$2:$C$3520,$A65,Sales_Data!$AE$2:$AE$3520,1)</f>
        <v>85</v>
      </c>
      <c r="N65" s="32" t="n">
        <f aca="false">IFERROR(E65/M65,0)</f>
        <v>0.0705882352941177</v>
      </c>
    </row>
    <row r="66" customFormat="false" ht="15" hidden="false" customHeight="false" outlineLevel="0" collapsed="false">
      <c r="A66" s="72" t="n">
        <v>46278</v>
      </c>
      <c r="B66" s="26" t="n">
        <f aca="false">SUMIFS(Sales_Data!$AE$2:$AE$3520,Sales_Data!$H$2:$H$3520,$B$3,Sales_Data!$C$2:$C$3520,$A66)</f>
        <v>1</v>
      </c>
      <c r="C66" s="26" t="n">
        <f aca="false">SUMIFS(Sales_Data!$M$2:$M$3520,Sales_Data!$H$2:$H$3520,$B$3,Sales_Data!$C$2:$C$3520,$A66,Sales_Data!$AE$2:$AE$3520,1)</f>
        <v>0</v>
      </c>
      <c r="D66" s="26" t="n">
        <f aca="false">SUMIFS(Sales_Data!$N$2:$N$3520,Sales_Data!$H$2:$H$3520,$B$3,Sales_Data!$C$2:$C$3520,$A66,Sales_Data!$AE$2:$AE$3520,1)</f>
        <v>1</v>
      </c>
      <c r="E66" s="27" t="n">
        <f aca="false">C66+D66</f>
        <v>1</v>
      </c>
      <c r="F66" s="28" t="n">
        <f aca="false">E66-E65</f>
        <v>-5</v>
      </c>
      <c r="G66" s="29" t="n">
        <f aca="false">IF(E65=0,"-",(E66-E65)/E65)</f>
        <v>-0.833333333333333</v>
      </c>
      <c r="H66" s="30" t="n">
        <f aca="false">AVERAGE(E60:E66)</f>
        <v>1</v>
      </c>
      <c r="I66" s="29" t="str">
        <f aca="false">IF(E59=0,"-",(E66-E59)/E59)</f>
        <v>-</v>
      </c>
      <c r="J66" s="26" t="n">
        <f aca="false">SUMIFS(Sales_Data!$AF$2:$AF$3520,Sales_Data!$H$2:$H$3520,$B$3,Sales_Data!$C$2:$C$3520,$A66)</f>
        <v>1</v>
      </c>
      <c r="K66" s="81" t="n">
        <f aca="false">IFERROR(J66/$B$5,0)</f>
        <v>0.0555555555555556</v>
      </c>
      <c r="L66" s="31" t="n">
        <f aca="false">IFERROR(E66/$B$5,0)</f>
        <v>0.0555555555555556</v>
      </c>
      <c r="M66" s="26" t="n">
        <f aca="false">SUMIFS(Sales_Data!$O$2:$O$3520,Sales_Data!$C$2:$C$3520,$A66,Sales_Data!$AE$2:$AE$3520,1)</f>
        <v>57</v>
      </c>
      <c r="N66" s="32" t="n">
        <f aca="false">IFERROR(E66/M66,0)</f>
        <v>0.0175438596491228</v>
      </c>
    </row>
    <row r="67" customFormat="false" ht="15" hidden="false" customHeight="false" outlineLevel="0" collapsed="false">
      <c r="A67" s="72" t="n">
        <v>46279</v>
      </c>
      <c r="B67" s="26" t="n">
        <f aca="false">SUMIFS(Sales_Data!$AE$2:$AE$3520,Sales_Data!$H$2:$H$3520,$B$3,Sales_Data!$C$2:$C$3520,$A67)</f>
        <v>7</v>
      </c>
      <c r="C67" s="26" t="n">
        <f aca="false">SUMIFS(Sales_Data!$M$2:$M$3520,Sales_Data!$H$2:$H$3520,$B$3,Sales_Data!$C$2:$C$3520,$A67,Sales_Data!$AE$2:$AE$3520,1)</f>
        <v>2</v>
      </c>
      <c r="D67" s="26" t="n">
        <f aca="false">SUMIFS(Sales_Data!$N$2:$N$3520,Sales_Data!$H$2:$H$3520,$B$3,Sales_Data!$C$2:$C$3520,$A67,Sales_Data!$AE$2:$AE$3520,1)</f>
        <v>6</v>
      </c>
      <c r="E67" s="27" t="n">
        <f aca="false">C67+D67</f>
        <v>8</v>
      </c>
      <c r="F67" s="28" t="n">
        <f aca="false">E67-E66</f>
        <v>7</v>
      </c>
      <c r="G67" s="29" t="n">
        <f aca="false">IF(E66=0,"-",(E67-E66)/E66)</f>
        <v>7</v>
      </c>
      <c r="H67" s="30" t="n">
        <f aca="false">AVERAGE(E61:E67)</f>
        <v>2.14285714285714</v>
      </c>
      <c r="I67" s="29" t="str">
        <f aca="false">IF(E60=0,"-",(E67-E60)/E60)</f>
        <v>-</v>
      </c>
      <c r="J67" s="26" t="n">
        <f aca="false">SUMIFS(Sales_Data!$AF$2:$AF$3520,Sales_Data!$H$2:$H$3520,$B$3,Sales_Data!$C$2:$C$3520,$A67)</f>
        <v>4</v>
      </c>
      <c r="K67" s="81" t="n">
        <f aca="false">IFERROR(J67/$B$5,0)</f>
        <v>0.222222222222222</v>
      </c>
      <c r="L67" s="31" t="n">
        <f aca="false">IFERROR(E67/$B$5,0)</f>
        <v>0.444444444444444</v>
      </c>
      <c r="M67" s="26" t="n">
        <f aca="false">SUMIFS(Sales_Data!$O$2:$O$3520,Sales_Data!$C$2:$C$3520,$A67,Sales_Data!$AE$2:$AE$3520,1)</f>
        <v>62</v>
      </c>
      <c r="N67" s="32" t="n">
        <f aca="false">IFERROR(E67/M67,0)</f>
        <v>0.129032258064516</v>
      </c>
    </row>
    <row r="68" customFormat="false" ht="15" hidden="false" customHeight="false" outlineLevel="0" collapsed="false">
      <c r="A68" s="72" t="n">
        <v>46280</v>
      </c>
      <c r="B68" s="26" t="n">
        <f aca="false">SUMIFS(Sales_Data!$AE$2:$AE$3520,Sales_Data!$H$2:$H$3520,$B$3,Sales_Data!$C$2:$C$3520,$A68)</f>
        <v>2</v>
      </c>
      <c r="C68" s="26" t="n">
        <f aca="false">SUMIFS(Sales_Data!$M$2:$M$3520,Sales_Data!$H$2:$H$3520,$B$3,Sales_Data!$C$2:$C$3520,$A68,Sales_Data!$AE$2:$AE$3520,1)</f>
        <v>0</v>
      </c>
      <c r="D68" s="26" t="n">
        <f aca="false">SUMIFS(Sales_Data!$N$2:$N$3520,Sales_Data!$H$2:$H$3520,$B$3,Sales_Data!$C$2:$C$3520,$A68,Sales_Data!$AE$2:$AE$3520,1)</f>
        <v>2</v>
      </c>
      <c r="E68" s="27" t="n">
        <f aca="false">C68+D68</f>
        <v>2</v>
      </c>
      <c r="F68" s="28" t="n">
        <f aca="false">E68-E67</f>
        <v>-6</v>
      </c>
      <c r="G68" s="29" t="n">
        <f aca="false">IF(E67=0,"-",(E68-E67)/E67)</f>
        <v>-0.75</v>
      </c>
      <c r="H68" s="30" t="n">
        <f aca="false">AVERAGE(E62:E68)</f>
        <v>2.42857142857143</v>
      </c>
      <c r="I68" s="29" t="str">
        <f aca="false">IF(E61=0,"-",(E68-E61)/E61)</f>
        <v>-</v>
      </c>
      <c r="J68" s="26" t="n">
        <f aca="false">SUMIFS(Sales_Data!$AF$2:$AF$3520,Sales_Data!$H$2:$H$3520,$B$3,Sales_Data!$C$2:$C$3520,$A68)</f>
        <v>2</v>
      </c>
      <c r="K68" s="81" t="n">
        <f aca="false">IFERROR(J68/$B$5,0)</f>
        <v>0.111111111111111</v>
      </c>
      <c r="L68" s="31" t="n">
        <f aca="false">IFERROR(E68/$B$5,0)</f>
        <v>0.111111111111111</v>
      </c>
      <c r="M68" s="26" t="n">
        <f aca="false">SUMIFS(Sales_Data!$O$2:$O$3520,Sales_Data!$C$2:$C$3520,$A68,Sales_Data!$AE$2:$AE$3520,1)</f>
        <v>32</v>
      </c>
      <c r="N68" s="32" t="n">
        <f aca="false">IFERROR(E68/M68,0)</f>
        <v>0.0625</v>
      </c>
    </row>
    <row r="69" customFormat="false" ht="15" hidden="false" customHeight="false" outlineLevel="0" collapsed="false">
      <c r="A69" s="72" t="n">
        <v>46281</v>
      </c>
      <c r="B69" s="26" t="n">
        <f aca="false">SUMIFS(Sales_Data!$AE$2:$AE$3520,Sales_Data!$H$2:$H$3520,$B$3,Sales_Data!$C$2:$C$3520,$A69)</f>
        <v>0</v>
      </c>
      <c r="C69" s="26" t="n">
        <f aca="false">SUMIFS(Sales_Data!$M$2:$M$3520,Sales_Data!$H$2:$H$3520,$B$3,Sales_Data!$C$2:$C$3520,$A69,Sales_Data!$AE$2:$AE$3520,1)</f>
        <v>0</v>
      </c>
      <c r="D69" s="26" t="n">
        <f aca="false">SUMIFS(Sales_Data!$N$2:$N$3520,Sales_Data!$H$2:$H$3520,$B$3,Sales_Data!$C$2:$C$3520,$A69,Sales_Data!$AE$2:$AE$3520,1)</f>
        <v>0</v>
      </c>
      <c r="E69" s="27" t="n">
        <f aca="false">C69+D69</f>
        <v>0</v>
      </c>
      <c r="F69" s="28" t="n">
        <f aca="false">E69-E68</f>
        <v>-2</v>
      </c>
      <c r="G69" s="29" t="n">
        <f aca="false">IF(E68=0,"-",(E69-E68)/E68)</f>
        <v>-1</v>
      </c>
      <c r="H69" s="30" t="n">
        <f aca="false">AVERAGE(E63:E69)</f>
        <v>2.42857142857143</v>
      </c>
      <c r="I69" s="29" t="str">
        <f aca="false">IF(E62=0,"-",(E69-E62)/E62)</f>
        <v>-</v>
      </c>
      <c r="J69" s="26" t="n">
        <f aca="false">SUMIFS(Sales_Data!$AF$2:$AF$3520,Sales_Data!$H$2:$H$3520,$B$3,Sales_Data!$C$2:$C$3520,$A69)</f>
        <v>0</v>
      </c>
      <c r="K69" s="81" t="n">
        <f aca="false">IFERROR(J69/$B$5,0)</f>
        <v>0</v>
      </c>
      <c r="L69" s="31" t="n">
        <f aca="false">IFERROR(E69/$B$5,0)</f>
        <v>0</v>
      </c>
      <c r="M69" s="26" t="n">
        <f aca="false">SUMIFS(Sales_Data!$O$2:$O$3520,Sales_Data!$C$2:$C$3520,$A69,Sales_Data!$AE$2:$AE$3520,1)</f>
        <v>50</v>
      </c>
      <c r="N69" s="32" t="n">
        <f aca="false">IFERROR(E69/M69,0)</f>
        <v>0</v>
      </c>
    </row>
    <row r="70" customFormat="false" ht="15" hidden="false" customHeight="false" outlineLevel="0" collapsed="false">
      <c r="A70" s="72" t="n">
        <v>46282</v>
      </c>
      <c r="B70" s="26" t="n">
        <f aca="false">SUMIFS(Sales_Data!$AE$2:$AE$3520,Sales_Data!$H$2:$H$3520,$B$3,Sales_Data!$C$2:$C$3520,$A70)</f>
        <v>1</v>
      </c>
      <c r="C70" s="26" t="n">
        <f aca="false">SUMIFS(Sales_Data!$M$2:$M$3520,Sales_Data!$H$2:$H$3520,$B$3,Sales_Data!$C$2:$C$3520,$A70,Sales_Data!$AE$2:$AE$3520,1)</f>
        <v>1</v>
      </c>
      <c r="D70" s="26" t="n">
        <f aca="false">SUMIFS(Sales_Data!$N$2:$N$3520,Sales_Data!$H$2:$H$3520,$B$3,Sales_Data!$C$2:$C$3520,$A70,Sales_Data!$AE$2:$AE$3520,1)</f>
        <v>0</v>
      </c>
      <c r="E70" s="27" t="n">
        <f aca="false">C70+D70</f>
        <v>1</v>
      </c>
      <c r="F70" s="28" t="n">
        <f aca="false">E70-E69</f>
        <v>1</v>
      </c>
      <c r="G70" s="29" t="str">
        <f aca="false">IF(E69=0,"-",(E70-E69)/E69)</f>
        <v>-</v>
      </c>
      <c r="H70" s="30" t="n">
        <f aca="false">AVERAGE(E64:E70)</f>
        <v>2.57142857142857</v>
      </c>
      <c r="I70" s="29" t="str">
        <f aca="false">IF(E63=0,"-",(E70-E63)/E63)</f>
        <v>-</v>
      </c>
      <c r="J70" s="26" t="n">
        <f aca="false">SUMIFS(Sales_Data!$AF$2:$AF$3520,Sales_Data!$H$2:$H$3520,$B$3,Sales_Data!$C$2:$C$3520,$A70)</f>
        <v>1</v>
      </c>
      <c r="K70" s="81" t="n">
        <f aca="false">IFERROR(J70/$B$5,0)</f>
        <v>0.0555555555555556</v>
      </c>
      <c r="L70" s="31" t="n">
        <f aca="false">IFERROR(E70/$B$5,0)</f>
        <v>0.0555555555555556</v>
      </c>
      <c r="M70" s="26" t="n">
        <f aca="false">SUMIFS(Sales_Data!$O$2:$O$3520,Sales_Data!$C$2:$C$3520,$A70,Sales_Data!$AE$2:$AE$3520,1)</f>
        <v>28</v>
      </c>
      <c r="N70" s="32" t="n">
        <f aca="false">IFERROR(E70/M70,0)</f>
        <v>0.0357142857142857</v>
      </c>
    </row>
    <row r="71" customFormat="false" ht="15" hidden="false" customHeight="false" outlineLevel="0" collapsed="false">
      <c r="A71" s="72" t="n">
        <v>46283</v>
      </c>
      <c r="B71" s="26" t="n">
        <f aca="false">SUMIFS(Sales_Data!$AE$2:$AE$3520,Sales_Data!$H$2:$H$3520,$B$3,Sales_Data!$C$2:$C$3520,$A71)</f>
        <v>2</v>
      </c>
      <c r="C71" s="26" t="n">
        <f aca="false">SUMIFS(Sales_Data!$M$2:$M$3520,Sales_Data!$H$2:$H$3520,$B$3,Sales_Data!$C$2:$C$3520,$A71,Sales_Data!$AE$2:$AE$3520,1)</f>
        <v>1</v>
      </c>
      <c r="D71" s="26" t="n">
        <f aca="false">SUMIFS(Sales_Data!$N$2:$N$3520,Sales_Data!$H$2:$H$3520,$B$3,Sales_Data!$C$2:$C$3520,$A71,Sales_Data!$AE$2:$AE$3520,1)</f>
        <v>1</v>
      </c>
      <c r="E71" s="27" t="n">
        <f aca="false">C71+D71</f>
        <v>2</v>
      </c>
      <c r="F71" s="28" t="n">
        <f aca="false">E71-E70</f>
        <v>1</v>
      </c>
      <c r="G71" s="29" t="n">
        <f aca="false">IF(E70=0,"-",(E71-E70)/E70)</f>
        <v>1</v>
      </c>
      <c r="H71" s="30" t="n">
        <f aca="false">AVERAGE(E65:E71)</f>
        <v>2.85714285714286</v>
      </c>
      <c r="I71" s="29" t="str">
        <f aca="false">IF(E64=0,"-",(E71-E64)/E64)</f>
        <v>-</v>
      </c>
      <c r="J71" s="26" t="n">
        <f aca="false">SUMIFS(Sales_Data!$AF$2:$AF$3520,Sales_Data!$H$2:$H$3520,$B$3,Sales_Data!$C$2:$C$3520,$A71)</f>
        <v>1</v>
      </c>
      <c r="K71" s="81" t="n">
        <f aca="false">IFERROR(J71/$B$5,0)</f>
        <v>0.0555555555555556</v>
      </c>
      <c r="L71" s="31" t="n">
        <f aca="false">IFERROR(E71/$B$5,0)</f>
        <v>0.111111111111111</v>
      </c>
      <c r="M71" s="26" t="n">
        <f aca="false">SUMIFS(Sales_Data!$O$2:$O$3520,Sales_Data!$C$2:$C$3520,$A71,Sales_Data!$AE$2:$AE$3520,1)</f>
        <v>39</v>
      </c>
      <c r="N71" s="32" t="n">
        <f aca="false">IFERROR(E71/M71,0)</f>
        <v>0.0512820512820513</v>
      </c>
    </row>
    <row r="72" customFormat="false" ht="15" hidden="false" customHeight="false" outlineLevel="0" collapsed="false">
      <c r="A72" s="72" t="n">
        <v>46284</v>
      </c>
      <c r="B72" s="26" t="n">
        <f aca="false">SUMIFS(Sales_Data!$AE$2:$AE$3520,Sales_Data!$H$2:$H$3520,$B$3,Sales_Data!$C$2:$C$3520,$A72)</f>
        <v>1</v>
      </c>
      <c r="C72" s="26" t="n">
        <f aca="false">SUMIFS(Sales_Data!$M$2:$M$3520,Sales_Data!$H$2:$H$3520,$B$3,Sales_Data!$C$2:$C$3520,$A72,Sales_Data!$AE$2:$AE$3520,1)</f>
        <v>0</v>
      </c>
      <c r="D72" s="26" t="n">
        <f aca="false">SUMIFS(Sales_Data!$N$2:$N$3520,Sales_Data!$H$2:$H$3520,$B$3,Sales_Data!$C$2:$C$3520,$A72,Sales_Data!$AE$2:$AE$3520,1)</f>
        <v>1</v>
      </c>
      <c r="E72" s="27" t="n">
        <f aca="false">C72+D72</f>
        <v>1</v>
      </c>
      <c r="F72" s="28" t="n">
        <f aca="false">E72-E71</f>
        <v>-1</v>
      </c>
      <c r="G72" s="29" t="n">
        <f aca="false">IF(E71=0,"-",(E72-E71)/E71)</f>
        <v>-0.5</v>
      </c>
      <c r="H72" s="30" t="n">
        <f aca="false">AVERAGE(E66:E72)</f>
        <v>2.14285714285714</v>
      </c>
      <c r="I72" s="29" t="n">
        <f aca="false">IF(E65=0,"-",(E72-E65)/E65)</f>
        <v>-0.833333333333333</v>
      </c>
      <c r="J72" s="26" t="n">
        <f aca="false">SUMIFS(Sales_Data!$AF$2:$AF$3520,Sales_Data!$H$2:$H$3520,$B$3,Sales_Data!$C$2:$C$3520,$A72)</f>
        <v>1</v>
      </c>
      <c r="K72" s="81" t="n">
        <f aca="false">IFERROR(J72/$B$5,0)</f>
        <v>0.0555555555555556</v>
      </c>
      <c r="L72" s="31" t="n">
        <f aca="false">IFERROR(E72/$B$5,0)</f>
        <v>0.0555555555555556</v>
      </c>
      <c r="M72" s="26" t="n">
        <f aca="false">SUMIFS(Sales_Data!$O$2:$O$3520,Sales_Data!$C$2:$C$3520,$A72,Sales_Data!$AE$2:$AE$3520,1)</f>
        <v>60</v>
      </c>
      <c r="N72" s="32" t="n">
        <f aca="false">IFERROR(E72/M72,0)</f>
        <v>0.0166666666666667</v>
      </c>
    </row>
    <row r="73" customFormat="false" ht="15" hidden="false" customHeight="false" outlineLevel="0" collapsed="false">
      <c r="A73" s="72" t="n">
        <v>46285</v>
      </c>
      <c r="B73" s="26" t="n">
        <f aca="false">SUMIFS(Sales_Data!$AE$2:$AE$3520,Sales_Data!$H$2:$H$3520,$B$3,Sales_Data!$C$2:$C$3520,$A73)</f>
        <v>1</v>
      </c>
      <c r="C73" s="26" t="n">
        <f aca="false">SUMIFS(Sales_Data!$M$2:$M$3520,Sales_Data!$H$2:$H$3520,$B$3,Sales_Data!$C$2:$C$3520,$A73,Sales_Data!$AE$2:$AE$3520,1)</f>
        <v>0</v>
      </c>
      <c r="D73" s="26" t="n">
        <f aca="false">SUMIFS(Sales_Data!$N$2:$N$3520,Sales_Data!$H$2:$H$3520,$B$3,Sales_Data!$C$2:$C$3520,$A73,Sales_Data!$AE$2:$AE$3520,1)</f>
        <v>1</v>
      </c>
      <c r="E73" s="27" t="n">
        <f aca="false">C73+D73</f>
        <v>1</v>
      </c>
      <c r="F73" s="28" t="n">
        <f aca="false">E73-E72</f>
        <v>0</v>
      </c>
      <c r="G73" s="29" t="n">
        <f aca="false">IF(E72=0,"-",(E73-E72)/E72)</f>
        <v>0</v>
      </c>
      <c r="H73" s="30" t="n">
        <f aca="false">AVERAGE(E67:E73)</f>
        <v>2.14285714285714</v>
      </c>
      <c r="I73" s="29" t="n">
        <f aca="false">IF(E66=0,"-",(E73-E66)/E66)</f>
        <v>0</v>
      </c>
      <c r="J73" s="26" t="n">
        <f aca="false">SUMIFS(Sales_Data!$AF$2:$AF$3520,Sales_Data!$H$2:$H$3520,$B$3,Sales_Data!$C$2:$C$3520,$A73)</f>
        <v>1</v>
      </c>
      <c r="K73" s="81" t="n">
        <f aca="false">IFERROR(J73/$B$5,0)</f>
        <v>0.0555555555555556</v>
      </c>
      <c r="L73" s="31" t="n">
        <f aca="false">IFERROR(E73/$B$5,0)</f>
        <v>0.0555555555555556</v>
      </c>
      <c r="M73" s="26" t="n">
        <f aca="false">SUMIFS(Sales_Data!$O$2:$O$3520,Sales_Data!$C$2:$C$3520,$A73,Sales_Data!$AE$2:$AE$3520,1)</f>
        <v>49</v>
      </c>
      <c r="N73" s="32" t="n">
        <f aca="false">IFERROR(E73/M73,0)</f>
        <v>0.0204081632653061</v>
      </c>
    </row>
    <row r="74" customFormat="false" ht="15" hidden="false" customHeight="false" outlineLevel="0" collapsed="false">
      <c r="A74" s="72" t="n">
        <v>46286</v>
      </c>
      <c r="B74" s="26" t="n">
        <f aca="false">SUMIFS(Sales_Data!$AE$2:$AE$3520,Sales_Data!$H$2:$H$3520,$B$3,Sales_Data!$C$2:$C$3520,$A74)</f>
        <v>4</v>
      </c>
      <c r="C74" s="26" t="n">
        <f aca="false">SUMIFS(Sales_Data!$M$2:$M$3520,Sales_Data!$H$2:$H$3520,$B$3,Sales_Data!$C$2:$C$3520,$A74,Sales_Data!$AE$2:$AE$3520,1)</f>
        <v>3</v>
      </c>
      <c r="D74" s="26" t="n">
        <f aca="false">SUMIFS(Sales_Data!$N$2:$N$3520,Sales_Data!$H$2:$H$3520,$B$3,Sales_Data!$C$2:$C$3520,$A74,Sales_Data!$AE$2:$AE$3520,1)</f>
        <v>2</v>
      </c>
      <c r="E74" s="27" t="n">
        <f aca="false">C74+D74</f>
        <v>5</v>
      </c>
      <c r="F74" s="28" t="n">
        <f aca="false">E74-E73</f>
        <v>4</v>
      </c>
      <c r="G74" s="29" t="n">
        <f aca="false">IF(E73=0,"-",(E74-E73)/E73)</f>
        <v>4</v>
      </c>
      <c r="H74" s="30" t="n">
        <f aca="false">AVERAGE(E68:E74)</f>
        <v>1.71428571428571</v>
      </c>
      <c r="I74" s="29" t="n">
        <f aca="false">IF(E67=0,"-",(E74-E67)/E67)</f>
        <v>-0.375</v>
      </c>
      <c r="J74" s="26" t="n">
        <f aca="false">SUMIFS(Sales_Data!$AF$2:$AF$3520,Sales_Data!$H$2:$H$3520,$B$3,Sales_Data!$C$2:$C$3520,$A74)</f>
        <v>1</v>
      </c>
      <c r="K74" s="81" t="n">
        <f aca="false">IFERROR(J74/$B$5,0)</f>
        <v>0.0555555555555556</v>
      </c>
      <c r="L74" s="31" t="n">
        <f aca="false">IFERROR(E74/$B$5,0)</f>
        <v>0.277777777777778</v>
      </c>
      <c r="M74" s="26" t="n">
        <f aca="false">SUMIFS(Sales_Data!$O$2:$O$3520,Sales_Data!$C$2:$C$3520,$A74,Sales_Data!$AE$2:$AE$3520,1)</f>
        <v>85</v>
      </c>
      <c r="N74" s="32" t="n">
        <f aca="false">IFERROR(E74/M74,0)</f>
        <v>0.0588235294117647</v>
      </c>
    </row>
    <row r="75" customFormat="false" ht="15" hidden="false" customHeight="false" outlineLevel="0" collapsed="false">
      <c r="A75" s="72" t="n">
        <v>46287</v>
      </c>
      <c r="B75" s="26" t="n">
        <f aca="false">SUMIFS(Sales_Data!$AE$2:$AE$3520,Sales_Data!$H$2:$H$3520,$B$3,Sales_Data!$C$2:$C$3520,$A75)</f>
        <v>2</v>
      </c>
      <c r="C75" s="26" t="n">
        <f aca="false">SUMIFS(Sales_Data!$M$2:$M$3520,Sales_Data!$H$2:$H$3520,$B$3,Sales_Data!$C$2:$C$3520,$A75,Sales_Data!$AE$2:$AE$3520,1)</f>
        <v>1</v>
      </c>
      <c r="D75" s="26" t="n">
        <f aca="false">SUMIFS(Sales_Data!$N$2:$N$3520,Sales_Data!$H$2:$H$3520,$B$3,Sales_Data!$C$2:$C$3520,$A75,Sales_Data!$AE$2:$AE$3520,1)</f>
        <v>1</v>
      </c>
      <c r="E75" s="27" t="n">
        <f aca="false">C75+D75</f>
        <v>2</v>
      </c>
      <c r="F75" s="28" t="n">
        <f aca="false">E75-E74</f>
        <v>-3</v>
      </c>
      <c r="G75" s="29" t="n">
        <f aca="false">IF(E74=0,"-",(E75-E74)/E74)</f>
        <v>-0.6</v>
      </c>
      <c r="H75" s="30" t="n">
        <f aca="false">AVERAGE(E69:E75)</f>
        <v>1.71428571428571</v>
      </c>
      <c r="I75" s="29" t="n">
        <f aca="false">IF(E68=0,"-",(E75-E68)/E68)</f>
        <v>0</v>
      </c>
      <c r="J75" s="26" t="n">
        <f aca="false">SUMIFS(Sales_Data!$AF$2:$AF$3520,Sales_Data!$H$2:$H$3520,$B$3,Sales_Data!$C$2:$C$3520,$A75)</f>
        <v>1</v>
      </c>
      <c r="K75" s="81" t="n">
        <f aca="false">IFERROR(J75/$B$5,0)</f>
        <v>0.0555555555555556</v>
      </c>
      <c r="L75" s="31" t="n">
        <f aca="false">IFERROR(E75/$B$5,0)</f>
        <v>0.111111111111111</v>
      </c>
      <c r="M75" s="26" t="n">
        <f aca="false">SUMIFS(Sales_Data!$O$2:$O$3520,Sales_Data!$C$2:$C$3520,$A75,Sales_Data!$AE$2:$AE$3520,1)</f>
        <v>77</v>
      </c>
      <c r="N75" s="32" t="n">
        <f aca="false">IFERROR(E75/M75,0)</f>
        <v>0.025974025974026</v>
      </c>
    </row>
    <row r="76" customFormat="false" ht="15" hidden="false" customHeight="false" outlineLevel="0" collapsed="false">
      <c r="A76" s="72" t="n">
        <v>46288</v>
      </c>
      <c r="B76" s="26" t="n">
        <f aca="false">SUMIFS(Sales_Data!$AE$2:$AE$3520,Sales_Data!$H$2:$H$3520,$B$3,Sales_Data!$C$2:$C$3520,$A76)</f>
        <v>0</v>
      </c>
      <c r="C76" s="26" t="n">
        <f aca="false">SUMIFS(Sales_Data!$M$2:$M$3520,Sales_Data!$H$2:$H$3520,$B$3,Sales_Data!$C$2:$C$3520,$A76,Sales_Data!$AE$2:$AE$3520,1)</f>
        <v>0</v>
      </c>
      <c r="D76" s="26" t="n">
        <f aca="false">SUMIFS(Sales_Data!$N$2:$N$3520,Sales_Data!$H$2:$H$3520,$B$3,Sales_Data!$C$2:$C$3520,$A76,Sales_Data!$AE$2:$AE$3520,1)</f>
        <v>0</v>
      </c>
      <c r="E76" s="27" t="n">
        <f aca="false">C76+D76</f>
        <v>0</v>
      </c>
      <c r="F76" s="28" t="n">
        <f aca="false">E76-E75</f>
        <v>-2</v>
      </c>
      <c r="G76" s="29" t="n">
        <f aca="false">IF(E75=0,"-",(E76-E75)/E75)</f>
        <v>-1</v>
      </c>
      <c r="H76" s="30" t="n">
        <f aca="false">AVERAGE(E70:E76)</f>
        <v>1.71428571428571</v>
      </c>
      <c r="I76" s="29" t="str">
        <f aca="false">IF(E69=0,"-",(E76-E69)/E69)</f>
        <v>-</v>
      </c>
      <c r="J76" s="26" t="n">
        <f aca="false">SUMIFS(Sales_Data!$AF$2:$AF$3520,Sales_Data!$H$2:$H$3520,$B$3,Sales_Data!$C$2:$C$3520,$A76)</f>
        <v>0</v>
      </c>
      <c r="K76" s="81" t="n">
        <f aca="false">IFERROR(J76/$B$5,0)</f>
        <v>0</v>
      </c>
      <c r="L76" s="31" t="n">
        <f aca="false">IFERROR(E76/$B$5,0)</f>
        <v>0</v>
      </c>
      <c r="M76" s="26" t="n">
        <f aca="false">SUMIFS(Sales_Data!$O$2:$O$3520,Sales_Data!$C$2:$C$3520,$A76,Sales_Data!$AE$2:$AE$3520,1)</f>
        <v>65</v>
      </c>
      <c r="N76" s="32" t="n">
        <f aca="false">IFERROR(E76/M76,0)</f>
        <v>0</v>
      </c>
    </row>
    <row r="77" customFormat="false" ht="15" hidden="false" customHeight="false" outlineLevel="0" collapsed="false">
      <c r="A77" s="72" t="n">
        <v>46289</v>
      </c>
      <c r="B77" s="26" t="n">
        <f aca="false">SUMIFS(Sales_Data!$AE$2:$AE$3520,Sales_Data!$H$2:$H$3520,$B$3,Sales_Data!$C$2:$C$3520,$A77)</f>
        <v>0</v>
      </c>
      <c r="C77" s="26" t="n">
        <f aca="false">SUMIFS(Sales_Data!$M$2:$M$3520,Sales_Data!$H$2:$H$3520,$B$3,Sales_Data!$C$2:$C$3520,$A77,Sales_Data!$AE$2:$AE$3520,1)</f>
        <v>0</v>
      </c>
      <c r="D77" s="26" t="n">
        <f aca="false">SUMIFS(Sales_Data!$N$2:$N$3520,Sales_Data!$H$2:$H$3520,$B$3,Sales_Data!$C$2:$C$3520,$A77,Sales_Data!$AE$2:$AE$3520,1)</f>
        <v>0</v>
      </c>
      <c r="E77" s="27" t="n">
        <f aca="false">C77+D77</f>
        <v>0</v>
      </c>
      <c r="F77" s="28" t="n">
        <f aca="false">E77-E76</f>
        <v>0</v>
      </c>
      <c r="G77" s="29" t="str">
        <f aca="false">IF(E76=0,"-",(E77-E76)/E76)</f>
        <v>-</v>
      </c>
      <c r="H77" s="30" t="n">
        <f aca="false">AVERAGE(E71:E77)</f>
        <v>1.57142857142857</v>
      </c>
      <c r="I77" s="29" t="n">
        <f aca="false">IF(E70=0,"-",(E77-E70)/E70)</f>
        <v>-1</v>
      </c>
      <c r="J77" s="26" t="n">
        <f aca="false">SUMIFS(Sales_Data!$AF$2:$AF$3520,Sales_Data!$H$2:$H$3520,$B$3,Sales_Data!$C$2:$C$3520,$A77)</f>
        <v>0</v>
      </c>
      <c r="K77" s="81" t="n">
        <f aca="false">IFERROR(J77/$B$5,0)</f>
        <v>0</v>
      </c>
      <c r="L77" s="31" t="n">
        <f aca="false">IFERROR(E77/$B$5,0)</f>
        <v>0</v>
      </c>
      <c r="M77" s="26" t="n">
        <f aca="false">SUMIFS(Sales_Data!$O$2:$O$3520,Sales_Data!$C$2:$C$3520,$A77,Sales_Data!$AE$2:$AE$3520,1)</f>
        <v>83</v>
      </c>
      <c r="N77" s="32" t="n">
        <f aca="false">IFERROR(E77/M77,0)</f>
        <v>0</v>
      </c>
    </row>
    <row r="78" customFormat="false" ht="15" hidden="false" customHeight="false" outlineLevel="0" collapsed="false">
      <c r="A78" s="72" t="n">
        <v>46290</v>
      </c>
      <c r="B78" s="26" t="n">
        <f aca="false">SUMIFS(Sales_Data!$AE$2:$AE$3520,Sales_Data!$H$2:$H$3520,$B$3,Sales_Data!$C$2:$C$3520,$A78)</f>
        <v>0</v>
      </c>
      <c r="C78" s="26" t="n">
        <f aca="false">SUMIFS(Sales_Data!$M$2:$M$3520,Sales_Data!$H$2:$H$3520,$B$3,Sales_Data!$C$2:$C$3520,$A78,Sales_Data!$AE$2:$AE$3520,1)</f>
        <v>0</v>
      </c>
      <c r="D78" s="26" t="n">
        <f aca="false">SUMIFS(Sales_Data!$N$2:$N$3520,Sales_Data!$H$2:$H$3520,$B$3,Sales_Data!$C$2:$C$3520,$A78,Sales_Data!$AE$2:$AE$3520,1)</f>
        <v>0</v>
      </c>
      <c r="E78" s="27" t="n">
        <f aca="false">C78+D78</f>
        <v>0</v>
      </c>
      <c r="F78" s="28" t="n">
        <f aca="false">E78-E77</f>
        <v>0</v>
      </c>
      <c r="G78" s="29" t="str">
        <f aca="false">IF(E77=0,"-",(E78-E77)/E77)</f>
        <v>-</v>
      </c>
      <c r="H78" s="30" t="n">
        <f aca="false">AVERAGE(E72:E78)</f>
        <v>1.28571428571429</v>
      </c>
      <c r="I78" s="29" t="n">
        <f aca="false">IF(E71=0,"-",(E78-E71)/E71)</f>
        <v>-1</v>
      </c>
      <c r="J78" s="26" t="n">
        <f aca="false">SUMIFS(Sales_Data!$AF$2:$AF$3520,Sales_Data!$H$2:$H$3520,$B$3,Sales_Data!$C$2:$C$3520,$A78)</f>
        <v>0</v>
      </c>
      <c r="K78" s="81" t="n">
        <f aca="false">IFERROR(J78/$B$5,0)</f>
        <v>0</v>
      </c>
      <c r="L78" s="31" t="n">
        <f aca="false">IFERROR(E78/$B$5,0)</f>
        <v>0</v>
      </c>
      <c r="M78" s="26" t="n">
        <f aca="false">SUMIFS(Sales_Data!$O$2:$O$3520,Sales_Data!$C$2:$C$3520,$A78,Sales_Data!$AE$2:$AE$3520,1)</f>
        <v>69</v>
      </c>
      <c r="N78" s="32" t="n">
        <f aca="false">IFERROR(E78/M78,0)</f>
        <v>0</v>
      </c>
    </row>
    <row r="79" customFormat="false" ht="15" hidden="false" customHeight="false" outlineLevel="0" collapsed="false">
      <c r="A79" s="72" t="n">
        <v>46291</v>
      </c>
      <c r="B79" s="26" t="n">
        <f aca="false">SUMIFS(Sales_Data!$AE$2:$AE$3520,Sales_Data!$H$2:$H$3520,$B$3,Sales_Data!$C$2:$C$3520,$A79)</f>
        <v>2</v>
      </c>
      <c r="C79" s="26" t="n">
        <f aca="false">SUMIFS(Sales_Data!$M$2:$M$3520,Sales_Data!$H$2:$H$3520,$B$3,Sales_Data!$C$2:$C$3520,$A79,Sales_Data!$AE$2:$AE$3520,1)</f>
        <v>3</v>
      </c>
      <c r="D79" s="26" t="n">
        <f aca="false">SUMIFS(Sales_Data!$N$2:$N$3520,Sales_Data!$H$2:$H$3520,$B$3,Sales_Data!$C$2:$C$3520,$A79,Sales_Data!$AE$2:$AE$3520,1)</f>
        <v>0</v>
      </c>
      <c r="E79" s="27" t="n">
        <f aca="false">C79+D79</f>
        <v>3</v>
      </c>
      <c r="F79" s="28" t="n">
        <f aca="false">E79-E78</f>
        <v>3</v>
      </c>
      <c r="G79" s="29" t="str">
        <f aca="false">IF(E78=0,"-",(E79-E78)/E78)</f>
        <v>-</v>
      </c>
      <c r="H79" s="30" t="n">
        <f aca="false">AVERAGE(E73:E79)</f>
        <v>1.57142857142857</v>
      </c>
      <c r="I79" s="29" t="n">
        <f aca="false">IF(E72=0,"-",(E79-E72)/E72)</f>
        <v>2</v>
      </c>
      <c r="J79" s="26" t="n">
        <f aca="false">SUMIFS(Sales_Data!$AF$2:$AF$3520,Sales_Data!$H$2:$H$3520,$B$3,Sales_Data!$C$2:$C$3520,$A79)</f>
        <v>1</v>
      </c>
      <c r="K79" s="81" t="n">
        <f aca="false">IFERROR(J79/$B$5,0)</f>
        <v>0.0555555555555556</v>
      </c>
      <c r="L79" s="31" t="n">
        <f aca="false">IFERROR(E79/$B$5,0)</f>
        <v>0.166666666666667</v>
      </c>
      <c r="M79" s="26" t="n">
        <f aca="false">SUMIFS(Sales_Data!$O$2:$O$3520,Sales_Data!$C$2:$C$3520,$A79,Sales_Data!$AE$2:$AE$3520,1)</f>
        <v>61</v>
      </c>
      <c r="N79" s="32" t="n">
        <f aca="false">IFERROR(E79/M79,0)</f>
        <v>0.0491803278688525</v>
      </c>
    </row>
    <row r="80" customFormat="false" ht="15" hidden="false" customHeight="false" outlineLevel="0" collapsed="false">
      <c r="A80" s="72" t="n">
        <v>46292</v>
      </c>
      <c r="B80" s="26" t="n">
        <f aca="false">SUMIFS(Sales_Data!$AE$2:$AE$3520,Sales_Data!$H$2:$H$3520,$B$3,Sales_Data!$C$2:$C$3520,$A80)</f>
        <v>0</v>
      </c>
      <c r="C80" s="26" t="n">
        <f aca="false">SUMIFS(Sales_Data!$M$2:$M$3520,Sales_Data!$H$2:$H$3520,$B$3,Sales_Data!$C$2:$C$3520,$A80,Sales_Data!$AE$2:$AE$3520,1)</f>
        <v>0</v>
      </c>
      <c r="D80" s="26" t="n">
        <f aca="false">SUMIFS(Sales_Data!$N$2:$N$3520,Sales_Data!$H$2:$H$3520,$B$3,Sales_Data!$C$2:$C$3520,$A80,Sales_Data!$AE$2:$AE$3520,1)</f>
        <v>0</v>
      </c>
      <c r="E80" s="27" t="n">
        <f aca="false">C80+D80</f>
        <v>0</v>
      </c>
      <c r="F80" s="28" t="n">
        <f aca="false">E80-E79</f>
        <v>-3</v>
      </c>
      <c r="G80" s="29" t="n">
        <f aca="false">IF(E79=0,"-",(E80-E79)/E79)</f>
        <v>-1</v>
      </c>
      <c r="H80" s="30" t="n">
        <f aca="false">AVERAGE(E74:E80)</f>
        <v>1.42857142857143</v>
      </c>
      <c r="I80" s="29" t="n">
        <f aca="false">IF(E73=0,"-",(E80-E73)/E73)</f>
        <v>-1</v>
      </c>
      <c r="J80" s="26" t="n">
        <f aca="false">SUMIFS(Sales_Data!$AF$2:$AF$3520,Sales_Data!$H$2:$H$3520,$B$3,Sales_Data!$C$2:$C$3520,$A80)</f>
        <v>0</v>
      </c>
      <c r="K80" s="81" t="n">
        <f aca="false">IFERROR(J80/$B$5,0)</f>
        <v>0</v>
      </c>
      <c r="L80" s="31" t="n">
        <f aca="false">IFERROR(E80/$B$5,0)</f>
        <v>0</v>
      </c>
      <c r="M80" s="26" t="n">
        <f aca="false">SUMIFS(Sales_Data!$O$2:$O$3520,Sales_Data!$C$2:$C$3520,$A80,Sales_Data!$AE$2:$AE$3520,1)</f>
        <v>51</v>
      </c>
      <c r="N80" s="32" t="n">
        <f aca="false">IFERROR(E80/M80,0)</f>
        <v>0</v>
      </c>
    </row>
    <row r="81" customFormat="false" ht="15" hidden="false" customHeight="false" outlineLevel="0" collapsed="false">
      <c r="A81" s="72" t="n">
        <v>46293</v>
      </c>
      <c r="B81" s="26" t="n">
        <f aca="false">SUMIFS(Sales_Data!$AE$2:$AE$3520,Sales_Data!$H$2:$H$3520,$B$3,Sales_Data!$C$2:$C$3520,$A81)</f>
        <v>0</v>
      </c>
      <c r="C81" s="26" t="n">
        <f aca="false">SUMIFS(Sales_Data!$M$2:$M$3520,Sales_Data!$H$2:$H$3520,$B$3,Sales_Data!$C$2:$C$3520,$A81,Sales_Data!$AE$2:$AE$3520,1)</f>
        <v>0</v>
      </c>
      <c r="D81" s="26" t="n">
        <f aca="false">SUMIFS(Sales_Data!$N$2:$N$3520,Sales_Data!$H$2:$H$3520,$B$3,Sales_Data!$C$2:$C$3520,$A81,Sales_Data!$AE$2:$AE$3520,1)</f>
        <v>0</v>
      </c>
      <c r="E81" s="27" t="n">
        <f aca="false">C81+D81</f>
        <v>0</v>
      </c>
      <c r="F81" s="28" t="n">
        <f aca="false">E81-E80</f>
        <v>0</v>
      </c>
      <c r="G81" s="29" t="str">
        <f aca="false">IF(E80=0,"-",(E81-E80)/E80)</f>
        <v>-</v>
      </c>
      <c r="H81" s="30" t="n">
        <f aca="false">AVERAGE(E75:E81)</f>
        <v>0.714285714285714</v>
      </c>
      <c r="I81" s="29" t="n">
        <f aca="false">IF(E74=0,"-",(E81-E74)/E74)</f>
        <v>-1</v>
      </c>
      <c r="J81" s="26" t="n">
        <f aca="false">SUMIFS(Sales_Data!$AF$2:$AF$3520,Sales_Data!$H$2:$H$3520,$B$3,Sales_Data!$C$2:$C$3520,$A81)</f>
        <v>0</v>
      </c>
      <c r="K81" s="81" t="n">
        <f aca="false">IFERROR(J81/$B$5,0)</f>
        <v>0</v>
      </c>
      <c r="L81" s="31" t="n">
        <f aca="false">IFERROR(E81/$B$5,0)</f>
        <v>0</v>
      </c>
      <c r="M81" s="26" t="n">
        <f aca="false">SUMIFS(Sales_Data!$O$2:$O$3520,Sales_Data!$C$2:$C$3520,$A81,Sales_Data!$AE$2:$AE$3520,1)</f>
        <v>72</v>
      </c>
      <c r="N81" s="32" t="n">
        <f aca="false">IFERROR(E81/M81,0)</f>
        <v>0</v>
      </c>
    </row>
    <row r="82" customFormat="false" ht="15" hidden="false" customHeight="false" outlineLevel="0" collapsed="false">
      <c r="A82" s="72" t="n">
        <v>46294</v>
      </c>
      <c r="B82" s="26" t="n">
        <f aca="false">SUMIFS(Sales_Data!$AE$2:$AE$3520,Sales_Data!$H$2:$H$3520,$B$3,Sales_Data!$C$2:$C$3520,$A82)</f>
        <v>12</v>
      </c>
      <c r="C82" s="26" t="n">
        <f aca="false">SUMIFS(Sales_Data!$M$2:$M$3520,Sales_Data!$H$2:$H$3520,$B$3,Sales_Data!$C$2:$C$3520,$A82,Sales_Data!$AE$2:$AE$3520,1)</f>
        <v>6</v>
      </c>
      <c r="D82" s="26" t="n">
        <f aca="false">SUMIFS(Sales_Data!$N$2:$N$3520,Sales_Data!$H$2:$H$3520,$B$3,Sales_Data!$C$2:$C$3520,$A82,Sales_Data!$AE$2:$AE$3520,1)</f>
        <v>11</v>
      </c>
      <c r="E82" s="27" t="n">
        <f aca="false">C82+D82</f>
        <v>17</v>
      </c>
      <c r="F82" s="28" t="n">
        <f aca="false">E82-E81</f>
        <v>17</v>
      </c>
      <c r="G82" s="29" t="str">
        <f aca="false">IF(E81=0,"-",(E82-E81)/E81)</f>
        <v>-</v>
      </c>
      <c r="H82" s="30" t="n">
        <f aca="false">AVERAGE(E76:E82)</f>
        <v>2.85714285714286</v>
      </c>
      <c r="I82" s="29" t="n">
        <f aca="false">IF(E75=0,"-",(E82-E75)/E75)</f>
        <v>7.5</v>
      </c>
      <c r="J82" s="26" t="n">
        <f aca="false">SUMIFS(Sales_Data!$AF$2:$AF$3520,Sales_Data!$H$2:$H$3520,$B$3,Sales_Data!$C$2:$C$3520,$A82)</f>
        <v>7</v>
      </c>
      <c r="K82" s="81" t="n">
        <f aca="false">IFERROR(J82/$B$5,0)</f>
        <v>0.388888888888889</v>
      </c>
      <c r="L82" s="31" t="n">
        <f aca="false">IFERROR(E82/$B$5,0)</f>
        <v>0.944444444444444</v>
      </c>
      <c r="M82" s="26" t="n">
        <f aca="false">SUMIFS(Sales_Data!$O$2:$O$3520,Sales_Data!$C$2:$C$3520,$A82,Sales_Data!$AE$2:$AE$3520,1)</f>
        <v>79</v>
      </c>
      <c r="N82" s="32" t="n">
        <f aca="false">IFERROR(E82/M82,0)</f>
        <v>0.215189873417722</v>
      </c>
    </row>
    <row r="83" customFormat="false" ht="15" hidden="false" customHeight="false" outlineLevel="0" collapsed="false">
      <c r="A83" s="72" t="n">
        <v>46295</v>
      </c>
      <c r="B83" s="26" t="n">
        <f aca="false">SUMIFS(Sales_Data!$AE$2:$AE$3520,Sales_Data!$H$2:$H$3520,$B$3,Sales_Data!$C$2:$C$3520,$A83)</f>
        <v>6</v>
      </c>
      <c r="C83" s="26" t="n">
        <f aca="false">SUMIFS(Sales_Data!$M$2:$M$3520,Sales_Data!$H$2:$H$3520,$B$3,Sales_Data!$C$2:$C$3520,$A83,Sales_Data!$AE$2:$AE$3520,1)</f>
        <v>3</v>
      </c>
      <c r="D83" s="26" t="n">
        <f aca="false">SUMIFS(Sales_Data!$N$2:$N$3520,Sales_Data!$H$2:$H$3520,$B$3,Sales_Data!$C$2:$C$3520,$A83,Sales_Data!$AE$2:$AE$3520,1)</f>
        <v>5</v>
      </c>
      <c r="E83" s="27" t="n">
        <f aca="false">C83+D83</f>
        <v>8</v>
      </c>
      <c r="F83" s="28" t="n">
        <f aca="false">E83-E82</f>
        <v>-9</v>
      </c>
      <c r="G83" s="29" t="n">
        <f aca="false">IF(E82=0,"-",(E83-E82)/E82)</f>
        <v>-0.529411764705882</v>
      </c>
      <c r="H83" s="30" t="n">
        <f aca="false">AVERAGE(E77:E83)</f>
        <v>4</v>
      </c>
      <c r="I83" s="29" t="str">
        <f aca="false">IF(E76=0,"-",(E83-E76)/E76)</f>
        <v>-</v>
      </c>
      <c r="J83" s="26" t="n">
        <f aca="false">SUMIFS(Sales_Data!$AF$2:$AF$3520,Sales_Data!$H$2:$H$3520,$B$3,Sales_Data!$C$2:$C$3520,$A83)</f>
        <v>4</v>
      </c>
      <c r="K83" s="81" t="n">
        <f aca="false">IFERROR(J83/$B$5,0)</f>
        <v>0.222222222222222</v>
      </c>
      <c r="L83" s="31" t="n">
        <f aca="false">IFERROR(E83/$B$5,0)</f>
        <v>0.444444444444444</v>
      </c>
      <c r="M83" s="26" t="n">
        <f aca="false">SUMIFS(Sales_Data!$O$2:$O$3520,Sales_Data!$C$2:$C$3520,$A83,Sales_Data!$AE$2:$AE$3520,1)</f>
        <v>71</v>
      </c>
      <c r="N83" s="32" t="n">
        <f aca="false">IFERROR(E83/M83,0)</f>
        <v>0.112676056338028</v>
      </c>
    </row>
    <row r="84" customFormat="false" ht="15" hidden="false" customHeight="false" outlineLevel="0" collapsed="false">
      <c r="A84" s="72" t="n">
        <v>46296</v>
      </c>
      <c r="B84" s="26" t="n">
        <f aca="false">SUMIFS(Sales_Data!$AE$2:$AE$3520,Sales_Data!$H$2:$H$3520,$B$3,Sales_Data!$C$2:$C$3520,$A84)</f>
        <v>0</v>
      </c>
      <c r="C84" s="26" t="n">
        <f aca="false">SUMIFS(Sales_Data!$M$2:$M$3520,Sales_Data!$H$2:$H$3520,$B$3,Sales_Data!$C$2:$C$3520,$A84,Sales_Data!$AE$2:$AE$3520,1)</f>
        <v>0</v>
      </c>
      <c r="D84" s="26" t="n">
        <f aca="false">SUMIFS(Sales_Data!$N$2:$N$3520,Sales_Data!$H$2:$H$3520,$B$3,Sales_Data!$C$2:$C$3520,$A84,Sales_Data!$AE$2:$AE$3520,1)</f>
        <v>0</v>
      </c>
      <c r="E84" s="27" t="n">
        <f aca="false">C84+D84</f>
        <v>0</v>
      </c>
      <c r="F84" s="28" t="n">
        <f aca="false">E84-E83</f>
        <v>-8</v>
      </c>
      <c r="G84" s="29" t="n">
        <f aca="false">IF(E83=0,"-",(E84-E83)/E83)</f>
        <v>-1</v>
      </c>
      <c r="H84" s="30" t="n">
        <f aca="false">AVERAGE(E78:E84)</f>
        <v>4</v>
      </c>
      <c r="I84" s="29" t="str">
        <f aca="false">IF(E77=0,"-",(E84-E77)/E77)</f>
        <v>-</v>
      </c>
      <c r="J84" s="26" t="n">
        <f aca="false">SUMIFS(Sales_Data!$AF$2:$AF$3520,Sales_Data!$H$2:$H$3520,$B$3,Sales_Data!$C$2:$C$3520,$A84)</f>
        <v>0</v>
      </c>
      <c r="K84" s="81" t="n">
        <f aca="false">IFERROR(J84/$B$5,0)</f>
        <v>0</v>
      </c>
      <c r="L84" s="31" t="n">
        <f aca="false">IFERROR(E84/$B$5,0)</f>
        <v>0</v>
      </c>
      <c r="M84" s="26" t="n">
        <f aca="false">SUMIFS(Sales_Data!$O$2:$O$3520,Sales_Data!$C$2:$C$3520,$A84,Sales_Data!$AE$2:$AE$3520,1)</f>
        <v>52</v>
      </c>
      <c r="N84" s="32" t="n">
        <f aca="false">IFERROR(E84/M84,0)</f>
        <v>0</v>
      </c>
    </row>
    <row r="85" customFormat="false" ht="15" hidden="false" customHeight="false" outlineLevel="0" collapsed="false">
      <c r="A85" s="72" t="n">
        <v>46297</v>
      </c>
      <c r="B85" s="26" t="n">
        <f aca="false">SUMIFS(Sales_Data!$AE$2:$AE$3520,Sales_Data!$H$2:$H$3520,$B$3,Sales_Data!$C$2:$C$3520,$A85)</f>
        <v>7</v>
      </c>
      <c r="C85" s="26" t="n">
        <f aca="false">SUMIFS(Sales_Data!$M$2:$M$3520,Sales_Data!$H$2:$H$3520,$B$3,Sales_Data!$C$2:$C$3520,$A85,Sales_Data!$AE$2:$AE$3520,1)</f>
        <v>0</v>
      </c>
      <c r="D85" s="26" t="n">
        <f aca="false">SUMIFS(Sales_Data!$N$2:$N$3520,Sales_Data!$H$2:$H$3520,$B$3,Sales_Data!$C$2:$C$3520,$A85,Sales_Data!$AE$2:$AE$3520,1)</f>
        <v>9</v>
      </c>
      <c r="E85" s="27" t="n">
        <f aca="false">C85+D85</f>
        <v>9</v>
      </c>
      <c r="F85" s="28" t="n">
        <f aca="false">E85-E84</f>
        <v>9</v>
      </c>
      <c r="G85" s="29" t="str">
        <f aca="false">IF(E84=0,"-",(E85-E84)/E84)</f>
        <v>-</v>
      </c>
      <c r="H85" s="30" t="n">
        <f aca="false">AVERAGE(E79:E85)</f>
        <v>5.28571428571429</v>
      </c>
      <c r="I85" s="29" t="str">
        <f aca="false">IF(E78=0,"-",(E85-E78)/E78)</f>
        <v>-</v>
      </c>
      <c r="J85" s="26" t="n">
        <f aca="false">SUMIFS(Sales_Data!$AF$2:$AF$3520,Sales_Data!$H$2:$H$3520,$B$3,Sales_Data!$C$2:$C$3520,$A85)</f>
        <v>6</v>
      </c>
      <c r="K85" s="81" t="n">
        <f aca="false">IFERROR(J85/$B$5,0)</f>
        <v>0.333333333333333</v>
      </c>
      <c r="L85" s="31" t="n">
        <f aca="false">IFERROR(E85/$B$5,0)</f>
        <v>0.5</v>
      </c>
      <c r="M85" s="26" t="n">
        <f aca="false">SUMIFS(Sales_Data!$O$2:$O$3520,Sales_Data!$C$2:$C$3520,$A85,Sales_Data!$AE$2:$AE$3520,1)</f>
        <v>59</v>
      </c>
      <c r="N85" s="32" t="n">
        <f aca="false">IFERROR(E85/M85,0)</f>
        <v>0.152542372881356</v>
      </c>
    </row>
    <row r="86" customFormat="false" ht="15" hidden="false" customHeight="false" outlineLevel="0" collapsed="false">
      <c r="A86" s="72" t="n">
        <v>46298</v>
      </c>
      <c r="B86" s="26" t="n">
        <f aca="false">SUMIFS(Sales_Data!$AE$2:$AE$3520,Sales_Data!$H$2:$H$3520,$B$3,Sales_Data!$C$2:$C$3520,$A86)</f>
        <v>0</v>
      </c>
      <c r="C86" s="26" t="n">
        <f aca="false">SUMIFS(Sales_Data!$M$2:$M$3520,Sales_Data!$H$2:$H$3520,$B$3,Sales_Data!$C$2:$C$3520,$A86,Sales_Data!$AE$2:$AE$3520,1)</f>
        <v>0</v>
      </c>
      <c r="D86" s="26" t="n">
        <f aca="false">SUMIFS(Sales_Data!$N$2:$N$3520,Sales_Data!$H$2:$H$3520,$B$3,Sales_Data!$C$2:$C$3520,$A86,Sales_Data!$AE$2:$AE$3520,1)</f>
        <v>0</v>
      </c>
      <c r="E86" s="27" t="n">
        <f aca="false">C86+D86</f>
        <v>0</v>
      </c>
      <c r="F86" s="28" t="n">
        <f aca="false">E86-E85</f>
        <v>-9</v>
      </c>
      <c r="G86" s="29" t="n">
        <f aca="false">IF(E85=0,"-",(E86-E85)/E85)</f>
        <v>-1</v>
      </c>
      <c r="H86" s="30" t="n">
        <f aca="false">AVERAGE(E80:E86)</f>
        <v>4.85714285714286</v>
      </c>
      <c r="I86" s="29" t="n">
        <f aca="false">IF(E79=0,"-",(E86-E79)/E79)</f>
        <v>-1</v>
      </c>
      <c r="J86" s="26" t="n">
        <f aca="false">SUMIFS(Sales_Data!$AF$2:$AF$3520,Sales_Data!$H$2:$H$3520,$B$3,Sales_Data!$C$2:$C$3520,$A86)</f>
        <v>0</v>
      </c>
      <c r="K86" s="81" t="n">
        <f aca="false">IFERROR(J86/$B$5,0)</f>
        <v>0</v>
      </c>
      <c r="L86" s="31" t="n">
        <f aca="false">IFERROR(E86/$B$5,0)</f>
        <v>0</v>
      </c>
      <c r="M86" s="26" t="n">
        <f aca="false">SUMIFS(Sales_Data!$O$2:$O$3520,Sales_Data!$C$2:$C$3520,$A86,Sales_Data!$AE$2:$AE$3520,1)</f>
        <v>87</v>
      </c>
      <c r="N86" s="32" t="n">
        <f aca="false">IFERROR(E86/M86,0)</f>
        <v>0</v>
      </c>
    </row>
    <row r="87" customFormat="false" ht="15" hidden="false" customHeight="false" outlineLevel="0" collapsed="false">
      <c r="A87" s="72" t="n">
        <v>46299</v>
      </c>
      <c r="B87" s="26" t="n">
        <f aca="false">SUMIFS(Sales_Data!$AE$2:$AE$3520,Sales_Data!$H$2:$H$3520,$B$3,Sales_Data!$C$2:$C$3520,$A87)</f>
        <v>5</v>
      </c>
      <c r="C87" s="26" t="n">
        <f aca="false">SUMIFS(Sales_Data!$M$2:$M$3520,Sales_Data!$H$2:$H$3520,$B$3,Sales_Data!$C$2:$C$3520,$A87,Sales_Data!$AE$2:$AE$3520,1)</f>
        <v>1</v>
      </c>
      <c r="D87" s="26" t="n">
        <f aca="false">SUMIFS(Sales_Data!$N$2:$N$3520,Sales_Data!$H$2:$H$3520,$B$3,Sales_Data!$C$2:$C$3520,$A87,Sales_Data!$AE$2:$AE$3520,1)</f>
        <v>4</v>
      </c>
      <c r="E87" s="27" t="n">
        <f aca="false">C87+D87</f>
        <v>5</v>
      </c>
      <c r="F87" s="28" t="n">
        <f aca="false">E87-E86</f>
        <v>5</v>
      </c>
      <c r="G87" s="29" t="str">
        <f aca="false">IF(E86=0,"-",(E87-E86)/E86)</f>
        <v>-</v>
      </c>
      <c r="H87" s="30" t="n">
        <f aca="false">AVERAGE(E81:E87)</f>
        <v>5.57142857142857</v>
      </c>
      <c r="I87" s="29" t="str">
        <f aca="false">IF(E80=0,"-",(E87-E80)/E80)</f>
        <v>-</v>
      </c>
      <c r="J87" s="26" t="n">
        <f aca="false">SUMIFS(Sales_Data!$AF$2:$AF$3520,Sales_Data!$H$2:$H$3520,$B$3,Sales_Data!$C$2:$C$3520,$A87)</f>
        <v>2</v>
      </c>
      <c r="K87" s="81" t="n">
        <f aca="false">IFERROR(J87/$B$5,0)</f>
        <v>0.111111111111111</v>
      </c>
      <c r="L87" s="31" t="n">
        <f aca="false">IFERROR(E87/$B$5,0)</f>
        <v>0.277777777777778</v>
      </c>
      <c r="M87" s="26" t="n">
        <f aca="false">SUMIFS(Sales_Data!$O$2:$O$3520,Sales_Data!$C$2:$C$3520,$A87,Sales_Data!$AE$2:$AE$3520,1)</f>
        <v>49</v>
      </c>
      <c r="N87" s="32" t="n">
        <f aca="false">IFERROR(E87/M87,0)</f>
        <v>0.102040816326531</v>
      </c>
    </row>
    <row r="88" customFormat="false" ht="15" hidden="false" customHeight="false" outlineLevel="0" collapsed="false">
      <c r="A88" s="72" t="n">
        <v>46300</v>
      </c>
      <c r="B88" s="26" t="n">
        <f aca="false">SUMIFS(Sales_Data!$AE$2:$AE$3520,Sales_Data!$H$2:$H$3520,$B$3,Sales_Data!$C$2:$C$3520,$A88)</f>
        <v>6</v>
      </c>
      <c r="C88" s="26" t="n">
        <f aca="false">SUMIFS(Sales_Data!$M$2:$M$3520,Sales_Data!$H$2:$H$3520,$B$3,Sales_Data!$C$2:$C$3520,$A88,Sales_Data!$AE$2:$AE$3520,1)</f>
        <v>0</v>
      </c>
      <c r="D88" s="26" t="n">
        <f aca="false">SUMIFS(Sales_Data!$N$2:$N$3520,Sales_Data!$H$2:$H$3520,$B$3,Sales_Data!$C$2:$C$3520,$A88,Sales_Data!$AE$2:$AE$3520,1)</f>
        <v>7</v>
      </c>
      <c r="E88" s="27" t="n">
        <f aca="false">C88+D88</f>
        <v>7</v>
      </c>
      <c r="F88" s="28" t="n">
        <f aca="false">E88-E87</f>
        <v>2</v>
      </c>
      <c r="G88" s="29" t="n">
        <f aca="false">IF(E87=0,"-",(E88-E87)/E87)</f>
        <v>0.4</v>
      </c>
      <c r="H88" s="30" t="n">
        <f aca="false">AVERAGE(E82:E88)</f>
        <v>6.57142857142857</v>
      </c>
      <c r="I88" s="29" t="str">
        <f aca="false">IF(E81=0,"-",(E88-E81)/E81)</f>
        <v>-</v>
      </c>
      <c r="J88" s="26" t="n">
        <f aca="false">SUMIFS(Sales_Data!$AF$2:$AF$3520,Sales_Data!$H$2:$H$3520,$B$3,Sales_Data!$C$2:$C$3520,$A88)</f>
        <v>4</v>
      </c>
      <c r="K88" s="81" t="n">
        <f aca="false">IFERROR(J88/$B$5,0)</f>
        <v>0.222222222222222</v>
      </c>
      <c r="L88" s="31" t="n">
        <f aca="false">IFERROR(E88/$B$5,0)</f>
        <v>0.388888888888889</v>
      </c>
      <c r="M88" s="26" t="n">
        <f aca="false">SUMIFS(Sales_Data!$O$2:$O$3520,Sales_Data!$C$2:$C$3520,$A88,Sales_Data!$AE$2:$AE$3520,1)</f>
        <v>69</v>
      </c>
      <c r="N88" s="32" t="n">
        <f aca="false">IFERROR(E88/M88,0)</f>
        <v>0.101449275362319</v>
      </c>
    </row>
    <row r="89" customFormat="false" ht="15" hidden="false" customHeight="false" outlineLevel="0" collapsed="false">
      <c r="A89" s="72" t="n">
        <v>46301</v>
      </c>
      <c r="B89" s="26" t="n">
        <f aca="false">SUMIFS(Sales_Data!$AE$2:$AE$3520,Sales_Data!$H$2:$H$3520,$B$3,Sales_Data!$C$2:$C$3520,$A89)</f>
        <v>7</v>
      </c>
      <c r="C89" s="26" t="n">
        <f aca="false">SUMIFS(Sales_Data!$M$2:$M$3520,Sales_Data!$H$2:$H$3520,$B$3,Sales_Data!$C$2:$C$3520,$A89,Sales_Data!$AE$2:$AE$3520,1)</f>
        <v>3</v>
      </c>
      <c r="D89" s="26" t="n">
        <f aca="false">SUMIFS(Sales_Data!$N$2:$N$3520,Sales_Data!$H$2:$H$3520,$B$3,Sales_Data!$C$2:$C$3520,$A89,Sales_Data!$AE$2:$AE$3520,1)</f>
        <v>4</v>
      </c>
      <c r="E89" s="27" t="n">
        <f aca="false">C89+D89</f>
        <v>7</v>
      </c>
      <c r="F89" s="28" t="n">
        <f aca="false">E89-E88</f>
        <v>0</v>
      </c>
      <c r="G89" s="29" t="n">
        <f aca="false">IF(E88=0,"-",(E89-E88)/E88)</f>
        <v>0</v>
      </c>
      <c r="H89" s="30" t="n">
        <f aca="false">AVERAGE(E83:E89)</f>
        <v>5.14285714285714</v>
      </c>
      <c r="I89" s="29" t="n">
        <f aca="false">IF(E82=0,"-",(E89-E82)/E82)</f>
        <v>-0.588235294117647</v>
      </c>
      <c r="J89" s="26" t="n">
        <f aca="false">SUMIFS(Sales_Data!$AF$2:$AF$3520,Sales_Data!$H$2:$H$3520,$B$3,Sales_Data!$C$2:$C$3520,$A89)</f>
        <v>6</v>
      </c>
      <c r="K89" s="81" t="n">
        <f aca="false">IFERROR(J89/$B$5,0)</f>
        <v>0.333333333333333</v>
      </c>
      <c r="L89" s="31" t="n">
        <f aca="false">IFERROR(E89/$B$5,0)</f>
        <v>0.388888888888889</v>
      </c>
      <c r="M89" s="26" t="n">
        <f aca="false">SUMIFS(Sales_Data!$O$2:$O$3520,Sales_Data!$C$2:$C$3520,$A89,Sales_Data!$AE$2:$AE$3520,1)</f>
        <v>53</v>
      </c>
      <c r="N89" s="32" t="n">
        <f aca="false">IFERROR(E89/M89,0)</f>
        <v>0.132075471698113</v>
      </c>
    </row>
    <row r="90" customFormat="false" ht="15" hidden="false" customHeight="false" outlineLevel="0" collapsed="false">
      <c r="A90" s="72" t="n">
        <v>46302</v>
      </c>
      <c r="B90" s="26" t="n">
        <f aca="false">SUMIFS(Sales_Data!$AE$2:$AE$3520,Sales_Data!$H$2:$H$3520,$B$3,Sales_Data!$C$2:$C$3520,$A90)</f>
        <v>21</v>
      </c>
      <c r="C90" s="26" t="n">
        <f aca="false">SUMIFS(Sales_Data!$M$2:$M$3520,Sales_Data!$H$2:$H$3520,$B$3,Sales_Data!$C$2:$C$3520,$A90,Sales_Data!$AE$2:$AE$3520,1)</f>
        <v>4</v>
      </c>
      <c r="D90" s="26" t="n">
        <f aca="false">SUMIFS(Sales_Data!$N$2:$N$3520,Sales_Data!$H$2:$H$3520,$B$3,Sales_Data!$C$2:$C$3520,$A90,Sales_Data!$AE$2:$AE$3520,1)</f>
        <v>19</v>
      </c>
      <c r="E90" s="27" t="n">
        <f aca="false">C90+D90</f>
        <v>23</v>
      </c>
      <c r="F90" s="28" t="n">
        <f aca="false">E90-E89</f>
        <v>16</v>
      </c>
      <c r="G90" s="29" t="n">
        <f aca="false">IF(E89=0,"-",(E90-E89)/E89)</f>
        <v>2.28571428571429</v>
      </c>
      <c r="H90" s="30" t="n">
        <f aca="false">AVERAGE(E84:E90)</f>
        <v>7.28571428571429</v>
      </c>
      <c r="I90" s="29" t="n">
        <f aca="false">IF(E83=0,"-",(E90-E83)/E83)</f>
        <v>1.875</v>
      </c>
      <c r="J90" s="26" t="n">
        <f aca="false">SUMIFS(Sales_Data!$AF$2:$AF$3520,Sales_Data!$H$2:$H$3520,$B$3,Sales_Data!$C$2:$C$3520,$A90)</f>
        <v>10</v>
      </c>
      <c r="K90" s="81" t="n">
        <f aca="false">IFERROR(J90/$B$5,0)</f>
        <v>0.555555555555556</v>
      </c>
      <c r="L90" s="31" t="n">
        <f aca="false">IFERROR(E90/$B$5,0)</f>
        <v>1.27777777777778</v>
      </c>
      <c r="M90" s="26" t="n">
        <f aca="false">SUMIFS(Sales_Data!$O$2:$O$3520,Sales_Data!$C$2:$C$3520,$A90,Sales_Data!$AE$2:$AE$3520,1)</f>
        <v>125</v>
      </c>
      <c r="N90" s="32" t="n">
        <f aca="false">IFERROR(E90/M90,0)</f>
        <v>0.184</v>
      </c>
    </row>
    <row r="91" customFormat="false" ht="15" hidden="false" customHeight="false" outlineLevel="0" collapsed="false">
      <c r="A91" s="72" t="n">
        <v>46303</v>
      </c>
      <c r="B91" s="26" t="n">
        <f aca="false">SUMIFS(Sales_Data!$AE$2:$AE$3520,Sales_Data!$H$2:$H$3520,$B$3,Sales_Data!$C$2:$C$3520,$A91)</f>
        <v>19</v>
      </c>
      <c r="C91" s="26" t="n">
        <f aca="false">SUMIFS(Sales_Data!$M$2:$M$3520,Sales_Data!$H$2:$H$3520,$B$3,Sales_Data!$C$2:$C$3520,$A91,Sales_Data!$AE$2:$AE$3520,1)</f>
        <v>2</v>
      </c>
      <c r="D91" s="26" t="n">
        <f aca="false">SUMIFS(Sales_Data!$N$2:$N$3520,Sales_Data!$H$2:$H$3520,$B$3,Sales_Data!$C$2:$C$3520,$A91,Sales_Data!$AE$2:$AE$3520,1)</f>
        <v>23</v>
      </c>
      <c r="E91" s="27" t="n">
        <f aca="false">C91+D91</f>
        <v>25</v>
      </c>
      <c r="F91" s="28" t="n">
        <f aca="false">E91-E90</f>
        <v>2</v>
      </c>
      <c r="G91" s="29" t="n">
        <f aca="false">IF(E90=0,"-",(E91-E90)/E90)</f>
        <v>0.0869565217391304</v>
      </c>
      <c r="H91" s="30" t="n">
        <f aca="false">AVERAGE(E85:E91)</f>
        <v>10.8571428571429</v>
      </c>
      <c r="I91" s="29" t="str">
        <f aca="false">IF(E84=0,"-",(E91-E84)/E84)</f>
        <v>-</v>
      </c>
      <c r="J91" s="26" t="n">
        <f aca="false">SUMIFS(Sales_Data!$AF$2:$AF$3520,Sales_Data!$H$2:$H$3520,$B$3,Sales_Data!$C$2:$C$3520,$A91)</f>
        <v>12</v>
      </c>
      <c r="K91" s="81" t="n">
        <f aca="false">IFERROR(J91/$B$5,0)</f>
        <v>0.666666666666667</v>
      </c>
      <c r="L91" s="31" t="n">
        <f aca="false">IFERROR(E91/$B$5,0)</f>
        <v>1.38888888888889</v>
      </c>
      <c r="M91" s="26" t="n">
        <f aca="false">SUMIFS(Sales_Data!$O$2:$O$3520,Sales_Data!$C$2:$C$3520,$A91,Sales_Data!$AE$2:$AE$3520,1)</f>
        <v>123</v>
      </c>
      <c r="N91" s="32" t="n">
        <f aca="false">IFERROR(E91/M91,0)</f>
        <v>0.203252032520325</v>
      </c>
    </row>
    <row r="92" customFormat="false" ht="15" hidden="false" customHeight="false" outlineLevel="0" collapsed="false">
      <c r="A92" s="5" t="s">
        <v>6908</v>
      </c>
      <c r="B92" s="35" t="n">
        <f aca="false">SUM(B13:B91)</f>
        <v>117</v>
      </c>
      <c r="C92" s="35" t="n">
        <f aca="false">SUM(C13:C91)</f>
        <v>37</v>
      </c>
      <c r="D92" s="35" t="n">
        <f aca="false">SUM(D13:D91)</f>
        <v>103</v>
      </c>
      <c r="E92" s="35" t="n">
        <f aca="false">SUM(E13:E91)</f>
        <v>140</v>
      </c>
      <c r="F92" s="82"/>
      <c r="G92" s="82"/>
      <c r="H92" s="50" t="n">
        <f aca="false">AVERAGE(E13:E91)</f>
        <v>1.77215189873418</v>
      </c>
      <c r="I92" s="82"/>
      <c r="J92" s="35" t="n">
        <f aca="false">SUM(J13:J91)</f>
        <v>67</v>
      </c>
      <c r="K92" s="83" t="n">
        <f aca="false">IFERROR(AVERAGE(K13:K91),0)</f>
        <v>0.0471167369901547</v>
      </c>
      <c r="L92" s="36" t="n">
        <f aca="false">IFERROR(E92/$B$5,0)</f>
        <v>7.77777777777778</v>
      </c>
      <c r="M92" s="35" t="n">
        <f aca="false">SUM(M13:M91)</f>
        <v>3807</v>
      </c>
      <c r="N92" s="37" t="n">
        <f aca="false">IFERROR(E92/M92,0)</f>
        <v>0.0367743630154978</v>
      </c>
    </row>
  </sheetData>
  <mergeCells count="10">
    <mergeCell ref="A1:N1"/>
    <mergeCell ref="A2:N2"/>
    <mergeCell ref="B3:C3"/>
    <mergeCell ref="B4:C4"/>
    <mergeCell ref="B5:C5"/>
    <mergeCell ref="B6:C6"/>
    <mergeCell ref="B7:C7"/>
    <mergeCell ref="B8:C8"/>
    <mergeCell ref="B9:C9"/>
    <mergeCell ref="B10:C10"/>
  </mergeCells>
  <conditionalFormatting sqref="F13:F91">
    <cfRule type="cellIs" priority="2" operator="greaterThan" aboveAverage="0" equalAverage="0" bottom="0" percent="0" rank="0" text="" dxfId="0">
      <formula>0</formula>
    </cfRule>
    <cfRule type="cellIs" priority="3" operator="lessThan" aboveAverage="0" equalAverage="0" bottom="0" percent="0" rank="0" text="" dxfId="1">
      <formula>0</formula>
    </cfRule>
  </conditionalFormatting>
  <conditionalFormatting sqref="G13:G91">
    <cfRule type="cellIs" priority="4" operator="greaterThan" aboveAverage="0" equalAverage="0" bottom="0" percent="0" rank="0" text="" dxfId="0">
      <formula>0</formula>
    </cfRule>
    <cfRule type="cellIs" priority="5" operator="lessThan" aboveAverage="0" equalAverage="0" bottom="0" percent="0" rank="0" text="" dxfId="1">
      <formula>0</formula>
    </cfRule>
  </conditionalFormatting>
  <conditionalFormatting sqref="I13:I91">
    <cfRule type="cellIs" priority="6" operator="greaterThan" aboveAverage="0" equalAverage="0" bottom="0" percent="0" rank="0" text="" dxfId="0">
      <formula>0</formula>
    </cfRule>
    <cfRule type="cellIs" priority="7" operator="lessThan" aboveAverage="0" equalAverage="0" bottom="0" percent="0" rank="0" text="" dxfId="1">
      <formula>0</formula>
    </cfRule>
  </conditionalFormatting>
  <conditionalFormatting sqref="E13:E91">
    <cfRule type="colorScale" priority="8">
      <colorScale>
        <cfvo type="num" val="0"/>
        <cfvo type="max" val="0"/>
        <color rgb="FFFFFFFF"/>
        <color rgb="FF63BE7B"/>
      </colorScale>
    </cfRule>
  </conditionalFormatting>
  <conditionalFormatting sqref="K13:K91">
    <cfRule type="colorScale" priority="9">
      <colorScale>
        <cfvo type="min" val="0"/>
        <cfvo type="percentile" val="50"/>
        <cfvo type="max" val="0"/>
        <color rgb="FFF8696B"/>
        <color rgb="FFFFEB84"/>
        <color rgb="FF63BE7B"/>
      </colorScale>
    </cfRule>
  </conditionalFormatting>
  <dataValidations count="1">
    <dataValidation allowBlank="false" errorStyle="stop" operator="between" showDropDown="false" showErrorMessage="false" showInputMessage="false" sqref="B3" type="list">
      <formula1>Lists!$A$3:$A$16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C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20"/>
  </cols>
  <sheetData>
    <row r="1" customFormat="false" ht="30" hidden="false" customHeight="true" outlineLevel="0" collapsed="false">
      <c r="A1" s="1" t="s">
        <v>6952</v>
      </c>
      <c r="B1" s="1"/>
      <c r="C1" s="1"/>
    </row>
    <row r="2" customFormat="false" ht="15" hidden="false" customHeight="false" outlineLevel="0" collapsed="false">
      <c r="A2" s="3"/>
      <c r="B2" s="3"/>
      <c r="C2" s="3"/>
    </row>
    <row r="3" customFormat="false" ht="33.75" hidden="false" customHeight="true" outlineLevel="0" collapsed="false">
      <c r="A3" s="66" t="s">
        <v>6953</v>
      </c>
      <c r="B3" s="84" t="s">
        <v>6954</v>
      </c>
      <c r="C3" s="3"/>
    </row>
    <row r="4" customFormat="false" ht="33.75" hidden="false" customHeight="true" outlineLevel="0" collapsed="false">
      <c r="A4" s="66" t="s">
        <v>6955</v>
      </c>
      <c r="B4" s="84" t="s">
        <v>6956</v>
      </c>
      <c r="C4" s="3"/>
    </row>
    <row r="5" customFormat="false" ht="33.75" hidden="false" customHeight="true" outlineLevel="0" collapsed="false">
      <c r="A5" s="66" t="s">
        <v>6957</v>
      </c>
      <c r="B5" s="84" t="s">
        <v>6958</v>
      </c>
      <c r="C5" s="3"/>
    </row>
    <row r="6" customFormat="false" ht="33.75" hidden="false" customHeight="true" outlineLevel="0" collapsed="false">
      <c r="A6" s="66" t="s">
        <v>6959</v>
      </c>
      <c r="B6" s="84" t="s">
        <v>6960</v>
      </c>
      <c r="C6" s="3"/>
    </row>
    <row r="7" customFormat="false" ht="33.75" hidden="false" customHeight="true" outlineLevel="0" collapsed="false">
      <c r="A7" s="66" t="s">
        <v>6961</v>
      </c>
      <c r="B7" s="84" t="s">
        <v>6962</v>
      </c>
      <c r="C7" s="3"/>
    </row>
    <row r="8" customFormat="false" ht="33.75" hidden="false" customHeight="true" outlineLevel="0" collapsed="false">
      <c r="A8" s="66" t="s">
        <v>6963</v>
      </c>
      <c r="B8" s="84" t="s">
        <v>6964</v>
      </c>
      <c r="C8" s="3"/>
    </row>
    <row r="9" customFormat="false" ht="33.75" hidden="false" customHeight="true" outlineLevel="0" collapsed="false">
      <c r="A9" s="66" t="s">
        <v>6965</v>
      </c>
      <c r="B9" s="84" t="s">
        <v>6966</v>
      </c>
      <c r="C9" s="3"/>
    </row>
    <row r="10" customFormat="false" ht="33.75" hidden="false" customHeight="true" outlineLevel="0" collapsed="false">
      <c r="A10" s="66" t="s">
        <v>6967</v>
      </c>
      <c r="B10" s="84" t="s">
        <v>6968</v>
      </c>
      <c r="C10" s="3"/>
    </row>
    <row r="11" customFormat="false" ht="33.75" hidden="false" customHeight="true" outlineLevel="0" collapsed="false">
      <c r="A11" s="66" t="s">
        <v>6969</v>
      </c>
      <c r="B11" s="84" t="s">
        <v>6970</v>
      </c>
      <c r="C11" s="3"/>
    </row>
    <row r="12" customFormat="false" ht="33.75" hidden="false" customHeight="true" outlineLevel="0" collapsed="false">
      <c r="A12" s="66" t="s">
        <v>6971</v>
      </c>
      <c r="B12" s="84" t="s">
        <v>6972</v>
      </c>
      <c r="C12" s="3"/>
    </row>
    <row r="13" customFormat="false" ht="15" hidden="false" customHeight="false" outlineLevel="0" collapsed="false">
      <c r="A13" s="3"/>
      <c r="B13" s="3"/>
      <c r="C13" s="3"/>
    </row>
    <row r="14" customFormat="false" ht="15" hidden="false" customHeight="false" outlineLevel="0" collapsed="false">
      <c r="A14" s="56" t="s">
        <v>6973</v>
      </c>
      <c r="B14" s="85"/>
      <c r="C14" s="3"/>
    </row>
    <row r="15" customFormat="false" ht="33.75" hidden="false" customHeight="true" outlineLevel="0" collapsed="false">
      <c r="A15" s="66" t="s">
        <v>77</v>
      </c>
      <c r="B15" s="84" t="s">
        <v>6974</v>
      </c>
      <c r="C15" s="3"/>
    </row>
    <row r="16" customFormat="false" ht="33.75" hidden="false" customHeight="true" outlineLevel="0" collapsed="false">
      <c r="A16" s="66" t="s">
        <v>6</v>
      </c>
      <c r="B16" s="84" t="s">
        <v>6975</v>
      </c>
      <c r="C16" s="3"/>
    </row>
    <row r="17" customFormat="false" ht="33.75" hidden="false" customHeight="true" outlineLevel="0" collapsed="false">
      <c r="A17" s="66" t="s">
        <v>6976</v>
      </c>
      <c r="B17" s="84" t="s">
        <v>6977</v>
      </c>
      <c r="C17" s="3"/>
    </row>
    <row r="18" customFormat="false" ht="33.75" hidden="false" customHeight="true" outlineLevel="0" collapsed="false">
      <c r="A18" s="66" t="s">
        <v>18</v>
      </c>
      <c r="B18" s="84" t="s">
        <v>6978</v>
      </c>
      <c r="C18" s="3"/>
    </row>
    <row r="19" customFormat="false" ht="33.75" hidden="false" customHeight="true" outlineLevel="0" collapsed="false">
      <c r="A19" s="66" t="s">
        <v>119</v>
      </c>
      <c r="B19" s="84" t="s">
        <v>6979</v>
      </c>
      <c r="C19" s="3"/>
    </row>
    <row r="20" customFormat="false" ht="33.75" hidden="false" customHeight="true" outlineLevel="0" collapsed="false">
      <c r="A20" s="66" t="s">
        <v>6980</v>
      </c>
      <c r="B20" s="84" t="s">
        <v>6981</v>
      </c>
      <c r="C20" s="3"/>
    </row>
    <row r="21" customFormat="false" ht="33.75" hidden="false" customHeight="true" outlineLevel="0" collapsed="false">
      <c r="A21" s="66" t="s">
        <v>6982</v>
      </c>
      <c r="B21" s="84" t="s">
        <v>6983</v>
      </c>
      <c r="C21" s="3"/>
    </row>
    <row r="22" customFormat="false" ht="33.75" hidden="false" customHeight="true" outlineLevel="0" collapsed="false">
      <c r="A22" s="66" t="s">
        <v>6984</v>
      </c>
      <c r="B22" s="84" t="s">
        <v>6985</v>
      </c>
      <c r="C22" s="3"/>
    </row>
    <row r="23" customFormat="false" ht="33.75" hidden="false" customHeight="true" outlineLevel="0" collapsed="false">
      <c r="A23" s="66" t="s">
        <v>6986</v>
      </c>
      <c r="B23" s="84" t="s">
        <v>6987</v>
      </c>
      <c r="C23" s="3"/>
    </row>
  </sheetData>
  <mergeCells count="1">
    <mergeCell ref="A1:C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2026-10-09T02:11:19Z</dcterms:created>
  <dc:creator>openpyxl</dc:creator>
  <dc:description/>
  <dc:language>en-US</dc:language>
  <cp:lastModifiedBy/>
  <dcterms:modified xsi:type="dcterms:W3CDTF">2026-10-09T02:11:41Z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